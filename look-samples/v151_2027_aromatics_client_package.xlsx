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8000" firstSheet="0" activeTab="0"/>
  </bookViews>
  <sheets>
    <sheet sheetId="1" name="Summary Page" state="visible" r:id="rId4"/>
    <sheet sheetId="2" name="ORG Chart" state="visible" r:id="rId5"/>
    <sheet sheetId="3" name="Slicer Hrs" state="visible" r:id="rId6"/>
    <sheet sheetId="4" name="Staff" state="visible" r:id="rId7"/>
    <sheet sheetId="5" name="Foremen" state="visible" r:id="rId8"/>
    <sheet sheetId="6" name="Direct" state="visible" r:id="rId9"/>
    <sheet sheetId="7" name="Support" state="visible" r:id="rId10"/>
    <sheet sheetId="8" name="Equipment Rental" state="visible" r:id="rId11"/>
    <sheet sheetId="9" name="Tensioning Torquing equipment" state="visible" r:id="rId12"/>
    <sheet sheetId="10" name="Crane Rental" state="visible" r:id="rId13"/>
    <sheet sheetId="11" name="OM Crane Subcontractor" state="visible" r:id="rId14"/>
    <sheet sheetId="12" name="COE" state="visible" r:id="rId15"/>
    <sheet sheetId="13" name="Staff Travel Cost" state="visible" r:id="rId16"/>
    <sheet sheetId="14" name="Misc Costs" state="visible" r:id="rId17"/>
    <sheet sheetId="15" name="Rate Tables" state="visible" r:id="rId18"/>
  </sheets>
  <definedNames>
    <definedName name="_xlnm.Print_Area" localSheetId="0">'Summary Page'!$A1:$C23</definedName>
    <definedName name="_xlnm.Print_Titles" localSheetId="0">'Summary Page'!$6:$6</definedName>
    <definedName name="_xlnm.Print_Area" localSheetId="1">'ORG Chart'!$A1:$F9</definedName>
    <definedName name="_xlnm.Print_Titles" localSheetId="1">'ORG Chart'!$6:$6</definedName>
    <definedName name="_xlnm.Print_Area" localSheetId="2">'Slicer Hrs'!$A1:$E8</definedName>
    <definedName name="_xlnm.Print_Titles" localSheetId="2">'Slicer Hrs'!$6:$6</definedName>
    <definedName name="_xlnm.Print_Area" localSheetId="3">'Staff'!$A1:$R21</definedName>
    <definedName name="_xlnm.Print_Titles" localSheetId="3">'Staff'!$A:$K,'Staff'!$6:$6</definedName>
    <definedName name="_xlnm.Print_Area" localSheetId="4">'Foremen'!$A1:$R14</definedName>
    <definedName name="_xlnm.Print_Titles" localSheetId="4">'Foremen'!$A:$K,'Foremen'!$6:$6</definedName>
    <definedName name="_xlnm.Print_Area" localSheetId="5">'Direct'!$A1:$R14</definedName>
    <definedName name="_xlnm.Print_Titles" localSheetId="5">'Direct'!$A:$K,'Direct'!$6:$6</definedName>
    <definedName name="_xlnm.Print_Area" localSheetId="6">'Support'!$A1:$R14</definedName>
    <definedName name="_xlnm.Print_Titles" localSheetId="6">'Support'!$A:$K,'Support'!$6:$6</definedName>
    <definedName name="_xlnm.Print_Area" localSheetId="7">'Equipment Rental'!$A1:$H8</definedName>
    <definedName name="_xlnm.Print_Titles" localSheetId="7">'Equipment Rental'!$6:$6</definedName>
    <definedName name="_xlnm.Print_Area" localSheetId="8">'Tensioning Torquing equipment'!$A1:$H8</definedName>
    <definedName name="_xlnm.Print_Titles" localSheetId="8">'Tensioning Torquing equipment'!$6:$6</definedName>
    <definedName name="_xlnm.Print_Area" localSheetId="9">'Crane Rental'!$A1:$H8</definedName>
    <definedName name="_xlnm.Print_Titles" localSheetId="9">'Crane Rental'!$6:$6</definedName>
    <definedName name="_xlnm.Print_Area" localSheetId="10">'OM Crane Subcontractor'!$A1:$H8</definedName>
    <definedName name="_xlnm.Print_Titles" localSheetId="10">'OM Crane Subcontractor'!$6:$6</definedName>
    <definedName name="_xlnm.Print_Area" localSheetId="11">'COE'!$A1:$G8</definedName>
    <definedName name="_xlnm.Print_Titles" localSheetId="11">'COE'!$6:$6</definedName>
    <definedName name="_xlnm.Print_Area" localSheetId="12">'Staff Travel Cost'!$A1:$E8</definedName>
    <definedName name="_xlnm.Print_Titles" localSheetId="12">'Staff Travel Cost'!$6:$6</definedName>
    <definedName name="_xlnm.Print_Area" localSheetId="13">'Misc Costs'!$A1:$E8</definedName>
    <definedName name="_xlnm.Print_Titles" localSheetId="13">'Misc Costs'!$6:$6</definedName>
    <definedName name="_xlnm.Print_Area" localSheetId="14">'Rate Tables'!$A1:$F10</definedName>
    <definedName name="_xlnm.Print_Titles" localSheetId="14">'Rate Tables'!$6:$6</definedName>
  </definedNames>
  <calcPr calcId="171027" fullCalcOnLoad="1"/>
</workbook>
</file>

<file path=xl/sharedStrings.xml><?xml version="1.0" encoding="utf-8"?>
<sst xmlns="http://schemas.openxmlformats.org/spreadsheetml/2006/main" count="335" uniqueCount="102">
  <si>
    <t>HIT SQUAD / PROJECT CONTROLS</t>
  </si>
  <si>
    <t>Produced by Hit Squad Project Controls  ·  Confidential estimate package</t>
  </si>
  <si>
    <t>2027 Aromatics Turnaround</t>
  </si>
  <si>
    <t>Phillips 66  ·  Wood River — Roxana, IL  ·  East Coast (PCA0001103)</t>
  </si>
  <si>
    <t>Produced Sep 4, 2026</t>
  </si>
  <si>
    <t>Rollup line</t>
  </si>
  <si>
    <t>Amount $</t>
  </si>
  <si>
    <t>Man-hours (MH)</t>
  </si>
  <si>
    <t>Staff labor $</t>
  </si>
  <si>
    <t>Foremen labor $</t>
  </si>
  <si>
    <t>Direct labor $</t>
  </si>
  <si>
    <t>Support labor $</t>
  </si>
  <si>
    <t>Labor $</t>
  </si>
  <si>
    <t>Per diem $</t>
  </si>
  <si>
    <t>Man-hours</t>
  </si>
  <si>
    <t>Staff travel $</t>
  </si>
  <si>
    <t>Misc $</t>
  </si>
  <si>
    <t>Equipment rental $</t>
  </si>
  <si>
    <t>Tensioning / torquing $</t>
  </si>
  <si>
    <t>Crane rental $</t>
  </si>
  <si>
    <t>COE $</t>
  </si>
  <si>
    <t>Subcontractor $</t>
  </si>
  <si>
    <t>6.5% markup</t>
  </si>
  <si>
    <t>ESTIMATE TOTAL $</t>
  </si>
  <si>
    <t>Position</t>
  </si>
  <si>
    <t>Name</t>
  </si>
  <si>
    <t>Lane</t>
  </si>
  <si>
    <t>Shift</t>
  </si>
  <si>
    <t>Count</t>
  </si>
  <si>
    <t>Reports to</t>
  </si>
  <si>
    <t>Lead Safety 01</t>
  </si>
  <si>
    <t>staff</t>
  </si>
  <si>
    <t>Days</t>
  </si>
  <si>
    <t>Company</t>
  </si>
  <si>
    <t>Pipefitter GF Union</t>
  </si>
  <si>
    <t>generalForeman</t>
  </si>
  <si>
    <t>Boilermaker Foreman</t>
  </si>
  <si>
    <t>1</t>
  </si>
  <si>
    <t>foreman</t>
  </si>
  <si>
    <t>Phase</t>
  </si>
  <si>
    <t>ST Hrs</t>
  </si>
  <si>
    <t>OT Hrs</t>
  </si>
  <si>
    <t>DT Hrs</t>
  </si>
  <si>
    <t>Hours</t>
  </si>
  <si>
    <t>Mechanical Window</t>
  </si>
  <si>
    <t>TOTAL</t>
  </si>
  <si>
    <t>Total Billable</t>
  </si>
  <si>
    <t>Sub Total $</t>
  </si>
  <si>
    <t>Rate</t>
  </si>
  <si>
    <t>Type</t>
  </si>
  <si>
    <t>PD Days</t>
  </si>
  <si>
    <t>DAYSHIFT</t>
  </si>
  <si>
    <t>TITLE</t>
  </si>
  <si>
    <t>st-1|day</t>
  </si>
  <si>
    <t>HC</t>
  </si>
  <si>
    <t>Enter Hours Per shift Here</t>
  </si>
  <si>
    <t>HPS</t>
  </si>
  <si>
    <t>ST</t>
  </si>
  <si>
    <t>OT</t>
  </si>
  <si>
    <t>DT</t>
  </si>
  <si>
    <t>PD</t>
  </si>
  <si>
    <t>gf-1|day</t>
  </si>
  <si>
    <t>fm-1|day</t>
  </si>
  <si>
    <t>Boilermaker Journeyman</t>
  </si>
  <si>
    <t>dr-1|day</t>
  </si>
  <si>
    <t>Fire Watch</t>
  </si>
  <si>
    <t>su-1|day</t>
  </si>
  <si>
    <t>Item</t>
  </si>
  <si>
    <t>Period</t>
  </si>
  <si>
    <t>Qty</t>
  </si>
  <si>
    <t>Periods</t>
  </si>
  <si>
    <t>Rate $</t>
  </si>
  <si>
    <t>Freight $</t>
  </si>
  <si>
    <t>Cost $</t>
  </si>
  <si>
    <t>Total $</t>
  </si>
  <si>
    <t>450amp diesel welder</t>
  </si>
  <si>
    <t>daily</t>
  </si>
  <si>
    <t>Hydraulic tensioner</t>
  </si>
  <si>
    <t>Carry deck crane</t>
  </si>
  <si>
    <t>Vendor</t>
  </si>
  <si>
    <t>Scope</t>
  </si>
  <si>
    <t>Affiliate</t>
  </si>
  <si>
    <t>Markup $</t>
  </si>
  <si>
    <t>O&amp;M Crane</t>
  </si>
  <si>
    <t>crane lift</t>
  </si>
  <si>
    <t>No</t>
  </si>
  <si>
    <t>AIR MOVER</t>
  </si>
  <si>
    <t>Kind</t>
  </si>
  <si>
    <t>Travelers</t>
  </si>
  <si>
    <t>Miles</t>
  </si>
  <si>
    <t>$ / mile</t>
  </si>
  <si>
    <t>Staff</t>
  </si>
  <si>
    <t>Description</t>
  </si>
  <si>
    <t>Each $</t>
  </si>
  <si>
    <t>Alloy rod</t>
  </si>
  <si>
    <t>Stainless</t>
  </si>
  <si>
    <t>Craft</t>
  </si>
  <si>
    <t>COMP BW $</t>
  </si>
  <si>
    <t>ST Bill $</t>
  </si>
  <si>
    <t>OT Bill $</t>
  </si>
  <si>
    <t>DT Bill $</t>
  </si>
  <si>
    <t>PD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</si>
</sst>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"/>
    <numFmt numFmtId="165" formatCode="$#,##0.00"/>
    <numFmt numFmtId="166" formatCode="#,##0.0"/>
    <numFmt numFmtId="167" formatCode="D-MMM"/>
  </numFmts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color rgb="FF3D4F54"/>
      <sz val="9"/>
      <name val="Calibri"/>
    </font>
    <font>
      <b/>
      <color rgb="FF102226"/>
      <sz val="12"/>
      <name val="Calibri"/>
    </font>
    <font>
      <color rgb="FF102226"/>
      <sz val="10"/>
      <name val="Calibri"/>
    </font>
    <font>
      <i/>
      <color rgb="FF3D4F54"/>
      <sz val="9"/>
      <name val="Calibri"/>
    </font>
    <font>
      <b/>
      <color rgb="FFFFFFFF"/>
      <sz val="10"/>
      <name val="Calibri"/>
    </font>
    <font>
      <b/>
      <color rgb="FF102226"/>
      <sz val="11"/>
      <name val="Calibri"/>
    </font>
    <font>
      <b/>
      <color rgb="FF102226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3D44"/>
      </patternFill>
    </fill>
    <fill>
      <patternFill patternType="solid">
        <fgColor rgb="FF163038"/>
      </patternFill>
    </fill>
    <fill>
      <patternFill patternType="solid">
        <fgColor rgb="FFE8EEF0"/>
      </patternFill>
    </fill>
    <fill>
      <patternFill patternType="solid">
        <fgColor rgb="FFF0C14B"/>
      </patternFill>
    </fill>
    <fill>
      <patternFill patternType="solid">
        <fgColor rgb="FFFFF3D6"/>
      </patternFill>
    </fill>
    <fill>
      <patternFill patternType="solid">
        <fgColor rgb="FFFFF8E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0C14B"/>
      </bottom>
      <diagonal/>
    </border>
    <border>
      <left/>
      <right/>
      <top style="medium">
        <color rgb="FF0F5F6D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164" fontId="5" fillId="0" borderId="0" xfId="0" applyNumberFormat="1" applyFont="1"/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4" fillId="4" borderId="0" xfId="0" applyFont="1" applyFill="1"/>
    <xf numFmtId="165" fontId="4" fillId="4" borderId="0" xfId="0" applyNumberFormat="1" applyFont="1" applyFill="1" applyAlignment="1">
      <alignment horizontal="right"/>
    </xf>
    <xf numFmtId="166" fontId="4" fillId="4" borderId="0" xfId="0" applyNumberFormat="1" applyFont="1" applyFill="1" applyAlignment="1">
      <alignment horizontal="right"/>
    </xf>
    <xf numFmtId="0" fontId="7" fillId="5" borderId="2" xfId="0" applyFont="1" applyFill="1" applyBorder="1"/>
    <xf numFmtId="166" fontId="7" fillId="5" borderId="2" xfId="0" applyNumberFormat="1" applyFont="1" applyFill="1" applyBorder="1"/>
    <xf numFmtId="0" fontId="8" fillId="6" borderId="0" xfId="0" applyFont="1" applyFill="1"/>
    <xf numFmtId="165" fontId="8" fillId="6" borderId="0" xfId="0" applyNumberFormat="1" applyFont="1" applyFill="1"/>
    <xf numFmtId="165" fontId="7" fillId="5" borderId="2" xfId="0" applyNumberFormat="1" applyFont="1" applyFill="1" applyBorder="1"/>
    <xf numFmtId="3" fontId="4" fillId="0" borderId="0" xfId="0" applyNumberFormat="1" applyFont="1"/>
    <xf numFmtId="3" fontId="4" fillId="4" borderId="0" xfId="0" applyNumberFormat="1" applyFont="1" applyFill="1"/>
    <xf numFmtId="166" fontId="4" fillId="0" borderId="0" xfId="0" applyNumberFormat="1" applyFont="1"/>
    <xf numFmtId="167" fontId="6" fillId="3" borderId="1" xfId="0" applyNumberFormat="1" applyFont="1" applyFill="1" applyBorder="1" applyAlignment="1">
      <alignment horizontal="center" vertical="center" wrapText="1"/>
    </xf>
    <xf numFmtId="0" fontId="8" fillId="4" borderId="0" xfId="0" applyFont="1" applyFill="1"/>
    <xf numFmtId="166" fontId="8" fillId="4" borderId="0" xfId="0" applyNumberFormat="1" applyFont="1" applyFill="1"/>
    <xf numFmtId="165" fontId="8" fillId="4" borderId="0" xfId="0" applyNumberFormat="1" applyFont="1" applyFill="1"/>
    <xf numFmtId="0" fontId="4" fillId="7" borderId="0" xfId="0" applyFont="1" applyFill="1"/>
    <xf numFmtId="3" fontId="4" fillId="7" borderId="0" xfId="0" applyNumberFormat="1" applyFont="1" applyFill="1"/>
    <xf numFmtId="166" fontId="4" fillId="7" borderId="0" xfId="0" applyNumberFormat="1" applyFont="1" applyFill="1"/>
    <xf numFmtId="165" fontId="4" fillId="0" borderId="0" xfId="0" applyNumberFormat="1" applyFont="1"/>
    <xf numFmtId="165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3D44"/>
    <pageSetUpPr fitToPage="1"/>
  </sheetPr>
  <dimension ref="A1:C23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6" customWidth="1"/>
    <col min="2" max="2" width="16" customWidth="1"/>
    <col min="3" max="3" width="14" customWidth="1"/>
  </cols>
  <sheetData>
    <row r="1" ht="2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46269.71300210648</v>
      </c>
    </row>
    <row r="6" ht="20" customHeight="1" spans="1:3" x14ac:dyDescent="0.25">
      <c r="A6" s="7" t="s">
        <v>5</v>
      </c>
      <c r="B6" s="7" t="s">
        <v>6</v>
      </c>
      <c r="C6" s="7" t="s">
        <v>7</v>
      </c>
    </row>
    <row r="7" spans="1:3" x14ac:dyDescent="0.25">
      <c r="A7" s="8" t="s">
        <v>8</v>
      </c>
      <c r="B7" s="9">
        <f>Staff!K21</f>
      </c>
      <c r="C7" s="10">
        <f>Staff!B21</f>
      </c>
    </row>
    <row r="8" spans="1:3" x14ac:dyDescent="0.25">
      <c r="A8" s="11" t="s">
        <v>9</v>
      </c>
      <c r="B8" s="12">
        <f>Foremen!K14</f>
      </c>
      <c r="C8" s="13">
        <f>Foremen!B14</f>
      </c>
    </row>
    <row r="9" spans="1:3" x14ac:dyDescent="0.25">
      <c r="A9" s="8" t="s">
        <v>10</v>
      </c>
      <c r="B9" s="9">
        <f>Direct!K14</f>
      </c>
      <c r="C9" s="10">
        <f>Direct!B14</f>
      </c>
    </row>
    <row r="10" spans="1:3" x14ac:dyDescent="0.25">
      <c r="A10" s="11" t="s">
        <v>11</v>
      </c>
      <c r="B10" s="12">
        <f>Support!K14</f>
      </c>
      <c r="C10" s="13">
        <f>Support!B14</f>
      </c>
    </row>
    <row r="11" spans="1:3" x14ac:dyDescent="0.25">
      <c r="A11" s="8" t="s">
        <v>12</v>
      </c>
      <c r="B11" s="9">
        <f>SUM(B7,B8,B9,B10)</f>
      </c>
      <c r="C11" s="10">
        <f>SUM(C7,C8,C9,C10)</f>
      </c>
    </row>
    <row r="12" spans="1:2" x14ac:dyDescent="0.25">
      <c r="A12" s="11" t="s">
        <v>13</v>
      </c>
      <c r="B12" s="12">
        <f>SUM(Staff!D21,Foremen!D14,Direct!D14,Support!D14)</f>
      </c>
    </row>
    <row r="13" spans="1:3" x14ac:dyDescent="0.25">
      <c r="A13" s="14" t="s">
        <v>14</v>
      </c>
      <c r="C13" s="15">
        <f>'Slicer Hrs'!E8</f>
      </c>
    </row>
    <row r="14" spans="1:2" x14ac:dyDescent="0.25">
      <c r="A14" s="11" t="s">
        <v>15</v>
      </c>
      <c r="B14" s="12">
        <f>'Staff Travel Cost'!E8</f>
      </c>
    </row>
    <row r="15" spans="1:2" x14ac:dyDescent="0.25">
      <c r="A15" s="8" t="s">
        <v>16</v>
      </c>
      <c r="B15" s="9">
        <f>'Misc Costs'!E8</f>
      </c>
    </row>
    <row r="16" spans="1:2" x14ac:dyDescent="0.25">
      <c r="A16" s="11" t="s">
        <v>17</v>
      </c>
      <c r="B16" s="12">
        <f>'Equipment Rental'!G8</f>
      </c>
    </row>
    <row r="17" spans="1:2" x14ac:dyDescent="0.25">
      <c r="A17" s="8" t="s">
        <v>18</v>
      </c>
      <c r="B17" s="9">
        <f>'Tensioning Torquing equipment'!G8</f>
      </c>
    </row>
    <row r="18" spans="1:2" x14ac:dyDescent="0.25">
      <c r="A18" s="11" t="s">
        <v>19</v>
      </c>
      <c r="B18" s="12">
        <f>'Crane Rental'!G8</f>
      </c>
    </row>
    <row r="19" spans="1:2" x14ac:dyDescent="0.25">
      <c r="A19" s="8" t="s">
        <v>20</v>
      </c>
      <c r="B19" s="9">
        <f>COE!G8</f>
      </c>
    </row>
    <row r="20" spans="1:2" x14ac:dyDescent="0.25">
      <c r="A20" s="11" t="s">
        <v>21</v>
      </c>
      <c r="B20" s="12">
        <f>'OM Crane Subcontractor'!F8</f>
      </c>
    </row>
    <row r="21" spans="1:2" x14ac:dyDescent="0.25">
      <c r="A21" s="16" t="s">
        <v>22</v>
      </c>
      <c r="B21" s="17">
        <v>313.5</v>
      </c>
    </row>
    <row r="23" spans="1:3" x14ac:dyDescent="0.25">
      <c r="A23" s="14" t="s">
        <v>23</v>
      </c>
      <c r="B23" s="18">
        <f>SUM(B11,B12,B14,B15,B16,B17,B18,B19,B20,B21)</f>
      </c>
      <c r="C23" s="15">
        <f>SUM(C7,C8,C9,C10)</f>
      </c>
    </row>
  </sheetData>
  <mergeCells count="3">
    <mergeCell ref="A1:C1"/>
    <mergeCell ref="A2:C2"/>
    <mergeCell ref="A3:C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Summary Page &amp;R Confidential</oddHeader>
    <oddFooter>&amp;L Produced by Hit Squad Project Controls &amp;C &amp;D &amp;R Page &amp;P of &amp;N</oddFooter>
    <evenHeader>&amp;L&amp;B HIT SQUAD / PROJECT CONTROLS &amp;C Summary Page &amp;R Confidential</evenHeader>
    <evenFooter>&amp;L Produced by Hit Squad Project Controls &amp;C &amp;D &amp;R Page &amp;P of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  <pageSetUpPr fitToPage="1"/>
  </sheetPr>
  <dimension ref="A1:F9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6" width="12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1" x14ac:dyDescent="0.25">
      <c r="A2" s="2" t="s">
        <v>1</v>
      </c>
    </row>
    <row r="3" spans="1:6" x14ac:dyDescent="0.25">
      <c r="A3" s="3" t="s">
        <v>2</v>
      </c>
      <c r="B3" s="3"/>
      <c r="C3" s="3"/>
      <c r="D3" s="3"/>
      <c r="E3" s="3"/>
      <c r="F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46269.71300207176</v>
      </c>
    </row>
    <row r="6" ht="20" customHeight="1" spans="1:6" x14ac:dyDescent="0.25">
      <c r="A6" s="7" t="s">
        <v>24</v>
      </c>
      <c r="B6" s="7" t="s">
        <v>25</v>
      </c>
      <c r="C6" s="7" t="s">
        <v>26</v>
      </c>
      <c r="D6" s="7" t="s">
        <v>27</v>
      </c>
      <c r="E6" s="7" t="s">
        <v>28</v>
      </c>
      <c r="F6" s="7" t="s">
        <v>29</v>
      </c>
    </row>
    <row r="7" spans="1:6" x14ac:dyDescent="0.25">
      <c r="A7" s="8" t="s">
        <v>30</v>
      </c>
      <c r="B7" s="8" t="s">
        <v>30</v>
      </c>
      <c r="C7" s="8" t="s">
        <v>31</v>
      </c>
      <c r="D7" s="8" t="s">
        <v>32</v>
      </c>
      <c r="E7" s="19">
        <v>1</v>
      </c>
      <c r="F7" s="8" t="s">
        <v>33</v>
      </c>
    </row>
    <row r="8" spans="1:6" x14ac:dyDescent="0.25">
      <c r="A8" s="11" t="s">
        <v>34</v>
      </c>
      <c r="B8" s="11" t="s">
        <v>34</v>
      </c>
      <c r="C8" s="11" t="s">
        <v>35</v>
      </c>
      <c r="D8" s="11" t="s">
        <v>32</v>
      </c>
      <c r="E8" s="20">
        <v>1</v>
      </c>
      <c r="F8" s="11" t="s">
        <v>30</v>
      </c>
    </row>
    <row r="9" spans="1:6" x14ac:dyDescent="0.25">
      <c r="A9" s="8" t="s">
        <v>36</v>
      </c>
      <c r="B9" s="8" t="s">
        <v>37</v>
      </c>
      <c r="C9" s="8" t="s">
        <v>38</v>
      </c>
      <c r="D9" s="8" t="s">
        <v>32</v>
      </c>
      <c r="E9" s="19">
        <v>1</v>
      </c>
      <c r="F9" s="8" t="s">
        <v>34</v>
      </c>
    </row>
  </sheetData>
  <mergeCells count="2">
    <mergeCell ref="A1:F1"/>
    <mergeCell ref="A3:F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ORG Chart &amp;R Confidential</oddHeader>
    <oddFooter>&amp;L Produced by Hit Squad Project Controls &amp;C &amp;D &amp;R Page &amp;P of &amp;N</oddFooter>
    <evenHeader>&amp;L&amp;B HIT SQUAD / PROJECT CONTROLS &amp;C ORG Chart &amp;R Confidential</evenHeader>
    <evenFooter>&amp;L Produced by Hit Squad Project Controls &amp;C &amp;D &amp;R Page &amp;P of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  <pageSetUpPr fitToPage="1"/>
  </sheetPr>
  <dimension ref="A1:E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5" width="12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spans="1:1" x14ac:dyDescent="0.25">
      <c r="A2" s="2" t="s">
        <v>1</v>
      </c>
    </row>
    <row r="3" spans="1:5" x14ac:dyDescent="0.25">
      <c r="A3" s="3" t="s">
        <v>2</v>
      </c>
      <c r="B3" s="3"/>
      <c r="C3" s="3"/>
      <c r="D3" s="3"/>
      <c r="E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46269.71300207176</v>
      </c>
    </row>
    <row r="6" ht="20" customHeight="1" spans="1:5" x14ac:dyDescent="0.25">
      <c r="A6" s="7" t="s">
        <v>39</v>
      </c>
      <c r="B6" s="7" t="s">
        <v>40</v>
      </c>
      <c r="C6" s="7" t="s">
        <v>41</v>
      </c>
      <c r="D6" s="7" t="s">
        <v>42</v>
      </c>
      <c r="E6" s="7" t="s">
        <v>43</v>
      </c>
    </row>
    <row r="7" spans="1:5" x14ac:dyDescent="0.25">
      <c r="A7" s="8" t="s">
        <v>44</v>
      </c>
      <c r="B7" s="21">
        <v>210</v>
      </c>
      <c r="C7" s="21">
        <v>90</v>
      </c>
      <c r="D7" s="21">
        <v>50</v>
      </c>
      <c r="E7" s="21">
        <f>B7+C7+D7</f>
      </c>
    </row>
    <row r="8" spans="1:5" x14ac:dyDescent="0.25">
      <c r="A8" s="14" t="s">
        <v>45</v>
      </c>
      <c r="B8" s="15">
        <f>SUM(B7:B7)</f>
      </c>
      <c r="C8" s="15">
        <f>SUM(C7:C7)</f>
      </c>
      <c r="D8" s="15">
        <f>SUM(D7:D7)</f>
      </c>
      <c r="E8" s="15">
        <f>SUM(E7:E7)</f>
      </c>
    </row>
  </sheetData>
  <mergeCells count="2">
    <mergeCell ref="A1:E1"/>
    <mergeCell ref="A3:E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Slicer Hrs &amp;R Confidential</oddHeader>
    <oddFooter>&amp;L Produced by Hit Squad Project Controls &amp;C &amp;D &amp;R Page &amp;P of &amp;N</oddFooter>
    <evenHeader>&amp;L&amp;B HIT SQUAD / PROJECT CONTROLS &amp;C Slicer Hrs &amp;R Confidential</evenHeader>
    <evenFooter>&amp;L Produced by Hit Squad Project Controls &amp;C &amp;D &amp;R Page &amp;P of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A96"/>
  </sheetPr>
  <dimension ref="A1:CX21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6" customWidth="1"/>
    <col min="4" max="5" width="14" customWidth="1"/>
    <col min="6" max="10" width="12" customWidth="1"/>
    <col min="11" max="11" width="14" customWidth="1"/>
    <col min="12" max="18" width="7" customWidth="1"/>
    <col min="102" max="102" width="3" hidden="1" customWidth="1"/>
  </cols>
  <sheetData>
    <row r="1" ht="22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" x14ac:dyDescent="0.25">
      <c r="A2" s="2" t="s">
        <v>1</v>
      </c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46269.71300206018</v>
      </c>
    </row>
    <row r="6" ht="20" customHeight="1" spans="1:18" x14ac:dyDescent="0.25">
      <c r="A6" s="7" t="s">
        <v>27</v>
      </c>
      <c r="B6" s="7" t="s">
        <v>46</v>
      </c>
      <c r="C6" s="7" t="s">
        <v>24</v>
      </c>
      <c r="D6" s="7" t="s">
        <v>47</v>
      </c>
      <c r="E6" s="7" t="s">
        <v>48</v>
      </c>
      <c r="F6" s="7" t="s">
        <v>49</v>
      </c>
      <c r="G6" s="7" t="s">
        <v>40</v>
      </c>
      <c r="H6" s="7" t="s">
        <v>41</v>
      </c>
      <c r="I6" s="7" t="s">
        <v>42</v>
      </c>
      <c r="J6" s="7" t="s">
        <v>50</v>
      </c>
      <c r="K6" s="7" t="s">
        <v>12</v>
      </c>
      <c r="L6" s="22">
        <v>46266</v>
      </c>
      <c r="M6" s="22">
        <f>L6+1</f>
      </c>
      <c r="N6" s="22">
        <f>M6+1</f>
      </c>
      <c r="O6" s="22">
        <f>N6+1</f>
      </c>
      <c r="P6" s="22">
        <f>O6+1</f>
      </c>
      <c r="Q6" s="22">
        <f>P6+1</f>
      </c>
      <c r="R6" s="22">
        <f>Q6+1</f>
      </c>
    </row>
    <row r="7" spans="1:102" x14ac:dyDescent="0.25">
      <c r="A7" s="23" t="s">
        <v>51</v>
      </c>
      <c r="B7" s="24">
        <f>G7+H7+I7</f>
      </c>
      <c r="C7" s="23" t="s">
        <v>30</v>
      </c>
      <c r="D7" s="25">
        <f>K7</f>
      </c>
      <c r="F7" s="23" t="s">
        <v>52</v>
      </c>
      <c r="G7" s="24">
        <f>B10</f>
      </c>
      <c r="H7" s="24">
        <f>B11</f>
      </c>
      <c r="I7" s="24">
        <f>B12</f>
      </c>
      <c r="J7" s="24">
        <f>B13</f>
      </c>
      <c r="K7" s="25">
        <f>D10+D11+D12</f>
      </c>
      <c r="CX7" s="23" t="s">
        <v>53</v>
      </c>
    </row>
    <row r="8" spans="6:102" x14ac:dyDescent="0.25">
      <c r="F8" s="26" t="s">
        <v>54</v>
      </c>
      <c r="L8" s="27">
        <v>1</v>
      </c>
      <c r="M8" s="27">
        <v>1</v>
      </c>
      <c r="N8" s="27">
        <v>1</v>
      </c>
      <c r="O8" s="27">
        <v>1</v>
      </c>
      <c r="P8" s="27">
        <v>1</v>
      </c>
      <c r="Q8" s="27">
        <v>1</v>
      </c>
      <c r="R8" s="27">
        <v>1</v>
      </c>
      <c r="CX8" s="26" t="s">
        <v>53</v>
      </c>
    </row>
    <row r="9" spans="1:102" x14ac:dyDescent="0.25">
      <c r="A9" s="26" t="s">
        <v>55</v>
      </c>
      <c r="F9" s="26" t="s">
        <v>56</v>
      </c>
      <c r="L9" s="28">
        <v>10</v>
      </c>
      <c r="M9" s="28">
        <v>10</v>
      </c>
      <c r="N9" s="28">
        <v>10</v>
      </c>
      <c r="O9" s="28">
        <v>10</v>
      </c>
      <c r="P9" s="28">
        <v>10</v>
      </c>
      <c r="Q9" s="28">
        <v>10</v>
      </c>
      <c r="R9" s="28">
        <v>10</v>
      </c>
      <c r="CX9" s="26" t="s">
        <v>53</v>
      </c>
    </row>
    <row r="10" spans="2:102" x14ac:dyDescent="0.25">
      <c r="B10" s="21">
        <f>SUM(L10:R10)</f>
      </c>
      <c r="D10" s="29">
        <f>B10*E10</f>
      </c>
      <c r="E10" s="29">
        <f>'Rate Tables'!C7</f>
      </c>
      <c r="F10" s="8" t="s">
        <v>57</v>
      </c>
      <c r="L10" s="21">
        <f>IF(L$6="","",IF(WEEKDAY(L$6,1)=1,0,MIN(10,L9)*L8))</f>
      </c>
      <c r="M10" s="21">
        <f>IF(M$6="","",IF(WEEKDAY(M$6,1)=1,0,MIN(10,M9)*M8))</f>
      </c>
      <c r="N10" s="21">
        <f>IF(N$6="","",IF(WEEKDAY(N$6,1)=1,0,MIN(10,N9)*N8))</f>
      </c>
      <c r="O10" s="21">
        <f>IF(O$6="","",IF(WEEKDAY(O$6,1)=1,0,MIN(10,O9)*O8))</f>
      </c>
      <c r="P10" s="21">
        <f>IF(P$6="","",IF(WEEKDAY(P$6,1)=1,0,MIN(10,P9)*P8))</f>
      </c>
      <c r="Q10" s="21">
        <f>IF(Q$6="","",IF(WEEKDAY(Q$6,1)=1,0,MIN(10,Q9)*Q8))</f>
      </c>
      <c r="R10" s="21">
        <f>IF(R$6="","",IF(WEEKDAY(R$6,1)=1,0,MIN(10,R9)*R8))</f>
      </c>
      <c r="CX10" s="8" t="s">
        <v>53</v>
      </c>
    </row>
    <row r="11" spans="2:102" x14ac:dyDescent="0.25">
      <c r="B11" s="21">
        <f>SUM(L11:R11)</f>
      </c>
      <c r="D11" s="29">
        <f>B11*E11</f>
      </c>
      <c r="E11" s="29">
        <f>'Rate Tables'!D7</f>
      </c>
      <c r="F11" s="8" t="s">
        <v>58</v>
      </c>
      <c r="L11" s="21">
        <f>IF(L$6="","",IF(WEEKDAY(L$6,1)=1,0,MAX(0,L9-10)*L8))</f>
      </c>
      <c r="M11" s="21">
        <f>IF(M$6="","",IF(WEEKDAY(M$6,1)=1,0,MAX(0,M9-10)*M8))</f>
      </c>
      <c r="N11" s="21">
        <f>IF(N$6="","",IF(WEEKDAY(N$6,1)=1,0,MAX(0,N9-10)*N8))</f>
      </c>
      <c r="O11" s="21">
        <f>IF(O$6="","",IF(WEEKDAY(O$6,1)=1,0,MAX(0,O9-10)*O8))</f>
      </c>
      <c r="P11" s="21">
        <f>IF(P$6="","",IF(WEEKDAY(P$6,1)=1,0,MAX(0,P9-10)*P8))</f>
      </c>
      <c r="Q11" s="21">
        <f>IF(Q$6="","",IF(WEEKDAY(Q$6,1)=1,0,MAX(0,Q9-10)*Q8))</f>
      </c>
      <c r="R11" s="21">
        <f>IF(R$6="","",IF(WEEKDAY(R$6,1)=1,0,MAX(0,R9-10)*R8))</f>
      </c>
      <c r="CX11" s="8" t="s">
        <v>53</v>
      </c>
    </row>
    <row r="12" spans="2:102" x14ac:dyDescent="0.25">
      <c r="B12" s="21">
        <f>SUM(L12:R12)</f>
      </c>
      <c r="D12" s="29">
        <f>B12*E12</f>
      </c>
      <c r="E12" s="29">
        <f>'Rate Tables'!E7</f>
      </c>
      <c r="F12" s="8" t="s">
        <v>59</v>
      </c>
      <c r="L12" s="21">
        <f>IF(L$6="","",IF(WEEKDAY(L$6,1)=1,L9*L8,0))</f>
      </c>
      <c r="M12" s="21">
        <f>IF(M$6="","",IF(WEEKDAY(M$6,1)=1,M9*M8,0))</f>
      </c>
      <c r="N12" s="21">
        <f>IF(N$6="","",IF(WEEKDAY(N$6,1)=1,N9*N8,0))</f>
      </c>
      <c r="O12" s="21">
        <f>IF(O$6="","",IF(WEEKDAY(O$6,1)=1,O9*O8,0))</f>
      </c>
      <c r="P12" s="21">
        <f>IF(P$6="","",IF(WEEKDAY(P$6,1)=1,P9*P8,0))</f>
      </c>
      <c r="Q12" s="21">
        <f>IF(Q$6="","",IF(WEEKDAY(Q$6,1)=1,Q9*Q8,0))</f>
      </c>
      <c r="R12" s="21">
        <f>IF(R$6="","",IF(WEEKDAY(R$6,1)=1,R9*R8,0))</f>
      </c>
      <c r="CX12" s="8" t="s">
        <v>53</v>
      </c>
    </row>
    <row r="13" spans="2:102" x14ac:dyDescent="0.25">
      <c r="B13" s="21">
        <f>SUM(L13:R13)</f>
      </c>
      <c r="D13" s="29">
        <f>B13*E13</f>
      </c>
      <c r="E13" s="29">
        <v>140</v>
      </c>
      <c r="F13" s="8" t="s">
        <v>60</v>
      </c>
      <c r="L13" s="19">
        <v>1</v>
      </c>
      <c r="M13" s="19">
        <v>1</v>
      </c>
      <c r="N13" s="19">
        <v>1</v>
      </c>
      <c r="O13" s="19">
        <v>1</v>
      </c>
      <c r="P13" s="19">
        <v>1</v>
      </c>
      <c r="Q13" s="19">
        <v>1</v>
      </c>
      <c r="R13" s="19">
        <v>1</v>
      </c>
      <c r="CX13" s="8" t="s">
        <v>53</v>
      </c>
    </row>
    <row r="14" spans="1:102" x14ac:dyDescent="0.25">
      <c r="A14" s="23" t="s">
        <v>51</v>
      </c>
      <c r="B14" s="24">
        <f>G14+H14+I14</f>
      </c>
      <c r="C14" s="23" t="s">
        <v>34</v>
      </c>
      <c r="D14" s="25">
        <f>K14</f>
      </c>
      <c r="F14" s="23" t="s">
        <v>52</v>
      </c>
      <c r="G14" s="24">
        <f>B17</f>
      </c>
      <c r="H14" s="24">
        <f>B18</f>
      </c>
      <c r="I14" s="24">
        <f>B19</f>
      </c>
      <c r="J14" s="24">
        <f>B20</f>
      </c>
      <c r="K14" s="25">
        <f>D17+D18+D19</f>
      </c>
      <c r="CX14" s="23" t="s">
        <v>61</v>
      </c>
    </row>
    <row r="15" spans="6:102" x14ac:dyDescent="0.25">
      <c r="F15" s="26" t="s">
        <v>54</v>
      </c>
      <c r="L15" s="27">
        <v>1</v>
      </c>
      <c r="M15" s="27">
        <v>1</v>
      </c>
      <c r="N15" s="27">
        <v>1</v>
      </c>
      <c r="O15" s="27">
        <v>1</v>
      </c>
      <c r="P15" s="27">
        <v>1</v>
      </c>
      <c r="Q15" s="27">
        <v>1</v>
      </c>
      <c r="R15" s="27">
        <v>1</v>
      </c>
      <c r="CX15" s="26" t="s">
        <v>61</v>
      </c>
    </row>
    <row r="16" spans="1:102" x14ac:dyDescent="0.25">
      <c r="A16" s="26" t="s">
        <v>55</v>
      </c>
      <c r="F16" s="26" t="s">
        <v>56</v>
      </c>
      <c r="L16" s="28">
        <v>10</v>
      </c>
      <c r="M16" s="28">
        <v>10</v>
      </c>
      <c r="N16" s="28">
        <v>10</v>
      </c>
      <c r="O16" s="28">
        <v>10</v>
      </c>
      <c r="P16" s="28">
        <v>10</v>
      </c>
      <c r="Q16" s="28">
        <v>10</v>
      </c>
      <c r="R16" s="28">
        <v>10</v>
      </c>
      <c r="CX16" s="26" t="s">
        <v>61</v>
      </c>
    </row>
    <row r="17" spans="2:102" x14ac:dyDescent="0.25">
      <c r="B17" s="21">
        <f>SUM(L17:R17)</f>
      </c>
      <c r="D17" s="29">
        <f>B17*E17</f>
      </c>
      <c r="E17" s="29">
        <f>'Rate Tables'!C8</f>
      </c>
      <c r="F17" s="8" t="s">
        <v>57</v>
      </c>
      <c r="L17" s="21">
        <f>IF(L$6="","",IF(OR(WEEKDAY(L$6,1)=1,WEEKDAY(L$6,1)=7),0,MIN(8,L16)*L15))</f>
      </c>
      <c r="M17" s="21">
        <f>IF(M$6="","",IF(OR(WEEKDAY(M$6,1)=1,WEEKDAY(M$6,1)=7),0,MIN(8,M16)*M15))</f>
      </c>
      <c r="N17" s="21">
        <f>IF(N$6="","",IF(OR(WEEKDAY(N$6,1)=1,WEEKDAY(N$6,1)=7),0,MIN(8,N16)*N15))</f>
      </c>
      <c r="O17" s="21">
        <f>IF(O$6="","",IF(OR(WEEKDAY(O$6,1)=1,WEEKDAY(O$6,1)=7),0,MIN(8,O16)*O15))</f>
      </c>
      <c r="P17" s="21">
        <f>IF(P$6="","",IF(OR(WEEKDAY(P$6,1)=1,WEEKDAY(P$6,1)=7),0,MIN(8,P16)*P15))</f>
      </c>
      <c r="Q17" s="21">
        <f>IF(Q$6="","",IF(OR(WEEKDAY(Q$6,1)=1,WEEKDAY(Q$6,1)=7),0,MIN(8,Q16)*Q15))</f>
      </c>
      <c r="R17" s="21">
        <f>IF(R$6="","",IF(OR(WEEKDAY(R$6,1)=1,WEEKDAY(R$6,1)=7),0,MIN(8,R16)*R15))</f>
      </c>
      <c r="CX17" s="8" t="s">
        <v>61</v>
      </c>
    </row>
    <row r="18" spans="2:102" x14ac:dyDescent="0.25">
      <c r="B18" s="21">
        <f>SUM(L18:R18)</f>
      </c>
      <c r="D18" s="29">
        <f>B18*E18</f>
      </c>
      <c r="E18" s="29">
        <f>'Rate Tables'!D8</f>
      </c>
      <c r="F18" s="8" t="s">
        <v>58</v>
      </c>
      <c r="L18" s="21">
        <f>IF(L$6="","",IF(WEEKDAY(L$6,1)=1,0,IF(WEEKDAY(L$6,1)=7,L16*L15,MAX(0,L16-8)*L15)))</f>
      </c>
      <c r="M18" s="21">
        <f>IF(M$6="","",IF(WEEKDAY(M$6,1)=1,0,IF(WEEKDAY(M$6,1)=7,M16*M15,MAX(0,M16-8)*M15)))</f>
      </c>
      <c r="N18" s="21">
        <f>IF(N$6="","",IF(WEEKDAY(N$6,1)=1,0,IF(WEEKDAY(N$6,1)=7,N16*N15,MAX(0,N16-8)*N15)))</f>
      </c>
      <c r="O18" s="21">
        <f>IF(O$6="","",IF(WEEKDAY(O$6,1)=1,0,IF(WEEKDAY(O$6,1)=7,O16*O15,MAX(0,O16-8)*O15)))</f>
      </c>
      <c r="P18" s="21">
        <f>IF(P$6="","",IF(WEEKDAY(P$6,1)=1,0,IF(WEEKDAY(P$6,1)=7,P16*P15,MAX(0,P16-8)*P15)))</f>
      </c>
      <c r="Q18" s="21">
        <f>IF(Q$6="","",IF(WEEKDAY(Q$6,1)=1,0,IF(WEEKDAY(Q$6,1)=7,Q16*Q15,MAX(0,Q16-8)*Q15)))</f>
      </c>
      <c r="R18" s="21">
        <f>IF(R$6="","",IF(WEEKDAY(R$6,1)=1,0,IF(WEEKDAY(R$6,1)=7,R16*R15,MAX(0,R16-8)*R15)))</f>
      </c>
      <c r="CX18" s="8" t="s">
        <v>61</v>
      </c>
    </row>
    <row r="19" spans="2:102" x14ac:dyDescent="0.25">
      <c r="B19" s="21">
        <f>SUM(L19:R19)</f>
      </c>
      <c r="D19" s="29">
        <f>B19*E19</f>
      </c>
      <c r="E19" s="29">
        <f>'Rate Tables'!E8</f>
      </c>
      <c r="F19" s="8" t="s">
        <v>59</v>
      </c>
      <c r="L19" s="21">
        <f>IF(L$6="","",IF(WEEKDAY(L$6,1)=1,L16*L15,0))</f>
      </c>
      <c r="M19" s="21">
        <f>IF(M$6="","",IF(WEEKDAY(M$6,1)=1,M16*M15,0))</f>
      </c>
      <c r="N19" s="21">
        <f>IF(N$6="","",IF(WEEKDAY(N$6,1)=1,N16*N15,0))</f>
      </c>
      <c r="O19" s="21">
        <f>IF(O$6="","",IF(WEEKDAY(O$6,1)=1,O16*O15,0))</f>
      </c>
      <c r="P19" s="21">
        <f>IF(P$6="","",IF(WEEKDAY(P$6,1)=1,P16*P15,0))</f>
      </c>
      <c r="Q19" s="21">
        <f>IF(Q$6="","",IF(WEEKDAY(Q$6,1)=1,Q16*Q15,0))</f>
      </c>
      <c r="R19" s="21">
        <f>IF(R$6="","",IF(WEEKDAY(R$6,1)=1,R16*R15,0))</f>
      </c>
      <c r="CX19" s="8" t="s">
        <v>61</v>
      </c>
    </row>
    <row r="20" spans="2:102" x14ac:dyDescent="0.25">
      <c r="B20" s="21">
        <f>SUM(L20:R20)</f>
      </c>
      <c r="D20" s="29">
        <f>B20*E20</f>
      </c>
      <c r="E20" s="29">
        <v>140</v>
      </c>
      <c r="F20" s="8" t="s">
        <v>60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CX20" s="8" t="s">
        <v>61</v>
      </c>
    </row>
    <row r="21" spans="1:11" x14ac:dyDescent="0.25">
      <c r="A21" s="14" t="s">
        <v>45</v>
      </c>
      <c r="B21" s="15">
        <f>SUM(B7,B14)</f>
      </c>
      <c r="D21" s="18">
        <f>SUM(D13,D20)</f>
      </c>
      <c r="G21" s="15">
        <f>SUM(G7,G14)</f>
      </c>
      <c r="H21" s="15">
        <f>SUM(H7,H14)</f>
      </c>
      <c r="I21" s="15">
        <f>SUM(I7,I14)</f>
      </c>
      <c r="J21" s="15">
        <f>SUM(J7,J14)</f>
      </c>
      <c r="K21" s="18">
        <f>SUM(K7,K14)</f>
      </c>
    </row>
  </sheetData>
  <mergeCells count="2">
    <mergeCell ref="A1:R1"/>
    <mergeCell ref="A3:R3"/>
  </mergeCells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Staff &amp;R Confidential</oddHeader>
    <oddFooter>&amp;L Produced by Hit Squad Project Controls &amp;C &amp;D &amp;R Page &amp;P of &amp;N</oddFooter>
    <evenHeader>&amp;L&amp;B HIT SQUAD / PROJECT CONTROLS &amp;C Staff &amp;R Confidential</evenHeader>
    <evenFooter>&amp;L Produced by Hit Squad Project Controls &amp;C &amp;D &amp;R Page &amp;P of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A96"/>
  </sheetPr>
  <dimension ref="A1:CX14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6" customWidth="1"/>
    <col min="4" max="5" width="14" customWidth="1"/>
    <col min="6" max="10" width="12" customWidth="1"/>
    <col min="11" max="11" width="14" customWidth="1"/>
    <col min="12" max="18" width="7" customWidth="1"/>
    <col min="102" max="102" width="3" hidden="1" customWidth="1"/>
  </cols>
  <sheetData>
    <row r="1" ht="22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" x14ac:dyDescent="0.25">
      <c r="A2" s="2" t="s">
        <v>1</v>
      </c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46269.71300207176</v>
      </c>
    </row>
    <row r="6" ht="20" customHeight="1" spans="1:18" x14ac:dyDescent="0.25">
      <c r="A6" s="7" t="s">
        <v>27</v>
      </c>
      <c r="B6" s="7" t="s">
        <v>46</v>
      </c>
      <c r="C6" s="7" t="s">
        <v>24</v>
      </c>
      <c r="D6" s="7" t="s">
        <v>47</v>
      </c>
      <c r="E6" s="7" t="s">
        <v>48</v>
      </c>
      <c r="F6" s="7" t="s">
        <v>49</v>
      </c>
      <c r="G6" s="7" t="s">
        <v>40</v>
      </c>
      <c r="H6" s="7" t="s">
        <v>41</v>
      </c>
      <c r="I6" s="7" t="s">
        <v>42</v>
      </c>
      <c r="J6" s="7" t="s">
        <v>50</v>
      </c>
      <c r="K6" s="7" t="s">
        <v>12</v>
      </c>
      <c r="L6" s="22">
        <v>46266</v>
      </c>
      <c r="M6" s="22">
        <f>L6+1</f>
      </c>
      <c r="N6" s="22">
        <f>M6+1</f>
      </c>
      <c r="O6" s="22">
        <f>N6+1</f>
      </c>
      <c r="P6" s="22">
        <f>O6+1</f>
      </c>
      <c r="Q6" s="22">
        <f>P6+1</f>
      </c>
      <c r="R6" s="22">
        <f>Q6+1</f>
      </c>
    </row>
    <row r="7" spans="1:102" x14ac:dyDescent="0.25">
      <c r="A7" s="23" t="s">
        <v>51</v>
      </c>
      <c r="B7" s="24">
        <f>G7+H7+I7</f>
      </c>
      <c r="C7" s="23" t="s">
        <v>36</v>
      </c>
      <c r="D7" s="25">
        <f>K7</f>
      </c>
      <c r="F7" s="23" t="s">
        <v>52</v>
      </c>
      <c r="G7" s="24">
        <f>B10</f>
      </c>
      <c r="H7" s="24">
        <f>B11</f>
      </c>
      <c r="I7" s="24">
        <f>B12</f>
      </c>
      <c r="J7" s="24">
        <f>B13</f>
      </c>
      <c r="K7" s="25">
        <f>D10+D11+D12</f>
      </c>
      <c r="CX7" s="23" t="s">
        <v>62</v>
      </c>
    </row>
    <row r="8" spans="6:102" x14ac:dyDescent="0.25">
      <c r="F8" s="26" t="s">
        <v>54</v>
      </c>
      <c r="L8" s="27">
        <v>1</v>
      </c>
      <c r="M8" s="27">
        <v>1</v>
      </c>
      <c r="N8" s="27">
        <v>1</v>
      </c>
      <c r="O8" s="27">
        <v>1</v>
      </c>
      <c r="P8" s="27">
        <v>1</v>
      </c>
      <c r="Q8" s="27">
        <v>1</v>
      </c>
      <c r="R8" s="27">
        <v>1</v>
      </c>
      <c r="CX8" s="26" t="s">
        <v>62</v>
      </c>
    </row>
    <row r="9" spans="1:102" x14ac:dyDescent="0.25">
      <c r="A9" s="26" t="s">
        <v>55</v>
      </c>
      <c r="F9" s="26" t="s">
        <v>56</v>
      </c>
      <c r="L9" s="28">
        <v>10</v>
      </c>
      <c r="M9" s="28">
        <v>10</v>
      </c>
      <c r="N9" s="28">
        <v>10</v>
      </c>
      <c r="O9" s="28">
        <v>10</v>
      </c>
      <c r="P9" s="28">
        <v>10</v>
      </c>
      <c r="Q9" s="28">
        <v>10</v>
      </c>
      <c r="R9" s="28">
        <v>10</v>
      </c>
      <c r="CX9" s="26" t="s">
        <v>62</v>
      </c>
    </row>
    <row r="10" spans="2:102" x14ac:dyDescent="0.25">
      <c r="B10" s="21">
        <f>SUM(L10:R10)</f>
      </c>
      <c r="D10" s="29">
        <f>B10*E10</f>
      </c>
      <c r="E10" s="29">
        <f>'Rate Tables'!C9</f>
      </c>
      <c r="F10" s="8" t="s">
        <v>57</v>
      </c>
      <c r="L10" s="21">
        <f>IF(L$6="","",IF(OR(WEEKDAY(L$6,1)=1,WEEKDAY(L$6,1)=7),0,MIN(8,L9)*L8))</f>
      </c>
      <c r="M10" s="21">
        <f>IF(M$6="","",IF(OR(WEEKDAY(M$6,1)=1,WEEKDAY(M$6,1)=7),0,MIN(8,M9)*M8))</f>
      </c>
      <c r="N10" s="21">
        <f>IF(N$6="","",IF(OR(WEEKDAY(N$6,1)=1,WEEKDAY(N$6,1)=7),0,MIN(8,N9)*N8))</f>
      </c>
      <c r="O10" s="21">
        <f>IF(O$6="","",IF(OR(WEEKDAY(O$6,1)=1,WEEKDAY(O$6,1)=7),0,MIN(8,O9)*O8))</f>
      </c>
      <c r="P10" s="21">
        <f>IF(P$6="","",IF(OR(WEEKDAY(P$6,1)=1,WEEKDAY(P$6,1)=7),0,MIN(8,P9)*P8))</f>
      </c>
      <c r="Q10" s="21">
        <f>IF(Q$6="","",IF(OR(WEEKDAY(Q$6,1)=1,WEEKDAY(Q$6,1)=7),0,MIN(8,Q9)*Q8))</f>
      </c>
      <c r="R10" s="21">
        <f>IF(R$6="","",IF(OR(WEEKDAY(R$6,1)=1,WEEKDAY(R$6,1)=7),0,MIN(8,R9)*R8))</f>
      </c>
      <c r="CX10" s="8" t="s">
        <v>62</v>
      </c>
    </row>
    <row r="11" spans="2:102" x14ac:dyDescent="0.25">
      <c r="B11" s="21">
        <f>SUM(L11:R11)</f>
      </c>
      <c r="D11" s="29">
        <f>B11*E11</f>
      </c>
      <c r="E11" s="29">
        <f>'Rate Tables'!D9</f>
      </c>
      <c r="F11" s="8" t="s">
        <v>58</v>
      </c>
      <c r="L11" s="21">
        <f>IF(L$6="","",IF(WEEKDAY(L$6,1)=1,0,IF(WEEKDAY(L$6,1)=7,L9*L8,MAX(0,L9-8)*L8)))</f>
      </c>
      <c r="M11" s="21">
        <f>IF(M$6="","",IF(WEEKDAY(M$6,1)=1,0,IF(WEEKDAY(M$6,1)=7,M9*M8,MAX(0,M9-8)*M8)))</f>
      </c>
      <c r="N11" s="21">
        <f>IF(N$6="","",IF(WEEKDAY(N$6,1)=1,0,IF(WEEKDAY(N$6,1)=7,N9*N8,MAX(0,N9-8)*N8)))</f>
      </c>
      <c r="O11" s="21">
        <f>IF(O$6="","",IF(WEEKDAY(O$6,1)=1,0,IF(WEEKDAY(O$6,1)=7,O9*O8,MAX(0,O9-8)*O8)))</f>
      </c>
      <c r="P11" s="21">
        <f>IF(P$6="","",IF(WEEKDAY(P$6,1)=1,0,IF(WEEKDAY(P$6,1)=7,P9*P8,MAX(0,P9-8)*P8)))</f>
      </c>
      <c r="Q11" s="21">
        <f>IF(Q$6="","",IF(WEEKDAY(Q$6,1)=1,0,IF(WEEKDAY(Q$6,1)=7,Q9*Q8,MAX(0,Q9-8)*Q8)))</f>
      </c>
      <c r="R11" s="21">
        <f>IF(R$6="","",IF(WEEKDAY(R$6,1)=1,0,IF(WEEKDAY(R$6,1)=7,R9*R8,MAX(0,R9-8)*R8)))</f>
      </c>
      <c r="CX11" s="8" t="s">
        <v>62</v>
      </c>
    </row>
    <row r="12" spans="2:102" x14ac:dyDescent="0.25">
      <c r="B12" s="21">
        <f>SUM(L12:R12)</f>
      </c>
      <c r="D12" s="29">
        <f>B12*E12</f>
      </c>
      <c r="E12" s="29">
        <f>'Rate Tables'!E9</f>
      </c>
      <c r="F12" s="8" t="s">
        <v>59</v>
      </c>
      <c r="L12" s="21">
        <f>IF(L$6="","",IF(WEEKDAY(L$6,1)=1,L9*L8,0))</f>
      </c>
      <c r="M12" s="21">
        <f>IF(M$6="","",IF(WEEKDAY(M$6,1)=1,M9*M8,0))</f>
      </c>
      <c r="N12" s="21">
        <f>IF(N$6="","",IF(WEEKDAY(N$6,1)=1,N9*N8,0))</f>
      </c>
      <c r="O12" s="21">
        <f>IF(O$6="","",IF(WEEKDAY(O$6,1)=1,O9*O8,0))</f>
      </c>
      <c r="P12" s="21">
        <f>IF(P$6="","",IF(WEEKDAY(P$6,1)=1,P9*P8,0))</f>
      </c>
      <c r="Q12" s="21">
        <f>IF(Q$6="","",IF(WEEKDAY(Q$6,1)=1,Q9*Q8,0))</f>
      </c>
      <c r="R12" s="21">
        <f>IF(R$6="","",IF(WEEKDAY(R$6,1)=1,R9*R8,0))</f>
      </c>
      <c r="CX12" s="8" t="s">
        <v>62</v>
      </c>
    </row>
    <row r="13" spans="2:102" x14ac:dyDescent="0.25">
      <c r="B13" s="21">
        <f>SUM(L13:R13)</f>
      </c>
      <c r="D13" s="29">
        <f>B13*E13</f>
      </c>
      <c r="E13" s="29">
        <v>130</v>
      </c>
      <c r="F13" s="8" t="s">
        <v>60</v>
      </c>
      <c r="L13" s="19">
        <v>1</v>
      </c>
      <c r="M13" s="19">
        <v>1</v>
      </c>
      <c r="N13" s="19">
        <v>1</v>
      </c>
      <c r="O13" s="19">
        <v>1</v>
      </c>
      <c r="P13" s="19">
        <v>1</v>
      </c>
      <c r="Q13" s="19">
        <v>1</v>
      </c>
      <c r="R13" s="19">
        <v>1</v>
      </c>
      <c r="CX13" s="8" t="s">
        <v>62</v>
      </c>
    </row>
    <row r="14" spans="1:11" x14ac:dyDescent="0.25">
      <c r="A14" s="14" t="s">
        <v>45</v>
      </c>
      <c r="B14" s="15">
        <f>SUM(B7)</f>
      </c>
      <c r="D14" s="18">
        <f>SUM(D13)</f>
      </c>
      <c r="G14" s="15">
        <f>SUM(G7)</f>
      </c>
      <c r="H14" s="15">
        <f>SUM(H7)</f>
      </c>
      <c r="I14" s="15">
        <f>SUM(I7)</f>
      </c>
      <c r="J14" s="15">
        <f>SUM(J7)</f>
      </c>
      <c r="K14" s="18">
        <f>SUM(K7)</f>
      </c>
    </row>
  </sheetData>
  <mergeCells count="2">
    <mergeCell ref="A1:R1"/>
    <mergeCell ref="A3:R3"/>
  </mergeCells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Foremen &amp;R Confidential</oddHeader>
    <oddFooter>&amp;L Produced by Hit Squad Project Controls &amp;C &amp;D &amp;R Page &amp;P of &amp;N</oddFooter>
    <evenHeader>&amp;L&amp;B HIT SQUAD / PROJECT CONTROLS &amp;C Foremen &amp;R Confidential</evenHeader>
    <evenFooter>&amp;L Produced by Hit Squad Project Controls &amp;C &amp;D &amp;R Page &amp;P of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A96"/>
  </sheetPr>
  <dimension ref="A1:CX14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6" customWidth="1"/>
    <col min="4" max="5" width="14" customWidth="1"/>
    <col min="6" max="10" width="12" customWidth="1"/>
    <col min="11" max="11" width="14" customWidth="1"/>
    <col min="12" max="18" width="7" customWidth="1"/>
    <col min="102" max="102" width="3" hidden="1" customWidth="1"/>
  </cols>
  <sheetData>
    <row r="1" ht="22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" x14ac:dyDescent="0.25">
      <c r="A2" s="2" t="s">
        <v>1</v>
      </c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46269.71300207176</v>
      </c>
    </row>
    <row r="6" ht="20" customHeight="1" spans="1:18" x14ac:dyDescent="0.25">
      <c r="A6" s="7" t="s">
        <v>27</v>
      </c>
      <c r="B6" s="7" t="s">
        <v>46</v>
      </c>
      <c r="C6" s="7" t="s">
        <v>24</v>
      </c>
      <c r="D6" s="7" t="s">
        <v>47</v>
      </c>
      <c r="E6" s="7" t="s">
        <v>48</v>
      </c>
      <c r="F6" s="7" t="s">
        <v>49</v>
      </c>
      <c r="G6" s="7" t="s">
        <v>40</v>
      </c>
      <c r="H6" s="7" t="s">
        <v>41</v>
      </c>
      <c r="I6" s="7" t="s">
        <v>42</v>
      </c>
      <c r="J6" s="7" t="s">
        <v>50</v>
      </c>
      <c r="K6" s="7" t="s">
        <v>12</v>
      </c>
      <c r="L6" s="22">
        <v>46266</v>
      </c>
      <c r="M6" s="22">
        <f>L6+1</f>
      </c>
      <c r="N6" s="22">
        <f>M6+1</f>
      </c>
      <c r="O6" s="22">
        <f>N6+1</f>
      </c>
      <c r="P6" s="22">
        <f>O6+1</f>
      </c>
      <c r="Q6" s="22">
        <f>P6+1</f>
      </c>
      <c r="R6" s="22">
        <f>Q6+1</f>
      </c>
    </row>
    <row r="7" spans="1:102" x14ac:dyDescent="0.25">
      <c r="A7" s="23" t="s">
        <v>51</v>
      </c>
      <c r="B7" s="24">
        <f>G7+H7+I7</f>
      </c>
      <c r="C7" s="23" t="s">
        <v>63</v>
      </c>
      <c r="D7" s="25">
        <f>K7</f>
      </c>
      <c r="F7" s="23" t="s">
        <v>52</v>
      </c>
      <c r="G7" s="24">
        <f>B10</f>
      </c>
      <c r="H7" s="24">
        <f>B11</f>
      </c>
      <c r="I7" s="24">
        <f>B12</f>
      </c>
      <c r="J7" s="24">
        <f>B13</f>
      </c>
      <c r="K7" s="25">
        <f>D10+D11+D12</f>
      </c>
      <c r="CX7" s="23" t="s">
        <v>64</v>
      </c>
    </row>
    <row r="8" spans="6:102" x14ac:dyDescent="0.25">
      <c r="F8" s="26" t="s">
        <v>54</v>
      </c>
      <c r="L8" s="27">
        <v>1</v>
      </c>
      <c r="M8" s="27">
        <v>1</v>
      </c>
      <c r="N8" s="27">
        <v>1</v>
      </c>
      <c r="O8" s="27">
        <v>1</v>
      </c>
      <c r="P8" s="27">
        <v>1</v>
      </c>
      <c r="Q8" s="27">
        <v>1</v>
      </c>
      <c r="R8" s="27">
        <v>1</v>
      </c>
      <c r="CX8" s="26" t="s">
        <v>64</v>
      </c>
    </row>
    <row r="9" spans="1:102" x14ac:dyDescent="0.25">
      <c r="A9" s="26" t="s">
        <v>55</v>
      </c>
      <c r="F9" s="26" t="s">
        <v>56</v>
      </c>
      <c r="L9" s="28">
        <v>10</v>
      </c>
      <c r="M9" s="28">
        <v>10</v>
      </c>
      <c r="N9" s="28">
        <v>10</v>
      </c>
      <c r="O9" s="28">
        <v>10</v>
      </c>
      <c r="P9" s="28">
        <v>10</v>
      </c>
      <c r="Q9" s="28">
        <v>10</v>
      </c>
      <c r="R9" s="28">
        <v>10</v>
      </c>
      <c r="CX9" s="26" t="s">
        <v>64</v>
      </c>
    </row>
    <row r="10" spans="2:102" x14ac:dyDescent="0.25">
      <c r="B10" s="21">
        <f>SUM(L10:R10)</f>
      </c>
      <c r="D10" s="29">
        <f>B10*E10</f>
      </c>
      <c r="E10" s="29">
        <f>'Rate Tables'!C10</f>
      </c>
      <c r="F10" s="8" t="s">
        <v>57</v>
      </c>
      <c r="L10" s="21">
        <f>IF(L$6="","",IF(OR(WEEKDAY(L$6,1)=1,WEEKDAY(L$6,1)=7),0,MIN(8,L9)*L8))</f>
      </c>
      <c r="M10" s="21">
        <f>IF(M$6="","",IF(OR(WEEKDAY(M$6,1)=1,WEEKDAY(M$6,1)=7),0,MIN(8,M9)*M8))</f>
      </c>
      <c r="N10" s="21">
        <f>IF(N$6="","",IF(OR(WEEKDAY(N$6,1)=1,WEEKDAY(N$6,1)=7),0,MIN(8,N9)*N8))</f>
      </c>
      <c r="O10" s="21">
        <f>IF(O$6="","",IF(OR(WEEKDAY(O$6,1)=1,WEEKDAY(O$6,1)=7),0,MIN(8,O9)*O8))</f>
      </c>
      <c r="P10" s="21">
        <f>IF(P$6="","",IF(OR(WEEKDAY(P$6,1)=1,WEEKDAY(P$6,1)=7),0,MIN(8,P9)*P8))</f>
      </c>
      <c r="Q10" s="21">
        <f>IF(Q$6="","",IF(OR(WEEKDAY(Q$6,1)=1,WEEKDAY(Q$6,1)=7),0,MIN(8,Q9)*Q8))</f>
      </c>
      <c r="R10" s="21">
        <f>IF(R$6="","",IF(OR(WEEKDAY(R$6,1)=1,WEEKDAY(R$6,1)=7),0,MIN(8,R9)*R8))</f>
      </c>
      <c r="CX10" s="8" t="s">
        <v>64</v>
      </c>
    </row>
    <row r="11" spans="2:102" x14ac:dyDescent="0.25">
      <c r="B11" s="21">
        <f>SUM(L11:R11)</f>
      </c>
      <c r="D11" s="29">
        <f>B11*E11</f>
      </c>
      <c r="E11" s="29">
        <f>'Rate Tables'!D10</f>
      </c>
      <c r="F11" s="8" t="s">
        <v>58</v>
      </c>
      <c r="L11" s="21">
        <f>IF(L$6="","",IF(WEEKDAY(L$6,1)=1,0,IF(WEEKDAY(L$6,1)=7,L9*L8,MAX(0,L9-8)*L8)))</f>
      </c>
      <c r="M11" s="21">
        <f>IF(M$6="","",IF(WEEKDAY(M$6,1)=1,0,IF(WEEKDAY(M$6,1)=7,M9*M8,MAX(0,M9-8)*M8)))</f>
      </c>
      <c r="N11" s="21">
        <f>IF(N$6="","",IF(WEEKDAY(N$6,1)=1,0,IF(WEEKDAY(N$6,1)=7,N9*N8,MAX(0,N9-8)*N8)))</f>
      </c>
      <c r="O11" s="21">
        <f>IF(O$6="","",IF(WEEKDAY(O$6,1)=1,0,IF(WEEKDAY(O$6,1)=7,O9*O8,MAX(0,O9-8)*O8)))</f>
      </c>
      <c r="P11" s="21">
        <f>IF(P$6="","",IF(WEEKDAY(P$6,1)=1,0,IF(WEEKDAY(P$6,1)=7,P9*P8,MAX(0,P9-8)*P8)))</f>
      </c>
      <c r="Q11" s="21">
        <f>IF(Q$6="","",IF(WEEKDAY(Q$6,1)=1,0,IF(WEEKDAY(Q$6,1)=7,Q9*Q8,MAX(0,Q9-8)*Q8)))</f>
      </c>
      <c r="R11" s="21">
        <f>IF(R$6="","",IF(WEEKDAY(R$6,1)=1,0,IF(WEEKDAY(R$6,1)=7,R9*R8,MAX(0,R9-8)*R8)))</f>
      </c>
      <c r="CX11" s="8" t="s">
        <v>64</v>
      </c>
    </row>
    <row r="12" spans="2:102" x14ac:dyDescent="0.25">
      <c r="B12" s="21">
        <f>SUM(L12:R12)</f>
      </c>
      <c r="D12" s="29">
        <f>B12*E12</f>
      </c>
      <c r="E12" s="29">
        <f>'Rate Tables'!E10</f>
      </c>
      <c r="F12" s="8" t="s">
        <v>59</v>
      </c>
      <c r="L12" s="21">
        <f>IF(L$6="","",IF(WEEKDAY(L$6,1)=1,L9*L8,0))</f>
      </c>
      <c r="M12" s="21">
        <f>IF(M$6="","",IF(WEEKDAY(M$6,1)=1,M9*M8,0))</f>
      </c>
      <c r="N12" s="21">
        <f>IF(N$6="","",IF(WEEKDAY(N$6,1)=1,N9*N8,0))</f>
      </c>
      <c r="O12" s="21">
        <f>IF(O$6="","",IF(WEEKDAY(O$6,1)=1,O9*O8,0))</f>
      </c>
      <c r="P12" s="21">
        <f>IF(P$6="","",IF(WEEKDAY(P$6,1)=1,P9*P8,0))</f>
      </c>
      <c r="Q12" s="21">
        <f>IF(Q$6="","",IF(WEEKDAY(Q$6,1)=1,Q9*Q8,0))</f>
      </c>
      <c r="R12" s="21">
        <f>IF(R$6="","",IF(WEEKDAY(R$6,1)=1,R9*R8,0))</f>
      </c>
      <c r="CX12" s="8" t="s">
        <v>64</v>
      </c>
    </row>
    <row r="13" spans="2:102" x14ac:dyDescent="0.25">
      <c r="B13" s="21">
        <f>SUM(L13:R13)</f>
      </c>
      <c r="D13" s="29">
        <f>B13*E13</f>
      </c>
      <c r="E13" s="29">
        <v>130</v>
      </c>
      <c r="F13" s="8" t="s">
        <v>60</v>
      </c>
      <c r="L13" s="19">
        <v>1</v>
      </c>
      <c r="M13" s="19">
        <v>1</v>
      </c>
      <c r="N13" s="19">
        <v>1</v>
      </c>
      <c r="O13" s="19">
        <v>1</v>
      </c>
      <c r="P13" s="19">
        <v>1</v>
      </c>
      <c r="Q13" s="19">
        <v>1</v>
      </c>
      <c r="R13" s="19">
        <v>1</v>
      </c>
      <c r="CX13" s="8" t="s">
        <v>64</v>
      </c>
    </row>
    <row r="14" spans="1:11" x14ac:dyDescent="0.25">
      <c r="A14" s="14" t="s">
        <v>45</v>
      </c>
      <c r="B14" s="15">
        <f>SUM(B7)</f>
      </c>
      <c r="D14" s="18">
        <f>SUM(D13)</f>
      </c>
      <c r="G14" s="15">
        <f>SUM(G7)</f>
      </c>
      <c r="H14" s="15">
        <f>SUM(H7)</f>
      </c>
      <c r="I14" s="15">
        <f>SUM(I7)</f>
      </c>
      <c r="J14" s="15">
        <f>SUM(J7)</f>
      </c>
      <c r="K14" s="18">
        <f>SUM(K7)</f>
      </c>
    </row>
  </sheetData>
  <mergeCells count="2">
    <mergeCell ref="A1:R1"/>
    <mergeCell ref="A3:R3"/>
  </mergeCells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Direct &amp;R Confidential</oddHeader>
    <oddFooter>&amp;L Produced by Hit Squad Project Controls &amp;C &amp;D &amp;R Page &amp;P of &amp;N</oddFooter>
    <evenHeader>&amp;L&amp;B HIT SQUAD / PROJECT CONTROLS &amp;C Direct &amp;R Confidential</evenHeader>
    <evenFooter>&amp;L Produced by Hit Squad Project Controls &amp;C &amp;D &amp;R Page &amp;P of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A96"/>
  </sheetPr>
  <dimension ref="A1:CX14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6" customWidth="1"/>
    <col min="4" max="5" width="14" customWidth="1"/>
    <col min="6" max="10" width="12" customWidth="1"/>
    <col min="11" max="11" width="14" customWidth="1"/>
    <col min="12" max="18" width="7" customWidth="1"/>
    <col min="102" max="102" width="3" hidden="1" customWidth="1"/>
  </cols>
  <sheetData>
    <row r="1" ht="22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" x14ac:dyDescent="0.25">
      <c r="A2" s="2" t="s">
        <v>1</v>
      </c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46269.71300207176</v>
      </c>
    </row>
    <row r="6" ht="20" customHeight="1" spans="1:18" x14ac:dyDescent="0.25">
      <c r="A6" s="7" t="s">
        <v>27</v>
      </c>
      <c r="B6" s="7" t="s">
        <v>46</v>
      </c>
      <c r="C6" s="7" t="s">
        <v>24</v>
      </c>
      <c r="D6" s="7" t="s">
        <v>47</v>
      </c>
      <c r="E6" s="7" t="s">
        <v>48</v>
      </c>
      <c r="F6" s="7" t="s">
        <v>49</v>
      </c>
      <c r="G6" s="7" t="s">
        <v>40</v>
      </c>
      <c r="H6" s="7" t="s">
        <v>41</v>
      </c>
      <c r="I6" s="7" t="s">
        <v>42</v>
      </c>
      <c r="J6" s="7" t="s">
        <v>50</v>
      </c>
      <c r="K6" s="7" t="s">
        <v>12</v>
      </c>
      <c r="L6" s="22">
        <v>46266</v>
      </c>
      <c r="M6" s="22">
        <f>L6+1</f>
      </c>
      <c r="N6" s="22">
        <f>M6+1</f>
      </c>
      <c r="O6" s="22">
        <f>N6+1</f>
      </c>
      <c r="P6" s="22">
        <f>O6+1</f>
      </c>
      <c r="Q6" s="22">
        <f>P6+1</f>
      </c>
      <c r="R6" s="22">
        <f>Q6+1</f>
      </c>
    </row>
    <row r="7" spans="1:102" x14ac:dyDescent="0.25">
      <c r="A7" s="23" t="s">
        <v>51</v>
      </c>
      <c r="B7" s="24">
        <f>G7+H7+I7</f>
      </c>
      <c r="C7" s="23" t="s">
        <v>65</v>
      </c>
      <c r="D7" s="25">
        <f>K7</f>
      </c>
      <c r="F7" s="23" t="s">
        <v>52</v>
      </c>
      <c r="G7" s="24">
        <f>B10</f>
      </c>
      <c r="H7" s="24">
        <f>B11</f>
      </c>
      <c r="I7" s="24">
        <f>B12</f>
      </c>
      <c r="J7" s="24">
        <f>B13</f>
      </c>
      <c r="K7" s="25">
        <f>D10+D11+D12</f>
      </c>
      <c r="CX7" s="23" t="s">
        <v>66</v>
      </c>
    </row>
    <row r="8" spans="6:102" x14ac:dyDescent="0.25">
      <c r="F8" s="26" t="s">
        <v>54</v>
      </c>
      <c r="L8" s="27">
        <v>1</v>
      </c>
      <c r="M8" s="27">
        <v>1</v>
      </c>
      <c r="N8" s="27">
        <v>1</v>
      </c>
      <c r="O8" s="27">
        <v>1</v>
      </c>
      <c r="P8" s="27">
        <v>1</v>
      </c>
      <c r="Q8" s="27">
        <v>1</v>
      </c>
      <c r="R8" s="27">
        <v>1</v>
      </c>
      <c r="CX8" s="26" t="s">
        <v>66</v>
      </c>
    </row>
    <row r="9" spans="1:102" x14ac:dyDescent="0.25">
      <c r="A9" s="26" t="s">
        <v>55</v>
      </c>
      <c r="F9" s="26" t="s">
        <v>56</v>
      </c>
      <c r="L9" s="28">
        <v>10</v>
      </c>
      <c r="M9" s="28">
        <v>10</v>
      </c>
      <c r="N9" s="28">
        <v>10</v>
      </c>
      <c r="O9" s="28">
        <v>10</v>
      </c>
      <c r="P9" s="28">
        <v>10</v>
      </c>
      <c r="Q9" s="28">
        <v>10</v>
      </c>
      <c r="R9" s="28">
        <v>10</v>
      </c>
      <c r="CX9" s="26" t="s">
        <v>66</v>
      </c>
    </row>
    <row r="10" spans="2:102" x14ac:dyDescent="0.25">
      <c r="B10" s="21">
        <f>SUM(L10:R10)</f>
      </c>
      <c r="D10" s="29">
        <f>B10*E10</f>
      </c>
      <c r="E10" s="29">
        <f>'Rate Tables'!C10</f>
      </c>
      <c r="F10" s="8" t="s">
        <v>57</v>
      </c>
      <c r="L10" s="21">
        <f>IF(L$6="","",IF(OR(WEEKDAY(L$6,1)=1,WEEKDAY(L$6,1)=7),0,MIN(8,L9)*L8))</f>
      </c>
      <c r="M10" s="21">
        <f>IF(M$6="","",IF(OR(WEEKDAY(M$6,1)=1,WEEKDAY(M$6,1)=7),0,MIN(8,M9)*M8))</f>
      </c>
      <c r="N10" s="21">
        <f>IF(N$6="","",IF(OR(WEEKDAY(N$6,1)=1,WEEKDAY(N$6,1)=7),0,MIN(8,N9)*N8))</f>
      </c>
      <c r="O10" s="21">
        <f>IF(O$6="","",IF(OR(WEEKDAY(O$6,1)=1,WEEKDAY(O$6,1)=7),0,MIN(8,O9)*O8))</f>
      </c>
      <c r="P10" s="21">
        <f>IF(P$6="","",IF(OR(WEEKDAY(P$6,1)=1,WEEKDAY(P$6,1)=7),0,MIN(8,P9)*P8))</f>
      </c>
      <c r="Q10" s="21">
        <f>IF(Q$6="","",IF(OR(WEEKDAY(Q$6,1)=1,WEEKDAY(Q$6,1)=7),0,MIN(8,Q9)*Q8))</f>
      </c>
      <c r="R10" s="21">
        <f>IF(R$6="","",IF(OR(WEEKDAY(R$6,1)=1,WEEKDAY(R$6,1)=7),0,MIN(8,R9)*R8))</f>
      </c>
      <c r="CX10" s="8" t="s">
        <v>66</v>
      </c>
    </row>
    <row r="11" spans="2:102" x14ac:dyDescent="0.25">
      <c r="B11" s="21">
        <f>SUM(L11:R11)</f>
      </c>
      <c r="D11" s="29">
        <f>B11*E11</f>
      </c>
      <c r="E11" s="29">
        <f>'Rate Tables'!D10</f>
      </c>
      <c r="F11" s="8" t="s">
        <v>58</v>
      </c>
      <c r="L11" s="21">
        <f>IF(L$6="","",IF(WEEKDAY(L$6,1)=1,0,IF(WEEKDAY(L$6,1)=7,L9*L8,MAX(0,L9-8)*L8)))</f>
      </c>
      <c r="M11" s="21">
        <f>IF(M$6="","",IF(WEEKDAY(M$6,1)=1,0,IF(WEEKDAY(M$6,1)=7,M9*M8,MAX(0,M9-8)*M8)))</f>
      </c>
      <c r="N11" s="21">
        <f>IF(N$6="","",IF(WEEKDAY(N$6,1)=1,0,IF(WEEKDAY(N$6,1)=7,N9*N8,MAX(0,N9-8)*N8)))</f>
      </c>
      <c r="O11" s="21">
        <f>IF(O$6="","",IF(WEEKDAY(O$6,1)=1,0,IF(WEEKDAY(O$6,1)=7,O9*O8,MAX(0,O9-8)*O8)))</f>
      </c>
      <c r="P11" s="21">
        <f>IF(P$6="","",IF(WEEKDAY(P$6,1)=1,0,IF(WEEKDAY(P$6,1)=7,P9*P8,MAX(0,P9-8)*P8)))</f>
      </c>
      <c r="Q11" s="21">
        <f>IF(Q$6="","",IF(WEEKDAY(Q$6,1)=1,0,IF(WEEKDAY(Q$6,1)=7,Q9*Q8,MAX(0,Q9-8)*Q8)))</f>
      </c>
      <c r="R11" s="21">
        <f>IF(R$6="","",IF(WEEKDAY(R$6,1)=1,0,IF(WEEKDAY(R$6,1)=7,R9*R8,MAX(0,R9-8)*R8)))</f>
      </c>
      <c r="CX11" s="8" t="s">
        <v>66</v>
      </c>
    </row>
    <row r="12" spans="2:102" x14ac:dyDescent="0.25">
      <c r="B12" s="21">
        <f>SUM(L12:R12)</f>
      </c>
      <c r="D12" s="29">
        <f>B12*E12</f>
      </c>
      <c r="E12" s="29">
        <f>'Rate Tables'!E10</f>
      </c>
      <c r="F12" s="8" t="s">
        <v>59</v>
      </c>
      <c r="L12" s="21">
        <f>IF(L$6="","",IF(WEEKDAY(L$6,1)=1,L9*L8,0))</f>
      </c>
      <c r="M12" s="21">
        <f>IF(M$6="","",IF(WEEKDAY(M$6,1)=1,M9*M8,0))</f>
      </c>
      <c r="N12" s="21">
        <f>IF(N$6="","",IF(WEEKDAY(N$6,1)=1,N9*N8,0))</f>
      </c>
      <c r="O12" s="21">
        <f>IF(O$6="","",IF(WEEKDAY(O$6,1)=1,O9*O8,0))</f>
      </c>
      <c r="P12" s="21">
        <f>IF(P$6="","",IF(WEEKDAY(P$6,1)=1,P9*P8,0))</f>
      </c>
      <c r="Q12" s="21">
        <f>IF(Q$6="","",IF(WEEKDAY(Q$6,1)=1,Q9*Q8,0))</f>
      </c>
      <c r="R12" s="21">
        <f>IF(R$6="","",IF(WEEKDAY(R$6,1)=1,R9*R8,0))</f>
      </c>
      <c r="CX12" s="8" t="s">
        <v>66</v>
      </c>
    </row>
    <row r="13" spans="2:102" x14ac:dyDescent="0.25">
      <c r="B13" s="21">
        <f>SUM(L13:R13)</f>
      </c>
      <c r="D13" s="29">
        <f>B13*E13</f>
      </c>
      <c r="E13" s="29">
        <v>130</v>
      </c>
      <c r="F13" s="8" t="s">
        <v>60</v>
      </c>
      <c r="L13" s="19">
        <v>1</v>
      </c>
      <c r="M13" s="19">
        <v>1</v>
      </c>
      <c r="N13" s="19">
        <v>1</v>
      </c>
      <c r="O13" s="19">
        <v>1</v>
      </c>
      <c r="P13" s="19">
        <v>1</v>
      </c>
      <c r="Q13" s="19">
        <v>1</v>
      </c>
      <c r="R13" s="19">
        <v>1</v>
      </c>
      <c r="CX13" s="8" t="s">
        <v>66</v>
      </c>
    </row>
    <row r="14" spans="1:11" x14ac:dyDescent="0.25">
      <c r="A14" s="14" t="s">
        <v>45</v>
      </c>
      <c r="B14" s="15">
        <f>SUM(B7)</f>
      </c>
      <c r="D14" s="18">
        <f>SUM(D13)</f>
      </c>
      <c r="G14" s="15">
        <f>SUM(G7)</f>
      </c>
      <c r="H14" s="15">
        <f>SUM(H7)</f>
      </c>
      <c r="I14" s="15">
        <f>SUM(I7)</f>
      </c>
      <c r="J14" s="15">
        <f>SUM(J7)</f>
      </c>
      <c r="K14" s="18">
        <f>SUM(K7)</f>
      </c>
    </row>
  </sheetData>
  <mergeCells count="2">
    <mergeCell ref="A1:R1"/>
    <mergeCell ref="A3:R3"/>
  </mergeCells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Support &amp;R Confidential</oddHeader>
    <oddFooter>&amp;L Produced by Hit Squad Project Controls &amp;C &amp;D &amp;R Page &amp;P of &amp;N</oddFooter>
    <evenHeader>&amp;L&amp;B HIT SQUAD / PROJECT CONTROLS &amp;C Support &amp;R Confidential</evenHeader>
    <evenFooter>&amp;L Produced by Hit Squad Project Controls &amp;C &amp;D &amp;R Page &amp;P of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14"/>
    <pageSetUpPr fitToPage="1"/>
  </sheetPr>
  <dimension ref="A1:H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4" width="12" customWidth="1"/>
    <col min="5" max="8" width="14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x14ac:dyDescent="0.25">
      <c r="A2" s="2" t="s">
        <v>1</v>
      </c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46269.71300208333</v>
      </c>
    </row>
    <row r="6" ht="20" customHeight="1" spans="1:8" x14ac:dyDescent="0.25">
      <c r="A6" s="7" t="s">
        <v>67</v>
      </c>
      <c r="B6" s="7" t="s">
        <v>68</v>
      </c>
      <c r="C6" s="7" t="s">
        <v>69</v>
      </c>
      <c r="D6" s="7" t="s">
        <v>70</v>
      </c>
      <c r="E6" s="7" t="s">
        <v>71</v>
      </c>
      <c r="F6" s="7" t="s">
        <v>72</v>
      </c>
      <c r="G6" s="7" t="s">
        <v>73</v>
      </c>
      <c r="H6" s="7" t="s">
        <v>74</v>
      </c>
    </row>
    <row r="7" spans="1:8" x14ac:dyDescent="0.25">
      <c r="A7" s="8" t="s">
        <v>75</v>
      </c>
      <c r="B7" s="8" t="s">
        <v>76</v>
      </c>
      <c r="C7" s="19">
        <v>1</v>
      </c>
      <c r="D7" s="19">
        <v>7</v>
      </c>
      <c r="E7" s="29">
        <v>134</v>
      </c>
      <c r="F7" s="29">
        <v>0</v>
      </c>
      <c r="G7" s="29">
        <f>C7*D7*E7+F7</f>
      </c>
      <c r="H7" s="29">
        <f>G7*1.06</f>
      </c>
    </row>
    <row r="8" spans="1:8" x14ac:dyDescent="0.25">
      <c r="A8" s="14" t="s">
        <v>45</v>
      </c>
      <c r="G8" s="18">
        <f>SUM(G7:G7)</f>
      </c>
      <c r="H8" s="18">
        <f>SUM(H7:H7)</f>
      </c>
    </row>
  </sheetData>
  <mergeCells count="2">
    <mergeCell ref="A1:H1"/>
    <mergeCell ref="A3:H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Equipment Rental &amp;R Confidential</oddHeader>
    <oddFooter>&amp;L Produced by Hit Squad Project Controls &amp;C &amp;D &amp;R Page &amp;P of &amp;N</oddFooter>
    <evenHeader>&amp;L&amp;B HIT SQUAD / PROJECT CONTROLS &amp;C Equipment Rental &amp;R Confidential</evenHeader>
    <evenFooter>&amp;L Produced by Hit Squad Project Controls &amp;C &amp;D &amp;R Page &amp;P of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14"/>
    <pageSetUpPr fitToPage="1"/>
  </sheetPr>
  <dimension ref="A1:H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4" width="12" customWidth="1"/>
    <col min="5" max="8" width="14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x14ac:dyDescent="0.25">
      <c r="A2" s="2" t="s">
        <v>1</v>
      </c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46269.71300208333</v>
      </c>
    </row>
    <row r="6" ht="20" customHeight="1" spans="1:8" x14ac:dyDescent="0.25">
      <c r="A6" s="7" t="s">
        <v>67</v>
      </c>
      <c r="B6" s="7" t="s">
        <v>68</v>
      </c>
      <c r="C6" s="7" t="s">
        <v>69</v>
      </c>
      <c r="D6" s="7" t="s">
        <v>70</v>
      </c>
      <c r="E6" s="7" t="s">
        <v>71</v>
      </c>
      <c r="F6" s="7" t="s">
        <v>72</v>
      </c>
      <c r="G6" s="7" t="s">
        <v>73</v>
      </c>
      <c r="H6" s="7" t="s">
        <v>74</v>
      </c>
    </row>
    <row r="7" spans="1:8" x14ac:dyDescent="0.25">
      <c r="A7" s="8" t="s">
        <v>77</v>
      </c>
      <c r="B7" s="8" t="s">
        <v>76</v>
      </c>
      <c r="C7" s="19">
        <v>1</v>
      </c>
      <c r="D7" s="19">
        <v>7</v>
      </c>
      <c r="E7" s="29">
        <v>80</v>
      </c>
      <c r="F7" s="29">
        <v>0</v>
      </c>
      <c r="G7" s="29">
        <f>C7*D7*E7+F7</f>
      </c>
      <c r="H7" s="29">
        <f>G7*1.06</f>
      </c>
    </row>
    <row r="8" spans="1:8" x14ac:dyDescent="0.25">
      <c r="A8" s="14" t="s">
        <v>45</v>
      </c>
      <c r="G8" s="18">
        <f>SUM(G7:G7)</f>
      </c>
      <c r="H8" s="18">
        <f>SUM(H7:H7)</f>
      </c>
    </row>
  </sheetData>
  <mergeCells count="2">
    <mergeCell ref="A1:H1"/>
    <mergeCell ref="A3:H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Tensioning Torquing equi &amp;R Confidential</oddHeader>
    <oddFooter>&amp;L Produced by Hit Squad Project Controls &amp;C &amp;D &amp;R Page &amp;P of &amp;N</oddFooter>
    <evenHeader>&amp;L&amp;B HIT SQUAD / PROJECT CONTROLS &amp;C Tensioning Torquing equi &amp;R Confidential</evenHeader>
    <evenFooter>&amp;L Produced by Hit Squad Project Controls &amp;C &amp;D &amp;R Page &amp;P of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14"/>
    <pageSetUpPr fitToPage="1"/>
  </sheetPr>
  <dimension ref="A1:H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4" width="12" customWidth="1"/>
    <col min="5" max="8" width="14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x14ac:dyDescent="0.25">
      <c r="A2" s="2" t="s">
        <v>1</v>
      </c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46269.71300208333</v>
      </c>
    </row>
    <row r="6" ht="20" customHeight="1" spans="1:8" x14ac:dyDescent="0.25">
      <c r="A6" s="7" t="s">
        <v>67</v>
      </c>
      <c r="B6" s="7" t="s">
        <v>68</v>
      </c>
      <c r="C6" s="7" t="s">
        <v>69</v>
      </c>
      <c r="D6" s="7" t="s">
        <v>70</v>
      </c>
      <c r="E6" s="7" t="s">
        <v>71</v>
      </c>
      <c r="F6" s="7" t="s">
        <v>72</v>
      </c>
      <c r="G6" s="7" t="s">
        <v>73</v>
      </c>
      <c r="H6" s="7" t="s">
        <v>74</v>
      </c>
    </row>
    <row r="7" spans="1:8" x14ac:dyDescent="0.25">
      <c r="A7" s="8" t="s">
        <v>78</v>
      </c>
      <c r="B7" s="8" t="s">
        <v>76</v>
      </c>
      <c r="C7" s="19">
        <v>1</v>
      </c>
      <c r="D7" s="19">
        <v>7</v>
      </c>
      <c r="E7" s="29">
        <v>400</v>
      </c>
      <c r="F7" s="29">
        <v>0</v>
      </c>
      <c r="G7" s="29">
        <f>C7*D7*E7+F7</f>
      </c>
      <c r="H7" s="29">
        <f>G7*1.06</f>
      </c>
    </row>
    <row r="8" spans="1:8" x14ac:dyDescent="0.25">
      <c r="A8" s="14" t="s">
        <v>45</v>
      </c>
      <c r="G8" s="18">
        <f>SUM(G7:G7)</f>
      </c>
      <c r="H8" s="18">
        <f>SUM(H7:H7)</f>
      </c>
    </row>
  </sheetData>
  <mergeCells count="2">
    <mergeCell ref="A1:H1"/>
    <mergeCell ref="A3:H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Crane Rental &amp;R Confidential</oddHeader>
    <oddFooter>&amp;L Produced by Hit Squad Project Controls &amp;C &amp;D &amp;R Page &amp;P of &amp;N</oddFooter>
    <evenHeader>&amp;L&amp;B HIT SQUAD / PROJECT CONTROLS &amp;C Crane Rental &amp;R Confidential</evenHeader>
    <evenFooter>&amp;L Produced by Hit Squad Project Controls &amp;C &amp;D &amp;R Page &amp;P of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  <pageSetUpPr fitToPage="1"/>
  </sheetPr>
  <dimension ref="A1:H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2" width="30" customWidth="1"/>
    <col min="3" max="3" width="12" customWidth="1"/>
    <col min="4" max="4" width="14" customWidth="1"/>
    <col min="5" max="5" width="12" customWidth="1"/>
    <col min="6" max="8" width="14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x14ac:dyDescent="0.25">
      <c r="A2" s="2" t="s">
        <v>1</v>
      </c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46269.71300210648</v>
      </c>
    </row>
    <row r="6" ht="20" customHeight="1" spans="1:8" x14ac:dyDescent="0.25">
      <c r="A6" s="7" t="s">
        <v>79</v>
      </c>
      <c r="B6" s="7" t="s">
        <v>80</v>
      </c>
      <c r="C6" s="7" t="s">
        <v>69</v>
      </c>
      <c r="D6" s="7" t="s">
        <v>71</v>
      </c>
      <c r="E6" s="7" t="s">
        <v>81</v>
      </c>
      <c r="F6" s="7" t="s">
        <v>73</v>
      </c>
      <c r="G6" s="7" t="s">
        <v>82</v>
      </c>
      <c r="H6" s="7" t="s">
        <v>74</v>
      </c>
    </row>
    <row r="7" spans="1:8" x14ac:dyDescent="0.25">
      <c r="A7" s="8" t="s">
        <v>83</v>
      </c>
      <c r="B7" s="8" t="s">
        <v>84</v>
      </c>
      <c r="C7" s="19">
        <v>1</v>
      </c>
      <c r="D7" s="29">
        <v>500</v>
      </c>
      <c r="E7" s="8" t="s">
        <v>85</v>
      </c>
      <c r="F7" s="29">
        <f>C7*D7</f>
      </c>
      <c r="G7" s="29">
        <f>F7*0.065</f>
      </c>
      <c r="H7" s="29">
        <f>F7+G7</f>
      </c>
    </row>
    <row r="8" spans="1:8" x14ac:dyDescent="0.25">
      <c r="A8" s="14" t="s">
        <v>23</v>
      </c>
      <c r="F8" s="18">
        <f>SUM(F7:F7)</f>
      </c>
      <c r="G8" s="18">
        <f>SUM(G7:G7)</f>
      </c>
      <c r="H8" s="18">
        <f>SUM(H7:H7)</f>
      </c>
    </row>
  </sheetData>
  <mergeCells count="2">
    <mergeCell ref="A1:H1"/>
    <mergeCell ref="A3:H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OM Crane Subcontractor &amp;R Confidential</oddHeader>
    <oddFooter>&amp;L Produced by Hit Squad Project Controls &amp;C &amp;D &amp;R Page &amp;P of &amp;N</oddFooter>
    <evenHeader>&amp;L&amp;B HIT SQUAD / PROJECT CONTROLS &amp;C OM Crane Subcontractor &amp;R Confidential</evenHeader>
    <evenFooter>&amp;L Produced by Hit Squad Project Controls &amp;C &amp;D &amp;R Page &amp;P of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214"/>
    <pageSetUpPr fitToPage="1"/>
  </sheetPr>
  <dimension ref="A1:G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4" width="12" customWidth="1"/>
    <col min="5" max="7" width="14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46269.71300209491</v>
      </c>
    </row>
    <row r="6" ht="20" customHeight="1" spans="1:7" x14ac:dyDescent="0.25">
      <c r="A6" s="7" t="s">
        <v>67</v>
      </c>
      <c r="B6" s="7" t="s">
        <v>68</v>
      </c>
      <c r="C6" s="7" t="s">
        <v>69</v>
      </c>
      <c r="D6" s="7" t="s">
        <v>70</v>
      </c>
      <c r="E6" s="7" t="s">
        <v>71</v>
      </c>
      <c r="F6" s="7" t="s">
        <v>72</v>
      </c>
      <c r="G6" s="7" t="s">
        <v>74</v>
      </c>
    </row>
    <row r="7" spans="1:7" x14ac:dyDescent="0.25">
      <c r="A7" s="8" t="s">
        <v>86</v>
      </c>
      <c r="B7" s="8" t="s">
        <v>76</v>
      </c>
      <c r="C7" s="19">
        <v>1</v>
      </c>
      <c r="D7" s="19">
        <v>7</v>
      </c>
      <c r="E7" s="29">
        <v>32</v>
      </c>
      <c r="F7" s="29">
        <v>0</v>
      </c>
      <c r="G7" s="29">
        <f>C7*D7*E7+F7</f>
      </c>
    </row>
    <row r="8" spans="1:7" x14ac:dyDescent="0.25">
      <c r="A8" s="14" t="s">
        <v>45</v>
      </c>
      <c r="G8" s="18">
        <f>SUM(G7:G7)</f>
      </c>
    </row>
  </sheetData>
  <mergeCells count="2">
    <mergeCell ref="A1:G1"/>
    <mergeCell ref="A3:G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COE &amp;R Confidential</oddHeader>
    <oddFooter>&amp;L Produced by Hit Squad Project Controls &amp;C &amp;D &amp;R Page &amp;P of &amp;N</oddFooter>
    <evenHeader>&amp;L&amp;B HIT SQUAD / PROJECT CONTROLS &amp;C COE &amp;R Confidential</evenHeader>
    <evenFooter>&amp;L Produced by Hit Squad Project Controls &amp;C &amp;D &amp;R Page &amp;P of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  <pageSetUpPr fitToPage="1"/>
  </sheetPr>
  <dimension ref="A1:E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3" width="12" customWidth="1"/>
    <col min="4" max="5" width="14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spans="1:1" x14ac:dyDescent="0.25">
      <c r="A2" s="2" t="s">
        <v>1</v>
      </c>
    </row>
    <row r="3" spans="1:5" x14ac:dyDescent="0.25">
      <c r="A3" s="3" t="s">
        <v>2</v>
      </c>
      <c r="B3" s="3"/>
      <c r="C3" s="3"/>
      <c r="D3" s="3"/>
      <c r="E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46269.71300210648</v>
      </c>
    </row>
    <row r="6" ht="20" customHeight="1" spans="1:5" x14ac:dyDescent="0.25">
      <c r="A6" s="7" t="s">
        <v>87</v>
      </c>
      <c r="B6" s="7" t="s">
        <v>88</v>
      </c>
      <c r="C6" s="7" t="s">
        <v>89</v>
      </c>
      <c r="D6" s="7" t="s">
        <v>90</v>
      </c>
      <c r="E6" s="7" t="s">
        <v>74</v>
      </c>
    </row>
    <row r="7" spans="1:5" x14ac:dyDescent="0.25">
      <c r="A7" s="8" t="s">
        <v>91</v>
      </c>
      <c r="B7" s="19">
        <v>1</v>
      </c>
      <c r="C7" s="19">
        <v>40</v>
      </c>
      <c r="D7" s="29">
        <v>0.7</v>
      </c>
      <c r="E7" s="29">
        <f>B7*C7*D7</f>
      </c>
    </row>
    <row r="8" spans="1:5" x14ac:dyDescent="0.25">
      <c r="A8" s="14" t="s">
        <v>45</v>
      </c>
      <c r="E8" s="18">
        <f>SUM(E7:E7)</f>
      </c>
    </row>
  </sheetData>
  <mergeCells count="2">
    <mergeCell ref="A1:E1"/>
    <mergeCell ref="A3:E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Staff Travel Cost &amp;R Confidential</oddHeader>
    <oddFooter>&amp;L Produced by Hit Squad Project Controls &amp;C &amp;D &amp;R Page &amp;P of &amp;N</oddFooter>
    <evenHeader>&amp;L&amp;B HIT SQUAD / PROJECT CONTROLS &amp;C Staff Travel Cost &amp;R Confidential</evenHeader>
    <evenFooter>&amp;L Produced by Hit Squad Project Controls &amp;C &amp;D &amp;R Page &amp;P of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  <pageSetUpPr fitToPage="1"/>
  </sheetPr>
  <dimension ref="A1:E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2" width="30" customWidth="1"/>
    <col min="3" max="3" width="12" customWidth="1"/>
    <col min="4" max="5" width="14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spans="1:1" x14ac:dyDescent="0.25">
      <c r="A2" s="2" t="s">
        <v>1</v>
      </c>
    </row>
    <row r="3" spans="1:5" x14ac:dyDescent="0.25">
      <c r="A3" s="3" t="s">
        <v>2</v>
      </c>
      <c r="B3" s="3"/>
      <c r="C3" s="3"/>
      <c r="D3" s="3"/>
      <c r="E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46269.71300210648</v>
      </c>
    </row>
    <row r="6" ht="20" customHeight="1" spans="1:5" x14ac:dyDescent="0.25">
      <c r="A6" s="7" t="s">
        <v>67</v>
      </c>
      <c r="B6" s="7" t="s">
        <v>92</v>
      </c>
      <c r="C6" s="7" t="s">
        <v>69</v>
      </c>
      <c r="D6" s="7" t="s">
        <v>93</v>
      </c>
      <c r="E6" s="7" t="s">
        <v>74</v>
      </c>
    </row>
    <row r="7" spans="1:5" x14ac:dyDescent="0.25">
      <c r="A7" s="8" t="s">
        <v>94</v>
      </c>
      <c r="B7" s="8" t="s">
        <v>95</v>
      </c>
      <c r="C7" s="19">
        <v>1</v>
      </c>
      <c r="D7" s="29">
        <v>25</v>
      </c>
      <c r="E7" s="29">
        <f>C7*D7</f>
      </c>
    </row>
    <row r="8" spans="1:5" x14ac:dyDescent="0.25">
      <c r="A8" s="14" t="s">
        <v>45</v>
      </c>
      <c r="E8" s="18">
        <f>SUM(E7:E7)</f>
      </c>
    </row>
  </sheetData>
  <mergeCells count="2">
    <mergeCell ref="A1:E1"/>
    <mergeCell ref="A3:E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Misc Costs &amp;R Confidential</oddHeader>
    <oddFooter>&amp;L Produced by Hit Squad Project Controls &amp;C &amp;D &amp;R Page &amp;P of &amp;N</oddFooter>
    <evenHeader>&amp;L&amp;B HIT SQUAD / PROJECT CONTROLS &amp;C Misc Costs &amp;R Confidential</evenHeader>
    <evenFooter>&amp;L Produced by Hit Squad Project Controls &amp;C &amp;D &amp;R Page &amp;P of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3D44"/>
    <pageSetUpPr fitToPage="1"/>
  </sheetPr>
  <dimension ref="A1:F10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1" x14ac:dyDescent="0.25">
      <c r="A2" s="2" t="s">
        <v>1</v>
      </c>
    </row>
    <row r="3" spans="1:6" x14ac:dyDescent="0.25">
      <c r="A3" s="3" t="s">
        <v>2</v>
      </c>
      <c r="B3" s="3"/>
      <c r="C3" s="3"/>
      <c r="D3" s="3"/>
      <c r="E3" s="3"/>
      <c r="F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46269.71300206018</v>
      </c>
    </row>
    <row r="6" ht="20" customHeight="1" spans="1:6" x14ac:dyDescent="0.25">
      <c r="A6" s="7" t="s">
        <v>96</v>
      </c>
      <c r="B6" s="7" t="s">
        <v>97</v>
      </c>
      <c r="C6" s="7" t="s">
        <v>98</v>
      </c>
      <c r="D6" s="7" t="s">
        <v>99</v>
      </c>
      <c r="E6" s="7" t="s">
        <v>100</v>
      </c>
      <c r="F6" s="7" t="s">
        <v>101</v>
      </c>
    </row>
    <row r="7" spans="1:6" x14ac:dyDescent="0.25">
      <c r="A7" s="8" t="s">
        <v>30</v>
      </c>
      <c r="B7" s="29">
        <v>52.5</v>
      </c>
      <c r="C7" s="29">
        <v>91.02</v>
      </c>
      <c r="D7" s="29">
        <v>122.2</v>
      </c>
      <c r="E7" s="29">
        <v>153.39</v>
      </c>
      <c r="F7" s="29">
        <v>140</v>
      </c>
    </row>
    <row r="8" spans="1:6" x14ac:dyDescent="0.25">
      <c r="A8" s="11" t="s">
        <v>34</v>
      </c>
      <c r="B8" s="30">
        <v>58.84</v>
      </c>
      <c r="C8" s="30">
        <v>111.22</v>
      </c>
      <c r="D8" s="30">
        <v>156.31</v>
      </c>
      <c r="E8" s="30">
        <v>201.4</v>
      </c>
      <c r="F8" s="30">
        <v>140</v>
      </c>
    </row>
    <row r="9" spans="1:6" x14ac:dyDescent="0.25">
      <c r="A9" s="8" t="s">
        <v>36</v>
      </c>
      <c r="B9" s="29">
        <v>49.1</v>
      </c>
      <c r="C9" s="29">
        <v>112.62</v>
      </c>
      <c r="D9" s="29">
        <v>159.07</v>
      </c>
      <c r="E9" s="29">
        <v>205.52</v>
      </c>
      <c r="F9" s="29">
        <v>130</v>
      </c>
    </row>
    <row r="10" spans="1:6" x14ac:dyDescent="0.25">
      <c r="A10" s="8" t="s">
        <v>63</v>
      </c>
      <c r="B10" s="29">
        <v>45.6</v>
      </c>
      <c r="C10" s="29">
        <v>108.38</v>
      </c>
      <c r="D10" s="29">
        <v>152.78</v>
      </c>
      <c r="E10" s="29">
        <v>197.19</v>
      </c>
      <c r="F10" s="29">
        <v>130</v>
      </c>
    </row>
  </sheetData>
  <mergeCells count="2">
    <mergeCell ref="A1:F1"/>
    <mergeCell ref="A3:F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Rate Tables &amp;R Confidential</oddHeader>
    <oddFooter>&amp;L Produced by Hit Squad Project Controls &amp;C &amp;D &amp;R Page &amp;P of &amp;N</oddFooter>
    <evenHeader>&amp;L&amp;B HIT SQUAD / PROJECT CONTROLS &amp;C Rate Tables &amp;R Confidential</evenHeader>
    <evenFooter>&amp;L Produced by Hit Squad Project Controls &amp;C &amp;D &amp;R 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 Page</vt:lpstr>
      <vt:lpstr>ORG Chart</vt:lpstr>
      <vt:lpstr>Slicer Hrs</vt:lpstr>
      <vt:lpstr>Staff</vt:lpstr>
      <vt:lpstr>Foremen</vt:lpstr>
      <vt:lpstr>Direct</vt:lpstr>
      <vt:lpstr>Support</vt:lpstr>
      <vt:lpstr>Equipment Rental</vt:lpstr>
      <vt:lpstr>Tensioning Torquing equipment</vt:lpstr>
      <vt:lpstr>Crane Rental</vt:lpstr>
      <vt:lpstr>OM Crane Subcontractor</vt:lpstr>
      <vt:lpstr>COE</vt:lpstr>
      <vt:lpstr>Staff Travel Cost</vt:lpstr>
      <vt:lpstr>Misc Costs</vt:lpstr>
      <vt:lpstr>Rate 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 Squad Project Controls</dc:creator>
  <dc:title/>
  <dc:subject/>
  <dc:description/>
  <cp:keywords/>
  <cp:category/>
  <cp:lastModifiedBy>Hit Squad Project Controls</cp:lastModifiedBy>
  <dcterms:created xsi:type="dcterms:W3CDTF">2026-09-04T17:06:43Z</dcterms:created>
  <dcterms:modified xsi:type="dcterms:W3CDTF">2026-09-04T17:06:43Z</dcterms:modified>
</cp:coreProperties>
</file>