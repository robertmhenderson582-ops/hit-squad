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charts/chart13.xml" ContentType="application/vnd.openxmlformats-officedocument.drawingml.chart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8000" firstSheet="0" activeTab="0"/>
  </bookViews>
  <sheets>
    <sheet sheetId="1" name="Charts" state="visible" r:id="rId4"/>
    <sheet sheetId="2" name="Cover" state="visible" r:id="rId5"/>
    <sheet sheetId="3" name="Total Project PPR" state="visible" r:id="rId6"/>
    <sheet sheetId="4" name="Hrs S-curve" state="visible" r:id="rId7"/>
    <sheet sheetId="5" name="Report log" state="visible" r:id="rId8"/>
    <sheet sheetId="6" name="T3 Export 15" state="visible" r:id="rId9"/>
    <sheet sheetId="7" name="T3 Export 16" state="visible" r:id="rId10"/>
    <sheet sheetId="8" name="_ChartData" state="veryHidden" r:id="rId11"/>
  </sheets>
  <definedNames>
    <definedName name="_xlnm.Print_Area" localSheetId="0">'Charts'!$A1:$X70</definedName>
    <definedName name="_xlnm.Print_Titles" localSheetId="0">'Charts'!$1:$6</definedName>
    <definedName name="_xlnm.Print_Area" localSheetId="1">'Cover'!$A1:$E18</definedName>
    <definedName name="_xlnm.Print_Titles" localSheetId="1">'Cover'!$1:$6</definedName>
    <definedName name="_xlnm.Print_Area" localSheetId="2">'Total Project PPR'!$A1:$T31</definedName>
    <definedName name="_xlnm.Print_Titles" localSheetId="2">'Total Project PPR'!$A:$A,'Total Project PPR'!$7:$9</definedName>
    <definedName name="_xlnm.Print_Area" localSheetId="3">'Hrs S-curve'!$A1:$G28</definedName>
    <definedName name="_xlnm.Print_Titles" localSheetId="3">'Hrs S-curve'!$6:$6</definedName>
    <definedName name="_xlnm.Print_Area" localSheetId="4">'Report log'!$A1:$G8</definedName>
    <definedName name="_xlnm.Print_Titles" localSheetId="4">'Report log'!$6:$6</definedName>
    <definedName name="_xlnm.Print_Area" localSheetId="5">'T3 Export 15'!$A1:$G15</definedName>
    <definedName name="_xlnm.Print_Titles" localSheetId="5">'T3 Export 15'!$6:$6</definedName>
    <definedName name="_xlnm.Print_Area" localSheetId="6">'T3 Export 16'!$A1:$I15</definedName>
    <definedName name="_xlnm.Print_Titles" localSheetId="6">'T3 Export 16'!$6:$6</definedName>
    <definedName name="_xlnm.Print_Area" localSheetId="7">'_ChartData'!$A1:$AD13</definedName>
    <definedName name="_xlnm.Print_Titles" localSheetId="7">'_ChartData'!$6:$6</definedName>
  </definedNames>
  <calcPr calcId="171027" fullCalcOnLoad="1"/>
</workbook>
</file>

<file path=xl/comments3.xml><?xml version="1.0" encoding="utf-8"?>
<comments xmlns="http://schemas.openxmlformats.org/spreadsheetml/2006/main">
  <authors>
    <author>Author</author>
  </authors>
  <commentList>
    <comment ref="A29" authorId="0">
      <text>
        <r>
          <rPr>
            <color rgb="FF102226"/>
            <sz val="9"/>
            <rFont val="Calibri"/>
          </rPr>
          <t>Earned Mhr from 01 DailyReport_TOTAL KPI on Cost report (Summary Phase Grand Total). Physical % = earned / Direct budget hours (hours win if Earned % was also typed). Support earned = Direct % × Support budget hours. Budget from the live Hit Squad estimate pack — not Mike’s Estimate Summary links.</t>
        </r>
      </text>
    </comment>
  </commentList>
</comments>
</file>

<file path=xl/sharedStrings.xml><?xml version="1.0" encoding="utf-8"?>
<sst xmlns="http://schemas.openxmlformats.org/spreadsheetml/2006/main" count="254" uniqueCount="143">
  <si>
    <t>HIT SQUAD / PROJECT CONTROLS</t>
  </si>
  <si>
    <t>Sample Refinery  ·  SAMPLE Boiler Outage PPR  ·  Wood River — Roxana, IL</t>
  </si>
  <si>
    <t>Cost, Progress &amp; Performance Report</t>
  </si>
  <si>
    <t>(1) Total Project PPR  ·  Job SAMPLE-2026-017  ·  2026  ·  Wood River — Roxana, IL</t>
  </si>
  <si>
    <t>Status Date 2026-09-03  ·  Status: In progress  ·  Prepared by: Hit Squad Project Controls</t>
  </si>
  <si>
    <t>SAMPLE — synthetic hours and dollars for Look QA. Not a client actual.</t>
  </si>
  <si>
    <t>Full job cost board — Direct, Indirect, Per diem/travel, Equipment, Rentals, Subs, Materials, hours. PPR field grid follows.</t>
  </si>
  <si>
    <t>Current Forecast $</t>
  </si>
  <si>
    <t>Dollars Expended To Date</t>
  </si>
  <si>
    <t>Physical % Complete</t>
  </si>
  <si>
    <t>Hours To Go</t>
  </si>
  <si>
    <t>Steel = live-pack forecast  ·  Amber = Turnip expended  ·  Every major PPR cost lane has a graph. Dense field grid is on Total Project PPR.</t>
  </si>
  <si>
    <t>board</t>
  </si>
  <si>
    <t>(1) Total Project PPR  ·  Job SAMPLE-2026-017  ·  2026</t>
  </si>
  <si>
    <t>Field</t>
  </si>
  <si>
    <t>Detail</t>
  </si>
  <si>
    <t>PPR snapshot</t>
  </si>
  <si>
    <t>Value</t>
  </si>
  <si>
    <t>Client</t>
  </si>
  <si>
    <t>Sample Refinery</t>
  </si>
  <si>
    <t>Job</t>
  </si>
  <si>
    <t>SAMPLE Boiler Outage PPR</t>
  </si>
  <si>
    <t>Site</t>
  </si>
  <si>
    <t>Wood River — Roxana, IL</t>
  </si>
  <si>
    <t>Workhours Budget</t>
  </si>
  <si>
    <t>Job #</t>
  </si>
  <si>
    <t>SAMPLE-2026-017</t>
  </si>
  <si>
    <t>Hours Expended To Date</t>
  </si>
  <si>
    <t>Status Date</t>
  </si>
  <si>
    <t>2026-09-03</t>
  </si>
  <si>
    <t>Hours Earned To Date</t>
  </si>
  <si>
    <t>Estimate status</t>
  </si>
  <si>
    <t>In progress</t>
  </si>
  <si>
    <t>Prepared by</t>
  </si>
  <si>
    <t>Hit Squad Project Controls</t>
  </si>
  <si>
    <t>Performance To Date</t>
  </si>
  <si>
    <t>Notes</t>
  </si>
  <si>
    <t>SAMPLE status — invented hours and dollars only</t>
  </si>
  <si>
    <t>Charts lead the package. Budget from this job’s live estimate pack. Actuals from Turnip T3 Export 15 / 16 through the Status Date. Yellow = Expended. Cyan = Earned.</t>
  </si>
  <si>
    <t>Status Date 2026-09-03  ·  Status: In progress  ·  Prepared by: Hit Squad Project Controls  ·  Produced by Hit Squad Project Controls</t>
  </si>
  <si>
    <t/>
  </si>
  <si>
    <t>Dollars Budget</t>
  </si>
  <si>
    <t>Wage Rate</t>
  </si>
  <si>
    <t>Work Hours Expended</t>
  </si>
  <si>
    <t>Dollars Expended</t>
  </si>
  <si>
    <t>Work Hours Earned</t>
  </si>
  <si>
    <t>Performance</t>
  </si>
  <si>
    <t>$</t>
  </si>
  <si>
    <t>Hrs</t>
  </si>
  <si>
    <t>$ / Hr</t>
  </si>
  <si>
    <t>%</t>
  </si>
  <si>
    <t>Original</t>
  </si>
  <si>
    <t>Revised</t>
  </si>
  <si>
    <t>Current Forecast</t>
  </si>
  <si>
    <t>Budget Rate</t>
  </si>
  <si>
    <t>Actual Rate</t>
  </si>
  <si>
    <t>Daily</t>
  </si>
  <si>
    <t>To Date</t>
  </si>
  <si>
    <t>To Go Forecast</t>
  </si>
  <si>
    <t>DIRECT LABOR</t>
  </si>
  <si>
    <t>Pipefitter Journeyman</t>
  </si>
  <si>
    <t>Boilermaker Journeyman</t>
  </si>
  <si>
    <t>Subtotal Direct Labor</t>
  </si>
  <si>
    <t>INDIRECT LABOR</t>
  </si>
  <si>
    <t>Foremen</t>
  </si>
  <si>
    <t>Support</t>
  </si>
  <si>
    <t>Staff</t>
  </si>
  <si>
    <t>Per Diem</t>
  </si>
  <si>
    <t>Mileage / Travel</t>
  </si>
  <si>
    <t>Weather Delays</t>
  </si>
  <si>
    <t>Onboarding</t>
  </si>
  <si>
    <t>Subtotal Labor / PD</t>
  </si>
  <si>
    <t>MATERIALS &amp; SUBCONTRACTS</t>
  </si>
  <si>
    <t>Materials</t>
  </si>
  <si>
    <t>Company Owned Equipment</t>
  </si>
  <si>
    <t>Subcontractors</t>
  </si>
  <si>
    <t>3rd Party General Rentals</t>
  </si>
  <si>
    <t>Subtotal Material &amp; Subcontracts</t>
  </si>
  <si>
    <t>TOTAL PROJECT</t>
  </si>
  <si>
    <t>SAMPLE status — invented hours and dollars only  ·  Earned Mhr from 01 DailyReport_TOTAL KPI on Cost report (Summary Phase Grand Total). Physical % = earned / Direct budget hours (hours win if Earned % was also typed). Support earned = Direct % × Support budget hours. Budget from the live Hit Squad estimate pack — not Mike’s Estimate Summary links.</t>
  </si>
  <si>
    <t>Hours S-curve  ·  steel = live-pack estimate  ·  amber = T3 Export 16 spent</t>
  </si>
  <si>
    <t>Date</t>
  </si>
  <si>
    <t>Est hours</t>
  </si>
  <si>
    <t>Act hours</t>
  </si>
  <si>
    <t>Cum est hours</t>
  </si>
  <si>
    <t>Cum act hours</t>
  </si>
  <si>
    <t>Est headcount</t>
  </si>
  <si>
    <t>Act headcount</t>
  </si>
  <si>
    <t>2026-09-01</t>
  </si>
  <si>
    <t>2026-09-02</t>
  </si>
  <si>
    <t>2026-09-04</t>
  </si>
  <si>
    <t>Cumulative hours — estimate vs actuals</t>
  </si>
  <si>
    <t>Steel = live-pack estimate  ·  Amber = T3 Export 16 Units  ·  chart-ready columns D / E</t>
  </si>
  <si>
    <t>Dated daily report log</t>
  </si>
  <si>
    <t>Status date</t>
  </si>
  <si>
    <t>Saved</t>
  </si>
  <si>
    <t>Forecast $</t>
  </si>
  <si>
    <t>Expended $</t>
  </si>
  <si>
    <t>Budget hours</t>
  </si>
  <si>
    <t>Expended hours</t>
  </si>
  <si>
    <t>1970-01-01 00:00:00</t>
  </si>
  <si>
    <t>SAMPLE day 1 — synthetic Turnip paste</t>
  </si>
  <si>
    <t>T3 Export 15 — Client Cost Analysis  ·  Status Date 2026-09-03</t>
  </si>
  <si>
    <t>ChargeCode</t>
  </si>
  <si>
    <t>WO_Description</t>
  </si>
  <si>
    <t>LaborTotal_ClientActual_Units</t>
  </si>
  <si>
    <t>LaborTotal_ClientActual_Dollars</t>
  </si>
  <si>
    <t>PD_ClientActual_Dollars</t>
  </si>
  <si>
    <t>Other_ClientActual_Units</t>
  </si>
  <si>
    <t>TotalDollars_ClientActual</t>
  </si>
  <si>
    <t>Direct Labor</t>
  </si>
  <si>
    <t>T3 Export 16 — Client Craft Analysis  ·  Status Date 2026-09-03</t>
  </si>
  <si>
    <t>event_dt</t>
  </si>
  <si>
    <t>craft</t>
  </si>
  <si>
    <t>employee</t>
  </si>
  <si>
    <t>Units</t>
  </si>
  <si>
    <t>ST_Units</t>
  </si>
  <si>
    <t>OT_Units</t>
  </si>
  <si>
    <t>DT_Units</t>
  </si>
  <si>
    <t>Headcount</t>
  </si>
  <si>
    <t>SAMPLE-101</t>
  </si>
  <si>
    <t>SAMPLE-201</t>
  </si>
  <si>
    <t>Firewatch</t>
  </si>
  <si>
    <t>SAMPLE-301</t>
  </si>
  <si>
    <t>Chart source — hidden helper</t>
  </si>
  <si>
    <t>Ranges referenced by the Charts dashboard and Hrs S-curve.</t>
  </si>
  <si>
    <t>Vendor</t>
  </si>
  <si>
    <t>Amount</t>
  </si>
  <si>
    <t>Cost element</t>
  </si>
  <si>
    <t>Direct craft</t>
  </si>
  <si>
    <t>Indirect</t>
  </si>
  <si>
    <t>Per diem / travel</t>
  </si>
  <si>
    <t>Equipment / rentals</t>
  </si>
  <si>
    <t>Materials / other</t>
  </si>
  <si>
    <t>Craft</t>
  </si>
  <si>
    <t>Hours</t>
  </si>
  <si>
    <t>SAMPLE NDE</t>
  </si>
  <si>
    <t>SAMPLE Insulation</t>
  </si>
  <si>
    <t>Indirect labor</t>
  </si>
  <si>
    <t>3rd Party Rentals</t>
  </si>
  <si>
    <t>SAMPLE Scaffold</t>
  </si>
  <si>
    <t>SAMPLE Crane</t>
  </si>
  <si>
    <t>Equipment (COE)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</si>
</sst>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%"/>
  </numFmts>
  <fonts count="18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color rgb="FFFFFFFF"/>
      <sz val="11"/>
      <name val="Calibri"/>
    </font>
    <font>
      <b/>
      <color rgb="FFFFFFFF"/>
      <sz val="18"/>
      <name val="Calibri"/>
    </font>
    <font>
      <color rgb="FF102226"/>
      <sz val="11"/>
      <name val="Calibri"/>
    </font>
    <font>
      <color rgb="FF102226"/>
      <sz val="10"/>
      <name val="Calibri"/>
    </font>
    <font>
      <b/>
      <color rgb="FFFFFFFF"/>
      <sz val="10"/>
      <name val="Calibri"/>
    </font>
    <font>
      <b/>
      <color rgb="FFFFFFFF"/>
      <sz val="14"/>
      <name val="Calibri"/>
    </font>
    <font>
      <color rgb="FFFFFFFF"/>
      <sz val="9"/>
      <name val="Calibri"/>
    </font>
    <font>
      <b/>
      <color rgb="FFFFFFFF"/>
      <sz val="16"/>
      <name val="Calibri"/>
    </font>
    <font>
      <b/>
      <color rgb="FFFFFFFF"/>
      <sz val="8"/>
      <name val="Calibri"/>
    </font>
    <font>
      <b/>
      <color rgb="FF102226"/>
      <sz val="8"/>
      <name val="Calibri"/>
    </font>
    <font>
      <b/>
      <color rgb="FFFFFFFF"/>
      <sz val="9"/>
      <name val="Calibri"/>
    </font>
    <font>
      <b/>
      <color rgb="FF102226"/>
      <sz val="9"/>
      <name val="Calibri"/>
    </font>
    <font>
      <color rgb="FF102226"/>
      <sz val="9"/>
      <name val="Calibri"/>
    </font>
    <font>
      <b/>
      <color rgb="FF102226"/>
      <sz val="11"/>
      <name val="Calibri"/>
    </font>
    <font>
      <i/>
      <color rgb="FFFFFFFF"/>
      <sz val="9"/>
      <name val="Calibri"/>
    </font>
    <font>
      <color rgb="FFFFFFFF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F5F6D"/>
      </patternFill>
    </fill>
    <fill>
      <patternFill patternType="solid">
        <fgColor rgb="FF083943"/>
      </patternFill>
    </fill>
    <fill>
      <patternFill patternType="solid">
        <fgColor rgb="FFE38B2A"/>
      </patternFill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1F4E5A"/>
      </patternFill>
    </fill>
    <fill>
      <patternFill patternType="solid">
        <fgColor rgb="FFFFFFFF"/>
      </patternFill>
    </fill>
    <fill>
      <patternFill patternType="solid">
        <fgColor rgb="FFF4F6F6"/>
      </patternFill>
    </fill>
    <fill>
      <patternFill patternType="solid">
        <fgColor rgb="FFD6E3E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E38B2A"/>
      </bottom>
      <diagonal/>
    </border>
    <border>
      <left style="hair">
        <color rgb="FF8AA3A1"/>
      </left>
      <right style="hair">
        <color rgb="FF8AA3A1"/>
      </right>
      <top style="hair">
        <color rgb="FF8AA3A1"/>
      </top>
      <bottom style="medium">
        <color rgb="FFE38B2A"/>
      </bottom>
      <diagonal/>
    </border>
    <border>
      <left style="hair">
        <color rgb="FF8AA3A1"/>
      </left>
      <right style="hair">
        <color rgb="FF8AA3A1"/>
      </right>
      <top style="hair">
        <color rgb="FF8AA3A1"/>
      </top>
      <bottom style="medium">
        <color rgb="FF000000"/>
      </bottom>
      <diagonal/>
    </border>
    <border>
      <left style="hair">
        <color rgb="FF8AA3A1"/>
      </left>
      <right style="hair">
        <color rgb="FF8AA3A1"/>
      </right>
      <top style="hair">
        <color rgb="FF8AA3A1"/>
      </top>
      <bottom style="hair">
        <color rgb="FF8AA3A1"/>
      </bottom>
      <diagonal/>
    </border>
    <border>
      <left style="hair">
        <color rgb="FF8AA3A1"/>
      </left>
      <right style="hair">
        <color rgb="FF8AA3A1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 applyProtection="1">
      <alignment horizontal="left" vertical="center" wrapText="1"/>
    </xf>
    <xf numFmtId="0" fontId="2" fillId="3" borderId="0" xfId="0" applyFont="1" applyFill="1" applyAlignment="1" applyProtection="1">
      <alignment horizontal="left" vertical="center" wrapText="1"/>
    </xf>
    <xf numFmtId="0" fontId="3" fillId="2" borderId="0" xfId="0" applyFont="1" applyFill="1" applyAlignment="1" applyProtection="1">
      <alignment horizontal="left" vertical="center" wrapText="1"/>
    </xf>
    <xf numFmtId="0" fontId="4" fillId="4" borderId="1" xfId="0" applyFont="1" applyFill="1" applyBorder="1" applyAlignment="1" applyProtection="1">
      <alignment horizontal="left" vertical="center" wrapText="1"/>
    </xf>
    <xf numFmtId="0" fontId="5" fillId="0" borderId="0" xfId="0" applyFont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</xf>
    <xf numFmtId="0" fontId="6" fillId="3" borderId="0" xfId="0" applyFont="1" applyFill="1"/>
    <xf numFmtId="164" fontId="5" fillId="0" borderId="0" xfId="0" applyNumberFormat="1" applyFont="1" applyAlignment="1" applyProtection="1">
      <alignment horizontal="center" vertical="center"/>
    </xf>
    <xf numFmtId="165" fontId="5" fillId="0" borderId="0" xfId="0" applyNumberFormat="1" applyFont="1" applyProtection="1"/>
    <xf numFmtId="3" fontId="5" fillId="0" borderId="0" xfId="0" applyNumberFormat="1" applyFont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Protection="1"/>
    <xf numFmtId="4" fontId="5" fillId="0" borderId="0" xfId="0" applyNumberFormat="1" applyFont="1" applyProtection="1"/>
    <xf numFmtId="2" fontId="5" fillId="0" borderId="0" xfId="0" applyNumberFormat="1" applyFont="1" applyProtection="1"/>
    <xf numFmtId="0" fontId="6" fillId="2" borderId="0" xfId="0" applyFont="1" applyFill="1" applyProtection="1"/>
    <xf numFmtId="4" fontId="6" fillId="2" borderId="0" xfId="0" applyNumberFormat="1" applyFont="1" applyFill="1" applyProtection="1"/>
    <xf numFmtId="0" fontId="7" fillId="2" borderId="1" xfId="0" applyFont="1" applyFill="1" applyBorder="1" applyAlignment="1" applyProtection="1">
      <alignment horizontal="left" vertical="center" wrapText="1"/>
    </xf>
    <xf numFmtId="0" fontId="8" fillId="3" borderId="0" xfId="0" applyFont="1" applyFill="1" applyAlignment="1" applyProtection="1">
      <alignment horizontal="left" vertical="center" wrapText="1"/>
    </xf>
    <xf numFmtId="0" fontId="9" fillId="2" borderId="0" xfId="0" applyFont="1" applyFill="1" applyAlignment="1" applyProtection="1">
      <alignment horizontal="left" vertical="center" wrapText="1"/>
    </xf>
    <xf numFmtId="0" fontId="8" fillId="3" borderId="1" xfId="0" applyFont="1" applyFill="1" applyBorder="1" applyAlignment="1" applyProtection="1">
      <alignment horizontal="left" vertical="center" wrapText="1"/>
    </xf>
    <xf numFmtId="0" fontId="10" fillId="3" borderId="2" xfId="0" applyFont="1" applyFill="1" applyBorder="1" applyAlignment="1" applyProtection="1">
      <alignment horizontal="center" vertical="center"/>
    </xf>
    <xf numFmtId="0" fontId="10" fillId="3" borderId="2" xfId="0" applyFont="1" applyFill="1" applyBorder="1" applyAlignment="1" applyProtection="1">
      <alignment horizontal="center" vertical="center" wrapText="1"/>
    </xf>
    <xf numFmtId="0" fontId="11" fillId="5" borderId="3" xfId="0" applyFont="1" applyFill="1" applyBorder="1" applyAlignment="1" applyProtection="1">
      <alignment horizontal="center" vertical="center" wrapText="1"/>
    </xf>
    <xf numFmtId="0" fontId="11" fillId="6" borderId="3" xfId="0" applyFont="1" applyFill="1" applyBorder="1" applyAlignment="1" applyProtection="1">
      <alignment horizontal="center" vertical="center" wrapText="1"/>
    </xf>
    <xf numFmtId="0" fontId="11" fillId="5" borderId="3" xfId="0" applyFont="1" applyFill="1" applyBorder="1" applyAlignment="1" applyProtection="1">
      <alignment horizontal="center" vertical="center"/>
    </xf>
    <xf numFmtId="0" fontId="11" fillId="6" borderId="3" xfId="0" applyFont="1" applyFill="1" applyBorder="1" applyAlignment="1" applyProtection="1">
      <alignment horizontal="center" vertical="center"/>
    </xf>
    <xf numFmtId="0" fontId="12" fillId="7" borderId="4" xfId="0" applyFont="1" applyFill="1" applyBorder="1" applyProtection="1"/>
    <xf numFmtId="0" fontId="12" fillId="7" borderId="4" xfId="0" applyFont="1" applyFill="1" applyBorder="1"/>
    <xf numFmtId="0" fontId="12" fillId="7" borderId="4" xfId="0" applyFont="1" applyFill="1" applyBorder="1" applyAlignment="1">
      <alignment horizontal="center" vertical="center"/>
    </xf>
    <xf numFmtId="0" fontId="13" fillId="8" borderId="4" xfId="0" applyFont="1" applyFill="1" applyBorder="1" applyProtection="1"/>
    <xf numFmtId="164" fontId="14" fillId="8" borderId="4" xfId="0" applyNumberFormat="1" applyFont="1" applyFill="1" applyBorder="1" applyAlignment="1" applyProtection="1">
      <alignment horizontal="center" vertical="center"/>
    </xf>
    <xf numFmtId="4" fontId="14" fillId="8" borderId="4" xfId="0" applyNumberFormat="1" applyFont="1" applyFill="1" applyBorder="1" applyAlignment="1" applyProtection="1">
      <alignment horizontal="center" vertical="center"/>
    </xf>
    <xf numFmtId="165" fontId="14" fillId="8" borderId="4" xfId="0" applyNumberFormat="1" applyFont="1" applyFill="1" applyBorder="1" applyAlignment="1" applyProtection="1">
      <alignment horizontal="center" vertical="center"/>
    </xf>
    <xf numFmtId="2" fontId="14" fillId="8" borderId="4" xfId="0" applyNumberFormat="1" applyFont="1" applyFill="1" applyBorder="1" applyAlignment="1" applyProtection="1">
      <alignment horizontal="center" vertical="center"/>
    </xf>
    <xf numFmtId="3" fontId="14" fillId="8" borderId="4" xfId="0" applyNumberFormat="1" applyFont="1" applyFill="1" applyBorder="1" applyAlignment="1" applyProtection="1">
      <alignment horizontal="center" vertical="center"/>
    </xf>
    <xf numFmtId="0" fontId="13" fillId="9" borderId="4" xfId="0" applyFont="1" applyFill="1" applyBorder="1" applyProtection="1"/>
    <xf numFmtId="164" fontId="14" fillId="9" borderId="4" xfId="0" applyNumberFormat="1" applyFont="1" applyFill="1" applyBorder="1" applyAlignment="1" applyProtection="1">
      <alignment horizontal="center" vertical="center"/>
    </xf>
    <xf numFmtId="4" fontId="14" fillId="9" borderId="4" xfId="0" applyNumberFormat="1" applyFont="1" applyFill="1" applyBorder="1" applyAlignment="1" applyProtection="1">
      <alignment horizontal="center" vertical="center"/>
    </xf>
    <xf numFmtId="165" fontId="14" fillId="9" borderId="4" xfId="0" applyNumberFormat="1" applyFont="1" applyFill="1" applyBorder="1" applyAlignment="1" applyProtection="1">
      <alignment horizontal="center" vertical="center"/>
    </xf>
    <xf numFmtId="2" fontId="14" fillId="9" borderId="4" xfId="0" applyNumberFormat="1" applyFont="1" applyFill="1" applyBorder="1" applyAlignment="1" applyProtection="1">
      <alignment horizontal="center" vertical="center"/>
    </xf>
    <xf numFmtId="3" fontId="14" fillId="9" borderId="4" xfId="0" applyNumberFormat="1" applyFont="1" applyFill="1" applyBorder="1" applyAlignment="1" applyProtection="1">
      <alignment horizontal="center" vertical="center"/>
    </xf>
    <xf numFmtId="0" fontId="13" fillId="10" borderId="4" xfId="0" applyFont="1" applyFill="1" applyBorder="1" applyProtection="1"/>
    <xf numFmtId="164" fontId="13" fillId="10" borderId="4" xfId="0" applyNumberFormat="1" applyFont="1" applyFill="1" applyBorder="1" applyAlignment="1" applyProtection="1">
      <alignment horizontal="center" vertical="center"/>
    </xf>
    <xf numFmtId="4" fontId="13" fillId="10" borderId="4" xfId="0" applyNumberFormat="1" applyFont="1" applyFill="1" applyBorder="1" applyAlignment="1" applyProtection="1">
      <alignment horizontal="center" vertical="center"/>
    </xf>
    <xf numFmtId="165" fontId="13" fillId="10" borderId="4" xfId="0" applyNumberFormat="1" applyFont="1" applyFill="1" applyBorder="1" applyAlignment="1" applyProtection="1">
      <alignment horizontal="center" vertical="center"/>
    </xf>
    <xf numFmtId="2" fontId="13" fillId="10" borderId="4" xfId="0" applyNumberFormat="1" applyFont="1" applyFill="1" applyBorder="1" applyAlignment="1" applyProtection="1">
      <alignment horizontal="center" vertical="center"/>
    </xf>
    <xf numFmtId="3" fontId="13" fillId="10" borderId="4" xfId="0" applyNumberFormat="1" applyFont="1" applyFill="1" applyBorder="1" applyAlignment="1" applyProtection="1">
      <alignment horizontal="center" vertical="center"/>
    </xf>
    <xf numFmtId="164" fontId="12" fillId="7" borderId="4" xfId="0" applyNumberFormat="1" applyFont="1" applyFill="1" applyBorder="1" applyAlignment="1" applyProtection="1">
      <alignment horizontal="center" vertical="center"/>
    </xf>
    <xf numFmtId="4" fontId="12" fillId="7" borderId="4" xfId="0" applyNumberFormat="1" applyFont="1" applyFill="1" applyBorder="1" applyProtection="1"/>
    <xf numFmtId="165" fontId="12" fillId="7" borderId="4" xfId="0" applyNumberFormat="1" applyFont="1" applyFill="1" applyBorder="1" applyProtection="1"/>
    <xf numFmtId="2" fontId="12" fillId="7" borderId="4" xfId="0" applyNumberFormat="1" applyFont="1" applyFill="1" applyBorder="1" applyProtection="1"/>
    <xf numFmtId="3" fontId="12" fillId="7" borderId="4" xfId="0" applyNumberFormat="1" applyFont="1" applyFill="1" applyBorder="1" applyAlignment="1" applyProtection="1">
      <alignment horizontal="center" vertical="center"/>
    </xf>
    <xf numFmtId="0" fontId="15" fillId="4" borderId="5" xfId="0" applyFont="1" applyFill="1" applyBorder="1" applyAlignment="1" applyProtection="1">
      <alignment horizontal="center" vertical="center"/>
    </xf>
    <xf numFmtId="164" fontId="15" fillId="4" borderId="5" xfId="0" applyNumberFormat="1" applyFont="1" applyFill="1" applyBorder="1" applyAlignment="1" applyProtection="1">
      <alignment horizontal="center" vertical="center"/>
    </xf>
    <xf numFmtId="4" fontId="15" fillId="4" borderId="5" xfId="0" applyNumberFormat="1" applyFont="1" applyFill="1" applyBorder="1" applyAlignment="1" applyProtection="1">
      <alignment horizontal="center" vertical="center"/>
    </xf>
    <xf numFmtId="165" fontId="15" fillId="4" borderId="5" xfId="0" applyNumberFormat="1" applyFont="1" applyFill="1" applyBorder="1" applyAlignment="1" applyProtection="1">
      <alignment horizontal="center" vertical="center"/>
    </xf>
    <xf numFmtId="2" fontId="15" fillId="4" borderId="5" xfId="0" applyNumberFormat="1" applyFont="1" applyFill="1" applyBorder="1" applyAlignment="1" applyProtection="1">
      <alignment horizontal="center" vertical="center"/>
    </xf>
    <xf numFmtId="3" fontId="15" fillId="4" borderId="5" xfId="0" applyNumberFormat="1" applyFont="1" applyFill="1" applyBorder="1" applyAlignment="1" applyProtection="1">
      <alignment horizontal="center" vertical="center"/>
    </xf>
    <xf numFmtId="0" fontId="13" fillId="9" borderId="4" xfId="0" applyFont="1" applyFill="1" applyBorder="1"/>
    <xf numFmtId="0" fontId="14" fillId="9" borderId="4" xfId="0" applyFont="1" applyFill="1" applyBorder="1" applyAlignment="1">
      <alignment horizontal="center" vertical="center"/>
    </xf>
    <xf numFmtId="0" fontId="12" fillId="7" borderId="4" xfId="0" applyFont="1" applyFill="1" applyBorder="1" applyAlignment="1" applyProtection="1">
      <alignment horizontal="center" vertical="center"/>
    </xf>
    <xf numFmtId="0" fontId="8" fillId="2" borderId="0" xfId="0" applyFont="1" applyFill="1" applyAlignment="1" applyProtection="1">
      <alignment horizontal="left" vertical="center" wrapText="1"/>
    </xf>
    <xf numFmtId="0" fontId="16" fillId="3" borderId="0" xfId="0" applyFont="1" applyFill="1" applyAlignment="1" applyProtection="1">
      <alignment horizontal="left" vertical="center" wrapText="1"/>
    </xf>
    <xf numFmtId="0" fontId="8" fillId="2" borderId="0" xfId="0" applyFont="1" applyFill="1" applyAlignment="1"/>
    <xf numFmtId="0" fontId="12" fillId="3" borderId="1" xfId="0" applyFont="1" applyFill="1" applyBorder="1" applyAlignment="1" applyProtection="1">
      <alignment horizontal="center" vertical="center"/>
    </xf>
    <xf numFmtId="0" fontId="6" fillId="2" borderId="4" xfId="0" applyFont="1" applyFill="1" applyBorder="1" applyProtection="1"/>
    <xf numFmtId="3" fontId="17" fillId="2" borderId="4" xfId="0" applyNumberFormat="1" applyFont="1" applyFill="1" applyBorder="1" applyAlignment="1" applyProtection="1">
      <alignment horizontal="center" vertical="center"/>
    </xf>
    <xf numFmtId="0" fontId="6" fillId="3" borderId="4" xfId="0" applyFont="1" applyFill="1" applyBorder="1" applyProtection="1"/>
    <xf numFmtId="3" fontId="17" fillId="3" borderId="4" xfId="0" applyNumberFormat="1" applyFont="1" applyFill="1" applyBorder="1" applyAlignment="1" applyProtection="1">
      <alignment horizontal="center" vertical="center"/>
    </xf>
    <xf numFmtId="0" fontId="6" fillId="2" borderId="4" xfId="0" applyFont="1" applyFill="1" applyBorder="1"/>
    <xf numFmtId="0" fontId="17" fillId="2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 applyProtection="1">
      <alignment horizontal="center" vertical="center"/>
    </xf>
    <xf numFmtId="0" fontId="6" fillId="3" borderId="4" xfId="0" applyFont="1" applyFill="1" applyBorder="1"/>
    <xf numFmtId="0" fontId="17" fillId="3" borderId="4" xfId="0" applyFont="1" applyFill="1" applyBorder="1" applyAlignment="1">
      <alignment horizontal="center" vertical="center"/>
    </xf>
    <xf numFmtId="0" fontId="17" fillId="2" borderId="4" xfId="0" applyFont="1" applyFill="1" applyBorder="1" applyProtection="1"/>
    <xf numFmtId="164" fontId="17" fillId="2" borderId="4" xfId="0" applyNumberFormat="1" applyFont="1" applyFill="1" applyBorder="1" applyAlignment="1" applyProtection="1">
      <alignment horizontal="center" vertical="center"/>
    </xf>
    <xf numFmtId="0" fontId="17" fillId="3" borderId="4" xfId="0" applyFont="1" applyFill="1" applyBorder="1" applyProtection="1"/>
    <xf numFmtId="164" fontId="17" fillId="3" borderId="4" xfId="0" applyNumberFormat="1" applyFont="1" applyFill="1" applyBorder="1" applyAlignment="1" applyProtection="1">
      <alignment horizontal="center" vertical="center"/>
    </xf>
    <xf numFmtId="4" fontId="6" fillId="2" borderId="4" xfId="0" applyNumberFormat="1" applyFont="1" applyFill="1" applyBorder="1" applyProtection="1"/>
    <xf numFmtId="4" fontId="17" fillId="2" borderId="4" xfId="0" applyNumberFormat="1" applyFont="1" applyFill="1" applyBorder="1" applyProtection="1"/>
    <xf numFmtId="4" fontId="6" fillId="3" borderId="4" xfId="0" applyNumberFormat="1" applyFont="1" applyFill="1" applyBorder="1" applyProtection="1"/>
    <xf numFmtId="4" fontId="17" fillId="3" borderId="4" xfId="0" applyNumberFormat="1" applyFont="1" applyFill="1" applyBorder="1" applyProtection="1"/>
    <xf numFmtId="0" fontId="12" fillId="3" borderId="1" xfId="0" applyFont="1" applyFill="1" applyBorder="1" applyAlignment="1">
      <alignment horizontal="center" vertical="center"/>
    </xf>
    <xf numFmtId="0" fontId="17" fillId="2" borderId="4" xfId="0" applyFont="1" applyFill="1" applyBorder="1"/>
    <xf numFmtId="0" fontId="17" fillId="2" borderId="4" xfId="0" applyFont="1" applyFill="1" applyBorder="1" applyAlignment="1" applyProtection="1">
      <alignment horizontal="center" vertical="center"/>
    </xf>
    <xf numFmtId="0" fontId="17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0F5F6D"/>
                </a:solidFill>
                <a:latin typeface="Calibri"/>
              </a:rPr>
              <a:t>Job cost mix — Current Forecast by area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Job cost mix — Current Forecast by area</c:v>
          </c:tx>
          <c:dPt>
            <c:idx val="0"/>
            <c:bubble3D val="0"/>
            <c:spPr>
              <a:solidFill>
                <a:srgbClr val="0F5F6D"/>
              </a:solidFill>
              <a:ln w="1270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E38B2A"/>
              </a:solidFill>
              <a:ln w="1270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1A7A88"/>
              </a:solidFill>
              <a:ln w="12700">
                <a:solidFill>
                  <a:srgbClr val="FFFFFF"/>
                </a:solidFill>
              </a:ln>
            </c:spPr>
          </c:dPt>
          <c:dPt>
            <c:idx val="3"/>
            <c:bubble3D val="0"/>
            <c:spPr>
              <a:solidFill>
                <a:srgbClr val="083943"/>
              </a:solidFill>
              <a:ln w="12700">
                <a:solidFill>
                  <a:srgbClr val="FFFFFF"/>
                </a:solidFill>
              </a:ln>
            </c:spPr>
          </c:dPt>
          <c:dPt>
            <c:idx val="4"/>
            <c:bubble3D val="0"/>
            <c:spPr>
              <a:solidFill>
                <a:srgbClr val="00B0F0"/>
              </a:solidFill>
              <a:ln w="12700">
                <a:solidFill>
                  <a:srgbClr val="FFFFFF"/>
                </a:solidFill>
              </a:ln>
            </c:spPr>
          </c:dPt>
          <c:dPt>
            <c:idx val="5"/>
            <c:bubble3D val="0"/>
            <c:spPr>
              <a:solidFill>
                <a:srgbClr val="C4922A"/>
              </a:solidFill>
              <a:ln w="12700">
                <a:solidFill>
                  <a:srgbClr val="FFFFFF"/>
                </a:solidFill>
              </a:ln>
            </c:spPr>
          </c:dPt>
          <c:dPt>
            <c:idx val="6"/>
            <c:bubble3D val="0"/>
            <c:spPr>
              <a:solidFill>
                <a:srgbClr val="5B6F73"/>
              </a:solidFill>
              <a:ln w="12700">
                <a:solidFill>
                  <a:srgbClr val="FFFFFF"/>
                </a:solidFill>
              </a:ln>
            </c:spPr>
          </c:dPt>
          <c:cat>
            <c:strRef>
              <c:f>'_ChartData'!$D$7:$D$13</c:f>
            </c:strRef>
          </c:cat>
          <c:val>
            <c:numRef>
              <c:f>'_ChartData'!$E$7:$E$13</c:f>
            </c:numRef>
          </c:val>
        </c:ser>
        <c:dLbls>
          <c:numFmt formatCode="$#,##0" sourceLinked="0"/>
          <c:showLegendKey val="0"/>
          <c:showVal val="1"/>
          <c:showCatName val="0"/>
          <c:showSerName val="0"/>
          <c:showPercent val="1"/>
          <c:showBubbleSize val="0"/>
          <c:showLeaderLines val="1"/>
        </c:dLbls>
        <c:firstSliceAng val="0"/>
        <c:holeSize val="58"/>
      </c:doughnutChart>
      <c:spPr>
        <a:solidFill>
          <a:srgbClr val="F7FAF9"/>
        </a:solidFill>
        <a:ln w="6350">
          <a:solidFill>
            <a:srgbClr val="0F5F6D"/>
          </a:solidFill>
        </a:ln>
      </c:spPr>
    </c:plotArea>
    <c:legend>
      <c:legendPos val="r"/>
      <c:overlay val="0"/>
    </c:legend>
    <c:plotVisOnly val="1"/>
    <c:dispBlanksAs val="gap"/>
  </c:chart>
  <c:spPr>
    <a:solidFill>
      <a:srgbClr val="FFFFFF"/>
    </a:solidFill>
    <a:ln w="12700">
      <a:solidFill>
        <a:srgbClr val="0F5F6D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0F5F6D"/>
                </a:solidFill>
                <a:latin typeface="Calibri"/>
              </a:rPr>
              <a:t>Forecast vs Expended — all cost areas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'_ChartData'!$E$6:$E$6</c:f>
            </c:strRef>
          </c:tx>
          <c:spPr>
            <a:solidFill>
              <a:srgbClr val="0F5F6D"/>
            </a:solidFill>
            <a:ln w="0">
              <a:noFill/>
            </a:ln>
          </c:spPr>
          <c:cat>
            <c:strRef>
              <c:f>'_ChartData'!$D$7:$D$13</c:f>
            </c:strRef>
          </c:cat>
          <c:val>
            <c:numRef>
              <c:f>'_ChartData'!$E$7:$E$13</c:f>
            </c:numRef>
          </c:val>
        </c:ser>
        <c:ser>
          <c:idx val="1"/>
          <c:order val="1"/>
          <c:tx>
            <c:strRef>
              <c:f>'_ChartData'!$F$6:$F$6</c:f>
            </c:strRef>
          </c:tx>
          <c:spPr>
            <a:solidFill>
              <a:srgbClr val="E38B2A"/>
            </a:solidFill>
            <a:ln w="0">
              <a:noFill/>
            </a:ln>
          </c:spPr>
          <c:cat>
            <c:strRef>
              <c:f>'_ChartData'!$D$7:$D$13</c:f>
            </c:strRef>
          </c:cat>
          <c:val>
            <c:numRef>
              <c:f>'_ChartData'!$F$7:$F$13</c:f>
            </c:numRef>
          </c:val>
        </c:ser>
        <c:dLbls>
          <c:showVal val="1"/>
          <c:showCatName val="0"/>
          <c:showSerName val="0"/>
          <c:showPercent val="0"/>
        </c:dLbls>
        <c:gapWidth val="8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w="6350">
              <a:solidFill>
                <a:srgbClr val="8AA3A1"/>
              </a:solidFill>
            </a:ln>
          </c:spPr>
        </c:majorGridlines>
        <c:numFmt formatCode="$#,##0" sourceLinked="0"/>
        <c:majorTickMark val="out"/>
        <c:minorTickMark val="none"/>
        <c:tickLblPos val="nextTo"/>
        <c:crossAx val="1"/>
        <c:crosses val="autoZero"/>
      </c:valAx>
      <c:spPr>
        <a:solidFill>
          <a:srgbClr val="F7FAF9"/>
        </a:solidFill>
        <a:ln w="6350">
          <a:solidFill>
            <a:srgbClr val="0F5F6D"/>
          </a:solidFill>
        </a:ln>
      </c:spPr>
    </c:plotArea>
    <c:legend>
      <c:legendPos val="b"/>
      <c:overlay val="0"/>
    </c:legend>
    <c:plotVisOnly val="1"/>
    <c:dispBlanksAs val="gap"/>
  </c:chart>
  <c:spPr>
    <a:solidFill>
      <a:srgbClr val="FFFFFF"/>
    </a:solidFill>
    <a:ln w="12700">
      <a:solidFill>
        <a:srgbClr val="0F5F6D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0F5F6D"/>
                </a:solidFill>
                <a:latin typeface="Calibri"/>
              </a:rPr>
              <a:t>Direct craft labor — by craft (Forecast $)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Direct craft labor — by craft (Forecast $)</c:v>
          </c:tx>
          <c:dPt>
            <c:idx val="0"/>
            <c:bubble3D val="0"/>
            <c:spPr>
              <a:solidFill>
                <a:srgbClr val="0F5F6D"/>
              </a:solidFill>
              <a:ln w="1270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E38B2A"/>
              </a:solidFill>
              <a:ln w="12700">
                <a:solidFill>
                  <a:srgbClr val="FFFFFF"/>
                </a:solidFill>
              </a:ln>
            </c:spPr>
          </c:dPt>
          <c:cat>
            <c:strRef>
              <c:f>'_ChartData'!$H$7:$H$8</c:f>
            </c:strRef>
          </c:cat>
          <c:val>
            <c:numRef>
              <c:f>'_ChartData'!$I$7:$I$8</c:f>
            </c:numRef>
          </c:val>
        </c:ser>
        <c:dLbls>
          <c:numFmt formatCode="$#,##0" sourceLinked="0"/>
          <c:showLegendKey val="0"/>
          <c:showVal val="1"/>
          <c:showCatName val="0"/>
          <c:showSerName val="0"/>
          <c:showPercent val="1"/>
          <c:showBubbleSize val="0"/>
          <c:showLeaderLines val="1"/>
        </c:dLbls>
        <c:firstSliceAng val="0"/>
        <c:holeSize val="58"/>
      </c:doughnutChart>
      <c:spPr>
        <a:solidFill>
          <a:srgbClr val="F7FAF9"/>
        </a:solidFill>
        <a:ln w="6350">
          <a:solidFill>
            <a:srgbClr val="0F5F6D"/>
          </a:solidFill>
        </a:ln>
      </c:spPr>
    </c:plotArea>
    <c:legend>
      <c:legendPos val="r"/>
      <c:overlay val="0"/>
    </c:legend>
    <c:plotVisOnly val="1"/>
    <c:dispBlanksAs val="gap"/>
  </c:chart>
  <c:spPr>
    <a:solidFill>
      <a:srgbClr val="FFFFFF"/>
    </a:solidFill>
    <a:ln w="12700">
      <a:solidFill>
        <a:srgbClr val="0F5F6D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0F5F6D"/>
                </a:solidFill>
                <a:latin typeface="Calibri"/>
              </a:rPr>
              <a:t>Indirect labor — Foremen / Support / Staff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Indirect labor — Foremen / Support / Staff</c:v>
          </c:tx>
          <c:dPt>
            <c:idx val="0"/>
            <c:bubble3D val="0"/>
            <c:spPr>
              <a:solidFill>
                <a:srgbClr val="0F5F6D"/>
              </a:solidFill>
              <a:ln w="1270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E38B2A"/>
              </a:solidFill>
              <a:ln w="1270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1A7A88"/>
              </a:solidFill>
              <a:ln w="12700">
                <a:solidFill>
                  <a:srgbClr val="FFFFFF"/>
                </a:solidFill>
              </a:ln>
            </c:spPr>
          </c:dPt>
          <c:cat>
            <c:strRef>
              <c:f>'_ChartData'!$L$7:$L$9</c:f>
            </c:strRef>
          </c:cat>
          <c:val>
            <c:numRef>
              <c:f>'_ChartData'!$M$7:$M$9</c:f>
            </c:numRef>
          </c:val>
        </c:ser>
        <c:dLbls>
          <c:numFmt formatCode="$#,##0" sourceLinked="0"/>
          <c:showLegendKey val="0"/>
          <c:showVal val="1"/>
          <c:showCatName val="0"/>
          <c:showSerName val="0"/>
          <c:showPercent val="1"/>
          <c:showBubbleSize val="0"/>
          <c:showLeaderLines val="1"/>
        </c:dLbls>
        <c:firstSliceAng val="0"/>
        <c:holeSize val="58"/>
      </c:doughnutChart>
      <c:spPr>
        <a:solidFill>
          <a:srgbClr val="F7FAF9"/>
        </a:solidFill>
        <a:ln w="6350">
          <a:solidFill>
            <a:srgbClr val="0F5F6D"/>
          </a:solidFill>
        </a:ln>
      </c:spPr>
    </c:plotArea>
    <c:legend>
      <c:legendPos val="r"/>
      <c:overlay val="0"/>
    </c:legend>
    <c:plotVisOnly val="1"/>
    <c:dispBlanksAs val="gap"/>
  </c:chart>
  <c:spPr>
    <a:solidFill>
      <a:srgbClr val="FFFFFF"/>
    </a:solidFill>
    <a:ln w="12700">
      <a:solidFill>
        <a:srgbClr val="0F5F6D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0F5F6D"/>
                </a:solidFill>
                <a:latin typeface="Calibri"/>
              </a:rPr>
              <a:t>Per diem and travel — Forecast vs Expended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'_ChartData'!$Q$6:$Q$6</c:f>
            </c:strRef>
          </c:tx>
          <c:spPr>
            <a:solidFill>
              <a:srgbClr val="0F5F6D"/>
            </a:solidFill>
            <a:ln w="0">
              <a:noFill/>
            </a:ln>
          </c:spPr>
          <c:cat>
            <c:strRef>
              <c:f>'_ChartData'!$P$7:$P$8</c:f>
            </c:strRef>
          </c:cat>
          <c:val>
            <c:numRef>
              <c:f>'_ChartData'!$Q$7:$Q$8</c:f>
            </c:numRef>
          </c:val>
        </c:ser>
        <c:ser>
          <c:idx val="1"/>
          <c:order val="1"/>
          <c:tx>
            <c:strRef>
              <c:f>'_ChartData'!$R$6:$R$6</c:f>
            </c:strRef>
          </c:tx>
          <c:spPr>
            <a:solidFill>
              <a:srgbClr val="E38B2A"/>
            </a:solidFill>
            <a:ln w="0">
              <a:noFill/>
            </a:ln>
          </c:spPr>
          <c:cat>
            <c:strRef>
              <c:f>'_ChartData'!$P$7:$P$8</c:f>
            </c:strRef>
          </c:cat>
          <c:val>
            <c:numRef>
              <c:f>'_ChartData'!$R$7:$R$8</c:f>
            </c:numRef>
          </c:val>
        </c:ser>
        <c:dLbls>
          <c:showVal val="1"/>
          <c:showCatName val="0"/>
          <c:showSerName val="0"/>
          <c:showPercent val="0"/>
        </c:dLbls>
        <c:gapWidth val="8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w="6350">
              <a:solidFill>
                <a:srgbClr val="8AA3A1"/>
              </a:solidFill>
            </a:ln>
          </c:spPr>
        </c:majorGridlines>
        <c:numFmt formatCode="$#,##0" sourceLinked="0"/>
        <c:majorTickMark val="out"/>
        <c:minorTickMark val="none"/>
        <c:tickLblPos val="nextTo"/>
        <c:crossAx val="1"/>
        <c:crosses val="autoZero"/>
      </c:valAx>
      <c:spPr>
        <a:solidFill>
          <a:srgbClr val="F7FAF9"/>
        </a:solidFill>
        <a:ln w="6350">
          <a:solidFill>
            <a:srgbClr val="0F5F6D"/>
          </a:solidFill>
        </a:ln>
      </c:spPr>
    </c:plotArea>
    <c:legend>
      <c:legendPos val="b"/>
      <c:overlay val="0"/>
    </c:legend>
    <c:plotVisOnly val="1"/>
    <c:dispBlanksAs val="gap"/>
  </c:chart>
  <c:spPr>
    <a:solidFill>
      <a:srgbClr val="FFFFFF"/>
    </a:solidFill>
    <a:ln w="12700">
      <a:solidFill>
        <a:srgbClr val="0F5F6D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0F5F6D"/>
                </a:solidFill>
                <a:latin typeface="Calibri"/>
              </a:rPr>
              <a:t>Subcontractor costs — live pack by vendor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Subcontractor costs — live pack by vendor</c:v>
          </c:tx>
          <c:dPt>
            <c:idx val="0"/>
            <c:bubble3D val="0"/>
            <c:spPr>
              <a:solidFill>
                <a:srgbClr val="0F5F6D"/>
              </a:solidFill>
              <a:ln w="1270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E38B2A"/>
              </a:solidFill>
              <a:ln w="1270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1A7A88"/>
              </a:solidFill>
              <a:ln w="12700">
                <a:solidFill>
                  <a:srgbClr val="FFFFFF"/>
                </a:solidFill>
              </a:ln>
            </c:spPr>
          </c:dPt>
          <c:dPt>
            <c:idx val="3"/>
            <c:bubble3D val="0"/>
            <c:spPr>
              <a:solidFill>
                <a:srgbClr val="083943"/>
              </a:solidFill>
              <a:ln w="12700">
                <a:solidFill>
                  <a:srgbClr val="FFFFFF"/>
                </a:solidFill>
              </a:ln>
            </c:spPr>
          </c:dPt>
          <c:cat>
            <c:strRef>
              <c:f>'_ChartData'!$A$7:$A$10</c:f>
            </c:strRef>
          </c:cat>
          <c:val>
            <c:numRef>
              <c:f>'_ChartData'!$B$7:$B$10</c:f>
            </c:numRef>
          </c:val>
        </c:ser>
        <c:dLbls>
          <c:numFmt formatCode="$#,##0" sourceLinked="0"/>
          <c:showLegendKey val="0"/>
          <c:showVal val="1"/>
          <c:showCatName val="0"/>
          <c:showSerName val="0"/>
          <c:showPercent val="1"/>
          <c:showBubbleSize val="0"/>
          <c:showLeaderLines val="1"/>
        </c:dLbls>
        <c:firstSliceAng val="0"/>
        <c:holeSize val="58"/>
      </c:doughnutChart>
      <c:spPr>
        <a:solidFill>
          <a:srgbClr val="F7FAF9"/>
        </a:solidFill>
        <a:ln w="6350">
          <a:solidFill>
            <a:srgbClr val="0F5F6D"/>
          </a:solidFill>
        </a:ln>
      </c:spPr>
    </c:plotArea>
    <c:legend>
      <c:legendPos val="r"/>
      <c:overlay val="0"/>
    </c:legend>
    <c:plotVisOnly val="1"/>
    <c:dispBlanksAs val="gap"/>
  </c:chart>
  <c:spPr>
    <a:solidFill>
      <a:srgbClr val="FFFFFF"/>
    </a:solidFill>
    <a:ln w="12700">
      <a:solidFill>
        <a:srgbClr val="0F5F6D"/>
      </a:solidFill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0F5F6D"/>
                </a:solidFill>
                <a:latin typeface="Calibri"/>
              </a:rPr>
              <a:t>Equipment and rentals — COE vs 3rd Party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'_ChartData'!$U$6:$U$6</c:f>
            </c:strRef>
          </c:tx>
          <c:spPr>
            <a:solidFill>
              <a:srgbClr val="0F5F6D"/>
            </a:solidFill>
            <a:ln w="0">
              <a:noFill/>
            </a:ln>
          </c:spPr>
          <c:cat>
            <c:strRef>
              <c:f>'_ChartData'!$T$7:$T$8</c:f>
            </c:strRef>
          </c:cat>
          <c:val>
            <c:numRef>
              <c:f>'_ChartData'!$U$7:$U$8</c:f>
            </c:numRef>
          </c:val>
        </c:ser>
        <c:ser>
          <c:idx val="1"/>
          <c:order val="1"/>
          <c:tx>
            <c:strRef>
              <c:f>'_ChartData'!$V$6:$V$6</c:f>
            </c:strRef>
          </c:tx>
          <c:spPr>
            <a:solidFill>
              <a:srgbClr val="E38B2A"/>
            </a:solidFill>
            <a:ln w="0">
              <a:noFill/>
            </a:ln>
          </c:spPr>
          <c:cat>
            <c:strRef>
              <c:f>'_ChartData'!$T$7:$T$8</c:f>
            </c:strRef>
          </c:cat>
          <c:val>
            <c:numRef>
              <c:f>'_ChartData'!$V$7:$V$8</c:f>
            </c:numRef>
          </c:val>
        </c:ser>
        <c:dLbls>
          <c:showVal val="1"/>
          <c:showCatName val="0"/>
          <c:showSerName val="0"/>
          <c:showPercent val="0"/>
        </c:dLbls>
        <c:gapWidth val="8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w="6350">
              <a:solidFill>
                <a:srgbClr val="8AA3A1"/>
              </a:solidFill>
            </a:ln>
          </c:spPr>
        </c:majorGridlines>
        <c:numFmt formatCode="$#,##0" sourceLinked="0"/>
        <c:majorTickMark val="out"/>
        <c:minorTickMark val="none"/>
        <c:tickLblPos val="nextTo"/>
        <c:crossAx val="1"/>
        <c:crosses val="autoZero"/>
      </c:valAx>
      <c:spPr>
        <a:solidFill>
          <a:srgbClr val="F7FAF9"/>
        </a:solidFill>
        <a:ln w="6350">
          <a:solidFill>
            <a:srgbClr val="0F5F6D"/>
          </a:solidFill>
        </a:ln>
      </c:spPr>
    </c:plotArea>
    <c:legend>
      <c:legendPos val="b"/>
      <c:overlay val="0"/>
    </c:legend>
    <c:plotVisOnly val="1"/>
    <c:dispBlanksAs val="gap"/>
  </c:chart>
  <c:spPr>
    <a:solidFill>
      <a:srgbClr val="FFFFFF"/>
    </a:solidFill>
    <a:ln w="12700">
      <a:solidFill>
        <a:srgbClr val="0F5F6D"/>
      </a:solidFill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0F5F6D"/>
                </a:solidFill>
                <a:latin typeface="Calibri"/>
              </a:rPr>
              <a:t>Materials and other reimbursables — Forecast $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Materials and other reimbursables — Forecast $</c:v>
          </c:tx>
          <c:dPt>
            <c:idx val="0"/>
            <c:bubble3D val="0"/>
            <c:spPr>
              <a:solidFill>
                <a:srgbClr val="0F5F6D"/>
              </a:solidFill>
              <a:ln w="1270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E38B2A"/>
              </a:solidFill>
              <a:ln w="1270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1A7A88"/>
              </a:solidFill>
              <a:ln w="12700">
                <a:solidFill>
                  <a:srgbClr val="FFFFFF"/>
                </a:solidFill>
              </a:ln>
            </c:spPr>
          </c:dPt>
          <c:cat>
            <c:strRef>
              <c:f>'_ChartData'!$X$7:$X$9</c:f>
            </c:strRef>
          </c:cat>
          <c:val>
            <c:numRef>
              <c:f>'_ChartData'!$Y$7:$Y$9</c:f>
            </c:numRef>
          </c:val>
        </c:ser>
        <c:dLbls>
          <c:numFmt formatCode="$#,##0" sourceLinked="0"/>
          <c:showLegendKey val="0"/>
          <c:showVal val="1"/>
          <c:showCatName val="0"/>
          <c:showSerName val="0"/>
          <c:showPercent val="1"/>
          <c:showBubbleSize val="0"/>
          <c:showLeaderLines val="1"/>
        </c:dLbls>
        <c:firstSliceAng val="0"/>
        <c:holeSize val="58"/>
      </c:doughnutChart>
      <c:spPr>
        <a:solidFill>
          <a:srgbClr val="F7FAF9"/>
        </a:solidFill>
        <a:ln w="6350">
          <a:solidFill>
            <a:srgbClr val="0F5F6D"/>
          </a:solidFill>
        </a:ln>
      </c:spPr>
    </c:plotArea>
    <c:legend>
      <c:legendPos val="r"/>
      <c:overlay val="0"/>
    </c:legend>
    <c:plotVisOnly val="1"/>
    <c:dispBlanksAs val="gap"/>
  </c:chart>
  <c:spPr>
    <a:solidFill>
      <a:srgbClr val="FFFFFF"/>
    </a:solidFill>
    <a:ln w="12700">
      <a:solidFill>
        <a:srgbClr val="0F5F6D"/>
      </a:solidFill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0F5F6D"/>
                </a:solidFill>
                <a:latin typeface="Calibri"/>
              </a:rPr>
              <a:t>Where the money went — expended by area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Where the money went — expended by area</c:v>
          </c:tx>
          <c:dPt>
            <c:idx val="0"/>
            <c:bubble3D val="0"/>
            <c:spPr>
              <a:solidFill>
                <a:srgbClr val="0F5F6D"/>
              </a:solidFill>
              <a:ln w="1270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E38B2A"/>
              </a:solidFill>
              <a:ln w="1270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1A7A88"/>
              </a:solidFill>
              <a:ln w="12700">
                <a:solidFill>
                  <a:srgbClr val="FFFFFF"/>
                </a:solidFill>
              </a:ln>
            </c:spPr>
          </c:dPt>
          <c:dPt>
            <c:idx val="3"/>
            <c:bubble3D val="0"/>
            <c:spPr>
              <a:solidFill>
                <a:srgbClr val="083943"/>
              </a:solidFill>
              <a:ln w="12700">
                <a:solidFill>
                  <a:srgbClr val="FFFFFF"/>
                </a:solidFill>
              </a:ln>
            </c:spPr>
          </c:dPt>
          <c:dPt>
            <c:idx val="4"/>
            <c:bubble3D val="0"/>
            <c:spPr>
              <a:solidFill>
                <a:srgbClr val="00B0F0"/>
              </a:solidFill>
              <a:ln w="12700">
                <a:solidFill>
                  <a:srgbClr val="FFFFFF"/>
                </a:solidFill>
              </a:ln>
            </c:spPr>
          </c:dPt>
          <c:dPt>
            <c:idx val="5"/>
            <c:bubble3D val="0"/>
            <c:spPr>
              <a:solidFill>
                <a:srgbClr val="C4922A"/>
              </a:solidFill>
              <a:ln w="12700">
                <a:solidFill>
                  <a:srgbClr val="FFFFFF"/>
                </a:solidFill>
              </a:ln>
            </c:spPr>
          </c:dPt>
          <c:dPt>
            <c:idx val="6"/>
            <c:bubble3D val="0"/>
            <c:spPr>
              <a:solidFill>
                <a:srgbClr val="5B6F73"/>
              </a:solidFill>
              <a:ln w="12700">
                <a:solidFill>
                  <a:srgbClr val="FFFFFF"/>
                </a:solidFill>
              </a:ln>
            </c:spPr>
          </c:dPt>
          <c:cat>
            <c:strRef>
              <c:f>'_ChartData'!$D$7:$D$13</c:f>
            </c:strRef>
          </c:cat>
          <c:val>
            <c:numRef>
              <c:f>'_ChartData'!$F$7:$F$13</c:f>
            </c:numRef>
          </c:val>
        </c:ser>
        <c:dLbls>
          <c:numFmt formatCode="$#,##0" sourceLinked="0"/>
          <c:showLegendKey val="0"/>
          <c:showVal val="1"/>
          <c:showCatName val="0"/>
          <c:showSerName val="0"/>
          <c:showPercent val="1"/>
          <c:showBubbleSize val="0"/>
          <c:showLeaderLines val="1"/>
        </c:dLbls>
        <c:firstSliceAng val="0"/>
        <c:holeSize val="58"/>
      </c:doughnutChart>
      <c:spPr>
        <a:solidFill>
          <a:srgbClr val="F7FAF9"/>
        </a:solidFill>
        <a:ln w="6350">
          <a:solidFill>
            <a:srgbClr val="0F5F6D"/>
          </a:solidFill>
        </a:ln>
      </c:spPr>
    </c:plotArea>
    <c:legend>
      <c:legendPos val="r"/>
      <c:overlay val="0"/>
    </c:legend>
    <c:plotVisOnly val="1"/>
    <c:dispBlanksAs val="gap"/>
  </c:chart>
  <c:spPr>
    <a:solidFill>
      <a:srgbClr val="FFFFFF"/>
    </a:solidFill>
    <a:ln w="12700">
      <a:solidFill>
        <a:srgbClr val="0F5F6D"/>
      </a:solidFill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0F5F6D"/>
                </a:solidFill>
                <a:latin typeface="Calibri"/>
              </a:rPr>
              <a:t>Hours by craft — T3 Export 16 Units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Hours</c:v>
          </c:tx>
          <c:spPr>
            <a:solidFill>
              <a:srgbClr val="E38B2A"/>
            </a:solidFill>
            <a:ln w="0">
              <a:noFill/>
            </a:ln>
          </c:spPr>
          <c:cat>
            <c:strRef>
              <c:f>'_ChartData'!$AB$7:$AB$9</c:f>
            </c:strRef>
          </c:cat>
          <c:val>
            <c:numRef>
              <c:f>'_ChartData'!$AC$7:$AC$9</c:f>
            </c:numRef>
          </c:val>
        </c:ser>
        <c:dLbls>
          <c:showVal val="1"/>
          <c:showCatName val="0"/>
          <c:showSerName val="0"/>
          <c:showPercent val="0"/>
        </c:dLbls>
        <c:gapWidth val="8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w="6350">
              <a:solidFill>
                <a:srgbClr val="8AA3A1"/>
              </a:solidFill>
            </a:ln>
          </c:spPr>
        </c:majorGridlines>
        <c:numFmt formatCode="#,##0.0" sourceLinked="0"/>
        <c:majorTickMark val="out"/>
        <c:minorTickMark val="none"/>
        <c:tickLblPos val="nextTo"/>
        <c:crossAx val="1"/>
        <c:crosses val="autoZero"/>
      </c:valAx>
      <c:spPr>
        <a:solidFill>
          <a:srgbClr val="F7FAF9"/>
        </a:solidFill>
        <a:ln w="6350">
          <a:solidFill>
            <a:srgbClr val="0F5F6D"/>
          </a:solidFill>
        </a:ln>
      </c:spPr>
    </c:plotArea>
    <c:legend>
      <c:legendPos val="b"/>
      <c:overlay val="0"/>
    </c:legend>
    <c:plotVisOnly val="1"/>
    <c:dispBlanksAs val="gap"/>
  </c:chart>
  <c:spPr>
    <a:solidFill>
      <a:srgbClr val="FFFFFF"/>
    </a:solidFill>
    <a:ln w="12700">
      <a:solidFill>
        <a:srgbClr val="0F5F6D"/>
      </a:solidFill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0F5F6D"/>
                </a:solidFill>
                <a:latin typeface="Calibri"/>
              </a:rPr>
              <a:t>Peak headcount by craft — T3 Export 16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Headcount</c:v>
          </c:tx>
          <c:spPr>
            <a:solidFill>
              <a:srgbClr val="0F5F6D"/>
            </a:solidFill>
            <a:ln w="0">
              <a:noFill/>
            </a:ln>
          </c:spPr>
          <c:cat>
            <c:strRef>
              <c:f>'_ChartData'!$AB$7:$AB$9</c:f>
            </c:strRef>
          </c:cat>
          <c:val>
            <c:numRef>
              <c:f>'_ChartData'!$AD$7:$AD$9</c:f>
            </c:numRef>
          </c:val>
        </c:ser>
        <c:dLbls>
          <c:showVal val="1"/>
          <c:showCatName val="0"/>
          <c:showSerName val="0"/>
          <c:showPercent val="0"/>
        </c:dLbls>
        <c:gapWidth val="8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w="6350">
              <a:solidFill>
                <a:srgbClr val="8AA3A1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1"/>
        <c:crosses val="autoZero"/>
      </c:valAx>
      <c:spPr>
        <a:solidFill>
          <a:srgbClr val="F7FAF9"/>
        </a:solidFill>
        <a:ln w="6350">
          <a:solidFill>
            <a:srgbClr val="0F5F6D"/>
          </a:solidFill>
        </a:ln>
      </c:spPr>
    </c:plotArea>
    <c:legend>
      <c:legendPos val="b"/>
      <c:overlay val="0"/>
    </c:legend>
    <c:plotVisOnly val="1"/>
    <c:dispBlanksAs val="gap"/>
  </c:chart>
  <c:spPr>
    <a:solidFill>
      <a:srgbClr val="FFFFFF"/>
    </a:solidFill>
    <a:ln w="12700">
      <a:solidFill>
        <a:srgbClr val="0F5F6D"/>
      </a:solidFill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0F5F6D"/>
                </a:solidFill>
                <a:latin typeface="Calibri"/>
              </a:rPr>
              <a:t>Hours S-curve — live-pack estimate vs T3 Export 16 actuals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Estimate hours</c:v>
          </c:tx>
          <c:spPr>
            <a:ln w="25400">
              <a:solidFill>
                <a:srgbClr val="0F5F6D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F5F6D"/>
              </a:solidFill>
              <a:ln>
                <a:solidFill>
                  <a:srgbClr val="0F5F6D"/>
                </a:solidFill>
              </a:ln>
            </c:spPr>
          </c:marker>
          <c:cat>
            <c:strRef>
              <c:f>'Hrs S-curve'!$A$7:$A$10</c:f>
            </c:strRef>
          </c:cat>
          <c:val>
            <c:numRef>
              <c:f>'Hrs S-curve'!$D$7:$D$10</c:f>
            </c:numRef>
          </c:val>
          <c:smooth val="0"/>
        </c:ser>
        <c:ser>
          <c:idx val="1"/>
          <c:order val="1"/>
          <c:tx>
            <c:v>Actual hours</c:v>
          </c:tx>
          <c:spPr>
            <a:ln w="25400">
              <a:solidFill>
                <a:srgbClr val="E38B2A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E38B2A"/>
              </a:solidFill>
              <a:ln>
                <a:solidFill>
                  <a:srgbClr val="E38B2A"/>
                </a:solidFill>
              </a:ln>
            </c:spPr>
          </c:marker>
          <c:cat>
            <c:strRef>
              <c:f>'Hrs S-curve'!$A$7:$A$10</c:f>
            </c:strRef>
          </c:cat>
          <c:val>
            <c:numRef>
              <c:f>'Hrs S-curve'!$E$7:$E$10</c:f>
            </c:numRef>
          </c:val>
          <c:smooth val="0"/>
        </c:ser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YYYY-MM-DD" sourceLinked="0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w="6350">
              <a:solidFill>
                <a:srgbClr val="8AA3A1"/>
              </a:solidFill>
            </a:ln>
          </c:spPr>
        </c:majorGridlines>
        <c:numFmt formatCode="#,##0.0" sourceLinked="0"/>
        <c:majorTickMark val="out"/>
        <c:minorTickMark val="none"/>
        <c:tickLblPos val="nextTo"/>
        <c:crossAx val="1"/>
        <c:crosses val="autoZero"/>
      </c:valAx>
      <c:spPr>
        <a:solidFill>
          <a:srgbClr val="F7FAF9"/>
        </a:solidFill>
        <a:ln w="6350">
          <a:solidFill>
            <a:srgbClr val="0F5F6D"/>
          </a:solidFill>
        </a:ln>
      </c:spPr>
    </c:plotArea>
    <c:legend>
      <c:legendPos val="b"/>
      <c:overlay val="0"/>
    </c:legend>
    <c:plotVisOnly val="1"/>
    <c:dispBlanksAs val="gap"/>
  </c:chart>
  <c:spPr>
    <a:solidFill>
      <a:srgbClr val="FFFFFF"/>
    </a:solidFill>
    <a:ln w="12700">
      <a:solidFill>
        <a:srgbClr val="0F5F6D"/>
      </a:solidFill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0F5F6D"/>
                </a:solidFill>
                <a:latin typeface="Calibri"/>
              </a:rPr>
              <a:t>Hours S-curve — live-pack estimate vs T3 Export 16 actuals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Estimate hours</c:v>
          </c:tx>
          <c:spPr>
            <a:ln w="25400">
              <a:solidFill>
                <a:srgbClr val="0F5F6D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F5F6D"/>
              </a:solidFill>
              <a:ln>
                <a:solidFill>
                  <a:srgbClr val="0F5F6D"/>
                </a:solidFill>
              </a:ln>
            </c:spPr>
          </c:marker>
          <c:cat>
            <c:strRef>
              <c:f>'Hrs S-curve'!$A$7:$A$10</c:f>
            </c:strRef>
          </c:cat>
          <c:val>
            <c:numRef>
              <c:f>'Hrs S-curve'!$D$7:$D$10</c:f>
            </c:numRef>
          </c:val>
          <c:smooth val="0"/>
        </c:ser>
        <c:ser>
          <c:idx val="1"/>
          <c:order val="1"/>
          <c:tx>
            <c:v>Actual hours</c:v>
          </c:tx>
          <c:spPr>
            <a:ln w="25400">
              <a:solidFill>
                <a:srgbClr val="E38B2A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E38B2A"/>
              </a:solidFill>
              <a:ln>
                <a:solidFill>
                  <a:srgbClr val="E38B2A"/>
                </a:solidFill>
              </a:ln>
            </c:spPr>
          </c:marker>
          <c:cat>
            <c:strRef>
              <c:f>'Hrs S-curve'!$A$7:$A$10</c:f>
            </c:strRef>
          </c:cat>
          <c:val>
            <c:numRef>
              <c:f>'Hrs S-curve'!$E$7:$E$10</c:f>
            </c:numRef>
          </c:val>
          <c:smooth val="0"/>
        </c:ser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YYYY-MM-DD" sourceLinked="0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w="6350">
              <a:solidFill>
                <a:srgbClr val="8AA3A1"/>
              </a:solidFill>
            </a:ln>
          </c:spPr>
        </c:majorGridlines>
        <c:numFmt formatCode="#,##0.0" sourceLinked="0"/>
        <c:majorTickMark val="out"/>
        <c:minorTickMark val="none"/>
        <c:tickLblPos val="nextTo"/>
        <c:crossAx val="1"/>
        <c:crosses val="autoZero"/>
      </c:valAx>
      <c:spPr>
        <a:solidFill>
          <a:srgbClr val="F7FAF9"/>
        </a:solidFill>
        <a:ln w="6350">
          <a:solidFill>
            <a:srgbClr val="0F5F6D"/>
          </a:solidFill>
        </a:ln>
      </c:spPr>
    </c:plotArea>
    <c:legend>
      <c:legendPos val="b"/>
      <c:overlay val="0"/>
    </c:legend>
    <c:plotVisOnly val="1"/>
    <c:dispBlanksAs val="gap"/>
  </c:chart>
  <c:spPr>
    <a:solidFill>
      <a:srgbClr val="FFFFFF"/>
    </a:solidFill>
    <a:ln w="12700">
      <a:solidFill>
        <a:srgbClr val="0F5F6D"/>
      </a:solidFill>
    </a:ln>
  </c:spPr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  <Relationship Id="rId2" Type="http://schemas.openxmlformats.org/officeDocument/2006/relationships/chart" Target="../charts/chart2.xml"/>
  <Relationship Id="rId3" Type="http://schemas.openxmlformats.org/officeDocument/2006/relationships/chart" Target="../charts/chart3.xml"/>
  <Relationship Id="rId4" Type="http://schemas.openxmlformats.org/officeDocument/2006/relationships/chart" Target="../charts/chart4.xml"/>
  <Relationship Id="rId5" Type="http://schemas.openxmlformats.org/officeDocument/2006/relationships/chart" Target="../charts/chart5.xml"/>
  <Relationship Id="rId6" Type="http://schemas.openxmlformats.org/officeDocument/2006/relationships/chart" Target="../charts/chart6.xml"/>
  <Relationship Id="rId7" Type="http://schemas.openxmlformats.org/officeDocument/2006/relationships/chart" Target="../charts/chart7.xml"/>
  <Relationship Id="rId8" Type="http://schemas.openxmlformats.org/officeDocument/2006/relationships/chart" Target="../charts/chart8.xml"/>
  <Relationship Id="rId9" Type="http://schemas.openxmlformats.org/officeDocument/2006/relationships/chart" Target="../charts/chart9.xml"/>
  <Relationship Id="rId10" Type="http://schemas.openxmlformats.org/officeDocument/2006/relationships/chart" Target="../charts/chart10.xml"/>
  <Relationship Id="rId11" Type="http://schemas.openxmlformats.org/officeDocument/2006/relationships/chart" Target="../charts/chart11.xml"/>
  <Relationship Id="rId12" Type="http://schemas.openxmlformats.org/officeDocument/2006/relationships/chart" Target="../charts/chart12.xml"/>
</Relationships>

</file>

<file path=xl/drawings/_rels/drawing2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3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2" name="Job cost mix — Current Forecast by area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3" name="Forecast vs Expended — all cost areas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9</xdr:row>
      <xdr:rowOff>0</xdr:rowOff>
    </xdr:from>
    <xdr:to>
      <xdr:col>24</xdr:col>
      <xdr:colOff>0</xdr:colOff>
      <xdr:row>24</xdr:row>
      <xdr:rowOff>0</xdr:rowOff>
    </xdr:to>
    <xdr:graphicFrame macro="">
      <xdr:nvGraphicFramePr>
        <xdr:cNvPr id="4" name="Direct craft labor — by craft (Forecast $)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5" name="Indirect labor — Foremen / Support / Staff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6" name="Per diem and travel — Forecast vs Expended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24</xdr:row>
      <xdr:rowOff>0</xdr:rowOff>
    </xdr:from>
    <xdr:to>
      <xdr:col>24</xdr:col>
      <xdr:colOff>0</xdr:colOff>
      <xdr:row>39</xdr:row>
      <xdr:rowOff>0</xdr:rowOff>
    </xdr:to>
    <xdr:graphicFrame macro="">
      <xdr:nvGraphicFramePr>
        <xdr:cNvPr id="7" name="Subcontractor costs — live pack by vendor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8</xdr:col>
      <xdr:colOff>0</xdr:colOff>
      <xdr:row>54</xdr:row>
      <xdr:rowOff>0</xdr:rowOff>
    </xdr:to>
    <xdr:graphicFrame macro="">
      <xdr:nvGraphicFramePr>
        <xdr:cNvPr id="8" name="Equipment and rentals — COE vs 3rd Par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16</xdr:col>
      <xdr:colOff>0</xdr:colOff>
      <xdr:row>54</xdr:row>
      <xdr:rowOff>0</xdr:rowOff>
    </xdr:to>
    <xdr:graphicFrame macro="">
      <xdr:nvGraphicFramePr>
        <xdr:cNvPr id="9" name="Materials and other reimbursables — Forecast $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39</xdr:row>
      <xdr:rowOff>0</xdr:rowOff>
    </xdr:from>
    <xdr:to>
      <xdr:col>24</xdr:col>
      <xdr:colOff>0</xdr:colOff>
      <xdr:row>54</xdr:row>
      <xdr:rowOff>0</xdr:rowOff>
    </xdr:to>
    <xdr:graphicFrame macro="">
      <xdr:nvGraphicFramePr>
        <xdr:cNvPr id="10" name="Where the money went — expended by area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8</xdr:col>
      <xdr:colOff>0</xdr:colOff>
      <xdr:row>69</xdr:row>
      <xdr:rowOff>0</xdr:rowOff>
    </xdr:to>
    <xdr:graphicFrame macro="">
      <xdr:nvGraphicFramePr>
        <xdr:cNvPr id="11" name="Hours by craft — T3 Export 16 Units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54</xdr:row>
      <xdr:rowOff>0</xdr:rowOff>
    </xdr:from>
    <xdr:to>
      <xdr:col>16</xdr:col>
      <xdr:colOff>0</xdr:colOff>
      <xdr:row>69</xdr:row>
      <xdr:rowOff>0</xdr:rowOff>
    </xdr:to>
    <xdr:graphicFrame macro="">
      <xdr:nvGraphicFramePr>
        <xdr:cNvPr id="12" name="Peak headcount by craft — T3 Export 16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0</xdr:colOff>
      <xdr:row>54</xdr:row>
      <xdr:rowOff>0</xdr:rowOff>
    </xdr:from>
    <xdr:to>
      <xdr:col>24</xdr:col>
      <xdr:colOff>0</xdr:colOff>
      <xdr:row>69</xdr:row>
      <xdr:rowOff>0</xdr:rowOff>
    </xdr:to>
    <xdr:graphicFrame macro="">
      <xdr:nvGraphicFramePr>
        <xdr:cNvPr id="13" name="Hours S-curve — live-pack estimate vs T3 Export 16 actuals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2" name="Hours S-curve — live-pack estimate vs T3 Export 16 actuals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8B2A"/>
    <pageSetUpPr fitToPage="1"/>
  </sheetPr>
  <dimension ref="A1:X70"/>
  <sheetViews>
    <sheetView workbookViewId="0" showGridLines="0">
      <pane ySplit="6" topLeftCell="A7" activePane="bottomLeft" state="frozen"/>
      <selection pane="bottomLeft" activeCell="A7" sqref="A7"/>
    </sheetView>
  </sheetViews>
  <sheetFormatPr defaultRowHeight="0" outlineLevelRow="0" outlineLevelCol="0" x14ac:dyDescent="55" customHeight="1" zeroHeight="1"/>
  <cols>
    <col min="1" max="1" width="22" customWidth="1"/>
    <col min="3" max="3" width="14" customWidth="1"/>
    <col min="4" max="16384" width="9" hidden="1" customWidth="1"/>
  </cols>
  <sheetData>
    <row r="1" ht="22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6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6" customHeight="1" spans="1:2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6" customHeight="1" spans="1:24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6" customHeight="1" spans="1:24" x14ac:dyDescent="0.2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20" customHeight="1" spans="1:24" x14ac:dyDescent="0.25">
      <c r="A6" s="4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6" customHeight="1" spans="1:24" x14ac:dyDescent="0.25">
      <c r="A7" s="5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6" customHeight="1" spans="1:24" x14ac:dyDescent="0.25">
      <c r="A8" s="6" t="s">
        <v>7</v>
      </c>
      <c r="B8" s="7"/>
      <c r="C8" s="6" t="s">
        <v>8</v>
      </c>
      <c r="D8" s="7"/>
      <c r="E8" s="6" t="s">
        <v>9</v>
      </c>
      <c r="F8" s="7"/>
      <c r="G8" s="6" t="s">
        <v>10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ht="16" customHeight="1" spans="1:24" x14ac:dyDescent="0.25">
      <c r="A9" s="8">
        <f>'Total Project PPR'!D29</f>
        <v>65135.600000000006</v>
      </c>
      <c r="C9" s="8">
        <f>'Total Project PPR'!M29</f>
        <v>39060</v>
      </c>
      <c r="E9" s="9">
        <f>'Total Project PPR'!Q29</f>
        <v>0.45</v>
      </c>
      <c r="G9" s="10">
        <f>'Total Project PPR'!T29</f>
        <v>242</v>
      </c>
    </row>
    <row r="10" ht="16" customHeight="1" spans="1:24" x14ac:dyDescent="0.25">
      <c r="A10" s="11"/>
      <c r="G10" s="11"/>
    </row>
    <row r="11" ht="16" customHeight="1" spans="1:24" x14ac:dyDescent="0.25">
      <c r="A11" s="11"/>
      <c r="G11" s="11"/>
    </row>
    <row r="12" ht="16" customHeight="1" spans="1:24" x14ac:dyDescent="0.25">
      <c r="A12" s="11"/>
      <c r="G12" s="11"/>
    </row>
    <row r="13" ht="16" customHeight="1" spans="1:24" x14ac:dyDescent="0.25">
      <c r="A13" s="11"/>
      <c r="G13" s="11"/>
    </row>
    <row r="14" ht="16" customHeight="1" spans="1:24" x14ac:dyDescent="0.25">
      <c r="A14" s="11"/>
      <c r="G14" s="11"/>
    </row>
    <row r="15" ht="16" customHeight="1" spans="1:24" x14ac:dyDescent="0.25">
      <c r="A15" s="11"/>
      <c r="G15" s="11"/>
    </row>
    <row r="16" ht="16" customHeight="1" spans="1:24" x14ac:dyDescent="0.25">
      <c r="A16" s="11"/>
      <c r="G16" s="11"/>
    </row>
    <row r="17" ht="16" customHeight="1" spans="1:24" x14ac:dyDescent="0.25">
      <c r="A17" s="11"/>
      <c r="G17" s="11"/>
    </row>
    <row r="18" ht="16" customHeight="1" spans="1:24" x14ac:dyDescent="0.25">
      <c r="A18" s="11"/>
      <c r="G18" s="11"/>
    </row>
    <row r="19" ht="16" customHeight="1" spans="1:24" x14ac:dyDescent="0.25">
      <c r="A19" s="11"/>
      <c r="G19" s="11"/>
    </row>
    <row r="20" ht="16" customHeight="1" spans="1:24" x14ac:dyDescent="0.25">
      <c r="A20" s="11"/>
      <c r="G20" s="11"/>
    </row>
    <row r="21" ht="16" customHeight="1" spans="1:24" x14ac:dyDescent="0.25">
      <c r="A21" s="11"/>
      <c r="G21" s="11"/>
    </row>
    <row r="22" ht="16" customHeight="1" spans="1:24" x14ac:dyDescent="0.25">
      <c r="A22" s="11"/>
      <c r="G22" s="11"/>
    </row>
    <row r="23" ht="16" customHeight="1" spans="1:24" x14ac:dyDescent="0.25">
      <c r="A23" s="11"/>
      <c r="G23" s="11"/>
    </row>
    <row r="24" ht="16" customHeight="1" spans="1:24" x14ac:dyDescent="0.25">
      <c r="A24" s="11"/>
      <c r="G24" s="11"/>
    </row>
    <row r="25" ht="16" customHeight="1" spans="1:24" x14ac:dyDescent="0.25">
      <c r="A25" s="11"/>
      <c r="G25" s="11"/>
    </row>
    <row r="26" ht="16" customHeight="1" spans="1:24" x14ac:dyDescent="0.25">
      <c r="A26" s="11"/>
      <c r="G26" s="11"/>
    </row>
    <row r="27" ht="16" customHeight="1" spans="1:24" x14ac:dyDescent="0.25">
      <c r="A27" s="11"/>
      <c r="G27" s="11"/>
    </row>
    <row r="28" ht="16" customHeight="1" spans="1:24" x14ac:dyDescent="0.25">
      <c r="A28" s="11"/>
      <c r="G28" s="11"/>
    </row>
    <row r="29" ht="16" customHeight="1" spans="1:24" x14ac:dyDescent="0.25">
      <c r="A29" s="11"/>
      <c r="G29" s="11"/>
    </row>
    <row r="30" ht="16" customHeight="1" spans="1:24" x14ac:dyDescent="0.25">
      <c r="A30" s="11"/>
      <c r="G30" s="11"/>
    </row>
    <row r="31" ht="16" customHeight="1" spans="1:24" x14ac:dyDescent="0.25">
      <c r="A31" s="11"/>
      <c r="G31" s="11"/>
    </row>
    <row r="32" ht="16" customHeight="1" spans="1:24" x14ac:dyDescent="0.25">
      <c r="A32" s="11"/>
      <c r="G32" s="11"/>
    </row>
    <row r="33" ht="16" customHeight="1" spans="1:24" x14ac:dyDescent="0.25">
      <c r="A33" s="11"/>
      <c r="G33" s="11"/>
    </row>
    <row r="34" ht="16" customHeight="1" spans="1:24" x14ac:dyDescent="0.25">
      <c r="A34" s="11"/>
      <c r="G34" s="11"/>
    </row>
    <row r="35" ht="16" customHeight="1" spans="1:24" x14ac:dyDescent="0.25">
      <c r="A35" s="11"/>
      <c r="G35" s="11"/>
    </row>
    <row r="36" ht="16" customHeight="1" spans="1:24" x14ac:dyDescent="0.25">
      <c r="A36" s="11"/>
      <c r="G36" s="11"/>
    </row>
    <row r="37" ht="16" customHeight="1" spans="1:24" x14ac:dyDescent="0.25">
      <c r="A37" s="11"/>
      <c r="G37" s="11"/>
    </row>
    <row r="38" ht="16" customHeight="1" spans="1:24" x14ac:dyDescent="0.25">
      <c r="A38" s="11"/>
      <c r="G38" s="11"/>
    </row>
    <row r="39" ht="16" customHeight="1" spans="1:24" x14ac:dyDescent="0.25">
      <c r="A39" s="11"/>
      <c r="G39" s="11"/>
    </row>
    <row r="40" ht="16" customHeight="1" spans="1:24" x14ac:dyDescent="0.25">
      <c r="A40" s="11"/>
      <c r="G40" s="11"/>
    </row>
    <row r="41" ht="16" customHeight="1" spans="1:24" x14ac:dyDescent="0.25">
      <c r="A41" s="11"/>
      <c r="G41" s="11"/>
    </row>
    <row r="42" ht="16" customHeight="1" spans="1:24" x14ac:dyDescent="0.25">
      <c r="A42" s="11"/>
      <c r="G42" s="11"/>
    </row>
    <row r="43" ht="16" customHeight="1" spans="1:24" x14ac:dyDescent="0.25">
      <c r="A43" s="11"/>
      <c r="G43" s="11"/>
    </row>
    <row r="44" ht="16" customHeight="1" spans="1:24" x14ac:dyDescent="0.25">
      <c r="A44" s="11"/>
      <c r="G44" s="11"/>
    </row>
    <row r="45" ht="16" customHeight="1" spans="1:24" x14ac:dyDescent="0.25">
      <c r="A45" s="11"/>
      <c r="G45" s="11"/>
    </row>
    <row r="46" ht="16" customHeight="1" spans="1:24" x14ac:dyDescent="0.25">
      <c r="A46" s="11"/>
      <c r="G46" s="11"/>
    </row>
    <row r="47" ht="16" customHeight="1" spans="1:24" x14ac:dyDescent="0.25">
      <c r="A47" s="11"/>
      <c r="G47" s="11"/>
    </row>
    <row r="48" ht="16" customHeight="1" spans="1:24" x14ac:dyDescent="0.25">
      <c r="A48" s="11"/>
      <c r="G48" s="11"/>
    </row>
    <row r="49" ht="16" customHeight="1" spans="1:24" x14ac:dyDescent="0.25">
      <c r="A49" s="11"/>
      <c r="G49" s="11"/>
    </row>
    <row r="50" ht="16" customHeight="1" spans="1:24" x14ac:dyDescent="0.25">
      <c r="A50" s="11"/>
      <c r="G50" s="11"/>
    </row>
    <row r="51" ht="16" customHeight="1" spans="1:24" x14ac:dyDescent="0.25">
      <c r="A51" s="11"/>
      <c r="G51" s="11"/>
    </row>
    <row r="52" ht="16" customHeight="1" spans="1:24" x14ac:dyDescent="0.25">
      <c r="A52" s="11"/>
      <c r="G52" s="11"/>
    </row>
    <row r="53" ht="16" customHeight="1" spans="1:24" x14ac:dyDescent="0.25">
      <c r="A53" s="11"/>
      <c r="G53" s="11"/>
    </row>
    <row r="54" ht="16" customHeight="1" spans="1:24" x14ac:dyDescent="0.25">
      <c r="A54" s="11"/>
      <c r="G54" s="11"/>
    </row>
    <row r="55" ht="16" customHeight="1" spans="1:24" x14ac:dyDescent="0.25">
      <c r="A55" s="11"/>
      <c r="G55" s="11"/>
    </row>
    <row r="56" ht="16" customHeight="1" spans="1:24" x14ac:dyDescent="0.25">
      <c r="A56" s="11"/>
      <c r="G56" s="11"/>
    </row>
    <row r="57" ht="16" customHeight="1" spans="1:24" x14ac:dyDescent="0.25">
      <c r="A57" s="11"/>
      <c r="G57" s="11"/>
    </row>
    <row r="58" ht="16" customHeight="1" spans="1:24" x14ac:dyDescent="0.25">
      <c r="A58" s="11"/>
      <c r="G58" s="11"/>
    </row>
    <row r="59" ht="16" customHeight="1" spans="1:24" x14ac:dyDescent="0.25">
      <c r="A59" s="11"/>
      <c r="G59" s="11"/>
    </row>
    <row r="60" ht="16" customHeight="1" spans="1:24" x14ac:dyDescent="0.25">
      <c r="A60" s="11"/>
      <c r="G60" s="11"/>
    </row>
    <row r="61" ht="16" customHeight="1" spans="1:24" x14ac:dyDescent="0.25">
      <c r="A61" s="11"/>
      <c r="G61" s="11"/>
    </row>
    <row r="62" ht="16" customHeight="1" spans="1:24" x14ac:dyDescent="0.25">
      <c r="A62" s="11"/>
      <c r="G62" s="11"/>
    </row>
    <row r="63" ht="16" customHeight="1" spans="1:24" x14ac:dyDescent="0.25">
      <c r="A63" s="11"/>
      <c r="G63" s="11"/>
    </row>
    <row r="64" ht="16" customHeight="1" spans="1:24" x14ac:dyDescent="0.25">
      <c r="A64" s="11"/>
      <c r="G64" s="11"/>
    </row>
    <row r="65" ht="16" customHeight="1" spans="1:24" x14ac:dyDescent="0.25">
      <c r="A65" s="11"/>
      <c r="G65" s="11"/>
    </row>
    <row r="66" ht="16" customHeight="1" spans="1:24" x14ac:dyDescent="0.25">
      <c r="A66" s="11"/>
      <c r="G66" s="11"/>
    </row>
    <row r="67" ht="16" customHeight="1" spans="1:24" x14ac:dyDescent="0.25">
      <c r="A67" s="11"/>
      <c r="G67" s="11"/>
    </row>
    <row r="68" ht="16" customHeight="1" spans="1:24" x14ac:dyDescent="0.25">
      <c r="A68" s="11"/>
      <c r="G68" s="11"/>
    </row>
    <row r="69" ht="16" customHeight="1" spans="1:24" x14ac:dyDescent="0.25">
      <c r="A69" s="11"/>
      <c r="G69" s="11"/>
    </row>
    <row r="70" ht="16" customHeight="1" spans="1:24" x14ac:dyDescent="0.25">
      <c r="A70" s="5" t="s">
        <v>11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12" t="s">
        <v>12</v>
      </c>
    </row>
  </sheetData>
  <sheetProtection sheet="1"/>
  <mergeCells count="8">
    <mergeCell ref="A1:X1"/>
    <mergeCell ref="A2:X2"/>
    <mergeCell ref="A3:X3"/>
    <mergeCell ref="A4:X4"/>
    <mergeCell ref="A5:X5"/>
    <mergeCell ref="A6:X6"/>
    <mergeCell ref="A7:X7"/>
    <mergeCell ref="A70:W70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"/>
  <headerFooter>
    <oddHeader>&amp;L&amp;B HIT SQUAD / PROJECT CONTROLS &amp;C Charts &amp;R Confidential</oddHeader>
    <oddFooter>&amp;L Produced by Hit Squad Project Controls &amp;C &amp;D &amp;R Page &amp;P of &amp;N</oddFooter>
    <evenHeader>&amp;L&amp;B HIT SQUAD / PROJECT CONTROLS &amp;C Charts &amp;R Confidential</evenHeader>
    <evenFooter>&amp;L Produced by Hit Squad Project Controls &amp;C &amp;D &amp;R Page &amp;P of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3943"/>
    <pageSetUpPr fitToPage="1"/>
  </sheetPr>
  <dimension ref="A1:E18"/>
  <sheetViews>
    <sheetView workbookViewId="0" showGridLines="0">
      <pane ySplit="6" topLeftCell="A7" activePane="bottomLeft" state="frozen"/>
      <selection pane="bottomLeft" activeCell="A7" sqref="A7"/>
    </sheetView>
  </sheetViews>
  <sheetFormatPr defaultRowHeight="0" outlineLevelRow="0" outlineLevelCol="0" x14ac:dyDescent="55" customHeight="1" zeroHeight="1"/>
  <cols>
    <col min="1" max="1" width="22" customWidth="1"/>
    <col min="5" max="5" width="14" customWidth="1"/>
    <col min="6" max="16384" width="9" hidden="1" customWidth="1"/>
  </cols>
  <sheetData>
    <row r="1" ht="22" customHeight="1" spans="1:5" x14ac:dyDescent="0.25">
      <c r="A1" s="1" t="s">
        <v>0</v>
      </c>
      <c r="B1" s="1"/>
      <c r="C1" s="1"/>
      <c r="D1" s="1"/>
      <c r="E1" s="1"/>
    </row>
    <row r="2" ht="28" customHeight="1" spans="1:5" x14ac:dyDescent="0.25">
      <c r="A2" s="2" t="s">
        <v>1</v>
      </c>
      <c r="B2" s="2"/>
      <c r="C2" s="2"/>
      <c r="D2" s="2"/>
      <c r="E2" s="2"/>
    </row>
    <row r="3" ht="16" customHeight="1" spans="1:5" x14ac:dyDescent="0.25">
      <c r="A3" s="3" t="s">
        <v>2</v>
      </c>
      <c r="B3" s="3"/>
      <c r="C3" s="3"/>
      <c r="D3" s="3"/>
      <c r="E3" s="3"/>
    </row>
    <row r="4" ht="6" customHeight="1" spans="1:5" x14ac:dyDescent="0.25">
      <c r="A4" s="2" t="s">
        <v>13</v>
      </c>
      <c r="B4" s="2"/>
      <c r="C4" s="2"/>
      <c r="D4" s="2"/>
      <c r="E4" s="2"/>
    </row>
    <row r="5" ht="6" customHeight="1" spans="1:5" x14ac:dyDescent="0.25">
      <c r="A5" s="2" t="s">
        <v>4</v>
      </c>
      <c r="B5" s="2"/>
      <c r="C5" s="2"/>
      <c r="D5" s="2"/>
      <c r="E5" s="2"/>
    </row>
    <row r="6" ht="20" customHeight="1" spans="1:5" x14ac:dyDescent="0.25">
      <c r="A6" s="4" t="s">
        <v>5</v>
      </c>
      <c r="B6" s="4"/>
      <c r="C6" s="4"/>
      <c r="D6" s="4"/>
      <c r="E6" s="4"/>
    </row>
    <row r="7" ht="16" customHeight="1" spans="1:5" x14ac:dyDescent="0.25">
      <c r="A7" s="11"/>
    </row>
    <row r="8" ht="16" customHeight="1" spans="1:5" x14ac:dyDescent="0.25">
      <c r="A8" s="6" t="s">
        <v>14</v>
      </c>
      <c r="B8" s="6" t="s">
        <v>15</v>
      </c>
      <c r="C8" s="7"/>
      <c r="D8" s="6" t="s">
        <v>16</v>
      </c>
      <c r="E8" s="6" t="s">
        <v>17</v>
      </c>
    </row>
    <row r="9" ht="16" customHeight="1" spans="1:5" x14ac:dyDescent="0.25">
      <c r="A9" s="12" t="s">
        <v>18</v>
      </c>
      <c r="B9" s="12" t="s">
        <v>19</v>
      </c>
      <c r="D9" s="12" t="s">
        <v>7</v>
      </c>
      <c r="E9" s="8">
        <f>'Total Project PPR'!D29</f>
        <v>65135.600000000006</v>
      </c>
    </row>
    <row r="10" ht="16" customHeight="1" spans="1:5" x14ac:dyDescent="0.25">
      <c r="A10" s="12" t="s">
        <v>20</v>
      </c>
      <c r="B10" s="12" t="s">
        <v>21</v>
      </c>
      <c r="D10" s="12" t="s">
        <v>8</v>
      </c>
      <c r="E10" s="8">
        <f>'Total Project PPR'!M29</f>
        <v>39060</v>
      </c>
    </row>
    <row r="11" ht="16" customHeight="1" spans="1:5" x14ac:dyDescent="0.25">
      <c r="A11" s="12" t="s">
        <v>22</v>
      </c>
      <c r="B11" s="12" t="s">
        <v>23</v>
      </c>
      <c r="D11" s="12" t="s">
        <v>24</v>
      </c>
      <c r="E11" s="13">
        <f>'Total Project PPR'!G29</f>
        <v>440</v>
      </c>
    </row>
    <row r="12" ht="16" customHeight="1" spans="1:5" x14ac:dyDescent="0.25">
      <c r="A12" s="12" t="s">
        <v>25</v>
      </c>
      <c r="B12" s="12" t="s">
        <v>26</v>
      </c>
      <c r="D12" s="12" t="s">
        <v>27</v>
      </c>
      <c r="E12" s="13">
        <f>'Total Project PPR'!K29</f>
        <v>264</v>
      </c>
    </row>
    <row r="13" ht="16" customHeight="1" spans="1:5" x14ac:dyDescent="0.25">
      <c r="A13" s="12" t="s">
        <v>28</v>
      </c>
      <c r="B13" s="12" t="s">
        <v>29</v>
      </c>
      <c r="D13" s="12" t="s">
        <v>30</v>
      </c>
      <c r="E13" s="13">
        <f>'Total Project PPR'!O29</f>
        <v>198</v>
      </c>
    </row>
    <row r="14" ht="16" customHeight="1" spans="1:5" x14ac:dyDescent="0.25">
      <c r="A14" s="12" t="s">
        <v>31</v>
      </c>
      <c r="B14" s="12" t="s">
        <v>32</v>
      </c>
      <c r="D14" s="12" t="s">
        <v>9</v>
      </c>
      <c r="E14" s="9">
        <f>'Total Project PPR'!Q29</f>
        <v>0.45</v>
      </c>
    </row>
    <row r="15" ht="16" customHeight="1" spans="1:5" x14ac:dyDescent="0.25">
      <c r="A15" s="12" t="s">
        <v>33</v>
      </c>
      <c r="B15" s="12" t="s">
        <v>34</v>
      </c>
      <c r="D15" s="12" t="s">
        <v>35</v>
      </c>
      <c r="E15" s="14">
        <f>'Total Project PPR'!S29</f>
        <v>0.75</v>
      </c>
    </row>
    <row r="16" ht="16" customHeight="1" spans="1:5" x14ac:dyDescent="0.25">
      <c r="A16" s="15" t="s">
        <v>36</v>
      </c>
      <c r="B16" s="15" t="s">
        <v>37</v>
      </c>
      <c r="D16" s="15" t="s">
        <v>10</v>
      </c>
      <c r="E16" s="16">
        <f>'Total Project PPR'!T29</f>
        <v>242</v>
      </c>
    </row>
    <row r="17" ht="16" customHeight="1" spans="1:5" x14ac:dyDescent="0.25"/>
    <row r="18" ht="16" customHeight="1" spans="1:5" x14ac:dyDescent="0.25">
      <c r="A18" s="12" t="s">
        <v>38</v>
      </c>
      <c r="B18" s="12"/>
      <c r="C18" s="12"/>
      <c r="D18" s="12"/>
      <c r="E18" s="12"/>
    </row>
  </sheetData>
  <sheetProtection sheet="1"/>
  <mergeCells count="7">
    <mergeCell ref="A1:E1"/>
    <mergeCell ref="A2:E2"/>
    <mergeCell ref="A3:E3"/>
    <mergeCell ref="A4:E4"/>
    <mergeCell ref="A5:E5"/>
    <mergeCell ref="A6:E6"/>
    <mergeCell ref="A18:E18"/>
  </mergeCells>
  <printOptions horizontalCentered="1"/>
  <pageMargins left="0.4" right="0.4" top="0.65" bottom="0.65" header="0.28" footer="0.28"/>
  <pageSetup orientation="portrait" horizontalDpi="4294967295" verticalDpi="4294967295" scale="100" fitToWidth="1" fitToHeight="1"/>
  <headerFooter>
    <oddHeader>&amp;L&amp;B HIT SQUAD / PROJECT CONTROLS &amp;C Cover &amp;R Confidential</oddHeader>
    <oddFooter>&amp;L Produced by Hit Squad Project Controls &amp;C &amp;D &amp;R Page &amp;P of &amp;N</oddFooter>
    <evenHeader>&amp;L&amp;B HIT SQUAD / PROJECT CONTROLS &amp;C Cover &amp;R Confidential</evenHeader>
    <evenFooter>&amp;L Produced by Hit Squad Project Controls &amp;C &amp;D &amp;R Page &amp;P of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3943"/>
    <pageSetUpPr fitToPage="1"/>
  </sheetPr>
  <dimension ref="A1:T31"/>
  <sheetViews>
    <sheetView workbookViewId="0">
      <pane xSplit="1" ySplit="9" topLeftCell="B10" activePane="bottomRight" state="frozen"/>
      <selection pane="bottomRight" activeCell="A10" sqref="A10"/>
    </sheetView>
  </sheetViews>
  <sheetFormatPr defaultRowHeight="0" outlineLevelRow="0" outlineLevelCol="0" x14ac:dyDescent="55" customHeight="1" zeroHeight="1"/>
  <cols>
    <col min="1" max="1" width="32" customWidth="1"/>
    <col min="2" max="4" width="14" customWidth="1"/>
    <col min="5" max="7" width="12" customWidth="1"/>
    <col min="8" max="9" width="14" customWidth="1"/>
    <col min="10" max="11" width="12" customWidth="1"/>
    <col min="12" max="13" width="14" customWidth="1"/>
    <col min="14" max="17" width="12" customWidth="1"/>
    <col min="18" max="18" width="14" customWidth="1"/>
    <col min="19" max="20" width="12" customWidth="1"/>
    <col min="21" max="16384" width="9" hidden="1" customWidth="1"/>
  </cols>
  <sheetData>
    <row r="1" ht="22" customHeight="1" spans="1:20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ht="16" customHeight="1" spans="1:20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ht="16" customHeight="1" spans="1:20" x14ac:dyDescent="0.25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ht="6" customHeight="1" spans="1:20" x14ac:dyDescent="0.25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ht="6" customHeight="1" spans="1:20" x14ac:dyDescent="0.25">
      <c r="A5" s="18" t="s">
        <v>39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ht="20" customHeight="1" spans="1:20" x14ac:dyDescent="0.25">
      <c r="A6" s="20" t="s">
        <v>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</row>
    <row r="7" ht="18" customHeight="1" spans="1:20" x14ac:dyDescent="0.25">
      <c r="A7" s="21" t="s">
        <v>40</v>
      </c>
      <c r="B7" s="22" t="s">
        <v>41</v>
      </c>
      <c r="C7" s="22"/>
      <c r="D7" s="22"/>
      <c r="E7" s="22" t="s">
        <v>24</v>
      </c>
      <c r="F7" s="22"/>
      <c r="G7" s="22"/>
      <c r="H7" s="22" t="s">
        <v>42</v>
      </c>
      <c r="I7" s="22"/>
      <c r="J7" s="23" t="s">
        <v>43</v>
      </c>
      <c r="K7" s="23"/>
      <c r="L7" s="23" t="s">
        <v>44</v>
      </c>
      <c r="M7" s="23"/>
      <c r="N7" s="24" t="s">
        <v>45</v>
      </c>
      <c r="O7" s="24"/>
      <c r="P7" s="22" t="s">
        <v>9</v>
      </c>
      <c r="Q7" s="22"/>
      <c r="R7" s="22" t="s">
        <v>46</v>
      </c>
      <c r="S7" s="22"/>
      <c r="T7" s="22"/>
    </row>
    <row r="8" ht="16" customHeight="1" spans="1:20" x14ac:dyDescent="0.25">
      <c r="A8" s="21"/>
      <c r="B8" s="22" t="s">
        <v>47</v>
      </c>
      <c r="C8" s="22"/>
      <c r="D8" s="22"/>
      <c r="E8" s="21" t="s">
        <v>48</v>
      </c>
      <c r="F8" s="21"/>
      <c r="G8" s="21"/>
      <c r="H8" s="21" t="s">
        <v>49</v>
      </c>
      <c r="I8" s="21"/>
      <c r="J8" s="25" t="s">
        <v>48</v>
      </c>
      <c r="K8" s="25"/>
      <c r="L8" s="23" t="s">
        <v>47</v>
      </c>
      <c r="M8" s="23"/>
      <c r="N8" s="26" t="s">
        <v>48</v>
      </c>
      <c r="O8" s="26"/>
      <c r="P8" s="22" t="s">
        <v>50</v>
      </c>
      <c r="Q8" s="22"/>
      <c r="R8" s="22" t="s">
        <v>40</v>
      </c>
      <c r="S8" s="22"/>
      <c r="T8" s="22"/>
    </row>
    <row r="9" ht="28" customHeight="1" spans="1:20" x14ac:dyDescent="0.25">
      <c r="A9" s="21"/>
      <c r="B9" s="21" t="s">
        <v>51</v>
      </c>
      <c r="C9" s="22" t="s">
        <v>52</v>
      </c>
      <c r="D9" s="22" t="s">
        <v>53</v>
      </c>
      <c r="E9" s="21" t="s">
        <v>51</v>
      </c>
      <c r="F9" s="22" t="s">
        <v>52</v>
      </c>
      <c r="G9" s="22" t="s">
        <v>53</v>
      </c>
      <c r="H9" s="21" t="s">
        <v>54</v>
      </c>
      <c r="I9" s="22" t="s">
        <v>55</v>
      </c>
      <c r="J9" s="25" t="s">
        <v>56</v>
      </c>
      <c r="K9" s="23" t="s">
        <v>57</v>
      </c>
      <c r="L9" s="25" t="s">
        <v>56</v>
      </c>
      <c r="M9" s="23" t="s">
        <v>57</v>
      </c>
      <c r="N9" s="26" t="s">
        <v>56</v>
      </c>
      <c r="O9" s="24" t="s">
        <v>57</v>
      </c>
      <c r="P9" s="22" t="s">
        <v>56</v>
      </c>
      <c r="Q9" s="22" t="s">
        <v>57</v>
      </c>
      <c r="R9" s="22" t="s">
        <v>58</v>
      </c>
      <c r="S9" s="22" t="s">
        <v>57</v>
      </c>
      <c r="T9" s="22" t="s">
        <v>10</v>
      </c>
    </row>
    <row r="10" ht="16" customHeight="1" spans="1:20" x14ac:dyDescent="0.25">
      <c r="A10" s="27" t="s">
        <v>59</v>
      </c>
      <c r="B10" s="28"/>
      <c r="C10" s="28"/>
      <c r="D10" s="28"/>
      <c r="E10" s="28"/>
      <c r="F10" s="28"/>
      <c r="G10" s="28"/>
      <c r="H10" s="29"/>
      <c r="I10" s="29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9"/>
    </row>
    <row r="11" ht="16" customHeight="1" spans="1:20" x14ac:dyDescent="0.25">
      <c r="A11" s="30" t="s">
        <v>60</v>
      </c>
      <c r="B11" s="31">
        <v>17152.32</v>
      </c>
      <c r="C11" s="31">
        <v>17152.32</v>
      </c>
      <c r="D11" s="31">
        <v>17152.32</v>
      </c>
      <c r="E11" s="32">
        <v>160</v>
      </c>
      <c r="F11" s="32">
        <v>160</v>
      </c>
      <c r="G11" s="32">
        <v>160</v>
      </c>
      <c r="H11" s="31">
        <f>IF(G11=0,0,D11/G11)</f>
        <v>107.202</v>
      </c>
      <c r="I11" s="31">
        <f>IF(K11=0,0,M11/K11)</f>
        <v>105.6</v>
      </c>
      <c r="J11" s="32">
        <v>60</v>
      </c>
      <c r="K11" s="32">
        <v>100</v>
      </c>
      <c r="L11" s="31">
        <v>5280</v>
      </c>
      <c r="M11" s="31">
        <v>10560</v>
      </c>
      <c r="N11" s="32">
        <v>24</v>
      </c>
      <c r="O11" s="32">
        <v>72</v>
      </c>
      <c r="P11" s="33">
        <f>IF(G11=0,0,N11/G11)</f>
        <v>0.15</v>
      </c>
      <c r="Q11" s="33">
        <f>IF(G11=0,0,O11/G11)</f>
        <v>0.45</v>
      </c>
      <c r="R11" s="31">
        <f>D11-M11</f>
        <v>6592.32</v>
      </c>
      <c r="S11" s="34">
        <f>IF(K11=0,0,O11/K11)</f>
        <v>0.72</v>
      </c>
      <c r="T11" s="35">
        <f>G11-O11</f>
        <v>88</v>
      </c>
    </row>
    <row r="12" ht="16" customHeight="1" spans="1:20" x14ac:dyDescent="0.25">
      <c r="A12" s="36" t="s">
        <v>61</v>
      </c>
      <c r="B12" s="37">
        <v>14071.2</v>
      </c>
      <c r="C12" s="37">
        <v>14071.2</v>
      </c>
      <c r="D12" s="37">
        <v>14071.2</v>
      </c>
      <c r="E12" s="38">
        <v>120</v>
      </c>
      <c r="F12" s="38">
        <v>120</v>
      </c>
      <c r="G12" s="38">
        <v>120</v>
      </c>
      <c r="H12" s="37">
        <f>IF(G12=0,0,D12/G12)</f>
        <v>117.26</v>
      </c>
      <c r="I12" s="37">
        <f>IF(K12=0,0,M12/K12)</f>
        <v>116.47058823529412</v>
      </c>
      <c r="J12" s="38">
        <v>38</v>
      </c>
      <c r="K12" s="38">
        <v>68</v>
      </c>
      <c r="L12" s="37">
        <v>3960</v>
      </c>
      <c r="M12" s="37">
        <v>7920</v>
      </c>
      <c r="N12" s="38">
        <v>18</v>
      </c>
      <c r="O12" s="38">
        <v>54</v>
      </c>
      <c r="P12" s="39">
        <f>IF(G12=0,0,N12/G12)</f>
        <v>0.15</v>
      </c>
      <c r="Q12" s="39">
        <f>IF(G12=0,0,O12/G12)</f>
        <v>0.45</v>
      </c>
      <c r="R12" s="37">
        <f>D12-M12</f>
        <v>6151.200000000001</v>
      </c>
      <c r="S12" s="40">
        <f>IF(K12=0,0,O12/K12)</f>
        <v>0.7941176470588235</v>
      </c>
      <c r="T12" s="41">
        <f>G12-O12</f>
        <v>66</v>
      </c>
    </row>
    <row r="13" ht="16" customHeight="1" spans="1:20" x14ac:dyDescent="0.25">
      <c r="A13" s="42" t="s">
        <v>62</v>
      </c>
      <c r="B13" s="43">
        <f>SUM(B11,B12)</f>
        <v>31223.52</v>
      </c>
      <c r="C13" s="43">
        <f>SUM(C11,C12)</f>
        <v>31223.52</v>
      </c>
      <c r="D13" s="43">
        <f>SUM(D11,D12)</f>
        <v>31223.52</v>
      </c>
      <c r="E13" s="44">
        <f>SUM(E11,E12)</f>
        <v>280</v>
      </c>
      <c r="F13" s="44">
        <f>SUM(F11,F12)</f>
        <v>280</v>
      </c>
      <c r="G13" s="44">
        <f>SUM(G11,G12)</f>
        <v>280</v>
      </c>
      <c r="H13" s="43">
        <f>IF(G13=0,0,D13/G13)</f>
        <v>111.51257142857143</v>
      </c>
      <c r="I13" s="43">
        <f>IF(K13=0,0,M13/K13)</f>
        <v>110</v>
      </c>
      <c r="J13" s="44">
        <f>SUM(J11,J12)</f>
        <v>98</v>
      </c>
      <c r="K13" s="44">
        <f>SUM(K11,K12)</f>
        <v>168</v>
      </c>
      <c r="L13" s="43">
        <f>SUM(L11,L12)</f>
        <v>9240</v>
      </c>
      <c r="M13" s="43">
        <f>SUM(M11,M12)</f>
        <v>18480</v>
      </c>
      <c r="N13" s="44">
        <f>SUM(N11,N12)</f>
        <v>42</v>
      </c>
      <c r="O13" s="44">
        <f>SUM(O11,O12)</f>
        <v>126</v>
      </c>
      <c r="P13" s="45">
        <f>IF(G13=0,0,N13/G13)</f>
        <v>0.15</v>
      </c>
      <c r="Q13" s="45">
        <f>IF(G13=0,0,O13/G13)</f>
        <v>0.45</v>
      </c>
      <c r="R13" s="43">
        <f>D13-M13</f>
        <v>12743.52</v>
      </c>
      <c r="S13" s="46">
        <f>IF(K13=0,0,O13/K13)</f>
        <v>0.75</v>
      </c>
      <c r="T13" s="47">
        <f>G13-O13</f>
        <v>154</v>
      </c>
    </row>
    <row r="14" ht="16" customHeight="1" spans="1:20" x14ac:dyDescent="0.25">
      <c r="A14" s="27" t="s">
        <v>63</v>
      </c>
      <c r="B14" s="28"/>
      <c r="C14" s="28"/>
      <c r="D14" s="28"/>
      <c r="E14" s="28"/>
      <c r="F14" s="28"/>
      <c r="G14" s="28"/>
      <c r="H14" s="29"/>
      <c r="I14" s="29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9"/>
    </row>
    <row r="15" ht="16" customHeight="1" spans="1:20" x14ac:dyDescent="0.25">
      <c r="A15" s="30" t="s">
        <v>64</v>
      </c>
      <c r="B15" s="31">
        <v>4548.96</v>
      </c>
      <c r="C15" s="31">
        <v>4548.96</v>
      </c>
      <c r="D15" s="31">
        <v>4548.96</v>
      </c>
      <c r="E15" s="32">
        <v>40</v>
      </c>
      <c r="F15" s="32">
        <v>40</v>
      </c>
      <c r="G15" s="32">
        <v>40</v>
      </c>
      <c r="H15" s="31">
        <f>IF(G15=0,0,D15/G15)</f>
        <v>113.724</v>
      </c>
      <c r="I15" s="31">
        <f>IF(K15=0,0,M15/K15)</f>
        <v>130</v>
      </c>
      <c r="J15" s="32">
        <v>12</v>
      </c>
      <c r="K15" s="32">
        <v>24</v>
      </c>
      <c r="L15" s="31">
        <v>1560</v>
      </c>
      <c r="M15" s="31">
        <v>3120</v>
      </c>
      <c r="N15" s="32">
        <v>9.6</v>
      </c>
      <c r="O15" s="32">
        <v>18</v>
      </c>
      <c r="P15" s="33">
        <f>IF(G15=0,0,N15/G15)</f>
        <v>0.24</v>
      </c>
      <c r="Q15" s="33">
        <f>IF(G15=0,0,O15/G15)</f>
        <v>0.45</v>
      </c>
      <c r="R15" s="31">
        <f>D15-M15</f>
        <v>1428.96</v>
      </c>
      <c r="S15" s="34">
        <f>IF(K15=0,0,O15/K15)</f>
        <v>0.75</v>
      </c>
      <c r="T15" s="35">
        <f>G15-O15</f>
        <v>22</v>
      </c>
    </row>
    <row r="16" ht="16" customHeight="1" spans="1:20" x14ac:dyDescent="0.25">
      <c r="A16" s="36" t="s">
        <v>65</v>
      </c>
      <c r="B16" s="37">
        <v>0</v>
      </c>
      <c r="C16" s="37">
        <v>0</v>
      </c>
      <c r="D16" s="37">
        <v>0</v>
      </c>
      <c r="E16" s="38">
        <v>80</v>
      </c>
      <c r="F16" s="38">
        <v>80</v>
      </c>
      <c r="G16" s="38">
        <v>80</v>
      </c>
      <c r="H16" s="37">
        <f>IF(G16=0,0,D16/G16)</f>
        <v>0</v>
      </c>
      <c r="I16" s="37">
        <f>IF(K16=0,0,M16/K16)</f>
        <v>80</v>
      </c>
      <c r="J16" s="38">
        <v>24</v>
      </c>
      <c r="K16" s="38">
        <v>48</v>
      </c>
      <c r="L16" s="37">
        <v>1920</v>
      </c>
      <c r="M16" s="37">
        <v>3840</v>
      </c>
      <c r="N16" s="38">
        <v>19.2</v>
      </c>
      <c r="O16" s="38">
        <v>36</v>
      </c>
      <c r="P16" s="39">
        <f>IF(G16=0,0,N16/G16)</f>
        <v>0.24</v>
      </c>
      <c r="Q16" s="39">
        <f>IF(G16=0,0,O16/G16)</f>
        <v>0.45</v>
      </c>
      <c r="R16" s="37">
        <f>D16-M16</f>
        <v>-3840</v>
      </c>
      <c r="S16" s="40">
        <f>IF(K16=0,0,O16/K16)</f>
        <v>0.75</v>
      </c>
      <c r="T16" s="41">
        <f>G16-O16</f>
        <v>44</v>
      </c>
    </row>
    <row r="17" ht="16" customHeight="1" spans="1:20" x14ac:dyDescent="0.25">
      <c r="A17" s="30" t="s">
        <v>66</v>
      </c>
      <c r="B17" s="31">
        <v>4823.12</v>
      </c>
      <c r="C17" s="31">
        <v>4823.12</v>
      </c>
      <c r="D17" s="31">
        <v>4823.12</v>
      </c>
      <c r="E17" s="32">
        <v>40</v>
      </c>
      <c r="F17" s="32">
        <v>40</v>
      </c>
      <c r="G17" s="32">
        <v>40</v>
      </c>
      <c r="H17" s="31">
        <f>IF(G17=0,0,D17/G17)</f>
        <v>120.578</v>
      </c>
      <c r="I17" s="31">
        <f>IF(K17=0,0,M17/K17)</f>
        <v>150</v>
      </c>
      <c r="J17" s="32">
        <v>12</v>
      </c>
      <c r="K17" s="32">
        <v>24</v>
      </c>
      <c r="L17" s="31">
        <v>1800</v>
      </c>
      <c r="M17" s="31">
        <v>3600</v>
      </c>
      <c r="N17" s="32">
        <v>9.6</v>
      </c>
      <c r="O17" s="32">
        <v>18</v>
      </c>
      <c r="P17" s="33">
        <f>IF(G17=0,0,N17/G17)</f>
        <v>0.24</v>
      </c>
      <c r="Q17" s="33">
        <f>IF(G17=0,0,O17/G17)</f>
        <v>0.45</v>
      </c>
      <c r="R17" s="31">
        <f>D17-M17</f>
        <v>1223.12</v>
      </c>
      <c r="S17" s="34">
        <f>IF(K17=0,0,O17/K17)</f>
        <v>0.75</v>
      </c>
      <c r="T17" s="35">
        <f>G17-O17</f>
        <v>22</v>
      </c>
    </row>
    <row r="18" ht="16" customHeight="1" spans="1:20" x14ac:dyDescent="0.25">
      <c r="A18" s="36" t="s">
        <v>67</v>
      </c>
      <c r="B18" s="37">
        <v>2640</v>
      </c>
      <c r="C18" s="37">
        <v>2640</v>
      </c>
      <c r="D18" s="37">
        <v>2640</v>
      </c>
      <c r="E18" s="38">
        <v>0</v>
      </c>
      <c r="F18" s="38">
        <v>0</v>
      </c>
      <c r="G18" s="38">
        <v>0</v>
      </c>
      <c r="H18" s="37">
        <f>IF(G18=0,0,D18/G18)</f>
        <v>0</v>
      </c>
      <c r="I18" s="37">
        <f>IF(K18=0,0,M18/K18)</f>
        <v>0</v>
      </c>
      <c r="J18" s="38">
        <v>0</v>
      </c>
      <c r="K18" s="38">
        <v>0</v>
      </c>
      <c r="L18" s="37">
        <v>910</v>
      </c>
      <c r="M18" s="37">
        <v>1820</v>
      </c>
      <c r="N18" s="38">
        <v>0</v>
      </c>
      <c r="O18" s="38">
        <v>0</v>
      </c>
      <c r="P18" s="39">
        <f>IF(G18=0,0,N18/G18)</f>
        <v>0</v>
      </c>
      <c r="Q18" s="39">
        <f>IF(G18=0,0,O18/G18)</f>
        <v>0</v>
      </c>
      <c r="R18" s="37">
        <f>D18-M18</f>
        <v>820</v>
      </c>
      <c r="S18" s="40">
        <f>IF(K18=0,0,O18/K18)</f>
        <v>0</v>
      </c>
      <c r="T18" s="41">
        <f>G18-O18</f>
        <v>0</v>
      </c>
    </row>
    <row r="19" ht="16" customHeight="1" spans="1:20" x14ac:dyDescent="0.25">
      <c r="A19" s="30" t="s">
        <v>68</v>
      </c>
      <c r="B19" s="31">
        <v>280</v>
      </c>
      <c r="C19" s="31">
        <v>280</v>
      </c>
      <c r="D19" s="31">
        <v>280</v>
      </c>
      <c r="E19" s="32">
        <v>0</v>
      </c>
      <c r="F19" s="32">
        <v>0</v>
      </c>
      <c r="G19" s="32">
        <v>0</v>
      </c>
      <c r="H19" s="31">
        <f>IF(G19=0,0,D19/G19)</f>
        <v>0</v>
      </c>
      <c r="I19" s="31">
        <f>IF(K19=0,0,M19/K19)</f>
        <v>0</v>
      </c>
      <c r="J19" s="32">
        <v>0</v>
      </c>
      <c r="K19" s="32">
        <v>0</v>
      </c>
      <c r="L19" s="31">
        <v>0</v>
      </c>
      <c r="M19" s="31">
        <v>0</v>
      </c>
      <c r="N19" s="32">
        <v>0</v>
      </c>
      <c r="O19" s="32">
        <v>0</v>
      </c>
      <c r="P19" s="33">
        <f>IF(G19=0,0,N19/G19)</f>
        <v>0</v>
      </c>
      <c r="Q19" s="33">
        <f>IF(G19=0,0,O19/G19)</f>
        <v>0</v>
      </c>
      <c r="R19" s="31">
        <f>D19-M19</f>
        <v>280</v>
      </c>
      <c r="S19" s="34">
        <f>IF(K19=0,0,O19/K19)</f>
        <v>0</v>
      </c>
      <c r="T19" s="35">
        <f>G19-O19</f>
        <v>0</v>
      </c>
    </row>
    <row r="20" ht="16" customHeight="1" spans="1:20" x14ac:dyDescent="0.25">
      <c r="A20" s="36" t="s">
        <v>69</v>
      </c>
      <c r="B20" s="37">
        <v>0</v>
      </c>
      <c r="C20" s="37">
        <v>0</v>
      </c>
      <c r="D20" s="37">
        <v>0</v>
      </c>
      <c r="E20" s="38">
        <v>0</v>
      </c>
      <c r="F20" s="38">
        <v>0</v>
      </c>
      <c r="G20" s="38">
        <v>0</v>
      </c>
      <c r="H20" s="37">
        <f>IF(G20=0,0,D20/G20)</f>
        <v>0</v>
      </c>
      <c r="I20" s="37">
        <f>IF(K20=0,0,M20/K20)</f>
        <v>0</v>
      </c>
      <c r="J20" s="38">
        <v>0</v>
      </c>
      <c r="K20" s="38">
        <v>0</v>
      </c>
      <c r="L20" s="37">
        <v>0</v>
      </c>
      <c r="M20" s="37">
        <v>0</v>
      </c>
      <c r="N20" s="38">
        <v>0</v>
      </c>
      <c r="O20" s="38">
        <v>0</v>
      </c>
      <c r="P20" s="39">
        <f>IF(G20=0,0,N20/G20)</f>
        <v>0</v>
      </c>
      <c r="Q20" s="39">
        <f>IF(G20=0,0,O20/G20)</f>
        <v>0</v>
      </c>
      <c r="R20" s="37">
        <f>D20-M20</f>
        <v>0</v>
      </c>
      <c r="S20" s="40">
        <f>IF(K20=0,0,O20/K20)</f>
        <v>0</v>
      </c>
      <c r="T20" s="41">
        <f>G20-O20</f>
        <v>0</v>
      </c>
    </row>
    <row r="21" ht="16" customHeight="1" spans="1:20" x14ac:dyDescent="0.25">
      <c r="A21" s="30" t="s">
        <v>70</v>
      </c>
      <c r="B21" s="31">
        <v>0</v>
      </c>
      <c r="C21" s="31">
        <v>0</v>
      </c>
      <c r="D21" s="31">
        <v>0</v>
      </c>
      <c r="E21" s="32">
        <v>0</v>
      </c>
      <c r="F21" s="32">
        <v>0</v>
      </c>
      <c r="G21" s="32">
        <v>0</v>
      </c>
      <c r="H21" s="31">
        <f>IF(G21=0,0,D21/G21)</f>
        <v>0</v>
      </c>
      <c r="I21" s="31">
        <f>IF(K21=0,0,M21/K21)</f>
        <v>0</v>
      </c>
      <c r="J21" s="32">
        <v>0</v>
      </c>
      <c r="K21" s="32">
        <v>0</v>
      </c>
      <c r="L21" s="31">
        <v>0</v>
      </c>
      <c r="M21" s="31">
        <v>0</v>
      </c>
      <c r="N21" s="32">
        <v>0</v>
      </c>
      <c r="O21" s="32">
        <v>0</v>
      </c>
      <c r="P21" s="33">
        <f>IF(G21=0,0,N21/G21)</f>
        <v>0</v>
      </c>
      <c r="Q21" s="33">
        <f>IF(G21=0,0,O21/G21)</f>
        <v>0</v>
      </c>
      <c r="R21" s="31">
        <f>D21-M21</f>
        <v>0</v>
      </c>
      <c r="S21" s="34">
        <f>IF(K21=0,0,O21/K21)</f>
        <v>0</v>
      </c>
      <c r="T21" s="35">
        <f>G21-O21</f>
        <v>0</v>
      </c>
    </row>
    <row r="22" ht="16" customHeight="1" spans="1:20" x14ac:dyDescent="0.25">
      <c r="A22" s="42" t="s">
        <v>71</v>
      </c>
      <c r="B22" s="43">
        <f>SUM(B11,B12,B15,B16,B17,B18,B19,B20,B21)</f>
        <v>43515.600000000006</v>
      </c>
      <c r="C22" s="43">
        <f>SUM(C11,C12,C15,C16,C17,C18,C19,C20,C21)</f>
        <v>43515.600000000006</v>
      </c>
      <c r="D22" s="43">
        <f>SUM(D11,D12,D15,D16,D17,D18,D19,D20,D21)</f>
        <v>43515.600000000006</v>
      </c>
      <c r="E22" s="44">
        <f>SUM(E11,E12,E15,E16,E17,E18,E19,E20,E21)</f>
        <v>440</v>
      </c>
      <c r="F22" s="44">
        <f>SUM(F11,F12,F15,F16,F17,F18,F19,F20,F21)</f>
        <v>440</v>
      </c>
      <c r="G22" s="44">
        <f>SUM(G11,G12,G15,G16,G17,G18,G19,G20,G21)</f>
        <v>440</v>
      </c>
      <c r="H22" s="43">
        <f>IF(G22=0,0,D22/G22)</f>
        <v>98.89909090909092</v>
      </c>
      <c r="I22" s="43">
        <f>IF(K22=0,0,M22/K22)</f>
        <v>116.89393939393939</v>
      </c>
      <c r="J22" s="44">
        <f>SUM(J11,J12,J15,J16,J17,J18,J19,J20,J21)</f>
        <v>146</v>
      </c>
      <c r="K22" s="44">
        <f>SUM(K11,K12,K15,K16,K17,K18,K19,K20,K21)</f>
        <v>264</v>
      </c>
      <c r="L22" s="43">
        <f>SUM(L11,L12,L15,L16,L17,L18,L19,L20,L21)</f>
        <v>15430</v>
      </c>
      <c r="M22" s="43">
        <f>SUM(M11,M12,M15,M16,M17,M18,M19,M20,M21)</f>
        <v>30860</v>
      </c>
      <c r="N22" s="44">
        <f>SUM(N11,N12,N15,N16,N17,N18,N19,N20,N21)</f>
        <v>80.39999999999999</v>
      </c>
      <c r="O22" s="44">
        <f>SUM(O11,O12,O15,O16,O17,O18,O19,O20,O21)</f>
        <v>198</v>
      </c>
      <c r="P22" s="45">
        <f>IF(G22=0,0,N22/G22)</f>
        <v>0.1827272727272727</v>
      </c>
      <c r="Q22" s="45">
        <f>IF(G22=0,0,O22/G22)</f>
        <v>0.45</v>
      </c>
      <c r="R22" s="43">
        <f>D22-M22</f>
        <v>12655.600000000006</v>
      </c>
      <c r="S22" s="46">
        <f>IF(K22=0,0,O22/K22)</f>
        <v>0.75</v>
      </c>
      <c r="T22" s="47">
        <f>G22-O22</f>
        <v>242</v>
      </c>
    </row>
    <row r="23" ht="16" customHeight="1" spans="1:20" x14ac:dyDescent="0.25">
      <c r="A23" s="27" t="s">
        <v>72</v>
      </c>
      <c r="B23" s="28"/>
      <c r="C23" s="28"/>
      <c r="D23" s="28"/>
      <c r="E23" s="28"/>
      <c r="F23" s="28"/>
      <c r="G23" s="28"/>
      <c r="H23" s="29"/>
      <c r="I23" s="29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9"/>
    </row>
    <row r="24" ht="16" customHeight="1" spans="1:20" x14ac:dyDescent="0.25">
      <c r="A24" s="27" t="s">
        <v>73</v>
      </c>
      <c r="B24" s="48">
        <v>1020</v>
      </c>
      <c r="C24" s="48">
        <v>1020</v>
      </c>
      <c r="D24" s="48">
        <v>1020</v>
      </c>
      <c r="E24" s="49">
        <v>0</v>
      </c>
      <c r="F24" s="49">
        <v>0</v>
      </c>
      <c r="G24" s="49">
        <v>0</v>
      </c>
      <c r="H24" s="48">
        <f>IF(G24=0,0,D24/G24)</f>
        <v>0</v>
      </c>
      <c r="I24" s="48">
        <f>IF(K24=0,0,M24/K24)</f>
        <v>0</v>
      </c>
      <c r="J24" s="49">
        <v>0</v>
      </c>
      <c r="K24" s="49">
        <v>0</v>
      </c>
      <c r="L24" s="48">
        <v>0</v>
      </c>
      <c r="M24" s="48">
        <v>0</v>
      </c>
      <c r="N24" s="49">
        <v>0</v>
      </c>
      <c r="O24" s="49">
        <v>0</v>
      </c>
      <c r="P24" s="50">
        <f>IF(G24=0,0,N24/G24)</f>
        <v>0</v>
      </c>
      <c r="Q24" s="50">
        <f>IF(G24=0,0,O24/G24)</f>
        <v>0</v>
      </c>
      <c r="R24" s="48">
        <f>D24-M24</f>
        <v>1020</v>
      </c>
      <c r="S24" s="51">
        <f>IF(K24=0,0,O24/K24)</f>
        <v>0</v>
      </c>
      <c r="T24" s="52">
        <f>G24-O24</f>
        <v>0</v>
      </c>
    </row>
    <row r="25" ht="16" customHeight="1" spans="1:20" x14ac:dyDescent="0.25">
      <c r="A25" s="30" t="s">
        <v>74</v>
      </c>
      <c r="B25" s="31">
        <v>0</v>
      </c>
      <c r="C25" s="31">
        <v>0</v>
      </c>
      <c r="D25" s="31">
        <v>0</v>
      </c>
      <c r="E25" s="32">
        <v>0</v>
      </c>
      <c r="F25" s="32">
        <v>0</v>
      </c>
      <c r="G25" s="32">
        <v>0</v>
      </c>
      <c r="H25" s="31">
        <f>IF(G25=0,0,D25/G25)</f>
        <v>0</v>
      </c>
      <c r="I25" s="31">
        <f>IF(K25=0,0,M25/K25)</f>
        <v>0</v>
      </c>
      <c r="J25" s="32">
        <v>0</v>
      </c>
      <c r="K25" s="32">
        <v>0</v>
      </c>
      <c r="L25" s="31">
        <v>0</v>
      </c>
      <c r="M25" s="31">
        <v>0</v>
      </c>
      <c r="N25" s="32">
        <v>0</v>
      </c>
      <c r="O25" s="32">
        <v>0</v>
      </c>
      <c r="P25" s="33">
        <f>IF(G25=0,0,N25/G25)</f>
        <v>0</v>
      </c>
      <c r="Q25" s="33">
        <f>IF(G25=0,0,O25/G25)</f>
        <v>0</v>
      </c>
      <c r="R25" s="31">
        <f>D25-M25</f>
        <v>0</v>
      </c>
      <c r="S25" s="34">
        <f>IF(K25=0,0,O25/K25)</f>
        <v>0</v>
      </c>
      <c r="T25" s="35">
        <f>G25-O25</f>
        <v>0</v>
      </c>
    </row>
    <row r="26" ht="16" customHeight="1" spans="1:20" x14ac:dyDescent="0.25">
      <c r="A26" s="36" t="s">
        <v>75</v>
      </c>
      <c r="B26" s="37">
        <v>18200</v>
      </c>
      <c r="C26" s="37">
        <v>18200</v>
      </c>
      <c r="D26" s="37">
        <v>18200</v>
      </c>
      <c r="E26" s="38">
        <v>0</v>
      </c>
      <c r="F26" s="38">
        <v>0</v>
      </c>
      <c r="G26" s="38">
        <v>0</v>
      </c>
      <c r="H26" s="37">
        <f>IF(G26=0,0,D26/G26)</f>
        <v>0</v>
      </c>
      <c r="I26" s="37">
        <f>IF(K26=0,0,M26/K26)</f>
        <v>0</v>
      </c>
      <c r="J26" s="38">
        <v>0</v>
      </c>
      <c r="K26" s="38">
        <v>0</v>
      </c>
      <c r="L26" s="37">
        <v>4100</v>
      </c>
      <c r="M26" s="37">
        <v>8200</v>
      </c>
      <c r="N26" s="38">
        <v>0</v>
      </c>
      <c r="O26" s="38">
        <v>0</v>
      </c>
      <c r="P26" s="39">
        <f>IF(G26=0,0,N26/G26)</f>
        <v>0</v>
      </c>
      <c r="Q26" s="39">
        <f>IF(G26=0,0,O26/G26)</f>
        <v>0</v>
      </c>
      <c r="R26" s="37">
        <f>D26-M26</f>
        <v>10000</v>
      </c>
      <c r="S26" s="40">
        <f>IF(K26=0,0,O26/K26)</f>
        <v>0</v>
      </c>
      <c r="T26" s="41">
        <f>G26-O26</f>
        <v>0</v>
      </c>
    </row>
    <row r="27" ht="16" customHeight="1" spans="1:20" x14ac:dyDescent="0.25">
      <c r="A27" s="30" t="s">
        <v>76</v>
      </c>
      <c r="B27" s="31">
        <v>2400</v>
      </c>
      <c r="C27" s="31">
        <v>2400</v>
      </c>
      <c r="D27" s="31">
        <v>2400</v>
      </c>
      <c r="E27" s="32">
        <v>0</v>
      </c>
      <c r="F27" s="32">
        <v>0</v>
      </c>
      <c r="G27" s="32">
        <v>0</v>
      </c>
      <c r="H27" s="31">
        <f>IF(G27=0,0,D27/G27)</f>
        <v>0</v>
      </c>
      <c r="I27" s="31">
        <f>IF(K27=0,0,M27/K27)</f>
        <v>0</v>
      </c>
      <c r="J27" s="32">
        <v>0</v>
      </c>
      <c r="K27" s="32">
        <v>0</v>
      </c>
      <c r="L27" s="31">
        <v>0</v>
      </c>
      <c r="M27" s="31">
        <v>0</v>
      </c>
      <c r="N27" s="32">
        <v>0</v>
      </c>
      <c r="O27" s="32">
        <v>0</v>
      </c>
      <c r="P27" s="33">
        <f>IF(G27=0,0,N27/G27)</f>
        <v>0</v>
      </c>
      <c r="Q27" s="33">
        <f>IF(G27=0,0,O27/G27)</f>
        <v>0</v>
      </c>
      <c r="R27" s="31">
        <f>D27-M27</f>
        <v>2400</v>
      </c>
      <c r="S27" s="34">
        <f>IF(K27=0,0,O27/K27)</f>
        <v>0</v>
      </c>
      <c r="T27" s="35">
        <f>G27-O27</f>
        <v>0</v>
      </c>
    </row>
    <row r="28" ht="16" customHeight="1" spans="1:20" x14ac:dyDescent="0.25">
      <c r="A28" s="42" t="s">
        <v>77</v>
      </c>
      <c r="B28" s="43">
        <f>SUM(B24,B25,B26,B27)</f>
        <v>21620</v>
      </c>
      <c r="C28" s="43">
        <f>SUM(C24,C25,C26,C27)</f>
        <v>21620</v>
      </c>
      <c r="D28" s="43">
        <f>SUM(D24,D25,D26,D27)</f>
        <v>21620</v>
      </c>
      <c r="E28" s="44">
        <f>SUM(E24,E25,E26,E27)</f>
        <v>0</v>
      </c>
      <c r="F28" s="44">
        <f>SUM(F24,F25,F26,F27)</f>
        <v>0</v>
      </c>
      <c r="G28" s="44">
        <f>SUM(G24,G25,G26,G27)</f>
        <v>0</v>
      </c>
      <c r="H28" s="43">
        <f>IF(G28=0,0,D28/G28)</f>
        <v>0</v>
      </c>
      <c r="I28" s="43">
        <f>IF(K28=0,0,M28/K28)</f>
        <v>0</v>
      </c>
      <c r="J28" s="44">
        <f>SUM(J24,J25,J26,J27)</f>
        <v>0</v>
      </c>
      <c r="K28" s="44">
        <f>SUM(K24,K25,K26,K27)</f>
        <v>0</v>
      </c>
      <c r="L28" s="43">
        <f>SUM(L24,L25,L26,L27)</f>
        <v>4100</v>
      </c>
      <c r="M28" s="43">
        <f>SUM(M24,M25,M26,M27)</f>
        <v>8200</v>
      </c>
      <c r="N28" s="44">
        <f>SUM(N24,N25,N26,N27)</f>
        <v>0</v>
      </c>
      <c r="O28" s="44">
        <f>SUM(O24,O25,O26,O27)</f>
        <v>0</v>
      </c>
      <c r="P28" s="45">
        <f>IF(G28=0,0,N28/G28)</f>
        <v>0</v>
      </c>
      <c r="Q28" s="45">
        <f>IF(G28=0,0,O28/G28)</f>
        <v>0</v>
      </c>
      <c r="R28" s="43">
        <f>D28-M28</f>
        <v>13420</v>
      </c>
      <c r="S28" s="46">
        <f>IF(K28=0,0,O28/K28)</f>
        <v>0</v>
      </c>
      <c r="T28" s="47">
        <f>G28-O28</f>
        <v>0</v>
      </c>
    </row>
    <row r="29" ht="16" customHeight="1" spans="1:20" x14ac:dyDescent="0.25">
      <c r="A29" s="53" t="s">
        <v>78</v>
      </c>
      <c r="B29" s="54">
        <f>SUM(B22,B28)</f>
        <v>65135.600000000006</v>
      </c>
      <c r="C29" s="54">
        <f>SUM(C22,C28)</f>
        <v>65135.600000000006</v>
      </c>
      <c r="D29" s="54">
        <f>SUM(D22,D28)</f>
        <v>65135.600000000006</v>
      </c>
      <c r="E29" s="55">
        <f>SUM(E22,E28)</f>
        <v>440</v>
      </c>
      <c r="F29" s="55">
        <f>SUM(F22,F28)</f>
        <v>440</v>
      </c>
      <c r="G29" s="55">
        <f>SUM(G22,G28)</f>
        <v>440</v>
      </c>
      <c r="H29" s="54">
        <f>IF(G29=0,0,D29/G29)</f>
        <v>148.03545454545457</v>
      </c>
      <c r="I29" s="54">
        <f>IF(K29=0,0,M29/K29)</f>
        <v>147.95454545454547</v>
      </c>
      <c r="J29" s="55">
        <f>SUM(J22,J28)</f>
        <v>146</v>
      </c>
      <c r="K29" s="55">
        <f>SUM(K22,K28)</f>
        <v>264</v>
      </c>
      <c r="L29" s="54">
        <f>SUM(L22,L28)</f>
        <v>19530</v>
      </c>
      <c r="M29" s="54">
        <f>SUM(M22,M28)</f>
        <v>39060</v>
      </c>
      <c r="N29" s="55">
        <f>SUM(N22,N28)</f>
        <v>80.39999999999999</v>
      </c>
      <c r="O29" s="55">
        <f>SUM(O22,O28)</f>
        <v>198</v>
      </c>
      <c r="P29" s="56">
        <f>IF(G29=0,0,N29/G29)</f>
        <v>0.1827272727272727</v>
      </c>
      <c r="Q29" s="56">
        <f>IF(G29=0,0,O29/G29)</f>
        <v>0.45</v>
      </c>
      <c r="R29" s="54">
        <f>D29-M29</f>
        <v>26075.600000000006</v>
      </c>
      <c r="S29" s="57">
        <f>IF(K29=0,0,O29/K29)</f>
        <v>0.75</v>
      </c>
      <c r="T29" s="58">
        <f>G29-O29</f>
        <v>242</v>
      </c>
    </row>
    <row r="30" ht="16" customHeight="1" spans="1:20" x14ac:dyDescent="0.25">
      <c r="A30" s="5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</row>
    <row r="31" ht="16" customHeight="1" spans="1:20" x14ac:dyDescent="0.25">
      <c r="A31" s="27" t="s">
        <v>36</v>
      </c>
      <c r="B31" s="61" t="s">
        <v>79</v>
      </c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</row>
  </sheetData>
  <sheetProtection sheet="1"/>
  <mergeCells count="24">
    <mergeCell ref="A1:T1"/>
    <mergeCell ref="A2:T2"/>
    <mergeCell ref="A3:T3"/>
    <mergeCell ref="A4:T4"/>
    <mergeCell ref="A5:T5"/>
    <mergeCell ref="A6:T6"/>
    <mergeCell ref="B7:D7"/>
    <mergeCell ref="E7:G7"/>
    <mergeCell ref="H7:I7"/>
    <mergeCell ref="J7:K7"/>
    <mergeCell ref="L7:M7"/>
    <mergeCell ref="N7:O7"/>
    <mergeCell ref="P7:Q7"/>
    <mergeCell ref="R7:T7"/>
    <mergeCell ref="A7:A9"/>
    <mergeCell ref="B8:D8"/>
    <mergeCell ref="E8:G8"/>
    <mergeCell ref="H8:I8"/>
    <mergeCell ref="J8:K8"/>
    <mergeCell ref="L8:M8"/>
    <mergeCell ref="N8:O8"/>
    <mergeCell ref="P8:Q8"/>
    <mergeCell ref="R8:T8"/>
    <mergeCell ref="B31:T31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1"/>
  <headerFooter>
    <oddHeader>&amp;L&amp;B HIT SQUAD / PROJECT CONTROLS &amp;C Total Project PPR &amp;R Confidential</oddHeader>
    <oddFooter>&amp;L Produced by Hit Squad Project Controls &amp;C &amp;D &amp;R Page &amp;P of &amp;N</oddFooter>
    <evenHeader>&amp;L&amp;B HIT SQUAD / PROJECT CONTROLS &amp;C Total Project PPR &amp;R Confidential</evenHeader>
    <evenFooter>&amp;L Produced by Hit Squad Project Controls &amp;C &amp;D &amp;R Page &amp;P of &amp;N</even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3943"/>
    <pageSetUpPr fitToPage="1"/>
  </sheetPr>
  <dimension ref="A1:G28"/>
  <sheetViews>
    <sheetView workbookViewId="0" showGridLines="0">
      <pane ySplit="6" topLeftCell="A7" activePane="bottomLeft" state="frozen"/>
      <selection pane="bottomLeft" activeCell="A7" sqref="A7"/>
    </sheetView>
  </sheetViews>
  <sheetFormatPr defaultRowHeight="0" outlineLevelRow="0" outlineLevelCol="0" x14ac:dyDescent="55" customHeight="1" zeroHeight="1"/>
  <cols>
    <col min="1" max="1" width="22" customWidth="1"/>
    <col min="2" max="7" width="10" customWidth="1"/>
    <col min="8" max="16384" width="9" hidden="1" customWidth="1"/>
  </cols>
  <sheetData>
    <row r="1" ht="22" customHeight="1" spans="1:7" x14ac:dyDescent="0.25">
      <c r="A1" s="17" t="s">
        <v>0</v>
      </c>
      <c r="B1" s="17"/>
      <c r="C1" s="17"/>
      <c r="D1" s="17"/>
      <c r="E1" s="17"/>
      <c r="F1" s="17"/>
      <c r="G1" s="17"/>
    </row>
    <row r="2" ht="16" customHeight="1" spans="1:7" x14ac:dyDescent="0.25">
      <c r="A2" s="62" t="s">
        <v>1</v>
      </c>
      <c r="B2" s="62"/>
      <c r="C2" s="62"/>
      <c r="D2" s="62"/>
      <c r="E2" s="62"/>
      <c r="F2" s="62"/>
      <c r="G2" s="62"/>
    </row>
    <row r="3" ht="16" customHeight="1" spans="1:7" x14ac:dyDescent="0.25">
      <c r="A3" s="63" t="s">
        <v>80</v>
      </c>
      <c r="B3" s="63"/>
      <c r="C3" s="63"/>
      <c r="D3" s="63"/>
      <c r="E3" s="63"/>
      <c r="F3" s="63"/>
      <c r="G3" s="63"/>
    </row>
    <row r="4" ht="6" customHeight="1" spans="1:7" x14ac:dyDescent="0.25">
      <c r="A4" s="64"/>
      <c r="B4" s="64"/>
      <c r="C4" s="64"/>
      <c r="D4" s="64"/>
      <c r="E4" s="64"/>
      <c r="F4" s="64"/>
      <c r="G4" s="64"/>
    </row>
    <row r="5" ht="6" customHeight="1" spans="1:7" x14ac:dyDescent="0.25">
      <c r="A5" s="64"/>
      <c r="B5" s="64"/>
      <c r="C5" s="64"/>
      <c r="D5" s="64"/>
      <c r="E5" s="64"/>
      <c r="F5" s="64"/>
      <c r="G5" s="64"/>
    </row>
    <row r="6" ht="20" customHeight="1" spans="1:7" x14ac:dyDescent="0.25">
      <c r="A6" s="65" t="s">
        <v>81</v>
      </c>
      <c r="B6" s="65" t="s">
        <v>82</v>
      </c>
      <c r="C6" s="65" t="s">
        <v>83</v>
      </c>
      <c r="D6" s="65" t="s">
        <v>84</v>
      </c>
      <c r="E6" s="65" t="s">
        <v>85</v>
      </c>
      <c r="F6" s="65" t="s">
        <v>86</v>
      </c>
      <c r="G6" s="65" t="s">
        <v>87</v>
      </c>
    </row>
    <row r="7" ht="16" customHeight="1" spans="1:7" x14ac:dyDescent="0.25">
      <c r="A7" s="66" t="s">
        <v>88</v>
      </c>
      <c r="B7" s="67">
        <v>90</v>
      </c>
      <c r="C7" s="67">
        <v>90</v>
      </c>
      <c r="D7" s="67">
        <f>B7</f>
        <v>90</v>
      </c>
      <c r="E7" s="67">
        <f>C7</f>
        <v>90</v>
      </c>
      <c r="F7" s="67">
        <v>9</v>
      </c>
      <c r="G7" s="67">
        <v>9</v>
      </c>
    </row>
    <row r="8" ht="16" customHeight="1" spans="1:7" x14ac:dyDescent="0.25">
      <c r="A8" s="68" t="s">
        <v>89</v>
      </c>
      <c r="B8" s="69">
        <v>90</v>
      </c>
      <c r="C8" s="69">
        <v>90</v>
      </c>
      <c r="D8" s="69">
        <f>D7+B8</f>
        <v>180</v>
      </c>
      <c r="E8" s="69">
        <f>E7+C8</f>
        <v>180</v>
      </c>
      <c r="F8" s="69">
        <v>9</v>
      </c>
      <c r="G8" s="69">
        <v>9</v>
      </c>
    </row>
    <row r="9" ht="16" customHeight="1" spans="1:7" x14ac:dyDescent="0.25">
      <c r="A9" s="66" t="s">
        <v>29</v>
      </c>
      <c r="B9" s="67">
        <v>90</v>
      </c>
      <c r="C9" s="67">
        <v>36</v>
      </c>
      <c r="D9" s="67">
        <f>D8+B9</f>
        <v>270</v>
      </c>
      <c r="E9" s="67">
        <f>E8+C9</f>
        <v>216</v>
      </c>
      <c r="F9" s="67">
        <v>9</v>
      </c>
      <c r="G9" s="67">
        <v>4</v>
      </c>
    </row>
    <row r="10" ht="16" customHeight="1" spans="1:7" x14ac:dyDescent="0.25">
      <c r="A10" s="68" t="s">
        <v>90</v>
      </c>
      <c r="B10" s="69">
        <v>90</v>
      </c>
      <c r="C10" s="69">
        <v>0</v>
      </c>
      <c r="D10" s="69">
        <f>D9+B10</f>
        <v>360</v>
      </c>
      <c r="E10" s="69">
        <f>E9+C10</f>
        <v>216</v>
      </c>
      <c r="F10" s="69">
        <v>9</v>
      </c>
      <c r="G10" s="69">
        <v>0</v>
      </c>
    </row>
    <row r="11" ht="16" customHeight="1" spans="1:7" x14ac:dyDescent="0.25">
      <c r="A11" s="70"/>
      <c r="B11" s="71"/>
      <c r="C11" s="71"/>
      <c r="D11" s="71"/>
      <c r="E11" s="71"/>
      <c r="F11" s="71"/>
      <c r="G11" s="71"/>
    </row>
    <row r="12" ht="16" customHeight="1" spans="1:7" x14ac:dyDescent="0.25">
      <c r="A12" s="72" t="s">
        <v>91</v>
      </c>
      <c r="B12" s="72"/>
      <c r="C12" s="72"/>
      <c r="D12" s="72"/>
      <c r="E12" s="72"/>
      <c r="F12" s="72"/>
      <c r="G12" s="72"/>
    </row>
    <row r="13" ht="16" customHeight="1" spans="1:7" x14ac:dyDescent="0.25">
      <c r="A13" s="70"/>
      <c r="B13" s="71"/>
      <c r="C13" s="71"/>
      <c r="D13" s="71"/>
      <c r="E13" s="71"/>
      <c r="F13" s="71"/>
      <c r="G13" s="71"/>
    </row>
    <row r="14" ht="16" customHeight="1" spans="1:7" x14ac:dyDescent="0.25">
      <c r="A14" s="73"/>
      <c r="B14" s="74"/>
      <c r="C14" s="74"/>
      <c r="D14" s="74"/>
      <c r="E14" s="74"/>
      <c r="F14" s="74"/>
      <c r="G14" s="74"/>
    </row>
    <row r="15" ht="16" customHeight="1" spans="1:7" x14ac:dyDescent="0.25">
      <c r="A15" s="70"/>
      <c r="B15" s="71"/>
      <c r="C15" s="71"/>
      <c r="D15" s="71"/>
      <c r="E15" s="71"/>
      <c r="F15" s="71"/>
      <c r="G15" s="71"/>
    </row>
    <row r="16" ht="16" customHeight="1" spans="1:7" x14ac:dyDescent="0.25">
      <c r="A16" s="73"/>
      <c r="B16" s="74"/>
      <c r="C16" s="74"/>
      <c r="D16" s="74"/>
      <c r="E16" s="74"/>
      <c r="F16" s="74"/>
      <c r="G16" s="74"/>
    </row>
    <row r="17" ht="16" customHeight="1" spans="1:7" x14ac:dyDescent="0.25">
      <c r="A17" s="70"/>
      <c r="B17" s="71"/>
      <c r="C17" s="71"/>
      <c r="D17" s="71"/>
      <c r="E17" s="71"/>
      <c r="F17" s="71"/>
      <c r="G17" s="71"/>
    </row>
    <row r="18" ht="16" customHeight="1" spans="1:7" x14ac:dyDescent="0.25">
      <c r="A18" s="73"/>
      <c r="B18" s="74"/>
      <c r="C18" s="74"/>
      <c r="D18" s="74"/>
      <c r="E18" s="74"/>
      <c r="F18" s="74"/>
      <c r="G18" s="74"/>
    </row>
    <row r="19" ht="16" customHeight="1" spans="1:7" x14ac:dyDescent="0.25">
      <c r="A19" s="70"/>
      <c r="B19" s="71"/>
      <c r="C19" s="71"/>
      <c r="D19" s="71"/>
      <c r="E19" s="71"/>
      <c r="F19" s="71"/>
      <c r="G19" s="71"/>
    </row>
    <row r="20" ht="16" customHeight="1" spans="1:7" x14ac:dyDescent="0.25">
      <c r="A20" s="73"/>
      <c r="B20" s="74"/>
      <c r="C20" s="74"/>
      <c r="D20" s="74"/>
      <c r="E20" s="74"/>
      <c r="F20" s="74"/>
      <c r="G20" s="74"/>
    </row>
    <row r="21" ht="16" customHeight="1" spans="1:7" x14ac:dyDescent="0.25">
      <c r="A21" s="70"/>
      <c r="B21" s="71"/>
      <c r="C21" s="71"/>
      <c r="D21" s="71"/>
      <c r="E21" s="71"/>
      <c r="F21" s="71"/>
      <c r="G21" s="71"/>
    </row>
    <row r="22" ht="16" customHeight="1" spans="1:7" x14ac:dyDescent="0.25">
      <c r="A22" s="73"/>
      <c r="B22" s="74"/>
      <c r="C22" s="74"/>
      <c r="D22" s="74"/>
      <c r="E22" s="74"/>
      <c r="F22" s="74"/>
      <c r="G22" s="74"/>
    </row>
    <row r="23" ht="16" customHeight="1" spans="1:7" x14ac:dyDescent="0.25">
      <c r="A23" s="70"/>
      <c r="B23" s="71"/>
      <c r="C23" s="71"/>
      <c r="D23" s="71"/>
      <c r="E23" s="71"/>
      <c r="F23" s="71"/>
      <c r="G23" s="71"/>
    </row>
    <row r="24" ht="16" customHeight="1" spans="1:7" x14ac:dyDescent="0.25">
      <c r="A24" s="73"/>
      <c r="B24" s="74"/>
      <c r="C24" s="74"/>
      <c r="D24" s="74"/>
      <c r="E24" s="74"/>
      <c r="F24" s="74"/>
      <c r="G24" s="74"/>
    </row>
    <row r="25" ht="16" customHeight="1" spans="1:7" x14ac:dyDescent="0.25">
      <c r="A25" s="70"/>
      <c r="B25" s="71"/>
      <c r="C25" s="71"/>
      <c r="D25" s="71"/>
      <c r="E25" s="71"/>
      <c r="F25" s="71"/>
      <c r="G25" s="71"/>
    </row>
    <row r="26" ht="16" customHeight="1" spans="1:7" x14ac:dyDescent="0.25">
      <c r="A26" s="73"/>
      <c r="B26" s="74"/>
      <c r="C26" s="74"/>
      <c r="D26" s="74"/>
      <c r="E26" s="74"/>
      <c r="F26" s="74"/>
      <c r="G26" s="74"/>
    </row>
    <row r="27" ht="16" customHeight="1" spans="1:7" x14ac:dyDescent="0.25">
      <c r="A27" s="70"/>
      <c r="B27" s="71"/>
      <c r="C27" s="71"/>
      <c r="D27" s="71"/>
      <c r="E27" s="71"/>
      <c r="F27" s="71"/>
      <c r="G27" s="71"/>
    </row>
    <row r="28" ht="16" customHeight="1" spans="1:7" x14ac:dyDescent="0.25">
      <c r="A28" s="72" t="s">
        <v>92</v>
      </c>
      <c r="B28" s="72"/>
      <c r="C28" s="72"/>
      <c r="D28" s="72"/>
      <c r="E28" s="72"/>
      <c r="F28" s="72"/>
      <c r="G28" s="72"/>
    </row>
  </sheetData>
  <sheetProtection sheet="1"/>
  <mergeCells count="5">
    <mergeCell ref="A1:G1"/>
    <mergeCell ref="A2:G2"/>
    <mergeCell ref="A3:G3"/>
    <mergeCell ref="A12:G12"/>
    <mergeCell ref="A28:G28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Hrs S-curve &amp;R Confidential</oddHeader>
    <oddFooter>&amp;L Produced by Hit Squad Project Controls &amp;C &amp;D &amp;R Page &amp;P of &amp;N</oddFooter>
    <evenHeader>&amp;L&amp;B HIT SQUAD / PROJECT CONTROLS &amp;C Hrs S-curve &amp;R Confidential</evenHeader>
    <evenFooter>&amp;L Produced by Hit Squad Project Controls &amp;C &amp;D &amp;R Page &amp;P of &amp;N</even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3943"/>
    <pageSetUpPr fitToPage="1"/>
  </sheetPr>
  <dimension ref="A1:G8"/>
  <sheetViews>
    <sheetView workbookViewId="0" showGridLines="0">
      <pane ySplit="6" topLeftCell="A7" activePane="bottomLeft" state="frozen"/>
      <selection pane="bottomLeft" activeCell="A7" sqref="A7"/>
    </sheetView>
  </sheetViews>
  <sheetFormatPr defaultRowHeight="0" outlineLevelRow="0" outlineLevelCol="0" x14ac:dyDescent="55" customHeight="1" zeroHeight="1"/>
  <cols>
    <col min="1" max="1" width="22" customWidth="1"/>
    <col min="2" max="2" width="11" customWidth="1"/>
    <col min="3" max="4" width="18" customWidth="1"/>
    <col min="5" max="6" width="10" customWidth="1"/>
    <col min="7" max="7" width="11" customWidth="1"/>
    <col min="8" max="16384" width="9" hidden="1" customWidth="1"/>
  </cols>
  <sheetData>
    <row r="1" ht="22" customHeight="1" spans="1:7" x14ac:dyDescent="0.25">
      <c r="A1" s="17" t="s">
        <v>0</v>
      </c>
      <c r="B1" s="17"/>
      <c r="C1" s="17"/>
      <c r="D1" s="17"/>
      <c r="E1" s="17"/>
      <c r="F1" s="17"/>
      <c r="G1" s="17"/>
    </row>
    <row r="2" ht="16" customHeight="1" spans="1:7" x14ac:dyDescent="0.25">
      <c r="A2" s="62" t="s">
        <v>1</v>
      </c>
      <c r="B2" s="62"/>
      <c r="C2" s="62"/>
      <c r="D2" s="62"/>
      <c r="E2" s="62"/>
      <c r="F2" s="62"/>
      <c r="G2" s="62"/>
    </row>
    <row r="3" ht="16" customHeight="1" spans="1:7" x14ac:dyDescent="0.25">
      <c r="A3" s="63" t="s">
        <v>93</v>
      </c>
      <c r="B3" s="63"/>
      <c r="C3" s="63"/>
      <c r="D3" s="63"/>
      <c r="E3" s="63"/>
      <c r="F3" s="63"/>
      <c r="G3" s="63"/>
    </row>
    <row r="4" ht="6" customHeight="1" spans="1:7" x14ac:dyDescent="0.25">
      <c r="A4" s="64"/>
      <c r="B4" s="64"/>
      <c r="C4" s="64"/>
      <c r="D4" s="64"/>
      <c r="E4" s="64"/>
      <c r="F4" s="64"/>
      <c r="G4" s="64"/>
    </row>
    <row r="5" ht="6" customHeight="1" spans="1:7" x14ac:dyDescent="0.25">
      <c r="A5" s="64"/>
      <c r="B5" s="64"/>
      <c r="C5" s="64"/>
      <c r="D5" s="64"/>
      <c r="E5" s="64"/>
      <c r="F5" s="64"/>
      <c r="G5" s="64"/>
    </row>
    <row r="6" ht="20" customHeight="1" spans="1:7" x14ac:dyDescent="0.25">
      <c r="A6" s="65" t="s">
        <v>94</v>
      </c>
      <c r="B6" s="65" t="s">
        <v>95</v>
      </c>
      <c r="C6" s="65" t="s">
        <v>96</v>
      </c>
      <c r="D6" s="65" t="s">
        <v>97</v>
      </c>
      <c r="E6" s="65" t="s">
        <v>98</v>
      </c>
      <c r="F6" s="65" t="s">
        <v>99</v>
      </c>
      <c r="G6" s="65" t="s">
        <v>36</v>
      </c>
    </row>
    <row r="7" ht="16" customHeight="1" spans="1:7" x14ac:dyDescent="0.25">
      <c r="A7" s="66" t="s">
        <v>29</v>
      </c>
      <c r="B7" s="75" t="s">
        <v>100</v>
      </c>
      <c r="C7" s="76">
        <v>66540.9</v>
      </c>
      <c r="D7" s="76">
        <v>39060</v>
      </c>
      <c r="E7" s="67">
        <v>360</v>
      </c>
      <c r="F7" s="67">
        <v>264</v>
      </c>
      <c r="G7" s="75" t="s">
        <v>37</v>
      </c>
    </row>
    <row r="8" ht="16" customHeight="1" spans="1:7" x14ac:dyDescent="0.25">
      <c r="A8" s="68" t="s">
        <v>88</v>
      </c>
      <c r="B8" s="77" t="s">
        <v>100</v>
      </c>
      <c r="C8" s="78">
        <v>66540.9</v>
      </c>
      <c r="D8" s="78">
        <v>19530</v>
      </c>
      <c r="E8" s="69">
        <v>360</v>
      </c>
      <c r="F8" s="69">
        <v>132</v>
      </c>
      <c r="G8" s="77" t="s">
        <v>101</v>
      </c>
    </row>
  </sheetData>
  <sheetProtection sheet="1"/>
  <mergeCells count="3">
    <mergeCell ref="A1:G1"/>
    <mergeCell ref="A2:G2"/>
    <mergeCell ref="A3:G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Report log &amp;R Confidential</oddHeader>
    <oddFooter>&amp;L Produced by Hit Squad Project Controls &amp;C &amp;D &amp;R Page &amp;P of &amp;N</oddFooter>
    <evenHeader>&amp;L&amp;B HIT SQUAD / PROJECT CONTROLS &amp;C Report log &amp;R Confidential</evenHeader>
    <evenFooter>&amp;L Produced by Hit Squad Project Controls &amp;C &amp;D &amp;R Page &amp;P of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7A88"/>
    <pageSetUpPr fitToPage="1"/>
  </sheetPr>
  <dimension ref="A1:G15"/>
  <sheetViews>
    <sheetView workbookViewId="0" showGridLines="0">
      <pane ySplit="6" topLeftCell="A7" activePane="bottomLeft" state="frozen"/>
      <selection pane="bottomLeft" activeCell="A7" sqref="A7"/>
    </sheetView>
  </sheetViews>
  <sheetFormatPr defaultRowHeight="0" outlineLevelRow="0" outlineLevelCol="0" x14ac:dyDescent="55" customHeight="1" zeroHeight="1"/>
  <cols>
    <col min="1" max="1" width="22" customWidth="1"/>
    <col min="2" max="2" width="28" customWidth="1"/>
    <col min="3" max="5" width="18" customWidth="1"/>
    <col min="6" max="6" width="11" customWidth="1"/>
    <col min="7" max="7" width="18" customWidth="1"/>
    <col min="8" max="16384" width="9" hidden="1" customWidth="1"/>
  </cols>
  <sheetData>
    <row r="1" ht="22" customHeight="1" spans="1:7" x14ac:dyDescent="0.25">
      <c r="A1" s="17" t="s">
        <v>0</v>
      </c>
      <c r="B1" s="17"/>
      <c r="C1" s="17"/>
      <c r="D1" s="17"/>
      <c r="E1" s="17"/>
      <c r="F1" s="17"/>
      <c r="G1" s="17"/>
    </row>
    <row r="2" ht="16" customHeight="1" spans="1:7" x14ac:dyDescent="0.25">
      <c r="A2" s="62" t="s">
        <v>1</v>
      </c>
      <c r="B2" s="62"/>
      <c r="C2" s="62"/>
      <c r="D2" s="62"/>
      <c r="E2" s="62"/>
      <c r="F2" s="62"/>
      <c r="G2" s="62"/>
    </row>
    <row r="3" ht="16" customHeight="1" spans="1:7" x14ac:dyDescent="0.25">
      <c r="A3" s="63" t="s">
        <v>102</v>
      </c>
      <c r="B3" s="63"/>
      <c r="C3" s="63"/>
      <c r="D3" s="63"/>
      <c r="E3" s="63"/>
      <c r="F3" s="63"/>
      <c r="G3" s="63"/>
    </row>
    <row r="4" ht="6" customHeight="1" spans="1:7" x14ac:dyDescent="0.25">
      <c r="A4" s="64"/>
      <c r="B4" s="64"/>
      <c r="C4" s="64"/>
      <c r="D4" s="64"/>
      <c r="E4" s="64"/>
      <c r="F4" s="64"/>
      <c r="G4" s="64"/>
    </row>
    <row r="5" ht="6" customHeight="1" spans="1:7" x14ac:dyDescent="0.25">
      <c r="A5" s="64"/>
      <c r="B5" s="64"/>
      <c r="C5" s="64"/>
      <c r="D5" s="64"/>
      <c r="E5" s="64"/>
      <c r="F5" s="64"/>
      <c r="G5" s="64"/>
    </row>
    <row r="6" ht="20" customHeight="1" spans="1:7" x14ac:dyDescent="0.25">
      <c r="A6" s="65" t="s">
        <v>103</v>
      </c>
      <c r="B6" s="65" t="s">
        <v>104</v>
      </c>
      <c r="C6" s="65" t="s">
        <v>105</v>
      </c>
      <c r="D6" s="65" t="s">
        <v>106</v>
      </c>
      <c r="E6" s="65" t="s">
        <v>107</v>
      </c>
      <c r="F6" s="65" t="s">
        <v>108</v>
      </c>
      <c r="G6" s="65" t="s">
        <v>109</v>
      </c>
    </row>
    <row r="7" ht="16" customHeight="1" spans="1:7" x14ac:dyDescent="0.25">
      <c r="A7" s="79">
        <v>100</v>
      </c>
      <c r="B7" s="75" t="s">
        <v>110</v>
      </c>
      <c r="C7" s="76">
        <v>168</v>
      </c>
      <c r="D7" s="76">
        <v>18480</v>
      </c>
      <c r="E7" s="76">
        <v>0</v>
      </c>
      <c r="F7" s="80">
        <v>0</v>
      </c>
      <c r="G7" s="76">
        <v>18480</v>
      </c>
    </row>
    <row r="8" ht="16" customHeight="1" spans="1:7" x14ac:dyDescent="0.25">
      <c r="A8" s="81">
        <v>400</v>
      </c>
      <c r="B8" s="77" t="s">
        <v>64</v>
      </c>
      <c r="C8" s="78">
        <v>24</v>
      </c>
      <c r="D8" s="78">
        <v>3120</v>
      </c>
      <c r="E8" s="78">
        <v>0</v>
      </c>
      <c r="F8" s="82">
        <v>0</v>
      </c>
      <c r="G8" s="78">
        <v>3120</v>
      </c>
    </row>
    <row r="9" ht="16" customHeight="1" spans="1:7" x14ac:dyDescent="0.25">
      <c r="A9" s="79">
        <v>500</v>
      </c>
      <c r="B9" s="75" t="s">
        <v>65</v>
      </c>
      <c r="C9" s="76">
        <v>48</v>
      </c>
      <c r="D9" s="76">
        <v>3840</v>
      </c>
      <c r="E9" s="76">
        <v>0</v>
      </c>
      <c r="F9" s="80">
        <v>0</v>
      </c>
      <c r="G9" s="76">
        <v>3840</v>
      </c>
    </row>
    <row r="10" ht="16" customHeight="1" spans="1:7" x14ac:dyDescent="0.25">
      <c r="A10" s="81">
        <v>505</v>
      </c>
      <c r="B10" s="77" t="s">
        <v>67</v>
      </c>
      <c r="C10" s="78">
        <v>0</v>
      </c>
      <c r="D10" s="78">
        <v>0</v>
      </c>
      <c r="E10" s="78">
        <v>1820</v>
      </c>
      <c r="F10" s="82">
        <v>0</v>
      </c>
      <c r="G10" s="78">
        <v>1820</v>
      </c>
    </row>
    <row r="11" ht="16" customHeight="1" spans="1:7" x14ac:dyDescent="0.25">
      <c r="A11" s="79">
        <v>702</v>
      </c>
      <c r="B11" s="75" t="s">
        <v>66</v>
      </c>
      <c r="C11" s="76">
        <v>24</v>
      </c>
      <c r="D11" s="76">
        <v>3600</v>
      </c>
      <c r="E11" s="76">
        <v>0</v>
      </c>
      <c r="F11" s="80">
        <v>0</v>
      </c>
      <c r="G11" s="76">
        <v>3600</v>
      </c>
    </row>
    <row r="12" ht="16" customHeight="1" spans="1:7" x14ac:dyDescent="0.25">
      <c r="A12" s="81">
        <v>721</v>
      </c>
      <c r="B12" s="77" t="s">
        <v>73</v>
      </c>
      <c r="C12" s="78">
        <v>0</v>
      </c>
      <c r="D12" s="78">
        <v>0</v>
      </c>
      <c r="E12" s="78">
        <v>0</v>
      </c>
      <c r="F12" s="82">
        <v>12</v>
      </c>
      <c r="G12" s="78">
        <v>980</v>
      </c>
    </row>
    <row r="13" ht="16" customHeight="1" spans="1:7" x14ac:dyDescent="0.25">
      <c r="A13" s="79">
        <v>725</v>
      </c>
      <c r="B13" s="75" t="s">
        <v>76</v>
      </c>
      <c r="C13" s="76">
        <v>0</v>
      </c>
      <c r="D13" s="76">
        <v>0</v>
      </c>
      <c r="E13" s="76">
        <v>0</v>
      </c>
      <c r="F13" s="80">
        <v>1</v>
      </c>
      <c r="G13" s="76">
        <v>2100</v>
      </c>
    </row>
    <row r="14" ht="16" customHeight="1" spans="1:7" x14ac:dyDescent="0.25">
      <c r="A14" s="81">
        <v>727</v>
      </c>
      <c r="B14" s="77" t="s">
        <v>74</v>
      </c>
      <c r="C14" s="78">
        <v>0</v>
      </c>
      <c r="D14" s="78">
        <v>0</v>
      </c>
      <c r="E14" s="78">
        <v>0</v>
      </c>
      <c r="F14" s="82">
        <v>2</v>
      </c>
      <c r="G14" s="78">
        <v>1600</v>
      </c>
    </row>
    <row r="15" ht="16" customHeight="1" spans="1:7" x14ac:dyDescent="0.25">
      <c r="A15" s="79">
        <v>730</v>
      </c>
      <c r="B15" s="75" t="s">
        <v>75</v>
      </c>
      <c r="C15" s="76">
        <v>0</v>
      </c>
      <c r="D15" s="76">
        <v>8200</v>
      </c>
      <c r="E15" s="76">
        <v>0</v>
      </c>
      <c r="F15" s="80">
        <v>0</v>
      </c>
      <c r="G15" s="76">
        <v>8200</v>
      </c>
    </row>
  </sheetData>
  <sheetProtection sheet="1"/>
  <mergeCells count="3">
    <mergeCell ref="A1:G1"/>
    <mergeCell ref="A2:G2"/>
    <mergeCell ref="A3:G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T3 Export 15 &amp;R Confidential</oddHeader>
    <oddFooter>&amp;L Produced by Hit Squad Project Controls &amp;C &amp;D &amp;R Page &amp;P of &amp;N</oddFooter>
    <evenHeader>&amp;L&amp;B HIT SQUAD / PROJECT CONTROLS &amp;C T3 Export 15 &amp;R Confidential</evenHeader>
    <evenFooter>&amp;L Produced by Hit Squad Project Controls &amp;C &amp;D &amp;R Page &amp;P of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7A88"/>
    <pageSetUpPr fitToPage="1"/>
  </sheetPr>
  <dimension ref="A1:I15"/>
  <sheetViews>
    <sheetView workbookViewId="0" showGridLines="0">
      <pane ySplit="6" topLeftCell="A7" activePane="bottomLeft" state="frozen"/>
      <selection pane="bottomLeft" activeCell="A7" sqref="A7"/>
    </sheetView>
  </sheetViews>
  <sheetFormatPr defaultRowHeight="0" outlineLevelRow="0" outlineLevelCol="0" x14ac:dyDescent="55" customHeight="1" zeroHeight="1"/>
  <cols>
    <col min="1" max="1" width="22" customWidth="1"/>
    <col min="2" max="8" width="11" customWidth="1"/>
    <col min="9" max="9" width="10" customWidth="1"/>
    <col min="10" max="16384" width="9" hidden="1" customWidth="1"/>
  </cols>
  <sheetData>
    <row r="1" ht="22" customHeight="1" spans="1:9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ht="16" customHeight="1" spans="1:9" x14ac:dyDescent="0.25">
      <c r="A2" s="62" t="s">
        <v>1</v>
      </c>
      <c r="B2" s="62"/>
      <c r="C2" s="62"/>
      <c r="D2" s="62"/>
      <c r="E2" s="62"/>
      <c r="F2" s="62"/>
      <c r="G2" s="62"/>
      <c r="H2" s="62"/>
      <c r="I2" s="62"/>
    </row>
    <row r="3" ht="16" customHeight="1" spans="1:9" x14ac:dyDescent="0.25">
      <c r="A3" s="63" t="s">
        <v>111</v>
      </c>
      <c r="B3" s="63"/>
      <c r="C3" s="63"/>
      <c r="D3" s="63"/>
      <c r="E3" s="63"/>
      <c r="F3" s="63"/>
      <c r="G3" s="63"/>
      <c r="H3" s="63"/>
      <c r="I3" s="63"/>
    </row>
    <row r="4" ht="6" customHeight="1" spans="1:9" x14ac:dyDescent="0.25">
      <c r="A4" s="64"/>
      <c r="B4" s="64"/>
      <c r="C4" s="64"/>
      <c r="D4" s="64"/>
      <c r="E4" s="64"/>
      <c r="F4" s="64"/>
      <c r="G4" s="64"/>
      <c r="H4" s="64"/>
      <c r="I4" s="64"/>
    </row>
    <row r="5" ht="6" customHeight="1" spans="1:9" x14ac:dyDescent="0.25">
      <c r="A5" s="64"/>
      <c r="B5" s="64"/>
      <c r="C5" s="64"/>
      <c r="D5" s="64"/>
      <c r="E5" s="64"/>
      <c r="F5" s="64"/>
      <c r="G5" s="64"/>
      <c r="H5" s="64"/>
      <c r="I5" s="64"/>
    </row>
    <row r="6" ht="20" customHeight="1" spans="1:9" x14ac:dyDescent="0.25">
      <c r="A6" s="65" t="s">
        <v>112</v>
      </c>
      <c r="B6" s="65" t="s">
        <v>113</v>
      </c>
      <c r="C6" s="65" t="s">
        <v>114</v>
      </c>
      <c r="D6" s="65" t="s">
        <v>115</v>
      </c>
      <c r="E6" s="65" t="s">
        <v>116</v>
      </c>
      <c r="F6" s="65" t="s">
        <v>117</v>
      </c>
      <c r="G6" s="65" t="s">
        <v>118</v>
      </c>
      <c r="H6" s="65" t="s">
        <v>103</v>
      </c>
      <c r="I6" s="65" t="s">
        <v>119</v>
      </c>
    </row>
    <row r="7" ht="16" customHeight="1" spans="1:9" x14ac:dyDescent="0.25">
      <c r="A7" s="66" t="s">
        <v>88</v>
      </c>
      <c r="B7" s="75" t="s">
        <v>60</v>
      </c>
      <c r="C7" s="75" t="s">
        <v>120</v>
      </c>
      <c r="D7" s="80">
        <v>40</v>
      </c>
      <c r="E7" s="80">
        <v>32</v>
      </c>
      <c r="F7" s="80">
        <v>8</v>
      </c>
      <c r="G7" s="80">
        <v>0</v>
      </c>
      <c r="H7" s="80">
        <v>100</v>
      </c>
      <c r="I7" s="67">
        <v>4</v>
      </c>
    </row>
    <row r="8" ht="16" customHeight="1" spans="1:9" x14ac:dyDescent="0.25">
      <c r="A8" s="68" t="s">
        <v>88</v>
      </c>
      <c r="B8" s="77" t="s">
        <v>61</v>
      </c>
      <c r="C8" s="77" t="s">
        <v>121</v>
      </c>
      <c r="D8" s="82">
        <v>30</v>
      </c>
      <c r="E8" s="82">
        <v>24</v>
      </c>
      <c r="F8" s="82">
        <v>6</v>
      </c>
      <c r="G8" s="82">
        <v>0</v>
      </c>
      <c r="H8" s="82">
        <v>100</v>
      </c>
      <c r="I8" s="69">
        <v>3</v>
      </c>
    </row>
    <row r="9" ht="16" customHeight="1" spans="1:9" x14ac:dyDescent="0.25">
      <c r="A9" s="66" t="s">
        <v>88</v>
      </c>
      <c r="B9" s="75" t="s">
        <v>122</v>
      </c>
      <c r="C9" s="75" t="s">
        <v>123</v>
      </c>
      <c r="D9" s="80">
        <v>20</v>
      </c>
      <c r="E9" s="80">
        <v>16</v>
      </c>
      <c r="F9" s="80">
        <v>4</v>
      </c>
      <c r="G9" s="80">
        <v>0</v>
      </c>
      <c r="H9" s="80">
        <v>500</v>
      </c>
      <c r="I9" s="67">
        <v>2</v>
      </c>
    </row>
    <row r="10" ht="16" customHeight="1" spans="1:9" x14ac:dyDescent="0.25">
      <c r="A10" s="68" t="s">
        <v>89</v>
      </c>
      <c r="B10" s="77" t="s">
        <v>60</v>
      </c>
      <c r="C10" s="77" t="s">
        <v>120</v>
      </c>
      <c r="D10" s="82">
        <v>40</v>
      </c>
      <c r="E10" s="82">
        <v>32</v>
      </c>
      <c r="F10" s="82">
        <v>8</v>
      </c>
      <c r="G10" s="82">
        <v>0</v>
      </c>
      <c r="H10" s="82">
        <v>100</v>
      </c>
      <c r="I10" s="69">
        <v>4</v>
      </c>
    </row>
    <row r="11" ht="16" customHeight="1" spans="1:9" x14ac:dyDescent="0.25">
      <c r="A11" s="66" t="s">
        <v>89</v>
      </c>
      <c r="B11" s="75" t="s">
        <v>61</v>
      </c>
      <c r="C11" s="75" t="s">
        <v>121</v>
      </c>
      <c r="D11" s="80">
        <v>30</v>
      </c>
      <c r="E11" s="80">
        <v>24</v>
      </c>
      <c r="F11" s="80">
        <v>6</v>
      </c>
      <c r="G11" s="80">
        <v>0</v>
      </c>
      <c r="H11" s="80">
        <v>100</v>
      </c>
      <c r="I11" s="67">
        <v>3</v>
      </c>
    </row>
    <row r="12" ht="16" customHeight="1" spans="1:9" x14ac:dyDescent="0.25">
      <c r="A12" s="68" t="s">
        <v>89</v>
      </c>
      <c r="B12" s="77" t="s">
        <v>122</v>
      </c>
      <c r="C12" s="77" t="s">
        <v>123</v>
      </c>
      <c r="D12" s="82">
        <v>20</v>
      </c>
      <c r="E12" s="82">
        <v>16</v>
      </c>
      <c r="F12" s="82">
        <v>4</v>
      </c>
      <c r="G12" s="82">
        <v>0</v>
      </c>
      <c r="H12" s="82">
        <v>500</v>
      </c>
      <c r="I12" s="69">
        <v>2</v>
      </c>
    </row>
    <row r="13" ht="16" customHeight="1" spans="1:9" x14ac:dyDescent="0.25">
      <c r="A13" s="66" t="s">
        <v>29</v>
      </c>
      <c r="B13" s="75" t="s">
        <v>60</v>
      </c>
      <c r="C13" s="75" t="s">
        <v>120</v>
      </c>
      <c r="D13" s="80">
        <v>20</v>
      </c>
      <c r="E13" s="80">
        <v>16</v>
      </c>
      <c r="F13" s="80">
        <v>4</v>
      </c>
      <c r="G13" s="80">
        <v>0</v>
      </c>
      <c r="H13" s="80">
        <v>100</v>
      </c>
      <c r="I13" s="67">
        <v>2</v>
      </c>
    </row>
    <row r="14" ht="16" customHeight="1" spans="1:9" x14ac:dyDescent="0.25">
      <c r="A14" s="68" t="s">
        <v>29</v>
      </c>
      <c r="B14" s="77" t="s">
        <v>61</v>
      </c>
      <c r="C14" s="77" t="s">
        <v>121</v>
      </c>
      <c r="D14" s="82">
        <v>8</v>
      </c>
      <c r="E14" s="82">
        <v>8</v>
      </c>
      <c r="F14" s="82">
        <v>0</v>
      </c>
      <c r="G14" s="82">
        <v>0</v>
      </c>
      <c r="H14" s="82">
        <v>100</v>
      </c>
      <c r="I14" s="69">
        <v>1</v>
      </c>
    </row>
    <row r="15" ht="16" customHeight="1" spans="1:9" x14ac:dyDescent="0.25">
      <c r="A15" s="66" t="s">
        <v>29</v>
      </c>
      <c r="B15" s="75" t="s">
        <v>122</v>
      </c>
      <c r="C15" s="75" t="s">
        <v>123</v>
      </c>
      <c r="D15" s="80">
        <v>8</v>
      </c>
      <c r="E15" s="80">
        <v>8</v>
      </c>
      <c r="F15" s="80">
        <v>0</v>
      </c>
      <c r="G15" s="80">
        <v>0</v>
      </c>
      <c r="H15" s="80">
        <v>500</v>
      </c>
      <c r="I15" s="67">
        <v>1</v>
      </c>
    </row>
  </sheetData>
  <sheetProtection sheet="1"/>
  <mergeCells count="3">
    <mergeCell ref="A1:I1"/>
    <mergeCell ref="A2:I2"/>
    <mergeCell ref="A3:I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T3 Export 16 &amp;R Confidential</oddHeader>
    <oddFooter>&amp;L Produced by Hit Squad Project Controls &amp;C &amp;D &amp;R Page &amp;P of &amp;N</oddFooter>
    <evenHeader>&amp;L&amp;B HIT SQUAD / PROJECT CONTROLS &amp;C T3 Export 16 &amp;R Confidential</evenHeader>
    <evenFooter>&amp;L Produced by Hit Squad Project Controls &amp;C &amp;D &amp;R Page &amp;P of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F6D"/>
    <pageSetUpPr fitToPage="1"/>
  </sheetPr>
  <dimension ref="A1:AD13"/>
  <sheetViews>
    <sheetView workbookViewId="0" showGridLines="0">
      <pane ySplit="6" topLeftCell="A7" activePane="bottomLeft" state="frozen"/>
      <selection pane="bottomLeft" activeCell="A7" sqref="A7"/>
    </sheetView>
  </sheetViews>
  <sheetFormatPr defaultRowHeight="0" outlineLevelRow="0" outlineLevelCol="0" x14ac:dyDescent="55" customHeight="1" zeroHeight="1"/>
  <cols>
    <col min="1" max="1" width="28" customWidth="1"/>
    <col min="2" max="2" width="18" customWidth="1"/>
    <col min="4" max="6" width="18" customWidth="1"/>
    <col min="8" max="8" width="11" customWidth="1"/>
    <col min="9" max="10" width="18" customWidth="1"/>
    <col min="12" max="12" width="11" customWidth="1"/>
    <col min="13" max="14" width="18" customWidth="1"/>
    <col min="16" max="16" width="11" customWidth="1"/>
    <col min="17" max="18" width="18" customWidth="1"/>
    <col min="20" max="20" width="11" customWidth="1"/>
    <col min="21" max="22" width="18" customWidth="1"/>
    <col min="24" max="24" width="11" customWidth="1"/>
    <col min="25" max="26" width="18" customWidth="1"/>
    <col min="28" max="28" width="11" customWidth="1"/>
    <col min="29" max="30" width="10" customWidth="1"/>
    <col min="31" max="16384" width="9" hidden="1" customWidth="1"/>
  </cols>
  <sheetData>
    <row r="1" ht="22" customHeight="1" spans="1:30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ht="16" customHeight="1" spans="1:30" x14ac:dyDescent="0.25">
      <c r="A2" s="62" t="s">
        <v>124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</row>
    <row r="3" ht="16" customHeight="1" spans="1:30" x14ac:dyDescent="0.25">
      <c r="A3" s="63" t="s">
        <v>125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ht="6" customHeight="1" spans="1:30" x14ac:dyDescent="0.2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</row>
    <row r="5" ht="6" customHeight="1" spans="1:30" x14ac:dyDescent="0.2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</row>
    <row r="6" ht="20" customHeight="1" spans="1:30" x14ac:dyDescent="0.25">
      <c r="A6" s="65" t="s">
        <v>126</v>
      </c>
      <c r="B6" s="65" t="s">
        <v>127</v>
      </c>
      <c r="C6" s="83"/>
      <c r="D6" s="65" t="s">
        <v>128</v>
      </c>
      <c r="E6" s="65" t="s">
        <v>96</v>
      </c>
      <c r="F6" s="65" t="s">
        <v>97</v>
      </c>
      <c r="G6" s="83"/>
      <c r="H6" s="65" t="s">
        <v>129</v>
      </c>
      <c r="I6" s="65" t="s">
        <v>96</v>
      </c>
      <c r="J6" s="65" t="s">
        <v>97</v>
      </c>
      <c r="K6" s="83"/>
      <c r="L6" s="65" t="s">
        <v>130</v>
      </c>
      <c r="M6" s="65" t="s">
        <v>96</v>
      </c>
      <c r="N6" s="65" t="s">
        <v>97</v>
      </c>
      <c r="O6" s="83"/>
      <c r="P6" s="65" t="s">
        <v>131</v>
      </c>
      <c r="Q6" s="65" t="s">
        <v>96</v>
      </c>
      <c r="R6" s="65" t="s">
        <v>97</v>
      </c>
      <c r="S6" s="83"/>
      <c r="T6" s="65" t="s">
        <v>132</v>
      </c>
      <c r="U6" s="65" t="s">
        <v>96</v>
      </c>
      <c r="V6" s="65" t="s">
        <v>97</v>
      </c>
      <c r="W6" s="83"/>
      <c r="X6" s="65" t="s">
        <v>133</v>
      </c>
      <c r="Y6" s="65" t="s">
        <v>96</v>
      </c>
      <c r="Z6" s="65" t="s">
        <v>97</v>
      </c>
      <c r="AA6" s="83"/>
      <c r="AB6" s="65" t="s">
        <v>134</v>
      </c>
      <c r="AC6" s="65" t="s">
        <v>135</v>
      </c>
      <c r="AD6" s="65" t="s">
        <v>119</v>
      </c>
    </row>
    <row r="7" ht="16" customHeight="1" spans="1:30" x14ac:dyDescent="0.25">
      <c r="A7" s="66" t="s">
        <v>136</v>
      </c>
      <c r="B7" s="76">
        <v>6500</v>
      </c>
      <c r="C7" s="84"/>
      <c r="D7" s="85" t="s">
        <v>110</v>
      </c>
      <c r="E7" s="76">
        <f>'Total Project PPR'!D13</f>
        <v>31223.52</v>
      </c>
      <c r="F7" s="76">
        <f>'Total Project PPR'!M13</f>
        <v>18480</v>
      </c>
      <c r="G7" s="84"/>
      <c r="H7" s="75" t="s">
        <v>60</v>
      </c>
      <c r="I7" s="76">
        <f>'Total Project PPR'!D11</f>
        <v>17152.32</v>
      </c>
      <c r="J7" s="76">
        <f>'Total Project PPR'!M11</f>
        <v>10560</v>
      </c>
      <c r="K7" s="84"/>
      <c r="L7" s="75" t="s">
        <v>64</v>
      </c>
      <c r="M7" s="76">
        <f>'Total Project PPR'!D15</f>
        <v>4548.96</v>
      </c>
      <c r="N7" s="76">
        <f>'Total Project PPR'!M15</f>
        <v>3120</v>
      </c>
      <c r="O7" s="84"/>
      <c r="P7" s="75" t="s">
        <v>67</v>
      </c>
      <c r="Q7" s="76">
        <f>'Total Project PPR'!D18</f>
        <v>2640</v>
      </c>
      <c r="R7" s="76">
        <f>'Total Project PPR'!M18</f>
        <v>1820</v>
      </c>
      <c r="S7" s="84"/>
      <c r="T7" s="75" t="s">
        <v>74</v>
      </c>
      <c r="U7" s="76">
        <f>'Total Project PPR'!D25</f>
        <v>0</v>
      </c>
      <c r="V7" s="76">
        <f>'Total Project PPR'!M25</f>
        <v>0</v>
      </c>
      <c r="W7" s="84"/>
      <c r="X7" s="75" t="s">
        <v>73</v>
      </c>
      <c r="Y7" s="76">
        <f>'Total Project PPR'!D24</f>
        <v>1020</v>
      </c>
      <c r="Z7" s="76">
        <f>'Total Project PPR'!M24</f>
        <v>0</v>
      </c>
      <c r="AA7" s="84"/>
      <c r="AB7" s="75" t="s">
        <v>60</v>
      </c>
      <c r="AC7" s="67">
        <v>100</v>
      </c>
      <c r="AD7" s="67">
        <v>4</v>
      </c>
    </row>
    <row r="8" ht="16" customHeight="1" spans="1:30" x14ac:dyDescent="0.25">
      <c r="A8" s="68" t="s">
        <v>137</v>
      </c>
      <c r="B8" s="78">
        <v>4200</v>
      </c>
      <c r="C8" s="86"/>
      <c r="D8" s="72" t="s">
        <v>138</v>
      </c>
      <c r="E8" s="78">
        <f>SUM('Total Project PPR'!D15,'Total Project PPR'!D16,'Total Project PPR'!D17)</f>
        <v>9372.08</v>
      </c>
      <c r="F8" s="78">
        <f>SUM('Total Project PPR'!M15,'Total Project PPR'!M16,'Total Project PPR'!M17)</f>
        <v>10560</v>
      </c>
      <c r="G8" s="86"/>
      <c r="H8" s="77" t="s">
        <v>61</v>
      </c>
      <c r="I8" s="78">
        <f>'Total Project PPR'!D12</f>
        <v>14071.2</v>
      </c>
      <c r="J8" s="78">
        <f>'Total Project PPR'!M12</f>
        <v>7920</v>
      </c>
      <c r="K8" s="86"/>
      <c r="L8" s="77" t="s">
        <v>65</v>
      </c>
      <c r="M8" s="78">
        <f>'Total Project PPR'!D16</f>
        <v>0</v>
      </c>
      <c r="N8" s="78">
        <f>'Total Project PPR'!M16</f>
        <v>3840</v>
      </c>
      <c r="O8" s="86"/>
      <c r="P8" s="77" t="s">
        <v>68</v>
      </c>
      <c r="Q8" s="78">
        <f>'Total Project PPR'!D19</f>
        <v>280</v>
      </c>
      <c r="R8" s="78">
        <f>'Total Project PPR'!M19</f>
        <v>0</v>
      </c>
      <c r="S8" s="86"/>
      <c r="T8" s="77" t="s">
        <v>139</v>
      </c>
      <c r="U8" s="78">
        <f>'Total Project PPR'!D27</f>
        <v>2400</v>
      </c>
      <c r="V8" s="78">
        <f>'Total Project PPR'!M27</f>
        <v>0</v>
      </c>
      <c r="W8" s="86"/>
      <c r="X8" s="77" t="s">
        <v>69</v>
      </c>
      <c r="Y8" s="78">
        <f>'Total Project PPR'!D20</f>
        <v>0</v>
      </c>
      <c r="Z8" s="78">
        <f>'Total Project PPR'!M20</f>
        <v>0</v>
      </c>
      <c r="AA8" s="86"/>
      <c r="AB8" s="77" t="s">
        <v>61</v>
      </c>
      <c r="AC8" s="69">
        <v>68</v>
      </c>
      <c r="AD8" s="69">
        <v>3</v>
      </c>
    </row>
    <row r="9" ht="16" customHeight="1" spans="1:30" x14ac:dyDescent="0.25">
      <c r="A9" s="66" t="s">
        <v>140</v>
      </c>
      <c r="B9" s="76">
        <v>3800</v>
      </c>
      <c r="C9" s="84"/>
      <c r="D9" s="85" t="s">
        <v>131</v>
      </c>
      <c r="E9" s="76">
        <f>SUM('Total Project PPR'!D18,'Total Project PPR'!D19)</f>
        <v>2920</v>
      </c>
      <c r="F9" s="76">
        <f>SUM('Total Project PPR'!M18,'Total Project PPR'!M19)</f>
        <v>1820</v>
      </c>
      <c r="G9" s="84"/>
      <c r="H9" s="84"/>
      <c r="I9" s="71"/>
      <c r="J9" s="71"/>
      <c r="K9" s="84"/>
      <c r="L9" s="75" t="s">
        <v>66</v>
      </c>
      <c r="M9" s="76">
        <f>'Total Project PPR'!D17</f>
        <v>4823.12</v>
      </c>
      <c r="N9" s="76">
        <f>'Total Project PPR'!M17</f>
        <v>3600</v>
      </c>
      <c r="O9" s="84"/>
      <c r="P9" s="84"/>
      <c r="Q9" s="71"/>
      <c r="R9" s="71"/>
      <c r="S9" s="84"/>
      <c r="T9" s="84"/>
      <c r="U9" s="71"/>
      <c r="V9" s="71"/>
      <c r="W9" s="84"/>
      <c r="X9" s="75" t="s">
        <v>70</v>
      </c>
      <c r="Y9" s="76">
        <f>'Total Project PPR'!D21</f>
        <v>0</v>
      </c>
      <c r="Z9" s="76">
        <f>'Total Project PPR'!M21</f>
        <v>0</v>
      </c>
      <c r="AA9" s="84"/>
      <c r="AB9" s="75" t="s">
        <v>122</v>
      </c>
      <c r="AC9" s="67">
        <v>48</v>
      </c>
      <c r="AD9" s="67">
        <v>2</v>
      </c>
    </row>
    <row r="10" ht="16" customHeight="1" spans="1:30" x14ac:dyDescent="0.25">
      <c r="A10" s="68" t="s">
        <v>141</v>
      </c>
      <c r="B10" s="78">
        <v>3700</v>
      </c>
      <c r="C10" s="86"/>
      <c r="D10" s="72" t="s">
        <v>142</v>
      </c>
      <c r="E10" s="78">
        <f>'Total Project PPR'!D25</f>
        <v>0</v>
      </c>
      <c r="F10" s="78">
        <f>'Total Project PPR'!M25</f>
        <v>0</v>
      </c>
      <c r="G10" s="86"/>
      <c r="H10" s="86"/>
      <c r="I10" s="74"/>
      <c r="J10" s="74"/>
      <c r="K10" s="86"/>
      <c r="L10" s="86"/>
      <c r="M10" s="74"/>
      <c r="N10" s="74"/>
      <c r="O10" s="86"/>
      <c r="P10" s="86"/>
      <c r="Q10" s="74"/>
      <c r="R10" s="74"/>
      <c r="S10" s="86"/>
      <c r="T10" s="86"/>
      <c r="U10" s="74"/>
      <c r="V10" s="74"/>
      <c r="W10" s="86"/>
      <c r="X10" s="86"/>
      <c r="Y10" s="74"/>
      <c r="Z10" s="74"/>
      <c r="AA10" s="86"/>
      <c r="AB10" s="86"/>
      <c r="AC10" s="74"/>
      <c r="AD10" s="74"/>
    </row>
    <row r="11" ht="16" customHeight="1" spans="1:30" x14ac:dyDescent="0.25">
      <c r="A11" s="70"/>
      <c r="B11" s="71"/>
      <c r="C11" s="84"/>
      <c r="D11" s="85" t="s">
        <v>139</v>
      </c>
      <c r="E11" s="76">
        <f>'Total Project PPR'!D27</f>
        <v>2400</v>
      </c>
      <c r="F11" s="76">
        <f>'Total Project PPR'!M27</f>
        <v>0</v>
      </c>
      <c r="G11" s="84"/>
      <c r="H11" s="84"/>
      <c r="I11" s="71"/>
      <c r="J11" s="71"/>
      <c r="K11" s="84"/>
      <c r="L11" s="84"/>
      <c r="M11" s="71"/>
      <c r="N11" s="71"/>
      <c r="O11" s="84"/>
      <c r="P11" s="84"/>
      <c r="Q11" s="71"/>
      <c r="R11" s="71"/>
      <c r="S11" s="84"/>
      <c r="T11" s="84"/>
      <c r="U11" s="71"/>
      <c r="V11" s="71"/>
      <c r="W11" s="84"/>
      <c r="X11" s="84"/>
      <c r="Y11" s="71"/>
      <c r="Z11" s="71"/>
      <c r="AA11" s="84"/>
      <c r="AB11" s="84"/>
      <c r="AC11" s="71"/>
      <c r="AD11" s="71"/>
    </row>
    <row r="12" ht="16" customHeight="1" spans="1:30" x14ac:dyDescent="0.25">
      <c r="A12" s="73"/>
      <c r="B12" s="74"/>
      <c r="C12" s="86"/>
      <c r="D12" s="72" t="s">
        <v>75</v>
      </c>
      <c r="E12" s="78">
        <f>'Total Project PPR'!D26</f>
        <v>18200</v>
      </c>
      <c r="F12" s="78">
        <f>'Total Project PPR'!M26</f>
        <v>8200</v>
      </c>
      <c r="G12" s="86"/>
      <c r="H12" s="86"/>
      <c r="I12" s="74"/>
      <c r="J12" s="74"/>
      <c r="K12" s="86"/>
      <c r="L12" s="86"/>
      <c r="M12" s="74"/>
      <c r="N12" s="74"/>
      <c r="O12" s="86"/>
      <c r="P12" s="86"/>
      <c r="Q12" s="74"/>
      <c r="R12" s="74"/>
      <c r="S12" s="86"/>
      <c r="T12" s="86"/>
      <c r="U12" s="74"/>
      <c r="V12" s="74"/>
      <c r="W12" s="86"/>
      <c r="X12" s="86"/>
      <c r="Y12" s="74"/>
      <c r="Z12" s="74"/>
      <c r="AA12" s="86"/>
      <c r="AB12" s="86"/>
      <c r="AC12" s="74"/>
      <c r="AD12" s="74"/>
    </row>
    <row r="13" ht="16" customHeight="1" spans="1:30" x14ac:dyDescent="0.25">
      <c r="A13" s="70"/>
      <c r="B13" s="71"/>
      <c r="C13" s="84"/>
      <c r="D13" s="85" t="s">
        <v>133</v>
      </c>
      <c r="E13" s="76">
        <f>SUM('Total Project PPR'!D24,'Total Project PPR'!D20,'Total Project PPR'!D21)</f>
        <v>1020</v>
      </c>
      <c r="F13" s="76">
        <f>SUM('Total Project PPR'!M24,'Total Project PPR'!M20,'Total Project PPR'!M21)</f>
        <v>0</v>
      </c>
      <c r="G13" s="84"/>
      <c r="H13" s="84"/>
      <c r="I13" s="71"/>
      <c r="J13" s="71"/>
      <c r="K13" s="84"/>
      <c r="L13" s="84"/>
      <c r="M13" s="71"/>
      <c r="N13" s="71"/>
      <c r="O13" s="84"/>
      <c r="P13" s="84"/>
      <c r="Q13" s="71"/>
      <c r="R13" s="71"/>
      <c r="S13" s="84"/>
      <c r="T13" s="84"/>
      <c r="U13" s="71"/>
      <c r="V13" s="71"/>
      <c r="W13" s="84"/>
      <c r="X13" s="84"/>
      <c r="Y13" s="71"/>
      <c r="Z13" s="71"/>
      <c r="AA13" s="84"/>
      <c r="AB13" s="84"/>
      <c r="AC13" s="71"/>
      <c r="AD13" s="71"/>
    </row>
  </sheetData>
  <sheetProtection sheet="1"/>
  <mergeCells count="3">
    <mergeCell ref="A1:AD1"/>
    <mergeCell ref="A2:AD2"/>
    <mergeCell ref="A3:AD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_ChartData &amp;R Confidential</oddHeader>
    <oddFooter>&amp;L Produced by Hit Squad Project Controls &amp;C &amp;D &amp;R Page &amp;P of &amp;N</oddFooter>
    <evenHeader>&amp;L&amp;B HIT SQUAD / PROJECT CONTROLS &amp;C _ChartData &amp;R Confidential</evenHeader>
    <evenFooter>&amp;L Produced by Hit Squad Project Controls &amp;C &amp;D &amp;R Page &amp;P of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Cover</vt:lpstr>
      <vt:lpstr>Total Project PPR</vt:lpstr>
      <vt:lpstr>Hrs S-curve</vt:lpstr>
      <vt:lpstr>Report log</vt:lpstr>
      <vt:lpstr>T3 Export 15</vt:lpstr>
      <vt:lpstr>T3 Export 16</vt:lpstr>
      <vt:lpstr>_ChartData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 Squad Project Controls</dc:creator>
  <dc:title/>
  <dc:subject/>
  <dc:description/>
  <cp:keywords/>
  <cp:category/>
  <cp:lastModifiedBy>Hit Squad Project Controls</cp:lastModifiedBy>
  <dcterms:created xsi:type="dcterms:W3CDTF">2026-09-06T19:17:01Z</dcterms:created>
  <dcterms:modified xsi:type="dcterms:W3CDTF">2026-09-06T19:17:01Z</dcterms:modified>
</cp:coreProperties>
</file>