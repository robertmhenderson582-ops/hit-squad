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OM Crane 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'Staff'!$A1:$CW175</definedName>
    <definedName name="_xlnm.Print_Titles" localSheetId="1">'Staff'!$A:$K,'Staff'!$6:$6</definedName>
    <definedName name="_xlnm.Print_Area" localSheetId="2">'Foremen'!$A1:$CW35</definedName>
    <definedName name="_xlnm.Print_Titles" localSheetId="2">'Foremen'!$A:$K,'Foremen'!$6:$6</definedName>
    <definedName name="_xlnm.Print_Area" localSheetId="3">'Direct'!$A1:$CW35</definedName>
    <definedName name="_xlnm.Print_Titles" localSheetId="3">'Direct'!$A:$K,'Direct'!$6:$6</definedName>
    <definedName name="_xlnm.Print_Area" localSheetId="4">'Support'!$A1:$CW91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'OM Crane Subcontractor'!$A1:$H11</definedName>
    <definedName name="_xlnm.Print_Titles" localSheetId="6">'OM Crane 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Tables'!$A1:$F26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<sst xmlns="http://schemas.openxmlformats.org/spreadsheetml/2006/main" count="1015" uniqueCount="184">
  <si>
    <t>HIT SQUAD / PROJECT CONTROLS</t>
  </si>
  <si>
    <t>Produced by Hit Squad Project Controls  ·  Confidential estimate package</t>
  </si>
  <si>
    <t>2027 Aromatics Turnaround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</si>
  <si>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</si>
  <si>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</si>
  <si>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</si>
  <si>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</si>
  <si>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</si>
  <si>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</si>
  <si>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</si>
  <si>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</si>
  <si>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</si>
  <si>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</si>
  <si>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</si>
  <si>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</si>
  <si>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</si>
  <si>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</si>
  <si>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</si>
  <si>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</si>
  <si>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</si>
  <si>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</si>
  <si>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</si>
  <si>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</si>
  <si>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</si>
  <si>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</si>
  <si>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</si>
  <si>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</si>
  <si>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</si>
  <si>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</si>
  <si>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</si>
  <si>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</si>
  <si>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</si>
  <si>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</si>
  <si>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</si>
  <si>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TITLE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</si>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</sst>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"/>
    <numFmt numFmtId="166" formatCode="#,##0.0"/>
    <numFmt numFmtId="167" formatCode="D-MMM"/>
  </numFmts>
  <fonts count="9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F3D44"/>
      </patternFill>
    </fill>
    <fill>
      <patternFill patternType="solid">
        <fgColor rgb="FF163038"/>
      </patternFill>
    </fill>
    <fill>
      <patternFill patternType="solid">
        <fgColor rgb="FFE8EEF0"/>
      </patternFill>
    </fill>
    <fill>
      <patternFill patternType="solid">
        <fgColor rgb="FFF0C14B"/>
      </patternFill>
    </fill>
    <fill>
      <patternFill patternType="solid">
        <fgColor rgb="FFFFF3D6"/>
      </patternFill>
    </fill>
    <fill>
      <patternFill patternType="solid">
        <fgColor rgb="FFFFF8E6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0C14B"/>
      </bottom>
      <diagonal/>
    </border>
    <border>
      <left/>
      <right/>
      <top style="medium">
        <color rgb="FF0F5F6D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 vertical="center" wrapText="1"/>
    </xf>
    <xf numFmtId="0" fontId="4" fillId="0" borderId="0" xfId="0" applyFont="1"/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 applyAlignment="1">
      <alignment horizontal="right"/>
    </xf>
    <xf numFmtId="166" fontId="4" fillId="4" borderId="0" xfId="0" applyNumberFormat="1" applyFont="1" applyFill="1" applyAlignment="1">
      <alignment horizontal="right"/>
    </xf>
    <xf numFmtId="0" fontId="7" fillId="5" borderId="2" xfId="0" applyFont="1" applyFill="1" applyBorder="1"/>
    <xf numFmtId="166" fontId="7" fillId="5" borderId="2" xfId="0" applyNumberFormat="1" applyFont="1" applyFill="1" applyBorder="1"/>
    <xf numFmtId="0" fontId="8" fillId="6" borderId="0" xfId="0" applyFont="1" applyFill="1"/>
    <xf numFmtId="165" fontId="8" fillId="6" borderId="0" xfId="0" applyNumberFormat="1" applyFont="1" applyFill="1"/>
    <xf numFmtId="165" fontId="7" fillId="5" borderId="2" xfId="0" applyNumberFormat="1" applyFont="1" applyFill="1" applyBorder="1"/>
    <xf numFmtId="167" fontId="6" fillId="3" borderId="1" xfId="0" applyNumberFormat="1" applyFont="1" applyFill="1" applyBorder="1" applyAlignment="1">
      <alignment horizontal="center" vertical="center" wrapText="1"/>
    </xf>
    <xf numFmtId="0" fontId="8" fillId="4" borderId="0" xfId="0" applyFont="1" applyFill="1"/>
    <xf numFmtId="166" fontId="8" fillId="4" borderId="0" xfId="0" applyNumberFormat="1" applyFont="1" applyFill="1"/>
    <xf numFmtId="165" fontId="8" fillId="4" borderId="0" xfId="0" applyNumberFormat="1" applyFont="1" applyFill="1"/>
    <xf numFmtId="0" fontId="4" fillId="7" borderId="0" xfId="0" applyFont="1" applyFill="1"/>
    <xf numFmtId="3" fontId="4" fillId="7" borderId="0" xfId="0" applyNumberFormat="1" applyFont="1" applyFill="1"/>
    <xf numFmtId="166" fontId="4" fillId="7" borderId="0" xfId="0" applyNumberFormat="1" applyFont="1" applyFill="1"/>
    <xf numFmtId="166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3" fontId="4" fillId="4" borderId="0" xfId="0" applyNumberFormat="1" applyFont="1" applyFill="1"/>
    <xf numFmtId="165" fontId="4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C2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6" customWidth="1"/>
    <col min="2" max="2" width="16" customWidth="1"/>
    <col min="3" max="3" width="14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46269.72422186343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Staff!K175</f>
      </c>
      <c r="C7" s="10">
        <f>Staff!B175</f>
      </c>
    </row>
    <row r="8" spans="1:3" x14ac:dyDescent="0.25">
      <c r="A8" s="11" t="s">
        <v>9</v>
      </c>
      <c r="B8" s="12">
        <f>Foremen!K35</f>
      </c>
      <c r="C8" s="13">
        <f>Foremen!B35</f>
      </c>
    </row>
    <row r="9" spans="1:3" x14ac:dyDescent="0.25">
      <c r="A9" s="8" t="s">
        <v>10</v>
      </c>
      <c r="B9" s="9">
        <f>Direct!K35</f>
      </c>
      <c r="C9" s="10">
        <f>Direct!B35</f>
      </c>
    </row>
    <row r="10" spans="1:3" x14ac:dyDescent="0.25">
      <c r="A10" s="11" t="s">
        <v>11</v>
      </c>
      <c r="B10" s="12">
        <f>Support!K91</f>
      </c>
      <c r="C10" s="13">
        <f>Support!B91</f>
      </c>
    </row>
    <row r="11" spans="1:3" x14ac:dyDescent="0.25">
      <c r="A11" s="8" t="s">
        <v>12</v>
      </c>
      <c r="B11" s="9">
        <f>SUM(B7,B8,B9,B10)</f>
      </c>
      <c r="C11" s="10">
        <f>SUM(C7,C8,C9,C10)</f>
      </c>
    </row>
    <row r="12" spans="1:2" x14ac:dyDescent="0.25">
      <c r="A12" s="11" t="s">
        <v>13</v>
      </c>
      <c r="B12" s="12">
        <f>SUM(Staff!D175,Foremen!D35,Direct!D35,Support!D91)</f>
      </c>
    </row>
    <row r="13" spans="1:3" x14ac:dyDescent="0.25">
      <c r="A13" s="14" t="s">
        <v>14</v>
      </c>
      <c r="C13" s="15">
        <f>SUM(C7,C8,C9,C10)</f>
      </c>
    </row>
    <row r="14" spans="1:2" x14ac:dyDescent="0.25">
      <c r="A14" s="11" t="s">
        <v>15</v>
      </c>
      <c r="B14" s="12">
        <f>'Staff Travel Cost'!E8</f>
      </c>
    </row>
    <row r="15" spans="1:2" x14ac:dyDescent="0.25">
      <c r="A15" s="8" t="s">
        <v>16</v>
      </c>
      <c r="B15" s="9">
        <f>'Misc Costs'!E14</f>
      </c>
    </row>
    <row r="16" spans="1:2" x14ac:dyDescent="0.25">
      <c r="A16" s="11" t="s">
        <v>17</v>
      </c>
      <c r="B16" s="12">
        <f>'Equipment Rental'!G35</f>
      </c>
    </row>
    <row r="17" spans="1:2" x14ac:dyDescent="0.25">
      <c r="A17" s="8" t="s">
        <v>18</v>
      </c>
      <c r="B17" s="9">
        <f>COE!G10</f>
      </c>
    </row>
    <row r="18" spans="1:2" x14ac:dyDescent="0.25">
      <c r="A18" s="11" t="s">
        <v>19</v>
      </c>
      <c r="B18" s="12">
        <f>'OM Crane Subcontractor'!F11</f>
      </c>
    </row>
    <row r="19" spans="1:2" x14ac:dyDescent="0.25">
      <c r="A19" s="16" t="s">
        <v>20</v>
      </c>
      <c r="B19" s="17">
        <v>56547.95</v>
      </c>
    </row>
    <row r="21" spans="1:3" x14ac:dyDescent="0.25">
      <c r="A21" s="14" t="s">
        <v>21</v>
      </c>
      <c r="B21" s="18">
        <f>SUM(B11,B12,B14,B15,B16,B17,B18,B19)</f>
      </c>
      <c r="C21" s="15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175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01" width="7" customWidth="1"/>
    <col min="102" max="102" width="3" hidden="1" customWidth="1"/>
  </cols>
  <sheetData>
    <row r="1" ht="22" customHeight="1" spans="1:10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</row>
    <row r="2" spans="1:1" x14ac:dyDescent="0.25">
      <c r="A2" s="2" t="s">
        <v>1</v>
      </c>
    </row>
    <row r="3" spans="1:10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46269.72422163194</v>
      </c>
    </row>
    <row r="6" ht="20" customHeight="1" spans="1:101" x14ac:dyDescent="0.25">
      <c r="A6" s="7" t="s">
        <v>22</v>
      </c>
      <c r="B6" s="7" t="s">
        <v>23</v>
      </c>
      <c r="C6" s="7" t="s">
        <v>24</v>
      </c>
      <c r="D6" s="7" t="s">
        <v>25</v>
      </c>
      <c r="E6" s="7" t="s">
        <v>26</v>
      </c>
      <c r="F6" s="7" t="s">
        <v>27</v>
      </c>
      <c r="G6" s="7" t="s">
        <v>28</v>
      </c>
      <c r="H6" s="7" t="s">
        <v>29</v>
      </c>
      <c r="I6" s="7" t="s">
        <v>30</v>
      </c>
      <c r="J6" s="7" t="s">
        <v>31</v>
      </c>
      <c r="K6" s="7" t="s">
        <v>12</v>
      </c>
      <c r="L6" s="19">
        <v>46398</v>
      </c>
      <c r="M6" s="19">
        <f>L6+1</f>
      </c>
      <c r="N6" s="19">
        <f>M6+1</f>
      </c>
      <c r="O6" s="19">
        <f>N6+1</f>
      </c>
      <c r="P6" s="19">
        <f>O6+1</f>
      </c>
      <c r="Q6" s="19">
        <f>P6+1</f>
      </c>
      <c r="R6" s="19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19">
        <f>W6+1</f>
      </c>
      <c r="Y6" s="19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19">
        <f>AD6+1</f>
      </c>
      <c r="AF6" s="19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19">
        <f>AK6+1</f>
      </c>
      <c r="AM6" s="19">
        <f>AL6+1</f>
      </c>
      <c r="AN6" s="19">
        <f>AM6+1</f>
      </c>
      <c r="AO6" s="19">
        <f>AN6+1</f>
      </c>
      <c r="AP6" s="19">
        <f>AO6+1</f>
      </c>
      <c r="AQ6" s="19">
        <f>AP6+1</f>
      </c>
      <c r="AR6" s="19">
        <f>AQ6+1</f>
      </c>
      <c r="AS6" s="19">
        <f>AR6+1</f>
      </c>
      <c r="AT6" s="19">
        <f>AS6+1</f>
      </c>
      <c r="AU6" s="19">
        <f>AT6+1</f>
      </c>
      <c r="AV6" s="19">
        <f>AU6+1</f>
      </c>
      <c r="AW6" s="19">
        <f>AV6+1</f>
      </c>
      <c r="AX6" s="19">
        <f>AW6+1</f>
      </c>
      <c r="AY6" s="19">
        <f>AX6+1</f>
      </c>
      <c r="AZ6" s="19">
        <f>AY6+1</f>
      </c>
      <c r="BA6" s="19">
        <f>AZ6+1</f>
      </c>
      <c r="BB6" s="19">
        <f>BA6+1</f>
      </c>
      <c r="BC6" s="19">
        <f>BB6+1</f>
      </c>
      <c r="BD6" s="19">
        <f>BC6+1</f>
      </c>
      <c r="BE6" s="19">
        <f>BD6+1</f>
      </c>
      <c r="BF6" s="19">
        <f>BE6+1</f>
      </c>
      <c r="BG6" s="19">
        <f>BF6+1</f>
      </c>
      <c r="BH6" s="19">
        <f>BG6+1</f>
      </c>
      <c r="BI6" s="19">
        <f>BH6+1</f>
      </c>
      <c r="BJ6" s="19">
        <f>BI6+1</f>
      </c>
      <c r="BK6" s="19">
        <f>BJ6+1</f>
      </c>
      <c r="BL6" s="19">
        <f>BK6+1</f>
      </c>
      <c r="BM6" s="19">
        <f>BL6+1</f>
      </c>
      <c r="BN6" s="19">
        <f>BM6+1</f>
      </c>
      <c r="BO6" s="19">
        <f>BN6+1</f>
      </c>
      <c r="BP6" s="19">
        <f>BO6+1</f>
      </c>
      <c r="BQ6" s="19">
        <f>BP6+1</f>
      </c>
      <c r="BR6" s="19">
        <f>BQ6+1</f>
      </c>
      <c r="BS6" s="19">
        <f>BR6+1</f>
      </c>
      <c r="BT6" s="19">
        <f>BS6+1</f>
      </c>
      <c r="BU6" s="19">
        <f>BT6+1</f>
      </c>
      <c r="BV6" s="19">
        <f>BU6+1</f>
      </c>
      <c r="BW6" s="19">
        <f>BV6+1</f>
      </c>
      <c r="BX6" s="19">
        <f>BW6+1</f>
      </c>
      <c r="BY6" s="19">
        <f>BX6+1</f>
      </c>
      <c r="BZ6" s="19">
        <f>BY6+1</f>
      </c>
      <c r="CA6" s="19">
        <f>BZ6+1</f>
      </c>
      <c r="CB6" s="19">
        <f>CA6+1</f>
      </c>
      <c r="CC6" s="19">
        <f>CB6+1</f>
      </c>
      <c r="CD6" s="19">
        <f>CC6+1</f>
      </c>
      <c r="CE6" s="19">
        <f>CD6+1</f>
      </c>
      <c r="CF6" s="19">
        <f>CE6+1</f>
      </c>
      <c r="CG6" s="19">
        <f>CF6+1</f>
      </c>
      <c r="CH6" s="19">
        <f>CG6+1</f>
      </c>
      <c r="CI6" s="19">
        <f>CH6+1</f>
      </c>
      <c r="CJ6" s="19">
        <f>CI6+1</f>
      </c>
      <c r="CK6" s="19">
        <f>CJ6+1</f>
      </c>
      <c r="CL6" s="19">
        <f>CK6+1</f>
      </c>
      <c r="CM6" s="19">
        <f>CL6+1</f>
      </c>
      <c r="CN6" s="19">
        <f>CM6+1</f>
      </c>
      <c r="CO6" s="19">
        <f>CN6+1</f>
      </c>
      <c r="CP6" s="19">
        <f>CO6+1</f>
      </c>
      <c r="CQ6" s="19">
        <f>CP6+1</f>
      </c>
      <c r="CR6" s="19">
        <f>CQ6+1</f>
      </c>
      <c r="CS6" s="19">
        <f>CR6+1</f>
      </c>
      <c r="CT6" s="19">
        <f>CS6+1</f>
      </c>
      <c r="CU6" s="19">
        <f>CT6+1</f>
      </c>
      <c r="CV6" s="19">
        <f>CU6+1</f>
      </c>
      <c r="CW6" s="19">
        <f>CV6+1</f>
      </c>
    </row>
    <row r="7" spans="1:102" x14ac:dyDescent="0.25">
      <c r="A7" s="20" t="s">
        <v>32</v>
      </c>
      <c r="B7" s="21">
        <f>G7+H7+I7</f>
      </c>
      <c r="C7" s="20" t="s">
        <v>33</v>
      </c>
      <c r="D7" s="22">
        <f>K7</f>
      </c>
      <c r="F7" s="20" t="s">
        <v>34</v>
      </c>
      <c r="G7" s="21">
        <f>B10</f>
      </c>
      <c r="H7" s="21">
        <f>B11</f>
      </c>
      <c r="I7" s="21">
        <f>B12</f>
      </c>
      <c r="J7" s="21">
        <f>B13</f>
      </c>
      <c r="K7" s="22">
        <f>D10+D11+D12</f>
      </c>
      <c r="CX7" s="20" t="s">
        <v>35</v>
      </c>
    </row>
    <row r="8" spans="6:102" x14ac:dyDescent="0.25">
      <c r="F8" s="23" t="s">
        <v>36</v>
      </c>
      <c r="L8" s="24">
        <v>1</v>
      </c>
      <c r="M8" s="24">
        <v>1</v>
      </c>
      <c r="N8" s="24">
        <v>1</v>
      </c>
      <c r="O8" s="24">
        <v>1</v>
      </c>
      <c r="P8" s="24">
        <v>1</v>
      </c>
      <c r="Q8" s="24">
        <v>0</v>
      </c>
      <c r="R8" s="24">
        <v>0</v>
      </c>
      <c r="S8" s="24">
        <v>1</v>
      </c>
      <c r="T8" s="24">
        <v>1</v>
      </c>
      <c r="U8" s="24">
        <v>1</v>
      </c>
      <c r="V8" s="24">
        <v>1</v>
      </c>
      <c r="W8" s="24">
        <v>1</v>
      </c>
      <c r="X8" s="24">
        <v>0</v>
      </c>
      <c r="Y8" s="24">
        <v>0</v>
      </c>
      <c r="Z8" s="24">
        <v>1</v>
      </c>
      <c r="AA8" s="24">
        <v>1</v>
      </c>
      <c r="AB8" s="24">
        <v>1</v>
      </c>
      <c r="AC8" s="24">
        <v>1</v>
      </c>
      <c r="AD8" s="24">
        <v>1</v>
      </c>
      <c r="AE8" s="24">
        <v>0</v>
      </c>
      <c r="AF8" s="24">
        <v>0</v>
      </c>
      <c r="AG8" s="24">
        <v>1</v>
      </c>
      <c r="AH8" s="24">
        <v>1</v>
      </c>
      <c r="AI8" s="24">
        <v>1</v>
      </c>
      <c r="AJ8" s="24">
        <v>1</v>
      </c>
      <c r="AK8" s="24">
        <v>1</v>
      </c>
      <c r="AL8" s="24">
        <v>0</v>
      </c>
      <c r="AM8" s="24">
        <v>0</v>
      </c>
      <c r="AN8" s="24">
        <v>1</v>
      </c>
      <c r="AO8" s="24">
        <v>1</v>
      </c>
      <c r="AP8" s="24">
        <v>1</v>
      </c>
      <c r="AQ8" s="24">
        <v>1</v>
      </c>
      <c r="AR8" s="24">
        <v>1</v>
      </c>
      <c r="AS8" s="24">
        <v>0</v>
      </c>
      <c r="AT8" s="24">
        <v>0</v>
      </c>
      <c r="AU8" s="24">
        <v>1</v>
      </c>
      <c r="AV8" s="24">
        <v>1</v>
      </c>
      <c r="AW8" s="24">
        <v>1</v>
      </c>
      <c r="AX8" s="24">
        <v>1</v>
      </c>
      <c r="AY8" s="24">
        <v>1</v>
      </c>
      <c r="AZ8" s="24">
        <v>0</v>
      </c>
      <c r="BA8" s="24">
        <v>0</v>
      </c>
      <c r="BB8" s="24">
        <v>1</v>
      </c>
      <c r="BC8" s="24">
        <v>1</v>
      </c>
      <c r="BD8" s="24">
        <v>1</v>
      </c>
      <c r="BE8" s="24">
        <v>1</v>
      </c>
      <c r="BF8" s="24">
        <v>1</v>
      </c>
      <c r="BG8" s="24">
        <v>0</v>
      </c>
      <c r="BH8" s="24">
        <v>0</v>
      </c>
      <c r="BI8" s="24">
        <v>1</v>
      </c>
      <c r="BJ8" s="24">
        <v>1</v>
      </c>
      <c r="BK8" s="24">
        <v>1</v>
      </c>
      <c r="BL8" s="24">
        <v>1</v>
      </c>
      <c r="BM8" s="24">
        <v>1</v>
      </c>
      <c r="BN8" s="24">
        <v>1</v>
      </c>
      <c r="BO8" s="24">
        <v>1</v>
      </c>
      <c r="BP8" s="24">
        <v>1</v>
      </c>
      <c r="BQ8" s="24">
        <v>1</v>
      </c>
      <c r="BR8" s="24">
        <v>1</v>
      </c>
      <c r="BS8" s="24">
        <v>1</v>
      </c>
      <c r="BT8" s="24">
        <v>1</v>
      </c>
      <c r="BU8" s="24">
        <v>1</v>
      </c>
      <c r="BV8" s="24">
        <v>1</v>
      </c>
      <c r="BW8" s="24">
        <v>1</v>
      </c>
      <c r="BX8" s="24">
        <v>1</v>
      </c>
      <c r="BY8" s="24">
        <v>1</v>
      </c>
      <c r="BZ8" s="24">
        <v>1</v>
      </c>
      <c r="CA8" s="24">
        <v>1</v>
      </c>
      <c r="CB8" s="24">
        <v>1</v>
      </c>
      <c r="CC8" s="24">
        <v>0</v>
      </c>
      <c r="CD8" s="24">
        <v>1</v>
      </c>
      <c r="CE8" s="24">
        <v>1</v>
      </c>
      <c r="CF8" s="24">
        <v>1</v>
      </c>
      <c r="CG8" s="24">
        <v>1</v>
      </c>
      <c r="CH8" s="24">
        <v>1</v>
      </c>
      <c r="CI8" s="24">
        <v>1</v>
      </c>
      <c r="CJ8" s="24">
        <v>1</v>
      </c>
      <c r="CK8" s="24">
        <v>1</v>
      </c>
      <c r="CL8" s="24">
        <v>1</v>
      </c>
      <c r="CM8" s="24">
        <v>1</v>
      </c>
      <c r="CN8" s="24">
        <v>1</v>
      </c>
      <c r="CO8" s="24">
        <v>1</v>
      </c>
      <c r="CP8" s="24">
        <v>1</v>
      </c>
      <c r="CQ8" s="24">
        <v>0</v>
      </c>
      <c r="CR8" s="24">
        <v>1</v>
      </c>
      <c r="CS8" s="24">
        <v>1</v>
      </c>
      <c r="CT8" s="24">
        <v>1</v>
      </c>
      <c r="CU8" s="24">
        <v>1</v>
      </c>
      <c r="CV8" s="24">
        <v>1</v>
      </c>
      <c r="CW8" s="24">
        <v>1</v>
      </c>
      <c r="CX8" s="23" t="s">
        <v>35</v>
      </c>
    </row>
    <row r="9" spans="1:102" x14ac:dyDescent="0.25">
      <c r="A9" s="23" t="s">
        <v>37</v>
      </c>
      <c r="F9" s="23" t="s">
        <v>38</v>
      </c>
      <c r="L9" s="25">
        <v>9</v>
      </c>
      <c r="M9" s="25">
        <v>9</v>
      </c>
      <c r="N9" s="25">
        <v>9</v>
      </c>
      <c r="O9" s="25">
        <v>9</v>
      </c>
      <c r="P9" s="25">
        <v>9</v>
      </c>
      <c r="Q9" s="25">
        <v>0</v>
      </c>
      <c r="R9" s="25">
        <v>0</v>
      </c>
      <c r="S9" s="25">
        <v>9</v>
      </c>
      <c r="T9" s="25">
        <v>9</v>
      </c>
      <c r="U9" s="25">
        <v>9</v>
      </c>
      <c r="V9" s="25">
        <v>9</v>
      </c>
      <c r="W9" s="25">
        <v>9</v>
      </c>
      <c r="X9" s="25">
        <v>0</v>
      </c>
      <c r="Y9" s="25">
        <v>0</v>
      </c>
      <c r="Z9" s="25">
        <v>9</v>
      </c>
      <c r="AA9" s="25">
        <v>9</v>
      </c>
      <c r="AB9" s="25">
        <v>9</v>
      </c>
      <c r="AC9" s="25">
        <v>9</v>
      </c>
      <c r="AD9" s="25">
        <v>9</v>
      </c>
      <c r="AE9" s="25">
        <v>0</v>
      </c>
      <c r="AF9" s="25">
        <v>0</v>
      </c>
      <c r="AG9" s="25">
        <v>9</v>
      </c>
      <c r="AH9" s="25">
        <v>9</v>
      </c>
      <c r="AI9" s="25">
        <v>9</v>
      </c>
      <c r="AJ9" s="25">
        <v>9</v>
      </c>
      <c r="AK9" s="25">
        <v>9</v>
      </c>
      <c r="AL9" s="25">
        <v>0</v>
      </c>
      <c r="AM9" s="25">
        <v>0</v>
      </c>
      <c r="AN9" s="25">
        <v>9</v>
      </c>
      <c r="AO9" s="25">
        <v>9</v>
      </c>
      <c r="AP9" s="25">
        <v>9</v>
      </c>
      <c r="AQ9" s="25">
        <v>9</v>
      </c>
      <c r="AR9" s="25">
        <v>9</v>
      </c>
      <c r="AS9" s="25">
        <v>0</v>
      </c>
      <c r="AT9" s="25">
        <v>0</v>
      </c>
      <c r="AU9" s="25">
        <v>9</v>
      </c>
      <c r="AV9" s="25">
        <v>9</v>
      </c>
      <c r="AW9" s="25">
        <v>9</v>
      </c>
      <c r="AX9" s="25">
        <v>9</v>
      </c>
      <c r="AY9" s="25">
        <v>9</v>
      </c>
      <c r="AZ9" s="25">
        <v>0</v>
      </c>
      <c r="BA9" s="25">
        <v>0</v>
      </c>
      <c r="BB9" s="25">
        <v>9</v>
      </c>
      <c r="BC9" s="25">
        <v>9</v>
      </c>
      <c r="BD9" s="25">
        <v>9</v>
      </c>
      <c r="BE9" s="25">
        <v>9</v>
      </c>
      <c r="BF9" s="25">
        <v>9</v>
      </c>
      <c r="BG9" s="25">
        <v>0</v>
      </c>
      <c r="BH9" s="25">
        <v>0</v>
      </c>
      <c r="BI9" s="25">
        <v>13</v>
      </c>
      <c r="BJ9" s="25">
        <v>13</v>
      </c>
      <c r="BK9" s="25">
        <v>13</v>
      </c>
      <c r="BL9" s="25">
        <v>13</v>
      </c>
      <c r="BM9" s="25">
        <v>13</v>
      </c>
      <c r="BN9" s="25">
        <v>13</v>
      </c>
      <c r="BO9" s="25">
        <v>13</v>
      </c>
      <c r="BP9" s="25">
        <v>13</v>
      </c>
      <c r="BQ9" s="25">
        <v>13</v>
      </c>
      <c r="BR9" s="25">
        <v>13</v>
      </c>
      <c r="BS9" s="25">
        <v>13</v>
      </c>
      <c r="BT9" s="25">
        <v>13</v>
      </c>
      <c r="BU9" s="25">
        <v>13</v>
      </c>
      <c r="BV9" s="25">
        <v>13</v>
      </c>
      <c r="BW9" s="25">
        <v>13</v>
      </c>
      <c r="BX9" s="25">
        <v>13</v>
      </c>
      <c r="BY9" s="25">
        <v>13</v>
      </c>
      <c r="BZ9" s="25">
        <v>13</v>
      </c>
      <c r="CA9" s="25">
        <v>13</v>
      </c>
      <c r="CB9" s="25">
        <v>13</v>
      </c>
      <c r="CC9" s="25">
        <v>0</v>
      </c>
      <c r="CD9" s="25">
        <v>13</v>
      </c>
      <c r="CE9" s="25">
        <v>13</v>
      </c>
      <c r="CF9" s="25">
        <v>13</v>
      </c>
      <c r="CG9" s="25">
        <v>13</v>
      </c>
      <c r="CH9" s="25">
        <v>13</v>
      </c>
      <c r="CI9" s="25">
        <v>13</v>
      </c>
      <c r="CJ9" s="25">
        <v>13</v>
      </c>
      <c r="CK9" s="25">
        <v>13</v>
      </c>
      <c r="CL9" s="25">
        <v>13</v>
      </c>
      <c r="CM9" s="25">
        <v>13</v>
      </c>
      <c r="CN9" s="25">
        <v>13</v>
      </c>
      <c r="CO9" s="25">
        <v>13</v>
      </c>
      <c r="CP9" s="25">
        <v>13</v>
      </c>
      <c r="CQ9" s="25">
        <v>0</v>
      </c>
      <c r="CR9" s="25">
        <v>13</v>
      </c>
      <c r="CS9" s="25">
        <v>13</v>
      </c>
      <c r="CT9" s="25">
        <v>13</v>
      </c>
      <c r="CU9" s="25">
        <v>13</v>
      </c>
      <c r="CV9" s="25">
        <v>13</v>
      </c>
      <c r="CW9" s="25">
        <v>13</v>
      </c>
      <c r="CX9" s="23" t="s">
        <v>35</v>
      </c>
    </row>
    <row r="10" spans="2:102" x14ac:dyDescent="0.25">
      <c r="B10" s="26">
        <f>SUM(L10:CW10)</f>
      </c>
      <c r="D10" s="27">
        <f>B10*E10</f>
      </c>
      <c r="E10" s="27">
        <f>'Rate Tables'!C7</f>
      </c>
      <c r="F10" s="8" t="s">
        <v>39</v>
      </c>
      <c r="L10" s="26">
        <f>IF(L$6="","",IF(WEEKDAY(L$6,1)=1,0,MIN(8,L9)*L8))</f>
      </c>
      <c r="M10" s="26">
        <f>IF(M$6="","",IF(WEEKDAY(M$6,1)=1,0,MIN(8,M9)*M8))</f>
      </c>
      <c r="N10" s="26">
        <f>IF(N$6="","",IF(WEEKDAY(N$6,1)=1,0,MIN(8,N9)*N8))</f>
      </c>
      <c r="O10" s="26">
        <f>IF(O$6="","",IF(WEEKDAY(O$6,1)=1,0,MIN(8,O9)*O8))</f>
      </c>
      <c r="P10" s="26">
        <f>IF(P$6="","",IF(WEEKDAY(P$6,1)=1,0,MIN(8,P9)*P8))</f>
      </c>
      <c r="Q10" s="26">
        <f>IF(Q$6="","",IF(WEEKDAY(Q$6,1)=1,0,MIN(8,Q9)*Q8))</f>
      </c>
      <c r="R10" s="26">
        <f>IF(R$6="","",IF(WEEKDAY(R$6,1)=1,0,MIN(8,R9)*R8))</f>
      </c>
      <c r="S10" s="26">
        <f>IF(S$6="","",IF(WEEKDAY(S$6,1)=1,0,MIN(8,S9)*S8))</f>
      </c>
      <c r="T10" s="26">
        <f>IF(T$6="","",IF(WEEKDAY(T$6,1)=1,0,MIN(8,T9)*T8))</f>
      </c>
      <c r="U10" s="26">
        <f>IF(U$6="","",IF(WEEKDAY(U$6,1)=1,0,MIN(8,U9)*U8))</f>
      </c>
      <c r="V10" s="26">
        <f>IF(V$6="","",IF(WEEKDAY(V$6,1)=1,0,MIN(8,V9)*V8))</f>
      </c>
      <c r="W10" s="26">
        <f>IF(W$6="","",IF(WEEKDAY(W$6,1)=1,0,MIN(8,W9)*W8))</f>
      </c>
      <c r="X10" s="26">
        <f>IF(X$6="","",IF(WEEKDAY(X$6,1)=1,0,MIN(8,X9)*X8))</f>
      </c>
      <c r="Y10" s="26">
        <f>IF(Y$6="","",IF(WEEKDAY(Y$6,1)=1,0,MIN(8,Y9)*Y8))</f>
      </c>
      <c r="Z10" s="26">
        <f>IF(Z$6="","",IF(WEEKDAY(Z$6,1)=1,0,MIN(8,Z9)*Z8))</f>
      </c>
      <c r="AA10" s="26">
        <f>IF(AA$6="","",IF(WEEKDAY(AA$6,1)=1,0,MIN(8,AA9)*AA8))</f>
      </c>
      <c r="AB10" s="26">
        <f>IF(AB$6="","",IF(WEEKDAY(AB$6,1)=1,0,MIN(8,AB9)*AB8))</f>
      </c>
      <c r="AC10" s="26">
        <f>IF(AC$6="","",IF(WEEKDAY(AC$6,1)=1,0,MIN(8,AC9)*AC8))</f>
      </c>
      <c r="AD10" s="26">
        <f>IF(AD$6="","",IF(WEEKDAY(AD$6,1)=1,0,MIN(8,AD9)*AD8))</f>
      </c>
      <c r="AE10" s="26">
        <f>IF(AE$6="","",IF(WEEKDAY(AE$6,1)=1,0,MIN(8,AE9)*AE8))</f>
      </c>
      <c r="AF10" s="26">
        <f>IF(AF$6="","",IF(WEEKDAY(AF$6,1)=1,0,MIN(8,AF9)*AF8))</f>
      </c>
      <c r="AG10" s="26">
        <f>IF(AG$6="","",IF(WEEKDAY(AG$6,1)=1,0,MIN(8,AG9)*AG8))</f>
      </c>
      <c r="AH10" s="26">
        <f>IF(AH$6="","",IF(WEEKDAY(AH$6,1)=1,0,MIN(8,AH9)*AH8))</f>
      </c>
      <c r="AI10" s="26">
        <f>IF(AI$6="","",IF(WEEKDAY(AI$6,1)=1,0,MIN(8,AI9)*AI8))</f>
      </c>
      <c r="AJ10" s="26">
        <f>IF(AJ$6="","",IF(WEEKDAY(AJ$6,1)=1,0,MIN(8,AJ9)*AJ8))</f>
      </c>
      <c r="AK10" s="26">
        <f>IF(AK$6="","",IF(WEEKDAY(AK$6,1)=1,0,MIN(8,AK9)*AK8))</f>
      </c>
      <c r="AL10" s="26">
        <f>IF(AL$6="","",IF(WEEKDAY(AL$6,1)=1,0,MIN(8,AL9)*AL8))</f>
      </c>
      <c r="AM10" s="26">
        <f>IF(AM$6="","",IF(WEEKDAY(AM$6,1)=1,0,MIN(8,AM9)*AM8))</f>
      </c>
      <c r="AN10" s="26">
        <f>IF(AN$6="","",IF(WEEKDAY(AN$6,1)=1,0,MIN(8,AN9)*AN8))</f>
      </c>
      <c r="AO10" s="26">
        <f>IF(AO$6="","",IF(WEEKDAY(AO$6,1)=1,0,MIN(8,AO9)*AO8))</f>
      </c>
      <c r="AP10" s="26">
        <f>IF(AP$6="","",IF(WEEKDAY(AP$6,1)=1,0,MIN(8,AP9)*AP8))</f>
      </c>
      <c r="AQ10" s="26">
        <f>IF(AQ$6="","",IF(WEEKDAY(AQ$6,1)=1,0,MIN(8,AQ9)*AQ8))</f>
      </c>
      <c r="AR10" s="26">
        <f>IF(AR$6="","",IF(WEEKDAY(AR$6,1)=1,0,MIN(8,AR9)*AR8))</f>
      </c>
      <c r="AS10" s="26">
        <f>IF(AS$6="","",IF(WEEKDAY(AS$6,1)=1,0,MIN(8,AS9)*AS8))</f>
      </c>
      <c r="AT10" s="26">
        <f>IF(AT$6="","",IF(WEEKDAY(AT$6,1)=1,0,MIN(8,AT9)*AT8))</f>
      </c>
      <c r="AU10" s="26">
        <f>IF(AU$6="","",IF(WEEKDAY(AU$6,1)=1,0,MIN(8,AU9)*AU8))</f>
      </c>
      <c r="AV10" s="26">
        <f>IF(AV$6="","",IF(WEEKDAY(AV$6,1)=1,0,MIN(8,AV9)*AV8))</f>
      </c>
      <c r="AW10" s="26">
        <f>IF(AW$6="","",IF(WEEKDAY(AW$6,1)=1,0,MIN(8,AW9)*AW8))</f>
      </c>
      <c r="AX10" s="26">
        <f>IF(AX$6="","",IF(WEEKDAY(AX$6,1)=1,0,MIN(8,AX9)*AX8))</f>
      </c>
      <c r="AY10" s="26">
        <f>IF(AY$6="","",IF(WEEKDAY(AY$6,1)=1,0,MIN(8,AY9)*AY8))</f>
      </c>
      <c r="AZ10" s="26">
        <f>IF(AZ$6="","",IF(WEEKDAY(AZ$6,1)=1,0,MIN(8,AZ9)*AZ8))</f>
      </c>
      <c r="BA10" s="26">
        <f>IF(BA$6="","",IF(WEEKDAY(BA$6,1)=1,0,MIN(8,BA9)*BA8))</f>
      </c>
      <c r="BB10" s="26">
        <f>IF(BB$6="","",IF(WEEKDAY(BB$6,1)=1,0,MIN(8,BB9)*BB8))</f>
      </c>
      <c r="BC10" s="26">
        <f>IF(BC$6="","",IF(WEEKDAY(BC$6,1)=1,0,MIN(8,BC9)*BC8))</f>
      </c>
      <c r="BD10" s="26">
        <f>IF(BD$6="","",IF(WEEKDAY(BD$6,1)=1,0,MIN(8,BD9)*BD8))</f>
      </c>
      <c r="BE10" s="26">
        <f>IF(BE$6="","",IF(WEEKDAY(BE$6,1)=1,0,MIN(8,BE9)*BE8))</f>
      </c>
      <c r="BF10" s="26">
        <f>IF(BF$6="","",IF(WEEKDAY(BF$6,1)=1,0,MIN(8,BF9)*BF8))</f>
      </c>
      <c r="BG10" s="26">
        <f>IF(BG$6="","",IF(WEEKDAY(BG$6,1)=1,0,MIN(8,BG9)*BG8))</f>
      </c>
      <c r="BH10" s="26">
        <f>IF(BH$6="","",IF(WEEKDAY(BH$6,1)=1,0,MIN(8,BH9)*BH8))</f>
      </c>
      <c r="BI10" s="26">
        <f>IF(BI$6="","",IF(WEEKDAY(BI$6,1)=1,0,MIN(8,BI9)*BI8))</f>
      </c>
      <c r="BJ10" s="26">
        <f>IF(BJ$6="","",IF(WEEKDAY(BJ$6,1)=1,0,MIN(8,BJ9)*BJ8))</f>
      </c>
      <c r="BK10" s="26">
        <f>IF(BK$6="","",IF(WEEKDAY(BK$6,1)=1,0,MIN(8,BK9)*BK8))</f>
      </c>
      <c r="BL10" s="26">
        <f>IF(BL$6="","",IF(WEEKDAY(BL$6,1)=1,0,MIN(8,BL9)*BL8))</f>
      </c>
      <c r="BM10" s="26">
        <f>IF(BM$6="","",IF(WEEKDAY(BM$6,1)=1,0,MIN(8,BM9)*BM8))</f>
      </c>
      <c r="BN10" s="26">
        <f>IF(BN$6="","",IF(WEEKDAY(BN$6,1)=1,0,MIN(8,BN9)*BN8))</f>
      </c>
      <c r="BO10" s="26">
        <f>IF(BO$6="","",IF(WEEKDAY(BO$6,1)=1,0,MIN(8,BO9)*BO8))</f>
      </c>
      <c r="BP10" s="26">
        <f>IF(BP$6="","",IF(WEEKDAY(BP$6,1)=1,0,MIN(8,BP9)*BP8))</f>
      </c>
      <c r="BQ10" s="26">
        <f>IF(BQ$6="","",IF(WEEKDAY(BQ$6,1)=1,0,MIN(8,BQ9)*BQ8))</f>
      </c>
      <c r="BR10" s="26">
        <f>IF(BR$6="","",IF(WEEKDAY(BR$6,1)=1,0,MIN(8,BR9)*BR8))</f>
      </c>
      <c r="BS10" s="26">
        <f>IF(BS$6="","",IF(WEEKDAY(BS$6,1)=1,0,MIN(8,BS9)*BS8))</f>
      </c>
      <c r="BT10" s="26">
        <f>IF(BT$6="","",IF(WEEKDAY(BT$6,1)=1,0,MIN(8,BT9)*BT8))</f>
      </c>
      <c r="BU10" s="26">
        <f>IF(BU$6="","",IF(WEEKDAY(BU$6,1)=1,0,MIN(8,BU9)*BU8))</f>
      </c>
      <c r="BV10" s="26">
        <f>IF(BV$6="","",IF(WEEKDAY(BV$6,1)=1,0,MIN(8,BV9)*BV8))</f>
      </c>
      <c r="BW10" s="26">
        <f>IF(BW$6="","",IF(WEEKDAY(BW$6,1)=1,0,MIN(8,BW9)*BW8))</f>
      </c>
      <c r="BX10" s="26">
        <f>IF(BX$6="","",IF(WEEKDAY(BX$6,1)=1,0,MIN(8,BX9)*BX8))</f>
      </c>
      <c r="BY10" s="26">
        <f>IF(BY$6="","",IF(WEEKDAY(BY$6,1)=1,0,MIN(8,BY9)*BY8))</f>
      </c>
      <c r="BZ10" s="26">
        <f>IF(BZ$6="","",IF(WEEKDAY(BZ$6,1)=1,0,MIN(8,BZ9)*BZ8))</f>
      </c>
      <c r="CA10" s="26">
        <f>IF(CA$6="","",IF(WEEKDAY(CA$6,1)=1,0,MIN(8,CA9)*CA8))</f>
      </c>
      <c r="CB10" s="26">
        <f>IF(CB$6="","",IF(WEEKDAY(CB$6,1)=1,0,MIN(8,CB9)*CB8))</f>
      </c>
      <c r="CC10" s="26">
        <f>IF(CC$6="","",IF(WEEKDAY(CC$6,1)=1,0,MIN(8,CC9)*CC8))</f>
      </c>
      <c r="CD10" s="26">
        <f>IF(CD$6="","",IF(WEEKDAY(CD$6,1)=1,0,MIN(8,CD9)*CD8))</f>
      </c>
      <c r="CE10" s="26">
        <f>IF(CE$6="","",IF(WEEKDAY(CE$6,1)=1,0,MIN(8,CE9)*CE8))</f>
      </c>
      <c r="CF10" s="26">
        <f>IF(CF$6="","",IF(WEEKDAY(CF$6,1)=1,0,MIN(8,CF9)*CF8))</f>
      </c>
      <c r="CG10" s="26">
        <f>IF(CG$6="","",IF(WEEKDAY(CG$6,1)=1,0,MIN(8,CG9)*CG8))</f>
      </c>
      <c r="CH10" s="26">
        <f>IF(CH$6="","",IF(WEEKDAY(CH$6,1)=1,0,MIN(8,CH9)*CH8))</f>
      </c>
      <c r="CI10" s="26">
        <f>IF(CI$6="","",IF(WEEKDAY(CI$6,1)=1,0,MIN(8,CI9)*CI8))</f>
      </c>
      <c r="CJ10" s="26">
        <f>IF(CJ$6="","",IF(WEEKDAY(CJ$6,1)=1,0,MIN(8,CJ9)*CJ8))</f>
      </c>
      <c r="CK10" s="26">
        <f>IF(CK$6="","",IF(WEEKDAY(CK$6,1)=1,0,MIN(8,CK9)*CK8))</f>
      </c>
      <c r="CL10" s="26">
        <f>IF(CL$6="","",IF(WEEKDAY(CL$6,1)=1,0,MIN(8,CL9)*CL8))</f>
      </c>
      <c r="CM10" s="26">
        <f>IF(CM$6="","",IF(WEEKDAY(CM$6,1)=1,0,MIN(8,CM9)*CM8))</f>
      </c>
      <c r="CN10" s="26">
        <f>IF(CN$6="","",IF(WEEKDAY(CN$6,1)=1,0,MIN(8,CN9)*CN8))</f>
      </c>
      <c r="CO10" s="26">
        <f>IF(CO$6="","",IF(WEEKDAY(CO$6,1)=1,0,MIN(8,CO9)*CO8))</f>
      </c>
      <c r="CP10" s="26">
        <f>IF(CP$6="","",IF(WEEKDAY(CP$6,1)=1,0,MIN(8,CP9)*CP8))</f>
      </c>
      <c r="CQ10" s="26">
        <f>IF(CQ$6="","",IF(WEEKDAY(CQ$6,1)=1,0,MIN(8,CQ9)*CQ8))</f>
      </c>
      <c r="CR10" s="26">
        <f>IF(CR$6="","",IF(WEEKDAY(CR$6,1)=1,0,MIN(8,CR9)*CR8))</f>
      </c>
      <c r="CS10" s="26">
        <f>IF(CS$6="","",IF(WEEKDAY(CS$6,1)=1,0,MIN(8,CS9)*CS8))</f>
      </c>
      <c r="CT10" s="26">
        <f>IF(CT$6="","",IF(WEEKDAY(CT$6,1)=1,0,MIN(8,CT9)*CT8))</f>
      </c>
      <c r="CU10" s="26">
        <f>IF(CU$6="","",IF(WEEKDAY(CU$6,1)=1,0,MIN(8,CU9)*CU8))</f>
      </c>
      <c r="CV10" s="26">
        <f>IF(CV$6="","",IF(WEEKDAY(CV$6,1)=1,0,MIN(8,CV9)*CV8))</f>
      </c>
      <c r="CW10" s="26">
        <f>IF(CW$6="","",IF(WEEKDAY(CW$6,1)=1,0,MIN(8,CW9)*CW8))</f>
      </c>
      <c r="CX10" s="8" t="s">
        <v>35</v>
      </c>
    </row>
    <row r="11" spans="2:102" x14ac:dyDescent="0.25">
      <c r="B11" s="26">
        <f>SUM(L11:CW11)</f>
      </c>
      <c r="D11" s="27">
        <f>B11*E11</f>
      </c>
      <c r="E11" s="27">
        <f>'Rate Tables'!D7</f>
      </c>
      <c r="F11" s="8" t="s">
        <v>40</v>
      </c>
      <c r="L11" s="26">
        <f>IF(L$6="","",IF(WEEKDAY(L$6,1)=1,0,MAX(0,L9-8)*L8))</f>
      </c>
      <c r="M11" s="26">
        <f>IF(M$6="","",IF(WEEKDAY(M$6,1)=1,0,MAX(0,M9-8)*M8))</f>
      </c>
      <c r="N11" s="26">
        <f>IF(N$6="","",IF(WEEKDAY(N$6,1)=1,0,MAX(0,N9-8)*N8))</f>
      </c>
      <c r="O11" s="26">
        <f>IF(O$6="","",IF(WEEKDAY(O$6,1)=1,0,MAX(0,O9-8)*O8))</f>
      </c>
      <c r="P11" s="26">
        <f>IF(P$6="","",IF(WEEKDAY(P$6,1)=1,0,MAX(0,P9-8)*P8))</f>
      </c>
      <c r="Q11" s="26">
        <f>IF(Q$6="","",IF(WEEKDAY(Q$6,1)=1,0,MAX(0,Q9-8)*Q8))</f>
      </c>
      <c r="R11" s="26">
        <f>IF(R$6="","",IF(WEEKDAY(R$6,1)=1,0,MAX(0,R9-8)*R8))</f>
      </c>
      <c r="S11" s="26">
        <f>IF(S$6="","",IF(WEEKDAY(S$6,1)=1,0,MAX(0,S9-8)*S8))</f>
      </c>
      <c r="T11" s="26">
        <f>IF(T$6="","",IF(WEEKDAY(T$6,1)=1,0,MAX(0,T9-8)*T8))</f>
      </c>
      <c r="U11" s="26">
        <f>IF(U$6="","",IF(WEEKDAY(U$6,1)=1,0,MAX(0,U9-8)*U8))</f>
      </c>
      <c r="V11" s="26">
        <f>IF(V$6="","",IF(WEEKDAY(V$6,1)=1,0,MAX(0,V9-8)*V8))</f>
      </c>
      <c r="W11" s="26">
        <f>IF(W$6="","",IF(WEEKDAY(W$6,1)=1,0,MAX(0,W9-8)*W8))</f>
      </c>
      <c r="X11" s="26">
        <f>IF(X$6="","",IF(WEEKDAY(X$6,1)=1,0,MAX(0,X9-8)*X8))</f>
      </c>
      <c r="Y11" s="26">
        <f>IF(Y$6="","",IF(WEEKDAY(Y$6,1)=1,0,MAX(0,Y9-8)*Y8))</f>
      </c>
      <c r="Z11" s="26">
        <f>IF(Z$6="","",IF(WEEKDAY(Z$6,1)=1,0,MAX(0,Z9-8)*Z8))</f>
      </c>
      <c r="AA11" s="26">
        <f>IF(AA$6="","",IF(WEEKDAY(AA$6,1)=1,0,MAX(0,AA9-8)*AA8))</f>
      </c>
      <c r="AB11" s="26">
        <f>IF(AB$6="","",IF(WEEKDAY(AB$6,1)=1,0,MAX(0,AB9-8)*AB8))</f>
      </c>
      <c r="AC11" s="26">
        <f>IF(AC$6="","",IF(WEEKDAY(AC$6,1)=1,0,MAX(0,AC9-8)*AC8))</f>
      </c>
      <c r="AD11" s="26">
        <f>IF(AD$6="","",IF(WEEKDAY(AD$6,1)=1,0,MAX(0,AD9-8)*AD8))</f>
      </c>
      <c r="AE11" s="26">
        <f>IF(AE$6="","",IF(WEEKDAY(AE$6,1)=1,0,MAX(0,AE9-8)*AE8))</f>
      </c>
      <c r="AF11" s="26">
        <f>IF(AF$6="","",IF(WEEKDAY(AF$6,1)=1,0,MAX(0,AF9-8)*AF8))</f>
      </c>
      <c r="AG11" s="26">
        <f>IF(AG$6="","",IF(WEEKDAY(AG$6,1)=1,0,MAX(0,AG9-8)*AG8))</f>
      </c>
      <c r="AH11" s="26">
        <f>IF(AH$6="","",IF(WEEKDAY(AH$6,1)=1,0,MAX(0,AH9-8)*AH8))</f>
      </c>
      <c r="AI11" s="26">
        <f>IF(AI$6="","",IF(WEEKDAY(AI$6,1)=1,0,MAX(0,AI9-8)*AI8))</f>
      </c>
      <c r="AJ11" s="26">
        <f>IF(AJ$6="","",IF(WEEKDAY(AJ$6,1)=1,0,MAX(0,AJ9-8)*AJ8))</f>
      </c>
      <c r="AK11" s="26">
        <f>IF(AK$6="","",IF(WEEKDAY(AK$6,1)=1,0,MAX(0,AK9-8)*AK8))</f>
      </c>
      <c r="AL11" s="26">
        <f>IF(AL$6="","",IF(WEEKDAY(AL$6,1)=1,0,MAX(0,AL9-8)*AL8))</f>
      </c>
      <c r="AM11" s="26">
        <f>IF(AM$6="","",IF(WEEKDAY(AM$6,1)=1,0,MAX(0,AM9-8)*AM8))</f>
      </c>
      <c r="AN11" s="26">
        <f>IF(AN$6="","",IF(WEEKDAY(AN$6,1)=1,0,MAX(0,AN9-8)*AN8))</f>
      </c>
      <c r="AO11" s="26">
        <f>IF(AO$6="","",IF(WEEKDAY(AO$6,1)=1,0,MAX(0,AO9-8)*AO8))</f>
      </c>
      <c r="AP11" s="26">
        <f>IF(AP$6="","",IF(WEEKDAY(AP$6,1)=1,0,MAX(0,AP9-8)*AP8))</f>
      </c>
      <c r="AQ11" s="26">
        <f>IF(AQ$6="","",IF(WEEKDAY(AQ$6,1)=1,0,MAX(0,AQ9-8)*AQ8))</f>
      </c>
      <c r="AR11" s="26">
        <f>IF(AR$6="","",IF(WEEKDAY(AR$6,1)=1,0,MAX(0,AR9-8)*AR8))</f>
      </c>
      <c r="AS11" s="26">
        <f>IF(AS$6="","",IF(WEEKDAY(AS$6,1)=1,0,MAX(0,AS9-8)*AS8))</f>
      </c>
      <c r="AT11" s="26">
        <f>IF(AT$6="","",IF(WEEKDAY(AT$6,1)=1,0,MAX(0,AT9-8)*AT8))</f>
      </c>
      <c r="AU11" s="26">
        <f>IF(AU$6="","",IF(WEEKDAY(AU$6,1)=1,0,MAX(0,AU9-8)*AU8))</f>
      </c>
      <c r="AV11" s="26">
        <f>IF(AV$6="","",IF(WEEKDAY(AV$6,1)=1,0,MAX(0,AV9-8)*AV8))</f>
      </c>
      <c r="AW11" s="26">
        <f>IF(AW$6="","",IF(WEEKDAY(AW$6,1)=1,0,MAX(0,AW9-8)*AW8))</f>
      </c>
      <c r="AX11" s="26">
        <f>IF(AX$6="","",IF(WEEKDAY(AX$6,1)=1,0,MAX(0,AX9-8)*AX8))</f>
      </c>
      <c r="AY11" s="26">
        <f>IF(AY$6="","",IF(WEEKDAY(AY$6,1)=1,0,MAX(0,AY9-8)*AY8))</f>
      </c>
      <c r="AZ11" s="26">
        <f>IF(AZ$6="","",IF(WEEKDAY(AZ$6,1)=1,0,MAX(0,AZ9-8)*AZ8))</f>
      </c>
      <c r="BA11" s="26">
        <f>IF(BA$6="","",IF(WEEKDAY(BA$6,1)=1,0,MAX(0,BA9-8)*BA8))</f>
      </c>
      <c r="BB11" s="26">
        <f>IF(BB$6="","",IF(WEEKDAY(BB$6,1)=1,0,MAX(0,BB9-8)*BB8))</f>
      </c>
      <c r="BC11" s="26">
        <f>IF(BC$6="","",IF(WEEKDAY(BC$6,1)=1,0,MAX(0,BC9-8)*BC8))</f>
      </c>
      <c r="BD11" s="26">
        <f>IF(BD$6="","",IF(WEEKDAY(BD$6,1)=1,0,MAX(0,BD9-8)*BD8))</f>
      </c>
      <c r="BE11" s="26">
        <f>IF(BE$6="","",IF(WEEKDAY(BE$6,1)=1,0,MAX(0,BE9-8)*BE8))</f>
      </c>
      <c r="BF11" s="26">
        <f>IF(BF$6="","",IF(WEEKDAY(BF$6,1)=1,0,MAX(0,BF9-8)*BF8))</f>
      </c>
      <c r="BG11" s="26">
        <f>IF(BG$6="","",IF(WEEKDAY(BG$6,1)=1,0,MAX(0,BG9-8)*BG8))</f>
      </c>
      <c r="BH11" s="26">
        <f>IF(BH$6="","",IF(WEEKDAY(BH$6,1)=1,0,MAX(0,BH9-8)*BH8))</f>
      </c>
      <c r="BI11" s="26">
        <f>IF(BI$6="","",IF(WEEKDAY(BI$6,1)=1,0,MAX(0,BI9-8)*BI8))</f>
      </c>
      <c r="BJ11" s="26">
        <f>IF(BJ$6="","",IF(WEEKDAY(BJ$6,1)=1,0,MAX(0,BJ9-8)*BJ8))</f>
      </c>
      <c r="BK11" s="26">
        <f>IF(BK$6="","",IF(WEEKDAY(BK$6,1)=1,0,MAX(0,BK9-8)*BK8))</f>
      </c>
      <c r="BL11" s="26">
        <f>IF(BL$6="","",IF(WEEKDAY(BL$6,1)=1,0,MAX(0,BL9-8)*BL8))</f>
      </c>
      <c r="BM11" s="26">
        <f>IF(BM$6="","",IF(WEEKDAY(BM$6,1)=1,0,MAX(0,BM9-8)*BM8))</f>
      </c>
      <c r="BN11" s="26">
        <f>IF(BN$6="","",IF(WEEKDAY(BN$6,1)=1,0,MAX(0,BN9-8)*BN8))</f>
      </c>
      <c r="BO11" s="26">
        <f>IF(BO$6="","",IF(WEEKDAY(BO$6,1)=1,0,MAX(0,BO9-8)*BO8))</f>
      </c>
      <c r="BP11" s="26">
        <f>IF(BP$6="","",IF(WEEKDAY(BP$6,1)=1,0,MAX(0,BP9-8)*BP8))</f>
      </c>
      <c r="BQ11" s="26">
        <f>IF(BQ$6="","",IF(WEEKDAY(BQ$6,1)=1,0,MAX(0,BQ9-8)*BQ8))</f>
      </c>
      <c r="BR11" s="26">
        <f>IF(BR$6="","",IF(WEEKDAY(BR$6,1)=1,0,MAX(0,BR9-8)*BR8))</f>
      </c>
      <c r="BS11" s="26">
        <f>IF(BS$6="","",IF(WEEKDAY(BS$6,1)=1,0,MAX(0,BS9-8)*BS8))</f>
      </c>
      <c r="BT11" s="26">
        <f>IF(BT$6="","",IF(WEEKDAY(BT$6,1)=1,0,MAX(0,BT9-8)*BT8))</f>
      </c>
      <c r="BU11" s="26">
        <f>IF(BU$6="","",IF(WEEKDAY(BU$6,1)=1,0,MAX(0,BU9-8)*BU8))</f>
      </c>
      <c r="BV11" s="26">
        <f>IF(BV$6="","",IF(WEEKDAY(BV$6,1)=1,0,MAX(0,BV9-8)*BV8))</f>
      </c>
      <c r="BW11" s="26">
        <f>IF(BW$6="","",IF(WEEKDAY(BW$6,1)=1,0,MAX(0,BW9-8)*BW8))</f>
      </c>
      <c r="BX11" s="26">
        <f>IF(BX$6="","",IF(WEEKDAY(BX$6,1)=1,0,MAX(0,BX9-8)*BX8))</f>
      </c>
      <c r="BY11" s="26">
        <f>IF(BY$6="","",IF(WEEKDAY(BY$6,1)=1,0,MAX(0,BY9-8)*BY8))</f>
      </c>
      <c r="BZ11" s="26">
        <f>IF(BZ$6="","",IF(WEEKDAY(BZ$6,1)=1,0,MAX(0,BZ9-8)*BZ8))</f>
      </c>
      <c r="CA11" s="26">
        <f>IF(CA$6="","",IF(WEEKDAY(CA$6,1)=1,0,MAX(0,CA9-8)*CA8))</f>
      </c>
      <c r="CB11" s="26">
        <f>IF(CB$6="","",IF(WEEKDAY(CB$6,1)=1,0,MAX(0,CB9-8)*CB8))</f>
      </c>
      <c r="CC11" s="26">
        <f>IF(CC$6="","",IF(WEEKDAY(CC$6,1)=1,0,MAX(0,CC9-8)*CC8))</f>
      </c>
      <c r="CD11" s="26">
        <f>IF(CD$6="","",IF(WEEKDAY(CD$6,1)=1,0,MAX(0,CD9-8)*CD8))</f>
      </c>
      <c r="CE11" s="26">
        <f>IF(CE$6="","",IF(WEEKDAY(CE$6,1)=1,0,MAX(0,CE9-8)*CE8))</f>
      </c>
      <c r="CF11" s="26">
        <f>IF(CF$6="","",IF(WEEKDAY(CF$6,1)=1,0,MAX(0,CF9-8)*CF8))</f>
      </c>
      <c r="CG11" s="26">
        <f>IF(CG$6="","",IF(WEEKDAY(CG$6,1)=1,0,MAX(0,CG9-8)*CG8))</f>
      </c>
      <c r="CH11" s="26">
        <f>IF(CH$6="","",IF(WEEKDAY(CH$6,1)=1,0,MAX(0,CH9-8)*CH8))</f>
      </c>
      <c r="CI11" s="26">
        <f>IF(CI$6="","",IF(WEEKDAY(CI$6,1)=1,0,MAX(0,CI9-8)*CI8))</f>
      </c>
      <c r="CJ11" s="26">
        <f>IF(CJ$6="","",IF(WEEKDAY(CJ$6,1)=1,0,MAX(0,CJ9-8)*CJ8))</f>
      </c>
      <c r="CK11" s="26">
        <f>IF(CK$6="","",IF(WEEKDAY(CK$6,1)=1,0,MAX(0,CK9-8)*CK8))</f>
      </c>
      <c r="CL11" s="26">
        <f>IF(CL$6="","",IF(WEEKDAY(CL$6,1)=1,0,MAX(0,CL9-8)*CL8))</f>
      </c>
      <c r="CM11" s="26">
        <f>IF(CM$6="","",IF(WEEKDAY(CM$6,1)=1,0,MAX(0,CM9-8)*CM8))</f>
      </c>
      <c r="CN11" s="26">
        <f>IF(CN$6="","",IF(WEEKDAY(CN$6,1)=1,0,MAX(0,CN9-8)*CN8))</f>
      </c>
      <c r="CO11" s="26">
        <f>IF(CO$6="","",IF(WEEKDAY(CO$6,1)=1,0,MAX(0,CO9-8)*CO8))</f>
      </c>
      <c r="CP11" s="26">
        <f>IF(CP$6="","",IF(WEEKDAY(CP$6,1)=1,0,MAX(0,CP9-8)*CP8))</f>
      </c>
      <c r="CQ11" s="26">
        <f>IF(CQ$6="","",IF(WEEKDAY(CQ$6,1)=1,0,MAX(0,CQ9-8)*CQ8))</f>
      </c>
      <c r="CR11" s="26">
        <f>IF(CR$6="","",IF(WEEKDAY(CR$6,1)=1,0,MAX(0,CR9-8)*CR8))</f>
      </c>
      <c r="CS11" s="26">
        <f>IF(CS$6="","",IF(WEEKDAY(CS$6,1)=1,0,MAX(0,CS9-8)*CS8))</f>
      </c>
      <c r="CT11" s="26">
        <f>IF(CT$6="","",IF(WEEKDAY(CT$6,1)=1,0,MAX(0,CT9-8)*CT8))</f>
      </c>
      <c r="CU11" s="26">
        <f>IF(CU$6="","",IF(WEEKDAY(CU$6,1)=1,0,MAX(0,CU9-8)*CU8))</f>
      </c>
      <c r="CV11" s="26">
        <f>IF(CV$6="","",IF(WEEKDAY(CV$6,1)=1,0,MAX(0,CV9-8)*CV8))</f>
      </c>
      <c r="CW11" s="26">
        <f>IF(CW$6="","",IF(WEEKDAY(CW$6,1)=1,0,MAX(0,CW9-8)*CW8))</f>
      </c>
      <c r="CX11" s="8" t="s">
        <v>35</v>
      </c>
    </row>
    <row r="12" spans="2:102" x14ac:dyDescent="0.25">
      <c r="B12" s="26">
        <f>SUM(L12:CW12)</f>
      </c>
      <c r="D12" s="27">
        <f>B12*E12</f>
      </c>
      <c r="E12" s="27">
        <f>'Rate Tables'!E7</f>
      </c>
      <c r="F12" s="8" t="s">
        <v>41</v>
      </c>
      <c r="L12" s="26">
        <f>IF(L$6="","",IF(WEEKDAY(L$6,1)=1,L9*L8,0))</f>
      </c>
      <c r="M12" s="26">
        <f>IF(M$6="","",IF(WEEKDAY(M$6,1)=1,M9*M8,0))</f>
      </c>
      <c r="N12" s="26">
        <f>IF(N$6="","",IF(WEEKDAY(N$6,1)=1,N9*N8,0))</f>
      </c>
      <c r="O12" s="26">
        <f>IF(O$6="","",IF(WEEKDAY(O$6,1)=1,O9*O8,0))</f>
      </c>
      <c r="P12" s="26">
        <f>IF(P$6="","",IF(WEEKDAY(P$6,1)=1,P9*P8,0))</f>
      </c>
      <c r="Q12" s="26">
        <f>IF(Q$6="","",IF(WEEKDAY(Q$6,1)=1,Q9*Q8,0))</f>
      </c>
      <c r="R12" s="26">
        <f>IF(R$6="","",IF(WEEKDAY(R$6,1)=1,R9*R8,0))</f>
      </c>
      <c r="S12" s="26">
        <f>IF(S$6="","",IF(WEEKDAY(S$6,1)=1,S9*S8,0))</f>
      </c>
      <c r="T12" s="26">
        <f>IF(T$6="","",IF(WEEKDAY(T$6,1)=1,T9*T8,0))</f>
      </c>
      <c r="U12" s="26">
        <f>IF(U$6="","",IF(WEEKDAY(U$6,1)=1,U9*U8,0))</f>
      </c>
      <c r="V12" s="26">
        <f>IF(V$6="","",IF(WEEKDAY(V$6,1)=1,V9*V8,0))</f>
      </c>
      <c r="W12" s="26">
        <f>IF(W$6="","",IF(WEEKDAY(W$6,1)=1,W9*W8,0))</f>
      </c>
      <c r="X12" s="26">
        <f>IF(X$6="","",IF(WEEKDAY(X$6,1)=1,X9*X8,0))</f>
      </c>
      <c r="Y12" s="26">
        <f>IF(Y$6="","",IF(WEEKDAY(Y$6,1)=1,Y9*Y8,0))</f>
      </c>
      <c r="Z12" s="26">
        <f>IF(Z$6="","",IF(WEEKDAY(Z$6,1)=1,Z9*Z8,0))</f>
      </c>
      <c r="AA12" s="26">
        <f>IF(AA$6="","",IF(WEEKDAY(AA$6,1)=1,AA9*AA8,0))</f>
      </c>
      <c r="AB12" s="26">
        <f>IF(AB$6="","",IF(WEEKDAY(AB$6,1)=1,AB9*AB8,0))</f>
      </c>
      <c r="AC12" s="26">
        <f>IF(AC$6="","",IF(WEEKDAY(AC$6,1)=1,AC9*AC8,0))</f>
      </c>
      <c r="AD12" s="26">
        <f>IF(AD$6="","",IF(WEEKDAY(AD$6,1)=1,AD9*AD8,0))</f>
      </c>
      <c r="AE12" s="26">
        <f>IF(AE$6="","",IF(WEEKDAY(AE$6,1)=1,AE9*AE8,0))</f>
      </c>
      <c r="AF12" s="26">
        <f>IF(AF$6="","",IF(WEEKDAY(AF$6,1)=1,AF9*AF8,0))</f>
      </c>
      <c r="AG12" s="26">
        <f>IF(AG$6="","",IF(WEEKDAY(AG$6,1)=1,AG9*AG8,0))</f>
      </c>
      <c r="AH12" s="26">
        <f>IF(AH$6="","",IF(WEEKDAY(AH$6,1)=1,AH9*AH8,0))</f>
      </c>
      <c r="AI12" s="26">
        <f>IF(AI$6="","",IF(WEEKDAY(AI$6,1)=1,AI9*AI8,0))</f>
      </c>
      <c r="AJ12" s="26">
        <f>IF(AJ$6="","",IF(WEEKDAY(AJ$6,1)=1,AJ9*AJ8,0))</f>
      </c>
      <c r="AK12" s="26">
        <f>IF(AK$6="","",IF(WEEKDAY(AK$6,1)=1,AK9*AK8,0))</f>
      </c>
      <c r="AL12" s="26">
        <f>IF(AL$6="","",IF(WEEKDAY(AL$6,1)=1,AL9*AL8,0))</f>
      </c>
      <c r="AM12" s="26">
        <f>IF(AM$6="","",IF(WEEKDAY(AM$6,1)=1,AM9*AM8,0))</f>
      </c>
      <c r="AN12" s="26">
        <f>IF(AN$6="","",IF(WEEKDAY(AN$6,1)=1,AN9*AN8,0))</f>
      </c>
      <c r="AO12" s="26">
        <f>IF(AO$6="","",IF(WEEKDAY(AO$6,1)=1,AO9*AO8,0))</f>
      </c>
      <c r="AP12" s="26">
        <f>IF(AP$6="","",IF(WEEKDAY(AP$6,1)=1,AP9*AP8,0))</f>
      </c>
      <c r="AQ12" s="26">
        <f>IF(AQ$6="","",IF(WEEKDAY(AQ$6,1)=1,AQ9*AQ8,0))</f>
      </c>
      <c r="AR12" s="26">
        <f>IF(AR$6="","",IF(WEEKDAY(AR$6,1)=1,AR9*AR8,0))</f>
      </c>
      <c r="AS12" s="26">
        <f>IF(AS$6="","",IF(WEEKDAY(AS$6,1)=1,AS9*AS8,0))</f>
      </c>
      <c r="AT12" s="26">
        <f>IF(AT$6="","",IF(WEEKDAY(AT$6,1)=1,AT9*AT8,0))</f>
      </c>
      <c r="AU12" s="26">
        <f>IF(AU$6="","",IF(WEEKDAY(AU$6,1)=1,AU9*AU8,0))</f>
      </c>
      <c r="AV12" s="26">
        <f>IF(AV$6="","",IF(WEEKDAY(AV$6,1)=1,AV9*AV8,0))</f>
      </c>
      <c r="AW12" s="26">
        <f>IF(AW$6="","",IF(WEEKDAY(AW$6,1)=1,AW9*AW8,0))</f>
      </c>
      <c r="AX12" s="26">
        <f>IF(AX$6="","",IF(WEEKDAY(AX$6,1)=1,AX9*AX8,0))</f>
      </c>
      <c r="AY12" s="26">
        <f>IF(AY$6="","",IF(WEEKDAY(AY$6,1)=1,AY9*AY8,0))</f>
      </c>
      <c r="AZ12" s="26">
        <f>IF(AZ$6="","",IF(WEEKDAY(AZ$6,1)=1,AZ9*AZ8,0))</f>
      </c>
      <c r="BA12" s="26">
        <f>IF(BA$6="","",IF(WEEKDAY(BA$6,1)=1,BA9*BA8,0))</f>
      </c>
      <c r="BB12" s="26">
        <f>IF(BB$6="","",IF(WEEKDAY(BB$6,1)=1,BB9*BB8,0))</f>
      </c>
      <c r="BC12" s="26">
        <f>IF(BC$6="","",IF(WEEKDAY(BC$6,1)=1,BC9*BC8,0))</f>
      </c>
      <c r="BD12" s="26">
        <f>IF(BD$6="","",IF(WEEKDAY(BD$6,1)=1,BD9*BD8,0))</f>
      </c>
      <c r="BE12" s="26">
        <f>IF(BE$6="","",IF(WEEKDAY(BE$6,1)=1,BE9*BE8,0))</f>
      </c>
      <c r="BF12" s="26">
        <f>IF(BF$6="","",IF(WEEKDAY(BF$6,1)=1,BF9*BF8,0))</f>
      </c>
      <c r="BG12" s="26">
        <f>IF(BG$6="","",IF(WEEKDAY(BG$6,1)=1,BG9*BG8,0))</f>
      </c>
      <c r="BH12" s="26">
        <f>IF(BH$6="","",IF(WEEKDAY(BH$6,1)=1,BH9*BH8,0))</f>
      </c>
      <c r="BI12" s="26">
        <f>IF(BI$6="","",IF(WEEKDAY(BI$6,1)=1,BI9*BI8,0))</f>
      </c>
      <c r="BJ12" s="26">
        <f>IF(BJ$6="","",IF(WEEKDAY(BJ$6,1)=1,BJ9*BJ8,0))</f>
      </c>
      <c r="BK12" s="26">
        <f>IF(BK$6="","",IF(WEEKDAY(BK$6,1)=1,BK9*BK8,0))</f>
      </c>
      <c r="BL12" s="26">
        <f>IF(BL$6="","",IF(WEEKDAY(BL$6,1)=1,BL9*BL8,0))</f>
      </c>
      <c r="BM12" s="26">
        <f>IF(BM$6="","",IF(WEEKDAY(BM$6,1)=1,BM9*BM8,0))</f>
      </c>
      <c r="BN12" s="26">
        <f>IF(BN$6="","",IF(WEEKDAY(BN$6,1)=1,BN9*BN8,0))</f>
      </c>
      <c r="BO12" s="26">
        <f>IF(BO$6="","",IF(WEEKDAY(BO$6,1)=1,BO9*BO8,0))</f>
      </c>
      <c r="BP12" s="26">
        <f>IF(BP$6="","",IF(WEEKDAY(BP$6,1)=1,BP9*BP8,0))</f>
      </c>
      <c r="BQ12" s="26">
        <f>IF(BQ$6="","",IF(WEEKDAY(BQ$6,1)=1,BQ9*BQ8,0))</f>
      </c>
      <c r="BR12" s="26">
        <f>IF(BR$6="","",IF(WEEKDAY(BR$6,1)=1,BR9*BR8,0))</f>
      </c>
      <c r="BS12" s="26">
        <f>IF(BS$6="","",IF(WEEKDAY(BS$6,1)=1,BS9*BS8,0))</f>
      </c>
      <c r="BT12" s="26">
        <f>IF(BT$6="","",IF(WEEKDAY(BT$6,1)=1,BT9*BT8,0))</f>
      </c>
      <c r="BU12" s="26">
        <f>IF(BU$6="","",IF(WEEKDAY(BU$6,1)=1,BU9*BU8,0))</f>
      </c>
      <c r="BV12" s="26">
        <f>IF(BV$6="","",IF(WEEKDAY(BV$6,1)=1,BV9*BV8,0))</f>
      </c>
      <c r="BW12" s="26">
        <f>IF(BW$6="","",IF(WEEKDAY(BW$6,1)=1,BW9*BW8,0))</f>
      </c>
      <c r="BX12" s="26">
        <f>IF(BX$6="","",IF(WEEKDAY(BX$6,1)=1,BX9*BX8,0))</f>
      </c>
      <c r="BY12" s="26">
        <f>IF(BY$6="","",IF(WEEKDAY(BY$6,1)=1,BY9*BY8,0))</f>
      </c>
      <c r="BZ12" s="26">
        <f>IF(BZ$6="","",IF(WEEKDAY(BZ$6,1)=1,BZ9*BZ8,0))</f>
      </c>
      <c r="CA12" s="26">
        <f>IF(CA$6="","",IF(WEEKDAY(CA$6,1)=1,CA9*CA8,0))</f>
      </c>
      <c r="CB12" s="26">
        <f>IF(CB$6="","",IF(WEEKDAY(CB$6,1)=1,CB9*CB8,0))</f>
      </c>
      <c r="CC12" s="26">
        <f>IF(CC$6="","",IF(WEEKDAY(CC$6,1)=1,CC9*CC8,0))</f>
      </c>
      <c r="CD12" s="26">
        <f>IF(CD$6="","",IF(WEEKDAY(CD$6,1)=1,CD9*CD8,0))</f>
      </c>
      <c r="CE12" s="26">
        <f>IF(CE$6="","",IF(WEEKDAY(CE$6,1)=1,CE9*CE8,0))</f>
      </c>
      <c r="CF12" s="26">
        <f>IF(CF$6="","",IF(WEEKDAY(CF$6,1)=1,CF9*CF8,0))</f>
      </c>
      <c r="CG12" s="26">
        <f>IF(CG$6="","",IF(WEEKDAY(CG$6,1)=1,CG9*CG8,0))</f>
      </c>
      <c r="CH12" s="26">
        <f>IF(CH$6="","",IF(WEEKDAY(CH$6,1)=1,CH9*CH8,0))</f>
      </c>
      <c r="CI12" s="26">
        <f>IF(CI$6="","",IF(WEEKDAY(CI$6,1)=1,CI9*CI8,0))</f>
      </c>
      <c r="CJ12" s="26">
        <f>IF(CJ$6="","",IF(WEEKDAY(CJ$6,1)=1,CJ9*CJ8,0))</f>
      </c>
      <c r="CK12" s="26">
        <f>IF(CK$6="","",IF(WEEKDAY(CK$6,1)=1,CK9*CK8,0))</f>
      </c>
      <c r="CL12" s="26">
        <f>IF(CL$6="","",IF(WEEKDAY(CL$6,1)=1,CL9*CL8,0))</f>
      </c>
      <c r="CM12" s="26">
        <f>IF(CM$6="","",IF(WEEKDAY(CM$6,1)=1,CM9*CM8,0))</f>
      </c>
      <c r="CN12" s="26">
        <f>IF(CN$6="","",IF(WEEKDAY(CN$6,1)=1,CN9*CN8,0))</f>
      </c>
      <c r="CO12" s="26">
        <f>IF(CO$6="","",IF(WEEKDAY(CO$6,1)=1,CO9*CO8,0))</f>
      </c>
      <c r="CP12" s="26">
        <f>IF(CP$6="","",IF(WEEKDAY(CP$6,1)=1,CP9*CP8,0))</f>
      </c>
      <c r="CQ12" s="26">
        <f>IF(CQ$6="","",IF(WEEKDAY(CQ$6,1)=1,CQ9*CQ8,0))</f>
      </c>
      <c r="CR12" s="26">
        <f>IF(CR$6="","",IF(WEEKDAY(CR$6,1)=1,CR9*CR8,0))</f>
      </c>
      <c r="CS12" s="26">
        <f>IF(CS$6="","",IF(WEEKDAY(CS$6,1)=1,CS9*CS8,0))</f>
      </c>
      <c r="CT12" s="26">
        <f>IF(CT$6="","",IF(WEEKDAY(CT$6,1)=1,CT9*CT8,0))</f>
      </c>
      <c r="CU12" s="26">
        <f>IF(CU$6="","",IF(WEEKDAY(CU$6,1)=1,CU9*CU8,0))</f>
      </c>
      <c r="CV12" s="26">
        <f>IF(CV$6="","",IF(WEEKDAY(CV$6,1)=1,CV9*CV8,0))</f>
      </c>
      <c r="CW12" s="26">
        <f>IF(CW$6="","",IF(WEEKDAY(CW$6,1)=1,CW9*CW8,0))</f>
      </c>
      <c r="CX12" s="8" t="s">
        <v>35</v>
      </c>
    </row>
    <row r="13" spans="2:102" x14ac:dyDescent="0.25">
      <c r="B13" s="26">
        <f>SUM(L13:CW13)</f>
      </c>
      <c r="D13" s="27">
        <f>B13*E13</f>
      </c>
      <c r="E13" s="27">
        <v>140</v>
      </c>
      <c r="F13" s="8" t="s">
        <v>42</v>
      </c>
      <c r="L13" s="28">
        <v>1</v>
      </c>
      <c r="M13" s="28">
        <v>1</v>
      </c>
      <c r="N13" s="28">
        <v>1</v>
      </c>
      <c r="O13" s="28">
        <v>1</v>
      </c>
      <c r="P13" s="28">
        <v>1</v>
      </c>
      <c r="Q13" s="28">
        <v>0</v>
      </c>
      <c r="R13" s="28">
        <v>0</v>
      </c>
      <c r="S13" s="28">
        <v>1</v>
      </c>
      <c r="T13" s="28">
        <v>1</v>
      </c>
      <c r="U13" s="28">
        <v>1</v>
      </c>
      <c r="V13" s="28">
        <v>1</v>
      </c>
      <c r="W13" s="28">
        <v>1</v>
      </c>
      <c r="X13" s="28">
        <v>0</v>
      </c>
      <c r="Y13" s="28">
        <v>0</v>
      </c>
      <c r="Z13" s="28">
        <v>1</v>
      </c>
      <c r="AA13" s="28">
        <v>1</v>
      </c>
      <c r="AB13" s="28">
        <v>1</v>
      </c>
      <c r="AC13" s="28">
        <v>1</v>
      </c>
      <c r="AD13" s="28">
        <v>1</v>
      </c>
      <c r="AE13" s="28">
        <v>0</v>
      </c>
      <c r="AF13" s="28">
        <v>0</v>
      </c>
      <c r="AG13" s="28">
        <v>1</v>
      </c>
      <c r="AH13" s="28">
        <v>1</v>
      </c>
      <c r="AI13" s="28">
        <v>1</v>
      </c>
      <c r="AJ13" s="28">
        <v>1</v>
      </c>
      <c r="AK13" s="28">
        <v>1</v>
      </c>
      <c r="AL13" s="28">
        <v>0</v>
      </c>
      <c r="AM13" s="28">
        <v>0</v>
      </c>
      <c r="AN13" s="28">
        <v>1</v>
      </c>
      <c r="AO13" s="28">
        <v>1</v>
      </c>
      <c r="AP13" s="28">
        <v>1</v>
      </c>
      <c r="AQ13" s="28">
        <v>1</v>
      </c>
      <c r="AR13" s="28">
        <v>1</v>
      </c>
      <c r="AS13" s="28">
        <v>0</v>
      </c>
      <c r="AT13" s="28">
        <v>0</v>
      </c>
      <c r="AU13" s="28">
        <v>1</v>
      </c>
      <c r="AV13" s="28">
        <v>1</v>
      </c>
      <c r="AW13" s="28">
        <v>1</v>
      </c>
      <c r="AX13" s="28">
        <v>1</v>
      </c>
      <c r="AY13" s="28">
        <v>1</v>
      </c>
      <c r="AZ13" s="28">
        <v>0</v>
      </c>
      <c r="BA13" s="28">
        <v>0</v>
      </c>
      <c r="BB13" s="28">
        <v>1</v>
      </c>
      <c r="BC13" s="28">
        <v>1</v>
      </c>
      <c r="BD13" s="28">
        <v>1</v>
      </c>
      <c r="BE13" s="28">
        <v>1</v>
      </c>
      <c r="BF13" s="28">
        <v>1</v>
      </c>
      <c r="BG13" s="28">
        <v>0</v>
      </c>
      <c r="BH13" s="28">
        <v>0</v>
      </c>
      <c r="BI13" s="28">
        <v>1</v>
      </c>
      <c r="BJ13" s="28">
        <v>1</v>
      </c>
      <c r="BK13" s="28">
        <v>1</v>
      </c>
      <c r="BL13" s="28">
        <v>1</v>
      </c>
      <c r="BM13" s="28">
        <v>1</v>
      </c>
      <c r="BN13" s="28">
        <v>1</v>
      </c>
      <c r="BO13" s="28">
        <v>1</v>
      </c>
      <c r="BP13" s="28">
        <v>1</v>
      </c>
      <c r="BQ13" s="28">
        <v>1</v>
      </c>
      <c r="BR13" s="28">
        <v>1</v>
      </c>
      <c r="BS13" s="28">
        <v>1</v>
      </c>
      <c r="BT13" s="28">
        <v>1</v>
      </c>
      <c r="BU13" s="28">
        <v>1</v>
      </c>
      <c r="BV13" s="28">
        <v>1</v>
      </c>
      <c r="BW13" s="28">
        <v>1</v>
      </c>
      <c r="BX13" s="28">
        <v>1</v>
      </c>
      <c r="BY13" s="28">
        <v>1</v>
      </c>
      <c r="BZ13" s="28">
        <v>1</v>
      </c>
      <c r="CA13" s="28">
        <v>1</v>
      </c>
      <c r="CB13" s="28">
        <v>1</v>
      </c>
      <c r="CC13" s="28">
        <v>0</v>
      </c>
      <c r="CD13" s="28">
        <v>1</v>
      </c>
      <c r="CE13" s="28">
        <v>1</v>
      </c>
      <c r="CF13" s="28">
        <v>1</v>
      </c>
      <c r="CG13" s="28">
        <v>1</v>
      </c>
      <c r="CH13" s="28">
        <v>1</v>
      </c>
      <c r="CI13" s="28">
        <v>1</v>
      </c>
      <c r="CJ13" s="28">
        <v>1</v>
      </c>
      <c r="CK13" s="28">
        <v>1</v>
      </c>
      <c r="CL13" s="28">
        <v>1</v>
      </c>
      <c r="CM13" s="28">
        <v>1</v>
      </c>
      <c r="CN13" s="28">
        <v>1</v>
      </c>
      <c r="CO13" s="28">
        <v>1</v>
      </c>
      <c r="CP13" s="28">
        <v>1</v>
      </c>
      <c r="CQ13" s="28">
        <v>0</v>
      </c>
      <c r="CR13" s="28">
        <v>1</v>
      </c>
      <c r="CS13" s="28">
        <v>1</v>
      </c>
      <c r="CT13" s="28">
        <v>1</v>
      </c>
      <c r="CU13" s="28">
        <v>1</v>
      </c>
      <c r="CV13" s="28">
        <v>1</v>
      </c>
      <c r="CW13" s="28">
        <v>1</v>
      </c>
      <c r="CX13" s="8" t="s">
        <v>35</v>
      </c>
    </row>
    <row r="14" spans="1:102" x14ac:dyDescent="0.25">
      <c r="A14" s="20" t="s">
        <v>32</v>
      </c>
      <c r="B14" s="21">
        <f>G14+H14+I14</f>
      </c>
      <c r="C14" s="20" t="s">
        <v>43</v>
      </c>
      <c r="D14" s="22">
        <f>K14</f>
      </c>
      <c r="F14" s="20" t="s">
        <v>34</v>
      </c>
      <c r="G14" s="21">
        <f>B17</f>
      </c>
      <c r="H14" s="21">
        <f>B18</f>
      </c>
      <c r="I14" s="21">
        <f>B19</f>
      </c>
      <c r="J14" s="21">
        <f>B20</f>
      </c>
      <c r="K14" s="22">
        <f>D17+D18+D19</f>
      </c>
      <c r="CX14" s="20" t="s">
        <v>44</v>
      </c>
    </row>
    <row r="15" spans="6:102" x14ac:dyDescent="0.25">
      <c r="F15" s="23" t="s">
        <v>36</v>
      </c>
      <c r="L15" s="24">
        <v>1</v>
      </c>
      <c r="M15" s="24">
        <v>1</v>
      </c>
      <c r="N15" s="24">
        <v>1</v>
      </c>
      <c r="O15" s="24">
        <v>1</v>
      </c>
      <c r="P15" s="24">
        <v>1</v>
      </c>
      <c r="Q15" s="24">
        <v>0</v>
      </c>
      <c r="R15" s="24">
        <v>0</v>
      </c>
      <c r="S15" s="24">
        <v>1</v>
      </c>
      <c r="T15" s="24">
        <v>1</v>
      </c>
      <c r="U15" s="24">
        <v>1</v>
      </c>
      <c r="V15" s="24">
        <v>1</v>
      </c>
      <c r="W15" s="24">
        <v>1</v>
      </c>
      <c r="X15" s="24">
        <v>0</v>
      </c>
      <c r="Y15" s="24">
        <v>0</v>
      </c>
      <c r="Z15" s="24">
        <v>1</v>
      </c>
      <c r="AA15" s="24">
        <v>1</v>
      </c>
      <c r="AB15" s="24">
        <v>1</v>
      </c>
      <c r="AC15" s="24">
        <v>1</v>
      </c>
      <c r="AD15" s="24">
        <v>1</v>
      </c>
      <c r="AE15" s="24">
        <v>0</v>
      </c>
      <c r="AF15" s="24">
        <v>0</v>
      </c>
      <c r="AG15" s="24">
        <v>1</v>
      </c>
      <c r="AH15" s="24">
        <v>1</v>
      </c>
      <c r="AI15" s="24">
        <v>1</v>
      </c>
      <c r="AJ15" s="24">
        <v>1</v>
      </c>
      <c r="AK15" s="24">
        <v>1</v>
      </c>
      <c r="AL15" s="24">
        <v>0</v>
      </c>
      <c r="AM15" s="24">
        <v>0</v>
      </c>
      <c r="AN15" s="24">
        <v>1</v>
      </c>
      <c r="AO15" s="24">
        <v>1</v>
      </c>
      <c r="AP15" s="24">
        <v>1</v>
      </c>
      <c r="AQ15" s="24">
        <v>1</v>
      </c>
      <c r="AR15" s="24">
        <v>1</v>
      </c>
      <c r="AS15" s="24">
        <v>0</v>
      </c>
      <c r="AT15" s="24">
        <v>0</v>
      </c>
      <c r="AU15" s="24">
        <v>1</v>
      </c>
      <c r="AV15" s="24">
        <v>1</v>
      </c>
      <c r="AW15" s="24">
        <v>1</v>
      </c>
      <c r="AX15" s="24">
        <v>1</v>
      </c>
      <c r="AY15" s="24">
        <v>1</v>
      </c>
      <c r="AZ15" s="24">
        <v>0</v>
      </c>
      <c r="BA15" s="24">
        <v>0</v>
      </c>
      <c r="BB15" s="24">
        <v>1</v>
      </c>
      <c r="BC15" s="24">
        <v>1</v>
      </c>
      <c r="BD15" s="24">
        <v>1</v>
      </c>
      <c r="BE15" s="24">
        <v>1</v>
      </c>
      <c r="BF15" s="24">
        <v>1</v>
      </c>
      <c r="BG15" s="24">
        <v>0</v>
      </c>
      <c r="BH15" s="24">
        <v>0</v>
      </c>
      <c r="BI15" s="24">
        <v>1</v>
      </c>
      <c r="BJ15" s="24">
        <v>1</v>
      </c>
      <c r="BK15" s="24">
        <v>1</v>
      </c>
      <c r="BL15" s="24">
        <v>1</v>
      </c>
      <c r="BM15" s="24">
        <v>1</v>
      </c>
      <c r="BN15" s="24">
        <v>1</v>
      </c>
      <c r="BO15" s="24">
        <v>1</v>
      </c>
      <c r="BP15" s="24">
        <v>1</v>
      </c>
      <c r="BQ15" s="24">
        <v>1</v>
      </c>
      <c r="BR15" s="24">
        <v>1</v>
      </c>
      <c r="BS15" s="24">
        <v>1</v>
      </c>
      <c r="BT15" s="24">
        <v>1</v>
      </c>
      <c r="BU15" s="24">
        <v>1</v>
      </c>
      <c r="BV15" s="24">
        <v>1</v>
      </c>
      <c r="BW15" s="24">
        <v>1</v>
      </c>
      <c r="BX15" s="24">
        <v>1</v>
      </c>
      <c r="BY15" s="24">
        <v>1</v>
      </c>
      <c r="BZ15" s="24">
        <v>1</v>
      </c>
      <c r="CA15" s="24">
        <v>1</v>
      </c>
      <c r="CB15" s="24">
        <v>1</v>
      </c>
      <c r="CC15" s="24">
        <v>0</v>
      </c>
      <c r="CD15" s="24">
        <v>1</v>
      </c>
      <c r="CE15" s="24">
        <v>1</v>
      </c>
      <c r="CF15" s="24">
        <v>1</v>
      </c>
      <c r="CG15" s="24">
        <v>1</v>
      </c>
      <c r="CH15" s="24">
        <v>1</v>
      </c>
      <c r="CI15" s="24">
        <v>1</v>
      </c>
      <c r="CJ15" s="24">
        <v>1</v>
      </c>
      <c r="CK15" s="24">
        <v>1</v>
      </c>
      <c r="CL15" s="24">
        <v>1</v>
      </c>
      <c r="CM15" s="24">
        <v>1</v>
      </c>
      <c r="CN15" s="24">
        <v>1</v>
      </c>
      <c r="CO15" s="24">
        <v>1</v>
      </c>
      <c r="CP15" s="24">
        <v>1</v>
      </c>
      <c r="CQ15" s="24">
        <v>0</v>
      </c>
      <c r="CR15" s="24">
        <v>1</v>
      </c>
      <c r="CS15" s="24">
        <v>1</v>
      </c>
      <c r="CT15" s="24">
        <v>1</v>
      </c>
      <c r="CU15" s="24">
        <v>1</v>
      </c>
      <c r="CV15" s="24">
        <v>1</v>
      </c>
      <c r="CW15" s="24">
        <v>1</v>
      </c>
      <c r="CX15" s="23" t="s">
        <v>44</v>
      </c>
    </row>
    <row r="16" spans="1:102" x14ac:dyDescent="0.25">
      <c r="A16" s="23" t="s">
        <v>37</v>
      </c>
      <c r="F16" s="23" t="s">
        <v>38</v>
      </c>
      <c r="L16" s="25">
        <v>9</v>
      </c>
      <c r="M16" s="25">
        <v>9</v>
      </c>
      <c r="N16" s="25">
        <v>9</v>
      </c>
      <c r="O16" s="25">
        <v>9</v>
      </c>
      <c r="P16" s="25">
        <v>9</v>
      </c>
      <c r="Q16" s="25">
        <v>0</v>
      </c>
      <c r="R16" s="25">
        <v>0</v>
      </c>
      <c r="S16" s="25">
        <v>9</v>
      </c>
      <c r="T16" s="25">
        <v>9</v>
      </c>
      <c r="U16" s="25">
        <v>9</v>
      </c>
      <c r="V16" s="25">
        <v>9</v>
      </c>
      <c r="W16" s="25">
        <v>9</v>
      </c>
      <c r="X16" s="25">
        <v>0</v>
      </c>
      <c r="Y16" s="25">
        <v>0</v>
      </c>
      <c r="Z16" s="25">
        <v>9</v>
      </c>
      <c r="AA16" s="25">
        <v>9</v>
      </c>
      <c r="AB16" s="25">
        <v>9</v>
      </c>
      <c r="AC16" s="25">
        <v>9</v>
      </c>
      <c r="AD16" s="25">
        <v>9</v>
      </c>
      <c r="AE16" s="25">
        <v>0</v>
      </c>
      <c r="AF16" s="25">
        <v>0</v>
      </c>
      <c r="AG16" s="25">
        <v>9</v>
      </c>
      <c r="AH16" s="25">
        <v>9</v>
      </c>
      <c r="AI16" s="25">
        <v>9</v>
      </c>
      <c r="AJ16" s="25">
        <v>9</v>
      </c>
      <c r="AK16" s="25">
        <v>9</v>
      </c>
      <c r="AL16" s="25">
        <v>0</v>
      </c>
      <c r="AM16" s="25">
        <v>0</v>
      </c>
      <c r="AN16" s="25">
        <v>9</v>
      </c>
      <c r="AO16" s="25">
        <v>9</v>
      </c>
      <c r="AP16" s="25">
        <v>9</v>
      </c>
      <c r="AQ16" s="25">
        <v>9</v>
      </c>
      <c r="AR16" s="25">
        <v>9</v>
      </c>
      <c r="AS16" s="25">
        <v>0</v>
      </c>
      <c r="AT16" s="25">
        <v>0</v>
      </c>
      <c r="AU16" s="25">
        <v>9</v>
      </c>
      <c r="AV16" s="25">
        <v>9</v>
      </c>
      <c r="AW16" s="25">
        <v>9</v>
      </c>
      <c r="AX16" s="25">
        <v>9</v>
      </c>
      <c r="AY16" s="25">
        <v>9</v>
      </c>
      <c r="AZ16" s="25">
        <v>0</v>
      </c>
      <c r="BA16" s="25">
        <v>0</v>
      </c>
      <c r="BB16" s="25">
        <v>9</v>
      </c>
      <c r="BC16" s="25">
        <v>9</v>
      </c>
      <c r="BD16" s="25">
        <v>9</v>
      </c>
      <c r="BE16" s="25">
        <v>9</v>
      </c>
      <c r="BF16" s="25">
        <v>9</v>
      </c>
      <c r="BG16" s="25">
        <v>0</v>
      </c>
      <c r="BH16" s="25">
        <v>0</v>
      </c>
      <c r="BI16" s="25">
        <v>13</v>
      </c>
      <c r="BJ16" s="25">
        <v>13</v>
      </c>
      <c r="BK16" s="25">
        <v>13</v>
      </c>
      <c r="BL16" s="25">
        <v>13</v>
      </c>
      <c r="BM16" s="25">
        <v>13</v>
      </c>
      <c r="BN16" s="25">
        <v>13</v>
      </c>
      <c r="BO16" s="25">
        <v>13</v>
      </c>
      <c r="BP16" s="25">
        <v>13</v>
      </c>
      <c r="BQ16" s="25">
        <v>13</v>
      </c>
      <c r="BR16" s="25">
        <v>13</v>
      </c>
      <c r="BS16" s="25">
        <v>13</v>
      </c>
      <c r="BT16" s="25">
        <v>13</v>
      </c>
      <c r="BU16" s="25">
        <v>13</v>
      </c>
      <c r="BV16" s="25">
        <v>13</v>
      </c>
      <c r="BW16" s="25">
        <v>13</v>
      </c>
      <c r="BX16" s="25">
        <v>13</v>
      </c>
      <c r="BY16" s="25">
        <v>13</v>
      </c>
      <c r="BZ16" s="25">
        <v>13</v>
      </c>
      <c r="CA16" s="25">
        <v>13</v>
      </c>
      <c r="CB16" s="25">
        <v>13</v>
      </c>
      <c r="CC16" s="25">
        <v>0</v>
      </c>
      <c r="CD16" s="25">
        <v>13</v>
      </c>
      <c r="CE16" s="25">
        <v>13</v>
      </c>
      <c r="CF16" s="25">
        <v>13</v>
      </c>
      <c r="CG16" s="25">
        <v>13</v>
      </c>
      <c r="CH16" s="25">
        <v>13</v>
      </c>
      <c r="CI16" s="25">
        <v>13</v>
      </c>
      <c r="CJ16" s="25">
        <v>13</v>
      </c>
      <c r="CK16" s="25">
        <v>13</v>
      </c>
      <c r="CL16" s="25">
        <v>13</v>
      </c>
      <c r="CM16" s="25">
        <v>13</v>
      </c>
      <c r="CN16" s="25">
        <v>13</v>
      </c>
      <c r="CO16" s="25">
        <v>13</v>
      </c>
      <c r="CP16" s="25">
        <v>13</v>
      </c>
      <c r="CQ16" s="25">
        <v>0</v>
      </c>
      <c r="CR16" s="25">
        <v>13</v>
      </c>
      <c r="CS16" s="25">
        <v>13</v>
      </c>
      <c r="CT16" s="25">
        <v>13</v>
      </c>
      <c r="CU16" s="25">
        <v>13</v>
      </c>
      <c r="CV16" s="25">
        <v>13</v>
      </c>
      <c r="CW16" s="25">
        <v>13</v>
      </c>
      <c r="CX16" s="23" t="s">
        <v>44</v>
      </c>
    </row>
    <row r="17" spans="2:102" x14ac:dyDescent="0.25">
      <c r="B17" s="26">
        <f>SUM(L17:CW17)</f>
      </c>
      <c r="D17" s="27">
        <f>B17*E17</f>
      </c>
      <c r="E17" s="27">
        <f>'Rate Tables'!C8</f>
      </c>
      <c r="F17" s="8" t="s">
        <v>39</v>
      </c>
      <c r="L17" s="26">
        <f>IF(L$6="","",IF(WEEKDAY(L$6,1)=1,0,MIN(8,L16)*L15))</f>
      </c>
      <c r="M17" s="26">
        <f>IF(M$6="","",IF(WEEKDAY(M$6,1)=1,0,MIN(8,M16)*M15))</f>
      </c>
      <c r="N17" s="26">
        <f>IF(N$6="","",IF(WEEKDAY(N$6,1)=1,0,MIN(8,N16)*N15))</f>
      </c>
      <c r="O17" s="26">
        <f>IF(O$6="","",IF(WEEKDAY(O$6,1)=1,0,MIN(8,O16)*O15))</f>
      </c>
      <c r="P17" s="26">
        <f>IF(P$6="","",IF(WEEKDAY(P$6,1)=1,0,MIN(8,P16)*P15))</f>
      </c>
      <c r="Q17" s="26">
        <f>IF(Q$6="","",IF(WEEKDAY(Q$6,1)=1,0,MIN(8,Q16)*Q15))</f>
      </c>
      <c r="R17" s="26">
        <f>IF(R$6="","",IF(WEEKDAY(R$6,1)=1,0,MIN(8,R16)*R15))</f>
      </c>
      <c r="S17" s="26">
        <f>IF(S$6="","",IF(WEEKDAY(S$6,1)=1,0,MIN(8,S16)*S15))</f>
      </c>
      <c r="T17" s="26">
        <f>IF(T$6="","",IF(WEEKDAY(T$6,1)=1,0,MIN(8,T16)*T15))</f>
      </c>
      <c r="U17" s="26">
        <f>IF(U$6="","",IF(WEEKDAY(U$6,1)=1,0,MIN(8,U16)*U15))</f>
      </c>
      <c r="V17" s="26">
        <f>IF(V$6="","",IF(WEEKDAY(V$6,1)=1,0,MIN(8,V16)*V15))</f>
      </c>
      <c r="W17" s="26">
        <f>IF(W$6="","",IF(WEEKDAY(W$6,1)=1,0,MIN(8,W16)*W15))</f>
      </c>
      <c r="X17" s="26">
        <f>IF(X$6="","",IF(WEEKDAY(X$6,1)=1,0,MIN(8,X16)*X15))</f>
      </c>
      <c r="Y17" s="26">
        <f>IF(Y$6="","",IF(WEEKDAY(Y$6,1)=1,0,MIN(8,Y16)*Y15))</f>
      </c>
      <c r="Z17" s="26">
        <f>IF(Z$6="","",IF(WEEKDAY(Z$6,1)=1,0,MIN(8,Z16)*Z15))</f>
      </c>
      <c r="AA17" s="26">
        <f>IF(AA$6="","",IF(WEEKDAY(AA$6,1)=1,0,MIN(8,AA16)*AA15))</f>
      </c>
      <c r="AB17" s="26">
        <f>IF(AB$6="","",IF(WEEKDAY(AB$6,1)=1,0,MIN(8,AB16)*AB15))</f>
      </c>
      <c r="AC17" s="26">
        <f>IF(AC$6="","",IF(WEEKDAY(AC$6,1)=1,0,MIN(8,AC16)*AC15))</f>
      </c>
      <c r="AD17" s="26">
        <f>IF(AD$6="","",IF(WEEKDAY(AD$6,1)=1,0,MIN(8,AD16)*AD15))</f>
      </c>
      <c r="AE17" s="26">
        <f>IF(AE$6="","",IF(WEEKDAY(AE$6,1)=1,0,MIN(8,AE16)*AE15))</f>
      </c>
      <c r="AF17" s="26">
        <f>IF(AF$6="","",IF(WEEKDAY(AF$6,1)=1,0,MIN(8,AF16)*AF15))</f>
      </c>
      <c r="AG17" s="26">
        <f>IF(AG$6="","",IF(WEEKDAY(AG$6,1)=1,0,MIN(8,AG16)*AG15))</f>
      </c>
      <c r="AH17" s="26">
        <f>IF(AH$6="","",IF(WEEKDAY(AH$6,1)=1,0,MIN(8,AH16)*AH15))</f>
      </c>
      <c r="AI17" s="26">
        <f>IF(AI$6="","",IF(WEEKDAY(AI$6,1)=1,0,MIN(8,AI16)*AI15))</f>
      </c>
      <c r="AJ17" s="26">
        <f>IF(AJ$6="","",IF(WEEKDAY(AJ$6,1)=1,0,MIN(8,AJ16)*AJ15))</f>
      </c>
      <c r="AK17" s="26">
        <f>IF(AK$6="","",IF(WEEKDAY(AK$6,1)=1,0,MIN(8,AK16)*AK15))</f>
      </c>
      <c r="AL17" s="26">
        <f>IF(AL$6="","",IF(WEEKDAY(AL$6,1)=1,0,MIN(8,AL16)*AL15))</f>
      </c>
      <c r="AM17" s="26">
        <f>IF(AM$6="","",IF(WEEKDAY(AM$6,1)=1,0,MIN(8,AM16)*AM15))</f>
      </c>
      <c r="AN17" s="26">
        <f>IF(AN$6="","",IF(WEEKDAY(AN$6,1)=1,0,MIN(8,AN16)*AN15))</f>
      </c>
      <c r="AO17" s="26">
        <f>IF(AO$6="","",IF(WEEKDAY(AO$6,1)=1,0,MIN(8,AO16)*AO15))</f>
      </c>
      <c r="AP17" s="26">
        <f>IF(AP$6="","",IF(WEEKDAY(AP$6,1)=1,0,MIN(8,AP16)*AP15))</f>
      </c>
      <c r="AQ17" s="26">
        <f>IF(AQ$6="","",IF(WEEKDAY(AQ$6,1)=1,0,MIN(8,AQ16)*AQ15))</f>
      </c>
      <c r="AR17" s="26">
        <f>IF(AR$6="","",IF(WEEKDAY(AR$6,1)=1,0,MIN(8,AR16)*AR15))</f>
      </c>
      <c r="AS17" s="26">
        <f>IF(AS$6="","",IF(WEEKDAY(AS$6,1)=1,0,MIN(8,AS16)*AS15))</f>
      </c>
      <c r="AT17" s="26">
        <f>IF(AT$6="","",IF(WEEKDAY(AT$6,1)=1,0,MIN(8,AT16)*AT15))</f>
      </c>
      <c r="AU17" s="26">
        <f>IF(AU$6="","",IF(WEEKDAY(AU$6,1)=1,0,MIN(8,AU16)*AU15))</f>
      </c>
      <c r="AV17" s="26">
        <f>IF(AV$6="","",IF(WEEKDAY(AV$6,1)=1,0,MIN(8,AV16)*AV15))</f>
      </c>
      <c r="AW17" s="26">
        <f>IF(AW$6="","",IF(WEEKDAY(AW$6,1)=1,0,MIN(8,AW16)*AW15))</f>
      </c>
      <c r="AX17" s="26">
        <f>IF(AX$6="","",IF(WEEKDAY(AX$6,1)=1,0,MIN(8,AX16)*AX15))</f>
      </c>
      <c r="AY17" s="26">
        <f>IF(AY$6="","",IF(WEEKDAY(AY$6,1)=1,0,MIN(8,AY16)*AY15))</f>
      </c>
      <c r="AZ17" s="26">
        <f>IF(AZ$6="","",IF(WEEKDAY(AZ$6,1)=1,0,MIN(8,AZ16)*AZ15))</f>
      </c>
      <c r="BA17" s="26">
        <f>IF(BA$6="","",IF(WEEKDAY(BA$6,1)=1,0,MIN(8,BA16)*BA15))</f>
      </c>
      <c r="BB17" s="26">
        <f>IF(BB$6="","",IF(WEEKDAY(BB$6,1)=1,0,MIN(8,BB16)*BB15))</f>
      </c>
      <c r="BC17" s="26">
        <f>IF(BC$6="","",IF(WEEKDAY(BC$6,1)=1,0,MIN(8,BC16)*BC15))</f>
      </c>
      <c r="BD17" s="26">
        <f>IF(BD$6="","",IF(WEEKDAY(BD$6,1)=1,0,MIN(8,BD16)*BD15))</f>
      </c>
      <c r="BE17" s="26">
        <f>IF(BE$6="","",IF(WEEKDAY(BE$6,1)=1,0,MIN(8,BE16)*BE15))</f>
      </c>
      <c r="BF17" s="26">
        <f>IF(BF$6="","",IF(WEEKDAY(BF$6,1)=1,0,MIN(8,BF16)*BF15))</f>
      </c>
      <c r="BG17" s="26">
        <f>IF(BG$6="","",IF(WEEKDAY(BG$6,1)=1,0,MIN(8,BG16)*BG15))</f>
      </c>
      <c r="BH17" s="26">
        <f>IF(BH$6="","",IF(WEEKDAY(BH$6,1)=1,0,MIN(8,BH16)*BH15))</f>
      </c>
      <c r="BI17" s="26">
        <f>IF(BI$6="","",IF(WEEKDAY(BI$6,1)=1,0,MIN(8,BI16)*BI15))</f>
      </c>
      <c r="BJ17" s="26">
        <f>IF(BJ$6="","",IF(WEEKDAY(BJ$6,1)=1,0,MIN(8,BJ16)*BJ15))</f>
      </c>
      <c r="BK17" s="26">
        <f>IF(BK$6="","",IF(WEEKDAY(BK$6,1)=1,0,MIN(8,BK16)*BK15))</f>
      </c>
      <c r="BL17" s="26">
        <f>IF(BL$6="","",IF(WEEKDAY(BL$6,1)=1,0,MIN(8,BL16)*BL15))</f>
      </c>
      <c r="BM17" s="26">
        <f>IF(BM$6="","",IF(WEEKDAY(BM$6,1)=1,0,MIN(8,BM16)*BM15))</f>
      </c>
      <c r="BN17" s="26">
        <f>IF(BN$6="","",IF(WEEKDAY(BN$6,1)=1,0,MIN(8,BN16)*BN15))</f>
      </c>
      <c r="BO17" s="26">
        <f>IF(BO$6="","",IF(WEEKDAY(BO$6,1)=1,0,MIN(8,BO16)*BO15))</f>
      </c>
      <c r="BP17" s="26">
        <f>IF(BP$6="","",IF(WEEKDAY(BP$6,1)=1,0,MIN(8,BP16)*BP15))</f>
      </c>
      <c r="BQ17" s="26">
        <f>IF(BQ$6="","",IF(WEEKDAY(BQ$6,1)=1,0,MIN(8,BQ16)*BQ15))</f>
      </c>
      <c r="BR17" s="26">
        <f>IF(BR$6="","",IF(WEEKDAY(BR$6,1)=1,0,MIN(8,BR16)*BR15))</f>
      </c>
      <c r="BS17" s="26">
        <f>IF(BS$6="","",IF(WEEKDAY(BS$6,1)=1,0,MIN(8,BS16)*BS15))</f>
      </c>
      <c r="BT17" s="26">
        <f>IF(BT$6="","",IF(WEEKDAY(BT$6,1)=1,0,MIN(8,BT16)*BT15))</f>
      </c>
      <c r="BU17" s="26">
        <f>IF(BU$6="","",IF(WEEKDAY(BU$6,1)=1,0,MIN(8,BU16)*BU15))</f>
      </c>
      <c r="BV17" s="26">
        <f>IF(BV$6="","",IF(WEEKDAY(BV$6,1)=1,0,MIN(8,BV16)*BV15))</f>
      </c>
      <c r="BW17" s="26">
        <f>IF(BW$6="","",IF(WEEKDAY(BW$6,1)=1,0,MIN(8,BW16)*BW15))</f>
      </c>
      <c r="BX17" s="26">
        <f>IF(BX$6="","",IF(WEEKDAY(BX$6,1)=1,0,MIN(8,BX16)*BX15))</f>
      </c>
      <c r="BY17" s="26">
        <f>IF(BY$6="","",IF(WEEKDAY(BY$6,1)=1,0,MIN(8,BY16)*BY15))</f>
      </c>
      <c r="BZ17" s="26">
        <f>IF(BZ$6="","",IF(WEEKDAY(BZ$6,1)=1,0,MIN(8,BZ16)*BZ15))</f>
      </c>
      <c r="CA17" s="26">
        <f>IF(CA$6="","",IF(WEEKDAY(CA$6,1)=1,0,MIN(8,CA16)*CA15))</f>
      </c>
      <c r="CB17" s="26">
        <f>IF(CB$6="","",IF(WEEKDAY(CB$6,1)=1,0,MIN(8,CB16)*CB15))</f>
      </c>
      <c r="CC17" s="26">
        <f>IF(CC$6="","",IF(WEEKDAY(CC$6,1)=1,0,MIN(8,CC16)*CC15))</f>
      </c>
      <c r="CD17" s="26">
        <f>IF(CD$6="","",IF(WEEKDAY(CD$6,1)=1,0,MIN(8,CD16)*CD15))</f>
      </c>
      <c r="CE17" s="26">
        <f>IF(CE$6="","",IF(WEEKDAY(CE$6,1)=1,0,MIN(8,CE16)*CE15))</f>
      </c>
      <c r="CF17" s="26">
        <f>IF(CF$6="","",IF(WEEKDAY(CF$6,1)=1,0,MIN(8,CF16)*CF15))</f>
      </c>
      <c r="CG17" s="26">
        <f>IF(CG$6="","",IF(WEEKDAY(CG$6,1)=1,0,MIN(8,CG16)*CG15))</f>
      </c>
      <c r="CH17" s="26">
        <f>IF(CH$6="","",IF(WEEKDAY(CH$6,1)=1,0,MIN(8,CH16)*CH15))</f>
      </c>
      <c r="CI17" s="26">
        <f>IF(CI$6="","",IF(WEEKDAY(CI$6,1)=1,0,MIN(8,CI16)*CI15))</f>
      </c>
      <c r="CJ17" s="26">
        <f>IF(CJ$6="","",IF(WEEKDAY(CJ$6,1)=1,0,MIN(8,CJ16)*CJ15))</f>
      </c>
      <c r="CK17" s="26">
        <f>IF(CK$6="","",IF(WEEKDAY(CK$6,1)=1,0,MIN(8,CK16)*CK15))</f>
      </c>
      <c r="CL17" s="26">
        <f>IF(CL$6="","",IF(WEEKDAY(CL$6,1)=1,0,MIN(8,CL16)*CL15))</f>
      </c>
      <c r="CM17" s="26">
        <f>IF(CM$6="","",IF(WEEKDAY(CM$6,1)=1,0,MIN(8,CM16)*CM15))</f>
      </c>
      <c r="CN17" s="26">
        <f>IF(CN$6="","",IF(WEEKDAY(CN$6,1)=1,0,MIN(8,CN16)*CN15))</f>
      </c>
      <c r="CO17" s="26">
        <f>IF(CO$6="","",IF(WEEKDAY(CO$6,1)=1,0,MIN(8,CO16)*CO15))</f>
      </c>
      <c r="CP17" s="26">
        <f>IF(CP$6="","",IF(WEEKDAY(CP$6,1)=1,0,MIN(8,CP16)*CP15))</f>
      </c>
      <c r="CQ17" s="26">
        <f>IF(CQ$6="","",IF(WEEKDAY(CQ$6,1)=1,0,MIN(8,CQ16)*CQ15))</f>
      </c>
      <c r="CR17" s="26">
        <f>IF(CR$6="","",IF(WEEKDAY(CR$6,1)=1,0,MIN(8,CR16)*CR15))</f>
      </c>
      <c r="CS17" s="26">
        <f>IF(CS$6="","",IF(WEEKDAY(CS$6,1)=1,0,MIN(8,CS16)*CS15))</f>
      </c>
      <c r="CT17" s="26">
        <f>IF(CT$6="","",IF(WEEKDAY(CT$6,1)=1,0,MIN(8,CT16)*CT15))</f>
      </c>
      <c r="CU17" s="26">
        <f>IF(CU$6="","",IF(WEEKDAY(CU$6,1)=1,0,MIN(8,CU16)*CU15))</f>
      </c>
      <c r="CV17" s="26">
        <f>IF(CV$6="","",IF(WEEKDAY(CV$6,1)=1,0,MIN(8,CV16)*CV15))</f>
      </c>
      <c r="CW17" s="26">
        <f>IF(CW$6="","",IF(WEEKDAY(CW$6,1)=1,0,MIN(8,CW16)*CW15))</f>
      </c>
      <c r="CX17" s="8" t="s">
        <v>44</v>
      </c>
    </row>
    <row r="18" spans="2:102" x14ac:dyDescent="0.25">
      <c r="B18" s="26">
        <f>SUM(L18:CW18)</f>
      </c>
      <c r="D18" s="27">
        <f>B18*E18</f>
      </c>
      <c r="E18" s="27">
        <f>'Rate Tables'!D8</f>
      </c>
      <c r="F18" s="8" t="s">
        <v>40</v>
      </c>
      <c r="L18" s="26">
        <f>IF(L$6="","",IF(WEEKDAY(L$6,1)=1,0,MAX(0,L16-8)*L15))</f>
      </c>
      <c r="M18" s="26">
        <f>IF(M$6="","",IF(WEEKDAY(M$6,1)=1,0,MAX(0,M16-8)*M15))</f>
      </c>
      <c r="N18" s="26">
        <f>IF(N$6="","",IF(WEEKDAY(N$6,1)=1,0,MAX(0,N16-8)*N15))</f>
      </c>
      <c r="O18" s="26">
        <f>IF(O$6="","",IF(WEEKDAY(O$6,1)=1,0,MAX(0,O16-8)*O15))</f>
      </c>
      <c r="P18" s="26">
        <f>IF(P$6="","",IF(WEEKDAY(P$6,1)=1,0,MAX(0,P16-8)*P15))</f>
      </c>
      <c r="Q18" s="26">
        <f>IF(Q$6="","",IF(WEEKDAY(Q$6,1)=1,0,MAX(0,Q16-8)*Q15))</f>
      </c>
      <c r="R18" s="26">
        <f>IF(R$6="","",IF(WEEKDAY(R$6,1)=1,0,MAX(0,R16-8)*R15))</f>
      </c>
      <c r="S18" s="26">
        <f>IF(S$6="","",IF(WEEKDAY(S$6,1)=1,0,MAX(0,S16-8)*S15))</f>
      </c>
      <c r="T18" s="26">
        <f>IF(T$6="","",IF(WEEKDAY(T$6,1)=1,0,MAX(0,T16-8)*T15))</f>
      </c>
      <c r="U18" s="26">
        <f>IF(U$6="","",IF(WEEKDAY(U$6,1)=1,0,MAX(0,U16-8)*U15))</f>
      </c>
      <c r="V18" s="26">
        <f>IF(V$6="","",IF(WEEKDAY(V$6,1)=1,0,MAX(0,V16-8)*V15))</f>
      </c>
      <c r="W18" s="26">
        <f>IF(W$6="","",IF(WEEKDAY(W$6,1)=1,0,MAX(0,W16-8)*W15))</f>
      </c>
      <c r="X18" s="26">
        <f>IF(X$6="","",IF(WEEKDAY(X$6,1)=1,0,MAX(0,X16-8)*X15))</f>
      </c>
      <c r="Y18" s="26">
        <f>IF(Y$6="","",IF(WEEKDAY(Y$6,1)=1,0,MAX(0,Y16-8)*Y15))</f>
      </c>
      <c r="Z18" s="26">
        <f>IF(Z$6="","",IF(WEEKDAY(Z$6,1)=1,0,MAX(0,Z16-8)*Z15))</f>
      </c>
      <c r="AA18" s="26">
        <f>IF(AA$6="","",IF(WEEKDAY(AA$6,1)=1,0,MAX(0,AA16-8)*AA15))</f>
      </c>
      <c r="AB18" s="26">
        <f>IF(AB$6="","",IF(WEEKDAY(AB$6,1)=1,0,MAX(0,AB16-8)*AB15))</f>
      </c>
      <c r="AC18" s="26">
        <f>IF(AC$6="","",IF(WEEKDAY(AC$6,1)=1,0,MAX(0,AC16-8)*AC15))</f>
      </c>
      <c r="AD18" s="26">
        <f>IF(AD$6="","",IF(WEEKDAY(AD$6,1)=1,0,MAX(0,AD16-8)*AD15))</f>
      </c>
      <c r="AE18" s="26">
        <f>IF(AE$6="","",IF(WEEKDAY(AE$6,1)=1,0,MAX(0,AE16-8)*AE15))</f>
      </c>
      <c r="AF18" s="26">
        <f>IF(AF$6="","",IF(WEEKDAY(AF$6,1)=1,0,MAX(0,AF16-8)*AF15))</f>
      </c>
      <c r="AG18" s="26">
        <f>IF(AG$6="","",IF(WEEKDAY(AG$6,1)=1,0,MAX(0,AG16-8)*AG15))</f>
      </c>
      <c r="AH18" s="26">
        <f>IF(AH$6="","",IF(WEEKDAY(AH$6,1)=1,0,MAX(0,AH16-8)*AH15))</f>
      </c>
      <c r="AI18" s="26">
        <f>IF(AI$6="","",IF(WEEKDAY(AI$6,1)=1,0,MAX(0,AI16-8)*AI15))</f>
      </c>
      <c r="AJ18" s="26">
        <f>IF(AJ$6="","",IF(WEEKDAY(AJ$6,1)=1,0,MAX(0,AJ16-8)*AJ15))</f>
      </c>
      <c r="AK18" s="26">
        <f>IF(AK$6="","",IF(WEEKDAY(AK$6,1)=1,0,MAX(0,AK16-8)*AK15))</f>
      </c>
      <c r="AL18" s="26">
        <f>IF(AL$6="","",IF(WEEKDAY(AL$6,1)=1,0,MAX(0,AL16-8)*AL15))</f>
      </c>
      <c r="AM18" s="26">
        <f>IF(AM$6="","",IF(WEEKDAY(AM$6,1)=1,0,MAX(0,AM16-8)*AM15))</f>
      </c>
      <c r="AN18" s="26">
        <f>IF(AN$6="","",IF(WEEKDAY(AN$6,1)=1,0,MAX(0,AN16-8)*AN15))</f>
      </c>
      <c r="AO18" s="26">
        <f>IF(AO$6="","",IF(WEEKDAY(AO$6,1)=1,0,MAX(0,AO16-8)*AO15))</f>
      </c>
      <c r="AP18" s="26">
        <f>IF(AP$6="","",IF(WEEKDAY(AP$6,1)=1,0,MAX(0,AP16-8)*AP15))</f>
      </c>
      <c r="AQ18" s="26">
        <f>IF(AQ$6="","",IF(WEEKDAY(AQ$6,1)=1,0,MAX(0,AQ16-8)*AQ15))</f>
      </c>
      <c r="AR18" s="26">
        <f>IF(AR$6="","",IF(WEEKDAY(AR$6,1)=1,0,MAX(0,AR16-8)*AR15))</f>
      </c>
      <c r="AS18" s="26">
        <f>IF(AS$6="","",IF(WEEKDAY(AS$6,1)=1,0,MAX(0,AS16-8)*AS15))</f>
      </c>
      <c r="AT18" s="26">
        <f>IF(AT$6="","",IF(WEEKDAY(AT$6,1)=1,0,MAX(0,AT16-8)*AT15))</f>
      </c>
      <c r="AU18" s="26">
        <f>IF(AU$6="","",IF(WEEKDAY(AU$6,1)=1,0,MAX(0,AU16-8)*AU15))</f>
      </c>
      <c r="AV18" s="26">
        <f>IF(AV$6="","",IF(WEEKDAY(AV$6,1)=1,0,MAX(0,AV16-8)*AV15))</f>
      </c>
      <c r="AW18" s="26">
        <f>IF(AW$6="","",IF(WEEKDAY(AW$6,1)=1,0,MAX(0,AW16-8)*AW15))</f>
      </c>
      <c r="AX18" s="26">
        <f>IF(AX$6="","",IF(WEEKDAY(AX$6,1)=1,0,MAX(0,AX16-8)*AX15))</f>
      </c>
      <c r="AY18" s="26">
        <f>IF(AY$6="","",IF(WEEKDAY(AY$6,1)=1,0,MAX(0,AY16-8)*AY15))</f>
      </c>
      <c r="AZ18" s="26">
        <f>IF(AZ$6="","",IF(WEEKDAY(AZ$6,1)=1,0,MAX(0,AZ16-8)*AZ15))</f>
      </c>
      <c r="BA18" s="26">
        <f>IF(BA$6="","",IF(WEEKDAY(BA$6,1)=1,0,MAX(0,BA16-8)*BA15))</f>
      </c>
      <c r="BB18" s="26">
        <f>IF(BB$6="","",IF(WEEKDAY(BB$6,1)=1,0,MAX(0,BB16-8)*BB15))</f>
      </c>
      <c r="BC18" s="26">
        <f>IF(BC$6="","",IF(WEEKDAY(BC$6,1)=1,0,MAX(0,BC16-8)*BC15))</f>
      </c>
      <c r="BD18" s="26">
        <f>IF(BD$6="","",IF(WEEKDAY(BD$6,1)=1,0,MAX(0,BD16-8)*BD15))</f>
      </c>
      <c r="BE18" s="26">
        <f>IF(BE$6="","",IF(WEEKDAY(BE$6,1)=1,0,MAX(0,BE16-8)*BE15))</f>
      </c>
      <c r="BF18" s="26">
        <f>IF(BF$6="","",IF(WEEKDAY(BF$6,1)=1,0,MAX(0,BF16-8)*BF15))</f>
      </c>
      <c r="BG18" s="26">
        <f>IF(BG$6="","",IF(WEEKDAY(BG$6,1)=1,0,MAX(0,BG16-8)*BG15))</f>
      </c>
      <c r="BH18" s="26">
        <f>IF(BH$6="","",IF(WEEKDAY(BH$6,1)=1,0,MAX(0,BH16-8)*BH15))</f>
      </c>
      <c r="BI18" s="26">
        <f>IF(BI$6="","",IF(WEEKDAY(BI$6,1)=1,0,MAX(0,BI16-8)*BI15))</f>
      </c>
      <c r="BJ18" s="26">
        <f>IF(BJ$6="","",IF(WEEKDAY(BJ$6,1)=1,0,MAX(0,BJ16-8)*BJ15))</f>
      </c>
      <c r="BK18" s="26">
        <f>IF(BK$6="","",IF(WEEKDAY(BK$6,1)=1,0,MAX(0,BK16-8)*BK15))</f>
      </c>
      <c r="BL18" s="26">
        <f>IF(BL$6="","",IF(WEEKDAY(BL$6,1)=1,0,MAX(0,BL16-8)*BL15))</f>
      </c>
      <c r="BM18" s="26">
        <f>IF(BM$6="","",IF(WEEKDAY(BM$6,1)=1,0,MAX(0,BM16-8)*BM15))</f>
      </c>
      <c r="BN18" s="26">
        <f>IF(BN$6="","",IF(WEEKDAY(BN$6,1)=1,0,MAX(0,BN16-8)*BN15))</f>
      </c>
      <c r="BO18" s="26">
        <f>IF(BO$6="","",IF(WEEKDAY(BO$6,1)=1,0,MAX(0,BO16-8)*BO15))</f>
      </c>
      <c r="BP18" s="26">
        <f>IF(BP$6="","",IF(WEEKDAY(BP$6,1)=1,0,MAX(0,BP16-8)*BP15))</f>
      </c>
      <c r="BQ18" s="26">
        <f>IF(BQ$6="","",IF(WEEKDAY(BQ$6,1)=1,0,MAX(0,BQ16-8)*BQ15))</f>
      </c>
      <c r="BR18" s="26">
        <f>IF(BR$6="","",IF(WEEKDAY(BR$6,1)=1,0,MAX(0,BR16-8)*BR15))</f>
      </c>
      <c r="BS18" s="26">
        <f>IF(BS$6="","",IF(WEEKDAY(BS$6,1)=1,0,MAX(0,BS16-8)*BS15))</f>
      </c>
      <c r="BT18" s="26">
        <f>IF(BT$6="","",IF(WEEKDAY(BT$6,1)=1,0,MAX(0,BT16-8)*BT15))</f>
      </c>
      <c r="BU18" s="26">
        <f>IF(BU$6="","",IF(WEEKDAY(BU$6,1)=1,0,MAX(0,BU16-8)*BU15))</f>
      </c>
      <c r="BV18" s="26">
        <f>IF(BV$6="","",IF(WEEKDAY(BV$6,1)=1,0,MAX(0,BV16-8)*BV15))</f>
      </c>
      <c r="BW18" s="26">
        <f>IF(BW$6="","",IF(WEEKDAY(BW$6,1)=1,0,MAX(0,BW16-8)*BW15))</f>
      </c>
      <c r="BX18" s="26">
        <f>IF(BX$6="","",IF(WEEKDAY(BX$6,1)=1,0,MAX(0,BX16-8)*BX15))</f>
      </c>
      <c r="BY18" s="26">
        <f>IF(BY$6="","",IF(WEEKDAY(BY$6,1)=1,0,MAX(0,BY16-8)*BY15))</f>
      </c>
      <c r="BZ18" s="26">
        <f>IF(BZ$6="","",IF(WEEKDAY(BZ$6,1)=1,0,MAX(0,BZ16-8)*BZ15))</f>
      </c>
      <c r="CA18" s="26">
        <f>IF(CA$6="","",IF(WEEKDAY(CA$6,1)=1,0,MAX(0,CA16-8)*CA15))</f>
      </c>
      <c r="CB18" s="26">
        <f>IF(CB$6="","",IF(WEEKDAY(CB$6,1)=1,0,MAX(0,CB16-8)*CB15))</f>
      </c>
      <c r="CC18" s="26">
        <f>IF(CC$6="","",IF(WEEKDAY(CC$6,1)=1,0,MAX(0,CC16-8)*CC15))</f>
      </c>
      <c r="CD18" s="26">
        <f>IF(CD$6="","",IF(WEEKDAY(CD$6,1)=1,0,MAX(0,CD16-8)*CD15))</f>
      </c>
      <c r="CE18" s="26">
        <f>IF(CE$6="","",IF(WEEKDAY(CE$6,1)=1,0,MAX(0,CE16-8)*CE15))</f>
      </c>
      <c r="CF18" s="26">
        <f>IF(CF$6="","",IF(WEEKDAY(CF$6,1)=1,0,MAX(0,CF16-8)*CF15))</f>
      </c>
      <c r="CG18" s="26">
        <f>IF(CG$6="","",IF(WEEKDAY(CG$6,1)=1,0,MAX(0,CG16-8)*CG15))</f>
      </c>
      <c r="CH18" s="26">
        <f>IF(CH$6="","",IF(WEEKDAY(CH$6,1)=1,0,MAX(0,CH16-8)*CH15))</f>
      </c>
      <c r="CI18" s="26">
        <f>IF(CI$6="","",IF(WEEKDAY(CI$6,1)=1,0,MAX(0,CI16-8)*CI15))</f>
      </c>
      <c r="CJ18" s="26">
        <f>IF(CJ$6="","",IF(WEEKDAY(CJ$6,1)=1,0,MAX(0,CJ16-8)*CJ15))</f>
      </c>
      <c r="CK18" s="26">
        <f>IF(CK$6="","",IF(WEEKDAY(CK$6,1)=1,0,MAX(0,CK16-8)*CK15))</f>
      </c>
      <c r="CL18" s="26">
        <f>IF(CL$6="","",IF(WEEKDAY(CL$6,1)=1,0,MAX(0,CL16-8)*CL15))</f>
      </c>
      <c r="CM18" s="26">
        <f>IF(CM$6="","",IF(WEEKDAY(CM$6,1)=1,0,MAX(0,CM16-8)*CM15))</f>
      </c>
      <c r="CN18" s="26">
        <f>IF(CN$6="","",IF(WEEKDAY(CN$6,1)=1,0,MAX(0,CN16-8)*CN15))</f>
      </c>
      <c r="CO18" s="26">
        <f>IF(CO$6="","",IF(WEEKDAY(CO$6,1)=1,0,MAX(0,CO16-8)*CO15))</f>
      </c>
      <c r="CP18" s="26">
        <f>IF(CP$6="","",IF(WEEKDAY(CP$6,1)=1,0,MAX(0,CP16-8)*CP15))</f>
      </c>
      <c r="CQ18" s="26">
        <f>IF(CQ$6="","",IF(WEEKDAY(CQ$6,1)=1,0,MAX(0,CQ16-8)*CQ15))</f>
      </c>
      <c r="CR18" s="26">
        <f>IF(CR$6="","",IF(WEEKDAY(CR$6,1)=1,0,MAX(0,CR16-8)*CR15))</f>
      </c>
      <c r="CS18" s="26">
        <f>IF(CS$6="","",IF(WEEKDAY(CS$6,1)=1,0,MAX(0,CS16-8)*CS15))</f>
      </c>
      <c r="CT18" s="26">
        <f>IF(CT$6="","",IF(WEEKDAY(CT$6,1)=1,0,MAX(0,CT16-8)*CT15))</f>
      </c>
      <c r="CU18" s="26">
        <f>IF(CU$6="","",IF(WEEKDAY(CU$6,1)=1,0,MAX(0,CU16-8)*CU15))</f>
      </c>
      <c r="CV18" s="26">
        <f>IF(CV$6="","",IF(WEEKDAY(CV$6,1)=1,0,MAX(0,CV16-8)*CV15))</f>
      </c>
      <c r="CW18" s="26">
        <f>IF(CW$6="","",IF(WEEKDAY(CW$6,1)=1,0,MAX(0,CW16-8)*CW15))</f>
      </c>
      <c r="CX18" s="8" t="s">
        <v>44</v>
      </c>
    </row>
    <row r="19" spans="2:102" x14ac:dyDescent="0.25">
      <c r="B19" s="26">
        <f>SUM(L19:CW19)</f>
      </c>
      <c r="D19" s="27">
        <f>B19*E19</f>
      </c>
      <c r="E19" s="27">
        <f>'Rate Tables'!E8</f>
      </c>
      <c r="F19" s="8" t="s">
        <v>41</v>
      </c>
      <c r="L19" s="26">
        <f>IF(L$6="","",IF(WEEKDAY(L$6,1)=1,L16*L15,0))</f>
      </c>
      <c r="M19" s="26">
        <f>IF(M$6="","",IF(WEEKDAY(M$6,1)=1,M16*M15,0))</f>
      </c>
      <c r="N19" s="26">
        <f>IF(N$6="","",IF(WEEKDAY(N$6,1)=1,N16*N15,0))</f>
      </c>
      <c r="O19" s="26">
        <f>IF(O$6="","",IF(WEEKDAY(O$6,1)=1,O16*O15,0))</f>
      </c>
      <c r="P19" s="26">
        <f>IF(P$6="","",IF(WEEKDAY(P$6,1)=1,P16*P15,0))</f>
      </c>
      <c r="Q19" s="26">
        <f>IF(Q$6="","",IF(WEEKDAY(Q$6,1)=1,Q16*Q15,0))</f>
      </c>
      <c r="R19" s="26">
        <f>IF(R$6="","",IF(WEEKDAY(R$6,1)=1,R16*R15,0))</f>
      </c>
      <c r="S19" s="26">
        <f>IF(S$6="","",IF(WEEKDAY(S$6,1)=1,S16*S15,0))</f>
      </c>
      <c r="T19" s="26">
        <f>IF(T$6="","",IF(WEEKDAY(T$6,1)=1,T16*T15,0))</f>
      </c>
      <c r="U19" s="26">
        <f>IF(U$6="","",IF(WEEKDAY(U$6,1)=1,U16*U15,0))</f>
      </c>
      <c r="V19" s="26">
        <f>IF(V$6="","",IF(WEEKDAY(V$6,1)=1,V16*V15,0))</f>
      </c>
      <c r="W19" s="26">
        <f>IF(W$6="","",IF(WEEKDAY(W$6,1)=1,W16*W15,0))</f>
      </c>
      <c r="X19" s="26">
        <f>IF(X$6="","",IF(WEEKDAY(X$6,1)=1,X16*X15,0))</f>
      </c>
      <c r="Y19" s="26">
        <f>IF(Y$6="","",IF(WEEKDAY(Y$6,1)=1,Y16*Y15,0))</f>
      </c>
      <c r="Z19" s="26">
        <f>IF(Z$6="","",IF(WEEKDAY(Z$6,1)=1,Z16*Z15,0))</f>
      </c>
      <c r="AA19" s="26">
        <f>IF(AA$6="","",IF(WEEKDAY(AA$6,1)=1,AA16*AA15,0))</f>
      </c>
      <c r="AB19" s="26">
        <f>IF(AB$6="","",IF(WEEKDAY(AB$6,1)=1,AB16*AB15,0))</f>
      </c>
      <c r="AC19" s="26">
        <f>IF(AC$6="","",IF(WEEKDAY(AC$6,1)=1,AC16*AC15,0))</f>
      </c>
      <c r="AD19" s="26">
        <f>IF(AD$6="","",IF(WEEKDAY(AD$6,1)=1,AD16*AD15,0))</f>
      </c>
      <c r="AE19" s="26">
        <f>IF(AE$6="","",IF(WEEKDAY(AE$6,1)=1,AE16*AE15,0))</f>
      </c>
      <c r="AF19" s="26">
        <f>IF(AF$6="","",IF(WEEKDAY(AF$6,1)=1,AF16*AF15,0))</f>
      </c>
      <c r="AG19" s="26">
        <f>IF(AG$6="","",IF(WEEKDAY(AG$6,1)=1,AG16*AG15,0))</f>
      </c>
      <c r="AH19" s="26">
        <f>IF(AH$6="","",IF(WEEKDAY(AH$6,1)=1,AH16*AH15,0))</f>
      </c>
      <c r="AI19" s="26">
        <f>IF(AI$6="","",IF(WEEKDAY(AI$6,1)=1,AI16*AI15,0))</f>
      </c>
      <c r="AJ19" s="26">
        <f>IF(AJ$6="","",IF(WEEKDAY(AJ$6,1)=1,AJ16*AJ15,0))</f>
      </c>
      <c r="AK19" s="26">
        <f>IF(AK$6="","",IF(WEEKDAY(AK$6,1)=1,AK16*AK15,0))</f>
      </c>
      <c r="AL19" s="26">
        <f>IF(AL$6="","",IF(WEEKDAY(AL$6,1)=1,AL16*AL15,0))</f>
      </c>
      <c r="AM19" s="26">
        <f>IF(AM$6="","",IF(WEEKDAY(AM$6,1)=1,AM16*AM15,0))</f>
      </c>
      <c r="AN19" s="26">
        <f>IF(AN$6="","",IF(WEEKDAY(AN$6,1)=1,AN16*AN15,0))</f>
      </c>
      <c r="AO19" s="26">
        <f>IF(AO$6="","",IF(WEEKDAY(AO$6,1)=1,AO16*AO15,0))</f>
      </c>
      <c r="AP19" s="26">
        <f>IF(AP$6="","",IF(WEEKDAY(AP$6,1)=1,AP16*AP15,0))</f>
      </c>
      <c r="AQ19" s="26">
        <f>IF(AQ$6="","",IF(WEEKDAY(AQ$6,1)=1,AQ16*AQ15,0))</f>
      </c>
      <c r="AR19" s="26">
        <f>IF(AR$6="","",IF(WEEKDAY(AR$6,1)=1,AR16*AR15,0))</f>
      </c>
      <c r="AS19" s="26">
        <f>IF(AS$6="","",IF(WEEKDAY(AS$6,1)=1,AS16*AS15,0))</f>
      </c>
      <c r="AT19" s="26">
        <f>IF(AT$6="","",IF(WEEKDAY(AT$6,1)=1,AT16*AT15,0))</f>
      </c>
      <c r="AU19" s="26">
        <f>IF(AU$6="","",IF(WEEKDAY(AU$6,1)=1,AU16*AU15,0))</f>
      </c>
      <c r="AV19" s="26">
        <f>IF(AV$6="","",IF(WEEKDAY(AV$6,1)=1,AV16*AV15,0))</f>
      </c>
      <c r="AW19" s="26">
        <f>IF(AW$6="","",IF(WEEKDAY(AW$6,1)=1,AW16*AW15,0))</f>
      </c>
      <c r="AX19" s="26">
        <f>IF(AX$6="","",IF(WEEKDAY(AX$6,1)=1,AX16*AX15,0))</f>
      </c>
      <c r="AY19" s="26">
        <f>IF(AY$6="","",IF(WEEKDAY(AY$6,1)=1,AY16*AY15,0))</f>
      </c>
      <c r="AZ19" s="26">
        <f>IF(AZ$6="","",IF(WEEKDAY(AZ$6,1)=1,AZ16*AZ15,0))</f>
      </c>
      <c r="BA19" s="26">
        <f>IF(BA$6="","",IF(WEEKDAY(BA$6,1)=1,BA16*BA15,0))</f>
      </c>
      <c r="BB19" s="26">
        <f>IF(BB$6="","",IF(WEEKDAY(BB$6,1)=1,BB16*BB15,0))</f>
      </c>
      <c r="BC19" s="26">
        <f>IF(BC$6="","",IF(WEEKDAY(BC$6,1)=1,BC16*BC15,0))</f>
      </c>
      <c r="BD19" s="26">
        <f>IF(BD$6="","",IF(WEEKDAY(BD$6,1)=1,BD16*BD15,0))</f>
      </c>
      <c r="BE19" s="26">
        <f>IF(BE$6="","",IF(WEEKDAY(BE$6,1)=1,BE16*BE15,0))</f>
      </c>
      <c r="BF19" s="26">
        <f>IF(BF$6="","",IF(WEEKDAY(BF$6,1)=1,BF16*BF15,0))</f>
      </c>
      <c r="BG19" s="26">
        <f>IF(BG$6="","",IF(WEEKDAY(BG$6,1)=1,BG16*BG15,0))</f>
      </c>
      <c r="BH19" s="26">
        <f>IF(BH$6="","",IF(WEEKDAY(BH$6,1)=1,BH16*BH15,0))</f>
      </c>
      <c r="BI19" s="26">
        <f>IF(BI$6="","",IF(WEEKDAY(BI$6,1)=1,BI16*BI15,0))</f>
      </c>
      <c r="BJ19" s="26">
        <f>IF(BJ$6="","",IF(WEEKDAY(BJ$6,1)=1,BJ16*BJ15,0))</f>
      </c>
      <c r="BK19" s="26">
        <f>IF(BK$6="","",IF(WEEKDAY(BK$6,1)=1,BK16*BK15,0))</f>
      </c>
      <c r="BL19" s="26">
        <f>IF(BL$6="","",IF(WEEKDAY(BL$6,1)=1,BL16*BL15,0))</f>
      </c>
      <c r="BM19" s="26">
        <f>IF(BM$6="","",IF(WEEKDAY(BM$6,1)=1,BM16*BM15,0))</f>
      </c>
      <c r="BN19" s="26">
        <f>IF(BN$6="","",IF(WEEKDAY(BN$6,1)=1,BN16*BN15,0))</f>
      </c>
      <c r="BO19" s="26">
        <f>IF(BO$6="","",IF(WEEKDAY(BO$6,1)=1,BO16*BO15,0))</f>
      </c>
      <c r="BP19" s="26">
        <f>IF(BP$6="","",IF(WEEKDAY(BP$6,1)=1,BP16*BP15,0))</f>
      </c>
      <c r="BQ19" s="26">
        <f>IF(BQ$6="","",IF(WEEKDAY(BQ$6,1)=1,BQ16*BQ15,0))</f>
      </c>
      <c r="BR19" s="26">
        <f>IF(BR$6="","",IF(WEEKDAY(BR$6,1)=1,BR16*BR15,0))</f>
      </c>
      <c r="BS19" s="26">
        <f>IF(BS$6="","",IF(WEEKDAY(BS$6,1)=1,BS16*BS15,0))</f>
      </c>
      <c r="BT19" s="26">
        <f>IF(BT$6="","",IF(WEEKDAY(BT$6,1)=1,BT16*BT15,0))</f>
      </c>
      <c r="BU19" s="26">
        <f>IF(BU$6="","",IF(WEEKDAY(BU$6,1)=1,BU16*BU15,0))</f>
      </c>
      <c r="BV19" s="26">
        <f>IF(BV$6="","",IF(WEEKDAY(BV$6,1)=1,BV16*BV15,0))</f>
      </c>
      <c r="BW19" s="26">
        <f>IF(BW$6="","",IF(WEEKDAY(BW$6,1)=1,BW16*BW15,0))</f>
      </c>
      <c r="BX19" s="26">
        <f>IF(BX$6="","",IF(WEEKDAY(BX$6,1)=1,BX16*BX15,0))</f>
      </c>
      <c r="BY19" s="26">
        <f>IF(BY$6="","",IF(WEEKDAY(BY$6,1)=1,BY16*BY15,0))</f>
      </c>
      <c r="BZ19" s="26">
        <f>IF(BZ$6="","",IF(WEEKDAY(BZ$6,1)=1,BZ16*BZ15,0))</f>
      </c>
      <c r="CA19" s="26">
        <f>IF(CA$6="","",IF(WEEKDAY(CA$6,1)=1,CA16*CA15,0))</f>
      </c>
      <c r="CB19" s="26">
        <f>IF(CB$6="","",IF(WEEKDAY(CB$6,1)=1,CB16*CB15,0))</f>
      </c>
      <c r="CC19" s="26">
        <f>IF(CC$6="","",IF(WEEKDAY(CC$6,1)=1,CC16*CC15,0))</f>
      </c>
      <c r="CD19" s="26">
        <f>IF(CD$6="","",IF(WEEKDAY(CD$6,1)=1,CD16*CD15,0))</f>
      </c>
      <c r="CE19" s="26">
        <f>IF(CE$6="","",IF(WEEKDAY(CE$6,1)=1,CE16*CE15,0))</f>
      </c>
      <c r="CF19" s="26">
        <f>IF(CF$6="","",IF(WEEKDAY(CF$6,1)=1,CF16*CF15,0))</f>
      </c>
      <c r="CG19" s="26">
        <f>IF(CG$6="","",IF(WEEKDAY(CG$6,1)=1,CG16*CG15,0))</f>
      </c>
      <c r="CH19" s="26">
        <f>IF(CH$6="","",IF(WEEKDAY(CH$6,1)=1,CH16*CH15,0))</f>
      </c>
      <c r="CI19" s="26">
        <f>IF(CI$6="","",IF(WEEKDAY(CI$6,1)=1,CI16*CI15,0))</f>
      </c>
      <c r="CJ19" s="26">
        <f>IF(CJ$6="","",IF(WEEKDAY(CJ$6,1)=1,CJ16*CJ15,0))</f>
      </c>
      <c r="CK19" s="26">
        <f>IF(CK$6="","",IF(WEEKDAY(CK$6,1)=1,CK16*CK15,0))</f>
      </c>
      <c r="CL19" s="26">
        <f>IF(CL$6="","",IF(WEEKDAY(CL$6,1)=1,CL16*CL15,0))</f>
      </c>
      <c r="CM19" s="26">
        <f>IF(CM$6="","",IF(WEEKDAY(CM$6,1)=1,CM16*CM15,0))</f>
      </c>
      <c r="CN19" s="26">
        <f>IF(CN$6="","",IF(WEEKDAY(CN$6,1)=1,CN16*CN15,0))</f>
      </c>
      <c r="CO19" s="26">
        <f>IF(CO$6="","",IF(WEEKDAY(CO$6,1)=1,CO16*CO15,0))</f>
      </c>
      <c r="CP19" s="26">
        <f>IF(CP$6="","",IF(WEEKDAY(CP$6,1)=1,CP16*CP15,0))</f>
      </c>
      <c r="CQ19" s="26">
        <f>IF(CQ$6="","",IF(WEEKDAY(CQ$6,1)=1,CQ16*CQ15,0))</f>
      </c>
      <c r="CR19" s="26">
        <f>IF(CR$6="","",IF(WEEKDAY(CR$6,1)=1,CR16*CR15,0))</f>
      </c>
      <c r="CS19" s="26">
        <f>IF(CS$6="","",IF(WEEKDAY(CS$6,1)=1,CS16*CS15,0))</f>
      </c>
      <c r="CT19" s="26">
        <f>IF(CT$6="","",IF(WEEKDAY(CT$6,1)=1,CT16*CT15,0))</f>
      </c>
      <c r="CU19" s="26">
        <f>IF(CU$6="","",IF(WEEKDAY(CU$6,1)=1,CU16*CU15,0))</f>
      </c>
      <c r="CV19" s="26">
        <f>IF(CV$6="","",IF(WEEKDAY(CV$6,1)=1,CV16*CV15,0))</f>
      </c>
      <c r="CW19" s="26">
        <f>IF(CW$6="","",IF(WEEKDAY(CW$6,1)=1,CW16*CW15,0))</f>
      </c>
      <c r="CX19" s="8" t="s">
        <v>44</v>
      </c>
    </row>
    <row r="20" spans="2:102" x14ac:dyDescent="0.25">
      <c r="B20" s="26">
        <f>SUM(L20:CW20)</f>
      </c>
      <c r="D20" s="27">
        <f>B20*E20</f>
      </c>
      <c r="E20" s="27">
        <v>140</v>
      </c>
      <c r="F20" s="8" t="s">
        <v>42</v>
      </c>
      <c r="L20" s="28">
        <v>1</v>
      </c>
      <c r="M20" s="28">
        <v>1</v>
      </c>
      <c r="N20" s="28">
        <v>1</v>
      </c>
      <c r="O20" s="28">
        <v>1</v>
      </c>
      <c r="P20" s="28">
        <v>1</v>
      </c>
      <c r="Q20" s="28">
        <v>0</v>
      </c>
      <c r="R20" s="28">
        <v>0</v>
      </c>
      <c r="S20" s="28">
        <v>1</v>
      </c>
      <c r="T20" s="28">
        <v>1</v>
      </c>
      <c r="U20" s="28">
        <v>1</v>
      </c>
      <c r="V20" s="28">
        <v>1</v>
      </c>
      <c r="W20" s="28">
        <v>1</v>
      </c>
      <c r="X20" s="28">
        <v>0</v>
      </c>
      <c r="Y20" s="28">
        <v>0</v>
      </c>
      <c r="Z20" s="28">
        <v>1</v>
      </c>
      <c r="AA20" s="28">
        <v>1</v>
      </c>
      <c r="AB20" s="28">
        <v>1</v>
      </c>
      <c r="AC20" s="28">
        <v>1</v>
      </c>
      <c r="AD20" s="28">
        <v>1</v>
      </c>
      <c r="AE20" s="28">
        <v>0</v>
      </c>
      <c r="AF20" s="28">
        <v>0</v>
      </c>
      <c r="AG20" s="28">
        <v>1</v>
      </c>
      <c r="AH20" s="28">
        <v>1</v>
      </c>
      <c r="AI20" s="28">
        <v>1</v>
      </c>
      <c r="AJ20" s="28">
        <v>1</v>
      </c>
      <c r="AK20" s="28">
        <v>1</v>
      </c>
      <c r="AL20" s="28">
        <v>0</v>
      </c>
      <c r="AM20" s="28">
        <v>0</v>
      </c>
      <c r="AN20" s="28">
        <v>1</v>
      </c>
      <c r="AO20" s="28">
        <v>1</v>
      </c>
      <c r="AP20" s="28">
        <v>1</v>
      </c>
      <c r="AQ20" s="28">
        <v>1</v>
      </c>
      <c r="AR20" s="28">
        <v>1</v>
      </c>
      <c r="AS20" s="28">
        <v>0</v>
      </c>
      <c r="AT20" s="28">
        <v>0</v>
      </c>
      <c r="AU20" s="28">
        <v>1</v>
      </c>
      <c r="AV20" s="28">
        <v>1</v>
      </c>
      <c r="AW20" s="28">
        <v>1</v>
      </c>
      <c r="AX20" s="28">
        <v>1</v>
      </c>
      <c r="AY20" s="28">
        <v>1</v>
      </c>
      <c r="AZ20" s="28">
        <v>0</v>
      </c>
      <c r="BA20" s="28">
        <v>0</v>
      </c>
      <c r="BB20" s="28">
        <v>1</v>
      </c>
      <c r="BC20" s="28">
        <v>1</v>
      </c>
      <c r="BD20" s="28">
        <v>1</v>
      </c>
      <c r="BE20" s="28">
        <v>1</v>
      </c>
      <c r="BF20" s="28">
        <v>1</v>
      </c>
      <c r="BG20" s="28">
        <v>0</v>
      </c>
      <c r="BH20" s="28">
        <v>0</v>
      </c>
      <c r="BI20" s="28">
        <v>1</v>
      </c>
      <c r="BJ20" s="28">
        <v>1</v>
      </c>
      <c r="BK20" s="28">
        <v>1</v>
      </c>
      <c r="BL20" s="28">
        <v>1</v>
      </c>
      <c r="BM20" s="28">
        <v>1</v>
      </c>
      <c r="BN20" s="28">
        <v>1</v>
      </c>
      <c r="BO20" s="28">
        <v>1</v>
      </c>
      <c r="BP20" s="28">
        <v>1</v>
      </c>
      <c r="BQ20" s="28">
        <v>1</v>
      </c>
      <c r="BR20" s="28">
        <v>1</v>
      </c>
      <c r="BS20" s="28">
        <v>1</v>
      </c>
      <c r="BT20" s="28">
        <v>1</v>
      </c>
      <c r="BU20" s="28">
        <v>1</v>
      </c>
      <c r="BV20" s="28">
        <v>1</v>
      </c>
      <c r="BW20" s="28">
        <v>1</v>
      </c>
      <c r="BX20" s="28">
        <v>1</v>
      </c>
      <c r="BY20" s="28">
        <v>1</v>
      </c>
      <c r="BZ20" s="28">
        <v>1</v>
      </c>
      <c r="CA20" s="28">
        <v>1</v>
      </c>
      <c r="CB20" s="28">
        <v>1</v>
      </c>
      <c r="CC20" s="28">
        <v>0</v>
      </c>
      <c r="CD20" s="28">
        <v>1</v>
      </c>
      <c r="CE20" s="28">
        <v>1</v>
      </c>
      <c r="CF20" s="28">
        <v>1</v>
      </c>
      <c r="CG20" s="28">
        <v>1</v>
      </c>
      <c r="CH20" s="28">
        <v>1</v>
      </c>
      <c r="CI20" s="28">
        <v>1</v>
      </c>
      <c r="CJ20" s="28">
        <v>1</v>
      </c>
      <c r="CK20" s="28">
        <v>1</v>
      </c>
      <c r="CL20" s="28">
        <v>1</v>
      </c>
      <c r="CM20" s="28">
        <v>1</v>
      </c>
      <c r="CN20" s="28">
        <v>1</v>
      </c>
      <c r="CO20" s="28">
        <v>1</v>
      </c>
      <c r="CP20" s="28">
        <v>1</v>
      </c>
      <c r="CQ20" s="28">
        <v>0</v>
      </c>
      <c r="CR20" s="28">
        <v>1</v>
      </c>
      <c r="CS20" s="28">
        <v>1</v>
      </c>
      <c r="CT20" s="28">
        <v>1</v>
      </c>
      <c r="CU20" s="28">
        <v>1</v>
      </c>
      <c r="CV20" s="28">
        <v>1</v>
      </c>
      <c r="CW20" s="28">
        <v>1</v>
      </c>
      <c r="CX20" s="8" t="s">
        <v>44</v>
      </c>
    </row>
    <row r="21" spans="1:102" x14ac:dyDescent="0.25">
      <c r="A21" s="20" t="s">
        <v>32</v>
      </c>
      <c r="B21" s="21">
        <f>G21+H21+I21</f>
      </c>
      <c r="C21" s="20" t="s">
        <v>45</v>
      </c>
      <c r="D21" s="22">
        <f>K21</f>
      </c>
      <c r="F21" s="20" t="s">
        <v>34</v>
      </c>
      <c r="G21" s="21">
        <f>B24</f>
      </c>
      <c r="H21" s="21">
        <f>B25</f>
      </c>
      <c r="I21" s="21">
        <f>B26</f>
      </c>
      <c r="J21" s="21">
        <f>B27</f>
      </c>
      <c r="K21" s="22">
        <f>D24+D25+D26</f>
      </c>
      <c r="CX21" s="20" t="s">
        <v>46</v>
      </c>
    </row>
    <row r="22" spans="6:102" x14ac:dyDescent="0.25">
      <c r="F22" s="23" t="s">
        <v>36</v>
      </c>
      <c r="L22" s="24">
        <v>1</v>
      </c>
      <c r="M22" s="24">
        <v>1</v>
      </c>
      <c r="N22" s="24">
        <v>1</v>
      </c>
      <c r="O22" s="24">
        <v>1</v>
      </c>
      <c r="P22" s="24">
        <v>1</v>
      </c>
      <c r="Q22" s="24">
        <v>0</v>
      </c>
      <c r="R22" s="24">
        <v>0</v>
      </c>
      <c r="S22" s="24">
        <v>1</v>
      </c>
      <c r="T22" s="24">
        <v>1</v>
      </c>
      <c r="U22" s="24">
        <v>1</v>
      </c>
      <c r="V22" s="24">
        <v>1</v>
      </c>
      <c r="W22" s="24">
        <v>1</v>
      </c>
      <c r="X22" s="24">
        <v>0</v>
      </c>
      <c r="Y22" s="24">
        <v>0</v>
      </c>
      <c r="Z22" s="24">
        <v>1</v>
      </c>
      <c r="AA22" s="24">
        <v>1</v>
      </c>
      <c r="AB22" s="24">
        <v>1</v>
      </c>
      <c r="AC22" s="24">
        <v>1</v>
      </c>
      <c r="AD22" s="24">
        <v>1</v>
      </c>
      <c r="AE22" s="24">
        <v>0</v>
      </c>
      <c r="AF22" s="24">
        <v>0</v>
      </c>
      <c r="AG22" s="24">
        <v>1</v>
      </c>
      <c r="AH22" s="24">
        <v>1</v>
      </c>
      <c r="AI22" s="24">
        <v>1</v>
      </c>
      <c r="AJ22" s="24">
        <v>1</v>
      </c>
      <c r="AK22" s="24">
        <v>1</v>
      </c>
      <c r="AL22" s="24">
        <v>0</v>
      </c>
      <c r="AM22" s="24">
        <v>0</v>
      </c>
      <c r="AN22" s="24">
        <v>1</v>
      </c>
      <c r="AO22" s="24">
        <v>1</v>
      </c>
      <c r="AP22" s="24">
        <v>1</v>
      </c>
      <c r="AQ22" s="24">
        <v>1</v>
      </c>
      <c r="AR22" s="24">
        <v>1</v>
      </c>
      <c r="AS22" s="24">
        <v>0</v>
      </c>
      <c r="AT22" s="24">
        <v>0</v>
      </c>
      <c r="AU22" s="24">
        <v>1</v>
      </c>
      <c r="AV22" s="24">
        <v>1</v>
      </c>
      <c r="AW22" s="24">
        <v>1</v>
      </c>
      <c r="AX22" s="24">
        <v>1</v>
      </c>
      <c r="AY22" s="24">
        <v>1</v>
      </c>
      <c r="AZ22" s="24">
        <v>0</v>
      </c>
      <c r="BA22" s="24">
        <v>0</v>
      </c>
      <c r="BB22" s="24">
        <v>1</v>
      </c>
      <c r="BC22" s="24">
        <v>1</v>
      </c>
      <c r="BD22" s="24">
        <v>1</v>
      </c>
      <c r="BE22" s="24">
        <v>1</v>
      </c>
      <c r="BF22" s="24">
        <v>1</v>
      </c>
      <c r="BG22" s="24">
        <v>0</v>
      </c>
      <c r="BH22" s="24">
        <v>0</v>
      </c>
      <c r="BI22" s="24">
        <v>1</v>
      </c>
      <c r="BJ22" s="24">
        <v>1</v>
      </c>
      <c r="BK22" s="24">
        <v>1</v>
      </c>
      <c r="BL22" s="24">
        <v>1</v>
      </c>
      <c r="BM22" s="24">
        <v>1</v>
      </c>
      <c r="BN22" s="24">
        <v>1</v>
      </c>
      <c r="BO22" s="24">
        <v>1</v>
      </c>
      <c r="BP22" s="24">
        <v>1</v>
      </c>
      <c r="BQ22" s="24">
        <v>1</v>
      </c>
      <c r="BR22" s="24">
        <v>1</v>
      </c>
      <c r="BS22" s="24">
        <v>1</v>
      </c>
      <c r="BT22" s="24">
        <v>1</v>
      </c>
      <c r="BU22" s="24">
        <v>1</v>
      </c>
      <c r="BV22" s="24">
        <v>1</v>
      </c>
      <c r="BW22" s="24">
        <v>1</v>
      </c>
      <c r="BX22" s="24">
        <v>1</v>
      </c>
      <c r="BY22" s="24">
        <v>1</v>
      </c>
      <c r="BZ22" s="24">
        <v>1</v>
      </c>
      <c r="CA22" s="24">
        <v>1</v>
      </c>
      <c r="CB22" s="24">
        <v>1</v>
      </c>
      <c r="CC22" s="24">
        <v>0</v>
      </c>
      <c r="CD22" s="24">
        <v>1</v>
      </c>
      <c r="CE22" s="24">
        <v>1</v>
      </c>
      <c r="CF22" s="24">
        <v>1</v>
      </c>
      <c r="CG22" s="24">
        <v>1</v>
      </c>
      <c r="CH22" s="24">
        <v>1</v>
      </c>
      <c r="CI22" s="24">
        <v>1</v>
      </c>
      <c r="CJ22" s="24">
        <v>1</v>
      </c>
      <c r="CK22" s="24">
        <v>1</v>
      </c>
      <c r="CL22" s="24">
        <v>1</v>
      </c>
      <c r="CM22" s="24">
        <v>1</v>
      </c>
      <c r="CN22" s="24">
        <v>1</v>
      </c>
      <c r="CO22" s="24">
        <v>1</v>
      </c>
      <c r="CP22" s="24">
        <v>1</v>
      </c>
      <c r="CQ22" s="24">
        <v>0</v>
      </c>
      <c r="CR22" s="24">
        <v>1</v>
      </c>
      <c r="CS22" s="24">
        <v>1</v>
      </c>
      <c r="CT22" s="24">
        <v>1</v>
      </c>
      <c r="CU22" s="24">
        <v>1</v>
      </c>
      <c r="CV22" s="24">
        <v>1</v>
      </c>
      <c r="CW22" s="24">
        <v>1</v>
      </c>
      <c r="CX22" s="23" t="s">
        <v>46</v>
      </c>
    </row>
    <row r="23" spans="1:102" x14ac:dyDescent="0.25">
      <c r="A23" s="23" t="s">
        <v>37</v>
      </c>
      <c r="F23" s="23" t="s">
        <v>38</v>
      </c>
      <c r="L23" s="25">
        <v>9</v>
      </c>
      <c r="M23" s="25">
        <v>9</v>
      </c>
      <c r="N23" s="25">
        <v>9</v>
      </c>
      <c r="O23" s="25">
        <v>9</v>
      </c>
      <c r="P23" s="25">
        <v>9</v>
      </c>
      <c r="Q23" s="25">
        <v>0</v>
      </c>
      <c r="R23" s="25">
        <v>0</v>
      </c>
      <c r="S23" s="25">
        <v>9</v>
      </c>
      <c r="T23" s="25">
        <v>9</v>
      </c>
      <c r="U23" s="25">
        <v>9</v>
      </c>
      <c r="V23" s="25">
        <v>9</v>
      </c>
      <c r="W23" s="25">
        <v>9</v>
      </c>
      <c r="X23" s="25">
        <v>0</v>
      </c>
      <c r="Y23" s="25">
        <v>0</v>
      </c>
      <c r="Z23" s="25">
        <v>9</v>
      </c>
      <c r="AA23" s="25">
        <v>9</v>
      </c>
      <c r="AB23" s="25">
        <v>9</v>
      </c>
      <c r="AC23" s="25">
        <v>9</v>
      </c>
      <c r="AD23" s="25">
        <v>9</v>
      </c>
      <c r="AE23" s="25">
        <v>0</v>
      </c>
      <c r="AF23" s="25">
        <v>0</v>
      </c>
      <c r="AG23" s="25">
        <v>9</v>
      </c>
      <c r="AH23" s="25">
        <v>9</v>
      </c>
      <c r="AI23" s="25">
        <v>9</v>
      </c>
      <c r="AJ23" s="25">
        <v>9</v>
      </c>
      <c r="AK23" s="25">
        <v>9</v>
      </c>
      <c r="AL23" s="25">
        <v>0</v>
      </c>
      <c r="AM23" s="25">
        <v>0</v>
      </c>
      <c r="AN23" s="25">
        <v>9</v>
      </c>
      <c r="AO23" s="25">
        <v>9</v>
      </c>
      <c r="AP23" s="25">
        <v>9</v>
      </c>
      <c r="AQ23" s="25">
        <v>9</v>
      </c>
      <c r="AR23" s="25">
        <v>9</v>
      </c>
      <c r="AS23" s="25">
        <v>0</v>
      </c>
      <c r="AT23" s="25">
        <v>0</v>
      </c>
      <c r="AU23" s="25">
        <v>9</v>
      </c>
      <c r="AV23" s="25">
        <v>9</v>
      </c>
      <c r="AW23" s="25">
        <v>9</v>
      </c>
      <c r="AX23" s="25">
        <v>9</v>
      </c>
      <c r="AY23" s="25">
        <v>9</v>
      </c>
      <c r="AZ23" s="25">
        <v>0</v>
      </c>
      <c r="BA23" s="25">
        <v>0</v>
      </c>
      <c r="BB23" s="25">
        <v>9</v>
      </c>
      <c r="BC23" s="25">
        <v>9</v>
      </c>
      <c r="BD23" s="25">
        <v>9</v>
      </c>
      <c r="BE23" s="25">
        <v>9</v>
      </c>
      <c r="BF23" s="25">
        <v>9</v>
      </c>
      <c r="BG23" s="25">
        <v>0</v>
      </c>
      <c r="BH23" s="25">
        <v>0</v>
      </c>
      <c r="BI23" s="25">
        <v>13</v>
      </c>
      <c r="BJ23" s="25">
        <v>13</v>
      </c>
      <c r="BK23" s="25">
        <v>13</v>
      </c>
      <c r="BL23" s="25">
        <v>13</v>
      </c>
      <c r="BM23" s="25">
        <v>13</v>
      </c>
      <c r="BN23" s="25">
        <v>13</v>
      </c>
      <c r="BO23" s="25">
        <v>13</v>
      </c>
      <c r="BP23" s="25">
        <v>13</v>
      </c>
      <c r="BQ23" s="25">
        <v>13</v>
      </c>
      <c r="BR23" s="25">
        <v>13</v>
      </c>
      <c r="BS23" s="25">
        <v>13</v>
      </c>
      <c r="BT23" s="25">
        <v>13</v>
      </c>
      <c r="BU23" s="25">
        <v>13</v>
      </c>
      <c r="BV23" s="25">
        <v>13</v>
      </c>
      <c r="BW23" s="25">
        <v>13</v>
      </c>
      <c r="BX23" s="25">
        <v>13</v>
      </c>
      <c r="BY23" s="25">
        <v>13</v>
      </c>
      <c r="BZ23" s="25">
        <v>13</v>
      </c>
      <c r="CA23" s="25">
        <v>13</v>
      </c>
      <c r="CB23" s="25">
        <v>13</v>
      </c>
      <c r="CC23" s="25">
        <v>0</v>
      </c>
      <c r="CD23" s="25">
        <v>13</v>
      </c>
      <c r="CE23" s="25">
        <v>13</v>
      </c>
      <c r="CF23" s="25">
        <v>13</v>
      </c>
      <c r="CG23" s="25">
        <v>13</v>
      </c>
      <c r="CH23" s="25">
        <v>13</v>
      </c>
      <c r="CI23" s="25">
        <v>13</v>
      </c>
      <c r="CJ23" s="25">
        <v>13</v>
      </c>
      <c r="CK23" s="25">
        <v>13</v>
      </c>
      <c r="CL23" s="25">
        <v>13</v>
      </c>
      <c r="CM23" s="25">
        <v>13</v>
      </c>
      <c r="CN23" s="25">
        <v>13</v>
      </c>
      <c r="CO23" s="25">
        <v>13</v>
      </c>
      <c r="CP23" s="25">
        <v>13</v>
      </c>
      <c r="CQ23" s="25">
        <v>0</v>
      </c>
      <c r="CR23" s="25">
        <v>13</v>
      </c>
      <c r="CS23" s="25">
        <v>13</v>
      </c>
      <c r="CT23" s="25">
        <v>13</v>
      </c>
      <c r="CU23" s="25">
        <v>13</v>
      </c>
      <c r="CV23" s="25">
        <v>13</v>
      </c>
      <c r="CW23" s="25">
        <v>13</v>
      </c>
      <c r="CX23" s="23" t="s">
        <v>46</v>
      </c>
    </row>
    <row r="24" spans="2:102" x14ac:dyDescent="0.25">
      <c r="B24" s="26">
        <f>SUM(L24:CW24)</f>
      </c>
      <c r="D24" s="27">
        <f>B24*E24</f>
      </c>
      <c r="E24" s="27">
        <f>'Rate Tables'!C9</f>
      </c>
      <c r="F24" s="8" t="s">
        <v>39</v>
      </c>
      <c r="L24" s="26">
        <f>IF(L$6="","",IF(WEEKDAY(L$6,1)=1,0,MIN(8,L23)*L22))</f>
      </c>
      <c r="M24" s="26">
        <f>IF(M$6="","",IF(WEEKDAY(M$6,1)=1,0,MIN(8,M23)*M22))</f>
      </c>
      <c r="N24" s="26">
        <f>IF(N$6="","",IF(WEEKDAY(N$6,1)=1,0,MIN(8,N23)*N22))</f>
      </c>
      <c r="O24" s="26">
        <f>IF(O$6="","",IF(WEEKDAY(O$6,1)=1,0,MIN(8,O23)*O22))</f>
      </c>
      <c r="P24" s="26">
        <f>IF(P$6="","",IF(WEEKDAY(P$6,1)=1,0,MIN(8,P23)*P22))</f>
      </c>
      <c r="Q24" s="26">
        <f>IF(Q$6="","",IF(WEEKDAY(Q$6,1)=1,0,MIN(8,Q23)*Q22))</f>
      </c>
      <c r="R24" s="26">
        <f>IF(R$6="","",IF(WEEKDAY(R$6,1)=1,0,MIN(8,R23)*R22))</f>
      </c>
      <c r="S24" s="26">
        <f>IF(S$6="","",IF(WEEKDAY(S$6,1)=1,0,MIN(8,S23)*S22))</f>
      </c>
      <c r="T24" s="26">
        <f>IF(T$6="","",IF(WEEKDAY(T$6,1)=1,0,MIN(8,T23)*T22))</f>
      </c>
      <c r="U24" s="26">
        <f>IF(U$6="","",IF(WEEKDAY(U$6,1)=1,0,MIN(8,U23)*U22))</f>
      </c>
      <c r="V24" s="26">
        <f>IF(V$6="","",IF(WEEKDAY(V$6,1)=1,0,MIN(8,V23)*V22))</f>
      </c>
      <c r="W24" s="26">
        <f>IF(W$6="","",IF(WEEKDAY(W$6,1)=1,0,MIN(8,W23)*W22))</f>
      </c>
      <c r="X24" s="26">
        <f>IF(X$6="","",IF(WEEKDAY(X$6,1)=1,0,MIN(8,X23)*X22))</f>
      </c>
      <c r="Y24" s="26">
        <f>IF(Y$6="","",IF(WEEKDAY(Y$6,1)=1,0,MIN(8,Y23)*Y22))</f>
      </c>
      <c r="Z24" s="26">
        <f>IF(Z$6="","",IF(WEEKDAY(Z$6,1)=1,0,MIN(8,Z23)*Z22))</f>
      </c>
      <c r="AA24" s="26">
        <f>IF(AA$6="","",IF(WEEKDAY(AA$6,1)=1,0,MIN(8,AA23)*AA22))</f>
      </c>
      <c r="AB24" s="26">
        <f>IF(AB$6="","",IF(WEEKDAY(AB$6,1)=1,0,MIN(8,AB23)*AB22))</f>
      </c>
      <c r="AC24" s="26">
        <f>IF(AC$6="","",IF(WEEKDAY(AC$6,1)=1,0,MIN(8,AC23)*AC22))</f>
      </c>
      <c r="AD24" s="26">
        <f>IF(AD$6="","",IF(WEEKDAY(AD$6,1)=1,0,MIN(8,AD23)*AD22))</f>
      </c>
      <c r="AE24" s="26">
        <f>IF(AE$6="","",IF(WEEKDAY(AE$6,1)=1,0,MIN(8,AE23)*AE22))</f>
      </c>
      <c r="AF24" s="26">
        <f>IF(AF$6="","",IF(WEEKDAY(AF$6,1)=1,0,MIN(8,AF23)*AF22))</f>
      </c>
      <c r="AG24" s="26">
        <f>IF(AG$6="","",IF(WEEKDAY(AG$6,1)=1,0,MIN(8,AG23)*AG22))</f>
      </c>
      <c r="AH24" s="26">
        <f>IF(AH$6="","",IF(WEEKDAY(AH$6,1)=1,0,MIN(8,AH23)*AH22))</f>
      </c>
      <c r="AI24" s="26">
        <f>IF(AI$6="","",IF(WEEKDAY(AI$6,1)=1,0,MIN(8,AI23)*AI22))</f>
      </c>
      <c r="AJ24" s="26">
        <f>IF(AJ$6="","",IF(WEEKDAY(AJ$6,1)=1,0,MIN(8,AJ23)*AJ22))</f>
      </c>
      <c r="AK24" s="26">
        <f>IF(AK$6="","",IF(WEEKDAY(AK$6,1)=1,0,MIN(8,AK23)*AK22))</f>
      </c>
      <c r="AL24" s="26">
        <f>IF(AL$6="","",IF(WEEKDAY(AL$6,1)=1,0,MIN(8,AL23)*AL22))</f>
      </c>
      <c r="AM24" s="26">
        <f>IF(AM$6="","",IF(WEEKDAY(AM$6,1)=1,0,MIN(8,AM23)*AM22))</f>
      </c>
      <c r="AN24" s="26">
        <f>IF(AN$6="","",IF(WEEKDAY(AN$6,1)=1,0,MIN(8,AN23)*AN22))</f>
      </c>
      <c r="AO24" s="26">
        <f>IF(AO$6="","",IF(WEEKDAY(AO$6,1)=1,0,MIN(8,AO23)*AO22))</f>
      </c>
      <c r="AP24" s="26">
        <f>IF(AP$6="","",IF(WEEKDAY(AP$6,1)=1,0,MIN(8,AP23)*AP22))</f>
      </c>
      <c r="AQ24" s="26">
        <f>IF(AQ$6="","",IF(WEEKDAY(AQ$6,1)=1,0,MIN(8,AQ23)*AQ22))</f>
      </c>
      <c r="AR24" s="26">
        <f>IF(AR$6="","",IF(WEEKDAY(AR$6,1)=1,0,MIN(8,AR23)*AR22))</f>
      </c>
      <c r="AS24" s="26">
        <f>IF(AS$6="","",IF(WEEKDAY(AS$6,1)=1,0,MIN(8,AS23)*AS22))</f>
      </c>
      <c r="AT24" s="26">
        <f>IF(AT$6="","",IF(WEEKDAY(AT$6,1)=1,0,MIN(8,AT23)*AT22))</f>
      </c>
      <c r="AU24" s="26">
        <f>IF(AU$6="","",IF(WEEKDAY(AU$6,1)=1,0,MIN(8,AU23)*AU22))</f>
      </c>
      <c r="AV24" s="26">
        <f>IF(AV$6="","",IF(WEEKDAY(AV$6,1)=1,0,MIN(8,AV23)*AV22))</f>
      </c>
      <c r="AW24" s="26">
        <f>IF(AW$6="","",IF(WEEKDAY(AW$6,1)=1,0,MIN(8,AW23)*AW22))</f>
      </c>
      <c r="AX24" s="26">
        <f>IF(AX$6="","",IF(WEEKDAY(AX$6,1)=1,0,MIN(8,AX23)*AX22))</f>
      </c>
      <c r="AY24" s="26">
        <f>IF(AY$6="","",IF(WEEKDAY(AY$6,1)=1,0,MIN(8,AY23)*AY22))</f>
      </c>
      <c r="AZ24" s="26">
        <f>IF(AZ$6="","",IF(WEEKDAY(AZ$6,1)=1,0,MIN(8,AZ23)*AZ22))</f>
      </c>
      <c r="BA24" s="26">
        <f>IF(BA$6="","",IF(WEEKDAY(BA$6,1)=1,0,MIN(8,BA23)*BA22))</f>
      </c>
      <c r="BB24" s="26">
        <f>IF(BB$6="","",IF(WEEKDAY(BB$6,1)=1,0,MIN(8,BB23)*BB22))</f>
      </c>
      <c r="BC24" s="26">
        <f>IF(BC$6="","",IF(WEEKDAY(BC$6,1)=1,0,MIN(8,BC23)*BC22))</f>
      </c>
      <c r="BD24" s="26">
        <f>IF(BD$6="","",IF(WEEKDAY(BD$6,1)=1,0,MIN(8,BD23)*BD22))</f>
      </c>
      <c r="BE24" s="26">
        <f>IF(BE$6="","",IF(WEEKDAY(BE$6,1)=1,0,MIN(8,BE23)*BE22))</f>
      </c>
      <c r="BF24" s="26">
        <f>IF(BF$6="","",IF(WEEKDAY(BF$6,1)=1,0,MIN(8,BF23)*BF22))</f>
      </c>
      <c r="BG24" s="26">
        <f>IF(BG$6="","",IF(WEEKDAY(BG$6,1)=1,0,MIN(8,BG23)*BG22))</f>
      </c>
      <c r="BH24" s="26">
        <f>IF(BH$6="","",IF(WEEKDAY(BH$6,1)=1,0,MIN(8,BH23)*BH22))</f>
      </c>
      <c r="BI24" s="26">
        <f>IF(BI$6="","",IF(WEEKDAY(BI$6,1)=1,0,MIN(8,BI23)*BI22))</f>
      </c>
      <c r="BJ24" s="26">
        <f>IF(BJ$6="","",IF(WEEKDAY(BJ$6,1)=1,0,MIN(8,BJ23)*BJ22))</f>
      </c>
      <c r="BK24" s="26">
        <f>IF(BK$6="","",IF(WEEKDAY(BK$6,1)=1,0,MIN(8,BK23)*BK22))</f>
      </c>
      <c r="BL24" s="26">
        <f>IF(BL$6="","",IF(WEEKDAY(BL$6,1)=1,0,MIN(8,BL23)*BL22))</f>
      </c>
      <c r="BM24" s="26">
        <f>IF(BM$6="","",IF(WEEKDAY(BM$6,1)=1,0,MIN(8,BM23)*BM22))</f>
      </c>
      <c r="BN24" s="26">
        <f>IF(BN$6="","",IF(WEEKDAY(BN$6,1)=1,0,MIN(8,BN23)*BN22))</f>
      </c>
      <c r="BO24" s="26">
        <f>IF(BO$6="","",IF(WEEKDAY(BO$6,1)=1,0,MIN(8,BO23)*BO22))</f>
      </c>
      <c r="BP24" s="26">
        <f>IF(BP$6="","",IF(WEEKDAY(BP$6,1)=1,0,MIN(8,BP23)*BP22))</f>
      </c>
      <c r="BQ24" s="26">
        <f>IF(BQ$6="","",IF(WEEKDAY(BQ$6,1)=1,0,MIN(8,BQ23)*BQ22))</f>
      </c>
      <c r="BR24" s="26">
        <f>IF(BR$6="","",IF(WEEKDAY(BR$6,1)=1,0,MIN(8,BR23)*BR22))</f>
      </c>
      <c r="BS24" s="26">
        <f>IF(BS$6="","",IF(WEEKDAY(BS$6,1)=1,0,MIN(8,BS23)*BS22))</f>
      </c>
      <c r="BT24" s="26">
        <f>IF(BT$6="","",IF(WEEKDAY(BT$6,1)=1,0,MIN(8,BT23)*BT22))</f>
      </c>
      <c r="BU24" s="26">
        <f>IF(BU$6="","",IF(WEEKDAY(BU$6,1)=1,0,MIN(8,BU23)*BU22))</f>
      </c>
      <c r="BV24" s="26">
        <f>IF(BV$6="","",IF(WEEKDAY(BV$6,1)=1,0,MIN(8,BV23)*BV22))</f>
      </c>
      <c r="BW24" s="26">
        <f>IF(BW$6="","",IF(WEEKDAY(BW$6,1)=1,0,MIN(8,BW23)*BW22))</f>
      </c>
      <c r="BX24" s="26">
        <f>IF(BX$6="","",IF(WEEKDAY(BX$6,1)=1,0,MIN(8,BX23)*BX22))</f>
      </c>
      <c r="BY24" s="26">
        <f>IF(BY$6="","",IF(WEEKDAY(BY$6,1)=1,0,MIN(8,BY23)*BY22))</f>
      </c>
      <c r="BZ24" s="26">
        <f>IF(BZ$6="","",IF(WEEKDAY(BZ$6,1)=1,0,MIN(8,BZ23)*BZ22))</f>
      </c>
      <c r="CA24" s="26">
        <f>IF(CA$6="","",IF(WEEKDAY(CA$6,1)=1,0,MIN(8,CA23)*CA22))</f>
      </c>
      <c r="CB24" s="26">
        <f>IF(CB$6="","",IF(WEEKDAY(CB$6,1)=1,0,MIN(8,CB23)*CB22))</f>
      </c>
      <c r="CC24" s="26">
        <f>IF(CC$6="","",IF(WEEKDAY(CC$6,1)=1,0,MIN(8,CC23)*CC22))</f>
      </c>
      <c r="CD24" s="26">
        <f>IF(CD$6="","",IF(WEEKDAY(CD$6,1)=1,0,MIN(8,CD23)*CD22))</f>
      </c>
      <c r="CE24" s="26">
        <f>IF(CE$6="","",IF(WEEKDAY(CE$6,1)=1,0,MIN(8,CE23)*CE22))</f>
      </c>
      <c r="CF24" s="26">
        <f>IF(CF$6="","",IF(WEEKDAY(CF$6,1)=1,0,MIN(8,CF23)*CF22))</f>
      </c>
      <c r="CG24" s="26">
        <f>IF(CG$6="","",IF(WEEKDAY(CG$6,1)=1,0,MIN(8,CG23)*CG22))</f>
      </c>
      <c r="CH24" s="26">
        <f>IF(CH$6="","",IF(WEEKDAY(CH$6,1)=1,0,MIN(8,CH23)*CH22))</f>
      </c>
      <c r="CI24" s="26">
        <f>IF(CI$6="","",IF(WEEKDAY(CI$6,1)=1,0,MIN(8,CI23)*CI22))</f>
      </c>
      <c r="CJ24" s="26">
        <f>IF(CJ$6="","",IF(WEEKDAY(CJ$6,1)=1,0,MIN(8,CJ23)*CJ22))</f>
      </c>
      <c r="CK24" s="26">
        <f>IF(CK$6="","",IF(WEEKDAY(CK$6,1)=1,0,MIN(8,CK23)*CK22))</f>
      </c>
      <c r="CL24" s="26">
        <f>IF(CL$6="","",IF(WEEKDAY(CL$6,1)=1,0,MIN(8,CL23)*CL22))</f>
      </c>
      <c r="CM24" s="26">
        <f>IF(CM$6="","",IF(WEEKDAY(CM$6,1)=1,0,MIN(8,CM23)*CM22))</f>
      </c>
      <c r="CN24" s="26">
        <f>IF(CN$6="","",IF(WEEKDAY(CN$6,1)=1,0,MIN(8,CN23)*CN22))</f>
      </c>
      <c r="CO24" s="26">
        <f>IF(CO$6="","",IF(WEEKDAY(CO$6,1)=1,0,MIN(8,CO23)*CO22))</f>
      </c>
      <c r="CP24" s="26">
        <f>IF(CP$6="","",IF(WEEKDAY(CP$6,1)=1,0,MIN(8,CP23)*CP22))</f>
      </c>
      <c r="CQ24" s="26">
        <f>IF(CQ$6="","",IF(WEEKDAY(CQ$6,1)=1,0,MIN(8,CQ23)*CQ22))</f>
      </c>
      <c r="CR24" s="26">
        <f>IF(CR$6="","",IF(WEEKDAY(CR$6,1)=1,0,MIN(8,CR23)*CR22))</f>
      </c>
      <c r="CS24" s="26">
        <f>IF(CS$6="","",IF(WEEKDAY(CS$6,1)=1,0,MIN(8,CS23)*CS22))</f>
      </c>
      <c r="CT24" s="26">
        <f>IF(CT$6="","",IF(WEEKDAY(CT$6,1)=1,0,MIN(8,CT23)*CT22))</f>
      </c>
      <c r="CU24" s="26">
        <f>IF(CU$6="","",IF(WEEKDAY(CU$6,1)=1,0,MIN(8,CU23)*CU22))</f>
      </c>
      <c r="CV24" s="26">
        <f>IF(CV$6="","",IF(WEEKDAY(CV$6,1)=1,0,MIN(8,CV23)*CV22))</f>
      </c>
      <c r="CW24" s="26">
        <f>IF(CW$6="","",IF(WEEKDAY(CW$6,1)=1,0,MIN(8,CW23)*CW22))</f>
      </c>
      <c r="CX24" s="8" t="s">
        <v>46</v>
      </c>
    </row>
    <row r="25" spans="2:102" x14ac:dyDescent="0.25">
      <c r="B25" s="26">
        <f>SUM(L25:CW25)</f>
      </c>
      <c r="D25" s="27">
        <f>B25*E25</f>
      </c>
      <c r="E25" s="27">
        <f>'Rate Tables'!D9</f>
      </c>
      <c r="F25" s="8" t="s">
        <v>40</v>
      </c>
      <c r="L25" s="26">
        <f>IF(L$6="","",IF(WEEKDAY(L$6,1)=1,0,MAX(0,L23-8)*L22))</f>
      </c>
      <c r="M25" s="26">
        <f>IF(M$6="","",IF(WEEKDAY(M$6,1)=1,0,MAX(0,M23-8)*M22))</f>
      </c>
      <c r="N25" s="26">
        <f>IF(N$6="","",IF(WEEKDAY(N$6,1)=1,0,MAX(0,N23-8)*N22))</f>
      </c>
      <c r="O25" s="26">
        <f>IF(O$6="","",IF(WEEKDAY(O$6,1)=1,0,MAX(0,O23-8)*O22))</f>
      </c>
      <c r="P25" s="26">
        <f>IF(P$6="","",IF(WEEKDAY(P$6,1)=1,0,MAX(0,P23-8)*P22))</f>
      </c>
      <c r="Q25" s="26">
        <f>IF(Q$6="","",IF(WEEKDAY(Q$6,1)=1,0,MAX(0,Q23-8)*Q22))</f>
      </c>
      <c r="R25" s="26">
        <f>IF(R$6="","",IF(WEEKDAY(R$6,1)=1,0,MAX(0,R23-8)*R22))</f>
      </c>
      <c r="S25" s="26">
        <f>IF(S$6="","",IF(WEEKDAY(S$6,1)=1,0,MAX(0,S23-8)*S22))</f>
      </c>
      <c r="T25" s="26">
        <f>IF(T$6="","",IF(WEEKDAY(T$6,1)=1,0,MAX(0,T23-8)*T22))</f>
      </c>
      <c r="U25" s="26">
        <f>IF(U$6="","",IF(WEEKDAY(U$6,1)=1,0,MAX(0,U23-8)*U22))</f>
      </c>
      <c r="V25" s="26">
        <f>IF(V$6="","",IF(WEEKDAY(V$6,1)=1,0,MAX(0,V23-8)*V22))</f>
      </c>
      <c r="W25" s="26">
        <f>IF(W$6="","",IF(WEEKDAY(W$6,1)=1,0,MAX(0,W23-8)*W22))</f>
      </c>
      <c r="X25" s="26">
        <f>IF(X$6="","",IF(WEEKDAY(X$6,1)=1,0,MAX(0,X23-8)*X22))</f>
      </c>
      <c r="Y25" s="26">
        <f>IF(Y$6="","",IF(WEEKDAY(Y$6,1)=1,0,MAX(0,Y23-8)*Y22))</f>
      </c>
      <c r="Z25" s="26">
        <f>IF(Z$6="","",IF(WEEKDAY(Z$6,1)=1,0,MAX(0,Z23-8)*Z22))</f>
      </c>
      <c r="AA25" s="26">
        <f>IF(AA$6="","",IF(WEEKDAY(AA$6,1)=1,0,MAX(0,AA23-8)*AA22))</f>
      </c>
      <c r="AB25" s="26">
        <f>IF(AB$6="","",IF(WEEKDAY(AB$6,1)=1,0,MAX(0,AB23-8)*AB22))</f>
      </c>
      <c r="AC25" s="26">
        <f>IF(AC$6="","",IF(WEEKDAY(AC$6,1)=1,0,MAX(0,AC23-8)*AC22))</f>
      </c>
      <c r="AD25" s="26">
        <f>IF(AD$6="","",IF(WEEKDAY(AD$6,1)=1,0,MAX(0,AD23-8)*AD22))</f>
      </c>
      <c r="AE25" s="26">
        <f>IF(AE$6="","",IF(WEEKDAY(AE$6,1)=1,0,MAX(0,AE23-8)*AE22))</f>
      </c>
      <c r="AF25" s="26">
        <f>IF(AF$6="","",IF(WEEKDAY(AF$6,1)=1,0,MAX(0,AF23-8)*AF22))</f>
      </c>
      <c r="AG25" s="26">
        <f>IF(AG$6="","",IF(WEEKDAY(AG$6,1)=1,0,MAX(0,AG23-8)*AG22))</f>
      </c>
      <c r="AH25" s="26">
        <f>IF(AH$6="","",IF(WEEKDAY(AH$6,1)=1,0,MAX(0,AH23-8)*AH22))</f>
      </c>
      <c r="AI25" s="26">
        <f>IF(AI$6="","",IF(WEEKDAY(AI$6,1)=1,0,MAX(0,AI23-8)*AI22))</f>
      </c>
      <c r="AJ25" s="26">
        <f>IF(AJ$6="","",IF(WEEKDAY(AJ$6,1)=1,0,MAX(0,AJ23-8)*AJ22))</f>
      </c>
      <c r="AK25" s="26">
        <f>IF(AK$6="","",IF(WEEKDAY(AK$6,1)=1,0,MAX(0,AK23-8)*AK22))</f>
      </c>
      <c r="AL25" s="26">
        <f>IF(AL$6="","",IF(WEEKDAY(AL$6,1)=1,0,MAX(0,AL23-8)*AL22))</f>
      </c>
      <c r="AM25" s="26">
        <f>IF(AM$6="","",IF(WEEKDAY(AM$6,1)=1,0,MAX(0,AM23-8)*AM22))</f>
      </c>
      <c r="AN25" s="26">
        <f>IF(AN$6="","",IF(WEEKDAY(AN$6,1)=1,0,MAX(0,AN23-8)*AN22))</f>
      </c>
      <c r="AO25" s="26">
        <f>IF(AO$6="","",IF(WEEKDAY(AO$6,1)=1,0,MAX(0,AO23-8)*AO22))</f>
      </c>
      <c r="AP25" s="26">
        <f>IF(AP$6="","",IF(WEEKDAY(AP$6,1)=1,0,MAX(0,AP23-8)*AP22))</f>
      </c>
      <c r="AQ25" s="26">
        <f>IF(AQ$6="","",IF(WEEKDAY(AQ$6,1)=1,0,MAX(0,AQ23-8)*AQ22))</f>
      </c>
      <c r="AR25" s="26">
        <f>IF(AR$6="","",IF(WEEKDAY(AR$6,1)=1,0,MAX(0,AR23-8)*AR22))</f>
      </c>
      <c r="AS25" s="26">
        <f>IF(AS$6="","",IF(WEEKDAY(AS$6,1)=1,0,MAX(0,AS23-8)*AS22))</f>
      </c>
      <c r="AT25" s="26">
        <f>IF(AT$6="","",IF(WEEKDAY(AT$6,1)=1,0,MAX(0,AT23-8)*AT22))</f>
      </c>
      <c r="AU25" s="26">
        <f>IF(AU$6="","",IF(WEEKDAY(AU$6,1)=1,0,MAX(0,AU23-8)*AU22))</f>
      </c>
      <c r="AV25" s="26">
        <f>IF(AV$6="","",IF(WEEKDAY(AV$6,1)=1,0,MAX(0,AV23-8)*AV22))</f>
      </c>
      <c r="AW25" s="26">
        <f>IF(AW$6="","",IF(WEEKDAY(AW$6,1)=1,0,MAX(0,AW23-8)*AW22))</f>
      </c>
      <c r="AX25" s="26">
        <f>IF(AX$6="","",IF(WEEKDAY(AX$6,1)=1,0,MAX(0,AX23-8)*AX22))</f>
      </c>
      <c r="AY25" s="26">
        <f>IF(AY$6="","",IF(WEEKDAY(AY$6,1)=1,0,MAX(0,AY23-8)*AY22))</f>
      </c>
      <c r="AZ25" s="26">
        <f>IF(AZ$6="","",IF(WEEKDAY(AZ$6,1)=1,0,MAX(0,AZ23-8)*AZ22))</f>
      </c>
      <c r="BA25" s="26">
        <f>IF(BA$6="","",IF(WEEKDAY(BA$6,1)=1,0,MAX(0,BA23-8)*BA22))</f>
      </c>
      <c r="BB25" s="26">
        <f>IF(BB$6="","",IF(WEEKDAY(BB$6,1)=1,0,MAX(0,BB23-8)*BB22))</f>
      </c>
      <c r="BC25" s="26">
        <f>IF(BC$6="","",IF(WEEKDAY(BC$6,1)=1,0,MAX(0,BC23-8)*BC22))</f>
      </c>
      <c r="BD25" s="26">
        <f>IF(BD$6="","",IF(WEEKDAY(BD$6,1)=1,0,MAX(0,BD23-8)*BD22))</f>
      </c>
      <c r="BE25" s="26">
        <f>IF(BE$6="","",IF(WEEKDAY(BE$6,1)=1,0,MAX(0,BE23-8)*BE22))</f>
      </c>
      <c r="BF25" s="26">
        <f>IF(BF$6="","",IF(WEEKDAY(BF$6,1)=1,0,MAX(0,BF23-8)*BF22))</f>
      </c>
      <c r="BG25" s="26">
        <f>IF(BG$6="","",IF(WEEKDAY(BG$6,1)=1,0,MAX(0,BG23-8)*BG22))</f>
      </c>
      <c r="BH25" s="26">
        <f>IF(BH$6="","",IF(WEEKDAY(BH$6,1)=1,0,MAX(0,BH23-8)*BH22))</f>
      </c>
      <c r="BI25" s="26">
        <f>IF(BI$6="","",IF(WEEKDAY(BI$6,1)=1,0,MAX(0,BI23-8)*BI22))</f>
      </c>
      <c r="BJ25" s="26">
        <f>IF(BJ$6="","",IF(WEEKDAY(BJ$6,1)=1,0,MAX(0,BJ23-8)*BJ22))</f>
      </c>
      <c r="BK25" s="26">
        <f>IF(BK$6="","",IF(WEEKDAY(BK$6,1)=1,0,MAX(0,BK23-8)*BK22))</f>
      </c>
      <c r="BL25" s="26">
        <f>IF(BL$6="","",IF(WEEKDAY(BL$6,1)=1,0,MAX(0,BL23-8)*BL22))</f>
      </c>
      <c r="BM25" s="26">
        <f>IF(BM$6="","",IF(WEEKDAY(BM$6,1)=1,0,MAX(0,BM23-8)*BM22))</f>
      </c>
      <c r="BN25" s="26">
        <f>IF(BN$6="","",IF(WEEKDAY(BN$6,1)=1,0,MAX(0,BN23-8)*BN22))</f>
      </c>
      <c r="BO25" s="26">
        <f>IF(BO$6="","",IF(WEEKDAY(BO$6,1)=1,0,MAX(0,BO23-8)*BO22))</f>
      </c>
      <c r="BP25" s="26">
        <f>IF(BP$6="","",IF(WEEKDAY(BP$6,1)=1,0,MAX(0,BP23-8)*BP22))</f>
      </c>
      <c r="BQ25" s="26">
        <f>IF(BQ$6="","",IF(WEEKDAY(BQ$6,1)=1,0,MAX(0,BQ23-8)*BQ22))</f>
      </c>
      <c r="BR25" s="26">
        <f>IF(BR$6="","",IF(WEEKDAY(BR$6,1)=1,0,MAX(0,BR23-8)*BR22))</f>
      </c>
      <c r="BS25" s="26">
        <f>IF(BS$6="","",IF(WEEKDAY(BS$6,1)=1,0,MAX(0,BS23-8)*BS22))</f>
      </c>
      <c r="BT25" s="26">
        <f>IF(BT$6="","",IF(WEEKDAY(BT$6,1)=1,0,MAX(0,BT23-8)*BT22))</f>
      </c>
      <c r="BU25" s="26">
        <f>IF(BU$6="","",IF(WEEKDAY(BU$6,1)=1,0,MAX(0,BU23-8)*BU22))</f>
      </c>
      <c r="BV25" s="26">
        <f>IF(BV$6="","",IF(WEEKDAY(BV$6,1)=1,0,MAX(0,BV23-8)*BV22))</f>
      </c>
      <c r="BW25" s="26">
        <f>IF(BW$6="","",IF(WEEKDAY(BW$6,1)=1,0,MAX(0,BW23-8)*BW22))</f>
      </c>
      <c r="BX25" s="26">
        <f>IF(BX$6="","",IF(WEEKDAY(BX$6,1)=1,0,MAX(0,BX23-8)*BX22))</f>
      </c>
      <c r="BY25" s="26">
        <f>IF(BY$6="","",IF(WEEKDAY(BY$6,1)=1,0,MAX(0,BY23-8)*BY22))</f>
      </c>
      <c r="BZ25" s="26">
        <f>IF(BZ$6="","",IF(WEEKDAY(BZ$6,1)=1,0,MAX(0,BZ23-8)*BZ22))</f>
      </c>
      <c r="CA25" s="26">
        <f>IF(CA$6="","",IF(WEEKDAY(CA$6,1)=1,0,MAX(0,CA23-8)*CA22))</f>
      </c>
      <c r="CB25" s="26">
        <f>IF(CB$6="","",IF(WEEKDAY(CB$6,1)=1,0,MAX(0,CB23-8)*CB22))</f>
      </c>
      <c r="CC25" s="26">
        <f>IF(CC$6="","",IF(WEEKDAY(CC$6,1)=1,0,MAX(0,CC23-8)*CC22))</f>
      </c>
      <c r="CD25" s="26">
        <f>IF(CD$6="","",IF(WEEKDAY(CD$6,1)=1,0,MAX(0,CD23-8)*CD22))</f>
      </c>
      <c r="CE25" s="26">
        <f>IF(CE$6="","",IF(WEEKDAY(CE$6,1)=1,0,MAX(0,CE23-8)*CE22))</f>
      </c>
      <c r="CF25" s="26">
        <f>IF(CF$6="","",IF(WEEKDAY(CF$6,1)=1,0,MAX(0,CF23-8)*CF22))</f>
      </c>
      <c r="CG25" s="26">
        <f>IF(CG$6="","",IF(WEEKDAY(CG$6,1)=1,0,MAX(0,CG23-8)*CG22))</f>
      </c>
      <c r="CH25" s="26">
        <f>IF(CH$6="","",IF(WEEKDAY(CH$6,1)=1,0,MAX(0,CH23-8)*CH22))</f>
      </c>
      <c r="CI25" s="26">
        <f>IF(CI$6="","",IF(WEEKDAY(CI$6,1)=1,0,MAX(0,CI23-8)*CI22))</f>
      </c>
      <c r="CJ25" s="26">
        <f>IF(CJ$6="","",IF(WEEKDAY(CJ$6,1)=1,0,MAX(0,CJ23-8)*CJ22))</f>
      </c>
      <c r="CK25" s="26">
        <f>IF(CK$6="","",IF(WEEKDAY(CK$6,1)=1,0,MAX(0,CK23-8)*CK22))</f>
      </c>
      <c r="CL25" s="26">
        <f>IF(CL$6="","",IF(WEEKDAY(CL$6,1)=1,0,MAX(0,CL23-8)*CL22))</f>
      </c>
      <c r="CM25" s="26">
        <f>IF(CM$6="","",IF(WEEKDAY(CM$6,1)=1,0,MAX(0,CM23-8)*CM22))</f>
      </c>
      <c r="CN25" s="26">
        <f>IF(CN$6="","",IF(WEEKDAY(CN$6,1)=1,0,MAX(0,CN23-8)*CN22))</f>
      </c>
      <c r="CO25" s="26">
        <f>IF(CO$6="","",IF(WEEKDAY(CO$6,1)=1,0,MAX(0,CO23-8)*CO22))</f>
      </c>
      <c r="CP25" s="26">
        <f>IF(CP$6="","",IF(WEEKDAY(CP$6,1)=1,0,MAX(0,CP23-8)*CP22))</f>
      </c>
      <c r="CQ25" s="26">
        <f>IF(CQ$6="","",IF(WEEKDAY(CQ$6,1)=1,0,MAX(0,CQ23-8)*CQ22))</f>
      </c>
      <c r="CR25" s="26">
        <f>IF(CR$6="","",IF(WEEKDAY(CR$6,1)=1,0,MAX(0,CR23-8)*CR22))</f>
      </c>
      <c r="CS25" s="26">
        <f>IF(CS$6="","",IF(WEEKDAY(CS$6,1)=1,0,MAX(0,CS23-8)*CS22))</f>
      </c>
      <c r="CT25" s="26">
        <f>IF(CT$6="","",IF(WEEKDAY(CT$6,1)=1,0,MAX(0,CT23-8)*CT22))</f>
      </c>
      <c r="CU25" s="26">
        <f>IF(CU$6="","",IF(WEEKDAY(CU$6,1)=1,0,MAX(0,CU23-8)*CU22))</f>
      </c>
      <c r="CV25" s="26">
        <f>IF(CV$6="","",IF(WEEKDAY(CV$6,1)=1,0,MAX(0,CV23-8)*CV22))</f>
      </c>
      <c r="CW25" s="26">
        <f>IF(CW$6="","",IF(WEEKDAY(CW$6,1)=1,0,MAX(0,CW23-8)*CW22))</f>
      </c>
      <c r="CX25" s="8" t="s">
        <v>46</v>
      </c>
    </row>
    <row r="26" spans="2:102" x14ac:dyDescent="0.25">
      <c r="B26" s="26">
        <f>SUM(L26:CW26)</f>
      </c>
      <c r="D26" s="27">
        <f>B26*E26</f>
      </c>
      <c r="E26" s="27">
        <f>'Rate Tables'!E9</f>
      </c>
      <c r="F26" s="8" t="s">
        <v>41</v>
      </c>
      <c r="L26" s="26">
        <f>IF(L$6="","",IF(WEEKDAY(L$6,1)=1,L23*L22,0))</f>
      </c>
      <c r="M26" s="26">
        <f>IF(M$6="","",IF(WEEKDAY(M$6,1)=1,M23*M22,0))</f>
      </c>
      <c r="N26" s="26">
        <f>IF(N$6="","",IF(WEEKDAY(N$6,1)=1,N23*N22,0))</f>
      </c>
      <c r="O26" s="26">
        <f>IF(O$6="","",IF(WEEKDAY(O$6,1)=1,O23*O22,0))</f>
      </c>
      <c r="P26" s="26">
        <f>IF(P$6="","",IF(WEEKDAY(P$6,1)=1,P23*P22,0))</f>
      </c>
      <c r="Q26" s="26">
        <f>IF(Q$6="","",IF(WEEKDAY(Q$6,1)=1,Q23*Q22,0))</f>
      </c>
      <c r="R26" s="26">
        <f>IF(R$6="","",IF(WEEKDAY(R$6,1)=1,R23*R22,0))</f>
      </c>
      <c r="S26" s="26">
        <f>IF(S$6="","",IF(WEEKDAY(S$6,1)=1,S23*S22,0))</f>
      </c>
      <c r="T26" s="26">
        <f>IF(T$6="","",IF(WEEKDAY(T$6,1)=1,T23*T22,0))</f>
      </c>
      <c r="U26" s="26">
        <f>IF(U$6="","",IF(WEEKDAY(U$6,1)=1,U23*U22,0))</f>
      </c>
      <c r="V26" s="26">
        <f>IF(V$6="","",IF(WEEKDAY(V$6,1)=1,V23*V22,0))</f>
      </c>
      <c r="W26" s="26">
        <f>IF(W$6="","",IF(WEEKDAY(W$6,1)=1,W23*W22,0))</f>
      </c>
      <c r="X26" s="26">
        <f>IF(X$6="","",IF(WEEKDAY(X$6,1)=1,X23*X22,0))</f>
      </c>
      <c r="Y26" s="26">
        <f>IF(Y$6="","",IF(WEEKDAY(Y$6,1)=1,Y23*Y22,0))</f>
      </c>
      <c r="Z26" s="26">
        <f>IF(Z$6="","",IF(WEEKDAY(Z$6,1)=1,Z23*Z22,0))</f>
      </c>
      <c r="AA26" s="26">
        <f>IF(AA$6="","",IF(WEEKDAY(AA$6,1)=1,AA23*AA22,0))</f>
      </c>
      <c r="AB26" s="26">
        <f>IF(AB$6="","",IF(WEEKDAY(AB$6,1)=1,AB23*AB22,0))</f>
      </c>
      <c r="AC26" s="26">
        <f>IF(AC$6="","",IF(WEEKDAY(AC$6,1)=1,AC23*AC22,0))</f>
      </c>
      <c r="AD26" s="26">
        <f>IF(AD$6="","",IF(WEEKDAY(AD$6,1)=1,AD23*AD22,0))</f>
      </c>
      <c r="AE26" s="26">
        <f>IF(AE$6="","",IF(WEEKDAY(AE$6,1)=1,AE23*AE22,0))</f>
      </c>
      <c r="AF26" s="26">
        <f>IF(AF$6="","",IF(WEEKDAY(AF$6,1)=1,AF23*AF22,0))</f>
      </c>
      <c r="AG26" s="26">
        <f>IF(AG$6="","",IF(WEEKDAY(AG$6,1)=1,AG23*AG22,0))</f>
      </c>
      <c r="AH26" s="26">
        <f>IF(AH$6="","",IF(WEEKDAY(AH$6,1)=1,AH23*AH22,0))</f>
      </c>
      <c r="AI26" s="26">
        <f>IF(AI$6="","",IF(WEEKDAY(AI$6,1)=1,AI23*AI22,0))</f>
      </c>
      <c r="AJ26" s="26">
        <f>IF(AJ$6="","",IF(WEEKDAY(AJ$6,1)=1,AJ23*AJ22,0))</f>
      </c>
      <c r="AK26" s="26">
        <f>IF(AK$6="","",IF(WEEKDAY(AK$6,1)=1,AK23*AK22,0))</f>
      </c>
      <c r="AL26" s="26">
        <f>IF(AL$6="","",IF(WEEKDAY(AL$6,1)=1,AL23*AL22,0))</f>
      </c>
      <c r="AM26" s="26">
        <f>IF(AM$6="","",IF(WEEKDAY(AM$6,1)=1,AM23*AM22,0))</f>
      </c>
      <c r="AN26" s="26">
        <f>IF(AN$6="","",IF(WEEKDAY(AN$6,1)=1,AN23*AN22,0))</f>
      </c>
      <c r="AO26" s="26">
        <f>IF(AO$6="","",IF(WEEKDAY(AO$6,1)=1,AO23*AO22,0))</f>
      </c>
      <c r="AP26" s="26">
        <f>IF(AP$6="","",IF(WEEKDAY(AP$6,1)=1,AP23*AP22,0))</f>
      </c>
      <c r="AQ26" s="26">
        <f>IF(AQ$6="","",IF(WEEKDAY(AQ$6,1)=1,AQ23*AQ22,0))</f>
      </c>
      <c r="AR26" s="26">
        <f>IF(AR$6="","",IF(WEEKDAY(AR$6,1)=1,AR23*AR22,0))</f>
      </c>
      <c r="AS26" s="26">
        <f>IF(AS$6="","",IF(WEEKDAY(AS$6,1)=1,AS23*AS22,0))</f>
      </c>
      <c r="AT26" s="26">
        <f>IF(AT$6="","",IF(WEEKDAY(AT$6,1)=1,AT23*AT22,0))</f>
      </c>
      <c r="AU26" s="26">
        <f>IF(AU$6="","",IF(WEEKDAY(AU$6,1)=1,AU23*AU22,0))</f>
      </c>
      <c r="AV26" s="26">
        <f>IF(AV$6="","",IF(WEEKDAY(AV$6,1)=1,AV23*AV22,0))</f>
      </c>
      <c r="AW26" s="26">
        <f>IF(AW$6="","",IF(WEEKDAY(AW$6,1)=1,AW23*AW22,0))</f>
      </c>
      <c r="AX26" s="26">
        <f>IF(AX$6="","",IF(WEEKDAY(AX$6,1)=1,AX23*AX22,0))</f>
      </c>
      <c r="AY26" s="26">
        <f>IF(AY$6="","",IF(WEEKDAY(AY$6,1)=1,AY23*AY22,0))</f>
      </c>
      <c r="AZ26" s="26">
        <f>IF(AZ$6="","",IF(WEEKDAY(AZ$6,1)=1,AZ23*AZ22,0))</f>
      </c>
      <c r="BA26" s="26">
        <f>IF(BA$6="","",IF(WEEKDAY(BA$6,1)=1,BA23*BA22,0))</f>
      </c>
      <c r="BB26" s="26">
        <f>IF(BB$6="","",IF(WEEKDAY(BB$6,1)=1,BB23*BB22,0))</f>
      </c>
      <c r="BC26" s="26">
        <f>IF(BC$6="","",IF(WEEKDAY(BC$6,1)=1,BC23*BC22,0))</f>
      </c>
      <c r="BD26" s="26">
        <f>IF(BD$6="","",IF(WEEKDAY(BD$6,1)=1,BD23*BD22,0))</f>
      </c>
      <c r="BE26" s="26">
        <f>IF(BE$6="","",IF(WEEKDAY(BE$6,1)=1,BE23*BE22,0))</f>
      </c>
      <c r="BF26" s="26">
        <f>IF(BF$6="","",IF(WEEKDAY(BF$6,1)=1,BF23*BF22,0))</f>
      </c>
      <c r="BG26" s="26">
        <f>IF(BG$6="","",IF(WEEKDAY(BG$6,1)=1,BG23*BG22,0))</f>
      </c>
      <c r="BH26" s="26">
        <f>IF(BH$6="","",IF(WEEKDAY(BH$6,1)=1,BH23*BH22,0))</f>
      </c>
      <c r="BI26" s="26">
        <f>IF(BI$6="","",IF(WEEKDAY(BI$6,1)=1,BI23*BI22,0))</f>
      </c>
      <c r="BJ26" s="26">
        <f>IF(BJ$6="","",IF(WEEKDAY(BJ$6,1)=1,BJ23*BJ22,0))</f>
      </c>
      <c r="BK26" s="26">
        <f>IF(BK$6="","",IF(WEEKDAY(BK$6,1)=1,BK23*BK22,0))</f>
      </c>
      <c r="BL26" s="26">
        <f>IF(BL$6="","",IF(WEEKDAY(BL$6,1)=1,BL23*BL22,0))</f>
      </c>
      <c r="BM26" s="26">
        <f>IF(BM$6="","",IF(WEEKDAY(BM$6,1)=1,BM23*BM22,0))</f>
      </c>
      <c r="BN26" s="26">
        <f>IF(BN$6="","",IF(WEEKDAY(BN$6,1)=1,BN23*BN22,0))</f>
      </c>
      <c r="BO26" s="26">
        <f>IF(BO$6="","",IF(WEEKDAY(BO$6,1)=1,BO23*BO22,0))</f>
      </c>
      <c r="BP26" s="26">
        <f>IF(BP$6="","",IF(WEEKDAY(BP$6,1)=1,BP23*BP22,0))</f>
      </c>
      <c r="BQ26" s="26">
        <f>IF(BQ$6="","",IF(WEEKDAY(BQ$6,1)=1,BQ23*BQ22,0))</f>
      </c>
      <c r="BR26" s="26">
        <f>IF(BR$6="","",IF(WEEKDAY(BR$6,1)=1,BR23*BR22,0))</f>
      </c>
      <c r="BS26" s="26">
        <f>IF(BS$6="","",IF(WEEKDAY(BS$6,1)=1,BS23*BS22,0))</f>
      </c>
      <c r="BT26" s="26">
        <f>IF(BT$6="","",IF(WEEKDAY(BT$6,1)=1,BT23*BT22,0))</f>
      </c>
      <c r="BU26" s="26">
        <f>IF(BU$6="","",IF(WEEKDAY(BU$6,1)=1,BU23*BU22,0))</f>
      </c>
      <c r="BV26" s="26">
        <f>IF(BV$6="","",IF(WEEKDAY(BV$6,1)=1,BV23*BV22,0))</f>
      </c>
      <c r="BW26" s="26">
        <f>IF(BW$6="","",IF(WEEKDAY(BW$6,1)=1,BW23*BW22,0))</f>
      </c>
      <c r="BX26" s="26">
        <f>IF(BX$6="","",IF(WEEKDAY(BX$6,1)=1,BX23*BX22,0))</f>
      </c>
      <c r="BY26" s="26">
        <f>IF(BY$6="","",IF(WEEKDAY(BY$6,1)=1,BY23*BY22,0))</f>
      </c>
      <c r="BZ26" s="26">
        <f>IF(BZ$6="","",IF(WEEKDAY(BZ$6,1)=1,BZ23*BZ22,0))</f>
      </c>
      <c r="CA26" s="26">
        <f>IF(CA$6="","",IF(WEEKDAY(CA$6,1)=1,CA23*CA22,0))</f>
      </c>
      <c r="CB26" s="26">
        <f>IF(CB$6="","",IF(WEEKDAY(CB$6,1)=1,CB23*CB22,0))</f>
      </c>
      <c r="CC26" s="26">
        <f>IF(CC$6="","",IF(WEEKDAY(CC$6,1)=1,CC23*CC22,0))</f>
      </c>
      <c r="CD26" s="26">
        <f>IF(CD$6="","",IF(WEEKDAY(CD$6,1)=1,CD23*CD22,0))</f>
      </c>
      <c r="CE26" s="26">
        <f>IF(CE$6="","",IF(WEEKDAY(CE$6,1)=1,CE23*CE22,0))</f>
      </c>
      <c r="CF26" s="26">
        <f>IF(CF$6="","",IF(WEEKDAY(CF$6,1)=1,CF23*CF22,0))</f>
      </c>
      <c r="CG26" s="26">
        <f>IF(CG$6="","",IF(WEEKDAY(CG$6,1)=1,CG23*CG22,0))</f>
      </c>
      <c r="CH26" s="26">
        <f>IF(CH$6="","",IF(WEEKDAY(CH$6,1)=1,CH23*CH22,0))</f>
      </c>
      <c r="CI26" s="26">
        <f>IF(CI$6="","",IF(WEEKDAY(CI$6,1)=1,CI23*CI22,0))</f>
      </c>
      <c r="CJ26" s="26">
        <f>IF(CJ$6="","",IF(WEEKDAY(CJ$6,1)=1,CJ23*CJ22,0))</f>
      </c>
      <c r="CK26" s="26">
        <f>IF(CK$6="","",IF(WEEKDAY(CK$6,1)=1,CK23*CK22,0))</f>
      </c>
      <c r="CL26" s="26">
        <f>IF(CL$6="","",IF(WEEKDAY(CL$6,1)=1,CL23*CL22,0))</f>
      </c>
      <c r="CM26" s="26">
        <f>IF(CM$6="","",IF(WEEKDAY(CM$6,1)=1,CM23*CM22,0))</f>
      </c>
      <c r="CN26" s="26">
        <f>IF(CN$6="","",IF(WEEKDAY(CN$6,1)=1,CN23*CN22,0))</f>
      </c>
      <c r="CO26" s="26">
        <f>IF(CO$6="","",IF(WEEKDAY(CO$6,1)=1,CO23*CO22,0))</f>
      </c>
      <c r="CP26" s="26">
        <f>IF(CP$6="","",IF(WEEKDAY(CP$6,1)=1,CP23*CP22,0))</f>
      </c>
      <c r="CQ26" s="26">
        <f>IF(CQ$6="","",IF(WEEKDAY(CQ$6,1)=1,CQ23*CQ22,0))</f>
      </c>
      <c r="CR26" s="26">
        <f>IF(CR$6="","",IF(WEEKDAY(CR$6,1)=1,CR23*CR22,0))</f>
      </c>
      <c r="CS26" s="26">
        <f>IF(CS$6="","",IF(WEEKDAY(CS$6,1)=1,CS23*CS22,0))</f>
      </c>
      <c r="CT26" s="26">
        <f>IF(CT$6="","",IF(WEEKDAY(CT$6,1)=1,CT23*CT22,0))</f>
      </c>
      <c r="CU26" s="26">
        <f>IF(CU$6="","",IF(WEEKDAY(CU$6,1)=1,CU23*CU22,0))</f>
      </c>
      <c r="CV26" s="26">
        <f>IF(CV$6="","",IF(WEEKDAY(CV$6,1)=1,CV23*CV22,0))</f>
      </c>
      <c r="CW26" s="26">
        <f>IF(CW$6="","",IF(WEEKDAY(CW$6,1)=1,CW23*CW22,0))</f>
      </c>
      <c r="CX26" s="8" t="s">
        <v>46</v>
      </c>
    </row>
    <row r="27" spans="2:102" x14ac:dyDescent="0.25">
      <c r="B27" s="26">
        <f>SUM(L27:CW27)</f>
      </c>
      <c r="D27" s="27">
        <f>B27*E27</f>
      </c>
      <c r="E27" s="27">
        <v>140</v>
      </c>
      <c r="F27" s="8" t="s">
        <v>42</v>
      </c>
      <c r="L27" s="28">
        <v>1</v>
      </c>
      <c r="M27" s="28">
        <v>1</v>
      </c>
      <c r="N27" s="28">
        <v>1</v>
      </c>
      <c r="O27" s="28">
        <v>1</v>
      </c>
      <c r="P27" s="28">
        <v>1</v>
      </c>
      <c r="Q27" s="28">
        <v>0</v>
      </c>
      <c r="R27" s="28">
        <v>0</v>
      </c>
      <c r="S27" s="28">
        <v>1</v>
      </c>
      <c r="T27" s="28">
        <v>1</v>
      </c>
      <c r="U27" s="28">
        <v>1</v>
      </c>
      <c r="V27" s="28">
        <v>1</v>
      </c>
      <c r="W27" s="28">
        <v>1</v>
      </c>
      <c r="X27" s="28">
        <v>0</v>
      </c>
      <c r="Y27" s="28">
        <v>0</v>
      </c>
      <c r="Z27" s="28">
        <v>1</v>
      </c>
      <c r="AA27" s="28">
        <v>1</v>
      </c>
      <c r="AB27" s="28">
        <v>1</v>
      </c>
      <c r="AC27" s="28">
        <v>1</v>
      </c>
      <c r="AD27" s="28">
        <v>1</v>
      </c>
      <c r="AE27" s="28">
        <v>0</v>
      </c>
      <c r="AF27" s="28">
        <v>0</v>
      </c>
      <c r="AG27" s="28">
        <v>1</v>
      </c>
      <c r="AH27" s="28">
        <v>1</v>
      </c>
      <c r="AI27" s="28">
        <v>1</v>
      </c>
      <c r="AJ27" s="28">
        <v>1</v>
      </c>
      <c r="AK27" s="28">
        <v>1</v>
      </c>
      <c r="AL27" s="28">
        <v>0</v>
      </c>
      <c r="AM27" s="28">
        <v>0</v>
      </c>
      <c r="AN27" s="28">
        <v>1</v>
      </c>
      <c r="AO27" s="28">
        <v>1</v>
      </c>
      <c r="AP27" s="28">
        <v>1</v>
      </c>
      <c r="AQ27" s="28">
        <v>1</v>
      </c>
      <c r="AR27" s="28">
        <v>1</v>
      </c>
      <c r="AS27" s="28">
        <v>0</v>
      </c>
      <c r="AT27" s="28">
        <v>0</v>
      </c>
      <c r="AU27" s="28">
        <v>1</v>
      </c>
      <c r="AV27" s="28">
        <v>1</v>
      </c>
      <c r="AW27" s="28">
        <v>1</v>
      </c>
      <c r="AX27" s="28">
        <v>1</v>
      </c>
      <c r="AY27" s="28">
        <v>1</v>
      </c>
      <c r="AZ27" s="28">
        <v>0</v>
      </c>
      <c r="BA27" s="28">
        <v>0</v>
      </c>
      <c r="BB27" s="28">
        <v>1</v>
      </c>
      <c r="BC27" s="28">
        <v>1</v>
      </c>
      <c r="BD27" s="28">
        <v>1</v>
      </c>
      <c r="BE27" s="28">
        <v>1</v>
      </c>
      <c r="BF27" s="28">
        <v>1</v>
      </c>
      <c r="BG27" s="28">
        <v>0</v>
      </c>
      <c r="BH27" s="28">
        <v>0</v>
      </c>
      <c r="BI27" s="28">
        <v>1</v>
      </c>
      <c r="BJ27" s="28">
        <v>1</v>
      </c>
      <c r="BK27" s="28">
        <v>1</v>
      </c>
      <c r="BL27" s="28">
        <v>1</v>
      </c>
      <c r="BM27" s="28">
        <v>1</v>
      </c>
      <c r="BN27" s="28">
        <v>1</v>
      </c>
      <c r="BO27" s="28">
        <v>1</v>
      </c>
      <c r="BP27" s="28">
        <v>1</v>
      </c>
      <c r="BQ27" s="28">
        <v>1</v>
      </c>
      <c r="BR27" s="28">
        <v>1</v>
      </c>
      <c r="BS27" s="28">
        <v>1</v>
      </c>
      <c r="BT27" s="28">
        <v>1</v>
      </c>
      <c r="BU27" s="28">
        <v>1</v>
      </c>
      <c r="BV27" s="28">
        <v>1</v>
      </c>
      <c r="BW27" s="28">
        <v>1</v>
      </c>
      <c r="BX27" s="28">
        <v>1</v>
      </c>
      <c r="BY27" s="28">
        <v>1</v>
      </c>
      <c r="BZ27" s="28">
        <v>1</v>
      </c>
      <c r="CA27" s="28">
        <v>1</v>
      </c>
      <c r="CB27" s="28">
        <v>1</v>
      </c>
      <c r="CC27" s="28">
        <v>0</v>
      </c>
      <c r="CD27" s="28">
        <v>1</v>
      </c>
      <c r="CE27" s="28">
        <v>1</v>
      </c>
      <c r="CF27" s="28">
        <v>1</v>
      </c>
      <c r="CG27" s="28">
        <v>1</v>
      </c>
      <c r="CH27" s="28">
        <v>1</v>
      </c>
      <c r="CI27" s="28">
        <v>1</v>
      </c>
      <c r="CJ27" s="28">
        <v>1</v>
      </c>
      <c r="CK27" s="28">
        <v>1</v>
      </c>
      <c r="CL27" s="28">
        <v>1</v>
      </c>
      <c r="CM27" s="28">
        <v>1</v>
      </c>
      <c r="CN27" s="28">
        <v>1</v>
      </c>
      <c r="CO27" s="28">
        <v>1</v>
      </c>
      <c r="CP27" s="28">
        <v>1</v>
      </c>
      <c r="CQ27" s="28">
        <v>0</v>
      </c>
      <c r="CR27" s="28">
        <v>1</v>
      </c>
      <c r="CS27" s="28">
        <v>1</v>
      </c>
      <c r="CT27" s="28">
        <v>1</v>
      </c>
      <c r="CU27" s="28">
        <v>1</v>
      </c>
      <c r="CV27" s="28">
        <v>1</v>
      </c>
      <c r="CW27" s="28">
        <v>1</v>
      </c>
      <c r="CX27" s="8" t="s">
        <v>46</v>
      </c>
    </row>
    <row r="28" spans="1:102" x14ac:dyDescent="0.25">
      <c r="A28" s="20" t="s">
        <v>47</v>
      </c>
      <c r="B28" s="21">
        <f>G28+H28+I28</f>
      </c>
      <c r="C28" s="20" t="s">
        <v>45</v>
      </c>
      <c r="D28" s="22">
        <f>K28</f>
      </c>
      <c r="F28" s="20" t="s">
        <v>34</v>
      </c>
      <c r="G28" s="21">
        <f>B31</f>
      </c>
      <c r="H28" s="21">
        <f>B32</f>
      </c>
      <c r="I28" s="21">
        <f>B33</f>
      </c>
      <c r="J28" s="21">
        <f>B34</f>
      </c>
      <c r="K28" s="22">
        <f>D31+D32+D33</f>
      </c>
      <c r="CX28" s="20" t="s">
        <v>48</v>
      </c>
    </row>
    <row r="29" spans="6:102" x14ac:dyDescent="0.25">
      <c r="F29" s="23" t="s">
        <v>36</v>
      </c>
      <c r="L29" s="24">
        <v>0</v>
      </c>
      <c r="M29" s="24">
        <v>0</v>
      </c>
      <c r="N29" s="24">
        <v>0</v>
      </c>
      <c r="O29" s="24">
        <v>0</v>
      </c>
      <c r="P29" s="24">
        <v>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0</v>
      </c>
      <c r="Z29" s="24">
        <v>0</v>
      </c>
      <c r="AA29" s="24">
        <v>0</v>
      </c>
      <c r="AB29" s="24">
        <v>0</v>
      </c>
      <c r="AC29" s="24">
        <v>0</v>
      </c>
      <c r="AD29" s="24">
        <v>0</v>
      </c>
      <c r="AE29" s="24">
        <v>0</v>
      </c>
      <c r="AF29" s="24">
        <v>0</v>
      </c>
      <c r="AG29" s="24">
        <v>0</v>
      </c>
      <c r="AH29" s="24">
        <v>0</v>
      </c>
      <c r="AI29" s="24">
        <v>0</v>
      </c>
      <c r="AJ29" s="24">
        <v>0</v>
      </c>
      <c r="AK29" s="24">
        <v>0</v>
      </c>
      <c r="AL29" s="24">
        <v>0</v>
      </c>
      <c r="AM29" s="24">
        <v>0</v>
      </c>
      <c r="AN29" s="24">
        <v>0</v>
      </c>
      <c r="AO29" s="24">
        <v>0</v>
      </c>
      <c r="AP29" s="24">
        <v>0</v>
      </c>
      <c r="AQ29" s="24">
        <v>0</v>
      </c>
      <c r="AR29" s="24">
        <v>0</v>
      </c>
      <c r="AS29" s="24">
        <v>0</v>
      </c>
      <c r="AT29" s="24">
        <v>0</v>
      </c>
      <c r="AU29" s="24">
        <v>0</v>
      </c>
      <c r="AV29" s="24">
        <v>0</v>
      </c>
      <c r="AW29" s="24">
        <v>0</v>
      </c>
      <c r="AX29" s="24">
        <v>0</v>
      </c>
      <c r="AY29" s="24">
        <v>0</v>
      </c>
      <c r="AZ29" s="24">
        <v>0</v>
      </c>
      <c r="BA29" s="24">
        <v>0</v>
      </c>
      <c r="BB29" s="24">
        <v>0</v>
      </c>
      <c r="BC29" s="24">
        <v>0</v>
      </c>
      <c r="BD29" s="24">
        <v>0</v>
      </c>
      <c r="BE29" s="24">
        <v>0</v>
      </c>
      <c r="BF29" s="24">
        <v>0</v>
      </c>
      <c r="BG29" s="24">
        <v>0</v>
      </c>
      <c r="BH29" s="24">
        <v>0</v>
      </c>
      <c r="BI29" s="24">
        <v>1</v>
      </c>
      <c r="BJ29" s="24">
        <v>1</v>
      </c>
      <c r="BK29" s="24">
        <v>1</v>
      </c>
      <c r="BL29" s="24">
        <v>1</v>
      </c>
      <c r="BM29" s="24">
        <v>1</v>
      </c>
      <c r="BN29" s="24">
        <v>1</v>
      </c>
      <c r="BO29" s="24">
        <v>1</v>
      </c>
      <c r="BP29" s="24">
        <v>1</v>
      </c>
      <c r="BQ29" s="24">
        <v>1</v>
      </c>
      <c r="BR29" s="24">
        <v>1</v>
      </c>
      <c r="BS29" s="24">
        <v>1</v>
      </c>
      <c r="BT29" s="24">
        <v>1</v>
      </c>
      <c r="BU29" s="24">
        <v>1</v>
      </c>
      <c r="BV29" s="24">
        <v>1</v>
      </c>
      <c r="BW29" s="24">
        <v>1</v>
      </c>
      <c r="BX29" s="24">
        <v>1</v>
      </c>
      <c r="BY29" s="24">
        <v>1</v>
      </c>
      <c r="BZ29" s="24">
        <v>1</v>
      </c>
      <c r="CA29" s="24">
        <v>1</v>
      </c>
      <c r="CB29" s="24">
        <v>1</v>
      </c>
      <c r="CC29" s="24">
        <v>0</v>
      </c>
      <c r="CD29" s="24">
        <v>1</v>
      </c>
      <c r="CE29" s="24">
        <v>1</v>
      </c>
      <c r="CF29" s="24">
        <v>1</v>
      </c>
      <c r="CG29" s="24">
        <v>1</v>
      </c>
      <c r="CH29" s="24">
        <v>1</v>
      </c>
      <c r="CI29" s="24">
        <v>1</v>
      </c>
      <c r="CJ29" s="24">
        <v>1</v>
      </c>
      <c r="CK29" s="24">
        <v>1</v>
      </c>
      <c r="CL29" s="24">
        <v>1</v>
      </c>
      <c r="CM29" s="24">
        <v>1</v>
      </c>
      <c r="CN29" s="24">
        <v>1</v>
      </c>
      <c r="CO29" s="24">
        <v>1</v>
      </c>
      <c r="CP29" s="24">
        <v>1</v>
      </c>
      <c r="CQ29" s="24">
        <v>0</v>
      </c>
      <c r="CR29" s="24">
        <v>1</v>
      </c>
      <c r="CS29" s="24">
        <v>1</v>
      </c>
      <c r="CT29" s="24">
        <v>1</v>
      </c>
      <c r="CU29" s="24">
        <v>1</v>
      </c>
      <c r="CV29" s="24">
        <v>1</v>
      </c>
      <c r="CW29" s="24">
        <v>1</v>
      </c>
      <c r="CX29" s="23" t="s">
        <v>48</v>
      </c>
    </row>
    <row r="30" spans="1:102" x14ac:dyDescent="0.25">
      <c r="A30" s="23" t="s">
        <v>37</v>
      </c>
      <c r="F30" s="23" t="s">
        <v>38</v>
      </c>
      <c r="L30" s="25">
        <v>0</v>
      </c>
      <c r="M30" s="25">
        <v>0</v>
      </c>
      <c r="N30" s="25">
        <v>0</v>
      </c>
      <c r="O30" s="25">
        <v>0</v>
      </c>
      <c r="P30" s="25">
        <v>0</v>
      </c>
      <c r="Q30" s="25">
        <v>0</v>
      </c>
      <c r="R30" s="25">
        <v>0</v>
      </c>
      <c r="S30" s="25">
        <v>0</v>
      </c>
      <c r="T30" s="25">
        <v>0</v>
      </c>
      <c r="U30" s="25">
        <v>0</v>
      </c>
      <c r="V30" s="25">
        <v>0</v>
      </c>
      <c r="W30" s="25">
        <v>0</v>
      </c>
      <c r="X30" s="25">
        <v>0</v>
      </c>
      <c r="Y30" s="25">
        <v>0</v>
      </c>
      <c r="Z30" s="25">
        <v>0</v>
      </c>
      <c r="AA30" s="25">
        <v>0</v>
      </c>
      <c r="AB30" s="25">
        <v>0</v>
      </c>
      <c r="AC30" s="25">
        <v>0</v>
      </c>
      <c r="AD30" s="25">
        <v>0</v>
      </c>
      <c r="AE30" s="25">
        <v>0</v>
      </c>
      <c r="AF30" s="25">
        <v>0</v>
      </c>
      <c r="AG30" s="25">
        <v>0</v>
      </c>
      <c r="AH30" s="25">
        <v>0</v>
      </c>
      <c r="AI30" s="25">
        <v>0</v>
      </c>
      <c r="AJ30" s="25">
        <v>0</v>
      </c>
      <c r="AK30" s="25">
        <v>0</v>
      </c>
      <c r="AL30" s="25">
        <v>0</v>
      </c>
      <c r="AM30" s="25">
        <v>0</v>
      </c>
      <c r="AN30" s="25">
        <v>0</v>
      </c>
      <c r="AO30" s="25">
        <v>0</v>
      </c>
      <c r="AP30" s="25">
        <v>0</v>
      </c>
      <c r="AQ30" s="25">
        <v>0</v>
      </c>
      <c r="AR30" s="25">
        <v>0</v>
      </c>
      <c r="AS30" s="25">
        <v>0</v>
      </c>
      <c r="AT30" s="25">
        <v>0</v>
      </c>
      <c r="AU30" s="25">
        <v>0</v>
      </c>
      <c r="AV30" s="25">
        <v>0</v>
      </c>
      <c r="AW30" s="25">
        <v>0</v>
      </c>
      <c r="AX30" s="25">
        <v>0</v>
      </c>
      <c r="AY30" s="25">
        <v>0</v>
      </c>
      <c r="AZ30" s="25">
        <v>0</v>
      </c>
      <c r="BA30" s="25">
        <v>0</v>
      </c>
      <c r="BB30" s="25">
        <v>0</v>
      </c>
      <c r="BC30" s="25">
        <v>0</v>
      </c>
      <c r="BD30" s="25">
        <v>0</v>
      </c>
      <c r="BE30" s="25">
        <v>0</v>
      </c>
      <c r="BF30" s="25">
        <v>0</v>
      </c>
      <c r="BG30" s="25">
        <v>0</v>
      </c>
      <c r="BH30" s="25">
        <v>0</v>
      </c>
      <c r="BI30" s="25">
        <v>13</v>
      </c>
      <c r="BJ30" s="25">
        <v>13</v>
      </c>
      <c r="BK30" s="25">
        <v>13</v>
      </c>
      <c r="BL30" s="25">
        <v>13</v>
      </c>
      <c r="BM30" s="25">
        <v>13</v>
      </c>
      <c r="BN30" s="25">
        <v>13</v>
      </c>
      <c r="BO30" s="25">
        <v>13</v>
      </c>
      <c r="BP30" s="25">
        <v>13</v>
      </c>
      <c r="BQ30" s="25">
        <v>13</v>
      </c>
      <c r="BR30" s="25">
        <v>13</v>
      </c>
      <c r="BS30" s="25">
        <v>13</v>
      </c>
      <c r="BT30" s="25">
        <v>13</v>
      </c>
      <c r="BU30" s="25">
        <v>13</v>
      </c>
      <c r="BV30" s="25">
        <v>13</v>
      </c>
      <c r="BW30" s="25">
        <v>13</v>
      </c>
      <c r="BX30" s="25">
        <v>13</v>
      </c>
      <c r="BY30" s="25">
        <v>13</v>
      </c>
      <c r="BZ30" s="25">
        <v>13</v>
      </c>
      <c r="CA30" s="25">
        <v>13</v>
      </c>
      <c r="CB30" s="25">
        <v>13</v>
      </c>
      <c r="CC30" s="25">
        <v>0</v>
      </c>
      <c r="CD30" s="25">
        <v>13</v>
      </c>
      <c r="CE30" s="25">
        <v>13</v>
      </c>
      <c r="CF30" s="25">
        <v>13</v>
      </c>
      <c r="CG30" s="25">
        <v>13</v>
      </c>
      <c r="CH30" s="25">
        <v>13</v>
      </c>
      <c r="CI30" s="25">
        <v>13</v>
      </c>
      <c r="CJ30" s="25">
        <v>13</v>
      </c>
      <c r="CK30" s="25">
        <v>13</v>
      </c>
      <c r="CL30" s="25">
        <v>13</v>
      </c>
      <c r="CM30" s="25">
        <v>13</v>
      </c>
      <c r="CN30" s="25">
        <v>13</v>
      </c>
      <c r="CO30" s="25">
        <v>13</v>
      </c>
      <c r="CP30" s="25">
        <v>13</v>
      </c>
      <c r="CQ30" s="25">
        <v>0</v>
      </c>
      <c r="CR30" s="25">
        <v>13</v>
      </c>
      <c r="CS30" s="25">
        <v>13</v>
      </c>
      <c r="CT30" s="25">
        <v>13</v>
      </c>
      <c r="CU30" s="25">
        <v>13</v>
      </c>
      <c r="CV30" s="25">
        <v>13</v>
      </c>
      <c r="CW30" s="25">
        <v>13</v>
      </c>
      <c r="CX30" s="23" t="s">
        <v>48</v>
      </c>
    </row>
    <row r="31" spans="2:102" x14ac:dyDescent="0.25">
      <c r="B31" s="26">
        <f>SUM(L31:CW31)</f>
      </c>
      <c r="D31" s="27">
        <f>B31*E31</f>
      </c>
      <c r="E31" s="27">
        <f>'Rate Tables'!C9</f>
      </c>
      <c r="F31" s="8" t="s">
        <v>39</v>
      </c>
      <c r="L31" s="26">
        <f>IF(L$6="","",IF(WEEKDAY(L$6,1)=1,0,MIN(8,L30)*L29))</f>
      </c>
      <c r="M31" s="26">
        <f>IF(M$6="","",IF(WEEKDAY(M$6,1)=1,0,MIN(8,M30)*M29))</f>
      </c>
      <c r="N31" s="26">
        <f>IF(N$6="","",IF(WEEKDAY(N$6,1)=1,0,MIN(8,N30)*N29))</f>
      </c>
      <c r="O31" s="26">
        <f>IF(O$6="","",IF(WEEKDAY(O$6,1)=1,0,MIN(8,O30)*O29))</f>
      </c>
      <c r="P31" s="26">
        <f>IF(P$6="","",IF(WEEKDAY(P$6,1)=1,0,MIN(8,P30)*P29))</f>
      </c>
      <c r="Q31" s="26">
        <f>IF(Q$6="","",IF(WEEKDAY(Q$6,1)=1,0,MIN(8,Q30)*Q29))</f>
      </c>
      <c r="R31" s="26">
        <f>IF(R$6="","",IF(WEEKDAY(R$6,1)=1,0,MIN(8,R30)*R29))</f>
      </c>
      <c r="S31" s="26">
        <f>IF(S$6="","",IF(WEEKDAY(S$6,1)=1,0,MIN(8,S30)*S29))</f>
      </c>
      <c r="T31" s="26">
        <f>IF(T$6="","",IF(WEEKDAY(T$6,1)=1,0,MIN(8,T30)*T29))</f>
      </c>
      <c r="U31" s="26">
        <f>IF(U$6="","",IF(WEEKDAY(U$6,1)=1,0,MIN(8,U30)*U29))</f>
      </c>
      <c r="V31" s="26">
        <f>IF(V$6="","",IF(WEEKDAY(V$6,1)=1,0,MIN(8,V30)*V29))</f>
      </c>
      <c r="W31" s="26">
        <f>IF(W$6="","",IF(WEEKDAY(W$6,1)=1,0,MIN(8,W30)*W29))</f>
      </c>
      <c r="X31" s="26">
        <f>IF(X$6="","",IF(WEEKDAY(X$6,1)=1,0,MIN(8,X30)*X29))</f>
      </c>
      <c r="Y31" s="26">
        <f>IF(Y$6="","",IF(WEEKDAY(Y$6,1)=1,0,MIN(8,Y30)*Y29))</f>
      </c>
      <c r="Z31" s="26">
        <f>IF(Z$6="","",IF(WEEKDAY(Z$6,1)=1,0,MIN(8,Z30)*Z29))</f>
      </c>
      <c r="AA31" s="26">
        <f>IF(AA$6="","",IF(WEEKDAY(AA$6,1)=1,0,MIN(8,AA30)*AA29))</f>
      </c>
      <c r="AB31" s="26">
        <f>IF(AB$6="","",IF(WEEKDAY(AB$6,1)=1,0,MIN(8,AB30)*AB29))</f>
      </c>
      <c r="AC31" s="26">
        <f>IF(AC$6="","",IF(WEEKDAY(AC$6,1)=1,0,MIN(8,AC30)*AC29))</f>
      </c>
      <c r="AD31" s="26">
        <f>IF(AD$6="","",IF(WEEKDAY(AD$6,1)=1,0,MIN(8,AD30)*AD29))</f>
      </c>
      <c r="AE31" s="26">
        <f>IF(AE$6="","",IF(WEEKDAY(AE$6,1)=1,0,MIN(8,AE30)*AE29))</f>
      </c>
      <c r="AF31" s="26">
        <f>IF(AF$6="","",IF(WEEKDAY(AF$6,1)=1,0,MIN(8,AF30)*AF29))</f>
      </c>
      <c r="AG31" s="26">
        <f>IF(AG$6="","",IF(WEEKDAY(AG$6,1)=1,0,MIN(8,AG30)*AG29))</f>
      </c>
      <c r="AH31" s="26">
        <f>IF(AH$6="","",IF(WEEKDAY(AH$6,1)=1,0,MIN(8,AH30)*AH29))</f>
      </c>
      <c r="AI31" s="26">
        <f>IF(AI$6="","",IF(WEEKDAY(AI$6,1)=1,0,MIN(8,AI30)*AI29))</f>
      </c>
      <c r="AJ31" s="26">
        <f>IF(AJ$6="","",IF(WEEKDAY(AJ$6,1)=1,0,MIN(8,AJ30)*AJ29))</f>
      </c>
      <c r="AK31" s="26">
        <f>IF(AK$6="","",IF(WEEKDAY(AK$6,1)=1,0,MIN(8,AK30)*AK29))</f>
      </c>
      <c r="AL31" s="26">
        <f>IF(AL$6="","",IF(WEEKDAY(AL$6,1)=1,0,MIN(8,AL30)*AL29))</f>
      </c>
      <c r="AM31" s="26">
        <f>IF(AM$6="","",IF(WEEKDAY(AM$6,1)=1,0,MIN(8,AM30)*AM29))</f>
      </c>
      <c r="AN31" s="26">
        <f>IF(AN$6="","",IF(WEEKDAY(AN$6,1)=1,0,MIN(8,AN30)*AN29))</f>
      </c>
      <c r="AO31" s="26">
        <f>IF(AO$6="","",IF(WEEKDAY(AO$6,1)=1,0,MIN(8,AO30)*AO29))</f>
      </c>
      <c r="AP31" s="26">
        <f>IF(AP$6="","",IF(WEEKDAY(AP$6,1)=1,0,MIN(8,AP30)*AP29))</f>
      </c>
      <c r="AQ31" s="26">
        <f>IF(AQ$6="","",IF(WEEKDAY(AQ$6,1)=1,0,MIN(8,AQ30)*AQ29))</f>
      </c>
      <c r="AR31" s="26">
        <f>IF(AR$6="","",IF(WEEKDAY(AR$6,1)=1,0,MIN(8,AR30)*AR29))</f>
      </c>
      <c r="AS31" s="26">
        <f>IF(AS$6="","",IF(WEEKDAY(AS$6,1)=1,0,MIN(8,AS30)*AS29))</f>
      </c>
      <c r="AT31" s="26">
        <f>IF(AT$6="","",IF(WEEKDAY(AT$6,1)=1,0,MIN(8,AT30)*AT29))</f>
      </c>
      <c r="AU31" s="26">
        <f>IF(AU$6="","",IF(WEEKDAY(AU$6,1)=1,0,MIN(8,AU30)*AU29))</f>
      </c>
      <c r="AV31" s="26">
        <f>IF(AV$6="","",IF(WEEKDAY(AV$6,1)=1,0,MIN(8,AV30)*AV29))</f>
      </c>
      <c r="AW31" s="26">
        <f>IF(AW$6="","",IF(WEEKDAY(AW$6,1)=1,0,MIN(8,AW30)*AW29))</f>
      </c>
      <c r="AX31" s="26">
        <f>IF(AX$6="","",IF(WEEKDAY(AX$6,1)=1,0,MIN(8,AX30)*AX29))</f>
      </c>
      <c r="AY31" s="26">
        <f>IF(AY$6="","",IF(WEEKDAY(AY$6,1)=1,0,MIN(8,AY30)*AY29))</f>
      </c>
      <c r="AZ31" s="26">
        <f>IF(AZ$6="","",IF(WEEKDAY(AZ$6,1)=1,0,MIN(8,AZ30)*AZ29))</f>
      </c>
      <c r="BA31" s="26">
        <f>IF(BA$6="","",IF(WEEKDAY(BA$6,1)=1,0,MIN(8,BA30)*BA29))</f>
      </c>
      <c r="BB31" s="26">
        <f>IF(BB$6="","",IF(WEEKDAY(BB$6,1)=1,0,MIN(8,BB30)*BB29))</f>
      </c>
      <c r="BC31" s="26">
        <f>IF(BC$6="","",IF(WEEKDAY(BC$6,1)=1,0,MIN(8,BC30)*BC29))</f>
      </c>
      <c r="BD31" s="26">
        <f>IF(BD$6="","",IF(WEEKDAY(BD$6,1)=1,0,MIN(8,BD30)*BD29))</f>
      </c>
      <c r="BE31" s="26">
        <f>IF(BE$6="","",IF(WEEKDAY(BE$6,1)=1,0,MIN(8,BE30)*BE29))</f>
      </c>
      <c r="BF31" s="26">
        <f>IF(BF$6="","",IF(WEEKDAY(BF$6,1)=1,0,MIN(8,BF30)*BF29))</f>
      </c>
      <c r="BG31" s="26">
        <f>IF(BG$6="","",IF(WEEKDAY(BG$6,1)=1,0,MIN(8,BG30)*BG29))</f>
      </c>
      <c r="BH31" s="26">
        <f>IF(BH$6="","",IF(WEEKDAY(BH$6,1)=1,0,MIN(8,BH30)*BH29))</f>
      </c>
      <c r="BI31" s="26">
        <f>IF(BI$6="","",IF(WEEKDAY(BI$6,1)=1,0,MIN(8,BI30)*BI29))</f>
      </c>
      <c r="BJ31" s="26">
        <f>IF(BJ$6="","",IF(WEEKDAY(BJ$6,1)=1,0,MIN(8,BJ30)*BJ29))</f>
      </c>
      <c r="BK31" s="26">
        <f>IF(BK$6="","",IF(WEEKDAY(BK$6,1)=1,0,MIN(8,BK30)*BK29))</f>
      </c>
      <c r="BL31" s="26">
        <f>IF(BL$6="","",IF(WEEKDAY(BL$6,1)=1,0,MIN(8,BL30)*BL29))</f>
      </c>
      <c r="BM31" s="26">
        <f>IF(BM$6="","",IF(WEEKDAY(BM$6,1)=1,0,MIN(8,BM30)*BM29))</f>
      </c>
      <c r="BN31" s="26">
        <f>IF(BN$6="","",IF(WEEKDAY(BN$6,1)=1,0,MIN(8,BN30)*BN29))</f>
      </c>
      <c r="BO31" s="26">
        <f>IF(BO$6="","",IF(WEEKDAY(BO$6,1)=1,0,MIN(8,BO30)*BO29))</f>
      </c>
      <c r="BP31" s="26">
        <f>IF(BP$6="","",IF(WEEKDAY(BP$6,1)=1,0,MIN(8,BP30)*BP29))</f>
      </c>
      <c r="BQ31" s="26">
        <f>IF(BQ$6="","",IF(WEEKDAY(BQ$6,1)=1,0,MIN(8,BQ30)*BQ29))</f>
      </c>
      <c r="BR31" s="26">
        <f>IF(BR$6="","",IF(WEEKDAY(BR$6,1)=1,0,MIN(8,BR30)*BR29))</f>
      </c>
      <c r="BS31" s="26">
        <f>IF(BS$6="","",IF(WEEKDAY(BS$6,1)=1,0,MIN(8,BS30)*BS29))</f>
      </c>
      <c r="BT31" s="26">
        <f>IF(BT$6="","",IF(WEEKDAY(BT$6,1)=1,0,MIN(8,BT30)*BT29))</f>
      </c>
      <c r="BU31" s="26">
        <f>IF(BU$6="","",IF(WEEKDAY(BU$6,1)=1,0,MIN(8,BU30)*BU29))</f>
      </c>
      <c r="BV31" s="26">
        <f>IF(BV$6="","",IF(WEEKDAY(BV$6,1)=1,0,MIN(8,BV30)*BV29))</f>
      </c>
      <c r="BW31" s="26">
        <f>IF(BW$6="","",IF(WEEKDAY(BW$6,1)=1,0,MIN(8,BW30)*BW29))</f>
      </c>
      <c r="BX31" s="26">
        <f>IF(BX$6="","",IF(WEEKDAY(BX$6,1)=1,0,MIN(8,BX30)*BX29))</f>
      </c>
      <c r="BY31" s="26">
        <f>IF(BY$6="","",IF(WEEKDAY(BY$6,1)=1,0,MIN(8,BY30)*BY29))</f>
      </c>
      <c r="BZ31" s="26">
        <f>IF(BZ$6="","",IF(WEEKDAY(BZ$6,1)=1,0,MIN(8,BZ30)*BZ29))</f>
      </c>
      <c r="CA31" s="26">
        <f>IF(CA$6="","",IF(WEEKDAY(CA$6,1)=1,0,MIN(8,CA30)*CA29))</f>
      </c>
      <c r="CB31" s="26">
        <f>IF(CB$6="","",IF(WEEKDAY(CB$6,1)=1,0,MIN(8,CB30)*CB29))</f>
      </c>
      <c r="CC31" s="26">
        <f>IF(CC$6="","",IF(WEEKDAY(CC$6,1)=1,0,MIN(8,CC30)*CC29))</f>
      </c>
      <c r="CD31" s="26">
        <f>IF(CD$6="","",IF(WEEKDAY(CD$6,1)=1,0,MIN(8,CD30)*CD29))</f>
      </c>
      <c r="CE31" s="26">
        <f>IF(CE$6="","",IF(WEEKDAY(CE$6,1)=1,0,MIN(8,CE30)*CE29))</f>
      </c>
      <c r="CF31" s="26">
        <f>IF(CF$6="","",IF(WEEKDAY(CF$6,1)=1,0,MIN(8,CF30)*CF29))</f>
      </c>
      <c r="CG31" s="26">
        <f>IF(CG$6="","",IF(WEEKDAY(CG$6,1)=1,0,MIN(8,CG30)*CG29))</f>
      </c>
      <c r="CH31" s="26">
        <f>IF(CH$6="","",IF(WEEKDAY(CH$6,1)=1,0,MIN(8,CH30)*CH29))</f>
      </c>
      <c r="CI31" s="26">
        <f>IF(CI$6="","",IF(WEEKDAY(CI$6,1)=1,0,MIN(8,CI30)*CI29))</f>
      </c>
      <c r="CJ31" s="26">
        <f>IF(CJ$6="","",IF(WEEKDAY(CJ$6,1)=1,0,MIN(8,CJ30)*CJ29))</f>
      </c>
      <c r="CK31" s="26">
        <f>IF(CK$6="","",IF(WEEKDAY(CK$6,1)=1,0,MIN(8,CK30)*CK29))</f>
      </c>
      <c r="CL31" s="26">
        <f>IF(CL$6="","",IF(WEEKDAY(CL$6,1)=1,0,MIN(8,CL30)*CL29))</f>
      </c>
      <c r="CM31" s="26">
        <f>IF(CM$6="","",IF(WEEKDAY(CM$6,1)=1,0,MIN(8,CM30)*CM29))</f>
      </c>
      <c r="CN31" s="26">
        <f>IF(CN$6="","",IF(WEEKDAY(CN$6,1)=1,0,MIN(8,CN30)*CN29))</f>
      </c>
      <c r="CO31" s="26">
        <f>IF(CO$6="","",IF(WEEKDAY(CO$6,1)=1,0,MIN(8,CO30)*CO29))</f>
      </c>
      <c r="CP31" s="26">
        <f>IF(CP$6="","",IF(WEEKDAY(CP$6,1)=1,0,MIN(8,CP30)*CP29))</f>
      </c>
      <c r="CQ31" s="26">
        <f>IF(CQ$6="","",IF(WEEKDAY(CQ$6,1)=1,0,MIN(8,CQ30)*CQ29))</f>
      </c>
      <c r="CR31" s="26">
        <f>IF(CR$6="","",IF(WEEKDAY(CR$6,1)=1,0,MIN(8,CR30)*CR29))</f>
      </c>
      <c r="CS31" s="26">
        <f>IF(CS$6="","",IF(WEEKDAY(CS$6,1)=1,0,MIN(8,CS30)*CS29))</f>
      </c>
      <c r="CT31" s="26">
        <f>IF(CT$6="","",IF(WEEKDAY(CT$6,1)=1,0,MIN(8,CT30)*CT29))</f>
      </c>
      <c r="CU31" s="26">
        <f>IF(CU$6="","",IF(WEEKDAY(CU$6,1)=1,0,MIN(8,CU30)*CU29))</f>
      </c>
      <c r="CV31" s="26">
        <f>IF(CV$6="","",IF(WEEKDAY(CV$6,1)=1,0,MIN(8,CV30)*CV29))</f>
      </c>
      <c r="CW31" s="26">
        <f>IF(CW$6="","",IF(WEEKDAY(CW$6,1)=1,0,MIN(8,CW30)*CW29))</f>
      </c>
      <c r="CX31" s="8" t="s">
        <v>48</v>
      </c>
    </row>
    <row r="32" spans="2:102" x14ac:dyDescent="0.25">
      <c r="B32" s="26">
        <f>SUM(L32:CW32)</f>
      </c>
      <c r="D32" s="27">
        <f>B32*E32</f>
      </c>
      <c r="E32" s="27">
        <f>'Rate Tables'!D9</f>
      </c>
      <c r="F32" s="8" t="s">
        <v>40</v>
      </c>
      <c r="L32" s="26">
        <f>IF(L$6="","",IF(WEEKDAY(L$6,1)=1,0,MAX(0,L30-8)*L29))</f>
      </c>
      <c r="M32" s="26">
        <f>IF(M$6="","",IF(WEEKDAY(M$6,1)=1,0,MAX(0,M30-8)*M29))</f>
      </c>
      <c r="N32" s="26">
        <f>IF(N$6="","",IF(WEEKDAY(N$6,1)=1,0,MAX(0,N30-8)*N29))</f>
      </c>
      <c r="O32" s="26">
        <f>IF(O$6="","",IF(WEEKDAY(O$6,1)=1,0,MAX(0,O30-8)*O29))</f>
      </c>
      <c r="P32" s="26">
        <f>IF(P$6="","",IF(WEEKDAY(P$6,1)=1,0,MAX(0,P30-8)*P29))</f>
      </c>
      <c r="Q32" s="26">
        <f>IF(Q$6="","",IF(WEEKDAY(Q$6,1)=1,0,MAX(0,Q30-8)*Q29))</f>
      </c>
      <c r="R32" s="26">
        <f>IF(R$6="","",IF(WEEKDAY(R$6,1)=1,0,MAX(0,R30-8)*R29))</f>
      </c>
      <c r="S32" s="26">
        <f>IF(S$6="","",IF(WEEKDAY(S$6,1)=1,0,MAX(0,S30-8)*S29))</f>
      </c>
      <c r="T32" s="26">
        <f>IF(T$6="","",IF(WEEKDAY(T$6,1)=1,0,MAX(0,T30-8)*T29))</f>
      </c>
      <c r="U32" s="26">
        <f>IF(U$6="","",IF(WEEKDAY(U$6,1)=1,0,MAX(0,U30-8)*U29))</f>
      </c>
      <c r="V32" s="26">
        <f>IF(V$6="","",IF(WEEKDAY(V$6,1)=1,0,MAX(0,V30-8)*V29))</f>
      </c>
      <c r="W32" s="26">
        <f>IF(W$6="","",IF(WEEKDAY(W$6,1)=1,0,MAX(0,W30-8)*W29))</f>
      </c>
      <c r="X32" s="26">
        <f>IF(X$6="","",IF(WEEKDAY(X$6,1)=1,0,MAX(0,X30-8)*X29))</f>
      </c>
      <c r="Y32" s="26">
        <f>IF(Y$6="","",IF(WEEKDAY(Y$6,1)=1,0,MAX(0,Y30-8)*Y29))</f>
      </c>
      <c r="Z32" s="26">
        <f>IF(Z$6="","",IF(WEEKDAY(Z$6,1)=1,0,MAX(0,Z30-8)*Z29))</f>
      </c>
      <c r="AA32" s="26">
        <f>IF(AA$6="","",IF(WEEKDAY(AA$6,1)=1,0,MAX(0,AA30-8)*AA29))</f>
      </c>
      <c r="AB32" s="26">
        <f>IF(AB$6="","",IF(WEEKDAY(AB$6,1)=1,0,MAX(0,AB30-8)*AB29))</f>
      </c>
      <c r="AC32" s="26">
        <f>IF(AC$6="","",IF(WEEKDAY(AC$6,1)=1,0,MAX(0,AC30-8)*AC29))</f>
      </c>
      <c r="AD32" s="26">
        <f>IF(AD$6="","",IF(WEEKDAY(AD$6,1)=1,0,MAX(0,AD30-8)*AD29))</f>
      </c>
      <c r="AE32" s="26">
        <f>IF(AE$6="","",IF(WEEKDAY(AE$6,1)=1,0,MAX(0,AE30-8)*AE29))</f>
      </c>
      <c r="AF32" s="26">
        <f>IF(AF$6="","",IF(WEEKDAY(AF$6,1)=1,0,MAX(0,AF30-8)*AF29))</f>
      </c>
      <c r="AG32" s="26">
        <f>IF(AG$6="","",IF(WEEKDAY(AG$6,1)=1,0,MAX(0,AG30-8)*AG29))</f>
      </c>
      <c r="AH32" s="26">
        <f>IF(AH$6="","",IF(WEEKDAY(AH$6,1)=1,0,MAX(0,AH30-8)*AH29))</f>
      </c>
      <c r="AI32" s="26">
        <f>IF(AI$6="","",IF(WEEKDAY(AI$6,1)=1,0,MAX(0,AI30-8)*AI29))</f>
      </c>
      <c r="AJ32" s="26">
        <f>IF(AJ$6="","",IF(WEEKDAY(AJ$6,1)=1,0,MAX(0,AJ30-8)*AJ29))</f>
      </c>
      <c r="AK32" s="26">
        <f>IF(AK$6="","",IF(WEEKDAY(AK$6,1)=1,0,MAX(0,AK30-8)*AK29))</f>
      </c>
      <c r="AL32" s="26">
        <f>IF(AL$6="","",IF(WEEKDAY(AL$6,1)=1,0,MAX(0,AL30-8)*AL29))</f>
      </c>
      <c r="AM32" s="26">
        <f>IF(AM$6="","",IF(WEEKDAY(AM$6,1)=1,0,MAX(0,AM30-8)*AM29))</f>
      </c>
      <c r="AN32" s="26">
        <f>IF(AN$6="","",IF(WEEKDAY(AN$6,1)=1,0,MAX(0,AN30-8)*AN29))</f>
      </c>
      <c r="AO32" s="26">
        <f>IF(AO$6="","",IF(WEEKDAY(AO$6,1)=1,0,MAX(0,AO30-8)*AO29))</f>
      </c>
      <c r="AP32" s="26">
        <f>IF(AP$6="","",IF(WEEKDAY(AP$6,1)=1,0,MAX(0,AP30-8)*AP29))</f>
      </c>
      <c r="AQ32" s="26">
        <f>IF(AQ$6="","",IF(WEEKDAY(AQ$6,1)=1,0,MAX(0,AQ30-8)*AQ29))</f>
      </c>
      <c r="AR32" s="26">
        <f>IF(AR$6="","",IF(WEEKDAY(AR$6,1)=1,0,MAX(0,AR30-8)*AR29))</f>
      </c>
      <c r="AS32" s="26">
        <f>IF(AS$6="","",IF(WEEKDAY(AS$6,1)=1,0,MAX(0,AS30-8)*AS29))</f>
      </c>
      <c r="AT32" s="26">
        <f>IF(AT$6="","",IF(WEEKDAY(AT$6,1)=1,0,MAX(0,AT30-8)*AT29))</f>
      </c>
      <c r="AU32" s="26">
        <f>IF(AU$6="","",IF(WEEKDAY(AU$6,1)=1,0,MAX(0,AU30-8)*AU29))</f>
      </c>
      <c r="AV32" s="26">
        <f>IF(AV$6="","",IF(WEEKDAY(AV$6,1)=1,0,MAX(0,AV30-8)*AV29))</f>
      </c>
      <c r="AW32" s="26">
        <f>IF(AW$6="","",IF(WEEKDAY(AW$6,1)=1,0,MAX(0,AW30-8)*AW29))</f>
      </c>
      <c r="AX32" s="26">
        <f>IF(AX$6="","",IF(WEEKDAY(AX$6,1)=1,0,MAX(0,AX30-8)*AX29))</f>
      </c>
      <c r="AY32" s="26">
        <f>IF(AY$6="","",IF(WEEKDAY(AY$6,1)=1,0,MAX(0,AY30-8)*AY29))</f>
      </c>
      <c r="AZ32" s="26">
        <f>IF(AZ$6="","",IF(WEEKDAY(AZ$6,1)=1,0,MAX(0,AZ30-8)*AZ29))</f>
      </c>
      <c r="BA32" s="26">
        <f>IF(BA$6="","",IF(WEEKDAY(BA$6,1)=1,0,MAX(0,BA30-8)*BA29))</f>
      </c>
      <c r="BB32" s="26">
        <f>IF(BB$6="","",IF(WEEKDAY(BB$6,1)=1,0,MAX(0,BB30-8)*BB29))</f>
      </c>
      <c r="BC32" s="26">
        <f>IF(BC$6="","",IF(WEEKDAY(BC$6,1)=1,0,MAX(0,BC30-8)*BC29))</f>
      </c>
      <c r="BD32" s="26">
        <f>IF(BD$6="","",IF(WEEKDAY(BD$6,1)=1,0,MAX(0,BD30-8)*BD29))</f>
      </c>
      <c r="BE32" s="26">
        <f>IF(BE$6="","",IF(WEEKDAY(BE$6,1)=1,0,MAX(0,BE30-8)*BE29))</f>
      </c>
      <c r="BF32" s="26">
        <f>IF(BF$6="","",IF(WEEKDAY(BF$6,1)=1,0,MAX(0,BF30-8)*BF29))</f>
      </c>
      <c r="BG32" s="26">
        <f>IF(BG$6="","",IF(WEEKDAY(BG$6,1)=1,0,MAX(0,BG30-8)*BG29))</f>
      </c>
      <c r="BH32" s="26">
        <f>IF(BH$6="","",IF(WEEKDAY(BH$6,1)=1,0,MAX(0,BH30-8)*BH29))</f>
      </c>
      <c r="BI32" s="26">
        <f>IF(BI$6="","",IF(WEEKDAY(BI$6,1)=1,0,MAX(0,BI30-8)*BI29))</f>
      </c>
      <c r="BJ32" s="26">
        <f>IF(BJ$6="","",IF(WEEKDAY(BJ$6,1)=1,0,MAX(0,BJ30-8)*BJ29))</f>
      </c>
      <c r="BK32" s="26">
        <f>IF(BK$6="","",IF(WEEKDAY(BK$6,1)=1,0,MAX(0,BK30-8)*BK29))</f>
      </c>
      <c r="BL32" s="26">
        <f>IF(BL$6="","",IF(WEEKDAY(BL$6,1)=1,0,MAX(0,BL30-8)*BL29))</f>
      </c>
      <c r="BM32" s="26">
        <f>IF(BM$6="","",IF(WEEKDAY(BM$6,1)=1,0,MAX(0,BM30-8)*BM29))</f>
      </c>
      <c r="BN32" s="26">
        <f>IF(BN$6="","",IF(WEEKDAY(BN$6,1)=1,0,MAX(0,BN30-8)*BN29))</f>
      </c>
      <c r="BO32" s="26">
        <f>IF(BO$6="","",IF(WEEKDAY(BO$6,1)=1,0,MAX(0,BO30-8)*BO29))</f>
      </c>
      <c r="BP32" s="26">
        <f>IF(BP$6="","",IF(WEEKDAY(BP$6,1)=1,0,MAX(0,BP30-8)*BP29))</f>
      </c>
      <c r="BQ32" s="26">
        <f>IF(BQ$6="","",IF(WEEKDAY(BQ$6,1)=1,0,MAX(0,BQ30-8)*BQ29))</f>
      </c>
      <c r="BR32" s="26">
        <f>IF(BR$6="","",IF(WEEKDAY(BR$6,1)=1,0,MAX(0,BR30-8)*BR29))</f>
      </c>
      <c r="BS32" s="26">
        <f>IF(BS$6="","",IF(WEEKDAY(BS$6,1)=1,0,MAX(0,BS30-8)*BS29))</f>
      </c>
      <c r="BT32" s="26">
        <f>IF(BT$6="","",IF(WEEKDAY(BT$6,1)=1,0,MAX(0,BT30-8)*BT29))</f>
      </c>
      <c r="BU32" s="26">
        <f>IF(BU$6="","",IF(WEEKDAY(BU$6,1)=1,0,MAX(0,BU30-8)*BU29))</f>
      </c>
      <c r="BV32" s="26">
        <f>IF(BV$6="","",IF(WEEKDAY(BV$6,1)=1,0,MAX(0,BV30-8)*BV29))</f>
      </c>
      <c r="BW32" s="26">
        <f>IF(BW$6="","",IF(WEEKDAY(BW$6,1)=1,0,MAX(0,BW30-8)*BW29))</f>
      </c>
      <c r="BX32" s="26">
        <f>IF(BX$6="","",IF(WEEKDAY(BX$6,1)=1,0,MAX(0,BX30-8)*BX29))</f>
      </c>
      <c r="BY32" s="26">
        <f>IF(BY$6="","",IF(WEEKDAY(BY$6,1)=1,0,MAX(0,BY30-8)*BY29))</f>
      </c>
      <c r="BZ32" s="26">
        <f>IF(BZ$6="","",IF(WEEKDAY(BZ$6,1)=1,0,MAX(0,BZ30-8)*BZ29))</f>
      </c>
      <c r="CA32" s="26">
        <f>IF(CA$6="","",IF(WEEKDAY(CA$6,1)=1,0,MAX(0,CA30-8)*CA29))</f>
      </c>
      <c r="CB32" s="26">
        <f>IF(CB$6="","",IF(WEEKDAY(CB$6,1)=1,0,MAX(0,CB30-8)*CB29))</f>
      </c>
      <c r="CC32" s="26">
        <f>IF(CC$6="","",IF(WEEKDAY(CC$6,1)=1,0,MAX(0,CC30-8)*CC29))</f>
      </c>
      <c r="CD32" s="26">
        <f>IF(CD$6="","",IF(WEEKDAY(CD$6,1)=1,0,MAX(0,CD30-8)*CD29))</f>
      </c>
      <c r="CE32" s="26">
        <f>IF(CE$6="","",IF(WEEKDAY(CE$6,1)=1,0,MAX(0,CE30-8)*CE29))</f>
      </c>
      <c r="CF32" s="26">
        <f>IF(CF$6="","",IF(WEEKDAY(CF$6,1)=1,0,MAX(0,CF30-8)*CF29))</f>
      </c>
      <c r="CG32" s="26">
        <f>IF(CG$6="","",IF(WEEKDAY(CG$6,1)=1,0,MAX(0,CG30-8)*CG29))</f>
      </c>
      <c r="CH32" s="26">
        <f>IF(CH$6="","",IF(WEEKDAY(CH$6,1)=1,0,MAX(0,CH30-8)*CH29))</f>
      </c>
      <c r="CI32" s="26">
        <f>IF(CI$6="","",IF(WEEKDAY(CI$6,1)=1,0,MAX(0,CI30-8)*CI29))</f>
      </c>
      <c r="CJ32" s="26">
        <f>IF(CJ$6="","",IF(WEEKDAY(CJ$6,1)=1,0,MAX(0,CJ30-8)*CJ29))</f>
      </c>
      <c r="CK32" s="26">
        <f>IF(CK$6="","",IF(WEEKDAY(CK$6,1)=1,0,MAX(0,CK30-8)*CK29))</f>
      </c>
      <c r="CL32" s="26">
        <f>IF(CL$6="","",IF(WEEKDAY(CL$6,1)=1,0,MAX(0,CL30-8)*CL29))</f>
      </c>
      <c r="CM32" s="26">
        <f>IF(CM$6="","",IF(WEEKDAY(CM$6,1)=1,0,MAX(0,CM30-8)*CM29))</f>
      </c>
      <c r="CN32" s="26">
        <f>IF(CN$6="","",IF(WEEKDAY(CN$6,1)=1,0,MAX(0,CN30-8)*CN29))</f>
      </c>
      <c r="CO32" s="26">
        <f>IF(CO$6="","",IF(WEEKDAY(CO$6,1)=1,0,MAX(0,CO30-8)*CO29))</f>
      </c>
      <c r="CP32" s="26">
        <f>IF(CP$6="","",IF(WEEKDAY(CP$6,1)=1,0,MAX(0,CP30-8)*CP29))</f>
      </c>
      <c r="CQ32" s="26">
        <f>IF(CQ$6="","",IF(WEEKDAY(CQ$6,1)=1,0,MAX(0,CQ30-8)*CQ29))</f>
      </c>
      <c r="CR32" s="26">
        <f>IF(CR$6="","",IF(WEEKDAY(CR$6,1)=1,0,MAX(0,CR30-8)*CR29))</f>
      </c>
      <c r="CS32" s="26">
        <f>IF(CS$6="","",IF(WEEKDAY(CS$6,1)=1,0,MAX(0,CS30-8)*CS29))</f>
      </c>
      <c r="CT32" s="26">
        <f>IF(CT$6="","",IF(WEEKDAY(CT$6,1)=1,0,MAX(0,CT30-8)*CT29))</f>
      </c>
      <c r="CU32" s="26">
        <f>IF(CU$6="","",IF(WEEKDAY(CU$6,1)=1,0,MAX(0,CU30-8)*CU29))</f>
      </c>
      <c r="CV32" s="26">
        <f>IF(CV$6="","",IF(WEEKDAY(CV$6,1)=1,0,MAX(0,CV30-8)*CV29))</f>
      </c>
      <c r="CW32" s="26">
        <f>IF(CW$6="","",IF(WEEKDAY(CW$6,1)=1,0,MAX(0,CW30-8)*CW29))</f>
      </c>
      <c r="CX32" s="8" t="s">
        <v>48</v>
      </c>
    </row>
    <row r="33" spans="2:102" x14ac:dyDescent="0.25">
      <c r="B33" s="26">
        <f>SUM(L33:CW33)</f>
      </c>
      <c r="D33" s="27">
        <f>B33*E33</f>
      </c>
      <c r="E33" s="27">
        <f>'Rate Tables'!E9</f>
      </c>
      <c r="F33" s="8" t="s">
        <v>41</v>
      </c>
      <c r="L33" s="26">
        <f>IF(L$6="","",IF(WEEKDAY(L$6,1)=1,L30*L29,0))</f>
      </c>
      <c r="M33" s="26">
        <f>IF(M$6="","",IF(WEEKDAY(M$6,1)=1,M30*M29,0))</f>
      </c>
      <c r="N33" s="26">
        <f>IF(N$6="","",IF(WEEKDAY(N$6,1)=1,N30*N29,0))</f>
      </c>
      <c r="O33" s="26">
        <f>IF(O$6="","",IF(WEEKDAY(O$6,1)=1,O30*O29,0))</f>
      </c>
      <c r="P33" s="26">
        <f>IF(P$6="","",IF(WEEKDAY(P$6,1)=1,P30*P29,0))</f>
      </c>
      <c r="Q33" s="26">
        <f>IF(Q$6="","",IF(WEEKDAY(Q$6,1)=1,Q30*Q29,0))</f>
      </c>
      <c r="R33" s="26">
        <f>IF(R$6="","",IF(WEEKDAY(R$6,1)=1,R30*R29,0))</f>
      </c>
      <c r="S33" s="26">
        <f>IF(S$6="","",IF(WEEKDAY(S$6,1)=1,S30*S29,0))</f>
      </c>
      <c r="T33" s="26">
        <f>IF(T$6="","",IF(WEEKDAY(T$6,1)=1,T30*T29,0))</f>
      </c>
      <c r="U33" s="26">
        <f>IF(U$6="","",IF(WEEKDAY(U$6,1)=1,U30*U29,0))</f>
      </c>
      <c r="V33" s="26">
        <f>IF(V$6="","",IF(WEEKDAY(V$6,1)=1,V30*V29,0))</f>
      </c>
      <c r="W33" s="26">
        <f>IF(W$6="","",IF(WEEKDAY(W$6,1)=1,W30*W29,0))</f>
      </c>
      <c r="X33" s="26">
        <f>IF(X$6="","",IF(WEEKDAY(X$6,1)=1,X30*X29,0))</f>
      </c>
      <c r="Y33" s="26">
        <f>IF(Y$6="","",IF(WEEKDAY(Y$6,1)=1,Y30*Y29,0))</f>
      </c>
      <c r="Z33" s="26">
        <f>IF(Z$6="","",IF(WEEKDAY(Z$6,1)=1,Z30*Z29,0))</f>
      </c>
      <c r="AA33" s="26">
        <f>IF(AA$6="","",IF(WEEKDAY(AA$6,1)=1,AA30*AA29,0))</f>
      </c>
      <c r="AB33" s="26">
        <f>IF(AB$6="","",IF(WEEKDAY(AB$6,1)=1,AB30*AB29,0))</f>
      </c>
      <c r="AC33" s="26">
        <f>IF(AC$6="","",IF(WEEKDAY(AC$6,1)=1,AC30*AC29,0))</f>
      </c>
      <c r="AD33" s="26">
        <f>IF(AD$6="","",IF(WEEKDAY(AD$6,1)=1,AD30*AD29,0))</f>
      </c>
      <c r="AE33" s="26">
        <f>IF(AE$6="","",IF(WEEKDAY(AE$6,1)=1,AE30*AE29,0))</f>
      </c>
      <c r="AF33" s="26">
        <f>IF(AF$6="","",IF(WEEKDAY(AF$6,1)=1,AF30*AF29,0))</f>
      </c>
      <c r="AG33" s="26">
        <f>IF(AG$6="","",IF(WEEKDAY(AG$6,1)=1,AG30*AG29,0))</f>
      </c>
      <c r="AH33" s="26">
        <f>IF(AH$6="","",IF(WEEKDAY(AH$6,1)=1,AH30*AH29,0))</f>
      </c>
      <c r="AI33" s="26">
        <f>IF(AI$6="","",IF(WEEKDAY(AI$6,1)=1,AI30*AI29,0))</f>
      </c>
      <c r="AJ33" s="26">
        <f>IF(AJ$6="","",IF(WEEKDAY(AJ$6,1)=1,AJ30*AJ29,0))</f>
      </c>
      <c r="AK33" s="26">
        <f>IF(AK$6="","",IF(WEEKDAY(AK$6,1)=1,AK30*AK29,0))</f>
      </c>
      <c r="AL33" s="26">
        <f>IF(AL$6="","",IF(WEEKDAY(AL$6,1)=1,AL30*AL29,0))</f>
      </c>
      <c r="AM33" s="26">
        <f>IF(AM$6="","",IF(WEEKDAY(AM$6,1)=1,AM30*AM29,0))</f>
      </c>
      <c r="AN33" s="26">
        <f>IF(AN$6="","",IF(WEEKDAY(AN$6,1)=1,AN30*AN29,0))</f>
      </c>
      <c r="AO33" s="26">
        <f>IF(AO$6="","",IF(WEEKDAY(AO$6,1)=1,AO30*AO29,0))</f>
      </c>
      <c r="AP33" s="26">
        <f>IF(AP$6="","",IF(WEEKDAY(AP$6,1)=1,AP30*AP29,0))</f>
      </c>
      <c r="AQ33" s="26">
        <f>IF(AQ$6="","",IF(WEEKDAY(AQ$6,1)=1,AQ30*AQ29,0))</f>
      </c>
      <c r="AR33" s="26">
        <f>IF(AR$6="","",IF(WEEKDAY(AR$6,1)=1,AR30*AR29,0))</f>
      </c>
      <c r="AS33" s="26">
        <f>IF(AS$6="","",IF(WEEKDAY(AS$6,1)=1,AS30*AS29,0))</f>
      </c>
      <c r="AT33" s="26">
        <f>IF(AT$6="","",IF(WEEKDAY(AT$6,1)=1,AT30*AT29,0))</f>
      </c>
      <c r="AU33" s="26">
        <f>IF(AU$6="","",IF(WEEKDAY(AU$6,1)=1,AU30*AU29,0))</f>
      </c>
      <c r="AV33" s="26">
        <f>IF(AV$6="","",IF(WEEKDAY(AV$6,1)=1,AV30*AV29,0))</f>
      </c>
      <c r="AW33" s="26">
        <f>IF(AW$6="","",IF(WEEKDAY(AW$6,1)=1,AW30*AW29,0))</f>
      </c>
      <c r="AX33" s="26">
        <f>IF(AX$6="","",IF(WEEKDAY(AX$6,1)=1,AX30*AX29,0))</f>
      </c>
      <c r="AY33" s="26">
        <f>IF(AY$6="","",IF(WEEKDAY(AY$6,1)=1,AY30*AY29,0))</f>
      </c>
      <c r="AZ33" s="26">
        <f>IF(AZ$6="","",IF(WEEKDAY(AZ$6,1)=1,AZ30*AZ29,0))</f>
      </c>
      <c r="BA33" s="26">
        <f>IF(BA$6="","",IF(WEEKDAY(BA$6,1)=1,BA30*BA29,0))</f>
      </c>
      <c r="BB33" s="26">
        <f>IF(BB$6="","",IF(WEEKDAY(BB$6,1)=1,BB30*BB29,0))</f>
      </c>
      <c r="BC33" s="26">
        <f>IF(BC$6="","",IF(WEEKDAY(BC$6,1)=1,BC30*BC29,0))</f>
      </c>
      <c r="BD33" s="26">
        <f>IF(BD$6="","",IF(WEEKDAY(BD$6,1)=1,BD30*BD29,0))</f>
      </c>
      <c r="BE33" s="26">
        <f>IF(BE$6="","",IF(WEEKDAY(BE$6,1)=1,BE30*BE29,0))</f>
      </c>
      <c r="BF33" s="26">
        <f>IF(BF$6="","",IF(WEEKDAY(BF$6,1)=1,BF30*BF29,0))</f>
      </c>
      <c r="BG33" s="26">
        <f>IF(BG$6="","",IF(WEEKDAY(BG$6,1)=1,BG30*BG29,0))</f>
      </c>
      <c r="BH33" s="26">
        <f>IF(BH$6="","",IF(WEEKDAY(BH$6,1)=1,BH30*BH29,0))</f>
      </c>
      <c r="BI33" s="26">
        <f>IF(BI$6="","",IF(WEEKDAY(BI$6,1)=1,BI30*BI29,0))</f>
      </c>
      <c r="BJ33" s="26">
        <f>IF(BJ$6="","",IF(WEEKDAY(BJ$6,1)=1,BJ30*BJ29,0))</f>
      </c>
      <c r="BK33" s="26">
        <f>IF(BK$6="","",IF(WEEKDAY(BK$6,1)=1,BK30*BK29,0))</f>
      </c>
      <c r="BL33" s="26">
        <f>IF(BL$6="","",IF(WEEKDAY(BL$6,1)=1,BL30*BL29,0))</f>
      </c>
      <c r="BM33" s="26">
        <f>IF(BM$6="","",IF(WEEKDAY(BM$6,1)=1,BM30*BM29,0))</f>
      </c>
      <c r="BN33" s="26">
        <f>IF(BN$6="","",IF(WEEKDAY(BN$6,1)=1,BN30*BN29,0))</f>
      </c>
      <c r="BO33" s="26">
        <f>IF(BO$6="","",IF(WEEKDAY(BO$6,1)=1,BO30*BO29,0))</f>
      </c>
      <c r="BP33" s="26">
        <f>IF(BP$6="","",IF(WEEKDAY(BP$6,1)=1,BP30*BP29,0))</f>
      </c>
      <c r="BQ33" s="26">
        <f>IF(BQ$6="","",IF(WEEKDAY(BQ$6,1)=1,BQ30*BQ29,0))</f>
      </c>
      <c r="BR33" s="26">
        <f>IF(BR$6="","",IF(WEEKDAY(BR$6,1)=1,BR30*BR29,0))</f>
      </c>
      <c r="BS33" s="26">
        <f>IF(BS$6="","",IF(WEEKDAY(BS$6,1)=1,BS30*BS29,0))</f>
      </c>
      <c r="BT33" s="26">
        <f>IF(BT$6="","",IF(WEEKDAY(BT$6,1)=1,BT30*BT29,0))</f>
      </c>
      <c r="BU33" s="26">
        <f>IF(BU$6="","",IF(WEEKDAY(BU$6,1)=1,BU30*BU29,0))</f>
      </c>
      <c r="BV33" s="26">
        <f>IF(BV$6="","",IF(WEEKDAY(BV$6,1)=1,BV30*BV29,0))</f>
      </c>
      <c r="BW33" s="26">
        <f>IF(BW$6="","",IF(WEEKDAY(BW$6,1)=1,BW30*BW29,0))</f>
      </c>
      <c r="BX33" s="26">
        <f>IF(BX$6="","",IF(WEEKDAY(BX$6,1)=1,BX30*BX29,0))</f>
      </c>
      <c r="BY33" s="26">
        <f>IF(BY$6="","",IF(WEEKDAY(BY$6,1)=1,BY30*BY29,0))</f>
      </c>
      <c r="BZ33" s="26">
        <f>IF(BZ$6="","",IF(WEEKDAY(BZ$6,1)=1,BZ30*BZ29,0))</f>
      </c>
      <c r="CA33" s="26">
        <f>IF(CA$6="","",IF(WEEKDAY(CA$6,1)=1,CA30*CA29,0))</f>
      </c>
      <c r="CB33" s="26">
        <f>IF(CB$6="","",IF(WEEKDAY(CB$6,1)=1,CB30*CB29,0))</f>
      </c>
      <c r="CC33" s="26">
        <f>IF(CC$6="","",IF(WEEKDAY(CC$6,1)=1,CC30*CC29,0))</f>
      </c>
      <c r="CD33" s="26">
        <f>IF(CD$6="","",IF(WEEKDAY(CD$6,1)=1,CD30*CD29,0))</f>
      </c>
      <c r="CE33" s="26">
        <f>IF(CE$6="","",IF(WEEKDAY(CE$6,1)=1,CE30*CE29,0))</f>
      </c>
      <c r="CF33" s="26">
        <f>IF(CF$6="","",IF(WEEKDAY(CF$6,1)=1,CF30*CF29,0))</f>
      </c>
      <c r="CG33" s="26">
        <f>IF(CG$6="","",IF(WEEKDAY(CG$6,1)=1,CG30*CG29,0))</f>
      </c>
      <c r="CH33" s="26">
        <f>IF(CH$6="","",IF(WEEKDAY(CH$6,1)=1,CH30*CH29,0))</f>
      </c>
      <c r="CI33" s="26">
        <f>IF(CI$6="","",IF(WEEKDAY(CI$6,1)=1,CI30*CI29,0))</f>
      </c>
      <c r="CJ33" s="26">
        <f>IF(CJ$6="","",IF(WEEKDAY(CJ$6,1)=1,CJ30*CJ29,0))</f>
      </c>
      <c r="CK33" s="26">
        <f>IF(CK$6="","",IF(WEEKDAY(CK$6,1)=1,CK30*CK29,0))</f>
      </c>
      <c r="CL33" s="26">
        <f>IF(CL$6="","",IF(WEEKDAY(CL$6,1)=1,CL30*CL29,0))</f>
      </c>
      <c r="CM33" s="26">
        <f>IF(CM$6="","",IF(WEEKDAY(CM$6,1)=1,CM30*CM29,0))</f>
      </c>
      <c r="CN33" s="26">
        <f>IF(CN$6="","",IF(WEEKDAY(CN$6,1)=1,CN30*CN29,0))</f>
      </c>
      <c r="CO33" s="26">
        <f>IF(CO$6="","",IF(WEEKDAY(CO$6,1)=1,CO30*CO29,0))</f>
      </c>
      <c r="CP33" s="26">
        <f>IF(CP$6="","",IF(WEEKDAY(CP$6,1)=1,CP30*CP29,0))</f>
      </c>
      <c r="CQ33" s="26">
        <f>IF(CQ$6="","",IF(WEEKDAY(CQ$6,1)=1,CQ30*CQ29,0))</f>
      </c>
      <c r="CR33" s="26">
        <f>IF(CR$6="","",IF(WEEKDAY(CR$6,1)=1,CR30*CR29,0))</f>
      </c>
      <c r="CS33" s="26">
        <f>IF(CS$6="","",IF(WEEKDAY(CS$6,1)=1,CS30*CS29,0))</f>
      </c>
      <c r="CT33" s="26">
        <f>IF(CT$6="","",IF(WEEKDAY(CT$6,1)=1,CT30*CT29,0))</f>
      </c>
      <c r="CU33" s="26">
        <f>IF(CU$6="","",IF(WEEKDAY(CU$6,1)=1,CU30*CU29,0))</f>
      </c>
      <c r="CV33" s="26">
        <f>IF(CV$6="","",IF(WEEKDAY(CV$6,1)=1,CV30*CV29,0))</f>
      </c>
      <c r="CW33" s="26">
        <f>IF(CW$6="","",IF(WEEKDAY(CW$6,1)=1,CW30*CW29,0))</f>
      </c>
      <c r="CX33" s="8" t="s">
        <v>48</v>
      </c>
    </row>
    <row r="34" spans="2:102" x14ac:dyDescent="0.25">
      <c r="B34" s="26">
        <f>SUM(L34:CW34)</f>
      </c>
      <c r="D34" s="27">
        <f>B34*E34</f>
      </c>
      <c r="E34" s="27">
        <v>140</v>
      </c>
      <c r="F34" s="8" t="s">
        <v>42</v>
      </c>
      <c r="L34" s="28">
        <v>0</v>
      </c>
      <c r="M34" s="28">
        <v>0</v>
      </c>
      <c r="N34" s="28">
        <v>0</v>
      </c>
      <c r="O34" s="28">
        <v>0</v>
      </c>
      <c r="P34" s="28">
        <v>0</v>
      </c>
      <c r="Q34" s="28">
        <v>0</v>
      </c>
      <c r="R34" s="28">
        <v>0</v>
      </c>
      <c r="S34" s="28">
        <v>0</v>
      </c>
      <c r="T34" s="28">
        <v>0</v>
      </c>
      <c r="U34" s="28">
        <v>0</v>
      </c>
      <c r="V34" s="28">
        <v>0</v>
      </c>
      <c r="W34" s="28">
        <v>0</v>
      </c>
      <c r="X34" s="28">
        <v>0</v>
      </c>
      <c r="Y34" s="28">
        <v>0</v>
      </c>
      <c r="Z34" s="28">
        <v>0</v>
      </c>
      <c r="AA34" s="28">
        <v>0</v>
      </c>
      <c r="AB34" s="28">
        <v>0</v>
      </c>
      <c r="AC34" s="28">
        <v>0</v>
      </c>
      <c r="AD34" s="28">
        <v>0</v>
      </c>
      <c r="AE34" s="28">
        <v>0</v>
      </c>
      <c r="AF34" s="28">
        <v>0</v>
      </c>
      <c r="AG34" s="28">
        <v>0</v>
      </c>
      <c r="AH34" s="28">
        <v>0</v>
      </c>
      <c r="AI34" s="28">
        <v>0</v>
      </c>
      <c r="AJ34" s="28">
        <v>0</v>
      </c>
      <c r="AK34" s="28">
        <v>0</v>
      </c>
      <c r="AL34" s="28">
        <v>0</v>
      </c>
      <c r="AM34" s="28">
        <v>0</v>
      </c>
      <c r="AN34" s="28">
        <v>0</v>
      </c>
      <c r="AO34" s="28">
        <v>0</v>
      </c>
      <c r="AP34" s="28">
        <v>0</v>
      </c>
      <c r="AQ34" s="28">
        <v>0</v>
      </c>
      <c r="AR34" s="28">
        <v>0</v>
      </c>
      <c r="AS34" s="28">
        <v>0</v>
      </c>
      <c r="AT34" s="28">
        <v>0</v>
      </c>
      <c r="AU34" s="28">
        <v>0</v>
      </c>
      <c r="AV34" s="28">
        <v>0</v>
      </c>
      <c r="AW34" s="28">
        <v>0</v>
      </c>
      <c r="AX34" s="28">
        <v>0</v>
      </c>
      <c r="AY34" s="28">
        <v>0</v>
      </c>
      <c r="AZ34" s="28">
        <v>0</v>
      </c>
      <c r="BA34" s="28">
        <v>0</v>
      </c>
      <c r="BB34" s="28">
        <v>0</v>
      </c>
      <c r="BC34" s="28">
        <v>0</v>
      </c>
      <c r="BD34" s="28">
        <v>0</v>
      </c>
      <c r="BE34" s="28">
        <v>0</v>
      </c>
      <c r="BF34" s="28">
        <v>0</v>
      </c>
      <c r="BG34" s="28">
        <v>0</v>
      </c>
      <c r="BH34" s="28">
        <v>0</v>
      </c>
      <c r="BI34" s="28">
        <v>1</v>
      </c>
      <c r="BJ34" s="28">
        <v>1</v>
      </c>
      <c r="BK34" s="28">
        <v>1</v>
      </c>
      <c r="BL34" s="28">
        <v>1</v>
      </c>
      <c r="BM34" s="28">
        <v>1</v>
      </c>
      <c r="BN34" s="28">
        <v>1</v>
      </c>
      <c r="BO34" s="28">
        <v>1</v>
      </c>
      <c r="BP34" s="28">
        <v>1</v>
      </c>
      <c r="BQ34" s="28">
        <v>1</v>
      </c>
      <c r="BR34" s="28">
        <v>1</v>
      </c>
      <c r="BS34" s="28">
        <v>1</v>
      </c>
      <c r="BT34" s="28">
        <v>1</v>
      </c>
      <c r="BU34" s="28">
        <v>1</v>
      </c>
      <c r="BV34" s="28">
        <v>1</v>
      </c>
      <c r="BW34" s="28">
        <v>1</v>
      </c>
      <c r="BX34" s="28">
        <v>1</v>
      </c>
      <c r="BY34" s="28">
        <v>1</v>
      </c>
      <c r="BZ34" s="28">
        <v>1</v>
      </c>
      <c r="CA34" s="28">
        <v>1</v>
      </c>
      <c r="CB34" s="28">
        <v>1</v>
      </c>
      <c r="CC34" s="28">
        <v>0</v>
      </c>
      <c r="CD34" s="28">
        <v>1</v>
      </c>
      <c r="CE34" s="28">
        <v>1</v>
      </c>
      <c r="CF34" s="28">
        <v>1</v>
      </c>
      <c r="CG34" s="28">
        <v>1</v>
      </c>
      <c r="CH34" s="28">
        <v>1</v>
      </c>
      <c r="CI34" s="28">
        <v>1</v>
      </c>
      <c r="CJ34" s="28">
        <v>1</v>
      </c>
      <c r="CK34" s="28">
        <v>1</v>
      </c>
      <c r="CL34" s="28">
        <v>1</v>
      </c>
      <c r="CM34" s="28">
        <v>1</v>
      </c>
      <c r="CN34" s="28">
        <v>1</v>
      </c>
      <c r="CO34" s="28">
        <v>1</v>
      </c>
      <c r="CP34" s="28">
        <v>1</v>
      </c>
      <c r="CQ34" s="28">
        <v>0</v>
      </c>
      <c r="CR34" s="28">
        <v>1</v>
      </c>
      <c r="CS34" s="28">
        <v>1</v>
      </c>
      <c r="CT34" s="28">
        <v>1</v>
      </c>
      <c r="CU34" s="28">
        <v>1</v>
      </c>
      <c r="CV34" s="28">
        <v>1</v>
      </c>
      <c r="CW34" s="28">
        <v>1</v>
      </c>
      <c r="CX34" s="8" t="s">
        <v>48</v>
      </c>
    </row>
    <row r="35" spans="1:102" x14ac:dyDescent="0.25">
      <c r="A35" s="20" t="s">
        <v>32</v>
      </c>
      <c r="B35" s="21">
        <f>G35+H35+I35</f>
      </c>
      <c r="C35" s="20" t="s">
        <v>49</v>
      </c>
      <c r="D35" s="22">
        <f>K35</f>
      </c>
      <c r="F35" s="20" t="s">
        <v>34</v>
      </c>
      <c r="G35" s="21">
        <f>B38</f>
      </c>
      <c r="H35" s="21">
        <f>B39</f>
      </c>
      <c r="I35" s="21">
        <f>B40</f>
      </c>
      <c r="J35" s="21">
        <f>B41</f>
      </c>
      <c r="K35" s="22">
        <f>D38+D39+D40</f>
      </c>
      <c r="CX35" s="20" t="s">
        <v>50</v>
      </c>
    </row>
    <row r="36" spans="6:102" x14ac:dyDescent="0.25">
      <c r="F36" s="23" t="s">
        <v>36</v>
      </c>
      <c r="L36" s="24">
        <v>1</v>
      </c>
      <c r="M36" s="24">
        <v>1</v>
      </c>
      <c r="N36" s="24">
        <v>1</v>
      </c>
      <c r="O36" s="24">
        <v>1</v>
      </c>
      <c r="P36" s="24">
        <v>1</v>
      </c>
      <c r="Q36" s="24">
        <v>0</v>
      </c>
      <c r="R36" s="24">
        <v>0</v>
      </c>
      <c r="S36" s="24">
        <v>1</v>
      </c>
      <c r="T36" s="24">
        <v>1</v>
      </c>
      <c r="U36" s="24">
        <v>1</v>
      </c>
      <c r="V36" s="24">
        <v>1</v>
      </c>
      <c r="W36" s="24">
        <v>1</v>
      </c>
      <c r="X36" s="24">
        <v>0</v>
      </c>
      <c r="Y36" s="24">
        <v>0</v>
      </c>
      <c r="Z36" s="24">
        <v>1</v>
      </c>
      <c r="AA36" s="24">
        <v>1</v>
      </c>
      <c r="AB36" s="24">
        <v>1</v>
      </c>
      <c r="AC36" s="24">
        <v>1</v>
      </c>
      <c r="AD36" s="24">
        <v>1</v>
      </c>
      <c r="AE36" s="24">
        <v>0</v>
      </c>
      <c r="AF36" s="24">
        <v>0</v>
      </c>
      <c r="AG36" s="24">
        <v>1</v>
      </c>
      <c r="AH36" s="24">
        <v>1</v>
      </c>
      <c r="AI36" s="24">
        <v>1</v>
      </c>
      <c r="AJ36" s="24">
        <v>1</v>
      </c>
      <c r="AK36" s="24">
        <v>1</v>
      </c>
      <c r="AL36" s="24">
        <v>0</v>
      </c>
      <c r="AM36" s="24">
        <v>0</v>
      </c>
      <c r="AN36" s="24">
        <v>1</v>
      </c>
      <c r="AO36" s="24">
        <v>1</v>
      </c>
      <c r="AP36" s="24">
        <v>1</v>
      </c>
      <c r="AQ36" s="24">
        <v>1</v>
      </c>
      <c r="AR36" s="24">
        <v>1</v>
      </c>
      <c r="AS36" s="24">
        <v>0</v>
      </c>
      <c r="AT36" s="24">
        <v>0</v>
      </c>
      <c r="AU36" s="24">
        <v>1</v>
      </c>
      <c r="AV36" s="24">
        <v>1</v>
      </c>
      <c r="AW36" s="24">
        <v>1</v>
      </c>
      <c r="AX36" s="24">
        <v>1</v>
      </c>
      <c r="AY36" s="24">
        <v>1</v>
      </c>
      <c r="AZ36" s="24">
        <v>0</v>
      </c>
      <c r="BA36" s="24">
        <v>0</v>
      </c>
      <c r="BB36" s="24">
        <v>1</v>
      </c>
      <c r="BC36" s="24">
        <v>1</v>
      </c>
      <c r="BD36" s="24">
        <v>1</v>
      </c>
      <c r="BE36" s="24">
        <v>1</v>
      </c>
      <c r="BF36" s="24">
        <v>1</v>
      </c>
      <c r="BG36" s="24">
        <v>0</v>
      </c>
      <c r="BH36" s="24">
        <v>0</v>
      </c>
      <c r="BI36" s="24">
        <v>1</v>
      </c>
      <c r="BJ36" s="24">
        <v>1</v>
      </c>
      <c r="BK36" s="24">
        <v>1</v>
      </c>
      <c r="BL36" s="24">
        <v>1</v>
      </c>
      <c r="BM36" s="24">
        <v>1</v>
      </c>
      <c r="BN36" s="24">
        <v>1</v>
      </c>
      <c r="BO36" s="24">
        <v>1</v>
      </c>
      <c r="BP36" s="24">
        <v>1</v>
      </c>
      <c r="BQ36" s="24">
        <v>1</v>
      </c>
      <c r="BR36" s="24">
        <v>1</v>
      </c>
      <c r="BS36" s="24">
        <v>1</v>
      </c>
      <c r="BT36" s="24">
        <v>1</v>
      </c>
      <c r="BU36" s="24">
        <v>1</v>
      </c>
      <c r="BV36" s="24">
        <v>1</v>
      </c>
      <c r="BW36" s="24">
        <v>1</v>
      </c>
      <c r="BX36" s="24">
        <v>1</v>
      </c>
      <c r="BY36" s="24">
        <v>1</v>
      </c>
      <c r="BZ36" s="24">
        <v>1</v>
      </c>
      <c r="CA36" s="24">
        <v>1</v>
      </c>
      <c r="CB36" s="24">
        <v>1</v>
      </c>
      <c r="CC36" s="24">
        <v>0</v>
      </c>
      <c r="CD36" s="24">
        <v>1</v>
      </c>
      <c r="CE36" s="24">
        <v>1</v>
      </c>
      <c r="CF36" s="24">
        <v>1</v>
      </c>
      <c r="CG36" s="24">
        <v>1</v>
      </c>
      <c r="CH36" s="24">
        <v>1</v>
      </c>
      <c r="CI36" s="24">
        <v>1</v>
      </c>
      <c r="CJ36" s="24">
        <v>1</v>
      </c>
      <c r="CK36" s="24">
        <v>1</v>
      </c>
      <c r="CL36" s="24">
        <v>1</v>
      </c>
      <c r="CM36" s="24">
        <v>1</v>
      </c>
      <c r="CN36" s="24">
        <v>1</v>
      </c>
      <c r="CO36" s="24">
        <v>1</v>
      </c>
      <c r="CP36" s="24">
        <v>1</v>
      </c>
      <c r="CQ36" s="24">
        <v>0</v>
      </c>
      <c r="CR36" s="24">
        <v>1</v>
      </c>
      <c r="CS36" s="24">
        <v>1</v>
      </c>
      <c r="CT36" s="24">
        <v>1</v>
      </c>
      <c r="CU36" s="24">
        <v>1</v>
      </c>
      <c r="CV36" s="24">
        <v>1</v>
      </c>
      <c r="CW36" s="24">
        <v>1</v>
      </c>
      <c r="CX36" s="23" t="s">
        <v>50</v>
      </c>
    </row>
    <row r="37" spans="1:102" x14ac:dyDescent="0.25">
      <c r="A37" s="23" t="s">
        <v>37</v>
      </c>
      <c r="F37" s="23" t="s">
        <v>38</v>
      </c>
      <c r="L37" s="25">
        <v>9</v>
      </c>
      <c r="M37" s="25">
        <v>9</v>
      </c>
      <c r="N37" s="25">
        <v>9</v>
      </c>
      <c r="O37" s="25">
        <v>9</v>
      </c>
      <c r="P37" s="25">
        <v>9</v>
      </c>
      <c r="Q37" s="25">
        <v>0</v>
      </c>
      <c r="R37" s="25">
        <v>0</v>
      </c>
      <c r="S37" s="25">
        <v>9</v>
      </c>
      <c r="T37" s="25">
        <v>9</v>
      </c>
      <c r="U37" s="25">
        <v>9</v>
      </c>
      <c r="V37" s="25">
        <v>9</v>
      </c>
      <c r="W37" s="25">
        <v>9</v>
      </c>
      <c r="X37" s="25">
        <v>0</v>
      </c>
      <c r="Y37" s="25">
        <v>0</v>
      </c>
      <c r="Z37" s="25">
        <v>9</v>
      </c>
      <c r="AA37" s="25">
        <v>9</v>
      </c>
      <c r="AB37" s="25">
        <v>9</v>
      </c>
      <c r="AC37" s="25">
        <v>9</v>
      </c>
      <c r="AD37" s="25">
        <v>9</v>
      </c>
      <c r="AE37" s="25">
        <v>0</v>
      </c>
      <c r="AF37" s="25">
        <v>0</v>
      </c>
      <c r="AG37" s="25">
        <v>9</v>
      </c>
      <c r="AH37" s="25">
        <v>9</v>
      </c>
      <c r="AI37" s="25">
        <v>9</v>
      </c>
      <c r="AJ37" s="25">
        <v>9</v>
      </c>
      <c r="AK37" s="25">
        <v>9</v>
      </c>
      <c r="AL37" s="25">
        <v>0</v>
      </c>
      <c r="AM37" s="25">
        <v>0</v>
      </c>
      <c r="AN37" s="25">
        <v>9</v>
      </c>
      <c r="AO37" s="25">
        <v>9</v>
      </c>
      <c r="AP37" s="25">
        <v>9</v>
      </c>
      <c r="AQ37" s="25">
        <v>9</v>
      </c>
      <c r="AR37" s="25">
        <v>9</v>
      </c>
      <c r="AS37" s="25">
        <v>0</v>
      </c>
      <c r="AT37" s="25">
        <v>0</v>
      </c>
      <c r="AU37" s="25">
        <v>9</v>
      </c>
      <c r="AV37" s="25">
        <v>9</v>
      </c>
      <c r="AW37" s="25">
        <v>9</v>
      </c>
      <c r="AX37" s="25">
        <v>9</v>
      </c>
      <c r="AY37" s="25">
        <v>9</v>
      </c>
      <c r="AZ37" s="25">
        <v>0</v>
      </c>
      <c r="BA37" s="25">
        <v>0</v>
      </c>
      <c r="BB37" s="25">
        <v>9</v>
      </c>
      <c r="BC37" s="25">
        <v>9</v>
      </c>
      <c r="BD37" s="25">
        <v>9</v>
      </c>
      <c r="BE37" s="25">
        <v>9</v>
      </c>
      <c r="BF37" s="25">
        <v>9</v>
      </c>
      <c r="BG37" s="25">
        <v>0</v>
      </c>
      <c r="BH37" s="25">
        <v>0</v>
      </c>
      <c r="BI37" s="25">
        <v>13</v>
      </c>
      <c r="BJ37" s="25">
        <v>13</v>
      </c>
      <c r="BK37" s="25">
        <v>13</v>
      </c>
      <c r="BL37" s="25">
        <v>13</v>
      </c>
      <c r="BM37" s="25">
        <v>13</v>
      </c>
      <c r="BN37" s="25">
        <v>13</v>
      </c>
      <c r="BO37" s="25">
        <v>13</v>
      </c>
      <c r="BP37" s="25">
        <v>13</v>
      </c>
      <c r="BQ37" s="25">
        <v>13</v>
      </c>
      <c r="BR37" s="25">
        <v>13</v>
      </c>
      <c r="BS37" s="25">
        <v>13</v>
      </c>
      <c r="BT37" s="25">
        <v>13</v>
      </c>
      <c r="BU37" s="25">
        <v>13</v>
      </c>
      <c r="BV37" s="25">
        <v>13</v>
      </c>
      <c r="BW37" s="25">
        <v>13</v>
      </c>
      <c r="BX37" s="25">
        <v>13</v>
      </c>
      <c r="BY37" s="25">
        <v>13</v>
      </c>
      <c r="BZ37" s="25">
        <v>13</v>
      </c>
      <c r="CA37" s="25">
        <v>13</v>
      </c>
      <c r="CB37" s="25">
        <v>13</v>
      </c>
      <c r="CC37" s="25">
        <v>0</v>
      </c>
      <c r="CD37" s="25">
        <v>13</v>
      </c>
      <c r="CE37" s="25">
        <v>13</v>
      </c>
      <c r="CF37" s="25">
        <v>13</v>
      </c>
      <c r="CG37" s="25">
        <v>13</v>
      </c>
      <c r="CH37" s="25">
        <v>13</v>
      </c>
      <c r="CI37" s="25">
        <v>13</v>
      </c>
      <c r="CJ37" s="25">
        <v>13</v>
      </c>
      <c r="CK37" s="25">
        <v>13</v>
      </c>
      <c r="CL37" s="25">
        <v>13</v>
      </c>
      <c r="CM37" s="25">
        <v>13</v>
      </c>
      <c r="CN37" s="25">
        <v>13</v>
      </c>
      <c r="CO37" s="25">
        <v>13</v>
      </c>
      <c r="CP37" s="25">
        <v>13</v>
      </c>
      <c r="CQ37" s="25">
        <v>0</v>
      </c>
      <c r="CR37" s="25">
        <v>13</v>
      </c>
      <c r="CS37" s="25">
        <v>13</v>
      </c>
      <c r="CT37" s="25">
        <v>13</v>
      </c>
      <c r="CU37" s="25">
        <v>13</v>
      </c>
      <c r="CV37" s="25">
        <v>13</v>
      </c>
      <c r="CW37" s="25">
        <v>13</v>
      </c>
      <c r="CX37" s="23" t="s">
        <v>50</v>
      </c>
    </row>
    <row r="38" spans="2:102" x14ac:dyDescent="0.25">
      <c r="B38" s="26">
        <f>SUM(L38:CW38)</f>
      </c>
      <c r="D38" s="27">
        <f>B38*E38</f>
      </c>
      <c r="E38" s="27">
        <f>'Rate Tables'!C10</f>
      </c>
      <c r="F38" s="8" t="s">
        <v>39</v>
      </c>
      <c r="L38" s="26">
        <f>IF(L$6="","",IF(WEEKDAY(L$6,1)=1,0,MIN(8,L37)*L36))</f>
      </c>
      <c r="M38" s="26">
        <f>IF(M$6="","",IF(WEEKDAY(M$6,1)=1,0,MIN(8,M37)*M36))</f>
      </c>
      <c r="N38" s="26">
        <f>IF(N$6="","",IF(WEEKDAY(N$6,1)=1,0,MIN(8,N37)*N36))</f>
      </c>
      <c r="O38" s="26">
        <f>IF(O$6="","",IF(WEEKDAY(O$6,1)=1,0,MIN(8,O37)*O36))</f>
      </c>
      <c r="P38" s="26">
        <f>IF(P$6="","",IF(WEEKDAY(P$6,1)=1,0,MIN(8,P37)*P36))</f>
      </c>
      <c r="Q38" s="26">
        <f>IF(Q$6="","",IF(WEEKDAY(Q$6,1)=1,0,MIN(8,Q37)*Q36))</f>
      </c>
      <c r="R38" s="26">
        <f>IF(R$6="","",IF(WEEKDAY(R$6,1)=1,0,MIN(8,R37)*R36))</f>
      </c>
      <c r="S38" s="26">
        <f>IF(S$6="","",IF(WEEKDAY(S$6,1)=1,0,MIN(8,S37)*S36))</f>
      </c>
      <c r="T38" s="26">
        <f>IF(T$6="","",IF(WEEKDAY(T$6,1)=1,0,MIN(8,T37)*T36))</f>
      </c>
      <c r="U38" s="26">
        <f>IF(U$6="","",IF(WEEKDAY(U$6,1)=1,0,MIN(8,U37)*U36))</f>
      </c>
      <c r="V38" s="26">
        <f>IF(V$6="","",IF(WEEKDAY(V$6,1)=1,0,MIN(8,V37)*V36))</f>
      </c>
      <c r="W38" s="26">
        <f>IF(W$6="","",IF(WEEKDAY(W$6,1)=1,0,MIN(8,W37)*W36))</f>
      </c>
      <c r="X38" s="26">
        <f>IF(X$6="","",IF(WEEKDAY(X$6,1)=1,0,MIN(8,X37)*X36))</f>
      </c>
      <c r="Y38" s="26">
        <f>IF(Y$6="","",IF(WEEKDAY(Y$6,1)=1,0,MIN(8,Y37)*Y36))</f>
      </c>
      <c r="Z38" s="26">
        <f>IF(Z$6="","",IF(WEEKDAY(Z$6,1)=1,0,MIN(8,Z37)*Z36))</f>
      </c>
      <c r="AA38" s="26">
        <f>IF(AA$6="","",IF(WEEKDAY(AA$6,1)=1,0,MIN(8,AA37)*AA36))</f>
      </c>
      <c r="AB38" s="26">
        <f>IF(AB$6="","",IF(WEEKDAY(AB$6,1)=1,0,MIN(8,AB37)*AB36))</f>
      </c>
      <c r="AC38" s="26">
        <f>IF(AC$6="","",IF(WEEKDAY(AC$6,1)=1,0,MIN(8,AC37)*AC36))</f>
      </c>
      <c r="AD38" s="26">
        <f>IF(AD$6="","",IF(WEEKDAY(AD$6,1)=1,0,MIN(8,AD37)*AD36))</f>
      </c>
      <c r="AE38" s="26">
        <f>IF(AE$6="","",IF(WEEKDAY(AE$6,1)=1,0,MIN(8,AE37)*AE36))</f>
      </c>
      <c r="AF38" s="26">
        <f>IF(AF$6="","",IF(WEEKDAY(AF$6,1)=1,0,MIN(8,AF37)*AF36))</f>
      </c>
      <c r="AG38" s="26">
        <f>IF(AG$6="","",IF(WEEKDAY(AG$6,1)=1,0,MIN(8,AG37)*AG36))</f>
      </c>
      <c r="AH38" s="26">
        <f>IF(AH$6="","",IF(WEEKDAY(AH$6,1)=1,0,MIN(8,AH37)*AH36))</f>
      </c>
      <c r="AI38" s="26">
        <f>IF(AI$6="","",IF(WEEKDAY(AI$6,1)=1,0,MIN(8,AI37)*AI36))</f>
      </c>
      <c r="AJ38" s="26">
        <f>IF(AJ$6="","",IF(WEEKDAY(AJ$6,1)=1,0,MIN(8,AJ37)*AJ36))</f>
      </c>
      <c r="AK38" s="26">
        <f>IF(AK$6="","",IF(WEEKDAY(AK$6,1)=1,0,MIN(8,AK37)*AK36))</f>
      </c>
      <c r="AL38" s="26">
        <f>IF(AL$6="","",IF(WEEKDAY(AL$6,1)=1,0,MIN(8,AL37)*AL36))</f>
      </c>
      <c r="AM38" s="26">
        <f>IF(AM$6="","",IF(WEEKDAY(AM$6,1)=1,0,MIN(8,AM37)*AM36))</f>
      </c>
      <c r="AN38" s="26">
        <f>IF(AN$6="","",IF(WEEKDAY(AN$6,1)=1,0,MIN(8,AN37)*AN36))</f>
      </c>
      <c r="AO38" s="26">
        <f>IF(AO$6="","",IF(WEEKDAY(AO$6,1)=1,0,MIN(8,AO37)*AO36))</f>
      </c>
      <c r="AP38" s="26">
        <f>IF(AP$6="","",IF(WEEKDAY(AP$6,1)=1,0,MIN(8,AP37)*AP36))</f>
      </c>
      <c r="AQ38" s="26">
        <f>IF(AQ$6="","",IF(WEEKDAY(AQ$6,1)=1,0,MIN(8,AQ37)*AQ36))</f>
      </c>
      <c r="AR38" s="26">
        <f>IF(AR$6="","",IF(WEEKDAY(AR$6,1)=1,0,MIN(8,AR37)*AR36))</f>
      </c>
      <c r="AS38" s="26">
        <f>IF(AS$6="","",IF(WEEKDAY(AS$6,1)=1,0,MIN(8,AS37)*AS36))</f>
      </c>
      <c r="AT38" s="26">
        <f>IF(AT$6="","",IF(WEEKDAY(AT$6,1)=1,0,MIN(8,AT37)*AT36))</f>
      </c>
      <c r="AU38" s="26">
        <f>IF(AU$6="","",IF(WEEKDAY(AU$6,1)=1,0,MIN(8,AU37)*AU36))</f>
      </c>
      <c r="AV38" s="26">
        <f>IF(AV$6="","",IF(WEEKDAY(AV$6,1)=1,0,MIN(8,AV37)*AV36))</f>
      </c>
      <c r="AW38" s="26">
        <f>IF(AW$6="","",IF(WEEKDAY(AW$6,1)=1,0,MIN(8,AW37)*AW36))</f>
      </c>
      <c r="AX38" s="26">
        <f>IF(AX$6="","",IF(WEEKDAY(AX$6,1)=1,0,MIN(8,AX37)*AX36))</f>
      </c>
      <c r="AY38" s="26">
        <f>IF(AY$6="","",IF(WEEKDAY(AY$6,1)=1,0,MIN(8,AY37)*AY36))</f>
      </c>
      <c r="AZ38" s="26">
        <f>IF(AZ$6="","",IF(WEEKDAY(AZ$6,1)=1,0,MIN(8,AZ37)*AZ36))</f>
      </c>
      <c r="BA38" s="26">
        <f>IF(BA$6="","",IF(WEEKDAY(BA$6,1)=1,0,MIN(8,BA37)*BA36))</f>
      </c>
      <c r="BB38" s="26">
        <f>IF(BB$6="","",IF(WEEKDAY(BB$6,1)=1,0,MIN(8,BB37)*BB36))</f>
      </c>
      <c r="BC38" s="26">
        <f>IF(BC$6="","",IF(WEEKDAY(BC$6,1)=1,0,MIN(8,BC37)*BC36))</f>
      </c>
      <c r="BD38" s="26">
        <f>IF(BD$6="","",IF(WEEKDAY(BD$6,1)=1,0,MIN(8,BD37)*BD36))</f>
      </c>
      <c r="BE38" s="26">
        <f>IF(BE$6="","",IF(WEEKDAY(BE$6,1)=1,0,MIN(8,BE37)*BE36))</f>
      </c>
      <c r="BF38" s="26">
        <f>IF(BF$6="","",IF(WEEKDAY(BF$6,1)=1,0,MIN(8,BF37)*BF36))</f>
      </c>
      <c r="BG38" s="26">
        <f>IF(BG$6="","",IF(WEEKDAY(BG$6,1)=1,0,MIN(8,BG37)*BG36))</f>
      </c>
      <c r="BH38" s="26">
        <f>IF(BH$6="","",IF(WEEKDAY(BH$6,1)=1,0,MIN(8,BH37)*BH36))</f>
      </c>
      <c r="BI38" s="26">
        <f>IF(BI$6="","",IF(WEEKDAY(BI$6,1)=1,0,MIN(8,BI37)*BI36))</f>
      </c>
      <c r="BJ38" s="26">
        <f>IF(BJ$6="","",IF(WEEKDAY(BJ$6,1)=1,0,MIN(8,BJ37)*BJ36))</f>
      </c>
      <c r="BK38" s="26">
        <f>IF(BK$6="","",IF(WEEKDAY(BK$6,1)=1,0,MIN(8,BK37)*BK36))</f>
      </c>
      <c r="BL38" s="26">
        <f>IF(BL$6="","",IF(WEEKDAY(BL$6,1)=1,0,MIN(8,BL37)*BL36))</f>
      </c>
      <c r="BM38" s="26">
        <f>IF(BM$6="","",IF(WEEKDAY(BM$6,1)=1,0,MIN(8,BM37)*BM36))</f>
      </c>
      <c r="BN38" s="26">
        <f>IF(BN$6="","",IF(WEEKDAY(BN$6,1)=1,0,MIN(8,BN37)*BN36))</f>
      </c>
      <c r="BO38" s="26">
        <f>IF(BO$6="","",IF(WEEKDAY(BO$6,1)=1,0,MIN(8,BO37)*BO36))</f>
      </c>
      <c r="BP38" s="26">
        <f>IF(BP$6="","",IF(WEEKDAY(BP$6,1)=1,0,MIN(8,BP37)*BP36))</f>
      </c>
      <c r="BQ38" s="26">
        <f>IF(BQ$6="","",IF(WEEKDAY(BQ$6,1)=1,0,MIN(8,BQ37)*BQ36))</f>
      </c>
      <c r="BR38" s="26">
        <f>IF(BR$6="","",IF(WEEKDAY(BR$6,1)=1,0,MIN(8,BR37)*BR36))</f>
      </c>
      <c r="BS38" s="26">
        <f>IF(BS$6="","",IF(WEEKDAY(BS$6,1)=1,0,MIN(8,BS37)*BS36))</f>
      </c>
      <c r="BT38" s="26">
        <f>IF(BT$6="","",IF(WEEKDAY(BT$6,1)=1,0,MIN(8,BT37)*BT36))</f>
      </c>
      <c r="BU38" s="26">
        <f>IF(BU$6="","",IF(WEEKDAY(BU$6,1)=1,0,MIN(8,BU37)*BU36))</f>
      </c>
      <c r="BV38" s="26">
        <f>IF(BV$6="","",IF(WEEKDAY(BV$6,1)=1,0,MIN(8,BV37)*BV36))</f>
      </c>
      <c r="BW38" s="26">
        <f>IF(BW$6="","",IF(WEEKDAY(BW$6,1)=1,0,MIN(8,BW37)*BW36))</f>
      </c>
      <c r="BX38" s="26">
        <f>IF(BX$6="","",IF(WEEKDAY(BX$6,1)=1,0,MIN(8,BX37)*BX36))</f>
      </c>
      <c r="BY38" s="26">
        <f>IF(BY$6="","",IF(WEEKDAY(BY$6,1)=1,0,MIN(8,BY37)*BY36))</f>
      </c>
      <c r="BZ38" s="26">
        <f>IF(BZ$6="","",IF(WEEKDAY(BZ$6,1)=1,0,MIN(8,BZ37)*BZ36))</f>
      </c>
      <c r="CA38" s="26">
        <f>IF(CA$6="","",IF(WEEKDAY(CA$6,1)=1,0,MIN(8,CA37)*CA36))</f>
      </c>
      <c r="CB38" s="26">
        <f>IF(CB$6="","",IF(WEEKDAY(CB$6,1)=1,0,MIN(8,CB37)*CB36))</f>
      </c>
      <c r="CC38" s="26">
        <f>IF(CC$6="","",IF(WEEKDAY(CC$6,1)=1,0,MIN(8,CC37)*CC36))</f>
      </c>
      <c r="CD38" s="26">
        <f>IF(CD$6="","",IF(WEEKDAY(CD$6,1)=1,0,MIN(8,CD37)*CD36))</f>
      </c>
      <c r="CE38" s="26">
        <f>IF(CE$6="","",IF(WEEKDAY(CE$6,1)=1,0,MIN(8,CE37)*CE36))</f>
      </c>
      <c r="CF38" s="26">
        <f>IF(CF$6="","",IF(WEEKDAY(CF$6,1)=1,0,MIN(8,CF37)*CF36))</f>
      </c>
      <c r="CG38" s="26">
        <f>IF(CG$6="","",IF(WEEKDAY(CG$6,1)=1,0,MIN(8,CG37)*CG36))</f>
      </c>
      <c r="CH38" s="26">
        <f>IF(CH$6="","",IF(WEEKDAY(CH$6,1)=1,0,MIN(8,CH37)*CH36))</f>
      </c>
      <c r="CI38" s="26">
        <f>IF(CI$6="","",IF(WEEKDAY(CI$6,1)=1,0,MIN(8,CI37)*CI36))</f>
      </c>
      <c r="CJ38" s="26">
        <f>IF(CJ$6="","",IF(WEEKDAY(CJ$6,1)=1,0,MIN(8,CJ37)*CJ36))</f>
      </c>
      <c r="CK38" s="26">
        <f>IF(CK$6="","",IF(WEEKDAY(CK$6,1)=1,0,MIN(8,CK37)*CK36))</f>
      </c>
      <c r="CL38" s="26">
        <f>IF(CL$6="","",IF(WEEKDAY(CL$6,1)=1,0,MIN(8,CL37)*CL36))</f>
      </c>
      <c r="CM38" s="26">
        <f>IF(CM$6="","",IF(WEEKDAY(CM$6,1)=1,0,MIN(8,CM37)*CM36))</f>
      </c>
      <c r="CN38" s="26">
        <f>IF(CN$6="","",IF(WEEKDAY(CN$6,1)=1,0,MIN(8,CN37)*CN36))</f>
      </c>
      <c r="CO38" s="26">
        <f>IF(CO$6="","",IF(WEEKDAY(CO$6,1)=1,0,MIN(8,CO37)*CO36))</f>
      </c>
      <c r="CP38" s="26">
        <f>IF(CP$6="","",IF(WEEKDAY(CP$6,1)=1,0,MIN(8,CP37)*CP36))</f>
      </c>
      <c r="CQ38" s="26">
        <f>IF(CQ$6="","",IF(WEEKDAY(CQ$6,1)=1,0,MIN(8,CQ37)*CQ36))</f>
      </c>
      <c r="CR38" s="26">
        <f>IF(CR$6="","",IF(WEEKDAY(CR$6,1)=1,0,MIN(8,CR37)*CR36))</f>
      </c>
      <c r="CS38" s="26">
        <f>IF(CS$6="","",IF(WEEKDAY(CS$6,1)=1,0,MIN(8,CS37)*CS36))</f>
      </c>
      <c r="CT38" s="26">
        <f>IF(CT$6="","",IF(WEEKDAY(CT$6,1)=1,0,MIN(8,CT37)*CT36))</f>
      </c>
      <c r="CU38" s="26">
        <f>IF(CU$6="","",IF(WEEKDAY(CU$6,1)=1,0,MIN(8,CU37)*CU36))</f>
      </c>
      <c r="CV38" s="26">
        <f>IF(CV$6="","",IF(WEEKDAY(CV$6,1)=1,0,MIN(8,CV37)*CV36))</f>
      </c>
      <c r="CW38" s="26">
        <f>IF(CW$6="","",IF(WEEKDAY(CW$6,1)=1,0,MIN(8,CW37)*CW36))</f>
      </c>
      <c r="CX38" s="8" t="s">
        <v>50</v>
      </c>
    </row>
    <row r="39" spans="2:102" x14ac:dyDescent="0.25">
      <c r="B39" s="26">
        <f>SUM(L39:CW39)</f>
      </c>
      <c r="D39" s="27">
        <f>B39*E39</f>
      </c>
      <c r="E39" s="27">
        <f>'Rate Tables'!D10</f>
      </c>
      <c r="F39" s="8" t="s">
        <v>40</v>
      </c>
      <c r="L39" s="26">
        <f>IF(L$6="","",IF(WEEKDAY(L$6,1)=1,0,MAX(0,L37-8)*L36))</f>
      </c>
      <c r="M39" s="26">
        <f>IF(M$6="","",IF(WEEKDAY(M$6,1)=1,0,MAX(0,M37-8)*M36))</f>
      </c>
      <c r="N39" s="26">
        <f>IF(N$6="","",IF(WEEKDAY(N$6,1)=1,0,MAX(0,N37-8)*N36))</f>
      </c>
      <c r="O39" s="26">
        <f>IF(O$6="","",IF(WEEKDAY(O$6,1)=1,0,MAX(0,O37-8)*O36))</f>
      </c>
      <c r="P39" s="26">
        <f>IF(P$6="","",IF(WEEKDAY(P$6,1)=1,0,MAX(0,P37-8)*P36))</f>
      </c>
      <c r="Q39" s="26">
        <f>IF(Q$6="","",IF(WEEKDAY(Q$6,1)=1,0,MAX(0,Q37-8)*Q36))</f>
      </c>
      <c r="R39" s="26">
        <f>IF(R$6="","",IF(WEEKDAY(R$6,1)=1,0,MAX(0,R37-8)*R36))</f>
      </c>
      <c r="S39" s="26">
        <f>IF(S$6="","",IF(WEEKDAY(S$6,1)=1,0,MAX(0,S37-8)*S36))</f>
      </c>
      <c r="T39" s="26">
        <f>IF(T$6="","",IF(WEEKDAY(T$6,1)=1,0,MAX(0,T37-8)*T36))</f>
      </c>
      <c r="U39" s="26">
        <f>IF(U$6="","",IF(WEEKDAY(U$6,1)=1,0,MAX(0,U37-8)*U36))</f>
      </c>
      <c r="V39" s="26">
        <f>IF(V$6="","",IF(WEEKDAY(V$6,1)=1,0,MAX(0,V37-8)*V36))</f>
      </c>
      <c r="W39" s="26">
        <f>IF(W$6="","",IF(WEEKDAY(W$6,1)=1,0,MAX(0,W37-8)*W36))</f>
      </c>
      <c r="X39" s="26">
        <f>IF(X$6="","",IF(WEEKDAY(X$6,1)=1,0,MAX(0,X37-8)*X36))</f>
      </c>
      <c r="Y39" s="26">
        <f>IF(Y$6="","",IF(WEEKDAY(Y$6,1)=1,0,MAX(0,Y37-8)*Y36))</f>
      </c>
      <c r="Z39" s="26">
        <f>IF(Z$6="","",IF(WEEKDAY(Z$6,1)=1,0,MAX(0,Z37-8)*Z36))</f>
      </c>
      <c r="AA39" s="26">
        <f>IF(AA$6="","",IF(WEEKDAY(AA$6,1)=1,0,MAX(0,AA37-8)*AA36))</f>
      </c>
      <c r="AB39" s="26">
        <f>IF(AB$6="","",IF(WEEKDAY(AB$6,1)=1,0,MAX(0,AB37-8)*AB36))</f>
      </c>
      <c r="AC39" s="26">
        <f>IF(AC$6="","",IF(WEEKDAY(AC$6,1)=1,0,MAX(0,AC37-8)*AC36))</f>
      </c>
      <c r="AD39" s="26">
        <f>IF(AD$6="","",IF(WEEKDAY(AD$6,1)=1,0,MAX(0,AD37-8)*AD36))</f>
      </c>
      <c r="AE39" s="26">
        <f>IF(AE$6="","",IF(WEEKDAY(AE$6,1)=1,0,MAX(0,AE37-8)*AE36))</f>
      </c>
      <c r="AF39" s="26">
        <f>IF(AF$6="","",IF(WEEKDAY(AF$6,1)=1,0,MAX(0,AF37-8)*AF36))</f>
      </c>
      <c r="AG39" s="26">
        <f>IF(AG$6="","",IF(WEEKDAY(AG$6,1)=1,0,MAX(0,AG37-8)*AG36))</f>
      </c>
      <c r="AH39" s="26">
        <f>IF(AH$6="","",IF(WEEKDAY(AH$6,1)=1,0,MAX(0,AH37-8)*AH36))</f>
      </c>
      <c r="AI39" s="26">
        <f>IF(AI$6="","",IF(WEEKDAY(AI$6,1)=1,0,MAX(0,AI37-8)*AI36))</f>
      </c>
      <c r="AJ39" s="26">
        <f>IF(AJ$6="","",IF(WEEKDAY(AJ$6,1)=1,0,MAX(0,AJ37-8)*AJ36))</f>
      </c>
      <c r="AK39" s="26">
        <f>IF(AK$6="","",IF(WEEKDAY(AK$6,1)=1,0,MAX(0,AK37-8)*AK36))</f>
      </c>
      <c r="AL39" s="26">
        <f>IF(AL$6="","",IF(WEEKDAY(AL$6,1)=1,0,MAX(0,AL37-8)*AL36))</f>
      </c>
      <c r="AM39" s="26">
        <f>IF(AM$6="","",IF(WEEKDAY(AM$6,1)=1,0,MAX(0,AM37-8)*AM36))</f>
      </c>
      <c r="AN39" s="26">
        <f>IF(AN$6="","",IF(WEEKDAY(AN$6,1)=1,0,MAX(0,AN37-8)*AN36))</f>
      </c>
      <c r="AO39" s="26">
        <f>IF(AO$6="","",IF(WEEKDAY(AO$6,1)=1,0,MAX(0,AO37-8)*AO36))</f>
      </c>
      <c r="AP39" s="26">
        <f>IF(AP$6="","",IF(WEEKDAY(AP$6,1)=1,0,MAX(0,AP37-8)*AP36))</f>
      </c>
      <c r="AQ39" s="26">
        <f>IF(AQ$6="","",IF(WEEKDAY(AQ$6,1)=1,0,MAX(0,AQ37-8)*AQ36))</f>
      </c>
      <c r="AR39" s="26">
        <f>IF(AR$6="","",IF(WEEKDAY(AR$6,1)=1,0,MAX(0,AR37-8)*AR36))</f>
      </c>
      <c r="AS39" s="26">
        <f>IF(AS$6="","",IF(WEEKDAY(AS$6,1)=1,0,MAX(0,AS37-8)*AS36))</f>
      </c>
      <c r="AT39" s="26">
        <f>IF(AT$6="","",IF(WEEKDAY(AT$6,1)=1,0,MAX(0,AT37-8)*AT36))</f>
      </c>
      <c r="AU39" s="26">
        <f>IF(AU$6="","",IF(WEEKDAY(AU$6,1)=1,0,MAX(0,AU37-8)*AU36))</f>
      </c>
      <c r="AV39" s="26">
        <f>IF(AV$6="","",IF(WEEKDAY(AV$6,1)=1,0,MAX(0,AV37-8)*AV36))</f>
      </c>
      <c r="AW39" s="26">
        <f>IF(AW$6="","",IF(WEEKDAY(AW$6,1)=1,0,MAX(0,AW37-8)*AW36))</f>
      </c>
      <c r="AX39" s="26">
        <f>IF(AX$6="","",IF(WEEKDAY(AX$6,1)=1,0,MAX(0,AX37-8)*AX36))</f>
      </c>
      <c r="AY39" s="26">
        <f>IF(AY$6="","",IF(WEEKDAY(AY$6,1)=1,0,MAX(0,AY37-8)*AY36))</f>
      </c>
      <c r="AZ39" s="26">
        <f>IF(AZ$6="","",IF(WEEKDAY(AZ$6,1)=1,0,MAX(0,AZ37-8)*AZ36))</f>
      </c>
      <c r="BA39" s="26">
        <f>IF(BA$6="","",IF(WEEKDAY(BA$6,1)=1,0,MAX(0,BA37-8)*BA36))</f>
      </c>
      <c r="BB39" s="26">
        <f>IF(BB$6="","",IF(WEEKDAY(BB$6,1)=1,0,MAX(0,BB37-8)*BB36))</f>
      </c>
      <c r="BC39" s="26">
        <f>IF(BC$6="","",IF(WEEKDAY(BC$6,1)=1,0,MAX(0,BC37-8)*BC36))</f>
      </c>
      <c r="BD39" s="26">
        <f>IF(BD$6="","",IF(WEEKDAY(BD$6,1)=1,0,MAX(0,BD37-8)*BD36))</f>
      </c>
      <c r="BE39" s="26">
        <f>IF(BE$6="","",IF(WEEKDAY(BE$6,1)=1,0,MAX(0,BE37-8)*BE36))</f>
      </c>
      <c r="BF39" s="26">
        <f>IF(BF$6="","",IF(WEEKDAY(BF$6,1)=1,0,MAX(0,BF37-8)*BF36))</f>
      </c>
      <c r="BG39" s="26">
        <f>IF(BG$6="","",IF(WEEKDAY(BG$6,1)=1,0,MAX(0,BG37-8)*BG36))</f>
      </c>
      <c r="BH39" s="26">
        <f>IF(BH$6="","",IF(WEEKDAY(BH$6,1)=1,0,MAX(0,BH37-8)*BH36))</f>
      </c>
      <c r="BI39" s="26">
        <f>IF(BI$6="","",IF(WEEKDAY(BI$6,1)=1,0,MAX(0,BI37-8)*BI36))</f>
      </c>
      <c r="BJ39" s="26">
        <f>IF(BJ$6="","",IF(WEEKDAY(BJ$6,1)=1,0,MAX(0,BJ37-8)*BJ36))</f>
      </c>
      <c r="BK39" s="26">
        <f>IF(BK$6="","",IF(WEEKDAY(BK$6,1)=1,0,MAX(0,BK37-8)*BK36))</f>
      </c>
      <c r="BL39" s="26">
        <f>IF(BL$6="","",IF(WEEKDAY(BL$6,1)=1,0,MAX(0,BL37-8)*BL36))</f>
      </c>
      <c r="BM39" s="26">
        <f>IF(BM$6="","",IF(WEEKDAY(BM$6,1)=1,0,MAX(0,BM37-8)*BM36))</f>
      </c>
      <c r="BN39" s="26">
        <f>IF(BN$6="","",IF(WEEKDAY(BN$6,1)=1,0,MAX(0,BN37-8)*BN36))</f>
      </c>
      <c r="BO39" s="26">
        <f>IF(BO$6="","",IF(WEEKDAY(BO$6,1)=1,0,MAX(0,BO37-8)*BO36))</f>
      </c>
      <c r="BP39" s="26">
        <f>IF(BP$6="","",IF(WEEKDAY(BP$6,1)=1,0,MAX(0,BP37-8)*BP36))</f>
      </c>
      <c r="BQ39" s="26">
        <f>IF(BQ$6="","",IF(WEEKDAY(BQ$6,1)=1,0,MAX(0,BQ37-8)*BQ36))</f>
      </c>
      <c r="BR39" s="26">
        <f>IF(BR$6="","",IF(WEEKDAY(BR$6,1)=1,0,MAX(0,BR37-8)*BR36))</f>
      </c>
      <c r="BS39" s="26">
        <f>IF(BS$6="","",IF(WEEKDAY(BS$6,1)=1,0,MAX(0,BS37-8)*BS36))</f>
      </c>
      <c r="BT39" s="26">
        <f>IF(BT$6="","",IF(WEEKDAY(BT$6,1)=1,0,MAX(0,BT37-8)*BT36))</f>
      </c>
      <c r="BU39" s="26">
        <f>IF(BU$6="","",IF(WEEKDAY(BU$6,1)=1,0,MAX(0,BU37-8)*BU36))</f>
      </c>
      <c r="BV39" s="26">
        <f>IF(BV$6="","",IF(WEEKDAY(BV$6,1)=1,0,MAX(0,BV37-8)*BV36))</f>
      </c>
      <c r="BW39" s="26">
        <f>IF(BW$6="","",IF(WEEKDAY(BW$6,1)=1,0,MAX(0,BW37-8)*BW36))</f>
      </c>
      <c r="BX39" s="26">
        <f>IF(BX$6="","",IF(WEEKDAY(BX$6,1)=1,0,MAX(0,BX37-8)*BX36))</f>
      </c>
      <c r="BY39" s="26">
        <f>IF(BY$6="","",IF(WEEKDAY(BY$6,1)=1,0,MAX(0,BY37-8)*BY36))</f>
      </c>
      <c r="BZ39" s="26">
        <f>IF(BZ$6="","",IF(WEEKDAY(BZ$6,1)=1,0,MAX(0,BZ37-8)*BZ36))</f>
      </c>
      <c r="CA39" s="26">
        <f>IF(CA$6="","",IF(WEEKDAY(CA$6,1)=1,0,MAX(0,CA37-8)*CA36))</f>
      </c>
      <c r="CB39" s="26">
        <f>IF(CB$6="","",IF(WEEKDAY(CB$6,1)=1,0,MAX(0,CB37-8)*CB36))</f>
      </c>
      <c r="CC39" s="26">
        <f>IF(CC$6="","",IF(WEEKDAY(CC$6,1)=1,0,MAX(0,CC37-8)*CC36))</f>
      </c>
      <c r="CD39" s="26">
        <f>IF(CD$6="","",IF(WEEKDAY(CD$6,1)=1,0,MAX(0,CD37-8)*CD36))</f>
      </c>
      <c r="CE39" s="26">
        <f>IF(CE$6="","",IF(WEEKDAY(CE$6,1)=1,0,MAX(0,CE37-8)*CE36))</f>
      </c>
      <c r="CF39" s="26">
        <f>IF(CF$6="","",IF(WEEKDAY(CF$6,1)=1,0,MAX(0,CF37-8)*CF36))</f>
      </c>
      <c r="CG39" s="26">
        <f>IF(CG$6="","",IF(WEEKDAY(CG$6,1)=1,0,MAX(0,CG37-8)*CG36))</f>
      </c>
      <c r="CH39" s="26">
        <f>IF(CH$6="","",IF(WEEKDAY(CH$6,1)=1,0,MAX(0,CH37-8)*CH36))</f>
      </c>
      <c r="CI39" s="26">
        <f>IF(CI$6="","",IF(WEEKDAY(CI$6,1)=1,0,MAX(0,CI37-8)*CI36))</f>
      </c>
      <c r="CJ39" s="26">
        <f>IF(CJ$6="","",IF(WEEKDAY(CJ$6,1)=1,0,MAX(0,CJ37-8)*CJ36))</f>
      </c>
      <c r="CK39" s="26">
        <f>IF(CK$6="","",IF(WEEKDAY(CK$6,1)=1,0,MAX(0,CK37-8)*CK36))</f>
      </c>
      <c r="CL39" s="26">
        <f>IF(CL$6="","",IF(WEEKDAY(CL$6,1)=1,0,MAX(0,CL37-8)*CL36))</f>
      </c>
      <c r="CM39" s="26">
        <f>IF(CM$6="","",IF(WEEKDAY(CM$6,1)=1,0,MAX(0,CM37-8)*CM36))</f>
      </c>
      <c r="CN39" s="26">
        <f>IF(CN$6="","",IF(WEEKDAY(CN$6,1)=1,0,MAX(0,CN37-8)*CN36))</f>
      </c>
      <c r="CO39" s="26">
        <f>IF(CO$6="","",IF(WEEKDAY(CO$6,1)=1,0,MAX(0,CO37-8)*CO36))</f>
      </c>
      <c r="CP39" s="26">
        <f>IF(CP$6="","",IF(WEEKDAY(CP$6,1)=1,0,MAX(0,CP37-8)*CP36))</f>
      </c>
      <c r="CQ39" s="26">
        <f>IF(CQ$6="","",IF(WEEKDAY(CQ$6,1)=1,0,MAX(0,CQ37-8)*CQ36))</f>
      </c>
      <c r="CR39" s="26">
        <f>IF(CR$6="","",IF(WEEKDAY(CR$6,1)=1,0,MAX(0,CR37-8)*CR36))</f>
      </c>
      <c r="CS39" s="26">
        <f>IF(CS$6="","",IF(WEEKDAY(CS$6,1)=1,0,MAX(0,CS37-8)*CS36))</f>
      </c>
      <c r="CT39" s="26">
        <f>IF(CT$6="","",IF(WEEKDAY(CT$6,1)=1,0,MAX(0,CT37-8)*CT36))</f>
      </c>
      <c r="CU39" s="26">
        <f>IF(CU$6="","",IF(WEEKDAY(CU$6,1)=1,0,MAX(0,CU37-8)*CU36))</f>
      </c>
      <c r="CV39" s="26">
        <f>IF(CV$6="","",IF(WEEKDAY(CV$6,1)=1,0,MAX(0,CV37-8)*CV36))</f>
      </c>
      <c r="CW39" s="26">
        <f>IF(CW$6="","",IF(WEEKDAY(CW$6,1)=1,0,MAX(0,CW37-8)*CW36))</f>
      </c>
      <c r="CX39" s="8" t="s">
        <v>50</v>
      </c>
    </row>
    <row r="40" spans="2:102" x14ac:dyDescent="0.25">
      <c r="B40" s="26">
        <f>SUM(L40:CW40)</f>
      </c>
      <c r="D40" s="27">
        <f>B40*E40</f>
      </c>
      <c r="E40" s="27">
        <f>'Rate Tables'!E10</f>
      </c>
      <c r="F40" s="8" t="s">
        <v>41</v>
      </c>
      <c r="L40" s="26">
        <f>IF(L$6="","",IF(WEEKDAY(L$6,1)=1,L37*L36,0))</f>
      </c>
      <c r="M40" s="26">
        <f>IF(M$6="","",IF(WEEKDAY(M$6,1)=1,M37*M36,0))</f>
      </c>
      <c r="N40" s="26">
        <f>IF(N$6="","",IF(WEEKDAY(N$6,1)=1,N37*N36,0))</f>
      </c>
      <c r="O40" s="26">
        <f>IF(O$6="","",IF(WEEKDAY(O$6,1)=1,O37*O36,0))</f>
      </c>
      <c r="P40" s="26">
        <f>IF(P$6="","",IF(WEEKDAY(P$6,1)=1,P37*P36,0))</f>
      </c>
      <c r="Q40" s="26">
        <f>IF(Q$6="","",IF(WEEKDAY(Q$6,1)=1,Q37*Q36,0))</f>
      </c>
      <c r="R40" s="26">
        <f>IF(R$6="","",IF(WEEKDAY(R$6,1)=1,R37*R36,0))</f>
      </c>
      <c r="S40" s="26">
        <f>IF(S$6="","",IF(WEEKDAY(S$6,1)=1,S37*S36,0))</f>
      </c>
      <c r="T40" s="26">
        <f>IF(T$6="","",IF(WEEKDAY(T$6,1)=1,T37*T36,0))</f>
      </c>
      <c r="U40" s="26">
        <f>IF(U$6="","",IF(WEEKDAY(U$6,1)=1,U37*U36,0))</f>
      </c>
      <c r="V40" s="26">
        <f>IF(V$6="","",IF(WEEKDAY(V$6,1)=1,V37*V36,0))</f>
      </c>
      <c r="W40" s="26">
        <f>IF(W$6="","",IF(WEEKDAY(W$6,1)=1,W37*W36,0))</f>
      </c>
      <c r="X40" s="26">
        <f>IF(X$6="","",IF(WEEKDAY(X$6,1)=1,X37*X36,0))</f>
      </c>
      <c r="Y40" s="26">
        <f>IF(Y$6="","",IF(WEEKDAY(Y$6,1)=1,Y37*Y36,0))</f>
      </c>
      <c r="Z40" s="26">
        <f>IF(Z$6="","",IF(WEEKDAY(Z$6,1)=1,Z37*Z36,0))</f>
      </c>
      <c r="AA40" s="26">
        <f>IF(AA$6="","",IF(WEEKDAY(AA$6,1)=1,AA37*AA36,0))</f>
      </c>
      <c r="AB40" s="26">
        <f>IF(AB$6="","",IF(WEEKDAY(AB$6,1)=1,AB37*AB36,0))</f>
      </c>
      <c r="AC40" s="26">
        <f>IF(AC$6="","",IF(WEEKDAY(AC$6,1)=1,AC37*AC36,0))</f>
      </c>
      <c r="AD40" s="26">
        <f>IF(AD$6="","",IF(WEEKDAY(AD$6,1)=1,AD37*AD36,0))</f>
      </c>
      <c r="AE40" s="26">
        <f>IF(AE$6="","",IF(WEEKDAY(AE$6,1)=1,AE37*AE36,0))</f>
      </c>
      <c r="AF40" s="26">
        <f>IF(AF$6="","",IF(WEEKDAY(AF$6,1)=1,AF37*AF36,0))</f>
      </c>
      <c r="AG40" s="26">
        <f>IF(AG$6="","",IF(WEEKDAY(AG$6,1)=1,AG37*AG36,0))</f>
      </c>
      <c r="AH40" s="26">
        <f>IF(AH$6="","",IF(WEEKDAY(AH$6,1)=1,AH37*AH36,0))</f>
      </c>
      <c r="AI40" s="26">
        <f>IF(AI$6="","",IF(WEEKDAY(AI$6,1)=1,AI37*AI36,0))</f>
      </c>
      <c r="AJ40" s="26">
        <f>IF(AJ$6="","",IF(WEEKDAY(AJ$6,1)=1,AJ37*AJ36,0))</f>
      </c>
      <c r="AK40" s="26">
        <f>IF(AK$6="","",IF(WEEKDAY(AK$6,1)=1,AK37*AK36,0))</f>
      </c>
      <c r="AL40" s="26">
        <f>IF(AL$6="","",IF(WEEKDAY(AL$6,1)=1,AL37*AL36,0))</f>
      </c>
      <c r="AM40" s="26">
        <f>IF(AM$6="","",IF(WEEKDAY(AM$6,1)=1,AM37*AM36,0))</f>
      </c>
      <c r="AN40" s="26">
        <f>IF(AN$6="","",IF(WEEKDAY(AN$6,1)=1,AN37*AN36,0))</f>
      </c>
      <c r="AO40" s="26">
        <f>IF(AO$6="","",IF(WEEKDAY(AO$6,1)=1,AO37*AO36,0))</f>
      </c>
      <c r="AP40" s="26">
        <f>IF(AP$6="","",IF(WEEKDAY(AP$6,1)=1,AP37*AP36,0))</f>
      </c>
      <c r="AQ40" s="26">
        <f>IF(AQ$6="","",IF(WEEKDAY(AQ$6,1)=1,AQ37*AQ36,0))</f>
      </c>
      <c r="AR40" s="26">
        <f>IF(AR$6="","",IF(WEEKDAY(AR$6,1)=1,AR37*AR36,0))</f>
      </c>
      <c r="AS40" s="26">
        <f>IF(AS$6="","",IF(WEEKDAY(AS$6,1)=1,AS37*AS36,0))</f>
      </c>
      <c r="AT40" s="26">
        <f>IF(AT$6="","",IF(WEEKDAY(AT$6,1)=1,AT37*AT36,0))</f>
      </c>
      <c r="AU40" s="26">
        <f>IF(AU$6="","",IF(WEEKDAY(AU$6,1)=1,AU37*AU36,0))</f>
      </c>
      <c r="AV40" s="26">
        <f>IF(AV$6="","",IF(WEEKDAY(AV$6,1)=1,AV37*AV36,0))</f>
      </c>
      <c r="AW40" s="26">
        <f>IF(AW$6="","",IF(WEEKDAY(AW$6,1)=1,AW37*AW36,0))</f>
      </c>
      <c r="AX40" s="26">
        <f>IF(AX$6="","",IF(WEEKDAY(AX$6,1)=1,AX37*AX36,0))</f>
      </c>
      <c r="AY40" s="26">
        <f>IF(AY$6="","",IF(WEEKDAY(AY$6,1)=1,AY37*AY36,0))</f>
      </c>
      <c r="AZ40" s="26">
        <f>IF(AZ$6="","",IF(WEEKDAY(AZ$6,1)=1,AZ37*AZ36,0))</f>
      </c>
      <c r="BA40" s="26">
        <f>IF(BA$6="","",IF(WEEKDAY(BA$6,1)=1,BA37*BA36,0))</f>
      </c>
      <c r="BB40" s="26">
        <f>IF(BB$6="","",IF(WEEKDAY(BB$6,1)=1,BB37*BB36,0))</f>
      </c>
      <c r="BC40" s="26">
        <f>IF(BC$6="","",IF(WEEKDAY(BC$6,1)=1,BC37*BC36,0))</f>
      </c>
      <c r="BD40" s="26">
        <f>IF(BD$6="","",IF(WEEKDAY(BD$6,1)=1,BD37*BD36,0))</f>
      </c>
      <c r="BE40" s="26">
        <f>IF(BE$6="","",IF(WEEKDAY(BE$6,1)=1,BE37*BE36,0))</f>
      </c>
      <c r="BF40" s="26">
        <f>IF(BF$6="","",IF(WEEKDAY(BF$6,1)=1,BF37*BF36,0))</f>
      </c>
      <c r="BG40" s="26">
        <f>IF(BG$6="","",IF(WEEKDAY(BG$6,1)=1,BG37*BG36,0))</f>
      </c>
      <c r="BH40" s="26">
        <f>IF(BH$6="","",IF(WEEKDAY(BH$6,1)=1,BH37*BH36,0))</f>
      </c>
      <c r="BI40" s="26">
        <f>IF(BI$6="","",IF(WEEKDAY(BI$6,1)=1,BI37*BI36,0))</f>
      </c>
      <c r="BJ40" s="26">
        <f>IF(BJ$6="","",IF(WEEKDAY(BJ$6,1)=1,BJ37*BJ36,0))</f>
      </c>
      <c r="BK40" s="26">
        <f>IF(BK$6="","",IF(WEEKDAY(BK$6,1)=1,BK37*BK36,0))</f>
      </c>
      <c r="BL40" s="26">
        <f>IF(BL$6="","",IF(WEEKDAY(BL$6,1)=1,BL37*BL36,0))</f>
      </c>
      <c r="BM40" s="26">
        <f>IF(BM$6="","",IF(WEEKDAY(BM$6,1)=1,BM37*BM36,0))</f>
      </c>
      <c r="BN40" s="26">
        <f>IF(BN$6="","",IF(WEEKDAY(BN$6,1)=1,BN37*BN36,0))</f>
      </c>
      <c r="BO40" s="26">
        <f>IF(BO$6="","",IF(WEEKDAY(BO$6,1)=1,BO37*BO36,0))</f>
      </c>
      <c r="BP40" s="26">
        <f>IF(BP$6="","",IF(WEEKDAY(BP$6,1)=1,BP37*BP36,0))</f>
      </c>
      <c r="BQ40" s="26">
        <f>IF(BQ$6="","",IF(WEEKDAY(BQ$6,1)=1,BQ37*BQ36,0))</f>
      </c>
      <c r="BR40" s="26">
        <f>IF(BR$6="","",IF(WEEKDAY(BR$6,1)=1,BR37*BR36,0))</f>
      </c>
      <c r="BS40" s="26">
        <f>IF(BS$6="","",IF(WEEKDAY(BS$6,1)=1,BS37*BS36,0))</f>
      </c>
      <c r="BT40" s="26">
        <f>IF(BT$6="","",IF(WEEKDAY(BT$6,1)=1,BT37*BT36,0))</f>
      </c>
      <c r="BU40" s="26">
        <f>IF(BU$6="","",IF(WEEKDAY(BU$6,1)=1,BU37*BU36,0))</f>
      </c>
      <c r="BV40" s="26">
        <f>IF(BV$6="","",IF(WEEKDAY(BV$6,1)=1,BV37*BV36,0))</f>
      </c>
      <c r="BW40" s="26">
        <f>IF(BW$6="","",IF(WEEKDAY(BW$6,1)=1,BW37*BW36,0))</f>
      </c>
      <c r="BX40" s="26">
        <f>IF(BX$6="","",IF(WEEKDAY(BX$6,1)=1,BX37*BX36,0))</f>
      </c>
      <c r="BY40" s="26">
        <f>IF(BY$6="","",IF(WEEKDAY(BY$6,1)=1,BY37*BY36,0))</f>
      </c>
      <c r="BZ40" s="26">
        <f>IF(BZ$6="","",IF(WEEKDAY(BZ$6,1)=1,BZ37*BZ36,0))</f>
      </c>
      <c r="CA40" s="26">
        <f>IF(CA$6="","",IF(WEEKDAY(CA$6,1)=1,CA37*CA36,0))</f>
      </c>
      <c r="CB40" s="26">
        <f>IF(CB$6="","",IF(WEEKDAY(CB$6,1)=1,CB37*CB36,0))</f>
      </c>
      <c r="CC40" s="26">
        <f>IF(CC$6="","",IF(WEEKDAY(CC$6,1)=1,CC37*CC36,0))</f>
      </c>
      <c r="CD40" s="26">
        <f>IF(CD$6="","",IF(WEEKDAY(CD$6,1)=1,CD37*CD36,0))</f>
      </c>
      <c r="CE40" s="26">
        <f>IF(CE$6="","",IF(WEEKDAY(CE$6,1)=1,CE37*CE36,0))</f>
      </c>
      <c r="CF40" s="26">
        <f>IF(CF$6="","",IF(WEEKDAY(CF$6,1)=1,CF37*CF36,0))</f>
      </c>
      <c r="CG40" s="26">
        <f>IF(CG$6="","",IF(WEEKDAY(CG$6,1)=1,CG37*CG36,0))</f>
      </c>
      <c r="CH40" s="26">
        <f>IF(CH$6="","",IF(WEEKDAY(CH$6,1)=1,CH37*CH36,0))</f>
      </c>
      <c r="CI40" s="26">
        <f>IF(CI$6="","",IF(WEEKDAY(CI$6,1)=1,CI37*CI36,0))</f>
      </c>
      <c r="CJ40" s="26">
        <f>IF(CJ$6="","",IF(WEEKDAY(CJ$6,1)=1,CJ37*CJ36,0))</f>
      </c>
      <c r="CK40" s="26">
        <f>IF(CK$6="","",IF(WEEKDAY(CK$6,1)=1,CK37*CK36,0))</f>
      </c>
      <c r="CL40" s="26">
        <f>IF(CL$6="","",IF(WEEKDAY(CL$6,1)=1,CL37*CL36,0))</f>
      </c>
      <c r="CM40" s="26">
        <f>IF(CM$6="","",IF(WEEKDAY(CM$6,1)=1,CM37*CM36,0))</f>
      </c>
      <c r="CN40" s="26">
        <f>IF(CN$6="","",IF(WEEKDAY(CN$6,1)=1,CN37*CN36,0))</f>
      </c>
      <c r="CO40" s="26">
        <f>IF(CO$6="","",IF(WEEKDAY(CO$6,1)=1,CO37*CO36,0))</f>
      </c>
      <c r="CP40" s="26">
        <f>IF(CP$6="","",IF(WEEKDAY(CP$6,1)=1,CP37*CP36,0))</f>
      </c>
      <c r="CQ40" s="26">
        <f>IF(CQ$6="","",IF(WEEKDAY(CQ$6,1)=1,CQ37*CQ36,0))</f>
      </c>
      <c r="CR40" s="26">
        <f>IF(CR$6="","",IF(WEEKDAY(CR$6,1)=1,CR37*CR36,0))</f>
      </c>
      <c r="CS40" s="26">
        <f>IF(CS$6="","",IF(WEEKDAY(CS$6,1)=1,CS37*CS36,0))</f>
      </c>
      <c r="CT40" s="26">
        <f>IF(CT$6="","",IF(WEEKDAY(CT$6,1)=1,CT37*CT36,0))</f>
      </c>
      <c r="CU40" s="26">
        <f>IF(CU$6="","",IF(WEEKDAY(CU$6,1)=1,CU37*CU36,0))</f>
      </c>
      <c r="CV40" s="26">
        <f>IF(CV$6="","",IF(WEEKDAY(CV$6,1)=1,CV37*CV36,0))</f>
      </c>
      <c r="CW40" s="26">
        <f>IF(CW$6="","",IF(WEEKDAY(CW$6,1)=1,CW37*CW36,0))</f>
      </c>
      <c r="CX40" s="8" t="s">
        <v>50</v>
      </c>
    </row>
    <row r="41" spans="2:102" x14ac:dyDescent="0.25">
      <c r="B41" s="26">
        <f>SUM(L41:CW41)</f>
      </c>
      <c r="D41" s="27">
        <f>B41*E41</f>
      </c>
      <c r="E41" s="27">
        <v>140</v>
      </c>
      <c r="F41" s="8" t="s">
        <v>42</v>
      </c>
      <c r="L41" s="28">
        <v>1</v>
      </c>
      <c r="M41" s="28">
        <v>1</v>
      </c>
      <c r="N41" s="28">
        <v>1</v>
      </c>
      <c r="O41" s="28">
        <v>1</v>
      </c>
      <c r="P41" s="28">
        <v>1</v>
      </c>
      <c r="Q41" s="28">
        <v>0</v>
      </c>
      <c r="R41" s="28">
        <v>0</v>
      </c>
      <c r="S41" s="28">
        <v>1</v>
      </c>
      <c r="T41" s="28">
        <v>1</v>
      </c>
      <c r="U41" s="28">
        <v>1</v>
      </c>
      <c r="V41" s="28">
        <v>1</v>
      </c>
      <c r="W41" s="28">
        <v>1</v>
      </c>
      <c r="X41" s="28">
        <v>0</v>
      </c>
      <c r="Y41" s="28">
        <v>0</v>
      </c>
      <c r="Z41" s="28">
        <v>1</v>
      </c>
      <c r="AA41" s="28">
        <v>1</v>
      </c>
      <c r="AB41" s="28">
        <v>1</v>
      </c>
      <c r="AC41" s="28">
        <v>1</v>
      </c>
      <c r="AD41" s="28">
        <v>1</v>
      </c>
      <c r="AE41" s="28">
        <v>0</v>
      </c>
      <c r="AF41" s="28">
        <v>0</v>
      </c>
      <c r="AG41" s="28">
        <v>1</v>
      </c>
      <c r="AH41" s="28">
        <v>1</v>
      </c>
      <c r="AI41" s="28">
        <v>1</v>
      </c>
      <c r="AJ41" s="28">
        <v>1</v>
      </c>
      <c r="AK41" s="28">
        <v>1</v>
      </c>
      <c r="AL41" s="28">
        <v>0</v>
      </c>
      <c r="AM41" s="28">
        <v>0</v>
      </c>
      <c r="AN41" s="28">
        <v>1</v>
      </c>
      <c r="AO41" s="28">
        <v>1</v>
      </c>
      <c r="AP41" s="28">
        <v>1</v>
      </c>
      <c r="AQ41" s="28">
        <v>1</v>
      </c>
      <c r="AR41" s="28">
        <v>1</v>
      </c>
      <c r="AS41" s="28">
        <v>0</v>
      </c>
      <c r="AT41" s="28">
        <v>0</v>
      </c>
      <c r="AU41" s="28">
        <v>1</v>
      </c>
      <c r="AV41" s="28">
        <v>1</v>
      </c>
      <c r="AW41" s="28">
        <v>1</v>
      </c>
      <c r="AX41" s="28">
        <v>1</v>
      </c>
      <c r="AY41" s="28">
        <v>1</v>
      </c>
      <c r="AZ41" s="28">
        <v>0</v>
      </c>
      <c r="BA41" s="28">
        <v>0</v>
      </c>
      <c r="BB41" s="28">
        <v>1</v>
      </c>
      <c r="BC41" s="28">
        <v>1</v>
      </c>
      <c r="BD41" s="28">
        <v>1</v>
      </c>
      <c r="BE41" s="28">
        <v>1</v>
      </c>
      <c r="BF41" s="28">
        <v>1</v>
      </c>
      <c r="BG41" s="28">
        <v>0</v>
      </c>
      <c r="BH41" s="28">
        <v>0</v>
      </c>
      <c r="BI41" s="28">
        <v>1</v>
      </c>
      <c r="BJ41" s="28">
        <v>1</v>
      </c>
      <c r="BK41" s="28">
        <v>1</v>
      </c>
      <c r="BL41" s="28">
        <v>1</v>
      </c>
      <c r="BM41" s="28">
        <v>1</v>
      </c>
      <c r="BN41" s="28">
        <v>1</v>
      </c>
      <c r="BO41" s="28">
        <v>1</v>
      </c>
      <c r="BP41" s="28">
        <v>1</v>
      </c>
      <c r="BQ41" s="28">
        <v>1</v>
      </c>
      <c r="BR41" s="28">
        <v>1</v>
      </c>
      <c r="BS41" s="28">
        <v>1</v>
      </c>
      <c r="BT41" s="28">
        <v>1</v>
      </c>
      <c r="BU41" s="28">
        <v>1</v>
      </c>
      <c r="BV41" s="28">
        <v>1</v>
      </c>
      <c r="BW41" s="28">
        <v>1</v>
      </c>
      <c r="BX41" s="28">
        <v>1</v>
      </c>
      <c r="BY41" s="28">
        <v>1</v>
      </c>
      <c r="BZ41" s="28">
        <v>1</v>
      </c>
      <c r="CA41" s="28">
        <v>1</v>
      </c>
      <c r="CB41" s="28">
        <v>1</v>
      </c>
      <c r="CC41" s="28">
        <v>0</v>
      </c>
      <c r="CD41" s="28">
        <v>1</v>
      </c>
      <c r="CE41" s="28">
        <v>1</v>
      </c>
      <c r="CF41" s="28">
        <v>1</v>
      </c>
      <c r="CG41" s="28">
        <v>1</v>
      </c>
      <c r="CH41" s="28">
        <v>1</v>
      </c>
      <c r="CI41" s="28">
        <v>1</v>
      </c>
      <c r="CJ41" s="28">
        <v>1</v>
      </c>
      <c r="CK41" s="28">
        <v>1</v>
      </c>
      <c r="CL41" s="28">
        <v>1</v>
      </c>
      <c r="CM41" s="28">
        <v>1</v>
      </c>
      <c r="CN41" s="28">
        <v>1</v>
      </c>
      <c r="CO41" s="28">
        <v>1</v>
      </c>
      <c r="CP41" s="28">
        <v>1</v>
      </c>
      <c r="CQ41" s="28">
        <v>0</v>
      </c>
      <c r="CR41" s="28">
        <v>1</v>
      </c>
      <c r="CS41" s="28">
        <v>1</v>
      </c>
      <c r="CT41" s="28">
        <v>1</v>
      </c>
      <c r="CU41" s="28">
        <v>1</v>
      </c>
      <c r="CV41" s="28">
        <v>1</v>
      </c>
      <c r="CW41" s="28">
        <v>1</v>
      </c>
      <c r="CX41" s="8" t="s">
        <v>50</v>
      </c>
    </row>
    <row r="42" spans="1:102" x14ac:dyDescent="0.25">
      <c r="A42" s="20" t="s">
        <v>47</v>
      </c>
      <c r="B42" s="21">
        <f>G42+H42+I42</f>
      </c>
      <c r="C42" s="20" t="s">
        <v>49</v>
      </c>
      <c r="D42" s="22">
        <f>K42</f>
      </c>
      <c r="F42" s="20" t="s">
        <v>34</v>
      </c>
      <c r="G42" s="21">
        <f>B45</f>
      </c>
      <c r="H42" s="21">
        <f>B46</f>
      </c>
      <c r="I42" s="21">
        <f>B47</f>
      </c>
      <c r="J42" s="21">
        <f>B48</f>
      </c>
      <c r="K42" s="22">
        <f>D45+D46+D47</f>
      </c>
      <c r="CX42" s="20" t="s">
        <v>51</v>
      </c>
    </row>
    <row r="43" spans="6:102" x14ac:dyDescent="0.25">
      <c r="F43" s="23" t="s">
        <v>36</v>
      </c>
      <c r="L43" s="24">
        <v>0</v>
      </c>
      <c r="M43" s="24">
        <v>0</v>
      </c>
      <c r="N43" s="24">
        <v>0</v>
      </c>
      <c r="O43" s="24">
        <v>0</v>
      </c>
      <c r="P43" s="24">
        <v>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v>0</v>
      </c>
      <c r="AA43" s="24">
        <v>0</v>
      </c>
      <c r="AB43" s="24">
        <v>0</v>
      </c>
      <c r="AC43" s="24">
        <v>0</v>
      </c>
      <c r="AD43" s="24">
        <v>0</v>
      </c>
      <c r="AE43" s="24">
        <v>0</v>
      </c>
      <c r="AF43" s="24">
        <v>0</v>
      </c>
      <c r="AG43" s="24">
        <v>0</v>
      </c>
      <c r="AH43" s="24">
        <v>0</v>
      </c>
      <c r="AI43" s="24">
        <v>0</v>
      </c>
      <c r="AJ43" s="24">
        <v>0</v>
      </c>
      <c r="AK43" s="24">
        <v>0</v>
      </c>
      <c r="AL43" s="24">
        <v>0</v>
      </c>
      <c r="AM43" s="24">
        <v>0</v>
      </c>
      <c r="AN43" s="24">
        <v>0</v>
      </c>
      <c r="AO43" s="24">
        <v>0</v>
      </c>
      <c r="AP43" s="24">
        <v>0</v>
      </c>
      <c r="AQ43" s="24">
        <v>0</v>
      </c>
      <c r="AR43" s="24">
        <v>0</v>
      </c>
      <c r="AS43" s="24">
        <v>0</v>
      </c>
      <c r="AT43" s="24">
        <v>0</v>
      </c>
      <c r="AU43" s="24">
        <v>0</v>
      </c>
      <c r="AV43" s="24">
        <v>0</v>
      </c>
      <c r="AW43" s="24">
        <v>0</v>
      </c>
      <c r="AX43" s="24">
        <v>0</v>
      </c>
      <c r="AY43" s="24">
        <v>0</v>
      </c>
      <c r="AZ43" s="24">
        <v>0</v>
      </c>
      <c r="BA43" s="24">
        <v>0</v>
      </c>
      <c r="BB43" s="24">
        <v>0</v>
      </c>
      <c r="BC43" s="24">
        <v>0</v>
      </c>
      <c r="BD43" s="24">
        <v>0</v>
      </c>
      <c r="BE43" s="24">
        <v>0</v>
      </c>
      <c r="BF43" s="24">
        <v>0</v>
      </c>
      <c r="BG43" s="24">
        <v>0</v>
      </c>
      <c r="BH43" s="24">
        <v>0</v>
      </c>
      <c r="BI43" s="24">
        <v>1</v>
      </c>
      <c r="BJ43" s="24">
        <v>1</v>
      </c>
      <c r="BK43" s="24">
        <v>1</v>
      </c>
      <c r="BL43" s="24">
        <v>1</v>
      </c>
      <c r="BM43" s="24">
        <v>1</v>
      </c>
      <c r="BN43" s="24">
        <v>1</v>
      </c>
      <c r="BO43" s="24">
        <v>1</v>
      </c>
      <c r="BP43" s="24">
        <v>1</v>
      </c>
      <c r="BQ43" s="24">
        <v>1</v>
      </c>
      <c r="BR43" s="24">
        <v>1</v>
      </c>
      <c r="BS43" s="24">
        <v>1</v>
      </c>
      <c r="BT43" s="24">
        <v>1</v>
      </c>
      <c r="BU43" s="24">
        <v>1</v>
      </c>
      <c r="BV43" s="24">
        <v>1</v>
      </c>
      <c r="BW43" s="24">
        <v>1</v>
      </c>
      <c r="BX43" s="24">
        <v>1</v>
      </c>
      <c r="BY43" s="24">
        <v>1</v>
      </c>
      <c r="BZ43" s="24">
        <v>1</v>
      </c>
      <c r="CA43" s="24">
        <v>1</v>
      </c>
      <c r="CB43" s="24">
        <v>1</v>
      </c>
      <c r="CC43" s="24">
        <v>0</v>
      </c>
      <c r="CD43" s="24">
        <v>1</v>
      </c>
      <c r="CE43" s="24">
        <v>1</v>
      </c>
      <c r="CF43" s="24">
        <v>1</v>
      </c>
      <c r="CG43" s="24">
        <v>1</v>
      </c>
      <c r="CH43" s="24">
        <v>1</v>
      </c>
      <c r="CI43" s="24">
        <v>1</v>
      </c>
      <c r="CJ43" s="24">
        <v>1</v>
      </c>
      <c r="CK43" s="24">
        <v>1</v>
      </c>
      <c r="CL43" s="24">
        <v>1</v>
      </c>
      <c r="CM43" s="24">
        <v>1</v>
      </c>
      <c r="CN43" s="24">
        <v>1</v>
      </c>
      <c r="CO43" s="24">
        <v>1</v>
      </c>
      <c r="CP43" s="24">
        <v>1</v>
      </c>
      <c r="CQ43" s="24">
        <v>0</v>
      </c>
      <c r="CR43" s="24">
        <v>1</v>
      </c>
      <c r="CS43" s="24">
        <v>1</v>
      </c>
      <c r="CT43" s="24">
        <v>1</v>
      </c>
      <c r="CU43" s="24">
        <v>1</v>
      </c>
      <c r="CV43" s="24">
        <v>1</v>
      </c>
      <c r="CW43" s="24">
        <v>1</v>
      </c>
      <c r="CX43" s="23" t="s">
        <v>51</v>
      </c>
    </row>
    <row r="44" spans="1:102" x14ac:dyDescent="0.25">
      <c r="A44" s="23" t="s">
        <v>37</v>
      </c>
      <c r="F44" s="23" t="s">
        <v>38</v>
      </c>
      <c r="L44" s="25">
        <v>0</v>
      </c>
      <c r="M44" s="25">
        <v>0</v>
      </c>
      <c r="N44" s="25">
        <v>0</v>
      </c>
      <c r="O44" s="25">
        <v>0</v>
      </c>
      <c r="P44" s="25">
        <v>0</v>
      </c>
      <c r="Q44" s="25">
        <v>0</v>
      </c>
      <c r="R44" s="25">
        <v>0</v>
      </c>
      <c r="S44" s="25">
        <v>0</v>
      </c>
      <c r="T44" s="25">
        <v>0</v>
      </c>
      <c r="U44" s="25">
        <v>0</v>
      </c>
      <c r="V44" s="25">
        <v>0</v>
      </c>
      <c r="W44" s="25">
        <v>0</v>
      </c>
      <c r="X44" s="25">
        <v>0</v>
      </c>
      <c r="Y44" s="25">
        <v>0</v>
      </c>
      <c r="Z44" s="25">
        <v>0</v>
      </c>
      <c r="AA44" s="25">
        <v>0</v>
      </c>
      <c r="AB44" s="25">
        <v>0</v>
      </c>
      <c r="AC44" s="25">
        <v>0</v>
      </c>
      <c r="AD44" s="25">
        <v>0</v>
      </c>
      <c r="AE44" s="25">
        <v>0</v>
      </c>
      <c r="AF44" s="25">
        <v>0</v>
      </c>
      <c r="AG44" s="25">
        <v>0</v>
      </c>
      <c r="AH44" s="25">
        <v>0</v>
      </c>
      <c r="AI44" s="25">
        <v>0</v>
      </c>
      <c r="AJ44" s="25">
        <v>0</v>
      </c>
      <c r="AK44" s="25">
        <v>0</v>
      </c>
      <c r="AL44" s="25">
        <v>0</v>
      </c>
      <c r="AM44" s="25">
        <v>0</v>
      </c>
      <c r="AN44" s="25">
        <v>0</v>
      </c>
      <c r="AO44" s="25">
        <v>0</v>
      </c>
      <c r="AP44" s="25">
        <v>0</v>
      </c>
      <c r="AQ44" s="25">
        <v>0</v>
      </c>
      <c r="AR44" s="25">
        <v>0</v>
      </c>
      <c r="AS44" s="25">
        <v>0</v>
      </c>
      <c r="AT44" s="25">
        <v>0</v>
      </c>
      <c r="AU44" s="25">
        <v>0</v>
      </c>
      <c r="AV44" s="25">
        <v>0</v>
      </c>
      <c r="AW44" s="25">
        <v>0</v>
      </c>
      <c r="AX44" s="25">
        <v>0</v>
      </c>
      <c r="AY44" s="25">
        <v>0</v>
      </c>
      <c r="AZ44" s="25">
        <v>0</v>
      </c>
      <c r="BA44" s="25">
        <v>0</v>
      </c>
      <c r="BB44" s="25">
        <v>0</v>
      </c>
      <c r="BC44" s="25">
        <v>0</v>
      </c>
      <c r="BD44" s="25">
        <v>0</v>
      </c>
      <c r="BE44" s="25">
        <v>0</v>
      </c>
      <c r="BF44" s="25">
        <v>0</v>
      </c>
      <c r="BG44" s="25">
        <v>0</v>
      </c>
      <c r="BH44" s="25">
        <v>0</v>
      </c>
      <c r="BI44" s="25">
        <v>13</v>
      </c>
      <c r="BJ44" s="25">
        <v>13</v>
      </c>
      <c r="BK44" s="25">
        <v>13</v>
      </c>
      <c r="BL44" s="25">
        <v>13</v>
      </c>
      <c r="BM44" s="25">
        <v>13</v>
      </c>
      <c r="BN44" s="25">
        <v>13</v>
      </c>
      <c r="BO44" s="25">
        <v>13</v>
      </c>
      <c r="BP44" s="25">
        <v>13</v>
      </c>
      <c r="BQ44" s="25">
        <v>13</v>
      </c>
      <c r="BR44" s="25">
        <v>13</v>
      </c>
      <c r="BS44" s="25">
        <v>13</v>
      </c>
      <c r="BT44" s="25">
        <v>13</v>
      </c>
      <c r="BU44" s="25">
        <v>13</v>
      </c>
      <c r="BV44" s="25">
        <v>13</v>
      </c>
      <c r="BW44" s="25">
        <v>13</v>
      </c>
      <c r="BX44" s="25">
        <v>13</v>
      </c>
      <c r="BY44" s="25">
        <v>13</v>
      </c>
      <c r="BZ44" s="25">
        <v>13</v>
      </c>
      <c r="CA44" s="25">
        <v>13</v>
      </c>
      <c r="CB44" s="25">
        <v>13</v>
      </c>
      <c r="CC44" s="25">
        <v>0</v>
      </c>
      <c r="CD44" s="25">
        <v>13</v>
      </c>
      <c r="CE44" s="25">
        <v>13</v>
      </c>
      <c r="CF44" s="25">
        <v>13</v>
      </c>
      <c r="CG44" s="25">
        <v>13</v>
      </c>
      <c r="CH44" s="25">
        <v>13</v>
      </c>
      <c r="CI44" s="25">
        <v>13</v>
      </c>
      <c r="CJ44" s="25">
        <v>13</v>
      </c>
      <c r="CK44" s="25">
        <v>13</v>
      </c>
      <c r="CL44" s="25">
        <v>13</v>
      </c>
      <c r="CM44" s="25">
        <v>13</v>
      </c>
      <c r="CN44" s="25">
        <v>13</v>
      </c>
      <c r="CO44" s="25">
        <v>13</v>
      </c>
      <c r="CP44" s="25">
        <v>13</v>
      </c>
      <c r="CQ44" s="25">
        <v>0</v>
      </c>
      <c r="CR44" s="25">
        <v>13</v>
      </c>
      <c r="CS44" s="25">
        <v>13</v>
      </c>
      <c r="CT44" s="25">
        <v>13</v>
      </c>
      <c r="CU44" s="25">
        <v>13</v>
      </c>
      <c r="CV44" s="25">
        <v>13</v>
      </c>
      <c r="CW44" s="25">
        <v>13</v>
      </c>
      <c r="CX44" s="23" t="s">
        <v>51</v>
      </c>
    </row>
    <row r="45" spans="2:102" x14ac:dyDescent="0.25">
      <c r="B45" s="26">
        <f>SUM(L45:CW45)</f>
      </c>
      <c r="D45" s="27">
        <f>B45*E45</f>
      </c>
      <c r="E45" s="27">
        <f>'Rate Tables'!C10</f>
      </c>
      <c r="F45" s="8" t="s">
        <v>39</v>
      </c>
      <c r="L45" s="26">
        <f>IF(L$6="","",IF(WEEKDAY(L$6,1)=1,0,MIN(8,L44)*L43))</f>
      </c>
      <c r="M45" s="26">
        <f>IF(M$6="","",IF(WEEKDAY(M$6,1)=1,0,MIN(8,M44)*M43))</f>
      </c>
      <c r="N45" s="26">
        <f>IF(N$6="","",IF(WEEKDAY(N$6,1)=1,0,MIN(8,N44)*N43))</f>
      </c>
      <c r="O45" s="26">
        <f>IF(O$6="","",IF(WEEKDAY(O$6,1)=1,0,MIN(8,O44)*O43))</f>
      </c>
      <c r="P45" s="26">
        <f>IF(P$6="","",IF(WEEKDAY(P$6,1)=1,0,MIN(8,P44)*P43))</f>
      </c>
      <c r="Q45" s="26">
        <f>IF(Q$6="","",IF(WEEKDAY(Q$6,1)=1,0,MIN(8,Q44)*Q43))</f>
      </c>
      <c r="R45" s="26">
        <f>IF(R$6="","",IF(WEEKDAY(R$6,1)=1,0,MIN(8,R44)*R43))</f>
      </c>
      <c r="S45" s="26">
        <f>IF(S$6="","",IF(WEEKDAY(S$6,1)=1,0,MIN(8,S44)*S43))</f>
      </c>
      <c r="T45" s="26">
        <f>IF(T$6="","",IF(WEEKDAY(T$6,1)=1,0,MIN(8,T44)*T43))</f>
      </c>
      <c r="U45" s="26">
        <f>IF(U$6="","",IF(WEEKDAY(U$6,1)=1,0,MIN(8,U44)*U43))</f>
      </c>
      <c r="V45" s="26">
        <f>IF(V$6="","",IF(WEEKDAY(V$6,1)=1,0,MIN(8,V44)*V43))</f>
      </c>
      <c r="W45" s="26">
        <f>IF(W$6="","",IF(WEEKDAY(W$6,1)=1,0,MIN(8,W44)*W43))</f>
      </c>
      <c r="X45" s="26">
        <f>IF(X$6="","",IF(WEEKDAY(X$6,1)=1,0,MIN(8,X44)*X43))</f>
      </c>
      <c r="Y45" s="26">
        <f>IF(Y$6="","",IF(WEEKDAY(Y$6,1)=1,0,MIN(8,Y44)*Y43))</f>
      </c>
      <c r="Z45" s="26">
        <f>IF(Z$6="","",IF(WEEKDAY(Z$6,1)=1,0,MIN(8,Z44)*Z43))</f>
      </c>
      <c r="AA45" s="26">
        <f>IF(AA$6="","",IF(WEEKDAY(AA$6,1)=1,0,MIN(8,AA44)*AA43))</f>
      </c>
      <c r="AB45" s="26">
        <f>IF(AB$6="","",IF(WEEKDAY(AB$6,1)=1,0,MIN(8,AB44)*AB43))</f>
      </c>
      <c r="AC45" s="26">
        <f>IF(AC$6="","",IF(WEEKDAY(AC$6,1)=1,0,MIN(8,AC44)*AC43))</f>
      </c>
      <c r="AD45" s="26">
        <f>IF(AD$6="","",IF(WEEKDAY(AD$6,1)=1,0,MIN(8,AD44)*AD43))</f>
      </c>
      <c r="AE45" s="26">
        <f>IF(AE$6="","",IF(WEEKDAY(AE$6,1)=1,0,MIN(8,AE44)*AE43))</f>
      </c>
      <c r="AF45" s="26">
        <f>IF(AF$6="","",IF(WEEKDAY(AF$6,1)=1,0,MIN(8,AF44)*AF43))</f>
      </c>
      <c r="AG45" s="26">
        <f>IF(AG$6="","",IF(WEEKDAY(AG$6,1)=1,0,MIN(8,AG44)*AG43))</f>
      </c>
      <c r="AH45" s="26">
        <f>IF(AH$6="","",IF(WEEKDAY(AH$6,1)=1,0,MIN(8,AH44)*AH43))</f>
      </c>
      <c r="AI45" s="26">
        <f>IF(AI$6="","",IF(WEEKDAY(AI$6,1)=1,0,MIN(8,AI44)*AI43))</f>
      </c>
      <c r="AJ45" s="26">
        <f>IF(AJ$6="","",IF(WEEKDAY(AJ$6,1)=1,0,MIN(8,AJ44)*AJ43))</f>
      </c>
      <c r="AK45" s="26">
        <f>IF(AK$6="","",IF(WEEKDAY(AK$6,1)=1,0,MIN(8,AK44)*AK43))</f>
      </c>
      <c r="AL45" s="26">
        <f>IF(AL$6="","",IF(WEEKDAY(AL$6,1)=1,0,MIN(8,AL44)*AL43))</f>
      </c>
      <c r="AM45" s="26">
        <f>IF(AM$6="","",IF(WEEKDAY(AM$6,1)=1,0,MIN(8,AM44)*AM43))</f>
      </c>
      <c r="AN45" s="26">
        <f>IF(AN$6="","",IF(WEEKDAY(AN$6,1)=1,0,MIN(8,AN44)*AN43))</f>
      </c>
      <c r="AO45" s="26">
        <f>IF(AO$6="","",IF(WEEKDAY(AO$6,1)=1,0,MIN(8,AO44)*AO43))</f>
      </c>
      <c r="AP45" s="26">
        <f>IF(AP$6="","",IF(WEEKDAY(AP$6,1)=1,0,MIN(8,AP44)*AP43))</f>
      </c>
      <c r="AQ45" s="26">
        <f>IF(AQ$6="","",IF(WEEKDAY(AQ$6,1)=1,0,MIN(8,AQ44)*AQ43))</f>
      </c>
      <c r="AR45" s="26">
        <f>IF(AR$6="","",IF(WEEKDAY(AR$6,1)=1,0,MIN(8,AR44)*AR43))</f>
      </c>
      <c r="AS45" s="26">
        <f>IF(AS$6="","",IF(WEEKDAY(AS$6,1)=1,0,MIN(8,AS44)*AS43))</f>
      </c>
      <c r="AT45" s="26">
        <f>IF(AT$6="","",IF(WEEKDAY(AT$6,1)=1,0,MIN(8,AT44)*AT43))</f>
      </c>
      <c r="AU45" s="26">
        <f>IF(AU$6="","",IF(WEEKDAY(AU$6,1)=1,0,MIN(8,AU44)*AU43))</f>
      </c>
      <c r="AV45" s="26">
        <f>IF(AV$6="","",IF(WEEKDAY(AV$6,1)=1,0,MIN(8,AV44)*AV43))</f>
      </c>
      <c r="AW45" s="26">
        <f>IF(AW$6="","",IF(WEEKDAY(AW$6,1)=1,0,MIN(8,AW44)*AW43))</f>
      </c>
      <c r="AX45" s="26">
        <f>IF(AX$6="","",IF(WEEKDAY(AX$6,1)=1,0,MIN(8,AX44)*AX43))</f>
      </c>
      <c r="AY45" s="26">
        <f>IF(AY$6="","",IF(WEEKDAY(AY$6,1)=1,0,MIN(8,AY44)*AY43))</f>
      </c>
      <c r="AZ45" s="26">
        <f>IF(AZ$6="","",IF(WEEKDAY(AZ$6,1)=1,0,MIN(8,AZ44)*AZ43))</f>
      </c>
      <c r="BA45" s="26">
        <f>IF(BA$6="","",IF(WEEKDAY(BA$6,1)=1,0,MIN(8,BA44)*BA43))</f>
      </c>
      <c r="BB45" s="26">
        <f>IF(BB$6="","",IF(WEEKDAY(BB$6,1)=1,0,MIN(8,BB44)*BB43))</f>
      </c>
      <c r="BC45" s="26">
        <f>IF(BC$6="","",IF(WEEKDAY(BC$6,1)=1,0,MIN(8,BC44)*BC43))</f>
      </c>
      <c r="BD45" s="26">
        <f>IF(BD$6="","",IF(WEEKDAY(BD$6,1)=1,0,MIN(8,BD44)*BD43))</f>
      </c>
      <c r="BE45" s="26">
        <f>IF(BE$6="","",IF(WEEKDAY(BE$6,1)=1,0,MIN(8,BE44)*BE43))</f>
      </c>
      <c r="BF45" s="26">
        <f>IF(BF$6="","",IF(WEEKDAY(BF$6,1)=1,0,MIN(8,BF44)*BF43))</f>
      </c>
      <c r="BG45" s="26">
        <f>IF(BG$6="","",IF(WEEKDAY(BG$6,1)=1,0,MIN(8,BG44)*BG43))</f>
      </c>
      <c r="BH45" s="26">
        <f>IF(BH$6="","",IF(WEEKDAY(BH$6,1)=1,0,MIN(8,BH44)*BH43))</f>
      </c>
      <c r="BI45" s="26">
        <f>IF(BI$6="","",IF(WEEKDAY(BI$6,1)=1,0,MIN(8,BI44)*BI43))</f>
      </c>
      <c r="BJ45" s="26">
        <f>IF(BJ$6="","",IF(WEEKDAY(BJ$6,1)=1,0,MIN(8,BJ44)*BJ43))</f>
      </c>
      <c r="BK45" s="26">
        <f>IF(BK$6="","",IF(WEEKDAY(BK$6,1)=1,0,MIN(8,BK44)*BK43))</f>
      </c>
      <c r="BL45" s="26">
        <f>IF(BL$6="","",IF(WEEKDAY(BL$6,1)=1,0,MIN(8,BL44)*BL43))</f>
      </c>
      <c r="BM45" s="26">
        <f>IF(BM$6="","",IF(WEEKDAY(BM$6,1)=1,0,MIN(8,BM44)*BM43))</f>
      </c>
      <c r="BN45" s="26">
        <f>IF(BN$6="","",IF(WEEKDAY(BN$6,1)=1,0,MIN(8,BN44)*BN43))</f>
      </c>
      <c r="BO45" s="26">
        <f>IF(BO$6="","",IF(WEEKDAY(BO$6,1)=1,0,MIN(8,BO44)*BO43))</f>
      </c>
      <c r="BP45" s="26">
        <f>IF(BP$6="","",IF(WEEKDAY(BP$6,1)=1,0,MIN(8,BP44)*BP43))</f>
      </c>
      <c r="BQ45" s="26">
        <f>IF(BQ$6="","",IF(WEEKDAY(BQ$6,1)=1,0,MIN(8,BQ44)*BQ43))</f>
      </c>
      <c r="BR45" s="26">
        <f>IF(BR$6="","",IF(WEEKDAY(BR$6,1)=1,0,MIN(8,BR44)*BR43))</f>
      </c>
      <c r="BS45" s="26">
        <f>IF(BS$6="","",IF(WEEKDAY(BS$6,1)=1,0,MIN(8,BS44)*BS43))</f>
      </c>
      <c r="BT45" s="26">
        <f>IF(BT$6="","",IF(WEEKDAY(BT$6,1)=1,0,MIN(8,BT44)*BT43))</f>
      </c>
      <c r="BU45" s="26">
        <f>IF(BU$6="","",IF(WEEKDAY(BU$6,1)=1,0,MIN(8,BU44)*BU43))</f>
      </c>
      <c r="BV45" s="26">
        <f>IF(BV$6="","",IF(WEEKDAY(BV$6,1)=1,0,MIN(8,BV44)*BV43))</f>
      </c>
      <c r="BW45" s="26">
        <f>IF(BW$6="","",IF(WEEKDAY(BW$6,1)=1,0,MIN(8,BW44)*BW43))</f>
      </c>
      <c r="BX45" s="26">
        <f>IF(BX$6="","",IF(WEEKDAY(BX$6,1)=1,0,MIN(8,BX44)*BX43))</f>
      </c>
      <c r="BY45" s="26">
        <f>IF(BY$6="","",IF(WEEKDAY(BY$6,1)=1,0,MIN(8,BY44)*BY43))</f>
      </c>
      <c r="BZ45" s="26">
        <f>IF(BZ$6="","",IF(WEEKDAY(BZ$6,1)=1,0,MIN(8,BZ44)*BZ43))</f>
      </c>
      <c r="CA45" s="26">
        <f>IF(CA$6="","",IF(WEEKDAY(CA$6,1)=1,0,MIN(8,CA44)*CA43))</f>
      </c>
      <c r="CB45" s="26">
        <f>IF(CB$6="","",IF(WEEKDAY(CB$6,1)=1,0,MIN(8,CB44)*CB43))</f>
      </c>
      <c r="CC45" s="26">
        <f>IF(CC$6="","",IF(WEEKDAY(CC$6,1)=1,0,MIN(8,CC44)*CC43))</f>
      </c>
      <c r="CD45" s="26">
        <f>IF(CD$6="","",IF(WEEKDAY(CD$6,1)=1,0,MIN(8,CD44)*CD43))</f>
      </c>
      <c r="CE45" s="26">
        <f>IF(CE$6="","",IF(WEEKDAY(CE$6,1)=1,0,MIN(8,CE44)*CE43))</f>
      </c>
      <c r="CF45" s="26">
        <f>IF(CF$6="","",IF(WEEKDAY(CF$6,1)=1,0,MIN(8,CF44)*CF43))</f>
      </c>
      <c r="CG45" s="26">
        <f>IF(CG$6="","",IF(WEEKDAY(CG$6,1)=1,0,MIN(8,CG44)*CG43))</f>
      </c>
      <c r="CH45" s="26">
        <f>IF(CH$6="","",IF(WEEKDAY(CH$6,1)=1,0,MIN(8,CH44)*CH43))</f>
      </c>
      <c r="CI45" s="26">
        <f>IF(CI$6="","",IF(WEEKDAY(CI$6,1)=1,0,MIN(8,CI44)*CI43))</f>
      </c>
      <c r="CJ45" s="26">
        <f>IF(CJ$6="","",IF(WEEKDAY(CJ$6,1)=1,0,MIN(8,CJ44)*CJ43))</f>
      </c>
      <c r="CK45" s="26">
        <f>IF(CK$6="","",IF(WEEKDAY(CK$6,1)=1,0,MIN(8,CK44)*CK43))</f>
      </c>
      <c r="CL45" s="26">
        <f>IF(CL$6="","",IF(WEEKDAY(CL$6,1)=1,0,MIN(8,CL44)*CL43))</f>
      </c>
      <c r="CM45" s="26">
        <f>IF(CM$6="","",IF(WEEKDAY(CM$6,1)=1,0,MIN(8,CM44)*CM43))</f>
      </c>
      <c r="CN45" s="26">
        <f>IF(CN$6="","",IF(WEEKDAY(CN$6,1)=1,0,MIN(8,CN44)*CN43))</f>
      </c>
      <c r="CO45" s="26">
        <f>IF(CO$6="","",IF(WEEKDAY(CO$6,1)=1,0,MIN(8,CO44)*CO43))</f>
      </c>
      <c r="CP45" s="26">
        <f>IF(CP$6="","",IF(WEEKDAY(CP$6,1)=1,0,MIN(8,CP44)*CP43))</f>
      </c>
      <c r="CQ45" s="26">
        <f>IF(CQ$6="","",IF(WEEKDAY(CQ$6,1)=1,0,MIN(8,CQ44)*CQ43))</f>
      </c>
      <c r="CR45" s="26">
        <f>IF(CR$6="","",IF(WEEKDAY(CR$6,1)=1,0,MIN(8,CR44)*CR43))</f>
      </c>
      <c r="CS45" s="26">
        <f>IF(CS$6="","",IF(WEEKDAY(CS$6,1)=1,0,MIN(8,CS44)*CS43))</f>
      </c>
      <c r="CT45" s="26">
        <f>IF(CT$6="","",IF(WEEKDAY(CT$6,1)=1,0,MIN(8,CT44)*CT43))</f>
      </c>
      <c r="CU45" s="26">
        <f>IF(CU$6="","",IF(WEEKDAY(CU$6,1)=1,0,MIN(8,CU44)*CU43))</f>
      </c>
      <c r="CV45" s="26">
        <f>IF(CV$6="","",IF(WEEKDAY(CV$6,1)=1,0,MIN(8,CV44)*CV43))</f>
      </c>
      <c r="CW45" s="26">
        <f>IF(CW$6="","",IF(WEEKDAY(CW$6,1)=1,0,MIN(8,CW44)*CW43))</f>
      </c>
      <c r="CX45" s="8" t="s">
        <v>51</v>
      </c>
    </row>
    <row r="46" spans="2:102" x14ac:dyDescent="0.25">
      <c r="B46" s="26">
        <f>SUM(L46:CW46)</f>
      </c>
      <c r="D46" s="27">
        <f>B46*E46</f>
      </c>
      <c r="E46" s="27">
        <f>'Rate Tables'!D10</f>
      </c>
      <c r="F46" s="8" t="s">
        <v>40</v>
      </c>
      <c r="L46" s="26">
        <f>IF(L$6="","",IF(WEEKDAY(L$6,1)=1,0,MAX(0,L44-8)*L43))</f>
      </c>
      <c r="M46" s="26">
        <f>IF(M$6="","",IF(WEEKDAY(M$6,1)=1,0,MAX(0,M44-8)*M43))</f>
      </c>
      <c r="N46" s="26">
        <f>IF(N$6="","",IF(WEEKDAY(N$6,1)=1,0,MAX(0,N44-8)*N43))</f>
      </c>
      <c r="O46" s="26">
        <f>IF(O$6="","",IF(WEEKDAY(O$6,1)=1,0,MAX(0,O44-8)*O43))</f>
      </c>
      <c r="P46" s="26">
        <f>IF(P$6="","",IF(WEEKDAY(P$6,1)=1,0,MAX(0,P44-8)*P43))</f>
      </c>
      <c r="Q46" s="26">
        <f>IF(Q$6="","",IF(WEEKDAY(Q$6,1)=1,0,MAX(0,Q44-8)*Q43))</f>
      </c>
      <c r="R46" s="26">
        <f>IF(R$6="","",IF(WEEKDAY(R$6,1)=1,0,MAX(0,R44-8)*R43))</f>
      </c>
      <c r="S46" s="26">
        <f>IF(S$6="","",IF(WEEKDAY(S$6,1)=1,0,MAX(0,S44-8)*S43))</f>
      </c>
      <c r="T46" s="26">
        <f>IF(T$6="","",IF(WEEKDAY(T$6,1)=1,0,MAX(0,T44-8)*T43))</f>
      </c>
      <c r="U46" s="26">
        <f>IF(U$6="","",IF(WEEKDAY(U$6,1)=1,0,MAX(0,U44-8)*U43))</f>
      </c>
      <c r="V46" s="26">
        <f>IF(V$6="","",IF(WEEKDAY(V$6,1)=1,0,MAX(0,V44-8)*V43))</f>
      </c>
      <c r="W46" s="26">
        <f>IF(W$6="","",IF(WEEKDAY(W$6,1)=1,0,MAX(0,W44-8)*W43))</f>
      </c>
      <c r="X46" s="26">
        <f>IF(X$6="","",IF(WEEKDAY(X$6,1)=1,0,MAX(0,X44-8)*X43))</f>
      </c>
      <c r="Y46" s="26">
        <f>IF(Y$6="","",IF(WEEKDAY(Y$6,1)=1,0,MAX(0,Y44-8)*Y43))</f>
      </c>
      <c r="Z46" s="26">
        <f>IF(Z$6="","",IF(WEEKDAY(Z$6,1)=1,0,MAX(0,Z44-8)*Z43))</f>
      </c>
      <c r="AA46" s="26">
        <f>IF(AA$6="","",IF(WEEKDAY(AA$6,1)=1,0,MAX(0,AA44-8)*AA43))</f>
      </c>
      <c r="AB46" s="26">
        <f>IF(AB$6="","",IF(WEEKDAY(AB$6,1)=1,0,MAX(0,AB44-8)*AB43))</f>
      </c>
      <c r="AC46" s="26">
        <f>IF(AC$6="","",IF(WEEKDAY(AC$6,1)=1,0,MAX(0,AC44-8)*AC43))</f>
      </c>
      <c r="AD46" s="26">
        <f>IF(AD$6="","",IF(WEEKDAY(AD$6,1)=1,0,MAX(0,AD44-8)*AD43))</f>
      </c>
      <c r="AE46" s="26">
        <f>IF(AE$6="","",IF(WEEKDAY(AE$6,1)=1,0,MAX(0,AE44-8)*AE43))</f>
      </c>
      <c r="AF46" s="26">
        <f>IF(AF$6="","",IF(WEEKDAY(AF$6,1)=1,0,MAX(0,AF44-8)*AF43))</f>
      </c>
      <c r="AG46" s="26">
        <f>IF(AG$6="","",IF(WEEKDAY(AG$6,1)=1,0,MAX(0,AG44-8)*AG43))</f>
      </c>
      <c r="AH46" s="26">
        <f>IF(AH$6="","",IF(WEEKDAY(AH$6,1)=1,0,MAX(0,AH44-8)*AH43))</f>
      </c>
      <c r="AI46" s="26">
        <f>IF(AI$6="","",IF(WEEKDAY(AI$6,1)=1,0,MAX(0,AI44-8)*AI43))</f>
      </c>
      <c r="AJ46" s="26">
        <f>IF(AJ$6="","",IF(WEEKDAY(AJ$6,1)=1,0,MAX(0,AJ44-8)*AJ43))</f>
      </c>
      <c r="AK46" s="26">
        <f>IF(AK$6="","",IF(WEEKDAY(AK$6,1)=1,0,MAX(0,AK44-8)*AK43))</f>
      </c>
      <c r="AL46" s="26">
        <f>IF(AL$6="","",IF(WEEKDAY(AL$6,1)=1,0,MAX(0,AL44-8)*AL43))</f>
      </c>
      <c r="AM46" s="26">
        <f>IF(AM$6="","",IF(WEEKDAY(AM$6,1)=1,0,MAX(0,AM44-8)*AM43))</f>
      </c>
      <c r="AN46" s="26">
        <f>IF(AN$6="","",IF(WEEKDAY(AN$6,1)=1,0,MAX(0,AN44-8)*AN43))</f>
      </c>
      <c r="AO46" s="26">
        <f>IF(AO$6="","",IF(WEEKDAY(AO$6,1)=1,0,MAX(0,AO44-8)*AO43))</f>
      </c>
      <c r="AP46" s="26">
        <f>IF(AP$6="","",IF(WEEKDAY(AP$6,1)=1,0,MAX(0,AP44-8)*AP43))</f>
      </c>
      <c r="AQ46" s="26">
        <f>IF(AQ$6="","",IF(WEEKDAY(AQ$6,1)=1,0,MAX(0,AQ44-8)*AQ43))</f>
      </c>
      <c r="AR46" s="26">
        <f>IF(AR$6="","",IF(WEEKDAY(AR$6,1)=1,0,MAX(0,AR44-8)*AR43))</f>
      </c>
      <c r="AS46" s="26">
        <f>IF(AS$6="","",IF(WEEKDAY(AS$6,1)=1,0,MAX(0,AS44-8)*AS43))</f>
      </c>
      <c r="AT46" s="26">
        <f>IF(AT$6="","",IF(WEEKDAY(AT$6,1)=1,0,MAX(0,AT44-8)*AT43))</f>
      </c>
      <c r="AU46" s="26">
        <f>IF(AU$6="","",IF(WEEKDAY(AU$6,1)=1,0,MAX(0,AU44-8)*AU43))</f>
      </c>
      <c r="AV46" s="26">
        <f>IF(AV$6="","",IF(WEEKDAY(AV$6,1)=1,0,MAX(0,AV44-8)*AV43))</f>
      </c>
      <c r="AW46" s="26">
        <f>IF(AW$6="","",IF(WEEKDAY(AW$6,1)=1,0,MAX(0,AW44-8)*AW43))</f>
      </c>
      <c r="AX46" s="26">
        <f>IF(AX$6="","",IF(WEEKDAY(AX$6,1)=1,0,MAX(0,AX44-8)*AX43))</f>
      </c>
      <c r="AY46" s="26">
        <f>IF(AY$6="","",IF(WEEKDAY(AY$6,1)=1,0,MAX(0,AY44-8)*AY43))</f>
      </c>
      <c r="AZ46" s="26">
        <f>IF(AZ$6="","",IF(WEEKDAY(AZ$6,1)=1,0,MAX(0,AZ44-8)*AZ43))</f>
      </c>
      <c r="BA46" s="26">
        <f>IF(BA$6="","",IF(WEEKDAY(BA$6,1)=1,0,MAX(0,BA44-8)*BA43))</f>
      </c>
      <c r="BB46" s="26">
        <f>IF(BB$6="","",IF(WEEKDAY(BB$6,1)=1,0,MAX(0,BB44-8)*BB43))</f>
      </c>
      <c r="BC46" s="26">
        <f>IF(BC$6="","",IF(WEEKDAY(BC$6,1)=1,0,MAX(0,BC44-8)*BC43))</f>
      </c>
      <c r="BD46" s="26">
        <f>IF(BD$6="","",IF(WEEKDAY(BD$6,1)=1,0,MAX(0,BD44-8)*BD43))</f>
      </c>
      <c r="BE46" s="26">
        <f>IF(BE$6="","",IF(WEEKDAY(BE$6,1)=1,0,MAX(0,BE44-8)*BE43))</f>
      </c>
      <c r="BF46" s="26">
        <f>IF(BF$6="","",IF(WEEKDAY(BF$6,1)=1,0,MAX(0,BF44-8)*BF43))</f>
      </c>
      <c r="BG46" s="26">
        <f>IF(BG$6="","",IF(WEEKDAY(BG$6,1)=1,0,MAX(0,BG44-8)*BG43))</f>
      </c>
      <c r="BH46" s="26">
        <f>IF(BH$6="","",IF(WEEKDAY(BH$6,1)=1,0,MAX(0,BH44-8)*BH43))</f>
      </c>
      <c r="BI46" s="26">
        <f>IF(BI$6="","",IF(WEEKDAY(BI$6,1)=1,0,MAX(0,BI44-8)*BI43))</f>
      </c>
      <c r="BJ46" s="26">
        <f>IF(BJ$6="","",IF(WEEKDAY(BJ$6,1)=1,0,MAX(0,BJ44-8)*BJ43))</f>
      </c>
      <c r="BK46" s="26">
        <f>IF(BK$6="","",IF(WEEKDAY(BK$6,1)=1,0,MAX(0,BK44-8)*BK43))</f>
      </c>
      <c r="BL46" s="26">
        <f>IF(BL$6="","",IF(WEEKDAY(BL$6,1)=1,0,MAX(0,BL44-8)*BL43))</f>
      </c>
      <c r="BM46" s="26">
        <f>IF(BM$6="","",IF(WEEKDAY(BM$6,1)=1,0,MAX(0,BM44-8)*BM43))</f>
      </c>
      <c r="BN46" s="26">
        <f>IF(BN$6="","",IF(WEEKDAY(BN$6,1)=1,0,MAX(0,BN44-8)*BN43))</f>
      </c>
      <c r="BO46" s="26">
        <f>IF(BO$6="","",IF(WEEKDAY(BO$6,1)=1,0,MAX(0,BO44-8)*BO43))</f>
      </c>
      <c r="BP46" s="26">
        <f>IF(BP$6="","",IF(WEEKDAY(BP$6,1)=1,0,MAX(0,BP44-8)*BP43))</f>
      </c>
      <c r="BQ46" s="26">
        <f>IF(BQ$6="","",IF(WEEKDAY(BQ$6,1)=1,0,MAX(0,BQ44-8)*BQ43))</f>
      </c>
      <c r="BR46" s="26">
        <f>IF(BR$6="","",IF(WEEKDAY(BR$6,1)=1,0,MAX(0,BR44-8)*BR43))</f>
      </c>
      <c r="BS46" s="26">
        <f>IF(BS$6="","",IF(WEEKDAY(BS$6,1)=1,0,MAX(0,BS44-8)*BS43))</f>
      </c>
      <c r="BT46" s="26">
        <f>IF(BT$6="","",IF(WEEKDAY(BT$6,1)=1,0,MAX(0,BT44-8)*BT43))</f>
      </c>
      <c r="BU46" s="26">
        <f>IF(BU$6="","",IF(WEEKDAY(BU$6,1)=1,0,MAX(0,BU44-8)*BU43))</f>
      </c>
      <c r="BV46" s="26">
        <f>IF(BV$6="","",IF(WEEKDAY(BV$6,1)=1,0,MAX(0,BV44-8)*BV43))</f>
      </c>
      <c r="BW46" s="26">
        <f>IF(BW$6="","",IF(WEEKDAY(BW$6,1)=1,0,MAX(0,BW44-8)*BW43))</f>
      </c>
      <c r="BX46" s="26">
        <f>IF(BX$6="","",IF(WEEKDAY(BX$6,1)=1,0,MAX(0,BX44-8)*BX43))</f>
      </c>
      <c r="BY46" s="26">
        <f>IF(BY$6="","",IF(WEEKDAY(BY$6,1)=1,0,MAX(0,BY44-8)*BY43))</f>
      </c>
      <c r="BZ46" s="26">
        <f>IF(BZ$6="","",IF(WEEKDAY(BZ$6,1)=1,0,MAX(0,BZ44-8)*BZ43))</f>
      </c>
      <c r="CA46" s="26">
        <f>IF(CA$6="","",IF(WEEKDAY(CA$6,1)=1,0,MAX(0,CA44-8)*CA43))</f>
      </c>
      <c r="CB46" s="26">
        <f>IF(CB$6="","",IF(WEEKDAY(CB$6,1)=1,0,MAX(0,CB44-8)*CB43))</f>
      </c>
      <c r="CC46" s="26">
        <f>IF(CC$6="","",IF(WEEKDAY(CC$6,1)=1,0,MAX(0,CC44-8)*CC43))</f>
      </c>
      <c r="CD46" s="26">
        <f>IF(CD$6="","",IF(WEEKDAY(CD$6,1)=1,0,MAX(0,CD44-8)*CD43))</f>
      </c>
      <c r="CE46" s="26">
        <f>IF(CE$6="","",IF(WEEKDAY(CE$6,1)=1,0,MAX(0,CE44-8)*CE43))</f>
      </c>
      <c r="CF46" s="26">
        <f>IF(CF$6="","",IF(WEEKDAY(CF$6,1)=1,0,MAX(0,CF44-8)*CF43))</f>
      </c>
      <c r="CG46" s="26">
        <f>IF(CG$6="","",IF(WEEKDAY(CG$6,1)=1,0,MAX(0,CG44-8)*CG43))</f>
      </c>
      <c r="CH46" s="26">
        <f>IF(CH$6="","",IF(WEEKDAY(CH$6,1)=1,0,MAX(0,CH44-8)*CH43))</f>
      </c>
      <c r="CI46" s="26">
        <f>IF(CI$6="","",IF(WEEKDAY(CI$6,1)=1,0,MAX(0,CI44-8)*CI43))</f>
      </c>
      <c r="CJ46" s="26">
        <f>IF(CJ$6="","",IF(WEEKDAY(CJ$6,1)=1,0,MAX(0,CJ44-8)*CJ43))</f>
      </c>
      <c r="CK46" s="26">
        <f>IF(CK$6="","",IF(WEEKDAY(CK$6,1)=1,0,MAX(0,CK44-8)*CK43))</f>
      </c>
      <c r="CL46" s="26">
        <f>IF(CL$6="","",IF(WEEKDAY(CL$6,1)=1,0,MAX(0,CL44-8)*CL43))</f>
      </c>
      <c r="CM46" s="26">
        <f>IF(CM$6="","",IF(WEEKDAY(CM$6,1)=1,0,MAX(0,CM44-8)*CM43))</f>
      </c>
      <c r="CN46" s="26">
        <f>IF(CN$6="","",IF(WEEKDAY(CN$6,1)=1,0,MAX(0,CN44-8)*CN43))</f>
      </c>
      <c r="CO46" s="26">
        <f>IF(CO$6="","",IF(WEEKDAY(CO$6,1)=1,0,MAX(0,CO44-8)*CO43))</f>
      </c>
      <c r="CP46" s="26">
        <f>IF(CP$6="","",IF(WEEKDAY(CP$6,1)=1,0,MAX(0,CP44-8)*CP43))</f>
      </c>
      <c r="CQ46" s="26">
        <f>IF(CQ$6="","",IF(WEEKDAY(CQ$6,1)=1,0,MAX(0,CQ44-8)*CQ43))</f>
      </c>
      <c r="CR46" s="26">
        <f>IF(CR$6="","",IF(WEEKDAY(CR$6,1)=1,0,MAX(0,CR44-8)*CR43))</f>
      </c>
      <c r="CS46" s="26">
        <f>IF(CS$6="","",IF(WEEKDAY(CS$6,1)=1,0,MAX(0,CS44-8)*CS43))</f>
      </c>
      <c r="CT46" s="26">
        <f>IF(CT$6="","",IF(WEEKDAY(CT$6,1)=1,0,MAX(0,CT44-8)*CT43))</f>
      </c>
      <c r="CU46" s="26">
        <f>IF(CU$6="","",IF(WEEKDAY(CU$6,1)=1,0,MAX(0,CU44-8)*CU43))</f>
      </c>
      <c r="CV46" s="26">
        <f>IF(CV$6="","",IF(WEEKDAY(CV$6,1)=1,0,MAX(0,CV44-8)*CV43))</f>
      </c>
      <c r="CW46" s="26">
        <f>IF(CW$6="","",IF(WEEKDAY(CW$6,1)=1,0,MAX(0,CW44-8)*CW43))</f>
      </c>
      <c r="CX46" s="8" t="s">
        <v>51</v>
      </c>
    </row>
    <row r="47" spans="2:102" x14ac:dyDescent="0.25">
      <c r="B47" s="26">
        <f>SUM(L47:CW47)</f>
      </c>
      <c r="D47" s="27">
        <f>B47*E47</f>
      </c>
      <c r="E47" s="27">
        <f>'Rate Tables'!E10</f>
      </c>
      <c r="F47" s="8" t="s">
        <v>41</v>
      </c>
      <c r="L47" s="26">
        <f>IF(L$6="","",IF(WEEKDAY(L$6,1)=1,L44*L43,0))</f>
      </c>
      <c r="M47" s="26">
        <f>IF(M$6="","",IF(WEEKDAY(M$6,1)=1,M44*M43,0))</f>
      </c>
      <c r="N47" s="26">
        <f>IF(N$6="","",IF(WEEKDAY(N$6,1)=1,N44*N43,0))</f>
      </c>
      <c r="O47" s="26">
        <f>IF(O$6="","",IF(WEEKDAY(O$6,1)=1,O44*O43,0))</f>
      </c>
      <c r="P47" s="26">
        <f>IF(P$6="","",IF(WEEKDAY(P$6,1)=1,P44*P43,0))</f>
      </c>
      <c r="Q47" s="26">
        <f>IF(Q$6="","",IF(WEEKDAY(Q$6,1)=1,Q44*Q43,0))</f>
      </c>
      <c r="R47" s="26">
        <f>IF(R$6="","",IF(WEEKDAY(R$6,1)=1,R44*R43,0))</f>
      </c>
      <c r="S47" s="26">
        <f>IF(S$6="","",IF(WEEKDAY(S$6,1)=1,S44*S43,0))</f>
      </c>
      <c r="T47" s="26">
        <f>IF(T$6="","",IF(WEEKDAY(T$6,1)=1,T44*T43,0))</f>
      </c>
      <c r="U47" s="26">
        <f>IF(U$6="","",IF(WEEKDAY(U$6,1)=1,U44*U43,0))</f>
      </c>
      <c r="V47" s="26">
        <f>IF(V$6="","",IF(WEEKDAY(V$6,1)=1,V44*V43,0))</f>
      </c>
      <c r="W47" s="26">
        <f>IF(W$6="","",IF(WEEKDAY(W$6,1)=1,W44*W43,0))</f>
      </c>
      <c r="X47" s="26">
        <f>IF(X$6="","",IF(WEEKDAY(X$6,1)=1,X44*X43,0))</f>
      </c>
      <c r="Y47" s="26">
        <f>IF(Y$6="","",IF(WEEKDAY(Y$6,1)=1,Y44*Y43,0))</f>
      </c>
      <c r="Z47" s="26">
        <f>IF(Z$6="","",IF(WEEKDAY(Z$6,1)=1,Z44*Z43,0))</f>
      </c>
      <c r="AA47" s="26">
        <f>IF(AA$6="","",IF(WEEKDAY(AA$6,1)=1,AA44*AA43,0))</f>
      </c>
      <c r="AB47" s="26">
        <f>IF(AB$6="","",IF(WEEKDAY(AB$6,1)=1,AB44*AB43,0))</f>
      </c>
      <c r="AC47" s="26">
        <f>IF(AC$6="","",IF(WEEKDAY(AC$6,1)=1,AC44*AC43,0))</f>
      </c>
      <c r="AD47" s="26">
        <f>IF(AD$6="","",IF(WEEKDAY(AD$6,1)=1,AD44*AD43,0))</f>
      </c>
      <c r="AE47" s="26">
        <f>IF(AE$6="","",IF(WEEKDAY(AE$6,1)=1,AE44*AE43,0))</f>
      </c>
      <c r="AF47" s="26">
        <f>IF(AF$6="","",IF(WEEKDAY(AF$6,1)=1,AF44*AF43,0))</f>
      </c>
      <c r="AG47" s="26">
        <f>IF(AG$6="","",IF(WEEKDAY(AG$6,1)=1,AG44*AG43,0))</f>
      </c>
      <c r="AH47" s="26">
        <f>IF(AH$6="","",IF(WEEKDAY(AH$6,1)=1,AH44*AH43,0))</f>
      </c>
      <c r="AI47" s="26">
        <f>IF(AI$6="","",IF(WEEKDAY(AI$6,1)=1,AI44*AI43,0))</f>
      </c>
      <c r="AJ47" s="26">
        <f>IF(AJ$6="","",IF(WEEKDAY(AJ$6,1)=1,AJ44*AJ43,0))</f>
      </c>
      <c r="AK47" s="26">
        <f>IF(AK$6="","",IF(WEEKDAY(AK$6,1)=1,AK44*AK43,0))</f>
      </c>
      <c r="AL47" s="26">
        <f>IF(AL$6="","",IF(WEEKDAY(AL$6,1)=1,AL44*AL43,0))</f>
      </c>
      <c r="AM47" s="26">
        <f>IF(AM$6="","",IF(WEEKDAY(AM$6,1)=1,AM44*AM43,0))</f>
      </c>
      <c r="AN47" s="26">
        <f>IF(AN$6="","",IF(WEEKDAY(AN$6,1)=1,AN44*AN43,0))</f>
      </c>
      <c r="AO47" s="26">
        <f>IF(AO$6="","",IF(WEEKDAY(AO$6,1)=1,AO44*AO43,0))</f>
      </c>
      <c r="AP47" s="26">
        <f>IF(AP$6="","",IF(WEEKDAY(AP$6,1)=1,AP44*AP43,0))</f>
      </c>
      <c r="AQ47" s="26">
        <f>IF(AQ$6="","",IF(WEEKDAY(AQ$6,1)=1,AQ44*AQ43,0))</f>
      </c>
      <c r="AR47" s="26">
        <f>IF(AR$6="","",IF(WEEKDAY(AR$6,1)=1,AR44*AR43,0))</f>
      </c>
      <c r="AS47" s="26">
        <f>IF(AS$6="","",IF(WEEKDAY(AS$6,1)=1,AS44*AS43,0))</f>
      </c>
      <c r="AT47" s="26">
        <f>IF(AT$6="","",IF(WEEKDAY(AT$6,1)=1,AT44*AT43,0))</f>
      </c>
      <c r="AU47" s="26">
        <f>IF(AU$6="","",IF(WEEKDAY(AU$6,1)=1,AU44*AU43,0))</f>
      </c>
      <c r="AV47" s="26">
        <f>IF(AV$6="","",IF(WEEKDAY(AV$6,1)=1,AV44*AV43,0))</f>
      </c>
      <c r="AW47" s="26">
        <f>IF(AW$6="","",IF(WEEKDAY(AW$6,1)=1,AW44*AW43,0))</f>
      </c>
      <c r="AX47" s="26">
        <f>IF(AX$6="","",IF(WEEKDAY(AX$6,1)=1,AX44*AX43,0))</f>
      </c>
      <c r="AY47" s="26">
        <f>IF(AY$6="","",IF(WEEKDAY(AY$6,1)=1,AY44*AY43,0))</f>
      </c>
      <c r="AZ47" s="26">
        <f>IF(AZ$6="","",IF(WEEKDAY(AZ$6,1)=1,AZ44*AZ43,0))</f>
      </c>
      <c r="BA47" s="26">
        <f>IF(BA$6="","",IF(WEEKDAY(BA$6,1)=1,BA44*BA43,0))</f>
      </c>
      <c r="BB47" s="26">
        <f>IF(BB$6="","",IF(WEEKDAY(BB$6,1)=1,BB44*BB43,0))</f>
      </c>
      <c r="BC47" s="26">
        <f>IF(BC$6="","",IF(WEEKDAY(BC$6,1)=1,BC44*BC43,0))</f>
      </c>
      <c r="BD47" s="26">
        <f>IF(BD$6="","",IF(WEEKDAY(BD$6,1)=1,BD44*BD43,0))</f>
      </c>
      <c r="BE47" s="26">
        <f>IF(BE$6="","",IF(WEEKDAY(BE$6,1)=1,BE44*BE43,0))</f>
      </c>
      <c r="BF47" s="26">
        <f>IF(BF$6="","",IF(WEEKDAY(BF$6,1)=1,BF44*BF43,0))</f>
      </c>
      <c r="BG47" s="26">
        <f>IF(BG$6="","",IF(WEEKDAY(BG$6,1)=1,BG44*BG43,0))</f>
      </c>
      <c r="BH47" s="26">
        <f>IF(BH$6="","",IF(WEEKDAY(BH$6,1)=1,BH44*BH43,0))</f>
      </c>
      <c r="BI47" s="26">
        <f>IF(BI$6="","",IF(WEEKDAY(BI$6,1)=1,BI44*BI43,0))</f>
      </c>
      <c r="BJ47" s="26">
        <f>IF(BJ$6="","",IF(WEEKDAY(BJ$6,1)=1,BJ44*BJ43,0))</f>
      </c>
      <c r="BK47" s="26">
        <f>IF(BK$6="","",IF(WEEKDAY(BK$6,1)=1,BK44*BK43,0))</f>
      </c>
      <c r="BL47" s="26">
        <f>IF(BL$6="","",IF(WEEKDAY(BL$6,1)=1,BL44*BL43,0))</f>
      </c>
      <c r="BM47" s="26">
        <f>IF(BM$6="","",IF(WEEKDAY(BM$6,1)=1,BM44*BM43,0))</f>
      </c>
      <c r="BN47" s="26">
        <f>IF(BN$6="","",IF(WEEKDAY(BN$6,1)=1,BN44*BN43,0))</f>
      </c>
      <c r="BO47" s="26">
        <f>IF(BO$6="","",IF(WEEKDAY(BO$6,1)=1,BO44*BO43,0))</f>
      </c>
      <c r="BP47" s="26">
        <f>IF(BP$6="","",IF(WEEKDAY(BP$6,1)=1,BP44*BP43,0))</f>
      </c>
      <c r="BQ47" s="26">
        <f>IF(BQ$6="","",IF(WEEKDAY(BQ$6,1)=1,BQ44*BQ43,0))</f>
      </c>
      <c r="BR47" s="26">
        <f>IF(BR$6="","",IF(WEEKDAY(BR$6,1)=1,BR44*BR43,0))</f>
      </c>
      <c r="BS47" s="26">
        <f>IF(BS$6="","",IF(WEEKDAY(BS$6,1)=1,BS44*BS43,0))</f>
      </c>
      <c r="BT47" s="26">
        <f>IF(BT$6="","",IF(WEEKDAY(BT$6,1)=1,BT44*BT43,0))</f>
      </c>
      <c r="BU47" s="26">
        <f>IF(BU$6="","",IF(WEEKDAY(BU$6,1)=1,BU44*BU43,0))</f>
      </c>
      <c r="BV47" s="26">
        <f>IF(BV$6="","",IF(WEEKDAY(BV$6,1)=1,BV44*BV43,0))</f>
      </c>
      <c r="BW47" s="26">
        <f>IF(BW$6="","",IF(WEEKDAY(BW$6,1)=1,BW44*BW43,0))</f>
      </c>
      <c r="BX47" s="26">
        <f>IF(BX$6="","",IF(WEEKDAY(BX$6,1)=1,BX44*BX43,0))</f>
      </c>
      <c r="BY47" s="26">
        <f>IF(BY$6="","",IF(WEEKDAY(BY$6,1)=1,BY44*BY43,0))</f>
      </c>
      <c r="BZ47" s="26">
        <f>IF(BZ$6="","",IF(WEEKDAY(BZ$6,1)=1,BZ44*BZ43,0))</f>
      </c>
      <c r="CA47" s="26">
        <f>IF(CA$6="","",IF(WEEKDAY(CA$6,1)=1,CA44*CA43,0))</f>
      </c>
      <c r="CB47" s="26">
        <f>IF(CB$6="","",IF(WEEKDAY(CB$6,1)=1,CB44*CB43,0))</f>
      </c>
      <c r="CC47" s="26">
        <f>IF(CC$6="","",IF(WEEKDAY(CC$6,1)=1,CC44*CC43,0))</f>
      </c>
      <c r="CD47" s="26">
        <f>IF(CD$6="","",IF(WEEKDAY(CD$6,1)=1,CD44*CD43,0))</f>
      </c>
      <c r="CE47" s="26">
        <f>IF(CE$6="","",IF(WEEKDAY(CE$6,1)=1,CE44*CE43,0))</f>
      </c>
      <c r="CF47" s="26">
        <f>IF(CF$6="","",IF(WEEKDAY(CF$6,1)=1,CF44*CF43,0))</f>
      </c>
      <c r="CG47" s="26">
        <f>IF(CG$6="","",IF(WEEKDAY(CG$6,1)=1,CG44*CG43,0))</f>
      </c>
      <c r="CH47" s="26">
        <f>IF(CH$6="","",IF(WEEKDAY(CH$6,1)=1,CH44*CH43,0))</f>
      </c>
      <c r="CI47" s="26">
        <f>IF(CI$6="","",IF(WEEKDAY(CI$6,1)=1,CI44*CI43,0))</f>
      </c>
      <c r="CJ47" s="26">
        <f>IF(CJ$6="","",IF(WEEKDAY(CJ$6,1)=1,CJ44*CJ43,0))</f>
      </c>
      <c r="CK47" s="26">
        <f>IF(CK$6="","",IF(WEEKDAY(CK$6,1)=1,CK44*CK43,0))</f>
      </c>
      <c r="CL47" s="26">
        <f>IF(CL$6="","",IF(WEEKDAY(CL$6,1)=1,CL44*CL43,0))</f>
      </c>
      <c r="CM47" s="26">
        <f>IF(CM$6="","",IF(WEEKDAY(CM$6,1)=1,CM44*CM43,0))</f>
      </c>
      <c r="CN47" s="26">
        <f>IF(CN$6="","",IF(WEEKDAY(CN$6,1)=1,CN44*CN43,0))</f>
      </c>
      <c r="CO47" s="26">
        <f>IF(CO$6="","",IF(WEEKDAY(CO$6,1)=1,CO44*CO43,0))</f>
      </c>
      <c r="CP47" s="26">
        <f>IF(CP$6="","",IF(WEEKDAY(CP$6,1)=1,CP44*CP43,0))</f>
      </c>
      <c r="CQ47" s="26">
        <f>IF(CQ$6="","",IF(WEEKDAY(CQ$6,1)=1,CQ44*CQ43,0))</f>
      </c>
      <c r="CR47" s="26">
        <f>IF(CR$6="","",IF(WEEKDAY(CR$6,1)=1,CR44*CR43,0))</f>
      </c>
      <c r="CS47" s="26">
        <f>IF(CS$6="","",IF(WEEKDAY(CS$6,1)=1,CS44*CS43,0))</f>
      </c>
      <c r="CT47" s="26">
        <f>IF(CT$6="","",IF(WEEKDAY(CT$6,1)=1,CT44*CT43,0))</f>
      </c>
      <c r="CU47" s="26">
        <f>IF(CU$6="","",IF(WEEKDAY(CU$6,1)=1,CU44*CU43,0))</f>
      </c>
      <c r="CV47" s="26">
        <f>IF(CV$6="","",IF(WEEKDAY(CV$6,1)=1,CV44*CV43,0))</f>
      </c>
      <c r="CW47" s="26">
        <f>IF(CW$6="","",IF(WEEKDAY(CW$6,1)=1,CW44*CW43,0))</f>
      </c>
      <c r="CX47" s="8" t="s">
        <v>51</v>
      </c>
    </row>
    <row r="48" spans="2:102" x14ac:dyDescent="0.25">
      <c r="B48" s="26">
        <f>SUM(L48:CW48)</f>
      </c>
      <c r="D48" s="27">
        <f>B48*E48</f>
      </c>
      <c r="E48" s="27">
        <v>140</v>
      </c>
      <c r="F48" s="8" t="s">
        <v>42</v>
      </c>
      <c r="L48" s="28">
        <v>0</v>
      </c>
      <c r="M48" s="28">
        <v>0</v>
      </c>
      <c r="N48" s="28">
        <v>0</v>
      </c>
      <c r="O48" s="28">
        <v>0</v>
      </c>
      <c r="P48" s="28">
        <v>0</v>
      </c>
      <c r="Q48" s="28">
        <v>0</v>
      </c>
      <c r="R48" s="28">
        <v>0</v>
      </c>
      <c r="S48" s="28">
        <v>0</v>
      </c>
      <c r="T48" s="28">
        <v>0</v>
      </c>
      <c r="U48" s="28">
        <v>0</v>
      </c>
      <c r="V48" s="28">
        <v>0</v>
      </c>
      <c r="W48" s="28">
        <v>0</v>
      </c>
      <c r="X48" s="28">
        <v>0</v>
      </c>
      <c r="Y48" s="28">
        <v>0</v>
      </c>
      <c r="Z48" s="28">
        <v>0</v>
      </c>
      <c r="AA48" s="28">
        <v>0</v>
      </c>
      <c r="AB48" s="28">
        <v>0</v>
      </c>
      <c r="AC48" s="28">
        <v>0</v>
      </c>
      <c r="AD48" s="28">
        <v>0</v>
      </c>
      <c r="AE48" s="28">
        <v>0</v>
      </c>
      <c r="AF48" s="28">
        <v>0</v>
      </c>
      <c r="AG48" s="28">
        <v>0</v>
      </c>
      <c r="AH48" s="28">
        <v>0</v>
      </c>
      <c r="AI48" s="28">
        <v>0</v>
      </c>
      <c r="AJ48" s="28">
        <v>0</v>
      </c>
      <c r="AK48" s="28">
        <v>0</v>
      </c>
      <c r="AL48" s="28">
        <v>0</v>
      </c>
      <c r="AM48" s="28">
        <v>0</v>
      </c>
      <c r="AN48" s="28">
        <v>0</v>
      </c>
      <c r="AO48" s="28">
        <v>0</v>
      </c>
      <c r="AP48" s="28">
        <v>0</v>
      </c>
      <c r="AQ48" s="28">
        <v>0</v>
      </c>
      <c r="AR48" s="28">
        <v>0</v>
      </c>
      <c r="AS48" s="28">
        <v>0</v>
      </c>
      <c r="AT48" s="28">
        <v>0</v>
      </c>
      <c r="AU48" s="28">
        <v>0</v>
      </c>
      <c r="AV48" s="28">
        <v>0</v>
      </c>
      <c r="AW48" s="28">
        <v>0</v>
      </c>
      <c r="AX48" s="28">
        <v>0</v>
      </c>
      <c r="AY48" s="28">
        <v>0</v>
      </c>
      <c r="AZ48" s="28">
        <v>0</v>
      </c>
      <c r="BA48" s="28">
        <v>0</v>
      </c>
      <c r="BB48" s="28">
        <v>0</v>
      </c>
      <c r="BC48" s="28">
        <v>0</v>
      </c>
      <c r="BD48" s="28">
        <v>0</v>
      </c>
      <c r="BE48" s="28">
        <v>0</v>
      </c>
      <c r="BF48" s="28">
        <v>0</v>
      </c>
      <c r="BG48" s="28">
        <v>0</v>
      </c>
      <c r="BH48" s="28">
        <v>0</v>
      </c>
      <c r="BI48" s="28">
        <v>1</v>
      </c>
      <c r="BJ48" s="28">
        <v>1</v>
      </c>
      <c r="BK48" s="28">
        <v>1</v>
      </c>
      <c r="BL48" s="28">
        <v>1</v>
      </c>
      <c r="BM48" s="28">
        <v>1</v>
      </c>
      <c r="BN48" s="28">
        <v>1</v>
      </c>
      <c r="BO48" s="28">
        <v>1</v>
      </c>
      <c r="BP48" s="28">
        <v>1</v>
      </c>
      <c r="BQ48" s="28">
        <v>1</v>
      </c>
      <c r="BR48" s="28">
        <v>1</v>
      </c>
      <c r="BS48" s="28">
        <v>1</v>
      </c>
      <c r="BT48" s="28">
        <v>1</v>
      </c>
      <c r="BU48" s="28">
        <v>1</v>
      </c>
      <c r="BV48" s="28">
        <v>1</v>
      </c>
      <c r="BW48" s="28">
        <v>1</v>
      </c>
      <c r="BX48" s="28">
        <v>1</v>
      </c>
      <c r="BY48" s="28">
        <v>1</v>
      </c>
      <c r="BZ48" s="28">
        <v>1</v>
      </c>
      <c r="CA48" s="28">
        <v>1</v>
      </c>
      <c r="CB48" s="28">
        <v>1</v>
      </c>
      <c r="CC48" s="28">
        <v>0</v>
      </c>
      <c r="CD48" s="28">
        <v>1</v>
      </c>
      <c r="CE48" s="28">
        <v>1</v>
      </c>
      <c r="CF48" s="28">
        <v>1</v>
      </c>
      <c r="CG48" s="28">
        <v>1</v>
      </c>
      <c r="CH48" s="28">
        <v>1</v>
      </c>
      <c r="CI48" s="28">
        <v>1</v>
      </c>
      <c r="CJ48" s="28">
        <v>1</v>
      </c>
      <c r="CK48" s="28">
        <v>1</v>
      </c>
      <c r="CL48" s="28">
        <v>1</v>
      </c>
      <c r="CM48" s="28">
        <v>1</v>
      </c>
      <c r="CN48" s="28">
        <v>1</v>
      </c>
      <c r="CO48" s="28">
        <v>1</v>
      </c>
      <c r="CP48" s="28">
        <v>1</v>
      </c>
      <c r="CQ48" s="28">
        <v>0</v>
      </c>
      <c r="CR48" s="28">
        <v>1</v>
      </c>
      <c r="CS48" s="28">
        <v>1</v>
      </c>
      <c r="CT48" s="28">
        <v>1</v>
      </c>
      <c r="CU48" s="28">
        <v>1</v>
      </c>
      <c r="CV48" s="28">
        <v>1</v>
      </c>
      <c r="CW48" s="28">
        <v>1</v>
      </c>
      <c r="CX48" s="8" t="s">
        <v>51</v>
      </c>
    </row>
    <row r="49" spans="1:102" x14ac:dyDescent="0.25">
      <c r="A49" s="20" t="s">
        <v>32</v>
      </c>
      <c r="B49" s="21">
        <f>G49+H49+I49</f>
      </c>
      <c r="C49" s="20" t="s">
        <v>52</v>
      </c>
      <c r="D49" s="22">
        <f>K49</f>
      </c>
      <c r="F49" s="20" t="s">
        <v>34</v>
      </c>
      <c r="G49" s="21">
        <f>B52</f>
      </c>
      <c r="H49" s="21">
        <f>B53</f>
      </c>
      <c r="I49" s="21">
        <f>B54</f>
      </c>
      <c r="J49" s="21">
        <f>B55</f>
      </c>
      <c r="K49" s="22">
        <f>D52+D53+D54</f>
      </c>
      <c r="CX49" s="20" t="s">
        <v>53</v>
      </c>
    </row>
    <row r="50" spans="6:102" x14ac:dyDescent="0.25">
      <c r="F50" s="23" t="s">
        <v>36</v>
      </c>
      <c r="L50" s="24">
        <v>1</v>
      </c>
      <c r="M50" s="24">
        <v>1</v>
      </c>
      <c r="N50" s="24">
        <v>1</v>
      </c>
      <c r="O50" s="24">
        <v>1</v>
      </c>
      <c r="P50" s="24">
        <v>1</v>
      </c>
      <c r="Q50" s="24">
        <v>0</v>
      </c>
      <c r="R50" s="24">
        <v>0</v>
      </c>
      <c r="S50" s="24">
        <v>1</v>
      </c>
      <c r="T50" s="24">
        <v>1</v>
      </c>
      <c r="U50" s="24">
        <v>1</v>
      </c>
      <c r="V50" s="24">
        <v>1</v>
      </c>
      <c r="W50" s="24">
        <v>1</v>
      </c>
      <c r="X50" s="24">
        <v>0</v>
      </c>
      <c r="Y50" s="24">
        <v>0</v>
      </c>
      <c r="Z50" s="24">
        <v>1</v>
      </c>
      <c r="AA50" s="24">
        <v>1</v>
      </c>
      <c r="AB50" s="24">
        <v>1</v>
      </c>
      <c r="AC50" s="24">
        <v>1</v>
      </c>
      <c r="AD50" s="24">
        <v>1</v>
      </c>
      <c r="AE50" s="24">
        <v>0</v>
      </c>
      <c r="AF50" s="24">
        <v>0</v>
      </c>
      <c r="AG50" s="24">
        <v>1</v>
      </c>
      <c r="AH50" s="24">
        <v>1</v>
      </c>
      <c r="AI50" s="24">
        <v>1</v>
      </c>
      <c r="AJ50" s="24">
        <v>1</v>
      </c>
      <c r="AK50" s="24">
        <v>1</v>
      </c>
      <c r="AL50" s="24">
        <v>0</v>
      </c>
      <c r="AM50" s="24">
        <v>0</v>
      </c>
      <c r="AN50" s="24">
        <v>1</v>
      </c>
      <c r="AO50" s="24">
        <v>1</v>
      </c>
      <c r="AP50" s="24">
        <v>1</v>
      </c>
      <c r="AQ50" s="24">
        <v>1</v>
      </c>
      <c r="AR50" s="24">
        <v>1</v>
      </c>
      <c r="AS50" s="24">
        <v>0</v>
      </c>
      <c r="AT50" s="24">
        <v>0</v>
      </c>
      <c r="AU50" s="24">
        <v>1</v>
      </c>
      <c r="AV50" s="24">
        <v>1</v>
      </c>
      <c r="AW50" s="24">
        <v>1</v>
      </c>
      <c r="AX50" s="24">
        <v>1</v>
      </c>
      <c r="AY50" s="24">
        <v>1</v>
      </c>
      <c r="AZ50" s="24">
        <v>0</v>
      </c>
      <c r="BA50" s="24">
        <v>0</v>
      </c>
      <c r="BB50" s="24">
        <v>1</v>
      </c>
      <c r="BC50" s="24">
        <v>1</v>
      </c>
      <c r="BD50" s="24">
        <v>1</v>
      </c>
      <c r="BE50" s="24">
        <v>1</v>
      </c>
      <c r="BF50" s="24">
        <v>1</v>
      </c>
      <c r="BG50" s="24">
        <v>0</v>
      </c>
      <c r="BH50" s="24">
        <v>0</v>
      </c>
      <c r="BI50" s="24">
        <v>1</v>
      </c>
      <c r="BJ50" s="24">
        <v>1</v>
      </c>
      <c r="BK50" s="24">
        <v>1</v>
      </c>
      <c r="BL50" s="24">
        <v>1</v>
      </c>
      <c r="BM50" s="24">
        <v>1</v>
      </c>
      <c r="BN50" s="24">
        <v>1</v>
      </c>
      <c r="BO50" s="24">
        <v>1</v>
      </c>
      <c r="BP50" s="24">
        <v>1</v>
      </c>
      <c r="BQ50" s="24">
        <v>1</v>
      </c>
      <c r="BR50" s="24">
        <v>1</v>
      </c>
      <c r="BS50" s="24">
        <v>1</v>
      </c>
      <c r="BT50" s="24">
        <v>1</v>
      </c>
      <c r="BU50" s="24">
        <v>1</v>
      </c>
      <c r="BV50" s="24">
        <v>1</v>
      </c>
      <c r="BW50" s="24">
        <v>1</v>
      </c>
      <c r="BX50" s="24">
        <v>1</v>
      </c>
      <c r="BY50" s="24">
        <v>1</v>
      </c>
      <c r="BZ50" s="24">
        <v>1</v>
      </c>
      <c r="CA50" s="24">
        <v>1</v>
      </c>
      <c r="CB50" s="24">
        <v>1</v>
      </c>
      <c r="CC50" s="24">
        <v>0</v>
      </c>
      <c r="CD50" s="24">
        <v>1</v>
      </c>
      <c r="CE50" s="24">
        <v>1</v>
      </c>
      <c r="CF50" s="24">
        <v>1</v>
      </c>
      <c r="CG50" s="24">
        <v>1</v>
      </c>
      <c r="CH50" s="24">
        <v>1</v>
      </c>
      <c r="CI50" s="24">
        <v>1</v>
      </c>
      <c r="CJ50" s="24">
        <v>1</v>
      </c>
      <c r="CK50" s="24">
        <v>1</v>
      </c>
      <c r="CL50" s="24">
        <v>1</v>
      </c>
      <c r="CM50" s="24">
        <v>1</v>
      </c>
      <c r="CN50" s="24">
        <v>1</v>
      </c>
      <c r="CO50" s="24">
        <v>1</v>
      </c>
      <c r="CP50" s="24">
        <v>1</v>
      </c>
      <c r="CQ50" s="24">
        <v>0</v>
      </c>
      <c r="CR50" s="24">
        <v>1</v>
      </c>
      <c r="CS50" s="24">
        <v>1</v>
      </c>
      <c r="CT50" s="24">
        <v>1</v>
      </c>
      <c r="CU50" s="24">
        <v>1</v>
      </c>
      <c r="CV50" s="24">
        <v>1</v>
      </c>
      <c r="CW50" s="24">
        <v>1</v>
      </c>
      <c r="CX50" s="23" t="s">
        <v>53</v>
      </c>
    </row>
    <row r="51" spans="1:102" x14ac:dyDescent="0.25">
      <c r="A51" s="23" t="s">
        <v>37</v>
      </c>
      <c r="F51" s="23" t="s">
        <v>38</v>
      </c>
      <c r="L51" s="25">
        <v>9</v>
      </c>
      <c r="M51" s="25">
        <v>9</v>
      </c>
      <c r="N51" s="25">
        <v>9</v>
      </c>
      <c r="O51" s="25">
        <v>9</v>
      </c>
      <c r="P51" s="25">
        <v>9</v>
      </c>
      <c r="Q51" s="25">
        <v>0</v>
      </c>
      <c r="R51" s="25">
        <v>0</v>
      </c>
      <c r="S51" s="25">
        <v>9</v>
      </c>
      <c r="T51" s="25">
        <v>9</v>
      </c>
      <c r="U51" s="25">
        <v>9</v>
      </c>
      <c r="V51" s="25">
        <v>9</v>
      </c>
      <c r="W51" s="25">
        <v>9</v>
      </c>
      <c r="X51" s="25">
        <v>0</v>
      </c>
      <c r="Y51" s="25">
        <v>0</v>
      </c>
      <c r="Z51" s="25">
        <v>9</v>
      </c>
      <c r="AA51" s="25">
        <v>9</v>
      </c>
      <c r="AB51" s="25">
        <v>9</v>
      </c>
      <c r="AC51" s="25">
        <v>9</v>
      </c>
      <c r="AD51" s="25">
        <v>9</v>
      </c>
      <c r="AE51" s="25">
        <v>0</v>
      </c>
      <c r="AF51" s="25">
        <v>0</v>
      </c>
      <c r="AG51" s="25">
        <v>9</v>
      </c>
      <c r="AH51" s="25">
        <v>9</v>
      </c>
      <c r="AI51" s="25">
        <v>9</v>
      </c>
      <c r="AJ51" s="25">
        <v>9</v>
      </c>
      <c r="AK51" s="25">
        <v>9</v>
      </c>
      <c r="AL51" s="25">
        <v>0</v>
      </c>
      <c r="AM51" s="25">
        <v>0</v>
      </c>
      <c r="AN51" s="25">
        <v>9</v>
      </c>
      <c r="AO51" s="25">
        <v>9</v>
      </c>
      <c r="AP51" s="25">
        <v>9</v>
      </c>
      <c r="AQ51" s="25">
        <v>9</v>
      </c>
      <c r="AR51" s="25">
        <v>9</v>
      </c>
      <c r="AS51" s="25">
        <v>0</v>
      </c>
      <c r="AT51" s="25">
        <v>0</v>
      </c>
      <c r="AU51" s="25">
        <v>9</v>
      </c>
      <c r="AV51" s="25">
        <v>9</v>
      </c>
      <c r="AW51" s="25">
        <v>9</v>
      </c>
      <c r="AX51" s="25">
        <v>9</v>
      </c>
      <c r="AY51" s="25">
        <v>9</v>
      </c>
      <c r="AZ51" s="25">
        <v>0</v>
      </c>
      <c r="BA51" s="25">
        <v>0</v>
      </c>
      <c r="BB51" s="25">
        <v>9</v>
      </c>
      <c r="BC51" s="25">
        <v>9</v>
      </c>
      <c r="BD51" s="25">
        <v>9</v>
      </c>
      <c r="BE51" s="25">
        <v>9</v>
      </c>
      <c r="BF51" s="25">
        <v>9</v>
      </c>
      <c r="BG51" s="25">
        <v>0</v>
      </c>
      <c r="BH51" s="25">
        <v>0</v>
      </c>
      <c r="BI51" s="25">
        <v>13</v>
      </c>
      <c r="BJ51" s="25">
        <v>13</v>
      </c>
      <c r="BK51" s="25">
        <v>13</v>
      </c>
      <c r="BL51" s="25">
        <v>13</v>
      </c>
      <c r="BM51" s="25">
        <v>13</v>
      </c>
      <c r="BN51" s="25">
        <v>13</v>
      </c>
      <c r="BO51" s="25">
        <v>13</v>
      </c>
      <c r="BP51" s="25">
        <v>13</v>
      </c>
      <c r="BQ51" s="25">
        <v>13</v>
      </c>
      <c r="BR51" s="25">
        <v>13</v>
      </c>
      <c r="BS51" s="25">
        <v>13</v>
      </c>
      <c r="BT51" s="25">
        <v>13</v>
      </c>
      <c r="BU51" s="25">
        <v>13</v>
      </c>
      <c r="BV51" s="25">
        <v>13</v>
      </c>
      <c r="BW51" s="25">
        <v>13</v>
      </c>
      <c r="BX51" s="25">
        <v>13</v>
      </c>
      <c r="BY51" s="25">
        <v>13</v>
      </c>
      <c r="BZ51" s="25">
        <v>13</v>
      </c>
      <c r="CA51" s="25">
        <v>13</v>
      </c>
      <c r="CB51" s="25">
        <v>13</v>
      </c>
      <c r="CC51" s="25">
        <v>0</v>
      </c>
      <c r="CD51" s="25">
        <v>13</v>
      </c>
      <c r="CE51" s="25">
        <v>13</v>
      </c>
      <c r="CF51" s="25">
        <v>13</v>
      </c>
      <c r="CG51" s="25">
        <v>13</v>
      </c>
      <c r="CH51" s="25">
        <v>13</v>
      </c>
      <c r="CI51" s="25">
        <v>13</v>
      </c>
      <c r="CJ51" s="25">
        <v>13</v>
      </c>
      <c r="CK51" s="25">
        <v>13</v>
      </c>
      <c r="CL51" s="25">
        <v>13</v>
      </c>
      <c r="CM51" s="25">
        <v>13</v>
      </c>
      <c r="CN51" s="25">
        <v>13</v>
      </c>
      <c r="CO51" s="25">
        <v>13</v>
      </c>
      <c r="CP51" s="25">
        <v>13</v>
      </c>
      <c r="CQ51" s="25">
        <v>0</v>
      </c>
      <c r="CR51" s="25">
        <v>13</v>
      </c>
      <c r="CS51" s="25">
        <v>13</v>
      </c>
      <c r="CT51" s="25">
        <v>13</v>
      </c>
      <c r="CU51" s="25">
        <v>13</v>
      </c>
      <c r="CV51" s="25">
        <v>13</v>
      </c>
      <c r="CW51" s="25">
        <v>13</v>
      </c>
      <c r="CX51" s="23" t="s">
        <v>53</v>
      </c>
    </row>
    <row r="52" spans="2:102" x14ac:dyDescent="0.25">
      <c r="B52" s="26">
        <f>SUM(L52:CW52)</f>
      </c>
      <c r="D52" s="27">
        <f>B52*E52</f>
      </c>
      <c r="E52" s="27">
        <f>'Rate Tables'!C11</f>
      </c>
      <c r="F52" s="8" t="s">
        <v>39</v>
      </c>
      <c r="L52" s="26">
        <f>IF(L$6="","",IF(WEEKDAY(L$6,1)=1,0,MIN(8,L51)*L50))</f>
      </c>
      <c r="M52" s="26">
        <f>IF(M$6="","",IF(WEEKDAY(M$6,1)=1,0,MIN(8,M51)*M50))</f>
      </c>
      <c r="N52" s="26">
        <f>IF(N$6="","",IF(WEEKDAY(N$6,1)=1,0,MIN(8,N51)*N50))</f>
      </c>
      <c r="O52" s="26">
        <f>IF(O$6="","",IF(WEEKDAY(O$6,1)=1,0,MIN(8,O51)*O50))</f>
      </c>
      <c r="P52" s="26">
        <f>IF(P$6="","",IF(WEEKDAY(P$6,1)=1,0,MIN(8,P51)*P50))</f>
      </c>
      <c r="Q52" s="26">
        <f>IF(Q$6="","",IF(WEEKDAY(Q$6,1)=1,0,MIN(8,Q51)*Q50))</f>
      </c>
      <c r="R52" s="26">
        <f>IF(R$6="","",IF(WEEKDAY(R$6,1)=1,0,MIN(8,R51)*R50))</f>
      </c>
      <c r="S52" s="26">
        <f>IF(S$6="","",IF(WEEKDAY(S$6,1)=1,0,MIN(8,S51)*S50))</f>
      </c>
      <c r="T52" s="26">
        <f>IF(T$6="","",IF(WEEKDAY(T$6,1)=1,0,MIN(8,T51)*T50))</f>
      </c>
      <c r="U52" s="26">
        <f>IF(U$6="","",IF(WEEKDAY(U$6,1)=1,0,MIN(8,U51)*U50))</f>
      </c>
      <c r="V52" s="26">
        <f>IF(V$6="","",IF(WEEKDAY(V$6,1)=1,0,MIN(8,V51)*V50))</f>
      </c>
      <c r="W52" s="26">
        <f>IF(W$6="","",IF(WEEKDAY(W$6,1)=1,0,MIN(8,W51)*W50))</f>
      </c>
      <c r="X52" s="26">
        <f>IF(X$6="","",IF(WEEKDAY(X$6,1)=1,0,MIN(8,X51)*X50))</f>
      </c>
      <c r="Y52" s="26">
        <f>IF(Y$6="","",IF(WEEKDAY(Y$6,1)=1,0,MIN(8,Y51)*Y50))</f>
      </c>
      <c r="Z52" s="26">
        <f>IF(Z$6="","",IF(WEEKDAY(Z$6,1)=1,0,MIN(8,Z51)*Z50))</f>
      </c>
      <c r="AA52" s="26">
        <f>IF(AA$6="","",IF(WEEKDAY(AA$6,1)=1,0,MIN(8,AA51)*AA50))</f>
      </c>
      <c r="AB52" s="26">
        <f>IF(AB$6="","",IF(WEEKDAY(AB$6,1)=1,0,MIN(8,AB51)*AB50))</f>
      </c>
      <c r="AC52" s="26">
        <f>IF(AC$6="","",IF(WEEKDAY(AC$6,1)=1,0,MIN(8,AC51)*AC50))</f>
      </c>
      <c r="AD52" s="26">
        <f>IF(AD$6="","",IF(WEEKDAY(AD$6,1)=1,0,MIN(8,AD51)*AD50))</f>
      </c>
      <c r="AE52" s="26">
        <f>IF(AE$6="","",IF(WEEKDAY(AE$6,1)=1,0,MIN(8,AE51)*AE50))</f>
      </c>
      <c r="AF52" s="26">
        <f>IF(AF$6="","",IF(WEEKDAY(AF$6,1)=1,0,MIN(8,AF51)*AF50))</f>
      </c>
      <c r="AG52" s="26">
        <f>IF(AG$6="","",IF(WEEKDAY(AG$6,1)=1,0,MIN(8,AG51)*AG50))</f>
      </c>
      <c r="AH52" s="26">
        <f>IF(AH$6="","",IF(WEEKDAY(AH$6,1)=1,0,MIN(8,AH51)*AH50))</f>
      </c>
      <c r="AI52" s="26">
        <f>IF(AI$6="","",IF(WEEKDAY(AI$6,1)=1,0,MIN(8,AI51)*AI50))</f>
      </c>
      <c r="AJ52" s="26">
        <f>IF(AJ$6="","",IF(WEEKDAY(AJ$6,1)=1,0,MIN(8,AJ51)*AJ50))</f>
      </c>
      <c r="AK52" s="26">
        <f>IF(AK$6="","",IF(WEEKDAY(AK$6,1)=1,0,MIN(8,AK51)*AK50))</f>
      </c>
      <c r="AL52" s="26">
        <f>IF(AL$6="","",IF(WEEKDAY(AL$6,1)=1,0,MIN(8,AL51)*AL50))</f>
      </c>
      <c r="AM52" s="26">
        <f>IF(AM$6="","",IF(WEEKDAY(AM$6,1)=1,0,MIN(8,AM51)*AM50))</f>
      </c>
      <c r="AN52" s="26">
        <f>IF(AN$6="","",IF(WEEKDAY(AN$6,1)=1,0,MIN(8,AN51)*AN50))</f>
      </c>
      <c r="AO52" s="26">
        <f>IF(AO$6="","",IF(WEEKDAY(AO$6,1)=1,0,MIN(8,AO51)*AO50))</f>
      </c>
      <c r="AP52" s="26">
        <f>IF(AP$6="","",IF(WEEKDAY(AP$6,1)=1,0,MIN(8,AP51)*AP50))</f>
      </c>
      <c r="AQ52" s="26">
        <f>IF(AQ$6="","",IF(WEEKDAY(AQ$6,1)=1,0,MIN(8,AQ51)*AQ50))</f>
      </c>
      <c r="AR52" s="26">
        <f>IF(AR$6="","",IF(WEEKDAY(AR$6,1)=1,0,MIN(8,AR51)*AR50))</f>
      </c>
      <c r="AS52" s="26">
        <f>IF(AS$6="","",IF(WEEKDAY(AS$6,1)=1,0,MIN(8,AS51)*AS50))</f>
      </c>
      <c r="AT52" s="26">
        <f>IF(AT$6="","",IF(WEEKDAY(AT$6,1)=1,0,MIN(8,AT51)*AT50))</f>
      </c>
      <c r="AU52" s="26">
        <f>IF(AU$6="","",IF(WEEKDAY(AU$6,1)=1,0,MIN(8,AU51)*AU50))</f>
      </c>
      <c r="AV52" s="26">
        <f>IF(AV$6="","",IF(WEEKDAY(AV$6,1)=1,0,MIN(8,AV51)*AV50))</f>
      </c>
      <c r="AW52" s="26">
        <f>IF(AW$6="","",IF(WEEKDAY(AW$6,1)=1,0,MIN(8,AW51)*AW50))</f>
      </c>
      <c r="AX52" s="26">
        <f>IF(AX$6="","",IF(WEEKDAY(AX$6,1)=1,0,MIN(8,AX51)*AX50))</f>
      </c>
      <c r="AY52" s="26">
        <f>IF(AY$6="","",IF(WEEKDAY(AY$6,1)=1,0,MIN(8,AY51)*AY50))</f>
      </c>
      <c r="AZ52" s="26">
        <f>IF(AZ$6="","",IF(WEEKDAY(AZ$6,1)=1,0,MIN(8,AZ51)*AZ50))</f>
      </c>
      <c r="BA52" s="26">
        <f>IF(BA$6="","",IF(WEEKDAY(BA$6,1)=1,0,MIN(8,BA51)*BA50))</f>
      </c>
      <c r="BB52" s="26">
        <f>IF(BB$6="","",IF(WEEKDAY(BB$6,1)=1,0,MIN(8,BB51)*BB50))</f>
      </c>
      <c r="BC52" s="26">
        <f>IF(BC$6="","",IF(WEEKDAY(BC$6,1)=1,0,MIN(8,BC51)*BC50))</f>
      </c>
      <c r="BD52" s="26">
        <f>IF(BD$6="","",IF(WEEKDAY(BD$6,1)=1,0,MIN(8,BD51)*BD50))</f>
      </c>
      <c r="BE52" s="26">
        <f>IF(BE$6="","",IF(WEEKDAY(BE$6,1)=1,0,MIN(8,BE51)*BE50))</f>
      </c>
      <c r="BF52" s="26">
        <f>IF(BF$6="","",IF(WEEKDAY(BF$6,1)=1,0,MIN(8,BF51)*BF50))</f>
      </c>
      <c r="BG52" s="26">
        <f>IF(BG$6="","",IF(WEEKDAY(BG$6,1)=1,0,MIN(8,BG51)*BG50))</f>
      </c>
      <c r="BH52" s="26">
        <f>IF(BH$6="","",IF(WEEKDAY(BH$6,1)=1,0,MIN(8,BH51)*BH50))</f>
      </c>
      <c r="BI52" s="26">
        <f>IF(BI$6="","",IF(WEEKDAY(BI$6,1)=1,0,MIN(8,BI51)*BI50))</f>
      </c>
      <c r="BJ52" s="26">
        <f>IF(BJ$6="","",IF(WEEKDAY(BJ$6,1)=1,0,MIN(8,BJ51)*BJ50))</f>
      </c>
      <c r="BK52" s="26">
        <f>IF(BK$6="","",IF(WEEKDAY(BK$6,1)=1,0,MIN(8,BK51)*BK50))</f>
      </c>
      <c r="BL52" s="26">
        <f>IF(BL$6="","",IF(WEEKDAY(BL$6,1)=1,0,MIN(8,BL51)*BL50))</f>
      </c>
      <c r="BM52" s="26">
        <f>IF(BM$6="","",IF(WEEKDAY(BM$6,1)=1,0,MIN(8,BM51)*BM50))</f>
      </c>
      <c r="BN52" s="26">
        <f>IF(BN$6="","",IF(WEEKDAY(BN$6,1)=1,0,MIN(8,BN51)*BN50))</f>
      </c>
      <c r="BO52" s="26">
        <f>IF(BO$6="","",IF(WEEKDAY(BO$6,1)=1,0,MIN(8,BO51)*BO50))</f>
      </c>
      <c r="BP52" s="26">
        <f>IF(BP$6="","",IF(WEEKDAY(BP$6,1)=1,0,MIN(8,BP51)*BP50))</f>
      </c>
      <c r="BQ52" s="26">
        <f>IF(BQ$6="","",IF(WEEKDAY(BQ$6,1)=1,0,MIN(8,BQ51)*BQ50))</f>
      </c>
      <c r="BR52" s="26">
        <f>IF(BR$6="","",IF(WEEKDAY(BR$6,1)=1,0,MIN(8,BR51)*BR50))</f>
      </c>
      <c r="BS52" s="26">
        <f>IF(BS$6="","",IF(WEEKDAY(BS$6,1)=1,0,MIN(8,BS51)*BS50))</f>
      </c>
      <c r="BT52" s="26">
        <f>IF(BT$6="","",IF(WEEKDAY(BT$6,1)=1,0,MIN(8,BT51)*BT50))</f>
      </c>
      <c r="BU52" s="26">
        <f>IF(BU$6="","",IF(WEEKDAY(BU$6,1)=1,0,MIN(8,BU51)*BU50))</f>
      </c>
      <c r="BV52" s="26">
        <f>IF(BV$6="","",IF(WEEKDAY(BV$6,1)=1,0,MIN(8,BV51)*BV50))</f>
      </c>
      <c r="BW52" s="26">
        <f>IF(BW$6="","",IF(WEEKDAY(BW$6,1)=1,0,MIN(8,BW51)*BW50))</f>
      </c>
      <c r="BX52" s="26">
        <f>IF(BX$6="","",IF(WEEKDAY(BX$6,1)=1,0,MIN(8,BX51)*BX50))</f>
      </c>
      <c r="BY52" s="26">
        <f>IF(BY$6="","",IF(WEEKDAY(BY$6,1)=1,0,MIN(8,BY51)*BY50))</f>
      </c>
      <c r="BZ52" s="26">
        <f>IF(BZ$6="","",IF(WEEKDAY(BZ$6,1)=1,0,MIN(8,BZ51)*BZ50))</f>
      </c>
      <c r="CA52" s="26">
        <f>IF(CA$6="","",IF(WEEKDAY(CA$6,1)=1,0,MIN(8,CA51)*CA50))</f>
      </c>
      <c r="CB52" s="26">
        <f>IF(CB$6="","",IF(WEEKDAY(CB$6,1)=1,0,MIN(8,CB51)*CB50))</f>
      </c>
      <c r="CC52" s="26">
        <f>IF(CC$6="","",IF(WEEKDAY(CC$6,1)=1,0,MIN(8,CC51)*CC50))</f>
      </c>
      <c r="CD52" s="26">
        <f>IF(CD$6="","",IF(WEEKDAY(CD$6,1)=1,0,MIN(8,CD51)*CD50))</f>
      </c>
      <c r="CE52" s="26">
        <f>IF(CE$6="","",IF(WEEKDAY(CE$6,1)=1,0,MIN(8,CE51)*CE50))</f>
      </c>
      <c r="CF52" s="26">
        <f>IF(CF$6="","",IF(WEEKDAY(CF$6,1)=1,0,MIN(8,CF51)*CF50))</f>
      </c>
      <c r="CG52" s="26">
        <f>IF(CG$6="","",IF(WEEKDAY(CG$6,1)=1,0,MIN(8,CG51)*CG50))</f>
      </c>
      <c r="CH52" s="26">
        <f>IF(CH$6="","",IF(WEEKDAY(CH$6,1)=1,0,MIN(8,CH51)*CH50))</f>
      </c>
      <c r="CI52" s="26">
        <f>IF(CI$6="","",IF(WEEKDAY(CI$6,1)=1,0,MIN(8,CI51)*CI50))</f>
      </c>
      <c r="CJ52" s="26">
        <f>IF(CJ$6="","",IF(WEEKDAY(CJ$6,1)=1,0,MIN(8,CJ51)*CJ50))</f>
      </c>
      <c r="CK52" s="26">
        <f>IF(CK$6="","",IF(WEEKDAY(CK$6,1)=1,0,MIN(8,CK51)*CK50))</f>
      </c>
      <c r="CL52" s="26">
        <f>IF(CL$6="","",IF(WEEKDAY(CL$6,1)=1,0,MIN(8,CL51)*CL50))</f>
      </c>
      <c r="CM52" s="26">
        <f>IF(CM$6="","",IF(WEEKDAY(CM$6,1)=1,0,MIN(8,CM51)*CM50))</f>
      </c>
      <c r="CN52" s="26">
        <f>IF(CN$6="","",IF(WEEKDAY(CN$6,1)=1,0,MIN(8,CN51)*CN50))</f>
      </c>
      <c r="CO52" s="26">
        <f>IF(CO$6="","",IF(WEEKDAY(CO$6,1)=1,0,MIN(8,CO51)*CO50))</f>
      </c>
      <c r="CP52" s="26">
        <f>IF(CP$6="","",IF(WEEKDAY(CP$6,1)=1,0,MIN(8,CP51)*CP50))</f>
      </c>
      <c r="CQ52" s="26">
        <f>IF(CQ$6="","",IF(WEEKDAY(CQ$6,1)=1,0,MIN(8,CQ51)*CQ50))</f>
      </c>
      <c r="CR52" s="26">
        <f>IF(CR$6="","",IF(WEEKDAY(CR$6,1)=1,0,MIN(8,CR51)*CR50))</f>
      </c>
      <c r="CS52" s="26">
        <f>IF(CS$6="","",IF(WEEKDAY(CS$6,1)=1,0,MIN(8,CS51)*CS50))</f>
      </c>
      <c r="CT52" s="26">
        <f>IF(CT$6="","",IF(WEEKDAY(CT$6,1)=1,0,MIN(8,CT51)*CT50))</f>
      </c>
      <c r="CU52" s="26">
        <f>IF(CU$6="","",IF(WEEKDAY(CU$6,1)=1,0,MIN(8,CU51)*CU50))</f>
      </c>
      <c r="CV52" s="26">
        <f>IF(CV$6="","",IF(WEEKDAY(CV$6,1)=1,0,MIN(8,CV51)*CV50))</f>
      </c>
      <c r="CW52" s="26">
        <f>IF(CW$6="","",IF(WEEKDAY(CW$6,1)=1,0,MIN(8,CW51)*CW50))</f>
      </c>
      <c r="CX52" s="8" t="s">
        <v>53</v>
      </c>
    </row>
    <row r="53" spans="2:102" x14ac:dyDescent="0.25">
      <c r="B53" s="26">
        <f>SUM(L53:CW53)</f>
      </c>
      <c r="D53" s="27">
        <f>B53*E53</f>
      </c>
      <c r="E53" s="27">
        <f>'Rate Tables'!D11</f>
      </c>
      <c r="F53" s="8" t="s">
        <v>40</v>
      </c>
      <c r="L53" s="26">
        <f>IF(L$6="","",IF(WEEKDAY(L$6,1)=1,0,MAX(0,L51-8)*L50))</f>
      </c>
      <c r="M53" s="26">
        <f>IF(M$6="","",IF(WEEKDAY(M$6,1)=1,0,MAX(0,M51-8)*M50))</f>
      </c>
      <c r="N53" s="26">
        <f>IF(N$6="","",IF(WEEKDAY(N$6,1)=1,0,MAX(0,N51-8)*N50))</f>
      </c>
      <c r="O53" s="26">
        <f>IF(O$6="","",IF(WEEKDAY(O$6,1)=1,0,MAX(0,O51-8)*O50))</f>
      </c>
      <c r="P53" s="26">
        <f>IF(P$6="","",IF(WEEKDAY(P$6,1)=1,0,MAX(0,P51-8)*P50))</f>
      </c>
      <c r="Q53" s="26">
        <f>IF(Q$6="","",IF(WEEKDAY(Q$6,1)=1,0,MAX(0,Q51-8)*Q50))</f>
      </c>
      <c r="R53" s="26">
        <f>IF(R$6="","",IF(WEEKDAY(R$6,1)=1,0,MAX(0,R51-8)*R50))</f>
      </c>
      <c r="S53" s="26">
        <f>IF(S$6="","",IF(WEEKDAY(S$6,1)=1,0,MAX(0,S51-8)*S50))</f>
      </c>
      <c r="T53" s="26">
        <f>IF(T$6="","",IF(WEEKDAY(T$6,1)=1,0,MAX(0,T51-8)*T50))</f>
      </c>
      <c r="U53" s="26">
        <f>IF(U$6="","",IF(WEEKDAY(U$6,1)=1,0,MAX(0,U51-8)*U50))</f>
      </c>
      <c r="V53" s="26">
        <f>IF(V$6="","",IF(WEEKDAY(V$6,1)=1,0,MAX(0,V51-8)*V50))</f>
      </c>
      <c r="W53" s="26">
        <f>IF(W$6="","",IF(WEEKDAY(W$6,1)=1,0,MAX(0,W51-8)*W50))</f>
      </c>
      <c r="X53" s="26">
        <f>IF(X$6="","",IF(WEEKDAY(X$6,1)=1,0,MAX(0,X51-8)*X50))</f>
      </c>
      <c r="Y53" s="26">
        <f>IF(Y$6="","",IF(WEEKDAY(Y$6,1)=1,0,MAX(0,Y51-8)*Y50))</f>
      </c>
      <c r="Z53" s="26">
        <f>IF(Z$6="","",IF(WEEKDAY(Z$6,1)=1,0,MAX(0,Z51-8)*Z50))</f>
      </c>
      <c r="AA53" s="26">
        <f>IF(AA$6="","",IF(WEEKDAY(AA$6,1)=1,0,MAX(0,AA51-8)*AA50))</f>
      </c>
      <c r="AB53" s="26">
        <f>IF(AB$6="","",IF(WEEKDAY(AB$6,1)=1,0,MAX(0,AB51-8)*AB50))</f>
      </c>
      <c r="AC53" s="26">
        <f>IF(AC$6="","",IF(WEEKDAY(AC$6,1)=1,0,MAX(0,AC51-8)*AC50))</f>
      </c>
      <c r="AD53" s="26">
        <f>IF(AD$6="","",IF(WEEKDAY(AD$6,1)=1,0,MAX(0,AD51-8)*AD50))</f>
      </c>
      <c r="AE53" s="26">
        <f>IF(AE$6="","",IF(WEEKDAY(AE$6,1)=1,0,MAX(0,AE51-8)*AE50))</f>
      </c>
      <c r="AF53" s="26">
        <f>IF(AF$6="","",IF(WEEKDAY(AF$6,1)=1,0,MAX(0,AF51-8)*AF50))</f>
      </c>
      <c r="AG53" s="26">
        <f>IF(AG$6="","",IF(WEEKDAY(AG$6,1)=1,0,MAX(0,AG51-8)*AG50))</f>
      </c>
      <c r="AH53" s="26">
        <f>IF(AH$6="","",IF(WEEKDAY(AH$6,1)=1,0,MAX(0,AH51-8)*AH50))</f>
      </c>
      <c r="AI53" s="26">
        <f>IF(AI$6="","",IF(WEEKDAY(AI$6,1)=1,0,MAX(0,AI51-8)*AI50))</f>
      </c>
      <c r="AJ53" s="26">
        <f>IF(AJ$6="","",IF(WEEKDAY(AJ$6,1)=1,0,MAX(0,AJ51-8)*AJ50))</f>
      </c>
      <c r="AK53" s="26">
        <f>IF(AK$6="","",IF(WEEKDAY(AK$6,1)=1,0,MAX(0,AK51-8)*AK50))</f>
      </c>
      <c r="AL53" s="26">
        <f>IF(AL$6="","",IF(WEEKDAY(AL$6,1)=1,0,MAX(0,AL51-8)*AL50))</f>
      </c>
      <c r="AM53" s="26">
        <f>IF(AM$6="","",IF(WEEKDAY(AM$6,1)=1,0,MAX(0,AM51-8)*AM50))</f>
      </c>
      <c r="AN53" s="26">
        <f>IF(AN$6="","",IF(WEEKDAY(AN$6,1)=1,0,MAX(0,AN51-8)*AN50))</f>
      </c>
      <c r="AO53" s="26">
        <f>IF(AO$6="","",IF(WEEKDAY(AO$6,1)=1,0,MAX(0,AO51-8)*AO50))</f>
      </c>
      <c r="AP53" s="26">
        <f>IF(AP$6="","",IF(WEEKDAY(AP$6,1)=1,0,MAX(0,AP51-8)*AP50))</f>
      </c>
      <c r="AQ53" s="26">
        <f>IF(AQ$6="","",IF(WEEKDAY(AQ$6,1)=1,0,MAX(0,AQ51-8)*AQ50))</f>
      </c>
      <c r="AR53" s="26">
        <f>IF(AR$6="","",IF(WEEKDAY(AR$6,1)=1,0,MAX(0,AR51-8)*AR50))</f>
      </c>
      <c r="AS53" s="26">
        <f>IF(AS$6="","",IF(WEEKDAY(AS$6,1)=1,0,MAX(0,AS51-8)*AS50))</f>
      </c>
      <c r="AT53" s="26">
        <f>IF(AT$6="","",IF(WEEKDAY(AT$6,1)=1,0,MAX(0,AT51-8)*AT50))</f>
      </c>
      <c r="AU53" s="26">
        <f>IF(AU$6="","",IF(WEEKDAY(AU$6,1)=1,0,MAX(0,AU51-8)*AU50))</f>
      </c>
      <c r="AV53" s="26">
        <f>IF(AV$6="","",IF(WEEKDAY(AV$6,1)=1,0,MAX(0,AV51-8)*AV50))</f>
      </c>
      <c r="AW53" s="26">
        <f>IF(AW$6="","",IF(WEEKDAY(AW$6,1)=1,0,MAX(0,AW51-8)*AW50))</f>
      </c>
      <c r="AX53" s="26">
        <f>IF(AX$6="","",IF(WEEKDAY(AX$6,1)=1,0,MAX(0,AX51-8)*AX50))</f>
      </c>
      <c r="AY53" s="26">
        <f>IF(AY$6="","",IF(WEEKDAY(AY$6,1)=1,0,MAX(0,AY51-8)*AY50))</f>
      </c>
      <c r="AZ53" s="26">
        <f>IF(AZ$6="","",IF(WEEKDAY(AZ$6,1)=1,0,MAX(0,AZ51-8)*AZ50))</f>
      </c>
      <c r="BA53" s="26">
        <f>IF(BA$6="","",IF(WEEKDAY(BA$6,1)=1,0,MAX(0,BA51-8)*BA50))</f>
      </c>
      <c r="BB53" s="26">
        <f>IF(BB$6="","",IF(WEEKDAY(BB$6,1)=1,0,MAX(0,BB51-8)*BB50))</f>
      </c>
      <c r="BC53" s="26">
        <f>IF(BC$6="","",IF(WEEKDAY(BC$6,1)=1,0,MAX(0,BC51-8)*BC50))</f>
      </c>
      <c r="BD53" s="26">
        <f>IF(BD$6="","",IF(WEEKDAY(BD$6,1)=1,0,MAX(0,BD51-8)*BD50))</f>
      </c>
      <c r="BE53" s="26">
        <f>IF(BE$6="","",IF(WEEKDAY(BE$6,1)=1,0,MAX(0,BE51-8)*BE50))</f>
      </c>
      <c r="BF53" s="26">
        <f>IF(BF$6="","",IF(WEEKDAY(BF$6,1)=1,0,MAX(0,BF51-8)*BF50))</f>
      </c>
      <c r="BG53" s="26">
        <f>IF(BG$6="","",IF(WEEKDAY(BG$6,1)=1,0,MAX(0,BG51-8)*BG50))</f>
      </c>
      <c r="BH53" s="26">
        <f>IF(BH$6="","",IF(WEEKDAY(BH$6,1)=1,0,MAX(0,BH51-8)*BH50))</f>
      </c>
      <c r="BI53" s="26">
        <f>IF(BI$6="","",IF(WEEKDAY(BI$6,1)=1,0,MAX(0,BI51-8)*BI50))</f>
      </c>
      <c r="BJ53" s="26">
        <f>IF(BJ$6="","",IF(WEEKDAY(BJ$6,1)=1,0,MAX(0,BJ51-8)*BJ50))</f>
      </c>
      <c r="BK53" s="26">
        <f>IF(BK$6="","",IF(WEEKDAY(BK$6,1)=1,0,MAX(0,BK51-8)*BK50))</f>
      </c>
      <c r="BL53" s="26">
        <f>IF(BL$6="","",IF(WEEKDAY(BL$6,1)=1,0,MAX(0,BL51-8)*BL50))</f>
      </c>
      <c r="BM53" s="26">
        <f>IF(BM$6="","",IF(WEEKDAY(BM$6,1)=1,0,MAX(0,BM51-8)*BM50))</f>
      </c>
      <c r="BN53" s="26">
        <f>IF(BN$6="","",IF(WEEKDAY(BN$6,1)=1,0,MAX(0,BN51-8)*BN50))</f>
      </c>
      <c r="BO53" s="26">
        <f>IF(BO$6="","",IF(WEEKDAY(BO$6,1)=1,0,MAX(0,BO51-8)*BO50))</f>
      </c>
      <c r="BP53" s="26">
        <f>IF(BP$6="","",IF(WEEKDAY(BP$6,1)=1,0,MAX(0,BP51-8)*BP50))</f>
      </c>
      <c r="BQ53" s="26">
        <f>IF(BQ$6="","",IF(WEEKDAY(BQ$6,1)=1,0,MAX(0,BQ51-8)*BQ50))</f>
      </c>
      <c r="BR53" s="26">
        <f>IF(BR$6="","",IF(WEEKDAY(BR$6,1)=1,0,MAX(0,BR51-8)*BR50))</f>
      </c>
      <c r="BS53" s="26">
        <f>IF(BS$6="","",IF(WEEKDAY(BS$6,1)=1,0,MAX(0,BS51-8)*BS50))</f>
      </c>
      <c r="BT53" s="26">
        <f>IF(BT$6="","",IF(WEEKDAY(BT$6,1)=1,0,MAX(0,BT51-8)*BT50))</f>
      </c>
      <c r="BU53" s="26">
        <f>IF(BU$6="","",IF(WEEKDAY(BU$6,1)=1,0,MAX(0,BU51-8)*BU50))</f>
      </c>
      <c r="BV53" s="26">
        <f>IF(BV$6="","",IF(WEEKDAY(BV$6,1)=1,0,MAX(0,BV51-8)*BV50))</f>
      </c>
      <c r="BW53" s="26">
        <f>IF(BW$6="","",IF(WEEKDAY(BW$6,1)=1,0,MAX(0,BW51-8)*BW50))</f>
      </c>
      <c r="BX53" s="26">
        <f>IF(BX$6="","",IF(WEEKDAY(BX$6,1)=1,0,MAX(0,BX51-8)*BX50))</f>
      </c>
      <c r="BY53" s="26">
        <f>IF(BY$6="","",IF(WEEKDAY(BY$6,1)=1,0,MAX(0,BY51-8)*BY50))</f>
      </c>
      <c r="BZ53" s="26">
        <f>IF(BZ$6="","",IF(WEEKDAY(BZ$6,1)=1,0,MAX(0,BZ51-8)*BZ50))</f>
      </c>
      <c r="CA53" s="26">
        <f>IF(CA$6="","",IF(WEEKDAY(CA$6,1)=1,0,MAX(0,CA51-8)*CA50))</f>
      </c>
      <c r="CB53" s="26">
        <f>IF(CB$6="","",IF(WEEKDAY(CB$6,1)=1,0,MAX(0,CB51-8)*CB50))</f>
      </c>
      <c r="CC53" s="26">
        <f>IF(CC$6="","",IF(WEEKDAY(CC$6,1)=1,0,MAX(0,CC51-8)*CC50))</f>
      </c>
      <c r="CD53" s="26">
        <f>IF(CD$6="","",IF(WEEKDAY(CD$6,1)=1,0,MAX(0,CD51-8)*CD50))</f>
      </c>
      <c r="CE53" s="26">
        <f>IF(CE$6="","",IF(WEEKDAY(CE$6,1)=1,0,MAX(0,CE51-8)*CE50))</f>
      </c>
      <c r="CF53" s="26">
        <f>IF(CF$6="","",IF(WEEKDAY(CF$6,1)=1,0,MAX(0,CF51-8)*CF50))</f>
      </c>
      <c r="CG53" s="26">
        <f>IF(CG$6="","",IF(WEEKDAY(CG$6,1)=1,0,MAX(0,CG51-8)*CG50))</f>
      </c>
      <c r="CH53" s="26">
        <f>IF(CH$6="","",IF(WEEKDAY(CH$6,1)=1,0,MAX(0,CH51-8)*CH50))</f>
      </c>
      <c r="CI53" s="26">
        <f>IF(CI$6="","",IF(WEEKDAY(CI$6,1)=1,0,MAX(0,CI51-8)*CI50))</f>
      </c>
      <c r="CJ53" s="26">
        <f>IF(CJ$6="","",IF(WEEKDAY(CJ$6,1)=1,0,MAX(0,CJ51-8)*CJ50))</f>
      </c>
      <c r="CK53" s="26">
        <f>IF(CK$6="","",IF(WEEKDAY(CK$6,1)=1,0,MAX(0,CK51-8)*CK50))</f>
      </c>
      <c r="CL53" s="26">
        <f>IF(CL$6="","",IF(WEEKDAY(CL$6,1)=1,0,MAX(0,CL51-8)*CL50))</f>
      </c>
      <c r="CM53" s="26">
        <f>IF(CM$6="","",IF(WEEKDAY(CM$6,1)=1,0,MAX(0,CM51-8)*CM50))</f>
      </c>
      <c r="CN53" s="26">
        <f>IF(CN$6="","",IF(WEEKDAY(CN$6,1)=1,0,MAX(0,CN51-8)*CN50))</f>
      </c>
      <c r="CO53" s="26">
        <f>IF(CO$6="","",IF(WEEKDAY(CO$6,1)=1,0,MAX(0,CO51-8)*CO50))</f>
      </c>
      <c r="CP53" s="26">
        <f>IF(CP$6="","",IF(WEEKDAY(CP$6,1)=1,0,MAX(0,CP51-8)*CP50))</f>
      </c>
      <c r="CQ53" s="26">
        <f>IF(CQ$6="","",IF(WEEKDAY(CQ$6,1)=1,0,MAX(0,CQ51-8)*CQ50))</f>
      </c>
      <c r="CR53" s="26">
        <f>IF(CR$6="","",IF(WEEKDAY(CR$6,1)=1,0,MAX(0,CR51-8)*CR50))</f>
      </c>
      <c r="CS53" s="26">
        <f>IF(CS$6="","",IF(WEEKDAY(CS$6,1)=1,0,MAX(0,CS51-8)*CS50))</f>
      </c>
      <c r="CT53" s="26">
        <f>IF(CT$6="","",IF(WEEKDAY(CT$6,1)=1,0,MAX(0,CT51-8)*CT50))</f>
      </c>
      <c r="CU53" s="26">
        <f>IF(CU$6="","",IF(WEEKDAY(CU$6,1)=1,0,MAX(0,CU51-8)*CU50))</f>
      </c>
      <c r="CV53" s="26">
        <f>IF(CV$6="","",IF(WEEKDAY(CV$6,1)=1,0,MAX(0,CV51-8)*CV50))</f>
      </c>
      <c r="CW53" s="26">
        <f>IF(CW$6="","",IF(WEEKDAY(CW$6,1)=1,0,MAX(0,CW51-8)*CW50))</f>
      </c>
      <c r="CX53" s="8" t="s">
        <v>53</v>
      </c>
    </row>
    <row r="54" spans="2:102" x14ac:dyDescent="0.25">
      <c r="B54" s="26">
        <f>SUM(L54:CW54)</f>
      </c>
      <c r="D54" s="27">
        <f>B54*E54</f>
      </c>
      <c r="E54" s="27">
        <f>'Rate Tables'!E11</f>
      </c>
      <c r="F54" s="8" t="s">
        <v>41</v>
      </c>
      <c r="L54" s="26">
        <f>IF(L$6="","",IF(WEEKDAY(L$6,1)=1,L51*L50,0))</f>
      </c>
      <c r="M54" s="26">
        <f>IF(M$6="","",IF(WEEKDAY(M$6,1)=1,M51*M50,0))</f>
      </c>
      <c r="N54" s="26">
        <f>IF(N$6="","",IF(WEEKDAY(N$6,1)=1,N51*N50,0))</f>
      </c>
      <c r="O54" s="26">
        <f>IF(O$6="","",IF(WEEKDAY(O$6,1)=1,O51*O50,0))</f>
      </c>
      <c r="P54" s="26">
        <f>IF(P$6="","",IF(WEEKDAY(P$6,1)=1,P51*P50,0))</f>
      </c>
      <c r="Q54" s="26">
        <f>IF(Q$6="","",IF(WEEKDAY(Q$6,1)=1,Q51*Q50,0))</f>
      </c>
      <c r="R54" s="26">
        <f>IF(R$6="","",IF(WEEKDAY(R$6,1)=1,R51*R50,0))</f>
      </c>
      <c r="S54" s="26">
        <f>IF(S$6="","",IF(WEEKDAY(S$6,1)=1,S51*S50,0))</f>
      </c>
      <c r="T54" s="26">
        <f>IF(T$6="","",IF(WEEKDAY(T$6,1)=1,T51*T50,0))</f>
      </c>
      <c r="U54" s="26">
        <f>IF(U$6="","",IF(WEEKDAY(U$6,1)=1,U51*U50,0))</f>
      </c>
      <c r="V54" s="26">
        <f>IF(V$6="","",IF(WEEKDAY(V$6,1)=1,V51*V50,0))</f>
      </c>
      <c r="W54" s="26">
        <f>IF(W$6="","",IF(WEEKDAY(W$6,1)=1,W51*W50,0))</f>
      </c>
      <c r="X54" s="26">
        <f>IF(X$6="","",IF(WEEKDAY(X$6,1)=1,X51*X50,0))</f>
      </c>
      <c r="Y54" s="26">
        <f>IF(Y$6="","",IF(WEEKDAY(Y$6,1)=1,Y51*Y50,0))</f>
      </c>
      <c r="Z54" s="26">
        <f>IF(Z$6="","",IF(WEEKDAY(Z$6,1)=1,Z51*Z50,0))</f>
      </c>
      <c r="AA54" s="26">
        <f>IF(AA$6="","",IF(WEEKDAY(AA$6,1)=1,AA51*AA50,0))</f>
      </c>
      <c r="AB54" s="26">
        <f>IF(AB$6="","",IF(WEEKDAY(AB$6,1)=1,AB51*AB50,0))</f>
      </c>
      <c r="AC54" s="26">
        <f>IF(AC$6="","",IF(WEEKDAY(AC$6,1)=1,AC51*AC50,0))</f>
      </c>
      <c r="AD54" s="26">
        <f>IF(AD$6="","",IF(WEEKDAY(AD$6,1)=1,AD51*AD50,0))</f>
      </c>
      <c r="AE54" s="26">
        <f>IF(AE$6="","",IF(WEEKDAY(AE$6,1)=1,AE51*AE50,0))</f>
      </c>
      <c r="AF54" s="26">
        <f>IF(AF$6="","",IF(WEEKDAY(AF$6,1)=1,AF51*AF50,0))</f>
      </c>
      <c r="AG54" s="26">
        <f>IF(AG$6="","",IF(WEEKDAY(AG$6,1)=1,AG51*AG50,0))</f>
      </c>
      <c r="AH54" s="26">
        <f>IF(AH$6="","",IF(WEEKDAY(AH$6,1)=1,AH51*AH50,0))</f>
      </c>
      <c r="AI54" s="26">
        <f>IF(AI$6="","",IF(WEEKDAY(AI$6,1)=1,AI51*AI50,0))</f>
      </c>
      <c r="AJ54" s="26">
        <f>IF(AJ$6="","",IF(WEEKDAY(AJ$6,1)=1,AJ51*AJ50,0))</f>
      </c>
      <c r="AK54" s="26">
        <f>IF(AK$6="","",IF(WEEKDAY(AK$6,1)=1,AK51*AK50,0))</f>
      </c>
      <c r="AL54" s="26">
        <f>IF(AL$6="","",IF(WEEKDAY(AL$6,1)=1,AL51*AL50,0))</f>
      </c>
      <c r="AM54" s="26">
        <f>IF(AM$6="","",IF(WEEKDAY(AM$6,1)=1,AM51*AM50,0))</f>
      </c>
      <c r="AN54" s="26">
        <f>IF(AN$6="","",IF(WEEKDAY(AN$6,1)=1,AN51*AN50,0))</f>
      </c>
      <c r="AO54" s="26">
        <f>IF(AO$6="","",IF(WEEKDAY(AO$6,1)=1,AO51*AO50,0))</f>
      </c>
      <c r="AP54" s="26">
        <f>IF(AP$6="","",IF(WEEKDAY(AP$6,1)=1,AP51*AP50,0))</f>
      </c>
      <c r="AQ54" s="26">
        <f>IF(AQ$6="","",IF(WEEKDAY(AQ$6,1)=1,AQ51*AQ50,0))</f>
      </c>
      <c r="AR54" s="26">
        <f>IF(AR$6="","",IF(WEEKDAY(AR$6,1)=1,AR51*AR50,0))</f>
      </c>
      <c r="AS54" s="26">
        <f>IF(AS$6="","",IF(WEEKDAY(AS$6,1)=1,AS51*AS50,0))</f>
      </c>
      <c r="AT54" s="26">
        <f>IF(AT$6="","",IF(WEEKDAY(AT$6,1)=1,AT51*AT50,0))</f>
      </c>
      <c r="AU54" s="26">
        <f>IF(AU$6="","",IF(WEEKDAY(AU$6,1)=1,AU51*AU50,0))</f>
      </c>
      <c r="AV54" s="26">
        <f>IF(AV$6="","",IF(WEEKDAY(AV$6,1)=1,AV51*AV50,0))</f>
      </c>
      <c r="AW54" s="26">
        <f>IF(AW$6="","",IF(WEEKDAY(AW$6,1)=1,AW51*AW50,0))</f>
      </c>
      <c r="AX54" s="26">
        <f>IF(AX$6="","",IF(WEEKDAY(AX$6,1)=1,AX51*AX50,0))</f>
      </c>
      <c r="AY54" s="26">
        <f>IF(AY$6="","",IF(WEEKDAY(AY$6,1)=1,AY51*AY50,0))</f>
      </c>
      <c r="AZ54" s="26">
        <f>IF(AZ$6="","",IF(WEEKDAY(AZ$6,1)=1,AZ51*AZ50,0))</f>
      </c>
      <c r="BA54" s="26">
        <f>IF(BA$6="","",IF(WEEKDAY(BA$6,1)=1,BA51*BA50,0))</f>
      </c>
      <c r="BB54" s="26">
        <f>IF(BB$6="","",IF(WEEKDAY(BB$6,1)=1,BB51*BB50,0))</f>
      </c>
      <c r="BC54" s="26">
        <f>IF(BC$6="","",IF(WEEKDAY(BC$6,1)=1,BC51*BC50,0))</f>
      </c>
      <c r="BD54" s="26">
        <f>IF(BD$6="","",IF(WEEKDAY(BD$6,1)=1,BD51*BD50,0))</f>
      </c>
      <c r="BE54" s="26">
        <f>IF(BE$6="","",IF(WEEKDAY(BE$6,1)=1,BE51*BE50,0))</f>
      </c>
      <c r="BF54" s="26">
        <f>IF(BF$6="","",IF(WEEKDAY(BF$6,1)=1,BF51*BF50,0))</f>
      </c>
      <c r="BG54" s="26">
        <f>IF(BG$6="","",IF(WEEKDAY(BG$6,1)=1,BG51*BG50,0))</f>
      </c>
      <c r="BH54" s="26">
        <f>IF(BH$6="","",IF(WEEKDAY(BH$6,1)=1,BH51*BH50,0))</f>
      </c>
      <c r="BI54" s="26">
        <f>IF(BI$6="","",IF(WEEKDAY(BI$6,1)=1,BI51*BI50,0))</f>
      </c>
      <c r="BJ54" s="26">
        <f>IF(BJ$6="","",IF(WEEKDAY(BJ$6,1)=1,BJ51*BJ50,0))</f>
      </c>
      <c r="BK54" s="26">
        <f>IF(BK$6="","",IF(WEEKDAY(BK$6,1)=1,BK51*BK50,0))</f>
      </c>
      <c r="BL54" s="26">
        <f>IF(BL$6="","",IF(WEEKDAY(BL$6,1)=1,BL51*BL50,0))</f>
      </c>
      <c r="BM54" s="26">
        <f>IF(BM$6="","",IF(WEEKDAY(BM$6,1)=1,BM51*BM50,0))</f>
      </c>
      <c r="BN54" s="26">
        <f>IF(BN$6="","",IF(WEEKDAY(BN$6,1)=1,BN51*BN50,0))</f>
      </c>
      <c r="BO54" s="26">
        <f>IF(BO$6="","",IF(WEEKDAY(BO$6,1)=1,BO51*BO50,0))</f>
      </c>
      <c r="BP54" s="26">
        <f>IF(BP$6="","",IF(WEEKDAY(BP$6,1)=1,BP51*BP50,0))</f>
      </c>
      <c r="BQ54" s="26">
        <f>IF(BQ$6="","",IF(WEEKDAY(BQ$6,1)=1,BQ51*BQ50,0))</f>
      </c>
      <c r="BR54" s="26">
        <f>IF(BR$6="","",IF(WEEKDAY(BR$6,1)=1,BR51*BR50,0))</f>
      </c>
      <c r="BS54" s="26">
        <f>IF(BS$6="","",IF(WEEKDAY(BS$6,1)=1,BS51*BS50,0))</f>
      </c>
      <c r="BT54" s="26">
        <f>IF(BT$6="","",IF(WEEKDAY(BT$6,1)=1,BT51*BT50,0))</f>
      </c>
      <c r="BU54" s="26">
        <f>IF(BU$6="","",IF(WEEKDAY(BU$6,1)=1,BU51*BU50,0))</f>
      </c>
      <c r="BV54" s="26">
        <f>IF(BV$6="","",IF(WEEKDAY(BV$6,1)=1,BV51*BV50,0))</f>
      </c>
      <c r="BW54" s="26">
        <f>IF(BW$6="","",IF(WEEKDAY(BW$6,1)=1,BW51*BW50,0))</f>
      </c>
      <c r="BX54" s="26">
        <f>IF(BX$6="","",IF(WEEKDAY(BX$6,1)=1,BX51*BX50,0))</f>
      </c>
      <c r="BY54" s="26">
        <f>IF(BY$6="","",IF(WEEKDAY(BY$6,1)=1,BY51*BY50,0))</f>
      </c>
      <c r="BZ54" s="26">
        <f>IF(BZ$6="","",IF(WEEKDAY(BZ$6,1)=1,BZ51*BZ50,0))</f>
      </c>
      <c r="CA54" s="26">
        <f>IF(CA$6="","",IF(WEEKDAY(CA$6,1)=1,CA51*CA50,0))</f>
      </c>
      <c r="CB54" s="26">
        <f>IF(CB$6="","",IF(WEEKDAY(CB$6,1)=1,CB51*CB50,0))</f>
      </c>
      <c r="CC54" s="26">
        <f>IF(CC$6="","",IF(WEEKDAY(CC$6,1)=1,CC51*CC50,0))</f>
      </c>
      <c r="CD54" s="26">
        <f>IF(CD$6="","",IF(WEEKDAY(CD$6,1)=1,CD51*CD50,0))</f>
      </c>
      <c r="CE54" s="26">
        <f>IF(CE$6="","",IF(WEEKDAY(CE$6,1)=1,CE51*CE50,0))</f>
      </c>
      <c r="CF54" s="26">
        <f>IF(CF$6="","",IF(WEEKDAY(CF$6,1)=1,CF51*CF50,0))</f>
      </c>
      <c r="CG54" s="26">
        <f>IF(CG$6="","",IF(WEEKDAY(CG$6,1)=1,CG51*CG50,0))</f>
      </c>
      <c r="CH54" s="26">
        <f>IF(CH$6="","",IF(WEEKDAY(CH$6,1)=1,CH51*CH50,0))</f>
      </c>
      <c r="CI54" s="26">
        <f>IF(CI$6="","",IF(WEEKDAY(CI$6,1)=1,CI51*CI50,0))</f>
      </c>
      <c r="CJ54" s="26">
        <f>IF(CJ$6="","",IF(WEEKDAY(CJ$6,1)=1,CJ51*CJ50,0))</f>
      </c>
      <c r="CK54" s="26">
        <f>IF(CK$6="","",IF(WEEKDAY(CK$6,1)=1,CK51*CK50,0))</f>
      </c>
      <c r="CL54" s="26">
        <f>IF(CL$6="","",IF(WEEKDAY(CL$6,1)=1,CL51*CL50,0))</f>
      </c>
      <c r="CM54" s="26">
        <f>IF(CM$6="","",IF(WEEKDAY(CM$6,1)=1,CM51*CM50,0))</f>
      </c>
      <c r="CN54" s="26">
        <f>IF(CN$6="","",IF(WEEKDAY(CN$6,1)=1,CN51*CN50,0))</f>
      </c>
      <c r="CO54" s="26">
        <f>IF(CO$6="","",IF(WEEKDAY(CO$6,1)=1,CO51*CO50,0))</f>
      </c>
      <c r="CP54" s="26">
        <f>IF(CP$6="","",IF(WEEKDAY(CP$6,1)=1,CP51*CP50,0))</f>
      </c>
      <c r="CQ54" s="26">
        <f>IF(CQ$6="","",IF(WEEKDAY(CQ$6,1)=1,CQ51*CQ50,0))</f>
      </c>
      <c r="CR54" s="26">
        <f>IF(CR$6="","",IF(WEEKDAY(CR$6,1)=1,CR51*CR50,0))</f>
      </c>
      <c r="CS54" s="26">
        <f>IF(CS$6="","",IF(WEEKDAY(CS$6,1)=1,CS51*CS50,0))</f>
      </c>
      <c r="CT54" s="26">
        <f>IF(CT$6="","",IF(WEEKDAY(CT$6,1)=1,CT51*CT50,0))</f>
      </c>
      <c r="CU54" s="26">
        <f>IF(CU$6="","",IF(WEEKDAY(CU$6,1)=1,CU51*CU50,0))</f>
      </c>
      <c r="CV54" s="26">
        <f>IF(CV$6="","",IF(WEEKDAY(CV$6,1)=1,CV51*CV50,0))</f>
      </c>
      <c r="CW54" s="26">
        <f>IF(CW$6="","",IF(WEEKDAY(CW$6,1)=1,CW51*CW50,0))</f>
      </c>
      <c r="CX54" s="8" t="s">
        <v>53</v>
      </c>
    </row>
    <row r="55" spans="2:102" x14ac:dyDescent="0.25">
      <c r="B55" s="26">
        <f>SUM(L55:CW55)</f>
      </c>
      <c r="D55" s="27">
        <f>B55*E55</f>
      </c>
      <c r="E55" s="27">
        <v>140</v>
      </c>
      <c r="F55" s="8" t="s">
        <v>42</v>
      </c>
      <c r="L55" s="28">
        <v>1</v>
      </c>
      <c r="M55" s="28">
        <v>1</v>
      </c>
      <c r="N55" s="28">
        <v>1</v>
      </c>
      <c r="O55" s="28">
        <v>1</v>
      </c>
      <c r="P55" s="28">
        <v>1</v>
      </c>
      <c r="Q55" s="28">
        <v>0</v>
      </c>
      <c r="R55" s="28">
        <v>0</v>
      </c>
      <c r="S55" s="28">
        <v>1</v>
      </c>
      <c r="T55" s="28">
        <v>1</v>
      </c>
      <c r="U55" s="28">
        <v>1</v>
      </c>
      <c r="V55" s="28">
        <v>1</v>
      </c>
      <c r="W55" s="28">
        <v>1</v>
      </c>
      <c r="X55" s="28">
        <v>0</v>
      </c>
      <c r="Y55" s="28">
        <v>0</v>
      </c>
      <c r="Z55" s="28">
        <v>1</v>
      </c>
      <c r="AA55" s="28">
        <v>1</v>
      </c>
      <c r="AB55" s="28">
        <v>1</v>
      </c>
      <c r="AC55" s="28">
        <v>1</v>
      </c>
      <c r="AD55" s="28">
        <v>1</v>
      </c>
      <c r="AE55" s="28">
        <v>0</v>
      </c>
      <c r="AF55" s="28">
        <v>0</v>
      </c>
      <c r="AG55" s="28">
        <v>1</v>
      </c>
      <c r="AH55" s="28">
        <v>1</v>
      </c>
      <c r="AI55" s="28">
        <v>1</v>
      </c>
      <c r="AJ55" s="28">
        <v>1</v>
      </c>
      <c r="AK55" s="28">
        <v>1</v>
      </c>
      <c r="AL55" s="28">
        <v>0</v>
      </c>
      <c r="AM55" s="28">
        <v>0</v>
      </c>
      <c r="AN55" s="28">
        <v>1</v>
      </c>
      <c r="AO55" s="28">
        <v>1</v>
      </c>
      <c r="AP55" s="28">
        <v>1</v>
      </c>
      <c r="AQ55" s="28">
        <v>1</v>
      </c>
      <c r="AR55" s="28">
        <v>1</v>
      </c>
      <c r="AS55" s="28">
        <v>0</v>
      </c>
      <c r="AT55" s="28">
        <v>0</v>
      </c>
      <c r="AU55" s="28">
        <v>1</v>
      </c>
      <c r="AV55" s="28">
        <v>1</v>
      </c>
      <c r="AW55" s="28">
        <v>1</v>
      </c>
      <c r="AX55" s="28">
        <v>1</v>
      </c>
      <c r="AY55" s="28">
        <v>1</v>
      </c>
      <c r="AZ55" s="28">
        <v>0</v>
      </c>
      <c r="BA55" s="28">
        <v>0</v>
      </c>
      <c r="BB55" s="28">
        <v>1</v>
      </c>
      <c r="BC55" s="28">
        <v>1</v>
      </c>
      <c r="BD55" s="28">
        <v>1</v>
      </c>
      <c r="BE55" s="28">
        <v>1</v>
      </c>
      <c r="BF55" s="28">
        <v>1</v>
      </c>
      <c r="BG55" s="28">
        <v>0</v>
      </c>
      <c r="BH55" s="28">
        <v>0</v>
      </c>
      <c r="BI55" s="28">
        <v>1</v>
      </c>
      <c r="BJ55" s="28">
        <v>1</v>
      </c>
      <c r="BK55" s="28">
        <v>1</v>
      </c>
      <c r="BL55" s="28">
        <v>1</v>
      </c>
      <c r="BM55" s="28">
        <v>1</v>
      </c>
      <c r="BN55" s="28">
        <v>1</v>
      </c>
      <c r="BO55" s="28">
        <v>1</v>
      </c>
      <c r="BP55" s="28">
        <v>1</v>
      </c>
      <c r="BQ55" s="28">
        <v>1</v>
      </c>
      <c r="BR55" s="28">
        <v>1</v>
      </c>
      <c r="BS55" s="28">
        <v>1</v>
      </c>
      <c r="BT55" s="28">
        <v>1</v>
      </c>
      <c r="BU55" s="28">
        <v>1</v>
      </c>
      <c r="BV55" s="28">
        <v>1</v>
      </c>
      <c r="BW55" s="28">
        <v>1</v>
      </c>
      <c r="BX55" s="28">
        <v>1</v>
      </c>
      <c r="BY55" s="28">
        <v>1</v>
      </c>
      <c r="BZ55" s="28">
        <v>1</v>
      </c>
      <c r="CA55" s="28">
        <v>1</v>
      </c>
      <c r="CB55" s="28">
        <v>1</v>
      </c>
      <c r="CC55" s="28">
        <v>0</v>
      </c>
      <c r="CD55" s="28">
        <v>1</v>
      </c>
      <c r="CE55" s="28">
        <v>1</v>
      </c>
      <c r="CF55" s="28">
        <v>1</v>
      </c>
      <c r="CG55" s="28">
        <v>1</v>
      </c>
      <c r="CH55" s="28">
        <v>1</v>
      </c>
      <c r="CI55" s="28">
        <v>1</v>
      </c>
      <c r="CJ55" s="28">
        <v>1</v>
      </c>
      <c r="CK55" s="28">
        <v>1</v>
      </c>
      <c r="CL55" s="28">
        <v>1</v>
      </c>
      <c r="CM55" s="28">
        <v>1</v>
      </c>
      <c r="CN55" s="28">
        <v>1</v>
      </c>
      <c r="CO55" s="28">
        <v>1</v>
      </c>
      <c r="CP55" s="28">
        <v>1</v>
      </c>
      <c r="CQ55" s="28">
        <v>0</v>
      </c>
      <c r="CR55" s="28">
        <v>1</v>
      </c>
      <c r="CS55" s="28">
        <v>1</v>
      </c>
      <c r="CT55" s="28">
        <v>1</v>
      </c>
      <c r="CU55" s="28">
        <v>1</v>
      </c>
      <c r="CV55" s="28">
        <v>1</v>
      </c>
      <c r="CW55" s="28">
        <v>1</v>
      </c>
      <c r="CX55" s="8" t="s">
        <v>53</v>
      </c>
    </row>
    <row r="56" spans="1:102" x14ac:dyDescent="0.25">
      <c r="A56" s="20" t="s">
        <v>47</v>
      </c>
      <c r="B56" s="21">
        <f>G56+H56+I56</f>
      </c>
      <c r="C56" s="20" t="s">
        <v>52</v>
      </c>
      <c r="D56" s="22">
        <f>K56</f>
      </c>
      <c r="F56" s="20" t="s">
        <v>34</v>
      </c>
      <c r="G56" s="21">
        <f>B59</f>
      </c>
      <c r="H56" s="21">
        <f>B60</f>
      </c>
      <c r="I56" s="21">
        <f>B61</f>
      </c>
      <c r="J56" s="21">
        <f>B62</f>
      </c>
      <c r="K56" s="22">
        <f>D59+D60+D61</f>
      </c>
      <c r="CX56" s="20" t="s">
        <v>54</v>
      </c>
    </row>
    <row r="57" spans="6:102" x14ac:dyDescent="0.25">
      <c r="F57" s="23" t="s">
        <v>36</v>
      </c>
      <c r="L57" s="24">
        <v>0</v>
      </c>
      <c r="M57" s="24">
        <v>0</v>
      </c>
      <c r="N57" s="24">
        <v>0</v>
      </c>
      <c r="O57" s="24">
        <v>0</v>
      </c>
      <c r="P57" s="24">
        <v>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v>0</v>
      </c>
      <c r="AA57" s="24">
        <v>0</v>
      </c>
      <c r="AB57" s="24">
        <v>0</v>
      </c>
      <c r="AC57" s="24">
        <v>0</v>
      </c>
      <c r="AD57" s="24">
        <v>0</v>
      </c>
      <c r="AE57" s="24">
        <v>0</v>
      </c>
      <c r="AF57" s="24">
        <v>0</v>
      </c>
      <c r="AG57" s="24">
        <v>0</v>
      </c>
      <c r="AH57" s="24">
        <v>0</v>
      </c>
      <c r="AI57" s="24">
        <v>0</v>
      </c>
      <c r="AJ57" s="24">
        <v>0</v>
      </c>
      <c r="AK57" s="24">
        <v>0</v>
      </c>
      <c r="AL57" s="24">
        <v>0</v>
      </c>
      <c r="AM57" s="24">
        <v>0</v>
      </c>
      <c r="AN57" s="24">
        <v>0</v>
      </c>
      <c r="AO57" s="24">
        <v>0</v>
      </c>
      <c r="AP57" s="24">
        <v>0</v>
      </c>
      <c r="AQ57" s="24">
        <v>0</v>
      </c>
      <c r="AR57" s="24">
        <v>0</v>
      </c>
      <c r="AS57" s="24">
        <v>0</v>
      </c>
      <c r="AT57" s="24">
        <v>0</v>
      </c>
      <c r="AU57" s="24">
        <v>0</v>
      </c>
      <c r="AV57" s="24">
        <v>0</v>
      </c>
      <c r="AW57" s="24">
        <v>0</v>
      </c>
      <c r="AX57" s="24">
        <v>1</v>
      </c>
      <c r="AY57" s="24">
        <v>1</v>
      </c>
      <c r="AZ57" s="24">
        <v>0</v>
      </c>
      <c r="BA57" s="24">
        <v>0</v>
      </c>
      <c r="BB57" s="24">
        <v>1</v>
      </c>
      <c r="BC57" s="24">
        <v>1</v>
      </c>
      <c r="BD57" s="24">
        <v>1</v>
      </c>
      <c r="BE57" s="24">
        <v>1</v>
      </c>
      <c r="BF57" s="24">
        <v>1</v>
      </c>
      <c r="BG57" s="24">
        <v>0</v>
      </c>
      <c r="BH57" s="24">
        <v>0</v>
      </c>
      <c r="BI57" s="24">
        <v>1</v>
      </c>
      <c r="BJ57" s="24">
        <v>1</v>
      </c>
      <c r="BK57" s="24">
        <v>1</v>
      </c>
      <c r="BL57" s="24">
        <v>1</v>
      </c>
      <c r="BM57" s="24">
        <v>1</v>
      </c>
      <c r="BN57" s="24">
        <v>1</v>
      </c>
      <c r="BO57" s="24">
        <v>1</v>
      </c>
      <c r="BP57" s="24">
        <v>1</v>
      </c>
      <c r="BQ57" s="24">
        <v>1</v>
      </c>
      <c r="BR57" s="24">
        <v>1</v>
      </c>
      <c r="BS57" s="24">
        <v>1</v>
      </c>
      <c r="BT57" s="24">
        <v>1</v>
      </c>
      <c r="BU57" s="24">
        <v>1</v>
      </c>
      <c r="BV57" s="24">
        <v>1</v>
      </c>
      <c r="BW57" s="24">
        <v>1</v>
      </c>
      <c r="BX57" s="24">
        <v>1</v>
      </c>
      <c r="BY57" s="24">
        <v>1</v>
      </c>
      <c r="BZ57" s="24">
        <v>1</v>
      </c>
      <c r="CA57" s="24">
        <v>1</v>
      </c>
      <c r="CB57" s="24">
        <v>1</v>
      </c>
      <c r="CC57" s="24">
        <v>0</v>
      </c>
      <c r="CD57" s="24">
        <v>1</v>
      </c>
      <c r="CE57" s="24">
        <v>1</v>
      </c>
      <c r="CF57" s="24">
        <v>1</v>
      </c>
      <c r="CG57" s="24">
        <v>1</v>
      </c>
      <c r="CH57" s="24">
        <v>1</v>
      </c>
      <c r="CI57" s="24">
        <v>1</v>
      </c>
      <c r="CJ57" s="24">
        <v>1</v>
      </c>
      <c r="CK57" s="24">
        <v>1</v>
      </c>
      <c r="CL57" s="24">
        <v>1</v>
      </c>
      <c r="CM57" s="24">
        <v>1</v>
      </c>
      <c r="CN57" s="24">
        <v>1</v>
      </c>
      <c r="CO57" s="24">
        <v>1</v>
      </c>
      <c r="CP57" s="24">
        <v>1</v>
      </c>
      <c r="CQ57" s="24">
        <v>0</v>
      </c>
      <c r="CR57" s="24">
        <v>1</v>
      </c>
      <c r="CS57" s="24">
        <v>1</v>
      </c>
      <c r="CT57" s="24">
        <v>1</v>
      </c>
      <c r="CU57" s="24">
        <v>1</v>
      </c>
      <c r="CV57" s="24">
        <v>1</v>
      </c>
      <c r="CW57" s="24">
        <v>1</v>
      </c>
      <c r="CX57" s="23" t="s">
        <v>54</v>
      </c>
    </row>
    <row r="58" spans="1:102" x14ac:dyDescent="0.25">
      <c r="A58" s="23" t="s">
        <v>37</v>
      </c>
      <c r="F58" s="23" t="s">
        <v>38</v>
      </c>
      <c r="L58" s="25">
        <v>0</v>
      </c>
      <c r="M58" s="25">
        <v>0</v>
      </c>
      <c r="N58" s="25">
        <v>0</v>
      </c>
      <c r="O58" s="25">
        <v>0</v>
      </c>
      <c r="P58" s="25">
        <v>0</v>
      </c>
      <c r="Q58" s="25">
        <v>0</v>
      </c>
      <c r="R58" s="25">
        <v>0</v>
      </c>
      <c r="S58" s="25">
        <v>0</v>
      </c>
      <c r="T58" s="25">
        <v>0</v>
      </c>
      <c r="U58" s="25">
        <v>0</v>
      </c>
      <c r="V58" s="25">
        <v>0</v>
      </c>
      <c r="W58" s="25">
        <v>0</v>
      </c>
      <c r="X58" s="25">
        <v>0</v>
      </c>
      <c r="Y58" s="25">
        <v>0</v>
      </c>
      <c r="Z58" s="25">
        <v>0</v>
      </c>
      <c r="AA58" s="25">
        <v>0</v>
      </c>
      <c r="AB58" s="25">
        <v>0</v>
      </c>
      <c r="AC58" s="25">
        <v>0</v>
      </c>
      <c r="AD58" s="25">
        <v>0</v>
      </c>
      <c r="AE58" s="25">
        <v>0</v>
      </c>
      <c r="AF58" s="25">
        <v>0</v>
      </c>
      <c r="AG58" s="25">
        <v>0</v>
      </c>
      <c r="AH58" s="25">
        <v>0</v>
      </c>
      <c r="AI58" s="25">
        <v>0</v>
      </c>
      <c r="AJ58" s="25">
        <v>0</v>
      </c>
      <c r="AK58" s="25">
        <v>0</v>
      </c>
      <c r="AL58" s="25">
        <v>0</v>
      </c>
      <c r="AM58" s="25">
        <v>0</v>
      </c>
      <c r="AN58" s="25">
        <v>0</v>
      </c>
      <c r="AO58" s="25">
        <v>0</v>
      </c>
      <c r="AP58" s="25">
        <v>0</v>
      </c>
      <c r="AQ58" s="25">
        <v>0</v>
      </c>
      <c r="AR58" s="25">
        <v>0</v>
      </c>
      <c r="AS58" s="25">
        <v>0</v>
      </c>
      <c r="AT58" s="25">
        <v>0</v>
      </c>
      <c r="AU58" s="25">
        <v>0</v>
      </c>
      <c r="AV58" s="25">
        <v>0</v>
      </c>
      <c r="AW58" s="25">
        <v>0</v>
      </c>
      <c r="AX58" s="25">
        <v>8</v>
      </c>
      <c r="AY58" s="25">
        <v>8</v>
      </c>
      <c r="AZ58" s="25">
        <v>0</v>
      </c>
      <c r="BA58" s="25">
        <v>0</v>
      </c>
      <c r="BB58" s="25">
        <v>8</v>
      </c>
      <c r="BC58" s="25">
        <v>8</v>
      </c>
      <c r="BD58" s="25">
        <v>8</v>
      </c>
      <c r="BE58" s="25">
        <v>8</v>
      </c>
      <c r="BF58" s="25">
        <v>8</v>
      </c>
      <c r="BG58" s="25">
        <v>0</v>
      </c>
      <c r="BH58" s="25">
        <v>0</v>
      </c>
      <c r="BI58" s="25">
        <v>13</v>
      </c>
      <c r="BJ58" s="25">
        <v>13</v>
      </c>
      <c r="BK58" s="25">
        <v>13</v>
      </c>
      <c r="BL58" s="25">
        <v>13</v>
      </c>
      <c r="BM58" s="25">
        <v>13</v>
      </c>
      <c r="BN58" s="25">
        <v>13</v>
      </c>
      <c r="BO58" s="25">
        <v>13</v>
      </c>
      <c r="BP58" s="25">
        <v>13</v>
      </c>
      <c r="BQ58" s="25">
        <v>13</v>
      </c>
      <c r="BR58" s="25">
        <v>13</v>
      </c>
      <c r="BS58" s="25">
        <v>13</v>
      </c>
      <c r="BT58" s="25">
        <v>13</v>
      </c>
      <c r="BU58" s="25">
        <v>13</v>
      </c>
      <c r="BV58" s="25">
        <v>13</v>
      </c>
      <c r="BW58" s="25">
        <v>13</v>
      </c>
      <c r="BX58" s="25">
        <v>13</v>
      </c>
      <c r="BY58" s="25">
        <v>13</v>
      </c>
      <c r="BZ58" s="25">
        <v>13</v>
      </c>
      <c r="CA58" s="25">
        <v>13</v>
      </c>
      <c r="CB58" s="25">
        <v>13</v>
      </c>
      <c r="CC58" s="25">
        <v>0</v>
      </c>
      <c r="CD58" s="25">
        <v>13</v>
      </c>
      <c r="CE58" s="25">
        <v>13</v>
      </c>
      <c r="CF58" s="25">
        <v>13</v>
      </c>
      <c r="CG58" s="25">
        <v>13</v>
      </c>
      <c r="CH58" s="25">
        <v>13</v>
      </c>
      <c r="CI58" s="25">
        <v>13</v>
      </c>
      <c r="CJ58" s="25">
        <v>13</v>
      </c>
      <c r="CK58" s="25">
        <v>13</v>
      </c>
      <c r="CL58" s="25">
        <v>13</v>
      </c>
      <c r="CM58" s="25">
        <v>13</v>
      </c>
      <c r="CN58" s="25">
        <v>13</v>
      </c>
      <c r="CO58" s="25">
        <v>13</v>
      </c>
      <c r="CP58" s="25">
        <v>13</v>
      </c>
      <c r="CQ58" s="25">
        <v>0</v>
      </c>
      <c r="CR58" s="25">
        <v>13</v>
      </c>
      <c r="CS58" s="25">
        <v>13</v>
      </c>
      <c r="CT58" s="25">
        <v>13</v>
      </c>
      <c r="CU58" s="25">
        <v>13</v>
      </c>
      <c r="CV58" s="25">
        <v>13</v>
      </c>
      <c r="CW58" s="25">
        <v>13</v>
      </c>
      <c r="CX58" s="23" t="s">
        <v>54</v>
      </c>
    </row>
    <row r="59" spans="2:102" x14ac:dyDescent="0.25">
      <c r="B59" s="26">
        <f>SUM(L59:CW59)</f>
      </c>
      <c r="D59" s="27">
        <f>B59*E59</f>
      </c>
      <c r="E59" s="27">
        <f>'Rate Tables'!C11</f>
      </c>
      <c r="F59" s="8" t="s">
        <v>39</v>
      </c>
      <c r="L59" s="26">
        <f>IF(L$6="","",IF(WEEKDAY(L$6,1)=1,0,MIN(8,L58)*L57))</f>
      </c>
      <c r="M59" s="26">
        <f>IF(M$6="","",IF(WEEKDAY(M$6,1)=1,0,MIN(8,M58)*M57))</f>
      </c>
      <c r="N59" s="26">
        <f>IF(N$6="","",IF(WEEKDAY(N$6,1)=1,0,MIN(8,N58)*N57))</f>
      </c>
      <c r="O59" s="26">
        <f>IF(O$6="","",IF(WEEKDAY(O$6,1)=1,0,MIN(8,O58)*O57))</f>
      </c>
      <c r="P59" s="26">
        <f>IF(P$6="","",IF(WEEKDAY(P$6,1)=1,0,MIN(8,P58)*P57))</f>
      </c>
      <c r="Q59" s="26">
        <f>IF(Q$6="","",IF(WEEKDAY(Q$6,1)=1,0,MIN(8,Q58)*Q57))</f>
      </c>
      <c r="R59" s="26">
        <f>IF(R$6="","",IF(WEEKDAY(R$6,1)=1,0,MIN(8,R58)*R57))</f>
      </c>
      <c r="S59" s="26">
        <f>IF(S$6="","",IF(WEEKDAY(S$6,1)=1,0,MIN(8,S58)*S57))</f>
      </c>
      <c r="T59" s="26">
        <f>IF(T$6="","",IF(WEEKDAY(T$6,1)=1,0,MIN(8,T58)*T57))</f>
      </c>
      <c r="U59" s="26">
        <f>IF(U$6="","",IF(WEEKDAY(U$6,1)=1,0,MIN(8,U58)*U57))</f>
      </c>
      <c r="V59" s="26">
        <f>IF(V$6="","",IF(WEEKDAY(V$6,1)=1,0,MIN(8,V58)*V57))</f>
      </c>
      <c r="W59" s="26">
        <f>IF(W$6="","",IF(WEEKDAY(W$6,1)=1,0,MIN(8,W58)*W57))</f>
      </c>
      <c r="X59" s="26">
        <f>IF(X$6="","",IF(WEEKDAY(X$6,1)=1,0,MIN(8,X58)*X57))</f>
      </c>
      <c r="Y59" s="26">
        <f>IF(Y$6="","",IF(WEEKDAY(Y$6,1)=1,0,MIN(8,Y58)*Y57))</f>
      </c>
      <c r="Z59" s="26">
        <f>IF(Z$6="","",IF(WEEKDAY(Z$6,1)=1,0,MIN(8,Z58)*Z57))</f>
      </c>
      <c r="AA59" s="26">
        <f>IF(AA$6="","",IF(WEEKDAY(AA$6,1)=1,0,MIN(8,AA58)*AA57))</f>
      </c>
      <c r="AB59" s="26">
        <f>IF(AB$6="","",IF(WEEKDAY(AB$6,1)=1,0,MIN(8,AB58)*AB57))</f>
      </c>
      <c r="AC59" s="26">
        <f>IF(AC$6="","",IF(WEEKDAY(AC$6,1)=1,0,MIN(8,AC58)*AC57))</f>
      </c>
      <c r="AD59" s="26">
        <f>IF(AD$6="","",IF(WEEKDAY(AD$6,1)=1,0,MIN(8,AD58)*AD57))</f>
      </c>
      <c r="AE59" s="26">
        <f>IF(AE$6="","",IF(WEEKDAY(AE$6,1)=1,0,MIN(8,AE58)*AE57))</f>
      </c>
      <c r="AF59" s="26">
        <f>IF(AF$6="","",IF(WEEKDAY(AF$6,1)=1,0,MIN(8,AF58)*AF57))</f>
      </c>
      <c r="AG59" s="26">
        <f>IF(AG$6="","",IF(WEEKDAY(AG$6,1)=1,0,MIN(8,AG58)*AG57))</f>
      </c>
      <c r="AH59" s="26">
        <f>IF(AH$6="","",IF(WEEKDAY(AH$6,1)=1,0,MIN(8,AH58)*AH57))</f>
      </c>
      <c r="AI59" s="26">
        <f>IF(AI$6="","",IF(WEEKDAY(AI$6,1)=1,0,MIN(8,AI58)*AI57))</f>
      </c>
      <c r="AJ59" s="26">
        <f>IF(AJ$6="","",IF(WEEKDAY(AJ$6,1)=1,0,MIN(8,AJ58)*AJ57))</f>
      </c>
      <c r="AK59" s="26">
        <f>IF(AK$6="","",IF(WEEKDAY(AK$6,1)=1,0,MIN(8,AK58)*AK57))</f>
      </c>
      <c r="AL59" s="26">
        <f>IF(AL$6="","",IF(WEEKDAY(AL$6,1)=1,0,MIN(8,AL58)*AL57))</f>
      </c>
      <c r="AM59" s="26">
        <f>IF(AM$6="","",IF(WEEKDAY(AM$6,1)=1,0,MIN(8,AM58)*AM57))</f>
      </c>
      <c r="AN59" s="26">
        <f>IF(AN$6="","",IF(WEEKDAY(AN$6,1)=1,0,MIN(8,AN58)*AN57))</f>
      </c>
      <c r="AO59" s="26">
        <f>IF(AO$6="","",IF(WEEKDAY(AO$6,1)=1,0,MIN(8,AO58)*AO57))</f>
      </c>
      <c r="AP59" s="26">
        <f>IF(AP$6="","",IF(WEEKDAY(AP$6,1)=1,0,MIN(8,AP58)*AP57))</f>
      </c>
      <c r="AQ59" s="26">
        <f>IF(AQ$6="","",IF(WEEKDAY(AQ$6,1)=1,0,MIN(8,AQ58)*AQ57))</f>
      </c>
      <c r="AR59" s="26">
        <f>IF(AR$6="","",IF(WEEKDAY(AR$6,1)=1,0,MIN(8,AR58)*AR57))</f>
      </c>
      <c r="AS59" s="26">
        <f>IF(AS$6="","",IF(WEEKDAY(AS$6,1)=1,0,MIN(8,AS58)*AS57))</f>
      </c>
      <c r="AT59" s="26">
        <f>IF(AT$6="","",IF(WEEKDAY(AT$6,1)=1,0,MIN(8,AT58)*AT57))</f>
      </c>
      <c r="AU59" s="26">
        <f>IF(AU$6="","",IF(WEEKDAY(AU$6,1)=1,0,MIN(8,AU58)*AU57))</f>
      </c>
      <c r="AV59" s="26">
        <f>IF(AV$6="","",IF(WEEKDAY(AV$6,1)=1,0,MIN(8,AV58)*AV57))</f>
      </c>
      <c r="AW59" s="26">
        <f>IF(AW$6="","",IF(WEEKDAY(AW$6,1)=1,0,MIN(8,AW58)*AW57))</f>
      </c>
      <c r="AX59" s="26">
        <f>IF(AX$6="","",IF(WEEKDAY(AX$6,1)=1,0,MIN(8,AX58)*AX57))</f>
      </c>
      <c r="AY59" s="26">
        <f>IF(AY$6="","",IF(WEEKDAY(AY$6,1)=1,0,MIN(8,AY58)*AY57))</f>
      </c>
      <c r="AZ59" s="26">
        <f>IF(AZ$6="","",IF(WEEKDAY(AZ$6,1)=1,0,MIN(8,AZ58)*AZ57))</f>
      </c>
      <c r="BA59" s="26">
        <f>IF(BA$6="","",IF(WEEKDAY(BA$6,1)=1,0,MIN(8,BA58)*BA57))</f>
      </c>
      <c r="BB59" s="26">
        <f>IF(BB$6="","",IF(WEEKDAY(BB$6,1)=1,0,MIN(8,BB58)*BB57))</f>
      </c>
      <c r="BC59" s="26">
        <f>IF(BC$6="","",IF(WEEKDAY(BC$6,1)=1,0,MIN(8,BC58)*BC57))</f>
      </c>
      <c r="BD59" s="26">
        <f>IF(BD$6="","",IF(WEEKDAY(BD$6,1)=1,0,MIN(8,BD58)*BD57))</f>
      </c>
      <c r="BE59" s="26">
        <f>IF(BE$6="","",IF(WEEKDAY(BE$6,1)=1,0,MIN(8,BE58)*BE57))</f>
      </c>
      <c r="BF59" s="26">
        <f>IF(BF$6="","",IF(WEEKDAY(BF$6,1)=1,0,MIN(8,BF58)*BF57))</f>
      </c>
      <c r="BG59" s="26">
        <f>IF(BG$6="","",IF(WEEKDAY(BG$6,1)=1,0,MIN(8,BG58)*BG57))</f>
      </c>
      <c r="BH59" s="26">
        <f>IF(BH$6="","",IF(WEEKDAY(BH$6,1)=1,0,MIN(8,BH58)*BH57))</f>
      </c>
      <c r="BI59" s="26">
        <f>IF(BI$6="","",IF(WEEKDAY(BI$6,1)=1,0,MIN(8,BI58)*BI57))</f>
      </c>
      <c r="BJ59" s="26">
        <f>IF(BJ$6="","",IF(WEEKDAY(BJ$6,1)=1,0,MIN(8,BJ58)*BJ57))</f>
      </c>
      <c r="BK59" s="26">
        <f>IF(BK$6="","",IF(WEEKDAY(BK$6,1)=1,0,MIN(8,BK58)*BK57))</f>
      </c>
      <c r="BL59" s="26">
        <f>IF(BL$6="","",IF(WEEKDAY(BL$6,1)=1,0,MIN(8,BL58)*BL57))</f>
      </c>
      <c r="BM59" s="26">
        <f>IF(BM$6="","",IF(WEEKDAY(BM$6,1)=1,0,MIN(8,BM58)*BM57))</f>
      </c>
      <c r="BN59" s="26">
        <f>IF(BN$6="","",IF(WEEKDAY(BN$6,1)=1,0,MIN(8,BN58)*BN57))</f>
      </c>
      <c r="BO59" s="26">
        <f>IF(BO$6="","",IF(WEEKDAY(BO$6,1)=1,0,MIN(8,BO58)*BO57))</f>
      </c>
      <c r="BP59" s="26">
        <f>IF(BP$6="","",IF(WEEKDAY(BP$6,1)=1,0,MIN(8,BP58)*BP57))</f>
      </c>
      <c r="BQ59" s="26">
        <f>IF(BQ$6="","",IF(WEEKDAY(BQ$6,1)=1,0,MIN(8,BQ58)*BQ57))</f>
      </c>
      <c r="BR59" s="26">
        <f>IF(BR$6="","",IF(WEEKDAY(BR$6,1)=1,0,MIN(8,BR58)*BR57))</f>
      </c>
      <c r="BS59" s="26">
        <f>IF(BS$6="","",IF(WEEKDAY(BS$6,1)=1,0,MIN(8,BS58)*BS57))</f>
      </c>
      <c r="BT59" s="26">
        <f>IF(BT$6="","",IF(WEEKDAY(BT$6,1)=1,0,MIN(8,BT58)*BT57))</f>
      </c>
      <c r="BU59" s="26">
        <f>IF(BU$6="","",IF(WEEKDAY(BU$6,1)=1,0,MIN(8,BU58)*BU57))</f>
      </c>
      <c r="BV59" s="26">
        <f>IF(BV$6="","",IF(WEEKDAY(BV$6,1)=1,0,MIN(8,BV58)*BV57))</f>
      </c>
      <c r="BW59" s="26">
        <f>IF(BW$6="","",IF(WEEKDAY(BW$6,1)=1,0,MIN(8,BW58)*BW57))</f>
      </c>
      <c r="BX59" s="26">
        <f>IF(BX$6="","",IF(WEEKDAY(BX$6,1)=1,0,MIN(8,BX58)*BX57))</f>
      </c>
      <c r="BY59" s="26">
        <f>IF(BY$6="","",IF(WEEKDAY(BY$6,1)=1,0,MIN(8,BY58)*BY57))</f>
      </c>
      <c r="BZ59" s="26">
        <f>IF(BZ$6="","",IF(WEEKDAY(BZ$6,1)=1,0,MIN(8,BZ58)*BZ57))</f>
      </c>
      <c r="CA59" s="26">
        <f>IF(CA$6="","",IF(WEEKDAY(CA$6,1)=1,0,MIN(8,CA58)*CA57))</f>
      </c>
      <c r="CB59" s="26">
        <f>IF(CB$6="","",IF(WEEKDAY(CB$6,1)=1,0,MIN(8,CB58)*CB57))</f>
      </c>
      <c r="CC59" s="26">
        <f>IF(CC$6="","",IF(WEEKDAY(CC$6,1)=1,0,MIN(8,CC58)*CC57))</f>
      </c>
      <c r="CD59" s="26">
        <f>IF(CD$6="","",IF(WEEKDAY(CD$6,1)=1,0,MIN(8,CD58)*CD57))</f>
      </c>
      <c r="CE59" s="26">
        <f>IF(CE$6="","",IF(WEEKDAY(CE$6,1)=1,0,MIN(8,CE58)*CE57))</f>
      </c>
      <c r="CF59" s="26">
        <f>IF(CF$6="","",IF(WEEKDAY(CF$6,1)=1,0,MIN(8,CF58)*CF57))</f>
      </c>
      <c r="CG59" s="26">
        <f>IF(CG$6="","",IF(WEEKDAY(CG$6,1)=1,0,MIN(8,CG58)*CG57))</f>
      </c>
      <c r="CH59" s="26">
        <f>IF(CH$6="","",IF(WEEKDAY(CH$6,1)=1,0,MIN(8,CH58)*CH57))</f>
      </c>
      <c r="CI59" s="26">
        <f>IF(CI$6="","",IF(WEEKDAY(CI$6,1)=1,0,MIN(8,CI58)*CI57))</f>
      </c>
      <c r="CJ59" s="26">
        <f>IF(CJ$6="","",IF(WEEKDAY(CJ$6,1)=1,0,MIN(8,CJ58)*CJ57))</f>
      </c>
      <c r="CK59" s="26">
        <f>IF(CK$6="","",IF(WEEKDAY(CK$6,1)=1,0,MIN(8,CK58)*CK57))</f>
      </c>
      <c r="CL59" s="26">
        <f>IF(CL$6="","",IF(WEEKDAY(CL$6,1)=1,0,MIN(8,CL58)*CL57))</f>
      </c>
      <c r="CM59" s="26">
        <f>IF(CM$6="","",IF(WEEKDAY(CM$6,1)=1,0,MIN(8,CM58)*CM57))</f>
      </c>
      <c r="CN59" s="26">
        <f>IF(CN$6="","",IF(WEEKDAY(CN$6,1)=1,0,MIN(8,CN58)*CN57))</f>
      </c>
      <c r="CO59" s="26">
        <f>IF(CO$6="","",IF(WEEKDAY(CO$6,1)=1,0,MIN(8,CO58)*CO57))</f>
      </c>
      <c r="CP59" s="26">
        <f>IF(CP$6="","",IF(WEEKDAY(CP$6,1)=1,0,MIN(8,CP58)*CP57))</f>
      </c>
      <c r="CQ59" s="26">
        <f>IF(CQ$6="","",IF(WEEKDAY(CQ$6,1)=1,0,MIN(8,CQ58)*CQ57))</f>
      </c>
      <c r="CR59" s="26">
        <f>IF(CR$6="","",IF(WEEKDAY(CR$6,1)=1,0,MIN(8,CR58)*CR57))</f>
      </c>
      <c r="CS59" s="26">
        <f>IF(CS$6="","",IF(WEEKDAY(CS$6,1)=1,0,MIN(8,CS58)*CS57))</f>
      </c>
      <c r="CT59" s="26">
        <f>IF(CT$6="","",IF(WEEKDAY(CT$6,1)=1,0,MIN(8,CT58)*CT57))</f>
      </c>
      <c r="CU59" s="26">
        <f>IF(CU$6="","",IF(WEEKDAY(CU$6,1)=1,0,MIN(8,CU58)*CU57))</f>
      </c>
      <c r="CV59" s="26">
        <f>IF(CV$6="","",IF(WEEKDAY(CV$6,1)=1,0,MIN(8,CV58)*CV57))</f>
      </c>
      <c r="CW59" s="26">
        <f>IF(CW$6="","",IF(WEEKDAY(CW$6,1)=1,0,MIN(8,CW58)*CW57))</f>
      </c>
      <c r="CX59" s="8" t="s">
        <v>54</v>
      </c>
    </row>
    <row r="60" spans="2:102" x14ac:dyDescent="0.25">
      <c r="B60" s="26">
        <f>SUM(L60:CW60)</f>
      </c>
      <c r="D60" s="27">
        <f>B60*E60</f>
      </c>
      <c r="E60" s="27">
        <f>'Rate Tables'!D11</f>
      </c>
      <c r="F60" s="8" t="s">
        <v>40</v>
      </c>
      <c r="L60" s="26">
        <f>IF(L$6="","",IF(WEEKDAY(L$6,1)=1,0,MAX(0,L58-8)*L57))</f>
      </c>
      <c r="M60" s="26">
        <f>IF(M$6="","",IF(WEEKDAY(M$6,1)=1,0,MAX(0,M58-8)*M57))</f>
      </c>
      <c r="N60" s="26">
        <f>IF(N$6="","",IF(WEEKDAY(N$6,1)=1,0,MAX(0,N58-8)*N57))</f>
      </c>
      <c r="O60" s="26">
        <f>IF(O$6="","",IF(WEEKDAY(O$6,1)=1,0,MAX(0,O58-8)*O57))</f>
      </c>
      <c r="P60" s="26">
        <f>IF(P$6="","",IF(WEEKDAY(P$6,1)=1,0,MAX(0,P58-8)*P57))</f>
      </c>
      <c r="Q60" s="26">
        <f>IF(Q$6="","",IF(WEEKDAY(Q$6,1)=1,0,MAX(0,Q58-8)*Q57))</f>
      </c>
      <c r="R60" s="26">
        <f>IF(R$6="","",IF(WEEKDAY(R$6,1)=1,0,MAX(0,R58-8)*R57))</f>
      </c>
      <c r="S60" s="26">
        <f>IF(S$6="","",IF(WEEKDAY(S$6,1)=1,0,MAX(0,S58-8)*S57))</f>
      </c>
      <c r="T60" s="26">
        <f>IF(T$6="","",IF(WEEKDAY(T$6,1)=1,0,MAX(0,T58-8)*T57))</f>
      </c>
      <c r="U60" s="26">
        <f>IF(U$6="","",IF(WEEKDAY(U$6,1)=1,0,MAX(0,U58-8)*U57))</f>
      </c>
      <c r="V60" s="26">
        <f>IF(V$6="","",IF(WEEKDAY(V$6,1)=1,0,MAX(0,V58-8)*V57))</f>
      </c>
      <c r="W60" s="26">
        <f>IF(W$6="","",IF(WEEKDAY(W$6,1)=1,0,MAX(0,W58-8)*W57))</f>
      </c>
      <c r="X60" s="26">
        <f>IF(X$6="","",IF(WEEKDAY(X$6,1)=1,0,MAX(0,X58-8)*X57))</f>
      </c>
      <c r="Y60" s="26">
        <f>IF(Y$6="","",IF(WEEKDAY(Y$6,1)=1,0,MAX(0,Y58-8)*Y57))</f>
      </c>
      <c r="Z60" s="26">
        <f>IF(Z$6="","",IF(WEEKDAY(Z$6,1)=1,0,MAX(0,Z58-8)*Z57))</f>
      </c>
      <c r="AA60" s="26">
        <f>IF(AA$6="","",IF(WEEKDAY(AA$6,1)=1,0,MAX(0,AA58-8)*AA57))</f>
      </c>
      <c r="AB60" s="26">
        <f>IF(AB$6="","",IF(WEEKDAY(AB$6,1)=1,0,MAX(0,AB58-8)*AB57))</f>
      </c>
      <c r="AC60" s="26">
        <f>IF(AC$6="","",IF(WEEKDAY(AC$6,1)=1,0,MAX(0,AC58-8)*AC57))</f>
      </c>
      <c r="AD60" s="26">
        <f>IF(AD$6="","",IF(WEEKDAY(AD$6,1)=1,0,MAX(0,AD58-8)*AD57))</f>
      </c>
      <c r="AE60" s="26">
        <f>IF(AE$6="","",IF(WEEKDAY(AE$6,1)=1,0,MAX(0,AE58-8)*AE57))</f>
      </c>
      <c r="AF60" s="26">
        <f>IF(AF$6="","",IF(WEEKDAY(AF$6,1)=1,0,MAX(0,AF58-8)*AF57))</f>
      </c>
      <c r="AG60" s="26">
        <f>IF(AG$6="","",IF(WEEKDAY(AG$6,1)=1,0,MAX(0,AG58-8)*AG57))</f>
      </c>
      <c r="AH60" s="26">
        <f>IF(AH$6="","",IF(WEEKDAY(AH$6,1)=1,0,MAX(0,AH58-8)*AH57))</f>
      </c>
      <c r="AI60" s="26">
        <f>IF(AI$6="","",IF(WEEKDAY(AI$6,1)=1,0,MAX(0,AI58-8)*AI57))</f>
      </c>
      <c r="AJ60" s="26">
        <f>IF(AJ$6="","",IF(WEEKDAY(AJ$6,1)=1,0,MAX(0,AJ58-8)*AJ57))</f>
      </c>
      <c r="AK60" s="26">
        <f>IF(AK$6="","",IF(WEEKDAY(AK$6,1)=1,0,MAX(0,AK58-8)*AK57))</f>
      </c>
      <c r="AL60" s="26">
        <f>IF(AL$6="","",IF(WEEKDAY(AL$6,1)=1,0,MAX(0,AL58-8)*AL57))</f>
      </c>
      <c r="AM60" s="26">
        <f>IF(AM$6="","",IF(WEEKDAY(AM$6,1)=1,0,MAX(0,AM58-8)*AM57))</f>
      </c>
      <c r="AN60" s="26">
        <f>IF(AN$6="","",IF(WEEKDAY(AN$6,1)=1,0,MAX(0,AN58-8)*AN57))</f>
      </c>
      <c r="AO60" s="26">
        <f>IF(AO$6="","",IF(WEEKDAY(AO$6,1)=1,0,MAX(0,AO58-8)*AO57))</f>
      </c>
      <c r="AP60" s="26">
        <f>IF(AP$6="","",IF(WEEKDAY(AP$6,1)=1,0,MAX(0,AP58-8)*AP57))</f>
      </c>
      <c r="AQ60" s="26">
        <f>IF(AQ$6="","",IF(WEEKDAY(AQ$6,1)=1,0,MAX(0,AQ58-8)*AQ57))</f>
      </c>
      <c r="AR60" s="26">
        <f>IF(AR$6="","",IF(WEEKDAY(AR$6,1)=1,0,MAX(0,AR58-8)*AR57))</f>
      </c>
      <c r="AS60" s="26">
        <f>IF(AS$6="","",IF(WEEKDAY(AS$6,1)=1,0,MAX(0,AS58-8)*AS57))</f>
      </c>
      <c r="AT60" s="26">
        <f>IF(AT$6="","",IF(WEEKDAY(AT$6,1)=1,0,MAX(0,AT58-8)*AT57))</f>
      </c>
      <c r="AU60" s="26">
        <f>IF(AU$6="","",IF(WEEKDAY(AU$6,1)=1,0,MAX(0,AU58-8)*AU57))</f>
      </c>
      <c r="AV60" s="26">
        <f>IF(AV$6="","",IF(WEEKDAY(AV$6,1)=1,0,MAX(0,AV58-8)*AV57))</f>
      </c>
      <c r="AW60" s="26">
        <f>IF(AW$6="","",IF(WEEKDAY(AW$6,1)=1,0,MAX(0,AW58-8)*AW57))</f>
      </c>
      <c r="AX60" s="26">
        <f>IF(AX$6="","",IF(WEEKDAY(AX$6,1)=1,0,MAX(0,AX58-8)*AX57))</f>
      </c>
      <c r="AY60" s="26">
        <f>IF(AY$6="","",IF(WEEKDAY(AY$6,1)=1,0,MAX(0,AY58-8)*AY57))</f>
      </c>
      <c r="AZ60" s="26">
        <f>IF(AZ$6="","",IF(WEEKDAY(AZ$6,1)=1,0,MAX(0,AZ58-8)*AZ57))</f>
      </c>
      <c r="BA60" s="26">
        <f>IF(BA$6="","",IF(WEEKDAY(BA$6,1)=1,0,MAX(0,BA58-8)*BA57))</f>
      </c>
      <c r="BB60" s="26">
        <f>IF(BB$6="","",IF(WEEKDAY(BB$6,1)=1,0,MAX(0,BB58-8)*BB57))</f>
      </c>
      <c r="BC60" s="26">
        <f>IF(BC$6="","",IF(WEEKDAY(BC$6,1)=1,0,MAX(0,BC58-8)*BC57))</f>
      </c>
      <c r="BD60" s="26">
        <f>IF(BD$6="","",IF(WEEKDAY(BD$6,1)=1,0,MAX(0,BD58-8)*BD57))</f>
      </c>
      <c r="BE60" s="26">
        <f>IF(BE$6="","",IF(WEEKDAY(BE$6,1)=1,0,MAX(0,BE58-8)*BE57))</f>
      </c>
      <c r="BF60" s="26">
        <f>IF(BF$6="","",IF(WEEKDAY(BF$6,1)=1,0,MAX(0,BF58-8)*BF57))</f>
      </c>
      <c r="BG60" s="26">
        <f>IF(BG$6="","",IF(WEEKDAY(BG$6,1)=1,0,MAX(0,BG58-8)*BG57))</f>
      </c>
      <c r="BH60" s="26">
        <f>IF(BH$6="","",IF(WEEKDAY(BH$6,1)=1,0,MAX(0,BH58-8)*BH57))</f>
      </c>
      <c r="BI60" s="26">
        <f>IF(BI$6="","",IF(WEEKDAY(BI$6,1)=1,0,MAX(0,BI58-8)*BI57))</f>
      </c>
      <c r="BJ60" s="26">
        <f>IF(BJ$6="","",IF(WEEKDAY(BJ$6,1)=1,0,MAX(0,BJ58-8)*BJ57))</f>
      </c>
      <c r="BK60" s="26">
        <f>IF(BK$6="","",IF(WEEKDAY(BK$6,1)=1,0,MAX(0,BK58-8)*BK57))</f>
      </c>
      <c r="BL60" s="26">
        <f>IF(BL$6="","",IF(WEEKDAY(BL$6,1)=1,0,MAX(0,BL58-8)*BL57))</f>
      </c>
      <c r="BM60" s="26">
        <f>IF(BM$6="","",IF(WEEKDAY(BM$6,1)=1,0,MAX(0,BM58-8)*BM57))</f>
      </c>
      <c r="BN60" s="26">
        <f>IF(BN$6="","",IF(WEEKDAY(BN$6,1)=1,0,MAX(0,BN58-8)*BN57))</f>
      </c>
      <c r="BO60" s="26">
        <f>IF(BO$6="","",IF(WEEKDAY(BO$6,1)=1,0,MAX(0,BO58-8)*BO57))</f>
      </c>
      <c r="BP60" s="26">
        <f>IF(BP$6="","",IF(WEEKDAY(BP$6,1)=1,0,MAX(0,BP58-8)*BP57))</f>
      </c>
      <c r="BQ60" s="26">
        <f>IF(BQ$6="","",IF(WEEKDAY(BQ$6,1)=1,0,MAX(0,BQ58-8)*BQ57))</f>
      </c>
      <c r="BR60" s="26">
        <f>IF(BR$6="","",IF(WEEKDAY(BR$6,1)=1,0,MAX(0,BR58-8)*BR57))</f>
      </c>
      <c r="BS60" s="26">
        <f>IF(BS$6="","",IF(WEEKDAY(BS$6,1)=1,0,MAX(0,BS58-8)*BS57))</f>
      </c>
      <c r="BT60" s="26">
        <f>IF(BT$6="","",IF(WEEKDAY(BT$6,1)=1,0,MAX(0,BT58-8)*BT57))</f>
      </c>
      <c r="BU60" s="26">
        <f>IF(BU$6="","",IF(WEEKDAY(BU$6,1)=1,0,MAX(0,BU58-8)*BU57))</f>
      </c>
      <c r="BV60" s="26">
        <f>IF(BV$6="","",IF(WEEKDAY(BV$6,1)=1,0,MAX(0,BV58-8)*BV57))</f>
      </c>
      <c r="BW60" s="26">
        <f>IF(BW$6="","",IF(WEEKDAY(BW$6,1)=1,0,MAX(0,BW58-8)*BW57))</f>
      </c>
      <c r="BX60" s="26">
        <f>IF(BX$6="","",IF(WEEKDAY(BX$6,1)=1,0,MAX(0,BX58-8)*BX57))</f>
      </c>
      <c r="BY60" s="26">
        <f>IF(BY$6="","",IF(WEEKDAY(BY$6,1)=1,0,MAX(0,BY58-8)*BY57))</f>
      </c>
      <c r="BZ60" s="26">
        <f>IF(BZ$6="","",IF(WEEKDAY(BZ$6,1)=1,0,MAX(0,BZ58-8)*BZ57))</f>
      </c>
      <c r="CA60" s="26">
        <f>IF(CA$6="","",IF(WEEKDAY(CA$6,1)=1,0,MAX(0,CA58-8)*CA57))</f>
      </c>
      <c r="CB60" s="26">
        <f>IF(CB$6="","",IF(WEEKDAY(CB$6,1)=1,0,MAX(0,CB58-8)*CB57))</f>
      </c>
      <c r="CC60" s="26">
        <f>IF(CC$6="","",IF(WEEKDAY(CC$6,1)=1,0,MAX(0,CC58-8)*CC57))</f>
      </c>
      <c r="CD60" s="26">
        <f>IF(CD$6="","",IF(WEEKDAY(CD$6,1)=1,0,MAX(0,CD58-8)*CD57))</f>
      </c>
      <c r="CE60" s="26">
        <f>IF(CE$6="","",IF(WEEKDAY(CE$6,1)=1,0,MAX(0,CE58-8)*CE57))</f>
      </c>
      <c r="CF60" s="26">
        <f>IF(CF$6="","",IF(WEEKDAY(CF$6,1)=1,0,MAX(0,CF58-8)*CF57))</f>
      </c>
      <c r="CG60" s="26">
        <f>IF(CG$6="","",IF(WEEKDAY(CG$6,1)=1,0,MAX(0,CG58-8)*CG57))</f>
      </c>
      <c r="CH60" s="26">
        <f>IF(CH$6="","",IF(WEEKDAY(CH$6,1)=1,0,MAX(0,CH58-8)*CH57))</f>
      </c>
      <c r="CI60" s="26">
        <f>IF(CI$6="","",IF(WEEKDAY(CI$6,1)=1,0,MAX(0,CI58-8)*CI57))</f>
      </c>
      <c r="CJ60" s="26">
        <f>IF(CJ$6="","",IF(WEEKDAY(CJ$6,1)=1,0,MAX(0,CJ58-8)*CJ57))</f>
      </c>
      <c r="CK60" s="26">
        <f>IF(CK$6="","",IF(WEEKDAY(CK$6,1)=1,0,MAX(0,CK58-8)*CK57))</f>
      </c>
      <c r="CL60" s="26">
        <f>IF(CL$6="","",IF(WEEKDAY(CL$6,1)=1,0,MAX(0,CL58-8)*CL57))</f>
      </c>
      <c r="CM60" s="26">
        <f>IF(CM$6="","",IF(WEEKDAY(CM$6,1)=1,0,MAX(0,CM58-8)*CM57))</f>
      </c>
      <c r="CN60" s="26">
        <f>IF(CN$6="","",IF(WEEKDAY(CN$6,1)=1,0,MAX(0,CN58-8)*CN57))</f>
      </c>
      <c r="CO60" s="26">
        <f>IF(CO$6="","",IF(WEEKDAY(CO$6,1)=1,0,MAX(0,CO58-8)*CO57))</f>
      </c>
      <c r="CP60" s="26">
        <f>IF(CP$6="","",IF(WEEKDAY(CP$6,1)=1,0,MAX(0,CP58-8)*CP57))</f>
      </c>
      <c r="CQ60" s="26">
        <f>IF(CQ$6="","",IF(WEEKDAY(CQ$6,1)=1,0,MAX(0,CQ58-8)*CQ57))</f>
      </c>
      <c r="CR60" s="26">
        <f>IF(CR$6="","",IF(WEEKDAY(CR$6,1)=1,0,MAX(0,CR58-8)*CR57))</f>
      </c>
      <c r="CS60" s="26">
        <f>IF(CS$6="","",IF(WEEKDAY(CS$6,1)=1,0,MAX(0,CS58-8)*CS57))</f>
      </c>
      <c r="CT60" s="26">
        <f>IF(CT$6="","",IF(WEEKDAY(CT$6,1)=1,0,MAX(0,CT58-8)*CT57))</f>
      </c>
      <c r="CU60" s="26">
        <f>IF(CU$6="","",IF(WEEKDAY(CU$6,1)=1,0,MAX(0,CU58-8)*CU57))</f>
      </c>
      <c r="CV60" s="26">
        <f>IF(CV$6="","",IF(WEEKDAY(CV$6,1)=1,0,MAX(0,CV58-8)*CV57))</f>
      </c>
      <c r="CW60" s="26">
        <f>IF(CW$6="","",IF(WEEKDAY(CW$6,1)=1,0,MAX(0,CW58-8)*CW57))</f>
      </c>
      <c r="CX60" s="8" t="s">
        <v>54</v>
      </c>
    </row>
    <row r="61" spans="2:102" x14ac:dyDescent="0.25">
      <c r="B61" s="26">
        <f>SUM(L61:CW61)</f>
      </c>
      <c r="D61" s="27">
        <f>B61*E61</f>
      </c>
      <c r="E61" s="27">
        <f>'Rate Tables'!E11</f>
      </c>
      <c r="F61" s="8" t="s">
        <v>41</v>
      </c>
      <c r="L61" s="26">
        <f>IF(L$6="","",IF(WEEKDAY(L$6,1)=1,L58*L57,0))</f>
      </c>
      <c r="M61" s="26">
        <f>IF(M$6="","",IF(WEEKDAY(M$6,1)=1,M58*M57,0))</f>
      </c>
      <c r="N61" s="26">
        <f>IF(N$6="","",IF(WEEKDAY(N$6,1)=1,N58*N57,0))</f>
      </c>
      <c r="O61" s="26">
        <f>IF(O$6="","",IF(WEEKDAY(O$6,1)=1,O58*O57,0))</f>
      </c>
      <c r="P61" s="26">
        <f>IF(P$6="","",IF(WEEKDAY(P$6,1)=1,P58*P57,0))</f>
      </c>
      <c r="Q61" s="26">
        <f>IF(Q$6="","",IF(WEEKDAY(Q$6,1)=1,Q58*Q57,0))</f>
      </c>
      <c r="R61" s="26">
        <f>IF(R$6="","",IF(WEEKDAY(R$6,1)=1,R58*R57,0))</f>
      </c>
      <c r="S61" s="26">
        <f>IF(S$6="","",IF(WEEKDAY(S$6,1)=1,S58*S57,0))</f>
      </c>
      <c r="T61" s="26">
        <f>IF(T$6="","",IF(WEEKDAY(T$6,1)=1,T58*T57,0))</f>
      </c>
      <c r="U61" s="26">
        <f>IF(U$6="","",IF(WEEKDAY(U$6,1)=1,U58*U57,0))</f>
      </c>
      <c r="V61" s="26">
        <f>IF(V$6="","",IF(WEEKDAY(V$6,1)=1,V58*V57,0))</f>
      </c>
      <c r="W61" s="26">
        <f>IF(W$6="","",IF(WEEKDAY(W$6,1)=1,W58*W57,0))</f>
      </c>
      <c r="X61" s="26">
        <f>IF(X$6="","",IF(WEEKDAY(X$6,1)=1,X58*X57,0))</f>
      </c>
      <c r="Y61" s="26">
        <f>IF(Y$6="","",IF(WEEKDAY(Y$6,1)=1,Y58*Y57,0))</f>
      </c>
      <c r="Z61" s="26">
        <f>IF(Z$6="","",IF(WEEKDAY(Z$6,1)=1,Z58*Z57,0))</f>
      </c>
      <c r="AA61" s="26">
        <f>IF(AA$6="","",IF(WEEKDAY(AA$6,1)=1,AA58*AA57,0))</f>
      </c>
      <c r="AB61" s="26">
        <f>IF(AB$6="","",IF(WEEKDAY(AB$6,1)=1,AB58*AB57,0))</f>
      </c>
      <c r="AC61" s="26">
        <f>IF(AC$6="","",IF(WEEKDAY(AC$6,1)=1,AC58*AC57,0))</f>
      </c>
      <c r="AD61" s="26">
        <f>IF(AD$6="","",IF(WEEKDAY(AD$6,1)=1,AD58*AD57,0))</f>
      </c>
      <c r="AE61" s="26">
        <f>IF(AE$6="","",IF(WEEKDAY(AE$6,1)=1,AE58*AE57,0))</f>
      </c>
      <c r="AF61" s="26">
        <f>IF(AF$6="","",IF(WEEKDAY(AF$6,1)=1,AF58*AF57,0))</f>
      </c>
      <c r="AG61" s="26">
        <f>IF(AG$6="","",IF(WEEKDAY(AG$6,1)=1,AG58*AG57,0))</f>
      </c>
      <c r="AH61" s="26">
        <f>IF(AH$6="","",IF(WEEKDAY(AH$6,1)=1,AH58*AH57,0))</f>
      </c>
      <c r="AI61" s="26">
        <f>IF(AI$6="","",IF(WEEKDAY(AI$6,1)=1,AI58*AI57,0))</f>
      </c>
      <c r="AJ61" s="26">
        <f>IF(AJ$6="","",IF(WEEKDAY(AJ$6,1)=1,AJ58*AJ57,0))</f>
      </c>
      <c r="AK61" s="26">
        <f>IF(AK$6="","",IF(WEEKDAY(AK$6,1)=1,AK58*AK57,0))</f>
      </c>
      <c r="AL61" s="26">
        <f>IF(AL$6="","",IF(WEEKDAY(AL$6,1)=1,AL58*AL57,0))</f>
      </c>
      <c r="AM61" s="26">
        <f>IF(AM$6="","",IF(WEEKDAY(AM$6,1)=1,AM58*AM57,0))</f>
      </c>
      <c r="AN61" s="26">
        <f>IF(AN$6="","",IF(WEEKDAY(AN$6,1)=1,AN58*AN57,0))</f>
      </c>
      <c r="AO61" s="26">
        <f>IF(AO$6="","",IF(WEEKDAY(AO$6,1)=1,AO58*AO57,0))</f>
      </c>
      <c r="AP61" s="26">
        <f>IF(AP$6="","",IF(WEEKDAY(AP$6,1)=1,AP58*AP57,0))</f>
      </c>
      <c r="AQ61" s="26">
        <f>IF(AQ$6="","",IF(WEEKDAY(AQ$6,1)=1,AQ58*AQ57,0))</f>
      </c>
      <c r="AR61" s="26">
        <f>IF(AR$6="","",IF(WEEKDAY(AR$6,1)=1,AR58*AR57,0))</f>
      </c>
      <c r="AS61" s="26">
        <f>IF(AS$6="","",IF(WEEKDAY(AS$6,1)=1,AS58*AS57,0))</f>
      </c>
      <c r="AT61" s="26">
        <f>IF(AT$6="","",IF(WEEKDAY(AT$6,1)=1,AT58*AT57,0))</f>
      </c>
      <c r="AU61" s="26">
        <f>IF(AU$6="","",IF(WEEKDAY(AU$6,1)=1,AU58*AU57,0))</f>
      </c>
      <c r="AV61" s="26">
        <f>IF(AV$6="","",IF(WEEKDAY(AV$6,1)=1,AV58*AV57,0))</f>
      </c>
      <c r="AW61" s="26">
        <f>IF(AW$6="","",IF(WEEKDAY(AW$6,1)=1,AW58*AW57,0))</f>
      </c>
      <c r="AX61" s="26">
        <f>IF(AX$6="","",IF(WEEKDAY(AX$6,1)=1,AX58*AX57,0))</f>
      </c>
      <c r="AY61" s="26">
        <f>IF(AY$6="","",IF(WEEKDAY(AY$6,1)=1,AY58*AY57,0))</f>
      </c>
      <c r="AZ61" s="26">
        <f>IF(AZ$6="","",IF(WEEKDAY(AZ$6,1)=1,AZ58*AZ57,0))</f>
      </c>
      <c r="BA61" s="26">
        <f>IF(BA$6="","",IF(WEEKDAY(BA$6,1)=1,BA58*BA57,0))</f>
      </c>
      <c r="BB61" s="26">
        <f>IF(BB$6="","",IF(WEEKDAY(BB$6,1)=1,BB58*BB57,0))</f>
      </c>
      <c r="BC61" s="26">
        <f>IF(BC$6="","",IF(WEEKDAY(BC$6,1)=1,BC58*BC57,0))</f>
      </c>
      <c r="BD61" s="26">
        <f>IF(BD$6="","",IF(WEEKDAY(BD$6,1)=1,BD58*BD57,0))</f>
      </c>
      <c r="BE61" s="26">
        <f>IF(BE$6="","",IF(WEEKDAY(BE$6,1)=1,BE58*BE57,0))</f>
      </c>
      <c r="BF61" s="26">
        <f>IF(BF$6="","",IF(WEEKDAY(BF$6,1)=1,BF58*BF57,0))</f>
      </c>
      <c r="BG61" s="26">
        <f>IF(BG$6="","",IF(WEEKDAY(BG$6,1)=1,BG58*BG57,0))</f>
      </c>
      <c r="BH61" s="26">
        <f>IF(BH$6="","",IF(WEEKDAY(BH$6,1)=1,BH58*BH57,0))</f>
      </c>
      <c r="BI61" s="26">
        <f>IF(BI$6="","",IF(WEEKDAY(BI$6,1)=1,BI58*BI57,0))</f>
      </c>
      <c r="BJ61" s="26">
        <f>IF(BJ$6="","",IF(WEEKDAY(BJ$6,1)=1,BJ58*BJ57,0))</f>
      </c>
      <c r="BK61" s="26">
        <f>IF(BK$6="","",IF(WEEKDAY(BK$6,1)=1,BK58*BK57,0))</f>
      </c>
      <c r="BL61" s="26">
        <f>IF(BL$6="","",IF(WEEKDAY(BL$6,1)=1,BL58*BL57,0))</f>
      </c>
      <c r="BM61" s="26">
        <f>IF(BM$6="","",IF(WEEKDAY(BM$6,1)=1,BM58*BM57,0))</f>
      </c>
      <c r="BN61" s="26">
        <f>IF(BN$6="","",IF(WEEKDAY(BN$6,1)=1,BN58*BN57,0))</f>
      </c>
      <c r="BO61" s="26">
        <f>IF(BO$6="","",IF(WEEKDAY(BO$6,1)=1,BO58*BO57,0))</f>
      </c>
      <c r="BP61" s="26">
        <f>IF(BP$6="","",IF(WEEKDAY(BP$6,1)=1,BP58*BP57,0))</f>
      </c>
      <c r="BQ61" s="26">
        <f>IF(BQ$6="","",IF(WEEKDAY(BQ$6,1)=1,BQ58*BQ57,0))</f>
      </c>
      <c r="BR61" s="26">
        <f>IF(BR$6="","",IF(WEEKDAY(BR$6,1)=1,BR58*BR57,0))</f>
      </c>
      <c r="BS61" s="26">
        <f>IF(BS$6="","",IF(WEEKDAY(BS$6,1)=1,BS58*BS57,0))</f>
      </c>
      <c r="BT61" s="26">
        <f>IF(BT$6="","",IF(WEEKDAY(BT$6,1)=1,BT58*BT57,0))</f>
      </c>
      <c r="BU61" s="26">
        <f>IF(BU$6="","",IF(WEEKDAY(BU$6,1)=1,BU58*BU57,0))</f>
      </c>
      <c r="BV61" s="26">
        <f>IF(BV$6="","",IF(WEEKDAY(BV$6,1)=1,BV58*BV57,0))</f>
      </c>
      <c r="BW61" s="26">
        <f>IF(BW$6="","",IF(WEEKDAY(BW$6,1)=1,BW58*BW57,0))</f>
      </c>
      <c r="BX61" s="26">
        <f>IF(BX$6="","",IF(WEEKDAY(BX$6,1)=1,BX58*BX57,0))</f>
      </c>
      <c r="BY61" s="26">
        <f>IF(BY$6="","",IF(WEEKDAY(BY$6,1)=1,BY58*BY57,0))</f>
      </c>
      <c r="BZ61" s="26">
        <f>IF(BZ$6="","",IF(WEEKDAY(BZ$6,1)=1,BZ58*BZ57,0))</f>
      </c>
      <c r="CA61" s="26">
        <f>IF(CA$6="","",IF(WEEKDAY(CA$6,1)=1,CA58*CA57,0))</f>
      </c>
      <c r="CB61" s="26">
        <f>IF(CB$6="","",IF(WEEKDAY(CB$6,1)=1,CB58*CB57,0))</f>
      </c>
      <c r="CC61" s="26">
        <f>IF(CC$6="","",IF(WEEKDAY(CC$6,1)=1,CC58*CC57,0))</f>
      </c>
      <c r="CD61" s="26">
        <f>IF(CD$6="","",IF(WEEKDAY(CD$6,1)=1,CD58*CD57,0))</f>
      </c>
      <c r="CE61" s="26">
        <f>IF(CE$6="","",IF(WEEKDAY(CE$6,1)=1,CE58*CE57,0))</f>
      </c>
      <c r="CF61" s="26">
        <f>IF(CF$6="","",IF(WEEKDAY(CF$6,1)=1,CF58*CF57,0))</f>
      </c>
      <c r="CG61" s="26">
        <f>IF(CG$6="","",IF(WEEKDAY(CG$6,1)=1,CG58*CG57,0))</f>
      </c>
      <c r="CH61" s="26">
        <f>IF(CH$6="","",IF(WEEKDAY(CH$6,1)=1,CH58*CH57,0))</f>
      </c>
      <c r="CI61" s="26">
        <f>IF(CI$6="","",IF(WEEKDAY(CI$6,1)=1,CI58*CI57,0))</f>
      </c>
      <c r="CJ61" s="26">
        <f>IF(CJ$6="","",IF(WEEKDAY(CJ$6,1)=1,CJ58*CJ57,0))</f>
      </c>
      <c r="CK61" s="26">
        <f>IF(CK$6="","",IF(WEEKDAY(CK$6,1)=1,CK58*CK57,0))</f>
      </c>
      <c r="CL61" s="26">
        <f>IF(CL$6="","",IF(WEEKDAY(CL$6,1)=1,CL58*CL57,0))</f>
      </c>
      <c r="CM61" s="26">
        <f>IF(CM$6="","",IF(WEEKDAY(CM$6,1)=1,CM58*CM57,0))</f>
      </c>
      <c r="CN61" s="26">
        <f>IF(CN$6="","",IF(WEEKDAY(CN$6,1)=1,CN58*CN57,0))</f>
      </c>
      <c r="CO61" s="26">
        <f>IF(CO$6="","",IF(WEEKDAY(CO$6,1)=1,CO58*CO57,0))</f>
      </c>
      <c r="CP61" s="26">
        <f>IF(CP$6="","",IF(WEEKDAY(CP$6,1)=1,CP58*CP57,0))</f>
      </c>
      <c r="CQ61" s="26">
        <f>IF(CQ$6="","",IF(WEEKDAY(CQ$6,1)=1,CQ58*CQ57,0))</f>
      </c>
      <c r="CR61" s="26">
        <f>IF(CR$6="","",IF(WEEKDAY(CR$6,1)=1,CR58*CR57,0))</f>
      </c>
      <c r="CS61" s="26">
        <f>IF(CS$6="","",IF(WEEKDAY(CS$6,1)=1,CS58*CS57,0))</f>
      </c>
      <c r="CT61" s="26">
        <f>IF(CT$6="","",IF(WEEKDAY(CT$6,1)=1,CT58*CT57,0))</f>
      </c>
      <c r="CU61" s="26">
        <f>IF(CU$6="","",IF(WEEKDAY(CU$6,1)=1,CU58*CU57,0))</f>
      </c>
      <c r="CV61" s="26">
        <f>IF(CV$6="","",IF(WEEKDAY(CV$6,1)=1,CV58*CV57,0))</f>
      </c>
      <c r="CW61" s="26">
        <f>IF(CW$6="","",IF(WEEKDAY(CW$6,1)=1,CW58*CW57,0))</f>
      </c>
      <c r="CX61" s="8" t="s">
        <v>54</v>
      </c>
    </row>
    <row r="62" spans="2:102" x14ac:dyDescent="0.25">
      <c r="B62" s="26">
        <f>SUM(L62:CW62)</f>
      </c>
      <c r="D62" s="27">
        <f>B62*E62</f>
      </c>
      <c r="E62" s="27">
        <v>140</v>
      </c>
      <c r="F62" s="8" t="s">
        <v>42</v>
      </c>
      <c r="L62" s="28">
        <v>0</v>
      </c>
      <c r="M62" s="28">
        <v>0</v>
      </c>
      <c r="N62" s="28">
        <v>0</v>
      </c>
      <c r="O62" s="28">
        <v>0</v>
      </c>
      <c r="P62" s="28">
        <v>0</v>
      </c>
      <c r="Q62" s="28">
        <v>0</v>
      </c>
      <c r="R62" s="28">
        <v>0</v>
      </c>
      <c r="S62" s="28">
        <v>0</v>
      </c>
      <c r="T62" s="28">
        <v>0</v>
      </c>
      <c r="U62" s="28">
        <v>0</v>
      </c>
      <c r="V62" s="28">
        <v>0</v>
      </c>
      <c r="W62" s="28">
        <v>0</v>
      </c>
      <c r="X62" s="28">
        <v>0</v>
      </c>
      <c r="Y62" s="28">
        <v>0</v>
      </c>
      <c r="Z62" s="28">
        <v>0</v>
      </c>
      <c r="AA62" s="28">
        <v>0</v>
      </c>
      <c r="AB62" s="28">
        <v>0</v>
      </c>
      <c r="AC62" s="28">
        <v>0</v>
      </c>
      <c r="AD62" s="28">
        <v>0</v>
      </c>
      <c r="AE62" s="28">
        <v>0</v>
      </c>
      <c r="AF62" s="28">
        <v>0</v>
      </c>
      <c r="AG62" s="28">
        <v>0</v>
      </c>
      <c r="AH62" s="28">
        <v>0</v>
      </c>
      <c r="AI62" s="28">
        <v>0</v>
      </c>
      <c r="AJ62" s="28">
        <v>0</v>
      </c>
      <c r="AK62" s="28">
        <v>0</v>
      </c>
      <c r="AL62" s="28">
        <v>0</v>
      </c>
      <c r="AM62" s="28">
        <v>0</v>
      </c>
      <c r="AN62" s="28">
        <v>0</v>
      </c>
      <c r="AO62" s="28">
        <v>0</v>
      </c>
      <c r="AP62" s="28">
        <v>0</v>
      </c>
      <c r="AQ62" s="28">
        <v>0</v>
      </c>
      <c r="AR62" s="28">
        <v>0</v>
      </c>
      <c r="AS62" s="28">
        <v>0</v>
      </c>
      <c r="AT62" s="28">
        <v>0</v>
      </c>
      <c r="AU62" s="28">
        <v>0</v>
      </c>
      <c r="AV62" s="28">
        <v>0</v>
      </c>
      <c r="AW62" s="28">
        <v>0</v>
      </c>
      <c r="AX62" s="28">
        <v>0</v>
      </c>
      <c r="AY62" s="28">
        <v>0</v>
      </c>
      <c r="AZ62" s="28">
        <v>0</v>
      </c>
      <c r="BA62" s="28">
        <v>0</v>
      </c>
      <c r="BB62" s="28">
        <v>0</v>
      </c>
      <c r="BC62" s="28">
        <v>0</v>
      </c>
      <c r="BD62" s="28">
        <v>0</v>
      </c>
      <c r="BE62" s="28">
        <v>0</v>
      </c>
      <c r="BF62" s="28">
        <v>0</v>
      </c>
      <c r="BG62" s="28">
        <v>0</v>
      </c>
      <c r="BH62" s="28">
        <v>0</v>
      </c>
      <c r="BI62" s="28">
        <v>1</v>
      </c>
      <c r="BJ62" s="28">
        <v>1</v>
      </c>
      <c r="BK62" s="28">
        <v>1</v>
      </c>
      <c r="BL62" s="28">
        <v>1</v>
      </c>
      <c r="BM62" s="28">
        <v>1</v>
      </c>
      <c r="BN62" s="28">
        <v>1</v>
      </c>
      <c r="BO62" s="28">
        <v>1</v>
      </c>
      <c r="BP62" s="28">
        <v>1</v>
      </c>
      <c r="BQ62" s="28">
        <v>1</v>
      </c>
      <c r="BR62" s="28">
        <v>1</v>
      </c>
      <c r="BS62" s="28">
        <v>1</v>
      </c>
      <c r="BT62" s="28">
        <v>1</v>
      </c>
      <c r="BU62" s="28">
        <v>1</v>
      </c>
      <c r="BV62" s="28">
        <v>1</v>
      </c>
      <c r="BW62" s="28">
        <v>1</v>
      </c>
      <c r="BX62" s="28">
        <v>1</v>
      </c>
      <c r="BY62" s="28">
        <v>1</v>
      </c>
      <c r="BZ62" s="28">
        <v>1</v>
      </c>
      <c r="CA62" s="28">
        <v>1</v>
      </c>
      <c r="CB62" s="28">
        <v>1</v>
      </c>
      <c r="CC62" s="28">
        <v>0</v>
      </c>
      <c r="CD62" s="28">
        <v>1</v>
      </c>
      <c r="CE62" s="28">
        <v>1</v>
      </c>
      <c r="CF62" s="28">
        <v>1</v>
      </c>
      <c r="CG62" s="28">
        <v>1</v>
      </c>
      <c r="CH62" s="28">
        <v>1</v>
      </c>
      <c r="CI62" s="28">
        <v>1</v>
      </c>
      <c r="CJ62" s="28">
        <v>1</v>
      </c>
      <c r="CK62" s="28">
        <v>1</v>
      </c>
      <c r="CL62" s="28">
        <v>1</v>
      </c>
      <c r="CM62" s="28">
        <v>1</v>
      </c>
      <c r="CN62" s="28">
        <v>1</v>
      </c>
      <c r="CO62" s="28">
        <v>1</v>
      </c>
      <c r="CP62" s="28">
        <v>1</v>
      </c>
      <c r="CQ62" s="28">
        <v>0</v>
      </c>
      <c r="CR62" s="28">
        <v>1</v>
      </c>
      <c r="CS62" s="28">
        <v>1</v>
      </c>
      <c r="CT62" s="28">
        <v>1</v>
      </c>
      <c r="CU62" s="28">
        <v>1</v>
      </c>
      <c r="CV62" s="28">
        <v>1</v>
      </c>
      <c r="CW62" s="28">
        <v>1</v>
      </c>
      <c r="CX62" s="8" t="s">
        <v>54</v>
      </c>
    </row>
    <row r="63" spans="1:102" x14ac:dyDescent="0.25">
      <c r="A63" s="20" t="s">
        <v>32</v>
      </c>
      <c r="B63" s="21">
        <f>G63+H63+I63</f>
      </c>
      <c r="C63" s="20" t="s">
        <v>55</v>
      </c>
      <c r="D63" s="22">
        <f>K63</f>
      </c>
      <c r="F63" s="20" t="s">
        <v>34</v>
      </c>
      <c r="G63" s="21">
        <f>B66</f>
      </c>
      <c r="H63" s="21">
        <f>B67</f>
      </c>
      <c r="I63" s="21">
        <f>B68</f>
      </c>
      <c r="J63" s="21">
        <f>B69</f>
      </c>
      <c r="K63" s="22">
        <f>D66+D67+D68</f>
      </c>
      <c r="CX63" s="20" t="s">
        <v>56</v>
      </c>
    </row>
    <row r="64" spans="6:102" x14ac:dyDescent="0.25">
      <c r="F64" s="23" t="s">
        <v>36</v>
      </c>
      <c r="L64" s="24">
        <v>2</v>
      </c>
      <c r="M64" s="24">
        <v>2</v>
      </c>
      <c r="N64" s="24">
        <v>2</v>
      </c>
      <c r="O64" s="24">
        <v>2</v>
      </c>
      <c r="P64" s="24">
        <v>2</v>
      </c>
      <c r="Q64" s="24">
        <v>0</v>
      </c>
      <c r="R64" s="24">
        <v>0</v>
      </c>
      <c r="S64" s="24">
        <v>2</v>
      </c>
      <c r="T64" s="24">
        <v>2</v>
      </c>
      <c r="U64" s="24">
        <v>2</v>
      </c>
      <c r="V64" s="24">
        <v>2</v>
      </c>
      <c r="W64" s="24">
        <v>2</v>
      </c>
      <c r="X64" s="24">
        <v>0</v>
      </c>
      <c r="Y64" s="24">
        <v>0</v>
      </c>
      <c r="Z64" s="24">
        <v>1</v>
      </c>
      <c r="AA64" s="24">
        <v>1</v>
      </c>
      <c r="AB64" s="24">
        <v>1</v>
      </c>
      <c r="AC64" s="24">
        <v>1</v>
      </c>
      <c r="AD64" s="24">
        <v>1</v>
      </c>
      <c r="AE64" s="24">
        <v>0</v>
      </c>
      <c r="AF64" s="24">
        <v>0</v>
      </c>
      <c r="AG64" s="24">
        <v>1</v>
      </c>
      <c r="AH64" s="24">
        <v>1</v>
      </c>
      <c r="AI64" s="24">
        <v>1</v>
      </c>
      <c r="AJ64" s="24">
        <v>1</v>
      </c>
      <c r="AK64" s="24">
        <v>1</v>
      </c>
      <c r="AL64" s="24">
        <v>0</v>
      </c>
      <c r="AM64" s="24">
        <v>0</v>
      </c>
      <c r="AN64" s="24">
        <v>1</v>
      </c>
      <c r="AO64" s="24">
        <v>1</v>
      </c>
      <c r="AP64" s="24">
        <v>1</v>
      </c>
      <c r="AQ64" s="24">
        <v>1</v>
      </c>
      <c r="AR64" s="24">
        <v>1</v>
      </c>
      <c r="AS64" s="24">
        <v>0</v>
      </c>
      <c r="AT64" s="24">
        <v>0</v>
      </c>
      <c r="AU64" s="24">
        <v>1</v>
      </c>
      <c r="AV64" s="24">
        <v>1</v>
      </c>
      <c r="AW64" s="24">
        <v>1</v>
      </c>
      <c r="AX64" s="24">
        <v>1</v>
      </c>
      <c r="AY64" s="24">
        <v>1</v>
      </c>
      <c r="AZ64" s="24">
        <v>0</v>
      </c>
      <c r="BA64" s="24">
        <v>0</v>
      </c>
      <c r="BB64" s="24">
        <v>1</v>
      </c>
      <c r="BC64" s="24">
        <v>1</v>
      </c>
      <c r="BD64" s="24">
        <v>1</v>
      </c>
      <c r="BE64" s="24">
        <v>1</v>
      </c>
      <c r="BF64" s="24">
        <v>1</v>
      </c>
      <c r="BG64" s="24">
        <v>0</v>
      </c>
      <c r="BH64" s="24">
        <v>0</v>
      </c>
      <c r="BI64" s="24">
        <v>7</v>
      </c>
      <c r="BJ64" s="24">
        <v>7</v>
      </c>
      <c r="BK64" s="24">
        <v>7</v>
      </c>
      <c r="BL64" s="24">
        <v>7</v>
      </c>
      <c r="BM64" s="24">
        <v>7</v>
      </c>
      <c r="BN64" s="24">
        <v>7</v>
      </c>
      <c r="BO64" s="24">
        <v>7</v>
      </c>
      <c r="BP64" s="24">
        <v>7</v>
      </c>
      <c r="BQ64" s="24">
        <v>7</v>
      </c>
      <c r="BR64" s="24">
        <v>7</v>
      </c>
      <c r="BS64" s="24">
        <v>7</v>
      </c>
      <c r="BT64" s="24">
        <v>7</v>
      </c>
      <c r="BU64" s="24">
        <v>7</v>
      </c>
      <c r="BV64" s="24">
        <v>7</v>
      </c>
      <c r="BW64" s="24">
        <v>7</v>
      </c>
      <c r="BX64" s="24">
        <v>7</v>
      </c>
      <c r="BY64" s="24">
        <v>7</v>
      </c>
      <c r="BZ64" s="24">
        <v>7</v>
      </c>
      <c r="CA64" s="24">
        <v>7</v>
      </c>
      <c r="CB64" s="24">
        <v>7</v>
      </c>
      <c r="CC64" s="24">
        <v>7</v>
      </c>
      <c r="CD64" s="24">
        <v>7</v>
      </c>
      <c r="CE64" s="24">
        <v>7</v>
      </c>
      <c r="CF64" s="24">
        <v>7</v>
      </c>
      <c r="CG64" s="24">
        <v>7</v>
      </c>
      <c r="CH64" s="24">
        <v>7</v>
      </c>
      <c r="CI64" s="24">
        <v>7</v>
      </c>
      <c r="CJ64" s="24">
        <v>7</v>
      </c>
      <c r="CK64" s="24">
        <v>7</v>
      </c>
      <c r="CL64" s="24">
        <v>7</v>
      </c>
      <c r="CM64" s="24">
        <v>7</v>
      </c>
      <c r="CN64" s="24">
        <v>7</v>
      </c>
      <c r="CO64" s="24">
        <v>7</v>
      </c>
      <c r="CP64" s="24">
        <v>7</v>
      </c>
      <c r="CQ64" s="24">
        <v>7</v>
      </c>
      <c r="CR64" s="24">
        <v>7</v>
      </c>
      <c r="CS64" s="24">
        <v>7</v>
      </c>
      <c r="CT64" s="24">
        <v>7</v>
      </c>
      <c r="CU64" s="24">
        <v>7</v>
      </c>
      <c r="CV64" s="24">
        <v>7</v>
      </c>
      <c r="CW64" s="24">
        <v>7</v>
      </c>
      <c r="CX64" s="23" t="s">
        <v>56</v>
      </c>
    </row>
    <row r="65" spans="1:102" x14ac:dyDescent="0.25">
      <c r="A65" s="23" t="s">
        <v>37</v>
      </c>
      <c r="F65" s="23" t="s">
        <v>38</v>
      </c>
      <c r="L65" s="25">
        <v>9</v>
      </c>
      <c r="M65" s="25">
        <v>9</v>
      </c>
      <c r="N65" s="25">
        <v>9</v>
      </c>
      <c r="O65" s="25">
        <v>9</v>
      </c>
      <c r="P65" s="25">
        <v>9</v>
      </c>
      <c r="Q65" s="25">
        <v>0</v>
      </c>
      <c r="R65" s="25">
        <v>0</v>
      </c>
      <c r="S65" s="25">
        <v>9</v>
      </c>
      <c r="T65" s="25">
        <v>9</v>
      </c>
      <c r="U65" s="25">
        <v>9</v>
      </c>
      <c r="V65" s="25">
        <v>9</v>
      </c>
      <c r="W65" s="25">
        <v>9</v>
      </c>
      <c r="X65" s="25">
        <v>0</v>
      </c>
      <c r="Y65" s="25">
        <v>0</v>
      </c>
      <c r="Z65" s="25">
        <v>9</v>
      </c>
      <c r="AA65" s="25">
        <v>9</v>
      </c>
      <c r="AB65" s="25">
        <v>9</v>
      </c>
      <c r="AC65" s="25">
        <v>9</v>
      </c>
      <c r="AD65" s="25">
        <v>9</v>
      </c>
      <c r="AE65" s="25">
        <v>0</v>
      </c>
      <c r="AF65" s="25">
        <v>0</v>
      </c>
      <c r="AG65" s="25">
        <v>9</v>
      </c>
      <c r="AH65" s="25">
        <v>9</v>
      </c>
      <c r="AI65" s="25">
        <v>9</v>
      </c>
      <c r="AJ65" s="25">
        <v>9</v>
      </c>
      <c r="AK65" s="25">
        <v>9</v>
      </c>
      <c r="AL65" s="25">
        <v>0</v>
      </c>
      <c r="AM65" s="25">
        <v>0</v>
      </c>
      <c r="AN65" s="25">
        <v>9</v>
      </c>
      <c r="AO65" s="25">
        <v>9</v>
      </c>
      <c r="AP65" s="25">
        <v>9</v>
      </c>
      <c r="AQ65" s="25">
        <v>9</v>
      </c>
      <c r="AR65" s="25">
        <v>9</v>
      </c>
      <c r="AS65" s="25">
        <v>0</v>
      </c>
      <c r="AT65" s="25">
        <v>0</v>
      </c>
      <c r="AU65" s="25">
        <v>9</v>
      </c>
      <c r="AV65" s="25">
        <v>9</v>
      </c>
      <c r="AW65" s="25">
        <v>9</v>
      </c>
      <c r="AX65" s="25">
        <v>9</v>
      </c>
      <c r="AY65" s="25">
        <v>9</v>
      </c>
      <c r="AZ65" s="25">
        <v>0</v>
      </c>
      <c r="BA65" s="25">
        <v>0</v>
      </c>
      <c r="BB65" s="25">
        <v>9</v>
      </c>
      <c r="BC65" s="25">
        <v>9</v>
      </c>
      <c r="BD65" s="25">
        <v>9</v>
      </c>
      <c r="BE65" s="25">
        <v>9</v>
      </c>
      <c r="BF65" s="25">
        <v>9</v>
      </c>
      <c r="BG65" s="25">
        <v>0</v>
      </c>
      <c r="BH65" s="25">
        <v>0</v>
      </c>
      <c r="BI65" s="25">
        <v>13</v>
      </c>
      <c r="BJ65" s="25">
        <v>13</v>
      </c>
      <c r="BK65" s="25">
        <v>13</v>
      </c>
      <c r="BL65" s="25">
        <v>13</v>
      </c>
      <c r="BM65" s="25">
        <v>13</v>
      </c>
      <c r="BN65" s="25">
        <v>13</v>
      </c>
      <c r="BO65" s="25">
        <v>13</v>
      </c>
      <c r="BP65" s="25">
        <v>13</v>
      </c>
      <c r="BQ65" s="25">
        <v>13</v>
      </c>
      <c r="BR65" s="25">
        <v>13</v>
      </c>
      <c r="BS65" s="25">
        <v>13</v>
      </c>
      <c r="BT65" s="25">
        <v>13</v>
      </c>
      <c r="BU65" s="25">
        <v>13</v>
      </c>
      <c r="BV65" s="25">
        <v>13</v>
      </c>
      <c r="BW65" s="25">
        <v>13</v>
      </c>
      <c r="BX65" s="25">
        <v>13</v>
      </c>
      <c r="BY65" s="25">
        <v>13</v>
      </c>
      <c r="BZ65" s="25">
        <v>13</v>
      </c>
      <c r="CA65" s="25">
        <v>13</v>
      </c>
      <c r="CB65" s="25">
        <v>13</v>
      </c>
      <c r="CC65" s="25">
        <v>13</v>
      </c>
      <c r="CD65" s="25">
        <v>13</v>
      </c>
      <c r="CE65" s="25">
        <v>13</v>
      </c>
      <c r="CF65" s="25">
        <v>13</v>
      </c>
      <c r="CG65" s="25">
        <v>13</v>
      </c>
      <c r="CH65" s="25">
        <v>13</v>
      </c>
      <c r="CI65" s="25">
        <v>13</v>
      </c>
      <c r="CJ65" s="25">
        <v>13</v>
      </c>
      <c r="CK65" s="25">
        <v>13</v>
      </c>
      <c r="CL65" s="25">
        <v>13</v>
      </c>
      <c r="CM65" s="25">
        <v>13</v>
      </c>
      <c r="CN65" s="25">
        <v>13</v>
      </c>
      <c r="CO65" s="25">
        <v>13</v>
      </c>
      <c r="CP65" s="25">
        <v>13</v>
      </c>
      <c r="CQ65" s="25">
        <v>13</v>
      </c>
      <c r="CR65" s="25">
        <v>13</v>
      </c>
      <c r="CS65" s="25">
        <v>13</v>
      </c>
      <c r="CT65" s="25">
        <v>13</v>
      </c>
      <c r="CU65" s="25">
        <v>13</v>
      </c>
      <c r="CV65" s="25">
        <v>13</v>
      </c>
      <c r="CW65" s="25">
        <v>13</v>
      </c>
      <c r="CX65" s="23" t="s">
        <v>56</v>
      </c>
    </row>
    <row r="66" spans="2:102" x14ac:dyDescent="0.25">
      <c r="B66" s="26">
        <f>SUM(L66:CW66)</f>
      </c>
      <c r="D66" s="27">
        <f>B66*E66</f>
      </c>
      <c r="E66" s="27">
        <f>'Rate Tables'!C12</f>
      </c>
      <c r="F66" s="8" t="s">
        <v>39</v>
      </c>
      <c r="L66" s="26">
        <f>IF(L$6="","",IF(WEEKDAY(L$6,1)=1,0,MIN(8,L65)*L64))</f>
      </c>
      <c r="M66" s="26">
        <f>IF(M$6="","",IF(WEEKDAY(M$6,1)=1,0,MIN(8,M65)*M64))</f>
      </c>
      <c r="N66" s="26">
        <f>IF(N$6="","",IF(WEEKDAY(N$6,1)=1,0,MIN(8,N65)*N64))</f>
      </c>
      <c r="O66" s="26">
        <f>IF(O$6="","",IF(WEEKDAY(O$6,1)=1,0,MIN(8,O65)*O64))</f>
      </c>
      <c r="P66" s="26">
        <f>IF(P$6="","",IF(WEEKDAY(P$6,1)=1,0,MIN(8,P65)*P64))</f>
      </c>
      <c r="Q66" s="26">
        <f>IF(Q$6="","",IF(WEEKDAY(Q$6,1)=1,0,MIN(8,Q65)*Q64))</f>
      </c>
      <c r="R66" s="26">
        <f>IF(R$6="","",IF(WEEKDAY(R$6,1)=1,0,MIN(8,R65)*R64))</f>
      </c>
      <c r="S66" s="26">
        <f>IF(S$6="","",IF(WEEKDAY(S$6,1)=1,0,MIN(8,S65)*S64))</f>
      </c>
      <c r="T66" s="26">
        <f>IF(T$6="","",IF(WEEKDAY(T$6,1)=1,0,MIN(8,T65)*T64))</f>
      </c>
      <c r="U66" s="26">
        <f>IF(U$6="","",IF(WEEKDAY(U$6,1)=1,0,MIN(8,U65)*U64))</f>
      </c>
      <c r="V66" s="26">
        <f>IF(V$6="","",IF(WEEKDAY(V$6,1)=1,0,MIN(8,V65)*V64))</f>
      </c>
      <c r="W66" s="26">
        <f>IF(W$6="","",IF(WEEKDAY(W$6,1)=1,0,MIN(8,W65)*W64))</f>
      </c>
      <c r="X66" s="26">
        <f>IF(X$6="","",IF(WEEKDAY(X$6,1)=1,0,MIN(8,X65)*X64))</f>
      </c>
      <c r="Y66" s="26">
        <f>IF(Y$6="","",IF(WEEKDAY(Y$6,1)=1,0,MIN(8,Y65)*Y64))</f>
      </c>
      <c r="Z66" s="26">
        <f>IF(Z$6="","",IF(WEEKDAY(Z$6,1)=1,0,MIN(8,Z65)*Z64))</f>
      </c>
      <c r="AA66" s="26">
        <f>IF(AA$6="","",IF(WEEKDAY(AA$6,1)=1,0,MIN(8,AA65)*AA64))</f>
      </c>
      <c r="AB66" s="26">
        <f>IF(AB$6="","",IF(WEEKDAY(AB$6,1)=1,0,MIN(8,AB65)*AB64))</f>
      </c>
      <c r="AC66" s="26">
        <f>IF(AC$6="","",IF(WEEKDAY(AC$6,1)=1,0,MIN(8,AC65)*AC64))</f>
      </c>
      <c r="AD66" s="26">
        <f>IF(AD$6="","",IF(WEEKDAY(AD$6,1)=1,0,MIN(8,AD65)*AD64))</f>
      </c>
      <c r="AE66" s="26">
        <f>IF(AE$6="","",IF(WEEKDAY(AE$6,1)=1,0,MIN(8,AE65)*AE64))</f>
      </c>
      <c r="AF66" s="26">
        <f>IF(AF$6="","",IF(WEEKDAY(AF$6,1)=1,0,MIN(8,AF65)*AF64))</f>
      </c>
      <c r="AG66" s="26">
        <f>IF(AG$6="","",IF(WEEKDAY(AG$6,1)=1,0,MIN(8,AG65)*AG64))</f>
      </c>
      <c r="AH66" s="26">
        <f>IF(AH$6="","",IF(WEEKDAY(AH$6,1)=1,0,MIN(8,AH65)*AH64))</f>
      </c>
      <c r="AI66" s="26">
        <f>IF(AI$6="","",IF(WEEKDAY(AI$6,1)=1,0,MIN(8,AI65)*AI64))</f>
      </c>
      <c r="AJ66" s="26">
        <f>IF(AJ$6="","",IF(WEEKDAY(AJ$6,1)=1,0,MIN(8,AJ65)*AJ64))</f>
      </c>
      <c r="AK66" s="26">
        <f>IF(AK$6="","",IF(WEEKDAY(AK$6,1)=1,0,MIN(8,AK65)*AK64))</f>
      </c>
      <c r="AL66" s="26">
        <f>IF(AL$6="","",IF(WEEKDAY(AL$6,1)=1,0,MIN(8,AL65)*AL64))</f>
      </c>
      <c r="AM66" s="26">
        <f>IF(AM$6="","",IF(WEEKDAY(AM$6,1)=1,0,MIN(8,AM65)*AM64))</f>
      </c>
      <c r="AN66" s="26">
        <f>IF(AN$6="","",IF(WEEKDAY(AN$6,1)=1,0,MIN(8,AN65)*AN64))</f>
      </c>
      <c r="AO66" s="26">
        <f>IF(AO$6="","",IF(WEEKDAY(AO$6,1)=1,0,MIN(8,AO65)*AO64))</f>
      </c>
      <c r="AP66" s="26">
        <f>IF(AP$6="","",IF(WEEKDAY(AP$6,1)=1,0,MIN(8,AP65)*AP64))</f>
      </c>
      <c r="AQ66" s="26">
        <f>IF(AQ$6="","",IF(WEEKDAY(AQ$6,1)=1,0,MIN(8,AQ65)*AQ64))</f>
      </c>
      <c r="AR66" s="26">
        <f>IF(AR$6="","",IF(WEEKDAY(AR$6,1)=1,0,MIN(8,AR65)*AR64))</f>
      </c>
      <c r="AS66" s="26">
        <f>IF(AS$6="","",IF(WEEKDAY(AS$6,1)=1,0,MIN(8,AS65)*AS64))</f>
      </c>
      <c r="AT66" s="26">
        <f>IF(AT$6="","",IF(WEEKDAY(AT$6,1)=1,0,MIN(8,AT65)*AT64))</f>
      </c>
      <c r="AU66" s="26">
        <f>IF(AU$6="","",IF(WEEKDAY(AU$6,1)=1,0,MIN(8,AU65)*AU64))</f>
      </c>
      <c r="AV66" s="26">
        <f>IF(AV$6="","",IF(WEEKDAY(AV$6,1)=1,0,MIN(8,AV65)*AV64))</f>
      </c>
      <c r="AW66" s="26">
        <f>IF(AW$6="","",IF(WEEKDAY(AW$6,1)=1,0,MIN(8,AW65)*AW64))</f>
      </c>
      <c r="AX66" s="26">
        <f>IF(AX$6="","",IF(WEEKDAY(AX$6,1)=1,0,MIN(8,AX65)*AX64))</f>
      </c>
      <c r="AY66" s="26">
        <f>IF(AY$6="","",IF(WEEKDAY(AY$6,1)=1,0,MIN(8,AY65)*AY64))</f>
      </c>
      <c r="AZ66" s="26">
        <f>IF(AZ$6="","",IF(WEEKDAY(AZ$6,1)=1,0,MIN(8,AZ65)*AZ64))</f>
      </c>
      <c r="BA66" s="26">
        <f>IF(BA$6="","",IF(WEEKDAY(BA$6,1)=1,0,MIN(8,BA65)*BA64))</f>
      </c>
      <c r="BB66" s="26">
        <f>IF(BB$6="","",IF(WEEKDAY(BB$6,1)=1,0,MIN(8,BB65)*BB64))</f>
      </c>
      <c r="BC66" s="26">
        <f>IF(BC$6="","",IF(WEEKDAY(BC$6,1)=1,0,MIN(8,BC65)*BC64))</f>
      </c>
      <c r="BD66" s="26">
        <f>IF(BD$6="","",IF(WEEKDAY(BD$6,1)=1,0,MIN(8,BD65)*BD64))</f>
      </c>
      <c r="BE66" s="26">
        <f>IF(BE$6="","",IF(WEEKDAY(BE$6,1)=1,0,MIN(8,BE65)*BE64))</f>
      </c>
      <c r="BF66" s="26">
        <f>IF(BF$6="","",IF(WEEKDAY(BF$6,1)=1,0,MIN(8,BF65)*BF64))</f>
      </c>
      <c r="BG66" s="26">
        <f>IF(BG$6="","",IF(WEEKDAY(BG$6,1)=1,0,MIN(8,BG65)*BG64))</f>
      </c>
      <c r="BH66" s="26">
        <f>IF(BH$6="","",IF(WEEKDAY(BH$6,1)=1,0,MIN(8,BH65)*BH64))</f>
      </c>
      <c r="BI66" s="26">
        <f>IF(BI$6="","",IF(WEEKDAY(BI$6,1)=1,0,MIN(8,BI65)*BI64))</f>
      </c>
      <c r="BJ66" s="26">
        <f>IF(BJ$6="","",IF(WEEKDAY(BJ$6,1)=1,0,MIN(8,BJ65)*BJ64))</f>
      </c>
      <c r="BK66" s="26">
        <f>IF(BK$6="","",IF(WEEKDAY(BK$6,1)=1,0,MIN(8,BK65)*BK64))</f>
      </c>
      <c r="BL66" s="26">
        <f>IF(BL$6="","",IF(WEEKDAY(BL$6,1)=1,0,MIN(8,BL65)*BL64))</f>
      </c>
      <c r="BM66" s="26">
        <f>IF(BM$6="","",IF(WEEKDAY(BM$6,1)=1,0,MIN(8,BM65)*BM64))</f>
      </c>
      <c r="BN66" s="26">
        <f>IF(BN$6="","",IF(WEEKDAY(BN$6,1)=1,0,MIN(8,BN65)*BN64))</f>
      </c>
      <c r="BO66" s="26">
        <f>IF(BO$6="","",IF(WEEKDAY(BO$6,1)=1,0,MIN(8,BO65)*BO64))</f>
      </c>
      <c r="BP66" s="26">
        <f>IF(BP$6="","",IF(WEEKDAY(BP$6,1)=1,0,MIN(8,BP65)*BP64))</f>
      </c>
      <c r="BQ66" s="26">
        <f>IF(BQ$6="","",IF(WEEKDAY(BQ$6,1)=1,0,MIN(8,BQ65)*BQ64))</f>
      </c>
      <c r="BR66" s="26">
        <f>IF(BR$6="","",IF(WEEKDAY(BR$6,1)=1,0,MIN(8,BR65)*BR64))</f>
      </c>
      <c r="BS66" s="26">
        <f>IF(BS$6="","",IF(WEEKDAY(BS$6,1)=1,0,MIN(8,BS65)*BS64))</f>
      </c>
      <c r="BT66" s="26">
        <f>IF(BT$6="","",IF(WEEKDAY(BT$6,1)=1,0,MIN(8,BT65)*BT64))</f>
      </c>
      <c r="BU66" s="26">
        <f>IF(BU$6="","",IF(WEEKDAY(BU$6,1)=1,0,MIN(8,BU65)*BU64))</f>
      </c>
      <c r="BV66" s="26">
        <f>IF(BV$6="","",IF(WEEKDAY(BV$6,1)=1,0,MIN(8,BV65)*BV64))</f>
      </c>
      <c r="BW66" s="26">
        <f>IF(BW$6="","",IF(WEEKDAY(BW$6,1)=1,0,MIN(8,BW65)*BW64))</f>
      </c>
      <c r="BX66" s="26">
        <f>IF(BX$6="","",IF(WEEKDAY(BX$6,1)=1,0,MIN(8,BX65)*BX64))</f>
      </c>
      <c r="BY66" s="26">
        <f>IF(BY$6="","",IF(WEEKDAY(BY$6,1)=1,0,MIN(8,BY65)*BY64))</f>
      </c>
      <c r="BZ66" s="26">
        <f>IF(BZ$6="","",IF(WEEKDAY(BZ$6,1)=1,0,MIN(8,BZ65)*BZ64))</f>
      </c>
      <c r="CA66" s="26">
        <f>IF(CA$6="","",IF(WEEKDAY(CA$6,1)=1,0,MIN(8,CA65)*CA64))</f>
      </c>
      <c r="CB66" s="26">
        <f>IF(CB$6="","",IF(WEEKDAY(CB$6,1)=1,0,MIN(8,CB65)*CB64))</f>
      </c>
      <c r="CC66" s="26">
        <f>IF(CC$6="","",IF(WEEKDAY(CC$6,1)=1,0,MIN(8,CC65)*CC64))</f>
      </c>
      <c r="CD66" s="26">
        <f>IF(CD$6="","",IF(WEEKDAY(CD$6,1)=1,0,MIN(8,CD65)*CD64))</f>
      </c>
      <c r="CE66" s="26">
        <f>IF(CE$6="","",IF(WEEKDAY(CE$6,1)=1,0,MIN(8,CE65)*CE64))</f>
      </c>
      <c r="CF66" s="26">
        <f>IF(CF$6="","",IF(WEEKDAY(CF$6,1)=1,0,MIN(8,CF65)*CF64))</f>
      </c>
      <c r="CG66" s="26">
        <f>IF(CG$6="","",IF(WEEKDAY(CG$6,1)=1,0,MIN(8,CG65)*CG64))</f>
      </c>
      <c r="CH66" s="26">
        <f>IF(CH$6="","",IF(WEEKDAY(CH$6,1)=1,0,MIN(8,CH65)*CH64))</f>
      </c>
      <c r="CI66" s="26">
        <f>IF(CI$6="","",IF(WEEKDAY(CI$6,1)=1,0,MIN(8,CI65)*CI64))</f>
      </c>
      <c r="CJ66" s="26">
        <f>IF(CJ$6="","",IF(WEEKDAY(CJ$6,1)=1,0,MIN(8,CJ65)*CJ64))</f>
      </c>
      <c r="CK66" s="26">
        <f>IF(CK$6="","",IF(WEEKDAY(CK$6,1)=1,0,MIN(8,CK65)*CK64))</f>
      </c>
      <c r="CL66" s="26">
        <f>IF(CL$6="","",IF(WEEKDAY(CL$6,1)=1,0,MIN(8,CL65)*CL64))</f>
      </c>
      <c r="CM66" s="26">
        <f>IF(CM$6="","",IF(WEEKDAY(CM$6,1)=1,0,MIN(8,CM65)*CM64))</f>
      </c>
      <c r="CN66" s="26">
        <f>IF(CN$6="","",IF(WEEKDAY(CN$6,1)=1,0,MIN(8,CN65)*CN64))</f>
      </c>
      <c r="CO66" s="26">
        <f>IF(CO$6="","",IF(WEEKDAY(CO$6,1)=1,0,MIN(8,CO65)*CO64))</f>
      </c>
      <c r="CP66" s="26">
        <f>IF(CP$6="","",IF(WEEKDAY(CP$6,1)=1,0,MIN(8,CP65)*CP64))</f>
      </c>
      <c r="CQ66" s="26">
        <f>IF(CQ$6="","",IF(WEEKDAY(CQ$6,1)=1,0,MIN(8,CQ65)*CQ64))</f>
      </c>
      <c r="CR66" s="26">
        <f>IF(CR$6="","",IF(WEEKDAY(CR$6,1)=1,0,MIN(8,CR65)*CR64))</f>
      </c>
      <c r="CS66" s="26">
        <f>IF(CS$6="","",IF(WEEKDAY(CS$6,1)=1,0,MIN(8,CS65)*CS64))</f>
      </c>
      <c r="CT66" s="26">
        <f>IF(CT$6="","",IF(WEEKDAY(CT$6,1)=1,0,MIN(8,CT65)*CT64))</f>
      </c>
      <c r="CU66" s="26">
        <f>IF(CU$6="","",IF(WEEKDAY(CU$6,1)=1,0,MIN(8,CU65)*CU64))</f>
      </c>
      <c r="CV66" s="26">
        <f>IF(CV$6="","",IF(WEEKDAY(CV$6,1)=1,0,MIN(8,CV65)*CV64))</f>
      </c>
      <c r="CW66" s="26">
        <f>IF(CW$6="","",IF(WEEKDAY(CW$6,1)=1,0,MIN(8,CW65)*CW64))</f>
      </c>
      <c r="CX66" s="8" t="s">
        <v>56</v>
      </c>
    </row>
    <row r="67" spans="2:102" x14ac:dyDescent="0.25">
      <c r="B67" s="26">
        <f>SUM(L67:CW67)</f>
      </c>
      <c r="D67" s="27">
        <f>B67*E67</f>
      </c>
      <c r="E67" s="27">
        <f>'Rate Tables'!D12</f>
      </c>
      <c r="F67" s="8" t="s">
        <v>40</v>
      </c>
      <c r="L67" s="26">
        <f>IF(L$6="","",IF(WEEKDAY(L$6,1)=1,0,MAX(0,L65-8)*L64))</f>
      </c>
      <c r="M67" s="26">
        <f>IF(M$6="","",IF(WEEKDAY(M$6,1)=1,0,MAX(0,M65-8)*M64))</f>
      </c>
      <c r="N67" s="26">
        <f>IF(N$6="","",IF(WEEKDAY(N$6,1)=1,0,MAX(0,N65-8)*N64))</f>
      </c>
      <c r="O67" s="26">
        <f>IF(O$6="","",IF(WEEKDAY(O$6,1)=1,0,MAX(0,O65-8)*O64))</f>
      </c>
      <c r="P67" s="26">
        <f>IF(P$6="","",IF(WEEKDAY(P$6,1)=1,0,MAX(0,P65-8)*P64))</f>
      </c>
      <c r="Q67" s="26">
        <f>IF(Q$6="","",IF(WEEKDAY(Q$6,1)=1,0,MAX(0,Q65-8)*Q64))</f>
      </c>
      <c r="R67" s="26">
        <f>IF(R$6="","",IF(WEEKDAY(R$6,1)=1,0,MAX(0,R65-8)*R64))</f>
      </c>
      <c r="S67" s="26">
        <f>IF(S$6="","",IF(WEEKDAY(S$6,1)=1,0,MAX(0,S65-8)*S64))</f>
      </c>
      <c r="T67" s="26">
        <f>IF(T$6="","",IF(WEEKDAY(T$6,1)=1,0,MAX(0,T65-8)*T64))</f>
      </c>
      <c r="U67" s="26">
        <f>IF(U$6="","",IF(WEEKDAY(U$6,1)=1,0,MAX(0,U65-8)*U64))</f>
      </c>
      <c r="V67" s="26">
        <f>IF(V$6="","",IF(WEEKDAY(V$6,1)=1,0,MAX(0,V65-8)*V64))</f>
      </c>
      <c r="W67" s="26">
        <f>IF(W$6="","",IF(WEEKDAY(W$6,1)=1,0,MAX(0,W65-8)*W64))</f>
      </c>
      <c r="X67" s="26">
        <f>IF(X$6="","",IF(WEEKDAY(X$6,1)=1,0,MAX(0,X65-8)*X64))</f>
      </c>
      <c r="Y67" s="26">
        <f>IF(Y$6="","",IF(WEEKDAY(Y$6,1)=1,0,MAX(0,Y65-8)*Y64))</f>
      </c>
      <c r="Z67" s="26">
        <f>IF(Z$6="","",IF(WEEKDAY(Z$6,1)=1,0,MAX(0,Z65-8)*Z64))</f>
      </c>
      <c r="AA67" s="26">
        <f>IF(AA$6="","",IF(WEEKDAY(AA$6,1)=1,0,MAX(0,AA65-8)*AA64))</f>
      </c>
      <c r="AB67" s="26">
        <f>IF(AB$6="","",IF(WEEKDAY(AB$6,1)=1,0,MAX(0,AB65-8)*AB64))</f>
      </c>
      <c r="AC67" s="26">
        <f>IF(AC$6="","",IF(WEEKDAY(AC$6,1)=1,0,MAX(0,AC65-8)*AC64))</f>
      </c>
      <c r="AD67" s="26">
        <f>IF(AD$6="","",IF(WEEKDAY(AD$6,1)=1,0,MAX(0,AD65-8)*AD64))</f>
      </c>
      <c r="AE67" s="26">
        <f>IF(AE$6="","",IF(WEEKDAY(AE$6,1)=1,0,MAX(0,AE65-8)*AE64))</f>
      </c>
      <c r="AF67" s="26">
        <f>IF(AF$6="","",IF(WEEKDAY(AF$6,1)=1,0,MAX(0,AF65-8)*AF64))</f>
      </c>
      <c r="AG67" s="26">
        <f>IF(AG$6="","",IF(WEEKDAY(AG$6,1)=1,0,MAX(0,AG65-8)*AG64))</f>
      </c>
      <c r="AH67" s="26">
        <f>IF(AH$6="","",IF(WEEKDAY(AH$6,1)=1,0,MAX(0,AH65-8)*AH64))</f>
      </c>
      <c r="AI67" s="26">
        <f>IF(AI$6="","",IF(WEEKDAY(AI$6,1)=1,0,MAX(0,AI65-8)*AI64))</f>
      </c>
      <c r="AJ67" s="26">
        <f>IF(AJ$6="","",IF(WEEKDAY(AJ$6,1)=1,0,MAX(0,AJ65-8)*AJ64))</f>
      </c>
      <c r="AK67" s="26">
        <f>IF(AK$6="","",IF(WEEKDAY(AK$6,1)=1,0,MAX(0,AK65-8)*AK64))</f>
      </c>
      <c r="AL67" s="26">
        <f>IF(AL$6="","",IF(WEEKDAY(AL$6,1)=1,0,MAX(0,AL65-8)*AL64))</f>
      </c>
      <c r="AM67" s="26">
        <f>IF(AM$6="","",IF(WEEKDAY(AM$6,1)=1,0,MAX(0,AM65-8)*AM64))</f>
      </c>
      <c r="AN67" s="26">
        <f>IF(AN$6="","",IF(WEEKDAY(AN$6,1)=1,0,MAX(0,AN65-8)*AN64))</f>
      </c>
      <c r="AO67" s="26">
        <f>IF(AO$6="","",IF(WEEKDAY(AO$6,1)=1,0,MAX(0,AO65-8)*AO64))</f>
      </c>
      <c r="AP67" s="26">
        <f>IF(AP$6="","",IF(WEEKDAY(AP$6,1)=1,0,MAX(0,AP65-8)*AP64))</f>
      </c>
      <c r="AQ67" s="26">
        <f>IF(AQ$6="","",IF(WEEKDAY(AQ$6,1)=1,0,MAX(0,AQ65-8)*AQ64))</f>
      </c>
      <c r="AR67" s="26">
        <f>IF(AR$6="","",IF(WEEKDAY(AR$6,1)=1,0,MAX(0,AR65-8)*AR64))</f>
      </c>
      <c r="AS67" s="26">
        <f>IF(AS$6="","",IF(WEEKDAY(AS$6,1)=1,0,MAX(0,AS65-8)*AS64))</f>
      </c>
      <c r="AT67" s="26">
        <f>IF(AT$6="","",IF(WEEKDAY(AT$6,1)=1,0,MAX(0,AT65-8)*AT64))</f>
      </c>
      <c r="AU67" s="26">
        <f>IF(AU$6="","",IF(WEEKDAY(AU$6,1)=1,0,MAX(0,AU65-8)*AU64))</f>
      </c>
      <c r="AV67" s="26">
        <f>IF(AV$6="","",IF(WEEKDAY(AV$6,1)=1,0,MAX(0,AV65-8)*AV64))</f>
      </c>
      <c r="AW67" s="26">
        <f>IF(AW$6="","",IF(WEEKDAY(AW$6,1)=1,0,MAX(0,AW65-8)*AW64))</f>
      </c>
      <c r="AX67" s="26">
        <f>IF(AX$6="","",IF(WEEKDAY(AX$6,1)=1,0,MAX(0,AX65-8)*AX64))</f>
      </c>
      <c r="AY67" s="26">
        <f>IF(AY$6="","",IF(WEEKDAY(AY$6,1)=1,0,MAX(0,AY65-8)*AY64))</f>
      </c>
      <c r="AZ67" s="26">
        <f>IF(AZ$6="","",IF(WEEKDAY(AZ$6,1)=1,0,MAX(0,AZ65-8)*AZ64))</f>
      </c>
      <c r="BA67" s="26">
        <f>IF(BA$6="","",IF(WEEKDAY(BA$6,1)=1,0,MAX(0,BA65-8)*BA64))</f>
      </c>
      <c r="BB67" s="26">
        <f>IF(BB$6="","",IF(WEEKDAY(BB$6,1)=1,0,MAX(0,BB65-8)*BB64))</f>
      </c>
      <c r="BC67" s="26">
        <f>IF(BC$6="","",IF(WEEKDAY(BC$6,1)=1,0,MAX(0,BC65-8)*BC64))</f>
      </c>
      <c r="BD67" s="26">
        <f>IF(BD$6="","",IF(WEEKDAY(BD$6,1)=1,0,MAX(0,BD65-8)*BD64))</f>
      </c>
      <c r="BE67" s="26">
        <f>IF(BE$6="","",IF(WEEKDAY(BE$6,1)=1,0,MAX(0,BE65-8)*BE64))</f>
      </c>
      <c r="BF67" s="26">
        <f>IF(BF$6="","",IF(WEEKDAY(BF$6,1)=1,0,MAX(0,BF65-8)*BF64))</f>
      </c>
      <c r="BG67" s="26">
        <f>IF(BG$6="","",IF(WEEKDAY(BG$6,1)=1,0,MAX(0,BG65-8)*BG64))</f>
      </c>
      <c r="BH67" s="26">
        <f>IF(BH$6="","",IF(WEEKDAY(BH$6,1)=1,0,MAX(0,BH65-8)*BH64))</f>
      </c>
      <c r="BI67" s="26">
        <f>IF(BI$6="","",IF(WEEKDAY(BI$6,1)=1,0,MAX(0,BI65-8)*BI64))</f>
      </c>
      <c r="BJ67" s="26">
        <f>IF(BJ$6="","",IF(WEEKDAY(BJ$6,1)=1,0,MAX(0,BJ65-8)*BJ64))</f>
      </c>
      <c r="BK67" s="26">
        <f>IF(BK$6="","",IF(WEEKDAY(BK$6,1)=1,0,MAX(0,BK65-8)*BK64))</f>
      </c>
      <c r="BL67" s="26">
        <f>IF(BL$6="","",IF(WEEKDAY(BL$6,1)=1,0,MAX(0,BL65-8)*BL64))</f>
      </c>
      <c r="BM67" s="26">
        <f>IF(BM$6="","",IF(WEEKDAY(BM$6,1)=1,0,MAX(0,BM65-8)*BM64))</f>
      </c>
      <c r="BN67" s="26">
        <f>IF(BN$6="","",IF(WEEKDAY(BN$6,1)=1,0,MAX(0,BN65-8)*BN64))</f>
      </c>
      <c r="BO67" s="26">
        <f>IF(BO$6="","",IF(WEEKDAY(BO$6,1)=1,0,MAX(0,BO65-8)*BO64))</f>
      </c>
      <c r="BP67" s="26">
        <f>IF(BP$6="","",IF(WEEKDAY(BP$6,1)=1,0,MAX(0,BP65-8)*BP64))</f>
      </c>
      <c r="BQ67" s="26">
        <f>IF(BQ$6="","",IF(WEEKDAY(BQ$6,1)=1,0,MAX(0,BQ65-8)*BQ64))</f>
      </c>
      <c r="BR67" s="26">
        <f>IF(BR$6="","",IF(WEEKDAY(BR$6,1)=1,0,MAX(0,BR65-8)*BR64))</f>
      </c>
      <c r="BS67" s="26">
        <f>IF(BS$6="","",IF(WEEKDAY(BS$6,1)=1,0,MAX(0,BS65-8)*BS64))</f>
      </c>
      <c r="BT67" s="26">
        <f>IF(BT$6="","",IF(WEEKDAY(BT$6,1)=1,0,MAX(0,BT65-8)*BT64))</f>
      </c>
      <c r="BU67" s="26">
        <f>IF(BU$6="","",IF(WEEKDAY(BU$6,1)=1,0,MAX(0,BU65-8)*BU64))</f>
      </c>
      <c r="BV67" s="26">
        <f>IF(BV$6="","",IF(WEEKDAY(BV$6,1)=1,0,MAX(0,BV65-8)*BV64))</f>
      </c>
      <c r="BW67" s="26">
        <f>IF(BW$6="","",IF(WEEKDAY(BW$6,1)=1,0,MAX(0,BW65-8)*BW64))</f>
      </c>
      <c r="BX67" s="26">
        <f>IF(BX$6="","",IF(WEEKDAY(BX$6,1)=1,0,MAX(0,BX65-8)*BX64))</f>
      </c>
      <c r="BY67" s="26">
        <f>IF(BY$6="","",IF(WEEKDAY(BY$6,1)=1,0,MAX(0,BY65-8)*BY64))</f>
      </c>
      <c r="BZ67" s="26">
        <f>IF(BZ$6="","",IF(WEEKDAY(BZ$6,1)=1,0,MAX(0,BZ65-8)*BZ64))</f>
      </c>
      <c r="CA67" s="26">
        <f>IF(CA$6="","",IF(WEEKDAY(CA$6,1)=1,0,MAX(0,CA65-8)*CA64))</f>
      </c>
      <c r="CB67" s="26">
        <f>IF(CB$6="","",IF(WEEKDAY(CB$6,1)=1,0,MAX(0,CB65-8)*CB64))</f>
      </c>
      <c r="CC67" s="26">
        <f>IF(CC$6="","",IF(WEEKDAY(CC$6,1)=1,0,MAX(0,CC65-8)*CC64))</f>
      </c>
      <c r="CD67" s="26">
        <f>IF(CD$6="","",IF(WEEKDAY(CD$6,1)=1,0,MAX(0,CD65-8)*CD64))</f>
      </c>
      <c r="CE67" s="26">
        <f>IF(CE$6="","",IF(WEEKDAY(CE$6,1)=1,0,MAX(0,CE65-8)*CE64))</f>
      </c>
      <c r="CF67" s="26">
        <f>IF(CF$6="","",IF(WEEKDAY(CF$6,1)=1,0,MAX(0,CF65-8)*CF64))</f>
      </c>
      <c r="CG67" s="26">
        <f>IF(CG$6="","",IF(WEEKDAY(CG$6,1)=1,0,MAX(0,CG65-8)*CG64))</f>
      </c>
      <c r="CH67" s="26">
        <f>IF(CH$6="","",IF(WEEKDAY(CH$6,1)=1,0,MAX(0,CH65-8)*CH64))</f>
      </c>
      <c r="CI67" s="26">
        <f>IF(CI$6="","",IF(WEEKDAY(CI$6,1)=1,0,MAX(0,CI65-8)*CI64))</f>
      </c>
      <c r="CJ67" s="26">
        <f>IF(CJ$6="","",IF(WEEKDAY(CJ$6,1)=1,0,MAX(0,CJ65-8)*CJ64))</f>
      </c>
      <c r="CK67" s="26">
        <f>IF(CK$6="","",IF(WEEKDAY(CK$6,1)=1,0,MAX(0,CK65-8)*CK64))</f>
      </c>
      <c r="CL67" s="26">
        <f>IF(CL$6="","",IF(WEEKDAY(CL$6,1)=1,0,MAX(0,CL65-8)*CL64))</f>
      </c>
      <c r="CM67" s="26">
        <f>IF(CM$6="","",IF(WEEKDAY(CM$6,1)=1,0,MAX(0,CM65-8)*CM64))</f>
      </c>
      <c r="CN67" s="26">
        <f>IF(CN$6="","",IF(WEEKDAY(CN$6,1)=1,0,MAX(0,CN65-8)*CN64))</f>
      </c>
      <c r="CO67" s="26">
        <f>IF(CO$6="","",IF(WEEKDAY(CO$6,1)=1,0,MAX(0,CO65-8)*CO64))</f>
      </c>
      <c r="CP67" s="26">
        <f>IF(CP$6="","",IF(WEEKDAY(CP$6,1)=1,0,MAX(0,CP65-8)*CP64))</f>
      </c>
      <c r="CQ67" s="26">
        <f>IF(CQ$6="","",IF(WEEKDAY(CQ$6,1)=1,0,MAX(0,CQ65-8)*CQ64))</f>
      </c>
      <c r="CR67" s="26">
        <f>IF(CR$6="","",IF(WEEKDAY(CR$6,1)=1,0,MAX(0,CR65-8)*CR64))</f>
      </c>
      <c r="CS67" s="26">
        <f>IF(CS$6="","",IF(WEEKDAY(CS$6,1)=1,0,MAX(0,CS65-8)*CS64))</f>
      </c>
      <c r="CT67" s="26">
        <f>IF(CT$6="","",IF(WEEKDAY(CT$6,1)=1,0,MAX(0,CT65-8)*CT64))</f>
      </c>
      <c r="CU67" s="26">
        <f>IF(CU$6="","",IF(WEEKDAY(CU$6,1)=1,0,MAX(0,CU65-8)*CU64))</f>
      </c>
      <c r="CV67" s="26">
        <f>IF(CV$6="","",IF(WEEKDAY(CV$6,1)=1,0,MAX(0,CV65-8)*CV64))</f>
      </c>
      <c r="CW67" s="26">
        <f>IF(CW$6="","",IF(WEEKDAY(CW$6,1)=1,0,MAX(0,CW65-8)*CW64))</f>
      </c>
      <c r="CX67" s="8" t="s">
        <v>56</v>
      </c>
    </row>
    <row r="68" spans="2:102" x14ac:dyDescent="0.25">
      <c r="B68" s="26">
        <f>SUM(L68:CW68)</f>
      </c>
      <c r="D68" s="27">
        <f>B68*E68</f>
      </c>
      <c r="E68" s="27">
        <f>'Rate Tables'!E12</f>
      </c>
      <c r="F68" s="8" t="s">
        <v>41</v>
      </c>
      <c r="L68" s="26">
        <f>IF(L$6="","",IF(WEEKDAY(L$6,1)=1,L65*L64,0))</f>
      </c>
      <c r="M68" s="26">
        <f>IF(M$6="","",IF(WEEKDAY(M$6,1)=1,M65*M64,0))</f>
      </c>
      <c r="N68" s="26">
        <f>IF(N$6="","",IF(WEEKDAY(N$6,1)=1,N65*N64,0))</f>
      </c>
      <c r="O68" s="26">
        <f>IF(O$6="","",IF(WEEKDAY(O$6,1)=1,O65*O64,0))</f>
      </c>
      <c r="P68" s="26">
        <f>IF(P$6="","",IF(WEEKDAY(P$6,1)=1,P65*P64,0))</f>
      </c>
      <c r="Q68" s="26">
        <f>IF(Q$6="","",IF(WEEKDAY(Q$6,1)=1,Q65*Q64,0))</f>
      </c>
      <c r="R68" s="26">
        <f>IF(R$6="","",IF(WEEKDAY(R$6,1)=1,R65*R64,0))</f>
      </c>
      <c r="S68" s="26">
        <f>IF(S$6="","",IF(WEEKDAY(S$6,1)=1,S65*S64,0))</f>
      </c>
      <c r="T68" s="26">
        <f>IF(T$6="","",IF(WEEKDAY(T$6,1)=1,T65*T64,0))</f>
      </c>
      <c r="U68" s="26">
        <f>IF(U$6="","",IF(WEEKDAY(U$6,1)=1,U65*U64,0))</f>
      </c>
      <c r="V68" s="26">
        <f>IF(V$6="","",IF(WEEKDAY(V$6,1)=1,V65*V64,0))</f>
      </c>
      <c r="W68" s="26">
        <f>IF(W$6="","",IF(WEEKDAY(W$6,1)=1,W65*W64,0))</f>
      </c>
      <c r="X68" s="26">
        <f>IF(X$6="","",IF(WEEKDAY(X$6,1)=1,X65*X64,0))</f>
      </c>
      <c r="Y68" s="26">
        <f>IF(Y$6="","",IF(WEEKDAY(Y$6,1)=1,Y65*Y64,0))</f>
      </c>
      <c r="Z68" s="26">
        <f>IF(Z$6="","",IF(WEEKDAY(Z$6,1)=1,Z65*Z64,0))</f>
      </c>
      <c r="AA68" s="26">
        <f>IF(AA$6="","",IF(WEEKDAY(AA$6,1)=1,AA65*AA64,0))</f>
      </c>
      <c r="AB68" s="26">
        <f>IF(AB$6="","",IF(WEEKDAY(AB$6,1)=1,AB65*AB64,0))</f>
      </c>
      <c r="AC68" s="26">
        <f>IF(AC$6="","",IF(WEEKDAY(AC$6,1)=1,AC65*AC64,0))</f>
      </c>
      <c r="AD68" s="26">
        <f>IF(AD$6="","",IF(WEEKDAY(AD$6,1)=1,AD65*AD64,0))</f>
      </c>
      <c r="AE68" s="26">
        <f>IF(AE$6="","",IF(WEEKDAY(AE$6,1)=1,AE65*AE64,0))</f>
      </c>
      <c r="AF68" s="26">
        <f>IF(AF$6="","",IF(WEEKDAY(AF$6,1)=1,AF65*AF64,0))</f>
      </c>
      <c r="AG68" s="26">
        <f>IF(AG$6="","",IF(WEEKDAY(AG$6,1)=1,AG65*AG64,0))</f>
      </c>
      <c r="AH68" s="26">
        <f>IF(AH$6="","",IF(WEEKDAY(AH$6,1)=1,AH65*AH64,0))</f>
      </c>
      <c r="AI68" s="26">
        <f>IF(AI$6="","",IF(WEEKDAY(AI$6,1)=1,AI65*AI64,0))</f>
      </c>
      <c r="AJ68" s="26">
        <f>IF(AJ$6="","",IF(WEEKDAY(AJ$6,1)=1,AJ65*AJ64,0))</f>
      </c>
      <c r="AK68" s="26">
        <f>IF(AK$6="","",IF(WEEKDAY(AK$6,1)=1,AK65*AK64,0))</f>
      </c>
      <c r="AL68" s="26">
        <f>IF(AL$6="","",IF(WEEKDAY(AL$6,1)=1,AL65*AL64,0))</f>
      </c>
      <c r="AM68" s="26">
        <f>IF(AM$6="","",IF(WEEKDAY(AM$6,1)=1,AM65*AM64,0))</f>
      </c>
      <c r="AN68" s="26">
        <f>IF(AN$6="","",IF(WEEKDAY(AN$6,1)=1,AN65*AN64,0))</f>
      </c>
      <c r="AO68" s="26">
        <f>IF(AO$6="","",IF(WEEKDAY(AO$6,1)=1,AO65*AO64,0))</f>
      </c>
      <c r="AP68" s="26">
        <f>IF(AP$6="","",IF(WEEKDAY(AP$6,1)=1,AP65*AP64,0))</f>
      </c>
      <c r="AQ68" s="26">
        <f>IF(AQ$6="","",IF(WEEKDAY(AQ$6,1)=1,AQ65*AQ64,0))</f>
      </c>
      <c r="AR68" s="26">
        <f>IF(AR$6="","",IF(WEEKDAY(AR$6,1)=1,AR65*AR64,0))</f>
      </c>
      <c r="AS68" s="26">
        <f>IF(AS$6="","",IF(WEEKDAY(AS$6,1)=1,AS65*AS64,0))</f>
      </c>
      <c r="AT68" s="26">
        <f>IF(AT$6="","",IF(WEEKDAY(AT$6,1)=1,AT65*AT64,0))</f>
      </c>
      <c r="AU68" s="26">
        <f>IF(AU$6="","",IF(WEEKDAY(AU$6,1)=1,AU65*AU64,0))</f>
      </c>
      <c r="AV68" s="26">
        <f>IF(AV$6="","",IF(WEEKDAY(AV$6,1)=1,AV65*AV64,0))</f>
      </c>
      <c r="AW68" s="26">
        <f>IF(AW$6="","",IF(WEEKDAY(AW$6,1)=1,AW65*AW64,0))</f>
      </c>
      <c r="AX68" s="26">
        <f>IF(AX$6="","",IF(WEEKDAY(AX$6,1)=1,AX65*AX64,0))</f>
      </c>
      <c r="AY68" s="26">
        <f>IF(AY$6="","",IF(WEEKDAY(AY$6,1)=1,AY65*AY64,0))</f>
      </c>
      <c r="AZ68" s="26">
        <f>IF(AZ$6="","",IF(WEEKDAY(AZ$6,1)=1,AZ65*AZ64,0))</f>
      </c>
      <c r="BA68" s="26">
        <f>IF(BA$6="","",IF(WEEKDAY(BA$6,1)=1,BA65*BA64,0))</f>
      </c>
      <c r="BB68" s="26">
        <f>IF(BB$6="","",IF(WEEKDAY(BB$6,1)=1,BB65*BB64,0))</f>
      </c>
      <c r="BC68" s="26">
        <f>IF(BC$6="","",IF(WEEKDAY(BC$6,1)=1,BC65*BC64,0))</f>
      </c>
      <c r="BD68" s="26">
        <f>IF(BD$6="","",IF(WEEKDAY(BD$6,1)=1,BD65*BD64,0))</f>
      </c>
      <c r="BE68" s="26">
        <f>IF(BE$6="","",IF(WEEKDAY(BE$6,1)=1,BE65*BE64,0))</f>
      </c>
      <c r="BF68" s="26">
        <f>IF(BF$6="","",IF(WEEKDAY(BF$6,1)=1,BF65*BF64,0))</f>
      </c>
      <c r="BG68" s="26">
        <f>IF(BG$6="","",IF(WEEKDAY(BG$6,1)=1,BG65*BG64,0))</f>
      </c>
      <c r="BH68" s="26">
        <f>IF(BH$6="","",IF(WEEKDAY(BH$6,1)=1,BH65*BH64,0))</f>
      </c>
      <c r="BI68" s="26">
        <f>IF(BI$6="","",IF(WEEKDAY(BI$6,1)=1,BI65*BI64,0))</f>
      </c>
      <c r="BJ68" s="26">
        <f>IF(BJ$6="","",IF(WEEKDAY(BJ$6,1)=1,BJ65*BJ64,0))</f>
      </c>
      <c r="BK68" s="26">
        <f>IF(BK$6="","",IF(WEEKDAY(BK$6,1)=1,BK65*BK64,0))</f>
      </c>
      <c r="BL68" s="26">
        <f>IF(BL$6="","",IF(WEEKDAY(BL$6,1)=1,BL65*BL64,0))</f>
      </c>
      <c r="BM68" s="26">
        <f>IF(BM$6="","",IF(WEEKDAY(BM$6,1)=1,BM65*BM64,0))</f>
      </c>
      <c r="BN68" s="26">
        <f>IF(BN$6="","",IF(WEEKDAY(BN$6,1)=1,BN65*BN64,0))</f>
      </c>
      <c r="BO68" s="26">
        <f>IF(BO$6="","",IF(WEEKDAY(BO$6,1)=1,BO65*BO64,0))</f>
      </c>
      <c r="BP68" s="26">
        <f>IF(BP$6="","",IF(WEEKDAY(BP$6,1)=1,BP65*BP64,0))</f>
      </c>
      <c r="BQ68" s="26">
        <f>IF(BQ$6="","",IF(WEEKDAY(BQ$6,1)=1,BQ65*BQ64,0))</f>
      </c>
      <c r="BR68" s="26">
        <f>IF(BR$6="","",IF(WEEKDAY(BR$6,1)=1,BR65*BR64,0))</f>
      </c>
      <c r="BS68" s="26">
        <f>IF(BS$6="","",IF(WEEKDAY(BS$6,1)=1,BS65*BS64,0))</f>
      </c>
      <c r="BT68" s="26">
        <f>IF(BT$6="","",IF(WEEKDAY(BT$6,1)=1,BT65*BT64,0))</f>
      </c>
      <c r="BU68" s="26">
        <f>IF(BU$6="","",IF(WEEKDAY(BU$6,1)=1,BU65*BU64,0))</f>
      </c>
      <c r="BV68" s="26">
        <f>IF(BV$6="","",IF(WEEKDAY(BV$6,1)=1,BV65*BV64,0))</f>
      </c>
      <c r="BW68" s="26">
        <f>IF(BW$6="","",IF(WEEKDAY(BW$6,1)=1,BW65*BW64,0))</f>
      </c>
      <c r="BX68" s="26">
        <f>IF(BX$6="","",IF(WEEKDAY(BX$6,1)=1,BX65*BX64,0))</f>
      </c>
      <c r="BY68" s="26">
        <f>IF(BY$6="","",IF(WEEKDAY(BY$6,1)=1,BY65*BY64,0))</f>
      </c>
      <c r="BZ68" s="26">
        <f>IF(BZ$6="","",IF(WEEKDAY(BZ$6,1)=1,BZ65*BZ64,0))</f>
      </c>
      <c r="CA68" s="26">
        <f>IF(CA$6="","",IF(WEEKDAY(CA$6,1)=1,CA65*CA64,0))</f>
      </c>
      <c r="CB68" s="26">
        <f>IF(CB$6="","",IF(WEEKDAY(CB$6,1)=1,CB65*CB64,0))</f>
      </c>
      <c r="CC68" s="26">
        <f>IF(CC$6="","",IF(WEEKDAY(CC$6,1)=1,CC65*CC64,0))</f>
      </c>
      <c r="CD68" s="26">
        <f>IF(CD$6="","",IF(WEEKDAY(CD$6,1)=1,CD65*CD64,0))</f>
      </c>
      <c r="CE68" s="26">
        <f>IF(CE$6="","",IF(WEEKDAY(CE$6,1)=1,CE65*CE64,0))</f>
      </c>
      <c r="CF68" s="26">
        <f>IF(CF$6="","",IF(WEEKDAY(CF$6,1)=1,CF65*CF64,0))</f>
      </c>
      <c r="CG68" s="26">
        <f>IF(CG$6="","",IF(WEEKDAY(CG$6,1)=1,CG65*CG64,0))</f>
      </c>
      <c r="CH68" s="26">
        <f>IF(CH$6="","",IF(WEEKDAY(CH$6,1)=1,CH65*CH64,0))</f>
      </c>
      <c r="CI68" s="26">
        <f>IF(CI$6="","",IF(WEEKDAY(CI$6,1)=1,CI65*CI64,0))</f>
      </c>
      <c r="CJ68" s="26">
        <f>IF(CJ$6="","",IF(WEEKDAY(CJ$6,1)=1,CJ65*CJ64,0))</f>
      </c>
      <c r="CK68" s="26">
        <f>IF(CK$6="","",IF(WEEKDAY(CK$6,1)=1,CK65*CK64,0))</f>
      </c>
      <c r="CL68" s="26">
        <f>IF(CL$6="","",IF(WEEKDAY(CL$6,1)=1,CL65*CL64,0))</f>
      </c>
      <c r="CM68" s="26">
        <f>IF(CM$6="","",IF(WEEKDAY(CM$6,1)=1,CM65*CM64,0))</f>
      </c>
      <c r="CN68" s="26">
        <f>IF(CN$6="","",IF(WEEKDAY(CN$6,1)=1,CN65*CN64,0))</f>
      </c>
      <c r="CO68" s="26">
        <f>IF(CO$6="","",IF(WEEKDAY(CO$6,1)=1,CO65*CO64,0))</f>
      </c>
      <c r="CP68" s="26">
        <f>IF(CP$6="","",IF(WEEKDAY(CP$6,1)=1,CP65*CP64,0))</f>
      </c>
      <c r="CQ68" s="26">
        <f>IF(CQ$6="","",IF(WEEKDAY(CQ$6,1)=1,CQ65*CQ64,0))</f>
      </c>
      <c r="CR68" s="26">
        <f>IF(CR$6="","",IF(WEEKDAY(CR$6,1)=1,CR65*CR64,0))</f>
      </c>
      <c r="CS68" s="26">
        <f>IF(CS$6="","",IF(WEEKDAY(CS$6,1)=1,CS65*CS64,0))</f>
      </c>
      <c r="CT68" s="26">
        <f>IF(CT$6="","",IF(WEEKDAY(CT$6,1)=1,CT65*CT64,0))</f>
      </c>
      <c r="CU68" s="26">
        <f>IF(CU$6="","",IF(WEEKDAY(CU$6,1)=1,CU65*CU64,0))</f>
      </c>
      <c r="CV68" s="26">
        <f>IF(CV$6="","",IF(WEEKDAY(CV$6,1)=1,CV65*CV64,0))</f>
      </c>
      <c r="CW68" s="26">
        <f>IF(CW$6="","",IF(WEEKDAY(CW$6,1)=1,CW65*CW64,0))</f>
      </c>
      <c r="CX68" s="8" t="s">
        <v>56</v>
      </c>
    </row>
    <row r="69" spans="2:102" x14ac:dyDescent="0.25">
      <c r="B69" s="26">
        <f>SUM(L69:CW69)</f>
      </c>
      <c r="D69" s="27">
        <f>B69*E69</f>
      </c>
      <c r="E69" s="27">
        <v>140</v>
      </c>
      <c r="F69" s="8" t="s">
        <v>42</v>
      </c>
      <c r="L69" s="28">
        <v>2</v>
      </c>
      <c r="M69" s="28">
        <v>2</v>
      </c>
      <c r="N69" s="28">
        <v>2</v>
      </c>
      <c r="O69" s="28">
        <v>2</v>
      </c>
      <c r="P69" s="28">
        <v>2</v>
      </c>
      <c r="Q69" s="28">
        <v>0</v>
      </c>
      <c r="R69" s="28">
        <v>0</v>
      </c>
      <c r="S69" s="28">
        <v>2</v>
      </c>
      <c r="T69" s="28">
        <v>2</v>
      </c>
      <c r="U69" s="28">
        <v>2</v>
      </c>
      <c r="V69" s="28">
        <v>2</v>
      </c>
      <c r="W69" s="28">
        <v>2</v>
      </c>
      <c r="X69" s="28">
        <v>0</v>
      </c>
      <c r="Y69" s="28">
        <v>0</v>
      </c>
      <c r="Z69" s="28">
        <v>1</v>
      </c>
      <c r="AA69" s="28">
        <v>1</v>
      </c>
      <c r="AB69" s="28">
        <v>1</v>
      </c>
      <c r="AC69" s="28">
        <v>1</v>
      </c>
      <c r="AD69" s="28">
        <v>1</v>
      </c>
      <c r="AE69" s="28">
        <v>0</v>
      </c>
      <c r="AF69" s="28">
        <v>0</v>
      </c>
      <c r="AG69" s="28">
        <v>1</v>
      </c>
      <c r="AH69" s="28">
        <v>1</v>
      </c>
      <c r="AI69" s="28">
        <v>1</v>
      </c>
      <c r="AJ69" s="28">
        <v>1</v>
      </c>
      <c r="AK69" s="28">
        <v>1</v>
      </c>
      <c r="AL69" s="28">
        <v>0</v>
      </c>
      <c r="AM69" s="28">
        <v>0</v>
      </c>
      <c r="AN69" s="28">
        <v>1</v>
      </c>
      <c r="AO69" s="28">
        <v>1</v>
      </c>
      <c r="AP69" s="28">
        <v>1</v>
      </c>
      <c r="AQ69" s="28">
        <v>1</v>
      </c>
      <c r="AR69" s="28">
        <v>1</v>
      </c>
      <c r="AS69" s="28">
        <v>0</v>
      </c>
      <c r="AT69" s="28">
        <v>0</v>
      </c>
      <c r="AU69" s="28">
        <v>1</v>
      </c>
      <c r="AV69" s="28">
        <v>1</v>
      </c>
      <c r="AW69" s="28">
        <v>1</v>
      </c>
      <c r="AX69" s="28">
        <v>1</v>
      </c>
      <c r="AY69" s="28">
        <v>1</v>
      </c>
      <c r="AZ69" s="28">
        <v>0</v>
      </c>
      <c r="BA69" s="28">
        <v>0</v>
      </c>
      <c r="BB69" s="28">
        <v>1</v>
      </c>
      <c r="BC69" s="28">
        <v>1</v>
      </c>
      <c r="BD69" s="28">
        <v>1</v>
      </c>
      <c r="BE69" s="28">
        <v>1</v>
      </c>
      <c r="BF69" s="28">
        <v>1</v>
      </c>
      <c r="BG69" s="28">
        <v>0</v>
      </c>
      <c r="BH69" s="28">
        <v>0</v>
      </c>
      <c r="BI69" s="28">
        <v>7</v>
      </c>
      <c r="BJ69" s="28">
        <v>7</v>
      </c>
      <c r="BK69" s="28">
        <v>7</v>
      </c>
      <c r="BL69" s="28">
        <v>7</v>
      </c>
      <c r="BM69" s="28">
        <v>7</v>
      </c>
      <c r="BN69" s="28">
        <v>7</v>
      </c>
      <c r="BO69" s="28">
        <v>7</v>
      </c>
      <c r="BP69" s="28">
        <v>7</v>
      </c>
      <c r="BQ69" s="28">
        <v>7</v>
      </c>
      <c r="BR69" s="28">
        <v>7</v>
      </c>
      <c r="BS69" s="28">
        <v>7</v>
      </c>
      <c r="BT69" s="28">
        <v>7</v>
      </c>
      <c r="BU69" s="28">
        <v>7</v>
      </c>
      <c r="BV69" s="28">
        <v>7</v>
      </c>
      <c r="BW69" s="28">
        <v>7</v>
      </c>
      <c r="BX69" s="28">
        <v>7</v>
      </c>
      <c r="BY69" s="28">
        <v>7</v>
      </c>
      <c r="BZ69" s="28">
        <v>7</v>
      </c>
      <c r="CA69" s="28">
        <v>7</v>
      </c>
      <c r="CB69" s="28">
        <v>7</v>
      </c>
      <c r="CC69" s="28">
        <v>7</v>
      </c>
      <c r="CD69" s="28">
        <v>7</v>
      </c>
      <c r="CE69" s="28">
        <v>7</v>
      </c>
      <c r="CF69" s="28">
        <v>7</v>
      </c>
      <c r="CG69" s="28">
        <v>7</v>
      </c>
      <c r="CH69" s="28">
        <v>7</v>
      </c>
      <c r="CI69" s="28">
        <v>7</v>
      </c>
      <c r="CJ69" s="28">
        <v>7</v>
      </c>
      <c r="CK69" s="28">
        <v>7</v>
      </c>
      <c r="CL69" s="28">
        <v>7</v>
      </c>
      <c r="CM69" s="28">
        <v>7</v>
      </c>
      <c r="CN69" s="28">
        <v>7</v>
      </c>
      <c r="CO69" s="28">
        <v>7</v>
      </c>
      <c r="CP69" s="28">
        <v>7</v>
      </c>
      <c r="CQ69" s="28">
        <v>7</v>
      </c>
      <c r="CR69" s="28">
        <v>7</v>
      </c>
      <c r="CS69" s="28">
        <v>7</v>
      </c>
      <c r="CT69" s="28">
        <v>7</v>
      </c>
      <c r="CU69" s="28">
        <v>7</v>
      </c>
      <c r="CV69" s="28">
        <v>7</v>
      </c>
      <c r="CW69" s="28">
        <v>7</v>
      </c>
      <c r="CX69" s="8" t="s">
        <v>56</v>
      </c>
    </row>
    <row r="70" spans="1:102" x14ac:dyDescent="0.25">
      <c r="A70" s="20" t="s">
        <v>47</v>
      </c>
      <c r="B70" s="21">
        <f>G70+H70+I70</f>
      </c>
      <c r="C70" s="20" t="s">
        <v>55</v>
      </c>
      <c r="D70" s="22">
        <f>K70</f>
      </c>
      <c r="F70" s="20" t="s">
        <v>34</v>
      </c>
      <c r="G70" s="21">
        <f>B73</f>
      </c>
      <c r="H70" s="21">
        <f>B74</f>
      </c>
      <c r="I70" s="21">
        <f>B75</f>
      </c>
      <c r="J70" s="21">
        <f>B76</f>
      </c>
      <c r="K70" s="22">
        <f>D73+D74+D75</f>
      </c>
      <c r="CX70" s="20" t="s">
        <v>57</v>
      </c>
    </row>
    <row r="71" spans="6:102" x14ac:dyDescent="0.25">
      <c r="F71" s="23" t="s">
        <v>36</v>
      </c>
      <c r="L71" s="24">
        <v>0</v>
      </c>
      <c r="M71" s="24">
        <v>0</v>
      </c>
      <c r="N71" s="24">
        <v>0</v>
      </c>
      <c r="O71" s="24">
        <v>0</v>
      </c>
      <c r="P71" s="24">
        <v>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v>0</v>
      </c>
      <c r="AA71" s="24">
        <v>0</v>
      </c>
      <c r="AB71" s="24">
        <v>0</v>
      </c>
      <c r="AC71" s="24">
        <v>0</v>
      </c>
      <c r="AD71" s="24">
        <v>0</v>
      </c>
      <c r="AE71" s="24">
        <v>0</v>
      </c>
      <c r="AF71" s="24">
        <v>0</v>
      </c>
      <c r="AG71" s="24">
        <v>0</v>
      </c>
      <c r="AH71" s="24">
        <v>0</v>
      </c>
      <c r="AI71" s="24">
        <v>0</v>
      </c>
      <c r="AJ71" s="24">
        <v>0</v>
      </c>
      <c r="AK71" s="24">
        <v>0</v>
      </c>
      <c r="AL71" s="24">
        <v>0</v>
      </c>
      <c r="AM71" s="24">
        <v>0</v>
      </c>
      <c r="AN71" s="24">
        <v>0</v>
      </c>
      <c r="AO71" s="24">
        <v>0</v>
      </c>
      <c r="AP71" s="24">
        <v>0</v>
      </c>
      <c r="AQ71" s="24">
        <v>0</v>
      </c>
      <c r="AR71" s="24">
        <v>0</v>
      </c>
      <c r="AS71" s="24">
        <v>0</v>
      </c>
      <c r="AT71" s="24">
        <v>0</v>
      </c>
      <c r="AU71" s="24">
        <v>0</v>
      </c>
      <c r="AV71" s="24">
        <v>0</v>
      </c>
      <c r="AW71" s="24">
        <v>0</v>
      </c>
      <c r="AX71" s="24">
        <v>0</v>
      </c>
      <c r="AY71" s="24">
        <v>0</v>
      </c>
      <c r="AZ71" s="24">
        <v>0</v>
      </c>
      <c r="BA71" s="24">
        <v>0</v>
      </c>
      <c r="BB71" s="24">
        <v>0</v>
      </c>
      <c r="BC71" s="24">
        <v>0</v>
      </c>
      <c r="BD71" s="24">
        <v>0</v>
      </c>
      <c r="BE71" s="24">
        <v>0</v>
      </c>
      <c r="BF71" s="24">
        <v>0</v>
      </c>
      <c r="BG71" s="24">
        <v>0</v>
      </c>
      <c r="BH71" s="24">
        <v>0</v>
      </c>
      <c r="BI71" s="24">
        <v>1</v>
      </c>
      <c r="BJ71" s="24">
        <v>1</v>
      </c>
      <c r="BK71" s="24">
        <v>1</v>
      </c>
      <c r="BL71" s="24">
        <v>1</v>
      </c>
      <c r="BM71" s="24">
        <v>1</v>
      </c>
      <c r="BN71" s="24">
        <v>1</v>
      </c>
      <c r="BO71" s="24">
        <v>1</v>
      </c>
      <c r="BP71" s="24">
        <v>1</v>
      </c>
      <c r="BQ71" s="24">
        <v>1</v>
      </c>
      <c r="BR71" s="24">
        <v>1</v>
      </c>
      <c r="BS71" s="24">
        <v>7</v>
      </c>
      <c r="BT71" s="24">
        <v>7</v>
      </c>
      <c r="BU71" s="24">
        <v>7</v>
      </c>
      <c r="BV71" s="24">
        <v>7</v>
      </c>
      <c r="BW71" s="24">
        <v>7</v>
      </c>
      <c r="BX71" s="24">
        <v>7</v>
      </c>
      <c r="BY71" s="24">
        <v>7</v>
      </c>
      <c r="BZ71" s="24">
        <v>7</v>
      </c>
      <c r="CA71" s="24">
        <v>7</v>
      </c>
      <c r="CB71" s="24">
        <v>7</v>
      </c>
      <c r="CC71" s="24">
        <v>7</v>
      </c>
      <c r="CD71" s="24">
        <v>7</v>
      </c>
      <c r="CE71" s="24">
        <v>7</v>
      </c>
      <c r="CF71" s="24">
        <v>7</v>
      </c>
      <c r="CG71" s="24">
        <v>7</v>
      </c>
      <c r="CH71" s="24">
        <v>7</v>
      </c>
      <c r="CI71" s="24">
        <v>7</v>
      </c>
      <c r="CJ71" s="24">
        <v>7</v>
      </c>
      <c r="CK71" s="24">
        <v>7</v>
      </c>
      <c r="CL71" s="24">
        <v>7</v>
      </c>
      <c r="CM71" s="24">
        <v>7</v>
      </c>
      <c r="CN71" s="24">
        <v>7</v>
      </c>
      <c r="CO71" s="24">
        <v>7</v>
      </c>
      <c r="CP71" s="24">
        <v>7</v>
      </c>
      <c r="CQ71" s="24">
        <v>7</v>
      </c>
      <c r="CR71" s="24">
        <v>7</v>
      </c>
      <c r="CS71" s="24">
        <v>7</v>
      </c>
      <c r="CT71" s="24">
        <v>7</v>
      </c>
      <c r="CU71" s="24">
        <v>7</v>
      </c>
      <c r="CV71" s="24">
        <v>7</v>
      </c>
      <c r="CW71" s="24">
        <v>7</v>
      </c>
      <c r="CX71" s="23" t="s">
        <v>57</v>
      </c>
    </row>
    <row r="72" spans="1:102" x14ac:dyDescent="0.25">
      <c r="A72" s="23" t="s">
        <v>37</v>
      </c>
      <c r="F72" s="23" t="s">
        <v>38</v>
      </c>
      <c r="L72" s="25">
        <v>0</v>
      </c>
      <c r="M72" s="25">
        <v>0</v>
      </c>
      <c r="N72" s="25">
        <v>0</v>
      </c>
      <c r="O72" s="25">
        <v>0</v>
      </c>
      <c r="P72" s="25">
        <v>0</v>
      </c>
      <c r="Q72" s="25">
        <v>0</v>
      </c>
      <c r="R72" s="25">
        <v>0</v>
      </c>
      <c r="S72" s="25">
        <v>0</v>
      </c>
      <c r="T72" s="25">
        <v>0</v>
      </c>
      <c r="U72" s="25">
        <v>0</v>
      </c>
      <c r="V72" s="25">
        <v>0</v>
      </c>
      <c r="W72" s="25">
        <v>0</v>
      </c>
      <c r="X72" s="25">
        <v>0</v>
      </c>
      <c r="Y72" s="25">
        <v>0</v>
      </c>
      <c r="Z72" s="25">
        <v>0</v>
      </c>
      <c r="AA72" s="25">
        <v>0</v>
      </c>
      <c r="AB72" s="25">
        <v>0</v>
      </c>
      <c r="AC72" s="25">
        <v>0</v>
      </c>
      <c r="AD72" s="25">
        <v>0</v>
      </c>
      <c r="AE72" s="25">
        <v>0</v>
      </c>
      <c r="AF72" s="25">
        <v>0</v>
      </c>
      <c r="AG72" s="25">
        <v>0</v>
      </c>
      <c r="AH72" s="25">
        <v>0</v>
      </c>
      <c r="AI72" s="25">
        <v>0</v>
      </c>
      <c r="AJ72" s="25">
        <v>0</v>
      </c>
      <c r="AK72" s="25">
        <v>0</v>
      </c>
      <c r="AL72" s="25">
        <v>0</v>
      </c>
      <c r="AM72" s="25">
        <v>0</v>
      </c>
      <c r="AN72" s="25">
        <v>0</v>
      </c>
      <c r="AO72" s="25">
        <v>0</v>
      </c>
      <c r="AP72" s="25">
        <v>0</v>
      </c>
      <c r="AQ72" s="25">
        <v>0</v>
      </c>
      <c r="AR72" s="25">
        <v>0</v>
      </c>
      <c r="AS72" s="25">
        <v>0</v>
      </c>
      <c r="AT72" s="25">
        <v>0</v>
      </c>
      <c r="AU72" s="25">
        <v>0</v>
      </c>
      <c r="AV72" s="25">
        <v>0</v>
      </c>
      <c r="AW72" s="25">
        <v>0</v>
      </c>
      <c r="AX72" s="25">
        <v>0</v>
      </c>
      <c r="AY72" s="25">
        <v>0</v>
      </c>
      <c r="AZ72" s="25">
        <v>0</v>
      </c>
      <c r="BA72" s="25">
        <v>0</v>
      </c>
      <c r="BB72" s="25">
        <v>0</v>
      </c>
      <c r="BC72" s="25">
        <v>0</v>
      </c>
      <c r="BD72" s="25">
        <v>0</v>
      </c>
      <c r="BE72" s="25">
        <v>0</v>
      </c>
      <c r="BF72" s="25">
        <v>0</v>
      </c>
      <c r="BG72" s="25">
        <v>0</v>
      </c>
      <c r="BH72" s="25">
        <v>0</v>
      </c>
      <c r="BI72" s="25">
        <v>13</v>
      </c>
      <c r="BJ72" s="25">
        <v>13</v>
      </c>
      <c r="BK72" s="25">
        <v>13</v>
      </c>
      <c r="BL72" s="25">
        <v>13</v>
      </c>
      <c r="BM72" s="25">
        <v>13</v>
      </c>
      <c r="BN72" s="25">
        <v>13</v>
      </c>
      <c r="BO72" s="25">
        <v>13</v>
      </c>
      <c r="BP72" s="25">
        <v>13</v>
      </c>
      <c r="BQ72" s="25">
        <v>13</v>
      </c>
      <c r="BR72" s="25">
        <v>13</v>
      </c>
      <c r="BS72" s="25">
        <v>13</v>
      </c>
      <c r="BT72" s="25">
        <v>13</v>
      </c>
      <c r="BU72" s="25">
        <v>13</v>
      </c>
      <c r="BV72" s="25">
        <v>13</v>
      </c>
      <c r="BW72" s="25">
        <v>13</v>
      </c>
      <c r="BX72" s="25">
        <v>13</v>
      </c>
      <c r="BY72" s="25">
        <v>13</v>
      </c>
      <c r="BZ72" s="25">
        <v>13</v>
      </c>
      <c r="CA72" s="25">
        <v>13</v>
      </c>
      <c r="CB72" s="25">
        <v>13</v>
      </c>
      <c r="CC72" s="25">
        <v>13</v>
      </c>
      <c r="CD72" s="25">
        <v>13</v>
      </c>
      <c r="CE72" s="25">
        <v>13</v>
      </c>
      <c r="CF72" s="25">
        <v>13</v>
      </c>
      <c r="CG72" s="25">
        <v>13</v>
      </c>
      <c r="CH72" s="25">
        <v>13</v>
      </c>
      <c r="CI72" s="25">
        <v>13</v>
      </c>
      <c r="CJ72" s="25">
        <v>13</v>
      </c>
      <c r="CK72" s="25">
        <v>13</v>
      </c>
      <c r="CL72" s="25">
        <v>13</v>
      </c>
      <c r="CM72" s="25">
        <v>13</v>
      </c>
      <c r="CN72" s="25">
        <v>13</v>
      </c>
      <c r="CO72" s="25">
        <v>13</v>
      </c>
      <c r="CP72" s="25">
        <v>13</v>
      </c>
      <c r="CQ72" s="25">
        <v>13</v>
      </c>
      <c r="CR72" s="25">
        <v>13</v>
      </c>
      <c r="CS72" s="25">
        <v>13</v>
      </c>
      <c r="CT72" s="25">
        <v>13</v>
      </c>
      <c r="CU72" s="25">
        <v>13</v>
      </c>
      <c r="CV72" s="25">
        <v>13</v>
      </c>
      <c r="CW72" s="25">
        <v>13</v>
      </c>
      <c r="CX72" s="23" t="s">
        <v>57</v>
      </c>
    </row>
    <row r="73" spans="2:102" x14ac:dyDescent="0.25">
      <c r="B73" s="26">
        <f>SUM(L73:CW73)</f>
      </c>
      <c r="D73" s="27">
        <f>B73*E73</f>
      </c>
      <c r="E73" s="27">
        <f>'Rate Tables'!C12</f>
      </c>
      <c r="F73" s="8" t="s">
        <v>39</v>
      </c>
      <c r="L73" s="26">
        <f>IF(L$6="","",IF(WEEKDAY(L$6,1)=1,0,MIN(8,L72)*L71))</f>
      </c>
      <c r="M73" s="26">
        <f>IF(M$6="","",IF(WEEKDAY(M$6,1)=1,0,MIN(8,M72)*M71))</f>
      </c>
      <c r="N73" s="26">
        <f>IF(N$6="","",IF(WEEKDAY(N$6,1)=1,0,MIN(8,N72)*N71))</f>
      </c>
      <c r="O73" s="26">
        <f>IF(O$6="","",IF(WEEKDAY(O$6,1)=1,0,MIN(8,O72)*O71))</f>
      </c>
      <c r="P73" s="26">
        <f>IF(P$6="","",IF(WEEKDAY(P$6,1)=1,0,MIN(8,P72)*P71))</f>
      </c>
      <c r="Q73" s="26">
        <f>IF(Q$6="","",IF(WEEKDAY(Q$6,1)=1,0,MIN(8,Q72)*Q71))</f>
      </c>
      <c r="R73" s="26">
        <f>IF(R$6="","",IF(WEEKDAY(R$6,1)=1,0,MIN(8,R72)*R71))</f>
      </c>
      <c r="S73" s="26">
        <f>IF(S$6="","",IF(WEEKDAY(S$6,1)=1,0,MIN(8,S72)*S71))</f>
      </c>
      <c r="T73" s="26">
        <f>IF(T$6="","",IF(WEEKDAY(T$6,1)=1,0,MIN(8,T72)*T71))</f>
      </c>
      <c r="U73" s="26">
        <f>IF(U$6="","",IF(WEEKDAY(U$6,1)=1,0,MIN(8,U72)*U71))</f>
      </c>
      <c r="V73" s="26">
        <f>IF(V$6="","",IF(WEEKDAY(V$6,1)=1,0,MIN(8,V72)*V71))</f>
      </c>
      <c r="W73" s="26">
        <f>IF(W$6="","",IF(WEEKDAY(W$6,1)=1,0,MIN(8,W72)*W71))</f>
      </c>
      <c r="X73" s="26">
        <f>IF(X$6="","",IF(WEEKDAY(X$6,1)=1,0,MIN(8,X72)*X71))</f>
      </c>
      <c r="Y73" s="26">
        <f>IF(Y$6="","",IF(WEEKDAY(Y$6,1)=1,0,MIN(8,Y72)*Y71))</f>
      </c>
      <c r="Z73" s="26">
        <f>IF(Z$6="","",IF(WEEKDAY(Z$6,1)=1,0,MIN(8,Z72)*Z71))</f>
      </c>
      <c r="AA73" s="26">
        <f>IF(AA$6="","",IF(WEEKDAY(AA$6,1)=1,0,MIN(8,AA72)*AA71))</f>
      </c>
      <c r="AB73" s="26">
        <f>IF(AB$6="","",IF(WEEKDAY(AB$6,1)=1,0,MIN(8,AB72)*AB71))</f>
      </c>
      <c r="AC73" s="26">
        <f>IF(AC$6="","",IF(WEEKDAY(AC$6,1)=1,0,MIN(8,AC72)*AC71))</f>
      </c>
      <c r="AD73" s="26">
        <f>IF(AD$6="","",IF(WEEKDAY(AD$6,1)=1,0,MIN(8,AD72)*AD71))</f>
      </c>
      <c r="AE73" s="26">
        <f>IF(AE$6="","",IF(WEEKDAY(AE$6,1)=1,0,MIN(8,AE72)*AE71))</f>
      </c>
      <c r="AF73" s="26">
        <f>IF(AF$6="","",IF(WEEKDAY(AF$6,1)=1,0,MIN(8,AF72)*AF71))</f>
      </c>
      <c r="AG73" s="26">
        <f>IF(AG$6="","",IF(WEEKDAY(AG$6,1)=1,0,MIN(8,AG72)*AG71))</f>
      </c>
      <c r="AH73" s="26">
        <f>IF(AH$6="","",IF(WEEKDAY(AH$6,1)=1,0,MIN(8,AH72)*AH71))</f>
      </c>
      <c r="AI73" s="26">
        <f>IF(AI$6="","",IF(WEEKDAY(AI$6,1)=1,0,MIN(8,AI72)*AI71))</f>
      </c>
      <c r="AJ73" s="26">
        <f>IF(AJ$6="","",IF(WEEKDAY(AJ$6,1)=1,0,MIN(8,AJ72)*AJ71))</f>
      </c>
      <c r="AK73" s="26">
        <f>IF(AK$6="","",IF(WEEKDAY(AK$6,1)=1,0,MIN(8,AK72)*AK71))</f>
      </c>
      <c r="AL73" s="26">
        <f>IF(AL$6="","",IF(WEEKDAY(AL$6,1)=1,0,MIN(8,AL72)*AL71))</f>
      </c>
      <c r="AM73" s="26">
        <f>IF(AM$6="","",IF(WEEKDAY(AM$6,1)=1,0,MIN(8,AM72)*AM71))</f>
      </c>
      <c r="AN73" s="26">
        <f>IF(AN$6="","",IF(WEEKDAY(AN$6,1)=1,0,MIN(8,AN72)*AN71))</f>
      </c>
      <c r="AO73" s="26">
        <f>IF(AO$6="","",IF(WEEKDAY(AO$6,1)=1,0,MIN(8,AO72)*AO71))</f>
      </c>
      <c r="AP73" s="26">
        <f>IF(AP$6="","",IF(WEEKDAY(AP$6,1)=1,0,MIN(8,AP72)*AP71))</f>
      </c>
      <c r="AQ73" s="26">
        <f>IF(AQ$6="","",IF(WEEKDAY(AQ$6,1)=1,0,MIN(8,AQ72)*AQ71))</f>
      </c>
      <c r="AR73" s="26">
        <f>IF(AR$6="","",IF(WEEKDAY(AR$6,1)=1,0,MIN(8,AR72)*AR71))</f>
      </c>
      <c r="AS73" s="26">
        <f>IF(AS$6="","",IF(WEEKDAY(AS$6,1)=1,0,MIN(8,AS72)*AS71))</f>
      </c>
      <c r="AT73" s="26">
        <f>IF(AT$6="","",IF(WEEKDAY(AT$6,1)=1,0,MIN(8,AT72)*AT71))</f>
      </c>
      <c r="AU73" s="26">
        <f>IF(AU$6="","",IF(WEEKDAY(AU$6,1)=1,0,MIN(8,AU72)*AU71))</f>
      </c>
      <c r="AV73" s="26">
        <f>IF(AV$6="","",IF(WEEKDAY(AV$6,1)=1,0,MIN(8,AV72)*AV71))</f>
      </c>
      <c r="AW73" s="26">
        <f>IF(AW$6="","",IF(WEEKDAY(AW$6,1)=1,0,MIN(8,AW72)*AW71))</f>
      </c>
      <c r="AX73" s="26">
        <f>IF(AX$6="","",IF(WEEKDAY(AX$6,1)=1,0,MIN(8,AX72)*AX71))</f>
      </c>
      <c r="AY73" s="26">
        <f>IF(AY$6="","",IF(WEEKDAY(AY$6,1)=1,0,MIN(8,AY72)*AY71))</f>
      </c>
      <c r="AZ73" s="26">
        <f>IF(AZ$6="","",IF(WEEKDAY(AZ$6,1)=1,0,MIN(8,AZ72)*AZ71))</f>
      </c>
      <c r="BA73" s="26">
        <f>IF(BA$6="","",IF(WEEKDAY(BA$6,1)=1,0,MIN(8,BA72)*BA71))</f>
      </c>
      <c r="BB73" s="26">
        <f>IF(BB$6="","",IF(WEEKDAY(BB$6,1)=1,0,MIN(8,BB72)*BB71))</f>
      </c>
      <c r="BC73" s="26">
        <f>IF(BC$6="","",IF(WEEKDAY(BC$6,1)=1,0,MIN(8,BC72)*BC71))</f>
      </c>
      <c r="BD73" s="26">
        <f>IF(BD$6="","",IF(WEEKDAY(BD$6,1)=1,0,MIN(8,BD72)*BD71))</f>
      </c>
      <c r="BE73" s="26">
        <f>IF(BE$6="","",IF(WEEKDAY(BE$6,1)=1,0,MIN(8,BE72)*BE71))</f>
      </c>
      <c r="BF73" s="26">
        <f>IF(BF$6="","",IF(WEEKDAY(BF$6,1)=1,0,MIN(8,BF72)*BF71))</f>
      </c>
      <c r="BG73" s="26">
        <f>IF(BG$6="","",IF(WEEKDAY(BG$6,1)=1,0,MIN(8,BG72)*BG71))</f>
      </c>
      <c r="BH73" s="26">
        <f>IF(BH$6="","",IF(WEEKDAY(BH$6,1)=1,0,MIN(8,BH72)*BH71))</f>
      </c>
      <c r="BI73" s="26">
        <f>IF(BI$6="","",IF(WEEKDAY(BI$6,1)=1,0,MIN(8,BI72)*BI71))</f>
      </c>
      <c r="BJ73" s="26">
        <f>IF(BJ$6="","",IF(WEEKDAY(BJ$6,1)=1,0,MIN(8,BJ72)*BJ71))</f>
      </c>
      <c r="BK73" s="26">
        <f>IF(BK$6="","",IF(WEEKDAY(BK$6,1)=1,0,MIN(8,BK72)*BK71))</f>
      </c>
      <c r="BL73" s="26">
        <f>IF(BL$6="","",IF(WEEKDAY(BL$6,1)=1,0,MIN(8,BL72)*BL71))</f>
      </c>
      <c r="BM73" s="26">
        <f>IF(BM$6="","",IF(WEEKDAY(BM$6,1)=1,0,MIN(8,BM72)*BM71))</f>
      </c>
      <c r="BN73" s="26">
        <f>IF(BN$6="","",IF(WEEKDAY(BN$6,1)=1,0,MIN(8,BN72)*BN71))</f>
      </c>
      <c r="BO73" s="26">
        <f>IF(BO$6="","",IF(WEEKDAY(BO$6,1)=1,0,MIN(8,BO72)*BO71))</f>
      </c>
      <c r="BP73" s="26">
        <f>IF(BP$6="","",IF(WEEKDAY(BP$6,1)=1,0,MIN(8,BP72)*BP71))</f>
      </c>
      <c r="BQ73" s="26">
        <f>IF(BQ$6="","",IF(WEEKDAY(BQ$6,1)=1,0,MIN(8,BQ72)*BQ71))</f>
      </c>
      <c r="BR73" s="26">
        <f>IF(BR$6="","",IF(WEEKDAY(BR$6,1)=1,0,MIN(8,BR72)*BR71))</f>
      </c>
      <c r="BS73" s="26">
        <f>IF(BS$6="","",IF(WEEKDAY(BS$6,1)=1,0,MIN(8,BS72)*BS71))</f>
      </c>
      <c r="BT73" s="26">
        <f>IF(BT$6="","",IF(WEEKDAY(BT$6,1)=1,0,MIN(8,BT72)*BT71))</f>
      </c>
      <c r="BU73" s="26">
        <f>IF(BU$6="","",IF(WEEKDAY(BU$6,1)=1,0,MIN(8,BU72)*BU71))</f>
      </c>
      <c r="BV73" s="26">
        <f>IF(BV$6="","",IF(WEEKDAY(BV$6,1)=1,0,MIN(8,BV72)*BV71))</f>
      </c>
      <c r="BW73" s="26">
        <f>IF(BW$6="","",IF(WEEKDAY(BW$6,1)=1,0,MIN(8,BW72)*BW71))</f>
      </c>
      <c r="BX73" s="26">
        <f>IF(BX$6="","",IF(WEEKDAY(BX$6,1)=1,0,MIN(8,BX72)*BX71))</f>
      </c>
      <c r="BY73" s="26">
        <f>IF(BY$6="","",IF(WEEKDAY(BY$6,1)=1,0,MIN(8,BY72)*BY71))</f>
      </c>
      <c r="BZ73" s="26">
        <f>IF(BZ$6="","",IF(WEEKDAY(BZ$6,1)=1,0,MIN(8,BZ72)*BZ71))</f>
      </c>
      <c r="CA73" s="26">
        <f>IF(CA$6="","",IF(WEEKDAY(CA$6,1)=1,0,MIN(8,CA72)*CA71))</f>
      </c>
      <c r="CB73" s="26">
        <f>IF(CB$6="","",IF(WEEKDAY(CB$6,1)=1,0,MIN(8,CB72)*CB71))</f>
      </c>
      <c r="CC73" s="26">
        <f>IF(CC$6="","",IF(WEEKDAY(CC$6,1)=1,0,MIN(8,CC72)*CC71))</f>
      </c>
      <c r="CD73" s="26">
        <f>IF(CD$6="","",IF(WEEKDAY(CD$6,1)=1,0,MIN(8,CD72)*CD71))</f>
      </c>
      <c r="CE73" s="26">
        <f>IF(CE$6="","",IF(WEEKDAY(CE$6,1)=1,0,MIN(8,CE72)*CE71))</f>
      </c>
      <c r="CF73" s="26">
        <f>IF(CF$6="","",IF(WEEKDAY(CF$6,1)=1,0,MIN(8,CF72)*CF71))</f>
      </c>
      <c r="CG73" s="26">
        <f>IF(CG$6="","",IF(WEEKDAY(CG$6,1)=1,0,MIN(8,CG72)*CG71))</f>
      </c>
      <c r="CH73" s="26">
        <f>IF(CH$6="","",IF(WEEKDAY(CH$6,1)=1,0,MIN(8,CH72)*CH71))</f>
      </c>
      <c r="CI73" s="26">
        <f>IF(CI$6="","",IF(WEEKDAY(CI$6,1)=1,0,MIN(8,CI72)*CI71))</f>
      </c>
      <c r="CJ73" s="26">
        <f>IF(CJ$6="","",IF(WEEKDAY(CJ$6,1)=1,0,MIN(8,CJ72)*CJ71))</f>
      </c>
      <c r="CK73" s="26">
        <f>IF(CK$6="","",IF(WEEKDAY(CK$6,1)=1,0,MIN(8,CK72)*CK71))</f>
      </c>
      <c r="CL73" s="26">
        <f>IF(CL$6="","",IF(WEEKDAY(CL$6,1)=1,0,MIN(8,CL72)*CL71))</f>
      </c>
      <c r="CM73" s="26">
        <f>IF(CM$6="","",IF(WEEKDAY(CM$6,1)=1,0,MIN(8,CM72)*CM71))</f>
      </c>
      <c r="CN73" s="26">
        <f>IF(CN$6="","",IF(WEEKDAY(CN$6,1)=1,0,MIN(8,CN72)*CN71))</f>
      </c>
      <c r="CO73" s="26">
        <f>IF(CO$6="","",IF(WEEKDAY(CO$6,1)=1,0,MIN(8,CO72)*CO71))</f>
      </c>
      <c r="CP73" s="26">
        <f>IF(CP$6="","",IF(WEEKDAY(CP$6,1)=1,0,MIN(8,CP72)*CP71))</f>
      </c>
      <c r="CQ73" s="26">
        <f>IF(CQ$6="","",IF(WEEKDAY(CQ$6,1)=1,0,MIN(8,CQ72)*CQ71))</f>
      </c>
      <c r="CR73" s="26">
        <f>IF(CR$6="","",IF(WEEKDAY(CR$6,1)=1,0,MIN(8,CR72)*CR71))</f>
      </c>
      <c r="CS73" s="26">
        <f>IF(CS$6="","",IF(WEEKDAY(CS$6,1)=1,0,MIN(8,CS72)*CS71))</f>
      </c>
      <c r="CT73" s="26">
        <f>IF(CT$6="","",IF(WEEKDAY(CT$6,1)=1,0,MIN(8,CT72)*CT71))</f>
      </c>
      <c r="CU73" s="26">
        <f>IF(CU$6="","",IF(WEEKDAY(CU$6,1)=1,0,MIN(8,CU72)*CU71))</f>
      </c>
      <c r="CV73" s="26">
        <f>IF(CV$6="","",IF(WEEKDAY(CV$6,1)=1,0,MIN(8,CV72)*CV71))</f>
      </c>
      <c r="CW73" s="26">
        <f>IF(CW$6="","",IF(WEEKDAY(CW$6,1)=1,0,MIN(8,CW72)*CW71))</f>
      </c>
      <c r="CX73" s="8" t="s">
        <v>57</v>
      </c>
    </row>
    <row r="74" spans="2:102" x14ac:dyDescent="0.25">
      <c r="B74" s="26">
        <f>SUM(L74:CW74)</f>
      </c>
      <c r="D74" s="27">
        <f>B74*E74</f>
      </c>
      <c r="E74" s="27">
        <f>'Rate Tables'!D12</f>
      </c>
      <c r="F74" s="8" t="s">
        <v>40</v>
      </c>
      <c r="L74" s="26">
        <f>IF(L$6="","",IF(WEEKDAY(L$6,1)=1,0,MAX(0,L72-8)*L71))</f>
      </c>
      <c r="M74" s="26">
        <f>IF(M$6="","",IF(WEEKDAY(M$6,1)=1,0,MAX(0,M72-8)*M71))</f>
      </c>
      <c r="N74" s="26">
        <f>IF(N$6="","",IF(WEEKDAY(N$6,1)=1,0,MAX(0,N72-8)*N71))</f>
      </c>
      <c r="O74" s="26">
        <f>IF(O$6="","",IF(WEEKDAY(O$6,1)=1,0,MAX(0,O72-8)*O71))</f>
      </c>
      <c r="P74" s="26">
        <f>IF(P$6="","",IF(WEEKDAY(P$6,1)=1,0,MAX(0,P72-8)*P71))</f>
      </c>
      <c r="Q74" s="26">
        <f>IF(Q$6="","",IF(WEEKDAY(Q$6,1)=1,0,MAX(0,Q72-8)*Q71))</f>
      </c>
      <c r="R74" s="26">
        <f>IF(R$6="","",IF(WEEKDAY(R$6,1)=1,0,MAX(0,R72-8)*R71))</f>
      </c>
      <c r="S74" s="26">
        <f>IF(S$6="","",IF(WEEKDAY(S$6,1)=1,0,MAX(0,S72-8)*S71))</f>
      </c>
      <c r="T74" s="26">
        <f>IF(T$6="","",IF(WEEKDAY(T$6,1)=1,0,MAX(0,T72-8)*T71))</f>
      </c>
      <c r="U74" s="26">
        <f>IF(U$6="","",IF(WEEKDAY(U$6,1)=1,0,MAX(0,U72-8)*U71))</f>
      </c>
      <c r="V74" s="26">
        <f>IF(V$6="","",IF(WEEKDAY(V$6,1)=1,0,MAX(0,V72-8)*V71))</f>
      </c>
      <c r="W74" s="26">
        <f>IF(W$6="","",IF(WEEKDAY(W$6,1)=1,0,MAX(0,W72-8)*W71))</f>
      </c>
      <c r="X74" s="26">
        <f>IF(X$6="","",IF(WEEKDAY(X$6,1)=1,0,MAX(0,X72-8)*X71))</f>
      </c>
      <c r="Y74" s="26">
        <f>IF(Y$6="","",IF(WEEKDAY(Y$6,1)=1,0,MAX(0,Y72-8)*Y71))</f>
      </c>
      <c r="Z74" s="26">
        <f>IF(Z$6="","",IF(WEEKDAY(Z$6,1)=1,0,MAX(0,Z72-8)*Z71))</f>
      </c>
      <c r="AA74" s="26">
        <f>IF(AA$6="","",IF(WEEKDAY(AA$6,1)=1,0,MAX(0,AA72-8)*AA71))</f>
      </c>
      <c r="AB74" s="26">
        <f>IF(AB$6="","",IF(WEEKDAY(AB$6,1)=1,0,MAX(0,AB72-8)*AB71))</f>
      </c>
      <c r="AC74" s="26">
        <f>IF(AC$6="","",IF(WEEKDAY(AC$6,1)=1,0,MAX(0,AC72-8)*AC71))</f>
      </c>
      <c r="AD74" s="26">
        <f>IF(AD$6="","",IF(WEEKDAY(AD$6,1)=1,0,MAX(0,AD72-8)*AD71))</f>
      </c>
      <c r="AE74" s="26">
        <f>IF(AE$6="","",IF(WEEKDAY(AE$6,1)=1,0,MAX(0,AE72-8)*AE71))</f>
      </c>
      <c r="AF74" s="26">
        <f>IF(AF$6="","",IF(WEEKDAY(AF$6,1)=1,0,MAX(0,AF72-8)*AF71))</f>
      </c>
      <c r="AG74" s="26">
        <f>IF(AG$6="","",IF(WEEKDAY(AG$6,1)=1,0,MAX(0,AG72-8)*AG71))</f>
      </c>
      <c r="AH74" s="26">
        <f>IF(AH$6="","",IF(WEEKDAY(AH$6,1)=1,0,MAX(0,AH72-8)*AH71))</f>
      </c>
      <c r="AI74" s="26">
        <f>IF(AI$6="","",IF(WEEKDAY(AI$6,1)=1,0,MAX(0,AI72-8)*AI71))</f>
      </c>
      <c r="AJ74" s="26">
        <f>IF(AJ$6="","",IF(WEEKDAY(AJ$6,1)=1,0,MAX(0,AJ72-8)*AJ71))</f>
      </c>
      <c r="AK74" s="26">
        <f>IF(AK$6="","",IF(WEEKDAY(AK$6,1)=1,0,MAX(0,AK72-8)*AK71))</f>
      </c>
      <c r="AL74" s="26">
        <f>IF(AL$6="","",IF(WEEKDAY(AL$6,1)=1,0,MAX(0,AL72-8)*AL71))</f>
      </c>
      <c r="AM74" s="26">
        <f>IF(AM$6="","",IF(WEEKDAY(AM$6,1)=1,0,MAX(0,AM72-8)*AM71))</f>
      </c>
      <c r="AN74" s="26">
        <f>IF(AN$6="","",IF(WEEKDAY(AN$6,1)=1,0,MAX(0,AN72-8)*AN71))</f>
      </c>
      <c r="AO74" s="26">
        <f>IF(AO$6="","",IF(WEEKDAY(AO$6,1)=1,0,MAX(0,AO72-8)*AO71))</f>
      </c>
      <c r="AP74" s="26">
        <f>IF(AP$6="","",IF(WEEKDAY(AP$6,1)=1,0,MAX(0,AP72-8)*AP71))</f>
      </c>
      <c r="AQ74" s="26">
        <f>IF(AQ$6="","",IF(WEEKDAY(AQ$6,1)=1,0,MAX(0,AQ72-8)*AQ71))</f>
      </c>
      <c r="AR74" s="26">
        <f>IF(AR$6="","",IF(WEEKDAY(AR$6,1)=1,0,MAX(0,AR72-8)*AR71))</f>
      </c>
      <c r="AS74" s="26">
        <f>IF(AS$6="","",IF(WEEKDAY(AS$6,1)=1,0,MAX(0,AS72-8)*AS71))</f>
      </c>
      <c r="AT74" s="26">
        <f>IF(AT$6="","",IF(WEEKDAY(AT$6,1)=1,0,MAX(0,AT72-8)*AT71))</f>
      </c>
      <c r="AU74" s="26">
        <f>IF(AU$6="","",IF(WEEKDAY(AU$6,1)=1,0,MAX(0,AU72-8)*AU71))</f>
      </c>
      <c r="AV74" s="26">
        <f>IF(AV$6="","",IF(WEEKDAY(AV$6,1)=1,0,MAX(0,AV72-8)*AV71))</f>
      </c>
      <c r="AW74" s="26">
        <f>IF(AW$6="","",IF(WEEKDAY(AW$6,1)=1,0,MAX(0,AW72-8)*AW71))</f>
      </c>
      <c r="AX74" s="26">
        <f>IF(AX$6="","",IF(WEEKDAY(AX$6,1)=1,0,MAX(0,AX72-8)*AX71))</f>
      </c>
      <c r="AY74" s="26">
        <f>IF(AY$6="","",IF(WEEKDAY(AY$6,1)=1,0,MAX(0,AY72-8)*AY71))</f>
      </c>
      <c r="AZ74" s="26">
        <f>IF(AZ$6="","",IF(WEEKDAY(AZ$6,1)=1,0,MAX(0,AZ72-8)*AZ71))</f>
      </c>
      <c r="BA74" s="26">
        <f>IF(BA$6="","",IF(WEEKDAY(BA$6,1)=1,0,MAX(0,BA72-8)*BA71))</f>
      </c>
      <c r="BB74" s="26">
        <f>IF(BB$6="","",IF(WEEKDAY(BB$6,1)=1,0,MAX(0,BB72-8)*BB71))</f>
      </c>
      <c r="BC74" s="26">
        <f>IF(BC$6="","",IF(WEEKDAY(BC$6,1)=1,0,MAX(0,BC72-8)*BC71))</f>
      </c>
      <c r="BD74" s="26">
        <f>IF(BD$6="","",IF(WEEKDAY(BD$6,1)=1,0,MAX(0,BD72-8)*BD71))</f>
      </c>
      <c r="BE74" s="26">
        <f>IF(BE$6="","",IF(WEEKDAY(BE$6,1)=1,0,MAX(0,BE72-8)*BE71))</f>
      </c>
      <c r="BF74" s="26">
        <f>IF(BF$6="","",IF(WEEKDAY(BF$6,1)=1,0,MAX(0,BF72-8)*BF71))</f>
      </c>
      <c r="BG74" s="26">
        <f>IF(BG$6="","",IF(WEEKDAY(BG$6,1)=1,0,MAX(0,BG72-8)*BG71))</f>
      </c>
      <c r="BH74" s="26">
        <f>IF(BH$6="","",IF(WEEKDAY(BH$6,1)=1,0,MAX(0,BH72-8)*BH71))</f>
      </c>
      <c r="BI74" s="26">
        <f>IF(BI$6="","",IF(WEEKDAY(BI$6,1)=1,0,MAX(0,BI72-8)*BI71))</f>
      </c>
      <c r="BJ74" s="26">
        <f>IF(BJ$6="","",IF(WEEKDAY(BJ$6,1)=1,0,MAX(0,BJ72-8)*BJ71))</f>
      </c>
      <c r="BK74" s="26">
        <f>IF(BK$6="","",IF(WEEKDAY(BK$6,1)=1,0,MAX(0,BK72-8)*BK71))</f>
      </c>
      <c r="BL74" s="26">
        <f>IF(BL$6="","",IF(WEEKDAY(BL$6,1)=1,0,MAX(0,BL72-8)*BL71))</f>
      </c>
      <c r="BM74" s="26">
        <f>IF(BM$6="","",IF(WEEKDAY(BM$6,1)=1,0,MAX(0,BM72-8)*BM71))</f>
      </c>
      <c r="BN74" s="26">
        <f>IF(BN$6="","",IF(WEEKDAY(BN$6,1)=1,0,MAX(0,BN72-8)*BN71))</f>
      </c>
      <c r="BO74" s="26">
        <f>IF(BO$6="","",IF(WEEKDAY(BO$6,1)=1,0,MAX(0,BO72-8)*BO71))</f>
      </c>
      <c r="BP74" s="26">
        <f>IF(BP$6="","",IF(WEEKDAY(BP$6,1)=1,0,MAX(0,BP72-8)*BP71))</f>
      </c>
      <c r="BQ74" s="26">
        <f>IF(BQ$6="","",IF(WEEKDAY(BQ$6,1)=1,0,MAX(0,BQ72-8)*BQ71))</f>
      </c>
      <c r="BR74" s="26">
        <f>IF(BR$6="","",IF(WEEKDAY(BR$6,1)=1,0,MAX(0,BR72-8)*BR71))</f>
      </c>
      <c r="BS74" s="26">
        <f>IF(BS$6="","",IF(WEEKDAY(BS$6,1)=1,0,MAX(0,BS72-8)*BS71))</f>
      </c>
      <c r="BT74" s="26">
        <f>IF(BT$6="","",IF(WEEKDAY(BT$6,1)=1,0,MAX(0,BT72-8)*BT71))</f>
      </c>
      <c r="BU74" s="26">
        <f>IF(BU$6="","",IF(WEEKDAY(BU$6,1)=1,0,MAX(0,BU72-8)*BU71))</f>
      </c>
      <c r="BV74" s="26">
        <f>IF(BV$6="","",IF(WEEKDAY(BV$6,1)=1,0,MAX(0,BV72-8)*BV71))</f>
      </c>
      <c r="BW74" s="26">
        <f>IF(BW$6="","",IF(WEEKDAY(BW$6,1)=1,0,MAX(0,BW72-8)*BW71))</f>
      </c>
      <c r="BX74" s="26">
        <f>IF(BX$6="","",IF(WEEKDAY(BX$6,1)=1,0,MAX(0,BX72-8)*BX71))</f>
      </c>
      <c r="BY74" s="26">
        <f>IF(BY$6="","",IF(WEEKDAY(BY$6,1)=1,0,MAX(0,BY72-8)*BY71))</f>
      </c>
      <c r="BZ74" s="26">
        <f>IF(BZ$6="","",IF(WEEKDAY(BZ$6,1)=1,0,MAX(0,BZ72-8)*BZ71))</f>
      </c>
      <c r="CA74" s="26">
        <f>IF(CA$6="","",IF(WEEKDAY(CA$6,1)=1,0,MAX(0,CA72-8)*CA71))</f>
      </c>
      <c r="CB74" s="26">
        <f>IF(CB$6="","",IF(WEEKDAY(CB$6,1)=1,0,MAX(0,CB72-8)*CB71))</f>
      </c>
      <c r="CC74" s="26">
        <f>IF(CC$6="","",IF(WEEKDAY(CC$6,1)=1,0,MAX(0,CC72-8)*CC71))</f>
      </c>
      <c r="CD74" s="26">
        <f>IF(CD$6="","",IF(WEEKDAY(CD$6,1)=1,0,MAX(0,CD72-8)*CD71))</f>
      </c>
      <c r="CE74" s="26">
        <f>IF(CE$6="","",IF(WEEKDAY(CE$6,1)=1,0,MAX(0,CE72-8)*CE71))</f>
      </c>
      <c r="CF74" s="26">
        <f>IF(CF$6="","",IF(WEEKDAY(CF$6,1)=1,0,MAX(0,CF72-8)*CF71))</f>
      </c>
      <c r="CG74" s="26">
        <f>IF(CG$6="","",IF(WEEKDAY(CG$6,1)=1,0,MAX(0,CG72-8)*CG71))</f>
      </c>
      <c r="CH74" s="26">
        <f>IF(CH$6="","",IF(WEEKDAY(CH$6,1)=1,0,MAX(0,CH72-8)*CH71))</f>
      </c>
      <c r="CI74" s="26">
        <f>IF(CI$6="","",IF(WEEKDAY(CI$6,1)=1,0,MAX(0,CI72-8)*CI71))</f>
      </c>
      <c r="CJ74" s="26">
        <f>IF(CJ$6="","",IF(WEEKDAY(CJ$6,1)=1,0,MAX(0,CJ72-8)*CJ71))</f>
      </c>
      <c r="CK74" s="26">
        <f>IF(CK$6="","",IF(WEEKDAY(CK$6,1)=1,0,MAX(0,CK72-8)*CK71))</f>
      </c>
      <c r="CL74" s="26">
        <f>IF(CL$6="","",IF(WEEKDAY(CL$6,1)=1,0,MAX(0,CL72-8)*CL71))</f>
      </c>
      <c r="CM74" s="26">
        <f>IF(CM$6="","",IF(WEEKDAY(CM$6,1)=1,0,MAX(0,CM72-8)*CM71))</f>
      </c>
      <c r="CN74" s="26">
        <f>IF(CN$6="","",IF(WEEKDAY(CN$6,1)=1,0,MAX(0,CN72-8)*CN71))</f>
      </c>
      <c r="CO74" s="26">
        <f>IF(CO$6="","",IF(WEEKDAY(CO$6,1)=1,0,MAX(0,CO72-8)*CO71))</f>
      </c>
      <c r="CP74" s="26">
        <f>IF(CP$6="","",IF(WEEKDAY(CP$6,1)=1,0,MAX(0,CP72-8)*CP71))</f>
      </c>
      <c r="CQ74" s="26">
        <f>IF(CQ$6="","",IF(WEEKDAY(CQ$6,1)=1,0,MAX(0,CQ72-8)*CQ71))</f>
      </c>
      <c r="CR74" s="26">
        <f>IF(CR$6="","",IF(WEEKDAY(CR$6,1)=1,0,MAX(0,CR72-8)*CR71))</f>
      </c>
      <c r="CS74" s="26">
        <f>IF(CS$6="","",IF(WEEKDAY(CS$6,1)=1,0,MAX(0,CS72-8)*CS71))</f>
      </c>
      <c r="CT74" s="26">
        <f>IF(CT$6="","",IF(WEEKDAY(CT$6,1)=1,0,MAX(0,CT72-8)*CT71))</f>
      </c>
      <c r="CU74" s="26">
        <f>IF(CU$6="","",IF(WEEKDAY(CU$6,1)=1,0,MAX(0,CU72-8)*CU71))</f>
      </c>
      <c r="CV74" s="26">
        <f>IF(CV$6="","",IF(WEEKDAY(CV$6,1)=1,0,MAX(0,CV72-8)*CV71))</f>
      </c>
      <c r="CW74" s="26">
        <f>IF(CW$6="","",IF(WEEKDAY(CW$6,1)=1,0,MAX(0,CW72-8)*CW71))</f>
      </c>
      <c r="CX74" s="8" t="s">
        <v>57</v>
      </c>
    </row>
    <row r="75" spans="2:102" x14ac:dyDescent="0.25">
      <c r="B75" s="26">
        <f>SUM(L75:CW75)</f>
      </c>
      <c r="D75" s="27">
        <f>B75*E75</f>
      </c>
      <c r="E75" s="27">
        <f>'Rate Tables'!E12</f>
      </c>
      <c r="F75" s="8" t="s">
        <v>41</v>
      </c>
      <c r="L75" s="26">
        <f>IF(L$6="","",IF(WEEKDAY(L$6,1)=1,L72*L71,0))</f>
      </c>
      <c r="M75" s="26">
        <f>IF(M$6="","",IF(WEEKDAY(M$6,1)=1,M72*M71,0))</f>
      </c>
      <c r="N75" s="26">
        <f>IF(N$6="","",IF(WEEKDAY(N$6,1)=1,N72*N71,0))</f>
      </c>
      <c r="O75" s="26">
        <f>IF(O$6="","",IF(WEEKDAY(O$6,1)=1,O72*O71,0))</f>
      </c>
      <c r="P75" s="26">
        <f>IF(P$6="","",IF(WEEKDAY(P$6,1)=1,P72*P71,0))</f>
      </c>
      <c r="Q75" s="26">
        <f>IF(Q$6="","",IF(WEEKDAY(Q$6,1)=1,Q72*Q71,0))</f>
      </c>
      <c r="R75" s="26">
        <f>IF(R$6="","",IF(WEEKDAY(R$6,1)=1,R72*R71,0))</f>
      </c>
      <c r="S75" s="26">
        <f>IF(S$6="","",IF(WEEKDAY(S$6,1)=1,S72*S71,0))</f>
      </c>
      <c r="T75" s="26">
        <f>IF(T$6="","",IF(WEEKDAY(T$6,1)=1,T72*T71,0))</f>
      </c>
      <c r="U75" s="26">
        <f>IF(U$6="","",IF(WEEKDAY(U$6,1)=1,U72*U71,0))</f>
      </c>
      <c r="V75" s="26">
        <f>IF(V$6="","",IF(WEEKDAY(V$6,1)=1,V72*V71,0))</f>
      </c>
      <c r="W75" s="26">
        <f>IF(W$6="","",IF(WEEKDAY(W$6,1)=1,W72*W71,0))</f>
      </c>
      <c r="X75" s="26">
        <f>IF(X$6="","",IF(WEEKDAY(X$6,1)=1,X72*X71,0))</f>
      </c>
      <c r="Y75" s="26">
        <f>IF(Y$6="","",IF(WEEKDAY(Y$6,1)=1,Y72*Y71,0))</f>
      </c>
      <c r="Z75" s="26">
        <f>IF(Z$6="","",IF(WEEKDAY(Z$6,1)=1,Z72*Z71,0))</f>
      </c>
      <c r="AA75" s="26">
        <f>IF(AA$6="","",IF(WEEKDAY(AA$6,1)=1,AA72*AA71,0))</f>
      </c>
      <c r="AB75" s="26">
        <f>IF(AB$6="","",IF(WEEKDAY(AB$6,1)=1,AB72*AB71,0))</f>
      </c>
      <c r="AC75" s="26">
        <f>IF(AC$6="","",IF(WEEKDAY(AC$6,1)=1,AC72*AC71,0))</f>
      </c>
      <c r="AD75" s="26">
        <f>IF(AD$6="","",IF(WEEKDAY(AD$6,1)=1,AD72*AD71,0))</f>
      </c>
      <c r="AE75" s="26">
        <f>IF(AE$6="","",IF(WEEKDAY(AE$6,1)=1,AE72*AE71,0))</f>
      </c>
      <c r="AF75" s="26">
        <f>IF(AF$6="","",IF(WEEKDAY(AF$6,1)=1,AF72*AF71,0))</f>
      </c>
      <c r="AG75" s="26">
        <f>IF(AG$6="","",IF(WEEKDAY(AG$6,1)=1,AG72*AG71,0))</f>
      </c>
      <c r="AH75" s="26">
        <f>IF(AH$6="","",IF(WEEKDAY(AH$6,1)=1,AH72*AH71,0))</f>
      </c>
      <c r="AI75" s="26">
        <f>IF(AI$6="","",IF(WEEKDAY(AI$6,1)=1,AI72*AI71,0))</f>
      </c>
      <c r="AJ75" s="26">
        <f>IF(AJ$6="","",IF(WEEKDAY(AJ$6,1)=1,AJ72*AJ71,0))</f>
      </c>
      <c r="AK75" s="26">
        <f>IF(AK$6="","",IF(WEEKDAY(AK$6,1)=1,AK72*AK71,0))</f>
      </c>
      <c r="AL75" s="26">
        <f>IF(AL$6="","",IF(WEEKDAY(AL$6,1)=1,AL72*AL71,0))</f>
      </c>
      <c r="AM75" s="26">
        <f>IF(AM$6="","",IF(WEEKDAY(AM$6,1)=1,AM72*AM71,0))</f>
      </c>
      <c r="AN75" s="26">
        <f>IF(AN$6="","",IF(WEEKDAY(AN$6,1)=1,AN72*AN71,0))</f>
      </c>
      <c r="AO75" s="26">
        <f>IF(AO$6="","",IF(WEEKDAY(AO$6,1)=1,AO72*AO71,0))</f>
      </c>
      <c r="AP75" s="26">
        <f>IF(AP$6="","",IF(WEEKDAY(AP$6,1)=1,AP72*AP71,0))</f>
      </c>
      <c r="AQ75" s="26">
        <f>IF(AQ$6="","",IF(WEEKDAY(AQ$6,1)=1,AQ72*AQ71,0))</f>
      </c>
      <c r="AR75" s="26">
        <f>IF(AR$6="","",IF(WEEKDAY(AR$6,1)=1,AR72*AR71,0))</f>
      </c>
      <c r="AS75" s="26">
        <f>IF(AS$6="","",IF(WEEKDAY(AS$6,1)=1,AS72*AS71,0))</f>
      </c>
      <c r="AT75" s="26">
        <f>IF(AT$6="","",IF(WEEKDAY(AT$6,1)=1,AT72*AT71,0))</f>
      </c>
      <c r="AU75" s="26">
        <f>IF(AU$6="","",IF(WEEKDAY(AU$6,1)=1,AU72*AU71,0))</f>
      </c>
      <c r="AV75" s="26">
        <f>IF(AV$6="","",IF(WEEKDAY(AV$6,1)=1,AV72*AV71,0))</f>
      </c>
      <c r="AW75" s="26">
        <f>IF(AW$6="","",IF(WEEKDAY(AW$6,1)=1,AW72*AW71,0))</f>
      </c>
      <c r="AX75" s="26">
        <f>IF(AX$6="","",IF(WEEKDAY(AX$6,1)=1,AX72*AX71,0))</f>
      </c>
      <c r="AY75" s="26">
        <f>IF(AY$6="","",IF(WEEKDAY(AY$6,1)=1,AY72*AY71,0))</f>
      </c>
      <c r="AZ75" s="26">
        <f>IF(AZ$6="","",IF(WEEKDAY(AZ$6,1)=1,AZ72*AZ71,0))</f>
      </c>
      <c r="BA75" s="26">
        <f>IF(BA$6="","",IF(WEEKDAY(BA$6,1)=1,BA72*BA71,0))</f>
      </c>
      <c r="BB75" s="26">
        <f>IF(BB$6="","",IF(WEEKDAY(BB$6,1)=1,BB72*BB71,0))</f>
      </c>
      <c r="BC75" s="26">
        <f>IF(BC$6="","",IF(WEEKDAY(BC$6,1)=1,BC72*BC71,0))</f>
      </c>
      <c r="BD75" s="26">
        <f>IF(BD$6="","",IF(WEEKDAY(BD$6,1)=1,BD72*BD71,0))</f>
      </c>
      <c r="BE75" s="26">
        <f>IF(BE$6="","",IF(WEEKDAY(BE$6,1)=1,BE72*BE71,0))</f>
      </c>
      <c r="BF75" s="26">
        <f>IF(BF$6="","",IF(WEEKDAY(BF$6,1)=1,BF72*BF71,0))</f>
      </c>
      <c r="BG75" s="26">
        <f>IF(BG$6="","",IF(WEEKDAY(BG$6,1)=1,BG72*BG71,0))</f>
      </c>
      <c r="BH75" s="26">
        <f>IF(BH$6="","",IF(WEEKDAY(BH$6,1)=1,BH72*BH71,0))</f>
      </c>
      <c r="BI75" s="26">
        <f>IF(BI$6="","",IF(WEEKDAY(BI$6,1)=1,BI72*BI71,0))</f>
      </c>
      <c r="BJ75" s="26">
        <f>IF(BJ$6="","",IF(WEEKDAY(BJ$6,1)=1,BJ72*BJ71,0))</f>
      </c>
      <c r="BK75" s="26">
        <f>IF(BK$6="","",IF(WEEKDAY(BK$6,1)=1,BK72*BK71,0))</f>
      </c>
      <c r="BL75" s="26">
        <f>IF(BL$6="","",IF(WEEKDAY(BL$6,1)=1,BL72*BL71,0))</f>
      </c>
      <c r="BM75" s="26">
        <f>IF(BM$6="","",IF(WEEKDAY(BM$6,1)=1,BM72*BM71,0))</f>
      </c>
      <c r="BN75" s="26">
        <f>IF(BN$6="","",IF(WEEKDAY(BN$6,1)=1,BN72*BN71,0))</f>
      </c>
      <c r="BO75" s="26">
        <f>IF(BO$6="","",IF(WEEKDAY(BO$6,1)=1,BO72*BO71,0))</f>
      </c>
      <c r="BP75" s="26">
        <f>IF(BP$6="","",IF(WEEKDAY(BP$6,1)=1,BP72*BP71,0))</f>
      </c>
      <c r="BQ75" s="26">
        <f>IF(BQ$6="","",IF(WEEKDAY(BQ$6,1)=1,BQ72*BQ71,0))</f>
      </c>
      <c r="BR75" s="26">
        <f>IF(BR$6="","",IF(WEEKDAY(BR$6,1)=1,BR72*BR71,0))</f>
      </c>
      <c r="BS75" s="26">
        <f>IF(BS$6="","",IF(WEEKDAY(BS$6,1)=1,BS72*BS71,0))</f>
      </c>
      <c r="BT75" s="26">
        <f>IF(BT$6="","",IF(WEEKDAY(BT$6,1)=1,BT72*BT71,0))</f>
      </c>
      <c r="BU75" s="26">
        <f>IF(BU$6="","",IF(WEEKDAY(BU$6,1)=1,BU72*BU71,0))</f>
      </c>
      <c r="BV75" s="26">
        <f>IF(BV$6="","",IF(WEEKDAY(BV$6,1)=1,BV72*BV71,0))</f>
      </c>
      <c r="BW75" s="26">
        <f>IF(BW$6="","",IF(WEEKDAY(BW$6,1)=1,BW72*BW71,0))</f>
      </c>
      <c r="BX75" s="26">
        <f>IF(BX$6="","",IF(WEEKDAY(BX$6,1)=1,BX72*BX71,0))</f>
      </c>
      <c r="BY75" s="26">
        <f>IF(BY$6="","",IF(WEEKDAY(BY$6,1)=1,BY72*BY71,0))</f>
      </c>
      <c r="BZ75" s="26">
        <f>IF(BZ$6="","",IF(WEEKDAY(BZ$6,1)=1,BZ72*BZ71,0))</f>
      </c>
      <c r="CA75" s="26">
        <f>IF(CA$6="","",IF(WEEKDAY(CA$6,1)=1,CA72*CA71,0))</f>
      </c>
      <c r="CB75" s="26">
        <f>IF(CB$6="","",IF(WEEKDAY(CB$6,1)=1,CB72*CB71,0))</f>
      </c>
      <c r="CC75" s="26">
        <f>IF(CC$6="","",IF(WEEKDAY(CC$6,1)=1,CC72*CC71,0))</f>
      </c>
      <c r="CD75" s="26">
        <f>IF(CD$6="","",IF(WEEKDAY(CD$6,1)=1,CD72*CD71,0))</f>
      </c>
      <c r="CE75" s="26">
        <f>IF(CE$6="","",IF(WEEKDAY(CE$6,1)=1,CE72*CE71,0))</f>
      </c>
      <c r="CF75" s="26">
        <f>IF(CF$6="","",IF(WEEKDAY(CF$6,1)=1,CF72*CF71,0))</f>
      </c>
      <c r="CG75" s="26">
        <f>IF(CG$6="","",IF(WEEKDAY(CG$6,1)=1,CG72*CG71,0))</f>
      </c>
      <c r="CH75" s="26">
        <f>IF(CH$6="","",IF(WEEKDAY(CH$6,1)=1,CH72*CH71,0))</f>
      </c>
      <c r="CI75" s="26">
        <f>IF(CI$6="","",IF(WEEKDAY(CI$6,1)=1,CI72*CI71,0))</f>
      </c>
      <c r="CJ75" s="26">
        <f>IF(CJ$6="","",IF(WEEKDAY(CJ$6,1)=1,CJ72*CJ71,0))</f>
      </c>
      <c r="CK75" s="26">
        <f>IF(CK$6="","",IF(WEEKDAY(CK$6,1)=1,CK72*CK71,0))</f>
      </c>
      <c r="CL75" s="26">
        <f>IF(CL$6="","",IF(WEEKDAY(CL$6,1)=1,CL72*CL71,0))</f>
      </c>
      <c r="CM75" s="26">
        <f>IF(CM$6="","",IF(WEEKDAY(CM$6,1)=1,CM72*CM71,0))</f>
      </c>
      <c r="CN75" s="26">
        <f>IF(CN$6="","",IF(WEEKDAY(CN$6,1)=1,CN72*CN71,0))</f>
      </c>
      <c r="CO75" s="26">
        <f>IF(CO$6="","",IF(WEEKDAY(CO$6,1)=1,CO72*CO71,0))</f>
      </c>
      <c r="CP75" s="26">
        <f>IF(CP$6="","",IF(WEEKDAY(CP$6,1)=1,CP72*CP71,0))</f>
      </c>
      <c r="CQ75" s="26">
        <f>IF(CQ$6="","",IF(WEEKDAY(CQ$6,1)=1,CQ72*CQ71,0))</f>
      </c>
      <c r="CR75" s="26">
        <f>IF(CR$6="","",IF(WEEKDAY(CR$6,1)=1,CR72*CR71,0))</f>
      </c>
      <c r="CS75" s="26">
        <f>IF(CS$6="","",IF(WEEKDAY(CS$6,1)=1,CS72*CS71,0))</f>
      </c>
      <c r="CT75" s="26">
        <f>IF(CT$6="","",IF(WEEKDAY(CT$6,1)=1,CT72*CT71,0))</f>
      </c>
      <c r="CU75" s="26">
        <f>IF(CU$6="","",IF(WEEKDAY(CU$6,1)=1,CU72*CU71,0))</f>
      </c>
      <c r="CV75" s="26">
        <f>IF(CV$6="","",IF(WEEKDAY(CV$6,1)=1,CV72*CV71,0))</f>
      </c>
      <c r="CW75" s="26">
        <f>IF(CW$6="","",IF(WEEKDAY(CW$6,1)=1,CW72*CW71,0))</f>
      </c>
      <c r="CX75" s="8" t="s">
        <v>57</v>
      </c>
    </row>
    <row r="76" spans="2:102" x14ac:dyDescent="0.25">
      <c r="B76" s="26">
        <f>SUM(L76:CW76)</f>
      </c>
      <c r="D76" s="27">
        <f>B76*E76</f>
      </c>
      <c r="E76" s="27">
        <v>140</v>
      </c>
      <c r="F76" s="8" t="s">
        <v>42</v>
      </c>
      <c r="L76" s="28">
        <v>0</v>
      </c>
      <c r="M76" s="28">
        <v>0</v>
      </c>
      <c r="N76" s="28">
        <v>0</v>
      </c>
      <c r="O76" s="28">
        <v>0</v>
      </c>
      <c r="P76" s="28">
        <v>0</v>
      </c>
      <c r="Q76" s="28">
        <v>0</v>
      </c>
      <c r="R76" s="28">
        <v>0</v>
      </c>
      <c r="S76" s="28">
        <v>0</v>
      </c>
      <c r="T76" s="28">
        <v>0</v>
      </c>
      <c r="U76" s="28">
        <v>0</v>
      </c>
      <c r="V76" s="28">
        <v>0</v>
      </c>
      <c r="W76" s="28">
        <v>0</v>
      </c>
      <c r="X76" s="28">
        <v>0</v>
      </c>
      <c r="Y76" s="28">
        <v>0</v>
      </c>
      <c r="Z76" s="28">
        <v>0</v>
      </c>
      <c r="AA76" s="28">
        <v>0</v>
      </c>
      <c r="AB76" s="28">
        <v>0</v>
      </c>
      <c r="AC76" s="28">
        <v>0</v>
      </c>
      <c r="AD76" s="28">
        <v>0</v>
      </c>
      <c r="AE76" s="28">
        <v>0</v>
      </c>
      <c r="AF76" s="28">
        <v>0</v>
      </c>
      <c r="AG76" s="28">
        <v>0</v>
      </c>
      <c r="AH76" s="28">
        <v>0</v>
      </c>
      <c r="AI76" s="28">
        <v>0</v>
      </c>
      <c r="AJ76" s="28">
        <v>0</v>
      </c>
      <c r="AK76" s="28">
        <v>0</v>
      </c>
      <c r="AL76" s="28">
        <v>0</v>
      </c>
      <c r="AM76" s="28">
        <v>0</v>
      </c>
      <c r="AN76" s="28">
        <v>0</v>
      </c>
      <c r="AO76" s="28">
        <v>0</v>
      </c>
      <c r="AP76" s="28">
        <v>0</v>
      </c>
      <c r="AQ76" s="28">
        <v>0</v>
      </c>
      <c r="AR76" s="28">
        <v>0</v>
      </c>
      <c r="AS76" s="28">
        <v>0</v>
      </c>
      <c r="AT76" s="28">
        <v>0</v>
      </c>
      <c r="AU76" s="28">
        <v>0</v>
      </c>
      <c r="AV76" s="28">
        <v>0</v>
      </c>
      <c r="AW76" s="28">
        <v>0</v>
      </c>
      <c r="AX76" s="28">
        <v>0</v>
      </c>
      <c r="AY76" s="28">
        <v>0</v>
      </c>
      <c r="AZ76" s="28">
        <v>0</v>
      </c>
      <c r="BA76" s="28">
        <v>0</v>
      </c>
      <c r="BB76" s="28">
        <v>0</v>
      </c>
      <c r="BC76" s="28">
        <v>0</v>
      </c>
      <c r="BD76" s="28">
        <v>0</v>
      </c>
      <c r="BE76" s="28">
        <v>0</v>
      </c>
      <c r="BF76" s="28">
        <v>0</v>
      </c>
      <c r="BG76" s="28">
        <v>0</v>
      </c>
      <c r="BH76" s="28">
        <v>0</v>
      </c>
      <c r="BI76" s="28">
        <v>1</v>
      </c>
      <c r="BJ76" s="28">
        <v>1</v>
      </c>
      <c r="BK76" s="28">
        <v>1</v>
      </c>
      <c r="BL76" s="28">
        <v>1</v>
      </c>
      <c r="BM76" s="28">
        <v>1</v>
      </c>
      <c r="BN76" s="28">
        <v>1</v>
      </c>
      <c r="BO76" s="28">
        <v>1</v>
      </c>
      <c r="BP76" s="28">
        <v>1</v>
      </c>
      <c r="BQ76" s="28">
        <v>1</v>
      </c>
      <c r="BR76" s="28">
        <v>1</v>
      </c>
      <c r="BS76" s="28">
        <v>7</v>
      </c>
      <c r="BT76" s="28">
        <v>7</v>
      </c>
      <c r="BU76" s="28">
        <v>7</v>
      </c>
      <c r="BV76" s="28">
        <v>7</v>
      </c>
      <c r="BW76" s="28">
        <v>7</v>
      </c>
      <c r="BX76" s="28">
        <v>7</v>
      </c>
      <c r="BY76" s="28">
        <v>7</v>
      </c>
      <c r="BZ76" s="28">
        <v>7</v>
      </c>
      <c r="CA76" s="28">
        <v>7</v>
      </c>
      <c r="CB76" s="28">
        <v>7</v>
      </c>
      <c r="CC76" s="28">
        <v>7</v>
      </c>
      <c r="CD76" s="28">
        <v>7</v>
      </c>
      <c r="CE76" s="28">
        <v>7</v>
      </c>
      <c r="CF76" s="28">
        <v>7</v>
      </c>
      <c r="CG76" s="28">
        <v>7</v>
      </c>
      <c r="CH76" s="28">
        <v>7</v>
      </c>
      <c r="CI76" s="28">
        <v>7</v>
      </c>
      <c r="CJ76" s="28">
        <v>7</v>
      </c>
      <c r="CK76" s="28">
        <v>7</v>
      </c>
      <c r="CL76" s="28">
        <v>7</v>
      </c>
      <c r="CM76" s="28">
        <v>7</v>
      </c>
      <c r="CN76" s="28">
        <v>7</v>
      </c>
      <c r="CO76" s="28">
        <v>7</v>
      </c>
      <c r="CP76" s="28">
        <v>7</v>
      </c>
      <c r="CQ76" s="28">
        <v>7</v>
      </c>
      <c r="CR76" s="28">
        <v>7</v>
      </c>
      <c r="CS76" s="28">
        <v>7</v>
      </c>
      <c r="CT76" s="28">
        <v>7</v>
      </c>
      <c r="CU76" s="28">
        <v>7</v>
      </c>
      <c r="CV76" s="28">
        <v>7</v>
      </c>
      <c r="CW76" s="28">
        <v>7</v>
      </c>
      <c r="CX76" s="8" t="s">
        <v>57</v>
      </c>
    </row>
    <row r="77" spans="1:102" x14ac:dyDescent="0.25">
      <c r="A77" s="20" t="s">
        <v>32</v>
      </c>
      <c r="B77" s="21">
        <f>G77+H77+I77</f>
      </c>
      <c r="C77" s="20" t="s">
        <v>58</v>
      </c>
      <c r="D77" s="22">
        <f>K77</f>
      </c>
      <c r="F77" s="20" t="s">
        <v>34</v>
      </c>
      <c r="G77" s="21">
        <f>B80</f>
      </c>
      <c r="H77" s="21">
        <f>B81</f>
      </c>
      <c r="I77" s="21">
        <f>B82</f>
      </c>
      <c r="J77" s="21">
        <f>B83</f>
      </c>
      <c r="K77" s="22">
        <f>D80+D81+D82</f>
      </c>
      <c r="CX77" s="20" t="s">
        <v>59</v>
      </c>
    </row>
    <row r="78" spans="6:102" x14ac:dyDescent="0.25">
      <c r="F78" s="23" t="s">
        <v>36</v>
      </c>
      <c r="L78" s="24">
        <v>1</v>
      </c>
      <c r="M78" s="24">
        <v>1</v>
      </c>
      <c r="N78" s="24">
        <v>1</v>
      </c>
      <c r="O78" s="24">
        <v>1</v>
      </c>
      <c r="P78" s="24">
        <v>1</v>
      </c>
      <c r="Q78" s="24">
        <v>0</v>
      </c>
      <c r="R78" s="24">
        <v>0</v>
      </c>
      <c r="S78" s="24">
        <v>1</v>
      </c>
      <c r="T78" s="24">
        <v>1</v>
      </c>
      <c r="U78" s="24">
        <v>1</v>
      </c>
      <c r="V78" s="24">
        <v>1</v>
      </c>
      <c r="W78" s="24">
        <v>1</v>
      </c>
      <c r="X78" s="24">
        <v>0</v>
      </c>
      <c r="Y78" s="24">
        <v>0</v>
      </c>
      <c r="Z78" s="24">
        <v>1</v>
      </c>
      <c r="AA78" s="24">
        <v>1</v>
      </c>
      <c r="AB78" s="24">
        <v>1</v>
      </c>
      <c r="AC78" s="24">
        <v>1</v>
      </c>
      <c r="AD78" s="24">
        <v>1</v>
      </c>
      <c r="AE78" s="24">
        <v>0</v>
      </c>
      <c r="AF78" s="24">
        <v>0</v>
      </c>
      <c r="AG78" s="24">
        <v>1</v>
      </c>
      <c r="AH78" s="24">
        <v>1</v>
      </c>
      <c r="AI78" s="24">
        <v>1</v>
      </c>
      <c r="AJ78" s="24">
        <v>1</v>
      </c>
      <c r="AK78" s="24">
        <v>1</v>
      </c>
      <c r="AL78" s="24">
        <v>0</v>
      </c>
      <c r="AM78" s="24">
        <v>0</v>
      </c>
      <c r="AN78" s="24">
        <v>1</v>
      </c>
      <c r="AO78" s="24">
        <v>1</v>
      </c>
      <c r="AP78" s="24">
        <v>1</v>
      </c>
      <c r="AQ78" s="24">
        <v>1</v>
      </c>
      <c r="AR78" s="24">
        <v>1</v>
      </c>
      <c r="AS78" s="24">
        <v>0</v>
      </c>
      <c r="AT78" s="24">
        <v>0</v>
      </c>
      <c r="AU78" s="24">
        <v>1</v>
      </c>
      <c r="AV78" s="24">
        <v>1</v>
      </c>
      <c r="AW78" s="24">
        <v>1</v>
      </c>
      <c r="AX78" s="24">
        <v>1</v>
      </c>
      <c r="AY78" s="24">
        <v>1</v>
      </c>
      <c r="AZ78" s="24">
        <v>0</v>
      </c>
      <c r="BA78" s="24">
        <v>0</v>
      </c>
      <c r="BB78" s="24">
        <v>1</v>
      </c>
      <c r="BC78" s="24">
        <v>1</v>
      </c>
      <c r="BD78" s="24">
        <v>1</v>
      </c>
      <c r="BE78" s="24">
        <v>1</v>
      </c>
      <c r="BF78" s="24">
        <v>1</v>
      </c>
      <c r="BG78" s="24">
        <v>0</v>
      </c>
      <c r="BH78" s="24">
        <v>0</v>
      </c>
      <c r="BI78" s="24">
        <v>1</v>
      </c>
      <c r="BJ78" s="24">
        <v>1</v>
      </c>
      <c r="BK78" s="24">
        <v>1</v>
      </c>
      <c r="BL78" s="24">
        <v>1</v>
      </c>
      <c r="BM78" s="24">
        <v>1</v>
      </c>
      <c r="BN78" s="24">
        <v>1</v>
      </c>
      <c r="BO78" s="24">
        <v>1</v>
      </c>
      <c r="BP78" s="24">
        <v>1</v>
      </c>
      <c r="BQ78" s="24">
        <v>1</v>
      </c>
      <c r="BR78" s="24">
        <v>1</v>
      </c>
      <c r="BS78" s="24">
        <v>1</v>
      </c>
      <c r="BT78" s="24">
        <v>1</v>
      </c>
      <c r="BU78" s="24">
        <v>1</v>
      </c>
      <c r="BV78" s="24">
        <v>1</v>
      </c>
      <c r="BW78" s="24">
        <v>1</v>
      </c>
      <c r="BX78" s="24">
        <v>1</v>
      </c>
      <c r="BY78" s="24">
        <v>1</v>
      </c>
      <c r="BZ78" s="24">
        <v>1</v>
      </c>
      <c r="CA78" s="24">
        <v>1</v>
      </c>
      <c r="CB78" s="24">
        <v>1</v>
      </c>
      <c r="CC78" s="24">
        <v>1</v>
      </c>
      <c r="CD78" s="24">
        <v>1</v>
      </c>
      <c r="CE78" s="24">
        <v>1</v>
      </c>
      <c r="CF78" s="24">
        <v>1</v>
      </c>
      <c r="CG78" s="24">
        <v>1</v>
      </c>
      <c r="CH78" s="24">
        <v>1</v>
      </c>
      <c r="CI78" s="24">
        <v>1</v>
      </c>
      <c r="CJ78" s="24">
        <v>1</v>
      </c>
      <c r="CK78" s="24">
        <v>1</v>
      </c>
      <c r="CL78" s="24">
        <v>1</v>
      </c>
      <c r="CM78" s="24">
        <v>1</v>
      </c>
      <c r="CN78" s="24">
        <v>1</v>
      </c>
      <c r="CO78" s="24">
        <v>1</v>
      </c>
      <c r="CP78" s="24">
        <v>1</v>
      </c>
      <c r="CQ78" s="24">
        <v>1</v>
      </c>
      <c r="CR78" s="24">
        <v>1</v>
      </c>
      <c r="CS78" s="24">
        <v>1</v>
      </c>
      <c r="CT78" s="24">
        <v>1</v>
      </c>
      <c r="CU78" s="24">
        <v>1</v>
      </c>
      <c r="CV78" s="24">
        <v>1</v>
      </c>
      <c r="CW78" s="24">
        <v>1</v>
      </c>
      <c r="CX78" s="23" t="s">
        <v>59</v>
      </c>
    </row>
    <row r="79" spans="1:102" x14ac:dyDescent="0.25">
      <c r="A79" s="23" t="s">
        <v>37</v>
      </c>
      <c r="F79" s="23" t="s">
        <v>38</v>
      </c>
      <c r="L79" s="25">
        <v>8</v>
      </c>
      <c r="M79" s="25">
        <v>8</v>
      </c>
      <c r="N79" s="25">
        <v>8</v>
      </c>
      <c r="O79" s="25">
        <v>8</v>
      </c>
      <c r="P79" s="25">
        <v>8</v>
      </c>
      <c r="Q79" s="25">
        <v>0</v>
      </c>
      <c r="R79" s="25">
        <v>0</v>
      </c>
      <c r="S79" s="25">
        <v>8</v>
      </c>
      <c r="T79" s="25">
        <v>8</v>
      </c>
      <c r="U79" s="25">
        <v>8</v>
      </c>
      <c r="V79" s="25">
        <v>8</v>
      </c>
      <c r="W79" s="25">
        <v>8</v>
      </c>
      <c r="X79" s="25">
        <v>0</v>
      </c>
      <c r="Y79" s="25">
        <v>0</v>
      </c>
      <c r="Z79" s="25">
        <v>8</v>
      </c>
      <c r="AA79" s="25">
        <v>8</v>
      </c>
      <c r="AB79" s="25">
        <v>8</v>
      </c>
      <c r="AC79" s="25">
        <v>8</v>
      </c>
      <c r="AD79" s="25">
        <v>8</v>
      </c>
      <c r="AE79" s="25">
        <v>0</v>
      </c>
      <c r="AF79" s="25">
        <v>0</v>
      </c>
      <c r="AG79" s="25">
        <v>8</v>
      </c>
      <c r="AH79" s="25">
        <v>8</v>
      </c>
      <c r="AI79" s="25">
        <v>8</v>
      </c>
      <c r="AJ79" s="25">
        <v>8</v>
      </c>
      <c r="AK79" s="25">
        <v>8</v>
      </c>
      <c r="AL79" s="25">
        <v>0</v>
      </c>
      <c r="AM79" s="25">
        <v>0</v>
      </c>
      <c r="AN79" s="25">
        <v>8</v>
      </c>
      <c r="AO79" s="25">
        <v>8</v>
      </c>
      <c r="AP79" s="25">
        <v>8</v>
      </c>
      <c r="AQ79" s="25">
        <v>8</v>
      </c>
      <c r="AR79" s="25">
        <v>8</v>
      </c>
      <c r="AS79" s="25">
        <v>0</v>
      </c>
      <c r="AT79" s="25">
        <v>0</v>
      </c>
      <c r="AU79" s="25">
        <v>8</v>
      </c>
      <c r="AV79" s="25">
        <v>8</v>
      </c>
      <c r="AW79" s="25">
        <v>8</v>
      </c>
      <c r="AX79" s="25">
        <v>8</v>
      </c>
      <c r="AY79" s="25">
        <v>8</v>
      </c>
      <c r="AZ79" s="25">
        <v>0</v>
      </c>
      <c r="BA79" s="25">
        <v>0</v>
      </c>
      <c r="BB79" s="25">
        <v>8</v>
      </c>
      <c r="BC79" s="25">
        <v>8</v>
      </c>
      <c r="BD79" s="25">
        <v>8</v>
      </c>
      <c r="BE79" s="25">
        <v>8</v>
      </c>
      <c r="BF79" s="25">
        <v>8</v>
      </c>
      <c r="BG79" s="25">
        <v>0</v>
      </c>
      <c r="BH79" s="25">
        <v>0</v>
      </c>
      <c r="BI79" s="25">
        <v>11</v>
      </c>
      <c r="BJ79" s="25">
        <v>11</v>
      </c>
      <c r="BK79" s="25">
        <v>11</v>
      </c>
      <c r="BL79" s="25">
        <v>11</v>
      </c>
      <c r="BM79" s="25">
        <v>11</v>
      </c>
      <c r="BN79" s="25">
        <v>11</v>
      </c>
      <c r="BO79" s="25">
        <v>11</v>
      </c>
      <c r="BP79" s="25">
        <v>11</v>
      </c>
      <c r="BQ79" s="25">
        <v>11</v>
      </c>
      <c r="BR79" s="25">
        <v>11</v>
      </c>
      <c r="BS79" s="25">
        <v>11</v>
      </c>
      <c r="BT79" s="25">
        <v>11</v>
      </c>
      <c r="BU79" s="25">
        <v>11</v>
      </c>
      <c r="BV79" s="25">
        <v>11</v>
      </c>
      <c r="BW79" s="25">
        <v>11</v>
      </c>
      <c r="BX79" s="25">
        <v>11</v>
      </c>
      <c r="BY79" s="25">
        <v>11</v>
      </c>
      <c r="BZ79" s="25">
        <v>11</v>
      </c>
      <c r="CA79" s="25">
        <v>11</v>
      </c>
      <c r="CB79" s="25">
        <v>11</v>
      </c>
      <c r="CC79" s="25">
        <v>11</v>
      </c>
      <c r="CD79" s="25">
        <v>11</v>
      </c>
      <c r="CE79" s="25">
        <v>11</v>
      </c>
      <c r="CF79" s="25">
        <v>11</v>
      </c>
      <c r="CG79" s="25">
        <v>11</v>
      </c>
      <c r="CH79" s="25">
        <v>11</v>
      </c>
      <c r="CI79" s="25">
        <v>11</v>
      </c>
      <c r="CJ79" s="25">
        <v>11</v>
      </c>
      <c r="CK79" s="25">
        <v>11</v>
      </c>
      <c r="CL79" s="25">
        <v>11</v>
      </c>
      <c r="CM79" s="25">
        <v>11</v>
      </c>
      <c r="CN79" s="25">
        <v>11</v>
      </c>
      <c r="CO79" s="25">
        <v>11</v>
      </c>
      <c r="CP79" s="25">
        <v>11</v>
      </c>
      <c r="CQ79" s="25">
        <v>11</v>
      </c>
      <c r="CR79" s="25">
        <v>11</v>
      </c>
      <c r="CS79" s="25">
        <v>11</v>
      </c>
      <c r="CT79" s="25">
        <v>11</v>
      </c>
      <c r="CU79" s="25">
        <v>11</v>
      </c>
      <c r="CV79" s="25">
        <v>11</v>
      </c>
      <c r="CW79" s="25">
        <v>11</v>
      </c>
      <c r="CX79" s="23" t="s">
        <v>59</v>
      </c>
    </row>
    <row r="80" spans="2:102" x14ac:dyDescent="0.25">
      <c r="B80" s="26">
        <f>SUM(L80:CW80)</f>
      </c>
      <c r="D80" s="27">
        <f>B80*E80</f>
      </c>
      <c r="E80" s="27">
        <f>'Rate Tables'!C13</f>
      </c>
      <c r="F80" s="8" t="s">
        <v>39</v>
      </c>
      <c r="L80" s="26">
        <f>IF(L$6="","",IF(WEEKDAY(L$6,1)=1,0,MIN(8,L79)*L78))</f>
      </c>
      <c r="M80" s="26">
        <f>IF(M$6="","",IF(WEEKDAY(M$6,1)=1,0,MIN(8,M79)*M78))</f>
      </c>
      <c r="N80" s="26">
        <f>IF(N$6="","",IF(WEEKDAY(N$6,1)=1,0,MIN(8,N79)*N78))</f>
      </c>
      <c r="O80" s="26">
        <f>IF(O$6="","",IF(WEEKDAY(O$6,1)=1,0,MIN(8,O79)*O78))</f>
      </c>
      <c r="P80" s="26">
        <f>IF(P$6="","",IF(WEEKDAY(P$6,1)=1,0,MIN(8,P79)*P78))</f>
      </c>
      <c r="Q80" s="26">
        <f>IF(Q$6="","",IF(WEEKDAY(Q$6,1)=1,0,MIN(8,Q79)*Q78))</f>
      </c>
      <c r="R80" s="26">
        <f>IF(R$6="","",IF(WEEKDAY(R$6,1)=1,0,MIN(8,R79)*R78))</f>
      </c>
      <c r="S80" s="26">
        <f>IF(S$6="","",IF(WEEKDAY(S$6,1)=1,0,MIN(8,S79)*S78))</f>
      </c>
      <c r="T80" s="26">
        <f>IF(T$6="","",IF(WEEKDAY(T$6,1)=1,0,MIN(8,T79)*T78))</f>
      </c>
      <c r="U80" s="26">
        <f>IF(U$6="","",IF(WEEKDAY(U$6,1)=1,0,MIN(8,U79)*U78))</f>
      </c>
      <c r="V80" s="26">
        <f>IF(V$6="","",IF(WEEKDAY(V$6,1)=1,0,MIN(8,V79)*V78))</f>
      </c>
      <c r="W80" s="26">
        <f>IF(W$6="","",IF(WEEKDAY(W$6,1)=1,0,MIN(8,W79)*W78))</f>
      </c>
      <c r="X80" s="26">
        <f>IF(X$6="","",IF(WEEKDAY(X$6,1)=1,0,MIN(8,X79)*X78))</f>
      </c>
      <c r="Y80" s="26">
        <f>IF(Y$6="","",IF(WEEKDAY(Y$6,1)=1,0,MIN(8,Y79)*Y78))</f>
      </c>
      <c r="Z80" s="26">
        <f>IF(Z$6="","",IF(WEEKDAY(Z$6,1)=1,0,MIN(8,Z79)*Z78))</f>
      </c>
      <c r="AA80" s="26">
        <f>IF(AA$6="","",IF(WEEKDAY(AA$6,1)=1,0,MIN(8,AA79)*AA78))</f>
      </c>
      <c r="AB80" s="26">
        <f>IF(AB$6="","",IF(WEEKDAY(AB$6,1)=1,0,MIN(8,AB79)*AB78))</f>
      </c>
      <c r="AC80" s="26">
        <f>IF(AC$6="","",IF(WEEKDAY(AC$6,1)=1,0,MIN(8,AC79)*AC78))</f>
      </c>
      <c r="AD80" s="26">
        <f>IF(AD$6="","",IF(WEEKDAY(AD$6,1)=1,0,MIN(8,AD79)*AD78))</f>
      </c>
      <c r="AE80" s="26">
        <f>IF(AE$6="","",IF(WEEKDAY(AE$6,1)=1,0,MIN(8,AE79)*AE78))</f>
      </c>
      <c r="AF80" s="26">
        <f>IF(AF$6="","",IF(WEEKDAY(AF$6,1)=1,0,MIN(8,AF79)*AF78))</f>
      </c>
      <c r="AG80" s="26">
        <f>IF(AG$6="","",IF(WEEKDAY(AG$6,1)=1,0,MIN(8,AG79)*AG78))</f>
      </c>
      <c r="AH80" s="26">
        <f>IF(AH$6="","",IF(WEEKDAY(AH$6,1)=1,0,MIN(8,AH79)*AH78))</f>
      </c>
      <c r="AI80" s="26">
        <f>IF(AI$6="","",IF(WEEKDAY(AI$6,1)=1,0,MIN(8,AI79)*AI78))</f>
      </c>
      <c r="AJ80" s="26">
        <f>IF(AJ$6="","",IF(WEEKDAY(AJ$6,1)=1,0,MIN(8,AJ79)*AJ78))</f>
      </c>
      <c r="AK80" s="26">
        <f>IF(AK$6="","",IF(WEEKDAY(AK$6,1)=1,0,MIN(8,AK79)*AK78))</f>
      </c>
      <c r="AL80" s="26">
        <f>IF(AL$6="","",IF(WEEKDAY(AL$6,1)=1,0,MIN(8,AL79)*AL78))</f>
      </c>
      <c r="AM80" s="26">
        <f>IF(AM$6="","",IF(WEEKDAY(AM$6,1)=1,0,MIN(8,AM79)*AM78))</f>
      </c>
      <c r="AN80" s="26">
        <f>IF(AN$6="","",IF(WEEKDAY(AN$6,1)=1,0,MIN(8,AN79)*AN78))</f>
      </c>
      <c r="AO80" s="26">
        <f>IF(AO$6="","",IF(WEEKDAY(AO$6,1)=1,0,MIN(8,AO79)*AO78))</f>
      </c>
      <c r="AP80" s="26">
        <f>IF(AP$6="","",IF(WEEKDAY(AP$6,1)=1,0,MIN(8,AP79)*AP78))</f>
      </c>
      <c r="AQ80" s="26">
        <f>IF(AQ$6="","",IF(WEEKDAY(AQ$6,1)=1,0,MIN(8,AQ79)*AQ78))</f>
      </c>
      <c r="AR80" s="26">
        <f>IF(AR$6="","",IF(WEEKDAY(AR$6,1)=1,0,MIN(8,AR79)*AR78))</f>
      </c>
      <c r="AS80" s="26">
        <f>IF(AS$6="","",IF(WEEKDAY(AS$6,1)=1,0,MIN(8,AS79)*AS78))</f>
      </c>
      <c r="AT80" s="26">
        <f>IF(AT$6="","",IF(WEEKDAY(AT$6,1)=1,0,MIN(8,AT79)*AT78))</f>
      </c>
      <c r="AU80" s="26">
        <f>IF(AU$6="","",IF(WEEKDAY(AU$6,1)=1,0,MIN(8,AU79)*AU78))</f>
      </c>
      <c r="AV80" s="26">
        <f>IF(AV$6="","",IF(WEEKDAY(AV$6,1)=1,0,MIN(8,AV79)*AV78))</f>
      </c>
      <c r="AW80" s="26">
        <f>IF(AW$6="","",IF(WEEKDAY(AW$6,1)=1,0,MIN(8,AW79)*AW78))</f>
      </c>
      <c r="AX80" s="26">
        <f>IF(AX$6="","",IF(WEEKDAY(AX$6,1)=1,0,MIN(8,AX79)*AX78))</f>
      </c>
      <c r="AY80" s="26">
        <f>IF(AY$6="","",IF(WEEKDAY(AY$6,1)=1,0,MIN(8,AY79)*AY78))</f>
      </c>
      <c r="AZ80" s="26">
        <f>IF(AZ$6="","",IF(WEEKDAY(AZ$6,1)=1,0,MIN(8,AZ79)*AZ78))</f>
      </c>
      <c r="BA80" s="26">
        <f>IF(BA$6="","",IF(WEEKDAY(BA$6,1)=1,0,MIN(8,BA79)*BA78))</f>
      </c>
      <c r="BB80" s="26">
        <f>IF(BB$6="","",IF(WEEKDAY(BB$6,1)=1,0,MIN(8,BB79)*BB78))</f>
      </c>
      <c r="BC80" s="26">
        <f>IF(BC$6="","",IF(WEEKDAY(BC$6,1)=1,0,MIN(8,BC79)*BC78))</f>
      </c>
      <c r="BD80" s="26">
        <f>IF(BD$6="","",IF(WEEKDAY(BD$6,1)=1,0,MIN(8,BD79)*BD78))</f>
      </c>
      <c r="BE80" s="26">
        <f>IF(BE$6="","",IF(WEEKDAY(BE$6,1)=1,0,MIN(8,BE79)*BE78))</f>
      </c>
      <c r="BF80" s="26">
        <f>IF(BF$6="","",IF(WEEKDAY(BF$6,1)=1,0,MIN(8,BF79)*BF78))</f>
      </c>
      <c r="BG80" s="26">
        <f>IF(BG$6="","",IF(WEEKDAY(BG$6,1)=1,0,MIN(8,BG79)*BG78))</f>
      </c>
      <c r="BH80" s="26">
        <f>IF(BH$6="","",IF(WEEKDAY(BH$6,1)=1,0,MIN(8,BH79)*BH78))</f>
      </c>
      <c r="BI80" s="26">
        <f>IF(BI$6="","",IF(WEEKDAY(BI$6,1)=1,0,MIN(8,BI79)*BI78))</f>
      </c>
      <c r="BJ80" s="26">
        <f>IF(BJ$6="","",IF(WEEKDAY(BJ$6,1)=1,0,MIN(8,BJ79)*BJ78))</f>
      </c>
      <c r="BK80" s="26">
        <f>IF(BK$6="","",IF(WEEKDAY(BK$6,1)=1,0,MIN(8,BK79)*BK78))</f>
      </c>
      <c r="BL80" s="26">
        <f>IF(BL$6="","",IF(WEEKDAY(BL$6,1)=1,0,MIN(8,BL79)*BL78))</f>
      </c>
      <c r="BM80" s="26">
        <f>IF(BM$6="","",IF(WEEKDAY(BM$6,1)=1,0,MIN(8,BM79)*BM78))</f>
      </c>
      <c r="BN80" s="26">
        <f>IF(BN$6="","",IF(WEEKDAY(BN$6,1)=1,0,MIN(8,BN79)*BN78))</f>
      </c>
      <c r="BO80" s="26">
        <f>IF(BO$6="","",IF(WEEKDAY(BO$6,1)=1,0,MIN(8,BO79)*BO78))</f>
      </c>
      <c r="BP80" s="26">
        <f>IF(BP$6="","",IF(WEEKDAY(BP$6,1)=1,0,MIN(8,BP79)*BP78))</f>
      </c>
      <c r="BQ80" s="26">
        <f>IF(BQ$6="","",IF(WEEKDAY(BQ$6,1)=1,0,MIN(8,BQ79)*BQ78))</f>
      </c>
      <c r="BR80" s="26">
        <f>IF(BR$6="","",IF(WEEKDAY(BR$6,1)=1,0,MIN(8,BR79)*BR78))</f>
      </c>
      <c r="BS80" s="26">
        <f>IF(BS$6="","",IF(WEEKDAY(BS$6,1)=1,0,MIN(8,BS79)*BS78))</f>
      </c>
      <c r="BT80" s="26">
        <f>IF(BT$6="","",IF(WEEKDAY(BT$6,1)=1,0,MIN(8,BT79)*BT78))</f>
      </c>
      <c r="BU80" s="26">
        <f>IF(BU$6="","",IF(WEEKDAY(BU$6,1)=1,0,MIN(8,BU79)*BU78))</f>
      </c>
      <c r="BV80" s="26">
        <f>IF(BV$6="","",IF(WEEKDAY(BV$6,1)=1,0,MIN(8,BV79)*BV78))</f>
      </c>
      <c r="BW80" s="26">
        <f>IF(BW$6="","",IF(WEEKDAY(BW$6,1)=1,0,MIN(8,BW79)*BW78))</f>
      </c>
      <c r="BX80" s="26">
        <f>IF(BX$6="","",IF(WEEKDAY(BX$6,1)=1,0,MIN(8,BX79)*BX78))</f>
      </c>
      <c r="BY80" s="26">
        <f>IF(BY$6="","",IF(WEEKDAY(BY$6,1)=1,0,MIN(8,BY79)*BY78))</f>
      </c>
      <c r="BZ80" s="26">
        <f>IF(BZ$6="","",IF(WEEKDAY(BZ$6,1)=1,0,MIN(8,BZ79)*BZ78))</f>
      </c>
      <c r="CA80" s="26">
        <f>IF(CA$6="","",IF(WEEKDAY(CA$6,1)=1,0,MIN(8,CA79)*CA78))</f>
      </c>
      <c r="CB80" s="26">
        <f>IF(CB$6="","",IF(WEEKDAY(CB$6,1)=1,0,MIN(8,CB79)*CB78))</f>
      </c>
      <c r="CC80" s="26">
        <f>IF(CC$6="","",IF(WEEKDAY(CC$6,1)=1,0,MIN(8,CC79)*CC78))</f>
      </c>
      <c r="CD80" s="26">
        <f>IF(CD$6="","",IF(WEEKDAY(CD$6,1)=1,0,MIN(8,CD79)*CD78))</f>
      </c>
      <c r="CE80" s="26">
        <f>IF(CE$6="","",IF(WEEKDAY(CE$6,1)=1,0,MIN(8,CE79)*CE78))</f>
      </c>
      <c r="CF80" s="26">
        <f>IF(CF$6="","",IF(WEEKDAY(CF$6,1)=1,0,MIN(8,CF79)*CF78))</f>
      </c>
      <c r="CG80" s="26">
        <f>IF(CG$6="","",IF(WEEKDAY(CG$6,1)=1,0,MIN(8,CG79)*CG78))</f>
      </c>
      <c r="CH80" s="26">
        <f>IF(CH$6="","",IF(WEEKDAY(CH$6,1)=1,0,MIN(8,CH79)*CH78))</f>
      </c>
      <c r="CI80" s="26">
        <f>IF(CI$6="","",IF(WEEKDAY(CI$6,1)=1,0,MIN(8,CI79)*CI78))</f>
      </c>
      <c r="CJ80" s="26">
        <f>IF(CJ$6="","",IF(WEEKDAY(CJ$6,1)=1,0,MIN(8,CJ79)*CJ78))</f>
      </c>
      <c r="CK80" s="26">
        <f>IF(CK$6="","",IF(WEEKDAY(CK$6,1)=1,0,MIN(8,CK79)*CK78))</f>
      </c>
      <c r="CL80" s="26">
        <f>IF(CL$6="","",IF(WEEKDAY(CL$6,1)=1,0,MIN(8,CL79)*CL78))</f>
      </c>
      <c r="CM80" s="26">
        <f>IF(CM$6="","",IF(WEEKDAY(CM$6,1)=1,0,MIN(8,CM79)*CM78))</f>
      </c>
      <c r="CN80" s="26">
        <f>IF(CN$6="","",IF(WEEKDAY(CN$6,1)=1,0,MIN(8,CN79)*CN78))</f>
      </c>
      <c r="CO80" s="26">
        <f>IF(CO$6="","",IF(WEEKDAY(CO$6,1)=1,0,MIN(8,CO79)*CO78))</f>
      </c>
      <c r="CP80" s="26">
        <f>IF(CP$6="","",IF(WEEKDAY(CP$6,1)=1,0,MIN(8,CP79)*CP78))</f>
      </c>
      <c r="CQ80" s="26">
        <f>IF(CQ$6="","",IF(WEEKDAY(CQ$6,1)=1,0,MIN(8,CQ79)*CQ78))</f>
      </c>
      <c r="CR80" s="26">
        <f>IF(CR$6="","",IF(WEEKDAY(CR$6,1)=1,0,MIN(8,CR79)*CR78))</f>
      </c>
      <c r="CS80" s="26">
        <f>IF(CS$6="","",IF(WEEKDAY(CS$6,1)=1,0,MIN(8,CS79)*CS78))</f>
      </c>
      <c r="CT80" s="26">
        <f>IF(CT$6="","",IF(WEEKDAY(CT$6,1)=1,0,MIN(8,CT79)*CT78))</f>
      </c>
      <c r="CU80" s="26">
        <f>IF(CU$6="","",IF(WEEKDAY(CU$6,1)=1,0,MIN(8,CU79)*CU78))</f>
      </c>
      <c r="CV80" s="26">
        <f>IF(CV$6="","",IF(WEEKDAY(CV$6,1)=1,0,MIN(8,CV79)*CV78))</f>
      </c>
      <c r="CW80" s="26">
        <f>IF(CW$6="","",IF(WEEKDAY(CW$6,1)=1,0,MIN(8,CW79)*CW78))</f>
      </c>
      <c r="CX80" s="8" t="s">
        <v>59</v>
      </c>
    </row>
    <row r="81" spans="2:102" x14ac:dyDescent="0.25">
      <c r="B81" s="26">
        <f>SUM(L81:CW81)</f>
      </c>
      <c r="D81" s="27">
        <f>B81*E81</f>
      </c>
      <c r="E81" s="27">
        <f>'Rate Tables'!D13</f>
      </c>
      <c r="F81" s="8" t="s">
        <v>40</v>
      </c>
      <c r="L81" s="26">
        <f>IF(L$6="","",IF(WEEKDAY(L$6,1)=1,0,MAX(0,L79-8)*L78))</f>
      </c>
      <c r="M81" s="26">
        <f>IF(M$6="","",IF(WEEKDAY(M$6,1)=1,0,MAX(0,M79-8)*M78))</f>
      </c>
      <c r="N81" s="26">
        <f>IF(N$6="","",IF(WEEKDAY(N$6,1)=1,0,MAX(0,N79-8)*N78))</f>
      </c>
      <c r="O81" s="26">
        <f>IF(O$6="","",IF(WEEKDAY(O$6,1)=1,0,MAX(0,O79-8)*O78))</f>
      </c>
      <c r="P81" s="26">
        <f>IF(P$6="","",IF(WEEKDAY(P$6,1)=1,0,MAX(0,P79-8)*P78))</f>
      </c>
      <c r="Q81" s="26">
        <f>IF(Q$6="","",IF(WEEKDAY(Q$6,1)=1,0,MAX(0,Q79-8)*Q78))</f>
      </c>
      <c r="R81" s="26">
        <f>IF(R$6="","",IF(WEEKDAY(R$6,1)=1,0,MAX(0,R79-8)*R78))</f>
      </c>
      <c r="S81" s="26">
        <f>IF(S$6="","",IF(WEEKDAY(S$6,1)=1,0,MAX(0,S79-8)*S78))</f>
      </c>
      <c r="T81" s="26">
        <f>IF(T$6="","",IF(WEEKDAY(T$6,1)=1,0,MAX(0,T79-8)*T78))</f>
      </c>
      <c r="U81" s="26">
        <f>IF(U$6="","",IF(WEEKDAY(U$6,1)=1,0,MAX(0,U79-8)*U78))</f>
      </c>
      <c r="V81" s="26">
        <f>IF(V$6="","",IF(WEEKDAY(V$6,1)=1,0,MAX(0,V79-8)*V78))</f>
      </c>
      <c r="W81" s="26">
        <f>IF(W$6="","",IF(WEEKDAY(W$6,1)=1,0,MAX(0,W79-8)*W78))</f>
      </c>
      <c r="X81" s="26">
        <f>IF(X$6="","",IF(WEEKDAY(X$6,1)=1,0,MAX(0,X79-8)*X78))</f>
      </c>
      <c r="Y81" s="26">
        <f>IF(Y$6="","",IF(WEEKDAY(Y$6,1)=1,0,MAX(0,Y79-8)*Y78))</f>
      </c>
      <c r="Z81" s="26">
        <f>IF(Z$6="","",IF(WEEKDAY(Z$6,1)=1,0,MAX(0,Z79-8)*Z78))</f>
      </c>
      <c r="AA81" s="26">
        <f>IF(AA$6="","",IF(WEEKDAY(AA$6,1)=1,0,MAX(0,AA79-8)*AA78))</f>
      </c>
      <c r="AB81" s="26">
        <f>IF(AB$6="","",IF(WEEKDAY(AB$6,1)=1,0,MAX(0,AB79-8)*AB78))</f>
      </c>
      <c r="AC81" s="26">
        <f>IF(AC$6="","",IF(WEEKDAY(AC$6,1)=1,0,MAX(0,AC79-8)*AC78))</f>
      </c>
      <c r="AD81" s="26">
        <f>IF(AD$6="","",IF(WEEKDAY(AD$6,1)=1,0,MAX(0,AD79-8)*AD78))</f>
      </c>
      <c r="AE81" s="26">
        <f>IF(AE$6="","",IF(WEEKDAY(AE$6,1)=1,0,MAX(0,AE79-8)*AE78))</f>
      </c>
      <c r="AF81" s="26">
        <f>IF(AF$6="","",IF(WEEKDAY(AF$6,1)=1,0,MAX(0,AF79-8)*AF78))</f>
      </c>
      <c r="AG81" s="26">
        <f>IF(AG$6="","",IF(WEEKDAY(AG$6,1)=1,0,MAX(0,AG79-8)*AG78))</f>
      </c>
      <c r="AH81" s="26">
        <f>IF(AH$6="","",IF(WEEKDAY(AH$6,1)=1,0,MAX(0,AH79-8)*AH78))</f>
      </c>
      <c r="AI81" s="26">
        <f>IF(AI$6="","",IF(WEEKDAY(AI$6,1)=1,0,MAX(0,AI79-8)*AI78))</f>
      </c>
      <c r="AJ81" s="26">
        <f>IF(AJ$6="","",IF(WEEKDAY(AJ$6,1)=1,0,MAX(0,AJ79-8)*AJ78))</f>
      </c>
      <c r="AK81" s="26">
        <f>IF(AK$6="","",IF(WEEKDAY(AK$6,1)=1,0,MAX(0,AK79-8)*AK78))</f>
      </c>
      <c r="AL81" s="26">
        <f>IF(AL$6="","",IF(WEEKDAY(AL$6,1)=1,0,MAX(0,AL79-8)*AL78))</f>
      </c>
      <c r="AM81" s="26">
        <f>IF(AM$6="","",IF(WEEKDAY(AM$6,1)=1,0,MAX(0,AM79-8)*AM78))</f>
      </c>
      <c r="AN81" s="26">
        <f>IF(AN$6="","",IF(WEEKDAY(AN$6,1)=1,0,MAX(0,AN79-8)*AN78))</f>
      </c>
      <c r="AO81" s="26">
        <f>IF(AO$6="","",IF(WEEKDAY(AO$6,1)=1,0,MAX(0,AO79-8)*AO78))</f>
      </c>
      <c r="AP81" s="26">
        <f>IF(AP$6="","",IF(WEEKDAY(AP$6,1)=1,0,MAX(0,AP79-8)*AP78))</f>
      </c>
      <c r="AQ81" s="26">
        <f>IF(AQ$6="","",IF(WEEKDAY(AQ$6,1)=1,0,MAX(0,AQ79-8)*AQ78))</f>
      </c>
      <c r="AR81" s="26">
        <f>IF(AR$6="","",IF(WEEKDAY(AR$6,1)=1,0,MAX(0,AR79-8)*AR78))</f>
      </c>
      <c r="AS81" s="26">
        <f>IF(AS$6="","",IF(WEEKDAY(AS$6,1)=1,0,MAX(0,AS79-8)*AS78))</f>
      </c>
      <c r="AT81" s="26">
        <f>IF(AT$6="","",IF(WEEKDAY(AT$6,1)=1,0,MAX(0,AT79-8)*AT78))</f>
      </c>
      <c r="AU81" s="26">
        <f>IF(AU$6="","",IF(WEEKDAY(AU$6,1)=1,0,MAX(0,AU79-8)*AU78))</f>
      </c>
      <c r="AV81" s="26">
        <f>IF(AV$6="","",IF(WEEKDAY(AV$6,1)=1,0,MAX(0,AV79-8)*AV78))</f>
      </c>
      <c r="AW81" s="26">
        <f>IF(AW$6="","",IF(WEEKDAY(AW$6,1)=1,0,MAX(0,AW79-8)*AW78))</f>
      </c>
      <c r="AX81" s="26">
        <f>IF(AX$6="","",IF(WEEKDAY(AX$6,1)=1,0,MAX(0,AX79-8)*AX78))</f>
      </c>
      <c r="AY81" s="26">
        <f>IF(AY$6="","",IF(WEEKDAY(AY$6,1)=1,0,MAX(0,AY79-8)*AY78))</f>
      </c>
      <c r="AZ81" s="26">
        <f>IF(AZ$6="","",IF(WEEKDAY(AZ$6,1)=1,0,MAX(0,AZ79-8)*AZ78))</f>
      </c>
      <c r="BA81" s="26">
        <f>IF(BA$6="","",IF(WEEKDAY(BA$6,1)=1,0,MAX(0,BA79-8)*BA78))</f>
      </c>
      <c r="BB81" s="26">
        <f>IF(BB$6="","",IF(WEEKDAY(BB$6,1)=1,0,MAX(0,BB79-8)*BB78))</f>
      </c>
      <c r="BC81" s="26">
        <f>IF(BC$6="","",IF(WEEKDAY(BC$6,1)=1,0,MAX(0,BC79-8)*BC78))</f>
      </c>
      <c r="BD81" s="26">
        <f>IF(BD$6="","",IF(WEEKDAY(BD$6,1)=1,0,MAX(0,BD79-8)*BD78))</f>
      </c>
      <c r="BE81" s="26">
        <f>IF(BE$6="","",IF(WEEKDAY(BE$6,1)=1,0,MAX(0,BE79-8)*BE78))</f>
      </c>
      <c r="BF81" s="26">
        <f>IF(BF$6="","",IF(WEEKDAY(BF$6,1)=1,0,MAX(0,BF79-8)*BF78))</f>
      </c>
      <c r="BG81" s="26">
        <f>IF(BG$6="","",IF(WEEKDAY(BG$6,1)=1,0,MAX(0,BG79-8)*BG78))</f>
      </c>
      <c r="BH81" s="26">
        <f>IF(BH$6="","",IF(WEEKDAY(BH$6,1)=1,0,MAX(0,BH79-8)*BH78))</f>
      </c>
      <c r="BI81" s="26">
        <f>IF(BI$6="","",IF(WEEKDAY(BI$6,1)=1,0,MAX(0,BI79-8)*BI78))</f>
      </c>
      <c r="BJ81" s="26">
        <f>IF(BJ$6="","",IF(WEEKDAY(BJ$6,1)=1,0,MAX(0,BJ79-8)*BJ78))</f>
      </c>
      <c r="BK81" s="26">
        <f>IF(BK$6="","",IF(WEEKDAY(BK$6,1)=1,0,MAX(0,BK79-8)*BK78))</f>
      </c>
      <c r="BL81" s="26">
        <f>IF(BL$6="","",IF(WEEKDAY(BL$6,1)=1,0,MAX(0,BL79-8)*BL78))</f>
      </c>
      <c r="BM81" s="26">
        <f>IF(BM$6="","",IF(WEEKDAY(BM$6,1)=1,0,MAX(0,BM79-8)*BM78))</f>
      </c>
      <c r="BN81" s="26">
        <f>IF(BN$6="","",IF(WEEKDAY(BN$6,1)=1,0,MAX(0,BN79-8)*BN78))</f>
      </c>
      <c r="BO81" s="26">
        <f>IF(BO$6="","",IF(WEEKDAY(BO$6,1)=1,0,MAX(0,BO79-8)*BO78))</f>
      </c>
      <c r="BP81" s="26">
        <f>IF(BP$6="","",IF(WEEKDAY(BP$6,1)=1,0,MAX(0,BP79-8)*BP78))</f>
      </c>
      <c r="BQ81" s="26">
        <f>IF(BQ$6="","",IF(WEEKDAY(BQ$6,1)=1,0,MAX(0,BQ79-8)*BQ78))</f>
      </c>
      <c r="BR81" s="26">
        <f>IF(BR$6="","",IF(WEEKDAY(BR$6,1)=1,0,MAX(0,BR79-8)*BR78))</f>
      </c>
      <c r="BS81" s="26">
        <f>IF(BS$6="","",IF(WEEKDAY(BS$6,1)=1,0,MAX(0,BS79-8)*BS78))</f>
      </c>
      <c r="BT81" s="26">
        <f>IF(BT$6="","",IF(WEEKDAY(BT$6,1)=1,0,MAX(0,BT79-8)*BT78))</f>
      </c>
      <c r="BU81" s="26">
        <f>IF(BU$6="","",IF(WEEKDAY(BU$6,1)=1,0,MAX(0,BU79-8)*BU78))</f>
      </c>
      <c r="BV81" s="26">
        <f>IF(BV$6="","",IF(WEEKDAY(BV$6,1)=1,0,MAX(0,BV79-8)*BV78))</f>
      </c>
      <c r="BW81" s="26">
        <f>IF(BW$6="","",IF(WEEKDAY(BW$6,1)=1,0,MAX(0,BW79-8)*BW78))</f>
      </c>
      <c r="BX81" s="26">
        <f>IF(BX$6="","",IF(WEEKDAY(BX$6,1)=1,0,MAX(0,BX79-8)*BX78))</f>
      </c>
      <c r="BY81" s="26">
        <f>IF(BY$6="","",IF(WEEKDAY(BY$6,1)=1,0,MAX(0,BY79-8)*BY78))</f>
      </c>
      <c r="BZ81" s="26">
        <f>IF(BZ$6="","",IF(WEEKDAY(BZ$6,1)=1,0,MAX(0,BZ79-8)*BZ78))</f>
      </c>
      <c r="CA81" s="26">
        <f>IF(CA$6="","",IF(WEEKDAY(CA$6,1)=1,0,MAX(0,CA79-8)*CA78))</f>
      </c>
      <c r="CB81" s="26">
        <f>IF(CB$6="","",IF(WEEKDAY(CB$6,1)=1,0,MAX(0,CB79-8)*CB78))</f>
      </c>
      <c r="CC81" s="26">
        <f>IF(CC$6="","",IF(WEEKDAY(CC$6,1)=1,0,MAX(0,CC79-8)*CC78))</f>
      </c>
      <c r="CD81" s="26">
        <f>IF(CD$6="","",IF(WEEKDAY(CD$6,1)=1,0,MAX(0,CD79-8)*CD78))</f>
      </c>
      <c r="CE81" s="26">
        <f>IF(CE$6="","",IF(WEEKDAY(CE$6,1)=1,0,MAX(0,CE79-8)*CE78))</f>
      </c>
      <c r="CF81" s="26">
        <f>IF(CF$6="","",IF(WEEKDAY(CF$6,1)=1,0,MAX(0,CF79-8)*CF78))</f>
      </c>
      <c r="CG81" s="26">
        <f>IF(CG$6="","",IF(WEEKDAY(CG$6,1)=1,0,MAX(0,CG79-8)*CG78))</f>
      </c>
      <c r="CH81" s="26">
        <f>IF(CH$6="","",IF(WEEKDAY(CH$6,1)=1,0,MAX(0,CH79-8)*CH78))</f>
      </c>
      <c r="CI81" s="26">
        <f>IF(CI$6="","",IF(WEEKDAY(CI$6,1)=1,0,MAX(0,CI79-8)*CI78))</f>
      </c>
      <c r="CJ81" s="26">
        <f>IF(CJ$6="","",IF(WEEKDAY(CJ$6,1)=1,0,MAX(0,CJ79-8)*CJ78))</f>
      </c>
      <c r="CK81" s="26">
        <f>IF(CK$6="","",IF(WEEKDAY(CK$6,1)=1,0,MAX(0,CK79-8)*CK78))</f>
      </c>
      <c r="CL81" s="26">
        <f>IF(CL$6="","",IF(WEEKDAY(CL$6,1)=1,0,MAX(0,CL79-8)*CL78))</f>
      </c>
      <c r="CM81" s="26">
        <f>IF(CM$6="","",IF(WEEKDAY(CM$6,1)=1,0,MAX(0,CM79-8)*CM78))</f>
      </c>
      <c r="CN81" s="26">
        <f>IF(CN$6="","",IF(WEEKDAY(CN$6,1)=1,0,MAX(0,CN79-8)*CN78))</f>
      </c>
      <c r="CO81" s="26">
        <f>IF(CO$6="","",IF(WEEKDAY(CO$6,1)=1,0,MAX(0,CO79-8)*CO78))</f>
      </c>
      <c r="CP81" s="26">
        <f>IF(CP$6="","",IF(WEEKDAY(CP$6,1)=1,0,MAX(0,CP79-8)*CP78))</f>
      </c>
      <c r="CQ81" s="26">
        <f>IF(CQ$6="","",IF(WEEKDAY(CQ$6,1)=1,0,MAX(0,CQ79-8)*CQ78))</f>
      </c>
      <c r="CR81" s="26">
        <f>IF(CR$6="","",IF(WEEKDAY(CR$6,1)=1,0,MAX(0,CR79-8)*CR78))</f>
      </c>
      <c r="CS81" s="26">
        <f>IF(CS$6="","",IF(WEEKDAY(CS$6,1)=1,0,MAX(0,CS79-8)*CS78))</f>
      </c>
      <c r="CT81" s="26">
        <f>IF(CT$6="","",IF(WEEKDAY(CT$6,1)=1,0,MAX(0,CT79-8)*CT78))</f>
      </c>
      <c r="CU81" s="26">
        <f>IF(CU$6="","",IF(WEEKDAY(CU$6,1)=1,0,MAX(0,CU79-8)*CU78))</f>
      </c>
      <c r="CV81" s="26">
        <f>IF(CV$6="","",IF(WEEKDAY(CV$6,1)=1,0,MAX(0,CV79-8)*CV78))</f>
      </c>
      <c r="CW81" s="26">
        <f>IF(CW$6="","",IF(WEEKDAY(CW$6,1)=1,0,MAX(0,CW79-8)*CW78))</f>
      </c>
      <c r="CX81" s="8" t="s">
        <v>59</v>
      </c>
    </row>
    <row r="82" spans="2:102" x14ac:dyDescent="0.25">
      <c r="B82" s="26">
        <f>SUM(L82:CW82)</f>
      </c>
      <c r="D82" s="27">
        <f>B82*E82</f>
      </c>
      <c r="E82" s="27">
        <f>'Rate Tables'!E13</f>
      </c>
      <c r="F82" s="8" t="s">
        <v>41</v>
      </c>
      <c r="L82" s="26">
        <f>IF(L$6="","",IF(WEEKDAY(L$6,1)=1,L79*L78,0))</f>
      </c>
      <c r="M82" s="26">
        <f>IF(M$6="","",IF(WEEKDAY(M$6,1)=1,M79*M78,0))</f>
      </c>
      <c r="N82" s="26">
        <f>IF(N$6="","",IF(WEEKDAY(N$6,1)=1,N79*N78,0))</f>
      </c>
      <c r="O82" s="26">
        <f>IF(O$6="","",IF(WEEKDAY(O$6,1)=1,O79*O78,0))</f>
      </c>
      <c r="P82" s="26">
        <f>IF(P$6="","",IF(WEEKDAY(P$6,1)=1,P79*P78,0))</f>
      </c>
      <c r="Q82" s="26">
        <f>IF(Q$6="","",IF(WEEKDAY(Q$6,1)=1,Q79*Q78,0))</f>
      </c>
      <c r="R82" s="26">
        <f>IF(R$6="","",IF(WEEKDAY(R$6,1)=1,R79*R78,0))</f>
      </c>
      <c r="S82" s="26">
        <f>IF(S$6="","",IF(WEEKDAY(S$6,1)=1,S79*S78,0))</f>
      </c>
      <c r="T82" s="26">
        <f>IF(T$6="","",IF(WEEKDAY(T$6,1)=1,T79*T78,0))</f>
      </c>
      <c r="U82" s="26">
        <f>IF(U$6="","",IF(WEEKDAY(U$6,1)=1,U79*U78,0))</f>
      </c>
      <c r="V82" s="26">
        <f>IF(V$6="","",IF(WEEKDAY(V$6,1)=1,V79*V78,0))</f>
      </c>
      <c r="W82" s="26">
        <f>IF(W$6="","",IF(WEEKDAY(W$6,1)=1,W79*W78,0))</f>
      </c>
      <c r="X82" s="26">
        <f>IF(X$6="","",IF(WEEKDAY(X$6,1)=1,X79*X78,0))</f>
      </c>
      <c r="Y82" s="26">
        <f>IF(Y$6="","",IF(WEEKDAY(Y$6,1)=1,Y79*Y78,0))</f>
      </c>
      <c r="Z82" s="26">
        <f>IF(Z$6="","",IF(WEEKDAY(Z$6,1)=1,Z79*Z78,0))</f>
      </c>
      <c r="AA82" s="26">
        <f>IF(AA$6="","",IF(WEEKDAY(AA$6,1)=1,AA79*AA78,0))</f>
      </c>
      <c r="AB82" s="26">
        <f>IF(AB$6="","",IF(WEEKDAY(AB$6,1)=1,AB79*AB78,0))</f>
      </c>
      <c r="AC82" s="26">
        <f>IF(AC$6="","",IF(WEEKDAY(AC$6,1)=1,AC79*AC78,0))</f>
      </c>
      <c r="AD82" s="26">
        <f>IF(AD$6="","",IF(WEEKDAY(AD$6,1)=1,AD79*AD78,0))</f>
      </c>
      <c r="AE82" s="26">
        <f>IF(AE$6="","",IF(WEEKDAY(AE$6,1)=1,AE79*AE78,0))</f>
      </c>
      <c r="AF82" s="26">
        <f>IF(AF$6="","",IF(WEEKDAY(AF$6,1)=1,AF79*AF78,0))</f>
      </c>
      <c r="AG82" s="26">
        <f>IF(AG$6="","",IF(WEEKDAY(AG$6,1)=1,AG79*AG78,0))</f>
      </c>
      <c r="AH82" s="26">
        <f>IF(AH$6="","",IF(WEEKDAY(AH$6,1)=1,AH79*AH78,0))</f>
      </c>
      <c r="AI82" s="26">
        <f>IF(AI$6="","",IF(WEEKDAY(AI$6,1)=1,AI79*AI78,0))</f>
      </c>
      <c r="AJ82" s="26">
        <f>IF(AJ$6="","",IF(WEEKDAY(AJ$6,1)=1,AJ79*AJ78,0))</f>
      </c>
      <c r="AK82" s="26">
        <f>IF(AK$6="","",IF(WEEKDAY(AK$6,1)=1,AK79*AK78,0))</f>
      </c>
      <c r="AL82" s="26">
        <f>IF(AL$6="","",IF(WEEKDAY(AL$6,1)=1,AL79*AL78,0))</f>
      </c>
      <c r="AM82" s="26">
        <f>IF(AM$6="","",IF(WEEKDAY(AM$6,1)=1,AM79*AM78,0))</f>
      </c>
      <c r="AN82" s="26">
        <f>IF(AN$6="","",IF(WEEKDAY(AN$6,1)=1,AN79*AN78,0))</f>
      </c>
      <c r="AO82" s="26">
        <f>IF(AO$6="","",IF(WEEKDAY(AO$6,1)=1,AO79*AO78,0))</f>
      </c>
      <c r="AP82" s="26">
        <f>IF(AP$6="","",IF(WEEKDAY(AP$6,1)=1,AP79*AP78,0))</f>
      </c>
      <c r="AQ82" s="26">
        <f>IF(AQ$6="","",IF(WEEKDAY(AQ$6,1)=1,AQ79*AQ78,0))</f>
      </c>
      <c r="AR82" s="26">
        <f>IF(AR$6="","",IF(WEEKDAY(AR$6,1)=1,AR79*AR78,0))</f>
      </c>
      <c r="AS82" s="26">
        <f>IF(AS$6="","",IF(WEEKDAY(AS$6,1)=1,AS79*AS78,0))</f>
      </c>
      <c r="AT82" s="26">
        <f>IF(AT$6="","",IF(WEEKDAY(AT$6,1)=1,AT79*AT78,0))</f>
      </c>
      <c r="AU82" s="26">
        <f>IF(AU$6="","",IF(WEEKDAY(AU$6,1)=1,AU79*AU78,0))</f>
      </c>
      <c r="AV82" s="26">
        <f>IF(AV$6="","",IF(WEEKDAY(AV$6,1)=1,AV79*AV78,0))</f>
      </c>
      <c r="AW82" s="26">
        <f>IF(AW$6="","",IF(WEEKDAY(AW$6,1)=1,AW79*AW78,0))</f>
      </c>
      <c r="AX82" s="26">
        <f>IF(AX$6="","",IF(WEEKDAY(AX$6,1)=1,AX79*AX78,0))</f>
      </c>
      <c r="AY82" s="26">
        <f>IF(AY$6="","",IF(WEEKDAY(AY$6,1)=1,AY79*AY78,0))</f>
      </c>
      <c r="AZ82" s="26">
        <f>IF(AZ$6="","",IF(WEEKDAY(AZ$6,1)=1,AZ79*AZ78,0))</f>
      </c>
      <c r="BA82" s="26">
        <f>IF(BA$6="","",IF(WEEKDAY(BA$6,1)=1,BA79*BA78,0))</f>
      </c>
      <c r="BB82" s="26">
        <f>IF(BB$6="","",IF(WEEKDAY(BB$6,1)=1,BB79*BB78,0))</f>
      </c>
      <c r="BC82" s="26">
        <f>IF(BC$6="","",IF(WEEKDAY(BC$6,1)=1,BC79*BC78,0))</f>
      </c>
      <c r="BD82" s="26">
        <f>IF(BD$6="","",IF(WEEKDAY(BD$6,1)=1,BD79*BD78,0))</f>
      </c>
      <c r="BE82" s="26">
        <f>IF(BE$6="","",IF(WEEKDAY(BE$6,1)=1,BE79*BE78,0))</f>
      </c>
      <c r="BF82" s="26">
        <f>IF(BF$6="","",IF(WEEKDAY(BF$6,1)=1,BF79*BF78,0))</f>
      </c>
      <c r="BG82" s="26">
        <f>IF(BG$6="","",IF(WEEKDAY(BG$6,1)=1,BG79*BG78,0))</f>
      </c>
      <c r="BH82" s="26">
        <f>IF(BH$6="","",IF(WEEKDAY(BH$6,1)=1,BH79*BH78,0))</f>
      </c>
      <c r="BI82" s="26">
        <f>IF(BI$6="","",IF(WEEKDAY(BI$6,1)=1,BI79*BI78,0))</f>
      </c>
      <c r="BJ82" s="26">
        <f>IF(BJ$6="","",IF(WEEKDAY(BJ$6,1)=1,BJ79*BJ78,0))</f>
      </c>
      <c r="BK82" s="26">
        <f>IF(BK$6="","",IF(WEEKDAY(BK$6,1)=1,BK79*BK78,0))</f>
      </c>
      <c r="BL82" s="26">
        <f>IF(BL$6="","",IF(WEEKDAY(BL$6,1)=1,BL79*BL78,0))</f>
      </c>
      <c r="BM82" s="26">
        <f>IF(BM$6="","",IF(WEEKDAY(BM$6,1)=1,BM79*BM78,0))</f>
      </c>
      <c r="BN82" s="26">
        <f>IF(BN$6="","",IF(WEEKDAY(BN$6,1)=1,BN79*BN78,0))</f>
      </c>
      <c r="BO82" s="26">
        <f>IF(BO$6="","",IF(WEEKDAY(BO$6,1)=1,BO79*BO78,0))</f>
      </c>
      <c r="BP82" s="26">
        <f>IF(BP$6="","",IF(WEEKDAY(BP$6,1)=1,BP79*BP78,0))</f>
      </c>
      <c r="BQ82" s="26">
        <f>IF(BQ$6="","",IF(WEEKDAY(BQ$6,1)=1,BQ79*BQ78,0))</f>
      </c>
      <c r="BR82" s="26">
        <f>IF(BR$6="","",IF(WEEKDAY(BR$6,1)=1,BR79*BR78,0))</f>
      </c>
      <c r="BS82" s="26">
        <f>IF(BS$6="","",IF(WEEKDAY(BS$6,1)=1,BS79*BS78,0))</f>
      </c>
      <c r="BT82" s="26">
        <f>IF(BT$6="","",IF(WEEKDAY(BT$6,1)=1,BT79*BT78,0))</f>
      </c>
      <c r="BU82" s="26">
        <f>IF(BU$6="","",IF(WEEKDAY(BU$6,1)=1,BU79*BU78,0))</f>
      </c>
      <c r="BV82" s="26">
        <f>IF(BV$6="","",IF(WEEKDAY(BV$6,1)=1,BV79*BV78,0))</f>
      </c>
      <c r="BW82" s="26">
        <f>IF(BW$6="","",IF(WEEKDAY(BW$6,1)=1,BW79*BW78,0))</f>
      </c>
      <c r="BX82" s="26">
        <f>IF(BX$6="","",IF(WEEKDAY(BX$6,1)=1,BX79*BX78,0))</f>
      </c>
      <c r="BY82" s="26">
        <f>IF(BY$6="","",IF(WEEKDAY(BY$6,1)=1,BY79*BY78,0))</f>
      </c>
      <c r="BZ82" s="26">
        <f>IF(BZ$6="","",IF(WEEKDAY(BZ$6,1)=1,BZ79*BZ78,0))</f>
      </c>
      <c r="CA82" s="26">
        <f>IF(CA$6="","",IF(WEEKDAY(CA$6,1)=1,CA79*CA78,0))</f>
      </c>
      <c r="CB82" s="26">
        <f>IF(CB$6="","",IF(WEEKDAY(CB$6,1)=1,CB79*CB78,0))</f>
      </c>
      <c r="CC82" s="26">
        <f>IF(CC$6="","",IF(WEEKDAY(CC$6,1)=1,CC79*CC78,0))</f>
      </c>
      <c r="CD82" s="26">
        <f>IF(CD$6="","",IF(WEEKDAY(CD$6,1)=1,CD79*CD78,0))</f>
      </c>
      <c r="CE82" s="26">
        <f>IF(CE$6="","",IF(WEEKDAY(CE$6,1)=1,CE79*CE78,0))</f>
      </c>
      <c r="CF82" s="26">
        <f>IF(CF$6="","",IF(WEEKDAY(CF$6,1)=1,CF79*CF78,0))</f>
      </c>
      <c r="CG82" s="26">
        <f>IF(CG$6="","",IF(WEEKDAY(CG$6,1)=1,CG79*CG78,0))</f>
      </c>
      <c r="CH82" s="26">
        <f>IF(CH$6="","",IF(WEEKDAY(CH$6,1)=1,CH79*CH78,0))</f>
      </c>
      <c r="CI82" s="26">
        <f>IF(CI$6="","",IF(WEEKDAY(CI$6,1)=1,CI79*CI78,0))</f>
      </c>
      <c r="CJ82" s="26">
        <f>IF(CJ$6="","",IF(WEEKDAY(CJ$6,1)=1,CJ79*CJ78,0))</f>
      </c>
      <c r="CK82" s="26">
        <f>IF(CK$6="","",IF(WEEKDAY(CK$6,1)=1,CK79*CK78,0))</f>
      </c>
      <c r="CL82" s="26">
        <f>IF(CL$6="","",IF(WEEKDAY(CL$6,1)=1,CL79*CL78,0))</f>
      </c>
      <c r="CM82" s="26">
        <f>IF(CM$6="","",IF(WEEKDAY(CM$6,1)=1,CM79*CM78,0))</f>
      </c>
      <c r="CN82" s="26">
        <f>IF(CN$6="","",IF(WEEKDAY(CN$6,1)=1,CN79*CN78,0))</f>
      </c>
      <c r="CO82" s="26">
        <f>IF(CO$6="","",IF(WEEKDAY(CO$6,1)=1,CO79*CO78,0))</f>
      </c>
      <c r="CP82" s="26">
        <f>IF(CP$6="","",IF(WEEKDAY(CP$6,1)=1,CP79*CP78,0))</f>
      </c>
      <c r="CQ82" s="26">
        <f>IF(CQ$6="","",IF(WEEKDAY(CQ$6,1)=1,CQ79*CQ78,0))</f>
      </c>
      <c r="CR82" s="26">
        <f>IF(CR$6="","",IF(WEEKDAY(CR$6,1)=1,CR79*CR78,0))</f>
      </c>
      <c r="CS82" s="26">
        <f>IF(CS$6="","",IF(WEEKDAY(CS$6,1)=1,CS79*CS78,0))</f>
      </c>
      <c r="CT82" s="26">
        <f>IF(CT$6="","",IF(WEEKDAY(CT$6,1)=1,CT79*CT78,0))</f>
      </c>
      <c r="CU82" s="26">
        <f>IF(CU$6="","",IF(WEEKDAY(CU$6,1)=1,CU79*CU78,0))</f>
      </c>
      <c r="CV82" s="26">
        <f>IF(CV$6="","",IF(WEEKDAY(CV$6,1)=1,CV79*CV78,0))</f>
      </c>
      <c r="CW82" s="26">
        <f>IF(CW$6="","",IF(WEEKDAY(CW$6,1)=1,CW79*CW78,0))</f>
      </c>
      <c r="CX82" s="8" t="s">
        <v>59</v>
      </c>
    </row>
    <row r="83" spans="2:102" x14ac:dyDescent="0.25">
      <c r="B83" s="26">
        <f>SUM(L83:CW83)</f>
      </c>
      <c r="D83" s="27">
        <f>B83*E83</f>
      </c>
      <c r="E83" s="27">
        <v>140</v>
      </c>
      <c r="F83" s="8" t="s">
        <v>42</v>
      </c>
      <c r="L83" s="28">
        <v>1</v>
      </c>
      <c r="M83" s="28">
        <v>1</v>
      </c>
      <c r="N83" s="28">
        <v>1</v>
      </c>
      <c r="O83" s="28">
        <v>1</v>
      </c>
      <c r="P83" s="28">
        <v>1</v>
      </c>
      <c r="Q83" s="28">
        <v>0</v>
      </c>
      <c r="R83" s="28">
        <v>0</v>
      </c>
      <c r="S83" s="28">
        <v>1</v>
      </c>
      <c r="T83" s="28">
        <v>1</v>
      </c>
      <c r="U83" s="28">
        <v>1</v>
      </c>
      <c r="V83" s="28">
        <v>1</v>
      </c>
      <c r="W83" s="28">
        <v>1</v>
      </c>
      <c r="X83" s="28">
        <v>0</v>
      </c>
      <c r="Y83" s="28">
        <v>0</v>
      </c>
      <c r="Z83" s="28">
        <v>1</v>
      </c>
      <c r="AA83" s="28">
        <v>1</v>
      </c>
      <c r="AB83" s="28">
        <v>1</v>
      </c>
      <c r="AC83" s="28">
        <v>1</v>
      </c>
      <c r="AD83" s="28">
        <v>1</v>
      </c>
      <c r="AE83" s="28">
        <v>0</v>
      </c>
      <c r="AF83" s="28">
        <v>0</v>
      </c>
      <c r="AG83" s="28">
        <v>1</v>
      </c>
      <c r="AH83" s="28">
        <v>1</v>
      </c>
      <c r="AI83" s="28">
        <v>1</v>
      </c>
      <c r="AJ83" s="28">
        <v>1</v>
      </c>
      <c r="AK83" s="28">
        <v>1</v>
      </c>
      <c r="AL83" s="28">
        <v>0</v>
      </c>
      <c r="AM83" s="28">
        <v>0</v>
      </c>
      <c r="AN83" s="28">
        <v>1</v>
      </c>
      <c r="AO83" s="28">
        <v>1</v>
      </c>
      <c r="AP83" s="28">
        <v>1</v>
      </c>
      <c r="AQ83" s="28">
        <v>1</v>
      </c>
      <c r="AR83" s="28">
        <v>1</v>
      </c>
      <c r="AS83" s="28">
        <v>0</v>
      </c>
      <c r="AT83" s="28">
        <v>0</v>
      </c>
      <c r="AU83" s="28">
        <v>1</v>
      </c>
      <c r="AV83" s="28">
        <v>1</v>
      </c>
      <c r="AW83" s="28">
        <v>1</v>
      </c>
      <c r="AX83" s="28">
        <v>1</v>
      </c>
      <c r="AY83" s="28">
        <v>1</v>
      </c>
      <c r="AZ83" s="28">
        <v>0</v>
      </c>
      <c r="BA83" s="28">
        <v>0</v>
      </c>
      <c r="BB83" s="28">
        <v>1</v>
      </c>
      <c r="BC83" s="28">
        <v>1</v>
      </c>
      <c r="BD83" s="28">
        <v>1</v>
      </c>
      <c r="BE83" s="28">
        <v>1</v>
      </c>
      <c r="BF83" s="28">
        <v>1</v>
      </c>
      <c r="BG83" s="28">
        <v>0</v>
      </c>
      <c r="BH83" s="28">
        <v>0</v>
      </c>
      <c r="BI83" s="28">
        <v>1</v>
      </c>
      <c r="BJ83" s="28">
        <v>1</v>
      </c>
      <c r="BK83" s="28">
        <v>1</v>
      </c>
      <c r="BL83" s="28">
        <v>1</v>
      </c>
      <c r="BM83" s="28">
        <v>1</v>
      </c>
      <c r="BN83" s="28">
        <v>1</v>
      </c>
      <c r="BO83" s="28">
        <v>1</v>
      </c>
      <c r="BP83" s="28">
        <v>1</v>
      </c>
      <c r="BQ83" s="28">
        <v>1</v>
      </c>
      <c r="BR83" s="28">
        <v>1</v>
      </c>
      <c r="BS83" s="28">
        <v>1</v>
      </c>
      <c r="BT83" s="28">
        <v>1</v>
      </c>
      <c r="BU83" s="28">
        <v>1</v>
      </c>
      <c r="BV83" s="28">
        <v>1</v>
      </c>
      <c r="BW83" s="28">
        <v>1</v>
      </c>
      <c r="BX83" s="28">
        <v>1</v>
      </c>
      <c r="BY83" s="28">
        <v>1</v>
      </c>
      <c r="BZ83" s="28">
        <v>1</v>
      </c>
      <c r="CA83" s="28">
        <v>1</v>
      </c>
      <c r="CB83" s="28">
        <v>1</v>
      </c>
      <c r="CC83" s="28">
        <v>1</v>
      </c>
      <c r="CD83" s="28">
        <v>1</v>
      </c>
      <c r="CE83" s="28">
        <v>1</v>
      </c>
      <c r="CF83" s="28">
        <v>1</v>
      </c>
      <c r="CG83" s="28">
        <v>1</v>
      </c>
      <c r="CH83" s="28">
        <v>1</v>
      </c>
      <c r="CI83" s="28">
        <v>1</v>
      </c>
      <c r="CJ83" s="28">
        <v>1</v>
      </c>
      <c r="CK83" s="28">
        <v>1</v>
      </c>
      <c r="CL83" s="28">
        <v>1</v>
      </c>
      <c r="CM83" s="28">
        <v>1</v>
      </c>
      <c r="CN83" s="28">
        <v>1</v>
      </c>
      <c r="CO83" s="28">
        <v>1</v>
      </c>
      <c r="CP83" s="28">
        <v>1</v>
      </c>
      <c r="CQ83" s="28">
        <v>1</v>
      </c>
      <c r="CR83" s="28">
        <v>1</v>
      </c>
      <c r="CS83" s="28">
        <v>1</v>
      </c>
      <c r="CT83" s="28">
        <v>1</v>
      </c>
      <c r="CU83" s="28">
        <v>1</v>
      </c>
      <c r="CV83" s="28">
        <v>1</v>
      </c>
      <c r="CW83" s="28">
        <v>1</v>
      </c>
      <c r="CX83" s="8" t="s">
        <v>59</v>
      </c>
    </row>
    <row r="84" spans="1:102" x14ac:dyDescent="0.25">
      <c r="A84" s="20" t="s">
        <v>32</v>
      </c>
      <c r="B84" s="21">
        <f>G84+H84+I84</f>
      </c>
      <c r="C84" s="20" t="s">
        <v>60</v>
      </c>
      <c r="D84" s="22">
        <f>K84</f>
      </c>
      <c r="F84" s="20" t="s">
        <v>34</v>
      </c>
      <c r="G84" s="21">
        <f>B87</f>
      </c>
      <c r="H84" s="21">
        <f>B88</f>
      </c>
      <c r="I84" s="21">
        <f>B89</f>
      </c>
      <c r="J84" s="21">
        <f>B90</f>
      </c>
      <c r="K84" s="22">
        <f>D87+D88+D89</f>
      </c>
      <c r="CX84" s="20" t="s">
        <v>61</v>
      </c>
    </row>
    <row r="85" spans="6:102" x14ac:dyDescent="0.25">
      <c r="F85" s="23" t="s">
        <v>36</v>
      </c>
      <c r="L85" s="24">
        <v>1</v>
      </c>
      <c r="M85" s="24">
        <v>1</v>
      </c>
      <c r="N85" s="24">
        <v>1</v>
      </c>
      <c r="O85" s="24">
        <v>1</v>
      </c>
      <c r="P85" s="24">
        <v>1</v>
      </c>
      <c r="Q85" s="24">
        <v>0</v>
      </c>
      <c r="R85" s="24">
        <v>0</v>
      </c>
      <c r="S85" s="24">
        <v>1</v>
      </c>
      <c r="T85" s="24">
        <v>1</v>
      </c>
      <c r="U85" s="24">
        <v>1</v>
      </c>
      <c r="V85" s="24">
        <v>1</v>
      </c>
      <c r="W85" s="24">
        <v>1</v>
      </c>
      <c r="X85" s="24">
        <v>0</v>
      </c>
      <c r="Y85" s="24">
        <v>0</v>
      </c>
      <c r="Z85" s="24">
        <v>1</v>
      </c>
      <c r="AA85" s="24">
        <v>1</v>
      </c>
      <c r="AB85" s="24">
        <v>1</v>
      </c>
      <c r="AC85" s="24">
        <v>1</v>
      </c>
      <c r="AD85" s="24">
        <v>1</v>
      </c>
      <c r="AE85" s="24">
        <v>0</v>
      </c>
      <c r="AF85" s="24">
        <v>0</v>
      </c>
      <c r="AG85" s="24">
        <v>1</v>
      </c>
      <c r="AH85" s="24">
        <v>1</v>
      </c>
      <c r="AI85" s="24">
        <v>1</v>
      </c>
      <c r="AJ85" s="24">
        <v>1</v>
      </c>
      <c r="AK85" s="24">
        <v>1</v>
      </c>
      <c r="AL85" s="24">
        <v>0</v>
      </c>
      <c r="AM85" s="24">
        <v>0</v>
      </c>
      <c r="AN85" s="24">
        <v>1</v>
      </c>
      <c r="AO85" s="24">
        <v>1</v>
      </c>
      <c r="AP85" s="24">
        <v>1</v>
      </c>
      <c r="AQ85" s="24">
        <v>1</v>
      </c>
      <c r="AR85" s="24">
        <v>1</v>
      </c>
      <c r="AS85" s="24">
        <v>0</v>
      </c>
      <c r="AT85" s="24">
        <v>0</v>
      </c>
      <c r="AU85" s="24">
        <v>1</v>
      </c>
      <c r="AV85" s="24">
        <v>1</v>
      </c>
      <c r="AW85" s="24">
        <v>1</v>
      </c>
      <c r="AX85" s="24">
        <v>1</v>
      </c>
      <c r="AY85" s="24">
        <v>1</v>
      </c>
      <c r="AZ85" s="24">
        <v>0</v>
      </c>
      <c r="BA85" s="24">
        <v>0</v>
      </c>
      <c r="BB85" s="24">
        <v>1</v>
      </c>
      <c r="BC85" s="24">
        <v>1</v>
      </c>
      <c r="BD85" s="24">
        <v>1</v>
      </c>
      <c r="BE85" s="24">
        <v>1</v>
      </c>
      <c r="BF85" s="24">
        <v>1</v>
      </c>
      <c r="BG85" s="24">
        <v>0</v>
      </c>
      <c r="BH85" s="24">
        <v>0</v>
      </c>
      <c r="BI85" s="24">
        <v>2</v>
      </c>
      <c r="BJ85" s="24">
        <v>2</v>
      </c>
      <c r="BK85" s="24">
        <v>2</v>
      </c>
      <c r="BL85" s="24">
        <v>2</v>
      </c>
      <c r="BM85" s="24">
        <v>2</v>
      </c>
      <c r="BN85" s="24">
        <v>2</v>
      </c>
      <c r="BO85" s="24">
        <v>2</v>
      </c>
      <c r="BP85" s="24">
        <v>2</v>
      </c>
      <c r="BQ85" s="24">
        <v>2</v>
      </c>
      <c r="BR85" s="24">
        <v>2</v>
      </c>
      <c r="BS85" s="24">
        <v>2</v>
      </c>
      <c r="BT85" s="24">
        <v>2</v>
      </c>
      <c r="BU85" s="24">
        <v>2</v>
      </c>
      <c r="BV85" s="24">
        <v>2</v>
      </c>
      <c r="BW85" s="24">
        <v>2</v>
      </c>
      <c r="BX85" s="24">
        <v>2</v>
      </c>
      <c r="BY85" s="24">
        <v>2</v>
      </c>
      <c r="BZ85" s="24">
        <v>2</v>
      </c>
      <c r="CA85" s="24">
        <v>2</v>
      </c>
      <c r="CB85" s="24">
        <v>2</v>
      </c>
      <c r="CC85" s="24">
        <v>2</v>
      </c>
      <c r="CD85" s="24">
        <v>2</v>
      </c>
      <c r="CE85" s="24">
        <v>2</v>
      </c>
      <c r="CF85" s="24">
        <v>2</v>
      </c>
      <c r="CG85" s="24">
        <v>2</v>
      </c>
      <c r="CH85" s="24">
        <v>2</v>
      </c>
      <c r="CI85" s="24">
        <v>2</v>
      </c>
      <c r="CJ85" s="24">
        <v>2</v>
      </c>
      <c r="CK85" s="24">
        <v>2</v>
      </c>
      <c r="CL85" s="24">
        <v>2</v>
      </c>
      <c r="CM85" s="24">
        <v>2</v>
      </c>
      <c r="CN85" s="24">
        <v>2</v>
      </c>
      <c r="CO85" s="24">
        <v>2</v>
      </c>
      <c r="CP85" s="24">
        <v>2</v>
      </c>
      <c r="CQ85" s="24">
        <v>2</v>
      </c>
      <c r="CR85" s="24">
        <v>2</v>
      </c>
      <c r="CS85" s="24">
        <v>2</v>
      </c>
      <c r="CT85" s="24">
        <v>2</v>
      </c>
      <c r="CU85" s="24">
        <v>2</v>
      </c>
      <c r="CV85" s="24">
        <v>2</v>
      </c>
      <c r="CW85" s="24">
        <v>2</v>
      </c>
      <c r="CX85" s="23" t="s">
        <v>61</v>
      </c>
    </row>
    <row r="86" spans="1:102" x14ac:dyDescent="0.25">
      <c r="A86" s="23" t="s">
        <v>37</v>
      </c>
      <c r="F86" s="23" t="s">
        <v>38</v>
      </c>
      <c r="L86" s="25">
        <v>8.5</v>
      </c>
      <c r="M86" s="25">
        <v>8.5</v>
      </c>
      <c r="N86" s="25">
        <v>8.5</v>
      </c>
      <c r="O86" s="25">
        <v>8.5</v>
      </c>
      <c r="P86" s="25">
        <v>8.5</v>
      </c>
      <c r="Q86" s="25">
        <v>0</v>
      </c>
      <c r="R86" s="25">
        <v>0</v>
      </c>
      <c r="S86" s="25">
        <v>8.5</v>
      </c>
      <c r="T86" s="25">
        <v>8.5</v>
      </c>
      <c r="U86" s="25">
        <v>8.5</v>
      </c>
      <c r="V86" s="25">
        <v>8.5</v>
      </c>
      <c r="W86" s="25">
        <v>8.5</v>
      </c>
      <c r="X86" s="25">
        <v>0</v>
      </c>
      <c r="Y86" s="25">
        <v>0</v>
      </c>
      <c r="Z86" s="25">
        <v>8.5</v>
      </c>
      <c r="AA86" s="25">
        <v>8.5</v>
      </c>
      <c r="AB86" s="25">
        <v>8.5</v>
      </c>
      <c r="AC86" s="25">
        <v>8.5</v>
      </c>
      <c r="AD86" s="25">
        <v>8.5</v>
      </c>
      <c r="AE86" s="25">
        <v>0</v>
      </c>
      <c r="AF86" s="25">
        <v>0</v>
      </c>
      <c r="AG86" s="25">
        <v>8.5</v>
      </c>
      <c r="AH86" s="25">
        <v>8.5</v>
      </c>
      <c r="AI86" s="25">
        <v>8.5</v>
      </c>
      <c r="AJ86" s="25">
        <v>8.5</v>
      </c>
      <c r="AK86" s="25">
        <v>8.5</v>
      </c>
      <c r="AL86" s="25">
        <v>0</v>
      </c>
      <c r="AM86" s="25">
        <v>0</v>
      </c>
      <c r="AN86" s="25">
        <v>8.5</v>
      </c>
      <c r="AO86" s="25">
        <v>8.5</v>
      </c>
      <c r="AP86" s="25">
        <v>8.5</v>
      </c>
      <c r="AQ86" s="25">
        <v>8.5</v>
      </c>
      <c r="AR86" s="25">
        <v>8.5</v>
      </c>
      <c r="AS86" s="25">
        <v>0</v>
      </c>
      <c r="AT86" s="25">
        <v>0</v>
      </c>
      <c r="AU86" s="25">
        <v>8.5</v>
      </c>
      <c r="AV86" s="25">
        <v>8.5</v>
      </c>
      <c r="AW86" s="25">
        <v>8.5</v>
      </c>
      <c r="AX86" s="25">
        <v>8.5</v>
      </c>
      <c r="AY86" s="25">
        <v>8.5</v>
      </c>
      <c r="AZ86" s="25">
        <v>0</v>
      </c>
      <c r="BA86" s="25">
        <v>0</v>
      </c>
      <c r="BB86" s="25">
        <v>8.5</v>
      </c>
      <c r="BC86" s="25">
        <v>8.5</v>
      </c>
      <c r="BD86" s="25">
        <v>8.5</v>
      </c>
      <c r="BE86" s="25">
        <v>8.5</v>
      </c>
      <c r="BF86" s="25">
        <v>8.5</v>
      </c>
      <c r="BG86" s="25">
        <v>0</v>
      </c>
      <c r="BH86" s="25">
        <v>0</v>
      </c>
      <c r="BI86" s="25">
        <v>11</v>
      </c>
      <c r="BJ86" s="25">
        <v>11</v>
      </c>
      <c r="BK86" s="25">
        <v>11</v>
      </c>
      <c r="BL86" s="25">
        <v>11</v>
      </c>
      <c r="BM86" s="25">
        <v>11</v>
      </c>
      <c r="BN86" s="25">
        <v>11</v>
      </c>
      <c r="BO86" s="25">
        <v>11</v>
      </c>
      <c r="BP86" s="25">
        <v>11</v>
      </c>
      <c r="BQ86" s="25">
        <v>11</v>
      </c>
      <c r="BR86" s="25">
        <v>11</v>
      </c>
      <c r="BS86" s="25">
        <v>11</v>
      </c>
      <c r="BT86" s="25">
        <v>11</v>
      </c>
      <c r="BU86" s="25">
        <v>11</v>
      </c>
      <c r="BV86" s="25">
        <v>11</v>
      </c>
      <c r="BW86" s="25">
        <v>11</v>
      </c>
      <c r="BX86" s="25">
        <v>11</v>
      </c>
      <c r="BY86" s="25">
        <v>11</v>
      </c>
      <c r="BZ86" s="25">
        <v>11</v>
      </c>
      <c r="CA86" s="25">
        <v>11</v>
      </c>
      <c r="CB86" s="25">
        <v>11</v>
      </c>
      <c r="CC86" s="25">
        <v>11</v>
      </c>
      <c r="CD86" s="25">
        <v>11</v>
      </c>
      <c r="CE86" s="25">
        <v>11</v>
      </c>
      <c r="CF86" s="25">
        <v>11</v>
      </c>
      <c r="CG86" s="25">
        <v>11</v>
      </c>
      <c r="CH86" s="25">
        <v>11</v>
      </c>
      <c r="CI86" s="25">
        <v>11</v>
      </c>
      <c r="CJ86" s="25">
        <v>11</v>
      </c>
      <c r="CK86" s="25">
        <v>11</v>
      </c>
      <c r="CL86" s="25">
        <v>11</v>
      </c>
      <c r="CM86" s="25">
        <v>11</v>
      </c>
      <c r="CN86" s="25">
        <v>11</v>
      </c>
      <c r="CO86" s="25">
        <v>11</v>
      </c>
      <c r="CP86" s="25">
        <v>11</v>
      </c>
      <c r="CQ86" s="25">
        <v>11</v>
      </c>
      <c r="CR86" s="25">
        <v>11</v>
      </c>
      <c r="CS86" s="25">
        <v>11</v>
      </c>
      <c r="CT86" s="25">
        <v>11</v>
      </c>
      <c r="CU86" s="25">
        <v>11</v>
      </c>
      <c r="CV86" s="25">
        <v>11</v>
      </c>
      <c r="CW86" s="25">
        <v>11</v>
      </c>
      <c r="CX86" s="23" t="s">
        <v>61</v>
      </c>
    </row>
    <row r="87" spans="2:102" x14ac:dyDescent="0.25">
      <c r="B87" s="26">
        <f>SUM(L87:CW87)</f>
      </c>
      <c r="D87" s="27">
        <f>B87*E87</f>
      </c>
      <c r="E87" s="27">
        <f>'Rate Tables'!C14</f>
      </c>
      <c r="F87" s="8" t="s">
        <v>39</v>
      </c>
      <c r="L87" s="26">
        <f>IF(L$6="","",IF(WEEKDAY(L$6,1)=1,0,MIN(8,L86)*L85))</f>
      </c>
      <c r="M87" s="26">
        <f>IF(M$6="","",IF(WEEKDAY(M$6,1)=1,0,MIN(8,M86)*M85))</f>
      </c>
      <c r="N87" s="26">
        <f>IF(N$6="","",IF(WEEKDAY(N$6,1)=1,0,MIN(8,N86)*N85))</f>
      </c>
      <c r="O87" s="26">
        <f>IF(O$6="","",IF(WEEKDAY(O$6,1)=1,0,MIN(8,O86)*O85))</f>
      </c>
      <c r="P87" s="26">
        <f>IF(P$6="","",IF(WEEKDAY(P$6,1)=1,0,MIN(8,P86)*P85))</f>
      </c>
      <c r="Q87" s="26">
        <f>IF(Q$6="","",IF(WEEKDAY(Q$6,1)=1,0,MIN(8,Q86)*Q85))</f>
      </c>
      <c r="R87" s="26">
        <f>IF(R$6="","",IF(WEEKDAY(R$6,1)=1,0,MIN(8,R86)*R85))</f>
      </c>
      <c r="S87" s="26">
        <f>IF(S$6="","",IF(WEEKDAY(S$6,1)=1,0,MIN(8,S86)*S85))</f>
      </c>
      <c r="T87" s="26">
        <f>IF(T$6="","",IF(WEEKDAY(T$6,1)=1,0,MIN(8,T86)*T85))</f>
      </c>
      <c r="U87" s="26">
        <f>IF(U$6="","",IF(WEEKDAY(U$6,1)=1,0,MIN(8,U86)*U85))</f>
      </c>
      <c r="V87" s="26">
        <f>IF(V$6="","",IF(WEEKDAY(V$6,1)=1,0,MIN(8,V86)*V85))</f>
      </c>
      <c r="W87" s="26">
        <f>IF(W$6="","",IF(WEEKDAY(W$6,1)=1,0,MIN(8,W86)*W85))</f>
      </c>
      <c r="X87" s="26">
        <f>IF(X$6="","",IF(WEEKDAY(X$6,1)=1,0,MIN(8,X86)*X85))</f>
      </c>
      <c r="Y87" s="26">
        <f>IF(Y$6="","",IF(WEEKDAY(Y$6,1)=1,0,MIN(8,Y86)*Y85))</f>
      </c>
      <c r="Z87" s="26">
        <f>IF(Z$6="","",IF(WEEKDAY(Z$6,1)=1,0,MIN(8,Z86)*Z85))</f>
      </c>
      <c r="AA87" s="26">
        <f>IF(AA$6="","",IF(WEEKDAY(AA$6,1)=1,0,MIN(8,AA86)*AA85))</f>
      </c>
      <c r="AB87" s="26">
        <f>IF(AB$6="","",IF(WEEKDAY(AB$6,1)=1,0,MIN(8,AB86)*AB85))</f>
      </c>
      <c r="AC87" s="26">
        <f>IF(AC$6="","",IF(WEEKDAY(AC$6,1)=1,0,MIN(8,AC86)*AC85))</f>
      </c>
      <c r="AD87" s="26">
        <f>IF(AD$6="","",IF(WEEKDAY(AD$6,1)=1,0,MIN(8,AD86)*AD85))</f>
      </c>
      <c r="AE87" s="26">
        <f>IF(AE$6="","",IF(WEEKDAY(AE$6,1)=1,0,MIN(8,AE86)*AE85))</f>
      </c>
      <c r="AF87" s="26">
        <f>IF(AF$6="","",IF(WEEKDAY(AF$6,1)=1,0,MIN(8,AF86)*AF85))</f>
      </c>
      <c r="AG87" s="26">
        <f>IF(AG$6="","",IF(WEEKDAY(AG$6,1)=1,0,MIN(8,AG86)*AG85))</f>
      </c>
      <c r="AH87" s="26">
        <f>IF(AH$6="","",IF(WEEKDAY(AH$6,1)=1,0,MIN(8,AH86)*AH85))</f>
      </c>
      <c r="AI87" s="26">
        <f>IF(AI$6="","",IF(WEEKDAY(AI$6,1)=1,0,MIN(8,AI86)*AI85))</f>
      </c>
      <c r="AJ87" s="26">
        <f>IF(AJ$6="","",IF(WEEKDAY(AJ$6,1)=1,0,MIN(8,AJ86)*AJ85))</f>
      </c>
      <c r="AK87" s="26">
        <f>IF(AK$6="","",IF(WEEKDAY(AK$6,1)=1,0,MIN(8,AK86)*AK85))</f>
      </c>
      <c r="AL87" s="26">
        <f>IF(AL$6="","",IF(WEEKDAY(AL$6,1)=1,0,MIN(8,AL86)*AL85))</f>
      </c>
      <c r="AM87" s="26">
        <f>IF(AM$6="","",IF(WEEKDAY(AM$6,1)=1,0,MIN(8,AM86)*AM85))</f>
      </c>
      <c r="AN87" s="26">
        <f>IF(AN$6="","",IF(WEEKDAY(AN$6,1)=1,0,MIN(8,AN86)*AN85))</f>
      </c>
      <c r="AO87" s="26">
        <f>IF(AO$6="","",IF(WEEKDAY(AO$6,1)=1,0,MIN(8,AO86)*AO85))</f>
      </c>
      <c r="AP87" s="26">
        <f>IF(AP$6="","",IF(WEEKDAY(AP$6,1)=1,0,MIN(8,AP86)*AP85))</f>
      </c>
      <c r="AQ87" s="26">
        <f>IF(AQ$6="","",IF(WEEKDAY(AQ$6,1)=1,0,MIN(8,AQ86)*AQ85))</f>
      </c>
      <c r="AR87" s="26">
        <f>IF(AR$6="","",IF(WEEKDAY(AR$6,1)=1,0,MIN(8,AR86)*AR85))</f>
      </c>
      <c r="AS87" s="26">
        <f>IF(AS$6="","",IF(WEEKDAY(AS$6,1)=1,0,MIN(8,AS86)*AS85))</f>
      </c>
      <c r="AT87" s="26">
        <f>IF(AT$6="","",IF(WEEKDAY(AT$6,1)=1,0,MIN(8,AT86)*AT85))</f>
      </c>
      <c r="AU87" s="26">
        <f>IF(AU$6="","",IF(WEEKDAY(AU$6,1)=1,0,MIN(8,AU86)*AU85))</f>
      </c>
      <c r="AV87" s="26">
        <f>IF(AV$6="","",IF(WEEKDAY(AV$6,1)=1,0,MIN(8,AV86)*AV85))</f>
      </c>
      <c r="AW87" s="26">
        <f>IF(AW$6="","",IF(WEEKDAY(AW$6,1)=1,0,MIN(8,AW86)*AW85))</f>
      </c>
      <c r="AX87" s="26">
        <f>IF(AX$6="","",IF(WEEKDAY(AX$6,1)=1,0,MIN(8,AX86)*AX85))</f>
      </c>
      <c r="AY87" s="26">
        <f>IF(AY$6="","",IF(WEEKDAY(AY$6,1)=1,0,MIN(8,AY86)*AY85))</f>
      </c>
      <c r="AZ87" s="26">
        <f>IF(AZ$6="","",IF(WEEKDAY(AZ$6,1)=1,0,MIN(8,AZ86)*AZ85))</f>
      </c>
      <c r="BA87" s="26">
        <f>IF(BA$6="","",IF(WEEKDAY(BA$6,1)=1,0,MIN(8,BA86)*BA85))</f>
      </c>
      <c r="BB87" s="26">
        <f>IF(BB$6="","",IF(WEEKDAY(BB$6,1)=1,0,MIN(8,BB86)*BB85))</f>
      </c>
      <c r="BC87" s="26">
        <f>IF(BC$6="","",IF(WEEKDAY(BC$6,1)=1,0,MIN(8,BC86)*BC85))</f>
      </c>
      <c r="BD87" s="26">
        <f>IF(BD$6="","",IF(WEEKDAY(BD$6,1)=1,0,MIN(8,BD86)*BD85))</f>
      </c>
      <c r="BE87" s="26">
        <f>IF(BE$6="","",IF(WEEKDAY(BE$6,1)=1,0,MIN(8,BE86)*BE85))</f>
      </c>
      <c r="BF87" s="26">
        <f>IF(BF$6="","",IF(WEEKDAY(BF$6,1)=1,0,MIN(8,BF86)*BF85))</f>
      </c>
      <c r="BG87" s="26">
        <f>IF(BG$6="","",IF(WEEKDAY(BG$6,1)=1,0,MIN(8,BG86)*BG85))</f>
      </c>
      <c r="BH87" s="26">
        <f>IF(BH$6="","",IF(WEEKDAY(BH$6,1)=1,0,MIN(8,BH86)*BH85))</f>
      </c>
      <c r="BI87" s="26">
        <f>IF(BI$6="","",IF(WEEKDAY(BI$6,1)=1,0,MIN(8,BI86)*BI85))</f>
      </c>
      <c r="BJ87" s="26">
        <f>IF(BJ$6="","",IF(WEEKDAY(BJ$6,1)=1,0,MIN(8,BJ86)*BJ85))</f>
      </c>
      <c r="BK87" s="26">
        <f>IF(BK$6="","",IF(WEEKDAY(BK$6,1)=1,0,MIN(8,BK86)*BK85))</f>
      </c>
      <c r="BL87" s="26">
        <f>IF(BL$6="","",IF(WEEKDAY(BL$6,1)=1,0,MIN(8,BL86)*BL85))</f>
      </c>
      <c r="BM87" s="26">
        <f>IF(BM$6="","",IF(WEEKDAY(BM$6,1)=1,0,MIN(8,BM86)*BM85))</f>
      </c>
      <c r="BN87" s="26">
        <f>IF(BN$6="","",IF(WEEKDAY(BN$6,1)=1,0,MIN(8,BN86)*BN85))</f>
      </c>
      <c r="BO87" s="26">
        <f>IF(BO$6="","",IF(WEEKDAY(BO$6,1)=1,0,MIN(8,BO86)*BO85))</f>
      </c>
      <c r="BP87" s="26">
        <f>IF(BP$6="","",IF(WEEKDAY(BP$6,1)=1,0,MIN(8,BP86)*BP85))</f>
      </c>
      <c r="BQ87" s="26">
        <f>IF(BQ$6="","",IF(WEEKDAY(BQ$6,1)=1,0,MIN(8,BQ86)*BQ85))</f>
      </c>
      <c r="BR87" s="26">
        <f>IF(BR$6="","",IF(WEEKDAY(BR$6,1)=1,0,MIN(8,BR86)*BR85))</f>
      </c>
      <c r="BS87" s="26">
        <f>IF(BS$6="","",IF(WEEKDAY(BS$6,1)=1,0,MIN(8,BS86)*BS85))</f>
      </c>
      <c r="BT87" s="26">
        <f>IF(BT$6="","",IF(WEEKDAY(BT$6,1)=1,0,MIN(8,BT86)*BT85))</f>
      </c>
      <c r="BU87" s="26">
        <f>IF(BU$6="","",IF(WEEKDAY(BU$6,1)=1,0,MIN(8,BU86)*BU85))</f>
      </c>
      <c r="BV87" s="26">
        <f>IF(BV$6="","",IF(WEEKDAY(BV$6,1)=1,0,MIN(8,BV86)*BV85))</f>
      </c>
      <c r="BW87" s="26">
        <f>IF(BW$6="","",IF(WEEKDAY(BW$6,1)=1,0,MIN(8,BW86)*BW85))</f>
      </c>
      <c r="BX87" s="26">
        <f>IF(BX$6="","",IF(WEEKDAY(BX$6,1)=1,0,MIN(8,BX86)*BX85))</f>
      </c>
      <c r="BY87" s="26">
        <f>IF(BY$6="","",IF(WEEKDAY(BY$6,1)=1,0,MIN(8,BY86)*BY85))</f>
      </c>
      <c r="BZ87" s="26">
        <f>IF(BZ$6="","",IF(WEEKDAY(BZ$6,1)=1,0,MIN(8,BZ86)*BZ85))</f>
      </c>
      <c r="CA87" s="26">
        <f>IF(CA$6="","",IF(WEEKDAY(CA$6,1)=1,0,MIN(8,CA86)*CA85))</f>
      </c>
      <c r="CB87" s="26">
        <f>IF(CB$6="","",IF(WEEKDAY(CB$6,1)=1,0,MIN(8,CB86)*CB85))</f>
      </c>
      <c r="CC87" s="26">
        <f>IF(CC$6="","",IF(WEEKDAY(CC$6,1)=1,0,MIN(8,CC86)*CC85))</f>
      </c>
      <c r="CD87" s="26">
        <f>IF(CD$6="","",IF(WEEKDAY(CD$6,1)=1,0,MIN(8,CD86)*CD85))</f>
      </c>
      <c r="CE87" s="26">
        <f>IF(CE$6="","",IF(WEEKDAY(CE$6,1)=1,0,MIN(8,CE86)*CE85))</f>
      </c>
      <c r="CF87" s="26">
        <f>IF(CF$6="","",IF(WEEKDAY(CF$6,1)=1,0,MIN(8,CF86)*CF85))</f>
      </c>
      <c r="CG87" s="26">
        <f>IF(CG$6="","",IF(WEEKDAY(CG$6,1)=1,0,MIN(8,CG86)*CG85))</f>
      </c>
      <c r="CH87" s="26">
        <f>IF(CH$6="","",IF(WEEKDAY(CH$6,1)=1,0,MIN(8,CH86)*CH85))</f>
      </c>
      <c r="CI87" s="26">
        <f>IF(CI$6="","",IF(WEEKDAY(CI$6,1)=1,0,MIN(8,CI86)*CI85))</f>
      </c>
      <c r="CJ87" s="26">
        <f>IF(CJ$6="","",IF(WEEKDAY(CJ$6,1)=1,0,MIN(8,CJ86)*CJ85))</f>
      </c>
      <c r="CK87" s="26">
        <f>IF(CK$6="","",IF(WEEKDAY(CK$6,1)=1,0,MIN(8,CK86)*CK85))</f>
      </c>
      <c r="CL87" s="26">
        <f>IF(CL$6="","",IF(WEEKDAY(CL$6,1)=1,0,MIN(8,CL86)*CL85))</f>
      </c>
      <c r="CM87" s="26">
        <f>IF(CM$6="","",IF(WEEKDAY(CM$6,1)=1,0,MIN(8,CM86)*CM85))</f>
      </c>
      <c r="CN87" s="26">
        <f>IF(CN$6="","",IF(WEEKDAY(CN$6,1)=1,0,MIN(8,CN86)*CN85))</f>
      </c>
      <c r="CO87" s="26">
        <f>IF(CO$6="","",IF(WEEKDAY(CO$6,1)=1,0,MIN(8,CO86)*CO85))</f>
      </c>
      <c r="CP87" s="26">
        <f>IF(CP$6="","",IF(WEEKDAY(CP$6,1)=1,0,MIN(8,CP86)*CP85))</f>
      </c>
      <c r="CQ87" s="26">
        <f>IF(CQ$6="","",IF(WEEKDAY(CQ$6,1)=1,0,MIN(8,CQ86)*CQ85))</f>
      </c>
      <c r="CR87" s="26">
        <f>IF(CR$6="","",IF(WEEKDAY(CR$6,1)=1,0,MIN(8,CR86)*CR85))</f>
      </c>
      <c r="CS87" s="26">
        <f>IF(CS$6="","",IF(WEEKDAY(CS$6,1)=1,0,MIN(8,CS86)*CS85))</f>
      </c>
      <c r="CT87" s="26">
        <f>IF(CT$6="","",IF(WEEKDAY(CT$6,1)=1,0,MIN(8,CT86)*CT85))</f>
      </c>
      <c r="CU87" s="26">
        <f>IF(CU$6="","",IF(WEEKDAY(CU$6,1)=1,0,MIN(8,CU86)*CU85))</f>
      </c>
      <c r="CV87" s="26">
        <f>IF(CV$6="","",IF(WEEKDAY(CV$6,1)=1,0,MIN(8,CV86)*CV85))</f>
      </c>
      <c r="CW87" s="26">
        <f>IF(CW$6="","",IF(WEEKDAY(CW$6,1)=1,0,MIN(8,CW86)*CW85))</f>
      </c>
      <c r="CX87" s="8" t="s">
        <v>61</v>
      </c>
    </row>
    <row r="88" spans="2:102" x14ac:dyDescent="0.25">
      <c r="B88" s="26">
        <f>SUM(L88:CW88)</f>
      </c>
      <c r="D88" s="27">
        <f>B88*E88</f>
      </c>
      <c r="E88" s="27">
        <f>'Rate Tables'!D14</f>
      </c>
      <c r="F88" s="8" t="s">
        <v>40</v>
      </c>
      <c r="L88" s="26">
        <f>IF(L$6="","",IF(WEEKDAY(L$6,1)=1,0,MAX(0,L86-8)*L85))</f>
      </c>
      <c r="M88" s="26">
        <f>IF(M$6="","",IF(WEEKDAY(M$6,1)=1,0,MAX(0,M86-8)*M85))</f>
      </c>
      <c r="N88" s="26">
        <f>IF(N$6="","",IF(WEEKDAY(N$6,1)=1,0,MAX(0,N86-8)*N85))</f>
      </c>
      <c r="O88" s="26">
        <f>IF(O$6="","",IF(WEEKDAY(O$6,1)=1,0,MAX(0,O86-8)*O85))</f>
      </c>
      <c r="P88" s="26">
        <f>IF(P$6="","",IF(WEEKDAY(P$6,1)=1,0,MAX(0,P86-8)*P85))</f>
      </c>
      <c r="Q88" s="26">
        <f>IF(Q$6="","",IF(WEEKDAY(Q$6,1)=1,0,MAX(0,Q86-8)*Q85))</f>
      </c>
      <c r="R88" s="26">
        <f>IF(R$6="","",IF(WEEKDAY(R$6,1)=1,0,MAX(0,R86-8)*R85))</f>
      </c>
      <c r="S88" s="26">
        <f>IF(S$6="","",IF(WEEKDAY(S$6,1)=1,0,MAX(0,S86-8)*S85))</f>
      </c>
      <c r="T88" s="26">
        <f>IF(T$6="","",IF(WEEKDAY(T$6,1)=1,0,MAX(0,T86-8)*T85))</f>
      </c>
      <c r="U88" s="26">
        <f>IF(U$6="","",IF(WEEKDAY(U$6,1)=1,0,MAX(0,U86-8)*U85))</f>
      </c>
      <c r="V88" s="26">
        <f>IF(V$6="","",IF(WEEKDAY(V$6,1)=1,0,MAX(0,V86-8)*V85))</f>
      </c>
      <c r="W88" s="26">
        <f>IF(W$6="","",IF(WEEKDAY(W$6,1)=1,0,MAX(0,W86-8)*W85))</f>
      </c>
      <c r="X88" s="26">
        <f>IF(X$6="","",IF(WEEKDAY(X$6,1)=1,0,MAX(0,X86-8)*X85))</f>
      </c>
      <c r="Y88" s="26">
        <f>IF(Y$6="","",IF(WEEKDAY(Y$6,1)=1,0,MAX(0,Y86-8)*Y85))</f>
      </c>
      <c r="Z88" s="26">
        <f>IF(Z$6="","",IF(WEEKDAY(Z$6,1)=1,0,MAX(0,Z86-8)*Z85))</f>
      </c>
      <c r="AA88" s="26">
        <f>IF(AA$6="","",IF(WEEKDAY(AA$6,1)=1,0,MAX(0,AA86-8)*AA85))</f>
      </c>
      <c r="AB88" s="26">
        <f>IF(AB$6="","",IF(WEEKDAY(AB$6,1)=1,0,MAX(0,AB86-8)*AB85))</f>
      </c>
      <c r="AC88" s="26">
        <f>IF(AC$6="","",IF(WEEKDAY(AC$6,1)=1,0,MAX(0,AC86-8)*AC85))</f>
      </c>
      <c r="AD88" s="26">
        <f>IF(AD$6="","",IF(WEEKDAY(AD$6,1)=1,0,MAX(0,AD86-8)*AD85))</f>
      </c>
      <c r="AE88" s="26">
        <f>IF(AE$6="","",IF(WEEKDAY(AE$6,1)=1,0,MAX(0,AE86-8)*AE85))</f>
      </c>
      <c r="AF88" s="26">
        <f>IF(AF$6="","",IF(WEEKDAY(AF$6,1)=1,0,MAX(0,AF86-8)*AF85))</f>
      </c>
      <c r="AG88" s="26">
        <f>IF(AG$6="","",IF(WEEKDAY(AG$6,1)=1,0,MAX(0,AG86-8)*AG85))</f>
      </c>
      <c r="AH88" s="26">
        <f>IF(AH$6="","",IF(WEEKDAY(AH$6,1)=1,0,MAX(0,AH86-8)*AH85))</f>
      </c>
      <c r="AI88" s="26">
        <f>IF(AI$6="","",IF(WEEKDAY(AI$6,1)=1,0,MAX(0,AI86-8)*AI85))</f>
      </c>
      <c r="AJ88" s="26">
        <f>IF(AJ$6="","",IF(WEEKDAY(AJ$6,1)=1,0,MAX(0,AJ86-8)*AJ85))</f>
      </c>
      <c r="AK88" s="26">
        <f>IF(AK$6="","",IF(WEEKDAY(AK$6,1)=1,0,MAX(0,AK86-8)*AK85))</f>
      </c>
      <c r="AL88" s="26">
        <f>IF(AL$6="","",IF(WEEKDAY(AL$6,1)=1,0,MAX(0,AL86-8)*AL85))</f>
      </c>
      <c r="AM88" s="26">
        <f>IF(AM$6="","",IF(WEEKDAY(AM$6,1)=1,0,MAX(0,AM86-8)*AM85))</f>
      </c>
      <c r="AN88" s="26">
        <f>IF(AN$6="","",IF(WEEKDAY(AN$6,1)=1,0,MAX(0,AN86-8)*AN85))</f>
      </c>
      <c r="AO88" s="26">
        <f>IF(AO$6="","",IF(WEEKDAY(AO$6,1)=1,0,MAX(0,AO86-8)*AO85))</f>
      </c>
      <c r="AP88" s="26">
        <f>IF(AP$6="","",IF(WEEKDAY(AP$6,1)=1,0,MAX(0,AP86-8)*AP85))</f>
      </c>
      <c r="AQ88" s="26">
        <f>IF(AQ$6="","",IF(WEEKDAY(AQ$6,1)=1,0,MAX(0,AQ86-8)*AQ85))</f>
      </c>
      <c r="AR88" s="26">
        <f>IF(AR$6="","",IF(WEEKDAY(AR$6,1)=1,0,MAX(0,AR86-8)*AR85))</f>
      </c>
      <c r="AS88" s="26">
        <f>IF(AS$6="","",IF(WEEKDAY(AS$6,1)=1,0,MAX(0,AS86-8)*AS85))</f>
      </c>
      <c r="AT88" s="26">
        <f>IF(AT$6="","",IF(WEEKDAY(AT$6,1)=1,0,MAX(0,AT86-8)*AT85))</f>
      </c>
      <c r="AU88" s="26">
        <f>IF(AU$6="","",IF(WEEKDAY(AU$6,1)=1,0,MAX(0,AU86-8)*AU85))</f>
      </c>
      <c r="AV88" s="26">
        <f>IF(AV$6="","",IF(WEEKDAY(AV$6,1)=1,0,MAX(0,AV86-8)*AV85))</f>
      </c>
      <c r="AW88" s="26">
        <f>IF(AW$6="","",IF(WEEKDAY(AW$6,1)=1,0,MAX(0,AW86-8)*AW85))</f>
      </c>
      <c r="AX88" s="26">
        <f>IF(AX$6="","",IF(WEEKDAY(AX$6,1)=1,0,MAX(0,AX86-8)*AX85))</f>
      </c>
      <c r="AY88" s="26">
        <f>IF(AY$6="","",IF(WEEKDAY(AY$6,1)=1,0,MAX(0,AY86-8)*AY85))</f>
      </c>
      <c r="AZ88" s="26">
        <f>IF(AZ$6="","",IF(WEEKDAY(AZ$6,1)=1,0,MAX(0,AZ86-8)*AZ85))</f>
      </c>
      <c r="BA88" s="26">
        <f>IF(BA$6="","",IF(WEEKDAY(BA$6,1)=1,0,MAX(0,BA86-8)*BA85))</f>
      </c>
      <c r="BB88" s="26">
        <f>IF(BB$6="","",IF(WEEKDAY(BB$6,1)=1,0,MAX(0,BB86-8)*BB85))</f>
      </c>
      <c r="BC88" s="26">
        <f>IF(BC$6="","",IF(WEEKDAY(BC$6,1)=1,0,MAX(0,BC86-8)*BC85))</f>
      </c>
      <c r="BD88" s="26">
        <f>IF(BD$6="","",IF(WEEKDAY(BD$6,1)=1,0,MAX(0,BD86-8)*BD85))</f>
      </c>
      <c r="BE88" s="26">
        <f>IF(BE$6="","",IF(WEEKDAY(BE$6,1)=1,0,MAX(0,BE86-8)*BE85))</f>
      </c>
      <c r="BF88" s="26">
        <f>IF(BF$6="","",IF(WEEKDAY(BF$6,1)=1,0,MAX(0,BF86-8)*BF85))</f>
      </c>
      <c r="BG88" s="26">
        <f>IF(BG$6="","",IF(WEEKDAY(BG$6,1)=1,0,MAX(0,BG86-8)*BG85))</f>
      </c>
      <c r="BH88" s="26">
        <f>IF(BH$6="","",IF(WEEKDAY(BH$6,1)=1,0,MAX(0,BH86-8)*BH85))</f>
      </c>
      <c r="BI88" s="26">
        <f>IF(BI$6="","",IF(WEEKDAY(BI$6,1)=1,0,MAX(0,BI86-8)*BI85))</f>
      </c>
      <c r="BJ88" s="26">
        <f>IF(BJ$6="","",IF(WEEKDAY(BJ$6,1)=1,0,MAX(0,BJ86-8)*BJ85))</f>
      </c>
      <c r="BK88" s="26">
        <f>IF(BK$6="","",IF(WEEKDAY(BK$6,1)=1,0,MAX(0,BK86-8)*BK85))</f>
      </c>
      <c r="BL88" s="26">
        <f>IF(BL$6="","",IF(WEEKDAY(BL$6,1)=1,0,MAX(0,BL86-8)*BL85))</f>
      </c>
      <c r="BM88" s="26">
        <f>IF(BM$6="","",IF(WEEKDAY(BM$6,1)=1,0,MAX(0,BM86-8)*BM85))</f>
      </c>
      <c r="BN88" s="26">
        <f>IF(BN$6="","",IF(WEEKDAY(BN$6,1)=1,0,MAX(0,BN86-8)*BN85))</f>
      </c>
      <c r="BO88" s="26">
        <f>IF(BO$6="","",IF(WEEKDAY(BO$6,1)=1,0,MAX(0,BO86-8)*BO85))</f>
      </c>
      <c r="BP88" s="26">
        <f>IF(BP$6="","",IF(WEEKDAY(BP$6,1)=1,0,MAX(0,BP86-8)*BP85))</f>
      </c>
      <c r="BQ88" s="26">
        <f>IF(BQ$6="","",IF(WEEKDAY(BQ$6,1)=1,0,MAX(0,BQ86-8)*BQ85))</f>
      </c>
      <c r="BR88" s="26">
        <f>IF(BR$6="","",IF(WEEKDAY(BR$6,1)=1,0,MAX(0,BR86-8)*BR85))</f>
      </c>
      <c r="BS88" s="26">
        <f>IF(BS$6="","",IF(WEEKDAY(BS$6,1)=1,0,MAX(0,BS86-8)*BS85))</f>
      </c>
      <c r="BT88" s="26">
        <f>IF(BT$6="","",IF(WEEKDAY(BT$6,1)=1,0,MAX(0,BT86-8)*BT85))</f>
      </c>
      <c r="BU88" s="26">
        <f>IF(BU$6="","",IF(WEEKDAY(BU$6,1)=1,0,MAX(0,BU86-8)*BU85))</f>
      </c>
      <c r="BV88" s="26">
        <f>IF(BV$6="","",IF(WEEKDAY(BV$6,1)=1,0,MAX(0,BV86-8)*BV85))</f>
      </c>
      <c r="BW88" s="26">
        <f>IF(BW$6="","",IF(WEEKDAY(BW$6,1)=1,0,MAX(0,BW86-8)*BW85))</f>
      </c>
      <c r="BX88" s="26">
        <f>IF(BX$6="","",IF(WEEKDAY(BX$6,1)=1,0,MAX(0,BX86-8)*BX85))</f>
      </c>
      <c r="BY88" s="26">
        <f>IF(BY$6="","",IF(WEEKDAY(BY$6,1)=1,0,MAX(0,BY86-8)*BY85))</f>
      </c>
      <c r="BZ88" s="26">
        <f>IF(BZ$6="","",IF(WEEKDAY(BZ$6,1)=1,0,MAX(0,BZ86-8)*BZ85))</f>
      </c>
      <c r="CA88" s="26">
        <f>IF(CA$6="","",IF(WEEKDAY(CA$6,1)=1,0,MAX(0,CA86-8)*CA85))</f>
      </c>
      <c r="CB88" s="26">
        <f>IF(CB$6="","",IF(WEEKDAY(CB$6,1)=1,0,MAX(0,CB86-8)*CB85))</f>
      </c>
      <c r="CC88" s="26">
        <f>IF(CC$6="","",IF(WEEKDAY(CC$6,1)=1,0,MAX(0,CC86-8)*CC85))</f>
      </c>
      <c r="CD88" s="26">
        <f>IF(CD$6="","",IF(WEEKDAY(CD$6,1)=1,0,MAX(0,CD86-8)*CD85))</f>
      </c>
      <c r="CE88" s="26">
        <f>IF(CE$6="","",IF(WEEKDAY(CE$6,1)=1,0,MAX(0,CE86-8)*CE85))</f>
      </c>
      <c r="CF88" s="26">
        <f>IF(CF$6="","",IF(WEEKDAY(CF$6,1)=1,0,MAX(0,CF86-8)*CF85))</f>
      </c>
      <c r="CG88" s="26">
        <f>IF(CG$6="","",IF(WEEKDAY(CG$6,1)=1,0,MAX(0,CG86-8)*CG85))</f>
      </c>
      <c r="CH88" s="26">
        <f>IF(CH$6="","",IF(WEEKDAY(CH$6,1)=1,0,MAX(0,CH86-8)*CH85))</f>
      </c>
      <c r="CI88" s="26">
        <f>IF(CI$6="","",IF(WEEKDAY(CI$6,1)=1,0,MAX(0,CI86-8)*CI85))</f>
      </c>
      <c r="CJ88" s="26">
        <f>IF(CJ$6="","",IF(WEEKDAY(CJ$6,1)=1,0,MAX(0,CJ86-8)*CJ85))</f>
      </c>
      <c r="CK88" s="26">
        <f>IF(CK$6="","",IF(WEEKDAY(CK$6,1)=1,0,MAX(0,CK86-8)*CK85))</f>
      </c>
      <c r="CL88" s="26">
        <f>IF(CL$6="","",IF(WEEKDAY(CL$6,1)=1,0,MAX(0,CL86-8)*CL85))</f>
      </c>
      <c r="CM88" s="26">
        <f>IF(CM$6="","",IF(WEEKDAY(CM$6,1)=1,0,MAX(0,CM86-8)*CM85))</f>
      </c>
      <c r="CN88" s="26">
        <f>IF(CN$6="","",IF(WEEKDAY(CN$6,1)=1,0,MAX(0,CN86-8)*CN85))</f>
      </c>
      <c r="CO88" s="26">
        <f>IF(CO$6="","",IF(WEEKDAY(CO$6,1)=1,0,MAX(0,CO86-8)*CO85))</f>
      </c>
      <c r="CP88" s="26">
        <f>IF(CP$6="","",IF(WEEKDAY(CP$6,1)=1,0,MAX(0,CP86-8)*CP85))</f>
      </c>
      <c r="CQ88" s="26">
        <f>IF(CQ$6="","",IF(WEEKDAY(CQ$6,1)=1,0,MAX(0,CQ86-8)*CQ85))</f>
      </c>
      <c r="CR88" s="26">
        <f>IF(CR$6="","",IF(WEEKDAY(CR$6,1)=1,0,MAX(0,CR86-8)*CR85))</f>
      </c>
      <c r="CS88" s="26">
        <f>IF(CS$6="","",IF(WEEKDAY(CS$6,1)=1,0,MAX(0,CS86-8)*CS85))</f>
      </c>
      <c r="CT88" s="26">
        <f>IF(CT$6="","",IF(WEEKDAY(CT$6,1)=1,0,MAX(0,CT86-8)*CT85))</f>
      </c>
      <c r="CU88" s="26">
        <f>IF(CU$6="","",IF(WEEKDAY(CU$6,1)=1,0,MAX(0,CU86-8)*CU85))</f>
      </c>
      <c r="CV88" s="26">
        <f>IF(CV$6="","",IF(WEEKDAY(CV$6,1)=1,0,MAX(0,CV86-8)*CV85))</f>
      </c>
      <c r="CW88" s="26">
        <f>IF(CW$6="","",IF(WEEKDAY(CW$6,1)=1,0,MAX(0,CW86-8)*CW85))</f>
      </c>
      <c r="CX88" s="8" t="s">
        <v>61</v>
      </c>
    </row>
    <row r="89" spans="2:102" x14ac:dyDescent="0.25">
      <c r="B89" s="26">
        <f>SUM(L89:CW89)</f>
      </c>
      <c r="D89" s="27">
        <f>B89*E89</f>
      </c>
      <c r="E89" s="27">
        <f>'Rate Tables'!E14</f>
      </c>
      <c r="F89" s="8" t="s">
        <v>41</v>
      </c>
      <c r="L89" s="26">
        <f>IF(L$6="","",IF(WEEKDAY(L$6,1)=1,L86*L85,0))</f>
      </c>
      <c r="M89" s="26">
        <f>IF(M$6="","",IF(WEEKDAY(M$6,1)=1,M86*M85,0))</f>
      </c>
      <c r="N89" s="26">
        <f>IF(N$6="","",IF(WEEKDAY(N$6,1)=1,N86*N85,0))</f>
      </c>
      <c r="O89" s="26">
        <f>IF(O$6="","",IF(WEEKDAY(O$6,1)=1,O86*O85,0))</f>
      </c>
      <c r="P89" s="26">
        <f>IF(P$6="","",IF(WEEKDAY(P$6,1)=1,P86*P85,0))</f>
      </c>
      <c r="Q89" s="26">
        <f>IF(Q$6="","",IF(WEEKDAY(Q$6,1)=1,Q86*Q85,0))</f>
      </c>
      <c r="R89" s="26">
        <f>IF(R$6="","",IF(WEEKDAY(R$6,1)=1,R86*R85,0))</f>
      </c>
      <c r="S89" s="26">
        <f>IF(S$6="","",IF(WEEKDAY(S$6,1)=1,S86*S85,0))</f>
      </c>
      <c r="T89" s="26">
        <f>IF(T$6="","",IF(WEEKDAY(T$6,1)=1,T86*T85,0))</f>
      </c>
      <c r="U89" s="26">
        <f>IF(U$6="","",IF(WEEKDAY(U$6,1)=1,U86*U85,0))</f>
      </c>
      <c r="V89" s="26">
        <f>IF(V$6="","",IF(WEEKDAY(V$6,1)=1,V86*V85,0))</f>
      </c>
      <c r="W89" s="26">
        <f>IF(W$6="","",IF(WEEKDAY(W$6,1)=1,W86*W85,0))</f>
      </c>
      <c r="X89" s="26">
        <f>IF(X$6="","",IF(WEEKDAY(X$6,1)=1,X86*X85,0))</f>
      </c>
      <c r="Y89" s="26">
        <f>IF(Y$6="","",IF(WEEKDAY(Y$6,1)=1,Y86*Y85,0))</f>
      </c>
      <c r="Z89" s="26">
        <f>IF(Z$6="","",IF(WEEKDAY(Z$6,1)=1,Z86*Z85,0))</f>
      </c>
      <c r="AA89" s="26">
        <f>IF(AA$6="","",IF(WEEKDAY(AA$6,1)=1,AA86*AA85,0))</f>
      </c>
      <c r="AB89" s="26">
        <f>IF(AB$6="","",IF(WEEKDAY(AB$6,1)=1,AB86*AB85,0))</f>
      </c>
      <c r="AC89" s="26">
        <f>IF(AC$6="","",IF(WEEKDAY(AC$6,1)=1,AC86*AC85,0))</f>
      </c>
      <c r="AD89" s="26">
        <f>IF(AD$6="","",IF(WEEKDAY(AD$6,1)=1,AD86*AD85,0))</f>
      </c>
      <c r="AE89" s="26">
        <f>IF(AE$6="","",IF(WEEKDAY(AE$6,1)=1,AE86*AE85,0))</f>
      </c>
      <c r="AF89" s="26">
        <f>IF(AF$6="","",IF(WEEKDAY(AF$6,1)=1,AF86*AF85,0))</f>
      </c>
      <c r="AG89" s="26">
        <f>IF(AG$6="","",IF(WEEKDAY(AG$6,1)=1,AG86*AG85,0))</f>
      </c>
      <c r="AH89" s="26">
        <f>IF(AH$6="","",IF(WEEKDAY(AH$6,1)=1,AH86*AH85,0))</f>
      </c>
      <c r="AI89" s="26">
        <f>IF(AI$6="","",IF(WEEKDAY(AI$6,1)=1,AI86*AI85,0))</f>
      </c>
      <c r="AJ89" s="26">
        <f>IF(AJ$6="","",IF(WEEKDAY(AJ$6,1)=1,AJ86*AJ85,0))</f>
      </c>
      <c r="AK89" s="26">
        <f>IF(AK$6="","",IF(WEEKDAY(AK$6,1)=1,AK86*AK85,0))</f>
      </c>
      <c r="AL89" s="26">
        <f>IF(AL$6="","",IF(WEEKDAY(AL$6,1)=1,AL86*AL85,0))</f>
      </c>
      <c r="AM89" s="26">
        <f>IF(AM$6="","",IF(WEEKDAY(AM$6,1)=1,AM86*AM85,0))</f>
      </c>
      <c r="AN89" s="26">
        <f>IF(AN$6="","",IF(WEEKDAY(AN$6,1)=1,AN86*AN85,0))</f>
      </c>
      <c r="AO89" s="26">
        <f>IF(AO$6="","",IF(WEEKDAY(AO$6,1)=1,AO86*AO85,0))</f>
      </c>
      <c r="AP89" s="26">
        <f>IF(AP$6="","",IF(WEEKDAY(AP$6,1)=1,AP86*AP85,0))</f>
      </c>
      <c r="AQ89" s="26">
        <f>IF(AQ$6="","",IF(WEEKDAY(AQ$6,1)=1,AQ86*AQ85,0))</f>
      </c>
      <c r="AR89" s="26">
        <f>IF(AR$6="","",IF(WEEKDAY(AR$6,1)=1,AR86*AR85,0))</f>
      </c>
      <c r="AS89" s="26">
        <f>IF(AS$6="","",IF(WEEKDAY(AS$6,1)=1,AS86*AS85,0))</f>
      </c>
      <c r="AT89" s="26">
        <f>IF(AT$6="","",IF(WEEKDAY(AT$6,1)=1,AT86*AT85,0))</f>
      </c>
      <c r="AU89" s="26">
        <f>IF(AU$6="","",IF(WEEKDAY(AU$6,1)=1,AU86*AU85,0))</f>
      </c>
      <c r="AV89" s="26">
        <f>IF(AV$6="","",IF(WEEKDAY(AV$6,1)=1,AV86*AV85,0))</f>
      </c>
      <c r="AW89" s="26">
        <f>IF(AW$6="","",IF(WEEKDAY(AW$6,1)=1,AW86*AW85,0))</f>
      </c>
      <c r="AX89" s="26">
        <f>IF(AX$6="","",IF(WEEKDAY(AX$6,1)=1,AX86*AX85,0))</f>
      </c>
      <c r="AY89" s="26">
        <f>IF(AY$6="","",IF(WEEKDAY(AY$6,1)=1,AY86*AY85,0))</f>
      </c>
      <c r="AZ89" s="26">
        <f>IF(AZ$6="","",IF(WEEKDAY(AZ$6,1)=1,AZ86*AZ85,0))</f>
      </c>
      <c r="BA89" s="26">
        <f>IF(BA$6="","",IF(WEEKDAY(BA$6,1)=1,BA86*BA85,0))</f>
      </c>
      <c r="BB89" s="26">
        <f>IF(BB$6="","",IF(WEEKDAY(BB$6,1)=1,BB86*BB85,0))</f>
      </c>
      <c r="BC89" s="26">
        <f>IF(BC$6="","",IF(WEEKDAY(BC$6,1)=1,BC86*BC85,0))</f>
      </c>
      <c r="BD89" s="26">
        <f>IF(BD$6="","",IF(WEEKDAY(BD$6,1)=1,BD86*BD85,0))</f>
      </c>
      <c r="BE89" s="26">
        <f>IF(BE$6="","",IF(WEEKDAY(BE$6,1)=1,BE86*BE85,0))</f>
      </c>
      <c r="BF89" s="26">
        <f>IF(BF$6="","",IF(WEEKDAY(BF$6,1)=1,BF86*BF85,0))</f>
      </c>
      <c r="BG89" s="26">
        <f>IF(BG$6="","",IF(WEEKDAY(BG$6,1)=1,BG86*BG85,0))</f>
      </c>
      <c r="BH89" s="26">
        <f>IF(BH$6="","",IF(WEEKDAY(BH$6,1)=1,BH86*BH85,0))</f>
      </c>
      <c r="BI89" s="26">
        <f>IF(BI$6="","",IF(WEEKDAY(BI$6,1)=1,BI86*BI85,0))</f>
      </c>
      <c r="BJ89" s="26">
        <f>IF(BJ$6="","",IF(WEEKDAY(BJ$6,1)=1,BJ86*BJ85,0))</f>
      </c>
      <c r="BK89" s="26">
        <f>IF(BK$6="","",IF(WEEKDAY(BK$6,1)=1,BK86*BK85,0))</f>
      </c>
      <c r="BL89" s="26">
        <f>IF(BL$6="","",IF(WEEKDAY(BL$6,1)=1,BL86*BL85,0))</f>
      </c>
      <c r="BM89" s="26">
        <f>IF(BM$6="","",IF(WEEKDAY(BM$6,1)=1,BM86*BM85,0))</f>
      </c>
      <c r="BN89" s="26">
        <f>IF(BN$6="","",IF(WEEKDAY(BN$6,1)=1,BN86*BN85,0))</f>
      </c>
      <c r="BO89" s="26">
        <f>IF(BO$6="","",IF(WEEKDAY(BO$6,1)=1,BO86*BO85,0))</f>
      </c>
      <c r="BP89" s="26">
        <f>IF(BP$6="","",IF(WEEKDAY(BP$6,1)=1,BP86*BP85,0))</f>
      </c>
      <c r="BQ89" s="26">
        <f>IF(BQ$6="","",IF(WEEKDAY(BQ$6,1)=1,BQ86*BQ85,0))</f>
      </c>
      <c r="BR89" s="26">
        <f>IF(BR$6="","",IF(WEEKDAY(BR$6,1)=1,BR86*BR85,0))</f>
      </c>
      <c r="BS89" s="26">
        <f>IF(BS$6="","",IF(WEEKDAY(BS$6,1)=1,BS86*BS85,0))</f>
      </c>
      <c r="BT89" s="26">
        <f>IF(BT$6="","",IF(WEEKDAY(BT$6,1)=1,BT86*BT85,0))</f>
      </c>
      <c r="BU89" s="26">
        <f>IF(BU$6="","",IF(WEEKDAY(BU$6,1)=1,BU86*BU85,0))</f>
      </c>
      <c r="BV89" s="26">
        <f>IF(BV$6="","",IF(WEEKDAY(BV$6,1)=1,BV86*BV85,0))</f>
      </c>
      <c r="BW89" s="26">
        <f>IF(BW$6="","",IF(WEEKDAY(BW$6,1)=1,BW86*BW85,0))</f>
      </c>
      <c r="BX89" s="26">
        <f>IF(BX$6="","",IF(WEEKDAY(BX$6,1)=1,BX86*BX85,0))</f>
      </c>
      <c r="BY89" s="26">
        <f>IF(BY$6="","",IF(WEEKDAY(BY$6,1)=1,BY86*BY85,0))</f>
      </c>
      <c r="BZ89" s="26">
        <f>IF(BZ$6="","",IF(WEEKDAY(BZ$6,1)=1,BZ86*BZ85,0))</f>
      </c>
      <c r="CA89" s="26">
        <f>IF(CA$6="","",IF(WEEKDAY(CA$6,1)=1,CA86*CA85,0))</f>
      </c>
      <c r="CB89" s="26">
        <f>IF(CB$6="","",IF(WEEKDAY(CB$6,1)=1,CB86*CB85,0))</f>
      </c>
      <c r="CC89" s="26">
        <f>IF(CC$6="","",IF(WEEKDAY(CC$6,1)=1,CC86*CC85,0))</f>
      </c>
      <c r="CD89" s="26">
        <f>IF(CD$6="","",IF(WEEKDAY(CD$6,1)=1,CD86*CD85,0))</f>
      </c>
      <c r="CE89" s="26">
        <f>IF(CE$6="","",IF(WEEKDAY(CE$6,1)=1,CE86*CE85,0))</f>
      </c>
      <c r="CF89" s="26">
        <f>IF(CF$6="","",IF(WEEKDAY(CF$6,1)=1,CF86*CF85,0))</f>
      </c>
      <c r="CG89" s="26">
        <f>IF(CG$6="","",IF(WEEKDAY(CG$6,1)=1,CG86*CG85,0))</f>
      </c>
      <c r="CH89" s="26">
        <f>IF(CH$6="","",IF(WEEKDAY(CH$6,1)=1,CH86*CH85,0))</f>
      </c>
      <c r="CI89" s="26">
        <f>IF(CI$6="","",IF(WEEKDAY(CI$6,1)=1,CI86*CI85,0))</f>
      </c>
      <c r="CJ89" s="26">
        <f>IF(CJ$6="","",IF(WEEKDAY(CJ$6,1)=1,CJ86*CJ85,0))</f>
      </c>
      <c r="CK89" s="26">
        <f>IF(CK$6="","",IF(WEEKDAY(CK$6,1)=1,CK86*CK85,0))</f>
      </c>
      <c r="CL89" s="26">
        <f>IF(CL$6="","",IF(WEEKDAY(CL$6,1)=1,CL86*CL85,0))</f>
      </c>
      <c r="CM89" s="26">
        <f>IF(CM$6="","",IF(WEEKDAY(CM$6,1)=1,CM86*CM85,0))</f>
      </c>
      <c r="CN89" s="26">
        <f>IF(CN$6="","",IF(WEEKDAY(CN$6,1)=1,CN86*CN85,0))</f>
      </c>
      <c r="CO89" s="26">
        <f>IF(CO$6="","",IF(WEEKDAY(CO$6,1)=1,CO86*CO85,0))</f>
      </c>
      <c r="CP89" s="26">
        <f>IF(CP$6="","",IF(WEEKDAY(CP$6,1)=1,CP86*CP85,0))</f>
      </c>
      <c r="CQ89" s="26">
        <f>IF(CQ$6="","",IF(WEEKDAY(CQ$6,1)=1,CQ86*CQ85,0))</f>
      </c>
      <c r="CR89" s="26">
        <f>IF(CR$6="","",IF(WEEKDAY(CR$6,1)=1,CR86*CR85,0))</f>
      </c>
      <c r="CS89" s="26">
        <f>IF(CS$6="","",IF(WEEKDAY(CS$6,1)=1,CS86*CS85,0))</f>
      </c>
      <c r="CT89" s="26">
        <f>IF(CT$6="","",IF(WEEKDAY(CT$6,1)=1,CT86*CT85,0))</f>
      </c>
      <c r="CU89" s="26">
        <f>IF(CU$6="","",IF(WEEKDAY(CU$6,1)=1,CU86*CU85,0))</f>
      </c>
      <c r="CV89" s="26">
        <f>IF(CV$6="","",IF(WEEKDAY(CV$6,1)=1,CV86*CV85,0))</f>
      </c>
      <c r="CW89" s="26">
        <f>IF(CW$6="","",IF(WEEKDAY(CW$6,1)=1,CW86*CW85,0))</f>
      </c>
      <c r="CX89" s="8" t="s">
        <v>61</v>
      </c>
    </row>
    <row r="90" spans="2:102" x14ac:dyDescent="0.25">
      <c r="B90" s="26">
        <f>SUM(L90:CW90)</f>
      </c>
      <c r="D90" s="27">
        <f>B90*E90</f>
      </c>
      <c r="E90" s="27">
        <v>140</v>
      </c>
      <c r="F90" s="8" t="s">
        <v>42</v>
      </c>
      <c r="L90" s="28">
        <v>1</v>
      </c>
      <c r="M90" s="28">
        <v>1</v>
      </c>
      <c r="N90" s="28">
        <v>1</v>
      </c>
      <c r="O90" s="28">
        <v>1</v>
      </c>
      <c r="P90" s="28">
        <v>1</v>
      </c>
      <c r="Q90" s="28">
        <v>0</v>
      </c>
      <c r="R90" s="28">
        <v>0</v>
      </c>
      <c r="S90" s="28">
        <v>1</v>
      </c>
      <c r="T90" s="28">
        <v>1</v>
      </c>
      <c r="U90" s="28">
        <v>1</v>
      </c>
      <c r="V90" s="28">
        <v>1</v>
      </c>
      <c r="W90" s="28">
        <v>1</v>
      </c>
      <c r="X90" s="28">
        <v>0</v>
      </c>
      <c r="Y90" s="28">
        <v>0</v>
      </c>
      <c r="Z90" s="28">
        <v>1</v>
      </c>
      <c r="AA90" s="28">
        <v>1</v>
      </c>
      <c r="AB90" s="28">
        <v>1</v>
      </c>
      <c r="AC90" s="28">
        <v>1</v>
      </c>
      <c r="AD90" s="28">
        <v>1</v>
      </c>
      <c r="AE90" s="28">
        <v>0</v>
      </c>
      <c r="AF90" s="28">
        <v>0</v>
      </c>
      <c r="AG90" s="28">
        <v>1</v>
      </c>
      <c r="AH90" s="28">
        <v>1</v>
      </c>
      <c r="AI90" s="28">
        <v>1</v>
      </c>
      <c r="AJ90" s="28">
        <v>1</v>
      </c>
      <c r="AK90" s="28">
        <v>1</v>
      </c>
      <c r="AL90" s="28">
        <v>0</v>
      </c>
      <c r="AM90" s="28">
        <v>0</v>
      </c>
      <c r="AN90" s="28">
        <v>1</v>
      </c>
      <c r="AO90" s="28">
        <v>1</v>
      </c>
      <c r="AP90" s="28">
        <v>1</v>
      </c>
      <c r="AQ90" s="28">
        <v>1</v>
      </c>
      <c r="AR90" s="28">
        <v>1</v>
      </c>
      <c r="AS90" s="28">
        <v>0</v>
      </c>
      <c r="AT90" s="28">
        <v>0</v>
      </c>
      <c r="AU90" s="28">
        <v>1</v>
      </c>
      <c r="AV90" s="28">
        <v>1</v>
      </c>
      <c r="AW90" s="28">
        <v>1</v>
      </c>
      <c r="AX90" s="28">
        <v>1</v>
      </c>
      <c r="AY90" s="28">
        <v>1</v>
      </c>
      <c r="AZ90" s="28">
        <v>0</v>
      </c>
      <c r="BA90" s="28">
        <v>0</v>
      </c>
      <c r="BB90" s="28">
        <v>1</v>
      </c>
      <c r="BC90" s="28">
        <v>1</v>
      </c>
      <c r="BD90" s="28">
        <v>1</v>
      </c>
      <c r="BE90" s="28">
        <v>1</v>
      </c>
      <c r="BF90" s="28">
        <v>1</v>
      </c>
      <c r="BG90" s="28">
        <v>0</v>
      </c>
      <c r="BH90" s="28">
        <v>0</v>
      </c>
      <c r="BI90" s="28">
        <v>2</v>
      </c>
      <c r="BJ90" s="28">
        <v>2</v>
      </c>
      <c r="BK90" s="28">
        <v>2</v>
      </c>
      <c r="BL90" s="28">
        <v>2</v>
      </c>
      <c r="BM90" s="28">
        <v>2</v>
      </c>
      <c r="BN90" s="28">
        <v>2</v>
      </c>
      <c r="BO90" s="28">
        <v>2</v>
      </c>
      <c r="BP90" s="28">
        <v>2</v>
      </c>
      <c r="BQ90" s="28">
        <v>2</v>
      </c>
      <c r="BR90" s="28">
        <v>2</v>
      </c>
      <c r="BS90" s="28">
        <v>2</v>
      </c>
      <c r="BT90" s="28">
        <v>2</v>
      </c>
      <c r="BU90" s="28">
        <v>2</v>
      </c>
      <c r="BV90" s="28">
        <v>2</v>
      </c>
      <c r="BW90" s="28">
        <v>2</v>
      </c>
      <c r="BX90" s="28">
        <v>2</v>
      </c>
      <c r="BY90" s="28">
        <v>2</v>
      </c>
      <c r="BZ90" s="28">
        <v>2</v>
      </c>
      <c r="CA90" s="28">
        <v>2</v>
      </c>
      <c r="CB90" s="28">
        <v>2</v>
      </c>
      <c r="CC90" s="28">
        <v>2</v>
      </c>
      <c r="CD90" s="28">
        <v>2</v>
      </c>
      <c r="CE90" s="28">
        <v>2</v>
      </c>
      <c r="CF90" s="28">
        <v>2</v>
      </c>
      <c r="CG90" s="28">
        <v>2</v>
      </c>
      <c r="CH90" s="28">
        <v>2</v>
      </c>
      <c r="CI90" s="28">
        <v>2</v>
      </c>
      <c r="CJ90" s="28">
        <v>2</v>
      </c>
      <c r="CK90" s="28">
        <v>2</v>
      </c>
      <c r="CL90" s="28">
        <v>2</v>
      </c>
      <c r="CM90" s="28">
        <v>2</v>
      </c>
      <c r="CN90" s="28">
        <v>2</v>
      </c>
      <c r="CO90" s="28">
        <v>2</v>
      </c>
      <c r="CP90" s="28">
        <v>2</v>
      </c>
      <c r="CQ90" s="28">
        <v>2</v>
      </c>
      <c r="CR90" s="28">
        <v>2</v>
      </c>
      <c r="CS90" s="28">
        <v>2</v>
      </c>
      <c r="CT90" s="28">
        <v>2</v>
      </c>
      <c r="CU90" s="28">
        <v>2</v>
      </c>
      <c r="CV90" s="28">
        <v>2</v>
      </c>
      <c r="CW90" s="28">
        <v>2</v>
      </c>
      <c r="CX90" s="8" t="s">
        <v>61</v>
      </c>
    </row>
    <row r="91" spans="1:102" x14ac:dyDescent="0.25">
      <c r="A91" s="20" t="s">
        <v>47</v>
      </c>
      <c r="B91" s="21">
        <f>G91+H91+I91</f>
      </c>
      <c r="C91" s="20" t="s">
        <v>60</v>
      </c>
      <c r="D91" s="22">
        <f>K91</f>
      </c>
      <c r="F91" s="20" t="s">
        <v>34</v>
      </c>
      <c r="G91" s="21">
        <f>B94</f>
      </c>
      <c r="H91" s="21">
        <f>B95</f>
      </c>
      <c r="I91" s="21">
        <f>B96</f>
      </c>
      <c r="J91" s="21">
        <f>B97</f>
      </c>
      <c r="K91" s="22">
        <f>D94+D95+D96</f>
      </c>
      <c r="CX91" s="20" t="s">
        <v>62</v>
      </c>
    </row>
    <row r="92" spans="6:102" x14ac:dyDescent="0.25">
      <c r="F92" s="23" t="s">
        <v>36</v>
      </c>
      <c r="L92" s="24">
        <v>0</v>
      </c>
      <c r="M92" s="24">
        <v>0</v>
      </c>
      <c r="N92" s="24">
        <v>0</v>
      </c>
      <c r="O92" s="24">
        <v>0</v>
      </c>
      <c r="P92" s="24">
        <v>0</v>
      </c>
      <c r="Q92" s="24">
        <v>0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v>0</v>
      </c>
      <c r="AA92" s="24">
        <v>0</v>
      </c>
      <c r="AB92" s="24">
        <v>0</v>
      </c>
      <c r="AC92" s="24">
        <v>0</v>
      </c>
      <c r="AD92" s="24">
        <v>0</v>
      </c>
      <c r="AE92" s="24">
        <v>0</v>
      </c>
      <c r="AF92" s="24">
        <v>0</v>
      </c>
      <c r="AG92" s="24">
        <v>0</v>
      </c>
      <c r="AH92" s="24">
        <v>0</v>
      </c>
      <c r="AI92" s="24">
        <v>0</v>
      </c>
      <c r="AJ92" s="24">
        <v>0</v>
      </c>
      <c r="AK92" s="24">
        <v>0</v>
      </c>
      <c r="AL92" s="24">
        <v>0</v>
      </c>
      <c r="AM92" s="24">
        <v>0</v>
      </c>
      <c r="AN92" s="24">
        <v>0</v>
      </c>
      <c r="AO92" s="24">
        <v>0</v>
      </c>
      <c r="AP92" s="24">
        <v>0</v>
      </c>
      <c r="AQ92" s="24">
        <v>0</v>
      </c>
      <c r="AR92" s="24">
        <v>0</v>
      </c>
      <c r="AS92" s="24">
        <v>0</v>
      </c>
      <c r="AT92" s="24">
        <v>0</v>
      </c>
      <c r="AU92" s="24">
        <v>0</v>
      </c>
      <c r="AV92" s="24">
        <v>0</v>
      </c>
      <c r="AW92" s="24">
        <v>0</v>
      </c>
      <c r="AX92" s="24">
        <v>0</v>
      </c>
      <c r="AY92" s="24">
        <v>0</v>
      </c>
      <c r="AZ92" s="24">
        <v>0</v>
      </c>
      <c r="BA92" s="24">
        <v>0</v>
      </c>
      <c r="BB92" s="24">
        <v>0</v>
      </c>
      <c r="BC92" s="24">
        <v>0</v>
      </c>
      <c r="BD92" s="24">
        <v>0</v>
      </c>
      <c r="BE92" s="24">
        <v>0</v>
      </c>
      <c r="BF92" s="24">
        <v>0</v>
      </c>
      <c r="BG92" s="24">
        <v>0</v>
      </c>
      <c r="BH92" s="24">
        <v>0</v>
      </c>
      <c r="BI92" s="24">
        <v>2</v>
      </c>
      <c r="BJ92" s="24">
        <v>2</v>
      </c>
      <c r="BK92" s="24">
        <v>2</v>
      </c>
      <c r="BL92" s="24">
        <v>2</v>
      </c>
      <c r="BM92" s="24">
        <v>2</v>
      </c>
      <c r="BN92" s="24">
        <v>2</v>
      </c>
      <c r="BO92" s="24">
        <v>2</v>
      </c>
      <c r="BP92" s="24">
        <v>2</v>
      </c>
      <c r="BQ92" s="24">
        <v>2</v>
      </c>
      <c r="BR92" s="24">
        <v>2</v>
      </c>
      <c r="BS92" s="24">
        <v>2</v>
      </c>
      <c r="BT92" s="24">
        <v>2</v>
      </c>
      <c r="BU92" s="24">
        <v>2</v>
      </c>
      <c r="BV92" s="24">
        <v>2</v>
      </c>
      <c r="BW92" s="24">
        <v>2</v>
      </c>
      <c r="BX92" s="24">
        <v>2</v>
      </c>
      <c r="BY92" s="24">
        <v>2</v>
      </c>
      <c r="BZ92" s="24">
        <v>2</v>
      </c>
      <c r="CA92" s="24">
        <v>2</v>
      </c>
      <c r="CB92" s="24">
        <v>2</v>
      </c>
      <c r="CC92" s="24">
        <v>2</v>
      </c>
      <c r="CD92" s="24">
        <v>2</v>
      </c>
      <c r="CE92" s="24">
        <v>2</v>
      </c>
      <c r="CF92" s="24">
        <v>2</v>
      </c>
      <c r="CG92" s="24">
        <v>2</v>
      </c>
      <c r="CH92" s="24">
        <v>2</v>
      </c>
      <c r="CI92" s="24">
        <v>2</v>
      </c>
      <c r="CJ92" s="24">
        <v>2</v>
      </c>
      <c r="CK92" s="24">
        <v>2</v>
      </c>
      <c r="CL92" s="24">
        <v>2</v>
      </c>
      <c r="CM92" s="24">
        <v>2</v>
      </c>
      <c r="CN92" s="24">
        <v>2</v>
      </c>
      <c r="CO92" s="24">
        <v>2</v>
      </c>
      <c r="CP92" s="24">
        <v>2</v>
      </c>
      <c r="CQ92" s="24">
        <v>2</v>
      </c>
      <c r="CR92" s="24">
        <v>2</v>
      </c>
      <c r="CS92" s="24">
        <v>2</v>
      </c>
      <c r="CT92" s="24">
        <v>2</v>
      </c>
      <c r="CU92" s="24">
        <v>2</v>
      </c>
      <c r="CV92" s="24">
        <v>2</v>
      </c>
      <c r="CW92" s="24">
        <v>2</v>
      </c>
      <c r="CX92" s="23" t="s">
        <v>62</v>
      </c>
    </row>
    <row r="93" spans="1:102" x14ac:dyDescent="0.25">
      <c r="A93" s="23" t="s">
        <v>37</v>
      </c>
      <c r="F93" s="23" t="s">
        <v>38</v>
      </c>
      <c r="L93" s="25">
        <v>0</v>
      </c>
      <c r="M93" s="25">
        <v>0</v>
      </c>
      <c r="N93" s="25">
        <v>0</v>
      </c>
      <c r="O93" s="25">
        <v>0</v>
      </c>
      <c r="P93" s="25">
        <v>0</v>
      </c>
      <c r="Q93" s="25">
        <v>0</v>
      </c>
      <c r="R93" s="25">
        <v>0</v>
      </c>
      <c r="S93" s="25">
        <v>0</v>
      </c>
      <c r="T93" s="25">
        <v>0</v>
      </c>
      <c r="U93" s="25">
        <v>0</v>
      </c>
      <c r="V93" s="25">
        <v>0</v>
      </c>
      <c r="W93" s="25">
        <v>0</v>
      </c>
      <c r="X93" s="25">
        <v>0</v>
      </c>
      <c r="Y93" s="25">
        <v>0</v>
      </c>
      <c r="Z93" s="25">
        <v>0</v>
      </c>
      <c r="AA93" s="25">
        <v>0</v>
      </c>
      <c r="AB93" s="25">
        <v>0</v>
      </c>
      <c r="AC93" s="25">
        <v>0</v>
      </c>
      <c r="AD93" s="25">
        <v>0</v>
      </c>
      <c r="AE93" s="25">
        <v>0</v>
      </c>
      <c r="AF93" s="25">
        <v>0</v>
      </c>
      <c r="AG93" s="25">
        <v>0</v>
      </c>
      <c r="AH93" s="25">
        <v>0</v>
      </c>
      <c r="AI93" s="25">
        <v>0</v>
      </c>
      <c r="AJ93" s="25">
        <v>0</v>
      </c>
      <c r="AK93" s="25">
        <v>0</v>
      </c>
      <c r="AL93" s="25">
        <v>0</v>
      </c>
      <c r="AM93" s="25">
        <v>0</v>
      </c>
      <c r="AN93" s="25">
        <v>0</v>
      </c>
      <c r="AO93" s="25">
        <v>0</v>
      </c>
      <c r="AP93" s="25">
        <v>0</v>
      </c>
      <c r="AQ93" s="25">
        <v>0</v>
      </c>
      <c r="AR93" s="25">
        <v>0</v>
      </c>
      <c r="AS93" s="25">
        <v>0</v>
      </c>
      <c r="AT93" s="25">
        <v>0</v>
      </c>
      <c r="AU93" s="25">
        <v>0</v>
      </c>
      <c r="AV93" s="25">
        <v>0</v>
      </c>
      <c r="AW93" s="25">
        <v>0</v>
      </c>
      <c r="AX93" s="25">
        <v>0</v>
      </c>
      <c r="AY93" s="25">
        <v>0</v>
      </c>
      <c r="AZ93" s="25">
        <v>0</v>
      </c>
      <c r="BA93" s="25">
        <v>0</v>
      </c>
      <c r="BB93" s="25">
        <v>0</v>
      </c>
      <c r="BC93" s="25">
        <v>0</v>
      </c>
      <c r="BD93" s="25">
        <v>0</v>
      </c>
      <c r="BE93" s="25">
        <v>0</v>
      </c>
      <c r="BF93" s="25">
        <v>0</v>
      </c>
      <c r="BG93" s="25">
        <v>0</v>
      </c>
      <c r="BH93" s="25">
        <v>0</v>
      </c>
      <c r="BI93" s="25">
        <v>11</v>
      </c>
      <c r="BJ93" s="25">
        <v>11</v>
      </c>
      <c r="BK93" s="25">
        <v>11</v>
      </c>
      <c r="BL93" s="25">
        <v>11</v>
      </c>
      <c r="BM93" s="25">
        <v>11</v>
      </c>
      <c r="BN93" s="25">
        <v>11</v>
      </c>
      <c r="BO93" s="25">
        <v>11</v>
      </c>
      <c r="BP93" s="25">
        <v>11</v>
      </c>
      <c r="BQ93" s="25">
        <v>11</v>
      </c>
      <c r="BR93" s="25">
        <v>11</v>
      </c>
      <c r="BS93" s="25">
        <v>11</v>
      </c>
      <c r="BT93" s="25">
        <v>11</v>
      </c>
      <c r="BU93" s="25">
        <v>11</v>
      </c>
      <c r="BV93" s="25">
        <v>11</v>
      </c>
      <c r="BW93" s="25">
        <v>11</v>
      </c>
      <c r="BX93" s="25">
        <v>11</v>
      </c>
      <c r="BY93" s="25">
        <v>11</v>
      </c>
      <c r="BZ93" s="25">
        <v>11</v>
      </c>
      <c r="CA93" s="25">
        <v>11</v>
      </c>
      <c r="CB93" s="25">
        <v>11</v>
      </c>
      <c r="CC93" s="25">
        <v>11</v>
      </c>
      <c r="CD93" s="25">
        <v>11</v>
      </c>
      <c r="CE93" s="25">
        <v>11</v>
      </c>
      <c r="CF93" s="25">
        <v>11</v>
      </c>
      <c r="CG93" s="25">
        <v>11</v>
      </c>
      <c r="CH93" s="25">
        <v>11</v>
      </c>
      <c r="CI93" s="25">
        <v>11</v>
      </c>
      <c r="CJ93" s="25">
        <v>11</v>
      </c>
      <c r="CK93" s="25">
        <v>11</v>
      </c>
      <c r="CL93" s="25">
        <v>11</v>
      </c>
      <c r="CM93" s="25">
        <v>11</v>
      </c>
      <c r="CN93" s="25">
        <v>11</v>
      </c>
      <c r="CO93" s="25">
        <v>11</v>
      </c>
      <c r="CP93" s="25">
        <v>11</v>
      </c>
      <c r="CQ93" s="25">
        <v>11</v>
      </c>
      <c r="CR93" s="25">
        <v>11</v>
      </c>
      <c r="CS93" s="25">
        <v>11</v>
      </c>
      <c r="CT93" s="25">
        <v>11</v>
      </c>
      <c r="CU93" s="25">
        <v>11</v>
      </c>
      <c r="CV93" s="25">
        <v>11</v>
      </c>
      <c r="CW93" s="25">
        <v>11</v>
      </c>
      <c r="CX93" s="23" t="s">
        <v>62</v>
      </c>
    </row>
    <row r="94" spans="2:102" x14ac:dyDescent="0.25">
      <c r="B94" s="26">
        <f>SUM(L94:CW94)</f>
      </c>
      <c r="D94" s="27">
        <f>B94*E94</f>
      </c>
      <c r="E94" s="27">
        <f>'Rate Tables'!C14</f>
      </c>
      <c r="F94" s="8" t="s">
        <v>39</v>
      </c>
      <c r="L94" s="26">
        <f>IF(L$6="","",IF(WEEKDAY(L$6,1)=1,0,MIN(8,L93)*L92))</f>
      </c>
      <c r="M94" s="26">
        <f>IF(M$6="","",IF(WEEKDAY(M$6,1)=1,0,MIN(8,M93)*M92))</f>
      </c>
      <c r="N94" s="26">
        <f>IF(N$6="","",IF(WEEKDAY(N$6,1)=1,0,MIN(8,N93)*N92))</f>
      </c>
      <c r="O94" s="26">
        <f>IF(O$6="","",IF(WEEKDAY(O$6,1)=1,0,MIN(8,O93)*O92))</f>
      </c>
      <c r="P94" s="26">
        <f>IF(P$6="","",IF(WEEKDAY(P$6,1)=1,0,MIN(8,P93)*P92))</f>
      </c>
      <c r="Q94" s="26">
        <f>IF(Q$6="","",IF(WEEKDAY(Q$6,1)=1,0,MIN(8,Q93)*Q92))</f>
      </c>
      <c r="R94" s="26">
        <f>IF(R$6="","",IF(WEEKDAY(R$6,1)=1,0,MIN(8,R93)*R92))</f>
      </c>
      <c r="S94" s="26">
        <f>IF(S$6="","",IF(WEEKDAY(S$6,1)=1,0,MIN(8,S93)*S92))</f>
      </c>
      <c r="T94" s="26">
        <f>IF(T$6="","",IF(WEEKDAY(T$6,1)=1,0,MIN(8,T93)*T92))</f>
      </c>
      <c r="U94" s="26">
        <f>IF(U$6="","",IF(WEEKDAY(U$6,1)=1,0,MIN(8,U93)*U92))</f>
      </c>
      <c r="V94" s="26">
        <f>IF(V$6="","",IF(WEEKDAY(V$6,1)=1,0,MIN(8,V93)*V92))</f>
      </c>
      <c r="W94" s="26">
        <f>IF(W$6="","",IF(WEEKDAY(W$6,1)=1,0,MIN(8,W93)*W92))</f>
      </c>
      <c r="X94" s="26">
        <f>IF(X$6="","",IF(WEEKDAY(X$6,1)=1,0,MIN(8,X93)*X92))</f>
      </c>
      <c r="Y94" s="26">
        <f>IF(Y$6="","",IF(WEEKDAY(Y$6,1)=1,0,MIN(8,Y93)*Y92))</f>
      </c>
      <c r="Z94" s="26">
        <f>IF(Z$6="","",IF(WEEKDAY(Z$6,1)=1,0,MIN(8,Z93)*Z92))</f>
      </c>
      <c r="AA94" s="26">
        <f>IF(AA$6="","",IF(WEEKDAY(AA$6,1)=1,0,MIN(8,AA93)*AA92))</f>
      </c>
      <c r="AB94" s="26">
        <f>IF(AB$6="","",IF(WEEKDAY(AB$6,1)=1,0,MIN(8,AB93)*AB92))</f>
      </c>
      <c r="AC94" s="26">
        <f>IF(AC$6="","",IF(WEEKDAY(AC$6,1)=1,0,MIN(8,AC93)*AC92))</f>
      </c>
      <c r="AD94" s="26">
        <f>IF(AD$6="","",IF(WEEKDAY(AD$6,1)=1,0,MIN(8,AD93)*AD92))</f>
      </c>
      <c r="AE94" s="26">
        <f>IF(AE$6="","",IF(WEEKDAY(AE$6,1)=1,0,MIN(8,AE93)*AE92))</f>
      </c>
      <c r="AF94" s="26">
        <f>IF(AF$6="","",IF(WEEKDAY(AF$6,1)=1,0,MIN(8,AF93)*AF92))</f>
      </c>
      <c r="AG94" s="26">
        <f>IF(AG$6="","",IF(WEEKDAY(AG$6,1)=1,0,MIN(8,AG93)*AG92))</f>
      </c>
      <c r="AH94" s="26">
        <f>IF(AH$6="","",IF(WEEKDAY(AH$6,1)=1,0,MIN(8,AH93)*AH92))</f>
      </c>
      <c r="AI94" s="26">
        <f>IF(AI$6="","",IF(WEEKDAY(AI$6,1)=1,0,MIN(8,AI93)*AI92))</f>
      </c>
      <c r="AJ94" s="26">
        <f>IF(AJ$6="","",IF(WEEKDAY(AJ$6,1)=1,0,MIN(8,AJ93)*AJ92))</f>
      </c>
      <c r="AK94" s="26">
        <f>IF(AK$6="","",IF(WEEKDAY(AK$6,1)=1,0,MIN(8,AK93)*AK92))</f>
      </c>
      <c r="AL94" s="26">
        <f>IF(AL$6="","",IF(WEEKDAY(AL$6,1)=1,0,MIN(8,AL93)*AL92))</f>
      </c>
      <c r="AM94" s="26">
        <f>IF(AM$6="","",IF(WEEKDAY(AM$6,1)=1,0,MIN(8,AM93)*AM92))</f>
      </c>
      <c r="AN94" s="26">
        <f>IF(AN$6="","",IF(WEEKDAY(AN$6,1)=1,0,MIN(8,AN93)*AN92))</f>
      </c>
      <c r="AO94" s="26">
        <f>IF(AO$6="","",IF(WEEKDAY(AO$6,1)=1,0,MIN(8,AO93)*AO92))</f>
      </c>
      <c r="AP94" s="26">
        <f>IF(AP$6="","",IF(WEEKDAY(AP$6,1)=1,0,MIN(8,AP93)*AP92))</f>
      </c>
      <c r="AQ94" s="26">
        <f>IF(AQ$6="","",IF(WEEKDAY(AQ$6,1)=1,0,MIN(8,AQ93)*AQ92))</f>
      </c>
      <c r="AR94" s="26">
        <f>IF(AR$6="","",IF(WEEKDAY(AR$6,1)=1,0,MIN(8,AR93)*AR92))</f>
      </c>
      <c r="AS94" s="26">
        <f>IF(AS$6="","",IF(WEEKDAY(AS$6,1)=1,0,MIN(8,AS93)*AS92))</f>
      </c>
      <c r="AT94" s="26">
        <f>IF(AT$6="","",IF(WEEKDAY(AT$6,1)=1,0,MIN(8,AT93)*AT92))</f>
      </c>
      <c r="AU94" s="26">
        <f>IF(AU$6="","",IF(WEEKDAY(AU$6,1)=1,0,MIN(8,AU93)*AU92))</f>
      </c>
      <c r="AV94" s="26">
        <f>IF(AV$6="","",IF(WEEKDAY(AV$6,1)=1,0,MIN(8,AV93)*AV92))</f>
      </c>
      <c r="AW94" s="26">
        <f>IF(AW$6="","",IF(WEEKDAY(AW$6,1)=1,0,MIN(8,AW93)*AW92))</f>
      </c>
      <c r="AX94" s="26">
        <f>IF(AX$6="","",IF(WEEKDAY(AX$6,1)=1,0,MIN(8,AX93)*AX92))</f>
      </c>
      <c r="AY94" s="26">
        <f>IF(AY$6="","",IF(WEEKDAY(AY$6,1)=1,0,MIN(8,AY93)*AY92))</f>
      </c>
      <c r="AZ94" s="26">
        <f>IF(AZ$6="","",IF(WEEKDAY(AZ$6,1)=1,0,MIN(8,AZ93)*AZ92))</f>
      </c>
      <c r="BA94" s="26">
        <f>IF(BA$6="","",IF(WEEKDAY(BA$6,1)=1,0,MIN(8,BA93)*BA92))</f>
      </c>
      <c r="BB94" s="26">
        <f>IF(BB$6="","",IF(WEEKDAY(BB$6,1)=1,0,MIN(8,BB93)*BB92))</f>
      </c>
      <c r="BC94" s="26">
        <f>IF(BC$6="","",IF(WEEKDAY(BC$6,1)=1,0,MIN(8,BC93)*BC92))</f>
      </c>
      <c r="BD94" s="26">
        <f>IF(BD$6="","",IF(WEEKDAY(BD$6,1)=1,0,MIN(8,BD93)*BD92))</f>
      </c>
      <c r="BE94" s="26">
        <f>IF(BE$6="","",IF(WEEKDAY(BE$6,1)=1,0,MIN(8,BE93)*BE92))</f>
      </c>
      <c r="BF94" s="26">
        <f>IF(BF$6="","",IF(WEEKDAY(BF$6,1)=1,0,MIN(8,BF93)*BF92))</f>
      </c>
      <c r="BG94" s="26">
        <f>IF(BG$6="","",IF(WEEKDAY(BG$6,1)=1,0,MIN(8,BG93)*BG92))</f>
      </c>
      <c r="BH94" s="26">
        <f>IF(BH$6="","",IF(WEEKDAY(BH$6,1)=1,0,MIN(8,BH93)*BH92))</f>
      </c>
      <c r="BI94" s="26">
        <f>IF(BI$6="","",IF(WEEKDAY(BI$6,1)=1,0,MIN(8,BI93)*BI92))</f>
      </c>
      <c r="BJ94" s="26">
        <f>IF(BJ$6="","",IF(WEEKDAY(BJ$6,1)=1,0,MIN(8,BJ93)*BJ92))</f>
      </c>
      <c r="BK94" s="26">
        <f>IF(BK$6="","",IF(WEEKDAY(BK$6,1)=1,0,MIN(8,BK93)*BK92))</f>
      </c>
      <c r="BL94" s="26">
        <f>IF(BL$6="","",IF(WEEKDAY(BL$6,1)=1,0,MIN(8,BL93)*BL92))</f>
      </c>
      <c r="BM94" s="26">
        <f>IF(BM$6="","",IF(WEEKDAY(BM$6,1)=1,0,MIN(8,BM93)*BM92))</f>
      </c>
      <c r="BN94" s="26">
        <f>IF(BN$6="","",IF(WEEKDAY(BN$6,1)=1,0,MIN(8,BN93)*BN92))</f>
      </c>
      <c r="BO94" s="26">
        <f>IF(BO$6="","",IF(WEEKDAY(BO$6,1)=1,0,MIN(8,BO93)*BO92))</f>
      </c>
      <c r="BP94" s="26">
        <f>IF(BP$6="","",IF(WEEKDAY(BP$6,1)=1,0,MIN(8,BP93)*BP92))</f>
      </c>
      <c r="BQ94" s="26">
        <f>IF(BQ$6="","",IF(WEEKDAY(BQ$6,1)=1,0,MIN(8,BQ93)*BQ92))</f>
      </c>
      <c r="BR94" s="26">
        <f>IF(BR$6="","",IF(WEEKDAY(BR$6,1)=1,0,MIN(8,BR93)*BR92))</f>
      </c>
      <c r="BS94" s="26">
        <f>IF(BS$6="","",IF(WEEKDAY(BS$6,1)=1,0,MIN(8,BS93)*BS92))</f>
      </c>
      <c r="BT94" s="26">
        <f>IF(BT$6="","",IF(WEEKDAY(BT$6,1)=1,0,MIN(8,BT93)*BT92))</f>
      </c>
      <c r="BU94" s="26">
        <f>IF(BU$6="","",IF(WEEKDAY(BU$6,1)=1,0,MIN(8,BU93)*BU92))</f>
      </c>
      <c r="BV94" s="26">
        <f>IF(BV$6="","",IF(WEEKDAY(BV$6,1)=1,0,MIN(8,BV93)*BV92))</f>
      </c>
      <c r="BW94" s="26">
        <f>IF(BW$6="","",IF(WEEKDAY(BW$6,1)=1,0,MIN(8,BW93)*BW92))</f>
      </c>
      <c r="BX94" s="26">
        <f>IF(BX$6="","",IF(WEEKDAY(BX$6,1)=1,0,MIN(8,BX93)*BX92))</f>
      </c>
      <c r="BY94" s="26">
        <f>IF(BY$6="","",IF(WEEKDAY(BY$6,1)=1,0,MIN(8,BY93)*BY92))</f>
      </c>
      <c r="BZ94" s="26">
        <f>IF(BZ$6="","",IF(WEEKDAY(BZ$6,1)=1,0,MIN(8,BZ93)*BZ92))</f>
      </c>
      <c r="CA94" s="26">
        <f>IF(CA$6="","",IF(WEEKDAY(CA$6,1)=1,0,MIN(8,CA93)*CA92))</f>
      </c>
      <c r="CB94" s="26">
        <f>IF(CB$6="","",IF(WEEKDAY(CB$6,1)=1,0,MIN(8,CB93)*CB92))</f>
      </c>
      <c r="CC94" s="26">
        <f>IF(CC$6="","",IF(WEEKDAY(CC$6,1)=1,0,MIN(8,CC93)*CC92))</f>
      </c>
      <c r="CD94" s="26">
        <f>IF(CD$6="","",IF(WEEKDAY(CD$6,1)=1,0,MIN(8,CD93)*CD92))</f>
      </c>
      <c r="CE94" s="26">
        <f>IF(CE$6="","",IF(WEEKDAY(CE$6,1)=1,0,MIN(8,CE93)*CE92))</f>
      </c>
      <c r="CF94" s="26">
        <f>IF(CF$6="","",IF(WEEKDAY(CF$6,1)=1,0,MIN(8,CF93)*CF92))</f>
      </c>
      <c r="CG94" s="26">
        <f>IF(CG$6="","",IF(WEEKDAY(CG$6,1)=1,0,MIN(8,CG93)*CG92))</f>
      </c>
      <c r="CH94" s="26">
        <f>IF(CH$6="","",IF(WEEKDAY(CH$6,1)=1,0,MIN(8,CH93)*CH92))</f>
      </c>
      <c r="CI94" s="26">
        <f>IF(CI$6="","",IF(WEEKDAY(CI$6,1)=1,0,MIN(8,CI93)*CI92))</f>
      </c>
      <c r="CJ94" s="26">
        <f>IF(CJ$6="","",IF(WEEKDAY(CJ$6,1)=1,0,MIN(8,CJ93)*CJ92))</f>
      </c>
      <c r="CK94" s="26">
        <f>IF(CK$6="","",IF(WEEKDAY(CK$6,1)=1,0,MIN(8,CK93)*CK92))</f>
      </c>
      <c r="CL94" s="26">
        <f>IF(CL$6="","",IF(WEEKDAY(CL$6,1)=1,0,MIN(8,CL93)*CL92))</f>
      </c>
      <c r="CM94" s="26">
        <f>IF(CM$6="","",IF(WEEKDAY(CM$6,1)=1,0,MIN(8,CM93)*CM92))</f>
      </c>
      <c r="CN94" s="26">
        <f>IF(CN$6="","",IF(WEEKDAY(CN$6,1)=1,0,MIN(8,CN93)*CN92))</f>
      </c>
      <c r="CO94" s="26">
        <f>IF(CO$6="","",IF(WEEKDAY(CO$6,1)=1,0,MIN(8,CO93)*CO92))</f>
      </c>
      <c r="CP94" s="26">
        <f>IF(CP$6="","",IF(WEEKDAY(CP$6,1)=1,0,MIN(8,CP93)*CP92))</f>
      </c>
      <c r="CQ94" s="26">
        <f>IF(CQ$6="","",IF(WEEKDAY(CQ$6,1)=1,0,MIN(8,CQ93)*CQ92))</f>
      </c>
      <c r="CR94" s="26">
        <f>IF(CR$6="","",IF(WEEKDAY(CR$6,1)=1,0,MIN(8,CR93)*CR92))</f>
      </c>
      <c r="CS94" s="26">
        <f>IF(CS$6="","",IF(WEEKDAY(CS$6,1)=1,0,MIN(8,CS93)*CS92))</f>
      </c>
      <c r="CT94" s="26">
        <f>IF(CT$6="","",IF(WEEKDAY(CT$6,1)=1,0,MIN(8,CT93)*CT92))</f>
      </c>
      <c r="CU94" s="26">
        <f>IF(CU$6="","",IF(WEEKDAY(CU$6,1)=1,0,MIN(8,CU93)*CU92))</f>
      </c>
      <c r="CV94" s="26">
        <f>IF(CV$6="","",IF(WEEKDAY(CV$6,1)=1,0,MIN(8,CV93)*CV92))</f>
      </c>
      <c r="CW94" s="26">
        <f>IF(CW$6="","",IF(WEEKDAY(CW$6,1)=1,0,MIN(8,CW93)*CW92))</f>
      </c>
      <c r="CX94" s="8" t="s">
        <v>62</v>
      </c>
    </row>
    <row r="95" spans="2:102" x14ac:dyDescent="0.25">
      <c r="B95" s="26">
        <f>SUM(L95:CW95)</f>
      </c>
      <c r="D95" s="27">
        <f>B95*E95</f>
      </c>
      <c r="E95" s="27">
        <f>'Rate Tables'!D14</f>
      </c>
      <c r="F95" s="8" t="s">
        <v>40</v>
      </c>
      <c r="L95" s="26">
        <f>IF(L$6="","",IF(WEEKDAY(L$6,1)=1,0,MAX(0,L93-8)*L92))</f>
      </c>
      <c r="M95" s="26">
        <f>IF(M$6="","",IF(WEEKDAY(M$6,1)=1,0,MAX(0,M93-8)*M92))</f>
      </c>
      <c r="N95" s="26">
        <f>IF(N$6="","",IF(WEEKDAY(N$6,1)=1,0,MAX(0,N93-8)*N92))</f>
      </c>
      <c r="O95" s="26">
        <f>IF(O$6="","",IF(WEEKDAY(O$6,1)=1,0,MAX(0,O93-8)*O92))</f>
      </c>
      <c r="P95" s="26">
        <f>IF(P$6="","",IF(WEEKDAY(P$6,1)=1,0,MAX(0,P93-8)*P92))</f>
      </c>
      <c r="Q95" s="26">
        <f>IF(Q$6="","",IF(WEEKDAY(Q$6,1)=1,0,MAX(0,Q93-8)*Q92))</f>
      </c>
      <c r="R95" s="26">
        <f>IF(R$6="","",IF(WEEKDAY(R$6,1)=1,0,MAX(0,R93-8)*R92))</f>
      </c>
      <c r="S95" s="26">
        <f>IF(S$6="","",IF(WEEKDAY(S$6,1)=1,0,MAX(0,S93-8)*S92))</f>
      </c>
      <c r="T95" s="26">
        <f>IF(T$6="","",IF(WEEKDAY(T$6,1)=1,0,MAX(0,T93-8)*T92))</f>
      </c>
      <c r="U95" s="26">
        <f>IF(U$6="","",IF(WEEKDAY(U$6,1)=1,0,MAX(0,U93-8)*U92))</f>
      </c>
      <c r="V95" s="26">
        <f>IF(V$6="","",IF(WEEKDAY(V$6,1)=1,0,MAX(0,V93-8)*V92))</f>
      </c>
      <c r="W95" s="26">
        <f>IF(W$6="","",IF(WEEKDAY(W$6,1)=1,0,MAX(0,W93-8)*W92))</f>
      </c>
      <c r="X95" s="26">
        <f>IF(X$6="","",IF(WEEKDAY(X$6,1)=1,0,MAX(0,X93-8)*X92))</f>
      </c>
      <c r="Y95" s="26">
        <f>IF(Y$6="","",IF(WEEKDAY(Y$6,1)=1,0,MAX(0,Y93-8)*Y92))</f>
      </c>
      <c r="Z95" s="26">
        <f>IF(Z$6="","",IF(WEEKDAY(Z$6,1)=1,0,MAX(0,Z93-8)*Z92))</f>
      </c>
      <c r="AA95" s="26">
        <f>IF(AA$6="","",IF(WEEKDAY(AA$6,1)=1,0,MAX(0,AA93-8)*AA92))</f>
      </c>
      <c r="AB95" s="26">
        <f>IF(AB$6="","",IF(WEEKDAY(AB$6,1)=1,0,MAX(0,AB93-8)*AB92))</f>
      </c>
      <c r="AC95" s="26">
        <f>IF(AC$6="","",IF(WEEKDAY(AC$6,1)=1,0,MAX(0,AC93-8)*AC92))</f>
      </c>
      <c r="AD95" s="26">
        <f>IF(AD$6="","",IF(WEEKDAY(AD$6,1)=1,0,MAX(0,AD93-8)*AD92))</f>
      </c>
      <c r="AE95" s="26">
        <f>IF(AE$6="","",IF(WEEKDAY(AE$6,1)=1,0,MAX(0,AE93-8)*AE92))</f>
      </c>
      <c r="AF95" s="26">
        <f>IF(AF$6="","",IF(WEEKDAY(AF$6,1)=1,0,MAX(0,AF93-8)*AF92))</f>
      </c>
      <c r="AG95" s="26">
        <f>IF(AG$6="","",IF(WEEKDAY(AG$6,1)=1,0,MAX(0,AG93-8)*AG92))</f>
      </c>
      <c r="AH95" s="26">
        <f>IF(AH$6="","",IF(WEEKDAY(AH$6,1)=1,0,MAX(0,AH93-8)*AH92))</f>
      </c>
      <c r="AI95" s="26">
        <f>IF(AI$6="","",IF(WEEKDAY(AI$6,1)=1,0,MAX(0,AI93-8)*AI92))</f>
      </c>
      <c r="AJ95" s="26">
        <f>IF(AJ$6="","",IF(WEEKDAY(AJ$6,1)=1,0,MAX(0,AJ93-8)*AJ92))</f>
      </c>
      <c r="AK95" s="26">
        <f>IF(AK$6="","",IF(WEEKDAY(AK$6,1)=1,0,MAX(0,AK93-8)*AK92))</f>
      </c>
      <c r="AL95" s="26">
        <f>IF(AL$6="","",IF(WEEKDAY(AL$6,1)=1,0,MAX(0,AL93-8)*AL92))</f>
      </c>
      <c r="AM95" s="26">
        <f>IF(AM$6="","",IF(WEEKDAY(AM$6,1)=1,0,MAX(0,AM93-8)*AM92))</f>
      </c>
      <c r="AN95" s="26">
        <f>IF(AN$6="","",IF(WEEKDAY(AN$6,1)=1,0,MAX(0,AN93-8)*AN92))</f>
      </c>
      <c r="AO95" s="26">
        <f>IF(AO$6="","",IF(WEEKDAY(AO$6,1)=1,0,MAX(0,AO93-8)*AO92))</f>
      </c>
      <c r="AP95" s="26">
        <f>IF(AP$6="","",IF(WEEKDAY(AP$6,1)=1,0,MAX(0,AP93-8)*AP92))</f>
      </c>
      <c r="AQ95" s="26">
        <f>IF(AQ$6="","",IF(WEEKDAY(AQ$6,1)=1,0,MAX(0,AQ93-8)*AQ92))</f>
      </c>
      <c r="AR95" s="26">
        <f>IF(AR$6="","",IF(WEEKDAY(AR$6,1)=1,0,MAX(0,AR93-8)*AR92))</f>
      </c>
      <c r="AS95" s="26">
        <f>IF(AS$6="","",IF(WEEKDAY(AS$6,1)=1,0,MAX(0,AS93-8)*AS92))</f>
      </c>
      <c r="AT95" s="26">
        <f>IF(AT$6="","",IF(WEEKDAY(AT$6,1)=1,0,MAX(0,AT93-8)*AT92))</f>
      </c>
      <c r="AU95" s="26">
        <f>IF(AU$6="","",IF(WEEKDAY(AU$6,1)=1,0,MAX(0,AU93-8)*AU92))</f>
      </c>
      <c r="AV95" s="26">
        <f>IF(AV$6="","",IF(WEEKDAY(AV$6,1)=1,0,MAX(0,AV93-8)*AV92))</f>
      </c>
      <c r="AW95" s="26">
        <f>IF(AW$6="","",IF(WEEKDAY(AW$6,1)=1,0,MAX(0,AW93-8)*AW92))</f>
      </c>
      <c r="AX95" s="26">
        <f>IF(AX$6="","",IF(WEEKDAY(AX$6,1)=1,0,MAX(0,AX93-8)*AX92))</f>
      </c>
      <c r="AY95" s="26">
        <f>IF(AY$6="","",IF(WEEKDAY(AY$6,1)=1,0,MAX(0,AY93-8)*AY92))</f>
      </c>
      <c r="AZ95" s="26">
        <f>IF(AZ$6="","",IF(WEEKDAY(AZ$6,1)=1,0,MAX(0,AZ93-8)*AZ92))</f>
      </c>
      <c r="BA95" s="26">
        <f>IF(BA$6="","",IF(WEEKDAY(BA$6,1)=1,0,MAX(0,BA93-8)*BA92))</f>
      </c>
      <c r="BB95" s="26">
        <f>IF(BB$6="","",IF(WEEKDAY(BB$6,1)=1,0,MAX(0,BB93-8)*BB92))</f>
      </c>
      <c r="BC95" s="26">
        <f>IF(BC$6="","",IF(WEEKDAY(BC$6,1)=1,0,MAX(0,BC93-8)*BC92))</f>
      </c>
      <c r="BD95" s="26">
        <f>IF(BD$6="","",IF(WEEKDAY(BD$6,1)=1,0,MAX(0,BD93-8)*BD92))</f>
      </c>
      <c r="BE95" s="26">
        <f>IF(BE$6="","",IF(WEEKDAY(BE$6,1)=1,0,MAX(0,BE93-8)*BE92))</f>
      </c>
      <c r="BF95" s="26">
        <f>IF(BF$6="","",IF(WEEKDAY(BF$6,1)=1,0,MAX(0,BF93-8)*BF92))</f>
      </c>
      <c r="BG95" s="26">
        <f>IF(BG$6="","",IF(WEEKDAY(BG$6,1)=1,0,MAX(0,BG93-8)*BG92))</f>
      </c>
      <c r="BH95" s="26">
        <f>IF(BH$6="","",IF(WEEKDAY(BH$6,1)=1,0,MAX(0,BH93-8)*BH92))</f>
      </c>
      <c r="BI95" s="26">
        <f>IF(BI$6="","",IF(WEEKDAY(BI$6,1)=1,0,MAX(0,BI93-8)*BI92))</f>
      </c>
      <c r="BJ95" s="26">
        <f>IF(BJ$6="","",IF(WEEKDAY(BJ$6,1)=1,0,MAX(0,BJ93-8)*BJ92))</f>
      </c>
      <c r="BK95" s="26">
        <f>IF(BK$6="","",IF(WEEKDAY(BK$6,1)=1,0,MAX(0,BK93-8)*BK92))</f>
      </c>
      <c r="BL95" s="26">
        <f>IF(BL$6="","",IF(WEEKDAY(BL$6,1)=1,0,MAX(0,BL93-8)*BL92))</f>
      </c>
      <c r="BM95" s="26">
        <f>IF(BM$6="","",IF(WEEKDAY(BM$6,1)=1,0,MAX(0,BM93-8)*BM92))</f>
      </c>
      <c r="BN95" s="26">
        <f>IF(BN$6="","",IF(WEEKDAY(BN$6,1)=1,0,MAX(0,BN93-8)*BN92))</f>
      </c>
      <c r="BO95" s="26">
        <f>IF(BO$6="","",IF(WEEKDAY(BO$6,1)=1,0,MAX(0,BO93-8)*BO92))</f>
      </c>
      <c r="BP95" s="26">
        <f>IF(BP$6="","",IF(WEEKDAY(BP$6,1)=1,0,MAX(0,BP93-8)*BP92))</f>
      </c>
      <c r="BQ95" s="26">
        <f>IF(BQ$6="","",IF(WEEKDAY(BQ$6,1)=1,0,MAX(0,BQ93-8)*BQ92))</f>
      </c>
      <c r="BR95" s="26">
        <f>IF(BR$6="","",IF(WEEKDAY(BR$6,1)=1,0,MAX(0,BR93-8)*BR92))</f>
      </c>
      <c r="BS95" s="26">
        <f>IF(BS$6="","",IF(WEEKDAY(BS$6,1)=1,0,MAX(0,BS93-8)*BS92))</f>
      </c>
      <c r="BT95" s="26">
        <f>IF(BT$6="","",IF(WEEKDAY(BT$6,1)=1,0,MAX(0,BT93-8)*BT92))</f>
      </c>
      <c r="BU95" s="26">
        <f>IF(BU$6="","",IF(WEEKDAY(BU$6,1)=1,0,MAX(0,BU93-8)*BU92))</f>
      </c>
      <c r="BV95" s="26">
        <f>IF(BV$6="","",IF(WEEKDAY(BV$6,1)=1,0,MAX(0,BV93-8)*BV92))</f>
      </c>
      <c r="BW95" s="26">
        <f>IF(BW$6="","",IF(WEEKDAY(BW$6,1)=1,0,MAX(0,BW93-8)*BW92))</f>
      </c>
      <c r="BX95" s="26">
        <f>IF(BX$6="","",IF(WEEKDAY(BX$6,1)=1,0,MAX(0,BX93-8)*BX92))</f>
      </c>
      <c r="BY95" s="26">
        <f>IF(BY$6="","",IF(WEEKDAY(BY$6,1)=1,0,MAX(0,BY93-8)*BY92))</f>
      </c>
      <c r="BZ95" s="26">
        <f>IF(BZ$6="","",IF(WEEKDAY(BZ$6,1)=1,0,MAX(0,BZ93-8)*BZ92))</f>
      </c>
      <c r="CA95" s="26">
        <f>IF(CA$6="","",IF(WEEKDAY(CA$6,1)=1,0,MAX(0,CA93-8)*CA92))</f>
      </c>
      <c r="CB95" s="26">
        <f>IF(CB$6="","",IF(WEEKDAY(CB$6,1)=1,0,MAX(0,CB93-8)*CB92))</f>
      </c>
      <c r="CC95" s="26">
        <f>IF(CC$6="","",IF(WEEKDAY(CC$6,1)=1,0,MAX(0,CC93-8)*CC92))</f>
      </c>
      <c r="CD95" s="26">
        <f>IF(CD$6="","",IF(WEEKDAY(CD$6,1)=1,0,MAX(0,CD93-8)*CD92))</f>
      </c>
      <c r="CE95" s="26">
        <f>IF(CE$6="","",IF(WEEKDAY(CE$6,1)=1,0,MAX(0,CE93-8)*CE92))</f>
      </c>
      <c r="CF95" s="26">
        <f>IF(CF$6="","",IF(WEEKDAY(CF$6,1)=1,0,MAX(0,CF93-8)*CF92))</f>
      </c>
      <c r="CG95" s="26">
        <f>IF(CG$6="","",IF(WEEKDAY(CG$6,1)=1,0,MAX(0,CG93-8)*CG92))</f>
      </c>
      <c r="CH95" s="26">
        <f>IF(CH$6="","",IF(WEEKDAY(CH$6,1)=1,0,MAX(0,CH93-8)*CH92))</f>
      </c>
      <c r="CI95" s="26">
        <f>IF(CI$6="","",IF(WEEKDAY(CI$6,1)=1,0,MAX(0,CI93-8)*CI92))</f>
      </c>
      <c r="CJ95" s="26">
        <f>IF(CJ$6="","",IF(WEEKDAY(CJ$6,1)=1,0,MAX(0,CJ93-8)*CJ92))</f>
      </c>
      <c r="CK95" s="26">
        <f>IF(CK$6="","",IF(WEEKDAY(CK$6,1)=1,0,MAX(0,CK93-8)*CK92))</f>
      </c>
      <c r="CL95" s="26">
        <f>IF(CL$6="","",IF(WEEKDAY(CL$6,1)=1,0,MAX(0,CL93-8)*CL92))</f>
      </c>
      <c r="CM95" s="26">
        <f>IF(CM$6="","",IF(WEEKDAY(CM$6,1)=1,0,MAX(0,CM93-8)*CM92))</f>
      </c>
      <c r="CN95" s="26">
        <f>IF(CN$6="","",IF(WEEKDAY(CN$6,1)=1,0,MAX(0,CN93-8)*CN92))</f>
      </c>
      <c r="CO95" s="26">
        <f>IF(CO$6="","",IF(WEEKDAY(CO$6,1)=1,0,MAX(0,CO93-8)*CO92))</f>
      </c>
      <c r="CP95" s="26">
        <f>IF(CP$6="","",IF(WEEKDAY(CP$6,1)=1,0,MAX(0,CP93-8)*CP92))</f>
      </c>
      <c r="CQ95" s="26">
        <f>IF(CQ$6="","",IF(WEEKDAY(CQ$6,1)=1,0,MAX(0,CQ93-8)*CQ92))</f>
      </c>
      <c r="CR95" s="26">
        <f>IF(CR$6="","",IF(WEEKDAY(CR$6,1)=1,0,MAX(0,CR93-8)*CR92))</f>
      </c>
      <c r="CS95" s="26">
        <f>IF(CS$6="","",IF(WEEKDAY(CS$6,1)=1,0,MAX(0,CS93-8)*CS92))</f>
      </c>
      <c r="CT95" s="26">
        <f>IF(CT$6="","",IF(WEEKDAY(CT$6,1)=1,0,MAX(0,CT93-8)*CT92))</f>
      </c>
      <c r="CU95" s="26">
        <f>IF(CU$6="","",IF(WEEKDAY(CU$6,1)=1,0,MAX(0,CU93-8)*CU92))</f>
      </c>
      <c r="CV95" s="26">
        <f>IF(CV$6="","",IF(WEEKDAY(CV$6,1)=1,0,MAX(0,CV93-8)*CV92))</f>
      </c>
      <c r="CW95" s="26">
        <f>IF(CW$6="","",IF(WEEKDAY(CW$6,1)=1,0,MAX(0,CW93-8)*CW92))</f>
      </c>
      <c r="CX95" s="8" t="s">
        <v>62</v>
      </c>
    </row>
    <row r="96" spans="2:102" x14ac:dyDescent="0.25">
      <c r="B96" s="26">
        <f>SUM(L96:CW96)</f>
      </c>
      <c r="D96" s="27">
        <f>B96*E96</f>
      </c>
      <c r="E96" s="27">
        <f>'Rate Tables'!E14</f>
      </c>
      <c r="F96" s="8" t="s">
        <v>41</v>
      </c>
      <c r="L96" s="26">
        <f>IF(L$6="","",IF(WEEKDAY(L$6,1)=1,L93*L92,0))</f>
      </c>
      <c r="M96" s="26">
        <f>IF(M$6="","",IF(WEEKDAY(M$6,1)=1,M93*M92,0))</f>
      </c>
      <c r="N96" s="26">
        <f>IF(N$6="","",IF(WEEKDAY(N$6,1)=1,N93*N92,0))</f>
      </c>
      <c r="O96" s="26">
        <f>IF(O$6="","",IF(WEEKDAY(O$6,1)=1,O93*O92,0))</f>
      </c>
      <c r="P96" s="26">
        <f>IF(P$6="","",IF(WEEKDAY(P$6,1)=1,P93*P92,0))</f>
      </c>
      <c r="Q96" s="26">
        <f>IF(Q$6="","",IF(WEEKDAY(Q$6,1)=1,Q93*Q92,0))</f>
      </c>
      <c r="R96" s="26">
        <f>IF(R$6="","",IF(WEEKDAY(R$6,1)=1,R93*R92,0))</f>
      </c>
      <c r="S96" s="26">
        <f>IF(S$6="","",IF(WEEKDAY(S$6,1)=1,S93*S92,0))</f>
      </c>
      <c r="T96" s="26">
        <f>IF(T$6="","",IF(WEEKDAY(T$6,1)=1,T93*T92,0))</f>
      </c>
      <c r="U96" s="26">
        <f>IF(U$6="","",IF(WEEKDAY(U$6,1)=1,U93*U92,0))</f>
      </c>
      <c r="V96" s="26">
        <f>IF(V$6="","",IF(WEEKDAY(V$6,1)=1,V93*V92,0))</f>
      </c>
      <c r="W96" s="26">
        <f>IF(W$6="","",IF(WEEKDAY(W$6,1)=1,W93*W92,0))</f>
      </c>
      <c r="X96" s="26">
        <f>IF(X$6="","",IF(WEEKDAY(X$6,1)=1,X93*X92,0))</f>
      </c>
      <c r="Y96" s="26">
        <f>IF(Y$6="","",IF(WEEKDAY(Y$6,1)=1,Y93*Y92,0))</f>
      </c>
      <c r="Z96" s="26">
        <f>IF(Z$6="","",IF(WEEKDAY(Z$6,1)=1,Z93*Z92,0))</f>
      </c>
      <c r="AA96" s="26">
        <f>IF(AA$6="","",IF(WEEKDAY(AA$6,1)=1,AA93*AA92,0))</f>
      </c>
      <c r="AB96" s="26">
        <f>IF(AB$6="","",IF(WEEKDAY(AB$6,1)=1,AB93*AB92,0))</f>
      </c>
      <c r="AC96" s="26">
        <f>IF(AC$6="","",IF(WEEKDAY(AC$6,1)=1,AC93*AC92,0))</f>
      </c>
      <c r="AD96" s="26">
        <f>IF(AD$6="","",IF(WEEKDAY(AD$6,1)=1,AD93*AD92,0))</f>
      </c>
      <c r="AE96" s="26">
        <f>IF(AE$6="","",IF(WEEKDAY(AE$6,1)=1,AE93*AE92,0))</f>
      </c>
      <c r="AF96" s="26">
        <f>IF(AF$6="","",IF(WEEKDAY(AF$6,1)=1,AF93*AF92,0))</f>
      </c>
      <c r="AG96" s="26">
        <f>IF(AG$6="","",IF(WEEKDAY(AG$6,1)=1,AG93*AG92,0))</f>
      </c>
      <c r="AH96" s="26">
        <f>IF(AH$6="","",IF(WEEKDAY(AH$6,1)=1,AH93*AH92,0))</f>
      </c>
      <c r="AI96" s="26">
        <f>IF(AI$6="","",IF(WEEKDAY(AI$6,1)=1,AI93*AI92,0))</f>
      </c>
      <c r="AJ96" s="26">
        <f>IF(AJ$6="","",IF(WEEKDAY(AJ$6,1)=1,AJ93*AJ92,0))</f>
      </c>
      <c r="AK96" s="26">
        <f>IF(AK$6="","",IF(WEEKDAY(AK$6,1)=1,AK93*AK92,0))</f>
      </c>
      <c r="AL96" s="26">
        <f>IF(AL$6="","",IF(WEEKDAY(AL$6,1)=1,AL93*AL92,0))</f>
      </c>
      <c r="AM96" s="26">
        <f>IF(AM$6="","",IF(WEEKDAY(AM$6,1)=1,AM93*AM92,0))</f>
      </c>
      <c r="AN96" s="26">
        <f>IF(AN$6="","",IF(WEEKDAY(AN$6,1)=1,AN93*AN92,0))</f>
      </c>
      <c r="AO96" s="26">
        <f>IF(AO$6="","",IF(WEEKDAY(AO$6,1)=1,AO93*AO92,0))</f>
      </c>
      <c r="AP96" s="26">
        <f>IF(AP$6="","",IF(WEEKDAY(AP$6,1)=1,AP93*AP92,0))</f>
      </c>
      <c r="AQ96" s="26">
        <f>IF(AQ$6="","",IF(WEEKDAY(AQ$6,1)=1,AQ93*AQ92,0))</f>
      </c>
      <c r="AR96" s="26">
        <f>IF(AR$6="","",IF(WEEKDAY(AR$6,1)=1,AR93*AR92,0))</f>
      </c>
      <c r="AS96" s="26">
        <f>IF(AS$6="","",IF(WEEKDAY(AS$6,1)=1,AS93*AS92,0))</f>
      </c>
      <c r="AT96" s="26">
        <f>IF(AT$6="","",IF(WEEKDAY(AT$6,1)=1,AT93*AT92,0))</f>
      </c>
      <c r="AU96" s="26">
        <f>IF(AU$6="","",IF(WEEKDAY(AU$6,1)=1,AU93*AU92,0))</f>
      </c>
      <c r="AV96" s="26">
        <f>IF(AV$6="","",IF(WEEKDAY(AV$6,1)=1,AV93*AV92,0))</f>
      </c>
      <c r="AW96" s="26">
        <f>IF(AW$6="","",IF(WEEKDAY(AW$6,1)=1,AW93*AW92,0))</f>
      </c>
      <c r="AX96" s="26">
        <f>IF(AX$6="","",IF(WEEKDAY(AX$6,1)=1,AX93*AX92,0))</f>
      </c>
      <c r="AY96" s="26">
        <f>IF(AY$6="","",IF(WEEKDAY(AY$6,1)=1,AY93*AY92,0))</f>
      </c>
      <c r="AZ96" s="26">
        <f>IF(AZ$6="","",IF(WEEKDAY(AZ$6,1)=1,AZ93*AZ92,0))</f>
      </c>
      <c r="BA96" s="26">
        <f>IF(BA$6="","",IF(WEEKDAY(BA$6,1)=1,BA93*BA92,0))</f>
      </c>
      <c r="BB96" s="26">
        <f>IF(BB$6="","",IF(WEEKDAY(BB$6,1)=1,BB93*BB92,0))</f>
      </c>
      <c r="BC96" s="26">
        <f>IF(BC$6="","",IF(WEEKDAY(BC$6,1)=1,BC93*BC92,0))</f>
      </c>
      <c r="BD96" s="26">
        <f>IF(BD$6="","",IF(WEEKDAY(BD$6,1)=1,BD93*BD92,0))</f>
      </c>
      <c r="BE96" s="26">
        <f>IF(BE$6="","",IF(WEEKDAY(BE$6,1)=1,BE93*BE92,0))</f>
      </c>
      <c r="BF96" s="26">
        <f>IF(BF$6="","",IF(WEEKDAY(BF$6,1)=1,BF93*BF92,0))</f>
      </c>
      <c r="BG96" s="26">
        <f>IF(BG$6="","",IF(WEEKDAY(BG$6,1)=1,BG93*BG92,0))</f>
      </c>
      <c r="BH96" s="26">
        <f>IF(BH$6="","",IF(WEEKDAY(BH$6,1)=1,BH93*BH92,0))</f>
      </c>
      <c r="BI96" s="26">
        <f>IF(BI$6="","",IF(WEEKDAY(BI$6,1)=1,BI93*BI92,0))</f>
      </c>
      <c r="BJ96" s="26">
        <f>IF(BJ$6="","",IF(WEEKDAY(BJ$6,1)=1,BJ93*BJ92,0))</f>
      </c>
      <c r="BK96" s="26">
        <f>IF(BK$6="","",IF(WEEKDAY(BK$6,1)=1,BK93*BK92,0))</f>
      </c>
      <c r="BL96" s="26">
        <f>IF(BL$6="","",IF(WEEKDAY(BL$6,1)=1,BL93*BL92,0))</f>
      </c>
      <c r="BM96" s="26">
        <f>IF(BM$6="","",IF(WEEKDAY(BM$6,1)=1,BM93*BM92,0))</f>
      </c>
      <c r="BN96" s="26">
        <f>IF(BN$6="","",IF(WEEKDAY(BN$6,1)=1,BN93*BN92,0))</f>
      </c>
      <c r="BO96" s="26">
        <f>IF(BO$6="","",IF(WEEKDAY(BO$6,1)=1,BO93*BO92,0))</f>
      </c>
      <c r="BP96" s="26">
        <f>IF(BP$6="","",IF(WEEKDAY(BP$6,1)=1,BP93*BP92,0))</f>
      </c>
      <c r="BQ96" s="26">
        <f>IF(BQ$6="","",IF(WEEKDAY(BQ$6,1)=1,BQ93*BQ92,0))</f>
      </c>
      <c r="BR96" s="26">
        <f>IF(BR$6="","",IF(WEEKDAY(BR$6,1)=1,BR93*BR92,0))</f>
      </c>
      <c r="BS96" s="26">
        <f>IF(BS$6="","",IF(WEEKDAY(BS$6,1)=1,BS93*BS92,0))</f>
      </c>
      <c r="BT96" s="26">
        <f>IF(BT$6="","",IF(WEEKDAY(BT$6,1)=1,BT93*BT92,0))</f>
      </c>
      <c r="BU96" s="26">
        <f>IF(BU$6="","",IF(WEEKDAY(BU$6,1)=1,BU93*BU92,0))</f>
      </c>
      <c r="BV96" s="26">
        <f>IF(BV$6="","",IF(WEEKDAY(BV$6,1)=1,BV93*BV92,0))</f>
      </c>
      <c r="BW96" s="26">
        <f>IF(BW$6="","",IF(WEEKDAY(BW$6,1)=1,BW93*BW92,0))</f>
      </c>
      <c r="BX96" s="26">
        <f>IF(BX$6="","",IF(WEEKDAY(BX$6,1)=1,BX93*BX92,0))</f>
      </c>
      <c r="BY96" s="26">
        <f>IF(BY$6="","",IF(WEEKDAY(BY$6,1)=1,BY93*BY92,0))</f>
      </c>
      <c r="BZ96" s="26">
        <f>IF(BZ$6="","",IF(WEEKDAY(BZ$6,1)=1,BZ93*BZ92,0))</f>
      </c>
      <c r="CA96" s="26">
        <f>IF(CA$6="","",IF(WEEKDAY(CA$6,1)=1,CA93*CA92,0))</f>
      </c>
      <c r="CB96" s="26">
        <f>IF(CB$6="","",IF(WEEKDAY(CB$6,1)=1,CB93*CB92,0))</f>
      </c>
      <c r="CC96" s="26">
        <f>IF(CC$6="","",IF(WEEKDAY(CC$6,1)=1,CC93*CC92,0))</f>
      </c>
      <c r="CD96" s="26">
        <f>IF(CD$6="","",IF(WEEKDAY(CD$6,1)=1,CD93*CD92,0))</f>
      </c>
      <c r="CE96" s="26">
        <f>IF(CE$6="","",IF(WEEKDAY(CE$6,1)=1,CE93*CE92,0))</f>
      </c>
      <c r="CF96" s="26">
        <f>IF(CF$6="","",IF(WEEKDAY(CF$6,1)=1,CF93*CF92,0))</f>
      </c>
      <c r="CG96" s="26">
        <f>IF(CG$6="","",IF(WEEKDAY(CG$6,1)=1,CG93*CG92,0))</f>
      </c>
      <c r="CH96" s="26">
        <f>IF(CH$6="","",IF(WEEKDAY(CH$6,1)=1,CH93*CH92,0))</f>
      </c>
      <c r="CI96" s="26">
        <f>IF(CI$6="","",IF(WEEKDAY(CI$6,1)=1,CI93*CI92,0))</f>
      </c>
      <c r="CJ96" s="26">
        <f>IF(CJ$6="","",IF(WEEKDAY(CJ$6,1)=1,CJ93*CJ92,0))</f>
      </c>
      <c r="CK96" s="26">
        <f>IF(CK$6="","",IF(WEEKDAY(CK$6,1)=1,CK93*CK92,0))</f>
      </c>
      <c r="CL96" s="26">
        <f>IF(CL$6="","",IF(WEEKDAY(CL$6,1)=1,CL93*CL92,0))</f>
      </c>
      <c r="CM96" s="26">
        <f>IF(CM$6="","",IF(WEEKDAY(CM$6,1)=1,CM93*CM92,0))</f>
      </c>
      <c r="CN96" s="26">
        <f>IF(CN$6="","",IF(WEEKDAY(CN$6,1)=1,CN93*CN92,0))</f>
      </c>
      <c r="CO96" s="26">
        <f>IF(CO$6="","",IF(WEEKDAY(CO$6,1)=1,CO93*CO92,0))</f>
      </c>
      <c r="CP96" s="26">
        <f>IF(CP$6="","",IF(WEEKDAY(CP$6,1)=1,CP93*CP92,0))</f>
      </c>
      <c r="CQ96" s="26">
        <f>IF(CQ$6="","",IF(WEEKDAY(CQ$6,1)=1,CQ93*CQ92,0))</f>
      </c>
      <c r="CR96" s="26">
        <f>IF(CR$6="","",IF(WEEKDAY(CR$6,1)=1,CR93*CR92,0))</f>
      </c>
      <c r="CS96" s="26">
        <f>IF(CS$6="","",IF(WEEKDAY(CS$6,1)=1,CS93*CS92,0))</f>
      </c>
      <c r="CT96" s="26">
        <f>IF(CT$6="","",IF(WEEKDAY(CT$6,1)=1,CT93*CT92,0))</f>
      </c>
      <c r="CU96" s="26">
        <f>IF(CU$6="","",IF(WEEKDAY(CU$6,1)=1,CU93*CU92,0))</f>
      </c>
      <c r="CV96" s="26">
        <f>IF(CV$6="","",IF(WEEKDAY(CV$6,1)=1,CV93*CV92,0))</f>
      </c>
      <c r="CW96" s="26">
        <f>IF(CW$6="","",IF(WEEKDAY(CW$6,1)=1,CW93*CW92,0))</f>
      </c>
      <c r="CX96" s="8" t="s">
        <v>62</v>
      </c>
    </row>
    <row r="97" spans="2:102" x14ac:dyDescent="0.25">
      <c r="B97" s="26">
        <f>SUM(L97:CW97)</f>
      </c>
      <c r="D97" s="27">
        <f>B97*E97</f>
      </c>
      <c r="E97" s="27">
        <v>140</v>
      </c>
      <c r="F97" s="8" t="s">
        <v>42</v>
      </c>
      <c r="L97" s="28">
        <v>0</v>
      </c>
      <c r="M97" s="28">
        <v>0</v>
      </c>
      <c r="N97" s="28">
        <v>0</v>
      </c>
      <c r="O97" s="28">
        <v>0</v>
      </c>
      <c r="P97" s="28">
        <v>0</v>
      </c>
      <c r="Q97" s="28">
        <v>0</v>
      </c>
      <c r="R97" s="28">
        <v>0</v>
      </c>
      <c r="S97" s="28">
        <v>0</v>
      </c>
      <c r="T97" s="28">
        <v>0</v>
      </c>
      <c r="U97" s="28">
        <v>0</v>
      </c>
      <c r="V97" s="28">
        <v>0</v>
      </c>
      <c r="W97" s="28">
        <v>0</v>
      </c>
      <c r="X97" s="28">
        <v>0</v>
      </c>
      <c r="Y97" s="28">
        <v>0</v>
      </c>
      <c r="Z97" s="28">
        <v>0</v>
      </c>
      <c r="AA97" s="28">
        <v>0</v>
      </c>
      <c r="AB97" s="28">
        <v>0</v>
      </c>
      <c r="AC97" s="28">
        <v>0</v>
      </c>
      <c r="AD97" s="28">
        <v>0</v>
      </c>
      <c r="AE97" s="28">
        <v>0</v>
      </c>
      <c r="AF97" s="28">
        <v>0</v>
      </c>
      <c r="AG97" s="28">
        <v>0</v>
      </c>
      <c r="AH97" s="28">
        <v>0</v>
      </c>
      <c r="AI97" s="28">
        <v>0</v>
      </c>
      <c r="AJ97" s="28">
        <v>0</v>
      </c>
      <c r="AK97" s="28">
        <v>0</v>
      </c>
      <c r="AL97" s="28">
        <v>0</v>
      </c>
      <c r="AM97" s="28">
        <v>0</v>
      </c>
      <c r="AN97" s="28">
        <v>0</v>
      </c>
      <c r="AO97" s="28">
        <v>0</v>
      </c>
      <c r="AP97" s="28">
        <v>0</v>
      </c>
      <c r="AQ97" s="28">
        <v>0</v>
      </c>
      <c r="AR97" s="28">
        <v>0</v>
      </c>
      <c r="AS97" s="28">
        <v>0</v>
      </c>
      <c r="AT97" s="28">
        <v>0</v>
      </c>
      <c r="AU97" s="28">
        <v>0</v>
      </c>
      <c r="AV97" s="28">
        <v>0</v>
      </c>
      <c r="AW97" s="28">
        <v>0</v>
      </c>
      <c r="AX97" s="28">
        <v>0</v>
      </c>
      <c r="AY97" s="28">
        <v>0</v>
      </c>
      <c r="AZ97" s="28">
        <v>0</v>
      </c>
      <c r="BA97" s="28">
        <v>0</v>
      </c>
      <c r="BB97" s="28">
        <v>0</v>
      </c>
      <c r="BC97" s="28">
        <v>0</v>
      </c>
      <c r="BD97" s="28">
        <v>0</v>
      </c>
      <c r="BE97" s="28">
        <v>0</v>
      </c>
      <c r="BF97" s="28">
        <v>0</v>
      </c>
      <c r="BG97" s="28">
        <v>0</v>
      </c>
      <c r="BH97" s="28">
        <v>0</v>
      </c>
      <c r="BI97" s="28">
        <v>2</v>
      </c>
      <c r="BJ97" s="28">
        <v>2</v>
      </c>
      <c r="BK97" s="28">
        <v>2</v>
      </c>
      <c r="BL97" s="28">
        <v>2</v>
      </c>
      <c r="BM97" s="28">
        <v>2</v>
      </c>
      <c r="BN97" s="28">
        <v>2</v>
      </c>
      <c r="BO97" s="28">
        <v>2</v>
      </c>
      <c r="BP97" s="28">
        <v>2</v>
      </c>
      <c r="BQ97" s="28">
        <v>2</v>
      </c>
      <c r="BR97" s="28">
        <v>2</v>
      </c>
      <c r="BS97" s="28">
        <v>2</v>
      </c>
      <c r="BT97" s="28">
        <v>2</v>
      </c>
      <c r="BU97" s="28">
        <v>2</v>
      </c>
      <c r="BV97" s="28">
        <v>2</v>
      </c>
      <c r="BW97" s="28">
        <v>2</v>
      </c>
      <c r="BX97" s="28">
        <v>2</v>
      </c>
      <c r="BY97" s="28">
        <v>2</v>
      </c>
      <c r="BZ97" s="28">
        <v>2</v>
      </c>
      <c r="CA97" s="28">
        <v>2</v>
      </c>
      <c r="CB97" s="28">
        <v>2</v>
      </c>
      <c r="CC97" s="28">
        <v>2</v>
      </c>
      <c r="CD97" s="28">
        <v>2</v>
      </c>
      <c r="CE97" s="28">
        <v>2</v>
      </c>
      <c r="CF97" s="28">
        <v>2</v>
      </c>
      <c r="CG97" s="28">
        <v>2</v>
      </c>
      <c r="CH97" s="28">
        <v>2</v>
      </c>
      <c r="CI97" s="28">
        <v>2</v>
      </c>
      <c r="CJ97" s="28">
        <v>2</v>
      </c>
      <c r="CK97" s="28">
        <v>2</v>
      </c>
      <c r="CL97" s="28">
        <v>2</v>
      </c>
      <c r="CM97" s="28">
        <v>2</v>
      </c>
      <c r="CN97" s="28">
        <v>2</v>
      </c>
      <c r="CO97" s="28">
        <v>2</v>
      </c>
      <c r="CP97" s="28">
        <v>2</v>
      </c>
      <c r="CQ97" s="28">
        <v>2</v>
      </c>
      <c r="CR97" s="28">
        <v>2</v>
      </c>
      <c r="CS97" s="28">
        <v>2</v>
      </c>
      <c r="CT97" s="28">
        <v>2</v>
      </c>
      <c r="CU97" s="28">
        <v>2</v>
      </c>
      <c r="CV97" s="28">
        <v>2</v>
      </c>
      <c r="CW97" s="28">
        <v>2</v>
      </c>
      <c r="CX97" s="8" t="s">
        <v>62</v>
      </c>
    </row>
    <row r="98" spans="1:102" x14ac:dyDescent="0.25">
      <c r="A98" s="20" t="s">
        <v>32</v>
      </c>
      <c r="B98" s="21">
        <f>G98+H98+I98</f>
      </c>
      <c r="C98" s="20" t="s">
        <v>63</v>
      </c>
      <c r="D98" s="22">
        <f>K98</f>
      </c>
      <c r="F98" s="20" t="s">
        <v>34</v>
      </c>
      <c r="G98" s="21">
        <f>B101</f>
      </c>
      <c r="H98" s="21">
        <f>B102</f>
      </c>
      <c r="I98" s="21">
        <f>B103</f>
      </c>
      <c r="J98" s="21">
        <f>B104</f>
      </c>
      <c r="K98" s="22">
        <f>D101+D102+D103</f>
      </c>
      <c r="CX98" s="20" t="s">
        <v>64</v>
      </c>
    </row>
    <row r="99" spans="6:102" x14ac:dyDescent="0.25">
      <c r="F99" s="23" t="s">
        <v>36</v>
      </c>
      <c r="L99" s="24">
        <v>1</v>
      </c>
      <c r="M99" s="24">
        <v>1</v>
      </c>
      <c r="N99" s="24">
        <v>1</v>
      </c>
      <c r="O99" s="24">
        <v>1</v>
      </c>
      <c r="P99" s="24">
        <v>1</v>
      </c>
      <c r="Q99" s="24">
        <v>0</v>
      </c>
      <c r="R99" s="24">
        <v>0</v>
      </c>
      <c r="S99" s="24">
        <v>1</v>
      </c>
      <c r="T99" s="24">
        <v>1</v>
      </c>
      <c r="U99" s="24">
        <v>1</v>
      </c>
      <c r="V99" s="24">
        <v>1</v>
      </c>
      <c r="W99" s="24">
        <v>1</v>
      </c>
      <c r="X99" s="24">
        <v>0</v>
      </c>
      <c r="Y99" s="24">
        <v>0</v>
      </c>
      <c r="Z99" s="24">
        <v>1</v>
      </c>
      <c r="AA99" s="24">
        <v>1</v>
      </c>
      <c r="AB99" s="24">
        <v>1</v>
      </c>
      <c r="AC99" s="24">
        <v>1</v>
      </c>
      <c r="AD99" s="24">
        <v>1</v>
      </c>
      <c r="AE99" s="24">
        <v>0</v>
      </c>
      <c r="AF99" s="24">
        <v>0</v>
      </c>
      <c r="AG99" s="24">
        <v>1</v>
      </c>
      <c r="AH99" s="24">
        <v>1</v>
      </c>
      <c r="AI99" s="24">
        <v>1</v>
      </c>
      <c r="AJ99" s="24">
        <v>1</v>
      </c>
      <c r="AK99" s="24">
        <v>1</v>
      </c>
      <c r="AL99" s="24">
        <v>0</v>
      </c>
      <c r="AM99" s="24">
        <v>0</v>
      </c>
      <c r="AN99" s="24">
        <v>1</v>
      </c>
      <c r="AO99" s="24">
        <v>1</v>
      </c>
      <c r="AP99" s="24">
        <v>1</v>
      </c>
      <c r="AQ99" s="24">
        <v>2</v>
      </c>
      <c r="AR99" s="24">
        <v>2</v>
      </c>
      <c r="AS99" s="24">
        <v>0</v>
      </c>
      <c r="AT99" s="24">
        <v>0</v>
      </c>
      <c r="AU99" s="24">
        <v>1</v>
      </c>
      <c r="AV99" s="24">
        <v>1</v>
      </c>
      <c r="AW99" s="24">
        <v>1</v>
      </c>
      <c r="AX99" s="24">
        <v>1</v>
      </c>
      <c r="AY99" s="24">
        <v>1</v>
      </c>
      <c r="AZ99" s="24">
        <v>0</v>
      </c>
      <c r="BA99" s="24">
        <v>0</v>
      </c>
      <c r="BB99" s="24">
        <v>1</v>
      </c>
      <c r="BC99" s="24">
        <v>1</v>
      </c>
      <c r="BD99" s="24">
        <v>1</v>
      </c>
      <c r="BE99" s="24">
        <v>1</v>
      </c>
      <c r="BF99" s="24">
        <v>1</v>
      </c>
      <c r="BG99" s="24">
        <v>0</v>
      </c>
      <c r="BH99" s="24">
        <v>0</v>
      </c>
      <c r="BI99" s="24">
        <v>1</v>
      </c>
      <c r="BJ99" s="24">
        <v>1</v>
      </c>
      <c r="BK99" s="24">
        <v>1</v>
      </c>
      <c r="BL99" s="24">
        <v>1</v>
      </c>
      <c r="BM99" s="24">
        <v>1</v>
      </c>
      <c r="BN99" s="24">
        <v>1</v>
      </c>
      <c r="BO99" s="24">
        <v>1</v>
      </c>
      <c r="BP99" s="24">
        <v>1</v>
      </c>
      <c r="BQ99" s="24">
        <v>1</v>
      </c>
      <c r="BR99" s="24">
        <v>1</v>
      </c>
      <c r="BS99" s="24">
        <v>1</v>
      </c>
      <c r="BT99" s="24">
        <v>1</v>
      </c>
      <c r="BU99" s="24">
        <v>1</v>
      </c>
      <c r="BV99" s="24">
        <v>1</v>
      </c>
      <c r="BW99" s="24">
        <v>1</v>
      </c>
      <c r="BX99" s="24">
        <v>1</v>
      </c>
      <c r="BY99" s="24">
        <v>1</v>
      </c>
      <c r="BZ99" s="24">
        <v>1</v>
      </c>
      <c r="CA99" s="24">
        <v>1</v>
      </c>
      <c r="CB99" s="24">
        <v>1</v>
      </c>
      <c r="CC99" s="24">
        <v>1</v>
      </c>
      <c r="CD99" s="24">
        <v>1</v>
      </c>
      <c r="CE99" s="24">
        <v>1</v>
      </c>
      <c r="CF99" s="24">
        <v>1</v>
      </c>
      <c r="CG99" s="24">
        <v>1</v>
      </c>
      <c r="CH99" s="24">
        <v>1</v>
      </c>
      <c r="CI99" s="24">
        <v>1</v>
      </c>
      <c r="CJ99" s="24">
        <v>1</v>
      </c>
      <c r="CK99" s="24">
        <v>1</v>
      </c>
      <c r="CL99" s="24">
        <v>1</v>
      </c>
      <c r="CM99" s="24">
        <v>1</v>
      </c>
      <c r="CN99" s="24">
        <v>1</v>
      </c>
      <c r="CO99" s="24">
        <v>1</v>
      </c>
      <c r="CP99" s="24">
        <v>1</v>
      </c>
      <c r="CQ99" s="24">
        <v>1</v>
      </c>
      <c r="CR99" s="24">
        <v>1</v>
      </c>
      <c r="CS99" s="24">
        <v>1</v>
      </c>
      <c r="CT99" s="24">
        <v>1</v>
      </c>
      <c r="CU99" s="24">
        <v>1</v>
      </c>
      <c r="CV99" s="24">
        <v>1</v>
      </c>
      <c r="CW99" s="24">
        <v>1</v>
      </c>
      <c r="CX99" s="23" t="s">
        <v>64</v>
      </c>
    </row>
    <row r="100" spans="1:102" x14ac:dyDescent="0.25">
      <c r="A100" s="23" t="s">
        <v>37</v>
      </c>
      <c r="F100" s="23" t="s">
        <v>38</v>
      </c>
      <c r="L100" s="25">
        <v>9</v>
      </c>
      <c r="M100" s="25">
        <v>9</v>
      </c>
      <c r="N100" s="25">
        <v>9</v>
      </c>
      <c r="O100" s="25">
        <v>9</v>
      </c>
      <c r="P100" s="25">
        <v>9</v>
      </c>
      <c r="Q100" s="25">
        <v>0</v>
      </c>
      <c r="R100" s="25">
        <v>0</v>
      </c>
      <c r="S100" s="25">
        <v>9</v>
      </c>
      <c r="T100" s="25">
        <v>9</v>
      </c>
      <c r="U100" s="25">
        <v>9</v>
      </c>
      <c r="V100" s="25">
        <v>9</v>
      </c>
      <c r="W100" s="25">
        <v>9</v>
      </c>
      <c r="X100" s="25">
        <v>0</v>
      </c>
      <c r="Y100" s="25">
        <v>0</v>
      </c>
      <c r="Z100" s="25">
        <v>9</v>
      </c>
      <c r="AA100" s="25">
        <v>9</v>
      </c>
      <c r="AB100" s="25">
        <v>9</v>
      </c>
      <c r="AC100" s="25">
        <v>9</v>
      </c>
      <c r="AD100" s="25">
        <v>9</v>
      </c>
      <c r="AE100" s="25">
        <v>0</v>
      </c>
      <c r="AF100" s="25">
        <v>0</v>
      </c>
      <c r="AG100" s="25">
        <v>9</v>
      </c>
      <c r="AH100" s="25">
        <v>9</v>
      </c>
      <c r="AI100" s="25">
        <v>9</v>
      </c>
      <c r="AJ100" s="25">
        <v>9</v>
      </c>
      <c r="AK100" s="25">
        <v>9</v>
      </c>
      <c r="AL100" s="25">
        <v>0</v>
      </c>
      <c r="AM100" s="25">
        <v>0</v>
      </c>
      <c r="AN100" s="25">
        <v>9</v>
      </c>
      <c r="AO100" s="25">
        <v>9</v>
      </c>
      <c r="AP100" s="25">
        <v>9</v>
      </c>
      <c r="AQ100" s="25">
        <v>8</v>
      </c>
      <c r="AR100" s="25">
        <v>8</v>
      </c>
      <c r="AS100" s="25">
        <v>0</v>
      </c>
      <c r="AT100" s="25">
        <v>0</v>
      </c>
      <c r="AU100" s="25">
        <v>9</v>
      </c>
      <c r="AV100" s="25">
        <v>9</v>
      </c>
      <c r="AW100" s="25">
        <v>9</v>
      </c>
      <c r="AX100" s="25">
        <v>9</v>
      </c>
      <c r="AY100" s="25">
        <v>9</v>
      </c>
      <c r="AZ100" s="25">
        <v>0</v>
      </c>
      <c r="BA100" s="25">
        <v>0</v>
      </c>
      <c r="BB100" s="25">
        <v>9</v>
      </c>
      <c r="BC100" s="25">
        <v>9</v>
      </c>
      <c r="BD100" s="25">
        <v>9</v>
      </c>
      <c r="BE100" s="25">
        <v>9</v>
      </c>
      <c r="BF100" s="25">
        <v>9</v>
      </c>
      <c r="BG100" s="25">
        <v>0</v>
      </c>
      <c r="BH100" s="25">
        <v>0</v>
      </c>
      <c r="BI100" s="25">
        <v>10</v>
      </c>
      <c r="BJ100" s="25">
        <v>10</v>
      </c>
      <c r="BK100" s="25">
        <v>10</v>
      </c>
      <c r="BL100" s="25">
        <v>10</v>
      </c>
      <c r="BM100" s="25">
        <v>10</v>
      </c>
      <c r="BN100" s="25">
        <v>10</v>
      </c>
      <c r="BO100" s="25">
        <v>10</v>
      </c>
      <c r="BP100" s="25">
        <v>10</v>
      </c>
      <c r="BQ100" s="25">
        <v>10</v>
      </c>
      <c r="BR100" s="25">
        <v>10</v>
      </c>
      <c r="BS100" s="25">
        <v>10</v>
      </c>
      <c r="BT100" s="25">
        <v>10</v>
      </c>
      <c r="BU100" s="25">
        <v>10</v>
      </c>
      <c r="BV100" s="25">
        <v>10</v>
      </c>
      <c r="BW100" s="25">
        <v>10</v>
      </c>
      <c r="BX100" s="25">
        <v>10</v>
      </c>
      <c r="BY100" s="25">
        <v>10</v>
      </c>
      <c r="BZ100" s="25">
        <v>10</v>
      </c>
      <c r="CA100" s="25">
        <v>10</v>
      </c>
      <c r="CB100" s="25">
        <v>10</v>
      </c>
      <c r="CC100" s="25">
        <v>10</v>
      </c>
      <c r="CD100" s="25">
        <v>10</v>
      </c>
      <c r="CE100" s="25">
        <v>10</v>
      </c>
      <c r="CF100" s="25">
        <v>10</v>
      </c>
      <c r="CG100" s="25">
        <v>10</v>
      </c>
      <c r="CH100" s="25">
        <v>10</v>
      </c>
      <c r="CI100" s="25">
        <v>10</v>
      </c>
      <c r="CJ100" s="25">
        <v>10</v>
      </c>
      <c r="CK100" s="25">
        <v>10</v>
      </c>
      <c r="CL100" s="25">
        <v>10</v>
      </c>
      <c r="CM100" s="25">
        <v>10</v>
      </c>
      <c r="CN100" s="25">
        <v>10</v>
      </c>
      <c r="CO100" s="25">
        <v>10</v>
      </c>
      <c r="CP100" s="25">
        <v>10</v>
      </c>
      <c r="CQ100" s="25">
        <v>10</v>
      </c>
      <c r="CR100" s="25">
        <v>10</v>
      </c>
      <c r="CS100" s="25">
        <v>10</v>
      </c>
      <c r="CT100" s="25">
        <v>10</v>
      </c>
      <c r="CU100" s="25">
        <v>10</v>
      </c>
      <c r="CV100" s="25">
        <v>10</v>
      </c>
      <c r="CW100" s="25">
        <v>10</v>
      </c>
      <c r="CX100" s="23" t="s">
        <v>64</v>
      </c>
    </row>
    <row r="101" spans="2:102" x14ac:dyDescent="0.25">
      <c r="B101" s="26">
        <f>SUM(L101:CW101)</f>
      </c>
      <c r="D101" s="27">
        <f>B101*E101</f>
      </c>
      <c r="E101" s="27">
        <f>'Rate Tables'!C15</f>
      </c>
      <c r="F101" s="8" t="s">
        <v>39</v>
      </c>
      <c r="L101" s="26">
        <f>IF(L$6="","",IF(WEEKDAY(L$6,1)=1,0,MIN(8,L100)*L99))</f>
      </c>
      <c r="M101" s="26">
        <f>IF(M$6="","",IF(WEEKDAY(M$6,1)=1,0,MIN(8,M100)*M99))</f>
      </c>
      <c r="N101" s="26">
        <f>IF(N$6="","",IF(WEEKDAY(N$6,1)=1,0,MIN(8,N100)*N99))</f>
      </c>
      <c r="O101" s="26">
        <f>IF(O$6="","",IF(WEEKDAY(O$6,1)=1,0,MIN(8,O100)*O99))</f>
      </c>
      <c r="P101" s="26">
        <f>IF(P$6="","",IF(WEEKDAY(P$6,1)=1,0,MIN(8,P100)*P99))</f>
      </c>
      <c r="Q101" s="26">
        <f>IF(Q$6="","",IF(WEEKDAY(Q$6,1)=1,0,MIN(8,Q100)*Q99))</f>
      </c>
      <c r="R101" s="26">
        <f>IF(R$6="","",IF(WEEKDAY(R$6,1)=1,0,MIN(8,R100)*R99))</f>
      </c>
      <c r="S101" s="26">
        <f>IF(S$6="","",IF(WEEKDAY(S$6,1)=1,0,MIN(8,S100)*S99))</f>
      </c>
      <c r="T101" s="26">
        <f>IF(T$6="","",IF(WEEKDAY(T$6,1)=1,0,MIN(8,T100)*T99))</f>
      </c>
      <c r="U101" s="26">
        <f>IF(U$6="","",IF(WEEKDAY(U$6,1)=1,0,MIN(8,U100)*U99))</f>
      </c>
      <c r="V101" s="26">
        <f>IF(V$6="","",IF(WEEKDAY(V$6,1)=1,0,MIN(8,V100)*V99))</f>
      </c>
      <c r="W101" s="26">
        <f>IF(W$6="","",IF(WEEKDAY(W$6,1)=1,0,MIN(8,W100)*W99))</f>
      </c>
      <c r="X101" s="26">
        <f>IF(X$6="","",IF(WEEKDAY(X$6,1)=1,0,MIN(8,X100)*X99))</f>
      </c>
      <c r="Y101" s="26">
        <f>IF(Y$6="","",IF(WEEKDAY(Y$6,1)=1,0,MIN(8,Y100)*Y99))</f>
      </c>
      <c r="Z101" s="26">
        <f>IF(Z$6="","",IF(WEEKDAY(Z$6,1)=1,0,MIN(8,Z100)*Z99))</f>
      </c>
      <c r="AA101" s="26">
        <f>IF(AA$6="","",IF(WEEKDAY(AA$6,1)=1,0,MIN(8,AA100)*AA99))</f>
      </c>
      <c r="AB101" s="26">
        <f>IF(AB$6="","",IF(WEEKDAY(AB$6,1)=1,0,MIN(8,AB100)*AB99))</f>
      </c>
      <c r="AC101" s="26">
        <f>IF(AC$6="","",IF(WEEKDAY(AC$6,1)=1,0,MIN(8,AC100)*AC99))</f>
      </c>
      <c r="AD101" s="26">
        <f>IF(AD$6="","",IF(WEEKDAY(AD$6,1)=1,0,MIN(8,AD100)*AD99))</f>
      </c>
      <c r="AE101" s="26">
        <f>IF(AE$6="","",IF(WEEKDAY(AE$6,1)=1,0,MIN(8,AE100)*AE99))</f>
      </c>
      <c r="AF101" s="26">
        <f>IF(AF$6="","",IF(WEEKDAY(AF$6,1)=1,0,MIN(8,AF100)*AF99))</f>
      </c>
      <c r="AG101" s="26">
        <f>IF(AG$6="","",IF(WEEKDAY(AG$6,1)=1,0,MIN(8,AG100)*AG99))</f>
      </c>
      <c r="AH101" s="26">
        <f>IF(AH$6="","",IF(WEEKDAY(AH$6,1)=1,0,MIN(8,AH100)*AH99))</f>
      </c>
      <c r="AI101" s="26">
        <f>IF(AI$6="","",IF(WEEKDAY(AI$6,1)=1,0,MIN(8,AI100)*AI99))</f>
      </c>
      <c r="AJ101" s="26">
        <f>IF(AJ$6="","",IF(WEEKDAY(AJ$6,1)=1,0,MIN(8,AJ100)*AJ99))</f>
      </c>
      <c r="AK101" s="26">
        <f>IF(AK$6="","",IF(WEEKDAY(AK$6,1)=1,0,MIN(8,AK100)*AK99))</f>
      </c>
      <c r="AL101" s="26">
        <f>IF(AL$6="","",IF(WEEKDAY(AL$6,1)=1,0,MIN(8,AL100)*AL99))</f>
      </c>
      <c r="AM101" s="26">
        <f>IF(AM$6="","",IF(WEEKDAY(AM$6,1)=1,0,MIN(8,AM100)*AM99))</f>
      </c>
      <c r="AN101" s="26">
        <f>IF(AN$6="","",IF(WEEKDAY(AN$6,1)=1,0,MIN(8,AN100)*AN99))</f>
      </c>
      <c r="AO101" s="26">
        <f>IF(AO$6="","",IF(WEEKDAY(AO$6,1)=1,0,MIN(8,AO100)*AO99))</f>
      </c>
      <c r="AP101" s="26">
        <f>IF(AP$6="","",IF(WEEKDAY(AP$6,1)=1,0,MIN(8,AP100)*AP99))</f>
      </c>
      <c r="AQ101" s="26">
        <f>IF(AQ$6="","",IF(WEEKDAY(AQ$6,1)=1,0,MIN(8,AQ100)*AQ99))</f>
      </c>
      <c r="AR101" s="26">
        <f>IF(AR$6="","",IF(WEEKDAY(AR$6,1)=1,0,MIN(8,AR100)*AR99))</f>
      </c>
      <c r="AS101" s="26">
        <f>IF(AS$6="","",IF(WEEKDAY(AS$6,1)=1,0,MIN(8,AS100)*AS99))</f>
      </c>
      <c r="AT101" s="26">
        <f>IF(AT$6="","",IF(WEEKDAY(AT$6,1)=1,0,MIN(8,AT100)*AT99))</f>
      </c>
      <c r="AU101" s="26">
        <f>IF(AU$6="","",IF(WEEKDAY(AU$6,1)=1,0,MIN(8,AU100)*AU99))</f>
      </c>
      <c r="AV101" s="26">
        <f>IF(AV$6="","",IF(WEEKDAY(AV$6,1)=1,0,MIN(8,AV100)*AV99))</f>
      </c>
      <c r="AW101" s="26">
        <f>IF(AW$6="","",IF(WEEKDAY(AW$6,1)=1,0,MIN(8,AW100)*AW99))</f>
      </c>
      <c r="AX101" s="26">
        <f>IF(AX$6="","",IF(WEEKDAY(AX$6,1)=1,0,MIN(8,AX100)*AX99))</f>
      </c>
      <c r="AY101" s="26">
        <f>IF(AY$6="","",IF(WEEKDAY(AY$6,1)=1,0,MIN(8,AY100)*AY99))</f>
      </c>
      <c r="AZ101" s="26">
        <f>IF(AZ$6="","",IF(WEEKDAY(AZ$6,1)=1,0,MIN(8,AZ100)*AZ99))</f>
      </c>
      <c r="BA101" s="26">
        <f>IF(BA$6="","",IF(WEEKDAY(BA$6,1)=1,0,MIN(8,BA100)*BA99))</f>
      </c>
      <c r="BB101" s="26">
        <f>IF(BB$6="","",IF(WEEKDAY(BB$6,1)=1,0,MIN(8,BB100)*BB99))</f>
      </c>
      <c r="BC101" s="26">
        <f>IF(BC$6="","",IF(WEEKDAY(BC$6,1)=1,0,MIN(8,BC100)*BC99))</f>
      </c>
      <c r="BD101" s="26">
        <f>IF(BD$6="","",IF(WEEKDAY(BD$6,1)=1,0,MIN(8,BD100)*BD99))</f>
      </c>
      <c r="BE101" s="26">
        <f>IF(BE$6="","",IF(WEEKDAY(BE$6,1)=1,0,MIN(8,BE100)*BE99))</f>
      </c>
      <c r="BF101" s="26">
        <f>IF(BF$6="","",IF(WEEKDAY(BF$6,1)=1,0,MIN(8,BF100)*BF99))</f>
      </c>
      <c r="BG101" s="26">
        <f>IF(BG$6="","",IF(WEEKDAY(BG$6,1)=1,0,MIN(8,BG100)*BG99))</f>
      </c>
      <c r="BH101" s="26">
        <f>IF(BH$6="","",IF(WEEKDAY(BH$6,1)=1,0,MIN(8,BH100)*BH99))</f>
      </c>
      <c r="BI101" s="26">
        <f>IF(BI$6="","",IF(WEEKDAY(BI$6,1)=1,0,MIN(8,BI100)*BI99))</f>
      </c>
      <c r="BJ101" s="26">
        <f>IF(BJ$6="","",IF(WEEKDAY(BJ$6,1)=1,0,MIN(8,BJ100)*BJ99))</f>
      </c>
      <c r="BK101" s="26">
        <f>IF(BK$6="","",IF(WEEKDAY(BK$6,1)=1,0,MIN(8,BK100)*BK99))</f>
      </c>
      <c r="BL101" s="26">
        <f>IF(BL$6="","",IF(WEEKDAY(BL$6,1)=1,0,MIN(8,BL100)*BL99))</f>
      </c>
      <c r="BM101" s="26">
        <f>IF(BM$6="","",IF(WEEKDAY(BM$6,1)=1,0,MIN(8,BM100)*BM99))</f>
      </c>
      <c r="BN101" s="26">
        <f>IF(BN$6="","",IF(WEEKDAY(BN$6,1)=1,0,MIN(8,BN100)*BN99))</f>
      </c>
      <c r="BO101" s="26">
        <f>IF(BO$6="","",IF(WEEKDAY(BO$6,1)=1,0,MIN(8,BO100)*BO99))</f>
      </c>
      <c r="BP101" s="26">
        <f>IF(BP$6="","",IF(WEEKDAY(BP$6,1)=1,0,MIN(8,BP100)*BP99))</f>
      </c>
      <c r="BQ101" s="26">
        <f>IF(BQ$6="","",IF(WEEKDAY(BQ$6,1)=1,0,MIN(8,BQ100)*BQ99))</f>
      </c>
      <c r="BR101" s="26">
        <f>IF(BR$6="","",IF(WEEKDAY(BR$6,1)=1,0,MIN(8,BR100)*BR99))</f>
      </c>
      <c r="BS101" s="26">
        <f>IF(BS$6="","",IF(WEEKDAY(BS$6,1)=1,0,MIN(8,BS100)*BS99))</f>
      </c>
      <c r="BT101" s="26">
        <f>IF(BT$6="","",IF(WEEKDAY(BT$6,1)=1,0,MIN(8,BT100)*BT99))</f>
      </c>
      <c r="BU101" s="26">
        <f>IF(BU$6="","",IF(WEEKDAY(BU$6,1)=1,0,MIN(8,BU100)*BU99))</f>
      </c>
      <c r="BV101" s="26">
        <f>IF(BV$6="","",IF(WEEKDAY(BV$6,1)=1,0,MIN(8,BV100)*BV99))</f>
      </c>
      <c r="BW101" s="26">
        <f>IF(BW$6="","",IF(WEEKDAY(BW$6,1)=1,0,MIN(8,BW100)*BW99))</f>
      </c>
      <c r="BX101" s="26">
        <f>IF(BX$6="","",IF(WEEKDAY(BX$6,1)=1,0,MIN(8,BX100)*BX99))</f>
      </c>
      <c r="BY101" s="26">
        <f>IF(BY$6="","",IF(WEEKDAY(BY$6,1)=1,0,MIN(8,BY100)*BY99))</f>
      </c>
      <c r="BZ101" s="26">
        <f>IF(BZ$6="","",IF(WEEKDAY(BZ$6,1)=1,0,MIN(8,BZ100)*BZ99))</f>
      </c>
      <c r="CA101" s="26">
        <f>IF(CA$6="","",IF(WEEKDAY(CA$6,1)=1,0,MIN(8,CA100)*CA99))</f>
      </c>
      <c r="CB101" s="26">
        <f>IF(CB$6="","",IF(WEEKDAY(CB$6,1)=1,0,MIN(8,CB100)*CB99))</f>
      </c>
      <c r="CC101" s="26">
        <f>IF(CC$6="","",IF(WEEKDAY(CC$6,1)=1,0,MIN(8,CC100)*CC99))</f>
      </c>
      <c r="CD101" s="26">
        <f>IF(CD$6="","",IF(WEEKDAY(CD$6,1)=1,0,MIN(8,CD100)*CD99))</f>
      </c>
      <c r="CE101" s="26">
        <f>IF(CE$6="","",IF(WEEKDAY(CE$6,1)=1,0,MIN(8,CE100)*CE99))</f>
      </c>
      <c r="CF101" s="26">
        <f>IF(CF$6="","",IF(WEEKDAY(CF$6,1)=1,0,MIN(8,CF100)*CF99))</f>
      </c>
      <c r="CG101" s="26">
        <f>IF(CG$6="","",IF(WEEKDAY(CG$6,1)=1,0,MIN(8,CG100)*CG99))</f>
      </c>
      <c r="CH101" s="26">
        <f>IF(CH$6="","",IF(WEEKDAY(CH$6,1)=1,0,MIN(8,CH100)*CH99))</f>
      </c>
      <c r="CI101" s="26">
        <f>IF(CI$6="","",IF(WEEKDAY(CI$6,1)=1,0,MIN(8,CI100)*CI99))</f>
      </c>
      <c r="CJ101" s="26">
        <f>IF(CJ$6="","",IF(WEEKDAY(CJ$6,1)=1,0,MIN(8,CJ100)*CJ99))</f>
      </c>
      <c r="CK101" s="26">
        <f>IF(CK$6="","",IF(WEEKDAY(CK$6,1)=1,0,MIN(8,CK100)*CK99))</f>
      </c>
      <c r="CL101" s="26">
        <f>IF(CL$6="","",IF(WEEKDAY(CL$6,1)=1,0,MIN(8,CL100)*CL99))</f>
      </c>
      <c r="CM101" s="26">
        <f>IF(CM$6="","",IF(WEEKDAY(CM$6,1)=1,0,MIN(8,CM100)*CM99))</f>
      </c>
      <c r="CN101" s="26">
        <f>IF(CN$6="","",IF(WEEKDAY(CN$6,1)=1,0,MIN(8,CN100)*CN99))</f>
      </c>
      <c r="CO101" s="26">
        <f>IF(CO$6="","",IF(WEEKDAY(CO$6,1)=1,0,MIN(8,CO100)*CO99))</f>
      </c>
      <c r="CP101" s="26">
        <f>IF(CP$6="","",IF(WEEKDAY(CP$6,1)=1,0,MIN(8,CP100)*CP99))</f>
      </c>
      <c r="CQ101" s="26">
        <f>IF(CQ$6="","",IF(WEEKDAY(CQ$6,1)=1,0,MIN(8,CQ100)*CQ99))</f>
      </c>
      <c r="CR101" s="26">
        <f>IF(CR$6="","",IF(WEEKDAY(CR$6,1)=1,0,MIN(8,CR100)*CR99))</f>
      </c>
      <c r="CS101" s="26">
        <f>IF(CS$6="","",IF(WEEKDAY(CS$6,1)=1,0,MIN(8,CS100)*CS99))</f>
      </c>
      <c r="CT101" s="26">
        <f>IF(CT$6="","",IF(WEEKDAY(CT$6,1)=1,0,MIN(8,CT100)*CT99))</f>
      </c>
      <c r="CU101" s="26">
        <f>IF(CU$6="","",IF(WEEKDAY(CU$6,1)=1,0,MIN(8,CU100)*CU99))</f>
      </c>
      <c r="CV101" s="26">
        <f>IF(CV$6="","",IF(WEEKDAY(CV$6,1)=1,0,MIN(8,CV100)*CV99))</f>
      </c>
      <c r="CW101" s="26">
        <f>IF(CW$6="","",IF(WEEKDAY(CW$6,1)=1,0,MIN(8,CW100)*CW99))</f>
      </c>
      <c r="CX101" s="8" t="s">
        <v>64</v>
      </c>
    </row>
    <row r="102" spans="2:102" x14ac:dyDescent="0.25">
      <c r="B102" s="26">
        <f>SUM(L102:CW102)</f>
      </c>
      <c r="D102" s="27">
        <f>B102*E102</f>
      </c>
      <c r="E102" s="27">
        <f>'Rate Tables'!D15</f>
      </c>
      <c r="F102" s="8" t="s">
        <v>40</v>
      </c>
      <c r="L102" s="26">
        <f>IF(L$6="","",IF(WEEKDAY(L$6,1)=1,0,MAX(0,L100-8)*L99))</f>
      </c>
      <c r="M102" s="26">
        <f>IF(M$6="","",IF(WEEKDAY(M$6,1)=1,0,MAX(0,M100-8)*M99))</f>
      </c>
      <c r="N102" s="26">
        <f>IF(N$6="","",IF(WEEKDAY(N$6,1)=1,0,MAX(0,N100-8)*N99))</f>
      </c>
      <c r="O102" s="26">
        <f>IF(O$6="","",IF(WEEKDAY(O$6,1)=1,0,MAX(0,O100-8)*O99))</f>
      </c>
      <c r="P102" s="26">
        <f>IF(P$6="","",IF(WEEKDAY(P$6,1)=1,0,MAX(0,P100-8)*P99))</f>
      </c>
      <c r="Q102" s="26">
        <f>IF(Q$6="","",IF(WEEKDAY(Q$6,1)=1,0,MAX(0,Q100-8)*Q99))</f>
      </c>
      <c r="R102" s="26">
        <f>IF(R$6="","",IF(WEEKDAY(R$6,1)=1,0,MAX(0,R100-8)*R99))</f>
      </c>
      <c r="S102" s="26">
        <f>IF(S$6="","",IF(WEEKDAY(S$6,1)=1,0,MAX(0,S100-8)*S99))</f>
      </c>
      <c r="T102" s="26">
        <f>IF(T$6="","",IF(WEEKDAY(T$6,1)=1,0,MAX(0,T100-8)*T99))</f>
      </c>
      <c r="U102" s="26">
        <f>IF(U$6="","",IF(WEEKDAY(U$6,1)=1,0,MAX(0,U100-8)*U99))</f>
      </c>
      <c r="V102" s="26">
        <f>IF(V$6="","",IF(WEEKDAY(V$6,1)=1,0,MAX(0,V100-8)*V99))</f>
      </c>
      <c r="W102" s="26">
        <f>IF(W$6="","",IF(WEEKDAY(W$6,1)=1,0,MAX(0,W100-8)*W99))</f>
      </c>
      <c r="X102" s="26">
        <f>IF(X$6="","",IF(WEEKDAY(X$6,1)=1,0,MAX(0,X100-8)*X99))</f>
      </c>
      <c r="Y102" s="26">
        <f>IF(Y$6="","",IF(WEEKDAY(Y$6,1)=1,0,MAX(0,Y100-8)*Y99))</f>
      </c>
      <c r="Z102" s="26">
        <f>IF(Z$6="","",IF(WEEKDAY(Z$6,1)=1,0,MAX(0,Z100-8)*Z99))</f>
      </c>
      <c r="AA102" s="26">
        <f>IF(AA$6="","",IF(WEEKDAY(AA$6,1)=1,0,MAX(0,AA100-8)*AA99))</f>
      </c>
      <c r="AB102" s="26">
        <f>IF(AB$6="","",IF(WEEKDAY(AB$6,1)=1,0,MAX(0,AB100-8)*AB99))</f>
      </c>
      <c r="AC102" s="26">
        <f>IF(AC$6="","",IF(WEEKDAY(AC$6,1)=1,0,MAX(0,AC100-8)*AC99))</f>
      </c>
      <c r="AD102" s="26">
        <f>IF(AD$6="","",IF(WEEKDAY(AD$6,1)=1,0,MAX(0,AD100-8)*AD99))</f>
      </c>
      <c r="AE102" s="26">
        <f>IF(AE$6="","",IF(WEEKDAY(AE$6,1)=1,0,MAX(0,AE100-8)*AE99))</f>
      </c>
      <c r="AF102" s="26">
        <f>IF(AF$6="","",IF(WEEKDAY(AF$6,1)=1,0,MAX(0,AF100-8)*AF99))</f>
      </c>
      <c r="AG102" s="26">
        <f>IF(AG$6="","",IF(WEEKDAY(AG$6,1)=1,0,MAX(0,AG100-8)*AG99))</f>
      </c>
      <c r="AH102" s="26">
        <f>IF(AH$6="","",IF(WEEKDAY(AH$6,1)=1,0,MAX(0,AH100-8)*AH99))</f>
      </c>
      <c r="AI102" s="26">
        <f>IF(AI$6="","",IF(WEEKDAY(AI$6,1)=1,0,MAX(0,AI100-8)*AI99))</f>
      </c>
      <c r="AJ102" s="26">
        <f>IF(AJ$6="","",IF(WEEKDAY(AJ$6,1)=1,0,MAX(0,AJ100-8)*AJ99))</f>
      </c>
      <c r="AK102" s="26">
        <f>IF(AK$6="","",IF(WEEKDAY(AK$6,1)=1,0,MAX(0,AK100-8)*AK99))</f>
      </c>
      <c r="AL102" s="26">
        <f>IF(AL$6="","",IF(WEEKDAY(AL$6,1)=1,0,MAX(0,AL100-8)*AL99))</f>
      </c>
      <c r="AM102" s="26">
        <f>IF(AM$6="","",IF(WEEKDAY(AM$6,1)=1,0,MAX(0,AM100-8)*AM99))</f>
      </c>
      <c r="AN102" s="26">
        <f>IF(AN$6="","",IF(WEEKDAY(AN$6,1)=1,0,MAX(0,AN100-8)*AN99))</f>
      </c>
      <c r="AO102" s="26">
        <f>IF(AO$6="","",IF(WEEKDAY(AO$6,1)=1,0,MAX(0,AO100-8)*AO99))</f>
      </c>
      <c r="AP102" s="26">
        <f>IF(AP$6="","",IF(WEEKDAY(AP$6,1)=1,0,MAX(0,AP100-8)*AP99))</f>
      </c>
      <c r="AQ102" s="26">
        <f>IF(AQ$6="","",IF(WEEKDAY(AQ$6,1)=1,0,MAX(0,AQ100-8)*AQ99))</f>
      </c>
      <c r="AR102" s="26">
        <f>IF(AR$6="","",IF(WEEKDAY(AR$6,1)=1,0,MAX(0,AR100-8)*AR99))</f>
      </c>
      <c r="AS102" s="26">
        <f>IF(AS$6="","",IF(WEEKDAY(AS$6,1)=1,0,MAX(0,AS100-8)*AS99))</f>
      </c>
      <c r="AT102" s="26">
        <f>IF(AT$6="","",IF(WEEKDAY(AT$6,1)=1,0,MAX(0,AT100-8)*AT99))</f>
      </c>
      <c r="AU102" s="26">
        <f>IF(AU$6="","",IF(WEEKDAY(AU$6,1)=1,0,MAX(0,AU100-8)*AU99))</f>
      </c>
      <c r="AV102" s="26">
        <f>IF(AV$6="","",IF(WEEKDAY(AV$6,1)=1,0,MAX(0,AV100-8)*AV99))</f>
      </c>
      <c r="AW102" s="26">
        <f>IF(AW$6="","",IF(WEEKDAY(AW$6,1)=1,0,MAX(0,AW100-8)*AW99))</f>
      </c>
      <c r="AX102" s="26">
        <f>IF(AX$6="","",IF(WEEKDAY(AX$6,1)=1,0,MAX(0,AX100-8)*AX99))</f>
      </c>
      <c r="AY102" s="26">
        <f>IF(AY$6="","",IF(WEEKDAY(AY$6,1)=1,0,MAX(0,AY100-8)*AY99))</f>
      </c>
      <c r="AZ102" s="26">
        <f>IF(AZ$6="","",IF(WEEKDAY(AZ$6,1)=1,0,MAX(0,AZ100-8)*AZ99))</f>
      </c>
      <c r="BA102" s="26">
        <f>IF(BA$6="","",IF(WEEKDAY(BA$6,1)=1,0,MAX(0,BA100-8)*BA99))</f>
      </c>
      <c r="BB102" s="26">
        <f>IF(BB$6="","",IF(WEEKDAY(BB$6,1)=1,0,MAX(0,BB100-8)*BB99))</f>
      </c>
      <c r="BC102" s="26">
        <f>IF(BC$6="","",IF(WEEKDAY(BC$6,1)=1,0,MAX(0,BC100-8)*BC99))</f>
      </c>
      <c r="BD102" s="26">
        <f>IF(BD$6="","",IF(WEEKDAY(BD$6,1)=1,0,MAX(0,BD100-8)*BD99))</f>
      </c>
      <c r="BE102" s="26">
        <f>IF(BE$6="","",IF(WEEKDAY(BE$6,1)=1,0,MAX(0,BE100-8)*BE99))</f>
      </c>
      <c r="BF102" s="26">
        <f>IF(BF$6="","",IF(WEEKDAY(BF$6,1)=1,0,MAX(0,BF100-8)*BF99))</f>
      </c>
      <c r="BG102" s="26">
        <f>IF(BG$6="","",IF(WEEKDAY(BG$6,1)=1,0,MAX(0,BG100-8)*BG99))</f>
      </c>
      <c r="BH102" s="26">
        <f>IF(BH$6="","",IF(WEEKDAY(BH$6,1)=1,0,MAX(0,BH100-8)*BH99))</f>
      </c>
      <c r="BI102" s="26">
        <f>IF(BI$6="","",IF(WEEKDAY(BI$6,1)=1,0,MAX(0,BI100-8)*BI99))</f>
      </c>
      <c r="BJ102" s="26">
        <f>IF(BJ$6="","",IF(WEEKDAY(BJ$6,1)=1,0,MAX(0,BJ100-8)*BJ99))</f>
      </c>
      <c r="BK102" s="26">
        <f>IF(BK$6="","",IF(WEEKDAY(BK$6,1)=1,0,MAX(0,BK100-8)*BK99))</f>
      </c>
      <c r="BL102" s="26">
        <f>IF(BL$6="","",IF(WEEKDAY(BL$6,1)=1,0,MAX(0,BL100-8)*BL99))</f>
      </c>
      <c r="BM102" s="26">
        <f>IF(BM$6="","",IF(WEEKDAY(BM$6,1)=1,0,MAX(0,BM100-8)*BM99))</f>
      </c>
      <c r="BN102" s="26">
        <f>IF(BN$6="","",IF(WEEKDAY(BN$6,1)=1,0,MAX(0,BN100-8)*BN99))</f>
      </c>
      <c r="BO102" s="26">
        <f>IF(BO$6="","",IF(WEEKDAY(BO$6,1)=1,0,MAX(0,BO100-8)*BO99))</f>
      </c>
      <c r="BP102" s="26">
        <f>IF(BP$6="","",IF(WEEKDAY(BP$6,1)=1,0,MAX(0,BP100-8)*BP99))</f>
      </c>
      <c r="BQ102" s="26">
        <f>IF(BQ$6="","",IF(WEEKDAY(BQ$6,1)=1,0,MAX(0,BQ100-8)*BQ99))</f>
      </c>
      <c r="BR102" s="26">
        <f>IF(BR$6="","",IF(WEEKDAY(BR$6,1)=1,0,MAX(0,BR100-8)*BR99))</f>
      </c>
      <c r="BS102" s="26">
        <f>IF(BS$6="","",IF(WEEKDAY(BS$6,1)=1,0,MAX(0,BS100-8)*BS99))</f>
      </c>
      <c r="BT102" s="26">
        <f>IF(BT$6="","",IF(WEEKDAY(BT$6,1)=1,0,MAX(0,BT100-8)*BT99))</f>
      </c>
      <c r="BU102" s="26">
        <f>IF(BU$6="","",IF(WEEKDAY(BU$6,1)=1,0,MAX(0,BU100-8)*BU99))</f>
      </c>
      <c r="BV102" s="26">
        <f>IF(BV$6="","",IF(WEEKDAY(BV$6,1)=1,0,MAX(0,BV100-8)*BV99))</f>
      </c>
      <c r="BW102" s="26">
        <f>IF(BW$6="","",IF(WEEKDAY(BW$6,1)=1,0,MAX(0,BW100-8)*BW99))</f>
      </c>
      <c r="BX102" s="26">
        <f>IF(BX$6="","",IF(WEEKDAY(BX$6,1)=1,0,MAX(0,BX100-8)*BX99))</f>
      </c>
      <c r="BY102" s="26">
        <f>IF(BY$6="","",IF(WEEKDAY(BY$6,1)=1,0,MAX(0,BY100-8)*BY99))</f>
      </c>
      <c r="BZ102" s="26">
        <f>IF(BZ$6="","",IF(WEEKDAY(BZ$6,1)=1,0,MAX(0,BZ100-8)*BZ99))</f>
      </c>
      <c r="CA102" s="26">
        <f>IF(CA$6="","",IF(WEEKDAY(CA$6,1)=1,0,MAX(0,CA100-8)*CA99))</f>
      </c>
      <c r="CB102" s="26">
        <f>IF(CB$6="","",IF(WEEKDAY(CB$6,1)=1,0,MAX(0,CB100-8)*CB99))</f>
      </c>
      <c r="CC102" s="26">
        <f>IF(CC$6="","",IF(WEEKDAY(CC$6,1)=1,0,MAX(0,CC100-8)*CC99))</f>
      </c>
      <c r="CD102" s="26">
        <f>IF(CD$6="","",IF(WEEKDAY(CD$6,1)=1,0,MAX(0,CD100-8)*CD99))</f>
      </c>
      <c r="CE102" s="26">
        <f>IF(CE$6="","",IF(WEEKDAY(CE$6,1)=1,0,MAX(0,CE100-8)*CE99))</f>
      </c>
      <c r="CF102" s="26">
        <f>IF(CF$6="","",IF(WEEKDAY(CF$6,1)=1,0,MAX(0,CF100-8)*CF99))</f>
      </c>
      <c r="CG102" s="26">
        <f>IF(CG$6="","",IF(WEEKDAY(CG$6,1)=1,0,MAX(0,CG100-8)*CG99))</f>
      </c>
      <c r="CH102" s="26">
        <f>IF(CH$6="","",IF(WEEKDAY(CH$6,1)=1,0,MAX(0,CH100-8)*CH99))</f>
      </c>
      <c r="CI102" s="26">
        <f>IF(CI$6="","",IF(WEEKDAY(CI$6,1)=1,0,MAX(0,CI100-8)*CI99))</f>
      </c>
      <c r="CJ102" s="26">
        <f>IF(CJ$6="","",IF(WEEKDAY(CJ$6,1)=1,0,MAX(0,CJ100-8)*CJ99))</f>
      </c>
      <c r="CK102" s="26">
        <f>IF(CK$6="","",IF(WEEKDAY(CK$6,1)=1,0,MAX(0,CK100-8)*CK99))</f>
      </c>
      <c r="CL102" s="26">
        <f>IF(CL$6="","",IF(WEEKDAY(CL$6,1)=1,0,MAX(0,CL100-8)*CL99))</f>
      </c>
      <c r="CM102" s="26">
        <f>IF(CM$6="","",IF(WEEKDAY(CM$6,1)=1,0,MAX(0,CM100-8)*CM99))</f>
      </c>
      <c r="CN102" s="26">
        <f>IF(CN$6="","",IF(WEEKDAY(CN$6,1)=1,0,MAX(0,CN100-8)*CN99))</f>
      </c>
      <c r="CO102" s="26">
        <f>IF(CO$6="","",IF(WEEKDAY(CO$6,1)=1,0,MAX(0,CO100-8)*CO99))</f>
      </c>
      <c r="CP102" s="26">
        <f>IF(CP$6="","",IF(WEEKDAY(CP$6,1)=1,0,MAX(0,CP100-8)*CP99))</f>
      </c>
      <c r="CQ102" s="26">
        <f>IF(CQ$6="","",IF(WEEKDAY(CQ$6,1)=1,0,MAX(0,CQ100-8)*CQ99))</f>
      </c>
      <c r="CR102" s="26">
        <f>IF(CR$6="","",IF(WEEKDAY(CR$6,1)=1,0,MAX(0,CR100-8)*CR99))</f>
      </c>
      <c r="CS102" s="26">
        <f>IF(CS$6="","",IF(WEEKDAY(CS$6,1)=1,0,MAX(0,CS100-8)*CS99))</f>
      </c>
      <c r="CT102" s="26">
        <f>IF(CT$6="","",IF(WEEKDAY(CT$6,1)=1,0,MAX(0,CT100-8)*CT99))</f>
      </c>
      <c r="CU102" s="26">
        <f>IF(CU$6="","",IF(WEEKDAY(CU$6,1)=1,0,MAX(0,CU100-8)*CU99))</f>
      </c>
      <c r="CV102" s="26">
        <f>IF(CV$6="","",IF(WEEKDAY(CV$6,1)=1,0,MAX(0,CV100-8)*CV99))</f>
      </c>
      <c r="CW102" s="26">
        <f>IF(CW$6="","",IF(WEEKDAY(CW$6,1)=1,0,MAX(0,CW100-8)*CW99))</f>
      </c>
      <c r="CX102" s="8" t="s">
        <v>64</v>
      </c>
    </row>
    <row r="103" spans="2:102" x14ac:dyDescent="0.25">
      <c r="B103" s="26">
        <f>SUM(L103:CW103)</f>
      </c>
      <c r="D103" s="27">
        <f>B103*E103</f>
      </c>
      <c r="E103" s="27">
        <f>'Rate Tables'!E15</f>
      </c>
      <c r="F103" s="8" t="s">
        <v>41</v>
      </c>
      <c r="L103" s="26">
        <f>IF(L$6="","",IF(WEEKDAY(L$6,1)=1,L100*L99,0))</f>
      </c>
      <c r="M103" s="26">
        <f>IF(M$6="","",IF(WEEKDAY(M$6,1)=1,M100*M99,0))</f>
      </c>
      <c r="N103" s="26">
        <f>IF(N$6="","",IF(WEEKDAY(N$6,1)=1,N100*N99,0))</f>
      </c>
      <c r="O103" s="26">
        <f>IF(O$6="","",IF(WEEKDAY(O$6,1)=1,O100*O99,0))</f>
      </c>
      <c r="P103" s="26">
        <f>IF(P$6="","",IF(WEEKDAY(P$6,1)=1,P100*P99,0))</f>
      </c>
      <c r="Q103" s="26">
        <f>IF(Q$6="","",IF(WEEKDAY(Q$6,1)=1,Q100*Q99,0))</f>
      </c>
      <c r="R103" s="26">
        <f>IF(R$6="","",IF(WEEKDAY(R$6,1)=1,R100*R99,0))</f>
      </c>
      <c r="S103" s="26">
        <f>IF(S$6="","",IF(WEEKDAY(S$6,1)=1,S100*S99,0))</f>
      </c>
      <c r="T103" s="26">
        <f>IF(T$6="","",IF(WEEKDAY(T$6,1)=1,T100*T99,0))</f>
      </c>
      <c r="U103" s="26">
        <f>IF(U$6="","",IF(WEEKDAY(U$6,1)=1,U100*U99,0))</f>
      </c>
      <c r="V103" s="26">
        <f>IF(V$6="","",IF(WEEKDAY(V$6,1)=1,V100*V99,0))</f>
      </c>
      <c r="W103" s="26">
        <f>IF(W$6="","",IF(WEEKDAY(W$6,1)=1,W100*W99,0))</f>
      </c>
      <c r="X103" s="26">
        <f>IF(X$6="","",IF(WEEKDAY(X$6,1)=1,X100*X99,0))</f>
      </c>
      <c r="Y103" s="26">
        <f>IF(Y$6="","",IF(WEEKDAY(Y$6,1)=1,Y100*Y99,0))</f>
      </c>
      <c r="Z103" s="26">
        <f>IF(Z$6="","",IF(WEEKDAY(Z$6,1)=1,Z100*Z99,0))</f>
      </c>
      <c r="AA103" s="26">
        <f>IF(AA$6="","",IF(WEEKDAY(AA$6,1)=1,AA100*AA99,0))</f>
      </c>
      <c r="AB103" s="26">
        <f>IF(AB$6="","",IF(WEEKDAY(AB$6,1)=1,AB100*AB99,0))</f>
      </c>
      <c r="AC103" s="26">
        <f>IF(AC$6="","",IF(WEEKDAY(AC$6,1)=1,AC100*AC99,0))</f>
      </c>
      <c r="AD103" s="26">
        <f>IF(AD$6="","",IF(WEEKDAY(AD$6,1)=1,AD100*AD99,0))</f>
      </c>
      <c r="AE103" s="26">
        <f>IF(AE$6="","",IF(WEEKDAY(AE$6,1)=1,AE100*AE99,0))</f>
      </c>
      <c r="AF103" s="26">
        <f>IF(AF$6="","",IF(WEEKDAY(AF$6,1)=1,AF100*AF99,0))</f>
      </c>
      <c r="AG103" s="26">
        <f>IF(AG$6="","",IF(WEEKDAY(AG$6,1)=1,AG100*AG99,0))</f>
      </c>
      <c r="AH103" s="26">
        <f>IF(AH$6="","",IF(WEEKDAY(AH$6,1)=1,AH100*AH99,0))</f>
      </c>
      <c r="AI103" s="26">
        <f>IF(AI$6="","",IF(WEEKDAY(AI$6,1)=1,AI100*AI99,0))</f>
      </c>
      <c r="AJ103" s="26">
        <f>IF(AJ$6="","",IF(WEEKDAY(AJ$6,1)=1,AJ100*AJ99,0))</f>
      </c>
      <c r="AK103" s="26">
        <f>IF(AK$6="","",IF(WEEKDAY(AK$6,1)=1,AK100*AK99,0))</f>
      </c>
      <c r="AL103" s="26">
        <f>IF(AL$6="","",IF(WEEKDAY(AL$6,1)=1,AL100*AL99,0))</f>
      </c>
      <c r="AM103" s="26">
        <f>IF(AM$6="","",IF(WEEKDAY(AM$6,1)=1,AM100*AM99,0))</f>
      </c>
      <c r="AN103" s="26">
        <f>IF(AN$6="","",IF(WEEKDAY(AN$6,1)=1,AN100*AN99,0))</f>
      </c>
      <c r="AO103" s="26">
        <f>IF(AO$6="","",IF(WEEKDAY(AO$6,1)=1,AO100*AO99,0))</f>
      </c>
      <c r="AP103" s="26">
        <f>IF(AP$6="","",IF(WEEKDAY(AP$6,1)=1,AP100*AP99,0))</f>
      </c>
      <c r="AQ103" s="26">
        <f>IF(AQ$6="","",IF(WEEKDAY(AQ$6,1)=1,AQ100*AQ99,0))</f>
      </c>
      <c r="AR103" s="26">
        <f>IF(AR$6="","",IF(WEEKDAY(AR$6,1)=1,AR100*AR99,0))</f>
      </c>
      <c r="AS103" s="26">
        <f>IF(AS$6="","",IF(WEEKDAY(AS$6,1)=1,AS100*AS99,0))</f>
      </c>
      <c r="AT103" s="26">
        <f>IF(AT$6="","",IF(WEEKDAY(AT$6,1)=1,AT100*AT99,0))</f>
      </c>
      <c r="AU103" s="26">
        <f>IF(AU$6="","",IF(WEEKDAY(AU$6,1)=1,AU100*AU99,0))</f>
      </c>
      <c r="AV103" s="26">
        <f>IF(AV$6="","",IF(WEEKDAY(AV$6,1)=1,AV100*AV99,0))</f>
      </c>
      <c r="AW103" s="26">
        <f>IF(AW$6="","",IF(WEEKDAY(AW$6,1)=1,AW100*AW99,0))</f>
      </c>
      <c r="AX103" s="26">
        <f>IF(AX$6="","",IF(WEEKDAY(AX$6,1)=1,AX100*AX99,0))</f>
      </c>
      <c r="AY103" s="26">
        <f>IF(AY$6="","",IF(WEEKDAY(AY$6,1)=1,AY100*AY99,0))</f>
      </c>
      <c r="AZ103" s="26">
        <f>IF(AZ$6="","",IF(WEEKDAY(AZ$6,1)=1,AZ100*AZ99,0))</f>
      </c>
      <c r="BA103" s="26">
        <f>IF(BA$6="","",IF(WEEKDAY(BA$6,1)=1,BA100*BA99,0))</f>
      </c>
      <c r="BB103" s="26">
        <f>IF(BB$6="","",IF(WEEKDAY(BB$6,1)=1,BB100*BB99,0))</f>
      </c>
      <c r="BC103" s="26">
        <f>IF(BC$6="","",IF(WEEKDAY(BC$6,1)=1,BC100*BC99,0))</f>
      </c>
      <c r="BD103" s="26">
        <f>IF(BD$6="","",IF(WEEKDAY(BD$6,1)=1,BD100*BD99,0))</f>
      </c>
      <c r="BE103" s="26">
        <f>IF(BE$6="","",IF(WEEKDAY(BE$6,1)=1,BE100*BE99,0))</f>
      </c>
      <c r="BF103" s="26">
        <f>IF(BF$6="","",IF(WEEKDAY(BF$6,1)=1,BF100*BF99,0))</f>
      </c>
      <c r="BG103" s="26">
        <f>IF(BG$6="","",IF(WEEKDAY(BG$6,1)=1,BG100*BG99,0))</f>
      </c>
      <c r="BH103" s="26">
        <f>IF(BH$6="","",IF(WEEKDAY(BH$6,1)=1,BH100*BH99,0))</f>
      </c>
      <c r="BI103" s="26">
        <f>IF(BI$6="","",IF(WEEKDAY(BI$6,1)=1,BI100*BI99,0))</f>
      </c>
      <c r="BJ103" s="26">
        <f>IF(BJ$6="","",IF(WEEKDAY(BJ$6,1)=1,BJ100*BJ99,0))</f>
      </c>
      <c r="BK103" s="26">
        <f>IF(BK$6="","",IF(WEEKDAY(BK$6,1)=1,BK100*BK99,0))</f>
      </c>
      <c r="BL103" s="26">
        <f>IF(BL$6="","",IF(WEEKDAY(BL$6,1)=1,BL100*BL99,0))</f>
      </c>
      <c r="BM103" s="26">
        <f>IF(BM$6="","",IF(WEEKDAY(BM$6,1)=1,BM100*BM99,0))</f>
      </c>
      <c r="BN103" s="26">
        <f>IF(BN$6="","",IF(WEEKDAY(BN$6,1)=1,BN100*BN99,0))</f>
      </c>
      <c r="BO103" s="26">
        <f>IF(BO$6="","",IF(WEEKDAY(BO$6,1)=1,BO100*BO99,0))</f>
      </c>
      <c r="BP103" s="26">
        <f>IF(BP$6="","",IF(WEEKDAY(BP$6,1)=1,BP100*BP99,0))</f>
      </c>
      <c r="BQ103" s="26">
        <f>IF(BQ$6="","",IF(WEEKDAY(BQ$6,1)=1,BQ100*BQ99,0))</f>
      </c>
      <c r="BR103" s="26">
        <f>IF(BR$6="","",IF(WEEKDAY(BR$6,1)=1,BR100*BR99,0))</f>
      </c>
      <c r="BS103" s="26">
        <f>IF(BS$6="","",IF(WEEKDAY(BS$6,1)=1,BS100*BS99,0))</f>
      </c>
      <c r="BT103" s="26">
        <f>IF(BT$6="","",IF(WEEKDAY(BT$6,1)=1,BT100*BT99,0))</f>
      </c>
      <c r="BU103" s="26">
        <f>IF(BU$6="","",IF(WEEKDAY(BU$6,1)=1,BU100*BU99,0))</f>
      </c>
      <c r="BV103" s="26">
        <f>IF(BV$6="","",IF(WEEKDAY(BV$6,1)=1,BV100*BV99,0))</f>
      </c>
      <c r="BW103" s="26">
        <f>IF(BW$6="","",IF(WEEKDAY(BW$6,1)=1,BW100*BW99,0))</f>
      </c>
      <c r="BX103" s="26">
        <f>IF(BX$6="","",IF(WEEKDAY(BX$6,1)=1,BX100*BX99,0))</f>
      </c>
      <c r="BY103" s="26">
        <f>IF(BY$6="","",IF(WEEKDAY(BY$6,1)=1,BY100*BY99,0))</f>
      </c>
      <c r="BZ103" s="26">
        <f>IF(BZ$6="","",IF(WEEKDAY(BZ$6,1)=1,BZ100*BZ99,0))</f>
      </c>
      <c r="CA103" s="26">
        <f>IF(CA$6="","",IF(WEEKDAY(CA$6,1)=1,CA100*CA99,0))</f>
      </c>
      <c r="CB103" s="26">
        <f>IF(CB$6="","",IF(WEEKDAY(CB$6,1)=1,CB100*CB99,0))</f>
      </c>
      <c r="CC103" s="26">
        <f>IF(CC$6="","",IF(WEEKDAY(CC$6,1)=1,CC100*CC99,0))</f>
      </c>
      <c r="CD103" s="26">
        <f>IF(CD$6="","",IF(WEEKDAY(CD$6,1)=1,CD100*CD99,0))</f>
      </c>
      <c r="CE103" s="26">
        <f>IF(CE$6="","",IF(WEEKDAY(CE$6,1)=1,CE100*CE99,0))</f>
      </c>
      <c r="CF103" s="26">
        <f>IF(CF$6="","",IF(WEEKDAY(CF$6,1)=1,CF100*CF99,0))</f>
      </c>
      <c r="CG103" s="26">
        <f>IF(CG$6="","",IF(WEEKDAY(CG$6,1)=1,CG100*CG99,0))</f>
      </c>
      <c r="CH103" s="26">
        <f>IF(CH$6="","",IF(WEEKDAY(CH$6,1)=1,CH100*CH99,0))</f>
      </c>
      <c r="CI103" s="26">
        <f>IF(CI$6="","",IF(WEEKDAY(CI$6,1)=1,CI100*CI99,0))</f>
      </c>
      <c r="CJ103" s="26">
        <f>IF(CJ$6="","",IF(WEEKDAY(CJ$6,1)=1,CJ100*CJ99,0))</f>
      </c>
      <c r="CK103" s="26">
        <f>IF(CK$6="","",IF(WEEKDAY(CK$6,1)=1,CK100*CK99,0))</f>
      </c>
      <c r="CL103" s="26">
        <f>IF(CL$6="","",IF(WEEKDAY(CL$6,1)=1,CL100*CL99,0))</f>
      </c>
      <c r="CM103" s="26">
        <f>IF(CM$6="","",IF(WEEKDAY(CM$6,1)=1,CM100*CM99,0))</f>
      </c>
      <c r="CN103" s="26">
        <f>IF(CN$6="","",IF(WEEKDAY(CN$6,1)=1,CN100*CN99,0))</f>
      </c>
      <c r="CO103" s="26">
        <f>IF(CO$6="","",IF(WEEKDAY(CO$6,1)=1,CO100*CO99,0))</f>
      </c>
      <c r="CP103" s="26">
        <f>IF(CP$6="","",IF(WEEKDAY(CP$6,1)=1,CP100*CP99,0))</f>
      </c>
      <c r="CQ103" s="26">
        <f>IF(CQ$6="","",IF(WEEKDAY(CQ$6,1)=1,CQ100*CQ99,0))</f>
      </c>
      <c r="CR103" s="26">
        <f>IF(CR$6="","",IF(WEEKDAY(CR$6,1)=1,CR100*CR99,0))</f>
      </c>
      <c r="CS103" s="26">
        <f>IF(CS$6="","",IF(WEEKDAY(CS$6,1)=1,CS100*CS99,0))</f>
      </c>
      <c r="CT103" s="26">
        <f>IF(CT$6="","",IF(WEEKDAY(CT$6,1)=1,CT100*CT99,0))</f>
      </c>
      <c r="CU103" s="26">
        <f>IF(CU$6="","",IF(WEEKDAY(CU$6,1)=1,CU100*CU99,0))</f>
      </c>
      <c r="CV103" s="26">
        <f>IF(CV$6="","",IF(WEEKDAY(CV$6,1)=1,CV100*CV99,0))</f>
      </c>
      <c r="CW103" s="26">
        <f>IF(CW$6="","",IF(WEEKDAY(CW$6,1)=1,CW100*CW99,0))</f>
      </c>
      <c r="CX103" s="8" t="s">
        <v>64</v>
      </c>
    </row>
    <row r="104" spans="2:102" x14ac:dyDescent="0.25">
      <c r="B104" s="26">
        <f>SUM(L104:CW104)</f>
      </c>
      <c r="D104" s="27">
        <f>B104*E104</f>
      </c>
      <c r="E104" s="27">
        <v>140</v>
      </c>
      <c r="F104" s="8" t="s">
        <v>42</v>
      </c>
      <c r="L104" s="28">
        <v>1</v>
      </c>
      <c r="M104" s="28">
        <v>1</v>
      </c>
      <c r="N104" s="28">
        <v>1</v>
      </c>
      <c r="O104" s="28">
        <v>1</v>
      </c>
      <c r="P104" s="28">
        <v>1</v>
      </c>
      <c r="Q104" s="28">
        <v>0</v>
      </c>
      <c r="R104" s="28">
        <v>0</v>
      </c>
      <c r="S104" s="28">
        <v>1</v>
      </c>
      <c r="T104" s="28">
        <v>1</v>
      </c>
      <c r="U104" s="28">
        <v>1</v>
      </c>
      <c r="V104" s="28">
        <v>1</v>
      </c>
      <c r="W104" s="28">
        <v>1</v>
      </c>
      <c r="X104" s="28">
        <v>0</v>
      </c>
      <c r="Y104" s="28">
        <v>0</v>
      </c>
      <c r="Z104" s="28">
        <v>1</v>
      </c>
      <c r="AA104" s="28">
        <v>1</v>
      </c>
      <c r="AB104" s="28">
        <v>1</v>
      </c>
      <c r="AC104" s="28">
        <v>1</v>
      </c>
      <c r="AD104" s="28">
        <v>1</v>
      </c>
      <c r="AE104" s="28">
        <v>0</v>
      </c>
      <c r="AF104" s="28">
        <v>0</v>
      </c>
      <c r="AG104" s="28">
        <v>1</v>
      </c>
      <c r="AH104" s="28">
        <v>1</v>
      </c>
      <c r="AI104" s="28">
        <v>1</v>
      </c>
      <c r="AJ104" s="28">
        <v>1</v>
      </c>
      <c r="AK104" s="28">
        <v>1</v>
      </c>
      <c r="AL104" s="28">
        <v>0</v>
      </c>
      <c r="AM104" s="28">
        <v>0</v>
      </c>
      <c r="AN104" s="28">
        <v>1</v>
      </c>
      <c r="AO104" s="28">
        <v>1</v>
      </c>
      <c r="AP104" s="28">
        <v>1</v>
      </c>
      <c r="AQ104" s="28">
        <v>1</v>
      </c>
      <c r="AR104" s="28">
        <v>1</v>
      </c>
      <c r="AS104" s="28">
        <v>0</v>
      </c>
      <c r="AT104" s="28">
        <v>0</v>
      </c>
      <c r="AU104" s="28">
        <v>1</v>
      </c>
      <c r="AV104" s="28">
        <v>1</v>
      </c>
      <c r="AW104" s="28">
        <v>1</v>
      </c>
      <c r="AX104" s="28">
        <v>1</v>
      </c>
      <c r="AY104" s="28">
        <v>1</v>
      </c>
      <c r="AZ104" s="28">
        <v>0</v>
      </c>
      <c r="BA104" s="28">
        <v>0</v>
      </c>
      <c r="BB104" s="28">
        <v>1</v>
      </c>
      <c r="BC104" s="28">
        <v>1</v>
      </c>
      <c r="BD104" s="28">
        <v>1</v>
      </c>
      <c r="BE104" s="28">
        <v>1</v>
      </c>
      <c r="BF104" s="28">
        <v>1</v>
      </c>
      <c r="BG104" s="28">
        <v>0</v>
      </c>
      <c r="BH104" s="28">
        <v>0</v>
      </c>
      <c r="BI104" s="28">
        <v>1</v>
      </c>
      <c r="BJ104" s="28">
        <v>1</v>
      </c>
      <c r="BK104" s="28">
        <v>1</v>
      </c>
      <c r="BL104" s="28">
        <v>1</v>
      </c>
      <c r="BM104" s="28">
        <v>1</v>
      </c>
      <c r="BN104" s="28">
        <v>1</v>
      </c>
      <c r="BO104" s="28">
        <v>1</v>
      </c>
      <c r="BP104" s="28">
        <v>1</v>
      </c>
      <c r="BQ104" s="28">
        <v>1</v>
      </c>
      <c r="BR104" s="28">
        <v>1</v>
      </c>
      <c r="BS104" s="28">
        <v>1</v>
      </c>
      <c r="BT104" s="28">
        <v>1</v>
      </c>
      <c r="BU104" s="28">
        <v>1</v>
      </c>
      <c r="BV104" s="28">
        <v>1</v>
      </c>
      <c r="BW104" s="28">
        <v>1</v>
      </c>
      <c r="BX104" s="28">
        <v>1</v>
      </c>
      <c r="BY104" s="28">
        <v>1</v>
      </c>
      <c r="BZ104" s="28">
        <v>1</v>
      </c>
      <c r="CA104" s="28">
        <v>1</v>
      </c>
      <c r="CB104" s="28">
        <v>1</v>
      </c>
      <c r="CC104" s="28">
        <v>1</v>
      </c>
      <c r="CD104" s="28">
        <v>1</v>
      </c>
      <c r="CE104" s="28">
        <v>1</v>
      </c>
      <c r="CF104" s="28">
        <v>1</v>
      </c>
      <c r="CG104" s="28">
        <v>1</v>
      </c>
      <c r="CH104" s="28">
        <v>1</v>
      </c>
      <c r="CI104" s="28">
        <v>1</v>
      </c>
      <c r="CJ104" s="28">
        <v>1</v>
      </c>
      <c r="CK104" s="28">
        <v>1</v>
      </c>
      <c r="CL104" s="28">
        <v>1</v>
      </c>
      <c r="CM104" s="28">
        <v>1</v>
      </c>
      <c r="CN104" s="28">
        <v>1</v>
      </c>
      <c r="CO104" s="28">
        <v>1</v>
      </c>
      <c r="CP104" s="28">
        <v>1</v>
      </c>
      <c r="CQ104" s="28">
        <v>1</v>
      </c>
      <c r="CR104" s="28">
        <v>1</v>
      </c>
      <c r="CS104" s="28">
        <v>1</v>
      </c>
      <c r="CT104" s="28">
        <v>1</v>
      </c>
      <c r="CU104" s="28">
        <v>1</v>
      </c>
      <c r="CV104" s="28">
        <v>1</v>
      </c>
      <c r="CW104" s="28">
        <v>1</v>
      </c>
      <c r="CX104" s="8" t="s">
        <v>64</v>
      </c>
    </row>
    <row r="105" spans="1:102" x14ac:dyDescent="0.25">
      <c r="A105" s="20" t="s">
        <v>47</v>
      </c>
      <c r="B105" s="21">
        <f>G105+H105+I105</f>
      </c>
      <c r="C105" s="20" t="s">
        <v>63</v>
      </c>
      <c r="D105" s="22">
        <f>K105</f>
      </c>
      <c r="F105" s="20" t="s">
        <v>34</v>
      </c>
      <c r="G105" s="21">
        <f>B108</f>
      </c>
      <c r="H105" s="21">
        <f>B109</f>
      </c>
      <c r="I105" s="21">
        <f>B110</f>
      </c>
      <c r="J105" s="21">
        <f>B111</f>
      </c>
      <c r="K105" s="22">
        <f>D108+D109+D110</f>
      </c>
      <c r="CX105" s="20" t="s">
        <v>65</v>
      </c>
    </row>
    <row r="106" spans="6:102" x14ac:dyDescent="0.25">
      <c r="F106" s="23" t="s">
        <v>36</v>
      </c>
      <c r="L106" s="24">
        <v>0</v>
      </c>
      <c r="M106" s="24">
        <v>0</v>
      </c>
      <c r="N106" s="24">
        <v>0</v>
      </c>
      <c r="O106" s="24">
        <v>0</v>
      </c>
      <c r="P106" s="24">
        <v>0</v>
      </c>
      <c r="Q106" s="24">
        <v>0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v>0</v>
      </c>
      <c r="AA106" s="24">
        <v>0</v>
      </c>
      <c r="AB106" s="24">
        <v>0</v>
      </c>
      <c r="AC106" s="24">
        <v>0</v>
      </c>
      <c r="AD106" s="24">
        <v>0</v>
      </c>
      <c r="AE106" s="24">
        <v>0</v>
      </c>
      <c r="AF106" s="24">
        <v>0</v>
      </c>
      <c r="AG106" s="24">
        <v>0</v>
      </c>
      <c r="AH106" s="24">
        <v>0</v>
      </c>
      <c r="AI106" s="24">
        <v>0</v>
      </c>
      <c r="AJ106" s="24">
        <v>0</v>
      </c>
      <c r="AK106" s="24">
        <v>0</v>
      </c>
      <c r="AL106" s="24">
        <v>0</v>
      </c>
      <c r="AM106" s="24">
        <v>0</v>
      </c>
      <c r="AN106" s="24">
        <v>0</v>
      </c>
      <c r="AO106" s="24">
        <v>0</v>
      </c>
      <c r="AP106" s="24">
        <v>0</v>
      </c>
      <c r="AQ106" s="24">
        <v>0</v>
      </c>
      <c r="AR106" s="24">
        <v>0</v>
      </c>
      <c r="AS106" s="24">
        <v>0</v>
      </c>
      <c r="AT106" s="24">
        <v>0</v>
      </c>
      <c r="AU106" s="24">
        <v>0</v>
      </c>
      <c r="AV106" s="24">
        <v>0</v>
      </c>
      <c r="AW106" s="24">
        <v>0</v>
      </c>
      <c r="AX106" s="24">
        <v>0</v>
      </c>
      <c r="AY106" s="24">
        <v>0</v>
      </c>
      <c r="AZ106" s="24">
        <v>0</v>
      </c>
      <c r="BA106" s="24">
        <v>0</v>
      </c>
      <c r="BB106" s="24">
        <v>0</v>
      </c>
      <c r="BC106" s="24">
        <v>0</v>
      </c>
      <c r="BD106" s="24">
        <v>0</v>
      </c>
      <c r="BE106" s="24">
        <v>0</v>
      </c>
      <c r="BF106" s="24">
        <v>0</v>
      </c>
      <c r="BG106" s="24">
        <v>0</v>
      </c>
      <c r="BH106" s="24">
        <v>0</v>
      </c>
      <c r="BI106" s="24">
        <v>1</v>
      </c>
      <c r="BJ106" s="24">
        <v>1</v>
      </c>
      <c r="BK106" s="24">
        <v>1</v>
      </c>
      <c r="BL106" s="24">
        <v>1</v>
      </c>
      <c r="BM106" s="24">
        <v>1</v>
      </c>
      <c r="BN106" s="24">
        <v>1</v>
      </c>
      <c r="BO106" s="24">
        <v>1</v>
      </c>
      <c r="BP106" s="24">
        <v>1</v>
      </c>
      <c r="BQ106" s="24">
        <v>1</v>
      </c>
      <c r="BR106" s="24">
        <v>1</v>
      </c>
      <c r="BS106" s="24">
        <v>1</v>
      </c>
      <c r="BT106" s="24">
        <v>1</v>
      </c>
      <c r="BU106" s="24">
        <v>1</v>
      </c>
      <c r="BV106" s="24">
        <v>1</v>
      </c>
      <c r="BW106" s="24">
        <v>1</v>
      </c>
      <c r="BX106" s="24">
        <v>1</v>
      </c>
      <c r="BY106" s="24">
        <v>1</v>
      </c>
      <c r="BZ106" s="24">
        <v>1</v>
      </c>
      <c r="CA106" s="24">
        <v>1</v>
      </c>
      <c r="CB106" s="24">
        <v>1</v>
      </c>
      <c r="CC106" s="24">
        <v>1</v>
      </c>
      <c r="CD106" s="24">
        <v>1</v>
      </c>
      <c r="CE106" s="24">
        <v>1</v>
      </c>
      <c r="CF106" s="24">
        <v>1</v>
      </c>
      <c r="CG106" s="24">
        <v>1</v>
      </c>
      <c r="CH106" s="24">
        <v>1</v>
      </c>
      <c r="CI106" s="24">
        <v>1</v>
      </c>
      <c r="CJ106" s="24">
        <v>1</v>
      </c>
      <c r="CK106" s="24">
        <v>1</v>
      </c>
      <c r="CL106" s="24">
        <v>1</v>
      </c>
      <c r="CM106" s="24">
        <v>1</v>
      </c>
      <c r="CN106" s="24">
        <v>1</v>
      </c>
      <c r="CO106" s="24">
        <v>1</v>
      </c>
      <c r="CP106" s="24">
        <v>1</v>
      </c>
      <c r="CQ106" s="24">
        <v>1</v>
      </c>
      <c r="CR106" s="24">
        <v>1</v>
      </c>
      <c r="CS106" s="24">
        <v>1</v>
      </c>
      <c r="CT106" s="24">
        <v>1</v>
      </c>
      <c r="CU106" s="24">
        <v>1</v>
      </c>
      <c r="CV106" s="24">
        <v>1</v>
      </c>
      <c r="CW106" s="24">
        <v>1</v>
      </c>
      <c r="CX106" s="23" t="s">
        <v>65</v>
      </c>
    </row>
    <row r="107" spans="1:102" x14ac:dyDescent="0.25">
      <c r="A107" s="23" t="s">
        <v>37</v>
      </c>
      <c r="F107" s="23" t="s">
        <v>38</v>
      </c>
      <c r="L107" s="25">
        <v>0</v>
      </c>
      <c r="M107" s="25">
        <v>0</v>
      </c>
      <c r="N107" s="25">
        <v>0</v>
      </c>
      <c r="O107" s="25">
        <v>0</v>
      </c>
      <c r="P107" s="25">
        <v>0</v>
      </c>
      <c r="Q107" s="25">
        <v>0</v>
      </c>
      <c r="R107" s="25">
        <v>0</v>
      </c>
      <c r="S107" s="25">
        <v>0</v>
      </c>
      <c r="T107" s="25">
        <v>0</v>
      </c>
      <c r="U107" s="25">
        <v>0</v>
      </c>
      <c r="V107" s="25">
        <v>0</v>
      </c>
      <c r="W107" s="25">
        <v>0</v>
      </c>
      <c r="X107" s="25">
        <v>0</v>
      </c>
      <c r="Y107" s="25">
        <v>0</v>
      </c>
      <c r="Z107" s="25">
        <v>0</v>
      </c>
      <c r="AA107" s="25">
        <v>0</v>
      </c>
      <c r="AB107" s="25">
        <v>0</v>
      </c>
      <c r="AC107" s="25">
        <v>0</v>
      </c>
      <c r="AD107" s="25">
        <v>0</v>
      </c>
      <c r="AE107" s="25">
        <v>0</v>
      </c>
      <c r="AF107" s="25">
        <v>0</v>
      </c>
      <c r="AG107" s="25">
        <v>0</v>
      </c>
      <c r="AH107" s="25">
        <v>0</v>
      </c>
      <c r="AI107" s="25">
        <v>0</v>
      </c>
      <c r="AJ107" s="25">
        <v>0</v>
      </c>
      <c r="AK107" s="25">
        <v>0</v>
      </c>
      <c r="AL107" s="25">
        <v>0</v>
      </c>
      <c r="AM107" s="25">
        <v>0</v>
      </c>
      <c r="AN107" s="25">
        <v>0</v>
      </c>
      <c r="AO107" s="25">
        <v>0</v>
      </c>
      <c r="AP107" s="25">
        <v>0</v>
      </c>
      <c r="AQ107" s="25">
        <v>0</v>
      </c>
      <c r="AR107" s="25">
        <v>0</v>
      </c>
      <c r="AS107" s="25">
        <v>0</v>
      </c>
      <c r="AT107" s="25">
        <v>0</v>
      </c>
      <c r="AU107" s="25">
        <v>0</v>
      </c>
      <c r="AV107" s="25">
        <v>0</v>
      </c>
      <c r="AW107" s="25">
        <v>0</v>
      </c>
      <c r="AX107" s="25">
        <v>0</v>
      </c>
      <c r="AY107" s="25">
        <v>0</v>
      </c>
      <c r="AZ107" s="25">
        <v>0</v>
      </c>
      <c r="BA107" s="25">
        <v>0</v>
      </c>
      <c r="BB107" s="25">
        <v>0</v>
      </c>
      <c r="BC107" s="25">
        <v>0</v>
      </c>
      <c r="BD107" s="25">
        <v>0</v>
      </c>
      <c r="BE107" s="25">
        <v>0</v>
      </c>
      <c r="BF107" s="25">
        <v>0</v>
      </c>
      <c r="BG107" s="25">
        <v>0</v>
      </c>
      <c r="BH107" s="25">
        <v>0</v>
      </c>
      <c r="BI107" s="25">
        <v>10</v>
      </c>
      <c r="BJ107" s="25">
        <v>10</v>
      </c>
      <c r="BK107" s="25">
        <v>10</v>
      </c>
      <c r="BL107" s="25">
        <v>10</v>
      </c>
      <c r="BM107" s="25">
        <v>10</v>
      </c>
      <c r="BN107" s="25">
        <v>10</v>
      </c>
      <c r="BO107" s="25">
        <v>10</v>
      </c>
      <c r="BP107" s="25">
        <v>10</v>
      </c>
      <c r="BQ107" s="25">
        <v>10</v>
      </c>
      <c r="BR107" s="25">
        <v>10</v>
      </c>
      <c r="BS107" s="25">
        <v>10</v>
      </c>
      <c r="BT107" s="25">
        <v>10</v>
      </c>
      <c r="BU107" s="25">
        <v>10</v>
      </c>
      <c r="BV107" s="25">
        <v>10</v>
      </c>
      <c r="BW107" s="25">
        <v>10</v>
      </c>
      <c r="BX107" s="25">
        <v>10</v>
      </c>
      <c r="BY107" s="25">
        <v>10</v>
      </c>
      <c r="BZ107" s="25">
        <v>10</v>
      </c>
      <c r="CA107" s="25">
        <v>10</v>
      </c>
      <c r="CB107" s="25">
        <v>10</v>
      </c>
      <c r="CC107" s="25">
        <v>10</v>
      </c>
      <c r="CD107" s="25">
        <v>10</v>
      </c>
      <c r="CE107" s="25">
        <v>10</v>
      </c>
      <c r="CF107" s="25">
        <v>10</v>
      </c>
      <c r="CG107" s="25">
        <v>10</v>
      </c>
      <c r="CH107" s="25">
        <v>10</v>
      </c>
      <c r="CI107" s="25">
        <v>10</v>
      </c>
      <c r="CJ107" s="25">
        <v>10</v>
      </c>
      <c r="CK107" s="25">
        <v>10</v>
      </c>
      <c r="CL107" s="25">
        <v>10</v>
      </c>
      <c r="CM107" s="25">
        <v>10</v>
      </c>
      <c r="CN107" s="25">
        <v>10</v>
      </c>
      <c r="CO107" s="25">
        <v>10</v>
      </c>
      <c r="CP107" s="25">
        <v>10</v>
      </c>
      <c r="CQ107" s="25">
        <v>10</v>
      </c>
      <c r="CR107" s="25">
        <v>10</v>
      </c>
      <c r="CS107" s="25">
        <v>10</v>
      </c>
      <c r="CT107" s="25">
        <v>10</v>
      </c>
      <c r="CU107" s="25">
        <v>10</v>
      </c>
      <c r="CV107" s="25">
        <v>10</v>
      </c>
      <c r="CW107" s="25">
        <v>10</v>
      </c>
      <c r="CX107" s="23" t="s">
        <v>65</v>
      </c>
    </row>
    <row r="108" spans="2:102" x14ac:dyDescent="0.25">
      <c r="B108" s="26">
        <f>SUM(L108:CW108)</f>
      </c>
      <c r="D108" s="27">
        <f>B108*E108</f>
      </c>
      <c r="E108" s="27">
        <f>'Rate Tables'!C15</f>
      </c>
      <c r="F108" s="8" t="s">
        <v>39</v>
      </c>
      <c r="L108" s="26">
        <f>IF(L$6="","",IF(WEEKDAY(L$6,1)=1,0,MIN(8,L107)*L106))</f>
      </c>
      <c r="M108" s="26">
        <f>IF(M$6="","",IF(WEEKDAY(M$6,1)=1,0,MIN(8,M107)*M106))</f>
      </c>
      <c r="N108" s="26">
        <f>IF(N$6="","",IF(WEEKDAY(N$6,1)=1,0,MIN(8,N107)*N106))</f>
      </c>
      <c r="O108" s="26">
        <f>IF(O$6="","",IF(WEEKDAY(O$6,1)=1,0,MIN(8,O107)*O106))</f>
      </c>
      <c r="P108" s="26">
        <f>IF(P$6="","",IF(WEEKDAY(P$6,1)=1,0,MIN(8,P107)*P106))</f>
      </c>
      <c r="Q108" s="26">
        <f>IF(Q$6="","",IF(WEEKDAY(Q$6,1)=1,0,MIN(8,Q107)*Q106))</f>
      </c>
      <c r="R108" s="26">
        <f>IF(R$6="","",IF(WEEKDAY(R$6,1)=1,0,MIN(8,R107)*R106))</f>
      </c>
      <c r="S108" s="26">
        <f>IF(S$6="","",IF(WEEKDAY(S$6,1)=1,0,MIN(8,S107)*S106))</f>
      </c>
      <c r="T108" s="26">
        <f>IF(T$6="","",IF(WEEKDAY(T$6,1)=1,0,MIN(8,T107)*T106))</f>
      </c>
      <c r="U108" s="26">
        <f>IF(U$6="","",IF(WEEKDAY(U$6,1)=1,0,MIN(8,U107)*U106))</f>
      </c>
      <c r="V108" s="26">
        <f>IF(V$6="","",IF(WEEKDAY(V$6,1)=1,0,MIN(8,V107)*V106))</f>
      </c>
      <c r="W108" s="26">
        <f>IF(W$6="","",IF(WEEKDAY(W$6,1)=1,0,MIN(8,W107)*W106))</f>
      </c>
      <c r="X108" s="26">
        <f>IF(X$6="","",IF(WEEKDAY(X$6,1)=1,0,MIN(8,X107)*X106))</f>
      </c>
      <c r="Y108" s="26">
        <f>IF(Y$6="","",IF(WEEKDAY(Y$6,1)=1,0,MIN(8,Y107)*Y106))</f>
      </c>
      <c r="Z108" s="26">
        <f>IF(Z$6="","",IF(WEEKDAY(Z$6,1)=1,0,MIN(8,Z107)*Z106))</f>
      </c>
      <c r="AA108" s="26">
        <f>IF(AA$6="","",IF(WEEKDAY(AA$6,1)=1,0,MIN(8,AA107)*AA106))</f>
      </c>
      <c r="AB108" s="26">
        <f>IF(AB$6="","",IF(WEEKDAY(AB$6,1)=1,0,MIN(8,AB107)*AB106))</f>
      </c>
      <c r="AC108" s="26">
        <f>IF(AC$6="","",IF(WEEKDAY(AC$6,1)=1,0,MIN(8,AC107)*AC106))</f>
      </c>
      <c r="AD108" s="26">
        <f>IF(AD$6="","",IF(WEEKDAY(AD$6,1)=1,0,MIN(8,AD107)*AD106))</f>
      </c>
      <c r="AE108" s="26">
        <f>IF(AE$6="","",IF(WEEKDAY(AE$6,1)=1,0,MIN(8,AE107)*AE106))</f>
      </c>
      <c r="AF108" s="26">
        <f>IF(AF$6="","",IF(WEEKDAY(AF$6,1)=1,0,MIN(8,AF107)*AF106))</f>
      </c>
      <c r="AG108" s="26">
        <f>IF(AG$6="","",IF(WEEKDAY(AG$6,1)=1,0,MIN(8,AG107)*AG106))</f>
      </c>
      <c r="AH108" s="26">
        <f>IF(AH$6="","",IF(WEEKDAY(AH$6,1)=1,0,MIN(8,AH107)*AH106))</f>
      </c>
      <c r="AI108" s="26">
        <f>IF(AI$6="","",IF(WEEKDAY(AI$6,1)=1,0,MIN(8,AI107)*AI106))</f>
      </c>
      <c r="AJ108" s="26">
        <f>IF(AJ$6="","",IF(WEEKDAY(AJ$6,1)=1,0,MIN(8,AJ107)*AJ106))</f>
      </c>
      <c r="AK108" s="26">
        <f>IF(AK$6="","",IF(WEEKDAY(AK$6,1)=1,0,MIN(8,AK107)*AK106))</f>
      </c>
      <c r="AL108" s="26">
        <f>IF(AL$6="","",IF(WEEKDAY(AL$6,1)=1,0,MIN(8,AL107)*AL106))</f>
      </c>
      <c r="AM108" s="26">
        <f>IF(AM$6="","",IF(WEEKDAY(AM$6,1)=1,0,MIN(8,AM107)*AM106))</f>
      </c>
      <c r="AN108" s="26">
        <f>IF(AN$6="","",IF(WEEKDAY(AN$6,1)=1,0,MIN(8,AN107)*AN106))</f>
      </c>
      <c r="AO108" s="26">
        <f>IF(AO$6="","",IF(WEEKDAY(AO$6,1)=1,0,MIN(8,AO107)*AO106))</f>
      </c>
      <c r="AP108" s="26">
        <f>IF(AP$6="","",IF(WEEKDAY(AP$6,1)=1,0,MIN(8,AP107)*AP106))</f>
      </c>
      <c r="AQ108" s="26">
        <f>IF(AQ$6="","",IF(WEEKDAY(AQ$6,1)=1,0,MIN(8,AQ107)*AQ106))</f>
      </c>
      <c r="AR108" s="26">
        <f>IF(AR$6="","",IF(WEEKDAY(AR$6,1)=1,0,MIN(8,AR107)*AR106))</f>
      </c>
      <c r="AS108" s="26">
        <f>IF(AS$6="","",IF(WEEKDAY(AS$6,1)=1,0,MIN(8,AS107)*AS106))</f>
      </c>
      <c r="AT108" s="26">
        <f>IF(AT$6="","",IF(WEEKDAY(AT$6,1)=1,0,MIN(8,AT107)*AT106))</f>
      </c>
      <c r="AU108" s="26">
        <f>IF(AU$6="","",IF(WEEKDAY(AU$6,1)=1,0,MIN(8,AU107)*AU106))</f>
      </c>
      <c r="AV108" s="26">
        <f>IF(AV$6="","",IF(WEEKDAY(AV$6,1)=1,0,MIN(8,AV107)*AV106))</f>
      </c>
      <c r="AW108" s="26">
        <f>IF(AW$6="","",IF(WEEKDAY(AW$6,1)=1,0,MIN(8,AW107)*AW106))</f>
      </c>
      <c r="AX108" s="26">
        <f>IF(AX$6="","",IF(WEEKDAY(AX$6,1)=1,0,MIN(8,AX107)*AX106))</f>
      </c>
      <c r="AY108" s="26">
        <f>IF(AY$6="","",IF(WEEKDAY(AY$6,1)=1,0,MIN(8,AY107)*AY106))</f>
      </c>
      <c r="AZ108" s="26">
        <f>IF(AZ$6="","",IF(WEEKDAY(AZ$6,1)=1,0,MIN(8,AZ107)*AZ106))</f>
      </c>
      <c r="BA108" s="26">
        <f>IF(BA$6="","",IF(WEEKDAY(BA$6,1)=1,0,MIN(8,BA107)*BA106))</f>
      </c>
      <c r="BB108" s="26">
        <f>IF(BB$6="","",IF(WEEKDAY(BB$6,1)=1,0,MIN(8,BB107)*BB106))</f>
      </c>
      <c r="BC108" s="26">
        <f>IF(BC$6="","",IF(WEEKDAY(BC$6,1)=1,0,MIN(8,BC107)*BC106))</f>
      </c>
      <c r="BD108" s="26">
        <f>IF(BD$6="","",IF(WEEKDAY(BD$6,1)=1,0,MIN(8,BD107)*BD106))</f>
      </c>
      <c r="BE108" s="26">
        <f>IF(BE$6="","",IF(WEEKDAY(BE$6,1)=1,0,MIN(8,BE107)*BE106))</f>
      </c>
      <c r="BF108" s="26">
        <f>IF(BF$6="","",IF(WEEKDAY(BF$6,1)=1,0,MIN(8,BF107)*BF106))</f>
      </c>
      <c r="BG108" s="26">
        <f>IF(BG$6="","",IF(WEEKDAY(BG$6,1)=1,0,MIN(8,BG107)*BG106))</f>
      </c>
      <c r="BH108" s="26">
        <f>IF(BH$6="","",IF(WEEKDAY(BH$6,1)=1,0,MIN(8,BH107)*BH106))</f>
      </c>
      <c r="BI108" s="26">
        <f>IF(BI$6="","",IF(WEEKDAY(BI$6,1)=1,0,MIN(8,BI107)*BI106))</f>
      </c>
      <c r="BJ108" s="26">
        <f>IF(BJ$6="","",IF(WEEKDAY(BJ$6,1)=1,0,MIN(8,BJ107)*BJ106))</f>
      </c>
      <c r="BK108" s="26">
        <f>IF(BK$6="","",IF(WEEKDAY(BK$6,1)=1,0,MIN(8,BK107)*BK106))</f>
      </c>
      <c r="BL108" s="26">
        <f>IF(BL$6="","",IF(WEEKDAY(BL$6,1)=1,0,MIN(8,BL107)*BL106))</f>
      </c>
      <c r="BM108" s="26">
        <f>IF(BM$6="","",IF(WEEKDAY(BM$6,1)=1,0,MIN(8,BM107)*BM106))</f>
      </c>
      <c r="BN108" s="26">
        <f>IF(BN$6="","",IF(WEEKDAY(BN$6,1)=1,0,MIN(8,BN107)*BN106))</f>
      </c>
      <c r="BO108" s="26">
        <f>IF(BO$6="","",IF(WEEKDAY(BO$6,1)=1,0,MIN(8,BO107)*BO106))</f>
      </c>
      <c r="BP108" s="26">
        <f>IF(BP$6="","",IF(WEEKDAY(BP$6,1)=1,0,MIN(8,BP107)*BP106))</f>
      </c>
      <c r="BQ108" s="26">
        <f>IF(BQ$6="","",IF(WEEKDAY(BQ$6,1)=1,0,MIN(8,BQ107)*BQ106))</f>
      </c>
      <c r="BR108" s="26">
        <f>IF(BR$6="","",IF(WEEKDAY(BR$6,1)=1,0,MIN(8,BR107)*BR106))</f>
      </c>
      <c r="BS108" s="26">
        <f>IF(BS$6="","",IF(WEEKDAY(BS$6,1)=1,0,MIN(8,BS107)*BS106))</f>
      </c>
      <c r="BT108" s="26">
        <f>IF(BT$6="","",IF(WEEKDAY(BT$6,1)=1,0,MIN(8,BT107)*BT106))</f>
      </c>
      <c r="BU108" s="26">
        <f>IF(BU$6="","",IF(WEEKDAY(BU$6,1)=1,0,MIN(8,BU107)*BU106))</f>
      </c>
      <c r="BV108" s="26">
        <f>IF(BV$6="","",IF(WEEKDAY(BV$6,1)=1,0,MIN(8,BV107)*BV106))</f>
      </c>
      <c r="BW108" s="26">
        <f>IF(BW$6="","",IF(WEEKDAY(BW$6,1)=1,0,MIN(8,BW107)*BW106))</f>
      </c>
      <c r="BX108" s="26">
        <f>IF(BX$6="","",IF(WEEKDAY(BX$6,1)=1,0,MIN(8,BX107)*BX106))</f>
      </c>
      <c r="BY108" s="26">
        <f>IF(BY$6="","",IF(WEEKDAY(BY$6,1)=1,0,MIN(8,BY107)*BY106))</f>
      </c>
      <c r="BZ108" s="26">
        <f>IF(BZ$6="","",IF(WEEKDAY(BZ$6,1)=1,0,MIN(8,BZ107)*BZ106))</f>
      </c>
      <c r="CA108" s="26">
        <f>IF(CA$6="","",IF(WEEKDAY(CA$6,1)=1,0,MIN(8,CA107)*CA106))</f>
      </c>
      <c r="CB108" s="26">
        <f>IF(CB$6="","",IF(WEEKDAY(CB$6,1)=1,0,MIN(8,CB107)*CB106))</f>
      </c>
      <c r="CC108" s="26">
        <f>IF(CC$6="","",IF(WEEKDAY(CC$6,1)=1,0,MIN(8,CC107)*CC106))</f>
      </c>
      <c r="CD108" s="26">
        <f>IF(CD$6="","",IF(WEEKDAY(CD$6,1)=1,0,MIN(8,CD107)*CD106))</f>
      </c>
      <c r="CE108" s="26">
        <f>IF(CE$6="","",IF(WEEKDAY(CE$6,1)=1,0,MIN(8,CE107)*CE106))</f>
      </c>
      <c r="CF108" s="26">
        <f>IF(CF$6="","",IF(WEEKDAY(CF$6,1)=1,0,MIN(8,CF107)*CF106))</f>
      </c>
      <c r="CG108" s="26">
        <f>IF(CG$6="","",IF(WEEKDAY(CG$6,1)=1,0,MIN(8,CG107)*CG106))</f>
      </c>
      <c r="CH108" s="26">
        <f>IF(CH$6="","",IF(WEEKDAY(CH$6,1)=1,0,MIN(8,CH107)*CH106))</f>
      </c>
      <c r="CI108" s="26">
        <f>IF(CI$6="","",IF(WEEKDAY(CI$6,1)=1,0,MIN(8,CI107)*CI106))</f>
      </c>
      <c r="CJ108" s="26">
        <f>IF(CJ$6="","",IF(WEEKDAY(CJ$6,1)=1,0,MIN(8,CJ107)*CJ106))</f>
      </c>
      <c r="CK108" s="26">
        <f>IF(CK$6="","",IF(WEEKDAY(CK$6,1)=1,0,MIN(8,CK107)*CK106))</f>
      </c>
      <c r="CL108" s="26">
        <f>IF(CL$6="","",IF(WEEKDAY(CL$6,1)=1,0,MIN(8,CL107)*CL106))</f>
      </c>
      <c r="CM108" s="26">
        <f>IF(CM$6="","",IF(WEEKDAY(CM$6,1)=1,0,MIN(8,CM107)*CM106))</f>
      </c>
      <c r="CN108" s="26">
        <f>IF(CN$6="","",IF(WEEKDAY(CN$6,1)=1,0,MIN(8,CN107)*CN106))</f>
      </c>
      <c r="CO108" s="26">
        <f>IF(CO$6="","",IF(WEEKDAY(CO$6,1)=1,0,MIN(8,CO107)*CO106))</f>
      </c>
      <c r="CP108" s="26">
        <f>IF(CP$6="","",IF(WEEKDAY(CP$6,1)=1,0,MIN(8,CP107)*CP106))</f>
      </c>
      <c r="CQ108" s="26">
        <f>IF(CQ$6="","",IF(WEEKDAY(CQ$6,1)=1,0,MIN(8,CQ107)*CQ106))</f>
      </c>
      <c r="CR108" s="26">
        <f>IF(CR$6="","",IF(WEEKDAY(CR$6,1)=1,0,MIN(8,CR107)*CR106))</f>
      </c>
      <c r="CS108" s="26">
        <f>IF(CS$6="","",IF(WEEKDAY(CS$6,1)=1,0,MIN(8,CS107)*CS106))</f>
      </c>
      <c r="CT108" s="26">
        <f>IF(CT$6="","",IF(WEEKDAY(CT$6,1)=1,0,MIN(8,CT107)*CT106))</f>
      </c>
      <c r="CU108" s="26">
        <f>IF(CU$6="","",IF(WEEKDAY(CU$6,1)=1,0,MIN(8,CU107)*CU106))</f>
      </c>
      <c r="CV108" s="26">
        <f>IF(CV$6="","",IF(WEEKDAY(CV$6,1)=1,0,MIN(8,CV107)*CV106))</f>
      </c>
      <c r="CW108" s="26">
        <f>IF(CW$6="","",IF(WEEKDAY(CW$6,1)=1,0,MIN(8,CW107)*CW106))</f>
      </c>
      <c r="CX108" s="8" t="s">
        <v>65</v>
      </c>
    </row>
    <row r="109" spans="2:102" x14ac:dyDescent="0.25">
      <c r="B109" s="26">
        <f>SUM(L109:CW109)</f>
      </c>
      <c r="D109" s="27">
        <f>B109*E109</f>
      </c>
      <c r="E109" s="27">
        <f>'Rate Tables'!D15</f>
      </c>
      <c r="F109" s="8" t="s">
        <v>40</v>
      </c>
      <c r="L109" s="26">
        <f>IF(L$6="","",IF(WEEKDAY(L$6,1)=1,0,MAX(0,L107-8)*L106))</f>
      </c>
      <c r="M109" s="26">
        <f>IF(M$6="","",IF(WEEKDAY(M$6,1)=1,0,MAX(0,M107-8)*M106))</f>
      </c>
      <c r="N109" s="26">
        <f>IF(N$6="","",IF(WEEKDAY(N$6,1)=1,0,MAX(0,N107-8)*N106))</f>
      </c>
      <c r="O109" s="26">
        <f>IF(O$6="","",IF(WEEKDAY(O$6,1)=1,0,MAX(0,O107-8)*O106))</f>
      </c>
      <c r="P109" s="26">
        <f>IF(P$6="","",IF(WEEKDAY(P$6,1)=1,0,MAX(0,P107-8)*P106))</f>
      </c>
      <c r="Q109" s="26">
        <f>IF(Q$6="","",IF(WEEKDAY(Q$6,1)=1,0,MAX(0,Q107-8)*Q106))</f>
      </c>
      <c r="R109" s="26">
        <f>IF(R$6="","",IF(WEEKDAY(R$6,1)=1,0,MAX(0,R107-8)*R106))</f>
      </c>
      <c r="S109" s="26">
        <f>IF(S$6="","",IF(WEEKDAY(S$6,1)=1,0,MAX(0,S107-8)*S106))</f>
      </c>
      <c r="T109" s="26">
        <f>IF(T$6="","",IF(WEEKDAY(T$6,1)=1,0,MAX(0,T107-8)*T106))</f>
      </c>
      <c r="U109" s="26">
        <f>IF(U$6="","",IF(WEEKDAY(U$6,1)=1,0,MAX(0,U107-8)*U106))</f>
      </c>
      <c r="V109" s="26">
        <f>IF(V$6="","",IF(WEEKDAY(V$6,1)=1,0,MAX(0,V107-8)*V106))</f>
      </c>
      <c r="W109" s="26">
        <f>IF(W$6="","",IF(WEEKDAY(W$6,1)=1,0,MAX(0,W107-8)*W106))</f>
      </c>
      <c r="X109" s="26">
        <f>IF(X$6="","",IF(WEEKDAY(X$6,1)=1,0,MAX(0,X107-8)*X106))</f>
      </c>
      <c r="Y109" s="26">
        <f>IF(Y$6="","",IF(WEEKDAY(Y$6,1)=1,0,MAX(0,Y107-8)*Y106))</f>
      </c>
      <c r="Z109" s="26">
        <f>IF(Z$6="","",IF(WEEKDAY(Z$6,1)=1,0,MAX(0,Z107-8)*Z106))</f>
      </c>
      <c r="AA109" s="26">
        <f>IF(AA$6="","",IF(WEEKDAY(AA$6,1)=1,0,MAX(0,AA107-8)*AA106))</f>
      </c>
      <c r="AB109" s="26">
        <f>IF(AB$6="","",IF(WEEKDAY(AB$6,1)=1,0,MAX(0,AB107-8)*AB106))</f>
      </c>
      <c r="AC109" s="26">
        <f>IF(AC$6="","",IF(WEEKDAY(AC$6,1)=1,0,MAX(0,AC107-8)*AC106))</f>
      </c>
      <c r="AD109" s="26">
        <f>IF(AD$6="","",IF(WEEKDAY(AD$6,1)=1,0,MAX(0,AD107-8)*AD106))</f>
      </c>
      <c r="AE109" s="26">
        <f>IF(AE$6="","",IF(WEEKDAY(AE$6,1)=1,0,MAX(0,AE107-8)*AE106))</f>
      </c>
      <c r="AF109" s="26">
        <f>IF(AF$6="","",IF(WEEKDAY(AF$6,1)=1,0,MAX(0,AF107-8)*AF106))</f>
      </c>
      <c r="AG109" s="26">
        <f>IF(AG$6="","",IF(WEEKDAY(AG$6,1)=1,0,MAX(0,AG107-8)*AG106))</f>
      </c>
      <c r="AH109" s="26">
        <f>IF(AH$6="","",IF(WEEKDAY(AH$6,1)=1,0,MAX(0,AH107-8)*AH106))</f>
      </c>
      <c r="AI109" s="26">
        <f>IF(AI$6="","",IF(WEEKDAY(AI$6,1)=1,0,MAX(0,AI107-8)*AI106))</f>
      </c>
      <c r="AJ109" s="26">
        <f>IF(AJ$6="","",IF(WEEKDAY(AJ$6,1)=1,0,MAX(0,AJ107-8)*AJ106))</f>
      </c>
      <c r="AK109" s="26">
        <f>IF(AK$6="","",IF(WEEKDAY(AK$6,1)=1,0,MAX(0,AK107-8)*AK106))</f>
      </c>
      <c r="AL109" s="26">
        <f>IF(AL$6="","",IF(WEEKDAY(AL$6,1)=1,0,MAX(0,AL107-8)*AL106))</f>
      </c>
      <c r="AM109" s="26">
        <f>IF(AM$6="","",IF(WEEKDAY(AM$6,1)=1,0,MAX(0,AM107-8)*AM106))</f>
      </c>
      <c r="AN109" s="26">
        <f>IF(AN$6="","",IF(WEEKDAY(AN$6,1)=1,0,MAX(0,AN107-8)*AN106))</f>
      </c>
      <c r="AO109" s="26">
        <f>IF(AO$6="","",IF(WEEKDAY(AO$6,1)=1,0,MAX(0,AO107-8)*AO106))</f>
      </c>
      <c r="AP109" s="26">
        <f>IF(AP$6="","",IF(WEEKDAY(AP$6,1)=1,0,MAX(0,AP107-8)*AP106))</f>
      </c>
      <c r="AQ109" s="26">
        <f>IF(AQ$6="","",IF(WEEKDAY(AQ$6,1)=1,0,MAX(0,AQ107-8)*AQ106))</f>
      </c>
      <c r="AR109" s="26">
        <f>IF(AR$6="","",IF(WEEKDAY(AR$6,1)=1,0,MAX(0,AR107-8)*AR106))</f>
      </c>
      <c r="AS109" s="26">
        <f>IF(AS$6="","",IF(WEEKDAY(AS$6,1)=1,0,MAX(0,AS107-8)*AS106))</f>
      </c>
      <c r="AT109" s="26">
        <f>IF(AT$6="","",IF(WEEKDAY(AT$6,1)=1,0,MAX(0,AT107-8)*AT106))</f>
      </c>
      <c r="AU109" s="26">
        <f>IF(AU$6="","",IF(WEEKDAY(AU$6,1)=1,0,MAX(0,AU107-8)*AU106))</f>
      </c>
      <c r="AV109" s="26">
        <f>IF(AV$6="","",IF(WEEKDAY(AV$6,1)=1,0,MAX(0,AV107-8)*AV106))</f>
      </c>
      <c r="AW109" s="26">
        <f>IF(AW$6="","",IF(WEEKDAY(AW$6,1)=1,0,MAX(0,AW107-8)*AW106))</f>
      </c>
      <c r="AX109" s="26">
        <f>IF(AX$6="","",IF(WEEKDAY(AX$6,1)=1,0,MAX(0,AX107-8)*AX106))</f>
      </c>
      <c r="AY109" s="26">
        <f>IF(AY$6="","",IF(WEEKDAY(AY$6,1)=1,0,MAX(0,AY107-8)*AY106))</f>
      </c>
      <c r="AZ109" s="26">
        <f>IF(AZ$6="","",IF(WEEKDAY(AZ$6,1)=1,0,MAX(0,AZ107-8)*AZ106))</f>
      </c>
      <c r="BA109" s="26">
        <f>IF(BA$6="","",IF(WEEKDAY(BA$6,1)=1,0,MAX(0,BA107-8)*BA106))</f>
      </c>
      <c r="BB109" s="26">
        <f>IF(BB$6="","",IF(WEEKDAY(BB$6,1)=1,0,MAX(0,BB107-8)*BB106))</f>
      </c>
      <c r="BC109" s="26">
        <f>IF(BC$6="","",IF(WEEKDAY(BC$6,1)=1,0,MAX(0,BC107-8)*BC106))</f>
      </c>
      <c r="BD109" s="26">
        <f>IF(BD$6="","",IF(WEEKDAY(BD$6,1)=1,0,MAX(0,BD107-8)*BD106))</f>
      </c>
      <c r="BE109" s="26">
        <f>IF(BE$6="","",IF(WEEKDAY(BE$6,1)=1,0,MAX(0,BE107-8)*BE106))</f>
      </c>
      <c r="BF109" s="26">
        <f>IF(BF$6="","",IF(WEEKDAY(BF$6,1)=1,0,MAX(0,BF107-8)*BF106))</f>
      </c>
      <c r="BG109" s="26">
        <f>IF(BG$6="","",IF(WEEKDAY(BG$6,1)=1,0,MAX(0,BG107-8)*BG106))</f>
      </c>
      <c r="BH109" s="26">
        <f>IF(BH$6="","",IF(WEEKDAY(BH$6,1)=1,0,MAX(0,BH107-8)*BH106))</f>
      </c>
      <c r="BI109" s="26">
        <f>IF(BI$6="","",IF(WEEKDAY(BI$6,1)=1,0,MAX(0,BI107-8)*BI106))</f>
      </c>
      <c r="BJ109" s="26">
        <f>IF(BJ$6="","",IF(WEEKDAY(BJ$6,1)=1,0,MAX(0,BJ107-8)*BJ106))</f>
      </c>
      <c r="BK109" s="26">
        <f>IF(BK$6="","",IF(WEEKDAY(BK$6,1)=1,0,MAX(0,BK107-8)*BK106))</f>
      </c>
      <c r="BL109" s="26">
        <f>IF(BL$6="","",IF(WEEKDAY(BL$6,1)=1,0,MAX(0,BL107-8)*BL106))</f>
      </c>
      <c r="BM109" s="26">
        <f>IF(BM$6="","",IF(WEEKDAY(BM$6,1)=1,0,MAX(0,BM107-8)*BM106))</f>
      </c>
      <c r="BN109" s="26">
        <f>IF(BN$6="","",IF(WEEKDAY(BN$6,1)=1,0,MAX(0,BN107-8)*BN106))</f>
      </c>
      <c r="BO109" s="26">
        <f>IF(BO$6="","",IF(WEEKDAY(BO$6,1)=1,0,MAX(0,BO107-8)*BO106))</f>
      </c>
      <c r="BP109" s="26">
        <f>IF(BP$6="","",IF(WEEKDAY(BP$6,1)=1,0,MAX(0,BP107-8)*BP106))</f>
      </c>
      <c r="BQ109" s="26">
        <f>IF(BQ$6="","",IF(WEEKDAY(BQ$6,1)=1,0,MAX(0,BQ107-8)*BQ106))</f>
      </c>
      <c r="BR109" s="26">
        <f>IF(BR$6="","",IF(WEEKDAY(BR$6,1)=1,0,MAX(0,BR107-8)*BR106))</f>
      </c>
      <c r="BS109" s="26">
        <f>IF(BS$6="","",IF(WEEKDAY(BS$6,1)=1,0,MAX(0,BS107-8)*BS106))</f>
      </c>
      <c r="BT109" s="26">
        <f>IF(BT$6="","",IF(WEEKDAY(BT$6,1)=1,0,MAX(0,BT107-8)*BT106))</f>
      </c>
      <c r="BU109" s="26">
        <f>IF(BU$6="","",IF(WEEKDAY(BU$6,1)=1,0,MAX(0,BU107-8)*BU106))</f>
      </c>
      <c r="BV109" s="26">
        <f>IF(BV$6="","",IF(WEEKDAY(BV$6,1)=1,0,MAX(0,BV107-8)*BV106))</f>
      </c>
      <c r="BW109" s="26">
        <f>IF(BW$6="","",IF(WEEKDAY(BW$6,1)=1,0,MAX(0,BW107-8)*BW106))</f>
      </c>
      <c r="BX109" s="26">
        <f>IF(BX$6="","",IF(WEEKDAY(BX$6,1)=1,0,MAX(0,BX107-8)*BX106))</f>
      </c>
      <c r="BY109" s="26">
        <f>IF(BY$6="","",IF(WEEKDAY(BY$6,1)=1,0,MAX(0,BY107-8)*BY106))</f>
      </c>
      <c r="BZ109" s="26">
        <f>IF(BZ$6="","",IF(WEEKDAY(BZ$6,1)=1,0,MAX(0,BZ107-8)*BZ106))</f>
      </c>
      <c r="CA109" s="26">
        <f>IF(CA$6="","",IF(WEEKDAY(CA$6,1)=1,0,MAX(0,CA107-8)*CA106))</f>
      </c>
      <c r="CB109" s="26">
        <f>IF(CB$6="","",IF(WEEKDAY(CB$6,1)=1,0,MAX(0,CB107-8)*CB106))</f>
      </c>
      <c r="CC109" s="26">
        <f>IF(CC$6="","",IF(WEEKDAY(CC$6,1)=1,0,MAX(0,CC107-8)*CC106))</f>
      </c>
      <c r="CD109" s="26">
        <f>IF(CD$6="","",IF(WEEKDAY(CD$6,1)=1,0,MAX(0,CD107-8)*CD106))</f>
      </c>
      <c r="CE109" s="26">
        <f>IF(CE$6="","",IF(WEEKDAY(CE$6,1)=1,0,MAX(0,CE107-8)*CE106))</f>
      </c>
      <c r="CF109" s="26">
        <f>IF(CF$6="","",IF(WEEKDAY(CF$6,1)=1,0,MAX(0,CF107-8)*CF106))</f>
      </c>
      <c r="CG109" s="26">
        <f>IF(CG$6="","",IF(WEEKDAY(CG$6,1)=1,0,MAX(0,CG107-8)*CG106))</f>
      </c>
      <c r="CH109" s="26">
        <f>IF(CH$6="","",IF(WEEKDAY(CH$6,1)=1,0,MAX(0,CH107-8)*CH106))</f>
      </c>
      <c r="CI109" s="26">
        <f>IF(CI$6="","",IF(WEEKDAY(CI$6,1)=1,0,MAX(0,CI107-8)*CI106))</f>
      </c>
      <c r="CJ109" s="26">
        <f>IF(CJ$6="","",IF(WEEKDAY(CJ$6,1)=1,0,MAX(0,CJ107-8)*CJ106))</f>
      </c>
      <c r="CK109" s="26">
        <f>IF(CK$6="","",IF(WEEKDAY(CK$6,1)=1,0,MAX(0,CK107-8)*CK106))</f>
      </c>
      <c r="CL109" s="26">
        <f>IF(CL$6="","",IF(WEEKDAY(CL$6,1)=1,0,MAX(0,CL107-8)*CL106))</f>
      </c>
      <c r="CM109" s="26">
        <f>IF(CM$6="","",IF(WEEKDAY(CM$6,1)=1,0,MAX(0,CM107-8)*CM106))</f>
      </c>
      <c r="CN109" s="26">
        <f>IF(CN$6="","",IF(WEEKDAY(CN$6,1)=1,0,MAX(0,CN107-8)*CN106))</f>
      </c>
      <c r="CO109" s="26">
        <f>IF(CO$6="","",IF(WEEKDAY(CO$6,1)=1,0,MAX(0,CO107-8)*CO106))</f>
      </c>
      <c r="CP109" s="26">
        <f>IF(CP$6="","",IF(WEEKDAY(CP$6,1)=1,0,MAX(0,CP107-8)*CP106))</f>
      </c>
      <c r="CQ109" s="26">
        <f>IF(CQ$6="","",IF(WEEKDAY(CQ$6,1)=1,0,MAX(0,CQ107-8)*CQ106))</f>
      </c>
      <c r="CR109" s="26">
        <f>IF(CR$6="","",IF(WEEKDAY(CR$6,1)=1,0,MAX(0,CR107-8)*CR106))</f>
      </c>
      <c r="CS109" s="26">
        <f>IF(CS$6="","",IF(WEEKDAY(CS$6,1)=1,0,MAX(0,CS107-8)*CS106))</f>
      </c>
      <c r="CT109" s="26">
        <f>IF(CT$6="","",IF(WEEKDAY(CT$6,1)=1,0,MAX(0,CT107-8)*CT106))</f>
      </c>
      <c r="CU109" s="26">
        <f>IF(CU$6="","",IF(WEEKDAY(CU$6,1)=1,0,MAX(0,CU107-8)*CU106))</f>
      </c>
      <c r="CV109" s="26">
        <f>IF(CV$6="","",IF(WEEKDAY(CV$6,1)=1,0,MAX(0,CV107-8)*CV106))</f>
      </c>
      <c r="CW109" s="26">
        <f>IF(CW$6="","",IF(WEEKDAY(CW$6,1)=1,0,MAX(0,CW107-8)*CW106))</f>
      </c>
      <c r="CX109" s="8" t="s">
        <v>65</v>
      </c>
    </row>
    <row r="110" spans="2:102" x14ac:dyDescent="0.25">
      <c r="B110" s="26">
        <f>SUM(L110:CW110)</f>
      </c>
      <c r="D110" s="27">
        <f>B110*E110</f>
      </c>
      <c r="E110" s="27">
        <f>'Rate Tables'!E15</f>
      </c>
      <c r="F110" s="8" t="s">
        <v>41</v>
      </c>
      <c r="L110" s="26">
        <f>IF(L$6="","",IF(WEEKDAY(L$6,1)=1,L107*L106,0))</f>
      </c>
      <c r="M110" s="26">
        <f>IF(M$6="","",IF(WEEKDAY(M$6,1)=1,M107*M106,0))</f>
      </c>
      <c r="N110" s="26">
        <f>IF(N$6="","",IF(WEEKDAY(N$6,1)=1,N107*N106,0))</f>
      </c>
      <c r="O110" s="26">
        <f>IF(O$6="","",IF(WEEKDAY(O$6,1)=1,O107*O106,0))</f>
      </c>
      <c r="P110" s="26">
        <f>IF(P$6="","",IF(WEEKDAY(P$6,1)=1,P107*P106,0))</f>
      </c>
      <c r="Q110" s="26">
        <f>IF(Q$6="","",IF(WEEKDAY(Q$6,1)=1,Q107*Q106,0))</f>
      </c>
      <c r="R110" s="26">
        <f>IF(R$6="","",IF(WEEKDAY(R$6,1)=1,R107*R106,0))</f>
      </c>
      <c r="S110" s="26">
        <f>IF(S$6="","",IF(WEEKDAY(S$6,1)=1,S107*S106,0))</f>
      </c>
      <c r="T110" s="26">
        <f>IF(T$6="","",IF(WEEKDAY(T$6,1)=1,T107*T106,0))</f>
      </c>
      <c r="U110" s="26">
        <f>IF(U$6="","",IF(WEEKDAY(U$6,1)=1,U107*U106,0))</f>
      </c>
      <c r="V110" s="26">
        <f>IF(V$6="","",IF(WEEKDAY(V$6,1)=1,V107*V106,0))</f>
      </c>
      <c r="W110" s="26">
        <f>IF(W$6="","",IF(WEEKDAY(W$6,1)=1,W107*W106,0))</f>
      </c>
      <c r="X110" s="26">
        <f>IF(X$6="","",IF(WEEKDAY(X$6,1)=1,X107*X106,0))</f>
      </c>
      <c r="Y110" s="26">
        <f>IF(Y$6="","",IF(WEEKDAY(Y$6,1)=1,Y107*Y106,0))</f>
      </c>
      <c r="Z110" s="26">
        <f>IF(Z$6="","",IF(WEEKDAY(Z$6,1)=1,Z107*Z106,0))</f>
      </c>
      <c r="AA110" s="26">
        <f>IF(AA$6="","",IF(WEEKDAY(AA$6,1)=1,AA107*AA106,0))</f>
      </c>
      <c r="AB110" s="26">
        <f>IF(AB$6="","",IF(WEEKDAY(AB$6,1)=1,AB107*AB106,0))</f>
      </c>
      <c r="AC110" s="26">
        <f>IF(AC$6="","",IF(WEEKDAY(AC$6,1)=1,AC107*AC106,0))</f>
      </c>
      <c r="AD110" s="26">
        <f>IF(AD$6="","",IF(WEEKDAY(AD$6,1)=1,AD107*AD106,0))</f>
      </c>
      <c r="AE110" s="26">
        <f>IF(AE$6="","",IF(WEEKDAY(AE$6,1)=1,AE107*AE106,0))</f>
      </c>
      <c r="AF110" s="26">
        <f>IF(AF$6="","",IF(WEEKDAY(AF$6,1)=1,AF107*AF106,0))</f>
      </c>
      <c r="AG110" s="26">
        <f>IF(AG$6="","",IF(WEEKDAY(AG$6,1)=1,AG107*AG106,0))</f>
      </c>
      <c r="AH110" s="26">
        <f>IF(AH$6="","",IF(WEEKDAY(AH$6,1)=1,AH107*AH106,0))</f>
      </c>
      <c r="AI110" s="26">
        <f>IF(AI$6="","",IF(WEEKDAY(AI$6,1)=1,AI107*AI106,0))</f>
      </c>
      <c r="AJ110" s="26">
        <f>IF(AJ$6="","",IF(WEEKDAY(AJ$6,1)=1,AJ107*AJ106,0))</f>
      </c>
      <c r="AK110" s="26">
        <f>IF(AK$6="","",IF(WEEKDAY(AK$6,1)=1,AK107*AK106,0))</f>
      </c>
      <c r="AL110" s="26">
        <f>IF(AL$6="","",IF(WEEKDAY(AL$6,1)=1,AL107*AL106,0))</f>
      </c>
      <c r="AM110" s="26">
        <f>IF(AM$6="","",IF(WEEKDAY(AM$6,1)=1,AM107*AM106,0))</f>
      </c>
      <c r="AN110" s="26">
        <f>IF(AN$6="","",IF(WEEKDAY(AN$6,1)=1,AN107*AN106,0))</f>
      </c>
      <c r="AO110" s="26">
        <f>IF(AO$6="","",IF(WEEKDAY(AO$6,1)=1,AO107*AO106,0))</f>
      </c>
      <c r="AP110" s="26">
        <f>IF(AP$6="","",IF(WEEKDAY(AP$6,1)=1,AP107*AP106,0))</f>
      </c>
      <c r="AQ110" s="26">
        <f>IF(AQ$6="","",IF(WEEKDAY(AQ$6,1)=1,AQ107*AQ106,0))</f>
      </c>
      <c r="AR110" s="26">
        <f>IF(AR$6="","",IF(WEEKDAY(AR$6,1)=1,AR107*AR106,0))</f>
      </c>
      <c r="AS110" s="26">
        <f>IF(AS$6="","",IF(WEEKDAY(AS$6,1)=1,AS107*AS106,0))</f>
      </c>
      <c r="AT110" s="26">
        <f>IF(AT$6="","",IF(WEEKDAY(AT$6,1)=1,AT107*AT106,0))</f>
      </c>
      <c r="AU110" s="26">
        <f>IF(AU$6="","",IF(WEEKDAY(AU$6,1)=1,AU107*AU106,0))</f>
      </c>
      <c r="AV110" s="26">
        <f>IF(AV$6="","",IF(WEEKDAY(AV$6,1)=1,AV107*AV106,0))</f>
      </c>
      <c r="AW110" s="26">
        <f>IF(AW$6="","",IF(WEEKDAY(AW$6,1)=1,AW107*AW106,0))</f>
      </c>
      <c r="AX110" s="26">
        <f>IF(AX$6="","",IF(WEEKDAY(AX$6,1)=1,AX107*AX106,0))</f>
      </c>
      <c r="AY110" s="26">
        <f>IF(AY$6="","",IF(WEEKDAY(AY$6,1)=1,AY107*AY106,0))</f>
      </c>
      <c r="AZ110" s="26">
        <f>IF(AZ$6="","",IF(WEEKDAY(AZ$6,1)=1,AZ107*AZ106,0))</f>
      </c>
      <c r="BA110" s="26">
        <f>IF(BA$6="","",IF(WEEKDAY(BA$6,1)=1,BA107*BA106,0))</f>
      </c>
      <c r="BB110" s="26">
        <f>IF(BB$6="","",IF(WEEKDAY(BB$6,1)=1,BB107*BB106,0))</f>
      </c>
      <c r="BC110" s="26">
        <f>IF(BC$6="","",IF(WEEKDAY(BC$6,1)=1,BC107*BC106,0))</f>
      </c>
      <c r="BD110" s="26">
        <f>IF(BD$6="","",IF(WEEKDAY(BD$6,1)=1,BD107*BD106,0))</f>
      </c>
      <c r="BE110" s="26">
        <f>IF(BE$6="","",IF(WEEKDAY(BE$6,1)=1,BE107*BE106,0))</f>
      </c>
      <c r="BF110" s="26">
        <f>IF(BF$6="","",IF(WEEKDAY(BF$6,1)=1,BF107*BF106,0))</f>
      </c>
      <c r="BG110" s="26">
        <f>IF(BG$6="","",IF(WEEKDAY(BG$6,1)=1,BG107*BG106,0))</f>
      </c>
      <c r="BH110" s="26">
        <f>IF(BH$6="","",IF(WEEKDAY(BH$6,1)=1,BH107*BH106,0))</f>
      </c>
      <c r="BI110" s="26">
        <f>IF(BI$6="","",IF(WEEKDAY(BI$6,1)=1,BI107*BI106,0))</f>
      </c>
      <c r="BJ110" s="26">
        <f>IF(BJ$6="","",IF(WEEKDAY(BJ$6,1)=1,BJ107*BJ106,0))</f>
      </c>
      <c r="BK110" s="26">
        <f>IF(BK$6="","",IF(WEEKDAY(BK$6,1)=1,BK107*BK106,0))</f>
      </c>
      <c r="BL110" s="26">
        <f>IF(BL$6="","",IF(WEEKDAY(BL$6,1)=1,BL107*BL106,0))</f>
      </c>
      <c r="BM110" s="26">
        <f>IF(BM$6="","",IF(WEEKDAY(BM$6,1)=1,BM107*BM106,0))</f>
      </c>
      <c r="BN110" s="26">
        <f>IF(BN$6="","",IF(WEEKDAY(BN$6,1)=1,BN107*BN106,0))</f>
      </c>
      <c r="BO110" s="26">
        <f>IF(BO$6="","",IF(WEEKDAY(BO$6,1)=1,BO107*BO106,0))</f>
      </c>
      <c r="BP110" s="26">
        <f>IF(BP$6="","",IF(WEEKDAY(BP$6,1)=1,BP107*BP106,0))</f>
      </c>
      <c r="BQ110" s="26">
        <f>IF(BQ$6="","",IF(WEEKDAY(BQ$6,1)=1,BQ107*BQ106,0))</f>
      </c>
      <c r="BR110" s="26">
        <f>IF(BR$6="","",IF(WEEKDAY(BR$6,1)=1,BR107*BR106,0))</f>
      </c>
      <c r="BS110" s="26">
        <f>IF(BS$6="","",IF(WEEKDAY(BS$6,1)=1,BS107*BS106,0))</f>
      </c>
      <c r="BT110" s="26">
        <f>IF(BT$6="","",IF(WEEKDAY(BT$6,1)=1,BT107*BT106,0))</f>
      </c>
      <c r="BU110" s="26">
        <f>IF(BU$6="","",IF(WEEKDAY(BU$6,1)=1,BU107*BU106,0))</f>
      </c>
      <c r="BV110" s="26">
        <f>IF(BV$6="","",IF(WEEKDAY(BV$6,1)=1,BV107*BV106,0))</f>
      </c>
      <c r="BW110" s="26">
        <f>IF(BW$6="","",IF(WEEKDAY(BW$6,1)=1,BW107*BW106,0))</f>
      </c>
      <c r="BX110" s="26">
        <f>IF(BX$6="","",IF(WEEKDAY(BX$6,1)=1,BX107*BX106,0))</f>
      </c>
      <c r="BY110" s="26">
        <f>IF(BY$6="","",IF(WEEKDAY(BY$6,1)=1,BY107*BY106,0))</f>
      </c>
      <c r="BZ110" s="26">
        <f>IF(BZ$6="","",IF(WEEKDAY(BZ$6,1)=1,BZ107*BZ106,0))</f>
      </c>
      <c r="CA110" s="26">
        <f>IF(CA$6="","",IF(WEEKDAY(CA$6,1)=1,CA107*CA106,0))</f>
      </c>
      <c r="CB110" s="26">
        <f>IF(CB$6="","",IF(WEEKDAY(CB$6,1)=1,CB107*CB106,0))</f>
      </c>
      <c r="CC110" s="26">
        <f>IF(CC$6="","",IF(WEEKDAY(CC$6,1)=1,CC107*CC106,0))</f>
      </c>
      <c r="CD110" s="26">
        <f>IF(CD$6="","",IF(WEEKDAY(CD$6,1)=1,CD107*CD106,0))</f>
      </c>
      <c r="CE110" s="26">
        <f>IF(CE$6="","",IF(WEEKDAY(CE$6,1)=1,CE107*CE106,0))</f>
      </c>
      <c r="CF110" s="26">
        <f>IF(CF$6="","",IF(WEEKDAY(CF$6,1)=1,CF107*CF106,0))</f>
      </c>
      <c r="CG110" s="26">
        <f>IF(CG$6="","",IF(WEEKDAY(CG$6,1)=1,CG107*CG106,0))</f>
      </c>
      <c r="CH110" s="26">
        <f>IF(CH$6="","",IF(WEEKDAY(CH$6,1)=1,CH107*CH106,0))</f>
      </c>
      <c r="CI110" s="26">
        <f>IF(CI$6="","",IF(WEEKDAY(CI$6,1)=1,CI107*CI106,0))</f>
      </c>
      <c r="CJ110" s="26">
        <f>IF(CJ$6="","",IF(WEEKDAY(CJ$6,1)=1,CJ107*CJ106,0))</f>
      </c>
      <c r="CK110" s="26">
        <f>IF(CK$6="","",IF(WEEKDAY(CK$6,1)=1,CK107*CK106,0))</f>
      </c>
      <c r="CL110" s="26">
        <f>IF(CL$6="","",IF(WEEKDAY(CL$6,1)=1,CL107*CL106,0))</f>
      </c>
      <c r="CM110" s="26">
        <f>IF(CM$6="","",IF(WEEKDAY(CM$6,1)=1,CM107*CM106,0))</f>
      </c>
      <c r="CN110" s="26">
        <f>IF(CN$6="","",IF(WEEKDAY(CN$6,1)=1,CN107*CN106,0))</f>
      </c>
      <c r="CO110" s="26">
        <f>IF(CO$6="","",IF(WEEKDAY(CO$6,1)=1,CO107*CO106,0))</f>
      </c>
      <c r="CP110" s="26">
        <f>IF(CP$6="","",IF(WEEKDAY(CP$6,1)=1,CP107*CP106,0))</f>
      </c>
      <c r="CQ110" s="26">
        <f>IF(CQ$6="","",IF(WEEKDAY(CQ$6,1)=1,CQ107*CQ106,0))</f>
      </c>
      <c r="CR110" s="26">
        <f>IF(CR$6="","",IF(WEEKDAY(CR$6,1)=1,CR107*CR106,0))</f>
      </c>
      <c r="CS110" s="26">
        <f>IF(CS$6="","",IF(WEEKDAY(CS$6,1)=1,CS107*CS106,0))</f>
      </c>
      <c r="CT110" s="26">
        <f>IF(CT$6="","",IF(WEEKDAY(CT$6,1)=1,CT107*CT106,0))</f>
      </c>
      <c r="CU110" s="26">
        <f>IF(CU$6="","",IF(WEEKDAY(CU$6,1)=1,CU107*CU106,0))</f>
      </c>
      <c r="CV110" s="26">
        <f>IF(CV$6="","",IF(WEEKDAY(CV$6,1)=1,CV107*CV106,0))</f>
      </c>
      <c r="CW110" s="26">
        <f>IF(CW$6="","",IF(WEEKDAY(CW$6,1)=1,CW107*CW106,0))</f>
      </c>
      <c r="CX110" s="8" t="s">
        <v>65</v>
      </c>
    </row>
    <row r="111" spans="2:102" x14ac:dyDescent="0.25">
      <c r="B111" s="26">
        <f>SUM(L111:CW111)</f>
      </c>
      <c r="D111" s="27">
        <f>B111*E111</f>
      </c>
      <c r="E111" s="27">
        <v>140</v>
      </c>
      <c r="F111" s="8" t="s">
        <v>42</v>
      </c>
      <c r="L111" s="28">
        <v>0</v>
      </c>
      <c r="M111" s="28">
        <v>0</v>
      </c>
      <c r="N111" s="28">
        <v>0</v>
      </c>
      <c r="O111" s="28">
        <v>0</v>
      </c>
      <c r="P111" s="28">
        <v>0</v>
      </c>
      <c r="Q111" s="28">
        <v>0</v>
      </c>
      <c r="R111" s="28">
        <v>0</v>
      </c>
      <c r="S111" s="28">
        <v>0</v>
      </c>
      <c r="T111" s="28">
        <v>0</v>
      </c>
      <c r="U111" s="28">
        <v>0</v>
      </c>
      <c r="V111" s="28">
        <v>0</v>
      </c>
      <c r="W111" s="28">
        <v>0</v>
      </c>
      <c r="X111" s="28">
        <v>0</v>
      </c>
      <c r="Y111" s="28">
        <v>0</v>
      </c>
      <c r="Z111" s="28">
        <v>0</v>
      </c>
      <c r="AA111" s="28">
        <v>0</v>
      </c>
      <c r="AB111" s="28">
        <v>0</v>
      </c>
      <c r="AC111" s="28">
        <v>0</v>
      </c>
      <c r="AD111" s="28">
        <v>0</v>
      </c>
      <c r="AE111" s="28">
        <v>0</v>
      </c>
      <c r="AF111" s="28">
        <v>0</v>
      </c>
      <c r="AG111" s="28">
        <v>0</v>
      </c>
      <c r="AH111" s="28">
        <v>0</v>
      </c>
      <c r="AI111" s="28">
        <v>0</v>
      </c>
      <c r="AJ111" s="28">
        <v>0</v>
      </c>
      <c r="AK111" s="28">
        <v>0</v>
      </c>
      <c r="AL111" s="28">
        <v>0</v>
      </c>
      <c r="AM111" s="28">
        <v>0</v>
      </c>
      <c r="AN111" s="28">
        <v>0</v>
      </c>
      <c r="AO111" s="28">
        <v>0</v>
      </c>
      <c r="AP111" s="28">
        <v>0</v>
      </c>
      <c r="AQ111" s="28">
        <v>0</v>
      </c>
      <c r="AR111" s="28">
        <v>0</v>
      </c>
      <c r="AS111" s="28">
        <v>0</v>
      </c>
      <c r="AT111" s="28">
        <v>0</v>
      </c>
      <c r="AU111" s="28">
        <v>0</v>
      </c>
      <c r="AV111" s="28">
        <v>0</v>
      </c>
      <c r="AW111" s="28">
        <v>0</v>
      </c>
      <c r="AX111" s="28">
        <v>0</v>
      </c>
      <c r="AY111" s="28">
        <v>0</v>
      </c>
      <c r="AZ111" s="28">
        <v>0</v>
      </c>
      <c r="BA111" s="28">
        <v>0</v>
      </c>
      <c r="BB111" s="28">
        <v>0</v>
      </c>
      <c r="BC111" s="28">
        <v>0</v>
      </c>
      <c r="BD111" s="28">
        <v>0</v>
      </c>
      <c r="BE111" s="28">
        <v>0</v>
      </c>
      <c r="BF111" s="28">
        <v>0</v>
      </c>
      <c r="BG111" s="28">
        <v>0</v>
      </c>
      <c r="BH111" s="28">
        <v>0</v>
      </c>
      <c r="BI111" s="28">
        <v>1</v>
      </c>
      <c r="BJ111" s="28">
        <v>1</v>
      </c>
      <c r="BK111" s="28">
        <v>1</v>
      </c>
      <c r="BL111" s="28">
        <v>1</v>
      </c>
      <c r="BM111" s="28">
        <v>1</v>
      </c>
      <c r="BN111" s="28">
        <v>1</v>
      </c>
      <c r="BO111" s="28">
        <v>1</v>
      </c>
      <c r="BP111" s="28">
        <v>1</v>
      </c>
      <c r="BQ111" s="28">
        <v>1</v>
      </c>
      <c r="BR111" s="28">
        <v>1</v>
      </c>
      <c r="BS111" s="28">
        <v>1</v>
      </c>
      <c r="BT111" s="28">
        <v>1</v>
      </c>
      <c r="BU111" s="28">
        <v>1</v>
      </c>
      <c r="BV111" s="28">
        <v>1</v>
      </c>
      <c r="BW111" s="28">
        <v>1</v>
      </c>
      <c r="BX111" s="28">
        <v>1</v>
      </c>
      <c r="BY111" s="28">
        <v>1</v>
      </c>
      <c r="BZ111" s="28">
        <v>1</v>
      </c>
      <c r="CA111" s="28">
        <v>1</v>
      </c>
      <c r="CB111" s="28">
        <v>1</v>
      </c>
      <c r="CC111" s="28">
        <v>1</v>
      </c>
      <c r="CD111" s="28">
        <v>1</v>
      </c>
      <c r="CE111" s="28">
        <v>1</v>
      </c>
      <c r="CF111" s="28">
        <v>1</v>
      </c>
      <c r="CG111" s="28">
        <v>1</v>
      </c>
      <c r="CH111" s="28">
        <v>1</v>
      </c>
      <c r="CI111" s="28">
        <v>1</v>
      </c>
      <c r="CJ111" s="28">
        <v>1</v>
      </c>
      <c r="CK111" s="28">
        <v>1</v>
      </c>
      <c r="CL111" s="28">
        <v>1</v>
      </c>
      <c r="CM111" s="28">
        <v>1</v>
      </c>
      <c r="CN111" s="28">
        <v>1</v>
      </c>
      <c r="CO111" s="28">
        <v>1</v>
      </c>
      <c r="CP111" s="28">
        <v>1</v>
      </c>
      <c r="CQ111" s="28">
        <v>1</v>
      </c>
      <c r="CR111" s="28">
        <v>1</v>
      </c>
      <c r="CS111" s="28">
        <v>1</v>
      </c>
      <c r="CT111" s="28">
        <v>1</v>
      </c>
      <c r="CU111" s="28">
        <v>1</v>
      </c>
      <c r="CV111" s="28">
        <v>1</v>
      </c>
      <c r="CW111" s="28">
        <v>1</v>
      </c>
      <c r="CX111" s="8" t="s">
        <v>65</v>
      </c>
    </row>
    <row r="112" spans="1:102" x14ac:dyDescent="0.25">
      <c r="A112" s="20" t="s">
        <v>32</v>
      </c>
      <c r="B112" s="21">
        <f>G112+H112+I112</f>
      </c>
      <c r="C112" s="20" t="s">
        <v>66</v>
      </c>
      <c r="D112" s="22">
        <f>K112</f>
      </c>
      <c r="F112" s="20" t="s">
        <v>34</v>
      </c>
      <c r="G112" s="21">
        <f>B115</f>
      </c>
      <c r="H112" s="21">
        <f>B116</f>
      </c>
      <c r="I112" s="21">
        <f>B117</f>
      </c>
      <c r="J112" s="21">
        <f>B118</f>
      </c>
      <c r="K112" s="22">
        <f>D115+D116+D117</f>
      </c>
      <c r="CX112" s="20" t="s">
        <v>67</v>
      </c>
    </row>
    <row r="113" spans="6:102" x14ac:dyDescent="0.25">
      <c r="F113" s="23" t="s">
        <v>36</v>
      </c>
      <c r="L113" s="24">
        <v>1</v>
      </c>
      <c r="M113" s="24">
        <v>1</v>
      </c>
      <c r="N113" s="24">
        <v>1</v>
      </c>
      <c r="O113" s="24">
        <v>1</v>
      </c>
      <c r="P113" s="24">
        <v>1</v>
      </c>
      <c r="Q113" s="24">
        <v>0</v>
      </c>
      <c r="R113" s="24">
        <v>0</v>
      </c>
      <c r="S113" s="24">
        <v>1</v>
      </c>
      <c r="T113" s="24">
        <v>1</v>
      </c>
      <c r="U113" s="24">
        <v>1</v>
      </c>
      <c r="V113" s="24">
        <v>1</v>
      </c>
      <c r="W113" s="24">
        <v>1</v>
      </c>
      <c r="X113" s="24">
        <v>0</v>
      </c>
      <c r="Y113" s="24">
        <v>0</v>
      </c>
      <c r="Z113" s="24">
        <v>1</v>
      </c>
      <c r="AA113" s="24">
        <v>1</v>
      </c>
      <c r="AB113" s="24">
        <v>1</v>
      </c>
      <c r="AC113" s="24">
        <v>1</v>
      </c>
      <c r="AD113" s="24">
        <v>1</v>
      </c>
      <c r="AE113" s="24">
        <v>0</v>
      </c>
      <c r="AF113" s="24">
        <v>0</v>
      </c>
      <c r="AG113" s="24">
        <v>1</v>
      </c>
      <c r="AH113" s="24">
        <v>1</v>
      </c>
      <c r="AI113" s="24">
        <v>1</v>
      </c>
      <c r="AJ113" s="24">
        <v>1</v>
      </c>
      <c r="AK113" s="24">
        <v>1</v>
      </c>
      <c r="AL113" s="24">
        <v>0</v>
      </c>
      <c r="AM113" s="24">
        <v>0</v>
      </c>
      <c r="AN113" s="24">
        <v>1</v>
      </c>
      <c r="AO113" s="24">
        <v>1</v>
      </c>
      <c r="AP113" s="24">
        <v>1</v>
      </c>
      <c r="AQ113" s="24">
        <v>1</v>
      </c>
      <c r="AR113" s="24">
        <v>1</v>
      </c>
      <c r="AS113" s="24">
        <v>0</v>
      </c>
      <c r="AT113" s="24">
        <v>0</v>
      </c>
      <c r="AU113" s="24">
        <v>1</v>
      </c>
      <c r="AV113" s="24">
        <v>1</v>
      </c>
      <c r="AW113" s="24">
        <v>1</v>
      </c>
      <c r="AX113" s="24">
        <v>1</v>
      </c>
      <c r="AY113" s="24">
        <v>1</v>
      </c>
      <c r="AZ113" s="24">
        <v>0</v>
      </c>
      <c r="BA113" s="24">
        <v>0</v>
      </c>
      <c r="BB113" s="24">
        <v>1</v>
      </c>
      <c r="BC113" s="24">
        <v>1</v>
      </c>
      <c r="BD113" s="24">
        <v>1</v>
      </c>
      <c r="BE113" s="24">
        <v>1</v>
      </c>
      <c r="BF113" s="24">
        <v>1</v>
      </c>
      <c r="BG113" s="24">
        <v>0</v>
      </c>
      <c r="BH113" s="24">
        <v>0</v>
      </c>
      <c r="BI113" s="24">
        <v>1</v>
      </c>
      <c r="BJ113" s="24">
        <v>1</v>
      </c>
      <c r="BK113" s="24">
        <v>1</v>
      </c>
      <c r="BL113" s="24">
        <v>1</v>
      </c>
      <c r="BM113" s="24">
        <v>1</v>
      </c>
      <c r="BN113" s="24">
        <v>1</v>
      </c>
      <c r="BO113" s="24">
        <v>1</v>
      </c>
      <c r="BP113" s="24">
        <v>1</v>
      </c>
      <c r="BQ113" s="24">
        <v>1</v>
      </c>
      <c r="BR113" s="24">
        <v>1</v>
      </c>
      <c r="BS113" s="24">
        <v>1</v>
      </c>
      <c r="BT113" s="24">
        <v>1</v>
      </c>
      <c r="BU113" s="24">
        <v>1</v>
      </c>
      <c r="BV113" s="24">
        <v>1</v>
      </c>
      <c r="BW113" s="24">
        <v>1</v>
      </c>
      <c r="BX113" s="24">
        <v>1</v>
      </c>
      <c r="BY113" s="24">
        <v>1</v>
      </c>
      <c r="BZ113" s="24">
        <v>1</v>
      </c>
      <c r="CA113" s="24">
        <v>1</v>
      </c>
      <c r="CB113" s="24">
        <v>1</v>
      </c>
      <c r="CC113" s="24">
        <v>0</v>
      </c>
      <c r="CD113" s="24">
        <v>1</v>
      </c>
      <c r="CE113" s="24">
        <v>1</v>
      </c>
      <c r="CF113" s="24">
        <v>1</v>
      </c>
      <c r="CG113" s="24">
        <v>1</v>
      </c>
      <c r="CH113" s="24">
        <v>1</v>
      </c>
      <c r="CI113" s="24">
        <v>1</v>
      </c>
      <c r="CJ113" s="24">
        <v>1</v>
      </c>
      <c r="CK113" s="24">
        <v>1</v>
      </c>
      <c r="CL113" s="24">
        <v>1</v>
      </c>
      <c r="CM113" s="24">
        <v>1</v>
      </c>
      <c r="CN113" s="24">
        <v>1</v>
      </c>
      <c r="CO113" s="24">
        <v>1</v>
      </c>
      <c r="CP113" s="24">
        <v>1</v>
      </c>
      <c r="CQ113" s="24">
        <v>0</v>
      </c>
      <c r="CR113" s="24">
        <v>1</v>
      </c>
      <c r="CS113" s="24">
        <v>1</v>
      </c>
      <c r="CT113" s="24">
        <v>1</v>
      </c>
      <c r="CU113" s="24">
        <v>1</v>
      </c>
      <c r="CV113" s="24">
        <v>1</v>
      </c>
      <c r="CW113" s="24">
        <v>1</v>
      </c>
      <c r="CX113" s="23" t="s">
        <v>67</v>
      </c>
    </row>
    <row r="114" spans="1:102" x14ac:dyDescent="0.25">
      <c r="A114" s="23" t="s">
        <v>37</v>
      </c>
      <c r="F114" s="23" t="s">
        <v>38</v>
      </c>
      <c r="L114" s="25">
        <v>8</v>
      </c>
      <c r="M114" s="25">
        <v>8</v>
      </c>
      <c r="N114" s="25">
        <v>8</v>
      </c>
      <c r="O114" s="25">
        <v>8</v>
      </c>
      <c r="P114" s="25">
        <v>8</v>
      </c>
      <c r="Q114" s="25">
        <v>0</v>
      </c>
      <c r="R114" s="25">
        <v>0</v>
      </c>
      <c r="S114" s="25">
        <v>8</v>
      </c>
      <c r="T114" s="25">
        <v>8</v>
      </c>
      <c r="U114" s="25">
        <v>8</v>
      </c>
      <c r="V114" s="25">
        <v>8</v>
      </c>
      <c r="W114" s="25">
        <v>8</v>
      </c>
      <c r="X114" s="25">
        <v>0</v>
      </c>
      <c r="Y114" s="25">
        <v>0</v>
      </c>
      <c r="Z114" s="25">
        <v>8</v>
      </c>
      <c r="AA114" s="25">
        <v>8</v>
      </c>
      <c r="AB114" s="25">
        <v>8</v>
      </c>
      <c r="AC114" s="25">
        <v>8</v>
      </c>
      <c r="AD114" s="25">
        <v>8</v>
      </c>
      <c r="AE114" s="25">
        <v>0</v>
      </c>
      <c r="AF114" s="25">
        <v>0</v>
      </c>
      <c r="AG114" s="25">
        <v>8</v>
      </c>
      <c r="AH114" s="25">
        <v>8</v>
      </c>
      <c r="AI114" s="25">
        <v>8</v>
      </c>
      <c r="AJ114" s="25">
        <v>8</v>
      </c>
      <c r="AK114" s="25">
        <v>8</v>
      </c>
      <c r="AL114" s="25">
        <v>0</v>
      </c>
      <c r="AM114" s="25">
        <v>0</v>
      </c>
      <c r="AN114" s="25">
        <v>8</v>
      </c>
      <c r="AO114" s="25">
        <v>8</v>
      </c>
      <c r="AP114" s="25">
        <v>8</v>
      </c>
      <c r="AQ114" s="25">
        <v>8</v>
      </c>
      <c r="AR114" s="25">
        <v>8</v>
      </c>
      <c r="AS114" s="25">
        <v>0</v>
      </c>
      <c r="AT114" s="25">
        <v>0</v>
      </c>
      <c r="AU114" s="25">
        <v>8</v>
      </c>
      <c r="AV114" s="25">
        <v>8</v>
      </c>
      <c r="AW114" s="25">
        <v>8</v>
      </c>
      <c r="AX114" s="25">
        <v>8</v>
      </c>
      <c r="AY114" s="25">
        <v>8</v>
      </c>
      <c r="AZ114" s="25">
        <v>0</v>
      </c>
      <c r="BA114" s="25">
        <v>0</v>
      </c>
      <c r="BB114" s="25">
        <v>8</v>
      </c>
      <c r="BC114" s="25">
        <v>8</v>
      </c>
      <c r="BD114" s="25">
        <v>8</v>
      </c>
      <c r="BE114" s="25">
        <v>8</v>
      </c>
      <c r="BF114" s="25">
        <v>8</v>
      </c>
      <c r="BG114" s="25">
        <v>0</v>
      </c>
      <c r="BH114" s="25">
        <v>0</v>
      </c>
      <c r="BI114" s="25">
        <v>13</v>
      </c>
      <c r="BJ114" s="25">
        <v>13</v>
      </c>
      <c r="BK114" s="25">
        <v>13</v>
      </c>
      <c r="BL114" s="25">
        <v>13</v>
      </c>
      <c r="BM114" s="25">
        <v>13</v>
      </c>
      <c r="BN114" s="25">
        <v>13</v>
      </c>
      <c r="BO114" s="25">
        <v>13</v>
      </c>
      <c r="BP114" s="25">
        <v>13</v>
      </c>
      <c r="BQ114" s="25">
        <v>13</v>
      </c>
      <c r="BR114" s="25">
        <v>13</v>
      </c>
      <c r="BS114" s="25">
        <v>13</v>
      </c>
      <c r="BT114" s="25">
        <v>13</v>
      </c>
      <c r="BU114" s="25">
        <v>13</v>
      </c>
      <c r="BV114" s="25">
        <v>13</v>
      </c>
      <c r="BW114" s="25">
        <v>13</v>
      </c>
      <c r="BX114" s="25">
        <v>13</v>
      </c>
      <c r="BY114" s="25">
        <v>13</v>
      </c>
      <c r="BZ114" s="25">
        <v>13</v>
      </c>
      <c r="CA114" s="25">
        <v>13</v>
      </c>
      <c r="CB114" s="25">
        <v>13</v>
      </c>
      <c r="CC114" s="25">
        <v>0</v>
      </c>
      <c r="CD114" s="25">
        <v>13</v>
      </c>
      <c r="CE114" s="25">
        <v>13</v>
      </c>
      <c r="CF114" s="25">
        <v>13</v>
      </c>
      <c r="CG114" s="25">
        <v>13</v>
      </c>
      <c r="CH114" s="25">
        <v>13</v>
      </c>
      <c r="CI114" s="25">
        <v>13</v>
      </c>
      <c r="CJ114" s="25">
        <v>13</v>
      </c>
      <c r="CK114" s="25">
        <v>13</v>
      </c>
      <c r="CL114" s="25">
        <v>13</v>
      </c>
      <c r="CM114" s="25">
        <v>13</v>
      </c>
      <c r="CN114" s="25">
        <v>13</v>
      </c>
      <c r="CO114" s="25">
        <v>13</v>
      </c>
      <c r="CP114" s="25">
        <v>13</v>
      </c>
      <c r="CQ114" s="25">
        <v>0</v>
      </c>
      <c r="CR114" s="25">
        <v>13</v>
      </c>
      <c r="CS114" s="25">
        <v>13</v>
      </c>
      <c r="CT114" s="25">
        <v>13</v>
      </c>
      <c r="CU114" s="25">
        <v>13</v>
      </c>
      <c r="CV114" s="25">
        <v>13</v>
      </c>
      <c r="CW114" s="25">
        <v>13</v>
      </c>
      <c r="CX114" s="23" t="s">
        <v>67</v>
      </c>
    </row>
    <row r="115" spans="2:102" x14ac:dyDescent="0.25">
      <c r="B115" s="26">
        <f>SUM(L115:CW115)</f>
      </c>
      <c r="D115" s="27">
        <f>B115*E115</f>
      </c>
      <c r="E115" s="27">
        <f>'Rate Tables'!C16</f>
      </c>
      <c r="F115" s="8" t="s">
        <v>39</v>
      </c>
      <c r="L115" s="26">
        <f>IF(L$6="","",IF(WEEKDAY(L$6,1)=1,0,MIN(8,L114)*L113))</f>
      </c>
      <c r="M115" s="26">
        <f>IF(M$6="","",IF(WEEKDAY(M$6,1)=1,0,MIN(8,M114)*M113))</f>
      </c>
      <c r="N115" s="26">
        <f>IF(N$6="","",IF(WEEKDAY(N$6,1)=1,0,MIN(8,N114)*N113))</f>
      </c>
      <c r="O115" s="26">
        <f>IF(O$6="","",IF(WEEKDAY(O$6,1)=1,0,MIN(8,O114)*O113))</f>
      </c>
      <c r="P115" s="26">
        <f>IF(P$6="","",IF(WEEKDAY(P$6,1)=1,0,MIN(8,P114)*P113))</f>
      </c>
      <c r="Q115" s="26">
        <f>IF(Q$6="","",IF(WEEKDAY(Q$6,1)=1,0,MIN(8,Q114)*Q113))</f>
      </c>
      <c r="R115" s="26">
        <f>IF(R$6="","",IF(WEEKDAY(R$6,1)=1,0,MIN(8,R114)*R113))</f>
      </c>
      <c r="S115" s="26">
        <f>IF(S$6="","",IF(WEEKDAY(S$6,1)=1,0,MIN(8,S114)*S113))</f>
      </c>
      <c r="T115" s="26">
        <f>IF(T$6="","",IF(WEEKDAY(T$6,1)=1,0,MIN(8,T114)*T113))</f>
      </c>
      <c r="U115" s="26">
        <f>IF(U$6="","",IF(WEEKDAY(U$6,1)=1,0,MIN(8,U114)*U113))</f>
      </c>
      <c r="V115" s="26">
        <f>IF(V$6="","",IF(WEEKDAY(V$6,1)=1,0,MIN(8,V114)*V113))</f>
      </c>
      <c r="W115" s="26">
        <f>IF(W$6="","",IF(WEEKDAY(W$6,1)=1,0,MIN(8,W114)*W113))</f>
      </c>
      <c r="X115" s="26">
        <f>IF(X$6="","",IF(WEEKDAY(X$6,1)=1,0,MIN(8,X114)*X113))</f>
      </c>
      <c r="Y115" s="26">
        <f>IF(Y$6="","",IF(WEEKDAY(Y$6,1)=1,0,MIN(8,Y114)*Y113))</f>
      </c>
      <c r="Z115" s="26">
        <f>IF(Z$6="","",IF(WEEKDAY(Z$6,1)=1,0,MIN(8,Z114)*Z113))</f>
      </c>
      <c r="AA115" s="26">
        <f>IF(AA$6="","",IF(WEEKDAY(AA$6,1)=1,0,MIN(8,AA114)*AA113))</f>
      </c>
      <c r="AB115" s="26">
        <f>IF(AB$6="","",IF(WEEKDAY(AB$6,1)=1,0,MIN(8,AB114)*AB113))</f>
      </c>
      <c r="AC115" s="26">
        <f>IF(AC$6="","",IF(WEEKDAY(AC$6,1)=1,0,MIN(8,AC114)*AC113))</f>
      </c>
      <c r="AD115" s="26">
        <f>IF(AD$6="","",IF(WEEKDAY(AD$6,1)=1,0,MIN(8,AD114)*AD113))</f>
      </c>
      <c r="AE115" s="26">
        <f>IF(AE$6="","",IF(WEEKDAY(AE$6,1)=1,0,MIN(8,AE114)*AE113))</f>
      </c>
      <c r="AF115" s="26">
        <f>IF(AF$6="","",IF(WEEKDAY(AF$6,1)=1,0,MIN(8,AF114)*AF113))</f>
      </c>
      <c r="AG115" s="26">
        <f>IF(AG$6="","",IF(WEEKDAY(AG$6,1)=1,0,MIN(8,AG114)*AG113))</f>
      </c>
      <c r="AH115" s="26">
        <f>IF(AH$6="","",IF(WEEKDAY(AH$6,1)=1,0,MIN(8,AH114)*AH113))</f>
      </c>
      <c r="AI115" s="26">
        <f>IF(AI$6="","",IF(WEEKDAY(AI$6,1)=1,0,MIN(8,AI114)*AI113))</f>
      </c>
      <c r="AJ115" s="26">
        <f>IF(AJ$6="","",IF(WEEKDAY(AJ$6,1)=1,0,MIN(8,AJ114)*AJ113))</f>
      </c>
      <c r="AK115" s="26">
        <f>IF(AK$6="","",IF(WEEKDAY(AK$6,1)=1,0,MIN(8,AK114)*AK113))</f>
      </c>
      <c r="AL115" s="26">
        <f>IF(AL$6="","",IF(WEEKDAY(AL$6,1)=1,0,MIN(8,AL114)*AL113))</f>
      </c>
      <c r="AM115" s="26">
        <f>IF(AM$6="","",IF(WEEKDAY(AM$6,1)=1,0,MIN(8,AM114)*AM113))</f>
      </c>
      <c r="AN115" s="26">
        <f>IF(AN$6="","",IF(WEEKDAY(AN$6,1)=1,0,MIN(8,AN114)*AN113))</f>
      </c>
      <c r="AO115" s="26">
        <f>IF(AO$6="","",IF(WEEKDAY(AO$6,1)=1,0,MIN(8,AO114)*AO113))</f>
      </c>
      <c r="AP115" s="26">
        <f>IF(AP$6="","",IF(WEEKDAY(AP$6,1)=1,0,MIN(8,AP114)*AP113))</f>
      </c>
      <c r="AQ115" s="26">
        <f>IF(AQ$6="","",IF(WEEKDAY(AQ$6,1)=1,0,MIN(8,AQ114)*AQ113))</f>
      </c>
      <c r="AR115" s="26">
        <f>IF(AR$6="","",IF(WEEKDAY(AR$6,1)=1,0,MIN(8,AR114)*AR113))</f>
      </c>
      <c r="AS115" s="26">
        <f>IF(AS$6="","",IF(WEEKDAY(AS$6,1)=1,0,MIN(8,AS114)*AS113))</f>
      </c>
      <c r="AT115" s="26">
        <f>IF(AT$6="","",IF(WEEKDAY(AT$6,1)=1,0,MIN(8,AT114)*AT113))</f>
      </c>
      <c r="AU115" s="26">
        <f>IF(AU$6="","",IF(WEEKDAY(AU$6,1)=1,0,MIN(8,AU114)*AU113))</f>
      </c>
      <c r="AV115" s="26">
        <f>IF(AV$6="","",IF(WEEKDAY(AV$6,1)=1,0,MIN(8,AV114)*AV113))</f>
      </c>
      <c r="AW115" s="26">
        <f>IF(AW$6="","",IF(WEEKDAY(AW$6,1)=1,0,MIN(8,AW114)*AW113))</f>
      </c>
      <c r="AX115" s="26">
        <f>IF(AX$6="","",IF(WEEKDAY(AX$6,1)=1,0,MIN(8,AX114)*AX113))</f>
      </c>
      <c r="AY115" s="26">
        <f>IF(AY$6="","",IF(WEEKDAY(AY$6,1)=1,0,MIN(8,AY114)*AY113))</f>
      </c>
      <c r="AZ115" s="26">
        <f>IF(AZ$6="","",IF(WEEKDAY(AZ$6,1)=1,0,MIN(8,AZ114)*AZ113))</f>
      </c>
      <c r="BA115" s="26">
        <f>IF(BA$6="","",IF(WEEKDAY(BA$6,1)=1,0,MIN(8,BA114)*BA113))</f>
      </c>
      <c r="BB115" s="26">
        <f>IF(BB$6="","",IF(WEEKDAY(BB$6,1)=1,0,MIN(8,BB114)*BB113))</f>
      </c>
      <c r="BC115" s="26">
        <f>IF(BC$6="","",IF(WEEKDAY(BC$6,1)=1,0,MIN(8,BC114)*BC113))</f>
      </c>
      <c r="BD115" s="26">
        <f>IF(BD$6="","",IF(WEEKDAY(BD$6,1)=1,0,MIN(8,BD114)*BD113))</f>
      </c>
      <c r="BE115" s="26">
        <f>IF(BE$6="","",IF(WEEKDAY(BE$6,1)=1,0,MIN(8,BE114)*BE113))</f>
      </c>
      <c r="BF115" s="26">
        <f>IF(BF$6="","",IF(WEEKDAY(BF$6,1)=1,0,MIN(8,BF114)*BF113))</f>
      </c>
      <c r="BG115" s="26">
        <f>IF(BG$6="","",IF(WEEKDAY(BG$6,1)=1,0,MIN(8,BG114)*BG113))</f>
      </c>
      <c r="BH115" s="26">
        <f>IF(BH$6="","",IF(WEEKDAY(BH$6,1)=1,0,MIN(8,BH114)*BH113))</f>
      </c>
      <c r="BI115" s="26">
        <f>IF(BI$6="","",IF(WEEKDAY(BI$6,1)=1,0,MIN(8,BI114)*BI113))</f>
      </c>
      <c r="BJ115" s="26">
        <f>IF(BJ$6="","",IF(WEEKDAY(BJ$6,1)=1,0,MIN(8,BJ114)*BJ113))</f>
      </c>
      <c r="BK115" s="26">
        <f>IF(BK$6="","",IF(WEEKDAY(BK$6,1)=1,0,MIN(8,BK114)*BK113))</f>
      </c>
      <c r="BL115" s="26">
        <f>IF(BL$6="","",IF(WEEKDAY(BL$6,1)=1,0,MIN(8,BL114)*BL113))</f>
      </c>
      <c r="BM115" s="26">
        <f>IF(BM$6="","",IF(WEEKDAY(BM$6,1)=1,0,MIN(8,BM114)*BM113))</f>
      </c>
      <c r="BN115" s="26">
        <f>IF(BN$6="","",IF(WEEKDAY(BN$6,1)=1,0,MIN(8,BN114)*BN113))</f>
      </c>
      <c r="BO115" s="26">
        <f>IF(BO$6="","",IF(WEEKDAY(BO$6,1)=1,0,MIN(8,BO114)*BO113))</f>
      </c>
      <c r="BP115" s="26">
        <f>IF(BP$6="","",IF(WEEKDAY(BP$6,1)=1,0,MIN(8,BP114)*BP113))</f>
      </c>
      <c r="BQ115" s="26">
        <f>IF(BQ$6="","",IF(WEEKDAY(BQ$6,1)=1,0,MIN(8,BQ114)*BQ113))</f>
      </c>
      <c r="BR115" s="26">
        <f>IF(BR$6="","",IF(WEEKDAY(BR$6,1)=1,0,MIN(8,BR114)*BR113))</f>
      </c>
      <c r="BS115" s="26">
        <f>IF(BS$6="","",IF(WEEKDAY(BS$6,1)=1,0,MIN(8,BS114)*BS113))</f>
      </c>
      <c r="BT115" s="26">
        <f>IF(BT$6="","",IF(WEEKDAY(BT$6,1)=1,0,MIN(8,BT114)*BT113))</f>
      </c>
      <c r="BU115" s="26">
        <f>IF(BU$6="","",IF(WEEKDAY(BU$6,1)=1,0,MIN(8,BU114)*BU113))</f>
      </c>
      <c r="BV115" s="26">
        <f>IF(BV$6="","",IF(WEEKDAY(BV$6,1)=1,0,MIN(8,BV114)*BV113))</f>
      </c>
      <c r="BW115" s="26">
        <f>IF(BW$6="","",IF(WEEKDAY(BW$6,1)=1,0,MIN(8,BW114)*BW113))</f>
      </c>
      <c r="BX115" s="26">
        <f>IF(BX$6="","",IF(WEEKDAY(BX$6,1)=1,0,MIN(8,BX114)*BX113))</f>
      </c>
      <c r="BY115" s="26">
        <f>IF(BY$6="","",IF(WEEKDAY(BY$6,1)=1,0,MIN(8,BY114)*BY113))</f>
      </c>
      <c r="BZ115" s="26">
        <f>IF(BZ$6="","",IF(WEEKDAY(BZ$6,1)=1,0,MIN(8,BZ114)*BZ113))</f>
      </c>
      <c r="CA115" s="26">
        <f>IF(CA$6="","",IF(WEEKDAY(CA$6,1)=1,0,MIN(8,CA114)*CA113))</f>
      </c>
      <c r="CB115" s="26">
        <f>IF(CB$6="","",IF(WEEKDAY(CB$6,1)=1,0,MIN(8,CB114)*CB113))</f>
      </c>
      <c r="CC115" s="26">
        <f>IF(CC$6="","",IF(WEEKDAY(CC$6,1)=1,0,MIN(8,CC114)*CC113))</f>
      </c>
      <c r="CD115" s="26">
        <f>IF(CD$6="","",IF(WEEKDAY(CD$6,1)=1,0,MIN(8,CD114)*CD113))</f>
      </c>
      <c r="CE115" s="26">
        <f>IF(CE$6="","",IF(WEEKDAY(CE$6,1)=1,0,MIN(8,CE114)*CE113))</f>
      </c>
      <c r="CF115" s="26">
        <f>IF(CF$6="","",IF(WEEKDAY(CF$6,1)=1,0,MIN(8,CF114)*CF113))</f>
      </c>
      <c r="CG115" s="26">
        <f>IF(CG$6="","",IF(WEEKDAY(CG$6,1)=1,0,MIN(8,CG114)*CG113))</f>
      </c>
      <c r="CH115" s="26">
        <f>IF(CH$6="","",IF(WEEKDAY(CH$6,1)=1,0,MIN(8,CH114)*CH113))</f>
      </c>
      <c r="CI115" s="26">
        <f>IF(CI$6="","",IF(WEEKDAY(CI$6,1)=1,0,MIN(8,CI114)*CI113))</f>
      </c>
      <c r="CJ115" s="26">
        <f>IF(CJ$6="","",IF(WEEKDAY(CJ$6,1)=1,0,MIN(8,CJ114)*CJ113))</f>
      </c>
      <c r="CK115" s="26">
        <f>IF(CK$6="","",IF(WEEKDAY(CK$6,1)=1,0,MIN(8,CK114)*CK113))</f>
      </c>
      <c r="CL115" s="26">
        <f>IF(CL$6="","",IF(WEEKDAY(CL$6,1)=1,0,MIN(8,CL114)*CL113))</f>
      </c>
      <c r="CM115" s="26">
        <f>IF(CM$6="","",IF(WEEKDAY(CM$6,1)=1,0,MIN(8,CM114)*CM113))</f>
      </c>
      <c r="CN115" s="26">
        <f>IF(CN$6="","",IF(WEEKDAY(CN$6,1)=1,0,MIN(8,CN114)*CN113))</f>
      </c>
      <c r="CO115" s="26">
        <f>IF(CO$6="","",IF(WEEKDAY(CO$6,1)=1,0,MIN(8,CO114)*CO113))</f>
      </c>
      <c r="CP115" s="26">
        <f>IF(CP$6="","",IF(WEEKDAY(CP$6,1)=1,0,MIN(8,CP114)*CP113))</f>
      </c>
      <c r="CQ115" s="26">
        <f>IF(CQ$6="","",IF(WEEKDAY(CQ$6,1)=1,0,MIN(8,CQ114)*CQ113))</f>
      </c>
      <c r="CR115" s="26">
        <f>IF(CR$6="","",IF(WEEKDAY(CR$6,1)=1,0,MIN(8,CR114)*CR113))</f>
      </c>
      <c r="CS115" s="26">
        <f>IF(CS$6="","",IF(WEEKDAY(CS$6,1)=1,0,MIN(8,CS114)*CS113))</f>
      </c>
      <c r="CT115" s="26">
        <f>IF(CT$6="","",IF(WEEKDAY(CT$6,1)=1,0,MIN(8,CT114)*CT113))</f>
      </c>
      <c r="CU115" s="26">
        <f>IF(CU$6="","",IF(WEEKDAY(CU$6,1)=1,0,MIN(8,CU114)*CU113))</f>
      </c>
      <c r="CV115" s="26">
        <f>IF(CV$6="","",IF(WEEKDAY(CV$6,1)=1,0,MIN(8,CV114)*CV113))</f>
      </c>
      <c r="CW115" s="26">
        <f>IF(CW$6="","",IF(WEEKDAY(CW$6,1)=1,0,MIN(8,CW114)*CW113))</f>
      </c>
      <c r="CX115" s="8" t="s">
        <v>67</v>
      </c>
    </row>
    <row r="116" spans="2:102" x14ac:dyDescent="0.25">
      <c r="B116" s="26">
        <f>SUM(L116:CW116)</f>
      </c>
      <c r="D116" s="27">
        <f>B116*E116</f>
      </c>
      <c r="E116" s="27">
        <f>'Rate Tables'!D16</f>
      </c>
      <c r="F116" s="8" t="s">
        <v>40</v>
      </c>
      <c r="L116" s="26">
        <f>IF(L$6="","",IF(WEEKDAY(L$6,1)=1,0,MAX(0,L114-8)*L113))</f>
      </c>
      <c r="M116" s="26">
        <f>IF(M$6="","",IF(WEEKDAY(M$6,1)=1,0,MAX(0,M114-8)*M113))</f>
      </c>
      <c r="N116" s="26">
        <f>IF(N$6="","",IF(WEEKDAY(N$6,1)=1,0,MAX(0,N114-8)*N113))</f>
      </c>
      <c r="O116" s="26">
        <f>IF(O$6="","",IF(WEEKDAY(O$6,1)=1,0,MAX(0,O114-8)*O113))</f>
      </c>
      <c r="P116" s="26">
        <f>IF(P$6="","",IF(WEEKDAY(P$6,1)=1,0,MAX(0,P114-8)*P113))</f>
      </c>
      <c r="Q116" s="26">
        <f>IF(Q$6="","",IF(WEEKDAY(Q$6,1)=1,0,MAX(0,Q114-8)*Q113))</f>
      </c>
      <c r="R116" s="26">
        <f>IF(R$6="","",IF(WEEKDAY(R$6,1)=1,0,MAX(0,R114-8)*R113))</f>
      </c>
      <c r="S116" s="26">
        <f>IF(S$6="","",IF(WEEKDAY(S$6,1)=1,0,MAX(0,S114-8)*S113))</f>
      </c>
      <c r="T116" s="26">
        <f>IF(T$6="","",IF(WEEKDAY(T$6,1)=1,0,MAX(0,T114-8)*T113))</f>
      </c>
      <c r="U116" s="26">
        <f>IF(U$6="","",IF(WEEKDAY(U$6,1)=1,0,MAX(0,U114-8)*U113))</f>
      </c>
      <c r="V116" s="26">
        <f>IF(V$6="","",IF(WEEKDAY(V$6,1)=1,0,MAX(0,V114-8)*V113))</f>
      </c>
      <c r="W116" s="26">
        <f>IF(W$6="","",IF(WEEKDAY(W$6,1)=1,0,MAX(0,W114-8)*W113))</f>
      </c>
      <c r="X116" s="26">
        <f>IF(X$6="","",IF(WEEKDAY(X$6,1)=1,0,MAX(0,X114-8)*X113))</f>
      </c>
      <c r="Y116" s="26">
        <f>IF(Y$6="","",IF(WEEKDAY(Y$6,1)=1,0,MAX(0,Y114-8)*Y113))</f>
      </c>
      <c r="Z116" s="26">
        <f>IF(Z$6="","",IF(WEEKDAY(Z$6,1)=1,0,MAX(0,Z114-8)*Z113))</f>
      </c>
      <c r="AA116" s="26">
        <f>IF(AA$6="","",IF(WEEKDAY(AA$6,1)=1,0,MAX(0,AA114-8)*AA113))</f>
      </c>
      <c r="AB116" s="26">
        <f>IF(AB$6="","",IF(WEEKDAY(AB$6,1)=1,0,MAX(0,AB114-8)*AB113))</f>
      </c>
      <c r="AC116" s="26">
        <f>IF(AC$6="","",IF(WEEKDAY(AC$6,1)=1,0,MAX(0,AC114-8)*AC113))</f>
      </c>
      <c r="AD116" s="26">
        <f>IF(AD$6="","",IF(WEEKDAY(AD$6,1)=1,0,MAX(0,AD114-8)*AD113))</f>
      </c>
      <c r="AE116" s="26">
        <f>IF(AE$6="","",IF(WEEKDAY(AE$6,1)=1,0,MAX(0,AE114-8)*AE113))</f>
      </c>
      <c r="AF116" s="26">
        <f>IF(AF$6="","",IF(WEEKDAY(AF$6,1)=1,0,MAX(0,AF114-8)*AF113))</f>
      </c>
      <c r="AG116" s="26">
        <f>IF(AG$6="","",IF(WEEKDAY(AG$6,1)=1,0,MAX(0,AG114-8)*AG113))</f>
      </c>
      <c r="AH116" s="26">
        <f>IF(AH$6="","",IF(WEEKDAY(AH$6,1)=1,0,MAX(0,AH114-8)*AH113))</f>
      </c>
      <c r="AI116" s="26">
        <f>IF(AI$6="","",IF(WEEKDAY(AI$6,1)=1,0,MAX(0,AI114-8)*AI113))</f>
      </c>
      <c r="AJ116" s="26">
        <f>IF(AJ$6="","",IF(WEEKDAY(AJ$6,1)=1,0,MAX(0,AJ114-8)*AJ113))</f>
      </c>
      <c r="AK116" s="26">
        <f>IF(AK$6="","",IF(WEEKDAY(AK$6,1)=1,0,MAX(0,AK114-8)*AK113))</f>
      </c>
      <c r="AL116" s="26">
        <f>IF(AL$6="","",IF(WEEKDAY(AL$6,1)=1,0,MAX(0,AL114-8)*AL113))</f>
      </c>
      <c r="AM116" s="26">
        <f>IF(AM$6="","",IF(WEEKDAY(AM$6,1)=1,0,MAX(0,AM114-8)*AM113))</f>
      </c>
      <c r="AN116" s="26">
        <f>IF(AN$6="","",IF(WEEKDAY(AN$6,1)=1,0,MAX(0,AN114-8)*AN113))</f>
      </c>
      <c r="AO116" s="26">
        <f>IF(AO$6="","",IF(WEEKDAY(AO$6,1)=1,0,MAX(0,AO114-8)*AO113))</f>
      </c>
      <c r="AP116" s="26">
        <f>IF(AP$6="","",IF(WEEKDAY(AP$6,1)=1,0,MAX(0,AP114-8)*AP113))</f>
      </c>
      <c r="AQ116" s="26">
        <f>IF(AQ$6="","",IF(WEEKDAY(AQ$6,1)=1,0,MAX(0,AQ114-8)*AQ113))</f>
      </c>
      <c r="AR116" s="26">
        <f>IF(AR$6="","",IF(WEEKDAY(AR$6,1)=1,0,MAX(0,AR114-8)*AR113))</f>
      </c>
      <c r="AS116" s="26">
        <f>IF(AS$6="","",IF(WEEKDAY(AS$6,1)=1,0,MAX(0,AS114-8)*AS113))</f>
      </c>
      <c r="AT116" s="26">
        <f>IF(AT$6="","",IF(WEEKDAY(AT$6,1)=1,0,MAX(0,AT114-8)*AT113))</f>
      </c>
      <c r="AU116" s="26">
        <f>IF(AU$6="","",IF(WEEKDAY(AU$6,1)=1,0,MAX(0,AU114-8)*AU113))</f>
      </c>
      <c r="AV116" s="26">
        <f>IF(AV$6="","",IF(WEEKDAY(AV$6,1)=1,0,MAX(0,AV114-8)*AV113))</f>
      </c>
      <c r="AW116" s="26">
        <f>IF(AW$6="","",IF(WEEKDAY(AW$6,1)=1,0,MAX(0,AW114-8)*AW113))</f>
      </c>
      <c r="AX116" s="26">
        <f>IF(AX$6="","",IF(WEEKDAY(AX$6,1)=1,0,MAX(0,AX114-8)*AX113))</f>
      </c>
      <c r="AY116" s="26">
        <f>IF(AY$6="","",IF(WEEKDAY(AY$6,1)=1,0,MAX(0,AY114-8)*AY113))</f>
      </c>
      <c r="AZ116" s="26">
        <f>IF(AZ$6="","",IF(WEEKDAY(AZ$6,1)=1,0,MAX(0,AZ114-8)*AZ113))</f>
      </c>
      <c r="BA116" s="26">
        <f>IF(BA$6="","",IF(WEEKDAY(BA$6,1)=1,0,MAX(0,BA114-8)*BA113))</f>
      </c>
      <c r="BB116" s="26">
        <f>IF(BB$6="","",IF(WEEKDAY(BB$6,1)=1,0,MAX(0,BB114-8)*BB113))</f>
      </c>
      <c r="BC116" s="26">
        <f>IF(BC$6="","",IF(WEEKDAY(BC$6,1)=1,0,MAX(0,BC114-8)*BC113))</f>
      </c>
      <c r="BD116" s="26">
        <f>IF(BD$6="","",IF(WEEKDAY(BD$6,1)=1,0,MAX(0,BD114-8)*BD113))</f>
      </c>
      <c r="BE116" s="26">
        <f>IF(BE$6="","",IF(WEEKDAY(BE$6,1)=1,0,MAX(0,BE114-8)*BE113))</f>
      </c>
      <c r="BF116" s="26">
        <f>IF(BF$6="","",IF(WEEKDAY(BF$6,1)=1,0,MAX(0,BF114-8)*BF113))</f>
      </c>
      <c r="BG116" s="26">
        <f>IF(BG$6="","",IF(WEEKDAY(BG$6,1)=1,0,MAX(0,BG114-8)*BG113))</f>
      </c>
      <c r="BH116" s="26">
        <f>IF(BH$6="","",IF(WEEKDAY(BH$6,1)=1,0,MAX(0,BH114-8)*BH113))</f>
      </c>
      <c r="BI116" s="26">
        <f>IF(BI$6="","",IF(WEEKDAY(BI$6,1)=1,0,MAX(0,BI114-8)*BI113))</f>
      </c>
      <c r="BJ116" s="26">
        <f>IF(BJ$6="","",IF(WEEKDAY(BJ$6,1)=1,0,MAX(0,BJ114-8)*BJ113))</f>
      </c>
      <c r="BK116" s="26">
        <f>IF(BK$6="","",IF(WEEKDAY(BK$6,1)=1,0,MAX(0,BK114-8)*BK113))</f>
      </c>
      <c r="BL116" s="26">
        <f>IF(BL$6="","",IF(WEEKDAY(BL$6,1)=1,0,MAX(0,BL114-8)*BL113))</f>
      </c>
      <c r="BM116" s="26">
        <f>IF(BM$6="","",IF(WEEKDAY(BM$6,1)=1,0,MAX(0,BM114-8)*BM113))</f>
      </c>
      <c r="BN116" s="26">
        <f>IF(BN$6="","",IF(WEEKDAY(BN$6,1)=1,0,MAX(0,BN114-8)*BN113))</f>
      </c>
      <c r="BO116" s="26">
        <f>IF(BO$6="","",IF(WEEKDAY(BO$6,1)=1,0,MAX(0,BO114-8)*BO113))</f>
      </c>
      <c r="BP116" s="26">
        <f>IF(BP$6="","",IF(WEEKDAY(BP$6,1)=1,0,MAX(0,BP114-8)*BP113))</f>
      </c>
      <c r="BQ116" s="26">
        <f>IF(BQ$6="","",IF(WEEKDAY(BQ$6,1)=1,0,MAX(0,BQ114-8)*BQ113))</f>
      </c>
      <c r="BR116" s="26">
        <f>IF(BR$6="","",IF(WEEKDAY(BR$6,1)=1,0,MAX(0,BR114-8)*BR113))</f>
      </c>
      <c r="BS116" s="26">
        <f>IF(BS$6="","",IF(WEEKDAY(BS$6,1)=1,0,MAX(0,BS114-8)*BS113))</f>
      </c>
      <c r="BT116" s="26">
        <f>IF(BT$6="","",IF(WEEKDAY(BT$6,1)=1,0,MAX(0,BT114-8)*BT113))</f>
      </c>
      <c r="BU116" s="26">
        <f>IF(BU$6="","",IF(WEEKDAY(BU$6,1)=1,0,MAX(0,BU114-8)*BU113))</f>
      </c>
      <c r="BV116" s="26">
        <f>IF(BV$6="","",IF(WEEKDAY(BV$6,1)=1,0,MAX(0,BV114-8)*BV113))</f>
      </c>
      <c r="BW116" s="26">
        <f>IF(BW$6="","",IF(WEEKDAY(BW$6,1)=1,0,MAX(0,BW114-8)*BW113))</f>
      </c>
      <c r="BX116" s="26">
        <f>IF(BX$6="","",IF(WEEKDAY(BX$6,1)=1,0,MAX(0,BX114-8)*BX113))</f>
      </c>
      <c r="BY116" s="26">
        <f>IF(BY$6="","",IF(WEEKDAY(BY$6,1)=1,0,MAX(0,BY114-8)*BY113))</f>
      </c>
      <c r="BZ116" s="26">
        <f>IF(BZ$6="","",IF(WEEKDAY(BZ$6,1)=1,0,MAX(0,BZ114-8)*BZ113))</f>
      </c>
      <c r="CA116" s="26">
        <f>IF(CA$6="","",IF(WEEKDAY(CA$6,1)=1,0,MAX(0,CA114-8)*CA113))</f>
      </c>
      <c r="CB116" s="26">
        <f>IF(CB$6="","",IF(WEEKDAY(CB$6,1)=1,0,MAX(0,CB114-8)*CB113))</f>
      </c>
      <c r="CC116" s="26">
        <f>IF(CC$6="","",IF(WEEKDAY(CC$6,1)=1,0,MAX(0,CC114-8)*CC113))</f>
      </c>
      <c r="CD116" s="26">
        <f>IF(CD$6="","",IF(WEEKDAY(CD$6,1)=1,0,MAX(0,CD114-8)*CD113))</f>
      </c>
      <c r="CE116" s="26">
        <f>IF(CE$6="","",IF(WEEKDAY(CE$6,1)=1,0,MAX(0,CE114-8)*CE113))</f>
      </c>
      <c r="CF116" s="26">
        <f>IF(CF$6="","",IF(WEEKDAY(CF$6,1)=1,0,MAX(0,CF114-8)*CF113))</f>
      </c>
      <c r="CG116" s="26">
        <f>IF(CG$6="","",IF(WEEKDAY(CG$6,1)=1,0,MAX(0,CG114-8)*CG113))</f>
      </c>
      <c r="CH116" s="26">
        <f>IF(CH$6="","",IF(WEEKDAY(CH$6,1)=1,0,MAX(0,CH114-8)*CH113))</f>
      </c>
      <c r="CI116" s="26">
        <f>IF(CI$6="","",IF(WEEKDAY(CI$6,1)=1,0,MAX(0,CI114-8)*CI113))</f>
      </c>
      <c r="CJ116" s="26">
        <f>IF(CJ$6="","",IF(WEEKDAY(CJ$6,1)=1,0,MAX(0,CJ114-8)*CJ113))</f>
      </c>
      <c r="CK116" s="26">
        <f>IF(CK$6="","",IF(WEEKDAY(CK$6,1)=1,0,MAX(0,CK114-8)*CK113))</f>
      </c>
      <c r="CL116" s="26">
        <f>IF(CL$6="","",IF(WEEKDAY(CL$6,1)=1,0,MAX(0,CL114-8)*CL113))</f>
      </c>
      <c r="CM116" s="26">
        <f>IF(CM$6="","",IF(WEEKDAY(CM$6,1)=1,0,MAX(0,CM114-8)*CM113))</f>
      </c>
      <c r="CN116" s="26">
        <f>IF(CN$6="","",IF(WEEKDAY(CN$6,1)=1,0,MAX(0,CN114-8)*CN113))</f>
      </c>
      <c r="CO116" s="26">
        <f>IF(CO$6="","",IF(WEEKDAY(CO$6,1)=1,0,MAX(0,CO114-8)*CO113))</f>
      </c>
      <c r="CP116" s="26">
        <f>IF(CP$6="","",IF(WEEKDAY(CP$6,1)=1,0,MAX(0,CP114-8)*CP113))</f>
      </c>
      <c r="CQ116" s="26">
        <f>IF(CQ$6="","",IF(WEEKDAY(CQ$6,1)=1,0,MAX(0,CQ114-8)*CQ113))</f>
      </c>
      <c r="CR116" s="26">
        <f>IF(CR$6="","",IF(WEEKDAY(CR$6,1)=1,0,MAX(0,CR114-8)*CR113))</f>
      </c>
      <c r="CS116" s="26">
        <f>IF(CS$6="","",IF(WEEKDAY(CS$6,1)=1,0,MAX(0,CS114-8)*CS113))</f>
      </c>
      <c r="CT116" s="26">
        <f>IF(CT$6="","",IF(WEEKDAY(CT$6,1)=1,0,MAX(0,CT114-8)*CT113))</f>
      </c>
      <c r="CU116" s="26">
        <f>IF(CU$6="","",IF(WEEKDAY(CU$6,1)=1,0,MAX(0,CU114-8)*CU113))</f>
      </c>
      <c r="CV116" s="26">
        <f>IF(CV$6="","",IF(WEEKDAY(CV$6,1)=1,0,MAX(0,CV114-8)*CV113))</f>
      </c>
      <c r="CW116" s="26">
        <f>IF(CW$6="","",IF(WEEKDAY(CW$6,1)=1,0,MAX(0,CW114-8)*CW113))</f>
      </c>
      <c r="CX116" s="8" t="s">
        <v>67</v>
      </c>
    </row>
    <row r="117" spans="2:102" x14ac:dyDescent="0.25">
      <c r="B117" s="26">
        <f>SUM(L117:CW117)</f>
      </c>
      <c r="D117" s="27">
        <f>B117*E117</f>
      </c>
      <c r="E117" s="27">
        <f>'Rate Tables'!E16</f>
      </c>
      <c r="F117" s="8" t="s">
        <v>41</v>
      </c>
      <c r="L117" s="26">
        <f>IF(L$6="","",IF(WEEKDAY(L$6,1)=1,L114*L113,0))</f>
      </c>
      <c r="M117" s="26">
        <f>IF(M$6="","",IF(WEEKDAY(M$6,1)=1,M114*M113,0))</f>
      </c>
      <c r="N117" s="26">
        <f>IF(N$6="","",IF(WEEKDAY(N$6,1)=1,N114*N113,0))</f>
      </c>
      <c r="O117" s="26">
        <f>IF(O$6="","",IF(WEEKDAY(O$6,1)=1,O114*O113,0))</f>
      </c>
      <c r="P117" s="26">
        <f>IF(P$6="","",IF(WEEKDAY(P$6,1)=1,P114*P113,0))</f>
      </c>
      <c r="Q117" s="26">
        <f>IF(Q$6="","",IF(WEEKDAY(Q$6,1)=1,Q114*Q113,0))</f>
      </c>
      <c r="R117" s="26">
        <f>IF(R$6="","",IF(WEEKDAY(R$6,1)=1,R114*R113,0))</f>
      </c>
      <c r="S117" s="26">
        <f>IF(S$6="","",IF(WEEKDAY(S$6,1)=1,S114*S113,0))</f>
      </c>
      <c r="T117" s="26">
        <f>IF(T$6="","",IF(WEEKDAY(T$6,1)=1,T114*T113,0))</f>
      </c>
      <c r="U117" s="26">
        <f>IF(U$6="","",IF(WEEKDAY(U$6,1)=1,U114*U113,0))</f>
      </c>
      <c r="V117" s="26">
        <f>IF(V$6="","",IF(WEEKDAY(V$6,1)=1,V114*V113,0))</f>
      </c>
      <c r="W117" s="26">
        <f>IF(W$6="","",IF(WEEKDAY(W$6,1)=1,W114*W113,0))</f>
      </c>
      <c r="X117" s="26">
        <f>IF(X$6="","",IF(WEEKDAY(X$6,1)=1,X114*X113,0))</f>
      </c>
      <c r="Y117" s="26">
        <f>IF(Y$6="","",IF(WEEKDAY(Y$6,1)=1,Y114*Y113,0))</f>
      </c>
      <c r="Z117" s="26">
        <f>IF(Z$6="","",IF(WEEKDAY(Z$6,1)=1,Z114*Z113,0))</f>
      </c>
      <c r="AA117" s="26">
        <f>IF(AA$6="","",IF(WEEKDAY(AA$6,1)=1,AA114*AA113,0))</f>
      </c>
      <c r="AB117" s="26">
        <f>IF(AB$6="","",IF(WEEKDAY(AB$6,1)=1,AB114*AB113,0))</f>
      </c>
      <c r="AC117" s="26">
        <f>IF(AC$6="","",IF(WEEKDAY(AC$6,1)=1,AC114*AC113,0))</f>
      </c>
      <c r="AD117" s="26">
        <f>IF(AD$6="","",IF(WEEKDAY(AD$6,1)=1,AD114*AD113,0))</f>
      </c>
      <c r="AE117" s="26">
        <f>IF(AE$6="","",IF(WEEKDAY(AE$6,1)=1,AE114*AE113,0))</f>
      </c>
      <c r="AF117" s="26">
        <f>IF(AF$6="","",IF(WEEKDAY(AF$6,1)=1,AF114*AF113,0))</f>
      </c>
      <c r="AG117" s="26">
        <f>IF(AG$6="","",IF(WEEKDAY(AG$6,1)=1,AG114*AG113,0))</f>
      </c>
      <c r="AH117" s="26">
        <f>IF(AH$6="","",IF(WEEKDAY(AH$6,1)=1,AH114*AH113,0))</f>
      </c>
      <c r="AI117" s="26">
        <f>IF(AI$6="","",IF(WEEKDAY(AI$6,1)=1,AI114*AI113,0))</f>
      </c>
      <c r="AJ117" s="26">
        <f>IF(AJ$6="","",IF(WEEKDAY(AJ$6,1)=1,AJ114*AJ113,0))</f>
      </c>
      <c r="AK117" s="26">
        <f>IF(AK$6="","",IF(WEEKDAY(AK$6,1)=1,AK114*AK113,0))</f>
      </c>
      <c r="AL117" s="26">
        <f>IF(AL$6="","",IF(WEEKDAY(AL$6,1)=1,AL114*AL113,0))</f>
      </c>
      <c r="AM117" s="26">
        <f>IF(AM$6="","",IF(WEEKDAY(AM$6,1)=1,AM114*AM113,0))</f>
      </c>
      <c r="AN117" s="26">
        <f>IF(AN$6="","",IF(WEEKDAY(AN$6,1)=1,AN114*AN113,0))</f>
      </c>
      <c r="AO117" s="26">
        <f>IF(AO$6="","",IF(WEEKDAY(AO$6,1)=1,AO114*AO113,0))</f>
      </c>
      <c r="AP117" s="26">
        <f>IF(AP$6="","",IF(WEEKDAY(AP$6,1)=1,AP114*AP113,0))</f>
      </c>
      <c r="AQ117" s="26">
        <f>IF(AQ$6="","",IF(WEEKDAY(AQ$6,1)=1,AQ114*AQ113,0))</f>
      </c>
      <c r="AR117" s="26">
        <f>IF(AR$6="","",IF(WEEKDAY(AR$6,1)=1,AR114*AR113,0))</f>
      </c>
      <c r="AS117" s="26">
        <f>IF(AS$6="","",IF(WEEKDAY(AS$6,1)=1,AS114*AS113,0))</f>
      </c>
      <c r="AT117" s="26">
        <f>IF(AT$6="","",IF(WEEKDAY(AT$6,1)=1,AT114*AT113,0))</f>
      </c>
      <c r="AU117" s="26">
        <f>IF(AU$6="","",IF(WEEKDAY(AU$6,1)=1,AU114*AU113,0))</f>
      </c>
      <c r="AV117" s="26">
        <f>IF(AV$6="","",IF(WEEKDAY(AV$6,1)=1,AV114*AV113,0))</f>
      </c>
      <c r="AW117" s="26">
        <f>IF(AW$6="","",IF(WEEKDAY(AW$6,1)=1,AW114*AW113,0))</f>
      </c>
      <c r="AX117" s="26">
        <f>IF(AX$6="","",IF(WEEKDAY(AX$6,1)=1,AX114*AX113,0))</f>
      </c>
      <c r="AY117" s="26">
        <f>IF(AY$6="","",IF(WEEKDAY(AY$6,1)=1,AY114*AY113,0))</f>
      </c>
      <c r="AZ117" s="26">
        <f>IF(AZ$6="","",IF(WEEKDAY(AZ$6,1)=1,AZ114*AZ113,0))</f>
      </c>
      <c r="BA117" s="26">
        <f>IF(BA$6="","",IF(WEEKDAY(BA$6,1)=1,BA114*BA113,0))</f>
      </c>
      <c r="BB117" s="26">
        <f>IF(BB$6="","",IF(WEEKDAY(BB$6,1)=1,BB114*BB113,0))</f>
      </c>
      <c r="BC117" s="26">
        <f>IF(BC$6="","",IF(WEEKDAY(BC$6,1)=1,BC114*BC113,0))</f>
      </c>
      <c r="BD117" s="26">
        <f>IF(BD$6="","",IF(WEEKDAY(BD$6,1)=1,BD114*BD113,0))</f>
      </c>
      <c r="BE117" s="26">
        <f>IF(BE$6="","",IF(WEEKDAY(BE$6,1)=1,BE114*BE113,0))</f>
      </c>
      <c r="BF117" s="26">
        <f>IF(BF$6="","",IF(WEEKDAY(BF$6,1)=1,BF114*BF113,0))</f>
      </c>
      <c r="BG117" s="26">
        <f>IF(BG$6="","",IF(WEEKDAY(BG$6,1)=1,BG114*BG113,0))</f>
      </c>
      <c r="BH117" s="26">
        <f>IF(BH$6="","",IF(WEEKDAY(BH$6,1)=1,BH114*BH113,0))</f>
      </c>
      <c r="BI117" s="26">
        <f>IF(BI$6="","",IF(WEEKDAY(BI$6,1)=1,BI114*BI113,0))</f>
      </c>
      <c r="BJ117" s="26">
        <f>IF(BJ$6="","",IF(WEEKDAY(BJ$6,1)=1,BJ114*BJ113,0))</f>
      </c>
      <c r="BK117" s="26">
        <f>IF(BK$6="","",IF(WEEKDAY(BK$6,1)=1,BK114*BK113,0))</f>
      </c>
      <c r="BL117" s="26">
        <f>IF(BL$6="","",IF(WEEKDAY(BL$6,1)=1,BL114*BL113,0))</f>
      </c>
      <c r="BM117" s="26">
        <f>IF(BM$6="","",IF(WEEKDAY(BM$6,1)=1,BM114*BM113,0))</f>
      </c>
      <c r="BN117" s="26">
        <f>IF(BN$6="","",IF(WEEKDAY(BN$6,1)=1,BN114*BN113,0))</f>
      </c>
      <c r="BO117" s="26">
        <f>IF(BO$6="","",IF(WEEKDAY(BO$6,1)=1,BO114*BO113,0))</f>
      </c>
      <c r="BP117" s="26">
        <f>IF(BP$6="","",IF(WEEKDAY(BP$6,1)=1,BP114*BP113,0))</f>
      </c>
      <c r="BQ117" s="26">
        <f>IF(BQ$6="","",IF(WEEKDAY(BQ$6,1)=1,BQ114*BQ113,0))</f>
      </c>
      <c r="BR117" s="26">
        <f>IF(BR$6="","",IF(WEEKDAY(BR$6,1)=1,BR114*BR113,0))</f>
      </c>
      <c r="BS117" s="26">
        <f>IF(BS$6="","",IF(WEEKDAY(BS$6,1)=1,BS114*BS113,0))</f>
      </c>
      <c r="BT117" s="26">
        <f>IF(BT$6="","",IF(WEEKDAY(BT$6,1)=1,BT114*BT113,0))</f>
      </c>
      <c r="BU117" s="26">
        <f>IF(BU$6="","",IF(WEEKDAY(BU$6,1)=1,BU114*BU113,0))</f>
      </c>
      <c r="BV117" s="26">
        <f>IF(BV$6="","",IF(WEEKDAY(BV$6,1)=1,BV114*BV113,0))</f>
      </c>
      <c r="BW117" s="26">
        <f>IF(BW$6="","",IF(WEEKDAY(BW$6,1)=1,BW114*BW113,0))</f>
      </c>
      <c r="BX117" s="26">
        <f>IF(BX$6="","",IF(WEEKDAY(BX$6,1)=1,BX114*BX113,0))</f>
      </c>
      <c r="BY117" s="26">
        <f>IF(BY$6="","",IF(WEEKDAY(BY$6,1)=1,BY114*BY113,0))</f>
      </c>
      <c r="BZ117" s="26">
        <f>IF(BZ$6="","",IF(WEEKDAY(BZ$6,1)=1,BZ114*BZ113,0))</f>
      </c>
      <c r="CA117" s="26">
        <f>IF(CA$6="","",IF(WEEKDAY(CA$6,1)=1,CA114*CA113,0))</f>
      </c>
      <c r="CB117" s="26">
        <f>IF(CB$6="","",IF(WEEKDAY(CB$6,1)=1,CB114*CB113,0))</f>
      </c>
      <c r="CC117" s="26">
        <f>IF(CC$6="","",IF(WEEKDAY(CC$6,1)=1,CC114*CC113,0))</f>
      </c>
      <c r="CD117" s="26">
        <f>IF(CD$6="","",IF(WEEKDAY(CD$6,1)=1,CD114*CD113,0))</f>
      </c>
      <c r="CE117" s="26">
        <f>IF(CE$6="","",IF(WEEKDAY(CE$6,1)=1,CE114*CE113,0))</f>
      </c>
      <c r="CF117" s="26">
        <f>IF(CF$6="","",IF(WEEKDAY(CF$6,1)=1,CF114*CF113,0))</f>
      </c>
      <c r="CG117" s="26">
        <f>IF(CG$6="","",IF(WEEKDAY(CG$6,1)=1,CG114*CG113,0))</f>
      </c>
      <c r="CH117" s="26">
        <f>IF(CH$6="","",IF(WEEKDAY(CH$6,1)=1,CH114*CH113,0))</f>
      </c>
      <c r="CI117" s="26">
        <f>IF(CI$6="","",IF(WEEKDAY(CI$6,1)=1,CI114*CI113,0))</f>
      </c>
      <c r="CJ117" s="26">
        <f>IF(CJ$6="","",IF(WEEKDAY(CJ$6,1)=1,CJ114*CJ113,0))</f>
      </c>
      <c r="CK117" s="26">
        <f>IF(CK$6="","",IF(WEEKDAY(CK$6,1)=1,CK114*CK113,0))</f>
      </c>
      <c r="CL117" s="26">
        <f>IF(CL$6="","",IF(WEEKDAY(CL$6,1)=1,CL114*CL113,0))</f>
      </c>
      <c r="CM117" s="26">
        <f>IF(CM$6="","",IF(WEEKDAY(CM$6,1)=1,CM114*CM113,0))</f>
      </c>
      <c r="CN117" s="26">
        <f>IF(CN$6="","",IF(WEEKDAY(CN$6,1)=1,CN114*CN113,0))</f>
      </c>
      <c r="CO117" s="26">
        <f>IF(CO$6="","",IF(WEEKDAY(CO$6,1)=1,CO114*CO113,0))</f>
      </c>
      <c r="CP117" s="26">
        <f>IF(CP$6="","",IF(WEEKDAY(CP$6,1)=1,CP114*CP113,0))</f>
      </c>
      <c r="CQ117" s="26">
        <f>IF(CQ$6="","",IF(WEEKDAY(CQ$6,1)=1,CQ114*CQ113,0))</f>
      </c>
      <c r="CR117" s="26">
        <f>IF(CR$6="","",IF(WEEKDAY(CR$6,1)=1,CR114*CR113,0))</f>
      </c>
      <c r="CS117" s="26">
        <f>IF(CS$6="","",IF(WEEKDAY(CS$6,1)=1,CS114*CS113,0))</f>
      </c>
      <c r="CT117" s="26">
        <f>IF(CT$6="","",IF(WEEKDAY(CT$6,1)=1,CT114*CT113,0))</f>
      </c>
      <c r="CU117" s="26">
        <f>IF(CU$6="","",IF(WEEKDAY(CU$6,1)=1,CU114*CU113,0))</f>
      </c>
      <c r="CV117" s="26">
        <f>IF(CV$6="","",IF(WEEKDAY(CV$6,1)=1,CV114*CV113,0))</f>
      </c>
      <c r="CW117" s="26">
        <f>IF(CW$6="","",IF(WEEKDAY(CW$6,1)=1,CW114*CW113,0))</f>
      </c>
      <c r="CX117" s="8" t="s">
        <v>67</v>
      </c>
    </row>
    <row r="118" spans="2:102" x14ac:dyDescent="0.25">
      <c r="B118" s="26">
        <f>SUM(L118:CW118)</f>
      </c>
      <c r="D118" s="27">
        <f>B118*E118</f>
      </c>
      <c r="E118" s="27">
        <v>140</v>
      </c>
      <c r="F118" s="8" t="s">
        <v>42</v>
      </c>
      <c r="L118" s="28">
        <v>1</v>
      </c>
      <c r="M118" s="28">
        <v>1</v>
      </c>
      <c r="N118" s="28">
        <v>1</v>
      </c>
      <c r="O118" s="28">
        <v>1</v>
      </c>
      <c r="P118" s="28">
        <v>1</v>
      </c>
      <c r="Q118" s="28">
        <v>0</v>
      </c>
      <c r="R118" s="28">
        <v>0</v>
      </c>
      <c r="S118" s="28">
        <v>1</v>
      </c>
      <c r="T118" s="28">
        <v>1</v>
      </c>
      <c r="U118" s="28">
        <v>1</v>
      </c>
      <c r="V118" s="28">
        <v>1</v>
      </c>
      <c r="W118" s="28">
        <v>1</v>
      </c>
      <c r="X118" s="28">
        <v>0</v>
      </c>
      <c r="Y118" s="28">
        <v>0</v>
      </c>
      <c r="Z118" s="28">
        <v>1</v>
      </c>
      <c r="AA118" s="28">
        <v>1</v>
      </c>
      <c r="AB118" s="28">
        <v>1</v>
      </c>
      <c r="AC118" s="28">
        <v>1</v>
      </c>
      <c r="AD118" s="28">
        <v>1</v>
      </c>
      <c r="AE118" s="28">
        <v>0</v>
      </c>
      <c r="AF118" s="28">
        <v>0</v>
      </c>
      <c r="AG118" s="28">
        <v>1</v>
      </c>
      <c r="AH118" s="28">
        <v>1</v>
      </c>
      <c r="AI118" s="28">
        <v>1</v>
      </c>
      <c r="AJ118" s="28">
        <v>1</v>
      </c>
      <c r="AK118" s="28">
        <v>1</v>
      </c>
      <c r="AL118" s="28">
        <v>0</v>
      </c>
      <c r="AM118" s="28">
        <v>0</v>
      </c>
      <c r="AN118" s="28">
        <v>1</v>
      </c>
      <c r="AO118" s="28">
        <v>1</v>
      </c>
      <c r="AP118" s="28">
        <v>1</v>
      </c>
      <c r="AQ118" s="28">
        <v>1</v>
      </c>
      <c r="AR118" s="28">
        <v>1</v>
      </c>
      <c r="AS118" s="28">
        <v>0</v>
      </c>
      <c r="AT118" s="28">
        <v>0</v>
      </c>
      <c r="AU118" s="28">
        <v>1</v>
      </c>
      <c r="AV118" s="28">
        <v>1</v>
      </c>
      <c r="AW118" s="28">
        <v>1</v>
      </c>
      <c r="AX118" s="28">
        <v>1</v>
      </c>
      <c r="AY118" s="28">
        <v>1</v>
      </c>
      <c r="AZ118" s="28">
        <v>0</v>
      </c>
      <c r="BA118" s="28">
        <v>0</v>
      </c>
      <c r="BB118" s="28">
        <v>1</v>
      </c>
      <c r="BC118" s="28">
        <v>1</v>
      </c>
      <c r="BD118" s="28">
        <v>1</v>
      </c>
      <c r="BE118" s="28">
        <v>1</v>
      </c>
      <c r="BF118" s="28">
        <v>1</v>
      </c>
      <c r="BG118" s="28">
        <v>0</v>
      </c>
      <c r="BH118" s="28">
        <v>0</v>
      </c>
      <c r="BI118" s="28">
        <v>1</v>
      </c>
      <c r="BJ118" s="28">
        <v>1</v>
      </c>
      <c r="BK118" s="28">
        <v>1</v>
      </c>
      <c r="BL118" s="28">
        <v>1</v>
      </c>
      <c r="BM118" s="28">
        <v>1</v>
      </c>
      <c r="BN118" s="28">
        <v>1</v>
      </c>
      <c r="BO118" s="28">
        <v>1</v>
      </c>
      <c r="BP118" s="28">
        <v>1</v>
      </c>
      <c r="BQ118" s="28">
        <v>1</v>
      </c>
      <c r="BR118" s="28">
        <v>1</v>
      </c>
      <c r="BS118" s="28">
        <v>1</v>
      </c>
      <c r="BT118" s="28">
        <v>1</v>
      </c>
      <c r="BU118" s="28">
        <v>1</v>
      </c>
      <c r="BV118" s="28">
        <v>1</v>
      </c>
      <c r="BW118" s="28">
        <v>1</v>
      </c>
      <c r="BX118" s="28">
        <v>1</v>
      </c>
      <c r="BY118" s="28">
        <v>1</v>
      </c>
      <c r="BZ118" s="28">
        <v>1</v>
      </c>
      <c r="CA118" s="28">
        <v>1</v>
      </c>
      <c r="CB118" s="28">
        <v>1</v>
      </c>
      <c r="CC118" s="28">
        <v>0</v>
      </c>
      <c r="CD118" s="28">
        <v>1</v>
      </c>
      <c r="CE118" s="28">
        <v>1</v>
      </c>
      <c r="CF118" s="28">
        <v>1</v>
      </c>
      <c r="CG118" s="28">
        <v>1</v>
      </c>
      <c r="CH118" s="28">
        <v>1</v>
      </c>
      <c r="CI118" s="28">
        <v>1</v>
      </c>
      <c r="CJ118" s="28">
        <v>1</v>
      </c>
      <c r="CK118" s="28">
        <v>1</v>
      </c>
      <c r="CL118" s="28">
        <v>1</v>
      </c>
      <c r="CM118" s="28">
        <v>1</v>
      </c>
      <c r="CN118" s="28">
        <v>1</v>
      </c>
      <c r="CO118" s="28">
        <v>1</v>
      </c>
      <c r="CP118" s="28">
        <v>1</v>
      </c>
      <c r="CQ118" s="28">
        <v>0</v>
      </c>
      <c r="CR118" s="28">
        <v>1</v>
      </c>
      <c r="CS118" s="28">
        <v>1</v>
      </c>
      <c r="CT118" s="28">
        <v>1</v>
      </c>
      <c r="CU118" s="28">
        <v>1</v>
      </c>
      <c r="CV118" s="28">
        <v>1</v>
      </c>
      <c r="CW118" s="28">
        <v>1</v>
      </c>
      <c r="CX118" s="8" t="s">
        <v>67</v>
      </c>
    </row>
    <row r="119" spans="1:102" x14ac:dyDescent="0.25">
      <c r="A119" s="20" t="s">
        <v>32</v>
      </c>
      <c r="B119" s="21">
        <f>G119+H119+I119</f>
      </c>
      <c r="C119" s="20" t="s">
        <v>68</v>
      </c>
      <c r="D119" s="22">
        <f>K119</f>
      </c>
      <c r="F119" s="20" t="s">
        <v>34</v>
      </c>
      <c r="G119" s="21">
        <f>B122</f>
      </c>
      <c r="H119" s="21">
        <f>B123</f>
      </c>
      <c r="I119" s="21">
        <f>B124</f>
      </c>
      <c r="J119" s="21">
        <f>B125</f>
      </c>
      <c r="K119" s="22">
        <f>D122+D123+D124</f>
      </c>
      <c r="CX119" s="20" t="s">
        <v>69</v>
      </c>
    </row>
    <row r="120" spans="6:102" x14ac:dyDescent="0.25">
      <c r="F120" s="23" t="s">
        <v>36</v>
      </c>
      <c r="L120" s="24">
        <v>1</v>
      </c>
      <c r="M120" s="24">
        <v>1</v>
      </c>
      <c r="N120" s="24">
        <v>1</v>
      </c>
      <c r="O120" s="24">
        <v>1</v>
      </c>
      <c r="P120" s="24">
        <v>1</v>
      </c>
      <c r="Q120" s="24">
        <v>0</v>
      </c>
      <c r="R120" s="24">
        <v>0</v>
      </c>
      <c r="S120" s="24">
        <v>1</v>
      </c>
      <c r="T120" s="24">
        <v>1</v>
      </c>
      <c r="U120" s="24">
        <v>1</v>
      </c>
      <c r="V120" s="24">
        <v>1</v>
      </c>
      <c r="W120" s="24">
        <v>1</v>
      </c>
      <c r="X120" s="24">
        <v>0</v>
      </c>
      <c r="Y120" s="24">
        <v>0</v>
      </c>
      <c r="Z120" s="24">
        <v>1</v>
      </c>
      <c r="AA120" s="24">
        <v>1</v>
      </c>
      <c r="AB120" s="24">
        <v>1</v>
      </c>
      <c r="AC120" s="24">
        <v>1</v>
      </c>
      <c r="AD120" s="24">
        <v>1</v>
      </c>
      <c r="AE120" s="24">
        <v>0</v>
      </c>
      <c r="AF120" s="24">
        <v>0</v>
      </c>
      <c r="AG120" s="24">
        <v>1</v>
      </c>
      <c r="AH120" s="24">
        <v>1</v>
      </c>
      <c r="AI120" s="24">
        <v>1</v>
      </c>
      <c r="AJ120" s="24">
        <v>1</v>
      </c>
      <c r="AK120" s="24">
        <v>1</v>
      </c>
      <c r="AL120" s="24">
        <v>0</v>
      </c>
      <c r="AM120" s="24">
        <v>0</v>
      </c>
      <c r="AN120" s="24">
        <v>1</v>
      </c>
      <c r="AO120" s="24">
        <v>1</v>
      </c>
      <c r="AP120" s="24">
        <v>1</v>
      </c>
      <c r="AQ120" s="24">
        <v>1</v>
      </c>
      <c r="AR120" s="24">
        <v>1</v>
      </c>
      <c r="AS120" s="24">
        <v>0</v>
      </c>
      <c r="AT120" s="24">
        <v>0</v>
      </c>
      <c r="AU120" s="24">
        <v>1</v>
      </c>
      <c r="AV120" s="24">
        <v>1</v>
      </c>
      <c r="AW120" s="24">
        <v>1</v>
      </c>
      <c r="AX120" s="24">
        <v>1</v>
      </c>
      <c r="AY120" s="24">
        <v>1</v>
      </c>
      <c r="AZ120" s="24">
        <v>0</v>
      </c>
      <c r="BA120" s="24">
        <v>0</v>
      </c>
      <c r="BB120" s="24">
        <v>1</v>
      </c>
      <c r="BC120" s="24">
        <v>1</v>
      </c>
      <c r="BD120" s="24">
        <v>1</v>
      </c>
      <c r="BE120" s="24">
        <v>1</v>
      </c>
      <c r="BF120" s="24">
        <v>1</v>
      </c>
      <c r="BG120" s="24">
        <v>0</v>
      </c>
      <c r="BH120" s="24">
        <v>0</v>
      </c>
      <c r="BI120" s="24">
        <v>1</v>
      </c>
      <c r="BJ120" s="24">
        <v>1</v>
      </c>
      <c r="BK120" s="24">
        <v>1</v>
      </c>
      <c r="BL120" s="24">
        <v>1</v>
      </c>
      <c r="BM120" s="24">
        <v>1</v>
      </c>
      <c r="BN120" s="24">
        <v>1</v>
      </c>
      <c r="BO120" s="24">
        <v>1</v>
      </c>
      <c r="BP120" s="24">
        <v>1</v>
      </c>
      <c r="BQ120" s="24">
        <v>1</v>
      </c>
      <c r="BR120" s="24">
        <v>1</v>
      </c>
      <c r="BS120" s="24">
        <v>1</v>
      </c>
      <c r="BT120" s="24">
        <v>1</v>
      </c>
      <c r="BU120" s="24">
        <v>1</v>
      </c>
      <c r="BV120" s="24">
        <v>1</v>
      </c>
      <c r="BW120" s="24">
        <v>1</v>
      </c>
      <c r="BX120" s="24">
        <v>1</v>
      </c>
      <c r="BY120" s="24">
        <v>1</v>
      </c>
      <c r="BZ120" s="24">
        <v>1</v>
      </c>
      <c r="CA120" s="24">
        <v>1</v>
      </c>
      <c r="CB120" s="24">
        <v>1</v>
      </c>
      <c r="CC120" s="24">
        <v>1</v>
      </c>
      <c r="CD120" s="24">
        <v>1</v>
      </c>
      <c r="CE120" s="24">
        <v>1</v>
      </c>
      <c r="CF120" s="24">
        <v>1</v>
      </c>
      <c r="CG120" s="24">
        <v>1</v>
      </c>
      <c r="CH120" s="24">
        <v>1</v>
      </c>
      <c r="CI120" s="24">
        <v>1</v>
      </c>
      <c r="CJ120" s="24">
        <v>1</v>
      </c>
      <c r="CK120" s="24">
        <v>1</v>
      </c>
      <c r="CL120" s="24">
        <v>1</v>
      </c>
      <c r="CM120" s="24">
        <v>1</v>
      </c>
      <c r="CN120" s="24">
        <v>1</v>
      </c>
      <c r="CO120" s="24">
        <v>1</v>
      </c>
      <c r="CP120" s="24">
        <v>1</v>
      </c>
      <c r="CQ120" s="24">
        <v>1</v>
      </c>
      <c r="CR120" s="24">
        <v>1</v>
      </c>
      <c r="CS120" s="24">
        <v>1</v>
      </c>
      <c r="CT120" s="24">
        <v>1</v>
      </c>
      <c r="CU120" s="24">
        <v>1</v>
      </c>
      <c r="CV120" s="24">
        <v>1</v>
      </c>
      <c r="CW120" s="24">
        <v>1</v>
      </c>
      <c r="CX120" s="23" t="s">
        <v>69</v>
      </c>
    </row>
    <row r="121" spans="1:102" x14ac:dyDescent="0.25">
      <c r="A121" s="23" t="s">
        <v>37</v>
      </c>
      <c r="F121" s="23" t="s">
        <v>38</v>
      </c>
      <c r="L121" s="25">
        <v>9</v>
      </c>
      <c r="M121" s="25">
        <v>9</v>
      </c>
      <c r="N121" s="25">
        <v>9</v>
      </c>
      <c r="O121" s="25">
        <v>9</v>
      </c>
      <c r="P121" s="25">
        <v>9</v>
      </c>
      <c r="Q121" s="25">
        <v>0</v>
      </c>
      <c r="R121" s="25">
        <v>0</v>
      </c>
      <c r="S121" s="25">
        <v>9</v>
      </c>
      <c r="T121" s="25">
        <v>9</v>
      </c>
      <c r="U121" s="25">
        <v>9</v>
      </c>
      <c r="V121" s="25">
        <v>9</v>
      </c>
      <c r="W121" s="25">
        <v>9</v>
      </c>
      <c r="X121" s="25">
        <v>0</v>
      </c>
      <c r="Y121" s="25">
        <v>0</v>
      </c>
      <c r="Z121" s="25">
        <v>9</v>
      </c>
      <c r="AA121" s="25">
        <v>9</v>
      </c>
      <c r="AB121" s="25">
        <v>9</v>
      </c>
      <c r="AC121" s="25">
        <v>9</v>
      </c>
      <c r="AD121" s="25">
        <v>9</v>
      </c>
      <c r="AE121" s="25">
        <v>0</v>
      </c>
      <c r="AF121" s="25">
        <v>0</v>
      </c>
      <c r="AG121" s="25">
        <v>9</v>
      </c>
      <c r="AH121" s="25">
        <v>9</v>
      </c>
      <c r="AI121" s="25">
        <v>9</v>
      </c>
      <c r="AJ121" s="25">
        <v>9</v>
      </c>
      <c r="AK121" s="25">
        <v>9</v>
      </c>
      <c r="AL121" s="25">
        <v>0</v>
      </c>
      <c r="AM121" s="25">
        <v>0</v>
      </c>
      <c r="AN121" s="25">
        <v>9</v>
      </c>
      <c r="AO121" s="25">
        <v>9</v>
      </c>
      <c r="AP121" s="25">
        <v>9</v>
      </c>
      <c r="AQ121" s="25">
        <v>9</v>
      </c>
      <c r="AR121" s="25">
        <v>9</v>
      </c>
      <c r="AS121" s="25">
        <v>0</v>
      </c>
      <c r="AT121" s="25">
        <v>0</v>
      </c>
      <c r="AU121" s="25">
        <v>9</v>
      </c>
      <c r="AV121" s="25">
        <v>9</v>
      </c>
      <c r="AW121" s="25">
        <v>9</v>
      </c>
      <c r="AX121" s="25">
        <v>9</v>
      </c>
      <c r="AY121" s="25">
        <v>9</v>
      </c>
      <c r="AZ121" s="25">
        <v>0</v>
      </c>
      <c r="BA121" s="25">
        <v>0</v>
      </c>
      <c r="BB121" s="25">
        <v>9</v>
      </c>
      <c r="BC121" s="25">
        <v>9</v>
      </c>
      <c r="BD121" s="25">
        <v>9</v>
      </c>
      <c r="BE121" s="25">
        <v>9</v>
      </c>
      <c r="BF121" s="25">
        <v>9</v>
      </c>
      <c r="BG121" s="25">
        <v>0</v>
      </c>
      <c r="BH121" s="25">
        <v>0</v>
      </c>
      <c r="BI121" s="25">
        <v>12</v>
      </c>
      <c r="BJ121" s="25">
        <v>12</v>
      </c>
      <c r="BK121" s="25">
        <v>12</v>
      </c>
      <c r="BL121" s="25">
        <v>12</v>
      </c>
      <c r="BM121" s="25">
        <v>12</v>
      </c>
      <c r="BN121" s="25">
        <v>12</v>
      </c>
      <c r="BO121" s="25">
        <v>12</v>
      </c>
      <c r="BP121" s="25">
        <v>12</v>
      </c>
      <c r="BQ121" s="25">
        <v>12</v>
      </c>
      <c r="BR121" s="25">
        <v>12</v>
      </c>
      <c r="BS121" s="25">
        <v>12</v>
      </c>
      <c r="BT121" s="25">
        <v>12</v>
      </c>
      <c r="BU121" s="25">
        <v>12</v>
      </c>
      <c r="BV121" s="25">
        <v>12</v>
      </c>
      <c r="BW121" s="25">
        <v>12</v>
      </c>
      <c r="BX121" s="25">
        <v>12</v>
      </c>
      <c r="BY121" s="25">
        <v>12</v>
      </c>
      <c r="BZ121" s="25">
        <v>12</v>
      </c>
      <c r="CA121" s="25">
        <v>12</v>
      </c>
      <c r="CB121" s="25">
        <v>12</v>
      </c>
      <c r="CC121" s="25">
        <v>12</v>
      </c>
      <c r="CD121" s="25">
        <v>12</v>
      </c>
      <c r="CE121" s="25">
        <v>12</v>
      </c>
      <c r="CF121" s="25">
        <v>12</v>
      </c>
      <c r="CG121" s="25">
        <v>12</v>
      </c>
      <c r="CH121" s="25">
        <v>12</v>
      </c>
      <c r="CI121" s="25">
        <v>12</v>
      </c>
      <c r="CJ121" s="25">
        <v>12</v>
      </c>
      <c r="CK121" s="25">
        <v>12</v>
      </c>
      <c r="CL121" s="25">
        <v>12</v>
      </c>
      <c r="CM121" s="25">
        <v>12</v>
      </c>
      <c r="CN121" s="25">
        <v>12</v>
      </c>
      <c r="CO121" s="25">
        <v>12</v>
      </c>
      <c r="CP121" s="25">
        <v>12</v>
      </c>
      <c r="CQ121" s="25">
        <v>12</v>
      </c>
      <c r="CR121" s="25">
        <v>12</v>
      </c>
      <c r="CS121" s="25">
        <v>12</v>
      </c>
      <c r="CT121" s="25">
        <v>12</v>
      </c>
      <c r="CU121" s="25">
        <v>12</v>
      </c>
      <c r="CV121" s="25">
        <v>12</v>
      </c>
      <c r="CW121" s="25">
        <v>12</v>
      </c>
      <c r="CX121" s="23" t="s">
        <v>69</v>
      </c>
    </row>
    <row r="122" spans="2:102" x14ac:dyDescent="0.25">
      <c r="B122" s="26">
        <f>SUM(L122:CW122)</f>
      </c>
      <c r="D122" s="27">
        <f>B122*E122</f>
      </c>
      <c r="E122" s="27">
        <f>'Rate Tables'!C17</f>
      </c>
      <c r="F122" s="8" t="s">
        <v>39</v>
      </c>
      <c r="L122" s="26">
        <f>IF(L$6="","",IF(WEEKDAY(L$6,1)=1,0,MIN(8,L121)*L120))</f>
      </c>
      <c r="M122" s="26">
        <f>IF(M$6="","",IF(WEEKDAY(M$6,1)=1,0,MIN(8,M121)*M120))</f>
      </c>
      <c r="N122" s="26">
        <f>IF(N$6="","",IF(WEEKDAY(N$6,1)=1,0,MIN(8,N121)*N120))</f>
      </c>
      <c r="O122" s="26">
        <f>IF(O$6="","",IF(WEEKDAY(O$6,1)=1,0,MIN(8,O121)*O120))</f>
      </c>
      <c r="P122" s="26">
        <f>IF(P$6="","",IF(WEEKDAY(P$6,1)=1,0,MIN(8,P121)*P120))</f>
      </c>
      <c r="Q122" s="26">
        <f>IF(Q$6="","",IF(WEEKDAY(Q$6,1)=1,0,MIN(8,Q121)*Q120))</f>
      </c>
      <c r="R122" s="26">
        <f>IF(R$6="","",IF(WEEKDAY(R$6,1)=1,0,MIN(8,R121)*R120))</f>
      </c>
      <c r="S122" s="26">
        <f>IF(S$6="","",IF(WEEKDAY(S$6,1)=1,0,MIN(8,S121)*S120))</f>
      </c>
      <c r="T122" s="26">
        <f>IF(T$6="","",IF(WEEKDAY(T$6,1)=1,0,MIN(8,T121)*T120))</f>
      </c>
      <c r="U122" s="26">
        <f>IF(U$6="","",IF(WEEKDAY(U$6,1)=1,0,MIN(8,U121)*U120))</f>
      </c>
      <c r="V122" s="26">
        <f>IF(V$6="","",IF(WEEKDAY(V$6,1)=1,0,MIN(8,V121)*V120))</f>
      </c>
      <c r="W122" s="26">
        <f>IF(W$6="","",IF(WEEKDAY(W$6,1)=1,0,MIN(8,W121)*W120))</f>
      </c>
      <c r="X122" s="26">
        <f>IF(X$6="","",IF(WEEKDAY(X$6,1)=1,0,MIN(8,X121)*X120))</f>
      </c>
      <c r="Y122" s="26">
        <f>IF(Y$6="","",IF(WEEKDAY(Y$6,1)=1,0,MIN(8,Y121)*Y120))</f>
      </c>
      <c r="Z122" s="26">
        <f>IF(Z$6="","",IF(WEEKDAY(Z$6,1)=1,0,MIN(8,Z121)*Z120))</f>
      </c>
      <c r="AA122" s="26">
        <f>IF(AA$6="","",IF(WEEKDAY(AA$6,1)=1,0,MIN(8,AA121)*AA120))</f>
      </c>
      <c r="AB122" s="26">
        <f>IF(AB$6="","",IF(WEEKDAY(AB$6,1)=1,0,MIN(8,AB121)*AB120))</f>
      </c>
      <c r="AC122" s="26">
        <f>IF(AC$6="","",IF(WEEKDAY(AC$6,1)=1,0,MIN(8,AC121)*AC120))</f>
      </c>
      <c r="AD122" s="26">
        <f>IF(AD$6="","",IF(WEEKDAY(AD$6,1)=1,0,MIN(8,AD121)*AD120))</f>
      </c>
      <c r="AE122" s="26">
        <f>IF(AE$6="","",IF(WEEKDAY(AE$6,1)=1,0,MIN(8,AE121)*AE120))</f>
      </c>
      <c r="AF122" s="26">
        <f>IF(AF$6="","",IF(WEEKDAY(AF$6,1)=1,0,MIN(8,AF121)*AF120))</f>
      </c>
      <c r="AG122" s="26">
        <f>IF(AG$6="","",IF(WEEKDAY(AG$6,1)=1,0,MIN(8,AG121)*AG120))</f>
      </c>
      <c r="AH122" s="26">
        <f>IF(AH$6="","",IF(WEEKDAY(AH$6,1)=1,0,MIN(8,AH121)*AH120))</f>
      </c>
      <c r="AI122" s="26">
        <f>IF(AI$6="","",IF(WEEKDAY(AI$6,1)=1,0,MIN(8,AI121)*AI120))</f>
      </c>
      <c r="AJ122" s="26">
        <f>IF(AJ$6="","",IF(WEEKDAY(AJ$6,1)=1,0,MIN(8,AJ121)*AJ120))</f>
      </c>
      <c r="AK122" s="26">
        <f>IF(AK$6="","",IF(WEEKDAY(AK$6,1)=1,0,MIN(8,AK121)*AK120))</f>
      </c>
      <c r="AL122" s="26">
        <f>IF(AL$6="","",IF(WEEKDAY(AL$6,1)=1,0,MIN(8,AL121)*AL120))</f>
      </c>
      <c r="AM122" s="26">
        <f>IF(AM$6="","",IF(WEEKDAY(AM$6,1)=1,0,MIN(8,AM121)*AM120))</f>
      </c>
      <c r="AN122" s="26">
        <f>IF(AN$6="","",IF(WEEKDAY(AN$6,1)=1,0,MIN(8,AN121)*AN120))</f>
      </c>
      <c r="AO122" s="26">
        <f>IF(AO$6="","",IF(WEEKDAY(AO$6,1)=1,0,MIN(8,AO121)*AO120))</f>
      </c>
      <c r="AP122" s="26">
        <f>IF(AP$6="","",IF(WEEKDAY(AP$6,1)=1,0,MIN(8,AP121)*AP120))</f>
      </c>
      <c r="AQ122" s="26">
        <f>IF(AQ$6="","",IF(WEEKDAY(AQ$6,1)=1,0,MIN(8,AQ121)*AQ120))</f>
      </c>
      <c r="AR122" s="26">
        <f>IF(AR$6="","",IF(WEEKDAY(AR$6,1)=1,0,MIN(8,AR121)*AR120))</f>
      </c>
      <c r="AS122" s="26">
        <f>IF(AS$6="","",IF(WEEKDAY(AS$6,1)=1,0,MIN(8,AS121)*AS120))</f>
      </c>
      <c r="AT122" s="26">
        <f>IF(AT$6="","",IF(WEEKDAY(AT$6,1)=1,0,MIN(8,AT121)*AT120))</f>
      </c>
      <c r="AU122" s="26">
        <f>IF(AU$6="","",IF(WEEKDAY(AU$6,1)=1,0,MIN(8,AU121)*AU120))</f>
      </c>
      <c r="AV122" s="26">
        <f>IF(AV$6="","",IF(WEEKDAY(AV$6,1)=1,0,MIN(8,AV121)*AV120))</f>
      </c>
      <c r="AW122" s="26">
        <f>IF(AW$6="","",IF(WEEKDAY(AW$6,1)=1,0,MIN(8,AW121)*AW120))</f>
      </c>
      <c r="AX122" s="26">
        <f>IF(AX$6="","",IF(WEEKDAY(AX$6,1)=1,0,MIN(8,AX121)*AX120))</f>
      </c>
      <c r="AY122" s="26">
        <f>IF(AY$6="","",IF(WEEKDAY(AY$6,1)=1,0,MIN(8,AY121)*AY120))</f>
      </c>
      <c r="AZ122" s="26">
        <f>IF(AZ$6="","",IF(WEEKDAY(AZ$6,1)=1,0,MIN(8,AZ121)*AZ120))</f>
      </c>
      <c r="BA122" s="26">
        <f>IF(BA$6="","",IF(WEEKDAY(BA$6,1)=1,0,MIN(8,BA121)*BA120))</f>
      </c>
      <c r="BB122" s="26">
        <f>IF(BB$6="","",IF(WEEKDAY(BB$6,1)=1,0,MIN(8,BB121)*BB120))</f>
      </c>
      <c r="BC122" s="26">
        <f>IF(BC$6="","",IF(WEEKDAY(BC$6,1)=1,0,MIN(8,BC121)*BC120))</f>
      </c>
      <c r="BD122" s="26">
        <f>IF(BD$6="","",IF(WEEKDAY(BD$6,1)=1,0,MIN(8,BD121)*BD120))</f>
      </c>
      <c r="BE122" s="26">
        <f>IF(BE$6="","",IF(WEEKDAY(BE$6,1)=1,0,MIN(8,BE121)*BE120))</f>
      </c>
      <c r="BF122" s="26">
        <f>IF(BF$6="","",IF(WEEKDAY(BF$6,1)=1,0,MIN(8,BF121)*BF120))</f>
      </c>
      <c r="BG122" s="26">
        <f>IF(BG$6="","",IF(WEEKDAY(BG$6,1)=1,0,MIN(8,BG121)*BG120))</f>
      </c>
      <c r="BH122" s="26">
        <f>IF(BH$6="","",IF(WEEKDAY(BH$6,1)=1,0,MIN(8,BH121)*BH120))</f>
      </c>
      <c r="BI122" s="26">
        <f>IF(BI$6="","",IF(WEEKDAY(BI$6,1)=1,0,MIN(8,BI121)*BI120))</f>
      </c>
      <c r="BJ122" s="26">
        <f>IF(BJ$6="","",IF(WEEKDAY(BJ$6,1)=1,0,MIN(8,BJ121)*BJ120))</f>
      </c>
      <c r="BK122" s="26">
        <f>IF(BK$6="","",IF(WEEKDAY(BK$6,1)=1,0,MIN(8,BK121)*BK120))</f>
      </c>
      <c r="BL122" s="26">
        <f>IF(BL$6="","",IF(WEEKDAY(BL$6,1)=1,0,MIN(8,BL121)*BL120))</f>
      </c>
      <c r="BM122" s="26">
        <f>IF(BM$6="","",IF(WEEKDAY(BM$6,1)=1,0,MIN(8,BM121)*BM120))</f>
      </c>
      <c r="BN122" s="26">
        <f>IF(BN$6="","",IF(WEEKDAY(BN$6,1)=1,0,MIN(8,BN121)*BN120))</f>
      </c>
      <c r="BO122" s="26">
        <f>IF(BO$6="","",IF(WEEKDAY(BO$6,1)=1,0,MIN(8,BO121)*BO120))</f>
      </c>
      <c r="BP122" s="26">
        <f>IF(BP$6="","",IF(WEEKDAY(BP$6,1)=1,0,MIN(8,BP121)*BP120))</f>
      </c>
      <c r="BQ122" s="26">
        <f>IF(BQ$6="","",IF(WEEKDAY(BQ$6,1)=1,0,MIN(8,BQ121)*BQ120))</f>
      </c>
      <c r="BR122" s="26">
        <f>IF(BR$6="","",IF(WEEKDAY(BR$6,1)=1,0,MIN(8,BR121)*BR120))</f>
      </c>
      <c r="BS122" s="26">
        <f>IF(BS$6="","",IF(WEEKDAY(BS$6,1)=1,0,MIN(8,BS121)*BS120))</f>
      </c>
      <c r="BT122" s="26">
        <f>IF(BT$6="","",IF(WEEKDAY(BT$6,1)=1,0,MIN(8,BT121)*BT120))</f>
      </c>
      <c r="BU122" s="26">
        <f>IF(BU$6="","",IF(WEEKDAY(BU$6,1)=1,0,MIN(8,BU121)*BU120))</f>
      </c>
      <c r="BV122" s="26">
        <f>IF(BV$6="","",IF(WEEKDAY(BV$6,1)=1,0,MIN(8,BV121)*BV120))</f>
      </c>
      <c r="BW122" s="26">
        <f>IF(BW$6="","",IF(WEEKDAY(BW$6,1)=1,0,MIN(8,BW121)*BW120))</f>
      </c>
      <c r="BX122" s="26">
        <f>IF(BX$6="","",IF(WEEKDAY(BX$6,1)=1,0,MIN(8,BX121)*BX120))</f>
      </c>
      <c r="BY122" s="26">
        <f>IF(BY$6="","",IF(WEEKDAY(BY$6,1)=1,0,MIN(8,BY121)*BY120))</f>
      </c>
      <c r="BZ122" s="26">
        <f>IF(BZ$6="","",IF(WEEKDAY(BZ$6,1)=1,0,MIN(8,BZ121)*BZ120))</f>
      </c>
      <c r="CA122" s="26">
        <f>IF(CA$6="","",IF(WEEKDAY(CA$6,1)=1,0,MIN(8,CA121)*CA120))</f>
      </c>
      <c r="CB122" s="26">
        <f>IF(CB$6="","",IF(WEEKDAY(CB$6,1)=1,0,MIN(8,CB121)*CB120))</f>
      </c>
      <c r="CC122" s="26">
        <f>IF(CC$6="","",IF(WEEKDAY(CC$6,1)=1,0,MIN(8,CC121)*CC120))</f>
      </c>
      <c r="CD122" s="26">
        <f>IF(CD$6="","",IF(WEEKDAY(CD$6,1)=1,0,MIN(8,CD121)*CD120))</f>
      </c>
      <c r="CE122" s="26">
        <f>IF(CE$6="","",IF(WEEKDAY(CE$6,1)=1,0,MIN(8,CE121)*CE120))</f>
      </c>
      <c r="CF122" s="26">
        <f>IF(CF$6="","",IF(WEEKDAY(CF$6,1)=1,0,MIN(8,CF121)*CF120))</f>
      </c>
      <c r="CG122" s="26">
        <f>IF(CG$6="","",IF(WEEKDAY(CG$6,1)=1,0,MIN(8,CG121)*CG120))</f>
      </c>
      <c r="CH122" s="26">
        <f>IF(CH$6="","",IF(WEEKDAY(CH$6,1)=1,0,MIN(8,CH121)*CH120))</f>
      </c>
      <c r="CI122" s="26">
        <f>IF(CI$6="","",IF(WEEKDAY(CI$6,1)=1,0,MIN(8,CI121)*CI120))</f>
      </c>
      <c r="CJ122" s="26">
        <f>IF(CJ$6="","",IF(WEEKDAY(CJ$6,1)=1,0,MIN(8,CJ121)*CJ120))</f>
      </c>
      <c r="CK122" s="26">
        <f>IF(CK$6="","",IF(WEEKDAY(CK$6,1)=1,0,MIN(8,CK121)*CK120))</f>
      </c>
      <c r="CL122" s="26">
        <f>IF(CL$6="","",IF(WEEKDAY(CL$6,1)=1,0,MIN(8,CL121)*CL120))</f>
      </c>
      <c r="CM122" s="26">
        <f>IF(CM$6="","",IF(WEEKDAY(CM$6,1)=1,0,MIN(8,CM121)*CM120))</f>
      </c>
      <c r="CN122" s="26">
        <f>IF(CN$6="","",IF(WEEKDAY(CN$6,1)=1,0,MIN(8,CN121)*CN120))</f>
      </c>
      <c r="CO122" s="26">
        <f>IF(CO$6="","",IF(WEEKDAY(CO$6,1)=1,0,MIN(8,CO121)*CO120))</f>
      </c>
      <c r="CP122" s="26">
        <f>IF(CP$6="","",IF(WEEKDAY(CP$6,1)=1,0,MIN(8,CP121)*CP120))</f>
      </c>
      <c r="CQ122" s="26">
        <f>IF(CQ$6="","",IF(WEEKDAY(CQ$6,1)=1,0,MIN(8,CQ121)*CQ120))</f>
      </c>
      <c r="CR122" s="26">
        <f>IF(CR$6="","",IF(WEEKDAY(CR$6,1)=1,0,MIN(8,CR121)*CR120))</f>
      </c>
      <c r="CS122" s="26">
        <f>IF(CS$6="","",IF(WEEKDAY(CS$6,1)=1,0,MIN(8,CS121)*CS120))</f>
      </c>
      <c r="CT122" s="26">
        <f>IF(CT$6="","",IF(WEEKDAY(CT$6,1)=1,0,MIN(8,CT121)*CT120))</f>
      </c>
      <c r="CU122" s="26">
        <f>IF(CU$6="","",IF(WEEKDAY(CU$6,1)=1,0,MIN(8,CU121)*CU120))</f>
      </c>
      <c r="CV122" s="26">
        <f>IF(CV$6="","",IF(WEEKDAY(CV$6,1)=1,0,MIN(8,CV121)*CV120))</f>
      </c>
      <c r="CW122" s="26">
        <f>IF(CW$6="","",IF(WEEKDAY(CW$6,1)=1,0,MIN(8,CW121)*CW120))</f>
      </c>
      <c r="CX122" s="8" t="s">
        <v>69</v>
      </c>
    </row>
    <row r="123" spans="2:102" x14ac:dyDescent="0.25">
      <c r="B123" s="26">
        <f>SUM(L123:CW123)</f>
      </c>
      <c r="D123" s="27">
        <f>B123*E123</f>
      </c>
      <c r="E123" s="27">
        <f>'Rate Tables'!D17</f>
      </c>
      <c r="F123" s="8" t="s">
        <v>40</v>
      </c>
      <c r="L123" s="26">
        <f>IF(L$6="","",IF(WEEKDAY(L$6,1)=1,0,MAX(0,L121-8)*L120))</f>
      </c>
      <c r="M123" s="26">
        <f>IF(M$6="","",IF(WEEKDAY(M$6,1)=1,0,MAX(0,M121-8)*M120))</f>
      </c>
      <c r="N123" s="26">
        <f>IF(N$6="","",IF(WEEKDAY(N$6,1)=1,0,MAX(0,N121-8)*N120))</f>
      </c>
      <c r="O123" s="26">
        <f>IF(O$6="","",IF(WEEKDAY(O$6,1)=1,0,MAX(0,O121-8)*O120))</f>
      </c>
      <c r="P123" s="26">
        <f>IF(P$6="","",IF(WEEKDAY(P$6,1)=1,0,MAX(0,P121-8)*P120))</f>
      </c>
      <c r="Q123" s="26">
        <f>IF(Q$6="","",IF(WEEKDAY(Q$6,1)=1,0,MAX(0,Q121-8)*Q120))</f>
      </c>
      <c r="R123" s="26">
        <f>IF(R$6="","",IF(WEEKDAY(R$6,1)=1,0,MAX(0,R121-8)*R120))</f>
      </c>
      <c r="S123" s="26">
        <f>IF(S$6="","",IF(WEEKDAY(S$6,1)=1,0,MAX(0,S121-8)*S120))</f>
      </c>
      <c r="T123" s="26">
        <f>IF(T$6="","",IF(WEEKDAY(T$6,1)=1,0,MAX(0,T121-8)*T120))</f>
      </c>
      <c r="U123" s="26">
        <f>IF(U$6="","",IF(WEEKDAY(U$6,1)=1,0,MAX(0,U121-8)*U120))</f>
      </c>
      <c r="V123" s="26">
        <f>IF(V$6="","",IF(WEEKDAY(V$6,1)=1,0,MAX(0,V121-8)*V120))</f>
      </c>
      <c r="W123" s="26">
        <f>IF(W$6="","",IF(WEEKDAY(W$6,1)=1,0,MAX(0,W121-8)*W120))</f>
      </c>
      <c r="X123" s="26">
        <f>IF(X$6="","",IF(WEEKDAY(X$6,1)=1,0,MAX(0,X121-8)*X120))</f>
      </c>
      <c r="Y123" s="26">
        <f>IF(Y$6="","",IF(WEEKDAY(Y$6,1)=1,0,MAX(0,Y121-8)*Y120))</f>
      </c>
      <c r="Z123" s="26">
        <f>IF(Z$6="","",IF(WEEKDAY(Z$6,1)=1,0,MAX(0,Z121-8)*Z120))</f>
      </c>
      <c r="AA123" s="26">
        <f>IF(AA$6="","",IF(WEEKDAY(AA$6,1)=1,0,MAX(0,AA121-8)*AA120))</f>
      </c>
      <c r="AB123" s="26">
        <f>IF(AB$6="","",IF(WEEKDAY(AB$6,1)=1,0,MAX(0,AB121-8)*AB120))</f>
      </c>
      <c r="AC123" s="26">
        <f>IF(AC$6="","",IF(WEEKDAY(AC$6,1)=1,0,MAX(0,AC121-8)*AC120))</f>
      </c>
      <c r="AD123" s="26">
        <f>IF(AD$6="","",IF(WEEKDAY(AD$6,1)=1,0,MAX(0,AD121-8)*AD120))</f>
      </c>
      <c r="AE123" s="26">
        <f>IF(AE$6="","",IF(WEEKDAY(AE$6,1)=1,0,MAX(0,AE121-8)*AE120))</f>
      </c>
      <c r="AF123" s="26">
        <f>IF(AF$6="","",IF(WEEKDAY(AF$6,1)=1,0,MAX(0,AF121-8)*AF120))</f>
      </c>
      <c r="AG123" s="26">
        <f>IF(AG$6="","",IF(WEEKDAY(AG$6,1)=1,0,MAX(0,AG121-8)*AG120))</f>
      </c>
      <c r="AH123" s="26">
        <f>IF(AH$6="","",IF(WEEKDAY(AH$6,1)=1,0,MAX(0,AH121-8)*AH120))</f>
      </c>
      <c r="AI123" s="26">
        <f>IF(AI$6="","",IF(WEEKDAY(AI$6,1)=1,0,MAX(0,AI121-8)*AI120))</f>
      </c>
      <c r="AJ123" s="26">
        <f>IF(AJ$6="","",IF(WEEKDAY(AJ$6,1)=1,0,MAX(0,AJ121-8)*AJ120))</f>
      </c>
      <c r="AK123" s="26">
        <f>IF(AK$6="","",IF(WEEKDAY(AK$6,1)=1,0,MAX(0,AK121-8)*AK120))</f>
      </c>
      <c r="AL123" s="26">
        <f>IF(AL$6="","",IF(WEEKDAY(AL$6,1)=1,0,MAX(0,AL121-8)*AL120))</f>
      </c>
      <c r="AM123" s="26">
        <f>IF(AM$6="","",IF(WEEKDAY(AM$6,1)=1,0,MAX(0,AM121-8)*AM120))</f>
      </c>
      <c r="AN123" s="26">
        <f>IF(AN$6="","",IF(WEEKDAY(AN$6,1)=1,0,MAX(0,AN121-8)*AN120))</f>
      </c>
      <c r="AO123" s="26">
        <f>IF(AO$6="","",IF(WEEKDAY(AO$6,1)=1,0,MAX(0,AO121-8)*AO120))</f>
      </c>
      <c r="AP123" s="26">
        <f>IF(AP$6="","",IF(WEEKDAY(AP$6,1)=1,0,MAX(0,AP121-8)*AP120))</f>
      </c>
      <c r="AQ123" s="26">
        <f>IF(AQ$6="","",IF(WEEKDAY(AQ$6,1)=1,0,MAX(0,AQ121-8)*AQ120))</f>
      </c>
      <c r="AR123" s="26">
        <f>IF(AR$6="","",IF(WEEKDAY(AR$6,1)=1,0,MAX(0,AR121-8)*AR120))</f>
      </c>
      <c r="AS123" s="26">
        <f>IF(AS$6="","",IF(WEEKDAY(AS$6,1)=1,0,MAX(0,AS121-8)*AS120))</f>
      </c>
      <c r="AT123" s="26">
        <f>IF(AT$6="","",IF(WEEKDAY(AT$6,1)=1,0,MAX(0,AT121-8)*AT120))</f>
      </c>
      <c r="AU123" s="26">
        <f>IF(AU$6="","",IF(WEEKDAY(AU$6,1)=1,0,MAX(0,AU121-8)*AU120))</f>
      </c>
      <c r="AV123" s="26">
        <f>IF(AV$6="","",IF(WEEKDAY(AV$6,1)=1,0,MAX(0,AV121-8)*AV120))</f>
      </c>
      <c r="AW123" s="26">
        <f>IF(AW$6="","",IF(WEEKDAY(AW$6,1)=1,0,MAX(0,AW121-8)*AW120))</f>
      </c>
      <c r="AX123" s="26">
        <f>IF(AX$6="","",IF(WEEKDAY(AX$6,1)=1,0,MAX(0,AX121-8)*AX120))</f>
      </c>
      <c r="AY123" s="26">
        <f>IF(AY$6="","",IF(WEEKDAY(AY$6,1)=1,0,MAX(0,AY121-8)*AY120))</f>
      </c>
      <c r="AZ123" s="26">
        <f>IF(AZ$6="","",IF(WEEKDAY(AZ$6,1)=1,0,MAX(0,AZ121-8)*AZ120))</f>
      </c>
      <c r="BA123" s="26">
        <f>IF(BA$6="","",IF(WEEKDAY(BA$6,1)=1,0,MAX(0,BA121-8)*BA120))</f>
      </c>
      <c r="BB123" s="26">
        <f>IF(BB$6="","",IF(WEEKDAY(BB$6,1)=1,0,MAX(0,BB121-8)*BB120))</f>
      </c>
      <c r="BC123" s="26">
        <f>IF(BC$6="","",IF(WEEKDAY(BC$6,1)=1,0,MAX(0,BC121-8)*BC120))</f>
      </c>
      <c r="BD123" s="26">
        <f>IF(BD$6="","",IF(WEEKDAY(BD$6,1)=1,0,MAX(0,BD121-8)*BD120))</f>
      </c>
      <c r="BE123" s="26">
        <f>IF(BE$6="","",IF(WEEKDAY(BE$6,1)=1,0,MAX(0,BE121-8)*BE120))</f>
      </c>
      <c r="BF123" s="26">
        <f>IF(BF$6="","",IF(WEEKDAY(BF$6,1)=1,0,MAX(0,BF121-8)*BF120))</f>
      </c>
      <c r="BG123" s="26">
        <f>IF(BG$6="","",IF(WEEKDAY(BG$6,1)=1,0,MAX(0,BG121-8)*BG120))</f>
      </c>
      <c r="BH123" s="26">
        <f>IF(BH$6="","",IF(WEEKDAY(BH$6,1)=1,0,MAX(0,BH121-8)*BH120))</f>
      </c>
      <c r="BI123" s="26">
        <f>IF(BI$6="","",IF(WEEKDAY(BI$6,1)=1,0,MAX(0,BI121-8)*BI120))</f>
      </c>
      <c r="BJ123" s="26">
        <f>IF(BJ$6="","",IF(WEEKDAY(BJ$6,1)=1,0,MAX(0,BJ121-8)*BJ120))</f>
      </c>
      <c r="BK123" s="26">
        <f>IF(BK$6="","",IF(WEEKDAY(BK$6,1)=1,0,MAX(0,BK121-8)*BK120))</f>
      </c>
      <c r="BL123" s="26">
        <f>IF(BL$6="","",IF(WEEKDAY(BL$6,1)=1,0,MAX(0,BL121-8)*BL120))</f>
      </c>
      <c r="BM123" s="26">
        <f>IF(BM$6="","",IF(WEEKDAY(BM$6,1)=1,0,MAX(0,BM121-8)*BM120))</f>
      </c>
      <c r="BN123" s="26">
        <f>IF(BN$6="","",IF(WEEKDAY(BN$6,1)=1,0,MAX(0,BN121-8)*BN120))</f>
      </c>
      <c r="BO123" s="26">
        <f>IF(BO$6="","",IF(WEEKDAY(BO$6,1)=1,0,MAX(0,BO121-8)*BO120))</f>
      </c>
      <c r="BP123" s="26">
        <f>IF(BP$6="","",IF(WEEKDAY(BP$6,1)=1,0,MAX(0,BP121-8)*BP120))</f>
      </c>
      <c r="BQ123" s="26">
        <f>IF(BQ$6="","",IF(WEEKDAY(BQ$6,1)=1,0,MAX(0,BQ121-8)*BQ120))</f>
      </c>
      <c r="BR123" s="26">
        <f>IF(BR$6="","",IF(WEEKDAY(BR$6,1)=1,0,MAX(0,BR121-8)*BR120))</f>
      </c>
      <c r="BS123" s="26">
        <f>IF(BS$6="","",IF(WEEKDAY(BS$6,1)=1,0,MAX(0,BS121-8)*BS120))</f>
      </c>
      <c r="BT123" s="26">
        <f>IF(BT$6="","",IF(WEEKDAY(BT$6,1)=1,0,MAX(0,BT121-8)*BT120))</f>
      </c>
      <c r="BU123" s="26">
        <f>IF(BU$6="","",IF(WEEKDAY(BU$6,1)=1,0,MAX(0,BU121-8)*BU120))</f>
      </c>
      <c r="BV123" s="26">
        <f>IF(BV$6="","",IF(WEEKDAY(BV$6,1)=1,0,MAX(0,BV121-8)*BV120))</f>
      </c>
      <c r="BW123" s="26">
        <f>IF(BW$6="","",IF(WEEKDAY(BW$6,1)=1,0,MAX(0,BW121-8)*BW120))</f>
      </c>
      <c r="BX123" s="26">
        <f>IF(BX$6="","",IF(WEEKDAY(BX$6,1)=1,0,MAX(0,BX121-8)*BX120))</f>
      </c>
      <c r="BY123" s="26">
        <f>IF(BY$6="","",IF(WEEKDAY(BY$6,1)=1,0,MAX(0,BY121-8)*BY120))</f>
      </c>
      <c r="BZ123" s="26">
        <f>IF(BZ$6="","",IF(WEEKDAY(BZ$6,1)=1,0,MAX(0,BZ121-8)*BZ120))</f>
      </c>
      <c r="CA123" s="26">
        <f>IF(CA$6="","",IF(WEEKDAY(CA$6,1)=1,0,MAX(0,CA121-8)*CA120))</f>
      </c>
      <c r="CB123" s="26">
        <f>IF(CB$6="","",IF(WEEKDAY(CB$6,1)=1,0,MAX(0,CB121-8)*CB120))</f>
      </c>
      <c r="CC123" s="26">
        <f>IF(CC$6="","",IF(WEEKDAY(CC$6,1)=1,0,MAX(0,CC121-8)*CC120))</f>
      </c>
      <c r="CD123" s="26">
        <f>IF(CD$6="","",IF(WEEKDAY(CD$6,1)=1,0,MAX(0,CD121-8)*CD120))</f>
      </c>
      <c r="CE123" s="26">
        <f>IF(CE$6="","",IF(WEEKDAY(CE$6,1)=1,0,MAX(0,CE121-8)*CE120))</f>
      </c>
      <c r="CF123" s="26">
        <f>IF(CF$6="","",IF(WEEKDAY(CF$6,1)=1,0,MAX(0,CF121-8)*CF120))</f>
      </c>
      <c r="CG123" s="26">
        <f>IF(CG$6="","",IF(WEEKDAY(CG$6,1)=1,0,MAX(0,CG121-8)*CG120))</f>
      </c>
      <c r="CH123" s="26">
        <f>IF(CH$6="","",IF(WEEKDAY(CH$6,1)=1,0,MAX(0,CH121-8)*CH120))</f>
      </c>
      <c r="CI123" s="26">
        <f>IF(CI$6="","",IF(WEEKDAY(CI$6,1)=1,0,MAX(0,CI121-8)*CI120))</f>
      </c>
      <c r="CJ123" s="26">
        <f>IF(CJ$6="","",IF(WEEKDAY(CJ$6,1)=1,0,MAX(0,CJ121-8)*CJ120))</f>
      </c>
      <c r="CK123" s="26">
        <f>IF(CK$6="","",IF(WEEKDAY(CK$6,1)=1,0,MAX(0,CK121-8)*CK120))</f>
      </c>
      <c r="CL123" s="26">
        <f>IF(CL$6="","",IF(WEEKDAY(CL$6,1)=1,0,MAX(0,CL121-8)*CL120))</f>
      </c>
      <c r="CM123" s="26">
        <f>IF(CM$6="","",IF(WEEKDAY(CM$6,1)=1,0,MAX(0,CM121-8)*CM120))</f>
      </c>
      <c r="CN123" s="26">
        <f>IF(CN$6="","",IF(WEEKDAY(CN$6,1)=1,0,MAX(0,CN121-8)*CN120))</f>
      </c>
      <c r="CO123" s="26">
        <f>IF(CO$6="","",IF(WEEKDAY(CO$6,1)=1,0,MAX(0,CO121-8)*CO120))</f>
      </c>
      <c r="CP123" s="26">
        <f>IF(CP$6="","",IF(WEEKDAY(CP$6,1)=1,0,MAX(0,CP121-8)*CP120))</f>
      </c>
      <c r="CQ123" s="26">
        <f>IF(CQ$6="","",IF(WEEKDAY(CQ$6,1)=1,0,MAX(0,CQ121-8)*CQ120))</f>
      </c>
      <c r="CR123" s="26">
        <f>IF(CR$6="","",IF(WEEKDAY(CR$6,1)=1,0,MAX(0,CR121-8)*CR120))</f>
      </c>
      <c r="CS123" s="26">
        <f>IF(CS$6="","",IF(WEEKDAY(CS$6,1)=1,0,MAX(0,CS121-8)*CS120))</f>
      </c>
      <c r="CT123" s="26">
        <f>IF(CT$6="","",IF(WEEKDAY(CT$6,1)=1,0,MAX(0,CT121-8)*CT120))</f>
      </c>
      <c r="CU123" s="26">
        <f>IF(CU$6="","",IF(WEEKDAY(CU$6,1)=1,0,MAX(0,CU121-8)*CU120))</f>
      </c>
      <c r="CV123" s="26">
        <f>IF(CV$6="","",IF(WEEKDAY(CV$6,1)=1,0,MAX(0,CV121-8)*CV120))</f>
      </c>
      <c r="CW123" s="26">
        <f>IF(CW$6="","",IF(WEEKDAY(CW$6,1)=1,0,MAX(0,CW121-8)*CW120))</f>
      </c>
      <c r="CX123" s="8" t="s">
        <v>69</v>
      </c>
    </row>
    <row r="124" spans="2:102" x14ac:dyDescent="0.25">
      <c r="B124" s="26">
        <f>SUM(L124:CW124)</f>
      </c>
      <c r="D124" s="27">
        <f>B124*E124</f>
      </c>
      <c r="E124" s="27">
        <f>'Rate Tables'!E17</f>
      </c>
      <c r="F124" s="8" t="s">
        <v>41</v>
      </c>
      <c r="L124" s="26">
        <f>IF(L$6="","",IF(WEEKDAY(L$6,1)=1,L121*L120,0))</f>
      </c>
      <c r="M124" s="26">
        <f>IF(M$6="","",IF(WEEKDAY(M$6,1)=1,M121*M120,0))</f>
      </c>
      <c r="N124" s="26">
        <f>IF(N$6="","",IF(WEEKDAY(N$6,1)=1,N121*N120,0))</f>
      </c>
      <c r="O124" s="26">
        <f>IF(O$6="","",IF(WEEKDAY(O$6,1)=1,O121*O120,0))</f>
      </c>
      <c r="P124" s="26">
        <f>IF(P$6="","",IF(WEEKDAY(P$6,1)=1,P121*P120,0))</f>
      </c>
      <c r="Q124" s="26">
        <f>IF(Q$6="","",IF(WEEKDAY(Q$6,1)=1,Q121*Q120,0))</f>
      </c>
      <c r="R124" s="26">
        <f>IF(R$6="","",IF(WEEKDAY(R$6,1)=1,R121*R120,0))</f>
      </c>
      <c r="S124" s="26">
        <f>IF(S$6="","",IF(WEEKDAY(S$6,1)=1,S121*S120,0))</f>
      </c>
      <c r="T124" s="26">
        <f>IF(T$6="","",IF(WEEKDAY(T$6,1)=1,T121*T120,0))</f>
      </c>
      <c r="U124" s="26">
        <f>IF(U$6="","",IF(WEEKDAY(U$6,1)=1,U121*U120,0))</f>
      </c>
      <c r="V124" s="26">
        <f>IF(V$6="","",IF(WEEKDAY(V$6,1)=1,V121*V120,0))</f>
      </c>
      <c r="W124" s="26">
        <f>IF(W$6="","",IF(WEEKDAY(W$6,1)=1,W121*W120,0))</f>
      </c>
      <c r="X124" s="26">
        <f>IF(X$6="","",IF(WEEKDAY(X$6,1)=1,X121*X120,0))</f>
      </c>
      <c r="Y124" s="26">
        <f>IF(Y$6="","",IF(WEEKDAY(Y$6,1)=1,Y121*Y120,0))</f>
      </c>
      <c r="Z124" s="26">
        <f>IF(Z$6="","",IF(WEEKDAY(Z$6,1)=1,Z121*Z120,0))</f>
      </c>
      <c r="AA124" s="26">
        <f>IF(AA$6="","",IF(WEEKDAY(AA$6,1)=1,AA121*AA120,0))</f>
      </c>
      <c r="AB124" s="26">
        <f>IF(AB$6="","",IF(WEEKDAY(AB$6,1)=1,AB121*AB120,0))</f>
      </c>
      <c r="AC124" s="26">
        <f>IF(AC$6="","",IF(WEEKDAY(AC$6,1)=1,AC121*AC120,0))</f>
      </c>
      <c r="AD124" s="26">
        <f>IF(AD$6="","",IF(WEEKDAY(AD$6,1)=1,AD121*AD120,0))</f>
      </c>
      <c r="AE124" s="26">
        <f>IF(AE$6="","",IF(WEEKDAY(AE$6,1)=1,AE121*AE120,0))</f>
      </c>
      <c r="AF124" s="26">
        <f>IF(AF$6="","",IF(WEEKDAY(AF$6,1)=1,AF121*AF120,0))</f>
      </c>
      <c r="AG124" s="26">
        <f>IF(AG$6="","",IF(WEEKDAY(AG$6,1)=1,AG121*AG120,0))</f>
      </c>
      <c r="AH124" s="26">
        <f>IF(AH$6="","",IF(WEEKDAY(AH$6,1)=1,AH121*AH120,0))</f>
      </c>
      <c r="AI124" s="26">
        <f>IF(AI$6="","",IF(WEEKDAY(AI$6,1)=1,AI121*AI120,0))</f>
      </c>
      <c r="AJ124" s="26">
        <f>IF(AJ$6="","",IF(WEEKDAY(AJ$6,1)=1,AJ121*AJ120,0))</f>
      </c>
      <c r="AK124" s="26">
        <f>IF(AK$6="","",IF(WEEKDAY(AK$6,1)=1,AK121*AK120,0))</f>
      </c>
      <c r="AL124" s="26">
        <f>IF(AL$6="","",IF(WEEKDAY(AL$6,1)=1,AL121*AL120,0))</f>
      </c>
      <c r="AM124" s="26">
        <f>IF(AM$6="","",IF(WEEKDAY(AM$6,1)=1,AM121*AM120,0))</f>
      </c>
      <c r="AN124" s="26">
        <f>IF(AN$6="","",IF(WEEKDAY(AN$6,1)=1,AN121*AN120,0))</f>
      </c>
      <c r="AO124" s="26">
        <f>IF(AO$6="","",IF(WEEKDAY(AO$6,1)=1,AO121*AO120,0))</f>
      </c>
      <c r="AP124" s="26">
        <f>IF(AP$6="","",IF(WEEKDAY(AP$6,1)=1,AP121*AP120,0))</f>
      </c>
      <c r="AQ124" s="26">
        <f>IF(AQ$6="","",IF(WEEKDAY(AQ$6,1)=1,AQ121*AQ120,0))</f>
      </c>
      <c r="AR124" s="26">
        <f>IF(AR$6="","",IF(WEEKDAY(AR$6,1)=1,AR121*AR120,0))</f>
      </c>
      <c r="AS124" s="26">
        <f>IF(AS$6="","",IF(WEEKDAY(AS$6,1)=1,AS121*AS120,0))</f>
      </c>
      <c r="AT124" s="26">
        <f>IF(AT$6="","",IF(WEEKDAY(AT$6,1)=1,AT121*AT120,0))</f>
      </c>
      <c r="AU124" s="26">
        <f>IF(AU$6="","",IF(WEEKDAY(AU$6,1)=1,AU121*AU120,0))</f>
      </c>
      <c r="AV124" s="26">
        <f>IF(AV$6="","",IF(WEEKDAY(AV$6,1)=1,AV121*AV120,0))</f>
      </c>
      <c r="AW124" s="26">
        <f>IF(AW$6="","",IF(WEEKDAY(AW$6,1)=1,AW121*AW120,0))</f>
      </c>
      <c r="AX124" s="26">
        <f>IF(AX$6="","",IF(WEEKDAY(AX$6,1)=1,AX121*AX120,0))</f>
      </c>
      <c r="AY124" s="26">
        <f>IF(AY$6="","",IF(WEEKDAY(AY$6,1)=1,AY121*AY120,0))</f>
      </c>
      <c r="AZ124" s="26">
        <f>IF(AZ$6="","",IF(WEEKDAY(AZ$6,1)=1,AZ121*AZ120,0))</f>
      </c>
      <c r="BA124" s="26">
        <f>IF(BA$6="","",IF(WEEKDAY(BA$6,1)=1,BA121*BA120,0))</f>
      </c>
      <c r="BB124" s="26">
        <f>IF(BB$6="","",IF(WEEKDAY(BB$6,1)=1,BB121*BB120,0))</f>
      </c>
      <c r="BC124" s="26">
        <f>IF(BC$6="","",IF(WEEKDAY(BC$6,1)=1,BC121*BC120,0))</f>
      </c>
      <c r="BD124" s="26">
        <f>IF(BD$6="","",IF(WEEKDAY(BD$6,1)=1,BD121*BD120,0))</f>
      </c>
      <c r="BE124" s="26">
        <f>IF(BE$6="","",IF(WEEKDAY(BE$6,1)=1,BE121*BE120,0))</f>
      </c>
      <c r="BF124" s="26">
        <f>IF(BF$6="","",IF(WEEKDAY(BF$6,1)=1,BF121*BF120,0))</f>
      </c>
      <c r="BG124" s="26">
        <f>IF(BG$6="","",IF(WEEKDAY(BG$6,1)=1,BG121*BG120,0))</f>
      </c>
      <c r="BH124" s="26">
        <f>IF(BH$6="","",IF(WEEKDAY(BH$6,1)=1,BH121*BH120,0))</f>
      </c>
      <c r="BI124" s="26">
        <f>IF(BI$6="","",IF(WEEKDAY(BI$6,1)=1,BI121*BI120,0))</f>
      </c>
      <c r="BJ124" s="26">
        <f>IF(BJ$6="","",IF(WEEKDAY(BJ$6,1)=1,BJ121*BJ120,0))</f>
      </c>
      <c r="BK124" s="26">
        <f>IF(BK$6="","",IF(WEEKDAY(BK$6,1)=1,BK121*BK120,0))</f>
      </c>
      <c r="BL124" s="26">
        <f>IF(BL$6="","",IF(WEEKDAY(BL$6,1)=1,BL121*BL120,0))</f>
      </c>
      <c r="BM124" s="26">
        <f>IF(BM$6="","",IF(WEEKDAY(BM$6,1)=1,BM121*BM120,0))</f>
      </c>
      <c r="BN124" s="26">
        <f>IF(BN$6="","",IF(WEEKDAY(BN$6,1)=1,BN121*BN120,0))</f>
      </c>
      <c r="BO124" s="26">
        <f>IF(BO$6="","",IF(WEEKDAY(BO$6,1)=1,BO121*BO120,0))</f>
      </c>
      <c r="BP124" s="26">
        <f>IF(BP$6="","",IF(WEEKDAY(BP$6,1)=1,BP121*BP120,0))</f>
      </c>
      <c r="BQ124" s="26">
        <f>IF(BQ$6="","",IF(WEEKDAY(BQ$6,1)=1,BQ121*BQ120,0))</f>
      </c>
      <c r="BR124" s="26">
        <f>IF(BR$6="","",IF(WEEKDAY(BR$6,1)=1,BR121*BR120,0))</f>
      </c>
      <c r="BS124" s="26">
        <f>IF(BS$6="","",IF(WEEKDAY(BS$6,1)=1,BS121*BS120,0))</f>
      </c>
      <c r="BT124" s="26">
        <f>IF(BT$6="","",IF(WEEKDAY(BT$6,1)=1,BT121*BT120,0))</f>
      </c>
      <c r="BU124" s="26">
        <f>IF(BU$6="","",IF(WEEKDAY(BU$6,1)=1,BU121*BU120,0))</f>
      </c>
      <c r="BV124" s="26">
        <f>IF(BV$6="","",IF(WEEKDAY(BV$6,1)=1,BV121*BV120,0))</f>
      </c>
      <c r="BW124" s="26">
        <f>IF(BW$6="","",IF(WEEKDAY(BW$6,1)=1,BW121*BW120,0))</f>
      </c>
      <c r="BX124" s="26">
        <f>IF(BX$6="","",IF(WEEKDAY(BX$6,1)=1,BX121*BX120,0))</f>
      </c>
      <c r="BY124" s="26">
        <f>IF(BY$6="","",IF(WEEKDAY(BY$6,1)=1,BY121*BY120,0))</f>
      </c>
      <c r="BZ124" s="26">
        <f>IF(BZ$6="","",IF(WEEKDAY(BZ$6,1)=1,BZ121*BZ120,0))</f>
      </c>
      <c r="CA124" s="26">
        <f>IF(CA$6="","",IF(WEEKDAY(CA$6,1)=1,CA121*CA120,0))</f>
      </c>
      <c r="CB124" s="26">
        <f>IF(CB$6="","",IF(WEEKDAY(CB$6,1)=1,CB121*CB120,0))</f>
      </c>
      <c r="CC124" s="26">
        <f>IF(CC$6="","",IF(WEEKDAY(CC$6,1)=1,CC121*CC120,0))</f>
      </c>
      <c r="CD124" s="26">
        <f>IF(CD$6="","",IF(WEEKDAY(CD$6,1)=1,CD121*CD120,0))</f>
      </c>
      <c r="CE124" s="26">
        <f>IF(CE$6="","",IF(WEEKDAY(CE$6,1)=1,CE121*CE120,0))</f>
      </c>
      <c r="CF124" s="26">
        <f>IF(CF$6="","",IF(WEEKDAY(CF$6,1)=1,CF121*CF120,0))</f>
      </c>
      <c r="CG124" s="26">
        <f>IF(CG$6="","",IF(WEEKDAY(CG$6,1)=1,CG121*CG120,0))</f>
      </c>
      <c r="CH124" s="26">
        <f>IF(CH$6="","",IF(WEEKDAY(CH$6,1)=1,CH121*CH120,0))</f>
      </c>
      <c r="CI124" s="26">
        <f>IF(CI$6="","",IF(WEEKDAY(CI$6,1)=1,CI121*CI120,0))</f>
      </c>
      <c r="CJ124" s="26">
        <f>IF(CJ$6="","",IF(WEEKDAY(CJ$6,1)=1,CJ121*CJ120,0))</f>
      </c>
      <c r="CK124" s="26">
        <f>IF(CK$6="","",IF(WEEKDAY(CK$6,1)=1,CK121*CK120,0))</f>
      </c>
      <c r="CL124" s="26">
        <f>IF(CL$6="","",IF(WEEKDAY(CL$6,1)=1,CL121*CL120,0))</f>
      </c>
      <c r="CM124" s="26">
        <f>IF(CM$6="","",IF(WEEKDAY(CM$6,1)=1,CM121*CM120,0))</f>
      </c>
      <c r="CN124" s="26">
        <f>IF(CN$6="","",IF(WEEKDAY(CN$6,1)=1,CN121*CN120,0))</f>
      </c>
      <c r="CO124" s="26">
        <f>IF(CO$6="","",IF(WEEKDAY(CO$6,1)=1,CO121*CO120,0))</f>
      </c>
      <c r="CP124" s="26">
        <f>IF(CP$6="","",IF(WEEKDAY(CP$6,1)=1,CP121*CP120,0))</f>
      </c>
      <c r="CQ124" s="26">
        <f>IF(CQ$6="","",IF(WEEKDAY(CQ$6,1)=1,CQ121*CQ120,0))</f>
      </c>
      <c r="CR124" s="26">
        <f>IF(CR$6="","",IF(WEEKDAY(CR$6,1)=1,CR121*CR120,0))</f>
      </c>
      <c r="CS124" s="26">
        <f>IF(CS$6="","",IF(WEEKDAY(CS$6,1)=1,CS121*CS120,0))</f>
      </c>
      <c r="CT124" s="26">
        <f>IF(CT$6="","",IF(WEEKDAY(CT$6,1)=1,CT121*CT120,0))</f>
      </c>
      <c r="CU124" s="26">
        <f>IF(CU$6="","",IF(WEEKDAY(CU$6,1)=1,CU121*CU120,0))</f>
      </c>
      <c r="CV124" s="26">
        <f>IF(CV$6="","",IF(WEEKDAY(CV$6,1)=1,CV121*CV120,0))</f>
      </c>
      <c r="CW124" s="26">
        <f>IF(CW$6="","",IF(WEEKDAY(CW$6,1)=1,CW121*CW120,0))</f>
      </c>
      <c r="CX124" s="8" t="s">
        <v>69</v>
      </c>
    </row>
    <row r="125" spans="2:102" x14ac:dyDescent="0.25">
      <c r="B125" s="26">
        <f>SUM(L125:CW125)</f>
      </c>
      <c r="D125" s="27">
        <f>B125*E125</f>
      </c>
      <c r="E125" s="27">
        <v>140</v>
      </c>
      <c r="F125" s="8" t="s">
        <v>42</v>
      </c>
      <c r="L125" s="28">
        <v>1</v>
      </c>
      <c r="M125" s="28">
        <v>1</v>
      </c>
      <c r="N125" s="28">
        <v>1</v>
      </c>
      <c r="O125" s="28">
        <v>1</v>
      </c>
      <c r="P125" s="28">
        <v>1</v>
      </c>
      <c r="Q125" s="28">
        <v>0</v>
      </c>
      <c r="R125" s="28">
        <v>0</v>
      </c>
      <c r="S125" s="28">
        <v>1</v>
      </c>
      <c r="T125" s="28">
        <v>1</v>
      </c>
      <c r="U125" s="28">
        <v>1</v>
      </c>
      <c r="V125" s="28">
        <v>1</v>
      </c>
      <c r="W125" s="28">
        <v>1</v>
      </c>
      <c r="X125" s="28">
        <v>0</v>
      </c>
      <c r="Y125" s="28">
        <v>0</v>
      </c>
      <c r="Z125" s="28">
        <v>1</v>
      </c>
      <c r="AA125" s="28">
        <v>1</v>
      </c>
      <c r="AB125" s="28">
        <v>1</v>
      </c>
      <c r="AC125" s="28">
        <v>1</v>
      </c>
      <c r="AD125" s="28">
        <v>1</v>
      </c>
      <c r="AE125" s="28">
        <v>0</v>
      </c>
      <c r="AF125" s="28">
        <v>0</v>
      </c>
      <c r="AG125" s="28">
        <v>1</v>
      </c>
      <c r="AH125" s="28">
        <v>1</v>
      </c>
      <c r="AI125" s="28">
        <v>1</v>
      </c>
      <c r="AJ125" s="28">
        <v>1</v>
      </c>
      <c r="AK125" s="28">
        <v>1</v>
      </c>
      <c r="AL125" s="28">
        <v>0</v>
      </c>
      <c r="AM125" s="28">
        <v>0</v>
      </c>
      <c r="AN125" s="28">
        <v>1</v>
      </c>
      <c r="AO125" s="28">
        <v>1</v>
      </c>
      <c r="AP125" s="28">
        <v>1</v>
      </c>
      <c r="AQ125" s="28">
        <v>1</v>
      </c>
      <c r="AR125" s="28">
        <v>1</v>
      </c>
      <c r="AS125" s="28">
        <v>0</v>
      </c>
      <c r="AT125" s="28">
        <v>0</v>
      </c>
      <c r="AU125" s="28">
        <v>1</v>
      </c>
      <c r="AV125" s="28">
        <v>1</v>
      </c>
      <c r="AW125" s="28">
        <v>1</v>
      </c>
      <c r="AX125" s="28">
        <v>1</v>
      </c>
      <c r="AY125" s="28">
        <v>1</v>
      </c>
      <c r="AZ125" s="28">
        <v>0</v>
      </c>
      <c r="BA125" s="28">
        <v>0</v>
      </c>
      <c r="BB125" s="28">
        <v>1</v>
      </c>
      <c r="BC125" s="28">
        <v>1</v>
      </c>
      <c r="BD125" s="28">
        <v>1</v>
      </c>
      <c r="BE125" s="28">
        <v>1</v>
      </c>
      <c r="BF125" s="28">
        <v>1</v>
      </c>
      <c r="BG125" s="28">
        <v>0</v>
      </c>
      <c r="BH125" s="28">
        <v>0</v>
      </c>
      <c r="BI125" s="28">
        <v>1</v>
      </c>
      <c r="BJ125" s="28">
        <v>1</v>
      </c>
      <c r="BK125" s="28">
        <v>1</v>
      </c>
      <c r="BL125" s="28">
        <v>1</v>
      </c>
      <c r="BM125" s="28">
        <v>1</v>
      </c>
      <c r="BN125" s="28">
        <v>1</v>
      </c>
      <c r="BO125" s="28">
        <v>1</v>
      </c>
      <c r="BP125" s="28">
        <v>1</v>
      </c>
      <c r="BQ125" s="28">
        <v>1</v>
      </c>
      <c r="BR125" s="28">
        <v>1</v>
      </c>
      <c r="BS125" s="28">
        <v>1</v>
      </c>
      <c r="BT125" s="28">
        <v>1</v>
      </c>
      <c r="BU125" s="28">
        <v>1</v>
      </c>
      <c r="BV125" s="28">
        <v>1</v>
      </c>
      <c r="BW125" s="28">
        <v>1</v>
      </c>
      <c r="BX125" s="28">
        <v>1</v>
      </c>
      <c r="BY125" s="28">
        <v>1</v>
      </c>
      <c r="BZ125" s="28">
        <v>1</v>
      </c>
      <c r="CA125" s="28">
        <v>1</v>
      </c>
      <c r="CB125" s="28">
        <v>1</v>
      </c>
      <c r="CC125" s="28">
        <v>1</v>
      </c>
      <c r="CD125" s="28">
        <v>1</v>
      </c>
      <c r="CE125" s="28">
        <v>1</v>
      </c>
      <c r="CF125" s="28">
        <v>1</v>
      </c>
      <c r="CG125" s="28">
        <v>1</v>
      </c>
      <c r="CH125" s="28">
        <v>1</v>
      </c>
      <c r="CI125" s="28">
        <v>1</v>
      </c>
      <c r="CJ125" s="28">
        <v>1</v>
      </c>
      <c r="CK125" s="28">
        <v>1</v>
      </c>
      <c r="CL125" s="28">
        <v>1</v>
      </c>
      <c r="CM125" s="28">
        <v>1</v>
      </c>
      <c r="CN125" s="28">
        <v>1</v>
      </c>
      <c r="CO125" s="28">
        <v>1</v>
      </c>
      <c r="CP125" s="28">
        <v>1</v>
      </c>
      <c r="CQ125" s="28">
        <v>1</v>
      </c>
      <c r="CR125" s="28">
        <v>1</v>
      </c>
      <c r="CS125" s="28">
        <v>1</v>
      </c>
      <c r="CT125" s="28">
        <v>1</v>
      </c>
      <c r="CU125" s="28">
        <v>1</v>
      </c>
      <c r="CV125" s="28">
        <v>1</v>
      </c>
      <c r="CW125" s="28">
        <v>1</v>
      </c>
      <c r="CX125" s="8" t="s">
        <v>69</v>
      </c>
    </row>
    <row r="126" spans="1:102" x14ac:dyDescent="0.25">
      <c r="A126" s="20" t="s">
        <v>32</v>
      </c>
      <c r="B126" s="21">
        <f>G126+H126+I126</f>
      </c>
      <c r="C126" s="20" t="s">
        <v>70</v>
      </c>
      <c r="D126" s="22">
        <f>K126</f>
      </c>
      <c r="F126" s="20" t="s">
        <v>34</v>
      </c>
      <c r="G126" s="21">
        <f>B129</f>
      </c>
      <c r="H126" s="21">
        <f>B130</f>
      </c>
      <c r="I126" s="21">
        <f>B131</f>
      </c>
      <c r="J126" s="21">
        <f>B132</f>
      </c>
      <c r="K126" s="22">
        <f>D129+D130+D131</f>
      </c>
      <c r="CX126" s="20" t="s">
        <v>71</v>
      </c>
    </row>
    <row r="127" spans="6:102" x14ac:dyDescent="0.25">
      <c r="F127" s="23" t="s">
        <v>36</v>
      </c>
      <c r="L127" s="24">
        <v>1</v>
      </c>
      <c r="M127" s="24">
        <v>1</v>
      </c>
      <c r="N127" s="24">
        <v>1</v>
      </c>
      <c r="O127" s="24">
        <v>1</v>
      </c>
      <c r="P127" s="24">
        <v>1</v>
      </c>
      <c r="Q127" s="24">
        <v>0</v>
      </c>
      <c r="R127" s="24">
        <v>0</v>
      </c>
      <c r="S127" s="24">
        <v>1</v>
      </c>
      <c r="T127" s="24">
        <v>1</v>
      </c>
      <c r="U127" s="24">
        <v>1</v>
      </c>
      <c r="V127" s="24">
        <v>1</v>
      </c>
      <c r="W127" s="24">
        <v>1</v>
      </c>
      <c r="X127" s="24">
        <v>0</v>
      </c>
      <c r="Y127" s="24">
        <v>0</v>
      </c>
      <c r="Z127" s="24">
        <v>1</v>
      </c>
      <c r="AA127" s="24">
        <v>1</v>
      </c>
      <c r="AB127" s="24">
        <v>1</v>
      </c>
      <c r="AC127" s="24">
        <v>1</v>
      </c>
      <c r="AD127" s="24">
        <v>1</v>
      </c>
      <c r="AE127" s="24">
        <v>0</v>
      </c>
      <c r="AF127" s="24">
        <v>0</v>
      </c>
      <c r="AG127" s="24">
        <v>1</v>
      </c>
      <c r="AH127" s="24">
        <v>1</v>
      </c>
      <c r="AI127" s="24">
        <v>1</v>
      </c>
      <c r="AJ127" s="24">
        <v>1</v>
      </c>
      <c r="AK127" s="24">
        <v>1</v>
      </c>
      <c r="AL127" s="24">
        <v>0</v>
      </c>
      <c r="AM127" s="24">
        <v>0</v>
      </c>
      <c r="AN127" s="24">
        <v>1</v>
      </c>
      <c r="AO127" s="24">
        <v>1</v>
      </c>
      <c r="AP127" s="24">
        <v>1</v>
      </c>
      <c r="AQ127" s="24">
        <v>1</v>
      </c>
      <c r="AR127" s="24">
        <v>1</v>
      </c>
      <c r="AS127" s="24">
        <v>0</v>
      </c>
      <c r="AT127" s="24">
        <v>0</v>
      </c>
      <c r="AU127" s="24">
        <v>1</v>
      </c>
      <c r="AV127" s="24">
        <v>1</v>
      </c>
      <c r="AW127" s="24">
        <v>1</v>
      </c>
      <c r="AX127" s="24">
        <v>1</v>
      </c>
      <c r="AY127" s="24">
        <v>1</v>
      </c>
      <c r="AZ127" s="24">
        <v>0</v>
      </c>
      <c r="BA127" s="24">
        <v>0</v>
      </c>
      <c r="BB127" s="24">
        <v>1</v>
      </c>
      <c r="BC127" s="24">
        <v>1</v>
      </c>
      <c r="BD127" s="24">
        <v>1</v>
      </c>
      <c r="BE127" s="24">
        <v>1</v>
      </c>
      <c r="BF127" s="24">
        <v>1</v>
      </c>
      <c r="BG127" s="24">
        <v>0</v>
      </c>
      <c r="BH127" s="24">
        <v>0</v>
      </c>
      <c r="BI127" s="24">
        <v>1</v>
      </c>
      <c r="BJ127" s="24">
        <v>1</v>
      </c>
      <c r="BK127" s="24">
        <v>1</v>
      </c>
      <c r="BL127" s="24">
        <v>1</v>
      </c>
      <c r="BM127" s="24">
        <v>1</v>
      </c>
      <c r="BN127" s="24">
        <v>1</v>
      </c>
      <c r="BO127" s="24">
        <v>1</v>
      </c>
      <c r="BP127" s="24">
        <v>1</v>
      </c>
      <c r="BQ127" s="24">
        <v>1</v>
      </c>
      <c r="BR127" s="24">
        <v>1</v>
      </c>
      <c r="BS127" s="24">
        <v>1</v>
      </c>
      <c r="BT127" s="24">
        <v>1</v>
      </c>
      <c r="BU127" s="24">
        <v>1</v>
      </c>
      <c r="BV127" s="24">
        <v>0</v>
      </c>
      <c r="BW127" s="24">
        <v>1</v>
      </c>
      <c r="BX127" s="24">
        <v>1</v>
      </c>
      <c r="BY127" s="24">
        <v>1</v>
      </c>
      <c r="BZ127" s="24">
        <v>1</v>
      </c>
      <c r="CA127" s="24">
        <v>1</v>
      </c>
      <c r="CB127" s="24">
        <v>1</v>
      </c>
      <c r="CC127" s="24">
        <v>0</v>
      </c>
      <c r="CD127" s="24">
        <v>1</v>
      </c>
      <c r="CE127" s="24">
        <v>1</v>
      </c>
      <c r="CF127" s="24">
        <v>1</v>
      </c>
      <c r="CG127" s="24">
        <v>1</v>
      </c>
      <c r="CH127" s="24">
        <v>1</v>
      </c>
      <c r="CI127" s="24">
        <v>1</v>
      </c>
      <c r="CJ127" s="24">
        <v>0</v>
      </c>
      <c r="CK127" s="24">
        <v>1</v>
      </c>
      <c r="CL127" s="24">
        <v>1</v>
      </c>
      <c r="CM127" s="24">
        <v>1</v>
      </c>
      <c r="CN127" s="24">
        <v>1</v>
      </c>
      <c r="CO127" s="24">
        <v>1</v>
      </c>
      <c r="CP127" s="24">
        <v>1</v>
      </c>
      <c r="CQ127" s="24">
        <v>0</v>
      </c>
      <c r="CR127" s="24">
        <v>1</v>
      </c>
      <c r="CS127" s="24">
        <v>1</v>
      </c>
      <c r="CT127" s="24">
        <v>1</v>
      </c>
      <c r="CU127" s="24">
        <v>1</v>
      </c>
      <c r="CV127" s="24">
        <v>1</v>
      </c>
      <c r="CW127" s="24">
        <v>1</v>
      </c>
      <c r="CX127" s="23" t="s">
        <v>71</v>
      </c>
    </row>
    <row r="128" spans="1:102" x14ac:dyDescent="0.25">
      <c r="A128" s="23" t="s">
        <v>37</v>
      </c>
      <c r="F128" s="23" t="s">
        <v>38</v>
      </c>
      <c r="L128" s="25">
        <v>0</v>
      </c>
      <c r="M128" s="25">
        <v>0</v>
      </c>
      <c r="N128" s="25">
        <v>0</v>
      </c>
      <c r="O128" s="25">
        <v>0</v>
      </c>
      <c r="P128" s="25">
        <v>0</v>
      </c>
      <c r="Q128" s="25">
        <v>0</v>
      </c>
      <c r="R128" s="25">
        <v>0</v>
      </c>
      <c r="S128" s="25">
        <v>0</v>
      </c>
      <c r="T128" s="25">
        <v>0</v>
      </c>
      <c r="U128" s="25">
        <v>0</v>
      </c>
      <c r="V128" s="25">
        <v>0</v>
      </c>
      <c r="W128" s="25">
        <v>0</v>
      </c>
      <c r="X128" s="25">
        <v>0</v>
      </c>
      <c r="Y128" s="25">
        <v>0</v>
      </c>
      <c r="Z128" s="25">
        <v>0</v>
      </c>
      <c r="AA128" s="25">
        <v>0</v>
      </c>
      <c r="AB128" s="25">
        <v>0</v>
      </c>
      <c r="AC128" s="25">
        <v>0</v>
      </c>
      <c r="AD128" s="25">
        <v>0</v>
      </c>
      <c r="AE128" s="25">
        <v>0</v>
      </c>
      <c r="AF128" s="25">
        <v>0</v>
      </c>
      <c r="AG128" s="25">
        <v>0</v>
      </c>
      <c r="AH128" s="25">
        <v>0</v>
      </c>
      <c r="AI128" s="25">
        <v>0</v>
      </c>
      <c r="AJ128" s="25">
        <v>0</v>
      </c>
      <c r="AK128" s="25">
        <v>0</v>
      </c>
      <c r="AL128" s="25">
        <v>0</v>
      </c>
      <c r="AM128" s="25">
        <v>0</v>
      </c>
      <c r="AN128" s="25">
        <v>0</v>
      </c>
      <c r="AO128" s="25">
        <v>0</v>
      </c>
      <c r="AP128" s="25">
        <v>0</v>
      </c>
      <c r="AQ128" s="25">
        <v>0</v>
      </c>
      <c r="AR128" s="25">
        <v>0</v>
      </c>
      <c r="AS128" s="25">
        <v>0</v>
      </c>
      <c r="AT128" s="25">
        <v>0</v>
      </c>
      <c r="AU128" s="25">
        <v>0</v>
      </c>
      <c r="AV128" s="25">
        <v>0</v>
      </c>
      <c r="AW128" s="25">
        <v>0</v>
      </c>
      <c r="AX128" s="25">
        <v>0</v>
      </c>
      <c r="AY128" s="25">
        <v>0</v>
      </c>
      <c r="AZ128" s="25">
        <v>0</v>
      </c>
      <c r="BA128" s="25">
        <v>0</v>
      </c>
      <c r="BB128" s="25">
        <v>0</v>
      </c>
      <c r="BC128" s="25">
        <v>0</v>
      </c>
      <c r="BD128" s="25">
        <v>0</v>
      </c>
      <c r="BE128" s="25">
        <v>0</v>
      </c>
      <c r="BF128" s="25">
        <v>0</v>
      </c>
      <c r="BG128" s="25">
        <v>0</v>
      </c>
      <c r="BH128" s="25">
        <v>0</v>
      </c>
      <c r="BI128" s="25">
        <v>10</v>
      </c>
      <c r="BJ128" s="25">
        <v>10</v>
      </c>
      <c r="BK128" s="25">
        <v>10</v>
      </c>
      <c r="BL128" s="25">
        <v>10</v>
      </c>
      <c r="BM128" s="25">
        <v>10</v>
      </c>
      <c r="BN128" s="25">
        <v>10</v>
      </c>
      <c r="BO128" s="25">
        <v>10</v>
      </c>
      <c r="BP128" s="25">
        <v>10</v>
      </c>
      <c r="BQ128" s="25">
        <v>10</v>
      </c>
      <c r="BR128" s="25">
        <v>10</v>
      </c>
      <c r="BS128" s="25">
        <v>10</v>
      </c>
      <c r="BT128" s="25">
        <v>10</v>
      </c>
      <c r="BU128" s="25">
        <v>10</v>
      </c>
      <c r="BV128" s="25">
        <v>0</v>
      </c>
      <c r="BW128" s="25">
        <v>10</v>
      </c>
      <c r="BX128" s="25">
        <v>10</v>
      </c>
      <c r="BY128" s="25">
        <v>10</v>
      </c>
      <c r="BZ128" s="25">
        <v>10</v>
      </c>
      <c r="CA128" s="25">
        <v>10</v>
      </c>
      <c r="CB128" s="25">
        <v>10</v>
      </c>
      <c r="CC128" s="25">
        <v>0</v>
      </c>
      <c r="CD128" s="25">
        <v>10</v>
      </c>
      <c r="CE128" s="25">
        <v>10</v>
      </c>
      <c r="CF128" s="25">
        <v>10</v>
      </c>
      <c r="CG128" s="25">
        <v>10</v>
      </c>
      <c r="CH128" s="25">
        <v>10</v>
      </c>
      <c r="CI128" s="25">
        <v>10</v>
      </c>
      <c r="CJ128" s="25">
        <v>0</v>
      </c>
      <c r="CK128" s="25">
        <v>10</v>
      </c>
      <c r="CL128" s="25">
        <v>10</v>
      </c>
      <c r="CM128" s="25">
        <v>10</v>
      </c>
      <c r="CN128" s="25">
        <v>10</v>
      </c>
      <c r="CO128" s="25">
        <v>10</v>
      </c>
      <c r="CP128" s="25">
        <v>10</v>
      </c>
      <c r="CQ128" s="25">
        <v>0</v>
      </c>
      <c r="CR128" s="25">
        <v>10</v>
      </c>
      <c r="CS128" s="25">
        <v>10</v>
      </c>
      <c r="CT128" s="25">
        <v>10</v>
      </c>
      <c r="CU128" s="25">
        <v>10</v>
      </c>
      <c r="CV128" s="25">
        <v>10</v>
      </c>
      <c r="CW128" s="25">
        <v>10</v>
      </c>
      <c r="CX128" s="23" t="s">
        <v>71</v>
      </c>
    </row>
    <row r="129" spans="2:102" x14ac:dyDescent="0.25">
      <c r="B129" s="26">
        <f>SUM(L129:CW129)</f>
      </c>
      <c r="D129" s="27">
        <f>B129*E129</f>
      </c>
      <c r="E129" s="27">
        <f>'Rate Tables'!C18</f>
      </c>
      <c r="F129" s="8" t="s">
        <v>39</v>
      </c>
      <c r="L129" s="26">
        <f>IF(L$6="","",IF(WEEKDAY(L$6,1)=1,0,MIN(8,L128)*L127))</f>
      </c>
      <c r="M129" s="26">
        <f>IF(M$6="","",IF(WEEKDAY(M$6,1)=1,0,MIN(8,M128)*M127))</f>
      </c>
      <c r="N129" s="26">
        <f>IF(N$6="","",IF(WEEKDAY(N$6,1)=1,0,MIN(8,N128)*N127))</f>
      </c>
      <c r="O129" s="26">
        <f>IF(O$6="","",IF(WEEKDAY(O$6,1)=1,0,MIN(8,O128)*O127))</f>
      </c>
      <c r="P129" s="26">
        <f>IF(P$6="","",IF(WEEKDAY(P$6,1)=1,0,MIN(8,P128)*P127))</f>
      </c>
      <c r="Q129" s="26">
        <f>IF(Q$6="","",IF(WEEKDAY(Q$6,1)=1,0,MIN(8,Q128)*Q127))</f>
      </c>
      <c r="R129" s="26">
        <f>IF(R$6="","",IF(WEEKDAY(R$6,1)=1,0,MIN(8,R128)*R127))</f>
      </c>
      <c r="S129" s="26">
        <f>IF(S$6="","",IF(WEEKDAY(S$6,1)=1,0,MIN(8,S128)*S127))</f>
      </c>
      <c r="T129" s="26">
        <f>IF(T$6="","",IF(WEEKDAY(T$6,1)=1,0,MIN(8,T128)*T127))</f>
      </c>
      <c r="U129" s="26">
        <f>IF(U$6="","",IF(WEEKDAY(U$6,1)=1,0,MIN(8,U128)*U127))</f>
      </c>
      <c r="V129" s="26">
        <f>IF(V$6="","",IF(WEEKDAY(V$6,1)=1,0,MIN(8,V128)*V127))</f>
      </c>
      <c r="W129" s="26">
        <f>IF(W$6="","",IF(WEEKDAY(W$6,1)=1,0,MIN(8,W128)*W127))</f>
      </c>
      <c r="X129" s="26">
        <f>IF(X$6="","",IF(WEEKDAY(X$6,1)=1,0,MIN(8,X128)*X127))</f>
      </c>
      <c r="Y129" s="26">
        <f>IF(Y$6="","",IF(WEEKDAY(Y$6,1)=1,0,MIN(8,Y128)*Y127))</f>
      </c>
      <c r="Z129" s="26">
        <f>IF(Z$6="","",IF(WEEKDAY(Z$6,1)=1,0,MIN(8,Z128)*Z127))</f>
      </c>
      <c r="AA129" s="26">
        <f>IF(AA$6="","",IF(WEEKDAY(AA$6,1)=1,0,MIN(8,AA128)*AA127))</f>
      </c>
      <c r="AB129" s="26">
        <f>IF(AB$6="","",IF(WEEKDAY(AB$6,1)=1,0,MIN(8,AB128)*AB127))</f>
      </c>
      <c r="AC129" s="26">
        <f>IF(AC$6="","",IF(WEEKDAY(AC$6,1)=1,0,MIN(8,AC128)*AC127))</f>
      </c>
      <c r="AD129" s="26">
        <f>IF(AD$6="","",IF(WEEKDAY(AD$6,1)=1,0,MIN(8,AD128)*AD127))</f>
      </c>
      <c r="AE129" s="26">
        <f>IF(AE$6="","",IF(WEEKDAY(AE$6,1)=1,0,MIN(8,AE128)*AE127))</f>
      </c>
      <c r="AF129" s="26">
        <f>IF(AF$6="","",IF(WEEKDAY(AF$6,1)=1,0,MIN(8,AF128)*AF127))</f>
      </c>
      <c r="AG129" s="26">
        <f>IF(AG$6="","",IF(WEEKDAY(AG$6,1)=1,0,MIN(8,AG128)*AG127))</f>
      </c>
      <c r="AH129" s="26">
        <f>IF(AH$6="","",IF(WEEKDAY(AH$6,1)=1,0,MIN(8,AH128)*AH127))</f>
      </c>
      <c r="AI129" s="26">
        <f>IF(AI$6="","",IF(WEEKDAY(AI$6,1)=1,0,MIN(8,AI128)*AI127))</f>
      </c>
      <c r="AJ129" s="26">
        <f>IF(AJ$6="","",IF(WEEKDAY(AJ$6,1)=1,0,MIN(8,AJ128)*AJ127))</f>
      </c>
      <c r="AK129" s="26">
        <f>IF(AK$6="","",IF(WEEKDAY(AK$6,1)=1,0,MIN(8,AK128)*AK127))</f>
      </c>
      <c r="AL129" s="26">
        <f>IF(AL$6="","",IF(WEEKDAY(AL$6,1)=1,0,MIN(8,AL128)*AL127))</f>
      </c>
      <c r="AM129" s="26">
        <f>IF(AM$6="","",IF(WEEKDAY(AM$6,1)=1,0,MIN(8,AM128)*AM127))</f>
      </c>
      <c r="AN129" s="26">
        <f>IF(AN$6="","",IF(WEEKDAY(AN$6,1)=1,0,MIN(8,AN128)*AN127))</f>
      </c>
      <c r="AO129" s="26">
        <f>IF(AO$6="","",IF(WEEKDAY(AO$6,1)=1,0,MIN(8,AO128)*AO127))</f>
      </c>
      <c r="AP129" s="26">
        <f>IF(AP$6="","",IF(WEEKDAY(AP$6,1)=1,0,MIN(8,AP128)*AP127))</f>
      </c>
      <c r="AQ129" s="26">
        <f>IF(AQ$6="","",IF(WEEKDAY(AQ$6,1)=1,0,MIN(8,AQ128)*AQ127))</f>
      </c>
      <c r="AR129" s="26">
        <f>IF(AR$6="","",IF(WEEKDAY(AR$6,1)=1,0,MIN(8,AR128)*AR127))</f>
      </c>
      <c r="AS129" s="26">
        <f>IF(AS$6="","",IF(WEEKDAY(AS$6,1)=1,0,MIN(8,AS128)*AS127))</f>
      </c>
      <c r="AT129" s="26">
        <f>IF(AT$6="","",IF(WEEKDAY(AT$6,1)=1,0,MIN(8,AT128)*AT127))</f>
      </c>
      <c r="AU129" s="26">
        <f>IF(AU$6="","",IF(WEEKDAY(AU$6,1)=1,0,MIN(8,AU128)*AU127))</f>
      </c>
      <c r="AV129" s="26">
        <f>IF(AV$6="","",IF(WEEKDAY(AV$6,1)=1,0,MIN(8,AV128)*AV127))</f>
      </c>
      <c r="AW129" s="26">
        <f>IF(AW$6="","",IF(WEEKDAY(AW$6,1)=1,0,MIN(8,AW128)*AW127))</f>
      </c>
      <c r="AX129" s="26">
        <f>IF(AX$6="","",IF(WEEKDAY(AX$6,1)=1,0,MIN(8,AX128)*AX127))</f>
      </c>
      <c r="AY129" s="26">
        <f>IF(AY$6="","",IF(WEEKDAY(AY$6,1)=1,0,MIN(8,AY128)*AY127))</f>
      </c>
      <c r="AZ129" s="26">
        <f>IF(AZ$6="","",IF(WEEKDAY(AZ$6,1)=1,0,MIN(8,AZ128)*AZ127))</f>
      </c>
      <c r="BA129" s="26">
        <f>IF(BA$6="","",IF(WEEKDAY(BA$6,1)=1,0,MIN(8,BA128)*BA127))</f>
      </c>
      <c r="BB129" s="26">
        <f>IF(BB$6="","",IF(WEEKDAY(BB$6,1)=1,0,MIN(8,BB128)*BB127))</f>
      </c>
      <c r="BC129" s="26">
        <f>IF(BC$6="","",IF(WEEKDAY(BC$6,1)=1,0,MIN(8,BC128)*BC127))</f>
      </c>
      <c r="BD129" s="26">
        <f>IF(BD$6="","",IF(WEEKDAY(BD$6,1)=1,0,MIN(8,BD128)*BD127))</f>
      </c>
      <c r="BE129" s="26">
        <f>IF(BE$6="","",IF(WEEKDAY(BE$6,1)=1,0,MIN(8,BE128)*BE127))</f>
      </c>
      <c r="BF129" s="26">
        <f>IF(BF$6="","",IF(WEEKDAY(BF$6,1)=1,0,MIN(8,BF128)*BF127))</f>
      </c>
      <c r="BG129" s="26">
        <f>IF(BG$6="","",IF(WEEKDAY(BG$6,1)=1,0,MIN(8,BG128)*BG127))</f>
      </c>
      <c r="BH129" s="26">
        <f>IF(BH$6="","",IF(WEEKDAY(BH$6,1)=1,0,MIN(8,BH128)*BH127))</f>
      </c>
      <c r="BI129" s="26">
        <f>IF(BI$6="","",IF(WEEKDAY(BI$6,1)=1,0,MIN(8,BI128)*BI127))</f>
      </c>
      <c r="BJ129" s="26">
        <f>IF(BJ$6="","",IF(WEEKDAY(BJ$6,1)=1,0,MIN(8,BJ128)*BJ127))</f>
      </c>
      <c r="BK129" s="26">
        <f>IF(BK$6="","",IF(WEEKDAY(BK$6,1)=1,0,MIN(8,BK128)*BK127))</f>
      </c>
      <c r="BL129" s="26">
        <f>IF(BL$6="","",IF(WEEKDAY(BL$6,1)=1,0,MIN(8,BL128)*BL127))</f>
      </c>
      <c r="BM129" s="26">
        <f>IF(BM$6="","",IF(WEEKDAY(BM$6,1)=1,0,MIN(8,BM128)*BM127))</f>
      </c>
      <c r="BN129" s="26">
        <f>IF(BN$6="","",IF(WEEKDAY(BN$6,1)=1,0,MIN(8,BN128)*BN127))</f>
      </c>
      <c r="BO129" s="26">
        <f>IF(BO$6="","",IF(WEEKDAY(BO$6,1)=1,0,MIN(8,BO128)*BO127))</f>
      </c>
      <c r="BP129" s="26">
        <f>IF(BP$6="","",IF(WEEKDAY(BP$6,1)=1,0,MIN(8,BP128)*BP127))</f>
      </c>
      <c r="BQ129" s="26">
        <f>IF(BQ$6="","",IF(WEEKDAY(BQ$6,1)=1,0,MIN(8,BQ128)*BQ127))</f>
      </c>
      <c r="BR129" s="26">
        <f>IF(BR$6="","",IF(WEEKDAY(BR$6,1)=1,0,MIN(8,BR128)*BR127))</f>
      </c>
      <c r="BS129" s="26">
        <f>IF(BS$6="","",IF(WEEKDAY(BS$6,1)=1,0,MIN(8,BS128)*BS127))</f>
      </c>
      <c r="BT129" s="26">
        <f>IF(BT$6="","",IF(WEEKDAY(BT$6,1)=1,0,MIN(8,BT128)*BT127))</f>
      </c>
      <c r="BU129" s="26">
        <f>IF(BU$6="","",IF(WEEKDAY(BU$6,1)=1,0,MIN(8,BU128)*BU127))</f>
      </c>
      <c r="BV129" s="26">
        <f>IF(BV$6="","",IF(WEEKDAY(BV$6,1)=1,0,MIN(8,BV128)*BV127))</f>
      </c>
      <c r="BW129" s="26">
        <f>IF(BW$6="","",IF(WEEKDAY(BW$6,1)=1,0,MIN(8,BW128)*BW127))</f>
      </c>
      <c r="BX129" s="26">
        <f>IF(BX$6="","",IF(WEEKDAY(BX$6,1)=1,0,MIN(8,BX128)*BX127))</f>
      </c>
      <c r="BY129" s="26">
        <f>IF(BY$6="","",IF(WEEKDAY(BY$6,1)=1,0,MIN(8,BY128)*BY127))</f>
      </c>
      <c r="BZ129" s="26">
        <f>IF(BZ$6="","",IF(WEEKDAY(BZ$6,1)=1,0,MIN(8,BZ128)*BZ127))</f>
      </c>
      <c r="CA129" s="26">
        <f>IF(CA$6="","",IF(WEEKDAY(CA$6,1)=1,0,MIN(8,CA128)*CA127))</f>
      </c>
      <c r="CB129" s="26">
        <f>IF(CB$6="","",IF(WEEKDAY(CB$6,1)=1,0,MIN(8,CB128)*CB127))</f>
      </c>
      <c r="CC129" s="26">
        <f>IF(CC$6="","",IF(WEEKDAY(CC$6,1)=1,0,MIN(8,CC128)*CC127))</f>
      </c>
      <c r="CD129" s="26">
        <f>IF(CD$6="","",IF(WEEKDAY(CD$6,1)=1,0,MIN(8,CD128)*CD127))</f>
      </c>
      <c r="CE129" s="26">
        <f>IF(CE$6="","",IF(WEEKDAY(CE$6,1)=1,0,MIN(8,CE128)*CE127))</f>
      </c>
      <c r="CF129" s="26">
        <f>IF(CF$6="","",IF(WEEKDAY(CF$6,1)=1,0,MIN(8,CF128)*CF127))</f>
      </c>
      <c r="CG129" s="26">
        <f>IF(CG$6="","",IF(WEEKDAY(CG$6,1)=1,0,MIN(8,CG128)*CG127))</f>
      </c>
      <c r="CH129" s="26">
        <f>IF(CH$6="","",IF(WEEKDAY(CH$6,1)=1,0,MIN(8,CH128)*CH127))</f>
      </c>
      <c r="CI129" s="26">
        <f>IF(CI$6="","",IF(WEEKDAY(CI$6,1)=1,0,MIN(8,CI128)*CI127))</f>
      </c>
      <c r="CJ129" s="26">
        <f>IF(CJ$6="","",IF(WEEKDAY(CJ$6,1)=1,0,MIN(8,CJ128)*CJ127))</f>
      </c>
      <c r="CK129" s="26">
        <f>IF(CK$6="","",IF(WEEKDAY(CK$6,1)=1,0,MIN(8,CK128)*CK127))</f>
      </c>
      <c r="CL129" s="26">
        <f>IF(CL$6="","",IF(WEEKDAY(CL$6,1)=1,0,MIN(8,CL128)*CL127))</f>
      </c>
      <c r="CM129" s="26">
        <f>IF(CM$6="","",IF(WEEKDAY(CM$6,1)=1,0,MIN(8,CM128)*CM127))</f>
      </c>
      <c r="CN129" s="26">
        <f>IF(CN$6="","",IF(WEEKDAY(CN$6,1)=1,0,MIN(8,CN128)*CN127))</f>
      </c>
      <c r="CO129" s="26">
        <f>IF(CO$6="","",IF(WEEKDAY(CO$6,1)=1,0,MIN(8,CO128)*CO127))</f>
      </c>
      <c r="CP129" s="26">
        <f>IF(CP$6="","",IF(WEEKDAY(CP$6,1)=1,0,MIN(8,CP128)*CP127))</f>
      </c>
      <c r="CQ129" s="26">
        <f>IF(CQ$6="","",IF(WEEKDAY(CQ$6,1)=1,0,MIN(8,CQ128)*CQ127))</f>
      </c>
      <c r="CR129" s="26">
        <f>IF(CR$6="","",IF(WEEKDAY(CR$6,1)=1,0,MIN(8,CR128)*CR127))</f>
      </c>
      <c r="CS129" s="26">
        <f>IF(CS$6="","",IF(WEEKDAY(CS$6,1)=1,0,MIN(8,CS128)*CS127))</f>
      </c>
      <c r="CT129" s="26">
        <f>IF(CT$6="","",IF(WEEKDAY(CT$6,1)=1,0,MIN(8,CT128)*CT127))</f>
      </c>
      <c r="CU129" s="26">
        <f>IF(CU$6="","",IF(WEEKDAY(CU$6,1)=1,0,MIN(8,CU128)*CU127))</f>
      </c>
      <c r="CV129" s="26">
        <f>IF(CV$6="","",IF(WEEKDAY(CV$6,1)=1,0,MIN(8,CV128)*CV127))</f>
      </c>
      <c r="CW129" s="26">
        <f>IF(CW$6="","",IF(WEEKDAY(CW$6,1)=1,0,MIN(8,CW128)*CW127))</f>
      </c>
      <c r="CX129" s="8" t="s">
        <v>71</v>
      </c>
    </row>
    <row r="130" spans="2:102" x14ac:dyDescent="0.25">
      <c r="B130" s="26">
        <f>SUM(L130:CW130)</f>
      </c>
      <c r="D130" s="27">
        <f>B130*E130</f>
      </c>
      <c r="E130" s="27">
        <f>'Rate Tables'!D18</f>
      </c>
      <c r="F130" s="8" t="s">
        <v>40</v>
      </c>
      <c r="L130" s="26">
        <f>IF(L$6="","",IF(WEEKDAY(L$6,1)=1,0,MAX(0,L128-8)*L127))</f>
      </c>
      <c r="M130" s="26">
        <f>IF(M$6="","",IF(WEEKDAY(M$6,1)=1,0,MAX(0,M128-8)*M127))</f>
      </c>
      <c r="N130" s="26">
        <f>IF(N$6="","",IF(WEEKDAY(N$6,1)=1,0,MAX(0,N128-8)*N127))</f>
      </c>
      <c r="O130" s="26">
        <f>IF(O$6="","",IF(WEEKDAY(O$6,1)=1,0,MAX(0,O128-8)*O127))</f>
      </c>
      <c r="P130" s="26">
        <f>IF(P$6="","",IF(WEEKDAY(P$6,1)=1,0,MAX(0,P128-8)*P127))</f>
      </c>
      <c r="Q130" s="26">
        <f>IF(Q$6="","",IF(WEEKDAY(Q$6,1)=1,0,MAX(0,Q128-8)*Q127))</f>
      </c>
      <c r="R130" s="26">
        <f>IF(R$6="","",IF(WEEKDAY(R$6,1)=1,0,MAX(0,R128-8)*R127))</f>
      </c>
      <c r="S130" s="26">
        <f>IF(S$6="","",IF(WEEKDAY(S$6,1)=1,0,MAX(0,S128-8)*S127))</f>
      </c>
      <c r="T130" s="26">
        <f>IF(T$6="","",IF(WEEKDAY(T$6,1)=1,0,MAX(0,T128-8)*T127))</f>
      </c>
      <c r="U130" s="26">
        <f>IF(U$6="","",IF(WEEKDAY(U$6,1)=1,0,MAX(0,U128-8)*U127))</f>
      </c>
      <c r="V130" s="26">
        <f>IF(V$6="","",IF(WEEKDAY(V$6,1)=1,0,MAX(0,V128-8)*V127))</f>
      </c>
      <c r="W130" s="26">
        <f>IF(W$6="","",IF(WEEKDAY(W$6,1)=1,0,MAX(0,W128-8)*W127))</f>
      </c>
      <c r="X130" s="26">
        <f>IF(X$6="","",IF(WEEKDAY(X$6,1)=1,0,MAX(0,X128-8)*X127))</f>
      </c>
      <c r="Y130" s="26">
        <f>IF(Y$6="","",IF(WEEKDAY(Y$6,1)=1,0,MAX(0,Y128-8)*Y127))</f>
      </c>
      <c r="Z130" s="26">
        <f>IF(Z$6="","",IF(WEEKDAY(Z$6,1)=1,0,MAX(0,Z128-8)*Z127))</f>
      </c>
      <c r="AA130" s="26">
        <f>IF(AA$6="","",IF(WEEKDAY(AA$6,1)=1,0,MAX(0,AA128-8)*AA127))</f>
      </c>
      <c r="AB130" s="26">
        <f>IF(AB$6="","",IF(WEEKDAY(AB$6,1)=1,0,MAX(0,AB128-8)*AB127))</f>
      </c>
      <c r="AC130" s="26">
        <f>IF(AC$6="","",IF(WEEKDAY(AC$6,1)=1,0,MAX(0,AC128-8)*AC127))</f>
      </c>
      <c r="AD130" s="26">
        <f>IF(AD$6="","",IF(WEEKDAY(AD$6,1)=1,0,MAX(0,AD128-8)*AD127))</f>
      </c>
      <c r="AE130" s="26">
        <f>IF(AE$6="","",IF(WEEKDAY(AE$6,1)=1,0,MAX(0,AE128-8)*AE127))</f>
      </c>
      <c r="AF130" s="26">
        <f>IF(AF$6="","",IF(WEEKDAY(AF$6,1)=1,0,MAX(0,AF128-8)*AF127))</f>
      </c>
      <c r="AG130" s="26">
        <f>IF(AG$6="","",IF(WEEKDAY(AG$6,1)=1,0,MAX(0,AG128-8)*AG127))</f>
      </c>
      <c r="AH130" s="26">
        <f>IF(AH$6="","",IF(WEEKDAY(AH$6,1)=1,0,MAX(0,AH128-8)*AH127))</f>
      </c>
      <c r="AI130" s="26">
        <f>IF(AI$6="","",IF(WEEKDAY(AI$6,1)=1,0,MAX(0,AI128-8)*AI127))</f>
      </c>
      <c r="AJ130" s="26">
        <f>IF(AJ$6="","",IF(WEEKDAY(AJ$6,1)=1,0,MAX(0,AJ128-8)*AJ127))</f>
      </c>
      <c r="AK130" s="26">
        <f>IF(AK$6="","",IF(WEEKDAY(AK$6,1)=1,0,MAX(0,AK128-8)*AK127))</f>
      </c>
      <c r="AL130" s="26">
        <f>IF(AL$6="","",IF(WEEKDAY(AL$6,1)=1,0,MAX(0,AL128-8)*AL127))</f>
      </c>
      <c r="AM130" s="26">
        <f>IF(AM$6="","",IF(WEEKDAY(AM$6,1)=1,0,MAX(0,AM128-8)*AM127))</f>
      </c>
      <c r="AN130" s="26">
        <f>IF(AN$6="","",IF(WEEKDAY(AN$6,1)=1,0,MAX(0,AN128-8)*AN127))</f>
      </c>
      <c r="AO130" s="26">
        <f>IF(AO$6="","",IF(WEEKDAY(AO$6,1)=1,0,MAX(0,AO128-8)*AO127))</f>
      </c>
      <c r="AP130" s="26">
        <f>IF(AP$6="","",IF(WEEKDAY(AP$6,1)=1,0,MAX(0,AP128-8)*AP127))</f>
      </c>
      <c r="AQ130" s="26">
        <f>IF(AQ$6="","",IF(WEEKDAY(AQ$6,1)=1,0,MAX(0,AQ128-8)*AQ127))</f>
      </c>
      <c r="AR130" s="26">
        <f>IF(AR$6="","",IF(WEEKDAY(AR$6,1)=1,0,MAX(0,AR128-8)*AR127))</f>
      </c>
      <c r="AS130" s="26">
        <f>IF(AS$6="","",IF(WEEKDAY(AS$6,1)=1,0,MAX(0,AS128-8)*AS127))</f>
      </c>
      <c r="AT130" s="26">
        <f>IF(AT$6="","",IF(WEEKDAY(AT$6,1)=1,0,MAX(0,AT128-8)*AT127))</f>
      </c>
      <c r="AU130" s="26">
        <f>IF(AU$6="","",IF(WEEKDAY(AU$6,1)=1,0,MAX(0,AU128-8)*AU127))</f>
      </c>
      <c r="AV130" s="26">
        <f>IF(AV$6="","",IF(WEEKDAY(AV$6,1)=1,0,MAX(0,AV128-8)*AV127))</f>
      </c>
      <c r="AW130" s="26">
        <f>IF(AW$6="","",IF(WEEKDAY(AW$6,1)=1,0,MAX(0,AW128-8)*AW127))</f>
      </c>
      <c r="AX130" s="26">
        <f>IF(AX$6="","",IF(WEEKDAY(AX$6,1)=1,0,MAX(0,AX128-8)*AX127))</f>
      </c>
      <c r="AY130" s="26">
        <f>IF(AY$6="","",IF(WEEKDAY(AY$6,1)=1,0,MAX(0,AY128-8)*AY127))</f>
      </c>
      <c r="AZ130" s="26">
        <f>IF(AZ$6="","",IF(WEEKDAY(AZ$6,1)=1,0,MAX(0,AZ128-8)*AZ127))</f>
      </c>
      <c r="BA130" s="26">
        <f>IF(BA$6="","",IF(WEEKDAY(BA$6,1)=1,0,MAX(0,BA128-8)*BA127))</f>
      </c>
      <c r="BB130" s="26">
        <f>IF(BB$6="","",IF(WEEKDAY(BB$6,1)=1,0,MAX(0,BB128-8)*BB127))</f>
      </c>
      <c r="BC130" s="26">
        <f>IF(BC$6="","",IF(WEEKDAY(BC$6,1)=1,0,MAX(0,BC128-8)*BC127))</f>
      </c>
      <c r="BD130" s="26">
        <f>IF(BD$6="","",IF(WEEKDAY(BD$6,1)=1,0,MAX(0,BD128-8)*BD127))</f>
      </c>
      <c r="BE130" s="26">
        <f>IF(BE$6="","",IF(WEEKDAY(BE$6,1)=1,0,MAX(0,BE128-8)*BE127))</f>
      </c>
      <c r="BF130" s="26">
        <f>IF(BF$6="","",IF(WEEKDAY(BF$6,1)=1,0,MAX(0,BF128-8)*BF127))</f>
      </c>
      <c r="BG130" s="26">
        <f>IF(BG$6="","",IF(WEEKDAY(BG$6,1)=1,0,MAX(0,BG128-8)*BG127))</f>
      </c>
      <c r="BH130" s="26">
        <f>IF(BH$6="","",IF(WEEKDAY(BH$6,1)=1,0,MAX(0,BH128-8)*BH127))</f>
      </c>
      <c r="BI130" s="26">
        <f>IF(BI$6="","",IF(WEEKDAY(BI$6,1)=1,0,MAX(0,BI128-8)*BI127))</f>
      </c>
      <c r="BJ130" s="26">
        <f>IF(BJ$6="","",IF(WEEKDAY(BJ$6,1)=1,0,MAX(0,BJ128-8)*BJ127))</f>
      </c>
      <c r="BK130" s="26">
        <f>IF(BK$6="","",IF(WEEKDAY(BK$6,1)=1,0,MAX(0,BK128-8)*BK127))</f>
      </c>
      <c r="BL130" s="26">
        <f>IF(BL$6="","",IF(WEEKDAY(BL$6,1)=1,0,MAX(0,BL128-8)*BL127))</f>
      </c>
      <c r="BM130" s="26">
        <f>IF(BM$6="","",IF(WEEKDAY(BM$6,1)=1,0,MAX(0,BM128-8)*BM127))</f>
      </c>
      <c r="BN130" s="26">
        <f>IF(BN$6="","",IF(WEEKDAY(BN$6,1)=1,0,MAX(0,BN128-8)*BN127))</f>
      </c>
      <c r="BO130" s="26">
        <f>IF(BO$6="","",IF(WEEKDAY(BO$6,1)=1,0,MAX(0,BO128-8)*BO127))</f>
      </c>
      <c r="BP130" s="26">
        <f>IF(BP$6="","",IF(WEEKDAY(BP$6,1)=1,0,MAX(0,BP128-8)*BP127))</f>
      </c>
      <c r="BQ130" s="26">
        <f>IF(BQ$6="","",IF(WEEKDAY(BQ$6,1)=1,0,MAX(0,BQ128-8)*BQ127))</f>
      </c>
      <c r="BR130" s="26">
        <f>IF(BR$6="","",IF(WEEKDAY(BR$6,1)=1,0,MAX(0,BR128-8)*BR127))</f>
      </c>
      <c r="BS130" s="26">
        <f>IF(BS$6="","",IF(WEEKDAY(BS$6,1)=1,0,MAX(0,BS128-8)*BS127))</f>
      </c>
      <c r="BT130" s="26">
        <f>IF(BT$6="","",IF(WEEKDAY(BT$6,1)=1,0,MAX(0,BT128-8)*BT127))</f>
      </c>
      <c r="BU130" s="26">
        <f>IF(BU$6="","",IF(WEEKDAY(BU$6,1)=1,0,MAX(0,BU128-8)*BU127))</f>
      </c>
      <c r="BV130" s="26">
        <f>IF(BV$6="","",IF(WEEKDAY(BV$6,1)=1,0,MAX(0,BV128-8)*BV127))</f>
      </c>
      <c r="BW130" s="26">
        <f>IF(BW$6="","",IF(WEEKDAY(BW$6,1)=1,0,MAX(0,BW128-8)*BW127))</f>
      </c>
      <c r="BX130" s="26">
        <f>IF(BX$6="","",IF(WEEKDAY(BX$6,1)=1,0,MAX(0,BX128-8)*BX127))</f>
      </c>
      <c r="BY130" s="26">
        <f>IF(BY$6="","",IF(WEEKDAY(BY$6,1)=1,0,MAX(0,BY128-8)*BY127))</f>
      </c>
      <c r="BZ130" s="26">
        <f>IF(BZ$6="","",IF(WEEKDAY(BZ$6,1)=1,0,MAX(0,BZ128-8)*BZ127))</f>
      </c>
      <c r="CA130" s="26">
        <f>IF(CA$6="","",IF(WEEKDAY(CA$6,1)=1,0,MAX(0,CA128-8)*CA127))</f>
      </c>
      <c r="CB130" s="26">
        <f>IF(CB$6="","",IF(WEEKDAY(CB$6,1)=1,0,MAX(0,CB128-8)*CB127))</f>
      </c>
      <c r="CC130" s="26">
        <f>IF(CC$6="","",IF(WEEKDAY(CC$6,1)=1,0,MAX(0,CC128-8)*CC127))</f>
      </c>
      <c r="CD130" s="26">
        <f>IF(CD$6="","",IF(WEEKDAY(CD$6,1)=1,0,MAX(0,CD128-8)*CD127))</f>
      </c>
      <c r="CE130" s="26">
        <f>IF(CE$6="","",IF(WEEKDAY(CE$6,1)=1,0,MAX(0,CE128-8)*CE127))</f>
      </c>
      <c r="CF130" s="26">
        <f>IF(CF$6="","",IF(WEEKDAY(CF$6,1)=1,0,MAX(0,CF128-8)*CF127))</f>
      </c>
      <c r="CG130" s="26">
        <f>IF(CG$6="","",IF(WEEKDAY(CG$6,1)=1,0,MAX(0,CG128-8)*CG127))</f>
      </c>
      <c r="CH130" s="26">
        <f>IF(CH$6="","",IF(WEEKDAY(CH$6,1)=1,0,MAX(0,CH128-8)*CH127))</f>
      </c>
      <c r="CI130" s="26">
        <f>IF(CI$6="","",IF(WEEKDAY(CI$6,1)=1,0,MAX(0,CI128-8)*CI127))</f>
      </c>
      <c r="CJ130" s="26">
        <f>IF(CJ$6="","",IF(WEEKDAY(CJ$6,1)=1,0,MAX(0,CJ128-8)*CJ127))</f>
      </c>
      <c r="CK130" s="26">
        <f>IF(CK$6="","",IF(WEEKDAY(CK$6,1)=1,0,MAX(0,CK128-8)*CK127))</f>
      </c>
      <c r="CL130" s="26">
        <f>IF(CL$6="","",IF(WEEKDAY(CL$6,1)=1,0,MAX(0,CL128-8)*CL127))</f>
      </c>
      <c r="CM130" s="26">
        <f>IF(CM$6="","",IF(WEEKDAY(CM$6,1)=1,0,MAX(0,CM128-8)*CM127))</f>
      </c>
      <c r="CN130" s="26">
        <f>IF(CN$6="","",IF(WEEKDAY(CN$6,1)=1,0,MAX(0,CN128-8)*CN127))</f>
      </c>
      <c r="CO130" s="26">
        <f>IF(CO$6="","",IF(WEEKDAY(CO$6,1)=1,0,MAX(0,CO128-8)*CO127))</f>
      </c>
      <c r="CP130" s="26">
        <f>IF(CP$6="","",IF(WEEKDAY(CP$6,1)=1,0,MAX(0,CP128-8)*CP127))</f>
      </c>
      <c r="CQ130" s="26">
        <f>IF(CQ$6="","",IF(WEEKDAY(CQ$6,1)=1,0,MAX(0,CQ128-8)*CQ127))</f>
      </c>
      <c r="CR130" s="26">
        <f>IF(CR$6="","",IF(WEEKDAY(CR$6,1)=1,0,MAX(0,CR128-8)*CR127))</f>
      </c>
      <c r="CS130" s="26">
        <f>IF(CS$6="","",IF(WEEKDAY(CS$6,1)=1,0,MAX(0,CS128-8)*CS127))</f>
      </c>
      <c r="CT130" s="26">
        <f>IF(CT$6="","",IF(WEEKDAY(CT$6,1)=1,0,MAX(0,CT128-8)*CT127))</f>
      </c>
      <c r="CU130" s="26">
        <f>IF(CU$6="","",IF(WEEKDAY(CU$6,1)=1,0,MAX(0,CU128-8)*CU127))</f>
      </c>
      <c r="CV130" s="26">
        <f>IF(CV$6="","",IF(WEEKDAY(CV$6,1)=1,0,MAX(0,CV128-8)*CV127))</f>
      </c>
      <c r="CW130" s="26">
        <f>IF(CW$6="","",IF(WEEKDAY(CW$6,1)=1,0,MAX(0,CW128-8)*CW127))</f>
      </c>
      <c r="CX130" s="8" t="s">
        <v>71</v>
      </c>
    </row>
    <row r="131" spans="2:102" x14ac:dyDescent="0.25">
      <c r="B131" s="26">
        <f>SUM(L131:CW131)</f>
      </c>
      <c r="D131" s="27">
        <f>B131*E131</f>
      </c>
      <c r="E131" s="27">
        <f>'Rate Tables'!E18</f>
      </c>
      <c r="F131" s="8" t="s">
        <v>41</v>
      </c>
      <c r="L131" s="26">
        <f>IF(L$6="","",IF(WEEKDAY(L$6,1)=1,L128*L127,0))</f>
      </c>
      <c r="M131" s="26">
        <f>IF(M$6="","",IF(WEEKDAY(M$6,1)=1,M128*M127,0))</f>
      </c>
      <c r="N131" s="26">
        <f>IF(N$6="","",IF(WEEKDAY(N$6,1)=1,N128*N127,0))</f>
      </c>
      <c r="O131" s="26">
        <f>IF(O$6="","",IF(WEEKDAY(O$6,1)=1,O128*O127,0))</f>
      </c>
      <c r="P131" s="26">
        <f>IF(P$6="","",IF(WEEKDAY(P$6,1)=1,P128*P127,0))</f>
      </c>
      <c r="Q131" s="26">
        <f>IF(Q$6="","",IF(WEEKDAY(Q$6,1)=1,Q128*Q127,0))</f>
      </c>
      <c r="R131" s="26">
        <f>IF(R$6="","",IF(WEEKDAY(R$6,1)=1,R128*R127,0))</f>
      </c>
      <c r="S131" s="26">
        <f>IF(S$6="","",IF(WEEKDAY(S$6,1)=1,S128*S127,0))</f>
      </c>
      <c r="T131" s="26">
        <f>IF(T$6="","",IF(WEEKDAY(T$6,1)=1,T128*T127,0))</f>
      </c>
      <c r="U131" s="26">
        <f>IF(U$6="","",IF(WEEKDAY(U$6,1)=1,U128*U127,0))</f>
      </c>
      <c r="V131" s="26">
        <f>IF(V$6="","",IF(WEEKDAY(V$6,1)=1,V128*V127,0))</f>
      </c>
      <c r="W131" s="26">
        <f>IF(W$6="","",IF(WEEKDAY(W$6,1)=1,W128*W127,0))</f>
      </c>
      <c r="X131" s="26">
        <f>IF(X$6="","",IF(WEEKDAY(X$6,1)=1,X128*X127,0))</f>
      </c>
      <c r="Y131" s="26">
        <f>IF(Y$6="","",IF(WEEKDAY(Y$6,1)=1,Y128*Y127,0))</f>
      </c>
      <c r="Z131" s="26">
        <f>IF(Z$6="","",IF(WEEKDAY(Z$6,1)=1,Z128*Z127,0))</f>
      </c>
      <c r="AA131" s="26">
        <f>IF(AA$6="","",IF(WEEKDAY(AA$6,1)=1,AA128*AA127,0))</f>
      </c>
      <c r="AB131" s="26">
        <f>IF(AB$6="","",IF(WEEKDAY(AB$6,1)=1,AB128*AB127,0))</f>
      </c>
      <c r="AC131" s="26">
        <f>IF(AC$6="","",IF(WEEKDAY(AC$6,1)=1,AC128*AC127,0))</f>
      </c>
      <c r="AD131" s="26">
        <f>IF(AD$6="","",IF(WEEKDAY(AD$6,1)=1,AD128*AD127,0))</f>
      </c>
      <c r="AE131" s="26">
        <f>IF(AE$6="","",IF(WEEKDAY(AE$6,1)=1,AE128*AE127,0))</f>
      </c>
      <c r="AF131" s="26">
        <f>IF(AF$6="","",IF(WEEKDAY(AF$6,1)=1,AF128*AF127,0))</f>
      </c>
      <c r="AG131" s="26">
        <f>IF(AG$6="","",IF(WEEKDAY(AG$6,1)=1,AG128*AG127,0))</f>
      </c>
      <c r="AH131" s="26">
        <f>IF(AH$6="","",IF(WEEKDAY(AH$6,1)=1,AH128*AH127,0))</f>
      </c>
      <c r="AI131" s="26">
        <f>IF(AI$6="","",IF(WEEKDAY(AI$6,1)=1,AI128*AI127,0))</f>
      </c>
      <c r="AJ131" s="26">
        <f>IF(AJ$6="","",IF(WEEKDAY(AJ$6,1)=1,AJ128*AJ127,0))</f>
      </c>
      <c r="AK131" s="26">
        <f>IF(AK$6="","",IF(WEEKDAY(AK$6,1)=1,AK128*AK127,0))</f>
      </c>
      <c r="AL131" s="26">
        <f>IF(AL$6="","",IF(WEEKDAY(AL$6,1)=1,AL128*AL127,0))</f>
      </c>
      <c r="AM131" s="26">
        <f>IF(AM$6="","",IF(WEEKDAY(AM$6,1)=1,AM128*AM127,0))</f>
      </c>
      <c r="AN131" s="26">
        <f>IF(AN$6="","",IF(WEEKDAY(AN$6,1)=1,AN128*AN127,0))</f>
      </c>
      <c r="AO131" s="26">
        <f>IF(AO$6="","",IF(WEEKDAY(AO$6,1)=1,AO128*AO127,0))</f>
      </c>
      <c r="AP131" s="26">
        <f>IF(AP$6="","",IF(WEEKDAY(AP$6,1)=1,AP128*AP127,0))</f>
      </c>
      <c r="AQ131" s="26">
        <f>IF(AQ$6="","",IF(WEEKDAY(AQ$6,1)=1,AQ128*AQ127,0))</f>
      </c>
      <c r="AR131" s="26">
        <f>IF(AR$6="","",IF(WEEKDAY(AR$6,1)=1,AR128*AR127,0))</f>
      </c>
      <c r="AS131" s="26">
        <f>IF(AS$6="","",IF(WEEKDAY(AS$6,1)=1,AS128*AS127,0))</f>
      </c>
      <c r="AT131" s="26">
        <f>IF(AT$6="","",IF(WEEKDAY(AT$6,1)=1,AT128*AT127,0))</f>
      </c>
      <c r="AU131" s="26">
        <f>IF(AU$6="","",IF(WEEKDAY(AU$6,1)=1,AU128*AU127,0))</f>
      </c>
      <c r="AV131" s="26">
        <f>IF(AV$6="","",IF(WEEKDAY(AV$6,1)=1,AV128*AV127,0))</f>
      </c>
      <c r="AW131" s="26">
        <f>IF(AW$6="","",IF(WEEKDAY(AW$6,1)=1,AW128*AW127,0))</f>
      </c>
      <c r="AX131" s="26">
        <f>IF(AX$6="","",IF(WEEKDAY(AX$6,1)=1,AX128*AX127,0))</f>
      </c>
      <c r="AY131" s="26">
        <f>IF(AY$6="","",IF(WEEKDAY(AY$6,1)=1,AY128*AY127,0))</f>
      </c>
      <c r="AZ131" s="26">
        <f>IF(AZ$6="","",IF(WEEKDAY(AZ$6,1)=1,AZ128*AZ127,0))</f>
      </c>
      <c r="BA131" s="26">
        <f>IF(BA$6="","",IF(WEEKDAY(BA$6,1)=1,BA128*BA127,0))</f>
      </c>
      <c r="BB131" s="26">
        <f>IF(BB$6="","",IF(WEEKDAY(BB$6,1)=1,BB128*BB127,0))</f>
      </c>
      <c r="BC131" s="26">
        <f>IF(BC$6="","",IF(WEEKDAY(BC$6,1)=1,BC128*BC127,0))</f>
      </c>
      <c r="BD131" s="26">
        <f>IF(BD$6="","",IF(WEEKDAY(BD$6,1)=1,BD128*BD127,0))</f>
      </c>
      <c r="BE131" s="26">
        <f>IF(BE$6="","",IF(WEEKDAY(BE$6,1)=1,BE128*BE127,0))</f>
      </c>
      <c r="BF131" s="26">
        <f>IF(BF$6="","",IF(WEEKDAY(BF$6,1)=1,BF128*BF127,0))</f>
      </c>
      <c r="BG131" s="26">
        <f>IF(BG$6="","",IF(WEEKDAY(BG$6,1)=1,BG128*BG127,0))</f>
      </c>
      <c r="BH131" s="26">
        <f>IF(BH$6="","",IF(WEEKDAY(BH$6,1)=1,BH128*BH127,0))</f>
      </c>
      <c r="BI131" s="26">
        <f>IF(BI$6="","",IF(WEEKDAY(BI$6,1)=1,BI128*BI127,0))</f>
      </c>
      <c r="BJ131" s="26">
        <f>IF(BJ$6="","",IF(WEEKDAY(BJ$6,1)=1,BJ128*BJ127,0))</f>
      </c>
      <c r="BK131" s="26">
        <f>IF(BK$6="","",IF(WEEKDAY(BK$6,1)=1,BK128*BK127,0))</f>
      </c>
      <c r="BL131" s="26">
        <f>IF(BL$6="","",IF(WEEKDAY(BL$6,1)=1,BL128*BL127,0))</f>
      </c>
      <c r="BM131" s="26">
        <f>IF(BM$6="","",IF(WEEKDAY(BM$6,1)=1,BM128*BM127,0))</f>
      </c>
      <c r="BN131" s="26">
        <f>IF(BN$6="","",IF(WEEKDAY(BN$6,1)=1,BN128*BN127,0))</f>
      </c>
      <c r="BO131" s="26">
        <f>IF(BO$6="","",IF(WEEKDAY(BO$6,1)=1,BO128*BO127,0))</f>
      </c>
      <c r="BP131" s="26">
        <f>IF(BP$6="","",IF(WEEKDAY(BP$6,1)=1,BP128*BP127,0))</f>
      </c>
      <c r="BQ131" s="26">
        <f>IF(BQ$6="","",IF(WEEKDAY(BQ$6,1)=1,BQ128*BQ127,0))</f>
      </c>
      <c r="BR131" s="26">
        <f>IF(BR$6="","",IF(WEEKDAY(BR$6,1)=1,BR128*BR127,0))</f>
      </c>
      <c r="BS131" s="26">
        <f>IF(BS$6="","",IF(WEEKDAY(BS$6,1)=1,BS128*BS127,0))</f>
      </c>
      <c r="BT131" s="26">
        <f>IF(BT$6="","",IF(WEEKDAY(BT$6,1)=1,BT128*BT127,0))</f>
      </c>
      <c r="BU131" s="26">
        <f>IF(BU$6="","",IF(WEEKDAY(BU$6,1)=1,BU128*BU127,0))</f>
      </c>
      <c r="BV131" s="26">
        <f>IF(BV$6="","",IF(WEEKDAY(BV$6,1)=1,BV128*BV127,0))</f>
      </c>
      <c r="BW131" s="26">
        <f>IF(BW$6="","",IF(WEEKDAY(BW$6,1)=1,BW128*BW127,0))</f>
      </c>
      <c r="BX131" s="26">
        <f>IF(BX$6="","",IF(WEEKDAY(BX$6,1)=1,BX128*BX127,0))</f>
      </c>
      <c r="BY131" s="26">
        <f>IF(BY$6="","",IF(WEEKDAY(BY$6,1)=1,BY128*BY127,0))</f>
      </c>
      <c r="BZ131" s="26">
        <f>IF(BZ$6="","",IF(WEEKDAY(BZ$6,1)=1,BZ128*BZ127,0))</f>
      </c>
      <c r="CA131" s="26">
        <f>IF(CA$6="","",IF(WEEKDAY(CA$6,1)=1,CA128*CA127,0))</f>
      </c>
      <c r="CB131" s="26">
        <f>IF(CB$6="","",IF(WEEKDAY(CB$6,1)=1,CB128*CB127,0))</f>
      </c>
      <c r="CC131" s="26">
        <f>IF(CC$6="","",IF(WEEKDAY(CC$6,1)=1,CC128*CC127,0))</f>
      </c>
      <c r="CD131" s="26">
        <f>IF(CD$6="","",IF(WEEKDAY(CD$6,1)=1,CD128*CD127,0))</f>
      </c>
      <c r="CE131" s="26">
        <f>IF(CE$6="","",IF(WEEKDAY(CE$6,1)=1,CE128*CE127,0))</f>
      </c>
      <c r="CF131" s="26">
        <f>IF(CF$6="","",IF(WEEKDAY(CF$6,1)=1,CF128*CF127,0))</f>
      </c>
      <c r="CG131" s="26">
        <f>IF(CG$6="","",IF(WEEKDAY(CG$6,1)=1,CG128*CG127,0))</f>
      </c>
      <c r="CH131" s="26">
        <f>IF(CH$6="","",IF(WEEKDAY(CH$6,1)=1,CH128*CH127,0))</f>
      </c>
      <c r="CI131" s="26">
        <f>IF(CI$6="","",IF(WEEKDAY(CI$6,1)=1,CI128*CI127,0))</f>
      </c>
      <c r="CJ131" s="26">
        <f>IF(CJ$6="","",IF(WEEKDAY(CJ$6,1)=1,CJ128*CJ127,0))</f>
      </c>
      <c r="CK131" s="26">
        <f>IF(CK$6="","",IF(WEEKDAY(CK$6,1)=1,CK128*CK127,0))</f>
      </c>
      <c r="CL131" s="26">
        <f>IF(CL$6="","",IF(WEEKDAY(CL$6,1)=1,CL128*CL127,0))</f>
      </c>
      <c r="CM131" s="26">
        <f>IF(CM$6="","",IF(WEEKDAY(CM$6,1)=1,CM128*CM127,0))</f>
      </c>
      <c r="CN131" s="26">
        <f>IF(CN$6="","",IF(WEEKDAY(CN$6,1)=1,CN128*CN127,0))</f>
      </c>
      <c r="CO131" s="26">
        <f>IF(CO$6="","",IF(WEEKDAY(CO$6,1)=1,CO128*CO127,0))</f>
      </c>
      <c r="CP131" s="26">
        <f>IF(CP$6="","",IF(WEEKDAY(CP$6,1)=1,CP128*CP127,0))</f>
      </c>
      <c r="CQ131" s="26">
        <f>IF(CQ$6="","",IF(WEEKDAY(CQ$6,1)=1,CQ128*CQ127,0))</f>
      </c>
      <c r="CR131" s="26">
        <f>IF(CR$6="","",IF(WEEKDAY(CR$6,1)=1,CR128*CR127,0))</f>
      </c>
      <c r="CS131" s="26">
        <f>IF(CS$6="","",IF(WEEKDAY(CS$6,1)=1,CS128*CS127,0))</f>
      </c>
      <c r="CT131" s="26">
        <f>IF(CT$6="","",IF(WEEKDAY(CT$6,1)=1,CT128*CT127,0))</f>
      </c>
      <c r="CU131" s="26">
        <f>IF(CU$6="","",IF(WEEKDAY(CU$6,1)=1,CU128*CU127,0))</f>
      </c>
      <c r="CV131" s="26">
        <f>IF(CV$6="","",IF(WEEKDAY(CV$6,1)=1,CV128*CV127,0))</f>
      </c>
      <c r="CW131" s="26">
        <f>IF(CW$6="","",IF(WEEKDAY(CW$6,1)=1,CW128*CW127,0))</f>
      </c>
      <c r="CX131" s="8" t="s">
        <v>71</v>
      </c>
    </row>
    <row r="132" spans="2:102" x14ac:dyDescent="0.25">
      <c r="B132" s="26">
        <f>SUM(L132:CW132)</f>
      </c>
      <c r="D132" s="27">
        <f>B132*E132</f>
      </c>
      <c r="E132" s="27">
        <v>140</v>
      </c>
      <c r="F132" s="8" t="s">
        <v>42</v>
      </c>
      <c r="L132" s="28">
        <v>0</v>
      </c>
      <c r="M132" s="28">
        <v>0</v>
      </c>
      <c r="N132" s="28">
        <v>0</v>
      </c>
      <c r="O132" s="28">
        <v>0</v>
      </c>
      <c r="P132" s="28">
        <v>0</v>
      </c>
      <c r="Q132" s="28">
        <v>0</v>
      </c>
      <c r="R132" s="28">
        <v>0</v>
      </c>
      <c r="S132" s="28">
        <v>0</v>
      </c>
      <c r="T132" s="28">
        <v>0</v>
      </c>
      <c r="U132" s="28">
        <v>0</v>
      </c>
      <c r="V132" s="28">
        <v>0</v>
      </c>
      <c r="W132" s="28">
        <v>0</v>
      </c>
      <c r="X132" s="28">
        <v>0</v>
      </c>
      <c r="Y132" s="28">
        <v>0</v>
      </c>
      <c r="Z132" s="28">
        <v>0</v>
      </c>
      <c r="AA132" s="28">
        <v>0</v>
      </c>
      <c r="AB132" s="28">
        <v>0</v>
      </c>
      <c r="AC132" s="28">
        <v>0</v>
      </c>
      <c r="AD132" s="28">
        <v>0</v>
      </c>
      <c r="AE132" s="28">
        <v>0</v>
      </c>
      <c r="AF132" s="28">
        <v>0</v>
      </c>
      <c r="AG132" s="28">
        <v>0</v>
      </c>
      <c r="AH132" s="28">
        <v>0</v>
      </c>
      <c r="AI132" s="28">
        <v>0</v>
      </c>
      <c r="AJ132" s="28">
        <v>0</v>
      </c>
      <c r="AK132" s="28">
        <v>0</v>
      </c>
      <c r="AL132" s="28">
        <v>0</v>
      </c>
      <c r="AM132" s="28">
        <v>0</v>
      </c>
      <c r="AN132" s="28">
        <v>0</v>
      </c>
      <c r="AO132" s="28">
        <v>0</v>
      </c>
      <c r="AP132" s="28">
        <v>0</v>
      </c>
      <c r="AQ132" s="28">
        <v>0</v>
      </c>
      <c r="AR132" s="28">
        <v>0</v>
      </c>
      <c r="AS132" s="28">
        <v>0</v>
      </c>
      <c r="AT132" s="28">
        <v>0</v>
      </c>
      <c r="AU132" s="28">
        <v>0</v>
      </c>
      <c r="AV132" s="28">
        <v>0</v>
      </c>
      <c r="AW132" s="28">
        <v>0</v>
      </c>
      <c r="AX132" s="28">
        <v>0</v>
      </c>
      <c r="AY132" s="28">
        <v>0</v>
      </c>
      <c r="AZ132" s="28">
        <v>0</v>
      </c>
      <c r="BA132" s="28">
        <v>0</v>
      </c>
      <c r="BB132" s="28">
        <v>0</v>
      </c>
      <c r="BC132" s="28">
        <v>0</v>
      </c>
      <c r="BD132" s="28">
        <v>0</v>
      </c>
      <c r="BE132" s="28">
        <v>0</v>
      </c>
      <c r="BF132" s="28">
        <v>0</v>
      </c>
      <c r="BG132" s="28">
        <v>0</v>
      </c>
      <c r="BH132" s="28">
        <v>0</v>
      </c>
      <c r="BI132" s="28">
        <v>1</v>
      </c>
      <c r="BJ132" s="28">
        <v>1</v>
      </c>
      <c r="BK132" s="28">
        <v>1</v>
      </c>
      <c r="BL132" s="28">
        <v>1</v>
      </c>
      <c r="BM132" s="28">
        <v>1</v>
      </c>
      <c r="BN132" s="28">
        <v>1</v>
      </c>
      <c r="BO132" s="28">
        <v>1</v>
      </c>
      <c r="BP132" s="28">
        <v>1</v>
      </c>
      <c r="BQ132" s="28">
        <v>1</v>
      </c>
      <c r="BR132" s="28">
        <v>1</v>
      </c>
      <c r="BS132" s="28">
        <v>1</v>
      </c>
      <c r="BT132" s="28">
        <v>1</v>
      </c>
      <c r="BU132" s="28">
        <v>1</v>
      </c>
      <c r="BV132" s="28">
        <v>0</v>
      </c>
      <c r="BW132" s="28">
        <v>1</v>
      </c>
      <c r="BX132" s="28">
        <v>1</v>
      </c>
      <c r="BY132" s="28">
        <v>1</v>
      </c>
      <c r="BZ132" s="28">
        <v>1</v>
      </c>
      <c r="CA132" s="28">
        <v>1</v>
      </c>
      <c r="CB132" s="28">
        <v>1</v>
      </c>
      <c r="CC132" s="28">
        <v>0</v>
      </c>
      <c r="CD132" s="28">
        <v>1</v>
      </c>
      <c r="CE132" s="28">
        <v>1</v>
      </c>
      <c r="CF132" s="28">
        <v>1</v>
      </c>
      <c r="CG132" s="28">
        <v>1</v>
      </c>
      <c r="CH132" s="28">
        <v>1</v>
      </c>
      <c r="CI132" s="28">
        <v>1</v>
      </c>
      <c r="CJ132" s="28">
        <v>0</v>
      </c>
      <c r="CK132" s="28">
        <v>1</v>
      </c>
      <c r="CL132" s="28">
        <v>1</v>
      </c>
      <c r="CM132" s="28">
        <v>1</v>
      </c>
      <c r="CN132" s="28">
        <v>1</v>
      </c>
      <c r="CO132" s="28">
        <v>1</v>
      </c>
      <c r="CP132" s="28">
        <v>1</v>
      </c>
      <c r="CQ132" s="28">
        <v>0</v>
      </c>
      <c r="CR132" s="28">
        <v>1</v>
      </c>
      <c r="CS132" s="28">
        <v>1</v>
      </c>
      <c r="CT132" s="28">
        <v>1</v>
      </c>
      <c r="CU132" s="28">
        <v>1</v>
      </c>
      <c r="CV132" s="28">
        <v>1</v>
      </c>
      <c r="CW132" s="28">
        <v>1</v>
      </c>
      <c r="CX132" s="8" t="s">
        <v>71</v>
      </c>
    </row>
    <row r="133" spans="1:102" x14ac:dyDescent="0.25">
      <c r="A133" s="20" t="s">
        <v>47</v>
      </c>
      <c r="B133" s="21">
        <f>G133+H133+I133</f>
      </c>
      <c r="C133" s="20" t="s">
        <v>70</v>
      </c>
      <c r="D133" s="22">
        <f>K133</f>
      </c>
      <c r="F133" s="20" t="s">
        <v>34</v>
      </c>
      <c r="G133" s="21">
        <f>B136</f>
      </c>
      <c r="H133" s="21">
        <f>B137</f>
      </c>
      <c r="I133" s="21">
        <f>B138</f>
      </c>
      <c r="J133" s="21">
        <f>B139</f>
      </c>
      <c r="K133" s="22">
        <f>D136+D137+D138</f>
      </c>
      <c r="CX133" s="20" t="s">
        <v>72</v>
      </c>
    </row>
    <row r="134" spans="6:102" x14ac:dyDescent="0.25">
      <c r="F134" s="23" t="s">
        <v>36</v>
      </c>
      <c r="L134" s="24">
        <v>0</v>
      </c>
      <c r="M134" s="24">
        <v>0</v>
      </c>
      <c r="N134" s="24">
        <v>0</v>
      </c>
      <c r="O134" s="24">
        <v>0</v>
      </c>
      <c r="P134" s="24">
        <v>0</v>
      </c>
      <c r="Q134" s="24">
        <v>0</v>
      </c>
      <c r="R134" s="24">
        <v>0</v>
      </c>
      <c r="S134" s="24">
        <v>0</v>
      </c>
      <c r="T134" s="24">
        <v>0</v>
      </c>
      <c r="U134" s="24">
        <v>0</v>
      </c>
      <c r="V134" s="24">
        <v>0</v>
      </c>
      <c r="W134" s="24">
        <v>0</v>
      </c>
      <c r="X134" s="24">
        <v>0</v>
      </c>
      <c r="Y134" s="24">
        <v>0</v>
      </c>
      <c r="Z134" s="24">
        <v>0</v>
      </c>
      <c r="AA134" s="24">
        <v>0</v>
      </c>
      <c r="AB134" s="24">
        <v>0</v>
      </c>
      <c r="AC134" s="24">
        <v>0</v>
      </c>
      <c r="AD134" s="24">
        <v>0</v>
      </c>
      <c r="AE134" s="24">
        <v>0</v>
      </c>
      <c r="AF134" s="24">
        <v>0</v>
      </c>
      <c r="AG134" s="24">
        <v>0</v>
      </c>
      <c r="AH134" s="24">
        <v>0</v>
      </c>
      <c r="AI134" s="24">
        <v>0</v>
      </c>
      <c r="AJ134" s="24">
        <v>0</v>
      </c>
      <c r="AK134" s="24">
        <v>0</v>
      </c>
      <c r="AL134" s="24">
        <v>0</v>
      </c>
      <c r="AM134" s="24">
        <v>0</v>
      </c>
      <c r="AN134" s="24">
        <v>0</v>
      </c>
      <c r="AO134" s="24">
        <v>0</v>
      </c>
      <c r="AP134" s="24">
        <v>0</v>
      </c>
      <c r="AQ134" s="24">
        <v>0</v>
      </c>
      <c r="AR134" s="24">
        <v>0</v>
      </c>
      <c r="AS134" s="24">
        <v>0</v>
      </c>
      <c r="AT134" s="24">
        <v>0</v>
      </c>
      <c r="AU134" s="24">
        <v>0</v>
      </c>
      <c r="AV134" s="24">
        <v>0</v>
      </c>
      <c r="AW134" s="24">
        <v>0</v>
      </c>
      <c r="AX134" s="24">
        <v>0</v>
      </c>
      <c r="AY134" s="24">
        <v>0</v>
      </c>
      <c r="AZ134" s="24">
        <v>0</v>
      </c>
      <c r="BA134" s="24">
        <v>0</v>
      </c>
      <c r="BB134" s="24">
        <v>0</v>
      </c>
      <c r="BC134" s="24">
        <v>0</v>
      </c>
      <c r="BD134" s="24">
        <v>0</v>
      </c>
      <c r="BE134" s="24">
        <v>0</v>
      </c>
      <c r="BF134" s="24">
        <v>0</v>
      </c>
      <c r="BG134" s="24">
        <v>0</v>
      </c>
      <c r="BH134" s="24">
        <v>0</v>
      </c>
      <c r="BI134" s="24">
        <v>1</v>
      </c>
      <c r="BJ134" s="24">
        <v>1</v>
      </c>
      <c r="BK134" s="24">
        <v>1</v>
      </c>
      <c r="BL134" s="24">
        <v>1</v>
      </c>
      <c r="BM134" s="24">
        <v>1</v>
      </c>
      <c r="BN134" s="24">
        <v>1</v>
      </c>
      <c r="BO134" s="24">
        <v>1</v>
      </c>
      <c r="BP134" s="24">
        <v>1</v>
      </c>
      <c r="BQ134" s="24">
        <v>1</v>
      </c>
      <c r="BR134" s="24">
        <v>1</v>
      </c>
      <c r="BS134" s="24">
        <v>1</v>
      </c>
      <c r="BT134" s="24">
        <v>1</v>
      </c>
      <c r="BU134" s="24">
        <v>1</v>
      </c>
      <c r="BV134" s="24">
        <v>0</v>
      </c>
      <c r="BW134" s="24">
        <v>1</v>
      </c>
      <c r="BX134" s="24">
        <v>1</v>
      </c>
      <c r="BY134" s="24">
        <v>1</v>
      </c>
      <c r="BZ134" s="24">
        <v>1</v>
      </c>
      <c r="CA134" s="24">
        <v>1</v>
      </c>
      <c r="CB134" s="24">
        <v>1</v>
      </c>
      <c r="CC134" s="24">
        <v>0</v>
      </c>
      <c r="CD134" s="24">
        <v>1</v>
      </c>
      <c r="CE134" s="24">
        <v>1</v>
      </c>
      <c r="CF134" s="24">
        <v>1</v>
      </c>
      <c r="CG134" s="24">
        <v>1</v>
      </c>
      <c r="CH134" s="24">
        <v>1</v>
      </c>
      <c r="CI134" s="24">
        <v>1</v>
      </c>
      <c r="CJ134" s="24">
        <v>0</v>
      </c>
      <c r="CK134" s="24">
        <v>1</v>
      </c>
      <c r="CL134" s="24">
        <v>1</v>
      </c>
      <c r="CM134" s="24">
        <v>1</v>
      </c>
      <c r="CN134" s="24">
        <v>1</v>
      </c>
      <c r="CO134" s="24">
        <v>1</v>
      </c>
      <c r="CP134" s="24">
        <v>1</v>
      </c>
      <c r="CQ134" s="24">
        <v>0</v>
      </c>
      <c r="CR134" s="24">
        <v>1</v>
      </c>
      <c r="CS134" s="24">
        <v>1</v>
      </c>
      <c r="CT134" s="24">
        <v>1</v>
      </c>
      <c r="CU134" s="24">
        <v>1</v>
      </c>
      <c r="CV134" s="24">
        <v>1</v>
      </c>
      <c r="CW134" s="24">
        <v>1</v>
      </c>
      <c r="CX134" s="23" t="s">
        <v>72</v>
      </c>
    </row>
    <row r="135" spans="1:102" x14ac:dyDescent="0.25">
      <c r="A135" s="23" t="s">
        <v>37</v>
      </c>
      <c r="F135" s="23" t="s">
        <v>38</v>
      </c>
      <c r="L135" s="25">
        <v>0</v>
      </c>
      <c r="M135" s="25">
        <v>0</v>
      </c>
      <c r="N135" s="25">
        <v>0</v>
      </c>
      <c r="O135" s="25">
        <v>0</v>
      </c>
      <c r="P135" s="25">
        <v>0</v>
      </c>
      <c r="Q135" s="25">
        <v>0</v>
      </c>
      <c r="R135" s="25">
        <v>0</v>
      </c>
      <c r="S135" s="25">
        <v>0</v>
      </c>
      <c r="T135" s="25">
        <v>0</v>
      </c>
      <c r="U135" s="25">
        <v>0</v>
      </c>
      <c r="V135" s="25">
        <v>0</v>
      </c>
      <c r="W135" s="25">
        <v>0</v>
      </c>
      <c r="X135" s="25">
        <v>0</v>
      </c>
      <c r="Y135" s="25">
        <v>0</v>
      </c>
      <c r="Z135" s="25">
        <v>0</v>
      </c>
      <c r="AA135" s="25">
        <v>0</v>
      </c>
      <c r="AB135" s="25">
        <v>0</v>
      </c>
      <c r="AC135" s="25">
        <v>0</v>
      </c>
      <c r="AD135" s="25">
        <v>0</v>
      </c>
      <c r="AE135" s="25">
        <v>0</v>
      </c>
      <c r="AF135" s="25">
        <v>0</v>
      </c>
      <c r="AG135" s="25">
        <v>0</v>
      </c>
      <c r="AH135" s="25">
        <v>0</v>
      </c>
      <c r="AI135" s="25">
        <v>0</v>
      </c>
      <c r="AJ135" s="25">
        <v>0</v>
      </c>
      <c r="AK135" s="25">
        <v>0</v>
      </c>
      <c r="AL135" s="25">
        <v>0</v>
      </c>
      <c r="AM135" s="25">
        <v>0</v>
      </c>
      <c r="AN135" s="25">
        <v>0</v>
      </c>
      <c r="AO135" s="25">
        <v>0</v>
      </c>
      <c r="AP135" s="25">
        <v>0</v>
      </c>
      <c r="AQ135" s="25">
        <v>0</v>
      </c>
      <c r="AR135" s="25">
        <v>0</v>
      </c>
      <c r="AS135" s="25">
        <v>0</v>
      </c>
      <c r="AT135" s="25">
        <v>0</v>
      </c>
      <c r="AU135" s="25">
        <v>0</v>
      </c>
      <c r="AV135" s="25">
        <v>0</v>
      </c>
      <c r="AW135" s="25">
        <v>0</v>
      </c>
      <c r="AX135" s="25">
        <v>0</v>
      </c>
      <c r="AY135" s="25">
        <v>0</v>
      </c>
      <c r="AZ135" s="25">
        <v>0</v>
      </c>
      <c r="BA135" s="25">
        <v>0</v>
      </c>
      <c r="BB135" s="25">
        <v>0</v>
      </c>
      <c r="BC135" s="25">
        <v>0</v>
      </c>
      <c r="BD135" s="25">
        <v>0</v>
      </c>
      <c r="BE135" s="25">
        <v>0</v>
      </c>
      <c r="BF135" s="25">
        <v>0</v>
      </c>
      <c r="BG135" s="25">
        <v>0</v>
      </c>
      <c r="BH135" s="25">
        <v>0</v>
      </c>
      <c r="BI135" s="25">
        <v>10</v>
      </c>
      <c r="BJ135" s="25">
        <v>10</v>
      </c>
      <c r="BK135" s="25">
        <v>10</v>
      </c>
      <c r="BL135" s="25">
        <v>10</v>
      </c>
      <c r="BM135" s="25">
        <v>10</v>
      </c>
      <c r="BN135" s="25">
        <v>10</v>
      </c>
      <c r="BO135" s="25">
        <v>10</v>
      </c>
      <c r="BP135" s="25">
        <v>10</v>
      </c>
      <c r="BQ135" s="25">
        <v>10</v>
      </c>
      <c r="BR135" s="25">
        <v>10</v>
      </c>
      <c r="BS135" s="25">
        <v>10</v>
      </c>
      <c r="BT135" s="25">
        <v>10</v>
      </c>
      <c r="BU135" s="25">
        <v>10</v>
      </c>
      <c r="BV135" s="25">
        <v>0</v>
      </c>
      <c r="BW135" s="25">
        <v>10</v>
      </c>
      <c r="BX135" s="25">
        <v>10</v>
      </c>
      <c r="BY135" s="25">
        <v>10</v>
      </c>
      <c r="BZ135" s="25">
        <v>10</v>
      </c>
      <c r="CA135" s="25">
        <v>10</v>
      </c>
      <c r="CB135" s="25">
        <v>10</v>
      </c>
      <c r="CC135" s="25">
        <v>0</v>
      </c>
      <c r="CD135" s="25">
        <v>10</v>
      </c>
      <c r="CE135" s="25">
        <v>10</v>
      </c>
      <c r="CF135" s="25">
        <v>10</v>
      </c>
      <c r="CG135" s="25">
        <v>10</v>
      </c>
      <c r="CH135" s="25">
        <v>10</v>
      </c>
      <c r="CI135" s="25">
        <v>10</v>
      </c>
      <c r="CJ135" s="25">
        <v>0</v>
      </c>
      <c r="CK135" s="25">
        <v>10</v>
      </c>
      <c r="CL135" s="25">
        <v>10</v>
      </c>
      <c r="CM135" s="25">
        <v>10</v>
      </c>
      <c r="CN135" s="25">
        <v>10</v>
      </c>
      <c r="CO135" s="25">
        <v>10</v>
      </c>
      <c r="CP135" s="25">
        <v>10</v>
      </c>
      <c r="CQ135" s="25">
        <v>0</v>
      </c>
      <c r="CR135" s="25">
        <v>10</v>
      </c>
      <c r="CS135" s="25">
        <v>10</v>
      </c>
      <c r="CT135" s="25">
        <v>10</v>
      </c>
      <c r="CU135" s="25">
        <v>10</v>
      </c>
      <c r="CV135" s="25">
        <v>10</v>
      </c>
      <c r="CW135" s="25">
        <v>10</v>
      </c>
      <c r="CX135" s="23" t="s">
        <v>72</v>
      </c>
    </row>
    <row r="136" spans="2:102" x14ac:dyDescent="0.25">
      <c r="B136" s="26">
        <f>SUM(L136:CW136)</f>
      </c>
      <c r="D136" s="27">
        <f>B136*E136</f>
      </c>
      <c r="E136" s="27">
        <f>'Rate Tables'!C18</f>
      </c>
      <c r="F136" s="8" t="s">
        <v>39</v>
      </c>
      <c r="L136" s="26">
        <f>IF(L$6="","",IF(WEEKDAY(L$6,1)=1,0,MIN(8,L135)*L134))</f>
      </c>
      <c r="M136" s="26">
        <f>IF(M$6="","",IF(WEEKDAY(M$6,1)=1,0,MIN(8,M135)*M134))</f>
      </c>
      <c r="N136" s="26">
        <f>IF(N$6="","",IF(WEEKDAY(N$6,1)=1,0,MIN(8,N135)*N134))</f>
      </c>
      <c r="O136" s="26">
        <f>IF(O$6="","",IF(WEEKDAY(O$6,1)=1,0,MIN(8,O135)*O134))</f>
      </c>
      <c r="P136" s="26">
        <f>IF(P$6="","",IF(WEEKDAY(P$6,1)=1,0,MIN(8,P135)*P134))</f>
      </c>
      <c r="Q136" s="26">
        <f>IF(Q$6="","",IF(WEEKDAY(Q$6,1)=1,0,MIN(8,Q135)*Q134))</f>
      </c>
      <c r="R136" s="26">
        <f>IF(R$6="","",IF(WEEKDAY(R$6,1)=1,0,MIN(8,R135)*R134))</f>
      </c>
      <c r="S136" s="26">
        <f>IF(S$6="","",IF(WEEKDAY(S$6,1)=1,0,MIN(8,S135)*S134))</f>
      </c>
      <c r="T136" s="26">
        <f>IF(T$6="","",IF(WEEKDAY(T$6,1)=1,0,MIN(8,T135)*T134))</f>
      </c>
      <c r="U136" s="26">
        <f>IF(U$6="","",IF(WEEKDAY(U$6,1)=1,0,MIN(8,U135)*U134))</f>
      </c>
      <c r="V136" s="26">
        <f>IF(V$6="","",IF(WEEKDAY(V$6,1)=1,0,MIN(8,V135)*V134))</f>
      </c>
      <c r="W136" s="26">
        <f>IF(W$6="","",IF(WEEKDAY(W$6,1)=1,0,MIN(8,W135)*W134))</f>
      </c>
      <c r="X136" s="26">
        <f>IF(X$6="","",IF(WEEKDAY(X$6,1)=1,0,MIN(8,X135)*X134))</f>
      </c>
      <c r="Y136" s="26">
        <f>IF(Y$6="","",IF(WEEKDAY(Y$6,1)=1,0,MIN(8,Y135)*Y134))</f>
      </c>
      <c r="Z136" s="26">
        <f>IF(Z$6="","",IF(WEEKDAY(Z$6,1)=1,0,MIN(8,Z135)*Z134))</f>
      </c>
      <c r="AA136" s="26">
        <f>IF(AA$6="","",IF(WEEKDAY(AA$6,1)=1,0,MIN(8,AA135)*AA134))</f>
      </c>
      <c r="AB136" s="26">
        <f>IF(AB$6="","",IF(WEEKDAY(AB$6,1)=1,0,MIN(8,AB135)*AB134))</f>
      </c>
      <c r="AC136" s="26">
        <f>IF(AC$6="","",IF(WEEKDAY(AC$6,1)=1,0,MIN(8,AC135)*AC134))</f>
      </c>
      <c r="AD136" s="26">
        <f>IF(AD$6="","",IF(WEEKDAY(AD$6,1)=1,0,MIN(8,AD135)*AD134))</f>
      </c>
      <c r="AE136" s="26">
        <f>IF(AE$6="","",IF(WEEKDAY(AE$6,1)=1,0,MIN(8,AE135)*AE134))</f>
      </c>
      <c r="AF136" s="26">
        <f>IF(AF$6="","",IF(WEEKDAY(AF$6,1)=1,0,MIN(8,AF135)*AF134))</f>
      </c>
      <c r="AG136" s="26">
        <f>IF(AG$6="","",IF(WEEKDAY(AG$6,1)=1,0,MIN(8,AG135)*AG134))</f>
      </c>
      <c r="AH136" s="26">
        <f>IF(AH$6="","",IF(WEEKDAY(AH$6,1)=1,0,MIN(8,AH135)*AH134))</f>
      </c>
      <c r="AI136" s="26">
        <f>IF(AI$6="","",IF(WEEKDAY(AI$6,1)=1,0,MIN(8,AI135)*AI134))</f>
      </c>
      <c r="AJ136" s="26">
        <f>IF(AJ$6="","",IF(WEEKDAY(AJ$6,1)=1,0,MIN(8,AJ135)*AJ134))</f>
      </c>
      <c r="AK136" s="26">
        <f>IF(AK$6="","",IF(WEEKDAY(AK$6,1)=1,0,MIN(8,AK135)*AK134))</f>
      </c>
      <c r="AL136" s="26">
        <f>IF(AL$6="","",IF(WEEKDAY(AL$6,1)=1,0,MIN(8,AL135)*AL134))</f>
      </c>
      <c r="AM136" s="26">
        <f>IF(AM$6="","",IF(WEEKDAY(AM$6,1)=1,0,MIN(8,AM135)*AM134))</f>
      </c>
      <c r="AN136" s="26">
        <f>IF(AN$6="","",IF(WEEKDAY(AN$6,1)=1,0,MIN(8,AN135)*AN134))</f>
      </c>
      <c r="AO136" s="26">
        <f>IF(AO$6="","",IF(WEEKDAY(AO$6,1)=1,0,MIN(8,AO135)*AO134))</f>
      </c>
      <c r="AP136" s="26">
        <f>IF(AP$6="","",IF(WEEKDAY(AP$6,1)=1,0,MIN(8,AP135)*AP134))</f>
      </c>
      <c r="AQ136" s="26">
        <f>IF(AQ$6="","",IF(WEEKDAY(AQ$6,1)=1,0,MIN(8,AQ135)*AQ134))</f>
      </c>
      <c r="AR136" s="26">
        <f>IF(AR$6="","",IF(WEEKDAY(AR$6,1)=1,0,MIN(8,AR135)*AR134))</f>
      </c>
      <c r="AS136" s="26">
        <f>IF(AS$6="","",IF(WEEKDAY(AS$6,1)=1,0,MIN(8,AS135)*AS134))</f>
      </c>
      <c r="AT136" s="26">
        <f>IF(AT$6="","",IF(WEEKDAY(AT$6,1)=1,0,MIN(8,AT135)*AT134))</f>
      </c>
      <c r="AU136" s="26">
        <f>IF(AU$6="","",IF(WEEKDAY(AU$6,1)=1,0,MIN(8,AU135)*AU134))</f>
      </c>
      <c r="AV136" s="26">
        <f>IF(AV$6="","",IF(WEEKDAY(AV$6,1)=1,0,MIN(8,AV135)*AV134))</f>
      </c>
      <c r="AW136" s="26">
        <f>IF(AW$6="","",IF(WEEKDAY(AW$6,1)=1,0,MIN(8,AW135)*AW134))</f>
      </c>
      <c r="AX136" s="26">
        <f>IF(AX$6="","",IF(WEEKDAY(AX$6,1)=1,0,MIN(8,AX135)*AX134))</f>
      </c>
      <c r="AY136" s="26">
        <f>IF(AY$6="","",IF(WEEKDAY(AY$6,1)=1,0,MIN(8,AY135)*AY134))</f>
      </c>
      <c r="AZ136" s="26">
        <f>IF(AZ$6="","",IF(WEEKDAY(AZ$6,1)=1,0,MIN(8,AZ135)*AZ134))</f>
      </c>
      <c r="BA136" s="26">
        <f>IF(BA$6="","",IF(WEEKDAY(BA$6,1)=1,0,MIN(8,BA135)*BA134))</f>
      </c>
      <c r="BB136" s="26">
        <f>IF(BB$6="","",IF(WEEKDAY(BB$6,1)=1,0,MIN(8,BB135)*BB134))</f>
      </c>
      <c r="BC136" s="26">
        <f>IF(BC$6="","",IF(WEEKDAY(BC$6,1)=1,0,MIN(8,BC135)*BC134))</f>
      </c>
      <c r="BD136" s="26">
        <f>IF(BD$6="","",IF(WEEKDAY(BD$6,1)=1,0,MIN(8,BD135)*BD134))</f>
      </c>
      <c r="BE136" s="26">
        <f>IF(BE$6="","",IF(WEEKDAY(BE$6,1)=1,0,MIN(8,BE135)*BE134))</f>
      </c>
      <c r="BF136" s="26">
        <f>IF(BF$6="","",IF(WEEKDAY(BF$6,1)=1,0,MIN(8,BF135)*BF134))</f>
      </c>
      <c r="BG136" s="26">
        <f>IF(BG$6="","",IF(WEEKDAY(BG$6,1)=1,0,MIN(8,BG135)*BG134))</f>
      </c>
      <c r="BH136" s="26">
        <f>IF(BH$6="","",IF(WEEKDAY(BH$6,1)=1,0,MIN(8,BH135)*BH134))</f>
      </c>
      <c r="BI136" s="26">
        <f>IF(BI$6="","",IF(WEEKDAY(BI$6,1)=1,0,MIN(8,BI135)*BI134))</f>
      </c>
      <c r="BJ136" s="26">
        <f>IF(BJ$6="","",IF(WEEKDAY(BJ$6,1)=1,0,MIN(8,BJ135)*BJ134))</f>
      </c>
      <c r="BK136" s="26">
        <f>IF(BK$6="","",IF(WEEKDAY(BK$6,1)=1,0,MIN(8,BK135)*BK134))</f>
      </c>
      <c r="BL136" s="26">
        <f>IF(BL$6="","",IF(WEEKDAY(BL$6,1)=1,0,MIN(8,BL135)*BL134))</f>
      </c>
      <c r="BM136" s="26">
        <f>IF(BM$6="","",IF(WEEKDAY(BM$6,1)=1,0,MIN(8,BM135)*BM134))</f>
      </c>
      <c r="BN136" s="26">
        <f>IF(BN$6="","",IF(WEEKDAY(BN$6,1)=1,0,MIN(8,BN135)*BN134))</f>
      </c>
      <c r="BO136" s="26">
        <f>IF(BO$6="","",IF(WEEKDAY(BO$6,1)=1,0,MIN(8,BO135)*BO134))</f>
      </c>
      <c r="BP136" s="26">
        <f>IF(BP$6="","",IF(WEEKDAY(BP$6,1)=1,0,MIN(8,BP135)*BP134))</f>
      </c>
      <c r="BQ136" s="26">
        <f>IF(BQ$6="","",IF(WEEKDAY(BQ$6,1)=1,0,MIN(8,BQ135)*BQ134))</f>
      </c>
      <c r="BR136" s="26">
        <f>IF(BR$6="","",IF(WEEKDAY(BR$6,1)=1,0,MIN(8,BR135)*BR134))</f>
      </c>
      <c r="BS136" s="26">
        <f>IF(BS$6="","",IF(WEEKDAY(BS$6,1)=1,0,MIN(8,BS135)*BS134))</f>
      </c>
      <c r="BT136" s="26">
        <f>IF(BT$6="","",IF(WEEKDAY(BT$6,1)=1,0,MIN(8,BT135)*BT134))</f>
      </c>
      <c r="BU136" s="26">
        <f>IF(BU$6="","",IF(WEEKDAY(BU$6,1)=1,0,MIN(8,BU135)*BU134))</f>
      </c>
      <c r="BV136" s="26">
        <f>IF(BV$6="","",IF(WEEKDAY(BV$6,1)=1,0,MIN(8,BV135)*BV134))</f>
      </c>
      <c r="BW136" s="26">
        <f>IF(BW$6="","",IF(WEEKDAY(BW$6,1)=1,0,MIN(8,BW135)*BW134))</f>
      </c>
      <c r="BX136" s="26">
        <f>IF(BX$6="","",IF(WEEKDAY(BX$6,1)=1,0,MIN(8,BX135)*BX134))</f>
      </c>
      <c r="BY136" s="26">
        <f>IF(BY$6="","",IF(WEEKDAY(BY$6,1)=1,0,MIN(8,BY135)*BY134))</f>
      </c>
      <c r="BZ136" s="26">
        <f>IF(BZ$6="","",IF(WEEKDAY(BZ$6,1)=1,0,MIN(8,BZ135)*BZ134))</f>
      </c>
      <c r="CA136" s="26">
        <f>IF(CA$6="","",IF(WEEKDAY(CA$6,1)=1,0,MIN(8,CA135)*CA134))</f>
      </c>
      <c r="CB136" s="26">
        <f>IF(CB$6="","",IF(WEEKDAY(CB$6,1)=1,0,MIN(8,CB135)*CB134))</f>
      </c>
      <c r="CC136" s="26">
        <f>IF(CC$6="","",IF(WEEKDAY(CC$6,1)=1,0,MIN(8,CC135)*CC134))</f>
      </c>
      <c r="CD136" s="26">
        <f>IF(CD$6="","",IF(WEEKDAY(CD$6,1)=1,0,MIN(8,CD135)*CD134))</f>
      </c>
      <c r="CE136" s="26">
        <f>IF(CE$6="","",IF(WEEKDAY(CE$6,1)=1,0,MIN(8,CE135)*CE134))</f>
      </c>
      <c r="CF136" s="26">
        <f>IF(CF$6="","",IF(WEEKDAY(CF$6,1)=1,0,MIN(8,CF135)*CF134))</f>
      </c>
      <c r="CG136" s="26">
        <f>IF(CG$6="","",IF(WEEKDAY(CG$6,1)=1,0,MIN(8,CG135)*CG134))</f>
      </c>
      <c r="CH136" s="26">
        <f>IF(CH$6="","",IF(WEEKDAY(CH$6,1)=1,0,MIN(8,CH135)*CH134))</f>
      </c>
      <c r="CI136" s="26">
        <f>IF(CI$6="","",IF(WEEKDAY(CI$6,1)=1,0,MIN(8,CI135)*CI134))</f>
      </c>
      <c r="CJ136" s="26">
        <f>IF(CJ$6="","",IF(WEEKDAY(CJ$6,1)=1,0,MIN(8,CJ135)*CJ134))</f>
      </c>
      <c r="CK136" s="26">
        <f>IF(CK$6="","",IF(WEEKDAY(CK$6,1)=1,0,MIN(8,CK135)*CK134))</f>
      </c>
      <c r="CL136" s="26">
        <f>IF(CL$6="","",IF(WEEKDAY(CL$6,1)=1,0,MIN(8,CL135)*CL134))</f>
      </c>
      <c r="CM136" s="26">
        <f>IF(CM$6="","",IF(WEEKDAY(CM$6,1)=1,0,MIN(8,CM135)*CM134))</f>
      </c>
      <c r="CN136" s="26">
        <f>IF(CN$6="","",IF(WEEKDAY(CN$6,1)=1,0,MIN(8,CN135)*CN134))</f>
      </c>
      <c r="CO136" s="26">
        <f>IF(CO$6="","",IF(WEEKDAY(CO$6,1)=1,0,MIN(8,CO135)*CO134))</f>
      </c>
      <c r="CP136" s="26">
        <f>IF(CP$6="","",IF(WEEKDAY(CP$6,1)=1,0,MIN(8,CP135)*CP134))</f>
      </c>
      <c r="CQ136" s="26">
        <f>IF(CQ$6="","",IF(WEEKDAY(CQ$6,1)=1,0,MIN(8,CQ135)*CQ134))</f>
      </c>
      <c r="CR136" s="26">
        <f>IF(CR$6="","",IF(WEEKDAY(CR$6,1)=1,0,MIN(8,CR135)*CR134))</f>
      </c>
      <c r="CS136" s="26">
        <f>IF(CS$6="","",IF(WEEKDAY(CS$6,1)=1,0,MIN(8,CS135)*CS134))</f>
      </c>
      <c r="CT136" s="26">
        <f>IF(CT$6="","",IF(WEEKDAY(CT$6,1)=1,0,MIN(8,CT135)*CT134))</f>
      </c>
      <c r="CU136" s="26">
        <f>IF(CU$6="","",IF(WEEKDAY(CU$6,1)=1,0,MIN(8,CU135)*CU134))</f>
      </c>
      <c r="CV136" s="26">
        <f>IF(CV$6="","",IF(WEEKDAY(CV$6,1)=1,0,MIN(8,CV135)*CV134))</f>
      </c>
      <c r="CW136" s="26">
        <f>IF(CW$6="","",IF(WEEKDAY(CW$6,1)=1,0,MIN(8,CW135)*CW134))</f>
      </c>
      <c r="CX136" s="8" t="s">
        <v>72</v>
      </c>
    </row>
    <row r="137" spans="2:102" x14ac:dyDescent="0.25">
      <c r="B137" s="26">
        <f>SUM(L137:CW137)</f>
      </c>
      <c r="D137" s="27">
        <f>B137*E137</f>
      </c>
      <c r="E137" s="27">
        <f>'Rate Tables'!D18</f>
      </c>
      <c r="F137" s="8" t="s">
        <v>40</v>
      </c>
      <c r="L137" s="26">
        <f>IF(L$6="","",IF(WEEKDAY(L$6,1)=1,0,MAX(0,L135-8)*L134))</f>
      </c>
      <c r="M137" s="26">
        <f>IF(M$6="","",IF(WEEKDAY(M$6,1)=1,0,MAX(0,M135-8)*M134))</f>
      </c>
      <c r="N137" s="26">
        <f>IF(N$6="","",IF(WEEKDAY(N$6,1)=1,0,MAX(0,N135-8)*N134))</f>
      </c>
      <c r="O137" s="26">
        <f>IF(O$6="","",IF(WEEKDAY(O$6,1)=1,0,MAX(0,O135-8)*O134))</f>
      </c>
      <c r="P137" s="26">
        <f>IF(P$6="","",IF(WEEKDAY(P$6,1)=1,0,MAX(0,P135-8)*P134))</f>
      </c>
      <c r="Q137" s="26">
        <f>IF(Q$6="","",IF(WEEKDAY(Q$6,1)=1,0,MAX(0,Q135-8)*Q134))</f>
      </c>
      <c r="R137" s="26">
        <f>IF(R$6="","",IF(WEEKDAY(R$6,1)=1,0,MAX(0,R135-8)*R134))</f>
      </c>
      <c r="S137" s="26">
        <f>IF(S$6="","",IF(WEEKDAY(S$6,1)=1,0,MAX(0,S135-8)*S134))</f>
      </c>
      <c r="T137" s="26">
        <f>IF(T$6="","",IF(WEEKDAY(T$6,1)=1,0,MAX(0,T135-8)*T134))</f>
      </c>
      <c r="U137" s="26">
        <f>IF(U$6="","",IF(WEEKDAY(U$6,1)=1,0,MAX(0,U135-8)*U134))</f>
      </c>
      <c r="V137" s="26">
        <f>IF(V$6="","",IF(WEEKDAY(V$6,1)=1,0,MAX(0,V135-8)*V134))</f>
      </c>
      <c r="W137" s="26">
        <f>IF(W$6="","",IF(WEEKDAY(W$6,1)=1,0,MAX(0,W135-8)*W134))</f>
      </c>
      <c r="X137" s="26">
        <f>IF(X$6="","",IF(WEEKDAY(X$6,1)=1,0,MAX(0,X135-8)*X134))</f>
      </c>
      <c r="Y137" s="26">
        <f>IF(Y$6="","",IF(WEEKDAY(Y$6,1)=1,0,MAX(0,Y135-8)*Y134))</f>
      </c>
      <c r="Z137" s="26">
        <f>IF(Z$6="","",IF(WEEKDAY(Z$6,1)=1,0,MAX(0,Z135-8)*Z134))</f>
      </c>
      <c r="AA137" s="26">
        <f>IF(AA$6="","",IF(WEEKDAY(AA$6,1)=1,0,MAX(0,AA135-8)*AA134))</f>
      </c>
      <c r="AB137" s="26">
        <f>IF(AB$6="","",IF(WEEKDAY(AB$6,1)=1,0,MAX(0,AB135-8)*AB134))</f>
      </c>
      <c r="AC137" s="26">
        <f>IF(AC$6="","",IF(WEEKDAY(AC$6,1)=1,0,MAX(0,AC135-8)*AC134))</f>
      </c>
      <c r="AD137" s="26">
        <f>IF(AD$6="","",IF(WEEKDAY(AD$6,1)=1,0,MAX(0,AD135-8)*AD134))</f>
      </c>
      <c r="AE137" s="26">
        <f>IF(AE$6="","",IF(WEEKDAY(AE$6,1)=1,0,MAX(0,AE135-8)*AE134))</f>
      </c>
      <c r="AF137" s="26">
        <f>IF(AF$6="","",IF(WEEKDAY(AF$6,1)=1,0,MAX(0,AF135-8)*AF134))</f>
      </c>
      <c r="AG137" s="26">
        <f>IF(AG$6="","",IF(WEEKDAY(AG$6,1)=1,0,MAX(0,AG135-8)*AG134))</f>
      </c>
      <c r="AH137" s="26">
        <f>IF(AH$6="","",IF(WEEKDAY(AH$6,1)=1,0,MAX(0,AH135-8)*AH134))</f>
      </c>
      <c r="AI137" s="26">
        <f>IF(AI$6="","",IF(WEEKDAY(AI$6,1)=1,0,MAX(0,AI135-8)*AI134))</f>
      </c>
      <c r="AJ137" s="26">
        <f>IF(AJ$6="","",IF(WEEKDAY(AJ$6,1)=1,0,MAX(0,AJ135-8)*AJ134))</f>
      </c>
      <c r="AK137" s="26">
        <f>IF(AK$6="","",IF(WEEKDAY(AK$6,1)=1,0,MAX(0,AK135-8)*AK134))</f>
      </c>
      <c r="AL137" s="26">
        <f>IF(AL$6="","",IF(WEEKDAY(AL$6,1)=1,0,MAX(0,AL135-8)*AL134))</f>
      </c>
      <c r="AM137" s="26">
        <f>IF(AM$6="","",IF(WEEKDAY(AM$6,1)=1,0,MAX(0,AM135-8)*AM134))</f>
      </c>
      <c r="AN137" s="26">
        <f>IF(AN$6="","",IF(WEEKDAY(AN$6,1)=1,0,MAX(0,AN135-8)*AN134))</f>
      </c>
      <c r="AO137" s="26">
        <f>IF(AO$6="","",IF(WEEKDAY(AO$6,1)=1,0,MAX(0,AO135-8)*AO134))</f>
      </c>
      <c r="AP137" s="26">
        <f>IF(AP$6="","",IF(WEEKDAY(AP$6,1)=1,0,MAX(0,AP135-8)*AP134))</f>
      </c>
      <c r="AQ137" s="26">
        <f>IF(AQ$6="","",IF(WEEKDAY(AQ$6,1)=1,0,MAX(0,AQ135-8)*AQ134))</f>
      </c>
      <c r="AR137" s="26">
        <f>IF(AR$6="","",IF(WEEKDAY(AR$6,1)=1,0,MAX(0,AR135-8)*AR134))</f>
      </c>
      <c r="AS137" s="26">
        <f>IF(AS$6="","",IF(WEEKDAY(AS$6,1)=1,0,MAX(0,AS135-8)*AS134))</f>
      </c>
      <c r="AT137" s="26">
        <f>IF(AT$6="","",IF(WEEKDAY(AT$6,1)=1,0,MAX(0,AT135-8)*AT134))</f>
      </c>
      <c r="AU137" s="26">
        <f>IF(AU$6="","",IF(WEEKDAY(AU$6,1)=1,0,MAX(0,AU135-8)*AU134))</f>
      </c>
      <c r="AV137" s="26">
        <f>IF(AV$6="","",IF(WEEKDAY(AV$6,1)=1,0,MAX(0,AV135-8)*AV134))</f>
      </c>
      <c r="AW137" s="26">
        <f>IF(AW$6="","",IF(WEEKDAY(AW$6,1)=1,0,MAX(0,AW135-8)*AW134))</f>
      </c>
      <c r="AX137" s="26">
        <f>IF(AX$6="","",IF(WEEKDAY(AX$6,1)=1,0,MAX(0,AX135-8)*AX134))</f>
      </c>
      <c r="AY137" s="26">
        <f>IF(AY$6="","",IF(WEEKDAY(AY$6,1)=1,0,MAX(0,AY135-8)*AY134))</f>
      </c>
      <c r="AZ137" s="26">
        <f>IF(AZ$6="","",IF(WEEKDAY(AZ$6,1)=1,0,MAX(0,AZ135-8)*AZ134))</f>
      </c>
      <c r="BA137" s="26">
        <f>IF(BA$6="","",IF(WEEKDAY(BA$6,1)=1,0,MAX(0,BA135-8)*BA134))</f>
      </c>
      <c r="BB137" s="26">
        <f>IF(BB$6="","",IF(WEEKDAY(BB$6,1)=1,0,MAX(0,BB135-8)*BB134))</f>
      </c>
      <c r="BC137" s="26">
        <f>IF(BC$6="","",IF(WEEKDAY(BC$6,1)=1,0,MAX(0,BC135-8)*BC134))</f>
      </c>
      <c r="BD137" s="26">
        <f>IF(BD$6="","",IF(WEEKDAY(BD$6,1)=1,0,MAX(0,BD135-8)*BD134))</f>
      </c>
      <c r="BE137" s="26">
        <f>IF(BE$6="","",IF(WEEKDAY(BE$6,1)=1,0,MAX(0,BE135-8)*BE134))</f>
      </c>
      <c r="BF137" s="26">
        <f>IF(BF$6="","",IF(WEEKDAY(BF$6,1)=1,0,MAX(0,BF135-8)*BF134))</f>
      </c>
      <c r="BG137" s="26">
        <f>IF(BG$6="","",IF(WEEKDAY(BG$6,1)=1,0,MAX(0,BG135-8)*BG134))</f>
      </c>
      <c r="BH137" s="26">
        <f>IF(BH$6="","",IF(WEEKDAY(BH$6,1)=1,0,MAX(0,BH135-8)*BH134))</f>
      </c>
      <c r="BI137" s="26">
        <f>IF(BI$6="","",IF(WEEKDAY(BI$6,1)=1,0,MAX(0,BI135-8)*BI134))</f>
      </c>
      <c r="BJ137" s="26">
        <f>IF(BJ$6="","",IF(WEEKDAY(BJ$6,1)=1,0,MAX(0,BJ135-8)*BJ134))</f>
      </c>
      <c r="BK137" s="26">
        <f>IF(BK$6="","",IF(WEEKDAY(BK$6,1)=1,0,MAX(0,BK135-8)*BK134))</f>
      </c>
      <c r="BL137" s="26">
        <f>IF(BL$6="","",IF(WEEKDAY(BL$6,1)=1,0,MAX(0,BL135-8)*BL134))</f>
      </c>
      <c r="BM137" s="26">
        <f>IF(BM$6="","",IF(WEEKDAY(BM$6,1)=1,0,MAX(0,BM135-8)*BM134))</f>
      </c>
      <c r="BN137" s="26">
        <f>IF(BN$6="","",IF(WEEKDAY(BN$6,1)=1,0,MAX(0,BN135-8)*BN134))</f>
      </c>
      <c r="BO137" s="26">
        <f>IF(BO$6="","",IF(WEEKDAY(BO$6,1)=1,0,MAX(0,BO135-8)*BO134))</f>
      </c>
      <c r="BP137" s="26">
        <f>IF(BP$6="","",IF(WEEKDAY(BP$6,1)=1,0,MAX(0,BP135-8)*BP134))</f>
      </c>
      <c r="BQ137" s="26">
        <f>IF(BQ$6="","",IF(WEEKDAY(BQ$6,1)=1,0,MAX(0,BQ135-8)*BQ134))</f>
      </c>
      <c r="BR137" s="26">
        <f>IF(BR$6="","",IF(WEEKDAY(BR$6,1)=1,0,MAX(0,BR135-8)*BR134))</f>
      </c>
      <c r="BS137" s="26">
        <f>IF(BS$6="","",IF(WEEKDAY(BS$6,1)=1,0,MAX(0,BS135-8)*BS134))</f>
      </c>
      <c r="BT137" s="26">
        <f>IF(BT$6="","",IF(WEEKDAY(BT$6,1)=1,0,MAX(0,BT135-8)*BT134))</f>
      </c>
      <c r="BU137" s="26">
        <f>IF(BU$6="","",IF(WEEKDAY(BU$6,1)=1,0,MAX(0,BU135-8)*BU134))</f>
      </c>
      <c r="BV137" s="26">
        <f>IF(BV$6="","",IF(WEEKDAY(BV$6,1)=1,0,MAX(0,BV135-8)*BV134))</f>
      </c>
      <c r="BW137" s="26">
        <f>IF(BW$6="","",IF(WEEKDAY(BW$6,1)=1,0,MAX(0,BW135-8)*BW134))</f>
      </c>
      <c r="BX137" s="26">
        <f>IF(BX$6="","",IF(WEEKDAY(BX$6,1)=1,0,MAX(0,BX135-8)*BX134))</f>
      </c>
      <c r="BY137" s="26">
        <f>IF(BY$6="","",IF(WEEKDAY(BY$6,1)=1,0,MAX(0,BY135-8)*BY134))</f>
      </c>
      <c r="BZ137" s="26">
        <f>IF(BZ$6="","",IF(WEEKDAY(BZ$6,1)=1,0,MAX(0,BZ135-8)*BZ134))</f>
      </c>
      <c r="CA137" s="26">
        <f>IF(CA$6="","",IF(WEEKDAY(CA$6,1)=1,0,MAX(0,CA135-8)*CA134))</f>
      </c>
      <c r="CB137" s="26">
        <f>IF(CB$6="","",IF(WEEKDAY(CB$6,1)=1,0,MAX(0,CB135-8)*CB134))</f>
      </c>
      <c r="CC137" s="26">
        <f>IF(CC$6="","",IF(WEEKDAY(CC$6,1)=1,0,MAX(0,CC135-8)*CC134))</f>
      </c>
      <c r="CD137" s="26">
        <f>IF(CD$6="","",IF(WEEKDAY(CD$6,1)=1,0,MAX(0,CD135-8)*CD134))</f>
      </c>
      <c r="CE137" s="26">
        <f>IF(CE$6="","",IF(WEEKDAY(CE$6,1)=1,0,MAX(0,CE135-8)*CE134))</f>
      </c>
      <c r="CF137" s="26">
        <f>IF(CF$6="","",IF(WEEKDAY(CF$6,1)=1,0,MAX(0,CF135-8)*CF134))</f>
      </c>
      <c r="CG137" s="26">
        <f>IF(CG$6="","",IF(WEEKDAY(CG$6,1)=1,0,MAX(0,CG135-8)*CG134))</f>
      </c>
      <c r="CH137" s="26">
        <f>IF(CH$6="","",IF(WEEKDAY(CH$6,1)=1,0,MAX(0,CH135-8)*CH134))</f>
      </c>
      <c r="CI137" s="26">
        <f>IF(CI$6="","",IF(WEEKDAY(CI$6,1)=1,0,MAX(0,CI135-8)*CI134))</f>
      </c>
      <c r="CJ137" s="26">
        <f>IF(CJ$6="","",IF(WEEKDAY(CJ$6,1)=1,0,MAX(0,CJ135-8)*CJ134))</f>
      </c>
      <c r="CK137" s="26">
        <f>IF(CK$6="","",IF(WEEKDAY(CK$6,1)=1,0,MAX(0,CK135-8)*CK134))</f>
      </c>
      <c r="CL137" s="26">
        <f>IF(CL$6="","",IF(WEEKDAY(CL$6,1)=1,0,MAX(0,CL135-8)*CL134))</f>
      </c>
      <c r="CM137" s="26">
        <f>IF(CM$6="","",IF(WEEKDAY(CM$6,1)=1,0,MAX(0,CM135-8)*CM134))</f>
      </c>
      <c r="CN137" s="26">
        <f>IF(CN$6="","",IF(WEEKDAY(CN$6,1)=1,0,MAX(0,CN135-8)*CN134))</f>
      </c>
      <c r="CO137" s="26">
        <f>IF(CO$6="","",IF(WEEKDAY(CO$6,1)=1,0,MAX(0,CO135-8)*CO134))</f>
      </c>
      <c r="CP137" s="26">
        <f>IF(CP$6="","",IF(WEEKDAY(CP$6,1)=1,0,MAX(0,CP135-8)*CP134))</f>
      </c>
      <c r="CQ137" s="26">
        <f>IF(CQ$6="","",IF(WEEKDAY(CQ$6,1)=1,0,MAX(0,CQ135-8)*CQ134))</f>
      </c>
      <c r="CR137" s="26">
        <f>IF(CR$6="","",IF(WEEKDAY(CR$6,1)=1,0,MAX(0,CR135-8)*CR134))</f>
      </c>
      <c r="CS137" s="26">
        <f>IF(CS$6="","",IF(WEEKDAY(CS$6,1)=1,0,MAX(0,CS135-8)*CS134))</f>
      </c>
      <c r="CT137" s="26">
        <f>IF(CT$6="","",IF(WEEKDAY(CT$6,1)=1,0,MAX(0,CT135-8)*CT134))</f>
      </c>
      <c r="CU137" s="26">
        <f>IF(CU$6="","",IF(WEEKDAY(CU$6,1)=1,0,MAX(0,CU135-8)*CU134))</f>
      </c>
      <c r="CV137" s="26">
        <f>IF(CV$6="","",IF(WEEKDAY(CV$6,1)=1,0,MAX(0,CV135-8)*CV134))</f>
      </c>
      <c r="CW137" s="26">
        <f>IF(CW$6="","",IF(WEEKDAY(CW$6,1)=1,0,MAX(0,CW135-8)*CW134))</f>
      </c>
      <c r="CX137" s="8" t="s">
        <v>72</v>
      </c>
    </row>
    <row r="138" spans="2:102" x14ac:dyDescent="0.25">
      <c r="B138" s="26">
        <f>SUM(L138:CW138)</f>
      </c>
      <c r="D138" s="27">
        <f>B138*E138</f>
      </c>
      <c r="E138" s="27">
        <f>'Rate Tables'!E18</f>
      </c>
      <c r="F138" s="8" t="s">
        <v>41</v>
      </c>
      <c r="L138" s="26">
        <f>IF(L$6="","",IF(WEEKDAY(L$6,1)=1,L135*L134,0))</f>
      </c>
      <c r="M138" s="26">
        <f>IF(M$6="","",IF(WEEKDAY(M$6,1)=1,M135*M134,0))</f>
      </c>
      <c r="N138" s="26">
        <f>IF(N$6="","",IF(WEEKDAY(N$6,1)=1,N135*N134,0))</f>
      </c>
      <c r="O138" s="26">
        <f>IF(O$6="","",IF(WEEKDAY(O$6,1)=1,O135*O134,0))</f>
      </c>
      <c r="P138" s="26">
        <f>IF(P$6="","",IF(WEEKDAY(P$6,1)=1,P135*P134,0))</f>
      </c>
      <c r="Q138" s="26">
        <f>IF(Q$6="","",IF(WEEKDAY(Q$6,1)=1,Q135*Q134,0))</f>
      </c>
      <c r="R138" s="26">
        <f>IF(R$6="","",IF(WEEKDAY(R$6,1)=1,R135*R134,0))</f>
      </c>
      <c r="S138" s="26">
        <f>IF(S$6="","",IF(WEEKDAY(S$6,1)=1,S135*S134,0))</f>
      </c>
      <c r="T138" s="26">
        <f>IF(T$6="","",IF(WEEKDAY(T$6,1)=1,T135*T134,0))</f>
      </c>
      <c r="U138" s="26">
        <f>IF(U$6="","",IF(WEEKDAY(U$6,1)=1,U135*U134,0))</f>
      </c>
      <c r="V138" s="26">
        <f>IF(V$6="","",IF(WEEKDAY(V$6,1)=1,V135*V134,0))</f>
      </c>
      <c r="W138" s="26">
        <f>IF(W$6="","",IF(WEEKDAY(W$6,1)=1,W135*W134,0))</f>
      </c>
      <c r="X138" s="26">
        <f>IF(X$6="","",IF(WEEKDAY(X$6,1)=1,X135*X134,0))</f>
      </c>
      <c r="Y138" s="26">
        <f>IF(Y$6="","",IF(WEEKDAY(Y$6,1)=1,Y135*Y134,0))</f>
      </c>
      <c r="Z138" s="26">
        <f>IF(Z$6="","",IF(WEEKDAY(Z$6,1)=1,Z135*Z134,0))</f>
      </c>
      <c r="AA138" s="26">
        <f>IF(AA$6="","",IF(WEEKDAY(AA$6,1)=1,AA135*AA134,0))</f>
      </c>
      <c r="AB138" s="26">
        <f>IF(AB$6="","",IF(WEEKDAY(AB$6,1)=1,AB135*AB134,0))</f>
      </c>
      <c r="AC138" s="26">
        <f>IF(AC$6="","",IF(WEEKDAY(AC$6,1)=1,AC135*AC134,0))</f>
      </c>
      <c r="AD138" s="26">
        <f>IF(AD$6="","",IF(WEEKDAY(AD$6,1)=1,AD135*AD134,0))</f>
      </c>
      <c r="AE138" s="26">
        <f>IF(AE$6="","",IF(WEEKDAY(AE$6,1)=1,AE135*AE134,0))</f>
      </c>
      <c r="AF138" s="26">
        <f>IF(AF$6="","",IF(WEEKDAY(AF$6,1)=1,AF135*AF134,0))</f>
      </c>
      <c r="AG138" s="26">
        <f>IF(AG$6="","",IF(WEEKDAY(AG$6,1)=1,AG135*AG134,0))</f>
      </c>
      <c r="AH138" s="26">
        <f>IF(AH$6="","",IF(WEEKDAY(AH$6,1)=1,AH135*AH134,0))</f>
      </c>
      <c r="AI138" s="26">
        <f>IF(AI$6="","",IF(WEEKDAY(AI$6,1)=1,AI135*AI134,0))</f>
      </c>
      <c r="AJ138" s="26">
        <f>IF(AJ$6="","",IF(WEEKDAY(AJ$6,1)=1,AJ135*AJ134,0))</f>
      </c>
      <c r="AK138" s="26">
        <f>IF(AK$6="","",IF(WEEKDAY(AK$6,1)=1,AK135*AK134,0))</f>
      </c>
      <c r="AL138" s="26">
        <f>IF(AL$6="","",IF(WEEKDAY(AL$6,1)=1,AL135*AL134,0))</f>
      </c>
      <c r="AM138" s="26">
        <f>IF(AM$6="","",IF(WEEKDAY(AM$6,1)=1,AM135*AM134,0))</f>
      </c>
      <c r="AN138" s="26">
        <f>IF(AN$6="","",IF(WEEKDAY(AN$6,1)=1,AN135*AN134,0))</f>
      </c>
      <c r="AO138" s="26">
        <f>IF(AO$6="","",IF(WEEKDAY(AO$6,1)=1,AO135*AO134,0))</f>
      </c>
      <c r="AP138" s="26">
        <f>IF(AP$6="","",IF(WEEKDAY(AP$6,1)=1,AP135*AP134,0))</f>
      </c>
      <c r="AQ138" s="26">
        <f>IF(AQ$6="","",IF(WEEKDAY(AQ$6,1)=1,AQ135*AQ134,0))</f>
      </c>
      <c r="AR138" s="26">
        <f>IF(AR$6="","",IF(WEEKDAY(AR$6,1)=1,AR135*AR134,0))</f>
      </c>
      <c r="AS138" s="26">
        <f>IF(AS$6="","",IF(WEEKDAY(AS$6,1)=1,AS135*AS134,0))</f>
      </c>
      <c r="AT138" s="26">
        <f>IF(AT$6="","",IF(WEEKDAY(AT$6,1)=1,AT135*AT134,0))</f>
      </c>
      <c r="AU138" s="26">
        <f>IF(AU$6="","",IF(WEEKDAY(AU$6,1)=1,AU135*AU134,0))</f>
      </c>
      <c r="AV138" s="26">
        <f>IF(AV$6="","",IF(WEEKDAY(AV$6,1)=1,AV135*AV134,0))</f>
      </c>
      <c r="AW138" s="26">
        <f>IF(AW$6="","",IF(WEEKDAY(AW$6,1)=1,AW135*AW134,0))</f>
      </c>
      <c r="AX138" s="26">
        <f>IF(AX$6="","",IF(WEEKDAY(AX$6,1)=1,AX135*AX134,0))</f>
      </c>
      <c r="AY138" s="26">
        <f>IF(AY$6="","",IF(WEEKDAY(AY$6,1)=1,AY135*AY134,0))</f>
      </c>
      <c r="AZ138" s="26">
        <f>IF(AZ$6="","",IF(WEEKDAY(AZ$6,1)=1,AZ135*AZ134,0))</f>
      </c>
      <c r="BA138" s="26">
        <f>IF(BA$6="","",IF(WEEKDAY(BA$6,1)=1,BA135*BA134,0))</f>
      </c>
      <c r="BB138" s="26">
        <f>IF(BB$6="","",IF(WEEKDAY(BB$6,1)=1,BB135*BB134,0))</f>
      </c>
      <c r="BC138" s="26">
        <f>IF(BC$6="","",IF(WEEKDAY(BC$6,1)=1,BC135*BC134,0))</f>
      </c>
      <c r="BD138" s="26">
        <f>IF(BD$6="","",IF(WEEKDAY(BD$6,1)=1,BD135*BD134,0))</f>
      </c>
      <c r="BE138" s="26">
        <f>IF(BE$6="","",IF(WEEKDAY(BE$6,1)=1,BE135*BE134,0))</f>
      </c>
      <c r="BF138" s="26">
        <f>IF(BF$6="","",IF(WEEKDAY(BF$6,1)=1,BF135*BF134,0))</f>
      </c>
      <c r="BG138" s="26">
        <f>IF(BG$6="","",IF(WEEKDAY(BG$6,1)=1,BG135*BG134,0))</f>
      </c>
      <c r="BH138" s="26">
        <f>IF(BH$6="","",IF(WEEKDAY(BH$6,1)=1,BH135*BH134,0))</f>
      </c>
      <c r="BI138" s="26">
        <f>IF(BI$6="","",IF(WEEKDAY(BI$6,1)=1,BI135*BI134,0))</f>
      </c>
      <c r="BJ138" s="26">
        <f>IF(BJ$6="","",IF(WEEKDAY(BJ$6,1)=1,BJ135*BJ134,0))</f>
      </c>
      <c r="BK138" s="26">
        <f>IF(BK$6="","",IF(WEEKDAY(BK$6,1)=1,BK135*BK134,0))</f>
      </c>
      <c r="BL138" s="26">
        <f>IF(BL$6="","",IF(WEEKDAY(BL$6,1)=1,BL135*BL134,0))</f>
      </c>
      <c r="BM138" s="26">
        <f>IF(BM$6="","",IF(WEEKDAY(BM$6,1)=1,BM135*BM134,0))</f>
      </c>
      <c r="BN138" s="26">
        <f>IF(BN$6="","",IF(WEEKDAY(BN$6,1)=1,BN135*BN134,0))</f>
      </c>
      <c r="BO138" s="26">
        <f>IF(BO$6="","",IF(WEEKDAY(BO$6,1)=1,BO135*BO134,0))</f>
      </c>
      <c r="BP138" s="26">
        <f>IF(BP$6="","",IF(WEEKDAY(BP$6,1)=1,BP135*BP134,0))</f>
      </c>
      <c r="BQ138" s="26">
        <f>IF(BQ$6="","",IF(WEEKDAY(BQ$6,1)=1,BQ135*BQ134,0))</f>
      </c>
      <c r="BR138" s="26">
        <f>IF(BR$6="","",IF(WEEKDAY(BR$6,1)=1,BR135*BR134,0))</f>
      </c>
      <c r="BS138" s="26">
        <f>IF(BS$6="","",IF(WEEKDAY(BS$6,1)=1,BS135*BS134,0))</f>
      </c>
      <c r="BT138" s="26">
        <f>IF(BT$6="","",IF(WEEKDAY(BT$6,1)=1,BT135*BT134,0))</f>
      </c>
      <c r="BU138" s="26">
        <f>IF(BU$6="","",IF(WEEKDAY(BU$6,1)=1,BU135*BU134,0))</f>
      </c>
      <c r="BV138" s="26">
        <f>IF(BV$6="","",IF(WEEKDAY(BV$6,1)=1,BV135*BV134,0))</f>
      </c>
      <c r="BW138" s="26">
        <f>IF(BW$6="","",IF(WEEKDAY(BW$6,1)=1,BW135*BW134,0))</f>
      </c>
      <c r="BX138" s="26">
        <f>IF(BX$6="","",IF(WEEKDAY(BX$6,1)=1,BX135*BX134,0))</f>
      </c>
      <c r="BY138" s="26">
        <f>IF(BY$6="","",IF(WEEKDAY(BY$6,1)=1,BY135*BY134,0))</f>
      </c>
      <c r="BZ138" s="26">
        <f>IF(BZ$6="","",IF(WEEKDAY(BZ$6,1)=1,BZ135*BZ134,0))</f>
      </c>
      <c r="CA138" s="26">
        <f>IF(CA$6="","",IF(WEEKDAY(CA$6,1)=1,CA135*CA134,0))</f>
      </c>
      <c r="CB138" s="26">
        <f>IF(CB$6="","",IF(WEEKDAY(CB$6,1)=1,CB135*CB134,0))</f>
      </c>
      <c r="CC138" s="26">
        <f>IF(CC$6="","",IF(WEEKDAY(CC$6,1)=1,CC135*CC134,0))</f>
      </c>
      <c r="CD138" s="26">
        <f>IF(CD$6="","",IF(WEEKDAY(CD$6,1)=1,CD135*CD134,0))</f>
      </c>
      <c r="CE138" s="26">
        <f>IF(CE$6="","",IF(WEEKDAY(CE$6,1)=1,CE135*CE134,0))</f>
      </c>
      <c r="CF138" s="26">
        <f>IF(CF$6="","",IF(WEEKDAY(CF$6,1)=1,CF135*CF134,0))</f>
      </c>
      <c r="CG138" s="26">
        <f>IF(CG$6="","",IF(WEEKDAY(CG$6,1)=1,CG135*CG134,0))</f>
      </c>
      <c r="CH138" s="26">
        <f>IF(CH$6="","",IF(WEEKDAY(CH$6,1)=1,CH135*CH134,0))</f>
      </c>
      <c r="CI138" s="26">
        <f>IF(CI$6="","",IF(WEEKDAY(CI$6,1)=1,CI135*CI134,0))</f>
      </c>
      <c r="CJ138" s="26">
        <f>IF(CJ$6="","",IF(WEEKDAY(CJ$6,1)=1,CJ135*CJ134,0))</f>
      </c>
      <c r="CK138" s="26">
        <f>IF(CK$6="","",IF(WEEKDAY(CK$6,1)=1,CK135*CK134,0))</f>
      </c>
      <c r="CL138" s="26">
        <f>IF(CL$6="","",IF(WEEKDAY(CL$6,1)=1,CL135*CL134,0))</f>
      </c>
      <c r="CM138" s="26">
        <f>IF(CM$6="","",IF(WEEKDAY(CM$6,1)=1,CM135*CM134,0))</f>
      </c>
      <c r="CN138" s="26">
        <f>IF(CN$6="","",IF(WEEKDAY(CN$6,1)=1,CN135*CN134,0))</f>
      </c>
      <c r="CO138" s="26">
        <f>IF(CO$6="","",IF(WEEKDAY(CO$6,1)=1,CO135*CO134,0))</f>
      </c>
      <c r="CP138" s="26">
        <f>IF(CP$6="","",IF(WEEKDAY(CP$6,1)=1,CP135*CP134,0))</f>
      </c>
      <c r="CQ138" s="26">
        <f>IF(CQ$6="","",IF(WEEKDAY(CQ$6,1)=1,CQ135*CQ134,0))</f>
      </c>
      <c r="CR138" s="26">
        <f>IF(CR$6="","",IF(WEEKDAY(CR$6,1)=1,CR135*CR134,0))</f>
      </c>
      <c r="CS138" s="26">
        <f>IF(CS$6="","",IF(WEEKDAY(CS$6,1)=1,CS135*CS134,0))</f>
      </c>
      <c r="CT138" s="26">
        <f>IF(CT$6="","",IF(WEEKDAY(CT$6,1)=1,CT135*CT134,0))</f>
      </c>
      <c r="CU138" s="26">
        <f>IF(CU$6="","",IF(WEEKDAY(CU$6,1)=1,CU135*CU134,0))</f>
      </c>
      <c r="CV138" s="26">
        <f>IF(CV$6="","",IF(WEEKDAY(CV$6,1)=1,CV135*CV134,0))</f>
      </c>
      <c r="CW138" s="26">
        <f>IF(CW$6="","",IF(WEEKDAY(CW$6,1)=1,CW135*CW134,0))</f>
      </c>
      <c r="CX138" s="8" t="s">
        <v>72</v>
      </c>
    </row>
    <row r="139" spans="2:102" x14ac:dyDescent="0.25">
      <c r="B139" s="26">
        <f>SUM(L139:CW139)</f>
      </c>
      <c r="D139" s="27">
        <f>B139*E139</f>
      </c>
      <c r="E139" s="27">
        <v>140</v>
      </c>
      <c r="F139" s="8" t="s">
        <v>42</v>
      </c>
      <c r="L139" s="28">
        <v>0</v>
      </c>
      <c r="M139" s="28">
        <v>0</v>
      </c>
      <c r="N139" s="28">
        <v>0</v>
      </c>
      <c r="O139" s="28">
        <v>0</v>
      </c>
      <c r="P139" s="28">
        <v>0</v>
      </c>
      <c r="Q139" s="28">
        <v>0</v>
      </c>
      <c r="R139" s="28">
        <v>0</v>
      </c>
      <c r="S139" s="28">
        <v>0</v>
      </c>
      <c r="T139" s="28">
        <v>0</v>
      </c>
      <c r="U139" s="28">
        <v>0</v>
      </c>
      <c r="V139" s="28">
        <v>0</v>
      </c>
      <c r="W139" s="28">
        <v>0</v>
      </c>
      <c r="X139" s="28">
        <v>0</v>
      </c>
      <c r="Y139" s="28">
        <v>0</v>
      </c>
      <c r="Z139" s="28">
        <v>0</v>
      </c>
      <c r="AA139" s="28">
        <v>0</v>
      </c>
      <c r="AB139" s="28">
        <v>0</v>
      </c>
      <c r="AC139" s="28">
        <v>0</v>
      </c>
      <c r="AD139" s="28">
        <v>0</v>
      </c>
      <c r="AE139" s="28">
        <v>0</v>
      </c>
      <c r="AF139" s="28">
        <v>0</v>
      </c>
      <c r="AG139" s="28">
        <v>0</v>
      </c>
      <c r="AH139" s="28">
        <v>0</v>
      </c>
      <c r="AI139" s="28">
        <v>0</v>
      </c>
      <c r="AJ139" s="28">
        <v>0</v>
      </c>
      <c r="AK139" s="28">
        <v>0</v>
      </c>
      <c r="AL139" s="28">
        <v>0</v>
      </c>
      <c r="AM139" s="28">
        <v>0</v>
      </c>
      <c r="AN139" s="28">
        <v>0</v>
      </c>
      <c r="AO139" s="28">
        <v>0</v>
      </c>
      <c r="AP139" s="28">
        <v>0</v>
      </c>
      <c r="AQ139" s="28">
        <v>0</v>
      </c>
      <c r="AR139" s="28">
        <v>0</v>
      </c>
      <c r="AS139" s="28">
        <v>0</v>
      </c>
      <c r="AT139" s="28">
        <v>0</v>
      </c>
      <c r="AU139" s="28">
        <v>0</v>
      </c>
      <c r="AV139" s="28">
        <v>0</v>
      </c>
      <c r="AW139" s="28">
        <v>0</v>
      </c>
      <c r="AX139" s="28">
        <v>0</v>
      </c>
      <c r="AY139" s="28">
        <v>0</v>
      </c>
      <c r="AZ139" s="28">
        <v>0</v>
      </c>
      <c r="BA139" s="28">
        <v>0</v>
      </c>
      <c r="BB139" s="28">
        <v>0</v>
      </c>
      <c r="BC139" s="28">
        <v>0</v>
      </c>
      <c r="BD139" s="28">
        <v>0</v>
      </c>
      <c r="BE139" s="28">
        <v>0</v>
      </c>
      <c r="BF139" s="28">
        <v>0</v>
      </c>
      <c r="BG139" s="28">
        <v>0</v>
      </c>
      <c r="BH139" s="28">
        <v>0</v>
      </c>
      <c r="BI139" s="28">
        <v>1</v>
      </c>
      <c r="BJ139" s="28">
        <v>1</v>
      </c>
      <c r="BK139" s="28">
        <v>1</v>
      </c>
      <c r="BL139" s="28">
        <v>1</v>
      </c>
      <c r="BM139" s="28">
        <v>1</v>
      </c>
      <c r="BN139" s="28">
        <v>1</v>
      </c>
      <c r="BO139" s="28">
        <v>1</v>
      </c>
      <c r="BP139" s="28">
        <v>1</v>
      </c>
      <c r="BQ139" s="28">
        <v>1</v>
      </c>
      <c r="BR139" s="28">
        <v>1</v>
      </c>
      <c r="BS139" s="28">
        <v>1</v>
      </c>
      <c r="BT139" s="28">
        <v>1</v>
      </c>
      <c r="BU139" s="28">
        <v>1</v>
      </c>
      <c r="BV139" s="28">
        <v>0</v>
      </c>
      <c r="BW139" s="28">
        <v>1</v>
      </c>
      <c r="BX139" s="28">
        <v>1</v>
      </c>
      <c r="BY139" s="28">
        <v>1</v>
      </c>
      <c r="BZ139" s="28">
        <v>1</v>
      </c>
      <c r="CA139" s="28">
        <v>1</v>
      </c>
      <c r="CB139" s="28">
        <v>1</v>
      </c>
      <c r="CC139" s="28">
        <v>0</v>
      </c>
      <c r="CD139" s="28">
        <v>1</v>
      </c>
      <c r="CE139" s="28">
        <v>1</v>
      </c>
      <c r="CF139" s="28">
        <v>1</v>
      </c>
      <c r="CG139" s="28">
        <v>1</v>
      </c>
      <c r="CH139" s="28">
        <v>1</v>
      </c>
      <c r="CI139" s="28">
        <v>1</v>
      </c>
      <c r="CJ139" s="28">
        <v>0</v>
      </c>
      <c r="CK139" s="28">
        <v>1</v>
      </c>
      <c r="CL139" s="28">
        <v>1</v>
      </c>
      <c r="CM139" s="28">
        <v>1</v>
      </c>
      <c r="CN139" s="28">
        <v>1</v>
      </c>
      <c r="CO139" s="28">
        <v>1</v>
      </c>
      <c r="CP139" s="28">
        <v>1</v>
      </c>
      <c r="CQ139" s="28">
        <v>0</v>
      </c>
      <c r="CR139" s="28">
        <v>1</v>
      </c>
      <c r="CS139" s="28">
        <v>1</v>
      </c>
      <c r="CT139" s="28">
        <v>1</v>
      </c>
      <c r="CU139" s="28">
        <v>1</v>
      </c>
      <c r="CV139" s="28">
        <v>1</v>
      </c>
      <c r="CW139" s="28">
        <v>1</v>
      </c>
      <c r="CX139" s="8" t="s">
        <v>72</v>
      </c>
    </row>
    <row r="140" spans="1:102" x14ac:dyDescent="0.25">
      <c r="A140" s="20" t="s">
        <v>32</v>
      </c>
      <c r="B140" s="21">
        <f>G140+H140+I140</f>
      </c>
      <c r="C140" s="20" t="s">
        <v>73</v>
      </c>
      <c r="D140" s="22">
        <f>K140</f>
      </c>
      <c r="F140" s="20" t="s">
        <v>34</v>
      </c>
      <c r="G140" s="21">
        <f>B143</f>
      </c>
      <c r="H140" s="21">
        <f>B144</f>
      </c>
      <c r="I140" s="21">
        <f>B145</f>
      </c>
      <c r="J140" s="21">
        <f>B146</f>
      </c>
      <c r="K140" s="22">
        <f>D143+D144+D145</f>
      </c>
      <c r="CX140" s="20" t="s">
        <v>74</v>
      </c>
    </row>
    <row r="141" spans="6:102" x14ac:dyDescent="0.25">
      <c r="F141" s="23" t="s">
        <v>36</v>
      </c>
      <c r="L141" s="24">
        <v>1</v>
      </c>
      <c r="M141" s="24">
        <v>1</v>
      </c>
      <c r="N141" s="24">
        <v>1</v>
      </c>
      <c r="O141" s="24">
        <v>1</v>
      </c>
      <c r="P141" s="24">
        <v>1</v>
      </c>
      <c r="Q141" s="24">
        <v>0</v>
      </c>
      <c r="R141" s="24">
        <v>0</v>
      </c>
      <c r="S141" s="24">
        <v>1</v>
      </c>
      <c r="T141" s="24">
        <v>1</v>
      </c>
      <c r="U141" s="24">
        <v>1</v>
      </c>
      <c r="V141" s="24">
        <v>1</v>
      </c>
      <c r="W141" s="24">
        <v>1</v>
      </c>
      <c r="X141" s="24">
        <v>0</v>
      </c>
      <c r="Y141" s="24">
        <v>0</v>
      </c>
      <c r="Z141" s="24">
        <v>1</v>
      </c>
      <c r="AA141" s="24">
        <v>1</v>
      </c>
      <c r="AB141" s="24">
        <v>1</v>
      </c>
      <c r="AC141" s="24">
        <v>1</v>
      </c>
      <c r="AD141" s="24">
        <v>1</v>
      </c>
      <c r="AE141" s="24">
        <v>0</v>
      </c>
      <c r="AF141" s="24">
        <v>0</v>
      </c>
      <c r="AG141" s="24">
        <v>1</v>
      </c>
      <c r="AH141" s="24">
        <v>1</v>
      </c>
      <c r="AI141" s="24">
        <v>1</v>
      </c>
      <c r="AJ141" s="24">
        <v>1</v>
      </c>
      <c r="AK141" s="24">
        <v>1</v>
      </c>
      <c r="AL141" s="24">
        <v>0</v>
      </c>
      <c r="AM141" s="24">
        <v>0</v>
      </c>
      <c r="AN141" s="24">
        <v>1</v>
      </c>
      <c r="AO141" s="24">
        <v>1</v>
      </c>
      <c r="AP141" s="24">
        <v>1</v>
      </c>
      <c r="AQ141" s="24">
        <v>1</v>
      </c>
      <c r="AR141" s="24">
        <v>1</v>
      </c>
      <c r="AS141" s="24">
        <v>0</v>
      </c>
      <c r="AT141" s="24">
        <v>0</v>
      </c>
      <c r="AU141" s="24">
        <v>1</v>
      </c>
      <c r="AV141" s="24">
        <v>1</v>
      </c>
      <c r="AW141" s="24">
        <v>1</v>
      </c>
      <c r="AX141" s="24">
        <v>1</v>
      </c>
      <c r="AY141" s="24">
        <v>1</v>
      </c>
      <c r="AZ141" s="24">
        <v>0</v>
      </c>
      <c r="BA141" s="24">
        <v>0</v>
      </c>
      <c r="BB141" s="24">
        <v>1</v>
      </c>
      <c r="BC141" s="24">
        <v>1</v>
      </c>
      <c r="BD141" s="24">
        <v>1</v>
      </c>
      <c r="BE141" s="24">
        <v>1</v>
      </c>
      <c r="BF141" s="24">
        <v>1</v>
      </c>
      <c r="BG141" s="24">
        <v>0</v>
      </c>
      <c r="BH141" s="24">
        <v>0</v>
      </c>
      <c r="BI141" s="24">
        <v>1</v>
      </c>
      <c r="BJ141" s="24">
        <v>1</v>
      </c>
      <c r="BK141" s="24">
        <v>1</v>
      </c>
      <c r="BL141" s="24">
        <v>1</v>
      </c>
      <c r="BM141" s="24">
        <v>1</v>
      </c>
      <c r="BN141" s="24">
        <v>1</v>
      </c>
      <c r="BO141" s="24">
        <v>1</v>
      </c>
      <c r="BP141" s="24">
        <v>1</v>
      </c>
      <c r="BQ141" s="24">
        <v>1</v>
      </c>
      <c r="BR141" s="24">
        <v>1</v>
      </c>
      <c r="BS141" s="24">
        <v>1</v>
      </c>
      <c r="BT141" s="24">
        <v>1</v>
      </c>
      <c r="BU141" s="24">
        <v>1</v>
      </c>
      <c r="BV141" s="24">
        <v>1</v>
      </c>
      <c r="BW141" s="24">
        <v>1</v>
      </c>
      <c r="BX141" s="24">
        <v>1</v>
      </c>
      <c r="BY141" s="24">
        <v>1</v>
      </c>
      <c r="BZ141" s="24">
        <v>1</v>
      </c>
      <c r="CA141" s="24">
        <v>1</v>
      </c>
      <c r="CB141" s="24">
        <v>1</v>
      </c>
      <c r="CC141" s="24">
        <v>1</v>
      </c>
      <c r="CD141" s="24">
        <v>1</v>
      </c>
      <c r="CE141" s="24">
        <v>1</v>
      </c>
      <c r="CF141" s="24">
        <v>1</v>
      </c>
      <c r="CG141" s="24">
        <v>1</v>
      </c>
      <c r="CH141" s="24">
        <v>1</v>
      </c>
      <c r="CI141" s="24">
        <v>1</v>
      </c>
      <c r="CJ141" s="24">
        <v>1</v>
      </c>
      <c r="CK141" s="24">
        <v>1</v>
      </c>
      <c r="CL141" s="24">
        <v>1</v>
      </c>
      <c r="CM141" s="24">
        <v>1</v>
      </c>
      <c r="CN141" s="24">
        <v>1</v>
      </c>
      <c r="CO141" s="24">
        <v>1</v>
      </c>
      <c r="CP141" s="24">
        <v>1</v>
      </c>
      <c r="CQ141" s="24">
        <v>1</v>
      </c>
      <c r="CR141" s="24">
        <v>1</v>
      </c>
      <c r="CS141" s="24">
        <v>1</v>
      </c>
      <c r="CT141" s="24">
        <v>1</v>
      </c>
      <c r="CU141" s="24">
        <v>1</v>
      </c>
      <c r="CV141" s="24">
        <v>1</v>
      </c>
      <c r="CW141" s="24">
        <v>1</v>
      </c>
      <c r="CX141" s="23" t="s">
        <v>74</v>
      </c>
    </row>
    <row r="142" spans="1:102" x14ac:dyDescent="0.25">
      <c r="A142" s="23" t="s">
        <v>37</v>
      </c>
      <c r="F142" s="23" t="s">
        <v>38</v>
      </c>
      <c r="L142" s="25">
        <v>8</v>
      </c>
      <c r="M142" s="25">
        <v>8</v>
      </c>
      <c r="N142" s="25">
        <v>8</v>
      </c>
      <c r="O142" s="25">
        <v>8</v>
      </c>
      <c r="P142" s="25">
        <v>8</v>
      </c>
      <c r="Q142" s="25">
        <v>0</v>
      </c>
      <c r="R142" s="25">
        <v>0</v>
      </c>
      <c r="S142" s="25">
        <v>8</v>
      </c>
      <c r="T142" s="25">
        <v>8</v>
      </c>
      <c r="U142" s="25">
        <v>8</v>
      </c>
      <c r="V142" s="25">
        <v>8</v>
      </c>
      <c r="W142" s="25">
        <v>8</v>
      </c>
      <c r="X142" s="25">
        <v>0</v>
      </c>
      <c r="Y142" s="25">
        <v>0</v>
      </c>
      <c r="Z142" s="25">
        <v>8</v>
      </c>
      <c r="AA142" s="25">
        <v>8</v>
      </c>
      <c r="AB142" s="25">
        <v>8</v>
      </c>
      <c r="AC142" s="25">
        <v>8</v>
      </c>
      <c r="AD142" s="25">
        <v>8</v>
      </c>
      <c r="AE142" s="25">
        <v>0</v>
      </c>
      <c r="AF142" s="25">
        <v>0</v>
      </c>
      <c r="AG142" s="25">
        <v>8</v>
      </c>
      <c r="AH142" s="25">
        <v>8</v>
      </c>
      <c r="AI142" s="25">
        <v>8</v>
      </c>
      <c r="AJ142" s="25">
        <v>8</v>
      </c>
      <c r="AK142" s="25">
        <v>8</v>
      </c>
      <c r="AL142" s="25">
        <v>0</v>
      </c>
      <c r="AM142" s="25">
        <v>0</v>
      </c>
      <c r="AN142" s="25">
        <v>8</v>
      </c>
      <c r="AO142" s="25">
        <v>8</v>
      </c>
      <c r="AP142" s="25">
        <v>8</v>
      </c>
      <c r="AQ142" s="25">
        <v>8</v>
      </c>
      <c r="AR142" s="25">
        <v>8</v>
      </c>
      <c r="AS142" s="25">
        <v>0</v>
      </c>
      <c r="AT142" s="25">
        <v>0</v>
      </c>
      <c r="AU142" s="25">
        <v>8</v>
      </c>
      <c r="AV142" s="25">
        <v>8</v>
      </c>
      <c r="AW142" s="25">
        <v>8</v>
      </c>
      <c r="AX142" s="25">
        <v>8</v>
      </c>
      <c r="AY142" s="25">
        <v>8</v>
      </c>
      <c r="AZ142" s="25">
        <v>0</v>
      </c>
      <c r="BA142" s="25">
        <v>0</v>
      </c>
      <c r="BB142" s="25">
        <v>8</v>
      </c>
      <c r="BC142" s="25">
        <v>8</v>
      </c>
      <c r="BD142" s="25">
        <v>8</v>
      </c>
      <c r="BE142" s="25">
        <v>8</v>
      </c>
      <c r="BF142" s="25">
        <v>8</v>
      </c>
      <c r="BG142" s="25">
        <v>0</v>
      </c>
      <c r="BH142" s="25">
        <v>0</v>
      </c>
      <c r="BI142" s="25">
        <v>13</v>
      </c>
      <c r="BJ142" s="25">
        <v>13</v>
      </c>
      <c r="BK142" s="25">
        <v>13</v>
      </c>
      <c r="BL142" s="25">
        <v>13</v>
      </c>
      <c r="BM142" s="25">
        <v>13</v>
      </c>
      <c r="BN142" s="25">
        <v>13</v>
      </c>
      <c r="BO142" s="25">
        <v>13</v>
      </c>
      <c r="BP142" s="25">
        <v>13</v>
      </c>
      <c r="BQ142" s="25">
        <v>13</v>
      </c>
      <c r="BR142" s="25">
        <v>13</v>
      </c>
      <c r="BS142" s="25">
        <v>13</v>
      </c>
      <c r="BT142" s="25">
        <v>13</v>
      </c>
      <c r="BU142" s="25">
        <v>13</v>
      </c>
      <c r="BV142" s="25">
        <v>13</v>
      </c>
      <c r="BW142" s="25">
        <v>13</v>
      </c>
      <c r="BX142" s="25">
        <v>13</v>
      </c>
      <c r="BY142" s="25">
        <v>13</v>
      </c>
      <c r="BZ142" s="25">
        <v>13</v>
      </c>
      <c r="CA142" s="25">
        <v>13</v>
      </c>
      <c r="CB142" s="25">
        <v>13</v>
      </c>
      <c r="CC142" s="25">
        <v>13</v>
      </c>
      <c r="CD142" s="25">
        <v>13</v>
      </c>
      <c r="CE142" s="25">
        <v>13</v>
      </c>
      <c r="CF142" s="25">
        <v>13</v>
      </c>
      <c r="CG142" s="25">
        <v>13</v>
      </c>
      <c r="CH142" s="25">
        <v>13</v>
      </c>
      <c r="CI142" s="25">
        <v>13</v>
      </c>
      <c r="CJ142" s="25">
        <v>13</v>
      </c>
      <c r="CK142" s="25">
        <v>13</v>
      </c>
      <c r="CL142" s="25">
        <v>13</v>
      </c>
      <c r="CM142" s="25">
        <v>13</v>
      </c>
      <c r="CN142" s="25">
        <v>13</v>
      </c>
      <c r="CO142" s="25">
        <v>13</v>
      </c>
      <c r="CP142" s="25">
        <v>13</v>
      </c>
      <c r="CQ142" s="25">
        <v>13</v>
      </c>
      <c r="CR142" s="25">
        <v>13</v>
      </c>
      <c r="CS142" s="25">
        <v>13</v>
      </c>
      <c r="CT142" s="25">
        <v>13</v>
      </c>
      <c r="CU142" s="25">
        <v>13</v>
      </c>
      <c r="CV142" s="25">
        <v>13</v>
      </c>
      <c r="CW142" s="25">
        <v>13</v>
      </c>
      <c r="CX142" s="23" t="s">
        <v>74</v>
      </c>
    </row>
    <row r="143" spans="2:102" x14ac:dyDescent="0.25">
      <c r="B143" s="26">
        <f>SUM(L143:CW143)</f>
      </c>
      <c r="D143" s="27">
        <f>B143*E143</f>
      </c>
      <c r="E143" s="27">
        <f>'Rate Tables'!C19</f>
      </c>
      <c r="F143" s="8" t="s">
        <v>39</v>
      </c>
      <c r="L143" s="26">
        <f>IF(L$6="","",IF(WEEKDAY(L$6,1)=1,0,MIN(8,L142)*L141))</f>
      </c>
      <c r="M143" s="26">
        <f>IF(M$6="","",IF(WEEKDAY(M$6,1)=1,0,MIN(8,M142)*M141))</f>
      </c>
      <c r="N143" s="26">
        <f>IF(N$6="","",IF(WEEKDAY(N$6,1)=1,0,MIN(8,N142)*N141))</f>
      </c>
      <c r="O143" s="26">
        <f>IF(O$6="","",IF(WEEKDAY(O$6,1)=1,0,MIN(8,O142)*O141))</f>
      </c>
      <c r="P143" s="26">
        <f>IF(P$6="","",IF(WEEKDAY(P$6,1)=1,0,MIN(8,P142)*P141))</f>
      </c>
      <c r="Q143" s="26">
        <f>IF(Q$6="","",IF(WEEKDAY(Q$6,1)=1,0,MIN(8,Q142)*Q141))</f>
      </c>
      <c r="R143" s="26">
        <f>IF(R$6="","",IF(WEEKDAY(R$6,1)=1,0,MIN(8,R142)*R141))</f>
      </c>
      <c r="S143" s="26">
        <f>IF(S$6="","",IF(WEEKDAY(S$6,1)=1,0,MIN(8,S142)*S141))</f>
      </c>
      <c r="T143" s="26">
        <f>IF(T$6="","",IF(WEEKDAY(T$6,1)=1,0,MIN(8,T142)*T141))</f>
      </c>
      <c r="U143" s="26">
        <f>IF(U$6="","",IF(WEEKDAY(U$6,1)=1,0,MIN(8,U142)*U141))</f>
      </c>
      <c r="V143" s="26">
        <f>IF(V$6="","",IF(WEEKDAY(V$6,1)=1,0,MIN(8,V142)*V141))</f>
      </c>
      <c r="W143" s="26">
        <f>IF(W$6="","",IF(WEEKDAY(W$6,1)=1,0,MIN(8,W142)*W141))</f>
      </c>
      <c r="X143" s="26">
        <f>IF(X$6="","",IF(WEEKDAY(X$6,1)=1,0,MIN(8,X142)*X141))</f>
      </c>
      <c r="Y143" s="26">
        <f>IF(Y$6="","",IF(WEEKDAY(Y$6,1)=1,0,MIN(8,Y142)*Y141))</f>
      </c>
      <c r="Z143" s="26">
        <f>IF(Z$6="","",IF(WEEKDAY(Z$6,1)=1,0,MIN(8,Z142)*Z141))</f>
      </c>
      <c r="AA143" s="26">
        <f>IF(AA$6="","",IF(WEEKDAY(AA$6,1)=1,0,MIN(8,AA142)*AA141))</f>
      </c>
      <c r="AB143" s="26">
        <f>IF(AB$6="","",IF(WEEKDAY(AB$6,1)=1,0,MIN(8,AB142)*AB141))</f>
      </c>
      <c r="AC143" s="26">
        <f>IF(AC$6="","",IF(WEEKDAY(AC$6,1)=1,0,MIN(8,AC142)*AC141))</f>
      </c>
      <c r="AD143" s="26">
        <f>IF(AD$6="","",IF(WEEKDAY(AD$6,1)=1,0,MIN(8,AD142)*AD141))</f>
      </c>
      <c r="AE143" s="26">
        <f>IF(AE$6="","",IF(WEEKDAY(AE$6,1)=1,0,MIN(8,AE142)*AE141))</f>
      </c>
      <c r="AF143" s="26">
        <f>IF(AF$6="","",IF(WEEKDAY(AF$6,1)=1,0,MIN(8,AF142)*AF141))</f>
      </c>
      <c r="AG143" s="26">
        <f>IF(AG$6="","",IF(WEEKDAY(AG$6,1)=1,0,MIN(8,AG142)*AG141))</f>
      </c>
      <c r="AH143" s="26">
        <f>IF(AH$6="","",IF(WEEKDAY(AH$6,1)=1,0,MIN(8,AH142)*AH141))</f>
      </c>
      <c r="AI143" s="26">
        <f>IF(AI$6="","",IF(WEEKDAY(AI$6,1)=1,0,MIN(8,AI142)*AI141))</f>
      </c>
      <c r="AJ143" s="26">
        <f>IF(AJ$6="","",IF(WEEKDAY(AJ$6,1)=1,0,MIN(8,AJ142)*AJ141))</f>
      </c>
      <c r="AK143" s="26">
        <f>IF(AK$6="","",IF(WEEKDAY(AK$6,1)=1,0,MIN(8,AK142)*AK141))</f>
      </c>
      <c r="AL143" s="26">
        <f>IF(AL$6="","",IF(WEEKDAY(AL$6,1)=1,0,MIN(8,AL142)*AL141))</f>
      </c>
      <c r="AM143" s="26">
        <f>IF(AM$6="","",IF(WEEKDAY(AM$6,1)=1,0,MIN(8,AM142)*AM141))</f>
      </c>
      <c r="AN143" s="26">
        <f>IF(AN$6="","",IF(WEEKDAY(AN$6,1)=1,0,MIN(8,AN142)*AN141))</f>
      </c>
      <c r="AO143" s="26">
        <f>IF(AO$6="","",IF(WEEKDAY(AO$6,1)=1,0,MIN(8,AO142)*AO141))</f>
      </c>
      <c r="AP143" s="26">
        <f>IF(AP$6="","",IF(WEEKDAY(AP$6,1)=1,0,MIN(8,AP142)*AP141))</f>
      </c>
      <c r="AQ143" s="26">
        <f>IF(AQ$6="","",IF(WEEKDAY(AQ$6,1)=1,0,MIN(8,AQ142)*AQ141))</f>
      </c>
      <c r="AR143" s="26">
        <f>IF(AR$6="","",IF(WEEKDAY(AR$6,1)=1,0,MIN(8,AR142)*AR141))</f>
      </c>
      <c r="AS143" s="26">
        <f>IF(AS$6="","",IF(WEEKDAY(AS$6,1)=1,0,MIN(8,AS142)*AS141))</f>
      </c>
      <c r="AT143" s="26">
        <f>IF(AT$6="","",IF(WEEKDAY(AT$6,1)=1,0,MIN(8,AT142)*AT141))</f>
      </c>
      <c r="AU143" s="26">
        <f>IF(AU$6="","",IF(WEEKDAY(AU$6,1)=1,0,MIN(8,AU142)*AU141))</f>
      </c>
      <c r="AV143" s="26">
        <f>IF(AV$6="","",IF(WEEKDAY(AV$6,1)=1,0,MIN(8,AV142)*AV141))</f>
      </c>
      <c r="AW143" s="26">
        <f>IF(AW$6="","",IF(WEEKDAY(AW$6,1)=1,0,MIN(8,AW142)*AW141))</f>
      </c>
      <c r="AX143" s="26">
        <f>IF(AX$6="","",IF(WEEKDAY(AX$6,1)=1,0,MIN(8,AX142)*AX141))</f>
      </c>
      <c r="AY143" s="26">
        <f>IF(AY$6="","",IF(WEEKDAY(AY$6,1)=1,0,MIN(8,AY142)*AY141))</f>
      </c>
      <c r="AZ143" s="26">
        <f>IF(AZ$6="","",IF(WEEKDAY(AZ$6,1)=1,0,MIN(8,AZ142)*AZ141))</f>
      </c>
      <c r="BA143" s="26">
        <f>IF(BA$6="","",IF(WEEKDAY(BA$6,1)=1,0,MIN(8,BA142)*BA141))</f>
      </c>
      <c r="BB143" s="26">
        <f>IF(BB$6="","",IF(WEEKDAY(BB$6,1)=1,0,MIN(8,BB142)*BB141))</f>
      </c>
      <c r="BC143" s="26">
        <f>IF(BC$6="","",IF(WEEKDAY(BC$6,1)=1,0,MIN(8,BC142)*BC141))</f>
      </c>
      <c r="BD143" s="26">
        <f>IF(BD$6="","",IF(WEEKDAY(BD$6,1)=1,0,MIN(8,BD142)*BD141))</f>
      </c>
      <c r="BE143" s="26">
        <f>IF(BE$6="","",IF(WEEKDAY(BE$6,1)=1,0,MIN(8,BE142)*BE141))</f>
      </c>
      <c r="BF143" s="26">
        <f>IF(BF$6="","",IF(WEEKDAY(BF$6,1)=1,0,MIN(8,BF142)*BF141))</f>
      </c>
      <c r="BG143" s="26">
        <f>IF(BG$6="","",IF(WEEKDAY(BG$6,1)=1,0,MIN(8,BG142)*BG141))</f>
      </c>
      <c r="BH143" s="26">
        <f>IF(BH$6="","",IF(WEEKDAY(BH$6,1)=1,0,MIN(8,BH142)*BH141))</f>
      </c>
      <c r="BI143" s="26">
        <f>IF(BI$6="","",IF(WEEKDAY(BI$6,1)=1,0,MIN(8,BI142)*BI141))</f>
      </c>
      <c r="BJ143" s="26">
        <f>IF(BJ$6="","",IF(WEEKDAY(BJ$6,1)=1,0,MIN(8,BJ142)*BJ141))</f>
      </c>
      <c r="BK143" s="26">
        <f>IF(BK$6="","",IF(WEEKDAY(BK$6,1)=1,0,MIN(8,BK142)*BK141))</f>
      </c>
      <c r="BL143" s="26">
        <f>IF(BL$6="","",IF(WEEKDAY(BL$6,1)=1,0,MIN(8,BL142)*BL141))</f>
      </c>
      <c r="BM143" s="26">
        <f>IF(BM$6="","",IF(WEEKDAY(BM$6,1)=1,0,MIN(8,BM142)*BM141))</f>
      </c>
      <c r="BN143" s="26">
        <f>IF(BN$6="","",IF(WEEKDAY(BN$6,1)=1,0,MIN(8,BN142)*BN141))</f>
      </c>
      <c r="BO143" s="26">
        <f>IF(BO$6="","",IF(WEEKDAY(BO$6,1)=1,0,MIN(8,BO142)*BO141))</f>
      </c>
      <c r="BP143" s="26">
        <f>IF(BP$6="","",IF(WEEKDAY(BP$6,1)=1,0,MIN(8,BP142)*BP141))</f>
      </c>
      <c r="BQ143" s="26">
        <f>IF(BQ$6="","",IF(WEEKDAY(BQ$6,1)=1,0,MIN(8,BQ142)*BQ141))</f>
      </c>
      <c r="BR143" s="26">
        <f>IF(BR$6="","",IF(WEEKDAY(BR$6,1)=1,0,MIN(8,BR142)*BR141))</f>
      </c>
      <c r="BS143" s="26">
        <f>IF(BS$6="","",IF(WEEKDAY(BS$6,1)=1,0,MIN(8,BS142)*BS141))</f>
      </c>
      <c r="BT143" s="26">
        <f>IF(BT$6="","",IF(WEEKDAY(BT$6,1)=1,0,MIN(8,BT142)*BT141))</f>
      </c>
      <c r="BU143" s="26">
        <f>IF(BU$6="","",IF(WEEKDAY(BU$6,1)=1,0,MIN(8,BU142)*BU141))</f>
      </c>
      <c r="BV143" s="26">
        <f>IF(BV$6="","",IF(WEEKDAY(BV$6,1)=1,0,MIN(8,BV142)*BV141))</f>
      </c>
      <c r="BW143" s="26">
        <f>IF(BW$6="","",IF(WEEKDAY(BW$6,1)=1,0,MIN(8,BW142)*BW141))</f>
      </c>
      <c r="BX143" s="26">
        <f>IF(BX$6="","",IF(WEEKDAY(BX$6,1)=1,0,MIN(8,BX142)*BX141))</f>
      </c>
      <c r="BY143" s="26">
        <f>IF(BY$6="","",IF(WEEKDAY(BY$6,1)=1,0,MIN(8,BY142)*BY141))</f>
      </c>
      <c r="BZ143" s="26">
        <f>IF(BZ$6="","",IF(WEEKDAY(BZ$6,1)=1,0,MIN(8,BZ142)*BZ141))</f>
      </c>
      <c r="CA143" s="26">
        <f>IF(CA$6="","",IF(WEEKDAY(CA$6,1)=1,0,MIN(8,CA142)*CA141))</f>
      </c>
      <c r="CB143" s="26">
        <f>IF(CB$6="","",IF(WEEKDAY(CB$6,1)=1,0,MIN(8,CB142)*CB141))</f>
      </c>
      <c r="CC143" s="26">
        <f>IF(CC$6="","",IF(WEEKDAY(CC$6,1)=1,0,MIN(8,CC142)*CC141))</f>
      </c>
      <c r="CD143" s="26">
        <f>IF(CD$6="","",IF(WEEKDAY(CD$6,1)=1,0,MIN(8,CD142)*CD141))</f>
      </c>
      <c r="CE143" s="26">
        <f>IF(CE$6="","",IF(WEEKDAY(CE$6,1)=1,0,MIN(8,CE142)*CE141))</f>
      </c>
      <c r="CF143" s="26">
        <f>IF(CF$6="","",IF(WEEKDAY(CF$6,1)=1,0,MIN(8,CF142)*CF141))</f>
      </c>
      <c r="CG143" s="26">
        <f>IF(CG$6="","",IF(WEEKDAY(CG$6,1)=1,0,MIN(8,CG142)*CG141))</f>
      </c>
      <c r="CH143" s="26">
        <f>IF(CH$6="","",IF(WEEKDAY(CH$6,1)=1,0,MIN(8,CH142)*CH141))</f>
      </c>
      <c r="CI143" s="26">
        <f>IF(CI$6="","",IF(WEEKDAY(CI$6,1)=1,0,MIN(8,CI142)*CI141))</f>
      </c>
      <c r="CJ143" s="26">
        <f>IF(CJ$6="","",IF(WEEKDAY(CJ$6,1)=1,0,MIN(8,CJ142)*CJ141))</f>
      </c>
      <c r="CK143" s="26">
        <f>IF(CK$6="","",IF(WEEKDAY(CK$6,1)=1,0,MIN(8,CK142)*CK141))</f>
      </c>
      <c r="CL143" s="26">
        <f>IF(CL$6="","",IF(WEEKDAY(CL$6,1)=1,0,MIN(8,CL142)*CL141))</f>
      </c>
      <c r="CM143" s="26">
        <f>IF(CM$6="","",IF(WEEKDAY(CM$6,1)=1,0,MIN(8,CM142)*CM141))</f>
      </c>
      <c r="CN143" s="26">
        <f>IF(CN$6="","",IF(WEEKDAY(CN$6,1)=1,0,MIN(8,CN142)*CN141))</f>
      </c>
      <c r="CO143" s="26">
        <f>IF(CO$6="","",IF(WEEKDAY(CO$6,1)=1,0,MIN(8,CO142)*CO141))</f>
      </c>
      <c r="CP143" s="26">
        <f>IF(CP$6="","",IF(WEEKDAY(CP$6,1)=1,0,MIN(8,CP142)*CP141))</f>
      </c>
      <c r="CQ143" s="26">
        <f>IF(CQ$6="","",IF(WEEKDAY(CQ$6,1)=1,0,MIN(8,CQ142)*CQ141))</f>
      </c>
      <c r="CR143" s="26">
        <f>IF(CR$6="","",IF(WEEKDAY(CR$6,1)=1,0,MIN(8,CR142)*CR141))</f>
      </c>
      <c r="CS143" s="26">
        <f>IF(CS$6="","",IF(WEEKDAY(CS$6,1)=1,0,MIN(8,CS142)*CS141))</f>
      </c>
      <c r="CT143" s="26">
        <f>IF(CT$6="","",IF(WEEKDAY(CT$6,1)=1,0,MIN(8,CT142)*CT141))</f>
      </c>
      <c r="CU143" s="26">
        <f>IF(CU$6="","",IF(WEEKDAY(CU$6,1)=1,0,MIN(8,CU142)*CU141))</f>
      </c>
      <c r="CV143" s="26">
        <f>IF(CV$6="","",IF(WEEKDAY(CV$6,1)=1,0,MIN(8,CV142)*CV141))</f>
      </c>
      <c r="CW143" s="26">
        <f>IF(CW$6="","",IF(WEEKDAY(CW$6,1)=1,0,MIN(8,CW142)*CW141))</f>
      </c>
      <c r="CX143" s="8" t="s">
        <v>74</v>
      </c>
    </row>
    <row r="144" spans="2:102" x14ac:dyDescent="0.25">
      <c r="B144" s="26">
        <f>SUM(L144:CW144)</f>
      </c>
      <c r="D144" s="27">
        <f>B144*E144</f>
      </c>
      <c r="E144" s="27">
        <f>'Rate Tables'!D19</f>
      </c>
      <c r="F144" s="8" t="s">
        <v>40</v>
      </c>
      <c r="L144" s="26">
        <f>IF(L$6="","",IF(WEEKDAY(L$6,1)=1,0,MAX(0,L142-8)*L141))</f>
      </c>
      <c r="M144" s="26">
        <f>IF(M$6="","",IF(WEEKDAY(M$6,1)=1,0,MAX(0,M142-8)*M141))</f>
      </c>
      <c r="N144" s="26">
        <f>IF(N$6="","",IF(WEEKDAY(N$6,1)=1,0,MAX(0,N142-8)*N141))</f>
      </c>
      <c r="O144" s="26">
        <f>IF(O$6="","",IF(WEEKDAY(O$6,1)=1,0,MAX(0,O142-8)*O141))</f>
      </c>
      <c r="P144" s="26">
        <f>IF(P$6="","",IF(WEEKDAY(P$6,1)=1,0,MAX(0,P142-8)*P141))</f>
      </c>
      <c r="Q144" s="26">
        <f>IF(Q$6="","",IF(WEEKDAY(Q$6,1)=1,0,MAX(0,Q142-8)*Q141))</f>
      </c>
      <c r="R144" s="26">
        <f>IF(R$6="","",IF(WEEKDAY(R$6,1)=1,0,MAX(0,R142-8)*R141))</f>
      </c>
      <c r="S144" s="26">
        <f>IF(S$6="","",IF(WEEKDAY(S$6,1)=1,0,MAX(0,S142-8)*S141))</f>
      </c>
      <c r="T144" s="26">
        <f>IF(T$6="","",IF(WEEKDAY(T$6,1)=1,0,MAX(0,T142-8)*T141))</f>
      </c>
      <c r="U144" s="26">
        <f>IF(U$6="","",IF(WEEKDAY(U$6,1)=1,0,MAX(0,U142-8)*U141))</f>
      </c>
      <c r="V144" s="26">
        <f>IF(V$6="","",IF(WEEKDAY(V$6,1)=1,0,MAX(0,V142-8)*V141))</f>
      </c>
      <c r="W144" s="26">
        <f>IF(W$6="","",IF(WEEKDAY(W$6,1)=1,0,MAX(0,W142-8)*W141))</f>
      </c>
      <c r="X144" s="26">
        <f>IF(X$6="","",IF(WEEKDAY(X$6,1)=1,0,MAX(0,X142-8)*X141))</f>
      </c>
      <c r="Y144" s="26">
        <f>IF(Y$6="","",IF(WEEKDAY(Y$6,1)=1,0,MAX(0,Y142-8)*Y141))</f>
      </c>
      <c r="Z144" s="26">
        <f>IF(Z$6="","",IF(WEEKDAY(Z$6,1)=1,0,MAX(0,Z142-8)*Z141))</f>
      </c>
      <c r="AA144" s="26">
        <f>IF(AA$6="","",IF(WEEKDAY(AA$6,1)=1,0,MAX(0,AA142-8)*AA141))</f>
      </c>
      <c r="AB144" s="26">
        <f>IF(AB$6="","",IF(WEEKDAY(AB$6,1)=1,0,MAX(0,AB142-8)*AB141))</f>
      </c>
      <c r="AC144" s="26">
        <f>IF(AC$6="","",IF(WEEKDAY(AC$6,1)=1,0,MAX(0,AC142-8)*AC141))</f>
      </c>
      <c r="AD144" s="26">
        <f>IF(AD$6="","",IF(WEEKDAY(AD$6,1)=1,0,MAX(0,AD142-8)*AD141))</f>
      </c>
      <c r="AE144" s="26">
        <f>IF(AE$6="","",IF(WEEKDAY(AE$6,1)=1,0,MAX(0,AE142-8)*AE141))</f>
      </c>
      <c r="AF144" s="26">
        <f>IF(AF$6="","",IF(WEEKDAY(AF$6,1)=1,0,MAX(0,AF142-8)*AF141))</f>
      </c>
      <c r="AG144" s="26">
        <f>IF(AG$6="","",IF(WEEKDAY(AG$6,1)=1,0,MAX(0,AG142-8)*AG141))</f>
      </c>
      <c r="AH144" s="26">
        <f>IF(AH$6="","",IF(WEEKDAY(AH$6,1)=1,0,MAX(0,AH142-8)*AH141))</f>
      </c>
      <c r="AI144" s="26">
        <f>IF(AI$6="","",IF(WEEKDAY(AI$6,1)=1,0,MAX(0,AI142-8)*AI141))</f>
      </c>
      <c r="AJ144" s="26">
        <f>IF(AJ$6="","",IF(WEEKDAY(AJ$6,1)=1,0,MAX(0,AJ142-8)*AJ141))</f>
      </c>
      <c r="AK144" s="26">
        <f>IF(AK$6="","",IF(WEEKDAY(AK$6,1)=1,0,MAX(0,AK142-8)*AK141))</f>
      </c>
      <c r="AL144" s="26">
        <f>IF(AL$6="","",IF(WEEKDAY(AL$6,1)=1,0,MAX(0,AL142-8)*AL141))</f>
      </c>
      <c r="AM144" s="26">
        <f>IF(AM$6="","",IF(WEEKDAY(AM$6,1)=1,0,MAX(0,AM142-8)*AM141))</f>
      </c>
      <c r="AN144" s="26">
        <f>IF(AN$6="","",IF(WEEKDAY(AN$6,1)=1,0,MAX(0,AN142-8)*AN141))</f>
      </c>
      <c r="AO144" s="26">
        <f>IF(AO$6="","",IF(WEEKDAY(AO$6,1)=1,0,MAX(0,AO142-8)*AO141))</f>
      </c>
      <c r="AP144" s="26">
        <f>IF(AP$6="","",IF(WEEKDAY(AP$6,1)=1,0,MAX(0,AP142-8)*AP141))</f>
      </c>
      <c r="AQ144" s="26">
        <f>IF(AQ$6="","",IF(WEEKDAY(AQ$6,1)=1,0,MAX(0,AQ142-8)*AQ141))</f>
      </c>
      <c r="AR144" s="26">
        <f>IF(AR$6="","",IF(WEEKDAY(AR$6,1)=1,0,MAX(0,AR142-8)*AR141))</f>
      </c>
      <c r="AS144" s="26">
        <f>IF(AS$6="","",IF(WEEKDAY(AS$6,1)=1,0,MAX(0,AS142-8)*AS141))</f>
      </c>
      <c r="AT144" s="26">
        <f>IF(AT$6="","",IF(WEEKDAY(AT$6,1)=1,0,MAX(0,AT142-8)*AT141))</f>
      </c>
      <c r="AU144" s="26">
        <f>IF(AU$6="","",IF(WEEKDAY(AU$6,1)=1,0,MAX(0,AU142-8)*AU141))</f>
      </c>
      <c r="AV144" s="26">
        <f>IF(AV$6="","",IF(WEEKDAY(AV$6,1)=1,0,MAX(0,AV142-8)*AV141))</f>
      </c>
      <c r="AW144" s="26">
        <f>IF(AW$6="","",IF(WEEKDAY(AW$6,1)=1,0,MAX(0,AW142-8)*AW141))</f>
      </c>
      <c r="AX144" s="26">
        <f>IF(AX$6="","",IF(WEEKDAY(AX$6,1)=1,0,MAX(0,AX142-8)*AX141))</f>
      </c>
      <c r="AY144" s="26">
        <f>IF(AY$6="","",IF(WEEKDAY(AY$6,1)=1,0,MAX(0,AY142-8)*AY141))</f>
      </c>
      <c r="AZ144" s="26">
        <f>IF(AZ$6="","",IF(WEEKDAY(AZ$6,1)=1,0,MAX(0,AZ142-8)*AZ141))</f>
      </c>
      <c r="BA144" s="26">
        <f>IF(BA$6="","",IF(WEEKDAY(BA$6,1)=1,0,MAX(0,BA142-8)*BA141))</f>
      </c>
      <c r="BB144" s="26">
        <f>IF(BB$6="","",IF(WEEKDAY(BB$6,1)=1,0,MAX(0,BB142-8)*BB141))</f>
      </c>
      <c r="BC144" s="26">
        <f>IF(BC$6="","",IF(WEEKDAY(BC$6,1)=1,0,MAX(0,BC142-8)*BC141))</f>
      </c>
      <c r="BD144" s="26">
        <f>IF(BD$6="","",IF(WEEKDAY(BD$6,1)=1,0,MAX(0,BD142-8)*BD141))</f>
      </c>
      <c r="BE144" s="26">
        <f>IF(BE$6="","",IF(WEEKDAY(BE$6,1)=1,0,MAX(0,BE142-8)*BE141))</f>
      </c>
      <c r="BF144" s="26">
        <f>IF(BF$6="","",IF(WEEKDAY(BF$6,1)=1,0,MAX(0,BF142-8)*BF141))</f>
      </c>
      <c r="BG144" s="26">
        <f>IF(BG$6="","",IF(WEEKDAY(BG$6,1)=1,0,MAX(0,BG142-8)*BG141))</f>
      </c>
      <c r="BH144" s="26">
        <f>IF(BH$6="","",IF(WEEKDAY(BH$6,1)=1,0,MAX(0,BH142-8)*BH141))</f>
      </c>
      <c r="BI144" s="26">
        <f>IF(BI$6="","",IF(WEEKDAY(BI$6,1)=1,0,MAX(0,BI142-8)*BI141))</f>
      </c>
      <c r="BJ144" s="26">
        <f>IF(BJ$6="","",IF(WEEKDAY(BJ$6,1)=1,0,MAX(0,BJ142-8)*BJ141))</f>
      </c>
      <c r="BK144" s="26">
        <f>IF(BK$6="","",IF(WEEKDAY(BK$6,1)=1,0,MAX(0,BK142-8)*BK141))</f>
      </c>
      <c r="BL144" s="26">
        <f>IF(BL$6="","",IF(WEEKDAY(BL$6,1)=1,0,MAX(0,BL142-8)*BL141))</f>
      </c>
      <c r="BM144" s="26">
        <f>IF(BM$6="","",IF(WEEKDAY(BM$6,1)=1,0,MAX(0,BM142-8)*BM141))</f>
      </c>
      <c r="BN144" s="26">
        <f>IF(BN$6="","",IF(WEEKDAY(BN$6,1)=1,0,MAX(0,BN142-8)*BN141))</f>
      </c>
      <c r="BO144" s="26">
        <f>IF(BO$6="","",IF(WEEKDAY(BO$6,1)=1,0,MAX(0,BO142-8)*BO141))</f>
      </c>
      <c r="BP144" s="26">
        <f>IF(BP$6="","",IF(WEEKDAY(BP$6,1)=1,0,MAX(0,BP142-8)*BP141))</f>
      </c>
      <c r="BQ144" s="26">
        <f>IF(BQ$6="","",IF(WEEKDAY(BQ$6,1)=1,0,MAX(0,BQ142-8)*BQ141))</f>
      </c>
      <c r="BR144" s="26">
        <f>IF(BR$6="","",IF(WEEKDAY(BR$6,1)=1,0,MAX(0,BR142-8)*BR141))</f>
      </c>
      <c r="BS144" s="26">
        <f>IF(BS$6="","",IF(WEEKDAY(BS$6,1)=1,0,MAX(0,BS142-8)*BS141))</f>
      </c>
      <c r="BT144" s="26">
        <f>IF(BT$6="","",IF(WEEKDAY(BT$6,1)=1,0,MAX(0,BT142-8)*BT141))</f>
      </c>
      <c r="BU144" s="26">
        <f>IF(BU$6="","",IF(WEEKDAY(BU$6,1)=1,0,MAX(0,BU142-8)*BU141))</f>
      </c>
      <c r="BV144" s="26">
        <f>IF(BV$6="","",IF(WEEKDAY(BV$6,1)=1,0,MAX(0,BV142-8)*BV141))</f>
      </c>
      <c r="BW144" s="26">
        <f>IF(BW$6="","",IF(WEEKDAY(BW$6,1)=1,0,MAX(0,BW142-8)*BW141))</f>
      </c>
      <c r="BX144" s="26">
        <f>IF(BX$6="","",IF(WEEKDAY(BX$6,1)=1,0,MAX(0,BX142-8)*BX141))</f>
      </c>
      <c r="BY144" s="26">
        <f>IF(BY$6="","",IF(WEEKDAY(BY$6,1)=1,0,MAX(0,BY142-8)*BY141))</f>
      </c>
      <c r="BZ144" s="26">
        <f>IF(BZ$6="","",IF(WEEKDAY(BZ$6,1)=1,0,MAX(0,BZ142-8)*BZ141))</f>
      </c>
      <c r="CA144" s="26">
        <f>IF(CA$6="","",IF(WEEKDAY(CA$6,1)=1,0,MAX(0,CA142-8)*CA141))</f>
      </c>
      <c r="CB144" s="26">
        <f>IF(CB$6="","",IF(WEEKDAY(CB$6,1)=1,0,MAX(0,CB142-8)*CB141))</f>
      </c>
      <c r="CC144" s="26">
        <f>IF(CC$6="","",IF(WEEKDAY(CC$6,1)=1,0,MAX(0,CC142-8)*CC141))</f>
      </c>
      <c r="CD144" s="26">
        <f>IF(CD$6="","",IF(WEEKDAY(CD$6,1)=1,0,MAX(0,CD142-8)*CD141))</f>
      </c>
      <c r="CE144" s="26">
        <f>IF(CE$6="","",IF(WEEKDAY(CE$6,1)=1,0,MAX(0,CE142-8)*CE141))</f>
      </c>
      <c r="CF144" s="26">
        <f>IF(CF$6="","",IF(WEEKDAY(CF$6,1)=1,0,MAX(0,CF142-8)*CF141))</f>
      </c>
      <c r="CG144" s="26">
        <f>IF(CG$6="","",IF(WEEKDAY(CG$6,1)=1,0,MAX(0,CG142-8)*CG141))</f>
      </c>
      <c r="CH144" s="26">
        <f>IF(CH$6="","",IF(WEEKDAY(CH$6,1)=1,0,MAX(0,CH142-8)*CH141))</f>
      </c>
      <c r="CI144" s="26">
        <f>IF(CI$6="","",IF(WEEKDAY(CI$6,1)=1,0,MAX(0,CI142-8)*CI141))</f>
      </c>
      <c r="CJ144" s="26">
        <f>IF(CJ$6="","",IF(WEEKDAY(CJ$6,1)=1,0,MAX(0,CJ142-8)*CJ141))</f>
      </c>
      <c r="CK144" s="26">
        <f>IF(CK$6="","",IF(WEEKDAY(CK$6,1)=1,0,MAX(0,CK142-8)*CK141))</f>
      </c>
      <c r="CL144" s="26">
        <f>IF(CL$6="","",IF(WEEKDAY(CL$6,1)=1,0,MAX(0,CL142-8)*CL141))</f>
      </c>
      <c r="CM144" s="26">
        <f>IF(CM$6="","",IF(WEEKDAY(CM$6,1)=1,0,MAX(0,CM142-8)*CM141))</f>
      </c>
      <c r="CN144" s="26">
        <f>IF(CN$6="","",IF(WEEKDAY(CN$6,1)=1,0,MAX(0,CN142-8)*CN141))</f>
      </c>
      <c r="CO144" s="26">
        <f>IF(CO$6="","",IF(WEEKDAY(CO$6,1)=1,0,MAX(0,CO142-8)*CO141))</f>
      </c>
      <c r="CP144" s="26">
        <f>IF(CP$6="","",IF(WEEKDAY(CP$6,1)=1,0,MAX(0,CP142-8)*CP141))</f>
      </c>
      <c r="CQ144" s="26">
        <f>IF(CQ$6="","",IF(WEEKDAY(CQ$6,1)=1,0,MAX(0,CQ142-8)*CQ141))</f>
      </c>
      <c r="CR144" s="26">
        <f>IF(CR$6="","",IF(WEEKDAY(CR$6,1)=1,0,MAX(0,CR142-8)*CR141))</f>
      </c>
      <c r="CS144" s="26">
        <f>IF(CS$6="","",IF(WEEKDAY(CS$6,1)=1,0,MAX(0,CS142-8)*CS141))</f>
      </c>
      <c r="CT144" s="26">
        <f>IF(CT$6="","",IF(WEEKDAY(CT$6,1)=1,0,MAX(0,CT142-8)*CT141))</f>
      </c>
      <c r="CU144" s="26">
        <f>IF(CU$6="","",IF(WEEKDAY(CU$6,1)=1,0,MAX(0,CU142-8)*CU141))</f>
      </c>
      <c r="CV144" s="26">
        <f>IF(CV$6="","",IF(WEEKDAY(CV$6,1)=1,0,MAX(0,CV142-8)*CV141))</f>
      </c>
      <c r="CW144" s="26">
        <f>IF(CW$6="","",IF(WEEKDAY(CW$6,1)=1,0,MAX(0,CW142-8)*CW141))</f>
      </c>
      <c r="CX144" s="8" t="s">
        <v>74</v>
      </c>
    </row>
    <row r="145" spans="2:102" x14ac:dyDescent="0.25">
      <c r="B145" s="26">
        <f>SUM(L145:CW145)</f>
      </c>
      <c r="D145" s="27">
        <f>B145*E145</f>
      </c>
      <c r="E145" s="27">
        <f>'Rate Tables'!E19</f>
      </c>
      <c r="F145" s="8" t="s">
        <v>41</v>
      </c>
      <c r="L145" s="26">
        <f>IF(L$6="","",IF(WEEKDAY(L$6,1)=1,L142*L141,0))</f>
      </c>
      <c r="M145" s="26">
        <f>IF(M$6="","",IF(WEEKDAY(M$6,1)=1,M142*M141,0))</f>
      </c>
      <c r="N145" s="26">
        <f>IF(N$6="","",IF(WEEKDAY(N$6,1)=1,N142*N141,0))</f>
      </c>
      <c r="O145" s="26">
        <f>IF(O$6="","",IF(WEEKDAY(O$6,1)=1,O142*O141,0))</f>
      </c>
      <c r="P145" s="26">
        <f>IF(P$6="","",IF(WEEKDAY(P$6,1)=1,P142*P141,0))</f>
      </c>
      <c r="Q145" s="26">
        <f>IF(Q$6="","",IF(WEEKDAY(Q$6,1)=1,Q142*Q141,0))</f>
      </c>
      <c r="R145" s="26">
        <f>IF(R$6="","",IF(WEEKDAY(R$6,1)=1,R142*R141,0))</f>
      </c>
      <c r="S145" s="26">
        <f>IF(S$6="","",IF(WEEKDAY(S$6,1)=1,S142*S141,0))</f>
      </c>
      <c r="T145" s="26">
        <f>IF(T$6="","",IF(WEEKDAY(T$6,1)=1,T142*T141,0))</f>
      </c>
      <c r="U145" s="26">
        <f>IF(U$6="","",IF(WEEKDAY(U$6,1)=1,U142*U141,0))</f>
      </c>
      <c r="V145" s="26">
        <f>IF(V$6="","",IF(WEEKDAY(V$6,1)=1,V142*V141,0))</f>
      </c>
      <c r="W145" s="26">
        <f>IF(W$6="","",IF(WEEKDAY(W$6,1)=1,W142*W141,0))</f>
      </c>
      <c r="X145" s="26">
        <f>IF(X$6="","",IF(WEEKDAY(X$6,1)=1,X142*X141,0))</f>
      </c>
      <c r="Y145" s="26">
        <f>IF(Y$6="","",IF(WEEKDAY(Y$6,1)=1,Y142*Y141,0))</f>
      </c>
      <c r="Z145" s="26">
        <f>IF(Z$6="","",IF(WEEKDAY(Z$6,1)=1,Z142*Z141,0))</f>
      </c>
      <c r="AA145" s="26">
        <f>IF(AA$6="","",IF(WEEKDAY(AA$6,1)=1,AA142*AA141,0))</f>
      </c>
      <c r="AB145" s="26">
        <f>IF(AB$6="","",IF(WEEKDAY(AB$6,1)=1,AB142*AB141,0))</f>
      </c>
      <c r="AC145" s="26">
        <f>IF(AC$6="","",IF(WEEKDAY(AC$6,1)=1,AC142*AC141,0))</f>
      </c>
      <c r="AD145" s="26">
        <f>IF(AD$6="","",IF(WEEKDAY(AD$6,1)=1,AD142*AD141,0))</f>
      </c>
      <c r="AE145" s="26">
        <f>IF(AE$6="","",IF(WEEKDAY(AE$6,1)=1,AE142*AE141,0))</f>
      </c>
      <c r="AF145" s="26">
        <f>IF(AF$6="","",IF(WEEKDAY(AF$6,1)=1,AF142*AF141,0))</f>
      </c>
      <c r="AG145" s="26">
        <f>IF(AG$6="","",IF(WEEKDAY(AG$6,1)=1,AG142*AG141,0))</f>
      </c>
      <c r="AH145" s="26">
        <f>IF(AH$6="","",IF(WEEKDAY(AH$6,1)=1,AH142*AH141,0))</f>
      </c>
      <c r="AI145" s="26">
        <f>IF(AI$6="","",IF(WEEKDAY(AI$6,1)=1,AI142*AI141,0))</f>
      </c>
      <c r="AJ145" s="26">
        <f>IF(AJ$6="","",IF(WEEKDAY(AJ$6,1)=1,AJ142*AJ141,0))</f>
      </c>
      <c r="AK145" s="26">
        <f>IF(AK$6="","",IF(WEEKDAY(AK$6,1)=1,AK142*AK141,0))</f>
      </c>
      <c r="AL145" s="26">
        <f>IF(AL$6="","",IF(WEEKDAY(AL$6,1)=1,AL142*AL141,0))</f>
      </c>
      <c r="AM145" s="26">
        <f>IF(AM$6="","",IF(WEEKDAY(AM$6,1)=1,AM142*AM141,0))</f>
      </c>
      <c r="AN145" s="26">
        <f>IF(AN$6="","",IF(WEEKDAY(AN$6,1)=1,AN142*AN141,0))</f>
      </c>
      <c r="AO145" s="26">
        <f>IF(AO$6="","",IF(WEEKDAY(AO$6,1)=1,AO142*AO141,0))</f>
      </c>
      <c r="AP145" s="26">
        <f>IF(AP$6="","",IF(WEEKDAY(AP$6,1)=1,AP142*AP141,0))</f>
      </c>
      <c r="AQ145" s="26">
        <f>IF(AQ$6="","",IF(WEEKDAY(AQ$6,1)=1,AQ142*AQ141,0))</f>
      </c>
      <c r="AR145" s="26">
        <f>IF(AR$6="","",IF(WEEKDAY(AR$6,1)=1,AR142*AR141,0))</f>
      </c>
      <c r="AS145" s="26">
        <f>IF(AS$6="","",IF(WEEKDAY(AS$6,1)=1,AS142*AS141,0))</f>
      </c>
      <c r="AT145" s="26">
        <f>IF(AT$6="","",IF(WEEKDAY(AT$6,1)=1,AT142*AT141,0))</f>
      </c>
      <c r="AU145" s="26">
        <f>IF(AU$6="","",IF(WEEKDAY(AU$6,1)=1,AU142*AU141,0))</f>
      </c>
      <c r="AV145" s="26">
        <f>IF(AV$6="","",IF(WEEKDAY(AV$6,1)=1,AV142*AV141,0))</f>
      </c>
      <c r="AW145" s="26">
        <f>IF(AW$6="","",IF(WEEKDAY(AW$6,1)=1,AW142*AW141,0))</f>
      </c>
      <c r="AX145" s="26">
        <f>IF(AX$6="","",IF(WEEKDAY(AX$6,1)=1,AX142*AX141,0))</f>
      </c>
      <c r="AY145" s="26">
        <f>IF(AY$6="","",IF(WEEKDAY(AY$6,1)=1,AY142*AY141,0))</f>
      </c>
      <c r="AZ145" s="26">
        <f>IF(AZ$6="","",IF(WEEKDAY(AZ$6,1)=1,AZ142*AZ141,0))</f>
      </c>
      <c r="BA145" s="26">
        <f>IF(BA$6="","",IF(WEEKDAY(BA$6,1)=1,BA142*BA141,0))</f>
      </c>
      <c r="BB145" s="26">
        <f>IF(BB$6="","",IF(WEEKDAY(BB$6,1)=1,BB142*BB141,0))</f>
      </c>
      <c r="BC145" s="26">
        <f>IF(BC$6="","",IF(WEEKDAY(BC$6,1)=1,BC142*BC141,0))</f>
      </c>
      <c r="BD145" s="26">
        <f>IF(BD$6="","",IF(WEEKDAY(BD$6,1)=1,BD142*BD141,0))</f>
      </c>
      <c r="BE145" s="26">
        <f>IF(BE$6="","",IF(WEEKDAY(BE$6,1)=1,BE142*BE141,0))</f>
      </c>
      <c r="BF145" s="26">
        <f>IF(BF$6="","",IF(WEEKDAY(BF$6,1)=1,BF142*BF141,0))</f>
      </c>
      <c r="BG145" s="26">
        <f>IF(BG$6="","",IF(WEEKDAY(BG$6,1)=1,BG142*BG141,0))</f>
      </c>
      <c r="BH145" s="26">
        <f>IF(BH$6="","",IF(WEEKDAY(BH$6,1)=1,BH142*BH141,0))</f>
      </c>
      <c r="BI145" s="26">
        <f>IF(BI$6="","",IF(WEEKDAY(BI$6,1)=1,BI142*BI141,0))</f>
      </c>
      <c r="BJ145" s="26">
        <f>IF(BJ$6="","",IF(WEEKDAY(BJ$6,1)=1,BJ142*BJ141,0))</f>
      </c>
      <c r="BK145" s="26">
        <f>IF(BK$6="","",IF(WEEKDAY(BK$6,1)=1,BK142*BK141,0))</f>
      </c>
      <c r="BL145" s="26">
        <f>IF(BL$6="","",IF(WEEKDAY(BL$6,1)=1,BL142*BL141,0))</f>
      </c>
      <c r="BM145" s="26">
        <f>IF(BM$6="","",IF(WEEKDAY(BM$6,1)=1,BM142*BM141,0))</f>
      </c>
      <c r="BN145" s="26">
        <f>IF(BN$6="","",IF(WEEKDAY(BN$6,1)=1,BN142*BN141,0))</f>
      </c>
      <c r="BO145" s="26">
        <f>IF(BO$6="","",IF(WEEKDAY(BO$6,1)=1,BO142*BO141,0))</f>
      </c>
      <c r="BP145" s="26">
        <f>IF(BP$6="","",IF(WEEKDAY(BP$6,1)=1,BP142*BP141,0))</f>
      </c>
      <c r="BQ145" s="26">
        <f>IF(BQ$6="","",IF(WEEKDAY(BQ$6,1)=1,BQ142*BQ141,0))</f>
      </c>
      <c r="BR145" s="26">
        <f>IF(BR$6="","",IF(WEEKDAY(BR$6,1)=1,BR142*BR141,0))</f>
      </c>
      <c r="BS145" s="26">
        <f>IF(BS$6="","",IF(WEEKDAY(BS$6,1)=1,BS142*BS141,0))</f>
      </c>
      <c r="BT145" s="26">
        <f>IF(BT$6="","",IF(WEEKDAY(BT$6,1)=1,BT142*BT141,0))</f>
      </c>
      <c r="BU145" s="26">
        <f>IF(BU$6="","",IF(WEEKDAY(BU$6,1)=1,BU142*BU141,0))</f>
      </c>
      <c r="BV145" s="26">
        <f>IF(BV$6="","",IF(WEEKDAY(BV$6,1)=1,BV142*BV141,0))</f>
      </c>
      <c r="BW145" s="26">
        <f>IF(BW$6="","",IF(WEEKDAY(BW$6,1)=1,BW142*BW141,0))</f>
      </c>
      <c r="BX145" s="26">
        <f>IF(BX$6="","",IF(WEEKDAY(BX$6,1)=1,BX142*BX141,0))</f>
      </c>
      <c r="BY145" s="26">
        <f>IF(BY$6="","",IF(WEEKDAY(BY$6,1)=1,BY142*BY141,0))</f>
      </c>
      <c r="BZ145" s="26">
        <f>IF(BZ$6="","",IF(WEEKDAY(BZ$6,1)=1,BZ142*BZ141,0))</f>
      </c>
      <c r="CA145" s="26">
        <f>IF(CA$6="","",IF(WEEKDAY(CA$6,1)=1,CA142*CA141,0))</f>
      </c>
      <c r="CB145" s="26">
        <f>IF(CB$6="","",IF(WEEKDAY(CB$6,1)=1,CB142*CB141,0))</f>
      </c>
      <c r="CC145" s="26">
        <f>IF(CC$6="","",IF(WEEKDAY(CC$6,1)=1,CC142*CC141,0))</f>
      </c>
      <c r="CD145" s="26">
        <f>IF(CD$6="","",IF(WEEKDAY(CD$6,1)=1,CD142*CD141,0))</f>
      </c>
      <c r="CE145" s="26">
        <f>IF(CE$6="","",IF(WEEKDAY(CE$6,1)=1,CE142*CE141,0))</f>
      </c>
      <c r="CF145" s="26">
        <f>IF(CF$6="","",IF(WEEKDAY(CF$6,1)=1,CF142*CF141,0))</f>
      </c>
      <c r="CG145" s="26">
        <f>IF(CG$6="","",IF(WEEKDAY(CG$6,1)=1,CG142*CG141,0))</f>
      </c>
      <c r="CH145" s="26">
        <f>IF(CH$6="","",IF(WEEKDAY(CH$6,1)=1,CH142*CH141,0))</f>
      </c>
      <c r="CI145" s="26">
        <f>IF(CI$6="","",IF(WEEKDAY(CI$6,1)=1,CI142*CI141,0))</f>
      </c>
      <c r="CJ145" s="26">
        <f>IF(CJ$6="","",IF(WEEKDAY(CJ$6,1)=1,CJ142*CJ141,0))</f>
      </c>
      <c r="CK145" s="26">
        <f>IF(CK$6="","",IF(WEEKDAY(CK$6,1)=1,CK142*CK141,0))</f>
      </c>
      <c r="CL145" s="26">
        <f>IF(CL$6="","",IF(WEEKDAY(CL$6,1)=1,CL142*CL141,0))</f>
      </c>
      <c r="CM145" s="26">
        <f>IF(CM$6="","",IF(WEEKDAY(CM$6,1)=1,CM142*CM141,0))</f>
      </c>
      <c r="CN145" s="26">
        <f>IF(CN$6="","",IF(WEEKDAY(CN$6,1)=1,CN142*CN141,0))</f>
      </c>
      <c r="CO145" s="26">
        <f>IF(CO$6="","",IF(WEEKDAY(CO$6,1)=1,CO142*CO141,0))</f>
      </c>
      <c r="CP145" s="26">
        <f>IF(CP$6="","",IF(WEEKDAY(CP$6,1)=1,CP142*CP141,0))</f>
      </c>
      <c r="CQ145" s="26">
        <f>IF(CQ$6="","",IF(WEEKDAY(CQ$6,1)=1,CQ142*CQ141,0))</f>
      </c>
      <c r="CR145" s="26">
        <f>IF(CR$6="","",IF(WEEKDAY(CR$6,1)=1,CR142*CR141,0))</f>
      </c>
      <c r="CS145" s="26">
        <f>IF(CS$6="","",IF(WEEKDAY(CS$6,1)=1,CS142*CS141,0))</f>
      </c>
      <c r="CT145" s="26">
        <f>IF(CT$6="","",IF(WEEKDAY(CT$6,1)=1,CT142*CT141,0))</f>
      </c>
      <c r="CU145" s="26">
        <f>IF(CU$6="","",IF(WEEKDAY(CU$6,1)=1,CU142*CU141,0))</f>
      </c>
      <c r="CV145" s="26">
        <f>IF(CV$6="","",IF(WEEKDAY(CV$6,1)=1,CV142*CV141,0))</f>
      </c>
      <c r="CW145" s="26">
        <f>IF(CW$6="","",IF(WEEKDAY(CW$6,1)=1,CW142*CW141,0))</f>
      </c>
      <c r="CX145" s="8" t="s">
        <v>74</v>
      </c>
    </row>
    <row r="146" spans="2:102" x14ac:dyDescent="0.25">
      <c r="B146" s="26">
        <f>SUM(L146:CW146)</f>
      </c>
      <c r="D146" s="27">
        <f>B146*E146</f>
      </c>
      <c r="E146" s="27">
        <v>140</v>
      </c>
      <c r="F146" s="8" t="s">
        <v>42</v>
      </c>
      <c r="L146" s="28">
        <v>1</v>
      </c>
      <c r="M146" s="28">
        <v>1</v>
      </c>
      <c r="N146" s="28">
        <v>1</v>
      </c>
      <c r="O146" s="28">
        <v>1</v>
      </c>
      <c r="P146" s="28">
        <v>1</v>
      </c>
      <c r="Q146" s="28">
        <v>0</v>
      </c>
      <c r="R146" s="28">
        <v>0</v>
      </c>
      <c r="S146" s="28">
        <v>1</v>
      </c>
      <c r="T146" s="28">
        <v>1</v>
      </c>
      <c r="U146" s="28">
        <v>1</v>
      </c>
      <c r="V146" s="28">
        <v>1</v>
      </c>
      <c r="W146" s="28">
        <v>1</v>
      </c>
      <c r="X146" s="28">
        <v>0</v>
      </c>
      <c r="Y146" s="28">
        <v>0</v>
      </c>
      <c r="Z146" s="28">
        <v>1</v>
      </c>
      <c r="AA146" s="28">
        <v>1</v>
      </c>
      <c r="AB146" s="28">
        <v>1</v>
      </c>
      <c r="AC146" s="28">
        <v>1</v>
      </c>
      <c r="AD146" s="28">
        <v>1</v>
      </c>
      <c r="AE146" s="28">
        <v>0</v>
      </c>
      <c r="AF146" s="28">
        <v>0</v>
      </c>
      <c r="AG146" s="28">
        <v>1</v>
      </c>
      <c r="AH146" s="28">
        <v>1</v>
      </c>
      <c r="AI146" s="28">
        <v>1</v>
      </c>
      <c r="AJ146" s="28">
        <v>1</v>
      </c>
      <c r="AK146" s="28">
        <v>1</v>
      </c>
      <c r="AL146" s="28">
        <v>0</v>
      </c>
      <c r="AM146" s="28">
        <v>0</v>
      </c>
      <c r="AN146" s="28">
        <v>1</v>
      </c>
      <c r="AO146" s="28">
        <v>1</v>
      </c>
      <c r="AP146" s="28">
        <v>1</v>
      </c>
      <c r="AQ146" s="28">
        <v>1</v>
      </c>
      <c r="AR146" s="28">
        <v>1</v>
      </c>
      <c r="AS146" s="28">
        <v>0</v>
      </c>
      <c r="AT146" s="28">
        <v>0</v>
      </c>
      <c r="AU146" s="28">
        <v>1</v>
      </c>
      <c r="AV146" s="28">
        <v>1</v>
      </c>
      <c r="AW146" s="28">
        <v>1</v>
      </c>
      <c r="AX146" s="28">
        <v>1</v>
      </c>
      <c r="AY146" s="28">
        <v>1</v>
      </c>
      <c r="AZ146" s="28">
        <v>0</v>
      </c>
      <c r="BA146" s="28">
        <v>0</v>
      </c>
      <c r="BB146" s="28">
        <v>1</v>
      </c>
      <c r="BC146" s="28">
        <v>1</v>
      </c>
      <c r="BD146" s="28">
        <v>1</v>
      </c>
      <c r="BE146" s="28">
        <v>1</v>
      </c>
      <c r="BF146" s="28">
        <v>1</v>
      </c>
      <c r="BG146" s="28">
        <v>0</v>
      </c>
      <c r="BH146" s="28">
        <v>0</v>
      </c>
      <c r="BI146" s="28">
        <v>1</v>
      </c>
      <c r="BJ146" s="28">
        <v>1</v>
      </c>
      <c r="BK146" s="28">
        <v>1</v>
      </c>
      <c r="BL146" s="28">
        <v>1</v>
      </c>
      <c r="BM146" s="28">
        <v>1</v>
      </c>
      <c r="BN146" s="28">
        <v>1</v>
      </c>
      <c r="BO146" s="28">
        <v>1</v>
      </c>
      <c r="BP146" s="28">
        <v>1</v>
      </c>
      <c r="BQ146" s="28">
        <v>1</v>
      </c>
      <c r="BR146" s="28">
        <v>1</v>
      </c>
      <c r="BS146" s="28">
        <v>1</v>
      </c>
      <c r="BT146" s="28">
        <v>1</v>
      </c>
      <c r="BU146" s="28">
        <v>1</v>
      </c>
      <c r="BV146" s="28">
        <v>1</v>
      </c>
      <c r="BW146" s="28">
        <v>1</v>
      </c>
      <c r="BX146" s="28">
        <v>1</v>
      </c>
      <c r="BY146" s="28">
        <v>1</v>
      </c>
      <c r="BZ146" s="28">
        <v>1</v>
      </c>
      <c r="CA146" s="28">
        <v>1</v>
      </c>
      <c r="CB146" s="28">
        <v>1</v>
      </c>
      <c r="CC146" s="28">
        <v>1</v>
      </c>
      <c r="CD146" s="28">
        <v>1</v>
      </c>
      <c r="CE146" s="28">
        <v>1</v>
      </c>
      <c r="CF146" s="28">
        <v>1</v>
      </c>
      <c r="CG146" s="28">
        <v>1</v>
      </c>
      <c r="CH146" s="28">
        <v>1</v>
      </c>
      <c r="CI146" s="28">
        <v>1</v>
      </c>
      <c r="CJ146" s="28">
        <v>1</v>
      </c>
      <c r="CK146" s="28">
        <v>1</v>
      </c>
      <c r="CL146" s="28">
        <v>1</v>
      </c>
      <c r="CM146" s="28">
        <v>1</v>
      </c>
      <c r="CN146" s="28">
        <v>1</v>
      </c>
      <c r="CO146" s="28">
        <v>1</v>
      </c>
      <c r="CP146" s="28">
        <v>1</v>
      </c>
      <c r="CQ146" s="28">
        <v>1</v>
      </c>
      <c r="CR146" s="28">
        <v>1</v>
      </c>
      <c r="CS146" s="28">
        <v>1</v>
      </c>
      <c r="CT146" s="28">
        <v>1</v>
      </c>
      <c r="CU146" s="28">
        <v>1</v>
      </c>
      <c r="CV146" s="28">
        <v>1</v>
      </c>
      <c r="CW146" s="28">
        <v>1</v>
      </c>
      <c r="CX146" s="8" t="s">
        <v>74</v>
      </c>
    </row>
    <row r="147" spans="1:102" x14ac:dyDescent="0.25">
      <c r="A147" s="20" t="s">
        <v>32</v>
      </c>
      <c r="B147" s="21">
        <f>G147+H147+I147</f>
      </c>
      <c r="C147" s="20" t="s">
        <v>75</v>
      </c>
      <c r="D147" s="22">
        <f>K147</f>
      </c>
      <c r="F147" s="20" t="s">
        <v>34</v>
      </c>
      <c r="G147" s="21">
        <f>B150</f>
      </c>
      <c r="H147" s="21">
        <f>B151</f>
      </c>
      <c r="I147" s="21">
        <f>B152</f>
      </c>
      <c r="J147" s="21">
        <f>B153</f>
      </c>
      <c r="K147" s="22">
        <f>D150+D151+D152</f>
      </c>
      <c r="CX147" s="20" t="s">
        <v>76</v>
      </c>
    </row>
    <row r="148" spans="6:102" x14ac:dyDescent="0.25">
      <c r="F148" s="23" t="s">
        <v>36</v>
      </c>
      <c r="L148" s="24">
        <v>1</v>
      </c>
      <c r="M148" s="24">
        <v>1</v>
      </c>
      <c r="N148" s="24">
        <v>1</v>
      </c>
      <c r="O148" s="24">
        <v>1</v>
      </c>
      <c r="P148" s="24">
        <v>1</v>
      </c>
      <c r="Q148" s="24">
        <v>0</v>
      </c>
      <c r="R148" s="24">
        <v>0</v>
      </c>
      <c r="S148" s="24">
        <v>1</v>
      </c>
      <c r="T148" s="24">
        <v>1</v>
      </c>
      <c r="U148" s="24">
        <v>1</v>
      </c>
      <c r="V148" s="24">
        <v>1</v>
      </c>
      <c r="W148" s="24">
        <v>1</v>
      </c>
      <c r="X148" s="24">
        <v>0</v>
      </c>
      <c r="Y148" s="24">
        <v>0</v>
      </c>
      <c r="Z148" s="24">
        <v>1</v>
      </c>
      <c r="AA148" s="24">
        <v>1</v>
      </c>
      <c r="AB148" s="24">
        <v>1</v>
      </c>
      <c r="AC148" s="24">
        <v>1</v>
      </c>
      <c r="AD148" s="24">
        <v>1</v>
      </c>
      <c r="AE148" s="24">
        <v>0</v>
      </c>
      <c r="AF148" s="24">
        <v>0</v>
      </c>
      <c r="AG148" s="24">
        <v>1</v>
      </c>
      <c r="AH148" s="24">
        <v>1</v>
      </c>
      <c r="AI148" s="24">
        <v>1</v>
      </c>
      <c r="AJ148" s="24">
        <v>1</v>
      </c>
      <c r="AK148" s="24">
        <v>1</v>
      </c>
      <c r="AL148" s="24">
        <v>0</v>
      </c>
      <c r="AM148" s="24">
        <v>0</v>
      </c>
      <c r="AN148" s="24">
        <v>1</v>
      </c>
      <c r="AO148" s="24">
        <v>1</v>
      </c>
      <c r="AP148" s="24">
        <v>1</v>
      </c>
      <c r="AQ148" s="24">
        <v>1</v>
      </c>
      <c r="AR148" s="24">
        <v>1</v>
      </c>
      <c r="AS148" s="24">
        <v>0</v>
      </c>
      <c r="AT148" s="24">
        <v>0</v>
      </c>
      <c r="AU148" s="24">
        <v>1</v>
      </c>
      <c r="AV148" s="24">
        <v>1</v>
      </c>
      <c r="AW148" s="24">
        <v>1</v>
      </c>
      <c r="AX148" s="24">
        <v>1</v>
      </c>
      <c r="AY148" s="24">
        <v>1</v>
      </c>
      <c r="AZ148" s="24">
        <v>0</v>
      </c>
      <c r="BA148" s="24">
        <v>0</v>
      </c>
      <c r="BB148" s="24">
        <v>1</v>
      </c>
      <c r="BC148" s="24">
        <v>1</v>
      </c>
      <c r="BD148" s="24">
        <v>1</v>
      </c>
      <c r="BE148" s="24">
        <v>1</v>
      </c>
      <c r="BF148" s="24">
        <v>1</v>
      </c>
      <c r="BG148" s="24">
        <v>0</v>
      </c>
      <c r="BH148" s="24">
        <v>0</v>
      </c>
      <c r="BI148" s="24">
        <v>1</v>
      </c>
      <c r="BJ148" s="24">
        <v>1</v>
      </c>
      <c r="BK148" s="24">
        <v>1</v>
      </c>
      <c r="BL148" s="24">
        <v>1</v>
      </c>
      <c r="BM148" s="24">
        <v>1</v>
      </c>
      <c r="BN148" s="24">
        <v>1</v>
      </c>
      <c r="BO148" s="24">
        <v>1</v>
      </c>
      <c r="BP148" s="24">
        <v>1</v>
      </c>
      <c r="BQ148" s="24">
        <v>1</v>
      </c>
      <c r="BR148" s="24">
        <v>1</v>
      </c>
      <c r="BS148" s="24">
        <v>1</v>
      </c>
      <c r="BT148" s="24">
        <v>1</v>
      </c>
      <c r="BU148" s="24">
        <v>1</v>
      </c>
      <c r="BV148" s="24">
        <v>1</v>
      </c>
      <c r="BW148" s="24">
        <v>1</v>
      </c>
      <c r="BX148" s="24">
        <v>1</v>
      </c>
      <c r="BY148" s="24">
        <v>1</v>
      </c>
      <c r="BZ148" s="24">
        <v>1</v>
      </c>
      <c r="CA148" s="24">
        <v>1</v>
      </c>
      <c r="CB148" s="24">
        <v>1</v>
      </c>
      <c r="CC148" s="24">
        <v>1</v>
      </c>
      <c r="CD148" s="24">
        <v>1</v>
      </c>
      <c r="CE148" s="24">
        <v>1</v>
      </c>
      <c r="CF148" s="24">
        <v>1</v>
      </c>
      <c r="CG148" s="24">
        <v>1</v>
      </c>
      <c r="CH148" s="24">
        <v>1</v>
      </c>
      <c r="CI148" s="24">
        <v>1</v>
      </c>
      <c r="CJ148" s="24">
        <v>1</v>
      </c>
      <c r="CK148" s="24">
        <v>1</v>
      </c>
      <c r="CL148" s="24">
        <v>1</v>
      </c>
      <c r="CM148" s="24">
        <v>1</v>
      </c>
      <c r="CN148" s="24">
        <v>1</v>
      </c>
      <c r="CO148" s="24">
        <v>1</v>
      </c>
      <c r="CP148" s="24">
        <v>1</v>
      </c>
      <c r="CQ148" s="24">
        <v>1</v>
      </c>
      <c r="CR148" s="24">
        <v>1</v>
      </c>
      <c r="CS148" s="24">
        <v>1</v>
      </c>
      <c r="CT148" s="24">
        <v>1</v>
      </c>
      <c r="CU148" s="24">
        <v>1</v>
      </c>
      <c r="CV148" s="24">
        <v>1</v>
      </c>
      <c r="CW148" s="24">
        <v>1</v>
      </c>
      <c r="CX148" s="23" t="s">
        <v>76</v>
      </c>
    </row>
    <row r="149" spans="1:102" x14ac:dyDescent="0.25">
      <c r="A149" s="23" t="s">
        <v>37</v>
      </c>
      <c r="F149" s="23" t="s">
        <v>38</v>
      </c>
      <c r="L149" s="25">
        <v>8</v>
      </c>
      <c r="M149" s="25">
        <v>8</v>
      </c>
      <c r="N149" s="25">
        <v>8</v>
      </c>
      <c r="O149" s="25">
        <v>8</v>
      </c>
      <c r="P149" s="25">
        <v>8</v>
      </c>
      <c r="Q149" s="25">
        <v>0</v>
      </c>
      <c r="R149" s="25">
        <v>0</v>
      </c>
      <c r="S149" s="25">
        <v>8</v>
      </c>
      <c r="T149" s="25">
        <v>8</v>
      </c>
      <c r="U149" s="25">
        <v>8</v>
      </c>
      <c r="V149" s="25">
        <v>8</v>
      </c>
      <c r="W149" s="25">
        <v>8</v>
      </c>
      <c r="X149" s="25">
        <v>0</v>
      </c>
      <c r="Y149" s="25">
        <v>0</v>
      </c>
      <c r="Z149" s="25">
        <v>8</v>
      </c>
      <c r="AA149" s="25">
        <v>8</v>
      </c>
      <c r="AB149" s="25">
        <v>8</v>
      </c>
      <c r="AC149" s="25">
        <v>8</v>
      </c>
      <c r="AD149" s="25">
        <v>8</v>
      </c>
      <c r="AE149" s="25">
        <v>0</v>
      </c>
      <c r="AF149" s="25">
        <v>0</v>
      </c>
      <c r="AG149" s="25">
        <v>8</v>
      </c>
      <c r="AH149" s="25">
        <v>8</v>
      </c>
      <c r="AI149" s="25">
        <v>8</v>
      </c>
      <c r="AJ149" s="25">
        <v>8</v>
      </c>
      <c r="AK149" s="25">
        <v>8</v>
      </c>
      <c r="AL149" s="25">
        <v>0</v>
      </c>
      <c r="AM149" s="25">
        <v>0</v>
      </c>
      <c r="AN149" s="25">
        <v>8</v>
      </c>
      <c r="AO149" s="25">
        <v>8</v>
      </c>
      <c r="AP149" s="25">
        <v>8</v>
      </c>
      <c r="AQ149" s="25">
        <v>8</v>
      </c>
      <c r="AR149" s="25">
        <v>8</v>
      </c>
      <c r="AS149" s="25">
        <v>0</v>
      </c>
      <c r="AT149" s="25">
        <v>0</v>
      </c>
      <c r="AU149" s="25">
        <v>8</v>
      </c>
      <c r="AV149" s="25">
        <v>8</v>
      </c>
      <c r="AW149" s="25">
        <v>8</v>
      </c>
      <c r="AX149" s="25">
        <v>8</v>
      </c>
      <c r="AY149" s="25">
        <v>8</v>
      </c>
      <c r="AZ149" s="25">
        <v>0</v>
      </c>
      <c r="BA149" s="25">
        <v>0</v>
      </c>
      <c r="BB149" s="25">
        <v>8</v>
      </c>
      <c r="BC149" s="25">
        <v>8</v>
      </c>
      <c r="BD149" s="25">
        <v>8</v>
      </c>
      <c r="BE149" s="25">
        <v>8</v>
      </c>
      <c r="BF149" s="25">
        <v>8</v>
      </c>
      <c r="BG149" s="25">
        <v>0</v>
      </c>
      <c r="BH149" s="25">
        <v>0</v>
      </c>
      <c r="BI149" s="25">
        <v>13</v>
      </c>
      <c r="BJ149" s="25">
        <v>13</v>
      </c>
      <c r="BK149" s="25">
        <v>13</v>
      </c>
      <c r="BL149" s="25">
        <v>13</v>
      </c>
      <c r="BM149" s="25">
        <v>13</v>
      </c>
      <c r="BN149" s="25">
        <v>13</v>
      </c>
      <c r="BO149" s="25">
        <v>13</v>
      </c>
      <c r="BP149" s="25">
        <v>13</v>
      </c>
      <c r="BQ149" s="25">
        <v>13</v>
      </c>
      <c r="BR149" s="25">
        <v>13</v>
      </c>
      <c r="BS149" s="25">
        <v>13</v>
      </c>
      <c r="BT149" s="25">
        <v>13</v>
      </c>
      <c r="BU149" s="25">
        <v>13</v>
      </c>
      <c r="BV149" s="25">
        <v>13</v>
      </c>
      <c r="BW149" s="25">
        <v>13</v>
      </c>
      <c r="BX149" s="25">
        <v>13</v>
      </c>
      <c r="BY149" s="25">
        <v>13</v>
      </c>
      <c r="BZ149" s="25">
        <v>13</v>
      </c>
      <c r="CA149" s="25">
        <v>13</v>
      </c>
      <c r="CB149" s="25">
        <v>13</v>
      </c>
      <c r="CC149" s="25">
        <v>13</v>
      </c>
      <c r="CD149" s="25">
        <v>13</v>
      </c>
      <c r="CE149" s="25">
        <v>13</v>
      </c>
      <c r="CF149" s="25">
        <v>13</v>
      </c>
      <c r="CG149" s="25">
        <v>13</v>
      </c>
      <c r="CH149" s="25">
        <v>13</v>
      </c>
      <c r="CI149" s="25">
        <v>13</v>
      </c>
      <c r="CJ149" s="25">
        <v>13</v>
      </c>
      <c r="CK149" s="25">
        <v>13</v>
      </c>
      <c r="CL149" s="25">
        <v>13</v>
      </c>
      <c r="CM149" s="25">
        <v>13</v>
      </c>
      <c r="CN149" s="25">
        <v>13</v>
      </c>
      <c r="CO149" s="25">
        <v>13</v>
      </c>
      <c r="CP149" s="25">
        <v>13</v>
      </c>
      <c r="CQ149" s="25">
        <v>13</v>
      </c>
      <c r="CR149" s="25">
        <v>13</v>
      </c>
      <c r="CS149" s="25">
        <v>13</v>
      </c>
      <c r="CT149" s="25">
        <v>13</v>
      </c>
      <c r="CU149" s="25">
        <v>13</v>
      </c>
      <c r="CV149" s="25">
        <v>13</v>
      </c>
      <c r="CW149" s="25">
        <v>13</v>
      </c>
      <c r="CX149" s="23" t="s">
        <v>76</v>
      </c>
    </row>
    <row r="150" spans="2:102" x14ac:dyDescent="0.25">
      <c r="B150" s="26">
        <f>SUM(L150:CW150)</f>
      </c>
      <c r="D150" s="27">
        <f>B150*E150</f>
      </c>
      <c r="E150" s="27">
        <f>'Rate Tables'!C20</f>
      </c>
      <c r="F150" s="8" t="s">
        <v>39</v>
      </c>
      <c r="L150" s="26">
        <f>IF(L$6="","",IF(WEEKDAY(L$6,1)=1,0,MIN(8,L149)*L148))</f>
      </c>
      <c r="M150" s="26">
        <f>IF(M$6="","",IF(WEEKDAY(M$6,1)=1,0,MIN(8,M149)*M148))</f>
      </c>
      <c r="N150" s="26">
        <f>IF(N$6="","",IF(WEEKDAY(N$6,1)=1,0,MIN(8,N149)*N148))</f>
      </c>
      <c r="O150" s="26">
        <f>IF(O$6="","",IF(WEEKDAY(O$6,1)=1,0,MIN(8,O149)*O148))</f>
      </c>
      <c r="P150" s="26">
        <f>IF(P$6="","",IF(WEEKDAY(P$6,1)=1,0,MIN(8,P149)*P148))</f>
      </c>
      <c r="Q150" s="26">
        <f>IF(Q$6="","",IF(WEEKDAY(Q$6,1)=1,0,MIN(8,Q149)*Q148))</f>
      </c>
      <c r="R150" s="26">
        <f>IF(R$6="","",IF(WEEKDAY(R$6,1)=1,0,MIN(8,R149)*R148))</f>
      </c>
      <c r="S150" s="26">
        <f>IF(S$6="","",IF(WEEKDAY(S$6,1)=1,0,MIN(8,S149)*S148))</f>
      </c>
      <c r="T150" s="26">
        <f>IF(T$6="","",IF(WEEKDAY(T$6,1)=1,0,MIN(8,T149)*T148))</f>
      </c>
      <c r="U150" s="26">
        <f>IF(U$6="","",IF(WEEKDAY(U$6,1)=1,0,MIN(8,U149)*U148))</f>
      </c>
      <c r="V150" s="26">
        <f>IF(V$6="","",IF(WEEKDAY(V$6,1)=1,0,MIN(8,V149)*V148))</f>
      </c>
      <c r="W150" s="26">
        <f>IF(W$6="","",IF(WEEKDAY(W$6,1)=1,0,MIN(8,W149)*W148))</f>
      </c>
      <c r="X150" s="26">
        <f>IF(X$6="","",IF(WEEKDAY(X$6,1)=1,0,MIN(8,X149)*X148))</f>
      </c>
      <c r="Y150" s="26">
        <f>IF(Y$6="","",IF(WEEKDAY(Y$6,1)=1,0,MIN(8,Y149)*Y148))</f>
      </c>
      <c r="Z150" s="26">
        <f>IF(Z$6="","",IF(WEEKDAY(Z$6,1)=1,0,MIN(8,Z149)*Z148))</f>
      </c>
      <c r="AA150" s="26">
        <f>IF(AA$6="","",IF(WEEKDAY(AA$6,1)=1,0,MIN(8,AA149)*AA148))</f>
      </c>
      <c r="AB150" s="26">
        <f>IF(AB$6="","",IF(WEEKDAY(AB$6,1)=1,0,MIN(8,AB149)*AB148))</f>
      </c>
      <c r="AC150" s="26">
        <f>IF(AC$6="","",IF(WEEKDAY(AC$6,1)=1,0,MIN(8,AC149)*AC148))</f>
      </c>
      <c r="AD150" s="26">
        <f>IF(AD$6="","",IF(WEEKDAY(AD$6,1)=1,0,MIN(8,AD149)*AD148))</f>
      </c>
      <c r="AE150" s="26">
        <f>IF(AE$6="","",IF(WEEKDAY(AE$6,1)=1,0,MIN(8,AE149)*AE148))</f>
      </c>
      <c r="AF150" s="26">
        <f>IF(AF$6="","",IF(WEEKDAY(AF$6,1)=1,0,MIN(8,AF149)*AF148))</f>
      </c>
      <c r="AG150" s="26">
        <f>IF(AG$6="","",IF(WEEKDAY(AG$6,1)=1,0,MIN(8,AG149)*AG148))</f>
      </c>
      <c r="AH150" s="26">
        <f>IF(AH$6="","",IF(WEEKDAY(AH$6,1)=1,0,MIN(8,AH149)*AH148))</f>
      </c>
      <c r="AI150" s="26">
        <f>IF(AI$6="","",IF(WEEKDAY(AI$6,1)=1,0,MIN(8,AI149)*AI148))</f>
      </c>
      <c r="AJ150" s="26">
        <f>IF(AJ$6="","",IF(WEEKDAY(AJ$6,1)=1,0,MIN(8,AJ149)*AJ148))</f>
      </c>
      <c r="AK150" s="26">
        <f>IF(AK$6="","",IF(WEEKDAY(AK$6,1)=1,0,MIN(8,AK149)*AK148))</f>
      </c>
      <c r="AL150" s="26">
        <f>IF(AL$6="","",IF(WEEKDAY(AL$6,1)=1,0,MIN(8,AL149)*AL148))</f>
      </c>
      <c r="AM150" s="26">
        <f>IF(AM$6="","",IF(WEEKDAY(AM$6,1)=1,0,MIN(8,AM149)*AM148))</f>
      </c>
      <c r="AN150" s="26">
        <f>IF(AN$6="","",IF(WEEKDAY(AN$6,1)=1,0,MIN(8,AN149)*AN148))</f>
      </c>
      <c r="AO150" s="26">
        <f>IF(AO$6="","",IF(WEEKDAY(AO$6,1)=1,0,MIN(8,AO149)*AO148))</f>
      </c>
      <c r="AP150" s="26">
        <f>IF(AP$6="","",IF(WEEKDAY(AP$6,1)=1,0,MIN(8,AP149)*AP148))</f>
      </c>
      <c r="AQ150" s="26">
        <f>IF(AQ$6="","",IF(WEEKDAY(AQ$6,1)=1,0,MIN(8,AQ149)*AQ148))</f>
      </c>
      <c r="AR150" s="26">
        <f>IF(AR$6="","",IF(WEEKDAY(AR$6,1)=1,0,MIN(8,AR149)*AR148))</f>
      </c>
      <c r="AS150" s="26">
        <f>IF(AS$6="","",IF(WEEKDAY(AS$6,1)=1,0,MIN(8,AS149)*AS148))</f>
      </c>
      <c r="AT150" s="26">
        <f>IF(AT$6="","",IF(WEEKDAY(AT$6,1)=1,0,MIN(8,AT149)*AT148))</f>
      </c>
      <c r="AU150" s="26">
        <f>IF(AU$6="","",IF(WEEKDAY(AU$6,1)=1,0,MIN(8,AU149)*AU148))</f>
      </c>
      <c r="AV150" s="26">
        <f>IF(AV$6="","",IF(WEEKDAY(AV$6,1)=1,0,MIN(8,AV149)*AV148))</f>
      </c>
      <c r="AW150" s="26">
        <f>IF(AW$6="","",IF(WEEKDAY(AW$6,1)=1,0,MIN(8,AW149)*AW148))</f>
      </c>
      <c r="AX150" s="26">
        <f>IF(AX$6="","",IF(WEEKDAY(AX$6,1)=1,0,MIN(8,AX149)*AX148))</f>
      </c>
      <c r="AY150" s="26">
        <f>IF(AY$6="","",IF(WEEKDAY(AY$6,1)=1,0,MIN(8,AY149)*AY148))</f>
      </c>
      <c r="AZ150" s="26">
        <f>IF(AZ$6="","",IF(WEEKDAY(AZ$6,1)=1,0,MIN(8,AZ149)*AZ148))</f>
      </c>
      <c r="BA150" s="26">
        <f>IF(BA$6="","",IF(WEEKDAY(BA$6,1)=1,0,MIN(8,BA149)*BA148))</f>
      </c>
      <c r="BB150" s="26">
        <f>IF(BB$6="","",IF(WEEKDAY(BB$6,1)=1,0,MIN(8,BB149)*BB148))</f>
      </c>
      <c r="BC150" s="26">
        <f>IF(BC$6="","",IF(WEEKDAY(BC$6,1)=1,0,MIN(8,BC149)*BC148))</f>
      </c>
      <c r="BD150" s="26">
        <f>IF(BD$6="","",IF(WEEKDAY(BD$6,1)=1,0,MIN(8,BD149)*BD148))</f>
      </c>
      <c r="BE150" s="26">
        <f>IF(BE$6="","",IF(WEEKDAY(BE$6,1)=1,0,MIN(8,BE149)*BE148))</f>
      </c>
      <c r="BF150" s="26">
        <f>IF(BF$6="","",IF(WEEKDAY(BF$6,1)=1,0,MIN(8,BF149)*BF148))</f>
      </c>
      <c r="BG150" s="26">
        <f>IF(BG$6="","",IF(WEEKDAY(BG$6,1)=1,0,MIN(8,BG149)*BG148))</f>
      </c>
      <c r="BH150" s="26">
        <f>IF(BH$6="","",IF(WEEKDAY(BH$6,1)=1,0,MIN(8,BH149)*BH148))</f>
      </c>
      <c r="BI150" s="26">
        <f>IF(BI$6="","",IF(WEEKDAY(BI$6,1)=1,0,MIN(8,BI149)*BI148))</f>
      </c>
      <c r="BJ150" s="26">
        <f>IF(BJ$6="","",IF(WEEKDAY(BJ$6,1)=1,0,MIN(8,BJ149)*BJ148))</f>
      </c>
      <c r="BK150" s="26">
        <f>IF(BK$6="","",IF(WEEKDAY(BK$6,1)=1,0,MIN(8,BK149)*BK148))</f>
      </c>
      <c r="BL150" s="26">
        <f>IF(BL$6="","",IF(WEEKDAY(BL$6,1)=1,0,MIN(8,BL149)*BL148))</f>
      </c>
      <c r="BM150" s="26">
        <f>IF(BM$6="","",IF(WEEKDAY(BM$6,1)=1,0,MIN(8,BM149)*BM148))</f>
      </c>
      <c r="BN150" s="26">
        <f>IF(BN$6="","",IF(WEEKDAY(BN$6,1)=1,0,MIN(8,BN149)*BN148))</f>
      </c>
      <c r="BO150" s="26">
        <f>IF(BO$6="","",IF(WEEKDAY(BO$6,1)=1,0,MIN(8,BO149)*BO148))</f>
      </c>
      <c r="BP150" s="26">
        <f>IF(BP$6="","",IF(WEEKDAY(BP$6,1)=1,0,MIN(8,BP149)*BP148))</f>
      </c>
      <c r="BQ150" s="26">
        <f>IF(BQ$6="","",IF(WEEKDAY(BQ$6,1)=1,0,MIN(8,BQ149)*BQ148))</f>
      </c>
      <c r="BR150" s="26">
        <f>IF(BR$6="","",IF(WEEKDAY(BR$6,1)=1,0,MIN(8,BR149)*BR148))</f>
      </c>
      <c r="BS150" s="26">
        <f>IF(BS$6="","",IF(WEEKDAY(BS$6,1)=1,0,MIN(8,BS149)*BS148))</f>
      </c>
      <c r="BT150" s="26">
        <f>IF(BT$6="","",IF(WEEKDAY(BT$6,1)=1,0,MIN(8,BT149)*BT148))</f>
      </c>
      <c r="BU150" s="26">
        <f>IF(BU$6="","",IF(WEEKDAY(BU$6,1)=1,0,MIN(8,BU149)*BU148))</f>
      </c>
      <c r="BV150" s="26">
        <f>IF(BV$6="","",IF(WEEKDAY(BV$6,1)=1,0,MIN(8,BV149)*BV148))</f>
      </c>
      <c r="BW150" s="26">
        <f>IF(BW$6="","",IF(WEEKDAY(BW$6,1)=1,0,MIN(8,BW149)*BW148))</f>
      </c>
      <c r="BX150" s="26">
        <f>IF(BX$6="","",IF(WEEKDAY(BX$6,1)=1,0,MIN(8,BX149)*BX148))</f>
      </c>
      <c r="BY150" s="26">
        <f>IF(BY$6="","",IF(WEEKDAY(BY$6,1)=1,0,MIN(8,BY149)*BY148))</f>
      </c>
      <c r="BZ150" s="26">
        <f>IF(BZ$6="","",IF(WEEKDAY(BZ$6,1)=1,0,MIN(8,BZ149)*BZ148))</f>
      </c>
      <c r="CA150" s="26">
        <f>IF(CA$6="","",IF(WEEKDAY(CA$6,1)=1,0,MIN(8,CA149)*CA148))</f>
      </c>
      <c r="CB150" s="26">
        <f>IF(CB$6="","",IF(WEEKDAY(CB$6,1)=1,0,MIN(8,CB149)*CB148))</f>
      </c>
      <c r="CC150" s="26">
        <f>IF(CC$6="","",IF(WEEKDAY(CC$6,1)=1,0,MIN(8,CC149)*CC148))</f>
      </c>
      <c r="CD150" s="26">
        <f>IF(CD$6="","",IF(WEEKDAY(CD$6,1)=1,0,MIN(8,CD149)*CD148))</f>
      </c>
      <c r="CE150" s="26">
        <f>IF(CE$6="","",IF(WEEKDAY(CE$6,1)=1,0,MIN(8,CE149)*CE148))</f>
      </c>
      <c r="CF150" s="26">
        <f>IF(CF$6="","",IF(WEEKDAY(CF$6,1)=1,0,MIN(8,CF149)*CF148))</f>
      </c>
      <c r="CG150" s="26">
        <f>IF(CG$6="","",IF(WEEKDAY(CG$6,1)=1,0,MIN(8,CG149)*CG148))</f>
      </c>
      <c r="CH150" s="26">
        <f>IF(CH$6="","",IF(WEEKDAY(CH$6,1)=1,0,MIN(8,CH149)*CH148))</f>
      </c>
      <c r="CI150" s="26">
        <f>IF(CI$6="","",IF(WEEKDAY(CI$6,1)=1,0,MIN(8,CI149)*CI148))</f>
      </c>
      <c r="CJ150" s="26">
        <f>IF(CJ$6="","",IF(WEEKDAY(CJ$6,1)=1,0,MIN(8,CJ149)*CJ148))</f>
      </c>
      <c r="CK150" s="26">
        <f>IF(CK$6="","",IF(WEEKDAY(CK$6,1)=1,0,MIN(8,CK149)*CK148))</f>
      </c>
      <c r="CL150" s="26">
        <f>IF(CL$6="","",IF(WEEKDAY(CL$6,1)=1,0,MIN(8,CL149)*CL148))</f>
      </c>
      <c r="CM150" s="26">
        <f>IF(CM$6="","",IF(WEEKDAY(CM$6,1)=1,0,MIN(8,CM149)*CM148))</f>
      </c>
      <c r="CN150" s="26">
        <f>IF(CN$6="","",IF(WEEKDAY(CN$6,1)=1,0,MIN(8,CN149)*CN148))</f>
      </c>
      <c r="CO150" s="26">
        <f>IF(CO$6="","",IF(WEEKDAY(CO$6,1)=1,0,MIN(8,CO149)*CO148))</f>
      </c>
      <c r="CP150" s="26">
        <f>IF(CP$6="","",IF(WEEKDAY(CP$6,1)=1,0,MIN(8,CP149)*CP148))</f>
      </c>
      <c r="CQ150" s="26">
        <f>IF(CQ$6="","",IF(WEEKDAY(CQ$6,1)=1,0,MIN(8,CQ149)*CQ148))</f>
      </c>
      <c r="CR150" s="26">
        <f>IF(CR$6="","",IF(WEEKDAY(CR$6,1)=1,0,MIN(8,CR149)*CR148))</f>
      </c>
      <c r="CS150" s="26">
        <f>IF(CS$6="","",IF(WEEKDAY(CS$6,1)=1,0,MIN(8,CS149)*CS148))</f>
      </c>
      <c r="CT150" s="26">
        <f>IF(CT$6="","",IF(WEEKDAY(CT$6,1)=1,0,MIN(8,CT149)*CT148))</f>
      </c>
      <c r="CU150" s="26">
        <f>IF(CU$6="","",IF(WEEKDAY(CU$6,1)=1,0,MIN(8,CU149)*CU148))</f>
      </c>
      <c r="CV150" s="26">
        <f>IF(CV$6="","",IF(WEEKDAY(CV$6,1)=1,0,MIN(8,CV149)*CV148))</f>
      </c>
      <c r="CW150" s="26">
        <f>IF(CW$6="","",IF(WEEKDAY(CW$6,1)=1,0,MIN(8,CW149)*CW148))</f>
      </c>
      <c r="CX150" s="8" t="s">
        <v>76</v>
      </c>
    </row>
    <row r="151" spans="2:102" x14ac:dyDescent="0.25">
      <c r="B151" s="26">
        <f>SUM(L151:CW151)</f>
      </c>
      <c r="D151" s="27">
        <f>B151*E151</f>
      </c>
      <c r="E151" s="27">
        <f>'Rate Tables'!D20</f>
      </c>
      <c r="F151" s="8" t="s">
        <v>40</v>
      </c>
      <c r="L151" s="26">
        <f>IF(L$6="","",IF(WEEKDAY(L$6,1)=1,0,MAX(0,L149-8)*L148))</f>
      </c>
      <c r="M151" s="26">
        <f>IF(M$6="","",IF(WEEKDAY(M$6,1)=1,0,MAX(0,M149-8)*M148))</f>
      </c>
      <c r="N151" s="26">
        <f>IF(N$6="","",IF(WEEKDAY(N$6,1)=1,0,MAX(0,N149-8)*N148))</f>
      </c>
      <c r="O151" s="26">
        <f>IF(O$6="","",IF(WEEKDAY(O$6,1)=1,0,MAX(0,O149-8)*O148))</f>
      </c>
      <c r="P151" s="26">
        <f>IF(P$6="","",IF(WEEKDAY(P$6,1)=1,0,MAX(0,P149-8)*P148))</f>
      </c>
      <c r="Q151" s="26">
        <f>IF(Q$6="","",IF(WEEKDAY(Q$6,1)=1,0,MAX(0,Q149-8)*Q148))</f>
      </c>
      <c r="R151" s="26">
        <f>IF(R$6="","",IF(WEEKDAY(R$6,1)=1,0,MAX(0,R149-8)*R148))</f>
      </c>
      <c r="S151" s="26">
        <f>IF(S$6="","",IF(WEEKDAY(S$6,1)=1,0,MAX(0,S149-8)*S148))</f>
      </c>
      <c r="T151" s="26">
        <f>IF(T$6="","",IF(WEEKDAY(T$6,1)=1,0,MAX(0,T149-8)*T148))</f>
      </c>
      <c r="U151" s="26">
        <f>IF(U$6="","",IF(WEEKDAY(U$6,1)=1,0,MAX(0,U149-8)*U148))</f>
      </c>
      <c r="V151" s="26">
        <f>IF(V$6="","",IF(WEEKDAY(V$6,1)=1,0,MAX(0,V149-8)*V148))</f>
      </c>
      <c r="W151" s="26">
        <f>IF(W$6="","",IF(WEEKDAY(W$6,1)=1,0,MAX(0,W149-8)*W148))</f>
      </c>
      <c r="X151" s="26">
        <f>IF(X$6="","",IF(WEEKDAY(X$6,1)=1,0,MAX(0,X149-8)*X148))</f>
      </c>
      <c r="Y151" s="26">
        <f>IF(Y$6="","",IF(WEEKDAY(Y$6,1)=1,0,MAX(0,Y149-8)*Y148))</f>
      </c>
      <c r="Z151" s="26">
        <f>IF(Z$6="","",IF(WEEKDAY(Z$6,1)=1,0,MAX(0,Z149-8)*Z148))</f>
      </c>
      <c r="AA151" s="26">
        <f>IF(AA$6="","",IF(WEEKDAY(AA$6,1)=1,0,MAX(0,AA149-8)*AA148))</f>
      </c>
      <c r="AB151" s="26">
        <f>IF(AB$6="","",IF(WEEKDAY(AB$6,1)=1,0,MAX(0,AB149-8)*AB148))</f>
      </c>
      <c r="AC151" s="26">
        <f>IF(AC$6="","",IF(WEEKDAY(AC$6,1)=1,0,MAX(0,AC149-8)*AC148))</f>
      </c>
      <c r="AD151" s="26">
        <f>IF(AD$6="","",IF(WEEKDAY(AD$6,1)=1,0,MAX(0,AD149-8)*AD148))</f>
      </c>
      <c r="AE151" s="26">
        <f>IF(AE$6="","",IF(WEEKDAY(AE$6,1)=1,0,MAX(0,AE149-8)*AE148))</f>
      </c>
      <c r="AF151" s="26">
        <f>IF(AF$6="","",IF(WEEKDAY(AF$6,1)=1,0,MAX(0,AF149-8)*AF148))</f>
      </c>
      <c r="AG151" s="26">
        <f>IF(AG$6="","",IF(WEEKDAY(AG$6,1)=1,0,MAX(0,AG149-8)*AG148))</f>
      </c>
      <c r="AH151" s="26">
        <f>IF(AH$6="","",IF(WEEKDAY(AH$6,1)=1,0,MAX(0,AH149-8)*AH148))</f>
      </c>
      <c r="AI151" s="26">
        <f>IF(AI$6="","",IF(WEEKDAY(AI$6,1)=1,0,MAX(0,AI149-8)*AI148))</f>
      </c>
      <c r="AJ151" s="26">
        <f>IF(AJ$6="","",IF(WEEKDAY(AJ$6,1)=1,0,MAX(0,AJ149-8)*AJ148))</f>
      </c>
      <c r="AK151" s="26">
        <f>IF(AK$6="","",IF(WEEKDAY(AK$6,1)=1,0,MAX(0,AK149-8)*AK148))</f>
      </c>
      <c r="AL151" s="26">
        <f>IF(AL$6="","",IF(WEEKDAY(AL$6,1)=1,0,MAX(0,AL149-8)*AL148))</f>
      </c>
      <c r="AM151" s="26">
        <f>IF(AM$6="","",IF(WEEKDAY(AM$6,1)=1,0,MAX(0,AM149-8)*AM148))</f>
      </c>
      <c r="AN151" s="26">
        <f>IF(AN$6="","",IF(WEEKDAY(AN$6,1)=1,0,MAX(0,AN149-8)*AN148))</f>
      </c>
      <c r="AO151" s="26">
        <f>IF(AO$6="","",IF(WEEKDAY(AO$6,1)=1,0,MAX(0,AO149-8)*AO148))</f>
      </c>
      <c r="AP151" s="26">
        <f>IF(AP$6="","",IF(WEEKDAY(AP$6,1)=1,0,MAX(0,AP149-8)*AP148))</f>
      </c>
      <c r="AQ151" s="26">
        <f>IF(AQ$6="","",IF(WEEKDAY(AQ$6,1)=1,0,MAX(0,AQ149-8)*AQ148))</f>
      </c>
      <c r="AR151" s="26">
        <f>IF(AR$6="","",IF(WEEKDAY(AR$6,1)=1,0,MAX(0,AR149-8)*AR148))</f>
      </c>
      <c r="AS151" s="26">
        <f>IF(AS$6="","",IF(WEEKDAY(AS$6,1)=1,0,MAX(0,AS149-8)*AS148))</f>
      </c>
      <c r="AT151" s="26">
        <f>IF(AT$6="","",IF(WEEKDAY(AT$6,1)=1,0,MAX(0,AT149-8)*AT148))</f>
      </c>
      <c r="AU151" s="26">
        <f>IF(AU$6="","",IF(WEEKDAY(AU$6,1)=1,0,MAX(0,AU149-8)*AU148))</f>
      </c>
      <c r="AV151" s="26">
        <f>IF(AV$6="","",IF(WEEKDAY(AV$6,1)=1,0,MAX(0,AV149-8)*AV148))</f>
      </c>
      <c r="AW151" s="26">
        <f>IF(AW$6="","",IF(WEEKDAY(AW$6,1)=1,0,MAX(0,AW149-8)*AW148))</f>
      </c>
      <c r="AX151" s="26">
        <f>IF(AX$6="","",IF(WEEKDAY(AX$6,1)=1,0,MAX(0,AX149-8)*AX148))</f>
      </c>
      <c r="AY151" s="26">
        <f>IF(AY$6="","",IF(WEEKDAY(AY$6,1)=1,0,MAX(0,AY149-8)*AY148))</f>
      </c>
      <c r="AZ151" s="26">
        <f>IF(AZ$6="","",IF(WEEKDAY(AZ$6,1)=1,0,MAX(0,AZ149-8)*AZ148))</f>
      </c>
      <c r="BA151" s="26">
        <f>IF(BA$6="","",IF(WEEKDAY(BA$6,1)=1,0,MAX(0,BA149-8)*BA148))</f>
      </c>
      <c r="BB151" s="26">
        <f>IF(BB$6="","",IF(WEEKDAY(BB$6,1)=1,0,MAX(0,BB149-8)*BB148))</f>
      </c>
      <c r="BC151" s="26">
        <f>IF(BC$6="","",IF(WEEKDAY(BC$6,1)=1,0,MAX(0,BC149-8)*BC148))</f>
      </c>
      <c r="BD151" s="26">
        <f>IF(BD$6="","",IF(WEEKDAY(BD$6,1)=1,0,MAX(0,BD149-8)*BD148))</f>
      </c>
      <c r="BE151" s="26">
        <f>IF(BE$6="","",IF(WEEKDAY(BE$6,1)=1,0,MAX(0,BE149-8)*BE148))</f>
      </c>
      <c r="BF151" s="26">
        <f>IF(BF$6="","",IF(WEEKDAY(BF$6,1)=1,0,MAX(0,BF149-8)*BF148))</f>
      </c>
      <c r="BG151" s="26">
        <f>IF(BG$6="","",IF(WEEKDAY(BG$6,1)=1,0,MAX(0,BG149-8)*BG148))</f>
      </c>
      <c r="BH151" s="26">
        <f>IF(BH$6="","",IF(WEEKDAY(BH$6,1)=1,0,MAX(0,BH149-8)*BH148))</f>
      </c>
      <c r="BI151" s="26">
        <f>IF(BI$6="","",IF(WEEKDAY(BI$6,1)=1,0,MAX(0,BI149-8)*BI148))</f>
      </c>
      <c r="BJ151" s="26">
        <f>IF(BJ$6="","",IF(WEEKDAY(BJ$6,1)=1,0,MAX(0,BJ149-8)*BJ148))</f>
      </c>
      <c r="BK151" s="26">
        <f>IF(BK$6="","",IF(WEEKDAY(BK$6,1)=1,0,MAX(0,BK149-8)*BK148))</f>
      </c>
      <c r="BL151" s="26">
        <f>IF(BL$6="","",IF(WEEKDAY(BL$6,1)=1,0,MAX(0,BL149-8)*BL148))</f>
      </c>
      <c r="BM151" s="26">
        <f>IF(BM$6="","",IF(WEEKDAY(BM$6,1)=1,0,MAX(0,BM149-8)*BM148))</f>
      </c>
      <c r="BN151" s="26">
        <f>IF(BN$6="","",IF(WEEKDAY(BN$6,1)=1,0,MAX(0,BN149-8)*BN148))</f>
      </c>
      <c r="BO151" s="26">
        <f>IF(BO$6="","",IF(WEEKDAY(BO$6,1)=1,0,MAX(0,BO149-8)*BO148))</f>
      </c>
      <c r="BP151" s="26">
        <f>IF(BP$6="","",IF(WEEKDAY(BP$6,1)=1,0,MAX(0,BP149-8)*BP148))</f>
      </c>
      <c r="BQ151" s="26">
        <f>IF(BQ$6="","",IF(WEEKDAY(BQ$6,1)=1,0,MAX(0,BQ149-8)*BQ148))</f>
      </c>
      <c r="BR151" s="26">
        <f>IF(BR$6="","",IF(WEEKDAY(BR$6,1)=1,0,MAX(0,BR149-8)*BR148))</f>
      </c>
      <c r="BS151" s="26">
        <f>IF(BS$6="","",IF(WEEKDAY(BS$6,1)=1,0,MAX(0,BS149-8)*BS148))</f>
      </c>
      <c r="BT151" s="26">
        <f>IF(BT$6="","",IF(WEEKDAY(BT$6,1)=1,0,MAX(0,BT149-8)*BT148))</f>
      </c>
      <c r="BU151" s="26">
        <f>IF(BU$6="","",IF(WEEKDAY(BU$6,1)=1,0,MAX(0,BU149-8)*BU148))</f>
      </c>
      <c r="BV151" s="26">
        <f>IF(BV$6="","",IF(WEEKDAY(BV$6,1)=1,0,MAX(0,BV149-8)*BV148))</f>
      </c>
      <c r="BW151" s="26">
        <f>IF(BW$6="","",IF(WEEKDAY(BW$6,1)=1,0,MAX(0,BW149-8)*BW148))</f>
      </c>
      <c r="BX151" s="26">
        <f>IF(BX$6="","",IF(WEEKDAY(BX$6,1)=1,0,MAX(0,BX149-8)*BX148))</f>
      </c>
      <c r="BY151" s="26">
        <f>IF(BY$6="","",IF(WEEKDAY(BY$6,1)=1,0,MAX(0,BY149-8)*BY148))</f>
      </c>
      <c r="BZ151" s="26">
        <f>IF(BZ$6="","",IF(WEEKDAY(BZ$6,1)=1,0,MAX(0,BZ149-8)*BZ148))</f>
      </c>
      <c r="CA151" s="26">
        <f>IF(CA$6="","",IF(WEEKDAY(CA$6,1)=1,0,MAX(0,CA149-8)*CA148))</f>
      </c>
      <c r="CB151" s="26">
        <f>IF(CB$6="","",IF(WEEKDAY(CB$6,1)=1,0,MAX(0,CB149-8)*CB148))</f>
      </c>
      <c r="CC151" s="26">
        <f>IF(CC$6="","",IF(WEEKDAY(CC$6,1)=1,0,MAX(0,CC149-8)*CC148))</f>
      </c>
      <c r="CD151" s="26">
        <f>IF(CD$6="","",IF(WEEKDAY(CD$6,1)=1,0,MAX(0,CD149-8)*CD148))</f>
      </c>
      <c r="CE151" s="26">
        <f>IF(CE$6="","",IF(WEEKDAY(CE$6,1)=1,0,MAX(0,CE149-8)*CE148))</f>
      </c>
      <c r="CF151" s="26">
        <f>IF(CF$6="","",IF(WEEKDAY(CF$6,1)=1,0,MAX(0,CF149-8)*CF148))</f>
      </c>
      <c r="CG151" s="26">
        <f>IF(CG$6="","",IF(WEEKDAY(CG$6,1)=1,0,MAX(0,CG149-8)*CG148))</f>
      </c>
      <c r="CH151" s="26">
        <f>IF(CH$6="","",IF(WEEKDAY(CH$6,1)=1,0,MAX(0,CH149-8)*CH148))</f>
      </c>
      <c r="CI151" s="26">
        <f>IF(CI$6="","",IF(WEEKDAY(CI$6,1)=1,0,MAX(0,CI149-8)*CI148))</f>
      </c>
      <c r="CJ151" s="26">
        <f>IF(CJ$6="","",IF(WEEKDAY(CJ$6,1)=1,0,MAX(0,CJ149-8)*CJ148))</f>
      </c>
      <c r="CK151" s="26">
        <f>IF(CK$6="","",IF(WEEKDAY(CK$6,1)=1,0,MAX(0,CK149-8)*CK148))</f>
      </c>
      <c r="CL151" s="26">
        <f>IF(CL$6="","",IF(WEEKDAY(CL$6,1)=1,0,MAX(0,CL149-8)*CL148))</f>
      </c>
      <c r="CM151" s="26">
        <f>IF(CM$6="","",IF(WEEKDAY(CM$6,1)=1,0,MAX(0,CM149-8)*CM148))</f>
      </c>
      <c r="CN151" s="26">
        <f>IF(CN$6="","",IF(WEEKDAY(CN$6,1)=1,0,MAX(0,CN149-8)*CN148))</f>
      </c>
      <c r="CO151" s="26">
        <f>IF(CO$6="","",IF(WEEKDAY(CO$6,1)=1,0,MAX(0,CO149-8)*CO148))</f>
      </c>
      <c r="CP151" s="26">
        <f>IF(CP$6="","",IF(WEEKDAY(CP$6,1)=1,0,MAX(0,CP149-8)*CP148))</f>
      </c>
      <c r="CQ151" s="26">
        <f>IF(CQ$6="","",IF(WEEKDAY(CQ$6,1)=1,0,MAX(0,CQ149-8)*CQ148))</f>
      </c>
      <c r="CR151" s="26">
        <f>IF(CR$6="","",IF(WEEKDAY(CR$6,1)=1,0,MAX(0,CR149-8)*CR148))</f>
      </c>
      <c r="CS151" s="26">
        <f>IF(CS$6="","",IF(WEEKDAY(CS$6,1)=1,0,MAX(0,CS149-8)*CS148))</f>
      </c>
      <c r="CT151" s="26">
        <f>IF(CT$6="","",IF(WEEKDAY(CT$6,1)=1,0,MAX(0,CT149-8)*CT148))</f>
      </c>
      <c r="CU151" s="26">
        <f>IF(CU$6="","",IF(WEEKDAY(CU$6,1)=1,0,MAX(0,CU149-8)*CU148))</f>
      </c>
      <c r="CV151" s="26">
        <f>IF(CV$6="","",IF(WEEKDAY(CV$6,1)=1,0,MAX(0,CV149-8)*CV148))</f>
      </c>
      <c r="CW151" s="26">
        <f>IF(CW$6="","",IF(WEEKDAY(CW$6,1)=1,0,MAX(0,CW149-8)*CW148))</f>
      </c>
      <c r="CX151" s="8" t="s">
        <v>76</v>
      </c>
    </row>
    <row r="152" spans="2:102" x14ac:dyDescent="0.25">
      <c r="B152" s="26">
        <f>SUM(L152:CW152)</f>
      </c>
      <c r="D152" s="27">
        <f>B152*E152</f>
      </c>
      <c r="E152" s="27">
        <f>'Rate Tables'!E20</f>
      </c>
      <c r="F152" s="8" t="s">
        <v>41</v>
      </c>
      <c r="L152" s="26">
        <f>IF(L$6="","",IF(WEEKDAY(L$6,1)=1,L149*L148,0))</f>
      </c>
      <c r="M152" s="26">
        <f>IF(M$6="","",IF(WEEKDAY(M$6,1)=1,M149*M148,0))</f>
      </c>
      <c r="N152" s="26">
        <f>IF(N$6="","",IF(WEEKDAY(N$6,1)=1,N149*N148,0))</f>
      </c>
      <c r="O152" s="26">
        <f>IF(O$6="","",IF(WEEKDAY(O$6,1)=1,O149*O148,0))</f>
      </c>
      <c r="P152" s="26">
        <f>IF(P$6="","",IF(WEEKDAY(P$6,1)=1,P149*P148,0))</f>
      </c>
      <c r="Q152" s="26">
        <f>IF(Q$6="","",IF(WEEKDAY(Q$6,1)=1,Q149*Q148,0))</f>
      </c>
      <c r="R152" s="26">
        <f>IF(R$6="","",IF(WEEKDAY(R$6,1)=1,R149*R148,0))</f>
      </c>
      <c r="S152" s="26">
        <f>IF(S$6="","",IF(WEEKDAY(S$6,1)=1,S149*S148,0))</f>
      </c>
      <c r="T152" s="26">
        <f>IF(T$6="","",IF(WEEKDAY(T$6,1)=1,T149*T148,0))</f>
      </c>
      <c r="U152" s="26">
        <f>IF(U$6="","",IF(WEEKDAY(U$6,1)=1,U149*U148,0))</f>
      </c>
      <c r="V152" s="26">
        <f>IF(V$6="","",IF(WEEKDAY(V$6,1)=1,V149*V148,0))</f>
      </c>
      <c r="W152" s="26">
        <f>IF(W$6="","",IF(WEEKDAY(W$6,1)=1,W149*W148,0))</f>
      </c>
      <c r="X152" s="26">
        <f>IF(X$6="","",IF(WEEKDAY(X$6,1)=1,X149*X148,0))</f>
      </c>
      <c r="Y152" s="26">
        <f>IF(Y$6="","",IF(WEEKDAY(Y$6,1)=1,Y149*Y148,0))</f>
      </c>
      <c r="Z152" s="26">
        <f>IF(Z$6="","",IF(WEEKDAY(Z$6,1)=1,Z149*Z148,0))</f>
      </c>
      <c r="AA152" s="26">
        <f>IF(AA$6="","",IF(WEEKDAY(AA$6,1)=1,AA149*AA148,0))</f>
      </c>
      <c r="AB152" s="26">
        <f>IF(AB$6="","",IF(WEEKDAY(AB$6,1)=1,AB149*AB148,0))</f>
      </c>
      <c r="AC152" s="26">
        <f>IF(AC$6="","",IF(WEEKDAY(AC$6,1)=1,AC149*AC148,0))</f>
      </c>
      <c r="AD152" s="26">
        <f>IF(AD$6="","",IF(WEEKDAY(AD$6,1)=1,AD149*AD148,0))</f>
      </c>
      <c r="AE152" s="26">
        <f>IF(AE$6="","",IF(WEEKDAY(AE$6,1)=1,AE149*AE148,0))</f>
      </c>
      <c r="AF152" s="26">
        <f>IF(AF$6="","",IF(WEEKDAY(AF$6,1)=1,AF149*AF148,0))</f>
      </c>
      <c r="AG152" s="26">
        <f>IF(AG$6="","",IF(WEEKDAY(AG$6,1)=1,AG149*AG148,0))</f>
      </c>
      <c r="AH152" s="26">
        <f>IF(AH$6="","",IF(WEEKDAY(AH$6,1)=1,AH149*AH148,0))</f>
      </c>
      <c r="AI152" s="26">
        <f>IF(AI$6="","",IF(WEEKDAY(AI$6,1)=1,AI149*AI148,0))</f>
      </c>
      <c r="AJ152" s="26">
        <f>IF(AJ$6="","",IF(WEEKDAY(AJ$6,1)=1,AJ149*AJ148,0))</f>
      </c>
      <c r="AK152" s="26">
        <f>IF(AK$6="","",IF(WEEKDAY(AK$6,1)=1,AK149*AK148,0))</f>
      </c>
      <c r="AL152" s="26">
        <f>IF(AL$6="","",IF(WEEKDAY(AL$6,1)=1,AL149*AL148,0))</f>
      </c>
      <c r="AM152" s="26">
        <f>IF(AM$6="","",IF(WEEKDAY(AM$6,1)=1,AM149*AM148,0))</f>
      </c>
      <c r="AN152" s="26">
        <f>IF(AN$6="","",IF(WEEKDAY(AN$6,1)=1,AN149*AN148,0))</f>
      </c>
      <c r="AO152" s="26">
        <f>IF(AO$6="","",IF(WEEKDAY(AO$6,1)=1,AO149*AO148,0))</f>
      </c>
      <c r="AP152" s="26">
        <f>IF(AP$6="","",IF(WEEKDAY(AP$6,1)=1,AP149*AP148,0))</f>
      </c>
      <c r="AQ152" s="26">
        <f>IF(AQ$6="","",IF(WEEKDAY(AQ$6,1)=1,AQ149*AQ148,0))</f>
      </c>
      <c r="AR152" s="26">
        <f>IF(AR$6="","",IF(WEEKDAY(AR$6,1)=1,AR149*AR148,0))</f>
      </c>
      <c r="AS152" s="26">
        <f>IF(AS$6="","",IF(WEEKDAY(AS$6,1)=1,AS149*AS148,0))</f>
      </c>
      <c r="AT152" s="26">
        <f>IF(AT$6="","",IF(WEEKDAY(AT$6,1)=1,AT149*AT148,0))</f>
      </c>
      <c r="AU152" s="26">
        <f>IF(AU$6="","",IF(WEEKDAY(AU$6,1)=1,AU149*AU148,0))</f>
      </c>
      <c r="AV152" s="26">
        <f>IF(AV$6="","",IF(WEEKDAY(AV$6,1)=1,AV149*AV148,0))</f>
      </c>
      <c r="AW152" s="26">
        <f>IF(AW$6="","",IF(WEEKDAY(AW$6,1)=1,AW149*AW148,0))</f>
      </c>
      <c r="AX152" s="26">
        <f>IF(AX$6="","",IF(WEEKDAY(AX$6,1)=1,AX149*AX148,0))</f>
      </c>
      <c r="AY152" s="26">
        <f>IF(AY$6="","",IF(WEEKDAY(AY$6,1)=1,AY149*AY148,0))</f>
      </c>
      <c r="AZ152" s="26">
        <f>IF(AZ$6="","",IF(WEEKDAY(AZ$6,1)=1,AZ149*AZ148,0))</f>
      </c>
      <c r="BA152" s="26">
        <f>IF(BA$6="","",IF(WEEKDAY(BA$6,1)=1,BA149*BA148,0))</f>
      </c>
      <c r="BB152" s="26">
        <f>IF(BB$6="","",IF(WEEKDAY(BB$6,1)=1,BB149*BB148,0))</f>
      </c>
      <c r="BC152" s="26">
        <f>IF(BC$6="","",IF(WEEKDAY(BC$6,1)=1,BC149*BC148,0))</f>
      </c>
      <c r="BD152" s="26">
        <f>IF(BD$6="","",IF(WEEKDAY(BD$6,1)=1,BD149*BD148,0))</f>
      </c>
      <c r="BE152" s="26">
        <f>IF(BE$6="","",IF(WEEKDAY(BE$6,1)=1,BE149*BE148,0))</f>
      </c>
      <c r="BF152" s="26">
        <f>IF(BF$6="","",IF(WEEKDAY(BF$6,1)=1,BF149*BF148,0))</f>
      </c>
      <c r="BG152" s="26">
        <f>IF(BG$6="","",IF(WEEKDAY(BG$6,1)=1,BG149*BG148,0))</f>
      </c>
      <c r="BH152" s="26">
        <f>IF(BH$6="","",IF(WEEKDAY(BH$6,1)=1,BH149*BH148,0))</f>
      </c>
      <c r="BI152" s="26">
        <f>IF(BI$6="","",IF(WEEKDAY(BI$6,1)=1,BI149*BI148,0))</f>
      </c>
      <c r="BJ152" s="26">
        <f>IF(BJ$6="","",IF(WEEKDAY(BJ$6,1)=1,BJ149*BJ148,0))</f>
      </c>
      <c r="BK152" s="26">
        <f>IF(BK$6="","",IF(WEEKDAY(BK$6,1)=1,BK149*BK148,0))</f>
      </c>
      <c r="BL152" s="26">
        <f>IF(BL$6="","",IF(WEEKDAY(BL$6,1)=1,BL149*BL148,0))</f>
      </c>
      <c r="BM152" s="26">
        <f>IF(BM$6="","",IF(WEEKDAY(BM$6,1)=1,BM149*BM148,0))</f>
      </c>
      <c r="BN152" s="26">
        <f>IF(BN$6="","",IF(WEEKDAY(BN$6,1)=1,BN149*BN148,0))</f>
      </c>
      <c r="BO152" s="26">
        <f>IF(BO$6="","",IF(WEEKDAY(BO$6,1)=1,BO149*BO148,0))</f>
      </c>
      <c r="BP152" s="26">
        <f>IF(BP$6="","",IF(WEEKDAY(BP$6,1)=1,BP149*BP148,0))</f>
      </c>
      <c r="BQ152" s="26">
        <f>IF(BQ$6="","",IF(WEEKDAY(BQ$6,1)=1,BQ149*BQ148,0))</f>
      </c>
      <c r="BR152" s="26">
        <f>IF(BR$6="","",IF(WEEKDAY(BR$6,1)=1,BR149*BR148,0))</f>
      </c>
      <c r="BS152" s="26">
        <f>IF(BS$6="","",IF(WEEKDAY(BS$6,1)=1,BS149*BS148,0))</f>
      </c>
      <c r="BT152" s="26">
        <f>IF(BT$6="","",IF(WEEKDAY(BT$6,1)=1,BT149*BT148,0))</f>
      </c>
      <c r="BU152" s="26">
        <f>IF(BU$6="","",IF(WEEKDAY(BU$6,1)=1,BU149*BU148,0))</f>
      </c>
      <c r="BV152" s="26">
        <f>IF(BV$6="","",IF(WEEKDAY(BV$6,1)=1,BV149*BV148,0))</f>
      </c>
      <c r="BW152" s="26">
        <f>IF(BW$6="","",IF(WEEKDAY(BW$6,1)=1,BW149*BW148,0))</f>
      </c>
      <c r="BX152" s="26">
        <f>IF(BX$6="","",IF(WEEKDAY(BX$6,1)=1,BX149*BX148,0))</f>
      </c>
      <c r="BY152" s="26">
        <f>IF(BY$6="","",IF(WEEKDAY(BY$6,1)=1,BY149*BY148,0))</f>
      </c>
      <c r="BZ152" s="26">
        <f>IF(BZ$6="","",IF(WEEKDAY(BZ$6,1)=1,BZ149*BZ148,0))</f>
      </c>
      <c r="CA152" s="26">
        <f>IF(CA$6="","",IF(WEEKDAY(CA$6,1)=1,CA149*CA148,0))</f>
      </c>
      <c r="CB152" s="26">
        <f>IF(CB$6="","",IF(WEEKDAY(CB$6,1)=1,CB149*CB148,0))</f>
      </c>
      <c r="CC152" s="26">
        <f>IF(CC$6="","",IF(WEEKDAY(CC$6,1)=1,CC149*CC148,0))</f>
      </c>
      <c r="CD152" s="26">
        <f>IF(CD$6="","",IF(WEEKDAY(CD$6,1)=1,CD149*CD148,0))</f>
      </c>
      <c r="CE152" s="26">
        <f>IF(CE$6="","",IF(WEEKDAY(CE$6,1)=1,CE149*CE148,0))</f>
      </c>
      <c r="CF152" s="26">
        <f>IF(CF$6="","",IF(WEEKDAY(CF$6,1)=1,CF149*CF148,0))</f>
      </c>
      <c r="CG152" s="26">
        <f>IF(CG$6="","",IF(WEEKDAY(CG$6,1)=1,CG149*CG148,0))</f>
      </c>
      <c r="CH152" s="26">
        <f>IF(CH$6="","",IF(WEEKDAY(CH$6,1)=1,CH149*CH148,0))</f>
      </c>
      <c r="CI152" s="26">
        <f>IF(CI$6="","",IF(WEEKDAY(CI$6,1)=1,CI149*CI148,0))</f>
      </c>
      <c r="CJ152" s="26">
        <f>IF(CJ$6="","",IF(WEEKDAY(CJ$6,1)=1,CJ149*CJ148,0))</f>
      </c>
      <c r="CK152" s="26">
        <f>IF(CK$6="","",IF(WEEKDAY(CK$6,1)=1,CK149*CK148,0))</f>
      </c>
      <c r="CL152" s="26">
        <f>IF(CL$6="","",IF(WEEKDAY(CL$6,1)=1,CL149*CL148,0))</f>
      </c>
      <c r="CM152" s="26">
        <f>IF(CM$6="","",IF(WEEKDAY(CM$6,1)=1,CM149*CM148,0))</f>
      </c>
      <c r="CN152" s="26">
        <f>IF(CN$6="","",IF(WEEKDAY(CN$6,1)=1,CN149*CN148,0))</f>
      </c>
      <c r="CO152" s="26">
        <f>IF(CO$6="","",IF(WEEKDAY(CO$6,1)=1,CO149*CO148,0))</f>
      </c>
      <c r="CP152" s="26">
        <f>IF(CP$6="","",IF(WEEKDAY(CP$6,1)=1,CP149*CP148,0))</f>
      </c>
      <c r="CQ152" s="26">
        <f>IF(CQ$6="","",IF(WEEKDAY(CQ$6,1)=1,CQ149*CQ148,0))</f>
      </c>
      <c r="CR152" s="26">
        <f>IF(CR$6="","",IF(WEEKDAY(CR$6,1)=1,CR149*CR148,0))</f>
      </c>
      <c r="CS152" s="26">
        <f>IF(CS$6="","",IF(WEEKDAY(CS$6,1)=1,CS149*CS148,0))</f>
      </c>
      <c r="CT152" s="26">
        <f>IF(CT$6="","",IF(WEEKDAY(CT$6,1)=1,CT149*CT148,0))</f>
      </c>
      <c r="CU152" s="26">
        <f>IF(CU$6="","",IF(WEEKDAY(CU$6,1)=1,CU149*CU148,0))</f>
      </c>
      <c r="CV152" s="26">
        <f>IF(CV$6="","",IF(WEEKDAY(CV$6,1)=1,CV149*CV148,0))</f>
      </c>
      <c r="CW152" s="26">
        <f>IF(CW$6="","",IF(WEEKDAY(CW$6,1)=1,CW149*CW148,0))</f>
      </c>
      <c r="CX152" s="8" t="s">
        <v>76</v>
      </c>
    </row>
    <row r="153" spans="2:102" x14ac:dyDescent="0.25">
      <c r="B153" s="26">
        <f>SUM(L153:CW153)</f>
      </c>
      <c r="D153" s="27">
        <f>B153*E153</f>
      </c>
      <c r="E153" s="27">
        <v>140</v>
      </c>
      <c r="F153" s="8" t="s">
        <v>42</v>
      </c>
      <c r="L153" s="28">
        <v>1</v>
      </c>
      <c r="M153" s="28">
        <v>1</v>
      </c>
      <c r="N153" s="28">
        <v>1</v>
      </c>
      <c r="O153" s="28">
        <v>1</v>
      </c>
      <c r="P153" s="28">
        <v>1</v>
      </c>
      <c r="Q153" s="28">
        <v>0</v>
      </c>
      <c r="R153" s="28">
        <v>0</v>
      </c>
      <c r="S153" s="28">
        <v>1</v>
      </c>
      <c r="T153" s="28">
        <v>1</v>
      </c>
      <c r="U153" s="28">
        <v>1</v>
      </c>
      <c r="V153" s="28">
        <v>1</v>
      </c>
      <c r="W153" s="28">
        <v>1</v>
      </c>
      <c r="X153" s="28">
        <v>0</v>
      </c>
      <c r="Y153" s="28">
        <v>0</v>
      </c>
      <c r="Z153" s="28">
        <v>1</v>
      </c>
      <c r="AA153" s="28">
        <v>1</v>
      </c>
      <c r="AB153" s="28">
        <v>1</v>
      </c>
      <c r="AC153" s="28">
        <v>1</v>
      </c>
      <c r="AD153" s="28">
        <v>1</v>
      </c>
      <c r="AE153" s="28">
        <v>0</v>
      </c>
      <c r="AF153" s="28">
        <v>0</v>
      </c>
      <c r="AG153" s="28">
        <v>1</v>
      </c>
      <c r="AH153" s="28">
        <v>1</v>
      </c>
      <c r="AI153" s="28">
        <v>1</v>
      </c>
      <c r="AJ153" s="28">
        <v>1</v>
      </c>
      <c r="AK153" s="28">
        <v>1</v>
      </c>
      <c r="AL153" s="28">
        <v>0</v>
      </c>
      <c r="AM153" s="28">
        <v>0</v>
      </c>
      <c r="AN153" s="28">
        <v>1</v>
      </c>
      <c r="AO153" s="28">
        <v>1</v>
      </c>
      <c r="AP153" s="28">
        <v>1</v>
      </c>
      <c r="AQ153" s="28">
        <v>1</v>
      </c>
      <c r="AR153" s="28">
        <v>1</v>
      </c>
      <c r="AS153" s="28">
        <v>0</v>
      </c>
      <c r="AT153" s="28">
        <v>0</v>
      </c>
      <c r="AU153" s="28">
        <v>1</v>
      </c>
      <c r="AV153" s="28">
        <v>1</v>
      </c>
      <c r="AW153" s="28">
        <v>1</v>
      </c>
      <c r="AX153" s="28">
        <v>1</v>
      </c>
      <c r="AY153" s="28">
        <v>1</v>
      </c>
      <c r="AZ153" s="28">
        <v>0</v>
      </c>
      <c r="BA153" s="28">
        <v>0</v>
      </c>
      <c r="BB153" s="28">
        <v>1</v>
      </c>
      <c r="BC153" s="28">
        <v>1</v>
      </c>
      <c r="BD153" s="28">
        <v>1</v>
      </c>
      <c r="BE153" s="28">
        <v>1</v>
      </c>
      <c r="BF153" s="28">
        <v>1</v>
      </c>
      <c r="BG153" s="28">
        <v>0</v>
      </c>
      <c r="BH153" s="28">
        <v>0</v>
      </c>
      <c r="BI153" s="28">
        <v>1</v>
      </c>
      <c r="BJ153" s="28">
        <v>1</v>
      </c>
      <c r="BK153" s="28">
        <v>1</v>
      </c>
      <c r="BL153" s="28">
        <v>1</v>
      </c>
      <c r="BM153" s="28">
        <v>1</v>
      </c>
      <c r="BN153" s="28">
        <v>1</v>
      </c>
      <c r="BO153" s="28">
        <v>1</v>
      </c>
      <c r="BP153" s="28">
        <v>1</v>
      </c>
      <c r="BQ153" s="28">
        <v>1</v>
      </c>
      <c r="BR153" s="28">
        <v>1</v>
      </c>
      <c r="BS153" s="28">
        <v>1</v>
      </c>
      <c r="BT153" s="28">
        <v>1</v>
      </c>
      <c r="BU153" s="28">
        <v>1</v>
      </c>
      <c r="BV153" s="28">
        <v>1</v>
      </c>
      <c r="BW153" s="28">
        <v>1</v>
      </c>
      <c r="BX153" s="28">
        <v>1</v>
      </c>
      <c r="BY153" s="28">
        <v>1</v>
      </c>
      <c r="BZ153" s="28">
        <v>1</v>
      </c>
      <c r="CA153" s="28">
        <v>1</v>
      </c>
      <c r="CB153" s="28">
        <v>1</v>
      </c>
      <c r="CC153" s="28">
        <v>1</v>
      </c>
      <c r="CD153" s="28">
        <v>1</v>
      </c>
      <c r="CE153" s="28">
        <v>1</v>
      </c>
      <c r="CF153" s="28">
        <v>1</v>
      </c>
      <c r="CG153" s="28">
        <v>1</v>
      </c>
      <c r="CH153" s="28">
        <v>1</v>
      </c>
      <c r="CI153" s="28">
        <v>1</v>
      </c>
      <c r="CJ153" s="28">
        <v>1</v>
      </c>
      <c r="CK153" s="28">
        <v>1</v>
      </c>
      <c r="CL153" s="28">
        <v>1</v>
      </c>
      <c r="CM153" s="28">
        <v>1</v>
      </c>
      <c r="CN153" s="28">
        <v>1</v>
      </c>
      <c r="CO153" s="28">
        <v>1</v>
      </c>
      <c r="CP153" s="28">
        <v>1</v>
      </c>
      <c r="CQ153" s="28">
        <v>1</v>
      </c>
      <c r="CR153" s="28">
        <v>1</v>
      </c>
      <c r="CS153" s="28">
        <v>1</v>
      </c>
      <c r="CT153" s="28">
        <v>1</v>
      </c>
      <c r="CU153" s="28">
        <v>1</v>
      </c>
      <c r="CV153" s="28">
        <v>1</v>
      </c>
      <c r="CW153" s="28">
        <v>1</v>
      </c>
      <c r="CX153" s="8" t="s">
        <v>76</v>
      </c>
    </row>
    <row r="154" spans="1:102" x14ac:dyDescent="0.25">
      <c r="A154" s="20" t="s">
        <v>47</v>
      </c>
      <c r="B154" s="21">
        <f>G154+H154+I154</f>
      </c>
      <c r="C154" s="20" t="s">
        <v>55</v>
      </c>
      <c r="D154" s="22">
        <f>K154</f>
      </c>
      <c r="F154" s="20" t="s">
        <v>34</v>
      </c>
      <c r="G154" s="21">
        <f>B157</f>
      </c>
      <c r="H154" s="21">
        <f>B158</f>
      </c>
      <c r="I154" s="21">
        <f>B159</f>
      </c>
      <c r="J154" s="21">
        <f>B160</f>
      </c>
      <c r="K154" s="22">
        <f>D157+D158+D159</f>
      </c>
      <c r="CX154" s="20" t="s">
        <v>77</v>
      </c>
    </row>
    <row r="155" spans="6:102" x14ac:dyDescent="0.25">
      <c r="F155" s="23" t="s">
        <v>36</v>
      </c>
      <c r="L155" s="24">
        <v>1</v>
      </c>
      <c r="M155" s="24">
        <v>1</v>
      </c>
      <c r="N155" s="24">
        <v>1</v>
      </c>
      <c r="O155" s="24">
        <v>1</v>
      </c>
      <c r="P155" s="24">
        <v>1</v>
      </c>
      <c r="Q155" s="24">
        <v>0</v>
      </c>
      <c r="R155" s="24">
        <v>0</v>
      </c>
      <c r="S155" s="24">
        <v>1</v>
      </c>
      <c r="T155" s="24">
        <v>1</v>
      </c>
      <c r="U155" s="24">
        <v>1</v>
      </c>
      <c r="V155" s="24">
        <v>1</v>
      </c>
      <c r="W155" s="24">
        <v>1</v>
      </c>
      <c r="X155" s="24">
        <v>0</v>
      </c>
      <c r="Y155" s="24">
        <v>0</v>
      </c>
      <c r="Z155" s="24">
        <v>1</v>
      </c>
      <c r="AA155" s="24">
        <v>1</v>
      </c>
      <c r="AB155" s="24">
        <v>1</v>
      </c>
      <c r="AC155" s="24">
        <v>1</v>
      </c>
      <c r="AD155" s="24">
        <v>1</v>
      </c>
      <c r="AE155" s="24">
        <v>0</v>
      </c>
      <c r="AF155" s="24">
        <v>0</v>
      </c>
      <c r="AG155" s="24">
        <v>1</v>
      </c>
      <c r="AH155" s="24">
        <v>1</v>
      </c>
      <c r="AI155" s="24">
        <v>1</v>
      </c>
      <c r="AJ155" s="24">
        <v>1</v>
      </c>
      <c r="AK155" s="24">
        <v>1</v>
      </c>
      <c r="AL155" s="24">
        <v>0</v>
      </c>
      <c r="AM155" s="24">
        <v>0</v>
      </c>
      <c r="AN155" s="24">
        <v>1</v>
      </c>
      <c r="AO155" s="24">
        <v>1</v>
      </c>
      <c r="AP155" s="24">
        <v>1</v>
      </c>
      <c r="AQ155" s="24">
        <v>1</v>
      </c>
      <c r="AR155" s="24">
        <v>1</v>
      </c>
      <c r="AS155" s="24">
        <v>0</v>
      </c>
      <c r="AT155" s="24">
        <v>0</v>
      </c>
      <c r="AU155" s="24">
        <v>1</v>
      </c>
      <c r="AV155" s="24">
        <v>1</v>
      </c>
      <c r="AW155" s="24">
        <v>1</v>
      </c>
      <c r="AX155" s="24">
        <v>1</v>
      </c>
      <c r="AY155" s="24">
        <v>1</v>
      </c>
      <c r="AZ155" s="24">
        <v>0</v>
      </c>
      <c r="BA155" s="24">
        <v>0</v>
      </c>
      <c r="BB155" s="24">
        <v>1</v>
      </c>
      <c r="BC155" s="24">
        <v>1</v>
      </c>
      <c r="BD155" s="24">
        <v>1</v>
      </c>
      <c r="BE155" s="24">
        <v>1</v>
      </c>
      <c r="BF155" s="24">
        <v>1</v>
      </c>
      <c r="BG155" s="24">
        <v>0</v>
      </c>
      <c r="BH155" s="24">
        <v>0</v>
      </c>
      <c r="BI155" s="24">
        <v>1</v>
      </c>
      <c r="BJ155" s="24">
        <v>1</v>
      </c>
      <c r="BK155" s="24">
        <v>1</v>
      </c>
      <c r="BL155" s="24">
        <v>1</v>
      </c>
      <c r="BM155" s="24">
        <v>1</v>
      </c>
      <c r="BN155" s="24">
        <v>1</v>
      </c>
      <c r="BO155" s="24">
        <v>1</v>
      </c>
      <c r="BP155" s="24">
        <v>1</v>
      </c>
      <c r="BQ155" s="24">
        <v>1</v>
      </c>
      <c r="BR155" s="24">
        <v>1</v>
      </c>
      <c r="BS155" s="24">
        <v>1</v>
      </c>
      <c r="BT155" s="24">
        <v>1</v>
      </c>
      <c r="BU155" s="24">
        <v>1</v>
      </c>
      <c r="BV155" s="24">
        <v>1</v>
      </c>
      <c r="BW155" s="24">
        <v>1</v>
      </c>
      <c r="BX155" s="24">
        <v>1</v>
      </c>
      <c r="BY155" s="24">
        <v>1</v>
      </c>
      <c r="BZ155" s="24">
        <v>1</v>
      </c>
      <c r="CA155" s="24">
        <v>1</v>
      </c>
      <c r="CB155" s="24">
        <v>1</v>
      </c>
      <c r="CC155" s="24">
        <v>1</v>
      </c>
      <c r="CD155" s="24">
        <v>1</v>
      </c>
      <c r="CE155" s="24">
        <v>1</v>
      </c>
      <c r="CF155" s="24">
        <v>1</v>
      </c>
      <c r="CG155" s="24">
        <v>1</v>
      </c>
      <c r="CH155" s="24">
        <v>1</v>
      </c>
      <c r="CI155" s="24">
        <v>1</v>
      </c>
      <c r="CJ155" s="24">
        <v>1</v>
      </c>
      <c r="CK155" s="24">
        <v>1</v>
      </c>
      <c r="CL155" s="24">
        <v>1</v>
      </c>
      <c r="CM155" s="24">
        <v>1</v>
      </c>
      <c r="CN155" s="24">
        <v>1</v>
      </c>
      <c r="CO155" s="24">
        <v>1</v>
      </c>
      <c r="CP155" s="24">
        <v>1</v>
      </c>
      <c r="CQ155" s="24">
        <v>1</v>
      </c>
      <c r="CR155" s="24">
        <v>1</v>
      </c>
      <c r="CS155" s="24">
        <v>1</v>
      </c>
      <c r="CT155" s="24">
        <v>1</v>
      </c>
      <c r="CU155" s="24">
        <v>1</v>
      </c>
      <c r="CV155" s="24">
        <v>1</v>
      </c>
      <c r="CW155" s="24">
        <v>1</v>
      </c>
      <c r="CX155" s="23" t="s">
        <v>77</v>
      </c>
    </row>
    <row r="156" spans="1:102" x14ac:dyDescent="0.25">
      <c r="A156" s="23" t="s">
        <v>37</v>
      </c>
      <c r="F156" s="23" t="s">
        <v>38</v>
      </c>
      <c r="L156" s="25">
        <v>8</v>
      </c>
      <c r="M156" s="25">
        <v>8</v>
      </c>
      <c r="N156" s="25">
        <v>8</v>
      </c>
      <c r="O156" s="25">
        <v>8</v>
      </c>
      <c r="P156" s="25">
        <v>8</v>
      </c>
      <c r="Q156" s="25">
        <v>0</v>
      </c>
      <c r="R156" s="25">
        <v>0</v>
      </c>
      <c r="S156" s="25">
        <v>8</v>
      </c>
      <c r="T156" s="25">
        <v>8</v>
      </c>
      <c r="U156" s="25">
        <v>8</v>
      </c>
      <c r="V156" s="25">
        <v>8</v>
      </c>
      <c r="W156" s="25">
        <v>8</v>
      </c>
      <c r="X156" s="25">
        <v>0</v>
      </c>
      <c r="Y156" s="25">
        <v>0</v>
      </c>
      <c r="Z156" s="25">
        <v>8</v>
      </c>
      <c r="AA156" s="25">
        <v>8</v>
      </c>
      <c r="AB156" s="25">
        <v>8</v>
      </c>
      <c r="AC156" s="25">
        <v>8</v>
      </c>
      <c r="AD156" s="25">
        <v>8</v>
      </c>
      <c r="AE156" s="25">
        <v>0</v>
      </c>
      <c r="AF156" s="25">
        <v>0</v>
      </c>
      <c r="AG156" s="25">
        <v>8</v>
      </c>
      <c r="AH156" s="25">
        <v>8</v>
      </c>
      <c r="AI156" s="25">
        <v>8</v>
      </c>
      <c r="AJ156" s="25">
        <v>8</v>
      </c>
      <c r="AK156" s="25">
        <v>8</v>
      </c>
      <c r="AL156" s="25">
        <v>0</v>
      </c>
      <c r="AM156" s="25">
        <v>0</v>
      </c>
      <c r="AN156" s="25">
        <v>8</v>
      </c>
      <c r="AO156" s="25">
        <v>8</v>
      </c>
      <c r="AP156" s="25">
        <v>8</v>
      </c>
      <c r="AQ156" s="25">
        <v>8</v>
      </c>
      <c r="AR156" s="25">
        <v>8</v>
      </c>
      <c r="AS156" s="25">
        <v>0</v>
      </c>
      <c r="AT156" s="25">
        <v>0</v>
      </c>
      <c r="AU156" s="25">
        <v>8</v>
      </c>
      <c r="AV156" s="25">
        <v>8</v>
      </c>
      <c r="AW156" s="25">
        <v>8</v>
      </c>
      <c r="AX156" s="25">
        <v>8</v>
      </c>
      <c r="AY156" s="25">
        <v>8</v>
      </c>
      <c r="AZ156" s="25">
        <v>0</v>
      </c>
      <c r="BA156" s="25">
        <v>0</v>
      </c>
      <c r="BB156" s="25">
        <v>8</v>
      </c>
      <c r="BC156" s="25">
        <v>8</v>
      </c>
      <c r="BD156" s="25">
        <v>8</v>
      </c>
      <c r="BE156" s="25">
        <v>8</v>
      </c>
      <c r="BF156" s="25">
        <v>8</v>
      </c>
      <c r="BG156" s="25">
        <v>0</v>
      </c>
      <c r="BH156" s="25">
        <v>0</v>
      </c>
      <c r="BI156" s="25">
        <v>13</v>
      </c>
      <c r="BJ156" s="25">
        <v>13</v>
      </c>
      <c r="BK156" s="25">
        <v>13</v>
      </c>
      <c r="BL156" s="25">
        <v>13</v>
      </c>
      <c r="BM156" s="25">
        <v>13</v>
      </c>
      <c r="BN156" s="25">
        <v>13</v>
      </c>
      <c r="BO156" s="25">
        <v>13</v>
      </c>
      <c r="BP156" s="25">
        <v>13</v>
      </c>
      <c r="BQ156" s="25">
        <v>13</v>
      </c>
      <c r="BR156" s="25">
        <v>13</v>
      </c>
      <c r="BS156" s="25">
        <v>13</v>
      </c>
      <c r="BT156" s="25">
        <v>13</v>
      </c>
      <c r="BU156" s="25">
        <v>13</v>
      </c>
      <c r="BV156" s="25">
        <v>13</v>
      </c>
      <c r="BW156" s="25">
        <v>13</v>
      </c>
      <c r="BX156" s="25">
        <v>13</v>
      </c>
      <c r="BY156" s="25">
        <v>13</v>
      </c>
      <c r="BZ156" s="25">
        <v>13</v>
      </c>
      <c r="CA156" s="25">
        <v>13</v>
      </c>
      <c r="CB156" s="25">
        <v>13</v>
      </c>
      <c r="CC156" s="25">
        <v>13</v>
      </c>
      <c r="CD156" s="25">
        <v>13</v>
      </c>
      <c r="CE156" s="25">
        <v>13</v>
      </c>
      <c r="CF156" s="25">
        <v>13</v>
      </c>
      <c r="CG156" s="25">
        <v>13</v>
      </c>
      <c r="CH156" s="25">
        <v>13</v>
      </c>
      <c r="CI156" s="25">
        <v>13</v>
      </c>
      <c r="CJ156" s="25">
        <v>13</v>
      </c>
      <c r="CK156" s="25">
        <v>13</v>
      </c>
      <c r="CL156" s="25">
        <v>13</v>
      </c>
      <c r="CM156" s="25">
        <v>13</v>
      </c>
      <c r="CN156" s="25">
        <v>13</v>
      </c>
      <c r="CO156" s="25">
        <v>13</v>
      </c>
      <c r="CP156" s="25">
        <v>13</v>
      </c>
      <c r="CQ156" s="25">
        <v>13</v>
      </c>
      <c r="CR156" s="25">
        <v>13</v>
      </c>
      <c r="CS156" s="25">
        <v>13</v>
      </c>
      <c r="CT156" s="25">
        <v>13</v>
      </c>
      <c r="CU156" s="25">
        <v>13</v>
      </c>
      <c r="CV156" s="25">
        <v>13</v>
      </c>
      <c r="CW156" s="25">
        <v>13</v>
      </c>
      <c r="CX156" s="23" t="s">
        <v>77</v>
      </c>
    </row>
    <row r="157" spans="2:102" x14ac:dyDescent="0.25">
      <c r="B157" s="26">
        <f>SUM(L157:CW157)</f>
      </c>
      <c r="D157" s="27">
        <f>B157*E157</f>
      </c>
      <c r="E157" s="27">
        <f>'Rate Tables'!C12</f>
      </c>
      <c r="F157" s="8" t="s">
        <v>39</v>
      </c>
      <c r="L157" s="26">
        <f>IF(L$6="","",IF(WEEKDAY(L$6,1)=1,0,MIN(8,L156)*L155))</f>
      </c>
      <c r="M157" s="26">
        <f>IF(M$6="","",IF(WEEKDAY(M$6,1)=1,0,MIN(8,M156)*M155))</f>
      </c>
      <c r="N157" s="26">
        <f>IF(N$6="","",IF(WEEKDAY(N$6,1)=1,0,MIN(8,N156)*N155))</f>
      </c>
      <c r="O157" s="26">
        <f>IF(O$6="","",IF(WEEKDAY(O$6,1)=1,0,MIN(8,O156)*O155))</f>
      </c>
      <c r="P157" s="26">
        <f>IF(P$6="","",IF(WEEKDAY(P$6,1)=1,0,MIN(8,P156)*P155))</f>
      </c>
      <c r="Q157" s="26">
        <f>IF(Q$6="","",IF(WEEKDAY(Q$6,1)=1,0,MIN(8,Q156)*Q155))</f>
      </c>
      <c r="R157" s="26">
        <f>IF(R$6="","",IF(WEEKDAY(R$6,1)=1,0,MIN(8,R156)*R155))</f>
      </c>
      <c r="S157" s="26">
        <f>IF(S$6="","",IF(WEEKDAY(S$6,1)=1,0,MIN(8,S156)*S155))</f>
      </c>
      <c r="T157" s="26">
        <f>IF(T$6="","",IF(WEEKDAY(T$6,1)=1,0,MIN(8,T156)*T155))</f>
      </c>
      <c r="U157" s="26">
        <f>IF(U$6="","",IF(WEEKDAY(U$6,1)=1,0,MIN(8,U156)*U155))</f>
      </c>
      <c r="V157" s="26">
        <f>IF(V$6="","",IF(WEEKDAY(V$6,1)=1,0,MIN(8,V156)*V155))</f>
      </c>
      <c r="W157" s="26">
        <f>IF(W$6="","",IF(WEEKDAY(W$6,1)=1,0,MIN(8,W156)*W155))</f>
      </c>
      <c r="X157" s="26">
        <f>IF(X$6="","",IF(WEEKDAY(X$6,1)=1,0,MIN(8,X156)*X155))</f>
      </c>
      <c r="Y157" s="26">
        <f>IF(Y$6="","",IF(WEEKDAY(Y$6,1)=1,0,MIN(8,Y156)*Y155))</f>
      </c>
      <c r="Z157" s="26">
        <f>IF(Z$6="","",IF(WEEKDAY(Z$6,1)=1,0,MIN(8,Z156)*Z155))</f>
      </c>
      <c r="AA157" s="26">
        <f>IF(AA$6="","",IF(WEEKDAY(AA$6,1)=1,0,MIN(8,AA156)*AA155))</f>
      </c>
      <c r="AB157" s="26">
        <f>IF(AB$6="","",IF(WEEKDAY(AB$6,1)=1,0,MIN(8,AB156)*AB155))</f>
      </c>
      <c r="AC157" s="26">
        <f>IF(AC$6="","",IF(WEEKDAY(AC$6,1)=1,0,MIN(8,AC156)*AC155))</f>
      </c>
      <c r="AD157" s="26">
        <f>IF(AD$6="","",IF(WEEKDAY(AD$6,1)=1,0,MIN(8,AD156)*AD155))</f>
      </c>
      <c r="AE157" s="26">
        <f>IF(AE$6="","",IF(WEEKDAY(AE$6,1)=1,0,MIN(8,AE156)*AE155))</f>
      </c>
      <c r="AF157" s="26">
        <f>IF(AF$6="","",IF(WEEKDAY(AF$6,1)=1,0,MIN(8,AF156)*AF155))</f>
      </c>
      <c r="AG157" s="26">
        <f>IF(AG$6="","",IF(WEEKDAY(AG$6,1)=1,0,MIN(8,AG156)*AG155))</f>
      </c>
      <c r="AH157" s="26">
        <f>IF(AH$6="","",IF(WEEKDAY(AH$6,1)=1,0,MIN(8,AH156)*AH155))</f>
      </c>
      <c r="AI157" s="26">
        <f>IF(AI$6="","",IF(WEEKDAY(AI$6,1)=1,0,MIN(8,AI156)*AI155))</f>
      </c>
      <c r="AJ157" s="26">
        <f>IF(AJ$6="","",IF(WEEKDAY(AJ$6,1)=1,0,MIN(8,AJ156)*AJ155))</f>
      </c>
      <c r="AK157" s="26">
        <f>IF(AK$6="","",IF(WEEKDAY(AK$6,1)=1,0,MIN(8,AK156)*AK155))</f>
      </c>
      <c r="AL157" s="26">
        <f>IF(AL$6="","",IF(WEEKDAY(AL$6,1)=1,0,MIN(8,AL156)*AL155))</f>
      </c>
      <c r="AM157" s="26">
        <f>IF(AM$6="","",IF(WEEKDAY(AM$6,1)=1,0,MIN(8,AM156)*AM155))</f>
      </c>
      <c r="AN157" s="26">
        <f>IF(AN$6="","",IF(WEEKDAY(AN$6,1)=1,0,MIN(8,AN156)*AN155))</f>
      </c>
      <c r="AO157" s="26">
        <f>IF(AO$6="","",IF(WEEKDAY(AO$6,1)=1,0,MIN(8,AO156)*AO155))</f>
      </c>
      <c r="AP157" s="26">
        <f>IF(AP$6="","",IF(WEEKDAY(AP$6,1)=1,0,MIN(8,AP156)*AP155))</f>
      </c>
      <c r="AQ157" s="26">
        <f>IF(AQ$6="","",IF(WEEKDAY(AQ$6,1)=1,0,MIN(8,AQ156)*AQ155))</f>
      </c>
      <c r="AR157" s="26">
        <f>IF(AR$6="","",IF(WEEKDAY(AR$6,1)=1,0,MIN(8,AR156)*AR155))</f>
      </c>
      <c r="AS157" s="26">
        <f>IF(AS$6="","",IF(WEEKDAY(AS$6,1)=1,0,MIN(8,AS156)*AS155))</f>
      </c>
      <c r="AT157" s="26">
        <f>IF(AT$6="","",IF(WEEKDAY(AT$6,1)=1,0,MIN(8,AT156)*AT155))</f>
      </c>
      <c r="AU157" s="26">
        <f>IF(AU$6="","",IF(WEEKDAY(AU$6,1)=1,0,MIN(8,AU156)*AU155))</f>
      </c>
      <c r="AV157" s="26">
        <f>IF(AV$6="","",IF(WEEKDAY(AV$6,1)=1,0,MIN(8,AV156)*AV155))</f>
      </c>
      <c r="AW157" s="26">
        <f>IF(AW$6="","",IF(WEEKDAY(AW$6,1)=1,0,MIN(8,AW156)*AW155))</f>
      </c>
      <c r="AX157" s="26">
        <f>IF(AX$6="","",IF(WEEKDAY(AX$6,1)=1,0,MIN(8,AX156)*AX155))</f>
      </c>
      <c r="AY157" s="26">
        <f>IF(AY$6="","",IF(WEEKDAY(AY$6,1)=1,0,MIN(8,AY156)*AY155))</f>
      </c>
      <c r="AZ157" s="26">
        <f>IF(AZ$6="","",IF(WEEKDAY(AZ$6,1)=1,0,MIN(8,AZ156)*AZ155))</f>
      </c>
      <c r="BA157" s="26">
        <f>IF(BA$6="","",IF(WEEKDAY(BA$6,1)=1,0,MIN(8,BA156)*BA155))</f>
      </c>
      <c r="BB157" s="26">
        <f>IF(BB$6="","",IF(WEEKDAY(BB$6,1)=1,0,MIN(8,BB156)*BB155))</f>
      </c>
      <c r="BC157" s="26">
        <f>IF(BC$6="","",IF(WEEKDAY(BC$6,1)=1,0,MIN(8,BC156)*BC155))</f>
      </c>
      <c r="BD157" s="26">
        <f>IF(BD$6="","",IF(WEEKDAY(BD$6,1)=1,0,MIN(8,BD156)*BD155))</f>
      </c>
      <c r="BE157" s="26">
        <f>IF(BE$6="","",IF(WEEKDAY(BE$6,1)=1,0,MIN(8,BE156)*BE155))</f>
      </c>
      <c r="BF157" s="26">
        <f>IF(BF$6="","",IF(WEEKDAY(BF$6,1)=1,0,MIN(8,BF156)*BF155))</f>
      </c>
      <c r="BG157" s="26">
        <f>IF(BG$6="","",IF(WEEKDAY(BG$6,1)=1,0,MIN(8,BG156)*BG155))</f>
      </c>
      <c r="BH157" s="26">
        <f>IF(BH$6="","",IF(WEEKDAY(BH$6,1)=1,0,MIN(8,BH156)*BH155))</f>
      </c>
      <c r="BI157" s="26">
        <f>IF(BI$6="","",IF(WEEKDAY(BI$6,1)=1,0,MIN(8,BI156)*BI155))</f>
      </c>
      <c r="BJ157" s="26">
        <f>IF(BJ$6="","",IF(WEEKDAY(BJ$6,1)=1,0,MIN(8,BJ156)*BJ155))</f>
      </c>
      <c r="BK157" s="26">
        <f>IF(BK$6="","",IF(WEEKDAY(BK$6,1)=1,0,MIN(8,BK156)*BK155))</f>
      </c>
      <c r="BL157" s="26">
        <f>IF(BL$6="","",IF(WEEKDAY(BL$6,1)=1,0,MIN(8,BL156)*BL155))</f>
      </c>
      <c r="BM157" s="26">
        <f>IF(BM$6="","",IF(WEEKDAY(BM$6,1)=1,0,MIN(8,BM156)*BM155))</f>
      </c>
      <c r="BN157" s="26">
        <f>IF(BN$6="","",IF(WEEKDAY(BN$6,1)=1,0,MIN(8,BN156)*BN155))</f>
      </c>
      <c r="BO157" s="26">
        <f>IF(BO$6="","",IF(WEEKDAY(BO$6,1)=1,0,MIN(8,BO156)*BO155))</f>
      </c>
      <c r="BP157" s="26">
        <f>IF(BP$6="","",IF(WEEKDAY(BP$6,1)=1,0,MIN(8,BP156)*BP155))</f>
      </c>
      <c r="BQ157" s="26">
        <f>IF(BQ$6="","",IF(WEEKDAY(BQ$6,1)=1,0,MIN(8,BQ156)*BQ155))</f>
      </c>
      <c r="BR157" s="26">
        <f>IF(BR$6="","",IF(WEEKDAY(BR$6,1)=1,0,MIN(8,BR156)*BR155))</f>
      </c>
      <c r="BS157" s="26">
        <f>IF(BS$6="","",IF(WEEKDAY(BS$6,1)=1,0,MIN(8,BS156)*BS155))</f>
      </c>
      <c r="BT157" s="26">
        <f>IF(BT$6="","",IF(WEEKDAY(BT$6,1)=1,0,MIN(8,BT156)*BT155))</f>
      </c>
      <c r="BU157" s="26">
        <f>IF(BU$6="","",IF(WEEKDAY(BU$6,1)=1,0,MIN(8,BU156)*BU155))</f>
      </c>
      <c r="BV157" s="26">
        <f>IF(BV$6="","",IF(WEEKDAY(BV$6,1)=1,0,MIN(8,BV156)*BV155))</f>
      </c>
      <c r="BW157" s="26">
        <f>IF(BW$6="","",IF(WEEKDAY(BW$6,1)=1,0,MIN(8,BW156)*BW155))</f>
      </c>
      <c r="BX157" s="26">
        <f>IF(BX$6="","",IF(WEEKDAY(BX$6,1)=1,0,MIN(8,BX156)*BX155))</f>
      </c>
      <c r="BY157" s="26">
        <f>IF(BY$6="","",IF(WEEKDAY(BY$6,1)=1,0,MIN(8,BY156)*BY155))</f>
      </c>
      <c r="BZ157" s="26">
        <f>IF(BZ$6="","",IF(WEEKDAY(BZ$6,1)=1,0,MIN(8,BZ156)*BZ155))</f>
      </c>
      <c r="CA157" s="26">
        <f>IF(CA$6="","",IF(WEEKDAY(CA$6,1)=1,0,MIN(8,CA156)*CA155))</f>
      </c>
      <c r="CB157" s="26">
        <f>IF(CB$6="","",IF(WEEKDAY(CB$6,1)=1,0,MIN(8,CB156)*CB155))</f>
      </c>
      <c r="CC157" s="26">
        <f>IF(CC$6="","",IF(WEEKDAY(CC$6,1)=1,0,MIN(8,CC156)*CC155))</f>
      </c>
      <c r="CD157" s="26">
        <f>IF(CD$6="","",IF(WEEKDAY(CD$6,1)=1,0,MIN(8,CD156)*CD155))</f>
      </c>
      <c r="CE157" s="26">
        <f>IF(CE$6="","",IF(WEEKDAY(CE$6,1)=1,0,MIN(8,CE156)*CE155))</f>
      </c>
      <c r="CF157" s="26">
        <f>IF(CF$6="","",IF(WEEKDAY(CF$6,1)=1,0,MIN(8,CF156)*CF155))</f>
      </c>
      <c r="CG157" s="26">
        <f>IF(CG$6="","",IF(WEEKDAY(CG$6,1)=1,0,MIN(8,CG156)*CG155))</f>
      </c>
      <c r="CH157" s="26">
        <f>IF(CH$6="","",IF(WEEKDAY(CH$6,1)=1,0,MIN(8,CH156)*CH155))</f>
      </c>
      <c r="CI157" s="26">
        <f>IF(CI$6="","",IF(WEEKDAY(CI$6,1)=1,0,MIN(8,CI156)*CI155))</f>
      </c>
      <c r="CJ157" s="26">
        <f>IF(CJ$6="","",IF(WEEKDAY(CJ$6,1)=1,0,MIN(8,CJ156)*CJ155))</f>
      </c>
      <c r="CK157" s="26">
        <f>IF(CK$6="","",IF(WEEKDAY(CK$6,1)=1,0,MIN(8,CK156)*CK155))</f>
      </c>
      <c r="CL157" s="26">
        <f>IF(CL$6="","",IF(WEEKDAY(CL$6,1)=1,0,MIN(8,CL156)*CL155))</f>
      </c>
      <c r="CM157" s="26">
        <f>IF(CM$6="","",IF(WEEKDAY(CM$6,1)=1,0,MIN(8,CM156)*CM155))</f>
      </c>
      <c r="CN157" s="26">
        <f>IF(CN$6="","",IF(WEEKDAY(CN$6,1)=1,0,MIN(8,CN156)*CN155))</f>
      </c>
      <c r="CO157" s="26">
        <f>IF(CO$6="","",IF(WEEKDAY(CO$6,1)=1,0,MIN(8,CO156)*CO155))</f>
      </c>
      <c r="CP157" s="26">
        <f>IF(CP$6="","",IF(WEEKDAY(CP$6,1)=1,0,MIN(8,CP156)*CP155))</f>
      </c>
      <c r="CQ157" s="26">
        <f>IF(CQ$6="","",IF(WEEKDAY(CQ$6,1)=1,0,MIN(8,CQ156)*CQ155))</f>
      </c>
      <c r="CR157" s="26">
        <f>IF(CR$6="","",IF(WEEKDAY(CR$6,1)=1,0,MIN(8,CR156)*CR155))</f>
      </c>
      <c r="CS157" s="26">
        <f>IF(CS$6="","",IF(WEEKDAY(CS$6,1)=1,0,MIN(8,CS156)*CS155))</f>
      </c>
      <c r="CT157" s="26">
        <f>IF(CT$6="","",IF(WEEKDAY(CT$6,1)=1,0,MIN(8,CT156)*CT155))</f>
      </c>
      <c r="CU157" s="26">
        <f>IF(CU$6="","",IF(WEEKDAY(CU$6,1)=1,0,MIN(8,CU156)*CU155))</f>
      </c>
      <c r="CV157" s="26">
        <f>IF(CV$6="","",IF(WEEKDAY(CV$6,1)=1,0,MIN(8,CV156)*CV155))</f>
      </c>
      <c r="CW157" s="26">
        <f>IF(CW$6="","",IF(WEEKDAY(CW$6,1)=1,0,MIN(8,CW156)*CW155))</f>
      </c>
      <c r="CX157" s="8" t="s">
        <v>77</v>
      </c>
    </row>
    <row r="158" spans="2:102" x14ac:dyDescent="0.25">
      <c r="B158" s="26">
        <f>SUM(L158:CW158)</f>
      </c>
      <c r="D158" s="27">
        <f>B158*E158</f>
      </c>
      <c r="E158" s="27">
        <f>'Rate Tables'!D12</f>
      </c>
      <c r="F158" s="8" t="s">
        <v>40</v>
      </c>
      <c r="L158" s="26">
        <f>IF(L$6="","",IF(WEEKDAY(L$6,1)=1,0,MAX(0,L156-8)*L155))</f>
      </c>
      <c r="M158" s="26">
        <f>IF(M$6="","",IF(WEEKDAY(M$6,1)=1,0,MAX(0,M156-8)*M155))</f>
      </c>
      <c r="N158" s="26">
        <f>IF(N$6="","",IF(WEEKDAY(N$6,1)=1,0,MAX(0,N156-8)*N155))</f>
      </c>
      <c r="O158" s="26">
        <f>IF(O$6="","",IF(WEEKDAY(O$6,1)=1,0,MAX(0,O156-8)*O155))</f>
      </c>
      <c r="P158" s="26">
        <f>IF(P$6="","",IF(WEEKDAY(P$6,1)=1,0,MAX(0,P156-8)*P155))</f>
      </c>
      <c r="Q158" s="26">
        <f>IF(Q$6="","",IF(WEEKDAY(Q$6,1)=1,0,MAX(0,Q156-8)*Q155))</f>
      </c>
      <c r="R158" s="26">
        <f>IF(R$6="","",IF(WEEKDAY(R$6,1)=1,0,MAX(0,R156-8)*R155))</f>
      </c>
      <c r="S158" s="26">
        <f>IF(S$6="","",IF(WEEKDAY(S$6,1)=1,0,MAX(0,S156-8)*S155))</f>
      </c>
      <c r="T158" s="26">
        <f>IF(T$6="","",IF(WEEKDAY(T$6,1)=1,0,MAX(0,T156-8)*T155))</f>
      </c>
      <c r="U158" s="26">
        <f>IF(U$6="","",IF(WEEKDAY(U$6,1)=1,0,MAX(0,U156-8)*U155))</f>
      </c>
      <c r="V158" s="26">
        <f>IF(V$6="","",IF(WEEKDAY(V$6,1)=1,0,MAX(0,V156-8)*V155))</f>
      </c>
      <c r="W158" s="26">
        <f>IF(W$6="","",IF(WEEKDAY(W$6,1)=1,0,MAX(0,W156-8)*W155))</f>
      </c>
      <c r="X158" s="26">
        <f>IF(X$6="","",IF(WEEKDAY(X$6,1)=1,0,MAX(0,X156-8)*X155))</f>
      </c>
      <c r="Y158" s="26">
        <f>IF(Y$6="","",IF(WEEKDAY(Y$6,1)=1,0,MAX(0,Y156-8)*Y155))</f>
      </c>
      <c r="Z158" s="26">
        <f>IF(Z$6="","",IF(WEEKDAY(Z$6,1)=1,0,MAX(0,Z156-8)*Z155))</f>
      </c>
      <c r="AA158" s="26">
        <f>IF(AA$6="","",IF(WEEKDAY(AA$6,1)=1,0,MAX(0,AA156-8)*AA155))</f>
      </c>
      <c r="AB158" s="26">
        <f>IF(AB$6="","",IF(WEEKDAY(AB$6,1)=1,0,MAX(0,AB156-8)*AB155))</f>
      </c>
      <c r="AC158" s="26">
        <f>IF(AC$6="","",IF(WEEKDAY(AC$6,1)=1,0,MAX(0,AC156-8)*AC155))</f>
      </c>
      <c r="AD158" s="26">
        <f>IF(AD$6="","",IF(WEEKDAY(AD$6,1)=1,0,MAX(0,AD156-8)*AD155))</f>
      </c>
      <c r="AE158" s="26">
        <f>IF(AE$6="","",IF(WEEKDAY(AE$6,1)=1,0,MAX(0,AE156-8)*AE155))</f>
      </c>
      <c r="AF158" s="26">
        <f>IF(AF$6="","",IF(WEEKDAY(AF$6,1)=1,0,MAX(0,AF156-8)*AF155))</f>
      </c>
      <c r="AG158" s="26">
        <f>IF(AG$6="","",IF(WEEKDAY(AG$6,1)=1,0,MAX(0,AG156-8)*AG155))</f>
      </c>
      <c r="AH158" s="26">
        <f>IF(AH$6="","",IF(WEEKDAY(AH$6,1)=1,0,MAX(0,AH156-8)*AH155))</f>
      </c>
      <c r="AI158" s="26">
        <f>IF(AI$6="","",IF(WEEKDAY(AI$6,1)=1,0,MAX(0,AI156-8)*AI155))</f>
      </c>
      <c r="AJ158" s="26">
        <f>IF(AJ$6="","",IF(WEEKDAY(AJ$6,1)=1,0,MAX(0,AJ156-8)*AJ155))</f>
      </c>
      <c r="AK158" s="26">
        <f>IF(AK$6="","",IF(WEEKDAY(AK$6,1)=1,0,MAX(0,AK156-8)*AK155))</f>
      </c>
      <c r="AL158" s="26">
        <f>IF(AL$6="","",IF(WEEKDAY(AL$6,1)=1,0,MAX(0,AL156-8)*AL155))</f>
      </c>
      <c r="AM158" s="26">
        <f>IF(AM$6="","",IF(WEEKDAY(AM$6,1)=1,0,MAX(0,AM156-8)*AM155))</f>
      </c>
      <c r="AN158" s="26">
        <f>IF(AN$6="","",IF(WEEKDAY(AN$6,1)=1,0,MAX(0,AN156-8)*AN155))</f>
      </c>
      <c r="AO158" s="26">
        <f>IF(AO$6="","",IF(WEEKDAY(AO$6,1)=1,0,MAX(0,AO156-8)*AO155))</f>
      </c>
      <c r="AP158" s="26">
        <f>IF(AP$6="","",IF(WEEKDAY(AP$6,1)=1,0,MAX(0,AP156-8)*AP155))</f>
      </c>
      <c r="AQ158" s="26">
        <f>IF(AQ$6="","",IF(WEEKDAY(AQ$6,1)=1,0,MAX(0,AQ156-8)*AQ155))</f>
      </c>
      <c r="AR158" s="26">
        <f>IF(AR$6="","",IF(WEEKDAY(AR$6,1)=1,0,MAX(0,AR156-8)*AR155))</f>
      </c>
      <c r="AS158" s="26">
        <f>IF(AS$6="","",IF(WEEKDAY(AS$6,1)=1,0,MAX(0,AS156-8)*AS155))</f>
      </c>
      <c r="AT158" s="26">
        <f>IF(AT$6="","",IF(WEEKDAY(AT$6,1)=1,0,MAX(0,AT156-8)*AT155))</f>
      </c>
      <c r="AU158" s="26">
        <f>IF(AU$6="","",IF(WEEKDAY(AU$6,1)=1,0,MAX(0,AU156-8)*AU155))</f>
      </c>
      <c r="AV158" s="26">
        <f>IF(AV$6="","",IF(WEEKDAY(AV$6,1)=1,0,MAX(0,AV156-8)*AV155))</f>
      </c>
      <c r="AW158" s="26">
        <f>IF(AW$6="","",IF(WEEKDAY(AW$6,1)=1,0,MAX(0,AW156-8)*AW155))</f>
      </c>
      <c r="AX158" s="26">
        <f>IF(AX$6="","",IF(WEEKDAY(AX$6,1)=1,0,MAX(0,AX156-8)*AX155))</f>
      </c>
      <c r="AY158" s="26">
        <f>IF(AY$6="","",IF(WEEKDAY(AY$6,1)=1,0,MAX(0,AY156-8)*AY155))</f>
      </c>
      <c r="AZ158" s="26">
        <f>IF(AZ$6="","",IF(WEEKDAY(AZ$6,1)=1,0,MAX(0,AZ156-8)*AZ155))</f>
      </c>
      <c r="BA158" s="26">
        <f>IF(BA$6="","",IF(WEEKDAY(BA$6,1)=1,0,MAX(0,BA156-8)*BA155))</f>
      </c>
      <c r="BB158" s="26">
        <f>IF(BB$6="","",IF(WEEKDAY(BB$6,1)=1,0,MAX(0,BB156-8)*BB155))</f>
      </c>
      <c r="BC158" s="26">
        <f>IF(BC$6="","",IF(WEEKDAY(BC$6,1)=1,0,MAX(0,BC156-8)*BC155))</f>
      </c>
      <c r="BD158" s="26">
        <f>IF(BD$6="","",IF(WEEKDAY(BD$6,1)=1,0,MAX(0,BD156-8)*BD155))</f>
      </c>
      <c r="BE158" s="26">
        <f>IF(BE$6="","",IF(WEEKDAY(BE$6,1)=1,0,MAX(0,BE156-8)*BE155))</f>
      </c>
      <c r="BF158" s="26">
        <f>IF(BF$6="","",IF(WEEKDAY(BF$6,1)=1,0,MAX(0,BF156-8)*BF155))</f>
      </c>
      <c r="BG158" s="26">
        <f>IF(BG$6="","",IF(WEEKDAY(BG$6,1)=1,0,MAX(0,BG156-8)*BG155))</f>
      </c>
      <c r="BH158" s="26">
        <f>IF(BH$6="","",IF(WEEKDAY(BH$6,1)=1,0,MAX(0,BH156-8)*BH155))</f>
      </c>
      <c r="BI158" s="26">
        <f>IF(BI$6="","",IF(WEEKDAY(BI$6,1)=1,0,MAX(0,BI156-8)*BI155))</f>
      </c>
      <c r="BJ158" s="26">
        <f>IF(BJ$6="","",IF(WEEKDAY(BJ$6,1)=1,0,MAX(0,BJ156-8)*BJ155))</f>
      </c>
      <c r="BK158" s="26">
        <f>IF(BK$6="","",IF(WEEKDAY(BK$6,1)=1,0,MAX(0,BK156-8)*BK155))</f>
      </c>
      <c r="BL158" s="26">
        <f>IF(BL$6="","",IF(WEEKDAY(BL$6,1)=1,0,MAX(0,BL156-8)*BL155))</f>
      </c>
      <c r="BM158" s="26">
        <f>IF(BM$6="","",IF(WEEKDAY(BM$6,1)=1,0,MAX(0,BM156-8)*BM155))</f>
      </c>
      <c r="BN158" s="26">
        <f>IF(BN$6="","",IF(WEEKDAY(BN$6,1)=1,0,MAX(0,BN156-8)*BN155))</f>
      </c>
      <c r="BO158" s="26">
        <f>IF(BO$6="","",IF(WEEKDAY(BO$6,1)=1,0,MAX(0,BO156-8)*BO155))</f>
      </c>
      <c r="BP158" s="26">
        <f>IF(BP$6="","",IF(WEEKDAY(BP$6,1)=1,0,MAX(0,BP156-8)*BP155))</f>
      </c>
      <c r="BQ158" s="26">
        <f>IF(BQ$6="","",IF(WEEKDAY(BQ$6,1)=1,0,MAX(0,BQ156-8)*BQ155))</f>
      </c>
      <c r="BR158" s="26">
        <f>IF(BR$6="","",IF(WEEKDAY(BR$6,1)=1,0,MAX(0,BR156-8)*BR155))</f>
      </c>
      <c r="BS158" s="26">
        <f>IF(BS$6="","",IF(WEEKDAY(BS$6,1)=1,0,MAX(0,BS156-8)*BS155))</f>
      </c>
      <c r="BT158" s="26">
        <f>IF(BT$6="","",IF(WEEKDAY(BT$6,1)=1,0,MAX(0,BT156-8)*BT155))</f>
      </c>
      <c r="BU158" s="26">
        <f>IF(BU$6="","",IF(WEEKDAY(BU$6,1)=1,0,MAX(0,BU156-8)*BU155))</f>
      </c>
      <c r="BV158" s="26">
        <f>IF(BV$6="","",IF(WEEKDAY(BV$6,1)=1,0,MAX(0,BV156-8)*BV155))</f>
      </c>
      <c r="BW158" s="26">
        <f>IF(BW$6="","",IF(WEEKDAY(BW$6,1)=1,0,MAX(0,BW156-8)*BW155))</f>
      </c>
      <c r="BX158" s="26">
        <f>IF(BX$6="","",IF(WEEKDAY(BX$6,1)=1,0,MAX(0,BX156-8)*BX155))</f>
      </c>
      <c r="BY158" s="26">
        <f>IF(BY$6="","",IF(WEEKDAY(BY$6,1)=1,0,MAX(0,BY156-8)*BY155))</f>
      </c>
      <c r="BZ158" s="26">
        <f>IF(BZ$6="","",IF(WEEKDAY(BZ$6,1)=1,0,MAX(0,BZ156-8)*BZ155))</f>
      </c>
      <c r="CA158" s="26">
        <f>IF(CA$6="","",IF(WEEKDAY(CA$6,1)=1,0,MAX(0,CA156-8)*CA155))</f>
      </c>
      <c r="CB158" s="26">
        <f>IF(CB$6="","",IF(WEEKDAY(CB$6,1)=1,0,MAX(0,CB156-8)*CB155))</f>
      </c>
      <c r="CC158" s="26">
        <f>IF(CC$6="","",IF(WEEKDAY(CC$6,1)=1,0,MAX(0,CC156-8)*CC155))</f>
      </c>
      <c r="CD158" s="26">
        <f>IF(CD$6="","",IF(WEEKDAY(CD$6,1)=1,0,MAX(0,CD156-8)*CD155))</f>
      </c>
      <c r="CE158" s="26">
        <f>IF(CE$6="","",IF(WEEKDAY(CE$6,1)=1,0,MAX(0,CE156-8)*CE155))</f>
      </c>
      <c r="CF158" s="26">
        <f>IF(CF$6="","",IF(WEEKDAY(CF$6,1)=1,0,MAX(0,CF156-8)*CF155))</f>
      </c>
      <c r="CG158" s="26">
        <f>IF(CG$6="","",IF(WEEKDAY(CG$6,1)=1,0,MAX(0,CG156-8)*CG155))</f>
      </c>
      <c r="CH158" s="26">
        <f>IF(CH$6="","",IF(WEEKDAY(CH$6,1)=1,0,MAX(0,CH156-8)*CH155))</f>
      </c>
      <c r="CI158" s="26">
        <f>IF(CI$6="","",IF(WEEKDAY(CI$6,1)=1,0,MAX(0,CI156-8)*CI155))</f>
      </c>
      <c r="CJ158" s="26">
        <f>IF(CJ$6="","",IF(WEEKDAY(CJ$6,1)=1,0,MAX(0,CJ156-8)*CJ155))</f>
      </c>
      <c r="CK158" s="26">
        <f>IF(CK$6="","",IF(WEEKDAY(CK$6,1)=1,0,MAX(0,CK156-8)*CK155))</f>
      </c>
      <c r="CL158" s="26">
        <f>IF(CL$6="","",IF(WEEKDAY(CL$6,1)=1,0,MAX(0,CL156-8)*CL155))</f>
      </c>
      <c r="CM158" s="26">
        <f>IF(CM$6="","",IF(WEEKDAY(CM$6,1)=1,0,MAX(0,CM156-8)*CM155))</f>
      </c>
      <c r="CN158" s="26">
        <f>IF(CN$6="","",IF(WEEKDAY(CN$6,1)=1,0,MAX(0,CN156-8)*CN155))</f>
      </c>
      <c r="CO158" s="26">
        <f>IF(CO$6="","",IF(WEEKDAY(CO$6,1)=1,0,MAX(0,CO156-8)*CO155))</f>
      </c>
      <c r="CP158" s="26">
        <f>IF(CP$6="","",IF(WEEKDAY(CP$6,1)=1,0,MAX(0,CP156-8)*CP155))</f>
      </c>
      <c r="CQ158" s="26">
        <f>IF(CQ$6="","",IF(WEEKDAY(CQ$6,1)=1,0,MAX(0,CQ156-8)*CQ155))</f>
      </c>
      <c r="CR158" s="26">
        <f>IF(CR$6="","",IF(WEEKDAY(CR$6,1)=1,0,MAX(0,CR156-8)*CR155))</f>
      </c>
      <c r="CS158" s="26">
        <f>IF(CS$6="","",IF(WEEKDAY(CS$6,1)=1,0,MAX(0,CS156-8)*CS155))</f>
      </c>
      <c r="CT158" s="26">
        <f>IF(CT$6="","",IF(WEEKDAY(CT$6,1)=1,0,MAX(0,CT156-8)*CT155))</f>
      </c>
      <c r="CU158" s="26">
        <f>IF(CU$6="","",IF(WEEKDAY(CU$6,1)=1,0,MAX(0,CU156-8)*CU155))</f>
      </c>
      <c r="CV158" s="26">
        <f>IF(CV$6="","",IF(WEEKDAY(CV$6,1)=1,0,MAX(0,CV156-8)*CV155))</f>
      </c>
      <c r="CW158" s="26">
        <f>IF(CW$6="","",IF(WEEKDAY(CW$6,1)=1,0,MAX(0,CW156-8)*CW155))</f>
      </c>
      <c r="CX158" s="8" t="s">
        <v>77</v>
      </c>
    </row>
    <row r="159" spans="2:102" x14ac:dyDescent="0.25">
      <c r="B159" s="26">
        <f>SUM(L159:CW159)</f>
      </c>
      <c r="D159" s="27">
        <f>B159*E159</f>
      </c>
      <c r="E159" s="27">
        <f>'Rate Tables'!E12</f>
      </c>
      <c r="F159" s="8" t="s">
        <v>41</v>
      </c>
      <c r="L159" s="26">
        <f>IF(L$6="","",IF(WEEKDAY(L$6,1)=1,L156*L155,0))</f>
      </c>
      <c r="M159" s="26">
        <f>IF(M$6="","",IF(WEEKDAY(M$6,1)=1,M156*M155,0))</f>
      </c>
      <c r="N159" s="26">
        <f>IF(N$6="","",IF(WEEKDAY(N$6,1)=1,N156*N155,0))</f>
      </c>
      <c r="O159" s="26">
        <f>IF(O$6="","",IF(WEEKDAY(O$6,1)=1,O156*O155,0))</f>
      </c>
      <c r="P159" s="26">
        <f>IF(P$6="","",IF(WEEKDAY(P$6,1)=1,P156*P155,0))</f>
      </c>
      <c r="Q159" s="26">
        <f>IF(Q$6="","",IF(WEEKDAY(Q$6,1)=1,Q156*Q155,0))</f>
      </c>
      <c r="R159" s="26">
        <f>IF(R$6="","",IF(WEEKDAY(R$6,1)=1,R156*R155,0))</f>
      </c>
      <c r="S159" s="26">
        <f>IF(S$6="","",IF(WEEKDAY(S$6,1)=1,S156*S155,0))</f>
      </c>
      <c r="T159" s="26">
        <f>IF(T$6="","",IF(WEEKDAY(T$6,1)=1,T156*T155,0))</f>
      </c>
      <c r="U159" s="26">
        <f>IF(U$6="","",IF(WEEKDAY(U$6,1)=1,U156*U155,0))</f>
      </c>
      <c r="V159" s="26">
        <f>IF(V$6="","",IF(WEEKDAY(V$6,1)=1,V156*V155,0))</f>
      </c>
      <c r="W159" s="26">
        <f>IF(W$6="","",IF(WEEKDAY(W$6,1)=1,W156*W155,0))</f>
      </c>
      <c r="X159" s="26">
        <f>IF(X$6="","",IF(WEEKDAY(X$6,1)=1,X156*X155,0))</f>
      </c>
      <c r="Y159" s="26">
        <f>IF(Y$6="","",IF(WEEKDAY(Y$6,1)=1,Y156*Y155,0))</f>
      </c>
      <c r="Z159" s="26">
        <f>IF(Z$6="","",IF(WEEKDAY(Z$6,1)=1,Z156*Z155,0))</f>
      </c>
      <c r="AA159" s="26">
        <f>IF(AA$6="","",IF(WEEKDAY(AA$6,1)=1,AA156*AA155,0))</f>
      </c>
      <c r="AB159" s="26">
        <f>IF(AB$6="","",IF(WEEKDAY(AB$6,1)=1,AB156*AB155,0))</f>
      </c>
      <c r="AC159" s="26">
        <f>IF(AC$6="","",IF(WEEKDAY(AC$6,1)=1,AC156*AC155,0))</f>
      </c>
      <c r="AD159" s="26">
        <f>IF(AD$6="","",IF(WEEKDAY(AD$6,1)=1,AD156*AD155,0))</f>
      </c>
      <c r="AE159" s="26">
        <f>IF(AE$6="","",IF(WEEKDAY(AE$6,1)=1,AE156*AE155,0))</f>
      </c>
      <c r="AF159" s="26">
        <f>IF(AF$6="","",IF(WEEKDAY(AF$6,1)=1,AF156*AF155,0))</f>
      </c>
      <c r="AG159" s="26">
        <f>IF(AG$6="","",IF(WEEKDAY(AG$6,1)=1,AG156*AG155,0))</f>
      </c>
      <c r="AH159" s="26">
        <f>IF(AH$6="","",IF(WEEKDAY(AH$6,1)=1,AH156*AH155,0))</f>
      </c>
      <c r="AI159" s="26">
        <f>IF(AI$6="","",IF(WEEKDAY(AI$6,1)=1,AI156*AI155,0))</f>
      </c>
      <c r="AJ159" s="26">
        <f>IF(AJ$6="","",IF(WEEKDAY(AJ$6,1)=1,AJ156*AJ155,0))</f>
      </c>
      <c r="AK159" s="26">
        <f>IF(AK$6="","",IF(WEEKDAY(AK$6,1)=1,AK156*AK155,0))</f>
      </c>
      <c r="AL159" s="26">
        <f>IF(AL$6="","",IF(WEEKDAY(AL$6,1)=1,AL156*AL155,0))</f>
      </c>
      <c r="AM159" s="26">
        <f>IF(AM$6="","",IF(WEEKDAY(AM$6,1)=1,AM156*AM155,0))</f>
      </c>
      <c r="AN159" s="26">
        <f>IF(AN$6="","",IF(WEEKDAY(AN$6,1)=1,AN156*AN155,0))</f>
      </c>
      <c r="AO159" s="26">
        <f>IF(AO$6="","",IF(WEEKDAY(AO$6,1)=1,AO156*AO155,0))</f>
      </c>
      <c r="AP159" s="26">
        <f>IF(AP$6="","",IF(WEEKDAY(AP$6,1)=1,AP156*AP155,0))</f>
      </c>
      <c r="AQ159" s="26">
        <f>IF(AQ$6="","",IF(WEEKDAY(AQ$6,1)=1,AQ156*AQ155,0))</f>
      </c>
      <c r="AR159" s="26">
        <f>IF(AR$6="","",IF(WEEKDAY(AR$6,1)=1,AR156*AR155,0))</f>
      </c>
      <c r="AS159" s="26">
        <f>IF(AS$6="","",IF(WEEKDAY(AS$6,1)=1,AS156*AS155,0))</f>
      </c>
      <c r="AT159" s="26">
        <f>IF(AT$6="","",IF(WEEKDAY(AT$6,1)=1,AT156*AT155,0))</f>
      </c>
      <c r="AU159" s="26">
        <f>IF(AU$6="","",IF(WEEKDAY(AU$6,1)=1,AU156*AU155,0))</f>
      </c>
      <c r="AV159" s="26">
        <f>IF(AV$6="","",IF(WEEKDAY(AV$6,1)=1,AV156*AV155,0))</f>
      </c>
      <c r="AW159" s="26">
        <f>IF(AW$6="","",IF(WEEKDAY(AW$6,1)=1,AW156*AW155,0))</f>
      </c>
      <c r="AX159" s="26">
        <f>IF(AX$6="","",IF(WEEKDAY(AX$6,1)=1,AX156*AX155,0))</f>
      </c>
      <c r="AY159" s="26">
        <f>IF(AY$6="","",IF(WEEKDAY(AY$6,1)=1,AY156*AY155,0))</f>
      </c>
      <c r="AZ159" s="26">
        <f>IF(AZ$6="","",IF(WEEKDAY(AZ$6,1)=1,AZ156*AZ155,0))</f>
      </c>
      <c r="BA159" s="26">
        <f>IF(BA$6="","",IF(WEEKDAY(BA$6,1)=1,BA156*BA155,0))</f>
      </c>
      <c r="BB159" s="26">
        <f>IF(BB$6="","",IF(WEEKDAY(BB$6,1)=1,BB156*BB155,0))</f>
      </c>
      <c r="BC159" s="26">
        <f>IF(BC$6="","",IF(WEEKDAY(BC$6,1)=1,BC156*BC155,0))</f>
      </c>
      <c r="BD159" s="26">
        <f>IF(BD$6="","",IF(WEEKDAY(BD$6,1)=1,BD156*BD155,0))</f>
      </c>
      <c r="BE159" s="26">
        <f>IF(BE$6="","",IF(WEEKDAY(BE$6,1)=1,BE156*BE155,0))</f>
      </c>
      <c r="BF159" s="26">
        <f>IF(BF$6="","",IF(WEEKDAY(BF$6,1)=1,BF156*BF155,0))</f>
      </c>
      <c r="BG159" s="26">
        <f>IF(BG$6="","",IF(WEEKDAY(BG$6,1)=1,BG156*BG155,0))</f>
      </c>
      <c r="BH159" s="26">
        <f>IF(BH$6="","",IF(WEEKDAY(BH$6,1)=1,BH156*BH155,0))</f>
      </c>
      <c r="BI159" s="26">
        <f>IF(BI$6="","",IF(WEEKDAY(BI$6,1)=1,BI156*BI155,0))</f>
      </c>
      <c r="BJ159" s="26">
        <f>IF(BJ$6="","",IF(WEEKDAY(BJ$6,1)=1,BJ156*BJ155,0))</f>
      </c>
      <c r="BK159" s="26">
        <f>IF(BK$6="","",IF(WEEKDAY(BK$6,1)=1,BK156*BK155,0))</f>
      </c>
      <c r="BL159" s="26">
        <f>IF(BL$6="","",IF(WEEKDAY(BL$6,1)=1,BL156*BL155,0))</f>
      </c>
      <c r="BM159" s="26">
        <f>IF(BM$6="","",IF(WEEKDAY(BM$6,1)=1,BM156*BM155,0))</f>
      </c>
      <c r="BN159" s="26">
        <f>IF(BN$6="","",IF(WEEKDAY(BN$6,1)=1,BN156*BN155,0))</f>
      </c>
      <c r="BO159" s="26">
        <f>IF(BO$6="","",IF(WEEKDAY(BO$6,1)=1,BO156*BO155,0))</f>
      </c>
      <c r="BP159" s="26">
        <f>IF(BP$6="","",IF(WEEKDAY(BP$6,1)=1,BP156*BP155,0))</f>
      </c>
      <c r="BQ159" s="26">
        <f>IF(BQ$6="","",IF(WEEKDAY(BQ$6,1)=1,BQ156*BQ155,0))</f>
      </c>
      <c r="BR159" s="26">
        <f>IF(BR$6="","",IF(WEEKDAY(BR$6,1)=1,BR156*BR155,0))</f>
      </c>
      <c r="BS159" s="26">
        <f>IF(BS$6="","",IF(WEEKDAY(BS$6,1)=1,BS156*BS155,0))</f>
      </c>
      <c r="BT159" s="26">
        <f>IF(BT$6="","",IF(WEEKDAY(BT$6,1)=1,BT156*BT155,0))</f>
      </c>
      <c r="BU159" s="26">
        <f>IF(BU$6="","",IF(WEEKDAY(BU$6,1)=1,BU156*BU155,0))</f>
      </c>
      <c r="BV159" s="26">
        <f>IF(BV$6="","",IF(WEEKDAY(BV$6,1)=1,BV156*BV155,0))</f>
      </c>
      <c r="BW159" s="26">
        <f>IF(BW$6="","",IF(WEEKDAY(BW$6,1)=1,BW156*BW155,0))</f>
      </c>
      <c r="BX159" s="26">
        <f>IF(BX$6="","",IF(WEEKDAY(BX$6,1)=1,BX156*BX155,0))</f>
      </c>
      <c r="BY159" s="26">
        <f>IF(BY$6="","",IF(WEEKDAY(BY$6,1)=1,BY156*BY155,0))</f>
      </c>
      <c r="BZ159" s="26">
        <f>IF(BZ$6="","",IF(WEEKDAY(BZ$6,1)=1,BZ156*BZ155,0))</f>
      </c>
      <c r="CA159" s="26">
        <f>IF(CA$6="","",IF(WEEKDAY(CA$6,1)=1,CA156*CA155,0))</f>
      </c>
      <c r="CB159" s="26">
        <f>IF(CB$6="","",IF(WEEKDAY(CB$6,1)=1,CB156*CB155,0))</f>
      </c>
      <c r="CC159" s="26">
        <f>IF(CC$6="","",IF(WEEKDAY(CC$6,1)=1,CC156*CC155,0))</f>
      </c>
      <c r="CD159" s="26">
        <f>IF(CD$6="","",IF(WEEKDAY(CD$6,1)=1,CD156*CD155,0))</f>
      </c>
      <c r="CE159" s="26">
        <f>IF(CE$6="","",IF(WEEKDAY(CE$6,1)=1,CE156*CE155,0))</f>
      </c>
      <c r="CF159" s="26">
        <f>IF(CF$6="","",IF(WEEKDAY(CF$6,1)=1,CF156*CF155,0))</f>
      </c>
      <c r="CG159" s="26">
        <f>IF(CG$6="","",IF(WEEKDAY(CG$6,1)=1,CG156*CG155,0))</f>
      </c>
      <c r="CH159" s="26">
        <f>IF(CH$6="","",IF(WEEKDAY(CH$6,1)=1,CH156*CH155,0))</f>
      </c>
      <c r="CI159" s="26">
        <f>IF(CI$6="","",IF(WEEKDAY(CI$6,1)=1,CI156*CI155,0))</f>
      </c>
      <c r="CJ159" s="26">
        <f>IF(CJ$6="","",IF(WEEKDAY(CJ$6,1)=1,CJ156*CJ155,0))</f>
      </c>
      <c r="CK159" s="26">
        <f>IF(CK$6="","",IF(WEEKDAY(CK$6,1)=1,CK156*CK155,0))</f>
      </c>
      <c r="CL159" s="26">
        <f>IF(CL$6="","",IF(WEEKDAY(CL$6,1)=1,CL156*CL155,0))</f>
      </c>
      <c r="CM159" s="26">
        <f>IF(CM$6="","",IF(WEEKDAY(CM$6,1)=1,CM156*CM155,0))</f>
      </c>
      <c r="CN159" s="26">
        <f>IF(CN$6="","",IF(WEEKDAY(CN$6,1)=1,CN156*CN155,0))</f>
      </c>
      <c r="CO159" s="26">
        <f>IF(CO$6="","",IF(WEEKDAY(CO$6,1)=1,CO156*CO155,0))</f>
      </c>
      <c r="CP159" s="26">
        <f>IF(CP$6="","",IF(WEEKDAY(CP$6,1)=1,CP156*CP155,0))</f>
      </c>
      <c r="CQ159" s="26">
        <f>IF(CQ$6="","",IF(WEEKDAY(CQ$6,1)=1,CQ156*CQ155,0))</f>
      </c>
      <c r="CR159" s="26">
        <f>IF(CR$6="","",IF(WEEKDAY(CR$6,1)=1,CR156*CR155,0))</f>
      </c>
      <c r="CS159" s="26">
        <f>IF(CS$6="","",IF(WEEKDAY(CS$6,1)=1,CS156*CS155,0))</f>
      </c>
      <c r="CT159" s="26">
        <f>IF(CT$6="","",IF(WEEKDAY(CT$6,1)=1,CT156*CT155,0))</f>
      </c>
      <c r="CU159" s="26">
        <f>IF(CU$6="","",IF(WEEKDAY(CU$6,1)=1,CU156*CU155,0))</f>
      </c>
      <c r="CV159" s="26">
        <f>IF(CV$6="","",IF(WEEKDAY(CV$6,1)=1,CV156*CV155,0))</f>
      </c>
      <c r="CW159" s="26">
        <f>IF(CW$6="","",IF(WEEKDAY(CW$6,1)=1,CW156*CW155,0))</f>
      </c>
      <c r="CX159" s="8" t="s">
        <v>77</v>
      </c>
    </row>
    <row r="160" spans="2:102" x14ac:dyDescent="0.25">
      <c r="B160" s="26">
        <f>SUM(L160:CW160)</f>
      </c>
      <c r="D160" s="27">
        <f>B160*E160</f>
      </c>
      <c r="E160" s="27">
        <v>140</v>
      </c>
      <c r="F160" s="8" t="s">
        <v>42</v>
      </c>
      <c r="L160" s="28">
        <v>1</v>
      </c>
      <c r="M160" s="28">
        <v>1</v>
      </c>
      <c r="N160" s="28">
        <v>1</v>
      </c>
      <c r="O160" s="28">
        <v>1</v>
      </c>
      <c r="P160" s="28">
        <v>1</v>
      </c>
      <c r="Q160" s="28">
        <v>0</v>
      </c>
      <c r="R160" s="28">
        <v>0</v>
      </c>
      <c r="S160" s="28">
        <v>1</v>
      </c>
      <c r="T160" s="28">
        <v>1</v>
      </c>
      <c r="U160" s="28">
        <v>1</v>
      </c>
      <c r="V160" s="28">
        <v>1</v>
      </c>
      <c r="W160" s="28">
        <v>1</v>
      </c>
      <c r="X160" s="28">
        <v>0</v>
      </c>
      <c r="Y160" s="28">
        <v>0</v>
      </c>
      <c r="Z160" s="28">
        <v>1</v>
      </c>
      <c r="AA160" s="28">
        <v>1</v>
      </c>
      <c r="AB160" s="28">
        <v>1</v>
      </c>
      <c r="AC160" s="28">
        <v>1</v>
      </c>
      <c r="AD160" s="28">
        <v>1</v>
      </c>
      <c r="AE160" s="28">
        <v>0</v>
      </c>
      <c r="AF160" s="28">
        <v>0</v>
      </c>
      <c r="AG160" s="28">
        <v>1</v>
      </c>
      <c r="AH160" s="28">
        <v>1</v>
      </c>
      <c r="AI160" s="28">
        <v>1</v>
      </c>
      <c r="AJ160" s="28">
        <v>1</v>
      </c>
      <c r="AK160" s="28">
        <v>1</v>
      </c>
      <c r="AL160" s="28">
        <v>0</v>
      </c>
      <c r="AM160" s="28">
        <v>0</v>
      </c>
      <c r="AN160" s="28">
        <v>1</v>
      </c>
      <c r="AO160" s="28">
        <v>1</v>
      </c>
      <c r="AP160" s="28">
        <v>1</v>
      </c>
      <c r="AQ160" s="28">
        <v>1</v>
      </c>
      <c r="AR160" s="28">
        <v>1</v>
      </c>
      <c r="AS160" s="28">
        <v>0</v>
      </c>
      <c r="AT160" s="28">
        <v>0</v>
      </c>
      <c r="AU160" s="28">
        <v>1</v>
      </c>
      <c r="AV160" s="28">
        <v>1</v>
      </c>
      <c r="AW160" s="28">
        <v>1</v>
      </c>
      <c r="AX160" s="28">
        <v>1</v>
      </c>
      <c r="AY160" s="28">
        <v>1</v>
      </c>
      <c r="AZ160" s="28">
        <v>0</v>
      </c>
      <c r="BA160" s="28">
        <v>0</v>
      </c>
      <c r="BB160" s="28">
        <v>1</v>
      </c>
      <c r="BC160" s="28">
        <v>1</v>
      </c>
      <c r="BD160" s="28">
        <v>1</v>
      </c>
      <c r="BE160" s="28">
        <v>1</v>
      </c>
      <c r="BF160" s="28">
        <v>1</v>
      </c>
      <c r="BG160" s="28">
        <v>0</v>
      </c>
      <c r="BH160" s="28">
        <v>0</v>
      </c>
      <c r="BI160" s="28">
        <v>1</v>
      </c>
      <c r="BJ160" s="28">
        <v>1</v>
      </c>
      <c r="BK160" s="28">
        <v>1</v>
      </c>
      <c r="BL160" s="28">
        <v>1</v>
      </c>
      <c r="BM160" s="28">
        <v>1</v>
      </c>
      <c r="BN160" s="28">
        <v>1</v>
      </c>
      <c r="BO160" s="28">
        <v>1</v>
      </c>
      <c r="BP160" s="28">
        <v>1</v>
      </c>
      <c r="BQ160" s="28">
        <v>1</v>
      </c>
      <c r="BR160" s="28">
        <v>1</v>
      </c>
      <c r="BS160" s="28">
        <v>1</v>
      </c>
      <c r="BT160" s="28">
        <v>1</v>
      </c>
      <c r="BU160" s="28">
        <v>1</v>
      </c>
      <c r="BV160" s="28">
        <v>1</v>
      </c>
      <c r="BW160" s="28">
        <v>1</v>
      </c>
      <c r="BX160" s="28">
        <v>1</v>
      </c>
      <c r="BY160" s="28">
        <v>1</v>
      </c>
      <c r="BZ160" s="28">
        <v>1</v>
      </c>
      <c r="CA160" s="28">
        <v>1</v>
      </c>
      <c r="CB160" s="28">
        <v>1</v>
      </c>
      <c r="CC160" s="28">
        <v>1</v>
      </c>
      <c r="CD160" s="28">
        <v>1</v>
      </c>
      <c r="CE160" s="28">
        <v>1</v>
      </c>
      <c r="CF160" s="28">
        <v>1</v>
      </c>
      <c r="CG160" s="28">
        <v>1</v>
      </c>
      <c r="CH160" s="28">
        <v>1</v>
      </c>
      <c r="CI160" s="28">
        <v>1</v>
      </c>
      <c r="CJ160" s="28">
        <v>1</v>
      </c>
      <c r="CK160" s="28">
        <v>1</v>
      </c>
      <c r="CL160" s="28">
        <v>1</v>
      </c>
      <c r="CM160" s="28">
        <v>1</v>
      </c>
      <c r="CN160" s="28">
        <v>1</v>
      </c>
      <c r="CO160" s="28">
        <v>1</v>
      </c>
      <c r="CP160" s="28">
        <v>1</v>
      </c>
      <c r="CQ160" s="28">
        <v>1</v>
      </c>
      <c r="CR160" s="28">
        <v>1</v>
      </c>
      <c r="CS160" s="28">
        <v>1</v>
      </c>
      <c r="CT160" s="28">
        <v>1</v>
      </c>
      <c r="CU160" s="28">
        <v>1</v>
      </c>
      <c r="CV160" s="28">
        <v>1</v>
      </c>
      <c r="CW160" s="28">
        <v>1</v>
      </c>
      <c r="CX160" s="8" t="s">
        <v>77</v>
      </c>
    </row>
    <row r="161" spans="1:102" x14ac:dyDescent="0.25">
      <c r="A161" s="20" t="s">
        <v>32</v>
      </c>
      <c r="B161" s="21">
        <f>G161+H161+I161</f>
      </c>
      <c r="C161" s="20" t="s">
        <v>78</v>
      </c>
      <c r="D161" s="22">
        <f>K161</f>
      </c>
      <c r="F161" s="20" t="s">
        <v>34</v>
      </c>
      <c r="G161" s="21">
        <f>B164</f>
      </c>
      <c r="H161" s="21">
        <f>B165</f>
      </c>
      <c r="I161" s="21">
        <f>B166</f>
      </c>
      <c r="J161" s="21">
        <f>B167</f>
      </c>
      <c r="K161" s="22">
        <f>D164+D165+D166</f>
      </c>
      <c r="CX161" s="20" t="s">
        <v>79</v>
      </c>
    </row>
    <row r="162" spans="6:102" x14ac:dyDescent="0.25">
      <c r="F162" s="23" t="s">
        <v>36</v>
      </c>
      <c r="L162" s="24">
        <v>1</v>
      </c>
      <c r="M162" s="24">
        <v>1</v>
      </c>
      <c r="N162" s="24">
        <v>1</v>
      </c>
      <c r="O162" s="24">
        <v>1</v>
      </c>
      <c r="P162" s="24">
        <v>1</v>
      </c>
      <c r="Q162" s="24">
        <v>0</v>
      </c>
      <c r="R162" s="24">
        <v>0</v>
      </c>
      <c r="S162" s="24">
        <v>1</v>
      </c>
      <c r="T162" s="24">
        <v>1</v>
      </c>
      <c r="U162" s="24">
        <v>1</v>
      </c>
      <c r="V162" s="24">
        <v>1</v>
      </c>
      <c r="W162" s="24">
        <v>1</v>
      </c>
      <c r="X162" s="24">
        <v>0</v>
      </c>
      <c r="Y162" s="24">
        <v>0</v>
      </c>
      <c r="Z162" s="24">
        <v>1</v>
      </c>
      <c r="AA162" s="24">
        <v>1</v>
      </c>
      <c r="AB162" s="24">
        <v>1</v>
      </c>
      <c r="AC162" s="24">
        <v>1</v>
      </c>
      <c r="AD162" s="24">
        <v>1</v>
      </c>
      <c r="AE162" s="24">
        <v>0</v>
      </c>
      <c r="AF162" s="24">
        <v>0</v>
      </c>
      <c r="AG162" s="24">
        <v>1</v>
      </c>
      <c r="AH162" s="24">
        <v>1</v>
      </c>
      <c r="AI162" s="24">
        <v>1</v>
      </c>
      <c r="AJ162" s="24">
        <v>1</v>
      </c>
      <c r="AK162" s="24">
        <v>1</v>
      </c>
      <c r="AL162" s="24">
        <v>0</v>
      </c>
      <c r="AM162" s="24">
        <v>0</v>
      </c>
      <c r="AN162" s="24">
        <v>1</v>
      </c>
      <c r="AO162" s="24">
        <v>1</v>
      </c>
      <c r="AP162" s="24">
        <v>1</v>
      </c>
      <c r="AQ162" s="24">
        <v>2</v>
      </c>
      <c r="AR162" s="24">
        <v>2</v>
      </c>
      <c r="AS162" s="24">
        <v>0</v>
      </c>
      <c r="AT162" s="24">
        <v>0</v>
      </c>
      <c r="AU162" s="24">
        <v>2</v>
      </c>
      <c r="AV162" s="24">
        <v>2</v>
      </c>
      <c r="AW162" s="24">
        <v>2</v>
      </c>
      <c r="AX162" s="24">
        <v>2</v>
      </c>
      <c r="AY162" s="24">
        <v>2</v>
      </c>
      <c r="AZ162" s="24">
        <v>0</v>
      </c>
      <c r="BA162" s="24">
        <v>0</v>
      </c>
      <c r="BB162" s="24">
        <v>2</v>
      </c>
      <c r="BC162" s="24">
        <v>2</v>
      </c>
      <c r="BD162" s="24">
        <v>2</v>
      </c>
      <c r="BE162" s="24">
        <v>2</v>
      </c>
      <c r="BF162" s="24">
        <v>2</v>
      </c>
      <c r="BG162" s="24">
        <v>0</v>
      </c>
      <c r="BH162" s="24">
        <v>0</v>
      </c>
      <c r="BI162" s="24">
        <v>2</v>
      </c>
      <c r="BJ162" s="24">
        <v>2</v>
      </c>
      <c r="BK162" s="24">
        <v>2</v>
      </c>
      <c r="BL162" s="24">
        <v>2</v>
      </c>
      <c r="BM162" s="24">
        <v>2</v>
      </c>
      <c r="BN162" s="24">
        <v>2</v>
      </c>
      <c r="BO162" s="24">
        <v>2</v>
      </c>
      <c r="BP162" s="24">
        <v>2</v>
      </c>
      <c r="BQ162" s="24">
        <v>2</v>
      </c>
      <c r="BR162" s="24">
        <v>2</v>
      </c>
      <c r="BS162" s="24">
        <v>1</v>
      </c>
      <c r="BT162" s="24">
        <v>1</v>
      </c>
      <c r="BU162" s="24">
        <v>1</v>
      </c>
      <c r="BV162" s="24">
        <v>1</v>
      </c>
      <c r="BW162" s="24">
        <v>1</v>
      </c>
      <c r="BX162" s="24">
        <v>1</v>
      </c>
      <c r="BY162" s="24">
        <v>1</v>
      </c>
      <c r="BZ162" s="24">
        <v>1</v>
      </c>
      <c r="CA162" s="24">
        <v>1</v>
      </c>
      <c r="CB162" s="24">
        <v>1</v>
      </c>
      <c r="CC162" s="24">
        <v>1</v>
      </c>
      <c r="CD162" s="24">
        <v>1</v>
      </c>
      <c r="CE162" s="24">
        <v>1</v>
      </c>
      <c r="CF162" s="24">
        <v>1</v>
      </c>
      <c r="CG162" s="24">
        <v>1</v>
      </c>
      <c r="CH162" s="24">
        <v>1</v>
      </c>
      <c r="CI162" s="24">
        <v>1</v>
      </c>
      <c r="CJ162" s="24">
        <v>1</v>
      </c>
      <c r="CK162" s="24">
        <v>1</v>
      </c>
      <c r="CL162" s="24">
        <v>1</v>
      </c>
      <c r="CM162" s="24">
        <v>1</v>
      </c>
      <c r="CN162" s="24">
        <v>1</v>
      </c>
      <c r="CO162" s="24">
        <v>1</v>
      </c>
      <c r="CP162" s="24">
        <v>1</v>
      </c>
      <c r="CQ162" s="24">
        <v>1</v>
      </c>
      <c r="CR162" s="24">
        <v>1</v>
      </c>
      <c r="CS162" s="24">
        <v>1</v>
      </c>
      <c r="CT162" s="24">
        <v>1</v>
      </c>
      <c r="CU162" s="24">
        <v>1</v>
      </c>
      <c r="CV162" s="24">
        <v>1</v>
      </c>
      <c r="CW162" s="24">
        <v>1</v>
      </c>
      <c r="CX162" s="23" t="s">
        <v>79</v>
      </c>
    </row>
    <row r="163" spans="1:102" x14ac:dyDescent="0.25">
      <c r="A163" s="23" t="s">
        <v>37</v>
      </c>
      <c r="F163" s="23" t="s">
        <v>38</v>
      </c>
      <c r="L163" s="25">
        <v>9</v>
      </c>
      <c r="M163" s="25">
        <v>9</v>
      </c>
      <c r="N163" s="25">
        <v>9</v>
      </c>
      <c r="O163" s="25">
        <v>9</v>
      </c>
      <c r="P163" s="25">
        <v>9</v>
      </c>
      <c r="Q163" s="25">
        <v>0</v>
      </c>
      <c r="R163" s="25">
        <v>0</v>
      </c>
      <c r="S163" s="25">
        <v>9</v>
      </c>
      <c r="T163" s="25">
        <v>9</v>
      </c>
      <c r="U163" s="25">
        <v>9</v>
      </c>
      <c r="V163" s="25">
        <v>9</v>
      </c>
      <c r="W163" s="25">
        <v>9</v>
      </c>
      <c r="X163" s="25">
        <v>0</v>
      </c>
      <c r="Y163" s="25">
        <v>0</v>
      </c>
      <c r="Z163" s="25">
        <v>9</v>
      </c>
      <c r="AA163" s="25">
        <v>9</v>
      </c>
      <c r="AB163" s="25">
        <v>9</v>
      </c>
      <c r="AC163" s="25">
        <v>9</v>
      </c>
      <c r="AD163" s="25">
        <v>9</v>
      </c>
      <c r="AE163" s="25">
        <v>0</v>
      </c>
      <c r="AF163" s="25">
        <v>0</v>
      </c>
      <c r="AG163" s="25">
        <v>9</v>
      </c>
      <c r="AH163" s="25">
        <v>9</v>
      </c>
      <c r="AI163" s="25">
        <v>9</v>
      </c>
      <c r="AJ163" s="25">
        <v>9</v>
      </c>
      <c r="AK163" s="25">
        <v>9</v>
      </c>
      <c r="AL163" s="25">
        <v>0</v>
      </c>
      <c r="AM163" s="25">
        <v>0</v>
      </c>
      <c r="AN163" s="25">
        <v>9</v>
      </c>
      <c r="AO163" s="25">
        <v>9</v>
      </c>
      <c r="AP163" s="25">
        <v>9</v>
      </c>
      <c r="AQ163" s="25">
        <v>8</v>
      </c>
      <c r="AR163" s="25">
        <v>8</v>
      </c>
      <c r="AS163" s="25">
        <v>0</v>
      </c>
      <c r="AT163" s="25">
        <v>0</v>
      </c>
      <c r="AU163" s="25">
        <v>8</v>
      </c>
      <c r="AV163" s="25">
        <v>8</v>
      </c>
      <c r="AW163" s="25">
        <v>8</v>
      </c>
      <c r="AX163" s="25">
        <v>8</v>
      </c>
      <c r="AY163" s="25">
        <v>8</v>
      </c>
      <c r="AZ163" s="25">
        <v>0</v>
      </c>
      <c r="BA163" s="25">
        <v>0</v>
      </c>
      <c r="BB163" s="25">
        <v>8</v>
      </c>
      <c r="BC163" s="25">
        <v>8</v>
      </c>
      <c r="BD163" s="25">
        <v>8</v>
      </c>
      <c r="BE163" s="25">
        <v>8</v>
      </c>
      <c r="BF163" s="25">
        <v>8</v>
      </c>
      <c r="BG163" s="25">
        <v>0</v>
      </c>
      <c r="BH163" s="25">
        <v>0</v>
      </c>
      <c r="BI163" s="25">
        <v>13</v>
      </c>
      <c r="BJ163" s="25">
        <v>13</v>
      </c>
      <c r="BK163" s="25">
        <v>13</v>
      </c>
      <c r="BL163" s="25">
        <v>13</v>
      </c>
      <c r="BM163" s="25">
        <v>13</v>
      </c>
      <c r="BN163" s="25">
        <v>13</v>
      </c>
      <c r="BO163" s="25">
        <v>13</v>
      </c>
      <c r="BP163" s="25">
        <v>13</v>
      </c>
      <c r="BQ163" s="25">
        <v>13</v>
      </c>
      <c r="BR163" s="25">
        <v>13</v>
      </c>
      <c r="BS163" s="25">
        <v>13</v>
      </c>
      <c r="BT163" s="25">
        <v>13</v>
      </c>
      <c r="BU163" s="25">
        <v>13</v>
      </c>
      <c r="BV163" s="25">
        <v>13</v>
      </c>
      <c r="BW163" s="25">
        <v>13</v>
      </c>
      <c r="BX163" s="25">
        <v>13</v>
      </c>
      <c r="BY163" s="25">
        <v>13</v>
      </c>
      <c r="BZ163" s="25">
        <v>13</v>
      </c>
      <c r="CA163" s="25">
        <v>13</v>
      </c>
      <c r="CB163" s="25">
        <v>13</v>
      </c>
      <c r="CC163" s="25">
        <v>13</v>
      </c>
      <c r="CD163" s="25">
        <v>13</v>
      </c>
      <c r="CE163" s="25">
        <v>13</v>
      </c>
      <c r="CF163" s="25">
        <v>13</v>
      </c>
      <c r="CG163" s="25">
        <v>13</v>
      </c>
      <c r="CH163" s="25">
        <v>13</v>
      </c>
      <c r="CI163" s="25">
        <v>13</v>
      </c>
      <c r="CJ163" s="25">
        <v>13</v>
      </c>
      <c r="CK163" s="25">
        <v>13</v>
      </c>
      <c r="CL163" s="25">
        <v>13</v>
      </c>
      <c r="CM163" s="25">
        <v>13</v>
      </c>
      <c r="CN163" s="25">
        <v>13</v>
      </c>
      <c r="CO163" s="25">
        <v>13</v>
      </c>
      <c r="CP163" s="25">
        <v>13</v>
      </c>
      <c r="CQ163" s="25">
        <v>13</v>
      </c>
      <c r="CR163" s="25">
        <v>13</v>
      </c>
      <c r="CS163" s="25">
        <v>13</v>
      </c>
      <c r="CT163" s="25">
        <v>13</v>
      </c>
      <c r="CU163" s="25">
        <v>13</v>
      </c>
      <c r="CV163" s="25">
        <v>13</v>
      </c>
      <c r="CW163" s="25">
        <v>13</v>
      </c>
      <c r="CX163" s="23" t="s">
        <v>79</v>
      </c>
    </row>
    <row r="164" spans="2:102" x14ac:dyDescent="0.25">
      <c r="B164" s="26">
        <f>SUM(L164:CW164)</f>
      </c>
      <c r="D164" s="27">
        <f>B164*E164</f>
      </c>
      <c r="E164" s="27">
        <f>'Rate Tables'!C21</f>
      </c>
      <c r="F164" s="8" t="s">
        <v>39</v>
      </c>
      <c r="L164" s="26">
        <f>IF(L$6="","",IF(OR(WEEKDAY(L$6,1)=1,WEEKDAY(L$6,1)=7),0,MIN(8,L163)*L162))</f>
      </c>
      <c r="M164" s="26">
        <f>IF(M$6="","",IF(OR(WEEKDAY(M$6,1)=1,WEEKDAY(M$6,1)=7),0,MIN(8,M163)*M162))</f>
      </c>
      <c r="N164" s="26">
        <f>IF(N$6="","",IF(OR(WEEKDAY(N$6,1)=1,WEEKDAY(N$6,1)=7),0,MIN(8,N163)*N162))</f>
      </c>
      <c r="O164" s="26">
        <f>IF(O$6="","",IF(OR(WEEKDAY(O$6,1)=1,WEEKDAY(O$6,1)=7),0,MIN(8,O163)*O162))</f>
      </c>
      <c r="P164" s="26">
        <f>IF(P$6="","",IF(OR(WEEKDAY(P$6,1)=1,WEEKDAY(P$6,1)=7),0,MIN(8,P163)*P162))</f>
      </c>
      <c r="Q164" s="26">
        <f>IF(Q$6="","",IF(OR(WEEKDAY(Q$6,1)=1,WEEKDAY(Q$6,1)=7),0,MIN(8,Q163)*Q162))</f>
      </c>
      <c r="R164" s="26">
        <f>IF(R$6="","",IF(OR(WEEKDAY(R$6,1)=1,WEEKDAY(R$6,1)=7),0,MIN(8,R163)*R162))</f>
      </c>
      <c r="S164" s="26">
        <f>IF(S$6="","",IF(OR(WEEKDAY(S$6,1)=1,WEEKDAY(S$6,1)=7),0,MIN(8,S163)*S162))</f>
      </c>
      <c r="T164" s="26">
        <f>IF(T$6="","",IF(OR(WEEKDAY(T$6,1)=1,WEEKDAY(T$6,1)=7),0,MIN(8,T163)*T162))</f>
      </c>
      <c r="U164" s="26">
        <f>IF(U$6="","",IF(OR(WEEKDAY(U$6,1)=1,WEEKDAY(U$6,1)=7),0,MIN(8,U163)*U162))</f>
      </c>
      <c r="V164" s="26">
        <f>IF(V$6="","",IF(OR(WEEKDAY(V$6,1)=1,WEEKDAY(V$6,1)=7),0,MIN(8,V163)*V162))</f>
      </c>
      <c r="W164" s="26">
        <f>IF(W$6="","",IF(OR(WEEKDAY(W$6,1)=1,WEEKDAY(W$6,1)=7),0,MIN(8,W163)*W162))</f>
      </c>
      <c r="X164" s="26">
        <f>IF(X$6="","",IF(OR(WEEKDAY(X$6,1)=1,WEEKDAY(X$6,1)=7),0,MIN(8,X163)*X162))</f>
      </c>
      <c r="Y164" s="26">
        <f>IF(Y$6="","",IF(OR(WEEKDAY(Y$6,1)=1,WEEKDAY(Y$6,1)=7),0,MIN(8,Y163)*Y162))</f>
      </c>
      <c r="Z164" s="26">
        <f>IF(Z$6="","",IF(OR(WEEKDAY(Z$6,1)=1,WEEKDAY(Z$6,1)=7),0,MIN(8,Z163)*Z162))</f>
      </c>
      <c r="AA164" s="26">
        <f>IF(AA$6="","",IF(OR(WEEKDAY(AA$6,1)=1,WEEKDAY(AA$6,1)=7),0,MIN(8,AA163)*AA162))</f>
      </c>
      <c r="AB164" s="26">
        <f>IF(AB$6="","",IF(OR(WEEKDAY(AB$6,1)=1,WEEKDAY(AB$6,1)=7),0,MIN(8,AB163)*AB162))</f>
      </c>
      <c r="AC164" s="26">
        <f>IF(AC$6="","",IF(OR(WEEKDAY(AC$6,1)=1,WEEKDAY(AC$6,1)=7),0,MIN(8,AC163)*AC162))</f>
      </c>
      <c r="AD164" s="26">
        <f>IF(AD$6="","",IF(OR(WEEKDAY(AD$6,1)=1,WEEKDAY(AD$6,1)=7),0,MIN(8,AD163)*AD162))</f>
      </c>
      <c r="AE164" s="26">
        <f>IF(AE$6="","",IF(OR(WEEKDAY(AE$6,1)=1,WEEKDAY(AE$6,1)=7),0,MIN(8,AE163)*AE162))</f>
      </c>
      <c r="AF164" s="26">
        <f>IF(AF$6="","",IF(OR(WEEKDAY(AF$6,1)=1,WEEKDAY(AF$6,1)=7),0,MIN(8,AF163)*AF162))</f>
      </c>
      <c r="AG164" s="26">
        <f>IF(AG$6="","",IF(OR(WEEKDAY(AG$6,1)=1,WEEKDAY(AG$6,1)=7),0,MIN(8,AG163)*AG162))</f>
      </c>
      <c r="AH164" s="26">
        <f>IF(AH$6="","",IF(OR(WEEKDAY(AH$6,1)=1,WEEKDAY(AH$6,1)=7),0,MIN(8,AH163)*AH162))</f>
      </c>
      <c r="AI164" s="26">
        <f>IF(AI$6="","",IF(OR(WEEKDAY(AI$6,1)=1,WEEKDAY(AI$6,1)=7),0,MIN(8,AI163)*AI162))</f>
      </c>
      <c r="AJ164" s="26">
        <f>IF(AJ$6="","",IF(OR(WEEKDAY(AJ$6,1)=1,WEEKDAY(AJ$6,1)=7),0,MIN(8,AJ163)*AJ162))</f>
      </c>
      <c r="AK164" s="26">
        <f>IF(AK$6="","",IF(OR(WEEKDAY(AK$6,1)=1,WEEKDAY(AK$6,1)=7),0,MIN(8,AK163)*AK162))</f>
      </c>
      <c r="AL164" s="26">
        <f>IF(AL$6="","",IF(OR(WEEKDAY(AL$6,1)=1,WEEKDAY(AL$6,1)=7),0,MIN(8,AL163)*AL162))</f>
      </c>
      <c r="AM164" s="26">
        <f>IF(AM$6="","",IF(OR(WEEKDAY(AM$6,1)=1,WEEKDAY(AM$6,1)=7),0,MIN(8,AM163)*AM162))</f>
      </c>
      <c r="AN164" s="26">
        <f>IF(AN$6="","",IF(OR(WEEKDAY(AN$6,1)=1,WEEKDAY(AN$6,1)=7),0,MIN(8,AN163)*AN162))</f>
      </c>
      <c r="AO164" s="26">
        <f>IF(AO$6="","",IF(OR(WEEKDAY(AO$6,1)=1,WEEKDAY(AO$6,1)=7),0,MIN(8,AO163)*AO162))</f>
      </c>
      <c r="AP164" s="26">
        <f>IF(AP$6="","",IF(OR(WEEKDAY(AP$6,1)=1,WEEKDAY(AP$6,1)=7),0,MIN(8,AP163)*AP162))</f>
      </c>
      <c r="AQ164" s="26">
        <f>IF(AQ$6="","",IF(OR(WEEKDAY(AQ$6,1)=1,WEEKDAY(AQ$6,1)=7),0,MIN(8,AQ163)*AQ162))</f>
      </c>
      <c r="AR164" s="26">
        <f>IF(AR$6="","",IF(OR(WEEKDAY(AR$6,1)=1,WEEKDAY(AR$6,1)=7),0,MIN(8,AR163)*AR162))</f>
      </c>
      <c r="AS164" s="26">
        <f>IF(AS$6="","",IF(OR(WEEKDAY(AS$6,1)=1,WEEKDAY(AS$6,1)=7),0,MIN(8,AS163)*AS162))</f>
      </c>
      <c r="AT164" s="26">
        <f>IF(AT$6="","",IF(OR(WEEKDAY(AT$6,1)=1,WEEKDAY(AT$6,1)=7),0,MIN(8,AT163)*AT162))</f>
      </c>
      <c r="AU164" s="26">
        <f>IF(AU$6="","",IF(OR(WEEKDAY(AU$6,1)=1,WEEKDAY(AU$6,1)=7),0,MIN(8,AU163)*AU162))</f>
      </c>
      <c r="AV164" s="26">
        <f>IF(AV$6="","",IF(OR(WEEKDAY(AV$6,1)=1,WEEKDAY(AV$6,1)=7),0,MIN(8,AV163)*AV162))</f>
      </c>
      <c r="AW164" s="26">
        <f>IF(AW$6="","",IF(OR(WEEKDAY(AW$6,1)=1,WEEKDAY(AW$6,1)=7),0,MIN(8,AW163)*AW162))</f>
      </c>
      <c r="AX164" s="26">
        <f>IF(AX$6="","",IF(OR(WEEKDAY(AX$6,1)=1,WEEKDAY(AX$6,1)=7),0,MIN(8,AX163)*AX162))</f>
      </c>
      <c r="AY164" s="26">
        <f>IF(AY$6="","",IF(OR(WEEKDAY(AY$6,1)=1,WEEKDAY(AY$6,1)=7),0,MIN(8,AY163)*AY162))</f>
      </c>
      <c r="AZ164" s="26">
        <f>IF(AZ$6="","",IF(OR(WEEKDAY(AZ$6,1)=1,WEEKDAY(AZ$6,1)=7),0,MIN(8,AZ163)*AZ162))</f>
      </c>
      <c r="BA164" s="26">
        <f>IF(BA$6="","",IF(OR(WEEKDAY(BA$6,1)=1,WEEKDAY(BA$6,1)=7),0,MIN(8,BA163)*BA162))</f>
      </c>
      <c r="BB164" s="26">
        <f>IF(BB$6="","",IF(OR(WEEKDAY(BB$6,1)=1,WEEKDAY(BB$6,1)=7),0,MIN(8,BB163)*BB162))</f>
      </c>
      <c r="BC164" s="26">
        <f>IF(BC$6="","",IF(OR(WEEKDAY(BC$6,1)=1,WEEKDAY(BC$6,1)=7),0,MIN(8,BC163)*BC162))</f>
      </c>
      <c r="BD164" s="26">
        <f>IF(BD$6="","",IF(OR(WEEKDAY(BD$6,1)=1,WEEKDAY(BD$6,1)=7),0,MIN(8,BD163)*BD162))</f>
      </c>
      <c r="BE164" s="26">
        <f>IF(BE$6="","",IF(OR(WEEKDAY(BE$6,1)=1,WEEKDAY(BE$6,1)=7),0,MIN(8,BE163)*BE162))</f>
      </c>
      <c r="BF164" s="26">
        <f>IF(BF$6="","",IF(OR(WEEKDAY(BF$6,1)=1,WEEKDAY(BF$6,1)=7),0,MIN(8,BF163)*BF162))</f>
      </c>
      <c r="BG164" s="26">
        <f>IF(BG$6="","",IF(OR(WEEKDAY(BG$6,1)=1,WEEKDAY(BG$6,1)=7),0,MIN(8,BG163)*BG162))</f>
      </c>
      <c r="BH164" s="26">
        <f>IF(BH$6="","",IF(OR(WEEKDAY(BH$6,1)=1,WEEKDAY(BH$6,1)=7),0,MIN(8,BH163)*BH162))</f>
      </c>
      <c r="BI164" s="26">
        <f>IF(BI$6="","",IF(OR(WEEKDAY(BI$6,1)=1,WEEKDAY(BI$6,1)=7),0,MIN(8,BI163)*BI162))</f>
      </c>
      <c r="BJ164" s="26">
        <f>IF(BJ$6="","",IF(OR(WEEKDAY(BJ$6,1)=1,WEEKDAY(BJ$6,1)=7),0,MIN(8,BJ163)*BJ162))</f>
      </c>
      <c r="BK164" s="26">
        <f>IF(BK$6="","",IF(OR(WEEKDAY(BK$6,1)=1,WEEKDAY(BK$6,1)=7),0,MIN(8,BK163)*BK162))</f>
      </c>
      <c r="BL164" s="26">
        <f>IF(BL$6="","",IF(OR(WEEKDAY(BL$6,1)=1,WEEKDAY(BL$6,1)=7),0,MIN(8,BL163)*BL162))</f>
      </c>
      <c r="BM164" s="26">
        <f>IF(BM$6="","",IF(OR(WEEKDAY(BM$6,1)=1,WEEKDAY(BM$6,1)=7),0,MIN(8,BM163)*BM162))</f>
      </c>
      <c r="BN164" s="26">
        <f>IF(BN$6="","",IF(OR(WEEKDAY(BN$6,1)=1,WEEKDAY(BN$6,1)=7),0,MIN(8,BN163)*BN162))</f>
      </c>
      <c r="BO164" s="26">
        <f>IF(BO$6="","",IF(OR(WEEKDAY(BO$6,1)=1,WEEKDAY(BO$6,1)=7),0,MIN(8,BO163)*BO162))</f>
      </c>
      <c r="BP164" s="26">
        <f>IF(BP$6="","",IF(OR(WEEKDAY(BP$6,1)=1,WEEKDAY(BP$6,1)=7),0,MIN(8,BP163)*BP162))</f>
      </c>
      <c r="BQ164" s="26">
        <f>IF(BQ$6="","",IF(OR(WEEKDAY(BQ$6,1)=1,WEEKDAY(BQ$6,1)=7),0,MIN(8,BQ163)*BQ162))</f>
      </c>
      <c r="BR164" s="26">
        <f>IF(BR$6="","",IF(OR(WEEKDAY(BR$6,1)=1,WEEKDAY(BR$6,1)=7),0,MIN(8,BR163)*BR162))</f>
      </c>
      <c r="BS164" s="26">
        <f>IF(BS$6="","",IF(OR(WEEKDAY(BS$6,1)=1,WEEKDAY(BS$6,1)=7),0,MIN(8,BS163)*BS162))</f>
      </c>
      <c r="BT164" s="26">
        <f>IF(BT$6="","",IF(OR(WEEKDAY(BT$6,1)=1,WEEKDAY(BT$6,1)=7),0,MIN(8,BT163)*BT162))</f>
      </c>
      <c r="BU164" s="26">
        <f>IF(BU$6="","",IF(OR(WEEKDAY(BU$6,1)=1,WEEKDAY(BU$6,1)=7),0,MIN(8,BU163)*BU162))</f>
      </c>
      <c r="BV164" s="26">
        <f>IF(BV$6="","",IF(OR(WEEKDAY(BV$6,1)=1,WEEKDAY(BV$6,1)=7),0,MIN(8,BV163)*BV162))</f>
      </c>
      <c r="BW164" s="26">
        <f>IF(BW$6="","",IF(OR(WEEKDAY(BW$6,1)=1,WEEKDAY(BW$6,1)=7),0,MIN(8,BW163)*BW162))</f>
      </c>
      <c r="BX164" s="26">
        <f>IF(BX$6="","",IF(OR(WEEKDAY(BX$6,1)=1,WEEKDAY(BX$6,1)=7),0,MIN(8,BX163)*BX162))</f>
      </c>
      <c r="BY164" s="26">
        <f>IF(BY$6="","",IF(OR(WEEKDAY(BY$6,1)=1,WEEKDAY(BY$6,1)=7),0,MIN(8,BY163)*BY162))</f>
      </c>
      <c r="BZ164" s="26">
        <f>IF(BZ$6="","",IF(OR(WEEKDAY(BZ$6,1)=1,WEEKDAY(BZ$6,1)=7),0,MIN(8,BZ163)*BZ162))</f>
      </c>
      <c r="CA164" s="26">
        <f>IF(CA$6="","",IF(OR(WEEKDAY(CA$6,1)=1,WEEKDAY(CA$6,1)=7),0,MIN(8,CA163)*CA162))</f>
      </c>
      <c r="CB164" s="26">
        <f>IF(CB$6="","",IF(OR(WEEKDAY(CB$6,1)=1,WEEKDAY(CB$6,1)=7),0,MIN(8,CB163)*CB162))</f>
      </c>
      <c r="CC164" s="26">
        <f>IF(CC$6="","",IF(OR(WEEKDAY(CC$6,1)=1,WEEKDAY(CC$6,1)=7),0,MIN(8,CC163)*CC162))</f>
      </c>
      <c r="CD164" s="26">
        <f>IF(CD$6="","",IF(OR(WEEKDAY(CD$6,1)=1,WEEKDAY(CD$6,1)=7),0,MIN(8,CD163)*CD162))</f>
      </c>
      <c r="CE164" s="26">
        <f>IF(CE$6="","",IF(OR(WEEKDAY(CE$6,1)=1,WEEKDAY(CE$6,1)=7),0,MIN(8,CE163)*CE162))</f>
      </c>
      <c r="CF164" s="26">
        <f>IF(CF$6="","",IF(OR(WEEKDAY(CF$6,1)=1,WEEKDAY(CF$6,1)=7),0,MIN(8,CF163)*CF162))</f>
      </c>
      <c r="CG164" s="26">
        <f>IF(CG$6="","",IF(OR(WEEKDAY(CG$6,1)=1,WEEKDAY(CG$6,1)=7),0,MIN(8,CG163)*CG162))</f>
      </c>
      <c r="CH164" s="26">
        <f>IF(CH$6="","",IF(OR(WEEKDAY(CH$6,1)=1,WEEKDAY(CH$6,1)=7),0,MIN(8,CH163)*CH162))</f>
      </c>
      <c r="CI164" s="26">
        <f>IF(CI$6="","",IF(OR(WEEKDAY(CI$6,1)=1,WEEKDAY(CI$6,1)=7),0,MIN(8,CI163)*CI162))</f>
      </c>
      <c r="CJ164" s="26">
        <f>IF(CJ$6="","",IF(OR(WEEKDAY(CJ$6,1)=1,WEEKDAY(CJ$6,1)=7),0,MIN(8,CJ163)*CJ162))</f>
      </c>
      <c r="CK164" s="26">
        <f>IF(CK$6="","",IF(OR(WEEKDAY(CK$6,1)=1,WEEKDAY(CK$6,1)=7),0,MIN(8,CK163)*CK162))</f>
      </c>
      <c r="CL164" s="26">
        <f>IF(CL$6="","",IF(OR(WEEKDAY(CL$6,1)=1,WEEKDAY(CL$6,1)=7),0,MIN(8,CL163)*CL162))</f>
      </c>
      <c r="CM164" s="26">
        <f>IF(CM$6="","",IF(OR(WEEKDAY(CM$6,1)=1,WEEKDAY(CM$6,1)=7),0,MIN(8,CM163)*CM162))</f>
      </c>
      <c r="CN164" s="26">
        <f>IF(CN$6="","",IF(OR(WEEKDAY(CN$6,1)=1,WEEKDAY(CN$6,1)=7),0,MIN(8,CN163)*CN162))</f>
      </c>
      <c r="CO164" s="26">
        <f>IF(CO$6="","",IF(OR(WEEKDAY(CO$6,1)=1,WEEKDAY(CO$6,1)=7),0,MIN(8,CO163)*CO162))</f>
      </c>
      <c r="CP164" s="26">
        <f>IF(CP$6="","",IF(OR(WEEKDAY(CP$6,1)=1,WEEKDAY(CP$6,1)=7),0,MIN(8,CP163)*CP162))</f>
      </c>
      <c r="CQ164" s="26">
        <f>IF(CQ$6="","",IF(OR(WEEKDAY(CQ$6,1)=1,WEEKDAY(CQ$6,1)=7),0,MIN(8,CQ163)*CQ162))</f>
      </c>
      <c r="CR164" s="26">
        <f>IF(CR$6="","",IF(OR(WEEKDAY(CR$6,1)=1,WEEKDAY(CR$6,1)=7),0,MIN(8,CR163)*CR162))</f>
      </c>
      <c r="CS164" s="26">
        <f>IF(CS$6="","",IF(OR(WEEKDAY(CS$6,1)=1,WEEKDAY(CS$6,1)=7),0,MIN(8,CS163)*CS162))</f>
      </c>
      <c r="CT164" s="26">
        <f>IF(CT$6="","",IF(OR(WEEKDAY(CT$6,1)=1,WEEKDAY(CT$6,1)=7),0,MIN(8,CT163)*CT162))</f>
      </c>
      <c r="CU164" s="26">
        <f>IF(CU$6="","",IF(OR(WEEKDAY(CU$6,1)=1,WEEKDAY(CU$6,1)=7),0,MIN(8,CU163)*CU162))</f>
      </c>
      <c r="CV164" s="26">
        <f>IF(CV$6="","",IF(OR(WEEKDAY(CV$6,1)=1,WEEKDAY(CV$6,1)=7),0,MIN(8,CV163)*CV162))</f>
      </c>
      <c r="CW164" s="26">
        <f>IF(CW$6="","",IF(OR(WEEKDAY(CW$6,1)=1,WEEKDAY(CW$6,1)=7),0,MIN(8,CW163)*CW162))</f>
      </c>
      <c r="CX164" s="8" t="s">
        <v>79</v>
      </c>
    </row>
    <row r="165" spans="2:102" x14ac:dyDescent="0.25">
      <c r="B165" s="26">
        <f>SUM(L165:CW165)</f>
      </c>
      <c r="D165" s="27">
        <f>B165*E165</f>
      </c>
      <c r="E165" s="27">
        <f>'Rate Tables'!D21</f>
      </c>
      <c r="F165" s="8" t="s">
        <v>40</v>
      </c>
      <c r="L165" s="26">
        <f>IF(L$6="","",IF(WEEKDAY(L$6,1)=1,0,IF(WEEKDAY(L$6,1)=7,L163*L162,MAX(0,L163-8)*L162)))</f>
      </c>
      <c r="M165" s="26">
        <f>IF(M$6="","",IF(WEEKDAY(M$6,1)=1,0,IF(WEEKDAY(M$6,1)=7,M163*M162,MAX(0,M163-8)*M162)))</f>
      </c>
      <c r="N165" s="26">
        <f>IF(N$6="","",IF(WEEKDAY(N$6,1)=1,0,IF(WEEKDAY(N$6,1)=7,N163*N162,MAX(0,N163-8)*N162)))</f>
      </c>
      <c r="O165" s="26">
        <f>IF(O$6="","",IF(WEEKDAY(O$6,1)=1,0,IF(WEEKDAY(O$6,1)=7,O163*O162,MAX(0,O163-8)*O162)))</f>
      </c>
      <c r="P165" s="26">
        <f>IF(P$6="","",IF(WEEKDAY(P$6,1)=1,0,IF(WEEKDAY(P$6,1)=7,P163*P162,MAX(0,P163-8)*P162)))</f>
      </c>
      <c r="Q165" s="26">
        <f>IF(Q$6="","",IF(WEEKDAY(Q$6,1)=1,0,IF(WEEKDAY(Q$6,1)=7,Q163*Q162,MAX(0,Q163-8)*Q162)))</f>
      </c>
      <c r="R165" s="26">
        <f>IF(R$6="","",IF(WEEKDAY(R$6,1)=1,0,IF(WEEKDAY(R$6,1)=7,R163*R162,MAX(0,R163-8)*R162)))</f>
      </c>
      <c r="S165" s="26">
        <f>IF(S$6="","",IF(WEEKDAY(S$6,1)=1,0,IF(WEEKDAY(S$6,1)=7,S163*S162,MAX(0,S163-8)*S162)))</f>
      </c>
      <c r="T165" s="26">
        <f>IF(T$6="","",IF(WEEKDAY(T$6,1)=1,0,IF(WEEKDAY(T$6,1)=7,T163*T162,MAX(0,T163-8)*T162)))</f>
      </c>
      <c r="U165" s="26">
        <f>IF(U$6="","",IF(WEEKDAY(U$6,1)=1,0,IF(WEEKDAY(U$6,1)=7,U163*U162,MAX(0,U163-8)*U162)))</f>
      </c>
      <c r="V165" s="26">
        <f>IF(V$6="","",IF(WEEKDAY(V$6,1)=1,0,IF(WEEKDAY(V$6,1)=7,V163*V162,MAX(0,V163-8)*V162)))</f>
      </c>
      <c r="W165" s="26">
        <f>IF(W$6="","",IF(WEEKDAY(W$6,1)=1,0,IF(WEEKDAY(W$6,1)=7,W163*W162,MAX(0,W163-8)*W162)))</f>
      </c>
      <c r="X165" s="26">
        <f>IF(X$6="","",IF(WEEKDAY(X$6,1)=1,0,IF(WEEKDAY(X$6,1)=7,X163*X162,MAX(0,X163-8)*X162)))</f>
      </c>
      <c r="Y165" s="26">
        <f>IF(Y$6="","",IF(WEEKDAY(Y$6,1)=1,0,IF(WEEKDAY(Y$6,1)=7,Y163*Y162,MAX(0,Y163-8)*Y162)))</f>
      </c>
      <c r="Z165" s="26">
        <f>IF(Z$6="","",IF(WEEKDAY(Z$6,1)=1,0,IF(WEEKDAY(Z$6,1)=7,Z163*Z162,MAX(0,Z163-8)*Z162)))</f>
      </c>
      <c r="AA165" s="26">
        <f>IF(AA$6="","",IF(WEEKDAY(AA$6,1)=1,0,IF(WEEKDAY(AA$6,1)=7,AA163*AA162,MAX(0,AA163-8)*AA162)))</f>
      </c>
      <c r="AB165" s="26">
        <f>IF(AB$6="","",IF(WEEKDAY(AB$6,1)=1,0,IF(WEEKDAY(AB$6,1)=7,AB163*AB162,MAX(0,AB163-8)*AB162)))</f>
      </c>
      <c r="AC165" s="26">
        <f>IF(AC$6="","",IF(WEEKDAY(AC$6,1)=1,0,IF(WEEKDAY(AC$6,1)=7,AC163*AC162,MAX(0,AC163-8)*AC162)))</f>
      </c>
      <c r="AD165" s="26">
        <f>IF(AD$6="","",IF(WEEKDAY(AD$6,1)=1,0,IF(WEEKDAY(AD$6,1)=7,AD163*AD162,MAX(0,AD163-8)*AD162)))</f>
      </c>
      <c r="AE165" s="26">
        <f>IF(AE$6="","",IF(WEEKDAY(AE$6,1)=1,0,IF(WEEKDAY(AE$6,1)=7,AE163*AE162,MAX(0,AE163-8)*AE162)))</f>
      </c>
      <c r="AF165" s="26">
        <f>IF(AF$6="","",IF(WEEKDAY(AF$6,1)=1,0,IF(WEEKDAY(AF$6,1)=7,AF163*AF162,MAX(0,AF163-8)*AF162)))</f>
      </c>
      <c r="AG165" s="26">
        <f>IF(AG$6="","",IF(WEEKDAY(AG$6,1)=1,0,IF(WEEKDAY(AG$6,1)=7,AG163*AG162,MAX(0,AG163-8)*AG162)))</f>
      </c>
      <c r="AH165" s="26">
        <f>IF(AH$6="","",IF(WEEKDAY(AH$6,1)=1,0,IF(WEEKDAY(AH$6,1)=7,AH163*AH162,MAX(0,AH163-8)*AH162)))</f>
      </c>
      <c r="AI165" s="26">
        <f>IF(AI$6="","",IF(WEEKDAY(AI$6,1)=1,0,IF(WEEKDAY(AI$6,1)=7,AI163*AI162,MAX(0,AI163-8)*AI162)))</f>
      </c>
      <c r="AJ165" s="26">
        <f>IF(AJ$6="","",IF(WEEKDAY(AJ$6,1)=1,0,IF(WEEKDAY(AJ$6,1)=7,AJ163*AJ162,MAX(0,AJ163-8)*AJ162)))</f>
      </c>
      <c r="AK165" s="26">
        <f>IF(AK$6="","",IF(WEEKDAY(AK$6,1)=1,0,IF(WEEKDAY(AK$6,1)=7,AK163*AK162,MAX(0,AK163-8)*AK162)))</f>
      </c>
      <c r="AL165" s="26">
        <f>IF(AL$6="","",IF(WEEKDAY(AL$6,1)=1,0,IF(WEEKDAY(AL$6,1)=7,AL163*AL162,MAX(0,AL163-8)*AL162)))</f>
      </c>
      <c r="AM165" s="26">
        <f>IF(AM$6="","",IF(WEEKDAY(AM$6,1)=1,0,IF(WEEKDAY(AM$6,1)=7,AM163*AM162,MAX(0,AM163-8)*AM162)))</f>
      </c>
      <c r="AN165" s="26">
        <f>IF(AN$6="","",IF(WEEKDAY(AN$6,1)=1,0,IF(WEEKDAY(AN$6,1)=7,AN163*AN162,MAX(0,AN163-8)*AN162)))</f>
      </c>
      <c r="AO165" s="26">
        <f>IF(AO$6="","",IF(WEEKDAY(AO$6,1)=1,0,IF(WEEKDAY(AO$6,1)=7,AO163*AO162,MAX(0,AO163-8)*AO162)))</f>
      </c>
      <c r="AP165" s="26">
        <f>IF(AP$6="","",IF(WEEKDAY(AP$6,1)=1,0,IF(WEEKDAY(AP$6,1)=7,AP163*AP162,MAX(0,AP163-8)*AP162)))</f>
      </c>
      <c r="AQ165" s="26">
        <f>IF(AQ$6="","",IF(WEEKDAY(AQ$6,1)=1,0,IF(WEEKDAY(AQ$6,1)=7,AQ163*AQ162,MAX(0,AQ163-8)*AQ162)))</f>
      </c>
      <c r="AR165" s="26">
        <f>IF(AR$6="","",IF(WEEKDAY(AR$6,1)=1,0,IF(WEEKDAY(AR$6,1)=7,AR163*AR162,MAX(0,AR163-8)*AR162)))</f>
      </c>
      <c r="AS165" s="26">
        <f>IF(AS$6="","",IF(WEEKDAY(AS$6,1)=1,0,IF(WEEKDAY(AS$6,1)=7,AS163*AS162,MAX(0,AS163-8)*AS162)))</f>
      </c>
      <c r="AT165" s="26">
        <f>IF(AT$6="","",IF(WEEKDAY(AT$6,1)=1,0,IF(WEEKDAY(AT$6,1)=7,AT163*AT162,MAX(0,AT163-8)*AT162)))</f>
      </c>
      <c r="AU165" s="26">
        <f>IF(AU$6="","",IF(WEEKDAY(AU$6,1)=1,0,IF(WEEKDAY(AU$6,1)=7,AU163*AU162,MAX(0,AU163-8)*AU162)))</f>
      </c>
      <c r="AV165" s="26">
        <f>IF(AV$6="","",IF(WEEKDAY(AV$6,1)=1,0,IF(WEEKDAY(AV$6,1)=7,AV163*AV162,MAX(0,AV163-8)*AV162)))</f>
      </c>
      <c r="AW165" s="26">
        <f>IF(AW$6="","",IF(WEEKDAY(AW$6,1)=1,0,IF(WEEKDAY(AW$6,1)=7,AW163*AW162,MAX(0,AW163-8)*AW162)))</f>
      </c>
      <c r="AX165" s="26">
        <f>IF(AX$6="","",IF(WEEKDAY(AX$6,1)=1,0,IF(WEEKDAY(AX$6,1)=7,AX163*AX162,MAX(0,AX163-8)*AX162)))</f>
      </c>
      <c r="AY165" s="26">
        <f>IF(AY$6="","",IF(WEEKDAY(AY$6,1)=1,0,IF(WEEKDAY(AY$6,1)=7,AY163*AY162,MAX(0,AY163-8)*AY162)))</f>
      </c>
      <c r="AZ165" s="26">
        <f>IF(AZ$6="","",IF(WEEKDAY(AZ$6,1)=1,0,IF(WEEKDAY(AZ$6,1)=7,AZ163*AZ162,MAX(0,AZ163-8)*AZ162)))</f>
      </c>
      <c r="BA165" s="26">
        <f>IF(BA$6="","",IF(WEEKDAY(BA$6,1)=1,0,IF(WEEKDAY(BA$6,1)=7,BA163*BA162,MAX(0,BA163-8)*BA162)))</f>
      </c>
      <c r="BB165" s="26">
        <f>IF(BB$6="","",IF(WEEKDAY(BB$6,1)=1,0,IF(WEEKDAY(BB$6,1)=7,BB163*BB162,MAX(0,BB163-8)*BB162)))</f>
      </c>
      <c r="BC165" s="26">
        <f>IF(BC$6="","",IF(WEEKDAY(BC$6,1)=1,0,IF(WEEKDAY(BC$6,1)=7,BC163*BC162,MAX(0,BC163-8)*BC162)))</f>
      </c>
      <c r="BD165" s="26">
        <f>IF(BD$6="","",IF(WEEKDAY(BD$6,1)=1,0,IF(WEEKDAY(BD$6,1)=7,BD163*BD162,MAX(0,BD163-8)*BD162)))</f>
      </c>
      <c r="BE165" s="26">
        <f>IF(BE$6="","",IF(WEEKDAY(BE$6,1)=1,0,IF(WEEKDAY(BE$6,1)=7,BE163*BE162,MAX(0,BE163-8)*BE162)))</f>
      </c>
      <c r="BF165" s="26">
        <f>IF(BF$6="","",IF(WEEKDAY(BF$6,1)=1,0,IF(WEEKDAY(BF$6,1)=7,BF163*BF162,MAX(0,BF163-8)*BF162)))</f>
      </c>
      <c r="BG165" s="26">
        <f>IF(BG$6="","",IF(WEEKDAY(BG$6,1)=1,0,IF(WEEKDAY(BG$6,1)=7,BG163*BG162,MAX(0,BG163-8)*BG162)))</f>
      </c>
      <c r="BH165" s="26">
        <f>IF(BH$6="","",IF(WEEKDAY(BH$6,1)=1,0,IF(WEEKDAY(BH$6,1)=7,BH163*BH162,MAX(0,BH163-8)*BH162)))</f>
      </c>
      <c r="BI165" s="26">
        <f>IF(BI$6="","",IF(WEEKDAY(BI$6,1)=1,0,IF(WEEKDAY(BI$6,1)=7,BI163*BI162,MAX(0,BI163-8)*BI162)))</f>
      </c>
      <c r="BJ165" s="26">
        <f>IF(BJ$6="","",IF(WEEKDAY(BJ$6,1)=1,0,IF(WEEKDAY(BJ$6,1)=7,BJ163*BJ162,MAX(0,BJ163-8)*BJ162)))</f>
      </c>
      <c r="BK165" s="26">
        <f>IF(BK$6="","",IF(WEEKDAY(BK$6,1)=1,0,IF(WEEKDAY(BK$6,1)=7,BK163*BK162,MAX(0,BK163-8)*BK162)))</f>
      </c>
      <c r="BL165" s="26">
        <f>IF(BL$6="","",IF(WEEKDAY(BL$6,1)=1,0,IF(WEEKDAY(BL$6,1)=7,BL163*BL162,MAX(0,BL163-8)*BL162)))</f>
      </c>
      <c r="BM165" s="26">
        <f>IF(BM$6="","",IF(WEEKDAY(BM$6,1)=1,0,IF(WEEKDAY(BM$6,1)=7,BM163*BM162,MAX(0,BM163-8)*BM162)))</f>
      </c>
      <c r="BN165" s="26">
        <f>IF(BN$6="","",IF(WEEKDAY(BN$6,1)=1,0,IF(WEEKDAY(BN$6,1)=7,BN163*BN162,MAX(0,BN163-8)*BN162)))</f>
      </c>
      <c r="BO165" s="26">
        <f>IF(BO$6="","",IF(WEEKDAY(BO$6,1)=1,0,IF(WEEKDAY(BO$6,1)=7,BO163*BO162,MAX(0,BO163-8)*BO162)))</f>
      </c>
      <c r="BP165" s="26">
        <f>IF(BP$6="","",IF(WEEKDAY(BP$6,1)=1,0,IF(WEEKDAY(BP$6,1)=7,BP163*BP162,MAX(0,BP163-8)*BP162)))</f>
      </c>
      <c r="BQ165" s="26">
        <f>IF(BQ$6="","",IF(WEEKDAY(BQ$6,1)=1,0,IF(WEEKDAY(BQ$6,1)=7,BQ163*BQ162,MAX(0,BQ163-8)*BQ162)))</f>
      </c>
      <c r="BR165" s="26">
        <f>IF(BR$6="","",IF(WEEKDAY(BR$6,1)=1,0,IF(WEEKDAY(BR$6,1)=7,BR163*BR162,MAX(0,BR163-8)*BR162)))</f>
      </c>
      <c r="BS165" s="26">
        <f>IF(BS$6="","",IF(WEEKDAY(BS$6,1)=1,0,IF(WEEKDAY(BS$6,1)=7,BS163*BS162,MAX(0,BS163-8)*BS162)))</f>
      </c>
      <c r="BT165" s="26">
        <f>IF(BT$6="","",IF(WEEKDAY(BT$6,1)=1,0,IF(WEEKDAY(BT$6,1)=7,BT163*BT162,MAX(0,BT163-8)*BT162)))</f>
      </c>
      <c r="BU165" s="26">
        <f>IF(BU$6="","",IF(WEEKDAY(BU$6,1)=1,0,IF(WEEKDAY(BU$6,1)=7,BU163*BU162,MAX(0,BU163-8)*BU162)))</f>
      </c>
      <c r="BV165" s="26">
        <f>IF(BV$6="","",IF(WEEKDAY(BV$6,1)=1,0,IF(WEEKDAY(BV$6,1)=7,BV163*BV162,MAX(0,BV163-8)*BV162)))</f>
      </c>
      <c r="BW165" s="26">
        <f>IF(BW$6="","",IF(WEEKDAY(BW$6,1)=1,0,IF(WEEKDAY(BW$6,1)=7,BW163*BW162,MAX(0,BW163-8)*BW162)))</f>
      </c>
      <c r="BX165" s="26">
        <f>IF(BX$6="","",IF(WEEKDAY(BX$6,1)=1,0,IF(WEEKDAY(BX$6,1)=7,BX163*BX162,MAX(0,BX163-8)*BX162)))</f>
      </c>
      <c r="BY165" s="26">
        <f>IF(BY$6="","",IF(WEEKDAY(BY$6,1)=1,0,IF(WEEKDAY(BY$6,1)=7,BY163*BY162,MAX(0,BY163-8)*BY162)))</f>
      </c>
      <c r="BZ165" s="26">
        <f>IF(BZ$6="","",IF(WEEKDAY(BZ$6,1)=1,0,IF(WEEKDAY(BZ$6,1)=7,BZ163*BZ162,MAX(0,BZ163-8)*BZ162)))</f>
      </c>
      <c r="CA165" s="26">
        <f>IF(CA$6="","",IF(WEEKDAY(CA$6,1)=1,0,IF(WEEKDAY(CA$6,1)=7,CA163*CA162,MAX(0,CA163-8)*CA162)))</f>
      </c>
      <c r="CB165" s="26">
        <f>IF(CB$6="","",IF(WEEKDAY(CB$6,1)=1,0,IF(WEEKDAY(CB$6,1)=7,CB163*CB162,MAX(0,CB163-8)*CB162)))</f>
      </c>
      <c r="CC165" s="26">
        <f>IF(CC$6="","",IF(WEEKDAY(CC$6,1)=1,0,IF(WEEKDAY(CC$6,1)=7,CC163*CC162,MAX(0,CC163-8)*CC162)))</f>
      </c>
      <c r="CD165" s="26">
        <f>IF(CD$6="","",IF(WEEKDAY(CD$6,1)=1,0,IF(WEEKDAY(CD$6,1)=7,CD163*CD162,MAX(0,CD163-8)*CD162)))</f>
      </c>
      <c r="CE165" s="26">
        <f>IF(CE$6="","",IF(WEEKDAY(CE$6,1)=1,0,IF(WEEKDAY(CE$6,1)=7,CE163*CE162,MAX(0,CE163-8)*CE162)))</f>
      </c>
      <c r="CF165" s="26">
        <f>IF(CF$6="","",IF(WEEKDAY(CF$6,1)=1,0,IF(WEEKDAY(CF$6,1)=7,CF163*CF162,MAX(0,CF163-8)*CF162)))</f>
      </c>
      <c r="CG165" s="26">
        <f>IF(CG$6="","",IF(WEEKDAY(CG$6,1)=1,0,IF(WEEKDAY(CG$6,1)=7,CG163*CG162,MAX(0,CG163-8)*CG162)))</f>
      </c>
      <c r="CH165" s="26">
        <f>IF(CH$6="","",IF(WEEKDAY(CH$6,1)=1,0,IF(WEEKDAY(CH$6,1)=7,CH163*CH162,MAX(0,CH163-8)*CH162)))</f>
      </c>
      <c r="CI165" s="26">
        <f>IF(CI$6="","",IF(WEEKDAY(CI$6,1)=1,0,IF(WEEKDAY(CI$6,1)=7,CI163*CI162,MAX(0,CI163-8)*CI162)))</f>
      </c>
      <c r="CJ165" s="26">
        <f>IF(CJ$6="","",IF(WEEKDAY(CJ$6,1)=1,0,IF(WEEKDAY(CJ$6,1)=7,CJ163*CJ162,MAX(0,CJ163-8)*CJ162)))</f>
      </c>
      <c r="CK165" s="26">
        <f>IF(CK$6="","",IF(WEEKDAY(CK$6,1)=1,0,IF(WEEKDAY(CK$6,1)=7,CK163*CK162,MAX(0,CK163-8)*CK162)))</f>
      </c>
      <c r="CL165" s="26">
        <f>IF(CL$6="","",IF(WEEKDAY(CL$6,1)=1,0,IF(WEEKDAY(CL$6,1)=7,CL163*CL162,MAX(0,CL163-8)*CL162)))</f>
      </c>
      <c r="CM165" s="26">
        <f>IF(CM$6="","",IF(WEEKDAY(CM$6,1)=1,0,IF(WEEKDAY(CM$6,1)=7,CM163*CM162,MAX(0,CM163-8)*CM162)))</f>
      </c>
      <c r="CN165" s="26">
        <f>IF(CN$6="","",IF(WEEKDAY(CN$6,1)=1,0,IF(WEEKDAY(CN$6,1)=7,CN163*CN162,MAX(0,CN163-8)*CN162)))</f>
      </c>
      <c r="CO165" s="26">
        <f>IF(CO$6="","",IF(WEEKDAY(CO$6,1)=1,0,IF(WEEKDAY(CO$6,1)=7,CO163*CO162,MAX(0,CO163-8)*CO162)))</f>
      </c>
      <c r="CP165" s="26">
        <f>IF(CP$6="","",IF(WEEKDAY(CP$6,1)=1,0,IF(WEEKDAY(CP$6,1)=7,CP163*CP162,MAX(0,CP163-8)*CP162)))</f>
      </c>
      <c r="CQ165" s="26">
        <f>IF(CQ$6="","",IF(WEEKDAY(CQ$6,1)=1,0,IF(WEEKDAY(CQ$6,1)=7,CQ163*CQ162,MAX(0,CQ163-8)*CQ162)))</f>
      </c>
      <c r="CR165" s="26">
        <f>IF(CR$6="","",IF(WEEKDAY(CR$6,1)=1,0,IF(WEEKDAY(CR$6,1)=7,CR163*CR162,MAX(0,CR163-8)*CR162)))</f>
      </c>
      <c r="CS165" s="26">
        <f>IF(CS$6="","",IF(WEEKDAY(CS$6,1)=1,0,IF(WEEKDAY(CS$6,1)=7,CS163*CS162,MAX(0,CS163-8)*CS162)))</f>
      </c>
      <c r="CT165" s="26">
        <f>IF(CT$6="","",IF(WEEKDAY(CT$6,1)=1,0,IF(WEEKDAY(CT$6,1)=7,CT163*CT162,MAX(0,CT163-8)*CT162)))</f>
      </c>
      <c r="CU165" s="26">
        <f>IF(CU$6="","",IF(WEEKDAY(CU$6,1)=1,0,IF(WEEKDAY(CU$6,1)=7,CU163*CU162,MAX(0,CU163-8)*CU162)))</f>
      </c>
      <c r="CV165" s="26">
        <f>IF(CV$6="","",IF(WEEKDAY(CV$6,1)=1,0,IF(WEEKDAY(CV$6,1)=7,CV163*CV162,MAX(0,CV163-8)*CV162)))</f>
      </c>
      <c r="CW165" s="26">
        <f>IF(CW$6="","",IF(WEEKDAY(CW$6,1)=1,0,IF(WEEKDAY(CW$6,1)=7,CW163*CW162,MAX(0,CW163-8)*CW162)))</f>
      </c>
      <c r="CX165" s="8" t="s">
        <v>79</v>
      </c>
    </row>
    <row r="166" spans="2:102" x14ac:dyDescent="0.25">
      <c r="B166" s="26">
        <f>SUM(L166:CW166)</f>
      </c>
      <c r="D166" s="27">
        <f>B166*E166</f>
      </c>
      <c r="E166" s="27">
        <f>'Rate Tables'!E21</f>
      </c>
      <c r="F166" s="8" t="s">
        <v>41</v>
      </c>
      <c r="L166" s="26">
        <f>IF(L$6="","",IF(WEEKDAY(L$6,1)=1,L163*L162,0))</f>
      </c>
      <c r="M166" s="26">
        <f>IF(M$6="","",IF(WEEKDAY(M$6,1)=1,M163*M162,0))</f>
      </c>
      <c r="N166" s="26">
        <f>IF(N$6="","",IF(WEEKDAY(N$6,1)=1,N163*N162,0))</f>
      </c>
      <c r="O166" s="26">
        <f>IF(O$6="","",IF(WEEKDAY(O$6,1)=1,O163*O162,0))</f>
      </c>
      <c r="P166" s="26">
        <f>IF(P$6="","",IF(WEEKDAY(P$6,1)=1,P163*P162,0))</f>
      </c>
      <c r="Q166" s="26">
        <f>IF(Q$6="","",IF(WEEKDAY(Q$6,1)=1,Q163*Q162,0))</f>
      </c>
      <c r="R166" s="26">
        <f>IF(R$6="","",IF(WEEKDAY(R$6,1)=1,R163*R162,0))</f>
      </c>
      <c r="S166" s="26">
        <f>IF(S$6="","",IF(WEEKDAY(S$6,1)=1,S163*S162,0))</f>
      </c>
      <c r="T166" s="26">
        <f>IF(T$6="","",IF(WEEKDAY(T$6,1)=1,T163*T162,0))</f>
      </c>
      <c r="U166" s="26">
        <f>IF(U$6="","",IF(WEEKDAY(U$6,1)=1,U163*U162,0))</f>
      </c>
      <c r="V166" s="26">
        <f>IF(V$6="","",IF(WEEKDAY(V$6,1)=1,V163*V162,0))</f>
      </c>
      <c r="W166" s="26">
        <f>IF(W$6="","",IF(WEEKDAY(W$6,1)=1,W163*W162,0))</f>
      </c>
      <c r="X166" s="26">
        <f>IF(X$6="","",IF(WEEKDAY(X$6,1)=1,X163*X162,0))</f>
      </c>
      <c r="Y166" s="26">
        <f>IF(Y$6="","",IF(WEEKDAY(Y$6,1)=1,Y163*Y162,0))</f>
      </c>
      <c r="Z166" s="26">
        <f>IF(Z$6="","",IF(WEEKDAY(Z$6,1)=1,Z163*Z162,0))</f>
      </c>
      <c r="AA166" s="26">
        <f>IF(AA$6="","",IF(WEEKDAY(AA$6,1)=1,AA163*AA162,0))</f>
      </c>
      <c r="AB166" s="26">
        <f>IF(AB$6="","",IF(WEEKDAY(AB$6,1)=1,AB163*AB162,0))</f>
      </c>
      <c r="AC166" s="26">
        <f>IF(AC$6="","",IF(WEEKDAY(AC$6,1)=1,AC163*AC162,0))</f>
      </c>
      <c r="AD166" s="26">
        <f>IF(AD$6="","",IF(WEEKDAY(AD$6,1)=1,AD163*AD162,0))</f>
      </c>
      <c r="AE166" s="26">
        <f>IF(AE$6="","",IF(WEEKDAY(AE$6,1)=1,AE163*AE162,0))</f>
      </c>
      <c r="AF166" s="26">
        <f>IF(AF$6="","",IF(WEEKDAY(AF$6,1)=1,AF163*AF162,0))</f>
      </c>
      <c r="AG166" s="26">
        <f>IF(AG$6="","",IF(WEEKDAY(AG$6,1)=1,AG163*AG162,0))</f>
      </c>
      <c r="AH166" s="26">
        <f>IF(AH$6="","",IF(WEEKDAY(AH$6,1)=1,AH163*AH162,0))</f>
      </c>
      <c r="AI166" s="26">
        <f>IF(AI$6="","",IF(WEEKDAY(AI$6,1)=1,AI163*AI162,0))</f>
      </c>
      <c r="AJ166" s="26">
        <f>IF(AJ$6="","",IF(WEEKDAY(AJ$6,1)=1,AJ163*AJ162,0))</f>
      </c>
      <c r="AK166" s="26">
        <f>IF(AK$6="","",IF(WEEKDAY(AK$6,1)=1,AK163*AK162,0))</f>
      </c>
      <c r="AL166" s="26">
        <f>IF(AL$6="","",IF(WEEKDAY(AL$6,1)=1,AL163*AL162,0))</f>
      </c>
      <c r="AM166" s="26">
        <f>IF(AM$6="","",IF(WEEKDAY(AM$6,1)=1,AM163*AM162,0))</f>
      </c>
      <c r="AN166" s="26">
        <f>IF(AN$6="","",IF(WEEKDAY(AN$6,1)=1,AN163*AN162,0))</f>
      </c>
      <c r="AO166" s="26">
        <f>IF(AO$6="","",IF(WEEKDAY(AO$6,1)=1,AO163*AO162,0))</f>
      </c>
      <c r="AP166" s="26">
        <f>IF(AP$6="","",IF(WEEKDAY(AP$6,1)=1,AP163*AP162,0))</f>
      </c>
      <c r="AQ166" s="26">
        <f>IF(AQ$6="","",IF(WEEKDAY(AQ$6,1)=1,AQ163*AQ162,0))</f>
      </c>
      <c r="AR166" s="26">
        <f>IF(AR$6="","",IF(WEEKDAY(AR$6,1)=1,AR163*AR162,0))</f>
      </c>
      <c r="AS166" s="26">
        <f>IF(AS$6="","",IF(WEEKDAY(AS$6,1)=1,AS163*AS162,0))</f>
      </c>
      <c r="AT166" s="26">
        <f>IF(AT$6="","",IF(WEEKDAY(AT$6,1)=1,AT163*AT162,0))</f>
      </c>
      <c r="AU166" s="26">
        <f>IF(AU$6="","",IF(WEEKDAY(AU$6,1)=1,AU163*AU162,0))</f>
      </c>
      <c r="AV166" s="26">
        <f>IF(AV$6="","",IF(WEEKDAY(AV$6,1)=1,AV163*AV162,0))</f>
      </c>
      <c r="AW166" s="26">
        <f>IF(AW$6="","",IF(WEEKDAY(AW$6,1)=1,AW163*AW162,0))</f>
      </c>
      <c r="AX166" s="26">
        <f>IF(AX$6="","",IF(WEEKDAY(AX$6,1)=1,AX163*AX162,0))</f>
      </c>
      <c r="AY166" s="26">
        <f>IF(AY$6="","",IF(WEEKDAY(AY$6,1)=1,AY163*AY162,0))</f>
      </c>
      <c r="AZ166" s="26">
        <f>IF(AZ$6="","",IF(WEEKDAY(AZ$6,1)=1,AZ163*AZ162,0))</f>
      </c>
      <c r="BA166" s="26">
        <f>IF(BA$6="","",IF(WEEKDAY(BA$6,1)=1,BA163*BA162,0))</f>
      </c>
      <c r="BB166" s="26">
        <f>IF(BB$6="","",IF(WEEKDAY(BB$6,1)=1,BB163*BB162,0))</f>
      </c>
      <c r="BC166" s="26">
        <f>IF(BC$6="","",IF(WEEKDAY(BC$6,1)=1,BC163*BC162,0))</f>
      </c>
      <c r="BD166" s="26">
        <f>IF(BD$6="","",IF(WEEKDAY(BD$6,1)=1,BD163*BD162,0))</f>
      </c>
      <c r="BE166" s="26">
        <f>IF(BE$6="","",IF(WEEKDAY(BE$6,1)=1,BE163*BE162,0))</f>
      </c>
      <c r="BF166" s="26">
        <f>IF(BF$6="","",IF(WEEKDAY(BF$6,1)=1,BF163*BF162,0))</f>
      </c>
      <c r="BG166" s="26">
        <f>IF(BG$6="","",IF(WEEKDAY(BG$6,1)=1,BG163*BG162,0))</f>
      </c>
      <c r="BH166" s="26">
        <f>IF(BH$6="","",IF(WEEKDAY(BH$6,1)=1,BH163*BH162,0))</f>
      </c>
      <c r="BI166" s="26">
        <f>IF(BI$6="","",IF(WEEKDAY(BI$6,1)=1,BI163*BI162,0))</f>
      </c>
      <c r="BJ166" s="26">
        <f>IF(BJ$6="","",IF(WEEKDAY(BJ$6,1)=1,BJ163*BJ162,0))</f>
      </c>
      <c r="BK166" s="26">
        <f>IF(BK$6="","",IF(WEEKDAY(BK$6,1)=1,BK163*BK162,0))</f>
      </c>
      <c r="BL166" s="26">
        <f>IF(BL$6="","",IF(WEEKDAY(BL$6,1)=1,BL163*BL162,0))</f>
      </c>
      <c r="BM166" s="26">
        <f>IF(BM$6="","",IF(WEEKDAY(BM$6,1)=1,BM163*BM162,0))</f>
      </c>
      <c r="BN166" s="26">
        <f>IF(BN$6="","",IF(WEEKDAY(BN$6,1)=1,BN163*BN162,0))</f>
      </c>
      <c r="BO166" s="26">
        <f>IF(BO$6="","",IF(WEEKDAY(BO$6,1)=1,BO163*BO162,0))</f>
      </c>
      <c r="BP166" s="26">
        <f>IF(BP$6="","",IF(WEEKDAY(BP$6,1)=1,BP163*BP162,0))</f>
      </c>
      <c r="BQ166" s="26">
        <f>IF(BQ$6="","",IF(WEEKDAY(BQ$6,1)=1,BQ163*BQ162,0))</f>
      </c>
      <c r="BR166" s="26">
        <f>IF(BR$6="","",IF(WEEKDAY(BR$6,1)=1,BR163*BR162,0))</f>
      </c>
      <c r="BS166" s="26">
        <f>IF(BS$6="","",IF(WEEKDAY(BS$6,1)=1,BS163*BS162,0))</f>
      </c>
      <c r="BT166" s="26">
        <f>IF(BT$6="","",IF(WEEKDAY(BT$6,1)=1,BT163*BT162,0))</f>
      </c>
      <c r="BU166" s="26">
        <f>IF(BU$6="","",IF(WEEKDAY(BU$6,1)=1,BU163*BU162,0))</f>
      </c>
      <c r="BV166" s="26">
        <f>IF(BV$6="","",IF(WEEKDAY(BV$6,1)=1,BV163*BV162,0))</f>
      </c>
      <c r="BW166" s="26">
        <f>IF(BW$6="","",IF(WEEKDAY(BW$6,1)=1,BW163*BW162,0))</f>
      </c>
      <c r="BX166" s="26">
        <f>IF(BX$6="","",IF(WEEKDAY(BX$6,1)=1,BX163*BX162,0))</f>
      </c>
      <c r="BY166" s="26">
        <f>IF(BY$6="","",IF(WEEKDAY(BY$6,1)=1,BY163*BY162,0))</f>
      </c>
      <c r="BZ166" s="26">
        <f>IF(BZ$6="","",IF(WEEKDAY(BZ$6,1)=1,BZ163*BZ162,0))</f>
      </c>
      <c r="CA166" s="26">
        <f>IF(CA$6="","",IF(WEEKDAY(CA$6,1)=1,CA163*CA162,0))</f>
      </c>
      <c r="CB166" s="26">
        <f>IF(CB$6="","",IF(WEEKDAY(CB$6,1)=1,CB163*CB162,0))</f>
      </c>
      <c r="CC166" s="26">
        <f>IF(CC$6="","",IF(WEEKDAY(CC$6,1)=1,CC163*CC162,0))</f>
      </c>
      <c r="CD166" s="26">
        <f>IF(CD$6="","",IF(WEEKDAY(CD$6,1)=1,CD163*CD162,0))</f>
      </c>
      <c r="CE166" s="26">
        <f>IF(CE$6="","",IF(WEEKDAY(CE$6,1)=1,CE163*CE162,0))</f>
      </c>
      <c r="CF166" s="26">
        <f>IF(CF$6="","",IF(WEEKDAY(CF$6,1)=1,CF163*CF162,0))</f>
      </c>
      <c r="CG166" s="26">
        <f>IF(CG$6="","",IF(WEEKDAY(CG$6,1)=1,CG163*CG162,0))</f>
      </c>
      <c r="CH166" s="26">
        <f>IF(CH$6="","",IF(WEEKDAY(CH$6,1)=1,CH163*CH162,0))</f>
      </c>
      <c r="CI166" s="26">
        <f>IF(CI$6="","",IF(WEEKDAY(CI$6,1)=1,CI163*CI162,0))</f>
      </c>
      <c r="CJ166" s="26">
        <f>IF(CJ$6="","",IF(WEEKDAY(CJ$6,1)=1,CJ163*CJ162,0))</f>
      </c>
      <c r="CK166" s="26">
        <f>IF(CK$6="","",IF(WEEKDAY(CK$6,1)=1,CK163*CK162,0))</f>
      </c>
      <c r="CL166" s="26">
        <f>IF(CL$6="","",IF(WEEKDAY(CL$6,1)=1,CL163*CL162,0))</f>
      </c>
      <c r="CM166" s="26">
        <f>IF(CM$6="","",IF(WEEKDAY(CM$6,1)=1,CM163*CM162,0))</f>
      </c>
      <c r="CN166" s="26">
        <f>IF(CN$6="","",IF(WEEKDAY(CN$6,1)=1,CN163*CN162,0))</f>
      </c>
      <c r="CO166" s="26">
        <f>IF(CO$6="","",IF(WEEKDAY(CO$6,1)=1,CO163*CO162,0))</f>
      </c>
      <c r="CP166" s="26">
        <f>IF(CP$6="","",IF(WEEKDAY(CP$6,1)=1,CP163*CP162,0))</f>
      </c>
      <c r="CQ166" s="26">
        <f>IF(CQ$6="","",IF(WEEKDAY(CQ$6,1)=1,CQ163*CQ162,0))</f>
      </c>
      <c r="CR166" s="26">
        <f>IF(CR$6="","",IF(WEEKDAY(CR$6,1)=1,CR163*CR162,0))</f>
      </c>
      <c r="CS166" s="26">
        <f>IF(CS$6="","",IF(WEEKDAY(CS$6,1)=1,CS163*CS162,0))</f>
      </c>
      <c r="CT166" s="26">
        <f>IF(CT$6="","",IF(WEEKDAY(CT$6,1)=1,CT163*CT162,0))</f>
      </c>
      <c r="CU166" s="26">
        <f>IF(CU$6="","",IF(WEEKDAY(CU$6,1)=1,CU163*CU162,0))</f>
      </c>
      <c r="CV166" s="26">
        <f>IF(CV$6="","",IF(WEEKDAY(CV$6,1)=1,CV163*CV162,0))</f>
      </c>
      <c r="CW166" s="26">
        <f>IF(CW$6="","",IF(WEEKDAY(CW$6,1)=1,CW163*CW162,0))</f>
      </c>
      <c r="CX166" s="8" t="s">
        <v>79</v>
      </c>
    </row>
    <row r="167" spans="2:102" x14ac:dyDescent="0.25">
      <c r="B167" s="26">
        <f>SUM(L167:CW167)</f>
      </c>
      <c r="D167" s="27">
        <f>B167*E167</f>
      </c>
      <c r="E167" s="27">
        <v>140</v>
      </c>
      <c r="F167" s="8" t="s">
        <v>42</v>
      </c>
      <c r="L167" s="28">
        <v>1</v>
      </c>
      <c r="M167" s="28">
        <v>1</v>
      </c>
      <c r="N167" s="28">
        <v>1</v>
      </c>
      <c r="O167" s="28">
        <v>1</v>
      </c>
      <c r="P167" s="28">
        <v>1</v>
      </c>
      <c r="Q167" s="28">
        <v>0</v>
      </c>
      <c r="R167" s="28">
        <v>0</v>
      </c>
      <c r="S167" s="28">
        <v>1</v>
      </c>
      <c r="T167" s="28">
        <v>1</v>
      </c>
      <c r="U167" s="28">
        <v>1</v>
      </c>
      <c r="V167" s="28">
        <v>1</v>
      </c>
      <c r="W167" s="28">
        <v>1</v>
      </c>
      <c r="X167" s="28">
        <v>0</v>
      </c>
      <c r="Y167" s="28">
        <v>0</v>
      </c>
      <c r="Z167" s="28">
        <v>1</v>
      </c>
      <c r="AA167" s="28">
        <v>1</v>
      </c>
      <c r="AB167" s="28">
        <v>1</v>
      </c>
      <c r="AC167" s="28">
        <v>0</v>
      </c>
      <c r="AD167" s="28">
        <v>0</v>
      </c>
      <c r="AE167" s="28">
        <v>0</v>
      </c>
      <c r="AF167" s="28">
        <v>0</v>
      </c>
      <c r="AG167" s="28">
        <v>0</v>
      </c>
      <c r="AH167" s="28">
        <v>0</v>
      </c>
      <c r="AI167" s="28">
        <v>0</v>
      </c>
      <c r="AJ167" s="28">
        <v>0</v>
      </c>
      <c r="AK167" s="28">
        <v>0</v>
      </c>
      <c r="AL167" s="28">
        <v>0</v>
      </c>
      <c r="AM167" s="28">
        <v>0</v>
      </c>
      <c r="AN167" s="28">
        <v>0</v>
      </c>
      <c r="AO167" s="28">
        <v>0</v>
      </c>
      <c r="AP167" s="28">
        <v>0</v>
      </c>
      <c r="AQ167" s="28">
        <v>2</v>
      </c>
      <c r="AR167" s="28">
        <v>2</v>
      </c>
      <c r="AS167" s="28">
        <v>0</v>
      </c>
      <c r="AT167" s="28">
        <v>0</v>
      </c>
      <c r="AU167" s="28">
        <v>2</v>
      </c>
      <c r="AV167" s="28">
        <v>2</v>
      </c>
      <c r="AW167" s="28">
        <v>2</v>
      </c>
      <c r="AX167" s="28">
        <v>2</v>
      </c>
      <c r="AY167" s="28">
        <v>2</v>
      </c>
      <c r="AZ167" s="28">
        <v>0</v>
      </c>
      <c r="BA167" s="28">
        <v>0</v>
      </c>
      <c r="BB167" s="28">
        <v>2</v>
      </c>
      <c r="BC167" s="28">
        <v>2</v>
      </c>
      <c r="BD167" s="28">
        <v>2</v>
      </c>
      <c r="BE167" s="28">
        <v>2</v>
      </c>
      <c r="BF167" s="28">
        <v>2</v>
      </c>
      <c r="BG167" s="28">
        <v>0</v>
      </c>
      <c r="BH167" s="28">
        <v>0</v>
      </c>
      <c r="BI167" s="28">
        <v>1</v>
      </c>
      <c r="BJ167" s="28">
        <v>1</v>
      </c>
      <c r="BK167" s="28">
        <v>1</v>
      </c>
      <c r="BL167" s="28">
        <v>1</v>
      </c>
      <c r="BM167" s="28">
        <v>1</v>
      </c>
      <c r="BN167" s="28">
        <v>1</v>
      </c>
      <c r="BO167" s="28">
        <v>1</v>
      </c>
      <c r="BP167" s="28">
        <v>1</v>
      </c>
      <c r="BQ167" s="28">
        <v>1</v>
      </c>
      <c r="BR167" s="28">
        <v>1</v>
      </c>
      <c r="BS167" s="28">
        <v>1</v>
      </c>
      <c r="BT167" s="28">
        <v>1</v>
      </c>
      <c r="BU167" s="28">
        <v>1</v>
      </c>
      <c r="BV167" s="28">
        <v>1</v>
      </c>
      <c r="BW167" s="28">
        <v>1</v>
      </c>
      <c r="BX167" s="28">
        <v>1</v>
      </c>
      <c r="BY167" s="28">
        <v>1</v>
      </c>
      <c r="BZ167" s="28">
        <v>1</v>
      </c>
      <c r="CA167" s="28">
        <v>1</v>
      </c>
      <c r="CB167" s="28">
        <v>1</v>
      </c>
      <c r="CC167" s="28">
        <v>1</v>
      </c>
      <c r="CD167" s="28">
        <v>1</v>
      </c>
      <c r="CE167" s="28">
        <v>1</v>
      </c>
      <c r="CF167" s="28">
        <v>1</v>
      </c>
      <c r="CG167" s="28">
        <v>1</v>
      </c>
      <c r="CH167" s="28">
        <v>1</v>
      </c>
      <c r="CI167" s="28">
        <v>1</v>
      </c>
      <c r="CJ167" s="28">
        <v>1</v>
      </c>
      <c r="CK167" s="28">
        <v>1</v>
      </c>
      <c r="CL167" s="28">
        <v>1</v>
      </c>
      <c r="CM167" s="28">
        <v>1</v>
      </c>
      <c r="CN167" s="28">
        <v>1</v>
      </c>
      <c r="CO167" s="28">
        <v>1</v>
      </c>
      <c r="CP167" s="28">
        <v>1</v>
      </c>
      <c r="CQ167" s="28">
        <v>1</v>
      </c>
      <c r="CR167" s="28">
        <v>1</v>
      </c>
      <c r="CS167" s="28">
        <v>1</v>
      </c>
      <c r="CT167" s="28">
        <v>1</v>
      </c>
      <c r="CU167" s="28">
        <v>1</v>
      </c>
      <c r="CV167" s="28">
        <v>1</v>
      </c>
      <c r="CW167" s="28">
        <v>1</v>
      </c>
      <c r="CX167" s="8" t="s">
        <v>79</v>
      </c>
    </row>
    <row r="168" spans="1:102" x14ac:dyDescent="0.25">
      <c r="A168" s="20" t="s">
        <v>47</v>
      </c>
      <c r="B168" s="21">
        <f>G168+H168+I168</f>
      </c>
      <c r="C168" s="20" t="s">
        <v>78</v>
      </c>
      <c r="D168" s="22">
        <f>K168</f>
      </c>
      <c r="F168" s="20" t="s">
        <v>34</v>
      </c>
      <c r="G168" s="21">
        <f>B171</f>
      </c>
      <c r="H168" s="21">
        <f>B172</f>
      </c>
      <c r="I168" s="21">
        <f>B173</f>
      </c>
      <c r="J168" s="21">
        <f>B174</f>
      </c>
      <c r="K168" s="22">
        <f>D171+D172+D173</f>
      </c>
      <c r="CX168" s="20" t="s">
        <v>80</v>
      </c>
    </row>
    <row r="169" spans="6:102" x14ac:dyDescent="0.25">
      <c r="F169" s="23" t="s">
        <v>36</v>
      </c>
      <c r="L169" s="24">
        <v>0</v>
      </c>
      <c r="M169" s="24">
        <v>0</v>
      </c>
      <c r="N169" s="24">
        <v>0</v>
      </c>
      <c r="O169" s="24">
        <v>0</v>
      </c>
      <c r="P169" s="24">
        <v>0</v>
      </c>
      <c r="Q169" s="24">
        <v>0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4">
        <v>0</v>
      </c>
      <c r="Y169" s="24">
        <v>0</v>
      </c>
      <c r="Z169" s="24">
        <v>0</v>
      </c>
      <c r="AA169" s="24">
        <v>0</v>
      </c>
      <c r="AB169" s="24">
        <v>0</v>
      </c>
      <c r="AC169" s="24">
        <v>0</v>
      </c>
      <c r="AD169" s="24">
        <v>0</v>
      </c>
      <c r="AE169" s="24">
        <v>0</v>
      </c>
      <c r="AF169" s="24">
        <v>0</v>
      </c>
      <c r="AG169" s="24">
        <v>0</v>
      </c>
      <c r="AH169" s="24">
        <v>0</v>
      </c>
      <c r="AI169" s="24">
        <v>0</v>
      </c>
      <c r="AJ169" s="24">
        <v>0</v>
      </c>
      <c r="AK169" s="24">
        <v>0</v>
      </c>
      <c r="AL169" s="24">
        <v>0</v>
      </c>
      <c r="AM169" s="24">
        <v>0</v>
      </c>
      <c r="AN169" s="24">
        <v>0</v>
      </c>
      <c r="AO169" s="24">
        <v>0</v>
      </c>
      <c r="AP169" s="24">
        <v>0</v>
      </c>
      <c r="AQ169" s="24">
        <v>0</v>
      </c>
      <c r="AR169" s="24">
        <v>0</v>
      </c>
      <c r="AS169" s="24">
        <v>0</v>
      </c>
      <c r="AT169" s="24">
        <v>0</v>
      </c>
      <c r="AU169" s="24">
        <v>0</v>
      </c>
      <c r="AV169" s="24">
        <v>0</v>
      </c>
      <c r="AW169" s="24">
        <v>0</v>
      </c>
      <c r="AX169" s="24">
        <v>0</v>
      </c>
      <c r="AY169" s="24">
        <v>0</v>
      </c>
      <c r="AZ169" s="24">
        <v>0</v>
      </c>
      <c r="BA169" s="24">
        <v>0</v>
      </c>
      <c r="BB169" s="24">
        <v>0</v>
      </c>
      <c r="BC169" s="24">
        <v>0</v>
      </c>
      <c r="BD169" s="24">
        <v>0</v>
      </c>
      <c r="BE169" s="24">
        <v>0</v>
      </c>
      <c r="BF169" s="24">
        <v>0</v>
      </c>
      <c r="BG169" s="24">
        <v>0</v>
      </c>
      <c r="BH169" s="24">
        <v>0</v>
      </c>
      <c r="BI169" s="24">
        <v>1</v>
      </c>
      <c r="BJ169" s="24">
        <v>1</v>
      </c>
      <c r="BK169" s="24">
        <v>1</v>
      </c>
      <c r="BL169" s="24">
        <v>1</v>
      </c>
      <c r="BM169" s="24">
        <v>1</v>
      </c>
      <c r="BN169" s="24">
        <v>1</v>
      </c>
      <c r="BO169" s="24">
        <v>1</v>
      </c>
      <c r="BP169" s="24">
        <v>1</v>
      </c>
      <c r="BQ169" s="24">
        <v>1</v>
      </c>
      <c r="BR169" s="24">
        <v>1</v>
      </c>
      <c r="BS169" s="24">
        <v>1</v>
      </c>
      <c r="BT169" s="24">
        <v>1</v>
      </c>
      <c r="BU169" s="24">
        <v>1</v>
      </c>
      <c r="BV169" s="24">
        <v>1</v>
      </c>
      <c r="BW169" s="24">
        <v>1</v>
      </c>
      <c r="BX169" s="24">
        <v>1</v>
      </c>
      <c r="BY169" s="24">
        <v>1</v>
      </c>
      <c r="BZ169" s="24">
        <v>1</v>
      </c>
      <c r="CA169" s="24">
        <v>1</v>
      </c>
      <c r="CB169" s="24">
        <v>1</v>
      </c>
      <c r="CC169" s="24">
        <v>1</v>
      </c>
      <c r="CD169" s="24">
        <v>1</v>
      </c>
      <c r="CE169" s="24">
        <v>1</v>
      </c>
      <c r="CF169" s="24">
        <v>1</v>
      </c>
      <c r="CG169" s="24">
        <v>1</v>
      </c>
      <c r="CH169" s="24">
        <v>1</v>
      </c>
      <c r="CI169" s="24">
        <v>1</v>
      </c>
      <c r="CJ169" s="24">
        <v>1</v>
      </c>
      <c r="CK169" s="24">
        <v>1</v>
      </c>
      <c r="CL169" s="24">
        <v>1</v>
      </c>
      <c r="CM169" s="24">
        <v>1</v>
      </c>
      <c r="CN169" s="24">
        <v>1</v>
      </c>
      <c r="CO169" s="24">
        <v>1</v>
      </c>
      <c r="CP169" s="24">
        <v>1</v>
      </c>
      <c r="CQ169" s="24">
        <v>1</v>
      </c>
      <c r="CR169" s="24">
        <v>1</v>
      </c>
      <c r="CS169" s="24">
        <v>1</v>
      </c>
      <c r="CT169" s="24">
        <v>1</v>
      </c>
      <c r="CU169" s="24">
        <v>1</v>
      </c>
      <c r="CV169" s="24">
        <v>1</v>
      </c>
      <c r="CW169" s="24">
        <v>1</v>
      </c>
      <c r="CX169" s="23" t="s">
        <v>80</v>
      </c>
    </row>
    <row r="170" spans="1:102" x14ac:dyDescent="0.25">
      <c r="A170" s="23" t="s">
        <v>37</v>
      </c>
      <c r="F170" s="23" t="s">
        <v>38</v>
      </c>
      <c r="L170" s="25">
        <v>0</v>
      </c>
      <c r="M170" s="25">
        <v>0</v>
      </c>
      <c r="N170" s="25">
        <v>0</v>
      </c>
      <c r="O170" s="25">
        <v>0</v>
      </c>
      <c r="P170" s="25">
        <v>0</v>
      </c>
      <c r="Q170" s="25">
        <v>0</v>
      </c>
      <c r="R170" s="25">
        <v>0</v>
      </c>
      <c r="S170" s="25">
        <v>0</v>
      </c>
      <c r="T170" s="25">
        <v>0</v>
      </c>
      <c r="U170" s="25">
        <v>0</v>
      </c>
      <c r="V170" s="25">
        <v>0</v>
      </c>
      <c r="W170" s="25">
        <v>0</v>
      </c>
      <c r="X170" s="25">
        <v>0</v>
      </c>
      <c r="Y170" s="25">
        <v>0</v>
      </c>
      <c r="Z170" s="25">
        <v>0</v>
      </c>
      <c r="AA170" s="25">
        <v>0</v>
      </c>
      <c r="AB170" s="25">
        <v>0</v>
      </c>
      <c r="AC170" s="25">
        <v>0</v>
      </c>
      <c r="AD170" s="25">
        <v>0</v>
      </c>
      <c r="AE170" s="25">
        <v>0</v>
      </c>
      <c r="AF170" s="25">
        <v>0</v>
      </c>
      <c r="AG170" s="25">
        <v>0</v>
      </c>
      <c r="AH170" s="25">
        <v>0</v>
      </c>
      <c r="AI170" s="25">
        <v>0</v>
      </c>
      <c r="AJ170" s="25">
        <v>0</v>
      </c>
      <c r="AK170" s="25">
        <v>0</v>
      </c>
      <c r="AL170" s="25">
        <v>0</v>
      </c>
      <c r="AM170" s="25">
        <v>0</v>
      </c>
      <c r="AN170" s="25">
        <v>0</v>
      </c>
      <c r="AO170" s="25">
        <v>0</v>
      </c>
      <c r="AP170" s="25">
        <v>0</v>
      </c>
      <c r="AQ170" s="25">
        <v>0</v>
      </c>
      <c r="AR170" s="25">
        <v>0</v>
      </c>
      <c r="AS170" s="25">
        <v>0</v>
      </c>
      <c r="AT170" s="25">
        <v>0</v>
      </c>
      <c r="AU170" s="25">
        <v>0</v>
      </c>
      <c r="AV170" s="25">
        <v>0</v>
      </c>
      <c r="AW170" s="25">
        <v>0</v>
      </c>
      <c r="AX170" s="25">
        <v>0</v>
      </c>
      <c r="AY170" s="25">
        <v>0</v>
      </c>
      <c r="AZ170" s="25">
        <v>0</v>
      </c>
      <c r="BA170" s="25">
        <v>0</v>
      </c>
      <c r="BB170" s="25">
        <v>0</v>
      </c>
      <c r="BC170" s="25">
        <v>0</v>
      </c>
      <c r="BD170" s="25">
        <v>0</v>
      </c>
      <c r="BE170" s="25">
        <v>0</v>
      </c>
      <c r="BF170" s="25">
        <v>0</v>
      </c>
      <c r="BG170" s="25">
        <v>0</v>
      </c>
      <c r="BH170" s="25">
        <v>0</v>
      </c>
      <c r="BI170" s="25">
        <v>13</v>
      </c>
      <c r="BJ170" s="25">
        <v>13</v>
      </c>
      <c r="BK170" s="25">
        <v>13</v>
      </c>
      <c r="BL170" s="25">
        <v>13</v>
      </c>
      <c r="BM170" s="25">
        <v>13</v>
      </c>
      <c r="BN170" s="25">
        <v>13</v>
      </c>
      <c r="BO170" s="25">
        <v>13</v>
      </c>
      <c r="BP170" s="25">
        <v>13</v>
      </c>
      <c r="BQ170" s="25">
        <v>13</v>
      </c>
      <c r="BR170" s="25">
        <v>13</v>
      </c>
      <c r="BS170" s="25">
        <v>13</v>
      </c>
      <c r="BT170" s="25">
        <v>13</v>
      </c>
      <c r="BU170" s="25">
        <v>13</v>
      </c>
      <c r="BV170" s="25">
        <v>13</v>
      </c>
      <c r="BW170" s="25">
        <v>13</v>
      </c>
      <c r="BX170" s="25">
        <v>13</v>
      </c>
      <c r="BY170" s="25">
        <v>13</v>
      </c>
      <c r="BZ170" s="25">
        <v>13</v>
      </c>
      <c r="CA170" s="25">
        <v>13</v>
      </c>
      <c r="CB170" s="25">
        <v>13</v>
      </c>
      <c r="CC170" s="25">
        <v>13</v>
      </c>
      <c r="CD170" s="25">
        <v>13</v>
      </c>
      <c r="CE170" s="25">
        <v>13</v>
      </c>
      <c r="CF170" s="25">
        <v>13</v>
      </c>
      <c r="CG170" s="25">
        <v>13</v>
      </c>
      <c r="CH170" s="25">
        <v>13</v>
      </c>
      <c r="CI170" s="25">
        <v>13</v>
      </c>
      <c r="CJ170" s="25">
        <v>13</v>
      </c>
      <c r="CK170" s="25">
        <v>13</v>
      </c>
      <c r="CL170" s="25">
        <v>13</v>
      </c>
      <c r="CM170" s="25">
        <v>13</v>
      </c>
      <c r="CN170" s="25">
        <v>13</v>
      </c>
      <c r="CO170" s="25">
        <v>13</v>
      </c>
      <c r="CP170" s="25">
        <v>13</v>
      </c>
      <c r="CQ170" s="25">
        <v>13</v>
      </c>
      <c r="CR170" s="25">
        <v>13</v>
      </c>
      <c r="CS170" s="25">
        <v>13</v>
      </c>
      <c r="CT170" s="25">
        <v>13</v>
      </c>
      <c r="CU170" s="25">
        <v>13</v>
      </c>
      <c r="CV170" s="25">
        <v>13</v>
      </c>
      <c r="CW170" s="25">
        <v>13</v>
      </c>
      <c r="CX170" s="23" t="s">
        <v>80</v>
      </c>
    </row>
    <row r="171" spans="2:102" x14ac:dyDescent="0.25">
      <c r="B171" s="26">
        <f>SUM(L171:CW171)</f>
      </c>
      <c r="D171" s="27">
        <f>B171*E171</f>
      </c>
      <c r="E171" s="27">
        <f>'Rate Tables'!C21</f>
      </c>
      <c r="F171" s="8" t="s">
        <v>39</v>
      </c>
      <c r="L171" s="26">
        <f>IF(L$6="","",IF(OR(WEEKDAY(L$6,1)=1,WEEKDAY(L$6,1)=7),0,MIN(8,L170)*L169))</f>
      </c>
      <c r="M171" s="26">
        <f>IF(M$6="","",IF(OR(WEEKDAY(M$6,1)=1,WEEKDAY(M$6,1)=7),0,MIN(8,M170)*M169))</f>
      </c>
      <c r="N171" s="26">
        <f>IF(N$6="","",IF(OR(WEEKDAY(N$6,1)=1,WEEKDAY(N$6,1)=7),0,MIN(8,N170)*N169))</f>
      </c>
      <c r="O171" s="26">
        <f>IF(O$6="","",IF(OR(WEEKDAY(O$6,1)=1,WEEKDAY(O$6,1)=7),0,MIN(8,O170)*O169))</f>
      </c>
      <c r="P171" s="26">
        <f>IF(P$6="","",IF(OR(WEEKDAY(P$6,1)=1,WEEKDAY(P$6,1)=7),0,MIN(8,P170)*P169))</f>
      </c>
      <c r="Q171" s="26">
        <f>IF(Q$6="","",IF(OR(WEEKDAY(Q$6,1)=1,WEEKDAY(Q$6,1)=7),0,MIN(8,Q170)*Q169))</f>
      </c>
      <c r="R171" s="26">
        <f>IF(R$6="","",IF(OR(WEEKDAY(R$6,1)=1,WEEKDAY(R$6,1)=7),0,MIN(8,R170)*R169))</f>
      </c>
      <c r="S171" s="26">
        <f>IF(S$6="","",IF(OR(WEEKDAY(S$6,1)=1,WEEKDAY(S$6,1)=7),0,MIN(8,S170)*S169))</f>
      </c>
      <c r="T171" s="26">
        <f>IF(T$6="","",IF(OR(WEEKDAY(T$6,1)=1,WEEKDAY(T$6,1)=7),0,MIN(8,T170)*T169))</f>
      </c>
      <c r="U171" s="26">
        <f>IF(U$6="","",IF(OR(WEEKDAY(U$6,1)=1,WEEKDAY(U$6,1)=7),0,MIN(8,U170)*U169))</f>
      </c>
      <c r="V171" s="26">
        <f>IF(V$6="","",IF(OR(WEEKDAY(V$6,1)=1,WEEKDAY(V$6,1)=7),0,MIN(8,V170)*V169))</f>
      </c>
      <c r="W171" s="26">
        <f>IF(W$6="","",IF(OR(WEEKDAY(W$6,1)=1,WEEKDAY(W$6,1)=7),0,MIN(8,W170)*W169))</f>
      </c>
      <c r="X171" s="26">
        <f>IF(X$6="","",IF(OR(WEEKDAY(X$6,1)=1,WEEKDAY(X$6,1)=7),0,MIN(8,X170)*X169))</f>
      </c>
      <c r="Y171" s="26">
        <f>IF(Y$6="","",IF(OR(WEEKDAY(Y$6,1)=1,WEEKDAY(Y$6,1)=7),0,MIN(8,Y170)*Y169))</f>
      </c>
      <c r="Z171" s="26">
        <f>IF(Z$6="","",IF(OR(WEEKDAY(Z$6,1)=1,WEEKDAY(Z$6,1)=7),0,MIN(8,Z170)*Z169))</f>
      </c>
      <c r="AA171" s="26">
        <f>IF(AA$6="","",IF(OR(WEEKDAY(AA$6,1)=1,WEEKDAY(AA$6,1)=7),0,MIN(8,AA170)*AA169))</f>
      </c>
      <c r="AB171" s="26">
        <f>IF(AB$6="","",IF(OR(WEEKDAY(AB$6,1)=1,WEEKDAY(AB$6,1)=7),0,MIN(8,AB170)*AB169))</f>
      </c>
      <c r="AC171" s="26">
        <f>IF(AC$6="","",IF(OR(WEEKDAY(AC$6,1)=1,WEEKDAY(AC$6,1)=7),0,MIN(8,AC170)*AC169))</f>
      </c>
      <c r="AD171" s="26">
        <f>IF(AD$6="","",IF(OR(WEEKDAY(AD$6,1)=1,WEEKDAY(AD$6,1)=7),0,MIN(8,AD170)*AD169))</f>
      </c>
      <c r="AE171" s="26">
        <f>IF(AE$6="","",IF(OR(WEEKDAY(AE$6,1)=1,WEEKDAY(AE$6,1)=7),0,MIN(8,AE170)*AE169))</f>
      </c>
      <c r="AF171" s="26">
        <f>IF(AF$6="","",IF(OR(WEEKDAY(AF$6,1)=1,WEEKDAY(AF$6,1)=7),0,MIN(8,AF170)*AF169))</f>
      </c>
      <c r="AG171" s="26">
        <f>IF(AG$6="","",IF(OR(WEEKDAY(AG$6,1)=1,WEEKDAY(AG$6,1)=7),0,MIN(8,AG170)*AG169))</f>
      </c>
      <c r="AH171" s="26">
        <f>IF(AH$6="","",IF(OR(WEEKDAY(AH$6,1)=1,WEEKDAY(AH$6,1)=7),0,MIN(8,AH170)*AH169))</f>
      </c>
      <c r="AI171" s="26">
        <f>IF(AI$6="","",IF(OR(WEEKDAY(AI$6,1)=1,WEEKDAY(AI$6,1)=7),0,MIN(8,AI170)*AI169))</f>
      </c>
      <c r="AJ171" s="26">
        <f>IF(AJ$6="","",IF(OR(WEEKDAY(AJ$6,1)=1,WEEKDAY(AJ$6,1)=7),0,MIN(8,AJ170)*AJ169))</f>
      </c>
      <c r="AK171" s="26">
        <f>IF(AK$6="","",IF(OR(WEEKDAY(AK$6,1)=1,WEEKDAY(AK$6,1)=7),0,MIN(8,AK170)*AK169))</f>
      </c>
      <c r="AL171" s="26">
        <f>IF(AL$6="","",IF(OR(WEEKDAY(AL$6,1)=1,WEEKDAY(AL$6,1)=7),0,MIN(8,AL170)*AL169))</f>
      </c>
      <c r="AM171" s="26">
        <f>IF(AM$6="","",IF(OR(WEEKDAY(AM$6,1)=1,WEEKDAY(AM$6,1)=7),0,MIN(8,AM170)*AM169))</f>
      </c>
      <c r="AN171" s="26">
        <f>IF(AN$6="","",IF(OR(WEEKDAY(AN$6,1)=1,WEEKDAY(AN$6,1)=7),0,MIN(8,AN170)*AN169))</f>
      </c>
      <c r="AO171" s="26">
        <f>IF(AO$6="","",IF(OR(WEEKDAY(AO$6,1)=1,WEEKDAY(AO$6,1)=7),0,MIN(8,AO170)*AO169))</f>
      </c>
      <c r="AP171" s="26">
        <f>IF(AP$6="","",IF(OR(WEEKDAY(AP$6,1)=1,WEEKDAY(AP$6,1)=7),0,MIN(8,AP170)*AP169))</f>
      </c>
      <c r="AQ171" s="26">
        <f>IF(AQ$6="","",IF(OR(WEEKDAY(AQ$6,1)=1,WEEKDAY(AQ$6,1)=7),0,MIN(8,AQ170)*AQ169))</f>
      </c>
      <c r="AR171" s="26">
        <f>IF(AR$6="","",IF(OR(WEEKDAY(AR$6,1)=1,WEEKDAY(AR$6,1)=7),0,MIN(8,AR170)*AR169))</f>
      </c>
      <c r="AS171" s="26">
        <f>IF(AS$6="","",IF(OR(WEEKDAY(AS$6,1)=1,WEEKDAY(AS$6,1)=7),0,MIN(8,AS170)*AS169))</f>
      </c>
      <c r="AT171" s="26">
        <f>IF(AT$6="","",IF(OR(WEEKDAY(AT$6,1)=1,WEEKDAY(AT$6,1)=7),0,MIN(8,AT170)*AT169))</f>
      </c>
      <c r="AU171" s="26">
        <f>IF(AU$6="","",IF(OR(WEEKDAY(AU$6,1)=1,WEEKDAY(AU$6,1)=7),0,MIN(8,AU170)*AU169))</f>
      </c>
      <c r="AV171" s="26">
        <f>IF(AV$6="","",IF(OR(WEEKDAY(AV$6,1)=1,WEEKDAY(AV$6,1)=7),0,MIN(8,AV170)*AV169))</f>
      </c>
      <c r="AW171" s="26">
        <f>IF(AW$6="","",IF(OR(WEEKDAY(AW$6,1)=1,WEEKDAY(AW$6,1)=7),0,MIN(8,AW170)*AW169))</f>
      </c>
      <c r="AX171" s="26">
        <f>IF(AX$6="","",IF(OR(WEEKDAY(AX$6,1)=1,WEEKDAY(AX$6,1)=7),0,MIN(8,AX170)*AX169))</f>
      </c>
      <c r="AY171" s="26">
        <f>IF(AY$6="","",IF(OR(WEEKDAY(AY$6,1)=1,WEEKDAY(AY$6,1)=7),0,MIN(8,AY170)*AY169))</f>
      </c>
      <c r="AZ171" s="26">
        <f>IF(AZ$6="","",IF(OR(WEEKDAY(AZ$6,1)=1,WEEKDAY(AZ$6,1)=7),0,MIN(8,AZ170)*AZ169))</f>
      </c>
      <c r="BA171" s="26">
        <f>IF(BA$6="","",IF(OR(WEEKDAY(BA$6,1)=1,WEEKDAY(BA$6,1)=7),0,MIN(8,BA170)*BA169))</f>
      </c>
      <c r="BB171" s="26">
        <f>IF(BB$6="","",IF(OR(WEEKDAY(BB$6,1)=1,WEEKDAY(BB$6,1)=7),0,MIN(8,BB170)*BB169))</f>
      </c>
      <c r="BC171" s="26">
        <f>IF(BC$6="","",IF(OR(WEEKDAY(BC$6,1)=1,WEEKDAY(BC$6,1)=7),0,MIN(8,BC170)*BC169))</f>
      </c>
      <c r="BD171" s="26">
        <f>IF(BD$6="","",IF(OR(WEEKDAY(BD$6,1)=1,WEEKDAY(BD$6,1)=7),0,MIN(8,BD170)*BD169))</f>
      </c>
      <c r="BE171" s="26">
        <f>IF(BE$6="","",IF(OR(WEEKDAY(BE$6,1)=1,WEEKDAY(BE$6,1)=7),0,MIN(8,BE170)*BE169))</f>
      </c>
      <c r="BF171" s="26">
        <f>IF(BF$6="","",IF(OR(WEEKDAY(BF$6,1)=1,WEEKDAY(BF$6,1)=7),0,MIN(8,BF170)*BF169))</f>
      </c>
      <c r="BG171" s="26">
        <f>IF(BG$6="","",IF(OR(WEEKDAY(BG$6,1)=1,WEEKDAY(BG$6,1)=7),0,MIN(8,BG170)*BG169))</f>
      </c>
      <c r="BH171" s="26">
        <f>IF(BH$6="","",IF(OR(WEEKDAY(BH$6,1)=1,WEEKDAY(BH$6,1)=7),0,MIN(8,BH170)*BH169))</f>
      </c>
      <c r="BI171" s="26">
        <f>IF(BI$6="","",IF(OR(WEEKDAY(BI$6,1)=1,WEEKDAY(BI$6,1)=7),0,MIN(8,BI170)*BI169))</f>
      </c>
      <c r="BJ171" s="26">
        <f>IF(BJ$6="","",IF(OR(WEEKDAY(BJ$6,1)=1,WEEKDAY(BJ$6,1)=7),0,MIN(8,BJ170)*BJ169))</f>
      </c>
      <c r="BK171" s="26">
        <f>IF(BK$6="","",IF(OR(WEEKDAY(BK$6,1)=1,WEEKDAY(BK$6,1)=7),0,MIN(8,BK170)*BK169))</f>
      </c>
      <c r="BL171" s="26">
        <f>IF(BL$6="","",IF(OR(WEEKDAY(BL$6,1)=1,WEEKDAY(BL$6,1)=7),0,MIN(8,BL170)*BL169))</f>
      </c>
      <c r="BM171" s="26">
        <f>IF(BM$6="","",IF(OR(WEEKDAY(BM$6,1)=1,WEEKDAY(BM$6,1)=7),0,MIN(8,BM170)*BM169))</f>
      </c>
      <c r="BN171" s="26">
        <f>IF(BN$6="","",IF(OR(WEEKDAY(BN$6,1)=1,WEEKDAY(BN$6,1)=7),0,MIN(8,BN170)*BN169))</f>
      </c>
      <c r="BO171" s="26">
        <f>IF(BO$6="","",IF(OR(WEEKDAY(BO$6,1)=1,WEEKDAY(BO$6,1)=7),0,MIN(8,BO170)*BO169))</f>
      </c>
      <c r="BP171" s="26">
        <f>IF(BP$6="","",IF(OR(WEEKDAY(BP$6,1)=1,WEEKDAY(BP$6,1)=7),0,MIN(8,BP170)*BP169))</f>
      </c>
      <c r="BQ171" s="26">
        <f>IF(BQ$6="","",IF(OR(WEEKDAY(BQ$6,1)=1,WEEKDAY(BQ$6,1)=7),0,MIN(8,BQ170)*BQ169))</f>
      </c>
      <c r="BR171" s="26">
        <f>IF(BR$6="","",IF(OR(WEEKDAY(BR$6,1)=1,WEEKDAY(BR$6,1)=7),0,MIN(8,BR170)*BR169))</f>
      </c>
      <c r="BS171" s="26">
        <f>IF(BS$6="","",IF(OR(WEEKDAY(BS$6,1)=1,WEEKDAY(BS$6,1)=7),0,MIN(8,BS170)*BS169))</f>
      </c>
      <c r="BT171" s="26">
        <f>IF(BT$6="","",IF(OR(WEEKDAY(BT$6,1)=1,WEEKDAY(BT$6,1)=7),0,MIN(8,BT170)*BT169))</f>
      </c>
      <c r="BU171" s="26">
        <f>IF(BU$6="","",IF(OR(WEEKDAY(BU$6,1)=1,WEEKDAY(BU$6,1)=7),0,MIN(8,BU170)*BU169))</f>
      </c>
      <c r="BV171" s="26">
        <f>IF(BV$6="","",IF(OR(WEEKDAY(BV$6,1)=1,WEEKDAY(BV$6,1)=7),0,MIN(8,BV170)*BV169))</f>
      </c>
      <c r="BW171" s="26">
        <f>IF(BW$6="","",IF(OR(WEEKDAY(BW$6,1)=1,WEEKDAY(BW$6,1)=7),0,MIN(8,BW170)*BW169))</f>
      </c>
      <c r="BX171" s="26">
        <f>IF(BX$6="","",IF(OR(WEEKDAY(BX$6,1)=1,WEEKDAY(BX$6,1)=7),0,MIN(8,BX170)*BX169))</f>
      </c>
      <c r="BY171" s="26">
        <f>IF(BY$6="","",IF(OR(WEEKDAY(BY$6,1)=1,WEEKDAY(BY$6,1)=7),0,MIN(8,BY170)*BY169))</f>
      </c>
      <c r="BZ171" s="26">
        <f>IF(BZ$6="","",IF(OR(WEEKDAY(BZ$6,1)=1,WEEKDAY(BZ$6,1)=7),0,MIN(8,BZ170)*BZ169))</f>
      </c>
      <c r="CA171" s="26">
        <f>IF(CA$6="","",IF(OR(WEEKDAY(CA$6,1)=1,WEEKDAY(CA$6,1)=7),0,MIN(8,CA170)*CA169))</f>
      </c>
      <c r="CB171" s="26">
        <f>IF(CB$6="","",IF(OR(WEEKDAY(CB$6,1)=1,WEEKDAY(CB$6,1)=7),0,MIN(8,CB170)*CB169))</f>
      </c>
      <c r="CC171" s="26">
        <f>IF(CC$6="","",IF(OR(WEEKDAY(CC$6,1)=1,WEEKDAY(CC$6,1)=7),0,MIN(8,CC170)*CC169))</f>
      </c>
      <c r="CD171" s="26">
        <f>IF(CD$6="","",IF(OR(WEEKDAY(CD$6,1)=1,WEEKDAY(CD$6,1)=7),0,MIN(8,CD170)*CD169))</f>
      </c>
      <c r="CE171" s="26">
        <f>IF(CE$6="","",IF(OR(WEEKDAY(CE$6,1)=1,WEEKDAY(CE$6,1)=7),0,MIN(8,CE170)*CE169))</f>
      </c>
      <c r="CF171" s="26">
        <f>IF(CF$6="","",IF(OR(WEEKDAY(CF$6,1)=1,WEEKDAY(CF$6,1)=7),0,MIN(8,CF170)*CF169))</f>
      </c>
      <c r="CG171" s="26">
        <f>IF(CG$6="","",IF(OR(WEEKDAY(CG$6,1)=1,WEEKDAY(CG$6,1)=7),0,MIN(8,CG170)*CG169))</f>
      </c>
      <c r="CH171" s="26">
        <f>IF(CH$6="","",IF(OR(WEEKDAY(CH$6,1)=1,WEEKDAY(CH$6,1)=7),0,MIN(8,CH170)*CH169))</f>
      </c>
      <c r="CI171" s="26">
        <f>IF(CI$6="","",IF(OR(WEEKDAY(CI$6,1)=1,WEEKDAY(CI$6,1)=7),0,MIN(8,CI170)*CI169))</f>
      </c>
      <c r="CJ171" s="26">
        <f>IF(CJ$6="","",IF(OR(WEEKDAY(CJ$6,1)=1,WEEKDAY(CJ$6,1)=7),0,MIN(8,CJ170)*CJ169))</f>
      </c>
      <c r="CK171" s="26">
        <f>IF(CK$6="","",IF(OR(WEEKDAY(CK$6,1)=1,WEEKDAY(CK$6,1)=7),0,MIN(8,CK170)*CK169))</f>
      </c>
      <c r="CL171" s="26">
        <f>IF(CL$6="","",IF(OR(WEEKDAY(CL$6,1)=1,WEEKDAY(CL$6,1)=7),0,MIN(8,CL170)*CL169))</f>
      </c>
      <c r="CM171" s="26">
        <f>IF(CM$6="","",IF(OR(WEEKDAY(CM$6,1)=1,WEEKDAY(CM$6,1)=7),0,MIN(8,CM170)*CM169))</f>
      </c>
      <c r="CN171" s="26">
        <f>IF(CN$6="","",IF(OR(WEEKDAY(CN$6,1)=1,WEEKDAY(CN$6,1)=7),0,MIN(8,CN170)*CN169))</f>
      </c>
      <c r="CO171" s="26">
        <f>IF(CO$6="","",IF(OR(WEEKDAY(CO$6,1)=1,WEEKDAY(CO$6,1)=7),0,MIN(8,CO170)*CO169))</f>
      </c>
      <c r="CP171" s="26">
        <f>IF(CP$6="","",IF(OR(WEEKDAY(CP$6,1)=1,WEEKDAY(CP$6,1)=7),0,MIN(8,CP170)*CP169))</f>
      </c>
      <c r="CQ171" s="26">
        <f>IF(CQ$6="","",IF(OR(WEEKDAY(CQ$6,1)=1,WEEKDAY(CQ$6,1)=7),0,MIN(8,CQ170)*CQ169))</f>
      </c>
      <c r="CR171" s="26">
        <f>IF(CR$6="","",IF(OR(WEEKDAY(CR$6,1)=1,WEEKDAY(CR$6,1)=7),0,MIN(8,CR170)*CR169))</f>
      </c>
      <c r="CS171" s="26">
        <f>IF(CS$6="","",IF(OR(WEEKDAY(CS$6,1)=1,WEEKDAY(CS$6,1)=7),0,MIN(8,CS170)*CS169))</f>
      </c>
      <c r="CT171" s="26">
        <f>IF(CT$6="","",IF(OR(WEEKDAY(CT$6,1)=1,WEEKDAY(CT$6,1)=7),0,MIN(8,CT170)*CT169))</f>
      </c>
      <c r="CU171" s="26">
        <f>IF(CU$6="","",IF(OR(WEEKDAY(CU$6,1)=1,WEEKDAY(CU$6,1)=7),0,MIN(8,CU170)*CU169))</f>
      </c>
      <c r="CV171" s="26">
        <f>IF(CV$6="","",IF(OR(WEEKDAY(CV$6,1)=1,WEEKDAY(CV$6,1)=7),0,MIN(8,CV170)*CV169))</f>
      </c>
      <c r="CW171" s="26">
        <f>IF(CW$6="","",IF(OR(WEEKDAY(CW$6,1)=1,WEEKDAY(CW$6,1)=7),0,MIN(8,CW170)*CW169))</f>
      </c>
      <c r="CX171" s="8" t="s">
        <v>80</v>
      </c>
    </row>
    <row r="172" spans="2:102" x14ac:dyDescent="0.25">
      <c r="B172" s="26">
        <f>SUM(L172:CW172)</f>
      </c>
      <c r="D172" s="27">
        <f>B172*E172</f>
      </c>
      <c r="E172" s="27">
        <f>'Rate Tables'!D21</f>
      </c>
      <c r="F172" s="8" t="s">
        <v>40</v>
      </c>
      <c r="L172" s="26">
        <f>IF(L$6="","",IF(WEEKDAY(L$6,1)=1,0,IF(WEEKDAY(L$6,1)=7,L170*L169,MAX(0,L170-8)*L169)))</f>
      </c>
      <c r="M172" s="26">
        <f>IF(M$6="","",IF(WEEKDAY(M$6,1)=1,0,IF(WEEKDAY(M$6,1)=7,M170*M169,MAX(0,M170-8)*M169)))</f>
      </c>
      <c r="N172" s="26">
        <f>IF(N$6="","",IF(WEEKDAY(N$6,1)=1,0,IF(WEEKDAY(N$6,1)=7,N170*N169,MAX(0,N170-8)*N169)))</f>
      </c>
      <c r="O172" s="26">
        <f>IF(O$6="","",IF(WEEKDAY(O$6,1)=1,0,IF(WEEKDAY(O$6,1)=7,O170*O169,MAX(0,O170-8)*O169)))</f>
      </c>
      <c r="P172" s="26">
        <f>IF(P$6="","",IF(WEEKDAY(P$6,1)=1,0,IF(WEEKDAY(P$6,1)=7,P170*P169,MAX(0,P170-8)*P169)))</f>
      </c>
      <c r="Q172" s="26">
        <f>IF(Q$6="","",IF(WEEKDAY(Q$6,1)=1,0,IF(WEEKDAY(Q$6,1)=7,Q170*Q169,MAX(0,Q170-8)*Q169)))</f>
      </c>
      <c r="R172" s="26">
        <f>IF(R$6="","",IF(WEEKDAY(R$6,1)=1,0,IF(WEEKDAY(R$6,1)=7,R170*R169,MAX(0,R170-8)*R169)))</f>
      </c>
      <c r="S172" s="26">
        <f>IF(S$6="","",IF(WEEKDAY(S$6,1)=1,0,IF(WEEKDAY(S$6,1)=7,S170*S169,MAX(0,S170-8)*S169)))</f>
      </c>
      <c r="T172" s="26">
        <f>IF(T$6="","",IF(WEEKDAY(T$6,1)=1,0,IF(WEEKDAY(T$6,1)=7,T170*T169,MAX(0,T170-8)*T169)))</f>
      </c>
      <c r="U172" s="26">
        <f>IF(U$6="","",IF(WEEKDAY(U$6,1)=1,0,IF(WEEKDAY(U$6,1)=7,U170*U169,MAX(0,U170-8)*U169)))</f>
      </c>
      <c r="V172" s="26">
        <f>IF(V$6="","",IF(WEEKDAY(V$6,1)=1,0,IF(WEEKDAY(V$6,1)=7,V170*V169,MAX(0,V170-8)*V169)))</f>
      </c>
      <c r="W172" s="26">
        <f>IF(W$6="","",IF(WEEKDAY(W$6,1)=1,0,IF(WEEKDAY(W$6,1)=7,W170*W169,MAX(0,W170-8)*W169)))</f>
      </c>
      <c r="X172" s="26">
        <f>IF(X$6="","",IF(WEEKDAY(X$6,1)=1,0,IF(WEEKDAY(X$6,1)=7,X170*X169,MAX(0,X170-8)*X169)))</f>
      </c>
      <c r="Y172" s="26">
        <f>IF(Y$6="","",IF(WEEKDAY(Y$6,1)=1,0,IF(WEEKDAY(Y$6,1)=7,Y170*Y169,MAX(0,Y170-8)*Y169)))</f>
      </c>
      <c r="Z172" s="26">
        <f>IF(Z$6="","",IF(WEEKDAY(Z$6,1)=1,0,IF(WEEKDAY(Z$6,1)=7,Z170*Z169,MAX(0,Z170-8)*Z169)))</f>
      </c>
      <c r="AA172" s="26">
        <f>IF(AA$6="","",IF(WEEKDAY(AA$6,1)=1,0,IF(WEEKDAY(AA$6,1)=7,AA170*AA169,MAX(0,AA170-8)*AA169)))</f>
      </c>
      <c r="AB172" s="26">
        <f>IF(AB$6="","",IF(WEEKDAY(AB$6,1)=1,0,IF(WEEKDAY(AB$6,1)=7,AB170*AB169,MAX(0,AB170-8)*AB169)))</f>
      </c>
      <c r="AC172" s="26">
        <f>IF(AC$6="","",IF(WEEKDAY(AC$6,1)=1,0,IF(WEEKDAY(AC$6,1)=7,AC170*AC169,MAX(0,AC170-8)*AC169)))</f>
      </c>
      <c r="AD172" s="26">
        <f>IF(AD$6="","",IF(WEEKDAY(AD$6,1)=1,0,IF(WEEKDAY(AD$6,1)=7,AD170*AD169,MAX(0,AD170-8)*AD169)))</f>
      </c>
      <c r="AE172" s="26">
        <f>IF(AE$6="","",IF(WEEKDAY(AE$6,1)=1,0,IF(WEEKDAY(AE$6,1)=7,AE170*AE169,MAX(0,AE170-8)*AE169)))</f>
      </c>
      <c r="AF172" s="26">
        <f>IF(AF$6="","",IF(WEEKDAY(AF$6,1)=1,0,IF(WEEKDAY(AF$6,1)=7,AF170*AF169,MAX(0,AF170-8)*AF169)))</f>
      </c>
      <c r="AG172" s="26">
        <f>IF(AG$6="","",IF(WEEKDAY(AG$6,1)=1,0,IF(WEEKDAY(AG$6,1)=7,AG170*AG169,MAX(0,AG170-8)*AG169)))</f>
      </c>
      <c r="AH172" s="26">
        <f>IF(AH$6="","",IF(WEEKDAY(AH$6,1)=1,0,IF(WEEKDAY(AH$6,1)=7,AH170*AH169,MAX(0,AH170-8)*AH169)))</f>
      </c>
      <c r="AI172" s="26">
        <f>IF(AI$6="","",IF(WEEKDAY(AI$6,1)=1,0,IF(WEEKDAY(AI$6,1)=7,AI170*AI169,MAX(0,AI170-8)*AI169)))</f>
      </c>
      <c r="AJ172" s="26">
        <f>IF(AJ$6="","",IF(WEEKDAY(AJ$6,1)=1,0,IF(WEEKDAY(AJ$6,1)=7,AJ170*AJ169,MAX(0,AJ170-8)*AJ169)))</f>
      </c>
      <c r="AK172" s="26">
        <f>IF(AK$6="","",IF(WEEKDAY(AK$6,1)=1,0,IF(WEEKDAY(AK$6,1)=7,AK170*AK169,MAX(0,AK170-8)*AK169)))</f>
      </c>
      <c r="AL172" s="26">
        <f>IF(AL$6="","",IF(WEEKDAY(AL$6,1)=1,0,IF(WEEKDAY(AL$6,1)=7,AL170*AL169,MAX(0,AL170-8)*AL169)))</f>
      </c>
      <c r="AM172" s="26">
        <f>IF(AM$6="","",IF(WEEKDAY(AM$6,1)=1,0,IF(WEEKDAY(AM$6,1)=7,AM170*AM169,MAX(0,AM170-8)*AM169)))</f>
      </c>
      <c r="AN172" s="26">
        <f>IF(AN$6="","",IF(WEEKDAY(AN$6,1)=1,0,IF(WEEKDAY(AN$6,1)=7,AN170*AN169,MAX(0,AN170-8)*AN169)))</f>
      </c>
      <c r="AO172" s="26">
        <f>IF(AO$6="","",IF(WEEKDAY(AO$6,1)=1,0,IF(WEEKDAY(AO$6,1)=7,AO170*AO169,MAX(0,AO170-8)*AO169)))</f>
      </c>
      <c r="AP172" s="26">
        <f>IF(AP$6="","",IF(WEEKDAY(AP$6,1)=1,0,IF(WEEKDAY(AP$6,1)=7,AP170*AP169,MAX(0,AP170-8)*AP169)))</f>
      </c>
      <c r="AQ172" s="26">
        <f>IF(AQ$6="","",IF(WEEKDAY(AQ$6,1)=1,0,IF(WEEKDAY(AQ$6,1)=7,AQ170*AQ169,MAX(0,AQ170-8)*AQ169)))</f>
      </c>
      <c r="AR172" s="26">
        <f>IF(AR$6="","",IF(WEEKDAY(AR$6,1)=1,0,IF(WEEKDAY(AR$6,1)=7,AR170*AR169,MAX(0,AR170-8)*AR169)))</f>
      </c>
      <c r="AS172" s="26">
        <f>IF(AS$6="","",IF(WEEKDAY(AS$6,1)=1,0,IF(WEEKDAY(AS$6,1)=7,AS170*AS169,MAX(0,AS170-8)*AS169)))</f>
      </c>
      <c r="AT172" s="26">
        <f>IF(AT$6="","",IF(WEEKDAY(AT$6,1)=1,0,IF(WEEKDAY(AT$6,1)=7,AT170*AT169,MAX(0,AT170-8)*AT169)))</f>
      </c>
      <c r="AU172" s="26">
        <f>IF(AU$6="","",IF(WEEKDAY(AU$6,1)=1,0,IF(WEEKDAY(AU$6,1)=7,AU170*AU169,MAX(0,AU170-8)*AU169)))</f>
      </c>
      <c r="AV172" s="26">
        <f>IF(AV$6="","",IF(WEEKDAY(AV$6,1)=1,0,IF(WEEKDAY(AV$6,1)=7,AV170*AV169,MAX(0,AV170-8)*AV169)))</f>
      </c>
      <c r="AW172" s="26">
        <f>IF(AW$6="","",IF(WEEKDAY(AW$6,1)=1,0,IF(WEEKDAY(AW$6,1)=7,AW170*AW169,MAX(0,AW170-8)*AW169)))</f>
      </c>
      <c r="AX172" s="26">
        <f>IF(AX$6="","",IF(WEEKDAY(AX$6,1)=1,0,IF(WEEKDAY(AX$6,1)=7,AX170*AX169,MAX(0,AX170-8)*AX169)))</f>
      </c>
      <c r="AY172" s="26">
        <f>IF(AY$6="","",IF(WEEKDAY(AY$6,1)=1,0,IF(WEEKDAY(AY$6,1)=7,AY170*AY169,MAX(0,AY170-8)*AY169)))</f>
      </c>
      <c r="AZ172" s="26">
        <f>IF(AZ$6="","",IF(WEEKDAY(AZ$6,1)=1,0,IF(WEEKDAY(AZ$6,1)=7,AZ170*AZ169,MAX(0,AZ170-8)*AZ169)))</f>
      </c>
      <c r="BA172" s="26">
        <f>IF(BA$6="","",IF(WEEKDAY(BA$6,1)=1,0,IF(WEEKDAY(BA$6,1)=7,BA170*BA169,MAX(0,BA170-8)*BA169)))</f>
      </c>
      <c r="BB172" s="26">
        <f>IF(BB$6="","",IF(WEEKDAY(BB$6,1)=1,0,IF(WEEKDAY(BB$6,1)=7,BB170*BB169,MAX(0,BB170-8)*BB169)))</f>
      </c>
      <c r="BC172" s="26">
        <f>IF(BC$6="","",IF(WEEKDAY(BC$6,1)=1,0,IF(WEEKDAY(BC$6,1)=7,BC170*BC169,MAX(0,BC170-8)*BC169)))</f>
      </c>
      <c r="BD172" s="26">
        <f>IF(BD$6="","",IF(WEEKDAY(BD$6,1)=1,0,IF(WEEKDAY(BD$6,1)=7,BD170*BD169,MAX(0,BD170-8)*BD169)))</f>
      </c>
      <c r="BE172" s="26">
        <f>IF(BE$6="","",IF(WEEKDAY(BE$6,1)=1,0,IF(WEEKDAY(BE$6,1)=7,BE170*BE169,MAX(0,BE170-8)*BE169)))</f>
      </c>
      <c r="BF172" s="26">
        <f>IF(BF$6="","",IF(WEEKDAY(BF$6,1)=1,0,IF(WEEKDAY(BF$6,1)=7,BF170*BF169,MAX(0,BF170-8)*BF169)))</f>
      </c>
      <c r="BG172" s="26">
        <f>IF(BG$6="","",IF(WEEKDAY(BG$6,1)=1,0,IF(WEEKDAY(BG$6,1)=7,BG170*BG169,MAX(0,BG170-8)*BG169)))</f>
      </c>
      <c r="BH172" s="26">
        <f>IF(BH$6="","",IF(WEEKDAY(BH$6,1)=1,0,IF(WEEKDAY(BH$6,1)=7,BH170*BH169,MAX(0,BH170-8)*BH169)))</f>
      </c>
      <c r="BI172" s="26">
        <f>IF(BI$6="","",IF(WEEKDAY(BI$6,1)=1,0,IF(WEEKDAY(BI$6,1)=7,BI170*BI169,MAX(0,BI170-8)*BI169)))</f>
      </c>
      <c r="BJ172" s="26">
        <f>IF(BJ$6="","",IF(WEEKDAY(BJ$6,1)=1,0,IF(WEEKDAY(BJ$6,1)=7,BJ170*BJ169,MAX(0,BJ170-8)*BJ169)))</f>
      </c>
      <c r="BK172" s="26">
        <f>IF(BK$6="","",IF(WEEKDAY(BK$6,1)=1,0,IF(WEEKDAY(BK$6,1)=7,BK170*BK169,MAX(0,BK170-8)*BK169)))</f>
      </c>
      <c r="BL172" s="26">
        <f>IF(BL$6="","",IF(WEEKDAY(BL$6,1)=1,0,IF(WEEKDAY(BL$6,1)=7,BL170*BL169,MAX(0,BL170-8)*BL169)))</f>
      </c>
      <c r="BM172" s="26">
        <f>IF(BM$6="","",IF(WEEKDAY(BM$6,1)=1,0,IF(WEEKDAY(BM$6,1)=7,BM170*BM169,MAX(0,BM170-8)*BM169)))</f>
      </c>
      <c r="BN172" s="26">
        <f>IF(BN$6="","",IF(WEEKDAY(BN$6,1)=1,0,IF(WEEKDAY(BN$6,1)=7,BN170*BN169,MAX(0,BN170-8)*BN169)))</f>
      </c>
      <c r="BO172" s="26">
        <f>IF(BO$6="","",IF(WEEKDAY(BO$6,1)=1,0,IF(WEEKDAY(BO$6,1)=7,BO170*BO169,MAX(0,BO170-8)*BO169)))</f>
      </c>
      <c r="BP172" s="26">
        <f>IF(BP$6="","",IF(WEEKDAY(BP$6,1)=1,0,IF(WEEKDAY(BP$6,1)=7,BP170*BP169,MAX(0,BP170-8)*BP169)))</f>
      </c>
      <c r="BQ172" s="26">
        <f>IF(BQ$6="","",IF(WEEKDAY(BQ$6,1)=1,0,IF(WEEKDAY(BQ$6,1)=7,BQ170*BQ169,MAX(0,BQ170-8)*BQ169)))</f>
      </c>
      <c r="BR172" s="26">
        <f>IF(BR$6="","",IF(WEEKDAY(BR$6,1)=1,0,IF(WEEKDAY(BR$6,1)=7,BR170*BR169,MAX(0,BR170-8)*BR169)))</f>
      </c>
      <c r="BS172" s="26">
        <f>IF(BS$6="","",IF(WEEKDAY(BS$6,1)=1,0,IF(WEEKDAY(BS$6,1)=7,BS170*BS169,MAX(0,BS170-8)*BS169)))</f>
      </c>
      <c r="BT172" s="26">
        <f>IF(BT$6="","",IF(WEEKDAY(BT$6,1)=1,0,IF(WEEKDAY(BT$6,1)=7,BT170*BT169,MAX(0,BT170-8)*BT169)))</f>
      </c>
      <c r="BU172" s="26">
        <f>IF(BU$6="","",IF(WEEKDAY(BU$6,1)=1,0,IF(WEEKDAY(BU$6,1)=7,BU170*BU169,MAX(0,BU170-8)*BU169)))</f>
      </c>
      <c r="BV172" s="26">
        <f>IF(BV$6="","",IF(WEEKDAY(BV$6,1)=1,0,IF(WEEKDAY(BV$6,1)=7,BV170*BV169,MAX(0,BV170-8)*BV169)))</f>
      </c>
      <c r="BW172" s="26">
        <f>IF(BW$6="","",IF(WEEKDAY(BW$6,1)=1,0,IF(WEEKDAY(BW$6,1)=7,BW170*BW169,MAX(0,BW170-8)*BW169)))</f>
      </c>
      <c r="BX172" s="26">
        <f>IF(BX$6="","",IF(WEEKDAY(BX$6,1)=1,0,IF(WEEKDAY(BX$6,1)=7,BX170*BX169,MAX(0,BX170-8)*BX169)))</f>
      </c>
      <c r="BY172" s="26">
        <f>IF(BY$6="","",IF(WEEKDAY(BY$6,1)=1,0,IF(WEEKDAY(BY$6,1)=7,BY170*BY169,MAX(0,BY170-8)*BY169)))</f>
      </c>
      <c r="BZ172" s="26">
        <f>IF(BZ$6="","",IF(WEEKDAY(BZ$6,1)=1,0,IF(WEEKDAY(BZ$6,1)=7,BZ170*BZ169,MAX(0,BZ170-8)*BZ169)))</f>
      </c>
      <c r="CA172" s="26">
        <f>IF(CA$6="","",IF(WEEKDAY(CA$6,1)=1,0,IF(WEEKDAY(CA$6,1)=7,CA170*CA169,MAX(0,CA170-8)*CA169)))</f>
      </c>
      <c r="CB172" s="26">
        <f>IF(CB$6="","",IF(WEEKDAY(CB$6,1)=1,0,IF(WEEKDAY(CB$6,1)=7,CB170*CB169,MAX(0,CB170-8)*CB169)))</f>
      </c>
      <c r="CC172" s="26">
        <f>IF(CC$6="","",IF(WEEKDAY(CC$6,1)=1,0,IF(WEEKDAY(CC$6,1)=7,CC170*CC169,MAX(0,CC170-8)*CC169)))</f>
      </c>
      <c r="CD172" s="26">
        <f>IF(CD$6="","",IF(WEEKDAY(CD$6,1)=1,0,IF(WEEKDAY(CD$6,1)=7,CD170*CD169,MAX(0,CD170-8)*CD169)))</f>
      </c>
      <c r="CE172" s="26">
        <f>IF(CE$6="","",IF(WEEKDAY(CE$6,1)=1,0,IF(WEEKDAY(CE$6,1)=7,CE170*CE169,MAX(0,CE170-8)*CE169)))</f>
      </c>
      <c r="CF172" s="26">
        <f>IF(CF$6="","",IF(WEEKDAY(CF$6,1)=1,0,IF(WEEKDAY(CF$6,1)=7,CF170*CF169,MAX(0,CF170-8)*CF169)))</f>
      </c>
      <c r="CG172" s="26">
        <f>IF(CG$6="","",IF(WEEKDAY(CG$6,1)=1,0,IF(WEEKDAY(CG$6,1)=7,CG170*CG169,MAX(0,CG170-8)*CG169)))</f>
      </c>
      <c r="CH172" s="26">
        <f>IF(CH$6="","",IF(WEEKDAY(CH$6,1)=1,0,IF(WEEKDAY(CH$6,1)=7,CH170*CH169,MAX(0,CH170-8)*CH169)))</f>
      </c>
      <c r="CI172" s="26">
        <f>IF(CI$6="","",IF(WEEKDAY(CI$6,1)=1,0,IF(WEEKDAY(CI$6,1)=7,CI170*CI169,MAX(0,CI170-8)*CI169)))</f>
      </c>
      <c r="CJ172" s="26">
        <f>IF(CJ$6="","",IF(WEEKDAY(CJ$6,1)=1,0,IF(WEEKDAY(CJ$6,1)=7,CJ170*CJ169,MAX(0,CJ170-8)*CJ169)))</f>
      </c>
      <c r="CK172" s="26">
        <f>IF(CK$6="","",IF(WEEKDAY(CK$6,1)=1,0,IF(WEEKDAY(CK$6,1)=7,CK170*CK169,MAX(0,CK170-8)*CK169)))</f>
      </c>
      <c r="CL172" s="26">
        <f>IF(CL$6="","",IF(WEEKDAY(CL$6,1)=1,0,IF(WEEKDAY(CL$6,1)=7,CL170*CL169,MAX(0,CL170-8)*CL169)))</f>
      </c>
      <c r="CM172" s="26">
        <f>IF(CM$6="","",IF(WEEKDAY(CM$6,1)=1,0,IF(WEEKDAY(CM$6,1)=7,CM170*CM169,MAX(0,CM170-8)*CM169)))</f>
      </c>
      <c r="CN172" s="26">
        <f>IF(CN$6="","",IF(WEEKDAY(CN$6,1)=1,0,IF(WEEKDAY(CN$6,1)=7,CN170*CN169,MAX(0,CN170-8)*CN169)))</f>
      </c>
      <c r="CO172" s="26">
        <f>IF(CO$6="","",IF(WEEKDAY(CO$6,1)=1,0,IF(WEEKDAY(CO$6,1)=7,CO170*CO169,MAX(0,CO170-8)*CO169)))</f>
      </c>
      <c r="CP172" s="26">
        <f>IF(CP$6="","",IF(WEEKDAY(CP$6,1)=1,0,IF(WEEKDAY(CP$6,1)=7,CP170*CP169,MAX(0,CP170-8)*CP169)))</f>
      </c>
      <c r="CQ172" s="26">
        <f>IF(CQ$6="","",IF(WEEKDAY(CQ$6,1)=1,0,IF(WEEKDAY(CQ$6,1)=7,CQ170*CQ169,MAX(0,CQ170-8)*CQ169)))</f>
      </c>
      <c r="CR172" s="26">
        <f>IF(CR$6="","",IF(WEEKDAY(CR$6,1)=1,0,IF(WEEKDAY(CR$6,1)=7,CR170*CR169,MAX(0,CR170-8)*CR169)))</f>
      </c>
      <c r="CS172" s="26">
        <f>IF(CS$6="","",IF(WEEKDAY(CS$6,1)=1,0,IF(WEEKDAY(CS$6,1)=7,CS170*CS169,MAX(0,CS170-8)*CS169)))</f>
      </c>
      <c r="CT172" s="26">
        <f>IF(CT$6="","",IF(WEEKDAY(CT$6,1)=1,0,IF(WEEKDAY(CT$6,1)=7,CT170*CT169,MAX(0,CT170-8)*CT169)))</f>
      </c>
      <c r="CU172" s="26">
        <f>IF(CU$6="","",IF(WEEKDAY(CU$6,1)=1,0,IF(WEEKDAY(CU$6,1)=7,CU170*CU169,MAX(0,CU170-8)*CU169)))</f>
      </c>
      <c r="CV172" s="26">
        <f>IF(CV$6="","",IF(WEEKDAY(CV$6,1)=1,0,IF(WEEKDAY(CV$6,1)=7,CV170*CV169,MAX(0,CV170-8)*CV169)))</f>
      </c>
      <c r="CW172" s="26">
        <f>IF(CW$6="","",IF(WEEKDAY(CW$6,1)=1,0,IF(WEEKDAY(CW$6,1)=7,CW170*CW169,MAX(0,CW170-8)*CW169)))</f>
      </c>
      <c r="CX172" s="8" t="s">
        <v>80</v>
      </c>
    </row>
    <row r="173" spans="2:102" x14ac:dyDescent="0.25">
      <c r="B173" s="26">
        <f>SUM(L173:CW173)</f>
      </c>
      <c r="D173" s="27">
        <f>B173*E173</f>
      </c>
      <c r="E173" s="27">
        <f>'Rate Tables'!E21</f>
      </c>
      <c r="F173" s="8" t="s">
        <v>41</v>
      </c>
      <c r="L173" s="26">
        <f>IF(L$6="","",IF(WEEKDAY(L$6,1)=1,L170*L169,0))</f>
      </c>
      <c r="M173" s="26">
        <f>IF(M$6="","",IF(WEEKDAY(M$6,1)=1,M170*M169,0))</f>
      </c>
      <c r="N173" s="26">
        <f>IF(N$6="","",IF(WEEKDAY(N$6,1)=1,N170*N169,0))</f>
      </c>
      <c r="O173" s="26">
        <f>IF(O$6="","",IF(WEEKDAY(O$6,1)=1,O170*O169,0))</f>
      </c>
      <c r="P173" s="26">
        <f>IF(P$6="","",IF(WEEKDAY(P$6,1)=1,P170*P169,0))</f>
      </c>
      <c r="Q173" s="26">
        <f>IF(Q$6="","",IF(WEEKDAY(Q$6,1)=1,Q170*Q169,0))</f>
      </c>
      <c r="R173" s="26">
        <f>IF(R$6="","",IF(WEEKDAY(R$6,1)=1,R170*R169,0))</f>
      </c>
      <c r="S173" s="26">
        <f>IF(S$6="","",IF(WEEKDAY(S$6,1)=1,S170*S169,0))</f>
      </c>
      <c r="T173" s="26">
        <f>IF(T$6="","",IF(WEEKDAY(T$6,1)=1,T170*T169,0))</f>
      </c>
      <c r="U173" s="26">
        <f>IF(U$6="","",IF(WEEKDAY(U$6,1)=1,U170*U169,0))</f>
      </c>
      <c r="V173" s="26">
        <f>IF(V$6="","",IF(WEEKDAY(V$6,1)=1,V170*V169,0))</f>
      </c>
      <c r="W173" s="26">
        <f>IF(W$6="","",IF(WEEKDAY(W$6,1)=1,W170*W169,0))</f>
      </c>
      <c r="X173" s="26">
        <f>IF(X$6="","",IF(WEEKDAY(X$6,1)=1,X170*X169,0))</f>
      </c>
      <c r="Y173" s="26">
        <f>IF(Y$6="","",IF(WEEKDAY(Y$6,1)=1,Y170*Y169,0))</f>
      </c>
      <c r="Z173" s="26">
        <f>IF(Z$6="","",IF(WEEKDAY(Z$6,1)=1,Z170*Z169,0))</f>
      </c>
      <c r="AA173" s="26">
        <f>IF(AA$6="","",IF(WEEKDAY(AA$6,1)=1,AA170*AA169,0))</f>
      </c>
      <c r="AB173" s="26">
        <f>IF(AB$6="","",IF(WEEKDAY(AB$6,1)=1,AB170*AB169,0))</f>
      </c>
      <c r="AC173" s="26">
        <f>IF(AC$6="","",IF(WEEKDAY(AC$6,1)=1,AC170*AC169,0))</f>
      </c>
      <c r="AD173" s="26">
        <f>IF(AD$6="","",IF(WEEKDAY(AD$6,1)=1,AD170*AD169,0))</f>
      </c>
      <c r="AE173" s="26">
        <f>IF(AE$6="","",IF(WEEKDAY(AE$6,1)=1,AE170*AE169,0))</f>
      </c>
      <c r="AF173" s="26">
        <f>IF(AF$6="","",IF(WEEKDAY(AF$6,1)=1,AF170*AF169,0))</f>
      </c>
      <c r="AG173" s="26">
        <f>IF(AG$6="","",IF(WEEKDAY(AG$6,1)=1,AG170*AG169,0))</f>
      </c>
      <c r="AH173" s="26">
        <f>IF(AH$6="","",IF(WEEKDAY(AH$6,1)=1,AH170*AH169,0))</f>
      </c>
      <c r="AI173" s="26">
        <f>IF(AI$6="","",IF(WEEKDAY(AI$6,1)=1,AI170*AI169,0))</f>
      </c>
      <c r="AJ173" s="26">
        <f>IF(AJ$6="","",IF(WEEKDAY(AJ$6,1)=1,AJ170*AJ169,0))</f>
      </c>
      <c r="AK173" s="26">
        <f>IF(AK$6="","",IF(WEEKDAY(AK$6,1)=1,AK170*AK169,0))</f>
      </c>
      <c r="AL173" s="26">
        <f>IF(AL$6="","",IF(WEEKDAY(AL$6,1)=1,AL170*AL169,0))</f>
      </c>
      <c r="AM173" s="26">
        <f>IF(AM$6="","",IF(WEEKDAY(AM$6,1)=1,AM170*AM169,0))</f>
      </c>
      <c r="AN173" s="26">
        <f>IF(AN$6="","",IF(WEEKDAY(AN$6,1)=1,AN170*AN169,0))</f>
      </c>
      <c r="AO173" s="26">
        <f>IF(AO$6="","",IF(WEEKDAY(AO$6,1)=1,AO170*AO169,0))</f>
      </c>
      <c r="AP173" s="26">
        <f>IF(AP$6="","",IF(WEEKDAY(AP$6,1)=1,AP170*AP169,0))</f>
      </c>
      <c r="AQ173" s="26">
        <f>IF(AQ$6="","",IF(WEEKDAY(AQ$6,1)=1,AQ170*AQ169,0))</f>
      </c>
      <c r="AR173" s="26">
        <f>IF(AR$6="","",IF(WEEKDAY(AR$6,1)=1,AR170*AR169,0))</f>
      </c>
      <c r="AS173" s="26">
        <f>IF(AS$6="","",IF(WEEKDAY(AS$6,1)=1,AS170*AS169,0))</f>
      </c>
      <c r="AT173" s="26">
        <f>IF(AT$6="","",IF(WEEKDAY(AT$6,1)=1,AT170*AT169,0))</f>
      </c>
      <c r="AU173" s="26">
        <f>IF(AU$6="","",IF(WEEKDAY(AU$6,1)=1,AU170*AU169,0))</f>
      </c>
      <c r="AV173" s="26">
        <f>IF(AV$6="","",IF(WEEKDAY(AV$6,1)=1,AV170*AV169,0))</f>
      </c>
      <c r="AW173" s="26">
        <f>IF(AW$6="","",IF(WEEKDAY(AW$6,1)=1,AW170*AW169,0))</f>
      </c>
      <c r="AX173" s="26">
        <f>IF(AX$6="","",IF(WEEKDAY(AX$6,1)=1,AX170*AX169,0))</f>
      </c>
      <c r="AY173" s="26">
        <f>IF(AY$6="","",IF(WEEKDAY(AY$6,1)=1,AY170*AY169,0))</f>
      </c>
      <c r="AZ173" s="26">
        <f>IF(AZ$6="","",IF(WEEKDAY(AZ$6,1)=1,AZ170*AZ169,0))</f>
      </c>
      <c r="BA173" s="26">
        <f>IF(BA$6="","",IF(WEEKDAY(BA$6,1)=1,BA170*BA169,0))</f>
      </c>
      <c r="BB173" s="26">
        <f>IF(BB$6="","",IF(WEEKDAY(BB$6,1)=1,BB170*BB169,0))</f>
      </c>
      <c r="BC173" s="26">
        <f>IF(BC$6="","",IF(WEEKDAY(BC$6,1)=1,BC170*BC169,0))</f>
      </c>
      <c r="BD173" s="26">
        <f>IF(BD$6="","",IF(WEEKDAY(BD$6,1)=1,BD170*BD169,0))</f>
      </c>
      <c r="BE173" s="26">
        <f>IF(BE$6="","",IF(WEEKDAY(BE$6,1)=1,BE170*BE169,0))</f>
      </c>
      <c r="BF173" s="26">
        <f>IF(BF$6="","",IF(WEEKDAY(BF$6,1)=1,BF170*BF169,0))</f>
      </c>
      <c r="BG173" s="26">
        <f>IF(BG$6="","",IF(WEEKDAY(BG$6,1)=1,BG170*BG169,0))</f>
      </c>
      <c r="BH173" s="26">
        <f>IF(BH$6="","",IF(WEEKDAY(BH$6,1)=1,BH170*BH169,0))</f>
      </c>
      <c r="BI173" s="26">
        <f>IF(BI$6="","",IF(WEEKDAY(BI$6,1)=1,BI170*BI169,0))</f>
      </c>
      <c r="BJ173" s="26">
        <f>IF(BJ$6="","",IF(WEEKDAY(BJ$6,1)=1,BJ170*BJ169,0))</f>
      </c>
      <c r="BK173" s="26">
        <f>IF(BK$6="","",IF(WEEKDAY(BK$6,1)=1,BK170*BK169,0))</f>
      </c>
      <c r="BL173" s="26">
        <f>IF(BL$6="","",IF(WEEKDAY(BL$6,1)=1,BL170*BL169,0))</f>
      </c>
      <c r="BM173" s="26">
        <f>IF(BM$6="","",IF(WEEKDAY(BM$6,1)=1,BM170*BM169,0))</f>
      </c>
      <c r="BN173" s="26">
        <f>IF(BN$6="","",IF(WEEKDAY(BN$6,1)=1,BN170*BN169,0))</f>
      </c>
      <c r="BO173" s="26">
        <f>IF(BO$6="","",IF(WEEKDAY(BO$6,1)=1,BO170*BO169,0))</f>
      </c>
      <c r="BP173" s="26">
        <f>IF(BP$6="","",IF(WEEKDAY(BP$6,1)=1,BP170*BP169,0))</f>
      </c>
      <c r="BQ173" s="26">
        <f>IF(BQ$6="","",IF(WEEKDAY(BQ$6,1)=1,BQ170*BQ169,0))</f>
      </c>
      <c r="BR173" s="26">
        <f>IF(BR$6="","",IF(WEEKDAY(BR$6,1)=1,BR170*BR169,0))</f>
      </c>
      <c r="BS173" s="26">
        <f>IF(BS$6="","",IF(WEEKDAY(BS$6,1)=1,BS170*BS169,0))</f>
      </c>
      <c r="BT173" s="26">
        <f>IF(BT$6="","",IF(WEEKDAY(BT$6,1)=1,BT170*BT169,0))</f>
      </c>
      <c r="BU173" s="26">
        <f>IF(BU$6="","",IF(WEEKDAY(BU$6,1)=1,BU170*BU169,0))</f>
      </c>
      <c r="BV173" s="26">
        <f>IF(BV$6="","",IF(WEEKDAY(BV$6,1)=1,BV170*BV169,0))</f>
      </c>
      <c r="BW173" s="26">
        <f>IF(BW$6="","",IF(WEEKDAY(BW$6,1)=1,BW170*BW169,0))</f>
      </c>
      <c r="BX173" s="26">
        <f>IF(BX$6="","",IF(WEEKDAY(BX$6,1)=1,BX170*BX169,0))</f>
      </c>
      <c r="BY173" s="26">
        <f>IF(BY$6="","",IF(WEEKDAY(BY$6,1)=1,BY170*BY169,0))</f>
      </c>
      <c r="BZ173" s="26">
        <f>IF(BZ$6="","",IF(WEEKDAY(BZ$6,1)=1,BZ170*BZ169,0))</f>
      </c>
      <c r="CA173" s="26">
        <f>IF(CA$6="","",IF(WEEKDAY(CA$6,1)=1,CA170*CA169,0))</f>
      </c>
      <c r="CB173" s="26">
        <f>IF(CB$6="","",IF(WEEKDAY(CB$6,1)=1,CB170*CB169,0))</f>
      </c>
      <c r="CC173" s="26">
        <f>IF(CC$6="","",IF(WEEKDAY(CC$6,1)=1,CC170*CC169,0))</f>
      </c>
      <c r="CD173" s="26">
        <f>IF(CD$6="","",IF(WEEKDAY(CD$6,1)=1,CD170*CD169,0))</f>
      </c>
      <c r="CE173" s="26">
        <f>IF(CE$6="","",IF(WEEKDAY(CE$6,1)=1,CE170*CE169,0))</f>
      </c>
      <c r="CF173" s="26">
        <f>IF(CF$6="","",IF(WEEKDAY(CF$6,1)=1,CF170*CF169,0))</f>
      </c>
      <c r="CG173" s="26">
        <f>IF(CG$6="","",IF(WEEKDAY(CG$6,1)=1,CG170*CG169,0))</f>
      </c>
      <c r="CH173" s="26">
        <f>IF(CH$6="","",IF(WEEKDAY(CH$6,1)=1,CH170*CH169,0))</f>
      </c>
      <c r="CI173" s="26">
        <f>IF(CI$6="","",IF(WEEKDAY(CI$6,1)=1,CI170*CI169,0))</f>
      </c>
      <c r="CJ173" s="26">
        <f>IF(CJ$6="","",IF(WEEKDAY(CJ$6,1)=1,CJ170*CJ169,0))</f>
      </c>
      <c r="CK173" s="26">
        <f>IF(CK$6="","",IF(WEEKDAY(CK$6,1)=1,CK170*CK169,0))</f>
      </c>
      <c r="CL173" s="26">
        <f>IF(CL$6="","",IF(WEEKDAY(CL$6,1)=1,CL170*CL169,0))</f>
      </c>
      <c r="CM173" s="26">
        <f>IF(CM$6="","",IF(WEEKDAY(CM$6,1)=1,CM170*CM169,0))</f>
      </c>
      <c r="CN173" s="26">
        <f>IF(CN$6="","",IF(WEEKDAY(CN$6,1)=1,CN170*CN169,0))</f>
      </c>
      <c r="CO173" s="26">
        <f>IF(CO$6="","",IF(WEEKDAY(CO$6,1)=1,CO170*CO169,0))</f>
      </c>
      <c r="CP173" s="26">
        <f>IF(CP$6="","",IF(WEEKDAY(CP$6,1)=1,CP170*CP169,0))</f>
      </c>
      <c r="CQ173" s="26">
        <f>IF(CQ$6="","",IF(WEEKDAY(CQ$6,1)=1,CQ170*CQ169,0))</f>
      </c>
      <c r="CR173" s="26">
        <f>IF(CR$6="","",IF(WEEKDAY(CR$6,1)=1,CR170*CR169,0))</f>
      </c>
      <c r="CS173" s="26">
        <f>IF(CS$6="","",IF(WEEKDAY(CS$6,1)=1,CS170*CS169,0))</f>
      </c>
      <c r="CT173" s="26">
        <f>IF(CT$6="","",IF(WEEKDAY(CT$6,1)=1,CT170*CT169,0))</f>
      </c>
      <c r="CU173" s="26">
        <f>IF(CU$6="","",IF(WEEKDAY(CU$6,1)=1,CU170*CU169,0))</f>
      </c>
      <c r="CV173" s="26">
        <f>IF(CV$6="","",IF(WEEKDAY(CV$6,1)=1,CV170*CV169,0))</f>
      </c>
      <c r="CW173" s="26">
        <f>IF(CW$6="","",IF(WEEKDAY(CW$6,1)=1,CW170*CW169,0))</f>
      </c>
      <c r="CX173" s="8" t="s">
        <v>80</v>
      </c>
    </row>
    <row r="174" spans="2:102" x14ac:dyDescent="0.25">
      <c r="B174" s="26">
        <f>SUM(L174:CW174)</f>
      </c>
      <c r="D174" s="27">
        <f>B174*E174</f>
      </c>
      <c r="E174" s="27">
        <v>140</v>
      </c>
      <c r="F174" s="8" t="s">
        <v>42</v>
      </c>
      <c r="L174" s="28">
        <v>0</v>
      </c>
      <c r="M174" s="28">
        <v>0</v>
      </c>
      <c r="N174" s="28">
        <v>0</v>
      </c>
      <c r="O174" s="28">
        <v>0</v>
      </c>
      <c r="P174" s="28">
        <v>0</v>
      </c>
      <c r="Q174" s="28">
        <v>0</v>
      </c>
      <c r="R174" s="28">
        <v>0</v>
      </c>
      <c r="S174" s="28">
        <v>0</v>
      </c>
      <c r="T174" s="28">
        <v>0</v>
      </c>
      <c r="U174" s="28">
        <v>0</v>
      </c>
      <c r="V174" s="28">
        <v>0</v>
      </c>
      <c r="W174" s="28">
        <v>0</v>
      </c>
      <c r="X174" s="28">
        <v>0</v>
      </c>
      <c r="Y174" s="28">
        <v>0</v>
      </c>
      <c r="Z174" s="28">
        <v>0</v>
      </c>
      <c r="AA174" s="28">
        <v>0</v>
      </c>
      <c r="AB174" s="28">
        <v>0</v>
      </c>
      <c r="AC174" s="28">
        <v>0</v>
      </c>
      <c r="AD174" s="28">
        <v>0</v>
      </c>
      <c r="AE174" s="28">
        <v>0</v>
      </c>
      <c r="AF174" s="28">
        <v>0</v>
      </c>
      <c r="AG174" s="28">
        <v>0</v>
      </c>
      <c r="AH174" s="28">
        <v>0</v>
      </c>
      <c r="AI174" s="28">
        <v>0</v>
      </c>
      <c r="AJ174" s="28">
        <v>0</v>
      </c>
      <c r="AK174" s="28">
        <v>0</v>
      </c>
      <c r="AL174" s="28">
        <v>0</v>
      </c>
      <c r="AM174" s="28">
        <v>0</v>
      </c>
      <c r="AN174" s="28">
        <v>0</v>
      </c>
      <c r="AO174" s="28">
        <v>0</v>
      </c>
      <c r="AP174" s="28">
        <v>0</v>
      </c>
      <c r="AQ174" s="28">
        <v>0</v>
      </c>
      <c r="AR174" s="28">
        <v>0</v>
      </c>
      <c r="AS174" s="28">
        <v>0</v>
      </c>
      <c r="AT174" s="28">
        <v>0</v>
      </c>
      <c r="AU174" s="28">
        <v>0</v>
      </c>
      <c r="AV174" s="28">
        <v>0</v>
      </c>
      <c r="AW174" s="28">
        <v>0</v>
      </c>
      <c r="AX174" s="28">
        <v>0</v>
      </c>
      <c r="AY174" s="28">
        <v>0</v>
      </c>
      <c r="AZ174" s="28">
        <v>0</v>
      </c>
      <c r="BA174" s="28">
        <v>0</v>
      </c>
      <c r="BB174" s="28">
        <v>0</v>
      </c>
      <c r="BC174" s="28">
        <v>0</v>
      </c>
      <c r="BD174" s="28">
        <v>0</v>
      </c>
      <c r="BE174" s="28">
        <v>0</v>
      </c>
      <c r="BF174" s="28">
        <v>0</v>
      </c>
      <c r="BG174" s="28">
        <v>0</v>
      </c>
      <c r="BH174" s="28">
        <v>0</v>
      </c>
      <c r="BI174" s="28">
        <v>1</v>
      </c>
      <c r="BJ174" s="28">
        <v>1</v>
      </c>
      <c r="BK174" s="28">
        <v>1</v>
      </c>
      <c r="BL174" s="28">
        <v>1</v>
      </c>
      <c r="BM174" s="28">
        <v>1</v>
      </c>
      <c r="BN174" s="28">
        <v>1</v>
      </c>
      <c r="BO174" s="28">
        <v>1</v>
      </c>
      <c r="BP174" s="28">
        <v>1</v>
      </c>
      <c r="BQ174" s="28">
        <v>1</v>
      </c>
      <c r="BR174" s="28">
        <v>1</v>
      </c>
      <c r="BS174" s="28">
        <v>1</v>
      </c>
      <c r="BT174" s="28">
        <v>1</v>
      </c>
      <c r="BU174" s="28">
        <v>1</v>
      </c>
      <c r="BV174" s="28">
        <v>1</v>
      </c>
      <c r="BW174" s="28">
        <v>1</v>
      </c>
      <c r="BX174" s="28">
        <v>1</v>
      </c>
      <c r="BY174" s="28">
        <v>1</v>
      </c>
      <c r="BZ174" s="28">
        <v>1</v>
      </c>
      <c r="CA174" s="28">
        <v>1</v>
      </c>
      <c r="CB174" s="28">
        <v>1</v>
      </c>
      <c r="CC174" s="28">
        <v>1</v>
      </c>
      <c r="CD174" s="28">
        <v>1</v>
      </c>
      <c r="CE174" s="28">
        <v>1</v>
      </c>
      <c r="CF174" s="28">
        <v>1</v>
      </c>
      <c r="CG174" s="28">
        <v>1</v>
      </c>
      <c r="CH174" s="28">
        <v>1</v>
      </c>
      <c r="CI174" s="28">
        <v>1</v>
      </c>
      <c r="CJ174" s="28">
        <v>1</v>
      </c>
      <c r="CK174" s="28">
        <v>1</v>
      </c>
      <c r="CL174" s="28">
        <v>1</v>
      </c>
      <c r="CM174" s="28">
        <v>1</v>
      </c>
      <c r="CN174" s="28">
        <v>1</v>
      </c>
      <c r="CO174" s="28">
        <v>1</v>
      </c>
      <c r="CP174" s="28">
        <v>1</v>
      </c>
      <c r="CQ174" s="28">
        <v>1</v>
      </c>
      <c r="CR174" s="28">
        <v>1</v>
      </c>
      <c r="CS174" s="28">
        <v>1</v>
      </c>
      <c r="CT174" s="28">
        <v>1</v>
      </c>
      <c r="CU174" s="28">
        <v>1</v>
      </c>
      <c r="CV174" s="28">
        <v>1</v>
      </c>
      <c r="CW174" s="28">
        <v>1</v>
      </c>
      <c r="CX174" s="8" t="s">
        <v>80</v>
      </c>
    </row>
    <row r="175" spans="1:11" x14ac:dyDescent="0.25">
      <c r="A175" s="14" t="s">
        <v>81</v>
      </c>
      <c r="B175" s="15">
        <f>SUM(B7,B14,B21,B28,B35,B42,B49,B56,B63,B70,B77,B84,B91,B98,B105,B112,B119,B126,B133,B140,B147,B154,B161,B168)</f>
      </c>
      <c r="D175" s="18">
        <f>SUM(D13,D20,D27,D34,D41,D48,D55,D62,D69,D76,D83,D90,D97,D104,D111,D118,D125,D132,D139,D146,D153,D160,D167,D174)</f>
      </c>
      <c r="G175" s="15">
        <f>SUM(G7,G14,G21,G28,G35,G42,G49,G56,G63,G70,G77,G84,G91,G98,G105,G112,G119,G126,G133,G140,G147,G154,G161,G168)</f>
      </c>
      <c r="H175" s="15">
        <f>SUM(H7,H14,H21,H28,H35,H42,H49,H56,H63,H70,H77,H84,H91,H98,H105,H112,H119,H126,H133,H140,H147,H154,H161,H168)</f>
      </c>
      <c r="I175" s="15">
        <f>SUM(I7,I14,I21,I28,I35,I42,I49,I56,I63,I70,I77,I84,I91,I98,I105,I112,I119,I126,I133,I140,I147,I154,I161,I168)</f>
      </c>
      <c r="J175" s="15">
        <f>SUM(J7,J14,J21,J28,J35,J42,J49,J56,J63,J70,J77,J84,J91,J98,J105,J112,J119,J126,J133,J140,J147,J154,J161,J168)</f>
      </c>
      <c r="K175" s="18">
        <f>SUM(K7,K14,K21,K28,K35,K42,K49,K56,K63,K70,K77,K84,K91,K98,K105,K112,K119,K126,K133,K140,K147,K154,K161,K168)</f>
      </c>
    </row>
  </sheetData>
  <mergeCells count="2">
    <mergeCell ref="A1:CW1"/>
    <mergeCell ref="A3:CW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35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01" width="7" customWidth="1"/>
    <col min="102" max="102" width="3" hidden="1" customWidth="1"/>
  </cols>
  <sheetData>
    <row r="1" ht="22" customHeight="1" spans="1:10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</row>
    <row r="2" spans="1:1" x14ac:dyDescent="0.25">
      <c r="A2" s="2" t="s">
        <v>1</v>
      </c>
    </row>
    <row r="3" spans="1:10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46269.72422173611</v>
      </c>
    </row>
    <row r="6" ht="20" customHeight="1" spans="1:101" x14ac:dyDescent="0.25">
      <c r="A6" s="7" t="s">
        <v>22</v>
      </c>
      <c r="B6" s="7" t="s">
        <v>23</v>
      </c>
      <c r="C6" s="7" t="s">
        <v>24</v>
      </c>
      <c r="D6" s="7" t="s">
        <v>25</v>
      </c>
      <c r="E6" s="7" t="s">
        <v>26</v>
      </c>
      <c r="F6" s="7" t="s">
        <v>27</v>
      </c>
      <c r="G6" s="7" t="s">
        <v>28</v>
      </c>
      <c r="H6" s="7" t="s">
        <v>29</v>
      </c>
      <c r="I6" s="7" t="s">
        <v>30</v>
      </c>
      <c r="J6" s="7" t="s">
        <v>31</v>
      </c>
      <c r="K6" s="7" t="s">
        <v>12</v>
      </c>
      <c r="L6" s="19">
        <v>46398</v>
      </c>
      <c r="M6" s="19">
        <f>L6+1</f>
      </c>
      <c r="N6" s="19">
        <f>M6+1</f>
      </c>
      <c r="O6" s="19">
        <f>N6+1</f>
      </c>
      <c r="P6" s="19">
        <f>O6+1</f>
      </c>
      <c r="Q6" s="19">
        <f>P6+1</f>
      </c>
      <c r="R6" s="19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19">
        <f>W6+1</f>
      </c>
      <c r="Y6" s="19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19">
        <f>AD6+1</f>
      </c>
      <c r="AF6" s="19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19">
        <f>AK6+1</f>
      </c>
      <c r="AM6" s="19">
        <f>AL6+1</f>
      </c>
      <c r="AN6" s="19">
        <f>AM6+1</f>
      </c>
      <c r="AO6" s="19">
        <f>AN6+1</f>
      </c>
      <c r="AP6" s="19">
        <f>AO6+1</f>
      </c>
      <c r="AQ6" s="19">
        <f>AP6+1</f>
      </c>
      <c r="AR6" s="19">
        <f>AQ6+1</f>
      </c>
      <c r="AS6" s="19">
        <f>AR6+1</f>
      </c>
      <c r="AT6" s="19">
        <f>AS6+1</f>
      </c>
      <c r="AU6" s="19">
        <f>AT6+1</f>
      </c>
      <c r="AV6" s="19">
        <f>AU6+1</f>
      </c>
      <c r="AW6" s="19">
        <f>AV6+1</f>
      </c>
      <c r="AX6" s="19">
        <f>AW6+1</f>
      </c>
      <c r="AY6" s="19">
        <f>AX6+1</f>
      </c>
      <c r="AZ6" s="19">
        <f>AY6+1</f>
      </c>
      <c r="BA6" s="19">
        <f>AZ6+1</f>
      </c>
      <c r="BB6" s="19">
        <f>BA6+1</f>
      </c>
      <c r="BC6" s="19">
        <f>BB6+1</f>
      </c>
      <c r="BD6" s="19">
        <f>BC6+1</f>
      </c>
      <c r="BE6" s="19">
        <f>BD6+1</f>
      </c>
      <c r="BF6" s="19">
        <f>BE6+1</f>
      </c>
      <c r="BG6" s="19">
        <f>BF6+1</f>
      </c>
      <c r="BH6" s="19">
        <f>BG6+1</f>
      </c>
      <c r="BI6" s="19">
        <f>BH6+1</f>
      </c>
      <c r="BJ6" s="19">
        <f>BI6+1</f>
      </c>
      <c r="BK6" s="19">
        <f>BJ6+1</f>
      </c>
      <c r="BL6" s="19">
        <f>BK6+1</f>
      </c>
      <c r="BM6" s="19">
        <f>BL6+1</f>
      </c>
      <c r="BN6" s="19">
        <f>BM6+1</f>
      </c>
      <c r="BO6" s="19">
        <f>BN6+1</f>
      </c>
      <c r="BP6" s="19">
        <f>BO6+1</f>
      </c>
      <c r="BQ6" s="19">
        <f>BP6+1</f>
      </c>
      <c r="BR6" s="19">
        <f>BQ6+1</f>
      </c>
      <c r="BS6" s="19">
        <f>BR6+1</f>
      </c>
      <c r="BT6" s="19">
        <f>BS6+1</f>
      </c>
      <c r="BU6" s="19">
        <f>BT6+1</f>
      </c>
      <c r="BV6" s="19">
        <f>BU6+1</f>
      </c>
      <c r="BW6" s="19">
        <f>BV6+1</f>
      </c>
      <c r="BX6" s="19">
        <f>BW6+1</f>
      </c>
      <c r="BY6" s="19">
        <f>BX6+1</f>
      </c>
      <c r="BZ6" s="19">
        <f>BY6+1</f>
      </c>
      <c r="CA6" s="19">
        <f>BZ6+1</f>
      </c>
      <c r="CB6" s="19">
        <f>CA6+1</f>
      </c>
      <c r="CC6" s="19">
        <f>CB6+1</f>
      </c>
      <c r="CD6" s="19">
        <f>CC6+1</f>
      </c>
      <c r="CE6" s="19">
        <f>CD6+1</f>
      </c>
      <c r="CF6" s="19">
        <f>CE6+1</f>
      </c>
      <c r="CG6" s="19">
        <f>CF6+1</f>
      </c>
      <c r="CH6" s="19">
        <f>CG6+1</f>
      </c>
      <c r="CI6" s="19">
        <f>CH6+1</f>
      </c>
      <c r="CJ6" s="19">
        <f>CI6+1</f>
      </c>
      <c r="CK6" s="19">
        <f>CJ6+1</f>
      </c>
      <c r="CL6" s="19">
        <f>CK6+1</f>
      </c>
      <c r="CM6" s="19">
        <f>CL6+1</f>
      </c>
      <c r="CN6" s="19">
        <f>CM6+1</f>
      </c>
      <c r="CO6" s="19">
        <f>CN6+1</f>
      </c>
      <c r="CP6" s="19">
        <f>CO6+1</f>
      </c>
      <c r="CQ6" s="19">
        <f>CP6+1</f>
      </c>
      <c r="CR6" s="19">
        <f>CQ6+1</f>
      </c>
      <c r="CS6" s="19">
        <f>CR6+1</f>
      </c>
      <c r="CT6" s="19">
        <f>CS6+1</f>
      </c>
      <c r="CU6" s="19">
        <f>CT6+1</f>
      </c>
      <c r="CV6" s="19">
        <f>CU6+1</f>
      </c>
      <c r="CW6" s="19">
        <f>CV6+1</f>
      </c>
    </row>
    <row r="7" spans="1:102" x14ac:dyDescent="0.25">
      <c r="A7" s="20" t="s">
        <v>32</v>
      </c>
      <c r="B7" s="21">
        <f>G7+H7+I7</f>
      </c>
      <c r="C7" s="20" t="s">
        <v>82</v>
      </c>
      <c r="D7" s="22">
        <f>K7</f>
      </c>
      <c r="F7" s="20" t="s">
        <v>34</v>
      </c>
      <c r="G7" s="21">
        <f>B10</f>
      </c>
      <c r="H7" s="21">
        <f>B11</f>
      </c>
      <c r="I7" s="21">
        <f>B12</f>
      </c>
      <c r="J7" s="21">
        <f>B13</f>
      </c>
      <c r="K7" s="22">
        <f>D10+D11+D12</f>
      </c>
      <c r="CX7" s="20" t="s">
        <v>83</v>
      </c>
    </row>
    <row r="8" spans="6:102" x14ac:dyDescent="0.25">
      <c r="F8" s="23" t="s">
        <v>36</v>
      </c>
      <c r="L8" s="24">
        <v>0</v>
      </c>
      <c r="M8" s="24">
        <v>0</v>
      </c>
      <c r="N8" s="24">
        <v>0</v>
      </c>
      <c r="O8" s="24">
        <v>2</v>
      </c>
      <c r="P8" s="24">
        <v>2</v>
      </c>
      <c r="Q8" s="24">
        <v>0</v>
      </c>
      <c r="R8" s="24">
        <v>0</v>
      </c>
      <c r="S8" s="24">
        <v>2</v>
      </c>
      <c r="T8" s="24">
        <v>2</v>
      </c>
      <c r="U8" s="24">
        <v>2</v>
      </c>
      <c r="V8" s="24">
        <v>2</v>
      </c>
      <c r="W8" s="24">
        <v>2</v>
      </c>
      <c r="X8" s="24">
        <v>0</v>
      </c>
      <c r="Y8" s="24">
        <v>0</v>
      </c>
      <c r="Z8" s="24">
        <v>2</v>
      </c>
      <c r="AA8" s="24">
        <v>2</v>
      </c>
      <c r="AB8" s="24">
        <v>2</v>
      </c>
      <c r="AC8" s="24">
        <v>2</v>
      </c>
      <c r="AD8" s="24">
        <v>2</v>
      </c>
      <c r="AE8" s="24">
        <v>0</v>
      </c>
      <c r="AF8" s="24">
        <v>0</v>
      </c>
      <c r="AG8" s="24">
        <v>2</v>
      </c>
      <c r="AH8" s="24">
        <v>2</v>
      </c>
      <c r="AI8" s="24">
        <v>2</v>
      </c>
      <c r="AJ8" s="24">
        <v>2</v>
      </c>
      <c r="AK8" s="24">
        <v>2</v>
      </c>
      <c r="AL8" s="24">
        <v>0</v>
      </c>
      <c r="AM8" s="24">
        <v>0</v>
      </c>
      <c r="AN8" s="24">
        <v>6</v>
      </c>
      <c r="AO8" s="24">
        <v>6</v>
      </c>
      <c r="AP8" s="24">
        <v>6</v>
      </c>
      <c r="AQ8" s="24">
        <v>6</v>
      </c>
      <c r="AR8" s="24">
        <v>6</v>
      </c>
      <c r="AS8" s="24">
        <v>0</v>
      </c>
      <c r="AT8" s="24">
        <v>0</v>
      </c>
      <c r="AU8" s="24">
        <v>6</v>
      </c>
      <c r="AV8" s="24">
        <v>6</v>
      </c>
      <c r="AW8" s="24">
        <v>6</v>
      </c>
      <c r="AX8" s="24">
        <v>6</v>
      </c>
      <c r="AY8" s="24">
        <v>6</v>
      </c>
      <c r="AZ8" s="24">
        <v>0</v>
      </c>
      <c r="BA8" s="24">
        <v>0</v>
      </c>
      <c r="BB8" s="24">
        <v>6</v>
      </c>
      <c r="BC8" s="24">
        <v>6</v>
      </c>
      <c r="BD8" s="24">
        <v>6</v>
      </c>
      <c r="BE8" s="24">
        <v>6</v>
      </c>
      <c r="BF8" s="24">
        <v>6</v>
      </c>
      <c r="BG8" s="24">
        <v>0</v>
      </c>
      <c r="BH8" s="24">
        <v>0</v>
      </c>
      <c r="BI8" s="24">
        <v>4</v>
      </c>
      <c r="BJ8" s="24">
        <v>4</v>
      </c>
      <c r="BK8" s="24">
        <v>4</v>
      </c>
      <c r="BL8" s="24">
        <v>4</v>
      </c>
      <c r="BM8" s="24">
        <v>4</v>
      </c>
      <c r="BN8" s="24">
        <v>4</v>
      </c>
      <c r="BO8" s="24">
        <v>4</v>
      </c>
      <c r="BP8" s="24">
        <v>4</v>
      </c>
      <c r="BQ8" s="24">
        <v>4</v>
      </c>
      <c r="BR8" s="24">
        <v>4</v>
      </c>
      <c r="BS8" s="24">
        <v>4</v>
      </c>
      <c r="BT8" s="24">
        <v>4</v>
      </c>
      <c r="BU8" s="24">
        <v>4</v>
      </c>
      <c r="BV8" s="24">
        <v>4</v>
      </c>
      <c r="BW8" s="24">
        <v>4</v>
      </c>
      <c r="BX8" s="24">
        <v>4</v>
      </c>
      <c r="BY8" s="24">
        <v>4</v>
      </c>
      <c r="BZ8" s="24">
        <v>4</v>
      </c>
      <c r="CA8" s="24">
        <v>4</v>
      </c>
      <c r="CB8" s="24">
        <v>4</v>
      </c>
      <c r="CC8" s="24">
        <v>4</v>
      </c>
      <c r="CD8" s="24">
        <v>4</v>
      </c>
      <c r="CE8" s="24">
        <v>4</v>
      </c>
      <c r="CF8" s="24">
        <v>4</v>
      </c>
      <c r="CG8" s="24">
        <v>4</v>
      </c>
      <c r="CH8" s="24">
        <v>4</v>
      </c>
      <c r="CI8" s="24">
        <v>4</v>
      </c>
      <c r="CJ8" s="24">
        <v>4</v>
      </c>
      <c r="CK8" s="24">
        <v>4</v>
      </c>
      <c r="CL8" s="24">
        <v>4</v>
      </c>
      <c r="CM8" s="24">
        <v>4</v>
      </c>
      <c r="CN8" s="24">
        <v>4</v>
      </c>
      <c r="CO8" s="24">
        <v>4</v>
      </c>
      <c r="CP8" s="24">
        <v>4</v>
      </c>
      <c r="CQ8" s="24">
        <v>4</v>
      </c>
      <c r="CR8" s="24">
        <v>4</v>
      </c>
      <c r="CS8" s="24">
        <v>4</v>
      </c>
      <c r="CT8" s="24">
        <v>4</v>
      </c>
      <c r="CU8" s="24">
        <v>4</v>
      </c>
      <c r="CV8" s="24">
        <v>4</v>
      </c>
      <c r="CW8" s="24">
        <v>4</v>
      </c>
      <c r="CX8" s="23" t="s">
        <v>83</v>
      </c>
    </row>
    <row r="9" spans="1:102" x14ac:dyDescent="0.25">
      <c r="A9" s="23" t="s">
        <v>37</v>
      </c>
      <c r="F9" s="23" t="s">
        <v>38</v>
      </c>
      <c r="L9" s="25">
        <v>0</v>
      </c>
      <c r="M9" s="25">
        <v>0</v>
      </c>
      <c r="N9" s="25">
        <v>0</v>
      </c>
      <c r="O9" s="25">
        <v>9</v>
      </c>
      <c r="P9" s="25">
        <v>9</v>
      </c>
      <c r="Q9" s="25">
        <v>0</v>
      </c>
      <c r="R9" s="25">
        <v>0</v>
      </c>
      <c r="S9" s="25">
        <v>9</v>
      </c>
      <c r="T9" s="25">
        <v>9</v>
      </c>
      <c r="U9" s="25">
        <v>9</v>
      </c>
      <c r="V9" s="25">
        <v>9</v>
      </c>
      <c r="W9" s="25">
        <v>9</v>
      </c>
      <c r="X9" s="25">
        <v>0</v>
      </c>
      <c r="Y9" s="25">
        <v>0</v>
      </c>
      <c r="Z9" s="25">
        <v>9</v>
      </c>
      <c r="AA9" s="25">
        <v>9</v>
      </c>
      <c r="AB9" s="25">
        <v>9</v>
      </c>
      <c r="AC9" s="25">
        <v>9</v>
      </c>
      <c r="AD9" s="25">
        <v>9</v>
      </c>
      <c r="AE9" s="25">
        <v>0</v>
      </c>
      <c r="AF9" s="25">
        <v>0</v>
      </c>
      <c r="AG9" s="25">
        <v>9</v>
      </c>
      <c r="AH9" s="25">
        <v>9</v>
      </c>
      <c r="AI9" s="25">
        <v>9</v>
      </c>
      <c r="AJ9" s="25">
        <v>9</v>
      </c>
      <c r="AK9" s="25">
        <v>9</v>
      </c>
      <c r="AL9" s="25">
        <v>0</v>
      </c>
      <c r="AM9" s="25">
        <v>0</v>
      </c>
      <c r="AN9" s="25">
        <v>8</v>
      </c>
      <c r="AO9" s="25">
        <v>8</v>
      </c>
      <c r="AP9" s="25">
        <v>8</v>
      </c>
      <c r="AQ9" s="25">
        <v>8</v>
      </c>
      <c r="AR9" s="25">
        <v>8</v>
      </c>
      <c r="AS9" s="25">
        <v>0</v>
      </c>
      <c r="AT9" s="25">
        <v>0</v>
      </c>
      <c r="AU9" s="25">
        <v>8</v>
      </c>
      <c r="AV9" s="25">
        <v>8</v>
      </c>
      <c r="AW9" s="25">
        <v>8</v>
      </c>
      <c r="AX9" s="25">
        <v>8</v>
      </c>
      <c r="AY9" s="25">
        <v>8</v>
      </c>
      <c r="AZ9" s="25">
        <v>0</v>
      </c>
      <c r="BA9" s="25">
        <v>0</v>
      </c>
      <c r="BB9" s="25">
        <v>8</v>
      </c>
      <c r="BC9" s="25">
        <v>8</v>
      </c>
      <c r="BD9" s="25">
        <v>8</v>
      </c>
      <c r="BE9" s="25">
        <v>8</v>
      </c>
      <c r="BF9" s="25">
        <v>8</v>
      </c>
      <c r="BG9" s="25">
        <v>0</v>
      </c>
      <c r="BH9" s="25">
        <v>0</v>
      </c>
      <c r="BI9" s="25">
        <v>13</v>
      </c>
      <c r="BJ9" s="25">
        <v>13</v>
      </c>
      <c r="BK9" s="25">
        <v>13</v>
      </c>
      <c r="BL9" s="25">
        <v>13</v>
      </c>
      <c r="BM9" s="25">
        <v>13</v>
      </c>
      <c r="BN9" s="25">
        <v>13</v>
      </c>
      <c r="BO9" s="25">
        <v>13</v>
      </c>
      <c r="BP9" s="25">
        <v>13</v>
      </c>
      <c r="BQ9" s="25">
        <v>13</v>
      </c>
      <c r="BR9" s="25">
        <v>13</v>
      </c>
      <c r="BS9" s="25">
        <v>13</v>
      </c>
      <c r="BT9" s="25">
        <v>13</v>
      </c>
      <c r="BU9" s="25">
        <v>13</v>
      </c>
      <c r="BV9" s="25">
        <v>13</v>
      </c>
      <c r="BW9" s="25">
        <v>13</v>
      </c>
      <c r="BX9" s="25">
        <v>13</v>
      </c>
      <c r="BY9" s="25">
        <v>13</v>
      </c>
      <c r="BZ9" s="25">
        <v>13</v>
      </c>
      <c r="CA9" s="25">
        <v>13</v>
      </c>
      <c r="CB9" s="25">
        <v>13</v>
      </c>
      <c r="CC9" s="25">
        <v>13</v>
      </c>
      <c r="CD9" s="25">
        <v>13</v>
      </c>
      <c r="CE9" s="25">
        <v>13</v>
      </c>
      <c r="CF9" s="25">
        <v>13</v>
      </c>
      <c r="CG9" s="25">
        <v>13</v>
      </c>
      <c r="CH9" s="25">
        <v>13</v>
      </c>
      <c r="CI9" s="25">
        <v>13</v>
      </c>
      <c r="CJ9" s="25">
        <v>13</v>
      </c>
      <c r="CK9" s="25">
        <v>13</v>
      </c>
      <c r="CL9" s="25">
        <v>13</v>
      </c>
      <c r="CM9" s="25">
        <v>13</v>
      </c>
      <c r="CN9" s="25">
        <v>13</v>
      </c>
      <c r="CO9" s="25">
        <v>13</v>
      </c>
      <c r="CP9" s="25">
        <v>13</v>
      </c>
      <c r="CQ9" s="25">
        <v>13</v>
      </c>
      <c r="CR9" s="25">
        <v>13</v>
      </c>
      <c r="CS9" s="25">
        <v>13</v>
      </c>
      <c r="CT9" s="25">
        <v>13</v>
      </c>
      <c r="CU9" s="25">
        <v>13</v>
      </c>
      <c r="CV9" s="25">
        <v>13</v>
      </c>
      <c r="CW9" s="25">
        <v>13</v>
      </c>
      <c r="CX9" s="23" t="s">
        <v>83</v>
      </c>
    </row>
    <row r="10" spans="2:102" x14ac:dyDescent="0.25">
      <c r="B10" s="26">
        <f>SUM(L10:CW10)</f>
      </c>
      <c r="D10" s="27">
        <f>B10*E10</f>
      </c>
      <c r="E10" s="27">
        <f>'Rate Tables'!C22</f>
      </c>
      <c r="F10" s="8" t="s">
        <v>39</v>
      </c>
      <c r="L10" s="26">
        <f>IF(L$6="","",IF(OR(WEEKDAY(L$6,1)=1,WEEKDAY(L$6,1)=7),0,MIN(8,L9)*L8))</f>
      </c>
      <c r="M10" s="26">
        <f>IF(M$6="","",IF(OR(WEEKDAY(M$6,1)=1,WEEKDAY(M$6,1)=7),0,MIN(8,M9)*M8))</f>
      </c>
      <c r="N10" s="26">
        <f>IF(N$6="","",IF(OR(WEEKDAY(N$6,1)=1,WEEKDAY(N$6,1)=7),0,MIN(8,N9)*N8))</f>
      </c>
      <c r="O10" s="26">
        <f>IF(O$6="","",IF(OR(WEEKDAY(O$6,1)=1,WEEKDAY(O$6,1)=7),0,MIN(8,O9)*O8))</f>
      </c>
      <c r="P10" s="26">
        <f>IF(P$6="","",IF(OR(WEEKDAY(P$6,1)=1,WEEKDAY(P$6,1)=7),0,MIN(8,P9)*P8))</f>
      </c>
      <c r="Q10" s="26">
        <f>IF(Q$6="","",IF(OR(WEEKDAY(Q$6,1)=1,WEEKDAY(Q$6,1)=7),0,MIN(8,Q9)*Q8))</f>
      </c>
      <c r="R10" s="26">
        <f>IF(R$6="","",IF(OR(WEEKDAY(R$6,1)=1,WEEKDAY(R$6,1)=7),0,MIN(8,R9)*R8))</f>
      </c>
      <c r="S10" s="26">
        <f>IF(S$6="","",IF(OR(WEEKDAY(S$6,1)=1,WEEKDAY(S$6,1)=7),0,MIN(8,S9)*S8))</f>
      </c>
      <c r="T10" s="26">
        <f>IF(T$6="","",IF(OR(WEEKDAY(T$6,1)=1,WEEKDAY(T$6,1)=7),0,MIN(8,T9)*T8))</f>
      </c>
      <c r="U10" s="26">
        <f>IF(U$6="","",IF(OR(WEEKDAY(U$6,1)=1,WEEKDAY(U$6,1)=7),0,MIN(8,U9)*U8))</f>
      </c>
      <c r="V10" s="26">
        <f>IF(V$6="","",IF(OR(WEEKDAY(V$6,1)=1,WEEKDAY(V$6,1)=7),0,MIN(8,V9)*V8))</f>
      </c>
      <c r="W10" s="26">
        <f>IF(W$6="","",IF(OR(WEEKDAY(W$6,1)=1,WEEKDAY(W$6,1)=7),0,MIN(8,W9)*W8))</f>
      </c>
      <c r="X10" s="26">
        <f>IF(X$6="","",IF(OR(WEEKDAY(X$6,1)=1,WEEKDAY(X$6,1)=7),0,MIN(8,X9)*X8))</f>
      </c>
      <c r="Y10" s="26">
        <f>IF(Y$6="","",IF(OR(WEEKDAY(Y$6,1)=1,WEEKDAY(Y$6,1)=7),0,MIN(8,Y9)*Y8))</f>
      </c>
      <c r="Z10" s="26">
        <f>IF(Z$6="","",IF(OR(WEEKDAY(Z$6,1)=1,WEEKDAY(Z$6,1)=7),0,MIN(8,Z9)*Z8))</f>
      </c>
      <c r="AA10" s="26">
        <f>IF(AA$6="","",IF(OR(WEEKDAY(AA$6,1)=1,WEEKDAY(AA$6,1)=7),0,MIN(8,AA9)*AA8))</f>
      </c>
      <c r="AB10" s="26">
        <f>IF(AB$6="","",IF(OR(WEEKDAY(AB$6,1)=1,WEEKDAY(AB$6,1)=7),0,MIN(8,AB9)*AB8))</f>
      </c>
      <c r="AC10" s="26">
        <f>IF(AC$6="","",IF(OR(WEEKDAY(AC$6,1)=1,WEEKDAY(AC$6,1)=7),0,MIN(8,AC9)*AC8))</f>
      </c>
      <c r="AD10" s="26">
        <f>IF(AD$6="","",IF(OR(WEEKDAY(AD$6,1)=1,WEEKDAY(AD$6,1)=7),0,MIN(8,AD9)*AD8))</f>
      </c>
      <c r="AE10" s="26">
        <f>IF(AE$6="","",IF(OR(WEEKDAY(AE$6,1)=1,WEEKDAY(AE$6,1)=7),0,MIN(8,AE9)*AE8))</f>
      </c>
      <c r="AF10" s="26">
        <f>IF(AF$6="","",IF(OR(WEEKDAY(AF$6,1)=1,WEEKDAY(AF$6,1)=7),0,MIN(8,AF9)*AF8))</f>
      </c>
      <c r="AG10" s="26">
        <f>IF(AG$6="","",IF(OR(WEEKDAY(AG$6,1)=1,WEEKDAY(AG$6,1)=7),0,MIN(8,AG9)*AG8))</f>
      </c>
      <c r="AH10" s="26">
        <f>IF(AH$6="","",IF(OR(WEEKDAY(AH$6,1)=1,WEEKDAY(AH$6,1)=7),0,MIN(8,AH9)*AH8))</f>
      </c>
      <c r="AI10" s="26">
        <f>IF(AI$6="","",IF(OR(WEEKDAY(AI$6,1)=1,WEEKDAY(AI$6,1)=7),0,MIN(8,AI9)*AI8))</f>
      </c>
      <c r="AJ10" s="26">
        <f>IF(AJ$6="","",IF(OR(WEEKDAY(AJ$6,1)=1,WEEKDAY(AJ$6,1)=7),0,MIN(8,AJ9)*AJ8))</f>
      </c>
      <c r="AK10" s="26">
        <f>IF(AK$6="","",IF(OR(WEEKDAY(AK$6,1)=1,WEEKDAY(AK$6,1)=7),0,MIN(8,AK9)*AK8))</f>
      </c>
      <c r="AL10" s="26">
        <f>IF(AL$6="","",IF(OR(WEEKDAY(AL$6,1)=1,WEEKDAY(AL$6,1)=7),0,MIN(8,AL9)*AL8))</f>
      </c>
      <c r="AM10" s="26">
        <f>IF(AM$6="","",IF(OR(WEEKDAY(AM$6,1)=1,WEEKDAY(AM$6,1)=7),0,MIN(8,AM9)*AM8))</f>
      </c>
      <c r="AN10" s="26">
        <f>IF(AN$6="","",IF(OR(WEEKDAY(AN$6,1)=1,WEEKDAY(AN$6,1)=7),0,MIN(8,AN9)*AN8))</f>
      </c>
      <c r="AO10" s="26">
        <f>IF(AO$6="","",IF(OR(WEEKDAY(AO$6,1)=1,WEEKDAY(AO$6,1)=7),0,MIN(8,AO9)*AO8))</f>
      </c>
      <c r="AP10" s="26">
        <f>IF(AP$6="","",IF(OR(WEEKDAY(AP$6,1)=1,WEEKDAY(AP$6,1)=7),0,MIN(8,AP9)*AP8))</f>
      </c>
      <c r="AQ10" s="26">
        <f>IF(AQ$6="","",IF(OR(WEEKDAY(AQ$6,1)=1,WEEKDAY(AQ$6,1)=7),0,MIN(8,AQ9)*AQ8))</f>
      </c>
      <c r="AR10" s="26">
        <f>IF(AR$6="","",IF(OR(WEEKDAY(AR$6,1)=1,WEEKDAY(AR$6,1)=7),0,MIN(8,AR9)*AR8))</f>
      </c>
      <c r="AS10" s="26">
        <f>IF(AS$6="","",IF(OR(WEEKDAY(AS$6,1)=1,WEEKDAY(AS$6,1)=7),0,MIN(8,AS9)*AS8))</f>
      </c>
      <c r="AT10" s="26">
        <f>IF(AT$6="","",IF(OR(WEEKDAY(AT$6,1)=1,WEEKDAY(AT$6,1)=7),0,MIN(8,AT9)*AT8))</f>
      </c>
      <c r="AU10" s="26">
        <f>IF(AU$6="","",IF(OR(WEEKDAY(AU$6,1)=1,WEEKDAY(AU$6,1)=7),0,MIN(8,AU9)*AU8))</f>
      </c>
      <c r="AV10" s="26">
        <f>IF(AV$6="","",IF(OR(WEEKDAY(AV$6,1)=1,WEEKDAY(AV$6,1)=7),0,MIN(8,AV9)*AV8))</f>
      </c>
      <c r="AW10" s="26">
        <f>IF(AW$6="","",IF(OR(WEEKDAY(AW$6,1)=1,WEEKDAY(AW$6,1)=7),0,MIN(8,AW9)*AW8))</f>
      </c>
      <c r="AX10" s="26">
        <f>IF(AX$6="","",IF(OR(WEEKDAY(AX$6,1)=1,WEEKDAY(AX$6,1)=7),0,MIN(8,AX9)*AX8))</f>
      </c>
      <c r="AY10" s="26">
        <f>IF(AY$6="","",IF(OR(WEEKDAY(AY$6,1)=1,WEEKDAY(AY$6,1)=7),0,MIN(8,AY9)*AY8))</f>
      </c>
      <c r="AZ10" s="26">
        <f>IF(AZ$6="","",IF(OR(WEEKDAY(AZ$6,1)=1,WEEKDAY(AZ$6,1)=7),0,MIN(8,AZ9)*AZ8))</f>
      </c>
      <c r="BA10" s="26">
        <f>IF(BA$6="","",IF(OR(WEEKDAY(BA$6,1)=1,WEEKDAY(BA$6,1)=7),0,MIN(8,BA9)*BA8))</f>
      </c>
      <c r="BB10" s="26">
        <f>IF(BB$6="","",IF(OR(WEEKDAY(BB$6,1)=1,WEEKDAY(BB$6,1)=7),0,MIN(8,BB9)*BB8))</f>
      </c>
      <c r="BC10" s="26">
        <f>IF(BC$6="","",IF(OR(WEEKDAY(BC$6,1)=1,WEEKDAY(BC$6,1)=7),0,MIN(8,BC9)*BC8))</f>
      </c>
      <c r="BD10" s="26">
        <f>IF(BD$6="","",IF(OR(WEEKDAY(BD$6,1)=1,WEEKDAY(BD$6,1)=7),0,MIN(8,BD9)*BD8))</f>
      </c>
      <c r="BE10" s="26">
        <f>IF(BE$6="","",IF(OR(WEEKDAY(BE$6,1)=1,WEEKDAY(BE$6,1)=7),0,MIN(8,BE9)*BE8))</f>
      </c>
      <c r="BF10" s="26">
        <f>IF(BF$6="","",IF(OR(WEEKDAY(BF$6,1)=1,WEEKDAY(BF$6,1)=7),0,MIN(8,BF9)*BF8))</f>
      </c>
      <c r="BG10" s="26">
        <f>IF(BG$6="","",IF(OR(WEEKDAY(BG$6,1)=1,WEEKDAY(BG$6,1)=7),0,MIN(8,BG9)*BG8))</f>
      </c>
      <c r="BH10" s="26">
        <f>IF(BH$6="","",IF(OR(WEEKDAY(BH$6,1)=1,WEEKDAY(BH$6,1)=7),0,MIN(8,BH9)*BH8))</f>
      </c>
      <c r="BI10" s="26">
        <f>IF(BI$6="","",IF(OR(WEEKDAY(BI$6,1)=1,WEEKDAY(BI$6,1)=7),0,MIN(8,BI9)*BI8))</f>
      </c>
      <c r="BJ10" s="26">
        <f>IF(BJ$6="","",IF(OR(WEEKDAY(BJ$6,1)=1,WEEKDAY(BJ$6,1)=7),0,MIN(8,BJ9)*BJ8))</f>
      </c>
      <c r="BK10" s="26">
        <f>IF(BK$6="","",IF(OR(WEEKDAY(BK$6,1)=1,WEEKDAY(BK$6,1)=7),0,MIN(8,BK9)*BK8))</f>
      </c>
      <c r="BL10" s="26">
        <f>IF(BL$6="","",IF(OR(WEEKDAY(BL$6,1)=1,WEEKDAY(BL$6,1)=7),0,MIN(8,BL9)*BL8))</f>
      </c>
      <c r="BM10" s="26">
        <f>IF(BM$6="","",IF(OR(WEEKDAY(BM$6,1)=1,WEEKDAY(BM$6,1)=7),0,MIN(8,BM9)*BM8))</f>
      </c>
      <c r="BN10" s="26">
        <f>IF(BN$6="","",IF(OR(WEEKDAY(BN$6,1)=1,WEEKDAY(BN$6,1)=7),0,MIN(8,BN9)*BN8))</f>
      </c>
      <c r="BO10" s="26">
        <f>IF(BO$6="","",IF(OR(WEEKDAY(BO$6,1)=1,WEEKDAY(BO$6,1)=7),0,MIN(8,BO9)*BO8))</f>
      </c>
      <c r="BP10" s="26">
        <f>IF(BP$6="","",IF(OR(WEEKDAY(BP$6,1)=1,WEEKDAY(BP$6,1)=7),0,MIN(8,BP9)*BP8))</f>
      </c>
      <c r="BQ10" s="26">
        <f>IF(BQ$6="","",IF(OR(WEEKDAY(BQ$6,1)=1,WEEKDAY(BQ$6,1)=7),0,MIN(8,BQ9)*BQ8))</f>
      </c>
      <c r="BR10" s="26">
        <f>IF(BR$6="","",IF(OR(WEEKDAY(BR$6,1)=1,WEEKDAY(BR$6,1)=7),0,MIN(8,BR9)*BR8))</f>
      </c>
      <c r="BS10" s="26">
        <f>IF(BS$6="","",IF(OR(WEEKDAY(BS$6,1)=1,WEEKDAY(BS$6,1)=7),0,MIN(8,BS9)*BS8))</f>
      </c>
      <c r="BT10" s="26">
        <f>IF(BT$6="","",IF(OR(WEEKDAY(BT$6,1)=1,WEEKDAY(BT$6,1)=7),0,MIN(8,BT9)*BT8))</f>
      </c>
      <c r="BU10" s="26">
        <f>IF(BU$6="","",IF(OR(WEEKDAY(BU$6,1)=1,WEEKDAY(BU$6,1)=7),0,MIN(8,BU9)*BU8))</f>
      </c>
      <c r="BV10" s="26">
        <f>IF(BV$6="","",IF(OR(WEEKDAY(BV$6,1)=1,WEEKDAY(BV$6,1)=7),0,MIN(8,BV9)*BV8))</f>
      </c>
      <c r="BW10" s="26">
        <f>IF(BW$6="","",IF(OR(WEEKDAY(BW$6,1)=1,WEEKDAY(BW$6,1)=7),0,MIN(8,BW9)*BW8))</f>
      </c>
      <c r="BX10" s="26">
        <f>IF(BX$6="","",IF(OR(WEEKDAY(BX$6,1)=1,WEEKDAY(BX$6,1)=7),0,MIN(8,BX9)*BX8))</f>
      </c>
      <c r="BY10" s="26">
        <f>IF(BY$6="","",IF(OR(WEEKDAY(BY$6,1)=1,WEEKDAY(BY$6,1)=7),0,MIN(8,BY9)*BY8))</f>
      </c>
      <c r="BZ10" s="26">
        <f>IF(BZ$6="","",IF(OR(WEEKDAY(BZ$6,1)=1,WEEKDAY(BZ$6,1)=7),0,MIN(8,BZ9)*BZ8))</f>
      </c>
      <c r="CA10" s="26">
        <f>IF(CA$6="","",IF(OR(WEEKDAY(CA$6,1)=1,WEEKDAY(CA$6,1)=7),0,MIN(8,CA9)*CA8))</f>
      </c>
      <c r="CB10" s="26">
        <f>IF(CB$6="","",IF(OR(WEEKDAY(CB$6,1)=1,WEEKDAY(CB$6,1)=7),0,MIN(8,CB9)*CB8))</f>
      </c>
      <c r="CC10" s="26">
        <f>IF(CC$6="","",IF(OR(WEEKDAY(CC$6,1)=1,WEEKDAY(CC$6,1)=7),0,MIN(8,CC9)*CC8))</f>
      </c>
      <c r="CD10" s="26">
        <f>IF(CD$6="","",IF(OR(WEEKDAY(CD$6,1)=1,WEEKDAY(CD$6,1)=7),0,MIN(8,CD9)*CD8))</f>
      </c>
      <c r="CE10" s="26">
        <f>IF(CE$6="","",IF(OR(WEEKDAY(CE$6,1)=1,WEEKDAY(CE$6,1)=7),0,MIN(8,CE9)*CE8))</f>
      </c>
      <c r="CF10" s="26">
        <f>IF(CF$6="","",IF(OR(WEEKDAY(CF$6,1)=1,WEEKDAY(CF$6,1)=7),0,MIN(8,CF9)*CF8))</f>
      </c>
      <c r="CG10" s="26">
        <f>IF(CG$6="","",IF(OR(WEEKDAY(CG$6,1)=1,WEEKDAY(CG$6,1)=7),0,MIN(8,CG9)*CG8))</f>
      </c>
      <c r="CH10" s="26">
        <f>IF(CH$6="","",IF(OR(WEEKDAY(CH$6,1)=1,WEEKDAY(CH$6,1)=7),0,MIN(8,CH9)*CH8))</f>
      </c>
      <c r="CI10" s="26">
        <f>IF(CI$6="","",IF(OR(WEEKDAY(CI$6,1)=1,WEEKDAY(CI$6,1)=7),0,MIN(8,CI9)*CI8))</f>
      </c>
      <c r="CJ10" s="26">
        <f>IF(CJ$6="","",IF(OR(WEEKDAY(CJ$6,1)=1,WEEKDAY(CJ$6,1)=7),0,MIN(8,CJ9)*CJ8))</f>
      </c>
      <c r="CK10" s="26">
        <f>IF(CK$6="","",IF(OR(WEEKDAY(CK$6,1)=1,WEEKDAY(CK$6,1)=7),0,MIN(8,CK9)*CK8))</f>
      </c>
      <c r="CL10" s="26">
        <f>IF(CL$6="","",IF(OR(WEEKDAY(CL$6,1)=1,WEEKDAY(CL$6,1)=7),0,MIN(8,CL9)*CL8))</f>
      </c>
      <c r="CM10" s="26">
        <f>IF(CM$6="","",IF(OR(WEEKDAY(CM$6,1)=1,WEEKDAY(CM$6,1)=7),0,MIN(8,CM9)*CM8))</f>
      </c>
      <c r="CN10" s="26">
        <f>IF(CN$6="","",IF(OR(WEEKDAY(CN$6,1)=1,WEEKDAY(CN$6,1)=7),0,MIN(8,CN9)*CN8))</f>
      </c>
      <c r="CO10" s="26">
        <f>IF(CO$6="","",IF(OR(WEEKDAY(CO$6,1)=1,WEEKDAY(CO$6,1)=7),0,MIN(8,CO9)*CO8))</f>
      </c>
      <c r="CP10" s="26">
        <f>IF(CP$6="","",IF(OR(WEEKDAY(CP$6,1)=1,WEEKDAY(CP$6,1)=7),0,MIN(8,CP9)*CP8))</f>
      </c>
      <c r="CQ10" s="26">
        <f>IF(CQ$6="","",IF(OR(WEEKDAY(CQ$6,1)=1,WEEKDAY(CQ$6,1)=7),0,MIN(8,CQ9)*CQ8))</f>
      </c>
      <c r="CR10" s="26">
        <f>IF(CR$6="","",IF(OR(WEEKDAY(CR$6,1)=1,WEEKDAY(CR$6,1)=7),0,MIN(8,CR9)*CR8))</f>
      </c>
      <c r="CS10" s="26">
        <f>IF(CS$6="","",IF(OR(WEEKDAY(CS$6,1)=1,WEEKDAY(CS$6,1)=7),0,MIN(8,CS9)*CS8))</f>
      </c>
      <c r="CT10" s="26">
        <f>IF(CT$6="","",IF(OR(WEEKDAY(CT$6,1)=1,WEEKDAY(CT$6,1)=7),0,MIN(8,CT9)*CT8))</f>
      </c>
      <c r="CU10" s="26">
        <f>IF(CU$6="","",IF(OR(WEEKDAY(CU$6,1)=1,WEEKDAY(CU$6,1)=7),0,MIN(8,CU9)*CU8))</f>
      </c>
      <c r="CV10" s="26">
        <f>IF(CV$6="","",IF(OR(WEEKDAY(CV$6,1)=1,WEEKDAY(CV$6,1)=7),0,MIN(8,CV9)*CV8))</f>
      </c>
      <c r="CW10" s="26">
        <f>IF(CW$6="","",IF(OR(WEEKDAY(CW$6,1)=1,WEEKDAY(CW$6,1)=7),0,MIN(8,CW9)*CW8))</f>
      </c>
      <c r="CX10" s="8" t="s">
        <v>83</v>
      </c>
    </row>
    <row r="11" spans="2:102" x14ac:dyDescent="0.25">
      <c r="B11" s="26">
        <f>SUM(L11:CW11)</f>
      </c>
      <c r="D11" s="27">
        <f>B11*E11</f>
      </c>
      <c r="E11" s="27">
        <f>'Rate Tables'!D22</f>
      </c>
      <c r="F11" s="8" t="s">
        <v>40</v>
      </c>
      <c r="L11" s="26">
        <f>IF(L$6="","",IF(WEEKDAY(L$6,1)=1,0,IF(WEEKDAY(L$6,1)=7,L9*L8,MAX(0,L9-8)*L8)))</f>
      </c>
      <c r="M11" s="26">
        <f>IF(M$6="","",IF(WEEKDAY(M$6,1)=1,0,IF(WEEKDAY(M$6,1)=7,M9*M8,MAX(0,M9-8)*M8)))</f>
      </c>
      <c r="N11" s="26">
        <f>IF(N$6="","",IF(WEEKDAY(N$6,1)=1,0,IF(WEEKDAY(N$6,1)=7,N9*N8,MAX(0,N9-8)*N8)))</f>
      </c>
      <c r="O11" s="26">
        <f>IF(O$6="","",IF(WEEKDAY(O$6,1)=1,0,IF(WEEKDAY(O$6,1)=7,O9*O8,MAX(0,O9-8)*O8)))</f>
      </c>
      <c r="P11" s="26">
        <f>IF(P$6="","",IF(WEEKDAY(P$6,1)=1,0,IF(WEEKDAY(P$6,1)=7,P9*P8,MAX(0,P9-8)*P8)))</f>
      </c>
      <c r="Q11" s="26">
        <f>IF(Q$6="","",IF(WEEKDAY(Q$6,1)=1,0,IF(WEEKDAY(Q$6,1)=7,Q9*Q8,MAX(0,Q9-8)*Q8)))</f>
      </c>
      <c r="R11" s="26">
        <f>IF(R$6="","",IF(WEEKDAY(R$6,1)=1,0,IF(WEEKDAY(R$6,1)=7,R9*R8,MAX(0,R9-8)*R8)))</f>
      </c>
      <c r="S11" s="26">
        <f>IF(S$6="","",IF(WEEKDAY(S$6,1)=1,0,IF(WEEKDAY(S$6,1)=7,S9*S8,MAX(0,S9-8)*S8)))</f>
      </c>
      <c r="T11" s="26">
        <f>IF(T$6="","",IF(WEEKDAY(T$6,1)=1,0,IF(WEEKDAY(T$6,1)=7,T9*T8,MAX(0,T9-8)*T8)))</f>
      </c>
      <c r="U11" s="26">
        <f>IF(U$6="","",IF(WEEKDAY(U$6,1)=1,0,IF(WEEKDAY(U$6,1)=7,U9*U8,MAX(0,U9-8)*U8)))</f>
      </c>
      <c r="V11" s="26">
        <f>IF(V$6="","",IF(WEEKDAY(V$6,1)=1,0,IF(WEEKDAY(V$6,1)=7,V9*V8,MAX(0,V9-8)*V8)))</f>
      </c>
      <c r="W11" s="26">
        <f>IF(W$6="","",IF(WEEKDAY(W$6,1)=1,0,IF(WEEKDAY(W$6,1)=7,W9*W8,MAX(0,W9-8)*W8)))</f>
      </c>
      <c r="X11" s="26">
        <f>IF(X$6="","",IF(WEEKDAY(X$6,1)=1,0,IF(WEEKDAY(X$6,1)=7,X9*X8,MAX(0,X9-8)*X8)))</f>
      </c>
      <c r="Y11" s="26">
        <f>IF(Y$6="","",IF(WEEKDAY(Y$6,1)=1,0,IF(WEEKDAY(Y$6,1)=7,Y9*Y8,MAX(0,Y9-8)*Y8)))</f>
      </c>
      <c r="Z11" s="26">
        <f>IF(Z$6="","",IF(WEEKDAY(Z$6,1)=1,0,IF(WEEKDAY(Z$6,1)=7,Z9*Z8,MAX(0,Z9-8)*Z8)))</f>
      </c>
      <c r="AA11" s="26">
        <f>IF(AA$6="","",IF(WEEKDAY(AA$6,1)=1,0,IF(WEEKDAY(AA$6,1)=7,AA9*AA8,MAX(0,AA9-8)*AA8)))</f>
      </c>
      <c r="AB11" s="26">
        <f>IF(AB$6="","",IF(WEEKDAY(AB$6,1)=1,0,IF(WEEKDAY(AB$6,1)=7,AB9*AB8,MAX(0,AB9-8)*AB8)))</f>
      </c>
      <c r="AC11" s="26">
        <f>IF(AC$6="","",IF(WEEKDAY(AC$6,1)=1,0,IF(WEEKDAY(AC$6,1)=7,AC9*AC8,MAX(0,AC9-8)*AC8)))</f>
      </c>
      <c r="AD11" s="26">
        <f>IF(AD$6="","",IF(WEEKDAY(AD$6,1)=1,0,IF(WEEKDAY(AD$6,1)=7,AD9*AD8,MAX(0,AD9-8)*AD8)))</f>
      </c>
      <c r="AE11" s="26">
        <f>IF(AE$6="","",IF(WEEKDAY(AE$6,1)=1,0,IF(WEEKDAY(AE$6,1)=7,AE9*AE8,MAX(0,AE9-8)*AE8)))</f>
      </c>
      <c r="AF11" s="26">
        <f>IF(AF$6="","",IF(WEEKDAY(AF$6,1)=1,0,IF(WEEKDAY(AF$6,1)=7,AF9*AF8,MAX(0,AF9-8)*AF8)))</f>
      </c>
      <c r="AG11" s="26">
        <f>IF(AG$6="","",IF(WEEKDAY(AG$6,1)=1,0,IF(WEEKDAY(AG$6,1)=7,AG9*AG8,MAX(0,AG9-8)*AG8)))</f>
      </c>
      <c r="AH11" s="26">
        <f>IF(AH$6="","",IF(WEEKDAY(AH$6,1)=1,0,IF(WEEKDAY(AH$6,1)=7,AH9*AH8,MAX(0,AH9-8)*AH8)))</f>
      </c>
      <c r="AI11" s="26">
        <f>IF(AI$6="","",IF(WEEKDAY(AI$6,1)=1,0,IF(WEEKDAY(AI$6,1)=7,AI9*AI8,MAX(0,AI9-8)*AI8)))</f>
      </c>
      <c r="AJ11" s="26">
        <f>IF(AJ$6="","",IF(WEEKDAY(AJ$6,1)=1,0,IF(WEEKDAY(AJ$6,1)=7,AJ9*AJ8,MAX(0,AJ9-8)*AJ8)))</f>
      </c>
      <c r="AK11" s="26">
        <f>IF(AK$6="","",IF(WEEKDAY(AK$6,1)=1,0,IF(WEEKDAY(AK$6,1)=7,AK9*AK8,MAX(0,AK9-8)*AK8)))</f>
      </c>
      <c r="AL11" s="26">
        <f>IF(AL$6="","",IF(WEEKDAY(AL$6,1)=1,0,IF(WEEKDAY(AL$6,1)=7,AL9*AL8,MAX(0,AL9-8)*AL8)))</f>
      </c>
      <c r="AM11" s="26">
        <f>IF(AM$6="","",IF(WEEKDAY(AM$6,1)=1,0,IF(WEEKDAY(AM$6,1)=7,AM9*AM8,MAX(0,AM9-8)*AM8)))</f>
      </c>
      <c r="AN11" s="26">
        <f>IF(AN$6="","",IF(WEEKDAY(AN$6,1)=1,0,IF(WEEKDAY(AN$6,1)=7,AN9*AN8,MAX(0,AN9-8)*AN8)))</f>
      </c>
      <c r="AO11" s="26">
        <f>IF(AO$6="","",IF(WEEKDAY(AO$6,1)=1,0,IF(WEEKDAY(AO$6,1)=7,AO9*AO8,MAX(0,AO9-8)*AO8)))</f>
      </c>
      <c r="AP11" s="26">
        <f>IF(AP$6="","",IF(WEEKDAY(AP$6,1)=1,0,IF(WEEKDAY(AP$6,1)=7,AP9*AP8,MAX(0,AP9-8)*AP8)))</f>
      </c>
      <c r="AQ11" s="26">
        <f>IF(AQ$6="","",IF(WEEKDAY(AQ$6,1)=1,0,IF(WEEKDAY(AQ$6,1)=7,AQ9*AQ8,MAX(0,AQ9-8)*AQ8)))</f>
      </c>
      <c r="AR11" s="26">
        <f>IF(AR$6="","",IF(WEEKDAY(AR$6,1)=1,0,IF(WEEKDAY(AR$6,1)=7,AR9*AR8,MAX(0,AR9-8)*AR8)))</f>
      </c>
      <c r="AS11" s="26">
        <f>IF(AS$6="","",IF(WEEKDAY(AS$6,1)=1,0,IF(WEEKDAY(AS$6,1)=7,AS9*AS8,MAX(0,AS9-8)*AS8)))</f>
      </c>
      <c r="AT11" s="26">
        <f>IF(AT$6="","",IF(WEEKDAY(AT$6,1)=1,0,IF(WEEKDAY(AT$6,1)=7,AT9*AT8,MAX(0,AT9-8)*AT8)))</f>
      </c>
      <c r="AU11" s="26">
        <f>IF(AU$6="","",IF(WEEKDAY(AU$6,1)=1,0,IF(WEEKDAY(AU$6,1)=7,AU9*AU8,MAX(0,AU9-8)*AU8)))</f>
      </c>
      <c r="AV11" s="26">
        <f>IF(AV$6="","",IF(WEEKDAY(AV$6,1)=1,0,IF(WEEKDAY(AV$6,1)=7,AV9*AV8,MAX(0,AV9-8)*AV8)))</f>
      </c>
      <c r="AW11" s="26">
        <f>IF(AW$6="","",IF(WEEKDAY(AW$6,1)=1,0,IF(WEEKDAY(AW$6,1)=7,AW9*AW8,MAX(0,AW9-8)*AW8)))</f>
      </c>
      <c r="AX11" s="26">
        <f>IF(AX$6="","",IF(WEEKDAY(AX$6,1)=1,0,IF(WEEKDAY(AX$6,1)=7,AX9*AX8,MAX(0,AX9-8)*AX8)))</f>
      </c>
      <c r="AY11" s="26">
        <f>IF(AY$6="","",IF(WEEKDAY(AY$6,1)=1,0,IF(WEEKDAY(AY$6,1)=7,AY9*AY8,MAX(0,AY9-8)*AY8)))</f>
      </c>
      <c r="AZ11" s="26">
        <f>IF(AZ$6="","",IF(WEEKDAY(AZ$6,1)=1,0,IF(WEEKDAY(AZ$6,1)=7,AZ9*AZ8,MAX(0,AZ9-8)*AZ8)))</f>
      </c>
      <c r="BA11" s="26">
        <f>IF(BA$6="","",IF(WEEKDAY(BA$6,1)=1,0,IF(WEEKDAY(BA$6,1)=7,BA9*BA8,MAX(0,BA9-8)*BA8)))</f>
      </c>
      <c r="BB11" s="26">
        <f>IF(BB$6="","",IF(WEEKDAY(BB$6,1)=1,0,IF(WEEKDAY(BB$6,1)=7,BB9*BB8,MAX(0,BB9-8)*BB8)))</f>
      </c>
      <c r="BC11" s="26">
        <f>IF(BC$6="","",IF(WEEKDAY(BC$6,1)=1,0,IF(WEEKDAY(BC$6,1)=7,BC9*BC8,MAX(0,BC9-8)*BC8)))</f>
      </c>
      <c r="BD11" s="26">
        <f>IF(BD$6="","",IF(WEEKDAY(BD$6,1)=1,0,IF(WEEKDAY(BD$6,1)=7,BD9*BD8,MAX(0,BD9-8)*BD8)))</f>
      </c>
      <c r="BE11" s="26">
        <f>IF(BE$6="","",IF(WEEKDAY(BE$6,1)=1,0,IF(WEEKDAY(BE$6,1)=7,BE9*BE8,MAX(0,BE9-8)*BE8)))</f>
      </c>
      <c r="BF11" s="26">
        <f>IF(BF$6="","",IF(WEEKDAY(BF$6,1)=1,0,IF(WEEKDAY(BF$6,1)=7,BF9*BF8,MAX(0,BF9-8)*BF8)))</f>
      </c>
      <c r="BG11" s="26">
        <f>IF(BG$6="","",IF(WEEKDAY(BG$6,1)=1,0,IF(WEEKDAY(BG$6,1)=7,BG9*BG8,MAX(0,BG9-8)*BG8)))</f>
      </c>
      <c r="BH11" s="26">
        <f>IF(BH$6="","",IF(WEEKDAY(BH$6,1)=1,0,IF(WEEKDAY(BH$6,1)=7,BH9*BH8,MAX(0,BH9-8)*BH8)))</f>
      </c>
      <c r="BI11" s="26">
        <f>IF(BI$6="","",IF(WEEKDAY(BI$6,1)=1,0,IF(WEEKDAY(BI$6,1)=7,BI9*BI8,MAX(0,BI9-8)*BI8)))</f>
      </c>
      <c r="BJ11" s="26">
        <f>IF(BJ$6="","",IF(WEEKDAY(BJ$6,1)=1,0,IF(WEEKDAY(BJ$6,1)=7,BJ9*BJ8,MAX(0,BJ9-8)*BJ8)))</f>
      </c>
      <c r="BK11" s="26">
        <f>IF(BK$6="","",IF(WEEKDAY(BK$6,1)=1,0,IF(WEEKDAY(BK$6,1)=7,BK9*BK8,MAX(0,BK9-8)*BK8)))</f>
      </c>
      <c r="BL11" s="26">
        <f>IF(BL$6="","",IF(WEEKDAY(BL$6,1)=1,0,IF(WEEKDAY(BL$6,1)=7,BL9*BL8,MAX(0,BL9-8)*BL8)))</f>
      </c>
      <c r="BM11" s="26">
        <f>IF(BM$6="","",IF(WEEKDAY(BM$6,1)=1,0,IF(WEEKDAY(BM$6,1)=7,BM9*BM8,MAX(0,BM9-8)*BM8)))</f>
      </c>
      <c r="BN11" s="26">
        <f>IF(BN$6="","",IF(WEEKDAY(BN$6,1)=1,0,IF(WEEKDAY(BN$6,1)=7,BN9*BN8,MAX(0,BN9-8)*BN8)))</f>
      </c>
      <c r="BO11" s="26">
        <f>IF(BO$6="","",IF(WEEKDAY(BO$6,1)=1,0,IF(WEEKDAY(BO$6,1)=7,BO9*BO8,MAX(0,BO9-8)*BO8)))</f>
      </c>
      <c r="BP11" s="26">
        <f>IF(BP$6="","",IF(WEEKDAY(BP$6,1)=1,0,IF(WEEKDAY(BP$6,1)=7,BP9*BP8,MAX(0,BP9-8)*BP8)))</f>
      </c>
      <c r="BQ11" s="26">
        <f>IF(BQ$6="","",IF(WEEKDAY(BQ$6,1)=1,0,IF(WEEKDAY(BQ$6,1)=7,BQ9*BQ8,MAX(0,BQ9-8)*BQ8)))</f>
      </c>
      <c r="BR11" s="26">
        <f>IF(BR$6="","",IF(WEEKDAY(BR$6,1)=1,0,IF(WEEKDAY(BR$6,1)=7,BR9*BR8,MAX(0,BR9-8)*BR8)))</f>
      </c>
      <c r="BS11" s="26">
        <f>IF(BS$6="","",IF(WEEKDAY(BS$6,1)=1,0,IF(WEEKDAY(BS$6,1)=7,BS9*BS8,MAX(0,BS9-8)*BS8)))</f>
      </c>
      <c r="BT11" s="26">
        <f>IF(BT$6="","",IF(WEEKDAY(BT$6,1)=1,0,IF(WEEKDAY(BT$6,1)=7,BT9*BT8,MAX(0,BT9-8)*BT8)))</f>
      </c>
      <c r="BU11" s="26">
        <f>IF(BU$6="","",IF(WEEKDAY(BU$6,1)=1,0,IF(WEEKDAY(BU$6,1)=7,BU9*BU8,MAX(0,BU9-8)*BU8)))</f>
      </c>
      <c r="BV11" s="26">
        <f>IF(BV$6="","",IF(WEEKDAY(BV$6,1)=1,0,IF(WEEKDAY(BV$6,1)=7,BV9*BV8,MAX(0,BV9-8)*BV8)))</f>
      </c>
      <c r="BW11" s="26">
        <f>IF(BW$6="","",IF(WEEKDAY(BW$6,1)=1,0,IF(WEEKDAY(BW$6,1)=7,BW9*BW8,MAX(0,BW9-8)*BW8)))</f>
      </c>
      <c r="BX11" s="26">
        <f>IF(BX$6="","",IF(WEEKDAY(BX$6,1)=1,0,IF(WEEKDAY(BX$6,1)=7,BX9*BX8,MAX(0,BX9-8)*BX8)))</f>
      </c>
      <c r="BY11" s="26">
        <f>IF(BY$6="","",IF(WEEKDAY(BY$6,1)=1,0,IF(WEEKDAY(BY$6,1)=7,BY9*BY8,MAX(0,BY9-8)*BY8)))</f>
      </c>
      <c r="BZ11" s="26">
        <f>IF(BZ$6="","",IF(WEEKDAY(BZ$6,1)=1,0,IF(WEEKDAY(BZ$6,1)=7,BZ9*BZ8,MAX(0,BZ9-8)*BZ8)))</f>
      </c>
      <c r="CA11" s="26">
        <f>IF(CA$6="","",IF(WEEKDAY(CA$6,1)=1,0,IF(WEEKDAY(CA$6,1)=7,CA9*CA8,MAX(0,CA9-8)*CA8)))</f>
      </c>
      <c r="CB11" s="26">
        <f>IF(CB$6="","",IF(WEEKDAY(CB$6,1)=1,0,IF(WEEKDAY(CB$6,1)=7,CB9*CB8,MAX(0,CB9-8)*CB8)))</f>
      </c>
      <c r="CC11" s="26">
        <f>IF(CC$6="","",IF(WEEKDAY(CC$6,1)=1,0,IF(WEEKDAY(CC$6,1)=7,CC9*CC8,MAX(0,CC9-8)*CC8)))</f>
      </c>
      <c r="CD11" s="26">
        <f>IF(CD$6="","",IF(WEEKDAY(CD$6,1)=1,0,IF(WEEKDAY(CD$6,1)=7,CD9*CD8,MAX(0,CD9-8)*CD8)))</f>
      </c>
      <c r="CE11" s="26">
        <f>IF(CE$6="","",IF(WEEKDAY(CE$6,1)=1,0,IF(WEEKDAY(CE$6,1)=7,CE9*CE8,MAX(0,CE9-8)*CE8)))</f>
      </c>
      <c r="CF11" s="26">
        <f>IF(CF$6="","",IF(WEEKDAY(CF$6,1)=1,0,IF(WEEKDAY(CF$6,1)=7,CF9*CF8,MAX(0,CF9-8)*CF8)))</f>
      </c>
      <c r="CG11" s="26">
        <f>IF(CG$6="","",IF(WEEKDAY(CG$6,1)=1,0,IF(WEEKDAY(CG$6,1)=7,CG9*CG8,MAX(0,CG9-8)*CG8)))</f>
      </c>
      <c r="CH11" s="26">
        <f>IF(CH$6="","",IF(WEEKDAY(CH$6,1)=1,0,IF(WEEKDAY(CH$6,1)=7,CH9*CH8,MAX(0,CH9-8)*CH8)))</f>
      </c>
      <c r="CI11" s="26">
        <f>IF(CI$6="","",IF(WEEKDAY(CI$6,1)=1,0,IF(WEEKDAY(CI$6,1)=7,CI9*CI8,MAX(0,CI9-8)*CI8)))</f>
      </c>
      <c r="CJ11" s="26">
        <f>IF(CJ$6="","",IF(WEEKDAY(CJ$6,1)=1,0,IF(WEEKDAY(CJ$6,1)=7,CJ9*CJ8,MAX(0,CJ9-8)*CJ8)))</f>
      </c>
      <c r="CK11" s="26">
        <f>IF(CK$6="","",IF(WEEKDAY(CK$6,1)=1,0,IF(WEEKDAY(CK$6,1)=7,CK9*CK8,MAX(0,CK9-8)*CK8)))</f>
      </c>
      <c r="CL11" s="26">
        <f>IF(CL$6="","",IF(WEEKDAY(CL$6,1)=1,0,IF(WEEKDAY(CL$6,1)=7,CL9*CL8,MAX(0,CL9-8)*CL8)))</f>
      </c>
      <c r="CM11" s="26">
        <f>IF(CM$6="","",IF(WEEKDAY(CM$6,1)=1,0,IF(WEEKDAY(CM$6,1)=7,CM9*CM8,MAX(0,CM9-8)*CM8)))</f>
      </c>
      <c r="CN11" s="26">
        <f>IF(CN$6="","",IF(WEEKDAY(CN$6,1)=1,0,IF(WEEKDAY(CN$6,1)=7,CN9*CN8,MAX(0,CN9-8)*CN8)))</f>
      </c>
      <c r="CO11" s="26">
        <f>IF(CO$6="","",IF(WEEKDAY(CO$6,1)=1,0,IF(WEEKDAY(CO$6,1)=7,CO9*CO8,MAX(0,CO9-8)*CO8)))</f>
      </c>
      <c r="CP11" s="26">
        <f>IF(CP$6="","",IF(WEEKDAY(CP$6,1)=1,0,IF(WEEKDAY(CP$6,1)=7,CP9*CP8,MAX(0,CP9-8)*CP8)))</f>
      </c>
      <c r="CQ11" s="26">
        <f>IF(CQ$6="","",IF(WEEKDAY(CQ$6,1)=1,0,IF(WEEKDAY(CQ$6,1)=7,CQ9*CQ8,MAX(0,CQ9-8)*CQ8)))</f>
      </c>
      <c r="CR11" s="26">
        <f>IF(CR$6="","",IF(WEEKDAY(CR$6,1)=1,0,IF(WEEKDAY(CR$6,1)=7,CR9*CR8,MAX(0,CR9-8)*CR8)))</f>
      </c>
      <c r="CS11" s="26">
        <f>IF(CS$6="","",IF(WEEKDAY(CS$6,1)=1,0,IF(WEEKDAY(CS$6,1)=7,CS9*CS8,MAX(0,CS9-8)*CS8)))</f>
      </c>
      <c r="CT11" s="26">
        <f>IF(CT$6="","",IF(WEEKDAY(CT$6,1)=1,0,IF(WEEKDAY(CT$6,1)=7,CT9*CT8,MAX(0,CT9-8)*CT8)))</f>
      </c>
      <c r="CU11" s="26">
        <f>IF(CU$6="","",IF(WEEKDAY(CU$6,1)=1,0,IF(WEEKDAY(CU$6,1)=7,CU9*CU8,MAX(0,CU9-8)*CU8)))</f>
      </c>
      <c r="CV11" s="26">
        <f>IF(CV$6="","",IF(WEEKDAY(CV$6,1)=1,0,IF(WEEKDAY(CV$6,1)=7,CV9*CV8,MAX(0,CV9-8)*CV8)))</f>
      </c>
      <c r="CW11" s="26">
        <f>IF(CW$6="","",IF(WEEKDAY(CW$6,1)=1,0,IF(WEEKDAY(CW$6,1)=7,CW9*CW8,MAX(0,CW9-8)*CW8)))</f>
      </c>
      <c r="CX11" s="8" t="s">
        <v>83</v>
      </c>
    </row>
    <row r="12" spans="2:102" x14ac:dyDescent="0.25">
      <c r="B12" s="26">
        <f>SUM(L12:CW12)</f>
      </c>
      <c r="D12" s="27">
        <f>B12*E12</f>
      </c>
      <c r="E12" s="27">
        <f>'Rate Tables'!E22</f>
      </c>
      <c r="F12" s="8" t="s">
        <v>41</v>
      </c>
      <c r="L12" s="26">
        <f>IF(L$6="","",IF(WEEKDAY(L$6,1)=1,L9*L8,0))</f>
      </c>
      <c r="M12" s="26">
        <f>IF(M$6="","",IF(WEEKDAY(M$6,1)=1,M9*M8,0))</f>
      </c>
      <c r="N12" s="26">
        <f>IF(N$6="","",IF(WEEKDAY(N$6,1)=1,N9*N8,0))</f>
      </c>
      <c r="O12" s="26">
        <f>IF(O$6="","",IF(WEEKDAY(O$6,1)=1,O9*O8,0))</f>
      </c>
      <c r="P12" s="26">
        <f>IF(P$6="","",IF(WEEKDAY(P$6,1)=1,P9*P8,0))</f>
      </c>
      <c r="Q12" s="26">
        <f>IF(Q$6="","",IF(WEEKDAY(Q$6,1)=1,Q9*Q8,0))</f>
      </c>
      <c r="R12" s="26">
        <f>IF(R$6="","",IF(WEEKDAY(R$6,1)=1,R9*R8,0))</f>
      </c>
      <c r="S12" s="26">
        <f>IF(S$6="","",IF(WEEKDAY(S$6,1)=1,S9*S8,0))</f>
      </c>
      <c r="T12" s="26">
        <f>IF(T$6="","",IF(WEEKDAY(T$6,1)=1,T9*T8,0))</f>
      </c>
      <c r="U12" s="26">
        <f>IF(U$6="","",IF(WEEKDAY(U$6,1)=1,U9*U8,0))</f>
      </c>
      <c r="V12" s="26">
        <f>IF(V$6="","",IF(WEEKDAY(V$6,1)=1,V9*V8,0))</f>
      </c>
      <c r="W12" s="26">
        <f>IF(W$6="","",IF(WEEKDAY(W$6,1)=1,W9*W8,0))</f>
      </c>
      <c r="X12" s="26">
        <f>IF(X$6="","",IF(WEEKDAY(X$6,1)=1,X9*X8,0))</f>
      </c>
      <c r="Y12" s="26">
        <f>IF(Y$6="","",IF(WEEKDAY(Y$6,1)=1,Y9*Y8,0))</f>
      </c>
      <c r="Z12" s="26">
        <f>IF(Z$6="","",IF(WEEKDAY(Z$6,1)=1,Z9*Z8,0))</f>
      </c>
      <c r="AA12" s="26">
        <f>IF(AA$6="","",IF(WEEKDAY(AA$6,1)=1,AA9*AA8,0))</f>
      </c>
      <c r="AB12" s="26">
        <f>IF(AB$6="","",IF(WEEKDAY(AB$6,1)=1,AB9*AB8,0))</f>
      </c>
      <c r="AC12" s="26">
        <f>IF(AC$6="","",IF(WEEKDAY(AC$6,1)=1,AC9*AC8,0))</f>
      </c>
      <c r="AD12" s="26">
        <f>IF(AD$6="","",IF(WEEKDAY(AD$6,1)=1,AD9*AD8,0))</f>
      </c>
      <c r="AE12" s="26">
        <f>IF(AE$6="","",IF(WEEKDAY(AE$6,1)=1,AE9*AE8,0))</f>
      </c>
      <c r="AF12" s="26">
        <f>IF(AF$6="","",IF(WEEKDAY(AF$6,1)=1,AF9*AF8,0))</f>
      </c>
      <c r="AG12" s="26">
        <f>IF(AG$6="","",IF(WEEKDAY(AG$6,1)=1,AG9*AG8,0))</f>
      </c>
      <c r="AH12" s="26">
        <f>IF(AH$6="","",IF(WEEKDAY(AH$6,1)=1,AH9*AH8,0))</f>
      </c>
      <c r="AI12" s="26">
        <f>IF(AI$6="","",IF(WEEKDAY(AI$6,1)=1,AI9*AI8,0))</f>
      </c>
      <c r="AJ12" s="26">
        <f>IF(AJ$6="","",IF(WEEKDAY(AJ$6,1)=1,AJ9*AJ8,0))</f>
      </c>
      <c r="AK12" s="26">
        <f>IF(AK$6="","",IF(WEEKDAY(AK$6,1)=1,AK9*AK8,0))</f>
      </c>
      <c r="AL12" s="26">
        <f>IF(AL$6="","",IF(WEEKDAY(AL$6,1)=1,AL9*AL8,0))</f>
      </c>
      <c r="AM12" s="26">
        <f>IF(AM$6="","",IF(WEEKDAY(AM$6,1)=1,AM9*AM8,0))</f>
      </c>
      <c r="AN12" s="26">
        <f>IF(AN$6="","",IF(WEEKDAY(AN$6,1)=1,AN9*AN8,0))</f>
      </c>
      <c r="AO12" s="26">
        <f>IF(AO$6="","",IF(WEEKDAY(AO$6,1)=1,AO9*AO8,0))</f>
      </c>
      <c r="AP12" s="26">
        <f>IF(AP$6="","",IF(WEEKDAY(AP$6,1)=1,AP9*AP8,0))</f>
      </c>
      <c r="AQ12" s="26">
        <f>IF(AQ$6="","",IF(WEEKDAY(AQ$6,1)=1,AQ9*AQ8,0))</f>
      </c>
      <c r="AR12" s="26">
        <f>IF(AR$6="","",IF(WEEKDAY(AR$6,1)=1,AR9*AR8,0))</f>
      </c>
      <c r="AS12" s="26">
        <f>IF(AS$6="","",IF(WEEKDAY(AS$6,1)=1,AS9*AS8,0))</f>
      </c>
      <c r="AT12" s="26">
        <f>IF(AT$6="","",IF(WEEKDAY(AT$6,1)=1,AT9*AT8,0))</f>
      </c>
      <c r="AU12" s="26">
        <f>IF(AU$6="","",IF(WEEKDAY(AU$6,1)=1,AU9*AU8,0))</f>
      </c>
      <c r="AV12" s="26">
        <f>IF(AV$6="","",IF(WEEKDAY(AV$6,1)=1,AV9*AV8,0))</f>
      </c>
      <c r="AW12" s="26">
        <f>IF(AW$6="","",IF(WEEKDAY(AW$6,1)=1,AW9*AW8,0))</f>
      </c>
      <c r="AX12" s="26">
        <f>IF(AX$6="","",IF(WEEKDAY(AX$6,1)=1,AX9*AX8,0))</f>
      </c>
      <c r="AY12" s="26">
        <f>IF(AY$6="","",IF(WEEKDAY(AY$6,1)=1,AY9*AY8,0))</f>
      </c>
      <c r="AZ12" s="26">
        <f>IF(AZ$6="","",IF(WEEKDAY(AZ$6,1)=1,AZ9*AZ8,0))</f>
      </c>
      <c r="BA12" s="26">
        <f>IF(BA$6="","",IF(WEEKDAY(BA$6,1)=1,BA9*BA8,0))</f>
      </c>
      <c r="BB12" s="26">
        <f>IF(BB$6="","",IF(WEEKDAY(BB$6,1)=1,BB9*BB8,0))</f>
      </c>
      <c r="BC12" s="26">
        <f>IF(BC$6="","",IF(WEEKDAY(BC$6,1)=1,BC9*BC8,0))</f>
      </c>
      <c r="BD12" s="26">
        <f>IF(BD$6="","",IF(WEEKDAY(BD$6,1)=1,BD9*BD8,0))</f>
      </c>
      <c r="BE12" s="26">
        <f>IF(BE$6="","",IF(WEEKDAY(BE$6,1)=1,BE9*BE8,0))</f>
      </c>
      <c r="BF12" s="26">
        <f>IF(BF$6="","",IF(WEEKDAY(BF$6,1)=1,BF9*BF8,0))</f>
      </c>
      <c r="BG12" s="26">
        <f>IF(BG$6="","",IF(WEEKDAY(BG$6,1)=1,BG9*BG8,0))</f>
      </c>
      <c r="BH12" s="26">
        <f>IF(BH$6="","",IF(WEEKDAY(BH$6,1)=1,BH9*BH8,0))</f>
      </c>
      <c r="BI12" s="26">
        <f>IF(BI$6="","",IF(WEEKDAY(BI$6,1)=1,BI9*BI8,0))</f>
      </c>
      <c r="BJ12" s="26">
        <f>IF(BJ$6="","",IF(WEEKDAY(BJ$6,1)=1,BJ9*BJ8,0))</f>
      </c>
      <c r="BK12" s="26">
        <f>IF(BK$6="","",IF(WEEKDAY(BK$6,1)=1,BK9*BK8,0))</f>
      </c>
      <c r="BL12" s="26">
        <f>IF(BL$6="","",IF(WEEKDAY(BL$6,1)=1,BL9*BL8,0))</f>
      </c>
      <c r="BM12" s="26">
        <f>IF(BM$6="","",IF(WEEKDAY(BM$6,1)=1,BM9*BM8,0))</f>
      </c>
      <c r="BN12" s="26">
        <f>IF(BN$6="","",IF(WEEKDAY(BN$6,1)=1,BN9*BN8,0))</f>
      </c>
      <c r="BO12" s="26">
        <f>IF(BO$6="","",IF(WEEKDAY(BO$6,1)=1,BO9*BO8,0))</f>
      </c>
      <c r="BP12" s="26">
        <f>IF(BP$6="","",IF(WEEKDAY(BP$6,1)=1,BP9*BP8,0))</f>
      </c>
      <c r="BQ12" s="26">
        <f>IF(BQ$6="","",IF(WEEKDAY(BQ$6,1)=1,BQ9*BQ8,0))</f>
      </c>
      <c r="BR12" s="26">
        <f>IF(BR$6="","",IF(WEEKDAY(BR$6,1)=1,BR9*BR8,0))</f>
      </c>
      <c r="BS12" s="26">
        <f>IF(BS$6="","",IF(WEEKDAY(BS$6,1)=1,BS9*BS8,0))</f>
      </c>
      <c r="BT12" s="26">
        <f>IF(BT$6="","",IF(WEEKDAY(BT$6,1)=1,BT9*BT8,0))</f>
      </c>
      <c r="BU12" s="26">
        <f>IF(BU$6="","",IF(WEEKDAY(BU$6,1)=1,BU9*BU8,0))</f>
      </c>
      <c r="BV12" s="26">
        <f>IF(BV$6="","",IF(WEEKDAY(BV$6,1)=1,BV9*BV8,0))</f>
      </c>
      <c r="BW12" s="26">
        <f>IF(BW$6="","",IF(WEEKDAY(BW$6,1)=1,BW9*BW8,0))</f>
      </c>
      <c r="BX12" s="26">
        <f>IF(BX$6="","",IF(WEEKDAY(BX$6,1)=1,BX9*BX8,0))</f>
      </c>
      <c r="BY12" s="26">
        <f>IF(BY$6="","",IF(WEEKDAY(BY$6,1)=1,BY9*BY8,0))</f>
      </c>
      <c r="BZ12" s="26">
        <f>IF(BZ$6="","",IF(WEEKDAY(BZ$6,1)=1,BZ9*BZ8,0))</f>
      </c>
      <c r="CA12" s="26">
        <f>IF(CA$6="","",IF(WEEKDAY(CA$6,1)=1,CA9*CA8,0))</f>
      </c>
      <c r="CB12" s="26">
        <f>IF(CB$6="","",IF(WEEKDAY(CB$6,1)=1,CB9*CB8,0))</f>
      </c>
      <c r="CC12" s="26">
        <f>IF(CC$6="","",IF(WEEKDAY(CC$6,1)=1,CC9*CC8,0))</f>
      </c>
      <c r="CD12" s="26">
        <f>IF(CD$6="","",IF(WEEKDAY(CD$6,1)=1,CD9*CD8,0))</f>
      </c>
      <c r="CE12" s="26">
        <f>IF(CE$6="","",IF(WEEKDAY(CE$6,1)=1,CE9*CE8,0))</f>
      </c>
      <c r="CF12" s="26">
        <f>IF(CF$6="","",IF(WEEKDAY(CF$6,1)=1,CF9*CF8,0))</f>
      </c>
      <c r="CG12" s="26">
        <f>IF(CG$6="","",IF(WEEKDAY(CG$6,1)=1,CG9*CG8,0))</f>
      </c>
      <c r="CH12" s="26">
        <f>IF(CH$6="","",IF(WEEKDAY(CH$6,1)=1,CH9*CH8,0))</f>
      </c>
      <c r="CI12" s="26">
        <f>IF(CI$6="","",IF(WEEKDAY(CI$6,1)=1,CI9*CI8,0))</f>
      </c>
      <c r="CJ12" s="26">
        <f>IF(CJ$6="","",IF(WEEKDAY(CJ$6,1)=1,CJ9*CJ8,0))</f>
      </c>
      <c r="CK12" s="26">
        <f>IF(CK$6="","",IF(WEEKDAY(CK$6,1)=1,CK9*CK8,0))</f>
      </c>
      <c r="CL12" s="26">
        <f>IF(CL$6="","",IF(WEEKDAY(CL$6,1)=1,CL9*CL8,0))</f>
      </c>
      <c r="CM12" s="26">
        <f>IF(CM$6="","",IF(WEEKDAY(CM$6,1)=1,CM9*CM8,0))</f>
      </c>
      <c r="CN12" s="26">
        <f>IF(CN$6="","",IF(WEEKDAY(CN$6,1)=1,CN9*CN8,0))</f>
      </c>
      <c r="CO12" s="26">
        <f>IF(CO$6="","",IF(WEEKDAY(CO$6,1)=1,CO9*CO8,0))</f>
      </c>
      <c r="CP12" s="26">
        <f>IF(CP$6="","",IF(WEEKDAY(CP$6,1)=1,CP9*CP8,0))</f>
      </c>
      <c r="CQ12" s="26">
        <f>IF(CQ$6="","",IF(WEEKDAY(CQ$6,1)=1,CQ9*CQ8,0))</f>
      </c>
      <c r="CR12" s="26">
        <f>IF(CR$6="","",IF(WEEKDAY(CR$6,1)=1,CR9*CR8,0))</f>
      </c>
      <c r="CS12" s="26">
        <f>IF(CS$6="","",IF(WEEKDAY(CS$6,1)=1,CS9*CS8,0))</f>
      </c>
      <c r="CT12" s="26">
        <f>IF(CT$6="","",IF(WEEKDAY(CT$6,1)=1,CT9*CT8,0))</f>
      </c>
      <c r="CU12" s="26">
        <f>IF(CU$6="","",IF(WEEKDAY(CU$6,1)=1,CU9*CU8,0))</f>
      </c>
      <c r="CV12" s="26">
        <f>IF(CV$6="","",IF(WEEKDAY(CV$6,1)=1,CV9*CV8,0))</f>
      </c>
      <c r="CW12" s="26">
        <f>IF(CW$6="","",IF(WEEKDAY(CW$6,1)=1,CW9*CW8,0))</f>
      </c>
      <c r="CX12" s="8" t="s">
        <v>83</v>
      </c>
    </row>
    <row r="13" spans="2:102" x14ac:dyDescent="0.25">
      <c r="B13" s="26">
        <f>SUM(L13:CW13)</f>
      </c>
      <c r="D13" s="27">
        <f>B13*E13</f>
      </c>
      <c r="E13" s="27">
        <v>130</v>
      </c>
      <c r="F13" s="8" t="s">
        <v>42</v>
      </c>
      <c r="L13" s="28">
        <v>0</v>
      </c>
      <c r="M13" s="28">
        <v>0</v>
      </c>
      <c r="N13" s="28">
        <v>0</v>
      </c>
      <c r="O13" s="28">
        <v>2</v>
      </c>
      <c r="P13" s="28">
        <v>2</v>
      </c>
      <c r="Q13" s="28">
        <v>0</v>
      </c>
      <c r="R13" s="28">
        <v>0</v>
      </c>
      <c r="S13" s="28">
        <v>2</v>
      </c>
      <c r="T13" s="28">
        <v>2</v>
      </c>
      <c r="U13" s="28">
        <v>2</v>
      </c>
      <c r="V13" s="28">
        <v>2</v>
      </c>
      <c r="W13" s="28">
        <v>2</v>
      </c>
      <c r="X13" s="28">
        <v>0</v>
      </c>
      <c r="Y13" s="28">
        <v>0</v>
      </c>
      <c r="Z13" s="28">
        <v>2</v>
      </c>
      <c r="AA13" s="28">
        <v>2</v>
      </c>
      <c r="AB13" s="28">
        <v>2</v>
      </c>
      <c r="AC13" s="28">
        <v>2</v>
      </c>
      <c r="AD13" s="28">
        <v>2</v>
      </c>
      <c r="AE13" s="28">
        <v>0</v>
      </c>
      <c r="AF13" s="28">
        <v>0</v>
      </c>
      <c r="AG13" s="28">
        <v>2</v>
      </c>
      <c r="AH13" s="28">
        <v>2</v>
      </c>
      <c r="AI13" s="28">
        <v>2</v>
      </c>
      <c r="AJ13" s="28">
        <v>2</v>
      </c>
      <c r="AK13" s="28">
        <v>2</v>
      </c>
      <c r="AL13" s="28">
        <v>0</v>
      </c>
      <c r="AM13" s="28">
        <v>0</v>
      </c>
      <c r="AN13" s="28">
        <v>6</v>
      </c>
      <c r="AO13" s="28">
        <v>6</v>
      </c>
      <c r="AP13" s="28">
        <v>6</v>
      </c>
      <c r="AQ13" s="28">
        <v>6</v>
      </c>
      <c r="AR13" s="28">
        <v>6</v>
      </c>
      <c r="AS13" s="28">
        <v>0</v>
      </c>
      <c r="AT13" s="28">
        <v>0</v>
      </c>
      <c r="AU13" s="28">
        <v>6</v>
      </c>
      <c r="AV13" s="28">
        <v>6</v>
      </c>
      <c r="AW13" s="28">
        <v>6</v>
      </c>
      <c r="AX13" s="28">
        <v>6</v>
      </c>
      <c r="AY13" s="28">
        <v>6</v>
      </c>
      <c r="AZ13" s="28">
        <v>0</v>
      </c>
      <c r="BA13" s="28">
        <v>0</v>
      </c>
      <c r="BB13" s="28">
        <v>6</v>
      </c>
      <c r="BC13" s="28">
        <v>6</v>
      </c>
      <c r="BD13" s="28">
        <v>6</v>
      </c>
      <c r="BE13" s="28">
        <v>6</v>
      </c>
      <c r="BF13" s="28">
        <v>6</v>
      </c>
      <c r="BG13" s="28">
        <v>0</v>
      </c>
      <c r="BH13" s="28">
        <v>0</v>
      </c>
      <c r="BI13" s="28">
        <v>4</v>
      </c>
      <c r="BJ13" s="28">
        <v>4</v>
      </c>
      <c r="BK13" s="28">
        <v>4</v>
      </c>
      <c r="BL13" s="28">
        <v>4</v>
      </c>
      <c r="BM13" s="28">
        <v>4</v>
      </c>
      <c r="BN13" s="28">
        <v>4</v>
      </c>
      <c r="BO13" s="28">
        <v>4</v>
      </c>
      <c r="BP13" s="28">
        <v>4</v>
      </c>
      <c r="BQ13" s="28">
        <v>4</v>
      </c>
      <c r="BR13" s="28">
        <v>4</v>
      </c>
      <c r="BS13" s="28">
        <v>4</v>
      </c>
      <c r="BT13" s="28">
        <v>4</v>
      </c>
      <c r="BU13" s="28">
        <v>4</v>
      </c>
      <c r="BV13" s="28">
        <v>4</v>
      </c>
      <c r="BW13" s="28">
        <v>4</v>
      </c>
      <c r="BX13" s="28">
        <v>4</v>
      </c>
      <c r="BY13" s="28">
        <v>4</v>
      </c>
      <c r="BZ13" s="28">
        <v>4</v>
      </c>
      <c r="CA13" s="28">
        <v>4</v>
      </c>
      <c r="CB13" s="28">
        <v>4</v>
      </c>
      <c r="CC13" s="28">
        <v>4</v>
      </c>
      <c r="CD13" s="28">
        <v>4</v>
      </c>
      <c r="CE13" s="28">
        <v>4</v>
      </c>
      <c r="CF13" s="28">
        <v>4</v>
      </c>
      <c r="CG13" s="28">
        <v>4</v>
      </c>
      <c r="CH13" s="28">
        <v>4</v>
      </c>
      <c r="CI13" s="28">
        <v>4</v>
      </c>
      <c r="CJ13" s="28">
        <v>4</v>
      </c>
      <c r="CK13" s="28">
        <v>4</v>
      </c>
      <c r="CL13" s="28">
        <v>4</v>
      </c>
      <c r="CM13" s="28">
        <v>4</v>
      </c>
      <c r="CN13" s="28">
        <v>4</v>
      </c>
      <c r="CO13" s="28">
        <v>4</v>
      </c>
      <c r="CP13" s="28">
        <v>4</v>
      </c>
      <c r="CQ13" s="28">
        <v>4</v>
      </c>
      <c r="CR13" s="28">
        <v>4</v>
      </c>
      <c r="CS13" s="28">
        <v>4</v>
      </c>
      <c r="CT13" s="28">
        <v>4</v>
      </c>
      <c r="CU13" s="28">
        <v>4</v>
      </c>
      <c r="CV13" s="28">
        <v>4</v>
      </c>
      <c r="CW13" s="28">
        <v>4</v>
      </c>
      <c r="CX13" s="8" t="s">
        <v>83</v>
      </c>
    </row>
    <row r="14" spans="1:102" x14ac:dyDescent="0.25">
      <c r="A14" s="20" t="s">
        <v>47</v>
      </c>
      <c r="B14" s="21">
        <f>G14+H14+I14</f>
      </c>
      <c r="C14" s="20" t="s">
        <v>82</v>
      </c>
      <c r="D14" s="22">
        <f>K14</f>
      </c>
      <c r="F14" s="20" t="s">
        <v>34</v>
      </c>
      <c r="G14" s="21">
        <f>B17</f>
      </c>
      <c r="H14" s="21">
        <f>B18</f>
      </c>
      <c r="I14" s="21">
        <f>B19</f>
      </c>
      <c r="J14" s="21">
        <f>B20</f>
      </c>
      <c r="K14" s="22">
        <f>D17+D18+D19</f>
      </c>
      <c r="CX14" s="20" t="s">
        <v>84</v>
      </c>
    </row>
    <row r="15" spans="6:102" x14ac:dyDescent="0.25">
      <c r="F15" s="23" t="s">
        <v>36</v>
      </c>
      <c r="L15" s="24">
        <v>0</v>
      </c>
      <c r="M15" s="24">
        <v>0</v>
      </c>
      <c r="N15" s="24">
        <v>0</v>
      </c>
      <c r="O15" s="24">
        <v>0</v>
      </c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</v>
      </c>
      <c r="Z15" s="24">
        <v>0</v>
      </c>
      <c r="AA15" s="24">
        <v>0</v>
      </c>
      <c r="AB15" s="24">
        <v>0</v>
      </c>
      <c r="AC15" s="24">
        <v>0</v>
      </c>
      <c r="AD15" s="24">
        <v>0</v>
      </c>
      <c r="AE15" s="24">
        <v>0</v>
      </c>
      <c r="AF15" s="24">
        <v>0</v>
      </c>
      <c r="AG15" s="24">
        <v>0</v>
      </c>
      <c r="AH15" s="24">
        <v>0</v>
      </c>
      <c r="AI15" s="24">
        <v>0</v>
      </c>
      <c r="AJ15" s="24">
        <v>0</v>
      </c>
      <c r="AK15" s="24">
        <v>0</v>
      </c>
      <c r="AL15" s="24">
        <v>0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AR15" s="24">
        <v>0</v>
      </c>
      <c r="AS15" s="24">
        <v>0</v>
      </c>
      <c r="AT15" s="24">
        <v>0</v>
      </c>
      <c r="AU15" s="24">
        <v>0</v>
      </c>
      <c r="AV15" s="24">
        <v>0</v>
      </c>
      <c r="AW15" s="24">
        <v>0</v>
      </c>
      <c r="AX15" s="24">
        <v>0</v>
      </c>
      <c r="AY15" s="24">
        <v>0</v>
      </c>
      <c r="AZ15" s="24">
        <v>0</v>
      </c>
      <c r="BA15" s="24">
        <v>0</v>
      </c>
      <c r="BB15" s="24">
        <v>0</v>
      </c>
      <c r="BC15" s="24">
        <v>0</v>
      </c>
      <c r="BD15" s="24">
        <v>0</v>
      </c>
      <c r="BE15" s="24">
        <v>0</v>
      </c>
      <c r="BF15" s="24">
        <v>0</v>
      </c>
      <c r="BG15" s="24">
        <v>0</v>
      </c>
      <c r="BH15" s="24">
        <v>0</v>
      </c>
      <c r="BI15" s="24">
        <v>4</v>
      </c>
      <c r="BJ15" s="24">
        <v>4</v>
      </c>
      <c r="BK15" s="24">
        <v>4</v>
      </c>
      <c r="BL15" s="24">
        <v>4</v>
      </c>
      <c r="BM15" s="24">
        <v>4</v>
      </c>
      <c r="BN15" s="24">
        <v>4</v>
      </c>
      <c r="BO15" s="24">
        <v>4</v>
      </c>
      <c r="BP15" s="24">
        <v>4</v>
      </c>
      <c r="BQ15" s="24">
        <v>4</v>
      </c>
      <c r="BR15" s="24">
        <v>4</v>
      </c>
      <c r="BS15" s="24">
        <v>4</v>
      </c>
      <c r="BT15" s="24">
        <v>4</v>
      </c>
      <c r="BU15" s="24">
        <v>4</v>
      </c>
      <c r="BV15" s="24">
        <v>4</v>
      </c>
      <c r="BW15" s="24">
        <v>4</v>
      </c>
      <c r="BX15" s="24">
        <v>4</v>
      </c>
      <c r="BY15" s="24">
        <v>4</v>
      </c>
      <c r="BZ15" s="24">
        <v>4</v>
      </c>
      <c r="CA15" s="24">
        <v>4</v>
      </c>
      <c r="CB15" s="24">
        <v>4</v>
      </c>
      <c r="CC15" s="24">
        <v>4</v>
      </c>
      <c r="CD15" s="24">
        <v>4</v>
      </c>
      <c r="CE15" s="24">
        <v>4</v>
      </c>
      <c r="CF15" s="24">
        <v>4</v>
      </c>
      <c r="CG15" s="24">
        <v>4</v>
      </c>
      <c r="CH15" s="24">
        <v>4</v>
      </c>
      <c r="CI15" s="24">
        <v>4</v>
      </c>
      <c r="CJ15" s="24">
        <v>4</v>
      </c>
      <c r="CK15" s="24">
        <v>4</v>
      </c>
      <c r="CL15" s="24">
        <v>4</v>
      </c>
      <c r="CM15" s="24">
        <v>4</v>
      </c>
      <c r="CN15" s="24">
        <v>4</v>
      </c>
      <c r="CO15" s="24">
        <v>4</v>
      </c>
      <c r="CP15" s="24">
        <v>4</v>
      </c>
      <c r="CQ15" s="24">
        <v>4</v>
      </c>
      <c r="CR15" s="24">
        <v>4</v>
      </c>
      <c r="CS15" s="24">
        <v>4</v>
      </c>
      <c r="CT15" s="24">
        <v>4</v>
      </c>
      <c r="CU15" s="24">
        <v>4</v>
      </c>
      <c r="CV15" s="24">
        <v>4</v>
      </c>
      <c r="CW15" s="24">
        <v>4</v>
      </c>
      <c r="CX15" s="23" t="s">
        <v>84</v>
      </c>
    </row>
    <row r="16" spans="1:102" x14ac:dyDescent="0.25">
      <c r="A16" s="23" t="s">
        <v>37</v>
      </c>
      <c r="F16" s="23" t="s">
        <v>38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>
        <v>0</v>
      </c>
      <c r="T16" s="25">
        <v>0</v>
      </c>
      <c r="U16" s="25">
        <v>0</v>
      </c>
      <c r="V16" s="25">
        <v>0</v>
      </c>
      <c r="W16" s="25">
        <v>0</v>
      </c>
      <c r="X16" s="25">
        <v>0</v>
      </c>
      <c r="Y16" s="25">
        <v>0</v>
      </c>
      <c r="Z16" s="25">
        <v>0</v>
      </c>
      <c r="AA16" s="25">
        <v>0</v>
      </c>
      <c r="AB16" s="25">
        <v>0</v>
      </c>
      <c r="AC16" s="25">
        <v>0</v>
      </c>
      <c r="AD16" s="25">
        <v>0</v>
      </c>
      <c r="AE16" s="25">
        <v>0</v>
      </c>
      <c r="AF16" s="25">
        <v>0</v>
      </c>
      <c r="AG16" s="25">
        <v>0</v>
      </c>
      <c r="AH16" s="25">
        <v>0</v>
      </c>
      <c r="AI16" s="25">
        <v>0</v>
      </c>
      <c r="AJ16" s="25">
        <v>0</v>
      </c>
      <c r="AK16" s="25">
        <v>0</v>
      </c>
      <c r="AL16" s="25">
        <v>0</v>
      </c>
      <c r="AM16" s="25">
        <v>0</v>
      </c>
      <c r="AN16" s="25">
        <v>0</v>
      </c>
      <c r="AO16" s="25">
        <v>0</v>
      </c>
      <c r="AP16" s="25">
        <v>0</v>
      </c>
      <c r="AQ16" s="25">
        <v>0</v>
      </c>
      <c r="AR16" s="25">
        <v>0</v>
      </c>
      <c r="AS16" s="25">
        <v>0</v>
      </c>
      <c r="AT16" s="25">
        <v>0</v>
      </c>
      <c r="AU16" s="25">
        <v>0</v>
      </c>
      <c r="AV16" s="25">
        <v>0</v>
      </c>
      <c r="AW16" s="25">
        <v>0</v>
      </c>
      <c r="AX16" s="25">
        <v>0</v>
      </c>
      <c r="AY16" s="25">
        <v>0</v>
      </c>
      <c r="AZ16" s="25">
        <v>0</v>
      </c>
      <c r="BA16" s="25">
        <v>0</v>
      </c>
      <c r="BB16" s="25">
        <v>0</v>
      </c>
      <c r="BC16" s="25">
        <v>0</v>
      </c>
      <c r="BD16" s="25">
        <v>0</v>
      </c>
      <c r="BE16" s="25">
        <v>0</v>
      </c>
      <c r="BF16" s="25">
        <v>0</v>
      </c>
      <c r="BG16" s="25">
        <v>0</v>
      </c>
      <c r="BH16" s="25">
        <v>0</v>
      </c>
      <c r="BI16" s="25">
        <v>13</v>
      </c>
      <c r="BJ16" s="25">
        <v>13</v>
      </c>
      <c r="BK16" s="25">
        <v>13</v>
      </c>
      <c r="BL16" s="25">
        <v>13</v>
      </c>
      <c r="BM16" s="25">
        <v>13</v>
      </c>
      <c r="BN16" s="25">
        <v>13</v>
      </c>
      <c r="BO16" s="25">
        <v>13</v>
      </c>
      <c r="BP16" s="25">
        <v>13</v>
      </c>
      <c r="BQ16" s="25">
        <v>13</v>
      </c>
      <c r="BR16" s="25">
        <v>13</v>
      </c>
      <c r="BS16" s="25">
        <v>13</v>
      </c>
      <c r="BT16" s="25">
        <v>13</v>
      </c>
      <c r="BU16" s="25">
        <v>13</v>
      </c>
      <c r="BV16" s="25">
        <v>13</v>
      </c>
      <c r="BW16" s="25">
        <v>13</v>
      </c>
      <c r="BX16" s="25">
        <v>13</v>
      </c>
      <c r="BY16" s="25">
        <v>13</v>
      </c>
      <c r="BZ16" s="25">
        <v>13</v>
      </c>
      <c r="CA16" s="25">
        <v>13</v>
      </c>
      <c r="CB16" s="25">
        <v>13</v>
      </c>
      <c r="CC16" s="25">
        <v>13</v>
      </c>
      <c r="CD16" s="25">
        <v>13</v>
      </c>
      <c r="CE16" s="25">
        <v>13</v>
      </c>
      <c r="CF16" s="25">
        <v>13</v>
      </c>
      <c r="CG16" s="25">
        <v>13</v>
      </c>
      <c r="CH16" s="25">
        <v>13</v>
      </c>
      <c r="CI16" s="25">
        <v>13</v>
      </c>
      <c r="CJ16" s="25">
        <v>13</v>
      </c>
      <c r="CK16" s="25">
        <v>13</v>
      </c>
      <c r="CL16" s="25">
        <v>13</v>
      </c>
      <c r="CM16" s="25">
        <v>13</v>
      </c>
      <c r="CN16" s="25">
        <v>13</v>
      </c>
      <c r="CO16" s="25">
        <v>13</v>
      </c>
      <c r="CP16" s="25">
        <v>13</v>
      </c>
      <c r="CQ16" s="25">
        <v>13</v>
      </c>
      <c r="CR16" s="25">
        <v>13</v>
      </c>
      <c r="CS16" s="25">
        <v>13</v>
      </c>
      <c r="CT16" s="25">
        <v>13</v>
      </c>
      <c r="CU16" s="25">
        <v>13</v>
      </c>
      <c r="CV16" s="25">
        <v>13</v>
      </c>
      <c r="CW16" s="25">
        <v>13</v>
      </c>
      <c r="CX16" s="23" t="s">
        <v>84</v>
      </c>
    </row>
    <row r="17" spans="2:102" x14ac:dyDescent="0.25">
      <c r="B17" s="26">
        <f>SUM(L17:CW17)</f>
      </c>
      <c r="D17" s="27">
        <f>B17*E17</f>
      </c>
      <c r="E17" s="27">
        <f>'Rate Tables'!C22</f>
      </c>
      <c r="F17" s="8" t="s">
        <v>39</v>
      </c>
      <c r="L17" s="26">
        <f>IF(L$6="","",IF(OR(WEEKDAY(L$6,1)=1,WEEKDAY(L$6,1)=7),0,MIN(8,L16)*L15))</f>
      </c>
      <c r="M17" s="26">
        <f>IF(M$6="","",IF(OR(WEEKDAY(M$6,1)=1,WEEKDAY(M$6,1)=7),0,MIN(8,M16)*M15))</f>
      </c>
      <c r="N17" s="26">
        <f>IF(N$6="","",IF(OR(WEEKDAY(N$6,1)=1,WEEKDAY(N$6,1)=7),0,MIN(8,N16)*N15))</f>
      </c>
      <c r="O17" s="26">
        <f>IF(O$6="","",IF(OR(WEEKDAY(O$6,1)=1,WEEKDAY(O$6,1)=7),0,MIN(8,O16)*O15))</f>
      </c>
      <c r="P17" s="26">
        <f>IF(P$6="","",IF(OR(WEEKDAY(P$6,1)=1,WEEKDAY(P$6,1)=7),0,MIN(8,P16)*P15))</f>
      </c>
      <c r="Q17" s="26">
        <f>IF(Q$6="","",IF(OR(WEEKDAY(Q$6,1)=1,WEEKDAY(Q$6,1)=7),0,MIN(8,Q16)*Q15))</f>
      </c>
      <c r="R17" s="26">
        <f>IF(R$6="","",IF(OR(WEEKDAY(R$6,1)=1,WEEKDAY(R$6,1)=7),0,MIN(8,R16)*R15))</f>
      </c>
      <c r="S17" s="26">
        <f>IF(S$6="","",IF(OR(WEEKDAY(S$6,1)=1,WEEKDAY(S$6,1)=7),0,MIN(8,S16)*S15))</f>
      </c>
      <c r="T17" s="26">
        <f>IF(T$6="","",IF(OR(WEEKDAY(T$6,1)=1,WEEKDAY(T$6,1)=7),0,MIN(8,T16)*T15))</f>
      </c>
      <c r="U17" s="26">
        <f>IF(U$6="","",IF(OR(WEEKDAY(U$6,1)=1,WEEKDAY(U$6,1)=7),0,MIN(8,U16)*U15))</f>
      </c>
      <c r="V17" s="26">
        <f>IF(V$6="","",IF(OR(WEEKDAY(V$6,1)=1,WEEKDAY(V$6,1)=7),0,MIN(8,V16)*V15))</f>
      </c>
      <c r="W17" s="26">
        <f>IF(W$6="","",IF(OR(WEEKDAY(W$6,1)=1,WEEKDAY(W$6,1)=7),0,MIN(8,W16)*W15))</f>
      </c>
      <c r="X17" s="26">
        <f>IF(X$6="","",IF(OR(WEEKDAY(X$6,1)=1,WEEKDAY(X$6,1)=7),0,MIN(8,X16)*X15))</f>
      </c>
      <c r="Y17" s="26">
        <f>IF(Y$6="","",IF(OR(WEEKDAY(Y$6,1)=1,WEEKDAY(Y$6,1)=7),0,MIN(8,Y16)*Y15))</f>
      </c>
      <c r="Z17" s="26">
        <f>IF(Z$6="","",IF(OR(WEEKDAY(Z$6,1)=1,WEEKDAY(Z$6,1)=7),0,MIN(8,Z16)*Z15))</f>
      </c>
      <c r="AA17" s="26">
        <f>IF(AA$6="","",IF(OR(WEEKDAY(AA$6,1)=1,WEEKDAY(AA$6,1)=7),0,MIN(8,AA16)*AA15))</f>
      </c>
      <c r="AB17" s="26">
        <f>IF(AB$6="","",IF(OR(WEEKDAY(AB$6,1)=1,WEEKDAY(AB$6,1)=7),0,MIN(8,AB16)*AB15))</f>
      </c>
      <c r="AC17" s="26">
        <f>IF(AC$6="","",IF(OR(WEEKDAY(AC$6,1)=1,WEEKDAY(AC$6,1)=7),0,MIN(8,AC16)*AC15))</f>
      </c>
      <c r="AD17" s="26">
        <f>IF(AD$6="","",IF(OR(WEEKDAY(AD$6,1)=1,WEEKDAY(AD$6,1)=7),0,MIN(8,AD16)*AD15))</f>
      </c>
      <c r="AE17" s="26">
        <f>IF(AE$6="","",IF(OR(WEEKDAY(AE$6,1)=1,WEEKDAY(AE$6,1)=7),0,MIN(8,AE16)*AE15))</f>
      </c>
      <c r="AF17" s="26">
        <f>IF(AF$6="","",IF(OR(WEEKDAY(AF$6,1)=1,WEEKDAY(AF$6,1)=7),0,MIN(8,AF16)*AF15))</f>
      </c>
      <c r="AG17" s="26">
        <f>IF(AG$6="","",IF(OR(WEEKDAY(AG$6,1)=1,WEEKDAY(AG$6,1)=7),0,MIN(8,AG16)*AG15))</f>
      </c>
      <c r="AH17" s="26">
        <f>IF(AH$6="","",IF(OR(WEEKDAY(AH$6,1)=1,WEEKDAY(AH$6,1)=7),0,MIN(8,AH16)*AH15))</f>
      </c>
      <c r="AI17" s="26">
        <f>IF(AI$6="","",IF(OR(WEEKDAY(AI$6,1)=1,WEEKDAY(AI$6,1)=7),0,MIN(8,AI16)*AI15))</f>
      </c>
      <c r="AJ17" s="26">
        <f>IF(AJ$6="","",IF(OR(WEEKDAY(AJ$6,1)=1,WEEKDAY(AJ$6,1)=7),0,MIN(8,AJ16)*AJ15))</f>
      </c>
      <c r="AK17" s="26">
        <f>IF(AK$6="","",IF(OR(WEEKDAY(AK$6,1)=1,WEEKDAY(AK$6,1)=7),0,MIN(8,AK16)*AK15))</f>
      </c>
      <c r="AL17" s="26">
        <f>IF(AL$6="","",IF(OR(WEEKDAY(AL$6,1)=1,WEEKDAY(AL$6,1)=7),0,MIN(8,AL16)*AL15))</f>
      </c>
      <c r="AM17" s="26">
        <f>IF(AM$6="","",IF(OR(WEEKDAY(AM$6,1)=1,WEEKDAY(AM$6,1)=7),0,MIN(8,AM16)*AM15))</f>
      </c>
      <c r="AN17" s="26">
        <f>IF(AN$6="","",IF(OR(WEEKDAY(AN$6,1)=1,WEEKDAY(AN$6,1)=7),0,MIN(8,AN16)*AN15))</f>
      </c>
      <c r="AO17" s="26">
        <f>IF(AO$6="","",IF(OR(WEEKDAY(AO$6,1)=1,WEEKDAY(AO$6,1)=7),0,MIN(8,AO16)*AO15))</f>
      </c>
      <c r="AP17" s="26">
        <f>IF(AP$6="","",IF(OR(WEEKDAY(AP$6,1)=1,WEEKDAY(AP$6,1)=7),0,MIN(8,AP16)*AP15))</f>
      </c>
      <c r="AQ17" s="26">
        <f>IF(AQ$6="","",IF(OR(WEEKDAY(AQ$6,1)=1,WEEKDAY(AQ$6,1)=7),0,MIN(8,AQ16)*AQ15))</f>
      </c>
      <c r="AR17" s="26">
        <f>IF(AR$6="","",IF(OR(WEEKDAY(AR$6,1)=1,WEEKDAY(AR$6,1)=7),0,MIN(8,AR16)*AR15))</f>
      </c>
      <c r="AS17" s="26">
        <f>IF(AS$6="","",IF(OR(WEEKDAY(AS$6,1)=1,WEEKDAY(AS$6,1)=7),0,MIN(8,AS16)*AS15))</f>
      </c>
      <c r="AT17" s="26">
        <f>IF(AT$6="","",IF(OR(WEEKDAY(AT$6,1)=1,WEEKDAY(AT$6,1)=7),0,MIN(8,AT16)*AT15))</f>
      </c>
      <c r="AU17" s="26">
        <f>IF(AU$6="","",IF(OR(WEEKDAY(AU$6,1)=1,WEEKDAY(AU$6,1)=7),0,MIN(8,AU16)*AU15))</f>
      </c>
      <c r="AV17" s="26">
        <f>IF(AV$6="","",IF(OR(WEEKDAY(AV$6,1)=1,WEEKDAY(AV$6,1)=7),0,MIN(8,AV16)*AV15))</f>
      </c>
      <c r="AW17" s="26">
        <f>IF(AW$6="","",IF(OR(WEEKDAY(AW$6,1)=1,WEEKDAY(AW$6,1)=7),0,MIN(8,AW16)*AW15))</f>
      </c>
      <c r="AX17" s="26">
        <f>IF(AX$6="","",IF(OR(WEEKDAY(AX$6,1)=1,WEEKDAY(AX$6,1)=7),0,MIN(8,AX16)*AX15))</f>
      </c>
      <c r="AY17" s="26">
        <f>IF(AY$6="","",IF(OR(WEEKDAY(AY$6,1)=1,WEEKDAY(AY$6,1)=7),0,MIN(8,AY16)*AY15))</f>
      </c>
      <c r="AZ17" s="26">
        <f>IF(AZ$6="","",IF(OR(WEEKDAY(AZ$6,1)=1,WEEKDAY(AZ$6,1)=7),0,MIN(8,AZ16)*AZ15))</f>
      </c>
      <c r="BA17" s="26">
        <f>IF(BA$6="","",IF(OR(WEEKDAY(BA$6,1)=1,WEEKDAY(BA$6,1)=7),0,MIN(8,BA16)*BA15))</f>
      </c>
      <c r="BB17" s="26">
        <f>IF(BB$6="","",IF(OR(WEEKDAY(BB$6,1)=1,WEEKDAY(BB$6,1)=7),0,MIN(8,BB16)*BB15))</f>
      </c>
      <c r="BC17" s="26">
        <f>IF(BC$6="","",IF(OR(WEEKDAY(BC$6,1)=1,WEEKDAY(BC$6,1)=7),0,MIN(8,BC16)*BC15))</f>
      </c>
      <c r="BD17" s="26">
        <f>IF(BD$6="","",IF(OR(WEEKDAY(BD$6,1)=1,WEEKDAY(BD$6,1)=7),0,MIN(8,BD16)*BD15))</f>
      </c>
      <c r="BE17" s="26">
        <f>IF(BE$6="","",IF(OR(WEEKDAY(BE$6,1)=1,WEEKDAY(BE$6,1)=7),0,MIN(8,BE16)*BE15))</f>
      </c>
      <c r="BF17" s="26">
        <f>IF(BF$6="","",IF(OR(WEEKDAY(BF$6,1)=1,WEEKDAY(BF$6,1)=7),0,MIN(8,BF16)*BF15))</f>
      </c>
      <c r="BG17" s="26">
        <f>IF(BG$6="","",IF(OR(WEEKDAY(BG$6,1)=1,WEEKDAY(BG$6,1)=7),0,MIN(8,BG16)*BG15))</f>
      </c>
      <c r="BH17" s="26">
        <f>IF(BH$6="","",IF(OR(WEEKDAY(BH$6,1)=1,WEEKDAY(BH$6,1)=7),0,MIN(8,BH16)*BH15))</f>
      </c>
      <c r="BI17" s="26">
        <f>IF(BI$6="","",IF(OR(WEEKDAY(BI$6,1)=1,WEEKDAY(BI$6,1)=7),0,MIN(8,BI16)*BI15))</f>
      </c>
      <c r="BJ17" s="26">
        <f>IF(BJ$6="","",IF(OR(WEEKDAY(BJ$6,1)=1,WEEKDAY(BJ$6,1)=7),0,MIN(8,BJ16)*BJ15))</f>
      </c>
      <c r="BK17" s="26">
        <f>IF(BK$6="","",IF(OR(WEEKDAY(BK$6,1)=1,WEEKDAY(BK$6,1)=7),0,MIN(8,BK16)*BK15))</f>
      </c>
      <c r="BL17" s="26">
        <f>IF(BL$6="","",IF(OR(WEEKDAY(BL$6,1)=1,WEEKDAY(BL$6,1)=7),0,MIN(8,BL16)*BL15))</f>
      </c>
      <c r="BM17" s="26">
        <f>IF(BM$6="","",IF(OR(WEEKDAY(BM$6,1)=1,WEEKDAY(BM$6,1)=7),0,MIN(8,BM16)*BM15))</f>
      </c>
      <c r="BN17" s="26">
        <f>IF(BN$6="","",IF(OR(WEEKDAY(BN$6,1)=1,WEEKDAY(BN$6,1)=7),0,MIN(8,BN16)*BN15))</f>
      </c>
      <c r="BO17" s="26">
        <f>IF(BO$6="","",IF(OR(WEEKDAY(BO$6,1)=1,WEEKDAY(BO$6,1)=7),0,MIN(8,BO16)*BO15))</f>
      </c>
      <c r="BP17" s="26">
        <f>IF(BP$6="","",IF(OR(WEEKDAY(BP$6,1)=1,WEEKDAY(BP$6,1)=7),0,MIN(8,BP16)*BP15))</f>
      </c>
      <c r="BQ17" s="26">
        <f>IF(BQ$6="","",IF(OR(WEEKDAY(BQ$6,1)=1,WEEKDAY(BQ$6,1)=7),0,MIN(8,BQ16)*BQ15))</f>
      </c>
      <c r="BR17" s="26">
        <f>IF(BR$6="","",IF(OR(WEEKDAY(BR$6,1)=1,WEEKDAY(BR$6,1)=7),0,MIN(8,BR16)*BR15))</f>
      </c>
      <c r="BS17" s="26">
        <f>IF(BS$6="","",IF(OR(WEEKDAY(BS$6,1)=1,WEEKDAY(BS$6,1)=7),0,MIN(8,BS16)*BS15))</f>
      </c>
      <c r="BT17" s="26">
        <f>IF(BT$6="","",IF(OR(WEEKDAY(BT$6,1)=1,WEEKDAY(BT$6,1)=7),0,MIN(8,BT16)*BT15))</f>
      </c>
      <c r="BU17" s="26">
        <f>IF(BU$6="","",IF(OR(WEEKDAY(BU$6,1)=1,WEEKDAY(BU$6,1)=7),0,MIN(8,BU16)*BU15))</f>
      </c>
      <c r="BV17" s="26">
        <f>IF(BV$6="","",IF(OR(WEEKDAY(BV$6,1)=1,WEEKDAY(BV$6,1)=7),0,MIN(8,BV16)*BV15))</f>
      </c>
      <c r="BW17" s="26">
        <f>IF(BW$6="","",IF(OR(WEEKDAY(BW$6,1)=1,WEEKDAY(BW$6,1)=7),0,MIN(8,BW16)*BW15))</f>
      </c>
      <c r="BX17" s="26">
        <f>IF(BX$6="","",IF(OR(WEEKDAY(BX$6,1)=1,WEEKDAY(BX$6,1)=7),0,MIN(8,BX16)*BX15))</f>
      </c>
      <c r="BY17" s="26">
        <f>IF(BY$6="","",IF(OR(WEEKDAY(BY$6,1)=1,WEEKDAY(BY$6,1)=7),0,MIN(8,BY16)*BY15))</f>
      </c>
      <c r="BZ17" s="26">
        <f>IF(BZ$6="","",IF(OR(WEEKDAY(BZ$6,1)=1,WEEKDAY(BZ$6,1)=7),0,MIN(8,BZ16)*BZ15))</f>
      </c>
      <c r="CA17" s="26">
        <f>IF(CA$6="","",IF(OR(WEEKDAY(CA$6,1)=1,WEEKDAY(CA$6,1)=7),0,MIN(8,CA16)*CA15))</f>
      </c>
      <c r="CB17" s="26">
        <f>IF(CB$6="","",IF(OR(WEEKDAY(CB$6,1)=1,WEEKDAY(CB$6,1)=7),0,MIN(8,CB16)*CB15))</f>
      </c>
      <c r="CC17" s="26">
        <f>IF(CC$6="","",IF(OR(WEEKDAY(CC$6,1)=1,WEEKDAY(CC$6,1)=7),0,MIN(8,CC16)*CC15))</f>
      </c>
      <c r="CD17" s="26">
        <f>IF(CD$6="","",IF(OR(WEEKDAY(CD$6,1)=1,WEEKDAY(CD$6,1)=7),0,MIN(8,CD16)*CD15))</f>
      </c>
      <c r="CE17" s="26">
        <f>IF(CE$6="","",IF(OR(WEEKDAY(CE$6,1)=1,WEEKDAY(CE$6,1)=7),0,MIN(8,CE16)*CE15))</f>
      </c>
      <c r="CF17" s="26">
        <f>IF(CF$6="","",IF(OR(WEEKDAY(CF$6,1)=1,WEEKDAY(CF$6,1)=7),0,MIN(8,CF16)*CF15))</f>
      </c>
      <c r="CG17" s="26">
        <f>IF(CG$6="","",IF(OR(WEEKDAY(CG$6,1)=1,WEEKDAY(CG$6,1)=7),0,MIN(8,CG16)*CG15))</f>
      </c>
      <c r="CH17" s="26">
        <f>IF(CH$6="","",IF(OR(WEEKDAY(CH$6,1)=1,WEEKDAY(CH$6,1)=7),0,MIN(8,CH16)*CH15))</f>
      </c>
      <c r="CI17" s="26">
        <f>IF(CI$6="","",IF(OR(WEEKDAY(CI$6,1)=1,WEEKDAY(CI$6,1)=7),0,MIN(8,CI16)*CI15))</f>
      </c>
      <c r="CJ17" s="26">
        <f>IF(CJ$6="","",IF(OR(WEEKDAY(CJ$6,1)=1,WEEKDAY(CJ$6,1)=7),0,MIN(8,CJ16)*CJ15))</f>
      </c>
      <c r="CK17" s="26">
        <f>IF(CK$6="","",IF(OR(WEEKDAY(CK$6,1)=1,WEEKDAY(CK$6,1)=7),0,MIN(8,CK16)*CK15))</f>
      </c>
      <c r="CL17" s="26">
        <f>IF(CL$6="","",IF(OR(WEEKDAY(CL$6,1)=1,WEEKDAY(CL$6,1)=7),0,MIN(8,CL16)*CL15))</f>
      </c>
      <c r="CM17" s="26">
        <f>IF(CM$6="","",IF(OR(WEEKDAY(CM$6,1)=1,WEEKDAY(CM$6,1)=7),0,MIN(8,CM16)*CM15))</f>
      </c>
      <c r="CN17" s="26">
        <f>IF(CN$6="","",IF(OR(WEEKDAY(CN$6,1)=1,WEEKDAY(CN$6,1)=7),0,MIN(8,CN16)*CN15))</f>
      </c>
      <c r="CO17" s="26">
        <f>IF(CO$6="","",IF(OR(WEEKDAY(CO$6,1)=1,WEEKDAY(CO$6,1)=7),0,MIN(8,CO16)*CO15))</f>
      </c>
      <c r="CP17" s="26">
        <f>IF(CP$6="","",IF(OR(WEEKDAY(CP$6,1)=1,WEEKDAY(CP$6,1)=7),0,MIN(8,CP16)*CP15))</f>
      </c>
      <c r="CQ17" s="26">
        <f>IF(CQ$6="","",IF(OR(WEEKDAY(CQ$6,1)=1,WEEKDAY(CQ$6,1)=7),0,MIN(8,CQ16)*CQ15))</f>
      </c>
      <c r="CR17" s="26">
        <f>IF(CR$6="","",IF(OR(WEEKDAY(CR$6,1)=1,WEEKDAY(CR$6,1)=7),0,MIN(8,CR16)*CR15))</f>
      </c>
      <c r="CS17" s="26">
        <f>IF(CS$6="","",IF(OR(WEEKDAY(CS$6,1)=1,WEEKDAY(CS$6,1)=7),0,MIN(8,CS16)*CS15))</f>
      </c>
      <c r="CT17" s="26">
        <f>IF(CT$6="","",IF(OR(WEEKDAY(CT$6,1)=1,WEEKDAY(CT$6,1)=7),0,MIN(8,CT16)*CT15))</f>
      </c>
      <c r="CU17" s="26">
        <f>IF(CU$6="","",IF(OR(WEEKDAY(CU$6,1)=1,WEEKDAY(CU$6,1)=7),0,MIN(8,CU16)*CU15))</f>
      </c>
      <c r="CV17" s="26">
        <f>IF(CV$6="","",IF(OR(WEEKDAY(CV$6,1)=1,WEEKDAY(CV$6,1)=7),0,MIN(8,CV16)*CV15))</f>
      </c>
      <c r="CW17" s="26">
        <f>IF(CW$6="","",IF(OR(WEEKDAY(CW$6,1)=1,WEEKDAY(CW$6,1)=7),0,MIN(8,CW16)*CW15))</f>
      </c>
      <c r="CX17" s="8" t="s">
        <v>84</v>
      </c>
    </row>
    <row r="18" spans="2:102" x14ac:dyDescent="0.25">
      <c r="B18" s="26">
        <f>SUM(L18:CW18)</f>
      </c>
      <c r="D18" s="27">
        <f>B18*E18</f>
      </c>
      <c r="E18" s="27">
        <f>'Rate Tables'!D22</f>
      </c>
      <c r="F18" s="8" t="s">
        <v>40</v>
      </c>
      <c r="L18" s="26">
        <f>IF(L$6="","",IF(WEEKDAY(L$6,1)=1,0,IF(WEEKDAY(L$6,1)=7,L16*L15,MAX(0,L16-8)*L15)))</f>
      </c>
      <c r="M18" s="26">
        <f>IF(M$6="","",IF(WEEKDAY(M$6,1)=1,0,IF(WEEKDAY(M$6,1)=7,M16*M15,MAX(0,M16-8)*M15)))</f>
      </c>
      <c r="N18" s="26">
        <f>IF(N$6="","",IF(WEEKDAY(N$6,1)=1,0,IF(WEEKDAY(N$6,1)=7,N16*N15,MAX(0,N16-8)*N15)))</f>
      </c>
      <c r="O18" s="26">
        <f>IF(O$6="","",IF(WEEKDAY(O$6,1)=1,0,IF(WEEKDAY(O$6,1)=7,O16*O15,MAX(0,O16-8)*O15)))</f>
      </c>
      <c r="P18" s="26">
        <f>IF(P$6="","",IF(WEEKDAY(P$6,1)=1,0,IF(WEEKDAY(P$6,1)=7,P16*P15,MAX(0,P16-8)*P15)))</f>
      </c>
      <c r="Q18" s="26">
        <f>IF(Q$6="","",IF(WEEKDAY(Q$6,1)=1,0,IF(WEEKDAY(Q$6,1)=7,Q16*Q15,MAX(0,Q16-8)*Q15)))</f>
      </c>
      <c r="R18" s="26">
        <f>IF(R$6="","",IF(WEEKDAY(R$6,1)=1,0,IF(WEEKDAY(R$6,1)=7,R16*R15,MAX(0,R16-8)*R15)))</f>
      </c>
      <c r="S18" s="26">
        <f>IF(S$6="","",IF(WEEKDAY(S$6,1)=1,0,IF(WEEKDAY(S$6,1)=7,S16*S15,MAX(0,S16-8)*S15)))</f>
      </c>
      <c r="T18" s="26">
        <f>IF(T$6="","",IF(WEEKDAY(T$6,1)=1,0,IF(WEEKDAY(T$6,1)=7,T16*T15,MAX(0,T16-8)*T15)))</f>
      </c>
      <c r="U18" s="26">
        <f>IF(U$6="","",IF(WEEKDAY(U$6,1)=1,0,IF(WEEKDAY(U$6,1)=7,U16*U15,MAX(0,U16-8)*U15)))</f>
      </c>
      <c r="V18" s="26">
        <f>IF(V$6="","",IF(WEEKDAY(V$6,1)=1,0,IF(WEEKDAY(V$6,1)=7,V16*V15,MAX(0,V16-8)*V15)))</f>
      </c>
      <c r="W18" s="26">
        <f>IF(W$6="","",IF(WEEKDAY(W$6,1)=1,0,IF(WEEKDAY(W$6,1)=7,W16*W15,MAX(0,W16-8)*W15)))</f>
      </c>
      <c r="X18" s="26">
        <f>IF(X$6="","",IF(WEEKDAY(X$6,1)=1,0,IF(WEEKDAY(X$6,1)=7,X16*X15,MAX(0,X16-8)*X15)))</f>
      </c>
      <c r="Y18" s="26">
        <f>IF(Y$6="","",IF(WEEKDAY(Y$6,1)=1,0,IF(WEEKDAY(Y$6,1)=7,Y16*Y15,MAX(0,Y16-8)*Y15)))</f>
      </c>
      <c r="Z18" s="26">
        <f>IF(Z$6="","",IF(WEEKDAY(Z$6,1)=1,0,IF(WEEKDAY(Z$6,1)=7,Z16*Z15,MAX(0,Z16-8)*Z15)))</f>
      </c>
      <c r="AA18" s="26">
        <f>IF(AA$6="","",IF(WEEKDAY(AA$6,1)=1,0,IF(WEEKDAY(AA$6,1)=7,AA16*AA15,MAX(0,AA16-8)*AA15)))</f>
      </c>
      <c r="AB18" s="26">
        <f>IF(AB$6="","",IF(WEEKDAY(AB$6,1)=1,0,IF(WEEKDAY(AB$6,1)=7,AB16*AB15,MAX(0,AB16-8)*AB15)))</f>
      </c>
      <c r="AC18" s="26">
        <f>IF(AC$6="","",IF(WEEKDAY(AC$6,1)=1,0,IF(WEEKDAY(AC$6,1)=7,AC16*AC15,MAX(0,AC16-8)*AC15)))</f>
      </c>
      <c r="AD18" s="26">
        <f>IF(AD$6="","",IF(WEEKDAY(AD$6,1)=1,0,IF(WEEKDAY(AD$6,1)=7,AD16*AD15,MAX(0,AD16-8)*AD15)))</f>
      </c>
      <c r="AE18" s="26">
        <f>IF(AE$6="","",IF(WEEKDAY(AE$6,1)=1,0,IF(WEEKDAY(AE$6,1)=7,AE16*AE15,MAX(0,AE16-8)*AE15)))</f>
      </c>
      <c r="AF18" s="26">
        <f>IF(AF$6="","",IF(WEEKDAY(AF$6,1)=1,0,IF(WEEKDAY(AF$6,1)=7,AF16*AF15,MAX(0,AF16-8)*AF15)))</f>
      </c>
      <c r="AG18" s="26">
        <f>IF(AG$6="","",IF(WEEKDAY(AG$6,1)=1,0,IF(WEEKDAY(AG$6,1)=7,AG16*AG15,MAX(0,AG16-8)*AG15)))</f>
      </c>
      <c r="AH18" s="26">
        <f>IF(AH$6="","",IF(WEEKDAY(AH$6,1)=1,0,IF(WEEKDAY(AH$6,1)=7,AH16*AH15,MAX(0,AH16-8)*AH15)))</f>
      </c>
      <c r="AI18" s="26">
        <f>IF(AI$6="","",IF(WEEKDAY(AI$6,1)=1,0,IF(WEEKDAY(AI$6,1)=7,AI16*AI15,MAX(0,AI16-8)*AI15)))</f>
      </c>
      <c r="AJ18" s="26">
        <f>IF(AJ$6="","",IF(WEEKDAY(AJ$6,1)=1,0,IF(WEEKDAY(AJ$6,1)=7,AJ16*AJ15,MAX(0,AJ16-8)*AJ15)))</f>
      </c>
      <c r="AK18" s="26">
        <f>IF(AK$6="","",IF(WEEKDAY(AK$6,1)=1,0,IF(WEEKDAY(AK$6,1)=7,AK16*AK15,MAX(0,AK16-8)*AK15)))</f>
      </c>
      <c r="AL18" s="26">
        <f>IF(AL$6="","",IF(WEEKDAY(AL$6,1)=1,0,IF(WEEKDAY(AL$6,1)=7,AL16*AL15,MAX(0,AL16-8)*AL15)))</f>
      </c>
      <c r="AM18" s="26">
        <f>IF(AM$6="","",IF(WEEKDAY(AM$6,1)=1,0,IF(WEEKDAY(AM$6,1)=7,AM16*AM15,MAX(0,AM16-8)*AM15)))</f>
      </c>
      <c r="AN18" s="26">
        <f>IF(AN$6="","",IF(WEEKDAY(AN$6,1)=1,0,IF(WEEKDAY(AN$6,1)=7,AN16*AN15,MAX(0,AN16-8)*AN15)))</f>
      </c>
      <c r="AO18" s="26">
        <f>IF(AO$6="","",IF(WEEKDAY(AO$6,1)=1,0,IF(WEEKDAY(AO$6,1)=7,AO16*AO15,MAX(0,AO16-8)*AO15)))</f>
      </c>
      <c r="AP18" s="26">
        <f>IF(AP$6="","",IF(WEEKDAY(AP$6,1)=1,0,IF(WEEKDAY(AP$6,1)=7,AP16*AP15,MAX(0,AP16-8)*AP15)))</f>
      </c>
      <c r="AQ18" s="26">
        <f>IF(AQ$6="","",IF(WEEKDAY(AQ$6,1)=1,0,IF(WEEKDAY(AQ$6,1)=7,AQ16*AQ15,MAX(0,AQ16-8)*AQ15)))</f>
      </c>
      <c r="AR18" s="26">
        <f>IF(AR$6="","",IF(WEEKDAY(AR$6,1)=1,0,IF(WEEKDAY(AR$6,1)=7,AR16*AR15,MAX(0,AR16-8)*AR15)))</f>
      </c>
      <c r="AS18" s="26">
        <f>IF(AS$6="","",IF(WEEKDAY(AS$6,1)=1,0,IF(WEEKDAY(AS$6,1)=7,AS16*AS15,MAX(0,AS16-8)*AS15)))</f>
      </c>
      <c r="AT18" s="26">
        <f>IF(AT$6="","",IF(WEEKDAY(AT$6,1)=1,0,IF(WEEKDAY(AT$6,1)=7,AT16*AT15,MAX(0,AT16-8)*AT15)))</f>
      </c>
      <c r="AU18" s="26">
        <f>IF(AU$6="","",IF(WEEKDAY(AU$6,1)=1,0,IF(WEEKDAY(AU$6,1)=7,AU16*AU15,MAX(0,AU16-8)*AU15)))</f>
      </c>
      <c r="AV18" s="26">
        <f>IF(AV$6="","",IF(WEEKDAY(AV$6,1)=1,0,IF(WEEKDAY(AV$6,1)=7,AV16*AV15,MAX(0,AV16-8)*AV15)))</f>
      </c>
      <c r="AW18" s="26">
        <f>IF(AW$6="","",IF(WEEKDAY(AW$6,1)=1,0,IF(WEEKDAY(AW$6,1)=7,AW16*AW15,MAX(0,AW16-8)*AW15)))</f>
      </c>
      <c r="AX18" s="26">
        <f>IF(AX$6="","",IF(WEEKDAY(AX$6,1)=1,0,IF(WEEKDAY(AX$6,1)=7,AX16*AX15,MAX(0,AX16-8)*AX15)))</f>
      </c>
      <c r="AY18" s="26">
        <f>IF(AY$6="","",IF(WEEKDAY(AY$6,1)=1,0,IF(WEEKDAY(AY$6,1)=7,AY16*AY15,MAX(0,AY16-8)*AY15)))</f>
      </c>
      <c r="AZ18" s="26">
        <f>IF(AZ$6="","",IF(WEEKDAY(AZ$6,1)=1,0,IF(WEEKDAY(AZ$6,1)=7,AZ16*AZ15,MAX(0,AZ16-8)*AZ15)))</f>
      </c>
      <c r="BA18" s="26">
        <f>IF(BA$6="","",IF(WEEKDAY(BA$6,1)=1,0,IF(WEEKDAY(BA$6,1)=7,BA16*BA15,MAX(0,BA16-8)*BA15)))</f>
      </c>
      <c r="BB18" s="26">
        <f>IF(BB$6="","",IF(WEEKDAY(BB$6,1)=1,0,IF(WEEKDAY(BB$6,1)=7,BB16*BB15,MAX(0,BB16-8)*BB15)))</f>
      </c>
      <c r="BC18" s="26">
        <f>IF(BC$6="","",IF(WEEKDAY(BC$6,1)=1,0,IF(WEEKDAY(BC$6,1)=7,BC16*BC15,MAX(0,BC16-8)*BC15)))</f>
      </c>
      <c r="BD18" s="26">
        <f>IF(BD$6="","",IF(WEEKDAY(BD$6,1)=1,0,IF(WEEKDAY(BD$6,1)=7,BD16*BD15,MAX(0,BD16-8)*BD15)))</f>
      </c>
      <c r="BE18" s="26">
        <f>IF(BE$6="","",IF(WEEKDAY(BE$6,1)=1,0,IF(WEEKDAY(BE$6,1)=7,BE16*BE15,MAX(0,BE16-8)*BE15)))</f>
      </c>
      <c r="BF18" s="26">
        <f>IF(BF$6="","",IF(WEEKDAY(BF$6,1)=1,0,IF(WEEKDAY(BF$6,1)=7,BF16*BF15,MAX(0,BF16-8)*BF15)))</f>
      </c>
      <c r="BG18" s="26">
        <f>IF(BG$6="","",IF(WEEKDAY(BG$6,1)=1,0,IF(WEEKDAY(BG$6,1)=7,BG16*BG15,MAX(0,BG16-8)*BG15)))</f>
      </c>
      <c r="BH18" s="26">
        <f>IF(BH$6="","",IF(WEEKDAY(BH$6,1)=1,0,IF(WEEKDAY(BH$6,1)=7,BH16*BH15,MAX(0,BH16-8)*BH15)))</f>
      </c>
      <c r="BI18" s="26">
        <f>IF(BI$6="","",IF(WEEKDAY(BI$6,1)=1,0,IF(WEEKDAY(BI$6,1)=7,BI16*BI15,MAX(0,BI16-8)*BI15)))</f>
      </c>
      <c r="BJ18" s="26">
        <f>IF(BJ$6="","",IF(WEEKDAY(BJ$6,1)=1,0,IF(WEEKDAY(BJ$6,1)=7,BJ16*BJ15,MAX(0,BJ16-8)*BJ15)))</f>
      </c>
      <c r="BK18" s="26">
        <f>IF(BK$6="","",IF(WEEKDAY(BK$6,1)=1,0,IF(WEEKDAY(BK$6,1)=7,BK16*BK15,MAX(0,BK16-8)*BK15)))</f>
      </c>
      <c r="BL18" s="26">
        <f>IF(BL$6="","",IF(WEEKDAY(BL$6,1)=1,0,IF(WEEKDAY(BL$6,1)=7,BL16*BL15,MAX(0,BL16-8)*BL15)))</f>
      </c>
      <c r="BM18" s="26">
        <f>IF(BM$6="","",IF(WEEKDAY(BM$6,1)=1,0,IF(WEEKDAY(BM$6,1)=7,BM16*BM15,MAX(0,BM16-8)*BM15)))</f>
      </c>
      <c r="BN18" s="26">
        <f>IF(BN$6="","",IF(WEEKDAY(BN$6,1)=1,0,IF(WEEKDAY(BN$6,1)=7,BN16*BN15,MAX(0,BN16-8)*BN15)))</f>
      </c>
      <c r="BO18" s="26">
        <f>IF(BO$6="","",IF(WEEKDAY(BO$6,1)=1,0,IF(WEEKDAY(BO$6,1)=7,BO16*BO15,MAX(0,BO16-8)*BO15)))</f>
      </c>
      <c r="BP18" s="26">
        <f>IF(BP$6="","",IF(WEEKDAY(BP$6,1)=1,0,IF(WEEKDAY(BP$6,1)=7,BP16*BP15,MAX(0,BP16-8)*BP15)))</f>
      </c>
      <c r="BQ18" s="26">
        <f>IF(BQ$6="","",IF(WEEKDAY(BQ$6,1)=1,0,IF(WEEKDAY(BQ$6,1)=7,BQ16*BQ15,MAX(0,BQ16-8)*BQ15)))</f>
      </c>
      <c r="BR18" s="26">
        <f>IF(BR$6="","",IF(WEEKDAY(BR$6,1)=1,0,IF(WEEKDAY(BR$6,1)=7,BR16*BR15,MAX(0,BR16-8)*BR15)))</f>
      </c>
      <c r="BS18" s="26">
        <f>IF(BS$6="","",IF(WEEKDAY(BS$6,1)=1,0,IF(WEEKDAY(BS$6,1)=7,BS16*BS15,MAX(0,BS16-8)*BS15)))</f>
      </c>
      <c r="BT18" s="26">
        <f>IF(BT$6="","",IF(WEEKDAY(BT$6,1)=1,0,IF(WEEKDAY(BT$6,1)=7,BT16*BT15,MAX(0,BT16-8)*BT15)))</f>
      </c>
      <c r="BU18" s="26">
        <f>IF(BU$6="","",IF(WEEKDAY(BU$6,1)=1,0,IF(WEEKDAY(BU$6,1)=7,BU16*BU15,MAX(0,BU16-8)*BU15)))</f>
      </c>
      <c r="BV18" s="26">
        <f>IF(BV$6="","",IF(WEEKDAY(BV$6,1)=1,0,IF(WEEKDAY(BV$6,1)=7,BV16*BV15,MAX(0,BV16-8)*BV15)))</f>
      </c>
      <c r="BW18" s="26">
        <f>IF(BW$6="","",IF(WEEKDAY(BW$6,1)=1,0,IF(WEEKDAY(BW$6,1)=7,BW16*BW15,MAX(0,BW16-8)*BW15)))</f>
      </c>
      <c r="BX18" s="26">
        <f>IF(BX$6="","",IF(WEEKDAY(BX$6,1)=1,0,IF(WEEKDAY(BX$6,1)=7,BX16*BX15,MAX(0,BX16-8)*BX15)))</f>
      </c>
      <c r="BY18" s="26">
        <f>IF(BY$6="","",IF(WEEKDAY(BY$6,1)=1,0,IF(WEEKDAY(BY$6,1)=7,BY16*BY15,MAX(0,BY16-8)*BY15)))</f>
      </c>
      <c r="BZ18" s="26">
        <f>IF(BZ$6="","",IF(WEEKDAY(BZ$6,1)=1,0,IF(WEEKDAY(BZ$6,1)=7,BZ16*BZ15,MAX(0,BZ16-8)*BZ15)))</f>
      </c>
      <c r="CA18" s="26">
        <f>IF(CA$6="","",IF(WEEKDAY(CA$6,1)=1,0,IF(WEEKDAY(CA$6,1)=7,CA16*CA15,MAX(0,CA16-8)*CA15)))</f>
      </c>
      <c r="CB18" s="26">
        <f>IF(CB$6="","",IF(WEEKDAY(CB$6,1)=1,0,IF(WEEKDAY(CB$6,1)=7,CB16*CB15,MAX(0,CB16-8)*CB15)))</f>
      </c>
      <c r="CC18" s="26">
        <f>IF(CC$6="","",IF(WEEKDAY(CC$6,1)=1,0,IF(WEEKDAY(CC$6,1)=7,CC16*CC15,MAX(0,CC16-8)*CC15)))</f>
      </c>
      <c r="CD18" s="26">
        <f>IF(CD$6="","",IF(WEEKDAY(CD$6,1)=1,0,IF(WEEKDAY(CD$6,1)=7,CD16*CD15,MAX(0,CD16-8)*CD15)))</f>
      </c>
      <c r="CE18" s="26">
        <f>IF(CE$6="","",IF(WEEKDAY(CE$6,1)=1,0,IF(WEEKDAY(CE$6,1)=7,CE16*CE15,MAX(0,CE16-8)*CE15)))</f>
      </c>
      <c r="CF18" s="26">
        <f>IF(CF$6="","",IF(WEEKDAY(CF$6,1)=1,0,IF(WEEKDAY(CF$6,1)=7,CF16*CF15,MAX(0,CF16-8)*CF15)))</f>
      </c>
      <c r="CG18" s="26">
        <f>IF(CG$6="","",IF(WEEKDAY(CG$6,1)=1,0,IF(WEEKDAY(CG$6,1)=7,CG16*CG15,MAX(0,CG16-8)*CG15)))</f>
      </c>
      <c r="CH18" s="26">
        <f>IF(CH$6="","",IF(WEEKDAY(CH$6,1)=1,0,IF(WEEKDAY(CH$6,1)=7,CH16*CH15,MAX(0,CH16-8)*CH15)))</f>
      </c>
      <c r="CI18" s="26">
        <f>IF(CI$6="","",IF(WEEKDAY(CI$6,1)=1,0,IF(WEEKDAY(CI$6,1)=7,CI16*CI15,MAX(0,CI16-8)*CI15)))</f>
      </c>
      <c r="CJ18" s="26">
        <f>IF(CJ$6="","",IF(WEEKDAY(CJ$6,1)=1,0,IF(WEEKDAY(CJ$6,1)=7,CJ16*CJ15,MAX(0,CJ16-8)*CJ15)))</f>
      </c>
      <c r="CK18" s="26">
        <f>IF(CK$6="","",IF(WEEKDAY(CK$6,1)=1,0,IF(WEEKDAY(CK$6,1)=7,CK16*CK15,MAX(0,CK16-8)*CK15)))</f>
      </c>
      <c r="CL18" s="26">
        <f>IF(CL$6="","",IF(WEEKDAY(CL$6,1)=1,0,IF(WEEKDAY(CL$6,1)=7,CL16*CL15,MAX(0,CL16-8)*CL15)))</f>
      </c>
      <c r="CM18" s="26">
        <f>IF(CM$6="","",IF(WEEKDAY(CM$6,1)=1,0,IF(WEEKDAY(CM$6,1)=7,CM16*CM15,MAX(0,CM16-8)*CM15)))</f>
      </c>
      <c r="CN18" s="26">
        <f>IF(CN$6="","",IF(WEEKDAY(CN$6,1)=1,0,IF(WEEKDAY(CN$6,1)=7,CN16*CN15,MAX(0,CN16-8)*CN15)))</f>
      </c>
      <c r="CO18" s="26">
        <f>IF(CO$6="","",IF(WEEKDAY(CO$6,1)=1,0,IF(WEEKDAY(CO$6,1)=7,CO16*CO15,MAX(0,CO16-8)*CO15)))</f>
      </c>
      <c r="CP18" s="26">
        <f>IF(CP$6="","",IF(WEEKDAY(CP$6,1)=1,0,IF(WEEKDAY(CP$6,1)=7,CP16*CP15,MAX(0,CP16-8)*CP15)))</f>
      </c>
      <c r="CQ18" s="26">
        <f>IF(CQ$6="","",IF(WEEKDAY(CQ$6,1)=1,0,IF(WEEKDAY(CQ$6,1)=7,CQ16*CQ15,MAX(0,CQ16-8)*CQ15)))</f>
      </c>
      <c r="CR18" s="26">
        <f>IF(CR$6="","",IF(WEEKDAY(CR$6,1)=1,0,IF(WEEKDAY(CR$6,1)=7,CR16*CR15,MAX(0,CR16-8)*CR15)))</f>
      </c>
      <c r="CS18" s="26">
        <f>IF(CS$6="","",IF(WEEKDAY(CS$6,1)=1,0,IF(WEEKDAY(CS$6,1)=7,CS16*CS15,MAX(0,CS16-8)*CS15)))</f>
      </c>
      <c r="CT18" s="26">
        <f>IF(CT$6="","",IF(WEEKDAY(CT$6,1)=1,0,IF(WEEKDAY(CT$6,1)=7,CT16*CT15,MAX(0,CT16-8)*CT15)))</f>
      </c>
      <c r="CU18" s="26">
        <f>IF(CU$6="","",IF(WEEKDAY(CU$6,1)=1,0,IF(WEEKDAY(CU$6,1)=7,CU16*CU15,MAX(0,CU16-8)*CU15)))</f>
      </c>
      <c r="CV18" s="26">
        <f>IF(CV$6="","",IF(WEEKDAY(CV$6,1)=1,0,IF(WEEKDAY(CV$6,1)=7,CV16*CV15,MAX(0,CV16-8)*CV15)))</f>
      </c>
      <c r="CW18" s="26">
        <f>IF(CW$6="","",IF(WEEKDAY(CW$6,1)=1,0,IF(WEEKDAY(CW$6,1)=7,CW16*CW15,MAX(0,CW16-8)*CW15)))</f>
      </c>
      <c r="CX18" s="8" t="s">
        <v>84</v>
      </c>
    </row>
    <row r="19" spans="2:102" x14ac:dyDescent="0.25">
      <c r="B19" s="26">
        <f>SUM(L19:CW19)</f>
      </c>
      <c r="D19" s="27">
        <f>B19*E19</f>
      </c>
      <c r="E19" s="27">
        <f>'Rate Tables'!E22</f>
      </c>
      <c r="F19" s="8" t="s">
        <v>41</v>
      </c>
      <c r="L19" s="26">
        <f>IF(L$6="","",IF(WEEKDAY(L$6,1)=1,L16*L15,0))</f>
      </c>
      <c r="M19" s="26">
        <f>IF(M$6="","",IF(WEEKDAY(M$6,1)=1,M16*M15,0))</f>
      </c>
      <c r="N19" s="26">
        <f>IF(N$6="","",IF(WEEKDAY(N$6,1)=1,N16*N15,0))</f>
      </c>
      <c r="O19" s="26">
        <f>IF(O$6="","",IF(WEEKDAY(O$6,1)=1,O16*O15,0))</f>
      </c>
      <c r="P19" s="26">
        <f>IF(P$6="","",IF(WEEKDAY(P$6,1)=1,P16*P15,0))</f>
      </c>
      <c r="Q19" s="26">
        <f>IF(Q$6="","",IF(WEEKDAY(Q$6,1)=1,Q16*Q15,0))</f>
      </c>
      <c r="R19" s="26">
        <f>IF(R$6="","",IF(WEEKDAY(R$6,1)=1,R16*R15,0))</f>
      </c>
      <c r="S19" s="26">
        <f>IF(S$6="","",IF(WEEKDAY(S$6,1)=1,S16*S15,0))</f>
      </c>
      <c r="T19" s="26">
        <f>IF(T$6="","",IF(WEEKDAY(T$6,1)=1,T16*T15,0))</f>
      </c>
      <c r="U19" s="26">
        <f>IF(U$6="","",IF(WEEKDAY(U$6,1)=1,U16*U15,0))</f>
      </c>
      <c r="V19" s="26">
        <f>IF(V$6="","",IF(WEEKDAY(V$6,1)=1,V16*V15,0))</f>
      </c>
      <c r="W19" s="26">
        <f>IF(W$6="","",IF(WEEKDAY(W$6,1)=1,W16*W15,0))</f>
      </c>
      <c r="X19" s="26">
        <f>IF(X$6="","",IF(WEEKDAY(X$6,1)=1,X16*X15,0))</f>
      </c>
      <c r="Y19" s="26">
        <f>IF(Y$6="","",IF(WEEKDAY(Y$6,1)=1,Y16*Y15,0))</f>
      </c>
      <c r="Z19" s="26">
        <f>IF(Z$6="","",IF(WEEKDAY(Z$6,1)=1,Z16*Z15,0))</f>
      </c>
      <c r="AA19" s="26">
        <f>IF(AA$6="","",IF(WEEKDAY(AA$6,1)=1,AA16*AA15,0))</f>
      </c>
      <c r="AB19" s="26">
        <f>IF(AB$6="","",IF(WEEKDAY(AB$6,1)=1,AB16*AB15,0))</f>
      </c>
      <c r="AC19" s="26">
        <f>IF(AC$6="","",IF(WEEKDAY(AC$6,1)=1,AC16*AC15,0))</f>
      </c>
      <c r="AD19" s="26">
        <f>IF(AD$6="","",IF(WEEKDAY(AD$6,1)=1,AD16*AD15,0))</f>
      </c>
      <c r="AE19" s="26">
        <f>IF(AE$6="","",IF(WEEKDAY(AE$6,1)=1,AE16*AE15,0))</f>
      </c>
      <c r="AF19" s="26">
        <f>IF(AF$6="","",IF(WEEKDAY(AF$6,1)=1,AF16*AF15,0))</f>
      </c>
      <c r="AG19" s="26">
        <f>IF(AG$6="","",IF(WEEKDAY(AG$6,1)=1,AG16*AG15,0))</f>
      </c>
      <c r="AH19" s="26">
        <f>IF(AH$6="","",IF(WEEKDAY(AH$6,1)=1,AH16*AH15,0))</f>
      </c>
      <c r="AI19" s="26">
        <f>IF(AI$6="","",IF(WEEKDAY(AI$6,1)=1,AI16*AI15,0))</f>
      </c>
      <c r="AJ19" s="26">
        <f>IF(AJ$6="","",IF(WEEKDAY(AJ$6,1)=1,AJ16*AJ15,0))</f>
      </c>
      <c r="AK19" s="26">
        <f>IF(AK$6="","",IF(WEEKDAY(AK$6,1)=1,AK16*AK15,0))</f>
      </c>
      <c r="AL19" s="26">
        <f>IF(AL$6="","",IF(WEEKDAY(AL$6,1)=1,AL16*AL15,0))</f>
      </c>
      <c r="AM19" s="26">
        <f>IF(AM$6="","",IF(WEEKDAY(AM$6,1)=1,AM16*AM15,0))</f>
      </c>
      <c r="AN19" s="26">
        <f>IF(AN$6="","",IF(WEEKDAY(AN$6,1)=1,AN16*AN15,0))</f>
      </c>
      <c r="AO19" s="26">
        <f>IF(AO$6="","",IF(WEEKDAY(AO$6,1)=1,AO16*AO15,0))</f>
      </c>
      <c r="AP19" s="26">
        <f>IF(AP$6="","",IF(WEEKDAY(AP$6,1)=1,AP16*AP15,0))</f>
      </c>
      <c r="AQ19" s="26">
        <f>IF(AQ$6="","",IF(WEEKDAY(AQ$6,1)=1,AQ16*AQ15,0))</f>
      </c>
      <c r="AR19" s="26">
        <f>IF(AR$6="","",IF(WEEKDAY(AR$6,1)=1,AR16*AR15,0))</f>
      </c>
      <c r="AS19" s="26">
        <f>IF(AS$6="","",IF(WEEKDAY(AS$6,1)=1,AS16*AS15,0))</f>
      </c>
      <c r="AT19" s="26">
        <f>IF(AT$6="","",IF(WEEKDAY(AT$6,1)=1,AT16*AT15,0))</f>
      </c>
      <c r="AU19" s="26">
        <f>IF(AU$6="","",IF(WEEKDAY(AU$6,1)=1,AU16*AU15,0))</f>
      </c>
      <c r="AV19" s="26">
        <f>IF(AV$6="","",IF(WEEKDAY(AV$6,1)=1,AV16*AV15,0))</f>
      </c>
      <c r="AW19" s="26">
        <f>IF(AW$6="","",IF(WEEKDAY(AW$6,1)=1,AW16*AW15,0))</f>
      </c>
      <c r="AX19" s="26">
        <f>IF(AX$6="","",IF(WEEKDAY(AX$6,1)=1,AX16*AX15,0))</f>
      </c>
      <c r="AY19" s="26">
        <f>IF(AY$6="","",IF(WEEKDAY(AY$6,1)=1,AY16*AY15,0))</f>
      </c>
      <c r="AZ19" s="26">
        <f>IF(AZ$6="","",IF(WEEKDAY(AZ$6,1)=1,AZ16*AZ15,0))</f>
      </c>
      <c r="BA19" s="26">
        <f>IF(BA$6="","",IF(WEEKDAY(BA$6,1)=1,BA16*BA15,0))</f>
      </c>
      <c r="BB19" s="26">
        <f>IF(BB$6="","",IF(WEEKDAY(BB$6,1)=1,BB16*BB15,0))</f>
      </c>
      <c r="BC19" s="26">
        <f>IF(BC$6="","",IF(WEEKDAY(BC$6,1)=1,BC16*BC15,0))</f>
      </c>
      <c r="BD19" s="26">
        <f>IF(BD$6="","",IF(WEEKDAY(BD$6,1)=1,BD16*BD15,0))</f>
      </c>
      <c r="BE19" s="26">
        <f>IF(BE$6="","",IF(WEEKDAY(BE$6,1)=1,BE16*BE15,0))</f>
      </c>
      <c r="BF19" s="26">
        <f>IF(BF$6="","",IF(WEEKDAY(BF$6,1)=1,BF16*BF15,0))</f>
      </c>
      <c r="BG19" s="26">
        <f>IF(BG$6="","",IF(WEEKDAY(BG$6,1)=1,BG16*BG15,0))</f>
      </c>
      <c r="BH19" s="26">
        <f>IF(BH$6="","",IF(WEEKDAY(BH$6,1)=1,BH16*BH15,0))</f>
      </c>
      <c r="BI19" s="26">
        <f>IF(BI$6="","",IF(WEEKDAY(BI$6,1)=1,BI16*BI15,0))</f>
      </c>
      <c r="BJ19" s="26">
        <f>IF(BJ$6="","",IF(WEEKDAY(BJ$6,1)=1,BJ16*BJ15,0))</f>
      </c>
      <c r="BK19" s="26">
        <f>IF(BK$6="","",IF(WEEKDAY(BK$6,1)=1,BK16*BK15,0))</f>
      </c>
      <c r="BL19" s="26">
        <f>IF(BL$6="","",IF(WEEKDAY(BL$6,1)=1,BL16*BL15,0))</f>
      </c>
      <c r="BM19" s="26">
        <f>IF(BM$6="","",IF(WEEKDAY(BM$6,1)=1,BM16*BM15,0))</f>
      </c>
      <c r="BN19" s="26">
        <f>IF(BN$6="","",IF(WEEKDAY(BN$6,1)=1,BN16*BN15,0))</f>
      </c>
      <c r="BO19" s="26">
        <f>IF(BO$6="","",IF(WEEKDAY(BO$6,1)=1,BO16*BO15,0))</f>
      </c>
      <c r="BP19" s="26">
        <f>IF(BP$6="","",IF(WEEKDAY(BP$6,1)=1,BP16*BP15,0))</f>
      </c>
      <c r="BQ19" s="26">
        <f>IF(BQ$6="","",IF(WEEKDAY(BQ$6,1)=1,BQ16*BQ15,0))</f>
      </c>
      <c r="BR19" s="26">
        <f>IF(BR$6="","",IF(WEEKDAY(BR$6,1)=1,BR16*BR15,0))</f>
      </c>
      <c r="BS19" s="26">
        <f>IF(BS$6="","",IF(WEEKDAY(BS$6,1)=1,BS16*BS15,0))</f>
      </c>
      <c r="BT19" s="26">
        <f>IF(BT$6="","",IF(WEEKDAY(BT$6,1)=1,BT16*BT15,0))</f>
      </c>
      <c r="BU19" s="26">
        <f>IF(BU$6="","",IF(WEEKDAY(BU$6,1)=1,BU16*BU15,0))</f>
      </c>
      <c r="BV19" s="26">
        <f>IF(BV$6="","",IF(WEEKDAY(BV$6,1)=1,BV16*BV15,0))</f>
      </c>
      <c r="BW19" s="26">
        <f>IF(BW$6="","",IF(WEEKDAY(BW$6,1)=1,BW16*BW15,0))</f>
      </c>
      <c r="BX19" s="26">
        <f>IF(BX$6="","",IF(WEEKDAY(BX$6,1)=1,BX16*BX15,0))</f>
      </c>
      <c r="BY19" s="26">
        <f>IF(BY$6="","",IF(WEEKDAY(BY$6,1)=1,BY16*BY15,0))</f>
      </c>
      <c r="BZ19" s="26">
        <f>IF(BZ$6="","",IF(WEEKDAY(BZ$6,1)=1,BZ16*BZ15,0))</f>
      </c>
      <c r="CA19" s="26">
        <f>IF(CA$6="","",IF(WEEKDAY(CA$6,1)=1,CA16*CA15,0))</f>
      </c>
      <c r="CB19" s="26">
        <f>IF(CB$6="","",IF(WEEKDAY(CB$6,1)=1,CB16*CB15,0))</f>
      </c>
      <c r="CC19" s="26">
        <f>IF(CC$6="","",IF(WEEKDAY(CC$6,1)=1,CC16*CC15,0))</f>
      </c>
      <c r="CD19" s="26">
        <f>IF(CD$6="","",IF(WEEKDAY(CD$6,1)=1,CD16*CD15,0))</f>
      </c>
      <c r="CE19" s="26">
        <f>IF(CE$6="","",IF(WEEKDAY(CE$6,1)=1,CE16*CE15,0))</f>
      </c>
      <c r="CF19" s="26">
        <f>IF(CF$6="","",IF(WEEKDAY(CF$6,1)=1,CF16*CF15,0))</f>
      </c>
      <c r="CG19" s="26">
        <f>IF(CG$6="","",IF(WEEKDAY(CG$6,1)=1,CG16*CG15,0))</f>
      </c>
      <c r="CH19" s="26">
        <f>IF(CH$6="","",IF(WEEKDAY(CH$6,1)=1,CH16*CH15,0))</f>
      </c>
      <c r="CI19" s="26">
        <f>IF(CI$6="","",IF(WEEKDAY(CI$6,1)=1,CI16*CI15,0))</f>
      </c>
      <c r="CJ19" s="26">
        <f>IF(CJ$6="","",IF(WEEKDAY(CJ$6,1)=1,CJ16*CJ15,0))</f>
      </c>
      <c r="CK19" s="26">
        <f>IF(CK$6="","",IF(WEEKDAY(CK$6,1)=1,CK16*CK15,0))</f>
      </c>
      <c r="CL19" s="26">
        <f>IF(CL$6="","",IF(WEEKDAY(CL$6,1)=1,CL16*CL15,0))</f>
      </c>
      <c r="CM19" s="26">
        <f>IF(CM$6="","",IF(WEEKDAY(CM$6,1)=1,CM16*CM15,0))</f>
      </c>
      <c r="CN19" s="26">
        <f>IF(CN$6="","",IF(WEEKDAY(CN$6,1)=1,CN16*CN15,0))</f>
      </c>
      <c r="CO19" s="26">
        <f>IF(CO$6="","",IF(WEEKDAY(CO$6,1)=1,CO16*CO15,0))</f>
      </c>
      <c r="CP19" s="26">
        <f>IF(CP$6="","",IF(WEEKDAY(CP$6,1)=1,CP16*CP15,0))</f>
      </c>
      <c r="CQ19" s="26">
        <f>IF(CQ$6="","",IF(WEEKDAY(CQ$6,1)=1,CQ16*CQ15,0))</f>
      </c>
      <c r="CR19" s="26">
        <f>IF(CR$6="","",IF(WEEKDAY(CR$6,1)=1,CR16*CR15,0))</f>
      </c>
      <c r="CS19" s="26">
        <f>IF(CS$6="","",IF(WEEKDAY(CS$6,1)=1,CS16*CS15,0))</f>
      </c>
      <c r="CT19" s="26">
        <f>IF(CT$6="","",IF(WEEKDAY(CT$6,1)=1,CT16*CT15,0))</f>
      </c>
      <c r="CU19" s="26">
        <f>IF(CU$6="","",IF(WEEKDAY(CU$6,1)=1,CU16*CU15,0))</f>
      </c>
      <c r="CV19" s="26">
        <f>IF(CV$6="","",IF(WEEKDAY(CV$6,1)=1,CV16*CV15,0))</f>
      </c>
      <c r="CW19" s="26">
        <f>IF(CW$6="","",IF(WEEKDAY(CW$6,1)=1,CW16*CW15,0))</f>
      </c>
      <c r="CX19" s="8" t="s">
        <v>84</v>
      </c>
    </row>
    <row r="20" spans="2:102" x14ac:dyDescent="0.25">
      <c r="B20" s="26">
        <f>SUM(L20:CW20)</f>
      </c>
      <c r="D20" s="27">
        <f>B20*E20</f>
      </c>
      <c r="E20" s="27">
        <v>130</v>
      </c>
      <c r="F20" s="8" t="s">
        <v>42</v>
      </c>
      <c r="L20" s="28">
        <v>0</v>
      </c>
      <c r="M20" s="28">
        <v>0</v>
      </c>
      <c r="N20" s="28">
        <v>0</v>
      </c>
      <c r="O20" s="28">
        <v>0</v>
      </c>
      <c r="P20" s="28">
        <v>0</v>
      </c>
      <c r="Q20" s="28">
        <v>0</v>
      </c>
      <c r="R20" s="28">
        <v>0</v>
      </c>
      <c r="S20" s="28">
        <v>0</v>
      </c>
      <c r="T20" s="28">
        <v>0</v>
      </c>
      <c r="U20" s="28">
        <v>0</v>
      </c>
      <c r="V20" s="28">
        <v>0</v>
      </c>
      <c r="W20" s="28">
        <v>0</v>
      </c>
      <c r="X20" s="28">
        <v>0</v>
      </c>
      <c r="Y20" s="28">
        <v>0</v>
      </c>
      <c r="Z20" s="28">
        <v>0</v>
      </c>
      <c r="AA20" s="28">
        <v>0</v>
      </c>
      <c r="AB20" s="28">
        <v>0</v>
      </c>
      <c r="AC20" s="28">
        <v>0</v>
      </c>
      <c r="AD20" s="28">
        <v>0</v>
      </c>
      <c r="AE20" s="28">
        <v>0</v>
      </c>
      <c r="AF20" s="28">
        <v>0</v>
      </c>
      <c r="AG20" s="28">
        <v>0</v>
      </c>
      <c r="AH20" s="28">
        <v>0</v>
      </c>
      <c r="AI20" s="28">
        <v>0</v>
      </c>
      <c r="AJ20" s="28">
        <v>0</v>
      </c>
      <c r="AK20" s="28">
        <v>0</v>
      </c>
      <c r="AL20" s="28">
        <v>0</v>
      </c>
      <c r="AM20" s="28">
        <v>0</v>
      </c>
      <c r="AN20" s="28">
        <v>0</v>
      </c>
      <c r="AO20" s="28">
        <v>0</v>
      </c>
      <c r="AP20" s="28">
        <v>0</v>
      </c>
      <c r="AQ20" s="28">
        <v>0</v>
      </c>
      <c r="AR20" s="28">
        <v>0</v>
      </c>
      <c r="AS20" s="28">
        <v>0</v>
      </c>
      <c r="AT20" s="28">
        <v>0</v>
      </c>
      <c r="AU20" s="28">
        <v>0</v>
      </c>
      <c r="AV20" s="28">
        <v>0</v>
      </c>
      <c r="AW20" s="28">
        <v>0</v>
      </c>
      <c r="AX20" s="28">
        <v>0</v>
      </c>
      <c r="AY20" s="28">
        <v>0</v>
      </c>
      <c r="AZ20" s="28">
        <v>0</v>
      </c>
      <c r="BA20" s="28">
        <v>0</v>
      </c>
      <c r="BB20" s="28">
        <v>0</v>
      </c>
      <c r="BC20" s="28">
        <v>0</v>
      </c>
      <c r="BD20" s="28">
        <v>0</v>
      </c>
      <c r="BE20" s="28">
        <v>0</v>
      </c>
      <c r="BF20" s="28">
        <v>0</v>
      </c>
      <c r="BG20" s="28">
        <v>0</v>
      </c>
      <c r="BH20" s="28">
        <v>0</v>
      </c>
      <c r="BI20" s="28">
        <v>4</v>
      </c>
      <c r="BJ20" s="28">
        <v>4</v>
      </c>
      <c r="BK20" s="28">
        <v>4</v>
      </c>
      <c r="BL20" s="28">
        <v>4</v>
      </c>
      <c r="BM20" s="28">
        <v>4</v>
      </c>
      <c r="BN20" s="28">
        <v>4</v>
      </c>
      <c r="BO20" s="28">
        <v>4</v>
      </c>
      <c r="BP20" s="28">
        <v>4</v>
      </c>
      <c r="BQ20" s="28">
        <v>4</v>
      </c>
      <c r="BR20" s="28">
        <v>4</v>
      </c>
      <c r="BS20" s="28">
        <v>4</v>
      </c>
      <c r="BT20" s="28">
        <v>4</v>
      </c>
      <c r="BU20" s="28">
        <v>4</v>
      </c>
      <c r="BV20" s="28">
        <v>4</v>
      </c>
      <c r="BW20" s="28">
        <v>4</v>
      </c>
      <c r="BX20" s="28">
        <v>4</v>
      </c>
      <c r="BY20" s="28">
        <v>4</v>
      </c>
      <c r="BZ20" s="28">
        <v>4</v>
      </c>
      <c r="CA20" s="28">
        <v>4</v>
      </c>
      <c r="CB20" s="28">
        <v>4</v>
      </c>
      <c r="CC20" s="28">
        <v>4</v>
      </c>
      <c r="CD20" s="28">
        <v>4</v>
      </c>
      <c r="CE20" s="28">
        <v>4</v>
      </c>
      <c r="CF20" s="28">
        <v>4</v>
      </c>
      <c r="CG20" s="28">
        <v>4</v>
      </c>
      <c r="CH20" s="28">
        <v>4</v>
      </c>
      <c r="CI20" s="28">
        <v>4</v>
      </c>
      <c r="CJ20" s="28">
        <v>4</v>
      </c>
      <c r="CK20" s="28">
        <v>4</v>
      </c>
      <c r="CL20" s="28">
        <v>4</v>
      </c>
      <c r="CM20" s="28">
        <v>4</v>
      </c>
      <c r="CN20" s="28">
        <v>4</v>
      </c>
      <c r="CO20" s="28">
        <v>4</v>
      </c>
      <c r="CP20" s="28">
        <v>4</v>
      </c>
      <c r="CQ20" s="28">
        <v>4</v>
      </c>
      <c r="CR20" s="28">
        <v>4</v>
      </c>
      <c r="CS20" s="28">
        <v>4</v>
      </c>
      <c r="CT20" s="28">
        <v>4</v>
      </c>
      <c r="CU20" s="28">
        <v>4</v>
      </c>
      <c r="CV20" s="28">
        <v>4</v>
      </c>
      <c r="CW20" s="28">
        <v>4</v>
      </c>
      <c r="CX20" s="8" t="s">
        <v>84</v>
      </c>
    </row>
    <row r="21" spans="1:102" x14ac:dyDescent="0.25">
      <c r="A21" s="20" t="s">
        <v>32</v>
      </c>
      <c r="B21" s="21">
        <f>G21+H21+I21</f>
      </c>
      <c r="C21" s="20" t="s">
        <v>85</v>
      </c>
      <c r="D21" s="22">
        <f>K21</f>
      </c>
      <c r="F21" s="20" t="s">
        <v>34</v>
      </c>
      <c r="G21" s="21">
        <f>B24</f>
      </c>
      <c r="H21" s="21">
        <f>B25</f>
      </c>
      <c r="I21" s="21">
        <f>B26</f>
      </c>
      <c r="J21" s="21">
        <f>B27</f>
      </c>
      <c r="K21" s="22">
        <f>D24+D25+D26</f>
      </c>
      <c r="CX21" s="20" t="s">
        <v>86</v>
      </c>
    </row>
    <row r="22" spans="6:102" x14ac:dyDescent="0.25">
      <c r="F22" s="23" t="s">
        <v>36</v>
      </c>
      <c r="L22" s="24">
        <v>0</v>
      </c>
      <c r="M22" s="24">
        <v>0</v>
      </c>
      <c r="N22" s="24">
        <v>0</v>
      </c>
      <c r="O22" s="24">
        <v>3</v>
      </c>
      <c r="P22" s="24">
        <v>3</v>
      </c>
      <c r="Q22" s="24">
        <v>0</v>
      </c>
      <c r="R22" s="24">
        <v>0</v>
      </c>
      <c r="S22" s="24">
        <v>3</v>
      </c>
      <c r="T22" s="24">
        <v>3</v>
      </c>
      <c r="U22" s="24">
        <v>3</v>
      </c>
      <c r="V22" s="24">
        <v>3</v>
      </c>
      <c r="W22" s="24">
        <v>3</v>
      </c>
      <c r="X22" s="24">
        <v>0</v>
      </c>
      <c r="Y22" s="24">
        <v>0</v>
      </c>
      <c r="Z22" s="24">
        <v>3</v>
      </c>
      <c r="AA22" s="24">
        <v>3</v>
      </c>
      <c r="AB22" s="24">
        <v>3</v>
      </c>
      <c r="AC22" s="24">
        <v>3</v>
      </c>
      <c r="AD22" s="24">
        <v>3</v>
      </c>
      <c r="AE22" s="24">
        <v>0</v>
      </c>
      <c r="AF22" s="24">
        <v>0</v>
      </c>
      <c r="AG22" s="24">
        <v>3</v>
      </c>
      <c r="AH22" s="24">
        <v>3</v>
      </c>
      <c r="AI22" s="24">
        <v>3</v>
      </c>
      <c r="AJ22" s="24">
        <v>3</v>
      </c>
      <c r="AK22" s="24">
        <v>3</v>
      </c>
      <c r="AL22" s="24">
        <v>0</v>
      </c>
      <c r="AM22" s="24">
        <v>0</v>
      </c>
      <c r="AN22" s="24">
        <v>11</v>
      </c>
      <c r="AO22" s="24">
        <v>11</v>
      </c>
      <c r="AP22" s="24">
        <v>11</v>
      </c>
      <c r="AQ22" s="24">
        <v>11</v>
      </c>
      <c r="AR22" s="24">
        <v>11</v>
      </c>
      <c r="AS22" s="24">
        <v>0</v>
      </c>
      <c r="AT22" s="24">
        <v>0</v>
      </c>
      <c r="AU22" s="24">
        <v>11</v>
      </c>
      <c r="AV22" s="24">
        <v>11</v>
      </c>
      <c r="AW22" s="24">
        <v>11</v>
      </c>
      <c r="AX22" s="24">
        <v>11</v>
      </c>
      <c r="AY22" s="24">
        <v>11</v>
      </c>
      <c r="AZ22" s="24">
        <v>0</v>
      </c>
      <c r="BA22" s="24">
        <v>0</v>
      </c>
      <c r="BB22" s="24">
        <v>11</v>
      </c>
      <c r="BC22" s="24">
        <v>11</v>
      </c>
      <c r="BD22" s="24">
        <v>11</v>
      </c>
      <c r="BE22" s="24">
        <v>11</v>
      </c>
      <c r="BF22" s="24">
        <v>11</v>
      </c>
      <c r="BG22" s="24">
        <v>0</v>
      </c>
      <c r="BH22" s="24">
        <v>0</v>
      </c>
      <c r="BI22" s="24">
        <v>8</v>
      </c>
      <c r="BJ22" s="24">
        <v>8</v>
      </c>
      <c r="BK22" s="24">
        <v>8</v>
      </c>
      <c r="BL22" s="24">
        <v>8</v>
      </c>
      <c r="BM22" s="24">
        <v>8</v>
      </c>
      <c r="BN22" s="24">
        <v>8</v>
      </c>
      <c r="BO22" s="24">
        <v>8</v>
      </c>
      <c r="BP22" s="24">
        <v>8</v>
      </c>
      <c r="BQ22" s="24">
        <v>8</v>
      </c>
      <c r="BR22" s="24">
        <v>8</v>
      </c>
      <c r="BS22" s="24">
        <v>8</v>
      </c>
      <c r="BT22" s="24">
        <v>8</v>
      </c>
      <c r="BU22" s="24">
        <v>8</v>
      </c>
      <c r="BV22" s="24">
        <v>8</v>
      </c>
      <c r="BW22" s="24">
        <v>8</v>
      </c>
      <c r="BX22" s="24">
        <v>8</v>
      </c>
      <c r="BY22" s="24">
        <v>8</v>
      </c>
      <c r="BZ22" s="24">
        <v>8</v>
      </c>
      <c r="CA22" s="24">
        <v>8</v>
      </c>
      <c r="CB22" s="24">
        <v>8</v>
      </c>
      <c r="CC22" s="24">
        <v>0</v>
      </c>
      <c r="CD22" s="24">
        <v>8</v>
      </c>
      <c r="CE22" s="24">
        <v>8</v>
      </c>
      <c r="CF22" s="24">
        <v>8</v>
      </c>
      <c r="CG22" s="24">
        <v>8</v>
      </c>
      <c r="CH22" s="24">
        <v>8</v>
      </c>
      <c r="CI22" s="24">
        <v>8</v>
      </c>
      <c r="CJ22" s="24">
        <v>8</v>
      </c>
      <c r="CK22" s="24">
        <v>8</v>
      </c>
      <c r="CL22" s="24">
        <v>8</v>
      </c>
      <c r="CM22" s="24">
        <v>8</v>
      </c>
      <c r="CN22" s="24">
        <v>8</v>
      </c>
      <c r="CO22" s="24">
        <v>8</v>
      </c>
      <c r="CP22" s="24">
        <v>8</v>
      </c>
      <c r="CQ22" s="24">
        <v>0</v>
      </c>
      <c r="CR22" s="24">
        <v>8</v>
      </c>
      <c r="CS22" s="24">
        <v>8</v>
      </c>
      <c r="CT22" s="24">
        <v>8</v>
      </c>
      <c r="CU22" s="24">
        <v>8</v>
      </c>
      <c r="CV22" s="24">
        <v>8</v>
      </c>
      <c r="CW22" s="24">
        <v>8</v>
      </c>
      <c r="CX22" s="23" t="s">
        <v>86</v>
      </c>
    </row>
    <row r="23" spans="1:102" x14ac:dyDescent="0.25">
      <c r="A23" s="23" t="s">
        <v>37</v>
      </c>
      <c r="F23" s="23" t="s">
        <v>38</v>
      </c>
      <c r="L23" s="25">
        <v>0</v>
      </c>
      <c r="M23" s="25">
        <v>0</v>
      </c>
      <c r="N23" s="25">
        <v>0</v>
      </c>
      <c r="O23" s="25">
        <v>9</v>
      </c>
      <c r="P23" s="25">
        <v>9</v>
      </c>
      <c r="Q23" s="25">
        <v>0</v>
      </c>
      <c r="R23" s="25">
        <v>0</v>
      </c>
      <c r="S23" s="25">
        <v>9</v>
      </c>
      <c r="T23" s="25">
        <v>9</v>
      </c>
      <c r="U23" s="25">
        <v>9</v>
      </c>
      <c r="V23" s="25">
        <v>9</v>
      </c>
      <c r="W23" s="25">
        <v>9</v>
      </c>
      <c r="X23" s="25">
        <v>0</v>
      </c>
      <c r="Y23" s="25">
        <v>0</v>
      </c>
      <c r="Z23" s="25">
        <v>9</v>
      </c>
      <c r="AA23" s="25">
        <v>9</v>
      </c>
      <c r="AB23" s="25">
        <v>9</v>
      </c>
      <c r="AC23" s="25">
        <v>9</v>
      </c>
      <c r="AD23" s="25">
        <v>9</v>
      </c>
      <c r="AE23" s="25">
        <v>0</v>
      </c>
      <c r="AF23" s="25">
        <v>0</v>
      </c>
      <c r="AG23" s="25">
        <v>9</v>
      </c>
      <c r="AH23" s="25">
        <v>9</v>
      </c>
      <c r="AI23" s="25">
        <v>9</v>
      </c>
      <c r="AJ23" s="25">
        <v>9</v>
      </c>
      <c r="AK23" s="25">
        <v>9</v>
      </c>
      <c r="AL23" s="25">
        <v>0</v>
      </c>
      <c r="AM23" s="25">
        <v>0</v>
      </c>
      <c r="AN23" s="25">
        <v>8</v>
      </c>
      <c r="AO23" s="25">
        <v>8</v>
      </c>
      <c r="AP23" s="25">
        <v>8</v>
      </c>
      <c r="AQ23" s="25">
        <v>8</v>
      </c>
      <c r="AR23" s="25">
        <v>8</v>
      </c>
      <c r="AS23" s="25">
        <v>0</v>
      </c>
      <c r="AT23" s="25">
        <v>0</v>
      </c>
      <c r="AU23" s="25">
        <v>8</v>
      </c>
      <c r="AV23" s="25">
        <v>8</v>
      </c>
      <c r="AW23" s="25">
        <v>8</v>
      </c>
      <c r="AX23" s="25">
        <v>8</v>
      </c>
      <c r="AY23" s="25">
        <v>8</v>
      </c>
      <c r="AZ23" s="25">
        <v>0</v>
      </c>
      <c r="BA23" s="25">
        <v>0</v>
      </c>
      <c r="BB23" s="25">
        <v>8</v>
      </c>
      <c r="BC23" s="25">
        <v>8</v>
      </c>
      <c r="BD23" s="25">
        <v>8</v>
      </c>
      <c r="BE23" s="25">
        <v>8</v>
      </c>
      <c r="BF23" s="25">
        <v>8</v>
      </c>
      <c r="BG23" s="25">
        <v>0</v>
      </c>
      <c r="BH23" s="25">
        <v>0</v>
      </c>
      <c r="BI23" s="25">
        <v>13</v>
      </c>
      <c r="BJ23" s="25">
        <v>13</v>
      </c>
      <c r="BK23" s="25">
        <v>13</v>
      </c>
      <c r="BL23" s="25">
        <v>13</v>
      </c>
      <c r="BM23" s="25">
        <v>13</v>
      </c>
      <c r="BN23" s="25">
        <v>13</v>
      </c>
      <c r="BO23" s="25">
        <v>13</v>
      </c>
      <c r="BP23" s="25">
        <v>13</v>
      </c>
      <c r="BQ23" s="25">
        <v>13</v>
      </c>
      <c r="BR23" s="25">
        <v>13</v>
      </c>
      <c r="BS23" s="25">
        <v>13</v>
      </c>
      <c r="BT23" s="25">
        <v>13</v>
      </c>
      <c r="BU23" s="25">
        <v>13</v>
      </c>
      <c r="BV23" s="25">
        <v>13</v>
      </c>
      <c r="BW23" s="25">
        <v>13</v>
      </c>
      <c r="BX23" s="25">
        <v>13</v>
      </c>
      <c r="BY23" s="25">
        <v>13</v>
      </c>
      <c r="BZ23" s="25">
        <v>13</v>
      </c>
      <c r="CA23" s="25">
        <v>13</v>
      </c>
      <c r="CB23" s="25">
        <v>13</v>
      </c>
      <c r="CC23" s="25">
        <v>0</v>
      </c>
      <c r="CD23" s="25">
        <v>13</v>
      </c>
      <c r="CE23" s="25">
        <v>13</v>
      </c>
      <c r="CF23" s="25">
        <v>13</v>
      </c>
      <c r="CG23" s="25">
        <v>13</v>
      </c>
      <c r="CH23" s="25">
        <v>13</v>
      </c>
      <c r="CI23" s="25">
        <v>13</v>
      </c>
      <c r="CJ23" s="25">
        <v>13</v>
      </c>
      <c r="CK23" s="25">
        <v>13</v>
      </c>
      <c r="CL23" s="25">
        <v>13</v>
      </c>
      <c r="CM23" s="25">
        <v>13</v>
      </c>
      <c r="CN23" s="25">
        <v>13</v>
      </c>
      <c r="CO23" s="25">
        <v>13</v>
      </c>
      <c r="CP23" s="25">
        <v>13</v>
      </c>
      <c r="CQ23" s="25">
        <v>0</v>
      </c>
      <c r="CR23" s="25">
        <v>13</v>
      </c>
      <c r="CS23" s="25">
        <v>13</v>
      </c>
      <c r="CT23" s="25">
        <v>13</v>
      </c>
      <c r="CU23" s="25">
        <v>13</v>
      </c>
      <c r="CV23" s="25">
        <v>13</v>
      </c>
      <c r="CW23" s="25">
        <v>13</v>
      </c>
      <c r="CX23" s="23" t="s">
        <v>86</v>
      </c>
    </row>
    <row r="24" spans="2:102" x14ac:dyDescent="0.25">
      <c r="B24" s="26">
        <f>SUM(L24:CW24)</f>
      </c>
      <c r="D24" s="27">
        <f>B24*E24</f>
      </c>
      <c r="E24" s="27">
        <f>'Rate Tables'!C23</f>
      </c>
      <c r="F24" s="8" t="s">
        <v>39</v>
      </c>
      <c r="L24" s="26">
        <f>IF(L$6="","",IF(OR(WEEKDAY(L$6,1)=1,WEEKDAY(L$6,1)=7),0,MIN(8,L23)*L22))</f>
      </c>
      <c r="M24" s="26">
        <f>IF(M$6="","",IF(OR(WEEKDAY(M$6,1)=1,WEEKDAY(M$6,1)=7),0,MIN(8,M23)*M22))</f>
      </c>
      <c r="N24" s="26">
        <f>IF(N$6="","",IF(OR(WEEKDAY(N$6,1)=1,WEEKDAY(N$6,1)=7),0,MIN(8,N23)*N22))</f>
      </c>
      <c r="O24" s="26">
        <f>IF(O$6="","",IF(OR(WEEKDAY(O$6,1)=1,WEEKDAY(O$6,1)=7),0,MIN(8,O23)*O22))</f>
      </c>
      <c r="P24" s="26">
        <f>IF(P$6="","",IF(OR(WEEKDAY(P$6,1)=1,WEEKDAY(P$6,1)=7),0,MIN(8,P23)*P22))</f>
      </c>
      <c r="Q24" s="26">
        <f>IF(Q$6="","",IF(OR(WEEKDAY(Q$6,1)=1,WEEKDAY(Q$6,1)=7),0,MIN(8,Q23)*Q22))</f>
      </c>
      <c r="R24" s="26">
        <f>IF(R$6="","",IF(OR(WEEKDAY(R$6,1)=1,WEEKDAY(R$6,1)=7),0,MIN(8,R23)*R22))</f>
      </c>
      <c r="S24" s="26">
        <f>IF(S$6="","",IF(OR(WEEKDAY(S$6,1)=1,WEEKDAY(S$6,1)=7),0,MIN(8,S23)*S22))</f>
      </c>
      <c r="T24" s="26">
        <f>IF(T$6="","",IF(OR(WEEKDAY(T$6,1)=1,WEEKDAY(T$6,1)=7),0,MIN(8,T23)*T22))</f>
      </c>
      <c r="U24" s="26">
        <f>IF(U$6="","",IF(OR(WEEKDAY(U$6,1)=1,WEEKDAY(U$6,1)=7),0,MIN(8,U23)*U22))</f>
      </c>
      <c r="V24" s="26">
        <f>IF(V$6="","",IF(OR(WEEKDAY(V$6,1)=1,WEEKDAY(V$6,1)=7),0,MIN(8,V23)*V22))</f>
      </c>
      <c r="W24" s="26">
        <f>IF(W$6="","",IF(OR(WEEKDAY(W$6,1)=1,WEEKDAY(W$6,1)=7),0,MIN(8,W23)*W22))</f>
      </c>
      <c r="X24" s="26">
        <f>IF(X$6="","",IF(OR(WEEKDAY(X$6,1)=1,WEEKDAY(X$6,1)=7),0,MIN(8,X23)*X22))</f>
      </c>
      <c r="Y24" s="26">
        <f>IF(Y$6="","",IF(OR(WEEKDAY(Y$6,1)=1,WEEKDAY(Y$6,1)=7),0,MIN(8,Y23)*Y22))</f>
      </c>
      <c r="Z24" s="26">
        <f>IF(Z$6="","",IF(OR(WEEKDAY(Z$6,1)=1,WEEKDAY(Z$6,1)=7),0,MIN(8,Z23)*Z22))</f>
      </c>
      <c r="AA24" s="26">
        <f>IF(AA$6="","",IF(OR(WEEKDAY(AA$6,1)=1,WEEKDAY(AA$6,1)=7),0,MIN(8,AA23)*AA22))</f>
      </c>
      <c r="AB24" s="26">
        <f>IF(AB$6="","",IF(OR(WEEKDAY(AB$6,1)=1,WEEKDAY(AB$6,1)=7),0,MIN(8,AB23)*AB22))</f>
      </c>
      <c r="AC24" s="26">
        <f>IF(AC$6="","",IF(OR(WEEKDAY(AC$6,1)=1,WEEKDAY(AC$6,1)=7),0,MIN(8,AC23)*AC22))</f>
      </c>
      <c r="AD24" s="26">
        <f>IF(AD$6="","",IF(OR(WEEKDAY(AD$6,1)=1,WEEKDAY(AD$6,1)=7),0,MIN(8,AD23)*AD22))</f>
      </c>
      <c r="AE24" s="26">
        <f>IF(AE$6="","",IF(OR(WEEKDAY(AE$6,1)=1,WEEKDAY(AE$6,1)=7),0,MIN(8,AE23)*AE22))</f>
      </c>
      <c r="AF24" s="26">
        <f>IF(AF$6="","",IF(OR(WEEKDAY(AF$6,1)=1,WEEKDAY(AF$6,1)=7),0,MIN(8,AF23)*AF22))</f>
      </c>
      <c r="AG24" s="26">
        <f>IF(AG$6="","",IF(OR(WEEKDAY(AG$6,1)=1,WEEKDAY(AG$6,1)=7),0,MIN(8,AG23)*AG22))</f>
      </c>
      <c r="AH24" s="26">
        <f>IF(AH$6="","",IF(OR(WEEKDAY(AH$6,1)=1,WEEKDAY(AH$6,1)=7),0,MIN(8,AH23)*AH22))</f>
      </c>
      <c r="AI24" s="26">
        <f>IF(AI$6="","",IF(OR(WEEKDAY(AI$6,1)=1,WEEKDAY(AI$6,1)=7),0,MIN(8,AI23)*AI22))</f>
      </c>
      <c r="AJ24" s="26">
        <f>IF(AJ$6="","",IF(OR(WEEKDAY(AJ$6,1)=1,WEEKDAY(AJ$6,1)=7),0,MIN(8,AJ23)*AJ22))</f>
      </c>
      <c r="AK24" s="26">
        <f>IF(AK$6="","",IF(OR(WEEKDAY(AK$6,1)=1,WEEKDAY(AK$6,1)=7),0,MIN(8,AK23)*AK22))</f>
      </c>
      <c r="AL24" s="26">
        <f>IF(AL$6="","",IF(OR(WEEKDAY(AL$6,1)=1,WEEKDAY(AL$6,1)=7),0,MIN(8,AL23)*AL22))</f>
      </c>
      <c r="AM24" s="26">
        <f>IF(AM$6="","",IF(OR(WEEKDAY(AM$6,1)=1,WEEKDAY(AM$6,1)=7),0,MIN(8,AM23)*AM22))</f>
      </c>
      <c r="AN24" s="26">
        <f>IF(AN$6="","",IF(OR(WEEKDAY(AN$6,1)=1,WEEKDAY(AN$6,1)=7),0,MIN(8,AN23)*AN22))</f>
      </c>
      <c r="AO24" s="26">
        <f>IF(AO$6="","",IF(OR(WEEKDAY(AO$6,1)=1,WEEKDAY(AO$6,1)=7),0,MIN(8,AO23)*AO22))</f>
      </c>
      <c r="AP24" s="26">
        <f>IF(AP$6="","",IF(OR(WEEKDAY(AP$6,1)=1,WEEKDAY(AP$6,1)=7),0,MIN(8,AP23)*AP22))</f>
      </c>
      <c r="AQ24" s="26">
        <f>IF(AQ$6="","",IF(OR(WEEKDAY(AQ$6,1)=1,WEEKDAY(AQ$6,1)=7),0,MIN(8,AQ23)*AQ22))</f>
      </c>
      <c r="AR24" s="26">
        <f>IF(AR$6="","",IF(OR(WEEKDAY(AR$6,1)=1,WEEKDAY(AR$6,1)=7),0,MIN(8,AR23)*AR22))</f>
      </c>
      <c r="AS24" s="26">
        <f>IF(AS$6="","",IF(OR(WEEKDAY(AS$6,1)=1,WEEKDAY(AS$6,1)=7),0,MIN(8,AS23)*AS22))</f>
      </c>
      <c r="AT24" s="26">
        <f>IF(AT$6="","",IF(OR(WEEKDAY(AT$6,1)=1,WEEKDAY(AT$6,1)=7),0,MIN(8,AT23)*AT22))</f>
      </c>
      <c r="AU24" s="26">
        <f>IF(AU$6="","",IF(OR(WEEKDAY(AU$6,1)=1,WEEKDAY(AU$6,1)=7),0,MIN(8,AU23)*AU22))</f>
      </c>
      <c r="AV24" s="26">
        <f>IF(AV$6="","",IF(OR(WEEKDAY(AV$6,1)=1,WEEKDAY(AV$6,1)=7),0,MIN(8,AV23)*AV22))</f>
      </c>
      <c r="AW24" s="26">
        <f>IF(AW$6="","",IF(OR(WEEKDAY(AW$6,1)=1,WEEKDAY(AW$6,1)=7),0,MIN(8,AW23)*AW22))</f>
      </c>
      <c r="AX24" s="26">
        <f>IF(AX$6="","",IF(OR(WEEKDAY(AX$6,1)=1,WEEKDAY(AX$6,1)=7),0,MIN(8,AX23)*AX22))</f>
      </c>
      <c r="AY24" s="26">
        <f>IF(AY$6="","",IF(OR(WEEKDAY(AY$6,1)=1,WEEKDAY(AY$6,1)=7),0,MIN(8,AY23)*AY22))</f>
      </c>
      <c r="AZ24" s="26">
        <f>IF(AZ$6="","",IF(OR(WEEKDAY(AZ$6,1)=1,WEEKDAY(AZ$6,1)=7),0,MIN(8,AZ23)*AZ22))</f>
      </c>
      <c r="BA24" s="26">
        <f>IF(BA$6="","",IF(OR(WEEKDAY(BA$6,1)=1,WEEKDAY(BA$6,1)=7),0,MIN(8,BA23)*BA22))</f>
      </c>
      <c r="BB24" s="26">
        <f>IF(BB$6="","",IF(OR(WEEKDAY(BB$6,1)=1,WEEKDAY(BB$6,1)=7),0,MIN(8,BB23)*BB22))</f>
      </c>
      <c r="BC24" s="26">
        <f>IF(BC$6="","",IF(OR(WEEKDAY(BC$6,1)=1,WEEKDAY(BC$6,1)=7),0,MIN(8,BC23)*BC22))</f>
      </c>
      <c r="BD24" s="26">
        <f>IF(BD$6="","",IF(OR(WEEKDAY(BD$6,1)=1,WEEKDAY(BD$6,1)=7),0,MIN(8,BD23)*BD22))</f>
      </c>
      <c r="BE24" s="26">
        <f>IF(BE$6="","",IF(OR(WEEKDAY(BE$6,1)=1,WEEKDAY(BE$6,1)=7),0,MIN(8,BE23)*BE22))</f>
      </c>
      <c r="BF24" s="26">
        <f>IF(BF$6="","",IF(OR(WEEKDAY(BF$6,1)=1,WEEKDAY(BF$6,1)=7),0,MIN(8,BF23)*BF22))</f>
      </c>
      <c r="BG24" s="26">
        <f>IF(BG$6="","",IF(OR(WEEKDAY(BG$6,1)=1,WEEKDAY(BG$6,1)=7),0,MIN(8,BG23)*BG22))</f>
      </c>
      <c r="BH24" s="26">
        <f>IF(BH$6="","",IF(OR(WEEKDAY(BH$6,1)=1,WEEKDAY(BH$6,1)=7),0,MIN(8,BH23)*BH22))</f>
      </c>
      <c r="BI24" s="26">
        <f>IF(BI$6="","",IF(OR(WEEKDAY(BI$6,1)=1,WEEKDAY(BI$6,1)=7),0,MIN(8,BI23)*BI22))</f>
      </c>
      <c r="BJ24" s="26">
        <f>IF(BJ$6="","",IF(OR(WEEKDAY(BJ$6,1)=1,WEEKDAY(BJ$6,1)=7),0,MIN(8,BJ23)*BJ22))</f>
      </c>
      <c r="BK24" s="26">
        <f>IF(BK$6="","",IF(OR(WEEKDAY(BK$6,1)=1,WEEKDAY(BK$6,1)=7),0,MIN(8,BK23)*BK22))</f>
      </c>
      <c r="BL24" s="26">
        <f>IF(BL$6="","",IF(OR(WEEKDAY(BL$6,1)=1,WEEKDAY(BL$6,1)=7),0,MIN(8,BL23)*BL22))</f>
      </c>
      <c r="BM24" s="26">
        <f>IF(BM$6="","",IF(OR(WEEKDAY(BM$6,1)=1,WEEKDAY(BM$6,1)=7),0,MIN(8,BM23)*BM22))</f>
      </c>
      <c r="BN24" s="26">
        <f>IF(BN$6="","",IF(OR(WEEKDAY(BN$6,1)=1,WEEKDAY(BN$6,1)=7),0,MIN(8,BN23)*BN22))</f>
      </c>
      <c r="BO24" s="26">
        <f>IF(BO$6="","",IF(OR(WEEKDAY(BO$6,1)=1,WEEKDAY(BO$6,1)=7),0,MIN(8,BO23)*BO22))</f>
      </c>
      <c r="BP24" s="26">
        <f>IF(BP$6="","",IF(OR(WEEKDAY(BP$6,1)=1,WEEKDAY(BP$6,1)=7),0,MIN(8,BP23)*BP22))</f>
      </c>
      <c r="BQ24" s="26">
        <f>IF(BQ$6="","",IF(OR(WEEKDAY(BQ$6,1)=1,WEEKDAY(BQ$6,1)=7),0,MIN(8,BQ23)*BQ22))</f>
      </c>
      <c r="BR24" s="26">
        <f>IF(BR$6="","",IF(OR(WEEKDAY(BR$6,1)=1,WEEKDAY(BR$6,1)=7),0,MIN(8,BR23)*BR22))</f>
      </c>
      <c r="BS24" s="26">
        <f>IF(BS$6="","",IF(OR(WEEKDAY(BS$6,1)=1,WEEKDAY(BS$6,1)=7),0,MIN(8,BS23)*BS22))</f>
      </c>
      <c r="BT24" s="26">
        <f>IF(BT$6="","",IF(OR(WEEKDAY(BT$6,1)=1,WEEKDAY(BT$6,1)=7),0,MIN(8,BT23)*BT22))</f>
      </c>
      <c r="BU24" s="26">
        <f>IF(BU$6="","",IF(OR(WEEKDAY(BU$6,1)=1,WEEKDAY(BU$6,1)=7),0,MIN(8,BU23)*BU22))</f>
      </c>
      <c r="BV24" s="26">
        <f>IF(BV$6="","",IF(OR(WEEKDAY(BV$6,1)=1,WEEKDAY(BV$6,1)=7),0,MIN(8,BV23)*BV22))</f>
      </c>
      <c r="BW24" s="26">
        <f>IF(BW$6="","",IF(OR(WEEKDAY(BW$6,1)=1,WEEKDAY(BW$6,1)=7),0,MIN(8,BW23)*BW22))</f>
      </c>
      <c r="BX24" s="26">
        <f>IF(BX$6="","",IF(OR(WEEKDAY(BX$6,1)=1,WEEKDAY(BX$6,1)=7),0,MIN(8,BX23)*BX22))</f>
      </c>
      <c r="BY24" s="26">
        <f>IF(BY$6="","",IF(OR(WEEKDAY(BY$6,1)=1,WEEKDAY(BY$6,1)=7),0,MIN(8,BY23)*BY22))</f>
      </c>
      <c r="BZ24" s="26">
        <f>IF(BZ$6="","",IF(OR(WEEKDAY(BZ$6,1)=1,WEEKDAY(BZ$6,1)=7),0,MIN(8,BZ23)*BZ22))</f>
      </c>
      <c r="CA24" s="26">
        <f>IF(CA$6="","",IF(OR(WEEKDAY(CA$6,1)=1,WEEKDAY(CA$6,1)=7),0,MIN(8,CA23)*CA22))</f>
      </c>
      <c r="CB24" s="26">
        <f>IF(CB$6="","",IF(OR(WEEKDAY(CB$6,1)=1,WEEKDAY(CB$6,1)=7),0,MIN(8,CB23)*CB22))</f>
      </c>
      <c r="CC24" s="26">
        <f>IF(CC$6="","",IF(OR(WEEKDAY(CC$6,1)=1,WEEKDAY(CC$6,1)=7),0,MIN(8,CC23)*CC22))</f>
      </c>
      <c r="CD24" s="26">
        <f>IF(CD$6="","",IF(OR(WEEKDAY(CD$6,1)=1,WEEKDAY(CD$6,1)=7),0,MIN(8,CD23)*CD22))</f>
      </c>
      <c r="CE24" s="26">
        <f>IF(CE$6="","",IF(OR(WEEKDAY(CE$6,1)=1,WEEKDAY(CE$6,1)=7),0,MIN(8,CE23)*CE22))</f>
      </c>
      <c r="CF24" s="26">
        <f>IF(CF$6="","",IF(OR(WEEKDAY(CF$6,1)=1,WEEKDAY(CF$6,1)=7),0,MIN(8,CF23)*CF22))</f>
      </c>
      <c r="CG24" s="26">
        <f>IF(CG$6="","",IF(OR(WEEKDAY(CG$6,1)=1,WEEKDAY(CG$6,1)=7),0,MIN(8,CG23)*CG22))</f>
      </c>
      <c r="CH24" s="26">
        <f>IF(CH$6="","",IF(OR(WEEKDAY(CH$6,1)=1,WEEKDAY(CH$6,1)=7),0,MIN(8,CH23)*CH22))</f>
      </c>
      <c r="CI24" s="26">
        <f>IF(CI$6="","",IF(OR(WEEKDAY(CI$6,1)=1,WEEKDAY(CI$6,1)=7),0,MIN(8,CI23)*CI22))</f>
      </c>
      <c r="CJ24" s="26">
        <f>IF(CJ$6="","",IF(OR(WEEKDAY(CJ$6,1)=1,WEEKDAY(CJ$6,1)=7),0,MIN(8,CJ23)*CJ22))</f>
      </c>
      <c r="CK24" s="26">
        <f>IF(CK$6="","",IF(OR(WEEKDAY(CK$6,1)=1,WEEKDAY(CK$6,1)=7),0,MIN(8,CK23)*CK22))</f>
      </c>
      <c r="CL24" s="26">
        <f>IF(CL$6="","",IF(OR(WEEKDAY(CL$6,1)=1,WEEKDAY(CL$6,1)=7),0,MIN(8,CL23)*CL22))</f>
      </c>
      <c r="CM24" s="26">
        <f>IF(CM$6="","",IF(OR(WEEKDAY(CM$6,1)=1,WEEKDAY(CM$6,1)=7),0,MIN(8,CM23)*CM22))</f>
      </c>
      <c r="CN24" s="26">
        <f>IF(CN$6="","",IF(OR(WEEKDAY(CN$6,1)=1,WEEKDAY(CN$6,1)=7),0,MIN(8,CN23)*CN22))</f>
      </c>
      <c r="CO24" s="26">
        <f>IF(CO$6="","",IF(OR(WEEKDAY(CO$6,1)=1,WEEKDAY(CO$6,1)=7),0,MIN(8,CO23)*CO22))</f>
      </c>
      <c r="CP24" s="26">
        <f>IF(CP$6="","",IF(OR(WEEKDAY(CP$6,1)=1,WEEKDAY(CP$6,1)=7),0,MIN(8,CP23)*CP22))</f>
      </c>
      <c r="CQ24" s="26">
        <f>IF(CQ$6="","",IF(OR(WEEKDAY(CQ$6,1)=1,WEEKDAY(CQ$6,1)=7),0,MIN(8,CQ23)*CQ22))</f>
      </c>
      <c r="CR24" s="26">
        <f>IF(CR$6="","",IF(OR(WEEKDAY(CR$6,1)=1,WEEKDAY(CR$6,1)=7),0,MIN(8,CR23)*CR22))</f>
      </c>
      <c r="CS24" s="26">
        <f>IF(CS$6="","",IF(OR(WEEKDAY(CS$6,1)=1,WEEKDAY(CS$6,1)=7),0,MIN(8,CS23)*CS22))</f>
      </c>
      <c r="CT24" s="26">
        <f>IF(CT$6="","",IF(OR(WEEKDAY(CT$6,1)=1,WEEKDAY(CT$6,1)=7),0,MIN(8,CT23)*CT22))</f>
      </c>
      <c r="CU24" s="26">
        <f>IF(CU$6="","",IF(OR(WEEKDAY(CU$6,1)=1,WEEKDAY(CU$6,1)=7),0,MIN(8,CU23)*CU22))</f>
      </c>
      <c r="CV24" s="26">
        <f>IF(CV$6="","",IF(OR(WEEKDAY(CV$6,1)=1,WEEKDAY(CV$6,1)=7),0,MIN(8,CV23)*CV22))</f>
      </c>
      <c r="CW24" s="26">
        <f>IF(CW$6="","",IF(OR(WEEKDAY(CW$6,1)=1,WEEKDAY(CW$6,1)=7),0,MIN(8,CW23)*CW22))</f>
      </c>
      <c r="CX24" s="8" t="s">
        <v>86</v>
      </c>
    </row>
    <row r="25" spans="2:102" x14ac:dyDescent="0.25">
      <c r="B25" s="26">
        <f>SUM(L25:CW25)</f>
      </c>
      <c r="D25" s="27">
        <f>B25*E25</f>
      </c>
      <c r="E25" s="27">
        <f>'Rate Tables'!D23</f>
      </c>
      <c r="F25" s="8" t="s">
        <v>40</v>
      </c>
      <c r="L25" s="26">
        <f>IF(L$6="","",IF(WEEKDAY(L$6,1)=1,0,IF(WEEKDAY(L$6,1)=7,L23*L22,MAX(0,L23-8)*L22)))</f>
      </c>
      <c r="M25" s="26">
        <f>IF(M$6="","",IF(WEEKDAY(M$6,1)=1,0,IF(WEEKDAY(M$6,1)=7,M23*M22,MAX(0,M23-8)*M22)))</f>
      </c>
      <c r="N25" s="26">
        <f>IF(N$6="","",IF(WEEKDAY(N$6,1)=1,0,IF(WEEKDAY(N$6,1)=7,N23*N22,MAX(0,N23-8)*N22)))</f>
      </c>
      <c r="O25" s="26">
        <f>IF(O$6="","",IF(WEEKDAY(O$6,1)=1,0,IF(WEEKDAY(O$6,1)=7,O23*O22,MAX(0,O23-8)*O22)))</f>
      </c>
      <c r="P25" s="26">
        <f>IF(P$6="","",IF(WEEKDAY(P$6,1)=1,0,IF(WEEKDAY(P$6,1)=7,P23*P22,MAX(0,P23-8)*P22)))</f>
      </c>
      <c r="Q25" s="26">
        <f>IF(Q$6="","",IF(WEEKDAY(Q$6,1)=1,0,IF(WEEKDAY(Q$6,1)=7,Q23*Q22,MAX(0,Q23-8)*Q22)))</f>
      </c>
      <c r="R25" s="26">
        <f>IF(R$6="","",IF(WEEKDAY(R$6,1)=1,0,IF(WEEKDAY(R$6,1)=7,R23*R22,MAX(0,R23-8)*R22)))</f>
      </c>
      <c r="S25" s="26">
        <f>IF(S$6="","",IF(WEEKDAY(S$6,1)=1,0,IF(WEEKDAY(S$6,1)=7,S23*S22,MAX(0,S23-8)*S22)))</f>
      </c>
      <c r="T25" s="26">
        <f>IF(T$6="","",IF(WEEKDAY(T$6,1)=1,0,IF(WEEKDAY(T$6,1)=7,T23*T22,MAX(0,T23-8)*T22)))</f>
      </c>
      <c r="U25" s="26">
        <f>IF(U$6="","",IF(WEEKDAY(U$6,1)=1,0,IF(WEEKDAY(U$6,1)=7,U23*U22,MAX(0,U23-8)*U22)))</f>
      </c>
      <c r="V25" s="26">
        <f>IF(V$6="","",IF(WEEKDAY(V$6,1)=1,0,IF(WEEKDAY(V$6,1)=7,V23*V22,MAX(0,V23-8)*V22)))</f>
      </c>
      <c r="W25" s="26">
        <f>IF(W$6="","",IF(WEEKDAY(W$6,1)=1,0,IF(WEEKDAY(W$6,1)=7,W23*W22,MAX(0,W23-8)*W22)))</f>
      </c>
      <c r="X25" s="26">
        <f>IF(X$6="","",IF(WEEKDAY(X$6,1)=1,0,IF(WEEKDAY(X$6,1)=7,X23*X22,MAX(0,X23-8)*X22)))</f>
      </c>
      <c r="Y25" s="26">
        <f>IF(Y$6="","",IF(WEEKDAY(Y$6,1)=1,0,IF(WEEKDAY(Y$6,1)=7,Y23*Y22,MAX(0,Y23-8)*Y22)))</f>
      </c>
      <c r="Z25" s="26">
        <f>IF(Z$6="","",IF(WEEKDAY(Z$6,1)=1,0,IF(WEEKDAY(Z$6,1)=7,Z23*Z22,MAX(0,Z23-8)*Z22)))</f>
      </c>
      <c r="AA25" s="26">
        <f>IF(AA$6="","",IF(WEEKDAY(AA$6,1)=1,0,IF(WEEKDAY(AA$6,1)=7,AA23*AA22,MAX(0,AA23-8)*AA22)))</f>
      </c>
      <c r="AB25" s="26">
        <f>IF(AB$6="","",IF(WEEKDAY(AB$6,1)=1,0,IF(WEEKDAY(AB$6,1)=7,AB23*AB22,MAX(0,AB23-8)*AB22)))</f>
      </c>
      <c r="AC25" s="26">
        <f>IF(AC$6="","",IF(WEEKDAY(AC$6,1)=1,0,IF(WEEKDAY(AC$6,1)=7,AC23*AC22,MAX(0,AC23-8)*AC22)))</f>
      </c>
      <c r="AD25" s="26">
        <f>IF(AD$6="","",IF(WEEKDAY(AD$6,1)=1,0,IF(WEEKDAY(AD$6,1)=7,AD23*AD22,MAX(0,AD23-8)*AD22)))</f>
      </c>
      <c r="AE25" s="26">
        <f>IF(AE$6="","",IF(WEEKDAY(AE$6,1)=1,0,IF(WEEKDAY(AE$6,1)=7,AE23*AE22,MAX(0,AE23-8)*AE22)))</f>
      </c>
      <c r="AF25" s="26">
        <f>IF(AF$6="","",IF(WEEKDAY(AF$6,1)=1,0,IF(WEEKDAY(AF$6,1)=7,AF23*AF22,MAX(0,AF23-8)*AF22)))</f>
      </c>
      <c r="AG25" s="26">
        <f>IF(AG$6="","",IF(WEEKDAY(AG$6,1)=1,0,IF(WEEKDAY(AG$6,1)=7,AG23*AG22,MAX(0,AG23-8)*AG22)))</f>
      </c>
      <c r="AH25" s="26">
        <f>IF(AH$6="","",IF(WEEKDAY(AH$6,1)=1,0,IF(WEEKDAY(AH$6,1)=7,AH23*AH22,MAX(0,AH23-8)*AH22)))</f>
      </c>
      <c r="AI25" s="26">
        <f>IF(AI$6="","",IF(WEEKDAY(AI$6,1)=1,0,IF(WEEKDAY(AI$6,1)=7,AI23*AI22,MAX(0,AI23-8)*AI22)))</f>
      </c>
      <c r="AJ25" s="26">
        <f>IF(AJ$6="","",IF(WEEKDAY(AJ$6,1)=1,0,IF(WEEKDAY(AJ$6,1)=7,AJ23*AJ22,MAX(0,AJ23-8)*AJ22)))</f>
      </c>
      <c r="AK25" s="26">
        <f>IF(AK$6="","",IF(WEEKDAY(AK$6,1)=1,0,IF(WEEKDAY(AK$6,1)=7,AK23*AK22,MAX(0,AK23-8)*AK22)))</f>
      </c>
      <c r="AL25" s="26">
        <f>IF(AL$6="","",IF(WEEKDAY(AL$6,1)=1,0,IF(WEEKDAY(AL$6,1)=7,AL23*AL22,MAX(0,AL23-8)*AL22)))</f>
      </c>
      <c r="AM25" s="26">
        <f>IF(AM$6="","",IF(WEEKDAY(AM$6,1)=1,0,IF(WEEKDAY(AM$6,1)=7,AM23*AM22,MAX(0,AM23-8)*AM22)))</f>
      </c>
      <c r="AN25" s="26">
        <f>IF(AN$6="","",IF(WEEKDAY(AN$6,1)=1,0,IF(WEEKDAY(AN$6,1)=7,AN23*AN22,MAX(0,AN23-8)*AN22)))</f>
      </c>
      <c r="AO25" s="26">
        <f>IF(AO$6="","",IF(WEEKDAY(AO$6,1)=1,0,IF(WEEKDAY(AO$6,1)=7,AO23*AO22,MAX(0,AO23-8)*AO22)))</f>
      </c>
      <c r="AP25" s="26">
        <f>IF(AP$6="","",IF(WEEKDAY(AP$6,1)=1,0,IF(WEEKDAY(AP$6,1)=7,AP23*AP22,MAX(0,AP23-8)*AP22)))</f>
      </c>
      <c r="AQ25" s="26">
        <f>IF(AQ$6="","",IF(WEEKDAY(AQ$6,1)=1,0,IF(WEEKDAY(AQ$6,1)=7,AQ23*AQ22,MAX(0,AQ23-8)*AQ22)))</f>
      </c>
      <c r="AR25" s="26">
        <f>IF(AR$6="","",IF(WEEKDAY(AR$6,1)=1,0,IF(WEEKDAY(AR$6,1)=7,AR23*AR22,MAX(0,AR23-8)*AR22)))</f>
      </c>
      <c r="AS25" s="26">
        <f>IF(AS$6="","",IF(WEEKDAY(AS$6,1)=1,0,IF(WEEKDAY(AS$6,1)=7,AS23*AS22,MAX(0,AS23-8)*AS22)))</f>
      </c>
      <c r="AT25" s="26">
        <f>IF(AT$6="","",IF(WEEKDAY(AT$6,1)=1,0,IF(WEEKDAY(AT$6,1)=7,AT23*AT22,MAX(0,AT23-8)*AT22)))</f>
      </c>
      <c r="AU25" s="26">
        <f>IF(AU$6="","",IF(WEEKDAY(AU$6,1)=1,0,IF(WEEKDAY(AU$6,1)=7,AU23*AU22,MAX(0,AU23-8)*AU22)))</f>
      </c>
      <c r="AV25" s="26">
        <f>IF(AV$6="","",IF(WEEKDAY(AV$6,1)=1,0,IF(WEEKDAY(AV$6,1)=7,AV23*AV22,MAX(0,AV23-8)*AV22)))</f>
      </c>
      <c r="AW25" s="26">
        <f>IF(AW$6="","",IF(WEEKDAY(AW$6,1)=1,0,IF(WEEKDAY(AW$6,1)=7,AW23*AW22,MAX(0,AW23-8)*AW22)))</f>
      </c>
      <c r="AX25" s="26">
        <f>IF(AX$6="","",IF(WEEKDAY(AX$6,1)=1,0,IF(WEEKDAY(AX$6,1)=7,AX23*AX22,MAX(0,AX23-8)*AX22)))</f>
      </c>
      <c r="AY25" s="26">
        <f>IF(AY$6="","",IF(WEEKDAY(AY$6,1)=1,0,IF(WEEKDAY(AY$6,1)=7,AY23*AY22,MAX(0,AY23-8)*AY22)))</f>
      </c>
      <c r="AZ25" s="26">
        <f>IF(AZ$6="","",IF(WEEKDAY(AZ$6,1)=1,0,IF(WEEKDAY(AZ$6,1)=7,AZ23*AZ22,MAX(0,AZ23-8)*AZ22)))</f>
      </c>
      <c r="BA25" s="26">
        <f>IF(BA$6="","",IF(WEEKDAY(BA$6,1)=1,0,IF(WEEKDAY(BA$6,1)=7,BA23*BA22,MAX(0,BA23-8)*BA22)))</f>
      </c>
      <c r="BB25" s="26">
        <f>IF(BB$6="","",IF(WEEKDAY(BB$6,1)=1,0,IF(WEEKDAY(BB$6,1)=7,BB23*BB22,MAX(0,BB23-8)*BB22)))</f>
      </c>
      <c r="BC25" s="26">
        <f>IF(BC$6="","",IF(WEEKDAY(BC$6,1)=1,0,IF(WEEKDAY(BC$6,1)=7,BC23*BC22,MAX(0,BC23-8)*BC22)))</f>
      </c>
      <c r="BD25" s="26">
        <f>IF(BD$6="","",IF(WEEKDAY(BD$6,1)=1,0,IF(WEEKDAY(BD$6,1)=7,BD23*BD22,MAX(0,BD23-8)*BD22)))</f>
      </c>
      <c r="BE25" s="26">
        <f>IF(BE$6="","",IF(WEEKDAY(BE$6,1)=1,0,IF(WEEKDAY(BE$6,1)=7,BE23*BE22,MAX(0,BE23-8)*BE22)))</f>
      </c>
      <c r="BF25" s="26">
        <f>IF(BF$6="","",IF(WEEKDAY(BF$6,1)=1,0,IF(WEEKDAY(BF$6,1)=7,BF23*BF22,MAX(0,BF23-8)*BF22)))</f>
      </c>
      <c r="BG25" s="26">
        <f>IF(BG$6="","",IF(WEEKDAY(BG$6,1)=1,0,IF(WEEKDAY(BG$6,1)=7,BG23*BG22,MAX(0,BG23-8)*BG22)))</f>
      </c>
      <c r="BH25" s="26">
        <f>IF(BH$6="","",IF(WEEKDAY(BH$6,1)=1,0,IF(WEEKDAY(BH$6,1)=7,BH23*BH22,MAX(0,BH23-8)*BH22)))</f>
      </c>
      <c r="BI25" s="26">
        <f>IF(BI$6="","",IF(WEEKDAY(BI$6,1)=1,0,IF(WEEKDAY(BI$6,1)=7,BI23*BI22,MAX(0,BI23-8)*BI22)))</f>
      </c>
      <c r="BJ25" s="26">
        <f>IF(BJ$6="","",IF(WEEKDAY(BJ$6,1)=1,0,IF(WEEKDAY(BJ$6,1)=7,BJ23*BJ22,MAX(0,BJ23-8)*BJ22)))</f>
      </c>
      <c r="BK25" s="26">
        <f>IF(BK$6="","",IF(WEEKDAY(BK$6,1)=1,0,IF(WEEKDAY(BK$6,1)=7,BK23*BK22,MAX(0,BK23-8)*BK22)))</f>
      </c>
      <c r="BL25" s="26">
        <f>IF(BL$6="","",IF(WEEKDAY(BL$6,1)=1,0,IF(WEEKDAY(BL$6,1)=7,BL23*BL22,MAX(0,BL23-8)*BL22)))</f>
      </c>
      <c r="BM25" s="26">
        <f>IF(BM$6="","",IF(WEEKDAY(BM$6,1)=1,0,IF(WEEKDAY(BM$6,1)=7,BM23*BM22,MAX(0,BM23-8)*BM22)))</f>
      </c>
      <c r="BN25" s="26">
        <f>IF(BN$6="","",IF(WEEKDAY(BN$6,1)=1,0,IF(WEEKDAY(BN$6,1)=7,BN23*BN22,MAX(0,BN23-8)*BN22)))</f>
      </c>
      <c r="BO25" s="26">
        <f>IF(BO$6="","",IF(WEEKDAY(BO$6,1)=1,0,IF(WEEKDAY(BO$6,1)=7,BO23*BO22,MAX(0,BO23-8)*BO22)))</f>
      </c>
      <c r="BP25" s="26">
        <f>IF(BP$6="","",IF(WEEKDAY(BP$6,1)=1,0,IF(WEEKDAY(BP$6,1)=7,BP23*BP22,MAX(0,BP23-8)*BP22)))</f>
      </c>
      <c r="BQ25" s="26">
        <f>IF(BQ$6="","",IF(WEEKDAY(BQ$6,1)=1,0,IF(WEEKDAY(BQ$6,1)=7,BQ23*BQ22,MAX(0,BQ23-8)*BQ22)))</f>
      </c>
      <c r="BR25" s="26">
        <f>IF(BR$6="","",IF(WEEKDAY(BR$6,1)=1,0,IF(WEEKDAY(BR$6,1)=7,BR23*BR22,MAX(0,BR23-8)*BR22)))</f>
      </c>
      <c r="BS25" s="26">
        <f>IF(BS$6="","",IF(WEEKDAY(BS$6,1)=1,0,IF(WEEKDAY(BS$6,1)=7,BS23*BS22,MAX(0,BS23-8)*BS22)))</f>
      </c>
      <c r="BT25" s="26">
        <f>IF(BT$6="","",IF(WEEKDAY(BT$6,1)=1,0,IF(WEEKDAY(BT$6,1)=7,BT23*BT22,MAX(0,BT23-8)*BT22)))</f>
      </c>
      <c r="BU25" s="26">
        <f>IF(BU$6="","",IF(WEEKDAY(BU$6,1)=1,0,IF(WEEKDAY(BU$6,1)=7,BU23*BU22,MAX(0,BU23-8)*BU22)))</f>
      </c>
      <c r="BV25" s="26">
        <f>IF(BV$6="","",IF(WEEKDAY(BV$6,1)=1,0,IF(WEEKDAY(BV$6,1)=7,BV23*BV22,MAX(0,BV23-8)*BV22)))</f>
      </c>
      <c r="BW25" s="26">
        <f>IF(BW$6="","",IF(WEEKDAY(BW$6,1)=1,0,IF(WEEKDAY(BW$6,1)=7,BW23*BW22,MAX(0,BW23-8)*BW22)))</f>
      </c>
      <c r="BX25" s="26">
        <f>IF(BX$6="","",IF(WEEKDAY(BX$6,1)=1,0,IF(WEEKDAY(BX$6,1)=7,BX23*BX22,MAX(0,BX23-8)*BX22)))</f>
      </c>
      <c r="BY25" s="26">
        <f>IF(BY$6="","",IF(WEEKDAY(BY$6,1)=1,0,IF(WEEKDAY(BY$6,1)=7,BY23*BY22,MAX(0,BY23-8)*BY22)))</f>
      </c>
      <c r="BZ25" s="26">
        <f>IF(BZ$6="","",IF(WEEKDAY(BZ$6,1)=1,0,IF(WEEKDAY(BZ$6,1)=7,BZ23*BZ22,MAX(0,BZ23-8)*BZ22)))</f>
      </c>
      <c r="CA25" s="26">
        <f>IF(CA$6="","",IF(WEEKDAY(CA$6,1)=1,0,IF(WEEKDAY(CA$6,1)=7,CA23*CA22,MAX(0,CA23-8)*CA22)))</f>
      </c>
      <c r="CB25" s="26">
        <f>IF(CB$6="","",IF(WEEKDAY(CB$6,1)=1,0,IF(WEEKDAY(CB$6,1)=7,CB23*CB22,MAX(0,CB23-8)*CB22)))</f>
      </c>
      <c r="CC25" s="26">
        <f>IF(CC$6="","",IF(WEEKDAY(CC$6,1)=1,0,IF(WEEKDAY(CC$6,1)=7,CC23*CC22,MAX(0,CC23-8)*CC22)))</f>
      </c>
      <c r="CD25" s="26">
        <f>IF(CD$6="","",IF(WEEKDAY(CD$6,1)=1,0,IF(WEEKDAY(CD$6,1)=7,CD23*CD22,MAX(0,CD23-8)*CD22)))</f>
      </c>
      <c r="CE25" s="26">
        <f>IF(CE$6="","",IF(WEEKDAY(CE$6,1)=1,0,IF(WEEKDAY(CE$6,1)=7,CE23*CE22,MAX(0,CE23-8)*CE22)))</f>
      </c>
      <c r="CF25" s="26">
        <f>IF(CF$6="","",IF(WEEKDAY(CF$6,1)=1,0,IF(WEEKDAY(CF$6,1)=7,CF23*CF22,MAX(0,CF23-8)*CF22)))</f>
      </c>
      <c r="CG25" s="26">
        <f>IF(CG$6="","",IF(WEEKDAY(CG$6,1)=1,0,IF(WEEKDAY(CG$6,1)=7,CG23*CG22,MAX(0,CG23-8)*CG22)))</f>
      </c>
      <c r="CH25" s="26">
        <f>IF(CH$6="","",IF(WEEKDAY(CH$6,1)=1,0,IF(WEEKDAY(CH$6,1)=7,CH23*CH22,MAX(0,CH23-8)*CH22)))</f>
      </c>
      <c r="CI25" s="26">
        <f>IF(CI$6="","",IF(WEEKDAY(CI$6,1)=1,0,IF(WEEKDAY(CI$6,1)=7,CI23*CI22,MAX(0,CI23-8)*CI22)))</f>
      </c>
      <c r="CJ25" s="26">
        <f>IF(CJ$6="","",IF(WEEKDAY(CJ$6,1)=1,0,IF(WEEKDAY(CJ$6,1)=7,CJ23*CJ22,MAX(0,CJ23-8)*CJ22)))</f>
      </c>
      <c r="CK25" s="26">
        <f>IF(CK$6="","",IF(WEEKDAY(CK$6,1)=1,0,IF(WEEKDAY(CK$6,1)=7,CK23*CK22,MAX(0,CK23-8)*CK22)))</f>
      </c>
      <c r="CL25" s="26">
        <f>IF(CL$6="","",IF(WEEKDAY(CL$6,1)=1,0,IF(WEEKDAY(CL$6,1)=7,CL23*CL22,MAX(0,CL23-8)*CL22)))</f>
      </c>
      <c r="CM25" s="26">
        <f>IF(CM$6="","",IF(WEEKDAY(CM$6,1)=1,0,IF(WEEKDAY(CM$6,1)=7,CM23*CM22,MAX(0,CM23-8)*CM22)))</f>
      </c>
      <c r="CN25" s="26">
        <f>IF(CN$6="","",IF(WEEKDAY(CN$6,1)=1,0,IF(WEEKDAY(CN$6,1)=7,CN23*CN22,MAX(0,CN23-8)*CN22)))</f>
      </c>
      <c r="CO25" s="26">
        <f>IF(CO$6="","",IF(WEEKDAY(CO$6,1)=1,0,IF(WEEKDAY(CO$6,1)=7,CO23*CO22,MAX(0,CO23-8)*CO22)))</f>
      </c>
      <c r="CP25" s="26">
        <f>IF(CP$6="","",IF(WEEKDAY(CP$6,1)=1,0,IF(WEEKDAY(CP$6,1)=7,CP23*CP22,MAX(0,CP23-8)*CP22)))</f>
      </c>
      <c r="CQ25" s="26">
        <f>IF(CQ$6="","",IF(WEEKDAY(CQ$6,1)=1,0,IF(WEEKDAY(CQ$6,1)=7,CQ23*CQ22,MAX(0,CQ23-8)*CQ22)))</f>
      </c>
      <c r="CR25" s="26">
        <f>IF(CR$6="","",IF(WEEKDAY(CR$6,1)=1,0,IF(WEEKDAY(CR$6,1)=7,CR23*CR22,MAX(0,CR23-8)*CR22)))</f>
      </c>
      <c r="CS25" s="26">
        <f>IF(CS$6="","",IF(WEEKDAY(CS$6,1)=1,0,IF(WEEKDAY(CS$6,1)=7,CS23*CS22,MAX(0,CS23-8)*CS22)))</f>
      </c>
      <c r="CT25" s="26">
        <f>IF(CT$6="","",IF(WEEKDAY(CT$6,1)=1,0,IF(WEEKDAY(CT$6,1)=7,CT23*CT22,MAX(0,CT23-8)*CT22)))</f>
      </c>
      <c r="CU25" s="26">
        <f>IF(CU$6="","",IF(WEEKDAY(CU$6,1)=1,0,IF(WEEKDAY(CU$6,1)=7,CU23*CU22,MAX(0,CU23-8)*CU22)))</f>
      </c>
      <c r="CV25" s="26">
        <f>IF(CV$6="","",IF(WEEKDAY(CV$6,1)=1,0,IF(WEEKDAY(CV$6,1)=7,CV23*CV22,MAX(0,CV23-8)*CV22)))</f>
      </c>
      <c r="CW25" s="26">
        <f>IF(CW$6="","",IF(WEEKDAY(CW$6,1)=1,0,IF(WEEKDAY(CW$6,1)=7,CW23*CW22,MAX(0,CW23-8)*CW22)))</f>
      </c>
      <c r="CX25" s="8" t="s">
        <v>86</v>
      </c>
    </row>
    <row r="26" spans="2:102" x14ac:dyDescent="0.25">
      <c r="B26" s="26">
        <f>SUM(L26:CW26)</f>
      </c>
      <c r="D26" s="27">
        <f>B26*E26</f>
      </c>
      <c r="E26" s="27">
        <f>'Rate Tables'!E23</f>
      </c>
      <c r="F26" s="8" t="s">
        <v>41</v>
      </c>
      <c r="L26" s="26">
        <f>IF(L$6="","",IF(WEEKDAY(L$6,1)=1,L23*L22,0))</f>
      </c>
      <c r="M26" s="26">
        <f>IF(M$6="","",IF(WEEKDAY(M$6,1)=1,M23*M22,0))</f>
      </c>
      <c r="N26" s="26">
        <f>IF(N$6="","",IF(WEEKDAY(N$6,1)=1,N23*N22,0))</f>
      </c>
      <c r="O26" s="26">
        <f>IF(O$6="","",IF(WEEKDAY(O$6,1)=1,O23*O22,0))</f>
      </c>
      <c r="P26" s="26">
        <f>IF(P$6="","",IF(WEEKDAY(P$6,1)=1,P23*P22,0))</f>
      </c>
      <c r="Q26" s="26">
        <f>IF(Q$6="","",IF(WEEKDAY(Q$6,1)=1,Q23*Q22,0))</f>
      </c>
      <c r="R26" s="26">
        <f>IF(R$6="","",IF(WEEKDAY(R$6,1)=1,R23*R22,0))</f>
      </c>
      <c r="S26" s="26">
        <f>IF(S$6="","",IF(WEEKDAY(S$6,1)=1,S23*S22,0))</f>
      </c>
      <c r="T26" s="26">
        <f>IF(T$6="","",IF(WEEKDAY(T$6,1)=1,T23*T22,0))</f>
      </c>
      <c r="U26" s="26">
        <f>IF(U$6="","",IF(WEEKDAY(U$6,1)=1,U23*U22,0))</f>
      </c>
      <c r="V26" s="26">
        <f>IF(V$6="","",IF(WEEKDAY(V$6,1)=1,V23*V22,0))</f>
      </c>
      <c r="W26" s="26">
        <f>IF(W$6="","",IF(WEEKDAY(W$6,1)=1,W23*W22,0))</f>
      </c>
      <c r="X26" s="26">
        <f>IF(X$6="","",IF(WEEKDAY(X$6,1)=1,X23*X22,0))</f>
      </c>
      <c r="Y26" s="26">
        <f>IF(Y$6="","",IF(WEEKDAY(Y$6,1)=1,Y23*Y22,0))</f>
      </c>
      <c r="Z26" s="26">
        <f>IF(Z$6="","",IF(WEEKDAY(Z$6,1)=1,Z23*Z22,0))</f>
      </c>
      <c r="AA26" s="26">
        <f>IF(AA$6="","",IF(WEEKDAY(AA$6,1)=1,AA23*AA22,0))</f>
      </c>
      <c r="AB26" s="26">
        <f>IF(AB$6="","",IF(WEEKDAY(AB$6,1)=1,AB23*AB22,0))</f>
      </c>
      <c r="AC26" s="26">
        <f>IF(AC$6="","",IF(WEEKDAY(AC$6,1)=1,AC23*AC22,0))</f>
      </c>
      <c r="AD26" s="26">
        <f>IF(AD$6="","",IF(WEEKDAY(AD$6,1)=1,AD23*AD22,0))</f>
      </c>
      <c r="AE26" s="26">
        <f>IF(AE$6="","",IF(WEEKDAY(AE$6,1)=1,AE23*AE22,0))</f>
      </c>
      <c r="AF26" s="26">
        <f>IF(AF$6="","",IF(WEEKDAY(AF$6,1)=1,AF23*AF22,0))</f>
      </c>
      <c r="AG26" s="26">
        <f>IF(AG$6="","",IF(WEEKDAY(AG$6,1)=1,AG23*AG22,0))</f>
      </c>
      <c r="AH26" s="26">
        <f>IF(AH$6="","",IF(WEEKDAY(AH$6,1)=1,AH23*AH22,0))</f>
      </c>
      <c r="AI26" s="26">
        <f>IF(AI$6="","",IF(WEEKDAY(AI$6,1)=1,AI23*AI22,0))</f>
      </c>
      <c r="AJ26" s="26">
        <f>IF(AJ$6="","",IF(WEEKDAY(AJ$6,1)=1,AJ23*AJ22,0))</f>
      </c>
      <c r="AK26" s="26">
        <f>IF(AK$6="","",IF(WEEKDAY(AK$6,1)=1,AK23*AK22,0))</f>
      </c>
      <c r="AL26" s="26">
        <f>IF(AL$6="","",IF(WEEKDAY(AL$6,1)=1,AL23*AL22,0))</f>
      </c>
      <c r="AM26" s="26">
        <f>IF(AM$6="","",IF(WEEKDAY(AM$6,1)=1,AM23*AM22,0))</f>
      </c>
      <c r="AN26" s="26">
        <f>IF(AN$6="","",IF(WEEKDAY(AN$6,1)=1,AN23*AN22,0))</f>
      </c>
      <c r="AO26" s="26">
        <f>IF(AO$6="","",IF(WEEKDAY(AO$6,1)=1,AO23*AO22,0))</f>
      </c>
      <c r="AP26" s="26">
        <f>IF(AP$6="","",IF(WEEKDAY(AP$6,1)=1,AP23*AP22,0))</f>
      </c>
      <c r="AQ26" s="26">
        <f>IF(AQ$6="","",IF(WEEKDAY(AQ$6,1)=1,AQ23*AQ22,0))</f>
      </c>
      <c r="AR26" s="26">
        <f>IF(AR$6="","",IF(WEEKDAY(AR$6,1)=1,AR23*AR22,0))</f>
      </c>
      <c r="AS26" s="26">
        <f>IF(AS$6="","",IF(WEEKDAY(AS$6,1)=1,AS23*AS22,0))</f>
      </c>
      <c r="AT26" s="26">
        <f>IF(AT$6="","",IF(WEEKDAY(AT$6,1)=1,AT23*AT22,0))</f>
      </c>
      <c r="AU26" s="26">
        <f>IF(AU$6="","",IF(WEEKDAY(AU$6,1)=1,AU23*AU22,0))</f>
      </c>
      <c r="AV26" s="26">
        <f>IF(AV$6="","",IF(WEEKDAY(AV$6,1)=1,AV23*AV22,0))</f>
      </c>
      <c r="AW26" s="26">
        <f>IF(AW$6="","",IF(WEEKDAY(AW$6,1)=1,AW23*AW22,0))</f>
      </c>
      <c r="AX26" s="26">
        <f>IF(AX$6="","",IF(WEEKDAY(AX$6,1)=1,AX23*AX22,0))</f>
      </c>
      <c r="AY26" s="26">
        <f>IF(AY$6="","",IF(WEEKDAY(AY$6,1)=1,AY23*AY22,0))</f>
      </c>
      <c r="AZ26" s="26">
        <f>IF(AZ$6="","",IF(WEEKDAY(AZ$6,1)=1,AZ23*AZ22,0))</f>
      </c>
      <c r="BA26" s="26">
        <f>IF(BA$6="","",IF(WEEKDAY(BA$6,1)=1,BA23*BA22,0))</f>
      </c>
      <c r="BB26" s="26">
        <f>IF(BB$6="","",IF(WEEKDAY(BB$6,1)=1,BB23*BB22,0))</f>
      </c>
      <c r="BC26" s="26">
        <f>IF(BC$6="","",IF(WEEKDAY(BC$6,1)=1,BC23*BC22,0))</f>
      </c>
      <c r="BD26" s="26">
        <f>IF(BD$6="","",IF(WEEKDAY(BD$6,1)=1,BD23*BD22,0))</f>
      </c>
      <c r="BE26" s="26">
        <f>IF(BE$6="","",IF(WEEKDAY(BE$6,1)=1,BE23*BE22,0))</f>
      </c>
      <c r="BF26" s="26">
        <f>IF(BF$6="","",IF(WEEKDAY(BF$6,1)=1,BF23*BF22,0))</f>
      </c>
      <c r="BG26" s="26">
        <f>IF(BG$6="","",IF(WEEKDAY(BG$6,1)=1,BG23*BG22,0))</f>
      </c>
      <c r="BH26" s="26">
        <f>IF(BH$6="","",IF(WEEKDAY(BH$6,1)=1,BH23*BH22,0))</f>
      </c>
      <c r="BI26" s="26">
        <f>IF(BI$6="","",IF(WEEKDAY(BI$6,1)=1,BI23*BI22,0))</f>
      </c>
      <c r="BJ26" s="26">
        <f>IF(BJ$6="","",IF(WEEKDAY(BJ$6,1)=1,BJ23*BJ22,0))</f>
      </c>
      <c r="BK26" s="26">
        <f>IF(BK$6="","",IF(WEEKDAY(BK$6,1)=1,BK23*BK22,0))</f>
      </c>
      <c r="BL26" s="26">
        <f>IF(BL$6="","",IF(WEEKDAY(BL$6,1)=1,BL23*BL22,0))</f>
      </c>
      <c r="BM26" s="26">
        <f>IF(BM$6="","",IF(WEEKDAY(BM$6,1)=1,BM23*BM22,0))</f>
      </c>
      <c r="BN26" s="26">
        <f>IF(BN$6="","",IF(WEEKDAY(BN$6,1)=1,BN23*BN22,0))</f>
      </c>
      <c r="BO26" s="26">
        <f>IF(BO$6="","",IF(WEEKDAY(BO$6,1)=1,BO23*BO22,0))</f>
      </c>
      <c r="BP26" s="26">
        <f>IF(BP$6="","",IF(WEEKDAY(BP$6,1)=1,BP23*BP22,0))</f>
      </c>
      <c r="BQ26" s="26">
        <f>IF(BQ$6="","",IF(WEEKDAY(BQ$6,1)=1,BQ23*BQ22,0))</f>
      </c>
      <c r="BR26" s="26">
        <f>IF(BR$6="","",IF(WEEKDAY(BR$6,1)=1,BR23*BR22,0))</f>
      </c>
      <c r="BS26" s="26">
        <f>IF(BS$6="","",IF(WEEKDAY(BS$6,1)=1,BS23*BS22,0))</f>
      </c>
      <c r="BT26" s="26">
        <f>IF(BT$6="","",IF(WEEKDAY(BT$6,1)=1,BT23*BT22,0))</f>
      </c>
      <c r="BU26" s="26">
        <f>IF(BU$6="","",IF(WEEKDAY(BU$6,1)=1,BU23*BU22,0))</f>
      </c>
      <c r="BV26" s="26">
        <f>IF(BV$6="","",IF(WEEKDAY(BV$6,1)=1,BV23*BV22,0))</f>
      </c>
      <c r="BW26" s="26">
        <f>IF(BW$6="","",IF(WEEKDAY(BW$6,1)=1,BW23*BW22,0))</f>
      </c>
      <c r="BX26" s="26">
        <f>IF(BX$6="","",IF(WEEKDAY(BX$6,1)=1,BX23*BX22,0))</f>
      </c>
      <c r="BY26" s="26">
        <f>IF(BY$6="","",IF(WEEKDAY(BY$6,1)=1,BY23*BY22,0))</f>
      </c>
      <c r="BZ26" s="26">
        <f>IF(BZ$6="","",IF(WEEKDAY(BZ$6,1)=1,BZ23*BZ22,0))</f>
      </c>
      <c r="CA26" s="26">
        <f>IF(CA$6="","",IF(WEEKDAY(CA$6,1)=1,CA23*CA22,0))</f>
      </c>
      <c r="CB26" s="26">
        <f>IF(CB$6="","",IF(WEEKDAY(CB$6,1)=1,CB23*CB22,0))</f>
      </c>
      <c r="CC26" s="26">
        <f>IF(CC$6="","",IF(WEEKDAY(CC$6,1)=1,CC23*CC22,0))</f>
      </c>
      <c r="CD26" s="26">
        <f>IF(CD$6="","",IF(WEEKDAY(CD$6,1)=1,CD23*CD22,0))</f>
      </c>
      <c r="CE26" s="26">
        <f>IF(CE$6="","",IF(WEEKDAY(CE$6,1)=1,CE23*CE22,0))</f>
      </c>
      <c r="CF26" s="26">
        <f>IF(CF$6="","",IF(WEEKDAY(CF$6,1)=1,CF23*CF22,0))</f>
      </c>
      <c r="CG26" s="26">
        <f>IF(CG$6="","",IF(WEEKDAY(CG$6,1)=1,CG23*CG22,0))</f>
      </c>
      <c r="CH26" s="26">
        <f>IF(CH$6="","",IF(WEEKDAY(CH$6,1)=1,CH23*CH22,0))</f>
      </c>
      <c r="CI26" s="26">
        <f>IF(CI$6="","",IF(WEEKDAY(CI$6,1)=1,CI23*CI22,0))</f>
      </c>
      <c r="CJ26" s="26">
        <f>IF(CJ$6="","",IF(WEEKDAY(CJ$6,1)=1,CJ23*CJ22,0))</f>
      </c>
      <c r="CK26" s="26">
        <f>IF(CK$6="","",IF(WEEKDAY(CK$6,1)=1,CK23*CK22,0))</f>
      </c>
      <c r="CL26" s="26">
        <f>IF(CL$6="","",IF(WEEKDAY(CL$6,1)=1,CL23*CL22,0))</f>
      </c>
      <c r="CM26" s="26">
        <f>IF(CM$6="","",IF(WEEKDAY(CM$6,1)=1,CM23*CM22,0))</f>
      </c>
      <c r="CN26" s="26">
        <f>IF(CN$6="","",IF(WEEKDAY(CN$6,1)=1,CN23*CN22,0))</f>
      </c>
      <c r="CO26" s="26">
        <f>IF(CO$6="","",IF(WEEKDAY(CO$6,1)=1,CO23*CO22,0))</f>
      </c>
      <c r="CP26" s="26">
        <f>IF(CP$6="","",IF(WEEKDAY(CP$6,1)=1,CP23*CP22,0))</f>
      </c>
      <c r="CQ26" s="26">
        <f>IF(CQ$6="","",IF(WEEKDAY(CQ$6,1)=1,CQ23*CQ22,0))</f>
      </c>
      <c r="CR26" s="26">
        <f>IF(CR$6="","",IF(WEEKDAY(CR$6,1)=1,CR23*CR22,0))</f>
      </c>
      <c r="CS26" s="26">
        <f>IF(CS$6="","",IF(WEEKDAY(CS$6,1)=1,CS23*CS22,0))</f>
      </c>
      <c r="CT26" s="26">
        <f>IF(CT$6="","",IF(WEEKDAY(CT$6,1)=1,CT23*CT22,0))</f>
      </c>
      <c r="CU26" s="26">
        <f>IF(CU$6="","",IF(WEEKDAY(CU$6,1)=1,CU23*CU22,0))</f>
      </c>
      <c r="CV26" s="26">
        <f>IF(CV$6="","",IF(WEEKDAY(CV$6,1)=1,CV23*CV22,0))</f>
      </c>
      <c r="CW26" s="26">
        <f>IF(CW$6="","",IF(WEEKDAY(CW$6,1)=1,CW23*CW22,0))</f>
      </c>
      <c r="CX26" s="8" t="s">
        <v>86</v>
      </c>
    </row>
    <row r="27" spans="2:102" x14ac:dyDescent="0.25">
      <c r="B27" s="26">
        <f>SUM(L27:CW27)</f>
      </c>
      <c r="D27" s="27">
        <f>B27*E27</f>
      </c>
      <c r="E27" s="27">
        <v>130</v>
      </c>
      <c r="F27" s="8" t="s">
        <v>42</v>
      </c>
      <c r="L27" s="28">
        <v>0</v>
      </c>
      <c r="M27" s="28">
        <v>0</v>
      </c>
      <c r="N27" s="28">
        <v>0</v>
      </c>
      <c r="O27" s="28">
        <v>0</v>
      </c>
      <c r="P27" s="28">
        <v>0</v>
      </c>
      <c r="Q27" s="28">
        <v>0</v>
      </c>
      <c r="R27" s="28">
        <v>0</v>
      </c>
      <c r="S27" s="28">
        <v>0</v>
      </c>
      <c r="T27" s="28">
        <v>0</v>
      </c>
      <c r="U27" s="28">
        <v>0</v>
      </c>
      <c r="V27" s="28">
        <v>0</v>
      </c>
      <c r="W27" s="28">
        <v>0</v>
      </c>
      <c r="X27" s="28">
        <v>0</v>
      </c>
      <c r="Y27" s="28">
        <v>0</v>
      </c>
      <c r="Z27" s="28">
        <v>2</v>
      </c>
      <c r="AA27" s="28">
        <v>2</v>
      </c>
      <c r="AB27" s="28">
        <v>2</v>
      </c>
      <c r="AC27" s="28">
        <v>2</v>
      </c>
      <c r="AD27" s="28">
        <v>0</v>
      </c>
      <c r="AE27" s="28">
        <v>0</v>
      </c>
      <c r="AF27" s="28">
        <v>0</v>
      </c>
      <c r="AG27" s="28">
        <v>0</v>
      </c>
      <c r="AH27" s="28">
        <v>0</v>
      </c>
      <c r="AI27" s="28">
        <v>0</v>
      </c>
      <c r="AJ27" s="28">
        <v>0</v>
      </c>
      <c r="AK27" s="28">
        <v>0</v>
      </c>
      <c r="AL27" s="28">
        <v>0</v>
      </c>
      <c r="AM27" s="28">
        <v>0</v>
      </c>
      <c r="AN27" s="28">
        <v>11</v>
      </c>
      <c r="AO27" s="28">
        <v>11</v>
      </c>
      <c r="AP27" s="28">
        <v>11</v>
      </c>
      <c r="AQ27" s="28">
        <v>11</v>
      </c>
      <c r="AR27" s="28">
        <v>11</v>
      </c>
      <c r="AS27" s="28">
        <v>0</v>
      </c>
      <c r="AT27" s="28">
        <v>0</v>
      </c>
      <c r="AU27" s="28">
        <v>11</v>
      </c>
      <c r="AV27" s="28">
        <v>11</v>
      </c>
      <c r="AW27" s="28">
        <v>11</v>
      </c>
      <c r="AX27" s="28">
        <v>11</v>
      </c>
      <c r="AY27" s="28">
        <v>11</v>
      </c>
      <c r="AZ27" s="28">
        <v>0</v>
      </c>
      <c r="BA27" s="28">
        <v>0</v>
      </c>
      <c r="BB27" s="28">
        <v>11</v>
      </c>
      <c r="BC27" s="28">
        <v>11</v>
      </c>
      <c r="BD27" s="28">
        <v>11</v>
      </c>
      <c r="BE27" s="28">
        <v>11</v>
      </c>
      <c r="BF27" s="28">
        <v>11</v>
      </c>
      <c r="BG27" s="28">
        <v>0</v>
      </c>
      <c r="BH27" s="28">
        <v>0</v>
      </c>
      <c r="BI27" s="28">
        <v>6</v>
      </c>
      <c r="BJ27" s="28">
        <v>6</v>
      </c>
      <c r="BK27" s="28">
        <v>6</v>
      </c>
      <c r="BL27" s="28">
        <v>6</v>
      </c>
      <c r="BM27" s="28">
        <v>6</v>
      </c>
      <c r="BN27" s="28">
        <v>6</v>
      </c>
      <c r="BO27" s="28">
        <v>6</v>
      </c>
      <c r="BP27" s="28">
        <v>6</v>
      </c>
      <c r="BQ27" s="28">
        <v>6</v>
      </c>
      <c r="BR27" s="28">
        <v>6</v>
      </c>
      <c r="BS27" s="28">
        <v>6</v>
      </c>
      <c r="BT27" s="28">
        <v>6</v>
      </c>
      <c r="BU27" s="28">
        <v>6</v>
      </c>
      <c r="BV27" s="28">
        <v>6</v>
      </c>
      <c r="BW27" s="28">
        <v>6</v>
      </c>
      <c r="BX27" s="28">
        <v>6</v>
      </c>
      <c r="BY27" s="28">
        <v>6</v>
      </c>
      <c r="BZ27" s="28">
        <v>6</v>
      </c>
      <c r="CA27" s="28">
        <v>6</v>
      </c>
      <c r="CB27" s="28">
        <v>6</v>
      </c>
      <c r="CC27" s="28">
        <v>0</v>
      </c>
      <c r="CD27" s="28">
        <v>6</v>
      </c>
      <c r="CE27" s="28">
        <v>6</v>
      </c>
      <c r="CF27" s="28">
        <v>6</v>
      </c>
      <c r="CG27" s="28">
        <v>6</v>
      </c>
      <c r="CH27" s="28">
        <v>6</v>
      </c>
      <c r="CI27" s="28">
        <v>6</v>
      </c>
      <c r="CJ27" s="28">
        <v>6</v>
      </c>
      <c r="CK27" s="28">
        <v>6</v>
      </c>
      <c r="CL27" s="28">
        <v>6</v>
      </c>
      <c r="CM27" s="28">
        <v>6</v>
      </c>
      <c r="CN27" s="28">
        <v>6</v>
      </c>
      <c r="CO27" s="28">
        <v>6</v>
      </c>
      <c r="CP27" s="28">
        <v>6</v>
      </c>
      <c r="CQ27" s="28">
        <v>0</v>
      </c>
      <c r="CR27" s="28">
        <v>6</v>
      </c>
      <c r="CS27" s="28">
        <v>6</v>
      </c>
      <c r="CT27" s="28">
        <v>6</v>
      </c>
      <c r="CU27" s="28">
        <v>6</v>
      </c>
      <c r="CV27" s="28">
        <v>6</v>
      </c>
      <c r="CW27" s="28">
        <v>6</v>
      </c>
      <c r="CX27" s="8" t="s">
        <v>86</v>
      </c>
    </row>
    <row r="28" spans="1:102" x14ac:dyDescent="0.25">
      <c r="A28" s="20" t="s">
        <v>47</v>
      </c>
      <c r="B28" s="21">
        <f>G28+H28+I28</f>
      </c>
      <c r="C28" s="20" t="s">
        <v>85</v>
      </c>
      <c r="D28" s="22">
        <f>K28</f>
      </c>
      <c r="F28" s="20" t="s">
        <v>34</v>
      </c>
      <c r="G28" s="21">
        <f>B31</f>
      </c>
      <c r="H28" s="21">
        <f>B32</f>
      </c>
      <c r="I28" s="21">
        <f>B33</f>
      </c>
      <c r="J28" s="21">
        <f>B34</f>
      </c>
      <c r="K28" s="22">
        <f>D31+D32+D33</f>
      </c>
      <c r="CX28" s="20" t="s">
        <v>87</v>
      </c>
    </row>
    <row r="29" spans="6:102" x14ac:dyDescent="0.25">
      <c r="F29" s="23" t="s">
        <v>36</v>
      </c>
      <c r="L29" s="24">
        <v>0</v>
      </c>
      <c r="M29" s="24">
        <v>0</v>
      </c>
      <c r="N29" s="24">
        <v>0</v>
      </c>
      <c r="O29" s="24">
        <v>0</v>
      </c>
      <c r="P29" s="24">
        <v>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0</v>
      </c>
      <c r="Z29" s="24">
        <v>0</v>
      </c>
      <c r="AA29" s="24">
        <v>0</v>
      </c>
      <c r="AB29" s="24">
        <v>0</v>
      </c>
      <c r="AC29" s="24">
        <v>0</v>
      </c>
      <c r="AD29" s="24">
        <v>0</v>
      </c>
      <c r="AE29" s="24">
        <v>0</v>
      </c>
      <c r="AF29" s="24">
        <v>0</v>
      </c>
      <c r="AG29" s="24">
        <v>0</v>
      </c>
      <c r="AH29" s="24">
        <v>0</v>
      </c>
      <c r="AI29" s="24">
        <v>0</v>
      </c>
      <c r="AJ29" s="24">
        <v>0</v>
      </c>
      <c r="AK29" s="24">
        <v>0</v>
      </c>
      <c r="AL29" s="24">
        <v>0</v>
      </c>
      <c r="AM29" s="24">
        <v>0</v>
      </c>
      <c r="AN29" s="24">
        <v>0</v>
      </c>
      <c r="AO29" s="24">
        <v>0</v>
      </c>
      <c r="AP29" s="24">
        <v>0</v>
      </c>
      <c r="AQ29" s="24">
        <v>0</v>
      </c>
      <c r="AR29" s="24">
        <v>0</v>
      </c>
      <c r="AS29" s="24">
        <v>0</v>
      </c>
      <c r="AT29" s="24">
        <v>0</v>
      </c>
      <c r="AU29" s="24">
        <v>0</v>
      </c>
      <c r="AV29" s="24">
        <v>0</v>
      </c>
      <c r="AW29" s="24">
        <v>0</v>
      </c>
      <c r="AX29" s="24">
        <v>0</v>
      </c>
      <c r="AY29" s="24">
        <v>0</v>
      </c>
      <c r="AZ29" s="24">
        <v>0</v>
      </c>
      <c r="BA29" s="24">
        <v>0</v>
      </c>
      <c r="BB29" s="24">
        <v>0</v>
      </c>
      <c r="BC29" s="24">
        <v>0</v>
      </c>
      <c r="BD29" s="24">
        <v>0</v>
      </c>
      <c r="BE29" s="24">
        <v>0</v>
      </c>
      <c r="BF29" s="24">
        <v>0</v>
      </c>
      <c r="BG29" s="24">
        <v>0</v>
      </c>
      <c r="BH29" s="24">
        <v>0</v>
      </c>
      <c r="BI29" s="24">
        <v>8</v>
      </c>
      <c r="BJ29" s="24">
        <v>8</v>
      </c>
      <c r="BK29" s="24">
        <v>8</v>
      </c>
      <c r="BL29" s="24">
        <v>8</v>
      </c>
      <c r="BM29" s="24">
        <v>8</v>
      </c>
      <c r="BN29" s="24">
        <v>8</v>
      </c>
      <c r="BO29" s="24">
        <v>8</v>
      </c>
      <c r="BP29" s="24">
        <v>8</v>
      </c>
      <c r="BQ29" s="24">
        <v>8</v>
      </c>
      <c r="BR29" s="24">
        <v>8</v>
      </c>
      <c r="BS29" s="24">
        <v>8</v>
      </c>
      <c r="BT29" s="24">
        <v>8</v>
      </c>
      <c r="BU29" s="24">
        <v>8</v>
      </c>
      <c r="BV29" s="24">
        <v>8</v>
      </c>
      <c r="BW29" s="24">
        <v>8</v>
      </c>
      <c r="BX29" s="24">
        <v>8</v>
      </c>
      <c r="BY29" s="24">
        <v>8</v>
      </c>
      <c r="BZ29" s="24">
        <v>8</v>
      </c>
      <c r="CA29" s="24">
        <v>8</v>
      </c>
      <c r="CB29" s="24">
        <v>8</v>
      </c>
      <c r="CC29" s="24">
        <v>0</v>
      </c>
      <c r="CD29" s="24">
        <v>8</v>
      </c>
      <c r="CE29" s="24">
        <v>8</v>
      </c>
      <c r="CF29" s="24">
        <v>8</v>
      </c>
      <c r="CG29" s="24">
        <v>8</v>
      </c>
      <c r="CH29" s="24">
        <v>8</v>
      </c>
      <c r="CI29" s="24">
        <v>8</v>
      </c>
      <c r="CJ29" s="24">
        <v>8</v>
      </c>
      <c r="CK29" s="24">
        <v>8</v>
      </c>
      <c r="CL29" s="24">
        <v>8</v>
      </c>
      <c r="CM29" s="24">
        <v>8</v>
      </c>
      <c r="CN29" s="24">
        <v>8</v>
      </c>
      <c r="CO29" s="24">
        <v>8</v>
      </c>
      <c r="CP29" s="24">
        <v>8</v>
      </c>
      <c r="CQ29" s="24">
        <v>0</v>
      </c>
      <c r="CR29" s="24">
        <v>8</v>
      </c>
      <c r="CS29" s="24">
        <v>8</v>
      </c>
      <c r="CT29" s="24">
        <v>8</v>
      </c>
      <c r="CU29" s="24">
        <v>8</v>
      </c>
      <c r="CV29" s="24">
        <v>8</v>
      </c>
      <c r="CW29" s="24">
        <v>8</v>
      </c>
      <c r="CX29" s="23" t="s">
        <v>87</v>
      </c>
    </row>
    <row r="30" spans="1:102" x14ac:dyDescent="0.25">
      <c r="A30" s="23" t="s">
        <v>37</v>
      </c>
      <c r="F30" s="23" t="s">
        <v>38</v>
      </c>
      <c r="L30" s="25">
        <v>0</v>
      </c>
      <c r="M30" s="25">
        <v>0</v>
      </c>
      <c r="N30" s="25">
        <v>0</v>
      </c>
      <c r="O30" s="25">
        <v>0</v>
      </c>
      <c r="P30" s="25">
        <v>0</v>
      </c>
      <c r="Q30" s="25">
        <v>0</v>
      </c>
      <c r="R30" s="25">
        <v>0</v>
      </c>
      <c r="S30" s="25">
        <v>0</v>
      </c>
      <c r="T30" s="25">
        <v>0</v>
      </c>
      <c r="U30" s="25">
        <v>0</v>
      </c>
      <c r="V30" s="25">
        <v>0</v>
      </c>
      <c r="W30" s="25">
        <v>0</v>
      </c>
      <c r="X30" s="25">
        <v>0</v>
      </c>
      <c r="Y30" s="25">
        <v>0</v>
      </c>
      <c r="Z30" s="25">
        <v>0</v>
      </c>
      <c r="AA30" s="25">
        <v>0</v>
      </c>
      <c r="AB30" s="25">
        <v>0</v>
      </c>
      <c r="AC30" s="25">
        <v>0</v>
      </c>
      <c r="AD30" s="25">
        <v>0</v>
      </c>
      <c r="AE30" s="25">
        <v>0</v>
      </c>
      <c r="AF30" s="25">
        <v>0</v>
      </c>
      <c r="AG30" s="25">
        <v>0</v>
      </c>
      <c r="AH30" s="25">
        <v>0</v>
      </c>
      <c r="AI30" s="25">
        <v>0</v>
      </c>
      <c r="AJ30" s="25">
        <v>0</v>
      </c>
      <c r="AK30" s="25">
        <v>0</v>
      </c>
      <c r="AL30" s="25">
        <v>0</v>
      </c>
      <c r="AM30" s="25">
        <v>0</v>
      </c>
      <c r="AN30" s="25">
        <v>0</v>
      </c>
      <c r="AO30" s="25">
        <v>0</v>
      </c>
      <c r="AP30" s="25">
        <v>0</v>
      </c>
      <c r="AQ30" s="25">
        <v>0</v>
      </c>
      <c r="AR30" s="25">
        <v>0</v>
      </c>
      <c r="AS30" s="25">
        <v>0</v>
      </c>
      <c r="AT30" s="25">
        <v>0</v>
      </c>
      <c r="AU30" s="25">
        <v>0</v>
      </c>
      <c r="AV30" s="25">
        <v>0</v>
      </c>
      <c r="AW30" s="25">
        <v>0</v>
      </c>
      <c r="AX30" s="25">
        <v>0</v>
      </c>
      <c r="AY30" s="25">
        <v>0</v>
      </c>
      <c r="AZ30" s="25">
        <v>0</v>
      </c>
      <c r="BA30" s="25">
        <v>0</v>
      </c>
      <c r="BB30" s="25">
        <v>0</v>
      </c>
      <c r="BC30" s="25">
        <v>0</v>
      </c>
      <c r="BD30" s="25">
        <v>0</v>
      </c>
      <c r="BE30" s="25">
        <v>0</v>
      </c>
      <c r="BF30" s="25">
        <v>0</v>
      </c>
      <c r="BG30" s="25">
        <v>0</v>
      </c>
      <c r="BH30" s="25">
        <v>0</v>
      </c>
      <c r="BI30" s="25">
        <v>13</v>
      </c>
      <c r="BJ30" s="25">
        <v>13</v>
      </c>
      <c r="BK30" s="25">
        <v>13</v>
      </c>
      <c r="BL30" s="25">
        <v>13</v>
      </c>
      <c r="BM30" s="25">
        <v>13</v>
      </c>
      <c r="BN30" s="25">
        <v>13</v>
      </c>
      <c r="BO30" s="25">
        <v>13</v>
      </c>
      <c r="BP30" s="25">
        <v>13</v>
      </c>
      <c r="BQ30" s="25">
        <v>13</v>
      </c>
      <c r="BR30" s="25">
        <v>13</v>
      </c>
      <c r="BS30" s="25">
        <v>13</v>
      </c>
      <c r="BT30" s="25">
        <v>13</v>
      </c>
      <c r="BU30" s="25">
        <v>13</v>
      </c>
      <c r="BV30" s="25">
        <v>13</v>
      </c>
      <c r="BW30" s="25">
        <v>13</v>
      </c>
      <c r="BX30" s="25">
        <v>13</v>
      </c>
      <c r="BY30" s="25">
        <v>13</v>
      </c>
      <c r="BZ30" s="25">
        <v>13</v>
      </c>
      <c r="CA30" s="25">
        <v>13</v>
      </c>
      <c r="CB30" s="25">
        <v>13</v>
      </c>
      <c r="CC30" s="25">
        <v>0</v>
      </c>
      <c r="CD30" s="25">
        <v>13</v>
      </c>
      <c r="CE30" s="25">
        <v>13</v>
      </c>
      <c r="CF30" s="25">
        <v>13</v>
      </c>
      <c r="CG30" s="25">
        <v>13</v>
      </c>
      <c r="CH30" s="25">
        <v>13</v>
      </c>
      <c r="CI30" s="25">
        <v>13</v>
      </c>
      <c r="CJ30" s="25">
        <v>13</v>
      </c>
      <c r="CK30" s="25">
        <v>13</v>
      </c>
      <c r="CL30" s="25">
        <v>13</v>
      </c>
      <c r="CM30" s="25">
        <v>13</v>
      </c>
      <c r="CN30" s="25">
        <v>13</v>
      </c>
      <c r="CO30" s="25">
        <v>13</v>
      </c>
      <c r="CP30" s="25">
        <v>13</v>
      </c>
      <c r="CQ30" s="25">
        <v>0</v>
      </c>
      <c r="CR30" s="25">
        <v>13</v>
      </c>
      <c r="CS30" s="25">
        <v>13</v>
      </c>
      <c r="CT30" s="25">
        <v>13</v>
      </c>
      <c r="CU30" s="25">
        <v>13</v>
      </c>
      <c r="CV30" s="25">
        <v>13</v>
      </c>
      <c r="CW30" s="25">
        <v>13</v>
      </c>
      <c r="CX30" s="23" t="s">
        <v>87</v>
      </c>
    </row>
    <row r="31" spans="2:102" x14ac:dyDescent="0.25">
      <c r="B31" s="26">
        <f>SUM(L31:CW31)</f>
      </c>
      <c r="D31" s="27">
        <f>B31*E31</f>
      </c>
      <c r="E31" s="27">
        <f>'Rate Tables'!C23</f>
      </c>
      <c r="F31" s="8" t="s">
        <v>39</v>
      </c>
      <c r="L31" s="26">
        <f>IF(L$6="","",IF(OR(WEEKDAY(L$6,1)=1,WEEKDAY(L$6,1)=7),0,MIN(8,L30)*L29))</f>
      </c>
      <c r="M31" s="26">
        <f>IF(M$6="","",IF(OR(WEEKDAY(M$6,1)=1,WEEKDAY(M$6,1)=7),0,MIN(8,M30)*M29))</f>
      </c>
      <c r="N31" s="26">
        <f>IF(N$6="","",IF(OR(WEEKDAY(N$6,1)=1,WEEKDAY(N$6,1)=7),0,MIN(8,N30)*N29))</f>
      </c>
      <c r="O31" s="26">
        <f>IF(O$6="","",IF(OR(WEEKDAY(O$6,1)=1,WEEKDAY(O$6,1)=7),0,MIN(8,O30)*O29))</f>
      </c>
      <c r="P31" s="26">
        <f>IF(P$6="","",IF(OR(WEEKDAY(P$6,1)=1,WEEKDAY(P$6,1)=7),0,MIN(8,P30)*P29))</f>
      </c>
      <c r="Q31" s="26">
        <f>IF(Q$6="","",IF(OR(WEEKDAY(Q$6,1)=1,WEEKDAY(Q$6,1)=7),0,MIN(8,Q30)*Q29))</f>
      </c>
      <c r="R31" s="26">
        <f>IF(R$6="","",IF(OR(WEEKDAY(R$6,1)=1,WEEKDAY(R$6,1)=7),0,MIN(8,R30)*R29))</f>
      </c>
      <c r="S31" s="26">
        <f>IF(S$6="","",IF(OR(WEEKDAY(S$6,1)=1,WEEKDAY(S$6,1)=7),0,MIN(8,S30)*S29))</f>
      </c>
      <c r="T31" s="26">
        <f>IF(T$6="","",IF(OR(WEEKDAY(T$6,1)=1,WEEKDAY(T$6,1)=7),0,MIN(8,T30)*T29))</f>
      </c>
      <c r="U31" s="26">
        <f>IF(U$6="","",IF(OR(WEEKDAY(U$6,1)=1,WEEKDAY(U$6,1)=7),0,MIN(8,U30)*U29))</f>
      </c>
      <c r="V31" s="26">
        <f>IF(V$6="","",IF(OR(WEEKDAY(V$6,1)=1,WEEKDAY(V$6,1)=7),0,MIN(8,V30)*V29))</f>
      </c>
      <c r="W31" s="26">
        <f>IF(W$6="","",IF(OR(WEEKDAY(W$6,1)=1,WEEKDAY(W$6,1)=7),0,MIN(8,W30)*W29))</f>
      </c>
      <c r="X31" s="26">
        <f>IF(X$6="","",IF(OR(WEEKDAY(X$6,1)=1,WEEKDAY(X$6,1)=7),0,MIN(8,X30)*X29))</f>
      </c>
      <c r="Y31" s="26">
        <f>IF(Y$6="","",IF(OR(WEEKDAY(Y$6,1)=1,WEEKDAY(Y$6,1)=7),0,MIN(8,Y30)*Y29))</f>
      </c>
      <c r="Z31" s="26">
        <f>IF(Z$6="","",IF(OR(WEEKDAY(Z$6,1)=1,WEEKDAY(Z$6,1)=7),0,MIN(8,Z30)*Z29))</f>
      </c>
      <c r="AA31" s="26">
        <f>IF(AA$6="","",IF(OR(WEEKDAY(AA$6,1)=1,WEEKDAY(AA$6,1)=7),0,MIN(8,AA30)*AA29))</f>
      </c>
      <c r="AB31" s="26">
        <f>IF(AB$6="","",IF(OR(WEEKDAY(AB$6,1)=1,WEEKDAY(AB$6,1)=7),0,MIN(8,AB30)*AB29))</f>
      </c>
      <c r="AC31" s="26">
        <f>IF(AC$6="","",IF(OR(WEEKDAY(AC$6,1)=1,WEEKDAY(AC$6,1)=7),0,MIN(8,AC30)*AC29))</f>
      </c>
      <c r="AD31" s="26">
        <f>IF(AD$6="","",IF(OR(WEEKDAY(AD$6,1)=1,WEEKDAY(AD$6,1)=7),0,MIN(8,AD30)*AD29))</f>
      </c>
      <c r="AE31" s="26">
        <f>IF(AE$6="","",IF(OR(WEEKDAY(AE$6,1)=1,WEEKDAY(AE$6,1)=7),0,MIN(8,AE30)*AE29))</f>
      </c>
      <c r="AF31" s="26">
        <f>IF(AF$6="","",IF(OR(WEEKDAY(AF$6,1)=1,WEEKDAY(AF$6,1)=7),0,MIN(8,AF30)*AF29))</f>
      </c>
      <c r="AG31" s="26">
        <f>IF(AG$6="","",IF(OR(WEEKDAY(AG$6,1)=1,WEEKDAY(AG$6,1)=7),0,MIN(8,AG30)*AG29))</f>
      </c>
      <c r="AH31" s="26">
        <f>IF(AH$6="","",IF(OR(WEEKDAY(AH$6,1)=1,WEEKDAY(AH$6,1)=7),0,MIN(8,AH30)*AH29))</f>
      </c>
      <c r="AI31" s="26">
        <f>IF(AI$6="","",IF(OR(WEEKDAY(AI$6,1)=1,WEEKDAY(AI$6,1)=7),0,MIN(8,AI30)*AI29))</f>
      </c>
      <c r="AJ31" s="26">
        <f>IF(AJ$6="","",IF(OR(WEEKDAY(AJ$6,1)=1,WEEKDAY(AJ$6,1)=7),0,MIN(8,AJ30)*AJ29))</f>
      </c>
      <c r="AK31" s="26">
        <f>IF(AK$6="","",IF(OR(WEEKDAY(AK$6,1)=1,WEEKDAY(AK$6,1)=7),0,MIN(8,AK30)*AK29))</f>
      </c>
      <c r="AL31" s="26">
        <f>IF(AL$6="","",IF(OR(WEEKDAY(AL$6,1)=1,WEEKDAY(AL$6,1)=7),0,MIN(8,AL30)*AL29))</f>
      </c>
      <c r="AM31" s="26">
        <f>IF(AM$6="","",IF(OR(WEEKDAY(AM$6,1)=1,WEEKDAY(AM$6,1)=7),0,MIN(8,AM30)*AM29))</f>
      </c>
      <c r="AN31" s="26">
        <f>IF(AN$6="","",IF(OR(WEEKDAY(AN$6,1)=1,WEEKDAY(AN$6,1)=7),0,MIN(8,AN30)*AN29))</f>
      </c>
      <c r="AO31" s="26">
        <f>IF(AO$6="","",IF(OR(WEEKDAY(AO$6,1)=1,WEEKDAY(AO$6,1)=7),0,MIN(8,AO30)*AO29))</f>
      </c>
      <c r="AP31" s="26">
        <f>IF(AP$6="","",IF(OR(WEEKDAY(AP$6,1)=1,WEEKDAY(AP$6,1)=7),0,MIN(8,AP30)*AP29))</f>
      </c>
      <c r="AQ31" s="26">
        <f>IF(AQ$6="","",IF(OR(WEEKDAY(AQ$6,1)=1,WEEKDAY(AQ$6,1)=7),0,MIN(8,AQ30)*AQ29))</f>
      </c>
      <c r="AR31" s="26">
        <f>IF(AR$6="","",IF(OR(WEEKDAY(AR$6,1)=1,WEEKDAY(AR$6,1)=7),0,MIN(8,AR30)*AR29))</f>
      </c>
      <c r="AS31" s="26">
        <f>IF(AS$6="","",IF(OR(WEEKDAY(AS$6,1)=1,WEEKDAY(AS$6,1)=7),0,MIN(8,AS30)*AS29))</f>
      </c>
      <c r="AT31" s="26">
        <f>IF(AT$6="","",IF(OR(WEEKDAY(AT$6,1)=1,WEEKDAY(AT$6,1)=7),0,MIN(8,AT30)*AT29))</f>
      </c>
      <c r="AU31" s="26">
        <f>IF(AU$6="","",IF(OR(WEEKDAY(AU$6,1)=1,WEEKDAY(AU$6,1)=7),0,MIN(8,AU30)*AU29))</f>
      </c>
      <c r="AV31" s="26">
        <f>IF(AV$6="","",IF(OR(WEEKDAY(AV$6,1)=1,WEEKDAY(AV$6,1)=7),0,MIN(8,AV30)*AV29))</f>
      </c>
      <c r="AW31" s="26">
        <f>IF(AW$6="","",IF(OR(WEEKDAY(AW$6,1)=1,WEEKDAY(AW$6,1)=7),0,MIN(8,AW30)*AW29))</f>
      </c>
      <c r="AX31" s="26">
        <f>IF(AX$6="","",IF(OR(WEEKDAY(AX$6,1)=1,WEEKDAY(AX$6,1)=7),0,MIN(8,AX30)*AX29))</f>
      </c>
      <c r="AY31" s="26">
        <f>IF(AY$6="","",IF(OR(WEEKDAY(AY$6,1)=1,WEEKDAY(AY$6,1)=7),0,MIN(8,AY30)*AY29))</f>
      </c>
      <c r="AZ31" s="26">
        <f>IF(AZ$6="","",IF(OR(WEEKDAY(AZ$6,1)=1,WEEKDAY(AZ$6,1)=7),0,MIN(8,AZ30)*AZ29))</f>
      </c>
      <c r="BA31" s="26">
        <f>IF(BA$6="","",IF(OR(WEEKDAY(BA$6,1)=1,WEEKDAY(BA$6,1)=7),0,MIN(8,BA30)*BA29))</f>
      </c>
      <c r="BB31" s="26">
        <f>IF(BB$6="","",IF(OR(WEEKDAY(BB$6,1)=1,WEEKDAY(BB$6,1)=7),0,MIN(8,BB30)*BB29))</f>
      </c>
      <c r="BC31" s="26">
        <f>IF(BC$6="","",IF(OR(WEEKDAY(BC$6,1)=1,WEEKDAY(BC$6,1)=7),0,MIN(8,BC30)*BC29))</f>
      </c>
      <c r="BD31" s="26">
        <f>IF(BD$6="","",IF(OR(WEEKDAY(BD$6,1)=1,WEEKDAY(BD$6,1)=7),0,MIN(8,BD30)*BD29))</f>
      </c>
      <c r="BE31" s="26">
        <f>IF(BE$6="","",IF(OR(WEEKDAY(BE$6,1)=1,WEEKDAY(BE$6,1)=7),0,MIN(8,BE30)*BE29))</f>
      </c>
      <c r="BF31" s="26">
        <f>IF(BF$6="","",IF(OR(WEEKDAY(BF$6,1)=1,WEEKDAY(BF$6,1)=7),0,MIN(8,BF30)*BF29))</f>
      </c>
      <c r="BG31" s="26">
        <f>IF(BG$6="","",IF(OR(WEEKDAY(BG$6,1)=1,WEEKDAY(BG$6,1)=7),0,MIN(8,BG30)*BG29))</f>
      </c>
      <c r="BH31" s="26">
        <f>IF(BH$6="","",IF(OR(WEEKDAY(BH$6,1)=1,WEEKDAY(BH$6,1)=7),0,MIN(8,BH30)*BH29))</f>
      </c>
      <c r="BI31" s="26">
        <f>IF(BI$6="","",IF(OR(WEEKDAY(BI$6,1)=1,WEEKDAY(BI$6,1)=7),0,MIN(8,BI30)*BI29))</f>
      </c>
      <c r="BJ31" s="26">
        <f>IF(BJ$6="","",IF(OR(WEEKDAY(BJ$6,1)=1,WEEKDAY(BJ$6,1)=7),0,MIN(8,BJ30)*BJ29))</f>
      </c>
      <c r="BK31" s="26">
        <f>IF(BK$6="","",IF(OR(WEEKDAY(BK$6,1)=1,WEEKDAY(BK$6,1)=7),0,MIN(8,BK30)*BK29))</f>
      </c>
      <c r="BL31" s="26">
        <f>IF(BL$6="","",IF(OR(WEEKDAY(BL$6,1)=1,WEEKDAY(BL$6,1)=7),0,MIN(8,BL30)*BL29))</f>
      </c>
      <c r="BM31" s="26">
        <f>IF(BM$6="","",IF(OR(WEEKDAY(BM$6,1)=1,WEEKDAY(BM$6,1)=7),0,MIN(8,BM30)*BM29))</f>
      </c>
      <c r="BN31" s="26">
        <f>IF(BN$6="","",IF(OR(WEEKDAY(BN$6,1)=1,WEEKDAY(BN$6,1)=7),0,MIN(8,BN30)*BN29))</f>
      </c>
      <c r="BO31" s="26">
        <f>IF(BO$6="","",IF(OR(WEEKDAY(BO$6,1)=1,WEEKDAY(BO$6,1)=7),0,MIN(8,BO30)*BO29))</f>
      </c>
      <c r="BP31" s="26">
        <f>IF(BP$6="","",IF(OR(WEEKDAY(BP$6,1)=1,WEEKDAY(BP$6,1)=7),0,MIN(8,BP30)*BP29))</f>
      </c>
      <c r="BQ31" s="26">
        <f>IF(BQ$6="","",IF(OR(WEEKDAY(BQ$6,1)=1,WEEKDAY(BQ$6,1)=7),0,MIN(8,BQ30)*BQ29))</f>
      </c>
      <c r="BR31" s="26">
        <f>IF(BR$6="","",IF(OR(WEEKDAY(BR$6,1)=1,WEEKDAY(BR$6,1)=7),0,MIN(8,BR30)*BR29))</f>
      </c>
      <c r="BS31" s="26">
        <f>IF(BS$6="","",IF(OR(WEEKDAY(BS$6,1)=1,WEEKDAY(BS$6,1)=7),0,MIN(8,BS30)*BS29))</f>
      </c>
      <c r="BT31" s="26">
        <f>IF(BT$6="","",IF(OR(WEEKDAY(BT$6,1)=1,WEEKDAY(BT$6,1)=7),0,MIN(8,BT30)*BT29))</f>
      </c>
      <c r="BU31" s="26">
        <f>IF(BU$6="","",IF(OR(WEEKDAY(BU$6,1)=1,WEEKDAY(BU$6,1)=7),0,MIN(8,BU30)*BU29))</f>
      </c>
      <c r="BV31" s="26">
        <f>IF(BV$6="","",IF(OR(WEEKDAY(BV$6,1)=1,WEEKDAY(BV$6,1)=7),0,MIN(8,BV30)*BV29))</f>
      </c>
      <c r="BW31" s="26">
        <f>IF(BW$6="","",IF(OR(WEEKDAY(BW$6,1)=1,WEEKDAY(BW$6,1)=7),0,MIN(8,BW30)*BW29))</f>
      </c>
      <c r="BX31" s="26">
        <f>IF(BX$6="","",IF(OR(WEEKDAY(BX$6,1)=1,WEEKDAY(BX$6,1)=7),0,MIN(8,BX30)*BX29))</f>
      </c>
      <c r="BY31" s="26">
        <f>IF(BY$6="","",IF(OR(WEEKDAY(BY$6,1)=1,WEEKDAY(BY$6,1)=7),0,MIN(8,BY30)*BY29))</f>
      </c>
      <c r="BZ31" s="26">
        <f>IF(BZ$6="","",IF(OR(WEEKDAY(BZ$6,1)=1,WEEKDAY(BZ$6,1)=7),0,MIN(8,BZ30)*BZ29))</f>
      </c>
      <c r="CA31" s="26">
        <f>IF(CA$6="","",IF(OR(WEEKDAY(CA$6,1)=1,WEEKDAY(CA$6,1)=7),0,MIN(8,CA30)*CA29))</f>
      </c>
      <c r="CB31" s="26">
        <f>IF(CB$6="","",IF(OR(WEEKDAY(CB$6,1)=1,WEEKDAY(CB$6,1)=7),0,MIN(8,CB30)*CB29))</f>
      </c>
      <c r="CC31" s="26">
        <f>IF(CC$6="","",IF(OR(WEEKDAY(CC$6,1)=1,WEEKDAY(CC$6,1)=7),0,MIN(8,CC30)*CC29))</f>
      </c>
      <c r="CD31" s="26">
        <f>IF(CD$6="","",IF(OR(WEEKDAY(CD$6,1)=1,WEEKDAY(CD$6,1)=7),0,MIN(8,CD30)*CD29))</f>
      </c>
      <c r="CE31" s="26">
        <f>IF(CE$6="","",IF(OR(WEEKDAY(CE$6,1)=1,WEEKDAY(CE$6,1)=7),0,MIN(8,CE30)*CE29))</f>
      </c>
      <c r="CF31" s="26">
        <f>IF(CF$6="","",IF(OR(WEEKDAY(CF$6,1)=1,WEEKDAY(CF$6,1)=7),0,MIN(8,CF30)*CF29))</f>
      </c>
      <c r="CG31" s="26">
        <f>IF(CG$6="","",IF(OR(WEEKDAY(CG$6,1)=1,WEEKDAY(CG$6,1)=7),0,MIN(8,CG30)*CG29))</f>
      </c>
      <c r="CH31" s="26">
        <f>IF(CH$6="","",IF(OR(WEEKDAY(CH$6,1)=1,WEEKDAY(CH$6,1)=7),0,MIN(8,CH30)*CH29))</f>
      </c>
      <c r="CI31" s="26">
        <f>IF(CI$6="","",IF(OR(WEEKDAY(CI$6,1)=1,WEEKDAY(CI$6,1)=7),0,MIN(8,CI30)*CI29))</f>
      </c>
      <c r="CJ31" s="26">
        <f>IF(CJ$6="","",IF(OR(WEEKDAY(CJ$6,1)=1,WEEKDAY(CJ$6,1)=7),0,MIN(8,CJ30)*CJ29))</f>
      </c>
      <c r="CK31" s="26">
        <f>IF(CK$6="","",IF(OR(WEEKDAY(CK$6,1)=1,WEEKDAY(CK$6,1)=7),0,MIN(8,CK30)*CK29))</f>
      </c>
      <c r="CL31" s="26">
        <f>IF(CL$6="","",IF(OR(WEEKDAY(CL$6,1)=1,WEEKDAY(CL$6,1)=7),0,MIN(8,CL30)*CL29))</f>
      </c>
      <c r="CM31" s="26">
        <f>IF(CM$6="","",IF(OR(WEEKDAY(CM$6,1)=1,WEEKDAY(CM$6,1)=7),0,MIN(8,CM30)*CM29))</f>
      </c>
      <c r="CN31" s="26">
        <f>IF(CN$6="","",IF(OR(WEEKDAY(CN$6,1)=1,WEEKDAY(CN$6,1)=7),0,MIN(8,CN30)*CN29))</f>
      </c>
      <c r="CO31" s="26">
        <f>IF(CO$6="","",IF(OR(WEEKDAY(CO$6,1)=1,WEEKDAY(CO$6,1)=7),0,MIN(8,CO30)*CO29))</f>
      </c>
      <c r="CP31" s="26">
        <f>IF(CP$6="","",IF(OR(WEEKDAY(CP$6,1)=1,WEEKDAY(CP$6,1)=7),0,MIN(8,CP30)*CP29))</f>
      </c>
      <c r="CQ31" s="26">
        <f>IF(CQ$6="","",IF(OR(WEEKDAY(CQ$6,1)=1,WEEKDAY(CQ$6,1)=7),0,MIN(8,CQ30)*CQ29))</f>
      </c>
      <c r="CR31" s="26">
        <f>IF(CR$6="","",IF(OR(WEEKDAY(CR$6,1)=1,WEEKDAY(CR$6,1)=7),0,MIN(8,CR30)*CR29))</f>
      </c>
      <c r="CS31" s="26">
        <f>IF(CS$6="","",IF(OR(WEEKDAY(CS$6,1)=1,WEEKDAY(CS$6,1)=7),0,MIN(8,CS30)*CS29))</f>
      </c>
      <c r="CT31" s="26">
        <f>IF(CT$6="","",IF(OR(WEEKDAY(CT$6,1)=1,WEEKDAY(CT$6,1)=7),0,MIN(8,CT30)*CT29))</f>
      </c>
      <c r="CU31" s="26">
        <f>IF(CU$6="","",IF(OR(WEEKDAY(CU$6,1)=1,WEEKDAY(CU$6,1)=7),0,MIN(8,CU30)*CU29))</f>
      </c>
      <c r="CV31" s="26">
        <f>IF(CV$6="","",IF(OR(WEEKDAY(CV$6,1)=1,WEEKDAY(CV$6,1)=7),0,MIN(8,CV30)*CV29))</f>
      </c>
      <c r="CW31" s="26">
        <f>IF(CW$6="","",IF(OR(WEEKDAY(CW$6,1)=1,WEEKDAY(CW$6,1)=7),0,MIN(8,CW30)*CW29))</f>
      </c>
      <c r="CX31" s="8" t="s">
        <v>87</v>
      </c>
    </row>
    <row r="32" spans="2:102" x14ac:dyDescent="0.25">
      <c r="B32" s="26">
        <f>SUM(L32:CW32)</f>
      </c>
      <c r="D32" s="27">
        <f>B32*E32</f>
      </c>
      <c r="E32" s="27">
        <f>'Rate Tables'!D23</f>
      </c>
      <c r="F32" s="8" t="s">
        <v>40</v>
      </c>
      <c r="L32" s="26">
        <f>IF(L$6="","",IF(WEEKDAY(L$6,1)=1,0,IF(WEEKDAY(L$6,1)=7,L30*L29,MAX(0,L30-8)*L29)))</f>
      </c>
      <c r="M32" s="26">
        <f>IF(M$6="","",IF(WEEKDAY(M$6,1)=1,0,IF(WEEKDAY(M$6,1)=7,M30*M29,MAX(0,M30-8)*M29)))</f>
      </c>
      <c r="N32" s="26">
        <f>IF(N$6="","",IF(WEEKDAY(N$6,1)=1,0,IF(WEEKDAY(N$6,1)=7,N30*N29,MAX(0,N30-8)*N29)))</f>
      </c>
      <c r="O32" s="26">
        <f>IF(O$6="","",IF(WEEKDAY(O$6,1)=1,0,IF(WEEKDAY(O$6,1)=7,O30*O29,MAX(0,O30-8)*O29)))</f>
      </c>
      <c r="P32" s="26">
        <f>IF(P$6="","",IF(WEEKDAY(P$6,1)=1,0,IF(WEEKDAY(P$6,1)=7,P30*P29,MAX(0,P30-8)*P29)))</f>
      </c>
      <c r="Q32" s="26">
        <f>IF(Q$6="","",IF(WEEKDAY(Q$6,1)=1,0,IF(WEEKDAY(Q$6,1)=7,Q30*Q29,MAX(0,Q30-8)*Q29)))</f>
      </c>
      <c r="R32" s="26">
        <f>IF(R$6="","",IF(WEEKDAY(R$6,1)=1,0,IF(WEEKDAY(R$6,1)=7,R30*R29,MAX(0,R30-8)*R29)))</f>
      </c>
      <c r="S32" s="26">
        <f>IF(S$6="","",IF(WEEKDAY(S$6,1)=1,0,IF(WEEKDAY(S$6,1)=7,S30*S29,MAX(0,S30-8)*S29)))</f>
      </c>
      <c r="T32" s="26">
        <f>IF(T$6="","",IF(WEEKDAY(T$6,1)=1,0,IF(WEEKDAY(T$6,1)=7,T30*T29,MAX(0,T30-8)*T29)))</f>
      </c>
      <c r="U32" s="26">
        <f>IF(U$6="","",IF(WEEKDAY(U$6,1)=1,0,IF(WEEKDAY(U$6,1)=7,U30*U29,MAX(0,U30-8)*U29)))</f>
      </c>
      <c r="V32" s="26">
        <f>IF(V$6="","",IF(WEEKDAY(V$6,1)=1,0,IF(WEEKDAY(V$6,1)=7,V30*V29,MAX(0,V30-8)*V29)))</f>
      </c>
      <c r="W32" s="26">
        <f>IF(W$6="","",IF(WEEKDAY(W$6,1)=1,0,IF(WEEKDAY(W$6,1)=7,W30*W29,MAX(0,W30-8)*W29)))</f>
      </c>
      <c r="X32" s="26">
        <f>IF(X$6="","",IF(WEEKDAY(X$6,1)=1,0,IF(WEEKDAY(X$6,1)=7,X30*X29,MAX(0,X30-8)*X29)))</f>
      </c>
      <c r="Y32" s="26">
        <f>IF(Y$6="","",IF(WEEKDAY(Y$6,1)=1,0,IF(WEEKDAY(Y$6,1)=7,Y30*Y29,MAX(0,Y30-8)*Y29)))</f>
      </c>
      <c r="Z32" s="26">
        <f>IF(Z$6="","",IF(WEEKDAY(Z$6,1)=1,0,IF(WEEKDAY(Z$6,1)=7,Z30*Z29,MAX(0,Z30-8)*Z29)))</f>
      </c>
      <c r="AA32" s="26">
        <f>IF(AA$6="","",IF(WEEKDAY(AA$6,1)=1,0,IF(WEEKDAY(AA$6,1)=7,AA30*AA29,MAX(0,AA30-8)*AA29)))</f>
      </c>
      <c r="AB32" s="26">
        <f>IF(AB$6="","",IF(WEEKDAY(AB$6,1)=1,0,IF(WEEKDAY(AB$6,1)=7,AB30*AB29,MAX(0,AB30-8)*AB29)))</f>
      </c>
      <c r="AC32" s="26">
        <f>IF(AC$6="","",IF(WEEKDAY(AC$6,1)=1,0,IF(WEEKDAY(AC$6,1)=7,AC30*AC29,MAX(0,AC30-8)*AC29)))</f>
      </c>
      <c r="AD32" s="26">
        <f>IF(AD$6="","",IF(WEEKDAY(AD$6,1)=1,0,IF(WEEKDAY(AD$6,1)=7,AD30*AD29,MAX(0,AD30-8)*AD29)))</f>
      </c>
      <c r="AE32" s="26">
        <f>IF(AE$6="","",IF(WEEKDAY(AE$6,1)=1,0,IF(WEEKDAY(AE$6,1)=7,AE30*AE29,MAX(0,AE30-8)*AE29)))</f>
      </c>
      <c r="AF32" s="26">
        <f>IF(AF$6="","",IF(WEEKDAY(AF$6,1)=1,0,IF(WEEKDAY(AF$6,1)=7,AF30*AF29,MAX(0,AF30-8)*AF29)))</f>
      </c>
      <c r="AG32" s="26">
        <f>IF(AG$6="","",IF(WEEKDAY(AG$6,1)=1,0,IF(WEEKDAY(AG$6,1)=7,AG30*AG29,MAX(0,AG30-8)*AG29)))</f>
      </c>
      <c r="AH32" s="26">
        <f>IF(AH$6="","",IF(WEEKDAY(AH$6,1)=1,0,IF(WEEKDAY(AH$6,1)=7,AH30*AH29,MAX(0,AH30-8)*AH29)))</f>
      </c>
      <c r="AI32" s="26">
        <f>IF(AI$6="","",IF(WEEKDAY(AI$6,1)=1,0,IF(WEEKDAY(AI$6,1)=7,AI30*AI29,MAX(0,AI30-8)*AI29)))</f>
      </c>
      <c r="AJ32" s="26">
        <f>IF(AJ$6="","",IF(WEEKDAY(AJ$6,1)=1,0,IF(WEEKDAY(AJ$6,1)=7,AJ30*AJ29,MAX(0,AJ30-8)*AJ29)))</f>
      </c>
      <c r="AK32" s="26">
        <f>IF(AK$6="","",IF(WEEKDAY(AK$6,1)=1,0,IF(WEEKDAY(AK$6,1)=7,AK30*AK29,MAX(0,AK30-8)*AK29)))</f>
      </c>
      <c r="AL32" s="26">
        <f>IF(AL$6="","",IF(WEEKDAY(AL$6,1)=1,0,IF(WEEKDAY(AL$6,1)=7,AL30*AL29,MAX(0,AL30-8)*AL29)))</f>
      </c>
      <c r="AM32" s="26">
        <f>IF(AM$6="","",IF(WEEKDAY(AM$6,1)=1,0,IF(WEEKDAY(AM$6,1)=7,AM30*AM29,MAX(0,AM30-8)*AM29)))</f>
      </c>
      <c r="AN32" s="26">
        <f>IF(AN$6="","",IF(WEEKDAY(AN$6,1)=1,0,IF(WEEKDAY(AN$6,1)=7,AN30*AN29,MAX(0,AN30-8)*AN29)))</f>
      </c>
      <c r="AO32" s="26">
        <f>IF(AO$6="","",IF(WEEKDAY(AO$6,1)=1,0,IF(WEEKDAY(AO$6,1)=7,AO30*AO29,MAX(0,AO30-8)*AO29)))</f>
      </c>
      <c r="AP32" s="26">
        <f>IF(AP$6="","",IF(WEEKDAY(AP$6,1)=1,0,IF(WEEKDAY(AP$6,1)=7,AP30*AP29,MAX(0,AP30-8)*AP29)))</f>
      </c>
      <c r="AQ32" s="26">
        <f>IF(AQ$6="","",IF(WEEKDAY(AQ$6,1)=1,0,IF(WEEKDAY(AQ$6,1)=7,AQ30*AQ29,MAX(0,AQ30-8)*AQ29)))</f>
      </c>
      <c r="AR32" s="26">
        <f>IF(AR$6="","",IF(WEEKDAY(AR$6,1)=1,0,IF(WEEKDAY(AR$6,1)=7,AR30*AR29,MAX(0,AR30-8)*AR29)))</f>
      </c>
      <c r="AS32" s="26">
        <f>IF(AS$6="","",IF(WEEKDAY(AS$6,1)=1,0,IF(WEEKDAY(AS$6,1)=7,AS30*AS29,MAX(0,AS30-8)*AS29)))</f>
      </c>
      <c r="AT32" s="26">
        <f>IF(AT$6="","",IF(WEEKDAY(AT$6,1)=1,0,IF(WEEKDAY(AT$6,1)=7,AT30*AT29,MAX(0,AT30-8)*AT29)))</f>
      </c>
      <c r="AU32" s="26">
        <f>IF(AU$6="","",IF(WEEKDAY(AU$6,1)=1,0,IF(WEEKDAY(AU$6,1)=7,AU30*AU29,MAX(0,AU30-8)*AU29)))</f>
      </c>
      <c r="AV32" s="26">
        <f>IF(AV$6="","",IF(WEEKDAY(AV$6,1)=1,0,IF(WEEKDAY(AV$6,1)=7,AV30*AV29,MAX(0,AV30-8)*AV29)))</f>
      </c>
      <c r="AW32" s="26">
        <f>IF(AW$6="","",IF(WEEKDAY(AW$6,1)=1,0,IF(WEEKDAY(AW$6,1)=7,AW30*AW29,MAX(0,AW30-8)*AW29)))</f>
      </c>
      <c r="AX32" s="26">
        <f>IF(AX$6="","",IF(WEEKDAY(AX$6,1)=1,0,IF(WEEKDAY(AX$6,1)=7,AX30*AX29,MAX(0,AX30-8)*AX29)))</f>
      </c>
      <c r="AY32" s="26">
        <f>IF(AY$6="","",IF(WEEKDAY(AY$6,1)=1,0,IF(WEEKDAY(AY$6,1)=7,AY30*AY29,MAX(0,AY30-8)*AY29)))</f>
      </c>
      <c r="AZ32" s="26">
        <f>IF(AZ$6="","",IF(WEEKDAY(AZ$6,1)=1,0,IF(WEEKDAY(AZ$6,1)=7,AZ30*AZ29,MAX(0,AZ30-8)*AZ29)))</f>
      </c>
      <c r="BA32" s="26">
        <f>IF(BA$6="","",IF(WEEKDAY(BA$6,1)=1,0,IF(WEEKDAY(BA$6,1)=7,BA30*BA29,MAX(0,BA30-8)*BA29)))</f>
      </c>
      <c r="BB32" s="26">
        <f>IF(BB$6="","",IF(WEEKDAY(BB$6,1)=1,0,IF(WEEKDAY(BB$6,1)=7,BB30*BB29,MAX(0,BB30-8)*BB29)))</f>
      </c>
      <c r="BC32" s="26">
        <f>IF(BC$6="","",IF(WEEKDAY(BC$6,1)=1,0,IF(WEEKDAY(BC$6,1)=7,BC30*BC29,MAX(0,BC30-8)*BC29)))</f>
      </c>
      <c r="BD32" s="26">
        <f>IF(BD$6="","",IF(WEEKDAY(BD$6,1)=1,0,IF(WEEKDAY(BD$6,1)=7,BD30*BD29,MAX(0,BD30-8)*BD29)))</f>
      </c>
      <c r="BE32" s="26">
        <f>IF(BE$6="","",IF(WEEKDAY(BE$6,1)=1,0,IF(WEEKDAY(BE$6,1)=7,BE30*BE29,MAX(0,BE30-8)*BE29)))</f>
      </c>
      <c r="BF32" s="26">
        <f>IF(BF$6="","",IF(WEEKDAY(BF$6,1)=1,0,IF(WEEKDAY(BF$6,1)=7,BF30*BF29,MAX(0,BF30-8)*BF29)))</f>
      </c>
      <c r="BG32" s="26">
        <f>IF(BG$6="","",IF(WEEKDAY(BG$6,1)=1,0,IF(WEEKDAY(BG$6,1)=7,BG30*BG29,MAX(0,BG30-8)*BG29)))</f>
      </c>
      <c r="BH32" s="26">
        <f>IF(BH$6="","",IF(WEEKDAY(BH$6,1)=1,0,IF(WEEKDAY(BH$6,1)=7,BH30*BH29,MAX(0,BH30-8)*BH29)))</f>
      </c>
      <c r="BI32" s="26">
        <f>IF(BI$6="","",IF(WEEKDAY(BI$6,1)=1,0,IF(WEEKDAY(BI$6,1)=7,BI30*BI29,MAX(0,BI30-8)*BI29)))</f>
      </c>
      <c r="BJ32" s="26">
        <f>IF(BJ$6="","",IF(WEEKDAY(BJ$6,1)=1,0,IF(WEEKDAY(BJ$6,1)=7,BJ30*BJ29,MAX(0,BJ30-8)*BJ29)))</f>
      </c>
      <c r="BK32" s="26">
        <f>IF(BK$6="","",IF(WEEKDAY(BK$6,1)=1,0,IF(WEEKDAY(BK$6,1)=7,BK30*BK29,MAX(0,BK30-8)*BK29)))</f>
      </c>
      <c r="BL32" s="26">
        <f>IF(BL$6="","",IF(WEEKDAY(BL$6,1)=1,0,IF(WEEKDAY(BL$6,1)=7,BL30*BL29,MAX(0,BL30-8)*BL29)))</f>
      </c>
      <c r="BM32" s="26">
        <f>IF(BM$6="","",IF(WEEKDAY(BM$6,1)=1,0,IF(WEEKDAY(BM$6,1)=7,BM30*BM29,MAX(0,BM30-8)*BM29)))</f>
      </c>
      <c r="BN32" s="26">
        <f>IF(BN$6="","",IF(WEEKDAY(BN$6,1)=1,0,IF(WEEKDAY(BN$6,1)=7,BN30*BN29,MAX(0,BN30-8)*BN29)))</f>
      </c>
      <c r="BO32" s="26">
        <f>IF(BO$6="","",IF(WEEKDAY(BO$6,1)=1,0,IF(WEEKDAY(BO$6,1)=7,BO30*BO29,MAX(0,BO30-8)*BO29)))</f>
      </c>
      <c r="BP32" s="26">
        <f>IF(BP$6="","",IF(WEEKDAY(BP$6,1)=1,0,IF(WEEKDAY(BP$6,1)=7,BP30*BP29,MAX(0,BP30-8)*BP29)))</f>
      </c>
      <c r="BQ32" s="26">
        <f>IF(BQ$6="","",IF(WEEKDAY(BQ$6,1)=1,0,IF(WEEKDAY(BQ$6,1)=7,BQ30*BQ29,MAX(0,BQ30-8)*BQ29)))</f>
      </c>
      <c r="BR32" s="26">
        <f>IF(BR$6="","",IF(WEEKDAY(BR$6,1)=1,0,IF(WEEKDAY(BR$6,1)=7,BR30*BR29,MAX(0,BR30-8)*BR29)))</f>
      </c>
      <c r="BS32" s="26">
        <f>IF(BS$6="","",IF(WEEKDAY(BS$6,1)=1,0,IF(WEEKDAY(BS$6,1)=7,BS30*BS29,MAX(0,BS30-8)*BS29)))</f>
      </c>
      <c r="BT32" s="26">
        <f>IF(BT$6="","",IF(WEEKDAY(BT$6,1)=1,0,IF(WEEKDAY(BT$6,1)=7,BT30*BT29,MAX(0,BT30-8)*BT29)))</f>
      </c>
      <c r="BU32" s="26">
        <f>IF(BU$6="","",IF(WEEKDAY(BU$6,1)=1,0,IF(WEEKDAY(BU$6,1)=7,BU30*BU29,MAX(0,BU30-8)*BU29)))</f>
      </c>
      <c r="BV32" s="26">
        <f>IF(BV$6="","",IF(WEEKDAY(BV$6,1)=1,0,IF(WEEKDAY(BV$6,1)=7,BV30*BV29,MAX(0,BV30-8)*BV29)))</f>
      </c>
      <c r="BW32" s="26">
        <f>IF(BW$6="","",IF(WEEKDAY(BW$6,1)=1,0,IF(WEEKDAY(BW$6,1)=7,BW30*BW29,MAX(0,BW30-8)*BW29)))</f>
      </c>
      <c r="BX32" s="26">
        <f>IF(BX$6="","",IF(WEEKDAY(BX$6,1)=1,0,IF(WEEKDAY(BX$6,1)=7,BX30*BX29,MAX(0,BX30-8)*BX29)))</f>
      </c>
      <c r="BY32" s="26">
        <f>IF(BY$6="","",IF(WEEKDAY(BY$6,1)=1,0,IF(WEEKDAY(BY$6,1)=7,BY30*BY29,MAX(0,BY30-8)*BY29)))</f>
      </c>
      <c r="BZ32" s="26">
        <f>IF(BZ$6="","",IF(WEEKDAY(BZ$6,1)=1,0,IF(WEEKDAY(BZ$6,1)=7,BZ30*BZ29,MAX(0,BZ30-8)*BZ29)))</f>
      </c>
      <c r="CA32" s="26">
        <f>IF(CA$6="","",IF(WEEKDAY(CA$6,1)=1,0,IF(WEEKDAY(CA$6,1)=7,CA30*CA29,MAX(0,CA30-8)*CA29)))</f>
      </c>
      <c r="CB32" s="26">
        <f>IF(CB$6="","",IF(WEEKDAY(CB$6,1)=1,0,IF(WEEKDAY(CB$6,1)=7,CB30*CB29,MAX(0,CB30-8)*CB29)))</f>
      </c>
      <c r="CC32" s="26">
        <f>IF(CC$6="","",IF(WEEKDAY(CC$6,1)=1,0,IF(WEEKDAY(CC$6,1)=7,CC30*CC29,MAX(0,CC30-8)*CC29)))</f>
      </c>
      <c r="CD32" s="26">
        <f>IF(CD$6="","",IF(WEEKDAY(CD$6,1)=1,0,IF(WEEKDAY(CD$6,1)=7,CD30*CD29,MAX(0,CD30-8)*CD29)))</f>
      </c>
      <c r="CE32" s="26">
        <f>IF(CE$6="","",IF(WEEKDAY(CE$6,1)=1,0,IF(WEEKDAY(CE$6,1)=7,CE30*CE29,MAX(0,CE30-8)*CE29)))</f>
      </c>
      <c r="CF32" s="26">
        <f>IF(CF$6="","",IF(WEEKDAY(CF$6,1)=1,0,IF(WEEKDAY(CF$6,1)=7,CF30*CF29,MAX(0,CF30-8)*CF29)))</f>
      </c>
      <c r="CG32" s="26">
        <f>IF(CG$6="","",IF(WEEKDAY(CG$6,1)=1,0,IF(WEEKDAY(CG$6,1)=7,CG30*CG29,MAX(0,CG30-8)*CG29)))</f>
      </c>
      <c r="CH32" s="26">
        <f>IF(CH$6="","",IF(WEEKDAY(CH$6,1)=1,0,IF(WEEKDAY(CH$6,1)=7,CH30*CH29,MAX(0,CH30-8)*CH29)))</f>
      </c>
      <c r="CI32" s="26">
        <f>IF(CI$6="","",IF(WEEKDAY(CI$6,1)=1,0,IF(WEEKDAY(CI$6,1)=7,CI30*CI29,MAX(0,CI30-8)*CI29)))</f>
      </c>
      <c r="CJ32" s="26">
        <f>IF(CJ$6="","",IF(WEEKDAY(CJ$6,1)=1,0,IF(WEEKDAY(CJ$6,1)=7,CJ30*CJ29,MAX(0,CJ30-8)*CJ29)))</f>
      </c>
      <c r="CK32" s="26">
        <f>IF(CK$6="","",IF(WEEKDAY(CK$6,1)=1,0,IF(WEEKDAY(CK$6,1)=7,CK30*CK29,MAX(0,CK30-8)*CK29)))</f>
      </c>
      <c r="CL32" s="26">
        <f>IF(CL$6="","",IF(WEEKDAY(CL$6,1)=1,0,IF(WEEKDAY(CL$6,1)=7,CL30*CL29,MAX(0,CL30-8)*CL29)))</f>
      </c>
      <c r="CM32" s="26">
        <f>IF(CM$6="","",IF(WEEKDAY(CM$6,1)=1,0,IF(WEEKDAY(CM$6,1)=7,CM30*CM29,MAX(0,CM30-8)*CM29)))</f>
      </c>
      <c r="CN32" s="26">
        <f>IF(CN$6="","",IF(WEEKDAY(CN$6,1)=1,0,IF(WEEKDAY(CN$6,1)=7,CN30*CN29,MAX(0,CN30-8)*CN29)))</f>
      </c>
      <c r="CO32" s="26">
        <f>IF(CO$6="","",IF(WEEKDAY(CO$6,1)=1,0,IF(WEEKDAY(CO$6,1)=7,CO30*CO29,MAX(0,CO30-8)*CO29)))</f>
      </c>
      <c r="CP32" s="26">
        <f>IF(CP$6="","",IF(WEEKDAY(CP$6,1)=1,0,IF(WEEKDAY(CP$6,1)=7,CP30*CP29,MAX(0,CP30-8)*CP29)))</f>
      </c>
      <c r="CQ32" s="26">
        <f>IF(CQ$6="","",IF(WEEKDAY(CQ$6,1)=1,0,IF(WEEKDAY(CQ$6,1)=7,CQ30*CQ29,MAX(0,CQ30-8)*CQ29)))</f>
      </c>
      <c r="CR32" s="26">
        <f>IF(CR$6="","",IF(WEEKDAY(CR$6,1)=1,0,IF(WEEKDAY(CR$6,1)=7,CR30*CR29,MAX(0,CR30-8)*CR29)))</f>
      </c>
      <c r="CS32" s="26">
        <f>IF(CS$6="","",IF(WEEKDAY(CS$6,1)=1,0,IF(WEEKDAY(CS$6,1)=7,CS30*CS29,MAX(0,CS30-8)*CS29)))</f>
      </c>
      <c r="CT32" s="26">
        <f>IF(CT$6="","",IF(WEEKDAY(CT$6,1)=1,0,IF(WEEKDAY(CT$6,1)=7,CT30*CT29,MAX(0,CT30-8)*CT29)))</f>
      </c>
      <c r="CU32" s="26">
        <f>IF(CU$6="","",IF(WEEKDAY(CU$6,1)=1,0,IF(WEEKDAY(CU$6,1)=7,CU30*CU29,MAX(0,CU30-8)*CU29)))</f>
      </c>
      <c r="CV32" s="26">
        <f>IF(CV$6="","",IF(WEEKDAY(CV$6,1)=1,0,IF(WEEKDAY(CV$6,1)=7,CV30*CV29,MAX(0,CV30-8)*CV29)))</f>
      </c>
      <c r="CW32" s="26">
        <f>IF(CW$6="","",IF(WEEKDAY(CW$6,1)=1,0,IF(WEEKDAY(CW$6,1)=7,CW30*CW29,MAX(0,CW30-8)*CW29)))</f>
      </c>
      <c r="CX32" s="8" t="s">
        <v>87</v>
      </c>
    </row>
    <row r="33" spans="2:102" x14ac:dyDescent="0.25">
      <c r="B33" s="26">
        <f>SUM(L33:CW33)</f>
      </c>
      <c r="D33" s="27">
        <f>B33*E33</f>
      </c>
      <c r="E33" s="27">
        <f>'Rate Tables'!E23</f>
      </c>
      <c r="F33" s="8" t="s">
        <v>41</v>
      </c>
      <c r="L33" s="26">
        <f>IF(L$6="","",IF(WEEKDAY(L$6,1)=1,L30*L29,0))</f>
      </c>
      <c r="M33" s="26">
        <f>IF(M$6="","",IF(WEEKDAY(M$6,1)=1,M30*M29,0))</f>
      </c>
      <c r="N33" s="26">
        <f>IF(N$6="","",IF(WEEKDAY(N$6,1)=1,N30*N29,0))</f>
      </c>
      <c r="O33" s="26">
        <f>IF(O$6="","",IF(WEEKDAY(O$6,1)=1,O30*O29,0))</f>
      </c>
      <c r="P33" s="26">
        <f>IF(P$6="","",IF(WEEKDAY(P$6,1)=1,P30*P29,0))</f>
      </c>
      <c r="Q33" s="26">
        <f>IF(Q$6="","",IF(WEEKDAY(Q$6,1)=1,Q30*Q29,0))</f>
      </c>
      <c r="R33" s="26">
        <f>IF(R$6="","",IF(WEEKDAY(R$6,1)=1,R30*R29,0))</f>
      </c>
      <c r="S33" s="26">
        <f>IF(S$6="","",IF(WEEKDAY(S$6,1)=1,S30*S29,0))</f>
      </c>
      <c r="T33" s="26">
        <f>IF(T$6="","",IF(WEEKDAY(T$6,1)=1,T30*T29,0))</f>
      </c>
      <c r="U33" s="26">
        <f>IF(U$6="","",IF(WEEKDAY(U$6,1)=1,U30*U29,0))</f>
      </c>
      <c r="V33" s="26">
        <f>IF(V$6="","",IF(WEEKDAY(V$6,1)=1,V30*V29,0))</f>
      </c>
      <c r="W33" s="26">
        <f>IF(W$6="","",IF(WEEKDAY(W$6,1)=1,W30*W29,0))</f>
      </c>
      <c r="X33" s="26">
        <f>IF(X$6="","",IF(WEEKDAY(X$6,1)=1,X30*X29,0))</f>
      </c>
      <c r="Y33" s="26">
        <f>IF(Y$6="","",IF(WEEKDAY(Y$6,1)=1,Y30*Y29,0))</f>
      </c>
      <c r="Z33" s="26">
        <f>IF(Z$6="","",IF(WEEKDAY(Z$6,1)=1,Z30*Z29,0))</f>
      </c>
      <c r="AA33" s="26">
        <f>IF(AA$6="","",IF(WEEKDAY(AA$6,1)=1,AA30*AA29,0))</f>
      </c>
      <c r="AB33" s="26">
        <f>IF(AB$6="","",IF(WEEKDAY(AB$6,1)=1,AB30*AB29,0))</f>
      </c>
      <c r="AC33" s="26">
        <f>IF(AC$6="","",IF(WEEKDAY(AC$6,1)=1,AC30*AC29,0))</f>
      </c>
      <c r="AD33" s="26">
        <f>IF(AD$6="","",IF(WEEKDAY(AD$6,1)=1,AD30*AD29,0))</f>
      </c>
      <c r="AE33" s="26">
        <f>IF(AE$6="","",IF(WEEKDAY(AE$6,1)=1,AE30*AE29,0))</f>
      </c>
      <c r="AF33" s="26">
        <f>IF(AF$6="","",IF(WEEKDAY(AF$6,1)=1,AF30*AF29,0))</f>
      </c>
      <c r="AG33" s="26">
        <f>IF(AG$6="","",IF(WEEKDAY(AG$6,1)=1,AG30*AG29,0))</f>
      </c>
      <c r="AH33" s="26">
        <f>IF(AH$6="","",IF(WEEKDAY(AH$6,1)=1,AH30*AH29,0))</f>
      </c>
      <c r="AI33" s="26">
        <f>IF(AI$6="","",IF(WEEKDAY(AI$6,1)=1,AI30*AI29,0))</f>
      </c>
      <c r="AJ33" s="26">
        <f>IF(AJ$6="","",IF(WEEKDAY(AJ$6,1)=1,AJ30*AJ29,0))</f>
      </c>
      <c r="AK33" s="26">
        <f>IF(AK$6="","",IF(WEEKDAY(AK$6,1)=1,AK30*AK29,0))</f>
      </c>
      <c r="AL33" s="26">
        <f>IF(AL$6="","",IF(WEEKDAY(AL$6,1)=1,AL30*AL29,0))</f>
      </c>
      <c r="AM33" s="26">
        <f>IF(AM$6="","",IF(WEEKDAY(AM$6,1)=1,AM30*AM29,0))</f>
      </c>
      <c r="AN33" s="26">
        <f>IF(AN$6="","",IF(WEEKDAY(AN$6,1)=1,AN30*AN29,0))</f>
      </c>
      <c r="AO33" s="26">
        <f>IF(AO$6="","",IF(WEEKDAY(AO$6,1)=1,AO30*AO29,0))</f>
      </c>
      <c r="AP33" s="26">
        <f>IF(AP$6="","",IF(WEEKDAY(AP$6,1)=1,AP30*AP29,0))</f>
      </c>
      <c r="AQ33" s="26">
        <f>IF(AQ$6="","",IF(WEEKDAY(AQ$6,1)=1,AQ30*AQ29,0))</f>
      </c>
      <c r="AR33" s="26">
        <f>IF(AR$6="","",IF(WEEKDAY(AR$6,1)=1,AR30*AR29,0))</f>
      </c>
      <c r="AS33" s="26">
        <f>IF(AS$6="","",IF(WEEKDAY(AS$6,1)=1,AS30*AS29,0))</f>
      </c>
      <c r="AT33" s="26">
        <f>IF(AT$6="","",IF(WEEKDAY(AT$6,1)=1,AT30*AT29,0))</f>
      </c>
      <c r="AU33" s="26">
        <f>IF(AU$6="","",IF(WEEKDAY(AU$6,1)=1,AU30*AU29,0))</f>
      </c>
      <c r="AV33" s="26">
        <f>IF(AV$6="","",IF(WEEKDAY(AV$6,1)=1,AV30*AV29,0))</f>
      </c>
      <c r="AW33" s="26">
        <f>IF(AW$6="","",IF(WEEKDAY(AW$6,1)=1,AW30*AW29,0))</f>
      </c>
      <c r="AX33" s="26">
        <f>IF(AX$6="","",IF(WEEKDAY(AX$6,1)=1,AX30*AX29,0))</f>
      </c>
      <c r="AY33" s="26">
        <f>IF(AY$6="","",IF(WEEKDAY(AY$6,1)=1,AY30*AY29,0))</f>
      </c>
      <c r="AZ33" s="26">
        <f>IF(AZ$6="","",IF(WEEKDAY(AZ$6,1)=1,AZ30*AZ29,0))</f>
      </c>
      <c r="BA33" s="26">
        <f>IF(BA$6="","",IF(WEEKDAY(BA$6,1)=1,BA30*BA29,0))</f>
      </c>
      <c r="BB33" s="26">
        <f>IF(BB$6="","",IF(WEEKDAY(BB$6,1)=1,BB30*BB29,0))</f>
      </c>
      <c r="BC33" s="26">
        <f>IF(BC$6="","",IF(WEEKDAY(BC$6,1)=1,BC30*BC29,0))</f>
      </c>
      <c r="BD33" s="26">
        <f>IF(BD$6="","",IF(WEEKDAY(BD$6,1)=1,BD30*BD29,0))</f>
      </c>
      <c r="BE33" s="26">
        <f>IF(BE$6="","",IF(WEEKDAY(BE$6,1)=1,BE30*BE29,0))</f>
      </c>
      <c r="BF33" s="26">
        <f>IF(BF$6="","",IF(WEEKDAY(BF$6,1)=1,BF30*BF29,0))</f>
      </c>
      <c r="BG33" s="26">
        <f>IF(BG$6="","",IF(WEEKDAY(BG$6,1)=1,BG30*BG29,0))</f>
      </c>
      <c r="BH33" s="26">
        <f>IF(BH$6="","",IF(WEEKDAY(BH$6,1)=1,BH30*BH29,0))</f>
      </c>
      <c r="BI33" s="26">
        <f>IF(BI$6="","",IF(WEEKDAY(BI$6,1)=1,BI30*BI29,0))</f>
      </c>
      <c r="BJ33" s="26">
        <f>IF(BJ$6="","",IF(WEEKDAY(BJ$6,1)=1,BJ30*BJ29,0))</f>
      </c>
      <c r="BK33" s="26">
        <f>IF(BK$6="","",IF(WEEKDAY(BK$6,1)=1,BK30*BK29,0))</f>
      </c>
      <c r="BL33" s="26">
        <f>IF(BL$6="","",IF(WEEKDAY(BL$6,1)=1,BL30*BL29,0))</f>
      </c>
      <c r="BM33" s="26">
        <f>IF(BM$6="","",IF(WEEKDAY(BM$6,1)=1,BM30*BM29,0))</f>
      </c>
      <c r="BN33" s="26">
        <f>IF(BN$6="","",IF(WEEKDAY(BN$6,1)=1,BN30*BN29,0))</f>
      </c>
      <c r="BO33" s="26">
        <f>IF(BO$6="","",IF(WEEKDAY(BO$6,1)=1,BO30*BO29,0))</f>
      </c>
      <c r="BP33" s="26">
        <f>IF(BP$6="","",IF(WEEKDAY(BP$6,1)=1,BP30*BP29,0))</f>
      </c>
      <c r="BQ33" s="26">
        <f>IF(BQ$6="","",IF(WEEKDAY(BQ$6,1)=1,BQ30*BQ29,0))</f>
      </c>
      <c r="BR33" s="26">
        <f>IF(BR$6="","",IF(WEEKDAY(BR$6,1)=1,BR30*BR29,0))</f>
      </c>
      <c r="BS33" s="26">
        <f>IF(BS$6="","",IF(WEEKDAY(BS$6,1)=1,BS30*BS29,0))</f>
      </c>
      <c r="BT33" s="26">
        <f>IF(BT$6="","",IF(WEEKDAY(BT$6,1)=1,BT30*BT29,0))</f>
      </c>
      <c r="BU33" s="26">
        <f>IF(BU$6="","",IF(WEEKDAY(BU$6,1)=1,BU30*BU29,0))</f>
      </c>
      <c r="BV33" s="26">
        <f>IF(BV$6="","",IF(WEEKDAY(BV$6,1)=1,BV30*BV29,0))</f>
      </c>
      <c r="BW33" s="26">
        <f>IF(BW$6="","",IF(WEEKDAY(BW$6,1)=1,BW30*BW29,0))</f>
      </c>
      <c r="BX33" s="26">
        <f>IF(BX$6="","",IF(WEEKDAY(BX$6,1)=1,BX30*BX29,0))</f>
      </c>
      <c r="BY33" s="26">
        <f>IF(BY$6="","",IF(WEEKDAY(BY$6,1)=1,BY30*BY29,0))</f>
      </c>
      <c r="BZ33" s="26">
        <f>IF(BZ$6="","",IF(WEEKDAY(BZ$6,1)=1,BZ30*BZ29,0))</f>
      </c>
      <c r="CA33" s="26">
        <f>IF(CA$6="","",IF(WEEKDAY(CA$6,1)=1,CA30*CA29,0))</f>
      </c>
      <c r="CB33" s="26">
        <f>IF(CB$6="","",IF(WEEKDAY(CB$6,1)=1,CB30*CB29,0))</f>
      </c>
      <c r="CC33" s="26">
        <f>IF(CC$6="","",IF(WEEKDAY(CC$6,1)=1,CC30*CC29,0))</f>
      </c>
      <c r="CD33" s="26">
        <f>IF(CD$6="","",IF(WEEKDAY(CD$6,1)=1,CD30*CD29,0))</f>
      </c>
      <c r="CE33" s="26">
        <f>IF(CE$6="","",IF(WEEKDAY(CE$6,1)=1,CE30*CE29,0))</f>
      </c>
      <c r="CF33" s="26">
        <f>IF(CF$6="","",IF(WEEKDAY(CF$6,1)=1,CF30*CF29,0))</f>
      </c>
      <c r="CG33" s="26">
        <f>IF(CG$6="","",IF(WEEKDAY(CG$6,1)=1,CG30*CG29,0))</f>
      </c>
      <c r="CH33" s="26">
        <f>IF(CH$6="","",IF(WEEKDAY(CH$6,1)=1,CH30*CH29,0))</f>
      </c>
      <c r="CI33" s="26">
        <f>IF(CI$6="","",IF(WEEKDAY(CI$6,1)=1,CI30*CI29,0))</f>
      </c>
      <c r="CJ33" s="26">
        <f>IF(CJ$6="","",IF(WEEKDAY(CJ$6,1)=1,CJ30*CJ29,0))</f>
      </c>
      <c r="CK33" s="26">
        <f>IF(CK$6="","",IF(WEEKDAY(CK$6,1)=1,CK30*CK29,0))</f>
      </c>
      <c r="CL33" s="26">
        <f>IF(CL$6="","",IF(WEEKDAY(CL$6,1)=1,CL30*CL29,0))</f>
      </c>
      <c r="CM33" s="26">
        <f>IF(CM$6="","",IF(WEEKDAY(CM$6,1)=1,CM30*CM29,0))</f>
      </c>
      <c r="CN33" s="26">
        <f>IF(CN$6="","",IF(WEEKDAY(CN$6,1)=1,CN30*CN29,0))</f>
      </c>
      <c r="CO33" s="26">
        <f>IF(CO$6="","",IF(WEEKDAY(CO$6,1)=1,CO30*CO29,0))</f>
      </c>
      <c r="CP33" s="26">
        <f>IF(CP$6="","",IF(WEEKDAY(CP$6,1)=1,CP30*CP29,0))</f>
      </c>
      <c r="CQ33" s="26">
        <f>IF(CQ$6="","",IF(WEEKDAY(CQ$6,1)=1,CQ30*CQ29,0))</f>
      </c>
      <c r="CR33" s="26">
        <f>IF(CR$6="","",IF(WEEKDAY(CR$6,1)=1,CR30*CR29,0))</f>
      </c>
      <c r="CS33" s="26">
        <f>IF(CS$6="","",IF(WEEKDAY(CS$6,1)=1,CS30*CS29,0))</f>
      </c>
      <c r="CT33" s="26">
        <f>IF(CT$6="","",IF(WEEKDAY(CT$6,1)=1,CT30*CT29,0))</f>
      </c>
      <c r="CU33" s="26">
        <f>IF(CU$6="","",IF(WEEKDAY(CU$6,1)=1,CU30*CU29,0))</f>
      </c>
      <c r="CV33" s="26">
        <f>IF(CV$6="","",IF(WEEKDAY(CV$6,1)=1,CV30*CV29,0))</f>
      </c>
      <c r="CW33" s="26">
        <f>IF(CW$6="","",IF(WEEKDAY(CW$6,1)=1,CW30*CW29,0))</f>
      </c>
      <c r="CX33" s="8" t="s">
        <v>87</v>
      </c>
    </row>
    <row r="34" spans="2:102" x14ac:dyDescent="0.25">
      <c r="B34" s="26">
        <f>SUM(L34:CW34)</f>
      </c>
      <c r="D34" s="27">
        <f>B34*E34</f>
      </c>
      <c r="E34" s="27">
        <v>130</v>
      </c>
      <c r="F34" s="8" t="s">
        <v>42</v>
      </c>
      <c r="L34" s="28">
        <v>0</v>
      </c>
      <c r="M34" s="28">
        <v>0</v>
      </c>
      <c r="N34" s="28">
        <v>0</v>
      </c>
      <c r="O34" s="28">
        <v>0</v>
      </c>
      <c r="P34" s="28">
        <v>0</v>
      </c>
      <c r="Q34" s="28">
        <v>0</v>
      </c>
      <c r="R34" s="28">
        <v>0</v>
      </c>
      <c r="S34" s="28">
        <v>0</v>
      </c>
      <c r="T34" s="28">
        <v>0</v>
      </c>
      <c r="U34" s="28">
        <v>0</v>
      </c>
      <c r="V34" s="28">
        <v>0</v>
      </c>
      <c r="W34" s="28">
        <v>0</v>
      </c>
      <c r="X34" s="28">
        <v>0</v>
      </c>
      <c r="Y34" s="28">
        <v>0</v>
      </c>
      <c r="Z34" s="28">
        <v>0</v>
      </c>
      <c r="AA34" s="28">
        <v>0</v>
      </c>
      <c r="AB34" s="28">
        <v>0</v>
      </c>
      <c r="AC34" s="28">
        <v>0</v>
      </c>
      <c r="AD34" s="28">
        <v>0</v>
      </c>
      <c r="AE34" s="28">
        <v>0</v>
      </c>
      <c r="AF34" s="28">
        <v>0</v>
      </c>
      <c r="AG34" s="28">
        <v>0</v>
      </c>
      <c r="AH34" s="28">
        <v>0</v>
      </c>
      <c r="AI34" s="28">
        <v>0</v>
      </c>
      <c r="AJ34" s="28">
        <v>0</v>
      </c>
      <c r="AK34" s="28">
        <v>0</v>
      </c>
      <c r="AL34" s="28">
        <v>0</v>
      </c>
      <c r="AM34" s="28">
        <v>0</v>
      </c>
      <c r="AN34" s="28">
        <v>0</v>
      </c>
      <c r="AO34" s="28">
        <v>0</v>
      </c>
      <c r="AP34" s="28">
        <v>0</v>
      </c>
      <c r="AQ34" s="28">
        <v>0</v>
      </c>
      <c r="AR34" s="28">
        <v>0</v>
      </c>
      <c r="AS34" s="28">
        <v>0</v>
      </c>
      <c r="AT34" s="28">
        <v>0</v>
      </c>
      <c r="AU34" s="28">
        <v>0</v>
      </c>
      <c r="AV34" s="28">
        <v>0</v>
      </c>
      <c r="AW34" s="28">
        <v>0</v>
      </c>
      <c r="AX34" s="28">
        <v>0</v>
      </c>
      <c r="AY34" s="28">
        <v>0</v>
      </c>
      <c r="AZ34" s="28">
        <v>0</v>
      </c>
      <c r="BA34" s="28">
        <v>0</v>
      </c>
      <c r="BB34" s="28">
        <v>0</v>
      </c>
      <c r="BC34" s="28">
        <v>0</v>
      </c>
      <c r="BD34" s="28">
        <v>0</v>
      </c>
      <c r="BE34" s="28">
        <v>0</v>
      </c>
      <c r="BF34" s="28">
        <v>0</v>
      </c>
      <c r="BG34" s="28">
        <v>0</v>
      </c>
      <c r="BH34" s="28">
        <v>0</v>
      </c>
      <c r="BI34" s="28">
        <v>7</v>
      </c>
      <c r="BJ34" s="28">
        <v>7</v>
      </c>
      <c r="BK34" s="28">
        <v>7</v>
      </c>
      <c r="BL34" s="28">
        <v>7</v>
      </c>
      <c r="BM34" s="28">
        <v>7</v>
      </c>
      <c r="BN34" s="28">
        <v>7</v>
      </c>
      <c r="BO34" s="28">
        <v>7</v>
      </c>
      <c r="BP34" s="28">
        <v>7</v>
      </c>
      <c r="BQ34" s="28">
        <v>7</v>
      </c>
      <c r="BR34" s="28">
        <v>7</v>
      </c>
      <c r="BS34" s="28">
        <v>7</v>
      </c>
      <c r="BT34" s="28">
        <v>7</v>
      </c>
      <c r="BU34" s="28">
        <v>7</v>
      </c>
      <c r="BV34" s="28">
        <v>7</v>
      </c>
      <c r="BW34" s="28">
        <v>7</v>
      </c>
      <c r="BX34" s="28">
        <v>7</v>
      </c>
      <c r="BY34" s="28">
        <v>7</v>
      </c>
      <c r="BZ34" s="28">
        <v>7</v>
      </c>
      <c r="CA34" s="28">
        <v>7</v>
      </c>
      <c r="CB34" s="28">
        <v>7</v>
      </c>
      <c r="CC34" s="28">
        <v>0</v>
      </c>
      <c r="CD34" s="28">
        <v>7</v>
      </c>
      <c r="CE34" s="28">
        <v>7</v>
      </c>
      <c r="CF34" s="28">
        <v>7</v>
      </c>
      <c r="CG34" s="28">
        <v>7</v>
      </c>
      <c r="CH34" s="28">
        <v>7</v>
      </c>
      <c r="CI34" s="28">
        <v>7</v>
      </c>
      <c r="CJ34" s="28">
        <v>7</v>
      </c>
      <c r="CK34" s="28">
        <v>7</v>
      </c>
      <c r="CL34" s="28">
        <v>7</v>
      </c>
      <c r="CM34" s="28">
        <v>7</v>
      </c>
      <c r="CN34" s="28">
        <v>7</v>
      </c>
      <c r="CO34" s="28">
        <v>7</v>
      </c>
      <c r="CP34" s="28">
        <v>7</v>
      </c>
      <c r="CQ34" s="28">
        <v>0</v>
      </c>
      <c r="CR34" s="28">
        <v>7</v>
      </c>
      <c r="CS34" s="28">
        <v>7</v>
      </c>
      <c r="CT34" s="28">
        <v>7</v>
      </c>
      <c r="CU34" s="28">
        <v>7</v>
      </c>
      <c r="CV34" s="28">
        <v>7</v>
      </c>
      <c r="CW34" s="28">
        <v>7</v>
      </c>
      <c r="CX34" s="8" t="s">
        <v>87</v>
      </c>
    </row>
    <row r="35" spans="1:11" x14ac:dyDescent="0.25">
      <c r="A35" s="14" t="s">
        <v>81</v>
      </c>
      <c r="B35" s="15">
        <f>SUM(B7,B14,B21,B28)</f>
      </c>
      <c r="D35" s="18">
        <f>SUM(D13,D20,D27,D34)</f>
      </c>
      <c r="G35" s="15">
        <f>SUM(G7,G14,G21,G28)</f>
      </c>
      <c r="H35" s="15">
        <f>SUM(H7,H14,H21,H28)</f>
      </c>
      <c r="I35" s="15">
        <f>SUM(I7,I14,I21,I28)</f>
      </c>
      <c r="J35" s="15">
        <f>SUM(J7,J14,J21,J28)</f>
      </c>
      <c r="K35" s="18">
        <f>SUM(K7,K14,K21,K28)</f>
      </c>
    </row>
  </sheetData>
  <mergeCells count="2">
    <mergeCell ref="A1:CW1"/>
    <mergeCell ref="A3:CW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35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01" width="7" customWidth="1"/>
    <col min="102" max="102" width="3" hidden="1" customWidth="1"/>
  </cols>
  <sheetData>
    <row r="1" ht="22" customHeight="1" spans="1:10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</row>
    <row r="2" spans="1:1" x14ac:dyDescent="0.25">
      <c r="A2" s="2" t="s">
        <v>1</v>
      </c>
    </row>
    <row r="3" spans="1:10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46269.72422174769</v>
      </c>
    </row>
    <row r="6" ht="20" customHeight="1" spans="1:101" x14ac:dyDescent="0.25">
      <c r="A6" s="7" t="s">
        <v>22</v>
      </c>
      <c r="B6" s="7" t="s">
        <v>23</v>
      </c>
      <c r="C6" s="7" t="s">
        <v>24</v>
      </c>
      <c r="D6" s="7" t="s">
        <v>25</v>
      </c>
      <c r="E6" s="7" t="s">
        <v>26</v>
      </c>
      <c r="F6" s="7" t="s">
        <v>27</v>
      </c>
      <c r="G6" s="7" t="s">
        <v>28</v>
      </c>
      <c r="H6" s="7" t="s">
        <v>29</v>
      </c>
      <c r="I6" s="7" t="s">
        <v>30</v>
      </c>
      <c r="J6" s="7" t="s">
        <v>31</v>
      </c>
      <c r="K6" s="7" t="s">
        <v>12</v>
      </c>
      <c r="L6" s="19">
        <v>46398</v>
      </c>
      <c r="M6" s="19">
        <f>L6+1</f>
      </c>
      <c r="N6" s="19">
        <f>M6+1</f>
      </c>
      <c r="O6" s="19">
        <f>N6+1</f>
      </c>
      <c r="P6" s="19">
        <f>O6+1</f>
      </c>
      <c r="Q6" s="19">
        <f>P6+1</f>
      </c>
      <c r="R6" s="19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19">
        <f>W6+1</f>
      </c>
      <c r="Y6" s="19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19">
        <f>AD6+1</f>
      </c>
      <c r="AF6" s="19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19">
        <f>AK6+1</f>
      </c>
      <c r="AM6" s="19">
        <f>AL6+1</f>
      </c>
      <c r="AN6" s="19">
        <f>AM6+1</f>
      </c>
      <c r="AO6" s="19">
        <f>AN6+1</f>
      </c>
      <c r="AP6" s="19">
        <f>AO6+1</f>
      </c>
      <c r="AQ6" s="19">
        <f>AP6+1</f>
      </c>
      <c r="AR6" s="19">
        <f>AQ6+1</f>
      </c>
      <c r="AS6" s="19">
        <f>AR6+1</f>
      </c>
      <c r="AT6" s="19">
        <f>AS6+1</f>
      </c>
      <c r="AU6" s="19">
        <f>AT6+1</f>
      </c>
      <c r="AV6" s="19">
        <f>AU6+1</f>
      </c>
      <c r="AW6" s="19">
        <f>AV6+1</f>
      </c>
      <c r="AX6" s="19">
        <f>AW6+1</f>
      </c>
      <c r="AY6" s="19">
        <f>AX6+1</f>
      </c>
      <c r="AZ6" s="19">
        <f>AY6+1</f>
      </c>
      <c r="BA6" s="19">
        <f>AZ6+1</f>
      </c>
      <c r="BB6" s="19">
        <f>BA6+1</f>
      </c>
      <c r="BC6" s="19">
        <f>BB6+1</f>
      </c>
      <c r="BD6" s="19">
        <f>BC6+1</f>
      </c>
      <c r="BE6" s="19">
        <f>BD6+1</f>
      </c>
      <c r="BF6" s="19">
        <f>BE6+1</f>
      </c>
      <c r="BG6" s="19">
        <f>BF6+1</f>
      </c>
      <c r="BH6" s="19">
        <f>BG6+1</f>
      </c>
      <c r="BI6" s="19">
        <f>BH6+1</f>
      </c>
      <c r="BJ6" s="19">
        <f>BI6+1</f>
      </c>
      <c r="BK6" s="19">
        <f>BJ6+1</f>
      </c>
      <c r="BL6" s="19">
        <f>BK6+1</f>
      </c>
      <c r="BM6" s="19">
        <f>BL6+1</f>
      </c>
      <c r="BN6" s="19">
        <f>BM6+1</f>
      </c>
      <c r="BO6" s="19">
        <f>BN6+1</f>
      </c>
      <c r="BP6" s="19">
        <f>BO6+1</f>
      </c>
      <c r="BQ6" s="19">
        <f>BP6+1</f>
      </c>
      <c r="BR6" s="19">
        <f>BQ6+1</f>
      </c>
      <c r="BS6" s="19">
        <f>BR6+1</f>
      </c>
      <c r="BT6" s="19">
        <f>BS6+1</f>
      </c>
      <c r="BU6" s="19">
        <f>BT6+1</f>
      </c>
      <c r="BV6" s="19">
        <f>BU6+1</f>
      </c>
      <c r="BW6" s="19">
        <f>BV6+1</f>
      </c>
      <c r="BX6" s="19">
        <f>BW6+1</f>
      </c>
      <c r="BY6" s="19">
        <f>BX6+1</f>
      </c>
      <c r="BZ6" s="19">
        <f>BY6+1</f>
      </c>
      <c r="CA6" s="19">
        <f>BZ6+1</f>
      </c>
      <c r="CB6" s="19">
        <f>CA6+1</f>
      </c>
      <c r="CC6" s="19">
        <f>CB6+1</f>
      </c>
      <c r="CD6" s="19">
        <f>CC6+1</f>
      </c>
      <c r="CE6" s="19">
        <f>CD6+1</f>
      </c>
      <c r="CF6" s="19">
        <f>CE6+1</f>
      </c>
      <c r="CG6" s="19">
        <f>CF6+1</f>
      </c>
      <c r="CH6" s="19">
        <f>CG6+1</f>
      </c>
      <c r="CI6" s="19">
        <f>CH6+1</f>
      </c>
      <c r="CJ6" s="19">
        <f>CI6+1</f>
      </c>
      <c r="CK6" s="19">
        <f>CJ6+1</f>
      </c>
      <c r="CL6" s="19">
        <f>CK6+1</f>
      </c>
      <c r="CM6" s="19">
        <f>CL6+1</f>
      </c>
      <c r="CN6" s="19">
        <f>CM6+1</f>
      </c>
      <c r="CO6" s="19">
        <f>CN6+1</f>
      </c>
      <c r="CP6" s="19">
        <f>CO6+1</f>
      </c>
      <c r="CQ6" s="19">
        <f>CP6+1</f>
      </c>
      <c r="CR6" s="19">
        <f>CQ6+1</f>
      </c>
      <c r="CS6" s="19">
        <f>CR6+1</f>
      </c>
      <c r="CT6" s="19">
        <f>CS6+1</f>
      </c>
      <c r="CU6" s="19">
        <f>CT6+1</f>
      </c>
      <c r="CV6" s="19">
        <f>CU6+1</f>
      </c>
      <c r="CW6" s="19">
        <f>CV6+1</f>
      </c>
    </row>
    <row r="7" spans="1:102" x14ac:dyDescent="0.25">
      <c r="A7" s="20" t="s">
        <v>32</v>
      </c>
      <c r="B7" s="21">
        <f>G7+H7+I7</f>
      </c>
      <c r="C7" s="20" t="s">
        <v>88</v>
      </c>
      <c r="D7" s="22">
        <f>K7</f>
      </c>
      <c r="F7" s="20" t="s">
        <v>34</v>
      </c>
      <c r="G7" s="21">
        <f>B10</f>
      </c>
      <c r="H7" s="21">
        <f>B11</f>
      </c>
      <c r="I7" s="21">
        <f>B12</f>
      </c>
      <c r="J7" s="21">
        <f>B13</f>
      </c>
      <c r="K7" s="22">
        <f>D10+D11+D12</f>
      </c>
      <c r="CX7" s="20" t="s">
        <v>89</v>
      </c>
    </row>
    <row r="8" spans="6:102" x14ac:dyDescent="0.25">
      <c r="F8" s="23" t="s">
        <v>36</v>
      </c>
      <c r="L8" s="24">
        <v>0</v>
      </c>
      <c r="M8" s="24">
        <v>0</v>
      </c>
      <c r="N8" s="24">
        <v>0</v>
      </c>
      <c r="O8" s="24">
        <v>0</v>
      </c>
      <c r="P8" s="24">
        <v>0</v>
      </c>
      <c r="Q8" s="24">
        <v>0</v>
      </c>
      <c r="R8" s="24">
        <v>0</v>
      </c>
      <c r="S8" s="24">
        <v>8</v>
      </c>
      <c r="T8" s="24">
        <v>8</v>
      </c>
      <c r="U8" s="24">
        <v>8</v>
      </c>
      <c r="V8" s="24">
        <v>8</v>
      </c>
      <c r="W8" s="24">
        <v>8</v>
      </c>
      <c r="X8" s="24">
        <v>0</v>
      </c>
      <c r="Y8" s="24">
        <v>0</v>
      </c>
      <c r="Z8" s="24">
        <v>8</v>
      </c>
      <c r="AA8" s="24">
        <v>8</v>
      </c>
      <c r="AB8" s="24">
        <v>8</v>
      </c>
      <c r="AC8" s="24">
        <v>8</v>
      </c>
      <c r="AD8" s="24">
        <v>8</v>
      </c>
      <c r="AE8" s="24">
        <v>0</v>
      </c>
      <c r="AF8" s="24">
        <v>0</v>
      </c>
      <c r="AG8" s="24">
        <v>8</v>
      </c>
      <c r="AH8" s="24">
        <v>8</v>
      </c>
      <c r="AI8" s="24">
        <v>8</v>
      </c>
      <c r="AJ8" s="24">
        <v>8</v>
      </c>
      <c r="AK8" s="24">
        <v>8</v>
      </c>
      <c r="AL8" s="24">
        <v>0</v>
      </c>
      <c r="AM8" s="24">
        <v>0</v>
      </c>
      <c r="AN8" s="24">
        <v>8</v>
      </c>
      <c r="AO8" s="24">
        <v>8</v>
      </c>
      <c r="AP8" s="24">
        <v>8</v>
      </c>
      <c r="AQ8" s="24">
        <v>8</v>
      </c>
      <c r="AR8" s="24">
        <v>3</v>
      </c>
      <c r="AS8" s="24">
        <v>0</v>
      </c>
      <c r="AT8" s="24">
        <v>0</v>
      </c>
      <c r="AU8" s="24">
        <v>8</v>
      </c>
      <c r="AV8" s="24">
        <v>8</v>
      </c>
      <c r="AW8" s="24">
        <v>8</v>
      </c>
      <c r="AX8" s="24">
        <v>8</v>
      </c>
      <c r="AY8" s="24">
        <v>8</v>
      </c>
      <c r="AZ8" s="24">
        <v>0</v>
      </c>
      <c r="BA8" s="24">
        <v>0</v>
      </c>
      <c r="BB8" s="24">
        <v>8</v>
      </c>
      <c r="BC8" s="24">
        <v>8</v>
      </c>
      <c r="BD8" s="24">
        <v>8</v>
      </c>
      <c r="BE8" s="24">
        <v>8</v>
      </c>
      <c r="BF8" s="24">
        <v>8</v>
      </c>
      <c r="BG8" s="24">
        <v>0</v>
      </c>
      <c r="BH8" s="24">
        <v>0</v>
      </c>
      <c r="BI8" s="24">
        <v>15</v>
      </c>
      <c r="BJ8" s="24">
        <v>3</v>
      </c>
      <c r="BK8" s="24">
        <v>2</v>
      </c>
      <c r="BL8" s="24">
        <v>2</v>
      </c>
      <c r="BM8" s="24">
        <v>2</v>
      </c>
      <c r="BN8" s="24">
        <v>2</v>
      </c>
      <c r="BO8" s="24">
        <v>2</v>
      </c>
      <c r="BP8" s="24">
        <v>2</v>
      </c>
      <c r="BQ8" s="24">
        <v>2</v>
      </c>
      <c r="BR8" s="24">
        <v>2</v>
      </c>
      <c r="BS8" s="24">
        <v>30</v>
      </c>
      <c r="BT8" s="24">
        <v>30</v>
      </c>
      <c r="BU8" s="24">
        <v>30</v>
      </c>
      <c r="BV8" s="24">
        <v>30</v>
      </c>
      <c r="BW8" s="24">
        <v>30</v>
      </c>
      <c r="BX8" s="24">
        <v>30</v>
      </c>
      <c r="BY8" s="24">
        <v>30</v>
      </c>
      <c r="BZ8" s="24">
        <v>30</v>
      </c>
      <c r="CA8" s="24">
        <v>30</v>
      </c>
      <c r="CB8" s="24">
        <v>30</v>
      </c>
      <c r="CC8" s="24">
        <v>30</v>
      </c>
      <c r="CD8" s="24">
        <v>30</v>
      </c>
      <c r="CE8" s="24">
        <v>30</v>
      </c>
      <c r="CF8" s="24">
        <v>30</v>
      </c>
      <c r="CG8" s="24">
        <v>30</v>
      </c>
      <c r="CH8" s="24">
        <v>30</v>
      </c>
      <c r="CI8" s="24">
        <v>30</v>
      </c>
      <c r="CJ8" s="24">
        <v>30</v>
      </c>
      <c r="CK8" s="24">
        <v>30</v>
      </c>
      <c r="CL8" s="24">
        <v>30</v>
      </c>
      <c r="CM8" s="24">
        <v>25</v>
      </c>
      <c r="CN8" s="24">
        <v>25</v>
      </c>
      <c r="CO8" s="24">
        <v>25</v>
      </c>
      <c r="CP8" s="24">
        <v>25</v>
      </c>
      <c r="CQ8" s="24">
        <v>25</v>
      </c>
      <c r="CR8" s="24">
        <v>25</v>
      </c>
      <c r="CS8" s="24">
        <v>25</v>
      </c>
      <c r="CT8" s="24">
        <v>25</v>
      </c>
      <c r="CU8" s="24">
        <v>25</v>
      </c>
      <c r="CV8" s="24">
        <v>25</v>
      </c>
      <c r="CW8" s="24">
        <v>25</v>
      </c>
      <c r="CX8" s="23" t="s">
        <v>89</v>
      </c>
    </row>
    <row r="9" spans="1:102" x14ac:dyDescent="0.25">
      <c r="A9" s="23" t="s">
        <v>37</v>
      </c>
      <c r="F9" s="23" t="s">
        <v>38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v>0</v>
      </c>
      <c r="R9" s="25">
        <v>0</v>
      </c>
      <c r="S9" s="25">
        <v>8</v>
      </c>
      <c r="T9" s="25">
        <v>8</v>
      </c>
      <c r="U9" s="25">
        <v>8</v>
      </c>
      <c r="V9" s="25">
        <v>8</v>
      </c>
      <c r="W9" s="25">
        <v>8</v>
      </c>
      <c r="X9" s="25">
        <v>0</v>
      </c>
      <c r="Y9" s="25">
        <v>0</v>
      </c>
      <c r="Z9" s="25">
        <v>8</v>
      </c>
      <c r="AA9" s="25">
        <v>8</v>
      </c>
      <c r="AB9" s="25">
        <v>8</v>
      </c>
      <c r="AC9" s="25">
        <v>8</v>
      </c>
      <c r="AD9" s="25">
        <v>8</v>
      </c>
      <c r="AE9" s="25">
        <v>0</v>
      </c>
      <c r="AF9" s="25">
        <v>0</v>
      </c>
      <c r="AG9" s="25">
        <v>8</v>
      </c>
      <c r="AH9" s="25">
        <v>8</v>
      </c>
      <c r="AI9" s="25">
        <v>8</v>
      </c>
      <c r="AJ9" s="25">
        <v>8</v>
      </c>
      <c r="AK9" s="25">
        <v>8</v>
      </c>
      <c r="AL9" s="25">
        <v>0</v>
      </c>
      <c r="AM9" s="25">
        <v>0</v>
      </c>
      <c r="AN9" s="25">
        <v>8</v>
      </c>
      <c r="AO9" s="25">
        <v>8</v>
      </c>
      <c r="AP9" s="25">
        <v>8</v>
      </c>
      <c r="AQ9" s="25">
        <v>8</v>
      </c>
      <c r="AR9" s="25">
        <v>8</v>
      </c>
      <c r="AS9" s="25">
        <v>0</v>
      </c>
      <c r="AT9" s="25">
        <v>0</v>
      </c>
      <c r="AU9" s="25">
        <v>8</v>
      </c>
      <c r="AV9" s="25">
        <v>8</v>
      </c>
      <c r="AW9" s="25">
        <v>8</v>
      </c>
      <c r="AX9" s="25">
        <v>8</v>
      </c>
      <c r="AY9" s="25">
        <v>8</v>
      </c>
      <c r="AZ9" s="25">
        <v>0</v>
      </c>
      <c r="BA9" s="25">
        <v>0</v>
      </c>
      <c r="BB9" s="25">
        <v>8</v>
      </c>
      <c r="BC9" s="25">
        <v>8</v>
      </c>
      <c r="BD9" s="25">
        <v>8</v>
      </c>
      <c r="BE9" s="25">
        <v>8</v>
      </c>
      <c r="BF9" s="25">
        <v>8</v>
      </c>
      <c r="BG9" s="25">
        <v>0</v>
      </c>
      <c r="BH9" s="25">
        <v>0</v>
      </c>
      <c r="BI9" s="25">
        <v>10</v>
      </c>
      <c r="BJ9" s="25">
        <v>10</v>
      </c>
      <c r="BK9" s="25">
        <v>10</v>
      </c>
      <c r="BL9" s="25">
        <v>10</v>
      </c>
      <c r="BM9" s="25">
        <v>10</v>
      </c>
      <c r="BN9" s="25">
        <v>10</v>
      </c>
      <c r="BO9" s="25">
        <v>10</v>
      </c>
      <c r="BP9" s="25">
        <v>10</v>
      </c>
      <c r="BQ9" s="25">
        <v>10</v>
      </c>
      <c r="BR9" s="25">
        <v>10</v>
      </c>
      <c r="BS9" s="25">
        <v>10</v>
      </c>
      <c r="BT9" s="25">
        <v>10</v>
      </c>
      <c r="BU9" s="25">
        <v>10</v>
      </c>
      <c r="BV9" s="25">
        <v>10</v>
      </c>
      <c r="BW9" s="25">
        <v>10</v>
      </c>
      <c r="BX9" s="25">
        <v>10</v>
      </c>
      <c r="BY9" s="25">
        <v>10</v>
      </c>
      <c r="BZ9" s="25">
        <v>10</v>
      </c>
      <c r="CA9" s="25">
        <v>10</v>
      </c>
      <c r="CB9" s="25">
        <v>10</v>
      </c>
      <c r="CC9" s="25">
        <v>10</v>
      </c>
      <c r="CD9" s="25">
        <v>10</v>
      </c>
      <c r="CE9" s="25">
        <v>10</v>
      </c>
      <c r="CF9" s="25">
        <v>10</v>
      </c>
      <c r="CG9" s="25">
        <v>10</v>
      </c>
      <c r="CH9" s="25">
        <v>10</v>
      </c>
      <c r="CI9" s="25">
        <v>10</v>
      </c>
      <c r="CJ9" s="25">
        <v>10</v>
      </c>
      <c r="CK9" s="25">
        <v>10</v>
      </c>
      <c r="CL9" s="25">
        <v>10</v>
      </c>
      <c r="CM9" s="25">
        <v>10</v>
      </c>
      <c r="CN9" s="25">
        <v>10</v>
      </c>
      <c r="CO9" s="25">
        <v>10</v>
      </c>
      <c r="CP9" s="25">
        <v>10</v>
      </c>
      <c r="CQ9" s="25">
        <v>10</v>
      </c>
      <c r="CR9" s="25">
        <v>10</v>
      </c>
      <c r="CS9" s="25">
        <v>10</v>
      </c>
      <c r="CT9" s="25">
        <v>10</v>
      </c>
      <c r="CU9" s="25">
        <v>10</v>
      </c>
      <c r="CV9" s="25">
        <v>10</v>
      </c>
      <c r="CW9" s="25">
        <v>10</v>
      </c>
      <c r="CX9" s="23" t="s">
        <v>89</v>
      </c>
    </row>
    <row r="10" spans="2:102" x14ac:dyDescent="0.25">
      <c r="B10" s="26">
        <f>SUM(L10:CW10)</f>
      </c>
      <c r="D10" s="27">
        <f>B10*E10</f>
      </c>
      <c r="E10" s="27">
        <f>'Rate Tables'!C24</f>
      </c>
      <c r="F10" s="8" t="s">
        <v>39</v>
      </c>
      <c r="L10" s="26">
        <f>IF(L$6="","",IF(OR(WEEKDAY(L$6,1)=1,WEEKDAY(L$6,1)=7),0,MIN(8,L9)*L8))</f>
      </c>
      <c r="M10" s="26">
        <f>IF(M$6="","",IF(OR(WEEKDAY(M$6,1)=1,WEEKDAY(M$6,1)=7),0,MIN(8,M9)*M8))</f>
      </c>
      <c r="N10" s="26">
        <f>IF(N$6="","",IF(OR(WEEKDAY(N$6,1)=1,WEEKDAY(N$6,1)=7),0,MIN(8,N9)*N8))</f>
      </c>
      <c r="O10" s="26">
        <f>IF(O$6="","",IF(OR(WEEKDAY(O$6,1)=1,WEEKDAY(O$6,1)=7),0,MIN(8,O9)*O8))</f>
      </c>
      <c r="P10" s="26">
        <f>IF(P$6="","",IF(OR(WEEKDAY(P$6,1)=1,WEEKDAY(P$6,1)=7),0,MIN(8,P9)*P8))</f>
      </c>
      <c r="Q10" s="26">
        <f>IF(Q$6="","",IF(OR(WEEKDAY(Q$6,1)=1,WEEKDAY(Q$6,1)=7),0,MIN(8,Q9)*Q8))</f>
      </c>
      <c r="R10" s="26">
        <f>IF(R$6="","",IF(OR(WEEKDAY(R$6,1)=1,WEEKDAY(R$6,1)=7),0,MIN(8,R9)*R8))</f>
      </c>
      <c r="S10" s="26">
        <f>IF(S$6="","",IF(OR(WEEKDAY(S$6,1)=1,WEEKDAY(S$6,1)=7),0,MIN(8,S9)*S8))</f>
      </c>
      <c r="T10" s="26">
        <f>IF(T$6="","",IF(OR(WEEKDAY(T$6,1)=1,WEEKDAY(T$6,1)=7),0,MIN(8,T9)*T8))</f>
      </c>
      <c r="U10" s="26">
        <f>IF(U$6="","",IF(OR(WEEKDAY(U$6,1)=1,WEEKDAY(U$6,1)=7),0,MIN(8,U9)*U8))</f>
      </c>
      <c r="V10" s="26">
        <f>IF(V$6="","",IF(OR(WEEKDAY(V$6,1)=1,WEEKDAY(V$6,1)=7),0,MIN(8,V9)*V8))</f>
      </c>
      <c r="W10" s="26">
        <f>IF(W$6="","",IF(OR(WEEKDAY(W$6,1)=1,WEEKDAY(W$6,1)=7),0,MIN(8,W9)*W8))</f>
      </c>
      <c r="X10" s="26">
        <f>IF(X$6="","",IF(OR(WEEKDAY(X$6,1)=1,WEEKDAY(X$6,1)=7),0,MIN(8,X9)*X8))</f>
      </c>
      <c r="Y10" s="26">
        <f>IF(Y$6="","",IF(OR(WEEKDAY(Y$6,1)=1,WEEKDAY(Y$6,1)=7),0,MIN(8,Y9)*Y8))</f>
      </c>
      <c r="Z10" s="26">
        <f>IF(Z$6="","",IF(OR(WEEKDAY(Z$6,1)=1,WEEKDAY(Z$6,1)=7),0,MIN(8,Z9)*Z8))</f>
      </c>
      <c r="AA10" s="26">
        <f>IF(AA$6="","",IF(OR(WEEKDAY(AA$6,1)=1,WEEKDAY(AA$6,1)=7),0,MIN(8,AA9)*AA8))</f>
      </c>
      <c r="AB10" s="26">
        <f>IF(AB$6="","",IF(OR(WEEKDAY(AB$6,1)=1,WEEKDAY(AB$6,1)=7),0,MIN(8,AB9)*AB8))</f>
      </c>
      <c r="AC10" s="26">
        <f>IF(AC$6="","",IF(OR(WEEKDAY(AC$6,1)=1,WEEKDAY(AC$6,1)=7),0,MIN(8,AC9)*AC8))</f>
      </c>
      <c r="AD10" s="26">
        <f>IF(AD$6="","",IF(OR(WEEKDAY(AD$6,1)=1,WEEKDAY(AD$6,1)=7),0,MIN(8,AD9)*AD8))</f>
      </c>
      <c r="AE10" s="26">
        <f>IF(AE$6="","",IF(OR(WEEKDAY(AE$6,1)=1,WEEKDAY(AE$6,1)=7),0,MIN(8,AE9)*AE8))</f>
      </c>
      <c r="AF10" s="26">
        <f>IF(AF$6="","",IF(OR(WEEKDAY(AF$6,1)=1,WEEKDAY(AF$6,1)=7),0,MIN(8,AF9)*AF8))</f>
      </c>
      <c r="AG10" s="26">
        <f>IF(AG$6="","",IF(OR(WEEKDAY(AG$6,1)=1,WEEKDAY(AG$6,1)=7),0,MIN(8,AG9)*AG8))</f>
      </c>
      <c r="AH10" s="26">
        <f>IF(AH$6="","",IF(OR(WEEKDAY(AH$6,1)=1,WEEKDAY(AH$6,1)=7),0,MIN(8,AH9)*AH8))</f>
      </c>
      <c r="AI10" s="26">
        <f>IF(AI$6="","",IF(OR(WEEKDAY(AI$6,1)=1,WEEKDAY(AI$6,1)=7),0,MIN(8,AI9)*AI8))</f>
      </c>
      <c r="AJ10" s="26">
        <f>IF(AJ$6="","",IF(OR(WEEKDAY(AJ$6,1)=1,WEEKDAY(AJ$6,1)=7),0,MIN(8,AJ9)*AJ8))</f>
      </c>
      <c r="AK10" s="26">
        <f>IF(AK$6="","",IF(OR(WEEKDAY(AK$6,1)=1,WEEKDAY(AK$6,1)=7),0,MIN(8,AK9)*AK8))</f>
      </c>
      <c r="AL10" s="26">
        <f>IF(AL$6="","",IF(OR(WEEKDAY(AL$6,1)=1,WEEKDAY(AL$6,1)=7),0,MIN(8,AL9)*AL8))</f>
      </c>
      <c r="AM10" s="26">
        <f>IF(AM$6="","",IF(OR(WEEKDAY(AM$6,1)=1,WEEKDAY(AM$6,1)=7),0,MIN(8,AM9)*AM8))</f>
      </c>
      <c r="AN10" s="26">
        <f>IF(AN$6="","",IF(OR(WEEKDAY(AN$6,1)=1,WEEKDAY(AN$6,1)=7),0,MIN(8,AN9)*AN8))</f>
      </c>
      <c r="AO10" s="26">
        <f>IF(AO$6="","",IF(OR(WEEKDAY(AO$6,1)=1,WEEKDAY(AO$6,1)=7),0,MIN(8,AO9)*AO8))</f>
      </c>
      <c r="AP10" s="26">
        <f>IF(AP$6="","",IF(OR(WEEKDAY(AP$6,1)=1,WEEKDAY(AP$6,1)=7),0,MIN(8,AP9)*AP8))</f>
      </c>
      <c r="AQ10" s="26">
        <f>IF(AQ$6="","",IF(OR(WEEKDAY(AQ$6,1)=1,WEEKDAY(AQ$6,1)=7),0,MIN(8,AQ9)*AQ8))</f>
      </c>
      <c r="AR10" s="26">
        <f>IF(AR$6="","",IF(OR(WEEKDAY(AR$6,1)=1,WEEKDAY(AR$6,1)=7),0,MIN(8,AR9)*AR8))</f>
      </c>
      <c r="AS10" s="26">
        <f>IF(AS$6="","",IF(OR(WEEKDAY(AS$6,1)=1,WEEKDAY(AS$6,1)=7),0,MIN(8,AS9)*AS8))</f>
      </c>
      <c r="AT10" s="26">
        <f>IF(AT$6="","",IF(OR(WEEKDAY(AT$6,1)=1,WEEKDAY(AT$6,1)=7),0,MIN(8,AT9)*AT8))</f>
      </c>
      <c r="AU10" s="26">
        <f>IF(AU$6="","",IF(OR(WEEKDAY(AU$6,1)=1,WEEKDAY(AU$6,1)=7),0,MIN(8,AU9)*AU8))</f>
      </c>
      <c r="AV10" s="26">
        <f>IF(AV$6="","",IF(OR(WEEKDAY(AV$6,1)=1,WEEKDAY(AV$6,1)=7),0,MIN(8,AV9)*AV8))</f>
      </c>
      <c r="AW10" s="26">
        <f>IF(AW$6="","",IF(OR(WEEKDAY(AW$6,1)=1,WEEKDAY(AW$6,1)=7),0,MIN(8,AW9)*AW8))</f>
      </c>
      <c r="AX10" s="26">
        <f>IF(AX$6="","",IF(OR(WEEKDAY(AX$6,1)=1,WEEKDAY(AX$6,1)=7),0,MIN(8,AX9)*AX8))</f>
      </c>
      <c r="AY10" s="26">
        <f>IF(AY$6="","",IF(OR(WEEKDAY(AY$6,1)=1,WEEKDAY(AY$6,1)=7),0,MIN(8,AY9)*AY8))</f>
      </c>
      <c r="AZ10" s="26">
        <f>IF(AZ$6="","",IF(OR(WEEKDAY(AZ$6,1)=1,WEEKDAY(AZ$6,1)=7),0,MIN(8,AZ9)*AZ8))</f>
      </c>
      <c r="BA10" s="26">
        <f>IF(BA$6="","",IF(OR(WEEKDAY(BA$6,1)=1,WEEKDAY(BA$6,1)=7),0,MIN(8,BA9)*BA8))</f>
      </c>
      <c r="BB10" s="26">
        <f>IF(BB$6="","",IF(OR(WEEKDAY(BB$6,1)=1,WEEKDAY(BB$6,1)=7),0,MIN(8,BB9)*BB8))</f>
      </c>
      <c r="BC10" s="26">
        <f>IF(BC$6="","",IF(OR(WEEKDAY(BC$6,1)=1,WEEKDAY(BC$6,1)=7),0,MIN(8,BC9)*BC8))</f>
      </c>
      <c r="BD10" s="26">
        <f>IF(BD$6="","",IF(OR(WEEKDAY(BD$6,1)=1,WEEKDAY(BD$6,1)=7),0,MIN(8,BD9)*BD8))</f>
      </c>
      <c r="BE10" s="26">
        <f>IF(BE$6="","",IF(OR(WEEKDAY(BE$6,1)=1,WEEKDAY(BE$6,1)=7),0,MIN(8,BE9)*BE8))</f>
      </c>
      <c r="BF10" s="26">
        <f>IF(BF$6="","",IF(OR(WEEKDAY(BF$6,1)=1,WEEKDAY(BF$6,1)=7),0,MIN(8,BF9)*BF8))</f>
      </c>
      <c r="BG10" s="26">
        <f>IF(BG$6="","",IF(OR(WEEKDAY(BG$6,1)=1,WEEKDAY(BG$6,1)=7),0,MIN(8,BG9)*BG8))</f>
      </c>
      <c r="BH10" s="26">
        <f>IF(BH$6="","",IF(OR(WEEKDAY(BH$6,1)=1,WEEKDAY(BH$6,1)=7),0,MIN(8,BH9)*BH8))</f>
      </c>
      <c r="BI10" s="26">
        <f>IF(BI$6="","",IF(OR(WEEKDAY(BI$6,1)=1,WEEKDAY(BI$6,1)=7),0,MIN(8,BI9)*BI8))</f>
      </c>
      <c r="BJ10" s="26">
        <f>IF(BJ$6="","",IF(OR(WEEKDAY(BJ$6,1)=1,WEEKDAY(BJ$6,1)=7),0,MIN(8,BJ9)*BJ8))</f>
      </c>
      <c r="BK10" s="26">
        <f>IF(BK$6="","",IF(OR(WEEKDAY(BK$6,1)=1,WEEKDAY(BK$6,1)=7),0,MIN(8,BK9)*BK8))</f>
      </c>
      <c r="BL10" s="26">
        <f>IF(BL$6="","",IF(OR(WEEKDAY(BL$6,1)=1,WEEKDAY(BL$6,1)=7),0,MIN(8,BL9)*BL8))</f>
      </c>
      <c r="BM10" s="26">
        <f>IF(BM$6="","",IF(OR(WEEKDAY(BM$6,1)=1,WEEKDAY(BM$6,1)=7),0,MIN(8,BM9)*BM8))</f>
      </c>
      <c r="BN10" s="26">
        <f>IF(BN$6="","",IF(OR(WEEKDAY(BN$6,1)=1,WEEKDAY(BN$6,1)=7),0,MIN(8,BN9)*BN8))</f>
      </c>
      <c r="BO10" s="26">
        <f>IF(BO$6="","",IF(OR(WEEKDAY(BO$6,1)=1,WEEKDAY(BO$6,1)=7),0,MIN(8,BO9)*BO8))</f>
      </c>
      <c r="BP10" s="26">
        <f>IF(BP$6="","",IF(OR(WEEKDAY(BP$6,1)=1,WEEKDAY(BP$6,1)=7),0,MIN(8,BP9)*BP8))</f>
      </c>
      <c r="BQ10" s="26">
        <f>IF(BQ$6="","",IF(OR(WEEKDAY(BQ$6,1)=1,WEEKDAY(BQ$6,1)=7),0,MIN(8,BQ9)*BQ8))</f>
      </c>
      <c r="BR10" s="26">
        <f>IF(BR$6="","",IF(OR(WEEKDAY(BR$6,1)=1,WEEKDAY(BR$6,1)=7),0,MIN(8,BR9)*BR8))</f>
      </c>
      <c r="BS10" s="26">
        <f>IF(BS$6="","",IF(OR(WEEKDAY(BS$6,1)=1,WEEKDAY(BS$6,1)=7),0,MIN(8,BS9)*BS8))</f>
      </c>
      <c r="BT10" s="26">
        <f>IF(BT$6="","",IF(OR(WEEKDAY(BT$6,1)=1,WEEKDAY(BT$6,1)=7),0,MIN(8,BT9)*BT8))</f>
      </c>
      <c r="BU10" s="26">
        <f>IF(BU$6="","",IF(OR(WEEKDAY(BU$6,1)=1,WEEKDAY(BU$6,1)=7),0,MIN(8,BU9)*BU8))</f>
      </c>
      <c r="BV10" s="26">
        <f>IF(BV$6="","",IF(OR(WEEKDAY(BV$6,1)=1,WEEKDAY(BV$6,1)=7),0,MIN(8,BV9)*BV8))</f>
      </c>
      <c r="BW10" s="26">
        <f>IF(BW$6="","",IF(OR(WEEKDAY(BW$6,1)=1,WEEKDAY(BW$6,1)=7),0,MIN(8,BW9)*BW8))</f>
      </c>
      <c r="BX10" s="26">
        <f>IF(BX$6="","",IF(OR(WEEKDAY(BX$6,1)=1,WEEKDAY(BX$6,1)=7),0,MIN(8,BX9)*BX8))</f>
      </c>
      <c r="BY10" s="26">
        <f>IF(BY$6="","",IF(OR(WEEKDAY(BY$6,1)=1,WEEKDAY(BY$6,1)=7),0,MIN(8,BY9)*BY8))</f>
      </c>
      <c r="BZ10" s="26">
        <f>IF(BZ$6="","",IF(OR(WEEKDAY(BZ$6,1)=1,WEEKDAY(BZ$6,1)=7),0,MIN(8,BZ9)*BZ8))</f>
      </c>
      <c r="CA10" s="26">
        <f>IF(CA$6="","",IF(OR(WEEKDAY(CA$6,1)=1,WEEKDAY(CA$6,1)=7),0,MIN(8,CA9)*CA8))</f>
      </c>
      <c r="CB10" s="26">
        <f>IF(CB$6="","",IF(OR(WEEKDAY(CB$6,1)=1,WEEKDAY(CB$6,1)=7),0,MIN(8,CB9)*CB8))</f>
      </c>
      <c r="CC10" s="26">
        <f>IF(CC$6="","",IF(OR(WEEKDAY(CC$6,1)=1,WEEKDAY(CC$6,1)=7),0,MIN(8,CC9)*CC8))</f>
      </c>
      <c r="CD10" s="26">
        <f>IF(CD$6="","",IF(OR(WEEKDAY(CD$6,1)=1,WEEKDAY(CD$6,1)=7),0,MIN(8,CD9)*CD8))</f>
      </c>
      <c r="CE10" s="26">
        <f>IF(CE$6="","",IF(OR(WEEKDAY(CE$6,1)=1,WEEKDAY(CE$6,1)=7),0,MIN(8,CE9)*CE8))</f>
      </c>
      <c r="CF10" s="26">
        <f>IF(CF$6="","",IF(OR(WEEKDAY(CF$6,1)=1,WEEKDAY(CF$6,1)=7),0,MIN(8,CF9)*CF8))</f>
      </c>
      <c r="CG10" s="26">
        <f>IF(CG$6="","",IF(OR(WEEKDAY(CG$6,1)=1,WEEKDAY(CG$6,1)=7),0,MIN(8,CG9)*CG8))</f>
      </c>
      <c r="CH10" s="26">
        <f>IF(CH$6="","",IF(OR(WEEKDAY(CH$6,1)=1,WEEKDAY(CH$6,1)=7),0,MIN(8,CH9)*CH8))</f>
      </c>
      <c r="CI10" s="26">
        <f>IF(CI$6="","",IF(OR(WEEKDAY(CI$6,1)=1,WEEKDAY(CI$6,1)=7),0,MIN(8,CI9)*CI8))</f>
      </c>
      <c r="CJ10" s="26">
        <f>IF(CJ$6="","",IF(OR(WEEKDAY(CJ$6,1)=1,WEEKDAY(CJ$6,1)=7),0,MIN(8,CJ9)*CJ8))</f>
      </c>
      <c r="CK10" s="26">
        <f>IF(CK$6="","",IF(OR(WEEKDAY(CK$6,1)=1,WEEKDAY(CK$6,1)=7),0,MIN(8,CK9)*CK8))</f>
      </c>
      <c r="CL10" s="26">
        <f>IF(CL$6="","",IF(OR(WEEKDAY(CL$6,1)=1,WEEKDAY(CL$6,1)=7),0,MIN(8,CL9)*CL8))</f>
      </c>
      <c r="CM10" s="26">
        <f>IF(CM$6="","",IF(OR(WEEKDAY(CM$6,1)=1,WEEKDAY(CM$6,1)=7),0,MIN(8,CM9)*CM8))</f>
      </c>
      <c r="CN10" s="26">
        <f>IF(CN$6="","",IF(OR(WEEKDAY(CN$6,1)=1,WEEKDAY(CN$6,1)=7),0,MIN(8,CN9)*CN8))</f>
      </c>
      <c r="CO10" s="26">
        <f>IF(CO$6="","",IF(OR(WEEKDAY(CO$6,1)=1,WEEKDAY(CO$6,1)=7),0,MIN(8,CO9)*CO8))</f>
      </c>
      <c r="CP10" s="26">
        <f>IF(CP$6="","",IF(OR(WEEKDAY(CP$6,1)=1,WEEKDAY(CP$6,1)=7),0,MIN(8,CP9)*CP8))</f>
      </c>
      <c r="CQ10" s="26">
        <f>IF(CQ$6="","",IF(OR(WEEKDAY(CQ$6,1)=1,WEEKDAY(CQ$6,1)=7),0,MIN(8,CQ9)*CQ8))</f>
      </c>
      <c r="CR10" s="26">
        <f>IF(CR$6="","",IF(OR(WEEKDAY(CR$6,1)=1,WEEKDAY(CR$6,1)=7),0,MIN(8,CR9)*CR8))</f>
      </c>
      <c r="CS10" s="26">
        <f>IF(CS$6="","",IF(OR(WEEKDAY(CS$6,1)=1,WEEKDAY(CS$6,1)=7),0,MIN(8,CS9)*CS8))</f>
      </c>
      <c r="CT10" s="26">
        <f>IF(CT$6="","",IF(OR(WEEKDAY(CT$6,1)=1,WEEKDAY(CT$6,1)=7),0,MIN(8,CT9)*CT8))</f>
      </c>
      <c r="CU10" s="26">
        <f>IF(CU$6="","",IF(OR(WEEKDAY(CU$6,1)=1,WEEKDAY(CU$6,1)=7),0,MIN(8,CU9)*CU8))</f>
      </c>
      <c r="CV10" s="26">
        <f>IF(CV$6="","",IF(OR(WEEKDAY(CV$6,1)=1,WEEKDAY(CV$6,1)=7),0,MIN(8,CV9)*CV8))</f>
      </c>
      <c r="CW10" s="26">
        <f>IF(CW$6="","",IF(OR(WEEKDAY(CW$6,1)=1,WEEKDAY(CW$6,1)=7),0,MIN(8,CW9)*CW8))</f>
      </c>
      <c r="CX10" s="8" t="s">
        <v>89</v>
      </c>
    </row>
    <row r="11" spans="2:102" x14ac:dyDescent="0.25">
      <c r="B11" s="26">
        <f>SUM(L11:CW11)</f>
      </c>
      <c r="D11" s="27">
        <f>B11*E11</f>
      </c>
      <c r="E11" s="27">
        <f>'Rate Tables'!D24</f>
      </c>
      <c r="F11" s="8" t="s">
        <v>40</v>
      </c>
      <c r="L11" s="26">
        <f>IF(L$6="","",IF(WEEKDAY(L$6,1)=1,0,IF(WEEKDAY(L$6,1)=7,L9*L8,MAX(0,L9-8)*L8)))</f>
      </c>
      <c r="M11" s="26">
        <f>IF(M$6="","",IF(WEEKDAY(M$6,1)=1,0,IF(WEEKDAY(M$6,1)=7,M9*M8,MAX(0,M9-8)*M8)))</f>
      </c>
      <c r="N11" s="26">
        <f>IF(N$6="","",IF(WEEKDAY(N$6,1)=1,0,IF(WEEKDAY(N$6,1)=7,N9*N8,MAX(0,N9-8)*N8)))</f>
      </c>
      <c r="O11" s="26">
        <f>IF(O$6="","",IF(WEEKDAY(O$6,1)=1,0,IF(WEEKDAY(O$6,1)=7,O9*O8,MAX(0,O9-8)*O8)))</f>
      </c>
      <c r="P11" s="26">
        <f>IF(P$6="","",IF(WEEKDAY(P$6,1)=1,0,IF(WEEKDAY(P$6,1)=7,P9*P8,MAX(0,P9-8)*P8)))</f>
      </c>
      <c r="Q11" s="26">
        <f>IF(Q$6="","",IF(WEEKDAY(Q$6,1)=1,0,IF(WEEKDAY(Q$6,1)=7,Q9*Q8,MAX(0,Q9-8)*Q8)))</f>
      </c>
      <c r="R11" s="26">
        <f>IF(R$6="","",IF(WEEKDAY(R$6,1)=1,0,IF(WEEKDAY(R$6,1)=7,R9*R8,MAX(0,R9-8)*R8)))</f>
      </c>
      <c r="S11" s="26">
        <f>IF(S$6="","",IF(WEEKDAY(S$6,1)=1,0,IF(WEEKDAY(S$6,1)=7,S9*S8,MAX(0,S9-8)*S8)))</f>
      </c>
      <c r="T11" s="26">
        <f>IF(T$6="","",IF(WEEKDAY(T$6,1)=1,0,IF(WEEKDAY(T$6,1)=7,T9*T8,MAX(0,T9-8)*T8)))</f>
      </c>
      <c r="U11" s="26">
        <f>IF(U$6="","",IF(WEEKDAY(U$6,1)=1,0,IF(WEEKDAY(U$6,1)=7,U9*U8,MAX(0,U9-8)*U8)))</f>
      </c>
      <c r="V11" s="26">
        <f>IF(V$6="","",IF(WEEKDAY(V$6,1)=1,0,IF(WEEKDAY(V$6,1)=7,V9*V8,MAX(0,V9-8)*V8)))</f>
      </c>
      <c r="W11" s="26">
        <f>IF(W$6="","",IF(WEEKDAY(W$6,1)=1,0,IF(WEEKDAY(W$6,1)=7,W9*W8,MAX(0,W9-8)*W8)))</f>
      </c>
      <c r="X11" s="26">
        <f>IF(X$6="","",IF(WEEKDAY(X$6,1)=1,0,IF(WEEKDAY(X$6,1)=7,X9*X8,MAX(0,X9-8)*X8)))</f>
      </c>
      <c r="Y11" s="26">
        <f>IF(Y$6="","",IF(WEEKDAY(Y$6,1)=1,0,IF(WEEKDAY(Y$6,1)=7,Y9*Y8,MAX(0,Y9-8)*Y8)))</f>
      </c>
      <c r="Z11" s="26">
        <f>IF(Z$6="","",IF(WEEKDAY(Z$6,1)=1,0,IF(WEEKDAY(Z$6,1)=7,Z9*Z8,MAX(0,Z9-8)*Z8)))</f>
      </c>
      <c r="AA11" s="26">
        <f>IF(AA$6="","",IF(WEEKDAY(AA$6,1)=1,0,IF(WEEKDAY(AA$6,1)=7,AA9*AA8,MAX(0,AA9-8)*AA8)))</f>
      </c>
      <c r="AB11" s="26">
        <f>IF(AB$6="","",IF(WEEKDAY(AB$6,1)=1,0,IF(WEEKDAY(AB$6,1)=7,AB9*AB8,MAX(0,AB9-8)*AB8)))</f>
      </c>
      <c r="AC11" s="26">
        <f>IF(AC$6="","",IF(WEEKDAY(AC$6,1)=1,0,IF(WEEKDAY(AC$6,1)=7,AC9*AC8,MAX(0,AC9-8)*AC8)))</f>
      </c>
      <c r="AD11" s="26">
        <f>IF(AD$6="","",IF(WEEKDAY(AD$6,1)=1,0,IF(WEEKDAY(AD$6,1)=7,AD9*AD8,MAX(0,AD9-8)*AD8)))</f>
      </c>
      <c r="AE11" s="26">
        <f>IF(AE$6="","",IF(WEEKDAY(AE$6,1)=1,0,IF(WEEKDAY(AE$6,1)=7,AE9*AE8,MAX(0,AE9-8)*AE8)))</f>
      </c>
      <c r="AF11" s="26">
        <f>IF(AF$6="","",IF(WEEKDAY(AF$6,1)=1,0,IF(WEEKDAY(AF$6,1)=7,AF9*AF8,MAX(0,AF9-8)*AF8)))</f>
      </c>
      <c r="AG11" s="26">
        <f>IF(AG$6="","",IF(WEEKDAY(AG$6,1)=1,0,IF(WEEKDAY(AG$6,1)=7,AG9*AG8,MAX(0,AG9-8)*AG8)))</f>
      </c>
      <c r="AH11" s="26">
        <f>IF(AH$6="","",IF(WEEKDAY(AH$6,1)=1,0,IF(WEEKDAY(AH$6,1)=7,AH9*AH8,MAX(0,AH9-8)*AH8)))</f>
      </c>
      <c r="AI11" s="26">
        <f>IF(AI$6="","",IF(WEEKDAY(AI$6,1)=1,0,IF(WEEKDAY(AI$6,1)=7,AI9*AI8,MAX(0,AI9-8)*AI8)))</f>
      </c>
      <c r="AJ11" s="26">
        <f>IF(AJ$6="","",IF(WEEKDAY(AJ$6,1)=1,0,IF(WEEKDAY(AJ$6,1)=7,AJ9*AJ8,MAX(0,AJ9-8)*AJ8)))</f>
      </c>
      <c r="AK11" s="26">
        <f>IF(AK$6="","",IF(WEEKDAY(AK$6,1)=1,0,IF(WEEKDAY(AK$6,1)=7,AK9*AK8,MAX(0,AK9-8)*AK8)))</f>
      </c>
      <c r="AL11" s="26">
        <f>IF(AL$6="","",IF(WEEKDAY(AL$6,1)=1,0,IF(WEEKDAY(AL$6,1)=7,AL9*AL8,MAX(0,AL9-8)*AL8)))</f>
      </c>
      <c r="AM11" s="26">
        <f>IF(AM$6="","",IF(WEEKDAY(AM$6,1)=1,0,IF(WEEKDAY(AM$6,1)=7,AM9*AM8,MAX(0,AM9-8)*AM8)))</f>
      </c>
      <c r="AN11" s="26">
        <f>IF(AN$6="","",IF(WEEKDAY(AN$6,1)=1,0,IF(WEEKDAY(AN$6,1)=7,AN9*AN8,MAX(0,AN9-8)*AN8)))</f>
      </c>
      <c r="AO11" s="26">
        <f>IF(AO$6="","",IF(WEEKDAY(AO$6,1)=1,0,IF(WEEKDAY(AO$6,1)=7,AO9*AO8,MAX(0,AO9-8)*AO8)))</f>
      </c>
      <c r="AP11" s="26">
        <f>IF(AP$6="","",IF(WEEKDAY(AP$6,1)=1,0,IF(WEEKDAY(AP$6,1)=7,AP9*AP8,MAX(0,AP9-8)*AP8)))</f>
      </c>
      <c r="AQ11" s="26">
        <f>IF(AQ$6="","",IF(WEEKDAY(AQ$6,1)=1,0,IF(WEEKDAY(AQ$6,1)=7,AQ9*AQ8,MAX(0,AQ9-8)*AQ8)))</f>
      </c>
      <c r="AR11" s="26">
        <f>IF(AR$6="","",IF(WEEKDAY(AR$6,1)=1,0,IF(WEEKDAY(AR$6,1)=7,AR9*AR8,MAX(0,AR9-8)*AR8)))</f>
      </c>
      <c r="AS11" s="26">
        <f>IF(AS$6="","",IF(WEEKDAY(AS$6,1)=1,0,IF(WEEKDAY(AS$6,1)=7,AS9*AS8,MAX(0,AS9-8)*AS8)))</f>
      </c>
      <c r="AT11" s="26">
        <f>IF(AT$6="","",IF(WEEKDAY(AT$6,1)=1,0,IF(WEEKDAY(AT$6,1)=7,AT9*AT8,MAX(0,AT9-8)*AT8)))</f>
      </c>
      <c r="AU11" s="26">
        <f>IF(AU$6="","",IF(WEEKDAY(AU$6,1)=1,0,IF(WEEKDAY(AU$6,1)=7,AU9*AU8,MAX(0,AU9-8)*AU8)))</f>
      </c>
      <c r="AV11" s="26">
        <f>IF(AV$6="","",IF(WEEKDAY(AV$6,1)=1,0,IF(WEEKDAY(AV$6,1)=7,AV9*AV8,MAX(0,AV9-8)*AV8)))</f>
      </c>
      <c r="AW11" s="26">
        <f>IF(AW$6="","",IF(WEEKDAY(AW$6,1)=1,0,IF(WEEKDAY(AW$6,1)=7,AW9*AW8,MAX(0,AW9-8)*AW8)))</f>
      </c>
      <c r="AX11" s="26">
        <f>IF(AX$6="","",IF(WEEKDAY(AX$6,1)=1,0,IF(WEEKDAY(AX$6,1)=7,AX9*AX8,MAX(0,AX9-8)*AX8)))</f>
      </c>
      <c r="AY11" s="26">
        <f>IF(AY$6="","",IF(WEEKDAY(AY$6,1)=1,0,IF(WEEKDAY(AY$6,1)=7,AY9*AY8,MAX(0,AY9-8)*AY8)))</f>
      </c>
      <c r="AZ11" s="26">
        <f>IF(AZ$6="","",IF(WEEKDAY(AZ$6,1)=1,0,IF(WEEKDAY(AZ$6,1)=7,AZ9*AZ8,MAX(0,AZ9-8)*AZ8)))</f>
      </c>
      <c r="BA11" s="26">
        <f>IF(BA$6="","",IF(WEEKDAY(BA$6,1)=1,0,IF(WEEKDAY(BA$6,1)=7,BA9*BA8,MAX(0,BA9-8)*BA8)))</f>
      </c>
      <c r="BB11" s="26">
        <f>IF(BB$6="","",IF(WEEKDAY(BB$6,1)=1,0,IF(WEEKDAY(BB$6,1)=7,BB9*BB8,MAX(0,BB9-8)*BB8)))</f>
      </c>
      <c r="BC11" s="26">
        <f>IF(BC$6="","",IF(WEEKDAY(BC$6,1)=1,0,IF(WEEKDAY(BC$6,1)=7,BC9*BC8,MAX(0,BC9-8)*BC8)))</f>
      </c>
      <c r="BD11" s="26">
        <f>IF(BD$6="","",IF(WEEKDAY(BD$6,1)=1,0,IF(WEEKDAY(BD$6,1)=7,BD9*BD8,MAX(0,BD9-8)*BD8)))</f>
      </c>
      <c r="BE11" s="26">
        <f>IF(BE$6="","",IF(WEEKDAY(BE$6,1)=1,0,IF(WEEKDAY(BE$6,1)=7,BE9*BE8,MAX(0,BE9-8)*BE8)))</f>
      </c>
      <c r="BF11" s="26">
        <f>IF(BF$6="","",IF(WEEKDAY(BF$6,1)=1,0,IF(WEEKDAY(BF$6,1)=7,BF9*BF8,MAX(0,BF9-8)*BF8)))</f>
      </c>
      <c r="BG11" s="26">
        <f>IF(BG$6="","",IF(WEEKDAY(BG$6,1)=1,0,IF(WEEKDAY(BG$6,1)=7,BG9*BG8,MAX(0,BG9-8)*BG8)))</f>
      </c>
      <c r="BH11" s="26">
        <f>IF(BH$6="","",IF(WEEKDAY(BH$6,1)=1,0,IF(WEEKDAY(BH$6,1)=7,BH9*BH8,MAX(0,BH9-8)*BH8)))</f>
      </c>
      <c r="BI11" s="26">
        <f>IF(BI$6="","",IF(WEEKDAY(BI$6,1)=1,0,IF(WEEKDAY(BI$6,1)=7,BI9*BI8,MAX(0,BI9-8)*BI8)))</f>
      </c>
      <c r="BJ11" s="26">
        <f>IF(BJ$6="","",IF(WEEKDAY(BJ$6,1)=1,0,IF(WEEKDAY(BJ$6,1)=7,BJ9*BJ8,MAX(0,BJ9-8)*BJ8)))</f>
      </c>
      <c r="BK11" s="26">
        <f>IF(BK$6="","",IF(WEEKDAY(BK$6,1)=1,0,IF(WEEKDAY(BK$6,1)=7,BK9*BK8,MAX(0,BK9-8)*BK8)))</f>
      </c>
      <c r="BL11" s="26">
        <f>IF(BL$6="","",IF(WEEKDAY(BL$6,1)=1,0,IF(WEEKDAY(BL$6,1)=7,BL9*BL8,MAX(0,BL9-8)*BL8)))</f>
      </c>
      <c r="BM11" s="26">
        <f>IF(BM$6="","",IF(WEEKDAY(BM$6,1)=1,0,IF(WEEKDAY(BM$6,1)=7,BM9*BM8,MAX(0,BM9-8)*BM8)))</f>
      </c>
      <c r="BN11" s="26">
        <f>IF(BN$6="","",IF(WEEKDAY(BN$6,1)=1,0,IF(WEEKDAY(BN$6,1)=7,BN9*BN8,MAX(0,BN9-8)*BN8)))</f>
      </c>
      <c r="BO11" s="26">
        <f>IF(BO$6="","",IF(WEEKDAY(BO$6,1)=1,0,IF(WEEKDAY(BO$6,1)=7,BO9*BO8,MAX(0,BO9-8)*BO8)))</f>
      </c>
      <c r="BP11" s="26">
        <f>IF(BP$6="","",IF(WEEKDAY(BP$6,1)=1,0,IF(WEEKDAY(BP$6,1)=7,BP9*BP8,MAX(0,BP9-8)*BP8)))</f>
      </c>
      <c r="BQ11" s="26">
        <f>IF(BQ$6="","",IF(WEEKDAY(BQ$6,1)=1,0,IF(WEEKDAY(BQ$6,1)=7,BQ9*BQ8,MAX(0,BQ9-8)*BQ8)))</f>
      </c>
      <c r="BR11" s="26">
        <f>IF(BR$6="","",IF(WEEKDAY(BR$6,1)=1,0,IF(WEEKDAY(BR$6,1)=7,BR9*BR8,MAX(0,BR9-8)*BR8)))</f>
      </c>
      <c r="BS11" s="26">
        <f>IF(BS$6="","",IF(WEEKDAY(BS$6,1)=1,0,IF(WEEKDAY(BS$6,1)=7,BS9*BS8,MAX(0,BS9-8)*BS8)))</f>
      </c>
      <c r="BT11" s="26">
        <f>IF(BT$6="","",IF(WEEKDAY(BT$6,1)=1,0,IF(WEEKDAY(BT$6,1)=7,BT9*BT8,MAX(0,BT9-8)*BT8)))</f>
      </c>
      <c r="BU11" s="26">
        <f>IF(BU$6="","",IF(WEEKDAY(BU$6,1)=1,0,IF(WEEKDAY(BU$6,1)=7,BU9*BU8,MAX(0,BU9-8)*BU8)))</f>
      </c>
      <c r="BV11" s="26">
        <f>IF(BV$6="","",IF(WEEKDAY(BV$6,1)=1,0,IF(WEEKDAY(BV$6,1)=7,BV9*BV8,MAX(0,BV9-8)*BV8)))</f>
      </c>
      <c r="BW11" s="26">
        <f>IF(BW$6="","",IF(WEEKDAY(BW$6,1)=1,0,IF(WEEKDAY(BW$6,1)=7,BW9*BW8,MAX(0,BW9-8)*BW8)))</f>
      </c>
      <c r="BX11" s="26">
        <f>IF(BX$6="","",IF(WEEKDAY(BX$6,1)=1,0,IF(WEEKDAY(BX$6,1)=7,BX9*BX8,MAX(0,BX9-8)*BX8)))</f>
      </c>
      <c r="BY11" s="26">
        <f>IF(BY$6="","",IF(WEEKDAY(BY$6,1)=1,0,IF(WEEKDAY(BY$6,1)=7,BY9*BY8,MAX(0,BY9-8)*BY8)))</f>
      </c>
      <c r="BZ11" s="26">
        <f>IF(BZ$6="","",IF(WEEKDAY(BZ$6,1)=1,0,IF(WEEKDAY(BZ$6,1)=7,BZ9*BZ8,MAX(0,BZ9-8)*BZ8)))</f>
      </c>
      <c r="CA11" s="26">
        <f>IF(CA$6="","",IF(WEEKDAY(CA$6,1)=1,0,IF(WEEKDAY(CA$6,1)=7,CA9*CA8,MAX(0,CA9-8)*CA8)))</f>
      </c>
      <c r="CB11" s="26">
        <f>IF(CB$6="","",IF(WEEKDAY(CB$6,1)=1,0,IF(WEEKDAY(CB$6,1)=7,CB9*CB8,MAX(0,CB9-8)*CB8)))</f>
      </c>
      <c r="CC11" s="26">
        <f>IF(CC$6="","",IF(WEEKDAY(CC$6,1)=1,0,IF(WEEKDAY(CC$6,1)=7,CC9*CC8,MAX(0,CC9-8)*CC8)))</f>
      </c>
      <c r="CD11" s="26">
        <f>IF(CD$6="","",IF(WEEKDAY(CD$6,1)=1,0,IF(WEEKDAY(CD$6,1)=7,CD9*CD8,MAX(0,CD9-8)*CD8)))</f>
      </c>
      <c r="CE11" s="26">
        <f>IF(CE$6="","",IF(WEEKDAY(CE$6,1)=1,0,IF(WEEKDAY(CE$6,1)=7,CE9*CE8,MAX(0,CE9-8)*CE8)))</f>
      </c>
      <c r="CF11" s="26">
        <f>IF(CF$6="","",IF(WEEKDAY(CF$6,1)=1,0,IF(WEEKDAY(CF$6,1)=7,CF9*CF8,MAX(0,CF9-8)*CF8)))</f>
      </c>
      <c r="CG11" s="26">
        <f>IF(CG$6="","",IF(WEEKDAY(CG$6,1)=1,0,IF(WEEKDAY(CG$6,1)=7,CG9*CG8,MAX(0,CG9-8)*CG8)))</f>
      </c>
      <c r="CH11" s="26">
        <f>IF(CH$6="","",IF(WEEKDAY(CH$6,1)=1,0,IF(WEEKDAY(CH$6,1)=7,CH9*CH8,MAX(0,CH9-8)*CH8)))</f>
      </c>
      <c r="CI11" s="26">
        <f>IF(CI$6="","",IF(WEEKDAY(CI$6,1)=1,0,IF(WEEKDAY(CI$6,1)=7,CI9*CI8,MAX(0,CI9-8)*CI8)))</f>
      </c>
      <c r="CJ11" s="26">
        <f>IF(CJ$6="","",IF(WEEKDAY(CJ$6,1)=1,0,IF(WEEKDAY(CJ$6,1)=7,CJ9*CJ8,MAX(0,CJ9-8)*CJ8)))</f>
      </c>
      <c r="CK11" s="26">
        <f>IF(CK$6="","",IF(WEEKDAY(CK$6,1)=1,0,IF(WEEKDAY(CK$6,1)=7,CK9*CK8,MAX(0,CK9-8)*CK8)))</f>
      </c>
      <c r="CL11" s="26">
        <f>IF(CL$6="","",IF(WEEKDAY(CL$6,1)=1,0,IF(WEEKDAY(CL$6,1)=7,CL9*CL8,MAX(0,CL9-8)*CL8)))</f>
      </c>
      <c r="CM11" s="26">
        <f>IF(CM$6="","",IF(WEEKDAY(CM$6,1)=1,0,IF(WEEKDAY(CM$6,1)=7,CM9*CM8,MAX(0,CM9-8)*CM8)))</f>
      </c>
      <c r="CN11" s="26">
        <f>IF(CN$6="","",IF(WEEKDAY(CN$6,1)=1,0,IF(WEEKDAY(CN$6,1)=7,CN9*CN8,MAX(0,CN9-8)*CN8)))</f>
      </c>
      <c r="CO11" s="26">
        <f>IF(CO$6="","",IF(WEEKDAY(CO$6,1)=1,0,IF(WEEKDAY(CO$6,1)=7,CO9*CO8,MAX(0,CO9-8)*CO8)))</f>
      </c>
      <c r="CP11" s="26">
        <f>IF(CP$6="","",IF(WEEKDAY(CP$6,1)=1,0,IF(WEEKDAY(CP$6,1)=7,CP9*CP8,MAX(0,CP9-8)*CP8)))</f>
      </c>
      <c r="CQ11" s="26">
        <f>IF(CQ$6="","",IF(WEEKDAY(CQ$6,1)=1,0,IF(WEEKDAY(CQ$6,1)=7,CQ9*CQ8,MAX(0,CQ9-8)*CQ8)))</f>
      </c>
      <c r="CR11" s="26">
        <f>IF(CR$6="","",IF(WEEKDAY(CR$6,1)=1,0,IF(WEEKDAY(CR$6,1)=7,CR9*CR8,MAX(0,CR9-8)*CR8)))</f>
      </c>
      <c r="CS11" s="26">
        <f>IF(CS$6="","",IF(WEEKDAY(CS$6,1)=1,0,IF(WEEKDAY(CS$6,1)=7,CS9*CS8,MAX(0,CS9-8)*CS8)))</f>
      </c>
      <c r="CT11" s="26">
        <f>IF(CT$6="","",IF(WEEKDAY(CT$6,1)=1,0,IF(WEEKDAY(CT$6,1)=7,CT9*CT8,MAX(0,CT9-8)*CT8)))</f>
      </c>
      <c r="CU11" s="26">
        <f>IF(CU$6="","",IF(WEEKDAY(CU$6,1)=1,0,IF(WEEKDAY(CU$6,1)=7,CU9*CU8,MAX(0,CU9-8)*CU8)))</f>
      </c>
      <c r="CV11" s="26">
        <f>IF(CV$6="","",IF(WEEKDAY(CV$6,1)=1,0,IF(WEEKDAY(CV$6,1)=7,CV9*CV8,MAX(0,CV9-8)*CV8)))</f>
      </c>
      <c r="CW11" s="26">
        <f>IF(CW$6="","",IF(WEEKDAY(CW$6,1)=1,0,IF(WEEKDAY(CW$6,1)=7,CW9*CW8,MAX(0,CW9-8)*CW8)))</f>
      </c>
      <c r="CX11" s="8" t="s">
        <v>89</v>
      </c>
    </row>
    <row r="12" spans="2:102" x14ac:dyDescent="0.25">
      <c r="B12" s="26">
        <f>SUM(L12:CW12)</f>
      </c>
      <c r="D12" s="27">
        <f>B12*E12</f>
      </c>
      <c r="E12" s="27">
        <f>'Rate Tables'!E24</f>
      </c>
      <c r="F12" s="8" t="s">
        <v>41</v>
      </c>
      <c r="L12" s="26">
        <f>IF(L$6="","",IF(WEEKDAY(L$6,1)=1,L9*L8,0))</f>
      </c>
      <c r="M12" s="26">
        <f>IF(M$6="","",IF(WEEKDAY(M$6,1)=1,M9*M8,0))</f>
      </c>
      <c r="N12" s="26">
        <f>IF(N$6="","",IF(WEEKDAY(N$6,1)=1,N9*N8,0))</f>
      </c>
      <c r="O12" s="26">
        <f>IF(O$6="","",IF(WEEKDAY(O$6,1)=1,O9*O8,0))</f>
      </c>
      <c r="P12" s="26">
        <f>IF(P$6="","",IF(WEEKDAY(P$6,1)=1,P9*P8,0))</f>
      </c>
      <c r="Q12" s="26">
        <f>IF(Q$6="","",IF(WEEKDAY(Q$6,1)=1,Q9*Q8,0))</f>
      </c>
      <c r="R12" s="26">
        <f>IF(R$6="","",IF(WEEKDAY(R$6,1)=1,R9*R8,0))</f>
      </c>
      <c r="S12" s="26">
        <f>IF(S$6="","",IF(WEEKDAY(S$6,1)=1,S9*S8,0))</f>
      </c>
      <c r="T12" s="26">
        <f>IF(T$6="","",IF(WEEKDAY(T$6,1)=1,T9*T8,0))</f>
      </c>
      <c r="U12" s="26">
        <f>IF(U$6="","",IF(WEEKDAY(U$6,1)=1,U9*U8,0))</f>
      </c>
      <c r="V12" s="26">
        <f>IF(V$6="","",IF(WEEKDAY(V$6,1)=1,V9*V8,0))</f>
      </c>
      <c r="W12" s="26">
        <f>IF(W$6="","",IF(WEEKDAY(W$6,1)=1,W9*W8,0))</f>
      </c>
      <c r="X12" s="26">
        <f>IF(X$6="","",IF(WEEKDAY(X$6,1)=1,X9*X8,0))</f>
      </c>
      <c r="Y12" s="26">
        <f>IF(Y$6="","",IF(WEEKDAY(Y$6,1)=1,Y9*Y8,0))</f>
      </c>
      <c r="Z12" s="26">
        <f>IF(Z$6="","",IF(WEEKDAY(Z$6,1)=1,Z9*Z8,0))</f>
      </c>
      <c r="AA12" s="26">
        <f>IF(AA$6="","",IF(WEEKDAY(AA$6,1)=1,AA9*AA8,0))</f>
      </c>
      <c r="AB12" s="26">
        <f>IF(AB$6="","",IF(WEEKDAY(AB$6,1)=1,AB9*AB8,0))</f>
      </c>
      <c r="AC12" s="26">
        <f>IF(AC$6="","",IF(WEEKDAY(AC$6,1)=1,AC9*AC8,0))</f>
      </c>
      <c r="AD12" s="26">
        <f>IF(AD$6="","",IF(WEEKDAY(AD$6,1)=1,AD9*AD8,0))</f>
      </c>
      <c r="AE12" s="26">
        <f>IF(AE$6="","",IF(WEEKDAY(AE$6,1)=1,AE9*AE8,0))</f>
      </c>
      <c r="AF12" s="26">
        <f>IF(AF$6="","",IF(WEEKDAY(AF$6,1)=1,AF9*AF8,0))</f>
      </c>
      <c r="AG12" s="26">
        <f>IF(AG$6="","",IF(WEEKDAY(AG$6,1)=1,AG9*AG8,0))</f>
      </c>
      <c r="AH12" s="26">
        <f>IF(AH$6="","",IF(WEEKDAY(AH$6,1)=1,AH9*AH8,0))</f>
      </c>
      <c r="AI12" s="26">
        <f>IF(AI$6="","",IF(WEEKDAY(AI$6,1)=1,AI9*AI8,0))</f>
      </c>
      <c r="AJ12" s="26">
        <f>IF(AJ$6="","",IF(WEEKDAY(AJ$6,1)=1,AJ9*AJ8,0))</f>
      </c>
      <c r="AK12" s="26">
        <f>IF(AK$6="","",IF(WEEKDAY(AK$6,1)=1,AK9*AK8,0))</f>
      </c>
      <c r="AL12" s="26">
        <f>IF(AL$6="","",IF(WEEKDAY(AL$6,1)=1,AL9*AL8,0))</f>
      </c>
      <c r="AM12" s="26">
        <f>IF(AM$6="","",IF(WEEKDAY(AM$6,1)=1,AM9*AM8,0))</f>
      </c>
      <c r="AN12" s="26">
        <f>IF(AN$6="","",IF(WEEKDAY(AN$6,1)=1,AN9*AN8,0))</f>
      </c>
      <c r="AO12" s="26">
        <f>IF(AO$6="","",IF(WEEKDAY(AO$6,1)=1,AO9*AO8,0))</f>
      </c>
      <c r="AP12" s="26">
        <f>IF(AP$6="","",IF(WEEKDAY(AP$6,1)=1,AP9*AP8,0))</f>
      </c>
      <c r="AQ12" s="26">
        <f>IF(AQ$6="","",IF(WEEKDAY(AQ$6,1)=1,AQ9*AQ8,0))</f>
      </c>
      <c r="AR12" s="26">
        <f>IF(AR$6="","",IF(WEEKDAY(AR$6,1)=1,AR9*AR8,0))</f>
      </c>
      <c r="AS12" s="26">
        <f>IF(AS$6="","",IF(WEEKDAY(AS$6,1)=1,AS9*AS8,0))</f>
      </c>
      <c r="AT12" s="26">
        <f>IF(AT$6="","",IF(WEEKDAY(AT$6,1)=1,AT9*AT8,0))</f>
      </c>
      <c r="AU12" s="26">
        <f>IF(AU$6="","",IF(WEEKDAY(AU$6,1)=1,AU9*AU8,0))</f>
      </c>
      <c r="AV12" s="26">
        <f>IF(AV$6="","",IF(WEEKDAY(AV$6,1)=1,AV9*AV8,0))</f>
      </c>
      <c r="AW12" s="26">
        <f>IF(AW$6="","",IF(WEEKDAY(AW$6,1)=1,AW9*AW8,0))</f>
      </c>
      <c r="AX12" s="26">
        <f>IF(AX$6="","",IF(WEEKDAY(AX$6,1)=1,AX9*AX8,0))</f>
      </c>
      <c r="AY12" s="26">
        <f>IF(AY$6="","",IF(WEEKDAY(AY$6,1)=1,AY9*AY8,0))</f>
      </c>
      <c r="AZ12" s="26">
        <f>IF(AZ$6="","",IF(WEEKDAY(AZ$6,1)=1,AZ9*AZ8,0))</f>
      </c>
      <c r="BA12" s="26">
        <f>IF(BA$6="","",IF(WEEKDAY(BA$6,1)=1,BA9*BA8,0))</f>
      </c>
      <c r="BB12" s="26">
        <f>IF(BB$6="","",IF(WEEKDAY(BB$6,1)=1,BB9*BB8,0))</f>
      </c>
      <c r="BC12" s="26">
        <f>IF(BC$6="","",IF(WEEKDAY(BC$6,1)=1,BC9*BC8,0))</f>
      </c>
      <c r="BD12" s="26">
        <f>IF(BD$6="","",IF(WEEKDAY(BD$6,1)=1,BD9*BD8,0))</f>
      </c>
      <c r="BE12" s="26">
        <f>IF(BE$6="","",IF(WEEKDAY(BE$6,1)=1,BE9*BE8,0))</f>
      </c>
      <c r="BF12" s="26">
        <f>IF(BF$6="","",IF(WEEKDAY(BF$6,1)=1,BF9*BF8,0))</f>
      </c>
      <c r="BG12" s="26">
        <f>IF(BG$6="","",IF(WEEKDAY(BG$6,1)=1,BG9*BG8,0))</f>
      </c>
      <c r="BH12" s="26">
        <f>IF(BH$6="","",IF(WEEKDAY(BH$6,1)=1,BH9*BH8,0))</f>
      </c>
      <c r="BI12" s="26">
        <f>IF(BI$6="","",IF(WEEKDAY(BI$6,1)=1,BI9*BI8,0))</f>
      </c>
      <c r="BJ12" s="26">
        <f>IF(BJ$6="","",IF(WEEKDAY(BJ$6,1)=1,BJ9*BJ8,0))</f>
      </c>
      <c r="BK12" s="26">
        <f>IF(BK$6="","",IF(WEEKDAY(BK$6,1)=1,BK9*BK8,0))</f>
      </c>
      <c r="BL12" s="26">
        <f>IF(BL$6="","",IF(WEEKDAY(BL$6,1)=1,BL9*BL8,0))</f>
      </c>
      <c r="BM12" s="26">
        <f>IF(BM$6="","",IF(WEEKDAY(BM$6,1)=1,BM9*BM8,0))</f>
      </c>
      <c r="BN12" s="26">
        <f>IF(BN$6="","",IF(WEEKDAY(BN$6,1)=1,BN9*BN8,0))</f>
      </c>
      <c r="BO12" s="26">
        <f>IF(BO$6="","",IF(WEEKDAY(BO$6,1)=1,BO9*BO8,0))</f>
      </c>
      <c r="BP12" s="26">
        <f>IF(BP$6="","",IF(WEEKDAY(BP$6,1)=1,BP9*BP8,0))</f>
      </c>
      <c r="BQ12" s="26">
        <f>IF(BQ$6="","",IF(WEEKDAY(BQ$6,1)=1,BQ9*BQ8,0))</f>
      </c>
      <c r="BR12" s="26">
        <f>IF(BR$6="","",IF(WEEKDAY(BR$6,1)=1,BR9*BR8,0))</f>
      </c>
      <c r="BS12" s="26">
        <f>IF(BS$6="","",IF(WEEKDAY(BS$6,1)=1,BS9*BS8,0))</f>
      </c>
      <c r="BT12" s="26">
        <f>IF(BT$6="","",IF(WEEKDAY(BT$6,1)=1,BT9*BT8,0))</f>
      </c>
      <c r="BU12" s="26">
        <f>IF(BU$6="","",IF(WEEKDAY(BU$6,1)=1,BU9*BU8,0))</f>
      </c>
      <c r="BV12" s="26">
        <f>IF(BV$6="","",IF(WEEKDAY(BV$6,1)=1,BV9*BV8,0))</f>
      </c>
      <c r="BW12" s="26">
        <f>IF(BW$6="","",IF(WEEKDAY(BW$6,1)=1,BW9*BW8,0))</f>
      </c>
      <c r="BX12" s="26">
        <f>IF(BX$6="","",IF(WEEKDAY(BX$6,1)=1,BX9*BX8,0))</f>
      </c>
      <c r="BY12" s="26">
        <f>IF(BY$6="","",IF(WEEKDAY(BY$6,1)=1,BY9*BY8,0))</f>
      </c>
      <c r="BZ12" s="26">
        <f>IF(BZ$6="","",IF(WEEKDAY(BZ$6,1)=1,BZ9*BZ8,0))</f>
      </c>
      <c r="CA12" s="26">
        <f>IF(CA$6="","",IF(WEEKDAY(CA$6,1)=1,CA9*CA8,0))</f>
      </c>
      <c r="CB12" s="26">
        <f>IF(CB$6="","",IF(WEEKDAY(CB$6,1)=1,CB9*CB8,0))</f>
      </c>
      <c r="CC12" s="26">
        <f>IF(CC$6="","",IF(WEEKDAY(CC$6,1)=1,CC9*CC8,0))</f>
      </c>
      <c r="CD12" s="26">
        <f>IF(CD$6="","",IF(WEEKDAY(CD$6,1)=1,CD9*CD8,0))</f>
      </c>
      <c r="CE12" s="26">
        <f>IF(CE$6="","",IF(WEEKDAY(CE$6,1)=1,CE9*CE8,0))</f>
      </c>
      <c r="CF12" s="26">
        <f>IF(CF$6="","",IF(WEEKDAY(CF$6,1)=1,CF9*CF8,0))</f>
      </c>
      <c r="CG12" s="26">
        <f>IF(CG$6="","",IF(WEEKDAY(CG$6,1)=1,CG9*CG8,0))</f>
      </c>
      <c r="CH12" s="26">
        <f>IF(CH$6="","",IF(WEEKDAY(CH$6,1)=1,CH9*CH8,0))</f>
      </c>
      <c r="CI12" s="26">
        <f>IF(CI$6="","",IF(WEEKDAY(CI$6,1)=1,CI9*CI8,0))</f>
      </c>
      <c r="CJ12" s="26">
        <f>IF(CJ$6="","",IF(WEEKDAY(CJ$6,1)=1,CJ9*CJ8,0))</f>
      </c>
      <c r="CK12" s="26">
        <f>IF(CK$6="","",IF(WEEKDAY(CK$6,1)=1,CK9*CK8,0))</f>
      </c>
      <c r="CL12" s="26">
        <f>IF(CL$6="","",IF(WEEKDAY(CL$6,1)=1,CL9*CL8,0))</f>
      </c>
      <c r="CM12" s="26">
        <f>IF(CM$6="","",IF(WEEKDAY(CM$6,1)=1,CM9*CM8,0))</f>
      </c>
      <c r="CN12" s="26">
        <f>IF(CN$6="","",IF(WEEKDAY(CN$6,1)=1,CN9*CN8,0))</f>
      </c>
      <c r="CO12" s="26">
        <f>IF(CO$6="","",IF(WEEKDAY(CO$6,1)=1,CO9*CO8,0))</f>
      </c>
      <c r="CP12" s="26">
        <f>IF(CP$6="","",IF(WEEKDAY(CP$6,1)=1,CP9*CP8,0))</f>
      </c>
      <c r="CQ12" s="26">
        <f>IF(CQ$6="","",IF(WEEKDAY(CQ$6,1)=1,CQ9*CQ8,0))</f>
      </c>
      <c r="CR12" s="26">
        <f>IF(CR$6="","",IF(WEEKDAY(CR$6,1)=1,CR9*CR8,0))</f>
      </c>
      <c r="CS12" s="26">
        <f>IF(CS$6="","",IF(WEEKDAY(CS$6,1)=1,CS9*CS8,0))</f>
      </c>
      <c r="CT12" s="26">
        <f>IF(CT$6="","",IF(WEEKDAY(CT$6,1)=1,CT9*CT8,0))</f>
      </c>
      <c r="CU12" s="26">
        <f>IF(CU$6="","",IF(WEEKDAY(CU$6,1)=1,CU9*CU8,0))</f>
      </c>
      <c r="CV12" s="26">
        <f>IF(CV$6="","",IF(WEEKDAY(CV$6,1)=1,CV9*CV8,0))</f>
      </c>
      <c r="CW12" s="26">
        <f>IF(CW$6="","",IF(WEEKDAY(CW$6,1)=1,CW9*CW8,0))</f>
      </c>
      <c r="CX12" s="8" t="s">
        <v>89</v>
      </c>
    </row>
    <row r="13" spans="2:102" x14ac:dyDescent="0.25">
      <c r="B13" s="26">
        <f>SUM(L13:CW13)</f>
      </c>
      <c r="D13" s="27">
        <f>B13*E13</f>
      </c>
      <c r="E13" s="27">
        <v>130</v>
      </c>
      <c r="F13" s="8" t="s">
        <v>42</v>
      </c>
      <c r="L13" s="28">
        <v>0</v>
      </c>
      <c r="M13" s="28">
        <v>0</v>
      </c>
      <c r="N13" s="28">
        <v>0</v>
      </c>
      <c r="O13" s="28">
        <v>0</v>
      </c>
      <c r="P13" s="28">
        <v>0</v>
      </c>
      <c r="Q13" s="28">
        <v>0</v>
      </c>
      <c r="R13" s="28">
        <v>0</v>
      </c>
      <c r="S13" s="28">
        <v>6</v>
      </c>
      <c r="T13" s="28">
        <v>6</v>
      </c>
      <c r="U13" s="28">
        <v>6</v>
      </c>
      <c r="V13" s="28">
        <v>6</v>
      </c>
      <c r="W13" s="28">
        <v>6</v>
      </c>
      <c r="X13" s="28">
        <v>0</v>
      </c>
      <c r="Y13" s="28">
        <v>0</v>
      </c>
      <c r="Z13" s="28">
        <v>6</v>
      </c>
      <c r="AA13" s="28">
        <v>6</v>
      </c>
      <c r="AB13" s="28">
        <v>6</v>
      </c>
      <c r="AC13" s="28">
        <v>6</v>
      </c>
      <c r="AD13" s="28">
        <v>6</v>
      </c>
      <c r="AE13" s="28">
        <v>0</v>
      </c>
      <c r="AF13" s="28">
        <v>0</v>
      </c>
      <c r="AG13" s="28">
        <v>6</v>
      </c>
      <c r="AH13" s="28">
        <v>6</v>
      </c>
      <c r="AI13" s="28">
        <v>6</v>
      </c>
      <c r="AJ13" s="28">
        <v>6</v>
      </c>
      <c r="AK13" s="28">
        <v>6</v>
      </c>
      <c r="AL13" s="28">
        <v>0</v>
      </c>
      <c r="AM13" s="28">
        <v>0</v>
      </c>
      <c r="AN13" s="28">
        <v>6</v>
      </c>
      <c r="AO13" s="28">
        <v>6</v>
      </c>
      <c r="AP13" s="28">
        <v>6</v>
      </c>
      <c r="AQ13" s="28">
        <v>6</v>
      </c>
      <c r="AR13" s="28">
        <v>0</v>
      </c>
      <c r="AS13" s="28">
        <v>0</v>
      </c>
      <c r="AT13" s="28">
        <v>0</v>
      </c>
      <c r="AU13" s="28">
        <v>6</v>
      </c>
      <c r="AV13" s="28">
        <v>6</v>
      </c>
      <c r="AW13" s="28">
        <v>6</v>
      </c>
      <c r="AX13" s="28">
        <v>6</v>
      </c>
      <c r="AY13" s="28">
        <v>6</v>
      </c>
      <c r="AZ13" s="28">
        <v>0</v>
      </c>
      <c r="BA13" s="28">
        <v>0</v>
      </c>
      <c r="BB13" s="28">
        <v>6</v>
      </c>
      <c r="BC13" s="28">
        <v>6</v>
      </c>
      <c r="BD13" s="28">
        <v>6</v>
      </c>
      <c r="BE13" s="28">
        <v>6</v>
      </c>
      <c r="BF13" s="28">
        <v>6</v>
      </c>
      <c r="BG13" s="28">
        <v>0</v>
      </c>
      <c r="BH13" s="28">
        <v>0</v>
      </c>
      <c r="BI13" s="28">
        <v>11</v>
      </c>
      <c r="BJ13" s="28">
        <v>1</v>
      </c>
      <c r="BK13" s="28">
        <v>2</v>
      </c>
      <c r="BL13" s="28">
        <v>2</v>
      </c>
      <c r="BM13" s="28">
        <v>2</v>
      </c>
      <c r="BN13" s="28">
        <v>2</v>
      </c>
      <c r="BO13" s="28">
        <v>2</v>
      </c>
      <c r="BP13" s="28">
        <v>2</v>
      </c>
      <c r="BQ13" s="28">
        <v>2</v>
      </c>
      <c r="BR13" s="28">
        <v>2</v>
      </c>
      <c r="BS13" s="28">
        <v>30</v>
      </c>
      <c r="BT13" s="28">
        <v>30</v>
      </c>
      <c r="BU13" s="28">
        <v>30</v>
      </c>
      <c r="BV13" s="28">
        <v>30</v>
      </c>
      <c r="BW13" s="28">
        <v>30</v>
      </c>
      <c r="BX13" s="28">
        <v>30</v>
      </c>
      <c r="BY13" s="28">
        <v>30</v>
      </c>
      <c r="BZ13" s="28">
        <v>30</v>
      </c>
      <c r="CA13" s="28">
        <v>30</v>
      </c>
      <c r="CB13" s="28">
        <v>30</v>
      </c>
      <c r="CC13" s="28">
        <v>30</v>
      </c>
      <c r="CD13" s="28">
        <v>30</v>
      </c>
      <c r="CE13" s="28">
        <v>30</v>
      </c>
      <c r="CF13" s="28">
        <v>30</v>
      </c>
      <c r="CG13" s="28">
        <v>30</v>
      </c>
      <c r="CH13" s="28">
        <v>30</v>
      </c>
      <c r="CI13" s="28">
        <v>30</v>
      </c>
      <c r="CJ13" s="28">
        <v>30</v>
      </c>
      <c r="CK13" s="28">
        <v>30</v>
      </c>
      <c r="CL13" s="28">
        <v>30</v>
      </c>
      <c r="CM13" s="28">
        <v>22</v>
      </c>
      <c r="CN13" s="28">
        <v>22</v>
      </c>
      <c r="CO13" s="28">
        <v>22</v>
      </c>
      <c r="CP13" s="28">
        <v>22</v>
      </c>
      <c r="CQ13" s="28">
        <v>22</v>
      </c>
      <c r="CR13" s="28">
        <v>22</v>
      </c>
      <c r="CS13" s="28">
        <v>22</v>
      </c>
      <c r="CT13" s="28">
        <v>22</v>
      </c>
      <c r="CU13" s="28">
        <v>22</v>
      </c>
      <c r="CV13" s="28">
        <v>22</v>
      </c>
      <c r="CW13" s="28">
        <v>22</v>
      </c>
      <c r="CX13" s="8" t="s">
        <v>89</v>
      </c>
    </row>
    <row r="14" spans="1:102" x14ac:dyDescent="0.25">
      <c r="A14" s="20" t="s">
        <v>47</v>
      </c>
      <c r="B14" s="21">
        <f>G14+H14+I14</f>
      </c>
      <c r="C14" s="20" t="s">
        <v>88</v>
      </c>
      <c r="D14" s="22">
        <f>K14</f>
      </c>
      <c r="F14" s="20" t="s">
        <v>34</v>
      </c>
      <c r="G14" s="21">
        <f>B17</f>
      </c>
      <c r="H14" s="21">
        <f>B18</f>
      </c>
      <c r="I14" s="21">
        <f>B19</f>
      </c>
      <c r="J14" s="21">
        <f>B20</f>
      </c>
      <c r="K14" s="22">
        <f>D17+D18+D19</f>
      </c>
      <c r="CX14" s="20" t="s">
        <v>90</v>
      </c>
    </row>
    <row r="15" spans="6:102" x14ac:dyDescent="0.25">
      <c r="F15" s="23" t="s">
        <v>36</v>
      </c>
      <c r="L15" s="24">
        <v>0</v>
      </c>
      <c r="M15" s="24">
        <v>0</v>
      </c>
      <c r="N15" s="24">
        <v>0</v>
      </c>
      <c r="O15" s="24">
        <v>0</v>
      </c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</v>
      </c>
      <c r="Z15" s="24">
        <v>0</v>
      </c>
      <c r="AA15" s="24">
        <v>0</v>
      </c>
      <c r="AB15" s="24">
        <v>0</v>
      </c>
      <c r="AC15" s="24">
        <v>0</v>
      </c>
      <c r="AD15" s="24">
        <v>0</v>
      </c>
      <c r="AE15" s="24">
        <v>0</v>
      </c>
      <c r="AF15" s="24">
        <v>0</v>
      </c>
      <c r="AG15" s="24">
        <v>0</v>
      </c>
      <c r="AH15" s="24">
        <v>0</v>
      </c>
      <c r="AI15" s="24">
        <v>0</v>
      </c>
      <c r="AJ15" s="24">
        <v>0</v>
      </c>
      <c r="AK15" s="24">
        <v>0</v>
      </c>
      <c r="AL15" s="24">
        <v>0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AR15" s="24">
        <v>0</v>
      </c>
      <c r="AS15" s="24">
        <v>0</v>
      </c>
      <c r="AT15" s="24">
        <v>0</v>
      </c>
      <c r="AU15" s="24">
        <v>0</v>
      </c>
      <c r="AV15" s="24">
        <v>0</v>
      </c>
      <c r="AW15" s="24">
        <v>0</v>
      </c>
      <c r="AX15" s="24">
        <v>0</v>
      </c>
      <c r="AY15" s="24">
        <v>0</v>
      </c>
      <c r="AZ15" s="24">
        <v>0</v>
      </c>
      <c r="BA15" s="24">
        <v>0</v>
      </c>
      <c r="BB15" s="24">
        <v>0</v>
      </c>
      <c r="BC15" s="24">
        <v>0</v>
      </c>
      <c r="BD15" s="24">
        <v>0</v>
      </c>
      <c r="BE15" s="24">
        <v>0</v>
      </c>
      <c r="BF15" s="24">
        <v>0</v>
      </c>
      <c r="BG15" s="24">
        <v>0</v>
      </c>
      <c r="BH15" s="24">
        <v>0</v>
      </c>
      <c r="BI15" s="24">
        <v>1</v>
      </c>
      <c r="BJ15" s="24">
        <v>1</v>
      </c>
      <c r="BK15" s="24">
        <v>1</v>
      </c>
      <c r="BL15" s="24">
        <v>1</v>
      </c>
      <c r="BM15" s="24">
        <v>1</v>
      </c>
      <c r="BN15" s="24">
        <v>1</v>
      </c>
      <c r="BO15" s="24">
        <v>1</v>
      </c>
      <c r="BP15" s="24">
        <v>1</v>
      </c>
      <c r="BQ15" s="24">
        <v>1</v>
      </c>
      <c r="BR15" s="24">
        <v>1</v>
      </c>
      <c r="BS15" s="24">
        <v>27</v>
      </c>
      <c r="BT15" s="24">
        <v>27</v>
      </c>
      <c r="BU15" s="24">
        <v>27</v>
      </c>
      <c r="BV15" s="24">
        <v>27</v>
      </c>
      <c r="BW15" s="24">
        <v>27</v>
      </c>
      <c r="BX15" s="24">
        <v>27</v>
      </c>
      <c r="BY15" s="24">
        <v>27</v>
      </c>
      <c r="BZ15" s="24">
        <v>27</v>
      </c>
      <c r="CA15" s="24">
        <v>27</v>
      </c>
      <c r="CB15" s="24">
        <v>27</v>
      </c>
      <c r="CC15" s="24">
        <v>27</v>
      </c>
      <c r="CD15" s="24">
        <v>27</v>
      </c>
      <c r="CE15" s="24">
        <v>27</v>
      </c>
      <c r="CF15" s="24">
        <v>27</v>
      </c>
      <c r="CG15" s="24">
        <v>27</v>
      </c>
      <c r="CH15" s="24">
        <v>27</v>
      </c>
      <c r="CI15" s="24">
        <v>27</v>
      </c>
      <c r="CJ15" s="24">
        <v>27</v>
      </c>
      <c r="CK15" s="24">
        <v>27</v>
      </c>
      <c r="CL15" s="24">
        <v>27</v>
      </c>
      <c r="CM15" s="24">
        <v>25</v>
      </c>
      <c r="CN15" s="24">
        <v>25</v>
      </c>
      <c r="CO15" s="24">
        <v>25</v>
      </c>
      <c r="CP15" s="24">
        <v>25</v>
      </c>
      <c r="CQ15" s="24">
        <v>25</v>
      </c>
      <c r="CR15" s="24">
        <v>25</v>
      </c>
      <c r="CS15" s="24">
        <v>25</v>
      </c>
      <c r="CT15" s="24">
        <v>25</v>
      </c>
      <c r="CU15" s="24">
        <v>25</v>
      </c>
      <c r="CV15" s="24">
        <v>25</v>
      </c>
      <c r="CW15" s="24">
        <v>25</v>
      </c>
      <c r="CX15" s="23" t="s">
        <v>90</v>
      </c>
    </row>
    <row r="16" spans="1:102" x14ac:dyDescent="0.25">
      <c r="A16" s="23" t="s">
        <v>37</v>
      </c>
      <c r="F16" s="23" t="s">
        <v>38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>
        <v>0</v>
      </c>
      <c r="T16" s="25">
        <v>0</v>
      </c>
      <c r="U16" s="25">
        <v>0</v>
      </c>
      <c r="V16" s="25">
        <v>0</v>
      </c>
      <c r="W16" s="25">
        <v>0</v>
      </c>
      <c r="X16" s="25">
        <v>0</v>
      </c>
      <c r="Y16" s="25">
        <v>0</v>
      </c>
      <c r="Z16" s="25">
        <v>0</v>
      </c>
      <c r="AA16" s="25">
        <v>0</v>
      </c>
      <c r="AB16" s="25">
        <v>0</v>
      </c>
      <c r="AC16" s="25">
        <v>0</v>
      </c>
      <c r="AD16" s="25">
        <v>0</v>
      </c>
      <c r="AE16" s="25">
        <v>0</v>
      </c>
      <c r="AF16" s="25">
        <v>0</v>
      </c>
      <c r="AG16" s="25">
        <v>0</v>
      </c>
      <c r="AH16" s="25">
        <v>0</v>
      </c>
      <c r="AI16" s="25">
        <v>0</v>
      </c>
      <c r="AJ16" s="25">
        <v>0</v>
      </c>
      <c r="AK16" s="25">
        <v>0</v>
      </c>
      <c r="AL16" s="25">
        <v>0</v>
      </c>
      <c r="AM16" s="25">
        <v>0</v>
      </c>
      <c r="AN16" s="25">
        <v>0</v>
      </c>
      <c r="AO16" s="25">
        <v>0</v>
      </c>
      <c r="AP16" s="25">
        <v>0</v>
      </c>
      <c r="AQ16" s="25">
        <v>0</v>
      </c>
      <c r="AR16" s="25">
        <v>0</v>
      </c>
      <c r="AS16" s="25">
        <v>0</v>
      </c>
      <c r="AT16" s="25">
        <v>0</v>
      </c>
      <c r="AU16" s="25">
        <v>0</v>
      </c>
      <c r="AV16" s="25">
        <v>0</v>
      </c>
      <c r="AW16" s="25">
        <v>0</v>
      </c>
      <c r="AX16" s="25">
        <v>0</v>
      </c>
      <c r="AY16" s="25">
        <v>0</v>
      </c>
      <c r="AZ16" s="25">
        <v>0</v>
      </c>
      <c r="BA16" s="25">
        <v>0</v>
      </c>
      <c r="BB16" s="25">
        <v>0</v>
      </c>
      <c r="BC16" s="25">
        <v>0</v>
      </c>
      <c r="BD16" s="25">
        <v>0</v>
      </c>
      <c r="BE16" s="25">
        <v>0</v>
      </c>
      <c r="BF16" s="25">
        <v>0</v>
      </c>
      <c r="BG16" s="25">
        <v>0</v>
      </c>
      <c r="BH16" s="25">
        <v>0</v>
      </c>
      <c r="BI16" s="25">
        <v>0</v>
      </c>
      <c r="BJ16" s="25">
        <v>0</v>
      </c>
      <c r="BK16" s="25">
        <v>0</v>
      </c>
      <c r="BL16" s="25">
        <v>0</v>
      </c>
      <c r="BM16" s="25">
        <v>0</v>
      </c>
      <c r="BN16" s="25">
        <v>0</v>
      </c>
      <c r="BO16" s="25">
        <v>0</v>
      </c>
      <c r="BP16" s="25">
        <v>0</v>
      </c>
      <c r="BQ16" s="25">
        <v>0</v>
      </c>
      <c r="BR16" s="25">
        <v>0</v>
      </c>
      <c r="BS16" s="25">
        <v>10</v>
      </c>
      <c r="BT16" s="25">
        <v>10</v>
      </c>
      <c r="BU16" s="25">
        <v>10</v>
      </c>
      <c r="BV16" s="25">
        <v>10</v>
      </c>
      <c r="BW16" s="25">
        <v>10</v>
      </c>
      <c r="BX16" s="25">
        <v>10</v>
      </c>
      <c r="BY16" s="25">
        <v>10</v>
      </c>
      <c r="BZ16" s="25">
        <v>10</v>
      </c>
      <c r="CA16" s="25">
        <v>10</v>
      </c>
      <c r="CB16" s="25">
        <v>10</v>
      </c>
      <c r="CC16" s="25">
        <v>10</v>
      </c>
      <c r="CD16" s="25">
        <v>10</v>
      </c>
      <c r="CE16" s="25">
        <v>10</v>
      </c>
      <c r="CF16" s="25">
        <v>10</v>
      </c>
      <c r="CG16" s="25">
        <v>10</v>
      </c>
      <c r="CH16" s="25">
        <v>10</v>
      </c>
      <c r="CI16" s="25">
        <v>10</v>
      </c>
      <c r="CJ16" s="25">
        <v>10</v>
      </c>
      <c r="CK16" s="25">
        <v>10</v>
      </c>
      <c r="CL16" s="25">
        <v>10</v>
      </c>
      <c r="CM16" s="25">
        <v>10</v>
      </c>
      <c r="CN16" s="25">
        <v>10</v>
      </c>
      <c r="CO16" s="25">
        <v>10</v>
      </c>
      <c r="CP16" s="25">
        <v>10</v>
      </c>
      <c r="CQ16" s="25">
        <v>10</v>
      </c>
      <c r="CR16" s="25">
        <v>10</v>
      </c>
      <c r="CS16" s="25">
        <v>10</v>
      </c>
      <c r="CT16" s="25">
        <v>10</v>
      </c>
      <c r="CU16" s="25">
        <v>10</v>
      </c>
      <c r="CV16" s="25">
        <v>10</v>
      </c>
      <c r="CW16" s="25">
        <v>10</v>
      </c>
      <c r="CX16" s="23" t="s">
        <v>90</v>
      </c>
    </row>
    <row r="17" spans="2:102" x14ac:dyDescent="0.25">
      <c r="B17" s="26">
        <f>SUM(L17:CW17)</f>
      </c>
      <c r="D17" s="27">
        <f>B17*E17</f>
      </c>
      <c r="E17" s="27">
        <f>'Rate Tables'!C24</f>
      </c>
      <c r="F17" s="8" t="s">
        <v>39</v>
      </c>
      <c r="L17" s="26">
        <f>IF(L$6="","",IF(OR(WEEKDAY(L$6,1)=1,WEEKDAY(L$6,1)=7),0,MIN(8,L16)*L15))</f>
      </c>
      <c r="M17" s="26">
        <f>IF(M$6="","",IF(OR(WEEKDAY(M$6,1)=1,WEEKDAY(M$6,1)=7),0,MIN(8,M16)*M15))</f>
      </c>
      <c r="N17" s="26">
        <f>IF(N$6="","",IF(OR(WEEKDAY(N$6,1)=1,WEEKDAY(N$6,1)=7),0,MIN(8,N16)*N15))</f>
      </c>
      <c r="O17" s="26">
        <f>IF(O$6="","",IF(OR(WEEKDAY(O$6,1)=1,WEEKDAY(O$6,1)=7),0,MIN(8,O16)*O15))</f>
      </c>
      <c r="P17" s="26">
        <f>IF(P$6="","",IF(OR(WEEKDAY(P$6,1)=1,WEEKDAY(P$6,1)=7),0,MIN(8,P16)*P15))</f>
      </c>
      <c r="Q17" s="26">
        <f>IF(Q$6="","",IF(OR(WEEKDAY(Q$6,1)=1,WEEKDAY(Q$6,1)=7),0,MIN(8,Q16)*Q15))</f>
      </c>
      <c r="R17" s="26">
        <f>IF(R$6="","",IF(OR(WEEKDAY(R$6,1)=1,WEEKDAY(R$6,1)=7),0,MIN(8,R16)*R15))</f>
      </c>
      <c r="S17" s="26">
        <f>IF(S$6="","",IF(OR(WEEKDAY(S$6,1)=1,WEEKDAY(S$6,1)=7),0,MIN(8,S16)*S15))</f>
      </c>
      <c r="T17" s="26">
        <f>IF(T$6="","",IF(OR(WEEKDAY(T$6,1)=1,WEEKDAY(T$6,1)=7),0,MIN(8,T16)*T15))</f>
      </c>
      <c r="U17" s="26">
        <f>IF(U$6="","",IF(OR(WEEKDAY(U$6,1)=1,WEEKDAY(U$6,1)=7),0,MIN(8,U16)*U15))</f>
      </c>
      <c r="V17" s="26">
        <f>IF(V$6="","",IF(OR(WEEKDAY(V$6,1)=1,WEEKDAY(V$6,1)=7),0,MIN(8,V16)*V15))</f>
      </c>
      <c r="W17" s="26">
        <f>IF(W$6="","",IF(OR(WEEKDAY(W$6,1)=1,WEEKDAY(W$6,1)=7),0,MIN(8,W16)*W15))</f>
      </c>
      <c r="X17" s="26">
        <f>IF(X$6="","",IF(OR(WEEKDAY(X$6,1)=1,WEEKDAY(X$6,1)=7),0,MIN(8,X16)*X15))</f>
      </c>
      <c r="Y17" s="26">
        <f>IF(Y$6="","",IF(OR(WEEKDAY(Y$6,1)=1,WEEKDAY(Y$6,1)=7),0,MIN(8,Y16)*Y15))</f>
      </c>
      <c r="Z17" s="26">
        <f>IF(Z$6="","",IF(OR(WEEKDAY(Z$6,1)=1,WEEKDAY(Z$6,1)=7),0,MIN(8,Z16)*Z15))</f>
      </c>
      <c r="AA17" s="26">
        <f>IF(AA$6="","",IF(OR(WEEKDAY(AA$6,1)=1,WEEKDAY(AA$6,1)=7),0,MIN(8,AA16)*AA15))</f>
      </c>
      <c r="AB17" s="26">
        <f>IF(AB$6="","",IF(OR(WEEKDAY(AB$6,1)=1,WEEKDAY(AB$6,1)=7),0,MIN(8,AB16)*AB15))</f>
      </c>
      <c r="AC17" s="26">
        <f>IF(AC$6="","",IF(OR(WEEKDAY(AC$6,1)=1,WEEKDAY(AC$6,1)=7),0,MIN(8,AC16)*AC15))</f>
      </c>
      <c r="AD17" s="26">
        <f>IF(AD$6="","",IF(OR(WEEKDAY(AD$6,1)=1,WEEKDAY(AD$6,1)=7),0,MIN(8,AD16)*AD15))</f>
      </c>
      <c r="AE17" s="26">
        <f>IF(AE$6="","",IF(OR(WEEKDAY(AE$6,1)=1,WEEKDAY(AE$6,1)=7),0,MIN(8,AE16)*AE15))</f>
      </c>
      <c r="AF17" s="26">
        <f>IF(AF$6="","",IF(OR(WEEKDAY(AF$6,1)=1,WEEKDAY(AF$6,1)=7),0,MIN(8,AF16)*AF15))</f>
      </c>
      <c r="AG17" s="26">
        <f>IF(AG$6="","",IF(OR(WEEKDAY(AG$6,1)=1,WEEKDAY(AG$6,1)=7),0,MIN(8,AG16)*AG15))</f>
      </c>
      <c r="AH17" s="26">
        <f>IF(AH$6="","",IF(OR(WEEKDAY(AH$6,1)=1,WEEKDAY(AH$6,1)=7),0,MIN(8,AH16)*AH15))</f>
      </c>
      <c r="AI17" s="26">
        <f>IF(AI$6="","",IF(OR(WEEKDAY(AI$6,1)=1,WEEKDAY(AI$6,1)=7),0,MIN(8,AI16)*AI15))</f>
      </c>
      <c r="AJ17" s="26">
        <f>IF(AJ$6="","",IF(OR(WEEKDAY(AJ$6,1)=1,WEEKDAY(AJ$6,1)=7),0,MIN(8,AJ16)*AJ15))</f>
      </c>
      <c r="AK17" s="26">
        <f>IF(AK$6="","",IF(OR(WEEKDAY(AK$6,1)=1,WEEKDAY(AK$6,1)=7),0,MIN(8,AK16)*AK15))</f>
      </c>
      <c r="AL17" s="26">
        <f>IF(AL$6="","",IF(OR(WEEKDAY(AL$6,1)=1,WEEKDAY(AL$6,1)=7),0,MIN(8,AL16)*AL15))</f>
      </c>
      <c r="AM17" s="26">
        <f>IF(AM$6="","",IF(OR(WEEKDAY(AM$6,1)=1,WEEKDAY(AM$6,1)=7),0,MIN(8,AM16)*AM15))</f>
      </c>
      <c r="AN17" s="26">
        <f>IF(AN$6="","",IF(OR(WEEKDAY(AN$6,1)=1,WEEKDAY(AN$6,1)=7),0,MIN(8,AN16)*AN15))</f>
      </c>
      <c r="AO17" s="26">
        <f>IF(AO$6="","",IF(OR(WEEKDAY(AO$6,1)=1,WEEKDAY(AO$6,1)=7),0,MIN(8,AO16)*AO15))</f>
      </c>
      <c r="AP17" s="26">
        <f>IF(AP$6="","",IF(OR(WEEKDAY(AP$6,1)=1,WEEKDAY(AP$6,1)=7),0,MIN(8,AP16)*AP15))</f>
      </c>
      <c r="AQ17" s="26">
        <f>IF(AQ$6="","",IF(OR(WEEKDAY(AQ$6,1)=1,WEEKDAY(AQ$6,1)=7),0,MIN(8,AQ16)*AQ15))</f>
      </c>
      <c r="AR17" s="26">
        <f>IF(AR$6="","",IF(OR(WEEKDAY(AR$6,1)=1,WEEKDAY(AR$6,1)=7),0,MIN(8,AR16)*AR15))</f>
      </c>
      <c r="AS17" s="26">
        <f>IF(AS$6="","",IF(OR(WEEKDAY(AS$6,1)=1,WEEKDAY(AS$6,1)=7),0,MIN(8,AS16)*AS15))</f>
      </c>
      <c r="AT17" s="26">
        <f>IF(AT$6="","",IF(OR(WEEKDAY(AT$6,1)=1,WEEKDAY(AT$6,1)=7),0,MIN(8,AT16)*AT15))</f>
      </c>
      <c r="AU17" s="26">
        <f>IF(AU$6="","",IF(OR(WEEKDAY(AU$6,1)=1,WEEKDAY(AU$6,1)=7),0,MIN(8,AU16)*AU15))</f>
      </c>
      <c r="AV17" s="26">
        <f>IF(AV$6="","",IF(OR(WEEKDAY(AV$6,1)=1,WEEKDAY(AV$6,1)=7),0,MIN(8,AV16)*AV15))</f>
      </c>
      <c r="AW17" s="26">
        <f>IF(AW$6="","",IF(OR(WEEKDAY(AW$6,1)=1,WEEKDAY(AW$6,1)=7),0,MIN(8,AW16)*AW15))</f>
      </c>
      <c r="AX17" s="26">
        <f>IF(AX$6="","",IF(OR(WEEKDAY(AX$6,1)=1,WEEKDAY(AX$6,1)=7),0,MIN(8,AX16)*AX15))</f>
      </c>
      <c r="AY17" s="26">
        <f>IF(AY$6="","",IF(OR(WEEKDAY(AY$6,1)=1,WEEKDAY(AY$6,1)=7),0,MIN(8,AY16)*AY15))</f>
      </c>
      <c r="AZ17" s="26">
        <f>IF(AZ$6="","",IF(OR(WEEKDAY(AZ$6,1)=1,WEEKDAY(AZ$6,1)=7),0,MIN(8,AZ16)*AZ15))</f>
      </c>
      <c r="BA17" s="26">
        <f>IF(BA$6="","",IF(OR(WEEKDAY(BA$6,1)=1,WEEKDAY(BA$6,1)=7),0,MIN(8,BA16)*BA15))</f>
      </c>
      <c r="BB17" s="26">
        <f>IF(BB$6="","",IF(OR(WEEKDAY(BB$6,1)=1,WEEKDAY(BB$6,1)=7),0,MIN(8,BB16)*BB15))</f>
      </c>
      <c r="BC17" s="26">
        <f>IF(BC$6="","",IF(OR(WEEKDAY(BC$6,1)=1,WEEKDAY(BC$6,1)=7),0,MIN(8,BC16)*BC15))</f>
      </c>
      <c r="BD17" s="26">
        <f>IF(BD$6="","",IF(OR(WEEKDAY(BD$6,1)=1,WEEKDAY(BD$6,1)=7),0,MIN(8,BD16)*BD15))</f>
      </c>
      <c r="BE17" s="26">
        <f>IF(BE$6="","",IF(OR(WEEKDAY(BE$6,1)=1,WEEKDAY(BE$6,1)=7),0,MIN(8,BE16)*BE15))</f>
      </c>
      <c r="BF17" s="26">
        <f>IF(BF$6="","",IF(OR(WEEKDAY(BF$6,1)=1,WEEKDAY(BF$6,1)=7),0,MIN(8,BF16)*BF15))</f>
      </c>
      <c r="BG17" s="26">
        <f>IF(BG$6="","",IF(OR(WEEKDAY(BG$6,1)=1,WEEKDAY(BG$6,1)=7),0,MIN(8,BG16)*BG15))</f>
      </c>
      <c r="BH17" s="26">
        <f>IF(BH$6="","",IF(OR(WEEKDAY(BH$6,1)=1,WEEKDAY(BH$6,1)=7),0,MIN(8,BH16)*BH15))</f>
      </c>
      <c r="BI17" s="26">
        <f>IF(BI$6="","",IF(OR(WEEKDAY(BI$6,1)=1,WEEKDAY(BI$6,1)=7),0,MIN(8,BI16)*BI15))</f>
      </c>
      <c r="BJ17" s="26">
        <f>IF(BJ$6="","",IF(OR(WEEKDAY(BJ$6,1)=1,WEEKDAY(BJ$6,1)=7),0,MIN(8,BJ16)*BJ15))</f>
      </c>
      <c r="BK17" s="26">
        <f>IF(BK$6="","",IF(OR(WEEKDAY(BK$6,1)=1,WEEKDAY(BK$6,1)=7),0,MIN(8,BK16)*BK15))</f>
      </c>
      <c r="BL17" s="26">
        <f>IF(BL$6="","",IF(OR(WEEKDAY(BL$6,1)=1,WEEKDAY(BL$6,1)=7),0,MIN(8,BL16)*BL15))</f>
      </c>
      <c r="BM17" s="26">
        <f>IF(BM$6="","",IF(OR(WEEKDAY(BM$6,1)=1,WEEKDAY(BM$6,1)=7),0,MIN(8,BM16)*BM15))</f>
      </c>
      <c r="BN17" s="26">
        <f>IF(BN$6="","",IF(OR(WEEKDAY(BN$6,1)=1,WEEKDAY(BN$6,1)=7),0,MIN(8,BN16)*BN15))</f>
      </c>
      <c r="BO17" s="26">
        <f>IF(BO$6="","",IF(OR(WEEKDAY(BO$6,1)=1,WEEKDAY(BO$6,1)=7),0,MIN(8,BO16)*BO15))</f>
      </c>
      <c r="BP17" s="26">
        <f>IF(BP$6="","",IF(OR(WEEKDAY(BP$6,1)=1,WEEKDAY(BP$6,1)=7),0,MIN(8,BP16)*BP15))</f>
      </c>
      <c r="BQ17" s="26">
        <f>IF(BQ$6="","",IF(OR(WEEKDAY(BQ$6,1)=1,WEEKDAY(BQ$6,1)=7),0,MIN(8,BQ16)*BQ15))</f>
      </c>
      <c r="BR17" s="26">
        <f>IF(BR$6="","",IF(OR(WEEKDAY(BR$6,1)=1,WEEKDAY(BR$6,1)=7),0,MIN(8,BR16)*BR15))</f>
      </c>
      <c r="BS17" s="26">
        <f>IF(BS$6="","",IF(OR(WEEKDAY(BS$6,1)=1,WEEKDAY(BS$6,1)=7),0,MIN(8,BS16)*BS15))</f>
      </c>
      <c r="BT17" s="26">
        <f>IF(BT$6="","",IF(OR(WEEKDAY(BT$6,1)=1,WEEKDAY(BT$6,1)=7),0,MIN(8,BT16)*BT15))</f>
      </c>
      <c r="BU17" s="26">
        <f>IF(BU$6="","",IF(OR(WEEKDAY(BU$6,1)=1,WEEKDAY(BU$6,1)=7),0,MIN(8,BU16)*BU15))</f>
      </c>
      <c r="BV17" s="26">
        <f>IF(BV$6="","",IF(OR(WEEKDAY(BV$6,1)=1,WEEKDAY(BV$6,1)=7),0,MIN(8,BV16)*BV15))</f>
      </c>
      <c r="BW17" s="26">
        <f>IF(BW$6="","",IF(OR(WEEKDAY(BW$6,1)=1,WEEKDAY(BW$6,1)=7),0,MIN(8,BW16)*BW15))</f>
      </c>
      <c r="BX17" s="26">
        <f>IF(BX$6="","",IF(OR(WEEKDAY(BX$6,1)=1,WEEKDAY(BX$6,1)=7),0,MIN(8,BX16)*BX15))</f>
      </c>
      <c r="BY17" s="26">
        <f>IF(BY$6="","",IF(OR(WEEKDAY(BY$6,1)=1,WEEKDAY(BY$6,1)=7),0,MIN(8,BY16)*BY15))</f>
      </c>
      <c r="BZ17" s="26">
        <f>IF(BZ$6="","",IF(OR(WEEKDAY(BZ$6,1)=1,WEEKDAY(BZ$6,1)=7),0,MIN(8,BZ16)*BZ15))</f>
      </c>
      <c r="CA17" s="26">
        <f>IF(CA$6="","",IF(OR(WEEKDAY(CA$6,1)=1,WEEKDAY(CA$6,1)=7),0,MIN(8,CA16)*CA15))</f>
      </c>
      <c r="CB17" s="26">
        <f>IF(CB$6="","",IF(OR(WEEKDAY(CB$6,1)=1,WEEKDAY(CB$6,1)=7),0,MIN(8,CB16)*CB15))</f>
      </c>
      <c r="CC17" s="26">
        <f>IF(CC$6="","",IF(OR(WEEKDAY(CC$6,1)=1,WEEKDAY(CC$6,1)=7),0,MIN(8,CC16)*CC15))</f>
      </c>
      <c r="CD17" s="26">
        <f>IF(CD$6="","",IF(OR(WEEKDAY(CD$6,1)=1,WEEKDAY(CD$6,1)=7),0,MIN(8,CD16)*CD15))</f>
      </c>
      <c r="CE17" s="26">
        <f>IF(CE$6="","",IF(OR(WEEKDAY(CE$6,1)=1,WEEKDAY(CE$6,1)=7),0,MIN(8,CE16)*CE15))</f>
      </c>
      <c r="CF17" s="26">
        <f>IF(CF$6="","",IF(OR(WEEKDAY(CF$6,1)=1,WEEKDAY(CF$6,1)=7),0,MIN(8,CF16)*CF15))</f>
      </c>
      <c r="CG17" s="26">
        <f>IF(CG$6="","",IF(OR(WEEKDAY(CG$6,1)=1,WEEKDAY(CG$6,1)=7),0,MIN(8,CG16)*CG15))</f>
      </c>
      <c r="CH17" s="26">
        <f>IF(CH$6="","",IF(OR(WEEKDAY(CH$6,1)=1,WEEKDAY(CH$6,1)=7),0,MIN(8,CH16)*CH15))</f>
      </c>
      <c r="CI17" s="26">
        <f>IF(CI$6="","",IF(OR(WEEKDAY(CI$6,1)=1,WEEKDAY(CI$6,1)=7),0,MIN(8,CI16)*CI15))</f>
      </c>
      <c r="CJ17" s="26">
        <f>IF(CJ$6="","",IF(OR(WEEKDAY(CJ$6,1)=1,WEEKDAY(CJ$6,1)=7),0,MIN(8,CJ16)*CJ15))</f>
      </c>
      <c r="CK17" s="26">
        <f>IF(CK$6="","",IF(OR(WEEKDAY(CK$6,1)=1,WEEKDAY(CK$6,1)=7),0,MIN(8,CK16)*CK15))</f>
      </c>
      <c r="CL17" s="26">
        <f>IF(CL$6="","",IF(OR(WEEKDAY(CL$6,1)=1,WEEKDAY(CL$6,1)=7),0,MIN(8,CL16)*CL15))</f>
      </c>
      <c r="CM17" s="26">
        <f>IF(CM$6="","",IF(OR(WEEKDAY(CM$6,1)=1,WEEKDAY(CM$6,1)=7),0,MIN(8,CM16)*CM15))</f>
      </c>
      <c r="CN17" s="26">
        <f>IF(CN$6="","",IF(OR(WEEKDAY(CN$6,1)=1,WEEKDAY(CN$6,1)=7),0,MIN(8,CN16)*CN15))</f>
      </c>
      <c r="CO17" s="26">
        <f>IF(CO$6="","",IF(OR(WEEKDAY(CO$6,1)=1,WEEKDAY(CO$6,1)=7),0,MIN(8,CO16)*CO15))</f>
      </c>
      <c r="CP17" s="26">
        <f>IF(CP$6="","",IF(OR(WEEKDAY(CP$6,1)=1,WEEKDAY(CP$6,1)=7),0,MIN(8,CP16)*CP15))</f>
      </c>
      <c r="CQ17" s="26">
        <f>IF(CQ$6="","",IF(OR(WEEKDAY(CQ$6,1)=1,WEEKDAY(CQ$6,1)=7),0,MIN(8,CQ16)*CQ15))</f>
      </c>
      <c r="CR17" s="26">
        <f>IF(CR$6="","",IF(OR(WEEKDAY(CR$6,1)=1,WEEKDAY(CR$6,1)=7),0,MIN(8,CR16)*CR15))</f>
      </c>
      <c r="CS17" s="26">
        <f>IF(CS$6="","",IF(OR(WEEKDAY(CS$6,1)=1,WEEKDAY(CS$6,1)=7),0,MIN(8,CS16)*CS15))</f>
      </c>
      <c r="CT17" s="26">
        <f>IF(CT$6="","",IF(OR(WEEKDAY(CT$6,1)=1,WEEKDAY(CT$6,1)=7),0,MIN(8,CT16)*CT15))</f>
      </c>
      <c r="CU17" s="26">
        <f>IF(CU$6="","",IF(OR(WEEKDAY(CU$6,1)=1,WEEKDAY(CU$6,1)=7),0,MIN(8,CU16)*CU15))</f>
      </c>
      <c r="CV17" s="26">
        <f>IF(CV$6="","",IF(OR(WEEKDAY(CV$6,1)=1,WEEKDAY(CV$6,1)=7),0,MIN(8,CV16)*CV15))</f>
      </c>
      <c r="CW17" s="26">
        <f>IF(CW$6="","",IF(OR(WEEKDAY(CW$6,1)=1,WEEKDAY(CW$6,1)=7),0,MIN(8,CW16)*CW15))</f>
      </c>
      <c r="CX17" s="8" t="s">
        <v>90</v>
      </c>
    </row>
    <row r="18" spans="2:102" x14ac:dyDescent="0.25">
      <c r="B18" s="26">
        <f>SUM(L18:CW18)</f>
      </c>
      <c r="D18" s="27">
        <f>B18*E18</f>
      </c>
      <c r="E18" s="27">
        <f>'Rate Tables'!D24</f>
      </c>
      <c r="F18" s="8" t="s">
        <v>40</v>
      </c>
      <c r="L18" s="26">
        <f>IF(L$6="","",IF(WEEKDAY(L$6,1)=1,0,IF(WEEKDAY(L$6,1)=7,L16*L15,MAX(0,L16-8)*L15)))</f>
      </c>
      <c r="M18" s="26">
        <f>IF(M$6="","",IF(WEEKDAY(M$6,1)=1,0,IF(WEEKDAY(M$6,1)=7,M16*M15,MAX(0,M16-8)*M15)))</f>
      </c>
      <c r="N18" s="26">
        <f>IF(N$6="","",IF(WEEKDAY(N$6,1)=1,0,IF(WEEKDAY(N$6,1)=7,N16*N15,MAX(0,N16-8)*N15)))</f>
      </c>
      <c r="O18" s="26">
        <f>IF(O$6="","",IF(WEEKDAY(O$6,1)=1,0,IF(WEEKDAY(O$6,1)=7,O16*O15,MAX(0,O16-8)*O15)))</f>
      </c>
      <c r="P18" s="26">
        <f>IF(P$6="","",IF(WEEKDAY(P$6,1)=1,0,IF(WEEKDAY(P$6,1)=7,P16*P15,MAX(0,P16-8)*P15)))</f>
      </c>
      <c r="Q18" s="26">
        <f>IF(Q$6="","",IF(WEEKDAY(Q$6,1)=1,0,IF(WEEKDAY(Q$6,1)=7,Q16*Q15,MAX(0,Q16-8)*Q15)))</f>
      </c>
      <c r="R18" s="26">
        <f>IF(R$6="","",IF(WEEKDAY(R$6,1)=1,0,IF(WEEKDAY(R$6,1)=7,R16*R15,MAX(0,R16-8)*R15)))</f>
      </c>
      <c r="S18" s="26">
        <f>IF(S$6="","",IF(WEEKDAY(S$6,1)=1,0,IF(WEEKDAY(S$6,1)=7,S16*S15,MAX(0,S16-8)*S15)))</f>
      </c>
      <c r="T18" s="26">
        <f>IF(T$6="","",IF(WEEKDAY(T$6,1)=1,0,IF(WEEKDAY(T$6,1)=7,T16*T15,MAX(0,T16-8)*T15)))</f>
      </c>
      <c r="U18" s="26">
        <f>IF(U$6="","",IF(WEEKDAY(U$6,1)=1,0,IF(WEEKDAY(U$6,1)=7,U16*U15,MAX(0,U16-8)*U15)))</f>
      </c>
      <c r="V18" s="26">
        <f>IF(V$6="","",IF(WEEKDAY(V$6,1)=1,0,IF(WEEKDAY(V$6,1)=7,V16*V15,MAX(0,V16-8)*V15)))</f>
      </c>
      <c r="W18" s="26">
        <f>IF(W$6="","",IF(WEEKDAY(W$6,1)=1,0,IF(WEEKDAY(W$6,1)=7,W16*W15,MAX(0,W16-8)*W15)))</f>
      </c>
      <c r="X18" s="26">
        <f>IF(X$6="","",IF(WEEKDAY(X$6,1)=1,0,IF(WEEKDAY(X$6,1)=7,X16*X15,MAX(0,X16-8)*X15)))</f>
      </c>
      <c r="Y18" s="26">
        <f>IF(Y$6="","",IF(WEEKDAY(Y$6,1)=1,0,IF(WEEKDAY(Y$6,1)=7,Y16*Y15,MAX(0,Y16-8)*Y15)))</f>
      </c>
      <c r="Z18" s="26">
        <f>IF(Z$6="","",IF(WEEKDAY(Z$6,1)=1,0,IF(WEEKDAY(Z$6,1)=7,Z16*Z15,MAX(0,Z16-8)*Z15)))</f>
      </c>
      <c r="AA18" s="26">
        <f>IF(AA$6="","",IF(WEEKDAY(AA$6,1)=1,0,IF(WEEKDAY(AA$6,1)=7,AA16*AA15,MAX(0,AA16-8)*AA15)))</f>
      </c>
      <c r="AB18" s="26">
        <f>IF(AB$6="","",IF(WEEKDAY(AB$6,1)=1,0,IF(WEEKDAY(AB$6,1)=7,AB16*AB15,MAX(0,AB16-8)*AB15)))</f>
      </c>
      <c r="AC18" s="26">
        <f>IF(AC$6="","",IF(WEEKDAY(AC$6,1)=1,0,IF(WEEKDAY(AC$6,1)=7,AC16*AC15,MAX(0,AC16-8)*AC15)))</f>
      </c>
      <c r="AD18" s="26">
        <f>IF(AD$6="","",IF(WEEKDAY(AD$6,1)=1,0,IF(WEEKDAY(AD$6,1)=7,AD16*AD15,MAX(0,AD16-8)*AD15)))</f>
      </c>
      <c r="AE18" s="26">
        <f>IF(AE$6="","",IF(WEEKDAY(AE$6,1)=1,0,IF(WEEKDAY(AE$6,1)=7,AE16*AE15,MAX(0,AE16-8)*AE15)))</f>
      </c>
      <c r="AF18" s="26">
        <f>IF(AF$6="","",IF(WEEKDAY(AF$6,1)=1,0,IF(WEEKDAY(AF$6,1)=7,AF16*AF15,MAX(0,AF16-8)*AF15)))</f>
      </c>
      <c r="AG18" s="26">
        <f>IF(AG$6="","",IF(WEEKDAY(AG$6,1)=1,0,IF(WEEKDAY(AG$6,1)=7,AG16*AG15,MAX(0,AG16-8)*AG15)))</f>
      </c>
      <c r="AH18" s="26">
        <f>IF(AH$6="","",IF(WEEKDAY(AH$6,1)=1,0,IF(WEEKDAY(AH$6,1)=7,AH16*AH15,MAX(0,AH16-8)*AH15)))</f>
      </c>
      <c r="AI18" s="26">
        <f>IF(AI$6="","",IF(WEEKDAY(AI$6,1)=1,0,IF(WEEKDAY(AI$6,1)=7,AI16*AI15,MAX(0,AI16-8)*AI15)))</f>
      </c>
      <c r="AJ18" s="26">
        <f>IF(AJ$6="","",IF(WEEKDAY(AJ$6,1)=1,0,IF(WEEKDAY(AJ$6,1)=7,AJ16*AJ15,MAX(0,AJ16-8)*AJ15)))</f>
      </c>
      <c r="AK18" s="26">
        <f>IF(AK$6="","",IF(WEEKDAY(AK$6,1)=1,0,IF(WEEKDAY(AK$6,1)=7,AK16*AK15,MAX(0,AK16-8)*AK15)))</f>
      </c>
      <c r="AL18" s="26">
        <f>IF(AL$6="","",IF(WEEKDAY(AL$6,1)=1,0,IF(WEEKDAY(AL$6,1)=7,AL16*AL15,MAX(0,AL16-8)*AL15)))</f>
      </c>
      <c r="AM18" s="26">
        <f>IF(AM$6="","",IF(WEEKDAY(AM$6,1)=1,0,IF(WEEKDAY(AM$6,1)=7,AM16*AM15,MAX(0,AM16-8)*AM15)))</f>
      </c>
      <c r="AN18" s="26">
        <f>IF(AN$6="","",IF(WEEKDAY(AN$6,1)=1,0,IF(WEEKDAY(AN$6,1)=7,AN16*AN15,MAX(0,AN16-8)*AN15)))</f>
      </c>
      <c r="AO18" s="26">
        <f>IF(AO$6="","",IF(WEEKDAY(AO$6,1)=1,0,IF(WEEKDAY(AO$6,1)=7,AO16*AO15,MAX(0,AO16-8)*AO15)))</f>
      </c>
      <c r="AP18" s="26">
        <f>IF(AP$6="","",IF(WEEKDAY(AP$6,1)=1,0,IF(WEEKDAY(AP$6,1)=7,AP16*AP15,MAX(0,AP16-8)*AP15)))</f>
      </c>
      <c r="AQ18" s="26">
        <f>IF(AQ$6="","",IF(WEEKDAY(AQ$6,1)=1,0,IF(WEEKDAY(AQ$6,1)=7,AQ16*AQ15,MAX(0,AQ16-8)*AQ15)))</f>
      </c>
      <c r="AR18" s="26">
        <f>IF(AR$6="","",IF(WEEKDAY(AR$6,1)=1,0,IF(WEEKDAY(AR$6,1)=7,AR16*AR15,MAX(0,AR16-8)*AR15)))</f>
      </c>
      <c r="AS18" s="26">
        <f>IF(AS$6="","",IF(WEEKDAY(AS$6,1)=1,0,IF(WEEKDAY(AS$6,1)=7,AS16*AS15,MAX(0,AS16-8)*AS15)))</f>
      </c>
      <c r="AT18" s="26">
        <f>IF(AT$6="","",IF(WEEKDAY(AT$6,1)=1,0,IF(WEEKDAY(AT$6,1)=7,AT16*AT15,MAX(0,AT16-8)*AT15)))</f>
      </c>
      <c r="AU18" s="26">
        <f>IF(AU$6="","",IF(WEEKDAY(AU$6,1)=1,0,IF(WEEKDAY(AU$6,1)=7,AU16*AU15,MAX(0,AU16-8)*AU15)))</f>
      </c>
      <c r="AV18" s="26">
        <f>IF(AV$6="","",IF(WEEKDAY(AV$6,1)=1,0,IF(WEEKDAY(AV$6,1)=7,AV16*AV15,MAX(0,AV16-8)*AV15)))</f>
      </c>
      <c r="AW18" s="26">
        <f>IF(AW$6="","",IF(WEEKDAY(AW$6,1)=1,0,IF(WEEKDAY(AW$6,1)=7,AW16*AW15,MAX(0,AW16-8)*AW15)))</f>
      </c>
      <c r="AX18" s="26">
        <f>IF(AX$6="","",IF(WEEKDAY(AX$6,1)=1,0,IF(WEEKDAY(AX$6,1)=7,AX16*AX15,MAX(0,AX16-8)*AX15)))</f>
      </c>
      <c r="AY18" s="26">
        <f>IF(AY$6="","",IF(WEEKDAY(AY$6,1)=1,0,IF(WEEKDAY(AY$6,1)=7,AY16*AY15,MAX(0,AY16-8)*AY15)))</f>
      </c>
      <c r="AZ18" s="26">
        <f>IF(AZ$6="","",IF(WEEKDAY(AZ$6,1)=1,0,IF(WEEKDAY(AZ$6,1)=7,AZ16*AZ15,MAX(0,AZ16-8)*AZ15)))</f>
      </c>
      <c r="BA18" s="26">
        <f>IF(BA$6="","",IF(WEEKDAY(BA$6,1)=1,0,IF(WEEKDAY(BA$6,1)=7,BA16*BA15,MAX(0,BA16-8)*BA15)))</f>
      </c>
      <c r="BB18" s="26">
        <f>IF(BB$6="","",IF(WEEKDAY(BB$6,1)=1,0,IF(WEEKDAY(BB$6,1)=7,BB16*BB15,MAX(0,BB16-8)*BB15)))</f>
      </c>
      <c r="BC18" s="26">
        <f>IF(BC$6="","",IF(WEEKDAY(BC$6,1)=1,0,IF(WEEKDAY(BC$6,1)=7,BC16*BC15,MAX(0,BC16-8)*BC15)))</f>
      </c>
      <c r="BD18" s="26">
        <f>IF(BD$6="","",IF(WEEKDAY(BD$6,1)=1,0,IF(WEEKDAY(BD$6,1)=7,BD16*BD15,MAX(0,BD16-8)*BD15)))</f>
      </c>
      <c r="BE18" s="26">
        <f>IF(BE$6="","",IF(WEEKDAY(BE$6,1)=1,0,IF(WEEKDAY(BE$6,1)=7,BE16*BE15,MAX(0,BE16-8)*BE15)))</f>
      </c>
      <c r="BF18" s="26">
        <f>IF(BF$6="","",IF(WEEKDAY(BF$6,1)=1,0,IF(WEEKDAY(BF$6,1)=7,BF16*BF15,MAX(0,BF16-8)*BF15)))</f>
      </c>
      <c r="BG18" s="26">
        <f>IF(BG$6="","",IF(WEEKDAY(BG$6,1)=1,0,IF(WEEKDAY(BG$6,1)=7,BG16*BG15,MAX(0,BG16-8)*BG15)))</f>
      </c>
      <c r="BH18" s="26">
        <f>IF(BH$6="","",IF(WEEKDAY(BH$6,1)=1,0,IF(WEEKDAY(BH$6,1)=7,BH16*BH15,MAX(0,BH16-8)*BH15)))</f>
      </c>
      <c r="BI18" s="26">
        <f>IF(BI$6="","",IF(WEEKDAY(BI$6,1)=1,0,IF(WEEKDAY(BI$6,1)=7,BI16*BI15,MAX(0,BI16-8)*BI15)))</f>
      </c>
      <c r="BJ18" s="26">
        <f>IF(BJ$6="","",IF(WEEKDAY(BJ$6,1)=1,0,IF(WEEKDAY(BJ$6,1)=7,BJ16*BJ15,MAX(0,BJ16-8)*BJ15)))</f>
      </c>
      <c r="BK18" s="26">
        <f>IF(BK$6="","",IF(WEEKDAY(BK$6,1)=1,0,IF(WEEKDAY(BK$6,1)=7,BK16*BK15,MAX(0,BK16-8)*BK15)))</f>
      </c>
      <c r="BL18" s="26">
        <f>IF(BL$6="","",IF(WEEKDAY(BL$6,1)=1,0,IF(WEEKDAY(BL$6,1)=7,BL16*BL15,MAX(0,BL16-8)*BL15)))</f>
      </c>
      <c r="BM18" s="26">
        <f>IF(BM$6="","",IF(WEEKDAY(BM$6,1)=1,0,IF(WEEKDAY(BM$6,1)=7,BM16*BM15,MAX(0,BM16-8)*BM15)))</f>
      </c>
      <c r="BN18" s="26">
        <f>IF(BN$6="","",IF(WEEKDAY(BN$6,1)=1,0,IF(WEEKDAY(BN$6,1)=7,BN16*BN15,MAX(0,BN16-8)*BN15)))</f>
      </c>
      <c r="BO18" s="26">
        <f>IF(BO$6="","",IF(WEEKDAY(BO$6,1)=1,0,IF(WEEKDAY(BO$6,1)=7,BO16*BO15,MAX(0,BO16-8)*BO15)))</f>
      </c>
      <c r="BP18" s="26">
        <f>IF(BP$6="","",IF(WEEKDAY(BP$6,1)=1,0,IF(WEEKDAY(BP$6,1)=7,BP16*BP15,MAX(0,BP16-8)*BP15)))</f>
      </c>
      <c r="BQ18" s="26">
        <f>IF(BQ$6="","",IF(WEEKDAY(BQ$6,1)=1,0,IF(WEEKDAY(BQ$6,1)=7,BQ16*BQ15,MAX(0,BQ16-8)*BQ15)))</f>
      </c>
      <c r="BR18" s="26">
        <f>IF(BR$6="","",IF(WEEKDAY(BR$6,1)=1,0,IF(WEEKDAY(BR$6,1)=7,BR16*BR15,MAX(0,BR16-8)*BR15)))</f>
      </c>
      <c r="BS18" s="26">
        <f>IF(BS$6="","",IF(WEEKDAY(BS$6,1)=1,0,IF(WEEKDAY(BS$6,1)=7,BS16*BS15,MAX(0,BS16-8)*BS15)))</f>
      </c>
      <c r="BT18" s="26">
        <f>IF(BT$6="","",IF(WEEKDAY(BT$6,1)=1,0,IF(WEEKDAY(BT$6,1)=7,BT16*BT15,MAX(0,BT16-8)*BT15)))</f>
      </c>
      <c r="BU18" s="26">
        <f>IF(BU$6="","",IF(WEEKDAY(BU$6,1)=1,0,IF(WEEKDAY(BU$6,1)=7,BU16*BU15,MAX(0,BU16-8)*BU15)))</f>
      </c>
      <c r="BV18" s="26">
        <f>IF(BV$6="","",IF(WEEKDAY(BV$6,1)=1,0,IF(WEEKDAY(BV$6,1)=7,BV16*BV15,MAX(0,BV16-8)*BV15)))</f>
      </c>
      <c r="BW18" s="26">
        <f>IF(BW$6="","",IF(WEEKDAY(BW$6,1)=1,0,IF(WEEKDAY(BW$6,1)=7,BW16*BW15,MAX(0,BW16-8)*BW15)))</f>
      </c>
      <c r="BX18" s="26">
        <f>IF(BX$6="","",IF(WEEKDAY(BX$6,1)=1,0,IF(WEEKDAY(BX$6,1)=7,BX16*BX15,MAX(0,BX16-8)*BX15)))</f>
      </c>
      <c r="BY18" s="26">
        <f>IF(BY$6="","",IF(WEEKDAY(BY$6,1)=1,0,IF(WEEKDAY(BY$6,1)=7,BY16*BY15,MAX(0,BY16-8)*BY15)))</f>
      </c>
      <c r="BZ18" s="26">
        <f>IF(BZ$6="","",IF(WEEKDAY(BZ$6,1)=1,0,IF(WEEKDAY(BZ$6,1)=7,BZ16*BZ15,MAX(0,BZ16-8)*BZ15)))</f>
      </c>
      <c r="CA18" s="26">
        <f>IF(CA$6="","",IF(WEEKDAY(CA$6,1)=1,0,IF(WEEKDAY(CA$6,1)=7,CA16*CA15,MAX(0,CA16-8)*CA15)))</f>
      </c>
      <c r="CB18" s="26">
        <f>IF(CB$6="","",IF(WEEKDAY(CB$6,1)=1,0,IF(WEEKDAY(CB$6,1)=7,CB16*CB15,MAX(0,CB16-8)*CB15)))</f>
      </c>
      <c r="CC18" s="26">
        <f>IF(CC$6="","",IF(WEEKDAY(CC$6,1)=1,0,IF(WEEKDAY(CC$6,1)=7,CC16*CC15,MAX(0,CC16-8)*CC15)))</f>
      </c>
      <c r="CD18" s="26">
        <f>IF(CD$6="","",IF(WEEKDAY(CD$6,1)=1,0,IF(WEEKDAY(CD$6,1)=7,CD16*CD15,MAX(0,CD16-8)*CD15)))</f>
      </c>
      <c r="CE18" s="26">
        <f>IF(CE$6="","",IF(WEEKDAY(CE$6,1)=1,0,IF(WEEKDAY(CE$6,1)=7,CE16*CE15,MAX(0,CE16-8)*CE15)))</f>
      </c>
      <c r="CF18" s="26">
        <f>IF(CF$6="","",IF(WEEKDAY(CF$6,1)=1,0,IF(WEEKDAY(CF$6,1)=7,CF16*CF15,MAX(0,CF16-8)*CF15)))</f>
      </c>
      <c r="CG18" s="26">
        <f>IF(CG$6="","",IF(WEEKDAY(CG$6,1)=1,0,IF(WEEKDAY(CG$6,1)=7,CG16*CG15,MAX(0,CG16-8)*CG15)))</f>
      </c>
      <c r="CH18" s="26">
        <f>IF(CH$6="","",IF(WEEKDAY(CH$6,1)=1,0,IF(WEEKDAY(CH$6,1)=7,CH16*CH15,MAX(0,CH16-8)*CH15)))</f>
      </c>
      <c r="CI18" s="26">
        <f>IF(CI$6="","",IF(WEEKDAY(CI$6,1)=1,0,IF(WEEKDAY(CI$6,1)=7,CI16*CI15,MAX(0,CI16-8)*CI15)))</f>
      </c>
      <c r="CJ18" s="26">
        <f>IF(CJ$6="","",IF(WEEKDAY(CJ$6,1)=1,0,IF(WEEKDAY(CJ$6,1)=7,CJ16*CJ15,MAX(0,CJ16-8)*CJ15)))</f>
      </c>
      <c r="CK18" s="26">
        <f>IF(CK$6="","",IF(WEEKDAY(CK$6,1)=1,0,IF(WEEKDAY(CK$6,1)=7,CK16*CK15,MAX(0,CK16-8)*CK15)))</f>
      </c>
      <c r="CL18" s="26">
        <f>IF(CL$6="","",IF(WEEKDAY(CL$6,1)=1,0,IF(WEEKDAY(CL$6,1)=7,CL16*CL15,MAX(0,CL16-8)*CL15)))</f>
      </c>
      <c r="CM18" s="26">
        <f>IF(CM$6="","",IF(WEEKDAY(CM$6,1)=1,0,IF(WEEKDAY(CM$6,1)=7,CM16*CM15,MAX(0,CM16-8)*CM15)))</f>
      </c>
      <c r="CN18" s="26">
        <f>IF(CN$6="","",IF(WEEKDAY(CN$6,1)=1,0,IF(WEEKDAY(CN$6,1)=7,CN16*CN15,MAX(0,CN16-8)*CN15)))</f>
      </c>
      <c r="CO18" s="26">
        <f>IF(CO$6="","",IF(WEEKDAY(CO$6,1)=1,0,IF(WEEKDAY(CO$6,1)=7,CO16*CO15,MAX(0,CO16-8)*CO15)))</f>
      </c>
      <c r="CP18" s="26">
        <f>IF(CP$6="","",IF(WEEKDAY(CP$6,1)=1,0,IF(WEEKDAY(CP$6,1)=7,CP16*CP15,MAX(0,CP16-8)*CP15)))</f>
      </c>
      <c r="CQ18" s="26">
        <f>IF(CQ$6="","",IF(WEEKDAY(CQ$6,1)=1,0,IF(WEEKDAY(CQ$6,1)=7,CQ16*CQ15,MAX(0,CQ16-8)*CQ15)))</f>
      </c>
      <c r="CR18" s="26">
        <f>IF(CR$6="","",IF(WEEKDAY(CR$6,1)=1,0,IF(WEEKDAY(CR$6,1)=7,CR16*CR15,MAX(0,CR16-8)*CR15)))</f>
      </c>
      <c r="CS18" s="26">
        <f>IF(CS$6="","",IF(WEEKDAY(CS$6,1)=1,0,IF(WEEKDAY(CS$6,1)=7,CS16*CS15,MAX(0,CS16-8)*CS15)))</f>
      </c>
      <c r="CT18" s="26">
        <f>IF(CT$6="","",IF(WEEKDAY(CT$6,1)=1,0,IF(WEEKDAY(CT$6,1)=7,CT16*CT15,MAX(0,CT16-8)*CT15)))</f>
      </c>
      <c r="CU18" s="26">
        <f>IF(CU$6="","",IF(WEEKDAY(CU$6,1)=1,0,IF(WEEKDAY(CU$6,1)=7,CU16*CU15,MAX(0,CU16-8)*CU15)))</f>
      </c>
      <c r="CV18" s="26">
        <f>IF(CV$6="","",IF(WEEKDAY(CV$6,1)=1,0,IF(WEEKDAY(CV$6,1)=7,CV16*CV15,MAX(0,CV16-8)*CV15)))</f>
      </c>
      <c r="CW18" s="26">
        <f>IF(CW$6="","",IF(WEEKDAY(CW$6,1)=1,0,IF(WEEKDAY(CW$6,1)=7,CW16*CW15,MAX(0,CW16-8)*CW15)))</f>
      </c>
      <c r="CX18" s="8" t="s">
        <v>90</v>
      </c>
    </row>
    <row r="19" spans="2:102" x14ac:dyDescent="0.25">
      <c r="B19" s="26">
        <f>SUM(L19:CW19)</f>
      </c>
      <c r="D19" s="27">
        <f>B19*E19</f>
      </c>
      <c r="E19" s="27">
        <f>'Rate Tables'!E24</f>
      </c>
      <c r="F19" s="8" t="s">
        <v>41</v>
      </c>
      <c r="L19" s="26">
        <f>IF(L$6="","",IF(WEEKDAY(L$6,1)=1,L16*L15,0))</f>
      </c>
      <c r="M19" s="26">
        <f>IF(M$6="","",IF(WEEKDAY(M$6,1)=1,M16*M15,0))</f>
      </c>
      <c r="N19" s="26">
        <f>IF(N$6="","",IF(WEEKDAY(N$6,1)=1,N16*N15,0))</f>
      </c>
      <c r="O19" s="26">
        <f>IF(O$6="","",IF(WEEKDAY(O$6,1)=1,O16*O15,0))</f>
      </c>
      <c r="P19" s="26">
        <f>IF(P$6="","",IF(WEEKDAY(P$6,1)=1,P16*P15,0))</f>
      </c>
      <c r="Q19" s="26">
        <f>IF(Q$6="","",IF(WEEKDAY(Q$6,1)=1,Q16*Q15,0))</f>
      </c>
      <c r="R19" s="26">
        <f>IF(R$6="","",IF(WEEKDAY(R$6,1)=1,R16*R15,0))</f>
      </c>
      <c r="S19" s="26">
        <f>IF(S$6="","",IF(WEEKDAY(S$6,1)=1,S16*S15,0))</f>
      </c>
      <c r="T19" s="26">
        <f>IF(T$6="","",IF(WEEKDAY(T$6,1)=1,T16*T15,0))</f>
      </c>
      <c r="U19" s="26">
        <f>IF(U$6="","",IF(WEEKDAY(U$6,1)=1,U16*U15,0))</f>
      </c>
      <c r="V19" s="26">
        <f>IF(V$6="","",IF(WEEKDAY(V$6,1)=1,V16*V15,0))</f>
      </c>
      <c r="W19" s="26">
        <f>IF(W$6="","",IF(WEEKDAY(W$6,1)=1,W16*W15,0))</f>
      </c>
      <c r="X19" s="26">
        <f>IF(X$6="","",IF(WEEKDAY(X$6,1)=1,X16*X15,0))</f>
      </c>
      <c r="Y19" s="26">
        <f>IF(Y$6="","",IF(WEEKDAY(Y$6,1)=1,Y16*Y15,0))</f>
      </c>
      <c r="Z19" s="26">
        <f>IF(Z$6="","",IF(WEEKDAY(Z$6,1)=1,Z16*Z15,0))</f>
      </c>
      <c r="AA19" s="26">
        <f>IF(AA$6="","",IF(WEEKDAY(AA$6,1)=1,AA16*AA15,0))</f>
      </c>
      <c r="AB19" s="26">
        <f>IF(AB$6="","",IF(WEEKDAY(AB$6,1)=1,AB16*AB15,0))</f>
      </c>
      <c r="AC19" s="26">
        <f>IF(AC$6="","",IF(WEEKDAY(AC$6,1)=1,AC16*AC15,0))</f>
      </c>
      <c r="AD19" s="26">
        <f>IF(AD$6="","",IF(WEEKDAY(AD$6,1)=1,AD16*AD15,0))</f>
      </c>
      <c r="AE19" s="26">
        <f>IF(AE$6="","",IF(WEEKDAY(AE$6,1)=1,AE16*AE15,0))</f>
      </c>
      <c r="AF19" s="26">
        <f>IF(AF$6="","",IF(WEEKDAY(AF$6,1)=1,AF16*AF15,0))</f>
      </c>
      <c r="AG19" s="26">
        <f>IF(AG$6="","",IF(WEEKDAY(AG$6,1)=1,AG16*AG15,0))</f>
      </c>
      <c r="AH19" s="26">
        <f>IF(AH$6="","",IF(WEEKDAY(AH$6,1)=1,AH16*AH15,0))</f>
      </c>
      <c r="AI19" s="26">
        <f>IF(AI$6="","",IF(WEEKDAY(AI$6,1)=1,AI16*AI15,0))</f>
      </c>
      <c r="AJ19" s="26">
        <f>IF(AJ$6="","",IF(WEEKDAY(AJ$6,1)=1,AJ16*AJ15,0))</f>
      </c>
      <c r="AK19" s="26">
        <f>IF(AK$6="","",IF(WEEKDAY(AK$6,1)=1,AK16*AK15,0))</f>
      </c>
      <c r="AL19" s="26">
        <f>IF(AL$6="","",IF(WEEKDAY(AL$6,1)=1,AL16*AL15,0))</f>
      </c>
      <c r="AM19" s="26">
        <f>IF(AM$6="","",IF(WEEKDAY(AM$6,1)=1,AM16*AM15,0))</f>
      </c>
      <c r="AN19" s="26">
        <f>IF(AN$6="","",IF(WEEKDAY(AN$6,1)=1,AN16*AN15,0))</f>
      </c>
      <c r="AO19" s="26">
        <f>IF(AO$6="","",IF(WEEKDAY(AO$6,1)=1,AO16*AO15,0))</f>
      </c>
      <c r="AP19" s="26">
        <f>IF(AP$6="","",IF(WEEKDAY(AP$6,1)=1,AP16*AP15,0))</f>
      </c>
      <c r="AQ19" s="26">
        <f>IF(AQ$6="","",IF(WEEKDAY(AQ$6,1)=1,AQ16*AQ15,0))</f>
      </c>
      <c r="AR19" s="26">
        <f>IF(AR$6="","",IF(WEEKDAY(AR$6,1)=1,AR16*AR15,0))</f>
      </c>
      <c r="AS19" s="26">
        <f>IF(AS$6="","",IF(WEEKDAY(AS$6,1)=1,AS16*AS15,0))</f>
      </c>
      <c r="AT19" s="26">
        <f>IF(AT$6="","",IF(WEEKDAY(AT$6,1)=1,AT16*AT15,0))</f>
      </c>
      <c r="AU19" s="26">
        <f>IF(AU$6="","",IF(WEEKDAY(AU$6,1)=1,AU16*AU15,0))</f>
      </c>
      <c r="AV19" s="26">
        <f>IF(AV$6="","",IF(WEEKDAY(AV$6,1)=1,AV16*AV15,0))</f>
      </c>
      <c r="AW19" s="26">
        <f>IF(AW$6="","",IF(WEEKDAY(AW$6,1)=1,AW16*AW15,0))</f>
      </c>
      <c r="AX19" s="26">
        <f>IF(AX$6="","",IF(WEEKDAY(AX$6,1)=1,AX16*AX15,0))</f>
      </c>
      <c r="AY19" s="26">
        <f>IF(AY$6="","",IF(WEEKDAY(AY$6,1)=1,AY16*AY15,0))</f>
      </c>
      <c r="AZ19" s="26">
        <f>IF(AZ$6="","",IF(WEEKDAY(AZ$6,1)=1,AZ16*AZ15,0))</f>
      </c>
      <c r="BA19" s="26">
        <f>IF(BA$6="","",IF(WEEKDAY(BA$6,1)=1,BA16*BA15,0))</f>
      </c>
      <c r="BB19" s="26">
        <f>IF(BB$6="","",IF(WEEKDAY(BB$6,1)=1,BB16*BB15,0))</f>
      </c>
      <c r="BC19" s="26">
        <f>IF(BC$6="","",IF(WEEKDAY(BC$6,1)=1,BC16*BC15,0))</f>
      </c>
      <c r="BD19" s="26">
        <f>IF(BD$6="","",IF(WEEKDAY(BD$6,1)=1,BD16*BD15,0))</f>
      </c>
      <c r="BE19" s="26">
        <f>IF(BE$6="","",IF(WEEKDAY(BE$6,1)=1,BE16*BE15,0))</f>
      </c>
      <c r="BF19" s="26">
        <f>IF(BF$6="","",IF(WEEKDAY(BF$6,1)=1,BF16*BF15,0))</f>
      </c>
      <c r="BG19" s="26">
        <f>IF(BG$6="","",IF(WEEKDAY(BG$6,1)=1,BG16*BG15,0))</f>
      </c>
      <c r="BH19" s="26">
        <f>IF(BH$6="","",IF(WEEKDAY(BH$6,1)=1,BH16*BH15,0))</f>
      </c>
      <c r="BI19" s="26">
        <f>IF(BI$6="","",IF(WEEKDAY(BI$6,1)=1,BI16*BI15,0))</f>
      </c>
      <c r="BJ19" s="26">
        <f>IF(BJ$6="","",IF(WEEKDAY(BJ$6,1)=1,BJ16*BJ15,0))</f>
      </c>
      <c r="BK19" s="26">
        <f>IF(BK$6="","",IF(WEEKDAY(BK$6,1)=1,BK16*BK15,0))</f>
      </c>
      <c r="BL19" s="26">
        <f>IF(BL$6="","",IF(WEEKDAY(BL$6,1)=1,BL16*BL15,0))</f>
      </c>
      <c r="BM19" s="26">
        <f>IF(BM$6="","",IF(WEEKDAY(BM$6,1)=1,BM16*BM15,0))</f>
      </c>
      <c r="BN19" s="26">
        <f>IF(BN$6="","",IF(WEEKDAY(BN$6,1)=1,BN16*BN15,0))</f>
      </c>
      <c r="BO19" s="26">
        <f>IF(BO$6="","",IF(WEEKDAY(BO$6,1)=1,BO16*BO15,0))</f>
      </c>
      <c r="BP19" s="26">
        <f>IF(BP$6="","",IF(WEEKDAY(BP$6,1)=1,BP16*BP15,0))</f>
      </c>
      <c r="BQ19" s="26">
        <f>IF(BQ$6="","",IF(WEEKDAY(BQ$6,1)=1,BQ16*BQ15,0))</f>
      </c>
      <c r="BR19" s="26">
        <f>IF(BR$6="","",IF(WEEKDAY(BR$6,1)=1,BR16*BR15,0))</f>
      </c>
      <c r="BS19" s="26">
        <f>IF(BS$6="","",IF(WEEKDAY(BS$6,1)=1,BS16*BS15,0))</f>
      </c>
      <c r="BT19" s="26">
        <f>IF(BT$6="","",IF(WEEKDAY(BT$6,1)=1,BT16*BT15,0))</f>
      </c>
      <c r="BU19" s="26">
        <f>IF(BU$6="","",IF(WEEKDAY(BU$6,1)=1,BU16*BU15,0))</f>
      </c>
      <c r="BV19" s="26">
        <f>IF(BV$6="","",IF(WEEKDAY(BV$6,1)=1,BV16*BV15,0))</f>
      </c>
      <c r="BW19" s="26">
        <f>IF(BW$6="","",IF(WEEKDAY(BW$6,1)=1,BW16*BW15,0))</f>
      </c>
      <c r="BX19" s="26">
        <f>IF(BX$6="","",IF(WEEKDAY(BX$6,1)=1,BX16*BX15,0))</f>
      </c>
      <c r="BY19" s="26">
        <f>IF(BY$6="","",IF(WEEKDAY(BY$6,1)=1,BY16*BY15,0))</f>
      </c>
      <c r="BZ19" s="26">
        <f>IF(BZ$6="","",IF(WEEKDAY(BZ$6,1)=1,BZ16*BZ15,0))</f>
      </c>
      <c r="CA19" s="26">
        <f>IF(CA$6="","",IF(WEEKDAY(CA$6,1)=1,CA16*CA15,0))</f>
      </c>
      <c r="CB19" s="26">
        <f>IF(CB$6="","",IF(WEEKDAY(CB$6,1)=1,CB16*CB15,0))</f>
      </c>
      <c r="CC19" s="26">
        <f>IF(CC$6="","",IF(WEEKDAY(CC$6,1)=1,CC16*CC15,0))</f>
      </c>
      <c r="CD19" s="26">
        <f>IF(CD$6="","",IF(WEEKDAY(CD$6,1)=1,CD16*CD15,0))</f>
      </c>
      <c r="CE19" s="26">
        <f>IF(CE$6="","",IF(WEEKDAY(CE$6,1)=1,CE16*CE15,0))</f>
      </c>
      <c r="CF19" s="26">
        <f>IF(CF$6="","",IF(WEEKDAY(CF$6,1)=1,CF16*CF15,0))</f>
      </c>
      <c r="CG19" s="26">
        <f>IF(CG$6="","",IF(WEEKDAY(CG$6,1)=1,CG16*CG15,0))</f>
      </c>
      <c r="CH19" s="26">
        <f>IF(CH$6="","",IF(WEEKDAY(CH$6,1)=1,CH16*CH15,0))</f>
      </c>
      <c r="CI19" s="26">
        <f>IF(CI$6="","",IF(WEEKDAY(CI$6,1)=1,CI16*CI15,0))</f>
      </c>
      <c r="CJ19" s="26">
        <f>IF(CJ$6="","",IF(WEEKDAY(CJ$6,1)=1,CJ16*CJ15,0))</f>
      </c>
      <c r="CK19" s="26">
        <f>IF(CK$6="","",IF(WEEKDAY(CK$6,1)=1,CK16*CK15,0))</f>
      </c>
      <c r="CL19" s="26">
        <f>IF(CL$6="","",IF(WEEKDAY(CL$6,1)=1,CL16*CL15,0))</f>
      </c>
      <c r="CM19" s="26">
        <f>IF(CM$6="","",IF(WEEKDAY(CM$6,1)=1,CM16*CM15,0))</f>
      </c>
      <c r="CN19" s="26">
        <f>IF(CN$6="","",IF(WEEKDAY(CN$6,1)=1,CN16*CN15,0))</f>
      </c>
      <c r="CO19" s="26">
        <f>IF(CO$6="","",IF(WEEKDAY(CO$6,1)=1,CO16*CO15,0))</f>
      </c>
      <c r="CP19" s="26">
        <f>IF(CP$6="","",IF(WEEKDAY(CP$6,1)=1,CP16*CP15,0))</f>
      </c>
      <c r="CQ19" s="26">
        <f>IF(CQ$6="","",IF(WEEKDAY(CQ$6,1)=1,CQ16*CQ15,0))</f>
      </c>
      <c r="CR19" s="26">
        <f>IF(CR$6="","",IF(WEEKDAY(CR$6,1)=1,CR16*CR15,0))</f>
      </c>
      <c r="CS19" s="26">
        <f>IF(CS$6="","",IF(WEEKDAY(CS$6,1)=1,CS16*CS15,0))</f>
      </c>
      <c r="CT19" s="26">
        <f>IF(CT$6="","",IF(WEEKDAY(CT$6,1)=1,CT16*CT15,0))</f>
      </c>
      <c r="CU19" s="26">
        <f>IF(CU$6="","",IF(WEEKDAY(CU$6,1)=1,CU16*CU15,0))</f>
      </c>
      <c r="CV19" s="26">
        <f>IF(CV$6="","",IF(WEEKDAY(CV$6,1)=1,CV16*CV15,0))</f>
      </c>
      <c r="CW19" s="26">
        <f>IF(CW$6="","",IF(WEEKDAY(CW$6,1)=1,CW16*CW15,0))</f>
      </c>
      <c r="CX19" s="8" t="s">
        <v>90</v>
      </c>
    </row>
    <row r="20" spans="2:102" x14ac:dyDescent="0.25">
      <c r="B20" s="26">
        <f>SUM(L20:CW20)</f>
      </c>
      <c r="D20" s="27">
        <f>B20*E20</f>
      </c>
      <c r="E20" s="27">
        <v>130</v>
      </c>
      <c r="F20" s="8" t="s">
        <v>42</v>
      </c>
      <c r="L20" s="28">
        <v>0</v>
      </c>
      <c r="M20" s="28">
        <v>0</v>
      </c>
      <c r="N20" s="28">
        <v>0</v>
      </c>
      <c r="O20" s="28">
        <v>0</v>
      </c>
      <c r="P20" s="28">
        <v>0</v>
      </c>
      <c r="Q20" s="28">
        <v>0</v>
      </c>
      <c r="R20" s="28">
        <v>0</v>
      </c>
      <c r="S20" s="28">
        <v>0</v>
      </c>
      <c r="T20" s="28">
        <v>0</v>
      </c>
      <c r="U20" s="28">
        <v>0</v>
      </c>
      <c r="V20" s="28">
        <v>0</v>
      </c>
      <c r="W20" s="28">
        <v>0</v>
      </c>
      <c r="X20" s="28">
        <v>0</v>
      </c>
      <c r="Y20" s="28">
        <v>0</v>
      </c>
      <c r="Z20" s="28">
        <v>0</v>
      </c>
      <c r="AA20" s="28">
        <v>0</v>
      </c>
      <c r="AB20" s="28">
        <v>0</v>
      </c>
      <c r="AC20" s="28">
        <v>0</v>
      </c>
      <c r="AD20" s="28">
        <v>0</v>
      </c>
      <c r="AE20" s="28">
        <v>0</v>
      </c>
      <c r="AF20" s="28">
        <v>0</v>
      </c>
      <c r="AG20" s="28">
        <v>0</v>
      </c>
      <c r="AH20" s="28">
        <v>0</v>
      </c>
      <c r="AI20" s="28">
        <v>0</v>
      </c>
      <c r="AJ20" s="28">
        <v>0</v>
      </c>
      <c r="AK20" s="28">
        <v>0</v>
      </c>
      <c r="AL20" s="28">
        <v>0</v>
      </c>
      <c r="AM20" s="28">
        <v>0</v>
      </c>
      <c r="AN20" s="28">
        <v>0</v>
      </c>
      <c r="AO20" s="28">
        <v>0</v>
      </c>
      <c r="AP20" s="28">
        <v>0</v>
      </c>
      <c r="AQ20" s="28">
        <v>0</v>
      </c>
      <c r="AR20" s="28">
        <v>0</v>
      </c>
      <c r="AS20" s="28">
        <v>0</v>
      </c>
      <c r="AT20" s="28">
        <v>0</v>
      </c>
      <c r="AU20" s="28">
        <v>0</v>
      </c>
      <c r="AV20" s="28">
        <v>0</v>
      </c>
      <c r="AW20" s="28">
        <v>0</v>
      </c>
      <c r="AX20" s="28">
        <v>0</v>
      </c>
      <c r="AY20" s="28">
        <v>0</v>
      </c>
      <c r="AZ20" s="28">
        <v>0</v>
      </c>
      <c r="BA20" s="28">
        <v>0</v>
      </c>
      <c r="BB20" s="28">
        <v>0</v>
      </c>
      <c r="BC20" s="28">
        <v>0</v>
      </c>
      <c r="BD20" s="28">
        <v>0</v>
      </c>
      <c r="BE20" s="28">
        <v>0</v>
      </c>
      <c r="BF20" s="28">
        <v>0</v>
      </c>
      <c r="BG20" s="28">
        <v>0</v>
      </c>
      <c r="BH20" s="28">
        <v>0</v>
      </c>
      <c r="BI20" s="28">
        <v>0</v>
      </c>
      <c r="BJ20" s="28">
        <v>0</v>
      </c>
      <c r="BK20" s="28">
        <v>0</v>
      </c>
      <c r="BL20" s="28">
        <v>0</v>
      </c>
      <c r="BM20" s="28">
        <v>0</v>
      </c>
      <c r="BN20" s="28">
        <v>0</v>
      </c>
      <c r="BO20" s="28">
        <v>0</v>
      </c>
      <c r="BP20" s="28">
        <v>0</v>
      </c>
      <c r="BQ20" s="28">
        <v>0</v>
      </c>
      <c r="BR20" s="28">
        <v>0</v>
      </c>
      <c r="BS20" s="28">
        <v>25</v>
      </c>
      <c r="BT20" s="28">
        <v>25</v>
      </c>
      <c r="BU20" s="28">
        <v>25</v>
      </c>
      <c r="BV20" s="28">
        <v>25</v>
      </c>
      <c r="BW20" s="28">
        <v>25</v>
      </c>
      <c r="BX20" s="28">
        <v>25</v>
      </c>
      <c r="BY20" s="28">
        <v>25</v>
      </c>
      <c r="BZ20" s="28">
        <v>25</v>
      </c>
      <c r="CA20" s="28">
        <v>25</v>
      </c>
      <c r="CB20" s="28">
        <v>25</v>
      </c>
      <c r="CC20" s="28">
        <v>25</v>
      </c>
      <c r="CD20" s="28">
        <v>25</v>
      </c>
      <c r="CE20" s="28">
        <v>25</v>
      </c>
      <c r="CF20" s="28">
        <v>25</v>
      </c>
      <c r="CG20" s="28">
        <v>25</v>
      </c>
      <c r="CH20" s="28">
        <v>25</v>
      </c>
      <c r="CI20" s="28">
        <v>25</v>
      </c>
      <c r="CJ20" s="28">
        <v>25</v>
      </c>
      <c r="CK20" s="28">
        <v>25</v>
      </c>
      <c r="CL20" s="28">
        <v>25</v>
      </c>
      <c r="CM20" s="28">
        <v>22</v>
      </c>
      <c r="CN20" s="28">
        <v>22</v>
      </c>
      <c r="CO20" s="28">
        <v>22</v>
      </c>
      <c r="CP20" s="28">
        <v>22</v>
      </c>
      <c r="CQ20" s="28">
        <v>22</v>
      </c>
      <c r="CR20" s="28">
        <v>22</v>
      </c>
      <c r="CS20" s="28">
        <v>22</v>
      </c>
      <c r="CT20" s="28">
        <v>22</v>
      </c>
      <c r="CU20" s="28">
        <v>22</v>
      </c>
      <c r="CV20" s="28">
        <v>22</v>
      </c>
      <c r="CW20" s="28">
        <v>22</v>
      </c>
      <c r="CX20" s="8" t="s">
        <v>90</v>
      </c>
    </row>
    <row r="21" spans="1:102" x14ac:dyDescent="0.25">
      <c r="A21" s="20" t="s">
        <v>32</v>
      </c>
      <c r="B21" s="21">
        <f>G21+H21+I21</f>
      </c>
      <c r="C21" s="20" t="s">
        <v>91</v>
      </c>
      <c r="D21" s="22">
        <f>K21</f>
      </c>
      <c r="F21" s="20" t="s">
        <v>34</v>
      </c>
      <c r="G21" s="21">
        <f>B24</f>
      </c>
      <c r="H21" s="21">
        <f>B25</f>
      </c>
      <c r="I21" s="21">
        <f>B26</f>
      </c>
      <c r="J21" s="21">
        <f>B27</f>
      </c>
      <c r="K21" s="22">
        <f>D24+D25+D26</f>
      </c>
      <c r="CX21" s="20" t="s">
        <v>92</v>
      </c>
    </row>
    <row r="22" spans="6:102" x14ac:dyDescent="0.25">
      <c r="F22" s="23" t="s">
        <v>36</v>
      </c>
      <c r="L22" s="24">
        <v>0</v>
      </c>
      <c r="M22" s="24">
        <v>0</v>
      </c>
      <c r="N22" s="24">
        <v>0</v>
      </c>
      <c r="O22" s="24">
        <v>0</v>
      </c>
      <c r="P22" s="24">
        <v>0</v>
      </c>
      <c r="Q22" s="24">
        <v>0</v>
      </c>
      <c r="R22" s="24">
        <v>0</v>
      </c>
      <c r="S22" s="24">
        <v>20</v>
      </c>
      <c r="T22" s="24">
        <v>20</v>
      </c>
      <c r="U22" s="24">
        <v>20</v>
      </c>
      <c r="V22" s="24">
        <v>20</v>
      </c>
      <c r="W22" s="24">
        <v>20</v>
      </c>
      <c r="X22" s="24">
        <v>0</v>
      </c>
      <c r="Y22" s="24">
        <v>0</v>
      </c>
      <c r="Z22" s="24">
        <v>10</v>
      </c>
      <c r="AA22" s="24">
        <v>10</v>
      </c>
      <c r="AB22" s="24">
        <v>10</v>
      </c>
      <c r="AC22" s="24">
        <v>10</v>
      </c>
      <c r="AD22" s="24">
        <v>10</v>
      </c>
      <c r="AE22" s="24">
        <v>0</v>
      </c>
      <c r="AF22" s="24">
        <v>0</v>
      </c>
      <c r="AG22" s="24">
        <v>5</v>
      </c>
      <c r="AH22" s="24">
        <v>5</v>
      </c>
      <c r="AI22" s="24">
        <v>5</v>
      </c>
      <c r="AJ22" s="24">
        <v>5</v>
      </c>
      <c r="AK22" s="24">
        <v>5</v>
      </c>
      <c r="AL22" s="24">
        <v>0</v>
      </c>
      <c r="AM22" s="24">
        <v>0</v>
      </c>
      <c r="AN22" s="24">
        <v>5</v>
      </c>
      <c r="AO22" s="24">
        <v>5</v>
      </c>
      <c r="AP22" s="24">
        <v>5</v>
      </c>
      <c r="AQ22" s="24">
        <v>5</v>
      </c>
      <c r="AR22" s="24">
        <v>5</v>
      </c>
      <c r="AS22" s="24">
        <v>0</v>
      </c>
      <c r="AT22" s="24">
        <v>0</v>
      </c>
      <c r="AU22" s="24">
        <v>3</v>
      </c>
      <c r="AV22" s="24">
        <v>3</v>
      </c>
      <c r="AW22" s="24">
        <v>3</v>
      </c>
      <c r="AX22" s="24">
        <v>3</v>
      </c>
      <c r="AY22" s="24">
        <v>3</v>
      </c>
      <c r="AZ22" s="24">
        <v>0</v>
      </c>
      <c r="BA22" s="24">
        <v>0</v>
      </c>
      <c r="BB22" s="24">
        <v>3</v>
      </c>
      <c r="BC22" s="24">
        <v>3</v>
      </c>
      <c r="BD22" s="24">
        <v>3</v>
      </c>
      <c r="BE22" s="24">
        <v>3</v>
      </c>
      <c r="BF22" s="24">
        <v>3</v>
      </c>
      <c r="BG22" s="24">
        <v>0</v>
      </c>
      <c r="BH22" s="24">
        <v>0</v>
      </c>
      <c r="BI22" s="24">
        <v>30</v>
      </c>
      <c r="BJ22" s="24">
        <v>30</v>
      </c>
      <c r="BK22" s="24">
        <v>30</v>
      </c>
      <c r="BL22" s="24">
        <v>30</v>
      </c>
      <c r="BM22" s="24">
        <v>30</v>
      </c>
      <c r="BN22" s="24">
        <v>30</v>
      </c>
      <c r="BO22" s="24">
        <v>30</v>
      </c>
      <c r="BP22" s="24">
        <v>30</v>
      </c>
      <c r="BQ22" s="24">
        <v>30</v>
      </c>
      <c r="BR22" s="24">
        <v>30</v>
      </c>
      <c r="BS22" s="24">
        <v>57</v>
      </c>
      <c r="BT22" s="24">
        <v>57</v>
      </c>
      <c r="BU22" s="24">
        <v>57</v>
      </c>
      <c r="BV22" s="24">
        <v>57</v>
      </c>
      <c r="BW22" s="24">
        <v>57</v>
      </c>
      <c r="BX22" s="24">
        <v>57</v>
      </c>
      <c r="BY22" s="24">
        <v>57</v>
      </c>
      <c r="BZ22" s="24">
        <v>57</v>
      </c>
      <c r="CA22" s="24">
        <v>57</v>
      </c>
      <c r="CB22" s="24">
        <v>57</v>
      </c>
      <c r="CC22" s="24">
        <v>57</v>
      </c>
      <c r="CD22" s="24">
        <v>57</v>
      </c>
      <c r="CE22" s="24">
        <v>57</v>
      </c>
      <c r="CF22" s="24">
        <v>57</v>
      </c>
      <c r="CG22" s="24">
        <v>57</v>
      </c>
      <c r="CH22" s="24">
        <v>57</v>
      </c>
      <c r="CI22" s="24">
        <v>57</v>
      </c>
      <c r="CJ22" s="24">
        <v>57</v>
      </c>
      <c r="CK22" s="24">
        <v>57</v>
      </c>
      <c r="CL22" s="24">
        <v>57</v>
      </c>
      <c r="CM22" s="24">
        <v>57</v>
      </c>
      <c r="CN22" s="24">
        <v>57</v>
      </c>
      <c r="CO22" s="24">
        <v>57</v>
      </c>
      <c r="CP22" s="24">
        <v>57</v>
      </c>
      <c r="CQ22" s="24">
        <v>57</v>
      </c>
      <c r="CR22" s="24">
        <v>57</v>
      </c>
      <c r="CS22" s="24">
        <v>57</v>
      </c>
      <c r="CT22" s="24">
        <v>57</v>
      </c>
      <c r="CU22" s="24">
        <v>57</v>
      </c>
      <c r="CV22" s="24">
        <v>57</v>
      </c>
      <c r="CW22" s="24">
        <v>50</v>
      </c>
      <c r="CX22" s="23" t="s">
        <v>92</v>
      </c>
    </row>
    <row r="23" spans="1:102" x14ac:dyDescent="0.25">
      <c r="A23" s="23" t="s">
        <v>37</v>
      </c>
      <c r="F23" s="23" t="s">
        <v>38</v>
      </c>
      <c r="L23" s="25">
        <v>0</v>
      </c>
      <c r="M23" s="25">
        <v>0</v>
      </c>
      <c r="N23" s="25">
        <v>0</v>
      </c>
      <c r="O23" s="25">
        <v>0</v>
      </c>
      <c r="P23" s="25">
        <v>0</v>
      </c>
      <c r="Q23" s="25">
        <v>0</v>
      </c>
      <c r="R23" s="25">
        <v>0</v>
      </c>
      <c r="S23" s="25">
        <v>8</v>
      </c>
      <c r="T23" s="25">
        <v>8</v>
      </c>
      <c r="U23" s="25">
        <v>8</v>
      </c>
      <c r="V23" s="25">
        <v>8</v>
      </c>
      <c r="W23" s="25">
        <v>8</v>
      </c>
      <c r="X23" s="25">
        <v>0</v>
      </c>
      <c r="Y23" s="25">
        <v>0</v>
      </c>
      <c r="Z23" s="25">
        <v>8</v>
      </c>
      <c r="AA23" s="25">
        <v>8</v>
      </c>
      <c r="AB23" s="25">
        <v>8</v>
      </c>
      <c r="AC23" s="25">
        <v>8</v>
      </c>
      <c r="AD23" s="25">
        <v>8</v>
      </c>
      <c r="AE23" s="25">
        <v>0</v>
      </c>
      <c r="AF23" s="25">
        <v>0</v>
      </c>
      <c r="AG23" s="25">
        <v>8</v>
      </c>
      <c r="AH23" s="25">
        <v>8</v>
      </c>
      <c r="AI23" s="25">
        <v>8</v>
      </c>
      <c r="AJ23" s="25">
        <v>8</v>
      </c>
      <c r="AK23" s="25">
        <v>8</v>
      </c>
      <c r="AL23" s="25">
        <v>0</v>
      </c>
      <c r="AM23" s="25">
        <v>0</v>
      </c>
      <c r="AN23" s="25">
        <v>8</v>
      </c>
      <c r="AO23" s="25">
        <v>8</v>
      </c>
      <c r="AP23" s="25">
        <v>8</v>
      </c>
      <c r="AQ23" s="25">
        <v>8</v>
      </c>
      <c r="AR23" s="25">
        <v>8</v>
      </c>
      <c r="AS23" s="25">
        <v>0</v>
      </c>
      <c r="AT23" s="25">
        <v>0</v>
      </c>
      <c r="AU23" s="25">
        <v>8</v>
      </c>
      <c r="AV23" s="25">
        <v>8</v>
      </c>
      <c r="AW23" s="25">
        <v>8</v>
      </c>
      <c r="AX23" s="25">
        <v>8</v>
      </c>
      <c r="AY23" s="25">
        <v>8</v>
      </c>
      <c r="AZ23" s="25">
        <v>0</v>
      </c>
      <c r="BA23" s="25">
        <v>0</v>
      </c>
      <c r="BB23" s="25">
        <v>8</v>
      </c>
      <c r="BC23" s="25">
        <v>8</v>
      </c>
      <c r="BD23" s="25">
        <v>8</v>
      </c>
      <c r="BE23" s="25">
        <v>8</v>
      </c>
      <c r="BF23" s="25">
        <v>8</v>
      </c>
      <c r="BG23" s="25">
        <v>0</v>
      </c>
      <c r="BH23" s="25">
        <v>0</v>
      </c>
      <c r="BI23" s="25">
        <v>10</v>
      </c>
      <c r="BJ23" s="25">
        <v>10</v>
      </c>
      <c r="BK23" s="25">
        <v>10</v>
      </c>
      <c r="BL23" s="25">
        <v>10</v>
      </c>
      <c r="BM23" s="25">
        <v>10</v>
      </c>
      <c r="BN23" s="25">
        <v>10</v>
      </c>
      <c r="BO23" s="25">
        <v>10</v>
      </c>
      <c r="BP23" s="25">
        <v>10</v>
      </c>
      <c r="BQ23" s="25">
        <v>10</v>
      </c>
      <c r="BR23" s="25">
        <v>10</v>
      </c>
      <c r="BS23" s="25">
        <v>10</v>
      </c>
      <c r="BT23" s="25">
        <v>10</v>
      </c>
      <c r="BU23" s="25">
        <v>10</v>
      </c>
      <c r="BV23" s="25">
        <v>10</v>
      </c>
      <c r="BW23" s="25">
        <v>10</v>
      </c>
      <c r="BX23" s="25">
        <v>10</v>
      </c>
      <c r="BY23" s="25">
        <v>10</v>
      </c>
      <c r="BZ23" s="25">
        <v>10</v>
      </c>
      <c r="CA23" s="25">
        <v>10</v>
      </c>
      <c r="CB23" s="25">
        <v>10</v>
      </c>
      <c r="CC23" s="25">
        <v>10</v>
      </c>
      <c r="CD23" s="25">
        <v>10</v>
      </c>
      <c r="CE23" s="25">
        <v>10</v>
      </c>
      <c r="CF23" s="25">
        <v>10</v>
      </c>
      <c r="CG23" s="25">
        <v>10</v>
      </c>
      <c r="CH23" s="25">
        <v>10</v>
      </c>
      <c r="CI23" s="25">
        <v>10</v>
      </c>
      <c r="CJ23" s="25">
        <v>10</v>
      </c>
      <c r="CK23" s="25">
        <v>10</v>
      </c>
      <c r="CL23" s="25">
        <v>10</v>
      </c>
      <c r="CM23" s="25">
        <v>10</v>
      </c>
      <c r="CN23" s="25">
        <v>10</v>
      </c>
      <c r="CO23" s="25">
        <v>10</v>
      </c>
      <c r="CP23" s="25">
        <v>10</v>
      </c>
      <c r="CQ23" s="25">
        <v>10</v>
      </c>
      <c r="CR23" s="25">
        <v>10</v>
      </c>
      <c r="CS23" s="25">
        <v>10</v>
      </c>
      <c r="CT23" s="25">
        <v>10</v>
      </c>
      <c r="CU23" s="25">
        <v>10</v>
      </c>
      <c r="CV23" s="25">
        <v>10</v>
      </c>
      <c r="CW23" s="25">
        <v>10</v>
      </c>
      <c r="CX23" s="23" t="s">
        <v>92</v>
      </c>
    </row>
    <row r="24" spans="2:102" x14ac:dyDescent="0.25">
      <c r="B24" s="26">
        <f>SUM(L24:CW24)</f>
      </c>
      <c r="D24" s="27">
        <f>B24*E24</f>
      </c>
      <c r="E24" s="27">
        <f>'Rate Tables'!C25</f>
      </c>
      <c r="F24" s="8" t="s">
        <v>39</v>
      </c>
      <c r="L24" s="26">
        <f>IF(L$6="","",IF(OR(WEEKDAY(L$6,1)=1,WEEKDAY(L$6,1)=7),0,MIN(8,L23)*L22))</f>
      </c>
      <c r="M24" s="26">
        <f>IF(M$6="","",IF(OR(WEEKDAY(M$6,1)=1,WEEKDAY(M$6,1)=7),0,MIN(8,M23)*M22))</f>
      </c>
      <c r="N24" s="26">
        <f>IF(N$6="","",IF(OR(WEEKDAY(N$6,1)=1,WEEKDAY(N$6,1)=7),0,MIN(8,N23)*N22))</f>
      </c>
      <c r="O24" s="26">
        <f>IF(O$6="","",IF(OR(WEEKDAY(O$6,1)=1,WEEKDAY(O$6,1)=7),0,MIN(8,O23)*O22))</f>
      </c>
      <c r="P24" s="26">
        <f>IF(P$6="","",IF(OR(WEEKDAY(P$6,1)=1,WEEKDAY(P$6,1)=7),0,MIN(8,P23)*P22))</f>
      </c>
      <c r="Q24" s="26">
        <f>IF(Q$6="","",IF(OR(WEEKDAY(Q$6,1)=1,WEEKDAY(Q$6,1)=7),0,MIN(8,Q23)*Q22))</f>
      </c>
      <c r="R24" s="26">
        <f>IF(R$6="","",IF(OR(WEEKDAY(R$6,1)=1,WEEKDAY(R$6,1)=7),0,MIN(8,R23)*R22))</f>
      </c>
      <c r="S24" s="26">
        <f>IF(S$6="","",IF(OR(WEEKDAY(S$6,1)=1,WEEKDAY(S$6,1)=7),0,MIN(8,S23)*S22))</f>
      </c>
      <c r="T24" s="26">
        <f>IF(T$6="","",IF(OR(WEEKDAY(T$6,1)=1,WEEKDAY(T$6,1)=7),0,MIN(8,T23)*T22))</f>
      </c>
      <c r="U24" s="26">
        <f>IF(U$6="","",IF(OR(WEEKDAY(U$6,1)=1,WEEKDAY(U$6,1)=7),0,MIN(8,U23)*U22))</f>
      </c>
      <c r="V24" s="26">
        <f>IF(V$6="","",IF(OR(WEEKDAY(V$6,1)=1,WEEKDAY(V$6,1)=7),0,MIN(8,V23)*V22))</f>
      </c>
      <c r="W24" s="26">
        <f>IF(W$6="","",IF(OR(WEEKDAY(W$6,1)=1,WEEKDAY(W$6,1)=7),0,MIN(8,W23)*W22))</f>
      </c>
      <c r="X24" s="26">
        <f>IF(X$6="","",IF(OR(WEEKDAY(X$6,1)=1,WEEKDAY(X$6,1)=7),0,MIN(8,X23)*X22))</f>
      </c>
      <c r="Y24" s="26">
        <f>IF(Y$6="","",IF(OR(WEEKDAY(Y$6,1)=1,WEEKDAY(Y$6,1)=7),0,MIN(8,Y23)*Y22))</f>
      </c>
      <c r="Z24" s="26">
        <f>IF(Z$6="","",IF(OR(WEEKDAY(Z$6,1)=1,WEEKDAY(Z$6,1)=7),0,MIN(8,Z23)*Z22))</f>
      </c>
      <c r="AA24" s="26">
        <f>IF(AA$6="","",IF(OR(WEEKDAY(AA$6,1)=1,WEEKDAY(AA$6,1)=7),0,MIN(8,AA23)*AA22))</f>
      </c>
      <c r="AB24" s="26">
        <f>IF(AB$6="","",IF(OR(WEEKDAY(AB$6,1)=1,WEEKDAY(AB$6,1)=7),0,MIN(8,AB23)*AB22))</f>
      </c>
      <c r="AC24" s="26">
        <f>IF(AC$6="","",IF(OR(WEEKDAY(AC$6,1)=1,WEEKDAY(AC$6,1)=7),0,MIN(8,AC23)*AC22))</f>
      </c>
      <c r="AD24" s="26">
        <f>IF(AD$6="","",IF(OR(WEEKDAY(AD$6,1)=1,WEEKDAY(AD$6,1)=7),0,MIN(8,AD23)*AD22))</f>
      </c>
      <c r="AE24" s="26">
        <f>IF(AE$6="","",IF(OR(WEEKDAY(AE$6,1)=1,WEEKDAY(AE$6,1)=7),0,MIN(8,AE23)*AE22))</f>
      </c>
      <c r="AF24" s="26">
        <f>IF(AF$6="","",IF(OR(WEEKDAY(AF$6,1)=1,WEEKDAY(AF$6,1)=7),0,MIN(8,AF23)*AF22))</f>
      </c>
      <c r="AG24" s="26">
        <f>IF(AG$6="","",IF(OR(WEEKDAY(AG$6,1)=1,WEEKDAY(AG$6,1)=7),0,MIN(8,AG23)*AG22))</f>
      </c>
      <c r="AH24" s="26">
        <f>IF(AH$6="","",IF(OR(WEEKDAY(AH$6,1)=1,WEEKDAY(AH$6,1)=7),0,MIN(8,AH23)*AH22))</f>
      </c>
      <c r="AI24" s="26">
        <f>IF(AI$6="","",IF(OR(WEEKDAY(AI$6,1)=1,WEEKDAY(AI$6,1)=7),0,MIN(8,AI23)*AI22))</f>
      </c>
      <c r="AJ24" s="26">
        <f>IF(AJ$6="","",IF(OR(WEEKDAY(AJ$6,1)=1,WEEKDAY(AJ$6,1)=7),0,MIN(8,AJ23)*AJ22))</f>
      </c>
      <c r="AK24" s="26">
        <f>IF(AK$6="","",IF(OR(WEEKDAY(AK$6,1)=1,WEEKDAY(AK$6,1)=7),0,MIN(8,AK23)*AK22))</f>
      </c>
      <c r="AL24" s="26">
        <f>IF(AL$6="","",IF(OR(WEEKDAY(AL$6,1)=1,WEEKDAY(AL$6,1)=7),0,MIN(8,AL23)*AL22))</f>
      </c>
      <c r="AM24" s="26">
        <f>IF(AM$6="","",IF(OR(WEEKDAY(AM$6,1)=1,WEEKDAY(AM$6,1)=7),0,MIN(8,AM23)*AM22))</f>
      </c>
      <c r="AN24" s="26">
        <f>IF(AN$6="","",IF(OR(WEEKDAY(AN$6,1)=1,WEEKDAY(AN$6,1)=7),0,MIN(8,AN23)*AN22))</f>
      </c>
      <c r="AO24" s="26">
        <f>IF(AO$6="","",IF(OR(WEEKDAY(AO$6,1)=1,WEEKDAY(AO$6,1)=7),0,MIN(8,AO23)*AO22))</f>
      </c>
      <c r="AP24" s="26">
        <f>IF(AP$6="","",IF(OR(WEEKDAY(AP$6,1)=1,WEEKDAY(AP$6,1)=7),0,MIN(8,AP23)*AP22))</f>
      </c>
      <c r="AQ24" s="26">
        <f>IF(AQ$6="","",IF(OR(WEEKDAY(AQ$6,1)=1,WEEKDAY(AQ$6,1)=7),0,MIN(8,AQ23)*AQ22))</f>
      </c>
      <c r="AR24" s="26">
        <f>IF(AR$6="","",IF(OR(WEEKDAY(AR$6,1)=1,WEEKDAY(AR$6,1)=7),0,MIN(8,AR23)*AR22))</f>
      </c>
      <c r="AS24" s="26">
        <f>IF(AS$6="","",IF(OR(WEEKDAY(AS$6,1)=1,WEEKDAY(AS$6,1)=7),0,MIN(8,AS23)*AS22))</f>
      </c>
      <c r="AT24" s="26">
        <f>IF(AT$6="","",IF(OR(WEEKDAY(AT$6,1)=1,WEEKDAY(AT$6,1)=7),0,MIN(8,AT23)*AT22))</f>
      </c>
      <c r="AU24" s="26">
        <f>IF(AU$6="","",IF(OR(WEEKDAY(AU$6,1)=1,WEEKDAY(AU$6,1)=7),0,MIN(8,AU23)*AU22))</f>
      </c>
      <c r="AV24" s="26">
        <f>IF(AV$6="","",IF(OR(WEEKDAY(AV$6,1)=1,WEEKDAY(AV$6,1)=7),0,MIN(8,AV23)*AV22))</f>
      </c>
      <c r="AW24" s="26">
        <f>IF(AW$6="","",IF(OR(WEEKDAY(AW$6,1)=1,WEEKDAY(AW$6,1)=7),0,MIN(8,AW23)*AW22))</f>
      </c>
      <c r="AX24" s="26">
        <f>IF(AX$6="","",IF(OR(WEEKDAY(AX$6,1)=1,WEEKDAY(AX$6,1)=7),0,MIN(8,AX23)*AX22))</f>
      </c>
      <c r="AY24" s="26">
        <f>IF(AY$6="","",IF(OR(WEEKDAY(AY$6,1)=1,WEEKDAY(AY$6,1)=7),0,MIN(8,AY23)*AY22))</f>
      </c>
      <c r="AZ24" s="26">
        <f>IF(AZ$6="","",IF(OR(WEEKDAY(AZ$6,1)=1,WEEKDAY(AZ$6,1)=7),0,MIN(8,AZ23)*AZ22))</f>
      </c>
      <c r="BA24" s="26">
        <f>IF(BA$6="","",IF(OR(WEEKDAY(BA$6,1)=1,WEEKDAY(BA$6,1)=7),0,MIN(8,BA23)*BA22))</f>
      </c>
      <c r="BB24" s="26">
        <f>IF(BB$6="","",IF(OR(WEEKDAY(BB$6,1)=1,WEEKDAY(BB$6,1)=7),0,MIN(8,BB23)*BB22))</f>
      </c>
      <c r="BC24" s="26">
        <f>IF(BC$6="","",IF(OR(WEEKDAY(BC$6,1)=1,WEEKDAY(BC$6,1)=7),0,MIN(8,BC23)*BC22))</f>
      </c>
      <c r="BD24" s="26">
        <f>IF(BD$6="","",IF(OR(WEEKDAY(BD$6,1)=1,WEEKDAY(BD$6,1)=7),0,MIN(8,BD23)*BD22))</f>
      </c>
      <c r="BE24" s="26">
        <f>IF(BE$6="","",IF(OR(WEEKDAY(BE$6,1)=1,WEEKDAY(BE$6,1)=7),0,MIN(8,BE23)*BE22))</f>
      </c>
      <c r="BF24" s="26">
        <f>IF(BF$6="","",IF(OR(WEEKDAY(BF$6,1)=1,WEEKDAY(BF$6,1)=7),0,MIN(8,BF23)*BF22))</f>
      </c>
      <c r="BG24" s="26">
        <f>IF(BG$6="","",IF(OR(WEEKDAY(BG$6,1)=1,WEEKDAY(BG$6,1)=7),0,MIN(8,BG23)*BG22))</f>
      </c>
      <c r="BH24" s="26">
        <f>IF(BH$6="","",IF(OR(WEEKDAY(BH$6,1)=1,WEEKDAY(BH$6,1)=7),0,MIN(8,BH23)*BH22))</f>
      </c>
      <c r="BI24" s="26">
        <f>IF(BI$6="","",IF(OR(WEEKDAY(BI$6,1)=1,WEEKDAY(BI$6,1)=7),0,MIN(8,BI23)*BI22))</f>
      </c>
      <c r="BJ24" s="26">
        <f>IF(BJ$6="","",IF(OR(WEEKDAY(BJ$6,1)=1,WEEKDAY(BJ$6,1)=7),0,MIN(8,BJ23)*BJ22))</f>
      </c>
      <c r="BK24" s="26">
        <f>IF(BK$6="","",IF(OR(WEEKDAY(BK$6,1)=1,WEEKDAY(BK$6,1)=7),0,MIN(8,BK23)*BK22))</f>
      </c>
      <c r="BL24" s="26">
        <f>IF(BL$6="","",IF(OR(WEEKDAY(BL$6,1)=1,WEEKDAY(BL$6,1)=7),0,MIN(8,BL23)*BL22))</f>
      </c>
      <c r="BM24" s="26">
        <f>IF(BM$6="","",IF(OR(WEEKDAY(BM$6,1)=1,WEEKDAY(BM$6,1)=7),0,MIN(8,BM23)*BM22))</f>
      </c>
      <c r="BN24" s="26">
        <f>IF(BN$6="","",IF(OR(WEEKDAY(BN$6,1)=1,WEEKDAY(BN$6,1)=7),0,MIN(8,BN23)*BN22))</f>
      </c>
      <c r="BO24" s="26">
        <f>IF(BO$6="","",IF(OR(WEEKDAY(BO$6,1)=1,WEEKDAY(BO$6,1)=7),0,MIN(8,BO23)*BO22))</f>
      </c>
      <c r="BP24" s="26">
        <f>IF(BP$6="","",IF(OR(WEEKDAY(BP$6,1)=1,WEEKDAY(BP$6,1)=7),0,MIN(8,BP23)*BP22))</f>
      </c>
      <c r="BQ24" s="26">
        <f>IF(BQ$6="","",IF(OR(WEEKDAY(BQ$6,1)=1,WEEKDAY(BQ$6,1)=7),0,MIN(8,BQ23)*BQ22))</f>
      </c>
      <c r="BR24" s="26">
        <f>IF(BR$6="","",IF(OR(WEEKDAY(BR$6,1)=1,WEEKDAY(BR$6,1)=7),0,MIN(8,BR23)*BR22))</f>
      </c>
      <c r="BS24" s="26">
        <f>IF(BS$6="","",IF(OR(WEEKDAY(BS$6,1)=1,WEEKDAY(BS$6,1)=7),0,MIN(8,BS23)*BS22))</f>
      </c>
      <c r="BT24" s="26">
        <f>IF(BT$6="","",IF(OR(WEEKDAY(BT$6,1)=1,WEEKDAY(BT$6,1)=7),0,MIN(8,BT23)*BT22))</f>
      </c>
      <c r="BU24" s="26">
        <f>IF(BU$6="","",IF(OR(WEEKDAY(BU$6,1)=1,WEEKDAY(BU$6,1)=7),0,MIN(8,BU23)*BU22))</f>
      </c>
      <c r="BV24" s="26">
        <f>IF(BV$6="","",IF(OR(WEEKDAY(BV$6,1)=1,WEEKDAY(BV$6,1)=7),0,MIN(8,BV23)*BV22))</f>
      </c>
      <c r="BW24" s="26">
        <f>IF(BW$6="","",IF(OR(WEEKDAY(BW$6,1)=1,WEEKDAY(BW$6,1)=7),0,MIN(8,BW23)*BW22))</f>
      </c>
      <c r="BX24" s="26">
        <f>IF(BX$6="","",IF(OR(WEEKDAY(BX$6,1)=1,WEEKDAY(BX$6,1)=7),0,MIN(8,BX23)*BX22))</f>
      </c>
      <c r="BY24" s="26">
        <f>IF(BY$6="","",IF(OR(WEEKDAY(BY$6,1)=1,WEEKDAY(BY$6,1)=7),0,MIN(8,BY23)*BY22))</f>
      </c>
      <c r="BZ24" s="26">
        <f>IF(BZ$6="","",IF(OR(WEEKDAY(BZ$6,1)=1,WEEKDAY(BZ$6,1)=7),0,MIN(8,BZ23)*BZ22))</f>
      </c>
      <c r="CA24" s="26">
        <f>IF(CA$6="","",IF(OR(WEEKDAY(CA$6,1)=1,WEEKDAY(CA$6,1)=7),0,MIN(8,CA23)*CA22))</f>
      </c>
      <c r="CB24" s="26">
        <f>IF(CB$6="","",IF(OR(WEEKDAY(CB$6,1)=1,WEEKDAY(CB$6,1)=7),0,MIN(8,CB23)*CB22))</f>
      </c>
      <c r="CC24" s="26">
        <f>IF(CC$6="","",IF(OR(WEEKDAY(CC$6,1)=1,WEEKDAY(CC$6,1)=7),0,MIN(8,CC23)*CC22))</f>
      </c>
      <c r="CD24" s="26">
        <f>IF(CD$6="","",IF(OR(WEEKDAY(CD$6,1)=1,WEEKDAY(CD$6,1)=7),0,MIN(8,CD23)*CD22))</f>
      </c>
      <c r="CE24" s="26">
        <f>IF(CE$6="","",IF(OR(WEEKDAY(CE$6,1)=1,WEEKDAY(CE$6,1)=7),0,MIN(8,CE23)*CE22))</f>
      </c>
      <c r="CF24" s="26">
        <f>IF(CF$6="","",IF(OR(WEEKDAY(CF$6,1)=1,WEEKDAY(CF$6,1)=7),0,MIN(8,CF23)*CF22))</f>
      </c>
      <c r="CG24" s="26">
        <f>IF(CG$6="","",IF(OR(WEEKDAY(CG$6,1)=1,WEEKDAY(CG$6,1)=7),0,MIN(8,CG23)*CG22))</f>
      </c>
      <c r="CH24" s="26">
        <f>IF(CH$6="","",IF(OR(WEEKDAY(CH$6,1)=1,WEEKDAY(CH$6,1)=7),0,MIN(8,CH23)*CH22))</f>
      </c>
      <c r="CI24" s="26">
        <f>IF(CI$6="","",IF(OR(WEEKDAY(CI$6,1)=1,WEEKDAY(CI$6,1)=7),0,MIN(8,CI23)*CI22))</f>
      </c>
      <c r="CJ24" s="26">
        <f>IF(CJ$6="","",IF(OR(WEEKDAY(CJ$6,1)=1,WEEKDAY(CJ$6,1)=7),0,MIN(8,CJ23)*CJ22))</f>
      </c>
      <c r="CK24" s="26">
        <f>IF(CK$6="","",IF(OR(WEEKDAY(CK$6,1)=1,WEEKDAY(CK$6,1)=7),0,MIN(8,CK23)*CK22))</f>
      </c>
      <c r="CL24" s="26">
        <f>IF(CL$6="","",IF(OR(WEEKDAY(CL$6,1)=1,WEEKDAY(CL$6,1)=7),0,MIN(8,CL23)*CL22))</f>
      </c>
      <c r="CM24" s="26">
        <f>IF(CM$6="","",IF(OR(WEEKDAY(CM$6,1)=1,WEEKDAY(CM$6,1)=7),0,MIN(8,CM23)*CM22))</f>
      </c>
      <c r="CN24" s="26">
        <f>IF(CN$6="","",IF(OR(WEEKDAY(CN$6,1)=1,WEEKDAY(CN$6,1)=7),0,MIN(8,CN23)*CN22))</f>
      </c>
      <c r="CO24" s="26">
        <f>IF(CO$6="","",IF(OR(WEEKDAY(CO$6,1)=1,WEEKDAY(CO$6,1)=7),0,MIN(8,CO23)*CO22))</f>
      </c>
      <c r="CP24" s="26">
        <f>IF(CP$6="","",IF(OR(WEEKDAY(CP$6,1)=1,WEEKDAY(CP$6,1)=7),0,MIN(8,CP23)*CP22))</f>
      </c>
      <c r="CQ24" s="26">
        <f>IF(CQ$6="","",IF(OR(WEEKDAY(CQ$6,1)=1,WEEKDAY(CQ$6,1)=7),0,MIN(8,CQ23)*CQ22))</f>
      </c>
      <c r="CR24" s="26">
        <f>IF(CR$6="","",IF(OR(WEEKDAY(CR$6,1)=1,WEEKDAY(CR$6,1)=7),0,MIN(8,CR23)*CR22))</f>
      </c>
      <c r="CS24" s="26">
        <f>IF(CS$6="","",IF(OR(WEEKDAY(CS$6,1)=1,WEEKDAY(CS$6,1)=7),0,MIN(8,CS23)*CS22))</f>
      </c>
      <c r="CT24" s="26">
        <f>IF(CT$6="","",IF(OR(WEEKDAY(CT$6,1)=1,WEEKDAY(CT$6,1)=7),0,MIN(8,CT23)*CT22))</f>
      </c>
      <c r="CU24" s="26">
        <f>IF(CU$6="","",IF(OR(WEEKDAY(CU$6,1)=1,WEEKDAY(CU$6,1)=7),0,MIN(8,CU23)*CU22))</f>
      </c>
      <c r="CV24" s="26">
        <f>IF(CV$6="","",IF(OR(WEEKDAY(CV$6,1)=1,WEEKDAY(CV$6,1)=7),0,MIN(8,CV23)*CV22))</f>
      </c>
      <c r="CW24" s="26">
        <f>IF(CW$6="","",IF(OR(WEEKDAY(CW$6,1)=1,WEEKDAY(CW$6,1)=7),0,MIN(8,CW23)*CW22))</f>
      </c>
      <c r="CX24" s="8" t="s">
        <v>92</v>
      </c>
    </row>
    <row r="25" spans="2:102" x14ac:dyDescent="0.25">
      <c r="B25" s="26">
        <f>SUM(L25:CW25)</f>
      </c>
      <c r="D25" s="27">
        <f>B25*E25</f>
      </c>
      <c r="E25" s="27">
        <f>'Rate Tables'!D25</f>
      </c>
      <c r="F25" s="8" t="s">
        <v>40</v>
      </c>
      <c r="L25" s="26">
        <f>IF(L$6="","",IF(WEEKDAY(L$6,1)=1,0,IF(WEEKDAY(L$6,1)=7,L23*L22,MAX(0,L23-8)*L22)))</f>
      </c>
      <c r="M25" s="26">
        <f>IF(M$6="","",IF(WEEKDAY(M$6,1)=1,0,IF(WEEKDAY(M$6,1)=7,M23*M22,MAX(0,M23-8)*M22)))</f>
      </c>
      <c r="N25" s="26">
        <f>IF(N$6="","",IF(WEEKDAY(N$6,1)=1,0,IF(WEEKDAY(N$6,1)=7,N23*N22,MAX(0,N23-8)*N22)))</f>
      </c>
      <c r="O25" s="26">
        <f>IF(O$6="","",IF(WEEKDAY(O$6,1)=1,0,IF(WEEKDAY(O$6,1)=7,O23*O22,MAX(0,O23-8)*O22)))</f>
      </c>
      <c r="P25" s="26">
        <f>IF(P$6="","",IF(WEEKDAY(P$6,1)=1,0,IF(WEEKDAY(P$6,1)=7,P23*P22,MAX(0,P23-8)*P22)))</f>
      </c>
      <c r="Q25" s="26">
        <f>IF(Q$6="","",IF(WEEKDAY(Q$6,1)=1,0,IF(WEEKDAY(Q$6,1)=7,Q23*Q22,MAX(0,Q23-8)*Q22)))</f>
      </c>
      <c r="R25" s="26">
        <f>IF(R$6="","",IF(WEEKDAY(R$6,1)=1,0,IF(WEEKDAY(R$6,1)=7,R23*R22,MAX(0,R23-8)*R22)))</f>
      </c>
      <c r="S25" s="26">
        <f>IF(S$6="","",IF(WEEKDAY(S$6,1)=1,0,IF(WEEKDAY(S$6,1)=7,S23*S22,MAX(0,S23-8)*S22)))</f>
      </c>
      <c r="T25" s="26">
        <f>IF(T$6="","",IF(WEEKDAY(T$6,1)=1,0,IF(WEEKDAY(T$6,1)=7,T23*T22,MAX(0,T23-8)*T22)))</f>
      </c>
      <c r="U25" s="26">
        <f>IF(U$6="","",IF(WEEKDAY(U$6,1)=1,0,IF(WEEKDAY(U$6,1)=7,U23*U22,MAX(0,U23-8)*U22)))</f>
      </c>
      <c r="V25" s="26">
        <f>IF(V$6="","",IF(WEEKDAY(V$6,1)=1,0,IF(WEEKDAY(V$6,1)=7,V23*V22,MAX(0,V23-8)*V22)))</f>
      </c>
      <c r="W25" s="26">
        <f>IF(W$6="","",IF(WEEKDAY(W$6,1)=1,0,IF(WEEKDAY(W$6,1)=7,W23*W22,MAX(0,W23-8)*W22)))</f>
      </c>
      <c r="X25" s="26">
        <f>IF(X$6="","",IF(WEEKDAY(X$6,1)=1,0,IF(WEEKDAY(X$6,1)=7,X23*X22,MAX(0,X23-8)*X22)))</f>
      </c>
      <c r="Y25" s="26">
        <f>IF(Y$6="","",IF(WEEKDAY(Y$6,1)=1,0,IF(WEEKDAY(Y$6,1)=7,Y23*Y22,MAX(0,Y23-8)*Y22)))</f>
      </c>
      <c r="Z25" s="26">
        <f>IF(Z$6="","",IF(WEEKDAY(Z$6,1)=1,0,IF(WEEKDAY(Z$6,1)=7,Z23*Z22,MAX(0,Z23-8)*Z22)))</f>
      </c>
      <c r="AA25" s="26">
        <f>IF(AA$6="","",IF(WEEKDAY(AA$6,1)=1,0,IF(WEEKDAY(AA$6,1)=7,AA23*AA22,MAX(0,AA23-8)*AA22)))</f>
      </c>
      <c r="AB25" s="26">
        <f>IF(AB$6="","",IF(WEEKDAY(AB$6,1)=1,0,IF(WEEKDAY(AB$6,1)=7,AB23*AB22,MAX(0,AB23-8)*AB22)))</f>
      </c>
      <c r="AC25" s="26">
        <f>IF(AC$6="","",IF(WEEKDAY(AC$6,1)=1,0,IF(WEEKDAY(AC$6,1)=7,AC23*AC22,MAX(0,AC23-8)*AC22)))</f>
      </c>
      <c r="AD25" s="26">
        <f>IF(AD$6="","",IF(WEEKDAY(AD$6,1)=1,0,IF(WEEKDAY(AD$6,1)=7,AD23*AD22,MAX(0,AD23-8)*AD22)))</f>
      </c>
      <c r="AE25" s="26">
        <f>IF(AE$6="","",IF(WEEKDAY(AE$6,1)=1,0,IF(WEEKDAY(AE$6,1)=7,AE23*AE22,MAX(0,AE23-8)*AE22)))</f>
      </c>
      <c r="AF25" s="26">
        <f>IF(AF$6="","",IF(WEEKDAY(AF$6,1)=1,0,IF(WEEKDAY(AF$6,1)=7,AF23*AF22,MAX(0,AF23-8)*AF22)))</f>
      </c>
      <c r="AG25" s="26">
        <f>IF(AG$6="","",IF(WEEKDAY(AG$6,1)=1,0,IF(WEEKDAY(AG$6,1)=7,AG23*AG22,MAX(0,AG23-8)*AG22)))</f>
      </c>
      <c r="AH25" s="26">
        <f>IF(AH$6="","",IF(WEEKDAY(AH$6,1)=1,0,IF(WEEKDAY(AH$6,1)=7,AH23*AH22,MAX(0,AH23-8)*AH22)))</f>
      </c>
      <c r="AI25" s="26">
        <f>IF(AI$6="","",IF(WEEKDAY(AI$6,1)=1,0,IF(WEEKDAY(AI$6,1)=7,AI23*AI22,MAX(0,AI23-8)*AI22)))</f>
      </c>
      <c r="AJ25" s="26">
        <f>IF(AJ$6="","",IF(WEEKDAY(AJ$6,1)=1,0,IF(WEEKDAY(AJ$6,1)=7,AJ23*AJ22,MAX(0,AJ23-8)*AJ22)))</f>
      </c>
      <c r="AK25" s="26">
        <f>IF(AK$6="","",IF(WEEKDAY(AK$6,1)=1,0,IF(WEEKDAY(AK$6,1)=7,AK23*AK22,MAX(0,AK23-8)*AK22)))</f>
      </c>
      <c r="AL25" s="26">
        <f>IF(AL$6="","",IF(WEEKDAY(AL$6,1)=1,0,IF(WEEKDAY(AL$6,1)=7,AL23*AL22,MAX(0,AL23-8)*AL22)))</f>
      </c>
      <c r="AM25" s="26">
        <f>IF(AM$6="","",IF(WEEKDAY(AM$6,1)=1,0,IF(WEEKDAY(AM$6,1)=7,AM23*AM22,MAX(0,AM23-8)*AM22)))</f>
      </c>
      <c r="AN25" s="26">
        <f>IF(AN$6="","",IF(WEEKDAY(AN$6,1)=1,0,IF(WEEKDAY(AN$6,1)=7,AN23*AN22,MAX(0,AN23-8)*AN22)))</f>
      </c>
      <c r="AO25" s="26">
        <f>IF(AO$6="","",IF(WEEKDAY(AO$6,1)=1,0,IF(WEEKDAY(AO$6,1)=7,AO23*AO22,MAX(0,AO23-8)*AO22)))</f>
      </c>
      <c r="AP25" s="26">
        <f>IF(AP$6="","",IF(WEEKDAY(AP$6,1)=1,0,IF(WEEKDAY(AP$6,1)=7,AP23*AP22,MAX(0,AP23-8)*AP22)))</f>
      </c>
      <c r="AQ25" s="26">
        <f>IF(AQ$6="","",IF(WEEKDAY(AQ$6,1)=1,0,IF(WEEKDAY(AQ$6,1)=7,AQ23*AQ22,MAX(0,AQ23-8)*AQ22)))</f>
      </c>
      <c r="AR25" s="26">
        <f>IF(AR$6="","",IF(WEEKDAY(AR$6,1)=1,0,IF(WEEKDAY(AR$6,1)=7,AR23*AR22,MAX(0,AR23-8)*AR22)))</f>
      </c>
      <c r="AS25" s="26">
        <f>IF(AS$6="","",IF(WEEKDAY(AS$6,1)=1,0,IF(WEEKDAY(AS$6,1)=7,AS23*AS22,MAX(0,AS23-8)*AS22)))</f>
      </c>
      <c r="AT25" s="26">
        <f>IF(AT$6="","",IF(WEEKDAY(AT$6,1)=1,0,IF(WEEKDAY(AT$6,1)=7,AT23*AT22,MAX(0,AT23-8)*AT22)))</f>
      </c>
      <c r="AU25" s="26">
        <f>IF(AU$6="","",IF(WEEKDAY(AU$6,1)=1,0,IF(WEEKDAY(AU$6,1)=7,AU23*AU22,MAX(0,AU23-8)*AU22)))</f>
      </c>
      <c r="AV25" s="26">
        <f>IF(AV$6="","",IF(WEEKDAY(AV$6,1)=1,0,IF(WEEKDAY(AV$6,1)=7,AV23*AV22,MAX(0,AV23-8)*AV22)))</f>
      </c>
      <c r="AW25" s="26">
        <f>IF(AW$6="","",IF(WEEKDAY(AW$6,1)=1,0,IF(WEEKDAY(AW$6,1)=7,AW23*AW22,MAX(0,AW23-8)*AW22)))</f>
      </c>
      <c r="AX25" s="26">
        <f>IF(AX$6="","",IF(WEEKDAY(AX$6,1)=1,0,IF(WEEKDAY(AX$6,1)=7,AX23*AX22,MAX(0,AX23-8)*AX22)))</f>
      </c>
      <c r="AY25" s="26">
        <f>IF(AY$6="","",IF(WEEKDAY(AY$6,1)=1,0,IF(WEEKDAY(AY$6,1)=7,AY23*AY22,MAX(0,AY23-8)*AY22)))</f>
      </c>
      <c r="AZ25" s="26">
        <f>IF(AZ$6="","",IF(WEEKDAY(AZ$6,1)=1,0,IF(WEEKDAY(AZ$6,1)=7,AZ23*AZ22,MAX(0,AZ23-8)*AZ22)))</f>
      </c>
      <c r="BA25" s="26">
        <f>IF(BA$6="","",IF(WEEKDAY(BA$6,1)=1,0,IF(WEEKDAY(BA$6,1)=7,BA23*BA22,MAX(0,BA23-8)*BA22)))</f>
      </c>
      <c r="BB25" s="26">
        <f>IF(BB$6="","",IF(WEEKDAY(BB$6,1)=1,0,IF(WEEKDAY(BB$6,1)=7,BB23*BB22,MAX(0,BB23-8)*BB22)))</f>
      </c>
      <c r="BC25" s="26">
        <f>IF(BC$6="","",IF(WEEKDAY(BC$6,1)=1,0,IF(WEEKDAY(BC$6,1)=7,BC23*BC22,MAX(0,BC23-8)*BC22)))</f>
      </c>
      <c r="BD25" s="26">
        <f>IF(BD$6="","",IF(WEEKDAY(BD$6,1)=1,0,IF(WEEKDAY(BD$6,1)=7,BD23*BD22,MAX(0,BD23-8)*BD22)))</f>
      </c>
      <c r="BE25" s="26">
        <f>IF(BE$6="","",IF(WEEKDAY(BE$6,1)=1,0,IF(WEEKDAY(BE$6,1)=7,BE23*BE22,MAX(0,BE23-8)*BE22)))</f>
      </c>
      <c r="BF25" s="26">
        <f>IF(BF$6="","",IF(WEEKDAY(BF$6,1)=1,0,IF(WEEKDAY(BF$6,1)=7,BF23*BF22,MAX(0,BF23-8)*BF22)))</f>
      </c>
      <c r="BG25" s="26">
        <f>IF(BG$6="","",IF(WEEKDAY(BG$6,1)=1,0,IF(WEEKDAY(BG$6,1)=7,BG23*BG22,MAX(0,BG23-8)*BG22)))</f>
      </c>
      <c r="BH25" s="26">
        <f>IF(BH$6="","",IF(WEEKDAY(BH$6,1)=1,0,IF(WEEKDAY(BH$6,1)=7,BH23*BH22,MAX(0,BH23-8)*BH22)))</f>
      </c>
      <c r="BI25" s="26">
        <f>IF(BI$6="","",IF(WEEKDAY(BI$6,1)=1,0,IF(WEEKDAY(BI$6,1)=7,BI23*BI22,MAX(0,BI23-8)*BI22)))</f>
      </c>
      <c r="BJ25" s="26">
        <f>IF(BJ$6="","",IF(WEEKDAY(BJ$6,1)=1,0,IF(WEEKDAY(BJ$6,1)=7,BJ23*BJ22,MAX(0,BJ23-8)*BJ22)))</f>
      </c>
      <c r="BK25" s="26">
        <f>IF(BK$6="","",IF(WEEKDAY(BK$6,1)=1,0,IF(WEEKDAY(BK$6,1)=7,BK23*BK22,MAX(0,BK23-8)*BK22)))</f>
      </c>
      <c r="BL25" s="26">
        <f>IF(BL$6="","",IF(WEEKDAY(BL$6,1)=1,0,IF(WEEKDAY(BL$6,1)=7,BL23*BL22,MAX(0,BL23-8)*BL22)))</f>
      </c>
      <c r="BM25" s="26">
        <f>IF(BM$6="","",IF(WEEKDAY(BM$6,1)=1,0,IF(WEEKDAY(BM$6,1)=7,BM23*BM22,MAX(0,BM23-8)*BM22)))</f>
      </c>
      <c r="BN25" s="26">
        <f>IF(BN$6="","",IF(WEEKDAY(BN$6,1)=1,0,IF(WEEKDAY(BN$6,1)=7,BN23*BN22,MAX(0,BN23-8)*BN22)))</f>
      </c>
      <c r="BO25" s="26">
        <f>IF(BO$6="","",IF(WEEKDAY(BO$6,1)=1,0,IF(WEEKDAY(BO$6,1)=7,BO23*BO22,MAX(0,BO23-8)*BO22)))</f>
      </c>
      <c r="BP25" s="26">
        <f>IF(BP$6="","",IF(WEEKDAY(BP$6,1)=1,0,IF(WEEKDAY(BP$6,1)=7,BP23*BP22,MAX(0,BP23-8)*BP22)))</f>
      </c>
      <c r="BQ25" s="26">
        <f>IF(BQ$6="","",IF(WEEKDAY(BQ$6,1)=1,0,IF(WEEKDAY(BQ$6,1)=7,BQ23*BQ22,MAX(0,BQ23-8)*BQ22)))</f>
      </c>
      <c r="BR25" s="26">
        <f>IF(BR$6="","",IF(WEEKDAY(BR$6,1)=1,0,IF(WEEKDAY(BR$6,1)=7,BR23*BR22,MAX(0,BR23-8)*BR22)))</f>
      </c>
      <c r="BS25" s="26">
        <f>IF(BS$6="","",IF(WEEKDAY(BS$6,1)=1,0,IF(WEEKDAY(BS$6,1)=7,BS23*BS22,MAX(0,BS23-8)*BS22)))</f>
      </c>
      <c r="BT25" s="26">
        <f>IF(BT$6="","",IF(WEEKDAY(BT$6,1)=1,0,IF(WEEKDAY(BT$6,1)=7,BT23*BT22,MAX(0,BT23-8)*BT22)))</f>
      </c>
      <c r="BU25" s="26">
        <f>IF(BU$6="","",IF(WEEKDAY(BU$6,1)=1,0,IF(WEEKDAY(BU$6,1)=7,BU23*BU22,MAX(0,BU23-8)*BU22)))</f>
      </c>
      <c r="BV25" s="26">
        <f>IF(BV$6="","",IF(WEEKDAY(BV$6,1)=1,0,IF(WEEKDAY(BV$6,1)=7,BV23*BV22,MAX(0,BV23-8)*BV22)))</f>
      </c>
      <c r="BW25" s="26">
        <f>IF(BW$6="","",IF(WEEKDAY(BW$6,1)=1,0,IF(WEEKDAY(BW$6,1)=7,BW23*BW22,MAX(0,BW23-8)*BW22)))</f>
      </c>
      <c r="BX25" s="26">
        <f>IF(BX$6="","",IF(WEEKDAY(BX$6,1)=1,0,IF(WEEKDAY(BX$6,1)=7,BX23*BX22,MAX(0,BX23-8)*BX22)))</f>
      </c>
      <c r="BY25" s="26">
        <f>IF(BY$6="","",IF(WEEKDAY(BY$6,1)=1,0,IF(WEEKDAY(BY$6,1)=7,BY23*BY22,MAX(0,BY23-8)*BY22)))</f>
      </c>
      <c r="BZ25" s="26">
        <f>IF(BZ$6="","",IF(WEEKDAY(BZ$6,1)=1,0,IF(WEEKDAY(BZ$6,1)=7,BZ23*BZ22,MAX(0,BZ23-8)*BZ22)))</f>
      </c>
      <c r="CA25" s="26">
        <f>IF(CA$6="","",IF(WEEKDAY(CA$6,1)=1,0,IF(WEEKDAY(CA$6,1)=7,CA23*CA22,MAX(0,CA23-8)*CA22)))</f>
      </c>
      <c r="CB25" s="26">
        <f>IF(CB$6="","",IF(WEEKDAY(CB$6,1)=1,0,IF(WEEKDAY(CB$6,1)=7,CB23*CB22,MAX(0,CB23-8)*CB22)))</f>
      </c>
      <c r="CC25" s="26">
        <f>IF(CC$6="","",IF(WEEKDAY(CC$6,1)=1,0,IF(WEEKDAY(CC$6,1)=7,CC23*CC22,MAX(0,CC23-8)*CC22)))</f>
      </c>
      <c r="CD25" s="26">
        <f>IF(CD$6="","",IF(WEEKDAY(CD$6,1)=1,0,IF(WEEKDAY(CD$6,1)=7,CD23*CD22,MAX(0,CD23-8)*CD22)))</f>
      </c>
      <c r="CE25" s="26">
        <f>IF(CE$6="","",IF(WEEKDAY(CE$6,1)=1,0,IF(WEEKDAY(CE$6,1)=7,CE23*CE22,MAX(0,CE23-8)*CE22)))</f>
      </c>
      <c r="CF25" s="26">
        <f>IF(CF$6="","",IF(WEEKDAY(CF$6,1)=1,0,IF(WEEKDAY(CF$6,1)=7,CF23*CF22,MAX(0,CF23-8)*CF22)))</f>
      </c>
      <c r="CG25" s="26">
        <f>IF(CG$6="","",IF(WEEKDAY(CG$6,1)=1,0,IF(WEEKDAY(CG$6,1)=7,CG23*CG22,MAX(0,CG23-8)*CG22)))</f>
      </c>
      <c r="CH25" s="26">
        <f>IF(CH$6="","",IF(WEEKDAY(CH$6,1)=1,0,IF(WEEKDAY(CH$6,1)=7,CH23*CH22,MAX(0,CH23-8)*CH22)))</f>
      </c>
      <c r="CI25" s="26">
        <f>IF(CI$6="","",IF(WEEKDAY(CI$6,1)=1,0,IF(WEEKDAY(CI$6,1)=7,CI23*CI22,MAX(0,CI23-8)*CI22)))</f>
      </c>
      <c r="CJ25" s="26">
        <f>IF(CJ$6="","",IF(WEEKDAY(CJ$6,1)=1,0,IF(WEEKDAY(CJ$6,1)=7,CJ23*CJ22,MAX(0,CJ23-8)*CJ22)))</f>
      </c>
      <c r="CK25" s="26">
        <f>IF(CK$6="","",IF(WEEKDAY(CK$6,1)=1,0,IF(WEEKDAY(CK$6,1)=7,CK23*CK22,MAX(0,CK23-8)*CK22)))</f>
      </c>
      <c r="CL25" s="26">
        <f>IF(CL$6="","",IF(WEEKDAY(CL$6,1)=1,0,IF(WEEKDAY(CL$6,1)=7,CL23*CL22,MAX(0,CL23-8)*CL22)))</f>
      </c>
      <c r="CM25" s="26">
        <f>IF(CM$6="","",IF(WEEKDAY(CM$6,1)=1,0,IF(WEEKDAY(CM$6,1)=7,CM23*CM22,MAX(0,CM23-8)*CM22)))</f>
      </c>
      <c r="CN25" s="26">
        <f>IF(CN$6="","",IF(WEEKDAY(CN$6,1)=1,0,IF(WEEKDAY(CN$6,1)=7,CN23*CN22,MAX(0,CN23-8)*CN22)))</f>
      </c>
      <c r="CO25" s="26">
        <f>IF(CO$6="","",IF(WEEKDAY(CO$6,1)=1,0,IF(WEEKDAY(CO$6,1)=7,CO23*CO22,MAX(0,CO23-8)*CO22)))</f>
      </c>
      <c r="CP25" s="26">
        <f>IF(CP$6="","",IF(WEEKDAY(CP$6,1)=1,0,IF(WEEKDAY(CP$6,1)=7,CP23*CP22,MAX(0,CP23-8)*CP22)))</f>
      </c>
      <c r="CQ25" s="26">
        <f>IF(CQ$6="","",IF(WEEKDAY(CQ$6,1)=1,0,IF(WEEKDAY(CQ$6,1)=7,CQ23*CQ22,MAX(0,CQ23-8)*CQ22)))</f>
      </c>
      <c r="CR25" s="26">
        <f>IF(CR$6="","",IF(WEEKDAY(CR$6,1)=1,0,IF(WEEKDAY(CR$6,1)=7,CR23*CR22,MAX(0,CR23-8)*CR22)))</f>
      </c>
      <c r="CS25" s="26">
        <f>IF(CS$6="","",IF(WEEKDAY(CS$6,1)=1,0,IF(WEEKDAY(CS$6,1)=7,CS23*CS22,MAX(0,CS23-8)*CS22)))</f>
      </c>
      <c r="CT25" s="26">
        <f>IF(CT$6="","",IF(WEEKDAY(CT$6,1)=1,0,IF(WEEKDAY(CT$6,1)=7,CT23*CT22,MAX(0,CT23-8)*CT22)))</f>
      </c>
      <c r="CU25" s="26">
        <f>IF(CU$6="","",IF(WEEKDAY(CU$6,1)=1,0,IF(WEEKDAY(CU$6,1)=7,CU23*CU22,MAX(0,CU23-8)*CU22)))</f>
      </c>
      <c r="CV25" s="26">
        <f>IF(CV$6="","",IF(WEEKDAY(CV$6,1)=1,0,IF(WEEKDAY(CV$6,1)=7,CV23*CV22,MAX(0,CV23-8)*CV22)))</f>
      </c>
      <c r="CW25" s="26">
        <f>IF(CW$6="","",IF(WEEKDAY(CW$6,1)=1,0,IF(WEEKDAY(CW$6,1)=7,CW23*CW22,MAX(0,CW23-8)*CW22)))</f>
      </c>
      <c r="CX25" s="8" t="s">
        <v>92</v>
      </c>
    </row>
    <row r="26" spans="2:102" x14ac:dyDescent="0.25">
      <c r="B26" s="26">
        <f>SUM(L26:CW26)</f>
      </c>
      <c r="D26" s="27">
        <f>B26*E26</f>
      </c>
      <c r="E26" s="27">
        <f>'Rate Tables'!E25</f>
      </c>
      <c r="F26" s="8" t="s">
        <v>41</v>
      </c>
      <c r="L26" s="26">
        <f>IF(L$6="","",IF(WEEKDAY(L$6,1)=1,L23*L22,0))</f>
      </c>
      <c r="M26" s="26">
        <f>IF(M$6="","",IF(WEEKDAY(M$6,1)=1,M23*M22,0))</f>
      </c>
      <c r="N26" s="26">
        <f>IF(N$6="","",IF(WEEKDAY(N$6,1)=1,N23*N22,0))</f>
      </c>
      <c r="O26" s="26">
        <f>IF(O$6="","",IF(WEEKDAY(O$6,1)=1,O23*O22,0))</f>
      </c>
      <c r="P26" s="26">
        <f>IF(P$6="","",IF(WEEKDAY(P$6,1)=1,P23*P22,0))</f>
      </c>
      <c r="Q26" s="26">
        <f>IF(Q$6="","",IF(WEEKDAY(Q$6,1)=1,Q23*Q22,0))</f>
      </c>
      <c r="R26" s="26">
        <f>IF(R$6="","",IF(WEEKDAY(R$6,1)=1,R23*R22,0))</f>
      </c>
      <c r="S26" s="26">
        <f>IF(S$6="","",IF(WEEKDAY(S$6,1)=1,S23*S22,0))</f>
      </c>
      <c r="T26" s="26">
        <f>IF(T$6="","",IF(WEEKDAY(T$6,1)=1,T23*T22,0))</f>
      </c>
      <c r="U26" s="26">
        <f>IF(U$6="","",IF(WEEKDAY(U$6,1)=1,U23*U22,0))</f>
      </c>
      <c r="V26" s="26">
        <f>IF(V$6="","",IF(WEEKDAY(V$6,1)=1,V23*V22,0))</f>
      </c>
      <c r="W26" s="26">
        <f>IF(W$6="","",IF(WEEKDAY(W$6,1)=1,W23*W22,0))</f>
      </c>
      <c r="X26" s="26">
        <f>IF(X$6="","",IF(WEEKDAY(X$6,1)=1,X23*X22,0))</f>
      </c>
      <c r="Y26" s="26">
        <f>IF(Y$6="","",IF(WEEKDAY(Y$6,1)=1,Y23*Y22,0))</f>
      </c>
      <c r="Z26" s="26">
        <f>IF(Z$6="","",IF(WEEKDAY(Z$6,1)=1,Z23*Z22,0))</f>
      </c>
      <c r="AA26" s="26">
        <f>IF(AA$6="","",IF(WEEKDAY(AA$6,1)=1,AA23*AA22,0))</f>
      </c>
      <c r="AB26" s="26">
        <f>IF(AB$6="","",IF(WEEKDAY(AB$6,1)=1,AB23*AB22,0))</f>
      </c>
      <c r="AC26" s="26">
        <f>IF(AC$6="","",IF(WEEKDAY(AC$6,1)=1,AC23*AC22,0))</f>
      </c>
      <c r="AD26" s="26">
        <f>IF(AD$6="","",IF(WEEKDAY(AD$6,1)=1,AD23*AD22,0))</f>
      </c>
      <c r="AE26" s="26">
        <f>IF(AE$6="","",IF(WEEKDAY(AE$6,1)=1,AE23*AE22,0))</f>
      </c>
      <c r="AF26" s="26">
        <f>IF(AF$6="","",IF(WEEKDAY(AF$6,1)=1,AF23*AF22,0))</f>
      </c>
      <c r="AG26" s="26">
        <f>IF(AG$6="","",IF(WEEKDAY(AG$6,1)=1,AG23*AG22,0))</f>
      </c>
      <c r="AH26" s="26">
        <f>IF(AH$6="","",IF(WEEKDAY(AH$6,1)=1,AH23*AH22,0))</f>
      </c>
      <c r="AI26" s="26">
        <f>IF(AI$6="","",IF(WEEKDAY(AI$6,1)=1,AI23*AI22,0))</f>
      </c>
      <c r="AJ26" s="26">
        <f>IF(AJ$6="","",IF(WEEKDAY(AJ$6,1)=1,AJ23*AJ22,0))</f>
      </c>
      <c r="AK26" s="26">
        <f>IF(AK$6="","",IF(WEEKDAY(AK$6,1)=1,AK23*AK22,0))</f>
      </c>
      <c r="AL26" s="26">
        <f>IF(AL$6="","",IF(WEEKDAY(AL$6,1)=1,AL23*AL22,0))</f>
      </c>
      <c r="AM26" s="26">
        <f>IF(AM$6="","",IF(WEEKDAY(AM$6,1)=1,AM23*AM22,0))</f>
      </c>
      <c r="AN26" s="26">
        <f>IF(AN$6="","",IF(WEEKDAY(AN$6,1)=1,AN23*AN22,0))</f>
      </c>
      <c r="AO26" s="26">
        <f>IF(AO$6="","",IF(WEEKDAY(AO$6,1)=1,AO23*AO22,0))</f>
      </c>
      <c r="AP26" s="26">
        <f>IF(AP$6="","",IF(WEEKDAY(AP$6,1)=1,AP23*AP22,0))</f>
      </c>
      <c r="AQ26" s="26">
        <f>IF(AQ$6="","",IF(WEEKDAY(AQ$6,1)=1,AQ23*AQ22,0))</f>
      </c>
      <c r="AR26" s="26">
        <f>IF(AR$6="","",IF(WEEKDAY(AR$6,1)=1,AR23*AR22,0))</f>
      </c>
      <c r="AS26" s="26">
        <f>IF(AS$6="","",IF(WEEKDAY(AS$6,1)=1,AS23*AS22,0))</f>
      </c>
      <c r="AT26" s="26">
        <f>IF(AT$6="","",IF(WEEKDAY(AT$6,1)=1,AT23*AT22,0))</f>
      </c>
      <c r="AU26" s="26">
        <f>IF(AU$6="","",IF(WEEKDAY(AU$6,1)=1,AU23*AU22,0))</f>
      </c>
      <c r="AV26" s="26">
        <f>IF(AV$6="","",IF(WEEKDAY(AV$6,1)=1,AV23*AV22,0))</f>
      </c>
      <c r="AW26" s="26">
        <f>IF(AW$6="","",IF(WEEKDAY(AW$6,1)=1,AW23*AW22,0))</f>
      </c>
      <c r="AX26" s="26">
        <f>IF(AX$6="","",IF(WEEKDAY(AX$6,1)=1,AX23*AX22,0))</f>
      </c>
      <c r="AY26" s="26">
        <f>IF(AY$6="","",IF(WEEKDAY(AY$6,1)=1,AY23*AY22,0))</f>
      </c>
      <c r="AZ26" s="26">
        <f>IF(AZ$6="","",IF(WEEKDAY(AZ$6,1)=1,AZ23*AZ22,0))</f>
      </c>
      <c r="BA26" s="26">
        <f>IF(BA$6="","",IF(WEEKDAY(BA$6,1)=1,BA23*BA22,0))</f>
      </c>
      <c r="BB26" s="26">
        <f>IF(BB$6="","",IF(WEEKDAY(BB$6,1)=1,BB23*BB22,0))</f>
      </c>
      <c r="BC26" s="26">
        <f>IF(BC$6="","",IF(WEEKDAY(BC$6,1)=1,BC23*BC22,0))</f>
      </c>
      <c r="BD26" s="26">
        <f>IF(BD$6="","",IF(WEEKDAY(BD$6,1)=1,BD23*BD22,0))</f>
      </c>
      <c r="BE26" s="26">
        <f>IF(BE$6="","",IF(WEEKDAY(BE$6,1)=1,BE23*BE22,0))</f>
      </c>
      <c r="BF26" s="26">
        <f>IF(BF$6="","",IF(WEEKDAY(BF$6,1)=1,BF23*BF22,0))</f>
      </c>
      <c r="BG26" s="26">
        <f>IF(BG$6="","",IF(WEEKDAY(BG$6,1)=1,BG23*BG22,0))</f>
      </c>
      <c r="BH26" s="26">
        <f>IF(BH$6="","",IF(WEEKDAY(BH$6,1)=1,BH23*BH22,0))</f>
      </c>
      <c r="BI26" s="26">
        <f>IF(BI$6="","",IF(WEEKDAY(BI$6,1)=1,BI23*BI22,0))</f>
      </c>
      <c r="BJ26" s="26">
        <f>IF(BJ$6="","",IF(WEEKDAY(BJ$6,1)=1,BJ23*BJ22,0))</f>
      </c>
      <c r="BK26" s="26">
        <f>IF(BK$6="","",IF(WEEKDAY(BK$6,1)=1,BK23*BK22,0))</f>
      </c>
      <c r="BL26" s="26">
        <f>IF(BL$6="","",IF(WEEKDAY(BL$6,1)=1,BL23*BL22,0))</f>
      </c>
      <c r="BM26" s="26">
        <f>IF(BM$6="","",IF(WEEKDAY(BM$6,1)=1,BM23*BM22,0))</f>
      </c>
      <c r="BN26" s="26">
        <f>IF(BN$6="","",IF(WEEKDAY(BN$6,1)=1,BN23*BN22,0))</f>
      </c>
      <c r="BO26" s="26">
        <f>IF(BO$6="","",IF(WEEKDAY(BO$6,1)=1,BO23*BO22,0))</f>
      </c>
      <c r="BP26" s="26">
        <f>IF(BP$6="","",IF(WEEKDAY(BP$6,1)=1,BP23*BP22,0))</f>
      </c>
      <c r="BQ26" s="26">
        <f>IF(BQ$6="","",IF(WEEKDAY(BQ$6,1)=1,BQ23*BQ22,0))</f>
      </c>
      <c r="BR26" s="26">
        <f>IF(BR$6="","",IF(WEEKDAY(BR$6,1)=1,BR23*BR22,0))</f>
      </c>
      <c r="BS26" s="26">
        <f>IF(BS$6="","",IF(WEEKDAY(BS$6,1)=1,BS23*BS22,0))</f>
      </c>
      <c r="BT26" s="26">
        <f>IF(BT$6="","",IF(WEEKDAY(BT$6,1)=1,BT23*BT22,0))</f>
      </c>
      <c r="BU26" s="26">
        <f>IF(BU$6="","",IF(WEEKDAY(BU$6,1)=1,BU23*BU22,0))</f>
      </c>
      <c r="BV26" s="26">
        <f>IF(BV$6="","",IF(WEEKDAY(BV$6,1)=1,BV23*BV22,0))</f>
      </c>
      <c r="BW26" s="26">
        <f>IF(BW$6="","",IF(WEEKDAY(BW$6,1)=1,BW23*BW22,0))</f>
      </c>
      <c r="BX26" s="26">
        <f>IF(BX$6="","",IF(WEEKDAY(BX$6,1)=1,BX23*BX22,0))</f>
      </c>
      <c r="BY26" s="26">
        <f>IF(BY$6="","",IF(WEEKDAY(BY$6,1)=1,BY23*BY22,0))</f>
      </c>
      <c r="BZ26" s="26">
        <f>IF(BZ$6="","",IF(WEEKDAY(BZ$6,1)=1,BZ23*BZ22,0))</f>
      </c>
      <c r="CA26" s="26">
        <f>IF(CA$6="","",IF(WEEKDAY(CA$6,1)=1,CA23*CA22,0))</f>
      </c>
      <c r="CB26" s="26">
        <f>IF(CB$6="","",IF(WEEKDAY(CB$6,1)=1,CB23*CB22,0))</f>
      </c>
      <c r="CC26" s="26">
        <f>IF(CC$6="","",IF(WEEKDAY(CC$6,1)=1,CC23*CC22,0))</f>
      </c>
      <c r="CD26" s="26">
        <f>IF(CD$6="","",IF(WEEKDAY(CD$6,1)=1,CD23*CD22,0))</f>
      </c>
      <c r="CE26" s="26">
        <f>IF(CE$6="","",IF(WEEKDAY(CE$6,1)=1,CE23*CE22,0))</f>
      </c>
      <c r="CF26" s="26">
        <f>IF(CF$6="","",IF(WEEKDAY(CF$6,1)=1,CF23*CF22,0))</f>
      </c>
      <c r="CG26" s="26">
        <f>IF(CG$6="","",IF(WEEKDAY(CG$6,1)=1,CG23*CG22,0))</f>
      </c>
      <c r="CH26" s="26">
        <f>IF(CH$6="","",IF(WEEKDAY(CH$6,1)=1,CH23*CH22,0))</f>
      </c>
      <c r="CI26" s="26">
        <f>IF(CI$6="","",IF(WEEKDAY(CI$6,1)=1,CI23*CI22,0))</f>
      </c>
      <c r="CJ26" s="26">
        <f>IF(CJ$6="","",IF(WEEKDAY(CJ$6,1)=1,CJ23*CJ22,0))</f>
      </c>
      <c r="CK26" s="26">
        <f>IF(CK$6="","",IF(WEEKDAY(CK$6,1)=1,CK23*CK22,0))</f>
      </c>
      <c r="CL26" s="26">
        <f>IF(CL$6="","",IF(WEEKDAY(CL$6,1)=1,CL23*CL22,0))</f>
      </c>
      <c r="CM26" s="26">
        <f>IF(CM$6="","",IF(WEEKDAY(CM$6,1)=1,CM23*CM22,0))</f>
      </c>
      <c r="CN26" s="26">
        <f>IF(CN$6="","",IF(WEEKDAY(CN$6,1)=1,CN23*CN22,0))</f>
      </c>
      <c r="CO26" s="26">
        <f>IF(CO$6="","",IF(WEEKDAY(CO$6,1)=1,CO23*CO22,0))</f>
      </c>
      <c r="CP26" s="26">
        <f>IF(CP$6="","",IF(WEEKDAY(CP$6,1)=1,CP23*CP22,0))</f>
      </c>
      <c r="CQ26" s="26">
        <f>IF(CQ$6="","",IF(WEEKDAY(CQ$6,1)=1,CQ23*CQ22,0))</f>
      </c>
      <c r="CR26" s="26">
        <f>IF(CR$6="","",IF(WEEKDAY(CR$6,1)=1,CR23*CR22,0))</f>
      </c>
      <c r="CS26" s="26">
        <f>IF(CS$6="","",IF(WEEKDAY(CS$6,1)=1,CS23*CS22,0))</f>
      </c>
      <c r="CT26" s="26">
        <f>IF(CT$6="","",IF(WEEKDAY(CT$6,1)=1,CT23*CT22,0))</f>
      </c>
      <c r="CU26" s="26">
        <f>IF(CU$6="","",IF(WEEKDAY(CU$6,1)=1,CU23*CU22,0))</f>
      </c>
      <c r="CV26" s="26">
        <f>IF(CV$6="","",IF(WEEKDAY(CV$6,1)=1,CV23*CV22,0))</f>
      </c>
      <c r="CW26" s="26">
        <f>IF(CW$6="","",IF(WEEKDAY(CW$6,1)=1,CW23*CW22,0))</f>
      </c>
      <c r="CX26" s="8" t="s">
        <v>92</v>
      </c>
    </row>
    <row r="27" spans="2:102" x14ac:dyDescent="0.25">
      <c r="B27" s="26">
        <f>SUM(L27:CW27)</f>
      </c>
      <c r="D27" s="27">
        <f>B27*E27</f>
      </c>
      <c r="E27" s="27">
        <v>130</v>
      </c>
      <c r="F27" s="8" t="s">
        <v>42</v>
      </c>
      <c r="L27" s="28">
        <v>0</v>
      </c>
      <c r="M27" s="28">
        <v>0</v>
      </c>
      <c r="N27" s="28">
        <v>0</v>
      </c>
      <c r="O27" s="28">
        <v>0</v>
      </c>
      <c r="P27" s="28">
        <v>0</v>
      </c>
      <c r="Q27" s="28">
        <v>0</v>
      </c>
      <c r="R27" s="28">
        <v>0</v>
      </c>
      <c r="S27" s="28">
        <v>12</v>
      </c>
      <c r="T27" s="28">
        <v>12</v>
      </c>
      <c r="U27" s="28">
        <v>12</v>
      </c>
      <c r="V27" s="28">
        <v>12</v>
      </c>
      <c r="W27" s="28">
        <v>12</v>
      </c>
      <c r="X27" s="28">
        <v>0</v>
      </c>
      <c r="Y27" s="28">
        <v>0</v>
      </c>
      <c r="Z27" s="28">
        <v>8</v>
      </c>
      <c r="AA27" s="28">
        <v>8</v>
      </c>
      <c r="AB27" s="28">
        <v>8</v>
      </c>
      <c r="AC27" s="28">
        <v>8</v>
      </c>
      <c r="AD27" s="28">
        <v>8</v>
      </c>
      <c r="AE27" s="28">
        <v>0</v>
      </c>
      <c r="AF27" s="28">
        <v>0</v>
      </c>
      <c r="AG27" s="28">
        <v>0</v>
      </c>
      <c r="AH27" s="28">
        <v>0</v>
      </c>
      <c r="AI27" s="28">
        <v>0</v>
      </c>
      <c r="AJ27" s="28">
        <v>0</v>
      </c>
      <c r="AK27" s="28">
        <v>0</v>
      </c>
      <c r="AL27" s="28">
        <v>0</v>
      </c>
      <c r="AM27" s="28">
        <v>0</v>
      </c>
      <c r="AN27" s="28">
        <v>0</v>
      </c>
      <c r="AO27" s="28">
        <v>0</v>
      </c>
      <c r="AP27" s="28">
        <v>0</v>
      </c>
      <c r="AQ27" s="28">
        <v>0</v>
      </c>
      <c r="AR27" s="28">
        <v>0</v>
      </c>
      <c r="AS27" s="28">
        <v>0</v>
      </c>
      <c r="AT27" s="28">
        <v>0</v>
      </c>
      <c r="AU27" s="28">
        <v>2</v>
      </c>
      <c r="AV27" s="28">
        <v>2</v>
      </c>
      <c r="AW27" s="28">
        <v>2</v>
      </c>
      <c r="AX27" s="28">
        <v>2</v>
      </c>
      <c r="AY27" s="28">
        <v>2</v>
      </c>
      <c r="AZ27" s="28">
        <v>0</v>
      </c>
      <c r="BA27" s="28">
        <v>0</v>
      </c>
      <c r="BB27" s="28">
        <v>2</v>
      </c>
      <c r="BC27" s="28">
        <v>2</v>
      </c>
      <c r="BD27" s="28">
        <v>2</v>
      </c>
      <c r="BE27" s="28">
        <v>2</v>
      </c>
      <c r="BF27" s="28">
        <v>2</v>
      </c>
      <c r="BG27" s="28">
        <v>0</v>
      </c>
      <c r="BH27" s="28">
        <v>0</v>
      </c>
      <c r="BI27" s="28">
        <v>20</v>
      </c>
      <c r="BJ27" s="28">
        <v>20</v>
      </c>
      <c r="BK27" s="28">
        <v>20</v>
      </c>
      <c r="BL27" s="28">
        <v>20</v>
      </c>
      <c r="BM27" s="28">
        <v>20</v>
      </c>
      <c r="BN27" s="28">
        <v>20</v>
      </c>
      <c r="BO27" s="28">
        <v>20</v>
      </c>
      <c r="BP27" s="28">
        <v>20</v>
      </c>
      <c r="BQ27" s="28">
        <v>20</v>
      </c>
      <c r="BR27" s="28">
        <v>20</v>
      </c>
      <c r="BS27" s="28">
        <v>45</v>
      </c>
      <c r="BT27" s="28">
        <v>45</v>
      </c>
      <c r="BU27" s="28">
        <v>45</v>
      </c>
      <c r="BV27" s="28">
        <v>45</v>
      </c>
      <c r="BW27" s="28">
        <v>45</v>
      </c>
      <c r="BX27" s="28">
        <v>45</v>
      </c>
      <c r="BY27" s="28">
        <v>45</v>
      </c>
      <c r="BZ27" s="28">
        <v>45</v>
      </c>
      <c r="CA27" s="28">
        <v>45</v>
      </c>
      <c r="CB27" s="28">
        <v>45</v>
      </c>
      <c r="CC27" s="28">
        <v>45</v>
      </c>
      <c r="CD27" s="28">
        <v>45</v>
      </c>
      <c r="CE27" s="28">
        <v>45</v>
      </c>
      <c r="CF27" s="28">
        <v>45</v>
      </c>
      <c r="CG27" s="28">
        <v>45</v>
      </c>
      <c r="CH27" s="28">
        <v>45</v>
      </c>
      <c r="CI27" s="28">
        <v>45</v>
      </c>
      <c r="CJ27" s="28">
        <v>45</v>
      </c>
      <c r="CK27" s="28">
        <v>45</v>
      </c>
      <c r="CL27" s="28">
        <v>45</v>
      </c>
      <c r="CM27" s="28">
        <v>45</v>
      </c>
      <c r="CN27" s="28">
        <v>45</v>
      </c>
      <c r="CO27" s="28">
        <v>45</v>
      </c>
      <c r="CP27" s="28">
        <v>45</v>
      </c>
      <c r="CQ27" s="28">
        <v>45</v>
      </c>
      <c r="CR27" s="28">
        <v>45</v>
      </c>
      <c r="CS27" s="28">
        <v>45</v>
      </c>
      <c r="CT27" s="28">
        <v>45</v>
      </c>
      <c r="CU27" s="28">
        <v>45</v>
      </c>
      <c r="CV27" s="28">
        <v>45</v>
      </c>
      <c r="CW27" s="28">
        <v>45</v>
      </c>
      <c r="CX27" s="8" t="s">
        <v>92</v>
      </c>
    </row>
    <row r="28" spans="1:102" x14ac:dyDescent="0.25">
      <c r="A28" s="20" t="s">
        <v>47</v>
      </c>
      <c r="B28" s="21">
        <f>G28+H28+I28</f>
      </c>
      <c r="C28" s="20" t="s">
        <v>91</v>
      </c>
      <c r="D28" s="22">
        <f>K28</f>
      </c>
      <c r="F28" s="20" t="s">
        <v>34</v>
      </c>
      <c r="G28" s="21">
        <f>B31</f>
      </c>
      <c r="H28" s="21">
        <f>B32</f>
      </c>
      <c r="I28" s="21">
        <f>B33</f>
      </c>
      <c r="J28" s="21">
        <f>B34</f>
      </c>
      <c r="K28" s="22">
        <f>D31+D32+D33</f>
      </c>
      <c r="CX28" s="20" t="s">
        <v>93</v>
      </c>
    </row>
    <row r="29" spans="6:102" x14ac:dyDescent="0.25">
      <c r="F29" s="23" t="s">
        <v>36</v>
      </c>
      <c r="L29" s="24">
        <v>0</v>
      </c>
      <c r="M29" s="24">
        <v>0</v>
      </c>
      <c r="N29" s="24">
        <v>0</v>
      </c>
      <c r="O29" s="24">
        <v>0</v>
      </c>
      <c r="P29" s="24">
        <v>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0</v>
      </c>
      <c r="Z29" s="24">
        <v>0</v>
      </c>
      <c r="AA29" s="24">
        <v>0</v>
      </c>
      <c r="AB29" s="24">
        <v>0</v>
      </c>
      <c r="AC29" s="24">
        <v>0</v>
      </c>
      <c r="AD29" s="24">
        <v>0</v>
      </c>
      <c r="AE29" s="24">
        <v>0</v>
      </c>
      <c r="AF29" s="24">
        <v>0</v>
      </c>
      <c r="AG29" s="24">
        <v>0</v>
      </c>
      <c r="AH29" s="24">
        <v>0</v>
      </c>
      <c r="AI29" s="24">
        <v>0</v>
      </c>
      <c r="AJ29" s="24">
        <v>0</v>
      </c>
      <c r="AK29" s="24">
        <v>0</v>
      </c>
      <c r="AL29" s="24">
        <v>0</v>
      </c>
      <c r="AM29" s="24">
        <v>0</v>
      </c>
      <c r="AN29" s="24">
        <v>0</v>
      </c>
      <c r="AO29" s="24">
        <v>0</v>
      </c>
      <c r="AP29" s="24">
        <v>0</v>
      </c>
      <c r="AQ29" s="24">
        <v>0</v>
      </c>
      <c r="AR29" s="24">
        <v>0</v>
      </c>
      <c r="AS29" s="24">
        <v>0</v>
      </c>
      <c r="AT29" s="24">
        <v>0</v>
      </c>
      <c r="AU29" s="24">
        <v>0</v>
      </c>
      <c r="AV29" s="24">
        <v>0</v>
      </c>
      <c r="AW29" s="24">
        <v>0</v>
      </c>
      <c r="AX29" s="24">
        <v>0</v>
      </c>
      <c r="AY29" s="24">
        <v>0</v>
      </c>
      <c r="AZ29" s="24">
        <v>0</v>
      </c>
      <c r="BA29" s="24">
        <v>0</v>
      </c>
      <c r="BB29" s="24">
        <v>0</v>
      </c>
      <c r="BC29" s="24">
        <v>0</v>
      </c>
      <c r="BD29" s="24">
        <v>0</v>
      </c>
      <c r="BE29" s="24">
        <v>0</v>
      </c>
      <c r="BF29" s="24">
        <v>0</v>
      </c>
      <c r="BG29" s="24">
        <v>0</v>
      </c>
      <c r="BH29" s="24">
        <v>0</v>
      </c>
      <c r="BI29" s="24">
        <v>20</v>
      </c>
      <c r="BJ29" s="24">
        <v>20</v>
      </c>
      <c r="BK29" s="24">
        <v>1</v>
      </c>
      <c r="BL29" s="24">
        <v>1</v>
      </c>
      <c r="BM29" s="24">
        <v>1</v>
      </c>
      <c r="BN29" s="24">
        <v>1</v>
      </c>
      <c r="BO29" s="24">
        <v>1</v>
      </c>
      <c r="BP29" s="24">
        <v>1</v>
      </c>
      <c r="BQ29" s="24">
        <v>1</v>
      </c>
      <c r="BR29" s="24">
        <v>1</v>
      </c>
      <c r="BS29" s="24">
        <v>57</v>
      </c>
      <c r="BT29" s="24">
        <v>57</v>
      </c>
      <c r="BU29" s="24">
        <v>57</v>
      </c>
      <c r="BV29" s="24">
        <v>57</v>
      </c>
      <c r="BW29" s="24">
        <v>57</v>
      </c>
      <c r="BX29" s="24">
        <v>57</v>
      </c>
      <c r="BY29" s="24">
        <v>57</v>
      </c>
      <c r="BZ29" s="24">
        <v>57</v>
      </c>
      <c r="CA29" s="24">
        <v>57</v>
      </c>
      <c r="CB29" s="24">
        <v>57</v>
      </c>
      <c r="CC29" s="24">
        <v>57</v>
      </c>
      <c r="CD29" s="24">
        <v>57</v>
      </c>
      <c r="CE29" s="24">
        <v>57</v>
      </c>
      <c r="CF29" s="24">
        <v>57</v>
      </c>
      <c r="CG29" s="24">
        <v>57</v>
      </c>
      <c r="CH29" s="24">
        <v>57</v>
      </c>
      <c r="CI29" s="24">
        <v>57</v>
      </c>
      <c r="CJ29" s="24">
        <v>57</v>
      </c>
      <c r="CK29" s="24">
        <v>57</v>
      </c>
      <c r="CL29" s="24">
        <v>57</v>
      </c>
      <c r="CM29" s="24">
        <v>57</v>
      </c>
      <c r="CN29" s="24">
        <v>57</v>
      </c>
      <c r="CO29" s="24">
        <v>57</v>
      </c>
      <c r="CP29" s="24">
        <v>57</v>
      </c>
      <c r="CQ29" s="24">
        <v>57</v>
      </c>
      <c r="CR29" s="24">
        <v>57</v>
      </c>
      <c r="CS29" s="24">
        <v>57</v>
      </c>
      <c r="CT29" s="24">
        <v>57</v>
      </c>
      <c r="CU29" s="24">
        <v>57</v>
      </c>
      <c r="CV29" s="24">
        <v>57</v>
      </c>
      <c r="CW29" s="24">
        <v>50</v>
      </c>
      <c r="CX29" s="23" t="s">
        <v>93</v>
      </c>
    </row>
    <row r="30" spans="1:102" x14ac:dyDescent="0.25">
      <c r="A30" s="23" t="s">
        <v>37</v>
      </c>
      <c r="F30" s="23" t="s">
        <v>38</v>
      </c>
      <c r="L30" s="25">
        <v>0</v>
      </c>
      <c r="M30" s="25">
        <v>0</v>
      </c>
      <c r="N30" s="25">
        <v>0</v>
      </c>
      <c r="O30" s="25">
        <v>0</v>
      </c>
      <c r="P30" s="25">
        <v>0</v>
      </c>
      <c r="Q30" s="25">
        <v>0</v>
      </c>
      <c r="R30" s="25">
        <v>0</v>
      </c>
      <c r="S30" s="25">
        <v>0</v>
      </c>
      <c r="T30" s="25">
        <v>0</v>
      </c>
      <c r="U30" s="25">
        <v>0</v>
      </c>
      <c r="V30" s="25">
        <v>0</v>
      </c>
      <c r="W30" s="25">
        <v>0</v>
      </c>
      <c r="X30" s="25">
        <v>0</v>
      </c>
      <c r="Y30" s="25">
        <v>0</v>
      </c>
      <c r="Z30" s="25">
        <v>0</v>
      </c>
      <c r="AA30" s="25">
        <v>0</v>
      </c>
      <c r="AB30" s="25">
        <v>0</v>
      </c>
      <c r="AC30" s="25">
        <v>0</v>
      </c>
      <c r="AD30" s="25">
        <v>0</v>
      </c>
      <c r="AE30" s="25">
        <v>0</v>
      </c>
      <c r="AF30" s="25">
        <v>0</v>
      </c>
      <c r="AG30" s="25">
        <v>0</v>
      </c>
      <c r="AH30" s="25">
        <v>0</v>
      </c>
      <c r="AI30" s="25">
        <v>0</v>
      </c>
      <c r="AJ30" s="25">
        <v>0</v>
      </c>
      <c r="AK30" s="25">
        <v>0</v>
      </c>
      <c r="AL30" s="25">
        <v>0</v>
      </c>
      <c r="AM30" s="25">
        <v>0</v>
      </c>
      <c r="AN30" s="25">
        <v>0</v>
      </c>
      <c r="AO30" s="25">
        <v>0</v>
      </c>
      <c r="AP30" s="25">
        <v>0</v>
      </c>
      <c r="AQ30" s="25">
        <v>0</v>
      </c>
      <c r="AR30" s="25">
        <v>0</v>
      </c>
      <c r="AS30" s="25">
        <v>0</v>
      </c>
      <c r="AT30" s="25">
        <v>0</v>
      </c>
      <c r="AU30" s="25">
        <v>0</v>
      </c>
      <c r="AV30" s="25">
        <v>0</v>
      </c>
      <c r="AW30" s="25">
        <v>0</v>
      </c>
      <c r="AX30" s="25">
        <v>0</v>
      </c>
      <c r="AY30" s="25">
        <v>0</v>
      </c>
      <c r="AZ30" s="25">
        <v>0</v>
      </c>
      <c r="BA30" s="25">
        <v>0</v>
      </c>
      <c r="BB30" s="25">
        <v>0</v>
      </c>
      <c r="BC30" s="25">
        <v>0</v>
      </c>
      <c r="BD30" s="25">
        <v>0</v>
      </c>
      <c r="BE30" s="25">
        <v>0</v>
      </c>
      <c r="BF30" s="25">
        <v>0</v>
      </c>
      <c r="BG30" s="25">
        <v>0</v>
      </c>
      <c r="BH30" s="25">
        <v>0</v>
      </c>
      <c r="BI30" s="25">
        <v>10</v>
      </c>
      <c r="BJ30" s="25">
        <v>10</v>
      </c>
      <c r="BK30" s="25">
        <v>10</v>
      </c>
      <c r="BL30" s="25">
        <v>10</v>
      </c>
      <c r="BM30" s="25">
        <v>10</v>
      </c>
      <c r="BN30" s="25">
        <v>10</v>
      </c>
      <c r="BO30" s="25">
        <v>10</v>
      </c>
      <c r="BP30" s="25">
        <v>10</v>
      </c>
      <c r="BQ30" s="25">
        <v>10</v>
      </c>
      <c r="BR30" s="25">
        <v>10</v>
      </c>
      <c r="BS30" s="25">
        <v>10</v>
      </c>
      <c r="BT30" s="25">
        <v>10</v>
      </c>
      <c r="BU30" s="25">
        <v>10</v>
      </c>
      <c r="BV30" s="25">
        <v>10</v>
      </c>
      <c r="BW30" s="25">
        <v>10</v>
      </c>
      <c r="BX30" s="25">
        <v>10</v>
      </c>
      <c r="BY30" s="25">
        <v>10</v>
      </c>
      <c r="BZ30" s="25">
        <v>10</v>
      </c>
      <c r="CA30" s="25">
        <v>10</v>
      </c>
      <c r="CB30" s="25">
        <v>10</v>
      </c>
      <c r="CC30" s="25">
        <v>10</v>
      </c>
      <c r="CD30" s="25">
        <v>10</v>
      </c>
      <c r="CE30" s="25">
        <v>10</v>
      </c>
      <c r="CF30" s="25">
        <v>10</v>
      </c>
      <c r="CG30" s="25">
        <v>10</v>
      </c>
      <c r="CH30" s="25">
        <v>10</v>
      </c>
      <c r="CI30" s="25">
        <v>10</v>
      </c>
      <c r="CJ30" s="25">
        <v>10</v>
      </c>
      <c r="CK30" s="25">
        <v>10</v>
      </c>
      <c r="CL30" s="25">
        <v>10</v>
      </c>
      <c r="CM30" s="25">
        <v>10</v>
      </c>
      <c r="CN30" s="25">
        <v>10</v>
      </c>
      <c r="CO30" s="25">
        <v>10</v>
      </c>
      <c r="CP30" s="25">
        <v>10</v>
      </c>
      <c r="CQ30" s="25">
        <v>10</v>
      </c>
      <c r="CR30" s="25">
        <v>10</v>
      </c>
      <c r="CS30" s="25">
        <v>10</v>
      </c>
      <c r="CT30" s="25">
        <v>10</v>
      </c>
      <c r="CU30" s="25">
        <v>10</v>
      </c>
      <c r="CV30" s="25">
        <v>10</v>
      </c>
      <c r="CW30" s="25">
        <v>10</v>
      </c>
      <c r="CX30" s="23" t="s">
        <v>93</v>
      </c>
    </row>
    <row r="31" spans="2:102" x14ac:dyDescent="0.25">
      <c r="B31" s="26">
        <f>SUM(L31:CW31)</f>
      </c>
      <c r="D31" s="27">
        <f>B31*E31</f>
      </c>
      <c r="E31" s="27">
        <f>'Rate Tables'!C25</f>
      </c>
      <c r="F31" s="8" t="s">
        <v>39</v>
      </c>
      <c r="L31" s="26">
        <f>IF(L$6="","",IF(OR(WEEKDAY(L$6,1)=1,WEEKDAY(L$6,1)=7),0,MIN(8,L30)*L29))</f>
      </c>
      <c r="M31" s="26">
        <f>IF(M$6="","",IF(OR(WEEKDAY(M$6,1)=1,WEEKDAY(M$6,1)=7),0,MIN(8,M30)*M29))</f>
      </c>
      <c r="N31" s="26">
        <f>IF(N$6="","",IF(OR(WEEKDAY(N$6,1)=1,WEEKDAY(N$6,1)=7),0,MIN(8,N30)*N29))</f>
      </c>
      <c r="O31" s="26">
        <f>IF(O$6="","",IF(OR(WEEKDAY(O$6,1)=1,WEEKDAY(O$6,1)=7),0,MIN(8,O30)*O29))</f>
      </c>
      <c r="P31" s="26">
        <f>IF(P$6="","",IF(OR(WEEKDAY(P$6,1)=1,WEEKDAY(P$6,1)=7),0,MIN(8,P30)*P29))</f>
      </c>
      <c r="Q31" s="26">
        <f>IF(Q$6="","",IF(OR(WEEKDAY(Q$6,1)=1,WEEKDAY(Q$6,1)=7),0,MIN(8,Q30)*Q29))</f>
      </c>
      <c r="R31" s="26">
        <f>IF(R$6="","",IF(OR(WEEKDAY(R$6,1)=1,WEEKDAY(R$6,1)=7),0,MIN(8,R30)*R29))</f>
      </c>
      <c r="S31" s="26">
        <f>IF(S$6="","",IF(OR(WEEKDAY(S$6,1)=1,WEEKDAY(S$6,1)=7),0,MIN(8,S30)*S29))</f>
      </c>
      <c r="T31" s="26">
        <f>IF(T$6="","",IF(OR(WEEKDAY(T$6,1)=1,WEEKDAY(T$6,1)=7),0,MIN(8,T30)*T29))</f>
      </c>
      <c r="U31" s="26">
        <f>IF(U$6="","",IF(OR(WEEKDAY(U$6,1)=1,WEEKDAY(U$6,1)=7),0,MIN(8,U30)*U29))</f>
      </c>
      <c r="V31" s="26">
        <f>IF(V$6="","",IF(OR(WEEKDAY(V$6,1)=1,WEEKDAY(V$6,1)=7),0,MIN(8,V30)*V29))</f>
      </c>
      <c r="W31" s="26">
        <f>IF(W$6="","",IF(OR(WEEKDAY(W$6,1)=1,WEEKDAY(W$6,1)=7),0,MIN(8,W30)*W29))</f>
      </c>
      <c r="X31" s="26">
        <f>IF(X$6="","",IF(OR(WEEKDAY(X$6,1)=1,WEEKDAY(X$6,1)=7),0,MIN(8,X30)*X29))</f>
      </c>
      <c r="Y31" s="26">
        <f>IF(Y$6="","",IF(OR(WEEKDAY(Y$6,1)=1,WEEKDAY(Y$6,1)=7),0,MIN(8,Y30)*Y29))</f>
      </c>
      <c r="Z31" s="26">
        <f>IF(Z$6="","",IF(OR(WEEKDAY(Z$6,1)=1,WEEKDAY(Z$6,1)=7),0,MIN(8,Z30)*Z29))</f>
      </c>
      <c r="AA31" s="26">
        <f>IF(AA$6="","",IF(OR(WEEKDAY(AA$6,1)=1,WEEKDAY(AA$6,1)=7),0,MIN(8,AA30)*AA29))</f>
      </c>
      <c r="AB31" s="26">
        <f>IF(AB$6="","",IF(OR(WEEKDAY(AB$6,1)=1,WEEKDAY(AB$6,1)=7),0,MIN(8,AB30)*AB29))</f>
      </c>
      <c r="AC31" s="26">
        <f>IF(AC$6="","",IF(OR(WEEKDAY(AC$6,1)=1,WEEKDAY(AC$6,1)=7),0,MIN(8,AC30)*AC29))</f>
      </c>
      <c r="AD31" s="26">
        <f>IF(AD$6="","",IF(OR(WEEKDAY(AD$6,1)=1,WEEKDAY(AD$6,1)=7),0,MIN(8,AD30)*AD29))</f>
      </c>
      <c r="AE31" s="26">
        <f>IF(AE$6="","",IF(OR(WEEKDAY(AE$6,1)=1,WEEKDAY(AE$6,1)=7),0,MIN(8,AE30)*AE29))</f>
      </c>
      <c r="AF31" s="26">
        <f>IF(AF$6="","",IF(OR(WEEKDAY(AF$6,1)=1,WEEKDAY(AF$6,1)=7),0,MIN(8,AF30)*AF29))</f>
      </c>
      <c r="AG31" s="26">
        <f>IF(AG$6="","",IF(OR(WEEKDAY(AG$6,1)=1,WEEKDAY(AG$6,1)=7),0,MIN(8,AG30)*AG29))</f>
      </c>
      <c r="AH31" s="26">
        <f>IF(AH$6="","",IF(OR(WEEKDAY(AH$6,1)=1,WEEKDAY(AH$6,1)=7),0,MIN(8,AH30)*AH29))</f>
      </c>
      <c r="AI31" s="26">
        <f>IF(AI$6="","",IF(OR(WEEKDAY(AI$6,1)=1,WEEKDAY(AI$6,1)=7),0,MIN(8,AI30)*AI29))</f>
      </c>
      <c r="AJ31" s="26">
        <f>IF(AJ$6="","",IF(OR(WEEKDAY(AJ$6,1)=1,WEEKDAY(AJ$6,1)=7),0,MIN(8,AJ30)*AJ29))</f>
      </c>
      <c r="AK31" s="26">
        <f>IF(AK$6="","",IF(OR(WEEKDAY(AK$6,1)=1,WEEKDAY(AK$6,1)=7),0,MIN(8,AK30)*AK29))</f>
      </c>
      <c r="AL31" s="26">
        <f>IF(AL$6="","",IF(OR(WEEKDAY(AL$6,1)=1,WEEKDAY(AL$6,1)=7),0,MIN(8,AL30)*AL29))</f>
      </c>
      <c r="AM31" s="26">
        <f>IF(AM$6="","",IF(OR(WEEKDAY(AM$6,1)=1,WEEKDAY(AM$6,1)=7),0,MIN(8,AM30)*AM29))</f>
      </c>
      <c r="AN31" s="26">
        <f>IF(AN$6="","",IF(OR(WEEKDAY(AN$6,1)=1,WEEKDAY(AN$6,1)=7),0,MIN(8,AN30)*AN29))</f>
      </c>
      <c r="AO31" s="26">
        <f>IF(AO$6="","",IF(OR(WEEKDAY(AO$6,1)=1,WEEKDAY(AO$6,1)=7),0,MIN(8,AO30)*AO29))</f>
      </c>
      <c r="AP31" s="26">
        <f>IF(AP$6="","",IF(OR(WEEKDAY(AP$6,1)=1,WEEKDAY(AP$6,1)=7),0,MIN(8,AP30)*AP29))</f>
      </c>
      <c r="AQ31" s="26">
        <f>IF(AQ$6="","",IF(OR(WEEKDAY(AQ$6,1)=1,WEEKDAY(AQ$6,1)=7),0,MIN(8,AQ30)*AQ29))</f>
      </c>
      <c r="AR31" s="26">
        <f>IF(AR$6="","",IF(OR(WEEKDAY(AR$6,1)=1,WEEKDAY(AR$6,1)=7),0,MIN(8,AR30)*AR29))</f>
      </c>
      <c r="AS31" s="26">
        <f>IF(AS$6="","",IF(OR(WEEKDAY(AS$6,1)=1,WEEKDAY(AS$6,1)=7),0,MIN(8,AS30)*AS29))</f>
      </c>
      <c r="AT31" s="26">
        <f>IF(AT$6="","",IF(OR(WEEKDAY(AT$6,1)=1,WEEKDAY(AT$6,1)=7),0,MIN(8,AT30)*AT29))</f>
      </c>
      <c r="AU31" s="26">
        <f>IF(AU$6="","",IF(OR(WEEKDAY(AU$6,1)=1,WEEKDAY(AU$6,1)=7),0,MIN(8,AU30)*AU29))</f>
      </c>
      <c r="AV31" s="26">
        <f>IF(AV$6="","",IF(OR(WEEKDAY(AV$6,1)=1,WEEKDAY(AV$6,1)=7),0,MIN(8,AV30)*AV29))</f>
      </c>
      <c r="AW31" s="26">
        <f>IF(AW$6="","",IF(OR(WEEKDAY(AW$6,1)=1,WEEKDAY(AW$6,1)=7),0,MIN(8,AW30)*AW29))</f>
      </c>
      <c r="AX31" s="26">
        <f>IF(AX$6="","",IF(OR(WEEKDAY(AX$6,1)=1,WEEKDAY(AX$6,1)=7),0,MIN(8,AX30)*AX29))</f>
      </c>
      <c r="AY31" s="26">
        <f>IF(AY$6="","",IF(OR(WEEKDAY(AY$6,1)=1,WEEKDAY(AY$6,1)=7),0,MIN(8,AY30)*AY29))</f>
      </c>
      <c r="AZ31" s="26">
        <f>IF(AZ$6="","",IF(OR(WEEKDAY(AZ$6,1)=1,WEEKDAY(AZ$6,1)=7),0,MIN(8,AZ30)*AZ29))</f>
      </c>
      <c r="BA31" s="26">
        <f>IF(BA$6="","",IF(OR(WEEKDAY(BA$6,1)=1,WEEKDAY(BA$6,1)=7),0,MIN(8,BA30)*BA29))</f>
      </c>
      <c r="BB31" s="26">
        <f>IF(BB$6="","",IF(OR(WEEKDAY(BB$6,1)=1,WEEKDAY(BB$6,1)=7),0,MIN(8,BB30)*BB29))</f>
      </c>
      <c r="BC31" s="26">
        <f>IF(BC$6="","",IF(OR(WEEKDAY(BC$6,1)=1,WEEKDAY(BC$6,1)=7),0,MIN(8,BC30)*BC29))</f>
      </c>
      <c r="BD31" s="26">
        <f>IF(BD$6="","",IF(OR(WEEKDAY(BD$6,1)=1,WEEKDAY(BD$6,1)=7),0,MIN(8,BD30)*BD29))</f>
      </c>
      <c r="BE31" s="26">
        <f>IF(BE$6="","",IF(OR(WEEKDAY(BE$6,1)=1,WEEKDAY(BE$6,1)=7),0,MIN(8,BE30)*BE29))</f>
      </c>
      <c r="BF31" s="26">
        <f>IF(BF$6="","",IF(OR(WEEKDAY(BF$6,1)=1,WEEKDAY(BF$6,1)=7),0,MIN(8,BF30)*BF29))</f>
      </c>
      <c r="BG31" s="26">
        <f>IF(BG$6="","",IF(OR(WEEKDAY(BG$6,1)=1,WEEKDAY(BG$6,1)=7),0,MIN(8,BG30)*BG29))</f>
      </c>
      <c r="BH31" s="26">
        <f>IF(BH$6="","",IF(OR(WEEKDAY(BH$6,1)=1,WEEKDAY(BH$6,1)=7),0,MIN(8,BH30)*BH29))</f>
      </c>
      <c r="BI31" s="26">
        <f>IF(BI$6="","",IF(OR(WEEKDAY(BI$6,1)=1,WEEKDAY(BI$6,1)=7),0,MIN(8,BI30)*BI29))</f>
      </c>
      <c r="BJ31" s="26">
        <f>IF(BJ$6="","",IF(OR(WEEKDAY(BJ$6,1)=1,WEEKDAY(BJ$6,1)=7),0,MIN(8,BJ30)*BJ29))</f>
      </c>
      <c r="BK31" s="26">
        <f>IF(BK$6="","",IF(OR(WEEKDAY(BK$6,1)=1,WEEKDAY(BK$6,1)=7),0,MIN(8,BK30)*BK29))</f>
      </c>
      <c r="BL31" s="26">
        <f>IF(BL$6="","",IF(OR(WEEKDAY(BL$6,1)=1,WEEKDAY(BL$6,1)=7),0,MIN(8,BL30)*BL29))</f>
      </c>
      <c r="BM31" s="26">
        <f>IF(BM$6="","",IF(OR(WEEKDAY(BM$6,1)=1,WEEKDAY(BM$6,1)=7),0,MIN(8,BM30)*BM29))</f>
      </c>
      <c r="BN31" s="26">
        <f>IF(BN$6="","",IF(OR(WEEKDAY(BN$6,1)=1,WEEKDAY(BN$6,1)=7),0,MIN(8,BN30)*BN29))</f>
      </c>
      <c r="BO31" s="26">
        <f>IF(BO$6="","",IF(OR(WEEKDAY(BO$6,1)=1,WEEKDAY(BO$6,1)=7),0,MIN(8,BO30)*BO29))</f>
      </c>
      <c r="BP31" s="26">
        <f>IF(BP$6="","",IF(OR(WEEKDAY(BP$6,1)=1,WEEKDAY(BP$6,1)=7),0,MIN(8,BP30)*BP29))</f>
      </c>
      <c r="BQ31" s="26">
        <f>IF(BQ$6="","",IF(OR(WEEKDAY(BQ$6,1)=1,WEEKDAY(BQ$6,1)=7),0,MIN(8,BQ30)*BQ29))</f>
      </c>
      <c r="BR31" s="26">
        <f>IF(BR$6="","",IF(OR(WEEKDAY(BR$6,1)=1,WEEKDAY(BR$6,1)=7),0,MIN(8,BR30)*BR29))</f>
      </c>
      <c r="BS31" s="26">
        <f>IF(BS$6="","",IF(OR(WEEKDAY(BS$6,1)=1,WEEKDAY(BS$6,1)=7),0,MIN(8,BS30)*BS29))</f>
      </c>
      <c r="BT31" s="26">
        <f>IF(BT$6="","",IF(OR(WEEKDAY(BT$6,1)=1,WEEKDAY(BT$6,1)=7),0,MIN(8,BT30)*BT29))</f>
      </c>
      <c r="BU31" s="26">
        <f>IF(BU$6="","",IF(OR(WEEKDAY(BU$6,1)=1,WEEKDAY(BU$6,1)=7),0,MIN(8,BU30)*BU29))</f>
      </c>
      <c r="BV31" s="26">
        <f>IF(BV$6="","",IF(OR(WEEKDAY(BV$6,1)=1,WEEKDAY(BV$6,1)=7),0,MIN(8,BV30)*BV29))</f>
      </c>
      <c r="BW31" s="26">
        <f>IF(BW$6="","",IF(OR(WEEKDAY(BW$6,1)=1,WEEKDAY(BW$6,1)=7),0,MIN(8,BW30)*BW29))</f>
      </c>
      <c r="BX31" s="26">
        <f>IF(BX$6="","",IF(OR(WEEKDAY(BX$6,1)=1,WEEKDAY(BX$6,1)=7),0,MIN(8,BX30)*BX29))</f>
      </c>
      <c r="BY31" s="26">
        <f>IF(BY$6="","",IF(OR(WEEKDAY(BY$6,1)=1,WEEKDAY(BY$6,1)=7),0,MIN(8,BY30)*BY29))</f>
      </c>
      <c r="BZ31" s="26">
        <f>IF(BZ$6="","",IF(OR(WEEKDAY(BZ$6,1)=1,WEEKDAY(BZ$6,1)=7),0,MIN(8,BZ30)*BZ29))</f>
      </c>
      <c r="CA31" s="26">
        <f>IF(CA$6="","",IF(OR(WEEKDAY(CA$6,1)=1,WEEKDAY(CA$6,1)=7),0,MIN(8,CA30)*CA29))</f>
      </c>
      <c r="CB31" s="26">
        <f>IF(CB$6="","",IF(OR(WEEKDAY(CB$6,1)=1,WEEKDAY(CB$6,1)=7),0,MIN(8,CB30)*CB29))</f>
      </c>
      <c r="CC31" s="26">
        <f>IF(CC$6="","",IF(OR(WEEKDAY(CC$6,1)=1,WEEKDAY(CC$6,1)=7),0,MIN(8,CC30)*CC29))</f>
      </c>
      <c r="CD31" s="26">
        <f>IF(CD$6="","",IF(OR(WEEKDAY(CD$6,1)=1,WEEKDAY(CD$6,1)=7),0,MIN(8,CD30)*CD29))</f>
      </c>
      <c r="CE31" s="26">
        <f>IF(CE$6="","",IF(OR(WEEKDAY(CE$6,1)=1,WEEKDAY(CE$6,1)=7),0,MIN(8,CE30)*CE29))</f>
      </c>
      <c r="CF31" s="26">
        <f>IF(CF$6="","",IF(OR(WEEKDAY(CF$6,1)=1,WEEKDAY(CF$6,1)=7),0,MIN(8,CF30)*CF29))</f>
      </c>
      <c r="CG31" s="26">
        <f>IF(CG$6="","",IF(OR(WEEKDAY(CG$6,1)=1,WEEKDAY(CG$6,1)=7),0,MIN(8,CG30)*CG29))</f>
      </c>
      <c r="CH31" s="26">
        <f>IF(CH$6="","",IF(OR(WEEKDAY(CH$6,1)=1,WEEKDAY(CH$6,1)=7),0,MIN(8,CH30)*CH29))</f>
      </c>
      <c r="CI31" s="26">
        <f>IF(CI$6="","",IF(OR(WEEKDAY(CI$6,1)=1,WEEKDAY(CI$6,1)=7),0,MIN(8,CI30)*CI29))</f>
      </c>
      <c r="CJ31" s="26">
        <f>IF(CJ$6="","",IF(OR(WEEKDAY(CJ$6,1)=1,WEEKDAY(CJ$6,1)=7),0,MIN(8,CJ30)*CJ29))</f>
      </c>
      <c r="CK31" s="26">
        <f>IF(CK$6="","",IF(OR(WEEKDAY(CK$6,1)=1,WEEKDAY(CK$6,1)=7),0,MIN(8,CK30)*CK29))</f>
      </c>
      <c r="CL31" s="26">
        <f>IF(CL$6="","",IF(OR(WEEKDAY(CL$6,1)=1,WEEKDAY(CL$6,1)=7),0,MIN(8,CL30)*CL29))</f>
      </c>
      <c r="CM31" s="26">
        <f>IF(CM$6="","",IF(OR(WEEKDAY(CM$6,1)=1,WEEKDAY(CM$6,1)=7),0,MIN(8,CM30)*CM29))</f>
      </c>
      <c r="CN31" s="26">
        <f>IF(CN$6="","",IF(OR(WEEKDAY(CN$6,1)=1,WEEKDAY(CN$6,1)=7),0,MIN(8,CN30)*CN29))</f>
      </c>
      <c r="CO31" s="26">
        <f>IF(CO$6="","",IF(OR(WEEKDAY(CO$6,1)=1,WEEKDAY(CO$6,1)=7),0,MIN(8,CO30)*CO29))</f>
      </c>
      <c r="CP31" s="26">
        <f>IF(CP$6="","",IF(OR(WEEKDAY(CP$6,1)=1,WEEKDAY(CP$6,1)=7),0,MIN(8,CP30)*CP29))</f>
      </c>
      <c r="CQ31" s="26">
        <f>IF(CQ$6="","",IF(OR(WEEKDAY(CQ$6,1)=1,WEEKDAY(CQ$6,1)=7),0,MIN(8,CQ30)*CQ29))</f>
      </c>
      <c r="CR31" s="26">
        <f>IF(CR$6="","",IF(OR(WEEKDAY(CR$6,1)=1,WEEKDAY(CR$6,1)=7),0,MIN(8,CR30)*CR29))</f>
      </c>
      <c r="CS31" s="26">
        <f>IF(CS$6="","",IF(OR(WEEKDAY(CS$6,1)=1,WEEKDAY(CS$6,1)=7),0,MIN(8,CS30)*CS29))</f>
      </c>
      <c r="CT31" s="26">
        <f>IF(CT$6="","",IF(OR(WEEKDAY(CT$6,1)=1,WEEKDAY(CT$6,1)=7),0,MIN(8,CT30)*CT29))</f>
      </c>
      <c r="CU31" s="26">
        <f>IF(CU$6="","",IF(OR(WEEKDAY(CU$6,1)=1,WEEKDAY(CU$6,1)=7),0,MIN(8,CU30)*CU29))</f>
      </c>
      <c r="CV31" s="26">
        <f>IF(CV$6="","",IF(OR(WEEKDAY(CV$6,1)=1,WEEKDAY(CV$6,1)=7),0,MIN(8,CV30)*CV29))</f>
      </c>
      <c r="CW31" s="26">
        <f>IF(CW$6="","",IF(OR(WEEKDAY(CW$6,1)=1,WEEKDAY(CW$6,1)=7),0,MIN(8,CW30)*CW29))</f>
      </c>
      <c r="CX31" s="8" t="s">
        <v>93</v>
      </c>
    </row>
    <row r="32" spans="2:102" x14ac:dyDescent="0.25">
      <c r="B32" s="26">
        <f>SUM(L32:CW32)</f>
      </c>
      <c r="D32" s="27">
        <f>B32*E32</f>
      </c>
      <c r="E32" s="27">
        <f>'Rate Tables'!D25</f>
      </c>
      <c r="F32" s="8" t="s">
        <v>40</v>
      </c>
      <c r="L32" s="26">
        <f>IF(L$6="","",IF(WEEKDAY(L$6,1)=1,0,IF(WEEKDAY(L$6,1)=7,L30*L29,MAX(0,L30-8)*L29)))</f>
      </c>
      <c r="M32" s="26">
        <f>IF(M$6="","",IF(WEEKDAY(M$6,1)=1,0,IF(WEEKDAY(M$6,1)=7,M30*M29,MAX(0,M30-8)*M29)))</f>
      </c>
      <c r="N32" s="26">
        <f>IF(N$6="","",IF(WEEKDAY(N$6,1)=1,0,IF(WEEKDAY(N$6,1)=7,N30*N29,MAX(0,N30-8)*N29)))</f>
      </c>
      <c r="O32" s="26">
        <f>IF(O$6="","",IF(WEEKDAY(O$6,1)=1,0,IF(WEEKDAY(O$6,1)=7,O30*O29,MAX(0,O30-8)*O29)))</f>
      </c>
      <c r="P32" s="26">
        <f>IF(P$6="","",IF(WEEKDAY(P$6,1)=1,0,IF(WEEKDAY(P$6,1)=7,P30*P29,MAX(0,P30-8)*P29)))</f>
      </c>
      <c r="Q32" s="26">
        <f>IF(Q$6="","",IF(WEEKDAY(Q$6,1)=1,0,IF(WEEKDAY(Q$6,1)=7,Q30*Q29,MAX(0,Q30-8)*Q29)))</f>
      </c>
      <c r="R32" s="26">
        <f>IF(R$6="","",IF(WEEKDAY(R$6,1)=1,0,IF(WEEKDAY(R$6,1)=7,R30*R29,MAX(0,R30-8)*R29)))</f>
      </c>
      <c r="S32" s="26">
        <f>IF(S$6="","",IF(WEEKDAY(S$6,1)=1,0,IF(WEEKDAY(S$6,1)=7,S30*S29,MAX(0,S30-8)*S29)))</f>
      </c>
      <c r="T32" s="26">
        <f>IF(T$6="","",IF(WEEKDAY(T$6,1)=1,0,IF(WEEKDAY(T$6,1)=7,T30*T29,MAX(0,T30-8)*T29)))</f>
      </c>
      <c r="U32" s="26">
        <f>IF(U$6="","",IF(WEEKDAY(U$6,1)=1,0,IF(WEEKDAY(U$6,1)=7,U30*U29,MAX(0,U30-8)*U29)))</f>
      </c>
      <c r="V32" s="26">
        <f>IF(V$6="","",IF(WEEKDAY(V$6,1)=1,0,IF(WEEKDAY(V$6,1)=7,V30*V29,MAX(0,V30-8)*V29)))</f>
      </c>
      <c r="W32" s="26">
        <f>IF(W$6="","",IF(WEEKDAY(W$6,1)=1,0,IF(WEEKDAY(W$6,1)=7,W30*W29,MAX(0,W30-8)*W29)))</f>
      </c>
      <c r="X32" s="26">
        <f>IF(X$6="","",IF(WEEKDAY(X$6,1)=1,0,IF(WEEKDAY(X$6,1)=7,X30*X29,MAX(0,X30-8)*X29)))</f>
      </c>
      <c r="Y32" s="26">
        <f>IF(Y$6="","",IF(WEEKDAY(Y$6,1)=1,0,IF(WEEKDAY(Y$6,1)=7,Y30*Y29,MAX(0,Y30-8)*Y29)))</f>
      </c>
      <c r="Z32" s="26">
        <f>IF(Z$6="","",IF(WEEKDAY(Z$6,1)=1,0,IF(WEEKDAY(Z$6,1)=7,Z30*Z29,MAX(0,Z30-8)*Z29)))</f>
      </c>
      <c r="AA32" s="26">
        <f>IF(AA$6="","",IF(WEEKDAY(AA$6,1)=1,0,IF(WEEKDAY(AA$6,1)=7,AA30*AA29,MAX(0,AA30-8)*AA29)))</f>
      </c>
      <c r="AB32" s="26">
        <f>IF(AB$6="","",IF(WEEKDAY(AB$6,1)=1,0,IF(WEEKDAY(AB$6,1)=7,AB30*AB29,MAX(0,AB30-8)*AB29)))</f>
      </c>
      <c r="AC32" s="26">
        <f>IF(AC$6="","",IF(WEEKDAY(AC$6,1)=1,0,IF(WEEKDAY(AC$6,1)=7,AC30*AC29,MAX(0,AC30-8)*AC29)))</f>
      </c>
      <c r="AD32" s="26">
        <f>IF(AD$6="","",IF(WEEKDAY(AD$6,1)=1,0,IF(WEEKDAY(AD$6,1)=7,AD30*AD29,MAX(0,AD30-8)*AD29)))</f>
      </c>
      <c r="AE32" s="26">
        <f>IF(AE$6="","",IF(WEEKDAY(AE$6,1)=1,0,IF(WEEKDAY(AE$6,1)=7,AE30*AE29,MAX(0,AE30-8)*AE29)))</f>
      </c>
      <c r="AF32" s="26">
        <f>IF(AF$6="","",IF(WEEKDAY(AF$6,1)=1,0,IF(WEEKDAY(AF$6,1)=7,AF30*AF29,MAX(0,AF30-8)*AF29)))</f>
      </c>
      <c r="AG32" s="26">
        <f>IF(AG$6="","",IF(WEEKDAY(AG$6,1)=1,0,IF(WEEKDAY(AG$6,1)=7,AG30*AG29,MAX(0,AG30-8)*AG29)))</f>
      </c>
      <c r="AH32" s="26">
        <f>IF(AH$6="","",IF(WEEKDAY(AH$6,1)=1,0,IF(WEEKDAY(AH$6,1)=7,AH30*AH29,MAX(0,AH30-8)*AH29)))</f>
      </c>
      <c r="AI32" s="26">
        <f>IF(AI$6="","",IF(WEEKDAY(AI$6,1)=1,0,IF(WEEKDAY(AI$6,1)=7,AI30*AI29,MAX(0,AI30-8)*AI29)))</f>
      </c>
      <c r="AJ32" s="26">
        <f>IF(AJ$6="","",IF(WEEKDAY(AJ$6,1)=1,0,IF(WEEKDAY(AJ$6,1)=7,AJ30*AJ29,MAX(0,AJ30-8)*AJ29)))</f>
      </c>
      <c r="AK32" s="26">
        <f>IF(AK$6="","",IF(WEEKDAY(AK$6,1)=1,0,IF(WEEKDAY(AK$6,1)=7,AK30*AK29,MAX(0,AK30-8)*AK29)))</f>
      </c>
      <c r="AL32" s="26">
        <f>IF(AL$6="","",IF(WEEKDAY(AL$6,1)=1,0,IF(WEEKDAY(AL$6,1)=7,AL30*AL29,MAX(0,AL30-8)*AL29)))</f>
      </c>
      <c r="AM32" s="26">
        <f>IF(AM$6="","",IF(WEEKDAY(AM$6,1)=1,0,IF(WEEKDAY(AM$6,1)=7,AM30*AM29,MAX(0,AM30-8)*AM29)))</f>
      </c>
      <c r="AN32" s="26">
        <f>IF(AN$6="","",IF(WEEKDAY(AN$6,1)=1,0,IF(WEEKDAY(AN$6,1)=7,AN30*AN29,MAX(0,AN30-8)*AN29)))</f>
      </c>
      <c r="AO32" s="26">
        <f>IF(AO$6="","",IF(WEEKDAY(AO$6,1)=1,0,IF(WEEKDAY(AO$6,1)=7,AO30*AO29,MAX(0,AO30-8)*AO29)))</f>
      </c>
      <c r="AP32" s="26">
        <f>IF(AP$6="","",IF(WEEKDAY(AP$6,1)=1,0,IF(WEEKDAY(AP$6,1)=7,AP30*AP29,MAX(0,AP30-8)*AP29)))</f>
      </c>
      <c r="AQ32" s="26">
        <f>IF(AQ$6="","",IF(WEEKDAY(AQ$6,1)=1,0,IF(WEEKDAY(AQ$6,1)=7,AQ30*AQ29,MAX(0,AQ30-8)*AQ29)))</f>
      </c>
      <c r="AR32" s="26">
        <f>IF(AR$6="","",IF(WEEKDAY(AR$6,1)=1,0,IF(WEEKDAY(AR$6,1)=7,AR30*AR29,MAX(0,AR30-8)*AR29)))</f>
      </c>
      <c r="AS32" s="26">
        <f>IF(AS$6="","",IF(WEEKDAY(AS$6,1)=1,0,IF(WEEKDAY(AS$6,1)=7,AS30*AS29,MAX(0,AS30-8)*AS29)))</f>
      </c>
      <c r="AT32" s="26">
        <f>IF(AT$6="","",IF(WEEKDAY(AT$6,1)=1,0,IF(WEEKDAY(AT$6,1)=7,AT30*AT29,MAX(0,AT30-8)*AT29)))</f>
      </c>
      <c r="AU32" s="26">
        <f>IF(AU$6="","",IF(WEEKDAY(AU$6,1)=1,0,IF(WEEKDAY(AU$6,1)=7,AU30*AU29,MAX(0,AU30-8)*AU29)))</f>
      </c>
      <c r="AV32" s="26">
        <f>IF(AV$6="","",IF(WEEKDAY(AV$6,1)=1,0,IF(WEEKDAY(AV$6,1)=7,AV30*AV29,MAX(0,AV30-8)*AV29)))</f>
      </c>
      <c r="AW32" s="26">
        <f>IF(AW$6="","",IF(WEEKDAY(AW$6,1)=1,0,IF(WEEKDAY(AW$6,1)=7,AW30*AW29,MAX(0,AW30-8)*AW29)))</f>
      </c>
      <c r="AX32" s="26">
        <f>IF(AX$6="","",IF(WEEKDAY(AX$6,1)=1,0,IF(WEEKDAY(AX$6,1)=7,AX30*AX29,MAX(0,AX30-8)*AX29)))</f>
      </c>
      <c r="AY32" s="26">
        <f>IF(AY$6="","",IF(WEEKDAY(AY$6,1)=1,0,IF(WEEKDAY(AY$6,1)=7,AY30*AY29,MAX(0,AY30-8)*AY29)))</f>
      </c>
      <c r="AZ32" s="26">
        <f>IF(AZ$6="","",IF(WEEKDAY(AZ$6,1)=1,0,IF(WEEKDAY(AZ$6,1)=7,AZ30*AZ29,MAX(0,AZ30-8)*AZ29)))</f>
      </c>
      <c r="BA32" s="26">
        <f>IF(BA$6="","",IF(WEEKDAY(BA$6,1)=1,0,IF(WEEKDAY(BA$6,1)=7,BA30*BA29,MAX(0,BA30-8)*BA29)))</f>
      </c>
      <c r="BB32" s="26">
        <f>IF(BB$6="","",IF(WEEKDAY(BB$6,1)=1,0,IF(WEEKDAY(BB$6,1)=7,BB30*BB29,MAX(0,BB30-8)*BB29)))</f>
      </c>
      <c r="BC32" s="26">
        <f>IF(BC$6="","",IF(WEEKDAY(BC$6,1)=1,0,IF(WEEKDAY(BC$6,1)=7,BC30*BC29,MAX(0,BC30-8)*BC29)))</f>
      </c>
      <c r="BD32" s="26">
        <f>IF(BD$6="","",IF(WEEKDAY(BD$6,1)=1,0,IF(WEEKDAY(BD$6,1)=7,BD30*BD29,MAX(0,BD30-8)*BD29)))</f>
      </c>
      <c r="BE32" s="26">
        <f>IF(BE$6="","",IF(WEEKDAY(BE$6,1)=1,0,IF(WEEKDAY(BE$6,1)=7,BE30*BE29,MAX(0,BE30-8)*BE29)))</f>
      </c>
      <c r="BF32" s="26">
        <f>IF(BF$6="","",IF(WEEKDAY(BF$6,1)=1,0,IF(WEEKDAY(BF$6,1)=7,BF30*BF29,MAX(0,BF30-8)*BF29)))</f>
      </c>
      <c r="BG32" s="26">
        <f>IF(BG$6="","",IF(WEEKDAY(BG$6,1)=1,0,IF(WEEKDAY(BG$6,1)=7,BG30*BG29,MAX(0,BG30-8)*BG29)))</f>
      </c>
      <c r="BH32" s="26">
        <f>IF(BH$6="","",IF(WEEKDAY(BH$6,1)=1,0,IF(WEEKDAY(BH$6,1)=7,BH30*BH29,MAX(0,BH30-8)*BH29)))</f>
      </c>
      <c r="BI32" s="26">
        <f>IF(BI$6="","",IF(WEEKDAY(BI$6,1)=1,0,IF(WEEKDAY(BI$6,1)=7,BI30*BI29,MAX(0,BI30-8)*BI29)))</f>
      </c>
      <c r="BJ32" s="26">
        <f>IF(BJ$6="","",IF(WEEKDAY(BJ$6,1)=1,0,IF(WEEKDAY(BJ$6,1)=7,BJ30*BJ29,MAX(0,BJ30-8)*BJ29)))</f>
      </c>
      <c r="BK32" s="26">
        <f>IF(BK$6="","",IF(WEEKDAY(BK$6,1)=1,0,IF(WEEKDAY(BK$6,1)=7,BK30*BK29,MAX(0,BK30-8)*BK29)))</f>
      </c>
      <c r="BL32" s="26">
        <f>IF(BL$6="","",IF(WEEKDAY(BL$6,1)=1,0,IF(WEEKDAY(BL$6,1)=7,BL30*BL29,MAX(0,BL30-8)*BL29)))</f>
      </c>
      <c r="BM32" s="26">
        <f>IF(BM$6="","",IF(WEEKDAY(BM$6,1)=1,0,IF(WEEKDAY(BM$6,1)=7,BM30*BM29,MAX(0,BM30-8)*BM29)))</f>
      </c>
      <c r="BN32" s="26">
        <f>IF(BN$6="","",IF(WEEKDAY(BN$6,1)=1,0,IF(WEEKDAY(BN$6,1)=7,BN30*BN29,MAX(0,BN30-8)*BN29)))</f>
      </c>
      <c r="BO32" s="26">
        <f>IF(BO$6="","",IF(WEEKDAY(BO$6,1)=1,0,IF(WEEKDAY(BO$6,1)=7,BO30*BO29,MAX(0,BO30-8)*BO29)))</f>
      </c>
      <c r="BP32" s="26">
        <f>IF(BP$6="","",IF(WEEKDAY(BP$6,1)=1,0,IF(WEEKDAY(BP$6,1)=7,BP30*BP29,MAX(0,BP30-8)*BP29)))</f>
      </c>
      <c r="BQ32" s="26">
        <f>IF(BQ$6="","",IF(WEEKDAY(BQ$6,1)=1,0,IF(WEEKDAY(BQ$6,1)=7,BQ30*BQ29,MAX(0,BQ30-8)*BQ29)))</f>
      </c>
      <c r="BR32" s="26">
        <f>IF(BR$6="","",IF(WEEKDAY(BR$6,1)=1,0,IF(WEEKDAY(BR$6,1)=7,BR30*BR29,MAX(0,BR30-8)*BR29)))</f>
      </c>
      <c r="BS32" s="26">
        <f>IF(BS$6="","",IF(WEEKDAY(BS$6,1)=1,0,IF(WEEKDAY(BS$6,1)=7,BS30*BS29,MAX(0,BS30-8)*BS29)))</f>
      </c>
      <c r="BT32" s="26">
        <f>IF(BT$6="","",IF(WEEKDAY(BT$6,1)=1,0,IF(WEEKDAY(BT$6,1)=7,BT30*BT29,MAX(0,BT30-8)*BT29)))</f>
      </c>
      <c r="BU32" s="26">
        <f>IF(BU$6="","",IF(WEEKDAY(BU$6,1)=1,0,IF(WEEKDAY(BU$6,1)=7,BU30*BU29,MAX(0,BU30-8)*BU29)))</f>
      </c>
      <c r="BV32" s="26">
        <f>IF(BV$6="","",IF(WEEKDAY(BV$6,1)=1,0,IF(WEEKDAY(BV$6,1)=7,BV30*BV29,MAX(0,BV30-8)*BV29)))</f>
      </c>
      <c r="BW32" s="26">
        <f>IF(BW$6="","",IF(WEEKDAY(BW$6,1)=1,0,IF(WEEKDAY(BW$6,1)=7,BW30*BW29,MAX(0,BW30-8)*BW29)))</f>
      </c>
      <c r="BX32" s="26">
        <f>IF(BX$6="","",IF(WEEKDAY(BX$6,1)=1,0,IF(WEEKDAY(BX$6,1)=7,BX30*BX29,MAX(0,BX30-8)*BX29)))</f>
      </c>
      <c r="BY32" s="26">
        <f>IF(BY$6="","",IF(WEEKDAY(BY$6,1)=1,0,IF(WEEKDAY(BY$6,1)=7,BY30*BY29,MAX(0,BY30-8)*BY29)))</f>
      </c>
      <c r="BZ32" s="26">
        <f>IF(BZ$6="","",IF(WEEKDAY(BZ$6,1)=1,0,IF(WEEKDAY(BZ$6,1)=7,BZ30*BZ29,MAX(0,BZ30-8)*BZ29)))</f>
      </c>
      <c r="CA32" s="26">
        <f>IF(CA$6="","",IF(WEEKDAY(CA$6,1)=1,0,IF(WEEKDAY(CA$6,1)=7,CA30*CA29,MAX(0,CA30-8)*CA29)))</f>
      </c>
      <c r="CB32" s="26">
        <f>IF(CB$6="","",IF(WEEKDAY(CB$6,1)=1,0,IF(WEEKDAY(CB$6,1)=7,CB30*CB29,MAX(0,CB30-8)*CB29)))</f>
      </c>
      <c r="CC32" s="26">
        <f>IF(CC$6="","",IF(WEEKDAY(CC$6,1)=1,0,IF(WEEKDAY(CC$6,1)=7,CC30*CC29,MAX(0,CC30-8)*CC29)))</f>
      </c>
      <c r="CD32" s="26">
        <f>IF(CD$6="","",IF(WEEKDAY(CD$6,1)=1,0,IF(WEEKDAY(CD$6,1)=7,CD30*CD29,MAX(0,CD30-8)*CD29)))</f>
      </c>
      <c r="CE32" s="26">
        <f>IF(CE$6="","",IF(WEEKDAY(CE$6,1)=1,0,IF(WEEKDAY(CE$6,1)=7,CE30*CE29,MAX(0,CE30-8)*CE29)))</f>
      </c>
      <c r="CF32" s="26">
        <f>IF(CF$6="","",IF(WEEKDAY(CF$6,1)=1,0,IF(WEEKDAY(CF$6,1)=7,CF30*CF29,MAX(0,CF30-8)*CF29)))</f>
      </c>
      <c r="CG32" s="26">
        <f>IF(CG$6="","",IF(WEEKDAY(CG$6,1)=1,0,IF(WEEKDAY(CG$6,1)=7,CG30*CG29,MAX(0,CG30-8)*CG29)))</f>
      </c>
      <c r="CH32" s="26">
        <f>IF(CH$6="","",IF(WEEKDAY(CH$6,1)=1,0,IF(WEEKDAY(CH$6,1)=7,CH30*CH29,MAX(0,CH30-8)*CH29)))</f>
      </c>
      <c r="CI32" s="26">
        <f>IF(CI$6="","",IF(WEEKDAY(CI$6,1)=1,0,IF(WEEKDAY(CI$6,1)=7,CI30*CI29,MAX(0,CI30-8)*CI29)))</f>
      </c>
      <c r="CJ32" s="26">
        <f>IF(CJ$6="","",IF(WEEKDAY(CJ$6,1)=1,0,IF(WEEKDAY(CJ$6,1)=7,CJ30*CJ29,MAX(0,CJ30-8)*CJ29)))</f>
      </c>
      <c r="CK32" s="26">
        <f>IF(CK$6="","",IF(WEEKDAY(CK$6,1)=1,0,IF(WEEKDAY(CK$6,1)=7,CK30*CK29,MAX(0,CK30-8)*CK29)))</f>
      </c>
      <c r="CL32" s="26">
        <f>IF(CL$6="","",IF(WEEKDAY(CL$6,1)=1,0,IF(WEEKDAY(CL$6,1)=7,CL30*CL29,MAX(0,CL30-8)*CL29)))</f>
      </c>
      <c r="CM32" s="26">
        <f>IF(CM$6="","",IF(WEEKDAY(CM$6,1)=1,0,IF(WEEKDAY(CM$6,1)=7,CM30*CM29,MAX(0,CM30-8)*CM29)))</f>
      </c>
      <c r="CN32" s="26">
        <f>IF(CN$6="","",IF(WEEKDAY(CN$6,1)=1,0,IF(WEEKDAY(CN$6,1)=7,CN30*CN29,MAX(0,CN30-8)*CN29)))</f>
      </c>
      <c r="CO32" s="26">
        <f>IF(CO$6="","",IF(WEEKDAY(CO$6,1)=1,0,IF(WEEKDAY(CO$6,1)=7,CO30*CO29,MAX(0,CO30-8)*CO29)))</f>
      </c>
      <c r="CP32" s="26">
        <f>IF(CP$6="","",IF(WEEKDAY(CP$6,1)=1,0,IF(WEEKDAY(CP$6,1)=7,CP30*CP29,MAX(0,CP30-8)*CP29)))</f>
      </c>
      <c r="CQ32" s="26">
        <f>IF(CQ$6="","",IF(WEEKDAY(CQ$6,1)=1,0,IF(WEEKDAY(CQ$6,1)=7,CQ30*CQ29,MAX(0,CQ30-8)*CQ29)))</f>
      </c>
      <c r="CR32" s="26">
        <f>IF(CR$6="","",IF(WEEKDAY(CR$6,1)=1,0,IF(WEEKDAY(CR$6,1)=7,CR30*CR29,MAX(0,CR30-8)*CR29)))</f>
      </c>
      <c r="CS32" s="26">
        <f>IF(CS$6="","",IF(WEEKDAY(CS$6,1)=1,0,IF(WEEKDAY(CS$6,1)=7,CS30*CS29,MAX(0,CS30-8)*CS29)))</f>
      </c>
      <c r="CT32" s="26">
        <f>IF(CT$6="","",IF(WEEKDAY(CT$6,1)=1,0,IF(WEEKDAY(CT$6,1)=7,CT30*CT29,MAX(0,CT30-8)*CT29)))</f>
      </c>
      <c r="CU32" s="26">
        <f>IF(CU$6="","",IF(WEEKDAY(CU$6,1)=1,0,IF(WEEKDAY(CU$6,1)=7,CU30*CU29,MAX(0,CU30-8)*CU29)))</f>
      </c>
      <c r="CV32" s="26">
        <f>IF(CV$6="","",IF(WEEKDAY(CV$6,1)=1,0,IF(WEEKDAY(CV$6,1)=7,CV30*CV29,MAX(0,CV30-8)*CV29)))</f>
      </c>
      <c r="CW32" s="26">
        <f>IF(CW$6="","",IF(WEEKDAY(CW$6,1)=1,0,IF(WEEKDAY(CW$6,1)=7,CW30*CW29,MAX(0,CW30-8)*CW29)))</f>
      </c>
      <c r="CX32" s="8" t="s">
        <v>93</v>
      </c>
    </row>
    <row r="33" spans="2:102" x14ac:dyDescent="0.25">
      <c r="B33" s="26">
        <f>SUM(L33:CW33)</f>
      </c>
      <c r="D33" s="27">
        <f>B33*E33</f>
      </c>
      <c r="E33" s="27">
        <f>'Rate Tables'!E25</f>
      </c>
      <c r="F33" s="8" t="s">
        <v>41</v>
      </c>
      <c r="L33" s="26">
        <f>IF(L$6="","",IF(WEEKDAY(L$6,1)=1,L30*L29,0))</f>
      </c>
      <c r="M33" s="26">
        <f>IF(M$6="","",IF(WEEKDAY(M$6,1)=1,M30*M29,0))</f>
      </c>
      <c r="N33" s="26">
        <f>IF(N$6="","",IF(WEEKDAY(N$6,1)=1,N30*N29,0))</f>
      </c>
      <c r="O33" s="26">
        <f>IF(O$6="","",IF(WEEKDAY(O$6,1)=1,O30*O29,0))</f>
      </c>
      <c r="P33" s="26">
        <f>IF(P$6="","",IF(WEEKDAY(P$6,1)=1,P30*P29,0))</f>
      </c>
      <c r="Q33" s="26">
        <f>IF(Q$6="","",IF(WEEKDAY(Q$6,1)=1,Q30*Q29,0))</f>
      </c>
      <c r="R33" s="26">
        <f>IF(R$6="","",IF(WEEKDAY(R$6,1)=1,R30*R29,0))</f>
      </c>
      <c r="S33" s="26">
        <f>IF(S$6="","",IF(WEEKDAY(S$6,1)=1,S30*S29,0))</f>
      </c>
      <c r="T33" s="26">
        <f>IF(T$6="","",IF(WEEKDAY(T$6,1)=1,T30*T29,0))</f>
      </c>
      <c r="U33" s="26">
        <f>IF(U$6="","",IF(WEEKDAY(U$6,1)=1,U30*U29,0))</f>
      </c>
      <c r="V33" s="26">
        <f>IF(V$6="","",IF(WEEKDAY(V$6,1)=1,V30*V29,0))</f>
      </c>
      <c r="W33" s="26">
        <f>IF(W$6="","",IF(WEEKDAY(W$6,1)=1,W30*W29,0))</f>
      </c>
      <c r="X33" s="26">
        <f>IF(X$6="","",IF(WEEKDAY(X$6,1)=1,X30*X29,0))</f>
      </c>
      <c r="Y33" s="26">
        <f>IF(Y$6="","",IF(WEEKDAY(Y$6,1)=1,Y30*Y29,0))</f>
      </c>
      <c r="Z33" s="26">
        <f>IF(Z$6="","",IF(WEEKDAY(Z$6,1)=1,Z30*Z29,0))</f>
      </c>
      <c r="AA33" s="26">
        <f>IF(AA$6="","",IF(WEEKDAY(AA$6,1)=1,AA30*AA29,0))</f>
      </c>
      <c r="AB33" s="26">
        <f>IF(AB$6="","",IF(WEEKDAY(AB$6,1)=1,AB30*AB29,0))</f>
      </c>
      <c r="AC33" s="26">
        <f>IF(AC$6="","",IF(WEEKDAY(AC$6,1)=1,AC30*AC29,0))</f>
      </c>
      <c r="AD33" s="26">
        <f>IF(AD$6="","",IF(WEEKDAY(AD$6,1)=1,AD30*AD29,0))</f>
      </c>
      <c r="AE33" s="26">
        <f>IF(AE$6="","",IF(WEEKDAY(AE$6,1)=1,AE30*AE29,0))</f>
      </c>
      <c r="AF33" s="26">
        <f>IF(AF$6="","",IF(WEEKDAY(AF$6,1)=1,AF30*AF29,0))</f>
      </c>
      <c r="AG33" s="26">
        <f>IF(AG$6="","",IF(WEEKDAY(AG$6,1)=1,AG30*AG29,0))</f>
      </c>
      <c r="AH33" s="26">
        <f>IF(AH$6="","",IF(WEEKDAY(AH$6,1)=1,AH30*AH29,0))</f>
      </c>
      <c r="AI33" s="26">
        <f>IF(AI$6="","",IF(WEEKDAY(AI$6,1)=1,AI30*AI29,0))</f>
      </c>
      <c r="AJ33" s="26">
        <f>IF(AJ$6="","",IF(WEEKDAY(AJ$6,1)=1,AJ30*AJ29,0))</f>
      </c>
      <c r="AK33" s="26">
        <f>IF(AK$6="","",IF(WEEKDAY(AK$6,1)=1,AK30*AK29,0))</f>
      </c>
      <c r="AL33" s="26">
        <f>IF(AL$6="","",IF(WEEKDAY(AL$6,1)=1,AL30*AL29,0))</f>
      </c>
      <c r="AM33" s="26">
        <f>IF(AM$6="","",IF(WEEKDAY(AM$6,1)=1,AM30*AM29,0))</f>
      </c>
      <c r="AN33" s="26">
        <f>IF(AN$6="","",IF(WEEKDAY(AN$6,1)=1,AN30*AN29,0))</f>
      </c>
      <c r="AO33" s="26">
        <f>IF(AO$6="","",IF(WEEKDAY(AO$6,1)=1,AO30*AO29,0))</f>
      </c>
      <c r="AP33" s="26">
        <f>IF(AP$6="","",IF(WEEKDAY(AP$6,1)=1,AP30*AP29,0))</f>
      </c>
      <c r="AQ33" s="26">
        <f>IF(AQ$6="","",IF(WEEKDAY(AQ$6,1)=1,AQ30*AQ29,0))</f>
      </c>
      <c r="AR33" s="26">
        <f>IF(AR$6="","",IF(WEEKDAY(AR$6,1)=1,AR30*AR29,0))</f>
      </c>
      <c r="AS33" s="26">
        <f>IF(AS$6="","",IF(WEEKDAY(AS$6,1)=1,AS30*AS29,0))</f>
      </c>
      <c r="AT33" s="26">
        <f>IF(AT$6="","",IF(WEEKDAY(AT$6,1)=1,AT30*AT29,0))</f>
      </c>
      <c r="AU33" s="26">
        <f>IF(AU$6="","",IF(WEEKDAY(AU$6,1)=1,AU30*AU29,0))</f>
      </c>
      <c r="AV33" s="26">
        <f>IF(AV$6="","",IF(WEEKDAY(AV$6,1)=1,AV30*AV29,0))</f>
      </c>
      <c r="AW33" s="26">
        <f>IF(AW$6="","",IF(WEEKDAY(AW$6,1)=1,AW30*AW29,0))</f>
      </c>
      <c r="AX33" s="26">
        <f>IF(AX$6="","",IF(WEEKDAY(AX$6,1)=1,AX30*AX29,0))</f>
      </c>
      <c r="AY33" s="26">
        <f>IF(AY$6="","",IF(WEEKDAY(AY$6,1)=1,AY30*AY29,0))</f>
      </c>
      <c r="AZ33" s="26">
        <f>IF(AZ$6="","",IF(WEEKDAY(AZ$6,1)=1,AZ30*AZ29,0))</f>
      </c>
      <c r="BA33" s="26">
        <f>IF(BA$6="","",IF(WEEKDAY(BA$6,1)=1,BA30*BA29,0))</f>
      </c>
      <c r="BB33" s="26">
        <f>IF(BB$6="","",IF(WEEKDAY(BB$6,1)=1,BB30*BB29,0))</f>
      </c>
      <c r="BC33" s="26">
        <f>IF(BC$6="","",IF(WEEKDAY(BC$6,1)=1,BC30*BC29,0))</f>
      </c>
      <c r="BD33" s="26">
        <f>IF(BD$6="","",IF(WEEKDAY(BD$6,1)=1,BD30*BD29,0))</f>
      </c>
      <c r="BE33" s="26">
        <f>IF(BE$6="","",IF(WEEKDAY(BE$6,1)=1,BE30*BE29,0))</f>
      </c>
      <c r="BF33" s="26">
        <f>IF(BF$6="","",IF(WEEKDAY(BF$6,1)=1,BF30*BF29,0))</f>
      </c>
      <c r="BG33" s="26">
        <f>IF(BG$6="","",IF(WEEKDAY(BG$6,1)=1,BG30*BG29,0))</f>
      </c>
      <c r="BH33" s="26">
        <f>IF(BH$6="","",IF(WEEKDAY(BH$6,1)=1,BH30*BH29,0))</f>
      </c>
      <c r="BI33" s="26">
        <f>IF(BI$6="","",IF(WEEKDAY(BI$6,1)=1,BI30*BI29,0))</f>
      </c>
      <c r="BJ33" s="26">
        <f>IF(BJ$6="","",IF(WEEKDAY(BJ$6,1)=1,BJ30*BJ29,0))</f>
      </c>
      <c r="BK33" s="26">
        <f>IF(BK$6="","",IF(WEEKDAY(BK$6,1)=1,BK30*BK29,0))</f>
      </c>
      <c r="BL33" s="26">
        <f>IF(BL$6="","",IF(WEEKDAY(BL$6,1)=1,BL30*BL29,0))</f>
      </c>
      <c r="BM33" s="26">
        <f>IF(BM$6="","",IF(WEEKDAY(BM$6,1)=1,BM30*BM29,0))</f>
      </c>
      <c r="BN33" s="26">
        <f>IF(BN$6="","",IF(WEEKDAY(BN$6,1)=1,BN30*BN29,0))</f>
      </c>
      <c r="BO33" s="26">
        <f>IF(BO$6="","",IF(WEEKDAY(BO$6,1)=1,BO30*BO29,0))</f>
      </c>
      <c r="BP33" s="26">
        <f>IF(BP$6="","",IF(WEEKDAY(BP$6,1)=1,BP30*BP29,0))</f>
      </c>
      <c r="BQ33" s="26">
        <f>IF(BQ$6="","",IF(WEEKDAY(BQ$6,1)=1,BQ30*BQ29,0))</f>
      </c>
      <c r="BR33" s="26">
        <f>IF(BR$6="","",IF(WEEKDAY(BR$6,1)=1,BR30*BR29,0))</f>
      </c>
      <c r="BS33" s="26">
        <f>IF(BS$6="","",IF(WEEKDAY(BS$6,1)=1,BS30*BS29,0))</f>
      </c>
      <c r="BT33" s="26">
        <f>IF(BT$6="","",IF(WEEKDAY(BT$6,1)=1,BT30*BT29,0))</f>
      </c>
      <c r="BU33" s="26">
        <f>IF(BU$6="","",IF(WEEKDAY(BU$6,1)=1,BU30*BU29,0))</f>
      </c>
      <c r="BV33" s="26">
        <f>IF(BV$6="","",IF(WEEKDAY(BV$6,1)=1,BV30*BV29,0))</f>
      </c>
      <c r="BW33" s="26">
        <f>IF(BW$6="","",IF(WEEKDAY(BW$6,1)=1,BW30*BW29,0))</f>
      </c>
      <c r="BX33" s="26">
        <f>IF(BX$6="","",IF(WEEKDAY(BX$6,1)=1,BX30*BX29,0))</f>
      </c>
      <c r="BY33" s="26">
        <f>IF(BY$6="","",IF(WEEKDAY(BY$6,1)=1,BY30*BY29,0))</f>
      </c>
      <c r="BZ33" s="26">
        <f>IF(BZ$6="","",IF(WEEKDAY(BZ$6,1)=1,BZ30*BZ29,0))</f>
      </c>
      <c r="CA33" s="26">
        <f>IF(CA$6="","",IF(WEEKDAY(CA$6,1)=1,CA30*CA29,0))</f>
      </c>
      <c r="CB33" s="26">
        <f>IF(CB$6="","",IF(WEEKDAY(CB$6,1)=1,CB30*CB29,0))</f>
      </c>
      <c r="CC33" s="26">
        <f>IF(CC$6="","",IF(WEEKDAY(CC$6,1)=1,CC30*CC29,0))</f>
      </c>
      <c r="CD33" s="26">
        <f>IF(CD$6="","",IF(WEEKDAY(CD$6,1)=1,CD30*CD29,0))</f>
      </c>
      <c r="CE33" s="26">
        <f>IF(CE$6="","",IF(WEEKDAY(CE$6,1)=1,CE30*CE29,0))</f>
      </c>
      <c r="CF33" s="26">
        <f>IF(CF$6="","",IF(WEEKDAY(CF$6,1)=1,CF30*CF29,0))</f>
      </c>
      <c r="CG33" s="26">
        <f>IF(CG$6="","",IF(WEEKDAY(CG$6,1)=1,CG30*CG29,0))</f>
      </c>
      <c r="CH33" s="26">
        <f>IF(CH$6="","",IF(WEEKDAY(CH$6,1)=1,CH30*CH29,0))</f>
      </c>
      <c r="CI33" s="26">
        <f>IF(CI$6="","",IF(WEEKDAY(CI$6,1)=1,CI30*CI29,0))</f>
      </c>
      <c r="CJ33" s="26">
        <f>IF(CJ$6="","",IF(WEEKDAY(CJ$6,1)=1,CJ30*CJ29,0))</f>
      </c>
      <c r="CK33" s="26">
        <f>IF(CK$6="","",IF(WEEKDAY(CK$6,1)=1,CK30*CK29,0))</f>
      </c>
      <c r="CL33" s="26">
        <f>IF(CL$6="","",IF(WEEKDAY(CL$6,1)=1,CL30*CL29,0))</f>
      </c>
      <c r="CM33" s="26">
        <f>IF(CM$6="","",IF(WEEKDAY(CM$6,1)=1,CM30*CM29,0))</f>
      </c>
      <c r="CN33" s="26">
        <f>IF(CN$6="","",IF(WEEKDAY(CN$6,1)=1,CN30*CN29,0))</f>
      </c>
      <c r="CO33" s="26">
        <f>IF(CO$6="","",IF(WEEKDAY(CO$6,1)=1,CO30*CO29,0))</f>
      </c>
      <c r="CP33" s="26">
        <f>IF(CP$6="","",IF(WEEKDAY(CP$6,1)=1,CP30*CP29,0))</f>
      </c>
      <c r="CQ33" s="26">
        <f>IF(CQ$6="","",IF(WEEKDAY(CQ$6,1)=1,CQ30*CQ29,0))</f>
      </c>
      <c r="CR33" s="26">
        <f>IF(CR$6="","",IF(WEEKDAY(CR$6,1)=1,CR30*CR29,0))</f>
      </c>
      <c r="CS33" s="26">
        <f>IF(CS$6="","",IF(WEEKDAY(CS$6,1)=1,CS30*CS29,0))</f>
      </c>
      <c r="CT33" s="26">
        <f>IF(CT$6="","",IF(WEEKDAY(CT$6,1)=1,CT30*CT29,0))</f>
      </c>
      <c r="CU33" s="26">
        <f>IF(CU$6="","",IF(WEEKDAY(CU$6,1)=1,CU30*CU29,0))</f>
      </c>
      <c r="CV33" s="26">
        <f>IF(CV$6="","",IF(WEEKDAY(CV$6,1)=1,CV30*CV29,0))</f>
      </c>
      <c r="CW33" s="26">
        <f>IF(CW$6="","",IF(WEEKDAY(CW$6,1)=1,CW30*CW29,0))</f>
      </c>
      <c r="CX33" s="8" t="s">
        <v>93</v>
      </c>
    </row>
    <row r="34" spans="2:102" x14ac:dyDescent="0.25">
      <c r="B34" s="26">
        <f>SUM(L34:CW34)</f>
      </c>
      <c r="D34" s="27">
        <f>B34*E34</f>
      </c>
      <c r="E34" s="27">
        <v>130</v>
      </c>
      <c r="F34" s="8" t="s">
        <v>42</v>
      </c>
      <c r="L34" s="28">
        <v>0</v>
      </c>
      <c r="M34" s="28">
        <v>0</v>
      </c>
      <c r="N34" s="28">
        <v>0</v>
      </c>
      <c r="O34" s="28">
        <v>0</v>
      </c>
      <c r="P34" s="28">
        <v>0</v>
      </c>
      <c r="Q34" s="28">
        <v>0</v>
      </c>
      <c r="R34" s="28">
        <v>0</v>
      </c>
      <c r="S34" s="28">
        <v>0</v>
      </c>
      <c r="T34" s="28">
        <v>0</v>
      </c>
      <c r="U34" s="28">
        <v>0</v>
      </c>
      <c r="V34" s="28">
        <v>0</v>
      </c>
      <c r="W34" s="28">
        <v>0</v>
      </c>
      <c r="X34" s="28">
        <v>0</v>
      </c>
      <c r="Y34" s="28">
        <v>0</v>
      </c>
      <c r="Z34" s="28">
        <v>0</v>
      </c>
      <c r="AA34" s="28">
        <v>0</v>
      </c>
      <c r="AB34" s="28">
        <v>0</v>
      </c>
      <c r="AC34" s="28">
        <v>0</v>
      </c>
      <c r="AD34" s="28">
        <v>0</v>
      </c>
      <c r="AE34" s="28">
        <v>0</v>
      </c>
      <c r="AF34" s="28">
        <v>0</v>
      </c>
      <c r="AG34" s="28">
        <v>0</v>
      </c>
      <c r="AH34" s="28">
        <v>0</v>
      </c>
      <c r="AI34" s="28">
        <v>0</v>
      </c>
      <c r="AJ34" s="28">
        <v>0</v>
      </c>
      <c r="AK34" s="28">
        <v>0</v>
      </c>
      <c r="AL34" s="28">
        <v>0</v>
      </c>
      <c r="AM34" s="28">
        <v>0</v>
      </c>
      <c r="AN34" s="28">
        <v>0</v>
      </c>
      <c r="AO34" s="28">
        <v>0</v>
      </c>
      <c r="AP34" s="28">
        <v>0</v>
      </c>
      <c r="AQ34" s="28">
        <v>0</v>
      </c>
      <c r="AR34" s="28">
        <v>0</v>
      </c>
      <c r="AS34" s="28">
        <v>0</v>
      </c>
      <c r="AT34" s="28">
        <v>0</v>
      </c>
      <c r="AU34" s="28">
        <v>0</v>
      </c>
      <c r="AV34" s="28">
        <v>0</v>
      </c>
      <c r="AW34" s="28">
        <v>0</v>
      </c>
      <c r="AX34" s="28">
        <v>0</v>
      </c>
      <c r="AY34" s="28">
        <v>0</v>
      </c>
      <c r="AZ34" s="28">
        <v>0</v>
      </c>
      <c r="BA34" s="28">
        <v>0</v>
      </c>
      <c r="BB34" s="28">
        <v>0</v>
      </c>
      <c r="BC34" s="28">
        <v>0</v>
      </c>
      <c r="BD34" s="28">
        <v>0</v>
      </c>
      <c r="BE34" s="28">
        <v>0</v>
      </c>
      <c r="BF34" s="28">
        <v>0</v>
      </c>
      <c r="BG34" s="28">
        <v>0</v>
      </c>
      <c r="BH34" s="28">
        <v>0</v>
      </c>
      <c r="BI34" s="28">
        <v>20</v>
      </c>
      <c r="BJ34" s="28">
        <v>20</v>
      </c>
      <c r="BK34" s="28">
        <v>0</v>
      </c>
      <c r="BL34" s="28">
        <v>0</v>
      </c>
      <c r="BM34" s="28">
        <v>0</v>
      </c>
      <c r="BN34" s="28">
        <v>0</v>
      </c>
      <c r="BO34" s="28">
        <v>0</v>
      </c>
      <c r="BP34" s="28">
        <v>0</v>
      </c>
      <c r="BQ34" s="28">
        <v>0</v>
      </c>
      <c r="BR34" s="28">
        <v>0</v>
      </c>
      <c r="BS34" s="28">
        <v>45</v>
      </c>
      <c r="BT34" s="28">
        <v>45</v>
      </c>
      <c r="BU34" s="28">
        <v>45</v>
      </c>
      <c r="BV34" s="28">
        <v>45</v>
      </c>
      <c r="BW34" s="28">
        <v>45</v>
      </c>
      <c r="BX34" s="28">
        <v>45</v>
      </c>
      <c r="BY34" s="28">
        <v>45</v>
      </c>
      <c r="BZ34" s="28">
        <v>45</v>
      </c>
      <c r="CA34" s="28">
        <v>45</v>
      </c>
      <c r="CB34" s="28">
        <v>45</v>
      </c>
      <c r="CC34" s="28">
        <v>45</v>
      </c>
      <c r="CD34" s="28">
        <v>45</v>
      </c>
      <c r="CE34" s="28">
        <v>45</v>
      </c>
      <c r="CF34" s="28">
        <v>45</v>
      </c>
      <c r="CG34" s="28">
        <v>45</v>
      </c>
      <c r="CH34" s="28">
        <v>45</v>
      </c>
      <c r="CI34" s="28">
        <v>45</v>
      </c>
      <c r="CJ34" s="28">
        <v>45</v>
      </c>
      <c r="CK34" s="28">
        <v>45</v>
      </c>
      <c r="CL34" s="28">
        <v>45</v>
      </c>
      <c r="CM34" s="28">
        <v>45</v>
      </c>
      <c r="CN34" s="28">
        <v>45</v>
      </c>
      <c r="CO34" s="28">
        <v>45</v>
      </c>
      <c r="CP34" s="28">
        <v>45</v>
      </c>
      <c r="CQ34" s="28">
        <v>45</v>
      </c>
      <c r="CR34" s="28">
        <v>45</v>
      </c>
      <c r="CS34" s="28">
        <v>45</v>
      </c>
      <c r="CT34" s="28">
        <v>45</v>
      </c>
      <c r="CU34" s="28">
        <v>45</v>
      </c>
      <c r="CV34" s="28">
        <v>45</v>
      </c>
      <c r="CW34" s="28">
        <v>45</v>
      </c>
      <c r="CX34" s="8" t="s">
        <v>93</v>
      </c>
    </row>
    <row r="35" spans="1:11" x14ac:dyDescent="0.25">
      <c r="A35" s="14" t="s">
        <v>81</v>
      </c>
      <c r="B35" s="15">
        <f>SUM(B7,B14,B21,B28)</f>
      </c>
      <c r="D35" s="18">
        <f>SUM(D13,D20,D27,D34)</f>
      </c>
      <c r="G35" s="15">
        <f>SUM(G7,G14,G21,G28)</f>
      </c>
      <c r="H35" s="15">
        <f>SUM(H7,H14,H21,H28)</f>
      </c>
      <c r="I35" s="15">
        <f>SUM(I7,I14,I21,I28)</f>
      </c>
      <c r="J35" s="15">
        <f>SUM(J7,J14,J21,J28)</f>
      </c>
      <c r="K35" s="18">
        <f>SUM(K7,K14,K21,K28)</f>
      </c>
    </row>
  </sheetData>
  <mergeCells count="2">
    <mergeCell ref="A1:CW1"/>
    <mergeCell ref="A3:CW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9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01" width="7" customWidth="1"/>
    <col min="102" max="102" width="3" hidden="1" customWidth="1"/>
  </cols>
  <sheetData>
    <row r="1" ht="22" customHeight="1" spans="1:10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</row>
    <row r="2" spans="1:1" x14ac:dyDescent="0.25">
      <c r="A2" s="2" t="s">
        <v>1</v>
      </c>
    </row>
    <row r="3" spans="1:10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46269.72422175926</v>
      </c>
    </row>
    <row r="6" ht="20" customHeight="1" spans="1:101" x14ac:dyDescent="0.25">
      <c r="A6" s="7" t="s">
        <v>22</v>
      </c>
      <c r="B6" s="7" t="s">
        <v>23</v>
      </c>
      <c r="C6" s="7" t="s">
        <v>24</v>
      </c>
      <c r="D6" s="7" t="s">
        <v>25</v>
      </c>
      <c r="E6" s="7" t="s">
        <v>26</v>
      </c>
      <c r="F6" s="7" t="s">
        <v>27</v>
      </c>
      <c r="G6" s="7" t="s">
        <v>28</v>
      </c>
      <c r="H6" s="7" t="s">
        <v>29</v>
      </c>
      <c r="I6" s="7" t="s">
        <v>30</v>
      </c>
      <c r="J6" s="7" t="s">
        <v>31</v>
      </c>
      <c r="K6" s="7" t="s">
        <v>12</v>
      </c>
      <c r="L6" s="19">
        <v>46398</v>
      </c>
      <c r="M6" s="19">
        <f>L6+1</f>
      </c>
      <c r="N6" s="19">
        <f>M6+1</f>
      </c>
      <c r="O6" s="19">
        <f>N6+1</f>
      </c>
      <c r="P6" s="19">
        <f>O6+1</f>
      </c>
      <c r="Q6" s="19">
        <f>P6+1</f>
      </c>
      <c r="R6" s="19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19">
        <f>W6+1</f>
      </c>
      <c r="Y6" s="19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19">
        <f>AD6+1</f>
      </c>
      <c r="AF6" s="19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19">
        <f>AK6+1</f>
      </c>
      <c r="AM6" s="19">
        <f>AL6+1</f>
      </c>
      <c r="AN6" s="19">
        <f>AM6+1</f>
      </c>
      <c r="AO6" s="19">
        <f>AN6+1</f>
      </c>
      <c r="AP6" s="19">
        <f>AO6+1</f>
      </c>
      <c r="AQ6" s="19">
        <f>AP6+1</f>
      </c>
      <c r="AR6" s="19">
        <f>AQ6+1</f>
      </c>
      <c r="AS6" s="19">
        <f>AR6+1</f>
      </c>
      <c r="AT6" s="19">
        <f>AS6+1</f>
      </c>
      <c r="AU6" s="19">
        <f>AT6+1</f>
      </c>
      <c r="AV6" s="19">
        <f>AU6+1</f>
      </c>
      <c r="AW6" s="19">
        <f>AV6+1</f>
      </c>
      <c r="AX6" s="19">
        <f>AW6+1</f>
      </c>
      <c r="AY6" s="19">
        <f>AX6+1</f>
      </c>
      <c r="AZ6" s="19">
        <f>AY6+1</f>
      </c>
      <c r="BA6" s="19">
        <f>AZ6+1</f>
      </c>
      <c r="BB6" s="19">
        <f>BA6+1</f>
      </c>
      <c r="BC6" s="19">
        <f>BB6+1</f>
      </c>
      <c r="BD6" s="19">
        <f>BC6+1</f>
      </c>
      <c r="BE6" s="19">
        <f>BD6+1</f>
      </c>
      <c r="BF6" s="19">
        <f>BE6+1</f>
      </c>
      <c r="BG6" s="19">
        <f>BF6+1</f>
      </c>
      <c r="BH6" s="19">
        <f>BG6+1</f>
      </c>
      <c r="BI6" s="19">
        <f>BH6+1</f>
      </c>
      <c r="BJ6" s="19">
        <f>BI6+1</f>
      </c>
      <c r="BK6" s="19">
        <f>BJ6+1</f>
      </c>
      <c r="BL6" s="19">
        <f>BK6+1</f>
      </c>
      <c r="BM6" s="19">
        <f>BL6+1</f>
      </c>
      <c r="BN6" s="19">
        <f>BM6+1</f>
      </c>
      <c r="BO6" s="19">
        <f>BN6+1</f>
      </c>
      <c r="BP6" s="19">
        <f>BO6+1</f>
      </c>
      <c r="BQ6" s="19">
        <f>BP6+1</f>
      </c>
      <c r="BR6" s="19">
        <f>BQ6+1</f>
      </c>
      <c r="BS6" s="19">
        <f>BR6+1</f>
      </c>
      <c r="BT6" s="19">
        <f>BS6+1</f>
      </c>
      <c r="BU6" s="19">
        <f>BT6+1</f>
      </c>
      <c r="BV6" s="19">
        <f>BU6+1</f>
      </c>
      <c r="BW6" s="19">
        <f>BV6+1</f>
      </c>
      <c r="BX6" s="19">
        <f>BW6+1</f>
      </c>
      <c r="BY6" s="19">
        <f>BX6+1</f>
      </c>
      <c r="BZ6" s="19">
        <f>BY6+1</f>
      </c>
      <c r="CA6" s="19">
        <f>BZ6+1</f>
      </c>
      <c r="CB6" s="19">
        <f>CA6+1</f>
      </c>
      <c r="CC6" s="19">
        <f>CB6+1</f>
      </c>
      <c r="CD6" s="19">
        <f>CC6+1</f>
      </c>
      <c r="CE6" s="19">
        <f>CD6+1</f>
      </c>
      <c r="CF6" s="19">
        <f>CE6+1</f>
      </c>
      <c r="CG6" s="19">
        <f>CF6+1</f>
      </c>
      <c r="CH6" s="19">
        <f>CG6+1</f>
      </c>
      <c r="CI6" s="19">
        <f>CH6+1</f>
      </c>
      <c r="CJ6" s="19">
        <f>CI6+1</f>
      </c>
      <c r="CK6" s="19">
        <f>CJ6+1</f>
      </c>
      <c r="CL6" s="19">
        <f>CK6+1</f>
      </c>
      <c r="CM6" s="19">
        <f>CL6+1</f>
      </c>
      <c r="CN6" s="19">
        <f>CM6+1</f>
      </c>
      <c r="CO6" s="19">
        <f>CN6+1</f>
      </c>
      <c r="CP6" s="19">
        <f>CO6+1</f>
      </c>
      <c r="CQ6" s="19">
        <f>CP6+1</f>
      </c>
      <c r="CR6" s="19">
        <f>CQ6+1</f>
      </c>
      <c r="CS6" s="19">
        <f>CR6+1</f>
      </c>
      <c r="CT6" s="19">
        <f>CS6+1</f>
      </c>
      <c r="CU6" s="19">
        <f>CT6+1</f>
      </c>
      <c r="CV6" s="19">
        <f>CU6+1</f>
      </c>
      <c r="CW6" s="19">
        <f>CV6+1</f>
      </c>
    </row>
    <row r="7" spans="1:102" x14ac:dyDescent="0.25">
      <c r="A7" s="20" t="s">
        <v>32</v>
      </c>
      <c r="B7" s="21">
        <f>G7+H7+I7</f>
      </c>
      <c r="C7" s="20" t="s">
        <v>94</v>
      </c>
      <c r="D7" s="22">
        <f>K7</f>
      </c>
      <c r="F7" s="20" t="s">
        <v>34</v>
      </c>
      <c r="G7" s="21">
        <f>B10</f>
      </c>
      <c r="H7" s="21">
        <f>B11</f>
      </c>
      <c r="I7" s="21">
        <f>B12</f>
      </c>
      <c r="J7" s="21">
        <f>B13</f>
      </c>
      <c r="K7" s="22">
        <f>D10+D11+D12</f>
      </c>
      <c r="CX7" s="20" t="s">
        <v>95</v>
      </c>
    </row>
    <row r="8" spans="6:102" x14ac:dyDescent="0.25">
      <c r="F8" s="23" t="s">
        <v>36</v>
      </c>
      <c r="L8" s="24">
        <v>1</v>
      </c>
      <c r="M8" s="24">
        <v>1</v>
      </c>
      <c r="N8" s="24">
        <v>1</v>
      </c>
      <c r="O8" s="24">
        <v>1</v>
      </c>
      <c r="P8" s="24">
        <v>1</v>
      </c>
      <c r="Q8" s="24">
        <v>0</v>
      </c>
      <c r="R8" s="24">
        <v>0</v>
      </c>
      <c r="S8" s="24">
        <v>1</v>
      </c>
      <c r="T8" s="24">
        <v>1</v>
      </c>
      <c r="U8" s="24">
        <v>1</v>
      </c>
      <c r="V8" s="24">
        <v>1</v>
      </c>
      <c r="W8" s="24">
        <v>1</v>
      </c>
      <c r="X8" s="24">
        <v>0</v>
      </c>
      <c r="Y8" s="24">
        <v>0</v>
      </c>
      <c r="Z8" s="24">
        <v>1</v>
      </c>
      <c r="AA8" s="24">
        <v>1</v>
      </c>
      <c r="AB8" s="24">
        <v>1</v>
      </c>
      <c r="AC8" s="24">
        <v>1</v>
      </c>
      <c r="AD8" s="24">
        <v>1</v>
      </c>
      <c r="AE8" s="24">
        <v>0</v>
      </c>
      <c r="AF8" s="24">
        <v>0</v>
      </c>
      <c r="AG8" s="24">
        <v>1</v>
      </c>
      <c r="AH8" s="24">
        <v>1</v>
      </c>
      <c r="AI8" s="24">
        <v>1</v>
      </c>
      <c r="AJ8" s="24">
        <v>1</v>
      </c>
      <c r="AK8" s="24">
        <v>1</v>
      </c>
      <c r="AL8" s="24">
        <v>0</v>
      </c>
      <c r="AM8" s="24">
        <v>0</v>
      </c>
      <c r="AN8" s="24">
        <v>1</v>
      </c>
      <c r="AO8" s="24">
        <v>1</v>
      </c>
      <c r="AP8" s="24">
        <v>1</v>
      </c>
      <c r="AQ8" s="24">
        <v>1</v>
      </c>
      <c r="AR8" s="24">
        <v>1</v>
      </c>
      <c r="AS8" s="24">
        <v>0</v>
      </c>
      <c r="AT8" s="24">
        <v>0</v>
      </c>
      <c r="AU8" s="24">
        <v>1</v>
      </c>
      <c r="AV8" s="24">
        <v>1</v>
      </c>
      <c r="AW8" s="24">
        <v>1</v>
      </c>
      <c r="AX8" s="24">
        <v>1</v>
      </c>
      <c r="AY8" s="24">
        <v>1</v>
      </c>
      <c r="AZ8" s="24">
        <v>0</v>
      </c>
      <c r="BA8" s="24">
        <v>0</v>
      </c>
      <c r="BB8" s="24">
        <v>1</v>
      </c>
      <c r="BC8" s="24">
        <v>1</v>
      </c>
      <c r="BD8" s="24">
        <v>1</v>
      </c>
      <c r="BE8" s="24">
        <v>1</v>
      </c>
      <c r="BF8" s="24">
        <v>1</v>
      </c>
      <c r="BG8" s="24">
        <v>0</v>
      </c>
      <c r="BH8" s="24">
        <v>0</v>
      </c>
      <c r="BI8" s="24">
        <v>1</v>
      </c>
      <c r="BJ8" s="24">
        <v>1</v>
      </c>
      <c r="BK8" s="24">
        <v>1</v>
      </c>
      <c r="BL8" s="24">
        <v>1</v>
      </c>
      <c r="BM8" s="24">
        <v>1</v>
      </c>
      <c r="BN8" s="24">
        <v>1</v>
      </c>
      <c r="BO8" s="24">
        <v>1</v>
      </c>
      <c r="BP8" s="24">
        <v>1</v>
      </c>
      <c r="BQ8" s="24">
        <v>1</v>
      </c>
      <c r="BR8" s="24">
        <v>1</v>
      </c>
      <c r="BS8" s="24">
        <v>1</v>
      </c>
      <c r="BT8" s="24">
        <v>1</v>
      </c>
      <c r="BU8" s="24">
        <v>1</v>
      </c>
      <c r="BV8" s="24">
        <v>1</v>
      </c>
      <c r="BW8" s="24">
        <v>1</v>
      </c>
      <c r="BX8" s="24">
        <v>1</v>
      </c>
      <c r="BY8" s="24">
        <v>1</v>
      </c>
      <c r="BZ8" s="24">
        <v>1</v>
      </c>
      <c r="CA8" s="24">
        <v>1</v>
      </c>
      <c r="CB8" s="24">
        <v>1</v>
      </c>
      <c r="CC8" s="24">
        <v>1</v>
      </c>
      <c r="CD8" s="24">
        <v>1</v>
      </c>
      <c r="CE8" s="24">
        <v>1</v>
      </c>
      <c r="CF8" s="24">
        <v>1</v>
      </c>
      <c r="CG8" s="24">
        <v>1</v>
      </c>
      <c r="CH8" s="24">
        <v>1</v>
      </c>
      <c r="CI8" s="24">
        <v>1</v>
      </c>
      <c r="CJ8" s="24">
        <v>1</v>
      </c>
      <c r="CK8" s="24">
        <v>1</v>
      </c>
      <c r="CL8" s="24">
        <v>1</v>
      </c>
      <c r="CM8" s="24">
        <v>1</v>
      </c>
      <c r="CN8" s="24">
        <v>1</v>
      </c>
      <c r="CO8" s="24">
        <v>1</v>
      </c>
      <c r="CP8" s="24">
        <v>1</v>
      </c>
      <c r="CQ8" s="24">
        <v>1</v>
      </c>
      <c r="CR8" s="24">
        <v>1</v>
      </c>
      <c r="CS8" s="24">
        <v>1</v>
      </c>
      <c r="CT8" s="24">
        <v>1</v>
      </c>
      <c r="CU8" s="24">
        <v>1</v>
      </c>
      <c r="CV8" s="24">
        <v>1</v>
      </c>
      <c r="CW8" s="24">
        <v>1</v>
      </c>
      <c r="CX8" s="23" t="s">
        <v>95</v>
      </c>
    </row>
    <row r="9" spans="1:102" x14ac:dyDescent="0.25">
      <c r="A9" s="23" t="s">
        <v>37</v>
      </c>
      <c r="F9" s="23" t="s">
        <v>38</v>
      </c>
      <c r="L9" s="25">
        <v>8</v>
      </c>
      <c r="M9" s="25">
        <v>8</v>
      </c>
      <c r="N9" s="25">
        <v>8</v>
      </c>
      <c r="O9" s="25">
        <v>8</v>
      </c>
      <c r="P9" s="25">
        <v>8</v>
      </c>
      <c r="Q9" s="25">
        <v>0</v>
      </c>
      <c r="R9" s="25">
        <v>0</v>
      </c>
      <c r="S9" s="25">
        <v>8</v>
      </c>
      <c r="T9" s="25">
        <v>8</v>
      </c>
      <c r="U9" s="25">
        <v>8</v>
      </c>
      <c r="V9" s="25">
        <v>8</v>
      </c>
      <c r="W9" s="25">
        <v>8</v>
      </c>
      <c r="X9" s="25">
        <v>0</v>
      </c>
      <c r="Y9" s="25">
        <v>0</v>
      </c>
      <c r="Z9" s="25">
        <v>8</v>
      </c>
      <c r="AA9" s="25">
        <v>8</v>
      </c>
      <c r="AB9" s="25">
        <v>8</v>
      </c>
      <c r="AC9" s="25">
        <v>8</v>
      </c>
      <c r="AD9" s="25">
        <v>8</v>
      </c>
      <c r="AE9" s="25">
        <v>0</v>
      </c>
      <c r="AF9" s="25">
        <v>0</v>
      </c>
      <c r="AG9" s="25">
        <v>8</v>
      </c>
      <c r="AH9" s="25">
        <v>8</v>
      </c>
      <c r="AI9" s="25">
        <v>8</v>
      </c>
      <c r="AJ9" s="25">
        <v>8</v>
      </c>
      <c r="AK9" s="25">
        <v>8</v>
      </c>
      <c r="AL9" s="25">
        <v>0</v>
      </c>
      <c r="AM9" s="25">
        <v>0</v>
      </c>
      <c r="AN9" s="25">
        <v>8</v>
      </c>
      <c r="AO9" s="25">
        <v>8</v>
      </c>
      <c r="AP9" s="25">
        <v>8</v>
      </c>
      <c r="AQ9" s="25">
        <v>8</v>
      </c>
      <c r="AR9" s="25">
        <v>8</v>
      </c>
      <c r="AS9" s="25">
        <v>0</v>
      </c>
      <c r="AT9" s="25">
        <v>0</v>
      </c>
      <c r="AU9" s="25">
        <v>8</v>
      </c>
      <c r="AV9" s="25">
        <v>8</v>
      </c>
      <c r="AW9" s="25">
        <v>8</v>
      </c>
      <c r="AX9" s="25">
        <v>8</v>
      </c>
      <c r="AY9" s="25">
        <v>8</v>
      </c>
      <c r="AZ9" s="25">
        <v>0</v>
      </c>
      <c r="BA9" s="25">
        <v>0</v>
      </c>
      <c r="BB9" s="25">
        <v>8</v>
      </c>
      <c r="BC9" s="25">
        <v>8</v>
      </c>
      <c r="BD9" s="25">
        <v>8</v>
      </c>
      <c r="BE9" s="25">
        <v>8</v>
      </c>
      <c r="BF9" s="25">
        <v>8</v>
      </c>
      <c r="BG9" s="25">
        <v>0</v>
      </c>
      <c r="BH9" s="25">
        <v>0</v>
      </c>
      <c r="BI9" s="25">
        <v>12</v>
      </c>
      <c r="BJ9" s="25">
        <v>12</v>
      </c>
      <c r="BK9" s="25">
        <v>12</v>
      </c>
      <c r="BL9" s="25">
        <v>12</v>
      </c>
      <c r="BM9" s="25">
        <v>12</v>
      </c>
      <c r="BN9" s="25">
        <v>12</v>
      </c>
      <c r="BO9" s="25">
        <v>12</v>
      </c>
      <c r="BP9" s="25">
        <v>12</v>
      </c>
      <c r="BQ9" s="25">
        <v>12</v>
      </c>
      <c r="BR9" s="25">
        <v>12</v>
      </c>
      <c r="BS9" s="25">
        <v>12</v>
      </c>
      <c r="BT9" s="25">
        <v>12</v>
      </c>
      <c r="BU9" s="25">
        <v>12</v>
      </c>
      <c r="BV9" s="25">
        <v>12</v>
      </c>
      <c r="BW9" s="25">
        <v>12</v>
      </c>
      <c r="BX9" s="25">
        <v>12</v>
      </c>
      <c r="BY9" s="25">
        <v>12</v>
      </c>
      <c r="BZ9" s="25">
        <v>12</v>
      </c>
      <c r="CA9" s="25">
        <v>12</v>
      </c>
      <c r="CB9" s="25">
        <v>12</v>
      </c>
      <c r="CC9" s="25">
        <v>12</v>
      </c>
      <c r="CD9" s="25">
        <v>12</v>
      </c>
      <c r="CE9" s="25">
        <v>12</v>
      </c>
      <c r="CF9" s="25">
        <v>12</v>
      </c>
      <c r="CG9" s="25">
        <v>12</v>
      </c>
      <c r="CH9" s="25">
        <v>12</v>
      </c>
      <c r="CI9" s="25">
        <v>12</v>
      </c>
      <c r="CJ9" s="25">
        <v>12</v>
      </c>
      <c r="CK9" s="25">
        <v>12</v>
      </c>
      <c r="CL9" s="25">
        <v>12</v>
      </c>
      <c r="CM9" s="25">
        <v>12</v>
      </c>
      <c r="CN9" s="25">
        <v>12</v>
      </c>
      <c r="CO9" s="25">
        <v>12</v>
      </c>
      <c r="CP9" s="25">
        <v>12</v>
      </c>
      <c r="CQ9" s="25">
        <v>12</v>
      </c>
      <c r="CR9" s="25">
        <v>12</v>
      </c>
      <c r="CS9" s="25">
        <v>12</v>
      </c>
      <c r="CT9" s="25">
        <v>12</v>
      </c>
      <c r="CU9" s="25">
        <v>12</v>
      </c>
      <c r="CV9" s="25">
        <v>12</v>
      </c>
      <c r="CW9" s="25">
        <v>12</v>
      </c>
      <c r="CX9" s="23" t="s">
        <v>95</v>
      </c>
    </row>
    <row r="10" spans="2:102" x14ac:dyDescent="0.25">
      <c r="B10" s="26">
        <f>SUM(L10:CW10)</f>
      </c>
      <c r="D10" s="27">
        <f>B10*E10</f>
      </c>
      <c r="E10" s="27">
        <f>'Rate Tables'!C25</f>
      </c>
      <c r="F10" s="8" t="s">
        <v>39</v>
      </c>
      <c r="L10" s="26">
        <f>IF(L$6="","",IF(OR(WEEKDAY(L$6,1)=1,WEEKDAY(L$6,1)=7),0,MIN(8,L9)*L8))</f>
      </c>
      <c r="M10" s="26">
        <f>IF(M$6="","",IF(OR(WEEKDAY(M$6,1)=1,WEEKDAY(M$6,1)=7),0,MIN(8,M9)*M8))</f>
      </c>
      <c r="N10" s="26">
        <f>IF(N$6="","",IF(OR(WEEKDAY(N$6,1)=1,WEEKDAY(N$6,1)=7),0,MIN(8,N9)*N8))</f>
      </c>
      <c r="O10" s="26">
        <f>IF(O$6="","",IF(OR(WEEKDAY(O$6,1)=1,WEEKDAY(O$6,1)=7),0,MIN(8,O9)*O8))</f>
      </c>
      <c r="P10" s="26">
        <f>IF(P$6="","",IF(OR(WEEKDAY(P$6,1)=1,WEEKDAY(P$6,1)=7),0,MIN(8,P9)*P8))</f>
      </c>
      <c r="Q10" s="26">
        <f>IF(Q$6="","",IF(OR(WEEKDAY(Q$6,1)=1,WEEKDAY(Q$6,1)=7),0,MIN(8,Q9)*Q8))</f>
      </c>
      <c r="R10" s="26">
        <f>IF(R$6="","",IF(OR(WEEKDAY(R$6,1)=1,WEEKDAY(R$6,1)=7),0,MIN(8,R9)*R8))</f>
      </c>
      <c r="S10" s="26">
        <f>IF(S$6="","",IF(OR(WEEKDAY(S$6,1)=1,WEEKDAY(S$6,1)=7),0,MIN(8,S9)*S8))</f>
      </c>
      <c r="T10" s="26">
        <f>IF(T$6="","",IF(OR(WEEKDAY(T$6,1)=1,WEEKDAY(T$6,1)=7),0,MIN(8,T9)*T8))</f>
      </c>
      <c r="U10" s="26">
        <f>IF(U$6="","",IF(OR(WEEKDAY(U$6,1)=1,WEEKDAY(U$6,1)=7),0,MIN(8,U9)*U8))</f>
      </c>
      <c r="V10" s="26">
        <f>IF(V$6="","",IF(OR(WEEKDAY(V$6,1)=1,WEEKDAY(V$6,1)=7),0,MIN(8,V9)*V8))</f>
      </c>
      <c r="W10" s="26">
        <f>IF(W$6="","",IF(OR(WEEKDAY(W$6,1)=1,WEEKDAY(W$6,1)=7),0,MIN(8,W9)*W8))</f>
      </c>
      <c r="X10" s="26">
        <f>IF(X$6="","",IF(OR(WEEKDAY(X$6,1)=1,WEEKDAY(X$6,1)=7),0,MIN(8,X9)*X8))</f>
      </c>
      <c r="Y10" s="26">
        <f>IF(Y$6="","",IF(OR(WEEKDAY(Y$6,1)=1,WEEKDAY(Y$6,1)=7),0,MIN(8,Y9)*Y8))</f>
      </c>
      <c r="Z10" s="26">
        <f>IF(Z$6="","",IF(OR(WEEKDAY(Z$6,1)=1,WEEKDAY(Z$6,1)=7),0,MIN(8,Z9)*Z8))</f>
      </c>
      <c r="AA10" s="26">
        <f>IF(AA$6="","",IF(OR(WEEKDAY(AA$6,1)=1,WEEKDAY(AA$6,1)=7),0,MIN(8,AA9)*AA8))</f>
      </c>
      <c r="AB10" s="26">
        <f>IF(AB$6="","",IF(OR(WEEKDAY(AB$6,1)=1,WEEKDAY(AB$6,1)=7),0,MIN(8,AB9)*AB8))</f>
      </c>
      <c r="AC10" s="26">
        <f>IF(AC$6="","",IF(OR(WEEKDAY(AC$6,1)=1,WEEKDAY(AC$6,1)=7),0,MIN(8,AC9)*AC8))</f>
      </c>
      <c r="AD10" s="26">
        <f>IF(AD$6="","",IF(OR(WEEKDAY(AD$6,1)=1,WEEKDAY(AD$6,1)=7),0,MIN(8,AD9)*AD8))</f>
      </c>
      <c r="AE10" s="26">
        <f>IF(AE$6="","",IF(OR(WEEKDAY(AE$6,1)=1,WEEKDAY(AE$6,1)=7),0,MIN(8,AE9)*AE8))</f>
      </c>
      <c r="AF10" s="26">
        <f>IF(AF$6="","",IF(OR(WEEKDAY(AF$6,1)=1,WEEKDAY(AF$6,1)=7),0,MIN(8,AF9)*AF8))</f>
      </c>
      <c r="AG10" s="26">
        <f>IF(AG$6="","",IF(OR(WEEKDAY(AG$6,1)=1,WEEKDAY(AG$6,1)=7),0,MIN(8,AG9)*AG8))</f>
      </c>
      <c r="AH10" s="26">
        <f>IF(AH$6="","",IF(OR(WEEKDAY(AH$6,1)=1,WEEKDAY(AH$6,1)=7),0,MIN(8,AH9)*AH8))</f>
      </c>
      <c r="AI10" s="26">
        <f>IF(AI$6="","",IF(OR(WEEKDAY(AI$6,1)=1,WEEKDAY(AI$6,1)=7),0,MIN(8,AI9)*AI8))</f>
      </c>
      <c r="AJ10" s="26">
        <f>IF(AJ$6="","",IF(OR(WEEKDAY(AJ$6,1)=1,WEEKDAY(AJ$6,1)=7),0,MIN(8,AJ9)*AJ8))</f>
      </c>
      <c r="AK10" s="26">
        <f>IF(AK$6="","",IF(OR(WEEKDAY(AK$6,1)=1,WEEKDAY(AK$6,1)=7),0,MIN(8,AK9)*AK8))</f>
      </c>
      <c r="AL10" s="26">
        <f>IF(AL$6="","",IF(OR(WEEKDAY(AL$6,1)=1,WEEKDAY(AL$6,1)=7),0,MIN(8,AL9)*AL8))</f>
      </c>
      <c r="AM10" s="26">
        <f>IF(AM$6="","",IF(OR(WEEKDAY(AM$6,1)=1,WEEKDAY(AM$6,1)=7),0,MIN(8,AM9)*AM8))</f>
      </c>
      <c r="AN10" s="26">
        <f>IF(AN$6="","",IF(OR(WEEKDAY(AN$6,1)=1,WEEKDAY(AN$6,1)=7),0,MIN(8,AN9)*AN8))</f>
      </c>
      <c r="AO10" s="26">
        <f>IF(AO$6="","",IF(OR(WEEKDAY(AO$6,1)=1,WEEKDAY(AO$6,1)=7),0,MIN(8,AO9)*AO8))</f>
      </c>
      <c r="AP10" s="26">
        <f>IF(AP$6="","",IF(OR(WEEKDAY(AP$6,1)=1,WEEKDAY(AP$6,1)=7),0,MIN(8,AP9)*AP8))</f>
      </c>
      <c r="AQ10" s="26">
        <f>IF(AQ$6="","",IF(OR(WEEKDAY(AQ$6,1)=1,WEEKDAY(AQ$6,1)=7),0,MIN(8,AQ9)*AQ8))</f>
      </c>
      <c r="AR10" s="26">
        <f>IF(AR$6="","",IF(OR(WEEKDAY(AR$6,1)=1,WEEKDAY(AR$6,1)=7),0,MIN(8,AR9)*AR8))</f>
      </c>
      <c r="AS10" s="26">
        <f>IF(AS$6="","",IF(OR(WEEKDAY(AS$6,1)=1,WEEKDAY(AS$6,1)=7),0,MIN(8,AS9)*AS8))</f>
      </c>
      <c r="AT10" s="26">
        <f>IF(AT$6="","",IF(OR(WEEKDAY(AT$6,1)=1,WEEKDAY(AT$6,1)=7),0,MIN(8,AT9)*AT8))</f>
      </c>
      <c r="AU10" s="26">
        <f>IF(AU$6="","",IF(OR(WEEKDAY(AU$6,1)=1,WEEKDAY(AU$6,1)=7),0,MIN(8,AU9)*AU8))</f>
      </c>
      <c r="AV10" s="26">
        <f>IF(AV$6="","",IF(OR(WEEKDAY(AV$6,1)=1,WEEKDAY(AV$6,1)=7),0,MIN(8,AV9)*AV8))</f>
      </c>
      <c r="AW10" s="26">
        <f>IF(AW$6="","",IF(OR(WEEKDAY(AW$6,1)=1,WEEKDAY(AW$6,1)=7),0,MIN(8,AW9)*AW8))</f>
      </c>
      <c r="AX10" s="26">
        <f>IF(AX$6="","",IF(OR(WEEKDAY(AX$6,1)=1,WEEKDAY(AX$6,1)=7),0,MIN(8,AX9)*AX8))</f>
      </c>
      <c r="AY10" s="26">
        <f>IF(AY$6="","",IF(OR(WEEKDAY(AY$6,1)=1,WEEKDAY(AY$6,1)=7),0,MIN(8,AY9)*AY8))</f>
      </c>
      <c r="AZ10" s="26">
        <f>IF(AZ$6="","",IF(OR(WEEKDAY(AZ$6,1)=1,WEEKDAY(AZ$6,1)=7),0,MIN(8,AZ9)*AZ8))</f>
      </c>
      <c r="BA10" s="26">
        <f>IF(BA$6="","",IF(OR(WEEKDAY(BA$6,1)=1,WEEKDAY(BA$6,1)=7),0,MIN(8,BA9)*BA8))</f>
      </c>
      <c r="BB10" s="26">
        <f>IF(BB$6="","",IF(OR(WEEKDAY(BB$6,1)=1,WEEKDAY(BB$6,1)=7),0,MIN(8,BB9)*BB8))</f>
      </c>
      <c r="BC10" s="26">
        <f>IF(BC$6="","",IF(OR(WEEKDAY(BC$6,1)=1,WEEKDAY(BC$6,1)=7),0,MIN(8,BC9)*BC8))</f>
      </c>
      <c r="BD10" s="26">
        <f>IF(BD$6="","",IF(OR(WEEKDAY(BD$6,1)=1,WEEKDAY(BD$6,1)=7),0,MIN(8,BD9)*BD8))</f>
      </c>
      <c r="BE10" s="26">
        <f>IF(BE$6="","",IF(OR(WEEKDAY(BE$6,1)=1,WEEKDAY(BE$6,1)=7),0,MIN(8,BE9)*BE8))</f>
      </c>
      <c r="BF10" s="26">
        <f>IF(BF$6="","",IF(OR(WEEKDAY(BF$6,1)=1,WEEKDAY(BF$6,1)=7),0,MIN(8,BF9)*BF8))</f>
      </c>
      <c r="BG10" s="26">
        <f>IF(BG$6="","",IF(OR(WEEKDAY(BG$6,1)=1,WEEKDAY(BG$6,1)=7),0,MIN(8,BG9)*BG8))</f>
      </c>
      <c r="BH10" s="26">
        <f>IF(BH$6="","",IF(OR(WEEKDAY(BH$6,1)=1,WEEKDAY(BH$6,1)=7),0,MIN(8,BH9)*BH8))</f>
      </c>
      <c r="BI10" s="26">
        <f>IF(BI$6="","",IF(OR(WEEKDAY(BI$6,1)=1,WEEKDAY(BI$6,1)=7),0,MIN(8,BI9)*BI8))</f>
      </c>
      <c r="BJ10" s="26">
        <f>IF(BJ$6="","",IF(OR(WEEKDAY(BJ$6,1)=1,WEEKDAY(BJ$6,1)=7),0,MIN(8,BJ9)*BJ8))</f>
      </c>
      <c r="BK10" s="26">
        <f>IF(BK$6="","",IF(OR(WEEKDAY(BK$6,1)=1,WEEKDAY(BK$6,1)=7),0,MIN(8,BK9)*BK8))</f>
      </c>
      <c r="BL10" s="26">
        <f>IF(BL$6="","",IF(OR(WEEKDAY(BL$6,1)=1,WEEKDAY(BL$6,1)=7),0,MIN(8,BL9)*BL8))</f>
      </c>
      <c r="BM10" s="26">
        <f>IF(BM$6="","",IF(OR(WEEKDAY(BM$6,1)=1,WEEKDAY(BM$6,1)=7),0,MIN(8,BM9)*BM8))</f>
      </c>
      <c r="BN10" s="26">
        <f>IF(BN$6="","",IF(OR(WEEKDAY(BN$6,1)=1,WEEKDAY(BN$6,1)=7),0,MIN(8,BN9)*BN8))</f>
      </c>
      <c r="BO10" s="26">
        <f>IF(BO$6="","",IF(OR(WEEKDAY(BO$6,1)=1,WEEKDAY(BO$6,1)=7),0,MIN(8,BO9)*BO8))</f>
      </c>
      <c r="BP10" s="26">
        <f>IF(BP$6="","",IF(OR(WEEKDAY(BP$6,1)=1,WEEKDAY(BP$6,1)=7),0,MIN(8,BP9)*BP8))</f>
      </c>
      <c r="BQ10" s="26">
        <f>IF(BQ$6="","",IF(OR(WEEKDAY(BQ$6,1)=1,WEEKDAY(BQ$6,1)=7),0,MIN(8,BQ9)*BQ8))</f>
      </c>
      <c r="BR10" s="26">
        <f>IF(BR$6="","",IF(OR(WEEKDAY(BR$6,1)=1,WEEKDAY(BR$6,1)=7),0,MIN(8,BR9)*BR8))</f>
      </c>
      <c r="BS10" s="26">
        <f>IF(BS$6="","",IF(OR(WEEKDAY(BS$6,1)=1,WEEKDAY(BS$6,1)=7),0,MIN(8,BS9)*BS8))</f>
      </c>
      <c r="BT10" s="26">
        <f>IF(BT$6="","",IF(OR(WEEKDAY(BT$6,1)=1,WEEKDAY(BT$6,1)=7),0,MIN(8,BT9)*BT8))</f>
      </c>
      <c r="BU10" s="26">
        <f>IF(BU$6="","",IF(OR(WEEKDAY(BU$6,1)=1,WEEKDAY(BU$6,1)=7),0,MIN(8,BU9)*BU8))</f>
      </c>
      <c r="BV10" s="26">
        <f>IF(BV$6="","",IF(OR(WEEKDAY(BV$6,1)=1,WEEKDAY(BV$6,1)=7),0,MIN(8,BV9)*BV8))</f>
      </c>
      <c r="BW10" s="26">
        <f>IF(BW$6="","",IF(OR(WEEKDAY(BW$6,1)=1,WEEKDAY(BW$6,1)=7),0,MIN(8,BW9)*BW8))</f>
      </c>
      <c r="BX10" s="26">
        <f>IF(BX$6="","",IF(OR(WEEKDAY(BX$6,1)=1,WEEKDAY(BX$6,1)=7),0,MIN(8,BX9)*BX8))</f>
      </c>
      <c r="BY10" s="26">
        <f>IF(BY$6="","",IF(OR(WEEKDAY(BY$6,1)=1,WEEKDAY(BY$6,1)=7),0,MIN(8,BY9)*BY8))</f>
      </c>
      <c r="BZ10" s="26">
        <f>IF(BZ$6="","",IF(OR(WEEKDAY(BZ$6,1)=1,WEEKDAY(BZ$6,1)=7),0,MIN(8,BZ9)*BZ8))</f>
      </c>
      <c r="CA10" s="26">
        <f>IF(CA$6="","",IF(OR(WEEKDAY(CA$6,1)=1,WEEKDAY(CA$6,1)=7),0,MIN(8,CA9)*CA8))</f>
      </c>
      <c r="CB10" s="26">
        <f>IF(CB$6="","",IF(OR(WEEKDAY(CB$6,1)=1,WEEKDAY(CB$6,1)=7),0,MIN(8,CB9)*CB8))</f>
      </c>
      <c r="CC10" s="26">
        <f>IF(CC$6="","",IF(OR(WEEKDAY(CC$6,1)=1,WEEKDAY(CC$6,1)=7),0,MIN(8,CC9)*CC8))</f>
      </c>
      <c r="CD10" s="26">
        <f>IF(CD$6="","",IF(OR(WEEKDAY(CD$6,1)=1,WEEKDAY(CD$6,1)=7),0,MIN(8,CD9)*CD8))</f>
      </c>
      <c r="CE10" s="26">
        <f>IF(CE$6="","",IF(OR(WEEKDAY(CE$6,1)=1,WEEKDAY(CE$6,1)=7),0,MIN(8,CE9)*CE8))</f>
      </c>
      <c r="CF10" s="26">
        <f>IF(CF$6="","",IF(OR(WEEKDAY(CF$6,1)=1,WEEKDAY(CF$6,1)=7),0,MIN(8,CF9)*CF8))</f>
      </c>
      <c r="CG10" s="26">
        <f>IF(CG$6="","",IF(OR(WEEKDAY(CG$6,1)=1,WEEKDAY(CG$6,1)=7),0,MIN(8,CG9)*CG8))</f>
      </c>
      <c r="CH10" s="26">
        <f>IF(CH$6="","",IF(OR(WEEKDAY(CH$6,1)=1,WEEKDAY(CH$6,1)=7),0,MIN(8,CH9)*CH8))</f>
      </c>
      <c r="CI10" s="26">
        <f>IF(CI$6="","",IF(OR(WEEKDAY(CI$6,1)=1,WEEKDAY(CI$6,1)=7),0,MIN(8,CI9)*CI8))</f>
      </c>
      <c r="CJ10" s="26">
        <f>IF(CJ$6="","",IF(OR(WEEKDAY(CJ$6,1)=1,WEEKDAY(CJ$6,1)=7),0,MIN(8,CJ9)*CJ8))</f>
      </c>
      <c r="CK10" s="26">
        <f>IF(CK$6="","",IF(OR(WEEKDAY(CK$6,1)=1,WEEKDAY(CK$6,1)=7),0,MIN(8,CK9)*CK8))</f>
      </c>
      <c r="CL10" s="26">
        <f>IF(CL$6="","",IF(OR(WEEKDAY(CL$6,1)=1,WEEKDAY(CL$6,1)=7),0,MIN(8,CL9)*CL8))</f>
      </c>
      <c r="CM10" s="26">
        <f>IF(CM$6="","",IF(OR(WEEKDAY(CM$6,1)=1,WEEKDAY(CM$6,1)=7),0,MIN(8,CM9)*CM8))</f>
      </c>
      <c r="CN10" s="26">
        <f>IF(CN$6="","",IF(OR(WEEKDAY(CN$6,1)=1,WEEKDAY(CN$6,1)=7),0,MIN(8,CN9)*CN8))</f>
      </c>
      <c r="CO10" s="26">
        <f>IF(CO$6="","",IF(OR(WEEKDAY(CO$6,1)=1,WEEKDAY(CO$6,1)=7),0,MIN(8,CO9)*CO8))</f>
      </c>
      <c r="CP10" s="26">
        <f>IF(CP$6="","",IF(OR(WEEKDAY(CP$6,1)=1,WEEKDAY(CP$6,1)=7),0,MIN(8,CP9)*CP8))</f>
      </c>
      <c r="CQ10" s="26">
        <f>IF(CQ$6="","",IF(OR(WEEKDAY(CQ$6,1)=1,WEEKDAY(CQ$6,1)=7),0,MIN(8,CQ9)*CQ8))</f>
      </c>
      <c r="CR10" s="26">
        <f>IF(CR$6="","",IF(OR(WEEKDAY(CR$6,1)=1,WEEKDAY(CR$6,1)=7),0,MIN(8,CR9)*CR8))</f>
      </c>
      <c r="CS10" s="26">
        <f>IF(CS$6="","",IF(OR(WEEKDAY(CS$6,1)=1,WEEKDAY(CS$6,1)=7),0,MIN(8,CS9)*CS8))</f>
      </c>
      <c r="CT10" s="26">
        <f>IF(CT$6="","",IF(OR(WEEKDAY(CT$6,1)=1,WEEKDAY(CT$6,1)=7),0,MIN(8,CT9)*CT8))</f>
      </c>
      <c r="CU10" s="26">
        <f>IF(CU$6="","",IF(OR(WEEKDAY(CU$6,1)=1,WEEKDAY(CU$6,1)=7),0,MIN(8,CU9)*CU8))</f>
      </c>
      <c r="CV10" s="26">
        <f>IF(CV$6="","",IF(OR(WEEKDAY(CV$6,1)=1,WEEKDAY(CV$6,1)=7),0,MIN(8,CV9)*CV8))</f>
      </c>
      <c r="CW10" s="26">
        <f>IF(CW$6="","",IF(OR(WEEKDAY(CW$6,1)=1,WEEKDAY(CW$6,1)=7),0,MIN(8,CW9)*CW8))</f>
      </c>
      <c r="CX10" s="8" t="s">
        <v>95</v>
      </c>
    </row>
    <row r="11" spans="2:102" x14ac:dyDescent="0.25">
      <c r="B11" s="26">
        <f>SUM(L11:CW11)</f>
      </c>
      <c r="D11" s="27">
        <f>B11*E11</f>
      </c>
      <c r="E11" s="27">
        <f>'Rate Tables'!D25</f>
      </c>
      <c r="F11" s="8" t="s">
        <v>40</v>
      </c>
      <c r="L11" s="26">
        <f>IF(L$6="","",IF(WEEKDAY(L$6,1)=1,0,IF(WEEKDAY(L$6,1)=7,L9*L8,MAX(0,L9-8)*L8)))</f>
      </c>
      <c r="M11" s="26">
        <f>IF(M$6="","",IF(WEEKDAY(M$6,1)=1,0,IF(WEEKDAY(M$6,1)=7,M9*M8,MAX(0,M9-8)*M8)))</f>
      </c>
      <c r="N11" s="26">
        <f>IF(N$6="","",IF(WEEKDAY(N$6,1)=1,0,IF(WEEKDAY(N$6,1)=7,N9*N8,MAX(0,N9-8)*N8)))</f>
      </c>
      <c r="O11" s="26">
        <f>IF(O$6="","",IF(WEEKDAY(O$6,1)=1,0,IF(WEEKDAY(O$6,1)=7,O9*O8,MAX(0,O9-8)*O8)))</f>
      </c>
      <c r="P11" s="26">
        <f>IF(P$6="","",IF(WEEKDAY(P$6,1)=1,0,IF(WEEKDAY(P$6,1)=7,P9*P8,MAX(0,P9-8)*P8)))</f>
      </c>
      <c r="Q11" s="26">
        <f>IF(Q$6="","",IF(WEEKDAY(Q$6,1)=1,0,IF(WEEKDAY(Q$6,1)=7,Q9*Q8,MAX(0,Q9-8)*Q8)))</f>
      </c>
      <c r="R11" s="26">
        <f>IF(R$6="","",IF(WEEKDAY(R$6,1)=1,0,IF(WEEKDAY(R$6,1)=7,R9*R8,MAX(0,R9-8)*R8)))</f>
      </c>
      <c r="S11" s="26">
        <f>IF(S$6="","",IF(WEEKDAY(S$6,1)=1,0,IF(WEEKDAY(S$6,1)=7,S9*S8,MAX(0,S9-8)*S8)))</f>
      </c>
      <c r="T11" s="26">
        <f>IF(T$6="","",IF(WEEKDAY(T$6,1)=1,0,IF(WEEKDAY(T$6,1)=7,T9*T8,MAX(0,T9-8)*T8)))</f>
      </c>
      <c r="U11" s="26">
        <f>IF(U$6="","",IF(WEEKDAY(U$6,1)=1,0,IF(WEEKDAY(U$6,1)=7,U9*U8,MAX(0,U9-8)*U8)))</f>
      </c>
      <c r="V11" s="26">
        <f>IF(V$6="","",IF(WEEKDAY(V$6,1)=1,0,IF(WEEKDAY(V$6,1)=7,V9*V8,MAX(0,V9-8)*V8)))</f>
      </c>
      <c r="W11" s="26">
        <f>IF(W$6="","",IF(WEEKDAY(W$6,1)=1,0,IF(WEEKDAY(W$6,1)=7,W9*W8,MAX(0,W9-8)*W8)))</f>
      </c>
      <c r="X11" s="26">
        <f>IF(X$6="","",IF(WEEKDAY(X$6,1)=1,0,IF(WEEKDAY(X$6,1)=7,X9*X8,MAX(0,X9-8)*X8)))</f>
      </c>
      <c r="Y11" s="26">
        <f>IF(Y$6="","",IF(WEEKDAY(Y$6,1)=1,0,IF(WEEKDAY(Y$6,1)=7,Y9*Y8,MAX(0,Y9-8)*Y8)))</f>
      </c>
      <c r="Z11" s="26">
        <f>IF(Z$6="","",IF(WEEKDAY(Z$6,1)=1,0,IF(WEEKDAY(Z$6,1)=7,Z9*Z8,MAX(0,Z9-8)*Z8)))</f>
      </c>
      <c r="AA11" s="26">
        <f>IF(AA$6="","",IF(WEEKDAY(AA$6,1)=1,0,IF(WEEKDAY(AA$6,1)=7,AA9*AA8,MAX(0,AA9-8)*AA8)))</f>
      </c>
      <c r="AB11" s="26">
        <f>IF(AB$6="","",IF(WEEKDAY(AB$6,1)=1,0,IF(WEEKDAY(AB$6,1)=7,AB9*AB8,MAX(0,AB9-8)*AB8)))</f>
      </c>
      <c r="AC11" s="26">
        <f>IF(AC$6="","",IF(WEEKDAY(AC$6,1)=1,0,IF(WEEKDAY(AC$6,1)=7,AC9*AC8,MAX(0,AC9-8)*AC8)))</f>
      </c>
      <c r="AD11" s="26">
        <f>IF(AD$6="","",IF(WEEKDAY(AD$6,1)=1,0,IF(WEEKDAY(AD$6,1)=7,AD9*AD8,MAX(0,AD9-8)*AD8)))</f>
      </c>
      <c r="AE11" s="26">
        <f>IF(AE$6="","",IF(WEEKDAY(AE$6,1)=1,0,IF(WEEKDAY(AE$6,1)=7,AE9*AE8,MAX(0,AE9-8)*AE8)))</f>
      </c>
      <c r="AF11" s="26">
        <f>IF(AF$6="","",IF(WEEKDAY(AF$6,1)=1,0,IF(WEEKDAY(AF$6,1)=7,AF9*AF8,MAX(0,AF9-8)*AF8)))</f>
      </c>
      <c r="AG11" s="26">
        <f>IF(AG$6="","",IF(WEEKDAY(AG$6,1)=1,0,IF(WEEKDAY(AG$6,1)=7,AG9*AG8,MAX(0,AG9-8)*AG8)))</f>
      </c>
      <c r="AH11" s="26">
        <f>IF(AH$6="","",IF(WEEKDAY(AH$6,1)=1,0,IF(WEEKDAY(AH$6,1)=7,AH9*AH8,MAX(0,AH9-8)*AH8)))</f>
      </c>
      <c r="AI11" s="26">
        <f>IF(AI$6="","",IF(WEEKDAY(AI$6,1)=1,0,IF(WEEKDAY(AI$6,1)=7,AI9*AI8,MAX(0,AI9-8)*AI8)))</f>
      </c>
      <c r="AJ11" s="26">
        <f>IF(AJ$6="","",IF(WEEKDAY(AJ$6,1)=1,0,IF(WEEKDAY(AJ$6,1)=7,AJ9*AJ8,MAX(0,AJ9-8)*AJ8)))</f>
      </c>
      <c r="AK11" s="26">
        <f>IF(AK$6="","",IF(WEEKDAY(AK$6,1)=1,0,IF(WEEKDAY(AK$6,1)=7,AK9*AK8,MAX(0,AK9-8)*AK8)))</f>
      </c>
      <c r="AL11" s="26">
        <f>IF(AL$6="","",IF(WEEKDAY(AL$6,1)=1,0,IF(WEEKDAY(AL$6,1)=7,AL9*AL8,MAX(0,AL9-8)*AL8)))</f>
      </c>
      <c r="AM11" s="26">
        <f>IF(AM$6="","",IF(WEEKDAY(AM$6,1)=1,0,IF(WEEKDAY(AM$6,1)=7,AM9*AM8,MAX(0,AM9-8)*AM8)))</f>
      </c>
      <c r="AN11" s="26">
        <f>IF(AN$6="","",IF(WEEKDAY(AN$6,1)=1,0,IF(WEEKDAY(AN$6,1)=7,AN9*AN8,MAX(0,AN9-8)*AN8)))</f>
      </c>
      <c r="AO11" s="26">
        <f>IF(AO$6="","",IF(WEEKDAY(AO$6,1)=1,0,IF(WEEKDAY(AO$6,1)=7,AO9*AO8,MAX(0,AO9-8)*AO8)))</f>
      </c>
      <c r="AP11" s="26">
        <f>IF(AP$6="","",IF(WEEKDAY(AP$6,1)=1,0,IF(WEEKDAY(AP$6,1)=7,AP9*AP8,MAX(0,AP9-8)*AP8)))</f>
      </c>
      <c r="AQ11" s="26">
        <f>IF(AQ$6="","",IF(WEEKDAY(AQ$6,1)=1,0,IF(WEEKDAY(AQ$6,1)=7,AQ9*AQ8,MAX(0,AQ9-8)*AQ8)))</f>
      </c>
      <c r="AR11" s="26">
        <f>IF(AR$6="","",IF(WEEKDAY(AR$6,1)=1,0,IF(WEEKDAY(AR$6,1)=7,AR9*AR8,MAX(0,AR9-8)*AR8)))</f>
      </c>
      <c r="AS11" s="26">
        <f>IF(AS$6="","",IF(WEEKDAY(AS$6,1)=1,0,IF(WEEKDAY(AS$6,1)=7,AS9*AS8,MAX(0,AS9-8)*AS8)))</f>
      </c>
      <c r="AT11" s="26">
        <f>IF(AT$6="","",IF(WEEKDAY(AT$6,1)=1,0,IF(WEEKDAY(AT$6,1)=7,AT9*AT8,MAX(0,AT9-8)*AT8)))</f>
      </c>
      <c r="AU11" s="26">
        <f>IF(AU$6="","",IF(WEEKDAY(AU$6,1)=1,0,IF(WEEKDAY(AU$6,1)=7,AU9*AU8,MAX(0,AU9-8)*AU8)))</f>
      </c>
      <c r="AV11" s="26">
        <f>IF(AV$6="","",IF(WEEKDAY(AV$6,1)=1,0,IF(WEEKDAY(AV$6,1)=7,AV9*AV8,MAX(0,AV9-8)*AV8)))</f>
      </c>
      <c r="AW11" s="26">
        <f>IF(AW$6="","",IF(WEEKDAY(AW$6,1)=1,0,IF(WEEKDAY(AW$6,1)=7,AW9*AW8,MAX(0,AW9-8)*AW8)))</f>
      </c>
      <c r="AX11" s="26">
        <f>IF(AX$6="","",IF(WEEKDAY(AX$6,1)=1,0,IF(WEEKDAY(AX$6,1)=7,AX9*AX8,MAX(0,AX9-8)*AX8)))</f>
      </c>
      <c r="AY11" s="26">
        <f>IF(AY$6="","",IF(WEEKDAY(AY$6,1)=1,0,IF(WEEKDAY(AY$6,1)=7,AY9*AY8,MAX(0,AY9-8)*AY8)))</f>
      </c>
      <c r="AZ11" s="26">
        <f>IF(AZ$6="","",IF(WEEKDAY(AZ$6,1)=1,0,IF(WEEKDAY(AZ$6,1)=7,AZ9*AZ8,MAX(0,AZ9-8)*AZ8)))</f>
      </c>
      <c r="BA11" s="26">
        <f>IF(BA$6="","",IF(WEEKDAY(BA$6,1)=1,0,IF(WEEKDAY(BA$6,1)=7,BA9*BA8,MAX(0,BA9-8)*BA8)))</f>
      </c>
      <c r="BB11" s="26">
        <f>IF(BB$6="","",IF(WEEKDAY(BB$6,1)=1,0,IF(WEEKDAY(BB$6,1)=7,BB9*BB8,MAX(0,BB9-8)*BB8)))</f>
      </c>
      <c r="BC11" s="26">
        <f>IF(BC$6="","",IF(WEEKDAY(BC$6,1)=1,0,IF(WEEKDAY(BC$6,1)=7,BC9*BC8,MAX(0,BC9-8)*BC8)))</f>
      </c>
      <c r="BD11" s="26">
        <f>IF(BD$6="","",IF(WEEKDAY(BD$6,1)=1,0,IF(WEEKDAY(BD$6,1)=7,BD9*BD8,MAX(0,BD9-8)*BD8)))</f>
      </c>
      <c r="BE11" s="26">
        <f>IF(BE$6="","",IF(WEEKDAY(BE$6,1)=1,0,IF(WEEKDAY(BE$6,1)=7,BE9*BE8,MAX(0,BE9-8)*BE8)))</f>
      </c>
      <c r="BF11" s="26">
        <f>IF(BF$6="","",IF(WEEKDAY(BF$6,1)=1,0,IF(WEEKDAY(BF$6,1)=7,BF9*BF8,MAX(0,BF9-8)*BF8)))</f>
      </c>
      <c r="BG11" s="26">
        <f>IF(BG$6="","",IF(WEEKDAY(BG$6,1)=1,0,IF(WEEKDAY(BG$6,1)=7,BG9*BG8,MAX(0,BG9-8)*BG8)))</f>
      </c>
      <c r="BH11" s="26">
        <f>IF(BH$6="","",IF(WEEKDAY(BH$6,1)=1,0,IF(WEEKDAY(BH$6,1)=7,BH9*BH8,MAX(0,BH9-8)*BH8)))</f>
      </c>
      <c r="BI11" s="26">
        <f>IF(BI$6="","",IF(WEEKDAY(BI$6,1)=1,0,IF(WEEKDAY(BI$6,1)=7,BI9*BI8,MAX(0,BI9-8)*BI8)))</f>
      </c>
      <c r="BJ11" s="26">
        <f>IF(BJ$6="","",IF(WEEKDAY(BJ$6,1)=1,0,IF(WEEKDAY(BJ$6,1)=7,BJ9*BJ8,MAX(0,BJ9-8)*BJ8)))</f>
      </c>
      <c r="BK11" s="26">
        <f>IF(BK$6="","",IF(WEEKDAY(BK$6,1)=1,0,IF(WEEKDAY(BK$6,1)=7,BK9*BK8,MAX(0,BK9-8)*BK8)))</f>
      </c>
      <c r="BL11" s="26">
        <f>IF(BL$6="","",IF(WEEKDAY(BL$6,1)=1,0,IF(WEEKDAY(BL$6,1)=7,BL9*BL8,MAX(0,BL9-8)*BL8)))</f>
      </c>
      <c r="BM11" s="26">
        <f>IF(BM$6="","",IF(WEEKDAY(BM$6,1)=1,0,IF(WEEKDAY(BM$6,1)=7,BM9*BM8,MAX(0,BM9-8)*BM8)))</f>
      </c>
      <c r="BN11" s="26">
        <f>IF(BN$6="","",IF(WEEKDAY(BN$6,1)=1,0,IF(WEEKDAY(BN$6,1)=7,BN9*BN8,MAX(0,BN9-8)*BN8)))</f>
      </c>
      <c r="BO11" s="26">
        <f>IF(BO$6="","",IF(WEEKDAY(BO$6,1)=1,0,IF(WEEKDAY(BO$6,1)=7,BO9*BO8,MAX(0,BO9-8)*BO8)))</f>
      </c>
      <c r="BP11" s="26">
        <f>IF(BP$6="","",IF(WEEKDAY(BP$6,1)=1,0,IF(WEEKDAY(BP$6,1)=7,BP9*BP8,MAX(0,BP9-8)*BP8)))</f>
      </c>
      <c r="BQ11" s="26">
        <f>IF(BQ$6="","",IF(WEEKDAY(BQ$6,1)=1,0,IF(WEEKDAY(BQ$6,1)=7,BQ9*BQ8,MAX(0,BQ9-8)*BQ8)))</f>
      </c>
      <c r="BR11" s="26">
        <f>IF(BR$6="","",IF(WEEKDAY(BR$6,1)=1,0,IF(WEEKDAY(BR$6,1)=7,BR9*BR8,MAX(0,BR9-8)*BR8)))</f>
      </c>
      <c r="BS11" s="26">
        <f>IF(BS$6="","",IF(WEEKDAY(BS$6,1)=1,0,IF(WEEKDAY(BS$6,1)=7,BS9*BS8,MAX(0,BS9-8)*BS8)))</f>
      </c>
      <c r="BT11" s="26">
        <f>IF(BT$6="","",IF(WEEKDAY(BT$6,1)=1,0,IF(WEEKDAY(BT$6,1)=7,BT9*BT8,MAX(0,BT9-8)*BT8)))</f>
      </c>
      <c r="BU11" s="26">
        <f>IF(BU$6="","",IF(WEEKDAY(BU$6,1)=1,0,IF(WEEKDAY(BU$6,1)=7,BU9*BU8,MAX(0,BU9-8)*BU8)))</f>
      </c>
      <c r="BV11" s="26">
        <f>IF(BV$6="","",IF(WEEKDAY(BV$6,1)=1,0,IF(WEEKDAY(BV$6,1)=7,BV9*BV8,MAX(0,BV9-8)*BV8)))</f>
      </c>
      <c r="BW11" s="26">
        <f>IF(BW$6="","",IF(WEEKDAY(BW$6,1)=1,0,IF(WEEKDAY(BW$6,1)=7,BW9*BW8,MAX(0,BW9-8)*BW8)))</f>
      </c>
      <c r="BX11" s="26">
        <f>IF(BX$6="","",IF(WEEKDAY(BX$6,1)=1,0,IF(WEEKDAY(BX$6,1)=7,BX9*BX8,MAX(0,BX9-8)*BX8)))</f>
      </c>
      <c r="BY11" s="26">
        <f>IF(BY$6="","",IF(WEEKDAY(BY$6,1)=1,0,IF(WEEKDAY(BY$6,1)=7,BY9*BY8,MAX(0,BY9-8)*BY8)))</f>
      </c>
      <c r="BZ11" s="26">
        <f>IF(BZ$6="","",IF(WEEKDAY(BZ$6,1)=1,0,IF(WEEKDAY(BZ$6,1)=7,BZ9*BZ8,MAX(0,BZ9-8)*BZ8)))</f>
      </c>
      <c r="CA11" s="26">
        <f>IF(CA$6="","",IF(WEEKDAY(CA$6,1)=1,0,IF(WEEKDAY(CA$6,1)=7,CA9*CA8,MAX(0,CA9-8)*CA8)))</f>
      </c>
      <c r="CB11" s="26">
        <f>IF(CB$6="","",IF(WEEKDAY(CB$6,1)=1,0,IF(WEEKDAY(CB$6,1)=7,CB9*CB8,MAX(0,CB9-8)*CB8)))</f>
      </c>
      <c r="CC11" s="26">
        <f>IF(CC$6="","",IF(WEEKDAY(CC$6,1)=1,0,IF(WEEKDAY(CC$6,1)=7,CC9*CC8,MAX(0,CC9-8)*CC8)))</f>
      </c>
      <c r="CD11" s="26">
        <f>IF(CD$6="","",IF(WEEKDAY(CD$6,1)=1,0,IF(WEEKDAY(CD$6,1)=7,CD9*CD8,MAX(0,CD9-8)*CD8)))</f>
      </c>
      <c r="CE11" s="26">
        <f>IF(CE$6="","",IF(WEEKDAY(CE$6,1)=1,0,IF(WEEKDAY(CE$6,1)=7,CE9*CE8,MAX(0,CE9-8)*CE8)))</f>
      </c>
      <c r="CF11" s="26">
        <f>IF(CF$6="","",IF(WEEKDAY(CF$6,1)=1,0,IF(WEEKDAY(CF$6,1)=7,CF9*CF8,MAX(0,CF9-8)*CF8)))</f>
      </c>
      <c r="CG11" s="26">
        <f>IF(CG$6="","",IF(WEEKDAY(CG$6,1)=1,0,IF(WEEKDAY(CG$6,1)=7,CG9*CG8,MAX(0,CG9-8)*CG8)))</f>
      </c>
      <c r="CH11" s="26">
        <f>IF(CH$6="","",IF(WEEKDAY(CH$6,1)=1,0,IF(WEEKDAY(CH$6,1)=7,CH9*CH8,MAX(0,CH9-8)*CH8)))</f>
      </c>
      <c r="CI11" s="26">
        <f>IF(CI$6="","",IF(WEEKDAY(CI$6,1)=1,0,IF(WEEKDAY(CI$6,1)=7,CI9*CI8,MAX(0,CI9-8)*CI8)))</f>
      </c>
      <c r="CJ11" s="26">
        <f>IF(CJ$6="","",IF(WEEKDAY(CJ$6,1)=1,0,IF(WEEKDAY(CJ$6,1)=7,CJ9*CJ8,MAX(0,CJ9-8)*CJ8)))</f>
      </c>
      <c r="CK11" s="26">
        <f>IF(CK$6="","",IF(WEEKDAY(CK$6,1)=1,0,IF(WEEKDAY(CK$6,1)=7,CK9*CK8,MAX(0,CK9-8)*CK8)))</f>
      </c>
      <c r="CL11" s="26">
        <f>IF(CL$6="","",IF(WEEKDAY(CL$6,1)=1,0,IF(WEEKDAY(CL$6,1)=7,CL9*CL8,MAX(0,CL9-8)*CL8)))</f>
      </c>
      <c r="CM11" s="26">
        <f>IF(CM$6="","",IF(WEEKDAY(CM$6,1)=1,0,IF(WEEKDAY(CM$6,1)=7,CM9*CM8,MAX(0,CM9-8)*CM8)))</f>
      </c>
      <c r="CN11" s="26">
        <f>IF(CN$6="","",IF(WEEKDAY(CN$6,1)=1,0,IF(WEEKDAY(CN$6,1)=7,CN9*CN8,MAX(0,CN9-8)*CN8)))</f>
      </c>
      <c r="CO11" s="26">
        <f>IF(CO$6="","",IF(WEEKDAY(CO$6,1)=1,0,IF(WEEKDAY(CO$6,1)=7,CO9*CO8,MAX(0,CO9-8)*CO8)))</f>
      </c>
      <c r="CP11" s="26">
        <f>IF(CP$6="","",IF(WEEKDAY(CP$6,1)=1,0,IF(WEEKDAY(CP$6,1)=7,CP9*CP8,MAX(0,CP9-8)*CP8)))</f>
      </c>
      <c r="CQ11" s="26">
        <f>IF(CQ$6="","",IF(WEEKDAY(CQ$6,1)=1,0,IF(WEEKDAY(CQ$6,1)=7,CQ9*CQ8,MAX(0,CQ9-8)*CQ8)))</f>
      </c>
      <c r="CR11" s="26">
        <f>IF(CR$6="","",IF(WEEKDAY(CR$6,1)=1,0,IF(WEEKDAY(CR$6,1)=7,CR9*CR8,MAX(0,CR9-8)*CR8)))</f>
      </c>
      <c r="CS11" s="26">
        <f>IF(CS$6="","",IF(WEEKDAY(CS$6,1)=1,0,IF(WEEKDAY(CS$6,1)=7,CS9*CS8,MAX(0,CS9-8)*CS8)))</f>
      </c>
      <c r="CT11" s="26">
        <f>IF(CT$6="","",IF(WEEKDAY(CT$6,1)=1,0,IF(WEEKDAY(CT$6,1)=7,CT9*CT8,MAX(0,CT9-8)*CT8)))</f>
      </c>
      <c r="CU11" s="26">
        <f>IF(CU$6="","",IF(WEEKDAY(CU$6,1)=1,0,IF(WEEKDAY(CU$6,1)=7,CU9*CU8,MAX(0,CU9-8)*CU8)))</f>
      </c>
      <c r="CV11" s="26">
        <f>IF(CV$6="","",IF(WEEKDAY(CV$6,1)=1,0,IF(WEEKDAY(CV$6,1)=7,CV9*CV8,MAX(0,CV9-8)*CV8)))</f>
      </c>
      <c r="CW11" s="26">
        <f>IF(CW$6="","",IF(WEEKDAY(CW$6,1)=1,0,IF(WEEKDAY(CW$6,1)=7,CW9*CW8,MAX(0,CW9-8)*CW8)))</f>
      </c>
      <c r="CX11" s="8" t="s">
        <v>95</v>
      </c>
    </row>
    <row r="12" spans="2:102" x14ac:dyDescent="0.25">
      <c r="B12" s="26">
        <f>SUM(L12:CW12)</f>
      </c>
      <c r="D12" s="27">
        <f>B12*E12</f>
      </c>
      <c r="E12" s="27">
        <f>'Rate Tables'!E25</f>
      </c>
      <c r="F12" s="8" t="s">
        <v>41</v>
      </c>
      <c r="L12" s="26">
        <f>IF(L$6="","",IF(WEEKDAY(L$6,1)=1,L9*L8,0))</f>
      </c>
      <c r="M12" s="26">
        <f>IF(M$6="","",IF(WEEKDAY(M$6,1)=1,M9*M8,0))</f>
      </c>
      <c r="N12" s="26">
        <f>IF(N$6="","",IF(WEEKDAY(N$6,1)=1,N9*N8,0))</f>
      </c>
      <c r="O12" s="26">
        <f>IF(O$6="","",IF(WEEKDAY(O$6,1)=1,O9*O8,0))</f>
      </c>
      <c r="P12" s="26">
        <f>IF(P$6="","",IF(WEEKDAY(P$6,1)=1,P9*P8,0))</f>
      </c>
      <c r="Q12" s="26">
        <f>IF(Q$6="","",IF(WEEKDAY(Q$6,1)=1,Q9*Q8,0))</f>
      </c>
      <c r="R12" s="26">
        <f>IF(R$6="","",IF(WEEKDAY(R$6,1)=1,R9*R8,0))</f>
      </c>
      <c r="S12" s="26">
        <f>IF(S$6="","",IF(WEEKDAY(S$6,1)=1,S9*S8,0))</f>
      </c>
      <c r="T12" s="26">
        <f>IF(T$6="","",IF(WEEKDAY(T$6,1)=1,T9*T8,0))</f>
      </c>
      <c r="U12" s="26">
        <f>IF(U$6="","",IF(WEEKDAY(U$6,1)=1,U9*U8,0))</f>
      </c>
      <c r="V12" s="26">
        <f>IF(V$6="","",IF(WEEKDAY(V$6,1)=1,V9*V8,0))</f>
      </c>
      <c r="W12" s="26">
        <f>IF(W$6="","",IF(WEEKDAY(W$6,1)=1,W9*W8,0))</f>
      </c>
      <c r="X12" s="26">
        <f>IF(X$6="","",IF(WEEKDAY(X$6,1)=1,X9*X8,0))</f>
      </c>
      <c r="Y12" s="26">
        <f>IF(Y$6="","",IF(WEEKDAY(Y$6,1)=1,Y9*Y8,0))</f>
      </c>
      <c r="Z12" s="26">
        <f>IF(Z$6="","",IF(WEEKDAY(Z$6,1)=1,Z9*Z8,0))</f>
      </c>
      <c r="AA12" s="26">
        <f>IF(AA$6="","",IF(WEEKDAY(AA$6,1)=1,AA9*AA8,0))</f>
      </c>
      <c r="AB12" s="26">
        <f>IF(AB$6="","",IF(WEEKDAY(AB$6,1)=1,AB9*AB8,0))</f>
      </c>
      <c r="AC12" s="26">
        <f>IF(AC$6="","",IF(WEEKDAY(AC$6,1)=1,AC9*AC8,0))</f>
      </c>
      <c r="AD12" s="26">
        <f>IF(AD$6="","",IF(WEEKDAY(AD$6,1)=1,AD9*AD8,0))</f>
      </c>
      <c r="AE12" s="26">
        <f>IF(AE$6="","",IF(WEEKDAY(AE$6,1)=1,AE9*AE8,0))</f>
      </c>
      <c r="AF12" s="26">
        <f>IF(AF$6="","",IF(WEEKDAY(AF$6,1)=1,AF9*AF8,0))</f>
      </c>
      <c r="AG12" s="26">
        <f>IF(AG$6="","",IF(WEEKDAY(AG$6,1)=1,AG9*AG8,0))</f>
      </c>
      <c r="AH12" s="26">
        <f>IF(AH$6="","",IF(WEEKDAY(AH$6,1)=1,AH9*AH8,0))</f>
      </c>
      <c r="AI12" s="26">
        <f>IF(AI$6="","",IF(WEEKDAY(AI$6,1)=1,AI9*AI8,0))</f>
      </c>
      <c r="AJ12" s="26">
        <f>IF(AJ$6="","",IF(WEEKDAY(AJ$6,1)=1,AJ9*AJ8,0))</f>
      </c>
      <c r="AK12" s="26">
        <f>IF(AK$6="","",IF(WEEKDAY(AK$6,1)=1,AK9*AK8,0))</f>
      </c>
      <c r="AL12" s="26">
        <f>IF(AL$6="","",IF(WEEKDAY(AL$6,1)=1,AL9*AL8,0))</f>
      </c>
      <c r="AM12" s="26">
        <f>IF(AM$6="","",IF(WEEKDAY(AM$6,1)=1,AM9*AM8,0))</f>
      </c>
      <c r="AN12" s="26">
        <f>IF(AN$6="","",IF(WEEKDAY(AN$6,1)=1,AN9*AN8,0))</f>
      </c>
      <c r="AO12" s="26">
        <f>IF(AO$6="","",IF(WEEKDAY(AO$6,1)=1,AO9*AO8,0))</f>
      </c>
      <c r="AP12" s="26">
        <f>IF(AP$6="","",IF(WEEKDAY(AP$6,1)=1,AP9*AP8,0))</f>
      </c>
      <c r="AQ12" s="26">
        <f>IF(AQ$6="","",IF(WEEKDAY(AQ$6,1)=1,AQ9*AQ8,0))</f>
      </c>
      <c r="AR12" s="26">
        <f>IF(AR$6="","",IF(WEEKDAY(AR$6,1)=1,AR9*AR8,0))</f>
      </c>
      <c r="AS12" s="26">
        <f>IF(AS$6="","",IF(WEEKDAY(AS$6,1)=1,AS9*AS8,0))</f>
      </c>
      <c r="AT12" s="26">
        <f>IF(AT$6="","",IF(WEEKDAY(AT$6,1)=1,AT9*AT8,0))</f>
      </c>
      <c r="AU12" s="26">
        <f>IF(AU$6="","",IF(WEEKDAY(AU$6,1)=1,AU9*AU8,0))</f>
      </c>
      <c r="AV12" s="26">
        <f>IF(AV$6="","",IF(WEEKDAY(AV$6,1)=1,AV9*AV8,0))</f>
      </c>
      <c r="AW12" s="26">
        <f>IF(AW$6="","",IF(WEEKDAY(AW$6,1)=1,AW9*AW8,0))</f>
      </c>
      <c r="AX12" s="26">
        <f>IF(AX$6="","",IF(WEEKDAY(AX$6,1)=1,AX9*AX8,0))</f>
      </c>
      <c r="AY12" s="26">
        <f>IF(AY$6="","",IF(WEEKDAY(AY$6,1)=1,AY9*AY8,0))</f>
      </c>
      <c r="AZ12" s="26">
        <f>IF(AZ$6="","",IF(WEEKDAY(AZ$6,1)=1,AZ9*AZ8,0))</f>
      </c>
      <c r="BA12" s="26">
        <f>IF(BA$6="","",IF(WEEKDAY(BA$6,1)=1,BA9*BA8,0))</f>
      </c>
      <c r="BB12" s="26">
        <f>IF(BB$6="","",IF(WEEKDAY(BB$6,1)=1,BB9*BB8,0))</f>
      </c>
      <c r="BC12" s="26">
        <f>IF(BC$6="","",IF(WEEKDAY(BC$6,1)=1,BC9*BC8,0))</f>
      </c>
      <c r="BD12" s="26">
        <f>IF(BD$6="","",IF(WEEKDAY(BD$6,1)=1,BD9*BD8,0))</f>
      </c>
      <c r="BE12" s="26">
        <f>IF(BE$6="","",IF(WEEKDAY(BE$6,1)=1,BE9*BE8,0))</f>
      </c>
      <c r="BF12" s="26">
        <f>IF(BF$6="","",IF(WEEKDAY(BF$6,1)=1,BF9*BF8,0))</f>
      </c>
      <c r="BG12" s="26">
        <f>IF(BG$6="","",IF(WEEKDAY(BG$6,1)=1,BG9*BG8,0))</f>
      </c>
      <c r="BH12" s="26">
        <f>IF(BH$6="","",IF(WEEKDAY(BH$6,1)=1,BH9*BH8,0))</f>
      </c>
      <c r="BI12" s="26">
        <f>IF(BI$6="","",IF(WEEKDAY(BI$6,1)=1,BI9*BI8,0))</f>
      </c>
      <c r="BJ12" s="26">
        <f>IF(BJ$6="","",IF(WEEKDAY(BJ$6,1)=1,BJ9*BJ8,0))</f>
      </c>
      <c r="BK12" s="26">
        <f>IF(BK$6="","",IF(WEEKDAY(BK$6,1)=1,BK9*BK8,0))</f>
      </c>
      <c r="BL12" s="26">
        <f>IF(BL$6="","",IF(WEEKDAY(BL$6,1)=1,BL9*BL8,0))</f>
      </c>
      <c r="BM12" s="26">
        <f>IF(BM$6="","",IF(WEEKDAY(BM$6,1)=1,BM9*BM8,0))</f>
      </c>
      <c r="BN12" s="26">
        <f>IF(BN$6="","",IF(WEEKDAY(BN$6,1)=1,BN9*BN8,0))</f>
      </c>
      <c r="BO12" s="26">
        <f>IF(BO$6="","",IF(WEEKDAY(BO$6,1)=1,BO9*BO8,0))</f>
      </c>
      <c r="BP12" s="26">
        <f>IF(BP$6="","",IF(WEEKDAY(BP$6,1)=1,BP9*BP8,0))</f>
      </c>
      <c r="BQ12" s="26">
        <f>IF(BQ$6="","",IF(WEEKDAY(BQ$6,1)=1,BQ9*BQ8,0))</f>
      </c>
      <c r="BR12" s="26">
        <f>IF(BR$6="","",IF(WEEKDAY(BR$6,1)=1,BR9*BR8,0))</f>
      </c>
      <c r="BS12" s="26">
        <f>IF(BS$6="","",IF(WEEKDAY(BS$6,1)=1,BS9*BS8,0))</f>
      </c>
      <c r="BT12" s="26">
        <f>IF(BT$6="","",IF(WEEKDAY(BT$6,1)=1,BT9*BT8,0))</f>
      </c>
      <c r="BU12" s="26">
        <f>IF(BU$6="","",IF(WEEKDAY(BU$6,1)=1,BU9*BU8,0))</f>
      </c>
      <c r="BV12" s="26">
        <f>IF(BV$6="","",IF(WEEKDAY(BV$6,1)=1,BV9*BV8,0))</f>
      </c>
      <c r="BW12" s="26">
        <f>IF(BW$6="","",IF(WEEKDAY(BW$6,1)=1,BW9*BW8,0))</f>
      </c>
      <c r="BX12" s="26">
        <f>IF(BX$6="","",IF(WEEKDAY(BX$6,1)=1,BX9*BX8,0))</f>
      </c>
      <c r="BY12" s="26">
        <f>IF(BY$6="","",IF(WEEKDAY(BY$6,1)=1,BY9*BY8,0))</f>
      </c>
      <c r="BZ12" s="26">
        <f>IF(BZ$6="","",IF(WEEKDAY(BZ$6,1)=1,BZ9*BZ8,0))</f>
      </c>
      <c r="CA12" s="26">
        <f>IF(CA$6="","",IF(WEEKDAY(CA$6,1)=1,CA9*CA8,0))</f>
      </c>
      <c r="CB12" s="26">
        <f>IF(CB$6="","",IF(WEEKDAY(CB$6,1)=1,CB9*CB8,0))</f>
      </c>
      <c r="CC12" s="26">
        <f>IF(CC$6="","",IF(WEEKDAY(CC$6,1)=1,CC9*CC8,0))</f>
      </c>
      <c r="CD12" s="26">
        <f>IF(CD$6="","",IF(WEEKDAY(CD$6,1)=1,CD9*CD8,0))</f>
      </c>
      <c r="CE12" s="26">
        <f>IF(CE$6="","",IF(WEEKDAY(CE$6,1)=1,CE9*CE8,0))</f>
      </c>
      <c r="CF12" s="26">
        <f>IF(CF$6="","",IF(WEEKDAY(CF$6,1)=1,CF9*CF8,0))</f>
      </c>
      <c r="CG12" s="26">
        <f>IF(CG$6="","",IF(WEEKDAY(CG$6,1)=1,CG9*CG8,0))</f>
      </c>
      <c r="CH12" s="26">
        <f>IF(CH$6="","",IF(WEEKDAY(CH$6,1)=1,CH9*CH8,0))</f>
      </c>
      <c r="CI12" s="26">
        <f>IF(CI$6="","",IF(WEEKDAY(CI$6,1)=1,CI9*CI8,0))</f>
      </c>
      <c r="CJ12" s="26">
        <f>IF(CJ$6="","",IF(WEEKDAY(CJ$6,1)=1,CJ9*CJ8,0))</f>
      </c>
      <c r="CK12" s="26">
        <f>IF(CK$6="","",IF(WEEKDAY(CK$6,1)=1,CK9*CK8,0))</f>
      </c>
      <c r="CL12" s="26">
        <f>IF(CL$6="","",IF(WEEKDAY(CL$6,1)=1,CL9*CL8,0))</f>
      </c>
      <c r="CM12" s="26">
        <f>IF(CM$6="","",IF(WEEKDAY(CM$6,1)=1,CM9*CM8,0))</f>
      </c>
      <c r="CN12" s="26">
        <f>IF(CN$6="","",IF(WEEKDAY(CN$6,1)=1,CN9*CN8,0))</f>
      </c>
      <c r="CO12" s="26">
        <f>IF(CO$6="","",IF(WEEKDAY(CO$6,1)=1,CO9*CO8,0))</f>
      </c>
      <c r="CP12" s="26">
        <f>IF(CP$6="","",IF(WEEKDAY(CP$6,1)=1,CP9*CP8,0))</f>
      </c>
      <c r="CQ12" s="26">
        <f>IF(CQ$6="","",IF(WEEKDAY(CQ$6,1)=1,CQ9*CQ8,0))</f>
      </c>
      <c r="CR12" s="26">
        <f>IF(CR$6="","",IF(WEEKDAY(CR$6,1)=1,CR9*CR8,0))</f>
      </c>
      <c r="CS12" s="26">
        <f>IF(CS$6="","",IF(WEEKDAY(CS$6,1)=1,CS9*CS8,0))</f>
      </c>
      <c r="CT12" s="26">
        <f>IF(CT$6="","",IF(WEEKDAY(CT$6,1)=1,CT9*CT8,0))</f>
      </c>
      <c r="CU12" s="26">
        <f>IF(CU$6="","",IF(WEEKDAY(CU$6,1)=1,CU9*CU8,0))</f>
      </c>
      <c r="CV12" s="26">
        <f>IF(CV$6="","",IF(WEEKDAY(CV$6,1)=1,CV9*CV8,0))</f>
      </c>
      <c r="CW12" s="26">
        <f>IF(CW$6="","",IF(WEEKDAY(CW$6,1)=1,CW9*CW8,0))</f>
      </c>
      <c r="CX12" s="8" t="s">
        <v>95</v>
      </c>
    </row>
    <row r="13" spans="2:102" x14ac:dyDescent="0.25">
      <c r="B13" s="26">
        <f>SUM(L13:CW13)</f>
      </c>
      <c r="D13" s="27">
        <f>B13*E13</f>
      </c>
      <c r="E13" s="27">
        <v>130</v>
      </c>
      <c r="F13" s="8" t="s">
        <v>42</v>
      </c>
      <c r="L13" s="28">
        <v>0</v>
      </c>
      <c r="M13" s="28">
        <v>0</v>
      </c>
      <c r="N13" s="28">
        <v>0</v>
      </c>
      <c r="O13" s="28">
        <v>0</v>
      </c>
      <c r="P13" s="28">
        <v>0</v>
      </c>
      <c r="Q13" s="28">
        <v>0</v>
      </c>
      <c r="R13" s="28">
        <v>0</v>
      </c>
      <c r="S13" s="28">
        <v>0</v>
      </c>
      <c r="T13" s="28">
        <v>0</v>
      </c>
      <c r="U13" s="28">
        <v>0</v>
      </c>
      <c r="V13" s="28">
        <v>0</v>
      </c>
      <c r="W13" s="28">
        <v>0</v>
      </c>
      <c r="X13" s="28">
        <v>0</v>
      </c>
      <c r="Y13" s="28">
        <v>0</v>
      </c>
      <c r="Z13" s="28">
        <v>0</v>
      </c>
      <c r="AA13" s="28">
        <v>0</v>
      </c>
      <c r="AB13" s="28">
        <v>0</v>
      </c>
      <c r="AC13" s="28">
        <v>0</v>
      </c>
      <c r="AD13" s="28">
        <v>0</v>
      </c>
      <c r="AE13" s="28">
        <v>0</v>
      </c>
      <c r="AF13" s="28">
        <v>0</v>
      </c>
      <c r="AG13" s="28">
        <v>0</v>
      </c>
      <c r="AH13" s="28">
        <v>0</v>
      </c>
      <c r="AI13" s="28">
        <v>0</v>
      </c>
      <c r="AJ13" s="28">
        <v>0</v>
      </c>
      <c r="AK13" s="28">
        <v>0</v>
      </c>
      <c r="AL13" s="28">
        <v>0</v>
      </c>
      <c r="AM13" s="28">
        <v>0</v>
      </c>
      <c r="AN13" s="28">
        <v>0</v>
      </c>
      <c r="AO13" s="28">
        <v>0</v>
      </c>
      <c r="AP13" s="28">
        <v>0</v>
      </c>
      <c r="AQ13" s="28">
        <v>0</v>
      </c>
      <c r="AR13" s="28">
        <v>0</v>
      </c>
      <c r="AS13" s="28">
        <v>0</v>
      </c>
      <c r="AT13" s="28">
        <v>0</v>
      </c>
      <c r="AU13" s="28">
        <v>0</v>
      </c>
      <c r="AV13" s="28">
        <v>0</v>
      </c>
      <c r="AW13" s="28">
        <v>0</v>
      </c>
      <c r="AX13" s="28">
        <v>0</v>
      </c>
      <c r="AY13" s="28">
        <v>0</v>
      </c>
      <c r="AZ13" s="28">
        <v>0</v>
      </c>
      <c r="BA13" s="28">
        <v>0</v>
      </c>
      <c r="BB13" s="28">
        <v>0</v>
      </c>
      <c r="BC13" s="28">
        <v>0</v>
      </c>
      <c r="BD13" s="28">
        <v>0</v>
      </c>
      <c r="BE13" s="28">
        <v>0</v>
      </c>
      <c r="BF13" s="28">
        <v>0</v>
      </c>
      <c r="BG13" s="28">
        <v>0</v>
      </c>
      <c r="BH13" s="28">
        <v>0</v>
      </c>
      <c r="BI13" s="28">
        <v>0</v>
      </c>
      <c r="BJ13" s="28">
        <v>0</v>
      </c>
      <c r="BK13" s="28">
        <v>0</v>
      </c>
      <c r="BL13" s="28">
        <v>0</v>
      </c>
      <c r="BM13" s="28">
        <v>0</v>
      </c>
      <c r="BN13" s="28">
        <v>0</v>
      </c>
      <c r="BO13" s="28">
        <v>0</v>
      </c>
      <c r="BP13" s="28">
        <v>0</v>
      </c>
      <c r="BQ13" s="28">
        <v>0</v>
      </c>
      <c r="BR13" s="28">
        <v>0</v>
      </c>
      <c r="BS13" s="28">
        <v>0</v>
      </c>
      <c r="BT13" s="28">
        <v>0</v>
      </c>
      <c r="BU13" s="28">
        <v>0</v>
      </c>
      <c r="BV13" s="28">
        <v>0</v>
      </c>
      <c r="BW13" s="28">
        <v>0</v>
      </c>
      <c r="BX13" s="28">
        <v>0</v>
      </c>
      <c r="BY13" s="28">
        <v>0</v>
      </c>
      <c r="BZ13" s="28">
        <v>0</v>
      </c>
      <c r="CA13" s="28">
        <v>0</v>
      </c>
      <c r="CB13" s="28">
        <v>0</v>
      </c>
      <c r="CC13" s="28">
        <v>0</v>
      </c>
      <c r="CD13" s="28">
        <v>0</v>
      </c>
      <c r="CE13" s="28">
        <v>0</v>
      </c>
      <c r="CF13" s="28">
        <v>0</v>
      </c>
      <c r="CG13" s="28">
        <v>0</v>
      </c>
      <c r="CH13" s="28">
        <v>0</v>
      </c>
      <c r="CI13" s="28">
        <v>0</v>
      </c>
      <c r="CJ13" s="28">
        <v>0</v>
      </c>
      <c r="CK13" s="28">
        <v>0</v>
      </c>
      <c r="CL13" s="28">
        <v>0</v>
      </c>
      <c r="CM13" s="28">
        <v>0</v>
      </c>
      <c r="CN13" s="28">
        <v>0</v>
      </c>
      <c r="CO13" s="28">
        <v>0</v>
      </c>
      <c r="CP13" s="28">
        <v>0</v>
      </c>
      <c r="CQ13" s="28">
        <v>0</v>
      </c>
      <c r="CR13" s="28">
        <v>0</v>
      </c>
      <c r="CS13" s="28">
        <v>0</v>
      </c>
      <c r="CT13" s="28">
        <v>0</v>
      </c>
      <c r="CU13" s="28">
        <v>0</v>
      </c>
      <c r="CV13" s="28">
        <v>0</v>
      </c>
      <c r="CW13" s="28">
        <v>0</v>
      </c>
      <c r="CX13" s="8" t="s">
        <v>95</v>
      </c>
    </row>
    <row r="14" spans="1:102" x14ac:dyDescent="0.25">
      <c r="A14" s="20" t="s">
        <v>47</v>
      </c>
      <c r="B14" s="21">
        <f>G14+H14+I14</f>
      </c>
      <c r="C14" s="20" t="s">
        <v>94</v>
      </c>
      <c r="D14" s="22">
        <f>K14</f>
      </c>
      <c r="F14" s="20" t="s">
        <v>34</v>
      </c>
      <c r="G14" s="21">
        <f>B17</f>
      </c>
      <c r="H14" s="21">
        <f>B18</f>
      </c>
      <c r="I14" s="21">
        <f>B19</f>
      </c>
      <c r="J14" s="21">
        <f>B20</f>
      </c>
      <c r="K14" s="22">
        <f>D17+D18+D19</f>
      </c>
      <c r="CX14" s="20" t="s">
        <v>96</v>
      </c>
    </row>
    <row r="15" spans="6:102" x14ac:dyDescent="0.25">
      <c r="F15" s="23" t="s">
        <v>36</v>
      </c>
      <c r="L15" s="24">
        <v>0</v>
      </c>
      <c r="M15" s="24">
        <v>0</v>
      </c>
      <c r="N15" s="24">
        <v>0</v>
      </c>
      <c r="O15" s="24">
        <v>0</v>
      </c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</v>
      </c>
      <c r="Z15" s="24">
        <v>0</v>
      </c>
      <c r="AA15" s="24">
        <v>0</v>
      </c>
      <c r="AB15" s="24">
        <v>0</v>
      </c>
      <c r="AC15" s="24">
        <v>0</v>
      </c>
      <c r="AD15" s="24">
        <v>0</v>
      </c>
      <c r="AE15" s="24">
        <v>0</v>
      </c>
      <c r="AF15" s="24">
        <v>0</v>
      </c>
      <c r="AG15" s="24">
        <v>0</v>
      </c>
      <c r="AH15" s="24">
        <v>0</v>
      </c>
      <c r="AI15" s="24">
        <v>0</v>
      </c>
      <c r="AJ15" s="24">
        <v>0</v>
      </c>
      <c r="AK15" s="24">
        <v>0</v>
      </c>
      <c r="AL15" s="24">
        <v>0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AR15" s="24">
        <v>0</v>
      </c>
      <c r="AS15" s="24">
        <v>0</v>
      </c>
      <c r="AT15" s="24">
        <v>0</v>
      </c>
      <c r="AU15" s="24">
        <v>0</v>
      </c>
      <c r="AV15" s="24">
        <v>0</v>
      </c>
      <c r="AW15" s="24">
        <v>0</v>
      </c>
      <c r="AX15" s="24">
        <v>0</v>
      </c>
      <c r="AY15" s="24">
        <v>0</v>
      </c>
      <c r="AZ15" s="24">
        <v>0</v>
      </c>
      <c r="BA15" s="24">
        <v>0</v>
      </c>
      <c r="BB15" s="24">
        <v>0</v>
      </c>
      <c r="BC15" s="24">
        <v>0</v>
      </c>
      <c r="BD15" s="24">
        <v>0</v>
      </c>
      <c r="BE15" s="24">
        <v>0</v>
      </c>
      <c r="BF15" s="24">
        <v>0</v>
      </c>
      <c r="BG15" s="24">
        <v>0</v>
      </c>
      <c r="BH15" s="24">
        <v>0</v>
      </c>
      <c r="BI15" s="24">
        <v>1</v>
      </c>
      <c r="BJ15" s="24">
        <v>1</v>
      </c>
      <c r="BK15" s="24">
        <v>1</v>
      </c>
      <c r="BL15" s="24">
        <v>1</v>
      </c>
      <c r="BM15" s="24">
        <v>1</v>
      </c>
      <c r="BN15" s="24">
        <v>1</v>
      </c>
      <c r="BO15" s="24">
        <v>1</v>
      </c>
      <c r="BP15" s="24">
        <v>1</v>
      </c>
      <c r="BQ15" s="24">
        <v>1</v>
      </c>
      <c r="BR15" s="24">
        <v>1</v>
      </c>
      <c r="BS15" s="24">
        <v>1</v>
      </c>
      <c r="BT15" s="24">
        <v>1</v>
      </c>
      <c r="BU15" s="24">
        <v>1</v>
      </c>
      <c r="BV15" s="24">
        <v>1</v>
      </c>
      <c r="BW15" s="24">
        <v>1</v>
      </c>
      <c r="BX15" s="24">
        <v>1</v>
      </c>
      <c r="BY15" s="24">
        <v>1</v>
      </c>
      <c r="BZ15" s="24">
        <v>1</v>
      </c>
      <c r="CA15" s="24">
        <v>1</v>
      </c>
      <c r="CB15" s="24">
        <v>1</v>
      </c>
      <c r="CC15" s="24">
        <v>1</v>
      </c>
      <c r="CD15" s="24">
        <v>1</v>
      </c>
      <c r="CE15" s="24">
        <v>1</v>
      </c>
      <c r="CF15" s="24">
        <v>1</v>
      </c>
      <c r="CG15" s="24">
        <v>1</v>
      </c>
      <c r="CH15" s="24">
        <v>1</v>
      </c>
      <c r="CI15" s="24">
        <v>1</v>
      </c>
      <c r="CJ15" s="24">
        <v>1</v>
      </c>
      <c r="CK15" s="24">
        <v>1</v>
      </c>
      <c r="CL15" s="24">
        <v>1</v>
      </c>
      <c r="CM15" s="24">
        <v>1</v>
      </c>
      <c r="CN15" s="24">
        <v>1</v>
      </c>
      <c r="CO15" s="24">
        <v>1</v>
      </c>
      <c r="CP15" s="24">
        <v>1</v>
      </c>
      <c r="CQ15" s="24">
        <v>1</v>
      </c>
      <c r="CR15" s="24">
        <v>1</v>
      </c>
      <c r="CS15" s="24">
        <v>1</v>
      </c>
      <c r="CT15" s="24">
        <v>1</v>
      </c>
      <c r="CU15" s="24">
        <v>1</v>
      </c>
      <c r="CV15" s="24">
        <v>1</v>
      </c>
      <c r="CW15" s="24">
        <v>1</v>
      </c>
      <c r="CX15" s="23" t="s">
        <v>96</v>
      </c>
    </row>
    <row r="16" spans="1:102" x14ac:dyDescent="0.25">
      <c r="A16" s="23" t="s">
        <v>37</v>
      </c>
      <c r="F16" s="23" t="s">
        <v>38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>
        <v>0</v>
      </c>
      <c r="T16" s="25">
        <v>0</v>
      </c>
      <c r="U16" s="25">
        <v>0</v>
      </c>
      <c r="V16" s="25">
        <v>0</v>
      </c>
      <c r="W16" s="25">
        <v>0</v>
      </c>
      <c r="X16" s="25">
        <v>0</v>
      </c>
      <c r="Y16" s="25">
        <v>0</v>
      </c>
      <c r="Z16" s="25">
        <v>0</v>
      </c>
      <c r="AA16" s="25">
        <v>0</v>
      </c>
      <c r="AB16" s="25">
        <v>0</v>
      </c>
      <c r="AC16" s="25">
        <v>0</v>
      </c>
      <c r="AD16" s="25">
        <v>0</v>
      </c>
      <c r="AE16" s="25">
        <v>0</v>
      </c>
      <c r="AF16" s="25">
        <v>0</v>
      </c>
      <c r="AG16" s="25">
        <v>0</v>
      </c>
      <c r="AH16" s="25">
        <v>0</v>
      </c>
      <c r="AI16" s="25">
        <v>0</v>
      </c>
      <c r="AJ16" s="25">
        <v>0</v>
      </c>
      <c r="AK16" s="25">
        <v>0</v>
      </c>
      <c r="AL16" s="25">
        <v>0</v>
      </c>
      <c r="AM16" s="25">
        <v>0</v>
      </c>
      <c r="AN16" s="25">
        <v>0</v>
      </c>
      <c r="AO16" s="25">
        <v>0</v>
      </c>
      <c r="AP16" s="25">
        <v>0</v>
      </c>
      <c r="AQ16" s="25">
        <v>0</v>
      </c>
      <c r="AR16" s="25">
        <v>0</v>
      </c>
      <c r="AS16" s="25">
        <v>0</v>
      </c>
      <c r="AT16" s="25">
        <v>0</v>
      </c>
      <c r="AU16" s="25">
        <v>0</v>
      </c>
      <c r="AV16" s="25">
        <v>0</v>
      </c>
      <c r="AW16" s="25">
        <v>0</v>
      </c>
      <c r="AX16" s="25">
        <v>0</v>
      </c>
      <c r="AY16" s="25">
        <v>0</v>
      </c>
      <c r="AZ16" s="25">
        <v>0</v>
      </c>
      <c r="BA16" s="25">
        <v>0</v>
      </c>
      <c r="BB16" s="25">
        <v>0</v>
      </c>
      <c r="BC16" s="25">
        <v>0</v>
      </c>
      <c r="BD16" s="25">
        <v>0</v>
      </c>
      <c r="BE16" s="25">
        <v>0</v>
      </c>
      <c r="BF16" s="25">
        <v>0</v>
      </c>
      <c r="BG16" s="25">
        <v>0</v>
      </c>
      <c r="BH16" s="25">
        <v>0</v>
      </c>
      <c r="BI16" s="25">
        <v>12</v>
      </c>
      <c r="BJ16" s="25">
        <v>12</v>
      </c>
      <c r="BK16" s="25">
        <v>12</v>
      </c>
      <c r="BL16" s="25">
        <v>12</v>
      </c>
      <c r="BM16" s="25">
        <v>12</v>
      </c>
      <c r="BN16" s="25">
        <v>12</v>
      </c>
      <c r="BO16" s="25">
        <v>12</v>
      </c>
      <c r="BP16" s="25">
        <v>12</v>
      </c>
      <c r="BQ16" s="25">
        <v>12</v>
      </c>
      <c r="BR16" s="25">
        <v>12</v>
      </c>
      <c r="BS16" s="25">
        <v>12</v>
      </c>
      <c r="BT16" s="25">
        <v>12</v>
      </c>
      <c r="BU16" s="25">
        <v>12</v>
      </c>
      <c r="BV16" s="25">
        <v>12</v>
      </c>
      <c r="BW16" s="25">
        <v>12</v>
      </c>
      <c r="BX16" s="25">
        <v>12</v>
      </c>
      <c r="BY16" s="25">
        <v>12</v>
      </c>
      <c r="BZ16" s="25">
        <v>12</v>
      </c>
      <c r="CA16" s="25">
        <v>12</v>
      </c>
      <c r="CB16" s="25">
        <v>12</v>
      </c>
      <c r="CC16" s="25">
        <v>12</v>
      </c>
      <c r="CD16" s="25">
        <v>12</v>
      </c>
      <c r="CE16" s="25">
        <v>12</v>
      </c>
      <c r="CF16" s="25">
        <v>12</v>
      </c>
      <c r="CG16" s="25">
        <v>12</v>
      </c>
      <c r="CH16" s="25">
        <v>12</v>
      </c>
      <c r="CI16" s="25">
        <v>12</v>
      </c>
      <c r="CJ16" s="25">
        <v>12</v>
      </c>
      <c r="CK16" s="25">
        <v>12</v>
      </c>
      <c r="CL16" s="25">
        <v>12</v>
      </c>
      <c r="CM16" s="25">
        <v>12</v>
      </c>
      <c r="CN16" s="25">
        <v>12</v>
      </c>
      <c r="CO16" s="25">
        <v>12</v>
      </c>
      <c r="CP16" s="25">
        <v>12</v>
      </c>
      <c r="CQ16" s="25">
        <v>12</v>
      </c>
      <c r="CR16" s="25">
        <v>12</v>
      </c>
      <c r="CS16" s="25">
        <v>12</v>
      </c>
      <c r="CT16" s="25">
        <v>12</v>
      </c>
      <c r="CU16" s="25">
        <v>12</v>
      </c>
      <c r="CV16" s="25">
        <v>12</v>
      </c>
      <c r="CW16" s="25">
        <v>12</v>
      </c>
      <c r="CX16" s="23" t="s">
        <v>96</v>
      </c>
    </row>
    <row r="17" spans="2:102" x14ac:dyDescent="0.25">
      <c r="B17" s="26">
        <f>SUM(L17:CW17)</f>
      </c>
      <c r="D17" s="27">
        <f>B17*E17</f>
      </c>
      <c r="E17" s="27">
        <f>'Rate Tables'!C25</f>
      </c>
      <c r="F17" s="8" t="s">
        <v>39</v>
      </c>
      <c r="L17" s="26">
        <f>IF(L$6="","",IF(OR(WEEKDAY(L$6,1)=1,WEEKDAY(L$6,1)=7),0,MIN(8,L16)*L15))</f>
      </c>
      <c r="M17" s="26">
        <f>IF(M$6="","",IF(OR(WEEKDAY(M$6,1)=1,WEEKDAY(M$6,1)=7),0,MIN(8,M16)*M15))</f>
      </c>
      <c r="N17" s="26">
        <f>IF(N$6="","",IF(OR(WEEKDAY(N$6,1)=1,WEEKDAY(N$6,1)=7),0,MIN(8,N16)*N15))</f>
      </c>
      <c r="O17" s="26">
        <f>IF(O$6="","",IF(OR(WEEKDAY(O$6,1)=1,WEEKDAY(O$6,1)=7),0,MIN(8,O16)*O15))</f>
      </c>
      <c r="P17" s="26">
        <f>IF(P$6="","",IF(OR(WEEKDAY(P$6,1)=1,WEEKDAY(P$6,1)=7),0,MIN(8,P16)*P15))</f>
      </c>
      <c r="Q17" s="26">
        <f>IF(Q$6="","",IF(OR(WEEKDAY(Q$6,1)=1,WEEKDAY(Q$6,1)=7),0,MIN(8,Q16)*Q15))</f>
      </c>
      <c r="R17" s="26">
        <f>IF(R$6="","",IF(OR(WEEKDAY(R$6,1)=1,WEEKDAY(R$6,1)=7),0,MIN(8,R16)*R15))</f>
      </c>
      <c r="S17" s="26">
        <f>IF(S$6="","",IF(OR(WEEKDAY(S$6,1)=1,WEEKDAY(S$6,1)=7),0,MIN(8,S16)*S15))</f>
      </c>
      <c r="T17" s="26">
        <f>IF(T$6="","",IF(OR(WEEKDAY(T$6,1)=1,WEEKDAY(T$6,1)=7),0,MIN(8,T16)*T15))</f>
      </c>
      <c r="U17" s="26">
        <f>IF(U$6="","",IF(OR(WEEKDAY(U$6,1)=1,WEEKDAY(U$6,1)=7),0,MIN(8,U16)*U15))</f>
      </c>
      <c r="V17" s="26">
        <f>IF(V$6="","",IF(OR(WEEKDAY(V$6,1)=1,WEEKDAY(V$6,1)=7),0,MIN(8,V16)*V15))</f>
      </c>
      <c r="W17" s="26">
        <f>IF(W$6="","",IF(OR(WEEKDAY(W$6,1)=1,WEEKDAY(W$6,1)=7),0,MIN(8,W16)*W15))</f>
      </c>
      <c r="X17" s="26">
        <f>IF(X$6="","",IF(OR(WEEKDAY(X$6,1)=1,WEEKDAY(X$6,1)=7),0,MIN(8,X16)*X15))</f>
      </c>
      <c r="Y17" s="26">
        <f>IF(Y$6="","",IF(OR(WEEKDAY(Y$6,1)=1,WEEKDAY(Y$6,1)=7),0,MIN(8,Y16)*Y15))</f>
      </c>
      <c r="Z17" s="26">
        <f>IF(Z$6="","",IF(OR(WEEKDAY(Z$6,1)=1,WEEKDAY(Z$6,1)=7),0,MIN(8,Z16)*Z15))</f>
      </c>
      <c r="AA17" s="26">
        <f>IF(AA$6="","",IF(OR(WEEKDAY(AA$6,1)=1,WEEKDAY(AA$6,1)=7),0,MIN(8,AA16)*AA15))</f>
      </c>
      <c r="AB17" s="26">
        <f>IF(AB$6="","",IF(OR(WEEKDAY(AB$6,1)=1,WEEKDAY(AB$6,1)=7),0,MIN(8,AB16)*AB15))</f>
      </c>
      <c r="AC17" s="26">
        <f>IF(AC$6="","",IF(OR(WEEKDAY(AC$6,1)=1,WEEKDAY(AC$6,1)=7),0,MIN(8,AC16)*AC15))</f>
      </c>
      <c r="AD17" s="26">
        <f>IF(AD$6="","",IF(OR(WEEKDAY(AD$6,1)=1,WEEKDAY(AD$6,1)=7),0,MIN(8,AD16)*AD15))</f>
      </c>
      <c r="AE17" s="26">
        <f>IF(AE$6="","",IF(OR(WEEKDAY(AE$6,1)=1,WEEKDAY(AE$6,1)=7),0,MIN(8,AE16)*AE15))</f>
      </c>
      <c r="AF17" s="26">
        <f>IF(AF$6="","",IF(OR(WEEKDAY(AF$6,1)=1,WEEKDAY(AF$6,1)=7),0,MIN(8,AF16)*AF15))</f>
      </c>
      <c r="AG17" s="26">
        <f>IF(AG$6="","",IF(OR(WEEKDAY(AG$6,1)=1,WEEKDAY(AG$6,1)=7),0,MIN(8,AG16)*AG15))</f>
      </c>
      <c r="AH17" s="26">
        <f>IF(AH$6="","",IF(OR(WEEKDAY(AH$6,1)=1,WEEKDAY(AH$6,1)=7),0,MIN(8,AH16)*AH15))</f>
      </c>
      <c r="AI17" s="26">
        <f>IF(AI$6="","",IF(OR(WEEKDAY(AI$6,1)=1,WEEKDAY(AI$6,1)=7),0,MIN(8,AI16)*AI15))</f>
      </c>
      <c r="AJ17" s="26">
        <f>IF(AJ$6="","",IF(OR(WEEKDAY(AJ$6,1)=1,WEEKDAY(AJ$6,1)=7),0,MIN(8,AJ16)*AJ15))</f>
      </c>
      <c r="AK17" s="26">
        <f>IF(AK$6="","",IF(OR(WEEKDAY(AK$6,1)=1,WEEKDAY(AK$6,1)=7),0,MIN(8,AK16)*AK15))</f>
      </c>
      <c r="AL17" s="26">
        <f>IF(AL$6="","",IF(OR(WEEKDAY(AL$6,1)=1,WEEKDAY(AL$6,1)=7),0,MIN(8,AL16)*AL15))</f>
      </c>
      <c r="AM17" s="26">
        <f>IF(AM$6="","",IF(OR(WEEKDAY(AM$6,1)=1,WEEKDAY(AM$6,1)=7),0,MIN(8,AM16)*AM15))</f>
      </c>
      <c r="AN17" s="26">
        <f>IF(AN$6="","",IF(OR(WEEKDAY(AN$6,1)=1,WEEKDAY(AN$6,1)=7),0,MIN(8,AN16)*AN15))</f>
      </c>
      <c r="AO17" s="26">
        <f>IF(AO$6="","",IF(OR(WEEKDAY(AO$6,1)=1,WEEKDAY(AO$6,1)=7),0,MIN(8,AO16)*AO15))</f>
      </c>
      <c r="AP17" s="26">
        <f>IF(AP$6="","",IF(OR(WEEKDAY(AP$6,1)=1,WEEKDAY(AP$6,1)=7),0,MIN(8,AP16)*AP15))</f>
      </c>
      <c r="AQ17" s="26">
        <f>IF(AQ$6="","",IF(OR(WEEKDAY(AQ$6,1)=1,WEEKDAY(AQ$6,1)=7),0,MIN(8,AQ16)*AQ15))</f>
      </c>
      <c r="AR17" s="26">
        <f>IF(AR$6="","",IF(OR(WEEKDAY(AR$6,1)=1,WEEKDAY(AR$6,1)=7),0,MIN(8,AR16)*AR15))</f>
      </c>
      <c r="AS17" s="26">
        <f>IF(AS$6="","",IF(OR(WEEKDAY(AS$6,1)=1,WEEKDAY(AS$6,1)=7),0,MIN(8,AS16)*AS15))</f>
      </c>
      <c r="AT17" s="26">
        <f>IF(AT$6="","",IF(OR(WEEKDAY(AT$6,1)=1,WEEKDAY(AT$6,1)=7),0,MIN(8,AT16)*AT15))</f>
      </c>
      <c r="AU17" s="26">
        <f>IF(AU$6="","",IF(OR(WEEKDAY(AU$6,1)=1,WEEKDAY(AU$6,1)=7),0,MIN(8,AU16)*AU15))</f>
      </c>
      <c r="AV17" s="26">
        <f>IF(AV$6="","",IF(OR(WEEKDAY(AV$6,1)=1,WEEKDAY(AV$6,1)=7),0,MIN(8,AV16)*AV15))</f>
      </c>
      <c r="AW17" s="26">
        <f>IF(AW$6="","",IF(OR(WEEKDAY(AW$6,1)=1,WEEKDAY(AW$6,1)=7),0,MIN(8,AW16)*AW15))</f>
      </c>
      <c r="AX17" s="26">
        <f>IF(AX$6="","",IF(OR(WEEKDAY(AX$6,1)=1,WEEKDAY(AX$6,1)=7),0,MIN(8,AX16)*AX15))</f>
      </c>
      <c r="AY17" s="26">
        <f>IF(AY$6="","",IF(OR(WEEKDAY(AY$6,1)=1,WEEKDAY(AY$6,1)=7),0,MIN(8,AY16)*AY15))</f>
      </c>
      <c r="AZ17" s="26">
        <f>IF(AZ$6="","",IF(OR(WEEKDAY(AZ$6,1)=1,WEEKDAY(AZ$6,1)=7),0,MIN(8,AZ16)*AZ15))</f>
      </c>
      <c r="BA17" s="26">
        <f>IF(BA$6="","",IF(OR(WEEKDAY(BA$6,1)=1,WEEKDAY(BA$6,1)=7),0,MIN(8,BA16)*BA15))</f>
      </c>
      <c r="BB17" s="26">
        <f>IF(BB$6="","",IF(OR(WEEKDAY(BB$6,1)=1,WEEKDAY(BB$6,1)=7),0,MIN(8,BB16)*BB15))</f>
      </c>
      <c r="BC17" s="26">
        <f>IF(BC$6="","",IF(OR(WEEKDAY(BC$6,1)=1,WEEKDAY(BC$6,1)=7),0,MIN(8,BC16)*BC15))</f>
      </c>
      <c r="BD17" s="26">
        <f>IF(BD$6="","",IF(OR(WEEKDAY(BD$6,1)=1,WEEKDAY(BD$6,1)=7),0,MIN(8,BD16)*BD15))</f>
      </c>
      <c r="BE17" s="26">
        <f>IF(BE$6="","",IF(OR(WEEKDAY(BE$6,1)=1,WEEKDAY(BE$6,1)=7),0,MIN(8,BE16)*BE15))</f>
      </c>
      <c r="BF17" s="26">
        <f>IF(BF$6="","",IF(OR(WEEKDAY(BF$6,1)=1,WEEKDAY(BF$6,1)=7),0,MIN(8,BF16)*BF15))</f>
      </c>
      <c r="BG17" s="26">
        <f>IF(BG$6="","",IF(OR(WEEKDAY(BG$6,1)=1,WEEKDAY(BG$6,1)=7),0,MIN(8,BG16)*BG15))</f>
      </c>
      <c r="BH17" s="26">
        <f>IF(BH$6="","",IF(OR(WEEKDAY(BH$6,1)=1,WEEKDAY(BH$6,1)=7),0,MIN(8,BH16)*BH15))</f>
      </c>
      <c r="BI17" s="26">
        <f>IF(BI$6="","",IF(OR(WEEKDAY(BI$6,1)=1,WEEKDAY(BI$6,1)=7),0,MIN(8,BI16)*BI15))</f>
      </c>
      <c r="BJ17" s="26">
        <f>IF(BJ$6="","",IF(OR(WEEKDAY(BJ$6,1)=1,WEEKDAY(BJ$6,1)=7),0,MIN(8,BJ16)*BJ15))</f>
      </c>
      <c r="BK17" s="26">
        <f>IF(BK$6="","",IF(OR(WEEKDAY(BK$6,1)=1,WEEKDAY(BK$6,1)=7),0,MIN(8,BK16)*BK15))</f>
      </c>
      <c r="BL17" s="26">
        <f>IF(BL$6="","",IF(OR(WEEKDAY(BL$6,1)=1,WEEKDAY(BL$6,1)=7),0,MIN(8,BL16)*BL15))</f>
      </c>
      <c r="BM17" s="26">
        <f>IF(BM$6="","",IF(OR(WEEKDAY(BM$6,1)=1,WEEKDAY(BM$6,1)=7),0,MIN(8,BM16)*BM15))</f>
      </c>
      <c r="BN17" s="26">
        <f>IF(BN$6="","",IF(OR(WEEKDAY(BN$6,1)=1,WEEKDAY(BN$6,1)=7),0,MIN(8,BN16)*BN15))</f>
      </c>
      <c r="BO17" s="26">
        <f>IF(BO$6="","",IF(OR(WEEKDAY(BO$6,1)=1,WEEKDAY(BO$6,1)=7),0,MIN(8,BO16)*BO15))</f>
      </c>
      <c r="BP17" s="26">
        <f>IF(BP$6="","",IF(OR(WEEKDAY(BP$6,1)=1,WEEKDAY(BP$6,1)=7),0,MIN(8,BP16)*BP15))</f>
      </c>
      <c r="BQ17" s="26">
        <f>IF(BQ$6="","",IF(OR(WEEKDAY(BQ$6,1)=1,WEEKDAY(BQ$6,1)=7),0,MIN(8,BQ16)*BQ15))</f>
      </c>
      <c r="BR17" s="26">
        <f>IF(BR$6="","",IF(OR(WEEKDAY(BR$6,1)=1,WEEKDAY(BR$6,1)=7),0,MIN(8,BR16)*BR15))</f>
      </c>
      <c r="BS17" s="26">
        <f>IF(BS$6="","",IF(OR(WEEKDAY(BS$6,1)=1,WEEKDAY(BS$6,1)=7),0,MIN(8,BS16)*BS15))</f>
      </c>
      <c r="BT17" s="26">
        <f>IF(BT$6="","",IF(OR(WEEKDAY(BT$6,1)=1,WEEKDAY(BT$6,1)=7),0,MIN(8,BT16)*BT15))</f>
      </c>
      <c r="BU17" s="26">
        <f>IF(BU$6="","",IF(OR(WEEKDAY(BU$6,1)=1,WEEKDAY(BU$6,1)=7),0,MIN(8,BU16)*BU15))</f>
      </c>
      <c r="BV17" s="26">
        <f>IF(BV$6="","",IF(OR(WEEKDAY(BV$6,1)=1,WEEKDAY(BV$6,1)=7),0,MIN(8,BV16)*BV15))</f>
      </c>
      <c r="BW17" s="26">
        <f>IF(BW$6="","",IF(OR(WEEKDAY(BW$6,1)=1,WEEKDAY(BW$6,1)=7),0,MIN(8,BW16)*BW15))</f>
      </c>
      <c r="BX17" s="26">
        <f>IF(BX$6="","",IF(OR(WEEKDAY(BX$6,1)=1,WEEKDAY(BX$6,1)=7),0,MIN(8,BX16)*BX15))</f>
      </c>
      <c r="BY17" s="26">
        <f>IF(BY$6="","",IF(OR(WEEKDAY(BY$6,1)=1,WEEKDAY(BY$6,1)=7),0,MIN(8,BY16)*BY15))</f>
      </c>
      <c r="BZ17" s="26">
        <f>IF(BZ$6="","",IF(OR(WEEKDAY(BZ$6,1)=1,WEEKDAY(BZ$6,1)=7),0,MIN(8,BZ16)*BZ15))</f>
      </c>
      <c r="CA17" s="26">
        <f>IF(CA$6="","",IF(OR(WEEKDAY(CA$6,1)=1,WEEKDAY(CA$6,1)=7),0,MIN(8,CA16)*CA15))</f>
      </c>
      <c r="CB17" s="26">
        <f>IF(CB$6="","",IF(OR(WEEKDAY(CB$6,1)=1,WEEKDAY(CB$6,1)=7),0,MIN(8,CB16)*CB15))</f>
      </c>
      <c r="CC17" s="26">
        <f>IF(CC$6="","",IF(OR(WEEKDAY(CC$6,1)=1,WEEKDAY(CC$6,1)=7),0,MIN(8,CC16)*CC15))</f>
      </c>
      <c r="CD17" s="26">
        <f>IF(CD$6="","",IF(OR(WEEKDAY(CD$6,1)=1,WEEKDAY(CD$6,1)=7),0,MIN(8,CD16)*CD15))</f>
      </c>
      <c r="CE17" s="26">
        <f>IF(CE$6="","",IF(OR(WEEKDAY(CE$6,1)=1,WEEKDAY(CE$6,1)=7),0,MIN(8,CE16)*CE15))</f>
      </c>
      <c r="CF17" s="26">
        <f>IF(CF$6="","",IF(OR(WEEKDAY(CF$6,1)=1,WEEKDAY(CF$6,1)=7),0,MIN(8,CF16)*CF15))</f>
      </c>
      <c r="CG17" s="26">
        <f>IF(CG$6="","",IF(OR(WEEKDAY(CG$6,1)=1,WEEKDAY(CG$6,1)=7),0,MIN(8,CG16)*CG15))</f>
      </c>
      <c r="CH17" s="26">
        <f>IF(CH$6="","",IF(OR(WEEKDAY(CH$6,1)=1,WEEKDAY(CH$6,1)=7),0,MIN(8,CH16)*CH15))</f>
      </c>
      <c r="CI17" s="26">
        <f>IF(CI$6="","",IF(OR(WEEKDAY(CI$6,1)=1,WEEKDAY(CI$6,1)=7),0,MIN(8,CI16)*CI15))</f>
      </c>
      <c r="CJ17" s="26">
        <f>IF(CJ$6="","",IF(OR(WEEKDAY(CJ$6,1)=1,WEEKDAY(CJ$6,1)=7),0,MIN(8,CJ16)*CJ15))</f>
      </c>
      <c r="CK17" s="26">
        <f>IF(CK$6="","",IF(OR(WEEKDAY(CK$6,1)=1,WEEKDAY(CK$6,1)=7),0,MIN(8,CK16)*CK15))</f>
      </c>
      <c r="CL17" s="26">
        <f>IF(CL$6="","",IF(OR(WEEKDAY(CL$6,1)=1,WEEKDAY(CL$6,1)=7),0,MIN(8,CL16)*CL15))</f>
      </c>
      <c r="CM17" s="26">
        <f>IF(CM$6="","",IF(OR(WEEKDAY(CM$6,1)=1,WEEKDAY(CM$6,1)=7),0,MIN(8,CM16)*CM15))</f>
      </c>
      <c r="CN17" s="26">
        <f>IF(CN$6="","",IF(OR(WEEKDAY(CN$6,1)=1,WEEKDAY(CN$6,1)=7),0,MIN(8,CN16)*CN15))</f>
      </c>
      <c r="CO17" s="26">
        <f>IF(CO$6="","",IF(OR(WEEKDAY(CO$6,1)=1,WEEKDAY(CO$6,1)=7),0,MIN(8,CO16)*CO15))</f>
      </c>
      <c r="CP17" s="26">
        <f>IF(CP$6="","",IF(OR(WEEKDAY(CP$6,1)=1,WEEKDAY(CP$6,1)=7),0,MIN(8,CP16)*CP15))</f>
      </c>
      <c r="CQ17" s="26">
        <f>IF(CQ$6="","",IF(OR(WEEKDAY(CQ$6,1)=1,WEEKDAY(CQ$6,1)=7),0,MIN(8,CQ16)*CQ15))</f>
      </c>
      <c r="CR17" s="26">
        <f>IF(CR$6="","",IF(OR(WEEKDAY(CR$6,1)=1,WEEKDAY(CR$6,1)=7),0,MIN(8,CR16)*CR15))</f>
      </c>
      <c r="CS17" s="26">
        <f>IF(CS$6="","",IF(OR(WEEKDAY(CS$6,1)=1,WEEKDAY(CS$6,1)=7),0,MIN(8,CS16)*CS15))</f>
      </c>
      <c r="CT17" s="26">
        <f>IF(CT$6="","",IF(OR(WEEKDAY(CT$6,1)=1,WEEKDAY(CT$6,1)=7),0,MIN(8,CT16)*CT15))</f>
      </c>
      <c r="CU17" s="26">
        <f>IF(CU$6="","",IF(OR(WEEKDAY(CU$6,1)=1,WEEKDAY(CU$6,1)=7),0,MIN(8,CU16)*CU15))</f>
      </c>
      <c r="CV17" s="26">
        <f>IF(CV$6="","",IF(OR(WEEKDAY(CV$6,1)=1,WEEKDAY(CV$6,1)=7),0,MIN(8,CV16)*CV15))</f>
      </c>
      <c r="CW17" s="26">
        <f>IF(CW$6="","",IF(OR(WEEKDAY(CW$6,1)=1,WEEKDAY(CW$6,1)=7),0,MIN(8,CW16)*CW15))</f>
      </c>
      <c r="CX17" s="8" t="s">
        <v>96</v>
      </c>
    </row>
    <row r="18" spans="2:102" x14ac:dyDescent="0.25">
      <c r="B18" s="26">
        <f>SUM(L18:CW18)</f>
      </c>
      <c r="D18" s="27">
        <f>B18*E18</f>
      </c>
      <c r="E18" s="27">
        <f>'Rate Tables'!D25</f>
      </c>
      <c r="F18" s="8" t="s">
        <v>40</v>
      </c>
      <c r="L18" s="26">
        <f>IF(L$6="","",IF(WEEKDAY(L$6,1)=1,0,IF(WEEKDAY(L$6,1)=7,L16*L15,MAX(0,L16-8)*L15)))</f>
      </c>
      <c r="M18" s="26">
        <f>IF(M$6="","",IF(WEEKDAY(M$6,1)=1,0,IF(WEEKDAY(M$6,1)=7,M16*M15,MAX(0,M16-8)*M15)))</f>
      </c>
      <c r="N18" s="26">
        <f>IF(N$6="","",IF(WEEKDAY(N$6,1)=1,0,IF(WEEKDAY(N$6,1)=7,N16*N15,MAX(0,N16-8)*N15)))</f>
      </c>
      <c r="O18" s="26">
        <f>IF(O$6="","",IF(WEEKDAY(O$6,1)=1,0,IF(WEEKDAY(O$6,1)=7,O16*O15,MAX(0,O16-8)*O15)))</f>
      </c>
      <c r="P18" s="26">
        <f>IF(P$6="","",IF(WEEKDAY(P$6,1)=1,0,IF(WEEKDAY(P$6,1)=7,P16*P15,MAX(0,P16-8)*P15)))</f>
      </c>
      <c r="Q18" s="26">
        <f>IF(Q$6="","",IF(WEEKDAY(Q$6,1)=1,0,IF(WEEKDAY(Q$6,1)=7,Q16*Q15,MAX(0,Q16-8)*Q15)))</f>
      </c>
      <c r="R18" s="26">
        <f>IF(R$6="","",IF(WEEKDAY(R$6,1)=1,0,IF(WEEKDAY(R$6,1)=7,R16*R15,MAX(0,R16-8)*R15)))</f>
      </c>
      <c r="S18" s="26">
        <f>IF(S$6="","",IF(WEEKDAY(S$6,1)=1,0,IF(WEEKDAY(S$6,1)=7,S16*S15,MAX(0,S16-8)*S15)))</f>
      </c>
      <c r="T18" s="26">
        <f>IF(T$6="","",IF(WEEKDAY(T$6,1)=1,0,IF(WEEKDAY(T$6,1)=7,T16*T15,MAX(0,T16-8)*T15)))</f>
      </c>
      <c r="U18" s="26">
        <f>IF(U$6="","",IF(WEEKDAY(U$6,1)=1,0,IF(WEEKDAY(U$6,1)=7,U16*U15,MAX(0,U16-8)*U15)))</f>
      </c>
      <c r="V18" s="26">
        <f>IF(V$6="","",IF(WEEKDAY(V$6,1)=1,0,IF(WEEKDAY(V$6,1)=7,V16*V15,MAX(0,V16-8)*V15)))</f>
      </c>
      <c r="W18" s="26">
        <f>IF(W$6="","",IF(WEEKDAY(W$6,1)=1,0,IF(WEEKDAY(W$6,1)=7,W16*W15,MAX(0,W16-8)*W15)))</f>
      </c>
      <c r="X18" s="26">
        <f>IF(X$6="","",IF(WEEKDAY(X$6,1)=1,0,IF(WEEKDAY(X$6,1)=7,X16*X15,MAX(0,X16-8)*X15)))</f>
      </c>
      <c r="Y18" s="26">
        <f>IF(Y$6="","",IF(WEEKDAY(Y$6,1)=1,0,IF(WEEKDAY(Y$6,1)=7,Y16*Y15,MAX(0,Y16-8)*Y15)))</f>
      </c>
      <c r="Z18" s="26">
        <f>IF(Z$6="","",IF(WEEKDAY(Z$6,1)=1,0,IF(WEEKDAY(Z$6,1)=7,Z16*Z15,MAX(0,Z16-8)*Z15)))</f>
      </c>
      <c r="AA18" s="26">
        <f>IF(AA$6="","",IF(WEEKDAY(AA$6,1)=1,0,IF(WEEKDAY(AA$6,1)=7,AA16*AA15,MAX(0,AA16-8)*AA15)))</f>
      </c>
      <c r="AB18" s="26">
        <f>IF(AB$6="","",IF(WEEKDAY(AB$6,1)=1,0,IF(WEEKDAY(AB$6,1)=7,AB16*AB15,MAX(0,AB16-8)*AB15)))</f>
      </c>
      <c r="AC18" s="26">
        <f>IF(AC$6="","",IF(WEEKDAY(AC$6,1)=1,0,IF(WEEKDAY(AC$6,1)=7,AC16*AC15,MAX(0,AC16-8)*AC15)))</f>
      </c>
      <c r="AD18" s="26">
        <f>IF(AD$6="","",IF(WEEKDAY(AD$6,1)=1,0,IF(WEEKDAY(AD$6,1)=7,AD16*AD15,MAX(0,AD16-8)*AD15)))</f>
      </c>
      <c r="AE18" s="26">
        <f>IF(AE$6="","",IF(WEEKDAY(AE$6,1)=1,0,IF(WEEKDAY(AE$6,1)=7,AE16*AE15,MAX(0,AE16-8)*AE15)))</f>
      </c>
      <c r="AF18" s="26">
        <f>IF(AF$6="","",IF(WEEKDAY(AF$6,1)=1,0,IF(WEEKDAY(AF$6,1)=7,AF16*AF15,MAX(0,AF16-8)*AF15)))</f>
      </c>
      <c r="AG18" s="26">
        <f>IF(AG$6="","",IF(WEEKDAY(AG$6,1)=1,0,IF(WEEKDAY(AG$6,1)=7,AG16*AG15,MAX(0,AG16-8)*AG15)))</f>
      </c>
      <c r="AH18" s="26">
        <f>IF(AH$6="","",IF(WEEKDAY(AH$6,1)=1,0,IF(WEEKDAY(AH$6,1)=7,AH16*AH15,MAX(0,AH16-8)*AH15)))</f>
      </c>
      <c r="AI18" s="26">
        <f>IF(AI$6="","",IF(WEEKDAY(AI$6,1)=1,0,IF(WEEKDAY(AI$6,1)=7,AI16*AI15,MAX(0,AI16-8)*AI15)))</f>
      </c>
      <c r="AJ18" s="26">
        <f>IF(AJ$6="","",IF(WEEKDAY(AJ$6,1)=1,0,IF(WEEKDAY(AJ$6,1)=7,AJ16*AJ15,MAX(0,AJ16-8)*AJ15)))</f>
      </c>
      <c r="AK18" s="26">
        <f>IF(AK$6="","",IF(WEEKDAY(AK$6,1)=1,0,IF(WEEKDAY(AK$6,1)=7,AK16*AK15,MAX(0,AK16-8)*AK15)))</f>
      </c>
      <c r="AL18" s="26">
        <f>IF(AL$6="","",IF(WEEKDAY(AL$6,1)=1,0,IF(WEEKDAY(AL$6,1)=7,AL16*AL15,MAX(0,AL16-8)*AL15)))</f>
      </c>
      <c r="AM18" s="26">
        <f>IF(AM$6="","",IF(WEEKDAY(AM$6,1)=1,0,IF(WEEKDAY(AM$6,1)=7,AM16*AM15,MAX(0,AM16-8)*AM15)))</f>
      </c>
      <c r="AN18" s="26">
        <f>IF(AN$6="","",IF(WEEKDAY(AN$6,1)=1,0,IF(WEEKDAY(AN$6,1)=7,AN16*AN15,MAX(0,AN16-8)*AN15)))</f>
      </c>
      <c r="AO18" s="26">
        <f>IF(AO$6="","",IF(WEEKDAY(AO$6,1)=1,0,IF(WEEKDAY(AO$6,1)=7,AO16*AO15,MAX(0,AO16-8)*AO15)))</f>
      </c>
      <c r="AP18" s="26">
        <f>IF(AP$6="","",IF(WEEKDAY(AP$6,1)=1,0,IF(WEEKDAY(AP$6,1)=7,AP16*AP15,MAX(0,AP16-8)*AP15)))</f>
      </c>
      <c r="AQ18" s="26">
        <f>IF(AQ$6="","",IF(WEEKDAY(AQ$6,1)=1,0,IF(WEEKDAY(AQ$6,1)=7,AQ16*AQ15,MAX(0,AQ16-8)*AQ15)))</f>
      </c>
      <c r="AR18" s="26">
        <f>IF(AR$6="","",IF(WEEKDAY(AR$6,1)=1,0,IF(WEEKDAY(AR$6,1)=7,AR16*AR15,MAX(0,AR16-8)*AR15)))</f>
      </c>
      <c r="AS18" s="26">
        <f>IF(AS$6="","",IF(WEEKDAY(AS$6,1)=1,0,IF(WEEKDAY(AS$6,1)=7,AS16*AS15,MAX(0,AS16-8)*AS15)))</f>
      </c>
      <c r="AT18" s="26">
        <f>IF(AT$6="","",IF(WEEKDAY(AT$6,1)=1,0,IF(WEEKDAY(AT$6,1)=7,AT16*AT15,MAX(0,AT16-8)*AT15)))</f>
      </c>
      <c r="AU18" s="26">
        <f>IF(AU$6="","",IF(WEEKDAY(AU$6,1)=1,0,IF(WEEKDAY(AU$6,1)=7,AU16*AU15,MAX(0,AU16-8)*AU15)))</f>
      </c>
      <c r="AV18" s="26">
        <f>IF(AV$6="","",IF(WEEKDAY(AV$6,1)=1,0,IF(WEEKDAY(AV$6,1)=7,AV16*AV15,MAX(0,AV16-8)*AV15)))</f>
      </c>
      <c r="AW18" s="26">
        <f>IF(AW$6="","",IF(WEEKDAY(AW$6,1)=1,0,IF(WEEKDAY(AW$6,1)=7,AW16*AW15,MAX(0,AW16-8)*AW15)))</f>
      </c>
      <c r="AX18" s="26">
        <f>IF(AX$6="","",IF(WEEKDAY(AX$6,1)=1,0,IF(WEEKDAY(AX$6,1)=7,AX16*AX15,MAX(0,AX16-8)*AX15)))</f>
      </c>
      <c r="AY18" s="26">
        <f>IF(AY$6="","",IF(WEEKDAY(AY$6,1)=1,0,IF(WEEKDAY(AY$6,1)=7,AY16*AY15,MAX(0,AY16-8)*AY15)))</f>
      </c>
      <c r="AZ18" s="26">
        <f>IF(AZ$6="","",IF(WEEKDAY(AZ$6,1)=1,0,IF(WEEKDAY(AZ$6,1)=7,AZ16*AZ15,MAX(0,AZ16-8)*AZ15)))</f>
      </c>
      <c r="BA18" s="26">
        <f>IF(BA$6="","",IF(WEEKDAY(BA$6,1)=1,0,IF(WEEKDAY(BA$6,1)=7,BA16*BA15,MAX(0,BA16-8)*BA15)))</f>
      </c>
      <c r="BB18" s="26">
        <f>IF(BB$6="","",IF(WEEKDAY(BB$6,1)=1,0,IF(WEEKDAY(BB$6,1)=7,BB16*BB15,MAX(0,BB16-8)*BB15)))</f>
      </c>
      <c r="BC18" s="26">
        <f>IF(BC$6="","",IF(WEEKDAY(BC$6,1)=1,0,IF(WEEKDAY(BC$6,1)=7,BC16*BC15,MAX(0,BC16-8)*BC15)))</f>
      </c>
      <c r="BD18" s="26">
        <f>IF(BD$6="","",IF(WEEKDAY(BD$6,1)=1,0,IF(WEEKDAY(BD$6,1)=7,BD16*BD15,MAX(0,BD16-8)*BD15)))</f>
      </c>
      <c r="BE18" s="26">
        <f>IF(BE$6="","",IF(WEEKDAY(BE$6,1)=1,0,IF(WEEKDAY(BE$6,1)=7,BE16*BE15,MAX(0,BE16-8)*BE15)))</f>
      </c>
      <c r="BF18" s="26">
        <f>IF(BF$6="","",IF(WEEKDAY(BF$6,1)=1,0,IF(WEEKDAY(BF$6,1)=7,BF16*BF15,MAX(0,BF16-8)*BF15)))</f>
      </c>
      <c r="BG18" s="26">
        <f>IF(BG$6="","",IF(WEEKDAY(BG$6,1)=1,0,IF(WEEKDAY(BG$6,1)=7,BG16*BG15,MAX(0,BG16-8)*BG15)))</f>
      </c>
      <c r="BH18" s="26">
        <f>IF(BH$6="","",IF(WEEKDAY(BH$6,1)=1,0,IF(WEEKDAY(BH$6,1)=7,BH16*BH15,MAX(0,BH16-8)*BH15)))</f>
      </c>
      <c r="BI18" s="26">
        <f>IF(BI$6="","",IF(WEEKDAY(BI$6,1)=1,0,IF(WEEKDAY(BI$6,1)=7,BI16*BI15,MAX(0,BI16-8)*BI15)))</f>
      </c>
      <c r="BJ18" s="26">
        <f>IF(BJ$6="","",IF(WEEKDAY(BJ$6,1)=1,0,IF(WEEKDAY(BJ$6,1)=7,BJ16*BJ15,MAX(0,BJ16-8)*BJ15)))</f>
      </c>
      <c r="BK18" s="26">
        <f>IF(BK$6="","",IF(WEEKDAY(BK$6,1)=1,0,IF(WEEKDAY(BK$6,1)=7,BK16*BK15,MAX(0,BK16-8)*BK15)))</f>
      </c>
      <c r="BL18" s="26">
        <f>IF(BL$6="","",IF(WEEKDAY(BL$6,1)=1,0,IF(WEEKDAY(BL$6,1)=7,BL16*BL15,MAX(0,BL16-8)*BL15)))</f>
      </c>
      <c r="BM18" s="26">
        <f>IF(BM$6="","",IF(WEEKDAY(BM$6,1)=1,0,IF(WEEKDAY(BM$6,1)=7,BM16*BM15,MAX(0,BM16-8)*BM15)))</f>
      </c>
      <c r="BN18" s="26">
        <f>IF(BN$6="","",IF(WEEKDAY(BN$6,1)=1,0,IF(WEEKDAY(BN$6,1)=7,BN16*BN15,MAX(0,BN16-8)*BN15)))</f>
      </c>
      <c r="BO18" s="26">
        <f>IF(BO$6="","",IF(WEEKDAY(BO$6,1)=1,0,IF(WEEKDAY(BO$6,1)=7,BO16*BO15,MAX(0,BO16-8)*BO15)))</f>
      </c>
      <c r="BP18" s="26">
        <f>IF(BP$6="","",IF(WEEKDAY(BP$6,1)=1,0,IF(WEEKDAY(BP$6,1)=7,BP16*BP15,MAX(0,BP16-8)*BP15)))</f>
      </c>
      <c r="BQ18" s="26">
        <f>IF(BQ$6="","",IF(WEEKDAY(BQ$6,1)=1,0,IF(WEEKDAY(BQ$6,1)=7,BQ16*BQ15,MAX(0,BQ16-8)*BQ15)))</f>
      </c>
      <c r="BR18" s="26">
        <f>IF(BR$6="","",IF(WEEKDAY(BR$6,1)=1,0,IF(WEEKDAY(BR$6,1)=7,BR16*BR15,MAX(0,BR16-8)*BR15)))</f>
      </c>
      <c r="BS18" s="26">
        <f>IF(BS$6="","",IF(WEEKDAY(BS$6,1)=1,0,IF(WEEKDAY(BS$6,1)=7,BS16*BS15,MAX(0,BS16-8)*BS15)))</f>
      </c>
      <c r="BT18" s="26">
        <f>IF(BT$6="","",IF(WEEKDAY(BT$6,1)=1,0,IF(WEEKDAY(BT$6,1)=7,BT16*BT15,MAX(0,BT16-8)*BT15)))</f>
      </c>
      <c r="BU18" s="26">
        <f>IF(BU$6="","",IF(WEEKDAY(BU$6,1)=1,0,IF(WEEKDAY(BU$6,1)=7,BU16*BU15,MAX(0,BU16-8)*BU15)))</f>
      </c>
      <c r="BV18" s="26">
        <f>IF(BV$6="","",IF(WEEKDAY(BV$6,1)=1,0,IF(WEEKDAY(BV$6,1)=7,BV16*BV15,MAX(0,BV16-8)*BV15)))</f>
      </c>
      <c r="BW18" s="26">
        <f>IF(BW$6="","",IF(WEEKDAY(BW$6,1)=1,0,IF(WEEKDAY(BW$6,1)=7,BW16*BW15,MAX(0,BW16-8)*BW15)))</f>
      </c>
      <c r="BX18" s="26">
        <f>IF(BX$6="","",IF(WEEKDAY(BX$6,1)=1,0,IF(WEEKDAY(BX$6,1)=7,BX16*BX15,MAX(0,BX16-8)*BX15)))</f>
      </c>
      <c r="BY18" s="26">
        <f>IF(BY$6="","",IF(WEEKDAY(BY$6,1)=1,0,IF(WEEKDAY(BY$6,1)=7,BY16*BY15,MAX(0,BY16-8)*BY15)))</f>
      </c>
      <c r="BZ18" s="26">
        <f>IF(BZ$6="","",IF(WEEKDAY(BZ$6,1)=1,0,IF(WEEKDAY(BZ$6,1)=7,BZ16*BZ15,MAX(0,BZ16-8)*BZ15)))</f>
      </c>
      <c r="CA18" s="26">
        <f>IF(CA$6="","",IF(WEEKDAY(CA$6,1)=1,0,IF(WEEKDAY(CA$6,1)=7,CA16*CA15,MAX(0,CA16-8)*CA15)))</f>
      </c>
      <c r="CB18" s="26">
        <f>IF(CB$6="","",IF(WEEKDAY(CB$6,1)=1,0,IF(WEEKDAY(CB$6,1)=7,CB16*CB15,MAX(0,CB16-8)*CB15)))</f>
      </c>
      <c r="CC18" s="26">
        <f>IF(CC$6="","",IF(WEEKDAY(CC$6,1)=1,0,IF(WEEKDAY(CC$6,1)=7,CC16*CC15,MAX(0,CC16-8)*CC15)))</f>
      </c>
      <c r="CD18" s="26">
        <f>IF(CD$6="","",IF(WEEKDAY(CD$6,1)=1,0,IF(WEEKDAY(CD$6,1)=7,CD16*CD15,MAX(0,CD16-8)*CD15)))</f>
      </c>
      <c r="CE18" s="26">
        <f>IF(CE$6="","",IF(WEEKDAY(CE$6,1)=1,0,IF(WEEKDAY(CE$6,1)=7,CE16*CE15,MAX(0,CE16-8)*CE15)))</f>
      </c>
      <c r="CF18" s="26">
        <f>IF(CF$6="","",IF(WEEKDAY(CF$6,1)=1,0,IF(WEEKDAY(CF$6,1)=7,CF16*CF15,MAX(0,CF16-8)*CF15)))</f>
      </c>
      <c r="CG18" s="26">
        <f>IF(CG$6="","",IF(WEEKDAY(CG$6,1)=1,0,IF(WEEKDAY(CG$6,1)=7,CG16*CG15,MAX(0,CG16-8)*CG15)))</f>
      </c>
      <c r="CH18" s="26">
        <f>IF(CH$6="","",IF(WEEKDAY(CH$6,1)=1,0,IF(WEEKDAY(CH$6,1)=7,CH16*CH15,MAX(0,CH16-8)*CH15)))</f>
      </c>
      <c r="CI18" s="26">
        <f>IF(CI$6="","",IF(WEEKDAY(CI$6,1)=1,0,IF(WEEKDAY(CI$6,1)=7,CI16*CI15,MAX(0,CI16-8)*CI15)))</f>
      </c>
      <c r="CJ18" s="26">
        <f>IF(CJ$6="","",IF(WEEKDAY(CJ$6,1)=1,0,IF(WEEKDAY(CJ$6,1)=7,CJ16*CJ15,MAX(0,CJ16-8)*CJ15)))</f>
      </c>
      <c r="CK18" s="26">
        <f>IF(CK$6="","",IF(WEEKDAY(CK$6,1)=1,0,IF(WEEKDAY(CK$6,1)=7,CK16*CK15,MAX(0,CK16-8)*CK15)))</f>
      </c>
      <c r="CL18" s="26">
        <f>IF(CL$6="","",IF(WEEKDAY(CL$6,1)=1,0,IF(WEEKDAY(CL$6,1)=7,CL16*CL15,MAX(0,CL16-8)*CL15)))</f>
      </c>
      <c r="CM18" s="26">
        <f>IF(CM$6="","",IF(WEEKDAY(CM$6,1)=1,0,IF(WEEKDAY(CM$6,1)=7,CM16*CM15,MAX(0,CM16-8)*CM15)))</f>
      </c>
      <c r="CN18" s="26">
        <f>IF(CN$6="","",IF(WEEKDAY(CN$6,1)=1,0,IF(WEEKDAY(CN$6,1)=7,CN16*CN15,MAX(0,CN16-8)*CN15)))</f>
      </c>
      <c r="CO18" s="26">
        <f>IF(CO$6="","",IF(WEEKDAY(CO$6,1)=1,0,IF(WEEKDAY(CO$6,1)=7,CO16*CO15,MAX(0,CO16-8)*CO15)))</f>
      </c>
      <c r="CP18" s="26">
        <f>IF(CP$6="","",IF(WEEKDAY(CP$6,1)=1,0,IF(WEEKDAY(CP$6,1)=7,CP16*CP15,MAX(0,CP16-8)*CP15)))</f>
      </c>
      <c r="CQ18" s="26">
        <f>IF(CQ$6="","",IF(WEEKDAY(CQ$6,1)=1,0,IF(WEEKDAY(CQ$6,1)=7,CQ16*CQ15,MAX(0,CQ16-8)*CQ15)))</f>
      </c>
      <c r="CR18" s="26">
        <f>IF(CR$6="","",IF(WEEKDAY(CR$6,1)=1,0,IF(WEEKDAY(CR$6,1)=7,CR16*CR15,MAX(0,CR16-8)*CR15)))</f>
      </c>
      <c r="CS18" s="26">
        <f>IF(CS$6="","",IF(WEEKDAY(CS$6,1)=1,0,IF(WEEKDAY(CS$6,1)=7,CS16*CS15,MAX(0,CS16-8)*CS15)))</f>
      </c>
      <c r="CT18" s="26">
        <f>IF(CT$6="","",IF(WEEKDAY(CT$6,1)=1,0,IF(WEEKDAY(CT$6,1)=7,CT16*CT15,MAX(0,CT16-8)*CT15)))</f>
      </c>
      <c r="CU18" s="26">
        <f>IF(CU$6="","",IF(WEEKDAY(CU$6,1)=1,0,IF(WEEKDAY(CU$6,1)=7,CU16*CU15,MAX(0,CU16-8)*CU15)))</f>
      </c>
      <c r="CV18" s="26">
        <f>IF(CV$6="","",IF(WEEKDAY(CV$6,1)=1,0,IF(WEEKDAY(CV$6,1)=7,CV16*CV15,MAX(0,CV16-8)*CV15)))</f>
      </c>
      <c r="CW18" s="26">
        <f>IF(CW$6="","",IF(WEEKDAY(CW$6,1)=1,0,IF(WEEKDAY(CW$6,1)=7,CW16*CW15,MAX(0,CW16-8)*CW15)))</f>
      </c>
      <c r="CX18" s="8" t="s">
        <v>96</v>
      </c>
    </row>
    <row r="19" spans="2:102" x14ac:dyDescent="0.25">
      <c r="B19" s="26">
        <f>SUM(L19:CW19)</f>
      </c>
      <c r="D19" s="27">
        <f>B19*E19</f>
      </c>
      <c r="E19" s="27">
        <f>'Rate Tables'!E25</f>
      </c>
      <c r="F19" s="8" t="s">
        <v>41</v>
      </c>
      <c r="L19" s="26">
        <f>IF(L$6="","",IF(WEEKDAY(L$6,1)=1,L16*L15,0))</f>
      </c>
      <c r="M19" s="26">
        <f>IF(M$6="","",IF(WEEKDAY(M$6,1)=1,M16*M15,0))</f>
      </c>
      <c r="N19" s="26">
        <f>IF(N$6="","",IF(WEEKDAY(N$6,1)=1,N16*N15,0))</f>
      </c>
      <c r="O19" s="26">
        <f>IF(O$6="","",IF(WEEKDAY(O$6,1)=1,O16*O15,0))</f>
      </c>
      <c r="P19" s="26">
        <f>IF(P$6="","",IF(WEEKDAY(P$6,1)=1,P16*P15,0))</f>
      </c>
      <c r="Q19" s="26">
        <f>IF(Q$6="","",IF(WEEKDAY(Q$6,1)=1,Q16*Q15,0))</f>
      </c>
      <c r="R19" s="26">
        <f>IF(R$6="","",IF(WEEKDAY(R$6,1)=1,R16*R15,0))</f>
      </c>
      <c r="S19" s="26">
        <f>IF(S$6="","",IF(WEEKDAY(S$6,1)=1,S16*S15,0))</f>
      </c>
      <c r="T19" s="26">
        <f>IF(T$6="","",IF(WEEKDAY(T$6,1)=1,T16*T15,0))</f>
      </c>
      <c r="U19" s="26">
        <f>IF(U$6="","",IF(WEEKDAY(U$6,1)=1,U16*U15,0))</f>
      </c>
      <c r="V19" s="26">
        <f>IF(V$6="","",IF(WEEKDAY(V$6,1)=1,V16*V15,0))</f>
      </c>
      <c r="W19" s="26">
        <f>IF(W$6="","",IF(WEEKDAY(W$6,1)=1,W16*W15,0))</f>
      </c>
      <c r="X19" s="26">
        <f>IF(X$6="","",IF(WEEKDAY(X$6,1)=1,X16*X15,0))</f>
      </c>
      <c r="Y19" s="26">
        <f>IF(Y$6="","",IF(WEEKDAY(Y$6,1)=1,Y16*Y15,0))</f>
      </c>
      <c r="Z19" s="26">
        <f>IF(Z$6="","",IF(WEEKDAY(Z$6,1)=1,Z16*Z15,0))</f>
      </c>
      <c r="AA19" s="26">
        <f>IF(AA$6="","",IF(WEEKDAY(AA$6,1)=1,AA16*AA15,0))</f>
      </c>
      <c r="AB19" s="26">
        <f>IF(AB$6="","",IF(WEEKDAY(AB$6,1)=1,AB16*AB15,0))</f>
      </c>
      <c r="AC19" s="26">
        <f>IF(AC$6="","",IF(WEEKDAY(AC$6,1)=1,AC16*AC15,0))</f>
      </c>
      <c r="AD19" s="26">
        <f>IF(AD$6="","",IF(WEEKDAY(AD$6,1)=1,AD16*AD15,0))</f>
      </c>
      <c r="AE19" s="26">
        <f>IF(AE$6="","",IF(WEEKDAY(AE$6,1)=1,AE16*AE15,0))</f>
      </c>
      <c r="AF19" s="26">
        <f>IF(AF$6="","",IF(WEEKDAY(AF$6,1)=1,AF16*AF15,0))</f>
      </c>
      <c r="AG19" s="26">
        <f>IF(AG$6="","",IF(WEEKDAY(AG$6,1)=1,AG16*AG15,0))</f>
      </c>
      <c r="AH19" s="26">
        <f>IF(AH$6="","",IF(WEEKDAY(AH$6,1)=1,AH16*AH15,0))</f>
      </c>
      <c r="AI19" s="26">
        <f>IF(AI$6="","",IF(WEEKDAY(AI$6,1)=1,AI16*AI15,0))</f>
      </c>
      <c r="AJ19" s="26">
        <f>IF(AJ$6="","",IF(WEEKDAY(AJ$6,1)=1,AJ16*AJ15,0))</f>
      </c>
      <c r="AK19" s="26">
        <f>IF(AK$6="","",IF(WEEKDAY(AK$6,1)=1,AK16*AK15,0))</f>
      </c>
      <c r="AL19" s="26">
        <f>IF(AL$6="","",IF(WEEKDAY(AL$6,1)=1,AL16*AL15,0))</f>
      </c>
      <c r="AM19" s="26">
        <f>IF(AM$6="","",IF(WEEKDAY(AM$6,1)=1,AM16*AM15,0))</f>
      </c>
      <c r="AN19" s="26">
        <f>IF(AN$6="","",IF(WEEKDAY(AN$6,1)=1,AN16*AN15,0))</f>
      </c>
      <c r="AO19" s="26">
        <f>IF(AO$6="","",IF(WEEKDAY(AO$6,1)=1,AO16*AO15,0))</f>
      </c>
      <c r="AP19" s="26">
        <f>IF(AP$6="","",IF(WEEKDAY(AP$6,1)=1,AP16*AP15,0))</f>
      </c>
      <c r="AQ19" s="26">
        <f>IF(AQ$6="","",IF(WEEKDAY(AQ$6,1)=1,AQ16*AQ15,0))</f>
      </c>
      <c r="AR19" s="26">
        <f>IF(AR$6="","",IF(WEEKDAY(AR$6,1)=1,AR16*AR15,0))</f>
      </c>
      <c r="AS19" s="26">
        <f>IF(AS$6="","",IF(WEEKDAY(AS$6,1)=1,AS16*AS15,0))</f>
      </c>
      <c r="AT19" s="26">
        <f>IF(AT$6="","",IF(WEEKDAY(AT$6,1)=1,AT16*AT15,0))</f>
      </c>
      <c r="AU19" s="26">
        <f>IF(AU$6="","",IF(WEEKDAY(AU$6,1)=1,AU16*AU15,0))</f>
      </c>
      <c r="AV19" s="26">
        <f>IF(AV$6="","",IF(WEEKDAY(AV$6,1)=1,AV16*AV15,0))</f>
      </c>
      <c r="AW19" s="26">
        <f>IF(AW$6="","",IF(WEEKDAY(AW$6,1)=1,AW16*AW15,0))</f>
      </c>
      <c r="AX19" s="26">
        <f>IF(AX$6="","",IF(WEEKDAY(AX$6,1)=1,AX16*AX15,0))</f>
      </c>
      <c r="AY19" s="26">
        <f>IF(AY$6="","",IF(WEEKDAY(AY$6,1)=1,AY16*AY15,0))</f>
      </c>
      <c r="AZ19" s="26">
        <f>IF(AZ$6="","",IF(WEEKDAY(AZ$6,1)=1,AZ16*AZ15,0))</f>
      </c>
      <c r="BA19" s="26">
        <f>IF(BA$6="","",IF(WEEKDAY(BA$6,1)=1,BA16*BA15,0))</f>
      </c>
      <c r="BB19" s="26">
        <f>IF(BB$6="","",IF(WEEKDAY(BB$6,1)=1,BB16*BB15,0))</f>
      </c>
      <c r="BC19" s="26">
        <f>IF(BC$6="","",IF(WEEKDAY(BC$6,1)=1,BC16*BC15,0))</f>
      </c>
      <c r="BD19" s="26">
        <f>IF(BD$6="","",IF(WEEKDAY(BD$6,1)=1,BD16*BD15,0))</f>
      </c>
      <c r="BE19" s="26">
        <f>IF(BE$6="","",IF(WEEKDAY(BE$6,1)=1,BE16*BE15,0))</f>
      </c>
      <c r="BF19" s="26">
        <f>IF(BF$6="","",IF(WEEKDAY(BF$6,1)=1,BF16*BF15,0))</f>
      </c>
      <c r="BG19" s="26">
        <f>IF(BG$6="","",IF(WEEKDAY(BG$6,1)=1,BG16*BG15,0))</f>
      </c>
      <c r="BH19" s="26">
        <f>IF(BH$6="","",IF(WEEKDAY(BH$6,1)=1,BH16*BH15,0))</f>
      </c>
      <c r="BI19" s="26">
        <f>IF(BI$6="","",IF(WEEKDAY(BI$6,1)=1,BI16*BI15,0))</f>
      </c>
      <c r="BJ19" s="26">
        <f>IF(BJ$6="","",IF(WEEKDAY(BJ$6,1)=1,BJ16*BJ15,0))</f>
      </c>
      <c r="BK19" s="26">
        <f>IF(BK$6="","",IF(WEEKDAY(BK$6,1)=1,BK16*BK15,0))</f>
      </c>
      <c r="BL19" s="26">
        <f>IF(BL$6="","",IF(WEEKDAY(BL$6,1)=1,BL16*BL15,0))</f>
      </c>
      <c r="BM19" s="26">
        <f>IF(BM$6="","",IF(WEEKDAY(BM$6,1)=1,BM16*BM15,0))</f>
      </c>
      <c r="BN19" s="26">
        <f>IF(BN$6="","",IF(WEEKDAY(BN$6,1)=1,BN16*BN15,0))</f>
      </c>
      <c r="BO19" s="26">
        <f>IF(BO$6="","",IF(WEEKDAY(BO$6,1)=1,BO16*BO15,0))</f>
      </c>
      <c r="BP19" s="26">
        <f>IF(BP$6="","",IF(WEEKDAY(BP$6,1)=1,BP16*BP15,0))</f>
      </c>
      <c r="BQ19" s="26">
        <f>IF(BQ$6="","",IF(WEEKDAY(BQ$6,1)=1,BQ16*BQ15,0))</f>
      </c>
      <c r="BR19" s="26">
        <f>IF(BR$6="","",IF(WEEKDAY(BR$6,1)=1,BR16*BR15,0))</f>
      </c>
      <c r="BS19" s="26">
        <f>IF(BS$6="","",IF(WEEKDAY(BS$6,1)=1,BS16*BS15,0))</f>
      </c>
      <c r="BT19" s="26">
        <f>IF(BT$6="","",IF(WEEKDAY(BT$6,1)=1,BT16*BT15,0))</f>
      </c>
      <c r="BU19" s="26">
        <f>IF(BU$6="","",IF(WEEKDAY(BU$6,1)=1,BU16*BU15,0))</f>
      </c>
      <c r="BV19" s="26">
        <f>IF(BV$6="","",IF(WEEKDAY(BV$6,1)=1,BV16*BV15,0))</f>
      </c>
      <c r="BW19" s="26">
        <f>IF(BW$6="","",IF(WEEKDAY(BW$6,1)=1,BW16*BW15,0))</f>
      </c>
      <c r="BX19" s="26">
        <f>IF(BX$6="","",IF(WEEKDAY(BX$6,1)=1,BX16*BX15,0))</f>
      </c>
      <c r="BY19" s="26">
        <f>IF(BY$6="","",IF(WEEKDAY(BY$6,1)=1,BY16*BY15,0))</f>
      </c>
      <c r="BZ19" s="26">
        <f>IF(BZ$6="","",IF(WEEKDAY(BZ$6,1)=1,BZ16*BZ15,0))</f>
      </c>
      <c r="CA19" s="26">
        <f>IF(CA$6="","",IF(WEEKDAY(CA$6,1)=1,CA16*CA15,0))</f>
      </c>
      <c r="CB19" s="26">
        <f>IF(CB$6="","",IF(WEEKDAY(CB$6,1)=1,CB16*CB15,0))</f>
      </c>
      <c r="CC19" s="26">
        <f>IF(CC$6="","",IF(WEEKDAY(CC$6,1)=1,CC16*CC15,0))</f>
      </c>
      <c r="CD19" s="26">
        <f>IF(CD$6="","",IF(WEEKDAY(CD$6,1)=1,CD16*CD15,0))</f>
      </c>
      <c r="CE19" s="26">
        <f>IF(CE$6="","",IF(WEEKDAY(CE$6,1)=1,CE16*CE15,0))</f>
      </c>
      <c r="CF19" s="26">
        <f>IF(CF$6="","",IF(WEEKDAY(CF$6,1)=1,CF16*CF15,0))</f>
      </c>
      <c r="CG19" s="26">
        <f>IF(CG$6="","",IF(WEEKDAY(CG$6,1)=1,CG16*CG15,0))</f>
      </c>
      <c r="CH19" s="26">
        <f>IF(CH$6="","",IF(WEEKDAY(CH$6,1)=1,CH16*CH15,0))</f>
      </c>
      <c r="CI19" s="26">
        <f>IF(CI$6="","",IF(WEEKDAY(CI$6,1)=1,CI16*CI15,0))</f>
      </c>
      <c r="CJ19" s="26">
        <f>IF(CJ$6="","",IF(WEEKDAY(CJ$6,1)=1,CJ16*CJ15,0))</f>
      </c>
      <c r="CK19" s="26">
        <f>IF(CK$6="","",IF(WEEKDAY(CK$6,1)=1,CK16*CK15,0))</f>
      </c>
      <c r="CL19" s="26">
        <f>IF(CL$6="","",IF(WEEKDAY(CL$6,1)=1,CL16*CL15,0))</f>
      </c>
      <c r="CM19" s="26">
        <f>IF(CM$6="","",IF(WEEKDAY(CM$6,1)=1,CM16*CM15,0))</f>
      </c>
      <c r="CN19" s="26">
        <f>IF(CN$6="","",IF(WEEKDAY(CN$6,1)=1,CN16*CN15,0))</f>
      </c>
      <c r="CO19" s="26">
        <f>IF(CO$6="","",IF(WEEKDAY(CO$6,1)=1,CO16*CO15,0))</f>
      </c>
      <c r="CP19" s="26">
        <f>IF(CP$6="","",IF(WEEKDAY(CP$6,1)=1,CP16*CP15,0))</f>
      </c>
      <c r="CQ19" s="26">
        <f>IF(CQ$6="","",IF(WEEKDAY(CQ$6,1)=1,CQ16*CQ15,0))</f>
      </c>
      <c r="CR19" s="26">
        <f>IF(CR$6="","",IF(WEEKDAY(CR$6,1)=1,CR16*CR15,0))</f>
      </c>
      <c r="CS19" s="26">
        <f>IF(CS$6="","",IF(WEEKDAY(CS$6,1)=1,CS16*CS15,0))</f>
      </c>
      <c r="CT19" s="26">
        <f>IF(CT$6="","",IF(WEEKDAY(CT$6,1)=1,CT16*CT15,0))</f>
      </c>
      <c r="CU19" s="26">
        <f>IF(CU$6="","",IF(WEEKDAY(CU$6,1)=1,CU16*CU15,0))</f>
      </c>
      <c r="CV19" s="26">
        <f>IF(CV$6="","",IF(WEEKDAY(CV$6,1)=1,CV16*CV15,0))</f>
      </c>
      <c r="CW19" s="26">
        <f>IF(CW$6="","",IF(WEEKDAY(CW$6,1)=1,CW16*CW15,0))</f>
      </c>
      <c r="CX19" s="8" t="s">
        <v>96</v>
      </c>
    </row>
    <row r="20" spans="2:102" x14ac:dyDescent="0.25">
      <c r="B20" s="26">
        <f>SUM(L20:CW20)</f>
      </c>
      <c r="D20" s="27">
        <f>B20*E20</f>
      </c>
      <c r="E20" s="27">
        <v>130</v>
      </c>
      <c r="F20" s="8" t="s">
        <v>42</v>
      </c>
      <c r="L20" s="28">
        <v>0</v>
      </c>
      <c r="M20" s="28">
        <v>0</v>
      </c>
      <c r="N20" s="28">
        <v>0</v>
      </c>
      <c r="O20" s="28">
        <v>0</v>
      </c>
      <c r="P20" s="28">
        <v>0</v>
      </c>
      <c r="Q20" s="28">
        <v>0</v>
      </c>
      <c r="R20" s="28">
        <v>0</v>
      </c>
      <c r="S20" s="28">
        <v>0</v>
      </c>
      <c r="T20" s="28">
        <v>0</v>
      </c>
      <c r="U20" s="28">
        <v>0</v>
      </c>
      <c r="V20" s="28">
        <v>0</v>
      </c>
      <c r="W20" s="28">
        <v>0</v>
      </c>
      <c r="X20" s="28">
        <v>0</v>
      </c>
      <c r="Y20" s="28">
        <v>0</v>
      </c>
      <c r="Z20" s="28">
        <v>0</v>
      </c>
      <c r="AA20" s="28">
        <v>0</v>
      </c>
      <c r="AB20" s="28">
        <v>0</v>
      </c>
      <c r="AC20" s="28">
        <v>0</v>
      </c>
      <c r="AD20" s="28">
        <v>0</v>
      </c>
      <c r="AE20" s="28">
        <v>0</v>
      </c>
      <c r="AF20" s="28">
        <v>0</v>
      </c>
      <c r="AG20" s="28">
        <v>0</v>
      </c>
      <c r="AH20" s="28">
        <v>0</v>
      </c>
      <c r="AI20" s="28">
        <v>0</v>
      </c>
      <c r="AJ20" s="28">
        <v>0</v>
      </c>
      <c r="AK20" s="28">
        <v>0</v>
      </c>
      <c r="AL20" s="28">
        <v>0</v>
      </c>
      <c r="AM20" s="28">
        <v>0</v>
      </c>
      <c r="AN20" s="28">
        <v>0</v>
      </c>
      <c r="AO20" s="28">
        <v>0</v>
      </c>
      <c r="AP20" s="28">
        <v>0</v>
      </c>
      <c r="AQ20" s="28">
        <v>0</v>
      </c>
      <c r="AR20" s="28">
        <v>0</v>
      </c>
      <c r="AS20" s="28">
        <v>0</v>
      </c>
      <c r="AT20" s="28">
        <v>0</v>
      </c>
      <c r="AU20" s="28">
        <v>0</v>
      </c>
      <c r="AV20" s="28">
        <v>0</v>
      </c>
      <c r="AW20" s="28">
        <v>0</v>
      </c>
      <c r="AX20" s="28">
        <v>0</v>
      </c>
      <c r="AY20" s="28">
        <v>0</v>
      </c>
      <c r="AZ20" s="28">
        <v>0</v>
      </c>
      <c r="BA20" s="28">
        <v>0</v>
      </c>
      <c r="BB20" s="28">
        <v>0</v>
      </c>
      <c r="BC20" s="28">
        <v>0</v>
      </c>
      <c r="BD20" s="28">
        <v>0</v>
      </c>
      <c r="BE20" s="28">
        <v>0</v>
      </c>
      <c r="BF20" s="28">
        <v>0</v>
      </c>
      <c r="BG20" s="28">
        <v>0</v>
      </c>
      <c r="BH20" s="28">
        <v>0</v>
      </c>
      <c r="BI20" s="28">
        <v>0</v>
      </c>
      <c r="BJ20" s="28">
        <v>0</v>
      </c>
      <c r="BK20" s="28">
        <v>0</v>
      </c>
      <c r="BL20" s="28">
        <v>0</v>
      </c>
      <c r="BM20" s="28">
        <v>0</v>
      </c>
      <c r="BN20" s="28">
        <v>0</v>
      </c>
      <c r="BO20" s="28">
        <v>0</v>
      </c>
      <c r="BP20" s="28">
        <v>0</v>
      </c>
      <c r="BQ20" s="28">
        <v>0</v>
      </c>
      <c r="BR20" s="28">
        <v>0</v>
      </c>
      <c r="BS20" s="28">
        <v>1</v>
      </c>
      <c r="BT20" s="28">
        <v>1</v>
      </c>
      <c r="BU20" s="28">
        <v>1</v>
      </c>
      <c r="BV20" s="28">
        <v>1</v>
      </c>
      <c r="BW20" s="28">
        <v>1</v>
      </c>
      <c r="BX20" s="28">
        <v>1</v>
      </c>
      <c r="BY20" s="28">
        <v>1</v>
      </c>
      <c r="BZ20" s="28">
        <v>1</v>
      </c>
      <c r="CA20" s="28">
        <v>1</v>
      </c>
      <c r="CB20" s="28">
        <v>1</v>
      </c>
      <c r="CC20" s="28">
        <v>1</v>
      </c>
      <c r="CD20" s="28">
        <v>1</v>
      </c>
      <c r="CE20" s="28">
        <v>1</v>
      </c>
      <c r="CF20" s="28">
        <v>1</v>
      </c>
      <c r="CG20" s="28">
        <v>1</v>
      </c>
      <c r="CH20" s="28">
        <v>1</v>
      </c>
      <c r="CI20" s="28">
        <v>1</v>
      </c>
      <c r="CJ20" s="28">
        <v>1</v>
      </c>
      <c r="CK20" s="28">
        <v>1</v>
      </c>
      <c r="CL20" s="28">
        <v>1</v>
      </c>
      <c r="CM20" s="28">
        <v>1</v>
      </c>
      <c r="CN20" s="28">
        <v>1</v>
      </c>
      <c r="CO20" s="28">
        <v>1</v>
      </c>
      <c r="CP20" s="28">
        <v>1</v>
      </c>
      <c r="CQ20" s="28">
        <v>1</v>
      </c>
      <c r="CR20" s="28">
        <v>1</v>
      </c>
      <c r="CS20" s="28">
        <v>1</v>
      </c>
      <c r="CT20" s="28">
        <v>1</v>
      </c>
      <c r="CU20" s="28">
        <v>1</v>
      </c>
      <c r="CV20" s="28">
        <v>1</v>
      </c>
      <c r="CW20" s="28">
        <v>1</v>
      </c>
      <c r="CX20" s="8" t="s">
        <v>96</v>
      </c>
    </row>
    <row r="21" spans="1:102" x14ac:dyDescent="0.25">
      <c r="A21" s="20" t="s">
        <v>32</v>
      </c>
      <c r="B21" s="21">
        <f>G21+H21+I21</f>
      </c>
      <c r="C21" s="20" t="s">
        <v>97</v>
      </c>
      <c r="D21" s="22">
        <f>K21</f>
      </c>
      <c r="F21" s="20" t="s">
        <v>34</v>
      </c>
      <c r="G21" s="21">
        <f>B24</f>
      </c>
      <c r="H21" s="21">
        <f>B25</f>
      </c>
      <c r="I21" s="21">
        <f>B26</f>
      </c>
      <c r="J21" s="21">
        <f>B27</f>
      </c>
      <c r="K21" s="22">
        <f>D24+D25+D26</f>
      </c>
      <c r="CX21" s="20" t="s">
        <v>98</v>
      </c>
    </row>
    <row r="22" spans="6:102" x14ac:dyDescent="0.25">
      <c r="F22" s="23" t="s">
        <v>36</v>
      </c>
      <c r="L22" s="24">
        <v>1</v>
      </c>
      <c r="M22" s="24">
        <v>1</v>
      </c>
      <c r="N22" s="24">
        <v>1</v>
      </c>
      <c r="O22" s="24">
        <v>1</v>
      </c>
      <c r="P22" s="24">
        <v>1</v>
      </c>
      <c r="Q22" s="24">
        <v>0</v>
      </c>
      <c r="R22" s="24">
        <v>0</v>
      </c>
      <c r="S22" s="24">
        <v>1</v>
      </c>
      <c r="T22" s="24">
        <v>1</v>
      </c>
      <c r="U22" s="24">
        <v>1</v>
      </c>
      <c r="V22" s="24">
        <v>1</v>
      </c>
      <c r="W22" s="24">
        <v>1</v>
      </c>
      <c r="X22" s="24">
        <v>0</v>
      </c>
      <c r="Y22" s="24">
        <v>0</v>
      </c>
      <c r="Z22" s="24">
        <v>1</v>
      </c>
      <c r="AA22" s="24">
        <v>1</v>
      </c>
      <c r="AB22" s="24">
        <v>1</v>
      </c>
      <c r="AC22" s="24">
        <v>1</v>
      </c>
      <c r="AD22" s="24">
        <v>1</v>
      </c>
      <c r="AE22" s="24">
        <v>0</v>
      </c>
      <c r="AF22" s="24">
        <v>0</v>
      </c>
      <c r="AG22" s="24">
        <v>1</v>
      </c>
      <c r="AH22" s="24">
        <v>1</v>
      </c>
      <c r="AI22" s="24">
        <v>1</v>
      </c>
      <c r="AJ22" s="24">
        <v>1</v>
      </c>
      <c r="AK22" s="24">
        <v>1</v>
      </c>
      <c r="AL22" s="24">
        <v>0</v>
      </c>
      <c r="AM22" s="24">
        <v>0</v>
      </c>
      <c r="AN22" s="24">
        <v>1</v>
      </c>
      <c r="AO22" s="24">
        <v>1</v>
      </c>
      <c r="AP22" s="24">
        <v>1</v>
      </c>
      <c r="AQ22" s="24">
        <v>1</v>
      </c>
      <c r="AR22" s="24">
        <v>1</v>
      </c>
      <c r="AS22" s="24">
        <v>0</v>
      </c>
      <c r="AT22" s="24">
        <v>0</v>
      </c>
      <c r="AU22" s="24">
        <v>1</v>
      </c>
      <c r="AV22" s="24">
        <v>1</v>
      </c>
      <c r="AW22" s="24">
        <v>1</v>
      </c>
      <c r="AX22" s="24">
        <v>1</v>
      </c>
      <c r="AY22" s="24">
        <v>1</v>
      </c>
      <c r="AZ22" s="24">
        <v>0</v>
      </c>
      <c r="BA22" s="24">
        <v>0</v>
      </c>
      <c r="BB22" s="24">
        <v>1</v>
      </c>
      <c r="BC22" s="24">
        <v>1</v>
      </c>
      <c r="BD22" s="24">
        <v>1</v>
      </c>
      <c r="BE22" s="24">
        <v>1</v>
      </c>
      <c r="BF22" s="24">
        <v>1</v>
      </c>
      <c r="BG22" s="24">
        <v>0</v>
      </c>
      <c r="BH22" s="24">
        <v>0</v>
      </c>
      <c r="BI22" s="24">
        <v>1</v>
      </c>
      <c r="BJ22" s="24">
        <v>1</v>
      </c>
      <c r="BK22" s="24">
        <v>1</v>
      </c>
      <c r="BL22" s="24">
        <v>1</v>
      </c>
      <c r="BM22" s="24">
        <v>1</v>
      </c>
      <c r="BN22" s="24">
        <v>1</v>
      </c>
      <c r="BO22" s="24">
        <v>1</v>
      </c>
      <c r="BP22" s="24">
        <v>1</v>
      </c>
      <c r="BQ22" s="24">
        <v>1</v>
      </c>
      <c r="BR22" s="24">
        <v>1</v>
      </c>
      <c r="BS22" s="24">
        <v>1</v>
      </c>
      <c r="BT22" s="24">
        <v>1</v>
      </c>
      <c r="BU22" s="24">
        <v>1</v>
      </c>
      <c r="BV22" s="24">
        <v>1</v>
      </c>
      <c r="BW22" s="24">
        <v>1</v>
      </c>
      <c r="BX22" s="24">
        <v>1</v>
      </c>
      <c r="BY22" s="24">
        <v>1</v>
      </c>
      <c r="BZ22" s="24">
        <v>1</v>
      </c>
      <c r="CA22" s="24">
        <v>1</v>
      </c>
      <c r="CB22" s="24">
        <v>1</v>
      </c>
      <c r="CC22" s="24">
        <v>1</v>
      </c>
      <c r="CD22" s="24">
        <v>1</v>
      </c>
      <c r="CE22" s="24">
        <v>1</v>
      </c>
      <c r="CF22" s="24">
        <v>1</v>
      </c>
      <c r="CG22" s="24">
        <v>1</v>
      </c>
      <c r="CH22" s="24">
        <v>1</v>
      </c>
      <c r="CI22" s="24">
        <v>1</v>
      </c>
      <c r="CJ22" s="24">
        <v>1</v>
      </c>
      <c r="CK22" s="24">
        <v>1</v>
      </c>
      <c r="CL22" s="24">
        <v>1</v>
      </c>
      <c r="CM22" s="24">
        <v>1</v>
      </c>
      <c r="CN22" s="24">
        <v>1</v>
      </c>
      <c r="CO22" s="24">
        <v>1</v>
      </c>
      <c r="CP22" s="24">
        <v>1</v>
      </c>
      <c r="CQ22" s="24">
        <v>1</v>
      </c>
      <c r="CR22" s="24">
        <v>1</v>
      </c>
      <c r="CS22" s="24">
        <v>1</v>
      </c>
      <c r="CT22" s="24">
        <v>1</v>
      </c>
      <c r="CU22" s="24">
        <v>1</v>
      </c>
      <c r="CV22" s="24">
        <v>1</v>
      </c>
      <c r="CW22" s="24">
        <v>1</v>
      </c>
      <c r="CX22" s="23" t="s">
        <v>98</v>
      </c>
    </row>
    <row r="23" spans="1:102" x14ac:dyDescent="0.25">
      <c r="A23" s="23" t="s">
        <v>37</v>
      </c>
      <c r="F23" s="23" t="s">
        <v>38</v>
      </c>
      <c r="L23" s="25">
        <v>9</v>
      </c>
      <c r="M23" s="25">
        <v>9</v>
      </c>
      <c r="N23" s="25">
        <v>9</v>
      </c>
      <c r="O23" s="25">
        <v>9</v>
      </c>
      <c r="P23" s="25">
        <v>9</v>
      </c>
      <c r="Q23" s="25">
        <v>0</v>
      </c>
      <c r="R23" s="25">
        <v>0</v>
      </c>
      <c r="S23" s="25">
        <v>9</v>
      </c>
      <c r="T23" s="25">
        <v>9</v>
      </c>
      <c r="U23" s="25">
        <v>9</v>
      </c>
      <c r="V23" s="25">
        <v>9</v>
      </c>
      <c r="W23" s="25">
        <v>9</v>
      </c>
      <c r="X23" s="25">
        <v>0</v>
      </c>
      <c r="Y23" s="25">
        <v>0</v>
      </c>
      <c r="Z23" s="25">
        <v>9</v>
      </c>
      <c r="AA23" s="25">
        <v>9</v>
      </c>
      <c r="AB23" s="25">
        <v>9</v>
      </c>
      <c r="AC23" s="25">
        <v>9</v>
      </c>
      <c r="AD23" s="25">
        <v>9</v>
      </c>
      <c r="AE23" s="25">
        <v>0</v>
      </c>
      <c r="AF23" s="25">
        <v>0</v>
      </c>
      <c r="AG23" s="25">
        <v>9</v>
      </c>
      <c r="AH23" s="25">
        <v>9</v>
      </c>
      <c r="AI23" s="25">
        <v>9</v>
      </c>
      <c r="AJ23" s="25">
        <v>9</v>
      </c>
      <c r="AK23" s="25">
        <v>9</v>
      </c>
      <c r="AL23" s="25">
        <v>0</v>
      </c>
      <c r="AM23" s="25">
        <v>0</v>
      </c>
      <c r="AN23" s="25">
        <v>9</v>
      </c>
      <c r="AO23" s="25">
        <v>9</v>
      </c>
      <c r="AP23" s="25">
        <v>9</v>
      </c>
      <c r="AQ23" s="25">
        <v>9</v>
      </c>
      <c r="AR23" s="25">
        <v>9</v>
      </c>
      <c r="AS23" s="25">
        <v>0</v>
      </c>
      <c r="AT23" s="25">
        <v>0</v>
      </c>
      <c r="AU23" s="25">
        <v>9</v>
      </c>
      <c r="AV23" s="25">
        <v>9</v>
      </c>
      <c r="AW23" s="25">
        <v>9</v>
      </c>
      <c r="AX23" s="25">
        <v>9</v>
      </c>
      <c r="AY23" s="25">
        <v>9</v>
      </c>
      <c r="AZ23" s="25">
        <v>0</v>
      </c>
      <c r="BA23" s="25">
        <v>0</v>
      </c>
      <c r="BB23" s="25">
        <v>9</v>
      </c>
      <c r="BC23" s="25">
        <v>9</v>
      </c>
      <c r="BD23" s="25">
        <v>9</v>
      </c>
      <c r="BE23" s="25">
        <v>9</v>
      </c>
      <c r="BF23" s="25">
        <v>9</v>
      </c>
      <c r="BG23" s="25">
        <v>0</v>
      </c>
      <c r="BH23" s="25">
        <v>0</v>
      </c>
      <c r="BI23" s="25">
        <v>12</v>
      </c>
      <c r="BJ23" s="25">
        <v>12</v>
      </c>
      <c r="BK23" s="25">
        <v>12</v>
      </c>
      <c r="BL23" s="25">
        <v>12</v>
      </c>
      <c r="BM23" s="25">
        <v>12</v>
      </c>
      <c r="BN23" s="25">
        <v>12</v>
      </c>
      <c r="BO23" s="25">
        <v>12</v>
      </c>
      <c r="BP23" s="25">
        <v>12</v>
      </c>
      <c r="BQ23" s="25">
        <v>12</v>
      </c>
      <c r="BR23" s="25">
        <v>12</v>
      </c>
      <c r="BS23" s="25">
        <v>12</v>
      </c>
      <c r="BT23" s="25">
        <v>12</v>
      </c>
      <c r="BU23" s="25">
        <v>12</v>
      </c>
      <c r="BV23" s="25">
        <v>12</v>
      </c>
      <c r="BW23" s="25">
        <v>12</v>
      </c>
      <c r="BX23" s="25">
        <v>12</v>
      </c>
      <c r="BY23" s="25">
        <v>12</v>
      </c>
      <c r="BZ23" s="25">
        <v>12</v>
      </c>
      <c r="CA23" s="25">
        <v>12</v>
      </c>
      <c r="CB23" s="25">
        <v>12</v>
      </c>
      <c r="CC23" s="25">
        <v>12</v>
      </c>
      <c r="CD23" s="25">
        <v>12</v>
      </c>
      <c r="CE23" s="25">
        <v>12</v>
      </c>
      <c r="CF23" s="25">
        <v>12</v>
      </c>
      <c r="CG23" s="25">
        <v>12</v>
      </c>
      <c r="CH23" s="25">
        <v>12</v>
      </c>
      <c r="CI23" s="25">
        <v>12</v>
      </c>
      <c r="CJ23" s="25">
        <v>12</v>
      </c>
      <c r="CK23" s="25">
        <v>12</v>
      </c>
      <c r="CL23" s="25">
        <v>12</v>
      </c>
      <c r="CM23" s="25">
        <v>12</v>
      </c>
      <c r="CN23" s="25">
        <v>12</v>
      </c>
      <c r="CO23" s="25">
        <v>12</v>
      </c>
      <c r="CP23" s="25">
        <v>12</v>
      </c>
      <c r="CQ23" s="25">
        <v>12</v>
      </c>
      <c r="CR23" s="25">
        <v>12</v>
      </c>
      <c r="CS23" s="25">
        <v>12</v>
      </c>
      <c r="CT23" s="25">
        <v>12</v>
      </c>
      <c r="CU23" s="25">
        <v>12</v>
      </c>
      <c r="CV23" s="25">
        <v>12</v>
      </c>
      <c r="CW23" s="25">
        <v>12</v>
      </c>
      <c r="CX23" s="23" t="s">
        <v>98</v>
      </c>
    </row>
    <row r="24" spans="2:102" x14ac:dyDescent="0.25">
      <c r="B24" s="26">
        <f>SUM(L24:CW24)</f>
      </c>
      <c r="D24" s="27">
        <f>B24*E24</f>
      </c>
      <c r="E24" s="27">
        <f>'Rate Tables'!C26</f>
      </c>
      <c r="F24" s="8" t="s">
        <v>39</v>
      </c>
      <c r="L24" s="26">
        <f>IF(L$6="","",IF(OR(WEEKDAY(L$6,1)=1,WEEKDAY(L$6,1)=7),0,MIN(8,L23)*L22))</f>
      </c>
      <c r="M24" s="26">
        <f>IF(M$6="","",IF(OR(WEEKDAY(M$6,1)=1,WEEKDAY(M$6,1)=7),0,MIN(8,M23)*M22))</f>
      </c>
      <c r="N24" s="26">
        <f>IF(N$6="","",IF(OR(WEEKDAY(N$6,1)=1,WEEKDAY(N$6,1)=7),0,MIN(8,N23)*N22))</f>
      </c>
      <c r="O24" s="26">
        <f>IF(O$6="","",IF(OR(WEEKDAY(O$6,1)=1,WEEKDAY(O$6,1)=7),0,MIN(8,O23)*O22))</f>
      </c>
      <c r="P24" s="26">
        <f>IF(P$6="","",IF(OR(WEEKDAY(P$6,1)=1,WEEKDAY(P$6,1)=7),0,MIN(8,P23)*P22))</f>
      </c>
      <c r="Q24" s="26">
        <f>IF(Q$6="","",IF(OR(WEEKDAY(Q$6,1)=1,WEEKDAY(Q$6,1)=7),0,MIN(8,Q23)*Q22))</f>
      </c>
      <c r="R24" s="26">
        <f>IF(R$6="","",IF(OR(WEEKDAY(R$6,1)=1,WEEKDAY(R$6,1)=7),0,MIN(8,R23)*R22))</f>
      </c>
      <c r="S24" s="26">
        <f>IF(S$6="","",IF(OR(WEEKDAY(S$6,1)=1,WEEKDAY(S$6,1)=7),0,MIN(8,S23)*S22))</f>
      </c>
      <c r="T24" s="26">
        <f>IF(T$6="","",IF(OR(WEEKDAY(T$6,1)=1,WEEKDAY(T$6,1)=7),0,MIN(8,T23)*T22))</f>
      </c>
      <c r="U24" s="26">
        <f>IF(U$6="","",IF(OR(WEEKDAY(U$6,1)=1,WEEKDAY(U$6,1)=7),0,MIN(8,U23)*U22))</f>
      </c>
      <c r="V24" s="26">
        <f>IF(V$6="","",IF(OR(WEEKDAY(V$6,1)=1,WEEKDAY(V$6,1)=7),0,MIN(8,V23)*V22))</f>
      </c>
      <c r="W24" s="26">
        <f>IF(W$6="","",IF(OR(WEEKDAY(W$6,1)=1,WEEKDAY(W$6,1)=7),0,MIN(8,W23)*W22))</f>
      </c>
      <c r="X24" s="26">
        <f>IF(X$6="","",IF(OR(WEEKDAY(X$6,1)=1,WEEKDAY(X$6,1)=7),0,MIN(8,X23)*X22))</f>
      </c>
      <c r="Y24" s="26">
        <f>IF(Y$6="","",IF(OR(WEEKDAY(Y$6,1)=1,WEEKDAY(Y$6,1)=7),0,MIN(8,Y23)*Y22))</f>
      </c>
      <c r="Z24" s="26">
        <f>IF(Z$6="","",IF(OR(WEEKDAY(Z$6,1)=1,WEEKDAY(Z$6,1)=7),0,MIN(8,Z23)*Z22))</f>
      </c>
      <c r="AA24" s="26">
        <f>IF(AA$6="","",IF(OR(WEEKDAY(AA$6,1)=1,WEEKDAY(AA$6,1)=7),0,MIN(8,AA23)*AA22))</f>
      </c>
      <c r="AB24" s="26">
        <f>IF(AB$6="","",IF(OR(WEEKDAY(AB$6,1)=1,WEEKDAY(AB$6,1)=7),0,MIN(8,AB23)*AB22))</f>
      </c>
      <c r="AC24" s="26">
        <f>IF(AC$6="","",IF(OR(WEEKDAY(AC$6,1)=1,WEEKDAY(AC$6,1)=7),0,MIN(8,AC23)*AC22))</f>
      </c>
      <c r="AD24" s="26">
        <f>IF(AD$6="","",IF(OR(WEEKDAY(AD$6,1)=1,WEEKDAY(AD$6,1)=7),0,MIN(8,AD23)*AD22))</f>
      </c>
      <c r="AE24" s="26">
        <f>IF(AE$6="","",IF(OR(WEEKDAY(AE$6,1)=1,WEEKDAY(AE$6,1)=7),0,MIN(8,AE23)*AE22))</f>
      </c>
      <c r="AF24" s="26">
        <f>IF(AF$6="","",IF(OR(WEEKDAY(AF$6,1)=1,WEEKDAY(AF$6,1)=7),0,MIN(8,AF23)*AF22))</f>
      </c>
      <c r="AG24" s="26">
        <f>IF(AG$6="","",IF(OR(WEEKDAY(AG$6,1)=1,WEEKDAY(AG$6,1)=7),0,MIN(8,AG23)*AG22))</f>
      </c>
      <c r="AH24" s="26">
        <f>IF(AH$6="","",IF(OR(WEEKDAY(AH$6,1)=1,WEEKDAY(AH$6,1)=7),0,MIN(8,AH23)*AH22))</f>
      </c>
      <c r="AI24" s="26">
        <f>IF(AI$6="","",IF(OR(WEEKDAY(AI$6,1)=1,WEEKDAY(AI$6,1)=7),0,MIN(8,AI23)*AI22))</f>
      </c>
      <c r="AJ24" s="26">
        <f>IF(AJ$6="","",IF(OR(WEEKDAY(AJ$6,1)=1,WEEKDAY(AJ$6,1)=7),0,MIN(8,AJ23)*AJ22))</f>
      </c>
      <c r="AK24" s="26">
        <f>IF(AK$6="","",IF(OR(WEEKDAY(AK$6,1)=1,WEEKDAY(AK$6,1)=7),0,MIN(8,AK23)*AK22))</f>
      </c>
      <c r="AL24" s="26">
        <f>IF(AL$6="","",IF(OR(WEEKDAY(AL$6,1)=1,WEEKDAY(AL$6,1)=7),0,MIN(8,AL23)*AL22))</f>
      </c>
      <c r="AM24" s="26">
        <f>IF(AM$6="","",IF(OR(WEEKDAY(AM$6,1)=1,WEEKDAY(AM$6,1)=7),0,MIN(8,AM23)*AM22))</f>
      </c>
      <c r="AN24" s="26">
        <f>IF(AN$6="","",IF(OR(WEEKDAY(AN$6,1)=1,WEEKDAY(AN$6,1)=7),0,MIN(8,AN23)*AN22))</f>
      </c>
      <c r="AO24" s="26">
        <f>IF(AO$6="","",IF(OR(WEEKDAY(AO$6,1)=1,WEEKDAY(AO$6,1)=7),0,MIN(8,AO23)*AO22))</f>
      </c>
      <c r="AP24" s="26">
        <f>IF(AP$6="","",IF(OR(WEEKDAY(AP$6,1)=1,WEEKDAY(AP$6,1)=7),0,MIN(8,AP23)*AP22))</f>
      </c>
      <c r="AQ24" s="26">
        <f>IF(AQ$6="","",IF(OR(WEEKDAY(AQ$6,1)=1,WEEKDAY(AQ$6,1)=7),0,MIN(8,AQ23)*AQ22))</f>
      </c>
      <c r="AR24" s="26">
        <f>IF(AR$6="","",IF(OR(WEEKDAY(AR$6,1)=1,WEEKDAY(AR$6,1)=7),0,MIN(8,AR23)*AR22))</f>
      </c>
      <c r="AS24" s="26">
        <f>IF(AS$6="","",IF(OR(WEEKDAY(AS$6,1)=1,WEEKDAY(AS$6,1)=7),0,MIN(8,AS23)*AS22))</f>
      </c>
      <c r="AT24" s="26">
        <f>IF(AT$6="","",IF(OR(WEEKDAY(AT$6,1)=1,WEEKDAY(AT$6,1)=7),0,MIN(8,AT23)*AT22))</f>
      </c>
      <c r="AU24" s="26">
        <f>IF(AU$6="","",IF(OR(WEEKDAY(AU$6,1)=1,WEEKDAY(AU$6,1)=7),0,MIN(8,AU23)*AU22))</f>
      </c>
      <c r="AV24" s="26">
        <f>IF(AV$6="","",IF(OR(WEEKDAY(AV$6,1)=1,WEEKDAY(AV$6,1)=7),0,MIN(8,AV23)*AV22))</f>
      </c>
      <c r="AW24" s="26">
        <f>IF(AW$6="","",IF(OR(WEEKDAY(AW$6,1)=1,WEEKDAY(AW$6,1)=7),0,MIN(8,AW23)*AW22))</f>
      </c>
      <c r="AX24" s="26">
        <f>IF(AX$6="","",IF(OR(WEEKDAY(AX$6,1)=1,WEEKDAY(AX$6,1)=7),0,MIN(8,AX23)*AX22))</f>
      </c>
      <c r="AY24" s="26">
        <f>IF(AY$6="","",IF(OR(WEEKDAY(AY$6,1)=1,WEEKDAY(AY$6,1)=7),0,MIN(8,AY23)*AY22))</f>
      </c>
      <c r="AZ24" s="26">
        <f>IF(AZ$6="","",IF(OR(WEEKDAY(AZ$6,1)=1,WEEKDAY(AZ$6,1)=7),0,MIN(8,AZ23)*AZ22))</f>
      </c>
      <c r="BA24" s="26">
        <f>IF(BA$6="","",IF(OR(WEEKDAY(BA$6,1)=1,WEEKDAY(BA$6,1)=7),0,MIN(8,BA23)*BA22))</f>
      </c>
      <c r="BB24" s="26">
        <f>IF(BB$6="","",IF(OR(WEEKDAY(BB$6,1)=1,WEEKDAY(BB$6,1)=7),0,MIN(8,BB23)*BB22))</f>
      </c>
      <c r="BC24" s="26">
        <f>IF(BC$6="","",IF(OR(WEEKDAY(BC$6,1)=1,WEEKDAY(BC$6,1)=7),0,MIN(8,BC23)*BC22))</f>
      </c>
      <c r="BD24" s="26">
        <f>IF(BD$6="","",IF(OR(WEEKDAY(BD$6,1)=1,WEEKDAY(BD$6,1)=7),0,MIN(8,BD23)*BD22))</f>
      </c>
      <c r="BE24" s="26">
        <f>IF(BE$6="","",IF(OR(WEEKDAY(BE$6,1)=1,WEEKDAY(BE$6,1)=7),0,MIN(8,BE23)*BE22))</f>
      </c>
      <c r="BF24" s="26">
        <f>IF(BF$6="","",IF(OR(WEEKDAY(BF$6,1)=1,WEEKDAY(BF$6,1)=7),0,MIN(8,BF23)*BF22))</f>
      </c>
      <c r="BG24" s="26">
        <f>IF(BG$6="","",IF(OR(WEEKDAY(BG$6,1)=1,WEEKDAY(BG$6,1)=7),0,MIN(8,BG23)*BG22))</f>
      </c>
      <c r="BH24" s="26">
        <f>IF(BH$6="","",IF(OR(WEEKDAY(BH$6,1)=1,WEEKDAY(BH$6,1)=7),0,MIN(8,BH23)*BH22))</f>
      </c>
      <c r="BI24" s="26">
        <f>IF(BI$6="","",IF(OR(WEEKDAY(BI$6,1)=1,WEEKDAY(BI$6,1)=7),0,MIN(8,BI23)*BI22))</f>
      </c>
      <c r="BJ24" s="26">
        <f>IF(BJ$6="","",IF(OR(WEEKDAY(BJ$6,1)=1,WEEKDAY(BJ$6,1)=7),0,MIN(8,BJ23)*BJ22))</f>
      </c>
      <c r="BK24" s="26">
        <f>IF(BK$6="","",IF(OR(WEEKDAY(BK$6,1)=1,WEEKDAY(BK$6,1)=7),0,MIN(8,BK23)*BK22))</f>
      </c>
      <c r="BL24" s="26">
        <f>IF(BL$6="","",IF(OR(WEEKDAY(BL$6,1)=1,WEEKDAY(BL$6,1)=7),0,MIN(8,BL23)*BL22))</f>
      </c>
      <c r="BM24" s="26">
        <f>IF(BM$6="","",IF(OR(WEEKDAY(BM$6,1)=1,WEEKDAY(BM$6,1)=7),0,MIN(8,BM23)*BM22))</f>
      </c>
      <c r="BN24" s="26">
        <f>IF(BN$6="","",IF(OR(WEEKDAY(BN$6,1)=1,WEEKDAY(BN$6,1)=7),0,MIN(8,BN23)*BN22))</f>
      </c>
      <c r="BO24" s="26">
        <f>IF(BO$6="","",IF(OR(WEEKDAY(BO$6,1)=1,WEEKDAY(BO$6,1)=7),0,MIN(8,BO23)*BO22))</f>
      </c>
      <c r="BP24" s="26">
        <f>IF(BP$6="","",IF(OR(WEEKDAY(BP$6,1)=1,WEEKDAY(BP$6,1)=7),0,MIN(8,BP23)*BP22))</f>
      </c>
      <c r="BQ24" s="26">
        <f>IF(BQ$6="","",IF(OR(WEEKDAY(BQ$6,1)=1,WEEKDAY(BQ$6,1)=7),0,MIN(8,BQ23)*BQ22))</f>
      </c>
      <c r="BR24" s="26">
        <f>IF(BR$6="","",IF(OR(WEEKDAY(BR$6,1)=1,WEEKDAY(BR$6,1)=7),0,MIN(8,BR23)*BR22))</f>
      </c>
      <c r="BS24" s="26">
        <f>IF(BS$6="","",IF(OR(WEEKDAY(BS$6,1)=1,WEEKDAY(BS$6,1)=7),0,MIN(8,BS23)*BS22))</f>
      </c>
      <c r="BT24" s="26">
        <f>IF(BT$6="","",IF(OR(WEEKDAY(BT$6,1)=1,WEEKDAY(BT$6,1)=7),0,MIN(8,BT23)*BT22))</f>
      </c>
      <c r="BU24" s="26">
        <f>IF(BU$6="","",IF(OR(WEEKDAY(BU$6,1)=1,WEEKDAY(BU$6,1)=7),0,MIN(8,BU23)*BU22))</f>
      </c>
      <c r="BV24" s="26">
        <f>IF(BV$6="","",IF(OR(WEEKDAY(BV$6,1)=1,WEEKDAY(BV$6,1)=7),0,MIN(8,BV23)*BV22))</f>
      </c>
      <c r="BW24" s="26">
        <f>IF(BW$6="","",IF(OR(WEEKDAY(BW$6,1)=1,WEEKDAY(BW$6,1)=7),0,MIN(8,BW23)*BW22))</f>
      </c>
      <c r="BX24" s="26">
        <f>IF(BX$6="","",IF(OR(WEEKDAY(BX$6,1)=1,WEEKDAY(BX$6,1)=7),0,MIN(8,BX23)*BX22))</f>
      </c>
      <c r="BY24" s="26">
        <f>IF(BY$6="","",IF(OR(WEEKDAY(BY$6,1)=1,WEEKDAY(BY$6,1)=7),0,MIN(8,BY23)*BY22))</f>
      </c>
      <c r="BZ24" s="26">
        <f>IF(BZ$6="","",IF(OR(WEEKDAY(BZ$6,1)=1,WEEKDAY(BZ$6,1)=7),0,MIN(8,BZ23)*BZ22))</f>
      </c>
      <c r="CA24" s="26">
        <f>IF(CA$6="","",IF(OR(WEEKDAY(CA$6,1)=1,WEEKDAY(CA$6,1)=7),0,MIN(8,CA23)*CA22))</f>
      </c>
      <c r="CB24" s="26">
        <f>IF(CB$6="","",IF(OR(WEEKDAY(CB$6,1)=1,WEEKDAY(CB$6,1)=7),0,MIN(8,CB23)*CB22))</f>
      </c>
      <c r="CC24" s="26">
        <f>IF(CC$6="","",IF(OR(WEEKDAY(CC$6,1)=1,WEEKDAY(CC$6,1)=7),0,MIN(8,CC23)*CC22))</f>
      </c>
      <c r="CD24" s="26">
        <f>IF(CD$6="","",IF(OR(WEEKDAY(CD$6,1)=1,WEEKDAY(CD$6,1)=7),0,MIN(8,CD23)*CD22))</f>
      </c>
      <c r="CE24" s="26">
        <f>IF(CE$6="","",IF(OR(WEEKDAY(CE$6,1)=1,WEEKDAY(CE$6,1)=7),0,MIN(8,CE23)*CE22))</f>
      </c>
      <c r="CF24" s="26">
        <f>IF(CF$6="","",IF(OR(WEEKDAY(CF$6,1)=1,WEEKDAY(CF$6,1)=7),0,MIN(8,CF23)*CF22))</f>
      </c>
      <c r="CG24" s="26">
        <f>IF(CG$6="","",IF(OR(WEEKDAY(CG$6,1)=1,WEEKDAY(CG$6,1)=7),0,MIN(8,CG23)*CG22))</f>
      </c>
      <c r="CH24" s="26">
        <f>IF(CH$6="","",IF(OR(WEEKDAY(CH$6,1)=1,WEEKDAY(CH$6,1)=7),0,MIN(8,CH23)*CH22))</f>
      </c>
      <c r="CI24" s="26">
        <f>IF(CI$6="","",IF(OR(WEEKDAY(CI$6,1)=1,WEEKDAY(CI$6,1)=7),0,MIN(8,CI23)*CI22))</f>
      </c>
      <c r="CJ24" s="26">
        <f>IF(CJ$6="","",IF(OR(WEEKDAY(CJ$6,1)=1,WEEKDAY(CJ$6,1)=7),0,MIN(8,CJ23)*CJ22))</f>
      </c>
      <c r="CK24" s="26">
        <f>IF(CK$6="","",IF(OR(WEEKDAY(CK$6,1)=1,WEEKDAY(CK$6,1)=7),0,MIN(8,CK23)*CK22))</f>
      </c>
      <c r="CL24" s="26">
        <f>IF(CL$6="","",IF(OR(WEEKDAY(CL$6,1)=1,WEEKDAY(CL$6,1)=7),0,MIN(8,CL23)*CL22))</f>
      </c>
      <c r="CM24" s="26">
        <f>IF(CM$6="","",IF(OR(WEEKDAY(CM$6,1)=1,WEEKDAY(CM$6,1)=7),0,MIN(8,CM23)*CM22))</f>
      </c>
      <c r="CN24" s="26">
        <f>IF(CN$6="","",IF(OR(WEEKDAY(CN$6,1)=1,WEEKDAY(CN$6,1)=7),0,MIN(8,CN23)*CN22))</f>
      </c>
      <c r="CO24" s="26">
        <f>IF(CO$6="","",IF(OR(WEEKDAY(CO$6,1)=1,WEEKDAY(CO$6,1)=7),0,MIN(8,CO23)*CO22))</f>
      </c>
      <c r="CP24" s="26">
        <f>IF(CP$6="","",IF(OR(WEEKDAY(CP$6,1)=1,WEEKDAY(CP$6,1)=7),0,MIN(8,CP23)*CP22))</f>
      </c>
      <c r="CQ24" s="26">
        <f>IF(CQ$6="","",IF(OR(WEEKDAY(CQ$6,1)=1,WEEKDAY(CQ$6,1)=7),0,MIN(8,CQ23)*CQ22))</f>
      </c>
      <c r="CR24" s="26">
        <f>IF(CR$6="","",IF(OR(WEEKDAY(CR$6,1)=1,WEEKDAY(CR$6,1)=7),0,MIN(8,CR23)*CR22))</f>
      </c>
      <c r="CS24" s="26">
        <f>IF(CS$6="","",IF(OR(WEEKDAY(CS$6,1)=1,WEEKDAY(CS$6,1)=7),0,MIN(8,CS23)*CS22))</f>
      </c>
      <c r="CT24" s="26">
        <f>IF(CT$6="","",IF(OR(WEEKDAY(CT$6,1)=1,WEEKDAY(CT$6,1)=7),0,MIN(8,CT23)*CT22))</f>
      </c>
      <c r="CU24" s="26">
        <f>IF(CU$6="","",IF(OR(WEEKDAY(CU$6,1)=1,WEEKDAY(CU$6,1)=7),0,MIN(8,CU23)*CU22))</f>
      </c>
      <c r="CV24" s="26">
        <f>IF(CV$6="","",IF(OR(WEEKDAY(CV$6,1)=1,WEEKDAY(CV$6,1)=7),0,MIN(8,CV23)*CV22))</f>
      </c>
      <c r="CW24" s="26">
        <f>IF(CW$6="","",IF(OR(WEEKDAY(CW$6,1)=1,WEEKDAY(CW$6,1)=7),0,MIN(8,CW23)*CW22))</f>
      </c>
      <c r="CX24" s="8" t="s">
        <v>98</v>
      </c>
    </row>
    <row r="25" spans="2:102" x14ac:dyDescent="0.25">
      <c r="B25" s="26">
        <f>SUM(L25:CW25)</f>
      </c>
      <c r="D25" s="27">
        <f>B25*E25</f>
      </c>
      <c r="E25" s="27">
        <f>'Rate Tables'!D26</f>
      </c>
      <c r="F25" s="8" t="s">
        <v>40</v>
      </c>
      <c r="L25" s="26">
        <f>IF(L$6="","",IF(WEEKDAY(L$6,1)=1,0,IF(WEEKDAY(L$6,1)=7,L23*L22,MAX(0,L23-8)*L22)))</f>
      </c>
      <c r="M25" s="26">
        <f>IF(M$6="","",IF(WEEKDAY(M$6,1)=1,0,IF(WEEKDAY(M$6,1)=7,M23*M22,MAX(0,M23-8)*M22)))</f>
      </c>
      <c r="N25" s="26">
        <f>IF(N$6="","",IF(WEEKDAY(N$6,1)=1,0,IF(WEEKDAY(N$6,1)=7,N23*N22,MAX(0,N23-8)*N22)))</f>
      </c>
      <c r="O25" s="26">
        <f>IF(O$6="","",IF(WEEKDAY(O$6,1)=1,0,IF(WEEKDAY(O$6,1)=7,O23*O22,MAX(0,O23-8)*O22)))</f>
      </c>
      <c r="P25" s="26">
        <f>IF(P$6="","",IF(WEEKDAY(P$6,1)=1,0,IF(WEEKDAY(P$6,1)=7,P23*P22,MAX(0,P23-8)*P22)))</f>
      </c>
      <c r="Q25" s="26">
        <f>IF(Q$6="","",IF(WEEKDAY(Q$6,1)=1,0,IF(WEEKDAY(Q$6,1)=7,Q23*Q22,MAX(0,Q23-8)*Q22)))</f>
      </c>
      <c r="R25" s="26">
        <f>IF(R$6="","",IF(WEEKDAY(R$6,1)=1,0,IF(WEEKDAY(R$6,1)=7,R23*R22,MAX(0,R23-8)*R22)))</f>
      </c>
      <c r="S25" s="26">
        <f>IF(S$6="","",IF(WEEKDAY(S$6,1)=1,0,IF(WEEKDAY(S$6,1)=7,S23*S22,MAX(0,S23-8)*S22)))</f>
      </c>
      <c r="T25" s="26">
        <f>IF(T$6="","",IF(WEEKDAY(T$6,1)=1,0,IF(WEEKDAY(T$6,1)=7,T23*T22,MAX(0,T23-8)*T22)))</f>
      </c>
      <c r="U25" s="26">
        <f>IF(U$6="","",IF(WEEKDAY(U$6,1)=1,0,IF(WEEKDAY(U$6,1)=7,U23*U22,MAX(0,U23-8)*U22)))</f>
      </c>
      <c r="V25" s="26">
        <f>IF(V$6="","",IF(WEEKDAY(V$6,1)=1,0,IF(WEEKDAY(V$6,1)=7,V23*V22,MAX(0,V23-8)*V22)))</f>
      </c>
      <c r="W25" s="26">
        <f>IF(W$6="","",IF(WEEKDAY(W$6,1)=1,0,IF(WEEKDAY(W$6,1)=7,W23*W22,MAX(0,W23-8)*W22)))</f>
      </c>
      <c r="X25" s="26">
        <f>IF(X$6="","",IF(WEEKDAY(X$6,1)=1,0,IF(WEEKDAY(X$6,1)=7,X23*X22,MAX(0,X23-8)*X22)))</f>
      </c>
      <c r="Y25" s="26">
        <f>IF(Y$6="","",IF(WEEKDAY(Y$6,1)=1,0,IF(WEEKDAY(Y$6,1)=7,Y23*Y22,MAX(0,Y23-8)*Y22)))</f>
      </c>
      <c r="Z25" s="26">
        <f>IF(Z$6="","",IF(WEEKDAY(Z$6,1)=1,0,IF(WEEKDAY(Z$6,1)=7,Z23*Z22,MAX(0,Z23-8)*Z22)))</f>
      </c>
      <c r="AA25" s="26">
        <f>IF(AA$6="","",IF(WEEKDAY(AA$6,1)=1,0,IF(WEEKDAY(AA$6,1)=7,AA23*AA22,MAX(0,AA23-8)*AA22)))</f>
      </c>
      <c r="AB25" s="26">
        <f>IF(AB$6="","",IF(WEEKDAY(AB$6,1)=1,0,IF(WEEKDAY(AB$6,1)=7,AB23*AB22,MAX(0,AB23-8)*AB22)))</f>
      </c>
      <c r="AC25" s="26">
        <f>IF(AC$6="","",IF(WEEKDAY(AC$6,1)=1,0,IF(WEEKDAY(AC$6,1)=7,AC23*AC22,MAX(0,AC23-8)*AC22)))</f>
      </c>
      <c r="AD25" s="26">
        <f>IF(AD$6="","",IF(WEEKDAY(AD$6,1)=1,0,IF(WEEKDAY(AD$6,1)=7,AD23*AD22,MAX(0,AD23-8)*AD22)))</f>
      </c>
      <c r="AE25" s="26">
        <f>IF(AE$6="","",IF(WEEKDAY(AE$6,1)=1,0,IF(WEEKDAY(AE$6,1)=7,AE23*AE22,MAX(0,AE23-8)*AE22)))</f>
      </c>
      <c r="AF25" s="26">
        <f>IF(AF$6="","",IF(WEEKDAY(AF$6,1)=1,0,IF(WEEKDAY(AF$6,1)=7,AF23*AF22,MAX(0,AF23-8)*AF22)))</f>
      </c>
      <c r="AG25" s="26">
        <f>IF(AG$6="","",IF(WEEKDAY(AG$6,1)=1,0,IF(WEEKDAY(AG$6,1)=7,AG23*AG22,MAX(0,AG23-8)*AG22)))</f>
      </c>
      <c r="AH25" s="26">
        <f>IF(AH$6="","",IF(WEEKDAY(AH$6,1)=1,0,IF(WEEKDAY(AH$6,1)=7,AH23*AH22,MAX(0,AH23-8)*AH22)))</f>
      </c>
      <c r="AI25" s="26">
        <f>IF(AI$6="","",IF(WEEKDAY(AI$6,1)=1,0,IF(WEEKDAY(AI$6,1)=7,AI23*AI22,MAX(0,AI23-8)*AI22)))</f>
      </c>
      <c r="AJ25" s="26">
        <f>IF(AJ$6="","",IF(WEEKDAY(AJ$6,1)=1,0,IF(WEEKDAY(AJ$6,1)=7,AJ23*AJ22,MAX(0,AJ23-8)*AJ22)))</f>
      </c>
      <c r="AK25" s="26">
        <f>IF(AK$6="","",IF(WEEKDAY(AK$6,1)=1,0,IF(WEEKDAY(AK$6,1)=7,AK23*AK22,MAX(0,AK23-8)*AK22)))</f>
      </c>
      <c r="AL25" s="26">
        <f>IF(AL$6="","",IF(WEEKDAY(AL$6,1)=1,0,IF(WEEKDAY(AL$6,1)=7,AL23*AL22,MAX(0,AL23-8)*AL22)))</f>
      </c>
      <c r="AM25" s="26">
        <f>IF(AM$6="","",IF(WEEKDAY(AM$6,1)=1,0,IF(WEEKDAY(AM$6,1)=7,AM23*AM22,MAX(0,AM23-8)*AM22)))</f>
      </c>
      <c r="AN25" s="26">
        <f>IF(AN$6="","",IF(WEEKDAY(AN$6,1)=1,0,IF(WEEKDAY(AN$6,1)=7,AN23*AN22,MAX(0,AN23-8)*AN22)))</f>
      </c>
      <c r="AO25" s="26">
        <f>IF(AO$6="","",IF(WEEKDAY(AO$6,1)=1,0,IF(WEEKDAY(AO$6,1)=7,AO23*AO22,MAX(0,AO23-8)*AO22)))</f>
      </c>
      <c r="AP25" s="26">
        <f>IF(AP$6="","",IF(WEEKDAY(AP$6,1)=1,0,IF(WEEKDAY(AP$6,1)=7,AP23*AP22,MAX(0,AP23-8)*AP22)))</f>
      </c>
      <c r="AQ25" s="26">
        <f>IF(AQ$6="","",IF(WEEKDAY(AQ$6,1)=1,0,IF(WEEKDAY(AQ$6,1)=7,AQ23*AQ22,MAX(0,AQ23-8)*AQ22)))</f>
      </c>
      <c r="AR25" s="26">
        <f>IF(AR$6="","",IF(WEEKDAY(AR$6,1)=1,0,IF(WEEKDAY(AR$6,1)=7,AR23*AR22,MAX(0,AR23-8)*AR22)))</f>
      </c>
      <c r="AS25" s="26">
        <f>IF(AS$6="","",IF(WEEKDAY(AS$6,1)=1,0,IF(WEEKDAY(AS$6,1)=7,AS23*AS22,MAX(0,AS23-8)*AS22)))</f>
      </c>
      <c r="AT25" s="26">
        <f>IF(AT$6="","",IF(WEEKDAY(AT$6,1)=1,0,IF(WEEKDAY(AT$6,1)=7,AT23*AT22,MAX(0,AT23-8)*AT22)))</f>
      </c>
      <c r="AU25" s="26">
        <f>IF(AU$6="","",IF(WEEKDAY(AU$6,1)=1,0,IF(WEEKDAY(AU$6,1)=7,AU23*AU22,MAX(0,AU23-8)*AU22)))</f>
      </c>
      <c r="AV25" s="26">
        <f>IF(AV$6="","",IF(WEEKDAY(AV$6,1)=1,0,IF(WEEKDAY(AV$6,1)=7,AV23*AV22,MAX(0,AV23-8)*AV22)))</f>
      </c>
      <c r="AW25" s="26">
        <f>IF(AW$6="","",IF(WEEKDAY(AW$6,1)=1,0,IF(WEEKDAY(AW$6,1)=7,AW23*AW22,MAX(0,AW23-8)*AW22)))</f>
      </c>
      <c r="AX25" s="26">
        <f>IF(AX$6="","",IF(WEEKDAY(AX$6,1)=1,0,IF(WEEKDAY(AX$6,1)=7,AX23*AX22,MAX(0,AX23-8)*AX22)))</f>
      </c>
      <c r="AY25" s="26">
        <f>IF(AY$6="","",IF(WEEKDAY(AY$6,1)=1,0,IF(WEEKDAY(AY$6,1)=7,AY23*AY22,MAX(0,AY23-8)*AY22)))</f>
      </c>
      <c r="AZ25" s="26">
        <f>IF(AZ$6="","",IF(WEEKDAY(AZ$6,1)=1,0,IF(WEEKDAY(AZ$6,1)=7,AZ23*AZ22,MAX(0,AZ23-8)*AZ22)))</f>
      </c>
      <c r="BA25" s="26">
        <f>IF(BA$6="","",IF(WEEKDAY(BA$6,1)=1,0,IF(WEEKDAY(BA$6,1)=7,BA23*BA22,MAX(0,BA23-8)*BA22)))</f>
      </c>
      <c r="BB25" s="26">
        <f>IF(BB$6="","",IF(WEEKDAY(BB$6,1)=1,0,IF(WEEKDAY(BB$6,1)=7,BB23*BB22,MAX(0,BB23-8)*BB22)))</f>
      </c>
      <c r="BC25" s="26">
        <f>IF(BC$6="","",IF(WEEKDAY(BC$6,1)=1,0,IF(WEEKDAY(BC$6,1)=7,BC23*BC22,MAX(0,BC23-8)*BC22)))</f>
      </c>
      <c r="BD25" s="26">
        <f>IF(BD$6="","",IF(WEEKDAY(BD$6,1)=1,0,IF(WEEKDAY(BD$6,1)=7,BD23*BD22,MAX(0,BD23-8)*BD22)))</f>
      </c>
      <c r="BE25" s="26">
        <f>IF(BE$6="","",IF(WEEKDAY(BE$6,1)=1,0,IF(WEEKDAY(BE$6,1)=7,BE23*BE22,MAX(0,BE23-8)*BE22)))</f>
      </c>
      <c r="BF25" s="26">
        <f>IF(BF$6="","",IF(WEEKDAY(BF$6,1)=1,0,IF(WEEKDAY(BF$6,1)=7,BF23*BF22,MAX(0,BF23-8)*BF22)))</f>
      </c>
      <c r="BG25" s="26">
        <f>IF(BG$6="","",IF(WEEKDAY(BG$6,1)=1,0,IF(WEEKDAY(BG$6,1)=7,BG23*BG22,MAX(0,BG23-8)*BG22)))</f>
      </c>
      <c r="BH25" s="26">
        <f>IF(BH$6="","",IF(WEEKDAY(BH$6,1)=1,0,IF(WEEKDAY(BH$6,1)=7,BH23*BH22,MAX(0,BH23-8)*BH22)))</f>
      </c>
      <c r="BI25" s="26">
        <f>IF(BI$6="","",IF(WEEKDAY(BI$6,1)=1,0,IF(WEEKDAY(BI$6,1)=7,BI23*BI22,MAX(0,BI23-8)*BI22)))</f>
      </c>
      <c r="BJ25" s="26">
        <f>IF(BJ$6="","",IF(WEEKDAY(BJ$6,1)=1,0,IF(WEEKDAY(BJ$6,1)=7,BJ23*BJ22,MAX(0,BJ23-8)*BJ22)))</f>
      </c>
      <c r="BK25" s="26">
        <f>IF(BK$6="","",IF(WEEKDAY(BK$6,1)=1,0,IF(WEEKDAY(BK$6,1)=7,BK23*BK22,MAX(0,BK23-8)*BK22)))</f>
      </c>
      <c r="BL25" s="26">
        <f>IF(BL$6="","",IF(WEEKDAY(BL$6,1)=1,0,IF(WEEKDAY(BL$6,1)=7,BL23*BL22,MAX(0,BL23-8)*BL22)))</f>
      </c>
      <c r="BM25" s="26">
        <f>IF(BM$6="","",IF(WEEKDAY(BM$6,1)=1,0,IF(WEEKDAY(BM$6,1)=7,BM23*BM22,MAX(0,BM23-8)*BM22)))</f>
      </c>
      <c r="BN25" s="26">
        <f>IF(BN$6="","",IF(WEEKDAY(BN$6,1)=1,0,IF(WEEKDAY(BN$6,1)=7,BN23*BN22,MAX(0,BN23-8)*BN22)))</f>
      </c>
      <c r="BO25" s="26">
        <f>IF(BO$6="","",IF(WEEKDAY(BO$6,1)=1,0,IF(WEEKDAY(BO$6,1)=7,BO23*BO22,MAX(0,BO23-8)*BO22)))</f>
      </c>
      <c r="BP25" s="26">
        <f>IF(BP$6="","",IF(WEEKDAY(BP$6,1)=1,0,IF(WEEKDAY(BP$6,1)=7,BP23*BP22,MAX(0,BP23-8)*BP22)))</f>
      </c>
      <c r="BQ25" s="26">
        <f>IF(BQ$6="","",IF(WEEKDAY(BQ$6,1)=1,0,IF(WEEKDAY(BQ$6,1)=7,BQ23*BQ22,MAX(0,BQ23-8)*BQ22)))</f>
      </c>
      <c r="BR25" s="26">
        <f>IF(BR$6="","",IF(WEEKDAY(BR$6,1)=1,0,IF(WEEKDAY(BR$6,1)=7,BR23*BR22,MAX(0,BR23-8)*BR22)))</f>
      </c>
      <c r="BS25" s="26">
        <f>IF(BS$6="","",IF(WEEKDAY(BS$6,1)=1,0,IF(WEEKDAY(BS$6,1)=7,BS23*BS22,MAX(0,BS23-8)*BS22)))</f>
      </c>
      <c r="BT25" s="26">
        <f>IF(BT$6="","",IF(WEEKDAY(BT$6,1)=1,0,IF(WEEKDAY(BT$6,1)=7,BT23*BT22,MAX(0,BT23-8)*BT22)))</f>
      </c>
      <c r="BU25" s="26">
        <f>IF(BU$6="","",IF(WEEKDAY(BU$6,1)=1,0,IF(WEEKDAY(BU$6,1)=7,BU23*BU22,MAX(0,BU23-8)*BU22)))</f>
      </c>
      <c r="BV25" s="26">
        <f>IF(BV$6="","",IF(WEEKDAY(BV$6,1)=1,0,IF(WEEKDAY(BV$6,1)=7,BV23*BV22,MAX(0,BV23-8)*BV22)))</f>
      </c>
      <c r="BW25" s="26">
        <f>IF(BW$6="","",IF(WEEKDAY(BW$6,1)=1,0,IF(WEEKDAY(BW$6,1)=7,BW23*BW22,MAX(0,BW23-8)*BW22)))</f>
      </c>
      <c r="BX25" s="26">
        <f>IF(BX$6="","",IF(WEEKDAY(BX$6,1)=1,0,IF(WEEKDAY(BX$6,1)=7,BX23*BX22,MAX(0,BX23-8)*BX22)))</f>
      </c>
      <c r="BY25" s="26">
        <f>IF(BY$6="","",IF(WEEKDAY(BY$6,1)=1,0,IF(WEEKDAY(BY$6,1)=7,BY23*BY22,MAX(0,BY23-8)*BY22)))</f>
      </c>
      <c r="BZ25" s="26">
        <f>IF(BZ$6="","",IF(WEEKDAY(BZ$6,1)=1,0,IF(WEEKDAY(BZ$6,1)=7,BZ23*BZ22,MAX(0,BZ23-8)*BZ22)))</f>
      </c>
      <c r="CA25" s="26">
        <f>IF(CA$6="","",IF(WEEKDAY(CA$6,1)=1,0,IF(WEEKDAY(CA$6,1)=7,CA23*CA22,MAX(0,CA23-8)*CA22)))</f>
      </c>
      <c r="CB25" s="26">
        <f>IF(CB$6="","",IF(WEEKDAY(CB$6,1)=1,0,IF(WEEKDAY(CB$6,1)=7,CB23*CB22,MAX(0,CB23-8)*CB22)))</f>
      </c>
      <c r="CC25" s="26">
        <f>IF(CC$6="","",IF(WEEKDAY(CC$6,1)=1,0,IF(WEEKDAY(CC$6,1)=7,CC23*CC22,MAX(0,CC23-8)*CC22)))</f>
      </c>
      <c r="CD25" s="26">
        <f>IF(CD$6="","",IF(WEEKDAY(CD$6,1)=1,0,IF(WEEKDAY(CD$6,1)=7,CD23*CD22,MAX(0,CD23-8)*CD22)))</f>
      </c>
      <c r="CE25" s="26">
        <f>IF(CE$6="","",IF(WEEKDAY(CE$6,1)=1,0,IF(WEEKDAY(CE$6,1)=7,CE23*CE22,MAX(0,CE23-8)*CE22)))</f>
      </c>
      <c r="CF25" s="26">
        <f>IF(CF$6="","",IF(WEEKDAY(CF$6,1)=1,0,IF(WEEKDAY(CF$6,1)=7,CF23*CF22,MAX(0,CF23-8)*CF22)))</f>
      </c>
      <c r="CG25" s="26">
        <f>IF(CG$6="","",IF(WEEKDAY(CG$6,1)=1,0,IF(WEEKDAY(CG$6,1)=7,CG23*CG22,MAX(0,CG23-8)*CG22)))</f>
      </c>
      <c r="CH25" s="26">
        <f>IF(CH$6="","",IF(WEEKDAY(CH$6,1)=1,0,IF(WEEKDAY(CH$6,1)=7,CH23*CH22,MAX(0,CH23-8)*CH22)))</f>
      </c>
      <c r="CI25" s="26">
        <f>IF(CI$6="","",IF(WEEKDAY(CI$6,1)=1,0,IF(WEEKDAY(CI$6,1)=7,CI23*CI22,MAX(0,CI23-8)*CI22)))</f>
      </c>
      <c r="CJ25" s="26">
        <f>IF(CJ$6="","",IF(WEEKDAY(CJ$6,1)=1,0,IF(WEEKDAY(CJ$6,1)=7,CJ23*CJ22,MAX(0,CJ23-8)*CJ22)))</f>
      </c>
      <c r="CK25" s="26">
        <f>IF(CK$6="","",IF(WEEKDAY(CK$6,1)=1,0,IF(WEEKDAY(CK$6,1)=7,CK23*CK22,MAX(0,CK23-8)*CK22)))</f>
      </c>
      <c r="CL25" s="26">
        <f>IF(CL$6="","",IF(WEEKDAY(CL$6,1)=1,0,IF(WEEKDAY(CL$6,1)=7,CL23*CL22,MAX(0,CL23-8)*CL22)))</f>
      </c>
      <c r="CM25" s="26">
        <f>IF(CM$6="","",IF(WEEKDAY(CM$6,1)=1,0,IF(WEEKDAY(CM$6,1)=7,CM23*CM22,MAX(0,CM23-8)*CM22)))</f>
      </c>
      <c r="CN25" s="26">
        <f>IF(CN$6="","",IF(WEEKDAY(CN$6,1)=1,0,IF(WEEKDAY(CN$6,1)=7,CN23*CN22,MAX(0,CN23-8)*CN22)))</f>
      </c>
      <c r="CO25" s="26">
        <f>IF(CO$6="","",IF(WEEKDAY(CO$6,1)=1,0,IF(WEEKDAY(CO$6,1)=7,CO23*CO22,MAX(0,CO23-8)*CO22)))</f>
      </c>
      <c r="CP25" s="26">
        <f>IF(CP$6="","",IF(WEEKDAY(CP$6,1)=1,0,IF(WEEKDAY(CP$6,1)=7,CP23*CP22,MAX(0,CP23-8)*CP22)))</f>
      </c>
      <c r="CQ25" s="26">
        <f>IF(CQ$6="","",IF(WEEKDAY(CQ$6,1)=1,0,IF(WEEKDAY(CQ$6,1)=7,CQ23*CQ22,MAX(0,CQ23-8)*CQ22)))</f>
      </c>
      <c r="CR25" s="26">
        <f>IF(CR$6="","",IF(WEEKDAY(CR$6,1)=1,0,IF(WEEKDAY(CR$6,1)=7,CR23*CR22,MAX(0,CR23-8)*CR22)))</f>
      </c>
      <c r="CS25" s="26">
        <f>IF(CS$6="","",IF(WEEKDAY(CS$6,1)=1,0,IF(WEEKDAY(CS$6,1)=7,CS23*CS22,MAX(0,CS23-8)*CS22)))</f>
      </c>
      <c r="CT25" s="26">
        <f>IF(CT$6="","",IF(WEEKDAY(CT$6,1)=1,0,IF(WEEKDAY(CT$6,1)=7,CT23*CT22,MAX(0,CT23-8)*CT22)))</f>
      </c>
      <c r="CU25" s="26">
        <f>IF(CU$6="","",IF(WEEKDAY(CU$6,1)=1,0,IF(WEEKDAY(CU$6,1)=7,CU23*CU22,MAX(0,CU23-8)*CU22)))</f>
      </c>
      <c r="CV25" s="26">
        <f>IF(CV$6="","",IF(WEEKDAY(CV$6,1)=1,0,IF(WEEKDAY(CV$6,1)=7,CV23*CV22,MAX(0,CV23-8)*CV22)))</f>
      </c>
      <c r="CW25" s="26">
        <f>IF(CW$6="","",IF(WEEKDAY(CW$6,1)=1,0,IF(WEEKDAY(CW$6,1)=7,CW23*CW22,MAX(0,CW23-8)*CW22)))</f>
      </c>
      <c r="CX25" s="8" t="s">
        <v>98</v>
      </c>
    </row>
    <row r="26" spans="2:102" x14ac:dyDescent="0.25">
      <c r="B26" s="26">
        <f>SUM(L26:CW26)</f>
      </c>
      <c r="D26" s="27">
        <f>B26*E26</f>
      </c>
      <c r="E26" s="27">
        <f>'Rate Tables'!E26</f>
      </c>
      <c r="F26" s="8" t="s">
        <v>41</v>
      </c>
      <c r="L26" s="26">
        <f>IF(L$6="","",IF(WEEKDAY(L$6,1)=1,L23*L22,0))</f>
      </c>
      <c r="M26" s="26">
        <f>IF(M$6="","",IF(WEEKDAY(M$6,1)=1,M23*M22,0))</f>
      </c>
      <c r="N26" s="26">
        <f>IF(N$6="","",IF(WEEKDAY(N$6,1)=1,N23*N22,0))</f>
      </c>
      <c r="O26" s="26">
        <f>IF(O$6="","",IF(WEEKDAY(O$6,1)=1,O23*O22,0))</f>
      </c>
      <c r="P26" s="26">
        <f>IF(P$6="","",IF(WEEKDAY(P$6,1)=1,P23*P22,0))</f>
      </c>
      <c r="Q26" s="26">
        <f>IF(Q$6="","",IF(WEEKDAY(Q$6,1)=1,Q23*Q22,0))</f>
      </c>
      <c r="R26" s="26">
        <f>IF(R$6="","",IF(WEEKDAY(R$6,1)=1,R23*R22,0))</f>
      </c>
      <c r="S26" s="26">
        <f>IF(S$6="","",IF(WEEKDAY(S$6,1)=1,S23*S22,0))</f>
      </c>
      <c r="T26" s="26">
        <f>IF(T$6="","",IF(WEEKDAY(T$6,1)=1,T23*T22,0))</f>
      </c>
      <c r="U26" s="26">
        <f>IF(U$6="","",IF(WEEKDAY(U$6,1)=1,U23*U22,0))</f>
      </c>
      <c r="V26" s="26">
        <f>IF(V$6="","",IF(WEEKDAY(V$6,1)=1,V23*V22,0))</f>
      </c>
      <c r="W26" s="26">
        <f>IF(W$6="","",IF(WEEKDAY(W$6,1)=1,W23*W22,0))</f>
      </c>
      <c r="X26" s="26">
        <f>IF(X$6="","",IF(WEEKDAY(X$6,1)=1,X23*X22,0))</f>
      </c>
      <c r="Y26" s="26">
        <f>IF(Y$6="","",IF(WEEKDAY(Y$6,1)=1,Y23*Y22,0))</f>
      </c>
      <c r="Z26" s="26">
        <f>IF(Z$6="","",IF(WEEKDAY(Z$6,1)=1,Z23*Z22,0))</f>
      </c>
      <c r="AA26" s="26">
        <f>IF(AA$6="","",IF(WEEKDAY(AA$6,1)=1,AA23*AA22,0))</f>
      </c>
      <c r="AB26" s="26">
        <f>IF(AB$6="","",IF(WEEKDAY(AB$6,1)=1,AB23*AB22,0))</f>
      </c>
      <c r="AC26" s="26">
        <f>IF(AC$6="","",IF(WEEKDAY(AC$6,1)=1,AC23*AC22,0))</f>
      </c>
      <c r="AD26" s="26">
        <f>IF(AD$6="","",IF(WEEKDAY(AD$6,1)=1,AD23*AD22,0))</f>
      </c>
      <c r="AE26" s="26">
        <f>IF(AE$6="","",IF(WEEKDAY(AE$6,1)=1,AE23*AE22,0))</f>
      </c>
      <c r="AF26" s="26">
        <f>IF(AF$6="","",IF(WEEKDAY(AF$6,1)=1,AF23*AF22,0))</f>
      </c>
      <c r="AG26" s="26">
        <f>IF(AG$6="","",IF(WEEKDAY(AG$6,1)=1,AG23*AG22,0))</f>
      </c>
      <c r="AH26" s="26">
        <f>IF(AH$6="","",IF(WEEKDAY(AH$6,1)=1,AH23*AH22,0))</f>
      </c>
      <c r="AI26" s="26">
        <f>IF(AI$6="","",IF(WEEKDAY(AI$6,1)=1,AI23*AI22,0))</f>
      </c>
      <c r="AJ26" s="26">
        <f>IF(AJ$6="","",IF(WEEKDAY(AJ$6,1)=1,AJ23*AJ22,0))</f>
      </c>
      <c r="AK26" s="26">
        <f>IF(AK$6="","",IF(WEEKDAY(AK$6,1)=1,AK23*AK22,0))</f>
      </c>
      <c r="AL26" s="26">
        <f>IF(AL$6="","",IF(WEEKDAY(AL$6,1)=1,AL23*AL22,0))</f>
      </c>
      <c r="AM26" s="26">
        <f>IF(AM$6="","",IF(WEEKDAY(AM$6,1)=1,AM23*AM22,0))</f>
      </c>
      <c r="AN26" s="26">
        <f>IF(AN$6="","",IF(WEEKDAY(AN$6,1)=1,AN23*AN22,0))</f>
      </c>
      <c r="AO26" s="26">
        <f>IF(AO$6="","",IF(WEEKDAY(AO$6,1)=1,AO23*AO22,0))</f>
      </c>
      <c r="AP26" s="26">
        <f>IF(AP$6="","",IF(WEEKDAY(AP$6,1)=1,AP23*AP22,0))</f>
      </c>
      <c r="AQ26" s="26">
        <f>IF(AQ$6="","",IF(WEEKDAY(AQ$6,1)=1,AQ23*AQ22,0))</f>
      </c>
      <c r="AR26" s="26">
        <f>IF(AR$6="","",IF(WEEKDAY(AR$6,1)=1,AR23*AR22,0))</f>
      </c>
      <c r="AS26" s="26">
        <f>IF(AS$6="","",IF(WEEKDAY(AS$6,1)=1,AS23*AS22,0))</f>
      </c>
      <c r="AT26" s="26">
        <f>IF(AT$6="","",IF(WEEKDAY(AT$6,1)=1,AT23*AT22,0))</f>
      </c>
      <c r="AU26" s="26">
        <f>IF(AU$6="","",IF(WEEKDAY(AU$6,1)=1,AU23*AU22,0))</f>
      </c>
      <c r="AV26" s="26">
        <f>IF(AV$6="","",IF(WEEKDAY(AV$6,1)=1,AV23*AV22,0))</f>
      </c>
      <c r="AW26" s="26">
        <f>IF(AW$6="","",IF(WEEKDAY(AW$6,1)=1,AW23*AW22,0))</f>
      </c>
      <c r="AX26" s="26">
        <f>IF(AX$6="","",IF(WEEKDAY(AX$6,1)=1,AX23*AX22,0))</f>
      </c>
      <c r="AY26" s="26">
        <f>IF(AY$6="","",IF(WEEKDAY(AY$6,1)=1,AY23*AY22,0))</f>
      </c>
      <c r="AZ26" s="26">
        <f>IF(AZ$6="","",IF(WEEKDAY(AZ$6,1)=1,AZ23*AZ22,0))</f>
      </c>
      <c r="BA26" s="26">
        <f>IF(BA$6="","",IF(WEEKDAY(BA$6,1)=1,BA23*BA22,0))</f>
      </c>
      <c r="BB26" s="26">
        <f>IF(BB$6="","",IF(WEEKDAY(BB$6,1)=1,BB23*BB22,0))</f>
      </c>
      <c r="BC26" s="26">
        <f>IF(BC$6="","",IF(WEEKDAY(BC$6,1)=1,BC23*BC22,0))</f>
      </c>
      <c r="BD26" s="26">
        <f>IF(BD$6="","",IF(WEEKDAY(BD$6,1)=1,BD23*BD22,0))</f>
      </c>
      <c r="BE26" s="26">
        <f>IF(BE$6="","",IF(WEEKDAY(BE$6,1)=1,BE23*BE22,0))</f>
      </c>
      <c r="BF26" s="26">
        <f>IF(BF$6="","",IF(WEEKDAY(BF$6,1)=1,BF23*BF22,0))</f>
      </c>
      <c r="BG26" s="26">
        <f>IF(BG$6="","",IF(WEEKDAY(BG$6,1)=1,BG23*BG22,0))</f>
      </c>
      <c r="BH26" s="26">
        <f>IF(BH$6="","",IF(WEEKDAY(BH$6,1)=1,BH23*BH22,0))</f>
      </c>
      <c r="BI26" s="26">
        <f>IF(BI$6="","",IF(WEEKDAY(BI$6,1)=1,BI23*BI22,0))</f>
      </c>
      <c r="BJ26" s="26">
        <f>IF(BJ$6="","",IF(WEEKDAY(BJ$6,1)=1,BJ23*BJ22,0))</f>
      </c>
      <c r="BK26" s="26">
        <f>IF(BK$6="","",IF(WEEKDAY(BK$6,1)=1,BK23*BK22,0))</f>
      </c>
      <c r="BL26" s="26">
        <f>IF(BL$6="","",IF(WEEKDAY(BL$6,1)=1,BL23*BL22,0))</f>
      </c>
      <c r="BM26" s="26">
        <f>IF(BM$6="","",IF(WEEKDAY(BM$6,1)=1,BM23*BM22,0))</f>
      </c>
      <c r="BN26" s="26">
        <f>IF(BN$6="","",IF(WEEKDAY(BN$6,1)=1,BN23*BN22,0))</f>
      </c>
      <c r="BO26" s="26">
        <f>IF(BO$6="","",IF(WEEKDAY(BO$6,1)=1,BO23*BO22,0))</f>
      </c>
      <c r="BP26" s="26">
        <f>IF(BP$6="","",IF(WEEKDAY(BP$6,1)=1,BP23*BP22,0))</f>
      </c>
      <c r="BQ26" s="26">
        <f>IF(BQ$6="","",IF(WEEKDAY(BQ$6,1)=1,BQ23*BQ22,0))</f>
      </c>
      <c r="BR26" s="26">
        <f>IF(BR$6="","",IF(WEEKDAY(BR$6,1)=1,BR23*BR22,0))</f>
      </c>
      <c r="BS26" s="26">
        <f>IF(BS$6="","",IF(WEEKDAY(BS$6,1)=1,BS23*BS22,0))</f>
      </c>
      <c r="BT26" s="26">
        <f>IF(BT$6="","",IF(WEEKDAY(BT$6,1)=1,BT23*BT22,0))</f>
      </c>
      <c r="BU26" s="26">
        <f>IF(BU$6="","",IF(WEEKDAY(BU$6,1)=1,BU23*BU22,0))</f>
      </c>
      <c r="BV26" s="26">
        <f>IF(BV$6="","",IF(WEEKDAY(BV$6,1)=1,BV23*BV22,0))</f>
      </c>
      <c r="BW26" s="26">
        <f>IF(BW$6="","",IF(WEEKDAY(BW$6,1)=1,BW23*BW22,0))</f>
      </c>
      <c r="BX26" s="26">
        <f>IF(BX$6="","",IF(WEEKDAY(BX$6,1)=1,BX23*BX22,0))</f>
      </c>
      <c r="BY26" s="26">
        <f>IF(BY$6="","",IF(WEEKDAY(BY$6,1)=1,BY23*BY22,0))</f>
      </c>
      <c r="BZ26" s="26">
        <f>IF(BZ$6="","",IF(WEEKDAY(BZ$6,1)=1,BZ23*BZ22,0))</f>
      </c>
      <c r="CA26" s="26">
        <f>IF(CA$6="","",IF(WEEKDAY(CA$6,1)=1,CA23*CA22,0))</f>
      </c>
      <c r="CB26" s="26">
        <f>IF(CB$6="","",IF(WEEKDAY(CB$6,1)=1,CB23*CB22,0))</f>
      </c>
      <c r="CC26" s="26">
        <f>IF(CC$6="","",IF(WEEKDAY(CC$6,1)=1,CC23*CC22,0))</f>
      </c>
      <c r="CD26" s="26">
        <f>IF(CD$6="","",IF(WEEKDAY(CD$6,1)=1,CD23*CD22,0))</f>
      </c>
      <c r="CE26" s="26">
        <f>IF(CE$6="","",IF(WEEKDAY(CE$6,1)=1,CE23*CE22,0))</f>
      </c>
      <c r="CF26" s="26">
        <f>IF(CF$6="","",IF(WEEKDAY(CF$6,1)=1,CF23*CF22,0))</f>
      </c>
      <c r="CG26" s="26">
        <f>IF(CG$6="","",IF(WEEKDAY(CG$6,1)=1,CG23*CG22,0))</f>
      </c>
      <c r="CH26" s="26">
        <f>IF(CH$6="","",IF(WEEKDAY(CH$6,1)=1,CH23*CH22,0))</f>
      </c>
      <c r="CI26" s="26">
        <f>IF(CI$6="","",IF(WEEKDAY(CI$6,1)=1,CI23*CI22,0))</f>
      </c>
      <c r="CJ26" s="26">
        <f>IF(CJ$6="","",IF(WEEKDAY(CJ$6,1)=1,CJ23*CJ22,0))</f>
      </c>
      <c r="CK26" s="26">
        <f>IF(CK$6="","",IF(WEEKDAY(CK$6,1)=1,CK23*CK22,0))</f>
      </c>
      <c r="CL26" s="26">
        <f>IF(CL$6="","",IF(WEEKDAY(CL$6,1)=1,CL23*CL22,0))</f>
      </c>
      <c r="CM26" s="26">
        <f>IF(CM$6="","",IF(WEEKDAY(CM$6,1)=1,CM23*CM22,0))</f>
      </c>
      <c r="CN26" s="26">
        <f>IF(CN$6="","",IF(WEEKDAY(CN$6,1)=1,CN23*CN22,0))</f>
      </c>
      <c r="CO26" s="26">
        <f>IF(CO$6="","",IF(WEEKDAY(CO$6,1)=1,CO23*CO22,0))</f>
      </c>
      <c r="CP26" s="26">
        <f>IF(CP$6="","",IF(WEEKDAY(CP$6,1)=1,CP23*CP22,0))</f>
      </c>
      <c r="CQ26" s="26">
        <f>IF(CQ$6="","",IF(WEEKDAY(CQ$6,1)=1,CQ23*CQ22,0))</f>
      </c>
      <c r="CR26" s="26">
        <f>IF(CR$6="","",IF(WEEKDAY(CR$6,1)=1,CR23*CR22,0))</f>
      </c>
      <c r="CS26" s="26">
        <f>IF(CS$6="","",IF(WEEKDAY(CS$6,1)=1,CS23*CS22,0))</f>
      </c>
      <c r="CT26" s="26">
        <f>IF(CT$6="","",IF(WEEKDAY(CT$6,1)=1,CT23*CT22,0))</f>
      </c>
      <c r="CU26" s="26">
        <f>IF(CU$6="","",IF(WEEKDAY(CU$6,1)=1,CU23*CU22,0))</f>
      </c>
      <c r="CV26" s="26">
        <f>IF(CV$6="","",IF(WEEKDAY(CV$6,1)=1,CV23*CV22,0))</f>
      </c>
      <c r="CW26" s="26">
        <f>IF(CW$6="","",IF(WEEKDAY(CW$6,1)=1,CW23*CW22,0))</f>
      </c>
      <c r="CX26" s="8" t="s">
        <v>98</v>
      </c>
    </row>
    <row r="27" spans="2:102" x14ac:dyDescent="0.25">
      <c r="B27" s="26">
        <f>SUM(L27:CW27)</f>
      </c>
      <c r="D27" s="27">
        <f>B27*E27</f>
      </c>
      <c r="E27" s="27">
        <v>130</v>
      </c>
      <c r="F27" s="8" t="s">
        <v>42</v>
      </c>
      <c r="L27" s="28">
        <v>0</v>
      </c>
      <c r="M27" s="28">
        <v>0</v>
      </c>
      <c r="N27" s="28">
        <v>0</v>
      </c>
      <c r="O27" s="28">
        <v>0</v>
      </c>
      <c r="P27" s="28">
        <v>0</v>
      </c>
      <c r="Q27" s="28">
        <v>0</v>
      </c>
      <c r="R27" s="28">
        <v>0</v>
      </c>
      <c r="S27" s="28">
        <v>0</v>
      </c>
      <c r="T27" s="28">
        <v>0</v>
      </c>
      <c r="U27" s="28">
        <v>0</v>
      </c>
      <c r="V27" s="28">
        <v>0</v>
      </c>
      <c r="W27" s="28">
        <v>0</v>
      </c>
      <c r="X27" s="28">
        <v>0</v>
      </c>
      <c r="Y27" s="28">
        <v>0</v>
      </c>
      <c r="Z27" s="28">
        <v>0</v>
      </c>
      <c r="AA27" s="28">
        <v>0</v>
      </c>
      <c r="AB27" s="28">
        <v>0</v>
      </c>
      <c r="AC27" s="28">
        <v>0</v>
      </c>
      <c r="AD27" s="28">
        <v>0</v>
      </c>
      <c r="AE27" s="28">
        <v>0</v>
      </c>
      <c r="AF27" s="28">
        <v>0</v>
      </c>
      <c r="AG27" s="28">
        <v>0</v>
      </c>
      <c r="AH27" s="28">
        <v>0</v>
      </c>
      <c r="AI27" s="28">
        <v>0</v>
      </c>
      <c r="AJ27" s="28">
        <v>0</v>
      </c>
      <c r="AK27" s="28">
        <v>0</v>
      </c>
      <c r="AL27" s="28">
        <v>0</v>
      </c>
      <c r="AM27" s="28">
        <v>0</v>
      </c>
      <c r="AN27" s="28">
        <v>0</v>
      </c>
      <c r="AO27" s="28">
        <v>0</v>
      </c>
      <c r="AP27" s="28">
        <v>0</v>
      </c>
      <c r="AQ27" s="28">
        <v>0</v>
      </c>
      <c r="AR27" s="28">
        <v>0</v>
      </c>
      <c r="AS27" s="28">
        <v>0</v>
      </c>
      <c r="AT27" s="28">
        <v>0</v>
      </c>
      <c r="AU27" s="28">
        <v>0</v>
      </c>
      <c r="AV27" s="28">
        <v>0</v>
      </c>
      <c r="AW27" s="28">
        <v>0</v>
      </c>
      <c r="AX27" s="28">
        <v>0</v>
      </c>
      <c r="AY27" s="28">
        <v>0</v>
      </c>
      <c r="AZ27" s="28">
        <v>0</v>
      </c>
      <c r="BA27" s="28">
        <v>0</v>
      </c>
      <c r="BB27" s="28">
        <v>0</v>
      </c>
      <c r="BC27" s="28">
        <v>0</v>
      </c>
      <c r="BD27" s="28">
        <v>0</v>
      </c>
      <c r="BE27" s="28">
        <v>0</v>
      </c>
      <c r="BF27" s="28">
        <v>0</v>
      </c>
      <c r="BG27" s="28">
        <v>0</v>
      </c>
      <c r="BH27" s="28">
        <v>0</v>
      </c>
      <c r="BI27" s="28">
        <v>0</v>
      </c>
      <c r="BJ27" s="28">
        <v>0</v>
      </c>
      <c r="BK27" s="28">
        <v>0</v>
      </c>
      <c r="BL27" s="28">
        <v>0</v>
      </c>
      <c r="BM27" s="28">
        <v>0</v>
      </c>
      <c r="BN27" s="28">
        <v>0</v>
      </c>
      <c r="BO27" s="28">
        <v>0</v>
      </c>
      <c r="BP27" s="28">
        <v>0</v>
      </c>
      <c r="BQ27" s="28">
        <v>0</v>
      </c>
      <c r="BR27" s="28">
        <v>0</v>
      </c>
      <c r="BS27" s="28">
        <v>0</v>
      </c>
      <c r="BT27" s="28">
        <v>0</v>
      </c>
      <c r="BU27" s="28">
        <v>0</v>
      </c>
      <c r="BV27" s="28">
        <v>0</v>
      </c>
      <c r="BW27" s="28">
        <v>0</v>
      </c>
      <c r="BX27" s="28">
        <v>0</v>
      </c>
      <c r="BY27" s="28">
        <v>0</v>
      </c>
      <c r="BZ27" s="28">
        <v>0</v>
      </c>
      <c r="CA27" s="28">
        <v>0</v>
      </c>
      <c r="CB27" s="28">
        <v>0</v>
      </c>
      <c r="CC27" s="28">
        <v>0</v>
      </c>
      <c r="CD27" s="28">
        <v>0</v>
      </c>
      <c r="CE27" s="28">
        <v>0</v>
      </c>
      <c r="CF27" s="28">
        <v>0</v>
      </c>
      <c r="CG27" s="28">
        <v>0</v>
      </c>
      <c r="CH27" s="28">
        <v>0</v>
      </c>
      <c r="CI27" s="28">
        <v>0</v>
      </c>
      <c r="CJ27" s="28">
        <v>0</v>
      </c>
      <c r="CK27" s="28">
        <v>0</v>
      </c>
      <c r="CL27" s="28">
        <v>0</v>
      </c>
      <c r="CM27" s="28">
        <v>0</v>
      </c>
      <c r="CN27" s="28">
        <v>0</v>
      </c>
      <c r="CO27" s="28">
        <v>0</v>
      </c>
      <c r="CP27" s="28">
        <v>0</v>
      </c>
      <c r="CQ27" s="28">
        <v>0</v>
      </c>
      <c r="CR27" s="28">
        <v>0</v>
      </c>
      <c r="CS27" s="28">
        <v>0</v>
      </c>
      <c r="CT27" s="28">
        <v>0</v>
      </c>
      <c r="CU27" s="28">
        <v>0</v>
      </c>
      <c r="CV27" s="28">
        <v>0</v>
      </c>
      <c r="CW27" s="28">
        <v>0</v>
      </c>
      <c r="CX27" s="8" t="s">
        <v>98</v>
      </c>
    </row>
    <row r="28" spans="1:102" x14ac:dyDescent="0.25">
      <c r="A28" s="20" t="s">
        <v>47</v>
      </c>
      <c r="B28" s="21">
        <f>G28+H28+I28</f>
      </c>
      <c r="C28" s="20" t="s">
        <v>97</v>
      </c>
      <c r="D28" s="22">
        <f>K28</f>
      </c>
      <c r="F28" s="20" t="s">
        <v>34</v>
      </c>
      <c r="G28" s="21">
        <f>B31</f>
      </c>
      <c r="H28" s="21">
        <f>B32</f>
      </c>
      <c r="I28" s="21">
        <f>B33</f>
      </c>
      <c r="J28" s="21">
        <f>B34</f>
      </c>
      <c r="K28" s="22">
        <f>D31+D32+D33</f>
      </c>
      <c r="CX28" s="20" t="s">
        <v>99</v>
      </c>
    </row>
    <row r="29" spans="6:102" x14ac:dyDescent="0.25">
      <c r="F29" s="23" t="s">
        <v>36</v>
      </c>
      <c r="L29" s="24">
        <v>0</v>
      </c>
      <c r="M29" s="24">
        <v>0</v>
      </c>
      <c r="N29" s="24">
        <v>0</v>
      </c>
      <c r="O29" s="24">
        <v>0</v>
      </c>
      <c r="P29" s="24">
        <v>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0</v>
      </c>
      <c r="Z29" s="24">
        <v>0</v>
      </c>
      <c r="AA29" s="24">
        <v>0</v>
      </c>
      <c r="AB29" s="24">
        <v>0</v>
      </c>
      <c r="AC29" s="24">
        <v>0</v>
      </c>
      <c r="AD29" s="24">
        <v>0</v>
      </c>
      <c r="AE29" s="24">
        <v>0</v>
      </c>
      <c r="AF29" s="24">
        <v>0</v>
      </c>
      <c r="AG29" s="24">
        <v>0</v>
      </c>
      <c r="AH29" s="24">
        <v>0</v>
      </c>
      <c r="AI29" s="24">
        <v>0</v>
      </c>
      <c r="AJ29" s="24">
        <v>0</v>
      </c>
      <c r="AK29" s="24">
        <v>0</v>
      </c>
      <c r="AL29" s="24">
        <v>0</v>
      </c>
      <c r="AM29" s="24">
        <v>0</v>
      </c>
      <c r="AN29" s="24">
        <v>0</v>
      </c>
      <c r="AO29" s="24">
        <v>0</v>
      </c>
      <c r="AP29" s="24">
        <v>0</v>
      </c>
      <c r="AQ29" s="24">
        <v>0</v>
      </c>
      <c r="AR29" s="24">
        <v>0</v>
      </c>
      <c r="AS29" s="24">
        <v>0</v>
      </c>
      <c r="AT29" s="24">
        <v>0</v>
      </c>
      <c r="AU29" s="24">
        <v>0</v>
      </c>
      <c r="AV29" s="24">
        <v>0</v>
      </c>
      <c r="AW29" s="24">
        <v>0</v>
      </c>
      <c r="AX29" s="24">
        <v>0</v>
      </c>
      <c r="AY29" s="24">
        <v>0</v>
      </c>
      <c r="AZ29" s="24">
        <v>0</v>
      </c>
      <c r="BA29" s="24">
        <v>0</v>
      </c>
      <c r="BB29" s="24">
        <v>0</v>
      </c>
      <c r="BC29" s="24">
        <v>0</v>
      </c>
      <c r="BD29" s="24">
        <v>0</v>
      </c>
      <c r="BE29" s="24">
        <v>0</v>
      </c>
      <c r="BF29" s="24">
        <v>0</v>
      </c>
      <c r="BG29" s="24">
        <v>0</v>
      </c>
      <c r="BH29" s="24">
        <v>0</v>
      </c>
      <c r="BI29" s="24">
        <v>1</v>
      </c>
      <c r="BJ29" s="24">
        <v>1</v>
      </c>
      <c r="BK29" s="24">
        <v>1</v>
      </c>
      <c r="BL29" s="24">
        <v>1</v>
      </c>
      <c r="BM29" s="24">
        <v>1</v>
      </c>
      <c r="BN29" s="24">
        <v>1</v>
      </c>
      <c r="BO29" s="24">
        <v>1</v>
      </c>
      <c r="BP29" s="24">
        <v>1</v>
      </c>
      <c r="BQ29" s="24">
        <v>1</v>
      </c>
      <c r="BR29" s="24">
        <v>1</v>
      </c>
      <c r="BS29" s="24">
        <v>1</v>
      </c>
      <c r="BT29" s="24">
        <v>1</v>
      </c>
      <c r="BU29" s="24">
        <v>1</v>
      </c>
      <c r="BV29" s="24">
        <v>1</v>
      </c>
      <c r="BW29" s="24">
        <v>1</v>
      </c>
      <c r="BX29" s="24">
        <v>1</v>
      </c>
      <c r="BY29" s="24">
        <v>1</v>
      </c>
      <c r="BZ29" s="24">
        <v>1</v>
      </c>
      <c r="CA29" s="24">
        <v>1</v>
      </c>
      <c r="CB29" s="24">
        <v>1</v>
      </c>
      <c r="CC29" s="24">
        <v>1</v>
      </c>
      <c r="CD29" s="24">
        <v>1</v>
      </c>
      <c r="CE29" s="24">
        <v>1</v>
      </c>
      <c r="CF29" s="24">
        <v>1</v>
      </c>
      <c r="CG29" s="24">
        <v>1</v>
      </c>
      <c r="CH29" s="24">
        <v>1</v>
      </c>
      <c r="CI29" s="24">
        <v>1</v>
      </c>
      <c r="CJ29" s="24">
        <v>1</v>
      </c>
      <c r="CK29" s="24">
        <v>1</v>
      </c>
      <c r="CL29" s="24">
        <v>1</v>
      </c>
      <c r="CM29" s="24">
        <v>1</v>
      </c>
      <c r="CN29" s="24">
        <v>1</v>
      </c>
      <c r="CO29" s="24">
        <v>1</v>
      </c>
      <c r="CP29" s="24">
        <v>1</v>
      </c>
      <c r="CQ29" s="24">
        <v>1</v>
      </c>
      <c r="CR29" s="24">
        <v>1</v>
      </c>
      <c r="CS29" s="24">
        <v>1</v>
      </c>
      <c r="CT29" s="24">
        <v>1</v>
      </c>
      <c r="CU29" s="24">
        <v>1</v>
      </c>
      <c r="CV29" s="24">
        <v>1</v>
      </c>
      <c r="CW29" s="24">
        <v>1</v>
      </c>
      <c r="CX29" s="23" t="s">
        <v>99</v>
      </c>
    </row>
    <row r="30" spans="1:102" x14ac:dyDescent="0.25">
      <c r="A30" s="23" t="s">
        <v>37</v>
      </c>
      <c r="F30" s="23" t="s">
        <v>38</v>
      </c>
      <c r="L30" s="25">
        <v>0</v>
      </c>
      <c r="M30" s="25">
        <v>0</v>
      </c>
      <c r="N30" s="25">
        <v>0</v>
      </c>
      <c r="O30" s="25">
        <v>0</v>
      </c>
      <c r="P30" s="25">
        <v>0</v>
      </c>
      <c r="Q30" s="25">
        <v>0</v>
      </c>
      <c r="R30" s="25">
        <v>0</v>
      </c>
      <c r="S30" s="25">
        <v>0</v>
      </c>
      <c r="T30" s="25">
        <v>0</v>
      </c>
      <c r="U30" s="25">
        <v>0</v>
      </c>
      <c r="V30" s="25">
        <v>0</v>
      </c>
      <c r="W30" s="25">
        <v>0</v>
      </c>
      <c r="X30" s="25">
        <v>0</v>
      </c>
      <c r="Y30" s="25">
        <v>0</v>
      </c>
      <c r="Z30" s="25">
        <v>0</v>
      </c>
      <c r="AA30" s="25">
        <v>0</v>
      </c>
      <c r="AB30" s="25">
        <v>0</v>
      </c>
      <c r="AC30" s="25">
        <v>0</v>
      </c>
      <c r="AD30" s="25">
        <v>0</v>
      </c>
      <c r="AE30" s="25">
        <v>0</v>
      </c>
      <c r="AF30" s="25">
        <v>0</v>
      </c>
      <c r="AG30" s="25">
        <v>0</v>
      </c>
      <c r="AH30" s="25">
        <v>0</v>
      </c>
      <c r="AI30" s="25">
        <v>0</v>
      </c>
      <c r="AJ30" s="25">
        <v>0</v>
      </c>
      <c r="AK30" s="25">
        <v>0</v>
      </c>
      <c r="AL30" s="25">
        <v>0</v>
      </c>
      <c r="AM30" s="25">
        <v>0</v>
      </c>
      <c r="AN30" s="25">
        <v>0</v>
      </c>
      <c r="AO30" s="25">
        <v>0</v>
      </c>
      <c r="AP30" s="25">
        <v>0</v>
      </c>
      <c r="AQ30" s="25">
        <v>0</v>
      </c>
      <c r="AR30" s="25">
        <v>0</v>
      </c>
      <c r="AS30" s="25">
        <v>0</v>
      </c>
      <c r="AT30" s="25">
        <v>0</v>
      </c>
      <c r="AU30" s="25">
        <v>0</v>
      </c>
      <c r="AV30" s="25">
        <v>0</v>
      </c>
      <c r="AW30" s="25">
        <v>0</v>
      </c>
      <c r="AX30" s="25">
        <v>0</v>
      </c>
      <c r="AY30" s="25">
        <v>0</v>
      </c>
      <c r="AZ30" s="25">
        <v>0</v>
      </c>
      <c r="BA30" s="25">
        <v>0</v>
      </c>
      <c r="BB30" s="25">
        <v>0</v>
      </c>
      <c r="BC30" s="25">
        <v>0</v>
      </c>
      <c r="BD30" s="25">
        <v>0</v>
      </c>
      <c r="BE30" s="25">
        <v>0</v>
      </c>
      <c r="BF30" s="25">
        <v>0</v>
      </c>
      <c r="BG30" s="25">
        <v>0</v>
      </c>
      <c r="BH30" s="25">
        <v>0</v>
      </c>
      <c r="BI30" s="25">
        <v>12</v>
      </c>
      <c r="BJ30" s="25">
        <v>12</v>
      </c>
      <c r="BK30" s="25">
        <v>12</v>
      </c>
      <c r="BL30" s="25">
        <v>12</v>
      </c>
      <c r="BM30" s="25">
        <v>12</v>
      </c>
      <c r="BN30" s="25">
        <v>12</v>
      </c>
      <c r="BO30" s="25">
        <v>12</v>
      </c>
      <c r="BP30" s="25">
        <v>12</v>
      </c>
      <c r="BQ30" s="25">
        <v>12</v>
      </c>
      <c r="BR30" s="25">
        <v>12</v>
      </c>
      <c r="BS30" s="25">
        <v>12</v>
      </c>
      <c r="BT30" s="25">
        <v>12</v>
      </c>
      <c r="BU30" s="25">
        <v>12</v>
      </c>
      <c r="BV30" s="25">
        <v>12</v>
      </c>
      <c r="BW30" s="25">
        <v>12</v>
      </c>
      <c r="BX30" s="25">
        <v>12</v>
      </c>
      <c r="BY30" s="25">
        <v>12</v>
      </c>
      <c r="BZ30" s="25">
        <v>12</v>
      </c>
      <c r="CA30" s="25">
        <v>12</v>
      </c>
      <c r="CB30" s="25">
        <v>12</v>
      </c>
      <c r="CC30" s="25">
        <v>12</v>
      </c>
      <c r="CD30" s="25">
        <v>12</v>
      </c>
      <c r="CE30" s="25">
        <v>12</v>
      </c>
      <c r="CF30" s="25">
        <v>12</v>
      </c>
      <c r="CG30" s="25">
        <v>12</v>
      </c>
      <c r="CH30" s="25">
        <v>12</v>
      </c>
      <c r="CI30" s="25">
        <v>12</v>
      </c>
      <c r="CJ30" s="25">
        <v>12</v>
      </c>
      <c r="CK30" s="25">
        <v>12</v>
      </c>
      <c r="CL30" s="25">
        <v>12</v>
      </c>
      <c r="CM30" s="25">
        <v>12</v>
      </c>
      <c r="CN30" s="25">
        <v>12</v>
      </c>
      <c r="CO30" s="25">
        <v>12</v>
      </c>
      <c r="CP30" s="25">
        <v>12</v>
      </c>
      <c r="CQ30" s="25">
        <v>12</v>
      </c>
      <c r="CR30" s="25">
        <v>12</v>
      </c>
      <c r="CS30" s="25">
        <v>12</v>
      </c>
      <c r="CT30" s="25">
        <v>12</v>
      </c>
      <c r="CU30" s="25">
        <v>12</v>
      </c>
      <c r="CV30" s="25">
        <v>12</v>
      </c>
      <c r="CW30" s="25">
        <v>12</v>
      </c>
      <c r="CX30" s="23" t="s">
        <v>99</v>
      </c>
    </row>
    <row r="31" spans="2:102" x14ac:dyDescent="0.25">
      <c r="B31" s="26">
        <f>SUM(L31:CW31)</f>
      </c>
      <c r="D31" s="27">
        <f>B31*E31</f>
      </c>
      <c r="E31" s="27">
        <f>'Rate Tables'!C26</f>
      </c>
      <c r="F31" s="8" t="s">
        <v>39</v>
      </c>
      <c r="L31" s="26">
        <f>IF(L$6="","",IF(OR(WEEKDAY(L$6,1)=1,WEEKDAY(L$6,1)=7),0,MIN(8,L30)*L29))</f>
      </c>
      <c r="M31" s="26">
        <f>IF(M$6="","",IF(OR(WEEKDAY(M$6,1)=1,WEEKDAY(M$6,1)=7),0,MIN(8,M30)*M29))</f>
      </c>
      <c r="N31" s="26">
        <f>IF(N$6="","",IF(OR(WEEKDAY(N$6,1)=1,WEEKDAY(N$6,1)=7),0,MIN(8,N30)*N29))</f>
      </c>
      <c r="O31" s="26">
        <f>IF(O$6="","",IF(OR(WEEKDAY(O$6,1)=1,WEEKDAY(O$6,1)=7),0,MIN(8,O30)*O29))</f>
      </c>
      <c r="P31" s="26">
        <f>IF(P$6="","",IF(OR(WEEKDAY(P$6,1)=1,WEEKDAY(P$6,1)=7),0,MIN(8,P30)*P29))</f>
      </c>
      <c r="Q31" s="26">
        <f>IF(Q$6="","",IF(OR(WEEKDAY(Q$6,1)=1,WEEKDAY(Q$6,1)=7),0,MIN(8,Q30)*Q29))</f>
      </c>
      <c r="R31" s="26">
        <f>IF(R$6="","",IF(OR(WEEKDAY(R$6,1)=1,WEEKDAY(R$6,1)=7),0,MIN(8,R30)*R29))</f>
      </c>
      <c r="S31" s="26">
        <f>IF(S$6="","",IF(OR(WEEKDAY(S$6,1)=1,WEEKDAY(S$6,1)=7),0,MIN(8,S30)*S29))</f>
      </c>
      <c r="T31" s="26">
        <f>IF(T$6="","",IF(OR(WEEKDAY(T$6,1)=1,WEEKDAY(T$6,1)=7),0,MIN(8,T30)*T29))</f>
      </c>
      <c r="U31" s="26">
        <f>IF(U$6="","",IF(OR(WEEKDAY(U$6,1)=1,WEEKDAY(U$6,1)=7),0,MIN(8,U30)*U29))</f>
      </c>
      <c r="V31" s="26">
        <f>IF(V$6="","",IF(OR(WEEKDAY(V$6,1)=1,WEEKDAY(V$6,1)=7),0,MIN(8,V30)*V29))</f>
      </c>
      <c r="W31" s="26">
        <f>IF(W$6="","",IF(OR(WEEKDAY(W$6,1)=1,WEEKDAY(W$6,1)=7),0,MIN(8,W30)*W29))</f>
      </c>
      <c r="X31" s="26">
        <f>IF(X$6="","",IF(OR(WEEKDAY(X$6,1)=1,WEEKDAY(X$6,1)=7),0,MIN(8,X30)*X29))</f>
      </c>
      <c r="Y31" s="26">
        <f>IF(Y$6="","",IF(OR(WEEKDAY(Y$6,1)=1,WEEKDAY(Y$6,1)=7),0,MIN(8,Y30)*Y29))</f>
      </c>
      <c r="Z31" s="26">
        <f>IF(Z$6="","",IF(OR(WEEKDAY(Z$6,1)=1,WEEKDAY(Z$6,1)=7),0,MIN(8,Z30)*Z29))</f>
      </c>
      <c r="AA31" s="26">
        <f>IF(AA$6="","",IF(OR(WEEKDAY(AA$6,1)=1,WEEKDAY(AA$6,1)=7),0,MIN(8,AA30)*AA29))</f>
      </c>
      <c r="AB31" s="26">
        <f>IF(AB$6="","",IF(OR(WEEKDAY(AB$6,1)=1,WEEKDAY(AB$6,1)=7),0,MIN(8,AB30)*AB29))</f>
      </c>
      <c r="AC31" s="26">
        <f>IF(AC$6="","",IF(OR(WEEKDAY(AC$6,1)=1,WEEKDAY(AC$6,1)=7),0,MIN(8,AC30)*AC29))</f>
      </c>
      <c r="AD31" s="26">
        <f>IF(AD$6="","",IF(OR(WEEKDAY(AD$6,1)=1,WEEKDAY(AD$6,1)=7),0,MIN(8,AD30)*AD29))</f>
      </c>
      <c r="AE31" s="26">
        <f>IF(AE$6="","",IF(OR(WEEKDAY(AE$6,1)=1,WEEKDAY(AE$6,1)=7),0,MIN(8,AE30)*AE29))</f>
      </c>
      <c r="AF31" s="26">
        <f>IF(AF$6="","",IF(OR(WEEKDAY(AF$6,1)=1,WEEKDAY(AF$6,1)=7),0,MIN(8,AF30)*AF29))</f>
      </c>
      <c r="AG31" s="26">
        <f>IF(AG$6="","",IF(OR(WEEKDAY(AG$6,1)=1,WEEKDAY(AG$6,1)=7),0,MIN(8,AG30)*AG29))</f>
      </c>
      <c r="AH31" s="26">
        <f>IF(AH$6="","",IF(OR(WEEKDAY(AH$6,1)=1,WEEKDAY(AH$6,1)=7),0,MIN(8,AH30)*AH29))</f>
      </c>
      <c r="AI31" s="26">
        <f>IF(AI$6="","",IF(OR(WEEKDAY(AI$6,1)=1,WEEKDAY(AI$6,1)=7),0,MIN(8,AI30)*AI29))</f>
      </c>
      <c r="AJ31" s="26">
        <f>IF(AJ$6="","",IF(OR(WEEKDAY(AJ$6,1)=1,WEEKDAY(AJ$6,1)=7),0,MIN(8,AJ30)*AJ29))</f>
      </c>
      <c r="AK31" s="26">
        <f>IF(AK$6="","",IF(OR(WEEKDAY(AK$6,1)=1,WEEKDAY(AK$6,1)=7),0,MIN(8,AK30)*AK29))</f>
      </c>
      <c r="AL31" s="26">
        <f>IF(AL$6="","",IF(OR(WEEKDAY(AL$6,1)=1,WEEKDAY(AL$6,1)=7),0,MIN(8,AL30)*AL29))</f>
      </c>
      <c r="AM31" s="26">
        <f>IF(AM$6="","",IF(OR(WEEKDAY(AM$6,1)=1,WEEKDAY(AM$6,1)=7),0,MIN(8,AM30)*AM29))</f>
      </c>
      <c r="AN31" s="26">
        <f>IF(AN$6="","",IF(OR(WEEKDAY(AN$6,1)=1,WEEKDAY(AN$6,1)=7),0,MIN(8,AN30)*AN29))</f>
      </c>
      <c r="AO31" s="26">
        <f>IF(AO$6="","",IF(OR(WEEKDAY(AO$6,1)=1,WEEKDAY(AO$6,1)=7),0,MIN(8,AO30)*AO29))</f>
      </c>
      <c r="AP31" s="26">
        <f>IF(AP$6="","",IF(OR(WEEKDAY(AP$6,1)=1,WEEKDAY(AP$6,1)=7),0,MIN(8,AP30)*AP29))</f>
      </c>
      <c r="AQ31" s="26">
        <f>IF(AQ$6="","",IF(OR(WEEKDAY(AQ$6,1)=1,WEEKDAY(AQ$6,1)=7),0,MIN(8,AQ30)*AQ29))</f>
      </c>
      <c r="AR31" s="26">
        <f>IF(AR$6="","",IF(OR(WEEKDAY(AR$6,1)=1,WEEKDAY(AR$6,1)=7),0,MIN(8,AR30)*AR29))</f>
      </c>
      <c r="AS31" s="26">
        <f>IF(AS$6="","",IF(OR(WEEKDAY(AS$6,1)=1,WEEKDAY(AS$6,1)=7),0,MIN(8,AS30)*AS29))</f>
      </c>
      <c r="AT31" s="26">
        <f>IF(AT$6="","",IF(OR(WEEKDAY(AT$6,1)=1,WEEKDAY(AT$6,1)=7),0,MIN(8,AT30)*AT29))</f>
      </c>
      <c r="AU31" s="26">
        <f>IF(AU$6="","",IF(OR(WEEKDAY(AU$6,1)=1,WEEKDAY(AU$6,1)=7),0,MIN(8,AU30)*AU29))</f>
      </c>
      <c r="AV31" s="26">
        <f>IF(AV$6="","",IF(OR(WEEKDAY(AV$6,1)=1,WEEKDAY(AV$6,1)=7),0,MIN(8,AV30)*AV29))</f>
      </c>
      <c r="AW31" s="26">
        <f>IF(AW$6="","",IF(OR(WEEKDAY(AW$6,1)=1,WEEKDAY(AW$6,1)=7),0,MIN(8,AW30)*AW29))</f>
      </c>
      <c r="AX31" s="26">
        <f>IF(AX$6="","",IF(OR(WEEKDAY(AX$6,1)=1,WEEKDAY(AX$6,1)=7),0,MIN(8,AX30)*AX29))</f>
      </c>
      <c r="AY31" s="26">
        <f>IF(AY$6="","",IF(OR(WEEKDAY(AY$6,1)=1,WEEKDAY(AY$6,1)=7),0,MIN(8,AY30)*AY29))</f>
      </c>
      <c r="AZ31" s="26">
        <f>IF(AZ$6="","",IF(OR(WEEKDAY(AZ$6,1)=1,WEEKDAY(AZ$6,1)=7),0,MIN(8,AZ30)*AZ29))</f>
      </c>
      <c r="BA31" s="26">
        <f>IF(BA$6="","",IF(OR(WEEKDAY(BA$6,1)=1,WEEKDAY(BA$6,1)=7),0,MIN(8,BA30)*BA29))</f>
      </c>
      <c r="BB31" s="26">
        <f>IF(BB$6="","",IF(OR(WEEKDAY(BB$6,1)=1,WEEKDAY(BB$6,1)=7),0,MIN(8,BB30)*BB29))</f>
      </c>
      <c r="BC31" s="26">
        <f>IF(BC$6="","",IF(OR(WEEKDAY(BC$6,1)=1,WEEKDAY(BC$6,1)=7),0,MIN(8,BC30)*BC29))</f>
      </c>
      <c r="BD31" s="26">
        <f>IF(BD$6="","",IF(OR(WEEKDAY(BD$6,1)=1,WEEKDAY(BD$6,1)=7),0,MIN(8,BD30)*BD29))</f>
      </c>
      <c r="BE31" s="26">
        <f>IF(BE$6="","",IF(OR(WEEKDAY(BE$6,1)=1,WEEKDAY(BE$6,1)=7),0,MIN(8,BE30)*BE29))</f>
      </c>
      <c r="BF31" s="26">
        <f>IF(BF$6="","",IF(OR(WEEKDAY(BF$6,1)=1,WEEKDAY(BF$6,1)=7),0,MIN(8,BF30)*BF29))</f>
      </c>
      <c r="BG31" s="26">
        <f>IF(BG$6="","",IF(OR(WEEKDAY(BG$6,1)=1,WEEKDAY(BG$6,1)=7),0,MIN(8,BG30)*BG29))</f>
      </c>
      <c r="BH31" s="26">
        <f>IF(BH$6="","",IF(OR(WEEKDAY(BH$6,1)=1,WEEKDAY(BH$6,1)=7),0,MIN(8,BH30)*BH29))</f>
      </c>
      <c r="BI31" s="26">
        <f>IF(BI$6="","",IF(OR(WEEKDAY(BI$6,1)=1,WEEKDAY(BI$6,1)=7),0,MIN(8,BI30)*BI29))</f>
      </c>
      <c r="BJ31" s="26">
        <f>IF(BJ$6="","",IF(OR(WEEKDAY(BJ$6,1)=1,WEEKDAY(BJ$6,1)=7),0,MIN(8,BJ30)*BJ29))</f>
      </c>
      <c r="BK31" s="26">
        <f>IF(BK$6="","",IF(OR(WEEKDAY(BK$6,1)=1,WEEKDAY(BK$6,1)=7),0,MIN(8,BK30)*BK29))</f>
      </c>
      <c r="BL31" s="26">
        <f>IF(BL$6="","",IF(OR(WEEKDAY(BL$6,1)=1,WEEKDAY(BL$6,1)=7),0,MIN(8,BL30)*BL29))</f>
      </c>
      <c r="BM31" s="26">
        <f>IF(BM$6="","",IF(OR(WEEKDAY(BM$6,1)=1,WEEKDAY(BM$6,1)=7),0,MIN(8,BM30)*BM29))</f>
      </c>
      <c r="BN31" s="26">
        <f>IF(BN$6="","",IF(OR(WEEKDAY(BN$6,1)=1,WEEKDAY(BN$6,1)=7),0,MIN(8,BN30)*BN29))</f>
      </c>
      <c r="BO31" s="26">
        <f>IF(BO$6="","",IF(OR(WEEKDAY(BO$6,1)=1,WEEKDAY(BO$6,1)=7),0,MIN(8,BO30)*BO29))</f>
      </c>
      <c r="BP31" s="26">
        <f>IF(BP$6="","",IF(OR(WEEKDAY(BP$6,1)=1,WEEKDAY(BP$6,1)=7),0,MIN(8,BP30)*BP29))</f>
      </c>
      <c r="BQ31" s="26">
        <f>IF(BQ$6="","",IF(OR(WEEKDAY(BQ$6,1)=1,WEEKDAY(BQ$6,1)=7),0,MIN(8,BQ30)*BQ29))</f>
      </c>
      <c r="BR31" s="26">
        <f>IF(BR$6="","",IF(OR(WEEKDAY(BR$6,1)=1,WEEKDAY(BR$6,1)=7),0,MIN(8,BR30)*BR29))</f>
      </c>
      <c r="BS31" s="26">
        <f>IF(BS$6="","",IF(OR(WEEKDAY(BS$6,1)=1,WEEKDAY(BS$6,1)=7),0,MIN(8,BS30)*BS29))</f>
      </c>
      <c r="BT31" s="26">
        <f>IF(BT$6="","",IF(OR(WEEKDAY(BT$6,1)=1,WEEKDAY(BT$6,1)=7),0,MIN(8,BT30)*BT29))</f>
      </c>
      <c r="BU31" s="26">
        <f>IF(BU$6="","",IF(OR(WEEKDAY(BU$6,1)=1,WEEKDAY(BU$6,1)=7),0,MIN(8,BU30)*BU29))</f>
      </c>
      <c r="BV31" s="26">
        <f>IF(BV$6="","",IF(OR(WEEKDAY(BV$6,1)=1,WEEKDAY(BV$6,1)=7),0,MIN(8,BV30)*BV29))</f>
      </c>
      <c r="BW31" s="26">
        <f>IF(BW$6="","",IF(OR(WEEKDAY(BW$6,1)=1,WEEKDAY(BW$6,1)=7),0,MIN(8,BW30)*BW29))</f>
      </c>
      <c r="BX31" s="26">
        <f>IF(BX$6="","",IF(OR(WEEKDAY(BX$6,1)=1,WEEKDAY(BX$6,1)=7),0,MIN(8,BX30)*BX29))</f>
      </c>
      <c r="BY31" s="26">
        <f>IF(BY$6="","",IF(OR(WEEKDAY(BY$6,1)=1,WEEKDAY(BY$6,1)=7),0,MIN(8,BY30)*BY29))</f>
      </c>
      <c r="BZ31" s="26">
        <f>IF(BZ$6="","",IF(OR(WEEKDAY(BZ$6,1)=1,WEEKDAY(BZ$6,1)=7),0,MIN(8,BZ30)*BZ29))</f>
      </c>
      <c r="CA31" s="26">
        <f>IF(CA$6="","",IF(OR(WEEKDAY(CA$6,1)=1,WEEKDAY(CA$6,1)=7),0,MIN(8,CA30)*CA29))</f>
      </c>
      <c r="CB31" s="26">
        <f>IF(CB$6="","",IF(OR(WEEKDAY(CB$6,1)=1,WEEKDAY(CB$6,1)=7),0,MIN(8,CB30)*CB29))</f>
      </c>
      <c r="CC31" s="26">
        <f>IF(CC$6="","",IF(OR(WEEKDAY(CC$6,1)=1,WEEKDAY(CC$6,1)=7),0,MIN(8,CC30)*CC29))</f>
      </c>
      <c r="CD31" s="26">
        <f>IF(CD$6="","",IF(OR(WEEKDAY(CD$6,1)=1,WEEKDAY(CD$6,1)=7),0,MIN(8,CD30)*CD29))</f>
      </c>
      <c r="CE31" s="26">
        <f>IF(CE$6="","",IF(OR(WEEKDAY(CE$6,1)=1,WEEKDAY(CE$6,1)=7),0,MIN(8,CE30)*CE29))</f>
      </c>
      <c r="CF31" s="26">
        <f>IF(CF$6="","",IF(OR(WEEKDAY(CF$6,1)=1,WEEKDAY(CF$6,1)=7),0,MIN(8,CF30)*CF29))</f>
      </c>
      <c r="CG31" s="26">
        <f>IF(CG$6="","",IF(OR(WEEKDAY(CG$6,1)=1,WEEKDAY(CG$6,1)=7),0,MIN(8,CG30)*CG29))</f>
      </c>
      <c r="CH31" s="26">
        <f>IF(CH$6="","",IF(OR(WEEKDAY(CH$6,1)=1,WEEKDAY(CH$6,1)=7),0,MIN(8,CH30)*CH29))</f>
      </c>
      <c r="CI31" s="26">
        <f>IF(CI$6="","",IF(OR(WEEKDAY(CI$6,1)=1,WEEKDAY(CI$6,1)=7),0,MIN(8,CI30)*CI29))</f>
      </c>
      <c r="CJ31" s="26">
        <f>IF(CJ$6="","",IF(OR(WEEKDAY(CJ$6,1)=1,WEEKDAY(CJ$6,1)=7),0,MIN(8,CJ30)*CJ29))</f>
      </c>
      <c r="CK31" s="26">
        <f>IF(CK$6="","",IF(OR(WEEKDAY(CK$6,1)=1,WEEKDAY(CK$6,1)=7),0,MIN(8,CK30)*CK29))</f>
      </c>
      <c r="CL31" s="26">
        <f>IF(CL$6="","",IF(OR(WEEKDAY(CL$6,1)=1,WEEKDAY(CL$6,1)=7),0,MIN(8,CL30)*CL29))</f>
      </c>
      <c r="CM31" s="26">
        <f>IF(CM$6="","",IF(OR(WEEKDAY(CM$6,1)=1,WEEKDAY(CM$6,1)=7),0,MIN(8,CM30)*CM29))</f>
      </c>
      <c r="CN31" s="26">
        <f>IF(CN$6="","",IF(OR(WEEKDAY(CN$6,1)=1,WEEKDAY(CN$6,1)=7),0,MIN(8,CN30)*CN29))</f>
      </c>
      <c r="CO31" s="26">
        <f>IF(CO$6="","",IF(OR(WEEKDAY(CO$6,1)=1,WEEKDAY(CO$6,1)=7),0,MIN(8,CO30)*CO29))</f>
      </c>
      <c r="CP31" s="26">
        <f>IF(CP$6="","",IF(OR(WEEKDAY(CP$6,1)=1,WEEKDAY(CP$6,1)=7),0,MIN(8,CP30)*CP29))</f>
      </c>
      <c r="CQ31" s="26">
        <f>IF(CQ$6="","",IF(OR(WEEKDAY(CQ$6,1)=1,WEEKDAY(CQ$6,1)=7),0,MIN(8,CQ30)*CQ29))</f>
      </c>
      <c r="CR31" s="26">
        <f>IF(CR$6="","",IF(OR(WEEKDAY(CR$6,1)=1,WEEKDAY(CR$6,1)=7),0,MIN(8,CR30)*CR29))</f>
      </c>
      <c r="CS31" s="26">
        <f>IF(CS$6="","",IF(OR(WEEKDAY(CS$6,1)=1,WEEKDAY(CS$6,1)=7),0,MIN(8,CS30)*CS29))</f>
      </c>
      <c r="CT31" s="26">
        <f>IF(CT$6="","",IF(OR(WEEKDAY(CT$6,1)=1,WEEKDAY(CT$6,1)=7),0,MIN(8,CT30)*CT29))</f>
      </c>
      <c r="CU31" s="26">
        <f>IF(CU$6="","",IF(OR(WEEKDAY(CU$6,1)=1,WEEKDAY(CU$6,1)=7),0,MIN(8,CU30)*CU29))</f>
      </c>
      <c r="CV31" s="26">
        <f>IF(CV$6="","",IF(OR(WEEKDAY(CV$6,1)=1,WEEKDAY(CV$6,1)=7),0,MIN(8,CV30)*CV29))</f>
      </c>
      <c r="CW31" s="26">
        <f>IF(CW$6="","",IF(OR(WEEKDAY(CW$6,1)=1,WEEKDAY(CW$6,1)=7),0,MIN(8,CW30)*CW29))</f>
      </c>
      <c r="CX31" s="8" t="s">
        <v>99</v>
      </c>
    </row>
    <row r="32" spans="2:102" x14ac:dyDescent="0.25">
      <c r="B32" s="26">
        <f>SUM(L32:CW32)</f>
      </c>
      <c r="D32" s="27">
        <f>B32*E32</f>
      </c>
      <c r="E32" s="27">
        <f>'Rate Tables'!D26</f>
      </c>
      <c r="F32" s="8" t="s">
        <v>40</v>
      </c>
      <c r="L32" s="26">
        <f>IF(L$6="","",IF(WEEKDAY(L$6,1)=1,0,IF(WEEKDAY(L$6,1)=7,L30*L29,MAX(0,L30-8)*L29)))</f>
      </c>
      <c r="M32" s="26">
        <f>IF(M$6="","",IF(WEEKDAY(M$6,1)=1,0,IF(WEEKDAY(M$6,1)=7,M30*M29,MAX(0,M30-8)*M29)))</f>
      </c>
      <c r="N32" s="26">
        <f>IF(N$6="","",IF(WEEKDAY(N$6,1)=1,0,IF(WEEKDAY(N$6,1)=7,N30*N29,MAX(0,N30-8)*N29)))</f>
      </c>
      <c r="O32" s="26">
        <f>IF(O$6="","",IF(WEEKDAY(O$6,1)=1,0,IF(WEEKDAY(O$6,1)=7,O30*O29,MAX(0,O30-8)*O29)))</f>
      </c>
      <c r="P32" s="26">
        <f>IF(P$6="","",IF(WEEKDAY(P$6,1)=1,0,IF(WEEKDAY(P$6,1)=7,P30*P29,MAX(0,P30-8)*P29)))</f>
      </c>
      <c r="Q32" s="26">
        <f>IF(Q$6="","",IF(WEEKDAY(Q$6,1)=1,0,IF(WEEKDAY(Q$6,1)=7,Q30*Q29,MAX(0,Q30-8)*Q29)))</f>
      </c>
      <c r="R32" s="26">
        <f>IF(R$6="","",IF(WEEKDAY(R$6,1)=1,0,IF(WEEKDAY(R$6,1)=7,R30*R29,MAX(0,R30-8)*R29)))</f>
      </c>
      <c r="S32" s="26">
        <f>IF(S$6="","",IF(WEEKDAY(S$6,1)=1,0,IF(WEEKDAY(S$6,1)=7,S30*S29,MAX(0,S30-8)*S29)))</f>
      </c>
      <c r="T32" s="26">
        <f>IF(T$6="","",IF(WEEKDAY(T$6,1)=1,0,IF(WEEKDAY(T$6,1)=7,T30*T29,MAX(0,T30-8)*T29)))</f>
      </c>
      <c r="U32" s="26">
        <f>IF(U$6="","",IF(WEEKDAY(U$6,1)=1,0,IF(WEEKDAY(U$6,1)=7,U30*U29,MAX(0,U30-8)*U29)))</f>
      </c>
      <c r="V32" s="26">
        <f>IF(V$6="","",IF(WEEKDAY(V$6,1)=1,0,IF(WEEKDAY(V$6,1)=7,V30*V29,MAX(0,V30-8)*V29)))</f>
      </c>
      <c r="W32" s="26">
        <f>IF(W$6="","",IF(WEEKDAY(W$6,1)=1,0,IF(WEEKDAY(W$6,1)=7,W30*W29,MAX(0,W30-8)*W29)))</f>
      </c>
      <c r="X32" s="26">
        <f>IF(X$6="","",IF(WEEKDAY(X$6,1)=1,0,IF(WEEKDAY(X$6,1)=7,X30*X29,MAX(0,X30-8)*X29)))</f>
      </c>
      <c r="Y32" s="26">
        <f>IF(Y$6="","",IF(WEEKDAY(Y$6,1)=1,0,IF(WEEKDAY(Y$6,1)=7,Y30*Y29,MAX(0,Y30-8)*Y29)))</f>
      </c>
      <c r="Z32" s="26">
        <f>IF(Z$6="","",IF(WEEKDAY(Z$6,1)=1,0,IF(WEEKDAY(Z$6,1)=7,Z30*Z29,MAX(0,Z30-8)*Z29)))</f>
      </c>
      <c r="AA32" s="26">
        <f>IF(AA$6="","",IF(WEEKDAY(AA$6,1)=1,0,IF(WEEKDAY(AA$6,1)=7,AA30*AA29,MAX(0,AA30-8)*AA29)))</f>
      </c>
      <c r="AB32" s="26">
        <f>IF(AB$6="","",IF(WEEKDAY(AB$6,1)=1,0,IF(WEEKDAY(AB$6,1)=7,AB30*AB29,MAX(0,AB30-8)*AB29)))</f>
      </c>
      <c r="AC32" s="26">
        <f>IF(AC$6="","",IF(WEEKDAY(AC$6,1)=1,0,IF(WEEKDAY(AC$6,1)=7,AC30*AC29,MAX(0,AC30-8)*AC29)))</f>
      </c>
      <c r="AD32" s="26">
        <f>IF(AD$6="","",IF(WEEKDAY(AD$6,1)=1,0,IF(WEEKDAY(AD$6,1)=7,AD30*AD29,MAX(0,AD30-8)*AD29)))</f>
      </c>
      <c r="AE32" s="26">
        <f>IF(AE$6="","",IF(WEEKDAY(AE$6,1)=1,0,IF(WEEKDAY(AE$6,1)=7,AE30*AE29,MAX(0,AE30-8)*AE29)))</f>
      </c>
      <c r="AF32" s="26">
        <f>IF(AF$6="","",IF(WEEKDAY(AF$6,1)=1,0,IF(WEEKDAY(AF$6,1)=7,AF30*AF29,MAX(0,AF30-8)*AF29)))</f>
      </c>
      <c r="AG32" s="26">
        <f>IF(AG$6="","",IF(WEEKDAY(AG$6,1)=1,0,IF(WEEKDAY(AG$6,1)=7,AG30*AG29,MAX(0,AG30-8)*AG29)))</f>
      </c>
      <c r="AH32" s="26">
        <f>IF(AH$6="","",IF(WEEKDAY(AH$6,1)=1,0,IF(WEEKDAY(AH$6,1)=7,AH30*AH29,MAX(0,AH30-8)*AH29)))</f>
      </c>
      <c r="AI32" s="26">
        <f>IF(AI$6="","",IF(WEEKDAY(AI$6,1)=1,0,IF(WEEKDAY(AI$6,1)=7,AI30*AI29,MAX(0,AI30-8)*AI29)))</f>
      </c>
      <c r="AJ32" s="26">
        <f>IF(AJ$6="","",IF(WEEKDAY(AJ$6,1)=1,0,IF(WEEKDAY(AJ$6,1)=7,AJ30*AJ29,MAX(0,AJ30-8)*AJ29)))</f>
      </c>
      <c r="AK32" s="26">
        <f>IF(AK$6="","",IF(WEEKDAY(AK$6,1)=1,0,IF(WEEKDAY(AK$6,1)=7,AK30*AK29,MAX(0,AK30-8)*AK29)))</f>
      </c>
      <c r="AL32" s="26">
        <f>IF(AL$6="","",IF(WEEKDAY(AL$6,1)=1,0,IF(WEEKDAY(AL$6,1)=7,AL30*AL29,MAX(0,AL30-8)*AL29)))</f>
      </c>
      <c r="AM32" s="26">
        <f>IF(AM$6="","",IF(WEEKDAY(AM$6,1)=1,0,IF(WEEKDAY(AM$6,1)=7,AM30*AM29,MAX(0,AM30-8)*AM29)))</f>
      </c>
      <c r="AN32" s="26">
        <f>IF(AN$6="","",IF(WEEKDAY(AN$6,1)=1,0,IF(WEEKDAY(AN$6,1)=7,AN30*AN29,MAX(0,AN30-8)*AN29)))</f>
      </c>
      <c r="AO32" s="26">
        <f>IF(AO$6="","",IF(WEEKDAY(AO$6,1)=1,0,IF(WEEKDAY(AO$6,1)=7,AO30*AO29,MAX(0,AO30-8)*AO29)))</f>
      </c>
      <c r="AP32" s="26">
        <f>IF(AP$6="","",IF(WEEKDAY(AP$6,1)=1,0,IF(WEEKDAY(AP$6,1)=7,AP30*AP29,MAX(0,AP30-8)*AP29)))</f>
      </c>
      <c r="AQ32" s="26">
        <f>IF(AQ$6="","",IF(WEEKDAY(AQ$6,1)=1,0,IF(WEEKDAY(AQ$6,1)=7,AQ30*AQ29,MAX(0,AQ30-8)*AQ29)))</f>
      </c>
      <c r="AR32" s="26">
        <f>IF(AR$6="","",IF(WEEKDAY(AR$6,1)=1,0,IF(WEEKDAY(AR$6,1)=7,AR30*AR29,MAX(0,AR30-8)*AR29)))</f>
      </c>
      <c r="AS32" s="26">
        <f>IF(AS$6="","",IF(WEEKDAY(AS$6,1)=1,0,IF(WEEKDAY(AS$6,1)=7,AS30*AS29,MAX(0,AS30-8)*AS29)))</f>
      </c>
      <c r="AT32" s="26">
        <f>IF(AT$6="","",IF(WEEKDAY(AT$6,1)=1,0,IF(WEEKDAY(AT$6,1)=7,AT30*AT29,MAX(0,AT30-8)*AT29)))</f>
      </c>
      <c r="AU32" s="26">
        <f>IF(AU$6="","",IF(WEEKDAY(AU$6,1)=1,0,IF(WEEKDAY(AU$6,1)=7,AU30*AU29,MAX(0,AU30-8)*AU29)))</f>
      </c>
      <c r="AV32" s="26">
        <f>IF(AV$6="","",IF(WEEKDAY(AV$6,1)=1,0,IF(WEEKDAY(AV$6,1)=7,AV30*AV29,MAX(0,AV30-8)*AV29)))</f>
      </c>
      <c r="AW32" s="26">
        <f>IF(AW$6="","",IF(WEEKDAY(AW$6,1)=1,0,IF(WEEKDAY(AW$6,1)=7,AW30*AW29,MAX(0,AW30-8)*AW29)))</f>
      </c>
      <c r="AX32" s="26">
        <f>IF(AX$6="","",IF(WEEKDAY(AX$6,1)=1,0,IF(WEEKDAY(AX$6,1)=7,AX30*AX29,MAX(0,AX30-8)*AX29)))</f>
      </c>
      <c r="AY32" s="26">
        <f>IF(AY$6="","",IF(WEEKDAY(AY$6,1)=1,0,IF(WEEKDAY(AY$6,1)=7,AY30*AY29,MAX(0,AY30-8)*AY29)))</f>
      </c>
      <c r="AZ32" s="26">
        <f>IF(AZ$6="","",IF(WEEKDAY(AZ$6,1)=1,0,IF(WEEKDAY(AZ$6,1)=7,AZ30*AZ29,MAX(0,AZ30-8)*AZ29)))</f>
      </c>
      <c r="BA32" s="26">
        <f>IF(BA$6="","",IF(WEEKDAY(BA$6,1)=1,0,IF(WEEKDAY(BA$6,1)=7,BA30*BA29,MAX(0,BA30-8)*BA29)))</f>
      </c>
      <c r="BB32" s="26">
        <f>IF(BB$6="","",IF(WEEKDAY(BB$6,1)=1,0,IF(WEEKDAY(BB$6,1)=7,BB30*BB29,MAX(0,BB30-8)*BB29)))</f>
      </c>
      <c r="BC32" s="26">
        <f>IF(BC$6="","",IF(WEEKDAY(BC$6,1)=1,0,IF(WEEKDAY(BC$6,1)=7,BC30*BC29,MAX(0,BC30-8)*BC29)))</f>
      </c>
      <c r="BD32" s="26">
        <f>IF(BD$6="","",IF(WEEKDAY(BD$6,1)=1,0,IF(WEEKDAY(BD$6,1)=7,BD30*BD29,MAX(0,BD30-8)*BD29)))</f>
      </c>
      <c r="BE32" s="26">
        <f>IF(BE$6="","",IF(WEEKDAY(BE$6,1)=1,0,IF(WEEKDAY(BE$6,1)=7,BE30*BE29,MAX(0,BE30-8)*BE29)))</f>
      </c>
      <c r="BF32" s="26">
        <f>IF(BF$6="","",IF(WEEKDAY(BF$6,1)=1,0,IF(WEEKDAY(BF$6,1)=7,BF30*BF29,MAX(0,BF30-8)*BF29)))</f>
      </c>
      <c r="BG32" s="26">
        <f>IF(BG$6="","",IF(WEEKDAY(BG$6,1)=1,0,IF(WEEKDAY(BG$6,1)=7,BG30*BG29,MAX(0,BG30-8)*BG29)))</f>
      </c>
      <c r="BH32" s="26">
        <f>IF(BH$6="","",IF(WEEKDAY(BH$6,1)=1,0,IF(WEEKDAY(BH$6,1)=7,BH30*BH29,MAX(0,BH30-8)*BH29)))</f>
      </c>
      <c r="BI32" s="26">
        <f>IF(BI$6="","",IF(WEEKDAY(BI$6,1)=1,0,IF(WEEKDAY(BI$6,1)=7,BI30*BI29,MAX(0,BI30-8)*BI29)))</f>
      </c>
      <c r="BJ32" s="26">
        <f>IF(BJ$6="","",IF(WEEKDAY(BJ$6,1)=1,0,IF(WEEKDAY(BJ$6,1)=7,BJ30*BJ29,MAX(0,BJ30-8)*BJ29)))</f>
      </c>
      <c r="BK32" s="26">
        <f>IF(BK$6="","",IF(WEEKDAY(BK$6,1)=1,0,IF(WEEKDAY(BK$6,1)=7,BK30*BK29,MAX(0,BK30-8)*BK29)))</f>
      </c>
      <c r="BL32" s="26">
        <f>IF(BL$6="","",IF(WEEKDAY(BL$6,1)=1,0,IF(WEEKDAY(BL$6,1)=7,BL30*BL29,MAX(0,BL30-8)*BL29)))</f>
      </c>
      <c r="BM32" s="26">
        <f>IF(BM$6="","",IF(WEEKDAY(BM$6,1)=1,0,IF(WEEKDAY(BM$6,1)=7,BM30*BM29,MAX(0,BM30-8)*BM29)))</f>
      </c>
      <c r="BN32" s="26">
        <f>IF(BN$6="","",IF(WEEKDAY(BN$6,1)=1,0,IF(WEEKDAY(BN$6,1)=7,BN30*BN29,MAX(0,BN30-8)*BN29)))</f>
      </c>
      <c r="BO32" s="26">
        <f>IF(BO$6="","",IF(WEEKDAY(BO$6,1)=1,0,IF(WEEKDAY(BO$6,1)=7,BO30*BO29,MAX(0,BO30-8)*BO29)))</f>
      </c>
      <c r="BP32" s="26">
        <f>IF(BP$6="","",IF(WEEKDAY(BP$6,1)=1,0,IF(WEEKDAY(BP$6,1)=7,BP30*BP29,MAX(0,BP30-8)*BP29)))</f>
      </c>
      <c r="BQ32" s="26">
        <f>IF(BQ$6="","",IF(WEEKDAY(BQ$6,1)=1,0,IF(WEEKDAY(BQ$6,1)=7,BQ30*BQ29,MAX(0,BQ30-8)*BQ29)))</f>
      </c>
      <c r="BR32" s="26">
        <f>IF(BR$6="","",IF(WEEKDAY(BR$6,1)=1,0,IF(WEEKDAY(BR$6,1)=7,BR30*BR29,MAX(0,BR30-8)*BR29)))</f>
      </c>
      <c r="BS32" s="26">
        <f>IF(BS$6="","",IF(WEEKDAY(BS$6,1)=1,0,IF(WEEKDAY(BS$6,1)=7,BS30*BS29,MAX(0,BS30-8)*BS29)))</f>
      </c>
      <c r="BT32" s="26">
        <f>IF(BT$6="","",IF(WEEKDAY(BT$6,1)=1,0,IF(WEEKDAY(BT$6,1)=7,BT30*BT29,MAX(0,BT30-8)*BT29)))</f>
      </c>
      <c r="BU32" s="26">
        <f>IF(BU$6="","",IF(WEEKDAY(BU$6,1)=1,0,IF(WEEKDAY(BU$6,1)=7,BU30*BU29,MAX(0,BU30-8)*BU29)))</f>
      </c>
      <c r="BV32" s="26">
        <f>IF(BV$6="","",IF(WEEKDAY(BV$6,1)=1,0,IF(WEEKDAY(BV$6,1)=7,BV30*BV29,MAX(0,BV30-8)*BV29)))</f>
      </c>
      <c r="BW32" s="26">
        <f>IF(BW$6="","",IF(WEEKDAY(BW$6,1)=1,0,IF(WEEKDAY(BW$6,1)=7,BW30*BW29,MAX(0,BW30-8)*BW29)))</f>
      </c>
      <c r="BX32" s="26">
        <f>IF(BX$6="","",IF(WEEKDAY(BX$6,1)=1,0,IF(WEEKDAY(BX$6,1)=7,BX30*BX29,MAX(0,BX30-8)*BX29)))</f>
      </c>
      <c r="BY32" s="26">
        <f>IF(BY$6="","",IF(WEEKDAY(BY$6,1)=1,0,IF(WEEKDAY(BY$6,1)=7,BY30*BY29,MAX(0,BY30-8)*BY29)))</f>
      </c>
      <c r="BZ32" s="26">
        <f>IF(BZ$6="","",IF(WEEKDAY(BZ$6,1)=1,0,IF(WEEKDAY(BZ$6,1)=7,BZ30*BZ29,MAX(0,BZ30-8)*BZ29)))</f>
      </c>
      <c r="CA32" s="26">
        <f>IF(CA$6="","",IF(WEEKDAY(CA$6,1)=1,0,IF(WEEKDAY(CA$6,1)=7,CA30*CA29,MAX(0,CA30-8)*CA29)))</f>
      </c>
      <c r="CB32" s="26">
        <f>IF(CB$6="","",IF(WEEKDAY(CB$6,1)=1,0,IF(WEEKDAY(CB$6,1)=7,CB30*CB29,MAX(0,CB30-8)*CB29)))</f>
      </c>
      <c r="CC32" s="26">
        <f>IF(CC$6="","",IF(WEEKDAY(CC$6,1)=1,0,IF(WEEKDAY(CC$6,1)=7,CC30*CC29,MAX(0,CC30-8)*CC29)))</f>
      </c>
      <c r="CD32" s="26">
        <f>IF(CD$6="","",IF(WEEKDAY(CD$6,1)=1,0,IF(WEEKDAY(CD$6,1)=7,CD30*CD29,MAX(0,CD30-8)*CD29)))</f>
      </c>
      <c r="CE32" s="26">
        <f>IF(CE$6="","",IF(WEEKDAY(CE$6,1)=1,0,IF(WEEKDAY(CE$6,1)=7,CE30*CE29,MAX(0,CE30-8)*CE29)))</f>
      </c>
      <c r="CF32" s="26">
        <f>IF(CF$6="","",IF(WEEKDAY(CF$6,1)=1,0,IF(WEEKDAY(CF$6,1)=7,CF30*CF29,MAX(0,CF30-8)*CF29)))</f>
      </c>
      <c r="CG32" s="26">
        <f>IF(CG$6="","",IF(WEEKDAY(CG$6,1)=1,0,IF(WEEKDAY(CG$6,1)=7,CG30*CG29,MAX(0,CG30-8)*CG29)))</f>
      </c>
      <c r="CH32" s="26">
        <f>IF(CH$6="","",IF(WEEKDAY(CH$6,1)=1,0,IF(WEEKDAY(CH$6,1)=7,CH30*CH29,MAX(0,CH30-8)*CH29)))</f>
      </c>
      <c r="CI32" s="26">
        <f>IF(CI$6="","",IF(WEEKDAY(CI$6,1)=1,0,IF(WEEKDAY(CI$6,1)=7,CI30*CI29,MAX(0,CI30-8)*CI29)))</f>
      </c>
      <c r="CJ32" s="26">
        <f>IF(CJ$6="","",IF(WEEKDAY(CJ$6,1)=1,0,IF(WEEKDAY(CJ$6,1)=7,CJ30*CJ29,MAX(0,CJ30-8)*CJ29)))</f>
      </c>
      <c r="CK32" s="26">
        <f>IF(CK$6="","",IF(WEEKDAY(CK$6,1)=1,0,IF(WEEKDAY(CK$6,1)=7,CK30*CK29,MAX(0,CK30-8)*CK29)))</f>
      </c>
      <c r="CL32" s="26">
        <f>IF(CL$6="","",IF(WEEKDAY(CL$6,1)=1,0,IF(WEEKDAY(CL$6,1)=7,CL30*CL29,MAX(0,CL30-8)*CL29)))</f>
      </c>
      <c r="CM32" s="26">
        <f>IF(CM$6="","",IF(WEEKDAY(CM$6,1)=1,0,IF(WEEKDAY(CM$6,1)=7,CM30*CM29,MAX(0,CM30-8)*CM29)))</f>
      </c>
      <c r="CN32" s="26">
        <f>IF(CN$6="","",IF(WEEKDAY(CN$6,1)=1,0,IF(WEEKDAY(CN$6,1)=7,CN30*CN29,MAX(0,CN30-8)*CN29)))</f>
      </c>
      <c r="CO32" s="26">
        <f>IF(CO$6="","",IF(WEEKDAY(CO$6,1)=1,0,IF(WEEKDAY(CO$6,1)=7,CO30*CO29,MAX(0,CO30-8)*CO29)))</f>
      </c>
      <c r="CP32" s="26">
        <f>IF(CP$6="","",IF(WEEKDAY(CP$6,1)=1,0,IF(WEEKDAY(CP$6,1)=7,CP30*CP29,MAX(0,CP30-8)*CP29)))</f>
      </c>
      <c r="CQ32" s="26">
        <f>IF(CQ$6="","",IF(WEEKDAY(CQ$6,1)=1,0,IF(WEEKDAY(CQ$6,1)=7,CQ30*CQ29,MAX(0,CQ30-8)*CQ29)))</f>
      </c>
      <c r="CR32" s="26">
        <f>IF(CR$6="","",IF(WEEKDAY(CR$6,1)=1,0,IF(WEEKDAY(CR$6,1)=7,CR30*CR29,MAX(0,CR30-8)*CR29)))</f>
      </c>
      <c r="CS32" s="26">
        <f>IF(CS$6="","",IF(WEEKDAY(CS$6,1)=1,0,IF(WEEKDAY(CS$6,1)=7,CS30*CS29,MAX(0,CS30-8)*CS29)))</f>
      </c>
      <c r="CT32" s="26">
        <f>IF(CT$6="","",IF(WEEKDAY(CT$6,1)=1,0,IF(WEEKDAY(CT$6,1)=7,CT30*CT29,MAX(0,CT30-8)*CT29)))</f>
      </c>
      <c r="CU32" s="26">
        <f>IF(CU$6="","",IF(WEEKDAY(CU$6,1)=1,0,IF(WEEKDAY(CU$6,1)=7,CU30*CU29,MAX(0,CU30-8)*CU29)))</f>
      </c>
      <c r="CV32" s="26">
        <f>IF(CV$6="","",IF(WEEKDAY(CV$6,1)=1,0,IF(WEEKDAY(CV$6,1)=7,CV30*CV29,MAX(0,CV30-8)*CV29)))</f>
      </c>
      <c r="CW32" s="26">
        <f>IF(CW$6="","",IF(WEEKDAY(CW$6,1)=1,0,IF(WEEKDAY(CW$6,1)=7,CW30*CW29,MAX(0,CW30-8)*CW29)))</f>
      </c>
      <c r="CX32" s="8" t="s">
        <v>99</v>
      </c>
    </row>
    <row r="33" spans="2:102" x14ac:dyDescent="0.25">
      <c r="B33" s="26">
        <f>SUM(L33:CW33)</f>
      </c>
      <c r="D33" s="27">
        <f>B33*E33</f>
      </c>
      <c r="E33" s="27">
        <f>'Rate Tables'!E26</f>
      </c>
      <c r="F33" s="8" t="s">
        <v>41</v>
      </c>
      <c r="L33" s="26">
        <f>IF(L$6="","",IF(WEEKDAY(L$6,1)=1,L30*L29,0))</f>
      </c>
      <c r="M33" s="26">
        <f>IF(M$6="","",IF(WEEKDAY(M$6,1)=1,M30*M29,0))</f>
      </c>
      <c r="N33" s="26">
        <f>IF(N$6="","",IF(WEEKDAY(N$6,1)=1,N30*N29,0))</f>
      </c>
      <c r="O33" s="26">
        <f>IF(O$6="","",IF(WEEKDAY(O$6,1)=1,O30*O29,0))</f>
      </c>
      <c r="P33" s="26">
        <f>IF(P$6="","",IF(WEEKDAY(P$6,1)=1,P30*P29,0))</f>
      </c>
      <c r="Q33" s="26">
        <f>IF(Q$6="","",IF(WEEKDAY(Q$6,1)=1,Q30*Q29,0))</f>
      </c>
      <c r="R33" s="26">
        <f>IF(R$6="","",IF(WEEKDAY(R$6,1)=1,R30*R29,0))</f>
      </c>
      <c r="S33" s="26">
        <f>IF(S$6="","",IF(WEEKDAY(S$6,1)=1,S30*S29,0))</f>
      </c>
      <c r="T33" s="26">
        <f>IF(T$6="","",IF(WEEKDAY(T$6,1)=1,T30*T29,0))</f>
      </c>
      <c r="U33" s="26">
        <f>IF(U$6="","",IF(WEEKDAY(U$6,1)=1,U30*U29,0))</f>
      </c>
      <c r="V33" s="26">
        <f>IF(V$6="","",IF(WEEKDAY(V$6,1)=1,V30*V29,0))</f>
      </c>
      <c r="W33" s="26">
        <f>IF(W$6="","",IF(WEEKDAY(W$6,1)=1,W30*W29,0))</f>
      </c>
      <c r="X33" s="26">
        <f>IF(X$6="","",IF(WEEKDAY(X$6,1)=1,X30*X29,0))</f>
      </c>
      <c r="Y33" s="26">
        <f>IF(Y$6="","",IF(WEEKDAY(Y$6,1)=1,Y30*Y29,0))</f>
      </c>
      <c r="Z33" s="26">
        <f>IF(Z$6="","",IF(WEEKDAY(Z$6,1)=1,Z30*Z29,0))</f>
      </c>
      <c r="AA33" s="26">
        <f>IF(AA$6="","",IF(WEEKDAY(AA$6,1)=1,AA30*AA29,0))</f>
      </c>
      <c r="AB33" s="26">
        <f>IF(AB$6="","",IF(WEEKDAY(AB$6,1)=1,AB30*AB29,0))</f>
      </c>
      <c r="AC33" s="26">
        <f>IF(AC$6="","",IF(WEEKDAY(AC$6,1)=1,AC30*AC29,0))</f>
      </c>
      <c r="AD33" s="26">
        <f>IF(AD$6="","",IF(WEEKDAY(AD$6,1)=1,AD30*AD29,0))</f>
      </c>
      <c r="AE33" s="26">
        <f>IF(AE$6="","",IF(WEEKDAY(AE$6,1)=1,AE30*AE29,0))</f>
      </c>
      <c r="AF33" s="26">
        <f>IF(AF$6="","",IF(WEEKDAY(AF$6,1)=1,AF30*AF29,0))</f>
      </c>
      <c r="AG33" s="26">
        <f>IF(AG$6="","",IF(WEEKDAY(AG$6,1)=1,AG30*AG29,0))</f>
      </c>
      <c r="AH33" s="26">
        <f>IF(AH$6="","",IF(WEEKDAY(AH$6,1)=1,AH30*AH29,0))</f>
      </c>
      <c r="AI33" s="26">
        <f>IF(AI$6="","",IF(WEEKDAY(AI$6,1)=1,AI30*AI29,0))</f>
      </c>
      <c r="AJ33" s="26">
        <f>IF(AJ$6="","",IF(WEEKDAY(AJ$6,1)=1,AJ30*AJ29,0))</f>
      </c>
      <c r="AK33" s="26">
        <f>IF(AK$6="","",IF(WEEKDAY(AK$6,1)=1,AK30*AK29,0))</f>
      </c>
      <c r="AL33" s="26">
        <f>IF(AL$6="","",IF(WEEKDAY(AL$6,1)=1,AL30*AL29,0))</f>
      </c>
      <c r="AM33" s="26">
        <f>IF(AM$6="","",IF(WEEKDAY(AM$6,1)=1,AM30*AM29,0))</f>
      </c>
      <c r="AN33" s="26">
        <f>IF(AN$6="","",IF(WEEKDAY(AN$6,1)=1,AN30*AN29,0))</f>
      </c>
      <c r="AO33" s="26">
        <f>IF(AO$6="","",IF(WEEKDAY(AO$6,1)=1,AO30*AO29,0))</f>
      </c>
      <c r="AP33" s="26">
        <f>IF(AP$6="","",IF(WEEKDAY(AP$6,1)=1,AP30*AP29,0))</f>
      </c>
      <c r="AQ33" s="26">
        <f>IF(AQ$6="","",IF(WEEKDAY(AQ$6,1)=1,AQ30*AQ29,0))</f>
      </c>
      <c r="AR33" s="26">
        <f>IF(AR$6="","",IF(WEEKDAY(AR$6,1)=1,AR30*AR29,0))</f>
      </c>
      <c r="AS33" s="26">
        <f>IF(AS$6="","",IF(WEEKDAY(AS$6,1)=1,AS30*AS29,0))</f>
      </c>
      <c r="AT33" s="26">
        <f>IF(AT$6="","",IF(WEEKDAY(AT$6,1)=1,AT30*AT29,0))</f>
      </c>
      <c r="AU33" s="26">
        <f>IF(AU$6="","",IF(WEEKDAY(AU$6,1)=1,AU30*AU29,0))</f>
      </c>
      <c r="AV33" s="26">
        <f>IF(AV$6="","",IF(WEEKDAY(AV$6,1)=1,AV30*AV29,0))</f>
      </c>
      <c r="AW33" s="26">
        <f>IF(AW$6="","",IF(WEEKDAY(AW$6,1)=1,AW30*AW29,0))</f>
      </c>
      <c r="AX33" s="26">
        <f>IF(AX$6="","",IF(WEEKDAY(AX$6,1)=1,AX30*AX29,0))</f>
      </c>
      <c r="AY33" s="26">
        <f>IF(AY$6="","",IF(WEEKDAY(AY$6,1)=1,AY30*AY29,0))</f>
      </c>
      <c r="AZ33" s="26">
        <f>IF(AZ$6="","",IF(WEEKDAY(AZ$6,1)=1,AZ30*AZ29,0))</f>
      </c>
      <c r="BA33" s="26">
        <f>IF(BA$6="","",IF(WEEKDAY(BA$6,1)=1,BA30*BA29,0))</f>
      </c>
      <c r="BB33" s="26">
        <f>IF(BB$6="","",IF(WEEKDAY(BB$6,1)=1,BB30*BB29,0))</f>
      </c>
      <c r="BC33" s="26">
        <f>IF(BC$6="","",IF(WEEKDAY(BC$6,1)=1,BC30*BC29,0))</f>
      </c>
      <c r="BD33" s="26">
        <f>IF(BD$6="","",IF(WEEKDAY(BD$6,1)=1,BD30*BD29,0))</f>
      </c>
      <c r="BE33" s="26">
        <f>IF(BE$6="","",IF(WEEKDAY(BE$6,1)=1,BE30*BE29,0))</f>
      </c>
      <c r="BF33" s="26">
        <f>IF(BF$6="","",IF(WEEKDAY(BF$6,1)=1,BF30*BF29,0))</f>
      </c>
      <c r="BG33" s="26">
        <f>IF(BG$6="","",IF(WEEKDAY(BG$6,1)=1,BG30*BG29,0))</f>
      </c>
      <c r="BH33" s="26">
        <f>IF(BH$6="","",IF(WEEKDAY(BH$6,1)=1,BH30*BH29,0))</f>
      </c>
      <c r="BI33" s="26">
        <f>IF(BI$6="","",IF(WEEKDAY(BI$6,1)=1,BI30*BI29,0))</f>
      </c>
      <c r="BJ33" s="26">
        <f>IF(BJ$6="","",IF(WEEKDAY(BJ$6,1)=1,BJ30*BJ29,0))</f>
      </c>
      <c r="BK33" s="26">
        <f>IF(BK$6="","",IF(WEEKDAY(BK$6,1)=1,BK30*BK29,0))</f>
      </c>
      <c r="BL33" s="26">
        <f>IF(BL$6="","",IF(WEEKDAY(BL$6,1)=1,BL30*BL29,0))</f>
      </c>
      <c r="BM33" s="26">
        <f>IF(BM$6="","",IF(WEEKDAY(BM$6,1)=1,BM30*BM29,0))</f>
      </c>
      <c r="BN33" s="26">
        <f>IF(BN$6="","",IF(WEEKDAY(BN$6,1)=1,BN30*BN29,0))</f>
      </c>
      <c r="BO33" s="26">
        <f>IF(BO$6="","",IF(WEEKDAY(BO$6,1)=1,BO30*BO29,0))</f>
      </c>
      <c r="BP33" s="26">
        <f>IF(BP$6="","",IF(WEEKDAY(BP$6,1)=1,BP30*BP29,0))</f>
      </c>
      <c r="BQ33" s="26">
        <f>IF(BQ$6="","",IF(WEEKDAY(BQ$6,1)=1,BQ30*BQ29,0))</f>
      </c>
      <c r="BR33" s="26">
        <f>IF(BR$6="","",IF(WEEKDAY(BR$6,1)=1,BR30*BR29,0))</f>
      </c>
      <c r="BS33" s="26">
        <f>IF(BS$6="","",IF(WEEKDAY(BS$6,1)=1,BS30*BS29,0))</f>
      </c>
      <c r="BT33" s="26">
        <f>IF(BT$6="","",IF(WEEKDAY(BT$6,1)=1,BT30*BT29,0))</f>
      </c>
      <c r="BU33" s="26">
        <f>IF(BU$6="","",IF(WEEKDAY(BU$6,1)=1,BU30*BU29,0))</f>
      </c>
      <c r="BV33" s="26">
        <f>IF(BV$6="","",IF(WEEKDAY(BV$6,1)=1,BV30*BV29,0))</f>
      </c>
      <c r="BW33" s="26">
        <f>IF(BW$6="","",IF(WEEKDAY(BW$6,1)=1,BW30*BW29,0))</f>
      </c>
      <c r="BX33" s="26">
        <f>IF(BX$6="","",IF(WEEKDAY(BX$6,1)=1,BX30*BX29,0))</f>
      </c>
      <c r="BY33" s="26">
        <f>IF(BY$6="","",IF(WEEKDAY(BY$6,1)=1,BY30*BY29,0))</f>
      </c>
      <c r="BZ33" s="26">
        <f>IF(BZ$6="","",IF(WEEKDAY(BZ$6,1)=1,BZ30*BZ29,0))</f>
      </c>
      <c r="CA33" s="26">
        <f>IF(CA$6="","",IF(WEEKDAY(CA$6,1)=1,CA30*CA29,0))</f>
      </c>
      <c r="CB33" s="26">
        <f>IF(CB$6="","",IF(WEEKDAY(CB$6,1)=1,CB30*CB29,0))</f>
      </c>
      <c r="CC33" s="26">
        <f>IF(CC$6="","",IF(WEEKDAY(CC$6,1)=1,CC30*CC29,0))</f>
      </c>
      <c r="CD33" s="26">
        <f>IF(CD$6="","",IF(WEEKDAY(CD$6,1)=1,CD30*CD29,0))</f>
      </c>
      <c r="CE33" s="26">
        <f>IF(CE$6="","",IF(WEEKDAY(CE$6,1)=1,CE30*CE29,0))</f>
      </c>
      <c r="CF33" s="26">
        <f>IF(CF$6="","",IF(WEEKDAY(CF$6,1)=1,CF30*CF29,0))</f>
      </c>
      <c r="CG33" s="26">
        <f>IF(CG$6="","",IF(WEEKDAY(CG$6,1)=1,CG30*CG29,0))</f>
      </c>
      <c r="CH33" s="26">
        <f>IF(CH$6="","",IF(WEEKDAY(CH$6,1)=1,CH30*CH29,0))</f>
      </c>
      <c r="CI33" s="26">
        <f>IF(CI$6="","",IF(WEEKDAY(CI$6,1)=1,CI30*CI29,0))</f>
      </c>
      <c r="CJ33" s="26">
        <f>IF(CJ$6="","",IF(WEEKDAY(CJ$6,1)=1,CJ30*CJ29,0))</f>
      </c>
      <c r="CK33" s="26">
        <f>IF(CK$6="","",IF(WEEKDAY(CK$6,1)=1,CK30*CK29,0))</f>
      </c>
      <c r="CL33" s="26">
        <f>IF(CL$6="","",IF(WEEKDAY(CL$6,1)=1,CL30*CL29,0))</f>
      </c>
      <c r="CM33" s="26">
        <f>IF(CM$6="","",IF(WEEKDAY(CM$6,1)=1,CM30*CM29,0))</f>
      </c>
      <c r="CN33" s="26">
        <f>IF(CN$6="","",IF(WEEKDAY(CN$6,1)=1,CN30*CN29,0))</f>
      </c>
      <c r="CO33" s="26">
        <f>IF(CO$6="","",IF(WEEKDAY(CO$6,1)=1,CO30*CO29,0))</f>
      </c>
      <c r="CP33" s="26">
        <f>IF(CP$6="","",IF(WEEKDAY(CP$6,1)=1,CP30*CP29,0))</f>
      </c>
      <c r="CQ33" s="26">
        <f>IF(CQ$6="","",IF(WEEKDAY(CQ$6,1)=1,CQ30*CQ29,0))</f>
      </c>
      <c r="CR33" s="26">
        <f>IF(CR$6="","",IF(WEEKDAY(CR$6,1)=1,CR30*CR29,0))</f>
      </c>
      <c r="CS33" s="26">
        <f>IF(CS$6="","",IF(WEEKDAY(CS$6,1)=1,CS30*CS29,0))</f>
      </c>
      <c r="CT33" s="26">
        <f>IF(CT$6="","",IF(WEEKDAY(CT$6,1)=1,CT30*CT29,0))</f>
      </c>
      <c r="CU33" s="26">
        <f>IF(CU$6="","",IF(WEEKDAY(CU$6,1)=1,CU30*CU29,0))</f>
      </c>
      <c r="CV33" s="26">
        <f>IF(CV$6="","",IF(WEEKDAY(CV$6,1)=1,CV30*CV29,0))</f>
      </c>
      <c r="CW33" s="26">
        <f>IF(CW$6="","",IF(WEEKDAY(CW$6,1)=1,CW30*CW29,0))</f>
      </c>
      <c r="CX33" s="8" t="s">
        <v>99</v>
      </c>
    </row>
    <row r="34" spans="2:102" x14ac:dyDescent="0.25">
      <c r="B34" s="26">
        <f>SUM(L34:CW34)</f>
      </c>
      <c r="D34" s="27">
        <f>B34*E34</f>
      </c>
      <c r="E34" s="27">
        <v>130</v>
      </c>
      <c r="F34" s="8" t="s">
        <v>42</v>
      </c>
      <c r="L34" s="28">
        <v>0</v>
      </c>
      <c r="M34" s="28">
        <v>0</v>
      </c>
      <c r="N34" s="28">
        <v>0</v>
      </c>
      <c r="O34" s="28">
        <v>0</v>
      </c>
      <c r="P34" s="28">
        <v>0</v>
      </c>
      <c r="Q34" s="28">
        <v>0</v>
      </c>
      <c r="R34" s="28">
        <v>0</v>
      </c>
      <c r="S34" s="28">
        <v>0</v>
      </c>
      <c r="T34" s="28">
        <v>0</v>
      </c>
      <c r="U34" s="28">
        <v>0</v>
      </c>
      <c r="V34" s="28">
        <v>0</v>
      </c>
      <c r="W34" s="28">
        <v>0</v>
      </c>
      <c r="X34" s="28">
        <v>0</v>
      </c>
      <c r="Y34" s="28">
        <v>0</v>
      </c>
      <c r="Z34" s="28">
        <v>0</v>
      </c>
      <c r="AA34" s="28">
        <v>0</v>
      </c>
      <c r="AB34" s="28">
        <v>0</v>
      </c>
      <c r="AC34" s="28">
        <v>0</v>
      </c>
      <c r="AD34" s="28">
        <v>0</v>
      </c>
      <c r="AE34" s="28">
        <v>0</v>
      </c>
      <c r="AF34" s="28">
        <v>0</v>
      </c>
      <c r="AG34" s="28">
        <v>0</v>
      </c>
      <c r="AH34" s="28">
        <v>0</v>
      </c>
      <c r="AI34" s="28">
        <v>0</v>
      </c>
      <c r="AJ34" s="28">
        <v>0</v>
      </c>
      <c r="AK34" s="28">
        <v>0</v>
      </c>
      <c r="AL34" s="28">
        <v>0</v>
      </c>
      <c r="AM34" s="28">
        <v>0</v>
      </c>
      <c r="AN34" s="28">
        <v>0</v>
      </c>
      <c r="AO34" s="28">
        <v>0</v>
      </c>
      <c r="AP34" s="28">
        <v>0</v>
      </c>
      <c r="AQ34" s="28">
        <v>0</v>
      </c>
      <c r="AR34" s="28">
        <v>0</v>
      </c>
      <c r="AS34" s="28">
        <v>0</v>
      </c>
      <c r="AT34" s="28">
        <v>0</v>
      </c>
      <c r="AU34" s="28">
        <v>0</v>
      </c>
      <c r="AV34" s="28">
        <v>0</v>
      </c>
      <c r="AW34" s="28">
        <v>0</v>
      </c>
      <c r="AX34" s="28">
        <v>0</v>
      </c>
      <c r="AY34" s="28">
        <v>0</v>
      </c>
      <c r="AZ34" s="28">
        <v>0</v>
      </c>
      <c r="BA34" s="28">
        <v>0</v>
      </c>
      <c r="BB34" s="28">
        <v>0</v>
      </c>
      <c r="BC34" s="28">
        <v>0</v>
      </c>
      <c r="BD34" s="28">
        <v>0</v>
      </c>
      <c r="BE34" s="28">
        <v>0</v>
      </c>
      <c r="BF34" s="28">
        <v>0</v>
      </c>
      <c r="BG34" s="28">
        <v>0</v>
      </c>
      <c r="BH34" s="28">
        <v>0</v>
      </c>
      <c r="BI34" s="28">
        <v>0</v>
      </c>
      <c r="BJ34" s="28">
        <v>0</v>
      </c>
      <c r="BK34" s="28">
        <v>0</v>
      </c>
      <c r="BL34" s="28">
        <v>0</v>
      </c>
      <c r="BM34" s="28">
        <v>0</v>
      </c>
      <c r="BN34" s="28">
        <v>0</v>
      </c>
      <c r="BO34" s="28">
        <v>0</v>
      </c>
      <c r="BP34" s="28">
        <v>0</v>
      </c>
      <c r="BQ34" s="28">
        <v>0</v>
      </c>
      <c r="BR34" s="28">
        <v>0</v>
      </c>
      <c r="BS34" s="28">
        <v>0</v>
      </c>
      <c r="BT34" s="28">
        <v>0</v>
      </c>
      <c r="BU34" s="28">
        <v>0</v>
      </c>
      <c r="BV34" s="28">
        <v>0</v>
      </c>
      <c r="BW34" s="28">
        <v>0</v>
      </c>
      <c r="BX34" s="28">
        <v>0</v>
      </c>
      <c r="BY34" s="28">
        <v>0</v>
      </c>
      <c r="BZ34" s="28">
        <v>0</v>
      </c>
      <c r="CA34" s="28">
        <v>0</v>
      </c>
      <c r="CB34" s="28">
        <v>0</v>
      </c>
      <c r="CC34" s="28">
        <v>0</v>
      </c>
      <c r="CD34" s="28">
        <v>0</v>
      </c>
      <c r="CE34" s="28">
        <v>0</v>
      </c>
      <c r="CF34" s="28">
        <v>0</v>
      </c>
      <c r="CG34" s="28">
        <v>0</v>
      </c>
      <c r="CH34" s="28">
        <v>0</v>
      </c>
      <c r="CI34" s="28">
        <v>0</v>
      </c>
      <c r="CJ34" s="28">
        <v>0</v>
      </c>
      <c r="CK34" s="28">
        <v>0</v>
      </c>
      <c r="CL34" s="28">
        <v>0</v>
      </c>
      <c r="CM34" s="28">
        <v>0</v>
      </c>
      <c r="CN34" s="28">
        <v>0</v>
      </c>
      <c r="CO34" s="28">
        <v>0</v>
      </c>
      <c r="CP34" s="28">
        <v>0</v>
      </c>
      <c r="CQ34" s="28">
        <v>0</v>
      </c>
      <c r="CR34" s="28">
        <v>0</v>
      </c>
      <c r="CS34" s="28">
        <v>0</v>
      </c>
      <c r="CT34" s="28">
        <v>0</v>
      </c>
      <c r="CU34" s="28">
        <v>0</v>
      </c>
      <c r="CV34" s="28">
        <v>0</v>
      </c>
      <c r="CW34" s="28">
        <v>0</v>
      </c>
      <c r="CX34" s="8" t="s">
        <v>99</v>
      </c>
    </row>
    <row r="35" spans="1:102" x14ac:dyDescent="0.25">
      <c r="A35" s="20" t="s">
        <v>32</v>
      </c>
      <c r="B35" s="21">
        <f>G35+H35+I35</f>
      </c>
      <c r="C35" s="20" t="s">
        <v>100</v>
      </c>
      <c r="D35" s="22">
        <f>K35</f>
      </c>
      <c r="F35" s="20" t="s">
        <v>34</v>
      </c>
      <c r="G35" s="21">
        <f>B38</f>
      </c>
      <c r="H35" s="21">
        <f>B39</f>
      </c>
      <c r="I35" s="21">
        <f>B40</f>
      </c>
      <c r="J35" s="21">
        <f>B41</f>
      </c>
      <c r="K35" s="22">
        <f>D38+D39+D40</f>
      </c>
      <c r="CX35" s="20" t="s">
        <v>101</v>
      </c>
    </row>
    <row r="36" spans="6:102" x14ac:dyDescent="0.25">
      <c r="F36" s="23" t="s">
        <v>36</v>
      </c>
      <c r="L36" s="24">
        <v>1</v>
      </c>
      <c r="M36" s="24">
        <v>1</v>
      </c>
      <c r="N36" s="24">
        <v>1</v>
      </c>
      <c r="O36" s="24">
        <v>1</v>
      </c>
      <c r="P36" s="24">
        <v>1</v>
      </c>
      <c r="Q36" s="24">
        <v>0</v>
      </c>
      <c r="R36" s="24">
        <v>0</v>
      </c>
      <c r="S36" s="24">
        <v>1</v>
      </c>
      <c r="T36" s="24">
        <v>1</v>
      </c>
      <c r="U36" s="24">
        <v>1</v>
      </c>
      <c r="V36" s="24">
        <v>1</v>
      </c>
      <c r="W36" s="24">
        <v>1</v>
      </c>
      <c r="X36" s="24">
        <v>0</v>
      </c>
      <c r="Y36" s="24">
        <v>0</v>
      </c>
      <c r="Z36" s="24">
        <v>1</v>
      </c>
      <c r="AA36" s="24">
        <v>1</v>
      </c>
      <c r="AB36" s="24">
        <v>1</v>
      </c>
      <c r="AC36" s="24">
        <v>1</v>
      </c>
      <c r="AD36" s="24">
        <v>1</v>
      </c>
      <c r="AE36" s="24">
        <v>0</v>
      </c>
      <c r="AF36" s="24">
        <v>0</v>
      </c>
      <c r="AG36" s="24">
        <v>1</v>
      </c>
      <c r="AH36" s="24">
        <v>1</v>
      </c>
      <c r="AI36" s="24">
        <v>1</v>
      </c>
      <c r="AJ36" s="24">
        <v>1</v>
      </c>
      <c r="AK36" s="24">
        <v>1</v>
      </c>
      <c r="AL36" s="24">
        <v>0</v>
      </c>
      <c r="AM36" s="24">
        <v>0</v>
      </c>
      <c r="AN36" s="24">
        <v>1</v>
      </c>
      <c r="AO36" s="24">
        <v>1</v>
      </c>
      <c r="AP36" s="24">
        <v>1</v>
      </c>
      <c r="AQ36" s="24">
        <v>1</v>
      </c>
      <c r="AR36" s="24">
        <v>1</v>
      </c>
      <c r="AS36" s="24">
        <v>0</v>
      </c>
      <c r="AT36" s="24">
        <v>0</v>
      </c>
      <c r="AU36" s="24">
        <v>1</v>
      </c>
      <c r="AV36" s="24">
        <v>1</v>
      </c>
      <c r="AW36" s="24">
        <v>1</v>
      </c>
      <c r="AX36" s="24">
        <v>1</v>
      </c>
      <c r="AY36" s="24">
        <v>1</v>
      </c>
      <c r="AZ36" s="24">
        <v>0</v>
      </c>
      <c r="BA36" s="24">
        <v>0</v>
      </c>
      <c r="BB36" s="24">
        <v>1</v>
      </c>
      <c r="BC36" s="24">
        <v>1</v>
      </c>
      <c r="BD36" s="24">
        <v>1</v>
      </c>
      <c r="BE36" s="24">
        <v>1</v>
      </c>
      <c r="BF36" s="24">
        <v>1</v>
      </c>
      <c r="BG36" s="24">
        <v>0</v>
      </c>
      <c r="BH36" s="24">
        <v>0</v>
      </c>
      <c r="BI36" s="24">
        <v>1</v>
      </c>
      <c r="BJ36" s="24">
        <v>1</v>
      </c>
      <c r="BK36" s="24">
        <v>1</v>
      </c>
      <c r="BL36" s="24">
        <v>1</v>
      </c>
      <c r="BM36" s="24">
        <v>1</v>
      </c>
      <c r="BN36" s="24">
        <v>1</v>
      </c>
      <c r="BO36" s="24">
        <v>1</v>
      </c>
      <c r="BP36" s="24">
        <v>1</v>
      </c>
      <c r="BQ36" s="24">
        <v>1</v>
      </c>
      <c r="BR36" s="24">
        <v>1</v>
      </c>
      <c r="BS36" s="24">
        <v>1</v>
      </c>
      <c r="BT36" s="24">
        <v>1</v>
      </c>
      <c r="BU36" s="24">
        <v>1</v>
      </c>
      <c r="BV36" s="24">
        <v>1</v>
      </c>
      <c r="BW36" s="24">
        <v>1</v>
      </c>
      <c r="BX36" s="24">
        <v>1</v>
      </c>
      <c r="BY36" s="24">
        <v>1</v>
      </c>
      <c r="BZ36" s="24">
        <v>1</v>
      </c>
      <c r="CA36" s="24">
        <v>1</v>
      </c>
      <c r="CB36" s="24">
        <v>1</v>
      </c>
      <c r="CC36" s="24">
        <v>0</v>
      </c>
      <c r="CD36" s="24">
        <v>1</v>
      </c>
      <c r="CE36" s="24">
        <v>1</v>
      </c>
      <c r="CF36" s="24">
        <v>1</v>
      </c>
      <c r="CG36" s="24">
        <v>1</v>
      </c>
      <c r="CH36" s="24">
        <v>1</v>
      </c>
      <c r="CI36" s="24">
        <v>1</v>
      </c>
      <c r="CJ36" s="24">
        <v>1</v>
      </c>
      <c r="CK36" s="24">
        <v>1</v>
      </c>
      <c r="CL36" s="24">
        <v>1</v>
      </c>
      <c r="CM36" s="24">
        <v>1</v>
      </c>
      <c r="CN36" s="24">
        <v>1</v>
      </c>
      <c r="CO36" s="24">
        <v>1</v>
      </c>
      <c r="CP36" s="24">
        <v>1</v>
      </c>
      <c r="CQ36" s="24">
        <v>0</v>
      </c>
      <c r="CR36" s="24">
        <v>1</v>
      </c>
      <c r="CS36" s="24">
        <v>1</v>
      </c>
      <c r="CT36" s="24">
        <v>1</v>
      </c>
      <c r="CU36" s="24">
        <v>1</v>
      </c>
      <c r="CV36" s="24">
        <v>1</v>
      </c>
      <c r="CW36" s="24">
        <v>1</v>
      </c>
      <c r="CX36" s="23" t="s">
        <v>101</v>
      </c>
    </row>
    <row r="37" spans="1:102" x14ac:dyDescent="0.25">
      <c r="A37" s="23" t="s">
        <v>37</v>
      </c>
      <c r="F37" s="23" t="s">
        <v>38</v>
      </c>
      <c r="L37" s="25">
        <v>9</v>
      </c>
      <c r="M37" s="25">
        <v>9</v>
      </c>
      <c r="N37" s="25">
        <v>9</v>
      </c>
      <c r="O37" s="25">
        <v>9</v>
      </c>
      <c r="P37" s="25">
        <v>9</v>
      </c>
      <c r="Q37" s="25">
        <v>0</v>
      </c>
      <c r="R37" s="25">
        <v>0</v>
      </c>
      <c r="S37" s="25">
        <v>9</v>
      </c>
      <c r="T37" s="25">
        <v>9</v>
      </c>
      <c r="U37" s="25">
        <v>9</v>
      </c>
      <c r="V37" s="25">
        <v>9</v>
      </c>
      <c r="W37" s="25">
        <v>9</v>
      </c>
      <c r="X37" s="25">
        <v>0</v>
      </c>
      <c r="Y37" s="25">
        <v>0</v>
      </c>
      <c r="Z37" s="25">
        <v>9</v>
      </c>
      <c r="AA37" s="25">
        <v>9</v>
      </c>
      <c r="AB37" s="25">
        <v>9</v>
      </c>
      <c r="AC37" s="25">
        <v>9</v>
      </c>
      <c r="AD37" s="25">
        <v>9</v>
      </c>
      <c r="AE37" s="25">
        <v>0</v>
      </c>
      <c r="AF37" s="25">
        <v>0</v>
      </c>
      <c r="AG37" s="25">
        <v>9</v>
      </c>
      <c r="AH37" s="25">
        <v>9</v>
      </c>
      <c r="AI37" s="25">
        <v>9</v>
      </c>
      <c r="AJ37" s="25">
        <v>9</v>
      </c>
      <c r="AK37" s="25">
        <v>9</v>
      </c>
      <c r="AL37" s="25">
        <v>0</v>
      </c>
      <c r="AM37" s="25">
        <v>0</v>
      </c>
      <c r="AN37" s="25">
        <v>9</v>
      </c>
      <c r="AO37" s="25">
        <v>9</v>
      </c>
      <c r="AP37" s="25">
        <v>9</v>
      </c>
      <c r="AQ37" s="25">
        <v>9</v>
      </c>
      <c r="AR37" s="25">
        <v>9</v>
      </c>
      <c r="AS37" s="25">
        <v>0</v>
      </c>
      <c r="AT37" s="25">
        <v>0</v>
      </c>
      <c r="AU37" s="25">
        <v>9</v>
      </c>
      <c r="AV37" s="25">
        <v>9</v>
      </c>
      <c r="AW37" s="25">
        <v>9</v>
      </c>
      <c r="AX37" s="25">
        <v>9</v>
      </c>
      <c r="AY37" s="25">
        <v>9</v>
      </c>
      <c r="AZ37" s="25">
        <v>0</v>
      </c>
      <c r="BA37" s="25">
        <v>0</v>
      </c>
      <c r="BB37" s="25">
        <v>9</v>
      </c>
      <c r="BC37" s="25">
        <v>9</v>
      </c>
      <c r="BD37" s="25">
        <v>9</v>
      </c>
      <c r="BE37" s="25">
        <v>9</v>
      </c>
      <c r="BF37" s="25">
        <v>9</v>
      </c>
      <c r="BG37" s="25">
        <v>0</v>
      </c>
      <c r="BH37" s="25">
        <v>0</v>
      </c>
      <c r="BI37" s="25">
        <v>11</v>
      </c>
      <c r="BJ37" s="25">
        <v>11</v>
      </c>
      <c r="BK37" s="25">
        <v>11</v>
      </c>
      <c r="BL37" s="25">
        <v>11</v>
      </c>
      <c r="BM37" s="25">
        <v>11</v>
      </c>
      <c r="BN37" s="25">
        <v>11</v>
      </c>
      <c r="BO37" s="25">
        <v>11</v>
      </c>
      <c r="BP37" s="25">
        <v>11</v>
      </c>
      <c r="BQ37" s="25">
        <v>11</v>
      </c>
      <c r="BR37" s="25">
        <v>11</v>
      </c>
      <c r="BS37" s="25">
        <v>11</v>
      </c>
      <c r="BT37" s="25">
        <v>11</v>
      </c>
      <c r="BU37" s="25">
        <v>11</v>
      </c>
      <c r="BV37" s="25">
        <v>11</v>
      </c>
      <c r="BW37" s="25">
        <v>11</v>
      </c>
      <c r="BX37" s="25">
        <v>11</v>
      </c>
      <c r="BY37" s="25">
        <v>11</v>
      </c>
      <c r="BZ37" s="25">
        <v>11</v>
      </c>
      <c r="CA37" s="25">
        <v>11</v>
      </c>
      <c r="CB37" s="25">
        <v>11</v>
      </c>
      <c r="CC37" s="25">
        <v>0</v>
      </c>
      <c r="CD37" s="25">
        <v>11</v>
      </c>
      <c r="CE37" s="25">
        <v>11</v>
      </c>
      <c r="CF37" s="25">
        <v>11</v>
      </c>
      <c r="CG37" s="25">
        <v>11</v>
      </c>
      <c r="CH37" s="25">
        <v>11</v>
      </c>
      <c r="CI37" s="25">
        <v>11</v>
      </c>
      <c r="CJ37" s="25">
        <v>11</v>
      </c>
      <c r="CK37" s="25">
        <v>11</v>
      </c>
      <c r="CL37" s="25">
        <v>11</v>
      </c>
      <c r="CM37" s="25">
        <v>11</v>
      </c>
      <c r="CN37" s="25">
        <v>11</v>
      </c>
      <c r="CO37" s="25">
        <v>11</v>
      </c>
      <c r="CP37" s="25">
        <v>11</v>
      </c>
      <c r="CQ37" s="25">
        <v>0</v>
      </c>
      <c r="CR37" s="25">
        <v>11</v>
      </c>
      <c r="CS37" s="25">
        <v>11</v>
      </c>
      <c r="CT37" s="25">
        <v>11</v>
      </c>
      <c r="CU37" s="25">
        <v>11</v>
      </c>
      <c r="CV37" s="25">
        <v>11</v>
      </c>
      <c r="CW37" s="25">
        <v>11</v>
      </c>
      <c r="CX37" s="23" t="s">
        <v>101</v>
      </c>
    </row>
    <row r="38" spans="2:102" x14ac:dyDescent="0.25">
      <c r="B38" s="26">
        <f>SUM(L38:CW38)</f>
      </c>
      <c r="D38" s="27">
        <f>B38*E38</f>
      </c>
      <c r="E38" s="27">
        <f>'Rate Tables'!C24</f>
      </c>
      <c r="F38" s="8" t="s">
        <v>39</v>
      </c>
      <c r="L38" s="26">
        <f>IF(L$6="","",IF(OR(WEEKDAY(L$6,1)=1,WEEKDAY(L$6,1)=7),0,MIN(8,L37)*L36))</f>
      </c>
      <c r="M38" s="26">
        <f>IF(M$6="","",IF(OR(WEEKDAY(M$6,1)=1,WEEKDAY(M$6,1)=7),0,MIN(8,M37)*M36))</f>
      </c>
      <c r="N38" s="26">
        <f>IF(N$6="","",IF(OR(WEEKDAY(N$6,1)=1,WEEKDAY(N$6,1)=7),0,MIN(8,N37)*N36))</f>
      </c>
      <c r="O38" s="26">
        <f>IF(O$6="","",IF(OR(WEEKDAY(O$6,1)=1,WEEKDAY(O$6,1)=7),0,MIN(8,O37)*O36))</f>
      </c>
      <c r="P38" s="26">
        <f>IF(P$6="","",IF(OR(WEEKDAY(P$6,1)=1,WEEKDAY(P$6,1)=7),0,MIN(8,P37)*P36))</f>
      </c>
      <c r="Q38" s="26">
        <f>IF(Q$6="","",IF(OR(WEEKDAY(Q$6,1)=1,WEEKDAY(Q$6,1)=7),0,MIN(8,Q37)*Q36))</f>
      </c>
      <c r="R38" s="26">
        <f>IF(R$6="","",IF(OR(WEEKDAY(R$6,1)=1,WEEKDAY(R$6,1)=7),0,MIN(8,R37)*R36))</f>
      </c>
      <c r="S38" s="26">
        <f>IF(S$6="","",IF(OR(WEEKDAY(S$6,1)=1,WEEKDAY(S$6,1)=7),0,MIN(8,S37)*S36))</f>
      </c>
      <c r="T38" s="26">
        <f>IF(T$6="","",IF(OR(WEEKDAY(T$6,1)=1,WEEKDAY(T$6,1)=7),0,MIN(8,T37)*T36))</f>
      </c>
      <c r="U38" s="26">
        <f>IF(U$6="","",IF(OR(WEEKDAY(U$6,1)=1,WEEKDAY(U$6,1)=7),0,MIN(8,U37)*U36))</f>
      </c>
      <c r="V38" s="26">
        <f>IF(V$6="","",IF(OR(WEEKDAY(V$6,1)=1,WEEKDAY(V$6,1)=7),0,MIN(8,V37)*V36))</f>
      </c>
      <c r="W38" s="26">
        <f>IF(W$6="","",IF(OR(WEEKDAY(W$6,1)=1,WEEKDAY(W$6,1)=7),0,MIN(8,W37)*W36))</f>
      </c>
      <c r="X38" s="26">
        <f>IF(X$6="","",IF(OR(WEEKDAY(X$6,1)=1,WEEKDAY(X$6,1)=7),0,MIN(8,X37)*X36))</f>
      </c>
      <c r="Y38" s="26">
        <f>IF(Y$6="","",IF(OR(WEEKDAY(Y$6,1)=1,WEEKDAY(Y$6,1)=7),0,MIN(8,Y37)*Y36))</f>
      </c>
      <c r="Z38" s="26">
        <f>IF(Z$6="","",IF(OR(WEEKDAY(Z$6,1)=1,WEEKDAY(Z$6,1)=7),0,MIN(8,Z37)*Z36))</f>
      </c>
      <c r="AA38" s="26">
        <f>IF(AA$6="","",IF(OR(WEEKDAY(AA$6,1)=1,WEEKDAY(AA$6,1)=7),0,MIN(8,AA37)*AA36))</f>
      </c>
      <c r="AB38" s="26">
        <f>IF(AB$6="","",IF(OR(WEEKDAY(AB$6,1)=1,WEEKDAY(AB$6,1)=7),0,MIN(8,AB37)*AB36))</f>
      </c>
      <c r="AC38" s="26">
        <f>IF(AC$6="","",IF(OR(WEEKDAY(AC$6,1)=1,WEEKDAY(AC$6,1)=7),0,MIN(8,AC37)*AC36))</f>
      </c>
      <c r="AD38" s="26">
        <f>IF(AD$6="","",IF(OR(WEEKDAY(AD$6,1)=1,WEEKDAY(AD$6,1)=7),0,MIN(8,AD37)*AD36))</f>
      </c>
      <c r="AE38" s="26">
        <f>IF(AE$6="","",IF(OR(WEEKDAY(AE$6,1)=1,WEEKDAY(AE$6,1)=7),0,MIN(8,AE37)*AE36))</f>
      </c>
      <c r="AF38" s="26">
        <f>IF(AF$6="","",IF(OR(WEEKDAY(AF$6,1)=1,WEEKDAY(AF$6,1)=7),0,MIN(8,AF37)*AF36))</f>
      </c>
      <c r="AG38" s="26">
        <f>IF(AG$6="","",IF(OR(WEEKDAY(AG$6,1)=1,WEEKDAY(AG$6,1)=7),0,MIN(8,AG37)*AG36))</f>
      </c>
      <c r="AH38" s="26">
        <f>IF(AH$6="","",IF(OR(WEEKDAY(AH$6,1)=1,WEEKDAY(AH$6,1)=7),0,MIN(8,AH37)*AH36))</f>
      </c>
      <c r="AI38" s="26">
        <f>IF(AI$6="","",IF(OR(WEEKDAY(AI$6,1)=1,WEEKDAY(AI$6,1)=7),0,MIN(8,AI37)*AI36))</f>
      </c>
      <c r="AJ38" s="26">
        <f>IF(AJ$6="","",IF(OR(WEEKDAY(AJ$6,1)=1,WEEKDAY(AJ$6,1)=7),0,MIN(8,AJ37)*AJ36))</f>
      </c>
      <c r="AK38" s="26">
        <f>IF(AK$6="","",IF(OR(WEEKDAY(AK$6,1)=1,WEEKDAY(AK$6,1)=7),0,MIN(8,AK37)*AK36))</f>
      </c>
      <c r="AL38" s="26">
        <f>IF(AL$6="","",IF(OR(WEEKDAY(AL$6,1)=1,WEEKDAY(AL$6,1)=7),0,MIN(8,AL37)*AL36))</f>
      </c>
      <c r="AM38" s="26">
        <f>IF(AM$6="","",IF(OR(WEEKDAY(AM$6,1)=1,WEEKDAY(AM$6,1)=7),0,MIN(8,AM37)*AM36))</f>
      </c>
      <c r="AN38" s="26">
        <f>IF(AN$6="","",IF(OR(WEEKDAY(AN$6,1)=1,WEEKDAY(AN$6,1)=7),0,MIN(8,AN37)*AN36))</f>
      </c>
      <c r="AO38" s="26">
        <f>IF(AO$6="","",IF(OR(WEEKDAY(AO$6,1)=1,WEEKDAY(AO$6,1)=7),0,MIN(8,AO37)*AO36))</f>
      </c>
      <c r="AP38" s="26">
        <f>IF(AP$6="","",IF(OR(WEEKDAY(AP$6,1)=1,WEEKDAY(AP$6,1)=7),0,MIN(8,AP37)*AP36))</f>
      </c>
      <c r="AQ38" s="26">
        <f>IF(AQ$6="","",IF(OR(WEEKDAY(AQ$6,1)=1,WEEKDAY(AQ$6,1)=7),0,MIN(8,AQ37)*AQ36))</f>
      </c>
      <c r="AR38" s="26">
        <f>IF(AR$6="","",IF(OR(WEEKDAY(AR$6,1)=1,WEEKDAY(AR$6,1)=7),0,MIN(8,AR37)*AR36))</f>
      </c>
      <c r="AS38" s="26">
        <f>IF(AS$6="","",IF(OR(WEEKDAY(AS$6,1)=1,WEEKDAY(AS$6,1)=7),0,MIN(8,AS37)*AS36))</f>
      </c>
      <c r="AT38" s="26">
        <f>IF(AT$6="","",IF(OR(WEEKDAY(AT$6,1)=1,WEEKDAY(AT$6,1)=7),0,MIN(8,AT37)*AT36))</f>
      </c>
      <c r="AU38" s="26">
        <f>IF(AU$6="","",IF(OR(WEEKDAY(AU$6,1)=1,WEEKDAY(AU$6,1)=7),0,MIN(8,AU37)*AU36))</f>
      </c>
      <c r="AV38" s="26">
        <f>IF(AV$6="","",IF(OR(WEEKDAY(AV$6,1)=1,WEEKDAY(AV$6,1)=7),0,MIN(8,AV37)*AV36))</f>
      </c>
      <c r="AW38" s="26">
        <f>IF(AW$6="","",IF(OR(WEEKDAY(AW$6,1)=1,WEEKDAY(AW$6,1)=7),0,MIN(8,AW37)*AW36))</f>
      </c>
      <c r="AX38" s="26">
        <f>IF(AX$6="","",IF(OR(WEEKDAY(AX$6,1)=1,WEEKDAY(AX$6,1)=7),0,MIN(8,AX37)*AX36))</f>
      </c>
      <c r="AY38" s="26">
        <f>IF(AY$6="","",IF(OR(WEEKDAY(AY$6,1)=1,WEEKDAY(AY$6,1)=7),0,MIN(8,AY37)*AY36))</f>
      </c>
      <c r="AZ38" s="26">
        <f>IF(AZ$6="","",IF(OR(WEEKDAY(AZ$6,1)=1,WEEKDAY(AZ$6,1)=7),0,MIN(8,AZ37)*AZ36))</f>
      </c>
      <c r="BA38" s="26">
        <f>IF(BA$6="","",IF(OR(WEEKDAY(BA$6,1)=1,WEEKDAY(BA$6,1)=7),0,MIN(8,BA37)*BA36))</f>
      </c>
      <c r="BB38" s="26">
        <f>IF(BB$6="","",IF(OR(WEEKDAY(BB$6,1)=1,WEEKDAY(BB$6,1)=7),0,MIN(8,BB37)*BB36))</f>
      </c>
      <c r="BC38" s="26">
        <f>IF(BC$6="","",IF(OR(WEEKDAY(BC$6,1)=1,WEEKDAY(BC$6,1)=7),0,MIN(8,BC37)*BC36))</f>
      </c>
      <c r="BD38" s="26">
        <f>IF(BD$6="","",IF(OR(WEEKDAY(BD$6,1)=1,WEEKDAY(BD$6,1)=7),0,MIN(8,BD37)*BD36))</f>
      </c>
      <c r="BE38" s="26">
        <f>IF(BE$6="","",IF(OR(WEEKDAY(BE$6,1)=1,WEEKDAY(BE$6,1)=7),0,MIN(8,BE37)*BE36))</f>
      </c>
      <c r="BF38" s="26">
        <f>IF(BF$6="","",IF(OR(WEEKDAY(BF$6,1)=1,WEEKDAY(BF$6,1)=7),0,MIN(8,BF37)*BF36))</f>
      </c>
      <c r="BG38" s="26">
        <f>IF(BG$6="","",IF(OR(WEEKDAY(BG$6,1)=1,WEEKDAY(BG$6,1)=7),0,MIN(8,BG37)*BG36))</f>
      </c>
      <c r="BH38" s="26">
        <f>IF(BH$6="","",IF(OR(WEEKDAY(BH$6,1)=1,WEEKDAY(BH$6,1)=7),0,MIN(8,BH37)*BH36))</f>
      </c>
      <c r="BI38" s="26">
        <f>IF(BI$6="","",IF(OR(WEEKDAY(BI$6,1)=1,WEEKDAY(BI$6,1)=7),0,MIN(8,BI37)*BI36))</f>
      </c>
      <c r="BJ38" s="26">
        <f>IF(BJ$6="","",IF(OR(WEEKDAY(BJ$6,1)=1,WEEKDAY(BJ$6,1)=7),0,MIN(8,BJ37)*BJ36))</f>
      </c>
      <c r="BK38" s="26">
        <f>IF(BK$6="","",IF(OR(WEEKDAY(BK$6,1)=1,WEEKDAY(BK$6,1)=7),0,MIN(8,BK37)*BK36))</f>
      </c>
      <c r="BL38" s="26">
        <f>IF(BL$6="","",IF(OR(WEEKDAY(BL$6,1)=1,WEEKDAY(BL$6,1)=7),0,MIN(8,BL37)*BL36))</f>
      </c>
      <c r="BM38" s="26">
        <f>IF(BM$6="","",IF(OR(WEEKDAY(BM$6,1)=1,WEEKDAY(BM$6,1)=7),0,MIN(8,BM37)*BM36))</f>
      </c>
      <c r="BN38" s="26">
        <f>IF(BN$6="","",IF(OR(WEEKDAY(BN$6,1)=1,WEEKDAY(BN$6,1)=7),0,MIN(8,BN37)*BN36))</f>
      </c>
      <c r="BO38" s="26">
        <f>IF(BO$6="","",IF(OR(WEEKDAY(BO$6,1)=1,WEEKDAY(BO$6,1)=7),0,MIN(8,BO37)*BO36))</f>
      </c>
      <c r="BP38" s="26">
        <f>IF(BP$6="","",IF(OR(WEEKDAY(BP$6,1)=1,WEEKDAY(BP$6,1)=7),0,MIN(8,BP37)*BP36))</f>
      </c>
      <c r="BQ38" s="26">
        <f>IF(BQ$6="","",IF(OR(WEEKDAY(BQ$6,1)=1,WEEKDAY(BQ$6,1)=7),0,MIN(8,BQ37)*BQ36))</f>
      </c>
      <c r="BR38" s="26">
        <f>IF(BR$6="","",IF(OR(WEEKDAY(BR$6,1)=1,WEEKDAY(BR$6,1)=7),0,MIN(8,BR37)*BR36))</f>
      </c>
      <c r="BS38" s="26">
        <f>IF(BS$6="","",IF(OR(WEEKDAY(BS$6,1)=1,WEEKDAY(BS$6,1)=7),0,MIN(8,BS37)*BS36))</f>
      </c>
      <c r="BT38" s="26">
        <f>IF(BT$6="","",IF(OR(WEEKDAY(BT$6,1)=1,WEEKDAY(BT$6,1)=7),0,MIN(8,BT37)*BT36))</f>
      </c>
      <c r="BU38" s="26">
        <f>IF(BU$6="","",IF(OR(WEEKDAY(BU$6,1)=1,WEEKDAY(BU$6,1)=7),0,MIN(8,BU37)*BU36))</f>
      </c>
      <c r="BV38" s="26">
        <f>IF(BV$6="","",IF(OR(WEEKDAY(BV$6,1)=1,WEEKDAY(BV$6,1)=7),0,MIN(8,BV37)*BV36))</f>
      </c>
      <c r="BW38" s="26">
        <f>IF(BW$6="","",IF(OR(WEEKDAY(BW$6,1)=1,WEEKDAY(BW$6,1)=7),0,MIN(8,BW37)*BW36))</f>
      </c>
      <c r="BX38" s="26">
        <f>IF(BX$6="","",IF(OR(WEEKDAY(BX$6,1)=1,WEEKDAY(BX$6,1)=7),0,MIN(8,BX37)*BX36))</f>
      </c>
      <c r="BY38" s="26">
        <f>IF(BY$6="","",IF(OR(WEEKDAY(BY$6,1)=1,WEEKDAY(BY$6,1)=7),0,MIN(8,BY37)*BY36))</f>
      </c>
      <c r="BZ38" s="26">
        <f>IF(BZ$6="","",IF(OR(WEEKDAY(BZ$6,1)=1,WEEKDAY(BZ$6,1)=7),0,MIN(8,BZ37)*BZ36))</f>
      </c>
      <c r="CA38" s="26">
        <f>IF(CA$6="","",IF(OR(WEEKDAY(CA$6,1)=1,WEEKDAY(CA$6,1)=7),0,MIN(8,CA37)*CA36))</f>
      </c>
      <c r="CB38" s="26">
        <f>IF(CB$6="","",IF(OR(WEEKDAY(CB$6,1)=1,WEEKDAY(CB$6,1)=7),0,MIN(8,CB37)*CB36))</f>
      </c>
      <c r="CC38" s="26">
        <f>IF(CC$6="","",IF(OR(WEEKDAY(CC$6,1)=1,WEEKDAY(CC$6,1)=7),0,MIN(8,CC37)*CC36))</f>
      </c>
      <c r="CD38" s="26">
        <f>IF(CD$6="","",IF(OR(WEEKDAY(CD$6,1)=1,WEEKDAY(CD$6,1)=7),0,MIN(8,CD37)*CD36))</f>
      </c>
      <c r="CE38" s="26">
        <f>IF(CE$6="","",IF(OR(WEEKDAY(CE$6,1)=1,WEEKDAY(CE$6,1)=7),0,MIN(8,CE37)*CE36))</f>
      </c>
      <c r="CF38" s="26">
        <f>IF(CF$6="","",IF(OR(WEEKDAY(CF$6,1)=1,WEEKDAY(CF$6,1)=7),0,MIN(8,CF37)*CF36))</f>
      </c>
      <c r="CG38" s="26">
        <f>IF(CG$6="","",IF(OR(WEEKDAY(CG$6,1)=1,WEEKDAY(CG$6,1)=7),0,MIN(8,CG37)*CG36))</f>
      </c>
      <c r="CH38" s="26">
        <f>IF(CH$6="","",IF(OR(WEEKDAY(CH$6,1)=1,WEEKDAY(CH$6,1)=7),0,MIN(8,CH37)*CH36))</f>
      </c>
      <c r="CI38" s="26">
        <f>IF(CI$6="","",IF(OR(WEEKDAY(CI$6,1)=1,WEEKDAY(CI$6,1)=7),0,MIN(8,CI37)*CI36))</f>
      </c>
      <c r="CJ38" s="26">
        <f>IF(CJ$6="","",IF(OR(WEEKDAY(CJ$6,1)=1,WEEKDAY(CJ$6,1)=7),0,MIN(8,CJ37)*CJ36))</f>
      </c>
      <c r="CK38" s="26">
        <f>IF(CK$6="","",IF(OR(WEEKDAY(CK$6,1)=1,WEEKDAY(CK$6,1)=7),0,MIN(8,CK37)*CK36))</f>
      </c>
      <c r="CL38" s="26">
        <f>IF(CL$6="","",IF(OR(WEEKDAY(CL$6,1)=1,WEEKDAY(CL$6,1)=7),0,MIN(8,CL37)*CL36))</f>
      </c>
      <c r="CM38" s="26">
        <f>IF(CM$6="","",IF(OR(WEEKDAY(CM$6,1)=1,WEEKDAY(CM$6,1)=7),0,MIN(8,CM37)*CM36))</f>
      </c>
      <c r="CN38" s="26">
        <f>IF(CN$6="","",IF(OR(WEEKDAY(CN$6,1)=1,WEEKDAY(CN$6,1)=7),0,MIN(8,CN37)*CN36))</f>
      </c>
      <c r="CO38" s="26">
        <f>IF(CO$6="","",IF(OR(WEEKDAY(CO$6,1)=1,WEEKDAY(CO$6,1)=7),0,MIN(8,CO37)*CO36))</f>
      </c>
      <c r="CP38" s="26">
        <f>IF(CP$6="","",IF(OR(WEEKDAY(CP$6,1)=1,WEEKDAY(CP$6,1)=7),0,MIN(8,CP37)*CP36))</f>
      </c>
      <c r="CQ38" s="26">
        <f>IF(CQ$6="","",IF(OR(WEEKDAY(CQ$6,1)=1,WEEKDAY(CQ$6,1)=7),0,MIN(8,CQ37)*CQ36))</f>
      </c>
      <c r="CR38" s="26">
        <f>IF(CR$6="","",IF(OR(WEEKDAY(CR$6,1)=1,WEEKDAY(CR$6,1)=7),0,MIN(8,CR37)*CR36))</f>
      </c>
      <c r="CS38" s="26">
        <f>IF(CS$6="","",IF(OR(WEEKDAY(CS$6,1)=1,WEEKDAY(CS$6,1)=7),0,MIN(8,CS37)*CS36))</f>
      </c>
      <c r="CT38" s="26">
        <f>IF(CT$6="","",IF(OR(WEEKDAY(CT$6,1)=1,WEEKDAY(CT$6,1)=7),0,MIN(8,CT37)*CT36))</f>
      </c>
      <c r="CU38" s="26">
        <f>IF(CU$6="","",IF(OR(WEEKDAY(CU$6,1)=1,WEEKDAY(CU$6,1)=7),0,MIN(8,CU37)*CU36))</f>
      </c>
      <c r="CV38" s="26">
        <f>IF(CV$6="","",IF(OR(WEEKDAY(CV$6,1)=1,WEEKDAY(CV$6,1)=7),0,MIN(8,CV37)*CV36))</f>
      </c>
      <c r="CW38" s="26">
        <f>IF(CW$6="","",IF(OR(WEEKDAY(CW$6,1)=1,WEEKDAY(CW$6,1)=7),0,MIN(8,CW37)*CW36))</f>
      </c>
      <c r="CX38" s="8" t="s">
        <v>101</v>
      </c>
    </row>
    <row r="39" spans="2:102" x14ac:dyDescent="0.25">
      <c r="B39" s="26">
        <f>SUM(L39:CW39)</f>
      </c>
      <c r="D39" s="27">
        <f>B39*E39</f>
      </c>
      <c r="E39" s="27">
        <f>'Rate Tables'!D24</f>
      </c>
      <c r="F39" s="8" t="s">
        <v>40</v>
      </c>
      <c r="L39" s="26">
        <f>IF(L$6="","",IF(WEEKDAY(L$6,1)=1,0,IF(WEEKDAY(L$6,1)=7,L37*L36,MAX(0,L37-8)*L36)))</f>
      </c>
      <c r="M39" s="26">
        <f>IF(M$6="","",IF(WEEKDAY(M$6,1)=1,0,IF(WEEKDAY(M$6,1)=7,M37*M36,MAX(0,M37-8)*M36)))</f>
      </c>
      <c r="N39" s="26">
        <f>IF(N$6="","",IF(WEEKDAY(N$6,1)=1,0,IF(WEEKDAY(N$6,1)=7,N37*N36,MAX(0,N37-8)*N36)))</f>
      </c>
      <c r="O39" s="26">
        <f>IF(O$6="","",IF(WEEKDAY(O$6,1)=1,0,IF(WEEKDAY(O$6,1)=7,O37*O36,MAX(0,O37-8)*O36)))</f>
      </c>
      <c r="P39" s="26">
        <f>IF(P$6="","",IF(WEEKDAY(P$6,1)=1,0,IF(WEEKDAY(P$6,1)=7,P37*P36,MAX(0,P37-8)*P36)))</f>
      </c>
      <c r="Q39" s="26">
        <f>IF(Q$6="","",IF(WEEKDAY(Q$6,1)=1,0,IF(WEEKDAY(Q$6,1)=7,Q37*Q36,MAX(0,Q37-8)*Q36)))</f>
      </c>
      <c r="R39" s="26">
        <f>IF(R$6="","",IF(WEEKDAY(R$6,1)=1,0,IF(WEEKDAY(R$6,1)=7,R37*R36,MAX(0,R37-8)*R36)))</f>
      </c>
      <c r="S39" s="26">
        <f>IF(S$6="","",IF(WEEKDAY(S$6,1)=1,0,IF(WEEKDAY(S$6,1)=7,S37*S36,MAX(0,S37-8)*S36)))</f>
      </c>
      <c r="T39" s="26">
        <f>IF(T$6="","",IF(WEEKDAY(T$6,1)=1,0,IF(WEEKDAY(T$6,1)=7,T37*T36,MAX(0,T37-8)*T36)))</f>
      </c>
      <c r="U39" s="26">
        <f>IF(U$6="","",IF(WEEKDAY(U$6,1)=1,0,IF(WEEKDAY(U$6,1)=7,U37*U36,MAX(0,U37-8)*U36)))</f>
      </c>
      <c r="V39" s="26">
        <f>IF(V$6="","",IF(WEEKDAY(V$6,1)=1,0,IF(WEEKDAY(V$6,1)=7,V37*V36,MAX(0,V37-8)*V36)))</f>
      </c>
      <c r="W39" s="26">
        <f>IF(W$6="","",IF(WEEKDAY(W$6,1)=1,0,IF(WEEKDAY(W$6,1)=7,W37*W36,MAX(0,W37-8)*W36)))</f>
      </c>
      <c r="X39" s="26">
        <f>IF(X$6="","",IF(WEEKDAY(X$6,1)=1,0,IF(WEEKDAY(X$6,1)=7,X37*X36,MAX(0,X37-8)*X36)))</f>
      </c>
      <c r="Y39" s="26">
        <f>IF(Y$6="","",IF(WEEKDAY(Y$6,1)=1,0,IF(WEEKDAY(Y$6,1)=7,Y37*Y36,MAX(0,Y37-8)*Y36)))</f>
      </c>
      <c r="Z39" s="26">
        <f>IF(Z$6="","",IF(WEEKDAY(Z$6,1)=1,0,IF(WEEKDAY(Z$6,1)=7,Z37*Z36,MAX(0,Z37-8)*Z36)))</f>
      </c>
      <c r="AA39" s="26">
        <f>IF(AA$6="","",IF(WEEKDAY(AA$6,1)=1,0,IF(WEEKDAY(AA$6,1)=7,AA37*AA36,MAX(0,AA37-8)*AA36)))</f>
      </c>
      <c r="AB39" s="26">
        <f>IF(AB$6="","",IF(WEEKDAY(AB$6,1)=1,0,IF(WEEKDAY(AB$6,1)=7,AB37*AB36,MAX(0,AB37-8)*AB36)))</f>
      </c>
      <c r="AC39" s="26">
        <f>IF(AC$6="","",IF(WEEKDAY(AC$6,1)=1,0,IF(WEEKDAY(AC$6,1)=7,AC37*AC36,MAX(0,AC37-8)*AC36)))</f>
      </c>
      <c r="AD39" s="26">
        <f>IF(AD$6="","",IF(WEEKDAY(AD$6,1)=1,0,IF(WEEKDAY(AD$6,1)=7,AD37*AD36,MAX(0,AD37-8)*AD36)))</f>
      </c>
      <c r="AE39" s="26">
        <f>IF(AE$6="","",IF(WEEKDAY(AE$6,1)=1,0,IF(WEEKDAY(AE$6,1)=7,AE37*AE36,MAX(0,AE37-8)*AE36)))</f>
      </c>
      <c r="AF39" s="26">
        <f>IF(AF$6="","",IF(WEEKDAY(AF$6,1)=1,0,IF(WEEKDAY(AF$6,1)=7,AF37*AF36,MAX(0,AF37-8)*AF36)))</f>
      </c>
      <c r="AG39" s="26">
        <f>IF(AG$6="","",IF(WEEKDAY(AG$6,1)=1,0,IF(WEEKDAY(AG$6,1)=7,AG37*AG36,MAX(0,AG37-8)*AG36)))</f>
      </c>
      <c r="AH39" s="26">
        <f>IF(AH$6="","",IF(WEEKDAY(AH$6,1)=1,0,IF(WEEKDAY(AH$6,1)=7,AH37*AH36,MAX(0,AH37-8)*AH36)))</f>
      </c>
      <c r="AI39" s="26">
        <f>IF(AI$6="","",IF(WEEKDAY(AI$6,1)=1,0,IF(WEEKDAY(AI$6,1)=7,AI37*AI36,MAX(0,AI37-8)*AI36)))</f>
      </c>
      <c r="AJ39" s="26">
        <f>IF(AJ$6="","",IF(WEEKDAY(AJ$6,1)=1,0,IF(WEEKDAY(AJ$6,1)=7,AJ37*AJ36,MAX(0,AJ37-8)*AJ36)))</f>
      </c>
      <c r="AK39" s="26">
        <f>IF(AK$6="","",IF(WEEKDAY(AK$6,1)=1,0,IF(WEEKDAY(AK$6,1)=7,AK37*AK36,MAX(0,AK37-8)*AK36)))</f>
      </c>
      <c r="AL39" s="26">
        <f>IF(AL$6="","",IF(WEEKDAY(AL$6,1)=1,0,IF(WEEKDAY(AL$6,1)=7,AL37*AL36,MAX(0,AL37-8)*AL36)))</f>
      </c>
      <c r="AM39" s="26">
        <f>IF(AM$6="","",IF(WEEKDAY(AM$6,1)=1,0,IF(WEEKDAY(AM$6,1)=7,AM37*AM36,MAX(0,AM37-8)*AM36)))</f>
      </c>
      <c r="AN39" s="26">
        <f>IF(AN$6="","",IF(WEEKDAY(AN$6,1)=1,0,IF(WEEKDAY(AN$6,1)=7,AN37*AN36,MAX(0,AN37-8)*AN36)))</f>
      </c>
      <c r="AO39" s="26">
        <f>IF(AO$6="","",IF(WEEKDAY(AO$6,1)=1,0,IF(WEEKDAY(AO$6,1)=7,AO37*AO36,MAX(0,AO37-8)*AO36)))</f>
      </c>
      <c r="AP39" s="26">
        <f>IF(AP$6="","",IF(WEEKDAY(AP$6,1)=1,0,IF(WEEKDAY(AP$6,1)=7,AP37*AP36,MAX(0,AP37-8)*AP36)))</f>
      </c>
      <c r="AQ39" s="26">
        <f>IF(AQ$6="","",IF(WEEKDAY(AQ$6,1)=1,0,IF(WEEKDAY(AQ$6,1)=7,AQ37*AQ36,MAX(0,AQ37-8)*AQ36)))</f>
      </c>
      <c r="AR39" s="26">
        <f>IF(AR$6="","",IF(WEEKDAY(AR$6,1)=1,0,IF(WEEKDAY(AR$6,1)=7,AR37*AR36,MAX(0,AR37-8)*AR36)))</f>
      </c>
      <c r="AS39" s="26">
        <f>IF(AS$6="","",IF(WEEKDAY(AS$6,1)=1,0,IF(WEEKDAY(AS$6,1)=7,AS37*AS36,MAX(0,AS37-8)*AS36)))</f>
      </c>
      <c r="AT39" s="26">
        <f>IF(AT$6="","",IF(WEEKDAY(AT$6,1)=1,0,IF(WEEKDAY(AT$6,1)=7,AT37*AT36,MAX(0,AT37-8)*AT36)))</f>
      </c>
      <c r="AU39" s="26">
        <f>IF(AU$6="","",IF(WEEKDAY(AU$6,1)=1,0,IF(WEEKDAY(AU$6,1)=7,AU37*AU36,MAX(0,AU37-8)*AU36)))</f>
      </c>
      <c r="AV39" s="26">
        <f>IF(AV$6="","",IF(WEEKDAY(AV$6,1)=1,0,IF(WEEKDAY(AV$6,1)=7,AV37*AV36,MAX(0,AV37-8)*AV36)))</f>
      </c>
      <c r="AW39" s="26">
        <f>IF(AW$6="","",IF(WEEKDAY(AW$6,1)=1,0,IF(WEEKDAY(AW$6,1)=7,AW37*AW36,MAX(0,AW37-8)*AW36)))</f>
      </c>
      <c r="AX39" s="26">
        <f>IF(AX$6="","",IF(WEEKDAY(AX$6,1)=1,0,IF(WEEKDAY(AX$6,1)=7,AX37*AX36,MAX(0,AX37-8)*AX36)))</f>
      </c>
      <c r="AY39" s="26">
        <f>IF(AY$6="","",IF(WEEKDAY(AY$6,1)=1,0,IF(WEEKDAY(AY$6,1)=7,AY37*AY36,MAX(0,AY37-8)*AY36)))</f>
      </c>
      <c r="AZ39" s="26">
        <f>IF(AZ$6="","",IF(WEEKDAY(AZ$6,1)=1,0,IF(WEEKDAY(AZ$6,1)=7,AZ37*AZ36,MAX(0,AZ37-8)*AZ36)))</f>
      </c>
      <c r="BA39" s="26">
        <f>IF(BA$6="","",IF(WEEKDAY(BA$6,1)=1,0,IF(WEEKDAY(BA$6,1)=7,BA37*BA36,MAX(0,BA37-8)*BA36)))</f>
      </c>
      <c r="BB39" s="26">
        <f>IF(BB$6="","",IF(WEEKDAY(BB$6,1)=1,0,IF(WEEKDAY(BB$6,1)=7,BB37*BB36,MAX(0,BB37-8)*BB36)))</f>
      </c>
      <c r="BC39" s="26">
        <f>IF(BC$6="","",IF(WEEKDAY(BC$6,1)=1,0,IF(WEEKDAY(BC$6,1)=7,BC37*BC36,MAX(0,BC37-8)*BC36)))</f>
      </c>
      <c r="BD39" s="26">
        <f>IF(BD$6="","",IF(WEEKDAY(BD$6,1)=1,0,IF(WEEKDAY(BD$6,1)=7,BD37*BD36,MAX(0,BD37-8)*BD36)))</f>
      </c>
      <c r="BE39" s="26">
        <f>IF(BE$6="","",IF(WEEKDAY(BE$6,1)=1,0,IF(WEEKDAY(BE$6,1)=7,BE37*BE36,MAX(0,BE37-8)*BE36)))</f>
      </c>
      <c r="BF39" s="26">
        <f>IF(BF$6="","",IF(WEEKDAY(BF$6,1)=1,0,IF(WEEKDAY(BF$6,1)=7,BF37*BF36,MAX(0,BF37-8)*BF36)))</f>
      </c>
      <c r="BG39" s="26">
        <f>IF(BG$6="","",IF(WEEKDAY(BG$6,1)=1,0,IF(WEEKDAY(BG$6,1)=7,BG37*BG36,MAX(0,BG37-8)*BG36)))</f>
      </c>
      <c r="BH39" s="26">
        <f>IF(BH$6="","",IF(WEEKDAY(BH$6,1)=1,0,IF(WEEKDAY(BH$6,1)=7,BH37*BH36,MAX(0,BH37-8)*BH36)))</f>
      </c>
      <c r="BI39" s="26">
        <f>IF(BI$6="","",IF(WEEKDAY(BI$6,1)=1,0,IF(WEEKDAY(BI$6,1)=7,BI37*BI36,MAX(0,BI37-8)*BI36)))</f>
      </c>
      <c r="BJ39" s="26">
        <f>IF(BJ$6="","",IF(WEEKDAY(BJ$6,1)=1,0,IF(WEEKDAY(BJ$6,1)=7,BJ37*BJ36,MAX(0,BJ37-8)*BJ36)))</f>
      </c>
      <c r="BK39" s="26">
        <f>IF(BK$6="","",IF(WEEKDAY(BK$6,1)=1,0,IF(WEEKDAY(BK$6,1)=7,BK37*BK36,MAX(0,BK37-8)*BK36)))</f>
      </c>
      <c r="BL39" s="26">
        <f>IF(BL$6="","",IF(WEEKDAY(BL$6,1)=1,0,IF(WEEKDAY(BL$6,1)=7,BL37*BL36,MAX(0,BL37-8)*BL36)))</f>
      </c>
      <c r="BM39" s="26">
        <f>IF(BM$6="","",IF(WEEKDAY(BM$6,1)=1,0,IF(WEEKDAY(BM$6,1)=7,BM37*BM36,MAX(0,BM37-8)*BM36)))</f>
      </c>
      <c r="BN39" s="26">
        <f>IF(BN$6="","",IF(WEEKDAY(BN$6,1)=1,0,IF(WEEKDAY(BN$6,1)=7,BN37*BN36,MAX(0,BN37-8)*BN36)))</f>
      </c>
      <c r="BO39" s="26">
        <f>IF(BO$6="","",IF(WEEKDAY(BO$6,1)=1,0,IF(WEEKDAY(BO$6,1)=7,BO37*BO36,MAX(0,BO37-8)*BO36)))</f>
      </c>
      <c r="BP39" s="26">
        <f>IF(BP$6="","",IF(WEEKDAY(BP$6,1)=1,0,IF(WEEKDAY(BP$6,1)=7,BP37*BP36,MAX(0,BP37-8)*BP36)))</f>
      </c>
      <c r="BQ39" s="26">
        <f>IF(BQ$6="","",IF(WEEKDAY(BQ$6,1)=1,0,IF(WEEKDAY(BQ$6,1)=7,BQ37*BQ36,MAX(0,BQ37-8)*BQ36)))</f>
      </c>
      <c r="BR39" s="26">
        <f>IF(BR$6="","",IF(WEEKDAY(BR$6,1)=1,0,IF(WEEKDAY(BR$6,1)=7,BR37*BR36,MAX(0,BR37-8)*BR36)))</f>
      </c>
      <c r="BS39" s="26">
        <f>IF(BS$6="","",IF(WEEKDAY(BS$6,1)=1,0,IF(WEEKDAY(BS$6,1)=7,BS37*BS36,MAX(0,BS37-8)*BS36)))</f>
      </c>
      <c r="BT39" s="26">
        <f>IF(BT$6="","",IF(WEEKDAY(BT$6,1)=1,0,IF(WEEKDAY(BT$6,1)=7,BT37*BT36,MAX(0,BT37-8)*BT36)))</f>
      </c>
      <c r="BU39" s="26">
        <f>IF(BU$6="","",IF(WEEKDAY(BU$6,1)=1,0,IF(WEEKDAY(BU$6,1)=7,BU37*BU36,MAX(0,BU37-8)*BU36)))</f>
      </c>
      <c r="BV39" s="26">
        <f>IF(BV$6="","",IF(WEEKDAY(BV$6,1)=1,0,IF(WEEKDAY(BV$6,1)=7,BV37*BV36,MAX(0,BV37-8)*BV36)))</f>
      </c>
      <c r="BW39" s="26">
        <f>IF(BW$6="","",IF(WEEKDAY(BW$6,1)=1,0,IF(WEEKDAY(BW$6,1)=7,BW37*BW36,MAX(0,BW37-8)*BW36)))</f>
      </c>
      <c r="BX39" s="26">
        <f>IF(BX$6="","",IF(WEEKDAY(BX$6,1)=1,0,IF(WEEKDAY(BX$6,1)=7,BX37*BX36,MAX(0,BX37-8)*BX36)))</f>
      </c>
      <c r="BY39" s="26">
        <f>IF(BY$6="","",IF(WEEKDAY(BY$6,1)=1,0,IF(WEEKDAY(BY$6,1)=7,BY37*BY36,MAX(0,BY37-8)*BY36)))</f>
      </c>
      <c r="BZ39" s="26">
        <f>IF(BZ$6="","",IF(WEEKDAY(BZ$6,1)=1,0,IF(WEEKDAY(BZ$6,1)=7,BZ37*BZ36,MAX(0,BZ37-8)*BZ36)))</f>
      </c>
      <c r="CA39" s="26">
        <f>IF(CA$6="","",IF(WEEKDAY(CA$6,1)=1,0,IF(WEEKDAY(CA$6,1)=7,CA37*CA36,MAX(0,CA37-8)*CA36)))</f>
      </c>
      <c r="CB39" s="26">
        <f>IF(CB$6="","",IF(WEEKDAY(CB$6,1)=1,0,IF(WEEKDAY(CB$6,1)=7,CB37*CB36,MAX(0,CB37-8)*CB36)))</f>
      </c>
      <c r="CC39" s="26">
        <f>IF(CC$6="","",IF(WEEKDAY(CC$6,1)=1,0,IF(WEEKDAY(CC$6,1)=7,CC37*CC36,MAX(0,CC37-8)*CC36)))</f>
      </c>
      <c r="CD39" s="26">
        <f>IF(CD$6="","",IF(WEEKDAY(CD$6,1)=1,0,IF(WEEKDAY(CD$6,1)=7,CD37*CD36,MAX(0,CD37-8)*CD36)))</f>
      </c>
      <c r="CE39" s="26">
        <f>IF(CE$6="","",IF(WEEKDAY(CE$6,1)=1,0,IF(WEEKDAY(CE$6,1)=7,CE37*CE36,MAX(0,CE37-8)*CE36)))</f>
      </c>
      <c r="CF39" s="26">
        <f>IF(CF$6="","",IF(WEEKDAY(CF$6,1)=1,0,IF(WEEKDAY(CF$6,1)=7,CF37*CF36,MAX(0,CF37-8)*CF36)))</f>
      </c>
      <c r="CG39" s="26">
        <f>IF(CG$6="","",IF(WEEKDAY(CG$6,1)=1,0,IF(WEEKDAY(CG$6,1)=7,CG37*CG36,MAX(0,CG37-8)*CG36)))</f>
      </c>
      <c r="CH39" s="26">
        <f>IF(CH$6="","",IF(WEEKDAY(CH$6,1)=1,0,IF(WEEKDAY(CH$6,1)=7,CH37*CH36,MAX(0,CH37-8)*CH36)))</f>
      </c>
      <c r="CI39" s="26">
        <f>IF(CI$6="","",IF(WEEKDAY(CI$6,1)=1,0,IF(WEEKDAY(CI$6,1)=7,CI37*CI36,MAX(0,CI37-8)*CI36)))</f>
      </c>
      <c r="CJ39" s="26">
        <f>IF(CJ$6="","",IF(WEEKDAY(CJ$6,1)=1,0,IF(WEEKDAY(CJ$6,1)=7,CJ37*CJ36,MAX(0,CJ37-8)*CJ36)))</f>
      </c>
      <c r="CK39" s="26">
        <f>IF(CK$6="","",IF(WEEKDAY(CK$6,1)=1,0,IF(WEEKDAY(CK$6,1)=7,CK37*CK36,MAX(0,CK37-8)*CK36)))</f>
      </c>
      <c r="CL39" s="26">
        <f>IF(CL$6="","",IF(WEEKDAY(CL$6,1)=1,0,IF(WEEKDAY(CL$6,1)=7,CL37*CL36,MAX(0,CL37-8)*CL36)))</f>
      </c>
      <c r="CM39" s="26">
        <f>IF(CM$6="","",IF(WEEKDAY(CM$6,1)=1,0,IF(WEEKDAY(CM$6,1)=7,CM37*CM36,MAX(0,CM37-8)*CM36)))</f>
      </c>
      <c r="CN39" s="26">
        <f>IF(CN$6="","",IF(WEEKDAY(CN$6,1)=1,0,IF(WEEKDAY(CN$6,1)=7,CN37*CN36,MAX(0,CN37-8)*CN36)))</f>
      </c>
      <c r="CO39" s="26">
        <f>IF(CO$6="","",IF(WEEKDAY(CO$6,1)=1,0,IF(WEEKDAY(CO$6,1)=7,CO37*CO36,MAX(0,CO37-8)*CO36)))</f>
      </c>
      <c r="CP39" s="26">
        <f>IF(CP$6="","",IF(WEEKDAY(CP$6,1)=1,0,IF(WEEKDAY(CP$6,1)=7,CP37*CP36,MAX(0,CP37-8)*CP36)))</f>
      </c>
      <c r="CQ39" s="26">
        <f>IF(CQ$6="","",IF(WEEKDAY(CQ$6,1)=1,0,IF(WEEKDAY(CQ$6,1)=7,CQ37*CQ36,MAX(0,CQ37-8)*CQ36)))</f>
      </c>
      <c r="CR39" s="26">
        <f>IF(CR$6="","",IF(WEEKDAY(CR$6,1)=1,0,IF(WEEKDAY(CR$6,1)=7,CR37*CR36,MAX(0,CR37-8)*CR36)))</f>
      </c>
      <c r="CS39" s="26">
        <f>IF(CS$6="","",IF(WEEKDAY(CS$6,1)=1,0,IF(WEEKDAY(CS$6,1)=7,CS37*CS36,MAX(0,CS37-8)*CS36)))</f>
      </c>
      <c r="CT39" s="26">
        <f>IF(CT$6="","",IF(WEEKDAY(CT$6,1)=1,0,IF(WEEKDAY(CT$6,1)=7,CT37*CT36,MAX(0,CT37-8)*CT36)))</f>
      </c>
      <c r="CU39" s="26">
        <f>IF(CU$6="","",IF(WEEKDAY(CU$6,1)=1,0,IF(WEEKDAY(CU$6,1)=7,CU37*CU36,MAX(0,CU37-8)*CU36)))</f>
      </c>
      <c r="CV39" s="26">
        <f>IF(CV$6="","",IF(WEEKDAY(CV$6,1)=1,0,IF(WEEKDAY(CV$6,1)=7,CV37*CV36,MAX(0,CV37-8)*CV36)))</f>
      </c>
      <c r="CW39" s="26">
        <f>IF(CW$6="","",IF(WEEKDAY(CW$6,1)=1,0,IF(WEEKDAY(CW$6,1)=7,CW37*CW36,MAX(0,CW37-8)*CW36)))</f>
      </c>
      <c r="CX39" s="8" t="s">
        <v>101</v>
      </c>
    </row>
    <row r="40" spans="2:102" x14ac:dyDescent="0.25">
      <c r="B40" s="26">
        <f>SUM(L40:CW40)</f>
      </c>
      <c r="D40" s="27">
        <f>B40*E40</f>
      </c>
      <c r="E40" s="27">
        <f>'Rate Tables'!E24</f>
      </c>
      <c r="F40" s="8" t="s">
        <v>41</v>
      </c>
      <c r="L40" s="26">
        <f>IF(L$6="","",IF(WEEKDAY(L$6,1)=1,L37*L36,0))</f>
      </c>
      <c r="M40" s="26">
        <f>IF(M$6="","",IF(WEEKDAY(M$6,1)=1,M37*M36,0))</f>
      </c>
      <c r="N40" s="26">
        <f>IF(N$6="","",IF(WEEKDAY(N$6,1)=1,N37*N36,0))</f>
      </c>
      <c r="O40" s="26">
        <f>IF(O$6="","",IF(WEEKDAY(O$6,1)=1,O37*O36,0))</f>
      </c>
      <c r="P40" s="26">
        <f>IF(P$6="","",IF(WEEKDAY(P$6,1)=1,P37*P36,0))</f>
      </c>
      <c r="Q40" s="26">
        <f>IF(Q$6="","",IF(WEEKDAY(Q$6,1)=1,Q37*Q36,0))</f>
      </c>
      <c r="R40" s="26">
        <f>IF(R$6="","",IF(WEEKDAY(R$6,1)=1,R37*R36,0))</f>
      </c>
      <c r="S40" s="26">
        <f>IF(S$6="","",IF(WEEKDAY(S$6,1)=1,S37*S36,0))</f>
      </c>
      <c r="T40" s="26">
        <f>IF(T$6="","",IF(WEEKDAY(T$6,1)=1,T37*T36,0))</f>
      </c>
      <c r="U40" s="26">
        <f>IF(U$6="","",IF(WEEKDAY(U$6,1)=1,U37*U36,0))</f>
      </c>
      <c r="V40" s="26">
        <f>IF(V$6="","",IF(WEEKDAY(V$6,1)=1,V37*V36,0))</f>
      </c>
      <c r="W40" s="26">
        <f>IF(W$6="","",IF(WEEKDAY(W$6,1)=1,W37*W36,0))</f>
      </c>
      <c r="X40" s="26">
        <f>IF(X$6="","",IF(WEEKDAY(X$6,1)=1,X37*X36,0))</f>
      </c>
      <c r="Y40" s="26">
        <f>IF(Y$6="","",IF(WEEKDAY(Y$6,1)=1,Y37*Y36,0))</f>
      </c>
      <c r="Z40" s="26">
        <f>IF(Z$6="","",IF(WEEKDAY(Z$6,1)=1,Z37*Z36,0))</f>
      </c>
      <c r="AA40" s="26">
        <f>IF(AA$6="","",IF(WEEKDAY(AA$6,1)=1,AA37*AA36,0))</f>
      </c>
      <c r="AB40" s="26">
        <f>IF(AB$6="","",IF(WEEKDAY(AB$6,1)=1,AB37*AB36,0))</f>
      </c>
      <c r="AC40" s="26">
        <f>IF(AC$6="","",IF(WEEKDAY(AC$6,1)=1,AC37*AC36,0))</f>
      </c>
      <c r="AD40" s="26">
        <f>IF(AD$6="","",IF(WEEKDAY(AD$6,1)=1,AD37*AD36,0))</f>
      </c>
      <c r="AE40" s="26">
        <f>IF(AE$6="","",IF(WEEKDAY(AE$6,1)=1,AE37*AE36,0))</f>
      </c>
      <c r="AF40" s="26">
        <f>IF(AF$6="","",IF(WEEKDAY(AF$6,1)=1,AF37*AF36,0))</f>
      </c>
      <c r="AG40" s="26">
        <f>IF(AG$6="","",IF(WEEKDAY(AG$6,1)=1,AG37*AG36,0))</f>
      </c>
      <c r="AH40" s="26">
        <f>IF(AH$6="","",IF(WEEKDAY(AH$6,1)=1,AH37*AH36,0))</f>
      </c>
      <c r="AI40" s="26">
        <f>IF(AI$6="","",IF(WEEKDAY(AI$6,1)=1,AI37*AI36,0))</f>
      </c>
      <c r="AJ40" s="26">
        <f>IF(AJ$6="","",IF(WEEKDAY(AJ$6,1)=1,AJ37*AJ36,0))</f>
      </c>
      <c r="AK40" s="26">
        <f>IF(AK$6="","",IF(WEEKDAY(AK$6,1)=1,AK37*AK36,0))</f>
      </c>
      <c r="AL40" s="26">
        <f>IF(AL$6="","",IF(WEEKDAY(AL$6,1)=1,AL37*AL36,0))</f>
      </c>
      <c r="AM40" s="26">
        <f>IF(AM$6="","",IF(WEEKDAY(AM$6,1)=1,AM37*AM36,0))</f>
      </c>
      <c r="AN40" s="26">
        <f>IF(AN$6="","",IF(WEEKDAY(AN$6,1)=1,AN37*AN36,0))</f>
      </c>
      <c r="AO40" s="26">
        <f>IF(AO$6="","",IF(WEEKDAY(AO$6,1)=1,AO37*AO36,0))</f>
      </c>
      <c r="AP40" s="26">
        <f>IF(AP$6="","",IF(WEEKDAY(AP$6,1)=1,AP37*AP36,0))</f>
      </c>
      <c r="AQ40" s="26">
        <f>IF(AQ$6="","",IF(WEEKDAY(AQ$6,1)=1,AQ37*AQ36,0))</f>
      </c>
      <c r="AR40" s="26">
        <f>IF(AR$6="","",IF(WEEKDAY(AR$6,1)=1,AR37*AR36,0))</f>
      </c>
      <c r="AS40" s="26">
        <f>IF(AS$6="","",IF(WEEKDAY(AS$6,1)=1,AS37*AS36,0))</f>
      </c>
      <c r="AT40" s="26">
        <f>IF(AT$6="","",IF(WEEKDAY(AT$6,1)=1,AT37*AT36,0))</f>
      </c>
      <c r="AU40" s="26">
        <f>IF(AU$6="","",IF(WEEKDAY(AU$6,1)=1,AU37*AU36,0))</f>
      </c>
      <c r="AV40" s="26">
        <f>IF(AV$6="","",IF(WEEKDAY(AV$6,1)=1,AV37*AV36,0))</f>
      </c>
      <c r="AW40" s="26">
        <f>IF(AW$6="","",IF(WEEKDAY(AW$6,1)=1,AW37*AW36,0))</f>
      </c>
      <c r="AX40" s="26">
        <f>IF(AX$6="","",IF(WEEKDAY(AX$6,1)=1,AX37*AX36,0))</f>
      </c>
      <c r="AY40" s="26">
        <f>IF(AY$6="","",IF(WEEKDAY(AY$6,1)=1,AY37*AY36,0))</f>
      </c>
      <c r="AZ40" s="26">
        <f>IF(AZ$6="","",IF(WEEKDAY(AZ$6,1)=1,AZ37*AZ36,0))</f>
      </c>
      <c r="BA40" s="26">
        <f>IF(BA$6="","",IF(WEEKDAY(BA$6,1)=1,BA37*BA36,0))</f>
      </c>
      <c r="BB40" s="26">
        <f>IF(BB$6="","",IF(WEEKDAY(BB$6,1)=1,BB37*BB36,0))</f>
      </c>
      <c r="BC40" s="26">
        <f>IF(BC$6="","",IF(WEEKDAY(BC$6,1)=1,BC37*BC36,0))</f>
      </c>
      <c r="BD40" s="26">
        <f>IF(BD$6="","",IF(WEEKDAY(BD$6,1)=1,BD37*BD36,0))</f>
      </c>
      <c r="BE40" s="26">
        <f>IF(BE$6="","",IF(WEEKDAY(BE$6,1)=1,BE37*BE36,0))</f>
      </c>
      <c r="BF40" s="26">
        <f>IF(BF$6="","",IF(WEEKDAY(BF$6,1)=1,BF37*BF36,0))</f>
      </c>
      <c r="BG40" s="26">
        <f>IF(BG$6="","",IF(WEEKDAY(BG$6,1)=1,BG37*BG36,0))</f>
      </c>
      <c r="BH40" s="26">
        <f>IF(BH$6="","",IF(WEEKDAY(BH$6,1)=1,BH37*BH36,0))</f>
      </c>
      <c r="BI40" s="26">
        <f>IF(BI$6="","",IF(WEEKDAY(BI$6,1)=1,BI37*BI36,0))</f>
      </c>
      <c r="BJ40" s="26">
        <f>IF(BJ$6="","",IF(WEEKDAY(BJ$6,1)=1,BJ37*BJ36,0))</f>
      </c>
      <c r="BK40" s="26">
        <f>IF(BK$6="","",IF(WEEKDAY(BK$6,1)=1,BK37*BK36,0))</f>
      </c>
      <c r="BL40" s="26">
        <f>IF(BL$6="","",IF(WEEKDAY(BL$6,1)=1,BL37*BL36,0))</f>
      </c>
      <c r="BM40" s="26">
        <f>IF(BM$6="","",IF(WEEKDAY(BM$6,1)=1,BM37*BM36,0))</f>
      </c>
      <c r="BN40" s="26">
        <f>IF(BN$6="","",IF(WEEKDAY(BN$6,1)=1,BN37*BN36,0))</f>
      </c>
      <c r="BO40" s="26">
        <f>IF(BO$6="","",IF(WEEKDAY(BO$6,1)=1,BO37*BO36,0))</f>
      </c>
      <c r="BP40" s="26">
        <f>IF(BP$6="","",IF(WEEKDAY(BP$6,1)=1,BP37*BP36,0))</f>
      </c>
      <c r="BQ40" s="26">
        <f>IF(BQ$6="","",IF(WEEKDAY(BQ$6,1)=1,BQ37*BQ36,0))</f>
      </c>
      <c r="BR40" s="26">
        <f>IF(BR$6="","",IF(WEEKDAY(BR$6,1)=1,BR37*BR36,0))</f>
      </c>
      <c r="BS40" s="26">
        <f>IF(BS$6="","",IF(WEEKDAY(BS$6,1)=1,BS37*BS36,0))</f>
      </c>
      <c r="BT40" s="26">
        <f>IF(BT$6="","",IF(WEEKDAY(BT$6,1)=1,BT37*BT36,0))</f>
      </c>
      <c r="BU40" s="26">
        <f>IF(BU$6="","",IF(WEEKDAY(BU$6,1)=1,BU37*BU36,0))</f>
      </c>
      <c r="BV40" s="26">
        <f>IF(BV$6="","",IF(WEEKDAY(BV$6,1)=1,BV37*BV36,0))</f>
      </c>
      <c r="BW40" s="26">
        <f>IF(BW$6="","",IF(WEEKDAY(BW$6,1)=1,BW37*BW36,0))</f>
      </c>
      <c r="BX40" s="26">
        <f>IF(BX$6="","",IF(WEEKDAY(BX$6,1)=1,BX37*BX36,0))</f>
      </c>
      <c r="BY40" s="26">
        <f>IF(BY$6="","",IF(WEEKDAY(BY$6,1)=1,BY37*BY36,0))</f>
      </c>
      <c r="BZ40" s="26">
        <f>IF(BZ$6="","",IF(WEEKDAY(BZ$6,1)=1,BZ37*BZ36,0))</f>
      </c>
      <c r="CA40" s="26">
        <f>IF(CA$6="","",IF(WEEKDAY(CA$6,1)=1,CA37*CA36,0))</f>
      </c>
      <c r="CB40" s="26">
        <f>IF(CB$6="","",IF(WEEKDAY(CB$6,1)=1,CB37*CB36,0))</f>
      </c>
      <c r="CC40" s="26">
        <f>IF(CC$6="","",IF(WEEKDAY(CC$6,1)=1,CC37*CC36,0))</f>
      </c>
      <c r="CD40" s="26">
        <f>IF(CD$6="","",IF(WEEKDAY(CD$6,1)=1,CD37*CD36,0))</f>
      </c>
      <c r="CE40" s="26">
        <f>IF(CE$6="","",IF(WEEKDAY(CE$6,1)=1,CE37*CE36,0))</f>
      </c>
      <c r="CF40" s="26">
        <f>IF(CF$6="","",IF(WEEKDAY(CF$6,1)=1,CF37*CF36,0))</f>
      </c>
      <c r="CG40" s="26">
        <f>IF(CG$6="","",IF(WEEKDAY(CG$6,1)=1,CG37*CG36,0))</f>
      </c>
      <c r="CH40" s="26">
        <f>IF(CH$6="","",IF(WEEKDAY(CH$6,1)=1,CH37*CH36,0))</f>
      </c>
      <c r="CI40" s="26">
        <f>IF(CI$6="","",IF(WEEKDAY(CI$6,1)=1,CI37*CI36,0))</f>
      </c>
      <c r="CJ40" s="26">
        <f>IF(CJ$6="","",IF(WEEKDAY(CJ$6,1)=1,CJ37*CJ36,0))</f>
      </c>
      <c r="CK40" s="26">
        <f>IF(CK$6="","",IF(WEEKDAY(CK$6,1)=1,CK37*CK36,0))</f>
      </c>
      <c r="CL40" s="26">
        <f>IF(CL$6="","",IF(WEEKDAY(CL$6,1)=1,CL37*CL36,0))</f>
      </c>
      <c r="CM40" s="26">
        <f>IF(CM$6="","",IF(WEEKDAY(CM$6,1)=1,CM37*CM36,0))</f>
      </c>
      <c r="CN40" s="26">
        <f>IF(CN$6="","",IF(WEEKDAY(CN$6,1)=1,CN37*CN36,0))</f>
      </c>
      <c r="CO40" s="26">
        <f>IF(CO$6="","",IF(WEEKDAY(CO$6,1)=1,CO37*CO36,0))</f>
      </c>
      <c r="CP40" s="26">
        <f>IF(CP$6="","",IF(WEEKDAY(CP$6,1)=1,CP37*CP36,0))</f>
      </c>
      <c r="CQ40" s="26">
        <f>IF(CQ$6="","",IF(WEEKDAY(CQ$6,1)=1,CQ37*CQ36,0))</f>
      </c>
      <c r="CR40" s="26">
        <f>IF(CR$6="","",IF(WEEKDAY(CR$6,1)=1,CR37*CR36,0))</f>
      </c>
      <c r="CS40" s="26">
        <f>IF(CS$6="","",IF(WEEKDAY(CS$6,1)=1,CS37*CS36,0))</f>
      </c>
      <c r="CT40" s="26">
        <f>IF(CT$6="","",IF(WEEKDAY(CT$6,1)=1,CT37*CT36,0))</f>
      </c>
      <c r="CU40" s="26">
        <f>IF(CU$6="","",IF(WEEKDAY(CU$6,1)=1,CU37*CU36,0))</f>
      </c>
      <c r="CV40" s="26">
        <f>IF(CV$6="","",IF(WEEKDAY(CV$6,1)=1,CV37*CV36,0))</f>
      </c>
      <c r="CW40" s="26">
        <f>IF(CW$6="","",IF(WEEKDAY(CW$6,1)=1,CW37*CW36,0))</f>
      </c>
      <c r="CX40" s="8" t="s">
        <v>101</v>
      </c>
    </row>
    <row r="41" spans="2:102" x14ac:dyDescent="0.25">
      <c r="B41" s="26">
        <f>SUM(L41:CW41)</f>
      </c>
      <c r="D41" s="27">
        <f>B41*E41</f>
      </c>
      <c r="E41" s="27">
        <v>130</v>
      </c>
      <c r="F41" s="8" t="s">
        <v>42</v>
      </c>
      <c r="L41" s="28">
        <v>1</v>
      </c>
      <c r="M41" s="28">
        <v>1</v>
      </c>
      <c r="N41" s="28">
        <v>1</v>
      </c>
      <c r="O41" s="28">
        <v>1</v>
      </c>
      <c r="P41" s="28">
        <v>1</v>
      </c>
      <c r="Q41" s="28">
        <v>0</v>
      </c>
      <c r="R41" s="28">
        <v>0</v>
      </c>
      <c r="S41" s="28">
        <v>1</v>
      </c>
      <c r="T41" s="28">
        <v>1</v>
      </c>
      <c r="U41" s="28">
        <v>1</v>
      </c>
      <c r="V41" s="28">
        <v>1</v>
      </c>
      <c r="W41" s="28">
        <v>1</v>
      </c>
      <c r="X41" s="28">
        <v>0</v>
      </c>
      <c r="Y41" s="28">
        <v>0</v>
      </c>
      <c r="Z41" s="28">
        <v>1</v>
      </c>
      <c r="AA41" s="28">
        <v>1</v>
      </c>
      <c r="AB41" s="28">
        <v>1</v>
      </c>
      <c r="AC41" s="28">
        <v>1</v>
      </c>
      <c r="AD41" s="28">
        <v>1</v>
      </c>
      <c r="AE41" s="28">
        <v>0</v>
      </c>
      <c r="AF41" s="28">
        <v>0</v>
      </c>
      <c r="AG41" s="28">
        <v>1</v>
      </c>
      <c r="AH41" s="28">
        <v>1</v>
      </c>
      <c r="AI41" s="28">
        <v>1</v>
      </c>
      <c r="AJ41" s="28">
        <v>1</v>
      </c>
      <c r="AK41" s="28">
        <v>1</v>
      </c>
      <c r="AL41" s="28">
        <v>0</v>
      </c>
      <c r="AM41" s="28">
        <v>0</v>
      </c>
      <c r="AN41" s="28">
        <v>1</v>
      </c>
      <c r="AO41" s="28">
        <v>1</v>
      </c>
      <c r="AP41" s="28">
        <v>1</v>
      </c>
      <c r="AQ41" s="28">
        <v>1</v>
      </c>
      <c r="AR41" s="28">
        <v>1</v>
      </c>
      <c r="AS41" s="28">
        <v>0</v>
      </c>
      <c r="AT41" s="28">
        <v>0</v>
      </c>
      <c r="AU41" s="28">
        <v>1</v>
      </c>
      <c r="AV41" s="28">
        <v>1</v>
      </c>
      <c r="AW41" s="28">
        <v>1</v>
      </c>
      <c r="AX41" s="28">
        <v>1</v>
      </c>
      <c r="AY41" s="28">
        <v>1</v>
      </c>
      <c r="AZ41" s="28">
        <v>0</v>
      </c>
      <c r="BA41" s="28">
        <v>0</v>
      </c>
      <c r="BB41" s="28">
        <v>1</v>
      </c>
      <c r="BC41" s="28">
        <v>1</v>
      </c>
      <c r="BD41" s="28">
        <v>1</v>
      </c>
      <c r="BE41" s="28">
        <v>1</v>
      </c>
      <c r="BF41" s="28">
        <v>1</v>
      </c>
      <c r="BG41" s="28">
        <v>0</v>
      </c>
      <c r="BH41" s="28">
        <v>0</v>
      </c>
      <c r="BI41" s="28">
        <v>1</v>
      </c>
      <c r="BJ41" s="28">
        <v>1</v>
      </c>
      <c r="BK41" s="28">
        <v>1</v>
      </c>
      <c r="BL41" s="28">
        <v>1</v>
      </c>
      <c r="BM41" s="28">
        <v>1</v>
      </c>
      <c r="BN41" s="28">
        <v>1</v>
      </c>
      <c r="BO41" s="28">
        <v>1</v>
      </c>
      <c r="BP41" s="28">
        <v>1</v>
      </c>
      <c r="BQ41" s="28">
        <v>1</v>
      </c>
      <c r="BR41" s="28">
        <v>1</v>
      </c>
      <c r="BS41" s="28">
        <v>1</v>
      </c>
      <c r="BT41" s="28">
        <v>1</v>
      </c>
      <c r="BU41" s="28">
        <v>1</v>
      </c>
      <c r="BV41" s="28">
        <v>1</v>
      </c>
      <c r="BW41" s="28">
        <v>1</v>
      </c>
      <c r="BX41" s="28">
        <v>1</v>
      </c>
      <c r="BY41" s="28">
        <v>1</v>
      </c>
      <c r="BZ41" s="28">
        <v>1</v>
      </c>
      <c r="CA41" s="28">
        <v>1</v>
      </c>
      <c r="CB41" s="28">
        <v>1</v>
      </c>
      <c r="CC41" s="28">
        <v>0</v>
      </c>
      <c r="CD41" s="28">
        <v>1</v>
      </c>
      <c r="CE41" s="28">
        <v>1</v>
      </c>
      <c r="CF41" s="28">
        <v>1</v>
      </c>
      <c r="CG41" s="28">
        <v>1</v>
      </c>
      <c r="CH41" s="28">
        <v>1</v>
      </c>
      <c r="CI41" s="28">
        <v>1</v>
      </c>
      <c r="CJ41" s="28">
        <v>1</v>
      </c>
      <c r="CK41" s="28">
        <v>1</v>
      </c>
      <c r="CL41" s="28">
        <v>1</v>
      </c>
      <c r="CM41" s="28">
        <v>1</v>
      </c>
      <c r="CN41" s="28">
        <v>1</v>
      </c>
      <c r="CO41" s="28">
        <v>1</v>
      </c>
      <c r="CP41" s="28">
        <v>1</v>
      </c>
      <c r="CQ41" s="28">
        <v>0</v>
      </c>
      <c r="CR41" s="28">
        <v>1</v>
      </c>
      <c r="CS41" s="28">
        <v>1</v>
      </c>
      <c r="CT41" s="28">
        <v>1</v>
      </c>
      <c r="CU41" s="28">
        <v>1</v>
      </c>
      <c r="CV41" s="28">
        <v>1</v>
      </c>
      <c r="CW41" s="28">
        <v>1</v>
      </c>
      <c r="CX41" s="8" t="s">
        <v>101</v>
      </c>
    </row>
    <row r="42" spans="1:102" x14ac:dyDescent="0.25">
      <c r="A42" s="20" t="s">
        <v>47</v>
      </c>
      <c r="B42" s="21">
        <f>G42+H42+I42</f>
      </c>
      <c r="C42" s="20" t="s">
        <v>100</v>
      </c>
      <c r="D42" s="22">
        <f>K42</f>
      </c>
      <c r="F42" s="20" t="s">
        <v>34</v>
      </c>
      <c r="G42" s="21">
        <f>B45</f>
      </c>
      <c r="H42" s="21">
        <f>B46</f>
      </c>
      <c r="I42" s="21">
        <f>B47</f>
      </c>
      <c r="J42" s="21">
        <f>B48</f>
      </c>
      <c r="K42" s="22">
        <f>D45+D46+D47</f>
      </c>
      <c r="CX42" s="20" t="s">
        <v>102</v>
      </c>
    </row>
    <row r="43" spans="6:102" x14ac:dyDescent="0.25">
      <c r="F43" s="23" t="s">
        <v>36</v>
      </c>
      <c r="L43" s="24">
        <v>0</v>
      </c>
      <c r="M43" s="24">
        <v>0</v>
      </c>
      <c r="N43" s="24">
        <v>0</v>
      </c>
      <c r="O43" s="24">
        <v>0</v>
      </c>
      <c r="P43" s="24">
        <v>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v>0</v>
      </c>
      <c r="AA43" s="24">
        <v>0</v>
      </c>
      <c r="AB43" s="24">
        <v>0</v>
      </c>
      <c r="AC43" s="24">
        <v>0</v>
      </c>
      <c r="AD43" s="24">
        <v>0</v>
      </c>
      <c r="AE43" s="24">
        <v>0</v>
      </c>
      <c r="AF43" s="24">
        <v>0</v>
      </c>
      <c r="AG43" s="24">
        <v>0</v>
      </c>
      <c r="AH43" s="24">
        <v>0</v>
      </c>
      <c r="AI43" s="24">
        <v>0</v>
      </c>
      <c r="AJ43" s="24">
        <v>0</v>
      </c>
      <c r="AK43" s="24">
        <v>0</v>
      </c>
      <c r="AL43" s="24">
        <v>0</v>
      </c>
      <c r="AM43" s="24">
        <v>0</v>
      </c>
      <c r="AN43" s="24">
        <v>0</v>
      </c>
      <c r="AO43" s="24">
        <v>0</v>
      </c>
      <c r="AP43" s="24">
        <v>0</v>
      </c>
      <c r="AQ43" s="24">
        <v>0</v>
      </c>
      <c r="AR43" s="24">
        <v>0</v>
      </c>
      <c r="AS43" s="24">
        <v>0</v>
      </c>
      <c r="AT43" s="24">
        <v>0</v>
      </c>
      <c r="AU43" s="24">
        <v>0</v>
      </c>
      <c r="AV43" s="24">
        <v>0</v>
      </c>
      <c r="AW43" s="24">
        <v>0</v>
      </c>
      <c r="AX43" s="24">
        <v>0</v>
      </c>
      <c r="AY43" s="24">
        <v>0</v>
      </c>
      <c r="AZ43" s="24">
        <v>0</v>
      </c>
      <c r="BA43" s="24">
        <v>0</v>
      </c>
      <c r="BB43" s="24">
        <v>0</v>
      </c>
      <c r="BC43" s="24">
        <v>0</v>
      </c>
      <c r="BD43" s="24">
        <v>0</v>
      </c>
      <c r="BE43" s="24">
        <v>0</v>
      </c>
      <c r="BF43" s="24">
        <v>0</v>
      </c>
      <c r="BG43" s="24">
        <v>0</v>
      </c>
      <c r="BH43" s="24">
        <v>0</v>
      </c>
      <c r="BI43" s="24">
        <v>1</v>
      </c>
      <c r="BJ43" s="24">
        <v>1</v>
      </c>
      <c r="BK43" s="24">
        <v>1</v>
      </c>
      <c r="BL43" s="24">
        <v>1</v>
      </c>
      <c r="BM43" s="24">
        <v>1</v>
      </c>
      <c r="BN43" s="24">
        <v>1</v>
      </c>
      <c r="BO43" s="24">
        <v>1</v>
      </c>
      <c r="BP43" s="24">
        <v>1</v>
      </c>
      <c r="BQ43" s="24">
        <v>1</v>
      </c>
      <c r="BR43" s="24">
        <v>1</v>
      </c>
      <c r="BS43" s="24">
        <v>1</v>
      </c>
      <c r="BT43" s="24">
        <v>1</v>
      </c>
      <c r="BU43" s="24">
        <v>1</v>
      </c>
      <c r="BV43" s="24">
        <v>1</v>
      </c>
      <c r="BW43" s="24">
        <v>1</v>
      </c>
      <c r="BX43" s="24">
        <v>1</v>
      </c>
      <c r="BY43" s="24">
        <v>1</v>
      </c>
      <c r="BZ43" s="24">
        <v>1</v>
      </c>
      <c r="CA43" s="24">
        <v>1</v>
      </c>
      <c r="CB43" s="24">
        <v>1</v>
      </c>
      <c r="CC43" s="24">
        <v>0</v>
      </c>
      <c r="CD43" s="24">
        <v>1</v>
      </c>
      <c r="CE43" s="24">
        <v>1</v>
      </c>
      <c r="CF43" s="24">
        <v>1</v>
      </c>
      <c r="CG43" s="24">
        <v>1</v>
      </c>
      <c r="CH43" s="24">
        <v>1</v>
      </c>
      <c r="CI43" s="24">
        <v>1</v>
      </c>
      <c r="CJ43" s="24">
        <v>1</v>
      </c>
      <c r="CK43" s="24">
        <v>1</v>
      </c>
      <c r="CL43" s="24">
        <v>1</v>
      </c>
      <c r="CM43" s="24">
        <v>1</v>
      </c>
      <c r="CN43" s="24">
        <v>1</v>
      </c>
      <c r="CO43" s="24">
        <v>1</v>
      </c>
      <c r="CP43" s="24">
        <v>1</v>
      </c>
      <c r="CQ43" s="24">
        <v>0</v>
      </c>
      <c r="CR43" s="24">
        <v>1</v>
      </c>
      <c r="CS43" s="24">
        <v>1</v>
      </c>
      <c r="CT43" s="24">
        <v>1</v>
      </c>
      <c r="CU43" s="24">
        <v>1</v>
      </c>
      <c r="CV43" s="24">
        <v>1</v>
      </c>
      <c r="CW43" s="24">
        <v>1</v>
      </c>
      <c r="CX43" s="23" t="s">
        <v>102</v>
      </c>
    </row>
    <row r="44" spans="1:102" x14ac:dyDescent="0.25">
      <c r="A44" s="23" t="s">
        <v>37</v>
      </c>
      <c r="F44" s="23" t="s">
        <v>38</v>
      </c>
      <c r="L44" s="25">
        <v>0</v>
      </c>
      <c r="M44" s="25">
        <v>0</v>
      </c>
      <c r="N44" s="25">
        <v>0</v>
      </c>
      <c r="O44" s="25">
        <v>0</v>
      </c>
      <c r="P44" s="25">
        <v>0</v>
      </c>
      <c r="Q44" s="25">
        <v>0</v>
      </c>
      <c r="R44" s="25">
        <v>0</v>
      </c>
      <c r="S44" s="25">
        <v>0</v>
      </c>
      <c r="T44" s="25">
        <v>0</v>
      </c>
      <c r="U44" s="25">
        <v>0</v>
      </c>
      <c r="V44" s="25">
        <v>0</v>
      </c>
      <c r="W44" s="25">
        <v>0</v>
      </c>
      <c r="X44" s="25">
        <v>0</v>
      </c>
      <c r="Y44" s="25">
        <v>0</v>
      </c>
      <c r="Z44" s="25">
        <v>0</v>
      </c>
      <c r="AA44" s="25">
        <v>0</v>
      </c>
      <c r="AB44" s="25">
        <v>0</v>
      </c>
      <c r="AC44" s="25">
        <v>0</v>
      </c>
      <c r="AD44" s="25">
        <v>0</v>
      </c>
      <c r="AE44" s="25">
        <v>0</v>
      </c>
      <c r="AF44" s="25">
        <v>0</v>
      </c>
      <c r="AG44" s="25">
        <v>0</v>
      </c>
      <c r="AH44" s="25">
        <v>0</v>
      </c>
      <c r="AI44" s="25">
        <v>0</v>
      </c>
      <c r="AJ44" s="25">
        <v>0</v>
      </c>
      <c r="AK44" s="25">
        <v>0</v>
      </c>
      <c r="AL44" s="25">
        <v>0</v>
      </c>
      <c r="AM44" s="25">
        <v>0</v>
      </c>
      <c r="AN44" s="25">
        <v>0</v>
      </c>
      <c r="AO44" s="25">
        <v>0</v>
      </c>
      <c r="AP44" s="25">
        <v>0</v>
      </c>
      <c r="AQ44" s="25">
        <v>0</v>
      </c>
      <c r="AR44" s="25">
        <v>0</v>
      </c>
      <c r="AS44" s="25">
        <v>0</v>
      </c>
      <c r="AT44" s="25">
        <v>0</v>
      </c>
      <c r="AU44" s="25">
        <v>0</v>
      </c>
      <c r="AV44" s="25">
        <v>0</v>
      </c>
      <c r="AW44" s="25">
        <v>0</v>
      </c>
      <c r="AX44" s="25">
        <v>0</v>
      </c>
      <c r="AY44" s="25">
        <v>0</v>
      </c>
      <c r="AZ44" s="25">
        <v>0</v>
      </c>
      <c r="BA44" s="25">
        <v>0</v>
      </c>
      <c r="BB44" s="25">
        <v>0</v>
      </c>
      <c r="BC44" s="25">
        <v>0</v>
      </c>
      <c r="BD44" s="25">
        <v>0</v>
      </c>
      <c r="BE44" s="25">
        <v>0</v>
      </c>
      <c r="BF44" s="25">
        <v>0</v>
      </c>
      <c r="BG44" s="25">
        <v>0</v>
      </c>
      <c r="BH44" s="25">
        <v>0</v>
      </c>
      <c r="BI44" s="25">
        <v>11</v>
      </c>
      <c r="BJ44" s="25">
        <v>11</v>
      </c>
      <c r="BK44" s="25">
        <v>11</v>
      </c>
      <c r="BL44" s="25">
        <v>11</v>
      </c>
      <c r="BM44" s="25">
        <v>11</v>
      </c>
      <c r="BN44" s="25">
        <v>11</v>
      </c>
      <c r="BO44" s="25">
        <v>11</v>
      </c>
      <c r="BP44" s="25">
        <v>11</v>
      </c>
      <c r="BQ44" s="25">
        <v>11</v>
      </c>
      <c r="BR44" s="25">
        <v>11</v>
      </c>
      <c r="BS44" s="25">
        <v>11</v>
      </c>
      <c r="BT44" s="25">
        <v>11</v>
      </c>
      <c r="BU44" s="25">
        <v>11</v>
      </c>
      <c r="BV44" s="25">
        <v>11</v>
      </c>
      <c r="BW44" s="25">
        <v>11</v>
      </c>
      <c r="BX44" s="25">
        <v>11</v>
      </c>
      <c r="BY44" s="25">
        <v>11</v>
      </c>
      <c r="BZ44" s="25">
        <v>11</v>
      </c>
      <c r="CA44" s="25">
        <v>11</v>
      </c>
      <c r="CB44" s="25">
        <v>11</v>
      </c>
      <c r="CC44" s="25">
        <v>0</v>
      </c>
      <c r="CD44" s="25">
        <v>11</v>
      </c>
      <c r="CE44" s="25">
        <v>11</v>
      </c>
      <c r="CF44" s="25">
        <v>11</v>
      </c>
      <c r="CG44" s="25">
        <v>11</v>
      </c>
      <c r="CH44" s="25">
        <v>11</v>
      </c>
      <c r="CI44" s="25">
        <v>11</v>
      </c>
      <c r="CJ44" s="25">
        <v>11</v>
      </c>
      <c r="CK44" s="25">
        <v>11</v>
      </c>
      <c r="CL44" s="25">
        <v>11</v>
      </c>
      <c r="CM44" s="25">
        <v>11</v>
      </c>
      <c r="CN44" s="25">
        <v>11</v>
      </c>
      <c r="CO44" s="25">
        <v>11</v>
      </c>
      <c r="CP44" s="25">
        <v>11</v>
      </c>
      <c r="CQ44" s="25">
        <v>0</v>
      </c>
      <c r="CR44" s="25">
        <v>11</v>
      </c>
      <c r="CS44" s="25">
        <v>11</v>
      </c>
      <c r="CT44" s="25">
        <v>11</v>
      </c>
      <c r="CU44" s="25">
        <v>11</v>
      </c>
      <c r="CV44" s="25">
        <v>11</v>
      </c>
      <c r="CW44" s="25">
        <v>11</v>
      </c>
      <c r="CX44" s="23" t="s">
        <v>102</v>
      </c>
    </row>
    <row r="45" spans="2:102" x14ac:dyDescent="0.25">
      <c r="B45" s="26">
        <f>SUM(L45:CW45)</f>
      </c>
      <c r="D45" s="27">
        <f>B45*E45</f>
      </c>
      <c r="E45" s="27">
        <f>'Rate Tables'!C24</f>
      </c>
      <c r="F45" s="8" t="s">
        <v>39</v>
      </c>
      <c r="L45" s="26">
        <f>IF(L$6="","",IF(OR(WEEKDAY(L$6,1)=1,WEEKDAY(L$6,1)=7),0,MIN(8,L44)*L43))</f>
      </c>
      <c r="M45" s="26">
        <f>IF(M$6="","",IF(OR(WEEKDAY(M$6,1)=1,WEEKDAY(M$6,1)=7),0,MIN(8,M44)*M43))</f>
      </c>
      <c r="N45" s="26">
        <f>IF(N$6="","",IF(OR(WEEKDAY(N$6,1)=1,WEEKDAY(N$6,1)=7),0,MIN(8,N44)*N43))</f>
      </c>
      <c r="O45" s="26">
        <f>IF(O$6="","",IF(OR(WEEKDAY(O$6,1)=1,WEEKDAY(O$6,1)=7),0,MIN(8,O44)*O43))</f>
      </c>
      <c r="P45" s="26">
        <f>IF(P$6="","",IF(OR(WEEKDAY(P$6,1)=1,WEEKDAY(P$6,1)=7),0,MIN(8,P44)*P43))</f>
      </c>
      <c r="Q45" s="26">
        <f>IF(Q$6="","",IF(OR(WEEKDAY(Q$6,1)=1,WEEKDAY(Q$6,1)=7),0,MIN(8,Q44)*Q43))</f>
      </c>
      <c r="R45" s="26">
        <f>IF(R$6="","",IF(OR(WEEKDAY(R$6,1)=1,WEEKDAY(R$6,1)=7),0,MIN(8,R44)*R43))</f>
      </c>
      <c r="S45" s="26">
        <f>IF(S$6="","",IF(OR(WEEKDAY(S$6,1)=1,WEEKDAY(S$6,1)=7),0,MIN(8,S44)*S43))</f>
      </c>
      <c r="T45" s="26">
        <f>IF(T$6="","",IF(OR(WEEKDAY(T$6,1)=1,WEEKDAY(T$6,1)=7),0,MIN(8,T44)*T43))</f>
      </c>
      <c r="U45" s="26">
        <f>IF(U$6="","",IF(OR(WEEKDAY(U$6,1)=1,WEEKDAY(U$6,1)=7),0,MIN(8,U44)*U43))</f>
      </c>
      <c r="V45" s="26">
        <f>IF(V$6="","",IF(OR(WEEKDAY(V$6,1)=1,WEEKDAY(V$6,1)=7),0,MIN(8,V44)*V43))</f>
      </c>
      <c r="W45" s="26">
        <f>IF(W$6="","",IF(OR(WEEKDAY(W$6,1)=1,WEEKDAY(W$6,1)=7),0,MIN(8,W44)*W43))</f>
      </c>
      <c r="X45" s="26">
        <f>IF(X$6="","",IF(OR(WEEKDAY(X$6,1)=1,WEEKDAY(X$6,1)=7),0,MIN(8,X44)*X43))</f>
      </c>
      <c r="Y45" s="26">
        <f>IF(Y$6="","",IF(OR(WEEKDAY(Y$6,1)=1,WEEKDAY(Y$6,1)=7),0,MIN(8,Y44)*Y43))</f>
      </c>
      <c r="Z45" s="26">
        <f>IF(Z$6="","",IF(OR(WEEKDAY(Z$6,1)=1,WEEKDAY(Z$6,1)=7),0,MIN(8,Z44)*Z43))</f>
      </c>
      <c r="AA45" s="26">
        <f>IF(AA$6="","",IF(OR(WEEKDAY(AA$6,1)=1,WEEKDAY(AA$6,1)=7),0,MIN(8,AA44)*AA43))</f>
      </c>
      <c r="AB45" s="26">
        <f>IF(AB$6="","",IF(OR(WEEKDAY(AB$6,1)=1,WEEKDAY(AB$6,1)=7),0,MIN(8,AB44)*AB43))</f>
      </c>
      <c r="AC45" s="26">
        <f>IF(AC$6="","",IF(OR(WEEKDAY(AC$6,1)=1,WEEKDAY(AC$6,1)=7),0,MIN(8,AC44)*AC43))</f>
      </c>
      <c r="AD45" s="26">
        <f>IF(AD$6="","",IF(OR(WEEKDAY(AD$6,1)=1,WEEKDAY(AD$6,1)=7),0,MIN(8,AD44)*AD43))</f>
      </c>
      <c r="AE45" s="26">
        <f>IF(AE$6="","",IF(OR(WEEKDAY(AE$6,1)=1,WEEKDAY(AE$6,1)=7),0,MIN(8,AE44)*AE43))</f>
      </c>
      <c r="AF45" s="26">
        <f>IF(AF$6="","",IF(OR(WEEKDAY(AF$6,1)=1,WEEKDAY(AF$6,1)=7),0,MIN(8,AF44)*AF43))</f>
      </c>
      <c r="AG45" s="26">
        <f>IF(AG$6="","",IF(OR(WEEKDAY(AG$6,1)=1,WEEKDAY(AG$6,1)=7),0,MIN(8,AG44)*AG43))</f>
      </c>
      <c r="AH45" s="26">
        <f>IF(AH$6="","",IF(OR(WEEKDAY(AH$6,1)=1,WEEKDAY(AH$6,1)=7),0,MIN(8,AH44)*AH43))</f>
      </c>
      <c r="AI45" s="26">
        <f>IF(AI$6="","",IF(OR(WEEKDAY(AI$6,1)=1,WEEKDAY(AI$6,1)=7),0,MIN(8,AI44)*AI43))</f>
      </c>
      <c r="AJ45" s="26">
        <f>IF(AJ$6="","",IF(OR(WEEKDAY(AJ$6,1)=1,WEEKDAY(AJ$6,1)=7),0,MIN(8,AJ44)*AJ43))</f>
      </c>
      <c r="AK45" s="26">
        <f>IF(AK$6="","",IF(OR(WEEKDAY(AK$6,1)=1,WEEKDAY(AK$6,1)=7),0,MIN(8,AK44)*AK43))</f>
      </c>
      <c r="AL45" s="26">
        <f>IF(AL$6="","",IF(OR(WEEKDAY(AL$6,1)=1,WEEKDAY(AL$6,1)=7),0,MIN(8,AL44)*AL43))</f>
      </c>
      <c r="AM45" s="26">
        <f>IF(AM$6="","",IF(OR(WEEKDAY(AM$6,1)=1,WEEKDAY(AM$6,1)=7),0,MIN(8,AM44)*AM43))</f>
      </c>
      <c r="AN45" s="26">
        <f>IF(AN$6="","",IF(OR(WEEKDAY(AN$6,1)=1,WEEKDAY(AN$6,1)=7),0,MIN(8,AN44)*AN43))</f>
      </c>
      <c r="AO45" s="26">
        <f>IF(AO$6="","",IF(OR(WEEKDAY(AO$6,1)=1,WEEKDAY(AO$6,1)=7),0,MIN(8,AO44)*AO43))</f>
      </c>
      <c r="AP45" s="26">
        <f>IF(AP$6="","",IF(OR(WEEKDAY(AP$6,1)=1,WEEKDAY(AP$6,1)=7),0,MIN(8,AP44)*AP43))</f>
      </c>
      <c r="AQ45" s="26">
        <f>IF(AQ$6="","",IF(OR(WEEKDAY(AQ$6,1)=1,WEEKDAY(AQ$6,1)=7),0,MIN(8,AQ44)*AQ43))</f>
      </c>
      <c r="AR45" s="26">
        <f>IF(AR$6="","",IF(OR(WEEKDAY(AR$6,1)=1,WEEKDAY(AR$6,1)=7),0,MIN(8,AR44)*AR43))</f>
      </c>
      <c r="AS45" s="26">
        <f>IF(AS$6="","",IF(OR(WEEKDAY(AS$6,1)=1,WEEKDAY(AS$6,1)=7),0,MIN(8,AS44)*AS43))</f>
      </c>
      <c r="AT45" s="26">
        <f>IF(AT$6="","",IF(OR(WEEKDAY(AT$6,1)=1,WEEKDAY(AT$6,1)=7),0,MIN(8,AT44)*AT43))</f>
      </c>
      <c r="AU45" s="26">
        <f>IF(AU$6="","",IF(OR(WEEKDAY(AU$6,1)=1,WEEKDAY(AU$6,1)=7),0,MIN(8,AU44)*AU43))</f>
      </c>
      <c r="AV45" s="26">
        <f>IF(AV$6="","",IF(OR(WEEKDAY(AV$6,1)=1,WEEKDAY(AV$6,1)=7),0,MIN(8,AV44)*AV43))</f>
      </c>
      <c r="AW45" s="26">
        <f>IF(AW$6="","",IF(OR(WEEKDAY(AW$6,1)=1,WEEKDAY(AW$6,1)=7),0,MIN(8,AW44)*AW43))</f>
      </c>
      <c r="AX45" s="26">
        <f>IF(AX$6="","",IF(OR(WEEKDAY(AX$6,1)=1,WEEKDAY(AX$6,1)=7),0,MIN(8,AX44)*AX43))</f>
      </c>
      <c r="AY45" s="26">
        <f>IF(AY$6="","",IF(OR(WEEKDAY(AY$6,1)=1,WEEKDAY(AY$6,1)=7),0,MIN(8,AY44)*AY43))</f>
      </c>
      <c r="AZ45" s="26">
        <f>IF(AZ$6="","",IF(OR(WEEKDAY(AZ$6,1)=1,WEEKDAY(AZ$6,1)=7),0,MIN(8,AZ44)*AZ43))</f>
      </c>
      <c r="BA45" s="26">
        <f>IF(BA$6="","",IF(OR(WEEKDAY(BA$6,1)=1,WEEKDAY(BA$6,1)=7),0,MIN(8,BA44)*BA43))</f>
      </c>
      <c r="BB45" s="26">
        <f>IF(BB$6="","",IF(OR(WEEKDAY(BB$6,1)=1,WEEKDAY(BB$6,1)=7),0,MIN(8,BB44)*BB43))</f>
      </c>
      <c r="BC45" s="26">
        <f>IF(BC$6="","",IF(OR(WEEKDAY(BC$6,1)=1,WEEKDAY(BC$6,1)=7),0,MIN(8,BC44)*BC43))</f>
      </c>
      <c r="BD45" s="26">
        <f>IF(BD$6="","",IF(OR(WEEKDAY(BD$6,1)=1,WEEKDAY(BD$6,1)=7),0,MIN(8,BD44)*BD43))</f>
      </c>
      <c r="BE45" s="26">
        <f>IF(BE$6="","",IF(OR(WEEKDAY(BE$6,1)=1,WEEKDAY(BE$6,1)=7),0,MIN(8,BE44)*BE43))</f>
      </c>
      <c r="BF45" s="26">
        <f>IF(BF$6="","",IF(OR(WEEKDAY(BF$6,1)=1,WEEKDAY(BF$6,1)=7),0,MIN(8,BF44)*BF43))</f>
      </c>
      <c r="BG45" s="26">
        <f>IF(BG$6="","",IF(OR(WEEKDAY(BG$6,1)=1,WEEKDAY(BG$6,1)=7),0,MIN(8,BG44)*BG43))</f>
      </c>
      <c r="BH45" s="26">
        <f>IF(BH$6="","",IF(OR(WEEKDAY(BH$6,1)=1,WEEKDAY(BH$6,1)=7),0,MIN(8,BH44)*BH43))</f>
      </c>
      <c r="BI45" s="26">
        <f>IF(BI$6="","",IF(OR(WEEKDAY(BI$6,1)=1,WEEKDAY(BI$6,1)=7),0,MIN(8,BI44)*BI43))</f>
      </c>
      <c r="BJ45" s="26">
        <f>IF(BJ$6="","",IF(OR(WEEKDAY(BJ$6,1)=1,WEEKDAY(BJ$6,1)=7),0,MIN(8,BJ44)*BJ43))</f>
      </c>
      <c r="BK45" s="26">
        <f>IF(BK$6="","",IF(OR(WEEKDAY(BK$6,1)=1,WEEKDAY(BK$6,1)=7),0,MIN(8,BK44)*BK43))</f>
      </c>
      <c r="BL45" s="26">
        <f>IF(BL$6="","",IF(OR(WEEKDAY(BL$6,1)=1,WEEKDAY(BL$6,1)=7),0,MIN(8,BL44)*BL43))</f>
      </c>
      <c r="BM45" s="26">
        <f>IF(BM$6="","",IF(OR(WEEKDAY(BM$6,1)=1,WEEKDAY(BM$6,1)=7),0,MIN(8,BM44)*BM43))</f>
      </c>
      <c r="BN45" s="26">
        <f>IF(BN$6="","",IF(OR(WEEKDAY(BN$6,1)=1,WEEKDAY(BN$6,1)=7),0,MIN(8,BN44)*BN43))</f>
      </c>
      <c r="BO45" s="26">
        <f>IF(BO$6="","",IF(OR(WEEKDAY(BO$6,1)=1,WEEKDAY(BO$6,1)=7),0,MIN(8,BO44)*BO43))</f>
      </c>
      <c r="BP45" s="26">
        <f>IF(BP$6="","",IF(OR(WEEKDAY(BP$6,1)=1,WEEKDAY(BP$6,1)=7),0,MIN(8,BP44)*BP43))</f>
      </c>
      <c r="BQ45" s="26">
        <f>IF(BQ$6="","",IF(OR(WEEKDAY(BQ$6,1)=1,WEEKDAY(BQ$6,1)=7),0,MIN(8,BQ44)*BQ43))</f>
      </c>
      <c r="BR45" s="26">
        <f>IF(BR$6="","",IF(OR(WEEKDAY(BR$6,1)=1,WEEKDAY(BR$6,1)=7),0,MIN(8,BR44)*BR43))</f>
      </c>
      <c r="BS45" s="26">
        <f>IF(BS$6="","",IF(OR(WEEKDAY(BS$6,1)=1,WEEKDAY(BS$6,1)=7),0,MIN(8,BS44)*BS43))</f>
      </c>
      <c r="BT45" s="26">
        <f>IF(BT$6="","",IF(OR(WEEKDAY(BT$6,1)=1,WEEKDAY(BT$6,1)=7),0,MIN(8,BT44)*BT43))</f>
      </c>
      <c r="BU45" s="26">
        <f>IF(BU$6="","",IF(OR(WEEKDAY(BU$6,1)=1,WEEKDAY(BU$6,1)=7),0,MIN(8,BU44)*BU43))</f>
      </c>
      <c r="BV45" s="26">
        <f>IF(BV$6="","",IF(OR(WEEKDAY(BV$6,1)=1,WEEKDAY(BV$6,1)=7),0,MIN(8,BV44)*BV43))</f>
      </c>
      <c r="BW45" s="26">
        <f>IF(BW$6="","",IF(OR(WEEKDAY(BW$6,1)=1,WEEKDAY(BW$6,1)=7),0,MIN(8,BW44)*BW43))</f>
      </c>
      <c r="BX45" s="26">
        <f>IF(BX$6="","",IF(OR(WEEKDAY(BX$6,1)=1,WEEKDAY(BX$6,1)=7),0,MIN(8,BX44)*BX43))</f>
      </c>
      <c r="BY45" s="26">
        <f>IF(BY$6="","",IF(OR(WEEKDAY(BY$6,1)=1,WEEKDAY(BY$6,1)=7),0,MIN(8,BY44)*BY43))</f>
      </c>
      <c r="BZ45" s="26">
        <f>IF(BZ$6="","",IF(OR(WEEKDAY(BZ$6,1)=1,WEEKDAY(BZ$6,1)=7),0,MIN(8,BZ44)*BZ43))</f>
      </c>
      <c r="CA45" s="26">
        <f>IF(CA$6="","",IF(OR(WEEKDAY(CA$6,1)=1,WEEKDAY(CA$6,1)=7),0,MIN(8,CA44)*CA43))</f>
      </c>
      <c r="CB45" s="26">
        <f>IF(CB$6="","",IF(OR(WEEKDAY(CB$6,1)=1,WEEKDAY(CB$6,1)=7),0,MIN(8,CB44)*CB43))</f>
      </c>
      <c r="CC45" s="26">
        <f>IF(CC$6="","",IF(OR(WEEKDAY(CC$6,1)=1,WEEKDAY(CC$6,1)=7),0,MIN(8,CC44)*CC43))</f>
      </c>
      <c r="CD45" s="26">
        <f>IF(CD$6="","",IF(OR(WEEKDAY(CD$6,1)=1,WEEKDAY(CD$6,1)=7),0,MIN(8,CD44)*CD43))</f>
      </c>
      <c r="CE45" s="26">
        <f>IF(CE$6="","",IF(OR(WEEKDAY(CE$6,1)=1,WEEKDAY(CE$6,1)=7),0,MIN(8,CE44)*CE43))</f>
      </c>
      <c r="CF45" s="26">
        <f>IF(CF$6="","",IF(OR(WEEKDAY(CF$6,1)=1,WEEKDAY(CF$6,1)=7),0,MIN(8,CF44)*CF43))</f>
      </c>
      <c r="CG45" s="26">
        <f>IF(CG$6="","",IF(OR(WEEKDAY(CG$6,1)=1,WEEKDAY(CG$6,1)=7),0,MIN(8,CG44)*CG43))</f>
      </c>
      <c r="CH45" s="26">
        <f>IF(CH$6="","",IF(OR(WEEKDAY(CH$6,1)=1,WEEKDAY(CH$6,1)=7),0,MIN(8,CH44)*CH43))</f>
      </c>
      <c r="CI45" s="26">
        <f>IF(CI$6="","",IF(OR(WEEKDAY(CI$6,1)=1,WEEKDAY(CI$6,1)=7),0,MIN(8,CI44)*CI43))</f>
      </c>
      <c r="CJ45" s="26">
        <f>IF(CJ$6="","",IF(OR(WEEKDAY(CJ$6,1)=1,WEEKDAY(CJ$6,1)=7),0,MIN(8,CJ44)*CJ43))</f>
      </c>
      <c r="CK45" s="26">
        <f>IF(CK$6="","",IF(OR(WEEKDAY(CK$6,1)=1,WEEKDAY(CK$6,1)=7),0,MIN(8,CK44)*CK43))</f>
      </c>
      <c r="CL45" s="26">
        <f>IF(CL$6="","",IF(OR(WEEKDAY(CL$6,1)=1,WEEKDAY(CL$6,1)=7),0,MIN(8,CL44)*CL43))</f>
      </c>
      <c r="CM45" s="26">
        <f>IF(CM$6="","",IF(OR(WEEKDAY(CM$6,1)=1,WEEKDAY(CM$6,1)=7),0,MIN(8,CM44)*CM43))</f>
      </c>
      <c r="CN45" s="26">
        <f>IF(CN$6="","",IF(OR(WEEKDAY(CN$6,1)=1,WEEKDAY(CN$6,1)=7),0,MIN(8,CN44)*CN43))</f>
      </c>
      <c r="CO45" s="26">
        <f>IF(CO$6="","",IF(OR(WEEKDAY(CO$6,1)=1,WEEKDAY(CO$6,1)=7),0,MIN(8,CO44)*CO43))</f>
      </c>
      <c r="CP45" s="26">
        <f>IF(CP$6="","",IF(OR(WEEKDAY(CP$6,1)=1,WEEKDAY(CP$6,1)=7),0,MIN(8,CP44)*CP43))</f>
      </c>
      <c r="CQ45" s="26">
        <f>IF(CQ$6="","",IF(OR(WEEKDAY(CQ$6,1)=1,WEEKDAY(CQ$6,1)=7),0,MIN(8,CQ44)*CQ43))</f>
      </c>
      <c r="CR45" s="26">
        <f>IF(CR$6="","",IF(OR(WEEKDAY(CR$6,1)=1,WEEKDAY(CR$6,1)=7),0,MIN(8,CR44)*CR43))</f>
      </c>
      <c r="CS45" s="26">
        <f>IF(CS$6="","",IF(OR(WEEKDAY(CS$6,1)=1,WEEKDAY(CS$6,1)=7),0,MIN(8,CS44)*CS43))</f>
      </c>
      <c r="CT45" s="26">
        <f>IF(CT$6="","",IF(OR(WEEKDAY(CT$6,1)=1,WEEKDAY(CT$6,1)=7),0,MIN(8,CT44)*CT43))</f>
      </c>
      <c r="CU45" s="26">
        <f>IF(CU$6="","",IF(OR(WEEKDAY(CU$6,1)=1,WEEKDAY(CU$6,1)=7),0,MIN(8,CU44)*CU43))</f>
      </c>
      <c r="CV45" s="26">
        <f>IF(CV$6="","",IF(OR(WEEKDAY(CV$6,1)=1,WEEKDAY(CV$6,1)=7),0,MIN(8,CV44)*CV43))</f>
      </c>
      <c r="CW45" s="26">
        <f>IF(CW$6="","",IF(OR(WEEKDAY(CW$6,1)=1,WEEKDAY(CW$6,1)=7),0,MIN(8,CW44)*CW43))</f>
      </c>
      <c r="CX45" s="8" t="s">
        <v>102</v>
      </c>
    </row>
    <row r="46" spans="2:102" x14ac:dyDescent="0.25">
      <c r="B46" s="26">
        <f>SUM(L46:CW46)</f>
      </c>
      <c r="D46" s="27">
        <f>B46*E46</f>
      </c>
      <c r="E46" s="27">
        <f>'Rate Tables'!D24</f>
      </c>
      <c r="F46" s="8" t="s">
        <v>40</v>
      </c>
      <c r="L46" s="26">
        <f>IF(L$6="","",IF(WEEKDAY(L$6,1)=1,0,IF(WEEKDAY(L$6,1)=7,L44*L43,MAX(0,L44-8)*L43)))</f>
      </c>
      <c r="M46" s="26">
        <f>IF(M$6="","",IF(WEEKDAY(M$6,1)=1,0,IF(WEEKDAY(M$6,1)=7,M44*M43,MAX(0,M44-8)*M43)))</f>
      </c>
      <c r="N46" s="26">
        <f>IF(N$6="","",IF(WEEKDAY(N$6,1)=1,0,IF(WEEKDAY(N$6,1)=7,N44*N43,MAX(0,N44-8)*N43)))</f>
      </c>
      <c r="O46" s="26">
        <f>IF(O$6="","",IF(WEEKDAY(O$6,1)=1,0,IF(WEEKDAY(O$6,1)=7,O44*O43,MAX(0,O44-8)*O43)))</f>
      </c>
      <c r="P46" s="26">
        <f>IF(P$6="","",IF(WEEKDAY(P$6,1)=1,0,IF(WEEKDAY(P$6,1)=7,P44*P43,MAX(0,P44-8)*P43)))</f>
      </c>
      <c r="Q46" s="26">
        <f>IF(Q$6="","",IF(WEEKDAY(Q$6,1)=1,0,IF(WEEKDAY(Q$6,1)=7,Q44*Q43,MAX(0,Q44-8)*Q43)))</f>
      </c>
      <c r="R46" s="26">
        <f>IF(R$6="","",IF(WEEKDAY(R$6,1)=1,0,IF(WEEKDAY(R$6,1)=7,R44*R43,MAX(0,R44-8)*R43)))</f>
      </c>
      <c r="S46" s="26">
        <f>IF(S$6="","",IF(WEEKDAY(S$6,1)=1,0,IF(WEEKDAY(S$6,1)=7,S44*S43,MAX(0,S44-8)*S43)))</f>
      </c>
      <c r="T46" s="26">
        <f>IF(T$6="","",IF(WEEKDAY(T$6,1)=1,0,IF(WEEKDAY(T$6,1)=7,T44*T43,MAX(0,T44-8)*T43)))</f>
      </c>
      <c r="U46" s="26">
        <f>IF(U$6="","",IF(WEEKDAY(U$6,1)=1,0,IF(WEEKDAY(U$6,1)=7,U44*U43,MAX(0,U44-8)*U43)))</f>
      </c>
      <c r="V46" s="26">
        <f>IF(V$6="","",IF(WEEKDAY(V$6,1)=1,0,IF(WEEKDAY(V$6,1)=7,V44*V43,MAX(0,V44-8)*V43)))</f>
      </c>
      <c r="W46" s="26">
        <f>IF(W$6="","",IF(WEEKDAY(W$6,1)=1,0,IF(WEEKDAY(W$6,1)=7,W44*W43,MAX(0,W44-8)*W43)))</f>
      </c>
      <c r="X46" s="26">
        <f>IF(X$6="","",IF(WEEKDAY(X$6,1)=1,0,IF(WEEKDAY(X$6,1)=7,X44*X43,MAX(0,X44-8)*X43)))</f>
      </c>
      <c r="Y46" s="26">
        <f>IF(Y$6="","",IF(WEEKDAY(Y$6,1)=1,0,IF(WEEKDAY(Y$6,1)=7,Y44*Y43,MAX(0,Y44-8)*Y43)))</f>
      </c>
      <c r="Z46" s="26">
        <f>IF(Z$6="","",IF(WEEKDAY(Z$6,1)=1,0,IF(WEEKDAY(Z$6,1)=7,Z44*Z43,MAX(0,Z44-8)*Z43)))</f>
      </c>
      <c r="AA46" s="26">
        <f>IF(AA$6="","",IF(WEEKDAY(AA$6,1)=1,0,IF(WEEKDAY(AA$6,1)=7,AA44*AA43,MAX(0,AA44-8)*AA43)))</f>
      </c>
      <c r="AB46" s="26">
        <f>IF(AB$6="","",IF(WEEKDAY(AB$6,1)=1,0,IF(WEEKDAY(AB$6,1)=7,AB44*AB43,MAX(0,AB44-8)*AB43)))</f>
      </c>
      <c r="AC46" s="26">
        <f>IF(AC$6="","",IF(WEEKDAY(AC$6,1)=1,0,IF(WEEKDAY(AC$6,1)=7,AC44*AC43,MAX(0,AC44-8)*AC43)))</f>
      </c>
      <c r="AD46" s="26">
        <f>IF(AD$6="","",IF(WEEKDAY(AD$6,1)=1,0,IF(WEEKDAY(AD$6,1)=7,AD44*AD43,MAX(0,AD44-8)*AD43)))</f>
      </c>
      <c r="AE46" s="26">
        <f>IF(AE$6="","",IF(WEEKDAY(AE$6,1)=1,0,IF(WEEKDAY(AE$6,1)=7,AE44*AE43,MAX(0,AE44-8)*AE43)))</f>
      </c>
      <c r="AF46" s="26">
        <f>IF(AF$6="","",IF(WEEKDAY(AF$6,1)=1,0,IF(WEEKDAY(AF$6,1)=7,AF44*AF43,MAX(0,AF44-8)*AF43)))</f>
      </c>
      <c r="AG46" s="26">
        <f>IF(AG$6="","",IF(WEEKDAY(AG$6,1)=1,0,IF(WEEKDAY(AG$6,1)=7,AG44*AG43,MAX(0,AG44-8)*AG43)))</f>
      </c>
      <c r="AH46" s="26">
        <f>IF(AH$6="","",IF(WEEKDAY(AH$6,1)=1,0,IF(WEEKDAY(AH$6,1)=7,AH44*AH43,MAX(0,AH44-8)*AH43)))</f>
      </c>
      <c r="AI46" s="26">
        <f>IF(AI$6="","",IF(WEEKDAY(AI$6,1)=1,0,IF(WEEKDAY(AI$6,1)=7,AI44*AI43,MAX(0,AI44-8)*AI43)))</f>
      </c>
      <c r="AJ46" s="26">
        <f>IF(AJ$6="","",IF(WEEKDAY(AJ$6,1)=1,0,IF(WEEKDAY(AJ$6,1)=7,AJ44*AJ43,MAX(0,AJ44-8)*AJ43)))</f>
      </c>
      <c r="AK46" s="26">
        <f>IF(AK$6="","",IF(WEEKDAY(AK$6,1)=1,0,IF(WEEKDAY(AK$6,1)=7,AK44*AK43,MAX(0,AK44-8)*AK43)))</f>
      </c>
      <c r="AL46" s="26">
        <f>IF(AL$6="","",IF(WEEKDAY(AL$6,1)=1,0,IF(WEEKDAY(AL$6,1)=7,AL44*AL43,MAX(0,AL44-8)*AL43)))</f>
      </c>
      <c r="AM46" s="26">
        <f>IF(AM$6="","",IF(WEEKDAY(AM$6,1)=1,0,IF(WEEKDAY(AM$6,1)=7,AM44*AM43,MAX(0,AM44-8)*AM43)))</f>
      </c>
      <c r="AN46" s="26">
        <f>IF(AN$6="","",IF(WEEKDAY(AN$6,1)=1,0,IF(WEEKDAY(AN$6,1)=7,AN44*AN43,MAX(0,AN44-8)*AN43)))</f>
      </c>
      <c r="AO46" s="26">
        <f>IF(AO$6="","",IF(WEEKDAY(AO$6,1)=1,0,IF(WEEKDAY(AO$6,1)=7,AO44*AO43,MAX(0,AO44-8)*AO43)))</f>
      </c>
      <c r="AP46" s="26">
        <f>IF(AP$6="","",IF(WEEKDAY(AP$6,1)=1,0,IF(WEEKDAY(AP$6,1)=7,AP44*AP43,MAX(0,AP44-8)*AP43)))</f>
      </c>
      <c r="AQ46" s="26">
        <f>IF(AQ$6="","",IF(WEEKDAY(AQ$6,1)=1,0,IF(WEEKDAY(AQ$6,1)=7,AQ44*AQ43,MAX(0,AQ44-8)*AQ43)))</f>
      </c>
      <c r="AR46" s="26">
        <f>IF(AR$6="","",IF(WEEKDAY(AR$6,1)=1,0,IF(WEEKDAY(AR$6,1)=7,AR44*AR43,MAX(0,AR44-8)*AR43)))</f>
      </c>
      <c r="AS46" s="26">
        <f>IF(AS$6="","",IF(WEEKDAY(AS$6,1)=1,0,IF(WEEKDAY(AS$6,1)=7,AS44*AS43,MAX(0,AS44-8)*AS43)))</f>
      </c>
      <c r="AT46" s="26">
        <f>IF(AT$6="","",IF(WEEKDAY(AT$6,1)=1,0,IF(WEEKDAY(AT$6,1)=7,AT44*AT43,MAX(0,AT44-8)*AT43)))</f>
      </c>
      <c r="AU46" s="26">
        <f>IF(AU$6="","",IF(WEEKDAY(AU$6,1)=1,0,IF(WEEKDAY(AU$6,1)=7,AU44*AU43,MAX(0,AU44-8)*AU43)))</f>
      </c>
      <c r="AV46" s="26">
        <f>IF(AV$6="","",IF(WEEKDAY(AV$6,1)=1,0,IF(WEEKDAY(AV$6,1)=7,AV44*AV43,MAX(0,AV44-8)*AV43)))</f>
      </c>
      <c r="AW46" s="26">
        <f>IF(AW$6="","",IF(WEEKDAY(AW$6,1)=1,0,IF(WEEKDAY(AW$6,1)=7,AW44*AW43,MAX(0,AW44-8)*AW43)))</f>
      </c>
      <c r="AX46" s="26">
        <f>IF(AX$6="","",IF(WEEKDAY(AX$6,1)=1,0,IF(WEEKDAY(AX$6,1)=7,AX44*AX43,MAX(0,AX44-8)*AX43)))</f>
      </c>
      <c r="AY46" s="26">
        <f>IF(AY$6="","",IF(WEEKDAY(AY$6,1)=1,0,IF(WEEKDAY(AY$6,1)=7,AY44*AY43,MAX(0,AY44-8)*AY43)))</f>
      </c>
      <c r="AZ46" s="26">
        <f>IF(AZ$6="","",IF(WEEKDAY(AZ$6,1)=1,0,IF(WEEKDAY(AZ$6,1)=7,AZ44*AZ43,MAX(0,AZ44-8)*AZ43)))</f>
      </c>
      <c r="BA46" s="26">
        <f>IF(BA$6="","",IF(WEEKDAY(BA$6,1)=1,0,IF(WEEKDAY(BA$6,1)=7,BA44*BA43,MAX(0,BA44-8)*BA43)))</f>
      </c>
      <c r="BB46" s="26">
        <f>IF(BB$6="","",IF(WEEKDAY(BB$6,1)=1,0,IF(WEEKDAY(BB$6,1)=7,BB44*BB43,MAX(0,BB44-8)*BB43)))</f>
      </c>
      <c r="BC46" s="26">
        <f>IF(BC$6="","",IF(WEEKDAY(BC$6,1)=1,0,IF(WEEKDAY(BC$6,1)=7,BC44*BC43,MAX(0,BC44-8)*BC43)))</f>
      </c>
      <c r="BD46" s="26">
        <f>IF(BD$6="","",IF(WEEKDAY(BD$6,1)=1,0,IF(WEEKDAY(BD$6,1)=7,BD44*BD43,MAX(0,BD44-8)*BD43)))</f>
      </c>
      <c r="BE46" s="26">
        <f>IF(BE$6="","",IF(WEEKDAY(BE$6,1)=1,0,IF(WEEKDAY(BE$6,1)=7,BE44*BE43,MAX(0,BE44-8)*BE43)))</f>
      </c>
      <c r="BF46" s="26">
        <f>IF(BF$6="","",IF(WEEKDAY(BF$6,1)=1,0,IF(WEEKDAY(BF$6,1)=7,BF44*BF43,MAX(0,BF44-8)*BF43)))</f>
      </c>
      <c r="BG46" s="26">
        <f>IF(BG$6="","",IF(WEEKDAY(BG$6,1)=1,0,IF(WEEKDAY(BG$6,1)=7,BG44*BG43,MAX(0,BG44-8)*BG43)))</f>
      </c>
      <c r="BH46" s="26">
        <f>IF(BH$6="","",IF(WEEKDAY(BH$6,1)=1,0,IF(WEEKDAY(BH$6,1)=7,BH44*BH43,MAX(0,BH44-8)*BH43)))</f>
      </c>
      <c r="BI46" s="26">
        <f>IF(BI$6="","",IF(WEEKDAY(BI$6,1)=1,0,IF(WEEKDAY(BI$6,1)=7,BI44*BI43,MAX(0,BI44-8)*BI43)))</f>
      </c>
      <c r="BJ46" s="26">
        <f>IF(BJ$6="","",IF(WEEKDAY(BJ$6,1)=1,0,IF(WEEKDAY(BJ$6,1)=7,BJ44*BJ43,MAX(0,BJ44-8)*BJ43)))</f>
      </c>
      <c r="BK46" s="26">
        <f>IF(BK$6="","",IF(WEEKDAY(BK$6,1)=1,0,IF(WEEKDAY(BK$6,1)=7,BK44*BK43,MAX(0,BK44-8)*BK43)))</f>
      </c>
      <c r="BL46" s="26">
        <f>IF(BL$6="","",IF(WEEKDAY(BL$6,1)=1,0,IF(WEEKDAY(BL$6,1)=7,BL44*BL43,MAX(0,BL44-8)*BL43)))</f>
      </c>
      <c r="BM46" s="26">
        <f>IF(BM$6="","",IF(WEEKDAY(BM$6,1)=1,0,IF(WEEKDAY(BM$6,1)=7,BM44*BM43,MAX(0,BM44-8)*BM43)))</f>
      </c>
      <c r="BN46" s="26">
        <f>IF(BN$6="","",IF(WEEKDAY(BN$6,1)=1,0,IF(WEEKDAY(BN$6,1)=7,BN44*BN43,MAX(0,BN44-8)*BN43)))</f>
      </c>
      <c r="BO46" s="26">
        <f>IF(BO$6="","",IF(WEEKDAY(BO$6,1)=1,0,IF(WEEKDAY(BO$6,1)=7,BO44*BO43,MAX(0,BO44-8)*BO43)))</f>
      </c>
      <c r="BP46" s="26">
        <f>IF(BP$6="","",IF(WEEKDAY(BP$6,1)=1,0,IF(WEEKDAY(BP$6,1)=7,BP44*BP43,MAX(0,BP44-8)*BP43)))</f>
      </c>
      <c r="BQ46" s="26">
        <f>IF(BQ$6="","",IF(WEEKDAY(BQ$6,1)=1,0,IF(WEEKDAY(BQ$6,1)=7,BQ44*BQ43,MAX(0,BQ44-8)*BQ43)))</f>
      </c>
      <c r="BR46" s="26">
        <f>IF(BR$6="","",IF(WEEKDAY(BR$6,1)=1,0,IF(WEEKDAY(BR$6,1)=7,BR44*BR43,MAX(0,BR44-8)*BR43)))</f>
      </c>
      <c r="BS46" s="26">
        <f>IF(BS$6="","",IF(WEEKDAY(BS$6,1)=1,0,IF(WEEKDAY(BS$6,1)=7,BS44*BS43,MAX(0,BS44-8)*BS43)))</f>
      </c>
      <c r="BT46" s="26">
        <f>IF(BT$6="","",IF(WEEKDAY(BT$6,1)=1,0,IF(WEEKDAY(BT$6,1)=7,BT44*BT43,MAX(0,BT44-8)*BT43)))</f>
      </c>
      <c r="BU46" s="26">
        <f>IF(BU$6="","",IF(WEEKDAY(BU$6,1)=1,0,IF(WEEKDAY(BU$6,1)=7,BU44*BU43,MAX(0,BU44-8)*BU43)))</f>
      </c>
      <c r="BV46" s="26">
        <f>IF(BV$6="","",IF(WEEKDAY(BV$6,1)=1,0,IF(WEEKDAY(BV$6,1)=7,BV44*BV43,MAX(0,BV44-8)*BV43)))</f>
      </c>
      <c r="BW46" s="26">
        <f>IF(BW$6="","",IF(WEEKDAY(BW$6,1)=1,0,IF(WEEKDAY(BW$6,1)=7,BW44*BW43,MAX(0,BW44-8)*BW43)))</f>
      </c>
      <c r="BX46" s="26">
        <f>IF(BX$6="","",IF(WEEKDAY(BX$6,1)=1,0,IF(WEEKDAY(BX$6,1)=7,BX44*BX43,MAX(0,BX44-8)*BX43)))</f>
      </c>
      <c r="BY46" s="26">
        <f>IF(BY$6="","",IF(WEEKDAY(BY$6,1)=1,0,IF(WEEKDAY(BY$6,1)=7,BY44*BY43,MAX(0,BY44-8)*BY43)))</f>
      </c>
      <c r="BZ46" s="26">
        <f>IF(BZ$6="","",IF(WEEKDAY(BZ$6,1)=1,0,IF(WEEKDAY(BZ$6,1)=7,BZ44*BZ43,MAX(0,BZ44-8)*BZ43)))</f>
      </c>
      <c r="CA46" s="26">
        <f>IF(CA$6="","",IF(WEEKDAY(CA$6,1)=1,0,IF(WEEKDAY(CA$6,1)=7,CA44*CA43,MAX(0,CA44-8)*CA43)))</f>
      </c>
      <c r="CB46" s="26">
        <f>IF(CB$6="","",IF(WEEKDAY(CB$6,1)=1,0,IF(WEEKDAY(CB$6,1)=7,CB44*CB43,MAX(0,CB44-8)*CB43)))</f>
      </c>
      <c r="CC46" s="26">
        <f>IF(CC$6="","",IF(WEEKDAY(CC$6,1)=1,0,IF(WEEKDAY(CC$6,1)=7,CC44*CC43,MAX(0,CC44-8)*CC43)))</f>
      </c>
      <c r="CD46" s="26">
        <f>IF(CD$6="","",IF(WEEKDAY(CD$6,1)=1,0,IF(WEEKDAY(CD$6,1)=7,CD44*CD43,MAX(0,CD44-8)*CD43)))</f>
      </c>
      <c r="CE46" s="26">
        <f>IF(CE$6="","",IF(WEEKDAY(CE$6,1)=1,0,IF(WEEKDAY(CE$6,1)=7,CE44*CE43,MAX(0,CE44-8)*CE43)))</f>
      </c>
      <c r="CF46" s="26">
        <f>IF(CF$6="","",IF(WEEKDAY(CF$6,1)=1,0,IF(WEEKDAY(CF$6,1)=7,CF44*CF43,MAX(0,CF44-8)*CF43)))</f>
      </c>
      <c r="CG46" s="26">
        <f>IF(CG$6="","",IF(WEEKDAY(CG$6,1)=1,0,IF(WEEKDAY(CG$6,1)=7,CG44*CG43,MAX(0,CG44-8)*CG43)))</f>
      </c>
      <c r="CH46" s="26">
        <f>IF(CH$6="","",IF(WEEKDAY(CH$6,1)=1,0,IF(WEEKDAY(CH$6,1)=7,CH44*CH43,MAX(0,CH44-8)*CH43)))</f>
      </c>
      <c r="CI46" s="26">
        <f>IF(CI$6="","",IF(WEEKDAY(CI$6,1)=1,0,IF(WEEKDAY(CI$6,1)=7,CI44*CI43,MAX(0,CI44-8)*CI43)))</f>
      </c>
      <c r="CJ46" s="26">
        <f>IF(CJ$6="","",IF(WEEKDAY(CJ$6,1)=1,0,IF(WEEKDAY(CJ$6,1)=7,CJ44*CJ43,MAX(0,CJ44-8)*CJ43)))</f>
      </c>
      <c r="CK46" s="26">
        <f>IF(CK$6="","",IF(WEEKDAY(CK$6,1)=1,0,IF(WEEKDAY(CK$6,1)=7,CK44*CK43,MAX(0,CK44-8)*CK43)))</f>
      </c>
      <c r="CL46" s="26">
        <f>IF(CL$6="","",IF(WEEKDAY(CL$6,1)=1,0,IF(WEEKDAY(CL$6,1)=7,CL44*CL43,MAX(0,CL44-8)*CL43)))</f>
      </c>
      <c r="CM46" s="26">
        <f>IF(CM$6="","",IF(WEEKDAY(CM$6,1)=1,0,IF(WEEKDAY(CM$6,1)=7,CM44*CM43,MAX(0,CM44-8)*CM43)))</f>
      </c>
      <c r="CN46" s="26">
        <f>IF(CN$6="","",IF(WEEKDAY(CN$6,1)=1,0,IF(WEEKDAY(CN$6,1)=7,CN44*CN43,MAX(0,CN44-8)*CN43)))</f>
      </c>
      <c r="CO46" s="26">
        <f>IF(CO$6="","",IF(WEEKDAY(CO$6,1)=1,0,IF(WEEKDAY(CO$6,1)=7,CO44*CO43,MAX(0,CO44-8)*CO43)))</f>
      </c>
      <c r="CP46" s="26">
        <f>IF(CP$6="","",IF(WEEKDAY(CP$6,1)=1,0,IF(WEEKDAY(CP$6,1)=7,CP44*CP43,MAX(0,CP44-8)*CP43)))</f>
      </c>
      <c r="CQ46" s="26">
        <f>IF(CQ$6="","",IF(WEEKDAY(CQ$6,1)=1,0,IF(WEEKDAY(CQ$6,1)=7,CQ44*CQ43,MAX(0,CQ44-8)*CQ43)))</f>
      </c>
      <c r="CR46" s="26">
        <f>IF(CR$6="","",IF(WEEKDAY(CR$6,1)=1,0,IF(WEEKDAY(CR$6,1)=7,CR44*CR43,MAX(0,CR44-8)*CR43)))</f>
      </c>
      <c r="CS46" s="26">
        <f>IF(CS$6="","",IF(WEEKDAY(CS$6,1)=1,0,IF(WEEKDAY(CS$6,1)=7,CS44*CS43,MAX(0,CS44-8)*CS43)))</f>
      </c>
      <c r="CT46" s="26">
        <f>IF(CT$6="","",IF(WEEKDAY(CT$6,1)=1,0,IF(WEEKDAY(CT$6,1)=7,CT44*CT43,MAX(0,CT44-8)*CT43)))</f>
      </c>
      <c r="CU46" s="26">
        <f>IF(CU$6="","",IF(WEEKDAY(CU$6,1)=1,0,IF(WEEKDAY(CU$6,1)=7,CU44*CU43,MAX(0,CU44-8)*CU43)))</f>
      </c>
      <c r="CV46" s="26">
        <f>IF(CV$6="","",IF(WEEKDAY(CV$6,1)=1,0,IF(WEEKDAY(CV$6,1)=7,CV44*CV43,MAX(0,CV44-8)*CV43)))</f>
      </c>
      <c r="CW46" s="26">
        <f>IF(CW$6="","",IF(WEEKDAY(CW$6,1)=1,0,IF(WEEKDAY(CW$6,1)=7,CW44*CW43,MAX(0,CW44-8)*CW43)))</f>
      </c>
      <c r="CX46" s="8" t="s">
        <v>102</v>
      </c>
    </row>
    <row r="47" spans="2:102" x14ac:dyDescent="0.25">
      <c r="B47" s="26">
        <f>SUM(L47:CW47)</f>
      </c>
      <c r="D47" s="27">
        <f>B47*E47</f>
      </c>
      <c r="E47" s="27">
        <f>'Rate Tables'!E24</f>
      </c>
      <c r="F47" s="8" t="s">
        <v>41</v>
      </c>
      <c r="L47" s="26">
        <f>IF(L$6="","",IF(WEEKDAY(L$6,1)=1,L44*L43,0))</f>
      </c>
      <c r="M47" s="26">
        <f>IF(M$6="","",IF(WEEKDAY(M$6,1)=1,M44*M43,0))</f>
      </c>
      <c r="N47" s="26">
        <f>IF(N$6="","",IF(WEEKDAY(N$6,1)=1,N44*N43,0))</f>
      </c>
      <c r="O47" s="26">
        <f>IF(O$6="","",IF(WEEKDAY(O$6,1)=1,O44*O43,0))</f>
      </c>
      <c r="P47" s="26">
        <f>IF(P$6="","",IF(WEEKDAY(P$6,1)=1,P44*P43,0))</f>
      </c>
      <c r="Q47" s="26">
        <f>IF(Q$6="","",IF(WEEKDAY(Q$6,1)=1,Q44*Q43,0))</f>
      </c>
      <c r="R47" s="26">
        <f>IF(R$6="","",IF(WEEKDAY(R$6,1)=1,R44*R43,0))</f>
      </c>
      <c r="S47" s="26">
        <f>IF(S$6="","",IF(WEEKDAY(S$6,1)=1,S44*S43,0))</f>
      </c>
      <c r="T47" s="26">
        <f>IF(T$6="","",IF(WEEKDAY(T$6,1)=1,T44*T43,0))</f>
      </c>
      <c r="U47" s="26">
        <f>IF(U$6="","",IF(WEEKDAY(U$6,1)=1,U44*U43,0))</f>
      </c>
      <c r="V47" s="26">
        <f>IF(V$6="","",IF(WEEKDAY(V$6,1)=1,V44*V43,0))</f>
      </c>
      <c r="W47" s="26">
        <f>IF(W$6="","",IF(WEEKDAY(W$6,1)=1,W44*W43,0))</f>
      </c>
      <c r="X47" s="26">
        <f>IF(X$6="","",IF(WEEKDAY(X$6,1)=1,X44*X43,0))</f>
      </c>
      <c r="Y47" s="26">
        <f>IF(Y$6="","",IF(WEEKDAY(Y$6,1)=1,Y44*Y43,0))</f>
      </c>
      <c r="Z47" s="26">
        <f>IF(Z$6="","",IF(WEEKDAY(Z$6,1)=1,Z44*Z43,0))</f>
      </c>
      <c r="AA47" s="26">
        <f>IF(AA$6="","",IF(WEEKDAY(AA$6,1)=1,AA44*AA43,0))</f>
      </c>
      <c r="AB47" s="26">
        <f>IF(AB$6="","",IF(WEEKDAY(AB$6,1)=1,AB44*AB43,0))</f>
      </c>
      <c r="AC47" s="26">
        <f>IF(AC$6="","",IF(WEEKDAY(AC$6,1)=1,AC44*AC43,0))</f>
      </c>
      <c r="AD47" s="26">
        <f>IF(AD$6="","",IF(WEEKDAY(AD$6,1)=1,AD44*AD43,0))</f>
      </c>
      <c r="AE47" s="26">
        <f>IF(AE$6="","",IF(WEEKDAY(AE$6,1)=1,AE44*AE43,0))</f>
      </c>
      <c r="AF47" s="26">
        <f>IF(AF$6="","",IF(WEEKDAY(AF$6,1)=1,AF44*AF43,0))</f>
      </c>
      <c r="AG47" s="26">
        <f>IF(AG$6="","",IF(WEEKDAY(AG$6,1)=1,AG44*AG43,0))</f>
      </c>
      <c r="AH47" s="26">
        <f>IF(AH$6="","",IF(WEEKDAY(AH$6,1)=1,AH44*AH43,0))</f>
      </c>
      <c r="AI47" s="26">
        <f>IF(AI$6="","",IF(WEEKDAY(AI$6,1)=1,AI44*AI43,0))</f>
      </c>
      <c r="AJ47" s="26">
        <f>IF(AJ$6="","",IF(WEEKDAY(AJ$6,1)=1,AJ44*AJ43,0))</f>
      </c>
      <c r="AK47" s="26">
        <f>IF(AK$6="","",IF(WEEKDAY(AK$6,1)=1,AK44*AK43,0))</f>
      </c>
      <c r="AL47" s="26">
        <f>IF(AL$6="","",IF(WEEKDAY(AL$6,1)=1,AL44*AL43,0))</f>
      </c>
      <c r="AM47" s="26">
        <f>IF(AM$6="","",IF(WEEKDAY(AM$6,1)=1,AM44*AM43,0))</f>
      </c>
      <c r="AN47" s="26">
        <f>IF(AN$6="","",IF(WEEKDAY(AN$6,1)=1,AN44*AN43,0))</f>
      </c>
      <c r="AO47" s="26">
        <f>IF(AO$6="","",IF(WEEKDAY(AO$6,1)=1,AO44*AO43,0))</f>
      </c>
      <c r="AP47" s="26">
        <f>IF(AP$6="","",IF(WEEKDAY(AP$6,1)=1,AP44*AP43,0))</f>
      </c>
      <c r="AQ47" s="26">
        <f>IF(AQ$6="","",IF(WEEKDAY(AQ$6,1)=1,AQ44*AQ43,0))</f>
      </c>
      <c r="AR47" s="26">
        <f>IF(AR$6="","",IF(WEEKDAY(AR$6,1)=1,AR44*AR43,0))</f>
      </c>
      <c r="AS47" s="26">
        <f>IF(AS$6="","",IF(WEEKDAY(AS$6,1)=1,AS44*AS43,0))</f>
      </c>
      <c r="AT47" s="26">
        <f>IF(AT$6="","",IF(WEEKDAY(AT$6,1)=1,AT44*AT43,0))</f>
      </c>
      <c r="AU47" s="26">
        <f>IF(AU$6="","",IF(WEEKDAY(AU$6,1)=1,AU44*AU43,0))</f>
      </c>
      <c r="AV47" s="26">
        <f>IF(AV$6="","",IF(WEEKDAY(AV$6,1)=1,AV44*AV43,0))</f>
      </c>
      <c r="AW47" s="26">
        <f>IF(AW$6="","",IF(WEEKDAY(AW$6,1)=1,AW44*AW43,0))</f>
      </c>
      <c r="AX47" s="26">
        <f>IF(AX$6="","",IF(WEEKDAY(AX$6,1)=1,AX44*AX43,0))</f>
      </c>
      <c r="AY47" s="26">
        <f>IF(AY$6="","",IF(WEEKDAY(AY$6,1)=1,AY44*AY43,0))</f>
      </c>
      <c r="AZ47" s="26">
        <f>IF(AZ$6="","",IF(WEEKDAY(AZ$6,1)=1,AZ44*AZ43,0))</f>
      </c>
      <c r="BA47" s="26">
        <f>IF(BA$6="","",IF(WEEKDAY(BA$6,1)=1,BA44*BA43,0))</f>
      </c>
      <c r="BB47" s="26">
        <f>IF(BB$6="","",IF(WEEKDAY(BB$6,1)=1,BB44*BB43,0))</f>
      </c>
      <c r="BC47" s="26">
        <f>IF(BC$6="","",IF(WEEKDAY(BC$6,1)=1,BC44*BC43,0))</f>
      </c>
      <c r="BD47" s="26">
        <f>IF(BD$6="","",IF(WEEKDAY(BD$6,1)=1,BD44*BD43,0))</f>
      </c>
      <c r="BE47" s="26">
        <f>IF(BE$6="","",IF(WEEKDAY(BE$6,1)=1,BE44*BE43,0))</f>
      </c>
      <c r="BF47" s="26">
        <f>IF(BF$6="","",IF(WEEKDAY(BF$6,1)=1,BF44*BF43,0))</f>
      </c>
      <c r="BG47" s="26">
        <f>IF(BG$6="","",IF(WEEKDAY(BG$6,1)=1,BG44*BG43,0))</f>
      </c>
      <c r="BH47" s="26">
        <f>IF(BH$6="","",IF(WEEKDAY(BH$6,1)=1,BH44*BH43,0))</f>
      </c>
      <c r="BI47" s="26">
        <f>IF(BI$6="","",IF(WEEKDAY(BI$6,1)=1,BI44*BI43,0))</f>
      </c>
      <c r="BJ47" s="26">
        <f>IF(BJ$6="","",IF(WEEKDAY(BJ$6,1)=1,BJ44*BJ43,0))</f>
      </c>
      <c r="BK47" s="26">
        <f>IF(BK$6="","",IF(WEEKDAY(BK$6,1)=1,BK44*BK43,0))</f>
      </c>
      <c r="BL47" s="26">
        <f>IF(BL$6="","",IF(WEEKDAY(BL$6,1)=1,BL44*BL43,0))</f>
      </c>
      <c r="BM47" s="26">
        <f>IF(BM$6="","",IF(WEEKDAY(BM$6,1)=1,BM44*BM43,0))</f>
      </c>
      <c r="BN47" s="26">
        <f>IF(BN$6="","",IF(WEEKDAY(BN$6,1)=1,BN44*BN43,0))</f>
      </c>
      <c r="BO47" s="26">
        <f>IF(BO$6="","",IF(WEEKDAY(BO$6,1)=1,BO44*BO43,0))</f>
      </c>
      <c r="BP47" s="26">
        <f>IF(BP$6="","",IF(WEEKDAY(BP$6,1)=1,BP44*BP43,0))</f>
      </c>
      <c r="BQ47" s="26">
        <f>IF(BQ$6="","",IF(WEEKDAY(BQ$6,1)=1,BQ44*BQ43,0))</f>
      </c>
      <c r="BR47" s="26">
        <f>IF(BR$6="","",IF(WEEKDAY(BR$6,1)=1,BR44*BR43,0))</f>
      </c>
      <c r="BS47" s="26">
        <f>IF(BS$6="","",IF(WEEKDAY(BS$6,1)=1,BS44*BS43,0))</f>
      </c>
      <c r="BT47" s="26">
        <f>IF(BT$6="","",IF(WEEKDAY(BT$6,1)=1,BT44*BT43,0))</f>
      </c>
      <c r="BU47" s="26">
        <f>IF(BU$6="","",IF(WEEKDAY(BU$6,1)=1,BU44*BU43,0))</f>
      </c>
      <c r="BV47" s="26">
        <f>IF(BV$6="","",IF(WEEKDAY(BV$6,1)=1,BV44*BV43,0))</f>
      </c>
      <c r="BW47" s="26">
        <f>IF(BW$6="","",IF(WEEKDAY(BW$6,1)=1,BW44*BW43,0))</f>
      </c>
      <c r="BX47" s="26">
        <f>IF(BX$6="","",IF(WEEKDAY(BX$6,1)=1,BX44*BX43,0))</f>
      </c>
      <c r="BY47" s="26">
        <f>IF(BY$6="","",IF(WEEKDAY(BY$6,1)=1,BY44*BY43,0))</f>
      </c>
      <c r="BZ47" s="26">
        <f>IF(BZ$6="","",IF(WEEKDAY(BZ$6,1)=1,BZ44*BZ43,0))</f>
      </c>
      <c r="CA47" s="26">
        <f>IF(CA$6="","",IF(WEEKDAY(CA$6,1)=1,CA44*CA43,0))</f>
      </c>
      <c r="CB47" s="26">
        <f>IF(CB$6="","",IF(WEEKDAY(CB$6,1)=1,CB44*CB43,0))</f>
      </c>
      <c r="CC47" s="26">
        <f>IF(CC$6="","",IF(WEEKDAY(CC$6,1)=1,CC44*CC43,0))</f>
      </c>
      <c r="CD47" s="26">
        <f>IF(CD$6="","",IF(WEEKDAY(CD$6,1)=1,CD44*CD43,0))</f>
      </c>
      <c r="CE47" s="26">
        <f>IF(CE$6="","",IF(WEEKDAY(CE$6,1)=1,CE44*CE43,0))</f>
      </c>
      <c r="CF47" s="26">
        <f>IF(CF$6="","",IF(WEEKDAY(CF$6,1)=1,CF44*CF43,0))</f>
      </c>
      <c r="CG47" s="26">
        <f>IF(CG$6="","",IF(WEEKDAY(CG$6,1)=1,CG44*CG43,0))</f>
      </c>
      <c r="CH47" s="26">
        <f>IF(CH$6="","",IF(WEEKDAY(CH$6,1)=1,CH44*CH43,0))</f>
      </c>
      <c r="CI47" s="26">
        <f>IF(CI$6="","",IF(WEEKDAY(CI$6,1)=1,CI44*CI43,0))</f>
      </c>
      <c r="CJ47" s="26">
        <f>IF(CJ$6="","",IF(WEEKDAY(CJ$6,1)=1,CJ44*CJ43,0))</f>
      </c>
      <c r="CK47" s="26">
        <f>IF(CK$6="","",IF(WEEKDAY(CK$6,1)=1,CK44*CK43,0))</f>
      </c>
      <c r="CL47" s="26">
        <f>IF(CL$6="","",IF(WEEKDAY(CL$6,1)=1,CL44*CL43,0))</f>
      </c>
      <c r="CM47" s="26">
        <f>IF(CM$6="","",IF(WEEKDAY(CM$6,1)=1,CM44*CM43,0))</f>
      </c>
      <c r="CN47" s="26">
        <f>IF(CN$6="","",IF(WEEKDAY(CN$6,1)=1,CN44*CN43,0))</f>
      </c>
      <c r="CO47" s="26">
        <f>IF(CO$6="","",IF(WEEKDAY(CO$6,1)=1,CO44*CO43,0))</f>
      </c>
      <c r="CP47" s="26">
        <f>IF(CP$6="","",IF(WEEKDAY(CP$6,1)=1,CP44*CP43,0))</f>
      </c>
      <c r="CQ47" s="26">
        <f>IF(CQ$6="","",IF(WEEKDAY(CQ$6,1)=1,CQ44*CQ43,0))</f>
      </c>
      <c r="CR47" s="26">
        <f>IF(CR$6="","",IF(WEEKDAY(CR$6,1)=1,CR44*CR43,0))</f>
      </c>
      <c r="CS47" s="26">
        <f>IF(CS$6="","",IF(WEEKDAY(CS$6,1)=1,CS44*CS43,0))</f>
      </c>
      <c r="CT47" s="26">
        <f>IF(CT$6="","",IF(WEEKDAY(CT$6,1)=1,CT44*CT43,0))</f>
      </c>
      <c r="CU47" s="26">
        <f>IF(CU$6="","",IF(WEEKDAY(CU$6,1)=1,CU44*CU43,0))</f>
      </c>
      <c r="CV47" s="26">
        <f>IF(CV$6="","",IF(WEEKDAY(CV$6,1)=1,CV44*CV43,0))</f>
      </c>
      <c r="CW47" s="26">
        <f>IF(CW$6="","",IF(WEEKDAY(CW$6,1)=1,CW44*CW43,0))</f>
      </c>
      <c r="CX47" s="8" t="s">
        <v>102</v>
      </c>
    </row>
    <row r="48" spans="2:102" x14ac:dyDescent="0.25">
      <c r="B48" s="26">
        <f>SUM(L48:CW48)</f>
      </c>
      <c r="D48" s="27">
        <f>B48*E48</f>
      </c>
      <c r="E48" s="27">
        <v>130</v>
      </c>
      <c r="F48" s="8" t="s">
        <v>42</v>
      </c>
      <c r="L48" s="28">
        <v>0</v>
      </c>
      <c r="M48" s="28">
        <v>0</v>
      </c>
      <c r="N48" s="28">
        <v>0</v>
      </c>
      <c r="O48" s="28">
        <v>0</v>
      </c>
      <c r="P48" s="28">
        <v>0</v>
      </c>
      <c r="Q48" s="28">
        <v>0</v>
      </c>
      <c r="R48" s="28">
        <v>0</v>
      </c>
      <c r="S48" s="28">
        <v>0</v>
      </c>
      <c r="T48" s="28">
        <v>0</v>
      </c>
      <c r="U48" s="28">
        <v>0</v>
      </c>
      <c r="V48" s="28">
        <v>0</v>
      </c>
      <c r="W48" s="28">
        <v>0</v>
      </c>
      <c r="X48" s="28">
        <v>0</v>
      </c>
      <c r="Y48" s="28">
        <v>0</v>
      </c>
      <c r="Z48" s="28">
        <v>0</v>
      </c>
      <c r="AA48" s="28">
        <v>0</v>
      </c>
      <c r="AB48" s="28">
        <v>0</v>
      </c>
      <c r="AC48" s="28">
        <v>0</v>
      </c>
      <c r="AD48" s="28">
        <v>0</v>
      </c>
      <c r="AE48" s="28">
        <v>0</v>
      </c>
      <c r="AF48" s="28">
        <v>0</v>
      </c>
      <c r="AG48" s="28">
        <v>0</v>
      </c>
      <c r="AH48" s="28">
        <v>0</v>
      </c>
      <c r="AI48" s="28">
        <v>0</v>
      </c>
      <c r="AJ48" s="28">
        <v>0</v>
      </c>
      <c r="AK48" s="28">
        <v>0</v>
      </c>
      <c r="AL48" s="28">
        <v>0</v>
      </c>
      <c r="AM48" s="28">
        <v>0</v>
      </c>
      <c r="AN48" s="28">
        <v>0</v>
      </c>
      <c r="AO48" s="28">
        <v>0</v>
      </c>
      <c r="AP48" s="28">
        <v>0</v>
      </c>
      <c r="AQ48" s="28">
        <v>0</v>
      </c>
      <c r="AR48" s="28">
        <v>0</v>
      </c>
      <c r="AS48" s="28">
        <v>0</v>
      </c>
      <c r="AT48" s="28">
        <v>0</v>
      </c>
      <c r="AU48" s="28">
        <v>0</v>
      </c>
      <c r="AV48" s="28">
        <v>0</v>
      </c>
      <c r="AW48" s="28">
        <v>0</v>
      </c>
      <c r="AX48" s="28">
        <v>0</v>
      </c>
      <c r="AY48" s="28">
        <v>0</v>
      </c>
      <c r="AZ48" s="28">
        <v>0</v>
      </c>
      <c r="BA48" s="28">
        <v>0</v>
      </c>
      <c r="BB48" s="28">
        <v>0</v>
      </c>
      <c r="BC48" s="28">
        <v>0</v>
      </c>
      <c r="BD48" s="28">
        <v>0</v>
      </c>
      <c r="BE48" s="28">
        <v>0</v>
      </c>
      <c r="BF48" s="28">
        <v>0</v>
      </c>
      <c r="BG48" s="28">
        <v>0</v>
      </c>
      <c r="BH48" s="28">
        <v>0</v>
      </c>
      <c r="BI48" s="28">
        <v>1</v>
      </c>
      <c r="BJ48" s="28">
        <v>1</v>
      </c>
      <c r="BK48" s="28">
        <v>1</v>
      </c>
      <c r="BL48" s="28">
        <v>1</v>
      </c>
      <c r="BM48" s="28">
        <v>1</v>
      </c>
      <c r="BN48" s="28">
        <v>1</v>
      </c>
      <c r="BO48" s="28">
        <v>1</v>
      </c>
      <c r="BP48" s="28">
        <v>1</v>
      </c>
      <c r="BQ48" s="28">
        <v>1</v>
      </c>
      <c r="BR48" s="28">
        <v>1</v>
      </c>
      <c r="BS48" s="28">
        <v>1</v>
      </c>
      <c r="BT48" s="28">
        <v>1</v>
      </c>
      <c r="BU48" s="28">
        <v>1</v>
      </c>
      <c r="BV48" s="28">
        <v>1</v>
      </c>
      <c r="BW48" s="28">
        <v>1</v>
      </c>
      <c r="BX48" s="28">
        <v>1</v>
      </c>
      <c r="BY48" s="28">
        <v>1</v>
      </c>
      <c r="BZ48" s="28">
        <v>1</v>
      </c>
      <c r="CA48" s="28">
        <v>1</v>
      </c>
      <c r="CB48" s="28">
        <v>1</v>
      </c>
      <c r="CC48" s="28">
        <v>0</v>
      </c>
      <c r="CD48" s="28">
        <v>1</v>
      </c>
      <c r="CE48" s="28">
        <v>1</v>
      </c>
      <c r="CF48" s="28">
        <v>1</v>
      </c>
      <c r="CG48" s="28">
        <v>1</v>
      </c>
      <c r="CH48" s="28">
        <v>1</v>
      </c>
      <c r="CI48" s="28">
        <v>1</v>
      </c>
      <c r="CJ48" s="28">
        <v>1</v>
      </c>
      <c r="CK48" s="28">
        <v>1</v>
      </c>
      <c r="CL48" s="28">
        <v>1</v>
      </c>
      <c r="CM48" s="28">
        <v>1</v>
      </c>
      <c r="CN48" s="28">
        <v>1</v>
      </c>
      <c r="CO48" s="28">
        <v>1</v>
      </c>
      <c r="CP48" s="28">
        <v>1</v>
      </c>
      <c r="CQ48" s="28">
        <v>0</v>
      </c>
      <c r="CR48" s="28">
        <v>1</v>
      </c>
      <c r="CS48" s="28">
        <v>1</v>
      </c>
      <c r="CT48" s="28">
        <v>1</v>
      </c>
      <c r="CU48" s="28">
        <v>1</v>
      </c>
      <c r="CV48" s="28">
        <v>1</v>
      </c>
      <c r="CW48" s="28">
        <v>1</v>
      </c>
      <c r="CX48" s="8" t="s">
        <v>102</v>
      </c>
    </row>
    <row r="49" spans="1:102" x14ac:dyDescent="0.25">
      <c r="A49" s="20" t="s">
        <v>32</v>
      </c>
      <c r="B49" s="21">
        <f>G49+H49+I49</f>
      </c>
      <c r="C49" s="20" t="s">
        <v>100</v>
      </c>
      <c r="D49" s="22">
        <f>K49</f>
      </c>
      <c r="F49" s="20" t="s">
        <v>34</v>
      </c>
      <c r="G49" s="21">
        <f>B52</f>
      </c>
      <c r="H49" s="21">
        <f>B53</f>
      </c>
      <c r="I49" s="21">
        <f>B54</f>
      </c>
      <c r="J49" s="21">
        <f>B55</f>
      </c>
      <c r="K49" s="22">
        <f>D52+D53+D54</f>
      </c>
      <c r="CX49" s="20" t="s">
        <v>103</v>
      </c>
    </row>
    <row r="50" spans="6:102" x14ac:dyDescent="0.25">
      <c r="F50" s="23" t="s">
        <v>36</v>
      </c>
      <c r="L50" s="24">
        <v>1</v>
      </c>
      <c r="M50" s="24">
        <v>1</v>
      </c>
      <c r="N50" s="24">
        <v>1</v>
      </c>
      <c r="O50" s="24">
        <v>1</v>
      </c>
      <c r="P50" s="24">
        <v>1</v>
      </c>
      <c r="Q50" s="24">
        <v>0</v>
      </c>
      <c r="R50" s="24">
        <v>0</v>
      </c>
      <c r="S50" s="24">
        <v>1</v>
      </c>
      <c r="T50" s="24">
        <v>1</v>
      </c>
      <c r="U50" s="24">
        <v>1</v>
      </c>
      <c r="V50" s="24">
        <v>1</v>
      </c>
      <c r="W50" s="24">
        <v>1</v>
      </c>
      <c r="X50" s="24">
        <v>0</v>
      </c>
      <c r="Y50" s="24">
        <v>0</v>
      </c>
      <c r="Z50" s="24">
        <v>1</v>
      </c>
      <c r="AA50" s="24">
        <v>1</v>
      </c>
      <c r="AB50" s="24">
        <v>1</v>
      </c>
      <c r="AC50" s="24">
        <v>1</v>
      </c>
      <c r="AD50" s="24">
        <v>1</v>
      </c>
      <c r="AE50" s="24">
        <v>0</v>
      </c>
      <c r="AF50" s="24">
        <v>0</v>
      </c>
      <c r="AG50" s="24">
        <v>1</v>
      </c>
      <c r="AH50" s="24">
        <v>1</v>
      </c>
      <c r="AI50" s="24">
        <v>1</v>
      </c>
      <c r="AJ50" s="24">
        <v>1</v>
      </c>
      <c r="AK50" s="24">
        <v>1</v>
      </c>
      <c r="AL50" s="24">
        <v>0</v>
      </c>
      <c r="AM50" s="24">
        <v>0</v>
      </c>
      <c r="AN50" s="24">
        <v>1</v>
      </c>
      <c r="AO50" s="24">
        <v>1</v>
      </c>
      <c r="AP50" s="24">
        <v>1</v>
      </c>
      <c r="AQ50" s="24">
        <v>1</v>
      </c>
      <c r="AR50" s="24">
        <v>1</v>
      </c>
      <c r="AS50" s="24">
        <v>0</v>
      </c>
      <c r="AT50" s="24">
        <v>0</v>
      </c>
      <c r="AU50" s="24">
        <v>1</v>
      </c>
      <c r="AV50" s="24">
        <v>1</v>
      </c>
      <c r="AW50" s="24">
        <v>1</v>
      </c>
      <c r="AX50" s="24">
        <v>1</v>
      </c>
      <c r="AY50" s="24">
        <v>1</v>
      </c>
      <c r="AZ50" s="24">
        <v>0</v>
      </c>
      <c r="BA50" s="24">
        <v>0</v>
      </c>
      <c r="BB50" s="24">
        <v>1</v>
      </c>
      <c r="BC50" s="24">
        <v>1</v>
      </c>
      <c r="BD50" s="24">
        <v>1</v>
      </c>
      <c r="BE50" s="24">
        <v>1</v>
      </c>
      <c r="BF50" s="24">
        <v>1</v>
      </c>
      <c r="BG50" s="24">
        <v>0</v>
      </c>
      <c r="BH50" s="24">
        <v>0</v>
      </c>
      <c r="BI50" s="24">
        <v>2</v>
      </c>
      <c r="BJ50" s="24">
        <v>2</v>
      </c>
      <c r="BK50" s="24">
        <v>2</v>
      </c>
      <c r="BL50" s="24">
        <v>2</v>
      </c>
      <c r="BM50" s="24">
        <v>2</v>
      </c>
      <c r="BN50" s="24">
        <v>2</v>
      </c>
      <c r="BO50" s="24">
        <v>2</v>
      </c>
      <c r="BP50" s="24">
        <v>2</v>
      </c>
      <c r="BQ50" s="24">
        <v>2</v>
      </c>
      <c r="BR50" s="24">
        <v>2</v>
      </c>
      <c r="BS50" s="24">
        <v>2</v>
      </c>
      <c r="BT50" s="24">
        <v>2</v>
      </c>
      <c r="BU50" s="24">
        <v>2</v>
      </c>
      <c r="BV50" s="24">
        <v>2</v>
      </c>
      <c r="BW50" s="24">
        <v>2</v>
      </c>
      <c r="BX50" s="24">
        <v>2</v>
      </c>
      <c r="BY50" s="24">
        <v>2</v>
      </c>
      <c r="BZ50" s="24">
        <v>2</v>
      </c>
      <c r="CA50" s="24">
        <v>2</v>
      </c>
      <c r="CB50" s="24">
        <v>2</v>
      </c>
      <c r="CC50" s="24">
        <v>2</v>
      </c>
      <c r="CD50" s="24">
        <v>2</v>
      </c>
      <c r="CE50" s="24">
        <v>2</v>
      </c>
      <c r="CF50" s="24">
        <v>2</v>
      </c>
      <c r="CG50" s="24">
        <v>2</v>
      </c>
      <c r="CH50" s="24">
        <v>2</v>
      </c>
      <c r="CI50" s="24">
        <v>2</v>
      </c>
      <c r="CJ50" s="24">
        <v>2</v>
      </c>
      <c r="CK50" s="24">
        <v>2</v>
      </c>
      <c r="CL50" s="24">
        <v>2</v>
      </c>
      <c r="CM50" s="24">
        <v>2</v>
      </c>
      <c r="CN50" s="24">
        <v>2</v>
      </c>
      <c r="CO50" s="24">
        <v>2</v>
      </c>
      <c r="CP50" s="24">
        <v>2</v>
      </c>
      <c r="CQ50" s="24">
        <v>2</v>
      </c>
      <c r="CR50" s="24">
        <v>2</v>
      </c>
      <c r="CS50" s="24">
        <v>2</v>
      </c>
      <c r="CT50" s="24">
        <v>2</v>
      </c>
      <c r="CU50" s="24">
        <v>2</v>
      </c>
      <c r="CV50" s="24">
        <v>2</v>
      </c>
      <c r="CW50" s="24">
        <v>2</v>
      </c>
      <c r="CX50" s="23" t="s">
        <v>103</v>
      </c>
    </row>
    <row r="51" spans="1:102" x14ac:dyDescent="0.25">
      <c r="A51" s="23" t="s">
        <v>37</v>
      </c>
      <c r="F51" s="23" t="s">
        <v>38</v>
      </c>
      <c r="L51" s="25">
        <v>8</v>
      </c>
      <c r="M51" s="25">
        <v>8</v>
      </c>
      <c r="N51" s="25">
        <v>8</v>
      </c>
      <c r="O51" s="25">
        <v>8</v>
      </c>
      <c r="P51" s="25">
        <v>8</v>
      </c>
      <c r="Q51" s="25">
        <v>0</v>
      </c>
      <c r="R51" s="25">
        <v>0</v>
      </c>
      <c r="S51" s="25">
        <v>8</v>
      </c>
      <c r="T51" s="25">
        <v>8</v>
      </c>
      <c r="U51" s="25">
        <v>8</v>
      </c>
      <c r="V51" s="25">
        <v>8</v>
      </c>
      <c r="W51" s="25">
        <v>8</v>
      </c>
      <c r="X51" s="25">
        <v>0</v>
      </c>
      <c r="Y51" s="25">
        <v>0</v>
      </c>
      <c r="Z51" s="25">
        <v>8</v>
      </c>
      <c r="AA51" s="25">
        <v>8</v>
      </c>
      <c r="AB51" s="25">
        <v>8</v>
      </c>
      <c r="AC51" s="25">
        <v>8</v>
      </c>
      <c r="AD51" s="25">
        <v>8</v>
      </c>
      <c r="AE51" s="25">
        <v>0</v>
      </c>
      <c r="AF51" s="25">
        <v>0</v>
      </c>
      <c r="AG51" s="25">
        <v>8</v>
      </c>
      <c r="AH51" s="25">
        <v>8</v>
      </c>
      <c r="AI51" s="25">
        <v>8</v>
      </c>
      <c r="AJ51" s="25">
        <v>8</v>
      </c>
      <c r="AK51" s="25">
        <v>8</v>
      </c>
      <c r="AL51" s="25">
        <v>0</v>
      </c>
      <c r="AM51" s="25">
        <v>0</v>
      </c>
      <c r="AN51" s="25">
        <v>8</v>
      </c>
      <c r="AO51" s="25">
        <v>8</v>
      </c>
      <c r="AP51" s="25">
        <v>8</v>
      </c>
      <c r="AQ51" s="25">
        <v>8</v>
      </c>
      <c r="AR51" s="25">
        <v>8</v>
      </c>
      <c r="AS51" s="25">
        <v>0</v>
      </c>
      <c r="AT51" s="25">
        <v>0</v>
      </c>
      <c r="AU51" s="25">
        <v>8</v>
      </c>
      <c r="AV51" s="25">
        <v>8</v>
      </c>
      <c r="AW51" s="25">
        <v>8</v>
      </c>
      <c r="AX51" s="25">
        <v>8</v>
      </c>
      <c r="AY51" s="25">
        <v>8</v>
      </c>
      <c r="AZ51" s="25">
        <v>0</v>
      </c>
      <c r="BA51" s="25">
        <v>0</v>
      </c>
      <c r="BB51" s="25">
        <v>8</v>
      </c>
      <c r="BC51" s="25">
        <v>8</v>
      </c>
      <c r="BD51" s="25">
        <v>8</v>
      </c>
      <c r="BE51" s="25">
        <v>8</v>
      </c>
      <c r="BF51" s="25">
        <v>8</v>
      </c>
      <c r="BG51" s="25">
        <v>0</v>
      </c>
      <c r="BH51" s="25">
        <v>0</v>
      </c>
      <c r="BI51" s="25">
        <v>10</v>
      </c>
      <c r="BJ51" s="25">
        <v>10</v>
      </c>
      <c r="BK51" s="25">
        <v>10</v>
      </c>
      <c r="BL51" s="25">
        <v>10</v>
      </c>
      <c r="BM51" s="25">
        <v>10</v>
      </c>
      <c r="BN51" s="25">
        <v>10</v>
      </c>
      <c r="BO51" s="25">
        <v>10</v>
      </c>
      <c r="BP51" s="25">
        <v>10</v>
      </c>
      <c r="BQ51" s="25">
        <v>10</v>
      </c>
      <c r="BR51" s="25">
        <v>10</v>
      </c>
      <c r="BS51" s="25">
        <v>10</v>
      </c>
      <c r="BT51" s="25">
        <v>10</v>
      </c>
      <c r="BU51" s="25">
        <v>10</v>
      </c>
      <c r="BV51" s="25">
        <v>10</v>
      </c>
      <c r="BW51" s="25">
        <v>10</v>
      </c>
      <c r="BX51" s="25">
        <v>10</v>
      </c>
      <c r="BY51" s="25">
        <v>10</v>
      </c>
      <c r="BZ51" s="25">
        <v>10</v>
      </c>
      <c r="CA51" s="25">
        <v>10</v>
      </c>
      <c r="CB51" s="25">
        <v>10</v>
      </c>
      <c r="CC51" s="25">
        <v>10</v>
      </c>
      <c r="CD51" s="25">
        <v>10</v>
      </c>
      <c r="CE51" s="25">
        <v>10</v>
      </c>
      <c r="CF51" s="25">
        <v>10</v>
      </c>
      <c r="CG51" s="25">
        <v>10</v>
      </c>
      <c r="CH51" s="25">
        <v>10</v>
      </c>
      <c r="CI51" s="25">
        <v>10</v>
      </c>
      <c r="CJ51" s="25">
        <v>10</v>
      </c>
      <c r="CK51" s="25">
        <v>10</v>
      </c>
      <c r="CL51" s="25">
        <v>10</v>
      </c>
      <c r="CM51" s="25">
        <v>10</v>
      </c>
      <c r="CN51" s="25">
        <v>10</v>
      </c>
      <c r="CO51" s="25">
        <v>10</v>
      </c>
      <c r="CP51" s="25">
        <v>10</v>
      </c>
      <c r="CQ51" s="25">
        <v>10</v>
      </c>
      <c r="CR51" s="25">
        <v>10</v>
      </c>
      <c r="CS51" s="25">
        <v>10</v>
      </c>
      <c r="CT51" s="25">
        <v>10</v>
      </c>
      <c r="CU51" s="25">
        <v>10</v>
      </c>
      <c r="CV51" s="25">
        <v>10</v>
      </c>
      <c r="CW51" s="25">
        <v>10</v>
      </c>
      <c r="CX51" s="23" t="s">
        <v>103</v>
      </c>
    </row>
    <row r="52" spans="2:102" x14ac:dyDescent="0.25">
      <c r="B52" s="26">
        <f>SUM(L52:CW52)</f>
      </c>
      <c r="D52" s="27">
        <f>B52*E52</f>
      </c>
      <c r="E52" s="27">
        <f>'Rate Tables'!C24</f>
      </c>
      <c r="F52" s="8" t="s">
        <v>39</v>
      </c>
      <c r="L52" s="26">
        <f>IF(L$6="","",IF(OR(WEEKDAY(L$6,1)=1,WEEKDAY(L$6,1)=7),0,MIN(8,L51)*L50))</f>
      </c>
      <c r="M52" s="26">
        <f>IF(M$6="","",IF(OR(WEEKDAY(M$6,1)=1,WEEKDAY(M$6,1)=7),0,MIN(8,M51)*M50))</f>
      </c>
      <c r="N52" s="26">
        <f>IF(N$6="","",IF(OR(WEEKDAY(N$6,1)=1,WEEKDAY(N$6,1)=7),0,MIN(8,N51)*N50))</f>
      </c>
      <c r="O52" s="26">
        <f>IF(O$6="","",IF(OR(WEEKDAY(O$6,1)=1,WEEKDAY(O$6,1)=7),0,MIN(8,O51)*O50))</f>
      </c>
      <c r="P52" s="26">
        <f>IF(P$6="","",IF(OR(WEEKDAY(P$6,1)=1,WEEKDAY(P$6,1)=7),0,MIN(8,P51)*P50))</f>
      </c>
      <c r="Q52" s="26">
        <f>IF(Q$6="","",IF(OR(WEEKDAY(Q$6,1)=1,WEEKDAY(Q$6,1)=7),0,MIN(8,Q51)*Q50))</f>
      </c>
      <c r="R52" s="26">
        <f>IF(R$6="","",IF(OR(WEEKDAY(R$6,1)=1,WEEKDAY(R$6,1)=7),0,MIN(8,R51)*R50))</f>
      </c>
      <c r="S52" s="26">
        <f>IF(S$6="","",IF(OR(WEEKDAY(S$6,1)=1,WEEKDAY(S$6,1)=7),0,MIN(8,S51)*S50))</f>
      </c>
      <c r="T52" s="26">
        <f>IF(T$6="","",IF(OR(WEEKDAY(T$6,1)=1,WEEKDAY(T$6,1)=7),0,MIN(8,T51)*T50))</f>
      </c>
      <c r="U52" s="26">
        <f>IF(U$6="","",IF(OR(WEEKDAY(U$6,1)=1,WEEKDAY(U$6,1)=7),0,MIN(8,U51)*U50))</f>
      </c>
      <c r="V52" s="26">
        <f>IF(V$6="","",IF(OR(WEEKDAY(V$6,1)=1,WEEKDAY(V$6,1)=7),0,MIN(8,V51)*V50))</f>
      </c>
      <c r="W52" s="26">
        <f>IF(W$6="","",IF(OR(WEEKDAY(W$6,1)=1,WEEKDAY(W$6,1)=7),0,MIN(8,W51)*W50))</f>
      </c>
      <c r="X52" s="26">
        <f>IF(X$6="","",IF(OR(WEEKDAY(X$6,1)=1,WEEKDAY(X$6,1)=7),0,MIN(8,X51)*X50))</f>
      </c>
      <c r="Y52" s="26">
        <f>IF(Y$6="","",IF(OR(WEEKDAY(Y$6,1)=1,WEEKDAY(Y$6,1)=7),0,MIN(8,Y51)*Y50))</f>
      </c>
      <c r="Z52" s="26">
        <f>IF(Z$6="","",IF(OR(WEEKDAY(Z$6,1)=1,WEEKDAY(Z$6,1)=7),0,MIN(8,Z51)*Z50))</f>
      </c>
      <c r="AA52" s="26">
        <f>IF(AA$6="","",IF(OR(WEEKDAY(AA$6,1)=1,WEEKDAY(AA$6,1)=7),0,MIN(8,AA51)*AA50))</f>
      </c>
      <c r="AB52" s="26">
        <f>IF(AB$6="","",IF(OR(WEEKDAY(AB$6,1)=1,WEEKDAY(AB$6,1)=7),0,MIN(8,AB51)*AB50))</f>
      </c>
      <c r="AC52" s="26">
        <f>IF(AC$6="","",IF(OR(WEEKDAY(AC$6,1)=1,WEEKDAY(AC$6,1)=7),0,MIN(8,AC51)*AC50))</f>
      </c>
      <c r="AD52" s="26">
        <f>IF(AD$6="","",IF(OR(WEEKDAY(AD$6,1)=1,WEEKDAY(AD$6,1)=7),0,MIN(8,AD51)*AD50))</f>
      </c>
      <c r="AE52" s="26">
        <f>IF(AE$6="","",IF(OR(WEEKDAY(AE$6,1)=1,WEEKDAY(AE$6,1)=7),0,MIN(8,AE51)*AE50))</f>
      </c>
      <c r="AF52" s="26">
        <f>IF(AF$6="","",IF(OR(WEEKDAY(AF$6,1)=1,WEEKDAY(AF$6,1)=7),0,MIN(8,AF51)*AF50))</f>
      </c>
      <c r="AG52" s="26">
        <f>IF(AG$6="","",IF(OR(WEEKDAY(AG$6,1)=1,WEEKDAY(AG$6,1)=7),0,MIN(8,AG51)*AG50))</f>
      </c>
      <c r="AH52" s="26">
        <f>IF(AH$6="","",IF(OR(WEEKDAY(AH$6,1)=1,WEEKDAY(AH$6,1)=7),0,MIN(8,AH51)*AH50))</f>
      </c>
      <c r="AI52" s="26">
        <f>IF(AI$6="","",IF(OR(WEEKDAY(AI$6,1)=1,WEEKDAY(AI$6,1)=7),0,MIN(8,AI51)*AI50))</f>
      </c>
      <c r="AJ52" s="26">
        <f>IF(AJ$6="","",IF(OR(WEEKDAY(AJ$6,1)=1,WEEKDAY(AJ$6,1)=7),0,MIN(8,AJ51)*AJ50))</f>
      </c>
      <c r="AK52" s="26">
        <f>IF(AK$6="","",IF(OR(WEEKDAY(AK$6,1)=1,WEEKDAY(AK$6,1)=7),0,MIN(8,AK51)*AK50))</f>
      </c>
      <c r="AL52" s="26">
        <f>IF(AL$6="","",IF(OR(WEEKDAY(AL$6,1)=1,WEEKDAY(AL$6,1)=7),0,MIN(8,AL51)*AL50))</f>
      </c>
      <c r="AM52" s="26">
        <f>IF(AM$6="","",IF(OR(WEEKDAY(AM$6,1)=1,WEEKDAY(AM$6,1)=7),0,MIN(8,AM51)*AM50))</f>
      </c>
      <c r="AN52" s="26">
        <f>IF(AN$6="","",IF(OR(WEEKDAY(AN$6,1)=1,WEEKDAY(AN$6,1)=7),0,MIN(8,AN51)*AN50))</f>
      </c>
      <c r="AO52" s="26">
        <f>IF(AO$6="","",IF(OR(WEEKDAY(AO$6,1)=1,WEEKDAY(AO$6,1)=7),0,MIN(8,AO51)*AO50))</f>
      </c>
      <c r="AP52" s="26">
        <f>IF(AP$6="","",IF(OR(WEEKDAY(AP$6,1)=1,WEEKDAY(AP$6,1)=7),0,MIN(8,AP51)*AP50))</f>
      </c>
      <c r="AQ52" s="26">
        <f>IF(AQ$6="","",IF(OR(WEEKDAY(AQ$6,1)=1,WEEKDAY(AQ$6,1)=7),0,MIN(8,AQ51)*AQ50))</f>
      </c>
      <c r="AR52" s="26">
        <f>IF(AR$6="","",IF(OR(WEEKDAY(AR$6,1)=1,WEEKDAY(AR$6,1)=7),0,MIN(8,AR51)*AR50))</f>
      </c>
      <c r="AS52" s="26">
        <f>IF(AS$6="","",IF(OR(WEEKDAY(AS$6,1)=1,WEEKDAY(AS$6,1)=7),0,MIN(8,AS51)*AS50))</f>
      </c>
      <c r="AT52" s="26">
        <f>IF(AT$6="","",IF(OR(WEEKDAY(AT$6,1)=1,WEEKDAY(AT$6,1)=7),0,MIN(8,AT51)*AT50))</f>
      </c>
      <c r="AU52" s="26">
        <f>IF(AU$6="","",IF(OR(WEEKDAY(AU$6,1)=1,WEEKDAY(AU$6,1)=7),0,MIN(8,AU51)*AU50))</f>
      </c>
      <c r="AV52" s="26">
        <f>IF(AV$6="","",IF(OR(WEEKDAY(AV$6,1)=1,WEEKDAY(AV$6,1)=7),0,MIN(8,AV51)*AV50))</f>
      </c>
      <c r="AW52" s="26">
        <f>IF(AW$6="","",IF(OR(WEEKDAY(AW$6,1)=1,WEEKDAY(AW$6,1)=7),0,MIN(8,AW51)*AW50))</f>
      </c>
      <c r="AX52" s="26">
        <f>IF(AX$6="","",IF(OR(WEEKDAY(AX$6,1)=1,WEEKDAY(AX$6,1)=7),0,MIN(8,AX51)*AX50))</f>
      </c>
      <c r="AY52" s="26">
        <f>IF(AY$6="","",IF(OR(WEEKDAY(AY$6,1)=1,WEEKDAY(AY$6,1)=7),0,MIN(8,AY51)*AY50))</f>
      </c>
      <c r="AZ52" s="26">
        <f>IF(AZ$6="","",IF(OR(WEEKDAY(AZ$6,1)=1,WEEKDAY(AZ$6,1)=7),0,MIN(8,AZ51)*AZ50))</f>
      </c>
      <c r="BA52" s="26">
        <f>IF(BA$6="","",IF(OR(WEEKDAY(BA$6,1)=1,WEEKDAY(BA$6,1)=7),0,MIN(8,BA51)*BA50))</f>
      </c>
      <c r="BB52" s="26">
        <f>IF(BB$6="","",IF(OR(WEEKDAY(BB$6,1)=1,WEEKDAY(BB$6,1)=7),0,MIN(8,BB51)*BB50))</f>
      </c>
      <c r="BC52" s="26">
        <f>IF(BC$6="","",IF(OR(WEEKDAY(BC$6,1)=1,WEEKDAY(BC$6,1)=7),0,MIN(8,BC51)*BC50))</f>
      </c>
      <c r="BD52" s="26">
        <f>IF(BD$6="","",IF(OR(WEEKDAY(BD$6,1)=1,WEEKDAY(BD$6,1)=7),0,MIN(8,BD51)*BD50))</f>
      </c>
      <c r="BE52" s="26">
        <f>IF(BE$6="","",IF(OR(WEEKDAY(BE$6,1)=1,WEEKDAY(BE$6,1)=7),0,MIN(8,BE51)*BE50))</f>
      </c>
      <c r="BF52" s="26">
        <f>IF(BF$6="","",IF(OR(WEEKDAY(BF$6,1)=1,WEEKDAY(BF$6,1)=7),0,MIN(8,BF51)*BF50))</f>
      </c>
      <c r="BG52" s="26">
        <f>IF(BG$6="","",IF(OR(WEEKDAY(BG$6,1)=1,WEEKDAY(BG$6,1)=7),0,MIN(8,BG51)*BG50))</f>
      </c>
      <c r="BH52" s="26">
        <f>IF(BH$6="","",IF(OR(WEEKDAY(BH$6,1)=1,WEEKDAY(BH$6,1)=7),0,MIN(8,BH51)*BH50))</f>
      </c>
      <c r="BI52" s="26">
        <f>IF(BI$6="","",IF(OR(WEEKDAY(BI$6,1)=1,WEEKDAY(BI$6,1)=7),0,MIN(8,BI51)*BI50))</f>
      </c>
      <c r="BJ52" s="26">
        <f>IF(BJ$6="","",IF(OR(WEEKDAY(BJ$6,1)=1,WEEKDAY(BJ$6,1)=7),0,MIN(8,BJ51)*BJ50))</f>
      </c>
      <c r="BK52" s="26">
        <f>IF(BK$6="","",IF(OR(WEEKDAY(BK$6,1)=1,WEEKDAY(BK$6,1)=7),0,MIN(8,BK51)*BK50))</f>
      </c>
      <c r="BL52" s="26">
        <f>IF(BL$6="","",IF(OR(WEEKDAY(BL$6,1)=1,WEEKDAY(BL$6,1)=7),0,MIN(8,BL51)*BL50))</f>
      </c>
      <c r="BM52" s="26">
        <f>IF(BM$6="","",IF(OR(WEEKDAY(BM$6,1)=1,WEEKDAY(BM$6,1)=7),0,MIN(8,BM51)*BM50))</f>
      </c>
      <c r="BN52" s="26">
        <f>IF(BN$6="","",IF(OR(WEEKDAY(BN$6,1)=1,WEEKDAY(BN$6,1)=7),0,MIN(8,BN51)*BN50))</f>
      </c>
      <c r="BO52" s="26">
        <f>IF(BO$6="","",IF(OR(WEEKDAY(BO$6,1)=1,WEEKDAY(BO$6,1)=7),0,MIN(8,BO51)*BO50))</f>
      </c>
      <c r="BP52" s="26">
        <f>IF(BP$6="","",IF(OR(WEEKDAY(BP$6,1)=1,WEEKDAY(BP$6,1)=7),0,MIN(8,BP51)*BP50))</f>
      </c>
      <c r="BQ52" s="26">
        <f>IF(BQ$6="","",IF(OR(WEEKDAY(BQ$6,1)=1,WEEKDAY(BQ$6,1)=7),0,MIN(8,BQ51)*BQ50))</f>
      </c>
      <c r="BR52" s="26">
        <f>IF(BR$6="","",IF(OR(WEEKDAY(BR$6,1)=1,WEEKDAY(BR$6,1)=7),0,MIN(8,BR51)*BR50))</f>
      </c>
      <c r="BS52" s="26">
        <f>IF(BS$6="","",IF(OR(WEEKDAY(BS$6,1)=1,WEEKDAY(BS$6,1)=7),0,MIN(8,BS51)*BS50))</f>
      </c>
      <c r="BT52" s="26">
        <f>IF(BT$6="","",IF(OR(WEEKDAY(BT$6,1)=1,WEEKDAY(BT$6,1)=7),0,MIN(8,BT51)*BT50))</f>
      </c>
      <c r="BU52" s="26">
        <f>IF(BU$6="","",IF(OR(WEEKDAY(BU$6,1)=1,WEEKDAY(BU$6,1)=7),0,MIN(8,BU51)*BU50))</f>
      </c>
      <c r="BV52" s="26">
        <f>IF(BV$6="","",IF(OR(WEEKDAY(BV$6,1)=1,WEEKDAY(BV$6,1)=7),0,MIN(8,BV51)*BV50))</f>
      </c>
      <c r="BW52" s="26">
        <f>IF(BW$6="","",IF(OR(WEEKDAY(BW$6,1)=1,WEEKDAY(BW$6,1)=7),0,MIN(8,BW51)*BW50))</f>
      </c>
      <c r="BX52" s="26">
        <f>IF(BX$6="","",IF(OR(WEEKDAY(BX$6,1)=1,WEEKDAY(BX$6,1)=7),0,MIN(8,BX51)*BX50))</f>
      </c>
      <c r="BY52" s="26">
        <f>IF(BY$6="","",IF(OR(WEEKDAY(BY$6,1)=1,WEEKDAY(BY$6,1)=7),0,MIN(8,BY51)*BY50))</f>
      </c>
      <c r="BZ52" s="26">
        <f>IF(BZ$6="","",IF(OR(WEEKDAY(BZ$6,1)=1,WEEKDAY(BZ$6,1)=7),0,MIN(8,BZ51)*BZ50))</f>
      </c>
      <c r="CA52" s="26">
        <f>IF(CA$6="","",IF(OR(WEEKDAY(CA$6,1)=1,WEEKDAY(CA$6,1)=7),0,MIN(8,CA51)*CA50))</f>
      </c>
      <c r="CB52" s="26">
        <f>IF(CB$6="","",IF(OR(WEEKDAY(CB$6,1)=1,WEEKDAY(CB$6,1)=7),0,MIN(8,CB51)*CB50))</f>
      </c>
      <c r="CC52" s="26">
        <f>IF(CC$6="","",IF(OR(WEEKDAY(CC$6,1)=1,WEEKDAY(CC$6,1)=7),0,MIN(8,CC51)*CC50))</f>
      </c>
      <c r="CD52" s="26">
        <f>IF(CD$6="","",IF(OR(WEEKDAY(CD$6,1)=1,WEEKDAY(CD$6,1)=7),0,MIN(8,CD51)*CD50))</f>
      </c>
      <c r="CE52" s="26">
        <f>IF(CE$6="","",IF(OR(WEEKDAY(CE$6,1)=1,WEEKDAY(CE$6,1)=7),0,MIN(8,CE51)*CE50))</f>
      </c>
      <c r="CF52" s="26">
        <f>IF(CF$6="","",IF(OR(WEEKDAY(CF$6,1)=1,WEEKDAY(CF$6,1)=7),0,MIN(8,CF51)*CF50))</f>
      </c>
      <c r="CG52" s="26">
        <f>IF(CG$6="","",IF(OR(WEEKDAY(CG$6,1)=1,WEEKDAY(CG$6,1)=7),0,MIN(8,CG51)*CG50))</f>
      </c>
      <c r="CH52" s="26">
        <f>IF(CH$6="","",IF(OR(WEEKDAY(CH$6,1)=1,WEEKDAY(CH$6,1)=7),0,MIN(8,CH51)*CH50))</f>
      </c>
      <c r="CI52" s="26">
        <f>IF(CI$6="","",IF(OR(WEEKDAY(CI$6,1)=1,WEEKDAY(CI$6,1)=7),0,MIN(8,CI51)*CI50))</f>
      </c>
      <c r="CJ52" s="26">
        <f>IF(CJ$6="","",IF(OR(WEEKDAY(CJ$6,1)=1,WEEKDAY(CJ$6,1)=7),0,MIN(8,CJ51)*CJ50))</f>
      </c>
      <c r="CK52" s="26">
        <f>IF(CK$6="","",IF(OR(WEEKDAY(CK$6,1)=1,WEEKDAY(CK$6,1)=7),0,MIN(8,CK51)*CK50))</f>
      </c>
      <c r="CL52" s="26">
        <f>IF(CL$6="","",IF(OR(WEEKDAY(CL$6,1)=1,WEEKDAY(CL$6,1)=7),0,MIN(8,CL51)*CL50))</f>
      </c>
      <c r="CM52" s="26">
        <f>IF(CM$6="","",IF(OR(WEEKDAY(CM$6,1)=1,WEEKDAY(CM$6,1)=7),0,MIN(8,CM51)*CM50))</f>
      </c>
      <c r="CN52" s="26">
        <f>IF(CN$6="","",IF(OR(WEEKDAY(CN$6,1)=1,WEEKDAY(CN$6,1)=7),0,MIN(8,CN51)*CN50))</f>
      </c>
      <c r="CO52" s="26">
        <f>IF(CO$6="","",IF(OR(WEEKDAY(CO$6,1)=1,WEEKDAY(CO$6,1)=7),0,MIN(8,CO51)*CO50))</f>
      </c>
      <c r="CP52" s="26">
        <f>IF(CP$6="","",IF(OR(WEEKDAY(CP$6,1)=1,WEEKDAY(CP$6,1)=7),0,MIN(8,CP51)*CP50))</f>
      </c>
      <c r="CQ52" s="26">
        <f>IF(CQ$6="","",IF(OR(WEEKDAY(CQ$6,1)=1,WEEKDAY(CQ$6,1)=7),0,MIN(8,CQ51)*CQ50))</f>
      </c>
      <c r="CR52" s="26">
        <f>IF(CR$6="","",IF(OR(WEEKDAY(CR$6,1)=1,WEEKDAY(CR$6,1)=7),0,MIN(8,CR51)*CR50))</f>
      </c>
      <c r="CS52" s="26">
        <f>IF(CS$6="","",IF(OR(WEEKDAY(CS$6,1)=1,WEEKDAY(CS$6,1)=7),0,MIN(8,CS51)*CS50))</f>
      </c>
      <c r="CT52" s="26">
        <f>IF(CT$6="","",IF(OR(WEEKDAY(CT$6,1)=1,WEEKDAY(CT$6,1)=7),0,MIN(8,CT51)*CT50))</f>
      </c>
      <c r="CU52" s="26">
        <f>IF(CU$6="","",IF(OR(WEEKDAY(CU$6,1)=1,WEEKDAY(CU$6,1)=7),0,MIN(8,CU51)*CU50))</f>
      </c>
      <c r="CV52" s="26">
        <f>IF(CV$6="","",IF(OR(WEEKDAY(CV$6,1)=1,WEEKDAY(CV$6,1)=7),0,MIN(8,CV51)*CV50))</f>
      </c>
      <c r="CW52" s="26">
        <f>IF(CW$6="","",IF(OR(WEEKDAY(CW$6,1)=1,WEEKDAY(CW$6,1)=7),0,MIN(8,CW51)*CW50))</f>
      </c>
      <c r="CX52" s="8" t="s">
        <v>103</v>
      </c>
    </row>
    <row r="53" spans="2:102" x14ac:dyDescent="0.25">
      <c r="B53" s="26">
        <f>SUM(L53:CW53)</f>
      </c>
      <c r="D53" s="27">
        <f>B53*E53</f>
      </c>
      <c r="E53" s="27">
        <f>'Rate Tables'!D24</f>
      </c>
      <c r="F53" s="8" t="s">
        <v>40</v>
      </c>
      <c r="L53" s="26">
        <f>IF(L$6="","",IF(WEEKDAY(L$6,1)=1,0,IF(WEEKDAY(L$6,1)=7,L51*L50,MAX(0,L51-8)*L50)))</f>
      </c>
      <c r="M53" s="26">
        <f>IF(M$6="","",IF(WEEKDAY(M$6,1)=1,0,IF(WEEKDAY(M$6,1)=7,M51*M50,MAX(0,M51-8)*M50)))</f>
      </c>
      <c r="N53" s="26">
        <f>IF(N$6="","",IF(WEEKDAY(N$6,1)=1,0,IF(WEEKDAY(N$6,1)=7,N51*N50,MAX(0,N51-8)*N50)))</f>
      </c>
      <c r="O53" s="26">
        <f>IF(O$6="","",IF(WEEKDAY(O$6,1)=1,0,IF(WEEKDAY(O$6,1)=7,O51*O50,MAX(0,O51-8)*O50)))</f>
      </c>
      <c r="P53" s="26">
        <f>IF(P$6="","",IF(WEEKDAY(P$6,1)=1,0,IF(WEEKDAY(P$6,1)=7,P51*P50,MAX(0,P51-8)*P50)))</f>
      </c>
      <c r="Q53" s="26">
        <f>IF(Q$6="","",IF(WEEKDAY(Q$6,1)=1,0,IF(WEEKDAY(Q$6,1)=7,Q51*Q50,MAX(0,Q51-8)*Q50)))</f>
      </c>
      <c r="R53" s="26">
        <f>IF(R$6="","",IF(WEEKDAY(R$6,1)=1,0,IF(WEEKDAY(R$6,1)=7,R51*R50,MAX(0,R51-8)*R50)))</f>
      </c>
      <c r="S53" s="26">
        <f>IF(S$6="","",IF(WEEKDAY(S$6,1)=1,0,IF(WEEKDAY(S$6,1)=7,S51*S50,MAX(0,S51-8)*S50)))</f>
      </c>
      <c r="T53" s="26">
        <f>IF(T$6="","",IF(WEEKDAY(T$6,1)=1,0,IF(WEEKDAY(T$6,1)=7,T51*T50,MAX(0,T51-8)*T50)))</f>
      </c>
      <c r="U53" s="26">
        <f>IF(U$6="","",IF(WEEKDAY(U$6,1)=1,0,IF(WEEKDAY(U$6,1)=7,U51*U50,MAX(0,U51-8)*U50)))</f>
      </c>
      <c r="V53" s="26">
        <f>IF(V$6="","",IF(WEEKDAY(V$6,1)=1,0,IF(WEEKDAY(V$6,1)=7,V51*V50,MAX(0,V51-8)*V50)))</f>
      </c>
      <c r="W53" s="26">
        <f>IF(W$6="","",IF(WEEKDAY(W$6,1)=1,0,IF(WEEKDAY(W$6,1)=7,W51*W50,MAX(0,W51-8)*W50)))</f>
      </c>
      <c r="X53" s="26">
        <f>IF(X$6="","",IF(WEEKDAY(X$6,1)=1,0,IF(WEEKDAY(X$6,1)=7,X51*X50,MAX(0,X51-8)*X50)))</f>
      </c>
      <c r="Y53" s="26">
        <f>IF(Y$6="","",IF(WEEKDAY(Y$6,1)=1,0,IF(WEEKDAY(Y$6,1)=7,Y51*Y50,MAX(0,Y51-8)*Y50)))</f>
      </c>
      <c r="Z53" s="26">
        <f>IF(Z$6="","",IF(WEEKDAY(Z$6,1)=1,0,IF(WEEKDAY(Z$6,1)=7,Z51*Z50,MAX(0,Z51-8)*Z50)))</f>
      </c>
      <c r="AA53" s="26">
        <f>IF(AA$6="","",IF(WEEKDAY(AA$6,1)=1,0,IF(WEEKDAY(AA$6,1)=7,AA51*AA50,MAX(0,AA51-8)*AA50)))</f>
      </c>
      <c r="AB53" s="26">
        <f>IF(AB$6="","",IF(WEEKDAY(AB$6,1)=1,0,IF(WEEKDAY(AB$6,1)=7,AB51*AB50,MAX(0,AB51-8)*AB50)))</f>
      </c>
      <c r="AC53" s="26">
        <f>IF(AC$6="","",IF(WEEKDAY(AC$6,1)=1,0,IF(WEEKDAY(AC$6,1)=7,AC51*AC50,MAX(0,AC51-8)*AC50)))</f>
      </c>
      <c r="AD53" s="26">
        <f>IF(AD$6="","",IF(WEEKDAY(AD$6,1)=1,0,IF(WEEKDAY(AD$6,1)=7,AD51*AD50,MAX(0,AD51-8)*AD50)))</f>
      </c>
      <c r="AE53" s="26">
        <f>IF(AE$6="","",IF(WEEKDAY(AE$6,1)=1,0,IF(WEEKDAY(AE$6,1)=7,AE51*AE50,MAX(0,AE51-8)*AE50)))</f>
      </c>
      <c r="AF53" s="26">
        <f>IF(AF$6="","",IF(WEEKDAY(AF$6,1)=1,0,IF(WEEKDAY(AF$6,1)=7,AF51*AF50,MAX(0,AF51-8)*AF50)))</f>
      </c>
      <c r="AG53" s="26">
        <f>IF(AG$6="","",IF(WEEKDAY(AG$6,1)=1,0,IF(WEEKDAY(AG$6,1)=7,AG51*AG50,MAX(0,AG51-8)*AG50)))</f>
      </c>
      <c r="AH53" s="26">
        <f>IF(AH$6="","",IF(WEEKDAY(AH$6,1)=1,0,IF(WEEKDAY(AH$6,1)=7,AH51*AH50,MAX(0,AH51-8)*AH50)))</f>
      </c>
      <c r="AI53" s="26">
        <f>IF(AI$6="","",IF(WEEKDAY(AI$6,1)=1,0,IF(WEEKDAY(AI$6,1)=7,AI51*AI50,MAX(0,AI51-8)*AI50)))</f>
      </c>
      <c r="AJ53" s="26">
        <f>IF(AJ$6="","",IF(WEEKDAY(AJ$6,1)=1,0,IF(WEEKDAY(AJ$6,1)=7,AJ51*AJ50,MAX(0,AJ51-8)*AJ50)))</f>
      </c>
      <c r="AK53" s="26">
        <f>IF(AK$6="","",IF(WEEKDAY(AK$6,1)=1,0,IF(WEEKDAY(AK$6,1)=7,AK51*AK50,MAX(0,AK51-8)*AK50)))</f>
      </c>
      <c r="AL53" s="26">
        <f>IF(AL$6="","",IF(WEEKDAY(AL$6,1)=1,0,IF(WEEKDAY(AL$6,1)=7,AL51*AL50,MAX(0,AL51-8)*AL50)))</f>
      </c>
      <c r="AM53" s="26">
        <f>IF(AM$6="","",IF(WEEKDAY(AM$6,1)=1,0,IF(WEEKDAY(AM$6,1)=7,AM51*AM50,MAX(0,AM51-8)*AM50)))</f>
      </c>
      <c r="AN53" s="26">
        <f>IF(AN$6="","",IF(WEEKDAY(AN$6,1)=1,0,IF(WEEKDAY(AN$6,1)=7,AN51*AN50,MAX(0,AN51-8)*AN50)))</f>
      </c>
      <c r="AO53" s="26">
        <f>IF(AO$6="","",IF(WEEKDAY(AO$6,1)=1,0,IF(WEEKDAY(AO$6,1)=7,AO51*AO50,MAX(0,AO51-8)*AO50)))</f>
      </c>
      <c r="AP53" s="26">
        <f>IF(AP$6="","",IF(WEEKDAY(AP$6,1)=1,0,IF(WEEKDAY(AP$6,1)=7,AP51*AP50,MAX(0,AP51-8)*AP50)))</f>
      </c>
      <c r="AQ53" s="26">
        <f>IF(AQ$6="","",IF(WEEKDAY(AQ$6,1)=1,0,IF(WEEKDAY(AQ$6,1)=7,AQ51*AQ50,MAX(0,AQ51-8)*AQ50)))</f>
      </c>
      <c r="AR53" s="26">
        <f>IF(AR$6="","",IF(WEEKDAY(AR$6,1)=1,0,IF(WEEKDAY(AR$6,1)=7,AR51*AR50,MAX(0,AR51-8)*AR50)))</f>
      </c>
      <c r="AS53" s="26">
        <f>IF(AS$6="","",IF(WEEKDAY(AS$6,1)=1,0,IF(WEEKDAY(AS$6,1)=7,AS51*AS50,MAX(0,AS51-8)*AS50)))</f>
      </c>
      <c r="AT53" s="26">
        <f>IF(AT$6="","",IF(WEEKDAY(AT$6,1)=1,0,IF(WEEKDAY(AT$6,1)=7,AT51*AT50,MAX(0,AT51-8)*AT50)))</f>
      </c>
      <c r="AU53" s="26">
        <f>IF(AU$6="","",IF(WEEKDAY(AU$6,1)=1,0,IF(WEEKDAY(AU$6,1)=7,AU51*AU50,MAX(0,AU51-8)*AU50)))</f>
      </c>
      <c r="AV53" s="26">
        <f>IF(AV$6="","",IF(WEEKDAY(AV$6,1)=1,0,IF(WEEKDAY(AV$6,1)=7,AV51*AV50,MAX(0,AV51-8)*AV50)))</f>
      </c>
      <c r="AW53" s="26">
        <f>IF(AW$6="","",IF(WEEKDAY(AW$6,1)=1,0,IF(WEEKDAY(AW$6,1)=7,AW51*AW50,MAX(0,AW51-8)*AW50)))</f>
      </c>
      <c r="AX53" s="26">
        <f>IF(AX$6="","",IF(WEEKDAY(AX$6,1)=1,0,IF(WEEKDAY(AX$6,1)=7,AX51*AX50,MAX(0,AX51-8)*AX50)))</f>
      </c>
      <c r="AY53" s="26">
        <f>IF(AY$6="","",IF(WEEKDAY(AY$6,1)=1,0,IF(WEEKDAY(AY$6,1)=7,AY51*AY50,MAX(0,AY51-8)*AY50)))</f>
      </c>
      <c r="AZ53" s="26">
        <f>IF(AZ$6="","",IF(WEEKDAY(AZ$6,1)=1,0,IF(WEEKDAY(AZ$6,1)=7,AZ51*AZ50,MAX(0,AZ51-8)*AZ50)))</f>
      </c>
      <c r="BA53" s="26">
        <f>IF(BA$6="","",IF(WEEKDAY(BA$6,1)=1,0,IF(WEEKDAY(BA$6,1)=7,BA51*BA50,MAX(0,BA51-8)*BA50)))</f>
      </c>
      <c r="BB53" s="26">
        <f>IF(BB$6="","",IF(WEEKDAY(BB$6,1)=1,0,IF(WEEKDAY(BB$6,1)=7,BB51*BB50,MAX(0,BB51-8)*BB50)))</f>
      </c>
      <c r="BC53" s="26">
        <f>IF(BC$6="","",IF(WEEKDAY(BC$6,1)=1,0,IF(WEEKDAY(BC$6,1)=7,BC51*BC50,MAX(0,BC51-8)*BC50)))</f>
      </c>
      <c r="BD53" s="26">
        <f>IF(BD$6="","",IF(WEEKDAY(BD$6,1)=1,0,IF(WEEKDAY(BD$6,1)=7,BD51*BD50,MAX(0,BD51-8)*BD50)))</f>
      </c>
      <c r="BE53" s="26">
        <f>IF(BE$6="","",IF(WEEKDAY(BE$6,1)=1,0,IF(WEEKDAY(BE$6,1)=7,BE51*BE50,MAX(0,BE51-8)*BE50)))</f>
      </c>
      <c r="BF53" s="26">
        <f>IF(BF$6="","",IF(WEEKDAY(BF$6,1)=1,0,IF(WEEKDAY(BF$6,1)=7,BF51*BF50,MAX(0,BF51-8)*BF50)))</f>
      </c>
      <c r="BG53" s="26">
        <f>IF(BG$6="","",IF(WEEKDAY(BG$6,1)=1,0,IF(WEEKDAY(BG$6,1)=7,BG51*BG50,MAX(0,BG51-8)*BG50)))</f>
      </c>
      <c r="BH53" s="26">
        <f>IF(BH$6="","",IF(WEEKDAY(BH$6,1)=1,0,IF(WEEKDAY(BH$6,1)=7,BH51*BH50,MAX(0,BH51-8)*BH50)))</f>
      </c>
      <c r="BI53" s="26">
        <f>IF(BI$6="","",IF(WEEKDAY(BI$6,1)=1,0,IF(WEEKDAY(BI$6,1)=7,BI51*BI50,MAX(0,BI51-8)*BI50)))</f>
      </c>
      <c r="BJ53" s="26">
        <f>IF(BJ$6="","",IF(WEEKDAY(BJ$6,1)=1,0,IF(WEEKDAY(BJ$6,1)=7,BJ51*BJ50,MAX(0,BJ51-8)*BJ50)))</f>
      </c>
      <c r="BK53" s="26">
        <f>IF(BK$6="","",IF(WEEKDAY(BK$6,1)=1,0,IF(WEEKDAY(BK$6,1)=7,BK51*BK50,MAX(0,BK51-8)*BK50)))</f>
      </c>
      <c r="BL53" s="26">
        <f>IF(BL$6="","",IF(WEEKDAY(BL$6,1)=1,0,IF(WEEKDAY(BL$6,1)=7,BL51*BL50,MAX(0,BL51-8)*BL50)))</f>
      </c>
      <c r="BM53" s="26">
        <f>IF(BM$6="","",IF(WEEKDAY(BM$6,1)=1,0,IF(WEEKDAY(BM$6,1)=7,BM51*BM50,MAX(0,BM51-8)*BM50)))</f>
      </c>
      <c r="BN53" s="26">
        <f>IF(BN$6="","",IF(WEEKDAY(BN$6,1)=1,0,IF(WEEKDAY(BN$6,1)=7,BN51*BN50,MAX(0,BN51-8)*BN50)))</f>
      </c>
      <c r="BO53" s="26">
        <f>IF(BO$6="","",IF(WEEKDAY(BO$6,1)=1,0,IF(WEEKDAY(BO$6,1)=7,BO51*BO50,MAX(0,BO51-8)*BO50)))</f>
      </c>
      <c r="BP53" s="26">
        <f>IF(BP$6="","",IF(WEEKDAY(BP$6,1)=1,0,IF(WEEKDAY(BP$6,1)=7,BP51*BP50,MAX(0,BP51-8)*BP50)))</f>
      </c>
      <c r="BQ53" s="26">
        <f>IF(BQ$6="","",IF(WEEKDAY(BQ$6,1)=1,0,IF(WEEKDAY(BQ$6,1)=7,BQ51*BQ50,MAX(0,BQ51-8)*BQ50)))</f>
      </c>
      <c r="BR53" s="26">
        <f>IF(BR$6="","",IF(WEEKDAY(BR$6,1)=1,0,IF(WEEKDAY(BR$6,1)=7,BR51*BR50,MAX(0,BR51-8)*BR50)))</f>
      </c>
      <c r="BS53" s="26">
        <f>IF(BS$6="","",IF(WEEKDAY(BS$6,1)=1,0,IF(WEEKDAY(BS$6,1)=7,BS51*BS50,MAX(0,BS51-8)*BS50)))</f>
      </c>
      <c r="BT53" s="26">
        <f>IF(BT$6="","",IF(WEEKDAY(BT$6,1)=1,0,IF(WEEKDAY(BT$6,1)=7,BT51*BT50,MAX(0,BT51-8)*BT50)))</f>
      </c>
      <c r="BU53" s="26">
        <f>IF(BU$6="","",IF(WEEKDAY(BU$6,1)=1,0,IF(WEEKDAY(BU$6,1)=7,BU51*BU50,MAX(0,BU51-8)*BU50)))</f>
      </c>
      <c r="BV53" s="26">
        <f>IF(BV$6="","",IF(WEEKDAY(BV$6,1)=1,0,IF(WEEKDAY(BV$6,1)=7,BV51*BV50,MAX(0,BV51-8)*BV50)))</f>
      </c>
      <c r="BW53" s="26">
        <f>IF(BW$6="","",IF(WEEKDAY(BW$6,1)=1,0,IF(WEEKDAY(BW$6,1)=7,BW51*BW50,MAX(0,BW51-8)*BW50)))</f>
      </c>
      <c r="BX53" s="26">
        <f>IF(BX$6="","",IF(WEEKDAY(BX$6,1)=1,0,IF(WEEKDAY(BX$6,1)=7,BX51*BX50,MAX(0,BX51-8)*BX50)))</f>
      </c>
      <c r="BY53" s="26">
        <f>IF(BY$6="","",IF(WEEKDAY(BY$6,1)=1,0,IF(WEEKDAY(BY$6,1)=7,BY51*BY50,MAX(0,BY51-8)*BY50)))</f>
      </c>
      <c r="BZ53" s="26">
        <f>IF(BZ$6="","",IF(WEEKDAY(BZ$6,1)=1,0,IF(WEEKDAY(BZ$6,1)=7,BZ51*BZ50,MAX(0,BZ51-8)*BZ50)))</f>
      </c>
      <c r="CA53" s="26">
        <f>IF(CA$6="","",IF(WEEKDAY(CA$6,1)=1,0,IF(WEEKDAY(CA$6,1)=7,CA51*CA50,MAX(0,CA51-8)*CA50)))</f>
      </c>
      <c r="CB53" s="26">
        <f>IF(CB$6="","",IF(WEEKDAY(CB$6,1)=1,0,IF(WEEKDAY(CB$6,1)=7,CB51*CB50,MAX(0,CB51-8)*CB50)))</f>
      </c>
      <c r="CC53" s="26">
        <f>IF(CC$6="","",IF(WEEKDAY(CC$6,1)=1,0,IF(WEEKDAY(CC$6,1)=7,CC51*CC50,MAX(0,CC51-8)*CC50)))</f>
      </c>
      <c r="CD53" s="26">
        <f>IF(CD$6="","",IF(WEEKDAY(CD$6,1)=1,0,IF(WEEKDAY(CD$6,1)=7,CD51*CD50,MAX(0,CD51-8)*CD50)))</f>
      </c>
      <c r="CE53" s="26">
        <f>IF(CE$6="","",IF(WEEKDAY(CE$6,1)=1,0,IF(WEEKDAY(CE$6,1)=7,CE51*CE50,MAX(0,CE51-8)*CE50)))</f>
      </c>
      <c r="CF53" s="26">
        <f>IF(CF$6="","",IF(WEEKDAY(CF$6,1)=1,0,IF(WEEKDAY(CF$6,1)=7,CF51*CF50,MAX(0,CF51-8)*CF50)))</f>
      </c>
      <c r="CG53" s="26">
        <f>IF(CG$6="","",IF(WEEKDAY(CG$6,1)=1,0,IF(WEEKDAY(CG$6,1)=7,CG51*CG50,MAX(0,CG51-8)*CG50)))</f>
      </c>
      <c r="CH53" s="26">
        <f>IF(CH$6="","",IF(WEEKDAY(CH$6,1)=1,0,IF(WEEKDAY(CH$6,1)=7,CH51*CH50,MAX(0,CH51-8)*CH50)))</f>
      </c>
      <c r="CI53" s="26">
        <f>IF(CI$6="","",IF(WEEKDAY(CI$6,1)=1,0,IF(WEEKDAY(CI$6,1)=7,CI51*CI50,MAX(0,CI51-8)*CI50)))</f>
      </c>
      <c r="CJ53" s="26">
        <f>IF(CJ$6="","",IF(WEEKDAY(CJ$6,1)=1,0,IF(WEEKDAY(CJ$6,1)=7,CJ51*CJ50,MAX(0,CJ51-8)*CJ50)))</f>
      </c>
      <c r="CK53" s="26">
        <f>IF(CK$6="","",IF(WEEKDAY(CK$6,1)=1,0,IF(WEEKDAY(CK$6,1)=7,CK51*CK50,MAX(0,CK51-8)*CK50)))</f>
      </c>
      <c r="CL53" s="26">
        <f>IF(CL$6="","",IF(WEEKDAY(CL$6,1)=1,0,IF(WEEKDAY(CL$6,1)=7,CL51*CL50,MAX(0,CL51-8)*CL50)))</f>
      </c>
      <c r="CM53" s="26">
        <f>IF(CM$6="","",IF(WEEKDAY(CM$6,1)=1,0,IF(WEEKDAY(CM$6,1)=7,CM51*CM50,MAX(0,CM51-8)*CM50)))</f>
      </c>
      <c r="CN53" s="26">
        <f>IF(CN$6="","",IF(WEEKDAY(CN$6,1)=1,0,IF(WEEKDAY(CN$6,1)=7,CN51*CN50,MAX(0,CN51-8)*CN50)))</f>
      </c>
      <c r="CO53" s="26">
        <f>IF(CO$6="","",IF(WEEKDAY(CO$6,1)=1,0,IF(WEEKDAY(CO$6,1)=7,CO51*CO50,MAX(0,CO51-8)*CO50)))</f>
      </c>
      <c r="CP53" s="26">
        <f>IF(CP$6="","",IF(WEEKDAY(CP$6,1)=1,0,IF(WEEKDAY(CP$6,1)=7,CP51*CP50,MAX(0,CP51-8)*CP50)))</f>
      </c>
      <c r="CQ53" s="26">
        <f>IF(CQ$6="","",IF(WEEKDAY(CQ$6,1)=1,0,IF(WEEKDAY(CQ$6,1)=7,CQ51*CQ50,MAX(0,CQ51-8)*CQ50)))</f>
      </c>
      <c r="CR53" s="26">
        <f>IF(CR$6="","",IF(WEEKDAY(CR$6,1)=1,0,IF(WEEKDAY(CR$6,1)=7,CR51*CR50,MAX(0,CR51-8)*CR50)))</f>
      </c>
      <c r="CS53" s="26">
        <f>IF(CS$6="","",IF(WEEKDAY(CS$6,1)=1,0,IF(WEEKDAY(CS$6,1)=7,CS51*CS50,MAX(0,CS51-8)*CS50)))</f>
      </c>
      <c r="CT53" s="26">
        <f>IF(CT$6="","",IF(WEEKDAY(CT$6,1)=1,0,IF(WEEKDAY(CT$6,1)=7,CT51*CT50,MAX(0,CT51-8)*CT50)))</f>
      </c>
      <c r="CU53" s="26">
        <f>IF(CU$6="","",IF(WEEKDAY(CU$6,1)=1,0,IF(WEEKDAY(CU$6,1)=7,CU51*CU50,MAX(0,CU51-8)*CU50)))</f>
      </c>
      <c r="CV53" s="26">
        <f>IF(CV$6="","",IF(WEEKDAY(CV$6,1)=1,0,IF(WEEKDAY(CV$6,1)=7,CV51*CV50,MAX(0,CV51-8)*CV50)))</f>
      </c>
      <c r="CW53" s="26">
        <f>IF(CW$6="","",IF(WEEKDAY(CW$6,1)=1,0,IF(WEEKDAY(CW$6,1)=7,CW51*CW50,MAX(0,CW51-8)*CW50)))</f>
      </c>
      <c r="CX53" s="8" t="s">
        <v>103</v>
      </c>
    </row>
    <row r="54" spans="2:102" x14ac:dyDescent="0.25">
      <c r="B54" s="26">
        <f>SUM(L54:CW54)</f>
      </c>
      <c r="D54" s="27">
        <f>B54*E54</f>
      </c>
      <c r="E54" s="27">
        <f>'Rate Tables'!E24</f>
      </c>
      <c r="F54" s="8" t="s">
        <v>41</v>
      </c>
      <c r="L54" s="26">
        <f>IF(L$6="","",IF(WEEKDAY(L$6,1)=1,L51*L50,0))</f>
      </c>
      <c r="M54" s="26">
        <f>IF(M$6="","",IF(WEEKDAY(M$6,1)=1,M51*M50,0))</f>
      </c>
      <c r="N54" s="26">
        <f>IF(N$6="","",IF(WEEKDAY(N$6,1)=1,N51*N50,0))</f>
      </c>
      <c r="O54" s="26">
        <f>IF(O$6="","",IF(WEEKDAY(O$6,1)=1,O51*O50,0))</f>
      </c>
      <c r="P54" s="26">
        <f>IF(P$6="","",IF(WEEKDAY(P$6,1)=1,P51*P50,0))</f>
      </c>
      <c r="Q54" s="26">
        <f>IF(Q$6="","",IF(WEEKDAY(Q$6,1)=1,Q51*Q50,0))</f>
      </c>
      <c r="R54" s="26">
        <f>IF(R$6="","",IF(WEEKDAY(R$6,1)=1,R51*R50,0))</f>
      </c>
      <c r="S54" s="26">
        <f>IF(S$6="","",IF(WEEKDAY(S$6,1)=1,S51*S50,0))</f>
      </c>
      <c r="T54" s="26">
        <f>IF(T$6="","",IF(WEEKDAY(T$6,1)=1,T51*T50,0))</f>
      </c>
      <c r="U54" s="26">
        <f>IF(U$6="","",IF(WEEKDAY(U$6,1)=1,U51*U50,0))</f>
      </c>
      <c r="V54" s="26">
        <f>IF(V$6="","",IF(WEEKDAY(V$6,1)=1,V51*V50,0))</f>
      </c>
      <c r="W54" s="26">
        <f>IF(W$6="","",IF(WEEKDAY(W$6,1)=1,W51*W50,0))</f>
      </c>
      <c r="X54" s="26">
        <f>IF(X$6="","",IF(WEEKDAY(X$6,1)=1,X51*X50,0))</f>
      </c>
      <c r="Y54" s="26">
        <f>IF(Y$6="","",IF(WEEKDAY(Y$6,1)=1,Y51*Y50,0))</f>
      </c>
      <c r="Z54" s="26">
        <f>IF(Z$6="","",IF(WEEKDAY(Z$6,1)=1,Z51*Z50,0))</f>
      </c>
      <c r="AA54" s="26">
        <f>IF(AA$6="","",IF(WEEKDAY(AA$6,1)=1,AA51*AA50,0))</f>
      </c>
      <c r="AB54" s="26">
        <f>IF(AB$6="","",IF(WEEKDAY(AB$6,1)=1,AB51*AB50,0))</f>
      </c>
      <c r="AC54" s="26">
        <f>IF(AC$6="","",IF(WEEKDAY(AC$6,1)=1,AC51*AC50,0))</f>
      </c>
      <c r="AD54" s="26">
        <f>IF(AD$6="","",IF(WEEKDAY(AD$6,1)=1,AD51*AD50,0))</f>
      </c>
      <c r="AE54" s="26">
        <f>IF(AE$6="","",IF(WEEKDAY(AE$6,1)=1,AE51*AE50,0))</f>
      </c>
      <c r="AF54" s="26">
        <f>IF(AF$6="","",IF(WEEKDAY(AF$6,1)=1,AF51*AF50,0))</f>
      </c>
      <c r="AG54" s="26">
        <f>IF(AG$6="","",IF(WEEKDAY(AG$6,1)=1,AG51*AG50,0))</f>
      </c>
      <c r="AH54" s="26">
        <f>IF(AH$6="","",IF(WEEKDAY(AH$6,1)=1,AH51*AH50,0))</f>
      </c>
      <c r="AI54" s="26">
        <f>IF(AI$6="","",IF(WEEKDAY(AI$6,1)=1,AI51*AI50,0))</f>
      </c>
      <c r="AJ54" s="26">
        <f>IF(AJ$6="","",IF(WEEKDAY(AJ$6,1)=1,AJ51*AJ50,0))</f>
      </c>
      <c r="AK54" s="26">
        <f>IF(AK$6="","",IF(WEEKDAY(AK$6,1)=1,AK51*AK50,0))</f>
      </c>
      <c r="AL54" s="26">
        <f>IF(AL$6="","",IF(WEEKDAY(AL$6,1)=1,AL51*AL50,0))</f>
      </c>
      <c r="AM54" s="26">
        <f>IF(AM$6="","",IF(WEEKDAY(AM$6,1)=1,AM51*AM50,0))</f>
      </c>
      <c r="AN54" s="26">
        <f>IF(AN$6="","",IF(WEEKDAY(AN$6,1)=1,AN51*AN50,0))</f>
      </c>
      <c r="AO54" s="26">
        <f>IF(AO$6="","",IF(WEEKDAY(AO$6,1)=1,AO51*AO50,0))</f>
      </c>
      <c r="AP54" s="26">
        <f>IF(AP$6="","",IF(WEEKDAY(AP$6,1)=1,AP51*AP50,0))</f>
      </c>
      <c r="AQ54" s="26">
        <f>IF(AQ$6="","",IF(WEEKDAY(AQ$6,1)=1,AQ51*AQ50,0))</f>
      </c>
      <c r="AR54" s="26">
        <f>IF(AR$6="","",IF(WEEKDAY(AR$6,1)=1,AR51*AR50,0))</f>
      </c>
      <c r="AS54" s="26">
        <f>IF(AS$6="","",IF(WEEKDAY(AS$6,1)=1,AS51*AS50,0))</f>
      </c>
      <c r="AT54" s="26">
        <f>IF(AT$6="","",IF(WEEKDAY(AT$6,1)=1,AT51*AT50,0))</f>
      </c>
      <c r="AU54" s="26">
        <f>IF(AU$6="","",IF(WEEKDAY(AU$6,1)=1,AU51*AU50,0))</f>
      </c>
      <c r="AV54" s="26">
        <f>IF(AV$6="","",IF(WEEKDAY(AV$6,1)=1,AV51*AV50,0))</f>
      </c>
      <c r="AW54" s="26">
        <f>IF(AW$6="","",IF(WEEKDAY(AW$6,1)=1,AW51*AW50,0))</f>
      </c>
      <c r="AX54" s="26">
        <f>IF(AX$6="","",IF(WEEKDAY(AX$6,1)=1,AX51*AX50,0))</f>
      </c>
      <c r="AY54" s="26">
        <f>IF(AY$6="","",IF(WEEKDAY(AY$6,1)=1,AY51*AY50,0))</f>
      </c>
      <c r="AZ54" s="26">
        <f>IF(AZ$6="","",IF(WEEKDAY(AZ$6,1)=1,AZ51*AZ50,0))</f>
      </c>
      <c r="BA54" s="26">
        <f>IF(BA$6="","",IF(WEEKDAY(BA$6,1)=1,BA51*BA50,0))</f>
      </c>
      <c r="BB54" s="26">
        <f>IF(BB$6="","",IF(WEEKDAY(BB$6,1)=1,BB51*BB50,0))</f>
      </c>
      <c r="BC54" s="26">
        <f>IF(BC$6="","",IF(WEEKDAY(BC$6,1)=1,BC51*BC50,0))</f>
      </c>
      <c r="BD54" s="26">
        <f>IF(BD$6="","",IF(WEEKDAY(BD$6,1)=1,BD51*BD50,0))</f>
      </c>
      <c r="BE54" s="26">
        <f>IF(BE$6="","",IF(WEEKDAY(BE$6,1)=1,BE51*BE50,0))</f>
      </c>
      <c r="BF54" s="26">
        <f>IF(BF$6="","",IF(WEEKDAY(BF$6,1)=1,BF51*BF50,0))</f>
      </c>
      <c r="BG54" s="26">
        <f>IF(BG$6="","",IF(WEEKDAY(BG$6,1)=1,BG51*BG50,0))</f>
      </c>
      <c r="BH54" s="26">
        <f>IF(BH$6="","",IF(WEEKDAY(BH$6,1)=1,BH51*BH50,0))</f>
      </c>
      <c r="BI54" s="26">
        <f>IF(BI$6="","",IF(WEEKDAY(BI$6,1)=1,BI51*BI50,0))</f>
      </c>
      <c r="BJ54" s="26">
        <f>IF(BJ$6="","",IF(WEEKDAY(BJ$6,1)=1,BJ51*BJ50,0))</f>
      </c>
      <c r="BK54" s="26">
        <f>IF(BK$6="","",IF(WEEKDAY(BK$6,1)=1,BK51*BK50,0))</f>
      </c>
      <c r="BL54" s="26">
        <f>IF(BL$6="","",IF(WEEKDAY(BL$6,1)=1,BL51*BL50,0))</f>
      </c>
      <c r="BM54" s="26">
        <f>IF(BM$6="","",IF(WEEKDAY(BM$6,1)=1,BM51*BM50,0))</f>
      </c>
      <c r="BN54" s="26">
        <f>IF(BN$6="","",IF(WEEKDAY(BN$6,1)=1,BN51*BN50,0))</f>
      </c>
      <c r="BO54" s="26">
        <f>IF(BO$6="","",IF(WEEKDAY(BO$6,1)=1,BO51*BO50,0))</f>
      </c>
      <c r="BP54" s="26">
        <f>IF(BP$6="","",IF(WEEKDAY(BP$6,1)=1,BP51*BP50,0))</f>
      </c>
      <c r="BQ54" s="26">
        <f>IF(BQ$6="","",IF(WEEKDAY(BQ$6,1)=1,BQ51*BQ50,0))</f>
      </c>
      <c r="BR54" s="26">
        <f>IF(BR$6="","",IF(WEEKDAY(BR$6,1)=1,BR51*BR50,0))</f>
      </c>
      <c r="BS54" s="26">
        <f>IF(BS$6="","",IF(WEEKDAY(BS$6,1)=1,BS51*BS50,0))</f>
      </c>
      <c r="BT54" s="26">
        <f>IF(BT$6="","",IF(WEEKDAY(BT$6,1)=1,BT51*BT50,0))</f>
      </c>
      <c r="BU54" s="26">
        <f>IF(BU$6="","",IF(WEEKDAY(BU$6,1)=1,BU51*BU50,0))</f>
      </c>
      <c r="BV54" s="26">
        <f>IF(BV$6="","",IF(WEEKDAY(BV$6,1)=1,BV51*BV50,0))</f>
      </c>
      <c r="BW54" s="26">
        <f>IF(BW$6="","",IF(WEEKDAY(BW$6,1)=1,BW51*BW50,0))</f>
      </c>
      <c r="BX54" s="26">
        <f>IF(BX$6="","",IF(WEEKDAY(BX$6,1)=1,BX51*BX50,0))</f>
      </c>
      <c r="BY54" s="26">
        <f>IF(BY$6="","",IF(WEEKDAY(BY$6,1)=1,BY51*BY50,0))</f>
      </c>
      <c r="BZ54" s="26">
        <f>IF(BZ$6="","",IF(WEEKDAY(BZ$6,1)=1,BZ51*BZ50,0))</f>
      </c>
      <c r="CA54" s="26">
        <f>IF(CA$6="","",IF(WEEKDAY(CA$6,1)=1,CA51*CA50,0))</f>
      </c>
      <c r="CB54" s="26">
        <f>IF(CB$6="","",IF(WEEKDAY(CB$6,1)=1,CB51*CB50,0))</f>
      </c>
      <c r="CC54" s="26">
        <f>IF(CC$6="","",IF(WEEKDAY(CC$6,1)=1,CC51*CC50,0))</f>
      </c>
      <c r="CD54" s="26">
        <f>IF(CD$6="","",IF(WEEKDAY(CD$6,1)=1,CD51*CD50,0))</f>
      </c>
      <c r="CE54" s="26">
        <f>IF(CE$6="","",IF(WEEKDAY(CE$6,1)=1,CE51*CE50,0))</f>
      </c>
      <c r="CF54" s="26">
        <f>IF(CF$6="","",IF(WEEKDAY(CF$6,1)=1,CF51*CF50,0))</f>
      </c>
      <c r="CG54" s="26">
        <f>IF(CG$6="","",IF(WEEKDAY(CG$6,1)=1,CG51*CG50,0))</f>
      </c>
      <c r="CH54" s="26">
        <f>IF(CH$6="","",IF(WEEKDAY(CH$6,1)=1,CH51*CH50,0))</f>
      </c>
      <c r="CI54" s="26">
        <f>IF(CI$6="","",IF(WEEKDAY(CI$6,1)=1,CI51*CI50,0))</f>
      </c>
      <c r="CJ54" s="26">
        <f>IF(CJ$6="","",IF(WEEKDAY(CJ$6,1)=1,CJ51*CJ50,0))</f>
      </c>
      <c r="CK54" s="26">
        <f>IF(CK$6="","",IF(WEEKDAY(CK$6,1)=1,CK51*CK50,0))</f>
      </c>
      <c r="CL54" s="26">
        <f>IF(CL$6="","",IF(WEEKDAY(CL$6,1)=1,CL51*CL50,0))</f>
      </c>
      <c r="CM54" s="26">
        <f>IF(CM$6="","",IF(WEEKDAY(CM$6,1)=1,CM51*CM50,0))</f>
      </c>
      <c r="CN54" s="26">
        <f>IF(CN$6="","",IF(WEEKDAY(CN$6,1)=1,CN51*CN50,0))</f>
      </c>
      <c r="CO54" s="26">
        <f>IF(CO$6="","",IF(WEEKDAY(CO$6,1)=1,CO51*CO50,0))</f>
      </c>
      <c r="CP54" s="26">
        <f>IF(CP$6="","",IF(WEEKDAY(CP$6,1)=1,CP51*CP50,0))</f>
      </c>
      <c r="CQ54" s="26">
        <f>IF(CQ$6="","",IF(WEEKDAY(CQ$6,1)=1,CQ51*CQ50,0))</f>
      </c>
      <c r="CR54" s="26">
        <f>IF(CR$6="","",IF(WEEKDAY(CR$6,1)=1,CR51*CR50,0))</f>
      </c>
      <c r="CS54" s="26">
        <f>IF(CS$6="","",IF(WEEKDAY(CS$6,1)=1,CS51*CS50,0))</f>
      </c>
      <c r="CT54" s="26">
        <f>IF(CT$6="","",IF(WEEKDAY(CT$6,1)=1,CT51*CT50,0))</f>
      </c>
      <c r="CU54" s="26">
        <f>IF(CU$6="","",IF(WEEKDAY(CU$6,1)=1,CU51*CU50,0))</f>
      </c>
      <c r="CV54" s="26">
        <f>IF(CV$6="","",IF(WEEKDAY(CV$6,1)=1,CV51*CV50,0))</f>
      </c>
      <c r="CW54" s="26">
        <f>IF(CW$6="","",IF(WEEKDAY(CW$6,1)=1,CW51*CW50,0))</f>
      </c>
      <c r="CX54" s="8" t="s">
        <v>103</v>
      </c>
    </row>
    <row r="55" spans="2:102" x14ac:dyDescent="0.25">
      <c r="B55" s="26">
        <f>SUM(L55:CW55)</f>
      </c>
      <c r="D55" s="27">
        <f>B55*E55</f>
      </c>
      <c r="E55" s="27">
        <v>130</v>
      </c>
      <c r="F55" s="8" t="s">
        <v>42</v>
      </c>
      <c r="L55" s="28">
        <v>1</v>
      </c>
      <c r="M55" s="28">
        <v>1</v>
      </c>
      <c r="N55" s="28">
        <v>1</v>
      </c>
      <c r="O55" s="28">
        <v>1</v>
      </c>
      <c r="P55" s="28">
        <v>1</v>
      </c>
      <c r="Q55" s="28">
        <v>0</v>
      </c>
      <c r="R55" s="28">
        <v>0</v>
      </c>
      <c r="S55" s="28">
        <v>1</v>
      </c>
      <c r="T55" s="28">
        <v>1</v>
      </c>
      <c r="U55" s="28">
        <v>1</v>
      </c>
      <c r="V55" s="28">
        <v>1</v>
      </c>
      <c r="W55" s="28">
        <v>1</v>
      </c>
      <c r="X55" s="28">
        <v>0</v>
      </c>
      <c r="Y55" s="28">
        <v>0</v>
      </c>
      <c r="Z55" s="28">
        <v>1</v>
      </c>
      <c r="AA55" s="28">
        <v>1</v>
      </c>
      <c r="AB55" s="28">
        <v>1</v>
      </c>
      <c r="AC55" s="28">
        <v>1</v>
      </c>
      <c r="AD55" s="28">
        <v>1</v>
      </c>
      <c r="AE55" s="28">
        <v>0</v>
      </c>
      <c r="AF55" s="28">
        <v>0</v>
      </c>
      <c r="AG55" s="28">
        <v>1</v>
      </c>
      <c r="AH55" s="28">
        <v>1</v>
      </c>
      <c r="AI55" s="28">
        <v>1</v>
      </c>
      <c r="AJ55" s="28">
        <v>1</v>
      </c>
      <c r="AK55" s="28">
        <v>1</v>
      </c>
      <c r="AL55" s="28">
        <v>0</v>
      </c>
      <c r="AM55" s="28">
        <v>0</v>
      </c>
      <c r="AN55" s="28">
        <v>1</v>
      </c>
      <c r="AO55" s="28">
        <v>1</v>
      </c>
      <c r="AP55" s="28">
        <v>1</v>
      </c>
      <c r="AQ55" s="28">
        <v>1</v>
      </c>
      <c r="AR55" s="28">
        <v>1</v>
      </c>
      <c r="AS55" s="28">
        <v>0</v>
      </c>
      <c r="AT55" s="28">
        <v>0</v>
      </c>
      <c r="AU55" s="28">
        <v>1</v>
      </c>
      <c r="AV55" s="28">
        <v>1</v>
      </c>
      <c r="AW55" s="28">
        <v>1</v>
      </c>
      <c r="AX55" s="28">
        <v>1</v>
      </c>
      <c r="AY55" s="28">
        <v>1</v>
      </c>
      <c r="AZ55" s="28">
        <v>0</v>
      </c>
      <c r="BA55" s="28">
        <v>0</v>
      </c>
      <c r="BB55" s="28">
        <v>1</v>
      </c>
      <c r="BC55" s="28">
        <v>1</v>
      </c>
      <c r="BD55" s="28">
        <v>1</v>
      </c>
      <c r="BE55" s="28">
        <v>1</v>
      </c>
      <c r="BF55" s="28">
        <v>1</v>
      </c>
      <c r="BG55" s="28">
        <v>0</v>
      </c>
      <c r="BH55" s="28">
        <v>0</v>
      </c>
      <c r="BI55" s="28">
        <v>2</v>
      </c>
      <c r="BJ55" s="28">
        <v>2</v>
      </c>
      <c r="BK55" s="28">
        <v>2</v>
      </c>
      <c r="BL55" s="28">
        <v>2</v>
      </c>
      <c r="BM55" s="28">
        <v>2</v>
      </c>
      <c r="BN55" s="28">
        <v>2</v>
      </c>
      <c r="BO55" s="28">
        <v>2</v>
      </c>
      <c r="BP55" s="28">
        <v>2</v>
      </c>
      <c r="BQ55" s="28">
        <v>2</v>
      </c>
      <c r="BR55" s="28">
        <v>2</v>
      </c>
      <c r="BS55" s="28">
        <v>2</v>
      </c>
      <c r="BT55" s="28">
        <v>2</v>
      </c>
      <c r="BU55" s="28">
        <v>2</v>
      </c>
      <c r="BV55" s="28">
        <v>2</v>
      </c>
      <c r="BW55" s="28">
        <v>2</v>
      </c>
      <c r="BX55" s="28">
        <v>2</v>
      </c>
      <c r="BY55" s="28">
        <v>2</v>
      </c>
      <c r="BZ55" s="28">
        <v>2</v>
      </c>
      <c r="CA55" s="28">
        <v>2</v>
      </c>
      <c r="CB55" s="28">
        <v>2</v>
      </c>
      <c r="CC55" s="28">
        <v>2</v>
      </c>
      <c r="CD55" s="28">
        <v>2</v>
      </c>
      <c r="CE55" s="28">
        <v>2</v>
      </c>
      <c r="CF55" s="28">
        <v>2</v>
      </c>
      <c r="CG55" s="28">
        <v>2</v>
      </c>
      <c r="CH55" s="28">
        <v>2</v>
      </c>
      <c r="CI55" s="28">
        <v>2</v>
      </c>
      <c r="CJ55" s="28">
        <v>2</v>
      </c>
      <c r="CK55" s="28">
        <v>2</v>
      </c>
      <c r="CL55" s="28">
        <v>2</v>
      </c>
      <c r="CM55" s="28">
        <v>2</v>
      </c>
      <c r="CN55" s="28">
        <v>2</v>
      </c>
      <c r="CO55" s="28">
        <v>2</v>
      </c>
      <c r="CP55" s="28">
        <v>2</v>
      </c>
      <c r="CQ55" s="28">
        <v>2</v>
      </c>
      <c r="CR55" s="28">
        <v>2</v>
      </c>
      <c r="CS55" s="28">
        <v>2</v>
      </c>
      <c r="CT55" s="28">
        <v>2</v>
      </c>
      <c r="CU55" s="28">
        <v>2</v>
      </c>
      <c r="CV55" s="28">
        <v>2</v>
      </c>
      <c r="CW55" s="28">
        <v>2</v>
      </c>
      <c r="CX55" s="8" t="s">
        <v>103</v>
      </c>
    </row>
    <row r="56" spans="1:102" x14ac:dyDescent="0.25">
      <c r="A56" s="20" t="s">
        <v>47</v>
      </c>
      <c r="B56" s="21">
        <f>G56+H56+I56</f>
      </c>
      <c r="C56" s="20" t="s">
        <v>100</v>
      </c>
      <c r="D56" s="22">
        <f>K56</f>
      </c>
      <c r="F56" s="20" t="s">
        <v>34</v>
      </c>
      <c r="G56" s="21">
        <f>B59</f>
      </c>
      <c r="H56" s="21">
        <f>B60</f>
      </c>
      <c r="I56" s="21">
        <f>B61</f>
      </c>
      <c r="J56" s="21">
        <f>B62</f>
      </c>
      <c r="K56" s="22">
        <f>D59+D60+D61</f>
      </c>
      <c r="CX56" s="20" t="s">
        <v>104</v>
      </c>
    </row>
    <row r="57" spans="6:102" x14ac:dyDescent="0.25">
      <c r="F57" s="23" t="s">
        <v>36</v>
      </c>
      <c r="L57" s="24">
        <v>0</v>
      </c>
      <c r="M57" s="24">
        <v>0</v>
      </c>
      <c r="N57" s="24">
        <v>0</v>
      </c>
      <c r="O57" s="24">
        <v>0</v>
      </c>
      <c r="P57" s="24">
        <v>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v>0</v>
      </c>
      <c r="AA57" s="24">
        <v>0</v>
      </c>
      <c r="AB57" s="24">
        <v>0</v>
      </c>
      <c r="AC57" s="24">
        <v>0</v>
      </c>
      <c r="AD57" s="24">
        <v>0</v>
      </c>
      <c r="AE57" s="24">
        <v>0</v>
      </c>
      <c r="AF57" s="24">
        <v>0</v>
      </c>
      <c r="AG57" s="24">
        <v>0</v>
      </c>
      <c r="AH57" s="24">
        <v>0</v>
      </c>
      <c r="AI57" s="24">
        <v>0</v>
      </c>
      <c r="AJ57" s="24">
        <v>0</v>
      </c>
      <c r="AK57" s="24">
        <v>0</v>
      </c>
      <c r="AL57" s="24">
        <v>0</v>
      </c>
      <c r="AM57" s="24">
        <v>0</v>
      </c>
      <c r="AN57" s="24">
        <v>0</v>
      </c>
      <c r="AO57" s="24">
        <v>0</v>
      </c>
      <c r="AP57" s="24">
        <v>0</v>
      </c>
      <c r="AQ57" s="24">
        <v>0</v>
      </c>
      <c r="AR57" s="24">
        <v>0</v>
      </c>
      <c r="AS57" s="24">
        <v>0</v>
      </c>
      <c r="AT57" s="24">
        <v>0</v>
      </c>
      <c r="AU57" s="24">
        <v>0</v>
      </c>
      <c r="AV57" s="24">
        <v>0</v>
      </c>
      <c r="AW57" s="24">
        <v>0</v>
      </c>
      <c r="AX57" s="24">
        <v>0</v>
      </c>
      <c r="AY57" s="24">
        <v>0</v>
      </c>
      <c r="AZ57" s="24">
        <v>0</v>
      </c>
      <c r="BA57" s="24">
        <v>0</v>
      </c>
      <c r="BB57" s="24">
        <v>0</v>
      </c>
      <c r="BC57" s="24">
        <v>0</v>
      </c>
      <c r="BD57" s="24">
        <v>0</v>
      </c>
      <c r="BE57" s="24">
        <v>0</v>
      </c>
      <c r="BF57" s="24">
        <v>0</v>
      </c>
      <c r="BG57" s="24">
        <v>0</v>
      </c>
      <c r="BH57" s="24">
        <v>0</v>
      </c>
      <c r="BI57" s="24">
        <v>2</v>
      </c>
      <c r="BJ57" s="24">
        <v>2</v>
      </c>
      <c r="BK57" s="24">
        <v>2</v>
      </c>
      <c r="BL57" s="24">
        <v>2</v>
      </c>
      <c r="BM57" s="24">
        <v>2</v>
      </c>
      <c r="BN57" s="24">
        <v>2</v>
      </c>
      <c r="BO57" s="24">
        <v>2</v>
      </c>
      <c r="BP57" s="24">
        <v>2</v>
      </c>
      <c r="BQ57" s="24">
        <v>2</v>
      </c>
      <c r="BR57" s="24">
        <v>2</v>
      </c>
      <c r="BS57" s="24">
        <v>2</v>
      </c>
      <c r="BT57" s="24">
        <v>2</v>
      </c>
      <c r="BU57" s="24">
        <v>2</v>
      </c>
      <c r="BV57" s="24">
        <v>2</v>
      </c>
      <c r="BW57" s="24">
        <v>2</v>
      </c>
      <c r="BX57" s="24">
        <v>2</v>
      </c>
      <c r="BY57" s="24">
        <v>2</v>
      </c>
      <c r="BZ57" s="24">
        <v>2</v>
      </c>
      <c r="CA57" s="24">
        <v>2</v>
      </c>
      <c r="CB57" s="24">
        <v>2</v>
      </c>
      <c r="CC57" s="24">
        <v>2</v>
      </c>
      <c r="CD57" s="24">
        <v>2</v>
      </c>
      <c r="CE57" s="24">
        <v>2</v>
      </c>
      <c r="CF57" s="24">
        <v>2</v>
      </c>
      <c r="CG57" s="24">
        <v>2</v>
      </c>
      <c r="CH57" s="24">
        <v>2</v>
      </c>
      <c r="CI57" s="24">
        <v>2</v>
      </c>
      <c r="CJ57" s="24">
        <v>2</v>
      </c>
      <c r="CK57" s="24">
        <v>2</v>
      </c>
      <c r="CL57" s="24">
        <v>2</v>
      </c>
      <c r="CM57" s="24">
        <v>2</v>
      </c>
      <c r="CN57" s="24">
        <v>2</v>
      </c>
      <c r="CO57" s="24">
        <v>2</v>
      </c>
      <c r="CP57" s="24">
        <v>2</v>
      </c>
      <c r="CQ57" s="24">
        <v>2</v>
      </c>
      <c r="CR57" s="24">
        <v>2</v>
      </c>
      <c r="CS57" s="24">
        <v>2</v>
      </c>
      <c r="CT57" s="24">
        <v>2</v>
      </c>
      <c r="CU57" s="24">
        <v>2</v>
      </c>
      <c r="CV57" s="24">
        <v>2</v>
      </c>
      <c r="CW57" s="24">
        <v>2</v>
      </c>
      <c r="CX57" s="23" t="s">
        <v>104</v>
      </c>
    </row>
    <row r="58" spans="1:102" x14ac:dyDescent="0.25">
      <c r="A58" s="23" t="s">
        <v>37</v>
      </c>
      <c r="F58" s="23" t="s">
        <v>38</v>
      </c>
      <c r="L58" s="25">
        <v>0</v>
      </c>
      <c r="M58" s="25">
        <v>0</v>
      </c>
      <c r="N58" s="25">
        <v>0</v>
      </c>
      <c r="O58" s="25">
        <v>0</v>
      </c>
      <c r="P58" s="25">
        <v>0</v>
      </c>
      <c r="Q58" s="25">
        <v>0</v>
      </c>
      <c r="R58" s="25">
        <v>0</v>
      </c>
      <c r="S58" s="25">
        <v>0</v>
      </c>
      <c r="T58" s="25">
        <v>0</v>
      </c>
      <c r="U58" s="25">
        <v>0</v>
      </c>
      <c r="V58" s="25">
        <v>0</v>
      </c>
      <c r="W58" s="25">
        <v>0</v>
      </c>
      <c r="X58" s="25">
        <v>0</v>
      </c>
      <c r="Y58" s="25">
        <v>0</v>
      </c>
      <c r="Z58" s="25">
        <v>0</v>
      </c>
      <c r="AA58" s="25">
        <v>0</v>
      </c>
      <c r="AB58" s="25">
        <v>0</v>
      </c>
      <c r="AC58" s="25">
        <v>0</v>
      </c>
      <c r="AD58" s="25">
        <v>0</v>
      </c>
      <c r="AE58" s="25">
        <v>0</v>
      </c>
      <c r="AF58" s="25">
        <v>0</v>
      </c>
      <c r="AG58" s="25">
        <v>0</v>
      </c>
      <c r="AH58" s="25">
        <v>0</v>
      </c>
      <c r="AI58" s="25">
        <v>0</v>
      </c>
      <c r="AJ58" s="25">
        <v>0</v>
      </c>
      <c r="AK58" s="25">
        <v>0</v>
      </c>
      <c r="AL58" s="25">
        <v>0</v>
      </c>
      <c r="AM58" s="25">
        <v>0</v>
      </c>
      <c r="AN58" s="25">
        <v>0</v>
      </c>
      <c r="AO58" s="25">
        <v>0</v>
      </c>
      <c r="AP58" s="25">
        <v>0</v>
      </c>
      <c r="AQ58" s="25">
        <v>0</v>
      </c>
      <c r="AR58" s="25">
        <v>0</v>
      </c>
      <c r="AS58" s="25">
        <v>0</v>
      </c>
      <c r="AT58" s="25">
        <v>0</v>
      </c>
      <c r="AU58" s="25">
        <v>0</v>
      </c>
      <c r="AV58" s="25">
        <v>0</v>
      </c>
      <c r="AW58" s="25">
        <v>0</v>
      </c>
      <c r="AX58" s="25">
        <v>0</v>
      </c>
      <c r="AY58" s="25">
        <v>0</v>
      </c>
      <c r="AZ58" s="25">
        <v>0</v>
      </c>
      <c r="BA58" s="25">
        <v>0</v>
      </c>
      <c r="BB58" s="25">
        <v>0</v>
      </c>
      <c r="BC58" s="25">
        <v>0</v>
      </c>
      <c r="BD58" s="25">
        <v>0</v>
      </c>
      <c r="BE58" s="25">
        <v>0</v>
      </c>
      <c r="BF58" s="25">
        <v>0</v>
      </c>
      <c r="BG58" s="25">
        <v>0</v>
      </c>
      <c r="BH58" s="25">
        <v>0</v>
      </c>
      <c r="BI58" s="25">
        <v>10</v>
      </c>
      <c r="BJ58" s="25">
        <v>10</v>
      </c>
      <c r="BK58" s="25">
        <v>10</v>
      </c>
      <c r="BL58" s="25">
        <v>10</v>
      </c>
      <c r="BM58" s="25">
        <v>10</v>
      </c>
      <c r="BN58" s="25">
        <v>10</v>
      </c>
      <c r="BO58" s="25">
        <v>10</v>
      </c>
      <c r="BP58" s="25">
        <v>10</v>
      </c>
      <c r="BQ58" s="25">
        <v>10</v>
      </c>
      <c r="BR58" s="25">
        <v>10</v>
      </c>
      <c r="BS58" s="25">
        <v>10</v>
      </c>
      <c r="BT58" s="25">
        <v>10</v>
      </c>
      <c r="BU58" s="25">
        <v>10</v>
      </c>
      <c r="BV58" s="25">
        <v>10</v>
      </c>
      <c r="BW58" s="25">
        <v>10</v>
      </c>
      <c r="BX58" s="25">
        <v>10</v>
      </c>
      <c r="BY58" s="25">
        <v>10</v>
      </c>
      <c r="BZ58" s="25">
        <v>10</v>
      </c>
      <c r="CA58" s="25">
        <v>10</v>
      </c>
      <c r="CB58" s="25">
        <v>10</v>
      </c>
      <c r="CC58" s="25">
        <v>10</v>
      </c>
      <c r="CD58" s="25">
        <v>10</v>
      </c>
      <c r="CE58" s="25">
        <v>10</v>
      </c>
      <c r="CF58" s="25">
        <v>10</v>
      </c>
      <c r="CG58" s="25">
        <v>10</v>
      </c>
      <c r="CH58" s="25">
        <v>10</v>
      </c>
      <c r="CI58" s="25">
        <v>10</v>
      </c>
      <c r="CJ58" s="25">
        <v>10</v>
      </c>
      <c r="CK58" s="25">
        <v>10</v>
      </c>
      <c r="CL58" s="25">
        <v>10</v>
      </c>
      <c r="CM58" s="25">
        <v>10</v>
      </c>
      <c r="CN58" s="25">
        <v>10</v>
      </c>
      <c r="CO58" s="25">
        <v>10</v>
      </c>
      <c r="CP58" s="25">
        <v>10</v>
      </c>
      <c r="CQ58" s="25">
        <v>10</v>
      </c>
      <c r="CR58" s="25">
        <v>10</v>
      </c>
      <c r="CS58" s="25">
        <v>10</v>
      </c>
      <c r="CT58" s="25">
        <v>10</v>
      </c>
      <c r="CU58" s="25">
        <v>10</v>
      </c>
      <c r="CV58" s="25">
        <v>10</v>
      </c>
      <c r="CW58" s="25">
        <v>10</v>
      </c>
      <c r="CX58" s="23" t="s">
        <v>104</v>
      </c>
    </row>
    <row r="59" spans="2:102" x14ac:dyDescent="0.25">
      <c r="B59" s="26">
        <f>SUM(L59:CW59)</f>
      </c>
      <c r="D59" s="27">
        <f>B59*E59</f>
      </c>
      <c r="E59" s="27">
        <f>'Rate Tables'!C24</f>
      </c>
      <c r="F59" s="8" t="s">
        <v>39</v>
      </c>
      <c r="L59" s="26">
        <f>IF(L$6="","",IF(OR(WEEKDAY(L$6,1)=1,WEEKDAY(L$6,1)=7),0,MIN(8,L58)*L57))</f>
      </c>
      <c r="M59" s="26">
        <f>IF(M$6="","",IF(OR(WEEKDAY(M$6,1)=1,WEEKDAY(M$6,1)=7),0,MIN(8,M58)*M57))</f>
      </c>
      <c r="N59" s="26">
        <f>IF(N$6="","",IF(OR(WEEKDAY(N$6,1)=1,WEEKDAY(N$6,1)=7),0,MIN(8,N58)*N57))</f>
      </c>
      <c r="O59" s="26">
        <f>IF(O$6="","",IF(OR(WEEKDAY(O$6,1)=1,WEEKDAY(O$6,1)=7),0,MIN(8,O58)*O57))</f>
      </c>
      <c r="P59" s="26">
        <f>IF(P$6="","",IF(OR(WEEKDAY(P$6,1)=1,WEEKDAY(P$6,1)=7),0,MIN(8,P58)*P57))</f>
      </c>
      <c r="Q59" s="26">
        <f>IF(Q$6="","",IF(OR(WEEKDAY(Q$6,1)=1,WEEKDAY(Q$6,1)=7),0,MIN(8,Q58)*Q57))</f>
      </c>
      <c r="R59" s="26">
        <f>IF(R$6="","",IF(OR(WEEKDAY(R$6,1)=1,WEEKDAY(R$6,1)=7),0,MIN(8,R58)*R57))</f>
      </c>
      <c r="S59" s="26">
        <f>IF(S$6="","",IF(OR(WEEKDAY(S$6,1)=1,WEEKDAY(S$6,1)=7),0,MIN(8,S58)*S57))</f>
      </c>
      <c r="T59" s="26">
        <f>IF(T$6="","",IF(OR(WEEKDAY(T$6,1)=1,WEEKDAY(T$6,1)=7),0,MIN(8,T58)*T57))</f>
      </c>
      <c r="U59" s="26">
        <f>IF(U$6="","",IF(OR(WEEKDAY(U$6,1)=1,WEEKDAY(U$6,1)=7),0,MIN(8,U58)*U57))</f>
      </c>
      <c r="V59" s="26">
        <f>IF(V$6="","",IF(OR(WEEKDAY(V$6,1)=1,WEEKDAY(V$6,1)=7),0,MIN(8,V58)*V57))</f>
      </c>
      <c r="W59" s="26">
        <f>IF(W$6="","",IF(OR(WEEKDAY(W$6,1)=1,WEEKDAY(W$6,1)=7),0,MIN(8,W58)*W57))</f>
      </c>
      <c r="X59" s="26">
        <f>IF(X$6="","",IF(OR(WEEKDAY(X$6,1)=1,WEEKDAY(X$6,1)=7),0,MIN(8,X58)*X57))</f>
      </c>
      <c r="Y59" s="26">
        <f>IF(Y$6="","",IF(OR(WEEKDAY(Y$6,1)=1,WEEKDAY(Y$6,1)=7),0,MIN(8,Y58)*Y57))</f>
      </c>
      <c r="Z59" s="26">
        <f>IF(Z$6="","",IF(OR(WEEKDAY(Z$6,1)=1,WEEKDAY(Z$6,1)=7),0,MIN(8,Z58)*Z57))</f>
      </c>
      <c r="AA59" s="26">
        <f>IF(AA$6="","",IF(OR(WEEKDAY(AA$6,1)=1,WEEKDAY(AA$6,1)=7),0,MIN(8,AA58)*AA57))</f>
      </c>
      <c r="AB59" s="26">
        <f>IF(AB$6="","",IF(OR(WEEKDAY(AB$6,1)=1,WEEKDAY(AB$6,1)=7),0,MIN(8,AB58)*AB57))</f>
      </c>
      <c r="AC59" s="26">
        <f>IF(AC$6="","",IF(OR(WEEKDAY(AC$6,1)=1,WEEKDAY(AC$6,1)=7),0,MIN(8,AC58)*AC57))</f>
      </c>
      <c r="AD59" s="26">
        <f>IF(AD$6="","",IF(OR(WEEKDAY(AD$6,1)=1,WEEKDAY(AD$6,1)=7),0,MIN(8,AD58)*AD57))</f>
      </c>
      <c r="AE59" s="26">
        <f>IF(AE$6="","",IF(OR(WEEKDAY(AE$6,1)=1,WEEKDAY(AE$6,1)=7),0,MIN(8,AE58)*AE57))</f>
      </c>
      <c r="AF59" s="26">
        <f>IF(AF$6="","",IF(OR(WEEKDAY(AF$6,1)=1,WEEKDAY(AF$6,1)=7),0,MIN(8,AF58)*AF57))</f>
      </c>
      <c r="AG59" s="26">
        <f>IF(AG$6="","",IF(OR(WEEKDAY(AG$6,1)=1,WEEKDAY(AG$6,1)=7),0,MIN(8,AG58)*AG57))</f>
      </c>
      <c r="AH59" s="26">
        <f>IF(AH$6="","",IF(OR(WEEKDAY(AH$6,1)=1,WEEKDAY(AH$6,1)=7),0,MIN(8,AH58)*AH57))</f>
      </c>
      <c r="AI59" s="26">
        <f>IF(AI$6="","",IF(OR(WEEKDAY(AI$6,1)=1,WEEKDAY(AI$6,1)=7),0,MIN(8,AI58)*AI57))</f>
      </c>
      <c r="AJ59" s="26">
        <f>IF(AJ$6="","",IF(OR(WEEKDAY(AJ$6,1)=1,WEEKDAY(AJ$6,1)=7),0,MIN(8,AJ58)*AJ57))</f>
      </c>
      <c r="AK59" s="26">
        <f>IF(AK$6="","",IF(OR(WEEKDAY(AK$6,1)=1,WEEKDAY(AK$6,1)=7),0,MIN(8,AK58)*AK57))</f>
      </c>
      <c r="AL59" s="26">
        <f>IF(AL$6="","",IF(OR(WEEKDAY(AL$6,1)=1,WEEKDAY(AL$6,1)=7),0,MIN(8,AL58)*AL57))</f>
      </c>
      <c r="AM59" s="26">
        <f>IF(AM$6="","",IF(OR(WEEKDAY(AM$6,1)=1,WEEKDAY(AM$6,1)=7),0,MIN(8,AM58)*AM57))</f>
      </c>
      <c r="AN59" s="26">
        <f>IF(AN$6="","",IF(OR(WEEKDAY(AN$6,1)=1,WEEKDAY(AN$6,1)=7),0,MIN(8,AN58)*AN57))</f>
      </c>
      <c r="AO59" s="26">
        <f>IF(AO$6="","",IF(OR(WEEKDAY(AO$6,1)=1,WEEKDAY(AO$6,1)=7),0,MIN(8,AO58)*AO57))</f>
      </c>
      <c r="AP59" s="26">
        <f>IF(AP$6="","",IF(OR(WEEKDAY(AP$6,1)=1,WEEKDAY(AP$6,1)=7),0,MIN(8,AP58)*AP57))</f>
      </c>
      <c r="AQ59" s="26">
        <f>IF(AQ$6="","",IF(OR(WEEKDAY(AQ$6,1)=1,WEEKDAY(AQ$6,1)=7),0,MIN(8,AQ58)*AQ57))</f>
      </c>
      <c r="AR59" s="26">
        <f>IF(AR$6="","",IF(OR(WEEKDAY(AR$6,1)=1,WEEKDAY(AR$6,1)=7),0,MIN(8,AR58)*AR57))</f>
      </c>
      <c r="AS59" s="26">
        <f>IF(AS$6="","",IF(OR(WEEKDAY(AS$6,1)=1,WEEKDAY(AS$6,1)=7),0,MIN(8,AS58)*AS57))</f>
      </c>
      <c r="AT59" s="26">
        <f>IF(AT$6="","",IF(OR(WEEKDAY(AT$6,1)=1,WEEKDAY(AT$6,1)=7),0,MIN(8,AT58)*AT57))</f>
      </c>
      <c r="AU59" s="26">
        <f>IF(AU$6="","",IF(OR(WEEKDAY(AU$6,1)=1,WEEKDAY(AU$6,1)=7),0,MIN(8,AU58)*AU57))</f>
      </c>
      <c r="AV59" s="26">
        <f>IF(AV$6="","",IF(OR(WEEKDAY(AV$6,1)=1,WEEKDAY(AV$6,1)=7),0,MIN(8,AV58)*AV57))</f>
      </c>
      <c r="AW59" s="26">
        <f>IF(AW$6="","",IF(OR(WEEKDAY(AW$6,1)=1,WEEKDAY(AW$6,1)=7),0,MIN(8,AW58)*AW57))</f>
      </c>
      <c r="AX59" s="26">
        <f>IF(AX$6="","",IF(OR(WEEKDAY(AX$6,1)=1,WEEKDAY(AX$6,1)=7),0,MIN(8,AX58)*AX57))</f>
      </c>
      <c r="AY59" s="26">
        <f>IF(AY$6="","",IF(OR(WEEKDAY(AY$6,1)=1,WEEKDAY(AY$6,1)=7),0,MIN(8,AY58)*AY57))</f>
      </c>
      <c r="AZ59" s="26">
        <f>IF(AZ$6="","",IF(OR(WEEKDAY(AZ$6,1)=1,WEEKDAY(AZ$6,1)=7),0,MIN(8,AZ58)*AZ57))</f>
      </c>
      <c r="BA59" s="26">
        <f>IF(BA$6="","",IF(OR(WEEKDAY(BA$6,1)=1,WEEKDAY(BA$6,1)=7),0,MIN(8,BA58)*BA57))</f>
      </c>
      <c r="BB59" s="26">
        <f>IF(BB$6="","",IF(OR(WEEKDAY(BB$6,1)=1,WEEKDAY(BB$6,1)=7),0,MIN(8,BB58)*BB57))</f>
      </c>
      <c r="BC59" s="26">
        <f>IF(BC$6="","",IF(OR(WEEKDAY(BC$6,1)=1,WEEKDAY(BC$6,1)=7),0,MIN(8,BC58)*BC57))</f>
      </c>
      <c r="BD59" s="26">
        <f>IF(BD$6="","",IF(OR(WEEKDAY(BD$6,1)=1,WEEKDAY(BD$6,1)=7),0,MIN(8,BD58)*BD57))</f>
      </c>
      <c r="BE59" s="26">
        <f>IF(BE$6="","",IF(OR(WEEKDAY(BE$6,1)=1,WEEKDAY(BE$6,1)=7),0,MIN(8,BE58)*BE57))</f>
      </c>
      <c r="BF59" s="26">
        <f>IF(BF$6="","",IF(OR(WEEKDAY(BF$6,1)=1,WEEKDAY(BF$6,1)=7),0,MIN(8,BF58)*BF57))</f>
      </c>
      <c r="BG59" s="26">
        <f>IF(BG$6="","",IF(OR(WEEKDAY(BG$6,1)=1,WEEKDAY(BG$6,1)=7),0,MIN(8,BG58)*BG57))</f>
      </c>
      <c r="BH59" s="26">
        <f>IF(BH$6="","",IF(OR(WEEKDAY(BH$6,1)=1,WEEKDAY(BH$6,1)=7),0,MIN(8,BH58)*BH57))</f>
      </c>
      <c r="BI59" s="26">
        <f>IF(BI$6="","",IF(OR(WEEKDAY(BI$6,1)=1,WEEKDAY(BI$6,1)=7),0,MIN(8,BI58)*BI57))</f>
      </c>
      <c r="BJ59" s="26">
        <f>IF(BJ$6="","",IF(OR(WEEKDAY(BJ$6,1)=1,WEEKDAY(BJ$6,1)=7),0,MIN(8,BJ58)*BJ57))</f>
      </c>
      <c r="BK59" s="26">
        <f>IF(BK$6="","",IF(OR(WEEKDAY(BK$6,1)=1,WEEKDAY(BK$6,1)=7),0,MIN(8,BK58)*BK57))</f>
      </c>
      <c r="BL59" s="26">
        <f>IF(BL$6="","",IF(OR(WEEKDAY(BL$6,1)=1,WEEKDAY(BL$6,1)=7),0,MIN(8,BL58)*BL57))</f>
      </c>
      <c r="BM59" s="26">
        <f>IF(BM$6="","",IF(OR(WEEKDAY(BM$6,1)=1,WEEKDAY(BM$6,1)=7),0,MIN(8,BM58)*BM57))</f>
      </c>
      <c r="BN59" s="26">
        <f>IF(BN$6="","",IF(OR(WEEKDAY(BN$6,1)=1,WEEKDAY(BN$6,1)=7),0,MIN(8,BN58)*BN57))</f>
      </c>
      <c r="BO59" s="26">
        <f>IF(BO$6="","",IF(OR(WEEKDAY(BO$6,1)=1,WEEKDAY(BO$6,1)=7),0,MIN(8,BO58)*BO57))</f>
      </c>
      <c r="BP59" s="26">
        <f>IF(BP$6="","",IF(OR(WEEKDAY(BP$6,1)=1,WEEKDAY(BP$6,1)=7),0,MIN(8,BP58)*BP57))</f>
      </c>
      <c r="BQ59" s="26">
        <f>IF(BQ$6="","",IF(OR(WEEKDAY(BQ$6,1)=1,WEEKDAY(BQ$6,1)=7),0,MIN(8,BQ58)*BQ57))</f>
      </c>
      <c r="BR59" s="26">
        <f>IF(BR$6="","",IF(OR(WEEKDAY(BR$6,1)=1,WEEKDAY(BR$6,1)=7),0,MIN(8,BR58)*BR57))</f>
      </c>
      <c r="BS59" s="26">
        <f>IF(BS$6="","",IF(OR(WEEKDAY(BS$6,1)=1,WEEKDAY(BS$6,1)=7),0,MIN(8,BS58)*BS57))</f>
      </c>
      <c r="BT59" s="26">
        <f>IF(BT$6="","",IF(OR(WEEKDAY(BT$6,1)=1,WEEKDAY(BT$6,1)=7),0,MIN(8,BT58)*BT57))</f>
      </c>
      <c r="BU59" s="26">
        <f>IF(BU$6="","",IF(OR(WEEKDAY(BU$6,1)=1,WEEKDAY(BU$6,1)=7),0,MIN(8,BU58)*BU57))</f>
      </c>
      <c r="BV59" s="26">
        <f>IF(BV$6="","",IF(OR(WEEKDAY(BV$6,1)=1,WEEKDAY(BV$6,1)=7),0,MIN(8,BV58)*BV57))</f>
      </c>
      <c r="BW59" s="26">
        <f>IF(BW$6="","",IF(OR(WEEKDAY(BW$6,1)=1,WEEKDAY(BW$6,1)=7),0,MIN(8,BW58)*BW57))</f>
      </c>
      <c r="BX59" s="26">
        <f>IF(BX$6="","",IF(OR(WEEKDAY(BX$6,1)=1,WEEKDAY(BX$6,1)=7),0,MIN(8,BX58)*BX57))</f>
      </c>
      <c r="BY59" s="26">
        <f>IF(BY$6="","",IF(OR(WEEKDAY(BY$6,1)=1,WEEKDAY(BY$6,1)=7),0,MIN(8,BY58)*BY57))</f>
      </c>
      <c r="BZ59" s="26">
        <f>IF(BZ$6="","",IF(OR(WEEKDAY(BZ$6,1)=1,WEEKDAY(BZ$6,1)=7),0,MIN(8,BZ58)*BZ57))</f>
      </c>
      <c r="CA59" s="26">
        <f>IF(CA$6="","",IF(OR(WEEKDAY(CA$6,1)=1,WEEKDAY(CA$6,1)=7),0,MIN(8,CA58)*CA57))</f>
      </c>
      <c r="CB59" s="26">
        <f>IF(CB$6="","",IF(OR(WEEKDAY(CB$6,1)=1,WEEKDAY(CB$6,1)=7),0,MIN(8,CB58)*CB57))</f>
      </c>
      <c r="CC59" s="26">
        <f>IF(CC$6="","",IF(OR(WEEKDAY(CC$6,1)=1,WEEKDAY(CC$6,1)=7),0,MIN(8,CC58)*CC57))</f>
      </c>
      <c r="CD59" s="26">
        <f>IF(CD$6="","",IF(OR(WEEKDAY(CD$6,1)=1,WEEKDAY(CD$6,1)=7),0,MIN(8,CD58)*CD57))</f>
      </c>
      <c r="CE59" s="26">
        <f>IF(CE$6="","",IF(OR(WEEKDAY(CE$6,1)=1,WEEKDAY(CE$6,1)=7),0,MIN(8,CE58)*CE57))</f>
      </c>
      <c r="CF59" s="26">
        <f>IF(CF$6="","",IF(OR(WEEKDAY(CF$6,1)=1,WEEKDAY(CF$6,1)=7),0,MIN(8,CF58)*CF57))</f>
      </c>
      <c r="CG59" s="26">
        <f>IF(CG$6="","",IF(OR(WEEKDAY(CG$6,1)=1,WEEKDAY(CG$6,1)=7),0,MIN(8,CG58)*CG57))</f>
      </c>
      <c r="CH59" s="26">
        <f>IF(CH$6="","",IF(OR(WEEKDAY(CH$6,1)=1,WEEKDAY(CH$6,1)=7),0,MIN(8,CH58)*CH57))</f>
      </c>
      <c r="CI59" s="26">
        <f>IF(CI$6="","",IF(OR(WEEKDAY(CI$6,1)=1,WEEKDAY(CI$6,1)=7),0,MIN(8,CI58)*CI57))</f>
      </c>
      <c r="CJ59" s="26">
        <f>IF(CJ$6="","",IF(OR(WEEKDAY(CJ$6,1)=1,WEEKDAY(CJ$6,1)=7),0,MIN(8,CJ58)*CJ57))</f>
      </c>
      <c r="CK59" s="26">
        <f>IF(CK$6="","",IF(OR(WEEKDAY(CK$6,1)=1,WEEKDAY(CK$6,1)=7),0,MIN(8,CK58)*CK57))</f>
      </c>
      <c r="CL59" s="26">
        <f>IF(CL$6="","",IF(OR(WEEKDAY(CL$6,1)=1,WEEKDAY(CL$6,1)=7),0,MIN(8,CL58)*CL57))</f>
      </c>
      <c r="CM59" s="26">
        <f>IF(CM$6="","",IF(OR(WEEKDAY(CM$6,1)=1,WEEKDAY(CM$6,1)=7),0,MIN(8,CM58)*CM57))</f>
      </c>
      <c r="CN59" s="26">
        <f>IF(CN$6="","",IF(OR(WEEKDAY(CN$6,1)=1,WEEKDAY(CN$6,1)=7),0,MIN(8,CN58)*CN57))</f>
      </c>
      <c r="CO59" s="26">
        <f>IF(CO$6="","",IF(OR(WEEKDAY(CO$6,1)=1,WEEKDAY(CO$6,1)=7),0,MIN(8,CO58)*CO57))</f>
      </c>
      <c r="CP59" s="26">
        <f>IF(CP$6="","",IF(OR(WEEKDAY(CP$6,1)=1,WEEKDAY(CP$6,1)=7),0,MIN(8,CP58)*CP57))</f>
      </c>
      <c r="CQ59" s="26">
        <f>IF(CQ$6="","",IF(OR(WEEKDAY(CQ$6,1)=1,WEEKDAY(CQ$6,1)=7),0,MIN(8,CQ58)*CQ57))</f>
      </c>
      <c r="CR59" s="26">
        <f>IF(CR$6="","",IF(OR(WEEKDAY(CR$6,1)=1,WEEKDAY(CR$6,1)=7),0,MIN(8,CR58)*CR57))</f>
      </c>
      <c r="CS59" s="26">
        <f>IF(CS$6="","",IF(OR(WEEKDAY(CS$6,1)=1,WEEKDAY(CS$6,1)=7),0,MIN(8,CS58)*CS57))</f>
      </c>
      <c r="CT59" s="26">
        <f>IF(CT$6="","",IF(OR(WEEKDAY(CT$6,1)=1,WEEKDAY(CT$6,1)=7),0,MIN(8,CT58)*CT57))</f>
      </c>
      <c r="CU59" s="26">
        <f>IF(CU$6="","",IF(OR(WEEKDAY(CU$6,1)=1,WEEKDAY(CU$6,1)=7),0,MIN(8,CU58)*CU57))</f>
      </c>
      <c r="CV59" s="26">
        <f>IF(CV$6="","",IF(OR(WEEKDAY(CV$6,1)=1,WEEKDAY(CV$6,1)=7),0,MIN(8,CV58)*CV57))</f>
      </c>
      <c r="CW59" s="26">
        <f>IF(CW$6="","",IF(OR(WEEKDAY(CW$6,1)=1,WEEKDAY(CW$6,1)=7),0,MIN(8,CW58)*CW57))</f>
      </c>
      <c r="CX59" s="8" t="s">
        <v>104</v>
      </c>
    </row>
    <row r="60" spans="2:102" x14ac:dyDescent="0.25">
      <c r="B60" s="26">
        <f>SUM(L60:CW60)</f>
      </c>
      <c r="D60" s="27">
        <f>B60*E60</f>
      </c>
      <c r="E60" s="27">
        <f>'Rate Tables'!D24</f>
      </c>
      <c r="F60" s="8" t="s">
        <v>40</v>
      </c>
      <c r="L60" s="26">
        <f>IF(L$6="","",IF(WEEKDAY(L$6,1)=1,0,IF(WEEKDAY(L$6,1)=7,L58*L57,MAX(0,L58-8)*L57)))</f>
      </c>
      <c r="M60" s="26">
        <f>IF(M$6="","",IF(WEEKDAY(M$6,1)=1,0,IF(WEEKDAY(M$6,1)=7,M58*M57,MAX(0,M58-8)*M57)))</f>
      </c>
      <c r="N60" s="26">
        <f>IF(N$6="","",IF(WEEKDAY(N$6,1)=1,0,IF(WEEKDAY(N$6,1)=7,N58*N57,MAX(0,N58-8)*N57)))</f>
      </c>
      <c r="O60" s="26">
        <f>IF(O$6="","",IF(WEEKDAY(O$6,1)=1,0,IF(WEEKDAY(O$6,1)=7,O58*O57,MAX(0,O58-8)*O57)))</f>
      </c>
      <c r="P60" s="26">
        <f>IF(P$6="","",IF(WEEKDAY(P$6,1)=1,0,IF(WEEKDAY(P$6,1)=7,P58*P57,MAX(0,P58-8)*P57)))</f>
      </c>
      <c r="Q60" s="26">
        <f>IF(Q$6="","",IF(WEEKDAY(Q$6,1)=1,0,IF(WEEKDAY(Q$6,1)=7,Q58*Q57,MAX(0,Q58-8)*Q57)))</f>
      </c>
      <c r="R60" s="26">
        <f>IF(R$6="","",IF(WEEKDAY(R$6,1)=1,0,IF(WEEKDAY(R$6,1)=7,R58*R57,MAX(0,R58-8)*R57)))</f>
      </c>
      <c r="S60" s="26">
        <f>IF(S$6="","",IF(WEEKDAY(S$6,1)=1,0,IF(WEEKDAY(S$6,1)=7,S58*S57,MAX(0,S58-8)*S57)))</f>
      </c>
      <c r="T60" s="26">
        <f>IF(T$6="","",IF(WEEKDAY(T$6,1)=1,0,IF(WEEKDAY(T$6,1)=7,T58*T57,MAX(0,T58-8)*T57)))</f>
      </c>
      <c r="U60" s="26">
        <f>IF(U$6="","",IF(WEEKDAY(U$6,1)=1,0,IF(WEEKDAY(U$6,1)=7,U58*U57,MAX(0,U58-8)*U57)))</f>
      </c>
      <c r="V60" s="26">
        <f>IF(V$6="","",IF(WEEKDAY(V$6,1)=1,0,IF(WEEKDAY(V$6,1)=7,V58*V57,MAX(0,V58-8)*V57)))</f>
      </c>
      <c r="W60" s="26">
        <f>IF(W$6="","",IF(WEEKDAY(W$6,1)=1,0,IF(WEEKDAY(W$6,1)=7,W58*W57,MAX(0,W58-8)*W57)))</f>
      </c>
      <c r="X60" s="26">
        <f>IF(X$6="","",IF(WEEKDAY(X$6,1)=1,0,IF(WEEKDAY(X$6,1)=7,X58*X57,MAX(0,X58-8)*X57)))</f>
      </c>
      <c r="Y60" s="26">
        <f>IF(Y$6="","",IF(WEEKDAY(Y$6,1)=1,0,IF(WEEKDAY(Y$6,1)=7,Y58*Y57,MAX(0,Y58-8)*Y57)))</f>
      </c>
      <c r="Z60" s="26">
        <f>IF(Z$6="","",IF(WEEKDAY(Z$6,1)=1,0,IF(WEEKDAY(Z$6,1)=7,Z58*Z57,MAX(0,Z58-8)*Z57)))</f>
      </c>
      <c r="AA60" s="26">
        <f>IF(AA$6="","",IF(WEEKDAY(AA$6,1)=1,0,IF(WEEKDAY(AA$6,1)=7,AA58*AA57,MAX(0,AA58-8)*AA57)))</f>
      </c>
      <c r="AB60" s="26">
        <f>IF(AB$6="","",IF(WEEKDAY(AB$6,1)=1,0,IF(WEEKDAY(AB$6,1)=7,AB58*AB57,MAX(0,AB58-8)*AB57)))</f>
      </c>
      <c r="AC60" s="26">
        <f>IF(AC$6="","",IF(WEEKDAY(AC$6,1)=1,0,IF(WEEKDAY(AC$6,1)=7,AC58*AC57,MAX(0,AC58-8)*AC57)))</f>
      </c>
      <c r="AD60" s="26">
        <f>IF(AD$6="","",IF(WEEKDAY(AD$6,1)=1,0,IF(WEEKDAY(AD$6,1)=7,AD58*AD57,MAX(0,AD58-8)*AD57)))</f>
      </c>
      <c r="AE60" s="26">
        <f>IF(AE$6="","",IF(WEEKDAY(AE$6,1)=1,0,IF(WEEKDAY(AE$6,1)=7,AE58*AE57,MAX(0,AE58-8)*AE57)))</f>
      </c>
      <c r="AF60" s="26">
        <f>IF(AF$6="","",IF(WEEKDAY(AF$6,1)=1,0,IF(WEEKDAY(AF$6,1)=7,AF58*AF57,MAX(0,AF58-8)*AF57)))</f>
      </c>
      <c r="AG60" s="26">
        <f>IF(AG$6="","",IF(WEEKDAY(AG$6,1)=1,0,IF(WEEKDAY(AG$6,1)=7,AG58*AG57,MAX(0,AG58-8)*AG57)))</f>
      </c>
      <c r="AH60" s="26">
        <f>IF(AH$6="","",IF(WEEKDAY(AH$6,1)=1,0,IF(WEEKDAY(AH$6,1)=7,AH58*AH57,MAX(0,AH58-8)*AH57)))</f>
      </c>
      <c r="AI60" s="26">
        <f>IF(AI$6="","",IF(WEEKDAY(AI$6,1)=1,0,IF(WEEKDAY(AI$6,1)=7,AI58*AI57,MAX(0,AI58-8)*AI57)))</f>
      </c>
      <c r="AJ60" s="26">
        <f>IF(AJ$6="","",IF(WEEKDAY(AJ$6,1)=1,0,IF(WEEKDAY(AJ$6,1)=7,AJ58*AJ57,MAX(0,AJ58-8)*AJ57)))</f>
      </c>
      <c r="AK60" s="26">
        <f>IF(AK$6="","",IF(WEEKDAY(AK$6,1)=1,0,IF(WEEKDAY(AK$6,1)=7,AK58*AK57,MAX(0,AK58-8)*AK57)))</f>
      </c>
      <c r="AL60" s="26">
        <f>IF(AL$6="","",IF(WEEKDAY(AL$6,1)=1,0,IF(WEEKDAY(AL$6,1)=7,AL58*AL57,MAX(0,AL58-8)*AL57)))</f>
      </c>
      <c r="AM60" s="26">
        <f>IF(AM$6="","",IF(WEEKDAY(AM$6,1)=1,0,IF(WEEKDAY(AM$6,1)=7,AM58*AM57,MAX(0,AM58-8)*AM57)))</f>
      </c>
      <c r="AN60" s="26">
        <f>IF(AN$6="","",IF(WEEKDAY(AN$6,1)=1,0,IF(WEEKDAY(AN$6,1)=7,AN58*AN57,MAX(0,AN58-8)*AN57)))</f>
      </c>
      <c r="AO60" s="26">
        <f>IF(AO$6="","",IF(WEEKDAY(AO$6,1)=1,0,IF(WEEKDAY(AO$6,1)=7,AO58*AO57,MAX(0,AO58-8)*AO57)))</f>
      </c>
      <c r="AP60" s="26">
        <f>IF(AP$6="","",IF(WEEKDAY(AP$6,1)=1,0,IF(WEEKDAY(AP$6,1)=7,AP58*AP57,MAX(0,AP58-8)*AP57)))</f>
      </c>
      <c r="AQ60" s="26">
        <f>IF(AQ$6="","",IF(WEEKDAY(AQ$6,1)=1,0,IF(WEEKDAY(AQ$6,1)=7,AQ58*AQ57,MAX(0,AQ58-8)*AQ57)))</f>
      </c>
      <c r="AR60" s="26">
        <f>IF(AR$6="","",IF(WEEKDAY(AR$6,1)=1,0,IF(WEEKDAY(AR$6,1)=7,AR58*AR57,MAX(0,AR58-8)*AR57)))</f>
      </c>
      <c r="AS60" s="26">
        <f>IF(AS$6="","",IF(WEEKDAY(AS$6,1)=1,0,IF(WEEKDAY(AS$6,1)=7,AS58*AS57,MAX(0,AS58-8)*AS57)))</f>
      </c>
      <c r="AT60" s="26">
        <f>IF(AT$6="","",IF(WEEKDAY(AT$6,1)=1,0,IF(WEEKDAY(AT$6,1)=7,AT58*AT57,MAX(0,AT58-8)*AT57)))</f>
      </c>
      <c r="AU60" s="26">
        <f>IF(AU$6="","",IF(WEEKDAY(AU$6,1)=1,0,IF(WEEKDAY(AU$6,1)=7,AU58*AU57,MAX(0,AU58-8)*AU57)))</f>
      </c>
      <c r="AV60" s="26">
        <f>IF(AV$6="","",IF(WEEKDAY(AV$6,1)=1,0,IF(WEEKDAY(AV$6,1)=7,AV58*AV57,MAX(0,AV58-8)*AV57)))</f>
      </c>
      <c r="AW60" s="26">
        <f>IF(AW$6="","",IF(WEEKDAY(AW$6,1)=1,0,IF(WEEKDAY(AW$6,1)=7,AW58*AW57,MAX(0,AW58-8)*AW57)))</f>
      </c>
      <c r="AX60" s="26">
        <f>IF(AX$6="","",IF(WEEKDAY(AX$6,1)=1,0,IF(WEEKDAY(AX$6,1)=7,AX58*AX57,MAX(0,AX58-8)*AX57)))</f>
      </c>
      <c r="AY60" s="26">
        <f>IF(AY$6="","",IF(WEEKDAY(AY$6,1)=1,0,IF(WEEKDAY(AY$6,1)=7,AY58*AY57,MAX(0,AY58-8)*AY57)))</f>
      </c>
      <c r="AZ60" s="26">
        <f>IF(AZ$6="","",IF(WEEKDAY(AZ$6,1)=1,0,IF(WEEKDAY(AZ$6,1)=7,AZ58*AZ57,MAX(0,AZ58-8)*AZ57)))</f>
      </c>
      <c r="BA60" s="26">
        <f>IF(BA$6="","",IF(WEEKDAY(BA$6,1)=1,0,IF(WEEKDAY(BA$6,1)=7,BA58*BA57,MAX(0,BA58-8)*BA57)))</f>
      </c>
      <c r="BB60" s="26">
        <f>IF(BB$6="","",IF(WEEKDAY(BB$6,1)=1,0,IF(WEEKDAY(BB$6,1)=7,BB58*BB57,MAX(0,BB58-8)*BB57)))</f>
      </c>
      <c r="BC60" s="26">
        <f>IF(BC$6="","",IF(WEEKDAY(BC$6,1)=1,0,IF(WEEKDAY(BC$6,1)=7,BC58*BC57,MAX(0,BC58-8)*BC57)))</f>
      </c>
      <c r="BD60" s="26">
        <f>IF(BD$6="","",IF(WEEKDAY(BD$6,1)=1,0,IF(WEEKDAY(BD$6,1)=7,BD58*BD57,MAX(0,BD58-8)*BD57)))</f>
      </c>
      <c r="BE60" s="26">
        <f>IF(BE$6="","",IF(WEEKDAY(BE$6,1)=1,0,IF(WEEKDAY(BE$6,1)=7,BE58*BE57,MAX(0,BE58-8)*BE57)))</f>
      </c>
      <c r="BF60" s="26">
        <f>IF(BF$6="","",IF(WEEKDAY(BF$6,1)=1,0,IF(WEEKDAY(BF$6,1)=7,BF58*BF57,MAX(0,BF58-8)*BF57)))</f>
      </c>
      <c r="BG60" s="26">
        <f>IF(BG$6="","",IF(WEEKDAY(BG$6,1)=1,0,IF(WEEKDAY(BG$6,1)=7,BG58*BG57,MAX(0,BG58-8)*BG57)))</f>
      </c>
      <c r="BH60" s="26">
        <f>IF(BH$6="","",IF(WEEKDAY(BH$6,1)=1,0,IF(WEEKDAY(BH$6,1)=7,BH58*BH57,MAX(0,BH58-8)*BH57)))</f>
      </c>
      <c r="BI60" s="26">
        <f>IF(BI$6="","",IF(WEEKDAY(BI$6,1)=1,0,IF(WEEKDAY(BI$6,1)=7,BI58*BI57,MAX(0,BI58-8)*BI57)))</f>
      </c>
      <c r="BJ60" s="26">
        <f>IF(BJ$6="","",IF(WEEKDAY(BJ$6,1)=1,0,IF(WEEKDAY(BJ$6,1)=7,BJ58*BJ57,MAX(0,BJ58-8)*BJ57)))</f>
      </c>
      <c r="BK60" s="26">
        <f>IF(BK$6="","",IF(WEEKDAY(BK$6,1)=1,0,IF(WEEKDAY(BK$6,1)=7,BK58*BK57,MAX(0,BK58-8)*BK57)))</f>
      </c>
      <c r="BL60" s="26">
        <f>IF(BL$6="","",IF(WEEKDAY(BL$6,1)=1,0,IF(WEEKDAY(BL$6,1)=7,BL58*BL57,MAX(0,BL58-8)*BL57)))</f>
      </c>
      <c r="BM60" s="26">
        <f>IF(BM$6="","",IF(WEEKDAY(BM$6,1)=1,0,IF(WEEKDAY(BM$6,1)=7,BM58*BM57,MAX(0,BM58-8)*BM57)))</f>
      </c>
      <c r="BN60" s="26">
        <f>IF(BN$6="","",IF(WEEKDAY(BN$6,1)=1,0,IF(WEEKDAY(BN$6,1)=7,BN58*BN57,MAX(0,BN58-8)*BN57)))</f>
      </c>
      <c r="BO60" s="26">
        <f>IF(BO$6="","",IF(WEEKDAY(BO$6,1)=1,0,IF(WEEKDAY(BO$6,1)=7,BO58*BO57,MAX(0,BO58-8)*BO57)))</f>
      </c>
      <c r="BP60" s="26">
        <f>IF(BP$6="","",IF(WEEKDAY(BP$6,1)=1,0,IF(WEEKDAY(BP$6,1)=7,BP58*BP57,MAX(0,BP58-8)*BP57)))</f>
      </c>
      <c r="BQ60" s="26">
        <f>IF(BQ$6="","",IF(WEEKDAY(BQ$6,1)=1,0,IF(WEEKDAY(BQ$6,1)=7,BQ58*BQ57,MAX(0,BQ58-8)*BQ57)))</f>
      </c>
      <c r="BR60" s="26">
        <f>IF(BR$6="","",IF(WEEKDAY(BR$6,1)=1,0,IF(WEEKDAY(BR$6,1)=7,BR58*BR57,MAX(0,BR58-8)*BR57)))</f>
      </c>
      <c r="BS60" s="26">
        <f>IF(BS$6="","",IF(WEEKDAY(BS$6,1)=1,0,IF(WEEKDAY(BS$6,1)=7,BS58*BS57,MAX(0,BS58-8)*BS57)))</f>
      </c>
      <c r="BT60" s="26">
        <f>IF(BT$6="","",IF(WEEKDAY(BT$6,1)=1,0,IF(WEEKDAY(BT$6,1)=7,BT58*BT57,MAX(0,BT58-8)*BT57)))</f>
      </c>
      <c r="BU60" s="26">
        <f>IF(BU$6="","",IF(WEEKDAY(BU$6,1)=1,0,IF(WEEKDAY(BU$6,1)=7,BU58*BU57,MAX(0,BU58-8)*BU57)))</f>
      </c>
      <c r="BV60" s="26">
        <f>IF(BV$6="","",IF(WEEKDAY(BV$6,1)=1,0,IF(WEEKDAY(BV$6,1)=7,BV58*BV57,MAX(0,BV58-8)*BV57)))</f>
      </c>
      <c r="BW60" s="26">
        <f>IF(BW$6="","",IF(WEEKDAY(BW$6,1)=1,0,IF(WEEKDAY(BW$6,1)=7,BW58*BW57,MAX(0,BW58-8)*BW57)))</f>
      </c>
      <c r="BX60" s="26">
        <f>IF(BX$6="","",IF(WEEKDAY(BX$6,1)=1,0,IF(WEEKDAY(BX$6,1)=7,BX58*BX57,MAX(0,BX58-8)*BX57)))</f>
      </c>
      <c r="BY60" s="26">
        <f>IF(BY$6="","",IF(WEEKDAY(BY$6,1)=1,0,IF(WEEKDAY(BY$6,1)=7,BY58*BY57,MAX(0,BY58-8)*BY57)))</f>
      </c>
      <c r="BZ60" s="26">
        <f>IF(BZ$6="","",IF(WEEKDAY(BZ$6,1)=1,0,IF(WEEKDAY(BZ$6,1)=7,BZ58*BZ57,MAX(0,BZ58-8)*BZ57)))</f>
      </c>
      <c r="CA60" s="26">
        <f>IF(CA$6="","",IF(WEEKDAY(CA$6,1)=1,0,IF(WEEKDAY(CA$6,1)=7,CA58*CA57,MAX(0,CA58-8)*CA57)))</f>
      </c>
      <c r="CB60" s="26">
        <f>IF(CB$6="","",IF(WEEKDAY(CB$6,1)=1,0,IF(WEEKDAY(CB$6,1)=7,CB58*CB57,MAX(0,CB58-8)*CB57)))</f>
      </c>
      <c r="CC60" s="26">
        <f>IF(CC$6="","",IF(WEEKDAY(CC$6,1)=1,0,IF(WEEKDAY(CC$6,1)=7,CC58*CC57,MAX(0,CC58-8)*CC57)))</f>
      </c>
      <c r="CD60" s="26">
        <f>IF(CD$6="","",IF(WEEKDAY(CD$6,1)=1,0,IF(WEEKDAY(CD$6,1)=7,CD58*CD57,MAX(0,CD58-8)*CD57)))</f>
      </c>
      <c r="CE60" s="26">
        <f>IF(CE$6="","",IF(WEEKDAY(CE$6,1)=1,0,IF(WEEKDAY(CE$6,1)=7,CE58*CE57,MAX(0,CE58-8)*CE57)))</f>
      </c>
      <c r="CF60" s="26">
        <f>IF(CF$6="","",IF(WEEKDAY(CF$6,1)=1,0,IF(WEEKDAY(CF$6,1)=7,CF58*CF57,MAX(0,CF58-8)*CF57)))</f>
      </c>
      <c r="CG60" s="26">
        <f>IF(CG$6="","",IF(WEEKDAY(CG$6,1)=1,0,IF(WEEKDAY(CG$6,1)=7,CG58*CG57,MAX(0,CG58-8)*CG57)))</f>
      </c>
      <c r="CH60" s="26">
        <f>IF(CH$6="","",IF(WEEKDAY(CH$6,1)=1,0,IF(WEEKDAY(CH$6,1)=7,CH58*CH57,MAX(0,CH58-8)*CH57)))</f>
      </c>
      <c r="CI60" s="26">
        <f>IF(CI$6="","",IF(WEEKDAY(CI$6,1)=1,0,IF(WEEKDAY(CI$6,1)=7,CI58*CI57,MAX(0,CI58-8)*CI57)))</f>
      </c>
      <c r="CJ60" s="26">
        <f>IF(CJ$6="","",IF(WEEKDAY(CJ$6,1)=1,0,IF(WEEKDAY(CJ$6,1)=7,CJ58*CJ57,MAX(0,CJ58-8)*CJ57)))</f>
      </c>
      <c r="CK60" s="26">
        <f>IF(CK$6="","",IF(WEEKDAY(CK$6,1)=1,0,IF(WEEKDAY(CK$6,1)=7,CK58*CK57,MAX(0,CK58-8)*CK57)))</f>
      </c>
      <c r="CL60" s="26">
        <f>IF(CL$6="","",IF(WEEKDAY(CL$6,1)=1,0,IF(WEEKDAY(CL$6,1)=7,CL58*CL57,MAX(0,CL58-8)*CL57)))</f>
      </c>
      <c r="CM60" s="26">
        <f>IF(CM$6="","",IF(WEEKDAY(CM$6,1)=1,0,IF(WEEKDAY(CM$6,1)=7,CM58*CM57,MAX(0,CM58-8)*CM57)))</f>
      </c>
      <c r="CN60" s="26">
        <f>IF(CN$6="","",IF(WEEKDAY(CN$6,1)=1,0,IF(WEEKDAY(CN$6,1)=7,CN58*CN57,MAX(0,CN58-8)*CN57)))</f>
      </c>
      <c r="CO60" s="26">
        <f>IF(CO$6="","",IF(WEEKDAY(CO$6,1)=1,0,IF(WEEKDAY(CO$6,1)=7,CO58*CO57,MAX(0,CO58-8)*CO57)))</f>
      </c>
      <c r="CP60" s="26">
        <f>IF(CP$6="","",IF(WEEKDAY(CP$6,1)=1,0,IF(WEEKDAY(CP$6,1)=7,CP58*CP57,MAX(0,CP58-8)*CP57)))</f>
      </c>
      <c r="CQ60" s="26">
        <f>IF(CQ$6="","",IF(WEEKDAY(CQ$6,1)=1,0,IF(WEEKDAY(CQ$6,1)=7,CQ58*CQ57,MAX(0,CQ58-8)*CQ57)))</f>
      </c>
      <c r="CR60" s="26">
        <f>IF(CR$6="","",IF(WEEKDAY(CR$6,1)=1,0,IF(WEEKDAY(CR$6,1)=7,CR58*CR57,MAX(0,CR58-8)*CR57)))</f>
      </c>
      <c r="CS60" s="26">
        <f>IF(CS$6="","",IF(WEEKDAY(CS$6,1)=1,0,IF(WEEKDAY(CS$6,1)=7,CS58*CS57,MAX(0,CS58-8)*CS57)))</f>
      </c>
      <c r="CT60" s="26">
        <f>IF(CT$6="","",IF(WEEKDAY(CT$6,1)=1,0,IF(WEEKDAY(CT$6,1)=7,CT58*CT57,MAX(0,CT58-8)*CT57)))</f>
      </c>
      <c r="CU60" s="26">
        <f>IF(CU$6="","",IF(WEEKDAY(CU$6,1)=1,0,IF(WEEKDAY(CU$6,1)=7,CU58*CU57,MAX(0,CU58-8)*CU57)))</f>
      </c>
      <c r="CV60" s="26">
        <f>IF(CV$6="","",IF(WEEKDAY(CV$6,1)=1,0,IF(WEEKDAY(CV$6,1)=7,CV58*CV57,MAX(0,CV58-8)*CV57)))</f>
      </c>
      <c r="CW60" s="26">
        <f>IF(CW$6="","",IF(WEEKDAY(CW$6,1)=1,0,IF(WEEKDAY(CW$6,1)=7,CW58*CW57,MAX(0,CW58-8)*CW57)))</f>
      </c>
      <c r="CX60" s="8" t="s">
        <v>104</v>
      </c>
    </row>
    <row r="61" spans="2:102" x14ac:dyDescent="0.25">
      <c r="B61" s="26">
        <f>SUM(L61:CW61)</f>
      </c>
      <c r="D61" s="27">
        <f>B61*E61</f>
      </c>
      <c r="E61" s="27">
        <f>'Rate Tables'!E24</f>
      </c>
      <c r="F61" s="8" t="s">
        <v>41</v>
      </c>
      <c r="L61" s="26">
        <f>IF(L$6="","",IF(WEEKDAY(L$6,1)=1,L58*L57,0))</f>
      </c>
      <c r="M61" s="26">
        <f>IF(M$6="","",IF(WEEKDAY(M$6,1)=1,M58*M57,0))</f>
      </c>
      <c r="N61" s="26">
        <f>IF(N$6="","",IF(WEEKDAY(N$6,1)=1,N58*N57,0))</f>
      </c>
      <c r="O61" s="26">
        <f>IF(O$6="","",IF(WEEKDAY(O$6,1)=1,O58*O57,0))</f>
      </c>
      <c r="P61" s="26">
        <f>IF(P$6="","",IF(WEEKDAY(P$6,1)=1,P58*P57,0))</f>
      </c>
      <c r="Q61" s="26">
        <f>IF(Q$6="","",IF(WEEKDAY(Q$6,1)=1,Q58*Q57,0))</f>
      </c>
      <c r="R61" s="26">
        <f>IF(R$6="","",IF(WEEKDAY(R$6,1)=1,R58*R57,0))</f>
      </c>
      <c r="S61" s="26">
        <f>IF(S$6="","",IF(WEEKDAY(S$6,1)=1,S58*S57,0))</f>
      </c>
      <c r="T61" s="26">
        <f>IF(T$6="","",IF(WEEKDAY(T$6,1)=1,T58*T57,0))</f>
      </c>
      <c r="U61" s="26">
        <f>IF(U$6="","",IF(WEEKDAY(U$6,1)=1,U58*U57,0))</f>
      </c>
      <c r="V61" s="26">
        <f>IF(V$6="","",IF(WEEKDAY(V$6,1)=1,V58*V57,0))</f>
      </c>
      <c r="W61" s="26">
        <f>IF(W$6="","",IF(WEEKDAY(W$6,1)=1,W58*W57,0))</f>
      </c>
      <c r="X61" s="26">
        <f>IF(X$6="","",IF(WEEKDAY(X$6,1)=1,X58*X57,0))</f>
      </c>
      <c r="Y61" s="26">
        <f>IF(Y$6="","",IF(WEEKDAY(Y$6,1)=1,Y58*Y57,0))</f>
      </c>
      <c r="Z61" s="26">
        <f>IF(Z$6="","",IF(WEEKDAY(Z$6,1)=1,Z58*Z57,0))</f>
      </c>
      <c r="AA61" s="26">
        <f>IF(AA$6="","",IF(WEEKDAY(AA$6,1)=1,AA58*AA57,0))</f>
      </c>
      <c r="AB61" s="26">
        <f>IF(AB$6="","",IF(WEEKDAY(AB$6,1)=1,AB58*AB57,0))</f>
      </c>
      <c r="AC61" s="26">
        <f>IF(AC$6="","",IF(WEEKDAY(AC$6,1)=1,AC58*AC57,0))</f>
      </c>
      <c r="AD61" s="26">
        <f>IF(AD$6="","",IF(WEEKDAY(AD$6,1)=1,AD58*AD57,0))</f>
      </c>
      <c r="AE61" s="26">
        <f>IF(AE$6="","",IF(WEEKDAY(AE$6,1)=1,AE58*AE57,0))</f>
      </c>
      <c r="AF61" s="26">
        <f>IF(AF$6="","",IF(WEEKDAY(AF$6,1)=1,AF58*AF57,0))</f>
      </c>
      <c r="AG61" s="26">
        <f>IF(AG$6="","",IF(WEEKDAY(AG$6,1)=1,AG58*AG57,0))</f>
      </c>
      <c r="AH61" s="26">
        <f>IF(AH$6="","",IF(WEEKDAY(AH$6,1)=1,AH58*AH57,0))</f>
      </c>
      <c r="AI61" s="26">
        <f>IF(AI$6="","",IF(WEEKDAY(AI$6,1)=1,AI58*AI57,0))</f>
      </c>
      <c r="AJ61" s="26">
        <f>IF(AJ$6="","",IF(WEEKDAY(AJ$6,1)=1,AJ58*AJ57,0))</f>
      </c>
      <c r="AK61" s="26">
        <f>IF(AK$6="","",IF(WEEKDAY(AK$6,1)=1,AK58*AK57,0))</f>
      </c>
      <c r="AL61" s="26">
        <f>IF(AL$6="","",IF(WEEKDAY(AL$6,1)=1,AL58*AL57,0))</f>
      </c>
      <c r="AM61" s="26">
        <f>IF(AM$6="","",IF(WEEKDAY(AM$6,1)=1,AM58*AM57,0))</f>
      </c>
      <c r="AN61" s="26">
        <f>IF(AN$6="","",IF(WEEKDAY(AN$6,1)=1,AN58*AN57,0))</f>
      </c>
      <c r="AO61" s="26">
        <f>IF(AO$6="","",IF(WEEKDAY(AO$6,1)=1,AO58*AO57,0))</f>
      </c>
      <c r="AP61" s="26">
        <f>IF(AP$6="","",IF(WEEKDAY(AP$6,1)=1,AP58*AP57,0))</f>
      </c>
      <c r="AQ61" s="26">
        <f>IF(AQ$6="","",IF(WEEKDAY(AQ$6,1)=1,AQ58*AQ57,0))</f>
      </c>
      <c r="AR61" s="26">
        <f>IF(AR$6="","",IF(WEEKDAY(AR$6,1)=1,AR58*AR57,0))</f>
      </c>
      <c r="AS61" s="26">
        <f>IF(AS$6="","",IF(WEEKDAY(AS$6,1)=1,AS58*AS57,0))</f>
      </c>
      <c r="AT61" s="26">
        <f>IF(AT$6="","",IF(WEEKDAY(AT$6,1)=1,AT58*AT57,0))</f>
      </c>
      <c r="AU61" s="26">
        <f>IF(AU$6="","",IF(WEEKDAY(AU$6,1)=1,AU58*AU57,0))</f>
      </c>
      <c r="AV61" s="26">
        <f>IF(AV$6="","",IF(WEEKDAY(AV$6,1)=1,AV58*AV57,0))</f>
      </c>
      <c r="AW61" s="26">
        <f>IF(AW$6="","",IF(WEEKDAY(AW$6,1)=1,AW58*AW57,0))</f>
      </c>
      <c r="AX61" s="26">
        <f>IF(AX$6="","",IF(WEEKDAY(AX$6,1)=1,AX58*AX57,0))</f>
      </c>
      <c r="AY61" s="26">
        <f>IF(AY$6="","",IF(WEEKDAY(AY$6,1)=1,AY58*AY57,0))</f>
      </c>
      <c r="AZ61" s="26">
        <f>IF(AZ$6="","",IF(WEEKDAY(AZ$6,1)=1,AZ58*AZ57,0))</f>
      </c>
      <c r="BA61" s="26">
        <f>IF(BA$6="","",IF(WEEKDAY(BA$6,1)=1,BA58*BA57,0))</f>
      </c>
      <c r="BB61" s="26">
        <f>IF(BB$6="","",IF(WEEKDAY(BB$6,1)=1,BB58*BB57,0))</f>
      </c>
      <c r="BC61" s="26">
        <f>IF(BC$6="","",IF(WEEKDAY(BC$6,1)=1,BC58*BC57,0))</f>
      </c>
      <c r="BD61" s="26">
        <f>IF(BD$6="","",IF(WEEKDAY(BD$6,1)=1,BD58*BD57,0))</f>
      </c>
      <c r="BE61" s="26">
        <f>IF(BE$6="","",IF(WEEKDAY(BE$6,1)=1,BE58*BE57,0))</f>
      </c>
      <c r="BF61" s="26">
        <f>IF(BF$6="","",IF(WEEKDAY(BF$6,1)=1,BF58*BF57,0))</f>
      </c>
      <c r="BG61" s="26">
        <f>IF(BG$6="","",IF(WEEKDAY(BG$6,1)=1,BG58*BG57,0))</f>
      </c>
      <c r="BH61" s="26">
        <f>IF(BH$6="","",IF(WEEKDAY(BH$6,1)=1,BH58*BH57,0))</f>
      </c>
      <c r="BI61" s="26">
        <f>IF(BI$6="","",IF(WEEKDAY(BI$6,1)=1,BI58*BI57,0))</f>
      </c>
      <c r="BJ61" s="26">
        <f>IF(BJ$6="","",IF(WEEKDAY(BJ$6,1)=1,BJ58*BJ57,0))</f>
      </c>
      <c r="BK61" s="26">
        <f>IF(BK$6="","",IF(WEEKDAY(BK$6,1)=1,BK58*BK57,0))</f>
      </c>
      <c r="BL61" s="26">
        <f>IF(BL$6="","",IF(WEEKDAY(BL$6,1)=1,BL58*BL57,0))</f>
      </c>
      <c r="BM61" s="26">
        <f>IF(BM$6="","",IF(WEEKDAY(BM$6,1)=1,BM58*BM57,0))</f>
      </c>
      <c r="BN61" s="26">
        <f>IF(BN$6="","",IF(WEEKDAY(BN$6,1)=1,BN58*BN57,0))</f>
      </c>
      <c r="BO61" s="26">
        <f>IF(BO$6="","",IF(WEEKDAY(BO$6,1)=1,BO58*BO57,0))</f>
      </c>
      <c r="BP61" s="26">
        <f>IF(BP$6="","",IF(WEEKDAY(BP$6,1)=1,BP58*BP57,0))</f>
      </c>
      <c r="BQ61" s="26">
        <f>IF(BQ$6="","",IF(WEEKDAY(BQ$6,1)=1,BQ58*BQ57,0))</f>
      </c>
      <c r="BR61" s="26">
        <f>IF(BR$6="","",IF(WEEKDAY(BR$6,1)=1,BR58*BR57,0))</f>
      </c>
      <c r="BS61" s="26">
        <f>IF(BS$6="","",IF(WEEKDAY(BS$6,1)=1,BS58*BS57,0))</f>
      </c>
      <c r="BT61" s="26">
        <f>IF(BT$6="","",IF(WEEKDAY(BT$6,1)=1,BT58*BT57,0))</f>
      </c>
      <c r="BU61" s="26">
        <f>IF(BU$6="","",IF(WEEKDAY(BU$6,1)=1,BU58*BU57,0))</f>
      </c>
      <c r="BV61" s="26">
        <f>IF(BV$6="","",IF(WEEKDAY(BV$6,1)=1,BV58*BV57,0))</f>
      </c>
      <c r="BW61" s="26">
        <f>IF(BW$6="","",IF(WEEKDAY(BW$6,1)=1,BW58*BW57,0))</f>
      </c>
      <c r="BX61" s="26">
        <f>IF(BX$6="","",IF(WEEKDAY(BX$6,1)=1,BX58*BX57,0))</f>
      </c>
      <c r="BY61" s="26">
        <f>IF(BY$6="","",IF(WEEKDAY(BY$6,1)=1,BY58*BY57,0))</f>
      </c>
      <c r="BZ61" s="26">
        <f>IF(BZ$6="","",IF(WEEKDAY(BZ$6,1)=1,BZ58*BZ57,0))</f>
      </c>
      <c r="CA61" s="26">
        <f>IF(CA$6="","",IF(WEEKDAY(CA$6,1)=1,CA58*CA57,0))</f>
      </c>
      <c r="CB61" s="26">
        <f>IF(CB$6="","",IF(WEEKDAY(CB$6,1)=1,CB58*CB57,0))</f>
      </c>
      <c r="CC61" s="26">
        <f>IF(CC$6="","",IF(WEEKDAY(CC$6,1)=1,CC58*CC57,0))</f>
      </c>
      <c r="CD61" s="26">
        <f>IF(CD$6="","",IF(WEEKDAY(CD$6,1)=1,CD58*CD57,0))</f>
      </c>
      <c r="CE61" s="26">
        <f>IF(CE$6="","",IF(WEEKDAY(CE$6,1)=1,CE58*CE57,0))</f>
      </c>
      <c r="CF61" s="26">
        <f>IF(CF$6="","",IF(WEEKDAY(CF$6,1)=1,CF58*CF57,0))</f>
      </c>
      <c r="CG61" s="26">
        <f>IF(CG$6="","",IF(WEEKDAY(CG$6,1)=1,CG58*CG57,0))</f>
      </c>
      <c r="CH61" s="26">
        <f>IF(CH$6="","",IF(WEEKDAY(CH$6,1)=1,CH58*CH57,0))</f>
      </c>
      <c r="CI61" s="26">
        <f>IF(CI$6="","",IF(WEEKDAY(CI$6,1)=1,CI58*CI57,0))</f>
      </c>
      <c r="CJ61" s="26">
        <f>IF(CJ$6="","",IF(WEEKDAY(CJ$6,1)=1,CJ58*CJ57,0))</f>
      </c>
      <c r="CK61" s="26">
        <f>IF(CK$6="","",IF(WEEKDAY(CK$6,1)=1,CK58*CK57,0))</f>
      </c>
      <c r="CL61" s="26">
        <f>IF(CL$6="","",IF(WEEKDAY(CL$6,1)=1,CL58*CL57,0))</f>
      </c>
      <c r="CM61" s="26">
        <f>IF(CM$6="","",IF(WEEKDAY(CM$6,1)=1,CM58*CM57,0))</f>
      </c>
      <c r="CN61" s="26">
        <f>IF(CN$6="","",IF(WEEKDAY(CN$6,1)=1,CN58*CN57,0))</f>
      </c>
      <c r="CO61" s="26">
        <f>IF(CO$6="","",IF(WEEKDAY(CO$6,1)=1,CO58*CO57,0))</f>
      </c>
      <c r="CP61" s="26">
        <f>IF(CP$6="","",IF(WEEKDAY(CP$6,1)=1,CP58*CP57,0))</f>
      </c>
      <c r="CQ61" s="26">
        <f>IF(CQ$6="","",IF(WEEKDAY(CQ$6,1)=1,CQ58*CQ57,0))</f>
      </c>
      <c r="CR61" s="26">
        <f>IF(CR$6="","",IF(WEEKDAY(CR$6,1)=1,CR58*CR57,0))</f>
      </c>
      <c r="CS61" s="26">
        <f>IF(CS$6="","",IF(WEEKDAY(CS$6,1)=1,CS58*CS57,0))</f>
      </c>
      <c r="CT61" s="26">
        <f>IF(CT$6="","",IF(WEEKDAY(CT$6,1)=1,CT58*CT57,0))</f>
      </c>
      <c r="CU61" s="26">
        <f>IF(CU$6="","",IF(WEEKDAY(CU$6,1)=1,CU58*CU57,0))</f>
      </c>
      <c r="CV61" s="26">
        <f>IF(CV$6="","",IF(WEEKDAY(CV$6,1)=1,CV58*CV57,0))</f>
      </c>
      <c r="CW61" s="26">
        <f>IF(CW$6="","",IF(WEEKDAY(CW$6,1)=1,CW58*CW57,0))</f>
      </c>
      <c r="CX61" s="8" t="s">
        <v>104</v>
      </c>
    </row>
    <row r="62" spans="2:102" x14ac:dyDescent="0.25">
      <c r="B62" s="26">
        <f>SUM(L62:CW62)</f>
      </c>
      <c r="D62" s="27">
        <f>B62*E62</f>
      </c>
      <c r="E62" s="27">
        <v>130</v>
      </c>
      <c r="F62" s="8" t="s">
        <v>42</v>
      </c>
      <c r="L62" s="28">
        <v>0</v>
      </c>
      <c r="M62" s="28">
        <v>0</v>
      </c>
      <c r="N62" s="28">
        <v>0</v>
      </c>
      <c r="O62" s="28">
        <v>0</v>
      </c>
      <c r="P62" s="28">
        <v>0</v>
      </c>
      <c r="Q62" s="28">
        <v>0</v>
      </c>
      <c r="R62" s="28">
        <v>0</v>
      </c>
      <c r="S62" s="28">
        <v>0</v>
      </c>
      <c r="T62" s="28">
        <v>0</v>
      </c>
      <c r="U62" s="28">
        <v>0</v>
      </c>
      <c r="V62" s="28">
        <v>0</v>
      </c>
      <c r="W62" s="28">
        <v>0</v>
      </c>
      <c r="X62" s="28">
        <v>0</v>
      </c>
      <c r="Y62" s="28">
        <v>0</v>
      </c>
      <c r="Z62" s="28">
        <v>0</v>
      </c>
      <c r="AA62" s="28">
        <v>0</v>
      </c>
      <c r="AB62" s="28">
        <v>0</v>
      </c>
      <c r="AC62" s="28">
        <v>0</v>
      </c>
      <c r="AD62" s="28">
        <v>0</v>
      </c>
      <c r="AE62" s="28">
        <v>0</v>
      </c>
      <c r="AF62" s="28">
        <v>0</v>
      </c>
      <c r="AG62" s="28">
        <v>0</v>
      </c>
      <c r="AH62" s="28">
        <v>0</v>
      </c>
      <c r="AI62" s="28">
        <v>0</v>
      </c>
      <c r="AJ62" s="28">
        <v>0</v>
      </c>
      <c r="AK62" s="28">
        <v>0</v>
      </c>
      <c r="AL62" s="28">
        <v>0</v>
      </c>
      <c r="AM62" s="28">
        <v>0</v>
      </c>
      <c r="AN62" s="28">
        <v>0</v>
      </c>
      <c r="AO62" s="28">
        <v>0</v>
      </c>
      <c r="AP62" s="28">
        <v>0</v>
      </c>
      <c r="AQ62" s="28">
        <v>0</v>
      </c>
      <c r="AR62" s="28">
        <v>0</v>
      </c>
      <c r="AS62" s="28">
        <v>0</v>
      </c>
      <c r="AT62" s="28">
        <v>0</v>
      </c>
      <c r="AU62" s="28">
        <v>0</v>
      </c>
      <c r="AV62" s="28">
        <v>0</v>
      </c>
      <c r="AW62" s="28">
        <v>0</v>
      </c>
      <c r="AX62" s="28">
        <v>0</v>
      </c>
      <c r="AY62" s="28">
        <v>0</v>
      </c>
      <c r="AZ62" s="28">
        <v>0</v>
      </c>
      <c r="BA62" s="28">
        <v>0</v>
      </c>
      <c r="BB62" s="28">
        <v>0</v>
      </c>
      <c r="BC62" s="28">
        <v>0</v>
      </c>
      <c r="BD62" s="28">
        <v>0</v>
      </c>
      <c r="BE62" s="28">
        <v>0</v>
      </c>
      <c r="BF62" s="28">
        <v>0</v>
      </c>
      <c r="BG62" s="28">
        <v>0</v>
      </c>
      <c r="BH62" s="28">
        <v>0</v>
      </c>
      <c r="BI62" s="28">
        <v>1</v>
      </c>
      <c r="BJ62" s="28">
        <v>1</v>
      </c>
      <c r="BK62" s="28">
        <v>1</v>
      </c>
      <c r="BL62" s="28">
        <v>1</v>
      </c>
      <c r="BM62" s="28">
        <v>1</v>
      </c>
      <c r="BN62" s="28">
        <v>1</v>
      </c>
      <c r="BO62" s="28">
        <v>1</v>
      </c>
      <c r="BP62" s="28">
        <v>1</v>
      </c>
      <c r="BQ62" s="28">
        <v>1</v>
      </c>
      <c r="BR62" s="28">
        <v>1</v>
      </c>
      <c r="BS62" s="28">
        <v>2</v>
      </c>
      <c r="BT62" s="28">
        <v>2</v>
      </c>
      <c r="BU62" s="28">
        <v>2</v>
      </c>
      <c r="BV62" s="28">
        <v>2</v>
      </c>
      <c r="BW62" s="28">
        <v>2</v>
      </c>
      <c r="BX62" s="28">
        <v>2</v>
      </c>
      <c r="BY62" s="28">
        <v>2</v>
      </c>
      <c r="BZ62" s="28">
        <v>2</v>
      </c>
      <c r="CA62" s="28">
        <v>2</v>
      </c>
      <c r="CB62" s="28">
        <v>2</v>
      </c>
      <c r="CC62" s="28">
        <v>2</v>
      </c>
      <c r="CD62" s="28">
        <v>2</v>
      </c>
      <c r="CE62" s="28">
        <v>2</v>
      </c>
      <c r="CF62" s="28">
        <v>2</v>
      </c>
      <c r="CG62" s="28">
        <v>2</v>
      </c>
      <c r="CH62" s="28">
        <v>2</v>
      </c>
      <c r="CI62" s="28">
        <v>2</v>
      </c>
      <c r="CJ62" s="28">
        <v>2</v>
      </c>
      <c r="CK62" s="28">
        <v>2</v>
      </c>
      <c r="CL62" s="28">
        <v>2</v>
      </c>
      <c r="CM62" s="28">
        <v>2</v>
      </c>
      <c r="CN62" s="28">
        <v>2</v>
      </c>
      <c r="CO62" s="28">
        <v>2</v>
      </c>
      <c r="CP62" s="28">
        <v>2</v>
      </c>
      <c r="CQ62" s="28">
        <v>2</v>
      </c>
      <c r="CR62" s="28">
        <v>2</v>
      </c>
      <c r="CS62" s="28">
        <v>2</v>
      </c>
      <c r="CT62" s="28">
        <v>2</v>
      </c>
      <c r="CU62" s="28">
        <v>2</v>
      </c>
      <c r="CV62" s="28">
        <v>2</v>
      </c>
      <c r="CW62" s="28">
        <v>2</v>
      </c>
      <c r="CX62" s="8" t="s">
        <v>104</v>
      </c>
    </row>
    <row r="63" spans="1:102" x14ac:dyDescent="0.25">
      <c r="A63" s="20" t="s">
        <v>32</v>
      </c>
      <c r="B63" s="21">
        <f>G63+H63+I63</f>
      </c>
      <c r="C63" s="20" t="s">
        <v>105</v>
      </c>
      <c r="D63" s="22">
        <f>K63</f>
      </c>
      <c r="F63" s="20" t="s">
        <v>34</v>
      </c>
      <c r="G63" s="21">
        <f>B66</f>
      </c>
      <c r="H63" s="21">
        <f>B67</f>
      </c>
      <c r="I63" s="21">
        <f>B68</f>
      </c>
      <c r="J63" s="21">
        <f>B69</f>
      </c>
      <c r="K63" s="22">
        <f>D66+D67+D68</f>
      </c>
      <c r="CX63" s="20" t="s">
        <v>106</v>
      </c>
    </row>
    <row r="64" spans="6:102" x14ac:dyDescent="0.25">
      <c r="F64" s="23" t="s">
        <v>36</v>
      </c>
      <c r="L64" s="24">
        <v>0</v>
      </c>
      <c r="M64" s="24">
        <v>0</v>
      </c>
      <c r="N64" s="24">
        <v>0</v>
      </c>
      <c r="O64" s="24">
        <v>0</v>
      </c>
      <c r="P64" s="24">
        <v>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v>0</v>
      </c>
      <c r="AA64" s="24">
        <v>0</v>
      </c>
      <c r="AB64" s="24">
        <v>0</v>
      </c>
      <c r="AC64" s="24">
        <v>0</v>
      </c>
      <c r="AD64" s="24">
        <v>0</v>
      </c>
      <c r="AE64" s="24">
        <v>0</v>
      </c>
      <c r="AF64" s="24">
        <v>0</v>
      </c>
      <c r="AG64" s="24">
        <v>0</v>
      </c>
      <c r="AH64" s="24">
        <v>0</v>
      </c>
      <c r="AI64" s="24">
        <v>0</v>
      </c>
      <c r="AJ64" s="24">
        <v>0</v>
      </c>
      <c r="AK64" s="24">
        <v>0</v>
      </c>
      <c r="AL64" s="24">
        <v>0</v>
      </c>
      <c r="AM64" s="24">
        <v>0</v>
      </c>
      <c r="AN64" s="24">
        <v>0</v>
      </c>
      <c r="AO64" s="24">
        <v>0</v>
      </c>
      <c r="AP64" s="24">
        <v>0</v>
      </c>
      <c r="AQ64" s="24">
        <v>0</v>
      </c>
      <c r="AR64" s="24">
        <v>0</v>
      </c>
      <c r="AS64" s="24">
        <v>0</v>
      </c>
      <c r="AT64" s="24">
        <v>0</v>
      </c>
      <c r="AU64" s="24">
        <v>0</v>
      </c>
      <c r="AV64" s="24">
        <v>0</v>
      </c>
      <c r="AW64" s="24">
        <v>0</v>
      </c>
      <c r="AX64" s="24">
        <v>0</v>
      </c>
      <c r="AY64" s="24">
        <v>0</v>
      </c>
      <c r="AZ64" s="24">
        <v>0</v>
      </c>
      <c r="BA64" s="24">
        <v>0</v>
      </c>
      <c r="BB64" s="24">
        <v>5</v>
      </c>
      <c r="BC64" s="24">
        <v>5</v>
      </c>
      <c r="BD64" s="24">
        <v>5</v>
      </c>
      <c r="BE64" s="24">
        <v>5</v>
      </c>
      <c r="BF64" s="24">
        <v>5</v>
      </c>
      <c r="BG64" s="24">
        <v>0</v>
      </c>
      <c r="BH64" s="24">
        <v>0</v>
      </c>
      <c r="BI64" s="24">
        <v>0</v>
      </c>
      <c r="BJ64" s="24">
        <v>0</v>
      </c>
      <c r="BK64" s="24">
        <v>0</v>
      </c>
      <c r="BL64" s="24">
        <v>0</v>
      </c>
      <c r="BM64" s="24">
        <v>0</v>
      </c>
      <c r="BN64" s="24">
        <v>0</v>
      </c>
      <c r="BO64" s="24">
        <v>0</v>
      </c>
      <c r="BP64" s="24">
        <v>0</v>
      </c>
      <c r="BQ64" s="24">
        <v>0</v>
      </c>
      <c r="BR64" s="24">
        <v>0</v>
      </c>
      <c r="BS64" s="24">
        <v>0</v>
      </c>
      <c r="BT64" s="24">
        <v>0</v>
      </c>
      <c r="BU64" s="24">
        <v>0</v>
      </c>
      <c r="BV64" s="24">
        <v>0</v>
      </c>
      <c r="BW64" s="24">
        <v>0</v>
      </c>
      <c r="BX64" s="24">
        <v>0</v>
      </c>
      <c r="BY64" s="24">
        <v>0</v>
      </c>
      <c r="BZ64" s="24">
        <v>0</v>
      </c>
      <c r="CA64" s="24">
        <v>0</v>
      </c>
      <c r="CB64" s="24">
        <v>0</v>
      </c>
      <c r="CC64" s="24">
        <v>0</v>
      </c>
      <c r="CD64" s="24">
        <v>0</v>
      </c>
      <c r="CE64" s="24">
        <v>0</v>
      </c>
      <c r="CF64" s="24">
        <v>0</v>
      </c>
      <c r="CG64" s="24">
        <v>0</v>
      </c>
      <c r="CH64" s="24">
        <v>0</v>
      </c>
      <c r="CI64" s="24">
        <v>0</v>
      </c>
      <c r="CJ64" s="24">
        <v>0</v>
      </c>
      <c r="CK64" s="24">
        <v>0</v>
      </c>
      <c r="CL64" s="24">
        <v>0</v>
      </c>
      <c r="CM64" s="24">
        <v>0</v>
      </c>
      <c r="CN64" s="24">
        <v>0</v>
      </c>
      <c r="CO64" s="24">
        <v>0</v>
      </c>
      <c r="CP64" s="24">
        <v>0</v>
      </c>
      <c r="CQ64" s="24">
        <v>0</v>
      </c>
      <c r="CR64" s="24">
        <v>0</v>
      </c>
      <c r="CS64" s="24">
        <v>0</v>
      </c>
      <c r="CT64" s="24">
        <v>0</v>
      </c>
      <c r="CU64" s="24">
        <v>0</v>
      </c>
      <c r="CV64" s="24">
        <v>0</v>
      </c>
      <c r="CW64" s="24">
        <v>0</v>
      </c>
      <c r="CX64" s="23" t="s">
        <v>106</v>
      </c>
    </row>
    <row r="65" spans="1:102" x14ac:dyDescent="0.25">
      <c r="A65" s="23" t="s">
        <v>37</v>
      </c>
      <c r="F65" s="23" t="s">
        <v>38</v>
      </c>
      <c r="L65" s="25">
        <v>0</v>
      </c>
      <c r="M65" s="25">
        <v>0</v>
      </c>
      <c r="N65" s="25">
        <v>0</v>
      </c>
      <c r="O65" s="25">
        <v>0</v>
      </c>
      <c r="P65" s="25">
        <v>0</v>
      </c>
      <c r="Q65" s="25">
        <v>0</v>
      </c>
      <c r="R65" s="25">
        <v>0</v>
      </c>
      <c r="S65" s="25">
        <v>0</v>
      </c>
      <c r="T65" s="25">
        <v>0</v>
      </c>
      <c r="U65" s="25">
        <v>0</v>
      </c>
      <c r="V65" s="25">
        <v>0</v>
      </c>
      <c r="W65" s="25">
        <v>0</v>
      </c>
      <c r="X65" s="25">
        <v>0</v>
      </c>
      <c r="Y65" s="25">
        <v>0</v>
      </c>
      <c r="Z65" s="25">
        <v>0</v>
      </c>
      <c r="AA65" s="25">
        <v>0</v>
      </c>
      <c r="AB65" s="25">
        <v>0</v>
      </c>
      <c r="AC65" s="25">
        <v>0</v>
      </c>
      <c r="AD65" s="25">
        <v>0</v>
      </c>
      <c r="AE65" s="25">
        <v>0</v>
      </c>
      <c r="AF65" s="25">
        <v>0</v>
      </c>
      <c r="AG65" s="25">
        <v>0</v>
      </c>
      <c r="AH65" s="25">
        <v>0</v>
      </c>
      <c r="AI65" s="25">
        <v>0</v>
      </c>
      <c r="AJ65" s="25">
        <v>0</v>
      </c>
      <c r="AK65" s="25">
        <v>0</v>
      </c>
      <c r="AL65" s="25">
        <v>0</v>
      </c>
      <c r="AM65" s="25">
        <v>0</v>
      </c>
      <c r="AN65" s="25">
        <v>0</v>
      </c>
      <c r="AO65" s="25">
        <v>0</v>
      </c>
      <c r="AP65" s="25">
        <v>0</v>
      </c>
      <c r="AQ65" s="25">
        <v>0</v>
      </c>
      <c r="AR65" s="25">
        <v>0</v>
      </c>
      <c r="AS65" s="25">
        <v>0</v>
      </c>
      <c r="AT65" s="25">
        <v>0</v>
      </c>
      <c r="AU65" s="25">
        <v>0</v>
      </c>
      <c r="AV65" s="25">
        <v>0</v>
      </c>
      <c r="AW65" s="25">
        <v>0</v>
      </c>
      <c r="AX65" s="25">
        <v>0</v>
      </c>
      <c r="AY65" s="25">
        <v>0</v>
      </c>
      <c r="AZ65" s="25">
        <v>0</v>
      </c>
      <c r="BA65" s="25">
        <v>0</v>
      </c>
      <c r="BB65" s="25">
        <v>8</v>
      </c>
      <c r="BC65" s="25">
        <v>8</v>
      </c>
      <c r="BD65" s="25">
        <v>8</v>
      </c>
      <c r="BE65" s="25">
        <v>8</v>
      </c>
      <c r="BF65" s="25">
        <v>8</v>
      </c>
      <c r="BG65" s="25">
        <v>0</v>
      </c>
      <c r="BH65" s="25">
        <v>0</v>
      </c>
      <c r="BI65" s="25">
        <v>0</v>
      </c>
      <c r="BJ65" s="25">
        <v>0</v>
      </c>
      <c r="BK65" s="25">
        <v>0</v>
      </c>
      <c r="BL65" s="25">
        <v>0</v>
      </c>
      <c r="BM65" s="25">
        <v>0</v>
      </c>
      <c r="BN65" s="25">
        <v>0</v>
      </c>
      <c r="BO65" s="25">
        <v>0</v>
      </c>
      <c r="BP65" s="25">
        <v>0</v>
      </c>
      <c r="BQ65" s="25">
        <v>0</v>
      </c>
      <c r="BR65" s="25">
        <v>0</v>
      </c>
      <c r="BS65" s="25">
        <v>0</v>
      </c>
      <c r="BT65" s="25">
        <v>0</v>
      </c>
      <c r="BU65" s="25">
        <v>0</v>
      </c>
      <c r="BV65" s="25">
        <v>0</v>
      </c>
      <c r="BW65" s="25">
        <v>0</v>
      </c>
      <c r="BX65" s="25">
        <v>0</v>
      </c>
      <c r="BY65" s="25">
        <v>0</v>
      </c>
      <c r="BZ65" s="25">
        <v>0</v>
      </c>
      <c r="CA65" s="25">
        <v>0</v>
      </c>
      <c r="CB65" s="25">
        <v>0</v>
      </c>
      <c r="CC65" s="25">
        <v>0</v>
      </c>
      <c r="CD65" s="25">
        <v>0</v>
      </c>
      <c r="CE65" s="25">
        <v>0</v>
      </c>
      <c r="CF65" s="25">
        <v>0</v>
      </c>
      <c r="CG65" s="25">
        <v>0</v>
      </c>
      <c r="CH65" s="25">
        <v>0</v>
      </c>
      <c r="CI65" s="25">
        <v>0</v>
      </c>
      <c r="CJ65" s="25">
        <v>0</v>
      </c>
      <c r="CK65" s="25">
        <v>0</v>
      </c>
      <c r="CL65" s="25">
        <v>0</v>
      </c>
      <c r="CM65" s="25">
        <v>0</v>
      </c>
      <c r="CN65" s="25">
        <v>0</v>
      </c>
      <c r="CO65" s="25">
        <v>0</v>
      </c>
      <c r="CP65" s="25">
        <v>0</v>
      </c>
      <c r="CQ65" s="25">
        <v>0</v>
      </c>
      <c r="CR65" s="25">
        <v>0</v>
      </c>
      <c r="CS65" s="25">
        <v>0</v>
      </c>
      <c r="CT65" s="25">
        <v>0</v>
      </c>
      <c r="CU65" s="25">
        <v>0</v>
      </c>
      <c r="CV65" s="25">
        <v>0</v>
      </c>
      <c r="CW65" s="25">
        <v>0</v>
      </c>
      <c r="CX65" s="23" t="s">
        <v>106</v>
      </c>
    </row>
    <row r="66" spans="2:102" x14ac:dyDescent="0.25">
      <c r="B66" s="26">
        <f>SUM(L66:CW66)</f>
      </c>
      <c r="D66" s="27">
        <f>B66*E66</f>
      </c>
      <c r="E66" s="27">
        <f>'Rate Tables'!C24</f>
      </c>
      <c r="F66" s="8" t="s">
        <v>39</v>
      </c>
      <c r="L66" s="26">
        <f>IF(L$6="","",IF(OR(WEEKDAY(L$6,1)=1,WEEKDAY(L$6,1)=7),0,MIN(8,L65)*L64))</f>
      </c>
      <c r="M66" s="26">
        <f>IF(M$6="","",IF(OR(WEEKDAY(M$6,1)=1,WEEKDAY(M$6,1)=7),0,MIN(8,M65)*M64))</f>
      </c>
      <c r="N66" s="26">
        <f>IF(N$6="","",IF(OR(WEEKDAY(N$6,1)=1,WEEKDAY(N$6,1)=7),0,MIN(8,N65)*N64))</f>
      </c>
      <c r="O66" s="26">
        <f>IF(O$6="","",IF(OR(WEEKDAY(O$6,1)=1,WEEKDAY(O$6,1)=7),0,MIN(8,O65)*O64))</f>
      </c>
      <c r="P66" s="26">
        <f>IF(P$6="","",IF(OR(WEEKDAY(P$6,1)=1,WEEKDAY(P$6,1)=7),0,MIN(8,P65)*P64))</f>
      </c>
      <c r="Q66" s="26">
        <f>IF(Q$6="","",IF(OR(WEEKDAY(Q$6,1)=1,WEEKDAY(Q$6,1)=7),0,MIN(8,Q65)*Q64))</f>
      </c>
      <c r="R66" s="26">
        <f>IF(R$6="","",IF(OR(WEEKDAY(R$6,1)=1,WEEKDAY(R$6,1)=7),0,MIN(8,R65)*R64))</f>
      </c>
      <c r="S66" s="26">
        <f>IF(S$6="","",IF(OR(WEEKDAY(S$6,1)=1,WEEKDAY(S$6,1)=7),0,MIN(8,S65)*S64))</f>
      </c>
      <c r="T66" s="26">
        <f>IF(T$6="","",IF(OR(WEEKDAY(T$6,1)=1,WEEKDAY(T$6,1)=7),0,MIN(8,T65)*T64))</f>
      </c>
      <c r="U66" s="26">
        <f>IF(U$6="","",IF(OR(WEEKDAY(U$6,1)=1,WEEKDAY(U$6,1)=7),0,MIN(8,U65)*U64))</f>
      </c>
      <c r="V66" s="26">
        <f>IF(V$6="","",IF(OR(WEEKDAY(V$6,1)=1,WEEKDAY(V$6,1)=7),0,MIN(8,V65)*V64))</f>
      </c>
      <c r="W66" s="26">
        <f>IF(W$6="","",IF(OR(WEEKDAY(W$6,1)=1,WEEKDAY(W$6,1)=7),0,MIN(8,W65)*W64))</f>
      </c>
      <c r="X66" s="26">
        <f>IF(X$6="","",IF(OR(WEEKDAY(X$6,1)=1,WEEKDAY(X$6,1)=7),0,MIN(8,X65)*X64))</f>
      </c>
      <c r="Y66" s="26">
        <f>IF(Y$6="","",IF(OR(WEEKDAY(Y$6,1)=1,WEEKDAY(Y$6,1)=7),0,MIN(8,Y65)*Y64))</f>
      </c>
      <c r="Z66" s="26">
        <f>IF(Z$6="","",IF(OR(WEEKDAY(Z$6,1)=1,WEEKDAY(Z$6,1)=7),0,MIN(8,Z65)*Z64))</f>
      </c>
      <c r="AA66" s="26">
        <f>IF(AA$6="","",IF(OR(WEEKDAY(AA$6,1)=1,WEEKDAY(AA$6,1)=7),0,MIN(8,AA65)*AA64))</f>
      </c>
      <c r="AB66" s="26">
        <f>IF(AB$6="","",IF(OR(WEEKDAY(AB$6,1)=1,WEEKDAY(AB$6,1)=7),0,MIN(8,AB65)*AB64))</f>
      </c>
      <c r="AC66" s="26">
        <f>IF(AC$6="","",IF(OR(WEEKDAY(AC$6,1)=1,WEEKDAY(AC$6,1)=7),0,MIN(8,AC65)*AC64))</f>
      </c>
      <c r="AD66" s="26">
        <f>IF(AD$6="","",IF(OR(WEEKDAY(AD$6,1)=1,WEEKDAY(AD$6,1)=7),0,MIN(8,AD65)*AD64))</f>
      </c>
      <c r="AE66" s="26">
        <f>IF(AE$6="","",IF(OR(WEEKDAY(AE$6,1)=1,WEEKDAY(AE$6,1)=7),0,MIN(8,AE65)*AE64))</f>
      </c>
      <c r="AF66" s="26">
        <f>IF(AF$6="","",IF(OR(WEEKDAY(AF$6,1)=1,WEEKDAY(AF$6,1)=7),0,MIN(8,AF65)*AF64))</f>
      </c>
      <c r="AG66" s="26">
        <f>IF(AG$6="","",IF(OR(WEEKDAY(AG$6,1)=1,WEEKDAY(AG$6,1)=7),0,MIN(8,AG65)*AG64))</f>
      </c>
      <c r="AH66" s="26">
        <f>IF(AH$6="","",IF(OR(WEEKDAY(AH$6,1)=1,WEEKDAY(AH$6,1)=7),0,MIN(8,AH65)*AH64))</f>
      </c>
      <c r="AI66" s="26">
        <f>IF(AI$6="","",IF(OR(WEEKDAY(AI$6,1)=1,WEEKDAY(AI$6,1)=7),0,MIN(8,AI65)*AI64))</f>
      </c>
      <c r="AJ66" s="26">
        <f>IF(AJ$6="","",IF(OR(WEEKDAY(AJ$6,1)=1,WEEKDAY(AJ$6,1)=7),0,MIN(8,AJ65)*AJ64))</f>
      </c>
      <c r="AK66" s="26">
        <f>IF(AK$6="","",IF(OR(WEEKDAY(AK$6,1)=1,WEEKDAY(AK$6,1)=7),0,MIN(8,AK65)*AK64))</f>
      </c>
      <c r="AL66" s="26">
        <f>IF(AL$6="","",IF(OR(WEEKDAY(AL$6,1)=1,WEEKDAY(AL$6,1)=7),0,MIN(8,AL65)*AL64))</f>
      </c>
      <c r="AM66" s="26">
        <f>IF(AM$6="","",IF(OR(WEEKDAY(AM$6,1)=1,WEEKDAY(AM$6,1)=7),0,MIN(8,AM65)*AM64))</f>
      </c>
      <c r="AN66" s="26">
        <f>IF(AN$6="","",IF(OR(WEEKDAY(AN$6,1)=1,WEEKDAY(AN$6,1)=7),0,MIN(8,AN65)*AN64))</f>
      </c>
      <c r="AO66" s="26">
        <f>IF(AO$6="","",IF(OR(WEEKDAY(AO$6,1)=1,WEEKDAY(AO$6,1)=7),0,MIN(8,AO65)*AO64))</f>
      </c>
      <c r="AP66" s="26">
        <f>IF(AP$6="","",IF(OR(WEEKDAY(AP$6,1)=1,WEEKDAY(AP$6,1)=7),0,MIN(8,AP65)*AP64))</f>
      </c>
      <c r="AQ66" s="26">
        <f>IF(AQ$6="","",IF(OR(WEEKDAY(AQ$6,1)=1,WEEKDAY(AQ$6,1)=7),0,MIN(8,AQ65)*AQ64))</f>
      </c>
      <c r="AR66" s="26">
        <f>IF(AR$6="","",IF(OR(WEEKDAY(AR$6,1)=1,WEEKDAY(AR$6,1)=7),0,MIN(8,AR65)*AR64))</f>
      </c>
      <c r="AS66" s="26">
        <f>IF(AS$6="","",IF(OR(WEEKDAY(AS$6,1)=1,WEEKDAY(AS$6,1)=7),0,MIN(8,AS65)*AS64))</f>
      </c>
      <c r="AT66" s="26">
        <f>IF(AT$6="","",IF(OR(WEEKDAY(AT$6,1)=1,WEEKDAY(AT$6,1)=7),0,MIN(8,AT65)*AT64))</f>
      </c>
      <c r="AU66" s="26">
        <f>IF(AU$6="","",IF(OR(WEEKDAY(AU$6,1)=1,WEEKDAY(AU$6,1)=7),0,MIN(8,AU65)*AU64))</f>
      </c>
      <c r="AV66" s="26">
        <f>IF(AV$6="","",IF(OR(WEEKDAY(AV$6,1)=1,WEEKDAY(AV$6,1)=7),0,MIN(8,AV65)*AV64))</f>
      </c>
      <c r="AW66" s="26">
        <f>IF(AW$6="","",IF(OR(WEEKDAY(AW$6,1)=1,WEEKDAY(AW$6,1)=7),0,MIN(8,AW65)*AW64))</f>
      </c>
      <c r="AX66" s="26">
        <f>IF(AX$6="","",IF(OR(WEEKDAY(AX$6,1)=1,WEEKDAY(AX$6,1)=7),0,MIN(8,AX65)*AX64))</f>
      </c>
      <c r="AY66" s="26">
        <f>IF(AY$6="","",IF(OR(WEEKDAY(AY$6,1)=1,WEEKDAY(AY$6,1)=7),0,MIN(8,AY65)*AY64))</f>
      </c>
      <c r="AZ66" s="26">
        <f>IF(AZ$6="","",IF(OR(WEEKDAY(AZ$6,1)=1,WEEKDAY(AZ$6,1)=7),0,MIN(8,AZ65)*AZ64))</f>
      </c>
      <c r="BA66" s="26">
        <f>IF(BA$6="","",IF(OR(WEEKDAY(BA$6,1)=1,WEEKDAY(BA$6,1)=7),0,MIN(8,BA65)*BA64))</f>
      </c>
      <c r="BB66" s="26">
        <f>IF(BB$6="","",IF(OR(WEEKDAY(BB$6,1)=1,WEEKDAY(BB$6,1)=7),0,MIN(8,BB65)*BB64))</f>
      </c>
      <c r="BC66" s="26">
        <f>IF(BC$6="","",IF(OR(WEEKDAY(BC$6,1)=1,WEEKDAY(BC$6,1)=7),0,MIN(8,BC65)*BC64))</f>
      </c>
      <c r="BD66" s="26">
        <f>IF(BD$6="","",IF(OR(WEEKDAY(BD$6,1)=1,WEEKDAY(BD$6,1)=7),0,MIN(8,BD65)*BD64))</f>
      </c>
      <c r="BE66" s="26">
        <f>IF(BE$6="","",IF(OR(WEEKDAY(BE$6,1)=1,WEEKDAY(BE$6,1)=7),0,MIN(8,BE65)*BE64))</f>
      </c>
      <c r="BF66" s="26">
        <f>IF(BF$6="","",IF(OR(WEEKDAY(BF$6,1)=1,WEEKDAY(BF$6,1)=7),0,MIN(8,BF65)*BF64))</f>
      </c>
      <c r="BG66" s="26">
        <f>IF(BG$6="","",IF(OR(WEEKDAY(BG$6,1)=1,WEEKDAY(BG$6,1)=7),0,MIN(8,BG65)*BG64))</f>
      </c>
      <c r="BH66" s="26">
        <f>IF(BH$6="","",IF(OR(WEEKDAY(BH$6,1)=1,WEEKDAY(BH$6,1)=7),0,MIN(8,BH65)*BH64))</f>
      </c>
      <c r="BI66" s="26">
        <f>IF(BI$6="","",IF(OR(WEEKDAY(BI$6,1)=1,WEEKDAY(BI$6,1)=7),0,MIN(8,BI65)*BI64))</f>
      </c>
      <c r="BJ66" s="26">
        <f>IF(BJ$6="","",IF(OR(WEEKDAY(BJ$6,1)=1,WEEKDAY(BJ$6,1)=7),0,MIN(8,BJ65)*BJ64))</f>
      </c>
      <c r="BK66" s="26">
        <f>IF(BK$6="","",IF(OR(WEEKDAY(BK$6,1)=1,WEEKDAY(BK$6,1)=7),0,MIN(8,BK65)*BK64))</f>
      </c>
      <c r="BL66" s="26">
        <f>IF(BL$6="","",IF(OR(WEEKDAY(BL$6,1)=1,WEEKDAY(BL$6,1)=7),0,MIN(8,BL65)*BL64))</f>
      </c>
      <c r="BM66" s="26">
        <f>IF(BM$6="","",IF(OR(WEEKDAY(BM$6,1)=1,WEEKDAY(BM$6,1)=7),0,MIN(8,BM65)*BM64))</f>
      </c>
      <c r="BN66" s="26">
        <f>IF(BN$6="","",IF(OR(WEEKDAY(BN$6,1)=1,WEEKDAY(BN$6,1)=7),0,MIN(8,BN65)*BN64))</f>
      </c>
      <c r="BO66" s="26">
        <f>IF(BO$6="","",IF(OR(WEEKDAY(BO$6,1)=1,WEEKDAY(BO$6,1)=7),0,MIN(8,BO65)*BO64))</f>
      </c>
      <c r="BP66" s="26">
        <f>IF(BP$6="","",IF(OR(WEEKDAY(BP$6,1)=1,WEEKDAY(BP$6,1)=7),0,MIN(8,BP65)*BP64))</f>
      </c>
      <c r="BQ66" s="26">
        <f>IF(BQ$6="","",IF(OR(WEEKDAY(BQ$6,1)=1,WEEKDAY(BQ$6,1)=7),0,MIN(8,BQ65)*BQ64))</f>
      </c>
      <c r="BR66" s="26">
        <f>IF(BR$6="","",IF(OR(WEEKDAY(BR$6,1)=1,WEEKDAY(BR$6,1)=7),0,MIN(8,BR65)*BR64))</f>
      </c>
      <c r="BS66" s="26">
        <f>IF(BS$6="","",IF(OR(WEEKDAY(BS$6,1)=1,WEEKDAY(BS$6,1)=7),0,MIN(8,BS65)*BS64))</f>
      </c>
      <c r="BT66" s="26">
        <f>IF(BT$6="","",IF(OR(WEEKDAY(BT$6,1)=1,WEEKDAY(BT$6,1)=7),0,MIN(8,BT65)*BT64))</f>
      </c>
      <c r="BU66" s="26">
        <f>IF(BU$6="","",IF(OR(WEEKDAY(BU$6,1)=1,WEEKDAY(BU$6,1)=7),0,MIN(8,BU65)*BU64))</f>
      </c>
      <c r="BV66" s="26">
        <f>IF(BV$6="","",IF(OR(WEEKDAY(BV$6,1)=1,WEEKDAY(BV$6,1)=7),0,MIN(8,BV65)*BV64))</f>
      </c>
      <c r="BW66" s="26">
        <f>IF(BW$6="","",IF(OR(WEEKDAY(BW$6,1)=1,WEEKDAY(BW$6,1)=7),0,MIN(8,BW65)*BW64))</f>
      </c>
      <c r="BX66" s="26">
        <f>IF(BX$6="","",IF(OR(WEEKDAY(BX$6,1)=1,WEEKDAY(BX$6,1)=7),0,MIN(8,BX65)*BX64))</f>
      </c>
      <c r="BY66" s="26">
        <f>IF(BY$6="","",IF(OR(WEEKDAY(BY$6,1)=1,WEEKDAY(BY$6,1)=7),0,MIN(8,BY65)*BY64))</f>
      </c>
      <c r="BZ66" s="26">
        <f>IF(BZ$6="","",IF(OR(WEEKDAY(BZ$6,1)=1,WEEKDAY(BZ$6,1)=7),0,MIN(8,BZ65)*BZ64))</f>
      </c>
      <c r="CA66" s="26">
        <f>IF(CA$6="","",IF(OR(WEEKDAY(CA$6,1)=1,WEEKDAY(CA$6,1)=7),0,MIN(8,CA65)*CA64))</f>
      </c>
      <c r="CB66" s="26">
        <f>IF(CB$6="","",IF(OR(WEEKDAY(CB$6,1)=1,WEEKDAY(CB$6,1)=7),0,MIN(8,CB65)*CB64))</f>
      </c>
      <c r="CC66" s="26">
        <f>IF(CC$6="","",IF(OR(WEEKDAY(CC$6,1)=1,WEEKDAY(CC$6,1)=7),0,MIN(8,CC65)*CC64))</f>
      </c>
      <c r="CD66" s="26">
        <f>IF(CD$6="","",IF(OR(WEEKDAY(CD$6,1)=1,WEEKDAY(CD$6,1)=7),0,MIN(8,CD65)*CD64))</f>
      </c>
      <c r="CE66" s="26">
        <f>IF(CE$6="","",IF(OR(WEEKDAY(CE$6,1)=1,WEEKDAY(CE$6,1)=7),0,MIN(8,CE65)*CE64))</f>
      </c>
      <c r="CF66" s="26">
        <f>IF(CF$6="","",IF(OR(WEEKDAY(CF$6,1)=1,WEEKDAY(CF$6,1)=7),0,MIN(8,CF65)*CF64))</f>
      </c>
      <c r="CG66" s="26">
        <f>IF(CG$6="","",IF(OR(WEEKDAY(CG$6,1)=1,WEEKDAY(CG$6,1)=7),0,MIN(8,CG65)*CG64))</f>
      </c>
      <c r="CH66" s="26">
        <f>IF(CH$6="","",IF(OR(WEEKDAY(CH$6,1)=1,WEEKDAY(CH$6,1)=7),0,MIN(8,CH65)*CH64))</f>
      </c>
      <c r="CI66" s="26">
        <f>IF(CI$6="","",IF(OR(WEEKDAY(CI$6,1)=1,WEEKDAY(CI$6,1)=7),0,MIN(8,CI65)*CI64))</f>
      </c>
      <c r="CJ66" s="26">
        <f>IF(CJ$6="","",IF(OR(WEEKDAY(CJ$6,1)=1,WEEKDAY(CJ$6,1)=7),0,MIN(8,CJ65)*CJ64))</f>
      </c>
      <c r="CK66" s="26">
        <f>IF(CK$6="","",IF(OR(WEEKDAY(CK$6,1)=1,WEEKDAY(CK$6,1)=7),0,MIN(8,CK65)*CK64))</f>
      </c>
      <c r="CL66" s="26">
        <f>IF(CL$6="","",IF(OR(WEEKDAY(CL$6,1)=1,WEEKDAY(CL$6,1)=7),0,MIN(8,CL65)*CL64))</f>
      </c>
      <c r="CM66" s="26">
        <f>IF(CM$6="","",IF(OR(WEEKDAY(CM$6,1)=1,WEEKDAY(CM$6,1)=7),0,MIN(8,CM65)*CM64))</f>
      </c>
      <c r="CN66" s="26">
        <f>IF(CN$6="","",IF(OR(WEEKDAY(CN$6,1)=1,WEEKDAY(CN$6,1)=7),0,MIN(8,CN65)*CN64))</f>
      </c>
      <c r="CO66" s="26">
        <f>IF(CO$6="","",IF(OR(WEEKDAY(CO$6,1)=1,WEEKDAY(CO$6,1)=7),0,MIN(8,CO65)*CO64))</f>
      </c>
      <c r="CP66" s="26">
        <f>IF(CP$6="","",IF(OR(WEEKDAY(CP$6,1)=1,WEEKDAY(CP$6,1)=7),0,MIN(8,CP65)*CP64))</f>
      </c>
      <c r="CQ66" s="26">
        <f>IF(CQ$6="","",IF(OR(WEEKDAY(CQ$6,1)=1,WEEKDAY(CQ$6,1)=7),0,MIN(8,CQ65)*CQ64))</f>
      </c>
      <c r="CR66" s="26">
        <f>IF(CR$6="","",IF(OR(WEEKDAY(CR$6,1)=1,WEEKDAY(CR$6,1)=7),0,MIN(8,CR65)*CR64))</f>
      </c>
      <c r="CS66" s="26">
        <f>IF(CS$6="","",IF(OR(WEEKDAY(CS$6,1)=1,WEEKDAY(CS$6,1)=7),0,MIN(8,CS65)*CS64))</f>
      </c>
      <c r="CT66" s="26">
        <f>IF(CT$6="","",IF(OR(WEEKDAY(CT$6,1)=1,WEEKDAY(CT$6,1)=7),0,MIN(8,CT65)*CT64))</f>
      </c>
      <c r="CU66" s="26">
        <f>IF(CU$6="","",IF(OR(WEEKDAY(CU$6,1)=1,WEEKDAY(CU$6,1)=7),0,MIN(8,CU65)*CU64))</f>
      </c>
      <c r="CV66" s="26">
        <f>IF(CV$6="","",IF(OR(WEEKDAY(CV$6,1)=1,WEEKDAY(CV$6,1)=7),0,MIN(8,CV65)*CV64))</f>
      </c>
      <c r="CW66" s="26">
        <f>IF(CW$6="","",IF(OR(WEEKDAY(CW$6,1)=1,WEEKDAY(CW$6,1)=7),0,MIN(8,CW65)*CW64))</f>
      </c>
      <c r="CX66" s="8" t="s">
        <v>106</v>
      </c>
    </row>
    <row r="67" spans="2:102" x14ac:dyDescent="0.25">
      <c r="B67" s="26">
        <f>SUM(L67:CW67)</f>
      </c>
      <c r="D67" s="27">
        <f>B67*E67</f>
      </c>
      <c r="E67" s="27">
        <f>'Rate Tables'!D24</f>
      </c>
      <c r="F67" s="8" t="s">
        <v>40</v>
      </c>
      <c r="L67" s="26">
        <f>IF(L$6="","",IF(WEEKDAY(L$6,1)=1,0,IF(WEEKDAY(L$6,1)=7,L65*L64,MAX(0,L65-8)*L64)))</f>
      </c>
      <c r="M67" s="26">
        <f>IF(M$6="","",IF(WEEKDAY(M$6,1)=1,0,IF(WEEKDAY(M$6,1)=7,M65*M64,MAX(0,M65-8)*M64)))</f>
      </c>
      <c r="N67" s="26">
        <f>IF(N$6="","",IF(WEEKDAY(N$6,1)=1,0,IF(WEEKDAY(N$6,1)=7,N65*N64,MAX(0,N65-8)*N64)))</f>
      </c>
      <c r="O67" s="26">
        <f>IF(O$6="","",IF(WEEKDAY(O$6,1)=1,0,IF(WEEKDAY(O$6,1)=7,O65*O64,MAX(0,O65-8)*O64)))</f>
      </c>
      <c r="P67" s="26">
        <f>IF(P$6="","",IF(WEEKDAY(P$6,1)=1,0,IF(WEEKDAY(P$6,1)=7,P65*P64,MAX(0,P65-8)*P64)))</f>
      </c>
      <c r="Q67" s="26">
        <f>IF(Q$6="","",IF(WEEKDAY(Q$6,1)=1,0,IF(WEEKDAY(Q$6,1)=7,Q65*Q64,MAX(0,Q65-8)*Q64)))</f>
      </c>
      <c r="R67" s="26">
        <f>IF(R$6="","",IF(WEEKDAY(R$6,1)=1,0,IF(WEEKDAY(R$6,1)=7,R65*R64,MAX(0,R65-8)*R64)))</f>
      </c>
      <c r="S67" s="26">
        <f>IF(S$6="","",IF(WEEKDAY(S$6,1)=1,0,IF(WEEKDAY(S$6,1)=7,S65*S64,MAX(0,S65-8)*S64)))</f>
      </c>
      <c r="T67" s="26">
        <f>IF(T$6="","",IF(WEEKDAY(T$6,1)=1,0,IF(WEEKDAY(T$6,1)=7,T65*T64,MAX(0,T65-8)*T64)))</f>
      </c>
      <c r="U67" s="26">
        <f>IF(U$6="","",IF(WEEKDAY(U$6,1)=1,0,IF(WEEKDAY(U$6,1)=7,U65*U64,MAX(0,U65-8)*U64)))</f>
      </c>
      <c r="V67" s="26">
        <f>IF(V$6="","",IF(WEEKDAY(V$6,1)=1,0,IF(WEEKDAY(V$6,1)=7,V65*V64,MAX(0,V65-8)*V64)))</f>
      </c>
      <c r="W67" s="26">
        <f>IF(W$6="","",IF(WEEKDAY(W$6,1)=1,0,IF(WEEKDAY(W$6,1)=7,W65*W64,MAX(0,W65-8)*W64)))</f>
      </c>
      <c r="X67" s="26">
        <f>IF(X$6="","",IF(WEEKDAY(X$6,1)=1,0,IF(WEEKDAY(X$6,1)=7,X65*X64,MAX(0,X65-8)*X64)))</f>
      </c>
      <c r="Y67" s="26">
        <f>IF(Y$6="","",IF(WEEKDAY(Y$6,1)=1,0,IF(WEEKDAY(Y$6,1)=7,Y65*Y64,MAX(0,Y65-8)*Y64)))</f>
      </c>
      <c r="Z67" s="26">
        <f>IF(Z$6="","",IF(WEEKDAY(Z$6,1)=1,0,IF(WEEKDAY(Z$6,1)=7,Z65*Z64,MAX(0,Z65-8)*Z64)))</f>
      </c>
      <c r="AA67" s="26">
        <f>IF(AA$6="","",IF(WEEKDAY(AA$6,1)=1,0,IF(WEEKDAY(AA$6,1)=7,AA65*AA64,MAX(0,AA65-8)*AA64)))</f>
      </c>
      <c r="AB67" s="26">
        <f>IF(AB$6="","",IF(WEEKDAY(AB$6,1)=1,0,IF(WEEKDAY(AB$6,1)=7,AB65*AB64,MAX(0,AB65-8)*AB64)))</f>
      </c>
      <c r="AC67" s="26">
        <f>IF(AC$6="","",IF(WEEKDAY(AC$6,1)=1,0,IF(WEEKDAY(AC$6,1)=7,AC65*AC64,MAX(0,AC65-8)*AC64)))</f>
      </c>
      <c r="AD67" s="26">
        <f>IF(AD$6="","",IF(WEEKDAY(AD$6,1)=1,0,IF(WEEKDAY(AD$6,1)=7,AD65*AD64,MAX(0,AD65-8)*AD64)))</f>
      </c>
      <c r="AE67" s="26">
        <f>IF(AE$6="","",IF(WEEKDAY(AE$6,1)=1,0,IF(WEEKDAY(AE$6,1)=7,AE65*AE64,MAX(0,AE65-8)*AE64)))</f>
      </c>
      <c r="AF67" s="26">
        <f>IF(AF$6="","",IF(WEEKDAY(AF$6,1)=1,0,IF(WEEKDAY(AF$6,1)=7,AF65*AF64,MAX(0,AF65-8)*AF64)))</f>
      </c>
      <c r="AG67" s="26">
        <f>IF(AG$6="","",IF(WEEKDAY(AG$6,1)=1,0,IF(WEEKDAY(AG$6,1)=7,AG65*AG64,MAX(0,AG65-8)*AG64)))</f>
      </c>
      <c r="AH67" s="26">
        <f>IF(AH$6="","",IF(WEEKDAY(AH$6,1)=1,0,IF(WEEKDAY(AH$6,1)=7,AH65*AH64,MAX(0,AH65-8)*AH64)))</f>
      </c>
      <c r="AI67" s="26">
        <f>IF(AI$6="","",IF(WEEKDAY(AI$6,1)=1,0,IF(WEEKDAY(AI$6,1)=7,AI65*AI64,MAX(0,AI65-8)*AI64)))</f>
      </c>
      <c r="AJ67" s="26">
        <f>IF(AJ$6="","",IF(WEEKDAY(AJ$6,1)=1,0,IF(WEEKDAY(AJ$6,1)=7,AJ65*AJ64,MAX(0,AJ65-8)*AJ64)))</f>
      </c>
      <c r="AK67" s="26">
        <f>IF(AK$6="","",IF(WEEKDAY(AK$6,1)=1,0,IF(WEEKDAY(AK$6,1)=7,AK65*AK64,MAX(0,AK65-8)*AK64)))</f>
      </c>
      <c r="AL67" s="26">
        <f>IF(AL$6="","",IF(WEEKDAY(AL$6,1)=1,0,IF(WEEKDAY(AL$6,1)=7,AL65*AL64,MAX(0,AL65-8)*AL64)))</f>
      </c>
      <c r="AM67" s="26">
        <f>IF(AM$6="","",IF(WEEKDAY(AM$6,1)=1,0,IF(WEEKDAY(AM$6,1)=7,AM65*AM64,MAX(0,AM65-8)*AM64)))</f>
      </c>
      <c r="AN67" s="26">
        <f>IF(AN$6="","",IF(WEEKDAY(AN$6,1)=1,0,IF(WEEKDAY(AN$6,1)=7,AN65*AN64,MAX(0,AN65-8)*AN64)))</f>
      </c>
      <c r="AO67" s="26">
        <f>IF(AO$6="","",IF(WEEKDAY(AO$6,1)=1,0,IF(WEEKDAY(AO$6,1)=7,AO65*AO64,MAX(0,AO65-8)*AO64)))</f>
      </c>
      <c r="AP67" s="26">
        <f>IF(AP$6="","",IF(WEEKDAY(AP$6,1)=1,0,IF(WEEKDAY(AP$6,1)=7,AP65*AP64,MAX(0,AP65-8)*AP64)))</f>
      </c>
      <c r="AQ67" s="26">
        <f>IF(AQ$6="","",IF(WEEKDAY(AQ$6,1)=1,0,IF(WEEKDAY(AQ$6,1)=7,AQ65*AQ64,MAX(0,AQ65-8)*AQ64)))</f>
      </c>
      <c r="AR67" s="26">
        <f>IF(AR$6="","",IF(WEEKDAY(AR$6,1)=1,0,IF(WEEKDAY(AR$6,1)=7,AR65*AR64,MAX(0,AR65-8)*AR64)))</f>
      </c>
      <c r="AS67" s="26">
        <f>IF(AS$6="","",IF(WEEKDAY(AS$6,1)=1,0,IF(WEEKDAY(AS$6,1)=7,AS65*AS64,MAX(0,AS65-8)*AS64)))</f>
      </c>
      <c r="AT67" s="26">
        <f>IF(AT$6="","",IF(WEEKDAY(AT$6,1)=1,0,IF(WEEKDAY(AT$6,1)=7,AT65*AT64,MAX(0,AT65-8)*AT64)))</f>
      </c>
      <c r="AU67" s="26">
        <f>IF(AU$6="","",IF(WEEKDAY(AU$6,1)=1,0,IF(WEEKDAY(AU$6,1)=7,AU65*AU64,MAX(0,AU65-8)*AU64)))</f>
      </c>
      <c r="AV67" s="26">
        <f>IF(AV$6="","",IF(WEEKDAY(AV$6,1)=1,0,IF(WEEKDAY(AV$6,1)=7,AV65*AV64,MAX(0,AV65-8)*AV64)))</f>
      </c>
      <c r="AW67" s="26">
        <f>IF(AW$6="","",IF(WEEKDAY(AW$6,1)=1,0,IF(WEEKDAY(AW$6,1)=7,AW65*AW64,MAX(0,AW65-8)*AW64)))</f>
      </c>
      <c r="AX67" s="26">
        <f>IF(AX$6="","",IF(WEEKDAY(AX$6,1)=1,0,IF(WEEKDAY(AX$6,1)=7,AX65*AX64,MAX(0,AX65-8)*AX64)))</f>
      </c>
      <c r="AY67" s="26">
        <f>IF(AY$6="","",IF(WEEKDAY(AY$6,1)=1,0,IF(WEEKDAY(AY$6,1)=7,AY65*AY64,MAX(0,AY65-8)*AY64)))</f>
      </c>
      <c r="AZ67" s="26">
        <f>IF(AZ$6="","",IF(WEEKDAY(AZ$6,1)=1,0,IF(WEEKDAY(AZ$6,1)=7,AZ65*AZ64,MAX(0,AZ65-8)*AZ64)))</f>
      </c>
      <c r="BA67" s="26">
        <f>IF(BA$6="","",IF(WEEKDAY(BA$6,1)=1,0,IF(WEEKDAY(BA$6,1)=7,BA65*BA64,MAX(0,BA65-8)*BA64)))</f>
      </c>
      <c r="BB67" s="26">
        <f>IF(BB$6="","",IF(WEEKDAY(BB$6,1)=1,0,IF(WEEKDAY(BB$6,1)=7,BB65*BB64,MAX(0,BB65-8)*BB64)))</f>
      </c>
      <c r="BC67" s="26">
        <f>IF(BC$6="","",IF(WEEKDAY(BC$6,1)=1,0,IF(WEEKDAY(BC$6,1)=7,BC65*BC64,MAX(0,BC65-8)*BC64)))</f>
      </c>
      <c r="BD67" s="26">
        <f>IF(BD$6="","",IF(WEEKDAY(BD$6,1)=1,0,IF(WEEKDAY(BD$6,1)=7,BD65*BD64,MAX(0,BD65-8)*BD64)))</f>
      </c>
      <c r="BE67" s="26">
        <f>IF(BE$6="","",IF(WEEKDAY(BE$6,1)=1,0,IF(WEEKDAY(BE$6,1)=7,BE65*BE64,MAX(0,BE65-8)*BE64)))</f>
      </c>
      <c r="BF67" s="26">
        <f>IF(BF$6="","",IF(WEEKDAY(BF$6,1)=1,0,IF(WEEKDAY(BF$6,1)=7,BF65*BF64,MAX(0,BF65-8)*BF64)))</f>
      </c>
      <c r="BG67" s="26">
        <f>IF(BG$6="","",IF(WEEKDAY(BG$6,1)=1,0,IF(WEEKDAY(BG$6,1)=7,BG65*BG64,MAX(0,BG65-8)*BG64)))</f>
      </c>
      <c r="BH67" s="26">
        <f>IF(BH$6="","",IF(WEEKDAY(BH$6,1)=1,0,IF(WEEKDAY(BH$6,1)=7,BH65*BH64,MAX(0,BH65-8)*BH64)))</f>
      </c>
      <c r="BI67" s="26">
        <f>IF(BI$6="","",IF(WEEKDAY(BI$6,1)=1,0,IF(WEEKDAY(BI$6,1)=7,BI65*BI64,MAX(0,BI65-8)*BI64)))</f>
      </c>
      <c r="BJ67" s="26">
        <f>IF(BJ$6="","",IF(WEEKDAY(BJ$6,1)=1,0,IF(WEEKDAY(BJ$6,1)=7,BJ65*BJ64,MAX(0,BJ65-8)*BJ64)))</f>
      </c>
      <c r="BK67" s="26">
        <f>IF(BK$6="","",IF(WEEKDAY(BK$6,1)=1,0,IF(WEEKDAY(BK$6,1)=7,BK65*BK64,MAX(0,BK65-8)*BK64)))</f>
      </c>
      <c r="BL67" s="26">
        <f>IF(BL$6="","",IF(WEEKDAY(BL$6,1)=1,0,IF(WEEKDAY(BL$6,1)=7,BL65*BL64,MAX(0,BL65-8)*BL64)))</f>
      </c>
      <c r="BM67" s="26">
        <f>IF(BM$6="","",IF(WEEKDAY(BM$6,1)=1,0,IF(WEEKDAY(BM$6,1)=7,BM65*BM64,MAX(0,BM65-8)*BM64)))</f>
      </c>
      <c r="BN67" s="26">
        <f>IF(BN$6="","",IF(WEEKDAY(BN$6,1)=1,0,IF(WEEKDAY(BN$6,1)=7,BN65*BN64,MAX(0,BN65-8)*BN64)))</f>
      </c>
      <c r="BO67" s="26">
        <f>IF(BO$6="","",IF(WEEKDAY(BO$6,1)=1,0,IF(WEEKDAY(BO$6,1)=7,BO65*BO64,MAX(0,BO65-8)*BO64)))</f>
      </c>
      <c r="BP67" s="26">
        <f>IF(BP$6="","",IF(WEEKDAY(BP$6,1)=1,0,IF(WEEKDAY(BP$6,1)=7,BP65*BP64,MAX(0,BP65-8)*BP64)))</f>
      </c>
      <c r="BQ67" s="26">
        <f>IF(BQ$6="","",IF(WEEKDAY(BQ$6,1)=1,0,IF(WEEKDAY(BQ$6,1)=7,BQ65*BQ64,MAX(0,BQ65-8)*BQ64)))</f>
      </c>
      <c r="BR67" s="26">
        <f>IF(BR$6="","",IF(WEEKDAY(BR$6,1)=1,0,IF(WEEKDAY(BR$6,1)=7,BR65*BR64,MAX(0,BR65-8)*BR64)))</f>
      </c>
      <c r="BS67" s="26">
        <f>IF(BS$6="","",IF(WEEKDAY(BS$6,1)=1,0,IF(WEEKDAY(BS$6,1)=7,BS65*BS64,MAX(0,BS65-8)*BS64)))</f>
      </c>
      <c r="BT67" s="26">
        <f>IF(BT$6="","",IF(WEEKDAY(BT$6,1)=1,0,IF(WEEKDAY(BT$6,1)=7,BT65*BT64,MAX(0,BT65-8)*BT64)))</f>
      </c>
      <c r="BU67" s="26">
        <f>IF(BU$6="","",IF(WEEKDAY(BU$6,1)=1,0,IF(WEEKDAY(BU$6,1)=7,BU65*BU64,MAX(0,BU65-8)*BU64)))</f>
      </c>
      <c r="BV67" s="26">
        <f>IF(BV$6="","",IF(WEEKDAY(BV$6,1)=1,0,IF(WEEKDAY(BV$6,1)=7,BV65*BV64,MAX(0,BV65-8)*BV64)))</f>
      </c>
      <c r="BW67" s="26">
        <f>IF(BW$6="","",IF(WEEKDAY(BW$6,1)=1,0,IF(WEEKDAY(BW$6,1)=7,BW65*BW64,MAX(0,BW65-8)*BW64)))</f>
      </c>
      <c r="BX67" s="26">
        <f>IF(BX$6="","",IF(WEEKDAY(BX$6,1)=1,0,IF(WEEKDAY(BX$6,1)=7,BX65*BX64,MAX(0,BX65-8)*BX64)))</f>
      </c>
      <c r="BY67" s="26">
        <f>IF(BY$6="","",IF(WEEKDAY(BY$6,1)=1,0,IF(WEEKDAY(BY$6,1)=7,BY65*BY64,MAX(0,BY65-8)*BY64)))</f>
      </c>
      <c r="BZ67" s="26">
        <f>IF(BZ$6="","",IF(WEEKDAY(BZ$6,1)=1,0,IF(WEEKDAY(BZ$6,1)=7,BZ65*BZ64,MAX(0,BZ65-8)*BZ64)))</f>
      </c>
      <c r="CA67" s="26">
        <f>IF(CA$6="","",IF(WEEKDAY(CA$6,1)=1,0,IF(WEEKDAY(CA$6,1)=7,CA65*CA64,MAX(0,CA65-8)*CA64)))</f>
      </c>
      <c r="CB67" s="26">
        <f>IF(CB$6="","",IF(WEEKDAY(CB$6,1)=1,0,IF(WEEKDAY(CB$6,1)=7,CB65*CB64,MAX(0,CB65-8)*CB64)))</f>
      </c>
      <c r="CC67" s="26">
        <f>IF(CC$6="","",IF(WEEKDAY(CC$6,1)=1,0,IF(WEEKDAY(CC$6,1)=7,CC65*CC64,MAX(0,CC65-8)*CC64)))</f>
      </c>
      <c r="CD67" s="26">
        <f>IF(CD$6="","",IF(WEEKDAY(CD$6,1)=1,0,IF(WEEKDAY(CD$6,1)=7,CD65*CD64,MAX(0,CD65-8)*CD64)))</f>
      </c>
      <c r="CE67" s="26">
        <f>IF(CE$6="","",IF(WEEKDAY(CE$6,1)=1,0,IF(WEEKDAY(CE$6,1)=7,CE65*CE64,MAX(0,CE65-8)*CE64)))</f>
      </c>
      <c r="CF67" s="26">
        <f>IF(CF$6="","",IF(WEEKDAY(CF$6,1)=1,0,IF(WEEKDAY(CF$6,1)=7,CF65*CF64,MAX(0,CF65-8)*CF64)))</f>
      </c>
      <c r="CG67" s="26">
        <f>IF(CG$6="","",IF(WEEKDAY(CG$6,1)=1,0,IF(WEEKDAY(CG$6,1)=7,CG65*CG64,MAX(0,CG65-8)*CG64)))</f>
      </c>
      <c r="CH67" s="26">
        <f>IF(CH$6="","",IF(WEEKDAY(CH$6,1)=1,0,IF(WEEKDAY(CH$6,1)=7,CH65*CH64,MAX(0,CH65-8)*CH64)))</f>
      </c>
      <c r="CI67" s="26">
        <f>IF(CI$6="","",IF(WEEKDAY(CI$6,1)=1,0,IF(WEEKDAY(CI$6,1)=7,CI65*CI64,MAX(0,CI65-8)*CI64)))</f>
      </c>
      <c r="CJ67" s="26">
        <f>IF(CJ$6="","",IF(WEEKDAY(CJ$6,1)=1,0,IF(WEEKDAY(CJ$6,1)=7,CJ65*CJ64,MAX(0,CJ65-8)*CJ64)))</f>
      </c>
      <c r="CK67" s="26">
        <f>IF(CK$6="","",IF(WEEKDAY(CK$6,1)=1,0,IF(WEEKDAY(CK$6,1)=7,CK65*CK64,MAX(0,CK65-8)*CK64)))</f>
      </c>
      <c r="CL67" s="26">
        <f>IF(CL$6="","",IF(WEEKDAY(CL$6,1)=1,0,IF(WEEKDAY(CL$6,1)=7,CL65*CL64,MAX(0,CL65-8)*CL64)))</f>
      </c>
      <c r="CM67" s="26">
        <f>IF(CM$6="","",IF(WEEKDAY(CM$6,1)=1,0,IF(WEEKDAY(CM$6,1)=7,CM65*CM64,MAX(0,CM65-8)*CM64)))</f>
      </c>
      <c r="CN67" s="26">
        <f>IF(CN$6="","",IF(WEEKDAY(CN$6,1)=1,0,IF(WEEKDAY(CN$6,1)=7,CN65*CN64,MAX(0,CN65-8)*CN64)))</f>
      </c>
      <c r="CO67" s="26">
        <f>IF(CO$6="","",IF(WEEKDAY(CO$6,1)=1,0,IF(WEEKDAY(CO$6,1)=7,CO65*CO64,MAX(0,CO65-8)*CO64)))</f>
      </c>
      <c r="CP67" s="26">
        <f>IF(CP$6="","",IF(WEEKDAY(CP$6,1)=1,0,IF(WEEKDAY(CP$6,1)=7,CP65*CP64,MAX(0,CP65-8)*CP64)))</f>
      </c>
      <c r="CQ67" s="26">
        <f>IF(CQ$6="","",IF(WEEKDAY(CQ$6,1)=1,0,IF(WEEKDAY(CQ$6,1)=7,CQ65*CQ64,MAX(0,CQ65-8)*CQ64)))</f>
      </c>
      <c r="CR67" s="26">
        <f>IF(CR$6="","",IF(WEEKDAY(CR$6,1)=1,0,IF(WEEKDAY(CR$6,1)=7,CR65*CR64,MAX(0,CR65-8)*CR64)))</f>
      </c>
      <c r="CS67" s="26">
        <f>IF(CS$6="","",IF(WEEKDAY(CS$6,1)=1,0,IF(WEEKDAY(CS$6,1)=7,CS65*CS64,MAX(0,CS65-8)*CS64)))</f>
      </c>
      <c r="CT67" s="26">
        <f>IF(CT$6="","",IF(WEEKDAY(CT$6,1)=1,0,IF(WEEKDAY(CT$6,1)=7,CT65*CT64,MAX(0,CT65-8)*CT64)))</f>
      </c>
      <c r="CU67" s="26">
        <f>IF(CU$6="","",IF(WEEKDAY(CU$6,1)=1,0,IF(WEEKDAY(CU$6,1)=7,CU65*CU64,MAX(0,CU65-8)*CU64)))</f>
      </c>
      <c r="CV67" s="26">
        <f>IF(CV$6="","",IF(WEEKDAY(CV$6,1)=1,0,IF(WEEKDAY(CV$6,1)=7,CV65*CV64,MAX(0,CV65-8)*CV64)))</f>
      </c>
      <c r="CW67" s="26">
        <f>IF(CW$6="","",IF(WEEKDAY(CW$6,1)=1,0,IF(WEEKDAY(CW$6,1)=7,CW65*CW64,MAX(0,CW65-8)*CW64)))</f>
      </c>
      <c r="CX67" s="8" t="s">
        <v>106</v>
      </c>
    </row>
    <row r="68" spans="2:102" x14ac:dyDescent="0.25">
      <c r="B68" s="26">
        <f>SUM(L68:CW68)</f>
      </c>
      <c r="D68" s="27">
        <f>B68*E68</f>
      </c>
      <c r="E68" s="27">
        <f>'Rate Tables'!E24</f>
      </c>
      <c r="F68" s="8" t="s">
        <v>41</v>
      </c>
      <c r="L68" s="26">
        <f>IF(L$6="","",IF(WEEKDAY(L$6,1)=1,L65*L64,0))</f>
      </c>
      <c r="M68" s="26">
        <f>IF(M$6="","",IF(WEEKDAY(M$6,1)=1,M65*M64,0))</f>
      </c>
      <c r="N68" s="26">
        <f>IF(N$6="","",IF(WEEKDAY(N$6,1)=1,N65*N64,0))</f>
      </c>
      <c r="O68" s="26">
        <f>IF(O$6="","",IF(WEEKDAY(O$6,1)=1,O65*O64,0))</f>
      </c>
      <c r="P68" s="26">
        <f>IF(P$6="","",IF(WEEKDAY(P$6,1)=1,P65*P64,0))</f>
      </c>
      <c r="Q68" s="26">
        <f>IF(Q$6="","",IF(WEEKDAY(Q$6,1)=1,Q65*Q64,0))</f>
      </c>
      <c r="R68" s="26">
        <f>IF(R$6="","",IF(WEEKDAY(R$6,1)=1,R65*R64,0))</f>
      </c>
      <c r="S68" s="26">
        <f>IF(S$6="","",IF(WEEKDAY(S$6,1)=1,S65*S64,0))</f>
      </c>
      <c r="T68" s="26">
        <f>IF(T$6="","",IF(WEEKDAY(T$6,1)=1,T65*T64,0))</f>
      </c>
      <c r="U68" s="26">
        <f>IF(U$6="","",IF(WEEKDAY(U$6,1)=1,U65*U64,0))</f>
      </c>
      <c r="V68" s="26">
        <f>IF(V$6="","",IF(WEEKDAY(V$6,1)=1,V65*V64,0))</f>
      </c>
      <c r="W68" s="26">
        <f>IF(W$6="","",IF(WEEKDAY(W$6,1)=1,W65*W64,0))</f>
      </c>
      <c r="X68" s="26">
        <f>IF(X$6="","",IF(WEEKDAY(X$6,1)=1,X65*X64,0))</f>
      </c>
      <c r="Y68" s="26">
        <f>IF(Y$6="","",IF(WEEKDAY(Y$6,1)=1,Y65*Y64,0))</f>
      </c>
      <c r="Z68" s="26">
        <f>IF(Z$6="","",IF(WEEKDAY(Z$6,1)=1,Z65*Z64,0))</f>
      </c>
      <c r="AA68" s="26">
        <f>IF(AA$6="","",IF(WEEKDAY(AA$6,1)=1,AA65*AA64,0))</f>
      </c>
      <c r="AB68" s="26">
        <f>IF(AB$6="","",IF(WEEKDAY(AB$6,1)=1,AB65*AB64,0))</f>
      </c>
      <c r="AC68" s="26">
        <f>IF(AC$6="","",IF(WEEKDAY(AC$6,1)=1,AC65*AC64,0))</f>
      </c>
      <c r="AD68" s="26">
        <f>IF(AD$6="","",IF(WEEKDAY(AD$6,1)=1,AD65*AD64,0))</f>
      </c>
      <c r="AE68" s="26">
        <f>IF(AE$6="","",IF(WEEKDAY(AE$6,1)=1,AE65*AE64,0))</f>
      </c>
      <c r="AF68" s="26">
        <f>IF(AF$6="","",IF(WEEKDAY(AF$6,1)=1,AF65*AF64,0))</f>
      </c>
      <c r="AG68" s="26">
        <f>IF(AG$6="","",IF(WEEKDAY(AG$6,1)=1,AG65*AG64,0))</f>
      </c>
      <c r="AH68" s="26">
        <f>IF(AH$6="","",IF(WEEKDAY(AH$6,1)=1,AH65*AH64,0))</f>
      </c>
      <c r="AI68" s="26">
        <f>IF(AI$6="","",IF(WEEKDAY(AI$6,1)=1,AI65*AI64,0))</f>
      </c>
      <c r="AJ68" s="26">
        <f>IF(AJ$6="","",IF(WEEKDAY(AJ$6,1)=1,AJ65*AJ64,0))</f>
      </c>
      <c r="AK68" s="26">
        <f>IF(AK$6="","",IF(WEEKDAY(AK$6,1)=1,AK65*AK64,0))</f>
      </c>
      <c r="AL68" s="26">
        <f>IF(AL$6="","",IF(WEEKDAY(AL$6,1)=1,AL65*AL64,0))</f>
      </c>
      <c r="AM68" s="26">
        <f>IF(AM$6="","",IF(WEEKDAY(AM$6,1)=1,AM65*AM64,0))</f>
      </c>
      <c r="AN68" s="26">
        <f>IF(AN$6="","",IF(WEEKDAY(AN$6,1)=1,AN65*AN64,0))</f>
      </c>
      <c r="AO68" s="26">
        <f>IF(AO$6="","",IF(WEEKDAY(AO$6,1)=1,AO65*AO64,0))</f>
      </c>
      <c r="AP68" s="26">
        <f>IF(AP$6="","",IF(WEEKDAY(AP$6,1)=1,AP65*AP64,0))</f>
      </c>
      <c r="AQ68" s="26">
        <f>IF(AQ$6="","",IF(WEEKDAY(AQ$6,1)=1,AQ65*AQ64,0))</f>
      </c>
      <c r="AR68" s="26">
        <f>IF(AR$6="","",IF(WEEKDAY(AR$6,1)=1,AR65*AR64,0))</f>
      </c>
      <c r="AS68" s="26">
        <f>IF(AS$6="","",IF(WEEKDAY(AS$6,1)=1,AS65*AS64,0))</f>
      </c>
      <c r="AT68" s="26">
        <f>IF(AT$6="","",IF(WEEKDAY(AT$6,1)=1,AT65*AT64,0))</f>
      </c>
      <c r="AU68" s="26">
        <f>IF(AU$6="","",IF(WEEKDAY(AU$6,1)=1,AU65*AU64,0))</f>
      </c>
      <c r="AV68" s="26">
        <f>IF(AV$6="","",IF(WEEKDAY(AV$6,1)=1,AV65*AV64,0))</f>
      </c>
      <c r="AW68" s="26">
        <f>IF(AW$6="","",IF(WEEKDAY(AW$6,1)=1,AW65*AW64,0))</f>
      </c>
      <c r="AX68" s="26">
        <f>IF(AX$6="","",IF(WEEKDAY(AX$6,1)=1,AX65*AX64,0))</f>
      </c>
      <c r="AY68" s="26">
        <f>IF(AY$6="","",IF(WEEKDAY(AY$6,1)=1,AY65*AY64,0))</f>
      </c>
      <c r="AZ68" s="26">
        <f>IF(AZ$6="","",IF(WEEKDAY(AZ$6,1)=1,AZ65*AZ64,0))</f>
      </c>
      <c r="BA68" s="26">
        <f>IF(BA$6="","",IF(WEEKDAY(BA$6,1)=1,BA65*BA64,0))</f>
      </c>
      <c r="BB68" s="26">
        <f>IF(BB$6="","",IF(WEEKDAY(BB$6,1)=1,BB65*BB64,0))</f>
      </c>
      <c r="BC68" s="26">
        <f>IF(BC$6="","",IF(WEEKDAY(BC$6,1)=1,BC65*BC64,0))</f>
      </c>
      <c r="BD68" s="26">
        <f>IF(BD$6="","",IF(WEEKDAY(BD$6,1)=1,BD65*BD64,0))</f>
      </c>
      <c r="BE68" s="26">
        <f>IF(BE$6="","",IF(WEEKDAY(BE$6,1)=1,BE65*BE64,0))</f>
      </c>
      <c r="BF68" s="26">
        <f>IF(BF$6="","",IF(WEEKDAY(BF$6,1)=1,BF65*BF64,0))</f>
      </c>
      <c r="BG68" s="26">
        <f>IF(BG$6="","",IF(WEEKDAY(BG$6,1)=1,BG65*BG64,0))</f>
      </c>
      <c r="BH68" s="26">
        <f>IF(BH$6="","",IF(WEEKDAY(BH$6,1)=1,BH65*BH64,0))</f>
      </c>
      <c r="BI68" s="26">
        <f>IF(BI$6="","",IF(WEEKDAY(BI$6,1)=1,BI65*BI64,0))</f>
      </c>
      <c r="BJ68" s="26">
        <f>IF(BJ$6="","",IF(WEEKDAY(BJ$6,1)=1,BJ65*BJ64,0))</f>
      </c>
      <c r="BK68" s="26">
        <f>IF(BK$6="","",IF(WEEKDAY(BK$6,1)=1,BK65*BK64,0))</f>
      </c>
      <c r="BL68" s="26">
        <f>IF(BL$6="","",IF(WEEKDAY(BL$6,1)=1,BL65*BL64,0))</f>
      </c>
      <c r="BM68" s="26">
        <f>IF(BM$6="","",IF(WEEKDAY(BM$6,1)=1,BM65*BM64,0))</f>
      </c>
      <c r="BN68" s="26">
        <f>IF(BN$6="","",IF(WEEKDAY(BN$6,1)=1,BN65*BN64,0))</f>
      </c>
      <c r="BO68" s="26">
        <f>IF(BO$6="","",IF(WEEKDAY(BO$6,1)=1,BO65*BO64,0))</f>
      </c>
      <c r="BP68" s="26">
        <f>IF(BP$6="","",IF(WEEKDAY(BP$6,1)=1,BP65*BP64,0))</f>
      </c>
      <c r="BQ68" s="26">
        <f>IF(BQ$6="","",IF(WEEKDAY(BQ$6,1)=1,BQ65*BQ64,0))</f>
      </c>
      <c r="BR68" s="26">
        <f>IF(BR$6="","",IF(WEEKDAY(BR$6,1)=1,BR65*BR64,0))</f>
      </c>
      <c r="BS68" s="26">
        <f>IF(BS$6="","",IF(WEEKDAY(BS$6,1)=1,BS65*BS64,0))</f>
      </c>
      <c r="BT68" s="26">
        <f>IF(BT$6="","",IF(WEEKDAY(BT$6,1)=1,BT65*BT64,0))</f>
      </c>
      <c r="BU68" s="26">
        <f>IF(BU$6="","",IF(WEEKDAY(BU$6,1)=1,BU65*BU64,0))</f>
      </c>
      <c r="BV68" s="26">
        <f>IF(BV$6="","",IF(WEEKDAY(BV$6,1)=1,BV65*BV64,0))</f>
      </c>
      <c r="BW68" s="26">
        <f>IF(BW$6="","",IF(WEEKDAY(BW$6,1)=1,BW65*BW64,0))</f>
      </c>
      <c r="BX68" s="26">
        <f>IF(BX$6="","",IF(WEEKDAY(BX$6,1)=1,BX65*BX64,0))</f>
      </c>
      <c r="BY68" s="26">
        <f>IF(BY$6="","",IF(WEEKDAY(BY$6,1)=1,BY65*BY64,0))</f>
      </c>
      <c r="BZ68" s="26">
        <f>IF(BZ$6="","",IF(WEEKDAY(BZ$6,1)=1,BZ65*BZ64,0))</f>
      </c>
      <c r="CA68" s="26">
        <f>IF(CA$6="","",IF(WEEKDAY(CA$6,1)=1,CA65*CA64,0))</f>
      </c>
      <c r="CB68" s="26">
        <f>IF(CB$6="","",IF(WEEKDAY(CB$6,1)=1,CB65*CB64,0))</f>
      </c>
      <c r="CC68" s="26">
        <f>IF(CC$6="","",IF(WEEKDAY(CC$6,1)=1,CC65*CC64,0))</f>
      </c>
      <c r="CD68" s="26">
        <f>IF(CD$6="","",IF(WEEKDAY(CD$6,1)=1,CD65*CD64,0))</f>
      </c>
      <c r="CE68" s="26">
        <f>IF(CE$6="","",IF(WEEKDAY(CE$6,1)=1,CE65*CE64,0))</f>
      </c>
      <c r="CF68" s="26">
        <f>IF(CF$6="","",IF(WEEKDAY(CF$6,1)=1,CF65*CF64,0))</f>
      </c>
      <c r="CG68" s="26">
        <f>IF(CG$6="","",IF(WEEKDAY(CG$6,1)=1,CG65*CG64,0))</f>
      </c>
      <c r="CH68" s="26">
        <f>IF(CH$6="","",IF(WEEKDAY(CH$6,1)=1,CH65*CH64,0))</f>
      </c>
      <c r="CI68" s="26">
        <f>IF(CI$6="","",IF(WEEKDAY(CI$6,1)=1,CI65*CI64,0))</f>
      </c>
      <c r="CJ68" s="26">
        <f>IF(CJ$6="","",IF(WEEKDAY(CJ$6,1)=1,CJ65*CJ64,0))</f>
      </c>
      <c r="CK68" s="26">
        <f>IF(CK$6="","",IF(WEEKDAY(CK$6,1)=1,CK65*CK64,0))</f>
      </c>
      <c r="CL68" s="26">
        <f>IF(CL$6="","",IF(WEEKDAY(CL$6,1)=1,CL65*CL64,0))</f>
      </c>
      <c r="CM68" s="26">
        <f>IF(CM$6="","",IF(WEEKDAY(CM$6,1)=1,CM65*CM64,0))</f>
      </c>
      <c r="CN68" s="26">
        <f>IF(CN$6="","",IF(WEEKDAY(CN$6,1)=1,CN65*CN64,0))</f>
      </c>
      <c r="CO68" s="26">
        <f>IF(CO$6="","",IF(WEEKDAY(CO$6,1)=1,CO65*CO64,0))</f>
      </c>
      <c r="CP68" s="26">
        <f>IF(CP$6="","",IF(WEEKDAY(CP$6,1)=1,CP65*CP64,0))</f>
      </c>
      <c r="CQ68" s="26">
        <f>IF(CQ$6="","",IF(WEEKDAY(CQ$6,1)=1,CQ65*CQ64,0))</f>
      </c>
      <c r="CR68" s="26">
        <f>IF(CR$6="","",IF(WEEKDAY(CR$6,1)=1,CR65*CR64,0))</f>
      </c>
      <c r="CS68" s="26">
        <f>IF(CS$6="","",IF(WEEKDAY(CS$6,1)=1,CS65*CS64,0))</f>
      </c>
      <c r="CT68" s="26">
        <f>IF(CT$6="","",IF(WEEKDAY(CT$6,1)=1,CT65*CT64,0))</f>
      </c>
      <c r="CU68" s="26">
        <f>IF(CU$6="","",IF(WEEKDAY(CU$6,1)=1,CU65*CU64,0))</f>
      </c>
      <c r="CV68" s="26">
        <f>IF(CV$6="","",IF(WEEKDAY(CV$6,1)=1,CV65*CV64,0))</f>
      </c>
      <c r="CW68" s="26">
        <f>IF(CW$6="","",IF(WEEKDAY(CW$6,1)=1,CW65*CW64,0))</f>
      </c>
      <c r="CX68" s="8" t="s">
        <v>106</v>
      </c>
    </row>
    <row r="69" spans="2:102" x14ac:dyDescent="0.25">
      <c r="B69" s="26">
        <f>SUM(L69:CW69)</f>
      </c>
      <c r="D69" s="27">
        <f>B69*E69</f>
      </c>
      <c r="E69" s="27">
        <v>130</v>
      </c>
      <c r="F69" s="8" t="s">
        <v>42</v>
      </c>
      <c r="L69" s="28">
        <v>0</v>
      </c>
      <c r="M69" s="28">
        <v>0</v>
      </c>
      <c r="N69" s="28">
        <v>0</v>
      </c>
      <c r="O69" s="28">
        <v>0</v>
      </c>
      <c r="P69" s="28">
        <v>0</v>
      </c>
      <c r="Q69" s="28">
        <v>0</v>
      </c>
      <c r="R69" s="28">
        <v>0</v>
      </c>
      <c r="S69" s="28">
        <v>0</v>
      </c>
      <c r="T69" s="28">
        <v>0</v>
      </c>
      <c r="U69" s="28">
        <v>0</v>
      </c>
      <c r="V69" s="28">
        <v>0</v>
      </c>
      <c r="W69" s="28">
        <v>0</v>
      </c>
      <c r="X69" s="28">
        <v>0</v>
      </c>
      <c r="Y69" s="28">
        <v>0</v>
      </c>
      <c r="Z69" s="28">
        <v>0</v>
      </c>
      <c r="AA69" s="28">
        <v>0</v>
      </c>
      <c r="AB69" s="28">
        <v>0</v>
      </c>
      <c r="AC69" s="28">
        <v>0</v>
      </c>
      <c r="AD69" s="28">
        <v>0</v>
      </c>
      <c r="AE69" s="28">
        <v>0</v>
      </c>
      <c r="AF69" s="28">
        <v>0</v>
      </c>
      <c r="AG69" s="28">
        <v>0</v>
      </c>
      <c r="AH69" s="28">
        <v>0</v>
      </c>
      <c r="AI69" s="28">
        <v>0</v>
      </c>
      <c r="AJ69" s="28">
        <v>0</v>
      </c>
      <c r="AK69" s="28">
        <v>0</v>
      </c>
      <c r="AL69" s="28">
        <v>0</v>
      </c>
      <c r="AM69" s="28">
        <v>0</v>
      </c>
      <c r="AN69" s="28">
        <v>0</v>
      </c>
      <c r="AO69" s="28">
        <v>0</v>
      </c>
      <c r="AP69" s="28">
        <v>0</v>
      </c>
      <c r="AQ69" s="28">
        <v>0</v>
      </c>
      <c r="AR69" s="28">
        <v>0</v>
      </c>
      <c r="AS69" s="28">
        <v>0</v>
      </c>
      <c r="AT69" s="28">
        <v>0</v>
      </c>
      <c r="AU69" s="28">
        <v>0</v>
      </c>
      <c r="AV69" s="28">
        <v>0</v>
      </c>
      <c r="AW69" s="28">
        <v>0</v>
      </c>
      <c r="AX69" s="28">
        <v>0</v>
      </c>
      <c r="AY69" s="28">
        <v>0</v>
      </c>
      <c r="AZ69" s="28">
        <v>0</v>
      </c>
      <c r="BA69" s="28">
        <v>0</v>
      </c>
      <c r="BB69" s="28">
        <v>1</v>
      </c>
      <c r="BC69" s="28">
        <v>1</v>
      </c>
      <c r="BD69" s="28">
        <v>1</v>
      </c>
      <c r="BE69" s="28">
        <v>1</v>
      </c>
      <c r="BF69" s="28">
        <v>1</v>
      </c>
      <c r="BG69" s="28">
        <v>0</v>
      </c>
      <c r="BH69" s="28">
        <v>0</v>
      </c>
      <c r="BI69" s="28">
        <v>0</v>
      </c>
      <c r="BJ69" s="28">
        <v>0</v>
      </c>
      <c r="BK69" s="28">
        <v>0</v>
      </c>
      <c r="BL69" s="28">
        <v>0</v>
      </c>
      <c r="BM69" s="28">
        <v>0</v>
      </c>
      <c r="BN69" s="28">
        <v>0</v>
      </c>
      <c r="BO69" s="28">
        <v>0</v>
      </c>
      <c r="BP69" s="28">
        <v>0</v>
      </c>
      <c r="BQ69" s="28">
        <v>0</v>
      </c>
      <c r="BR69" s="28">
        <v>0</v>
      </c>
      <c r="BS69" s="28">
        <v>0</v>
      </c>
      <c r="BT69" s="28">
        <v>0</v>
      </c>
      <c r="BU69" s="28">
        <v>0</v>
      </c>
      <c r="BV69" s="28">
        <v>0</v>
      </c>
      <c r="BW69" s="28">
        <v>0</v>
      </c>
      <c r="BX69" s="28">
        <v>0</v>
      </c>
      <c r="BY69" s="28">
        <v>0</v>
      </c>
      <c r="BZ69" s="28">
        <v>0</v>
      </c>
      <c r="CA69" s="28">
        <v>0</v>
      </c>
      <c r="CB69" s="28">
        <v>0</v>
      </c>
      <c r="CC69" s="28">
        <v>0</v>
      </c>
      <c r="CD69" s="28">
        <v>0</v>
      </c>
      <c r="CE69" s="28">
        <v>0</v>
      </c>
      <c r="CF69" s="28">
        <v>0</v>
      </c>
      <c r="CG69" s="28">
        <v>0</v>
      </c>
      <c r="CH69" s="28">
        <v>0</v>
      </c>
      <c r="CI69" s="28">
        <v>0</v>
      </c>
      <c r="CJ69" s="28">
        <v>0</v>
      </c>
      <c r="CK69" s="28">
        <v>0</v>
      </c>
      <c r="CL69" s="28">
        <v>0</v>
      </c>
      <c r="CM69" s="28">
        <v>0</v>
      </c>
      <c r="CN69" s="28">
        <v>0</v>
      </c>
      <c r="CO69" s="28">
        <v>0</v>
      </c>
      <c r="CP69" s="28">
        <v>0</v>
      </c>
      <c r="CQ69" s="28">
        <v>0</v>
      </c>
      <c r="CR69" s="28">
        <v>0</v>
      </c>
      <c r="CS69" s="28">
        <v>0</v>
      </c>
      <c r="CT69" s="28">
        <v>0</v>
      </c>
      <c r="CU69" s="28">
        <v>0</v>
      </c>
      <c r="CV69" s="28">
        <v>0</v>
      </c>
      <c r="CW69" s="28">
        <v>0</v>
      </c>
      <c r="CX69" s="8" t="s">
        <v>106</v>
      </c>
    </row>
    <row r="70" spans="1:102" x14ac:dyDescent="0.25">
      <c r="A70" s="20" t="s">
        <v>32</v>
      </c>
      <c r="B70" s="21">
        <f>G70+H70+I70</f>
      </c>
      <c r="C70" s="20" t="s">
        <v>105</v>
      </c>
      <c r="D70" s="22">
        <f>K70</f>
      </c>
      <c r="F70" s="20" t="s">
        <v>34</v>
      </c>
      <c r="G70" s="21">
        <f>B73</f>
      </c>
      <c r="H70" s="21">
        <f>B74</f>
      </c>
      <c r="I70" s="21">
        <f>B75</f>
      </c>
      <c r="J70" s="21">
        <f>B76</f>
      </c>
      <c r="K70" s="22">
        <f>D73+D74+D75</f>
      </c>
      <c r="CX70" s="20" t="s">
        <v>107</v>
      </c>
    </row>
    <row r="71" spans="6:102" x14ac:dyDescent="0.25">
      <c r="F71" s="23" t="s">
        <v>36</v>
      </c>
      <c r="L71" s="24">
        <v>0</v>
      </c>
      <c r="M71" s="24">
        <v>0</v>
      </c>
      <c r="N71" s="24">
        <v>0</v>
      </c>
      <c r="O71" s="24">
        <v>0</v>
      </c>
      <c r="P71" s="24">
        <v>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v>0</v>
      </c>
      <c r="AA71" s="24">
        <v>0</v>
      </c>
      <c r="AB71" s="24">
        <v>0</v>
      </c>
      <c r="AC71" s="24">
        <v>0</v>
      </c>
      <c r="AD71" s="24">
        <v>0</v>
      </c>
      <c r="AE71" s="24">
        <v>0</v>
      </c>
      <c r="AF71" s="24">
        <v>0</v>
      </c>
      <c r="AG71" s="24">
        <v>0</v>
      </c>
      <c r="AH71" s="24">
        <v>0</v>
      </c>
      <c r="AI71" s="24">
        <v>0</v>
      </c>
      <c r="AJ71" s="24">
        <v>0</v>
      </c>
      <c r="AK71" s="24">
        <v>0</v>
      </c>
      <c r="AL71" s="24">
        <v>0</v>
      </c>
      <c r="AM71" s="24">
        <v>0</v>
      </c>
      <c r="AN71" s="24">
        <v>0</v>
      </c>
      <c r="AO71" s="24">
        <v>0</v>
      </c>
      <c r="AP71" s="24">
        <v>0</v>
      </c>
      <c r="AQ71" s="24">
        <v>0</v>
      </c>
      <c r="AR71" s="24">
        <v>0</v>
      </c>
      <c r="AS71" s="24">
        <v>0</v>
      </c>
      <c r="AT71" s="24">
        <v>0</v>
      </c>
      <c r="AU71" s="24">
        <v>0</v>
      </c>
      <c r="AV71" s="24">
        <v>0</v>
      </c>
      <c r="AW71" s="24">
        <v>0</v>
      </c>
      <c r="AX71" s="24">
        <v>0</v>
      </c>
      <c r="AY71" s="24">
        <v>0</v>
      </c>
      <c r="AZ71" s="24">
        <v>0</v>
      </c>
      <c r="BA71" s="24">
        <v>0</v>
      </c>
      <c r="BB71" s="24">
        <v>5</v>
      </c>
      <c r="BC71" s="24">
        <v>5</v>
      </c>
      <c r="BD71" s="24">
        <v>5</v>
      </c>
      <c r="BE71" s="24">
        <v>5</v>
      </c>
      <c r="BF71" s="24">
        <v>5</v>
      </c>
      <c r="BG71" s="24">
        <v>0</v>
      </c>
      <c r="BH71" s="24">
        <v>0</v>
      </c>
      <c r="BI71" s="24">
        <v>0</v>
      </c>
      <c r="BJ71" s="24">
        <v>0</v>
      </c>
      <c r="BK71" s="24">
        <v>0</v>
      </c>
      <c r="BL71" s="24">
        <v>0</v>
      </c>
      <c r="BM71" s="24">
        <v>0</v>
      </c>
      <c r="BN71" s="24">
        <v>0</v>
      </c>
      <c r="BO71" s="24">
        <v>0</v>
      </c>
      <c r="BP71" s="24">
        <v>0</v>
      </c>
      <c r="BQ71" s="24">
        <v>0</v>
      </c>
      <c r="BR71" s="24">
        <v>0</v>
      </c>
      <c r="BS71" s="24">
        <v>0</v>
      </c>
      <c r="BT71" s="24">
        <v>0</v>
      </c>
      <c r="BU71" s="24">
        <v>0</v>
      </c>
      <c r="BV71" s="24">
        <v>0</v>
      </c>
      <c r="BW71" s="24">
        <v>0</v>
      </c>
      <c r="BX71" s="24">
        <v>0</v>
      </c>
      <c r="BY71" s="24">
        <v>0</v>
      </c>
      <c r="BZ71" s="24">
        <v>0</v>
      </c>
      <c r="CA71" s="24">
        <v>0</v>
      </c>
      <c r="CB71" s="24">
        <v>0</v>
      </c>
      <c r="CC71" s="24">
        <v>0</v>
      </c>
      <c r="CD71" s="24">
        <v>0</v>
      </c>
      <c r="CE71" s="24">
        <v>0</v>
      </c>
      <c r="CF71" s="24">
        <v>0</v>
      </c>
      <c r="CG71" s="24">
        <v>0</v>
      </c>
      <c r="CH71" s="24">
        <v>0</v>
      </c>
      <c r="CI71" s="24">
        <v>0</v>
      </c>
      <c r="CJ71" s="24">
        <v>0</v>
      </c>
      <c r="CK71" s="24">
        <v>0</v>
      </c>
      <c r="CL71" s="24">
        <v>0</v>
      </c>
      <c r="CM71" s="24">
        <v>0</v>
      </c>
      <c r="CN71" s="24">
        <v>0</v>
      </c>
      <c r="CO71" s="24">
        <v>0</v>
      </c>
      <c r="CP71" s="24">
        <v>0</v>
      </c>
      <c r="CQ71" s="24">
        <v>0</v>
      </c>
      <c r="CR71" s="24">
        <v>0</v>
      </c>
      <c r="CS71" s="24">
        <v>0</v>
      </c>
      <c r="CT71" s="24">
        <v>0</v>
      </c>
      <c r="CU71" s="24">
        <v>0</v>
      </c>
      <c r="CV71" s="24">
        <v>0</v>
      </c>
      <c r="CW71" s="24">
        <v>0</v>
      </c>
      <c r="CX71" s="23" t="s">
        <v>107</v>
      </c>
    </row>
    <row r="72" spans="1:102" x14ac:dyDescent="0.25">
      <c r="A72" s="23" t="s">
        <v>37</v>
      </c>
      <c r="F72" s="23" t="s">
        <v>38</v>
      </c>
      <c r="L72" s="25">
        <v>0</v>
      </c>
      <c r="M72" s="25">
        <v>0</v>
      </c>
      <c r="N72" s="25">
        <v>0</v>
      </c>
      <c r="O72" s="25">
        <v>0</v>
      </c>
      <c r="P72" s="25">
        <v>0</v>
      </c>
      <c r="Q72" s="25">
        <v>0</v>
      </c>
      <c r="R72" s="25">
        <v>0</v>
      </c>
      <c r="S72" s="25">
        <v>0</v>
      </c>
      <c r="T72" s="25">
        <v>0</v>
      </c>
      <c r="U72" s="25">
        <v>0</v>
      </c>
      <c r="V72" s="25">
        <v>0</v>
      </c>
      <c r="W72" s="25">
        <v>0</v>
      </c>
      <c r="X72" s="25">
        <v>0</v>
      </c>
      <c r="Y72" s="25">
        <v>0</v>
      </c>
      <c r="Z72" s="25">
        <v>0</v>
      </c>
      <c r="AA72" s="25">
        <v>0</v>
      </c>
      <c r="AB72" s="25">
        <v>0</v>
      </c>
      <c r="AC72" s="25">
        <v>0</v>
      </c>
      <c r="AD72" s="25">
        <v>0</v>
      </c>
      <c r="AE72" s="25">
        <v>0</v>
      </c>
      <c r="AF72" s="25">
        <v>0</v>
      </c>
      <c r="AG72" s="25">
        <v>0</v>
      </c>
      <c r="AH72" s="25">
        <v>0</v>
      </c>
      <c r="AI72" s="25">
        <v>0</v>
      </c>
      <c r="AJ72" s="25">
        <v>0</v>
      </c>
      <c r="AK72" s="25">
        <v>0</v>
      </c>
      <c r="AL72" s="25">
        <v>0</v>
      </c>
      <c r="AM72" s="25">
        <v>0</v>
      </c>
      <c r="AN72" s="25">
        <v>0</v>
      </c>
      <c r="AO72" s="25">
        <v>0</v>
      </c>
      <c r="AP72" s="25">
        <v>0</v>
      </c>
      <c r="AQ72" s="25">
        <v>0</v>
      </c>
      <c r="AR72" s="25">
        <v>0</v>
      </c>
      <c r="AS72" s="25">
        <v>0</v>
      </c>
      <c r="AT72" s="25">
        <v>0</v>
      </c>
      <c r="AU72" s="25">
        <v>0</v>
      </c>
      <c r="AV72" s="25">
        <v>0</v>
      </c>
      <c r="AW72" s="25">
        <v>0</v>
      </c>
      <c r="AX72" s="25">
        <v>0</v>
      </c>
      <c r="AY72" s="25">
        <v>0</v>
      </c>
      <c r="AZ72" s="25">
        <v>0</v>
      </c>
      <c r="BA72" s="25">
        <v>0</v>
      </c>
      <c r="BB72" s="25">
        <v>8</v>
      </c>
      <c r="BC72" s="25">
        <v>8</v>
      </c>
      <c r="BD72" s="25">
        <v>8</v>
      </c>
      <c r="BE72" s="25">
        <v>8</v>
      </c>
      <c r="BF72" s="25">
        <v>8</v>
      </c>
      <c r="BG72" s="25">
        <v>0</v>
      </c>
      <c r="BH72" s="25">
        <v>0</v>
      </c>
      <c r="BI72" s="25">
        <v>0</v>
      </c>
      <c r="BJ72" s="25">
        <v>0</v>
      </c>
      <c r="BK72" s="25">
        <v>0</v>
      </c>
      <c r="BL72" s="25">
        <v>0</v>
      </c>
      <c r="BM72" s="25">
        <v>0</v>
      </c>
      <c r="BN72" s="25">
        <v>0</v>
      </c>
      <c r="BO72" s="25">
        <v>0</v>
      </c>
      <c r="BP72" s="25">
        <v>0</v>
      </c>
      <c r="BQ72" s="25">
        <v>0</v>
      </c>
      <c r="BR72" s="25">
        <v>0</v>
      </c>
      <c r="BS72" s="25">
        <v>0</v>
      </c>
      <c r="BT72" s="25">
        <v>0</v>
      </c>
      <c r="BU72" s="25">
        <v>0</v>
      </c>
      <c r="BV72" s="25">
        <v>0</v>
      </c>
      <c r="BW72" s="25">
        <v>0</v>
      </c>
      <c r="BX72" s="25">
        <v>0</v>
      </c>
      <c r="BY72" s="25">
        <v>0</v>
      </c>
      <c r="BZ72" s="25">
        <v>0</v>
      </c>
      <c r="CA72" s="25">
        <v>0</v>
      </c>
      <c r="CB72" s="25">
        <v>0</v>
      </c>
      <c r="CC72" s="25">
        <v>0</v>
      </c>
      <c r="CD72" s="25">
        <v>0</v>
      </c>
      <c r="CE72" s="25">
        <v>0</v>
      </c>
      <c r="CF72" s="25">
        <v>0</v>
      </c>
      <c r="CG72" s="25">
        <v>0</v>
      </c>
      <c r="CH72" s="25">
        <v>0</v>
      </c>
      <c r="CI72" s="25">
        <v>0</v>
      </c>
      <c r="CJ72" s="25">
        <v>0</v>
      </c>
      <c r="CK72" s="25">
        <v>0</v>
      </c>
      <c r="CL72" s="25">
        <v>0</v>
      </c>
      <c r="CM72" s="25">
        <v>0</v>
      </c>
      <c r="CN72" s="25">
        <v>0</v>
      </c>
      <c r="CO72" s="25">
        <v>0</v>
      </c>
      <c r="CP72" s="25">
        <v>0</v>
      </c>
      <c r="CQ72" s="25">
        <v>0</v>
      </c>
      <c r="CR72" s="25">
        <v>0</v>
      </c>
      <c r="CS72" s="25">
        <v>0</v>
      </c>
      <c r="CT72" s="25">
        <v>0</v>
      </c>
      <c r="CU72" s="25">
        <v>0</v>
      </c>
      <c r="CV72" s="25">
        <v>0</v>
      </c>
      <c r="CW72" s="25">
        <v>0</v>
      </c>
      <c r="CX72" s="23" t="s">
        <v>107</v>
      </c>
    </row>
    <row r="73" spans="2:102" x14ac:dyDescent="0.25">
      <c r="B73" s="26">
        <f>SUM(L73:CW73)</f>
      </c>
      <c r="D73" s="27">
        <f>B73*E73</f>
      </c>
      <c r="E73" s="27">
        <f>'Rate Tables'!C25</f>
      </c>
      <c r="F73" s="8" t="s">
        <v>39</v>
      </c>
      <c r="L73" s="26">
        <f>IF(L$6="","",IF(OR(WEEKDAY(L$6,1)=1,WEEKDAY(L$6,1)=7),0,MIN(8,L72)*L71))</f>
      </c>
      <c r="M73" s="26">
        <f>IF(M$6="","",IF(OR(WEEKDAY(M$6,1)=1,WEEKDAY(M$6,1)=7),0,MIN(8,M72)*M71))</f>
      </c>
      <c r="N73" s="26">
        <f>IF(N$6="","",IF(OR(WEEKDAY(N$6,1)=1,WEEKDAY(N$6,1)=7),0,MIN(8,N72)*N71))</f>
      </c>
      <c r="O73" s="26">
        <f>IF(O$6="","",IF(OR(WEEKDAY(O$6,1)=1,WEEKDAY(O$6,1)=7),0,MIN(8,O72)*O71))</f>
      </c>
      <c r="P73" s="26">
        <f>IF(P$6="","",IF(OR(WEEKDAY(P$6,1)=1,WEEKDAY(P$6,1)=7),0,MIN(8,P72)*P71))</f>
      </c>
      <c r="Q73" s="26">
        <f>IF(Q$6="","",IF(OR(WEEKDAY(Q$6,1)=1,WEEKDAY(Q$6,1)=7),0,MIN(8,Q72)*Q71))</f>
      </c>
      <c r="R73" s="26">
        <f>IF(R$6="","",IF(OR(WEEKDAY(R$6,1)=1,WEEKDAY(R$6,1)=7),0,MIN(8,R72)*R71))</f>
      </c>
      <c r="S73" s="26">
        <f>IF(S$6="","",IF(OR(WEEKDAY(S$6,1)=1,WEEKDAY(S$6,1)=7),0,MIN(8,S72)*S71))</f>
      </c>
      <c r="T73" s="26">
        <f>IF(T$6="","",IF(OR(WEEKDAY(T$6,1)=1,WEEKDAY(T$6,1)=7),0,MIN(8,T72)*T71))</f>
      </c>
      <c r="U73" s="26">
        <f>IF(U$6="","",IF(OR(WEEKDAY(U$6,1)=1,WEEKDAY(U$6,1)=7),0,MIN(8,U72)*U71))</f>
      </c>
      <c r="V73" s="26">
        <f>IF(V$6="","",IF(OR(WEEKDAY(V$6,1)=1,WEEKDAY(V$6,1)=7),0,MIN(8,V72)*V71))</f>
      </c>
      <c r="W73" s="26">
        <f>IF(W$6="","",IF(OR(WEEKDAY(W$6,1)=1,WEEKDAY(W$6,1)=7),0,MIN(8,W72)*W71))</f>
      </c>
      <c r="X73" s="26">
        <f>IF(X$6="","",IF(OR(WEEKDAY(X$6,1)=1,WEEKDAY(X$6,1)=7),0,MIN(8,X72)*X71))</f>
      </c>
      <c r="Y73" s="26">
        <f>IF(Y$6="","",IF(OR(WEEKDAY(Y$6,1)=1,WEEKDAY(Y$6,1)=7),0,MIN(8,Y72)*Y71))</f>
      </c>
      <c r="Z73" s="26">
        <f>IF(Z$6="","",IF(OR(WEEKDAY(Z$6,1)=1,WEEKDAY(Z$6,1)=7),0,MIN(8,Z72)*Z71))</f>
      </c>
      <c r="AA73" s="26">
        <f>IF(AA$6="","",IF(OR(WEEKDAY(AA$6,1)=1,WEEKDAY(AA$6,1)=7),0,MIN(8,AA72)*AA71))</f>
      </c>
      <c r="AB73" s="26">
        <f>IF(AB$6="","",IF(OR(WEEKDAY(AB$6,1)=1,WEEKDAY(AB$6,1)=7),0,MIN(8,AB72)*AB71))</f>
      </c>
      <c r="AC73" s="26">
        <f>IF(AC$6="","",IF(OR(WEEKDAY(AC$6,1)=1,WEEKDAY(AC$6,1)=7),0,MIN(8,AC72)*AC71))</f>
      </c>
      <c r="AD73" s="26">
        <f>IF(AD$6="","",IF(OR(WEEKDAY(AD$6,1)=1,WEEKDAY(AD$6,1)=7),0,MIN(8,AD72)*AD71))</f>
      </c>
      <c r="AE73" s="26">
        <f>IF(AE$6="","",IF(OR(WEEKDAY(AE$6,1)=1,WEEKDAY(AE$6,1)=7),0,MIN(8,AE72)*AE71))</f>
      </c>
      <c r="AF73" s="26">
        <f>IF(AF$6="","",IF(OR(WEEKDAY(AF$6,1)=1,WEEKDAY(AF$6,1)=7),0,MIN(8,AF72)*AF71))</f>
      </c>
      <c r="AG73" s="26">
        <f>IF(AG$6="","",IF(OR(WEEKDAY(AG$6,1)=1,WEEKDAY(AG$6,1)=7),0,MIN(8,AG72)*AG71))</f>
      </c>
      <c r="AH73" s="26">
        <f>IF(AH$6="","",IF(OR(WEEKDAY(AH$6,1)=1,WEEKDAY(AH$6,1)=7),0,MIN(8,AH72)*AH71))</f>
      </c>
      <c r="AI73" s="26">
        <f>IF(AI$6="","",IF(OR(WEEKDAY(AI$6,1)=1,WEEKDAY(AI$6,1)=7),0,MIN(8,AI72)*AI71))</f>
      </c>
      <c r="AJ73" s="26">
        <f>IF(AJ$6="","",IF(OR(WEEKDAY(AJ$6,1)=1,WEEKDAY(AJ$6,1)=7),0,MIN(8,AJ72)*AJ71))</f>
      </c>
      <c r="AK73" s="26">
        <f>IF(AK$6="","",IF(OR(WEEKDAY(AK$6,1)=1,WEEKDAY(AK$6,1)=7),0,MIN(8,AK72)*AK71))</f>
      </c>
      <c r="AL73" s="26">
        <f>IF(AL$6="","",IF(OR(WEEKDAY(AL$6,1)=1,WEEKDAY(AL$6,1)=7),0,MIN(8,AL72)*AL71))</f>
      </c>
      <c r="AM73" s="26">
        <f>IF(AM$6="","",IF(OR(WEEKDAY(AM$6,1)=1,WEEKDAY(AM$6,1)=7),0,MIN(8,AM72)*AM71))</f>
      </c>
      <c r="AN73" s="26">
        <f>IF(AN$6="","",IF(OR(WEEKDAY(AN$6,1)=1,WEEKDAY(AN$6,1)=7),0,MIN(8,AN72)*AN71))</f>
      </c>
      <c r="AO73" s="26">
        <f>IF(AO$6="","",IF(OR(WEEKDAY(AO$6,1)=1,WEEKDAY(AO$6,1)=7),0,MIN(8,AO72)*AO71))</f>
      </c>
      <c r="AP73" s="26">
        <f>IF(AP$6="","",IF(OR(WEEKDAY(AP$6,1)=1,WEEKDAY(AP$6,1)=7),0,MIN(8,AP72)*AP71))</f>
      </c>
      <c r="AQ73" s="26">
        <f>IF(AQ$6="","",IF(OR(WEEKDAY(AQ$6,1)=1,WEEKDAY(AQ$6,1)=7),0,MIN(8,AQ72)*AQ71))</f>
      </c>
      <c r="AR73" s="26">
        <f>IF(AR$6="","",IF(OR(WEEKDAY(AR$6,1)=1,WEEKDAY(AR$6,1)=7),0,MIN(8,AR72)*AR71))</f>
      </c>
      <c r="AS73" s="26">
        <f>IF(AS$6="","",IF(OR(WEEKDAY(AS$6,1)=1,WEEKDAY(AS$6,1)=7),0,MIN(8,AS72)*AS71))</f>
      </c>
      <c r="AT73" s="26">
        <f>IF(AT$6="","",IF(OR(WEEKDAY(AT$6,1)=1,WEEKDAY(AT$6,1)=7),0,MIN(8,AT72)*AT71))</f>
      </c>
      <c r="AU73" s="26">
        <f>IF(AU$6="","",IF(OR(WEEKDAY(AU$6,1)=1,WEEKDAY(AU$6,1)=7),0,MIN(8,AU72)*AU71))</f>
      </c>
      <c r="AV73" s="26">
        <f>IF(AV$6="","",IF(OR(WEEKDAY(AV$6,1)=1,WEEKDAY(AV$6,1)=7),0,MIN(8,AV72)*AV71))</f>
      </c>
      <c r="AW73" s="26">
        <f>IF(AW$6="","",IF(OR(WEEKDAY(AW$6,1)=1,WEEKDAY(AW$6,1)=7),0,MIN(8,AW72)*AW71))</f>
      </c>
      <c r="AX73" s="26">
        <f>IF(AX$6="","",IF(OR(WEEKDAY(AX$6,1)=1,WEEKDAY(AX$6,1)=7),0,MIN(8,AX72)*AX71))</f>
      </c>
      <c r="AY73" s="26">
        <f>IF(AY$6="","",IF(OR(WEEKDAY(AY$6,1)=1,WEEKDAY(AY$6,1)=7),0,MIN(8,AY72)*AY71))</f>
      </c>
      <c r="AZ73" s="26">
        <f>IF(AZ$6="","",IF(OR(WEEKDAY(AZ$6,1)=1,WEEKDAY(AZ$6,1)=7),0,MIN(8,AZ72)*AZ71))</f>
      </c>
      <c r="BA73" s="26">
        <f>IF(BA$6="","",IF(OR(WEEKDAY(BA$6,1)=1,WEEKDAY(BA$6,1)=7),0,MIN(8,BA72)*BA71))</f>
      </c>
      <c r="BB73" s="26">
        <f>IF(BB$6="","",IF(OR(WEEKDAY(BB$6,1)=1,WEEKDAY(BB$6,1)=7),0,MIN(8,BB72)*BB71))</f>
      </c>
      <c r="BC73" s="26">
        <f>IF(BC$6="","",IF(OR(WEEKDAY(BC$6,1)=1,WEEKDAY(BC$6,1)=7),0,MIN(8,BC72)*BC71))</f>
      </c>
      <c r="BD73" s="26">
        <f>IF(BD$6="","",IF(OR(WEEKDAY(BD$6,1)=1,WEEKDAY(BD$6,1)=7),0,MIN(8,BD72)*BD71))</f>
      </c>
      <c r="BE73" s="26">
        <f>IF(BE$6="","",IF(OR(WEEKDAY(BE$6,1)=1,WEEKDAY(BE$6,1)=7),0,MIN(8,BE72)*BE71))</f>
      </c>
      <c r="BF73" s="26">
        <f>IF(BF$6="","",IF(OR(WEEKDAY(BF$6,1)=1,WEEKDAY(BF$6,1)=7),0,MIN(8,BF72)*BF71))</f>
      </c>
      <c r="BG73" s="26">
        <f>IF(BG$6="","",IF(OR(WEEKDAY(BG$6,1)=1,WEEKDAY(BG$6,1)=7),0,MIN(8,BG72)*BG71))</f>
      </c>
      <c r="BH73" s="26">
        <f>IF(BH$6="","",IF(OR(WEEKDAY(BH$6,1)=1,WEEKDAY(BH$6,1)=7),0,MIN(8,BH72)*BH71))</f>
      </c>
      <c r="BI73" s="26">
        <f>IF(BI$6="","",IF(OR(WEEKDAY(BI$6,1)=1,WEEKDAY(BI$6,1)=7),0,MIN(8,BI72)*BI71))</f>
      </c>
      <c r="BJ73" s="26">
        <f>IF(BJ$6="","",IF(OR(WEEKDAY(BJ$6,1)=1,WEEKDAY(BJ$6,1)=7),0,MIN(8,BJ72)*BJ71))</f>
      </c>
      <c r="BK73" s="26">
        <f>IF(BK$6="","",IF(OR(WEEKDAY(BK$6,1)=1,WEEKDAY(BK$6,1)=7),0,MIN(8,BK72)*BK71))</f>
      </c>
      <c r="BL73" s="26">
        <f>IF(BL$6="","",IF(OR(WEEKDAY(BL$6,1)=1,WEEKDAY(BL$6,1)=7),0,MIN(8,BL72)*BL71))</f>
      </c>
      <c r="BM73" s="26">
        <f>IF(BM$6="","",IF(OR(WEEKDAY(BM$6,1)=1,WEEKDAY(BM$6,1)=7),0,MIN(8,BM72)*BM71))</f>
      </c>
      <c r="BN73" s="26">
        <f>IF(BN$6="","",IF(OR(WEEKDAY(BN$6,1)=1,WEEKDAY(BN$6,1)=7),0,MIN(8,BN72)*BN71))</f>
      </c>
      <c r="BO73" s="26">
        <f>IF(BO$6="","",IF(OR(WEEKDAY(BO$6,1)=1,WEEKDAY(BO$6,1)=7),0,MIN(8,BO72)*BO71))</f>
      </c>
      <c r="BP73" s="26">
        <f>IF(BP$6="","",IF(OR(WEEKDAY(BP$6,1)=1,WEEKDAY(BP$6,1)=7),0,MIN(8,BP72)*BP71))</f>
      </c>
      <c r="BQ73" s="26">
        <f>IF(BQ$6="","",IF(OR(WEEKDAY(BQ$6,1)=1,WEEKDAY(BQ$6,1)=7),0,MIN(8,BQ72)*BQ71))</f>
      </c>
      <c r="BR73" s="26">
        <f>IF(BR$6="","",IF(OR(WEEKDAY(BR$6,1)=1,WEEKDAY(BR$6,1)=7),0,MIN(8,BR72)*BR71))</f>
      </c>
      <c r="BS73" s="26">
        <f>IF(BS$6="","",IF(OR(WEEKDAY(BS$6,1)=1,WEEKDAY(BS$6,1)=7),0,MIN(8,BS72)*BS71))</f>
      </c>
      <c r="BT73" s="26">
        <f>IF(BT$6="","",IF(OR(WEEKDAY(BT$6,1)=1,WEEKDAY(BT$6,1)=7),0,MIN(8,BT72)*BT71))</f>
      </c>
      <c r="BU73" s="26">
        <f>IF(BU$6="","",IF(OR(WEEKDAY(BU$6,1)=1,WEEKDAY(BU$6,1)=7),0,MIN(8,BU72)*BU71))</f>
      </c>
      <c r="BV73" s="26">
        <f>IF(BV$6="","",IF(OR(WEEKDAY(BV$6,1)=1,WEEKDAY(BV$6,1)=7),0,MIN(8,BV72)*BV71))</f>
      </c>
      <c r="BW73" s="26">
        <f>IF(BW$6="","",IF(OR(WEEKDAY(BW$6,1)=1,WEEKDAY(BW$6,1)=7),0,MIN(8,BW72)*BW71))</f>
      </c>
      <c r="BX73" s="26">
        <f>IF(BX$6="","",IF(OR(WEEKDAY(BX$6,1)=1,WEEKDAY(BX$6,1)=7),0,MIN(8,BX72)*BX71))</f>
      </c>
      <c r="BY73" s="26">
        <f>IF(BY$6="","",IF(OR(WEEKDAY(BY$6,1)=1,WEEKDAY(BY$6,1)=7),0,MIN(8,BY72)*BY71))</f>
      </c>
      <c r="BZ73" s="26">
        <f>IF(BZ$6="","",IF(OR(WEEKDAY(BZ$6,1)=1,WEEKDAY(BZ$6,1)=7),0,MIN(8,BZ72)*BZ71))</f>
      </c>
      <c r="CA73" s="26">
        <f>IF(CA$6="","",IF(OR(WEEKDAY(CA$6,1)=1,WEEKDAY(CA$6,1)=7),0,MIN(8,CA72)*CA71))</f>
      </c>
      <c r="CB73" s="26">
        <f>IF(CB$6="","",IF(OR(WEEKDAY(CB$6,1)=1,WEEKDAY(CB$6,1)=7),0,MIN(8,CB72)*CB71))</f>
      </c>
      <c r="CC73" s="26">
        <f>IF(CC$6="","",IF(OR(WEEKDAY(CC$6,1)=1,WEEKDAY(CC$6,1)=7),0,MIN(8,CC72)*CC71))</f>
      </c>
      <c r="CD73" s="26">
        <f>IF(CD$6="","",IF(OR(WEEKDAY(CD$6,1)=1,WEEKDAY(CD$6,1)=7),0,MIN(8,CD72)*CD71))</f>
      </c>
      <c r="CE73" s="26">
        <f>IF(CE$6="","",IF(OR(WEEKDAY(CE$6,1)=1,WEEKDAY(CE$6,1)=7),0,MIN(8,CE72)*CE71))</f>
      </c>
      <c r="CF73" s="26">
        <f>IF(CF$6="","",IF(OR(WEEKDAY(CF$6,1)=1,WEEKDAY(CF$6,1)=7),0,MIN(8,CF72)*CF71))</f>
      </c>
      <c r="CG73" s="26">
        <f>IF(CG$6="","",IF(OR(WEEKDAY(CG$6,1)=1,WEEKDAY(CG$6,1)=7),0,MIN(8,CG72)*CG71))</f>
      </c>
      <c r="CH73" s="26">
        <f>IF(CH$6="","",IF(OR(WEEKDAY(CH$6,1)=1,WEEKDAY(CH$6,1)=7),0,MIN(8,CH72)*CH71))</f>
      </c>
      <c r="CI73" s="26">
        <f>IF(CI$6="","",IF(OR(WEEKDAY(CI$6,1)=1,WEEKDAY(CI$6,1)=7),0,MIN(8,CI72)*CI71))</f>
      </c>
      <c r="CJ73" s="26">
        <f>IF(CJ$6="","",IF(OR(WEEKDAY(CJ$6,1)=1,WEEKDAY(CJ$6,1)=7),0,MIN(8,CJ72)*CJ71))</f>
      </c>
      <c r="CK73" s="26">
        <f>IF(CK$6="","",IF(OR(WEEKDAY(CK$6,1)=1,WEEKDAY(CK$6,1)=7),0,MIN(8,CK72)*CK71))</f>
      </c>
      <c r="CL73" s="26">
        <f>IF(CL$6="","",IF(OR(WEEKDAY(CL$6,1)=1,WEEKDAY(CL$6,1)=7),0,MIN(8,CL72)*CL71))</f>
      </c>
      <c r="CM73" s="26">
        <f>IF(CM$6="","",IF(OR(WEEKDAY(CM$6,1)=1,WEEKDAY(CM$6,1)=7),0,MIN(8,CM72)*CM71))</f>
      </c>
      <c r="CN73" s="26">
        <f>IF(CN$6="","",IF(OR(WEEKDAY(CN$6,1)=1,WEEKDAY(CN$6,1)=7),0,MIN(8,CN72)*CN71))</f>
      </c>
      <c r="CO73" s="26">
        <f>IF(CO$6="","",IF(OR(WEEKDAY(CO$6,1)=1,WEEKDAY(CO$6,1)=7),0,MIN(8,CO72)*CO71))</f>
      </c>
      <c r="CP73" s="26">
        <f>IF(CP$6="","",IF(OR(WEEKDAY(CP$6,1)=1,WEEKDAY(CP$6,1)=7),0,MIN(8,CP72)*CP71))</f>
      </c>
      <c r="CQ73" s="26">
        <f>IF(CQ$6="","",IF(OR(WEEKDAY(CQ$6,1)=1,WEEKDAY(CQ$6,1)=7),0,MIN(8,CQ72)*CQ71))</f>
      </c>
      <c r="CR73" s="26">
        <f>IF(CR$6="","",IF(OR(WEEKDAY(CR$6,1)=1,WEEKDAY(CR$6,1)=7),0,MIN(8,CR72)*CR71))</f>
      </c>
      <c r="CS73" s="26">
        <f>IF(CS$6="","",IF(OR(WEEKDAY(CS$6,1)=1,WEEKDAY(CS$6,1)=7),0,MIN(8,CS72)*CS71))</f>
      </c>
      <c r="CT73" s="26">
        <f>IF(CT$6="","",IF(OR(WEEKDAY(CT$6,1)=1,WEEKDAY(CT$6,1)=7),0,MIN(8,CT72)*CT71))</f>
      </c>
      <c r="CU73" s="26">
        <f>IF(CU$6="","",IF(OR(WEEKDAY(CU$6,1)=1,WEEKDAY(CU$6,1)=7),0,MIN(8,CU72)*CU71))</f>
      </c>
      <c r="CV73" s="26">
        <f>IF(CV$6="","",IF(OR(WEEKDAY(CV$6,1)=1,WEEKDAY(CV$6,1)=7),0,MIN(8,CV72)*CV71))</f>
      </c>
      <c r="CW73" s="26">
        <f>IF(CW$6="","",IF(OR(WEEKDAY(CW$6,1)=1,WEEKDAY(CW$6,1)=7),0,MIN(8,CW72)*CW71))</f>
      </c>
      <c r="CX73" s="8" t="s">
        <v>107</v>
      </c>
    </row>
    <row r="74" spans="2:102" x14ac:dyDescent="0.25">
      <c r="B74" s="26">
        <f>SUM(L74:CW74)</f>
      </c>
      <c r="D74" s="27">
        <f>B74*E74</f>
      </c>
      <c r="E74" s="27">
        <f>'Rate Tables'!D25</f>
      </c>
      <c r="F74" s="8" t="s">
        <v>40</v>
      </c>
      <c r="L74" s="26">
        <f>IF(L$6="","",IF(WEEKDAY(L$6,1)=1,0,IF(WEEKDAY(L$6,1)=7,L72*L71,MAX(0,L72-8)*L71)))</f>
      </c>
      <c r="M74" s="26">
        <f>IF(M$6="","",IF(WEEKDAY(M$6,1)=1,0,IF(WEEKDAY(M$6,1)=7,M72*M71,MAX(0,M72-8)*M71)))</f>
      </c>
      <c r="N74" s="26">
        <f>IF(N$6="","",IF(WEEKDAY(N$6,1)=1,0,IF(WEEKDAY(N$6,1)=7,N72*N71,MAX(0,N72-8)*N71)))</f>
      </c>
      <c r="O74" s="26">
        <f>IF(O$6="","",IF(WEEKDAY(O$6,1)=1,0,IF(WEEKDAY(O$6,1)=7,O72*O71,MAX(0,O72-8)*O71)))</f>
      </c>
      <c r="P74" s="26">
        <f>IF(P$6="","",IF(WEEKDAY(P$6,1)=1,0,IF(WEEKDAY(P$6,1)=7,P72*P71,MAX(0,P72-8)*P71)))</f>
      </c>
      <c r="Q74" s="26">
        <f>IF(Q$6="","",IF(WEEKDAY(Q$6,1)=1,0,IF(WEEKDAY(Q$6,1)=7,Q72*Q71,MAX(0,Q72-8)*Q71)))</f>
      </c>
      <c r="R74" s="26">
        <f>IF(R$6="","",IF(WEEKDAY(R$6,1)=1,0,IF(WEEKDAY(R$6,1)=7,R72*R71,MAX(0,R72-8)*R71)))</f>
      </c>
      <c r="S74" s="26">
        <f>IF(S$6="","",IF(WEEKDAY(S$6,1)=1,0,IF(WEEKDAY(S$6,1)=7,S72*S71,MAX(0,S72-8)*S71)))</f>
      </c>
      <c r="T74" s="26">
        <f>IF(T$6="","",IF(WEEKDAY(T$6,1)=1,0,IF(WEEKDAY(T$6,1)=7,T72*T71,MAX(0,T72-8)*T71)))</f>
      </c>
      <c r="U74" s="26">
        <f>IF(U$6="","",IF(WEEKDAY(U$6,1)=1,0,IF(WEEKDAY(U$6,1)=7,U72*U71,MAX(0,U72-8)*U71)))</f>
      </c>
      <c r="V74" s="26">
        <f>IF(V$6="","",IF(WEEKDAY(V$6,1)=1,0,IF(WEEKDAY(V$6,1)=7,V72*V71,MAX(0,V72-8)*V71)))</f>
      </c>
      <c r="W74" s="26">
        <f>IF(W$6="","",IF(WEEKDAY(W$6,1)=1,0,IF(WEEKDAY(W$6,1)=7,W72*W71,MAX(0,W72-8)*W71)))</f>
      </c>
      <c r="X74" s="26">
        <f>IF(X$6="","",IF(WEEKDAY(X$6,1)=1,0,IF(WEEKDAY(X$6,1)=7,X72*X71,MAX(0,X72-8)*X71)))</f>
      </c>
      <c r="Y74" s="26">
        <f>IF(Y$6="","",IF(WEEKDAY(Y$6,1)=1,0,IF(WEEKDAY(Y$6,1)=7,Y72*Y71,MAX(0,Y72-8)*Y71)))</f>
      </c>
      <c r="Z74" s="26">
        <f>IF(Z$6="","",IF(WEEKDAY(Z$6,1)=1,0,IF(WEEKDAY(Z$6,1)=7,Z72*Z71,MAX(0,Z72-8)*Z71)))</f>
      </c>
      <c r="AA74" s="26">
        <f>IF(AA$6="","",IF(WEEKDAY(AA$6,1)=1,0,IF(WEEKDAY(AA$6,1)=7,AA72*AA71,MAX(0,AA72-8)*AA71)))</f>
      </c>
      <c r="AB74" s="26">
        <f>IF(AB$6="","",IF(WEEKDAY(AB$6,1)=1,0,IF(WEEKDAY(AB$6,1)=7,AB72*AB71,MAX(0,AB72-8)*AB71)))</f>
      </c>
      <c r="AC74" s="26">
        <f>IF(AC$6="","",IF(WEEKDAY(AC$6,1)=1,0,IF(WEEKDAY(AC$6,1)=7,AC72*AC71,MAX(0,AC72-8)*AC71)))</f>
      </c>
      <c r="AD74" s="26">
        <f>IF(AD$6="","",IF(WEEKDAY(AD$6,1)=1,0,IF(WEEKDAY(AD$6,1)=7,AD72*AD71,MAX(0,AD72-8)*AD71)))</f>
      </c>
      <c r="AE74" s="26">
        <f>IF(AE$6="","",IF(WEEKDAY(AE$6,1)=1,0,IF(WEEKDAY(AE$6,1)=7,AE72*AE71,MAX(0,AE72-8)*AE71)))</f>
      </c>
      <c r="AF74" s="26">
        <f>IF(AF$6="","",IF(WEEKDAY(AF$6,1)=1,0,IF(WEEKDAY(AF$6,1)=7,AF72*AF71,MAX(0,AF72-8)*AF71)))</f>
      </c>
      <c r="AG74" s="26">
        <f>IF(AG$6="","",IF(WEEKDAY(AG$6,1)=1,0,IF(WEEKDAY(AG$6,1)=7,AG72*AG71,MAX(0,AG72-8)*AG71)))</f>
      </c>
      <c r="AH74" s="26">
        <f>IF(AH$6="","",IF(WEEKDAY(AH$6,1)=1,0,IF(WEEKDAY(AH$6,1)=7,AH72*AH71,MAX(0,AH72-8)*AH71)))</f>
      </c>
      <c r="AI74" s="26">
        <f>IF(AI$6="","",IF(WEEKDAY(AI$6,1)=1,0,IF(WEEKDAY(AI$6,1)=7,AI72*AI71,MAX(0,AI72-8)*AI71)))</f>
      </c>
      <c r="AJ74" s="26">
        <f>IF(AJ$6="","",IF(WEEKDAY(AJ$6,1)=1,0,IF(WEEKDAY(AJ$6,1)=7,AJ72*AJ71,MAX(0,AJ72-8)*AJ71)))</f>
      </c>
      <c r="AK74" s="26">
        <f>IF(AK$6="","",IF(WEEKDAY(AK$6,1)=1,0,IF(WEEKDAY(AK$6,1)=7,AK72*AK71,MAX(0,AK72-8)*AK71)))</f>
      </c>
      <c r="AL74" s="26">
        <f>IF(AL$6="","",IF(WEEKDAY(AL$6,1)=1,0,IF(WEEKDAY(AL$6,1)=7,AL72*AL71,MAX(0,AL72-8)*AL71)))</f>
      </c>
      <c r="AM74" s="26">
        <f>IF(AM$6="","",IF(WEEKDAY(AM$6,1)=1,0,IF(WEEKDAY(AM$6,1)=7,AM72*AM71,MAX(0,AM72-8)*AM71)))</f>
      </c>
      <c r="AN74" s="26">
        <f>IF(AN$6="","",IF(WEEKDAY(AN$6,1)=1,0,IF(WEEKDAY(AN$6,1)=7,AN72*AN71,MAX(0,AN72-8)*AN71)))</f>
      </c>
      <c r="AO74" s="26">
        <f>IF(AO$6="","",IF(WEEKDAY(AO$6,1)=1,0,IF(WEEKDAY(AO$6,1)=7,AO72*AO71,MAX(0,AO72-8)*AO71)))</f>
      </c>
      <c r="AP74" s="26">
        <f>IF(AP$6="","",IF(WEEKDAY(AP$6,1)=1,0,IF(WEEKDAY(AP$6,1)=7,AP72*AP71,MAX(0,AP72-8)*AP71)))</f>
      </c>
      <c r="AQ74" s="26">
        <f>IF(AQ$6="","",IF(WEEKDAY(AQ$6,1)=1,0,IF(WEEKDAY(AQ$6,1)=7,AQ72*AQ71,MAX(0,AQ72-8)*AQ71)))</f>
      </c>
      <c r="AR74" s="26">
        <f>IF(AR$6="","",IF(WEEKDAY(AR$6,1)=1,0,IF(WEEKDAY(AR$6,1)=7,AR72*AR71,MAX(0,AR72-8)*AR71)))</f>
      </c>
      <c r="AS74" s="26">
        <f>IF(AS$6="","",IF(WEEKDAY(AS$6,1)=1,0,IF(WEEKDAY(AS$6,1)=7,AS72*AS71,MAX(0,AS72-8)*AS71)))</f>
      </c>
      <c r="AT74" s="26">
        <f>IF(AT$6="","",IF(WEEKDAY(AT$6,1)=1,0,IF(WEEKDAY(AT$6,1)=7,AT72*AT71,MAX(0,AT72-8)*AT71)))</f>
      </c>
      <c r="AU74" s="26">
        <f>IF(AU$6="","",IF(WEEKDAY(AU$6,1)=1,0,IF(WEEKDAY(AU$6,1)=7,AU72*AU71,MAX(0,AU72-8)*AU71)))</f>
      </c>
      <c r="AV74" s="26">
        <f>IF(AV$6="","",IF(WEEKDAY(AV$6,1)=1,0,IF(WEEKDAY(AV$6,1)=7,AV72*AV71,MAX(0,AV72-8)*AV71)))</f>
      </c>
      <c r="AW74" s="26">
        <f>IF(AW$6="","",IF(WEEKDAY(AW$6,1)=1,0,IF(WEEKDAY(AW$6,1)=7,AW72*AW71,MAX(0,AW72-8)*AW71)))</f>
      </c>
      <c r="AX74" s="26">
        <f>IF(AX$6="","",IF(WEEKDAY(AX$6,1)=1,0,IF(WEEKDAY(AX$6,1)=7,AX72*AX71,MAX(0,AX72-8)*AX71)))</f>
      </c>
      <c r="AY74" s="26">
        <f>IF(AY$6="","",IF(WEEKDAY(AY$6,1)=1,0,IF(WEEKDAY(AY$6,1)=7,AY72*AY71,MAX(0,AY72-8)*AY71)))</f>
      </c>
      <c r="AZ74" s="26">
        <f>IF(AZ$6="","",IF(WEEKDAY(AZ$6,1)=1,0,IF(WEEKDAY(AZ$6,1)=7,AZ72*AZ71,MAX(0,AZ72-8)*AZ71)))</f>
      </c>
      <c r="BA74" s="26">
        <f>IF(BA$6="","",IF(WEEKDAY(BA$6,1)=1,0,IF(WEEKDAY(BA$6,1)=7,BA72*BA71,MAX(0,BA72-8)*BA71)))</f>
      </c>
      <c r="BB74" s="26">
        <f>IF(BB$6="","",IF(WEEKDAY(BB$6,1)=1,0,IF(WEEKDAY(BB$6,1)=7,BB72*BB71,MAX(0,BB72-8)*BB71)))</f>
      </c>
      <c r="BC74" s="26">
        <f>IF(BC$6="","",IF(WEEKDAY(BC$6,1)=1,0,IF(WEEKDAY(BC$6,1)=7,BC72*BC71,MAX(0,BC72-8)*BC71)))</f>
      </c>
      <c r="BD74" s="26">
        <f>IF(BD$6="","",IF(WEEKDAY(BD$6,1)=1,0,IF(WEEKDAY(BD$6,1)=7,BD72*BD71,MAX(0,BD72-8)*BD71)))</f>
      </c>
      <c r="BE74" s="26">
        <f>IF(BE$6="","",IF(WEEKDAY(BE$6,1)=1,0,IF(WEEKDAY(BE$6,1)=7,BE72*BE71,MAX(0,BE72-8)*BE71)))</f>
      </c>
      <c r="BF74" s="26">
        <f>IF(BF$6="","",IF(WEEKDAY(BF$6,1)=1,0,IF(WEEKDAY(BF$6,1)=7,BF72*BF71,MAX(0,BF72-8)*BF71)))</f>
      </c>
      <c r="BG74" s="26">
        <f>IF(BG$6="","",IF(WEEKDAY(BG$6,1)=1,0,IF(WEEKDAY(BG$6,1)=7,BG72*BG71,MAX(0,BG72-8)*BG71)))</f>
      </c>
      <c r="BH74" s="26">
        <f>IF(BH$6="","",IF(WEEKDAY(BH$6,1)=1,0,IF(WEEKDAY(BH$6,1)=7,BH72*BH71,MAX(0,BH72-8)*BH71)))</f>
      </c>
      <c r="BI74" s="26">
        <f>IF(BI$6="","",IF(WEEKDAY(BI$6,1)=1,0,IF(WEEKDAY(BI$6,1)=7,BI72*BI71,MAX(0,BI72-8)*BI71)))</f>
      </c>
      <c r="BJ74" s="26">
        <f>IF(BJ$6="","",IF(WEEKDAY(BJ$6,1)=1,0,IF(WEEKDAY(BJ$6,1)=7,BJ72*BJ71,MAX(0,BJ72-8)*BJ71)))</f>
      </c>
      <c r="BK74" s="26">
        <f>IF(BK$6="","",IF(WEEKDAY(BK$6,1)=1,0,IF(WEEKDAY(BK$6,1)=7,BK72*BK71,MAX(0,BK72-8)*BK71)))</f>
      </c>
      <c r="BL74" s="26">
        <f>IF(BL$6="","",IF(WEEKDAY(BL$6,1)=1,0,IF(WEEKDAY(BL$6,1)=7,BL72*BL71,MAX(0,BL72-8)*BL71)))</f>
      </c>
      <c r="BM74" s="26">
        <f>IF(BM$6="","",IF(WEEKDAY(BM$6,1)=1,0,IF(WEEKDAY(BM$6,1)=7,BM72*BM71,MAX(0,BM72-8)*BM71)))</f>
      </c>
      <c r="BN74" s="26">
        <f>IF(BN$6="","",IF(WEEKDAY(BN$6,1)=1,0,IF(WEEKDAY(BN$6,1)=7,BN72*BN71,MAX(0,BN72-8)*BN71)))</f>
      </c>
      <c r="BO74" s="26">
        <f>IF(BO$6="","",IF(WEEKDAY(BO$6,1)=1,0,IF(WEEKDAY(BO$6,1)=7,BO72*BO71,MAX(0,BO72-8)*BO71)))</f>
      </c>
      <c r="BP74" s="26">
        <f>IF(BP$6="","",IF(WEEKDAY(BP$6,1)=1,0,IF(WEEKDAY(BP$6,1)=7,BP72*BP71,MAX(0,BP72-8)*BP71)))</f>
      </c>
      <c r="BQ74" s="26">
        <f>IF(BQ$6="","",IF(WEEKDAY(BQ$6,1)=1,0,IF(WEEKDAY(BQ$6,1)=7,BQ72*BQ71,MAX(0,BQ72-8)*BQ71)))</f>
      </c>
      <c r="BR74" s="26">
        <f>IF(BR$6="","",IF(WEEKDAY(BR$6,1)=1,0,IF(WEEKDAY(BR$6,1)=7,BR72*BR71,MAX(0,BR72-8)*BR71)))</f>
      </c>
      <c r="BS74" s="26">
        <f>IF(BS$6="","",IF(WEEKDAY(BS$6,1)=1,0,IF(WEEKDAY(BS$6,1)=7,BS72*BS71,MAX(0,BS72-8)*BS71)))</f>
      </c>
      <c r="BT74" s="26">
        <f>IF(BT$6="","",IF(WEEKDAY(BT$6,1)=1,0,IF(WEEKDAY(BT$6,1)=7,BT72*BT71,MAX(0,BT72-8)*BT71)))</f>
      </c>
      <c r="BU74" s="26">
        <f>IF(BU$6="","",IF(WEEKDAY(BU$6,1)=1,0,IF(WEEKDAY(BU$6,1)=7,BU72*BU71,MAX(0,BU72-8)*BU71)))</f>
      </c>
      <c r="BV74" s="26">
        <f>IF(BV$6="","",IF(WEEKDAY(BV$6,1)=1,0,IF(WEEKDAY(BV$6,1)=7,BV72*BV71,MAX(0,BV72-8)*BV71)))</f>
      </c>
      <c r="BW74" s="26">
        <f>IF(BW$6="","",IF(WEEKDAY(BW$6,1)=1,0,IF(WEEKDAY(BW$6,1)=7,BW72*BW71,MAX(0,BW72-8)*BW71)))</f>
      </c>
      <c r="BX74" s="26">
        <f>IF(BX$6="","",IF(WEEKDAY(BX$6,1)=1,0,IF(WEEKDAY(BX$6,1)=7,BX72*BX71,MAX(0,BX72-8)*BX71)))</f>
      </c>
      <c r="BY74" s="26">
        <f>IF(BY$6="","",IF(WEEKDAY(BY$6,1)=1,0,IF(WEEKDAY(BY$6,1)=7,BY72*BY71,MAX(0,BY72-8)*BY71)))</f>
      </c>
      <c r="BZ74" s="26">
        <f>IF(BZ$6="","",IF(WEEKDAY(BZ$6,1)=1,0,IF(WEEKDAY(BZ$6,1)=7,BZ72*BZ71,MAX(0,BZ72-8)*BZ71)))</f>
      </c>
      <c r="CA74" s="26">
        <f>IF(CA$6="","",IF(WEEKDAY(CA$6,1)=1,0,IF(WEEKDAY(CA$6,1)=7,CA72*CA71,MAX(0,CA72-8)*CA71)))</f>
      </c>
      <c r="CB74" s="26">
        <f>IF(CB$6="","",IF(WEEKDAY(CB$6,1)=1,0,IF(WEEKDAY(CB$6,1)=7,CB72*CB71,MAX(0,CB72-8)*CB71)))</f>
      </c>
      <c r="CC74" s="26">
        <f>IF(CC$6="","",IF(WEEKDAY(CC$6,1)=1,0,IF(WEEKDAY(CC$6,1)=7,CC72*CC71,MAX(0,CC72-8)*CC71)))</f>
      </c>
      <c r="CD74" s="26">
        <f>IF(CD$6="","",IF(WEEKDAY(CD$6,1)=1,0,IF(WEEKDAY(CD$6,1)=7,CD72*CD71,MAX(0,CD72-8)*CD71)))</f>
      </c>
      <c r="CE74" s="26">
        <f>IF(CE$6="","",IF(WEEKDAY(CE$6,1)=1,0,IF(WEEKDAY(CE$6,1)=7,CE72*CE71,MAX(0,CE72-8)*CE71)))</f>
      </c>
      <c r="CF74" s="26">
        <f>IF(CF$6="","",IF(WEEKDAY(CF$6,1)=1,0,IF(WEEKDAY(CF$6,1)=7,CF72*CF71,MAX(0,CF72-8)*CF71)))</f>
      </c>
      <c r="CG74" s="26">
        <f>IF(CG$6="","",IF(WEEKDAY(CG$6,1)=1,0,IF(WEEKDAY(CG$6,1)=7,CG72*CG71,MAX(0,CG72-8)*CG71)))</f>
      </c>
      <c r="CH74" s="26">
        <f>IF(CH$6="","",IF(WEEKDAY(CH$6,1)=1,0,IF(WEEKDAY(CH$6,1)=7,CH72*CH71,MAX(0,CH72-8)*CH71)))</f>
      </c>
      <c r="CI74" s="26">
        <f>IF(CI$6="","",IF(WEEKDAY(CI$6,1)=1,0,IF(WEEKDAY(CI$6,1)=7,CI72*CI71,MAX(0,CI72-8)*CI71)))</f>
      </c>
      <c r="CJ74" s="26">
        <f>IF(CJ$6="","",IF(WEEKDAY(CJ$6,1)=1,0,IF(WEEKDAY(CJ$6,1)=7,CJ72*CJ71,MAX(0,CJ72-8)*CJ71)))</f>
      </c>
      <c r="CK74" s="26">
        <f>IF(CK$6="","",IF(WEEKDAY(CK$6,1)=1,0,IF(WEEKDAY(CK$6,1)=7,CK72*CK71,MAX(0,CK72-8)*CK71)))</f>
      </c>
      <c r="CL74" s="26">
        <f>IF(CL$6="","",IF(WEEKDAY(CL$6,1)=1,0,IF(WEEKDAY(CL$6,1)=7,CL72*CL71,MAX(0,CL72-8)*CL71)))</f>
      </c>
      <c r="CM74" s="26">
        <f>IF(CM$6="","",IF(WEEKDAY(CM$6,1)=1,0,IF(WEEKDAY(CM$6,1)=7,CM72*CM71,MAX(0,CM72-8)*CM71)))</f>
      </c>
      <c r="CN74" s="26">
        <f>IF(CN$6="","",IF(WEEKDAY(CN$6,1)=1,0,IF(WEEKDAY(CN$6,1)=7,CN72*CN71,MAX(0,CN72-8)*CN71)))</f>
      </c>
      <c r="CO74" s="26">
        <f>IF(CO$6="","",IF(WEEKDAY(CO$6,1)=1,0,IF(WEEKDAY(CO$6,1)=7,CO72*CO71,MAX(0,CO72-8)*CO71)))</f>
      </c>
      <c r="CP74" s="26">
        <f>IF(CP$6="","",IF(WEEKDAY(CP$6,1)=1,0,IF(WEEKDAY(CP$6,1)=7,CP72*CP71,MAX(0,CP72-8)*CP71)))</f>
      </c>
      <c r="CQ74" s="26">
        <f>IF(CQ$6="","",IF(WEEKDAY(CQ$6,1)=1,0,IF(WEEKDAY(CQ$6,1)=7,CQ72*CQ71,MAX(0,CQ72-8)*CQ71)))</f>
      </c>
      <c r="CR74" s="26">
        <f>IF(CR$6="","",IF(WEEKDAY(CR$6,1)=1,0,IF(WEEKDAY(CR$6,1)=7,CR72*CR71,MAX(0,CR72-8)*CR71)))</f>
      </c>
      <c r="CS74" s="26">
        <f>IF(CS$6="","",IF(WEEKDAY(CS$6,1)=1,0,IF(WEEKDAY(CS$6,1)=7,CS72*CS71,MAX(0,CS72-8)*CS71)))</f>
      </c>
      <c r="CT74" s="26">
        <f>IF(CT$6="","",IF(WEEKDAY(CT$6,1)=1,0,IF(WEEKDAY(CT$6,1)=7,CT72*CT71,MAX(0,CT72-8)*CT71)))</f>
      </c>
      <c r="CU74" s="26">
        <f>IF(CU$6="","",IF(WEEKDAY(CU$6,1)=1,0,IF(WEEKDAY(CU$6,1)=7,CU72*CU71,MAX(0,CU72-8)*CU71)))</f>
      </c>
      <c r="CV74" s="26">
        <f>IF(CV$6="","",IF(WEEKDAY(CV$6,1)=1,0,IF(WEEKDAY(CV$6,1)=7,CV72*CV71,MAX(0,CV72-8)*CV71)))</f>
      </c>
      <c r="CW74" s="26">
        <f>IF(CW$6="","",IF(WEEKDAY(CW$6,1)=1,0,IF(WEEKDAY(CW$6,1)=7,CW72*CW71,MAX(0,CW72-8)*CW71)))</f>
      </c>
      <c r="CX74" s="8" t="s">
        <v>107</v>
      </c>
    </row>
    <row r="75" spans="2:102" x14ac:dyDescent="0.25">
      <c r="B75" s="26">
        <f>SUM(L75:CW75)</f>
      </c>
      <c r="D75" s="27">
        <f>B75*E75</f>
      </c>
      <c r="E75" s="27">
        <f>'Rate Tables'!E25</f>
      </c>
      <c r="F75" s="8" t="s">
        <v>41</v>
      </c>
      <c r="L75" s="26">
        <f>IF(L$6="","",IF(WEEKDAY(L$6,1)=1,L72*L71,0))</f>
      </c>
      <c r="M75" s="26">
        <f>IF(M$6="","",IF(WEEKDAY(M$6,1)=1,M72*M71,0))</f>
      </c>
      <c r="N75" s="26">
        <f>IF(N$6="","",IF(WEEKDAY(N$6,1)=1,N72*N71,0))</f>
      </c>
      <c r="O75" s="26">
        <f>IF(O$6="","",IF(WEEKDAY(O$6,1)=1,O72*O71,0))</f>
      </c>
      <c r="P75" s="26">
        <f>IF(P$6="","",IF(WEEKDAY(P$6,1)=1,P72*P71,0))</f>
      </c>
      <c r="Q75" s="26">
        <f>IF(Q$6="","",IF(WEEKDAY(Q$6,1)=1,Q72*Q71,0))</f>
      </c>
      <c r="R75" s="26">
        <f>IF(R$6="","",IF(WEEKDAY(R$6,1)=1,R72*R71,0))</f>
      </c>
      <c r="S75" s="26">
        <f>IF(S$6="","",IF(WEEKDAY(S$6,1)=1,S72*S71,0))</f>
      </c>
      <c r="T75" s="26">
        <f>IF(T$6="","",IF(WEEKDAY(T$6,1)=1,T72*T71,0))</f>
      </c>
      <c r="U75" s="26">
        <f>IF(U$6="","",IF(WEEKDAY(U$6,1)=1,U72*U71,0))</f>
      </c>
      <c r="V75" s="26">
        <f>IF(V$6="","",IF(WEEKDAY(V$6,1)=1,V72*V71,0))</f>
      </c>
      <c r="W75" s="26">
        <f>IF(W$6="","",IF(WEEKDAY(W$6,1)=1,W72*W71,0))</f>
      </c>
      <c r="X75" s="26">
        <f>IF(X$6="","",IF(WEEKDAY(X$6,1)=1,X72*X71,0))</f>
      </c>
      <c r="Y75" s="26">
        <f>IF(Y$6="","",IF(WEEKDAY(Y$6,1)=1,Y72*Y71,0))</f>
      </c>
      <c r="Z75" s="26">
        <f>IF(Z$6="","",IF(WEEKDAY(Z$6,1)=1,Z72*Z71,0))</f>
      </c>
      <c r="AA75" s="26">
        <f>IF(AA$6="","",IF(WEEKDAY(AA$6,1)=1,AA72*AA71,0))</f>
      </c>
      <c r="AB75" s="26">
        <f>IF(AB$6="","",IF(WEEKDAY(AB$6,1)=1,AB72*AB71,0))</f>
      </c>
      <c r="AC75" s="26">
        <f>IF(AC$6="","",IF(WEEKDAY(AC$6,1)=1,AC72*AC71,0))</f>
      </c>
      <c r="AD75" s="26">
        <f>IF(AD$6="","",IF(WEEKDAY(AD$6,1)=1,AD72*AD71,0))</f>
      </c>
      <c r="AE75" s="26">
        <f>IF(AE$6="","",IF(WEEKDAY(AE$6,1)=1,AE72*AE71,0))</f>
      </c>
      <c r="AF75" s="26">
        <f>IF(AF$6="","",IF(WEEKDAY(AF$6,1)=1,AF72*AF71,0))</f>
      </c>
      <c r="AG75" s="26">
        <f>IF(AG$6="","",IF(WEEKDAY(AG$6,1)=1,AG72*AG71,0))</f>
      </c>
      <c r="AH75" s="26">
        <f>IF(AH$6="","",IF(WEEKDAY(AH$6,1)=1,AH72*AH71,0))</f>
      </c>
      <c r="AI75" s="26">
        <f>IF(AI$6="","",IF(WEEKDAY(AI$6,1)=1,AI72*AI71,0))</f>
      </c>
      <c r="AJ75" s="26">
        <f>IF(AJ$6="","",IF(WEEKDAY(AJ$6,1)=1,AJ72*AJ71,0))</f>
      </c>
      <c r="AK75" s="26">
        <f>IF(AK$6="","",IF(WEEKDAY(AK$6,1)=1,AK72*AK71,0))</f>
      </c>
      <c r="AL75" s="26">
        <f>IF(AL$6="","",IF(WEEKDAY(AL$6,1)=1,AL72*AL71,0))</f>
      </c>
      <c r="AM75" s="26">
        <f>IF(AM$6="","",IF(WEEKDAY(AM$6,1)=1,AM72*AM71,0))</f>
      </c>
      <c r="AN75" s="26">
        <f>IF(AN$6="","",IF(WEEKDAY(AN$6,1)=1,AN72*AN71,0))</f>
      </c>
      <c r="AO75" s="26">
        <f>IF(AO$6="","",IF(WEEKDAY(AO$6,1)=1,AO72*AO71,0))</f>
      </c>
      <c r="AP75" s="26">
        <f>IF(AP$6="","",IF(WEEKDAY(AP$6,1)=1,AP72*AP71,0))</f>
      </c>
      <c r="AQ75" s="26">
        <f>IF(AQ$6="","",IF(WEEKDAY(AQ$6,1)=1,AQ72*AQ71,0))</f>
      </c>
      <c r="AR75" s="26">
        <f>IF(AR$6="","",IF(WEEKDAY(AR$6,1)=1,AR72*AR71,0))</f>
      </c>
      <c r="AS75" s="26">
        <f>IF(AS$6="","",IF(WEEKDAY(AS$6,1)=1,AS72*AS71,0))</f>
      </c>
      <c r="AT75" s="26">
        <f>IF(AT$6="","",IF(WEEKDAY(AT$6,1)=1,AT72*AT71,0))</f>
      </c>
      <c r="AU75" s="26">
        <f>IF(AU$6="","",IF(WEEKDAY(AU$6,1)=1,AU72*AU71,0))</f>
      </c>
      <c r="AV75" s="26">
        <f>IF(AV$6="","",IF(WEEKDAY(AV$6,1)=1,AV72*AV71,0))</f>
      </c>
      <c r="AW75" s="26">
        <f>IF(AW$6="","",IF(WEEKDAY(AW$6,1)=1,AW72*AW71,0))</f>
      </c>
      <c r="AX75" s="26">
        <f>IF(AX$6="","",IF(WEEKDAY(AX$6,1)=1,AX72*AX71,0))</f>
      </c>
      <c r="AY75" s="26">
        <f>IF(AY$6="","",IF(WEEKDAY(AY$6,1)=1,AY72*AY71,0))</f>
      </c>
      <c r="AZ75" s="26">
        <f>IF(AZ$6="","",IF(WEEKDAY(AZ$6,1)=1,AZ72*AZ71,0))</f>
      </c>
      <c r="BA75" s="26">
        <f>IF(BA$6="","",IF(WEEKDAY(BA$6,1)=1,BA72*BA71,0))</f>
      </c>
      <c r="BB75" s="26">
        <f>IF(BB$6="","",IF(WEEKDAY(BB$6,1)=1,BB72*BB71,0))</f>
      </c>
      <c r="BC75" s="26">
        <f>IF(BC$6="","",IF(WEEKDAY(BC$6,1)=1,BC72*BC71,0))</f>
      </c>
      <c r="BD75" s="26">
        <f>IF(BD$6="","",IF(WEEKDAY(BD$6,1)=1,BD72*BD71,0))</f>
      </c>
      <c r="BE75" s="26">
        <f>IF(BE$6="","",IF(WEEKDAY(BE$6,1)=1,BE72*BE71,0))</f>
      </c>
      <c r="BF75" s="26">
        <f>IF(BF$6="","",IF(WEEKDAY(BF$6,1)=1,BF72*BF71,0))</f>
      </c>
      <c r="BG75" s="26">
        <f>IF(BG$6="","",IF(WEEKDAY(BG$6,1)=1,BG72*BG71,0))</f>
      </c>
      <c r="BH75" s="26">
        <f>IF(BH$6="","",IF(WEEKDAY(BH$6,1)=1,BH72*BH71,0))</f>
      </c>
      <c r="BI75" s="26">
        <f>IF(BI$6="","",IF(WEEKDAY(BI$6,1)=1,BI72*BI71,0))</f>
      </c>
      <c r="BJ75" s="26">
        <f>IF(BJ$6="","",IF(WEEKDAY(BJ$6,1)=1,BJ72*BJ71,0))</f>
      </c>
      <c r="BK75" s="26">
        <f>IF(BK$6="","",IF(WEEKDAY(BK$6,1)=1,BK72*BK71,0))</f>
      </c>
      <c r="BL75" s="26">
        <f>IF(BL$6="","",IF(WEEKDAY(BL$6,1)=1,BL72*BL71,0))</f>
      </c>
      <c r="BM75" s="26">
        <f>IF(BM$6="","",IF(WEEKDAY(BM$6,1)=1,BM72*BM71,0))</f>
      </c>
      <c r="BN75" s="26">
        <f>IF(BN$6="","",IF(WEEKDAY(BN$6,1)=1,BN72*BN71,0))</f>
      </c>
      <c r="BO75" s="26">
        <f>IF(BO$6="","",IF(WEEKDAY(BO$6,1)=1,BO72*BO71,0))</f>
      </c>
      <c r="BP75" s="26">
        <f>IF(BP$6="","",IF(WEEKDAY(BP$6,1)=1,BP72*BP71,0))</f>
      </c>
      <c r="BQ75" s="26">
        <f>IF(BQ$6="","",IF(WEEKDAY(BQ$6,1)=1,BQ72*BQ71,0))</f>
      </c>
      <c r="BR75" s="26">
        <f>IF(BR$6="","",IF(WEEKDAY(BR$6,1)=1,BR72*BR71,0))</f>
      </c>
      <c r="BS75" s="26">
        <f>IF(BS$6="","",IF(WEEKDAY(BS$6,1)=1,BS72*BS71,0))</f>
      </c>
      <c r="BT75" s="26">
        <f>IF(BT$6="","",IF(WEEKDAY(BT$6,1)=1,BT72*BT71,0))</f>
      </c>
      <c r="BU75" s="26">
        <f>IF(BU$6="","",IF(WEEKDAY(BU$6,1)=1,BU72*BU71,0))</f>
      </c>
      <c r="BV75" s="26">
        <f>IF(BV$6="","",IF(WEEKDAY(BV$6,1)=1,BV72*BV71,0))</f>
      </c>
      <c r="BW75" s="26">
        <f>IF(BW$6="","",IF(WEEKDAY(BW$6,1)=1,BW72*BW71,0))</f>
      </c>
      <c r="BX75" s="26">
        <f>IF(BX$6="","",IF(WEEKDAY(BX$6,1)=1,BX72*BX71,0))</f>
      </c>
      <c r="BY75" s="26">
        <f>IF(BY$6="","",IF(WEEKDAY(BY$6,1)=1,BY72*BY71,0))</f>
      </c>
      <c r="BZ75" s="26">
        <f>IF(BZ$6="","",IF(WEEKDAY(BZ$6,1)=1,BZ72*BZ71,0))</f>
      </c>
      <c r="CA75" s="26">
        <f>IF(CA$6="","",IF(WEEKDAY(CA$6,1)=1,CA72*CA71,0))</f>
      </c>
      <c r="CB75" s="26">
        <f>IF(CB$6="","",IF(WEEKDAY(CB$6,1)=1,CB72*CB71,0))</f>
      </c>
      <c r="CC75" s="26">
        <f>IF(CC$6="","",IF(WEEKDAY(CC$6,1)=1,CC72*CC71,0))</f>
      </c>
      <c r="CD75" s="26">
        <f>IF(CD$6="","",IF(WEEKDAY(CD$6,1)=1,CD72*CD71,0))</f>
      </c>
      <c r="CE75" s="26">
        <f>IF(CE$6="","",IF(WEEKDAY(CE$6,1)=1,CE72*CE71,0))</f>
      </c>
      <c r="CF75" s="26">
        <f>IF(CF$6="","",IF(WEEKDAY(CF$6,1)=1,CF72*CF71,0))</f>
      </c>
      <c r="CG75" s="26">
        <f>IF(CG$6="","",IF(WEEKDAY(CG$6,1)=1,CG72*CG71,0))</f>
      </c>
      <c r="CH75" s="26">
        <f>IF(CH$6="","",IF(WEEKDAY(CH$6,1)=1,CH72*CH71,0))</f>
      </c>
      <c r="CI75" s="26">
        <f>IF(CI$6="","",IF(WEEKDAY(CI$6,1)=1,CI72*CI71,0))</f>
      </c>
      <c r="CJ75" s="26">
        <f>IF(CJ$6="","",IF(WEEKDAY(CJ$6,1)=1,CJ72*CJ71,0))</f>
      </c>
      <c r="CK75" s="26">
        <f>IF(CK$6="","",IF(WEEKDAY(CK$6,1)=1,CK72*CK71,0))</f>
      </c>
      <c r="CL75" s="26">
        <f>IF(CL$6="","",IF(WEEKDAY(CL$6,1)=1,CL72*CL71,0))</f>
      </c>
      <c r="CM75" s="26">
        <f>IF(CM$6="","",IF(WEEKDAY(CM$6,1)=1,CM72*CM71,0))</f>
      </c>
      <c r="CN75" s="26">
        <f>IF(CN$6="","",IF(WEEKDAY(CN$6,1)=1,CN72*CN71,0))</f>
      </c>
      <c r="CO75" s="26">
        <f>IF(CO$6="","",IF(WEEKDAY(CO$6,1)=1,CO72*CO71,0))</f>
      </c>
      <c r="CP75" s="26">
        <f>IF(CP$6="","",IF(WEEKDAY(CP$6,1)=1,CP72*CP71,0))</f>
      </c>
      <c r="CQ75" s="26">
        <f>IF(CQ$6="","",IF(WEEKDAY(CQ$6,1)=1,CQ72*CQ71,0))</f>
      </c>
      <c r="CR75" s="26">
        <f>IF(CR$6="","",IF(WEEKDAY(CR$6,1)=1,CR72*CR71,0))</f>
      </c>
      <c r="CS75" s="26">
        <f>IF(CS$6="","",IF(WEEKDAY(CS$6,1)=1,CS72*CS71,0))</f>
      </c>
      <c r="CT75" s="26">
        <f>IF(CT$6="","",IF(WEEKDAY(CT$6,1)=1,CT72*CT71,0))</f>
      </c>
      <c r="CU75" s="26">
        <f>IF(CU$6="","",IF(WEEKDAY(CU$6,1)=1,CU72*CU71,0))</f>
      </c>
      <c r="CV75" s="26">
        <f>IF(CV$6="","",IF(WEEKDAY(CV$6,1)=1,CV72*CV71,0))</f>
      </c>
      <c r="CW75" s="26">
        <f>IF(CW$6="","",IF(WEEKDAY(CW$6,1)=1,CW72*CW71,0))</f>
      </c>
      <c r="CX75" s="8" t="s">
        <v>107</v>
      </c>
    </row>
    <row r="76" spans="2:102" x14ac:dyDescent="0.25">
      <c r="B76" s="26">
        <f>SUM(L76:CW76)</f>
      </c>
      <c r="D76" s="27">
        <f>B76*E76</f>
      </c>
      <c r="E76" s="27">
        <v>130</v>
      </c>
      <c r="F76" s="8" t="s">
        <v>42</v>
      </c>
      <c r="L76" s="28">
        <v>0</v>
      </c>
      <c r="M76" s="28">
        <v>0</v>
      </c>
      <c r="N76" s="28">
        <v>0</v>
      </c>
      <c r="O76" s="28">
        <v>0</v>
      </c>
      <c r="P76" s="28">
        <v>0</v>
      </c>
      <c r="Q76" s="28">
        <v>0</v>
      </c>
      <c r="R76" s="28">
        <v>0</v>
      </c>
      <c r="S76" s="28">
        <v>0</v>
      </c>
      <c r="T76" s="28">
        <v>0</v>
      </c>
      <c r="U76" s="28">
        <v>0</v>
      </c>
      <c r="V76" s="28">
        <v>0</v>
      </c>
      <c r="W76" s="28">
        <v>0</v>
      </c>
      <c r="X76" s="28">
        <v>0</v>
      </c>
      <c r="Y76" s="28">
        <v>0</v>
      </c>
      <c r="Z76" s="28">
        <v>0</v>
      </c>
      <c r="AA76" s="28">
        <v>0</v>
      </c>
      <c r="AB76" s="28">
        <v>0</v>
      </c>
      <c r="AC76" s="28">
        <v>0</v>
      </c>
      <c r="AD76" s="28">
        <v>0</v>
      </c>
      <c r="AE76" s="28">
        <v>0</v>
      </c>
      <c r="AF76" s="28">
        <v>0</v>
      </c>
      <c r="AG76" s="28">
        <v>0</v>
      </c>
      <c r="AH76" s="28">
        <v>0</v>
      </c>
      <c r="AI76" s="28">
        <v>0</v>
      </c>
      <c r="AJ76" s="28">
        <v>0</v>
      </c>
      <c r="AK76" s="28">
        <v>0</v>
      </c>
      <c r="AL76" s="28">
        <v>0</v>
      </c>
      <c r="AM76" s="28">
        <v>0</v>
      </c>
      <c r="AN76" s="28">
        <v>0</v>
      </c>
      <c r="AO76" s="28">
        <v>0</v>
      </c>
      <c r="AP76" s="28">
        <v>0</v>
      </c>
      <c r="AQ76" s="28">
        <v>0</v>
      </c>
      <c r="AR76" s="28">
        <v>0</v>
      </c>
      <c r="AS76" s="28">
        <v>0</v>
      </c>
      <c r="AT76" s="28">
        <v>0</v>
      </c>
      <c r="AU76" s="28">
        <v>0</v>
      </c>
      <c r="AV76" s="28">
        <v>0</v>
      </c>
      <c r="AW76" s="28">
        <v>0</v>
      </c>
      <c r="AX76" s="28">
        <v>0</v>
      </c>
      <c r="AY76" s="28">
        <v>0</v>
      </c>
      <c r="AZ76" s="28">
        <v>0</v>
      </c>
      <c r="BA76" s="28">
        <v>0</v>
      </c>
      <c r="BB76" s="28">
        <v>1</v>
      </c>
      <c r="BC76" s="28">
        <v>1</v>
      </c>
      <c r="BD76" s="28">
        <v>1</v>
      </c>
      <c r="BE76" s="28">
        <v>1</v>
      </c>
      <c r="BF76" s="28">
        <v>1</v>
      </c>
      <c r="BG76" s="28">
        <v>0</v>
      </c>
      <c r="BH76" s="28">
        <v>0</v>
      </c>
      <c r="BI76" s="28">
        <v>0</v>
      </c>
      <c r="BJ76" s="28">
        <v>0</v>
      </c>
      <c r="BK76" s="28">
        <v>0</v>
      </c>
      <c r="BL76" s="28">
        <v>0</v>
      </c>
      <c r="BM76" s="28">
        <v>0</v>
      </c>
      <c r="BN76" s="28">
        <v>0</v>
      </c>
      <c r="BO76" s="28">
        <v>0</v>
      </c>
      <c r="BP76" s="28">
        <v>0</v>
      </c>
      <c r="BQ76" s="28">
        <v>0</v>
      </c>
      <c r="BR76" s="28">
        <v>0</v>
      </c>
      <c r="BS76" s="28">
        <v>0</v>
      </c>
      <c r="BT76" s="28">
        <v>0</v>
      </c>
      <c r="BU76" s="28">
        <v>0</v>
      </c>
      <c r="BV76" s="28">
        <v>0</v>
      </c>
      <c r="BW76" s="28">
        <v>0</v>
      </c>
      <c r="BX76" s="28">
        <v>0</v>
      </c>
      <c r="BY76" s="28">
        <v>0</v>
      </c>
      <c r="BZ76" s="28">
        <v>0</v>
      </c>
      <c r="CA76" s="28">
        <v>0</v>
      </c>
      <c r="CB76" s="28">
        <v>0</v>
      </c>
      <c r="CC76" s="28">
        <v>0</v>
      </c>
      <c r="CD76" s="28">
        <v>0</v>
      </c>
      <c r="CE76" s="28">
        <v>0</v>
      </c>
      <c r="CF76" s="28">
        <v>0</v>
      </c>
      <c r="CG76" s="28">
        <v>0</v>
      </c>
      <c r="CH76" s="28">
        <v>0</v>
      </c>
      <c r="CI76" s="28">
        <v>0</v>
      </c>
      <c r="CJ76" s="28">
        <v>0</v>
      </c>
      <c r="CK76" s="28">
        <v>0</v>
      </c>
      <c r="CL76" s="28">
        <v>0</v>
      </c>
      <c r="CM76" s="28">
        <v>0</v>
      </c>
      <c r="CN76" s="28">
        <v>0</v>
      </c>
      <c r="CO76" s="28">
        <v>0</v>
      </c>
      <c r="CP76" s="28">
        <v>0</v>
      </c>
      <c r="CQ76" s="28">
        <v>0</v>
      </c>
      <c r="CR76" s="28">
        <v>0</v>
      </c>
      <c r="CS76" s="28">
        <v>0</v>
      </c>
      <c r="CT76" s="28">
        <v>0</v>
      </c>
      <c r="CU76" s="28">
        <v>0</v>
      </c>
      <c r="CV76" s="28">
        <v>0</v>
      </c>
      <c r="CW76" s="28">
        <v>0</v>
      </c>
      <c r="CX76" s="8" t="s">
        <v>107</v>
      </c>
    </row>
    <row r="77" spans="1:102" x14ac:dyDescent="0.25">
      <c r="A77" s="20" t="s">
        <v>32</v>
      </c>
      <c r="B77" s="21">
        <f>G77+H77+I77</f>
      </c>
      <c r="C77" s="20" t="s">
        <v>108</v>
      </c>
      <c r="D77" s="22">
        <f>K77</f>
      </c>
      <c r="F77" s="20" t="s">
        <v>34</v>
      </c>
      <c r="G77" s="21">
        <f>B80</f>
      </c>
      <c r="H77" s="21">
        <f>B81</f>
      </c>
      <c r="I77" s="21">
        <f>B82</f>
      </c>
      <c r="J77" s="21">
        <f>B83</f>
      </c>
      <c r="K77" s="22">
        <f>D80+D81+D82</f>
      </c>
      <c r="CX77" s="20" t="s">
        <v>109</v>
      </c>
    </row>
    <row r="78" spans="6:102" x14ac:dyDescent="0.25">
      <c r="F78" s="23" t="s">
        <v>36</v>
      </c>
      <c r="L78" s="24">
        <v>0</v>
      </c>
      <c r="M78" s="24">
        <v>0</v>
      </c>
      <c r="N78" s="24">
        <v>0</v>
      </c>
      <c r="O78" s="24">
        <v>0</v>
      </c>
      <c r="P78" s="24">
        <v>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v>0</v>
      </c>
      <c r="AA78" s="24">
        <v>0</v>
      </c>
      <c r="AB78" s="24">
        <v>0</v>
      </c>
      <c r="AC78" s="24">
        <v>0</v>
      </c>
      <c r="AD78" s="24">
        <v>0</v>
      </c>
      <c r="AE78" s="24">
        <v>0</v>
      </c>
      <c r="AF78" s="24">
        <v>0</v>
      </c>
      <c r="AG78" s="24">
        <v>2</v>
      </c>
      <c r="AH78" s="24">
        <v>2</v>
      </c>
      <c r="AI78" s="24">
        <v>2</v>
      </c>
      <c r="AJ78" s="24">
        <v>2</v>
      </c>
      <c r="AK78" s="24">
        <v>2</v>
      </c>
      <c r="AL78" s="24">
        <v>0</v>
      </c>
      <c r="AM78" s="24">
        <v>0</v>
      </c>
      <c r="AN78" s="24">
        <v>2</v>
      </c>
      <c r="AO78" s="24">
        <v>2</v>
      </c>
      <c r="AP78" s="24">
        <v>2</v>
      </c>
      <c r="AQ78" s="24">
        <v>2</v>
      </c>
      <c r="AR78" s="24">
        <v>2</v>
      </c>
      <c r="AS78" s="24">
        <v>0</v>
      </c>
      <c r="AT78" s="24">
        <v>0</v>
      </c>
      <c r="AU78" s="24">
        <v>2</v>
      </c>
      <c r="AV78" s="24">
        <v>2</v>
      </c>
      <c r="AW78" s="24">
        <v>2</v>
      </c>
      <c r="AX78" s="24">
        <v>2</v>
      </c>
      <c r="AY78" s="24">
        <v>2</v>
      </c>
      <c r="AZ78" s="24">
        <v>0</v>
      </c>
      <c r="BA78" s="24">
        <v>0</v>
      </c>
      <c r="BB78" s="24">
        <v>2</v>
      </c>
      <c r="BC78" s="24">
        <v>2</v>
      </c>
      <c r="BD78" s="24">
        <v>2</v>
      </c>
      <c r="BE78" s="24">
        <v>2</v>
      </c>
      <c r="BF78" s="24">
        <v>2</v>
      </c>
      <c r="BG78" s="24">
        <v>0</v>
      </c>
      <c r="BH78" s="24">
        <v>0</v>
      </c>
      <c r="BI78" s="24">
        <v>2</v>
      </c>
      <c r="BJ78" s="24">
        <v>2</v>
      </c>
      <c r="BK78" s="24">
        <v>2</v>
      </c>
      <c r="BL78" s="24">
        <v>2</v>
      </c>
      <c r="BM78" s="24">
        <v>2</v>
      </c>
      <c r="BN78" s="24">
        <v>2</v>
      </c>
      <c r="BO78" s="24">
        <v>2</v>
      </c>
      <c r="BP78" s="24">
        <v>2</v>
      </c>
      <c r="BQ78" s="24">
        <v>2</v>
      </c>
      <c r="BR78" s="24">
        <v>2</v>
      </c>
      <c r="BS78" s="24">
        <v>2</v>
      </c>
      <c r="BT78" s="24">
        <v>2</v>
      </c>
      <c r="BU78" s="24">
        <v>2</v>
      </c>
      <c r="BV78" s="24">
        <v>2</v>
      </c>
      <c r="BW78" s="24">
        <v>2</v>
      </c>
      <c r="BX78" s="24">
        <v>2</v>
      </c>
      <c r="BY78" s="24">
        <v>2</v>
      </c>
      <c r="BZ78" s="24">
        <v>2</v>
      </c>
      <c r="CA78" s="24">
        <v>2</v>
      </c>
      <c r="CB78" s="24">
        <v>2</v>
      </c>
      <c r="CC78" s="24">
        <v>2</v>
      </c>
      <c r="CD78" s="24">
        <v>2</v>
      </c>
      <c r="CE78" s="24">
        <v>2</v>
      </c>
      <c r="CF78" s="24">
        <v>2</v>
      </c>
      <c r="CG78" s="24">
        <v>2</v>
      </c>
      <c r="CH78" s="24">
        <v>2</v>
      </c>
      <c r="CI78" s="24">
        <v>2</v>
      </c>
      <c r="CJ78" s="24">
        <v>2</v>
      </c>
      <c r="CK78" s="24">
        <v>2</v>
      </c>
      <c r="CL78" s="24">
        <v>2</v>
      </c>
      <c r="CM78" s="24">
        <v>2</v>
      </c>
      <c r="CN78" s="24">
        <v>2</v>
      </c>
      <c r="CO78" s="24">
        <v>2</v>
      </c>
      <c r="CP78" s="24">
        <v>2</v>
      </c>
      <c r="CQ78" s="24">
        <v>2</v>
      </c>
      <c r="CR78" s="24">
        <v>2</v>
      </c>
      <c r="CS78" s="24">
        <v>2</v>
      </c>
      <c r="CT78" s="24">
        <v>2</v>
      </c>
      <c r="CU78" s="24">
        <v>2</v>
      </c>
      <c r="CV78" s="24">
        <v>2</v>
      </c>
      <c r="CW78" s="24">
        <v>2</v>
      </c>
      <c r="CX78" s="23" t="s">
        <v>109</v>
      </c>
    </row>
    <row r="79" spans="1:102" x14ac:dyDescent="0.25">
      <c r="A79" s="23" t="s">
        <v>37</v>
      </c>
      <c r="F79" s="23" t="s">
        <v>38</v>
      </c>
      <c r="L79" s="25">
        <v>0</v>
      </c>
      <c r="M79" s="25">
        <v>0</v>
      </c>
      <c r="N79" s="25">
        <v>0</v>
      </c>
      <c r="O79" s="25">
        <v>0</v>
      </c>
      <c r="P79" s="25">
        <v>0</v>
      </c>
      <c r="Q79" s="25">
        <v>0</v>
      </c>
      <c r="R79" s="25">
        <v>0</v>
      </c>
      <c r="S79" s="25">
        <v>0</v>
      </c>
      <c r="T79" s="25">
        <v>0</v>
      </c>
      <c r="U79" s="25">
        <v>0</v>
      </c>
      <c r="V79" s="25">
        <v>0</v>
      </c>
      <c r="W79" s="25">
        <v>0</v>
      </c>
      <c r="X79" s="25">
        <v>0</v>
      </c>
      <c r="Y79" s="25">
        <v>0</v>
      </c>
      <c r="Z79" s="25">
        <v>0</v>
      </c>
      <c r="AA79" s="25">
        <v>0</v>
      </c>
      <c r="AB79" s="25">
        <v>0</v>
      </c>
      <c r="AC79" s="25">
        <v>0</v>
      </c>
      <c r="AD79" s="25">
        <v>0</v>
      </c>
      <c r="AE79" s="25">
        <v>0</v>
      </c>
      <c r="AF79" s="25">
        <v>0</v>
      </c>
      <c r="AG79" s="25">
        <v>8</v>
      </c>
      <c r="AH79" s="25">
        <v>8</v>
      </c>
      <c r="AI79" s="25">
        <v>8</v>
      </c>
      <c r="AJ79" s="25">
        <v>8</v>
      </c>
      <c r="AK79" s="25">
        <v>8</v>
      </c>
      <c r="AL79" s="25">
        <v>0</v>
      </c>
      <c r="AM79" s="25">
        <v>0</v>
      </c>
      <c r="AN79" s="25">
        <v>8</v>
      </c>
      <c r="AO79" s="25">
        <v>8</v>
      </c>
      <c r="AP79" s="25">
        <v>8</v>
      </c>
      <c r="AQ79" s="25">
        <v>8</v>
      </c>
      <c r="AR79" s="25">
        <v>8</v>
      </c>
      <c r="AS79" s="25">
        <v>0</v>
      </c>
      <c r="AT79" s="25">
        <v>0</v>
      </c>
      <c r="AU79" s="25">
        <v>8</v>
      </c>
      <c r="AV79" s="25">
        <v>8</v>
      </c>
      <c r="AW79" s="25">
        <v>8</v>
      </c>
      <c r="AX79" s="25">
        <v>8</v>
      </c>
      <c r="AY79" s="25">
        <v>8</v>
      </c>
      <c r="AZ79" s="25">
        <v>0</v>
      </c>
      <c r="BA79" s="25">
        <v>0</v>
      </c>
      <c r="BB79" s="25">
        <v>8</v>
      </c>
      <c r="BC79" s="25">
        <v>8</v>
      </c>
      <c r="BD79" s="25">
        <v>8</v>
      </c>
      <c r="BE79" s="25">
        <v>8</v>
      </c>
      <c r="BF79" s="25">
        <v>8</v>
      </c>
      <c r="BG79" s="25">
        <v>0</v>
      </c>
      <c r="BH79" s="25">
        <v>0</v>
      </c>
      <c r="BI79" s="25">
        <v>10</v>
      </c>
      <c r="BJ79" s="25">
        <v>10</v>
      </c>
      <c r="BK79" s="25">
        <v>10</v>
      </c>
      <c r="BL79" s="25">
        <v>10</v>
      </c>
      <c r="BM79" s="25">
        <v>10</v>
      </c>
      <c r="BN79" s="25">
        <v>10</v>
      </c>
      <c r="BO79" s="25">
        <v>10</v>
      </c>
      <c r="BP79" s="25">
        <v>10</v>
      </c>
      <c r="BQ79" s="25">
        <v>10</v>
      </c>
      <c r="BR79" s="25">
        <v>10</v>
      </c>
      <c r="BS79" s="25">
        <v>10</v>
      </c>
      <c r="BT79" s="25">
        <v>10</v>
      </c>
      <c r="BU79" s="25">
        <v>10</v>
      </c>
      <c r="BV79" s="25">
        <v>10</v>
      </c>
      <c r="BW79" s="25">
        <v>10</v>
      </c>
      <c r="BX79" s="25">
        <v>10</v>
      </c>
      <c r="BY79" s="25">
        <v>10</v>
      </c>
      <c r="BZ79" s="25">
        <v>10</v>
      </c>
      <c r="CA79" s="25">
        <v>10</v>
      </c>
      <c r="CB79" s="25">
        <v>10</v>
      </c>
      <c r="CC79" s="25">
        <v>10</v>
      </c>
      <c r="CD79" s="25">
        <v>10</v>
      </c>
      <c r="CE79" s="25">
        <v>10</v>
      </c>
      <c r="CF79" s="25">
        <v>10</v>
      </c>
      <c r="CG79" s="25">
        <v>10</v>
      </c>
      <c r="CH79" s="25">
        <v>10</v>
      </c>
      <c r="CI79" s="25">
        <v>10</v>
      </c>
      <c r="CJ79" s="25">
        <v>10</v>
      </c>
      <c r="CK79" s="25">
        <v>10</v>
      </c>
      <c r="CL79" s="25">
        <v>10</v>
      </c>
      <c r="CM79" s="25">
        <v>10</v>
      </c>
      <c r="CN79" s="25">
        <v>10</v>
      </c>
      <c r="CO79" s="25">
        <v>10</v>
      </c>
      <c r="CP79" s="25">
        <v>10</v>
      </c>
      <c r="CQ79" s="25">
        <v>10</v>
      </c>
      <c r="CR79" s="25">
        <v>10</v>
      </c>
      <c r="CS79" s="25">
        <v>10</v>
      </c>
      <c r="CT79" s="25">
        <v>10</v>
      </c>
      <c r="CU79" s="25">
        <v>10</v>
      </c>
      <c r="CV79" s="25">
        <v>10</v>
      </c>
      <c r="CW79" s="25">
        <v>10</v>
      </c>
      <c r="CX79" s="23" t="s">
        <v>109</v>
      </c>
    </row>
    <row r="80" spans="2:102" x14ac:dyDescent="0.25">
      <c r="B80" s="26">
        <f>SUM(L80:CW80)</f>
      </c>
      <c r="D80" s="27">
        <f>B80*E80</f>
      </c>
      <c r="E80" s="27">
        <f>'Rate Tables'!C25</f>
      </c>
      <c r="F80" s="8" t="s">
        <v>39</v>
      </c>
      <c r="L80" s="26">
        <f>IF(L$6="","",IF(OR(WEEKDAY(L$6,1)=1,WEEKDAY(L$6,1)=7),0,MIN(8,L79)*L78))</f>
      </c>
      <c r="M80" s="26">
        <f>IF(M$6="","",IF(OR(WEEKDAY(M$6,1)=1,WEEKDAY(M$6,1)=7),0,MIN(8,M79)*M78))</f>
      </c>
      <c r="N80" s="26">
        <f>IF(N$6="","",IF(OR(WEEKDAY(N$6,1)=1,WEEKDAY(N$6,1)=7),0,MIN(8,N79)*N78))</f>
      </c>
      <c r="O80" s="26">
        <f>IF(O$6="","",IF(OR(WEEKDAY(O$6,1)=1,WEEKDAY(O$6,1)=7),0,MIN(8,O79)*O78))</f>
      </c>
      <c r="P80" s="26">
        <f>IF(P$6="","",IF(OR(WEEKDAY(P$6,1)=1,WEEKDAY(P$6,1)=7),0,MIN(8,P79)*P78))</f>
      </c>
      <c r="Q80" s="26">
        <f>IF(Q$6="","",IF(OR(WEEKDAY(Q$6,1)=1,WEEKDAY(Q$6,1)=7),0,MIN(8,Q79)*Q78))</f>
      </c>
      <c r="R80" s="26">
        <f>IF(R$6="","",IF(OR(WEEKDAY(R$6,1)=1,WEEKDAY(R$6,1)=7),0,MIN(8,R79)*R78))</f>
      </c>
      <c r="S80" s="26">
        <f>IF(S$6="","",IF(OR(WEEKDAY(S$6,1)=1,WEEKDAY(S$6,1)=7),0,MIN(8,S79)*S78))</f>
      </c>
      <c r="T80" s="26">
        <f>IF(T$6="","",IF(OR(WEEKDAY(T$6,1)=1,WEEKDAY(T$6,1)=7),0,MIN(8,T79)*T78))</f>
      </c>
      <c r="U80" s="26">
        <f>IF(U$6="","",IF(OR(WEEKDAY(U$6,1)=1,WEEKDAY(U$6,1)=7),0,MIN(8,U79)*U78))</f>
      </c>
      <c r="V80" s="26">
        <f>IF(V$6="","",IF(OR(WEEKDAY(V$6,1)=1,WEEKDAY(V$6,1)=7),0,MIN(8,V79)*V78))</f>
      </c>
      <c r="W80" s="26">
        <f>IF(W$6="","",IF(OR(WEEKDAY(W$6,1)=1,WEEKDAY(W$6,1)=7),0,MIN(8,W79)*W78))</f>
      </c>
      <c r="X80" s="26">
        <f>IF(X$6="","",IF(OR(WEEKDAY(X$6,1)=1,WEEKDAY(X$6,1)=7),0,MIN(8,X79)*X78))</f>
      </c>
      <c r="Y80" s="26">
        <f>IF(Y$6="","",IF(OR(WEEKDAY(Y$6,1)=1,WEEKDAY(Y$6,1)=7),0,MIN(8,Y79)*Y78))</f>
      </c>
      <c r="Z80" s="26">
        <f>IF(Z$6="","",IF(OR(WEEKDAY(Z$6,1)=1,WEEKDAY(Z$6,1)=7),0,MIN(8,Z79)*Z78))</f>
      </c>
      <c r="AA80" s="26">
        <f>IF(AA$6="","",IF(OR(WEEKDAY(AA$6,1)=1,WEEKDAY(AA$6,1)=7),0,MIN(8,AA79)*AA78))</f>
      </c>
      <c r="AB80" s="26">
        <f>IF(AB$6="","",IF(OR(WEEKDAY(AB$6,1)=1,WEEKDAY(AB$6,1)=7),0,MIN(8,AB79)*AB78))</f>
      </c>
      <c r="AC80" s="26">
        <f>IF(AC$6="","",IF(OR(WEEKDAY(AC$6,1)=1,WEEKDAY(AC$6,1)=7),0,MIN(8,AC79)*AC78))</f>
      </c>
      <c r="AD80" s="26">
        <f>IF(AD$6="","",IF(OR(WEEKDAY(AD$6,1)=1,WEEKDAY(AD$6,1)=7),0,MIN(8,AD79)*AD78))</f>
      </c>
      <c r="AE80" s="26">
        <f>IF(AE$6="","",IF(OR(WEEKDAY(AE$6,1)=1,WEEKDAY(AE$6,1)=7),0,MIN(8,AE79)*AE78))</f>
      </c>
      <c r="AF80" s="26">
        <f>IF(AF$6="","",IF(OR(WEEKDAY(AF$6,1)=1,WEEKDAY(AF$6,1)=7),0,MIN(8,AF79)*AF78))</f>
      </c>
      <c r="AG80" s="26">
        <f>IF(AG$6="","",IF(OR(WEEKDAY(AG$6,1)=1,WEEKDAY(AG$6,1)=7),0,MIN(8,AG79)*AG78))</f>
      </c>
      <c r="AH80" s="26">
        <f>IF(AH$6="","",IF(OR(WEEKDAY(AH$6,1)=1,WEEKDAY(AH$6,1)=7),0,MIN(8,AH79)*AH78))</f>
      </c>
      <c r="AI80" s="26">
        <f>IF(AI$6="","",IF(OR(WEEKDAY(AI$6,1)=1,WEEKDAY(AI$6,1)=7),0,MIN(8,AI79)*AI78))</f>
      </c>
      <c r="AJ80" s="26">
        <f>IF(AJ$6="","",IF(OR(WEEKDAY(AJ$6,1)=1,WEEKDAY(AJ$6,1)=7),0,MIN(8,AJ79)*AJ78))</f>
      </c>
      <c r="AK80" s="26">
        <f>IF(AK$6="","",IF(OR(WEEKDAY(AK$6,1)=1,WEEKDAY(AK$6,1)=7),0,MIN(8,AK79)*AK78))</f>
      </c>
      <c r="AL80" s="26">
        <f>IF(AL$6="","",IF(OR(WEEKDAY(AL$6,1)=1,WEEKDAY(AL$6,1)=7),0,MIN(8,AL79)*AL78))</f>
      </c>
      <c r="AM80" s="26">
        <f>IF(AM$6="","",IF(OR(WEEKDAY(AM$6,1)=1,WEEKDAY(AM$6,1)=7),0,MIN(8,AM79)*AM78))</f>
      </c>
      <c r="AN80" s="26">
        <f>IF(AN$6="","",IF(OR(WEEKDAY(AN$6,1)=1,WEEKDAY(AN$6,1)=7),0,MIN(8,AN79)*AN78))</f>
      </c>
      <c r="AO80" s="26">
        <f>IF(AO$6="","",IF(OR(WEEKDAY(AO$6,1)=1,WEEKDAY(AO$6,1)=7),0,MIN(8,AO79)*AO78))</f>
      </c>
      <c r="AP80" s="26">
        <f>IF(AP$6="","",IF(OR(WEEKDAY(AP$6,1)=1,WEEKDAY(AP$6,1)=7),0,MIN(8,AP79)*AP78))</f>
      </c>
      <c r="AQ80" s="26">
        <f>IF(AQ$6="","",IF(OR(WEEKDAY(AQ$6,1)=1,WEEKDAY(AQ$6,1)=7),0,MIN(8,AQ79)*AQ78))</f>
      </c>
      <c r="AR80" s="26">
        <f>IF(AR$6="","",IF(OR(WEEKDAY(AR$6,1)=1,WEEKDAY(AR$6,1)=7),0,MIN(8,AR79)*AR78))</f>
      </c>
      <c r="AS80" s="26">
        <f>IF(AS$6="","",IF(OR(WEEKDAY(AS$6,1)=1,WEEKDAY(AS$6,1)=7),0,MIN(8,AS79)*AS78))</f>
      </c>
      <c r="AT80" s="26">
        <f>IF(AT$6="","",IF(OR(WEEKDAY(AT$6,1)=1,WEEKDAY(AT$6,1)=7),0,MIN(8,AT79)*AT78))</f>
      </c>
      <c r="AU80" s="26">
        <f>IF(AU$6="","",IF(OR(WEEKDAY(AU$6,1)=1,WEEKDAY(AU$6,1)=7),0,MIN(8,AU79)*AU78))</f>
      </c>
      <c r="AV80" s="26">
        <f>IF(AV$6="","",IF(OR(WEEKDAY(AV$6,1)=1,WEEKDAY(AV$6,1)=7),0,MIN(8,AV79)*AV78))</f>
      </c>
      <c r="AW80" s="26">
        <f>IF(AW$6="","",IF(OR(WEEKDAY(AW$6,1)=1,WEEKDAY(AW$6,1)=7),0,MIN(8,AW79)*AW78))</f>
      </c>
      <c r="AX80" s="26">
        <f>IF(AX$6="","",IF(OR(WEEKDAY(AX$6,1)=1,WEEKDAY(AX$6,1)=7),0,MIN(8,AX79)*AX78))</f>
      </c>
      <c r="AY80" s="26">
        <f>IF(AY$6="","",IF(OR(WEEKDAY(AY$6,1)=1,WEEKDAY(AY$6,1)=7),0,MIN(8,AY79)*AY78))</f>
      </c>
      <c r="AZ80" s="26">
        <f>IF(AZ$6="","",IF(OR(WEEKDAY(AZ$6,1)=1,WEEKDAY(AZ$6,1)=7),0,MIN(8,AZ79)*AZ78))</f>
      </c>
      <c r="BA80" s="26">
        <f>IF(BA$6="","",IF(OR(WEEKDAY(BA$6,1)=1,WEEKDAY(BA$6,1)=7),0,MIN(8,BA79)*BA78))</f>
      </c>
      <c r="BB80" s="26">
        <f>IF(BB$6="","",IF(OR(WEEKDAY(BB$6,1)=1,WEEKDAY(BB$6,1)=7),0,MIN(8,BB79)*BB78))</f>
      </c>
      <c r="BC80" s="26">
        <f>IF(BC$6="","",IF(OR(WEEKDAY(BC$6,1)=1,WEEKDAY(BC$6,1)=7),0,MIN(8,BC79)*BC78))</f>
      </c>
      <c r="BD80" s="26">
        <f>IF(BD$6="","",IF(OR(WEEKDAY(BD$6,1)=1,WEEKDAY(BD$6,1)=7),0,MIN(8,BD79)*BD78))</f>
      </c>
      <c r="BE80" s="26">
        <f>IF(BE$6="","",IF(OR(WEEKDAY(BE$6,1)=1,WEEKDAY(BE$6,1)=7),0,MIN(8,BE79)*BE78))</f>
      </c>
      <c r="BF80" s="26">
        <f>IF(BF$6="","",IF(OR(WEEKDAY(BF$6,1)=1,WEEKDAY(BF$6,1)=7),0,MIN(8,BF79)*BF78))</f>
      </c>
      <c r="BG80" s="26">
        <f>IF(BG$6="","",IF(OR(WEEKDAY(BG$6,1)=1,WEEKDAY(BG$6,1)=7),0,MIN(8,BG79)*BG78))</f>
      </c>
      <c r="BH80" s="26">
        <f>IF(BH$6="","",IF(OR(WEEKDAY(BH$6,1)=1,WEEKDAY(BH$6,1)=7),0,MIN(8,BH79)*BH78))</f>
      </c>
      <c r="BI80" s="26">
        <f>IF(BI$6="","",IF(OR(WEEKDAY(BI$6,1)=1,WEEKDAY(BI$6,1)=7),0,MIN(8,BI79)*BI78))</f>
      </c>
      <c r="BJ80" s="26">
        <f>IF(BJ$6="","",IF(OR(WEEKDAY(BJ$6,1)=1,WEEKDAY(BJ$6,1)=7),0,MIN(8,BJ79)*BJ78))</f>
      </c>
      <c r="BK80" s="26">
        <f>IF(BK$6="","",IF(OR(WEEKDAY(BK$6,1)=1,WEEKDAY(BK$6,1)=7),0,MIN(8,BK79)*BK78))</f>
      </c>
      <c r="BL80" s="26">
        <f>IF(BL$6="","",IF(OR(WEEKDAY(BL$6,1)=1,WEEKDAY(BL$6,1)=7),0,MIN(8,BL79)*BL78))</f>
      </c>
      <c r="BM80" s="26">
        <f>IF(BM$6="","",IF(OR(WEEKDAY(BM$6,1)=1,WEEKDAY(BM$6,1)=7),0,MIN(8,BM79)*BM78))</f>
      </c>
      <c r="BN80" s="26">
        <f>IF(BN$6="","",IF(OR(WEEKDAY(BN$6,1)=1,WEEKDAY(BN$6,1)=7),0,MIN(8,BN79)*BN78))</f>
      </c>
      <c r="BO80" s="26">
        <f>IF(BO$6="","",IF(OR(WEEKDAY(BO$6,1)=1,WEEKDAY(BO$6,1)=7),0,MIN(8,BO79)*BO78))</f>
      </c>
      <c r="BP80" s="26">
        <f>IF(BP$6="","",IF(OR(WEEKDAY(BP$6,1)=1,WEEKDAY(BP$6,1)=7),0,MIN(8,BP79)*BP78))</f>
      </c>
      <c r="BQ80" s="26">
        <f>IF(BQ$6="","",IF(OR(WEEKDAY(BQ$6,1)=1,WEEKDAY(BQ$6,1)=7),0,MIN(8,BQ79)*BQ78))</f>
      </c>
      <c r="BR80" s="26">
        <f>IF(BR$6="","",IF(OR(WEEKDAY(BR$6,1)=1,WEEKDAY(BR$6,1)=7),0,MIN(8,BR79)*BR78))</f>
      </c>
      <c r="BS80" s="26">
        <f>IF(BS$6="","",IF(OR(WEEKDAY(BS$6,1)=1,WEEKDAY(BS$6,1)=7),0,MIN(8,BS79)*BS78))</f>
      </c>
      <c r="BT80" s="26">
        <f>IF(BT$6="","",IF(OR(WEEKDAY(BT$6,1)=1,WEEKDAY(BT$6,1)=7),0,MIN(8,BT79)*BT78))</f>
      </c>
      <c r="BU80" s="26">
        <f>IF(BU$6="","",IF(OR(WEEKDAY(BU$6,1)=1,WEEKDAY(BU$6,1)=7),0,MIN(8,BU79)*BU78))</f>
      </c>
      <c r="BV80" s="26">
        <f>IF(BV$6="","",IF(OR(WEEKDAY(BV$6,1)=1,WEEKDAY(BV$6,1)=7),0,MIN(8,BV79)*BV78))</f>
      </c>
      <c r="BW80" s="26">
        <f>IF(BW$6="","",IF(OR(WEEKDAY(BW$6,1)=1,WEEKDAY(BW$6,1)=7),0,MIN(8,BW79)*BW78))</f>
      </c>
      <c r="BX80" s="26">
        <f>IF(BX$6="","",IF(OR(WEEKDAY(BX$6,1)=1,WEEKDAY(BX$6,1)=7),0,MIN(8,BX79)*BX78))</f>
      </c>
      <c r="BY80" s="26">
        <f>IF(BY$6="","",IF(OR(WEEKDAY(BY$6,1)=1,WEEKDAY(BY$6,1)=7),0,MIN(8,BY79)*BY78))</f>
      </c>
      <c r="BZ80" s="26">
        <f>IF(BZ$6="","",IF(OR(WEEKDAY(BZ$6,1)=1,WEEKDAY(BZ$6,1)=7),0,MIN(8,BZ79)*BZ78))</f>
      </c>
      <c r="CA80" s="26">
        <f>IF(CA$6="","",IF(OR(WEEKDAY(CA$6,1)=1,WEEKDAY(CA$6,1)=7),0,MIN(8,CA79)*CA78))</f>
      </c>
      <c r="CB80" s="26">
        <f>IF(CB$6="","",IF(OR(WEEKDAY(CB$6,1)=1,WEEKDAY(CB$6,1)=7),0,MIN(8,CB79)*CB78))</f>
      </c>
      <c r="CC80" s="26">
        <f>IF(CC$6="","",IF(OR(WEEKDAY(CC$6,1)=1,WEEKDAY(CC$6,1)=7),0,MIN(8,CC79)*CC78))</f>
      </c>
      <c r="CD80" s="26">
        <f>IF(CD$6="","",IF(OR(WEEKDAY(CD$6,1)=1,WEEKDAY(CD$6,1)=7),0,MIN(8,CD79)*CD78))</f>
      </c>
      <c r="CE80" s="26">
        <f>IF(CE$6="","",IF(OR(WEEKDAY(CE$6,1)=1,WEEKDAY(CE$6,1)=7),0,MIN(8,CE79)*CE78))</f>
      </c>
      <c r="CF80" s="26">
        <f>IF(CF$6="","",IF(OR(WEEKDAY(CF$6,1)=1,WEEKDAY(CF$6,1)=7),0,MIN(8,CF79)*CF78))</f>
      </c>
      <c r="CG80" s="26">
        <f>IF(CG$6="","",IF(OR(WEEKDAY(CG$6,1)=1,WEEKDAY(CG$6,1)=7),0,MIN(8,CG79)*CG78))</f>
      </c>
      <c r="CH80" s="26">
        <f>IF(CH$6="","",IF(OR(WEEKDAY(CH$6,1)=1,WEEKDAY(CH$6,1)=7),0,MIN(8,CH79)*CH78))</f>
      </c>
      <c r="CI80" s="26">
        <f>IF(CI$6="","",IF(OR(WEEKDAY(CI$6,1)=1,WEEKDAY(CI$6,1)=7),0,MIN(8,CI79)*CI78))</f>
      </c>
      <c r="CJ80" s="26">
        <f>IF(CJ$6="","",IF(OR(WEEKDAY(CJ$6,1)=1,WEEKDAY(CJ$6,1)=7),0,MIN(8,CJ79)*CJ78))</f>
      </c>
      <c r="CK80" s="26">
        <f>IF(CK$6="","",IF(OR(WEEKDAY(CK$6,1)=1,WEEKDAY(CK$6,1)=7),0,MIN(8,CK79)*CK78))</f>
      </c>
      <c r="CL80" s="26">
        <f>IF(CL$6="","",IF(OR(WEEKDAY(CL$6,1)=1,WEEKDAY(CL$6,1)=7),0,MIN(8,CL79)*CL78))</f>
      </c>
      <c r="CM80" s="26">
        <f>IF(CM$6="","",IF(OR(WEEKDAY(CM$6,1)=1,WEEKDAY(CM$6,1)=7),0,MIN(8,CM79)*CM78))</f>
      </c>
      <c r="CN80" s="26">
        <f>IF(CN$6="","",IF(OR(WEEKDAY(CN$6,1)=1,WEEKDAY(CN$6,1)=7),0,MIN(8,CN79)*CN78))</f>
      </c>
      <c r="CO80" s="26">
        <f>IF(CO$6="","",IF(OR(WEEKDAY(CO$6,1)=1,WEEKDAY(CO$6,1)=7),0,MIN(8,CO79)*CO78))</f>
      </c>
      <c r="CP80" s="26">
        <f>IF(CP$6="","",IF(OR(WEEKDAY(CP$6,1)=1,WEEKDAY(CP$6,1)=7),0,MIN(8,CP79)*CP78))</f>
      </c>
      <c r="CQ80" s="26">
        <f>IF(CQ$6="","",IF(OR(WEEKDAY(CQ$6,1)=1,WEEKDAY(CQ$6,1)=7),0,MIN(8,CQ79)*CQ78))</f>
      </c>
      <c r="CR80" s="26">
        <f>IF(CR$6="","",IF(OR(WEEKDAY(CR$6,1)=1,WEEKDAY(CR$6,1)=7),0,MIN(8,CR79)*CR78))</f>
      </c>
      <c r="CS80" s="26">
        <f>IF(CS$6="","",IF(OR(WEEKDAY(CS$6,1)=1,WEEKDAY(CS$6,1)=7),0,MIN(8,CS79)*CS78))</f>
      </c>
      <c r="CT80" s="26">
        <f>IF(CT$6="","",IF(OR(WEEKDAY(CT$6,1)=1,WEEKDAY(CT$6,1)=7),0,MIN(8,CT79)*CT78))</f>
      </c>
      <c r="CU80" s="26">
        <f>IF(CU$6="","",IF(OR(WEEKDAY(CU$6,1)=1,WEEKDAY(CU$6,1)=7),0,MIN(8,CU79)*CU78))</f>
      </c>
      <c r="CV80" s="26">
        <f>IF(CV$6="","",IF(OR(WEEKDAY(CV$6,1)=1,WEEKDAY(CV$6,1)=7),0,MIN(8,CV79)*CV78))</f>
      </c>
      <c r="CW80" s="26">
        <f>IF(CW$6="","",IF(OR(WEEKDAY(CW$6,1)=1,WEEKDAY(CW$6,1)=7),0,MIN(8,CW79)*CW78))</f>
      </c>
      <c r="CX80" s="8" t="s">
        <v>109</v>
      </c>
    </row>
    <row r="81" spans="2:102" x14ac:dyDescent="0.25">
      <c r="B81" s="26">
        <f>SUM(L81:CW81)</f>
      </c>
      <c r="D81" s="27">
        <f>B81*E81</f>
      </c>
      <c r="E81" s="27">
        <f>'Rate Tables'!D25</f>
      </c>
      <c r="F81" s="8" t="s">
        <v>40</v>
      </c>
      <c r="L81" s="26">
        <f>IF(L$6="","",IF(WEEKDAY(L$6,1)=1,0,IF(WEEKDAY(L$6,1)=7,L79*L78,MAX(0,L79-8)*L78)))</f>
      </c>
      <c r="M81" s="26">
        <f>IF(M$6="","",IF(WEEKDAY(M$6,1)=1,0,IF(WEEKDAY(M$6,1)=7,M79*M78,MAX(0,M79-8)*M78)))</f>
      </c>
      <c r="N81" s="26">
        <f>IF(N$6="","",IF(WEEKDAY(N$6,1)=1,0,IF(WEEKDAY(N$6,1)=7,N79*N78,MAX(0,N79-8)*N78)))</f>
      </c>
      <c r="O81" s="26">
        <f>IF(O$6="","",IF(WEEKDAY(O$6,1)=1,0,IF(WEEKDAY(O$6,1)=7,O79*O78,MAX(0,O79-8)*O78)))</f>
      </c>
      <c r="P81" s="26">
        <f>IF(P$6="","",IF(WEEKDAY(P$6,1)=1,0,IF(WEEKDAY(P$6,1)=7,P79*P78,MAX(0,P79-8)*P78)))</f>
      </c>
      <c r="Q81" s="26">
        <f>IF(Q$6="","",IF(WEEKDAY(Q$6,1)=1,0,IF(WEEKDAY(Q$6,1)=7,Q79*Q78,MAX(0,Q79-8)*Q78)))</f>
      </c>
      <c r="R81" s="26">
        <f>IF(R$6="","",IF(WEEKDAY(R$6,1)=1,0,IF(WEEKDAY(R$6,1)=7,R79*R78,MAX(0,R79-8)*R78)))</f>
      </c>
      <c r="S81" s="26">
        <f>IF(S$6="","",IF(WEEKDAY(S$6,1)=1,0,IF(WEEKDAY(S$6,1)=7,S79*S78,MAX(0,S79-8)*S78)))</f>
      </c>
      <c r="T81" s="26">
        <f>IF(T$6="","",IF(WEEKDAY(T$6,1)=1,0,IF(WEEKDAY(T$6,1)=7,T79*T78,MAX(0,T79-8)*T78)))</f>
      </c>
      <c r="U81" s="26">
        <f>IF(U$6="","",IF(WEEKDAY(U$6,1)=1,0,IF(WEEKDAY(U$6,1)=7,U79*U78,MAX(0,U79-8)*U78)))</f>
      </c>
      <c r="V81" s="26">
        <f>IF(V$6="","",IF(WEEKDAY(V$6,1)=1,0,IF(WEEKDAY(V$6,1)=7,V79*V78,MAX(0,V79-8)*V78)))</f>
      </c>
      <c r="W81" s="26">
        <f>IF(W$6="","",IF(WEEKDAY(W$6,1)=1,0,IF(WEEKDAY(W$6,1)=7,W79*W78,MAX(0,W79-8)*W78)))</f>
      </c>
      <c r="X81" s="26">
        <f>IF(X$6="","",IF(WEEKDAY(X$6,1)=1,0,IF(WEEKDAY(X$6,1)=7,X79*X78,MAX(0,X79-8)*X78)))</f>
      </c>
      <c r="Y81" s="26">
        <f>IF(Y$6="","",IF(WEEKDAY(Y$6,1)=1,0,IF(WEEKDAY(Y$6,1)=7,Y79*Y78,MAX(0,Y79-8)*Y78)))</f>
      </c>
      <c r="Z81" s="26">
        <f>IF(Z$6="","",IF(WEEKDAY(Z$6,1)=1,0,IF(WEEKDAY(Z$6,1)=7,Z79*Z78,MAX(0,Z79-8)*Z78)))</f>
      </c>
      <c r="AA81" s="26">
        <f>IF(AA$6="","",IF(WEEKDAY(AA$6,1)=1,0,IF(WEEKDAY(AA$6,1)=7,AA79*AA78,MAX(0,AA79-8)*AA78)))</f>
      </c>
      <c r="AB81" s="26">
        <f>IF(AB$6="","",IF(WEEKDAY(AB$6,1)=1,0,IF(WEEKDAY(AB$6,1)=7,AB79*AB78,MAX(0,AB79-8)*AB78)))</f>
      </c>
      <c r="AC81" s="26">
        <f>IF(AC$6="","",IF(WEEKDAY(AC$6,1)=1,0,IF(WEEKDAY(AC$6,1)=7,AC79*AC78,MAX(0,AC79-8)*AC78)))</f>
      </c>
      <c r="AD81" s="26">
        <f>IF(AD$6="","",IF(WEEKDAY(AD$6,1)=1,0,IF(WEEKDAY(AD$6,1)=7,AD79*AD78,MAX(0,AD79-8)*AD78)))</f>
      </c>
      <c r="AE81" s="26">
        <f>IF(AE$6="","",IF(WEEKDAY(AE$6,1)=1,0,IF(WEEKDAY(AE$6,1)=7,AE79*AE78,MAX(0,AE79-8)*AE78)))</f>
      </c>
      <c r="AF81" s="26">
        <f>IF(AF$6="","",IF(WEEKDAY(AF$6,1)=1,0,IF(WEEKDAY(AF$6,1)=7,AF79*AF78,MAX(0,AF79-8)*AF78)))</f>
      </c>
      <c r="AG81" s="26">
        <f>IF(AG$6="","",IF(WEEKDAY(AG$6,1)=1,0,IF(WEEKDAY(AG$6,1)=7,AG79*AG78,MAX(0,AG79-8)*AG78)))</f>
      </c>
      <c r="AH81" s="26">
        <f>IF(AH$6="","",IF(WEEKDAY(AH$6,1)=1,0,IF(WEEKDAY(AH$6,1)=7,AH79*AH78,MAX(0,AH79-8)*AH78)))</f>
      </c>
      <c r="AI81" s="26">
        <f>IF(AI$6="","",IF(WEEKDAY(AI$6,1)=1,0,IF(WEEKDAY(AI$6,1)=7,AI79*AI78,MAX(0,AI79-8)*AI78)))</f>
      </c>
      <c r="AJ81" s="26">
        <f>IF(AJ$6="","",IF(WEEKDAY(AJ$6,1)=1,0,IF(WEEKDAY(AJ$6,1)=7,AJ79*AJ78,MAX(0,AJ79-8)*AJ78)))</f>
      </c>
      <c r="AK81" s="26">
        <f>IF(AK$6="","",IF(WEEKDAY(AK$6,1)=1,0,IF(WEEKDAY(AK$6,1)=7,AK79*AK78,MAX(0,AK79-8)*AK78)))</f>
      </c>
      <c r="AL81" s="26">
        <f>IF(AL$6="","",IF(WEEKDAY(AL$6,1)=1,0,IF(WEEKDAY(AL$6,1)=7,AL79*AL78,MAX(0,AL79-8)*AL78)))</f>
      </c>
      <c r="AM81" s="26">
        <f>IF(AM$6="","",IF(WEEKDAY(AM$6,1)=1,0,IF(WEEKDAY(AM$6,1)=7,AM79*AM78,MAX(0,AM79-8)*AM78)))</f>
      </c>
      <c r="AN81" s="26">
        <f>IF(AN$6="","",IF(WEEKDAY(AN$6,1)=1,0,IF(WEEKDAY(AN$6,1)=7,AN79*AN78,MAX(0,AN79-8)*AN78)))</f>
      </c>
      <c r="AO81" s="26">
        <f>IF(AO$6="","",IF(WEEKDAY(AO$6,1)=1,0,IF(WEEKDAY(AO$6,1)=7,AO79*AO78,MAX(0,AO79-8)*AO78)))</f>
      </c>
      <c r="AP81" s="26">
        <f>IF(AP$6="","",IF(WEEKDAY(AP$6,1)=1,0,IF(WEEKDAY(AP$6,1)=7,AP79*AP78,MAX(0,AP79-8)*AP78)))</f>
      </c>
      <c r="AQ81" s="26">
        <f>IF(AQ$6="","",IF(WEEKDAY(AQ$6,1)=1,0,IF(WEEKDAY(AQ$6,1)=7,AQ79*AQ78,MAX(0,AQ79-8)*AQ78)))</f>
      </c>
      <c r="AR81" s="26">
        <f>IF(AR$6="","",IF(WEEKDAY(AR$6,1)=1,0,IF(WEEKDAY(AR$6,1)=7,AR79*AR78,MAX(0,AR79-8)*AR78)))</f>
      </c>
      <c r="AS81" s="26">
        <f>IF(AS$6="","",IF(WEEKDAY(AS$6,1)=1,0,IF(WEEKDAY(AS$6,1)=7,AS79*AS78,MAX(0,AS79-8)*AS78)))</f>
      </c>
      <c r="AT81" s="26">
        <f>IF(AT$6="","",IF(WEEKDAY(AT$6,1)=1,0,IF(WEEKDAY(AT$6,1)=7,AT79*AT78,MAX(0,AT79-8)*AT78)))</f>
      </c>
      <c r="AU81" s="26">
        <f>IF(AU$6="","",IF(WEEKDAY(AU$6,1)=1,0,IF(WEEKDAY(AU$6,1)=7,AU79*AU78,MAX(0,AU79-8)*AU78)))</f>
      </c>
      <c r="AV81" s="26">
        <f>IF(AV$6="","",IF(WEEKDAY(AV$6,1)=1,0,IF(WEEKDAY(AV$6,1)=7,AV79*AV78,MAX(0,AV79-8)*AV78)))</f>
      </c>
      <c r="AW81" s="26">
        <f>IF(AW$6="","",IF(WEEKDAY(AW$6,1)=1,0,IF(WEEKDAY(AW$6,1)=7,AW79*AW78,MAX(0,AW79-8)*AW78)))</f>
      </c>
      <c r="AX81" s="26">
        <f>IF(AX$6="","",IF(WEEKDAY(AX$6,1)=1,0,IF(WEEKDAY(AX$6,1)=7,AX79*AX78,MAX(0,AX79-8)*AX78)))</f>
      </c>
      <c r="AY81" s="26">
        <f>IF(AY$6="","",IF(WEEKDAY(AY$6,1)=1,0,IF(WEEKDAY(AY$6,1)=7,AY79*AY78,MAX(0,AY79-8)*AY78)))</f>
      </c>
      <c r="AZ81" s="26">
        <f>IF(AZ$6="","",IF(WEEKDAY(AZ$6,1)=1,0,IF(WEEKDAY(AZ$6,1)=7,AZ79*AZ78,MAX(0,AZ79-8)*AZ78)))</f>
      </c>
      <c r="BA81" s="26">
        <f>IF(BA$6="","",IF(WEEKDAY(BA$6,1)=1,0,IF(WEEKDAY(BA$6,1)=7,BA79*BA78,MAX(0,BA79-8)*BA78)))</f>
      </c>
      <c r="BB81" s="26">
        <f>IF(BB$6="","",IF(WEEKDAY(BB$6,1)=1,0,IF(WEEKDAY(BB$6,1)=7,BB79*BB78,MAX(0,BB79-8)*BB78)))</f>
      </c>
      <c r="BC81" s="26">
        <f>IF(BC$6="","",IF(WEEKDAY(BC$6,1)=1,0,IF(WEEKDAY(BC$6,1)=7,BC79*BC78,MAX(0,BC79-8)*BC78)))</f>
      </c>
      <c r="BD81" s="26">
        <f>IF(BD$6="","",IF(WEEKDAY(BD$6,1)=1,0,IF(WEEKDAY(BD$6,1)=7,BD79*BD78,MAX(0,BD79-8)*BD78)))</f>
      </c>
      <c r="BE81" s="26">
        <f>IF(BE$6="","",IF(WEEKDAY(BE$6,1)=1,0,IF(WEEKDAY(BE$6,1)=7,BE79*BE78,MAX(0,BE79-8)*BE78)))</f>
      </c>
      <c r="BF81" s="26">
        <f>IF(BF$6="","",IF(WEEKDAY(BF$6,1)=1,0,IF(WEEKDAY(BF$6,1)=7,BF79*BF78,MAX(0,BF79-8)*BF78)))</f>
      </c>
      <c r="BG81" s="26">
        <f>IF(BG$6="","",IF(WEEKDAY(BG$6,1)=1,0,IF(WEEKDAY(BG$6,1)=7,BG79*BG78,MAX(0,BG79-8)*BG78)))</f>
      </c>
      <c r="BH81" s="26">
        <f>IF(BH$6="","",IF(WEEKDAY(BH$6,1)=1,0,IF(WEEKDAY(BH$6,1)=7,BH79*BH78,MAX(0,BH79-8)*BH78)))</f>
      </c>
      <c r="BI81" s="26">
        <f>IF(BI$6="","",IF(WEEKDAY(BI$6,1)=1,0,IF(WEEKDAY(BI$6,1)=7,BI79*BI78,MAX(0,BI79-8)*BI78)))</f>
      </c>
      <c r="BJ81" s="26">
        <f>IF(BJ$6="","",IF(WEEKDAY(BJ$6,1)=1,0,IF(WEEKDAY(BJ$6,1)=7,BJ79*BJ78,MAX(0,BJ79-8)*BJ78)))</f>
      </c>
      <c r="BK81" s="26">
        <f>IF(BK$6="","",IF(WEEKDAY(BK$6,1)=1,0,IF(WEEKDAY(BK$6,1)=7,BK79*BK78,MAX(0,BK79-8)*BK78)))</f>
      </c>
      <c r="BL81" s="26">
        <f>IF(BL$6="","",IF(WEEKDAY(BL$6,1)=1,0,IF(WEEKDAY(BL$6,1)=7,BL79*BL78,MAX(0,BL79-8)*BL78)))</f>
      </c>
      <c r="BM81" s="26">
        <f>IF(BM$6="","",IF(WEEKDAY(BM$6,1)=1,0,IF(WEEKDAY(BM$6,1)=7,BM79*BM78,MAX(0,BM79-8)*BM78)))</f>
      </c>
      <c r="BN81" s="26">
        <f>IF(BN$6="","",IF(WEEKDAY(BN$6,1)=1,0,IF(WEEKDAY(BN$6,1)=7,BN79*BN78,MAX(0,BN79-8)*BN78)))</f>
      </c>
      <c r="BO81" s="26">
        <f>IF(BO$6="","",IF(WEEKDAY(BO$6,1)=1,0,IF(WEEKDAY(BO$6,1)=7,BO79*BO78,MAX(0,BO79-8)*BO78)))</f>
      </c>
      <c r="BP81" s="26">
        <f>IF(BP$6="","",IF(WEEKDAY(BP$6,1)=1,0,IF(WEEKDAY(BP$6,1)=7,BP79*BP78,MAX(0,BP79-8)*BP78)))</f>
      </c>
      <c r="BQ81" s="26">
        <f>IF(BQ$6="","",IF(WEEKDAY(BQ$6,1)=1,0,IF(WEEKDAY(BQ$6,1)=7,BQ79*BQ78,MAX(0,BQ79-8)*BQ78)))</f>
      </c>
      <c r="BR81" s="26">
        <f>IF(BR$6="","",IF(WEEKDAY(BR$6,1)=1,0,IF(WEEKDAY(BR$6,1)=7,BR79*BR78,MAX(0,BR79-8)*BR78)))</f>
      </c>
      <c r="BS81" s="26">
        <f>IF(BS$6="","",IF(WEEKDAY(BS$6,1)=1,0,IF(WEEKDAY(BS$6,1)=7,BS79*BS78,MAX(0,BS79-8)*BS78)))</f>
      </c>
      <c r="BT81" s="26">
        <f>IF(BT$6="","",IF(WEEKDAY(BT$6,1)=1,0,IF(WEEKDAY(BT$6,1)=7,BT79*BT78,MAX(0,BT79-8)*BT78)))</f>
      </c>
      <c r="BU81" s="26">
        <f>IF(BU$6="","",IF(WEEKDAY(BU$6,1)=1,0,IF(WEEKDAY(BU$6,1)=7,BU79*BU78,MAX(0,BU79-8)*BU78)))</f>
      </c>
      <c r="BV81" s="26">
        <f>IF(BV$6="","",IF(WEEKDAY(BV$6,1)=1,0,IF(WEEKDAY(BV$6,1)=7,BV79*BV78,MAX(0,BV79-8)*BV78)))</f>
      </c>
      <c r="BW81" s="26">
        <f>IF(BW$6="","",IF(WEEKDAY(BW$6,1)=1,0,IF(WEEKDAY(BW$6,1)=7,BW79*BW78,MAX(0,BW79-8)*BW78)))</f>
      </c>
      <c r="BX81" s="26">
        <f>IF(BX$6="","",IF(WEEKDAY(BX$6,1)=1,0,IF(WEEKDAY(BX$6,1)=7,BX79*BX78,MAX(0,BX79-8)*BX78)))</f>
      </c>
      <c r="BY81" s="26">
        <f>IF(BY$6="","",IF(WEEKDAY(BY$6,1)=1,0,IF(WEEKDAY(BY$6,1)=7,BY79*BY78,MAX(0,BY79-8)*BY78)))</f>
      </c>
      <c r="BZ81" s="26">
        <f>IF(BZ$6="","",IF(WEEKDAY(BZ$6,1)=1,0,IF(WEEKDAY(BZ$6,1)=7,BZ79*BZ78,MAX(0,BZ79-8)*BZ78)))</f>
      </c>
      <c r="CA81" s="26">
        <f>IF(CA$6="","",IF(WEEKDAY(CA$6,1)=1,0,IF(WEEKDAY(CA$6,1)=7,CA79*CA78,MAX(0,CA79-8)*CA78)))</f>
      </c>
      <c r="CB81" s="26">
        <f>IF(CB$6="","",IF(WEEKDAY(CB$6,1)=1,0,IF(WEEKDAY(CB$6,1)=7,CB79*CB78,MAX(0,CB79-8)*CB78)))</f>
      </c>
      <c r="CC81" s="26">
        <f>IF(CC$6="","",IF(WEEKDAY(CC$6,1)=1,0,IF(WEEKDAY(CC$6,1)=7,CC79*CC78,MAX(0,CC79-8)*CC78)))</f>
      </c>
      <c r="CD81" s="26">
        <f>IF(CD$6="","",IF(WEEKDAY(CD$6,1)=1,0,IF(WEEKDAY(CD$6,1)=7,CD79*CD78,MAX(0,CD79-8)*CD78)))</f>
      </c>
      <c r="CE81" s="26">
        <f>IF(CE$6="","",IF(WEEKDAY(CE$6,1)=1,0,IF(WEEKDAY(CE$6,1)=7,CE79*CE78,MAX(0,CE79-8)*CE78)))</f>
      </c>
      <c r="CF81" s="26">
        <f>IF(CF$6="","",IF(WEEKDAY(CF$6,1)=1,0,IF(WEEKDAY(CF$6,1)=7,CF79*CF78,MAX(0,CF79-8)*CF78)))</f>
      </c>
      <c r="CG81" s="26">
        <f>IF(CG$6="","",IF(WEEKDAY(CG$6,1)=1,0,IF(WEEKDAY(CG$6,1)=7,CG79*CG78,MAX(0,CG79-8)*CG78)))</f>
      </c>
      <c r="CH81" s="26">
        <f>IF(CH$6="","",IF(WEEKDAY(CH$6,1)=1,0,IF(WEEKDAY(CH$6,1)=7,CH79*CH78,MAX(0,CH79-8)*CH78)))</f>
      </c>
      <c r="CI81" s="26">
        <f>IF(CI$6="","",IF(WEEKDAY(CI$6,1)=1,0,IF(WEEKDAY(CI$6,1)=7,CI79*CI78,MAX(0,CI79-8)*CI78)))</f>
      </c>
      <c r="CJ81" s="26">
        <f>IF(CJ$6="","",IF(WEEKDAY(CJ$6,1)=1,0,IF(WEEKDAY(CJ$6,1)=7,CJ79*CJ78,MAX(0,CJ79-8)*CJ78)))</f>
      </c>
      <c r="CK81" s="26">
        <f>IF(CK$6="","",IF(WEEKDAY(CK$6,1)=1,0,IF(WEEKDAY(CK$6,1)=7,CK79*CK78,MAX(0,CK79-8)*CK78)))</f>
      </c>
      <c r="CL81" s="26">
        <f>IF(CL$6="","",IF(WEEKDAY(CL$6,1)=1,0,IF(WEEKDAY(CL$6,1)=7,CL79*CL78,MAX(0,CL79-8)*CL78)))</f>
      </c>
      <c r="CM81" s="26">
        <f>IF(CM$6="","",IF(WEEKDAY(CM$6,1)=1,0,IF(WEEKDAY(CM$6,1)=7,CM79*CM78,MAX(0,CM79-8)*CM78)))</f>
      </c>
      <c r="CN81" s="26">
        <f>IF(CN$6="","",IF(WEEKDAY(CN$6,1)=1,0,IF(WEEKDAY(CN$6,1)=7,CN79*CN78,MAX(0,CN79-8)*CN78)))</f>
      </c>
      <c r="CO81" s="26">
        <f>IF(CO$6="","",IF(WEEKDAY(CO$6,1)=1,0,IF(WEEKDAY(CO$6,1)=7,CO79*CO78,MAX(0,CO79-8)*CO78)))</f>
      </c>
      <c r="CP81" s="26">
        <f>IF(CP$6="","",IF(WEEKDAY(CP$6,1)=1,0,IF(WEEKDAY(CP$6,1)=7,CP79*CP78,MAX(0,CP79-8)*CP78)))</f>
      </c>
      <c r="CQ81" s="26">
        <f>IF(CQ$6="","",IF(WEEKDAY(CQ$6,1)=1,0,IF(WEEKDAY(CQ$6,1)=7,CQ79*CQ78,MAX(0,CQ79-8)*CQ78)))</f>
      </c>
      <c r="CR81" s="26">
        <f>IF(CR$6="","",IF(WEEKDAY(CR$6,1)=1,0,IF(WEEKDAY(CR$6,1)=7,CR79*CR78,MAX(0,CR79-8)*CR78)))</f>
      </c>
      <c r="CS81" s="26">
        <f>IF(CS$6="","",IF(WEEKDAY(CS$6,1)=1,0,IF(WEEKDAY(CS$6,1)=7,CS79*CS78,MAX(0,CS79-8)*CS78)))</f>
      </c>
      <c r="CT81" s="26">
        <f>IF(CT$6="","",IF(WEEKDAY(CT$6,1)=1,0,IF(WEEKDAY(CT$6,1)=7,CT79*CT78,MAX(0,CT79-8)*CT78)))</f>
      </c>
      <c r="CU81" s="26">
        <f>IF(CU$6="","",IF(WEEKDAY(CU$6,1)=1,0,IF(WEEKDAY(CU$6,1)=7,CU79*CU78,MAX(0,CU79-8)*CU78)))</f>
      </c>
      <c r="CV81" s="26">
        <f>IF(CV$6="","",IF(WEEKDAY(CV$6,1)=1,0,IF(WEEKDAY(CV$6,1)=7,CV79*CV78,MAX(0,CV79-8)*CV78)))</f>
      </c>
      <c r="CW81" s="26">
        <f>IF(CW$6="","",IF(WEEKDAY(CW$6,1)=1,0,IF(WEEKDAY(CW$6,1)=7,CW79*CW78,MAX(0,CW79-8)*CW78)))</f>
      </c>
      <c r="CX81" s="8" t="s">
        <v>109</v>
      </c>
    </row>
    <row r="82" spans="2:102" x14ac:dyDescent="0.25">
      <c r="B82" s="26">
        <f>SUM(L82:CW82)</f>
      </c>
      <c r="D82" s="27">
        <f>B82*E82</f>
      </c>
      <c r="E82" s="27">
        <f>'Rate Tables'!E25</f>
      </c>
      <c r="F82" s="8" t="s">
        <v>41</v>
      </c>
      <c r="L82" s="26">
        <f>IF(L$6="","",IF(WEEKDAY(L$6,1)=1,L79*L78,0))</f>
      </c>
      <c r="M82" s="26">
        <f>IF(M$6="","",IF(WEEKDAY(M$6,1)=1,M79*M78,0))</f>
      </c>
      <c r="N82" s="26">
        <f>IF(N$6="","",IF(WEEKDAY(N$6,1)=1,N79*N78,0))</f>
      </c>
      <c r="O82" s="26">
        <f>IF(O$6="","",IF(WEEKDAY(O$6,1)=1,O79*O78,0))</f>
      </c>
      <c r="P82" s="26">
        <f>IF(P$6="","",IF(WEEKDAY(P$6,1)=1,P79*P78,0))</f>
      </c>
      <c r="Q82" s="26">
        <f>IF(Q$6="","",IF(WEEKDAY(Q$6,1)=1,Q79*Q78,0))</f>
      </c>
      <c r="R82" s="26">
        <f>IF(R$6="","",IF(WEEKDAY(R$6,1)=1,R79*R78,0))</f>
      </c>
      <c r="S82" s="26">
        <f>IF(S$6="","",IF(WEEKDAY(S$6,1)=1,S79*S78,0))</f>
      </c>
      <c r="T82" s="26">
        <f>IF(T$6="","",IF(WEEKDAY(T$6,1)=1,T79*T78,0))</f>
      </c>
      <c r="U82" s="26">
        <f>IF(U$6="","",IF(WEEKDAY(U$6,1)=1,U79*U78,0))</f>
      </c>
      <c r="V82" s="26">
        <f>IF(V$6="","",IF(WEEKDAY(V$6,1)=1,V79*V78,0))</f>
      </c>
      <c r="W82" s="26">
        <f>IF(W$6="","",IF(WEEKDAY(W$6,1)=1,W79*W78,0))</f>
      </c>
      <c r="X82" s="26">
        <f>IF(X$6="","",IF(WEEKDAY(X$6,1)=1,X79*X78,0))</f>
      </c>
      <c r="Y82" s="26">
        <f>IF(Y$6="","",IF(WEEKDAY(Y$6,1)=1,Y79*Y78,0))</f>
      </c>
      <c r="Z82" s="26">
        <f>IF(Z$6="","",IF(WEEKDAY(Z$6,1)=1,Z79*Z78,0))</f>
      </c>
      <c r="AA82" s="26">
        <f>IF(AA$6="","",IF(WEEKDAY(AA$6,1)=1,AA79*AA78,0))</f>
      </c>
      <c r="AB82" s="26">
        <f>IF(AB$6="","",IF(WEEKDAY(AB$6,1)=1,AB79*AB78,0))</f>
      </c>
      <c r="AC82" s="26">
        <f>IF(AC$6="","",IF(WEEKDAY(AC$6,1)=1,AC79*AC78,0))</f>
      </c>
      <c r="AD82" s="26">
        <f>IF(AD$6="","",IF(WEEKDAY(AD$6,1)=1,AD79*AD78,0))</f>
      </c>
      <c r="AE82" s="26">
        <f>IF(AE$6="","",IF(WEEKDAY(AE$6,1)=1,AE79*AE78,0))</f>
      </c>
      <c r="AF82" s="26">
        <f>IF(AF$6="","",IF(WEEKDAY(AF$6,1)=1,AF79*AF78,0))</f>
      </c>
      <c r="AG82" s="26">
        <f>IF(AG$6="","",IF(WEEKDAY(AG$6,1)=1,AG79*AG78,0))</f>
      </c>
      <c r="AH82" s="26">
        <f>IF(AH$6="","",IF(WEEKDAY(AH$6,1)=1,AH79*AH78,0))</f>
      </c>
      <c r="AI82" s="26">
        <f>IF(AI$6="","",IF(WEEKDAY(AI$6,1)=1,AI79*AI78,0))</f>
      </c>
      <c r="AJ82" s="26">
        <f>IF(AJ$6="","",IF(WEEKDAY(AJ$6,1)=1,AJ79*AJ78,0))</f>
      </c>
      <c r="AK82" s="26">
        <f>IF(AK$6="","",IF(WEEKDAY(AK$6,1)=1,AK79*AK78,0))</f>
      </c>
      <c r="AL82" s="26">
        <f>IF(AL$6="","",IF(WEEKDAY(AL$6,1)=1,AL79*AL78,0))</f>
      </c>
      <c r="AM82" s="26">
        <f>IF(AM$6="","",IF(WEEKDAY(AM$6,1)=1,AM79*AM78,0))</f>
      </c>
      <c r="AN82" s="26">
        <f>IF(AN$6="","",IF(WEEKDAY(AN$6,1)=1,AN79*AN78,0))</f>
      </c>
      <c r="AO82" s="26">
        <f>IF(AO$6="","",IF(WEEKDAY(AO$6,1)=1,AO79*AO78,0))</f>
      </c>
      <c r="AP82" s="26">
        <f>IF(AP$6="","",IF(WEEKDAY(AP$6,1)=1,AP79*AP78,0))</f>
      </c>
      <c r="AQ82" s="26">
        <f>IF(AQ$6="","",IF(WEEKDAY(AQ$6,1)=1,AQ79*AQ78,0))</f>
      </c>
      <c r="AR82" s="26">
        <f>IF(AR$6="","",IF(WEEKDAY(AR$6,1)=1,AR79*AR78,0))</f>
      </c>
      <c r="AS82" s="26">
        <f>IF(AS$6="","",IF(WEEKDAY(AS$6,1)=1,AS79*AS78,0))</f>
      </c>
      <c r="AT82" s="26">
        <f>IF(AT$6="","",IF(WEEKDAY(AT$6,1)=1,AT79*AT78,0))</f>
      </c>
      <c r="AU82" s="26">
        <f>IF(AU$6="","",IF(WEEKDAY(AU$6,1)=1,AU79*AU78,0))</f>
      </c>
      <c r="AV82" s="26">
        <f>IF(AV$6="","",IF(WEEKDAY(AV$6,1)=1,AV79*AV78,0))</f>
      </c>
      <c r="AW82" s="26">
        <f>IF(AW$6="","",IF(WEEKDAY(AW$6,1)=1,AW79*AW78,0))</f>
      </c>
      <c r="AX82" s="26">
        <f>IF(AX$6="","",IF(WEEKDAY(AX$6,1)=1,AX79*AX78,0))</f>
      </c>
      <c r="AY82" s="26">
        <f>IF(AY$6="","",IF(WEEKDAY(AY$6,1)=1,AY79*AY78,0))</f>
      </c>
      <c r="AZ82" s="26">
        <f>IF(AZ$6="","",IF(WEEKDAY(AZ$6,1)=1,AZ79*AZ78,0))</f>
      </c>
      <c r="BA82" s="26">
        <f>IF(BA$6="","",IF(WEEKDAY(BA$6,1)=1,BA79*BA78,0))</f>
      </c>
      <c r="BB82" s="26">
        <f>IF(BB$6="","",IF(WEEKDAY(BB$6,1)=1,BB79*BB78,0))</f>
      </c>
      <c r="BC82" s="26">
        <f>IF(BC$6="","",IF(WEEKDAY(BC$6,1)=1,BC79*BC78,0))</f>
      </c>
      <c r="BD82" s="26">
        <f>IF(BD$6="","",IF(WEEKDAY(BD$6,1)=1,BD79*BD78,0))</f>
      </c>
      <c r="BE82" s="26">
        <f>IF(BE$6="","",IF(WEEKDAY(BE$6,1)=1,BE79*BE78,0))</f>
      </c>
      <c r="BF82" s="26">
        <f>IF(BF$6="","",IF(WEEKDAY(BF$6,1)=1,BF79*BF78,0))</f>
      </c>
      <c r="BG82" s="26">
        <f>IF(BG$6="","",IF(WEEKDAY(BG$6,1)=1,BG79*BG78,0))</f>
      </c>
      <c r="BH82" s="26">
        <f>IF(BH$6="","",IF(WEEKDAY(BH$6,1)=1,BH79*BH78,0))</f>
      </c>
      <c r="BI82" s="26">
        <f>IF(BI$6="","",IF(WEEKDAY(BI$6,1)=1,BI79*BI78,0))</f>
      </c>
      <c r="BJ82" s="26">
        <f>IF(BJ$6="","",IF(WEEKDAY(BJ$6,1)=1,BJ79*BJ78,0))</f>
      </c>
      <c r="BK82" s="26">
        <f>IF(BK$6="","",IF(WEEKDAY(BK$6,1)=1,BK79*BK78,0))</f>
      </c>
      <c r="BL82" s="26">
        <f>IF(BL$6="","",IF(WEEKDAY(BL$6,1)=1,BL79*BL78,0))</f>
      </c>
      <c r="BM82" s="26">
        <f>IF(BM$6="","",IF(WEEKDAY(BM$6,1)=1,BM79*BM78,0))</f>
      </c>
      <c r="BN82" s="26">
        <f>IF(BN$6="","",IF(WEEKDAY(BN$6,1)=1,BN79*BN78,0))</f>
      </c>
      <c r="BO82" s="26">
        <f>IF(BO$6="","",IF(WEEKDAY(BO$6,1)=1,BO79*BO78,0))</f>
      </c>
      <c r="BP82" s="26">
        <f>IF(BP$6="","",IF(WEEKDAY(BP$6,1)=1,BP79*BP78,0))</f>
      </c>
      <c r="BQ82" s="26">
        <f>IF(BQ$6="","",IF(WEEKDAY(BQ$6,1)=1,BQ79*BQ78,0))</f>
      </c>
      <c r="BR82" s="26">
        <f>IF(BR$6="","",IF(WEEKDAY(BR$6,1)=1,BR79*BR78,0))</f>
      </c>
      <c r="BS82" s="26">
        <f>IF(BS$6="","",IF(WEEKDAY(BS$6,1)=1,BS79*BS78,0))</f>
      </c>
      <c r="BT82" s="26">
        <f>IF(BT$6="","",IF(WEEKDAY(BT$6,1)=1,BT79*BT78,0))</f>
      </c>
      <c r="BU82" s="26">
        <f>IF(BU$6="","",IF(WEEKDAY(BU$6,1)=1,BU79*BU78,0))</f>
      </c>
      <c r="BV82" s="26">
        <f>IF(BV$6="","",IF(WEEKDAY(BV$6,1)=1,BV79*BV78,0))</f>
      </c>
      <c r="BW82" s="26">
        <f>IF(BW$6="","",IF(WEEKDAY(BW$6,1)=1,BW79*BW78,0))</f>
      </c>
      <c r="BX82" s="26">
        <f>IF(BX$6="","",IF(WEEKDAY(BX$6,1)=1,BX79*BX78,0))</f>
      </c>
      <c r="BY82" s="26">
        <f>IF(BY$6="","",IF(WEEKDAY(BY$6,1)=1,BY79*BY78,0))</f>
      </c>
      <c r="BZ82" s="26">
        <f>IF(BZ$6="","",IF(WEEKDAY(BZ$6,1)=1,BZ79*BZ78,0))</f>
      </c>
      <c r="CA82" s="26">
        <f>IF(CA$6="","",IF(WEEKDAY(CA$6,1)=1,CA79*CA78,0))</f>
      </c>
      <c r="CB82" s="26">
        <f>IF(CB$6="","",IF(WEEKDAY(CB$6,1)=1,CB79*CB78,0))</f>
      </c>
      <c r="CC82" s="26">
        <f>IF(CC$6="","",IF(WEEKDAY(CC$6,1)=1,CC79*CC78,0))</f>
      </c>
      <c r="CD82" s="26">
        <f>IF(CD$6="","",IF(WEEKDAY(CD$6,1)=1,CD79*CD78,0))</f>
      </c>
      <c r="CE82" s="26">
        <f>IF(CE$6="","",IF(WEEKDAY(CE$6,1)=1,CE79*CE78,0))</f>
      </c>
      <c r="CF82" s="26">
        <f>IF(CF$6="","",IF(WEEKDAY(CF$6,1)=1,CF79*CF78,0))</f>
      </c>
      <c r="CG82" s="26">
        <f>IF(CG$6="","",IF(WEEKDAY(CG$6,1)=1,CG79*CG78,0))</f>
      </c>
      <c r="CH82" s="26">
        <f>IF(CH$6="","",IF(WEEKDAY(CH$6,1)=1,CH79*CH78,0))</f>
      </c>
      <c r="CI82" s="26">
        <f>IF(CI$6="","",IF(WEEKDAY(CI$6,1)=1,CI79*CI78,0))</f>
      </c>
      <c r="CJ82" s="26">
        <f>IF(CJ$6="","",IF(WEEKDAY(CJ$6,1)=1,CJ79*CJ78,0))</f>
      </c>
      <c r="CK82" s="26">
        <f>IF(CK$6="","",IF(WEEKDAY(CK$6,1)=1,CK79*CK78,0))</f>
      </c>
      <c r="CL82" s="26">
        <f>IF(CL$6="","",IF(WEEKDAY(CL$6,1)=1,CL79*CL78,0))</f>
      </c>
      <c r="CM82" s="26">
        <f>IF(CM$6="","",IF(WEEKDAY(CM$6,1)=1,CM79*CM78,0))</f>
      </c>
      <c r="CN82" s="26">
        <f>IF(CN$6="","",IF(WEEKDAY(CN$6,1)=1,CN79*CN78,0))</f>
      </c>
      <c r="CO82" s="26">
        <f>IF(CO$6="","",IF(WEEKDAY(CO$6,1)=1,CO79*CO78,0))</f>
      </c>
      <c r="CP82" s="26">
        <f>IF(CP$6="","",IF(WEEKDAY(CP$6,1)=1,CP79*CP78,0))</f>
      </c>
      <c r="CQ82" s="26">
        <f>IF(CQ$6="","",IF(WEEKDAY(CQ$6,1)=1,CQ79*CQ78,0))</f>
      </c>
      <c r="CR82" s="26">
        <f>IF(CR$6="","",IF(WEEKDAY(CR$6,1)=1,CR79*CR78,0))</f>
      </c>
      <c r="CS82" s="26">
        <f>IF(CS$6="","",IF(WEEKDAY(CS$6,1)=1,CS79*CS78,0))</f>
      </c>
      <c r="CT82" s="26">
        <f>IF(CT$6="","",IF(WEEKDAY(CT$6,1)=1,CT79*CT78,0))</f>
      </c>
      <c r="CU82" s="26">
        <f>IF(CU$6="","",IF(WEEKDAY(CU$6,1)=1,CU79*CU78,0))</f>
      </c>
      <c r="CV82" s="26">
        <f>IF(CV$6="","",IF(WEEKDAY(CV$6,1)=1,CV79*CV78,0))</f>
      </c>
      <c r="CW82" s="26">
        <f>IF(CW$6="","",IF(WEEKDAY(CW$6,1)=1,CW79*CW78,0))</f>
      </c>
      <c r="CX82" s="8" t="s">
        <v>109</v>
      </c>
    </row>
    <row r="83" spans="2:102" x14ac:dyDescent="0.25">
      <c r="B83" s="26">
        <f>SUM(L83:CW83)</f>
      </c>
      <c r="D83" s="27">
        <f>B83*E83</f>
      </c>
      <c r="E83" s="27">
        <v>130</v>
      </c>
      <c r="F83" s="8" t="s">
        <v>42</v>
      </c>
      <c r="L83" s="28">
        <v>0</v>
      </c>
      <c r="M83" s="28">
        <v>0</v>
      </c>
      <c r="N83" s="28">
        <v>0</v>
      </c>
      <c r="O83" s="28">
        <v>0</v>
      </c>
      <c r="P83" s="28">
        <v>0</v>
      </c>
      <c r="Q83" s="28">
        <v>0</v>
      </c>
      <c r="R83" s="28">
        <v>0</v>
      </c>
      <c r="S83" s="28">
        <v>0</v>
      </c>
      <c r="T83" s="28">
        <v>0</v>
      </c>
      <c r="U83" s="28">
        <v>0</v>
      </c>
      <c r="V83" s="28">
        <v>0</v>
      </c>
      <c r="W83" s="28">
        <v>0</v>
      </c>
      <c r="X83" s="28">
        <v>0</v>
      </c>
      <c r="Y83" s="28">
        <v>0</v>
      </c>
      <c r="Z83" s="28">
        <v>0</v>
      </c>
      <c r="AA83" s="28">
        <v>0</v>
      </c>
      <c r="AB83" s="28">
        <v>0</v>
      </c>
      <c r="AC83" s="28">
        <v>0</v>
      </c>
      <c r="AD83" s="28">
        <v>0</v>
      </c>
      <c r="AE83" s="28">
        <v>0</v>
      </c>
      <c r="AF83" s="28">
        <v>0</v>
      </c>
      <c r="AG83" s="28">
        <v>0</v>
      </c>
      <c r="AH83" s="28">
        <v>0</v>
      </c>
      <c r="AI83" s="28">
        <v>0</v>
      </c>
      <c r="AJ83" s="28">
        <v>0</v>
      </c>
      <c r="AK83" s="28">
        <v>0</v>
      </c>
      <c r="AL83" s="28">
        <v>0</v>
      </c>
      <c r="AM83" s="28">
        <v>0</v>
      </c>
      <c r="AN83" s="28">
        <v>0</v>
      </c>
      <c r="AO83" s="28">
        <v>0</v>
      </c>
      <c r="AP83" s="28">
        <v>0</v>
      </c>
      <c r="AQ83" s="28">
        <v>0</v>
      </c>
      <c r="AR83" s="28">
        <v>0</v>
      </c>
      <c r="AS83" s="28">
        <v>0</v>
      </c>
      <c r="AT83" s="28">
        <v>0</v>
      </c>
      <c r="AU83" s="28">
        <v>0</v>
      </c>
      <c r="AV83" s="28">
        <v>0</v>
      </c>
      <c r="AW83" s="28">
        <v>0</v>
      </c>
      <c r="AX83" s="28">
        <v>0</v>
      </c>
      <c r="AY83" s="28">
        <v>0</v>
      </c>
      <c r="AZ83" s="28">
        <v>0</v>
      </c>
      <c r="BA83" s="28">
        <v>0</v>
      </c>
      <c r="BB83" s="28">
        <v>0</v>
      </c>
      <c r="BC83" s="28">
        <v>0</v>
      </c>
      <c r="BD83" s="28">
        <v>0</v>
      </c>
      <c r="BE83" s="28">
        <v>0</v>
      </c>
      <c r="BF83" s="28">
        <v>0</v>
      </c>
      <c r="BG83" s="28">
        <v>0</v>
      </c>
      <c r="BH83" s="28">
        <v>0</v>
      </c>
      <c r="BI83" s="28">
        <v>0</v>
      </c>
      <c r="BJ83" s="28">
        <v>0</v>
      </c>
      <c r="BK83" s="28">
        <v>0</v>
      </c>
      <c r="BL83" s="28">
        <v>0</v>
      </c>
      <c r="BM83" s="28">
        <v>0</v>
      </c>
      <c r="BN83" s="28">
        <v>0</v>
      </c>
      <c r="BO83" s="28">
        <v>0</v>
      </c>
      <c r="BP83" s="28">
        <v>0</v>
      </c>
      <c r="BQ83" s="28">
        <v>0</v>
      </c>
      <c r="BR83" s="28">
        <v>0</v>
      </c>
      <c r="BS83" s="28">
        <v>0</v>
      </c>
      <c r="BT83" s="28">
        <v>0</v>
      </c>
      <c r="BU83" s="28">
        <v>0</v>
      </c>
      <c r="BV83" s="28">
        <v>0</v>
      </c>
      <c r="BW83" s="28">
        <v>0</v>
      </c>
      <c r="BX83" s="28">
        <v>0</v>
      </c>
      <c r="BY83" s="28">
        <v>0</v>
      </c>
      <c r="BZ83" s="28">
        <v>0</v>
      </c>
      <c r="CA83" s="28">
        <v>0</v>
      </c>
      <c r="CB83" s="28">
        <v>0</v>
      </c>
      <c r="CC83" s="28">
        <v>0</v>
      </c>
      <c r="CD83" s="28">
        <v>0</v>
      </c>
      <c r="CE83" s="28">
        <v>0</v>
      </c>
      <c r="CF83" s="28">
        <v>0</v>
      </c>
      <c r="CG83" s="28">
        <v>0</v>
      </c>
      <c r="CH83" s="28">
        <v>0</v>
      </c>
      <c r="CI83" s="28">
        <v>0</v>
      </c>
      <c r="CJ83" s="28">
        <v>0</v>
      </c>
      <c r="CK83" s="28">
        <v>0</v>
      </c>
      <c r="CL83" s="28">
        <v>0</v>
      </c>
      <c r="CM83" s="28">
        <v>0</v>
      </c>
      <c r="CN83" s="28">
        <v>0</v>
      </c>
      <c r="CO83" s="28">
        <v>0</v>
      </c>
      <c r="CP83" s="28">
        <v>0</v>
      </c>
      <c r="CQ83" s="28">
        <v>0</v>
      </c>
      <c r="CR83" s="28">
        <v>0</v>
      </c>
      <c r="CS83" s="28">
        <v>0</v>
      </c>
      <c r="CT83" s="28">
        <v>0</v>
      </c>
      <c r="CU83" s="28">
        <v>0</v>
      </c>
      <c r="CV83" s="28">
        <v>0</v>
      </c>
      <c r="CW83" s="28">
        <v>0</v>
      </c>
      <c r="CX83" s="8" t="s">
        <v>109</v>
      </c>
    </row>
    <row r="84" spans="1:102" x14ac:dyDescent="0.25">
      <c r="A84" s="20" t="s">
        <v>47</v>
      </c>
      <c r="B84" s="21">
        <f>G84+H84+I84</f>
      </c>
      <c r="C84" s="20" t="s">
        <v>108</v>
      </c>
      <c r="D84" s="22">
        <f>K84</f>
      </c>
      <c r="F84" s="20" t="s">
        <v>34</v>
      </c>
      <c r="G84" s="21">
        <f>B87</f>
      </c>
      <c r="H84" s="21">
        <f>B88</f>
      </c>
      <c r="I84" s="21">
        <f>B89</f>
      </c>
      <c r="J84" s="21">
        <f>B90</f>
      </c>
      <c r="K84" s="22">
        <f>D87+D88+D89</f>
      </c>
      <c r="CX84" s="20" t="s">
        <v>110</v>
      </c>
    </row>
    <row r="85" spans="6:102" x14ac:dyDescent="0.25">
      <c r="F85" s="23" t="s">
        <v>36</v>
      </c>
      <c r="L85" s="24">
        <v>0</v>
      </c>
      <c r="M85" s="24">
        <v>0</v>
      </c>
      <c r="N85" s="24">
        <v>0</v>
      </c>
      <c r="O85" s="24">
        <v>0</v>
      </c>
      <c r="P85" s="24">
        <v>0</v>
      </c>
      <c r="Q85" s="24">
        <v>0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v>0</v>
      </c>
      <c r="AA85" s="24">
        <v>0</v>
      </c>
      <c r="AB85" s="24">
        <v>0</v>
      </c>
      <c r="AC85" s="24">
        <v>0</v>
      </c>
      <c r="AD85" s="24">
        <v>0</v>
      </c>
      <c r="AE85" s="24">
        <v>0</v>
      </c>
      <c r="AF85" s="24">
        <v>0</v>
      </c>
      <c r="AG85" s="24">
        <v>0</v>
      </c>
      <c r="AH85" s="24">
        <v>0</v>
      </c>
      <c r="AI85" s="24">
        <v>0</v>
      </c>
      <c r="AJ85" s="24">
        <v>0</v>
      </c>
      <c r="AK85" s="24">
        <v>0</v>
      </c>
      <c r="AL85" s="24">
        <v>0</v>
      </c>
      <c r="AM85" s="24">
        <v>0</v>
      </c>
      <c r="AN85" s="24">
        <v>0</v>
      </c>
      <c r="AO85" s="24">
        <v>0</v>
      </c>
      <c r="AP85" s="24">
        <v>0</v>
      </c>
      <c r="AQ85" s="24">
        <v>0</v>
      </c>
      <c r="AR85" s="24">
        <v>0</v>
      </c>
      <c r="AS85" s="24">
        <v>0</v>
      </c>
      <c r="AT85" s="24">
        <v>0</v>
      </c>
      <c r="AU85" s="24">
        <v>0</v>
      </c>
      <c r="AV85" s="24">
        <v>0</v>
      </c>
      <c r="AW85" s="24">
        <v>0</v>
      </c>
      <c r="AX85" s="24">
        <v>0</v>
      </c>
      <c r="AY85" s="24">
        <v>0</v>
      </c>
      <c r="AZ85" s="24">
        <v>0</v>
      </c>
      <c r="BA85" s="24">
        <v>0</v>
      </c>
      <c r="BB85" s="24">
        <v>0</v>
      </c>
      <c r="BC85" s="24">
        <v>0</v>
      </c>
      <c r="BD85" s="24">
        <v>0</v>
      </c>
      <c r="BE85" s="24">
        <v>0</v>
      </c>
      <c r="BF85" s="24">
        <v>0</v>
      </c>
      <c r="BG85" s="24">
        <v>0</v>
      </c>
      <c r="BH85" s="24">
        <v>0</v>
      </c>
      <c r="BI85" s="24">
        <v>2</v>
      </c>
      <c r="BJ85" s="24">
        <v>2</v>
      </c>
      <c r="BK85" s="24">
        <v>2</v>
      </c>
      <c r="BL85" s="24">
        <v>2</v>
      </c>
      <c r="BM85" s="24">
        <v>2</v>
      </c>
      <c r="BN85" s="24">
        <v>2</v>
      </c>
      <c r="BO85" s="24">
        <v>2</v>
      </c>
      <c r="BP85" s="24">
        <v>2</v>
      </c>
      <c r="BQ85" s="24">
        <v>2</v>
      </c>
      <c r="BR85" s="24">
        <v>2</v>
      </c>
      <c r="BS85" s="24">
        <v>2</v>
      </c>
      <c r="BT85" s="24">
        <v>2</v>
      </c>
      <c r="BU85" s="24">
        <v>2</v>
      </c>
      <c r="BV85" s="24">
        <v>2</v>
      </c>
      <c r="BW85" s="24">
        <v>2</v>
      </c>
      <c r="BX85" s="24">
        <v>2</v>
      </c>
      <c r="BY85" s="24">
        <v>2</v>
      </c>
      <c r="BZ85" s="24">
        <v>2</v>
      </c>
      <c r="CA85" s="24">
        <v>2</v>
      </c>
      <c r="CB85" s="24">
        <v>2</v>
      </c>
      <c r="CC85" s="24">
        <v>2</v>
      </c>
      <c r="CD85" s="24">
        <v>2</v>
      </c>
      <c r="CE85" s="24">
        <v>2</v>
      </c>
      <c r="CF85" s="24">
        <v>2</v>
      </c>
      <c r="CG85" s="24">
        <v>2</v>
      </c>
      <c r="CH85" s="24">
        <v>2</v>
      </c>
      <c r="CI85" s="24">
        <v>2</v>
      </c>
      <c r="CJ85" s="24">
        <v>2</v>
      </c>
      <c r="CK85" s="24">
        <v>2</v>
      </c>
      <c r="CL85" s="24">
        <v>2</v>
      </c>
      <c r="CM85" s="24">
        <v>2</v>
      </c>
      <c r="CN85" s="24">
        <v>2</v>
      </c>
      <c r="CO85" s="24">
        <v>2</v>
      </c>
      <c r="CP85" s="24">
        <v>2</v>
      </c>
      <c r="CQ85" s="24">
        <v>2</v>
      </c>
      <c r="CR85" s="24">
        <v>2</v>
      </c>
      <c r="CS85" s="24">
        <v>2</v>
      </c>
      <c r="CT85" s="24">
        <v>2</v>
      </c>
      <c r="CU85" s="24">
        <v>2</v>
      </c>
      <c r="CV85" s="24">
        <v>2</v>
      </c>
      <c r="CW85" s="24">
        <v>2</v>
      </c>
      <c r="CX85" s="23" t="s">
        <v>110</v>
      </c>
    </row>
    <row r="86" spans="1:102" x14ac:dyDescent="0.25">
      <c r="A86" s="23" t="s">
        <v>37</v>
      </c>
      <c r="F86" s="23" t="s">
        <v>38</v>
      </c>
      <c r="L86" s="25">
        <v>0</v>
      </c>
      <c r="M86" s="25">
        <v>0</v>
      </c>
      <c r="N86" s="25">
        <v>0</v>
      </c>
      <c r="O86" s="25">
        <v>0</v>
      </c>
      <c r="P86" s="25">
        <v>0</v>
      </c>
      <c r="Q86" s="25">
        <v>0</v>
      </c>
      <c r="R86" s="25">
        <v>0</v>
      </c>
      <c r="S86" s="25">
        <v>0</v>
      </c>
      <c r="T86" s="25">
        <v>0</v>
      </c>
      <c r="U86" s="25">
        <v>0</v>
      </c>
      <c r="V86" s="25">
        <v>0</v>
      </c>
      <c r="W86" s="25">
        <v>0</v>
      </c>
      <c r="X86" s="25">
        <v>0</v>
      </c>
      <c r="Y86" s="25">
        <v>0</v>
      </c>
      <c r="Z86" s="25">
        <v>0</v>
      </c>
      <c r="AA86" s="25">
        <v>0</v>
      </c>
      <c r="AB86" s="25">
        <v>0</v>
      </c>
      <c r="AC86" s="25">
        <v>0</v>
      </c>
      <c r="AD86" s="25">
        <v>0</v>
      </c>
      <c r="AE86" s="25">
        <v>0</v>
      </c>
      <c r="AF86" s="25">
        <v>0</v>
      </c>
      <c r="AG86" s="25">
        <v>0</v>
      </c>
      <c r="AH86" s="25">
        <v>0</v>
      </c>
      <c r="AI86" s="25">
        <v>0</v>
      </c>
      <c r="AJ86" s="25">
        <v>0</v>
      </c>
      <c r="AK86" s="25">
        <v>0</v>
      </c>
      <c r="AL86" s="25">
        <v>0</v>
      </c>
      <c r="AM86" s="25">
        <v>0</v>
      </c>
      <c r="AN86" s="25">
        <v>0</v>
      </c>
      <c r="AO86" s="25">
        <v>0</v>
      </c>
      <c r="AP86" s="25">
        <v>0</v>
      </c>
      <c r="AQ86" s="25">
        <v>0</v>
      </c>
      <c r="AR86" s="25">
        <v>0</v>
      </c>
      <c r="AS86" s="25">
        <v>0</v>
      </c>
      <c r="AT86" s="25">
        <v>0</v>
      </c>
      <c r="AU86" s="25">
        <v>0</v>
      </c>
      <c r="AV86" s="25">
        <v>0</v>
      </c>
      <c r="AW86" s="25">
        <v>0</v>
      </c>
      <c r="AX86" s="25">
        <v>0</v>
      </c>
      <c r="AY86" s="25">
        <v>0</v>
      </c>
      <c r="AZ86" s="25">
        <v>0</v>
      </c>
      <c r="BA86" s="25">
        <v>0</v>
      </c>
      <c r="BB86" s="25">
        <v>0</v>
      </c>
      <c r="BC86" s="25">
        <v>0</v>
      </c>
      <c r="BD86" s="25">
        <v>0</v>
      </c>
      <c r="BE86" s="25">
        <v>0</v>
      </c>
      <c r="BF86" s="25">
        <v>0</v>
      </c>
      <c r="BG86" s="25">
        <v>0</v>
      </c>
      <c r="BH86" s="25">
        <v>0</v>
      </c>
      <c r="BI86" s="25">
        <v>10</v>
      </c>
      <c r="BJ86" s="25">
        <v>10</v>
      </c>
      <c r="BK86" s="25">
        <v>10</v>
      </c>
      <c r="BL86" s="25">
        <v>10</v>
      </c>
      <c r="BM86" s="25">
        <v>10</v>
      </c>
      <c r="BN86" s="25">
        <v>10</v>
      </c>
      <c r="BO86" s="25">
        <v>10</v>
      </c>
      <c r="BP86" s="25">
        <v>10</v>
      </c>
      <c r="BQ86" s="25">
        <v>10</v>
      </c>
      <c r="BR86" s="25">
        <v>10</v>
      </c>
      <c r="BS86" s="25">
        <v>10</v>
      </c>
      <c r="BT86" s="25">
        <v>10</v>
      </c>
      <c r="BU86" s="25">
        <v>10</v>
      </c>
      <c r="BV86" s="25">
        <v>10</v>
      </c>
      <c r="BW86" s="25">
        <v>10</v>
      </c>
      <c r="BX86" s="25">
        <v>10</v>
      </c>
      <c r="BY86" s="25">
        <v>10</v>
      </c>
      <c r="BZ86" s="25">
        <v>10</v>
      </c>
      <c r="CA86" s="25">
        <v>10</v>
      </c>
      <c r="CB86" s="25">
        <v>10</v>
      </c>
      <c r="CC86" s="25">
        <v>10</v>
      </c>
      <c r="CD86" s="25">
        <v>10</v>
      </c>
      <c r="CE86" s="25">
        <v>10</v>
      </c>
      <c r="CF86" s="25">
        <v>10</v>
      </c>
      <c r="CG86" s="25">
        <v>10</v>
      </c>
      <c r="CH86" s="25">
        <v>10</v>
      </c>
      <c r="CI86" s="25">
        <v>10</v>
      </c>
      <c r="CJ86" s="25">
        <v>10</v>
      </c>
      <c r="CK86" s="25">
        <v>10</v>
      </c>
      <c r="CL86" s="25">
        <v>10</v>
      </c>
      <c r="CM86" s="25">
        <v>10</v>
      </c>
      <c r="CN86" s="25">
        <v>10</v>
      </c>
      <c r="CO86" s="25">
        <v>10</v>
      </c>
      <c r="CP86" s="25">
        <v>10</v>
      </c>
      <c r="CQ86" s="25">
        <v>10</v>
      </c>
      <c r="CR86" s="25">
        <v>10</v>
      </c>
      <c r="CS86" s="25">
        <v>10</v>
      </c>
      <c r="CT86" s="25">
        <v>10</v>
      </c>
      <c r="CU86" s="25">
        <v>10</v>
      </c>
      <c r="CV86" s="25">
        <v>10</v>
      </c>
      <c r="CW86" s="25">
        <v>10</v>
      </c>
      <c r="CX86" s="23" t="s">
        <v>110</v>
      </c>
    </row>
    <row r="87" spans="2:102" x14ac:dyDescent="0.25">
      <c r="B87" s="26">
        <f>SUM(L87:CW87)</f>
      </c>
      <c r="D87" s="27">
        <f>B87*E87</f>
      </c>
      <c r="E87" s="27">
        <f>'Rate Tables'!C25</f>
      </c>
      <c r="F87" s="8" t="s">
        <v>39</v>
      </c>
      <c r="L87" s="26">
        <f>IF(L$6="","",IF(OR(WEEKDAY(L$6,1)=1,WEEKDAY(L$6,1)=7),0,MIN(8,L86)*L85))</f>
      </c>
      <c r="M87" s="26">
        <f>IF(M$6="","",IF(OR(WEEKDAY(M$6,1)=1,WEEKDAY(M$6,1)=7),0,MIN(8,M86)*M85))</f>
      </c>
      <c r="N87" s="26">
        <f>IF(N$6="","",IF(OR(WEEKDAY(N$6,1)=1,WEEKDAY(N$6,1)=7),0,MIN(8,N86)*N85))</f>
      </c>
      <c r="O87" s="26">
        <f>IF(O$6="","",IF(OR(WEEKDAY(O$6,1)=1,WEEKDAY(O$6,1)=7),0,MIN(8,O86)*O85))</f>
      </c>
      <c r="P87" s="26">
        <f>IF(P$6="","",IF(OR(WEEKDAY(P$6,1)=1,WEEKDAY(P$6,1)=7),0,MIN(8,P86)*P85))</f>
      </c>
      <c r="Q87" s="26">
        <f>IF(Q$6="","",IF(OR(WEEKDAY(Q$6,1)=1,WEEKDAY(Q$6,1)=7),0,MIN(8,Q86)*Q85))</f>
      </c>
      <c r="R87" s="26">
        <f>IF(R$6="","",IF(OR(WEEKDAY(R$6,1)=1,WEEKDAY(R$6,1)=7),0,MIN(8,R86)*R85))</f>
      </c>
      <c r="S87" s="26">
        <f>IF(S$6="","",IF(OR(WEEKDAY(S$6,1)=1,WEEKDAY(S$6,1)=7),0,MIN(8,S86)*S85))</f>
      </c>
      <c r="T87" s="26">
        <f>IF(T$6="","",IF(OR(WEEKDAY(T$6,1)=1,WEEKDAY(T$6,1)=7),0,MIN(8,T86)*T85))</f>
      </c>
      <c r="U87" s="26">
        <f>IF(U$6="","",IF(OR(WEEKDAY(U$6,1)=1,WEEKDAY(U$6,1)=7),0,MIN(8,U86)*U85))</f>
      </c>
      <c r="V87" s="26">
        <f>IF(V$6="","",IF(OR(WEEKDAY(V$6,1)=1,WEEKDAY(V$6,1)=7),0,MIN(8,V86)*V85))</f>
      </c>
      <c r="W87" s="26">
        <f>IF(W$6="","",IF(OR(WEEKDAY(W$6,1)=1,WEEKDAY(W$6,1)=7),0,MIN(8,W86)*W85))</f>
      </c>
      <c r="X87" s="26">
        <f>IF(X$6="","",IF(OR(WEEKDAY(X$6,1)=1,WEEKDAY(X$6,1)=7),0,MIN(8,X86)*X85))</f>
      </c>
      <c r="Y87" s="26">
        <f>IF(Y$6="","",IF(OR(WEEKDAY(Y$6,1)=1,WEEKDAY(Y$6,1)=7),0,MIN(8,Y86)*Y85))</f>
      </c>
      <c r="Z87" s="26">
        <f>IF(Z$6="","",IF(OR(WEEKDAY(Z$6,1)=1,WEEKDAY(Z$6,1)=7),0,MIN(8,Z86)*Z85))</f>
      </c>
      <c r="AA87" s="26">
        <f>IF(AA$6="","",IF(OR(WEEKDAY(AA$6,1)=1,WEEKDAY(AA$6,1)=7),0,MIN(8,AA86)*AA85))</f>
      </c>
      <c r="AB87" s="26">
        <f>IF(AB$6="","",IF(OR(WEEKDAY(AB$6,1)=1,WEEKDAY(AB$6,1)=7),0,MIN(8,AB86)*AB85))</f>
      </c>
      <c r="AC87" s="26">
        <f>IF(AC$6="","",IF(OR(WEEKDAY(AC$6,1)=1,WEEKDAY(AC$6,1)=7),0,MIN(8,AC86)*AC85))</f>
      </c>
      <c r="AD87" s="26">
        <f>IF(AD$6="","",IF(OR(WEEKDAY(AD$6,1)=1,WEEKDAY(AD$6,1)=7),0,MIN(8,AD86)*AD85))</f>
      </c>
      <c r="AE87" s="26">
        <f>IF(AE$6="","",IF(OR(WEEKDAY(AE$6,1)=1,WEEKDAY(AE$6,1)=7),0,MIN(8,AE86)*AE85))</f>
      </c>
      <c r="AF87" s="26">
        <f>IF(AF$6="","",IF(OR(WEEKDAY(AF$6,1)=1,WEEKDAY(AF$6,1)=7),0,MIN(8,AF86)*AF85))</f>
      </c>
      <c r="AG87" s="26">
        <f>IF(AG$6="","",IF(OR(WEEKDAY(AG$6,1)=1,WEEKDAY(AG$6,1)=7),0,MIN(8,AG86)*AG85))</f>
      </c>
      <c r="AH87" s="26">
        <f>IF(AH$6="","",IF(OR(WEEKDAY(AH$6,1)=1,WEEKDAY(AH$6,1)=7),0,MIN(8,AH86)*AH85))</f>
      </c>
      <c r="AI87" s="26">
        <f>IF(AI$6="","",IF(OR(WEEKDAY(AI$6,1)=1,WEEKDAY(AI$6,1)=7),0,MIN(8,AI86)*AI85))</f>
      </c>
      <c r="AJ87" s="26">
        <f>IF(AJ$6="","",IF(OR(WEEKDAY(AJ$6,1)=1,WEEKDAY(AJ$6,1)=7),0,MIN(8,AJ86)*AJ85))</f>
      </c>
      <c r="AK87" s="26">
        <f>IF(AK$6="","",IF(OR(WEEKDAY(AK$6,1)=1,WEEKDAY(AK$6,1)=7),0,MIN(8,AK86)*AK85))</f>
      </c>
      <c r="AL87" s="26">
        <f>IF(AL$6="","",IF(OR(WEEKDAY(AL$6,1)=1,WEEKDAY(AL$6,1)=7),0,MIN(8,AL86)*AL85))</f>
      </c>
      <c r="AM87" s="26">
        <f>IF(AM$6="","",IF(OR(WEEKDAY(AM$6,1)=1,WEEKDAY(AM$6,1)=7),0,MIN(8,AM86)*AM85))</f>
      </c>
      <c r="AN87" s="26">
        <f>IF(AN$6="","",IF(OR(WEEKDAY(AN$6,1)=1,WEEKDAY(AN$6,1)=7),0,MIN(8,AN86)*AN85))</f>
      </c>
      <c r="AO87" s="26">
        <f>IF(AO$6="","",IF(OR(WEEKDAY(AO$6,1)=1,WEEKDAY(AO$6,1)=7),0,MIN(8,AO86)*AO85))</f>
      </c>
      <c r="AP87" s="26">
        <f>IF(AP$6="","",IF(OR(WEEKDAY(AP$6,1)=1,WEEKDAY(AP$6,1)=7),0,MIN(8,AP86)*AP85))</f>
      </c>
      <c r="AQ87" s="26">
        <f>IF(AQ$6="","",IF(OR(WEEKDAY(AQ$6,1)=1,WEEKDAY(AQ$6,1)=7),0,MIN(8,AQ86)*AQ85))</f>
      </c>
      <c r="AR87" s="26">
        <f>IF(AR$6="","",IF(OR(WEEKDAY(AR$6,1)=1,WEEKDAY(AR$6,1)=7),0,MIN(8,AR86)*AR85))</f>
      </c>
      <c r="AS87" s="26">
        <f>IF(AS$6="","",IF(OR(WEEKDAY(AS$6,1)=1,WEEKDAY(AS$6,1)=7),0,MIN(8,AS86)*AS85))</f>
      </c>
      <c r="AT87" s="26">
        <f>IF(AT$6="","",IF(OR(WEEKDAY(AT$6,1)=1,WEEKDAY(AT$6,1)=7),0,MIN(8,AT86)*AT85))</f>
      </c>
      <c r="AU87" s="26">
        <f>IF(AU$6="","",IF(OR(WEEKDAY(AU$6,1)=1,WEEKDAY(AU$6,1)=7),0,MIN(8,AU86)*AU85))</f>
      </c>
      <c r="AV87" s="26">
        <f>IF(AV$6="","",IF(OR(WEEKDAY(AV$6,1)=1,WEEKDAY(AV$6,1)=7),0,MIN(8,AV86)*AV85))</f>
      </c>
      <c r="AW87" s="26">
        <f>IF(AW$6="","",IF(OR(WEEKDAY(AW$6,1)=1,WEEKDAY(AW$6,1)=7),0,MIN(8,AW86)*AW85))</f>
      </c>
      <c r="AX87" s="26">
        <f>IF(AX$6="","",IF(OR(WEEKDAY(AX$6,1)=1,WEEKDAY(AX$6,1)=7),0,MIN(8,AX86)*AX85))</f>
      </c>
      <c r="AY87" s="26">
        <f>IF(AY$6="","",IF(OR(WEEKDAY(AY$6,1)=1,WEEKDAY(AY$6,1)=7),0,MIN(8,AY86)*AY85))</f>
      </c>
      <c r="AZ87" s="26">
        <f>IF(AZ$6="","",IF(OR(WEEKDAY(AZ$6,1)=1,WEEKDAY(AZ$6,1)=7),0,MIN(8,AZ86)*AZ85))</f>
      </c>
      <c r="BA87" s="26">
        <f>IF(BA$6="","",IF(OR(WEEKDAY(BA$6,1)=1,WEEKDAY(BA$6,1)=7),0,MIN(8,BA86)*BA85))</f>
      </c>
      <c r="BB87" s="26">
        <f>IF(BB$6="","",IF(OR(WEEKDAY(BB$6,1)=1,WEEKDAY(BB$6,1)=7),0,MIN(8,BB86)*BB85))</f>
      </c>
      <c r="BC87" s="26">
        <f>IF(BC$6="","",IF(OR(WEEKDAY(BC$6,1)=1,WEEKDAY(BC$6,1)=7),0,MIN(8,BC86)*BC85))</f>
      </c>
      <c r="BD87" s="26">
        <f>IF(BD$6="","",IF(OR(WEEKDAY(BD$6,1)=1,WEEKDAY(BD$6,1)=7),0,MIN(8,BD86)*BD85))</f>
      </c>
      <c r="BE87" s="26">
        <f>IF(BE$6="","",IF(OR(WEEKDAY(BE$6,1)=1,WEEKDAY(BE$6,1)=7),0,MIN(8,BE86)*BE85))</f>
      </c>
      <c r="BF87" s="26">
        <f>IF(BF$6="","",IF(OR(WEEKDAY(BF$6,1)=1,WEEKDAY(BF$6,1)=7),0,MIN(8,BF86)*BF85))</f>
      </c>
      <c r="BG87" s="26">
        <f>IF(BG$6="","",IF(OR(WEEKDAY(BG$6,1)=1,WEEKDAY(BG$6,1)=7),0,MIN(8,BG86)*BG85))</f>
      </c>
      <c r="BH87" s="26">
        <f>IF(BH$6="","",IF(OR(WEEKDAY(BH$6,1)=1,WEEKDAY(BH$6,1)=7),0,MIN(8,BH86)*BH85))</f>
      </c>
      <c r="BI87" s="26">
        <f>IF(BI$6="","",IF(OR(WEEKDAY(BI$6,1)=1,WEEKDAY(BI$6,1)=7),0,MIN(8,BI86)*BI85))</f>
      </c>
      <c r="BJ87" s="26">
        <f>IF(BJ$6="","",IF(OR(WEEKDAY(BJ$6,1)=1,WEEKDAY(BJ$6,1)=7),0,MIN(8,BJ86)*BJ85))</f>
      </c>
      <c r="BK87" s="26">
        <f>IF(BK$6="","",IF(OR(WEEKDAY(BK$6,1)=1,WEEKDAY(BK$6,1)=7),0,MIN(8,BK86)*BK85))</f>
      </c>
      <c r="BL87" s="26">
        <f>IF(BL$6="","",IF(OR(WEEKDAY(BL$6,1)=1,WEEKDAY(BL$6,1)=7),0,MIN(8,BL86)*BL85))</f>
      </c>
      <c r="BM87" s="26">
        <f>IF(BM$6="","",IF(OR(WEEKDAY(BM$6,1)=1,WEEKDAY(BM$6,1)=7),0,MIN(8,BM86)*BM85))</f>
      </c>
      <c r="BN87" s="26">
        <f>IF(BN$6="","",IF(OR(WEEKDAY(BN$6,1)=1,WEEKDAY(BN$6,1)=7),0,MIN(8,BN86)*BN85))</f>
      </c>
      <c r="BO87" s="26">
        <f>IF(BO$6="","",IF(OR(WEEKDAY(BO$6,1)=1,WEEKDAY(BO$6,1)=7),0,MIN(8,BO86)*BO85))</f>
      </c>
      <c r="BP87" s="26">
        <f>IF(BP$6="","",IF(OR(WEEKDAY(BP$6,1)=1,WEEKDAY(BP$6,1)=7),0,MIN(8,BP86)*BP85))</f>
      </c>
      <c r="BQ87" s="26">
        <f>IF(BQ$6="","",IF(OR(WEEKDAY(BQ$6,1)=1,WEEKDAY(BQ$6,1)=7),0,MIN(8,BQ86)*BQ85))</f>
      </c>
      <c r="BR87" s="26">
        <f>IF(BR$6="","",IF(OR(WEEKDAY(BR$6,1)=1,WEEKDAY(BR$6,1)=7),0,MIN(8,BR86)*BR85))</f>
      </c>
      <c r="BS87" s="26">
        <f>IF(BS$6="","",IF(OR(WEEKDAY(BS$6,1)=1,WEEKDAY(BS$6,1)=7),0,MIN(8,BS86)*BS85))</f>
      </c>
      <c r="BT87" s="26">
        <f>IF(BT$6="","",IF(OR(WEEKDAY(BT$6,1)=1,WEEKDAY(BT$6,1)=7),0,MIN(8,BT86)*BT85))</f>
      </c>
      <c r="BU87" s="26">
        <f>IF(BU$6="","",IF(OR(WEEKDAY(BU$6,1)=1,WEEKDAY(BU$6,1)=7),0,MIN(8,BU86)*BU85))</f>
      </c>
      <c r="BV87" s="26">
        <f>IF(BV$6="","",IF(OR(WEEKDAY(BV$6,1)=1,WEEKDAY(BV$6,1)=7),0,MIN(8,BV86)*BV85))</f>
      </c>
      <c r="BW87" s="26">
        <f>IF(BW$6="","",IF(OR(WEEKDAY(BW$6,1)=1,WEEKDAY(BW$6,1)=7),0,MIN(8,BW86)*BW85))</f>
      </c>
      <c r="BX87" s="26">
        <f>IF(BX$6="","",IF(OR(WEEKDAY(BX$6,1)=1,WEEKDAY(BX$6,1)=7),0,MIN(8,BX86)*BX85))</f>
      </c>
      <c r="BY87" s="26">
        <f>IF(BY$6="","",IF(OR(WEEKDAY(BY$6,1)=1,WEEKDAY(BY$6,1)=7),0,MIN(8,BY86)*BY85))</f>
      </c>
      <c r="BZ87" s="26">
        <f>IF(BZ$6="","",IF(OR(WEEKDAY(BZ$6,1)=1,WEEKDAY(BZ$6,1)=7),0,MIN(8,BZ86)*BZ85))</f>
      </c>
      <c r="CA87" s="26">
        <f>IF(CA$6="","",IF(OR(WEEKDAY(CA$6,1)=1,WEEKDAY(CA$6,1)=7),0,MIN(8,CA86)*CA85))</f>
      </c>
      <c r="CB87" s="26">
        <f>IF(CB$6="","",IF(OR(WEEKDAY(CB$6,1)=1,WEEKDAY(CB$6,1)=7),0,MIN(8,CB86)*CB85))</f>
      </c>
      <c r="CC87" s="26">
        <f>IF(CC$6="","",IF(OR(WEEKDAY(CC$6,1)=1,WEEKDAY(CC$6,1)=7),0,MIN(8,CC86)*CC85))</f>
      </c>
      <c r="CD87" s="26">
        <f>IF(CD$6="","",IF(OR(WEEKDAY(CD$6,1)=1,WEEKDAY(CD$6,1)=7),0,MIN(8,CD86)*CD85))</f>
      </c>
      <c r="CE87" s="26">
        <f>IF(CE$6="","",IF(OR(WEEKDAY(CE$6,1)=1,WEEKDAY(CE$6,1)=7),0,MIN(8,CE86)*CE85))</f>
      </c>
      <c r="CF87" s="26">
        <f>IF(CF$6="","",IF(OR(WEEKDAY(CF$6,1)=1,WEEKDAY(CF$6,1)=7),0,MIN(8,CF86)*CF85))</f>
      </c>
      <c r="CG87" s="26">
        <f>IF(CG$6="","",IF(OR(WEEKDAY(CG$6,1)=1,WEEKDAY(CG$6,1)=7),0,MIN(8,CG86)*CG85))</f>
      </c>
      <c r="CH87" s="26">
        <f>IF(CH$6="","",IF(OR(WEEKDAY(CH$6,1)=1,WEEKDAY(CH$6,1)=7),0,MIN(8,CH86)*CH85))</f>
      </c>
      <c r="CI87" s="26">
        <f>IF(CI$6="","",IF(OR(WEEKDAY(CI$6,1)=1,WEEKDAY(CI$6,1)=7),0,MIN(8,CI86)*CI85))</f>
      </c>
      <c r="CJ87" s="26">
        <f>IF(CJ$6="","",IF(OR(WEEKDAY(CJ$6,1)=1,WEEKDAY(CJ$6,1)=7),0,MIN(8,CJ86)*CJ85))</f>
      </c>
      <c r="CK87" s="26">
        <f>IF(CK$6="","",IF(OR(WEEKDAY(CK$6,1)=1,WEEKDAY(CK$6,1)=7),0,MIN(8,CK86)*CK85))</f>
      </c>
      <c r="CL87" s="26">
        <f>IF(CL$6="","",IF(OR(WEEKDAY(CL$6,1)=1,WEEKDAY(CL$6,1)=7),0,MIN(8,CL86)*CL85))</f>
      </c>
      <c r="CM87" s="26">
        <f>IF(CM$6="","",IF(OR(WEEKDAY(CM$6,1)=1,WEEKDAY(CM$6,1)=7),0,MIN(8,CM86)*CM85))</f>
      </c>
      <c r="CN87" s="26">
        <f>IF(CN$6="","",IF(OR(WEEKDAY(CN$6,1)=1,WEEKDAY(CN$6,1)=7),0,MIN(8,CN86)*CN85))</f>
      </c>
      <c r="CO87" s="26">
        <f>IF(CO$6="","",IF(OR(WEEKDAY(CO$6,1)=1,WEEKDAY(CO$6,1)=7),0,MIN(8,CO86)*CO85))</f>
      </c>
      <c r="CP87" s="26">
        <f>IF(CP$6="","",IF(OR(WEEKDAY(CP$6,1)=1,WEEKDAY(CP$6,1)=7),0,MIN(8,CP86)*CP85))</f>
      </c>
      <c r="CQ87" s="26">
        <f>IF(CQ$6="","",IF(OR(WEEKDAY(CQ$6,1)=1,WEEKDAY(CQ$6,1)=7),0,MIN(8,CQ86)*CQ85))</f>
      </c>
      <c r="CR87" s="26">
        <f>IF(CR$6="","",IF(OR(WEEKDAY(CR$6,1)=1,WEEKDAY(CR$6,1)=7),0,MIN(8,CR86)*CR85))</f>
      </c>
      <c r="CS87" s="26">
        <f>IF(CS$6="","",IF(OR(WEEKDAY(CS$6,1)=1,WEEKDAY(CS$6,1)=7),0,MIN(8,CS86)*CS85))</f>
      </c>
      <c r="CT87" s="26">
        <f>IF(CT$6="","",IF(OR(WEEKDAY(CT$6,1)=1,WEEKDAY(CT$6,1)=7),0,MIN(8,CT86)*CT85))</f>
      </c>
      <c r="CU87" s="26">
        <f>IF(CU$6="","",IF(OR(WEEKDAY(CU$6,1)=1,WEEKDAY(CU$6,1)=7),0,MIN(8,CU86)*CU85))</f>
      </c>
      <c r="CV87" s="26">
        <f>IF(CV$6="","",IF(OR(WEEKDAY(CV$6,1)=1,WEEKDAY(CV$6,1)=7),0,MIN(8,CV86)*CV85))</f>
      </c>
      <c r="CW87" s="26">
        <f>IF(CW$6="","",IF(OR(WEEKDAY(CW$6,1)=1,WEEKDAY(CW$6,1)=7),0,MIN(8,CW86)*CW85))</f>
      </c>
      <c r="CX87" s="8" t="s">
        <v>110</v>
      </c>
    </row>
    <row r="88" spans="2:102" x14ac:dyDescent="0.25">
      <c r="B88" s="26">
        <f>SUM(L88:CW88)</f>
      </c>
      <c r="D88" s="27">
        <f>B88*E88</f>
      </c>
      <c r="E88" s="27">
        <f>'Rate Tables'!D25</f>
      </c>
      <c r="F88" s="8" t="s">
        <v>40</v>
      </c>
      <c r="L88" s="26">
        <f>IF(L$6="","",IF(WEEKDAY(L$6,1)=1,0,IF(WEEKDAY(L$6,1)=7,L86*L85,MAX(0,L86-8)*L85)))</f>
      </c>
      <c r="M88" s="26">
        <f>IF(M$6="","",IF(WEEKDAY(M$6,1)=1,0,IF(WEEKDAY(M$6,1)=7,M86*M85,MAX(0,M86-8)*M85)))</f>
      </c>
      <c r="N88" s="26">
        <f>IF(N$6="","",IF(WEEKDAY(N$6,1)=1,0,IF(WEEKDAY(N$6,1)=7,N86*N85,MAX(0,N86-8)*N85)))</f>
      </c>
      <c r="O88" s="26">
        <f>IF(O$6="","",IF(WEEKDAY(O$6,1)=1,0,IF(WEEKDAY(O$6,1)=7,O86*O85,MAX(0,O86-8)*O85)))</f>
      </c>
      <c r="P88" s="26">
        <f>IF(P$6="","",IF(WEEKDAY(P$6,1)=1,0,IF(WEEKDAY(P$6,1)=7,P86*P85,MAX(0,P86-8)*P85)))</f>
      </c>
      <c r="Q88" s="26">
        <f>IF(Q$6="","",IF(WEEKDAY(Q$6,1)=1,0,IF(WEEKDAY(Q$6,1)=7,Q86*Q85,MAX(0,Q86-8)*Q85)))</f>
      </c>
      <c r="R88" s="26">
        <f>IF(R$6="","",IF(WEEKDAY(R$6,1)=1,0,IF(WEEKDAY(R$6,1)=7,R86*R85,MAX(0,R86-8)*R85)))</f>
      </c>
      <c r="S88" s="26">
        <f>IF(S$6="","",IF(WEEKDAY(S$6,1)=1,0,IF(WEEKDAY(S$6,1)=7,S86*S85,MAX(0,S86-8)*S85)))</f>
      </c>
      <c r="T88" s="26">
        <f>IF(T$6="","",IF(WEEKDAY(T$6,1)=1,0,IF(WEEKDAY(T$6,1)=7,T86*T85,MAX(0,T86-8)*T85)))</f>
      </c>
      <c r="U88" s="26">
        <f>IF(U$6="","",IF(WEEKDAY(U$6,1)=1,0,IF(WEEKDAY(U$6,1)=7,U86*U85,MAX(0,U86-8)*U85)))</f>
      </c>
      <c r="V88" s="26">
        <f>IF(V$6="","",IF(WEEKDAY(V$6,1)=1,0,IF(WEEKDAY(V$6,1)=7,V86*V85,MAX(0,V86-8)*V85)))</f>
      </c>
      <c r="W88" s="26">
        <f>IF(W$6="","",IF(WEEKDAY(W$6,1)=1,0,IF(WEEKDAY(W$6,1)=7,W86*W85,MAX(0,W86-8)*W85)))</f>
      </c>
      <c r="X88" s="26">
        <f>IF(X$6="","",IF(WEEKDAY(X$6,1)=1,0,IF(WEEKDAY(X$6,1)=7,X86*X85,MAX(0,X86-8)*X85)))</f>
      </c>
      <c r="Y88" s="26">
        <f>IF(Y$6="","",IF(WEEKDAY(Y$6,1)=1,0,IF(WEEKDAY(Y$6,1)=7,Y86*Y85,MAX(0,Y86-8)*Y85)))</f>
      </c>
      <c r="Z88" s="26">
        <f>IF(Z$6="","",IF(WEEKDAY(Z$6,1)=1,0,IF(WEEKDAY(Z$6,1)=7,Z86*Z85,MAX(0,Z86-8)*Z85)))</f>
      </c>
      <c r="AA88" s="26">
        <f>IF(AA$6="","",IF(WEEKDAY(AA$6,1)=1,0,IF(WEEKDAY(AA$6,1)=7,AA86*AA85,MAX(0,AA86-8)*AA85)))</f>
      </c>
      <c r="AB88" s="26">
        <f>IF(AB$6="","",IF(WEEKDAY(AB$6,1)=1,0,IF(WEEKDAY(AB$6,1)=7,AB86*AB85,MAX(0,AB86-8)*AB85)))</f>
      </c>
      <c r="AC88" s="26">
        <f>IF(AC$6="","",IF(WEEKDAY(AC$6,1)=1,0,IF(WEEKDAY(AC$6,1)=7,AC86*AC85,MAX(0,AC86-8)*AC85)))</f>
      </c>
      <c r="AD88" s="26">
        <f>IF(AD$6="","",IF(WEEKDAY(AD$6,1)=1,0,IF(WEEKDAY(AD$6,1)=7,AD86*AD85,MAX(0,AD86-8)*AD85)))</f>
      </c>
      <c r="AE88" s="26">
        <f>IF(AE$6="","",IF(WEEKDAY(AE$6,1)=1,0,IF(WEEKDAY(AE$6,1)=7,AE86*AE85,MAX(0,AE86-8)*AE85)))</f>
      </c>
      <c r="AF88" s="26">
        <f>IF(AF$6="","",IF(WEEKDAY(AF$6,1)=1,0,IF(WEEKDAY(AF$6,1)=7,AF86*AF85,MAX(0,AF86-8)*AF85)))</f>
      </c>
      <c r="AG88" s="26">
        <f>IF(AG$6="","",IF(WEEKDAY(AG$6,1)=1,0,IF(WEEKDAY(AG$6,1)=7,AG86*AG85,MAX(0,AG86-8)*AG85)))</f>
      </c>
      <c r="AH88" s="26">
        <f>IF(AH$6="","",IF(WEEKDAY(AH$6,1)=1,0,IF(WEEKDAY(AH$6,1)=7,AH86*AH85,MAX(0,AH86-8)*AH85)))</f>
      </c>
      <c r="AI88" s="26">
        <f>IF(AI$6="","",IF(WEEKDAY(AI$6,1)=1,0,IF(WEEKDAY(AI$6,1)=7,AI86*AI85,MAX(0,AI86-8)*AI85)))</f>
      </c>
      <c r="AJ88" s="26">
        <f>IF(AJ$6="","",IF(WEEKDAY(AJ$6,1)=1,0,IF(WEEKDAY(AJ$6,1)=7,AJ86*AJ85,MAX(0,AJ86-8)*AJ85)))</f>
      </c>
      <c r="AK88" s="26">
        <f>IF(AK$6="","",IF(WEEKDAY(AK$6,1)=1,0,IF(WEEKDAY(AK$6,1)=7,AK86*AK85,MAX(0,AK86-8)*AK85)))</f>
      </c>
      <c r="AL88" s="26">
        <f>IF(AL$6="","",IF(WEEKDAY(AL$6,1)=1,0,IF(WEEKDAY(AL$6,1)=7,AL86*AL85,MAX(0,AL86-8)*AL85)))</f>
      </c>
      <c r="AM88" s="26">
        <f>IF(AM$6="","",IF(WEEKDAY(AM$6,1)=1,0,IF(WEEKDAY(AM$6,1)=7,AM86*AM85,MAX(0,AM86-8)*AM85)))</f>
      </c>
      <c r="AN88" s="26">
        <f>IF(AN$6="","",IF(WEEKDAY(AN$6,1)=1,0,IF(WEEKDAY(AN$6,1)=7,AN86*AN85,MAX(0,AN86-8)*AN85)))</f>
      </c>
      <c r="AO88" s="26">
        <f>IF(AO$6="","",IF(WEEKDAY(AO$6,1)=1,0,IF(WEEKDAY(AO$6,1)=7,AO86*AO85,MAX(0,AO86-8)*AO85)))</f>
      </c>
      <c r="AP88" s="26">
        <f>IF(AP$6="","",IF(WEEKDAY(AP$6,1)=1,0,IF(WEEKDAY(AP$6,1)=7,AP86*AP85,MAX(0,AP86-8)*AP85)))</f>
      </c>
      <c r="AQ88" s="26">
        <f>IF(AQ$6="","",IF(WEEKDAY(AQ$6,1)=1,0,IF(WEEKDAY(AQ$6,1)=7,AQ86*AQ85,MAX(0,AQ86-8)*AQ85)))</f>
      </c>
      <c r="AR88" s="26">
        <f>IF(AR$6="","",IF(WEEKDAY(AR$6,1)=1,0,IF(WEEKDAY(AR$6,1)=7,AR86*AR85,MAX(0,AR86-8)*AR85)))</f>
      </c>
      <c r="AS88" s="26">
        <f>IF(AS$6="","",IF(WEEKDAY(AS$6,1)=1,0,IF(WEEKDAY(AS$6,1)=7,AS86*AS85,MAX(0,AS86-8)*AS85)))</f>
      </c>
      <c r="AT88" s="26">
        <f>IF(AT$6="","",IF(WEEKDAY(AT$6,1)=1,0,IF(WEEKDAY(AT$6,1)=7,AT86*AT85,MAX(0,AT86-8)*AT85)))</f>
      </c>
      <c r="AU88" s="26">
        <f>IF(AU$6="","",IF(WEEKDAY(AU$6,1)=1,0,IF(WEEKDAY(AU$6,1)=7,AU86*AU85,MAX(0,AU86-8)*AU85)))</f>
      </c>
      <c r="AV88" s="26">
        <f>IF(AV$6="","",IF(WEEKDAY(AV$6,1)=1,0,IF(WEEKDAY(AV$6,1)=7,AV86*AV85,MAX(0,AV86-8)*AV85)))</f>
      </c>
      <c r="AW88" s="26">
        <f>IF(AW$6="","",IF(WEEKDAY(AW$6,1)=1,0,IF(WEEKDAY(AW$6,1)=7,AW86*AW85,MAX(0,AW86-8)*AW85)))</f>
      </c>
      <c r="AX88" s="26">
        <f>IF(AX$6="","",IF(WEEKDAY(AX$6,1)=1,0,IF(WEEKDAY(AX$6,1)=7,AX86*AX85,MAX(0,AX86-8)*AX85)))</f>
      </c>
      <c r="AY88" s="26">
        <f>IF(AY$6="","",IF(WEEKDAY(AY$6,1)=1,0,IF(WEEKDAY(AY$6,1)=7,AY86*AY85,MAX(0,AY86-8)*AY85)))</f>
      </c>
      <c r="AZ88" s="26">
        <f>IF(AZ$6="","",IF(WEEKDAY(AZ$6,1)=1,0,IF(WEEKDAY(AZ$6,1)=7,AZ86*AZ85,MAX(0,AZ86-8)*AZ85)))</f>
      </c>
      <c r="BA88" s="26">
        <f>IF(BA$6="","",IF(WEEKDAY(BA$6,1)=1,0,IF(WEEKDAY(BA$6,1)=7,BA86*BA85,MAX(0,BA86-8)*BA85)))</f>
      </c>
      <c r="BB88" s="26">
        <f>IF(BB$6="","",IF(WEEKDAY(BB$6,1)=1,0,IF(WEEKDAY(BB$6,1)=7,BB86*BB85,MAX(0,BB86-8)*BB85)))</f>
      </c>
      <c r="BC88" s="26">
        <f>IF(BC$6="","",IF(WEEKDAY(BC$6,1)=1,0,IF(WEEKDAY(BC$6,1)=7,BC86*BC85,MAX(0,BC86-8)*BC85)))</f>
      </c>
      <c r="BD88" s="26">
        <f>IF(BD$6="","",IF(WEEKDAY(BD$6,1)=1,0,IF(WEEKDAY(BD$6,1)=7,BD86*BD85,MAX(0,BD86-8)*BD85)))</f>
      </c>
      <c r="BE88" s="26">
        <f>IF(BE$6="","",IF(WEEKDAY(BE$6,1)=1,0,IF(WEEKDAY(BE$6,1)=7,BE86*BE85,MAX(0,BE86-8)*BE85)))</f>
      </c>
      <c r="BF88" s="26">
        <f>IF(BF$6="","",IF(WEEKDAY(BF$6,1)=1,0,IF(WEEKDAY(BF$6,1)=7,BF86*BF85,MAX(0,BF86-8)*BF85)))</f>
      </c>
      <c r="BG88" s="26">
        <f>IF(BG$6="","",IF(WEEKDAY(BG$6,1)=1,0,IF(WEEKDAY(BG$6,1)=7,BG86*BG85,MAX(0,BG86-8)*BG85)))</f>
      </c>
      <c r="BH88" s="26">
        <f>IF(BH$6="","",IF(WEEKDAY(BH$6,1)=1,0,IF(WEEKDAY(BH$6,1)=7,BH86*BH85,MAX(0,BH86-8)*BH85)))</f>
      </c>
      <c r="BI88" s="26">
        <f>IF(BI$6="","",IF(WEEKDAY(BI$6,1)=1,0,IF(WEEKDAY(BI$6,1)=7,BI86*BI85,MAX(0,BI86-8)*BI85)))</f>
      </c>
      <c r="BJ88" s="26">
        <f>IF(BJ$6="","",IF(WEEKDAY(BJ$6,1)=1,0,IF(WEEKDAY(BJ$6,1)=7,BJ86*BJ85,MAX(0,BJ86-8)*BJ85)))</f>
      </c>
      <c r="BK88" s="26">
        <f>IF(BK$6="","",IF(WEEKDAY(BK$6,1)=1,0,IF(WEEKDAY(BK$6,1)=7,BK86*BK85,MAX(0,BK86-8)*BK85)))</f>
      </c>
      <c r="BL88" s="26">
        <f>IF(BL$6="","",IF(WEEKDAY(BL$6,1)=1,0,IF(WEEKDAY(BL$6,1)=7,BL86*BL85,MAX(0,BL86-8)*BL85)))</f>
      </c>
      <c r="BM88" s="26">
        <f>IF(BM$6="","",IF(WEEKDAY(BM$6,1)=1,0,IF(WEEKDAY(BM$6,1)=7,BM86*BM85,MAX(0,BM86-8)*BM85)))</f>
      </c>
      <c r="BN88" s="26">
        <f>IF(BN$6="","",IF(WEEKDAY(BN$6,1)=1,0,IF(WEEKDAY(BN$6,1)=7,BN86*BN85,MAX(0,BN86-8)*BN85)))</f>
      </c>
      <c r="BO88" s="26">
        <f>IF(BO$6="","",IF(WEEKDAY(BO$6,1)=1,0,IF(WEEKDAY(BO$6,1)=7,BO86*BO85,MAX(0,BO86-8)*BO85)))</f>
      </c>
      <c r="BP88" s="26">
        <f>IF(BP$6="","",IF(WEEKDAY(BP$6,1)=1,0,IF(WEEKDAY(BP$6,1)=7,BP86*BP85,MAX(0,BP86-8)*BP85)))</f>
      </c>
      <c r="BQ88" s="26">
        <f>IF(BQ$6="","",IF(WEEKDAY(BQ$6,1)=1,0,IF(WEEKDAY(BQ$6,1)=7,BQ86*BQ85,MAX(0,BQ86-8)*BQ85)))</f>
      </c>
      <c r="BR88" s="26">
        <f>IF(BR$6="","",IF(WEEKDAY(BR$6,1)=1,0,IF(WEEKDAY(BR$6,1)=7,BR86*BR85,MAX(0,BR86-8)*BR85)))</f>
      </c>
      <c r="BS88" s="26">
        <f>IF(BS$6="","",IF(WEEKDAY(BS$6,1)=1,0,IF(WEEKDAY(BS$6,1)=7,BS86*BS85,MAX(0,BS86-8)*BS85)))</f>
      </c>
      <c r="BT88" s="26">
        <f>IF(BT$6="","",IF(WEEKDAY(BT$6,1)=1,0,IF(WEEKDAY(BT$6,1)=7,BT86*BT85,MAX(0,BT86-8)*BT85)))</f>
      </c>
      <c r="BU88" s="26">
        <f>IF(BU$6="","",IF(WEEKDAY(BU$6,1)=1,0,IF(WEEKDAY(BU$6,1)=7,BU86*BU85,MAX(0,BU86-8)*BU85)))</f>
      </c>
      <c r="BV88" s="26">
        <f>IF(BV$6="","",IF(WEEKDAY(BV$6,1)=1,0,IF(WEEKDAY(BV$6,1)=7,BV86*BV85,MAX(0,BV86-8)*BV85)))</f>
      </c>
      <c r="BW88" s="26">
        <f>IF(BW$6="","",IF(WEEKDAY(BW$6,1)=1,0,IF(WEEKDAY(BW$6,1)=7,BW86*BW85,MAX(0,BW86-8)*BW85)))</f>
      </c>
      <c r="BX88" s="26">
        <f>IF(BX$6="","",IF(WEEKDAY(BX$6,1)=1,0,IF(WEEKDAY(BX$6,1)=7,BX86*BX85,MAX(0,BX86-8)*BX85)))</f>
      </c>
      <c r="BY88" s="26">
        <f>IF(BY$6="","",IF(WEEKDAY(BY$6,1)=1,0,IF(WEEKDAY(BY$6,1)=7,BY86*BY85,MAX(0,BY86-8)*BY85)))</f>
      </c>
      <c r="BZ88" s="26">
        <f>IF(BZ$6="","",IF(WEEKDAY(BZ$6,1)=1,0,IF(WEEKDAY(BZ$6,1)=7,BZ86*BZ85,MAX(0,BZ86-8)*BZ85)))</f>
      </c>
      <c r="CA88" s="26">
        <f>IF(CA$6="","",IF(WEEKDAY(CA$6,1)=1,0,IF(WEEKDAY(CA$6,1)=7,CA86*CA85,MAX(0,CA86-8)*CA85)))</f>
      </c>
      <c r="CB88" s="26">
        <f>IF(CB$6="","",IF(WEEKDAY(CB$6,1)=1,0,IF(WEEKDAY(CB$6,1)=7,CB86*CB85,MAX(0,CB86-8)*CB85)))</f>
      </c>
      <c r="CC88" s="26">
        <f>IF(CC$6="","",IF(WEEKDAY(CC$6,1)=1,0,IF(WEEKDAY(CC$6,1)=7,CC86*CC85,MAX(0,CC86-8)*CC85)))</f>
      </c>
      <c r="CD88" s="26">
        <f>IF(CD$6="","",IF(WEEKDAY(CD$6,1)=1,0,IF(WEEKDAY(CD$6,1)=7,CD86*CD85,MAX(0,CD86-8)*CD85)))</f>
      </c>
      <c r="CE88" s="26">
        <f>IF(CE$6="","",IF(WEEKDAY(CE$6,1)=1,0,IF(WEEKDAY(CE$6,1)=7,CE86*CE85,MAX(0,CE86-8)*CE85)))</f>
      </c>
      <c r="CF88" s="26">
        <f>IF(CF$6="","",IF(WEEKDAY(CF$6,1)=1,0,IF(WEEKDAY(CF$6,1)=7,CF86*CF85,MAX(0,CF86-8)*CF85)))</f>
      </c>
      <c r="CG88" s="26">
        <f>IF(CG$6="","",IF(WEEKDAY(CG$6,1)=1,0,IF(WEEKDAY(CG$6,1)=7,CG86*CG85,MAX(0,CG86-8)*CG85)))</f>
      </c>
      <c r="CH88" s="26">
        <f>IF(CH$6="","",IF(WEEKDAY(CH$6,1)=1,0,IF(WEEKDAY(CH$6,1)=7,CH86*CH85,MAX(0,CH86-8)*CH85)))</f>
      </c>
      <c r="CI88" s="26">
        <f>IF(CI$6="","",IF(WEEKDAY(CI$6,1)=1,0,IF(WEEKDAY(CI$6,1)=7,CI86*CI85,MAX(0,CI86-8)*CI85)))</f>
      </c>
      <c r="CJ88" s="26">
        <f>IF(CJ$6="","",IF(WEEKDAY(CJ$6,1)=1,0,IF(WEEKDAY(CJ$6,1)=7,CJ86*CJ85,MAX(0,CJ86-8)*CJ85)))</f>
      </c>
      <c r="CK88" s="26">
        <f>IF(CK$6="","",IF(WEEKDAY(CK$6,1)=1,0,IF(WEEKDAY(CK$6,1)=7,CK86*CK85,MAX(0,CK86-8)*CK85)))</f>
      </c>
      <c r="CL88" s="26">
        <f>IF(CL$6="","",IF(WEEKDAY(CL$6,1)=1,0,IF(WEEKDAY(CL$6,1)=7,CL86*CL85,MAX(0,CL86-8)*CL85)))</f>
      </c>
      <c r="CM88" s="26">
        <f>IF(CM$6="","",IF(WEEKDAY(CM$6,1)=1,0,IF(WEEKDAY(CM$6,1)=7,CM86*CM85,MAX(0,CM86-8)*CM85)))</f>
      </c>
      <c r="CN88" s="26">
        <f>IF(CN$6="","",IF(WEEKDAY(CN$6,1)=1,0,IF(WEEKDAY(CN$6,1)=7,CN86*CN85,MAX(0,CN86-8)*CN85)))</f>
      </c>
      <c r="CO88" s="26">
        <f>IF(CO$6="","",IF(WEEKDAY(CO$6,1)=1,0,IF(WEEKDAY(CO$6,1)=7,CO86*CO85,MAX(0,CO86-8)*CO85)))</f>
      </c>
      <c r="CP88" s="26">
        <f>IF(CP$6="","",IF(WEEKDAY(CP$6,1)=1,0,IF(WEEKDAY(CP$6,1)=7,CP86*CP85,MAX(0,CP86-8)*CP85)))</f>
      </c>
      <c r="CQ88" s="26">
        <f>IF(CQ$6="","",IF(WEEKDAY(CQ$6,1)=1,0,IF(WEEKDAY(CQ$6,1)=7,CQ86*CQ85,MAX(0,CQ86-8)*CQ85)))</f>
      </c>
      <c r="CR88" s="26">
        <f>IF(CR$6="","",IF(WEEKDAY(CR$6,1)=1,0,IF(WEEKDAY(CR$6,1)=7,CR86*CR85,MAX(0,CR86-8)*CR85)))</f>
      </c>
      <c r="CS88" s="26">
        <f>IF(CS$6="","",IF(WEEKDAY(CS$6,1)=1,0,IF(WEEKDAY(CS$6,1)=7,CS86*CS85,MAX(0,CS86-8)*CS85)))</f>
      </c>
      <c r="CT88" s="26">
        <f>IF(CT$6="","",IF(WEEKDAY(CT$6,1)=1,0,IF(WEEKDAY(CT$6,1)=7,CT86*CT85,MAX(0,CT86-8)*CT85)))</f>
      </c>
      <c r="CU88" s="26">
        <f>IF(CU$6="","",IF(WEEKDAY(CU$6,1)=1,0,IF(WEEKDAY(CU$6,1)=7,CU86*CU85,MAX(0,CU86-8)*CU85)))</f>
      </c>
      <c r="CV88" s="26">
        <f>IF(CV$6="","",IF(WEEKDAY(CV$6,1)=1,0,IF(WEEKDAY(CV$6,1)=7,CV86*CV85,MAX(0,CV86-8)*CV85)))</f>
      </c>
      <c r="CW88" s="26">
        <f>IF(CW$6="","",IF(WEEKDAY(CW$6,1)=1,0,IF(WEEKDAY(CW$6,1)=7,CW86*CW85,MAX(0,CW86-8)*CW85)))</f>
      </c>
      <c r="CX88" s="8" t="s">
        <v>110</v>
      </c>
    </row>
    <row r="89" spans="2:102" x14ac:dyDescent="0.25">
      <c r="B89" s="26">
        <f>SUM(L89:CW89)</f>
      </c>
      <c r="D89" s="27">
        <f>B89*E89</f>
      </c>
      <c r="E89" s="27">
        <f>'Rate Tables'!E25</f>
      </c>
      <c r="F89" s="8" t="s">
        <v>41</v>
      </c>
      <c r="L89" s="26">
        <f>IF(L$6="","",IF(WEEKDAY(L$6,1)=1,L86*L85,0))</f>
      </c>
      <c r="M89" s="26">
        <f>IF(M$6="","",IF(WEEKDAY(M$6,1)=1,M86*M85,0))</f>
      </c>
      <c r="N89" s="26">
        <f>IF(N$6="","",IF(WEEKDAY(N$6,1)=1,N86*N85,0))</f>
      </c>
      <c r="O89" s="26">
        <f>IF(O$6="","",IF(WEEKDAY(O$6,1)=1,O86*O85,0))</f>
      </c>
      <c r="P89" s="26">
        <f>IF(P$6="","",IF(WEEKDAY(P$6,1)=1,P86*P85,0))</f>
      </c>
      <c r="Q89" s="26">
        <f>IF(Q$6="","",IF(WEEKDAY(Q$6,1)=1,Q86*Q85,0))</f>
      </c>
      <c r="R89" s="26">
        <f>IF(R$6="","",IF(WEEKDAY(R$6,1)=1,R86*R85,0))</f>
      </c>
      <c r="S89" s="26">
        <f>IF(S$6="","",IF(WEEKDAY(S$6,1)=1,S86*S85,0))</f>
      </c>
      <c r="T89" s="26">
        <f>IF(T$6="","",IF(WEEKDAY(T$6,1)=1,T86*T85,0))</f>
      </c>
      <c r="U89" s="26">
        <f>IF(U$6="","",IF(WEEKDAY(U$6,1)=1,U86*U85,0))</f>
      </c>
      <c r="V89" s="26">
        <f>IF(V$6="","",IF(WEEKDAY(V$6,1)=1,V86*V85,0))</f>
      </c>
      <c r="W89" s="26">
        <f>IF(W$6="","",IF(WEEKDAY(W$6,1)=1,W86*W85,0))</f>
      </c>
      <c r="X89" s="26">
        <f>IF(X$6="","",IF(WEEKDAY(X$6,1)=1,X86*X85,0))</f>
      </c>
      <c r="Y89" s="26">
        <f>IF(Y$6="","",IF(WEEKDAY(Y$6,1)=1,Y86*Y85,0))</f>
      </c>
      <c r="Z89" s="26">
        <f>IF(Z$6="","",IF(WEEKDAY(Z$6,1)=1,Z86*Z85,0))</f>
      </c>
      <c r="AA89" s="26">
        <f>IF(AA$6="","",IF(WEEKDAY(AA$6,1)=1,AA86*AA85,0))</f>
      </c>
      <c r="AB89" s="26">
        <f>IF(AB$6="","",IF(WEEKDAY(AB$6,1)=1,AB86*AB85,0))</f>
      </c>
      <c r="AC89" s="26">
        <f>IF(AC$6="","",IF(WEEKDAY(AC$6,1)=1,AC86*AC85,0))</f>
      </c>
      <c r="AD89" s="26">
        <f>IF(AD$6="","",IF(WEEKDAY(AD$6,1)=1,AD86*AD85,0))</f>
      </c>
      <c r="AE89" s="26">
        <f>IF(AE$6="","",IF(WEEKDAY(AE$6,1)=1,AE86*AE85,0))</f>
      </c>
      <c r="AF89" s="26">
        <f>IF(AF$6="","",IF(WEEKDAY(AF$6,1)=1,AF86*AF85,0))</f>
      </c>
      <c r="AG89" s="26">
        <f>IF(AG$6="","",IF(WEEKDAY(AG$6,1)=1,AG86*AG85,0))</f>
      </c>
      <c r="AH89" s="26">
        <f>IF(AH$6="","",IF(WEEKDAY(AH$6,1)=1,AH86*AH85,0))</f>
      </c>
      <c r="AI89" s="26">
        <f>IF(AI$6="","",IF(WEEKDAY(AI$6,1)=1,AI86*AI85,0))</f>
      </c>
      <c r="AJ89" s="26">
        <f>IF(AJ$6="","",IF(WEEKDAY(AJ$6,1)=1,AJ86*AJ85,0))</f>
      </c>
      <c r="AK89" s="26">
        <f>IF(AK$6="","",IF(WEEKDAY(AK$6,1)=1,AK86*AK85,0))</f>
      </c>
      <c r="AL89" s="26">
        <f>IF(AL$6="","",IF(WEEKDAY(AL$6,1)=1,AL86*AL85,0))</f>
      </c>
      <c r="AM89" s="26">
        <f>IF(AM$6="","",IF(WEEKDAY(AM$6,1)=1,AM86*AM85,0))</f>
      </c>
      <c r="AN89" s="26">
        <f>IF(AN$6="","",IF(WEEKDAY(AN$6,1)=1,AN86*AN85,0))</f>
      </c>
      <c r="AO89" s="26">
        <f>IF(AO$6="","",IF(WEEKDAY(AO$6,1)=1,AO86*AO85,0))</f>
      </c>
      <c r="AP89" s="26">
        <f>IF(AP$6="","",IF(WEEKDAY(AP$6,1)=1,AP86*AP85,0))</f>
      </c>
      <c r="AQ89" s="26">
        <f>IF(AQ$6="","",IF(WEEKDAY(AQ$6,1)=1,AQ86*AQ85,0))</f>
      </c>
      <c r="AR89" s="26">
        <f>IF(AR$6="","",IF(WEEKDAY(AR$6,1)=1,AR86*AR85,0))</f>
      </c>
      <c r="AS89" s="26">
        <f>IF(AS$6="","",IF(WEEKDAY(AS$6,1)=1,AS86*AS85,0))</f>
      </c>
      <c r="AT89" s="26">
        <f>IF(AT$6="","",IF(WEEKDAY(AT$6,1)=1,AT86*AT85,0))</f>
      </c>
      <c r="AU89" s="26">
        <f>IF(AU$6="","",IF(WEEKDAY(AU$6,1)=1,AU86*AU85,0))</f>
      </c>
      <c r="AV89" s="26">
        <f>IF(AV$6="","",IF(WEEKDAY(AV$6,1)=1,AV86*AV85,0))</f>
      </c>
      <c r="AW89" s="26">
        <f>IF(AW$6="","",IF(WEEKDAY(AW$6,1)=1,AW86*AW85,0))</f>
      </c>
      <c r="AX89" s="26">
        <f>IF(AX$6="","",IF(WEEKDAY(AX$6,1)=1,AX86*AX85,0))</f>
      </c>
      <c r="AY89" s="26">
        <f>IF(AY$6="","",IF(WEEKDAY(AY$6,1)=1,AY86*AY85,0))</f>
      </c>
      <c r="AZ89" s="26">
        <f>IF(AZ$6="","",IF(WEEKDAY(AZ$6,1)=1,AZ86*AZ85,0))</f>
      </c>
      <c r="BA89" s="26">
        <f>IF(BA$6="","",IF(WEEKDAY(BA$6,1)=1,BA86*BA85,0))</f>
      </c>
      <c r="BB89" s="26">
        <f>IF(BB$6="","",IF(WEEKDAY(BB$6,1)=1,BB86*BB85,0))</f>
      </c>
      <c r="BC89" s="26">
        <f>IF(BC$6="","",IF(WEEKDAY(BC$6,1)=1,BC86*BC85,0))</f>
      </c>
      <c r="BD89" s="26">
        <f>IF(BD$6="","",IF(WEEKDAY(BD$6,1)=1,BD86*BD85,0))</f>
      </c>
      <c r="BE89" s="26">
        <f>IF(BE$6="","",IF(WEEKDAY(BE$6,1)=1,BE86*BE85,0))</f>
      </c>
      <c r="BF89" s="26">
        <f>IF(BF$6="","",IF(WEEKDAY(BF$6,1)=1,BF86*BF85,0))</f>
      </c>
      <c r="BG89" s="26">
        <f>IF(BG$6="","",IF(WEEKDAY(BG$6,1)=1,BG86*BG85,0))</f>
      </c>
      <c r="BH89" s="26">
        <f>IF(BH$6="","",IF(WEEKDAY(BH$6,1)=1,BH86*BH85,0))</f>
      </c>
      <c r="BI89" s="26">
        <f>IF(BI$6="","",IF(WEEKDAY(BI$6,1)=1,BI86*BI85,0))</f>
      </c>
      <c r="BJ89" s="26">
        <f>IF(BJ$6="","",IF(WEEKDAY(BJ$6,1)=1,BJ86*BJ85,0))</f>
      </c>
      <c r="BK89" s="26">
        <f>IF(BK$6="","",IF(WEEKDAY(BK$6,1)=1,BK86*BK85,0))</f>
      </c>
      <c r="BL89" s="26">
        <f>IF(BL$6="","",IF(WEEKDAY(BL$6,1)=1,BL86*BL85,0))</f>
      </c>
      <c r="BM89" s="26">
        <f>IF(BM$6="","",IF(WEEKDAY(BM$6,1)=1,BM86*BM85,0))</f>
      </c>
      <c r="BN89" s="26">
        <f>IF(BN$6="","",IF(WEEKDAY(BN$6,1)=1,BN86*BN85,0))</f>
      </c>
      <c r="BO89" s="26">
        <f>IF(BO$6="","",IF(WEEKDAY(BO$6,1)=1,BO86*BO85,0))</f>
      </c>
      <c r="BP89" s="26">
        <f>IF(BP$6="","",IF(WEEKDAY(BP$6,1)=1,BP86*BP85,0))</f>
      </c>
      <c r="BQ89" s="26">
        <f>IF(BQ$6="","",IF(WEEKDAY(BQ$6,1)=1,BQ86*BQ85,0))</f>
      </c>
      <c r="BR89" s="26">
        <f>IF(BR$6="","",IF(WEEKDAY(BR$6,1)=1,BR86*BR85,0))</f>
      </c>
      <c r="BS89" s="26">
        <f>IF(BS$6="","",IF(WEEKDAY(BS$6,1)=1,BS86*BS85,0))</f>
      </c>
      <c r="BT89" s="26">
        <f>IF(BT$6="","",IF(WEEKDAY(BT$6,1)=1,BT86*BT85,0))</f>
      </c>
      <c r="BU89" s="26">
        <f>IF(BU$6="","",IF(WEEKDAY(BU$6,1)=1,BU86*BU85,0))</f>
      </c>
      <c r="BV89" s="26">
        <f>IF(BV$6="","",IF(WEEKDAY(BV$6,1)=1,BV86*BV85,0))</f>
      </c>
      <c r="BW89" s="26">
        <f>IF(BW$6="","",IF(WEEKDAY(BW$6,1)=1,BW86*BW85,0))</f>
      </c>
      <c r="BX89" s="26">
        <f>IF(BX$6="","",IF(WEEKDAY(BX$6,1)=1,BX86*BX85,0))</f>
      </c>
      <c r="BY89" s="26">
        <f>IF(BY$6="","",IF(WEEKDAY(BY$6,1)=1,BY86*BY85,0))</f>
      </c>
      <c r="BZ89" s="26">
        <f>IF(BZ$6="","",IF(WEEKDAY(BZ$6,1)=1,BZ86*BZ85,0))</f>
      </c>
      <c r="CA89" s="26">
        <f>IF(CA$6="","",IF(WEEKDAY(CA$6,1)=1,CA86*CA85,0))</f>
      </c>
      <c r="CB89" s="26">
        <f>IF(CB$6="","",IF(WEEKDAY(CB$6,1)=1,CB86*CB85,0))</f>
      </c>
      <c r="CC89" s="26">
        <f>IF(CC$6="","",IF(WEEKDAY(CC$6,1)=1,CC86*CC85,0))</f>
      </c>
      <c r="CD89" s="26">
        <f>IF(CD$6="","",IF(WEEKDAY(CD$6,1)=1,CD86*CD85,0))</f>
      </c>
      <c r="CE89" s="26">
        <f>IF(CE$6="","",IF(WEEKDAY(CE$6,1)=1,CE86*CE85,0))</f>
      </c>
      <c r="CF89" s="26">
        <f>IF(CF$6="","",IF(WEEKDAY(CF$6,1)=1,CF86*CF85,0))</f>
      </c>
      <c r="CG89" s="26">
        <f>IF(CG$6="","",IF(WEEKDAY(CG$6,1)=1,CG86*CG85,0))</f>
      </c>
      <c r="CH89" s="26">
        <f>IF(CH$6="","",IF(WEEKDAY(CH$6,1)=1,CH86*CH85,0))</f>
      </c>
      <c r="CI89" s="26">
        <f>IF(CI$6="","",IF(WEEKDAY(CI$6,1)=1,CI86*CI85,0))</f>
      </c>
      <c r="CJ89" s="26">
        <f>IF(CJ$6="","",IF(WEEKDAY(CJ$6,1)=1,CJ86*CJ85,0))</f>
      </c>
      <c r="CK89" s="26">
        <f>IF(CK$6="","",IF(WEEKDAY(CK$6,1)=1,CK86*CK85,0))</f>
      </c>
      <c r="CL89" s="26">
        <f>IF(CL$6="","",IF(WEEKDAY(CL$6,1)=1,CL86*CL85,0))</f>
      </c>
      <c r="CM89" s="26">
        <f>IF(CM$6="","",IF(WEEKDAY(CM$6,1)=1,CM86*CM85,0))</f>
      </c>
      <c r="CN89" s="26">
        <f>IF(CN$6="","",IF(WEEKDAY(CN$6,1)=1,CN86*CN85,0))</f>
      </c>
      <c r="CO89" s="26">
        <f>IF(CO$6="","",IF(WEEKDAY(CO$6,1)=1,CO86*CO85,0))</f>
      </c>
      <c r="CP89" s="26">
        <f>IF(CP$6="","",IF(WEEKDAY(CP$6,1)=1,CP86*CP85,0))</f>
      </c>
      <c r="CQ89" s="26">
        <f>IF(CQ$6="","",IF(WEEKDAY(CQ$6,1)=1,CQ86*CQ85,0))</f>
      </c>
      <c r="CR89" s="26">
        <f>IF(CR$6="","",IF(WEEKDAY(CR$6,1)=1,CR86*CR85,0))</f>
      </c>
      <c r="CS89" s="26">
        <f>IF(CS$6="","",IF(WEEKDAY(CS$6,1)=1,CS86*CS85,0))</f>
      </c>
      <c r="CT89" s="26">
        <f>IF(CT$6="","",IF(WEEKDAY(CT$6,1)=1,CT86*CT85,0))</f>
      </c>
      <c r="CU89" s="26">
        <f>IF(CU$6="","",IF(WEEKDAY(CU$6,1)=1,CU86*CU85,0))</f>
      </c>
      <c r="CV89" s="26">
        <f>IF(CV$6="","",IF(WEEKDAY(CV$6,1)=1,CV86*CV85,0))</f>
      </c>
      <c r="CW89" s="26">
        <f>IF(CW$6="","",IF(WEEKDAY(CW$6,1)=1,CW86*CW85,0))</f>
      </c>
      <c r="CX89" s="8" t="s">
        <v>110</v>
      </c>
    </row>
    <row r="90" spans="2:102" x14ac:dyDescent="0.25">
      <c r="B90" s="26">
        <f>SUM(L90:CW90)</f>
      </c>
      <c r="D90" s="27">
        <f>B90*E90</f>
      </c>
      <c r="E90" s="27">
        <v>130</v>
      </c>
      <c r="F90" s="8" t="s">
        <v>42</v>
      </c>
      <c r="L90" s="28">
        <v>0</v>
      </c>
      <c r="M90" s="28">
        <v>0</v>
      </c>
      <c r="N90" s="28">
        <v>0</v>
      </c>
      <c r="O90" s="28">
        <v>0</v>
      </c>
      <c r="P90" s="28">
        <v>0</v>
      </c>
      <c r="Q90" s="28">
        <v>0</v>
      </c>
      <c r="R90" s="28">
        <v>0</v>
      </c>
      <c r="S90" s="28">
        <v>0</v>
      </c>
      <c r="T90" s="28">
        <v>0</v>
      </c>
      <c r="U90" s="28">
        <v>0</v>
      </c>
      <c r="V90" s="28">
        <v>0</v>
      </c>
      <c r="W90" s="28">
        <v>0</v>
      </c>
      <c r="X90" s="28">
        <v>0</v>
      </c>
      <c r="Y90" s="28">
        <v>0</v>
      </c>
      <c r="Z90" s="28">
        <v>0</v>
      </c>
      <c r="AA90" s="28">
        <v>0</v>
      </c>
      <c r="AB90" s="28">
        <v>0</v>
      </c>
      <c r="AC90" s="28">
        <v>0</v>
      </c>
      <c r="AD90" s="28">
        <v>0</v>
      </c>
      <c r="AE90" s="28">
        <v>0</v>
      </c>
      <c r="AF90" s="28">
        <v>0</v>
      </c>
      <c r="AG90" s="28">
        <v>0</v>
      </c>
      <c r="AH90" s="28">
        <v>0</v>
      </c>
      <c r="AI90" s="28">
        <v>0</v>
      </c>
      <c r="AJ90" s="28">
        <v>0</v>
      </c>
      <c r="AK90" s="28">
        <v>0</v>
      </c>
      <c r="AL90" s="28">
        <v>0</v>
      </c>
      <c r="AM90" s="28">
        <v>0</v>
      </c>
      <c r="AN90" s="28">
        <v>0</v>
      </c>
      <c r="AO90" s="28">
        <v>0</v>
      </c>
      <c r="AP90" s="28">
        <v>0</v>
      </c>
      <c r="AQ90" s="28">
        <v>0</v>
      </c>
      <c r="AR90" s="28">
        <v>0</v>
      </c>
      <c r="AS90" s="28">
        <v>0</v>
      </c>
      <c r="AT90" s="28">
        <v>0</v>
      </c>
      <c r="AU90" s="28">
        <v>0</v>
      </c>
      <c r="AV90" s="28">
        <v>0</v>
      </c>
      <c r="AW90" s="28">
        <v>0</v>
      </c>
      <c r="AX90" s="28">
        <v>0</v>
      </c>
      <c r="AY90" s="28">
        <v>0</v>
      </c>
      <c r="AZ90" s="28">
        <v>0</v>
      </c>
      <c r="BA90" s="28">
        <v>0</v>
      </c>
      <c r="BB90" s="28">
        <v>0</v>
      </c>
      <c r="BC90" s="28">
        <v>0</v>
      </c>
      <c r="BD90" s="28">
        <v>0</v>
      </c>
      <c r="BE90" s="28">
        <v>0</v>
      </c>
      <c r="BF90" s="28">
        <v>0</v>
      </c>
      <c r="BG90" s="28">
        <v>0</v>
      </c>
      <c r="BH90" s="28">
        <v>0</v>
      </c>
      <c r="BI90" s="28">
        <v>0</v>
      </c>
      <c r="BJ90" s="28">
        <v>0</v>
      </c>
      <c r="BK90" s="28">
        <v>0</v>
      </c>
      <c r="BL90" s="28">
        <v>0</v>
      </c>
      <c r="BM90" s="28">
        <v>0</v>
      </c>
      <c r="BN90" s="28">
        <v>0</v>
      </c>
      <c r="BO90" s="28">
        <v>0</v>
      </c>
      <c r="BP90" s="28">
        <v>0</v>
      </c>
      <c r="BQ90" s="28">
        <v>0</v>
      </c>
      <c r="BR90" s="28">
        <v>0</v>
      </c>
      <c r="BS90" s="28">
        <v>0</v>
      </c>
      <c r="BT90" s="28">
        <v>0</v>
      </c>
      <c r="BU90" s="28">
        <v>0</v>
      </c>
      <c r="BV90" s="28">
        <v>0</v>
      </c>
      <c r="BW90" s="28">
        <v>0</v>
      </c>
      <c r="BX90" s="28">
        <v>0</v>
      </c>
      <c r="BY90" s="28">
        <v>0</v>
      </c>
      <c r="BZ90" s="28">
        <v>0</v>
      </c>
      <c r="CA90" s="28">
        <v>0</v>
      </c>
      <c r="CB90" s="28">
        <v>0</v>
      </c>
      <c r="CC90" s="28">
        <v>0</v>
      </c>
      <c r="CD90" s="28">
        <v>0</v>
      </c>
      <c r="CE90" s="28">
        <v>0</v>
      </c>
      <c r="CF90" s="28">
        <v>0</v>
      </c>
      <c r="CG90" s="28">
        <v>0</v>
      </c>
      <c r="CH90" s="28">
        <v>0</v>
      </c>
      <c r="CI90" s="28">
        <v>0</v>
      </c>
      <c r="CJ90" s="28">
        <v>0</v>
      </c>
      <c r="CK90" s="28">
        <v>0</v>
      </c>
      <c r="CL90" s="28">
        <v>0</v>
      </c>
      <c r="CM90" s="28">
        <v>0</v>
      </c>
      <c r="CN90" s="28">
        <v>0</v>
      </c>
      <c r="CO90" s="28">
        <v>0</v>
      </c>
      <c r="CP90" s="28">
        <v>0</v>
      </c>
      <c r="CQ90" s="28">
        <v>0</v>
      </c>
      <c r="CR90" s="28">
        <v>0</v>
      </c>
      <c r="CS90" s="28">
        <v>0</v>
      </c>
      <c r="CT90" s="28">
        <v>0</v>
      </c>
      <c r="CU90" s="28">
        <v>0</v>
      </c>
      <c r="CV90" s="28">
        <v>0</v>
      </c>
      <c r="CW90" s="28">
        <v>0</v>
      </c>
      <c r="CX90" s="8" t="s">
        <v>110</v>
      </c>
    </row>
    <row r="91" spans="1:11" x14ac:dyDescent="0.25">
      <c r="A91" s="14" t="s">
        <v>81</v>
      </c>
      <c r="B91" s="15">
        <f>SUM(B7,B14,B21,B28,B35,B42,B49,B56,B63,B70,B77,B84)</f>
      </c>
      <c r="D91" s="18">
        <f>SUM(D13,D20,D27,D34,D41,D48,D55,D62,D69,D76,D83,D90)</f>
      </c>
      <c r="G91" s="15">
        <f>SUM(G7,G14,G21,G28,G35,G42,G49,G56,G63,G70,G77,G84)</f>
      </c>
      <c r="H91" s="15">
        <f>SUM(H7,H14,H21,H28,H35,H42,H49,H56,H63,H70,H77,H84)</f>
      </c>
      <c r="I91" s="15">
        <f>SUM(I7,I14,I21,I28,I35,I42,I49,I56,I63,I70,I77,I84)</f>
      </c>
      <c r="J91" s="15">
        <f>SUM(J7,J14,J21,J28,J35,J42,J49,J56,J63,J70,J77,J84)</f>
      </c>
      <c r="K91" s="18">
        <f>SUM(K7,K14,K21,K28,K35,K42,K49,K56,K63,K70,K77,K84)</f>
      </c>
    </row>
  </sheetData>
  <mergeCells count="2">
    <mergeCell ref="A1:CW1"/>
    <mergeCell ref="A3:CW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H35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46269.7242218287</v>
      </c>
    </row>
    <row r="6" ht="20" customHeight="1" spans="1:8" x14ac:dyDescent="0.25">
      <c r="A6" s="7" t="s">
        <v>111</v>
      </c>
      <c r="B6" s="7" t="s">
        <v>112</v>
      </c>
      <c r="C6" s="7" t="s">
        <v>113</v>
      </c>
      <c r="D6" s="7" t="s">
        <v>114</v>
      </c>
      <c r="E6" s="7" t="s">
        <v>115</v>
      </c>
      <c r="F6" s="7" t="s">
        <v>116</v>
      </c>
      <c r="G6" s="7" t="s">
        <v>117</v>
      </c>
      <c r="H6" s="7" t="s">
        <v>118</v>
      </c>
    </row>
    <row r="7" spans="1:8" x14ac:dyDescent="0.25">
      <c r="A7" s="8" t="s">
        <v>119</v>
      </c>
      <c r="B7" s="8" t="s">
        <v>120</v>
      </c>
      <c r="C7" s="28">
        <v>12</v>
      </c>
      <c r="D7" s="28">
        <v>5</v>
      </c>
      <c r="E7" s="27">
        <v>1225</v>
      </c>
      <c r="F7" s="27">
        <v>50</v>
      </c>
      <c r="G7" s="27">
        <f>C7*D7*E7+F7</f>
      </c>
      <c r="H7" s="27">
        <f>G7*1.06</f>
      </c>
    </row>
    <row r="8" spans="1:8" x14ac:dyDescent="0.25">
      <c r="A8" s="11" t="s">
        <v>121</v>
      </c>
      <c r="B8" s="11" t="s">
        <v>120</v>
      </c>
      <c r="C8" s="29">
        <v>1</v>
      </c>
      <c r="D8" s="29">
        <v>5</v>
      </c>
      <c r="E8" s="30">
        <v>2800</v>
      </c>
      <c r="F8" s="30">
        <v>0</v>
      </c>
      <c r="G8" s="30">
        <f>C8*D8*E8+F8</f>
      </c>
      <c r="H8" s="30">
        <f>G8*1.06</f>
      </c>
    </row>
    <row r="9" spans="1:8" x14ac:dyDescent="0.25">
      <c r="A9" s="8" t="s">
        <v>122</v>
      </c>
      <c r="B9" s="8" t="s">
        <v>120</v>
      </c>
      <c r="C9" s="28">
        <v>5</v>
      </c>
      <c r="D9" s="28">
        <v>5</v>
      </c>
      <c r="E9" s="27">
        <v>150</v>
      </c>
      <c r="F9" s="27">
        <v>0</v>
      </c>
      <c r="G9" s="27">
        <f>C9*D9*E9+F9</f>
      </c>
      <c r="H9" s="27">
        <f>G9*1.06</f>
      </c>
    </row>
    <row r="10" spans="1:8" x14ac:dyDescent="0.25">
      <c r="A10" s="11" t="s">
        <v>123</v>
      </c>
      <c r="B10" s="11" t="s">
        <v>120</v>
      </c>
      <c r="C10" s="29">
        <v>2</v>
      </c>
      <c r="D10" s="29">
        <v>5</v>
      </c>
      <c r="E10" s="30">
        <v>895</v>
      </c>
      <c r="F10" s="30">
        <v>50</v>
      </c>
      <c r="G10" s="30">
        <f>C10*D10*E10+F10</f>
      </c>
      <c r="H10" s="30">
        <f>G10*1.06</f>
      </c>
    </row>
    <row r="11" spans="1:8" x14ac:dyDescent="0.25">
      <c r="A11" s="8" t="s">
        <v>124</v>
      </c>
      <c r="B11" s="8" t="s">
        <v>120</v>
      </c>
      <c r="C11" s="28">
        <v>4</v>
      </c>
      <c r="D11" s="28">
        <v>5</v>
      </c>
      <c r="E11" s="27">
        <v>627</v>
      </c>
      <c r="F11" s="27">
        <v>100</v>
      </c>
      <c r="G11" s="27">
        <f>C11*D11*E11+F11</f>
      </c>
      <c r="H11" s="27">
        <f>G11*1.06</f>
      </c>
    </row>
    <row r="12" spans="1:8" x14ac:dyDescent="0.25">
      <c r="A12" s="11" t="s">
        <v>125</v>
      </c>
      <c r="B12" s="11" t="s">
        <v>120</v>
      </c>
      <c r="C12" s="29">
        <v>1.5</v>
      </c>
      <c r="D12" s="29">
        <v>5</v>
      </c>
      <c r="E12" s="30">
        <v>801</v>
      </c>
      <c r="F12" s="30">
        <v>50</v>
      </c>
      <c r="G12" s="30">
        <f>C12*D12*E12+F12</f>
      </c>
      <c r="H12" s="30">
        <f>G12*1.06</f>
      </c>
    </row>
    <row r="13" spans="1:8" x14ac:dyDescent="0.25">
      <c r="A13" s="8" t="s">
        <v>126</v>
      </c>
      <c r="B13" s="8" t="s">
        <v>120</v>
      </c>
      <c r="C13" s="28">
        <v>2.5</v>
      </c>
      <c r="D13" s="28">
        <v>5</v>
      </c>
      <c r="E13" s="27">
        <v>512</v>
      </c>
      <c r="F13" s="27">
        <v>50</v>
      </c>
      <c r="G13" s="27">
        <f>C13*D13*E13+F13</f>
      </c>
      <c r="H13" s="27">
        <f>G13*1.06</f>
      </c>
    </row>
    <row r="14" spans="1:8" x14ac:dyDescent="0.25">
      <c r="A14" s="11" t="s">
        <v>127</v>
      </c>
      <c r="B14" s="11" t="s">
        <v>120</v>
      </c>
      <c r="C14" s="29">
        <v>5.5</v>
      </c>
      <c r="D14" s="29">
        <v>5</v>
      </c>
      <c r="E14" s="30">
        <v>225</v>
      </c>
      <c r="F14" s="30">
        <v>50</v>
      </c>
      <c r="G14" s="30">
        <f>C14*D14*E14+F14</f>
      </c>
      <c r="H14" s="30">
        <f>G14*1.06</f>
      </c>
    </row>
    <row r="15" spans="1:8" x14ac:dyDescent="0.25">
      <c r="A15" s="8" t="s">
        <v>128</v>
      </c>
      <c r="B15" s="8" t="s">
        <v>120</v>
      </c>
      <c r="C15" s="28">
        <v>0.45</v>
      </c>
      <c r="D15" s="28">
        <v>5</v>
      </c>
      <c r="E15" s="27">
        <v>6500</v>
      </c>
      <c r="F15" s="27">
        <v>250</v>
      </c>
      <c r="G15" s="27">
        <f>C15*D15*E15+F15</f>
      </c>
      <c r="H15" s="27">
        <f>G15*1.06</f>
      </c>
    </row>
    <row r="16" spans="1:8" x14ac:dyDescent="0.25">
      <c r="A16" s="11" t="s">
        <v>129</v>
      </c>
      <c r="B16" s="11" t="s">
        <v>120</v>
      </c>
      <c r="C16" s="29">
        <v>1</v>
      </c>
      <c r="D16" s="29">
        <v>3</v>
      </c>
      <c r="E16" s="30">
        <v>847</v>
      </c>
      <c r="F16" s="30">
        <v>100</v>
      </c>
      <c r="G16" s="30">
        <f>C16*D16*E16+F16</f>
      </c>
      <c r="H16" s="30">
        <f>G16*1.06</f>
      </c>
    </row>
    <row r="17" spans="1:8" x14ac:dyDescent="0.25">
      <c r="A17" s="8" t="s">
        <v>130</v>
      </c>
      <c r="B17" s="8" t="s">
        <v>120</v>
      </c>
      <c r="C17" s="28">
        <v>0.5</v>
      </c>
      <c r="D17" s="28">
        <v>5</v>
      </c>
      <c r="E17" s="27">
        <v>460</v>
      </c>
      <c r="F17" s="27">
        <v>50</v>
      </c>
      <c r="G17" s="27">
        <f>C17*D17*E17+F17</f>
      </c>
      <c r="H17" s="27">
        <f>G17*1.06</f>
      </c>
    </row>
    <row r="18" spans="1:8" x14ac:dyDescent="0.25">
      <c r="A18" s="11" t="s">
        <v>131</v>
      </c>
      <c r="B18" s="11" t="s">
        <v>120</v>
      </c>
      <c r="C18" s="29">
        <v>1</v>
      </c>
      <c r="D18" s="29">
        <v>5</v>
      </c>
      <c r="E18" s="30">
        <v>3500</v>
      </c>
      <c r="F18" s="30">
        <v>200</v>
      </c>
      <c r="G18" s="30">
        <f>C18*D18*E18+F18</f>
      </c>
      <c r="H18" s="30">
        <f>G18*1.06</f>
      </c>
    </row>
    <row r="19" spans="1:8" x14ac:dyDescent="0.25">
      <c r="A19" s="8" t="s">
        <v>132</v>
      </c>
      <c r="B19" s="8" t="s">
        <v>120</v>
      </c>
      <c r="C19" s="28">
        <v>2.2</v>
      </c>
      <c r="D19" s="28">
        <v>5</v>
      </c>
      <c r="E19" s="27">
        <v>1750</v>
      </c>
      <c r="F19" s="27">
        <v>1500</v>
      </c>
      <c r="G19" s="27">
        <f>C19*D19*E19+F19</f>
      </c>
      <c r="H19" s="27">
        <f>G19*1.06</f>
      </c>
    </row>
    <row r="20" spans="1:8" x14ac:dyDescent="0.25">
      <c r="A20" s="11" t="s">
        <v>133</v>
      </c>
      <c r="B20" s="11" t="s">
        <v>120</v>
      </c>
      <c r="C20" s="29">
        <v>2.5</v>
      </c>
      <c r="D20" s="29">
        <v>5</v>
      </c>
      <c r="E20" s="30">
        <v>1600</v>
      </c>
      <c r="F20" s="30">
        <v>0</v>
      </c>
      <c r="G20" s="30">
        <f>C20*D20*E20+F20</f>
      </c>
      <c r="H20" s="30">
        <f>G20*1.06</f>
      </c>
    </row>
    <row r="21" spans="1:8" x14ac:dyDescent="0.25">
      <c r="A21" s="8" t="s">
        <v>134</v>
      </c>
      <c r="B21" s="8" t="s">
        <v>120</v>
      </c>
      <c r="C21" s="28">
        <v>2</v>
      </c>
      <c r="D21" s="28">
        <v>5</v>
      </c>
      <c r="E21" s="27">
        <v>4000</v>
      </c>
      <c r="F21" s="27">
        <v>1200</v>
      </c>
      <c r="G21" s="27">
        <f>C21*D21*E21+F21</f>
      </c>
      <c r="H21" s="27">
        <f>G21*1.06</f>
      </c>
    </row>
    <row r="22" spans="1:8" x14ac:dyDescent="0.25">
      <c r="A22" s="11" t="s">
        <v>135</v>
      </c>
      <c r="B22" s="11" t="s">
        <v>120</v>
      </c>
      <c r="C22" s="29">
        <v>2.3</v>
      </c>
      <c r="D22" s="29">
        <v>5</v>
      </c>
      <c r="E22" s="30">
        <v>675</v>
      </c>
      <c r="F22" s="30">
        <v>100</v>
      </c>
      <c r="G22" s="30">
        <f>C22*D22*E22+F22</f>
      </c>
      <c r="H22" s="30">
        <f>G22*1.06</f>
      </c>
    </row>
    <row r="23" spans="1:8" x14ac:dyDescent="0.25">
      <c r="A23" s="8" t="s">
        <v>136</v>
      </c>
      <c r="B23" s="8" t="s">
        <v>120</v>
      </c>
      <c r="C23" s="28">
        <v>3</v>
      </c>
      <c r="D23" s="28">
        <v>5</v>
      </c>
      <c r="E23" s="27">
        <v>750</v>
      </c>
      <c r="F23" s="27">
        <v>100</v>
      </c>
      <c r="G23" s="27">
        <f>C23*D23*E23+F23</f>
      </c>
      <c r="H23" s="27">
        <f>G23*1.06</f>
      </c>
    </row>
    <row r="24" spans="1:8" x14ac:dyDescent="0.25">
      <c r="A24" s="11" t="s">
        <v>137</v>
      </c>
      <c r="B24" s="11" t="s">
        <v>120</v>
      </c>
      <c r="C24" s="29">
        <v>1.5</v>
      </c>
      <c r="D24" s="29">
        <v>5</v>
      </c>
      <c r="E24" s="30">
        <v>750</v>
      </c>
      <c r="F24" s="30">
        <v>200</v>
      </c>
      <c r="G24" s="30">
        <f>C24*D24*E24+F24</f>
      </c>
      <c r="H24" s="30">
        <f>G24*1.06</f>
      </c>
    </row>
    <row r="25" spans="1:8" x14ac:dyDescent="0.25">
      <c r="A25" s="8" t="s">
        <v>138</v>
      </c>
      <c r="B25" s="8" t="s">
        <v>120</v>
      </c>
      <c r="C25" s="28">
        <v>3</v>
      </c>
      <c r="D25" s="28">
        <v>5</v>
      </c>
      <c r="E25" s="27">
        <v>780</v>
      </c>
      <c r="F25" s="27">
        <v>250</v>
      </c>
      <c r="G25" s="27">
        <f>C25*D25*E25+F25</f>
      </c>
      <c r="H25" s="27">
        <f>G25*1.06</f>
      </c>
    </row>
    <row r="26" spans="1:8" x14ac:dyDescent="0.25">
      <c r="A26" s="11" t="s">
        <v>139</v>
      </c>
      <c r="B26" s="11" t="s">
        <v>120</v>
      </c>
      <c r="C26" s="29">
        <v>2.3</v>
      </c>
      <c r="D26" s="29">
        <v>5</v>
      </c>
      <c r="E26" s="30">
        <v>1080</v>
      </c>
      <c r="F26" s="30">
        <v>250</v>
      </c>
      <c r="G26" s="30">
        <f>C26*D26*E26+F26</f>
      </c>
      <c r="H26" s="30">
        <f>G26*1.06</f>
      </c>
    </row>
    <row r="27" spans="1:8" x14ac:dyDescent="0.25">
      <c r="A27" s="8" t="s">
        <v>140</v>
      </c>
      <c r="B27" s="8" t="s">
        <v>120</v>
      </c>
      <c r="C27" s="28">
        <v>1.6</v>
      </c>
      <c r="D27" s="28">
        <v>5</v>
      </c>
      <c r="E27" s="27">
        <v>514.5</v>
      </c>
      <c r="F27" s="27">
        <v>0</v>
      </c>
      <c r="G27" s="27">
        <f>C27*D27*E27+F27</f>
      </c>
      <c r="H27" s="27">
        <f>G27*1.06</f>
      </c>
    </row>
    <row r="28" spans="1:8" x14ac:dyDescent="0.25">
      <c r="A28" s="11" t="s">
        <v>141</v>
      </c>
      <c r="B28" s="11" t="s">
        <v>120</v>
      </c>
      <c r="C28" s="29">
        <v>1.2</v>
      </c>
      <c r="D28" s="29">
        <v>5</v>
      </c>
      <c r="E28" s="30">
        <v>726</v>
      </c>
      <c r="F28" s="30">
        <v>50</v>
      </c>
      <c r="G28" s="30">
        <f>C28*D28*E28+F28</f>
      </c>
      <c r="H28" s="30">
        <f>G28*1.06</f>
      </c>
    </row>
    <row r="29" spans="1:8" x14ac:dyDescent="0.25">
      <c r="A29" s="8" t="s">
        <v>142</v>
      </c>
      <c r="B29" s="8" t="s">
        <v>120</v>
      </c>
      <c r="C29" s="28">
        <v>1.2</v>
      </c>
      <c r="D29" s="28">
        <v>5</v>
      </c>
      <c r="E29" s="27">
        <v>584</v>
      </c>
      <c r="F29" s="27">
        <v>50</v>
      </c>
      <c r="G29" s="27">
        <f>C29*D29*E29+F29</f>
      </c>
      <c r="H29" s="27">
        <f>G29*1.06</f>
      </c>
    </row>
    <row r="30" spans="1:8" x14ac:dyDescent="0.25">
      <c r="A30" s="11" t="s">
        <v>143</v>
      </c>
      <c r="B30" s="11" t="s">
        <v>120</v>
      </c>
      <c r="C30" s="29">
        <v>1</v>
      </c>
      <c r="D30" s="29">
        <v>1</v>
      </c>
      <c r="E30" s="30">
        <v>4140</v>
      </c>
      <c r="F30" s="30">
        <v>200</v>
      </c>
      <c r="G30" s="30">
        <f>C30*D30*E30+F30</f>
      </c>
      <c r="H30" s="30">
        <f>G30*1.06</f>
      </c>
    </row>
    <row r="31" spans="1:8" x14ac:dyDescent="0.25">
      <c r="A31" s="8" t="s">
        <v>144</v>
      </c>
      <c r="B31" s="8" t="s">
        <v>120</v>
      </c>
      <c r="C31" s="28">
        <v>1</v>
      </c>
      <c r="D31" s="28">
        <v>2</v>
      </c>
      <c r="E31" s="27">
        <v>3579</v>
      </c>
      <c r="F31" s="27">
        <v>200</v>
      </c>
      <c r="G31" s="27">
        <f>C31*D31*E31+F31</f>
      </c>
      <c r="H31" s="27">
        <f>G31*1.06</f>
      </c>
    </row>
    <row r="32" spans="1:8" x14ac:dyDescent="0.25">
      <c r="A32" s="11" t="s">
        <v>145</v>
      </c>
      <c r="B32" s="11" t="s">
        <v>120</v>
      </c>
      <c r="C32" s="29">
        <v>2</v>
      </c>
      <c r="D32" s="29">
        <v>1</v>
      </c>
      <c r="E32" s="30">
        <v>2540</v>
      </c>
      <c r="F32" s="30">
        <v>200</v>
      </c>
      <c r="G32" s="30">
        <f>C32*D32*E32+F32</f>
      </c>
      <c r="H32" s="30">
        <f>G32*1.06</f>
      </c>
    </row>
    <row r="33" spans="1:8" x14ac:dyDescent="0.25">
      <c r="A33" s="8" t="s">
        <v>146</v>
      </c>
      <c r="B33" s="8" t="s">
        <v>120</v>
      </c>
      <c r="C33" s="28">
        <v>2</v>
      </c>
      <c r="D33" s="28">
        <v>1</v>
      </c>
      <c r="E33" s="27">
        <v>7251</v>
      </c>
      <c r="F33" s="27">
        <v>200</v>
      </c>
      <c r="G33" s="27">
        <f>C33*D33*E33+F33</f>
      </c>
      <c r="H33" s="27">
        <f>G33*1.06</f>
      </c>
    </row>
    <row r="34" spans="1:8" x14ac:dyDescent="0.25">
      <c r="A34" s="11" t="s">
        <v>147</v>
      </c>
      <c r="B34" s="11" t="s">
        <v>120</v>
      </c>
      <c r="C34" s="29">
        <v>1</v>
      </c>
      <c r="D34" s="29">
        <v>1</v>
      </c>
      <c r="E34" s="30">
        <v>3024</v>
      </c>
      <c r="F34" s="30">
        <v>200</v>
      </c>
      <c r="G34" s="30">
        <f>C34*D34*E34+F34</f>
      </c>
      <c r="H34" s="30">
        <f>G34*1.06</f>
      </c>
    </row>
    <row r="35" spans="1:8" x14ac:dyDescent="0.25">
      <c r="A35" s="14" t="s">
        <v>81</v>
      </c>
      <c r="G35" s="18">
        <f>SUM(G7:G34)</f>
      </c>
      <c r="H35" s="18">
        <f>SUM(H7:H34)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H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4" width="14" customWidth="1"/>
    <col min="5" max="5" width="12" customWidth="1"/>
    <col min="6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46269.72422185185</v>
      </c>
    </row>
    <row r="6" ht="20" customHeight="1" spans="1:8" x14ac:dyDescent="0.25">
      <c r="A6" s="7" t="s">
        <v>148</v>
      </c>
      <c r="B6" s="7" t="s">
        <v>149</v>
      </c>
      <c r="C6" s="7" t="s">
        <v>113</v>
      </c>
      <c r="D6" s="7" t="s">
        <v>115</v>
      </c>
      <c r="E6" s="7" t="s">
        <v>150</v>
      </c>
      <c r="F6" s="7" t="s">
        <v>117</v>
      </c>
      <c r="G6" s="7" t="s">
        <v>151</v>
      </c>
      <c r="H6" s="7" t="s">
        <v>118</v>
      </c>
    </row>
    <row r="7" spans="1:8" x14ac:dyDescent="0.25">
      <c r="A7" s="8" t="s">
        <v>152</v>
      </c>
      <c r="B7" s="8" t="s">
        <v>153</v>
      </c>
      <c r="C7" s="28">
        <v>1</v>
      </c>
      <c r="D7" s="27">
        <v>3377734</v>
      </c>
      <c r="E7" s="8" t="s">
        <v>154</v>
      </c>
      <c r="F7" s="27">
        <f>C7*D7</f>
      </c>
      <c r="G7" s="27">
        <f>0</f>
      </c>
      <c r="H7" s="27">
        <f>F7+G7</f>
      </c>
    </row>
    <row r="8" spans="1:8" x14ac:dyDescent="0.25">
      <c r="A8" s="11" t="s">
        <v>155</v>
      </c>
      <c r="B8" s="11" t="s">
        <v>153</v>
      </c>
      <c r="C8" s="29">
        <v>1</v>
      </c>
      <c r="D8" s="30">
        <v>2500</v>
      </c>
      <c r="E8" s="11" t="s">
        <v>156</v>
      </c>
      <c r="F8" s="30">
        <f>C8*D8</f>
      </c>
      <c r="G8" s="30">
        <f>F8*0.065</f>
      </c>
      <c r="H8" s="30">
        <f>F8+G8</f>
      </c>
    </row>
    <row r="9" spans="1:8" x14ac:dyDescent="0.25">
      <c r="A9" s="8" t="s">
        <v>157</v>
      </c>
      <c r="B9" s="8" t="s">
        <v>153</v>
      </c>
      <c r="C9" s="28">
        <v>1</v>
      </c>
      <c r="D9" s="27">
        <v>170997</v>
      </c>
      <c r="E9" s="8" t="s">
        <v>154</v>
      </c>
      <c r="F9" s="27">
        <f>C9*D9</f>
      </c>
      <c r="G9" s="27">
        <f>0</f>
      </c>
      <c r="H9" s="27">
        <f>F9+G9</f>
      </c>
    </row>
    <row r="10" spans="1:8" x14ac:dyDescent="0.25">
      <c r="A10" s="11" t="s">
        <v>158</v>
      </c>
      <c r="B10" s="11" t="s">
        <v>153</v>
      </c>
      <c r="C10" s="29">
        <v>1</v>
      </c>
      <c r="D10" s="30">
        <v>171280</v>
      </c>
      <c r="E10" s="11" t="s">
        <v>156</v>
      </c>
      <c r="F10" s="30">
        <f>C10*D10</f>
      </c>
      <c r="G10" s="30">
        <f>F10*0.065</f>
      </c>
      <c r="H10" s="30">
        <f>F10+G10</f>
      </c>
    </row>
    <row r="11" spans="1:8" x14ac:dyDescent="0.25">
      <c r="A11" s="14" t="s">
        <v>21</v>
      </c>
      <c r="F11" s="18">
        <f>SUM(F7:F10)</f>
      </c>
      <c r="G11" s="18">
        <f>SUM(G7:G10)</f>
      </c>
      <c r="H11" s="18">
        <f>SUM(H7:H10)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OM Crane Subcontractor &amp;R Confidential</oddHeader>
    <oddFooter>&amp;L Produced by Hit Squad Project Controls &amp;C &amp;D &amp;R Page &amp;P of &amp;N</oddFooter>
    <evenHeader>&amp;L&amp;B HIT SQUAD / PROJECT CONTROLS &amp;C OM Crane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G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7" width="14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46269.72422184028</v>
      </c>
    </row>
    <row r="6" ht="20" customHeight="1" spans="1:7" x14ac:dyDescent="0.25">
      <c r="A6" s="7" t="s">
        <v>111</v>
      </c>
      <c r="B6" s="7" t="s">
        <v>112</v>
      </c>
      <c r="C6" s="7" t="s">
        <v>113</v>
      </c>
      <c r="D6" s="7" t="s">
        <v>114</v>
      </c>
      <c r="E6" s="7" t="s">
        <v>115</v>
      </c>
      <c r="F6" s="7" t="s">
        <v>116</v>
      </c>
      <c r="G6" s="7" t="s">
        <v>118</v>
      </c>
    </row>
    <row r="7" spans="1:7" x14ac:dyDescent="0.25">
      <c r="A7" s="8" t="s">
        <v>159</v>
      </c>
      <c r="B7" s="8" t="s">
        <v>120</v>
      </c>
      <c r="C7" s="28">
        <v>1</v>
      </c>
      <c r="D7" s="28">
        <v>3</v>
      </c>
      <c r="E7" s="27">
        <v>1656</v>
      </c>
      <c r="F7" s="27">
        <v>0</v>
      </c>
      <c r="G7" s="27">
        <f>C7*D7*E7+F7</f>
      </c>
    </row>
    <row r="8" spans="1:7" x14ac:dyDescent="0.25">
      <c r="A8" s="11" t="s">
        <v>160</v>
      </c>
      <c r="B8" s="11" t="s">
        <v>120</v>
      </c>
      <c r="C8" s="29">
        <v>4</v>
      </c>
      <c r="D8" s="29">
        <v>5</v>
      </c>
      <c r="E8" s="30">
        <v>1800</v>
      </c>
      <c r="F8" s="30">
        <v>0</v>
      </c>
      <c r="G8" s="30">
        <f>C8*D8*E8+F8</f>
      </c>
    </row>
    <row r="9" spans="1:7" x14ac:dyDescent="0.25">
      <c r="A9" s="8" t="s">
        <v>161</v>
      </c>
      <c r="B9" s="8" t="s">
        <v>120</v>
      </c>
      <c r="C9" s="28">
        <v>1</v>
      </c>
      <c r="D9" s="28">
        <v>5</v>
      </c>
      <c r="E9" s="27">
        <v>3600</v>
      </c>
      <c r="F9" s="27">
        <v>0</v>
      </c>
      <c r="G9" s="27">
        <f>C9*D9*E9+F9</f>
      </c>
    </row>
    <row r="10" spans="1:7" x14ac:dyDescent="0.25">
      <c r="A10" s="14" t="s">
        <v>81</v>
      </c>
      <c r="G10" s="18">
        <f>SUM(G7:G9)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46269.72422185185</v>
      </c>
    </row>
    <row r="6" ht="20" customHeight="1" spans="1:5" x14ac:dyDescent="0.25">
      <c r="A6" s="7" t="s">
        <v>162</v>
      </c>
      <c r="B6" s="7" t="s">
        <v>163</v>
      </c>
      <c r="C6" s="7" t="s">
        <v>164</v>
      </c>
      <c r="D6" s="7" t="s">
        <v>165</v>
      </c>
      <c r="E6" s="7" t="s">
        <v>118</v>
      </c>
    </row>
    <row r="7" spans="1:5" x14ac:dyDescent="0.25">
      <c r="A7" s="8" t="s">
        <v>166</v>
      </c>
      <c r="B7" s="28">
        <v>39</v>
      </c>
      <c r="C7" s="28">
        <v>1700</v>
      </c>
      <c r="D7" s="27">
        <v>0.76</v>
      </c>
      <c r="E7" s="27">
        <f>B7*C7*D7</f>
      </c>
    </row>
    <row r="8" spans="1:5" x14ac:dyDescent="0.25">
      <c r="A8" s="14" t="s">
        <v>81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14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46269.72422185185</v>
      </c>
    </row>
    <row r="6" ht="20" customHeight="1" spans="1:5" x14ac:dyDescent="0.25">
      <c r="A6" s="7" t="s">
        <v>111</v>
      </c>
      <c r="B6" s="7" t="s">
        <v>167</v>
      </c>
      <c r="C6" s="7" t="s">
        <v>113</v>
      </c>
      <c r="D6" s="7" t="s">
        <v>168</v>
      </c>
      <c r="E6" s="7" t="s">
        <v>118</v>
      </c>
    </row>
    <row r="7" spans="1:5" x14ac:dyDescent="0.25">
      <c r="A7" s="8" t="s">
        <v>169</v>
      </c>
      <c r="B7" s="8" t="s">
        <v>170</v>
      </c>
      <c r="C7" s="28">
        <v>100</v>
      </c>
      <c r="D7" s="27">
        <v>608</v>
      </c>
      <c r="E7" s="27">
        <f>C7*D7</f>
      </c>
    </row>
    <row r="8" spans="1:5" x14ac:dyDescent="0.25">
      <c r="A8" s="11" t="s">
        <v>171</v>
      </c>
      <c r="C8" s="29">
        <v>65</v>
      </c>
      <c r="D8" s="30">
        <v>1000</v>
      </c>
      <c r="E8" s="30">
        <f>C8*D8</f>
      </c>
    </row>
    <row r="9" spans="1:5" x14ac:dyDescent="0.25">
      <c r="A9" s="8" t="s">
        <v>172</v>
      </c>
      <c r="C9" s="28">
        <v>25</v>
      </c>
      <c r="D9" s="27">
        <v>1000</v>
      </c>
      <c r="E9" s="27">
        <f>C9*D9</f>
      </c>
    </row>
    <row r="10" spans="1:5" x14ac:dyDescent="0.25">
      <c r="A10" s="11" t="s">
        <v>173</v>
      </c>
      <c r="C10" s="29">
        <v>1000</v>
      </c>
      <c r="D10" s="30">
        <v>75</v>
      </c>
      <c r="E10" s="30">
        <f>C10*D10</f>
      </c>
    </row>
    <row r="11" spans="1:5" x14ac:dyDescent="0.25">
      <c r="A11" s="8" t="s">
        <v>174</v>
      </c>
      <c r="C11" s="28">
        <v>1000</v>
      </c>
      <c r="D11" s="27">
        <v>75</v>
      </c>
      <c r="E11" s="27">
        <f>C11*D11</f>
      </c>
    </row>
    <row r="12" spans="1:5" x14ac:dyDescent="0.25">
      <c r="A12" s="11" t="s">
        <v>175</v>
      </c>
      <c r="C12" s="29">
        <v>150</v>
      </c>
      <c r="D12" s="30">
        <v>250</v>
      </c>
      <c r="E12" s="30">
        <f>C12*D12</f>
      </c>
    </row>
    <row r="13" spans="1:5" x14ac:dyDescent="0.25">
      <c r="A13" s="8" t="s">
        <v>176</v>
      </c>
      <c r="C13" s="28">
        <v>1000</v>
      </c>
      <c r="D13" s="27">
        <v>72</v>
      </c>
      <c r="E13" s="27">
        <f>C13*D13</f>
      </c>
    </row>
    <row r="14" spans="1:5" x14ac:dyDescent="0.25">
      <c r="A14" s="14" t="s">
        <v>81</v>
      </c>
      <c r="E14" s="18">
        <f>SUM(E7:E13)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F26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4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46269.724221516204</v>
      </c>
    </row>
    <row r="6" ht="20" customHeight="1" spans="1:6" x14ac:dyDescent="0.25">
      <c r="A6" s="7" t="s">
        <v>177</v>
      </c>
      <c r="B6" s="7" t="s">
        <v>178</v>
      </c>
      <c r="C6" s="7" t="s">
        <v>179</v>
      </c>
      <c r="D6" s="7" t="s">
        <v>180</v>
      </c>
      <c r="E6" s="7" t="s">
        <v>181</v>
      </c>
      <c r="F6" s="7" t="s">
        <v>182</v>
      </c>
    </row>
    <row r="7" spans="1:6" x14ac:dyDescent="0.25">
      <c r="A7" s="8" t="s">
        <v>33</v>
      </c>
      <c r="B7" s="27">
        <v>90</v>
      </c>
      <c r="C7" s="27">
        <v>139.09</v>
      </c>
      <c r="D7" s="27">
        <v>192.55</v>
      </c>
      <c r="E7" s="27">
        <v>246.01</v>
      </c>
      <c r="F7" s="27">
        <v>140</v>
      </c>
    </row>
    <row r="8" spans="1:6" x14ac:dyDescent="0.25">
      <c r="A8" s="11" t="s">
        <v>43</v>
      </c>
      <c r="C8" s="30">
        <v>123.45</v>
      </c>
      <c r="D8" s="30">
        <v>173.59</v>
      </c>
      <c r="E8" s="30">
        <v>223.74</v>
      </c>
      <c r="F8" s="30">
        <v>140</v>
      </c>
    </row>
    <row r="9" spans="1:6" x14ac:dyDescent="0.25">
      <c r="A9" s="8" t="s">
        <v>45</v>
      </c>
      <c r="C9" s="27">
        <v>130.99</v>
      </c>
      <c r="D9" s="27">
        <v>184.98</v>
      </c>
      <c r="E9" s="27">
        <v>238.96</v>
      </c>
      <c r="F9" s="27">
        <v>140</v>
      </c>
    </row>
    <row r="10" spans="1:6" x14ac:dyDescent="0.25">
      <c r="A10" s="11" t="s">
        <v>49</v>
      </c>
      <c r="B10" s="30">
        <v>52.5</v>
      </c>
      <c r="C10" s="30">
        <v>91.02</v>
      </c>
      <c r="D10" s="30">
        <v>122.2</v>
      </c>
      <c r="E10" s="30">
        <v>153.39</v>
      </c>
      <c r="F10" s="30">
        <v>140</v>
      </c>
    </row>
    <row r="11" spans="1:6" x14ac:dyDescent="0.25">
      <c r="A11" s="8" t="s">
        <v>52</v>
      </c>
      <c r="B11" s="27">
        <v>60.5</v>
      </c>
      <c r="C11" s="27">
        <v>101.27</v>
      </c>
      <c r="D11" s="27">
        <v>137.21</v>
      </c>
      <c r="E11" s="27">
        <v>173.15</v>
      </c>
      <c r="F11" s="27">
        <v>140</v>
      </c>
    </row>
    <row r="12" spans="1:6" x14ac:dyDescent="0.25">
      <c r="A12" s="11" t="s">
        <v>55</v>
      </c>
      <c r="B12" s="30">
        <v>64</v>
      </c>
      <c r="C12" s="30">
        <v>105.76</v>
      </c>
      <c r="D12" s="30">
        <v>143.77</v>
      </c>
      <c r="E12" s="30">
        <v>181.79</v>
      </c>
      <c r="F12" s="30">
        <v>140</v>
      </c>
    </row>
    <row r="13" spans="1:6" x14ac:dyDescent="0.25">
      <c r="A13" s="8" t="s">
        <v>58</v>
      </c>
      <c r="B13" s="27">
        <v>36</v>
      </c>
      <c r="C13" s="27">
        <v>69.86</v>
      </c>
      <c r="D13" s="27">
        <v>91.25</v>
      </c>
      <c r="E13" s="27">
        <v>112.63</v>
      </c>
      <c r="F13" s="27">
        <v>140</v>
      </c>
    </row>
    <row r="14" spans="1:6" x14ac:dyDescent="0.25">
      <c r="A14" s="11" t="s">
        <v>60</v>
      </c>
      <c r="B14" s="30">
        <v>52.5</v>
      </c>
      <c r="C14" s="30">
        <v>91.02</v>
      </c>
      <c r="D14" s="30">
        <v>122.2</v>
      </c>
      <c r="E14" s="30">
        <v>153.39</v>
      </c>
      <c r="F14" s="30">
        <v>140</v>
      </c>
    </row>
    <row r="15" spans="1:6" x14ac:dyDescent="0.25">
      <c r="A15" s="8" t="s">
        <v>63</v>
      </c>
      <c r="B15" s="27">
        <v>59</v>
      </c>
      <c r="C15" s="27">
        <v>127.36</v>
      </c>
      <c r="D15" s="27">
        <v>179.59</v>
      </c>
      <c r="E15" s="27">
        <v>231.82</v>
      </c>
      <c r="F15" s="27">
        <v>140</v>
      </c>
    </row>
    <row r="16" spans="1:6" x14ac:dyDescent="0.25">
      <c r="A16" s="11" t="s">
        <v>66</v>
      </c>
      <c r="B16" s="30">
        <v>70</v>
      </c>
      <c r="C16" s="30">
        <v>113.45</v>
      </c>
      <c r="D16" s="30">
        <v>155.03</v>
      </c>
      <c r="E16" s="30">
        <v>196.61</v>
      </c>
      <c r="F16" s="30">
        <v>140</v>
      </c>
    </row>
    <row r="17" spans="1:6" x14ac:dyDescent="0.25">
      <c r="A17" s="8" t="s">
        <v>68</v>
      </c>
      <c r="B17" s="27">
        <v>55</v>
      </c>
      <c r="C17" s="27">
        <v>94.22</v>
      </c>
      <c r="D17" s="27">
        <v>126.89</v>
      </c>
      <c r="E17" s="27">
        <v>159.56</v>
      </c>
      <c r="F17" s="27">
        <v>140</v>
      </c>
    </row>
    <row r="18" spans="1:6" x14ac:dyDescent="0.25">
      <c r="A18" s="11" t="s">
        <v>70</v>
      </c>
      <c r="B18" s="30">
        <v>38</v>
      </c>
      <c r="C18" s="30">
        <v>72.43</v>
      </c>
      <c r="D18" s="30">
        <v>95</v>
      </c>
      <c r="E18" s="30">
        <v>117.57</v>
      </c>
      <c r="F18" s="30">
        <v>140</v>
      </c>
    </row>
    <row r="19" spans="1:6" x14ac:dyDescent="0.25">
      <c r="A19" s="8" t="s">
        <v>73</v>
      </c>
      <c r="B19" s="27">
        <v>71</v>
      </c>
      <c r="C19" s="27">
        <v>141.9</v>
      </c>
      <c r="D19" s="27">
        <v>201.14</v>
      </c>
      <c r="E19" s="27">
        <v>260.38</v>
      </c>
      <c r="F19" s="27">
        <v>140</v>
      </c>
    </row>
    <row r="20" spans="1:6" x14ac:dyDescent="0.25">
      <c r="A20" s="11" t="s">
        <v>75</v>
      </c>
      <c r="B20" s="30">
        <v>86.5</v>
      </c>
      <c r="C20" s="30">
        <v>134.6</v>
      </c>
      <c r="D20" s="30">
        <v>185.98</v>
      </c>
      <c r="E20" s="30">
        <v>237.37</v>
      </c>
      <c r="F20" s="30">
        <v>140</v>
      </c>
    </row>
    <row r="21" spans="1:6" x14ac:dyDescent="0.25">
      <c r="A21" s="8" t="s">
        <v>78</v>
      </c>
      <c r="B21" s="27">
        <v>58.84</v>
      </c>
      <c r="C21" s="27">
        <v>111.22</v>
      </c>
      <c r="D21" s="27">
        <v>156.31</v>
      </c>
      <c r="E21" s="27">
        <v>201.4</v>
      </c>
      <c r="F21" s="27">
        <v>140</v>
      </c>
    </row>
    <row r="22" spans="1:6" x14ac:dyDescent="0.25">
      <c r="A22" s="11" t="s">
        <v>82</v>
      </c>
      <c r="B22" s="30">
        <v>49.1</v>
      </c>
      <c r="C22" s="30">
        <v>112.62</v>
      </c>
      <c r="D22" s="30">
        <v>159.07</v>
      </c>
      <c r="E22" s="30">
        <v>205.52</v>
      </c>
      <c r="F22" s="30">
        <v>130</v>
      </c>
    </row>
    <row r="23" spans="1:6" x14ac:dyDescent="0.25">
      <c r="A23" s="8" t="s">
        <v>85</v>
      </c>
      <c r="C23" s="27">
        <v>105.28</v>
      </c>
      <c r="D23" s="27">
        <v>147.5</v>
      </c>
      <c r="E23" s="27">
        <v>189.72</v>
      </c>
      <c r="F23" s="27">
        <v>130</v>
      </c>
    </row>
    <row r="24" spans="1:6" x14ac:dyDescent="0.25">
      <c r="A24" s="11" t="s">
        <v>88</v>
      </c>
      <c r="B24" s="30">
        <v>45.6</v>
      </c>
      <c r="C24" s="30">
        <v>108.38</v>
      </c>
      <c r="D24" s="30">
        <v>152.78</v>
      </c>
      <c r="E24" s="30">
        <v>197.19</v>
      </c>
      <c r="F24" s="30">
        <v>130</v>
      </c>
    </row>
    <row r="25" spans="1:6" x14ac:dyDescent="0.25">
      <c r="A25" s="8" t="s">
        <v>91</v>
      </c>
      <c r="B25" s="27">
        <v>49.03</v>
      </c>
      <c r="C25" s="27">
        <v>99.33</v>
      </c>
      <c r="D25" s="27">
        <v>138.69</v>
      </c>
      <c r="E25" s="27">
        <v>178.05</v>
      </c>
      <c r="F25" s="27">
        <v>130</v>
      </c>
    </row>
    <row r="26" spans="1:6" x14ac:dyDescent="0.25">
      <c r="A26" s="8" t="s">
        <v>183</v>
      </c>
      <c r="C26" s="27">
        <v>97.6</v>
      </c>
      <c r="D26" s="27">
        <v>115.65</v>
      </c>
      <c r="E26" s="27">
        <v>142.39</v>
      </c>
      <c r="F26" s="27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OM Crane 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2026-09-04T17:22:52Z</dcterms:created>
  <dcterms:modified xsi:type="dcterms:W3CDTF">2026-09-04T17:22:52Z</dcterms:modified>
</cp:coreProperties>
</file>