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setup'!$A1:$H11</definedName>
    <definedName name="_xlnm.Print_Titles" localSheetId="1">'Job setup'!$6:$6</definedName>
    <definedName name="_xlnm.Print_Area" localSheetId="2">'Staff'!$A1:$EK198</definedName>
    <definedName name="_xlnm.Print_Titles" localSheetId="2">'Staff'!$A:$J,'Staff'!$4:$6</definedName>
    <definedName name="_xlnm.Print_Area" localSheetId="3">'Foremen'!$A1:$EK38</definedName>
    <definedName name="_xlnm.Print_Titles" localSheetId="3">'Foremen'!$A:$J,'Foremen'!$4:$6</definedName>
    <definedName name="_xlnm.Print_Area" localSheetId="4">'Direct'!$A1:$EK38</definedName>
    <definedName name="_xlnm.Print_Titles" localSheetId="4">'Direct'!$A:$J,'Direct'!$4:$6</definedName>
    <definedName name="_xlnm.Print_Area" localSheetId="5">'Support'!$A1:$EK102</definedName>
    <definedName name="_xlnm.Print_Titles" localSheetId="5">'Support'!$A:$J,'Support'!$4:$6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'_Lists'!$A1:$F94</definedName>
    <definedName name="_xlnm.Print_Titles" localSheetId="12">'_Lists'!$6:$6</definedName>
  </definedNames>
  <calcPr calcId="171027" fullCalcOnLoad="1"/>
</workbook>
</file>

<file path=xl/sharedStrings.xml><?xml version="1.0" encoding="utf-8"?>
<sst xmlns="http://schemas.openxmlformats.org/spreadsheetml/2006/main" count="1892" uniqueCount="354">
  <si>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</si>
  <si>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</si>
  <si>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</si>
  <si>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</si>
  <si>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</si>
  <si>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</si>
  <si>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</si>
  <si>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</si>
  <si>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</si>
  <si>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</si>
  <si>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</si>
  <si>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</si>
  <si>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</si>
  <si>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</si>
  <si>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</si>
  <si>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</si>
  <si>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</si>
  <si>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</si>
  <si>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</si>
  <si>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</si>
  <si>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</si>
  <si>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</si>
  <si>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</si>
  <si>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</si>
  <si>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</si>
  <si>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</si>
  <si>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</si>
  <si>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OT pick</t>
  </si>
  <si>
    <t>Pre-Turnaround</t>
  </si>
  <si>
    <t>YES</t>
  </si>
  <si>
    <t>5×8 — OT after 8 hours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</si>
  <si>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</si>
  <si>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</si>
  <si>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</si>
  <si>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</si>
  <si>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</si>
  <si>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</si>
  <si>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</si>
  <si>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</si>
  <si>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</si>
  <si>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</si>
  <si>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</si>
  <si>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</si>
  <si>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</si>
  <si>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</si>
  <si>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</si>
  <si>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</si>
  <si>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</si>
  <si>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</si>
  <si>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</si>
  <si>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</si>
  <si>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</si>
  <si>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</si>
  <si>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</si>
  <si>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</si>
  <si>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</si>
  <si>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</si>
  <si>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</si>
  <si>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</si>
  <si>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</si>
  <si>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</si>
  <si>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</si>
  <si>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</si>
  <si>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</si>
  <si>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</si>
  <si>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</si>
  <si>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</si>
  <si>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</si>
  <si>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</si>
  <si>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</si>
  <si>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</si>
  <si>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</si>
  <si>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</si>
  <si>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</si>
  <si>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</si>
  <si>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</si>
  <si>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</si>
  <si>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</si>
  <si>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</si>
  <si>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</si>
  <si>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</si>
  <si>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</si>
  <si>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</si>
  <si>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</si>
  <si>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</si>
  <si>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</si>
  <si>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</si>
  <si>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</si>
  <si>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</si>
  <si>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</si>
  <si>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</si>
  <si>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</si>
  <si>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</si>
  <si>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</si>
  <si>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</si>
  <si>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</si>
  <si>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</si>
  <si>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</si>
  <si>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</si>
  <si>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</si>
  <si>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</si>
  <si>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</si>
  <si>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</si>
  <si>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</si>
  <si>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</si>
  <si>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</si>
  <si>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</si>
  <si>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</si>
  <si>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</si>
  <si>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</si>
  <si>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</si>
  <si>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</si>
  <si>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</si>
  <si>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</si>
  <si>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</si>
  <si>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</si>
  <si>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</si>
  <si>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</si>
  <si>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</si>
  <si>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Bill as</t>
  </si>
  <si>
    <t>sup-1788356742755-gn501|night</t>
  </si>
  <si>
    <t>Expeditor/Runner</t>
  </si>
  <si>
    <t>sup-1788356901089-qmrg4|day</t>
  </si>
  <si>
    <t>TEAMSTERS GRP 01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</si>
  <si>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</si>
  <si>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</si>
  <si>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</si>
  <si>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</si>
  <si>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</si>
  <si>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</si>
  <si>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</si>
  <si>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</si>
  <si>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</si>
  <si>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</si>
  <si>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</si>
  <si>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</si>
  <si>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</si>
  <si>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</si>
  <si>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</si>
  <si>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</si>
  <si>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</si>
  <si>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</si>
  <si>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</si>
  <si>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</si>
  <si>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</si>
  <si>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</si>
  <si>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</si>
  <si>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</si>
  <si>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</si>
  <si>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</si>
  <si>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</si>
  <si>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</si>
  <si>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</si>
  <si>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</si>
  <si>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</si>
  <si>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</si>
  <si>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</si>
  <si>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</si>
  <si>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</si>
  <si>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</si>
  <si>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</si>
  <si>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</si>
  <si>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</si>
  <si>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</si>
  <si>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</si>
  <si>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</si>
  <si>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</si>
  <si>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</si>
  <si>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</si>
  <si>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</si>
  <si>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</si>
  <si>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</si>
  <si>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</si>
  <si>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</si>
  <si>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</si>
  <si>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</si>
  <si>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</si>
  <si>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</si>
  <si>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</si>
  <si>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</si>
  <si>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</si>
  <si>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</si>
  <si>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</si>
  <si>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</si>
  <si>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</si>
  <si>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</si>
  <si>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</si>
  <si>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</si>
  <si>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</si>
  <si>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</si>
  <si>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</si>
  <si>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</si>
  <si>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</si>
  <si>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</si>
  <si>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</si>
  <si>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</si>
  <si>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</si>
  <si>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</si>
  <si>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</si>
  <si>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</si>
  <si>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</si>
  <si>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</si>
  <si>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</si>
  <si>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</si>
  <si>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</si>
  <si>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</si>
  <si>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</si>
  <si>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</si>
  <si>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</si>
  <si>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</si>
  <si>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</si>
  <si>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</si>
  <si>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</si>
  <si>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</si>
  <si>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</si>
  <si>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</si>
  <si>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</si>
  <si>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</si>
  <si>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</si>
  <si>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</si>
  <si>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</si>
  <si>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</si>
  <si>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</si>
  <si>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</si>
  <si>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</si>
  <si>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</si>
  <si>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</si>
  <si>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</si>
  <si>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</si>
  <si>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</si>
  <si>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</si>
  <si>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</si>
  <si>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</si>
  <si>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</si>
  <si>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</si>
  <si>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</si>
  <si>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</si>
  <si>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</si>
  <si>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</si>
  <si>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</si>
  <si>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</si>
  <si>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</si>
  <si>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</si>
  <si>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</si>
  <si>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</si>
  <si>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</si>
  <si>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</si>
  <si>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</si>
  <si>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</si>
  <si>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</si>
  <si>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</si>
  <si>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</si>
  <si>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</si>
  <si>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</si>
  <si>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</si>
  <si>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</si>
  <si>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</si>
  <si>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</si>
  <si>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</si>
  <si>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</si>
  <si>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</si>
  <si>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</si>
  <si>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</si>
  <si>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</si>
  <si>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</si>
  <si>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</si>
  <si>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</si>
  <si>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</si>
  <si>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</si>
  <si>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</si>
  <si>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</si>
  <si>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</si>
  <si>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</si>
  <si>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</si>
  <si>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</si>
  <si>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</si>
  <si>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</si>
  <si>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</si>
  <si>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</si>
  <si>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</si>
  <si>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</si>
  <si>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</si>
  <si>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</si>
  <si>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</si>
  <si>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</si>
  <si>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</si>
  <si>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</si>
  <si>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</si>
  <si>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</si>
  <si>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</si>
  <si>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</si>
  <si>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</si>
  <si>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</si>
  <si>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</si>
  <si>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</si>
  <si>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</si>
  <si>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</si>
  <si>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</si>
  <si>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</si>
  <si>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</si>
  <si>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</si>
  <si>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</si>
  <si>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</si>
  <si>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</si>
  <si>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</si>
  <si>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</si>
  <si>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</si>
  <si>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</si>
  <si>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</si>
  <si>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</si>
  <si>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</si>
  <si>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</si>
  <si>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</si>
  <si>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</si>
  <si>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</si>
  <si>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</si>
  <si>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</si>
  <si>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</si>
  <si>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</si>
  <si>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</si>
  <si>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</si>
  <si>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</si>
  <si>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</si>
  <si>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</si>
  <si>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</si>
  <si>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</si>
  <si>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</si>
  <si>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</si>
  <si>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</si>
  <si>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</si>
  <si>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</si>
  <si>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</si>
  <si>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</si>
  <si>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</si>
  <si>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</si>
  <si>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</si>
  <si>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</si>
  <si>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</si>
  <si>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</si>
  <si>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</si>
  <si>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</si>
  <si>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</si>
  <si>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</si>
  <si>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</si>
  <si>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</si>
  <si>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</si>
  <si>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</si>
  <si>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</si>
  <si>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</si>
  <si>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</si>
  <si>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</si>
  <si>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</si>
  <si>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4×10 — all 10 ST</t>
  </si>
  <si>
    <t>4×10 — OT after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</si>
</sst>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4653519.250000001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8" width="11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</row>
    <row r="7" ht="16" customHeight="1" spans="1:9" x14ac:dyDescent="0.25">
      <c r="A7" s="12" t="s">
        <v>28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29</v>
      </c>
      <c r="H7" s="25" t="s">
        <v>30</v>
      </c>
      <c r="I7" s="28" t="s">
        <v>31</v>
      </c>
    </row>
    <row r="8" ht="16" customHeight="1" spans="1:9" x14ac:dyDescent="0.25">
      <c r="A8" s="29" t="s">
        <v>32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33</v>
      </c>
      <c r="H8" s="20"/>
      <c r="I8" s="28" t="s">
        <v>34</v>
      </c>
    </row>
    <row r="9" ht="16" customHeight="1" spans="1:9" x14ac:dyDescent="0.25">
      <c r="A9" s="12" t="s">
        <v>35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33</v>
      </c>
      <c r="H9" s="33"/>
      <c r="I9" s="28" t="s">
        <v>36</v>
      </c>
    </row>
    <row r="10" ht="16" customHeight="1" spans="1:9" x14ac:dyDescent="0.25">
      <c r="A10" s="29" t="s">
        <v>37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33</v>
      </c>
      <c r="H10" s="20"/>
      <c r="I10" s="28" t="s">
        <v>38</v>
      </c>
    </row>
    <row r="11" ht="16" customHeight="1" spans="1:9" x14ac:dyDescent="0.25">
      <c r="A11" s="12" t="s">
        <v>39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29</v>
      </c>
      <c r="H11" s="25" t="s">
        <v>30</v>
      </c>
      <c r="I11" s="28" t="s">
        <v>40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H11">
      <formula1>=_Lists!$F$1:$F$4</formula1>
    </dataValidation>
    <dataValidation type="list" allowBlank="1" sqref="H7">
      <formula1>=_Lists!$F$1:$F$4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46" t="s">
        <v>58</v>
      </c>
      <c r="C7" s="47">
        <f>J7</f>
        <v>199970.86000000002</v>
      </c>
      <c r="D7" s="48"/>
      <c r="E7" s="48"/>
      <c r="F7" s="49">
        <f>SUM(K10:EK10)</f>
        <v>782</v>
      </c>
      <c r="G7" s="49">
        <f>SUM(K11:EK11)</f>
        <v>374</v>
      </c>
      <c r="H7" s="49">
        <f>SUM(K12:EK12)</f>
        <v>78</v>
      </c>
      <c r="I7" s="49">
        <f>SUM(K13:EK13)</f>
        <v>110</v>
      </c>
      <c r="J7" s="50">
        <f>C10+C11+C12</f>
        <v>199970.86000000002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59</v>
      </c>
    </row>
    <row r="8" ht="16" customHeight="1" spans="1:411" x14ac:dyDescent="0.25">
      <c r="A8" s="45"/>
      <c r="B8" s="46"/>
      <c r="C8" s="47"/>
      <c r="D8" s="48"/>
      <c r="E8" s="55" t="s">
        <v>60</v>
      </c>
      <c r="F8" s="49"/>
      <c r="G8" s="49"/>
      <c r="H8" s="49"/>
      <c r="I8" s="49"/>
      <c r="J8" s="50"/>
      <c r="K8" s="56">
        <v>1</v>
      </c>
      <c r="L8" s="57">
        <v>1</v>
      </c>
      <c r="M8" s="57">
        <v>1</v>
      </c>
      <c r="N8" s="57">
        <v>1</v>
      </c>
      <c r="O8" s="57">
        <v>1</v>
      </c>
      <c r="P8" s="58">
        <v>0</v>
      </c>
      <c r="Q8" s="58">
        <v>0</v>
      </c>
      <c r="R8" s="57">
        <v>1</v>
      </c>
      <c r="S8" s="57">
        <v>1</v>
      </c>
      <c r="T8" s="57">
        <v>1</v>
      </c>
      <c r="U8" s="57">
        <v>1</v>
      </c>
      <c r="V8" s="57">
        <v>1</v>
      </c>
      <c r="W8" s="58">
        <v>0</v>
      </c>
      <c r="X8" s="58">
        <v>0</v>
      </c>
      <c r="Y8" s="57">
        <v>1</v>
      </c>
      <c r="Z8" s="57">
        <v>1</v>
      </c>
      <c r="AA8" s="57">
        <v>1</v>
      </c>
      <c r="AB8" s="57">
        <v>1</v>
      </c>
      <c r="AC8" s="57">
        <v>1</v>
      </c>
      <c r="AD8" s="58">
        <v>0</v>
      </c>
      <c r="AE8" s="58">
        <v>0</v>
      </c>
      <c r="AF8" s="57">
        <v>1</v>
      </c>
      <c r="AG8" s="57">
        <v>1</v>
      </c>
      <c r="AH8" s="57">
        <v>1</v>
      </c>
      <c r="AI8" s="57">
        <v>1</v>
      </c>
      <c r="AJ8" s="57">
        <v>1</v>
      </c>
      <c r="AK8" s="58">
        <v>0</v>
      </c>
      <c r="AL8" s="58">
        <v>0</v>
      </c>
      <c r="AM8" s="57">
        <v>1</v>
      </c>
      <c r="AN8" s="57">
        <v>1</v>
      </c>
      <c r="AO8" s="57">
        <v>1</v>
      </c>
      <c r="AP8" s="57">
        <v>1</v>
      </c>
      <c r="AQ8" s="57">
        <v>1</v>
      </c>
      <c r="AR8" s="58">
        <v>0</v>
      </c>
      <c r="AS8" s="58">
        <v>0</v>
      </c>
      <c r="AT8" s="57">
        <v>1</v>
      </c>
      <c r="AU8" s="57">
        <v>1</v>
      </c>
      <c r="AV8" s="57">
        <v>1</v>
      </c>
      <c r="AW8" s="57">
        <v>1</v>
      </c>
      <c r="AX8" s="57">
        <v>1</v>
      </c>
      <c r="AY8" s="58">
        <v>0</v>
      </c>
      <c r="AZ8" s="58">
        <v>0</v>
      </c>
      <c r="BA8" s="57">
        <v>1</v>
      </c>
      <c r="BB8" s="57">
        <v>1</v>
      </c>
      <c r="BC8" s="57">
        <v>1</v>
      </c>
      <c r="BD8" s="57">
        <v>1</v>
      </c>
      <c r="BE8" s="57">
        <v>1</v>
      </c>
      <c r="BF8" s="58">
        <v>0</v>
      </c>
      <c r="BG8" s="58">
        <v>0</v>
      </c>
      <c r="BH8" s="57">
        <v>1</v>
      </c>
      <c r="BI8" s="57">
        <v>1</v>
      </c>
      <c r="BJ8" s="57">
        <v>1</v>
      </c>
      <c r="BK8" s="57">
        <v>1</v>
      </c>
      <c r="BL8" s="57">
        <v>1</v>
      </c>
      <c r="BM8" s="58">
        <v>1</v>
      </c>
      <c r="BN8" s="58">
        <v>1</v>
      </c>
      <c r="BO8" s="57">
        <v>1</v>
      </c>
      <c r="BP8" s="57">
        <v>1</v>
      </c>
      <c r="BQ8" s="57">
        <v>1</v>
      </c>
      <c r="BR8" s="57">
        <v>1</v>
      </c>
      <c r="BS8" s="57">
        <v>1</v>
      </c>
      <c r="BT8" s="58">
        <v>1</v>
      </c>
      <c r="BU8" s="58">
        <v>1</v>
      </c>
      <c r="BV8" s="57">
        <v>1</v>
      </c>
      <c r="BW8" s="57">
        <v>1</v>
      </c>
      <c r="BX8" s="57">
        <v>1</v>
      </c>
      <c r="BY8" s="57">
        <v>1</v>
      </c>
      <c r="BZ8" s="57">
        <v>1</v>
      </c>
      <c r="CA8" s="58">
        <v>1</v>
      </c>
      <c r="CB8" s="58">
        <v>0</v>
      </c>
      <c r="CC8" s="57">
        <v>1</v>
      </c>
      <c r="CD8" s="57">
        <v>1</v>
      </c>
      <c r="CE8" s="57">
        <v>1</v>
      </c>
      <c r="CF8" s="57">
        <v>1</v>
      </c>
      <c r="CG8" s="57">
        <v>1</v>
      </c>
      <c r="CH8" s="58">
        <v>1</v>
      </c>
      <c r="CI8" s="58">
        <v>1</v>
      </c>
      <c r="CJ8" s="57">
        <v>1</v>
      </c>
      <c r="CK8" s="57">
        <v>1</v>
      </c>
      <c r="CL8" s="57">
        <v>1</v>
      </c>
      <c r="CM8" s="57">
        <v>1</v>
      </c>
      <c r="CN8" s="57">
        <v>1</v>
      </c>
      <c r="CO8" s="58">
        <v>1</v>
      </c>
      <c r="CP8" s="58">
        <v>0</v>
      </c>
      <c r="CQ8" s="57">
        <v>1</v>
      </c>
      <c r="CR8" s="57">
        <v>1</v>
      </c>
      <c r="CS8" s="57">
        <v>1</v>
      </c>
      <c r="CT8" s="57">
        <v>1</v>
      </c>
      <c r="CU8" s="57">
        <v>1</v>
      </c>
      <c r="CV8" s="58">
        <v>1</v>
      </c>
      <c r="CW8" s="58">
        <v>1</v>
      </c>
      <c r="CX8" s="57">
        <v>1</v>
      </c>
      <c r="CY8" s="57">
        <v>1</v>
      </c>
      <c r="CZ8" s="57">
        <v>1</v>
      </c>
      <c r="DA8" s="57">
        <v>1</v>
      </c>
      <c r="DB8" s="57">
        <v>1</v>
      </c>
      <c r="DC8" s="58">
        <v>1</v>
      </c>
      <c r="DD8" s="58">
        <v>1</v>
      </c>
      <c r="DE8" s="57">
        <v>1</v>
      </c>
      <c r="DF8" s="57">
        <v>1</v>
      </c>
      <c r="DG8" s="57">
        <v>1</v>
      </c>
      <c r="DH8" s="57">
        <v>1</v>
      </c>
      <c r="DI8" s="57">
        <v>1</v>
      </c>
      <c r="DJ8" s="58">
        <v>1</v>
      </c>
      <c r="DK8" s="58">
        <v>0</v>
      </c>
      <c r="DL8" s="57">
        <v>1</v>
      </c>
      <c r="DM8" s="57">
        <v>1</v>
      </c>
      <c r="DN8" s="57">
        <v>1</v>
      </c>
      <c r="DO8" s="57">
        <v>1</v>
      </c>
      <c r="DP8" s="57">
        <v>1</v>
      </c>
      <c r="DQ8" s="58">
        <v>1</v>
      </c>
      <c r="DR8" s="58">
        <v>1</v>
      </c>
      <c r="DS8" s="57">
        <v>1</v>
      </c>
      <c r="DT8" s="57">
        <v>1</v>
      </c>
      <c r="DU8" s="57">
        <v>1</v>
      </c>
      <c r="DV8" s="57">
        <v>1</v>
      </c>
      <c r="DW8" s="57">
        <v>1</v>
      </c>
      <c r="DX8" s="58">
        <v>0</v>
      </c>
      <c r="DY8" s="58">
        <v>0</v>
      </c>
      <c r="DZ8" s="57">
        <v>1</v>
      </c>
      <c r="EA8" s="57">
        <v>1</v>
      </c>
      <c r="EB8" s="57">
        <v>1</v>
      </c>
      <c r="EC8" s="57">
        <v>1</v>
      </c>
      <c r="ED8" s="57">
        <v>1</v>
      </c>
      <c r="EE8" s="58">
        <v>0</v>
      </c>
      <c r="EF8" s="58">
        <v>0</v>
      </c>
      <c r="EG8" s="57">
        <v>1</v>
      </c>
      <c r="EH8" s="57">
        <v>1</v>
      </c>
      <c r="EI8" s="57">
        <v>1</v>
      </c>
      <c r="EJ8" s="57">
        <v>1</v>
      </c>
      <c r="EK8" s="59">
        <v>1</v>
      </c>
      <c r="OU8" s="60" t="s">
        <v>59</v>
      </c>
    </row>
    <row r="9" ht="16" customHeight="1" spans="1:411" x14ac:dyDescent="0.25">
      <c r="A9" s="45"/>
      <c r="B9" s="46"/>
      <c r="C9" s="47"/>
      <c r="D9" s="48"/>
      <c r="E9" s="55" t="s">
        <v>61</v>
      </c>
      <c r="F9" s="49"/>
      <c r="G9" s="49"/>
      <c r="H9" s="49"/>
      <c r="I9" s="49"/>
      <c r="J9" s="50"/>
      <c r="K9" s="56">
        <v>9</v>
      </c>
      <c r="L9" s="57">
        <v>9</v>
      </c>
      <c r="M9" s="57">
        <v>9</v>
      </c>
      <c r="N9" s="57">
        <v>9</v>
      </c>
      <c r="O9" s="57">
        <v>9</v>
      </c>
      <c r="P9" s="58">
        <v>0</v>
      </c>
      <c r="Q9" s="58">
        <v>0</v>
      </c>
      <c r="R9" s="57">
        <v>9</v>
      </c>
      <c r="S9" s="57">
        <v>9</v>
      </c>
      <c r="T9" s="57">
        <v>9</v>
      </c>
      <c r="U9" s="57">
        <v>9</v>
      </c>
      <c r="V9" s="57">
        <v>9</v>
      </c>
      <c r="W9" s="58">
        <v>0</v>
      </c>
      <c r="X9" s="58">
        <v>0</v>
      </c>
      <c r="Y9" s="57">
        <v>9</v>
      </c>
      <c r="Z9" s="57">
        <v>9</v>
      </c>
      <c r="AA9" s="57">
        <v>9</v>
      </c>
      <c r="AB9" s="57">
        <v>9</v>
      </c>
      <c r="AC9" s="57">
        <v>9</v>
      </c>
      <c r="AD9" s="58">
        <v>0</v>
      </c>
      <c r="AE9" s="58">
        <v>0</v>
      </c>
      <c r="AF9" s="57">
        <v>9</v>
      </c>
      <c r="AG9" s="57">
        <v>9</v>
      </c>
      <c r="AH9" s="57">
        <v>9</v>
      </c>
      <c r="AI9" s="57">
        <v>9</v>
      </c>
      <c r="AJ9" s="57">
        <v>9</v>
      </c>
      <c r="AK9" s="58">
        <v>0</v>
      </c>
      <c r="AL9" s="58">
        <v>0</v>
      </c>
      <c r="AM9" s="57">
        <v>9</v>
      </c>
      <c r="AN9" s="57">
        <v>9</v>
      </c>
      <c r="AO9" s="57">
        <v>9</v>
      </c>
      <c r="AP9" s="57">
        <v>9</v>
      </c>
      <c r="AQ9" s="57">
        <v>9</v>
      </c>
      <c r="AR9" s="58">
        <v>0</v>
      </c>
      <c r="AS9" s="58">
        <v>0</v>
      </c>
      <c r="AT9" s="57">
        <v>9</v>
      </c>
      <c r="AU9" s="57">
        <v>9</v>
      </c>
      <c r="AV9" s="57">
        <v>9</v>
      </c>
      <c r="AW9" s="57">
        <v>9</v>
      </c>
      <c r="AX9" s="57">
        <v>9</v>
      </c>
      <c r="AY9" s="58">
        <v>0</v>
      </c>
      <c r="AZ9" s="58">
        <v>0</v>
      </c>
      <c r="BA9" s="57">
        <v>9</v>
      </c>
      <c r="BB9" s="57">
        <v>9</v>
      </c>
      <c r="BC9" s="57">
        <v>9</v>
      </c>
      <c r="BD9" s="57">
        <v>9</v>
      </c>
      <c r="BE9" s="57">
        <v>9</v>
      </c>
      <c r="BF9" s="58">
        <v>0</v>
      </c>
      <c r="BG9" s="58">
        <v>0</v>
      </c>
      <c r="BH9" s="57">
        <v>13</v>
      </c>
      <c r="BI9" s="57">
        <v>13</v>
      </c>
      <c r="BJ9" s="57">
        <v>13</v>
      </c>
      <c r="BK9" s="57">
        <v>13</v>
      </c>
      <c r="BL9" s="57">
        <v>13</v>
      </c>
      <c r="BM9" s="58">
        <v>13</v>
      </c>
      <c r="BN9" s="58">
        <v>13</v>
      </c>
      <c r="BO9" s="57">
        <v>13</v>
      </c>
      <c r="BP9" s="57">
        <v>13</v>
      </c>
      <c r="BQ9" s="57">
        <v>13</v>
      </c>
      <c r="BR9" s="57">
        <v>13</v>
      </c>
      <c r="BS9" s="57">
        <v>13</v>
      </c>
      <c r="BT9" s="58">
        <v>13</v>
      </c>
      <c r="BU9" s="58">
        <v>13</v>
      </c>
      <c r="BV9" s="57">
        <v>13</v>
      </c>
      <c r="BW9" s="57">
        <v>13</v>
      </c>
      <c r="BX9" s="57">
        <v>13</v>
      </c>
      <c r="BY9" s="57">
        <v>13</v>
      </c>
      <c r="BZ9" s="57">
        <v>13</v>
      </c>
      <c r="CA9" s="58">
        <v>13</v>
      </c>
      <c r="CB9" s="58">
        <v>0</v>
      </c>
      <c r="CC9" s="57">
        <v>13</v>
      </c>
      <c r="CD9" s="57">
        <v>13</v>
      </c>
      <c r="CE9" s="57">
        <v>13</v>
      </c>
      <c r="CF9" s="57">
        <v>13</v>
      </c>
      <c r="CG9" s="57">
        <v>13</v>
      </c>
      <c r="CH9" s="58">
        <v>13</v>
      </c>
      <c r="CI9" s="58">
        <v>13</v>
      </c>
      <c r="CJ9" s="57">
        <v>13</v>
      </c>
      <c r="CK9" s="57">
        <v>13</v>
      </c>
      <c r="CL9" s="57">
        <v>13</v>
      </c>
      <c r="CM9" s="57">
        <v>13</v>
      </c>
      <c r="CN9" s="57">
        <v>13</v>
      </c>
      <c r="CO9" s="58">
        <v>13</v>
      </c>
      <c r="CP9" s="58">
        <v>0</v>
      </c>
      <c r="CQ9" s="57">
        <v>13</v>
      </c>
      <c r="CR9" s="57">
        <v>13</v>
      </c>
      <c r="CS9" s="57">
        <v>13</v>
      </c>
      <c r="CT9" s="57">
        <v>13</v>
      </c>
      <c r="CU9" s="57">
        <v>13</v>
      </c>
      <c r="CV9" s="58">
        <v>13</v>
      </c>
      <c r="CW9" s="58">
        <v>13</v>
      </c>
      <c r="CX9" s="57">
        <v>13</v>
      </c>
      <c r="CY9" s="57">
        <v>13</v>
      </c>
      <c r="CZ9" s="57">
        <v>13</v>
      </c>
      <c r="DA9" s="57">
        <v>13</v>
      </c>
      <c r="DB9" s="57">
        <v>13</v>
      </c>
      <c r="DC9" s="58">
        <v>13</v>
      </c>
      <c r="DD9" s="58">
        <v>13</v>
      </c>
      <c r="DE9" s="57">
        <v>13</v>
      </c>
      <c r="DF9" s="57">
        <v>13</v>
      </c>
      <c r="DG9" s="57">
        <v>13</v>
      </c>
      <c r="DH9" s="57">
        <v>13</v>
      </c>
      <c r="DI9" s="57">
        <v>13</v>
      </c>
      <c r="DJ9" s="58">
        <v>13</v>
      </c>
      <c r="DK9" s="58">
        <v>0</v>
      </c>
      <c r="DL9" s="57">
        <v>13</v>
      </c>
      <c r="DM9" s="57">
        <v>13</v>
      </c>
      <c r="DN9" s="57">
        <v>13</v>
      </c>
      <c r="DO9" s="57">
        <v>13</v>
      </c>
      <c r="DP9" s="57">
        <v>13</v>
      </c>
      <c r="DQ9" s="58">
        <v>13</v>
      </c>
      <c r="DR9" s="58">
        <v>13</v>
      </c>
      <c r="DS9" s="57">
        <v>13</v>
      </c>
      <c r="DT9" s="57">
        <v>9</v>
      </c>
      <c r="DU9" s="57">
        <v>9</v>
      </c>
      <c r="DV9" s="57">
        <v>9</v>
      </c>
      <c r="DW9" s="57">
        <v>9</v>
      </c>
      <c r="DX9" s="58">
        <v>0</v>
      </c>
      <c r="DY9" s="58">
        <v>0</v>
      </c>
      <c r="DZ9" s="57">
        <v>9</v>
      </c>
      <c r="EA9" s="57">
        <v>9</v>
      </c>
      <c r="EB9" s="57">
        <v>9</v>
      </c>
      <c r="EC9" s="57">
        <v>9</v>
      </c>
      <c r="ED9" s="57">
        <v>9</v>
      </c>
      <c r="EE9" s="58">
        <v>0</v>
      </c>
      <c r="EF9" s="58">
        <v>0</v>
      </c>
      <c r="EG9" s="57">
        <v>9</v>
      </c>
      <c r="EH9" s="57">
        <v>9</v>
      </c>
      <c r="EI9" s="57">
        <v>9</v>
      </c>
      <c r="EJ9" s="57">
        <v>9</v>
      </c>
      <c r="EK9" s="59">
        <v>9</v>
      </c>
      <c r="OU9" s="60" t="s">
        <v>59</v>
      </c>
    </row>
    <row r="10" ht="16" customHeight="1" spans="1:411" x14ac:dyDescent="0.25">
      <c r="A10" s="45"/>
      <c r="B10" s="46"/>
      <c r="C10" s="61">
        <f>F7*N(D10)</f>
        <v>108768.38</v>
      </c>
      <c r="D10" s="61">
        <f>IF(TRIM(B7)="","No rate",IFERROR(INDEX('Rate Tables'!C$7:C$158,MATCH(B7,'Rate Tables'!A$7:A$158,0)),"No rate"))</f>
        <v>139.09</v>
      </c>
      <c r="E10" s="55" t="s">
        <v>62</v>
      </c>
      <c r="F10" s="49"/>
      <c r="G10" s="49"/>
      <c r="H10" s="49"/>
      <c r="I10" s="49"/>
      <c r="J10" s="50"/>
      <c r="K10" s="62">
        <f>IF(AND(K8=1,K9=9),8,MIN(IF(K8&lt;=0,0,IF(WEEKDAY(K$6,1)=1,0,MIN(8,K9)*K8)),MAX(0,40*MAX(1,K8)-(0))))</f>
        <v>8</v>
      </c>
      <c r="L10" s="63">
        <f>IF(AND(L8=1,L9=9),8,MIN(IF(L8&lt;=0,0,IF(WEEKDAY(L$6,1)=1,0,MIN(8,L9)*L8)),MAX(0,40*MAX(1,L8)-(K10))))</f>
        <v>8</v>
      </c>
      <c r="M10" s="63">
        <f>IF(AND(M8=1,M9=9),8,MIN(IF(M8&lt;=0,0,IF(WEEKDAY(M$6,1)=1,0,MIN(8,M9)*M8)),MAX(0,40*MAX(1,M8)-(K10+L10))))</f>
        <v>8</v>
      </c>
      <c r="N10" s="63">
        <f>IF(AND(N8=1,N9=9),8,MIN(IF(N8&lt;=0,0,IF(WEEKDAY(N$6,1)=1,0,MIN(8,N9)*N8)),MAX(0,40*MAX(1,N8)-(K10+L10+M10))))</f>
        <v>8</v>
      </c>
      <c r="O10" s="63">
        <f>IF(AND(O8=1,O9=9),8,MIN(IF(O8&lt;=0,0,IF(WEEKDAY(O$6,1)=1,0,MIN(8,O9)*O8)),MAX(0,40*MAX(1,O8)-(K10+L10+M10+N10))))</f>
        <v>8</v>
      </c>
      <c r="P10" s="64">
        <f>IF(AND(P8=0,P9=0),0,MIN(IF(P8&lt;=0,0,IF(WEEKDAY(P$6,1)=1,0,MIN(10,P9)*P8)),MAX(0,40*MAX(1,P8)-(0))))</f>
        <v>0</v>
      </c>
      <c r="Q10" s="64">
        <f>IF(AND(Q8=0,Q9=0),0,MIN(IF(Q8&lt;=0,0,IF(WEEKDAY(Q$6,1)=1,0,MIN(10,Q9)*Q8)),MAX(0,40*MAX(1,Q8)-(P10))))</f>
        <v>0</v>
      </c>
      <c r="R10" s="63">
        <f>IF(AND(R8=1,R9=9),8,MIN(IF(R8&lt;=0,0,IF(WEEKDAY(R$6,1)=1,0,MIN(8,R9)*R8)),MAX(0,40*MAX(1,R8)-(0))))</f>
        <v>8</v>
      </c>
      <c r="S10" s="63">
        <f>IF(AND(S8=1,S9=9),8,MIN(IF(S8&lt;=0,0,IF(WEEKDAY(S$6,1)=1,0,MIN(8,S9)*S8)),MAX(0,40*MAX(1,S8)-(R10))))</f>
        <v>8</v>
      </c>
      <c r="T10" s="63">
        <f>IF(AND(T8=1,T9=9),8,MIN(IF(T8&lt;=0,0,IF(WEEKDAY(T$6,1)=1,0,MIN(8,T9)*T8)),MAX(0,40*MAX(1,T8)-(R10+S10))))</f>
        <v>8</v>
      </c>
      <c r="U10" s="63">
        <f>IF(AND(U8=1,U9=9),8,MIN(IF(U8&lt;=0,0,IF(WEEKDAY(U$6,1)=1,0,MIN(8,U9)*U8)),MAX(0,40*MAX(1,U8)-(R10+S10+T10))))</f>
        <v>8</v>
      </c>
      <c r="V10" s="63">
        <f>IF(AND(V8=1,V9=9),8,MIN(IF(V8&lt;=0,0,IF(WEEKDAY(V$6,1)=1,0,MIN(8,V9)*V8)),MAX(0,40*MAX(1,V8)-(R10+S10+T10+U10))))</f>
        <v>8</v>
      </c>
      <c r="W10" s="64">
        <f>IF(AND(W8=0,W9=0),0,MIN(IF(W8&lt;=0,0,IF(WEEKDAY(W$6,1)=1,0,MIN(10,W9)*W8)),MAX(0,40*MAX(1,W8)-(0))))</f>
        <v>0</v>
      </c>
      <c r="X10" s="64">
        <f>IF(AND(X8=0,X9=0),0,MIN(IF(X8&lt;=0,0,IF(WEEKDAY(X$6,1)=1,0,MIN(10,X9)*X8)),MAX(0,40*MAX(1,X8)-(W10))))</f>
        <v>0</v>
      </c>
      <c r="Y10" s="63">
        <f>IF(AND(Y8=1,Y9=9),8,MIN(IF(Y8&lt;=0,0,IF(WEEKDAY(Y$6,1)=1,0,MIN(8,Y9)*Y8)),MAX(0,40*MAX(1,Y8)-(0))))</f>
        <v>8</v>
      </c>
      <c r="Z10" s="63">
        <f>IF(AND(Z8=1,Z9=9),8,MIN(IF(Z8&lt;=0,0,IF(WEEKDAY(Z$6,1)=1,0,MIN(8,Z9)*Z8)),MAX(0,40*MAX(1,Z8)-(Y10))))</f>
        <v>8</v>
      </c>
      <c r="AA10" s="63">
        <f>IF(AND(AA8=1,AA9=9),8,MIN(IF(AA8&lt;=0,0,IF(WEEKDAY(AA$6,1)=1,0,MIN(8,AA9)*AA8)),MAX(0,40*MAX(1,AA8)-(Y10+Z10))))</f>
        <v>8</v>
      </c>
      <c r="AB10" s="63">
        <f>IF(AND(AB8=1,AB9=9),8,MIN(IF(AB8&lt;=0,0,IF(WEEKDAY(AB$6,1)=1,0,MIN(8,AB9)*AB8)),MAX(0,40*MAX(1,AB8)-(Y10+Z10+AA10))))</f>
        <v>8</v>
      </c>
      <c r="AC10" s="63">
        <f>IF(AND(AC8=1,AC9=9),8,MIN(IF(AC8&lt;=0,0,IF(WEEKDAY(AC$6,1)=1,0,MIN(8,AC9)*AC8)),MAX(0,40*MAX(1,AC8)-(Y10+Z10+AA10+AB10))))</f>
        <v>8</v>
      </c>
      <c r="AD10" s="64">
        <f>IF(AND(AD8=0,AD9=0),0,MIN(IF(AD8&lt;=0,0,IF(WEEKDAY(AD$6,1)=1,0,MIN(10,AD9)*AD8)),MAX(0,40*MAX(1,AD8)-(0))))</f>
        <v>0</v>
      </c>
      <c r="AE10" s="64">
        <f>IF(AND(AE8=0,AE9=0),0,MIN(IF(AE8&lt;=0,0,IF(WEEKDAY(AE$6,1)=1,0,MIN(10,AE9)*AE8)),MAX(0,40*MAX(1,AE8)-(AD10))))</f>
        <v>0</v>
      </c>
      <c r="AF10" s="63">
        <f>IF(AND(AF8=1,AF9=9),8,MIN(IF(AF8&lt;=0,0,IF(WEEKDAY(AF$6,1)=1,0,MIN(8,AF9)*AF8)),MAX(0,40*MAX(1,AF8)-(0))))</f>
        <v>8</v>
      </c>
      <c r="AG10" s="63">
        <f>IF(AND(AG8=1,AG9=9),8,MIN(IF(AG8&lt;=0,0,IF(WEEKDAY(AG$6,1)=1,0,MIN(8,AG9)*AG8)),MAX(0,40*MAX(1,AG8)-(AF10))))</f>
        <v>8</v>
      </c>
      <c r="AH10" s="63">
        <f>IF(AND(AH8=1,AH9=9),8,MIN(IF(AH8&lt;=0,0,IF(WEEKDAY(AH$6,1)=1,0,MIN(8,AH9)*AH8)),MAX(0,40*MAX(1,AH8)-(AF10+AG10))))</f>
        <v>8</v>
      </c>
      <c r="AI10" s="63">
        <f>IF(AND(AI8=1,AI9=9),8,MIN(IF(AI8&lt;=0,0,IF(WEEKDAY(AI$6,1)=1,0,MIN(8,AI9)*AI8)),MAX(0,40*MAX(1,AI8)-(AF10+AG10+AH10))))</f>
        <v>8</v>
      </c>
      <c r="AJ10" s="63">
        <f>IF(AND(AJ8=1,AJ9=9),8,MIN(IF(AJ8&lt;=0,0,IF(WEEKDAY(AJ$6,1)=1,0,MIN(8,AJ9)*AJ8)),MAX(0,40*MAX(1,AJ8)-(AF10+AG10+AH10+AI10))))</f>
        <v>8</v>
      </c>
      <c r="AK10" s="64">
        <f>IF(AND(AK8=0,AK9=0),0,MIN(IF(AK8&lt;=0,0,IF(WEEKDAY(AK$6,1)=1,0,MIN(10,AK9)*AK8)),MAX(0,40*MAX(1,AK8)-(0))))</f>
        <v>0</v>
      </c>
      <c r="AL10" s="64">
        <f>IF(AND(AL8=0,AL9=0),0,MIN(IF(AL8&lt;=0,0,IF(WEEKDAY(AL$6,1)=1,0,MIN(10,AL9)*AL8)),MAX(0,40*MAX(1,AL8)-(AK10))))</f>
        <v>0</v>
      </c>
      <c r="AM10" s="63">
        <f>IF(AND(AM8=1,AM9=9),8,MIN(IF(AM8&lt;=0,0,IF(WEEKDAY(AM$6,1)=1,0,MIN(8,AM9)*AM8)),MAX(0,40*MAX(1,AM8)-(0))))</f>
        <v>8</v>
      </c>
      <c r="AN10" s="63">
        <f>IF(AND(AN8=1,AN9=9),8,MIN(IF(AN8&lt;=0,0,IF(WEEKDAY(AN$6,1)=1,0,MIN(8,AN9)*AN8)),MAX(0,40*MAX(1,AN8)-(AM10))))</f>
        <v>8</v>
      </c>
      <c r="AO10" s="63">
        <f>IF(AND(AO8=1,AO9=9),8,MIN(IF(AO8&lt;=0,0,IF(WEEKDAY(AO$6,1)=1,0,MIN(8,AO9)*AO8)),MAX(0,40*MAX(1,AO8)-(AM10+AN10))))</f>
        <v>8</v>
      </c>
      <c r="AP10" s="63">
        <f>IF(AND(AP8=1,AP9=9),8,MIN(IF(AP8&lt;=0,0,IF(WEEKDAY(AP$6,1)=1,0,MIN(8,AP9)*AP8)),MAX(0,40*MAX(1,AP8)-(AM10+AN10+AO10))))</f>
        <v>8</v>
      </c>
      <c r="AQ10" s="63">
        <f>IF(AND(AQ8=1,AQ9=9),8,MIN(IF(AQ8&lt;=0,0,IF(WEEKDAY(AQ$6,1)=1,0,MIN(8,AQ9)*AQ8)),MAX(0,40*MAX(1,AQ8)-(AM10+AN10+AO10+AP10))))</f>
        <v>8</v>
      </c>
      <c r="AR10" s="64">
        <f>IF(AND(AR8=0,AR9=0),0,MIN(IF(AR8&lt;=0,0,IF(WEEKDAY(AR$6,1)=1,0,MIN(10,AR9)*AR8)),MAX(0,40*MAX(1,AR8)-(0))))</f>
        <v>0</v>
      </c>
      <c r="AS10" s="64">
        <f>IF(AND(AS8=0,AS9=0),0,MIN(IF(AS8&lt;=0,0,IF(WEEKDAY(AS$6,1)=1,0,MIN(10,AS9)*AS8)),MAX(0,40*MAX(1,AS8)-(AR10))))</f>
        <v>0</v>
      </c>
      <c r="AT10" s="63">
        <f>IF(AND(AT8=1,AT9=9),8,MIN(IF(AT8&lt;=0,0,IF(WEEKDAY(AT$6,1)=1,0,MIN(8,AT9)*AT8)),MAX(0,40*MAX(1,AT8)-(0))))</f>
        <v>8</v>
      </c>
      <c r="AU10" s="63">
        <f>IF(AND(AU8=1,AU9=9),8,MIN(IF(AU8&lt;=0,0,IF(WEEKDAY(AU$6,1)=1,0,MIN(8,AU9)*AU8)),MAX(0,40*MAX(1,AU8)-(AT10))))</f>
        <v>8</v>
      </c>
      <c r="AV10" s="63">
        <f>IF(AND(AV8=1,AV9=9),8,MIN(IF(AV8&lt;=0,0,IF(WEEKDAY(AV$6,1)=1,0,MIN(8,AV9)*AV8)),MAX(0,40*MAX(1,AV8)-(AT10+AU10))))</f>
        <v>8</v>
      </c>
      <c r="AW10" s="63">
        <f>IF(AND(AW8=1,AW9=9),8,MIN(IF(AW8&lt;=0,0,IF(WEEKDAY(AW$6,1)=1,0,MIN(8,AW9)*AW8)),MAX(0,40*MAX(1,AW8)-(AT10+AU10+AV10))))</f>
        <v>8</v>
      </c>
      <c r="AX10" s="63">
        <f>IF(AND(AX8=1,AX9=9),8,MIN(IF(AX8&lt;=0,0,IF(WEEKDAY(AX$6,1)=1,0,MIN(8,AX9)*AX8)),MAX(0,40*MAX(1,AX8)-(AT10+AU10+AV10+AW10))))</f>
        <v>8</v>
      </c>
      <c r="AY10" s="64">
        <f>IF(AND(AY8=0,AY9=0),0,MIN(IF(AY8&lt;=0,0,IF(WEEKDAY(AY$6,1)=1,0,MIN(10,AY9)*AY8)),MAX(0,40*MAX(1,AY8)-(0))))</f>
        <v>0</v>
      </c>
      <c r="AZ10" s="64">
        <f>IF(AND(AZ8=0,AZ9=0),0,MIN(IF(AZ8&lt;=0,0,IF(WEEKDAY(AZ$6,1)=1,0,MIN(10,AZ9)*AZ8)),MAX(0,40*MAX(1,AZ8)-(AY10))))</f>
        <v>0</v>
      </c>
      <c r="BA10" s="63">
        <f>IF(AND(BA8=1,BA9=9),8,MIN(IF(BA8&lt;=0,0,IF(WEEKDAY(BA$6,1)=1,0,MIN(8,BA9)*BA8)),MAX(0,40*MAX(1,BA8)-(0))))</f>
        <v>8</v>
      </c>
      <c r="BB10" s="63">
        <f>IF(AND(BB8=1,BB9=9),8,MIN(IF(BB8&lt;=0,0,IF(WEEKDAY(BB$6,1)=1,0,MIN(8,BB9)*BB8)),MAX(0,40*MAX(1,BB8)-(BA10))))</f>
        <v>8</v>
      </c>
      <c r="BC10" s="63">
        <f>IF(AND(BC8=1,BC9=9),8,MIN(IF(BC8&lt;=0,0,IF(WEEKDAY(BC$6,1)=1,0,MIN(8,BC9)*BC8)),MAX(0,40*MAX(1,BC8)-(BA10+BB10))))</f>
        <v>8</v>
      </c>
      <c r="BD10" s="63">
        <f>IF(AND(BD8=1,BD9=9),8,MIN(IF(BD8&lt;=0,0,IF(WEEKDAY(BD$6,1)=1,0,MIN(8,BD9)*BD8)),MAX(0,40*MAX(1,BD8)-(BA10+BB10+BC10))))</f>
        <v>8</v>
      </c>
      <c r="BE10" s="63">
        <f>IF(AND(BE8=1,BE9=9),8,MIN(IF(BE8&lt;=0,0,IF(WEEKDAY(BE$6,1)=1,0,MIN(8,BE9)*BE8)),MAX(0,40*MAX(1,BE8)-(BA10+BB10+BC10+BD10))))</f>
        <v>8</v>
      </c>
      <c r="BF10" s="64">
        <f>IF(AND(BF8=0,BF9=0),0,MIN(IF(BF8&lt;=0,0,IF(WEEKDAY(BF$6,1)=1,0,MIN(10,BF9)*BF8)),MAX(0,40*MAX(1,BF8)-(0))))</f>
        <v>0</v>
      </c>
      <c r="BG10" s="64">
        <f>IF(AND(BG8=0,BG9=0),0,MIN(IF(BG8&lt;=0,0,IF(WEEKDAY(BG$6,1)=1,0,MIN(10,BG9)*BG8)),MAX(0,40*MAX(1,BG8)-(BF10))))</f>
        <v>0</v>
      </c>
      <c r="BH10" s="63">
        <f>IF(AND(BH8=1,BH9=13),10,MIN(IF(BH8&lt;=0,0,IF(WEEKDAY(BH$6,1)=1,0,MIN(10,BH9)*BH8)),MAX(0,40*MAX(1,BH8)-(0))))</f>
        <v>10</v>
      </c>
      <c r="BI10" s="63">
        <f>IF(AND(BI8=1,BI9=13),10,MIN(IF(BI8&lt;=0,0,IF(WEEKDAY(BI$6,1)=1,0,MIN(10,BI9)*BI8)),MAX(0,40*MAX(1,BI8)-(BH10))))</f>
        <v>10</v>
      </c>
      <c r="BJ10" s="63">
        <f>IF(AND(BJ8=1,BJ9=13),10,MIN(IF(BJ8&lt;=0,0,IF(WEEKDAY(BJ$6,1)=1,0,MIN(10,BJ9)*BJ8)),MAX(0,40*MAX(1,BJ8)-(BH10+BI10))))</f>
        <v>10</v>
      </c>
      <c r="BK10" s="63">
        <f>IF(AND(BK8=1,BK9=13),10,MIN(IF(BK8&lt;=0,0,IF(WEEKDAY(BK$6,1)=1,0,MIN(10,BK9)*BK8)),MAX(0,40*MAX(1,BK8)-(BH10+BI10+BJ10))))</f>
        <v>10</v>
      </c>
      <c r="BL10" s="63">
        <f>IF(AND(BL8=1,BL9=13),0,MIN(IF(BL8&lt;=0,0,IF(WEEKDAY(BL$6,1)=1,0,MIN(10,BL9)*BL8)),MAX(0,40*MAX(1,BL8)-(BH10+BI10+BJ10+BK10))))</f>
        <v>0</v>
      </c>
      <c r="BM10" s="64">
        <f>IF(AND(BM8=1,BM9=13),0,MIN(IF(BM8&lt;=0,0,IF(WEEKDAY(BM$6,1)=1,0,MIN(10,BM9)*BM8)),MAX(0,40*MAX(1,BM8)-(BH10+BI10+BJ10+BK10+BL10))))</f>
        <v>0</v>
      </c>
      <c r="BN10" s="64">
        <f>IF(AND(BN8=1,BN9=13),0,MIN(IF(BN8&lt;=0,0,IF(WEEKDAY(BN$6,1)=1,0,MIN(10,BN9)*BN8)),MAX(0,40*MAX(1,BN8)-(BH10+BI10+BJ10+BK10+BL10+BM10))))</f>
        <v>0</v>
      </c>
      <c r="BO10" s="63">
        <f>IF(AND(BO8=1,BO9=13),10,MIN(IF(BO8&lt;=0,0,IF(WEEKDAY(BO$6,1)=1,0,MIN(10,BO9)*BO8)),MAX(0,40*MAX(1,BO8)-(0))))</f>
        <v>10</v>
      </c>
      <c r="BP10" s="63">
        <f>IF(AND(BP8=1,BP9=13),10,MIN(IF(BP8&lt;=0,0,IF(WEEKDAY(BP$6,1)=1,0,MIN(10,BP9)*BP8)),MAX(0,40*MAX(1,BP8)-(BO10))))</f>
        <v>10</v>
      </c>
      <c r="BQ10" s="63">
        <f>IF(AND(BQ8=1,BQ9=13),10,MIN(IF(BQ8&lt;=0,0,IF(WEEKDAY(BQ$6,1)=1,0,MIN(10,BQ9)*BQ8)),MAX(0,40*MAX(1,BQ8)-(BO10+BP10))))</f>
        <v>10</v>
      </c>
      <c r="BR10" s="63">
        <f>IF(AND(BR8=1,BR9=13),10,MIN(IF(BR8&lt;=0,0,IF(WEEKDAY(BR$6,1)=1,0,MIN(10,BR9)*BR8)),MAX(0,40*MAX(1,BR8)-(0))))</f>
        <v>10</v>
      </c>
      <c r="BS10" s="63">
        <f>IF(AND(BS8=1,BS9=13),10,MIN(IF(BS8&lt;=0,0,IF(WEEKDAY(BS$6,1)=1,0,MIN(10,BS9)*BS8)),MAX(0,40*MAX(1,BS8)-(BR10))))</f>
        <v>10</v>
      </c>
      <c r="BT10" s="64">
        <f>IF(AND(BT8=1,BT9=13),10,MIN(IF(BT8&lt;=0,0,IF(WEEKDAY(BT$6,1)=1,0,MIN(10,BT9)*BT8)),MAX(0,40*MAX(1,BT8)-(BR10+BS10))))</f>
        <v>10</v>
      </c>
      <c r="BU10" s="64">
        <f>IF(AND(BU8=1,BU9=13),0,MIN(IF(BU8&lt;=0,0,IF(WEEKDAY(BU$6,1)=1,0,MIN(10,BU9)*BU8)),MAX(0,40*MAX(1,BU8)-(BR10+BS10+BT10))))</f>
        <v>0</v>
      </c>
      <c r="BV10" s="63">
        <f>IF(AND(BV8=1,BV9=13),10,MIN(IF(BV8&lt;=0,0,IF(WEEKDAY(BV$6,1)=1,0,MIN(10,BV9)*BV8)),MAX(0,40*MAX(1,BV8)-(0))))</f>
        <v>10</v>
      </c>
      <c r="BW10" s="63">
        <f>IF(AND(BW8=1,BW9=13),10,MIN(IF(BW8&lt;=0,0,IF(WEEKDAY(BW$6,1)=1,0,MIN(10,BW9)*BW8)),MAX(0,40*MAX(1,BW8)-(BV10))))</f>
        <v>10</v>
      </c>
      <c r="BX10" s="63">
        <f>IF(AND(BX8=1,BX9=13),10,MIN(IF(BX8&lt;=0,0,IF(WEEKDAY(BX$6,1)=1,0,MIN(10,BX9)*BX8)),MAX(0,40*MAX(1,BX8)-(BV10+BW10))))</f>
        <v>10</v>
      </c>
      <c r="BY10" s="63">
        <f>IF(AND(BY8=1,BY9=13),10,MIN(IF(BY8&lt;=0,0,IF(WEEKDAY(BY$6,1)=1,0,MIN(10,BY9)*BY8)),MAX(0,40*MAX(1,BY8)-(BV10+BW10+BX10))))</f>
        <v>10</v>
      </c>
      <c r="BZ10" s="63">
        <f>IF(AND(BZ8=1,BZ9=13),0,MIN(IF(BZ8&lt;=0,0,IF(WEEKDAY(BZ$6,1)=1,0,MIN(10,BZ9)*BZ8)),MAX(0,40*MAX(1,BZ8)-(BV10+BW10+BX10+BY10))))</f>
        <v>0</v>
      </c>
      <c r="CA10" s="64">
        <f>IF(AND(CA8=1,CA9=13),0,MIN(IF(CA8&lt;=0,0,IF(WEEKDAY(CA$6,1)=1,0,MIN(10,CA9)*CA8)),MAX(0,40*MAX(1,CA8)-(BV10+BW10+BX10+BY10+BZ10))))</f>
        <v>0</v>
      </c>
      <c r="CB10" s="64">
        <f>IF(AND(CB8=0,CB9=0),0,MIN(IF(CB8&lt;=0,0,IF(WEEKDAY(CB$6,1)=1,0,MIN(10,CB9)*CB8)),MAX(0,40*MAX(1,CB8)-(0))))</f>
        <v>0</v>
      </c>
      <c r="CC10" s="63">
        <f>IF(AND(CC8=1,CC9=13),10,MIN(IF(CC8&lt;=0,0,IF(WEEKDAY(CC$6,1)=1,0,MIN(10,CC9)*CC8)),MAX(0,40*MAX(1,CC8)-(0))))</f>
        <v>10</v>
      </c>
      <c r="CD10" s="63">
        <f>IF(AND(CD8=1,CD9=13),10,MIN(IF(CD8&lt;=0,0,IF(WEEKDAY(CD$6,1)=1,0,MIN(10,CD9)*CD8)),MAX(0,40*MAX(1,CD8)-(CC10))))</f>
        <v>10</v>
      </c>
      <c r="CE10" s="63">
        <f>IF(AND(CE8=1,CE9=13),10,MIN(IF(CE8&lt;=0,0,IF(WEEKDAY(CE$6,1)=1,0,MIN(10,CE9)*CE8)),MAX(0,40*MAX(1,CE8)-(CC10+CD10))))</f>
        <v>10</v>
      </c>
      <c r="CF10" s="63">
        <f>IF(AND(CF8=1,CF9=13),10,MIN(IF(CF8&lt;=0,0,IF(WEEKDAY(CF$6,1)=1,0,MIN(10,CF9)*CF8)),MAX(0,40*MAX(1,CF8)-(CC10+CD10+CE10))))</f>
        <v>10</v>
      </c>
      <c r="CG10" s="63">
        <f>IF(AND(CG8=1,CG9=13),0,MIN(IF(CG8&lt;=0,0,IF(WEEKDAY(CG$6,1)=1,0,MIN(10,CG9)*CG8)),MAX(0,40*MAX(1,CG8)-(CC10+CD10+CE10+CF10))))</f>
        <v>0</v>
      </c>
      <c r="CH10" s="64">
        <f>IF(AND(CH8=1,CH9=13),0,MIN(IF(CH8&lt;=0,0,IF(WEEKDAY(CH$6,1)=1,0,MIN(10,CH9)*CH8)),MAX(0,40*MAX(1,CH8)-(CC10+CD10+CE10+CF10+CG10))))</f>
        <v>0</v>
      </c>
      <c r="CI10" s="64">
        <f>IF(AND(CI8=1,CI9=13),0,MIN(IF(CI8&lt;=0,0,IF(WEEKDAY(CI$6,1)=1,0,MIN(10,CI9)*CI8)),MAX(0,40*MAX(1,CI8)-(CC10+CD10+CE10+CF10+CG10+CH10))))</f>
        <v>0</v>
      </c>
      <c r="CJ10" s="63">
        <f>IF(AND(CJ8=1,CJ9=13),10,MIN(IF(CJ8&lt;=0,0,IF(WEEKDAY(CJ$6,1)=1,0,MIN(10,CJ9)*CJ8)),MAX(0,40*MAX(1,CJ8)-(0))))</f>
        <v>10</v>
      </c>
      <c r="CK10" s="63">
        <f>IF(AND(CK8=1,CK9=13),10,MIN(IF(CK8&lt;=0,0,IF(WEEKDAY(CK$6,1)=1,0,MIN(10,CK9)*CK8)),MAX(0,40*MAX(1,CK8)-(CJ10))))</f>
        <v>10</v>
      </c>
      <c r="CL10" s="63">
        <f>IF(AND(CL8=1,CL9=13),10,MIN(IF(CL8&lt;=0,0,IF(WEEKDAY(CL$6,1)=1,0,MIN(10,CL9)*CL8)),MAX(0,40*MAX(1,CL8)-(CJ10+CK10))))</f>
        <v>10</v>
      </c>
      <c r="CM10" s="63">
        <f>IF(AND(CM8=1,CM9=13),10,MIN(IF(CM8&lt;=0,0,IF(WEEKDAY(CM$6,1)=1,0,MIN(10,CM9)*CM8)),MAX(0,40*MAX(1,CM8)-(CJ10+CK10+CL10))))</f>
        <v>10</v>
      </c>
      <c r="CN10" s="63">
        <f>IF(AND(CN8=1,CN9=13),0,MIN(IF(CN8&lt;=0,0,IF(WEEKDAY(CN$6,1)=1,0,MIN(10,CN9)*CN8)),MAX(0,40*MAX(1,CN8)-(CJ10+CK10+CL10+CM10))))</f>
        <v>0</v>
      </c>
      <c r="CO10" s="64">
        <f>IF(AND(CO8=1,CO9=13),0,MIN(IF(CO8&lt;=0,0,IF(WEEKDAY(CO$6,1)=1,0,MIN(10,CO9)*CO8)),MAX(0,40*MAX(1,CO8)-(CJ10+CK10+CL10+CM10+CN10))))</f>
        <v>0</v>
      </c>
      <c r="CP10" s="64">
        <f>IF(AND(CP8=0,CP9=0),0,MIN(IF(CP8&lt;=0,0,IF(WEEKDAY(CP$6,1)=1,0,MIN(10,CP9)*CP8)),MAX(0,40*MAX(1,CP8)-(0))))</f>
        <v>0</v>
      </c>
      <c r="CQ10" s="63">
        <f>IF(AND(CQ8=1,CQ9=13),10,MIN(IF(CQ8&lt;=0,0,IF(WEEKDAY(CQ$6,1)=1,0,MIN(10,CQ9)*CQ8)),MAX(0,40*MAX(1,CQ8)-(0))))</f>
        <v>10</v>
      </c>
      <c r="CR10" s="63">
        <f>IF(AND(CR8=1,CR9=13),10,MIN(IF(CR8&lt;=0,0,IF(WEEKDAY(CR$6,1)=1,0,MIN(10,CR9)*CR8)),MAX(0,40*MAX(1,CR8)-(CQ10))))</f>
        <v>10</v>
      </c>
      <c r="CS10" s="63">
        <f>IF(AND(CS8=1,CS9=13),10,MIN(IF(CS8&lt;=0,0,IF(WEEKDAY(CS$6,1)=1,0,MIN(10,CS9)*CS8)),MAX(0,40*MAX(1,CS8)-(CQ10+CR10))))</f>
        <v>10</v>
      </c>
      <c r="CT10" s="63">
        <f>IF(AND(CT8=1,CT9=13),10,MIN(IF(CT8&lt;=0,0,IF(WEEKDAY(CT$6,1)=1,0,MIN(10,CT9)*CT8)),MAX(0,40*MAX(1,CT8)-(CQ10+CR10+CS10))))</f>
        <v>10</v>
      </c>
      <c r="CU10" s="63">
        <f>IF(AND(CU8=1,CU9=13),0,MIN(IF(CU8&lt;=0,0,IF(WEEKDAY(CU$6,1)=1,0,MIN(10,CU9)*CU8)),MAX(0,40*MAX(1,CU8)-(CQ10+CR10+CS10+CT10))))</f>
        <v>0</v>
      </c>
      <c r="CV10" s="64">
        <f>IF(AND(CV8=1,CV9=13),0,MIN(IF(CV8&lt;=0,0,IF(WEEKDAY(CV$6,1)=1,0,MIN(10,CV9)*CV8)),MAX(0,40*MAX(1,CV8)-(CQ10+CR10+CS10+CT10+CU10))))</f>
        <v>0</v>
      </c>
      <c r="CW10" s="64">
        <f>IF(AND(CW8=1,CW9=13),0,MIN(IF(CW8&lt;=0,0,IF(WEEKDAY(CW$6,1)=1,0,MIN(10,CW9)*CW8)),MAX(0,40*MAX(1,CW8)-(CQ10+CR10+CS10+CT10+CU10+CV10))))</f>
        <v>0</v>
      </c>
      <c r="CX10" s="63">
        <f>IF(AND(CX8=1,CX9=13),10,MIN(IF(CX8&lt;=0,0,IF(WEEKDAY(CX$6,1)=1,0,MIN(10,CX9)*CX8)),MAX(0,40*MAX(1,CX8)-(0))))</f>
        <v>10</v>
      </c>
      <c r="CY10" s="63">
        <f>IF(AND(CY8=1,CY9=13),10,MIN(IF(CY8&lt;=0,0,IF(WEEKDAY(CY$6,1)=1,0,MIN(10,CY9)*CY8)),MAX(0,40*MAX(1,CY8)-(CX10))))</f>
        <v>10</v>
      </c>
      <c r="CZ10" s="63">
        <f>IF(AND(CZ8=1,CZ9=13),10,MIN(IF(CZ8&lt;=0,0,IF(WEEKDAY(CZ$6,1)=1,0,MIN(10,CZ9)*CZ8)),MAX(0,40*MAX(1,CZ8)-(CX10+CY10))))</f>
        <v>10</v>
      </c>
      <c r="DA10" s="63">
        <f>IF(AND(DA8=1,DA9=13),10,MIN(IF(DA8&lt;=0,0,IF(WEEKDAY(DA$6,1)=1,0,MIN(10,DA9)*DA8)),MAX(0,40*MAX(1,DA8)-(CX10+CY10+CZ10))))</f>
        <v>10</v>
      </c>
      <c r="DB10" s="63">
        <f>IF(AND(DB8=1,DB9=13),0,MIN(IF(DB8&lt;=0,0,IF(WEEKDAY(DB$6,1)=1,0,MIN(10,DB9)*DB8)),MAX(0,40*MAX(1,DB8)-(CX10+CY10+CZ10+DA10))))</f>
        <v>0</v>
      </c>
      <c r="DC10" s="64">
        <f>IF(AND(DC8=1,DC9=13),0,MIN(IF(DC8&lt;=0,0,IF(WEEKDAY(DC$6,1)=1,0,MIN(10,DC9)*DC8)),MAX(0,40*MAX(1,DC8)-(CX10+CY10+CZ10+DA10+DB10))))</f>
        <v>0</v>
      </c>
      <c r="DD10" s="64">
        <f>IF(AND(DD8=1,DD9=13),0,MIN(IF(DD8&lt;=0,0,IF(WEEKDAY(DD$6,1)=1,0,MIN(10,DD9)*DD8)),MAX(0,40*MAX(1,DD8)-(0))))</f>
        <v>0</v>
      </c>
      <c r="DE10" s="63">
        <f>IF(AND(DE8=1,DE9=13),10,MIN(IF(DE8&lt;=0,0,IF(WEEKDAY(DE$6,1)=1,0,MIN(10,DE9)*DE8)),MAX(0,40*MAX(1,DE8)-(0))))</f>
        <v>10</v>
      </c>
      <c r="DF10" s="63">
        <f>IF(AND(DF8=1,DF9=13),10,MIN(IF(DF8&lt;=0,0,IF(WEEKDAY(DF$6,1)=1,0,MIN(10,DF9)*DF8)),MAX(0,40*MAX(1,DF8)-(DE10))))</f>
        <v>10</v>
      </c>
      <c r="DG10" s="63">
        <f>IF(AND(DG8=1,DG9=13),10,MIN(IF(DG8&lt;=0,0,IF(WEEKDAY(DG$6,1)=1,0,MIN(10,DG9)*DG8)),MAX(0,40*MAX(1,DG8)-(DE10+DF10))))</f>
        <v>10</v>
      </c>
      <c r="DH10" s="63">
        <f>IF(AND(DH8=1,DH9=13),10,MIN(IF(DH8&lt;=0,0,IF(WEEKDAY(DH$6,1)=1,0,MIN(10,DH9)*DH8)),MAX(0,40*MAX(1,DH8)-(DE10+DF10+DG10))))</f>
        <v>10</v>
      </c>
      <c r="DI10" s="63">
        <f>IF(AND(DI8=1,DI9=13),0,MIN(IF(DI8&lt;=0,0,IF(WEEKDAY(DI$6,1)=1,0,MIN(10,DI9)*DI8)),MAX(0,40*MAX(1,DI8)-(DE10+DF10+DG10+DH10))))</f>
        <v>0</v>
      </c>
      <c r="DJ10" s="64">
        <f>IF(AND(DJ8=1,DJ9=13),0,MIN(IF(DJ8&lt;=0,0,IF(WEEKDAY(DJ$6,1)=1,0,MIN(10,DJ9)*DJ8)),MAX(0,40*MAX(1,DJ8)-(DE10+DF10+DG10+DH10+DI10))))</f>
        <v>0</v>
      </c>
      <c r="DK10" s="64">
        <f>IF(AND(DK8=0,DK9=0),0,MIN(IF(DK8&lt;=0,0,IF(WEEKDAY(DK$6,1)=1,0,MIN(10,DK9)*DK8)),MAX(0,40*MAX(1,DK8)-(0))))</f>
        <v>0</v>
      </c>
      <c r="DL10" s="63">
        <f>IF(AND(DL8=1,DL9=13),10,MIN(IF(DL8&lt;=0,0,IF(WEEKDAY(DL$6,1)=1,0,MIN(10,DL9)*DL8)),MAX(0,40*MAX(1,DL8)-(0))))</f>
        <v>10</v>
      </c>
      <c r="DM10" s="63">
        <f>IF(AND(DM8=1,DM9=13),10,MIN(IF(DM8&lt;=0,0,IF(WEEKDAY(DM$6,1)=1,0,MIN(10,DM9)*DM8)),MAX(0,40*MAX(1,DM8)-(DL10))))</f>
        <v>10</v>
      </c>
      <c r="DN10" s="63">
        <f>IF(AND(DN8=1,DN9=13),10,MIN(IF(DN8&lt;=0,0,IF(WEEKDAY(DN$6,1)=1,0,MIN(10,DN9)*DN8)),MAX(0,40*MAX(1,DN8)-(DL10+DM10))))</f>
        <v>10</v>
      </c>
      <c r="DO10" s="63">
        <f>IF(AND(DO8=1,DO9=13),10,MIN(IF(DO8&lt;=0,0,IF(WEEKDAY(DO$6,1)=1,0,MIN(10,DO9)*DO8)),MAX(0,40*MAX(1,DO8)-(DL10+DM10+DN10))))</f>
        <v>10</v>
      </c>
      <c r="DP10" s="63">
        <f>IF(AND(DP8=1,DP9=13),0,MIN(IF(DP8&lt;=0,0,IF(WEEKDAY(DP$6,1)=1,0,MIN(10,DP9)*DP8)),MAX(0,40*MAX(1,DP8)-(DL10+DM10+DN10+DO10))))</f>
        <v>0</v>
      </c>
      <c r="DQ10" s="64">
        <f>IF(AND(DQ8=1,DQ9=13),0,MIN(IF(DQ8&lt;=0,0,IF(WEEKDAY(DQ$6,1)=1,0,MIN(10,DQ9)*DQ8)),MAX(0,40*MAX(1,DQ8)-(DL10+DM10+DN10+DO10+DP10))))</f>
        <v>0</v>
      </c>
      <c r="DR10" s="64">
        <f>IF(AND(DR8=1,DR9=13),0,MIN(IF(DR8&lt;=0,0,IF(WEEKDAY(DR$6,1)=1,0,MIN(10,DR9)*DR8)),MAX(0,40*MAX(1,DR8)-(DL10+DM10+DN10+DO10+DP10+DQ10))))</f>
        <v>0</v>
      </c>
      <c r="DS10" s="63">
        <f>IF(AND(DS8=1,DS9=13),10,MIN(IF(DS8&lt;=0,0,IF(WEEKDAY(DS$6,1)=1,0,MIN(10,DS9)*DS8)),MAX(0,40*MAX(1,DS8)-(0))))</f>
        <v>10</v>
      </c>
      <c r="DT10" s="63">
        <f>IF(AND(DT8=1,DT9=9),8,MIN(IF(DT8&lt;=0,0,IF(WEEKDAY(DT$6,1)=1,0,MIN(8,DT9)*DT8)),MAX(0,40*MAX(1,DT8)-(0))))</f>
        <v>8</v>
      </c>
      <c r="DU10" s="63">
        <f>IF(AND(DU8=1,DU9=9),8,MIN(IF(DU8&lt;=0,0,IF(WEEKDAY(DU$6,1)=1,0,MIN(8,DU9)*DU8)),MAX(0,40*MAX(1,DU8)-(DT10))))</f>
        <v>8</v>
      </c>
      <c r="DV10" s="63">
        <f>IF(AND(DV8=1,DV9=9),8,MIN(IF(DV8&lt;=0,0,IF(WEEKDAY(DV$6,1)=1,0,MIN(8,DV9)*DV8)),MAX(0,40*MAX(1,DV8)-(DT10+DU10))))</f>
        <v>8</v>
      </c>
      <c r="DW10" s="63">
        <f>IF(AND(DW8=1,DW9=9),8,MIN(IF(DW8&lt;=0,0,IF(WEEKDAY(DW$6,1)=1,0,MIN(8,DW9)*DW8)),MAX(0,40*MAX(1,DW8)-(DT10+DU10+DV10))))</f>
        <v>8</v>
      </c>
      <c r="DX10" s="64">
        <f>IF(AND(DX8=0,DX9=0),0,MIN(IF(DX8&lt;=0,0,IF(WEEKDAY(DX$6,1)=1,0,MIN(10,DX9)*DX8)),MAX(0,40*MAX(1,DX8)-(0))))</f>
        <v>0</v>
      </c>
      <c r="DY10" s="64">
        <f>IF(AND(DY8=0,DY9=0),0,MIN(IF(DY8&lt;=0,0,IF(WEEKDAY(DY$6,1)=1,0,MIN(10,DY9)*DY8)),MAX(0,40*MAX(1,DY8)-(DX10))))</f>
        <v>0</v>
      </c>
      <c r="DZ10" s="63">
        <f>IF(AND(DZ8=1,DZ9=9),8,MIN(IF(DZ8&lt;=0,0,IF(WEEKDAY(DZ$6,1)=1,0,MIN(8,DZ9)*DZ8)),MAX(0,40*MAX(1,DZ8)-(0))))</f>
        <v>8</v>
      </c>
      <c r="EA10" s="63">
        <f>IF(AND(EA8=1,EA9=9),8,MIN(IF(EA8&lt;=0,0,IF(WEEKDAY(EA$6,1)=1,0,MIN(8,EA9)*EA8)),MAX(0,40*MAX(1,EA8)-(DZ10))))</f>
        <v>8</v>
      </c>
      <c r="EB10" s="63">
        <f>IF(AND(EB8=1,EB9=9),8,MIN(IF(EB8&lt;=0,0,IF(WEEKDAY(EB$6,1)=1,0,MIN(8,EB9)*EB8)),MAX(0,40*MAX(1,EB8)-(DZ10+EA10))))</f>
        <v>8</v>
      </c>
      <c r="EC10" s="63">
        <f>IF(AND(EC8=1,EC9=9),8,MIN(IF(EC8&lt;=0,0,IF(WEEKDAY(EC$6,1)=1,0,MIN(8,EC9)*EC8)),MAX(0,40*MAX(1,EC8)-(DZ10+EA10+EB10))))</f>
        <v>8</v>
      </c>
      <c r="ED10" s="63">
        <f>IF(AND(ED8=1,ED9=9),8,MIN(IF(ED8&lt;=0,0,IF(WEEKDAY(ED$6,1)=1,0,MIN(8,ED9)*ED8)),MAX(0,40*MAX(1,ED8)-(DZ10+EA10+EB10+EC10))))</f>
        <v>8</v>
      </c>
      <c r="EE10" s="64">
        <f>IF(AND(EE8=0,EE9=0),0,MIN(IF(EE8&lt;=0,0,IF(WEEKDAY(EE$6,1)=1,0,MIN(10,EE9)*EE8)),MAX(0,40*MAX(1,EE8)-(0))))</f>
        <v>0</v>
      </c>
      <c r="EF10" s="64">
        <f>IF(AND(EF8=0,EF9=0),0,MIN(IF(EF8&lt;=0,0,IF(WEEKDAY(EF$6,1)=1,0,MIN(10,EF9)*EF8)),MAX(0,40*MAX(1,EF8)-(EE10))))</f>
        <v>0</v>
      </c>
      <c r="EG10" s="63">
        <f>IF(AND(EG8=1,EG9=9),8,MIN(IF(EG8&lt;=0,0,IF(WEEKDAY(EG$6,1)=1,0,MIN(8,EG9)*EG8)),MAX(0,40*MAX(1,EG8)-(0))))</f>
        <v>8</v>
      </c>
      <c r="EH10" s="63">
        <f>IF(AND(EH8=1,EH9=9),8,MIN(IF(EH8&lt;=0,0,IF(WEEKDAY(EH$6,1)=1,0,MIN(8,EH9)*EH8)),MAX(0,40*MAX(1,EH8)-(EG10))))</f>
        <v>8</v>
      </c>
      <c r="EI10" s="63">
        <f>IF(AND(EI8=1,EI9=9),8,MIN(IF(EI8&lt;=0,0,IF(WEEKDAY(EI$6,1)=1,0,MIN(8,EI9)*EI8)),MAX(0,40*MAX(1,EI8)-(EG10+EH10))))</f>
        <v>8</v>
      </c>
      <c r="EJ10" s="63">
        <f>IF(AND(EJ8=1,EJ9=9),8,MIN(IF(EJ8&lt;=0,0,IF(WEEKDAY(EJ$6,1)=1,0,MIN(8,EJ9)*EJ8)),MAX(0,40*MAX(1,EJ8)-(EG10+EH10+EI10))))</f>
        <v>8</v>
      </c>
      <c r="EK10" s="65">
        <f>IF(AND(EK8=1,EK9=9),8,MIN(IF(EK8&lt;=0,0,IF(WEEKDAY(EK$6,1)=1,0,MIN(8,EK9)*EK8)),MAX(0,40*MAX(1,EK8)-(EG10+EH10+EI10+EJ10))))</f>
        <v>8</v>
      </c>
      <c r="OU10" s="28" t="s">
        <v>59</v>
      </c>
    </row>
    <row r="11" ht="16" customHeight="1" spans="1:411" x14ac:dyDescent="0.25">
      <c r="A11" s="45"/>
      <c r="B11" s="46"/>
      <c r="C11" s="66">
        <f>G7*N(D11)</f>
        <v>72013.7</v>
      </c>
      <c r="D11" s="66">
        <f>IF(TRIM(B7)="","No rate",IFERROR(INDEX('Rate Tables'!D$7:D$158,MATCH(B7,'Rate Tables'!A$7:A$158,0)),"No rate"))</f>
        <v>192.55</v>
      </c>
      <c r="E11" s="55" t="s">
        <v>63</v>
      </c>
      <c r="F11" s="49"/>
      <c r="G11" s="49"/>
      <c r="H11" s="49"/>
      <c r="I11" s="49"/>
      <c r="J11" s="50"/>
      <c r="K11" s="62">
        <f>IF(AND(K8=1,K9=9),1,IF(K8&lt;=0,0,IF(WEEKDAY(K$6,1)=1,0,MAX(0,K9-8)*K8))+((IF(K8&lt;=0,0,IF(WEEKDAY(K$6,1)=1,0,MIN(8,K9)*K8)))-MIN(IF(K8&lt;=0,0,IF(WEEKDAY(K$6,1)=1,0,MIN(8,K9)*K8)),MAX(0,40*MAX(1,K8)-(0)))))</f>
        <v>1</v>
      </c>
      <c r="L11" s="63">
        <f>IF(AND(L8=1,L9=9),1,IF(L8&lt;=0,0,IF(WEEKDAY(L$6,1)=1,0,MAX(0,L9-8)*L8))+((IF(L8&lt;=0,0,IF(WEEKDAY(L$6,1)=1,0,MIN(8,L9)*L8)))-MIN(IF(L8&lt;=0,0,IF(WEEKDAY(L$6,1)=1,0,MIN(8,L9)*L8)),MAX(0,40*MAX(1,L8)-(K10)))))</f>
        <v>1</v>
      </c>
      <c r="M11" s="63">
        <f>IF(AND(M8=1,M9=9),1,IF(M8&lt;=0,0,IF(WEEKDAY(M$6,1)=1,0,MAX(0,M9-8)*M8))+((IF(M8&lt;=0,0,IF(WEEKDAY(M$6,1)=1,0,MIN(8,M9)*M8)))-MIN(IF(M8&lt;=0,0,IF(WEEKDAY(M$6,1)=1,0,MIN(8,M9)*M8)),MAX(0,40*MAX(1,M8)-(K10+L10)))))</f>
        <v>1</v>
      </c>
      <c r="N11" s="63">
        <f>IF(AND(N8=1,N9=9),1,IF(N8&lt;=0,0,IF(WEEKDAY(N$6,1)=1,0,MAX(0,N9-8)*N8))+((IF(N8&lt;=0,0,IF(WEEKDAY(N$6,1)=1,0,MIN(8,N9)*N8)))-MIN(IF(N8&lt;=0,0,IF(WEEKDAY(N$6,1)=1,0,MIN(8,N9)*N8)),MAX(0,40*MAX(1,N8)-(K10+L10+M10)))))</f>
        <v>1</v>
      </c>
      <c r="O11" s="63">
        <f>IF(AND(O8=1,O9=9),1,IF(O8&lt;=0,0,IF(WEEKDAY(O$6,1)=1,0,MAX(0,O9-8)*O8))+((IF(O8&lt;=0,0,IF(WEEKDAY(O$6,1)=1,0,MIN(8,O9)*O8)))-MIN(IF(O8&lt;=0,0,IF(WEEKDAY(O$6,1)=1,0,MIN(8,O9)*O8)),MAX(0,40*MAX(1,O8)-(K10+L10+M10+N10)))))</f>
        <v>1</v>
      </c>
      <c r="P11" s="64">
        <f>IF(AND(P8=0,P9=0),0,IF(P8&lt;=0,0,IF(WEEKDAY(P$6,1)=1,0,MAX(0,P9-10)*P8))+((IF(P8&lt;=0,0,IF(WEEKDAY(P$6,1)=1,0,MIN(10,P9)*P8)))-MIN(IF(P8&lt;=0,0,IF(WEEKDAY(P$6,1)=1,0,MIN(10,P9)*P8)),MAX(0,40*MAX(1,P8)-(0)))))</f>
        <v>0</v>
      </c>
      <c r="Q11" s="64">
        <f>IF(AND(Q8=0,Q9=0),0,IF(Q8&lt;=0,0,IF(WEEKDAY(Q$6,1)=1,0,MAX(0,Q9-10)*Q8))+((IF(Q8&lt;=0,0,IF(WEEKDAY(Q$6,1)=1,0,MIN(10,Q9)*Q8)))-MIN(IF(Q8&lt;=0,0,IF(WEEKDAY(Q$6,1)=1,0,MIN(10,Q9)*Q8)),MAX(0,40*MAX(1,Q8)-(P10)))))</f>
        <v>0</v>
      </c>
      <c r="R11" s="63">
        <f>IF(AND(R8=1,R9=9),1,IF(R8&lt;=0,0,IF(WEEKDAY(R$6,1)=1,0,MAX(0,R9-8)*R8))+((IF(R8&lt;=0,0,IF(WEEKDAY(R$6,1)=1,0,MIN(8,R9)*R8)))-MIN(IF(R8&lt;=0,0,IF(WEEKDAY(R$6,1)=1,0,MIN(8,R9)*R8)),MAX(0,40*MAX(1,R8)-(0)))))</f>
        <v>1</v>
      </c>
      <c r="S11" s="63">
        <f>IF(AND(S8=1,S9=9),1,IF(S8&lt;=0,0,IF(WEEKDAY(S$6,1)=1,0,MAX(0,S9-8)*S8))+((IF(S8&lt;=0,0,IF(WEEKDAY(S$6,1)=1,0,MIN(8,S9)*S8)))-MIN(IF(S8&lt;=0,0,IF(WEEKDAY(S$6,1)=1,0,MIN(8,S9)*S8)),MAX(0,40*MAX(1,S8)-(R10)))))</f>
        <v>1</v>
      </c>
      <c r="T11" s="63">
        <f>IF(AND(T8=1,T9=9),1,IF(T8&lt;=0,0,IF(WEEKDAY(T$6,1)=1,0,MAX(0,T9-8)*T8))+((IF(T8&lt;=0,0,IF(WEEKDAY(T$6,1)=1,0,MIN(8,T9)*T8)))-MIN(IF(T8&lt;=0,0,IF(WEEKDAY(T$6,1)=1,0,MIN(8,T9)*T8)),MAX(0,40*MAX(1,T8)-(R10+S10)))))</f>
        <v>1</v>
      </c>
      <c r="U11" s="63">
        <f>IF(AND(U8=1,U9=9),1,IF(U8&lt;=0,0,IF(WEEKDAY(U$6,1)=1,0,MAX(0,U9-8)*U8))+((IF(U8&lt;=0,0,IF(WEEKDAY(U$6,1)=1,0,MIN(8,U9)*U8)))-MIN(IF(U8&lt;=0,0,IF(WEEKDAY(U$6,1)=1,0,MIN(8,U9)*U8)),MAX(0,40*MAX(1,U8)-(R10+S10+T10)))))</f>
        <v>1</v>
      </c>
      <c r="V11" s="63">
        <f>IF(AND(V8=1,V9=9),1,IF(V8&lt;=0,0,IF(WEEKDAY(V$6,1)=1,0,MAX(0,V9-8)*V8))+((IF(V8&lt;=0,0,IF(WEEKDAY(V$6,1)=1,0,MIN(8,V9)*V8)))-MIN(IF(V8&lt;=0,0,IF(WEEKDAY(V$6,1)=1,0,MIN(8,V9)*V8)),MAX(0,40*MAX(1,V8)-(R10+S10+T10+U10)))))</f>
        <v>1</v>
      </c>
      <c r="W11" s="64">
        <f>IF(AND(W8=0,W9=0),0,IF(W8&lt;=0,0,IF(WEEKDAY(W$6,1)=1,0,MAX(0,W9-10)*W8))+((IF(W8&lt;=0,0,IF(WEEKDAY(W$6,1)=1,0,MIN(10,W9)*W8)))-MIN(IF(W8&lt;=0,0,IF(WEEKDAY(W$6,1)=1,0,MIN(10,W9)*W8)),MAX(0,40*MAX(1,W8)-(0)))))</f>
        <v>0</v>
      </c>
      <c r="X11" s="64">
        <f>IF(AND(X8=0,X9=0),0,IF(X8&lt;=0,0,IF(WEEKDAY(X$6,1)=1,0,MAX(0,X9-10)*X8))+((IF(X8&lt;=0,0,IF(WEEKDAY(X$6,1)=1,0,MIN(10,X9)*X8)))-MIN(IF(X8&lt;=0,0,IF(WEEKDAY(X$6,1)=1,0,MIN(10,X9)*X8)),MAX(0,40*MAX(1,X8)-(W10)))))</f>
        <v>0</v>
      </c>
      <c r="Y11" s="63">
        <f>IF(AND(Y8=1,Y9=9),1,IF(Y8&lt;=0,0,IF(WEEKDAY(Y$6,1)=1,0,MAX(0,Y9-8)*Y8))+((IF(Y8&lt;=0,0,IF(WEEKDAY(Y$6,1)=1,0,MIN(8,Y9)*Y8)))-MIN(IF(Y8&lt;=0,0,IF(WEEKDAY(Y$6,1)=1,0,MIN(8,Y9)*Y8)),MAX(0,40*MAX(1,Y8)-(0)))))</f>
        <v>1</v>
      </c>
      <c r="Z11" s="63">
        <f>IF(AND(Z8=1,Z9=9),1,IF(Z8&lt;=0,0,IF(WEEKDAY(Z$6,1)=1,0,MAX(0,Z9-8)*Z8))+((IF(Z8&lt;=0,0,IF(WEEKDAY(Z$6,1)=1,0,MIN(8,Z9)*Z8)))-MIN(IF(Z8&lt;=0,0,IF(WEEKDAY(Z$6,1)=1,0,MIN(8,Z9)*Z8)),MAX(0,40*MAX(1,Z8)-(Y10)))))</f>
        <v>1</v>
      </c>
      <c r="AA11" s="63">
        <f>IF(AND(AA8=1,AA9=9),1,IF(AA8&lt;=0,0,IF(WEEKDAY(AA$6,1)=1,0,MAX(0,AA9-8)*AA8))+((IF(AA8&lt;=0,0,IF(WEEKDAY(AA$6,1)=1,0,MIN(8,AA9)*AA8)))-MIN(IF(AA8&lt;=0,0,IF(WEEKDAY(AA$6,1)=1,0,MIN(8,AA9)*AA8)),MAX(0,40*MAX(1,AA8)-(Y10+Z10)))))</f>
        <v>1</v>
      </c>
      <c r="AB11" s="63">
        <f>IF(AND(AB8=1,AB9=9),1,IF(AB8&lt;=0,0,IF(WEEKDAY(AB$6,1)=1,0,MAX(0,AB9-8)*AB8))+((IF(AB8&lt;=0,0,IF(WEEKDAY(AB$6,1)=1,0,MIN(8,AB9)*AB8)))-MIN(IF(AB8&lt;=0,0,IF(WEEKDAY(AB$6,1)=1,0,MIN(8,AB9)*AB8)),MAX(0,40*MAX(1,AB8)-(Y10+Z10+AA10)))))</f>
        <v>1</v>
      </c>
      <c r="AC11" s="63">
        <f>IF(AND(AC8=1,AC9=9),1,IF(AC8&lt;=0,0,IF(WEEKDAY(AC$6,1)=1,0,MAX(0,AC9-8)*AC8))+((IF(AC8&lt;=0,0,IF(WEEKDAY(AC$6,1)=1,0,MIN(8,AC9)*AC8)))-MIN(IF(AC8&lt;=0,0,IF(WEEKDAY(AC$6,1)=1,0,MIN(8,AC9)*AC8)),MAX(0,40*MAX(1,AC8)-(Y10+Z10+AA10+AB10)))))</f>
        <v>1</v>
      </c>
      <c r="AD11" s="64">
        <f>IF(AND(AD8=0,AD9=0),0,IF(AD8&lt;=0,0,IF(WEEKDAY(AD$6,1)=1,0,MAX(0,AD9-10)*AD8))+((IF(AD8&lt;=0,0,IF(WEEKDAY(AD$6,1)=1,0,MIN(10,AD9)*AD8)))-MIN(IF(AD8&lt;=0,0,IF(WEEKDAY(AD$6,1)=1,0,MIN(10,AD9)*AD8)),MAX(0,40*MAX(1,AD8)-(0)))))</f>
        <v>0</v>
      </c>
      <c r="AE11" s="64">
        <f>IF(AND(AE8=0,AE9=0),0,IF(AE8&lt;=0,0,IF(WEEKDAY(AE$6,1)=1,0,MAX(0,AE9-10)*AE8))+((IF(AE8&lt;=0,0,IF(WEEKDAY(AE$6,1)=1,0,MIN(10,AE9)*AE8)))-MIN(IF(AE8&lt;=0,0,IF(WEEKDAY(AE$6,1)=1,0,MIN(10,AE9)*AE8)),MAX(0,40*MAX(1,AE8)-(AD10)))))</f>
        <v>0</v>
      </c>
      <c r="AF11" s="63">
        <f>IF(AND(AF8=1,AF9=9),1,IF(AF8&lt;=0,0,IF(WEEKDAY(AF$6,1)=1,0,MAX(0,AF9-8)*AF8))+((IF(AF8&lt;=0,0,IF(WEEKDAY(AF$6,1)=1,0,MIN(8,AF9)*AF8)))-MIN(IF(AF8&lt;=0,0,IF(WEEKDAY(AF$6,1)=1,0,MIN(8,AF9)*AF8)),MAX(0,40*MAX(1,AF8)-(0)))))</f>
        <v>1</v>
      </c>
      <c r="AG11" s="63">
        <f>IF(AND(AG8=1,AG9=9),1,IF(AG8&lt;=0,0,IF(WEEKDAY(AG$6,1)=1,0,MAX(0,AG9-8)*AG8))+((IF(AG8&lt;=0,0,IF(WEEKDAY(AG$6,1)=1,0,MIN(8,AG9)*AG8)))-MIN(IF(AG8&lt;=0,0,IF(WEEKDAY(AG$6,1)=1,0,MIN(8,AG9)*AG8)),MAX(0,40*MAX(1,AG8)-(AF10)))))</f>
        <v>1</v>
      </c>
      <c r="AH11" s="63">
        <f>IF(AND(AH8=1,AH9=9),1,IF(AH8&lt;=0,0,IF(WEEKDAY(AH$6,1)=1,0,MAX(0,AH9-8)*AH8))+((IF(AH8&lt;=0,0,IF(WEEKDAY(AH$6,1)=1,0,MIN(8,AH9)*AH8)))-MIN(IF(AH8&lt;=0,0,IF(WEEKDAY(AH$6,1)=1,0,MIN(8,AH9)*AH8)),MAX(0,40*MAX(1,AH8)-(AF10+AG10)))))</f>
        <v>1</v>
      </c>
      <c r="AI11" s="63">
        <f>IF(AND(AI8=1,AI9=9),1,IF(AI8&lt;=0,0,IF(WEEKDAY(AI$6,1)=1,0,MAX(0,AI9-8)*AI8))+((IF(AI8&lt;=0,0,IF(WEEKDAY(AI$6,1)=1,0,MIN(8,AI9)*AI8)))-MIN(IF(AI8&lt;=0,0,IF(WEEKDAY(AI$6,1)=1,0,MIN(8,AI9)*AI8)),MAX(0,40*MAX(1,AI8)-(AF10+AG10+AH10)))))</f>
        <v>1</v>
      </c>
      <c r="AJ11" s="63">
        <f>IF(AND(AJ8=1,AJ9=9),1,IF(AJ8&lt;=0,0,IF(WEEKDAY(AJ$6,1)=1,0,MAX(0,AJ9-8)*AJ8))+((IF(AJ8&lt;=0,0,IF(WEEKDAY(AJ$6,1)=1,0,MIN(8,AJ9)*AJ8)))-MIN(IF(AJ8&lt;=0,0,IF(WEEKDAY(AJ$6,1)=1,0,MIN(8,AJ9)*AJ8)),MAX(0,40*MAX(1,AJ8)-(AF10+AG10+AH10+AI10)))))</f>
        <v>1</v>
      </c>
      <c r="AK11" s="64">
        <f>IF(AND(AK8=0,AK9=0),0,IF(AK8&lt;=0,0,IF(WEEKDAY(AK$6,1)=1,0,MAX(0,AK9-10)*AK8))+((IF(AK8&lt;=0,0,IF(WEEKDAY(AK$6,1)=1,0,MIN(10,AK9)*AK8)))-MIN(IF(AK8&lt;=0,0,IF(WEEKDAY(AK$6,1)=1,0,MIN(10,AK9)*AK8)),MAX(0,40*MAX(1,AK8)-(0)))))</f>
        <v>0</v>
      </c>
      <c r="AL11" s="64">
        <f>IF(AND(AL8=0,AL9=0),0,IF(AL8&lt;=0,0,IF(WEEKDAY(AL$6,1)=1,0,MAX(0,AL9-10)*AL8))+((IF(AL8&lt;=0,0,IF(WEEKDAY(AL$6,1)=1,0,MIN(10,AL9)*AL8)))-MIN(IF(AL8&lt;=0,0,IF(WEEKDAY(AL$6,1)=1,0,MIN(10,AL9)*AL8)),MAX(0,40*MAX(1,AL8)-(AK10)))))</f>
        <v>0</v>
      </c>
      <c r="AM11" s="63">
        <f>IF(AND(AM8=1,AM9=9),1,IF(AM8&lt;=0,0,IF(WEEKDAY(AM$6,1)=1,0,MAX(0,AM9-8)*AM8))+((IF(AM8&lt;=0,0,IF(WEEKDAY(AM$6,1)=1,0,MIN(8,AM9)*AM8)))-MIN(IF(AM8&lt;=0,0,IF(WEEKDAY(AM$6,1)=1,0,MIN(8,AM9)*AM8)),MAX(0,40*MAX(1,AM8)-(0)))))</f>
        <v>1</v>
      </c>
      <c r="AN11" s="63">
        <f>IF(AND(AN8=1,AN9=9),1,IF(AN8&lt;=0,0,IF(WEEKDAY(AN$6,1)=1,0,MAX(0,AN9-8)*AN8))+((IF(AN8&lt;=0,0,IF(WEEKDAY(AN$6,1)=1,0,MIN(8,AN9)*AN8)))-MIN(IF(AN8&lt;=0,0,IF(WEEKDAY(AN$6,1)=1,0,MIN(8,AN9)*AN8)),MAX(0,40*MAX(1,AN8)-(AM10)))))</f>
        <v>1</v>
      </c>
      <c r="AO11" s="63">
        <f>IF(AND(AO8=1,AO9=9),1,IF(AO8&lt;=0,0,IF(WEEKDAY(AO$6,1)=1,0,MAX(0,AO9-8)*AO8))+((IF(AO8&lt;=0,0,IF(WEEKDAY(AO$6,1)=1,0,MIN(8,AO9)*AO8)))-MIN(IF(AO8&lt;=0,0,IF(WEEKDAY(AO$6,1)=1,0,MIN(8,AO9)*AO8)),MAX(0,40*MAX(1,AO8)-(AM10+AN10)))))</f>
        <v>1</v>
      </c>
      <c r="AP11" s="63">
        <f>IF(AND(AP8=1,AP9=9),1,IF(AP8&lt;=0,0,IF(WEEKDAY(AP$6,1)=1,0,MAX(0,AP9-8)*AP8))+((IF(AP8&lt;=0,0,IF(WEEKDAY(AP$6,1)=1,0,MIN(8,AP9)*AP8)))-MIN(IF(AP8&lt;=0,0,IF(WEEKDAY(AP$6,1)=1,0,MIN(8,AP9)*AP8)),MAX(0,40*MAX(1,AP8)-(AM10+AN10+AO10)))))</f>
        <v>1</v>
      </c>
      <c r="AQ11" s="63">
        <f>IF(AND(AQ8=1,AQ9=9),1,IF(AQ8&lt;=0,0,IF(WEEKDAY(AQ$6,1)=1,0,MAX(0,AQ9-8)*AQ8))+((IF(AQ8&lt;=0,0,IF(WEEKDAY(AQ$6,1)=1,0,MIN(8,AQ9)*AQ8)))-MIN(IF(AQ8&lt;=0,0,IF(WEEKDAY(AQ$6,1)=1,0,MIN(8,AQ9)*AQ8)),MAX(0,40*MAX(1,AQ8)-(AM10+AN10+AO10+AP10)))))</f>
        <v>1</v>
      </c>
      <c r="AR11" s="64">
        <f>IF(AND(AR8=0,AR9=0),0,IF(AR8&lt;=0,0,IF(WEEKDAY(AR$6,1)=1,0,MAX(0,AR9-10)*AR8))+((IF(AR8&lt;=0,0,IF(WEEKDAY(AR$6,1)=1,0,MIN(10,AR9)*AR8)))-MIN(IF(AR8&lt;=0,0,IF(WEEKDAY(AR$6,1)=1,0,MIN(10,AR9)*AR8)),MAX(0,40*MAX(1,AR8)-(0)))))</f>
        <v>0</v>
      </c>
      <c r="AS11" s="64">
        <f>IF(AND(AS8=0,AS9=0),0,IF(AS8&lt;=0,0,IF(WEEKDAY(AS$6,1)=1,0,MAX(0,AS9-10)*AS8))+((IF(AS8&lt;=0,0,IF(WEEKDAY(AS$6,1)=1,0,MIN(10,AS9)*AS8)))-MIN(IF(AS8&lt;=0,0,IF(WEEKDAY(AS$6,1)=1,0,MIN(10,AS9)*AS8)),MAX(0,40*MAX(1,AS8)-(AR10)))))</f>
        <v>0</v>
      </c>
      <c r="AT11" s="63">
        <f>IF(AND(AT8=1,AT9=9),1,IF(AT8&lt;=0,0,IF(WEEKDAY(AT$6,1)=1,0,MAX(0,AT9-8)*AT8))+((IF(AT8&lt;=0,0,IF(WEEKDAY(AT$6,1)=1,0,MIN(8,AT9)*AT8)))-MIN(IF(AT8&lt;=0,0,IF(WEEKDAY(AT$6,1)=1,0,MIN(8,AT9)*AT8)),MAX(0,40*MAX(1,AT8)-(0)))))</f>
        <v>1</v>
      </c>
      <c r="AU11" s="63">
        <f>IF(AND(AU8=1,AU9=9),1,IF(AU8&lt;=0,0,IF(WEEKDAY(AU$6,1)=1,0,MAX(0,AU9-8)*AU8))+((IF(AU8&lt;=0,0,IF(WEEKDAY(AU$6,1)=1,0,MIN(8,AU9)*AU8)))-MIN(IF(AU8&lt;=0,0,IF(WEEKDAY(AU$6,1)=1,0,MIN(8,AU9)*AU8)),MAX(0,40*MAX(1,AU8)-(AT10)))))</f>
        <v>1</v>
      </c>
      <c r="AV11" s="63">
        <f>IF(AND(AV8=1,AV9=9),1,IF(AV8&lt;=0,0,IF(WEEKDAY(AV$6,1)=1,0,MAX(0,AV9-8)*AV8))+((IF(AV8&lt;=0,0,IF(WEEKDAY(AV$6,1)=1,0,MIN(8,AV9)*AV8)))-MIN(IF(AV8&lt;=0,0,IF(WEEKDAY(AV$6,1)=1,0,MIN(8,AV9)*AV8)),MAX(0,40*MAX(1,AV8)-(AT10+AU10)))))</f>
        <v>1</v>
      </c>
      <c r="AW11" s="63">
        <f>IF(AND(AW8=1,AW9=9),1,IF(AW8&lt;=0,0,IF(WEEKDAY(AW$6,1)=1,0,MAX(0,AW9-8)*AW8))+((IF(AW8&lt;=0,0,IF(WEEKDAY(AW$6,1)=1,0,MIN(8,AW9)*AW8)))-MIN(IF(AW8&lt;=0,0,IF(WEEKDAY(AW$6,1)=1,0,MIN(8,AW9)*AW8)),MAX(0,40*MAX(1,AW8)-(AT10+AU10+AV10)))))</f>
        <v>1</v>
      </c>
      <c r="AX11" s="63">
        <f>IF(AND(AX8=1,AX9=9),1,IF(AX8&lt;=0,0,IF(WEEKDAY(AX$6,1)=1,0,MAX(0,AX9-8)*AX8))+((IF(AX8&lt;=0,0,IF(WEEKDAY(AX$6,1)=1,0,MIN(8,AX9)*AX8)))-MIN(IF(AX8&lt;=0,0,IF(WEEKDAY(AX$6,1)=1,0,MIN(8,AX9)*AX8)),MAX(0,40*MAX(1,AX8)-(AT10+AU10+AV10+AW10)))))</f>
        <v>1</v>
      </c>
      <c r="AY11" s="64">
        <f>IF(AND(AY8=0,AY9=0),0,IF(AY8&lt;=0,0,IF(WEEKDAY(AY$6,1)=1,0,MAX(0,AY9-10)*AY8))+((IF(AY8&lt;=0,0,IF(WEEKDAY(AY$6,1)=1,0,MIN(10,AY9)*AY8)))-MIN(IF(AY8&lt;=0,0,IF(WEEKDAY(AY$6,1)=1,0,MIN(10,AY9)*AY8)),MAX(0,40*MAX(1,AY8)-(0)))))</f>
        <v>0</v>
      </c>
      <c r="AZ11" s="64">
        <f>IF(AND(AZ8=0,AZ9=0),0,IF(AZ8&lt;=0,0,IF(WEEKDAY(AZ$6,1)=1,0,MAX(0,AZ9-10)*AZ8))+((IF(AZ8&lt;=0,0,IF(WEEKDAY(AZ$6,1)=1,0,MIN(10,AZ9)*AZ8)))-MIN(IF(AZ8&lt;=0,0,IF(WEEKDAY(AZ$6,1)=1,0,MIN(10,AZ9)*AZ8)),MAX(0,40*MAX(1,AZ8)-(AY10)))))</f>
        <v>0</v>
      </c>
      <c r="BA11" s="63">
        <f>IF(AND(BA8=1,BA9=9),1,IF(BA8&lt;=0,0,IF(WEEKDAY(BA$6,1)=1,0,MAX(0,BA9-8)*BA8))+((IF(BA8&lt;=0,0,IF(WEEKDAY(BA$6,1)=1,0,MIN(8,BA9)*BA8)))-MIN(IF(BA8&lt;=0,0,IF(WEEKDAY(BA$6,1)=1,0,MIN(8,BA9)*BA8)),MAX(0,40*MAX(1,BA8)-(0)))))</f>
        <v>1</v>
      </c>
      <c r="BB11" s="63">
        <f>IF(AND(BB8=1,BB9=9),1,IF(BB8&lt;=0,0,IF(WEEKDAY(BB$6,1)=1,0,MAX(0,BB9-8)*BB8))+((IF(BB8&lt;=0,0,IF(WEEKDAY(BB$6,1)=1,0,MIN(8,BB9)*BB8)))-MIN(IF(BB8&lt;=0,0,IF(WEEKDAY(BB$6,1)=1,0,MIN(8,BB9)*BB8)),MAX(0,40*MAX(1,BB8)-(BA10)))))</f>
        <v>1</v>
      </c>
      <c r="BC11" s="63">
        <f>IF(AND(BC8=1,BC9=9),1,IF(BC8&lt;=0,0,IF(WEEKDAY(BC$6,1)=1,0,MAX(0,BC9-8)*BC8))+((IF(BC8&lt;=0,0,IF(WEEKDAY(BC$6,1)=1,0,MIN(8,BC9)*BC8)))-MIN(IF(BC8&lt;=0,0,IF(WEEKDAY(BC$6,1)=1,0,MIN(8,BC9)*BC8)),MAX(0,40*MAX(1,BC8)-(BA10+BB10)))))</f>
        <v>1</v>
      </c>
      <c r="BD11" s="63">
        <f>IF(AND(BD8=1,BD9=9),1,IF(BD8&lt;=0,0,IF(WEEKDAY(BD$6,1)=1,0,MAX(0,BD9-8)*BD8))+((IF(BD8&lt;=0,0,IF(WEEKDAY(BD$6,1)=1,0,MIN(8,BD9)*BD8)))-MIN(IF(BD8&lt;=0,0,IF(WEEKDAY(BD$6,1)=1,0,MIN(8,BD9)*BD8)),MAX(0,40*MAX(1,BD8)-(BA10+BB10+BC10)))))</f>
        <v>1</v>
      </c>
      <c r="BE11" s="63">
        <f>IF(AND(BE8=1,BE9=9),1,IF(BE8&lt;=0,0,IF(WEEKDAY(BE$6,1)=1,0,MAX(0,BE9-8)*BE8))+((IF(BE8&lt;=0,0,IF(WEEKDAY(BE$6,1)=1,0,MIN(8,BE9)*BE8)))-MIN(IF(BE8&lt;=0,0,IF(WEEKDAY(BE$6,1)=1,0,MIN(8,BE9)*BE8)),MAX(0,40*MAX(1,BE8)-(BA10+BB10+BC10+BD10)))))</f>
        <v>1</v>
      </c>
      <c r="BF11" s="64">
        <f>IF(AND(BF8=0,BF9=0),0,IF(BF8&lt;=0,0,IF(WEEKDAY(BF$6,1)=1,0,MAX(0,BF9-10)*BF8))+((IF(BF8&lt;=0,0,IF(WEEKDAY(BF$6,1)=1,0,MIN(10,BF9)*BF8)))-MIN(IF(BF8&lt;=0,0,IF(WEEKDAY(BF$6,1)=1,0,MIN(10,BF9)*BF8)),MAX(0,40*MAX(1,BF8)-(0)))))</f>
        <v>0</v>
      </c>
      <c r="BG11" s="64">
        <f>IF(AND(BG8=0,BG9=0),0,IF(BG8&lt;=0,0,IF(WEEKDAY(BG$6,1)=1,0,MAX(0,BG9-10)*BG8))+((IF(BG8&lt;=0,0,IF(WEEKDAY(BG$6,1)=1,0,MIN(10,BG9)*BG8)))-MIN(IF(BG8&lt;=0,0,IF(WEEKDAY(BG$6,1)=1,0,MIN(10,BG9)*BG8)),MAX(0,40*MAX(1,BG8)-(BF10)))))</f>
        <v>0</v>
      </c>
      <c r="BH11" s="63">
        <f>IF(AND(BH8=1,BH9=13),3,IF(BH8&lt;=0,0,IF(WEEKDAY(BH$6,1)=1,0,MAX(0,BH9-10)*BH8))+((IF(BH8&lt;=0,0,IF(WEEKDAY(BH$6,1)=1,0,MIN(10,BH9)*BH8)))-MIN(IF(BH8&lt;=0,0,IF(WEEKDAY(BH$6,1)=1,0,MIN(10,BH9)*BH8)),MAX(0,40*MAX(1,BH8)-(0)))))</f>
        <v>3</v>
      </c>
      <c r="BI11" s="63">
        <f>IF(AND(BI8=1,BI9=13),3,IF(BI8&lt;=0,0,IF(WEEKDAY(BI$6,1)=1,0,MAX(0,BI9-10)*BI8))+((IF(BI8&lt;=0,0,IF(WEEKDAY(BI$6,1)=1,0,MIN(10,BI9)*BI8)))-MIN(IF(BI8&lt;=0,0,IF(WEEKDAY(BI$6,1)=1,0,MIN(10,BI9)*BI8)),MAX(0,40*MAX(1,BI8)-(BH10)))))</f>
        <v>3</v>
      </c>
      <c r="BJ11" s="63">
        <f>IF(AND(BJ8=1,BJ9=13),3,IF(BJ8&lt;=0,0,IF(WEEKDAY(BJ$6,1)=1,0,MAX(0,BJ9-10)*BJ8))+((IF(BJ8&lt;=0,0,IF(WEEKDAY(BJ$6,1)=1,0,MIN(10,BJ9)*BJ8)))-MIN(IF(BJ8&lt;=0,0,IF(WEEKDAY(BJ$6,1)=1,0,MIN(10,BJ9)*BJ8)),MAX(0,40*MAX(1,BJ8)-(BH10+BI10)))))</f>
        <v>3</v>
      </c>
      <c r="BK11" s="63">
        <f>IF(AND(BK8=1,BK9=13),3,IF(BK8&lt;=0,0,IF(WEEKDAY(BK$6,1)=1,0,MAX(0,BK9-10)*BK8))+((IF(BK8&lt;=0,0,IF(WEEKDAY(BK$6,1)=1,0,MIN(10,BK9)*BK8)))-MIN(IF(BK8&lt;=0,0,IF(WEEKDAY(BK$6,1)=1,0,MIN(10,BK9)*BK8)),MAX(0,40*MAX(1,BK8)-(BH10+BI10+BJ10)))))</f>
        <v>3</v>
      </c>
      <c r="BL11" s="63">
        <f>IF(AND(BL8=1,BL9=13),13,IF(BL8&lt;=0,0,IF(WEEKDAY(BL$6,1)=1,0,MAX(0,BL9-10)*BL8))+((IF(BL8&lt;=0,0,IF(WEEKDAY(BL$6,1)=1,0,MIN(10,BL9)*BL8)))-MIN(IF(BL8&lt;=0,0,IF(WEEKDAY(BL$6,1)=1,0,MIN(10,BL9)*BL8)),MAX(0,40*MAX(1,BL8)-(BH10+BI10+BJ10+BK10)))))</f>
        <v>13</v>
      </c>
      <c r="BM11" s="64">
        <f>IF(AND(BM8=1,BM9=13),13,IF(BM8&lt;=0,0,IF(WEEKDAY(BM$6,1)=1,0,MAX(0,BM9-10)*BM8))+((IF(BM8&lt;=0,0,IF(WEEKDAY(BM$6,1)=1,0,MIN(10,BM9)*BM8)))-MIN(IF(BM8&lt;=0,0,IF(WEEKDAY(BM$6,1)=1,0,MIN(10,BM9)*BM8)),MAX(0,40*MAX(1,BM8)-(BH10+BI10+BJ10+BK10+BL10)))))</f>
        <v>13</v>
      </c>
      <c r="BN11" s="64">
        <f>IF(AND(BN8=1,BN9=13),0,IF(BN8&lt;=0,0,IF(WEEKDAY(BN$6,1)=1,0,MAX(0,BN9-10)*BN8))+((IF(BN8&lt;=0,0,IF(WEEKDAY(BN$6,1)=1,0,MIN(10,BN9)*BN8)))-MIN(IF(BN8&lt;=0,0,IF(WEEKDAY(BN$6,1)=1,0,MIN(10,BN9)*BN8)),MAX(0,40*MAX(1,BN8)-(BH10+BI10+BJ10+BK10+BL10+BM10)))))</f>
        <v>0</v>
      </c>
      <c r="BO11" s="63">
        <f>IF(AND(BO8=1,BO9=13),3,IF(BO8&lt;=0,0,IF(WEEKDAY(BO$6,1)=1,0,MAX(0,BO9-10)*BO8))+((IF(BO8&lt;=0,0,IF(WEEKDAY(BO$6,1)=1,0,MIN(10,BO9)*BO8)))-MIN(IF(BO8&lt;=0,0,IF(WEEKDAY(BO$6,1)=1,0,MIN(10,BO9)*BO8)),MAX(0,40*MAX(1,BO8)-(0)))))</f>
        <v>3</v>
      </c>
      <c r="BP11" s="63">
        <f>IF(AND(BP8=1,BP9=13),3,IF(BP8&lt;=0,0,IF(WEEKDAY(BP$6,1)=1,0,MAX(0,BP9-10)*BP8))+((IF(BP8&lt;=0,0,IF(WEEKDAY(BP$6,1)=1,0,MIN(10,BP9)*BP8)))-MIN(IF(BP8&lt;=0,0,IF(WEEKDAY(BP$6,1)=1,0,MIN(10,BP9)*BP8)),MAX(0,40*MAX(1,BP8)-(BO10)))))</f>
        <v>3</v>
      </c>
      <c r="BQ11" s="63">
        <f>IF(AND(BQ8=1,BQ9=13),3,IF(BQ8&lt;=0,0,IF(WEEKDAY(BQ$6,1)=1,0,MAX(0,BQ9-10)*BQ8))+((IF(BQ8&lt;=0,0,IF(WEEKDAY(BQ$6,1)=1,0,MIN(10,BQ9)*BQ8)))-MIN(IF(BQ8&lt;=0,0,IF(WEEKDAY(BQ$6,1)=1,0,MIN(10,BQ9)*BQ8)),MAX(0,40*MAX(1,BQ8)-(BO10+BP10)))))</f>
        <v>3</v>
      </c>
      <c r="BR11" s="63">
        <f>IF(AND(BR8=1,BR9=13),3,IF(BR8&lt;=0,0,IF(WEEKDAY(BR$6,1)=1,0,MAX(0,BR9-10)*BR8))+((IF(BR8&lt;=0,0,IF(WEEKDAY(BR$6,1)=1,0,MIN(10,BR9)*BR8)))-MIN(IF(BR8&lt;=0,0,IF(WEEKDAY(BR$6,1)=1,0,MIN(10,BR9)*BR8)),MAX(0,40*MAX(1,BR8)-(0)))))</f>
        <v>3</v>
      </c>
      <c r="BS11" s="63">
        <f>IF(AND(BS8=1,BS9=13),3,IF(BS8&lt;=0,0,IF(WEEKDAY(BS$6,1)=1,0,MAX(0,BS9-10)*BS8))+((IF(BS8&lt;=0,0,IF(WEEKDAY(BS$6,1)=1,0,MIN(10,BS9)*BS8)))-MIN(IF(BS8&lt;=0,0,IF(WEEKDAY(BS$6,1)=1,0,MIN(10,BS9)*BS8)),MAX(0,40*MAX(1,BS8)-(BR10)))))</f>
        <v>3</v>
      </c>
      <c r="BT11" s="64">
        <f>IF(AND(BT8=1,BT9=13),3,IF(BT8&lt;=0,0,IF(WEEKDAY(BT$6,1)=1,0,MAX(0,BT9-10)*BT8))+((IF(BT8&lt;=0,0,IF(WEEKDAY(BT$6,1)=1,0,MIN(10,BT9)*BT8)))-MIN(IF(BT8&lt;=0,0,IF(WEEKDAY(BT$6,1)=1,0,MIN(10,BT9)*BT8)),MAX(0,40*MAX(1,BT8)-(BR10+BS10)))))</f>
        <v>3</v>
      </c>
      <c r="BU11" s="64">
        <f>IF(AND(BU8=1,BU9=13),0,IF(BU8&lt;=0,0,IF(WEEKDAY(BU$6,1)=1,0,MAX(0,BU9-10)*BU8))+((IF(BU8&lt;=0,0,IF(WEEKDAY(BU$6,1)=1,0,MIN(10,BU9)*BU8)))-MIN(IF(BU8&lt;=0,0,IF(WEEKDAY(BU$6,1)=1,0,MIN(10,BU9)*BU8)),MAX(0,40*MAX(1,BU8)-(BR10+BS10+BT10)))))</f>
        <v>0</v>
      </c>
      <c r="BV11" s="63">
        <f>IF(AND(BV8=1,BV9=13),3,IF(BV8&lt;=0,0,IF(WEEKDAY(BV$6,1)=1,0,MAX(0,BV9-10)*BV8))+((IF(BV8&lt;=0,0,IF(WEEKDAY(BV$6,1)=1,0,MIN(10,BV9)*BV8)))-MIN(IF(BV8&lt;=0,0,IF(WEEKDAY(BV$6,1)=1,0,MIN(10,BV9)*BV8)),MAX(0,40*MAX(1,BV8)-(0)))))</f>
        <v>3</v>
      </c>
      <c r="BW11" s="63">
        <f>IF(AND(BW8=1,BW9=13),3,IF(BW8&lt;=0,0,IF(WEEKDAY(BW$6,1)=1,0,MAX(0,BW9-10)*BW8))+((IF(BW8&lt;=0,0,IF(WEEKDAY(BW$6,1)=1,0,MIN(10,BW9)*BW8)))-MIN(IF(BW8&lt;=0,0,IF(WEEKDAY(BW$6,1)=1,0,MIN(10,BW9)*BW8)),MAX(0,40*MAX(1,BW8)-(BV10)))))</f>
        <v>3</v>
      </c>
      <c r="BX11" s="63">
        <f>IF(AND(BX8=1,BX9=13),3,IF(BX8&lt;=0,0,IF(WEEKDAY(BX$6,1)=1,0,MAX(0,BX9-10)*BX8))+((IF(BX8&lt;=0,0,IF(WEEKDAY(BX$6,1)=1,0,MIN(10,BX9)*BX8)))-MIN(IF(BX8&lt;=0,0,IF(WEEKDAY(BX$6,1)=1,0,MIN(10,BX9)*BX8)),MAX(0,40*MAX(1,BX8)-(BV10+BW10)))))</f>
        <v>3</v>
      </c>
      <c r="BY11" s="63">
        <f>IF(AND(BY8=1,BY9=13),3,IF(BY8&lt;=0,0,IF(WEEKDAY(BY$6,1)=1,0,MAX(0,BY9-10)*BY8))+((IF(BY8&lt;=0,0,IF(WEEKDAY(BY$6,1)=1,0,MIN(10,BY9)*BY8)))-MIN(IF(BY8&lt;=0,0,IF(WEEKDAY(BY$6,1)=1,0,MIN(10,BY9)*BY8)),MAX(0,40*MAX(1,BY8)-(BV10+BW10+BX10)))))</f>
        <v>3</v>
      </c>
      <c r="BZ11" s="63">
        <f>IF(AND(BZ8=1,BZ9=13),13,IF(BZ8&lt;=0,0,IF(WEEKDAY(BZ$6,1)=1,0,MAX(0,BZ9-10)*BZ8))+((IF(BZ8&lt;=0,0,IF(WEEKDAY(BZ$6,1)=1,0,MIN(10,BZ9)*BZ8)))-MIN(IF(BZ8&lt;=0,0,IF(WEEKDAY(BZ$6,1)=1,0,MIN(10,BZ9)*BZ8)),MAX(0,40*MAX(1,BZ8)-(BV10+BW10+BX10+BY10)))))</f>
        <v>13</v>
      </c>
      <c r="CA11" s="64">
        <f>IF(AND(CA8=1,CA9=13),13,IF(CA8&lt;=0,0,IF(WEEKDAY(CA$6,1)=1,0,MAX(0,CA9-10)*CA8))+((IF(CA8&lt;=0,0,IF(WEEKDAY(CA$6,1)=1,0,MIN(10,CA9)*CA8)))-MIN(IF(CA8&lt;=0,0,IF(WEEKDAY(CA$6,1)=1,0,MIN(10,CA9)*CA8)),MAX(0,40*MAX(1,CA8)-(BV10+BW10+BX10+BY10+BZ10)))))</f>
        <v>13</v>
      </c>
      <c r="CB11" s="64">
        <f>IF(AND(CB8=0,CB9=0),0,IF(CB8&lt;=0,0,IF(WEEKDAY(CB$6,1)=1,0,MAX(0,CB9-10)*CB8))+((IF(CB8&lt;=0,0,IF(WEEKDAY(CB$6,1)=1,0,MIN(10,CB9)*CB8)))-MIN(IF(CB8&lt;=0,0,IF(WEEKDAY(CB$6,1)=1,0,MIN(10,CB9)*CB8)),MAX(0,40*MAX(1,CB8)-(0)))))</f>
        <v>0</v>
      </c>
      <c r="CC11" s="63">
        <f>IF(AND(CC8=1,CC9=13),3,IF(CC8&lt;=0,0,IF(WEEKDAY(CC$6,1)=1,0,MAX(0,CC9-10)*CC8))+((IF(CC8&lt;=0,0,IF(WEEKDAY(CC$6,1)=1,0,MIN(10,CC9)*CC8)))-MIN(IF(CC8&lt;=0,0,IF(WEEKDAY(CC$6,1)=1,0,MIN(10,CC9)*CC8)),MAX(0,40*MAX(1,CC8)-(0)))))</f>
        <v>3</v>
      </c>
      <c r="CD11" s="63">
        <f>IF(AND(CD8=1,CD9=13),3,IF(CD8&lt;=0,0,IF(WEEKDAY(CD$6,1)=1,0,MAX(0,CD9-10)*CD8))+((IF(CD8&lt;=0,0,IF(WEEKDAY(CD$6,1)=1,0,MIN(10,CD9)*CD8)))-MIN(IF(CD8&lt;=0,0,IF(WEEKDAY(CD$6,1)=1,0,MIN(10,CD9)*CD8)),MAX(0,40*MAX(1,CD8)-(CC10)))))</f>
        <v>3</v>
      </c>
      <c r="CE11" s="63">
        <f>IF(AND(CE8=1,CE9=13),3,IF(CE8&lt;=0,0,IF(WEEKDAY(CE$6,1)=1,0,MAX(0,CE9-10)*CE8))+((IF(CE8&lt;=0,0,IF(WEEKDAY(CE$6,1)=1,0,MIN(10,CE9)*CE8)))-MIN(IF(CE8&lt;=0,0,IF(WEEKDAY(CE$6,1)=1,0,MIN(10,CE9)*CE8)),MAX(0,40*MAX(1,CE8)-(CC10+CD10)))))</f>
        <v>3</v>
      </c>
      <c r="CF11" s="63">
        <f>IF(AND(CF8=1,CF9=13),3,IF(CF8&lt;=0,0,IF(WEEKDAY(CF$6,1)=1,0,MAX(0,CF9-10)*CF8))+((IF(CF8&lt;=0,0,IF(WEEKDAY(CF$6,1)=1,0,MIN(10,CF9)*CF8)))-MIN(IF(CF8&lt;=0,0,IF(WEEKDAY(CF$6,1)=1,0,MIN(10,CF9)*CF8)),MAX(0,40*MAX(1,CF8)-(CC10+CD10+CE10)))))</f>
        <v>3</v>
      </c>
      <c r="CG11" s="63">
        <f>IF(AND(CG8=1,CG9=13),13,IF(CG8&lt;=0,0,IF(WEEKDAY(CG$6,1)=1,0,MAX(0,CG9-10)*CG8))+((IF(CG8&lt;=0,0,IF(WEEKDAY(CG$6,1)=1,0,MIN(10,CG9)*CG8)))-MIN(IF(CG8&lt;=0,0,IF(WEEKDAY(CG$6,1)=1,0,MIN(10,CG9)*CG8)),MAX(0,40*MAX(1,CG8)-(CC10+CD10+CE10+CF10)))))</f>
        <v>13</v>
      </c>
      <c r="CH11" s="64">
        <f>IF(AND(CH8=1,CH9=13),13,IF(CH8&lt;=0,0,IF(WEEKDAY(CH$6,1)=1,0,MAX(0,CH9-10)*CH8))+((IF(CH8&lt;=0,0,IF(WEEKDAY(CH$6,1)=1,0,MIN(10,CH9)*CH8)))-MIN(IF(CH8&lt;=0,0,IF(WEEKDAY(CH$6,1)=1,0,MIN(10,CH9)*CH8)),MAX(0,40*MAX(1,CH8)-(CC10+CD10+CE10+CF10+CG10)))))</f>
        <v>13</v>
      </c>
      <c r="CI11" s="64">
        <f>IF(AND(CI8=1,CI9=13),0,IF(CI8&lt;=0,0,IF(WEEKDAY(CI$6,1)=1,0,MAX(0,CI9-10)*CI8))+((IF(CI8&lt;=0,0,IF(WEEKDAY(CI$6,1)=1,0,MIN(10,CI9)*CI8)))-MIN(IF(CI8&lt;=0,0,IF(WEEKDAY(CI$6,1)=1,0,MIN(10,CI9)*CI8)),MAX(0,40*MAX(1,CI8)-(CC10+CD10+CE10+CF10+CG10+CH10)))))</f>
        <v>0</v>
      </c>
      <c r="CJ11" s="63">
        <f>IF(AND(CJ8=1,CJ9=13),3,IF(CJ8&lt;=0,0,IF(WEEKDAY(CJ$6,1)=1,0,MAX(0,CJ9-10)*CJ8))+((IF(CJ8&lt;=0,0,IF(WEEKDAY(CJ$6,1)=1,0,MIN(10,CJ9)*CJ8)))-MIN(IF(CJ8&lt;=0,0,IF(WEEKDAY(CJ$6,1)=1,0,MIN(10,CJ9)*CJ8)),MAX(0,40*MAX(1,CJ8)-(0)))))</f>
        <v>3</v>
      </c>
      <c r="CK11" s="63">
        <f>IF(AND(CK8=1,CK9=13),3,IF(CK8&lt;=0,0,IF(WEEKDAY(CK$6,1)=1,0,MAX(0,CK9-10)*CK8))+((IF(CK8&lt;=0,0,IF(WEEKDAY(CK$6,1)=1,0,MIN(10,CK9)*CK8)))-MIN(IF(CK8&lt;=0,0,IF(WEEKDAY(CK$6,1)=1,0,MIN(10,CK9)*CK8)),MAX(0,40*MAX(1,CK8)-(CJ10)))))</f>
        <v>3</v>
      </c>
      <c r="CL11" s="63">
        <f>IF(AND(CL8=1,CL9=13),3,IF(CL8&lt;=0,0,IF(WEEKDAY(CL$6,1)=1,0,MAX(0,CL9-10)*CL8))+((IF(CL8&lt;=0,0,IF(WEEKDAY(CL$6,1)=1,0,MIN(10,CL9)*CL8)))-MIN(IF(CL8&lt;=0,0,IF(WEEKDAY(CL$6,1)=1,0,MIN(10,CL9)*CL8)),MAX(0,40*MAX(1,CL8)-(CJ10+CK10)))))</f>
        <v>3</v>
      </c>
      <c r="CM11" s="63">
        <f>IF(AND(CM8=1,CM9=13),3,IF(CM8&lt;=0,0,IF(WEEKDAY(CM$6,1)=1,0,MAX(0,CM9-10)*CM8))+((IF(CM8&lt;=0,0,IF(WEEKDAY(CM$6,1)=1,0,MIN(10,CM9)*CM8)))-MIN(IF(CM8&lt;=0,0,IF(WEEKDAY(CM$6,1)=1,0,MIN(10,CM9)*CM8)),MAX(0,40*MAX(1,CM8)-(CJ10+CK10+CL10)))))</f>
        <v>3</v>
      </c>
      <c r="CN11" s="63">
        <f>IF(AND(CN8=1,CN9=13),13,IF(CN8&lt;=0,0,IF(WEEKDAY(CN$6,1)=1,0,MAX(0,CN9-10)*CN8))+((IF(CN8&lt;=0,0,IF(WEEKDAY(CN$6,1)=1,0,MIN(10,CN9)*CN8)))-MIN(IF(CN8&lt;=0,0,IF(WEEKDAY(CN$6,1)=1,0,MIN(10,CN9)*CN8)),MAX(0,40*MAX(1,CN8)-(CJ10+CK10+CL10+CM10)))))</f>
        <v>13</v>
      </c>
      <c r="CO11" s="64">
        <f>IF(AND(CO8=1,CO9=13),13,IF(CO8&lt;=0,0,IF(WEEKDAY(CO$6,1)=1,0,MAX(0,CO9-10)*CO8))+((IF(CO8&lt;=0,0,IF(WEEKDAY(CO$6,1)=1,0,MIN(10,CO9)*CO8)))-MIN(IF(CO8&lt;=0,0,IF(WEEKDAY(CO$6,1)=1,0,MIN(10,CO9)*CO8)),MAX(0,40*MAX(1,CO8)-(CJ10+CK10+CL10+CM10+CN10)))))</f>
        <v>13</v>
      </c>
      <c r="CP11" s="64">
        <f>IF(AND(CP8=0,CP9=0),0,IF(CP8&lt;=0,0,IF(WEEKDAY(CP$6,1)=1,0,MAX(0,CP9-10)*CP8))+((IF(CP8&lt;=0,0,IF(WEEKDAY(CP$6,1)=1,0,MIN(10,CP9)*CP8)))-MIN(IF(CP8&lt;=0,0,IF(WEEKDAY(CP$6,1)=1,0,MIN(10,CP9)*CP8)),MAX(0,40*MAX(1,CP8)-(0)))))</f>
        <v>0</v>
      </c>
      <c r="CQ11" s="63">
        <f>IF(AND(CQ8=1,CQ9=13),3,IF(CQ8&lt;=0,0,IF(WEEKDAY(CQ$6,1)=1,0,MAX(0,CQ9-10)*CQ8))+((IF(CQ8&lt;=0,0,IF(WEEKDAY(CQ$6,1)=1,0,MIN(10,CQ9)*CQ8)))-MIN(IF(CQ8&lt;=0,0,IF(WEEKDAY(CQ$6,1)=1,0,MIN(10,CQ9)*CQ8)),MAX(0,40*MAX(1,CQ8)-(0)))))</f>
        <v>3</v>
      </c>
      <c r="CR11" s="63">
        <f>IF(AND(CR8=1,CR9=13),3,IF(CR8&lt;=0,0,IF(WEEKDAY(CR$6,1)=1,0,MAX(0,CR9-10)*CR8))+((IF(CR8&lt;=0,0,IF(WEEKDAY(CR$6,1)=1,0,MIN(10,CR9)*CR8)))-MIN(IF(CR8&lt;=0,0,IF(WEEKDAY(CR$6,1)=1,0,MIN(10,CR9)*CR8)),MAX(0,40*MAX(1,CR8)-(CQ10)))))</f>
        <v>3</v>
      </c>
      <c r="CS11" s="63">
        <f>IF(AND(CS8=1,CS9=13),3,IF(CS8&lt;=0,0,IF(WEEKDAY(CS$6,1)=1,0,MAX(0,CS9-10)*CS8))+((IF(CS8&lt;=0,0,IF(WEEKDAY(CS$6,1)=1,0,MIN(10,CS9)*CS8)))-MIN(IF(CS8&lt;=0,0,IF(WEEKDAY(CS$6,1)=1,0,MIN(10,CS9)*CS8)),MAX(0,40*MAX(1,CS8)-(CQ10+CR10)))))</f>
        <v>3</v>
      </c>
      <c r="CT11" s="63">
        <f>IF(AND(CT8=1,CT9=13),3,IF(CT8&lt;=0,0,IF(WEEKDAY(CT$6,1)=1,0,MAX(0,CT9-10)*CT8))+((IF(CT8&lt;=0,0,IF(WEEKDAY(CT$6,1)=1,0,MIN(10,CT9)*CT8)))-MIN(IF(CT8&lt;=0,0,IF(WEEKDAY(CT$6,1)=1,0,MIN(10,CT9)*CT8)),MAX(0,40*MAX(1,CT8)-(CQ10+CR10+CS10)))))</f>
        <v>3</v>
      </c>
      <c r="CU11" s="63">
        <f>IF(AND(CU8=1,CU9=13),13,IF(CU8&lt;=0,0,IF(WEEKDAY(CU$6,1)=1,0,MAX(0,CU9-10)*CU8))+((IF(CU8&lt;=0,0,IF(WEEKDAY(CU$6,1)=1,0,MIN(10,CU9)*CU8)))-MIN(IF(CU8&lt;=0,0,IF(WEEKDAY(CU$6,1)=1,0,MIN(10,CU9)*CU8)),MAX(0,40*MAX(1,CU8)-(CQ10+CR10+CS10+CT10)))))</f>
        <v>13</v>
      </c>
      <c r="CV11" s="64">
        <f>IF(AND(CV8=1,CV9=13),13,IF(CV8&lt;=0,0,IF(WEEKDAY(CV$6,1)=1,0,MAX(0,CV9-10)*CV8))+((IF(CV8&lt;=0,0,IF(WEEKDAY(CV$6,1)=1,0,MIN(10,CV9)*CV8)))-MIN(IF(CV8&lt;=0,0,IF(WEEKDAY(CV$6,1)=1,0,MIN(10,CV9)*CV8)),MAX(0,40*MAX(1,CV8)-(CQ10+CR10+CS10+CT10+CU10)))))</f>
        <v>13</v>
      </c>
      <c r="CW11" s="64">
        <f>IF(AND(CW8=1,CW9=13),0,IF(CW8&lt;=0,0,IF(WEEKDAY(CW$6,1)=1,0,MAX(0,CW9-10)*CW8))+((IF(CW8&lt;=0,0,IF(WEEKDAY(CW$6,1)=1,0,MIN(10,CW9)*CW8)))-MIN(IF(CW8&lt;=0,0,IF(WEEKDAY(CW$6,1)=1,0,MIN(10,CW9)*CW8)),MAX(0,40*MAX(1,CW8)-(CQ10+CR10+CS10+CT10+CU10+CV10)))))</f>
        <v>0</v>
      </c>
      <c r="CX11" s="63">
        <f>IF(AND(CX8=1,CX9=13),3,IF(CX8&lt;=0,0,IF(WEEKDAY(CX$6,1)=1,0,MAX(0,CX9-10)*CX8))+((IF(CX8&lt;=0,0,IF(WEEKDAY(CX$6,1)=1,0,MIN(10,CX9)*CX8)))-MIN(IF(CX8&lt;=0,0,IF(WEEKDAY(CX$6,1)=1,0,MIN(10,CX9)*CX8)),MAX(0,40*MAX(1,CX8)-(0)))))</f>
        <v>3</v>
      </c>
      <c r="CY11" s="63">
        <f>IF(AND(CY8=1,CY9=13),3,IF(CY8&lt;=0,0,IF(WEEKDAY(CY$6,1)=1,0,MAX(0,CY9-10)*CY8))+((IF(CY8&lt;=0,0,IF(WEEKDAY(CY$6,1)=1,0,MIN(10,CY9)*CY8)))-MIN(IF(CY8&lt;=0,0,IF(WEEKDAY(CY$6,1)=1,0,MIN(10,CY9)*CY8)),MAX(0,40*MAX(1,CY8)-(CX10)))))</f>
        <v>3</v>
      </c>
      <c r="CZ11" s="63">
        <f>IF(AND(CZ8=1,CZ9=13),3,IF(CZ8&lt;=0,0,IF(WEEKDAY(CZ$6,1)=1,0,MAX(0,CZ9-10)*CZ8))+((IF(CZ8&lt;=0,0,IF(WEEKDAY(CZ$6,1)=1,0,MIN(10,CZ9)*CZ8)))-MIN(IF(CZ8&lt;=0,0,IF(WEEKDAY(CZ$6,1)=1,0,MIN(10,CZ9)*CZ8)),MAX(0,40*MAX(1,CZ8)-(CX10+CY10)))))</f>
        <v>3</v>
      </c>
      <c r="DA11" s="63">
        <f>IF(AND(DA8=1,DA9=13),3,IF(DA8&lt;=0,0,IF(WEEKDAY(DA$6,1)=1,0,MAX(0,DA9-10)*DA8))+((IF(DA8&lt;=0,0,IF(WEEKDAY(DA$6,1)=1,0,MIN(10,DA9)*DA8)))-MIN(IF(DA8&lt;=0,0,IF(WEEKDAY(DA$6,1)=1,0,MIN(10,DA9)*DA8)),MAX(0,40*MAX(1,DA8)-(CX10+CY10+CZ10)))))</f>
        <v>3</v>
      </c>
      <c r="DB11" s="63">
        <f>IF(AND(DB8=1,DB9=13),13,IF(DB8&lt;=0,0,IF(WEEKDAY(DB$6,1)=1,0,MAX(0,DB9-10)*DB8))+((IF(DB8&lt;=0,0,IF(WEEKDAY(DB$6,1)=1,0,MIN(10,DB9)*DB8)))-MIN(IF(DB8&lt;=0,0,IF(WEEKDAY(DB$6,1)=1,0,MIN(10,DB9)*DB8)),MAX(0,40*MAX(1,DB8)-(CX10+CY10+CZ10+DA10)))))</f>
        <v>13</v>
      </c>
      <c r="DC11" s="64">
        <f>IF(AND(DC8=1,DC9=13),13,IF(DC8&lt;=0,0,IF(WEEKDAY(DC$6,1)=1,0,MAX(0,DC9-10)*DC8))+((IF(DC8&lt;=0,0,IF(WEEKDAY(DC$6,1)=1,0,MIN(10,DC9)*DC8)))-MIN(IF(DC8&lt;=0,0,IF(WEEKDAY(DC$6,1)=1,0,MIN(10,DC9)*DC8)),MAX(0,40*MAX(1,DC8)-(CX10+CY10+CZ10+DA10+DB10)))))</f>
        <v>13</v>
      </c>
      <c r="DD11" s="64">
        <f>IF(AND(DD8=1,DD9=13),0,IF(DD8&lt;=0,0,IF(WEEKDAY(DD$6,1)=1,0,MAX(0,DD9-10)*DD8))+((IF(DD8&lt;=0,0,IF(WEEKDAY(DD$6,1)=1,0,MIN(10,DD9)*DD8)))-MIN(IF(DD8&lt;=0,0,IF(WEEKDAY(DD$6,1)=1,0,MIN(10,DD9)*DD8)),MAX(0,40*MAX(1,DD8)-(0)))))</f>
        <v>0</v>
      </c>
      <c r="DE11" s="63">
        <f>IF(AND(DE8=1,DE9=13),3,IF(DE8&lt;=0,0,IF(WEEKDAY(DE$6,1)=1,0,MAX(0,DE9-10)*DE8))+((IF(DE8&lt;=0,0,IF(WEEKDAY(DE$6,1)=1,0,MIN(10,DE9)*DE8)))-MIN(IF(DE8&lt;=0,0,IF(WEEKDAY(DE$6,1)=1,0,MIN(10,DE9)*DE8)),MAX(0,40*MAX(1,DE8)-(0)))))</f>
        <v>3</v>
      </c>
      <c r="DF11" s="63">
        <f>IF(AND(DF8=1,DF9=13),3,IF(DF8&lt;=0,0,IF(WEEKDAY(DF$6,1)=1,0,MAX(0,DF9-10)*DF8))+((IF(DF8&lt;=0,0,IF(WEEKDAY(DF$6,1)=1,0,MIN(10,DF9)*DF8)))-MIN(IF(DF8&lt;=0,0,IF(WEEKDAY(DF$6,1)=1,0,MIN(10,DF9)*DF8)),MAX(0,40*MAX(1,DF8)-(DE10)))))</f>
        <v>3</v>
      </c>
      <c r="DG11" s="63">
        <f>IF(AND(DG8=1,DG9=13),3,IF(DG8&lt;=0,0,IF(WEEKDAY(DG$6,1)=1,0,MAX(0,DG9-10)*DG8))+((IF(DG8&lt;=0,0,IF(WEEKDAY(DG$6,1)=1,0,MIN(10,DG9)*DG8)))-MIN(IF(DG8&lt;=0,0,IF(WEEKDAY(DG$6,1)=1,0,MIN(10,DG9)*DG8)),MAX(0,40*MAX(1,DG8)-(DE10+DF10)))))</f>
        <v>3</v>
      </c>
      <c r="DH11" s="63">
        <f>IF(AND(DH8=1,DH9=13),3,IF(DH8&lt;=0,0,IF(WEEKDAY(DH$6,1)=1,0,MAX(0,DH9-10)*DH8))+((IF(DH8&lt;=0,0,IF(WEEKDAY(DH$6,1)=1,0,MIN(10,DH9)*DH8)))-MIN(IF(DH8&lt;=0,0,IF(WEEKDAY(DH$6,1)=1,0,MIN(10,DH9)*DH8)),MAX(0,40*MAX(1,DH8)-(DE10+DF10+DG10)))))</f>
        <v>3</v>
      </c>
      <c r="DI11" s="63">
        <f>IF(AND(DI8=1,DI9=13),13,IF(DI8&lt;=0,0,IF(WEEKDAY(DI$6,1)=1,0,MAX(0,DI9-10)*DI8))+((IF(DI8&lt;=0,0,IF(WEEKDAY(DI$6,1)=1,0,MIN(10,DI9)*DI8)))-MIN(IF(DI8&lt;=0,0,IF(WEEKDAY(DI$6,1)=1,0,MIN(10,DI9)*DI8)),MAX(0,40*MAX(1,DI8)-(DE10+DF10+DG10+DH10)))))</f>
        <v>13</v>
      </c>
      <c r="DJ11" s="64">
        <f>IF(AND(DJ8=1,DJ9=13),13,IF(DJ8&lt;=0,0,IF(WEEKDAY(DJ$6,1)=1,0,MAX(0,DJ9-10)*DJ8))+((IF(DJ8&lt;=0,0,IF(WEEKDAY(DJ$6,1)=1,0,MIN(10,DJ9)*DJ8)))-MIN(IF(DJ8&lt;=0,0,IF(WEEKDAY(DJ$6,1)=1,0,MIN(10,DJ9)*DJ8)),MAX(0,40*MAX(1,DJ8)-(DE10+DF10+DG10+DH10+DI10)))))</f>
        <v>13</v>
      </c>
      <c r="DK11" s="64">
        <f>IF(AND(DK8=0,DK9=0),0,IF(DK8&lt;=0,0,IF(WEEKDAY(DK$6,1)=1,0,MAX(0,DK9-10)*DK8))+((IF(DK8&lt;=0,0,IF(WEEKDAY(DK$6,1)=1,0,MIN(10,DK9)*DK8)))-MIN(IF(DK8&lt;=0,0,IF(WEEKDAY(DK$6,1)=1,0,MIN(10,DK9)*DK8)),MAX(0,40*MAX(1,DK8)-(0)))))</f>
        <v>0</v>
      </c>
      <c r="DL11" s="63">
        <f>IF(AND(DL8=1,DL9=13),3,IF(DL8&lt;=0,0,IF(WEEKDAY(DL$6,1)=1,0,MAX(0,DL9-10)*DL8))+((IF(DL8&lt;=0,0,IF(WEEKDAY(DL$6,1)=1,0,MIN(10,DL9)*DL8)))-MIN(IF(DL8&lt;=0,0,IF(WEEKDAY(DL$6,1)=1,0,MIN(10,DL9)*DL8)),MAX(0,40*MAX(1,DL8)-(0)))))</f>
        <v>3</v>
      </c>
      <c r="DM11" s="63">
        <f>IF(AND(DM8=1,DM9=13),3,IF(DM8&lt;=0,0,IF(WEEKDAY(DM$6,1)=1,0,MAX(0,DM9-10)*DM8))+((IF(DM8&lt;=0,0,IF(WEEKDAY(DM$6,1)=1,0,MIN(10,DM9)*DM8)))-MIN(IF(DM8&lt;=0,0,IF(WEEKDAY(DM$6,1)=1,0,MIN(10,DM9)*DM8)),MAX(0,40*MAX(1,DM8)-(DL10)))))</f>
        <v>3</v>
      </c>
      <c r="DN11" s="63">
        <f>IF(AND(DN8=1,DN9=13),3,IF(DN8&lt;=0,0,IF(WEEKDAY(DN$6,1)=1,0,MAX(0,DN9-10)*DN8))+((IF(DN8&lt;=0,0,IF(WEEKDAY(DN$6,1)=1,0,MIN(10,DN9)*DN8)))-MIN(IF(DN8&lt;=0,0,IF(WEEKDAY(DN$6,1)=1,0,MIN(10,DN9)*DN8)),MAX(0,40*MAX(1,DN8)-(DL10+DM10)))))</f>
        <v>3</v>
      </c>
      <c r="DO11" s="63">
        <f>IF(AND(DO8=1,DO9=13),3,IF(DO8&lt;=0,0,IF(WEEKDAY(DO$6,1)=1,0,MAX(0,DO9-10)*DO8))+((IF(DO8&lt;=0,0,IF(WEEKDAY(DO$6,1)=1,0,MIN(10,DO9)*DO8)))-MIN(IF(DO8&lt;=0,0,IF(WEEKDAY(DO$6,1)=1,0,MIN(10,DO9)*DO8)),MAX(0,40*MAX(1,DO8)-(DL10+DM10+DN10)))))</f>
        <v>3</v>
      </c>
      <c r="DP11" s="63">
        <f>IF(AND(DP8=1,DP9=13),13,IF(DP8&lt;=0,0,IF(WEEKDAY(DP$6,1)=1,0,MAX(0,DP9-10)*DP8))+((IF(DP8&lt;=0,0,IF(WEEKDAY(DP$6,1)=1,0,MIN(10,DP9)*DP8)))-MIN(IF(DP8&lt;=0,0,IF(WEEKDAY(DP$6,1)=1,0,MIN(10,DP9)*DP8)),MAX(0,40*MAX(1,DP8)-(DL10+DM10+DN10+DO10)))))</f>
        <v>13</v>
      </c>
      <c r="DQ11" s="64">
        <f>IF(AND(DQ8=1,DQ9=13),13,IF(DQ8&lt;=0,0,IF(WEEKDAY(DQ$6,1)=1,0,MAX(0,DQ9-10)*DQ8))+((IF(DQ8&lt;=0,0,IF(WEEKDAY(DQ$6,1)=1,0,MIN(10,DQ9)*DQ8)))-MIN(IF(DQ8&lt;=0,0,IF(WEEKDAY(DQ$6,1)=1,0,MIN(10,DQ9)*DQ8)),MAX(0,40*MAX(1,DQ8)-(DL10+DM10+DN10+DO10+DP10)))))</f>
        <v>13</v>
      </c>
      <c r="DR11" s="64">
        <f>IF(AND(DR8=1,DR9=13),0,IF(DR8&lt;=0,0,IF(WEEKDAY(DR$6,1)=1,0,MAX(0,DR9-10)*DR8))+((IF(DR8&lt;=0,0,IF(WEEKDAY(DR$6,1)=1,0,MIN(10,DR9)*DR8)))-MIN(IF(DR8&lt;=0,0,IF(WEEKDAY(DR$6,1)=1,0,MIN(10,DR9)*DR8)),MAX(0,40*MAX(1,DR8)-(DL10+DM10+DN10+DO10+DP10+DQ10)))))</f>
        <v>0</v>
      </c>
      <c r="DS11" s="63">
        <f>IF(AND(DS8=1,DS9=13),3,IF(DS8&lt;=0,0,IF(WEEKDAY(DS$6,1)=1,0,MAX(0,DS9-10)*DS8))+((IF(DS8&lt;=0,0,IF(WEEKDAY(DS$6,1)=1,0,MIN(10,DS9)*DS8)))-MIN(IF(DS8&lt;=0,0,IF(WEEKDAY(DS$6,1)=1,0,MIN(10,DS9)*DS8)),MAX(0,40*MAX(1,DS8)-(0)))))</f>
        <v>3</v>
      </c>
      <c r="DT11" s="63">
        <f>IF(AND(DT8=1,DT9=9),1,IF(DT8&lt;=0,0,IF(WEEKDAY(DT$6,1)=1,0,MAX(0,DT9-8)*DT8))+((IF(DT8&lt;=0,0,IF(WEEKDAY(DT$6,1)=1,0,MIN(8,DT9)*DT8)))-MIN(IF(DT8&lt;=0,0,IF(WEEKDAY(DT$6,1)=1,0,MIN(8,DT9)*DT8)),MAX(0,40*MAX(1,DT8)-(0)))))</f>
        <v>1</v>
      </c>
      <c r="DU11" s="63">
        <f>IF(AND(DU8=1,DU9=9),1,IF(DU8&lt;=0,0,IF(WEEKDAY(DU$6,1)=1,0,MAX(0,DU9-8)*DU8))+((IF(DU8&lt;=0,0,IF(WEEKDAY(DU$6,1)=1,0,MIN(8,DU9)*DU8)))-MIN(IF(DU8&lt;=0,0,IF(WEEKDAY(DU$6,1)=1,0,MIN(8,DU9)*DU8)),MAX(0,40*MAX(1,DU8)-(DT10)))))</f>
        <v>1</v>
      </c>
      <c r="DV11" s="63">
        <f>IF(AND(DV8=1,DV9=9),1,IF(DV8&lt;=0,0,IF(WEEKDAY(DV$6,1)=1,0,MAX(0,DV9-8)*DV8))+((IF(DV8&lt;=0,0,IF(WEEKDAY(DV$6,1)=1,0,MIN(8,DV9)*DV8)))-MIN(IF(DV8&lt;=0,0,IF(WEEKDAY(DV$6,1)=1,0,MIN(8,DV9)*DV8)),MAX(0,40*MAX(1,DV8)-(DT10+DU10)))))</f>
        <v>1</v>
      </c>
      <c r="DW11" s="63">
        <f>IF(AND(DW8=1,DW9=9),1,IF(DW8&lt;=0,0,IF(WEEKDAY(DW$6,1)=1,0,MAX(0,DW9-8)*DW8))+((IF(DW8&lt;=0,0,IF(WEEKDAY(DW$6,1)=1,0,MIN(8,DW9)*DW8)))-MIN(IF(DW8&lt;=0,0,IF(WEEKDAY(DW$6,1)=1,0,MIN(8,DW9)*DW8)),MAX(0,40*MAX(1,DW8)-(DT10+DU10+DV10)))))</f>
        <v>1</v>
      </c>
      <c r="DX11" s="64">
        <f>IF(AND(DX8=0,DX9=0),0,IF(DX8&lt;=0,0,IF(WEEKDAY(DX$6,1)=1,0,MAX(0,DX9-10)*DX8))+((IF(DX8&lt;=0,0,IF(WEEKDAY(DX$6,1)=1,0,MIN(10,DX9)*DX8)))-MIN(IF(DX8&lt;=0,0,IF(WEEKDAY(DX$6,1)=1,0,MIN(10,DX9)*DX8)),MAX(0,40*MAX(1,DX8)-(0)))))</f>
        <v>0</v>
      </c>
      <c r="DY11" s="64">
        <f>IF(AND(DY8=0,DY9=0),0,IF(DY8&lt;=0,0,IF(WEEKDAY(DY$6,1)=1,0,MAX(0,DY9-10)*DY8))+((IF(DY8&lt;=0,0,IF(WEEKDAY(DY$6,1)=1,0,MIN(10,DY9)*DY8)))-MIN(IF(DY8&lt;=0,0,IF(WEEKDAY(DY$6,1)=1,0,MIN(10,DY9)*DY8)),MAX(0,40*MAX(1,DY8)-(DX10)))))</f>
        <v>0</v>
      </c>
      <c r="DZ11" s="63">
        <f>IF(AND(DZ8=1,DZ9=9),1,IF(DZ8&lt;=0,0,IF(WEEKDAY(DZ$6,1)=1,0,MAX(0,DZ9-8)*DZ8))+((IF(DZ8&lt;=0,0,IF(WEEKDAY(DZ$6,1)=1,0,MIN(8,DZ9)*DZ8)))-MIN(IF(DZ8&lt;=0,0,IF(WEEKDAY(DZ$6,1)=1,0,MIN(8,DZ9)*DZ8)),MAX(0,40*MAX(1,DZ8)-(0)))))</f>
        <v>1</v>
      </c>
      <c r="EA11" s="63">
        <f>IF(AND(EA8=1,EA9=9),1,IF(EA8&lt;=0,0,IF(WEEKDAY(EA$6,1)=1,0,MAX(0,EA9-8)*EA8))+((IF(EA8&lt;=0,0,IF(WEEKDAY(EA$6,1)=1,0,MIN(8,EA9)*EA8)))-MIN(IF(EA8&lt;=0,0,IF(WEEKDAY(EA$6,1)=1,0,MIN(8,EA9)*EA8)),MAX(0,40*MAX(1,EA8)-(DZ10)))))</f>
        <v>1</v>
      </c>
      <c r="EB11" s="63">
        <f>IF(AND(EB8=1,EB9=9),1,IF(EB8&lt;=0,0,IF(WEEKDAY(EB$6,1)=1,0,MAX(0,EB9-8)*EB8))+((IF(EB8&lt;=0,0,IF(WEEKDAY(EB$6,1)=1,0,MIN(8,EB9)*EB8)))-MIN(IF(EB8&lt;=0,0,IF(WEEKDAY(EB$6,1)=1,0,MIN(8,EB9)*EB8)),MAX(0,40*MAX(1,EB8)-(DZ10+EA10)))))</f>
        <v>1</v>
      </c>
      <c r="EC11" s="63">
        <f>IF(AND(EC8=1,EC9=9),1,IF(EC8&lt;=0,0,IF(WEEKDAY(EC$6,1)=1,0,MAX(0,EC9-8)*EC8))+((IF(EC8&lt;=0,0,IF(WEEKDAY(EC$6,1)=1,0,MIN(8,EC9)*EC8)))-MIN(IF(EC8&lt;=0,0,IF(WEEKDAY(EC$6,1)=1,0,MIN(8,EC9)*EC8)),MAX(0,40*MAX(1,EC8)-(DZ10+EA10+EB10)))))</f>
        <v>1</v>
      </c>
      <c r="ED11" s="63">
        <f>IF(AND(ED8=1,ED9=9),1,IF(ED8&lt;=0,0,IF(WEEKDAY(ED$6,1)=1,0,MAX(0,ED9-8)*ED8))+((IF(ED8&lt;=0,0,IF(WEEKDAY(ED$6,1)=1,0,MIN(8,ED9)*ED8)))-MIN(IF(ED8&lt;=0,0,IF(WEEKDAY(ED$6,1)=1,0,MIN(8,ED9)*ED8)),MAX(0,40*MAX(1,ED8)-(DZ10+EA10+EB10+EC10)))))</f>
        <v>1</v>
      </c>
      <c r="EE11" s="64">
        <f>IF(AND(EE8=0,EE9=0),0,IF(EE8&lt;=0,0,IF(WEEKDAY(EE$6,1)=1,0,MAX(0,EE9-10)*EE8))+((IF(EE8&lt;=0,0,IF(WEEKDAY(EE$6,1)=1,0,MIN(10,EE9)*EE8)))-MIN(IF(EE8&lt;=0,0,IF(WEEKDAY(EE$6,1)=1,0,MIN(10,EE9)*EE8)),MAX(0,40*MAX(1,EE8)-(0)))))</f>
        <v>0</v>
      </c>
      <c r="EF11" s="64">
        <f>IF(AND(EF8=0,EF9=0),0,IF(EF8&lt;=0,0,IF(WEEKDAY(EF$6,1)=1,0,MAX(0,EF9-10)*EF8))+((IF(EF8&lt;=0,0,IF(WEEKDAY(EF$6,1)=1,0,MIN(10,EF9)*EF8)))-MIN(IF(EF8&lt;=0,0,IF(WEEKDAY(EF$6,1)=1,0,MIN(10,EF9)*EF8)),MAX(0,40*MAX(1,EF8)-(EE10)))))</f>
        <v>0</v>
      </c>
      <c r="EG11" s="63">
        <f>IF(AND(EG8=1,EG9=9),1,IF(EG8&lt;=0,0,IF(WEEKDAY(EG$6,1)=1,0,MAX(0,EG9-8)*EG8))+((IF(EG8&lt;=0,0,IF(WEEKDAY(EG$6,1)=1,0,MIN(8,EG9)*EG8)))-MIN(IF(EG8&lt;=0,0,IF(WEEKDAY(EG$6,1)=1,0,MIN(8,EG9)*EG8)),MAX(0,40*MAX(1,EG8)-(0)))))</f>
        <v>1</v>
      </c>
      <c r="EH11" s="63">
        <f>IF(AND(EH8=1,EH9=9),1,IF(EH8&lt;=0,0,IF(WEEKDAY(EH$6,1)=1,0,MAX(0,EH9-8)*EH8))+((IF(EH8&lt;=0,0,IF(WEEKDAY(EH$6,1)=1,0,MIN(8,EH9)*EH8)))-MIN(IF(EH8&lt;=0,0,IF(WEEKDAY(EH$6,1)=1,0,MIN(8,EH9)*EH8)),MAX(0,40*MAX(1,EH8)-(EG10)))))</f>
        <v>1</v>
      </c>
      <c r="EI11" s="63">
        <f>IF(AND(EI8=1,EI9=9),1,IF(EI8&lt;=0,0,IF(WEEKDAY(EI$6,1)=1,0,MAX(0,EI9-8)*EI8))+((IF(EI8&lt;=0,0,IF(WEEKDAY(EI$6,1)=1,0,MIN(8,EI9)*EI8)))-MIN(IF(EI8&lt;=0,0,IF(WEEKDAY(EI$6,1)=1,0,MIN(8,EI9)*EI8)),MAX(0,40*MAX(1,EI8)-(EG10+EH10)))))</f>
        <v>1</v>
      </c>
      <c r="EJ11" s="63">
        <f>IF(AND(EJ8=1,EJ9=9),1,IF(EJ8&lt;=0,0,IF(WEEKDAY(EJ$6,1)=1,0,MAX(0,EJ9-8)*EJ8))+((IF(EJ8&lt;=0,0,IF(WEEKDAY(EJ$6,1)=1,0,MIN(8,EJ9)*EJ8)))-MIN(IF(EJ8&lt;=0,0,IF(WEEKDAY(EJ$6,1)=1,0,MIN(8,EJ9)*EJ8)),MAX(0,40*MAX(1,EJ8)-(EG10+EH10+EI10)))))</f>
        <v>1</v>
      </c>
      <c r="EK11" s="65">
        <f>IF(AND(EK8=1,EK9=9),1,IF(EK8&lt;=0,0,IF(WEEKDAY(EK$6,1)=1,0,MAX(0,EK9-8)*EK8))+((IF(EK8&lt;=0,0,IF(WEEKDAY(EK$6,1)=1,0,MIN(8,EK9)*EK8)))-MIN(IF(EK8&lt;=0,0,IF(WEEKDAY(EK$6,1)=1,0,MIN(8,EK9)*EK8)),MAX(0,40*MAX(1,EK8)-(EG10+EH10+EI10+EJ10)))))</f>
        <v>1</v>
      </c>
      <c r="OU11" s="28" t="s">
        <v>59</v>
      </c>
    </row>
    <row r="12" ht="16" customHeight="1" spans="1:411" x14ac:dyDescent="0.25">
      <c r="A12" s="45"/>
      <c r="B12" s="46"/>
      <c r="C12" s="61">
        <f>H7*N(D12)</f>
        <v>19188.78</v>
      </c>
      <c r="D12" s="61">
        <f>IF(TRIM(B7)="","No rate",IFERROR(INDEX('Rate Tables'!E$7:E$158,MATCH(B7,'Rate Tables'!A$7:A$158,0)),"No rate"))</f>
        <v>246.01</v>
      </c>
      <c r="E12" s="55" t="s">
        <v>64</v>
      </c>
      <c r="F12" s="49"/>
      <c r="G12" s="49"/>
      <c r="H12" s="49"/>
      <c r="I12" s="49"/>
      <c r="J12" s="50"/>
      <c r="K12" s="62">
        <f>IF(AND(K8=1,K9=9),0,IF(K8&lt;=0,0,IF(WEEKDAY(K$6,1)=1,K8*K9,0)))</f>
        <v>0</v>
      </c>
      <c r="L12" s="63">
        <f>IF(AND(L8=1,L9=9),0,IF(L8&lt;=0,0,IF(WEEKDAY(L$6,1)=1,L8*L9,0)))</f>
        <v>0</v>
      </c>
      <c r="M12" s="63">
        <f>IF(AND(M8=1,M9=9),0,IF(M8&lt;=0,0,IF(WEEKDAY(M$6,1)=1,M8*M9,0)))</f>
        <v>0</v>
      </c>
      <c r="N12" s="63">
        <f>IF(AND(N8=1,N9=9),0,IF(N8&lt;=0,0,IF(WEEKDAY(N$6,1)=1,N8*N9,0)))</f>
        <v>0</v>
      </c>
      <c r="O12" s="63">
        <f>IF(AND(O8=1,O9=9),0,IF(O8&lt;=0,0,IF(WEEKDAY(O$6,1)=1,O8*O9,0)))</f>
        <v>0</v>
      </c>
      <c r="P12" s="64">
        <f>IF(AND(P8=0,P9=0),0,IF(P8&lt;=0,0,IF(WEEKDAY(P$6,1)=1,P8*P9,0)))</f>
        <v>0</v>
      </c>
      <c r="Q12" s="64">
        <f>IF(AND(Q8=0,Q9=0),0,IF(Q8&lt;=0,0,IF(WEEKDAY(Q$6,1)=1,Q8*Q9,0)))</f>
        <v>0</v>
      </c>
      <c r="R12" s="63">
        <f>IF(AND(R8=1,R9=9),0,IF(R8&lt;=0,0,IF(WEEKDAY(R$6,1)=1,R8*R9,0)))</f>
        <v>0</v>
      </c>
      <c r="S12" s="63">
        <f>IF(AND(S8=1,S9=9),0,IF(S8&lt;=0,0,IF(WEEKDAY(S$6,1)=1,S8*S9,0)))</f>
        <v>0</v>
      </c>
      <c r="T12" s="63">
        <f>IF(AND(T8=1,T9=9),0,IF(T8&lt;=0,0,IF(WEEKDAY(T$6,1)=1,T8*T9,0)))</f>
        <v>0</v>
      </c>
      <c r="U12" s="63">
        <f>IF(AND(U8=1,U9=9),0,IF(U8&lt;=0,0,IF(WEEKDAY(U$6,1)=1,U8*U9,0)))</f>
        <v>0</v>
      </c>
      <c r="V12" s="63">
        <f>IF(AND(V8=1,V9=9),0,IF(V8&lt;=0,0,IF(WEEKDAY(V$6,1)=1,V8*V9,0)))</f>
        <v>0</v>
      </c>
      <c r="W12" s="64">
        <f>IF(AND(W8=0,W9=0),0,IF(W8&lt;=0,0,IF(WEEKDAY(W$6,1)=1,W8*W9,0)))</f>
        <v>0</v>
      </c>
      <c r="X12" s="64">
        <f>IF(AND(X8=0,X9=0),0,IF(X8&lt;=0,0,IF(WEEKDAY(X$6,1)=1,X8*X9,0)))</f>
        <v>0</v>
      </c>
      <c r="Y12" s="63">
        <f>IF(AND(Y8=1,Y9=9),0,IF(Y8&lt;=0,0,IF(WEEKDAY(Y$6,1)=1,Y8*Y9,0)))</f>
        <v>0</v>
      </c>
      <c r="Z12" s="63">
        <f>IF(AND(Z8=1,Z9=9),0,IF(Z8&lt;=0,0,IF(WEEKDAY(Z$6,1)=1,Z8*Z9,0)))</f>
        <v>0</v>
      </c>
      <c r="AA12" s="63">
        <f>IF(AND(AA8=1,AA9=9),0,IF(AA8&lt;=0,0,IF(WEEKDAY(AA$6,1)=1,AA8*AA9,0)))</f>
        <v>0</v>
      </c>
      <c r="AB12" s="63">
        <f>IF(AND(AB8=1,AB9=9),0,IF(AB8&lt;=0,0,IF(WEEKDAY(AB$6,1)=1,AB8*AB9,0)))</f>
        <v>0</v>
      </c>
      <c r="AC12" s="63">
        <f>IF(AND(AC8=1,AC9=9),0,IF(AC8&lt;=0,0,IF(WEEKDAY(AC$6,1)=1,AC8*AC9,0)))</f>
        <v>0</v>
      </c>
      <c r="AD12" s="64">
        <f>IF(AND(AD8=0,AD9=0),0,IF(AD8&lt;=0,0,IF(WEEKDAY(AD$6,1)=1,AD8*AD9,0)))</f>
        <v>0</v>
      </c>
      <c r="AE12" s="64">
        <f>IF(AND(AE8=0,AE9=0),0,IF(AE8&lt;=0,0,IF(WEEKDAY(AE$6,1)=1,AE8*AE9,0)))</f>
        <v>0</v>
      </c>
      <c r="AF12" s="63">
        <f>IF(AND(AF8=1,AF9=9),0,IF(AF8&lt;=0,0,IF(WEEKDAY(AF$6,1)=1,AF8*AF9,0)))</f>
        <v>0</v>
      </c>
      <c r="AG12" s="63">
        <f>IF(AND(AG8=1,AG9=9),0,IF(AG8&lt;=0,0,IF(WEEKDAY(AG$6,1)=1,AG8*AG9,0)))</f>
        <v>0</v>
      </c>
      <c r="AH12" s="63">
        <f>IF(AND(AH8=1,AH9=9),0,IF(AH8&lt;=0,0,IF(WEEKDAY(AH$6,1)=1,AH8*AH9,0)))</f>
        <v>0</v>
      </c>
      <c r="AI12" s="63">
        <f>IF(AND(AI8=1,AI9=9),0,IF(AI8&lt;=0,0,IF(WEEKDAY(AI$6,1)=1,AI8*AI9,0)))</f>
        <v>0</v>
      </c>
      <c r="AJ12" s="63">
        <f>IF(AND(AJ8=1,AJ9=9),0,IF(AJ8&lt;=0,0,IF(WEEKDAY(AJ$6,1)=1,AJ8*AJ9,0)))</f>
        <v>0</v>
      </c>
      <c r="AK12" s="64">
        <f>IF(AND(AK8=0,AK9=0),0,IF(AK8&lt;=0,0,IF(WEEKDAY(AK$6,1)=1,AK8*AK9,0)))</f>
        <v>0</v>
      </c>
      <c r="AL12" s="64">
        <f>IF(AND(AL8=0,AL9=0),0,IF(AL8&lt;=0,0,IF(WEEKDAY(AL$6,1)=1,AL8*AL9,0)))</f>
        <v>0</v>
      </c>
      <c r="AM12" s="63">
        <f>IF(AND(AM8=1,AM9=9),0,IF(AM8&lt;=0,0,IF(WEEKDAY(AM$6,1)=1,AM8*AM9,0)))</f>
        <v>0</v>
      </c>
      <c r="AN12" s="63">
        <f>IF(AND(AN8=1,AN9=9),0,IF(AN8&lt;=0,0,IF(WEEKDAY(AN$6,1)=1,AN8*AN9,0)))</f>
        <v>0</v>
      </c>
      <c r="AO12" s="63">
        <f>IF(AND(AO8=1,AO9=9),0,IF(AO8&lt;=0,0,IF(WEEKDAY(AO$6,1)=1,AO8*AO9,0)))</f>
        <v>0</v>
      </c>
      <c r="AP12" s="63">
        <f>IF(AND(AP8=1,AP9=9),0,IF(AP8&lt;=0,0,IF(WEEKDAY(AP$6,1)=1,AP8*AP9,0)))</f>
        <v>0</v>
      </c>
      <c r="AQ12" s="63">
        <f>IF(AND(AQ8=1,AQ9=9),0,IF(AQ8&lt;=0,0,IF(WEEKDAY(AQ$6,1)=1,AQ8*AQ9,0)))</f>
        <v>0</v>
      </c>
      <c r="AR12" s="64">
        <f>IF(AND(AR8=0,AR9=0),0,IF(AR8&lt;=0,0,IF(WEEKDAY(AR$6,1)=1,AR8*AR9,0)))</f>
        <v>0</v>
      </c>
      <c r="AS12" s="64">
        <f>IF(AND(AS8=0,AS9=0),0,IF(AS8&lt;=0,0,IF(WEEKDAY(AS$6,1)=1,AS8*AS9,0)))</f>
        <v>0</v>
      </c>
      <c r="AT12" s="63">
        <f>IF(AND(AT8=1,AT9=9),0,IF(AT8&lt;=0,0,IF(WEEKDAY(AT$6,1)=1,AT8*AT9,0)))</f>
        <v>0</v>
      </c>
      <c r="AU12" s="63">
        <f>IF(AND(AU8=1,AU9=9),0,IF(AU8&lt;=0,0,IF(WEEKDAY(AU$6,1)=1,AU8*AU9,0)))</f>
        <v>0</v>
      </c>
      <c r="AV12" s="63">
        <f>IF(AND(AV8=1,AV9=9),0,IF(AV8&lt;=0,0,IF(WEEKDAY(AV$6,1)=1,AV8*AV9,0)))</f>
        <v>0</v>
      </c>
      <c r="AW12" s="63">
        <f>IF(AND(AW8=1,AW9=9),0,IF(AW8&lt;=0,0,IF(WEEKDAY(AW$6,1)=1,AW8*AW9,0)))</f>
        <v>0</v>
      </c>
      <c r="AX12" s="63">
        <f>IF(AND(AX8=1,AX9=9),0,IF(AX8&lt;=0,0,IF(WEEKDAY(AX$6,1)=1,AX8*AX9,0)))</f>
        <v>0</v>
      </c>
      <c r="AY12" s="64">
        <f>IF(AND(AY8=0,AY9=0),0,IF(AY8&lt;=0,0,IF(WEEKDAY(AY$6,1)=1,AY8*AY9,0)))</f>
        <v>0</v>
      </c>
      <c r="AZ12" s="64">
        <f>IF(AND(AZ8=0,AZ9=0),0,IF(AZ8&lt;=0,0,IF(WEEKDAY(AZ$6,1)=1,AZ8*AZ9,0)))</f>
        <v>0</v>
      </c>
      <c r="BA12" s="63">
        <f>IF(AND(BA8=1,BA9=9),0,IF(BA8&lt;=0,0,IF(WEEKDAY(BA$6,1)=1,BA8*BA9,0)))</f>
        <v>0</v>
      </c>
      <c r="BB12" s="63">
        <f>IF(AND(BB8=1,BB9=9),0,IF(BB8&lt;=0,0,IF(WEEKDAY(BB$6,1)=1,BB8*BB9,0)))</f>
        <v>0</v>
      </c>
      <c r="BC12" s="63">
        <f>IF(AND(BC8=1,BC9=9),0,IF(BC8&lt;=0,0,IF(WEEKDAY(BC$6,1)=1,BC8*BC9,0)))</f>
        <v>0</v>
      </c>
      <c r="BD12" s="63">
        <f>IF(AND(BD8=1,BD9=9),0,IF(BD8&lt;=0,0,IF(WEEKDAY(BD$6,1)=1,BD8*BD9,0)))</f>
        <v>0</v>
      </c>
      <c r="BE12" s="63">
        <f>IF(AND(BE8=1,BE9=9),0,IF(BE8&lt;=0,0,IF(WEEKDAY(BE$6,1)=1,BE8*BE9,0)))</f>
        <v>0</v>
      </c>
      <c r="BF12" s="64">
        <f>IF(AND(BF8=0,BF9=0),0,IF(BF8&lt;=0,0,IF(WEEKDAY(BF$6,1)=1,BF8*BF9,0)))</f>
        <v>0</v>
      </c>
      <c r="BG12" s="64">
        <f>IF(AND(BG8=0,BG9=0),0,IF(BG8&lt;=0,0,IF(WEEKDAY(BG$6,1)=1,BG8*BG9,0)))</f>
        <v>0</v>
      </c>
      <c r="BH12" s="63">
        <f>IF(AND(BH8=1,BH9=13),0,IF(BH8&lt;=0,0,IF(WEEKDAY(BH$6,1)=1,BH8*BH9,0)))</f>
        <v>0</v>
      </c>
      <c r="BI12" s="63">
        <f>IF(AND(BI8=1,BI9=13),0,IF(BI8&lt;=0,0,IF(WEEKDAY(BI$6,1)=1,BI8*BI9,0)))</f>
        <v>0</v>
      </c>
      <c r="BJ12" s="63">
        <f>IF(AND(BJ8=1,BJ9=13),0,IF(BJ8&lt;=0,0,IF(WEEKDAY(BJ$6,1)=1,BJ8*BJ9,0)))</f>
        <v>0</v>
      </c>
      <c r="BK12" s="63">
        <f>IF(AND(BK8=1,BK9=13),0,IF(BK8&lt;=0,0,IF(WEEKDAY(BK$6,1)=1,BK8*BK9,0)))</f>
        <v>0</v>
      </c>
      <c r="BL12" s="63">
        <f>IF(AND(BL8=1,BL9=13),0,IF(BL8&lt;=0,0,IF(WEEKDAY(BL$6,1)=1,BL8*BL9,0)))</f>
        <v>0</v>
      </c>
      <c r="BM12" s="64">
        <f>IF(AND(BM8=1,BM9=13),0,IF(BM8&lt;=0,0,IF(WEEKDAY(BM$6,1)=1,BM8*BM9,0)))</f>
        <v>0</v>
      </c>
      <c r="BN12" s="64">
        <f>IF(AND(BN8=1,BN9=13),13,IF(BN8&lt;=0,0,IF(WEEKDAY(BN$6,1)=1,BN8*BN9,0)))</f>
        <v>13</v>
      </c>
      <c r="BO12" s="63">
        <f>IF(AND(BO8=1,BO9=13),0,IF(BO8&lt;=0,0,IF(WEEKDAY(BO$6,1)=1,BO8*BO9,0)))</f>
        <v>0</v>
      </c>
      <c r="BP12" s="63">
        <f>IF(AND(BP8=1,BP9=13),0,IF(BP8&lt;=0,0,IF(WEEKDAY(BP$6,1)=1,BP8*BP9,0)))</f>
        <v>0</v>
      </c>
      <c r="BQ12" s="63">
        <f>IF(AND(BQ8=1,BQ9=13),0,IF(BQ8&lt;=0,0,IF(WEEKDAY(BQ$6,1)=1,BQ8*BQ9,0)))</f>
        <v>0</v>
      </c>
      <c r="BR12" s="63">
        <f>IF(AND(BR8=1,BR9=13),0,IF(BR8&lt;=0,0,IF(WEEKDAY(BR$6,1)=1,BR8*BR9,0)))</f>
        <v>0</v>
      </c>
      <c r="BS12" s="63">
        <f>IF(AND(BS8=1,BS9=13),0,IF(BS8&lt;=0,0,IF(WEEKDAY(BS$6,1)=1,BS8*BS9,0)))</f>
        <v>0</v>
      </c>
      <c r="BT12" s="64">
        <f>IF(AND(BT8=1,BT9=13),0,IF(BT8&lt;=0,0,IF(WEEKDAY(BT$6,1)=1,BT8*BT9,0)))</f>
        <v>0</v>
      </c>
      <c r="BU12" s="64">
        <f>IF(AND(BU8=1,BU9=13),13,IF(BU8&lt;=0,0,IF(WEEKDAY(BU$6,1)=1,BU8*BU9,0)))</f>
        <v>13</v>
      </c>
      <c r="BV12" s="63">
        <f>IF(AND(BV8=1,BV9=13),0,IF(BV8&lt;=0,0,IF(WEEKDAY(BV$6,1)=1,BV8*BV9,0)))</f>
        <v>0</v>
      </c>
      <c r="BW12" s="63">
        <f>IF(AND(BW8=1,BW9=13),0,IF(BW8&lt;=0,0,IF(WEEKDAY(BW$6,1)=1,BW8*BW9,0)))</f>
        <v>0</v>
      </c>
      <c r="BX12" s="63">
        <f>IF(AND(BX8=1,BX9=13),0,IF(BX8&lt;=0,0,IF(WEEKDAY(BX$6,1)=1,BX8*BX9,0)))</f>
        <v>0</v>
      </c>
      <c r="BY12" s="63">
        <f>IF(AND(BY8=1,BY9=13),0,IF(BY8&lt;=0,0,IF(WEEKDAY(BY$6,1)=1,BY8*BY9,0)))</f>
        <v>0</v>
      </c>
      <c r="BZ12" s="63">
        <f>IF(AND(BZ8=1,BZ9=13),0,IF(BZ8&lt;=0,0,IF(WEEKDAY(BZ$6,1)=1,BZ8*BZ9,0)))</f>
        <v>0</v>
      </c>
      <c r="CA12" s="64">
        <f>IF(AND(CA8=1,CA9=13),0,IF(CA8&lt;=0,0,IF(WEEKDAY(CA$6,1)=1,CA8*CA9,0)))</f>
        <v>0</v>
      </c>
      <c r="CB12" s="64">
        <f>IF(AND(CB8=0,CB9=0),0,IF(CB8&lt;=0,0,IF(WEEKDAY(CB$6,1)=1,CB8*CB9,0)))</f>
        <v>0</v>
      </c>
      <c r="CC12" s="63">
        <f>IF(AND(CC8=1,CC9=13),0,IF(CC8&lt;=0,0,IF(WEEKDAY(CC$6,1)=1,CC8*CC9,0)))</f>
        <v>0</v>
      </c>
      <c r="CD12" s="63">
        <f>IF(AND(CD8=1,CD9=13),0,IF(CD8&lt;=0,0,IF(WEEKDAY(CD$6,1)=1,CD8*CD9,0)))</f>
        <v>0</v>
      </c>
      <c r="CE12" s="63">
        <f>IF(AND(CE8=1,CE9=13),0,IF(CE8&lt;=0,0,IF(WEEKDAY(CE$6,1)=1,CE8*CE9,0)))</f>
        <v>0</v>
      </c>
      <c r="CF12" s="63">
        <f>IF(AND(CF8=1,CF9=13),0,IF(CF8&lt;=0,0,IF(WEEKDAY(CF$6,1)=1,CF8*CF9,0)))</f>
        <v>0</v>
      </c>
      <c r="CG12" s="63">
        <f>IF(AND(CG8=1,CG9=13),0,IF(CG8&lt;=0,0,IF(WEEKDAY(CG$6,1)=1,CG8*CG9,0)))</f>
        <v>0</v>
      </c>
      <c r="CH12" s="64">
        <f>IF(AND(CH8=1,CH9=13),0,IF(CH8&lt;=0,0,IF(WEEKDAY(CH$6,1)=1,CH8*CH9,0)))</f>
        <v>0</v>
      </c>
      <c r="CI12" s="64">
        <f>IF(AND(CI8=1,CI9=13),13,IF(CI8&lt;=0,0,IF(WEEKDAY(CI$6,1)=1,CI8*CI9,0)))</f>
        <v>13</v>
      </c>
      <c r="CJ12" s="63">
        <f>IF(AND(CJ8=1,CJ9=13),0,IF(CJ8&lt;=0,0,IF(WEEKDAY(CJ$6,1)=1,CJ8*CJ9,0)))</f>
        <v>0</v>
      </c>
      <c r="CK12" s="63">
        <f>IF(AND(CK8=1,CK9=13),0,IF(CK8&lt;=0,0,IF(WEEKDAY(CK$6,1)=1,CK8*CK9,0)))</f>
        <v>0</v>
      </c>
      <c r="CL12" s="63">
        <f>IF(AND(CL8=1,CL9=13),0,IF(CL8&lt;=0,0,IF(WEEKDAY(CL$6,1)=1,CL8*CL9,0)))</f>
        <v>0</v>
      </c>
      <c r="CM12" s="63">
        <f>IF(AND(CM8=1,CM9=13),0,IF(CM8&lt;=0,0,IF(WEEKDAY(CM$6,1)=1,CM8*CM9,0)))</f>
        <v>0</v>
      </c>
      <c r="CN12" s="63">
        <f>IF(AND(CN8=1,CN9=13),0,IF(CN8&lt;=0,0,IF(WEEKDAY(CN$6,1)=1,CN8*CN9,0)))</f>
        <v>0</v>
      </c>
      <c r="CO12" s="64">
        <f>IF(AND(CO8=1,CO9=13),0,IF(CO8&lt;=0,0,IF(WEEKDAY(CO$6,1)=1,CO8*CO9,0)))</f>
        <v>0</v>
      </c>
      <c r="CP12" s="64">
        <f>IF(AND(CP8=0,CP9=0),0,IF(CP8&lt;=0,0,IF(WEEKDAY(CP$6,1)=1,CP8*CP9,0)))</f>
        <v>0</v>
      </c>
      <c r="CQ12" s="63">
        <f>IF(AND(CQ8=1,CQ9=13),0,IF(CQ8&lt;=0,0,IF(WEEKDAY(CQ$6,1)=1,CQ8*CQ9,0)))</f>
        <v>0</v>
      </c>
      <c r="CR12" s="63">
        <f>IF(AND(CR8=1,CR9=13),0,IF(CR8&lt;=0,0,IF(WEEKDAY(CR$6,1)=1,CR8*CR9,0)))</f>
        <v>0</v>
      </c>
      <c r="CS12" s="63">
        <f>IF(AND(CS8=1,CS9=13),0,IF(CS8&lt;=0,0,IF(WEEKDAY(CS$6,1)=1,CS8*CS9,0)))</f>
        <v>0</v>
      </c>
      <c r="CT12" s="63">
        <f>IF(AND(CT8=1,CT9=13),0,IF(CT8&lt;=0,0,IF(WEEKDAY(CT$6,1)=1,CT8*CT9,0)))</f>
        <v>0</v>
      </c>
      <c r="CU12" s="63">
        <f>IF(AND(CU8=1,CU9=13),0,IF(CU8&lt;=0,0,IF(WEEKDAY(CU$6,1)=1,CU8*CU9,0)))</f>
        <v>0</v>
      </c>
      <c r="CV12" s="64">
        <f>IF(AND(CV8=1,CV9=13),0,IF(CV8&lt;=0,0,IF(WEEKDAY(CV$6,1)=1,CV8*CV9,0)))</f>
        <v>0</v>
      </c>
      <c r="CW12" s="64">
        <f>IF(AND(CW8=1,CW9=13),13,IF(CW8&lt;=0,0,IF(WEEKDAY(CW$6,1)=1,CW8*CW9,0)))</f>
        <v>13</v>
      </c>
      <c r="CX12" s="63">
        <f>IF(AND(CX8=1,CX9=13),0,IF(CX8&lt;=0,0,IF(WEEKDAY(CX$6,1)=1,CX8*CX9,0)))</f>
        <v>0</v>
      </c>
      <c r="CY12" s="63">
        <f>IF(AND(CY8=1,CY9=13),0,IF(CY8&lt;=0,0,IF(WEEKDAY(CY$6,1)=1,CY8*CY9,0)))</f>
        <v>0</v>
      </c>
      <c r="CZ12" s="63">
        <f>IF(AND(CZ8=1,CZ9=13),0,IF(CZ8&lt;=0,0,IF(WEEKDAY(CZ$6,1)=1,CZ8*CZ9,0)))</f>
        <v>0</v>
      </c>
      <c r="DA12" s="63">
        <f>IF(AND(DA8=1,DA9=13),0,IF(DA8&lt;=0,0,IF(WEEKDAY(DA$6,1)=1,DA8*DA9,0)))</f>
        <v>0</v>
      </c>
      <c r="DB12" s="63">
        <f>IF(AND(DB8=1,DB9=13),0,IF(DB8&lt;=0,0,IF(WEEKDAY(DB$6,1)=1,DB8*DB9,0)))</f>
        <v>0</v>
      </c>
      <c r="DC12" s="64">
        <f>IF(AND(DC8=1,DC9=13),0,IF(DC8&lt;=0,0,IF(WEEKDAY(DC$6,1)=1,DC8*DC9,0)))</f>
        <v>0</v>
      </c>
      <c r="DD12" s="64">
        <f>IF(AND(DD8=1,DD9=13),13,IF(DD8&lt;=0,0,IF(WEEKDAY(DD$6,1)=1,DD8*DD9,0)))</f>
        <v>13</v>
      </c>
      <c r="DE12" s="63">
        <f>IF(AND(DE8=1,DE9=13),0,IF(DE8&lt;=0,0,IF(WEEKDAY(DE$6,1)=1,DE8*DE9,0)))</f>
        <v>0</v>
      </c>
      <c r="DF12" s="63">
        <f>IF(AND(DF8=1,DF9=13),0,IF(DF8&lt;=0,0,IF(WEEKDAY(DF$6,1)=1,DF8*DF9,0)))</f>
        <v>0</v>
      </c>
      <c r="DG12" s="63">
        <f>IF(AND(DG8=1,DG9=13),0,IF(DG8&lt;=0,0,IF(WEEKDAY(DG$6,1)=1,DG8*DG9,0)))</f>
        <v>0</v>
      </c>
      <c r="DH12" s="63">
        <f>IF(AND(DH8=1,DH9=13),0,IF(DH8&lt;=0,0,IF(WEEKDAY(DH$6,1)=1,DH8*DH9,0)))</f>
        <v>0</v>
      </c>
      <c r="DI12" s="63">
        <f>IF(AND(DI8=1,DI9=13),0,IF(DI8&lt;=0,0,IF(WEEKDAY(DI$6,1)=1,DI8*DI9,0)))</f>
        <v>0</v>
      </c>
      <c r="DJ12" s="64">
        <f>IF(AND(DJ8=1,DJ9=13),0,IF(DJ8&lt;=0,0,IF(WEEKDAY(DJ$6,1)=1,DJ8*DJ9,0)))</f>
        <v>0</v>
      </c>
      <c r="DK12" s="64">
        <f>IF(AND(DK8=0,DK9=0),0,IF(DK8&lt;=0,0,IF(WEEKDAY(DK$6,1)=1,DK8*DK9,0)))</f>
        <v>0</v>
      </c>
      <c r="DL12" s="63">
        <f>IF(AND(DL8=1,DL9=13),0,IF(DL8&lt;=0,0,IF(WEEKDAY(DL$6,1)=1,DL8*DL9,0)))</f>
        <v>0</v>
      </c>
      <c r="DM12" s="63">
        <f>IF(AND(DM8=1,DM9=13),0,IF(DM8&lt;=0,0,IF(WEEKDAY(DM$6,1)=1,DM8*DM9,0)))</f>
        <v>0</v>
      </c>
      <c r="DN12" s="63">
        <f>IF(AND(DN8=1,DN9=13),0,IF(DN8&lt;=0,0,IF(WEEKDAY(DN$6,1)=1,DN8*DN9,0)))</f>
        <v>0</v>
      </c>
      <c r="DO12" s="63">
        <f>IF(AND(DO8=1,DO9=13),0,IF(DO8&lt;=0,0,IF(WEEKDAY(DO$6,1)=1,DO8*DO9,0)))</f>
        <v>0</v>
      </c>
      <c r="DP12" s="63">
        <f>IF(AND(DP8=1,DP9=13),0,IF(DP8&lt;=0,0,IF(WEEKDAY(DP$6,1)=1,DP8*DP9,0)))</f>
        <v>0</v>
      </c>
      <c r="DQ12" s="64">
        <f>IF(AND(DQ8=1,DQ9=13),0,IF(DQ8&lt;=0,0,IF(WEEKDAY(DQ$6,1)=1,DQ8*DQ9,0)))</f>
        <v>0</v>
      </c>
      <c r="DR12" s="64">
        <f>IF(AND(DR8=1,DR9=13),13,IF(DR8&lt;=0,0,IF(WEEKDAY(DR$6,1)=1,DR8*DR9,0)))</f>
        <v>13</v>
      </c>
      <c r="DS12" s="63">
        <f>IF(AND(DS8=1,DS9=13),0,IF(DS8&lt;=0,0,IF(WEEKDAY(DS$6,1)=1,DS8*DS9,0)))</f>
        <v>0</v>
      </c>
      <c r="DT12" s="63">
        <f>IF(AND(DT8=1,DT9=9),0,IF(DT8&lt;=0,0,IF(WEEKDAY(DT$6,1)=1,DT8*DT9,0)))</f>
        <v>0</v>
      </c>
      <c r="DU12" s="63">
        <f>IF(AND(DU8=1,DU9=9),0,IF(DU8&lt;=0,0,IF(WEEKDAY(DU$6,1)=1,DU8*DU9,0)))</f>
        <v>0</v>
      </c>
      <c r="DV12" s="63">
        <f>IF(AND(DV8=1,DV9=9),0,IF(DV8&lt;=0,0,IF(WEEKDAY(DV$6,1)=1,DV8*DV9,0)))</f>
        <v>0</v>
      </c>
      <c r="DW12" s="63">
        <f>IF(AND(DW8=1,DW9=9),0,IF(DW8&lt;=0,0,IF(WEEKDAY(DW$6,1)=1,DW8*DW9,0)))</f>
        <v>0</v>
      </c>
      <c r="DX12" s="64">
        <f>IF(AND(DX8=0,DX9=0),0,IF(DX8&lt;=0,0,IF(WEEKDAY(DX$6,1)=1,DX8*DX9,0)))</f>
        <v>0</v>
      </c>
      <c r="DY12" s="64">
        <f>IF(AND(DY8=0,DY9=0),0,IF(DY8&lt;=0,0,IF(WEEKDAY(DY$6,1)=1,DY8*DY9,0)))</f>
        <v>0</v>
      </c>
      <c r="DZ12" s="63">
        <f>IF(AND(DZ8=1,DZ9=9),0,IF(DZ8&lt;=0,0,IF(WEEKDAY(DZ$6,1)=1,DZ8*DZ9,0)))</f>
        <v>0</v>
      </c>
      <c r="EA12" s="63">
        <f>IF(AND(EA8=1,EA9=9),0,IF(EA8&lt;=0,0,IF(WEEKDAY(EA$6,1)=1,EA8*EA9,0)))</f>
        <v>0</v>
      </c>
      <c r="EB12" s="63">
        <f>IF(AND(EB8=1,EB9=9),0,IF(EB8&lt;=0,0,IF(WEEKDAY(EB$6,1)=1,EB8*EB9,0)))</f>
        <v>0</v>
      </c>
      <c r="EC12" s="63">
        <f>IF(AND(EC8=1,EC9=9),0,IF(EC8&lt;=0,0,IF(WEEKDAY(EC$6,1)=1,EC8*EC9,0)))</f>
        <v>0</v>
      </c>
      <c r="ED12" s="63">
        <f>IF(AND(ED8=1,ED9=9),0,IF(ED8&lt;=0,0,IF(WEEKDAY(ED$6,1)=1,ED8*ED9,0)))</f>
        <v>0</v>
      </c>
      <c r="EE12" s="64">
        <f>IF(AND(EE8=0,EE9=0),0,IF(EE8&lt;=0,0,IF(WEEKDAY(EE$6,1)=1,EE8*EE9,0)))</f>
        <v>0</v>
      </c>
      <c r="EF12" s="64">
        <f>IF(AND(EF8=0,EF9=0),0,IF(EF8&lt;=0,0,IF(WEEKDAY(EF$6,1)=1,EF8*EF9,0)))</f>
        <v>0</v>
      </c>
      <c r="EG12" s="63">
        <f>IF(AND(EG8=1,EG9=9),0,IF(EG8&lt;=0,0,IF(WEEKDAY(EG$6,1)=1,EG8*EG9,0)))</f>
        <v>0</v>
      </c>
      <c r="EH12" s="63">
        <f>IF(AND(EH8=1,EH9=9),0,IF(EH8&lt;=0,0,IF(WEEKDAY(EH$6,1)=1,EH8*EH9,0)))</f>
        <v>0</v>
      </c>
      <c r="EI12" s="63">
        <f>IF(AND(EI8=1,EI9=9),0,IF(EI8&lt;=0,0,IF(WEEKDAY(EI$6,1)=1,EI8*EI9,0)))</f>
        <v>0</v>
      </c>
      <c r="EJ12" s="63">
        <f>IF(AND(EJ8=1,EJ9=9),0,IF(EJ8&lt;=0,0,IF(WEEKDAY(EJ$6,1)=1,EJ8*EJ9,0)))</f>
        <v>0</v>
      </c>
      <c r="EK12" s="65">
        <f>IF(AND(EK8=1,EK9=9),0,IF(EK8&lt;=0,0,IF(WEEKDAY(EK$6,1)=1,EK8*EK9,0)))</f>
        <v>0</v>
      </c>
      <c r="OU12" s="28" t="s">
        <v>59</v>
      </c>
    </row>
    <row r="13" ht="16" customHeight="1" spans="1:411" x14ac:dyDescent="0.25">
      <c r="A13" s="45"/>
      <c r="B13" s="46"/>
      <c r="C13" s="67">
        <f>I7*D13</f>
        <v>15400</v>
      </c>
      <c r="D13" s="67">
        <v>140</v>
      </c>
      <c r="E13" s="68" t="s">
        <v>65</v>
      </c>
      <c r="F13" s="49"/>
      <c r="G13" s="49"/>
      <c r="H13" s="49"/>
      <c r="I13" s="49"/>
      <c r="J13" s="50"/>
      <c r="K13" s="69">
        <v>1</v>
      </c>
      <c r="L13" s="70">
        <v>1</v>
      </c>
      <c r="M13" s="70">
        <v>1</v>
      </c>
      <c r="N13" s="70">
        <v>1</v>
      </c>
      <c r="O13" s="70">
        <v>1</v>
      </c>
      <c r="P13" s="71">
        <v>0</v>
      </c>
      <c r="Q13" s="71">
        <v>0</v>
      </c>
      <c r="R13" s="70">
        <v>1</v>
      </c>
      <c r="S13" s="70">
        <v>1</v>
      </c>
      <c r="T13" s="70">
        <v>1</v>
      </c>
      <c r="U13" s="70">
        <v>1</v>
      </c>
      <c r="V13" s="70">
        <v>1</v>
      </c>
      <c r="W13" s="71">
        <v>0</v>
      </c>
      <c r="X13" s="71">
        <v>0</v>
      </c>
      <c r="Y13" s="70">
        <v>1</v>
      </c>
      <c r="Z13" s="70">
        <v>1</v>
      </c>
      <c r="AA13" s="70">
        <v>1</v>
      </c>
      <c r="AB13" s="70">
        <v>1</v>
      </c>
      <c r="AC13" s="70">
        <v>1</v>
      </c>
      <c r="AD13" s="71">
        <v>0</v>
      </c>
      <c r="AE13" s="71">
        <v>0</v>
      </c>
      <c r="AF13" s="70">
        <v>1</v>
      </c>
      <c r="AG13" s="70">
        <v>1</v>
      </c>
      <c r="AH13" s="70">
        <v>1</v>
      </c>
      <c r="AI13" s="70">
        <v>1</v>
      </c>
      <c r="AJ13" s="70">
        <v>1</v>
      </c>
      <c r="AK13" s="71">
        <v>0</v>
      </c>
      <c r="AL13" s="71">
        <v>0</v>
      </c>
      <c r="AM13" s="70">
        <v>1</v>
      </c>
      <c r="AN13" s="70">
        <v>1</v>
      </c>
      <c r="AO13" s="70">
        <v>1</v>
      </c>
      <c r="AP13" s="70">
        <v>1</v>
      </c>
      <c r="AQ13" s="70">
        <v>1</v>
      </c>
      <c r="AR13" s="71">
        <v>0</v>
      </c>
      <c r="AS13" s="71">
        <v>0</v>
      </c>
      <c r="AT13" s="70">
        <v>1</v>
      </c>
      <c r="AU13" s="70">
        <v>1</v>
      </c>
      <c r="AV13" s="70">
        <v>1</v>
      </c>
      <c r="AW13" s="70">
        <v>1</v>
      </c>
      <c r="AX13" s="70">
        <v>1</v>
      </c>
      <c r="AY13" s="71">
        <v>0</v>
      </c>
      <c r="AZ13" s="71">
        <v>0</v>
      </c>
      <c r="BA13" s="70">
        <v>1</v>
      </c>
      <c r="BB13" s="70">
        <v>1</v>
      </c>
      <c r="BC13" s="70">
        <v>1</v>
      </c>
      <c r="BD13" s="70">
        <v>1</v>
      </c>
      <c r="BE13" s="70">
        <v>1</v>
      </c>
      <c r="BF13" s="71">
        <v>0</v>
      </c>
      <c r="BG13" s="71">
        <v>0</v>
      </c>
      <c r="BH13" s="70">
        <v>1</v>
      </c>
      <c r="BI13" s="70">
        <v>1</v>
      </c>
      <c r="BJ13" s="70">
        <v>1</v>
      </c>
      <c r="BK13" s="70">
        <v>1</v>
      </c>
      <c r="BL13" s="70">
        <v>1</v>
      </c>
      <c r="BM13" s="71">
        <v>1</v>
      </c>
      <c r="BN13" s="71">
        <v>1</v>
      </c>
      <c r="BO13" s="70">
        <v>1</v>
      </c>
      <c r="BP13" s="70">
        <v>1</v>
      </c>
      <c r="BQ13" s="70">
        <v>1</v>
      </c>
      <c r="BR13" s="70">
        <v>1</v>
      </c>
      <c r="BS13" s="70">
        <v>1</v>
      </c>
      <c r="BT13" s="71">
        <v>1</v>
      </c>
      <c r="BU13" s="71">
        <v>1</v>
      </c>
      <c r="BV13" s="70">
        <v>1</v>
      </c>
      <c r="BW13" s="70">
        <v>1</v>
      </c>
      <c r="BX13" s="70">
        <v>1</v>
      </c>
      <c r="BY13" s="70">
        <v>1</v>
      </c>
      <c r="BZ13" s="70">
        <v>1</v>
      </c>
      <c r="CA13" s="71">
        <v>1</v>
      </c>
      <c r="CB13" s="71">
        <v>0</v>
      </c>
      <c r="CC13" s="70">
        <v>1</v>
      </c>
      <c r="CD13" s="70">
        <v>1</v>
      </c>
      <c r="CE13" s="70">
        <v>1</v>
      </c>
      <c r="CF13" s="70">
        <v>1</v>
      </c>
      <c r="CG13" s="70">
        <v>1</v>
      </c>
      <c r="CH13" s="71">
        <v>1</v>
      </c>
      <c r="CI13" s="71">
        <v>1</v>
      </c>
      <c r="CJ13" s="70">
        <v>1</v>
      </c>
      <c r="CK13" s="70">
        <v>1</v>
      </c>
      <c r="CL13" s="70">
        <v>1</v>
      </c>
      <c r="CM13" s="70">
        <v>1</v>
      </c>
      <c r="CN13" s="70">
        <v>1</v>
      </c>
      <c r="CO13" s="71">
        <v>1</v>
      </c>
      <c r="CP13" s="71">
        <v>0</v>
      </c>
      <c r="CQ13" s="70">
        <v>1</v>
      </c>
      <c r="CR13" s="70">
        <v>1</v>
      </c>
      <c r="CS13" s="70">
        <v>1</v>
      </c>
      <c r="CT13" s="70">
        <v>1</v>
      </c>
      <c r="CU13" s="70">
        <v>1</v>
      </c>
      <c r="CV13" s="71">
        <v>1</v>
      </c>
      <c r="CW13" s="71">
        <v>1</v>
      </c>
      <c r="CX13" s="70">
        <v>1</v>
      </c>
      <c r="CY13" s="70">
        <v>1</v>
      </c>
      <c r="CZ13" s="70">
        <v>1</v>
      </c>
      <c r="DA13" s="70">
        <v>1</v>
      </c>
      <c r="DB13" s="70">
        <v>1</v>
      </c>
      <c r="DC13" s="71">
        <v>1</v>
      </c>
      <c r="DD13" s="71">
        <v>1</v>
      </c>
      <c r="DE13" s="70">
        <v>1</v>
      </c>
      <c r="DF13" s="70">
        <v>1</v>
      </c>
      <c r="DG13" s="70">
        <v>1</v>
      </c>
      <c r="DH13" s="70">
        <v>1</v>
      </c>
      <c r="DI13" s="70">
        <v>1</v>
      </c>
      <c r="DJ13" s="71">
        <v>1</v>
      </c>
      <c r="DK13" s="71">
        <v>0</v>
      </c>
      <c r="DL13" s="70">
        <v>1</v>
      </c>
      <c r="DM13" s="70">
        <v>1</v>
      </c>
      <c r="DN13" s="70">
        <v>1</v>
      </c>
      <c r="DO13" s="70">
        <v>1</v>
      </c>
      <c r="DP13" s="70">
        <v>1</v>
      </c>
      <c r="DQ13" s="71">
        <v>1</v>
      </c>
      <c r="DR13" s="71">
        <v>1</v>
      </c>
      <c r="DS13" s="70">
        <v>1</v>
      </c>
      <c r="DT13" s="70">
        <v>1</v>
      </c>
      <c r="DU13" s="70">
        <v>1</v>
      </c>
      <c r="DV13" s="70">
        <v>1</v>
      </c>
      <c r="DW13" s="70">
        <v>1</v>
      </c>
      <c r="DX13" s="71">
        <v>0</v>
      </c>
      <c r="DY13" s="71">
        <v>0</v>
      </c>
      <c r="DZ13" s="70">
        <v>1</v>
      </c>
      <c r="EA13" s="70">
        <v>1</v>
      </c>
      <c r="EB13" s="70">
        <v>1</v>
      </c>
      <c r="EC13" s="70">
        <v>1</v>
      </c>
      <c r="ED13" s="70">
        <v>1</v>
      </c>
      <c r="EE13" s="71">
        <v>0</v>
      </c>
      <c r="EF13" s="71">
        <v>0</v>
      </c>
      <c r="EG13" s="70">
        <v>1</v>
      </c>
      <c r="EH13" s="70">
        <v>1</v>
      </c>
      <c r="EI13" s="70">
        <v>1</v>
      </c>
      <c r="EJ13" s="70">
        <v>1</v>
      </c>
      <c r="EK13" s="72">
        <v>1</v>
      </c>
      <c r="OU13" s="60" t="s">
        <v>59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45" t="s">
        <v>57</v>
      </c>
      <c r="B15" s="46" t="s">
        <v>66</v>
      </c>
      <c r="C15" s="47">
        <f>J15</f>
        <v>178912.28</v>
      </c>
      <c r="D15" s="48"/>
      <c r="E15" s="48"/>
      <c r="F15" s="49">
        <f>SUM(K18:EK18)</f>
        <v>782</v>
      </c>
      <c r="G15" s="49">
        <f>SUM(K19:EK19)</f>
        <v>374</v>
      </c>
      <c r="H15" s="49">
        <f>SUM(K20:EK20)</f>
        <v>78</v>
      </c>
      <c r="I15" s="49">
        <f>SUM(K21:EK21)</f>
        <v>110</v>
      </c>
      <c r="J15" s="50">
        <f>C18+C19+C20</f>
        <v>178912.28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67</v>
      </c>
    </row>
    <row r="16" ht="16" customHeight="1" spans="1:411" x14ac:dyDescent="0.25">
      <c r="A16" s="45"/>
      <c r="B16" s="46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1</v>
      </c>
      <c r="L16" s="57">
        <v>1</v>
      </c>
      <c r="M16" s="57">
        <v>1</v>
      </c>
      <c r="N16" s="57">
        <v>1</v>
      </c>
      <c r="O16" s="57">
        <v>1</v>
      </c>
      <c r="P16" s="58">
        <v>0</v>
      </c>
      <c r="Q16" s="58">
        <v>0</v>
      </c>
      <c r="R16" s="57">
        <v>1</v>
      </c>
      <c r="S16" s="57">
        <v>1</v>
      </c>
      <c r="T16" s="57">
        <v>1</v>
      </c>
      <c r="U16" s="57">
        <v>1</v>
      </c>
      <c r="V16" s="57">
        <v>1</v>
      </c>
      <c r="W16" s="58">
        <v>0</v>
      </c>
      <c r="X16" s="58">
        <v>0</v>
      </c>
      <c r="Y16" s="57">
        <v>1</v>
      </c>
      <c r="Z16" s="57">
        <v>1</v>
      </c>
      <c r="AA16" s="57">
        <v>1</v>
      </c>
      <c r="AB16" s="57">
        <v>1</v>
      </c>
      <c r="AC16" s="57">
        <v>1</v>
      </c>
      <c r="AD16" s="58">
        <v>0</v>
      </c>
      <c r="AE16" s="58">
        <v>0</v>
      </c>
      <c r="AF16" s="57">
        <v>1</v>
      </c>
      <c r="AG16" s="57">
        <v>1</v>
      </c>
      <c r="AH16" s="57">
        <v>1</v>
      </c>
      <c r="AI16" s="57">
        <v>1</v>
      </c>
      <c r="AJ16" s="57">
        <v>1</v>
      </c>
      <c r="AK16" s="58">
        <v>0</v>
      </c>
      <c r="AL16" s="58">
        <v>0</v>
      </c>
      <c r="AM16" s="57">
        <v>1</v>
      </c>
      <c r="AN16" s="57">
        <v>1</v>
      </c>
      <c r="AO16" s="57">
        <v>1</v>
      </c>
      <c r="AP16" s="57">
        <v>1</v>
      </c>
      <c r="AQ16" s="57">
        <v>1</v>
      </c>
      <c r="AR16" s="58">
        <v>0</v>
      </c>
      <c r="AS16" s="58">
        <v>0</v>
      </c>
      <c r="AT16" s="57">
        <v>1</v>
      </c>
      <c r="AU16" s="57">
        <v>1</v>
      </c>
      <c r="AV16" s="57">
        <v>1</v>
      </c>
      <c r="AW16" s="57">
        <v>1</v>
      </c>
      <c r="AX16" s="57">
        <v>1</v>
      </c>
      <c r="AY16" s="58">
        <v>0</v>
      </c>
      <c r="AZ16" s="58">
        <v>0</v>
      </c>
      <c r="BA16" s="57">
        <v>1</v>
      </c>
      <c r="BB16" s="57">
        <v>1</v>
      </c>
      <c r="BC16" s="57">
        <v>1</v>
      </c>
      <c r="BD16" s="57">
        <v>1</v>
      </c>
      <c r="BE16" s="57">
        <v>1</v>
      </c>
      <c r="BF16" s="58">
        <v>0</v>
      </c>
      <c r="BG16" s="58">
        <v>0</v>
      </c>
      <c r="BH16" s="57">
        <v>1</v>
      </c>
      <c r="BI16" s="57">
        <v>1</v>
      </c>
      <c r="BJ16" s="57">
        <v>1</v>
      </c>
      <c r="BK16" s="57">
        <v>1</v>
      </c>
      <c r="BL16" s="57">
        <v>1</v>
      </c>
      <c r="BM16" s="58">
        <v>1</v>
      </c>
      <c r="BN16" s="58">
        <v>1</v>
      </c>
      <c r="BO16" s="57">
        <v>1</v>
      </c>
      <c r="BP16" s="57">
        <v>1</v>
      </c>
      <c r="BQ16" s="57">
        <v>1</v>
      </c>
      <c r="BR16" s="57">
        <v>1</v>
      </c>
      <c r="BS16" s="57">
        <v>1</v>
      </c>
      <c r="BT16" s="58">
        <v>1</v>
      </c>
      <c r="BU16" s="58">
        <v>1</v>
      </c>
      <c r="BV16" s="57">
        <v>1</v>
      </c>
      <c r="BW16" s="57">
        <v>1</v>
      </c>
      <c r="BX16" s="57">
        <v>1</v>
      </c>
      <c r="BY16" s="57">
        <v>1</v>
      </c>
      <c r="BZ16" s="57">
        <v>1</v>
      </c>
      <c r="CA16" s="58">
        <v>1</v>
      </c>
      <c r="CB16" s="58">
        <v>0</v>
      </c>
      <c r="CC16" s="57">
        <v>1</v>
      </c>
      <c r="CD16" s="57">
        <v>1</v>
      </c>
      <c r="CE16" s="57">
        <v>1</v>
      </c>
      <c r="CF16" s="57">
        <v>1</v>
      </c>
      <c r="CG16" s="57">
        <v>1</v>
      </c>
      <c r="CH16" s="58">
        <v>1</v>
      </c>
      <c r="CI16" s="58">
        <v>1</v>
      </c>
      <c r="CJ16" s="57">
        <v>1</v>
      </c>
      <c r="CK16" s="57">
        <v>1</v>
      </c>
      <c r="CL16" s="57">
        <v>1</v>
      </c>
      <c r="CM16" s="57">
        <v>1</v>
      </c>
      <c r="CN16" s="57">
        <v>1</v>
      </c>
      <c r="CO16" s="58">
        <v>1</v>
      </c>
      <c r="CP16" s="58">
        <v>0</v>
      </c>
      <c r="CQ16" s="57">
        <v>1</v>
      </c>
      <c r="CR16" s="57">
        <v>1</v>
      </c>
      <c r="CS16" s="57">
        <v>1</v>
      </c>
      <c r="CT16" s="57">
        <v>1</v>
      </c>
      <c r="CU16" s="57">
        <v>1</v>
      </c>
      <c r="CV16" s="58">
        <v>1</v>
      </c>
      <c r="CW16" s="58">
        <v>1</v>
      </c>
      <c r="CX16" s="57">
        <v>1</v>
      </c>
      <c r="CY16" s="57">
        <v>1</v>
      </c>
      <c r="CZ16" s="57">
        <v>1</v>
      </c>
      <c r="DA16" s="57">
        <v>1</v>
      </c>
      <c r="DB16" s="57">
        <v>1</v>
      </c>
      <c r="DC16" s="58">
        <v>1</v>
      </c>
      <c r="DD16" s="58">
        <v>1</v>
      </c>
      <c r="DE16" s="57">
        <v>1</v>
      </c>
      <c r="DF16" s="57">
        <v>1</v>
      </c>
      <c r="DG16" s="57">
        <v>1</v>
      </c>
      <c r="DH16" s="57">
        <v>1</v>
      </c>
      <c r="DI16" s="57">
        <v>1</v>
      </c>
      <c r="DJ16" s="58">
        <v>1</v>
      </c>
      <c r="DK16" s="58">
        <v>0</v>
      </c>
      <c r="DL16" s="57">
        <v>1</v>
      </c>
      <c r="DM16" s="57">
        <v>1</v>
      </c>
      <c r="DN16" s="57">
        <v>1</v>
      </c>
      <c r="DO16" s="57">
        <v>1</v>
      </c>
      <c r="DP16" s="57">
        <v>1</v>
      </c>
      <c r="DQ16" s="58">
        <v>1</v>
      </c>
      <c r="DR16" s="58">
        <v>1</v>
      </c>
      <c r="DS16" s="57">
        <v>1</v>
      </c>
      <c r="DT16" s="57">
        <v>1</v>
      </c>
      <c r="DU16" s="57">
        <v>1</v>
      </c>
      <c r="DV16" s="57">
        <v>1</v>
      </c>
      <c r="DW16" s="57">
        <v>1</v>
      </c>
      <c r="DX16" s="58">
        <v>0</v>
      </c>
      <c r="DY16" s="58">
        <v>0</v>
      </c>
      <c r="DZ16" s="57">
        <v>1</v>
      </c>
      <c r="EA16" s="57">
        <v>1</v>
      </c>
      <c r="EB16" s="57">
        <v>1</v>
      </c>
      <c r="EC16" s="57">
        <v>1</v>
      </c>
      <c r="ED16" s="57">
        <v>1</v>
      </c>
      <c r="EE16" s="58">
        <v>0</v>
      </c>
      <c r="EF16" s="58">
        <v>0</v>
      </c>
      <c r="EG16" s="57">
        <v>1</v>
      </c>
      <c r="EH16" s="57">
        <v>1</v>
      </c>
      <c r="EI16" s="57">
        <v>1</v>
      </c>
      <c r="EJ16" s="57">
        <v>1</v>
      </c>
      <c r="EK16" s="59">
        <v>1</v>
      </c>
      <c r="OU16" s="60" t="s">
        <v>67</v>
      </c>
    </row>
    <row r="17" ht="16" customHeight="1" spans="1:411" x14ac:dyDescent="0.25">
      <c r="A17" s="45"/>
      <c r="B17" s="46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9</v>
      </c>
      <c r="L17" s="57">
        <v>9</v>
      </c>
      <c r="M17" s="57">
        <v>9</v>
      </c>
      <c r="N17" s="57">
        <v>9</v>
      </c>
      <c r="O17" s="57">
        <v>9</v>
      </c>
      <c r="P17" s="58">
        <v>0</v>
      </c>
      <c r="Q17" s="58">
        <v>0</v>
      </c>
      <c r="R17" s="57">
        <v>9</v>
      </c>
      <c r="S17" s="57">
        <v>9</v>
      </c>
      <c r="T17" s="57">
        <v>9</v>
      </c>
      <c r="U17" s="57">
        <v>9</v>
      </c>
      <c r="V17" s="57">
        <v>9</v>
      </c>
      <c r="W17" s="58">
        <v>0</v>
      </c>
      <c r="X17" s="58">
        <v>0</v>
      </c>
      <c r="Y17" s="57">
        <v>9</v>
      </c>
      <c r="Z17" s="57">
        <v>9</v>
      </c>
      <c r="AA17" s="57">
        <v>9</v>
      </c>
      <c r="AB17" s="57">
        <v>9</v>
      </c>
      <c r="AC17" s="57">
        <v>9</v>
      </c>
      <c r="AD17" s="58">
        <v>0</v>
      </c>
      <c r="AE17" s="58">
        <v>0</v>
      </c>
      <c r="AF17" s="57">
        <v>9</v>
      </c>
      <c r="AG17" s="57">
        <v>9</v>
      </c>
      <c r="AH17" s="57">
        <v>9</v>
      </c>
      <c r="AI17" s="57">
        <v>9</v>
      </c>
      <c r="AJ17" s="57">
        <v>9</v>
      </c>
      <c r="AK17" s="58">
        <v>0</v>
      </c>
      <c r="AL17" s="58">
        <v>0</v>
      </c>
      <c r="AM17" s="57">
        <v>9</v>
      </c>
      <c r="AN17" s="57">
        <v>9</v>
      </c>
      <c r="AO17" s="57">
        <v>9</v>
      </c>
      <c r="AP17" s="57">
        <v>9</v>
      </c>
      <c r="AQ17" s="57">
        <v>9</v>
      </c>
      <c r="AR17" s="58">
        <v>0</v>
      </c>
      <c r="AS17" s="58">
        <v>0</v>
      </c>
      <c r="AT17" s="57">
        <v>9</v>
      </c>
      <c r="AU17" s="57">
        <v>9</v>
      </c>
      <c r="AV17" s="57">
        <v>9</v>
      </c>
      <c r="AW17" s="57">
        <v>9</v>
      </c>
      <c r="AX17" s="57">
        <v>9</v>
      </c>
      <c r="AY17" s="58">
        <v>0</v>
      </c>
      <c r="AZ17" s="58">
        <v>0</v>
      </c>
      <c r="BA17" s="57">
        <v>9</v>
      </c>
      <c r="BB17" s="57">
        <v>9</v>
      </c>
      <c r="BC17" s="57">
        <v>9</v>
      </c>
      <c r="BD17" s="57">
        <v>9</v>
      </c>
      <c r="BE17" s="57">
        <v>9</v>
      </c>
      <c r="BF17" s="58">
        <v>0</v>
      </c>
      <c r="BG17" s="58">
        <v>0</v>
      </c>
      <c r="BH17" s="57">
        <v>13</v>
      </c>
      <c r="BI17" s="57">
        <v>13</v>
      </c>
      <c r="BJ17" s="57">
        <v>13</v>
      </c>
      <c r="BK17" s="57">
        <v>13</v>
      </c>
      <c r="BL17" s="57">
        <v>13</v>
      </c>
      <c r="BM17" s="58">
        <v>13</v>
      </c>
      <c r="BN17" s="58">
        <v>13</v>
      </c>
      <c r="BO17" s="57">
        <v>13</v>
      </c>
      <c r="BP17" s="57">
        <v>13</v>
      </c>
      <c r="BQ17" s="57">
        <v>13</v>
      </c>
      <c r="BR17" s="57">
        <v>13</v>
      </c>
      <c r="BS17" s="57">
        <v>13</v>
      </c>
      <c r="BT17" s="58">
        <v>13</v>
      </c>
      <c r="BU17" s="58">
        <v>13</v>
      </c>
      <c r="BV17" s="57">
        <v>13</v>
      </c>
      <c r="BW17" s="57">
        <v>13</v>
      </c>
      <c r="BX17" s="57">
        <v>13</v>
      </c>
      <c r="BY17" s="57">
        <v>13</v>
      </c>
      <c r="BZ17" s="57">
        <v>13</v>
      </c>
      <c r="CA17" s="58">
        <v>13</v>
      </c>
      <c r="CB17" s="58">
        <v>0</v>
      </c>
      <c r="CC17" s="57">
        <v>13</v>
      </c>
      <c r="CD17" s="57">
        <v>13</v>
      </c>
      <c r="CE17" s="57">
        <v>13</v>
      </c>
      <c r="CF17" s="57">
        <v>13</v>
      </c>
      <c r="CG17" s="57">
        <v>13</v>
      </c>
      <c r="CH17" s="58">
        <v>13</v>
      </c>
      <c r="CI17" s="58">
        <v>13</v>
      </c>
      <c r="CJ17" s="57">
        <v>13</v>
      </c>
      <c r="CK17" s="57">
        <v>13</v>
      </c>
      <c r="CL17" s="57">
        <v>13</v>
      </c>
      <c r="CM17" s="57">
        <v>13</v>
      </c>
      <c r="CN17" s="57">
        <v>13</v>
      </c>
      <c r="CO17" s="58">
        <v>13</v>
      </c>
      <c r="CP17" s="58">
        <v>0</v>
      </c>
      <c r="CQ17" s="57">
        <v>13</v>
      </c>
      <c r="CR17" s="57">
        <v>13</v>
      </c>
      <c r="CS17" s="57">
        <v>13</v>
      </c>
      <c r="CT17" s="57">
        <v>13</v>
      </c>
      <c r="CU17" s="57">
        <v>13</v>
      </c>
      <c r="CV17" s="58">
        <v>13</v>
      </c>
      <c r="CW17" s="58">
        <v>13</v>
      </c>
      <c r="CX17" s="57">
        <v>13</v>
      </c>
      <c r="CY17" s="57">
        <v>13</v>
      </c>
      <c r="CZ17" s="57">
        <v>13</v>
      </c>
      <c r="DA17" s="57">
        <v>13</v>
      </c>
      <c r="DB17" s="57">
        <v>13</v>
      </c>
      <c r="DC17" s="58">
        <v>13</v>
      </c>
      <c r="DD17" s="58">
        <v>13</v>
      </c>
      <c r="DE17" s="57">
        <v>13</v>
      </c>
      <c r="DF17" s="57">
        <v>13</v>
      </c>
      <c r="DG17" s="57">
        <v>13</v>
      </c>
      <c r="DH17" s="57">
        <v>13</v>
      </c>
      <c r="DI17" s="57">
        <v>13</v>
      </c>
      <c r="DJ17" s="58">
        <v>13</v>
      </c>
      <c r="DK17" s="58">
        <v>0</v>
      </c>
      <c r="DL17" s="57">
        <v>13</v>
      </c>
      <c r="DM17" s="57">
        <v>13</v>
      </c>
      <c r="DN17" s="57">
        <v>13</v>
      </c>
      <c r="DO17" s="57">
        <v>13</v>
      </c>
      <c r="DP17" s="57">
        <v>13</v>
      </c>
      <c r="DQ17" s="58">
        <v>13</v>
      </c>
      <c r="DR17" s="58">
        <v>13</v>
      </c>
      <c r="DS17" s="57">
        <v>13</v>
      </c>
      <c r="DT17" s="57">
        <v>9</v>
      </c>
      <c r="DU17" s="57">
        <v>9</v>
      </c>
      <c r="DV17" s="57">
        <v>9</v>
      </c>
      <c r="DW17" s="57">
        <v>9</v>
      </c>
      <c r="DX17" s="58">
        <v>0</v>
      </c>
      <c r="DY17" s="58">
        <v>0</v>
      </c>
      <c r="DZ17" s="57">
        <v>9</v>
      </c>
      <c r="EA17" s="57">
        <v>9</v>
      </c>
      <c r="EB17" s="57">
        <v>9</v>
      </c>
      <c r="EC17" s="57">
        <v>9</v>
      </c>
      <c r="ED17" s="57">
        <v>9</v>
      </c>
      <c r="EE17" s="58">
        <v>0</v>
      </c>
      <c r="EF17" s="58">
        <v>0</v>
      </c>
      <c r="EG17" s="57">
        <v>9</v>
      </c>
      <c r="EH17" s="57">
        <v>9</v>
      </c>
      <c r="EI17" s="57">
        <v>9</v>
      </c>
      <c r="EJ17" s="57">
        <v>9</v>
      </c>
      <c r="EK17" s="59">
        <v>9</v>
      </c>
      <c r="OU17" s="60" t="s">
        <v>67</v>
      </c>
    </row>
    <row r="18" ht="16" customHeight="1" spans="1:411" x14ac:dyDescent="0.25">
      <c r="A18" s="45"/>
      <c r="B18" s="46"/>
      <c r="C18" s="61">
        <f>F15*N(D18)</f>
        <v>96537.90000000001</v>
      </c>
      <c r="D18" s="61">
        <f>IF(TRIM(B15)="","No rate",IFERROR(INDEX('Rate Tables'!C$7:C$158,MATCH(B15,'Rate Tables'!A$7:A$158,0)),"No rate"))</f>
        <v>123.45</v>
      </c>
      <c r="E18" s="55" t="s">
        <v>62</v>
      </c>
      <c r="F18" s="49"/>
      <c r="G18" s="49"/>
      <c r="H18" s="49"/>
      <c r="I18" s="49"/>
      <c r="J18" s="50"/>
      <c r="K18" s="62">
        <f>IF(AND(K16=1,K17=9),8,MIN(IF(K16&lt;=0,0,IF(WEEKDAY(K$6,1)=1,0,MIN(8,K17)*K16)),MAX(0,40*MAX(1,K16)-(0))))</f>
        <v>8</v>
      </c>
      <c r="L18" s="63">
        <f>IF(AND(L16=1,L17=9),8,MIN(IF(L16&lt;=0,0,IF(WEEKDAY(L$6,1)=1,0,MIN(8,L17)*L16)),MAX(0,40*MAX(1,L16)-(K18))))</f>
        <v>8</v>
      </c>
      <c r="M18" s="63">
        <f>IF(AND(M16=1,M17=9),8,MIN(IF(M16&lt;=0,0,IF(WEEKDAY(M$6,1)=1,0,MIN(8,M17)*M16)),MAX(0,40*MAX(1,M16)-(K18+L18))))</f>
        <v>8</v>
      </c>
      <c r="N18" s="63">
        <f>IF(AND(N16=1,N17=9),8,MIN(IF(N16&lt;=0,0,IF(WEEKDAY(N$6,1)=1,0,MIN(8,N17)*N16)),MAX(0,40*MAX(1,N16)-(K18+L18+M18))))</f>
        <v>8</v>
      </c>
      <c r="O18" s="63">
        <f>IF(AND(O16=1,O17=9),8,MIN(IF(O16&lt;=0,0,IF(WEEKDAY(O$6,1)=1,0,MIN(8,O17)*O16)),MAX(0,40*MAX(1,O16)-(K18+L18+M18+N18))))</f>
        <v>8</v>
      </c>
      <c r="P18" s="64">
        <f>IF(AND(P16=0,P17=0),0,MIN(IF(P16&lt;=0,0,IF(WEEKDAY(P$6,1)=1,0,MIN(10,P17)*P16)),MAX(0,40*MAX(1,P16)-(0))))</f>
        <v>0</v>
      </c>
      <c r="Q18" s="64">
        <f>IF(AND(Q16=0,Q17=0),0,MIN(IF(Q16&lt;=0,0,IF(WEEKDAY(Q$6,1)=1,0,MIN(10,Q17)*Q16)),MAX(0,40*MAX(1,Q16)-(P18))))</f>
        <v>0</v>
      </c>
      <c r="R18" s="63">
        <f>IF(AND(R16=1,R17=9),8,MIN(IF(R16&lt;=0,0,IF(WEEKDAY(R$6,1)=1,0,MIN(8,R17)*R16)),MAX(0,40*MAX(1,R16)-(0))))</f>
        <v>8</v>
      </c>
      <c r="S18" s="63">
        <f>IF(AND(S16=1,S17=9),8,MIN(IF(S16&lt;=0,0,IF(WEEKDAY(S$6,1)=1,0,MIN(8,S17)*S16)),MAX(0,40*MAX(1,S16)-(R18))))</f>
        <v>8</v>
      </c>
      <c r="T18" s="63">
        <f>IF(AND(T16=1,T17=9),8,MIN(IF(T16&lt;=0,0,IF(WEEKDAY(T$6,1)=1,0,MIN(8,T17)*T16)),MAX(0,40*MAX(1,T16)-(R18+S18))))</f>
        <v>8</v>
      </c>
      <c r="U18" s="63">
        <f>IF(AND(U16=1,U17=9),8,MIN(IF(U16&lt;=0,0,IF(WEEKDAY(U$6,1)=1,0,MIN(8,U17)*U16)),MAX(0,40*MAX(1,U16)-(R18+S18+T18))))</f>
        <v>8</v>
      </c>
      <c r="V18" s="63">
        <f>IF(AND(V16=1,V17=9),8,MIN(IF(V16&lt;=0,0,IF(WEEKDAY(V$6,1)=1,0,MIN(8,V17)*V16)),MAX(0,40*MAX(1,V16)-(R18+S18+T18+U18))))</f>
        <v>8</v>
      </c>
      <c r="W18" s="64">
        <f>IF(AND(W16=0,W17=0),0,MIN(IF(W16&lt;=0,0,IF(WEEKDAY(W$6,1)=1,0,MIN(10,W17)*W16)),MAX(0,40*MAX(1,W16)-(0))))</f>
        <v>0</v>
      </c>
      <c r="X18" s="64">
        <f>IF(AND(X16=0,X17=0),0,MIN(IF(X16&lt;=0,0,IF(WEEKDAY(X$6,1)=1,0,MIN(10,X17)*X16)),MAX(0,40*MAX(1,X16)-(W18))))</f>
        <v>0</v>
      </c>
      <c r="Y18" s="63">
        <f>IF(AND(Y16=1,Y17=9),8,MIN(IF(Y16&lt;=0,0,IF(WEEKDAY(Y$6,1)=1,0,MIN(8,Y17)*Y16)),MAX(0,40*MAX(1,Y16)-(0))))</f>
        <v>8</v>
      </c>
      <c r="Z18" s="63">
        <f>IF(AND(Z16=1,Z17=9),8,MIN(IF(Z16&lt;=0,0,IF(WEEKDAY(Z$6,1)=1,0,MIN(8,Z17)*Z16)),MAX(0,40*MAX(1,Z16)-(Y18))))</f>
        <v>8</v>
      </c>
      <c r="AA18" s="63">
        <f>IF(AND(AA16=1,AA17=9),8,MIN(IF(AA16&lt;=0,0,IF(WEEKDAY(AA$6,1)=1,0,MIN(8,AA17)*AA16)),MAX(0,40*MAX(1,AA16)-(Y18+Z18))))</f>
        <v>8</v>
      </c>
      <c r="AB18" s="63">
        <f>IF(AND(AB16=1,AB17=9),8,MIN(IF(AB16&lt;=0,0,IF(WEEKDAY(AB$6,1)=1,0,MIN(8,AB17)*AB16)),MAX(0,40*MAX(1,AB16)-(Y18+Z18+AA18))))</f>
        <v>8</v>
      </c>
      <c r="AC18" s="63">
        <f>IF(AND(AC16=1,AC17=9),8,MIN(IF(AC16&lt;=0,0,IF(WEEKDAY(AC$6,1)=1,0,MIN(8,AC17)*AC16)),MAX(0,40*MAX(1,AC16)-(Y18+Z18+AA18+AB18))))</f>
        <v>8</v>
      </c>
      <c r="AD18" s="64">
        <f>IF(AND(AD16=0,AD17=0),0,MIN(IF(AD16&lt;=0,0,IF(WEEKDAY(AD$6,1)=1,0,MIN(10,AD17)*AD16)),MAX(0,40*MAX(1,AD16)-(0))))</f>
        <v>0</v>
      </c>
      <c r="AE18" s="64">
        <f>IF(AND(AE16=0,AE17=0),0,MIN(IF(AE16&lt;=0,0,IF(WEEKDAY(AE$6,1)=1,0,MIN(10,AE17)*AE16)),MAX(0,40*MAX(1,AE16)-(AD18))))</f>
        <v>0</v>
      </c>
      <c r="AF18" s="63">
        <f>IF(AND(AF16=1,AF17=9),8,MIN(IF(AF16&lt;=0,0,IF(WEEKDAY(AF$6,1)=1,0,MIN(8,AF17)*AF16)),MAX(0,40*MAX(1,AF16)-(0))))</f>
        <v>8</v>
      </c>
      <c r="AG18" s="63">
        <f>IF(AND(AG16=1,AG17=9),8,MIN(IF(AG16&lt;=0,0,IF(WEEKDAY(AG$6,1)=1,0,MIN(8,AG17)*AG16)),MAX(0,40*MAX(1,AG16)-(AF18))))</f>
        <v>8</v>
      </c>
      <c r="AH18" s="63">
        <f>IF(AND(AH16=1,AH17=9),8,MIN(IF(AH16&lt;=0,0,IF(WEEKDAY(AH$6,1)=1,0,MIN(8,AH17)*AH16)),MAX(0,40*MAX(1,AH16)-(AF18+AG18))))</f>
        <v>8</v>
      </c>
      <c r="AI18" s="63">
        <f>IF(AND(AI16=1,AI17=9),8,MIN(IF(AI16&lt;=0,0,IF(WEEKDAY(AI$6,1)=1,0,MIN(8,AI17)*AI16)),MAX(0,40*MAX(1,AI16)-(AF18+AG18+AH18))))</f>
        <v>8</v>
      </c>
      <c r="AJ18" s="63">
        <f>IF(AND(AJ16=1,AJ17=9),8,MIN(IF(AJ16&lt;=0,0,IF(WEEKDAY(AJ$6,1)=1,0,MIN(8,AJ17)*AJ16)),MAX(0,40*MAX(1,AJ16)-(AF18+AG18+AH18+AI18))))</f>
        <v>8</v>
      </c>
      <c r="AK18" s="64">
        <f>IF(AND(AK16=0,AK17=0),0,MIN(IF(AK16&lt;=0,0,IF(WEEKDAY(AK$6,1)=1,0,MIN(10,AK17)*AK16)),MAX(0,40*MAX(1,AK16)-(0))))</f>
        <v>0</v>
      </c>
      <c r="AL18" s="64">
        <f>IF(AND(AL16=0,AL17=0),0,MIN(IF(AL16&lt;=0,0,IF(WEEKDAY(AL$6,1)=1,0,MIN(10,AL17)*AL16)),MAX(0,40*MAX(1,AL16)-(AK18))))</f>
        <v>0</v>
      </c>
      <c r="AM18" s="63">
        <f>IF(AND(AM16=1,AM17=9),8,MIN(IF(AM16&lt;=0,0,IF(WEEKDAY(AM$6,1)=1,0,MIN(8,AM17)*AM16)),MAX(0,40*MAX(1,AM16)-(0))))</f>
        <v>8</v>
      </c>
      <c r="AN18" s="63">
        <f>IF(AND(AN16=1,AN17=9),8,MIN(IF(AN16&lt;=0,0,IF(WEEKDAY(AN$6,1)=1,0,MIN(8,AN17)*AN16)),MAX(0,40*MAX(1,AN16)-(AM18))))</f>
        <v>8</v>
      </c>
      <c r="AO18" s="63">
        <f>IF(AND(AO16=1,AO17=9),8,MIN(IF(AO16&lt;=0,0,IF(WEEKDAY(AO$6,1)=1,0,MIN(8,AO17)*AO16)),MAX(0,40*MAX(1,AO16)-(AM18+AN18))))</f>
        <v>8</v>
      </c>
      <c r="AP18" s="63">
        <f>IF(AND(AP16=1,AP17=9),8,MIN(IF(AP16&lt;=0,0,IF(WEEKDAY(AP$6,1)=1,0,MIN(8,AP17)*AP16)),MAX(0,40*MAX(1,AP16)-(AM18+AN18+AO18))))</f>
        <v>8</v>
      </c>
      <c r="AQ18" s="63">
        <f>IF(AND(AQ16=1,AQ17=9),8,MIN(IF(AQ16&lt;=0,0,IF(WEEKDAY(AQ$6,1)=1,0,MIN(8,AQ17)*AQ16)),MAX(0,40*MAX(1,AQ16)-(AM18+AN18+AO18+AP18))))</f>
        <v>8</v>
      </c>
      <c r="AR18" s="64">
        <f>IF(AND(AR16=0,AR17=0),0,MIN(IF(AR16&lt;=0,0,IF(WEEKDAY(AR$6,1)=1,0,MIN(10,AR17)*AR16)),MAX(0,40*MAX(1,AR16)-(0))))</f>
        <v>0</v>
      </c>
      <c r="AS18" s="64">
        <f>IF(AND(AS16=0,AS17=0),0,MIN(IF(AS16&lt;=0,0,IF(WEEKDAY(AS$6,1)=1,0,MIN(10,AS17)*AS16)),MAX(0,40*MAX(1,AS16)-(AR18))))</f>
        <v>0</v>
      </c>
      <c r="AT18" s="63">
        <f>IF(AND(AT16=1,AT17=9),8,MIN(IF(AT16&lt;=0,0,IF(WEEKDAY(AT$6,1)=1,0,MIN(8,AT17)*AT16)),MAX(0,40*MAX(1,AT16)-(0))))</f>
        <v>8</v>
      </c>
      <c r="AU18" s="63">
        <f>IF(AND(AU16=1,AU17=9),8,MIN(IF(AU16&lt;=0,0,IF(WEEKDAY(AU$6,1)=1,0,MIN(8,AU17)*AU16)),MAX(0,40*MAX(1,AU16)-(AT18))))</f>
        <v>8</v>
      </c>
      <c r="AV18" s="63">
        <f>IF(AND(AV16=1,AV17=9),8,MIN(IF(AV16&lt;=0,0,IF(WEEKDAY(AV$6,1)=1,0,MIN(8,AV17)*AV16)),MAX(0,40*MAX(1,AV16)-(AT18+AU18))))</f>
        <v>8</v>
      </c>
      <c r="AW18" s="63">
        <f>IF(AND(AW16=1,AW17=9),8,MIN(IF(AW16&lt;=0,0,IF(WEEKDAY(AW$6,1)=1,0,MIN(8,AW17)*AW16)),MAX(0,40*MAX(1,AW16)-(AT18+AU18+AV18))))</f>
        <v>8</v>
      </c>
      <c r="AX18" s="63">
        <f>IF(AND(AX16=1,AX17=9),8,MIN(IF(AX16&lt;=0,0,IF(WEEKDAY(AX$6,1)=1,0,MIN(8,AX17)*AX16)),MAX(0,40*MAX(1,AX16)-(AT18+AU18+AV18+AW18))))</f>
        <v>8</v>
      </c>
      <c r="AY18" s="64">
        <f>IF(AND(AY16=0,AY17=0),0,MIN(IF(AY16&lt;=0,0,IF(WEEKDAY(AY$6,1)=1,0,MIN(10,AY17)*AY16)),MAX(0,40*MAX(1,AY16)-(0))))</f>
        <v>0</v>
      </c>
      <c r="AZ18" s="64">
        <f>IF(AND(AZ16=0,AZ17=0),0,MIN(IF(AZ16&lt;=0,0,IF(WEEKDAY(AZ$6,1)=1,0,MIN(10,AZ17)*AZ16)),MAX(0,40*MAX(1,AZ16)-(AY18))))</f>
        <v>0</v>
      </c>
      <c r="BA18" s="63">
        <f>IF(AND(BA16=1,BA17=9),8,MIN(IF(BA16&lt;=0,0,IF(WEEKDAY(BA$6,1)=1,0,MIN(8,BA17)*BA16)),MAX(0,40*MAX(1,BA16)-(0))))</f>
        <v>8</v>
      </c>
      <c r="BB18" s="63">
        <f>IF(AND(BB16=1,BB17=9),8,MIN(IF(BB16&lt;=0,0,IF(WEEKDAY(BB$6,1)=1,0,MIN(8,BB17)*BB16)),MAX(0,40*MAX(1,BB16)-(BA18))))</f>
        <v>8</v>
      </c>
      <c r="BC18" s="63">
        <f>IF(AND(BC16=1,BC17=9),8,MIN(IF(BC16&lt;=0,0,IF(WEEKDAY(BC$6,1)=1,0,MIN(8,BC17)*BC16)),MAX(0,40*MAX(1,BC16)-(BA18+BB18))))</f>
        <v>8</v>
      </c>
      <c r="BD18" s="63">
        <f>IF(AND(BD16=1,BD17=9),8,MIN(IF(BD16&lt;=0,0,IF(WEEKDAY(BD$6,1)=1,0,MIN(8,BD17)*BD16)),MAX(0,40*MAX(1,BD16)-(BA18+BB18+BC18))))</f>
        <v>8</v>
      </c>
      <c r="BE18" s="63">
        <f>IF(AND(BE16=1,BE17=9),8,MIN(IF(BE16&lt;=0,0,IF(WEEKDAY(BE$6,1)=1,0,MIN(8,BE17)*BE16)),MAX(0,40*MAX(1,BE16)-(BA18+BB18+BC18+BD18))))</f>
        <v>8</v>
      </c>
      <c r="BF18" s="64">
        <f>IF(AND(BF16=0,BF17=0),0,MIN(IF(BF16&lt;=0,0,IF(WEEKDAY(BF$6,1)=1,0,MIN(10,BF17)*BF16)),MAX(0,40*MAX(1,BF16)-(0))))</f>
        <v>0</v>
      </c>
      <c r="BG18" s="64">
        <f>IF(AND(BG16=0,BG17=0),0,MIN(IF(BG16&lt;=0,0,IF(WEEKDAY(BG$6,1)=1,0,MIN(10,BG17)*BG16)),MAX(0,40*MAX(1,BG16)-(BF18))))</f>
        <v>0</v>
      </c>
      <c r="BH18" s="63">
        <f>IF(AND(BH16=1,BH17=13),10,MIN(IF(BH16&lt;=0,0,IF(WEEKDAY(BH$6,1)=1,0,MIN(10,BH17)*BH16)),MAX(0,40*MAX(1,BH16)-(0))))</f>
        <v>10</v>
      </c>
      <c r="BI18" s="63">
        <f>IF(AND(BI16=1,BI17=13),10,MIN(IF(BI16&lt;=0,0,IF(WEEKDAY(BI$6,1)=1,0,MIN(10,BI17)*BI16)),MAX(0,40*MAX(1,BI16)-(BH18))))</f>
        <v>10</v>
      </c>
      <c r="BJ18" s="63">
        <f>IF(AND(BJ16=1,BJ17=13),10,MIN(IF(BJ16&lt;=0,0,IF(WEEKDAY(BJ$6,1)=1,0,MIN(10,BJ17)*BJ16)),MAX(0,40*MAX(1,BJ16)-(BH18+BI18))))</f>
        <v>10</v>
      </c>
      <c r="BK18" s="63">
        <f>IF(AND(BK16=1,BK17=13),10,MIN(IF(BK16&lt;=0,0,IF(WEEKDAY(BK$6,1)=1,0,MIN(10,BK17)*BK16)),MAX(0,40*MAX(1,BK16)-(BH18+BI18+BJ18))))</f>
        <v>10</v>
      </c>
      <c r="BL18" s="63">
        <f>IF(AND(BL16=1,BL17=13),0,MIN(IF(BL16&lt;=0,0,IF(WEEKDAY(BL$6,1)=1,0,MIN(10,BL17)*BL16)),MAX(0,40*MAX(1,BL16)-(BH18+BI18+BJ18+BK18))))</f>
        <v>0</v>
      </c>
      <c r="BM18" s="64">
        <f>IF(AND(BM16=1,BM17=13),0,MIN(IF(BM16&lt;=0,0,IF(WEEKDAY(BM$6,1)=1,0,MIN(10,BM17)*BM16)),MAX(0,40*MAX(1,BM16)-(BH18+BI18+BJ18+BK18+BL18))))</f>
        <v>0</v>
      </c>
      <c r="BN18" s="64">
        <f>IF(AND(BN16=1,BN17=13),0,MIN(IF(BN16&lt;=0,0,IF(WEEKDAY(BN$6,1)=1,0,MIN(10,BN17)*BN16)),MAX(0,40*MAX(1,BN16)-(BH18+BI18+BJ18+BK18+BL18+BM18))))</f>
        <v>0</v>
      </c>
      <c r="BO18" s="63">
        <f>IF(AND(BO16=1,BO17=13),10,MIN(IF(BO16&lt;=0,0,IF(WEEKDAY(BO$6,1)=1,0,MIN(10,BO17)*BO16)),MAX(0,40*MAX(1,BO16)-(0))))</f>
        <v>10</v>
      </c>
      <c r="BP18" s="63">
        <f>IF(AND(BP16=1,BP17=13),10,MIN(IF(BP16&lt;=0,0,IF(WEEKDAY(BP$6,1)=1,0,MIN(10,BP17)*BP16)),MAX(0,40*MAX(1,BP16)-(BO18))))</f>
        <v>10</v>
      </c>
      <c r="BQ18" s="63">
        <f>IF(AND(BQ16=1,BQ17=13),10,MIN(IF(BQ16&lt;=0,0,IF(WEEKDAY(BQ$6,1)=1,0,MIN(10,BQ17)*BQ16)),MAX(0,40*MAX(1,BQ16)-(BO18+BP18))))</f>
        <v>10</v>
      </c>
      <c r="BR18" s="63">
        <f>IF(AND(BR16=1,BR17=13),10,MIN(IF(BR16&lt;=0,0,IF(WEEKDAY(BR$6,1)=1,0,MIN(10,BR17)*BR16)),MAX(0,40*MAX(1,BR16)-(0))))</f>
        <v>10</v>
      </c>
      <c r="BS18" s="63">
        <f>IF(AND(BS16=1,BS17=13),10,MIN(IF(BS16&lt;=0,0,IF(WEEKDAY(BS$6,1)=1,0,MIN(10,BS17)*BS16)),MAX(0,40*MAX(1,BS16)-(BR18))))</f>
        <v>10</v>
      </c>
      <c r="BT18" s="64">
        <f>IF(AND(BT16=1,BT17=13),10,MIN(IF(BT16&lt;=0,0,IF(WEEKDAY(BT$6,1)=1,0,MIN(10,BT17)*BT16)),MAX(0,40*MAX(1,BT16)-(BR18+BS18))))</f>
        <v>10</v>
      </c>
      <c r="BU18" s="64">
        <f>IF(AND(BU16=1,BU17=13),0,MIN(IF(BU16&lt;=0,0,IF(WEEKDAY(BU$6,1)=1,0,MIN(10,BU17)*BU16)),MAX(0,40*MAX(1,BU16)-(BR18+BS18+BT18))))</f>
        <v>0</v>
      </c>
      <c r="BV18" s="63">
        <f>IF(AND(BV16=1,BV17=13),10,MIN(IF(BV16&lt;=0,0,IF(WEEKDAY(BV$6,1)=1,0,MIN(10,BV17)*BV16)),MAX(0,40*MAX(1,BV16)-(0))))</f>
        <v>10</v>
      </c>
      <c r="BW18" s="63">
        <f>IF(AND(BW16=1,BW17=13),10,MIN(IF(BW16&lt;=0,0,IF(WEEKDAY(BW$6,1)=1,0,MIN(10,BW17)*BW16)),MAX(0,40*MAX(1,BW16)-(BV18))))</f>
        <v>10</v>
      </c>
      <c r="BX18" s="63">
        <f>IF(AND(BX16=1,BX17=13),10,MIN(IF(BX16&lt;=0,0,IF(WEEKDAY(BX$6,1)=1,0,MIN(10,BX17)*BX16)),MAX(0,40*MAX(1,BX16)-(BV18+BW18))))</f>
        <v>10</v>
      </c>
      <c r="BY18" s="63">
        <f>IF(AND(BY16=1,BY17=13),10,MIN(IF(BY16&lt;=0,0,IF(WEEKDAY(BY$6,1)=1,0,MIN(10,BY17)*BY16)),MAX(0,40*MAX(1,BY16)-(BV18+BW18+BX18))))</f>
        <v>10</v>
      </c>
      <c r="BZ18" s="63">
        <f>IF(AND(BZ16=1,BZ17=13),0,MIN(IF(BZ16&lt;=0,0,IF(WEEKDAY(BZ$6,1)=1,0,MIN(10,BZ17)*BZ16)),MAX(0,40*MAX(1,BZ16)-(BV18+BW18+BX18+BY18))))</f>
        <v>0</v>
      </c>
      <c r="CA18" s="64">
        <f>IF(AND(CA16=1,CA17=13),0,MIN(IF(CA16&lt;=0,0,IF(WEEKDAY(CA$6,1)=1,0,MIN(10,CA17)*CA16)),MAX(0,40*MAX(1,CA16)-(BV18+BW18+BX18+BY18+BZ18))))</f>
        <v>0</v>
      </c>
      <c r="CB18" s="64">
        <f>IF(AND(CB16=0,CB17=0),0,MIN(IF(CB16&lt;=0,0,IF(WEEKDAY(CB$6,1)=1,0,MIN(10,CB17)*CB16)),MAX(0,40*MAX(1,CB16)-(0))))</f>
        <v>0</v>
      </c>
      <c r="CC18" s="63">
        <f>IF(AND(CC16=1,CC17=13),10,MIN(IF(CC16&lt;=0,0,IF(WEEKDAY(CC$6,1)=1,0,MIN(10,CC17)*CC16)),MAX(0,40*MAX(1,CC16)-(0))))</f>
        <v>10</v>
      </c>
      <c r="CD18" s="63">
        <f>IF(AND(CD16=1,CD17=13),10,MIN(IF(CD16&lt;=0,0,IF(WEEKDAY(CD$6,1)=1,0,MIN(10,CD17)*CD16)),MAX(0,40*MAX(1,CD16)-(CC18))))</f>
        <v>10</v>
      </c>
      <c r="CE18" s="63">
        <f>IF(AND(CE16=1,CE17=13),10,MIN(IF(CE16&lt;=0,0,IF(WEEKDAY(CE$6,1)=1,0,MIN(10,CE17)*CE16)),MAX(0,40*MAX(1,CE16)-(CC18+CD18))))</f>
        <v>10</v>
      </c>
      <c r="CF18" s="63">
        <f>IF(AND(CF16=1,CF17=13),10,MIN(IF(CF16&lt;=0,0,IF(WEEKDAY(CF$6,1)=1,0,MIN(10,CF17)*CF16)),MAX(0,40*MAX(1,CF16)-(CC18+CD18+CE18))))</f>
        <v>10</v>
      </c>
      <c r="CG18" s="63">
        <f>IF(AND(CG16=1,CG17=13),0,MIN(IF(CG16&lt;=0,0,IF(WEEKDAY(CG$6,1)=1,0,MIN(10,CG17)*CG16)),MAX(0,40*MAX(1,CG16)-(CC18+CD18+CE18+CF18))))</f>
        <v>0</v>
      </c>
      <c r="CH18" s="64">
        <f>IF(AND(CH16=1,CH17=13),0,MIN(IF(CH16&lt;=0,0,IF(WEEKDAY(CH$6,1)=1,0,MIN(10,CH17)*CH16)),MAX(0,40*MAX(1,CH16)-(CC18+CD18+CE18+CF18+CG18))))</f>
        <v>0</v>
      </c>
      <c r="CI18" s="64">
        <f>IF(AND(CI16=1,CI17=13),0,MIN(IF(CI16&lt;=0,0,IF(WEEKDAY(CI$6,1)=1,0,MIN(10,CI17)*CI16)),MAX(0,40*MAX(1,CI16)-(CC18+CD18+CE18+CF18+CG18+CH18))))</f>
        <v>0</v>
      </c>
      <c r="CJ18" s="63">
        <f>IF(AND(CJ16=1,CJ17=13),10,MIN(IF(CJ16&lt;=0,0,IF(WEEKDAY(CJ$6,1)=1,0,MIN(10,CJ17)*CJ16)),MAX(0,40*MAX(1,CJ16)-(0))))</f>
        <v>10</v>
      </c>
      <c r="CK18" s="63">
        <f>IF(AND(CK16=1,CK17=13),10,MIN(IF(CK16&lt;=0,0,IF(WEEKDAY(CK$6,1)=1,0,MIN(10,CK17)*CK16)),MAX(0,40*MAX(1,CK16)-(CJ18))))</f>
        <v>10</v>
      </c>
      <c r="CL18" s="63">
        <f>IF(AND(CL16=1,CL17=13),10,MIN(IF(CL16&lt;=0,0,IF(WEEKDAY(CL$6,1)=1,0,MIN(10,CL17)*CL16)),MAX(0,40*MAX(1,CL16)-(CJ18+CK18))))</f>
        <v>10</v>
      </c>
      <c r="CM18" s="63">
        <f>IF(AND(CM16=1,CM17=13),10,MIN(IF(CM16&lt;=0,0,IF(WEEKDAY(CM$6,1)=1,0,MIN(10,CM17)*CM16)),MAX(0,40*MAX(1,CM16)-(CJ18+CK18+CL18))))</f>
        <v>10</v>
      </c>
      <c r="CN18" s="63">
        <f>IF(AND(CN16=1,CN17=13),0,MIN(IF(CN16&lt;=0,0,IF(WEEKDAY(CN$6,1)=1,0,MIN(10,CN17)*CN16)),MAX(0,40*MAX(1,CN16)-(CJ18+CK18+CL18+CM18))))</f>
        <v>0</v>
      </c>
      <c r="CO18" s="64">
        <f>IF(AND(CO16=1,CO17=13),0,MIN(IF(CO16&lt;=0,0,IF(WEEKDAY(CO$6,1)=1,0,MIN(10,CO17)*CO16)),MAX(0,40*MAX(1,CO16)-(CJ18+CK18+CL18+CM18+CN18))))</f>
        <v>0</v>
      </c>
      <c r="CP18" s="64">
        <f>IF(AND(CP16=0,CP17=0),0,MIN(IF(CP16&lt;=0,0,IF(WEEKDAY(CP$6,1)=1,0,MIN(10,CP17)*CP16)),MAX(0,40*MAX(1,CP16)-(0))))</f>
        <v>0</v>
      </c>
      <c r="CQ18" s="63">
        <f>IF(AND(CQ16=1,CQ17=13),10,MIN(IF(CQ16&lt;=0,0,IF(WEEKDAY(CQ$6,1)=1,0,MIN(10,CQ17)*CQ16)),MAX(0,40*MAX(1,CQ16)-(0))))</f>
        <v>10</v>
      </c>
      <c r="CR18" s="63">
        <f>IF(AND(CR16=1,CR17=13),10,MIN(IF(CR16&lt;=0,0,IF(WEEKDAY(CR$6,1)=1,0,MIN(10,CR17)*CR16)),MAX(0,40*MAX(1,CR16)-(CQ18))))</f>
        <v>10</v>
      </c>
      <c r="CS18" s="63">
        <f>IF(AND(CS16=1,CS17=13),10,MIN(IF(CS16&lt;=0,0,IF(WEEKDAY(CS$6,1)=1,0,MIN(10,CS17)*CS16)),MAX(0,40*MAX(1,CS16)-(CQ18+CR18))))</f>
        <v>10</v>
      </c>
      <c r="CT18" s="63">
        <f>IF(AND(CT16=1,CT17=13),10,MIN(IF(CT16&lt;=0,0,IF(WEEKDAY(CT$6,1)=1,0,MIN(10,CT17)*CT16)),MAX(0,40*MAX(1,CT16)-(CQ18+CR18+CS18))))</f>
        <v>10</v>
      </c>
      <c r="CU18" s="63">
        <f>IF(AND(CU16=1,CU17=13),0,MIN(IF(CU16&lt;=0,0,IF(WEEKDAY(CU$6,1)=1,0,MIN(10,CU17)*CU16)),MAX(0,40*MAX(1,CU16)-(CQ18+CR18+CS18+CT18))))</f>
        <v>0</v>
      </c>
      <c r="CV18" s="64">
        <f>IF(AND(CV16=1,CV17=13),0,MIN(IF(CV16&lt;=0,0,IF(WEEKDAY(CV$6,1)=1,0,MIN(10,CV17)*CV16)),MAX(0,40*MAX(1,CV16)-(CQ18+CR18+CS18+CT18+CU18))))</f>
        <v>0</v>
      </c>
      <c r="CW18" s="64">
        <f>IF(AND(CW16=1,CW17=13),0,MIN(IF(CW16&lt;=0,0,IF(WEEKDAY(CW$6,1)=1,0,MIN(10,CW17)*CW16)),MAX(0,40*MAX(1,CW16)-(CQ18+CR18+CS18+CT18+CU18+CV18))))</f>
        <v>0</v>
      </c>
      <c r="CX18" s="63">
        <f>IF(AND(CX16=1,CX17=13),10,MIN(IF(CX16&lt;=0,0,IF(WEEKDAY(CX$6,1)=1,0,MIN(10,CX17)*CX16)),MAX(0,40*MAX(1,CX16)-(0))))</f>
        <v>10</v>
      </c>
      <c r="CY18" s="63">
        <f>IF(AND(CY16=1,CY17=13),10,MIN(IF(CY16&lt;=0,0,IF(WEEKDAY(CY$6,1)=1,0,MIN(10,CY17)*CY16)),MAX(0,40*MAX(1,CY16)-(CX18))))</f>
        <v>10</v>
      </c>
      <c r="CZ18" s="63">
        <f>IF(AND(CZ16=1,CZ17=13),10,MIN(IF(CZ16&lt;=0,0,IF(WEEKDAY(CZ$6,1)=1,0,MIN(10,CZ17)*CZ16)),MAX(0,40*MAX(1,CZ16)-(CX18+CY18))))</f>
        <v>10</v>
      </c>
      <c r="DA18" s="63">
        <f>IF(AND(DA16=1,DA17=13),10,MIN(IF(DA16&lt;=0,0,IF(WEEKDAY(DA$6,1)=1,0,MIN(10,DA17)*DA16)),MAX(0,40*MAX(1,DA16)-(CX18+CY18+CZ18))))</f>
        <v>10</v>
      </c>
      <c r="DB18" s="63">
        <f>IF(AND(DB16=1,DB17=13),0,MIN(IF(DB16&lt;=0,0,IF(WEEKDAY(DB$6,1)=1,0,MIN(10,DB17)*DB16)),MAX(0,40*MAX(1,DB16)-(CX18+CY18+CZ18+DA18))))</f>
        <v>0</v>
      </c>
      <c r="DC18" s="64">
        <f>IF(AND(DC16=1,DC17=13),0,MIN(IF(DC16&lt;=0,0,IF(WEEKDAY(DC$6,1)=1,0,MIN(10,DC17)*DC16)),MAX(0,40*MAX(1,DC16)-(CX18+CY18+CZ18+DA18+DB18))))</f>
        <v>0</v>
      </c>
      <c r="DD18" s="64">
        <f>IF(AND(DD16=1,DD17=13),0,MIN(IF(DD16&lt;=0,0,IF(WEEKDAY(DD$6,1)=1,0,MIN(10,DD17)*DD16)),MAX(0,40*MAX(1,DD16)-(0))))</f>
        <v>0</v>
      </c>
      <c r="DE18" s="63">
        <f>IF(AND(DE16=1,DE17=13),10,MIN(IF(DE16&lt;=0,0,IF(WEEKDAY(DE$6,1)=1,0,MIN(10,DE17)*DE16)),MAX(0,40*MAX(1,DE16)-(0))))</f>
        <v>10</v>
      </c>
      <c r="DF18" s="63">
        <f>IF(AND(DF16=1,DF17=13),10,MIN(IF(DF16&lt;=0,0,IF(WEEKDAY(DF$6,1)=1,0,MIN(10,DF17)*DF16)),MAX(0,40*MAX(1,DF16)-(DE18))))</f>
        <v>10</v>
      </c>
      <c r="DG18" s="63">
        <f>IF(AND(DG16=1,DG17=13),10,MIN(IF(DG16&lt;=0,0,IF(WEEKDAY(DG$6,1)=1,0,MIN(10,DG17)*DG16)),MAX(0,40*MAX(1,DG16)-(DE18+DF18))))</f>
        <v>10</v>
      </c>
      <c r="DH18" s="63">
        <f>IF(AND(DH16=1,DH17=13),10,MIN(IF(DH16&lt;=0,0,IF(WEEKDAY(DH$6,1)=1,0,MIN(10,DH17)*DH16)),MAX(0,40*MAX(1,DH16)-(DE18+DF18+DG18))))</f>
        <v>10</v>
      </c>
      <c r="DI18" s="63">
        <f>IF(AND(DI16=1,DI17=13),0,MIN(IF(DI16&lt;=0,0,IF(WEEKDAY(DI$6,1)=1,0,MIN(10,DI17)*DI16)),MAX(0,40*MAX(1,DI16)-(DE18+DF18+DG18+DH18))))</f>
        <v>0</v>
      </c>
      <c r="DJ18" s="64">
        <f>IF(AND(DJ16=1,DJ17=13),0,MIN(IF(DJ16&lt;=0,0,IF(WEEKDAY(DJ$6,1)=1,0,MIN(10,DJ17)*DJ16)),MAX(0,40*MAX(1,DJ16)-(DE18+DF18+DG18+DH18+DI18))))</f>
        <v>0</v>
      </c>
      <c r="DK18" s="64">
        <f>IF(AND(DK16=0,DK17=0),0,MIN(IF(DK16&lt;=0,0,IF(WEEKDAY(DK$6,1)=1,0,MIN(10,DK17)*DK16)),MAX(0,40*MAX(1,DK16)-(0))))</f>
        <v>0</v>
      </c>
      <c r="DL18" s="63">
        <f>IF(AND(DL16=1,DL17=13),10,MIN(IF(DL16&lt;=0,0,IF(WEEKDAY(DL$6,1)=1,0,MIN(10,DL17)*DL16)),MAX(0,40*MAX(1,DL16)-(0))))</f>
        <v>10</v>
      </c>
      <c r="DM18" s="63">
        <f>IF(AND(DM16=1,DM17=13),10,MIN(IF(DM16&lt;=0,0,IF(WEEKDAY(DM$6,1)=1,0,MIN(10,DM17)*DM16)),MAX(0,40*MAX(1,DM16)-(DL18))))</f>
        <v>10</v>
      </c>
      <c r="DN18" s="63">
        <f>IF(AND(DN16=1,DN17=13),10,MIN(IF(DN16&lt;=0,0,IF(WEEKDAY(DN$6,1)=1,0,MIN(10,DN17)*DN16)),MAX(0,40*MAX(1,DN16)-(DL18+DM18))))</f>
        <v>10</v>
      </c>
      <c r="DO18" s="63">
        <f>IF(AND(DO16=1,DO17=13),10,MIN(IF(DO16&lt;=0,0,IF(WEEKDAY(DO$6,1)=1,0,MIN(10,DO17)*DO16)),MAX(0,40*MAX(1,DO16)-(DL18+DM18+DN18))))</f>
        <v>10</v>
      </c>
      <c r="DP18" s="63">
        <f>IF(AND(DP16=1,DP17=13),0,MIN(IF(DP16&lt;=0,0,IF(WEEKDAY(DP$6,1)=1,0,MIN(10,DP17)*DP16)),MAX(0,40*MAX(1,DP16)-(DL18+DM18+DN18+DO18))))</f>
        <v>0</v>
      </c>
      <c r="DQ18" s="64">
        <f>IF(AND(DQ16=1,DQ17=13),0,MIN(IF(DQ16&lt;=0,0,IF(WEEKDAY(DQ$6,1)=1,0,MIN(10,DQ17)*DQ16)),MAX(0,40*MAX(1,DQ16)-(DL18+DM18+DN18+DO18+DP18))))</f>
        <v>0</v>
      </c>
      <c r="DR18" s="64">
        <f>IF(AND(DR16=1,DR17=13),0,MIN(IF(DR16&lt;=0,0,IF(WEEKDAY(DR$6,1)=1,0,MIN(10,DR17)*DR16)),MAX(0,40*MAX(1,DR16)-(DL18+DM18+DN18+DO18+DP18+DQ18))))</f>
        <v>0</v>
      </c>
      <c r="DS18" s="63">
        <f>IF(AND(DS16=1,DS17=13),10,MIN(IF(DS16&lt;=0,0,IF(WEEKDAY(DS$6,1)=1,0,MIN(10,DS17)*DS16)),MAX(0,40*MAX(1,DS16)-(0))))</f>
        <v>10</v>
      </c>
      <c r="DT18" s="63">
        <f>IF(AND(DT16=1,DT17=9),8,MIN(IF(DT16&lt;=0,0,IF(WEEKDAY(DT$6,1)=1,0,MIN(8,DT17)*DT16)),MAX(0,40*MAX(1,DT16)-(0))))</f>
        <v>8</v>
      </c>
      <c r="DU18" s="63">
        <f>IF(AND(DU16=1,DU17=9),8,MIN(IF(DU16&lt;=0,0,IF(WEEKDAY(DU$6,1)=1,0,MIN(8,DU17)*DU16)),MAX(0,40*MAX(1,DU16)-(DT18))))</f>
        <v>8</v>
      </c>
      <c r="DV18" s="63">
        <f>IF(AND(DV16=1,DV17=9),8,MIN(IF(DV16&lt;=0,0,IF(WEEKDAY(DV$6,1)=1,0,MIN(8,DV17)*DV16)),MAX(0,40*MAX(1,DV16)-(DT18+DU18))))</f>
        <v>8</v>
      </c>
      <c r="DW18" s="63">
        <f>IF(AND(DW16=1,DW17=9),8,MIN(IF(DW16&lt;=0,0,IF(WEEKDAY(DW$6,1)=1,0,MIN(8,DW17)*DW16)),MAX(0,40*MAX(1,DW16)-(DT18+DU18+DV18))))</f>
        <v>8</v>
      </c>
      <c r="DX18" s="64">
        <f>IF(AND(DX16=0,DX17=0),0,MIN(IF(DX16&lt;=0,0,IF(WEEKDAY(DX$6,1)=1,0,MIN(10,DX17)*DX16)),MAX(0,40*MAX(1,DX16)-(0))))</f>
        <v>0</v>
      </c>
      <c r="DY18" s="64">
        <f>IF(AND(DY16=0,DY17=0),0,MIN(IF(DY16&lt;=0,0,IF(WEEKDAY(DY$6,1)=1,0,MIN(10,DY17)*DY16)),MAX(0,40*MAX(1,DY16)-(DX18))))</f>
        <v>0</v>
      </c>
      <c r="DZ18" s="63">
        <f>IF(AND(DZ16=1,DZ17=9),8,MIN(IF(DZ16&lt;=0,0,IF(WEEKDAY(DZ$6,1)=1,0,MIN(8,DZ17)*DZ16)),MAX(0,40*MAX(1,DZ16)-(0))))</f>
        <v>8</v>
      </c>
      <c r="EA18" s="63">
        <f>IF(AND(EA16=1,EA17=9),8,MIN(IF(EA16&lt;=0,0,IF(WEEKDAY(EA$6,1)=1,0,MIN(8,EA17)*EA16)),MAX(0,40*MAX(1,EA16)-(DZ18))))</f>
        <v>8</v>
      </c>
      <c r="EB18" s="63">
        <f>IF(AND(EB16=1,EB17=9),8,MIN(IF(EB16&lt;=0,0,IF(WEEKDAY(EB$6,1)=1,0,MIN(8,EB17)*EB16)),MAX(0,40*MAX(1,EB16)-(DZ18+EA18))))</f>
        <v>8</v>
      </c>
      <c r="EC18" s="63">
        <f>IF(AND(EC16=1,EC17=9),8,MIN(IF(EC16&lt;=0,0,IF(WEEKDAY(EC$6,1)=1,0,MIN(8,EC17)*EC16)),MAX(0,40*MAX(1,EC16)-(DZ18+EA18+EB18))))</f>
        <v>8</v>
      </c>
      <c r="ED18" s="63">
        <f>IF(AND(ED16=1,ED17=9),8,MIN(IF(ED16&lt;=0,0,IF(WEEKDAY(ED$6,1)=1,0,MIN(8,ED17)*ED16)),MAX(0,40*MAX(1,ED16)-(DZ18+EA18+EB18+EC18))))</f>
        <v>8</v>
      </c>
      <c r="EE18" s="64">
        <f>IF(AND(EE16=0,EE17=0),0,MIN(IF(EE16&lt;=0,0,IF(WEEKDAY(EE$6,1)=1,0,MIN(10,EE17)*EE16)),MAX(0,40*MAX(1,EE16)-(0))))</f>
        <v>0</v>
      </c>
      <c r="EF18" s="64">
        <f>IF(AND(EF16=0,EF17=0),0,MIN(IF(EF16&lt;=0,0,IF(WEEKDAY(EF$6,1)=1,0,MIN(10,EF17)*EF16)),MAX(0,40*MAX(1,EF16)-(EE18))))</f>
        <v>0</v>
      </c>
      <c r="EG18" s="63">
        <f>IF(AND(EG16=1,EG17=9),8,MIN(IF(EG16&lt;=0,0,IF(WEEKDAY(EG$6,1)=1,0,MIN(8,EG17)*EG16)),MAX(0,40*MAX(1,EG16)-(0))))</f>
        <v>8</v>
      </c>
      <c r="EH18" s="63">
        <f>IF(AND(EH16=1,EH17=9),8,MIN(IF(EH16&lt;=0,0,IF(WEEKDAY(EH$6,1)=1,0,MIN(8,EH17)*EH16)),MAX(0,40*MAX(1,EH16)-(EG18))))</f>
        <v>8</v>
      </c>
      <c r="EI18" s="63">
        <f>IF(AND(EI16=1,EI17=9),8,MIN(IF(EI16&lt;=0,0,IF(WEEKDAY(EI$6,1)=1,0,MIN(8,EI17)*EI16)),MAX(0,40*MAX(1,EI16)-(EG18+EH18))))</f>
        <v>8</v>
      </c>
      <c r="EJ18" s="63">
        <f>IF(AND(EJ16=1,EJ17=9),8,MIN(IF(EJ16&lt;=0,0,IF(WEEKDAY(EJ$6,1)=1,0,MIN(8,EJ17)*EJ16)),MAX(0,40*MAX(1,EJ16)-(EG18+EH18+EI18))))</f>
        <v>8</v>
      </c>
      <c r="EK18" s="65">
        <f>IF(AND(EK16=1,EK17=9),8,MIN(IF(EK16&lt;=0,0,IF(WEEKDAY(EK$6,1)=1,0,MIN(8,EK17)*EK16)),MAX(0,40*MAX(1,EK16)-(EG18+EH18+EI18+EJ18))))</f>
        <v>8</v>
      </c>
      <c r="OU18" s="28" t="s">
        <v>67</v>
      </c>
    </row>
    <row r="19" ht="16" customHeight="1" spans="1:411" x14ac:dyDescent="0.25">
      <c r="A19" s="45"/>
      <c r="B19" s="46"/>
      <c r="C19" s="66">
        <f>G15*N(D19)</f>
        <v>64922.66</v>
      </c>
      <c r="D19" s="66">
        <f>IF(TRIM(B15)="","No rate",IFERROR(INDEX('Rate Tables'!D$7:D$158,MATCH(B15,'Rate Tables'!A$7:A$158,0)),"No rate"))</f>
        <v>173.59</v>
      </c>
      <c r="E19" s="55" t="s">
        <v>63</v>
      </c>
      <c r="F19" s="49"/>
      <c r="G19" s="49"/>
      <c r="H19" s="49"/>
      <c r="I19" s="49"/>
      <c r="J19" s="50"/>
      <c r="K19" s="62">
        <f>IF(AND(K16=1,K17=9),1,IF(K16&lt;=0,0,IF(WEEKDAY(K$6,1)=1,0,MAX(0,K17-8)*K16))+((IF(K16&lt;=0,0,IF(WEEKDAY(K$6,1)=1,0,MIN(8,K17)*K16)))-MIN(IF(K16&lt;=0,0,IF(WEEKDAY(K$6,1)=1,0,MIN(8,K17)*K16)),MAX(0,40*MAX(1,K16)-(0)))))</f>
        <v>1</v>
      </c>
      <c r="L19" s="63">
        <f>IF(AND(L16=1,L17=9),1,IF(L16&lt;=0,0,IF(WEEKDAY(L$6,1)=1,0,MAX(0,L17-8)*L16))+((IF(L16&lt;=0,0,IF(WEEKDAY(L$6,1)=1,0,MIN(8,L17)*L16)))-MIN(IF(L16&lt;=0,0,IF(WEEKDAY(L$6,1)=1,0,MIN(8,L17)*L16)),MAX(0,40*MAX(1,L16)-(K18)))))</f>
        <v>1</v>
      </c>
      <c r="M19" s="63">
        <f>IF(AND(M16=1,M17=9),1,IF(M16&lt;=0,0,IF(WEEKDAY(M$6,1)=1,0,MAX(0,M17-8)*M16))+((IF(M16&lt;=0,0,IF(WEEKDAY(M$6,1)=1,0,MIN(8,M17)*M16)))-MIN(IF(M16&lt;=0,0,IF(WEEKDAY(M$6,1)=1,0,MIN(8,M17)*M16)),MAX(0,40*MAX(1,M16)-(K18+L18)))))</f>
        <v>1</v>
      </c>
      <c r="N19" s="63">
        <f>IF(AND(N16=1,N17=9),1,IF(N16&lt;=0,0,IF(WEEKDAY(N$6,1)=1,0,MAX(0,N17-8)*N16))+((IF(N16&lt;=0,0,IF(WEEKDAY(N$6,1)=1,0,MIN(8,N17)*N16)))-MIN(IF(N16&lt;=0,0,IF(WEEKDAY(N$6,1)=1,0,MIN(8,N17)*N16)),MAX(0,40*MAX(1,N16)-(K18+L18+M18)))))</f>
        <v>1</v>
      </c>
      <c r="O19" s="63">
        <f>IF(AND(O16=1,O17=9),1,IF(O16&lt;=0,0,IF(WEEKDAY(O$6,1)=1,0,MAX(0,O17-8)*O16))+((IF(O16&lt;=0,0,IF(WEEKDAY(O$6,1)=1,0,MIN(8,O17)*O16)))-MIN(IF(O16&lt;=0,0,IF(WEEKDAY(O$6,1)=1,0,MIN(8,O17)*O16)),MAX(0,40*MAX(1,O16)-(K18+L18+M18+N18)))))</f>
        <v>1</v>
      </c>
      <c r="P19" s="64">
        <f>IF(AND(P16=0,P17=0),0,IF(P16&lt;=0,0,IF(WEEKDAY(P$6,1)=1,0,MAX(0,P17-10)*P16))+((IF(P16&lt;=0,0,IF(WEEKDAY(P$6,1)=1,0,MIN(10,P17)*P16)))-MIN(IF(P16&lt;=0,0,IF(WEEKDAY(P$6,1)=1,0,MIN(10,P17)*P16)),MAX(0,40*MAX(1,P16)-(0)))))</f>
        <v>0</v>
      </c>
      <c r="Q19" s="64">
        <f>IF(AND(Q16=0,Q17=0),0,IF(Q16&lt;=0,0,IF(WEEKDAY(Q$6,1)=1,0,MAX(0,Q17-10)*Q16))+((IF(Q16&lt;=0,0,IF(WEEKDAY(Q$6,1)=1,0,MIN(10,Q17)*Q16)))-MIN(IF(Q16&lt;=0,0,IF(WEEKDAY(Q$6,1)=1,0,MIN(10,Q17)*Q16)),MAX(0,40*MAX(1,Q16)-(P18)))))</f>
        <v>0</v>
      </c>
      <c r="R19" s="63">
        <f>IF(AND(R16=1,R17=9),1,IF(R16&lt;=0,0,IF(WEEKDAY(R$6,1)=1,0,MAX(0,R17-8)*R16))+((IF(R16&lt;=0,0,IF(WEEKDAY(R$6,1)=1,0,MIN(8,R17)*R16)))-MIN(IF(R16&lt;=0,0,IF(WEEKDAY(R$6,1)=1,0,MIN(8,R17)*R16)),MAX(0,40*MAX(1,R16)-(0)))))</f>
        <v>1</v>
      </c>
      <c r="S19" s="63">
        <f>IF(AND(S16=1,S17=9),1,IF(S16&lt;=0,0,IF(WEEKDAY(S$6,1)=1,0,MAX(0,S17-8)*S16))+((IF(S16&lt;=0,0,IF(WEEKDAY(S$6,1)=1,0,MIN(8,S17)*S16)))-MIN(IF(S16&lt;=0,0,IF(WEEKDAY(S$6,1)=1,0,MIN(8,S17)*S16)),MAX(0,40*MAX(1,S16)-(R18)))))</f>
        <v>1</v>
      </c>
      <c r="T19" s="63">
        <f>IF(AND(T16=1,T17=9),1,IF(T16&lt;=0,0,IF(WEEKDAY(T$6,1)=1,0,MAX(0,T17-8)*T16))+((IF(T16&lt;=0,0,IF(WEEKDAY(T$6,1)=1,0,MIN(8,T17)*T16)))-MIN(IF(T16&lt;=0,0,IF(WEEKDAY(T$6,1)=1,0,MIN(8,T17)*T16)),MAX(0,40*MAX(1,T16)-(R18+S18)))))</f>
        <v>1</v>
      </c>
      <c r="U19" s="63">
        <f>IF(AND(U16=1,U17=9),1,IF(U16&lt;=0,0,IF(WEEKDAY(U$6,1)=1,0,MAX(0,U17-8)*U16))+((IF(U16&lt;=0,0,IF(WEEKDAY(U$6,1)=1,0,MIN(8,U17)*U16)))-MIN(IF(U16&lt;=0,0,IF(WEEKDAY(U$6,1)=1,0,MIN(8,U17)*U16)),MAX(0,40*MAX(1,U16)-(R18+S18+T18)))))</f>
        <v>1</v>
      </c>
      <c r="V19" s="63">
        <f>IF(AND(V16=1,V17=9),1,IF(V16&lt;=0,0,IF(WEEKDAY(V$6,1)=1,0,MAX(0,V17-8)*V16))+((IF(V16&lt;=0,0,IF(WEEKDAY(V$6,1)=1,0,MIN(8,V17)*V16)))-MIN(IF(V16&lt;=0,0,IF(WEEKDAY(V$6,1)=1,0,MIN(8,V17)*V16)),MAX(0,40*MAX(1,V16)-(R18+S18+T18+U18)))))</f>
        <v>1</v>
      </c>
      <c r="W19" s="64">
        <f>IF(AND(W16=0,W17=0),0,IF(W16&lt;=0,0,IF(WEEKDAY(W$6,1)=1,0,MAX(0,W17-10)*W16))+((IF(W16&lt;=0,0,IF(WEEKDAY(W$6,1)=1,0,MIN(10,W17)*W16)))-MIN(IF(W16&lt;=0,0,IF(WEEKDAY(W$6,1)=1,0,MIN(10,W17)*W16)),MAX(0,40*MAX(1,W16)-(0)))))</f>
        <v>0</v>
      </c>
      <c r="X19" s="64">
        <f>IF(AND(X16=0,X17=0),0,IF(X16&lt;=0,0,IF(WEEKDAY(X$6,1)=1,0,MAX(0,X17-10)*X16))+((IF(X16&lt;=0,0,IF(WEEKDAY(X$6,1)=1,0,MIN(10,X17)*X16)))-MIN(IF(X16&lt;=0,0,IF(WEEKDAY(X$6,1)=1,0,MIN(10,X17)*X16)),MAX(0,40*MAX(1,X16)-(W18)))))</f>
        <v>0</v>
      </c>
      <c r="Y19" s="63">
        <f>IF(AND(Y16=1,Y17=9),1,IF(Y16&lt;=0,0,IF(WEEKDAY(Y$6,1)=1,0,MAX(0,Y17-8)*Y16))+((IF(Y16&lt;=0,0,IF(WEEKDAY(Y$6,1)=1,0,MIN(8,Y17)*Y16)))-MIN(IF(Y16&lt;=0,0,IF(WEEKDAY(Y$6,1)=1,0,MIN(8,Y17)*Y16)),MAX(0,40*MAX(1,Y16)-(0)))))</f>
        <v>1</v>
      </c>
      <c r="Z19" s="63">
        <f>IF(AND(Z16=1,Z17=9),1,IF(Z16&lt;=0,0,IF(WEEKDAY(Z$6,1)=1,0,MAX(0,Z17-8)*Z16))+((IF(Z16&lt;=0,0,IF(WEEKDAY(Z$6,1)=1,0,MIN(8,Z17)*Z16)))-MIN(IF(Z16&lt;=0,0,IF(WEEKDAY(Z$6,1)=1,0,MIN(8,Z17)*Z16)),MAX(0,40*MAX(1,Z16)-(Y18)))))</f>
        <v>1</v>
      </c>
      <c r="AA19" s="63">
        <f>IF(AND(AA16=1,AA17=9),1,IF(AA16&lt;=0,0,IF(WEEKDAY(AA$6,1)=1,0,MAX(0,AA17-8)*AA16))+((IF(AA16&lt;=0,0,IF(WEEKDAY(AA$6,1)=1,0,MIN(8,AA17)*AA16)))-MIN(IF(AA16&lt;=0,0,IF(WEEKDAY(AA$6,1)=1,0,MIN(8,AA17)*AA16)),MAX(0,40*MAX(1,AA16)-(Y18+Z18)))))</f>
        <v>1</v>
      </c>
      <c r="AB19" s="63">
        <f>IF(AND(AB16=1,AB17=9),1,IF(AB16&lt;=0,0,IF(WEEKDAY(AB$6,1)=1,0,MAX(0,AB17-8)*AB16))+((IF(AB16&lt;=0,0,IF(WEEKDAY(AB$6,1)=1,0,MIN(8,AB17)*AB16)))-MIN(IF(AB16&lt;=0,0,IF(WEEKDAY(AB$6,1)=1,0,MIN(8,AB17)*AB16)),MAX(0,40*MAX(1,AB16)-(Y18+Z18+AA18)))))</f>
        <v>1</v>
      </c>
      <c r="AC19" s="63">
        <f>IF(AND(AC16=1,AC17=9),1,IF(AC16&lt;=0,0,IF(WEEKDAY(AC$6,1)=1,0,MAX(0,AC17-8)*AC16))+((IF(AC16&lt;=0,0,IF(WEEKDAY(AC$6,1)=1,0,MIN(8,AC17)*AC16)))-MIN(IF(AC16&lt;=0,0,IF(WEEKDAY(AC$6,1)=1,0,MIN(8,AC17)*AC16)),MAX(0,40*MAX(1,AC16)-(Y18+Z18+AA18+AB18)))))</f>
        <v>1</v>
      </c>
      <c r="AD19" s="64">
        <f>IF(AND(AD16=0,AD17=0),0,IF(AD16&lt;=0,0,IF(WEEKDAY(AD$6,1)=1,0,MAX(0,AD17-10)*AD16))+((IF(AD16&lt;=0,0,IF(WEEKDAY(AD$6,1)=1,0,MIN(10,AD17)*AD16)))-MIN(IF(AD16&lt;=0,0,IF(WEEKDAY(AD$6,1)=1,0,MIN(10,AD17)*AD16)),MAX(0,40*MAX(1,AD16)-(0)))))</f>
        <v>0</v>
      </c>
      <c r="AE19" s="64">
        <f>IF(AND(AE16=0,AE17=0),0,IF(AE16&lt;=0,0,IF(WEEKDAY(AE$6,1)=1,0,MAX(0,AE17-10)*AE16))+((IF(AE16&lt;=0,0,IF(WEEKDAY(AE$6,1)=1,0,MIN(10,AE17)*AE16)))-MIN(IF(AE16&lt;=0,0,IF(WEEKDAY(AE$6,1)=1,0,MIN(10,AE17)*AE16)),MAX(0,40*MAX(1,AE16)-(AD18)))))</f>
        <v>0</v>
      </c>
      <c r="AF19" s="63">
        <f>IF(AND(AF16=1,AF17=9),1,IF(AF16&lt;=0,0,IF(WEEKDAY(AF$6,1)=1,0,MAX(0,AF17-8)*AF16))+((IF(AF16&lt;=0,0,IF(WEEKDAY(AF$6,1)=1,0,MIN(8,AF17)*AF16)))-MIN(IF(AF16&lt;=0,0,IF(WEEKDAY(AF$6,1)=1,0,MIN(8,AF17)*AF16)),MAX(0,40*MAX(1,AF16)-(0)))))</f>
        <v>1</v>
      </c>
      <c r="AG19" s="63">
        <f>IF(AND(AG16=1,AG17=9),1,IF(AG16&lt;=0,0,IF(WEEKDAY(AG$6,1)=1,0,MAX(0,AG17-8)*AG16))+((IF(AG16&lt;=0,0,IF(WEEKDAY(AG$6,1)=1,0,MIN(8,AG17)*AG16)))-MIN(IF(AG16&lt;=0,0,IF(WEEKDAY(AG$6,1)=1,0,MIN(8,AG17)*AG16)),MAX(0,40*MAX(1,AG16)-(AF18)))))</f>
        <v>1</v>
      </c>
      <c r="AH19" s="63">
        <f>IF(AND(AH16=1,AH17=9),1,IF(AH16&lt;=0,0,IF(WEEKDAY(AH$6,1)=1,0,MAX(0,AH17-8)*AH16))+((IF(AH16&lt;=0,0,IF(WEEKDAY(AH$6,1)=1,0,MIN(8,AH17)*AH16)))-MIN(IF(AH16&lt;=0,0,IF(WEEKDAY(AH$6,1)=1,0,MIN(8,AH17)*AH16)),MAX(0,40*MAX(1,AH16)-(AF18+AG18)))))</f>
        <v>1</v>
      </c>
      <c r="AI19" s="63">
        <f>IF(AND(AI16=1,AI17=9),1,IF(AI16&lt;=0,0,IF(WEEKDAY(AI$6,1)=1,0,MAX(0,AI17-8)*AI16))+((IF(AI16&lt;=0,0,IF(WEEKDAY(AI$6,1)=1,0,MIN(8,AI17)*AI16)))-MIN(IF(AI16&lt;=0,0,IF(WEEKDAY(AI$6,1)=1,0,MIN(8,AI17)*AI16)),MAX(0,40*MAX(1,AI16)-(AF18+AG18+AH18)))))</f>
        <v>1</v>
      </c>
      <c r="AJ19" s="63">
        <f>IF(AND(AJ16=1,AJ17=9),1,IF(AJ16&lt;=0,0,IF(WEEKDAY(AJ$6,1)=1,0,MAX(0,AJ17-8)*AJ16))+((IF(AJ16&lt;=0,0,IF(WEEKDAY(AJ$6,1)=1,0,MIN(8,AJ17)*AJ16)))-MIN(IF(AJ16&lt;=0,0,IF(WEEKDAY(AJ$6,1)=1,0,MIN(8,AJ17)*AJ16)),MAX(0,40*MAX(1,AJ16)-(AF18+AG18+AH18+AI18)))))</f>
        <v>1</v>
      </c>
      <c r="AK19" s="64">
        <f>IF(AND(AK16=0,AK17=0),0,IF(AK16&lt;=0,0,IF(WEEKDAY(AK$6,1)=1,0,MAX(0,AK17-10)*AK16))+((IF(AK16&lt;=0,0,IF(WEEKDAY(AK$6,1)=1,0,MIN(10,AK17)*AK16)))-MIN(IF(AK16&lt;=0,0,IF(WEEKDAY(AK$6,1)=1,0,MIN(10,AK17)*AK16)),MAX(0,40*MAX(1,AK16)-(0)))))</f>
        <v>0</v>
      </c>
      <c r="AL19" s="64">
        <f>IF(AND(AL16=0,AL17=0),0,IF(AL16&lt;=0,0,IF(WEEKDAY(AL$6,1)=1,0,MAX(0,AL17-10)*AL16))+((IF(AL16&lt;=0,0,IF(WEEKDAY(AL$6,1)=1,0,MIN(10,AL17)*AL16)))-MIN(IF(AL16&lt;=0,0,IF(WEEKDAY(AL$6,1)=1,0,MIN(10,AL17)*AL16)),MAX(0,40*MAX(1,AL16)-(AK18)))))</f>
        <v>0</v>
      </c>
      <c r="AM19" s="63">
        <f>IF(AND(AM16=1,AM17=9),1,IF(AM16&lt;=0,0,IF(WEEKDAY(AM$6,1)=1,0,MAX(0,AM17-8)*AM16))+((IF(AM16&lt;=0,0,IF(WEEKDAY(AM$6,1)=1,0,MIN(8,AM17)*AM16)))-MIN(IF(AM16&lt;=0,0,IF(WEEKDAY(AM$6,1)=1,0,MIN(8,AM17)*AM16)),MAX(0,40*MAX(1,AM16)-(0)))))</f>
        <v>1</v>
      </c>
      <c r="AN19" s="63">
        <f>IF(AND(AN16=1,AN17=9),1,IF(AN16&lt;=0,0,IF(WEEKDAY(AN$6,1)=1,0,MAX(0,AN17-8)*AN16))+((IF(AN16&lt;=0,0,IF(WEEKDAY(AN$6,1)=1,0,MIN(8,AN17)*AN16)))-MIN(IF(AN16&lt;=0,0,IF(WEEKDAY(AN$6,1)=1,0,MIN(8,AN17)*AN16)),MAX(0,40*MAX(1,AN16)-(AM18)))))</f>
        <v>1</v>
      </c>
      <c r="AO19" s="63">
        <f>IF(AND(AO16=1,AO17=9),1,IF(AO16&lt;=0,0,IF(WEEKDAY(AO$6,1)=1,0,MAX(0,AO17-8)*AO16))+((IF(AO16&lt;=0,0,IF(WEEKDAY(AO$6,1)=1,0,MIN(8,AO17)*AO16)))-MIN(IF(AO16&lt;=0,0,IF(WEEKDAY(AO$6,1)=1,0,MIN(8,AO17)*AO16)),MAX(0,40*MAX(1,AO16)-(AM18+AN18)))))</f>
        <v>1</v>
      </c>
      <c r="AP19" s="63">
        <f>IF(AND(AP16=1,AP17=9),1,IF(AP16&lt;=0,0,IF(WEEKDAY(AP$6,1)=1,0,MAX(0,AP17-8)*AP16))+((IF(AP16&lt;=0,0,IF(WEEKDAY(AP$6,1)=1,0,MIN(8,AP17)*AP16)))-MIN(IF(AP16&lt;=0,0,IF(WEEKDAY(AP$6,1)=1,0,MIN(8,AP17)*AP16)),MAX(0,40*MAX(1,AP16)-(AM18+AN18+AO18)))))</f>
        <v>1</v>
      </c>
      <c r="AQ19" s="63">
        <f>IF(AND(AQ16=1,AQ17=9),1,IF(AQ16&lt;=0,0,IF(WEEKDAY(AQ$6,1)=1,0,MAX(0,AQ17-8)*AQ16))+((IF(AQ16&lt;=0,0,IF(WEEKDAY(AQ$6,1)=1,0,MIN(8,AQ17)*AQ16)))-MIN(IF(AQ16&lt;=0,0,IF(WEEKDAY(AQ$6,1)=1,0,MIN(8,AQ17)*AQ16)),MAX(0,40*MAX(1,AQ16)-(AM18+AN18+AO18+AP18)))))</f>
        <v>1</v>
      </c>
      <c r="AR19" s="64">
        <f>IF(AND(AR16=0,AR17=0),0,IF(AR16&lt;=0,0,IF(WEEKDAY(AR$6,1)=1,0,MAX(0,AR17-10)*AR16))+((IF(AR16&lt;=0,0,IF(WEEKDAY(AR$6,1)=1,0,MIN(10,AR17)*AR16)))-MIN(IF(AR16&lt;=0,0,IF(WEEKDAY(AR$6,1)=1,0,MIN(10,AR17)*AR16)),MAX(0,40*MAX(1,AR16)-(0)))))</f>
        <v>0</v>
      </c>
      <c r="AS19" s="64">
        <f>IF(AND(AS16=0,AS17=0),0,IF(AS16&lt;=0,0,IF(WEEKDAY(AS$6,1)=1,0,MAX(0,AS17-10)*AS16))+((IF(AS16&lt;=0,0,IF(WEEKDAY(AS$6,1)=1,0,MIN(10,AS17)*AS16)))-MIN(IF(AS16&lt;=0,0,IF(WEEKDAY(AS$6,1)=1,0,MIN(10,AS17)*AS16)),MAX(0,40*MAX(1,AS16)-(AR18)))))</f>
        <v>0</v>
      </c>
      <c r="AT19" s="63">
        <f>IF(AND(AT16=1,AT17=9),1,IF(AT16&lt;=0,0,IF(WEEKDAY(AT$6,1)=1,0,MAX(0,AT17-8)*AT16))+((IF(AT16&lt;=0,0,IF(WEEKDAY(AT$6,1)=1,0,MIN(8,AT17)*AT16)))-MIN(IF(AT16&lt;=0,0,IF(WEEKDAY(AT$6,1)=1,0,MIN(8,AT17)*AT16)),MAX(0,40*MAX(1,AT16)-(0)))))</f>
        <v>1</v>
      </c>
      <c r="AU19" s="63">
        <f>IF(AND(AU16=1,AU17=9),1,IF(AU16&lt;=0,0,IF(WEEKDAY(AU$6,1)=1,0,MAX(0,AU17-8)*AU16))+((IF(AU16&lt;=0,0,IF(WEEKDAY(AU$6,1)=1,0,MIN(8,AU17)*AU16)))-MIN(IF(AU16&lt;=0,0,IF(WEEKDAY(AU$6,1)=1,0,MIN(8,AU17)*AU16)),MAX(0,40*MAX(1,AU16)-(AT18)))))</f>
        <v>1</v>
      </c>
      <c r="AV19" s="63">
        <f>IF(AND(AV16=1,AV17=9),1,IF(AV16&lt;=0,0,IF(WEEKDAY(AV$6,1)=1,0,MAX(0,AV17-8)*AV16))+((IF(AV16&lt;=0,0,IF(WEEKDAY(AV$6,1)=1,0,MIN(8,AV17)*AV16)))-MIN(IF(AV16&lt;=0,0,IF(WEEKDAY(AV$6,1)=1,0,MIN(8,AV17)*AV16)),MAX(0,40*MAX(1,AV16)-(AT18+AU18)))))</f>
        <v>1</v>
      </c>
      <c r="AW19" s="63">
        <f>IF(AND(AW16=1,AW17=9),1,IF(AW16&lt;=0,0,IF(WEEKDAY(AW$6,1)=1,0,MAX(0,AW17-8)*AW16))+((IF(AW16&lt;=0,0,IF(WEEKDAY(AW$6,1)=1,0,MIN(8,AW17)*AW16)))-MIN(IF(AW16&lt;=0,0,IF(WEEKDAY(AW$6,1)=1,0,MIN(8,AW17)*AW16)),MAX(0,40*MAX(1,AW16)-(AT18+AU18+AV18)))))</f>
        <v>1</v>
      </c>
      <c r="AX19" s="63">
        <f>IF(AND(AX16=1,AX17=9),1,IF(AX16&lt;=0,0,IF(WEEKDAY(AX$6,1)=1,0,MAX(0,AX17-8)*AX16))+((IF(AX16&lt;=0,0,IF(WEEKDAY(AX$6,1)=1,0,MIN(8,AX17)*AX16)))-MIN(IF(AX16&lt;=0,0,IF(WEEKDAY(AX$6,1)=1,0,MIN(8,AX17)*AX16)),MAX(0,40*MAX(1,AX16)-(AT18+AU18+AV18+AW18)))))</f>
        <v>1</v>
      </c>
      <c r="AY19" s="64">
        <f>IF(AND(AY16=0,AY17=0),0,IF(AY16&lt;=0,0,IF(WEEKDAY(AY$6,1)=1,0,MAX(0,AY17-10)*AY16))+((IF(AY16&lt;=0,0,IF(WEEKDAY(AY$6,1)=1,0,MIN(10,AY17)*AY16)))-MIN(IF(AY16&lt;=0,0,IF(WEEKDAY(AY$6,1)=1,0,MIN(10,AY17)*AY16)),MAX(0,40*MAX(1,AY16)-(0)))))</f>
        <v>0</v>
      </c>
      <c r="AZ19" s="64">
        <f>IF(AND(AZ16=0,AZ17=0),0,IF(AZ16&lt;=0,0,IF(WEEKDAY(AZ$6,1)=1,0,MAX(0,AZ17-10)*AZ16))+((IF(AZ16&lt;=0,0,IF(WEEKDAY(AZ$6,1)=1,0,MIN(10,AZ17)*AZ16)))-MIN(IF(AZ16&lt;=0,0,IF(WEEKDAY(AZ$6,1)=1,0,MIN(10,AZ17)*AZ16)),MAX(0,40*MAX(1,AZ16)-(AY18)))))</f>
        <v>0</v>
      </c>
      <c r="BA19" s="63">
        <f>IF(AND(BA16=1,BA17=9),1,IF(BA16&lt;=0,0,IF(WEEKDAY(BA$6,1)=1,0,MAX(0,BA17-8)*BA16))+((IF(BA16&lt;=0,0,IF(WEEKDAY(BA$6,1)=1,0,MIN(8,BA17)*BA16)))-MIN(IF(BA16&lt;=0,0,IF(WEEKDAY(BA$6,1)=1,0,MIN(8,BA17)*BA16)),MAX(0,40*MAX(1,BA16)-(0)))))</f>
        <v>1</v>
      </c>
      <c r="BB19" s="63">
        <f>IF(AND(BB16=1,BB17=9),1,IF(BB16&lt;=0,0,IF(WEEKDAY(BB$6,1)=1,0,MAX(0,BB17-8)*BB16))+((IF(BB16&lt;=0,0,IF(WEEKDAY(BB$6,1)=1,0,MIN(8,BB17)*BB16)))-MIN(IF(BB16&lt;=0,0,IF(WEEKDAY(BB$6,1)=1,0,MIN(8,BB17)*BB16)),MAX(0,40*MAX(1,BB16)-(BA18)))))</f>
        <v>1</v>
      </c>
      <c r="BC19" s="63">
        <f>IF(AND(BC16=1,BC17=9),1,IF(BC16&lt;=0,0,IF(WEEKDAY(BC$6,1)=1,0,MAX(0,BC17-8)*BC16))+((IF(BC16&lt;=0,0,IF(WEEKDAY(BC$6,1)=1,0,MIN(8,BC17)*BC16)))-MIN(IF(BC16&lt;=0,0,IF(WEEKDAY(BC$6,1)=1,0,MIN(8,BC17)*BC16)),MAX(0,40*MAX(1,BC16)-(BA18+BB18)))))</f>
        <v>1</v>
      </c>
      <c r="BD19" s="63">
        <f>IF(AND(BD16=1,BD17=9),1,IF(BD16&lt;=0,0,IF(WEEKDAY(BD$6,1)=1,0,MAX(0,BD17-8)*BD16))+((IF(BD16&lt;=0,0,IF(WEEKDAY(BD$6,1)=1,0,MIN(8,BD17)*BD16)))-MIN(IF(BD16&lt;=0,0,IF(WEEKDAY(BD$6,1)=1,0,MIN(8,BD17)*BD16)),MAX(0,40*MAX(1,BD16)-(BA18+BB18+BC18)))))</f>
        <v>1</v>
      </c>
      <c r="BE19" s="63">
        <f>IF(AND(BE16=1,BE17=9),1,IF(BE16&lt;=0,0,IF(WEEKDAY(BE$6,1)=1,0,MAX(0,BE17-8)*BE16))+((IF(BE16&lt;=0,0,IF(WEEKDAY(BE$6,1)=1,0,MIN(8,BE17)*BE16)))-MIN(IF(BE16&lt;=0,0,IF(WEEKDAY(BE$6,1)=1,0,MIN(8,BE17)*BE16)),MAX(0,40*MAX(1,BE16)-(BA18+BB18+BC18+BD18)))))</f>
        <v>1</v>
      </c>
      <c r="BF19" s="64">
        <f>IF(AND(BF16=0,BF17=0),0,IF(BF16&lt;=0,0,IF(WEEKDAY(BF$6,1)=1,0,MAX(0,BF17-10)*BF16))+((IF(BF16&lt;=0,0,IF(WEEKDAY(BF$6,1)=1,0,MIN(10,BF17)*BF16)))-MIN(IF(BF16&lt;=0,0,IF(WEEKDAY(BF$6,1)=1,0,MIN(10,BF17)*BF16)),MAX(0,40*MAX(1,BF16)-(0)))))</f>
        <v>0</v>
      </c>
      <c r="BG19" s="64">
        <f>IF(AND(BG16=0,BG17=0),0,IF(BG16&lt;=0,0,IF(WEEKDAY(BG$6,1)=1,0,MAX(0,BG17-10)*BG16))+((IF(BG16&lt;=0,0,IF(WEEKDAY(BG$6,1)=1,0,MIN(10,BG17)*BG16)))-MIN(IF(BG16&lt;=0,0,IF(WEEKDAY(BG$6,1)=1,0,MIN(10,BG17)*BG16)),MAX(0,40*MAX(1,BG16)-(BF18)))))</f>
        <v>0</v>
      </c>
      <c r="BH19" s="63">
        <f>IF(AND(BH16=1,BH17=13),3,IF(BH16&lt;=0,0,IF(WEEKDAY(BH$6,1)=1,0,MAX(0,BH17-10)*BH16))+((IF(BH16&lt;=0,0,IF(WEEKDAY(BH$6,1)=1,0,MIN(10,BH17)*BH16)))-MIN(IF(BH16&lt;=0,0,IF(WEEKDAY(BH$6,1)=1,0,MIN(10,BH17)*BH16)),MAX(0,40*MAX(1,BH16)-(0)))))</f>
        <v>3</v>
      </c>
      <c r="BI19" s="63">
        <f>IF(AND(BI16=1,BI17=13),3,IF(BI16&lt;=0,0,IF(WEEKDAY(BI$6,1)=1,0,MAX(0,BI17-10)*BI16))+((IF(BI16&lt;=0,0,IF(WEEKDAY(BI$6,1)=1,0,MIN(10,BI17)*BI16)))-MIN(IF(BI16&lt;=0,0,IF(WEEKDAY(BI$6,1)=1,0,MIN(10,BI17)*BI16)),MAX(0,40*MAX(1,BI16)-(BH18)))))</f>
        <v>3</v>
      </c>
      <c r="BJ19" s="63">
        <f>IF(AND(BJ16=1,BJ17=13),3,IF(BJ16&lt;=0,0,IF(WEEKDAY(BJ$6,1)=1,0,MAX(0,BJ17-10)*BJ16))+((IF(BJ16&lt;=0,0,IF(WEEKDAY(BJ$6,1)=1,0,MIN(10,BJ17)*BJ16)))-MIN(IF(BJ16&lt;=0,0,IF(WEEKDAY(BJ$6,1)=1,0,MIN(10,BJ17)*BJ16)),MAX(0,40*MAX(1,BJ16)-(BH18+BI18)))))</f>
        <v>3</v>
      </c>
      <c r="BK19" s="63">
        <f>IF(AND(BK16=1,BK17=13),3,IF(BK16&lt;=0,0,IF(WEEKDAY(BK$6,1)=1,0,MAX(0,BK17-10)*BK16))+((IF(BK16&lt;=0,0,IF(WEEKDAY(BK$6,1)=1,0,MIN(10,BK17)*BK16)))-MIN(IF(BK16&lt;=0,0,IF(WEEKDAY(BK$6,1)=1,0,MIN(10,BK17)*BK16)),MAX(0,40*MAX(1,BK16)-(BH18+BI18+BJ18)))))</f>
        <v>3</v>
      </c>
      <c r="BL19" s="63">
        <f>IF(AND(BL16=1,BL17=13),13,IF(BL16&lt;=0,0,IF(WEEKDAY(BL$6,1)=1,0,MAX(0,BL17-10)*BL16))+((IF(BL16&lt;=0,0,IF(WEEKDAY(BL$6,1)=1,0,MIN(10,BL17)*BL16)))-MIN(IF(BL16&lt;=0,0,IF(WEEKDAY(BL$6,1)=1,0,MIN(10,BL17)*BL16)),MAX(0,40*MAX(1,BL16)-(BH18+BI18+BJ18+BK18)))))</f>
        <v>13</v>
      </c>
      <c r="BM19" s="64">
        <f>IF(AND(BM16=1,BM17=13),13,IF(BM16&lt;=0,0,IF(WEEKDAY(BM$6,1)=1,0,MAX(0,BM17-10)*BM16))+((IF(BM16&lt;=0,0,IF(WEEKDAY(BM$6,1)=1,0,MIN(10,BM17)*BM16)))-MIN(IF(BM16&lt;=0,0,IF(WEEKDAY(BM$6,1)=1,0,MIN(10,BM17)*BM16)),MAX(0,40*MAX(1,BM16)-(BH18+BI18+BJ18+BK18+BL18)))))</f>
        <v>13</v>
      </c>
      <c r="BN19" s="64">
        <f>IF(AND(BN16=1,BN17=13),0,IF(BN16&lt;=0,0,IF(WEEKDAY(BN$6,1)=1,0,MAX(0,BN17-10)*BN16))+((IF(BN16&lt;=0,0,IF(WEEKDAY(BN$6,1)=1,0,MIN(10,BN17)*BN16)))-MIN(IF(BN16&lt;=0,0,IF(WEEKDAY(BN$6,1)=1,0,MIN(10,BN17)*BN16)),MAX(0,40*MAX(1,BN16)-(BH18+BI18+BJ18+BK18+BL18+BM18)))))</f>
        <v>0</v>
      </c>
      <c r="BO19" s="63">
        <f>IF(AND(BO16=1,BO17=13),3,IF(BO16&lt;=0,0,IF(WEEKDAY(BO$6,1)=1,0,MAX(0,BO17-10)*BO16))+((IF(BO16&lt;=0,0,IF(WEEKDAY(BO$6,1)=1,0,MIN(10,BO17)*BO16)))-MIN(IF(BO16&lt;=0,0,IF(WEEKDAY(BO$6,1)=1,0,MIN(10,BO17)*BO16)),MAX(0,40*MAX(1,BO16)-(0)))))</f>
        <v>3</v>
      </c>
      <c r="BP19" s="63">
        <f>IF(AND(BP16=1,BP17=13),3,IF(BP16&lt;=0,0,IF(WEEKDAY(BP$6,1)=1,0,MAX(0,BP17-10)*BP16))+((IF(BP16&lt;=0,0,IF(WEEKDAY(BP$6,1)=1,0,MIN(10,BP17)*BP16)))-MIN(IF(BP16&lt;=0,0,IF(WEEKDAY(BP$6,1)=1,0,MIN(10,BP17)*BP16)),MAX(0,40*MAX(1,BP16)-(BO18)))))</f>
        <v>3</v>
      </c>
      <c r="BQ19" s="63">
        <f>IF(AND(BQ16=1,BQ17=13),3,IF(BQ16&lt;=0,0,IF(WEEKDAY(BQ$6,1)=1,0,MAX(0,BQ17-10)*BQ16))+((IF(BQ16&lt;=0,0,IF(WEEKDAY(BQ$6,1)=1,0,MIN(10,BQ17)*BQ16)))-MIN(IF(BQ16&lt;=0,0,IF(WEEKDAY(BQ$6,1)=1,0,MIN(10,BQ17)*BQ16)),MAX(0,40*MAX(1,BQ16)-(BO18+BP18)))))</f>
        <v>3</v>
      </c>
      <c r="BR19" s="63">
        <f>IF(AND(BR16=1,BR17=13),3,IF(BR16&lt;=0,0,IF(WEEKDAY(BR$6,1)=1,0,MAX(0,BR17-10)*BR16))+((IF(BR16&lt;=0,0,IF(WEEKDAY(BR$6,1)=1,0,MIN(10,BR17)*BR16)))-MIN(IF(BR16&lt;=0,0,IF(WEEKDAY(BR$6,1)=1,0,MIN(10,BR17)*BR16)),MAX(0,40*MAX(1,BR16)-(0)))))</f>
        <v>3</v>
      </c>
      <c r="BS19" s="63">
        <f>IF(AND(BS16=1,BS17=13),3,IF(BS16&lt;=0,0,IF(WEEKDAY(BS$6,1)=1,0,MAX(0,BS17-10)*BS16))+((IF(BS16&lt;=0,0,IF(WEEKDAY(BS$6,1)=1,0,MIN(10,BS17)*BS16)))-MIN(IF(BS16&lt;=0,0,IF(WEEKDAY(BS$6,1)=1,0,MIN(10,BS17)*BS16)),MAX(0,40*MAX(1,BS16)-(BR18)))))</f>
        <v>3</v>
      </c>
      <c r="BT19" s="64">
        <f>IF(AND(BT16=1,BT17=13),3,IF(BT16&lt;=0,0,IF(WEEKDAY(BT$6,1)=1,0,MAX(0,BT17-10)*BT16))+((IF(BT16&lt;=0,0,IF(WEEKDAY(BT$6,1)=1,0,MIN(10,BT17)*BT16)))-MIN(IF(BT16&lt;=0,0,IF(WEEKDAY(BT$6,1)=1,0,MIN(10,BT17)*BT16)),MAX(0,40*MAX(1,BT16)-(BR18+BS18)))))</f>
        <v>3</v>
      </c>
      <c r="BU19" s="64">
        <f>IF(AND(BU16=1,BU17=13),0,IF(BU16&lt;=0,0,IF(WEEKDAY(BU$6,1)=1,0,MAX(0,BU17-10)*BU16))+((IF(BU16&lt;=0,0,IF(WEEKDAY(BU$6,1)=1,0,MIN(10,BU17)*BU16)))-MIN(IF(BU16&lt;=0,0,IF(WEEKDAY(BU$6,1)=1,0,MIN(10,BU17)*BU16)),MAX(0,40*MAX(1,BU16)-(BR18+BS18+BT18)))))</f>
        <v>0</v>
      </c>
      <c r="BV19" s="63">
        <f>IF(AND(BV16=1,BV17=13),3,IF(BV16&lt;=0,0,IF(WEEKDAY(BV$6,1)=1,0,MAX(0,BV17-10)*BV16))+((IF(BV16&lt;=0,0,IF(WEEKDAY(BV$6,1)=1,0,MIN(10,BV17)*BV16)))-MIN(IF(BV16&lt;=0,0,IF(WEEKDAY(BV$6,1)=1,0,MIN(10,BV17)*BV16)),MAX(0,40*MAX(1,BV16)-(0)))))</f>
        <v>3</v>
      </c>
      <c r="BW19" s="63">
        <f>IF(AND(BW16=1,BW17=13),3,IF(BW16&lt;=0,0,IF(WEEKDAY(BW$6,1)=1,0,MAX(0,BW17-10)*BW16))+((IF(BW16&lt;=0,0,IF(WEEKDAY(BW$6,1)=1,0,MIN(10,BW17)*BW16)))-MIN(IF(BW16&lt;=0,0,IF(WEEKDAY(BW$6,1)=1,0,MIN(10,BW17)*BW16)),MAX(0,40*MAX(1,BW16)-(BV18)))))</f>
        <v>3</v>
      </c>
      <c r="BX19" s="63">
        <f>IF(AND(BX16=1,BX17=13),3,IF(BX16&lt;=0,0,IF(WEEKDAY(BX$6,1)=1,0,MAX(0,BX17-10)*BX16))+((IF(BX16&lt;=0,0,IF(WEEKDAY(BX$6,1)=1,0,MIN(10,BX17)*BX16)))-MIN(IF(BX16&lt;=0,0,IF(WEEKDAY(BX$6,1)=1,0,MIN(10,BX17)*BX16)),MAX(0,40*MAX(1,BX16)-(BV18+BW18)))))</f>
        <v>3</v>
      </c>
      <c r="BY19" s="63">
        <f>IF(AND(BY16=1,BY17=13),3,IF(BY16&lt;=0,0,IF(WEEKDAY(BY$6,1)=1,0,MAX(0,BY17-10)*BY16))+((IF(BY16&lt;=0,0,IF(WEEKDAY(BY$6,1)=1,0,MIN(10,BY17)*BY16)))-MIN(IF(BY16&lt;=0,0,IF(WEEKDAY(BY$6,1)=1,0,MIN(10,BY17)*BY16)),MAX(0,40*MAX(1,BY16)-(BV18+BW18+BX18)))))</f>
        <v>3</v>
      </c>
      <c r="BZ19" s="63">
        <f>IF(AND(BZ16=1,BZ17=13),13,IF(BZ16&lt;=0,0,IF(WEEKDAY(BZ$6,1)=1,0,MAX(0,BZ17-10)*BZ16))+((IF(BZ16&lt;=0,0,IF(WEEKDAY(BZ$6,1)=1,0,MIN(10,BZ17)*BZ16)))-MIN(IF(BZ16&lt;=0,0,IF(WEEKDAY(BZ$6,1)=1,0,MIN(10,BZ17)*BZ16)),MAX(0,40*MAX(1,BZ16)-(BV18+BW18+BX18+BY18)))))</f>
        <v>13</v>
      </c>
      <c r="CA19" s="64">
        <f>IF(AND(CA16=1,CA17=13),13,IF(CA16&lt;=0,0,IF(WEEKDAY(CA$6,1)=1,0,MAX(0,CA17-10)*CA16))+((IF(CA16&lt;=0,0,IF(WEEKDAY(CA$6,1)=1,0,MIN(10,CA17)*CA16)))-MIN(IF(CA16&lt;=0,0,IF(WEEKDAY(CA$6,1)=1,0,MIN(10,CA17)*CA16)),MAX(0,40*MAX(1,CA16)-(BV18+BW18+BX18+BY18+BZ18)))))</f>
        <v>13</v>
      </c>
      <c r="CB19" s="64">
        <f>IF(AND(CB16=0,CB17=0),0,IF(CB16&lt;=0,0,IF(WEEKDAY(CB$6,1)=1,0,MAX(0,CB17-10)*CB16))+((IF(CB16&lt;=0,0,IF(WEEKDAY(CB$6,1)=1,0,MIN(10,CB17)*CB16)))-MIN(IF(CB16&lt;=0,0,IF(WEEKDAY(CB$6,1)=1,0,MIN(10,CB17)*CB16)),MAX(0,40*MAX(1,CB16)-(0)))))</f>
        <v>0</v>
      </c>
      <c r="CC19" s="63">
        <f>IF(AND(CC16=1,CC17=13),3,IF(CC16&lt;=0,0,IF(WEEKDAY(CC$6,1)=1,0,MAX(0,CC17-10)*CC16))+((IF(CC16&lt;=0,0,IF(WEEKDAY(CC$6,1)=1,0,MIN(10,CC17)*CC16)))-MIN(IF(CC16&lt;=0,0,IF(WEEKDAY(CC$6,1)=1,0,MIN(10,CC17)*CC16)),MAX(0,40*MAX(1,CC16)-(0)))))</f>
        <v>3</v>
      </c>
      <c r="CD19" s="63">
        <f>IF(AND(CD16=1,CD17=13),3,IF(CD16&lt;=0,0,IF(WEEKDAY(CD$6,1)=1,0,MAX(0,CD17-10)*CD16))+((IF(CD16&lt;=0,0,IF(WEEKDAY(CD$6,1)=1,0,MIN(10,CD17)*CD16)))-MIN(IF(CD16&lt;=0,0,IF(WEEKDAY(CD$6,1)=1,0,MIN(10,CD17)*CD16)),MAX(0,40*MAX(1,CD16)-(CC18)))))</f>
        <v>3</v>
      </c>
      <c r="CE19" s="63">
        <f>IF(AND(CE16=1,CE17=13),3,IF(CE16&lt;=0,0,IF(WEEKDAY(CE$6,1)=1,0,MAX(0,CE17-10)*CE16))+((IF(CE16&lt;=0,0,IF(WEEKDAY(CE$6,1)=1,0,MIN(10,CE17)*CE16)))-MIN(IF(CE16&lt;=0,0,IF(WEEKDAY(CE$6,1)=1,0,MIN(10,CE17)*CE16)),MAX(0,40*MAX(1,CE16)-(CC18+CD18)))))</f>
        <v>3</v>
      </c>
      <c r="CF19" s="63">
        <f>IF(AND(CF16=1,CF17=13),3,IF(CF16&lt;=0,0,IF(WEEKDAY(CF$6,1)=1,0,MAX(0,CF17-10)*CF16))+((IF(CF16&lt;=0,0,IF(WEEKDAY(CF$6,1)=1,0,MIN(10,CF17)*CF16)))-MIN(IF(CF16&lt;=0,0,IF(WEEKDAY(CF$6,1)=1,0,MIN(10,CF17)*CF16)),MAX(0,40*MAX(1,CF16)-(CC18+CD18+CE18)))))</f>
        <v>3</v>
      </c>
      <c r="CG19" s="63">
        <f>IF(AND(CG16=1,CG17=13),13,IF(CG16&lt;=0,0,IF(WEEKDAY(CG$6,1)=1,0,MAX(0,CG17-10)*CG16))+((IF(CG16&lt;=0,0,IF(WEEKDAY(CG$6,1)=1,0,MIN(10,CG17)*CG16)))-MIN(IF(CG16&lt;=0,0,IF(WEEKDAY(CG$6,1)=1,0,MIN(10,CG17)*CG16)),MAX(0,40*MAX(1,CG16)-(CC18+CD18+CE18+CF18)))))</f>
        <v>13</v>
      </c>
      <c r="CH19" s="64">
        <f>IF(AND(CH16=1,CH17=13),13,IF(CH16&lt;=0,0,IF(WEEKDAY(CH$6,1)=1,0,MAX(0,CH17-10)*CH16))+((IF(CH16&lt;=0,0,IF(WEEKDAY(CH$6,1)=1,0,MIN(10,CH17)*CH16)))-MIN(IF(CH16&lt;=0,0,IF(WEEKDAY(CH$6,1)=1,0,MIN(10,CH17)*CH16)),MAX(0,40*MAX(1,CH16)-(CC18+CD18+CE18+CF18+CG18)))))</f>
        <v>13</v>
      </c>
      <c r="CI19" s="64">
        <f>IF(AND(CI16=1,CI17=13),0,IF(CI16&lt;=0,0,IF(WEEKDAY(CI$6,1)=1,0,MAX(0,CI17-10)*CI16))+((IF(CI16&lt;=0,0,IF(WEEKDAY(CI$6,1)=1,0,MIN(10,CI17)*CI16)))-MIN(IF(CI16&lt;=0,0,IF(WEEKDAY(CI$6,1)=1,0,MIN(10,CI17)*CI16)),MAX(0,40*MAX(1,CI16)-(CC18+CD18+CE18+CF18+CG18+CH18)))))</f>
        <v>0</v>
      </c>
      <c r="CJ19" s="63">
        <f>IF(AND(CJ16=1,CJ17=13),3,IF(CJ16&lt;=0,0,IF(WEEKDAY(CJ$6,1)=1,0,MAX(0,CJ17-10)*CJ16))+((IF(CJ16&lt;=0,0,IF(WEEKDAY(CJ$6,1)=1,0,MIN(10,CJ17)*CJ16)))-MIN(IF(CJ16&lt;=0,0,IF(WEEKDAY(CJ$6,1)=1,0,MIN(10,CJ17)*CJ16)),MAX(0,40*MAX(1,CJ16)-(0)))))</f>
        <v>3</v>
      </c>
      <c r="CK19" s="63">
        <f>IF(AND(CK16=1,CK17=13),3,IF(CK16&lt;=0,0,IF(WEEKDAY(CK$6,1)=1,0,MAX(0,CK17-10)*CK16))+((IF(CK16&lt;=0,0,IF(WEEKDAY(CK$6,1)=1,0,MIN(10,CK17)*CK16)))-MIN(IF(CK16&lt;=0,0,IF(WEEKDAY(CK$6,1)=1,0,MIN(10,CK17)*CK16)),MAX(0,40*MAX(1,CK16)-(CJ18)))))</f>
        <v>3</v>
      </c>
      <c r="CL19" s="63">
        <f>IF(AND(CL16=1,CL17=13),3,IF(CL16&lt;=0,0,IF(WEEKDAY(CL$6,1)=1,0,MAX(0,CL17-10)*CL16))+((IF(CL16&lt;=0,0,IF(WEEKDAY(CL$6,1)=1,0,MIN(10,CL17)*CL16)))-MIN(IF(CL16&lt;=0,0,IF(WEEKDAY(CL$6,1)=1,0,MIN(10,CL17)*CL16)),MAX(0,40*MAX(1,CL16)-(CJ18+CK18)))))</f>
        <v>3</v>
      </c>
      <c r="CM19" s="63">
        <f>IF(AND(CM16=1,CM17=13),3,IF(CM16&lt;=0,0,IF(WEEKDAY(CM$6,1)=1,0,MAX(0,CM17-10)*CM16))+((IF(CM16&lt;=0,0,IF(WEEKDAY(CM$6,1)=1,0,MIN(10,CM17)*CM16)))-MIN(IF(CM16&lt;=0,0,IF(WEEKDAY(CM$6,1)=1,0,MIN(10,CM17)*CM16)),MAX(0,40*MAX(1,CM16)-(CJ18+CK18+CL18)))))</f>
        <v>3</v>
      </c>
      <c r="CN19" s="63">
        <f>IF(AND(CN16=1,CN17=13),13,IF(CN16&lt;=0,0,IF(WEEKDAY(CN$6,1)=1,0,MAX(0,CN17-10)*CN16))+((IF(CN16&lt;=0,0,IF(WEEKDAY(CN$6,1)=1,0,MIN(10,CN17)*CN16)))-MIN(IF(CN16&lt;=0,0,IF(WEEKDAY(CN$6,1)=1,0,MIN(10,CN17)*CN16)),MAX(0,40*MAX(1,CN16)-(CJ18+CK18+CL18+CM18)))))</f>
        <v>13</v>
      </c>
      <c r="CO19" s="64">
        <f>IF(AND(CO16=1,CO17=13),13,IF(CO16&lt;=0,0,IF(WEEKDAY(CO$6,1)=1,0,MAX(0,CO17-10)*CO16))+((IF(CO16&lt;=0,0,IF(WEEKDAY(CO$6,1)=1,0,MIN(10,CO17)*CO16)))-MIN(IF(CO16&lt;=0,0,IF(WEEKDAY(CO$6,1)=1,0,MIN(10,CO17)*CO16)),MAX(0,40*MAX(1,CO16)-(CJ18+CK18+CL18+CM18+CN18)))))</f>
        <v>13</v>
      </c>
      <c r="CP19" s="64">
        <f>IF(AND(CP16=0,CP17=0),0,IF(CP16&lt;=0,0,IF(WEEKDAY(CP$6,1)=1,0,MAX(0,CP17-10)*CP16))+((IF(CP16&lt;=0,0,IF(WEEKDAY(CP$6,1)=1,0,MIN(10,CP17)*CP16)))-MIN(IF(CP16&lt;=0,0,IF(WEEKDAY(CP$6,1)=1,0,MIN(10,CP17)*CP16)),MAX(0,40*MAX(1,CP16)-(0)))))</f>
        <v>0</v>
      </c>
      <c r="CQ19" s="63">
        <f>IF(AND(CQ16=1,CQ17=13),3,IF(CQ16&lt;=0,0,IF(WEEKDAY(CQ$6,1)=1,0,MAX(0,CQ17-10)*CQ16))+((IF(CQ16&lt;=0,0,IF(WEEKDAY(CQ$6,1)=1,0,MIN(10,CQ17)*CQ16)))-MIN(IF(CQ16&lt;=0,0,IF(WEEKDAY(CQ$6,1)=1,0,MIN(10,CQ17)*CQ16)),MAX(0,40*MAX(1,CQ16)-(0)))))</f>
        <v>3</v>
      </c>
      <c r="CR19" s="63">
        <f>IF(AND(CR16=1,CR17=13),3,IF(CR16&lt;=0,0,IF(WEEKDAY(CR$6,1)=1,0,MAX(0,CR17-10)*CR16))+((IF(CR16&lt;=0,0,IF(WEEKDAY(CR$6,1)=1,0,MIN(10,CR17)*CR16)))-MIN(IF(CR16&lt;=0,0,IF(WEEKDAY(CR$6,1)=1,0,MIN(10,CR17)*CR16)),MAX(0,40*MAX(1,CR16)-(CQ18)))))</f>
        <v>3</v>
      </c>
      <c r="CS19" s="63">
        <f>IF(AND(CS16=1,CS17=13),3,IF(CS16&lt;=0,0,IF(WEEKDAY(CS$6,1)=1,0,MAX(0,CS17-10)*CS16))+((IF(CS16&lt;=0,0,IF(WEEKDAY(CS$6,1)=1,0,MIN(10,CS17)*CS16)))-MIN(IF(CS16&lt;=0,0,IF(WEEKDAY(CS$6,1)=1,0,MIN(10,CS17)*CS16)),MAX(0,40*MAX(1,CS16)-(CQ18+CR18)))))</f>
        <v>3</v>
      </c>
      <c r="CT19" s="63">
        <f>IF(AND(CT16=1,CT17=13),3,IF(CT16&lt;=0,0,IF(WEEKDAY(CT$6,1)=1,0,MAX(0,CT17-10)*CT16))+((IF(CT16&lt;=0,0,IF(WEEKDAY(CT$6,1)=1,0,MIN(10,CT17)*CT16)))-MIN(IF(CT16&lt;=0,0,IF(WEEKDAY(CT$6,1)=1,0,MIN(10,CT17)*CT16)),MAX(0,40*MAX(1,CT16)-(CQ18+CR18+CS18)))))</f>
        <v>3</v>
      </c>
      <c r="CU19" s="63">
        <f>IF(AND(CU16=1,CU17=13),13,IF(CU16&lt;=0,0,IF(WEEKDAY(CU$6,1)=1,0,MAX(0,CU17-10)*CU16))+((IF(CU16&lt;=0,0,IF(WEEKDAY(CU$6,1)=1,0,MIN(10,CU17)*CU16)))-MIN(IF(CU16&lt;=0,0,IF(WEEKDAY(CU$6,1)=1,0,MIN(10,CU17)*CU16)),MAX(0,40*MAX(1,CU16)-(CQ18+CR18+CS18+CT18)))))</f>
        <v>13</v>
      </c>
      <c r="CV19" s="64">
        <f>IF(AND(CV16=1,CV17=13),13,IF(CV16&lt;=0,0,IF(WEEKDAY(CV$6,1)=1,0,MAX(0,CV17-10)*CV16))+((IF(CV16&lt;=0,0,IF(WEEKDAY(CV$6,1)=1,0,MIN(10,CV17)*CV16)))-MIN(IF(CV16&lt;=0,0,IF(WEEKDAY(CV$6,1)=1,0,MIN(10,CV17)*CV16)),MAX(0,40*MAX(1,CV16)-(CQ18+CR18+CS18+CT18+CU18)))))</f>
        <v>13</v>
      </c>
      <c r="CW19" s="64">
        <f>IF(AND(CW16=1,CW17=13),0,IF(CW16&lt;=0,0,IF(WEEKDAY(CW$6,1)=1,0,MAX(0,CW17-10)*CW16))+((IF(CW16&lt;=0,0,IF(WEEKDAY(CW$6,1)=1,0,MIN(10,CW17)*CW16)))-MIN(IF(CW16&lt;=0,0,IF(WEEKDAY(CW$6,1)=1,0,MIN(10,CW17)*CW16)),MAX(0,40*MAX(1,CW16)-(CQ18+CR18+CS18+CT18+CU18+CV18)))))</f>
        <v>0</v>
      </c>
      <c r="CX19" s="63">
        <f>IF(AND(CX16=1,CX17=13),3,IF(CX16&lt;=0,0,IF(WEEKDAY(CX$6,1)=1,0,MAX(0,CX17-10)*CX16))+((IF(CX16&lt;=0,0,IF(WEEKDAY(CX$6,1)=1,0,MIN(10,CX17)*CX16)))-MIN(IF(CX16&lt;=0,0,IF(WEEKDAY(CX$6,1)=1,0,MIN(10,CX17)*CX16)),MAX(0,40*MAX(1,CX16)-(0)))))</f>
        <v>3</v>
      </c>
      <c r="CY19" s="63">
        <f>IF(AND(CY16=1,CY17=13),3,IF(CY16&lt;=0,0,IF(WEEKDAY(CY$6,1)=1,0,MAX(0,CY17-10)*CY16))+((IF(CY16&lt;=0,0,IF(WEEKDAY(CY$6,1)=1,0,MIN(10,CY17)*CY16)))-MIN(IF(CY16&lt;=0,0,IF(WEEKDAY(CY$6,1)=1,0,MIN(10,CY17)*CY16)),MAX(0,40*MAX(1,CY16)-(CX18)))))</f>
        <v>3</v>
      </c>
      <c r="CZ19" s="63">
        <f>IF(AND(CZ16=1,CZ17=13),3,IF(CZ16&lt;=0,0,IF(WEEKDAY(CZ$6,1)=1,0,MAX(0,CZ17-10)*CZ16))+((IF(CZ16&lt;=0,0,IF(WEEKDAY(CZ$6,1)=1,0,MIN(10,CZ17)*CZ16)))-MIN(IF(CZ16&lt;=0,0,IF(WEEKDAY(CZ$6,1)=1,0,MIN(10,CZ17)*CZ16)),MAX(0,40*MAX(1,CZ16)-(CX18+CY18)))))</f>
        <v>3</v>
      </c>
      <c r="DA19" s="63">
        <f>IF(AND(DA16=1,DA17=13),3,IF(DA16&lt;=0,0,IF(WEEKDAY(DA$6,1)=1,0,MAX(0,DA17-10)*DA16))+((IF(DA16&lt;=0,0,IF(WEEKDAY(DA$6,1)=1,0,MIN(10,DA17)*DA16)))-MIN(IF(DA16&lt;=0,0,IF(WEEKDAY(DA$6,1)=1,0,MIN(10,DA17)*DA16)),MAX(0,40*MAX(1,DA16)-(CX18+CY18+CZ18)))))</f>
        <v>3</v>
      </c>
      <c r="DB19" s="63">
        <f>IF(AND(DB16=1,DB17=13),13,IF(DB16&lt;=0,0,IF(WEEKDAY(DB$6,1)=1,0,MAX(0,DB17-10)*DB16))+((IF(DB16&lt;=0,0,IF(WEEKDAY(DB$6,1)=1,0,MIN(10,DB17)*DB16)))-MIN(IF(DB16&lt;=0,0,IF(WEEKDAY(DB$6,1)=1,0,MIN(10,DB17)*DB16)),MAX(0,40*MAX(1,DB16)-(CX18+CY18+CZ18+DA18)))))</f>
        <v>13</v>
      </c>
      <c r="DC19" s="64">
        <f>IF(AND(DC16=1,DC17=13),13,IF(DC16&lt;=0,0,IF(WEEKDAY(DC$6,1)=1,0,MAX(0,DC17-10)*DC16))+((IF(DC16&lt;=0,0,IF(WEEKDAY(DC$6,1)=1,0,MIN(10,DC17)*DC16)))-MIN(IF(DC16&lt;=0,0,IF(WEEKDAY(DC$6,1)=1,0,MIN(10,DC17)*DC16)),MAX(0,40*MAX(1,DC16)-(CX18+CY18+CZ18+DA18+DB18)))))</f>
        <v>13</v>
      </c>
      <c r="DD19" s="64">
        <f>IF(AND(DD16=1,DD17=13),0,IF(DD16&lt;=0,0,IF(WEEKDAY(DD$6,1)=1,0,MAX(0,DD17-10)*DD16))+((IF(DD16&lt;=0,0,IF(WEEKDAY(DD$6,1)=1,0,MIN(10,DD17)*DD16)))-MIN(IF(DD16&lt;=0,0,IF(WEEKDAY(DD$6,1)=1,0,MIN(10,DD17)*DD16)),MAX(0,40*MAX(1,DD16)-(0)))))</f>
        <v>0</v>
      </c>
      <c r="DE19" s="63">
        <f>IF(AND(DE16=1,DE17=13),3,IF(DE16&lt;=0,0,IF(WEEKDAY(DE$6,1)=1,0,MAX(0,DE17-10)*DE16))+((IF(DE16&lt;=0,0,IF(WEEKDAY(DE$6,1)=1,0,MIN(10,DE17)*DE16)))-MIN(IF(DE16&lt;=0,0,IF(WEEKDAY(DE$6,1)=1,0,MIN(10,DE17)*DE16)),MAX(0,40*MAX(1,DE16)-(0)))))</f>
        <v>3</v>
      </c>
      <c r="DF19" s="63">
        <f>IF(AND(DF16=1,DF17=13),3,IF(DF16&lt;=0,0,IF(WEEKDAY(DF$6,1)=1,0,MAX(0,DF17-10)*DF16))+((IF(DF16&lt;=0,0,IF(WEEKDAY(DF$6,1)=1,0,MIN(10,DF17)*DF16)))-MIN(IF(DF16&lt;=0,0,IF(WEEKDAY(DF$6,1)=1,0,MIN(10,DF17)*DF16)),MAX(0,40*MAX(1,DF16)-(DE18)))))</f>
        <v>3</v>
      </c>
      <c r="DG19" s="63">
        <f>IF(AND(DG16=1,DG17=13),3,IF(DG16&lt;=0,0,IF(WEEKDAY(DG$6,1)=1,0,MAX(0,DG17-10)*DG16))+((IF(DG16&lt;=0,0,IF(WEEKDAY(DG$6,1)=1,0,MIN(10,DG17)*DG16)))-MIN(IF(DG16&lt;=0,0,IF(WEEKDAY(DG$6,1)=1,0,MIN(10,DG17)*DG16)),MAX(0,40*MAX(1,DG16)-(DE18+DF18)))))</f>
        <v>3</v>
      </c>
      <c r="DH19" s="63">
        <f>IF(AND(DH16=1,DH17=13),3,IF(DH16&lt;=0,0,IF(WEEKDAY(DH$6,1)=1,0,MAX(0,DH17-10)*DH16))+((IF(DH16&lt;=0,0,IF(WEEKDAY(DH$6,1)=1,0,MIN(10,DH17)*DH16)))-MIN(IF(DH16&lt;=0,0,IF(WEEKDAY(DH$6,1)=1,0,MIN(10,DH17)*DH16)),MAX(0,40*MAX(1,DH16)-(DE18+DF18+DG18)))))</f>
        <v>3</v>
      </c>
      <c r="DI19" s="63">
        <f>IF(AND(DI16=1,DI17=13),13,IF(DI16&lt;=0,0,IF(WEEKDAY(DI$6,1)=1,0,MAX(0,DI17-10)*DI16))+((IF(DI16&lt;=0,0,IF(WEEKDAY(DI$6,1)=1,0,MIN(10,DI17)*DI16)))-MIN(IF(DI16&lt;=0,0,IF(WEEKDAY(DI$6,1)=1,0,MIN(10,DI17)*DI16)),MAX(0,40*MAX(1,DI16)-(DE18+DF18+DG18+DH18)))))</f>
        <v>13</v>
      </c>
      <c r="DJ19" s="64">
        <f>IF(AND(DJ16=1,DJ17=13),13,IF(DJ16&lt;=0,0,IF(WEEKDAY(DJ$6,1)=1,0,MAX(0,DJ17-10)*DJ16))+((IF(DJ16&lt;=0,0,IF(WEEKDAY(DJ$6,1)=1,0,MIN(10,DJ17)*DJ16)))-MIN(IF(DJ16&lt;=0,0,IF(WEEKDAY(DJ$6,1)=1,0,MIN(10,DJ17)*DJ16)),MAX(0,40*MAX(1,DJ16)-(DE18+DF18+DG18+DH18+DI18)))))</f>
        <v>13</v>
      </c>
      <c r="DK19" s="64">
        <f>IF(AND(DK16=0,DK17=0),0,IF(DK16&lt;=0,0,IF(WEEKDAY(DK$6,1)=1,0,MAX(0,DK17-10)*DK16))+((IF(DK16&lt;=0,0,IF(WEEKDAY(DK$6,1)=1,0,MIN(10,DK17)*DK16)))-MIN(IF(DK16&lt;=0,0,IF(WEEKDAY(DK$6,1)=1,0,MIN(10,DK17)*DK16)),MAX(0,40*MAX(1,DK16)-(0)))))</f>
        <v>0</v>
      </c>
      <c r="DL19" s="63">
        <f>IF(AND(DL16=1,DL17=13),3,IF(DL16&lt;=0,0,IF(WEEKDAY(DL$6,1)=1,0,MAX(0,DL17-10)*DL16))+((IF(DL16&lt;=0,0,IF(WEEKDAY(DL$6,1)=1,0,MIN(10,DL17)*DL16)))-MIN(IF(DL16&lt;=0,0,IF(WEEKDAY(DL$6,1)=1,0,MIN(10,DL17)*DL16)),MAX(0,40*MAX(1,DL16)-(0)))))</f>
        <v>3</v>
      </c>
      <c r="DM19" s="63">
        <f>IF(AND(DM16=1,DM17=13),3,IF(DM16&lt;=0,0,IF(WEEKDAY(DM$6,1)=1,0,MAX(0,DM17-10)*DM16))+((IF(DM16&lt;=0,0,IF(WEEKDAY(DM$6,1)=1,0,MIN(10,DM17)*DM16)))-MIN(IF(DM16&lt;=0,0,IF(WEEKDAY(DM$6,1)=1,0,MIN(10,DM17)*DM16)),MAX(0,40*MAX(1,DM16)-(DL18)))))</f>
        <v>3</v>
      </c>
      <c r="DN19" s="63">
        <f>IF(AND(DN16=1,DN17=13),3,IF(DN16&lt;=0,0,IF(WEEKDAY(DN$6,1)=1,0,MAX(0,DN17-10)*DN16))+((IF(DN16&lt;=0,0,IF(WEEKDAY(DN$6,1)=1,0,MIN(10,DN17)*DN16)))-MIN(IF(DN16&lt;=0,0,IF(WEEKDAY(DN$6,1)=1,0,MIN(10,DN17)*DN16)),MAX(0,40*MAX(1,DN16)-(DL18+DM18)))))</f>
        <v>3</v>
      </c>
      <c r="DO19" s="63">
        <f>IF(AND(DO16=1,DO17=13),3,IF(DO16&lt;=0,0,IF(WEEKDAY(DO$6,1)=1,0,MAX(0,DO17-10)*DO16))+((IF(DO16&lt;=0,0,IF(WEEKDAY(DO$6,1)=1,0,MIN(10,DO17)*DO16)))-MIN(IF(DO16&lt;=0,0,IF(WEEKDAY(DO$6,1)=1,0,MIN(10,DO17)*DO16)),MAX(0,40*MAX(1,DO16)-(DL18+DM18+DN18)))))</f>
        <v>3</v>
      </c>
      <c r="DP19" s="63">
        <f>IF(AND(DP16=1,DP17=13),13,IF(DP16&lt;=0,0,IF(WEEKDAY(DP$6,1)=1,0,MAX(0,DP17-10)*DP16))+((IF(DP16&lt;=0,0,IF(WEEKDAY(DP$6,1)=1,0,MIN(10,DP17)*DP16)))-MIN(IF(DP16&lt;=0,0,IF(WEEKDAY(DP$6,1)=1,0,MIN(10,DP17)*DP16)),MAX(0,40*MAX(1,DP16)-(DL18+DM18+DN18+DO18)))))</f>
        <v>13</v>
      </c>
      <c r="DQ19" s="64">
        <f>IF(AND(DQ16=1,DQ17=13),13,IF(DQ16&lt;=0,0,IF(WEEKDAY(DQ$6,1)=1,0,MAX(0,DQ17-10)*DQ16))+((IF(DQ16&lt;=0,0,IF(WEEKDAY(DQ$6,1)=1,0,MIN(10,DQ17)*DQ16)))-MIN(IF(DQ16&lt;=0,0,IF(WEEKDAY(DQ$6,1)=1,0,MIN(10,DQ17)*DQ16)),MAX(0,40*MAX(1,DQ16)-(DL18+DM18+DN18+DO18+DP18)))))</f>
        <v>13</v>
      </c>
      <c r="DR19" s="64">
        <f>IF(AND(DR16=1,DR17=13),0,IF(DR16&lt;=0,0,IF(WEEKDAY(DR$6,1)=1,0,MAX(0,DR17-10)*DR16))+((IF(DR16&lt;=0,0,IF(WEEKDAY(DR$6,1)=1,0,MIN(10,DR17)*DR16)))-MIN(IF(DR16&lt;=0,0,IF(WEEKDAY(DR$6,1)=1,0,MIN(10,DR17)*DR16)),MAX(0,40*MAX(1,DR16)-(DL18+DM18+DN18+DO18+DP18+DQ18)))))</f>
        <v>0</v>
      </c>
      <c r="DS19" s="63">
        <f>IF(AND(DS16=1,DS17=13),3,IF(DS16&lt;=0,0,IF(WEEKDAY(DS$6,1)=1,0,MAX(0,DS17-10)*DS16))+((IF(DS16&lt;=0,0,IF(WEEKDAY(DS$6,1)=1,0,MIN(10,DS17)*DS16)))-MIN(IF(DS16&lt;=0,0,IF(WEEKDAY(DS$6,1)=1,0,MIN(10,DS17)*DS16)),MAX(0,40*MAX(1,DS16)-(0)))))</f>
        <v>3</v>
      </c>
      <c r="DT19" s="63">
        <f>IF(AND(DT16=1,DT17=9),1,IF(DT16&lt;=0,0,IF(WEEKDAY(DT$6,1)=1,0,MAX(0,DT17-8)*DT16))+((IF(DT16&lt;=0,0,IF(WEEKDAY(DT$6,1)=1,0,MIN(8,DT17)*DT16)))-MIN(IF(DT16&lt;=0,0,IF(WEEKDAY(DT$6,1)=1,0,MIN(8,DT17)*DT16)),MAX(0,40*MAX(1,DT16)-(0)))))</f>
        <v>1</v>
      </c>
      <c r="DU19" s="63">
        <f>IF(AND(DU16=1,DU17=9),1,IF(DU16&lt;=0,0,IF(WEEKDAY(DU$6,1)=1,0,MAX(0,DU17-8)*DU16))+((IF(DU16&lt;=0,0,IF(WEEKDAY(DU$6,1)=1,0,MIN(8,DU17)*DU16)))-MIN(IF(DU16&lt;=0,0,IF(WEEKDAY(DU$6,1)=1,0,MIN(8,DU17)*DU16)),MAX(0,40*MAX(1,DU16)-(DT18)))))</f>
        <v>1</v>
      </c>
      <c r="DV19" s="63">
        <f>IF(AND(DV16=1,DV17=9),1,IF(DV16&lt;=0,0,IF(WEEKDAY(DV$6,1)=1,0,MAX(0,DV17-8)*DV16))+((IF(DV16&lt;=0,0,IF(WEEKDAY(DV$6,1)=1,0,MIN(8,DV17)*DV16)))-MIN(IF(DV16&lt;=0,0,IF(WEEKDAY(DV$6,1)=1,0,MIN(8,DV17)*DV16)),MAX(0,40*MAX(1,DV16)-(DT18+DU18)))))</f>
        <v>1</v>
      </c>
      <c r="DW19" s="63">
        <f>IF(AND(DW16=1,DW17=9),1,IF(DW16&lt;=0,0,IF(WEEKDAY(DW$6,1)=1,0,MAX(0,DW17-8)*DW16))+((IF(DW16&lt;=0,0,IF(WEEKDAY(DW$6,1)=1,0,MIN(8,DW17)*DW16)))-MIN(IF(DW16&lt;=0,0,IF(WEEKDAY(DW$6,1)=1,0,MIN(8,DW17)*DW16)),MAX(0,40*MAX(1,DW16)-(DT18+DU18+DV18)))))</f>
        <v>1</v>
      </c>
      <c r="DX19" s="64">
        <f>IF(AND(DX16=0,DX17=0),0,IF(DX16&lt;=0,0,IF(WEEKDAY(DX$6,1)=1,0,MAX(0,DX17-10)*DX16))+((IF(DX16&lt;=0,0,IF(WEEKDAY(DX$6,1)=1,0,MIN(10,DX17)*DX16)))-MIN(IF(DX16&lt;=0,0,IF(WEEKDAY(DX$6,1)=1,0,MIN(10,DX17)*DX16)),MAX(0,40*MAX(1,DX16)-(0)))))</f>
        <v>0</v>
      </c>
      <c r="DY19" s="64">
        <f>IF(AND(DY16=0,DY17=0),0,IF(DY16&lt;=0,0,IF(WEEKDAY(DY$6,1)=1,0,MAX(0,DY17-10)*DY16))+((IF(DY16&lt;=0,0,IF(WEEKDAY(DY$6,1)=1,0,MIN(10,DY17)*DY16)))-MIN(IF(DY16&lt;=0,0,IF(WEEKDAY(DY$6,1)=1,0,MIN(10,DY17)*DY16)),MAX(0,40*MAX(1,DY16)-(DX18)))))</f>
        <v>0</v>
      </c>
      <c r="DZ19" s="63">
        <f>IF(AND(DZ16=1,DZ17=9),1,IF(DZ16&lt;=0,0,IF(WEEKDAY(DZ$6,1)=1,0,MAX(0,DZ17-8)*DZ16))+((IF(DZ16&lt;=0,0,IF(WEEKDAY(DZ$6,1)=1,0,MIN(8,DZ17)*DZ16)))-MIN(IF(DZ16&lt;=0,0,IF(WEEKDAY(DZ$6,1)=1,0,MIN(8,DZ17)*DZ16)),MAX(0,40*MAX(1,DZ16)-(0)))))</f>
        <v>1</v>
      </c>
      <c r="EA19" s="63">
        <f>IF(AND(EA16=1,EA17=9),1,IF(EA16&lt;=0,0,IF(WEEKDAY(EA$6,1)=1,0,MAX(0,EA17-8)*EA16))+((IF(EA16&lt;=0,0,IF(WEEKDAY(EA$6,1)=1,0,MIN(8,EA17)*EA16)))-MIN(IF(EA16&lt;=0,0,IF(WEEKDAY(EA$6,1)=1,0,MIN(8,EA17)*EA16)),MAX(0,40*MAX(1,EA16)-(DZ18)))))</f>
        <v>1</v>
      </c>
      <c r="EB19" s="63">
        <f>IF(AND(EB16=1,EB17=9),1,IF(EB16&lt;=0,0,IF(WEEKDAY(EB$6,1)=1,0,MAX(0,EB17-8)*EB16))+((IF(EB16&lt;=0,0,IF(WEEKDAY(EB$6,1)=1,0,MIN(8,EB17)*EB16)))-MIN(IF(EB16&lt;=0,0,IF(WEEKDAY(EB$6,1)=1,0,MIN(8,EB17)*EB16)),MAX(0,40*MAX(1,EB16)-(DZ18+EA18)))))</f>
        <v>1</v>
      </c>
      <c r="EC19" s="63">
        <f>IF(AND(EC16=1,EC17=9),1,IF(EC16&lt;=0,0,IF(WEEKDAY(EC$6,1)=1,0,MAX(0,EC17-8)*EC16))+((IF(EC16&lt;=0,0,IF(WEEKDAY(EC$6,1)=1,0,MIN(8,EC17)*EC16)))-MIN(IF(EC16&lt;=0,0,IF(WEEKDAY(EC$6,1)=1,0,MIN(8,EC17)*EC16)),MAX(0,40*MAX(1,EC16)-(DZ18+EA18+EB18)))))</f>
        <v>1</v>
      </c>
      <c r="ED19" s="63">
        <f>IF(AND(ED16=1,ED17=9),1,IF(ED16&lt;=0,0,IF(WEEKDAY(ED$6,1)=1,0,MAX(0,ED17-8)*ED16))+((IF(ED16&lt;=0,0,IF(WEEKDAY(ED$6,1)=1,0,MIN(8,ED17)*ED16)))-MIN(IF(ED16&lt;=0,0,IF(WEEKDAY(ED$6,1)=1,0,MIN(8,ED17)*ED16)),MAX(0,40*MAX(1,ED16)-(DZ18+EA18+EB18+EC18)))))</f>
        <v>1</v>
      </c>
      <c r="EE19" s="64">
        <f>IF(AND(EE16=0,EE17=0),0,IF(EE16&lt;=0,0,IF(WEEKDAY(EE$6,1)=1,0,MAX(0,EE17-10)*EE16))+((IF(EE16&lt;=0,0,IF(WEEKDAY(EE$6,1)=1,0,MIN(10,EE17)*EE16)))-MIN(IF(EE16&lt;=0,0,IF(WEEKDAY(EE$6,1)=1,0,MIN(10,EE17)*EE16)),MAX(0,40*MAX(1,EE16)-(0)))))</f>
        <v>0</v>
      </c>
      <c r="EF19" s="64">
        <f>IF(AND(EF16=0,EF17=0),0,IF(EF16&lt;=0,0,IF(WEEKDAY(EF$6,1)=1,0,MAX(0,EF17-10)*EF16))+((IF(EF16&lt;=0,0,IF(WEEKDAY(EF$6,1)=1,0,MIN(10,EF17)*EF16)))-MIN(IF(EF16&lt;=0,0,IF(WEEKDAY(EF$6,1)=1,0,MIN(10,EF17)*EF16)),MAX(0,40*MAX(1,EF16)-(EE18)))))</f>
        <v>0</v>
      </c>
      <c r="EG19" s="63">
        <f>IF(AND(EG16=1,EG17=9),1,IF(EG16&lt;=0,0,IF(WEEKDAY(EG$6,1)=1,0,MAX(0,EG17-8)*EG16))+((IF(EG16&lt;=0,0,IF(WEEKDAY(EG$6,1)=1,0,MIN(8,EG17)*EG16)))-MIN(IF(EG16&lt;=0,0,IF(WEEKDAY(EG$6,1)=1,0,MIN(8,EG17)*EG16)),MAX(0,40*MAX(1,EG16)-(0)))))</f>
        <v>1</v>
      </c>
      <c r="EH19" s="63">
        <f>IF(AND(EH16=1,EH17=9),1,IF(EH16&lt;=0,0,IF(WEEKDAY(EH$6,1)=1,0,MAX(0,EH17-8)*EH16))+((IF(EH16&lt;=0,0,IF(WEEKDAY(EH$6,1)=1,0,MIN(8,EH17)*EH16)))-MIN(IF(EH16&lt;=0,0,IF(WEEKDAY(EH$6,1)=1,0,MIN(8,EH17)*EH16)),MAX(0,40*MAX(1,EH16)-(EG18)))))</f>
        <v>1</v>
      </c>
      <c r="EI19" s="63">
        <f>IF(AND(EI16=1,EI17=9),1,IF(EI16&lt;=0,0,IF(WEEKDAY(EI$6,1)=1,0,MAX(0,EI17-8)*EI16))+((IF(EI16&lt;=0,0,IF(WEEKDAY(EI$6,1)=1,0,MIN(8,EI17)*EI16)))-MIN(IF(EI16&lt;=0,0,IF(WEEKDAY(EI$6,1)=1,0,MIN(8,EI17)*EI16)),MAX(0,40*MAX(1,EI16)-(EG18+EH18)))))</f>
        <v>1</v>
      </c>
      <c r="EJ19" s="63">
        <f>IF(AND(EJ16=1,EJ17=9),1,IF(EJ16&lt;=0,0,IF(WEEKDAY(EJ$6,1)=1,0,MAX(0,EJ17-8)*EJ16))+((IF(EJ16&lt;=0,0,IF(WEEKDAY(EJ$6,1)=1,0,MIN(8,EJ17)*EJ16)))-MIN(IF(EJ16&lt;=0,0,IF(WEEKDAY(EJ$6,1)=1,0,MIN(8,EJ17)*EJ16)),MAX(0,40*MAX(1,EJ16)-(EG18+EH18+EI18)))))</f>
        <v>1</v>
      </c>
      <c r="EK19" s="65">
        <f>IF(AND(EK16=1,EK17=9),1,IF(EK16&lt;=0,0,IF(WEEKDAY(EK$6,1)=1,0,MAX(0,EK17-8)*EK16))+((IF(EK16&lt;=0,0,IF(WEEKDAY(EK$6,1)=1,0,MIN(8,EK17)*EK16)))-MIN(IF(EK16&lt;=0,0,IF(WEEKDAY(EK$6,1)=1,0,MIN(8,EK17)*EK16)),MAX(0,40*MAX(1,EK16)-(EG18+EH18+EI18+EJ18)))))</f>
        <v>1</v>
      </c>
      <c r="OU19" s="28" t="s">
        <v>67</v>
      </c>
    </row>
    <row r="20" ht="16" customHeight="1" spans="1:411" x14ac:dyDescent="0.25">
      <c r="A20" s="45"/>
      <c r="B20" s="46"/>
      <c r="C20" s="61">
        <f>H15*N(D20)</f>
        <v>17451.72</v>
      </c>
      <c r="D20" s="61">
        <f>IF(TRIM(B15)="","No rate",IFERROR(INDEX('Rate Tables'!E$7:E$158,MATCH(B15,'Rate Tables'!A$7:A$158,0)),"No rate"))</f>
        <v>223.74</v>
      </c>
      <c r="E20" s="55" t="s">
        <v>64</v>
      </c>
      <c r="F20" s="49"/>
      <c r="G20" s="49"/>
      <c r="H20" s="49"/>
      <c r="I20" s="49"/>
      <c r="J20" s="50"/>
      <c r="K20" s="62">
        <f>IF(AND(K16=1,K17=9),0,IF(K16&lt;=0,0,IF(WEEKDAY(K$6,1)=1,K16*K17,0)))</f>
        <v>0</v>
      </c>
      <c r="L20" s="63">
        <f>IF(AND(L16=1,L17=9),0,IF(L16&lt;=0,0,IF(WEEKDAY(L$6,1)=1,L16*L17,0)))</f>
        <v>0</v>
      </c>
      <c r="M20" s="63">
        <f>IF(AND(M16=1,M17=9),0,IF(M16&lt;=0,0,IF(WEEKDAY(M$6,1)=1,M16*M17,0)))</f>
        <v>0</v>
      </c>
      <c r="N20" s="63">
        <f>IF(AND(N16=1,N17=9),0,IF(N16&lt;=0,0,IF(WEEKDAY(N$6,1)=1,N16*N17,0)))</f>
        <v>0</v>
      </c>
      <c r="O20" s="63">
        <f>IF(AND(O16=1,O17=9),0,IF(O16&lt;=0,0,IF(WEEKDAY(O$6,1)=1,O16*O17,0)))</f>
        <v>0</v>
      </c>
      <c r="P20" s="64">
        <f>IF(AND(P16=0,P17=0),0,IF(P16&lt;=0,0,IF(WEEKDAY(P$6,1)=1,P16*P17,0)))</f>
        <v>0</v>
      </c>
      <c r="Q20" s="64">
        <f>IF(AND(Q16=0,Q17=0),0,IF(Q16&lt;=0,0,IF(WEEKDAY(Q$6,1)=1,Q16*Q17,0)))</f>
        <v>0</v>
      </c>
      <c r="R20" s="63">
        <f>IF(AND(R16=1,R17=9),0,IF(R16&lt;=0,0,IF(WEEKDAY(R$6,1)=1,R16*R17,0)))</f>
        <v>0</v>
      </c>
      <c r="S20" s="63">
        <f>IF(AND(S16=1,S17=9),0,IF(S16&lt;=0,0,IF(WEEKDAY(S$6,1)=1,S16*S17,0)))</f>
        <v>0</v>
      </c>
      <c r="T20" s="63">
        <f>IF(AND(T16=1,T17=9),0,IF(T16&lt;=0,0,IF(WEEKDAY(T$6,1)=1,T16*T17,0)))</f>
        <v>0</v>
      </c>
      <c r="U20" s="63">
        <f>IF(AND(U16=1,U17=9),0,IF(U16&lt;=0,0,IF(WEEKDAY(U$6,1)=1,U16*U17,0)))</f>
        <v>0</v>
      </c>
      <c r="V20" s="63">
        <f>IF(AND(V16=1,V17=9),0,IF(V16&lt;=0,0,IF(WEEKDAY(V$6,1)=1,V16*V17,0)))</f>
        <v>0</v>
      </c>
      <c r="W20" s="64">
        <f>IF(AND(W16=0,W17=0),0,IF(W16&lt;=0,0,IF(WEEKDAY(W$6,1)=1,W16*W17,0)))</f>
        <v>0</v>
      </c>
      <c r="X20" s="64">
        <f>IF(AND(X16=0,X17=0),0,IF(X16&lt;=0,0,IF(WEEKDAY(X$6,1)=1,X16*X17,0)))</f>
        <v>0</v>
      </c>
      <c r="Y20" s="63">
        <f>IF(AND(Y16=1,Y17=9),0,IF(Y16&lt;=0,0,IF(WEEKDAY(Y$6,1)=1,Y16*Y17,0)))</f>
        <v>0</v>
      </c>
      <c r="Z20" s="63">
        <f>IF(AND(Z16=1,Z17=9),0,IF(Z16&lt;=0,0,IF(WEEKDAY(Z$6,1)=1,Z16*Z17,0)))</f>
        <v>0</v>
      </c>
      <c r="AA20" s="63">
        <f>IF(AND(AA16=1,AA17=9),0,IF(AA16&lt;=0,0,IF(WEEKDAY(AA$6,1)=1,AA16*AA17,0)))</f>
        <v>0</v>
      </c>
      <c r="AB20" s="63">
        <f>IF(AND(AB16=1,AB17=9),0,IF(AB16&lt;=0,0,IF(WEEKDAY(AB$6,1)=1,AB16*AB17,0)))</f>
        <v>0</v>
      </c>
      <c r="AC20" s="63">
        <f>IF(AND(AC16=1,AC17=9),0,IF(AC16&lt;=0,0,IF(WEEKDAY(AC$6,1)=1,AC16*AC17,0)))</f>
        <v>0</v>
      </c>
      <c r="AD20" s="64">
        <f>IF(AND(AD16=0,AD17=0),0,IF(AD16&lt;=0,0,IF(WEEKDAY(AD$6,1)=1,AD16*AD17,0)))</f>
        <v>0</v>
      </c>
      <c r="AE20" s="64">
        <f>IF(AND(AE16=0,AE17=0),0,IF(AE16&lt;=0,0,IF(WEEKDAY(AE$6,1)=1,AE16*AE17,0)))</f>
        <v>0</v>
      </c>
      <c r="AF20" s="63">
        <f>IF(AND(AF16=1,AF17=9),0,IF(AF16&lt;=0,0,IF(WEEKDAY(AF$6,1)=1,AF16*AF17,0)))</f>
        <v>0</v>
      </c>
      <c r="AG20" s="63">
        <f>IF(AND(AG16=1,AG17=9),0,IF(AG16&lt;=0,0,IF(WEEKDAY(AG$6,1)=1,AG16*AG17,0)))</f>
        <v>0</v>
      </c>
      <c r="AH20" s="63">
        <f>IF(AND(AH16=1,AH17=9),0,IF(AH16&lt;=0,0,IF(WEEKDAY(AH$6,1)=1,AH16*AH17,0)))</f>
        <v>0</v>
      </c>
      <c r="AI20" s="63">
        <f>IF(AND(AI16=1,AI17=9),0,IF(AI16&lt;=0,0,IF(WEEKDAY(AI$6,1)=1,AI16*AI17,0)))</f>
        <v>0</v>
      </c>
      <c r="AJ20" s="63">
        <f>IF(AND(AJ16=1,AJ17=9),0,IF(AJ16&lt;=0,0,IF(WEEKDAY(AJ$6,1)=1,AJ16*AJ17,0)))</f>
        <v>0</v>
      </c>
      <c r="AK20" s="64">
        <f>IF(AND(AK16=0,AK17=0),0,IF(AK16&lt;=0,0,IF(WEEKDAY(AK$6,1)=1,AK16*AK17,0)))</f>
        <v>0</v>
      </c>
      <c r="AL20" s="64">
        <f>IF(AND(AL16=0,AL17=0),0,IF(AL16&lt;=0,0,IF(WEEKDAY(AL$6,1)=1,AL16*AL17,0)))</f>
        <v>0</v>
      </c>
      <c r="AM20" s="63">
        <f>IF(AND(AM16=1,AM17=9),0,IF(AM16&lt;=0,0,IF(WEEKDAY(AM$6,1)=1,AM16*AM17,0)))</f>
        <v>0</v>
      </c>
      <c r="AN20" s="63">
        <f>IF(AND(AN16=1,AN17=9),0,IF(AN16&lt;=0,0,IF(WEEKDAY(AN$6,1)=1,AN16*AN17,0)))</f>
        <v>0</v>
      </c>
      <c r="AO20" s="63">
        <f>IF(AND(AO16=1,AO17=9),0,IF(AO16&lt;=0,0,IF(WEEKDAY(AO$6,1)=1,AO16*AO17,0)))</f>
        <v>0</v>
      </c>
      <c r="AP20" s="63">
        <f>IF(AND(AP16=1,AP17=9),0,IF(AP16&lt;=0,0,IF(WEEKDAY(AP$6,1)=1,AP16*AP17,0)))</f>
        <v>0</v>
      </c>
      <c r="AQ20" s="63">
        <f>IF(AND(AQ16=1,AQ17=9),0,IF(AQ16&lt;=0,0,IF(WEEKDAY(AQ$6,1)=1,AQ16*AQ17,0)))</f>
        <v>0</v>
      </c>
      <c r="AR20" s="64">
        <f>IF(AND(AR16=0,AR17=0),0,IF(AR16&lt;=0,0,IF(WEEKDAY(AR$6,1)=1,AR16*AR17,0)))</f>
        <v>0</v>
      </c>
      <c r="AS20" s="64">
        <f>IF(AND(AS16=0,AS17=0),0,IF(AS16&lt;=0,0,IF(WEEKDAY(AS$6,1)=1,AS16*AS17,0)))</f>
        <v>0</v>
      </c>
      <c r="AT20" s="63">
        <f>IF(AND(AT16=1,AT17=9),0,IF(AT16&lt;=0,0,IF(WEEKDAY(AT$6,1)=1,AT16*AT17,0)))</f>
        <v>0</v>
      </c>
      <c r="AU20" s="63">
        <f>IF(AND(AU16=1,AU17=9),0,IF(AU16&lt;=0,0,IF(WEEKDAY(AU$6,1)=1,AU16*AU17,0)))</f>
        <v>0</v>
      </c>
      <c r="AV20" s="63">
        <f>IF(AND(AV16=1,AV17=9),0,IF(AV16&lt;=0,0,IF(WEEKDAY(AV$6,1)=1,AV16*AV17,0)))</f>
        <v>0</v>
      </c>
      <c r="AW20" s="63">
        <f>IF(AND(AW16=1,AW17=9),0,IF(AW16&lt;=0,0,IF(WEEKDAY(AW$6,1)=1,AW16*AW17,0)))</f>
        <v>0</v>
      </c>
      <c r="AX20" s="63">
        <f>IF(AND(AX16=1,AX17=9),0,IF(AX16&lt;=0,0,IF(WEEKDAY(AX$6,1)=1,AX16*AX17,0)))</f>
        <v>0</v>
      </c>
      <c r="AY20" s="64">
        <f>IF(AND(AY16=0,AY17=0),0,IF(AY16&lt;=0,0,IF(WEEKDAY(AY$6,1)=1,AY16*AY17,0)))</f>
        <v>0</v>
      </c>
      <c r="AZ20" s="64">
        <f>IF(AND(AZ16=0,AZ17=0),0,IF(AZ16&lt;=0,0,IF(WEEKDAY(AZ$6,1)=1,AZ16*AZ17,0)))</f>
        <v>0</v>
      </c>
      <c r="BA20" s="63">
        <f>IF(AND(BA16=1,BA17=9),0,IF(BA16&lt;=0,0,IF(WEEKDAY(BA$6,1)=1,BA16*BA17,0)))</f>
        <v>0</v>
      </c>
      <c r="BB20" s="63">
        <f>IF(AND(BB16=1,BB17=9),0,IF(BB16&lt;=0,0,IF(WEEKDAY(BB$6,1)=1,BB16*BB17,0)))</f>
        <v>0</v>
      </c>
      <c r="BC20" s="63">
        <f>IF(AND(BC16=1,BC17=9),0,IF(BC16&lt;=0,0,IF(WEEKDAY(BC$6,1)=1,BC16*BC17,0)))</f>
        <v>0</v>
      </c>
      <c r="BD20" s="63">
        <f>IF(AND(BD16=1,BD17=9),0,IF(BD16&lt;=0,0,IF(WEEKDAY(BD$6,1)=1,BD16*BD17,0)))</f>
        <v>0</v>
      </c>
      <c r="BE20" s="63">
        <f>IF(AND(BE16=1,BE17=9),0,IF(BE16&lt;=0,0,IF(WEEKDAY(BE$6,1)=1,BE16*BE17,0)))</f>
        <v>0</v>
      </c>
      <c r="BF20" s="64">
        <f>IF(AND(BF16=0,BF17=0),0,IF(BF16&lt;=0,0,IF(WEEKDAY(BF$6,1)=1,BF16*BF17,0)))</f>
        <v>0</v>
      </c>
      <c r="BG20" s="64">
        <f>IF(AND(BG16=0,BG17=0),0,IF(BG16&lt;=0,0,IF(WEEKDAY(BG$6,1)=1,BG16*BG17,0)))</f>
        <v>0</v>
      </c>
      <c r="BH20" s="63">
        <f>IF(AND(BH16=1,BH17=13),0,IF(BH16&lt;=0,0,IF(WEEKDAY(BH$6,1)=1,BH16*BH17,0)))</f>
        <v>0</v>
      </c>
      <c r="BI20" s="63">
        <f>IF(AND(BI16=1,BI17=13),0,IF(BI16&lt;=0,0,IF(WEEKDAY(BI$6,1)=1,BI16*BI17,0)))</f>
        <v>0</v>
      </c>
      <c r="BJ20" s="63">
        <f>IF(AND(BJ16=1,BJ17=13),0,IF(BJ16&lt;=0,0,IF(WEEKDAY(BJ$6,1)=1,BJ16*BJ17,0)))</f>
        <v>0</v>
      </c>
      <c r="BK20" s="63">
        <f>IF(AND(BK16=1,BK17=13),0,IF(BK16&lt;=0,0,IF(WEEKDAY(BK$6,1)=1,BK16*BK17,0)))</f>
        <v>0</v>
      </c>
      <c r="BL20" s="63">
        <f>IF(AND(BL16=1,BL17=13),0,IF(BL16&lt;=0,0,IF(WEEKDAY(BL$6,1)=1,BL16*BL17,0)))</f>
        <v>0</v>
      </c>
      <c r="BM20" s="64">
        <f>IF(AND(BM16=1,BM17=13),0,IF(BM16&lt;=0,0,IF(WEEKDAY(BM$6,1)=1,BM16*BM17,0)))</f>
        <v>0</v>
      </c>
      <c r="BN20" s="64">
        <f>IF(AND(BN16=1,BN17=13),13,IF(BN16&lt;=0,0,IF(WEEKDAY(BN$6,1)=1,BN16*BN17,0)))</f>
        <v>13</v>
      </c>
      <c r="BO20" s="63">
        <f>IF(AND(BO16=1,BO17=13),0,IF(BO16&lt;=0,0,IF(WEEKDAY(BO$6,1)=1,BO16*BO17,0)))</f>
        <v>0</v>
      </c>
      <c r="BP20" s="63">
        <f>IF(AND(BP16=1,BP17=13),0,IF(BP16&lt;=0,0,IF(WEEKDAY(BP$6,1)=1,BP16*BP17,0)))</f>
        <v>0</v>
      </c>
      <c r="BQ20" s="63">
        <f>IF(AND(BQ16=1,BQ17=13),0,IF(BQ16&lt;=0,0,IF(WEEKDAY(BQ$6,1)=1,BQ16*BQ17,0)))</f>
        <v>0</v>
      </c>
      <c r="BR20" s="63">
        <f>IF(AND(BR16=1,BR17=13),0,IF(BR16&lt;=0,0,IF(WEEKDAY(BR$6,1)=1,BR16*BR17,0)))</f>
        <v>0</v>
      </c>
      <c r="BS20" s="63">
        <f>IF(AND(BS16=1,BS17=13),0,IF(BS16&lt;=0,0,IF(WEEKDAY(BS$6,1)=1,BS16*BS17,0)))</f>
        <v>0</v>
      </c>
      <c r="BT20" s="64">
        <f>IF(AND(BT16=1,BT17=13),0,IF(BT16&lt;=0,0,IF(WEEKDAY(BT$6,1)=1,BT16*BT17,0)))</f>
        <v>0</v>
      </c>
      <c r="BU20" s="64">
        <f>IF(AND(BU16=1,BU17=13),13,IF(BU16&lt;=0,0,IF(WEEKDAY(BU$6,1)=1,BU16*BU17,0)))</f>
        <v>13</v>
      </c>
      <c r="BV20" s="63">
        <f>IF(AND(BV16=1,BV17=13),0,IF(BV16&lt;=0,0,IF(WEEKDAY(BV$6,1)=1,BV16*BV17,0)))</f>
        <v>0</v>
      </c>
      <c r="BW20" s="63">
        <f>IF(AND(BW16=1,BW17=13),0,IF(BW16&lt;=0,0,IF(WEEKDAY(BW$6,1)=1,BW16*BW17,0)))</f>
        <v>0</v>
      </c>
      <c r="BX20" s="63">
        <f>IF(AND(BX16=1,BX17=13),0,IF(BX16&lt;=0,0,IF(WEEKDAY(BX$6,1)=1,BX16*BX17,0)))</f>
        <v>0</v>
      </c>
      <c r="BY20" s="63">
        <f>IF(AND(BY16=1,BY17=13),0,IF(BY16&lt;=0,0,IF(WEEKDAY(BY$6,1)=1,BY16*BY17,0)))</f>
        <v>0</v>
      </c>
      <c r="BZ20" s="63">
        <f>IF(AND(BZ16=1,BZ17=13),0,IF(BZ16&lt;=0,0,IF(WEEKDAY(BZ$6,1)=1,BZ16*BZ17,0)))</f>
        <v>0</v>
      </c>
      <c r="CA20" s="64">
        <f>IF(AND(CA16=1,CA17=13),0,IF(CA16&lt;=0,0,IF(WEEKDAY(CA$6,1)=1,CA16*CA17,0)))</f>
        <v>0</v>
      </c>
      <c r="CB20" s="64">
        <f>IF(AND(CB16=0,CB17=0),0,IF(CB16&lt;=0,0,IF(WEEKDAY(CB$6,1)=1,CB16*CB17,0)))</f>
        <v>0</v>
      </c>
      <c r="CC20" s="63">
        <f>IF(AND(CC16=1,CC17=13),0,IF(CC16&lt;=0,0,IF(WEEKDAY(CC$6,1)=1,CC16*CC17,0)))</f>
        <v>0</v>
      </c>
      <c r="CD20" s="63">
        <f>IF(AND(CD16=1,CD17=13),0,IF(CD16&lt;=0,0,IF(WEEKDAY(CD$6,1)=1,CD16*CD17,0)))</f>
        <v>0</v>
      </c>
      <c r="CE20" s="63">
        <f>IF(AND(CE16=1,CE17=13),0,IF(CE16&lt;=0,0,IF(WEEKDAY(CE$6,1)=1,CE16*CE17,0)))</f>
        <v>0</v>
      </c>
      <c r="CF20" s="63">
        <f>IF(AND(CF16=1,CF17=13),0,IF(CF16&lt;=0,0,IF(WEEKDAY(CF$6,1)=1,CF16*CF17,0)))</f>
        <v>0</v>
      </c>
      <c r="CG20" s="63">
        <f>IF(AND(CG16=1,CG17=13),0,IF(CG16&lt;=0,0,IF(WEEKDAY(CG$6,1)=1,CG16*CG17,0)))</f>
        <v>0</v>
      </c>
      <c r="CH20" s="64">
        <f>IF(AND(CH16=1,CH17=13),0,IF(CH16&lt;=0,0,IF(WEEKDAY(CH$6,1)=1,CH16*CH17,0)))</f>
        <v>0</v>
      </c>
      <c r="CI20" s="64">
        <f>IF(AND(CI16=1,CI17=13),13,IF(CI16&lt;=0,0,IF(WEEKDAY(CI$6,1)=1,CI16*CI17,0)))</f>
        <v>13</v>
      </c>
      <c r="CJ20" s="63">
        <f>IF(AND(CJ16=1,CJ17=13),0,IF(CJ16&lt;=0,0,IF(WEEKDAY(CJ$6,1)=1,CJ16*CJ17,0)))</f>
        <v>0</v>
      </c>
      <c r="CK20" s="63">
        <f>IF(AND(CK16=1,CK17=13),0,IF(CK16&lt;=0,0,IF(WEEKDAY(CK$6,1)=1,CK16*CK17,0)))</f>
        <v>0</v>
      </c>
      <c r="CL20" s="63">
        <f>IF(AND(CL16=1,CL17=13),0,IF(CL16&lt;=0,0,IF(WEEKDAY(CL$6,1)=1,CL16*CL17,0)))</f>
        <v>0</v>
      </c>
      <c r="CM20" s="63">
        <f>IF(AND(CM16=1,CM17=13),0,IF(CM16&lt;=0,0,IF(WEEKDAY(CM$6,1)=1,CM16*CM17,0)))</f>
        <v>0</v>
      </c>
      <c r="CN20" s="63">
        <f>IF(AND(CN16=1,CN17=13),0,IF(CN16&lt;=0,0,IF(WEEKDAY(CN$6,1)=1,CN16*CN17,0)))</f>
        <v>0</v>
      </c>
      <c r="CO20" s="64">
        <f>IF(AND(CO16=1,CO17=13),0,IF(CO16&lt;=0,0,IF(WEEKDAY(CO$6,1)=1,CO16*CO17,0)))</f>
        <v>0</v>
      </c>
      <c r="CP20" s="64">
        <f>IF(AND(CP16=0,CP17=0),0,IF(CP16&lt;=0,0,IF(WEEKDAY(CP$6,1)=1,CP16*CP17,0)))</f>
        <v>0</v>
      </c>
      <c r="CQ20" s="63">
        <f>IF(AND(CQ16=1,CQ17=13),0,IF(CQ16&lt;=0,0,IF(WEEKDAY(CQ$6,1)=1,CQ16*CQ17,0)))</f>
        <v>0</v>
      </c>
      <c r="CR20" s="63">
        <f>IF(AND(CR16=1,CR17=13),0,IF(CR16&lt;=0,0,IF(WEEKDAY(CR$6,1)=1,CR16*CR17,0)))</f>
        <v>0</v>
      </c>
      <c r="CS20" s="63">
        <f>IF(AND(CS16=1,CS17=13),0,IF(CS16&lt;=0,0,IF(WEEKDAY(CS$6,1)=1,CS16*CS17,0)))</f>
        <v>0</v>
      </c>
      <c r="CT20" s="63">
        <f>IF(AND(CT16=1,CT17=13),0,IF(CT16&lt;=0,0,IF(WEEKDAY(CT$6,1)=1,CT16*CT17,0)))</f>
        <v>0</v>
      </c>
      <c r="CU20" s="63">
        <f>IF(AND(CU16=1,CU17=13),0,IF(CU16&lt;=0,0,IF(WEEKDAY(CU$6,1)=1,CU16*CU17,0)))</f>
        <v>0</v>
      </c>
      <c r="CV20" s="64">
        <f>IF(AND(CV16=1,CV17=13),0,IF(CV16&lt;=0,0,IF(WEEKDAY(CV$6,1)=1,CV16*CV17,0)))</f>
        <v>0</v>
      </c>
      <c r="CW20" s="64">
        <f>IF(AND(CW16=1,CW17=13),13,IF(CW16&lt;=0,0,IF(WEEKDAY(CW$6,1)=1,CW16*CW17,0)))</f>
        <v>13</v>
      </c>
      <c r="CX20" s="63">
        <f>IF(AND(CX16=1,CX17=13),0,IF(CX16&lt;=0,0,IF(WEEKDAY(CX$6,1)=1,CX16*CX17,0)))</f>
        <v>0</v>
      </c>
      <c r="CY20" s="63">
        <f>IF(AND(CY16=1,CY17=13),0,IF(CY16&lt;=0,0,IF(WEEKDAY(CY$6,1)=1,CY16*CY17,0)))</f>
        <v>0</v>
      </c>
      <c r="CZ20" s="63">
        <f>IF(AND(CZ16=1,CZ17=13),0,IF(CZ16&lt;=0,0,IF(WEEKDAY(CZ$6,1)=1,CZ16*CZ17,0)))</f>
        <v>0</v>
      </c>
      <c r="DA20" s="63">
        <f>IF(AND(DA16=1,DA17=13),0,IF(DA16&lt;=0,0,IF(WEEKDAY(DA$6,1)=1,DA16*DA17,0)))</f>
        <v>0</v>
      </c>
      <c r="DB20" s="63">
        <f>IF(AND(DB16=1,DB17=13),0,IF(DB16&lt;=0,0,IF(WEEKDAY(DB$6,1)=1,DB16*DB17,0)))</f>
        <v>0</v>
      </c>
      <c r="DC20" s="64">
        <f>IF(AND(DC16=1,DC17=13),0,IF(DC16&lt;=0,0,IF(WEEKDAY(DC$6,1)=1,DC16*DC17,0)))</f>
        <v>0</v>
      </c>
      <c r="DD20" s="64">
        <f>IF(AND(DD16=1,DD17=13),13,IF(DD16&lt;=0,0,IF(WEEKDAY(DD$6,1)=1,DD16*DD17,0)))</f>
        <v>13</v>
      </c>
      <c r="DE20" s="63">
        <f>IF(AND(DE16=1,DE17=13),0,IF(DE16&lt;=0,0,IF(WEEKDAY(DE$6,1)=1,DE16*DE17,0)))</f>
        <v>0</v>
      </c>
      <c r="DF20" s="63">
        <f>IF(AND(DF16=1,DF17=13),0,IF(DF16&lt;=0,0,IF(WEEKDAY(DF$6,1)=1,DF16*DF17,0)))</f>
        <v>0</v>
      </c>
      <c r="DG20" s="63">
        <f>IF(AND(DG16=1,DG17=13),0,IF(DG16&lt;=0,0,IF(WEEKDAY(DG$6,1)=1,DG16*DG17,0)))</f>
        <v>0</v>
      </c>
      <c r="DH20" s="63">
        <f>IF(AND(DH16=1,DH17=13),0,IF(DH16&lt;=0,0,IF(WEEKDAY(DH$6,1)=1,DH16*DH17,0)))</f>
        <v>0</v>
      </c>
      <c r="DI20" s="63">
        <f>IF(AND(DI16=1,DI17=13),0,IF(DI16&lt;=0,0,IF(WEEKDAY(DI$6,1)=1,DI16*DI17,0)))</f>
        <v>0</v>
      </c>
      <c r="DJ20" s="64">
        <f>IF(AND(DJ16=1,DJ17=13),0,IF(DJ16&lt;=0,0,IF(WEEKDAY(DJ$6,1)=1,DJ16*DJ17,0)))</f>
        <v>0</v>
      </c>
      <c r="DK20" s="64">
        <f>IF(AND(DK16=0,DK17=0),0,IF(DK16&lt;=0,0,IF(WEEKDAY(DK$6,1)=1,DK16*DK17,0)))</f>
        <v>0</v>
      </c>
      <c r="DL20" s="63">
        <f>IF(AND(DL16=1,DL17=13),0,IF(DL16&lt;=0,0,IF(WEEKDAY(DL$6,1)=1,DL16*DL17,0)))</f>
        <v>0</v>
      </c>
      <c r="DM20" s="63">
        <f>IF(AND(DM16=1,DM17=13),0,IF(DM16&lt;=0,0,IF(WEEKDAY(DM$6,1)=1,DM16*DM17,0)))</f>
        <v>0</v>
      </c>
      <c r="DN20" s="63">
        <f>IF(AND(DN16=1,DN17=13),0,IF(DN16&lt;=0,0,IF(WEEKDAY(DN$6,1)=1,DN16*DN17,0)))</f>
        <v>0</v>
      </c>
      <c r="DO20" s="63">
        <f>IF(AND(DO16=1,DO17=13),0,IF(DO16&lt;=0,0,IF(WEEKDAY(DO$6,1)=1,DO16*DO17,0)))</f>
        <v>0</v>
      </c>
      <c r="DP20" s="63">
        <f>IF(AND(DP16=1,DP17=13),0,IF(DP16&lt;=0,0,IF(WEEKDAY(DP$6,1)=1,DP16*DP17,0)))</f>
        <v>0</v>
      </c>
      <c r="DQ20" s="64">
        <f>IF(AND(DQ16=1,DQ17=13),0,IF(DQ16&lt;=0,0,IF(WEEKDAY(DQ$6,1)=1,DQ16*DQ17,0)))</f>
        <v>0</v>
      </c>
      <c r="DR20" s="64">
        <f>IF(AND(DR16=1,DR17=13),13,IF(DR16&lt;=0,0,IF(WEEKDAY(DR$6,1)=1,DR16*DR17,0)))</f>
        <v>13</v>
      </c>
      <c r="DS20" s="63">
        <f>IF(AND(DS16=1,DS17=13),0,IF(DS16&lt;=0,0,IF(WEEKDAY(DS$6,1)=1,DS16*DS17,0)))</f>
        <v>0</v>
      </c>
      <c r="DT20" s="63">
        <f>IF(AND(DT16=1,DT17=9),0,IF(DT16&lt;=0,0,IF(WEEKDAY(DT$6,1)=1,DT16*DT17,0)))</f>
        <v>0</v>
      </c>
      <c r="DU20" s="63">
        <f>IF(AND(DU16=1,DU17=9),0,IF(DU16&lt;=0,0,IF(WEEKDAY(DU$6,1)=1,DU16*DU17,0)))</f>
        <v>0</v>
      </c>
      <c r="DV20" s="63">
        <f>IF(AND(DV16=1,DV17=9),0,IF(DV16&lt;=0,0,IF(WEEKDAY(DV$6,1)=1,DV16*DV17,0)))</f>
        <v>0</v>
      </c>
      <c r="DW20" s="63">
        <f>IF(AND(DW16=1,DW17=9),0,IF(DW16&lt;=0,0,IF(WEEKDAY(DW$6,1)=1,DW16*DW17,0)))</f>
        <v>0</v>
      </c>
      <c r="DX20" s="64">
        <f>IF(AND(DX16=0,DX17=0),0,IF(DX16&lt;=0,0,IF(WEEKDAY(DX$6,1)=1,DX16*DX17,0)))</f>
        <v>0</v>
      </c>
      <c r="DY20" s="64">
        <f>IF(AND(DY16=0,DY17=0),0,IF(DY16&lt;=0,0,IF(WEEKDAY(DY$6,1)=1,DY16*DY17,0)))</f>
        <v>0</v>
      </c>
      <c r="DZ20" s="63">
        <f>IF(AND(DZ16=1,DZ17=9),0,IF(DZ16&lt;=0,0,IF(WEEKDAY(DZ$6,1)=1,DZ16*DZ17,0)))</f>
        <v>0</v>
      </c>
      <c r="EA20" s="63">
        <f>IF(AND(EA16=1,EA17=9),0,IF(EA16&lt;=0,0,IF(WEEKDAY(EA$6,1)=1,EA16*EA17,0)))</f>
        <v>0</v>
      </c>
      <c r="EB20" s="63">
        <f>IF(AND(EB16=1,EB17=9),0,IF(EB16&lt;=0,0,IF(WEEKDAY(EB$6,1)=1,EB16*EB17,0)))</f>
        <v>0</v>
      </c>
      <c r="EC20" s="63">
        <f>IF(AND(EC16=1,EC17=9),0,IF(EC16&lt;=0,0,IF(WEEKDAY(EC$6,1)=1,EC16*EC17,0)))</f>
        <v>0</v>
      </c>
      <c r="ED20" s="63">
        <f>IF(AND(ED16=1,ED17=9),0,IF(ED16&lt;=0,0,IF(WEEKDAY(ED$6,1)=1,ED16*ED17,0)))</f>
        <v>0</v>
      </c>
      <c r="EE20" s="64">
        <f>IF(AND(EE16=0,EE17=0),0,IF(EE16&lt;=0,0,IF(WEEKDAY(EE$6,1)=1,EE16*EE17,0)))</f>
        <v>0</v>
      </c>
      <c r="EF20" s="64">
        <f>IF(AND(EF16=0,EF17=0),0,IF(EF16&lt;=0,0,IF(WEEKDAY(EF$6,1)=1,EF16*EF17,0)))</f>
        <v>0</v>
      </c>
      <c r="EG20" s="63">
        <f>IF(AND(EG16=1,EG17=9),0,IF(EG16&lt;=0,0,IF(WEEKDAY(EG$6,1)=1,EG16*EG17,0)))</f>
        <v>0</v>
      </c>
      <c r="EH20" s="63">
        <f>IF(AND(EH16=1,EH17=9),0,IF(EH16&lt;=0,0,IF(WEEKDAY(EH$6,1)=1,EH16*EH17,0)))</f>
        <v>0</v>
      </c>
      <c r="EI20" s="63">
        <f>IF(AND(EI16=1,EI17=9),0,IF(EI16&lt;=0,0,IF(WEEKDAY(EI$6,1)=1,EI16*EI17,0)))</f>
        <v>0</v>
      </c>
      <c r="EJ20" s="63">
        <f>IF(AND(EJ16=1,EJ17=9),0,IF(EJ16&lt;=0,0,IF(WEEKDAY(EJ$6,1)=1,EJ16*EJ17,0)))</f>
        <v>0</v>
      </c>
      <c r="EK20" s="65">
        <f>IF(AND(EK16=1,EK17=9),0,IF(EK16&lt;=0,0,IF(WEEKDAY(EK$6,1)=1,EK16*EK17,0)))</f>
        <v>0</v>
      </c>
      <c r="OU20" s="28" t="s">
        <v>67</v>
      </c>
    </row>
    <row r="21" ht="16" customHeight="1" spans="1:411" x14ac:dyDescent="0.25">
      <c r="A21" s="45"/>
      <c r="B21" s="46"/>
      <c r="C21" s="67">
        <f>I15*D21</f>
        <v>15400</v>
      </c>
      <c r="D21" s="67">
        <v>140</v>
      </c>
      <c r="E21" s="68" t="s">
        <v>65</v>
      </c>
      <c r="F21" s="49"/>
      <c r="G21" s="49"/>
      <c r="H21" s="49"/>
      <c r="I21" s="49"/>
      <c r="J21" s="50"/>
      <c r="K21" s="69">
        <v>1</v>
      </c>
      <c r="L21" s="70">
        <v>1</v>
      </c>
      <c r="M21" s="70">
        <v>1</v>
      </c>
      <c r="N21" s="70">
        <v>1</v>
      </c>
      <c r="O21" s="70">
        <v>1</v>
      </c>
      <c r="P21" s="71">
        <v>0</v>
      </c>
      <c r="Q21" s="71">
        <v>0</v>
      </c>
      <c r="R21" s="70">
        <v>1</v>
      </c>
      <c r="S21" s="70">
        <v>1</v>
      </c>
      <c r="T21" s="70">
        <v>1</v>
      </c>
      <c r="U21" s="70">
        <v>1</v>
      </c>
      <c r="V21" s="70">
        <v>1</v>
      </c>
      <c r="W21" s="71">
        <v>0</v>
      </c>
      <c r="X21" s="71">
        <v>0</v>
      </c>
      <c r="Y21" s="70">
        <v>1</v>
      </c>
      <c r="Z21" s="70">
        <v>1</v>
      </c>
      <c r="AA21" s="70">
        <v>1</v>
      </c>
      <c r="AB21" s="70">
        <v>1</v>
      </c>
      <c r="AC21" s="70">
        <v>1</v>
      </c>
      <c r="AD21" s="71">
        <v>0</v>
      </c>
      <c r="AE21" s="71">
        <v>0</v>
      </c>
      <c r="AF21" s="70">
        <v>1</v>
      </c>
      <c r="AG21" s="70">
        <v>1</v>
      </c>
      <c r="AH21" s="70">
        <v>1</v>
      </c>
      <c r="AI21" s="70">
        <v>1</v>
      </c>
      <c r="AJ21" s="70">
        <v>1</v>
      </c>
      <c r="AK21" s="71">
        <v>0</v>
      </c>
      <c r="AL21" s="71">
        <v>0</v>
      </c>
      <c r="AM21" s="70">
        <v>1</v>
      </c>
      <c r="AN21" s="70">
        <v>1</v>
      </c>
      <c r="AO21" s="70">
        <v>1</v>
      </c>
      <c r="AP21" s="70">
        <v>1</v>
      </c>
      <c r="AQ21" s="70">
        <v>1</v>
      </c>
      <c r="AR21" s="71">
        <v>0</v>
      </c>
      <c r="AS21" s="71">
        <v>0</v>
      </c>
      <c r="AT21" s="70">
        <v>1</v>
      </c>
      <c r="AU21" s="70">
        <v>1</v>
      </c>
      <c r="AV21" s="70">
        <v>1</v>
      </c>
      <c r="AW21" s="70">
        <v>1</v>
      </c>
      <c r="AX21" s="70">
        <v>1</v>
      </c>
      <c r="AY21" s="71">
        <v>0</v>
      </c>
      <c r="AZ21" s="71">
        <v>0</v>
      </c>
      <c r="BA21" s="70">
        <v>1</v>
      </c>
      <c r="BB21" s="70">
        <v>1</v>
      </c>
      <c r="BC21" s="70">
        <v>1</v>
      </c>
      <c r="BD21" s="70">
        <v>1</v>
      </c>
      <c r="BE21" s="70">
        <v>1</v>
      </c>
      <c r="BF21" s="71">
        <v>0</v>
      </c>
      <c r="BG21" s="71">
        <v>0</v>
      </c>
      <c r="BH21" s="70">
        <v>1</v>
      </c>
      <c r="BI21" s="70">
        <v>1</v>
      </c>
      <c r="BJ21" s="70">
        <v>1</v>
      </c>
      <c r="BK21" s="70">
        <v>1</v>
      </c>
      <c r="BL21" s="70">
        <v>1</v>
      </c>
      <c r="BM21" s="71">
        <v>1</v>
      </c>
      <c r="BN21" s="71">
        <v>1</v>
      </c>
      <c r="BO21" s="70">
        <v>1</v>
      </c>
      <c r="BP21" s="70">
        <v>1</v>
      </c>
      <c r="BQ21" s="70">
        <v>1</v>
      </c>
      <c r="BR21" s="70">
        <v>1</v>
      </c>
      <c r="BS21" s="70">
        <v>1</v>
      </c>
      <c r="BT21" s="71">
        <v>1</v>
      </c>
      <c r="BU21" s="71">
        <v>1</v>
      </c>
      <c r="BV21" s="70">
        <v>1</v>
      </c>
      <c r="BW21" s="70">
        <v>1</v>
      </c>
      <c r="BX21" s="70">
        <v>1</v>
      </c>
      <c r="BY21" s="70">
        <v>1</v>
      </c>
      <c r="BZ21" s="70">
        <v>1</v>
      </c>
      <c r="CA21" s="71">
        <v>1</v>
      </c>
      <c r="CB21" s="71">
        <v>0</v>
      </c>
      <c r="CC21" s="70">
        <v>1</v>
      </c>
      <c r="CD21" s="70">
        <v>1</v>
      </c>
      <c r="CE21" s="70">
        <v>1</v>
      </c>
      <c r="CF21" s="70">
        <v>1</v>
      </c>
      <c r="CG21" s="70">
        <v>1</v>
      </c>
      <c r="CH21" s="71">
        <v>1</v>
      </c>
      <c r="CI21" s="71">
        <v>1</v>
      </c>
      <c r="CJ21" s="70">
        <v>1</v>
      </c>
      <c r="CK21" s="70">
        <v>1</v>
      </c>
      <c r="CL21" s="70">
        <v>1</v>
      </c>
      <c r="CM21" s="70">
        <v>1</v>
      </c>
      <c r="CN21" s="70">
        <v>1</v>
      </c>
      <c r="CO21" s="71">
        <v>1</v>
      </c>
      <c r="CP21" s="71">
        <v>0</v>
      </c>
      <c r="CQ21" s="70">
        <v>1</v>
      </c>
      <c r="CR21" s="70">
        <v>1</v>
      </c>
      <c r="CS21" s="70">
        <v>1</v>
      </c>
      <c r="CT21" s="70">
        <v>1</v>
      </c>
      <c r="CU21" s="70">
        <v>1</v>
      </c>
      <c r="CV21" s="71">
        <v>1</v>
      </c>
      <c r="CW21" s="71">
        <v>1</v>
      </c>
      <c r="CX21" s="70">
        <v>1</v>
      </c>
      <c r="CY21" s="70">
        <v>1</v>
      </c>
      <c r="CZ21" s="70">
        <v>1</v>
      </c>
      <c r="DA21" s="70">
        <v>1</v>
      </c>
      <c r="DB21" s="70">
        <v>1</v>
      </c>
      <c r="DC21" s="71">
        <v>1</v>
      </c>
      <c r="DD21" s="71">
        <v>1</v>
      </c>
      <c r="DE21" s="70">
        <v>1</v>
      </c>
      <c r="DF21" s="70">
        <v>1</v>
      </c>
      <c r="DG21" s="70">
        <v>1</v>
      </c>
      <c r="DH21" s="70">
        <v>1</v>
      </c>
      <c r="DI21" s="70">
        <v>1</v>
      </c>
      <c r="DJ21" s="71">
        <v>1</v>
      </c>
      <c r="DK21" s="71">
        <v>0</v>
      </c>
      <c r="DL21" s="70">
        <v>1</v>
      </c>
      <c r="DM21" s="70">
        <v>1</v>
      </c>
      <c r="DN21" s="70">
        <v>1</v>
      </c>
      <c r="DO21" s="70">
        <v>1</v>
      </c>
      <c r="DP21" s="70">
        <v>1</v>
      </c>
      <c r="DQ21" s="71">
        <v>1</v>
      </c>
      <c r="DR21" s="71">
        <v>1</v>
      </c>
      <c r="DS21" s="70">
        <v>1</v>
      </c>
      <c r="DT21" s="70">
        <v>1</v>
      </c>
      <c r="DU21" s="70">
        <v>1</v>
      </c>
      <c r="DV21" s="70">
        <v>1</v>
      </c>
      <c r="DW21" s="70">
        <v>1</v>
      </c>
      <c r="DX21" s="71">
        <v>0</v>
      </c>
      <c r="DY21" s="71">
        <v>0</v>
      </c>
      <c r="DZ21" s="70">
        <v>1</v>
      </c>
      <c r="EA21" s="70">
        <v>1</v>
      </c>
      <c r="EB21" s="70">
        <v>1</v>
      </c>
      <c r="EC21" s="70">
        <v>1</v>
      </c>
      <c r="ED21" s="70">
        <v>1</v>
      </c>
      <c r="EE21" s="71">
        <v>0</v>
      </c>
      <c r="EF21" s="71">
        <v>0</v>
      </c>
      <c r="EG21" s="70">
        <v>1</v>
      </c>
      <c r="EH21" s="70">
        <v>1</v>
      </c>
      <c r="EI21" s="70">
        <v>1</v>
      </c>
      <c r="EJ21" s="70">
        <v>1</v>
      </c>
      <c r="EK21" s="72">
        <v>1</v>
      </c>
      <c r="OU21" s="60" t="s">
        <v>67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46" t="s">
        <v>68</v>
      </c>
      <c r="C23" s="47">
        <f>J23</f>
        <v>172994.98</v>
      </c>
      <c r="D23" s="48"/>
      <c r="E23" s="48"/>
      <c r="F23" s="49">
        <f>SUM(K26:EK26)</f>
        <v>670</v>
      </c>
      <c r="G23" s="49">
        <f>SUM(K27:EK27)</f>
        <v>360</v>
      </c>
      <c r="H23" s="49">
        <f>SUM(K28:EK28)</f>
        <v>78</v>
      </c>
      <c r="I23" s="49">
        <f>SUM(K29:EK29)</f>
        <v>96</v>
      </c>
      <c r="J23" s="50">
        <f>C26+C27+C28</f>
        <v>172994.98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69</v>
      </c>
    </row>
    <row r="24" ht="16" customHeight="1" spans="1:411" x14ac:dyDescent="0.25">
      <c r="A24" s="45"/>
      <c r="B24" s="46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1</v>
      </c>
      <c r="L24" s="57">
        <v>1</v>
      </c>
      <c r="M24" s="57">
        <v>1</v>
      </c>
      <c r="N24" s="57">
        <v>1</v>
      </c>
      <c r="O24" s="57">
        <v>1</v>
      </c>
      <c r="P24" s="58">
        <v>0</v>
      </c>
      <c r="Q24" s="58">
        <v>0</v>
      </c>
      <c r="R24" s="57">
        <v>1</v>
      </c>
      <c r="S24" s="57">
        <v>1</v>
      </c>
      <c r="T24" s="57">
        <v>1</v>
      </c>
      <c r="U24" s="57">
        <v>1</v>
      </c>
      <c r="V24" s="57">
        <v>1</v>
      </c>
      <c r="W24" s="58">
        <v>0</v>
      </c>
      <c r="X24" s="58">
        <v>0</v>
      </c>
      <c r="Y24" s="57">
        <v>1</v>
      </c>
      <c r="Z24" s="57">
        <v>1</v>
      </c>
      <c r="AA24" s="57">
        <v>1</v>
      </c>
      <c r="AB24" s="57">
        <v>1</v>
      </c>
      <c r="AC24" s="57">
        <v>1</v>
      </c>
      <c r="AD24" s="58">
        <v>0</v>
      </c>
      <c r="AE24" s="58">
        <v>0</v>
      </c>
      <c r="AF24" s="57">
        <v>1</v>
      </c>
      <c r="AG24" s="57">
        <v>1</v>
      </c>
      <c r="AH24" s="57">
        <v>1</v>
      </c>
      <c r="AI24" s="57">
        <v>1</v>
      </c>
      <c r="AJ24" s="57">
        <v>1</v>
      </c>
      <c r="AK24" s="58">
        <v>0</v>
      </c>
      <c r="AL24" s="58">
        <v>0</v>
      </c>
      <c r="AM24" s="57">
        <v>1</v>
      </c>
      <c r="AN24" s="57">
        <v>1</v>
      </c>
      <c r="AO24" s="57">
        <v>1</v>
      </c>
      <c r="AP24" s="57">
        <v>1</v>
      </c>
      <c r="AQ24" s="57">
        <v>1</v>
      </c>
      <c r="AR24" s="58">
        <v>0</v>
      </c>
      <c r="AS24" s="58">
        <v>0</v>
      </c>
      <c r="AT24" s="57">
        <v>1</v>
      </c>
      <c r="AU24" s="57">
        <v>1</v>
      </c>
      <c r="AV24" s="57">
        <v>1</v>
      </c>
      <c r="AW24" s="57">
        <v>1</v>
      </c>
      <c r="AX24" s="57">
        <v>1</v>
      </c>
      <c r="AY24" s="58">
        <v>0</v>
      </c>
      <c r="AZ24" s="58">
        <v>0</v>
      </c>
      <c r="BA24" s="57">
        <v>1</v>
      </c>
      <c r="BB24" s="57">
        <v>1</v>
      </c>
      <c r="BC24" s="57">
        <v>1</v>
      </c>
      <c r="BD24" s="57">
        <v>1</v>
      </c>
      <c r="BE24" s="57">
        <v>1</v>
      </c>
      <c r="BF24" s="58">
        <v>0</v>
      </c>
      <c r="BG24" s="58">
        <v>0</v>
      </c>
      <c r="BH24" s="57">
        <v>1</v>
      </c>
      <c r="BI24" s="57">
        <v>1</v>
      </c>
      <c r="BJ24" s="57">
        <v>1</v>
      </c>
      <c r="BK24" s="57">
        <v>1</v>
      </c>
      <c r="BL24" s="57">
        <v>1</v>
      </c>
      <c r="BM24" s="58">
        <v>1</v>
      </c>
      <c r="BN24" s="58">
        <v>1</v>
      </c>
      <c r="BO24" s="57">
        <v>1</v>
      </c>
      <c r="BP24" s="57">
        <v>1</v>
      </c>
      <c r="BQ24" s="57">
        <v>1</v>
      </c>
      <c r="BR24" s="57">
        <v>1</v>
      </c>
      <c r="BS24" s="57">
        <v>1</v>
      </c>
      <c r="BT24" s="58">
        <v>1</v>
      </c>
      <c r="BU24" s="58">
        <v>1</v>
      </c>
      <c r="BV24" s="57">
        <v>1</v>
      </c>
      <c r="BW24" s="57">
        <v>1</v>
      </c>
      <c r="BX24" s="57">
        <v>1</v>
      </c>
      <c r="BY24" s="57">
        <v>1</v>
      </c>
      <c r="BZ24" s="57">
        <v>1</v>
      </c>
      <c r="CA24" s="58">
        <v>1</v>
      </c>
      <c r="CB24" s="58">
        <v>0</v>
      </c>
      <c r="CC24" s="57">
        <v>1</v>
      </c>
      <c r="CD24" s="57">
        <v>1</v>
      </c>
      <c r="CE24" s="57">
        <v>1</v>
      </c>
      <c r="CF24" s="57">
        <v>1</v>
      </c>
      <c r="CG24" s="57">
        <v>1</v>
      </c>
      <c r="CH24" s="58">
        <v>1</v>
      </c>
      <c r="CI24" s="58">
        <v>1</v>
      </c>
      <c r="CJ24" s="57">
        <v>1</v>
      </c>
      <c r="CK24" s="57">
        <v>1</v>
      </c>
      <c r="CL24" s="57">
        <v>1</v>
      </c>
      <c r="CM24" s="57">
        <v>1</v>
      </c>
      <c r="CN24" s="57">
        <v>1</v>
      </c>
      <c r="CO24" s="58">
        <v>1</v>
      </c>
      <c r="CP24" s="58">
        <v>0</v>
      </c>
      <c r="CQ24" s="57">
        <v>1</v>
      </c>
      <c r="CR24" s="57">
        <v>1</v>
      </c>
      <c r="CS24" s="57">
        <v>1</v>
      </c>
      <c r="CT24" s="57">
        <v>1</v>
      </c>
      <c r="CU24" s="57">
        <v>1</v>
      </c>
      <c r="CV24" s="58">
        <v>1</v>
      </c>
      <c r="CW24" s="58">
        <v>1</v>
      </c>
      <c r="CX24" s="57">
        <v>1</v>
      </c>
      <c r="CY24" s="57">
        <v>1</v>
      </c>
      <c r="CZ24" s="57">
        <v>1</v>
      </c>
      <c r="DA24" s="57">
        <v>1</v>
      </c>
      <c r="DB24" s="57">
        <v>1</v>
      </c>
      <c r="DC24" s="58">
        <v>1</v>
      </c>
      <c r="DD24" s="58">
        <v>1</v>
      </c>
      <c r="DE24" s="57">
        <v>1</v>
      </c>
      <c r="DF24" s="57">
        <v>1</v>
      </c>
      <c r="DG24" s="57">
        <v>1</v>
      </c>
      <c r="DH24" s="57">
        <v>1</v>
      </c>
      <c r="DI24" s="57">
        <v>1</v>
      </c>
      <c r="DJ24" s="58">
        <v>1</v>
      </c>
      <c r="DK24" s="58">
        <v>0</v>
      </c>
      <c r="DL24" s="57">
        <v>1</v>
      </c>
      <c r="DM24" s="57">
        <v>1</v>
      </c>
      <c r="DN24" s="57">
        <v>1</v>
      </c>
      <c r="DO24" s="57">
        <v>1</v>
      </c>
      <c r="DP24" s="57">
        <v>1</v>
      </c>
      <c r="DQ24" s="58">
        <v>1</v>
      </c>
      <c r="DR24" s="58">
        <v>1</v>
      </c>
      <c r="DS24" s="57">
        <v>1</v>
      </c>
      <c r="DT24" s="57">
        <v>0</v>
      </c>
      <c r="DU24" s="57">
        <v>0</v>
      </c>
      <c r="DV24" s="57">
        <v>0</v>
      </c>
      <c r="DW24" s="57">
        <v>0</v>
      </c>
      <c r="DX24" s="58">
        <v>0</v>
      </c>
      <c r="DY24" s="58">
        <v>0</v>
      </c>
      <c r="DZ24" s="57">
        <v>0</v>
      </c>
      <c r="EA24" s="57">
        <v>0</v>
      </c>
      <c r="EB24" s="57">
        <v>0</v>
      </c>
      <c r="EC24" s="57">
        <v>0</v>
      </c>
      <c r="ED24" s="57">
        <v>0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69</v>
      </c>
    </row>
    <row r="25" ht="16" customHeight="1" spans="1:411" x14ac:dyDescent="0.25">
      <c r="A25" s="45"/>
      <c r="B25" s="46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9</v>
      </c>
      <c r="L25" s="57">
        <v>9</v>
      </c>
      <c r="M25" s="57">
        <v>9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9</v>
      </c>
      <c r="AN25" s="57">
        <v>9</v>
      </c>
      <c r="AO25" s="57">
        <v>9</v>
      </c>
      <c r="AP25" s="57">
        <v>9</v>
      </c>
      <c r="AQ25" s="57">
        <v>9</v>
      </c>
      <c r="AR25" s="58">
        <v>0</v>
      </c>
      <c r="AS25" s="58">
        <v>0</v>
      </c>
      <c r="AT25" s="57">
        <v>9</v>
      </c>
      <c r="AU25" s="57">
        <v>9</v>
      </c>
      <c r="AV25" s="57">
        <v>9</v>
      </c>
      <c r="AW25" s="57">
        <v>9</v>
      </c>
      <c r="AX25" s="57">
        <v>9</v>
      </c>
      <c r="AY25" s="58">
        <v>0</v>
      </c>
      <c r="AZ25" s="58">
        <v>0</v>
      </c>
      <c r="BA25" s="57">
        <v>9</v>
      </c>
      <c r="BB25" s="57">
        <v>9</v>
      </c>
      <c r="BC25" s="57">
        <v>9</v>
      </c>
      <c r="BD25" s="57">
        <v>9</v>
      </c>
      <c r="BE25" s="57">
        <v>9</v>
      </c>
      <c r="BF25" s="58">
        <v>0</v>
      </c>
      <c r="BG25" s="58">
        <v>0</v>
      </c>
      <c r="BH25" s="57">
        <v>13</v>
      </c>
      <c r="BI25" s="57">
        <v>13</v>
      </c>
      <c r="BJ25" s="57">
        <v>13</v>
      </c>
      <c r="BK25" s="57">
        <v>13</v>
      </c>
      <c r="BL25" s="57">
        <v>13</v>
      </c>
      <c r="BM25" s="58">
        <v>13</v>
      </c>
      <c r="BN25" s="58">
        <v>13</v>
      </c>
      <c r="BO25" s="57">
        <v>13</v>
      </c>
      <c r="BP25" s="57">
        <v>13</v>
      </c>
      <c r="BQ25" s="57">
        <v>13</v>
      </c>
      <c r="BR25" s="57">
        <v>13</v>
      </c>
      <c r="BS25" s="57">
        <v>13</v>
      </c>
      <c r="BT25" s="58">
        <v>13</v>
      </c>
      <c r="BU25" s="58">
        <v>13</v>
      </c>
      <c r="BV25" s="57">
        <v>13</v>
      </c>
      <c r="BW25" s="57">
        <v>13</v>
      </c>
      <c r="BX25" s="57">
        <v>13</v>
      </c>
      <c r="BY25" s="57">
        <v>13</v>
      </c>
      <c r="BZ25" s="57">
        <v>13</v>
      </c>
      <c r="CA25" s="58">
        <v>13</v>
      </c>
      <c r="CB25" s="58">
        <v>0</v>
      </c>
      <c r="CC25" s="57">
        <v>13</v>
      </c>
      <c r="CD25" s="57">
        <v>13</v>
      </c>
      <c r="CE25" s="57">
        <v>13</v>
      </c>
      <c r="CF25" s="57">
        <v>13</v>
      </c>
      <c r="CG25" s="57">
        <v>13</v>
      </c>
      <c r="CH25" s="58">
        <v>13</v>
      </c>
      <c r="CI25" s="58">
        <v>13</v>
      </c>
      <c r="CJ25" s="57">
        <v>13</v>
      </c>
      <c r="CK25" s="57">
        <v>13</v>
      </c>
      <c r="CL25" s="57">
        <v>13</v>
      </c>
      <c r="CM25" s="57">
        <v>13</v>
      </c>
      <c r="CN25" s="57">
        <v>13</v>
      </c>
      <c r="CO25" s="58">
        <v>13</v>
      </c>
      <c r="CP25" s="58">
        <v>0</v>
      </c>
      <c r="CQ25" s="57">
        <v>13</v>
      </c>
      <c r="CR25" s="57">
        <v>13</v>
      </c>
      <c r="CS25" s="57">
        <v>13</v>
      </c>
      <c r="CT25" s="57">
        <v>13</v>
      </c>
      <c r="CU25" s="57">
        <v>13</v>
      </c>
      <c r="CV25" s="58">
        <v>13</v>
      </c>
      <c r="CW25" s="58">
        <v>13</v>
      </c>
      <c r="CX25" s="57">
        <v>13</v>
      </c>
      <c r="CY25" s="57">
        <v>13</v>
      </c>
      <c r="CZ25" s="57">
        <v>13</v>
      </c>
      <c r="DA25" s="57">
        <v>13</v>
      </c>
      <c r="DB25" s="57">
        <v>13</v>
      </c>
      <c r="DC25" s="58">
        <v>13</v>
      </c>
      <c r="DD25" s="58">
        <v>13</v>
      </c>
      <c r="DE25" s="57">
        <v>13</v>
      </c>
      <c r="DF25" s="57">
        <v>13</v>
      </c>
      <c r="DG25" s="57">
        <v>13</v>
      </c>
      <c r="DH25" s="57">
        <v>13</v>
      </c>
      <c r="DI25" s="57">
        <v>13</v>
      </c>
      <c r="DJ25" s="58">
        <v>13</v>
      </c>
      <c r="DK25" s="58">
        <v>0</v>
      </c>
      <c r="DL25" s="57">
        <v>13</v>
      </c>
      <c r="DM25" s="57">
        <v>13</v>
      </c>
      <c r="DN25" s="57">
        <v>13</v>
      </c>
      <c r="DO25" s="57">
        <v>13</v>
      </c>
      <c r="DP25" s="57">
        <v>13</v>
      </c>
      <c r="DQ25" s="58">
        <v>13</v>
      </c>
      <c r="DR25" s="58">
        <v>13</v>
      </c>
      <c r="DS25" s="57">
        <v>13</v>
      </c>
      <c r="DT25" s="57">
        <v>0</v>
      </c>
      <c r="DU25" s="57">
        <v>0</v>
      </c>
      <c r="DV25" s="57">
        <v>0</v>
      </c>
      <c r="DW25" s="57">
        <v>0</v>
      </c>
      <c r="DX25" s="58">
        <v>0</v>
      </c>
      <c r="DY25" s="58">
        <v>0</v>
      </c>
      <c r="DZ25" s="57">
        <v>0</v>
      </c>
      <c r="EA25" s="57">
        <v>0</v>
      </c>
      <c r="EB25" s="57">
        <v>0</v>
      </c>
      <c r="EC25" s="57">
        <v>0</v>
      </c>
      <c r="ED25" s="57">
        <v>0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69</v>
      </c>
    </row>
    <row r="26" ht="16" customHeight="1" spans="1:411" x14ac:dyDescent="0.25">
      <c r="A26" s="45"/>
      <c r="B26" s="46"/>
      <c r="C26" s="61">
        <f>F23*N(D26)</f>
        <v>87763.3</v>
      </c>
      <c r="D26" s="61">
        <f>IF(TRIM(B23)="","No rate",IFERROR(INDEX('Rate Tables'!C$7:C$158,MATCH(B23,'Rate Tables'!A$7:A$158,0)),"No rate"))</f>
        <v>130.99</v>
      </c>
      <c r="E26" s="55" t="s">
        <v>62</v>
      </c>
      <c r="F26" s="49"/>
      <c r="G26" s="49"/>
      <c r="H26" s="49"/>
      <c r="I26" s="49"/>
      <c r="J26" s="50"/>
      <c r="K26" s="62">
        <f>IF(AND(K24=1,K25=9),8,MIN(IF(K24&lt;=0,0,IF(WEEKDAY(K$6,1)=1,0,MIN(8,K25)*K24)),MAX(0,40*MAX(1,K24)-(0))))</f>
        <v>8</v>
      </c>
      <c r="L26" s="63">
        <f>IF(AND(L24=1,L25=9),8,MIN(IF(L24&lt;=0,0,IF(WEEKDAY(L$6,1)=1,0,MIN(8,L25)*L24)),MAX(0,40*MAX(1,L24)-(K26))))</f>
        <v>8</v>
      </c>
      <c r="M26" s="63">
        <f>IF(AND(M24=1,M25=9),8,MIN(IF(M24&lt;=0,0,IF(WEEKDAY(M$6,1)=1,0,MIN(8,M25)*M24)),MAX(0,40*MAX(1,M24)-(K26+L26))))</f>
        <v>8</v>
      </c>
      <c r="N26" s="63">
        <f>IF(AND(N24=1,N25=9),8,MIN(IF(N24&lt;=0,0,IF(WEEKDAY(N$6,1)=1,0,MIN(8,N25)*N24)),MAX(0,40*MAX(1,N24)-(K26+L26+M26))))</f>
        <v>8</v>
      </c>
      <c r="O26" s="63">
        <f>IF(AND(O24=1,O25=9),8,MIN(IF(O24&lt;=0,0,IF(WEEKDAY(O$6,1)=1,0,MIN(8,O25)*O24)),MAX(0,40*MAX(1,O24)-(K26+L26+M26+N26))))</f>
        <v>8</v>
      </c>
      <c r="P26" s="64">
        <f>IF(AND(P24=0,P25=0),0,MIN(IF(P24&lt;=0,0,IF(WEEKDAY(P$6,1)=1,0,MIN(10,P25)*P24)),MAX(0,40*MAX(1,P24)-(0))))</f>
        <v>0</v>
      </c>
      <c r="Q26" s="64">
        <f>IF(AND(Q24=0,Q25=0),0,MIN(IF(Q24&lt;=0,0,IF(WEEKDAY(Q$6,1)=1,0,MIN(10,Q25)*Q24)),MAX(0,40*MAX(1,Q24)-(P26))))</f>
        <v>0</v>
      </c>
      <c r="R26" s="63">
        <f>IF(AND(R24=1,R25=9),8,MIN(IF(R24&lt;=0,0,IF(WEEKDAY(R$6,1)=1,0,MIN(8,R25)*R24)),MAX(0,40*MAX(1,R24)-(0))))</f>
        <v>8</v>
      </c>
      <c r="S26" s="63">
        <f>IF(AND(S24=1,S25=9),8,MIN(IF(S24&lt;=0,0,IF(WEEKDAY(S$6,1)=1,0,MIN(8,S25)*S24)),MAX(0,40*MAX(1,S24)-(R26))))</f>
        <v>8</v>
      </c>
      <c r="T26" s="63">
        <f>IF(AND(T24=1,T25=9),8,MIN(IF(T24&lt;=0,0,IF(WEEKDAY(T$6,1)=1,0,MIN(8,T25)*T24)),MAX(0,40*MAX(1,T24)-(R26+S26))))</f>
        <v>8</v>
      </c>
      <c r="U26" s="63">
        <f>IF(AND(U24=1,U25=9),8,MIN(IF(U24&lt;=0,0,IF(WEEKDAY(U$6,1)=1,0,MIN(8,U25)*U24)),MAX(0,40*MAX(1,U24)-(R26+S26+T26))))</f>
        <v>8</v>
      </c>
      <c r="V26" s="63">
        <f>IF(AND(V24=1,V25=9),8,MIN(IF(V24&lt;=0,0,IF(WEEKDAY(V$6,1)=1,0,MIN(8,V25)*V24)),MAX(0,40*MAX(1,V24)-(R26+S26+T26+U26))))</f>
        <v>8</v>
      </c>
      <c r="W26" s="64">
        <f>IF(AND(W24=0,W25=0),0,MIN(IF(W24&lt;=0,0,IF(WEEKDAY(W$6,1)=1,0,MIN(10,W25)*W24)),MAX(0,40*MAX(1,W24)-(0))))</f>
        <v>0</v>
      </c>
      <c r="X26" s="64">
        <f>IF(AND(X24=0,X25=0),0,MIN(IF(X24&lt;=0,0,IF(WEEKDAY(X$6,1)=1,0,MIN(10,X25)*X24)),MAX(0,40*MAX(1,X24)-(W26))))</f>
        <v>0</v>
      </c>
      <c r="Y26" s="63">
        <f>IF(AND(Y24=1,Y25=9),8,MIN(IF(Y24&lt;=0,0,IF(WEEKDAY(Y$6,1)=1,0,MIN(8,Y25)*Y24)),MAX(0,40*MAX(1,Y24)-(0))))</f>
        <v>8</v>
      </c>
      <c r="Z26" s="63">
        <f>IF(AND(Z24=1,Z25=9),8,MIN(IF(Z24&lt;=0,0,IF(WEEKDAY(Z$6,1)=1,0,MIN(8,Z25)*Z24)),MAX(0,40*MAX(1,Z24)-(Y26))))</f>
        <v>8</v>
      </c>
      <c r="AA26" s="63">
        <f>IF(AND(AA24=1,AA25=9),8,MIN(IF(AA24&lt;=0,0,IF(WEEKDAY(AA$6,1)=1,0,MIN(8,AA25)*AA24)),MAX(0,40*MAX(1,AA24)-(Y26+Z26))))</f>
        <v>8</v>
      </c>
      <c r="AB26" s="63">
        <f>IF(AND(AB24=1,AB25=9),8,MIN(IF(AB24&lt;=0,0,IF(WEEKDAY(AB$6,1)=1,0,MIN(8,AB25)*AB24)),MAX(0,40*MAX(1,AB24)-(Y26+Z26+AA26))))</f>
        <v>8</v>
      </c>
      <c r="AC26" s="63">
        <f>IF(AND(AC24=1,AC25=9),8,MIN(IF(AC24&lt;=0,0,IF(WEEKDAY(AC$6,1)=1,0,MIN(8,AC25)*AC24)),MAX(0,40*MAX(1,AC24)-(Y26+Z26+AA26+AB26))))</f>
        <v>8</v>
      </c>
      <c r="AD26" s="64">
        <f>IF(AND(AD24=0,AD25=0),0,MIN(IF(AD24&lt;=0,0,IF(WEEKDAY(AD$6,1)=1,0,MIN(10,AD25)*AD24)),MAX(0,40*MAX(1,AD24)-(0))))</f>
        <v>0</v>
      </c>
      <c r="AE26" s="64">
        <f>IF(AND(AE24=0,AE25=0),0,MIN(IF(AE24&lt;=0,0,IF(WEEKDAY(AE$6,1)=1,0,MIN(10,AE25)*AE24)),MAX(0,40*MAX(1,AE24)-(AD26))))</f>
        <v>0</v>
      </c>
      <c r="AF26" s="63">
        <f>IF(AND(AF24=1,AF25=9),8,MIN(IF(AF24&lt;=0,0,IF(WEEKDAY(AF$6,1)=1,0,MIN(8,AF25)*AF24)),MAX(0,40*MAX(1,AF24)-(0))))</f>
        <v>8</v>
      </c>
      <c r="AG26" s="63">
        <f>IF(AND(AG24=1,AG25=9),8,MIN(IF(AG24&lt;=0,0,IF(WEEKDAY(AG$6,1)=1,0,MIN(8,AG25)*AG24)),MAX(0,40*MAX(1,AG24)-(AF26))))</f>
        <v>8</v>
      </c>
      <c r="AH26" s="63">
        <f>IF(AND(AH24=1,AH25=9),8,MIN(IF(AH24&lt;=0,0,IF(WEEKDAY(AH$6,1)=1,0,MIN(8,AH25)*AH24)),MAX(0,40*MAX(1,AH24)-(AF26+AG26))))</f>
        <v>8</v>
      </c>
      <c r="AI26" s="63">
        <f>IF(AND(AI24=1,AI25=9),8,MIN(IF(AI24&lt;=0,0,IF(WEEKDAY(AI$6,1)=1,0,MIN(8,AI25)*AI24)),MAX(0,40*MAX(1,AI24)-(AF26+AG26+AH26))))</f>
        <v>8</v>
      </c>
      <c r="AJ26" s="63">
        <f>IF(AND(AJ24=1,AJ25=9),8,MIN(IF(AJ24&lt;=0,0,IF(WEEKDAY(AJ$6,1)=1,0,MIN(8,AJ25)*AJ24)),MAX(0,40*MAX(1,AJ24)-(AF26+AG26+AH26+AI26))))</f>
        <v>8</v>
      </c>
      <c r="AK26" s="64">
        <f>IF(AND(AK24=0,AK25=0),0,MIN(IF(AK24&lt;=0,0,IF(WEEKDAY(AK$6,1)=1,0,MIN(10,AK25)*AK24)),MAX(0,40*MAX(1,AK24)-(0))))</f>
        <v>0</v>
      </c>
      <c r="AL26" s="64">
        <f>IF(AND(AL24=0,AL25=0),0,MIN(IF(AL24&lt;=0,0,IF(WEEKDAY(AL$6,1)=1,0,MIN(10,AL25)*AL24)),MAX(0,40*MAX(1,AL24)-(AK26))))</f>
        <v>0</v>
      </c>
      <c r="AM26" s="63">
        <f>IF(AND(AM24=1,AM25=9),8,MIN(IF(AM24&lt;=0,0,IF(WEEKDAY(AM$6,1)=1,0,MIN(8,AM25)*AM24)),MAX(0,40*MAX(1,AM24)-(0))))</f>
        <v>8</v>
      </c>
      <c r="AN26" s="63">
        <f>IF(AND(AN24=1,AN25=9),8,MIN(IF(AN24&lt;=0,0,IF(WEEKDAY(AN$6,1)=1,0,MIN(8,AN25)*AN24)),MAX(0,40*MAX(1,AN24)-(AM26))))</f>
        <v>8</v>
      </c>
      <c r="AO26" s="63">
        <f>IF(AND(AO24=1,AO25=9),8,MIN(IF(AO24&lt;=0,0,IF(WEEKDAY(AO$6,1)=1,0,MIN(8,AO25)*AO24)),MAX(0,40*MAX(1,AO24)-(AM26+AN26))))</f>
        <v>8</v>
      </c>
      <c r="AP26" s="63">
        <f>IF(AND(AP24=1,AP25=9),8,MIN(IF(AP24&lt;=0,0,IF(WEEKDAY(AP$6,1)=1,0,MIN(8,AP25)*AP24)),MAX(0,40*MAX(1,AP24)-(AM26+AN26+AO26))))</f>
        <v>8</v>
      </c>
      <c r="AQ26" s="63">
        <f>IF(AND(AQ24=1,AQ25=9),8,MIN(IF(AQ24&lt;=0,0,IF(WEEKDAY(AQ$6,1)=1,0,MIN(8,AQ25)*AQ24)),MAX(0,40*MAX(1,AQ24)-(AM26+AN26+AO26+AP26))))</f>
        <v>8</v>
      </c>
      <c r="AR26" s="64">
        <f>IF(AND(AR24=0,AR25=0),0,MIN(IF(AR24&lt;=0,0,IF(WEEKDAY(AR$6,1)=1,0,MIN(10,AR25)*AR24)),MAX(0,40*MAX(1,AR24)-(0))))</f>
        <v>0</v>
      </c>
      <c r="AS26" s="64">
        <f>IF(AND(AS24=0,AS25=0),0,MIN(IF(AS24&lt;=0,0,IF(WEEKDAY(AS$6,1)=1,0,MIN(10,AS25)*AS24)),MAX(0,40*MAX(1,AS24)-(AR26))))</f>
        <v>0</v>
      </c>
      <c r="AT26" s="63">
        <f>IF(AND(AT24=1,AT25=9),8,MIN(IF(AT24&lt;=0,0,IF(WEEKDAY(AT$6,1)=1,0,MIN(8,AT25)*AT24)),MAX(0,40*MAX(1,AT24)-(0))))</f>
        <v>8</v>
      </c>
      <c r="AU26" s="63">
        <f>IF(AND(AU24=1,AU25=9),8,MIN(IF(AU24&lt;=0,0,IF(WEEKDAY(AU$6,1)=1,0,MIN(8,AU25)*AU24)),MAX(0,40*MAX(1,AU24)-(AT26))))</f>
        <v>8</v>
      </c>
      <c r="AV26" s="63">
        <f>IF(AND(AV24=1,AV25=9),8,MIN(IF(AV24&lt;=0,0,IF(WEEKDAY(AV$6,1)=1,0,MIN(8,AV25)*AV24)),MAX(0,40*MAX(1,AV24)-(AT26+AU26))))</f>
        <v>8</v>
      </c>
      <c r="AW26" s="63">
        <f>IF(AND(AW24=1,AW25=9),8,MIN(IF(AW24&lt;=0,0,IF(WEEKDAY(AW$6,1)=1,0,MIN(8,AW25)*AW24)),MAX(0,40*MAX(1,AW24)-(AT26+AU26+AV26))))</f>
        <v>8</v>
      </c>
      <c r="AX26" s="63">
        <f>IF(AND(AX24=1,AX25=9),8,MIN(IF(AX24&lt;=0,0,IF(WEEKDAY(AX$6,1)=1,0,MIN(8,AX25)*AX24)),MAX(0,40*MAX(1,AX24)-(AT26+AU26+AV26+AW26))))</f>
        <v>8</v>
      </c>
      <c r="AY26" s="64">
        <f>IF(AND(AY24=0,AY25=0),0,MIN(IF(AY24&lt;=0,0,IF(WEEKDAY(AY$6,1)=1,0,MIN(10,AY25)*AY24)),MAX(0,40*MAX(1,AY24)-(0))))</f>
        <v>0</v>
      </c>
      <c r="AZ26" s="64">
        <f>IF(AND(AZ24=0,AZ25=0),0,MIN(IF(AZ24&lt;=0,0,IF(WEEKDAY(AZ$6,1)=1,0,MIN(10,AZ25)*AZ24)),MAX(0,40*MAX(1,AZ24)-(AY26))))</f>
        <v>0</v>
      </c>
      <c r="BA26" s="63">
        <f>IF(AND(BA24=1,BA25=9),8,MIN(IF(BA24&lt;=0,0,IF(WEEKDAY(BA$6,1)=1,0,MIN(8,BA25)*BA24)),MAX(0,40*MAX(1,BA24)-(0))))</f>
        <v>8</v>
      </c>
      <c r="BB26" s="63">
        <f>IF(AND(BB24=1,BB25=9),8,MIN(IF(BB24&lt;=0,0,IF(WEEKDAY(BB$6,1)=1,0,MIN(8,BB25)*BB24)),MAX(0,40*MAX(1,BB24)-(BA26))))</f>
        <v>8</v>
      </c>
      <c r="BC26" s="63">
        <f>IF(AND(BC24=1,BC25=9),8,MIN(IF(BC24&lt;=0,0,IF(WEEKDAY(BC$6,1)=1,0,MIN(8,BC25)*BC24)),MAX(0,40*MAX(1,BC24)-(BA26+BB26))))</f>
        <v>8</v>
      </c>
      <c r="BD26" s="63">
        <f>IF(AND(BD24=1,BD25=9),8,MIN(IF(BD24&lt;=0,0,IF(WEEKDAY(BD$6,1)=1,0,MIN(8,BD25)*BD24)),MAX(0,40*MAX(1,BD24)-(BA26+BB26+BC26))))</f>
        <v>8</v>
      </c>
      <c r="BE26" s="63">
        <f>IF(AND(BE24=1,BE25=9),8,MIN(IF(BE24&lt;=0,0,IF(WEEKDAY(BE$6,1)=1,0,MIN(8,BE25)*BE24)),MAX(0,40*MAX(1,BE24)-(BA26+BB26+BC26+BD26))))</f>
        <v>8</v>
      </c>
      <c r="BF26" s="64">
        <f>IF(AND(BF24=0,BF25=0),0,MIN(IF(BF24&lt;=0,0,IF(WEEKDAY(BF$6,1)=1,0,MIN(10,BF25)*BF24)),MAX(0,40*MAX(1,BF24)-(0))))</f>
        <v>0</v>
      </c>
      <c r="BG26" s="64">
        <f>IF(AND(BG24=0,BG25=0),0,MIN(IF(BG24&lt;=0,0,IF(WEEKDAY(BG$6,1)=1,0,MIN(10,BG25)*BG24)),MAX(0,40*MAX(1,BG24)-(BF26))))</f>
        <v>0</v>
      </c>
      <c r="BH26" s="63">
        <f>IF(AND(BH24=1,BH25=13),10,MIN(IF(BH24&lt;=0,0,IF(WEEKDAY(BH$6,1)=1,0,MIN(10,BH25)*BH24)),MAX(0,40*MAX(1,BH24)-(0))))</f>
        <v>10</v>
      </c>
      <c r="BI26" s="63">
        <f>IF(AND(BI24=1,BI25=13),10,MIN(IF(BI24&lt;=0,0,IF(WEEKDAY(BI$6,1)=1,0,MIN(10,BI25)*BI24)),MAX(0,40*MAX(1,BI24)-(BH26))))</f>
        <v>10</v>
      </c>
      <c r="BJ26" s="63">
        <f>IF(AND(BJ24=1,BJ25=13),10,MIN(IF(BJ24&lt;=0,0,IF(WEEKDAY(BJ$6,1)=1,0,MIN(10,BJ25)*BJ24)),MAX(0,40*MAX(1,BJ24)-(BH26+BI26))))</f>
        <v>10</v>
      </c>
      <c r="BK26" s="63">
        <f>IF(AND(BK24=1,BK25=13),10,MIN(IF(BK24&lt;=0,0,IF(WEEKDAY(BK$6,1)=1,0,MIN(10,BK25)*BK24)),MAX(0,40*MAX(1,BK24)-(BH26+BI26+BJ26))))</f>
        <v>10</v>
      </c>
      <c r="BL26" s="63">
        <f>IF(AND(BL24=1,BL25=13),0,MIN(IF(BL24&lt;=0,0,IF(WEEKDAY(BL$6,1)=1,0,MIN(10,BL25)*BL24)),MAX(0,40*MAX(1,BL24)-(BH26+BI26+BJ26+BK26))))</f>
        <v>0</v>
      </c>
      <c r="BM26" s="64">
        <f>IF(AND(BM24=1,BM25=13),0,MIN(IF(BM24&lt;=0,0,IF(WEEKDAY(BM$6,1)=1,0,MIN(10,BM25)*BM24)),MAX(0,40*MAX(1,BM24)-(BH26+BI26+BJ26+BK26+BL26))))</f>
        <v>0</v>
      </c>
      <c r="BN26" s="64">
        <f>IF(AND(BN24=1,BN25=13),0,MIN(IF(BN24&lt;=0,0,IF(WEEKDAY(BN$6,1)=1,0,MIN(10,BN25)*BN24)),MAX(0,40*MAX(1,BN24)-(BH26+BI26+BJ26+BK26+BL26+BM26))))</f>
        <v>0</v>
      </c>
      <c r="BO26" s="63">
        <f>IF(AND(BO24=1,BO25=13),10,MIN(IF(BO24&lt;=0,0,IF(WEEKDAY(BO$6,1)=1,0,MIN(10,BO25)*BO24)),MAX(0,40*MAX(1,BO24)-(0))))</f>
        <v>10</v>
      </c>
      <c r="BP26" s="63">
        <f>IF(AND(BP24=1,BP25=13),10,MIN(IF(BP24&lt;=0,0,IF(WEEKDAY(BP$6,1)=1,0,MIN(10,BP25)*BP24)),MAX(0,40*MAX(1,BP24)-(BO26))))</f>
        <v>10</v>
      </c>
      <c r="BQ26" s="63">
        <f>IF(AND(BQ24=1,BQ25=13),10,MIN(IF(BQ24&lt;=0,0,IF(WEEKDAY(BQ$6,1)=1,0,MIN(10,BQ25)*BQ24)),MAX(0,40*MAX(1,BQ24)-(BO26+BP26))))</f>
        <v>10</v>
      </c>
      <c r="BR26" s="63">
        <f>IF(AND(BR24=1,BR25=13),10,MIN(IF(BR24&lt;=0,0,IF(WEEKDAY(BR$6,1)=1,0,MIN(10,BR25)*BR24)),MAX(0,40*MAX(1,BR24)-(0))))</f>
        <v>10</v>
      </c>
      <c r="BS26" s="63">
        <f>IF(AND(BS24=1,BS25=13),10,MIN(IF(BS24&lt;=0,0,IF(WEEKDAY(BS$6,1)=1,0,MIN(10,BS25)*BS24)),MAX(0,40*MAX(1,BS24)-(BR26))))</f>
        <v>10</v>
      </c>
      <c r="BT26" s="64">
        <f>IF(AND(BT24=1,BT25=13),10,MIN(IF(BT24&lt;=0,0,IF(WEEKDAY(BT$6,1)=1,0,MIN(10,BT25)*BT24)),MAX(0,40*MAX(1,BT24)-(BR26+BS26))))</f>
        <v>10</v>
      </c>
      <c r="BU26" s="64">
        <f>IF(AND(BU24=1,BU25=13),0,MIN(IF(BU24&lt;=0,0,IF(WEEKDAY(BU$6,1)=1,0,MIN(10,BU25)*BU24)),MAX(0,40*MAX(1,BU24)-(BR26+BS26+BT26))))</f>
        <v>0</v>
      </c>
      <c r="BV26" s="63">
        <f>IF(AND(BV24=1,BV25=13),10,MIN(IF(BV24&lt;=0,0,IF(WEEKDAY(BV$6,1)=1,0,MIN(10,BV25)*BV24)),MAX(0,40*MAX(1,BV24)-(0))))</f>
        <v>10</v>
      </c>
      <c r="BW26" s="63">
        <f>IF(AND(BW24=1,BW25=13),10,MIN(IF(BW24&lt;=0,0,IF(WEEKDAY(BW$6,1)=1,0,MIN(10,BW25)*BW24)),MAX(0,40*MAX(1,BW24)-(BV26))))</f>
        <v>10</v>
      </c>
      <c r="BX26" s="63">
        <f>IF(AND(BX24=1,BX25=13),10,MIN(IF(BX24&lt;=0,0,IF(WEEKDAY(BX$6,1)=1,0,MIN(10,BX25)*BX24)),MAX(0,40*MAX(1,BX24)-(BV26+BW26))))</f>
        <v>10</v>
      </c>
      <c r="BY26" s="63">
        <f>IF(AND(BY24=1,BY25=13),10,MIN(IF(BY24&lt;=0,0,IF(WEEKDAY(BY$6,1)=1,0,MIN(10,BY25)*BY24)),MAX(0,40*MAX(1,BY24)-(BV26+BW26+BX26))))</f>
        <v>10</v>
      </c>
      <c r="BZ26" s="63">
        <f>IF(AND(BZ24=1,BZ25=13),0,MIN(IF(BZ24&lt;=0,0,IF(WEEKDAY(BZ$6,1)=1,0,MIN(10,BZ25)*BZ24)),MAX(0,40*MAX(1,BZ24)-(BV26+BW26+BX26+BY26))))</f>
        <v>0</v>
      </c>
      <c r="CA26" s="64">
        <f>IF(AND(CA24=1,CA25=13),0,MIN(IF(CA24&lt;=0,0,IF(WEEKDAY(CA$6,1)=1,0,MIN(10,CA25)*CA24)),MAX(0,40*MAX(1,CA24)-(BV26+BW26+BX26+BY26+BZ26))))</f>
        <v>0</v>
      </c>
      <c r="CB26" s="64">
        <f>IF(AND(CB24=0,CB25=0),0,MIN(IF(CB24&lt;=0,0,IF(WEEKDAY(CB$6,1)=1,0,MIN(10,CB25)*CB24)),MAX(0,40*MAX(1,CB24)-(0))))</f>
        <v>0</v>
      </c>
      <c r="CC26" s="63">
        <f>IF(AND(CC24=1,CC25=13),10,MIN(IF(CC24&lt;=0,0,IF(WEEKDAY(CC$6,1)=1,0,MIN(10,CC25)*CC24)),MAX(0,40*MAX(1,CC24)-(0))))</f>
        <v>10</v>
      </c>
      <c r="CD26" s="63">
        <f>IF(AND(CD24=1,CD25=13),10,MIN(IF(CD24&lt;=0,0,IF(WEEKDAY(CD$6,1)=1,0,MIN(10,CD25)*CD24)),MAX(0,40*MAX(1,CD24)-(CC26))))</f>
        <v>10</v>
      </c>
      <c r="CE26" s="63">
        <f>IF(AND(CE24=1,CE25=13),10,MIN(IF(CE24&lt;=0,0,IF(WEEKDAY(CE$6,1)=1,0,MIN(10,CE25)*CE24)),MAX(0,40*MAX(1,CE24)-(CC26+CD26))))</f>
        <v>10</v>
      </c>
      <c r="CF26" s="63">
        <f>IF(AND(CF24=1,CF25=13),10,MIN(IF(CF24&lt;=0,0,IF(WEEKDAY(CF$6,1)=1,0,MIN(10,CF25)*CF24)),MAX(0,40*MAX(1,CF24)-(CC26+CD26+CE26))))</f>
        <v>10</v>
      </c>
      <c r="CG26" s="63">
        <f>IF(AND(CG24=1,CG25=13),0,MIN(IF(CG24&lt;=0,0,IF(WEEKDAY(CG$6,1)=1,0,MIN(10,CG25)*CG24)),MAX(0,40*MAX(1,CG24)-(CC26+CD26+CE26+CF26))))</f>
        <v>0</v>
      </c>
      <c r="CH26" s="64">
        <f>IF(AND(CH24=1,CH25=13),0,MIN(IF(CH24&lt;=0,0,IF(WEEKDAY(CH$6,1)=1,0,MIN(10,CH25)*CH24)),MAX(0,40*MAX(1,CH24)-(CC26+CD26+CE26+CF26+CG26))))</f>
        <v>0</v>
      </c>
      <c r="CI26" s="64">
        <f>IF(AND(CI24=1,CI25=13),0,MIN(IF(CI24&lt;=0,0,IF(WEEKDAY(CI$6,1)=1,0,MIN(10,CI25)*CI24)),MAX(0,40*MAX(1,CI24)-(CC26+CD26+CE26+CF26+CG26+CH26))))</f>
        <v>0</v>
      </c>
      <c r="CJ26" s="63">
        <f>IF(AND(CJ24=1,CJ25=13),10,MIN(IF(CJ24&lt;=0,0,IF(WEEKDAY(CJ$6,1)=1,0,MIN(10,CJ25)*CJ24)),MAX(0,40*MAX(1,CJ24)-(0))))</f>
        <v>10</v>
      </c>
      <c r="CK26" s="63">
        <f>IF(AND(CK24=1,CK25=13),10,MIN(IF(CK24&lt;=0,0,IF(WEEKDAY(CK$6,1)=1,0,MIN(10,CK25)*CK24)),MAX(0,40*MAX(1,CK24)-(CJ26))))</f>
        <v>10</v>
      </c>
      <c r="CL26" s="63">
        <f>IF(AND(CL24=1,CL25=13),10,MIN(IF(CL24&lt;=0,0,IF(WEEKDAY(CL$6,1)=1,0,MIN(10,CL25)*CL24)),MAX(0,40*MAX(1,CL24)-(CJ26+CK26))))</f>
        <v>10</v>
      </c>
      <c r="CM26" s="63">
        <f>IF(AND(CM24=1,CM25=13),10,MIN(IF(CM24&lt;=0,0,IF(WEEKDAY(CM$6,1)=1,0,MIN(10,CM25)*CM24)),MAX(0,40*MAX(1,CM24)-(CJ26+CK26+CL26))))</f>
        <v>10</v>
      </c>
      <c r="CN26" s="63">
        <f>IF(AND(CN24=1,CN25=13),0,MIN(IF(CN24&lt;=0,0,IF(WEEKDAY(CN$6,1)=1,0,MIN(10,CN25)*CN24)),MAX(0,40*MAX(1,CN24)-(CJ26+CK26+CL26+CM26))))</f>
        <v>0</v>
      </c>
      <c r="CO26" s="64">
        <f>IF(AND(CO24=1,CO25=13),0,MIN(IF(CO24&lt;=0,0,IF(WEEKDAY(CO$6,1)=1,0,MIN(10,CO25)*CO24)),MAX(0,40*MAX(1,CO24)-(CJ26+CK26+CL26+CM26+CN26))))</f>
        <v>0</v>
      </c>
      <c r="CP26" s="64">
        <f>IF(AND(CP24=0,CP25=0),0,MIN(IF(CP24&lt;=0,0,IF(WEEKDAY(CP$6,1)=1,0,MIN(10,CP25)*CP24)),MAX(0,40*MAX(1,CP24)-(0))))</f>
        <v>0</v>
      </c>
      <c r="CQ26" s="63">
        <f>IF(AND(CQ24=1,CQ25=13),10,MIN(IF(CQ24&lt;=0,0,IF(WEEKDAY(CQ$6,1)=1,0,MIN(10,CQ25)*CQ24)),MAX(0,40*MAX(1,CQ24)-(0))))</f>
        <v>10</v>
      </c>
      <c r="CR26" s="63">
        <f>IF(AND(CR24=1,CR25=13),10,MIN(IF(CR24&lt;=0,0,IF(WEEKDAY(CR$6,1)=1,0,MIN(10,CR25)*CR24)),MAX(0,40*MAX(1,CR24)-(CQ26))))</f>
        <v>10</v>
      </c>
      <c r="CS26" s="63">
        <f>IF(AND(CS24=1,CS25=13),10,MIN(IF(CS24&lt;=0,0,IF(WEEKDAY(CS$6,1)=1,0,MIN(10,CS25)*CS24)),MAX(0,40*MAX(1,CS24)-(CQ26+CR26))))</f>
        <v>10</v>
      </c>
      <c r="CT26" s="63">
        <f>IF(AND(CT24=1,CT25=13),10,MIN(IF(CT24&lt;=0,0,IF(WEEKDAY(CT$6,1)=1,0,MIN(10,CT25)*CT24)),MAX(0,40*MAX(1,CT24)-(CQ26+CR26+CS26))))</f>
        <v>10</v>
      </c>
      <c r="CU26" s="63">
        <f>IF(AND(CU24=1,CU25=13),0,MIN(IF(CU24&lt;=0,0,IF(WEEKDAY(CU$6,1)=1,0,MIN(10,CU25)*CU24)),MAX(0,40*MAX(1,CU24)-(CQ26+CR26+CS26+CT26))))</f>
        <v>0</v>
      </c>
      <c r="CV26" s="64">
        <f>IF(AND(CV24=1,CV25=13),0,MIN(IF(CV24&lt;=0,0,IF(WEEKDAY(CV$6,1)=1,0,MIN(10,CV25)*CV24)),MAX(0,40*MAX(1,CV24)-(CQ26+CR26+CS26+CT26+CU26))))</f>
        <v>0</v>
      </c>
      <c r="CW26" s="64">
        <f>IF(AND(CW24=1,CW25=13),0,MIN(IF(CW24&lt;=0,0,IF(WEEKDAY(CW$6,1)=1,0,MIN(10,CW25)*CW24)),MAX(0,40*MAX(1,CW24)-(CQ26+CR26+CS26+CT26+CU26+CV26))))</f>
        <v>0</v>
      </c>
      <c r="CX26" s="63">
        <f>IF(AND(CX24=1,CX25=13),10,MIN(IF(CX24&lt;=0,0,IF(WEEKDAY(CX$6,1)=1,0,MIN(10,CX25)*CX24)),MAX(0,40*MAX(1,CX24)-(0))))</f>
        <v>10</v>
      </c>
      <c r="CY26" s="63">
        <f>IF(AND(CY24=1,CY25=13),10,MIN(IF(CY24&lt;=0,0,IF(WEEKDAY(CY$6,1)=1,0,MIN(10,CY25)*CY24)),MAX(0,40*MAX(1,CY24)-(CX26))))</f>
        <v>10</v>
      </c>
      <c r="CZ26" s="63">
        <f>IF(AND(CZ24=1,CZ25=13),10,MIN(IF(CZ24&lt;=0,0,IF(WEEKDAY(CZ$6,1)=1,0,MIN(10,CZ25)*CZ24)),MAX(0,40*MAX(1,CZ24)-(CX26+CY26))))</f>
        <v>10</v>
      </c>
      <c r="DA26" s="63">
        <f>IF(AND(DA24=1,DA25=13),10,MIN(IF(DA24&lt;=0,0,IF(WEEKDAY(DA$6,1)=1,0,MIN(10,DA25)*DA24)),MAX(0,40*MAX(1,DA24)-(CX26+CY26+CZ26))))</f>
        <v>10</v>
      </c>
      <c r="DB26" s="63">
        <f>IF(AND(DB24=1,DB25=13),0,MIN(IF(DB24&lt;=0,0,IF(WEEKDAY(DB$6,1)=1,0,MIN(10,DB25)*DB24)),MAX(0,40*MAX(1,DB24)-(CX26+CY26+CZ26+DA26))))</f>
        <v>0</v>
      </c>
      <c r="DC26" s="64">
        <f>IF(AND(DC24=1,DC25=13),0,MIN(IF(DC24&lt;=0,0,IF(WEEKDAY(DC$6,1)=1,0,MIN(10,DC25)*DC24)),MAX(0,40*MAX(1,DC24)-(CX26+CY26+CZ26+DA26+DB26))))</f>
        <v>0</v>
      </c>
      <c r="DD26" s="64">
        <f>IF(AND(DD24=1,DD25=13),0,MIN(IF(DD24&lt;=0,0,IF(WEEKDAY(DD$6,1)=1,0,MIN(10,DD25)*DD24)),MAX(0,40*MAX(1,DD24)-(0))))</f>
        <v>0</v>
      </c>
      <c r="DE26" s="63">
        <f>IF(AND(DE24=1,DE25=13),10,MIN(IF(DE24&lt;=0,0,IF(WEEKDAY(DE$6,1)=1,0,MIN(10,DE25)*DE24)),MAX(0,40*MAX(1,DE24)-(0))))</f>
        <v>10</v>
      </c>
      <c r="DF26" s="63">
        <f>IF(AND(DF24=1,DF25=13),10,MIN(IF(DF24&lt;=0,0,IF(WEEKDAY(DF$6,1)=1,0,MIN(10,DF25)*DF24)),MAX(0,40*MAX(1,DF24)-(DE26))))</f>
        <v>10</v>
      </c>
      <c r="DG26" s="63">
        <f>IF(AND(DG24=1,DG25=13),10,MIN(IF(DG24&lt;=0,0,IF(WEEKDAY(DG$6,1)=1,0,MIN(10,DG25)*DG24)),MAX(0,40*MAX(1,DG24)-(DE26+DF26))))</f>
        <v>10</v>
      </c>
      <c r="DH26" s="63">
        <f>IF(AND(DH24=1,DH25=13),10,MIN(IF(DH24&lt;=0,0,IF(WEEKDAY(DH$6,1)=1,0,MIN(10,DH25)*DH24)),MAX(0,40*MAX(1,DH24)-(DE26+DF26+DG26))))</f>
        <v>10</v>
      </c>
      <c r="DI26" s="63">
        <f>IF(AND(DI24=1,DI25=13),0,MIN(IF(DI24&lt;=0,0,IF(WEEKDAY(DI$6,1)=1,0,MIN(10,DI25)*DI24)),MAX(0,40*MAX(1,DI24)-(DE26+DF26+DG26+DH26))))</f>
        <v>0</v>
      </c>
      <c r="DJ26" s="64">
        <f>IF(AND(DJ24=1,DJ25=13),0,MIN(IF(DJ24&lt;=0,0,IF(WEEKDAY(DJ$6,1)=1,0,MIN(10,DJ25)*DJ24)),MAX(0,40*MAX(1,DJ24)-(DE26+DF26+DG26+DH26+DI26))))</f>
        <v>0</v>
      </c>
      <c r="DK26" s="64">
        <f>IF(AND(DK24=0,DK25=0),0,MIN(IF(DK24&lt;=0,0,IF(WEEKDAY(DK$6,1)=1,0,MIN(10,DK25)*DK24)),MAX(0,40*MAX(1,DK24)-(0))))</f>
        <v>0</v>
      </c>
      <c r="DL26" s="63">
        <f>IF(AND(DL24=1,DL25=13),10,MIN(IF(DL24&lt;=0,0,IF(WEEKDAY(DL$6,1)=1,0,MIN(10,DL25)*DL24)),MAX(0,40*MAX(1,DL24)-(0))))</f>
        <v>10</v>
      </c>
      <c r="DM26" s="63">
        <f>IF(AND(DM24=1,DM25=13),10,MIN(IF(DM24&lt;=0,0,IF(WEEKDAY(DM$6,1)=1,0,MIN(10,DM25)*DM24)),MAX(0,40*MAX(1,DM24)-(DL26))))</f>
        <v>10</v>
      </c>
      <c r="DN26" s="63">
        <f>IF(AND(DN24=1,DN25=13),10,MIN(IF(DN24&lt;=0,0,IF(WEEKDAY(DN$6,1)=1,0,MIN(10,DN25)*DN24)),MAX(0,40*MAX(1,DN24)-(DL26+DM26))))</f>
        <v>10</v>
      </c>
      <c r="DO26" s="63">
        <f>IF(AND(DO24=1,DO25=13),10,MIN(IF(DO24&lt;=0,0,IF(WEEKDAY(DO$6,1)=1,0,MIN(10,DO25)*DO24)),MAX(0,40*MAX(1,DO24)-(DL26+DM26+DN26))))</f>
        <v>10</v>
      </c>
      <c r="DP26" s="63">
        <f>IF(AND(DP24=1,DP25=13),0,MIN(IF(DP24&lt;=0,0,IF(WEEKDAY(DP$6,1)=1,0,MIN(10,DP25)*DP24)),MAX(0,40*MAX(1,DP24)-(DL26+DM26+DN26+DO26))))</f>
        <v>0</v>
      </c>
      <c r="DQ26" s="64">
        <f>IF(AND(DQ24=1,DQ25=13),0,MIN(IF(DQ24&lt;=0,0,IF(WEEKDAY(DQ$6,1)=1,0,MIN(10,DQ25)*DQ24)),MAX(0,40*MAX(1,DQ24)-(DL26+DM26+DN26+DO26+DP26))))</f>
        <v>0</v>
      </c>
      <c r="DR26" s="64">
        <f>IF(AND(DR24=1,DR25=13),0,MIN(IF(DR24&lt;=0,0,IF(WEEKDAY(DR$6,1)=1,0,MIN(10,DR25)*DR24)),MAX(0,40*MAX(1,DR24)-(DL26+DM26+DN26+DO26+DP26+DQ26))))</f>
        <v>0</v>
      </c>
      <c r="DS26" s="63">
        <f>IF(AND(DS24=1,DS25=13),10,MIN(IF(DS24&lt;=0,0,IF(WEEKDAY(DS$6,1)=1,0,MIN(10,DS25)*DS24)),MAX(0,40*MAX(1,DS24)-(0))))</f>
        <v>10</v>
      </c>
      <c r="DT26" s="63">
        <f>IF(AND(DT24=0,DT25=0),0,MIN(IF(DT24&lt;=0,0,IF(WEEKDAY(DT$6,1)=1,0,MIN(8,DT25)*DT24)),MAX(0,40*MAX(1,DT24)-(0))))</f>
        <v>0</v>
      </c>
      <c r="DU26" s="63">
        <f>IF(AND(DU24=0,DU25=0),0,MIN(IF(DU24&lt;=0,0,IF(WEEKDAY(DU$6,1)=1,0,MIN(8,DU25)*DU24)),MAX(0,40*MAX(1,DU24)-(DT26))))</f>
        <v>0</v>
      </c>
      <c r="DV26" s="63">
        <f>IF(AND(DV24=0,DV25=0),0,MIN(IF(DV24&lt;=0,0,IF(WEEKDAY(DV$6,1)=1,0,MIN(8,DV25)*DV24)),MAX(0,40*MAX(1,DV24)-(DT26+DU26))))</f>
        <v>0</v>
      </c>
      <c r="DW26" s="63">
        <f>IF(AND(DW24=0,DW25=0),0,MIN(IF(DW24&lt;=0,0,IF(WEEKDAY(DW$6,1)=1,0,MIN(8,DW25)*DW24)),MAX(0,40*MAX(1,DW24)-(DT26+DU26+DV26))))</f>
        <v>0</v>
      </c>
      <c r="DX26" s="64">
        <f>IF(AND(DX24=0,DX25=0),0,MIN(IF(DX24&lt;=0,0,IF(WEEKDAY(DX$6,1)=1,0,MIN(10,DX25)*DX24)),MAX(0,40*MAX(1,DX24)-(0))))</f>
        <v>0</v>
      </c>
      <c r="DY26" s="64">
        <f>IF(AND(DY24=0,DY25=0),0,MIN(IF(DY24&lt;=0,0,IF(WEEKDAY(DY$6,1)=1,0,MIN(10,DY25)*DY24)),MAX(0,40*MAX(1,DY24)-(DX26))))</f>
        <v>0</v>
      </c>
      <c r="DZ26" s="63">
        <f>IF(AND(DZ24=0,DZ25=0),0,MIN(IF(DZ24&lt;=0,0,IF(WEEKDAY(DZ$6,1)=1,0,MIN(8,DZ25)*DZ24)),MAX(0,40*MAX(1,DZ24)-(0))))</f>
        <v>0</v>
      </c>
      <c r="EA26" s="63">
        <f>IF(AND(EA24=0,EA25=0),0,MIN(IF(EA24&lt;=0,0,IF(WEEKDAY(EA$6,1)=1,0,MIN(8,EA25)*EA24)),MAX(0,40*MAX(1,EA24)-(DZ26))))</f>
        <v>0</v>
      </c>
      <c r="EB26" s="63">
        <f>IF(AND(EB24=0,EB25=0),0,MIN(IF(EB24&lt;=0,0,IF(WEEKDAY(EB$6,1)=1,0,MIN(8,EB25)*EB24)),MAX(0,40*MAX(1,EB24)-(DZ26+EA26))))</f>
        <v>0</v>
      </c>
      <c r="EC26" s="63">
        <f>IF(AND(EC24=0,EC25=0),0,MIN(IF(EC24&lt;=0,0,IF(WEEKDAY(EC$6,1)=1,0,MIN(8,EC25)*EC24)),MAX(0,40*MAX(1,EC24)-(DZ26+EA26+EB26))))</f>
        <v>0</v>
      </c>
      <c r="ED26" s="63">
        <f>IF(AND(ED24=0,ED25=0),0,MIN(IF(ED24&lt;=0,0,IF(WEEKDAY(ED$6,1)=1,0,MIN(8,ED25)*ED24)),MAX(0,40*MAX(1,ED24)-(DZ26+EA26+EB26+EC26))))</f>
        <v>0</v>
      </c>
      <c r="EE26" s="64">
        <f>IF(AND(EE24=0,EE25=0),0,MIN(IF(EE24&lt;=0,0,IF(WEEKDAY(EE$6,1)=1,0,MIN(10,EE25)*EE24)),MAX(0,40*MAX(1,EE24)-(0))))</f>
        <v>0</v>
      </c>
      <c r="EF26" s="64">
        <f>IF(AND(EF24=0,EF25=0),0,MIN(IF(EF24&lt;=0,0,IF(WEEKDAY(EF$6,1)=1,0,MIN(10,EF25)*EF24)),MAX(0,40*MAX(1,EF24)-(EE26))))</f>
        <v>0</v>
      </c>
      <c r="EG26" s="63">
        <f>IF(AND(EG24=0,EG25=0),0,MIN(IF(EG24&lt;=0,0,IF(WEEKDAY(EG$6,1)=1,0,MIN(8,EG25)*EG24)),MAX(0,40*MAX(1,EG24)-(0))))</f>
        <v>0</v>
      </c>
      <c r="EH26" s="63">
        <f>IF(AND(EH24=0,EH25=0),0,MIN(IF(EH24&lt;=0,0,IF(WEEKDAY(EH$6,1)=1,0,MIN(8,EH25)*EH24)),MAX(0,40*MAX(1,EH24)-(EG26))))</f>
        <v>0</v>
      </c>
      <c r="EI26" s="63">
        <f>IF(AND(EI24=0,EI25=0),0,MIN(IF(EI24&lt;=0,0,IF(WEEKDAY(EI$6,1)=1,0,MIN(8,EI25)*EI24)),MAX(0,40*MAX(1,EI24)-(EG26+EH26))))</f>
        <v>0</v>
      </c>
      <c r="EJ26" s="63">
        <f>IF(AND(EJ24=0,EJ25=0),0,MIN(IF(EJ24&lt;=0,0,IF(WEEKDAY(EJ$6,1)=1,0,MIN(8,EJ25)*EJ24)),MAX(0,40*MAX(1,EJ24)-(EG26+EH26+EI26))))</f>
        <v>0</v>
      </c>
      <c r="EK26" s="65">
        <f>IF(AND(EK24=0,EK25=0),0,MIN(IF(EK24&lt;=0,0,IF(WEEKDAY(EK$6,1)=1,0,MIN(8,EK25)*EK24)),MAX(0,40*MAX(1,EK24)-(EG26+EH26+EI26+EJ26))))</f>
        <v>0</v>
      </c>
      <c r="OU26" s="28" t="s">
        <v>69</v>
      </c>
    </row>
    <row r="27" ht="16" customHeight="1" spans="1:411" x14ac:dyDescent="0.25">
      <c r="A27" s="45"/>
      <c r="B27" s="46"/>
      <c r="C27" s="66">
        <f>G23*N(D27)</f>
        <v>66592.8</v>
      </c>
      <c r="D27" s="66">
        <f>IF(TRIM(B23)="","No rate",IFERROR(INDEX('Rate Tables'!D$7:D$158,MATCH(B23,'Rate Tables'!A$7:A$158,0)),"No rate"))</f>
        <v>184.98</v>
      </c>
      <c r="E27" s="55" t="s">
        <v>63</v>
      </c>
      <c r="F27" s="49"/>
      <c r="G27" s="49"/>
      <c r="H27" s="49"/>
      <c r="I27" s="49"/>
      <c r="J27" s="50"/>
      <c r="K27" s="62">
        <f>IF(AND(K24=1,K25=9),1,IF(K24&lt;=0,0,IF(WEEKDAY(K$6,1)=1,0,MAX(0,K25-8)*K24))+((IF(K24&lt;=0,0,IF(WEEKDAY(K$6,1)=1,0,MIN(8,K25)*K24)))-MIN(IF(K24&lt;=0,0,IF(WEEKDAY(K$6,1)=1,0,MIN(8,K25)*K24)),MAX(0,40*MAX(1,K24)-(0)))))</f>
        <v>1</v>
      </c>
      <c r="L27" s="63">
        <f>IF(AND(L24=1,L25=9),1,IF(L24&lt;=0,0,IF(WEEKDAY(L$6,1)=1,0,MAX(0,L25-8)*L24))+((IF(L24&lt;=0,0,IF(WEEKDAY(L$6,1)=1,0,MIN(8,L25)*L24)))-MIN(IF(L24&lt;=0,0,IF(WEEKDAY(L$6,1)=1,0,MIN(8,L25)*L24)),MAX(0,40*MAX(1,L24)-(K26)))))</f>
        <v>1</v>
      </c>
      <c r="M27" s="63">
        <f>IF(AND(M24=1,M25=9),1,IF(M24&lt;=0,0,IF(WEEKDAY(M$6,1)=1,0,MAX(0,M25-8)*M24))+((IF(M24&lt;=0,0,IF(WEEKDAY(M$6,1)=1,0,MIN(8,M25)*M24)))-MIN(IF(M24&lt;=0,0,IF(WEEKDAY(M$6,1)=1,0,MIN(8,M25)*M24)),MAX(0,40*MAX(1,M24)-(K26+L26)))))</f>
        <v>1</v>
      </c>
      <c r="N27" s="63">
        <f>IF(AND(N24=1,N25=9),1,IF(N24&lt;=0,0,IF(WEEKDAY(N$6,1)=1,0,MAX(0,N25-8)*N24))+((IF(N24&lt;=0,0,IF(WEEKDAY(N$6,1)=1,0,MIN(8,N25)*N24)))-MIN(IF(N24&lt;=0,0,IF(WEEKDAY(N$6,1)=1,0,MIN(8,N25)*N24)),MAX(0,40*MAX(1,N24)-(K26+L26+M26)))))</f>
        <v>1</v>
      </c>
      <c r="O27" s="63">
        <f>IF(AND(O24=1,O25=9),1,IF(O24&lt;=0,0,IF(WEEKDAY(O$6,1)=1,0,MAX(0,O25-8)*O24))+((IF(O24&lt;=0,0,IF(WEEKDAY(O$6,1)=1,0,MIN(8,O25)*O24)))-MIN(IF(O24&lt;=0,0,IF(WEEKDAY(O$6,1)=1,0,MIN(8,O25)*O24)),MAX(0,40*MAX(1,O24)-(K26+L26+M26+N26)))))</f>
        <v>1</v>
      </c>
      <c r="P27" s="64">
        <f>IF(AND(P24=0,P25=0),0,IF(P24&lt;=0,0,IF(WEEKDAY(P$6,1)=1,0,MAX(0,P25-10)*P24))+((IF(P24&lt;=0,0,IF(WEEKDAY(P$6,1)=1,0,MIN(10,P25)*P24)))-MIN(IF(P24&lt;=0,0,IF(WEEKDAY(P$6,1)=1,0,MIN(10,P25)*P24)),MAX(0,40*MAX(1,P24)-(0)))))</f>
        <v>0</v>
      </c>
      <c r="Q27" s="64">
        <f>IF(AND(Q24=0,Q25=0),0,IF(Q24&lt;=0,0,IF(WEEKDAY(Q$6,1)=1,0,MAX(0,Q25-10)*Q24))+((IF(Q24&lt;=0,0,IF(WEEKDAY(Q$6,1)=1,0,MIN(10,Q25)*Q24)))-MIN(IF(Q24&lt;=0,0,IF(WEEKDAY(Q$6,1)=1,0,MIN(10,Q25)*Q24)),MAX(0,40*MAX(1,Q24)-(P26)))))</f>
        <v>0</v>
      </c>
      <c r="R27" s="63">
        <f>IF(AND(R24=1,R25=9),1,IF(R24&lt;=0,0,IF(WEEKDAY(R$6,1)=1,0,MAX(0,R25-8)*R24))+((IF(R24&lt;=0,0,IF(WEEKDAY(R$6,1)=1,0,MIN(8,R25)*R24)))-MIN(IF(R24&lt;=0,0,IF(WEEKDAY(R$6,1)=1,0,MIN(8,R25)*R24)),MAX(0,40*MAX(1,R24)-(0)))))</f>
        <v>1</v>
      </c>
      <c r="S27" s="63">
        <f>IF(AND(S24=1,S25=9),1,IF(S24&lt;=0,0,IF(WEEKDAY(S$6,1)=1,0,MAX(0,S25-8)*S24))+((IF(S24&lt;=0,0,IF(WEEKDAY(S$6,1)=1,0,MIN(8,S25)*S24)))-MIN(IF(S24&lt;=0,0,IF(WEEKDAY(S$6,1)=1,0,MIN(8,S25)*S24)),MAX(0,40*MAX(1,S24)-(R26)))))</f>
        <v>1</v>
      </c>
      <c r="T27" s="63">
        <f>IF(AND(T24=1,T25=9),1,IF(T24&lt;=0,0,IF(WEEKDAY(T$6,1)=1,0,MAX(0,T25-8)*T24))+((IF(T24&lt;=0,0,IF(WEEKDAY(T$6,1)=1,0,MIN(8,T25)*T24)))-MIN(IF(T24&lt;=0,0,IF(WEEKDAY(T$6,1)=1,0,MIN(8,T25)*T24)),MAX(0,40*MAX(1,T24)-(R26+S26)))))</f>
        <v>1</v>
      </c>
      <c r="U27" s="63">
        <f>IF(AND(U24=1,U25=9),1,IF(U24&lt;=0,0,IF(WEEKDAY(U$6,1)=1,0,MAX(0,U25-8)*U24))+((IF(U24&lt;=0,0,IF(WEEKDAY(U$6,1)=1,0,MIN(8,U25)*U24)))-MIN(IF(U24&lt;=0,0,IF(WEEKDAY(U$6,1)=1,0,MIN(8,U25)*U24)),MAX(0,40*MAX(1,U24)-(R26+S26+T26)))))</f>
        <v>1</v>
      </c>
      <c r="V27" s="63">
        <f>IF(AND(V24=1,V25=9),1,IF(V24&lt;=0,0,IF(WEEKDAY(V$6,1)=1,0,MAX(0,V25-8)*V24))+((IF(V24&lt;=0,0,IF(WEEKDAY(V$6,1)=1,0,MIN(8,V25)*V24)))-MIN(IF(V24&lt;=0,0,IF(WEEKDAY(V$6,1)=1,0,MIN(8,V25)*V24)),MAX(0,40*MAX(1,V24)-(R26+S26+T26+U26)))))</f>
        <v>1</v>
      </c>
      <c r="W27" s="64">
        <f>IF(AND(W24=0,W25=0),0,IF(W24&lt;=0,0,IF(WEEKDAY(W$6,1)=1,0,MAX(0,W25-10)*W24))+((IF(W24&lt;=0,0,IF(WEEKDAY(W$6,1)=1,0,MIN(10,W25)*W24)))-MIN(IF(W24&lt;=0,0,IF(WEEKDAY(W$6,1)=1,0,MIN(10,W25)*W24)),MAX(0,40*MAX(1,W24)-(0)))))</f>
        <v>0</v>
      </c>
      <c r="X27" s="64">
        <f>IF(AND(X24=0,X25=0),0,IF(X24&lt;=0,0,IF(WEEKDAY(X$6,1)=1,0,MAX(0,X25-10)*X24))+((IF(X24&lt;=0,0,IF(WEEKDAY(X$6,1)=1,0,MIN(10,X25)*X24)))-MIN(IF(X24&lt;=0,0,IF(WEEKDAY(X$6,1)=1,0,MIN(10,X25)*X24)),MAX(0,40*MAX(1,X24)-(W26)))))</f>
        <v>0</v>
      </c>
      <c r="Y27" s="63">
        <f>IF(AND(Y24=1,Y25=9),1,IF(Y24&lt;=0,0,IF(WEEKDAY(Y$6,1)=1,0,MAX(0,Y25-8)*Y24))+((IF(Y24&lt;=0,0,IF(WEEKDAY(Y$6,1)=1,0,MIN(8,Y25)*Y24)))-MIN(IF(Y24&lt;=0,0,IF(WEEKDAY(Y$6,1)=1,0,MIN(8,Y25)*Y24)),MAX(0,40*MAX(1,Y24)-(0)))))</f>
        <v>1</v>
      </c>
      <c r="Z27" s="63">
        <f>IF(AND(Z24=1,Z25=9),1,IF(Z24&lt;=0,0,IF(WEEKDAY(Z$6,1)=1,0,MAX(0,Z25-8)*Z24))+((IF(Z24&lt;=0,0,IF(WEEKDAY(Z$6,1)=1,0,MIN(8,Z25)*Z24)))-MIN(IF(Z24&lt;=0,0,IF(WEEKDAY(Z$6,1)=1,0,MIN(8,Z25)*Z24)),MAX(0,40*MAX(1,Z24)-(Y26)))))</f>
        <v>1</v>
      </c>
      <c r="AA27" s="63">
        <f>IF(AND(AA24=1,AA25=9),1,IF(AA24&lt;=0,0,IF(WEEKDAY(AA$6,1)=1,0,MAX(0,AA25-8)*AA24))+((IF(AA24&lt;=0,0,IF(WEEKDAY(AA$6,1)=1,0,MIN(8,AA25)*AA24)))-MIN(IF(AA24&lt;=0,0,IF(WEEKDAY(AA$6,1)=1,0,MIN(8,AA25)*AA24)),MAX(0,40*MAX(1,AA24)-(Y26+Z26)))))</f>
        <v>1</v>
      </c>
      <c r="AB27" s="63">
        <f>IF(AND(AB24=1,AB25=9),1,IF(AB24&lt;=0,0,IF(WEEKDAY(AB$6,1)=1,0,MAX(0,AB25-8)*AB24))+((IF(AB24&lt;=0,0,IF(WEEKDAY(AB$6,1)=1,0,MIN(8,AB25)*AB24)))-MIN(IF(AB24&lt;=0,0,IF(WEEKDAY(AB$6,1)=1,0,MIN(8,AB25)*AB24)),MAX(0,40*MAX(1,AB24)-(Y26+Z26+AA26)))))</f>
        <v>1</v>
      </c>
      <c r="AC27" s="63">
        <f>IF(AND(AC24=1,AC25=9),1,IF(AC24&lt;=0,0,IF(WEEKDAY(AC$6,1)=1,0,MAX(0,AC25-8)*AC24))+((IF(AC24&lt;=0,0,IF(WEEKDAY(AC$6,1)=1,0,MIN(8,AC25)*AC24)))-MIN(IF(AC24&lt;=0,0,IF(WEEKDAY(AC$6,1)=1,0,MIN(8,AC25)*AC24)),MAX(0,40*MAX(1,AC24)-(Y26+Z26+AA26+AB26)))))</f>
        <v>1</v>
      </c>
      <c r="AD27" s="64">
        <f>IF(AND(AD24=0,AD25=0),0,IF(AD24&lt;=0,0,IF(WEEKDAY(AD$6,1)=1,0,MAX(0,AD25-10)*AD24))+((IF(AD24&lt;=0,0,IF(WEEKDAY(AD$6,1)=1,0,MIN(10,AD25)*AD24)))-MIN(IF(AD24&lt;=0,0,IF(WEEKDAY(AD$6,1)=1,0,MIN(10,AD25)*AD24)),MAX(0,40*MAX(1,AD24)-(0)))))</f>
        <v>0</v>
      </c>
      <c r="AE27" s="64">
        <f>IF(AND(AE24=0,AE25=0),0,IF(AE24&lt;=0,0,IF(WEEKDAY(AE$6,1)=1,0,MAX(0,AE25-10)*AE24))+((IF(AE24&lt;=0,0,IF(WEEKDAY(AE$6,1)=1,0,MIN(10,AE25)*AE24)))-MIN(IF(AE24&lt;=0,0,IF(WEEKDAY(AE$6,1)=1,0,MIN(10,AE25)*AE24)),MAX(0,40*MAX(1,AE24)-(AD26)))))</f>
        <v>0</v>
      </c>
      <c r="AF27" s="63">
        <f>IF(AND(AF24=1,AF25=9),1,IF(AF24&lt;=0,0,IF(WEEKDAY(AF$6,1)=1,0,MAX(0,AF25-8)*AF24))+((IF(AF24&lt;=0,0,IF(WEEKDAY(AF$6,1)=1,0,MIN(8,AF25)*AF24)))-MIN(IF(AF24&lt;=0,0,IF(WEEKDAY(AF$6,1)=1,0,MIN(8,AF25)*AF24)),MAX(0,40*MAX(1,AF24)-(0)))))</f>
        <v>1</v>
      </c>
      <c r="AG27" s="63">
        <f>IF(AND(AG24=1,AG25=9),1,IF(AG24&lt;=0,0,IF(WEEKDAY(AG$6,1)=1,0,MAX(0,AG25-8)*AG24))+((IF(AG24&lt;=0,0,IF(WEEKDAY(AG$6,1)=1,0,MIN(8,AG25)*AG24)))-MIN(IF(AG24&lt;=0,0,IF(WEEKDAY(AG$6,1)=1,0,MIN(8,AG25)*AG24)),MAX(0,40*MAX(1,AG24)-(AF26)))))</f>
        <v>1</v>
      </c>
      <c r="AH27" s="63">
        <f>IF(AND(AH24=1,AH25=9),1,IF(AH24&lt;=0,0,IF(WEEKDAY(AH$6,1)=1,0,MAX(0,AH25-8)*AH24))+((IF(AH24&lt;=0,0,IF(WEEKDAY(AH$6,1)=1,0,MIN(8,AH25)*AH24)))-MIN(IF(AH24&lt;=0,0,IF(WEEKDAY(AH$6,1)=1,0,MIN(8,AH25)*AH24)),MAX(0,40*MAX(1,AH24)-(AF26+AG26)))))</f>
        <v>1</v>
      </c>
      <c r="AI27" s="63">
        <f>IF(AND(AI24=1,AI25=9),1,IF(AI24&lt;=0,0,IF(WEEKDAY(AI$6,1)=1,0,MAX(0,AI25-8)*AI24))+((IF(AI24&lt;=0,0,IF(WEEKDAY(AI$6,1)=1,0,MIN(8,AI25)*AI24)))-MIN(IF(AI24&lt;=0,0,IF(WEEKDAY(AI$6,1)=1,0,MIN(8,AI25)*AI24)),MAX(0,40*MAX(1,AI24)-(AF26+AG26+AH26)))))</f>
        <v>1</v>
      </c>
      <c r="AJ27" s="63">
        <f>IF(AND(AJ24=1,AJ25=9),1,IF(AJ24&lt;=0,0,IF(WEEKDAY(AJ$6,1)=1,0,MAX(0,AJ25-8)*AJ24))+((IF(AJ24&lt;=0,0,IF(WEEKDAY(AJ$6,1)=1,0,MIN(8,AJ25)*AJ24)))-MIN(IF(AJ24&lt;=0,0,IF(WEEKDAY(AJ$6,1)=1,0,MIN(8,AJ25)*AJ24)),MAX(0,40*MAX(1,AJ24)-(AF26+AG26+AH26+AI26)))))</f>
        <v>1</v>
      </c>
      <c r="AK27" s="64">
        <f>IF(AND(AK24=0,AK25=0),0,IF(AK24&lt;=0,0,IF(WEEKDAY(AK$6,1)=1,0,MAX(0,AK25-10)*AK24))+((IF(AK24&lt;=0,0,IF(WEEKDAY(AK$6,1)=1,0,MIN(10,AK25)*AK24)))-MIN(IF(AK24&lt;=0,0,IF(WEEKDAY(AK$6,1)=1,0,MIN(10,AK25)*AK24)),MAX(0,40*MAX(1,AK24)-(0)))))</f>
        <v>0</v>
      </c>
      <c r="AL27" s="64">
        <f>IF(AND(AL24=0,AL25=0),0,IF(AL24&lt;=0,0,IF(WEEKDAY(AL$6,1)=1,0,MAX(0,AL25-10)*AL24))+((IF(AL24&lt;=0,0,IF(WEEKDAY(AL$6,1)=1,0,MIN(10,AL25)*AL24)))-MIN(IF(AL24&lt;=0,0,IF(WEEKDAY(AL$6,1)=1,0,MIN(10,AL25)*AL24)),MAX(0,40*MAX(1,AL24)-(AK26)))))</f>
        <v>0</v>
      </c>
      <c r="AM27" s="63">
        <f>IF(AND(AM24=1,AM25=9),1,IF(AM24&lt;=0,0,IF(WEEKDAY(AM$6,1)=1,0,MAX(0,AM25-8)*AM24))+((IF(AM24&lt;=0,0,IF(WEEKDAY(AM$6,1)=1,0,MIN(8,AM25)*AM24)))-MIN(IF(AM24&lt;=0,0,IF(WEEKDAY(AM$6,1)=1,0,MIN(8,AM25)*AM24)),MAX(0,40*MAX(1,AM24)-(0)))))</f>
        <v>1</v>
      </c>
      <c r="AN27" s="63">
        <f>IF(AND(AN24=1,AN25=9),1,IF(AN24&lt;=0,0,IF(WEEKDAY(AN$6,1)=1,0,MAX(0,AN25-8)*AN24))+((IF(AN24&lt;=0,0,IF(WEEKDAY(AN$6,1)=1,0,MIN(8,AN25)*AN24)))-MIN(IF(AN24&lt;=0,0,IF(WEEKDAY(AN$6,1)=1,0,MIN(8,AN25)*AN24)),MAX(0,40*MAX(1,AN24)-(AM26)))))</f>
        <v>1</v>
      </c>
      <c r="AO27" s="63">
        <f>IF(AND(AO24=1,AO25=9),1,IF(AO24&lt;=0,0,IF(WEEKDAY(AO$6,1)=1,0,MAX(0,AO25-8)*AO24))+((IF(AO24&lt;=0,0,IF(WEEKDAY(AO$6,1)=1,0,MIN(8,AO25)*AO24)))-MIN(IF(AO24&lt;=0,0,IF(WEEKDAY(AO$6,1)=1,0,MIN(8,AO25)*AO24)),MAX(0,40*MAX(1,AO24)-(AM26+AN26)))))</f>
        <v>1</v>
      </c>
      <c r="AP27" s="63">
        <f>IF(AND(AP24=1,AP25=9),1,IF(AP24&lt;=0,0,IF(WEEKDAY(AP$6,1)=1,0,MAX(0,AP25-8)*AP24))+((IF(AP24&lt;=0,0,IF(WEEKDAY(AP$6,1)=1,0,MIN(8,AP25)*AP24)))-MIN(IF(AP24&lt;=0,0,IF(WEEKDAY(AP$6,1)=1,0,MIN(8,AP25)*AP24)),MAX(0,40*MAX(1,AP24)-(AM26+AN26+AO26)))))</f>
        <v>1</v>
      </c>
      <c r="AQ27" s="63">
        <f>IF(AND(AQ24=1,AQ25=9),1,IF(AQ24&lt;=0,0,IF(WEEKDAY(AQ$6,1)=1,0,MAX(0,AQ25-8)*AQ24))+((IF(AQ24&lt;=0,0,IF(WEEKDAY(AQ$6,1)=1,0,MIN(8,AQ25)*AQ24)))-MIN(IF(AQ24&lt;=0,0,IF(WEEKDAY(AQ$6,1)=1,0,MIN(8,AQ25)*AQ24)),MAX(0,40*MAX(1,AQ24)-(AM26+AN26+AO26+AP26)))))</f>
        <v>1</v>
      </c>
      <c r="AR27" s="64">
        <f>IF(AND(AR24=0,AR25=0),0,IF(AR24&lt;=0,0,IF(WEEKDAY(AR$6,1)=1,0,MAX(0,AR25-10)*AR24))+((IF(AR24&lt;=0,0,IF(WEEKDAY(AR$6,1)=1,0,MIN(10,AR25)*AR24)))-MIN(IF(AR24&lt;=0,0,IF(WEEKDAY(AR$6,1)=1,0,MIN(10,AR25)*AR24)),MAX(0,40*MAX(1,AR24)-(0)))))</f>
        <v>0</v>
      </c>
      <c r="AS27" s="64">
        <f>IF(AND(AS24=0,AS25=0),0,IF(AS24&lt;=0,0,IF(WEEKDAY(AS$6,1)=1,0,MAX(0,AS25-10)*AS24))+((IF(AS24&lt;=0,0,IF(WEEKDAY(AS$6,1)=1,0,MIN(10,AS25)*AS24)))-MIN(IF(AS24&lt;=0,0,IF(WEEKDAY(AS$6,1)=1,0,MIN(10,AS25)*AS24)),MAX(0,40*MAX(1,AS24)-(AR26)))))</f>
        <v>0</v>
      </c>
      <c r="AT27" s="63">
        <f>IF(AND(AT24=1,AT25=9),1,IF(AT24&lt;=0,0,IF(WEEKDAY(AT$6,1)=1,0,MAX(0,AT25-8)*AT24))+((IF(AT24&lt;=0,0,IF(WEEKDAY(AT$6,1)=1,0,MIN(8,AT25)*AT24)))-MIN(IF(AT24&lt;=0,0,IF(WEEKDAY(AT$6,1)=1,0,MIN(8,AT25)*AT24)),MAX(0,40*MAX(1,AT24)-(0)))))</f>
        <v>1</v>
      </c>
      <c r="AU27" s="63">
        <f>IF(AND(AU24=1,AU25=9),1,IF(AU24&lt;=0,0,IF(WEEKDAY(AU$6,1)=1,0,MAX(0,AU25-8)*AU24))+((IF(AU24&lt;=0,0,IF(WEEKDAY(AU$6,1)=1,0,MIN(8,AU25)*AU24)))-MIN(IF(AU24&lt;=0,0,IF(WEEKDAY(AU$6,1)=1,0,MIN(8,AU25)*AU24)),MAX(0,40*MAX(1,AU24)-(AT26)))))</f>
        <v>1</v>
      </c>
      <c r="AV27" s="63">
        <f>IF(AND(AV24=1,AV25=9),1,IF(AV24&lt;=0,0,IF(WEEKDAY(AV$6,1)=1,0,MAX(0,AV25-8)*AV24))+((IF(AV24&lt;=0,0,IF(WEEKDAY(AV$6,1)=1,0,MIN(8,AV25)*AV24)))-MIN(IF(AV24&lt;=0,0,IF(WEEKDAY(AV$6,1)=1,0,MIN(8,AV25)*AV24)),MAX(0,40*MAX(1,AV24)-(AT26+AU26)))))</f>
        <v>1</v>
      </c>
      <c r="AW27" s="63">
        <f>IF(AND(AW24=1,AW25=9),1,IF(AW24&lt;=0,0,IF(WEEKDAY(AW$6,1)=1,0,MAX(0,AW25-8)*AW24))+((IF(AW24&lt;=0,0,IF(WEEKDAY(AW$6,1)=1,0,MIN(8,AW25)*AW24)))-MIN(IF(AW24&lt;=0,0,IF(WEEKDAY(AW$6,1)=1,0,MIN(8,AW25)*AW24)),MAX(0,40*MAX(1,AW24)-(AT26+AU26+AV26)))))</f>
        <v>1</v>
      </c>
      <c r="AX27" s="63">
        <f>IF(AND(AX24=1,AX25=9),1,IF(AX24&lt;=0,0,IF(WEEKDAY(AX$6,1)=1,0,MAX(0,AX25-8)*AX24))+((IF(AX24&lt;=0,0,IF(WEEKDAY(AX$6,1)=1,0,MIN(8,AX25)*AX24)))-MIN(IF(AX24&lt;=0,0,IF(WEEKDAY(AX$6,1)=1,0,MIN(8,AX25)*AX24)),MAX(0,40*MAX(1,AX24)-(AT26+AU26+AV26+AW26)))))</f>
        <v>1</v>
      </c>
      <c r="AY27" s="64">
        <f>IF(AND(AY24=0,AY25=0),0,IF(AY24&lt;=0,0,IF(WEEKDAY(AY$6,1)=1,0,MAX(0,AY25-10)*AY24))+((IF(AY24&lt;=0,0,IF(WEEKDAY(AY$6,1)=1,0,MIN(10,AY25)*AY24)))-MIN(IF(AY24&lt;=0,0,IF(WEEKDAY(AY$6,1)=1,0,MIN(10,AY25)*AY24)),MAX(0,40*MAX(1,AY24)-(0)))))</f>
        <v>0</v>
      </c>
      <c r="AZ27" s="64">
        <f>IF(AND(AZ24=0,AZ25=0),0,IF(AZ24&lt;=0,0,IF(WEEKDAY(AZ$6,1)=1,0,MAX(0,AZ25-10)*AZ24))+((IF(AZ24&lt;=0,0,IF(WEEKDAY(AZ$6,1)=1,0,MIN(10,AZ25)*AZ24)))-MIN(IF(AZ24&lt;=0,0,IF(WEEKDAY(AZ$6,1)=1,0,MIN(10,AZ25)*AZ24)),MAX(0,40*MAX(1,AZ24)-(AY26)))))</f>
        <v>0</v>
      </c>
      <c r="BA27" s="63">
        <f>IF(AND(BA24=1,BA25=9),1,IF(BA24&lt;=0,0,IF(WEEKDAY(BA$6,1)=1,0,MAX(0,BA25-8)*BA24))+((IF(BA24&lt;=0,0,IF(WEEKDAY(BA$6,1)=1,0,MIN(8,BA25)*BA24)))-MIN(IF(BA24&lt;=0,0,IF(WEEKDAY(BA$6,1)=1,0,MIN(8,BA25)*BA24)),MAX(0,40*MAX(1,BA24)-(0)))))</f>
        <v>1</v>
      </c>
      <c r="BB27" s="63">
        <f>IF(AND(BB24=1,BB25=9),1,IF(BB24&lt;=0,0,IF(WEEKDAY(BB$6,1)=1,0,MAX(0,BB25-8)*BB24))+((IF(BB24&lt;=0,0,IF(WEEKDAY(BB$6,1)=1,0,MIN(8,BB25)*BB24)))-MIN(IF(BB24&lt;=0,0,IF(WEEKDAY(BB$6,1)=1,0,MIN(8,BB25)*BB24)),MAX(0,40*MAX(1,BB24)-(BA26)))))</f>
        <v>1</v>
      </c>
      <c r="BC27" s="63">
        <f>IF(AND(BC24=1,BC25=9),1,IF(BC24&lt;=0,0,IF(WEEKDAY(BC$6,1)=1,0,MAX(0,BC25-8)*BC24))+((IF(BC24&lt;=0,0,IF(WEEKDAY(BC$6,1)=1,0,MIN(8,BC25)*BC24)))-MIN(IF(BC24&lt;=0,0,IF(WEEKDAY(BC$6,1)=1,0,MIN(8,BC25)*BC24)),MAX(0,40*MAX(1,BC24)-(BA26+BB26)))))</f>
        <v>1</v>
      </c>
      <c r="BD27" s="63">
        <f>IF(AND(BD24=1,BD25=9),1,IF(BD24&lt;=0,0,IF(WEEKDAY(BD$6,1)=1,0,MAX(0,BD25-8)*BD24))+((IF(BD24&lt;=0,0,IF(WEEKDAY(BD$6,1)=1,0,MIN(8,BD25)*BD24)))-MIN(IF(BD24&lt;=0,0,IF(WEEKDAY(BD$6,1)=1,0,MIN(8,BD25)*BD24)),MAX(0,40*MAX(1,BD24)-(BA26+BB26+BC26)))))</f>
        <v>1</v>
      </c>
      <c r="BE27" s="63">
        <f>IF(AND(BE24=1,BE25=9),1,IF(BE24&lt;=0,0,IF(WEEKDAY(BE$6,1)=1,0,MAX(0,BE25-8)*BE24))+((IF(BE24&lt;=0,0,IF(WEEKDAY(BE$6,1)=1,0,MIN(8,BE25)*BE24)))-MIN(IF(BE24&lt;=0,0,IF(WEEKDAY(BE$6,1)=1,0,MIN(8,BE25)*BE24)),MAX(0,40*MAX(1,BE24)-(BA26+BB26+BC26+BD26)))))</f>
        <v>1</v>
      </c>
      <c r="BF27" s="64">
        <f>IF(AND(BF24=0,BF25=0),0,IF(BF24&lt;=0,0,IF(WEEKDAY(BF$6,1)=1,0,MAX(0,BF25-10)*BF24))+((IF(BF24&lt;=0,0,IF(WEEKDAY(BF$6,1)=1,0,MIN(10,BF25)*BF24)))-MIN(IF(BF24&lt;=0,0,IF(WEEKDAY(BF$6,1)=1,0,MIN(10,BF25)*BF24)),MAX(0,40*MAX(1,BF24)-(0)))))</f>
        <v>0</v>
      </c>
      <c r="BG27" s="64">
        <f>IF(AND(BG24=0,BG25=0),0,IF(BG24&lt;=0,0,IF(WEEKDAY(BG$6,1)=1,0,MAX(0,BG25-10)*BG24))+((IF(BG24&lt;=0,0,IF(WEEKDAY(BG$6,1)=1,0,MIN(10,BG25)*BG24)))-MIN(IF(BG24&lt;=0,0,IF(WEEKDAY(BG$6,1)=1,0,MIN(10,BG25)*BG24)),MAX(0,40*MAX(1,BG24)-(BF26)))))</f>
        <v>0</v>
      </c>
      <c r="BH27" s="63">
        <f>IF(AND(BH24=1,BH25=13),3,IF(BH24&lt;=0,0,IF(WEEKDAY(BH$6,1)=1,0,MAX(0,BH25-10)*BH24))+((IF(BH24&lt;=0,0,IF(WEEKDAY(BH$6,1)=1,0,MIN(10,BH25)*BH24)))-MIN(IF(BH24&lt;=0,0,IF(WEEKDAY(BH$6,1)=1,0,MIN(10,BH25)*BH24)),MAX(0,40*MAX(1,BH24)-(0)))))</f>
        <v>3</v>
      </c>
      <c r="BI27" s="63">
        <f>IF(AND(BI24=1,BI25=13),3,IF(BI24&lt;=0,0,IF(WEEKDAY(BI$6,1)=1,0,MAX(0,BI25-10)*BI24))+((IF(BI24&lt;=0,0,IF(WEEKDAY(BI$6,1)=1,0,MIN(10,BI25)*BI24)))-MIN(IF(BI24&lt;=0,0,IF(WEEKDAY(BI$6,1)=1,0,MIN(10,BI25)*BI24)),MAX(0,40*MAX(1,BI24)-(BH26)))))</f>
        <v>3</v>
      </c>
      <c r="BJ27" s="63">
        <f>IF(AND(BJ24=1,BJ25=13),3,IF(BJ24&lt;=0,0,IF(WEEKDAY(BJ$6,1)=1,0,MAX(0,BJ25-10)*BJ24))+((IF(BJ24&lt;=0,0,IF(WEEKDAY(BJ$6,1)=1,0,MIN(10,BJ25)*BJ24)))-MIN(IF(BJ24&lt;=0,0,IF(WEEKDAY(BJ$6,1)=1,0,MIN(10,BJ25)*BJ24)),MAX(0,40*MAX(1,BJ24)-(BH26+BI26)))))</f>
        <v>3</v>
      </c>
      <c r="BK27" s="63">
        <f>IF(AND(BK24=1,BK25=13),3,IF(BK24&lt;=0,0,IF(WEEKDAY(BK$6,1)=1,0,MAX(0,BK25-10)*BK24))+((IF(BK24&lt;=0,0,IF(WEEKDAY(BK$6,1)=1,0,MIN(10,BK25)*BK24)))-MIN(IF(BK24&lt;=0,0,IF(WEEKDAY(BK$6,1)=1,0,MIN(10,BK25)*BK24)),MAX(0,40*MAX(1,BK24)-(BH26+BI26+BJ26)))))</f>
        <v>3</v>
      </c>
      <c r="BL27" s="63">
        <f>IF(AND(BL24=1,BL25=13),13,IF(BL24&lt;=0,0,IF(WEEKDAY(BL$6,1)=1,0,MAX(0,BL25-10)*BL24))+((IF(BL24&lt;=0,0,IF(WEEKDAY(BL$6,1)=1,0,MIN(10,BL25)*BL24)))-MIN(IF(BL24&lt;=0,0,IF(WEEKDAY(BL$6,1)=1,0,MIN(10,BL25)*BL24)),MAX(0,40*MAX(1,BL24)-(BH26+BI26+BJ26+BK26)))))</f>
        <v>13</v>
      </c>
      <c r="BM27" s="64">
        <f>IF(AND(BM24=1,BM25=13),13,IF(BM24&lt;=0,0,IF(WEEKDAY(BM$6,1)=1,0,MAX(0,BM25-10)*BM24))+((IF(BM24&lt;=0,0,IF(WEEKDAY(BM$6,1)=1,0,MIN(10,BM25)*BM24)))-MIN(IF(BM24&lt;=0,0,IF(WEEKDAY(BM$6,1)=1,0,MIN(10,BM25)*BM24)),MAX(0,40*MAX(1,BM24)-(BH26+BI26+BJ26+BK26+BL26)))))</f>
        <v>13</v>
      </c>
      <c r="BN27" s="64">
        <f>IF(AND(BN24=1,BN25=13),0,IF(BN24&lt;=0,0,IF(WEEKDAY(BN$6,1)=1,0,MAX(0,BN25-10)*BN24))+((IF(BN24&lt;=0,0,IF(WEEKDAY(BN$6,1)=1,0,MIN(10,BN25)*BN24)))-MIN(IF(BN24&lt;=0,0,IF(WEEKDAY(BN$6,1)=1,0,MIN(10,BN25)*BN24)),MAX(0,40*MAX(1,BN24)-(BH26+BI26+BJ26+BK26+BL26+BM26)))))</f>
        <v>0</v>
      </c>
      <c r="BO27" s="63">
        <f>IF(AND(BO24=1,BO25=13),3,IF(BO24&lt;=0,0,IF(WEEKDAY(BO$6,1)=1,0,MAX(0,BO25-10)*BO24))+((IF(BO24&lt;=0,0,IF(WEEKDAY(BO$6,1)=1,0,MIN(10,BO25)*BO24)))-MIN(IF(BO24&lt;=0,0,IF(WEEKDAY(BO$6,1)=1,0,MIN(10,BO25)*BO24)),MAX(0,40*MAX(1,BO24)-(0)))))</f>
        <v>3</v>
      </c>
      <c r="BP27" s="63">
        <f>IF(AND(BP24=1,BP25=13),3,IF(BP24&lt;=0,0,IF(WEEKDAY(BP$6,1)=1,0,MAX(0,BP25-10)*BP24))+((IF(BP24&lt;=0,0,IF(WEEKDAY(BP$6,1)=1,0,MIN(10,BP25)*BP24)))-MIN(IF(BP24&lt;=0,0,IF(WEEKDAY(BP$6,1)=1,0,MIN(10,BP25)*BP24)),MAX(0,40*MAX(1,BP24)-(BO26)))))</f>
        <v>3</v>
      </c>
      <c r="BQ27" s="63">
        <f>IF(AND(BQ24=1,BQ25=13),3,IF(BQ24&lt;=0,0,IF(WEEKDAY(BQ$6,1)=1,0,MAX(0,BQ25-10)*BQ24))+((IF(BQ24&lt;=0,0,IF(WEEKDAY(BQ$6,1)=1,0,MIN(10,BQ25)*BQ24)))-MIN(IF(BQ24&lt;=0,0,IF(WEEKDAY(BQ$6,1)=1,0,MIN(10,BQ25)*BQ24)),MAX(0,40*MAX(1,BQ24)-(BO26+BP26)))))</f>
        <v>3</v>
      </c>
      <c r="BR27" s="63">
        <f>IF(AND(BR24=1,BR25=13),3,IF(BR24&lt;=0,0,IF(WEEKDAY(BR$6,1)=1,0,MAX(0,BR25-10)*BR24))+((IF(BR24&lt;=0,0,IF(WEEKDAY(BR$6,1)=1,0,MIN(10,BR25)*BR24)))-MIN(IF(BR24&lt;=0,0,IF(WEEKDAY(BR$6,1)=1,0,MIN(10,BR25)*BR24)),MAX(0,40*MAX(1,BR24)-(0)))))</f>
        <v>3</v>
      </c>
      <c r="BS27" s="63">
        <f>IF(AND(BS24=1,BS25=13),3,IF(BS24&lt;=0,0,IF(WEEKDAY(BS$6,1)=1,0,MAX(0,BS25-10)*BS24))+((IF(BS24&lt;=0,0,IF(WEEKDAY(BS$6,1)=1,0,MIN(10,BS25)*BS24)))-MIN(IF(BS24&lt;=0,0,IF(WEEKDAY(BS$6,1)=1,0,MIN(10,BS25)*BS24)),MAX(0,40*MAX(1,BS24)-(BR26)))))</f>
        <v>3</v>
      </c>
      <c r="BT27" s="64">
        <f>IF(AND(BT24=1,BT25=13),3,IF(BT24&lt;=0,0,IF(WEEKDAY(BT$6,1)=1,0,MAX(0,BT25-10)*BT24))+((IF(BT24&lt;=0,0,IF(WEEKDAY(BT$6,1)=1,0,MIN(10,BT25)*BT24)))-MIN(IF(BT24&lt;=0,0,IF(WEEKDAY(BT$6,1)=1,0,MIN(10,BT25)*BT24)),MAX(0,40*MAX(1,BT24)-(BR26+BS26)))))</f>
        <v>3</v>
      </c>
      <c r="BU27" s="64">
        <f>IF(AND(BU24=1,BU25=13),0,IF(BU24&lt;=0,0,IF(WEEKDAY(BU$6,1)=1,0,MAX(0,BU25-10)*BU24))+((IF(BU24&lt;=0,0,IF(WEEKDAY(BU$6,1)=1,0,MIN(10,BU25)*BU24)))-MIN(IF(BU24&lt;=0,0,IF(WEEKDAY(BU$6,1)=1,0,MIN(10,BU25)*BU24)),MAX(0,40*MAX(1,BU24)-(BR26+BS26+BT26)))))</f>
        <v>0</v>
      </c>
      <c r="BV27" s="63">
        <f>IF(AND(BV24=1,BV25=13),3,IF(BV24&lt;=0,0,IF(WEEKDAY(BV$6,1)=1,0,MAX(0,BV25-10)*BV24))+((IF(BV24&lt;=0,0,IF(WEEKDAY(BV$6,1)=1,0,MIN(10,BV25)*BV24)))-MIN(IF(BV24&lt;=0,0,IF(WEEKDAY(BV$6,1)=1,0,MIN(10,BV25)*BV24)),MAX(0,40*MAX(1,BV24)-(0)))))</f>
        <v>3</v>
      </c>
      <c r="BW27" s="63">
        <f>IF(AND(BW24=1,BW25=13),3,IF(BW24&lt;=0,0,IF(WEEKDAY(BW$6,1)=1,0,MAX(0,BW25-10)*BW24))+((IF(BW24&lt;=0,0,IF(WEEKDAY(BW$6,1)=1,0,MIN(10,BW25)*BW24)))-MIN(IF(BW24&lt;=0,0,IF(WEEKDAY(BW$6,1)=1,0,MIN(10,BW25)*BW24)),MAX(0,40*MAX(1,BW24)-(BV26)))))</f>
        <v>3</v>
      </c>
      <c r="BX27" s="63">
        <f>IF(AND(BX24=1,BX25=13),3,IF(BX24&lt;=0,0,IF(WEEKDAY(BX$6,1)=1,0,MAX(0,BX25-10)*BX24))+((IF(BX24&lt;=0,0,IF(WEEKDAY(BX$6,1)=1,0,MIN(10,BX25)*BX24)))-MIN(IF(BX24&lt;=0,0,IF(WEEKDAY(BX$6,1)=1,0,MIN(10,BX25)*BX24)),MAX(0,40*MAX(1,BX24)-(BV26+BW26)))))</f>
        <v>3</v>
      </c>
      <c r="BY27" s="63">
        <f>IF(AND(BY24=1,BY25=13),3,IF(BY24&lt;=0,0,IF(WEEKDAY(BY$6,1)=1,0,MAX(0,BY25-10)*BY24))+((IF(BY24&lt;=0,0,IF(WEEKDAY(BY$6,1)=1,0,MIN(10,BY25)*BY24)))-MIN(IF(BY24&lt;=0,0,IF(WEEKDAY(BY$6,1)=1,0,MIN(10,BY25)*BY24)),MAX(0,40*MAX(1,BY24)-(BV26+BW26+BX26)))))</f>
        <v>3</v>
      </c>
      <c r="BZ27" s="63">
        <f>IF(AND(BZ24=1,BZ25=13),13,IF(BZ24&lt;=0,0,IF(WEEKDAY(BZ$6,1)=1,0,MAX(0,BZ25-10)*BZ24))+((IF(BZ24&lt;=0,0,IF(WEEKDAY(BZ$6,1)=1,0,MIN(10,BZ25)*BZ24)))-MIN(IF(BZ24&lt;=0,0,IF(WEEKDAY(BZ$6,1)=1,0,MIN(10,BZ25)*BZ24)),MAX(0,40*MAX(1,BZ24)-(BV26+BW26+BX26+BY26)))))</f>
        <v>13</v>
      </c>
      <c r="CA27" s="64">
        <f>IF(AND(CA24=1,CA25=13),13,IF(CA24&lt;=0,0,IF(WEEKDAY(CA$6,1)=1,0,MAX(0,CA25-10)*CA24))+((IF(CA24&lt;=0,0,IF(WEEKDAY(CA$6,1)=1,0,MIN(10,CA25)*CA24)))-MIN(IF(CA24&lt;=0,0,IF(WEEKDAY(CA$6,1)=1,0,MIN(10,CA25)*CA24)),MAX(0,40*MAX(1,CA24)-(BV26+BW26+BX26+BY26+BZ26)))))</f>
        <v>13</v>
      </c>
      <c r="CB27" s="64">
        <f>IF(AND(CB24=0,CB25=0),0,IF(CB24&lt;=0,0,IF(WEEKDAY(CB$6,1)=1,0,MAX(0,CB25-10)*CB24))+((IF(CB24&lt;=0,0,IF(WEEKDAY(CB$6,1)=1,0,MIN(10,CB25)*CB24)))-MIN(IF(CB24&lt;=0,0,IF(WEEKDAY(CB$6,1)=1,0,MIN(10,CB25)*CB24)),MAX(0,40*MAX(1,CB24)-(0)))))</f>
        <v>0</v>
      </c>
      <c r="CC27" s="63">
        <f>IF(AND(CC24=1,CC25=13),3,IF(CC24&lt;=0,0,IF(WEEKDAY(CC$6,1)=1,0,MAX(0,CC25-10)*CC24))+((IF(CC24&lt;=0,0,IF(WEEKDAY(CC$6,1)=1,0,MIN(10,CC25)*CC24)))-MIN(IF(CC24&lt;=0,0,IF(WEEKDAY(CC$6,1)=1,0,MIN(10,CC25)*CC24)),MAX(0,40*MAX(1,CC24)-(0)))))</f>
        <v>3</v>
      </c>
      <c r="CD27" s="63">
        <f>IF(AND(CD24=1,CD25=13),3,IF(CD24&lt;=0,0,IF(WEEKDAY(CD$6,1)=1,0,MAX(0,CD25-10)*CD24))+((IF(CD24&lt;=0,0,IF(WEEKDAY(CD$6,1)=1,0,MIN(10,CD25)*CD24)))-MIN(IF(CD24&lt;=0,0,IF(WEEKDAY(CD$6,1)=1,0,MIN(10,CD25)*CD24)),MAX(0,40*MAX(1,CD24)-(CC26)))))</f>
        <v>3</v>
      </c>
      <c r="CE27" s="63">
        <f>IF(AND(CE24=1,CE25=13),3,IF(CE24&lt;=0,0,IF(WEEKDAY(CE$6,1)=1,0,MAX(0,CE25-10)*CE24))+((IF(CE24&lt;=0,0,IF(WEEKDAY(CE$6,1)=1,0,MIN(10,CE25)*CE24)))-MIN(IF(CE24&lt;=0,0,IF(WEEKDAY(CE$6,1)=1,0,MIN(10,CE25)*CE24)),MAX(0,40*MAX(1,CE24)-(CC26+CD26)))))</f>
        <v>3</v>
      </c>
      <c r="CF27" s="63">
        <f>IF(AND(CF24=1,CF25=13),3,IF(CF24&lt;=0,0,IF(WEEKDAY(CF$6,1)=1,0,MAX(0,CF25-10)*CF24))+((IF(CF24&lt;=0,0,IF(WEEKDAY(CF$6,1)=1,0,MIN(10,CF25)*CF24)))-MIN(IF(CF24&lt;=0,0,IF(WEEKDAY(CF$6,1)=1,0,MIN(10,CF25)*CF24)),MAX(0,40*MAX(1,CF24)-(CC26+CD26+CE26)))))</f>
        <v>3</v>
      </c>
      <c r="CG27" s="63">
        <f>IF(AND(CG24=1,CG25=13),13,IF(CG24&lt;=0,0,IF(WEEKDAY(CG$6,1)=1,0,MAX(0,CG25-10)*CG24))+((IF(CG24&lt;=0,0,IF(WEEKDAY(CG$6,1)=1,0,MIN(10,CG25)*CG24)))-MIN(IF(CG24&lt;=0,0,IF(WEEKDAY(CG$6,1)=1,0,MIN(10,CG25)*CG24)),MAX(0,40*MAX(1,CG24)-(CC26+CD26+CE26+CF26)))))</f>
        <v>13</v>
      </c>
      <c r="CH27" s="64">
        <f>IF(AND(CH24=1,CH25=13),13,IF(CH24&lt;=0,0,IF(WEEKDAY(CH$6,1)=1,0,MAX(0,CH25-10)*CH24))+((IF(CH24&lt;=0,0,IF(WEEKDAY(CH$6,1)=1,0,MIN(10,CH25)*CH24)))-MIN(IF(CH24&lt;=0,0,IF(WEEKDAY(CH$6,1)=1,0,MIN(10,CH25)*CH24)),MAX(0,40*MAX(1,CH24)-(CC26+CD26+CE26+CF26+CG26)))))</f>
        <v>13</v>
      </c>
      <c r="CI27" s="64">
        <f>IF(AND(CI24=1,CI25=13),0,IF(CI24&lt;=0,0,IF(WEEKDAY(CI$6,1)=1,0,MAX(0,CI25-10)*CI24))+((IF(CI24&lt;=0,0,IF(WEEKDAY(CI$6,1)=1,0,MIN(10,CI25)*CI24)))-MIN(IF(CI24&lt;=0,0,IF(WEEKDAY(CI$6,1)=1,0,MIN(10,CI25)*CI24)),MAX(0,40*MAX(1,CI24)-(CC26+CD26+CE26+CF26+CG26+CH26)))))</f>
        <v>0</v>
      </c>
      <c r="CJ27" s="63">
        <f>IF(AND(CJ24=1,CJ25=13),3,IF(CJ24&lt;=0,0,IF(WEEKDAY(CJ$6,1)=1,0,MAX(0,CJ25-10)*CJ24))+((IF(CJ24&lt;=0,0,IF(WEEKDAY(CJ$6,1)=1,0,MIN(10,CJ25)*CJ24)))-MIN(IF(CJ24&lt;=0,0,IF(WEEKDAY(CJ$6,1)=1,0,MIN(10,CJ25)*CJ24)),MAX(0,40*MAX(1,CJ24)-(0)))))</f>
        <v>3</v>
      </c>
      <c r="CK27" s="63">
        <f>IF(AND(CK24=1,CK25=13),3,IF(CK24&lt;=0,0,IF(WEEKDAY(CK$6,1)=1,0,MAX(0,CK25-10)*CK24))+((IF(CK24&lt;=0,0,IF(WEEKDAY(CK$6,1)=1,0,MIN(10,CK25)*CK24)))-MIN(IF(CK24&lt;=0,0,IF(WEEKDAY(CK$6,1)=1,0,MIN(10,CK25)*CK24)),MAX(0,40*MAX(1,CK24)-(CJ26)))))</f>
        <v>3</v>
      </c>
      <c r="CL27" s="63">
        <f>IF(AND(CL24=1,CL25=13),3,IF(CL24&lt;=0,0,IF(WEEKDAY(CL$6,1)=1,0,MAX(0,CL25-10)*CL24))+((IF(CL24&lt;=0,0,IF(WEEKDAY(CL$6,1)=1,0,MIN(10,CL25)*CL24)))-MIN(IF(CL24&lt;=0,0,IF(WEEKDAY(CL$6,1)=1,0,MIN(10,CL25)*CL24)),MAX(0,40*MAX(1,CL24)-(CJ26+CK26)))))</f>
        <v>3</v>
      </c>
      <c r="CM27" s="63">
        <f>IF(AND(CM24=1,CM25=13),3,IF(CM24&lt;=0,0,IF(WEEKDAY(CM$6,1)=1,0,MAX(0,CM25-10)*CM24))+((IF(CM24&lt;=0,0,IF(WEEKDAY(CM$6,1)=1,0,MIN(10,CM25)*CM24)))-MIN(IF(CM24&lt;=0,0,IF(WEEKDAY(CM$6,1)=1,0,MIN(10,CM25)*CM24)),MAX(0,40*MAX(1,CM24)-(CJ26+CK26+CL26)))))</f>
        <v>3</v>
      </c>
      <c r="CN27" s="63">
        <f>IF(AND(CN24=1,CN25=13),13,IF(CN24&lt;=0,0,IF(WEEKDAY(CN$6,1)=1,0,MAX(0,CN25-10)*CN24))+((IF(CN24&lt;=0,0,IF(WEEKDAY(CN$6,1)=1,0,MIN(10,CN25)*CN24)))-MIN(IF(CN24&lt;=0,0,IF(WEEKDAY(CN$6,1)=1,0,MIN(10,CN25)*CN24)),MAX(0,40*MAX(1,CN24)-(CJ26+CK26+CL26+CM26)))))</f>
        <v>13</v>
      </c>
      <c r="CO27" s="64">
        <f>IF(AND(CO24=1,CO25=13),13,IF(CO24&lt;=0,0,IF(WEEKDAY(CO$6,1)=1,0,MAX(0,CO25-10)*CO24))+((IF(CO24&lt;=0,0,IF(WEEKDAY(CO$6,1)=1,0,MIN(10,CO25)*CO24)))-MIN(IF(CO24&lt;=0,0,IF(WEEKDAY(CO$6,1)=1,0,MIN(10,CO25)*CO24)),MAX(0,40*MAX(1,CO24)-(CJ26+CK26+CL26+CM26+CN26)))))</f>
        <v>13</v>
      </c>
      <c r="CP27" s="64">
        <f>IF(AND(CP24=0,CP25=0),0,IF(CP24&lt;=0,0,IF(WEEKDAY(CP$6,1)=1,0,MAX(0,CP25-10)*CP24))+((IF(CP24&lt;=0,0,IF(WEEKDAY(CP$6,1)=1,0,MIN(10,CP25)*CP24)))-MIN(IF(CP24&lt;=0,0,IF(WEEKDAY(CP$6,1)=1,0,MIN(10,CP25)*CP24)),MAX(0,40*MAX(1,CP24)-(0)))))</f>
        <v>0</v>
      </c>
      <c r="CQ27" s="63">
        <f>IF(AND(CQ24=1,CQ25=13),3,IF(CQ24&lt;=0,0,IF(WEEKDAY(CQ$6,1)=1,0,MAX(0,CQ25-10)*CQ24))+((IF(CQ24&lt;=0,0,IF(WEEKDAY(CQ$6,1)=1,0,MIN(10,CQ25)*CQ24)))-MIN(IF(CQ24&lt;=0,0,IF(WEEKDAY(CQ$6,1)=1,0,MIN(10,CQ25)*CQ24)),MAX(0,40*MAX(1,CQ24)-(0)))))</f>
        <v>3</v>
      </c>
      <c r="CR27" s="63">
        <f>IF(AND(CR24=1,CR25=13),3,IF(CR24&lt;=0,0,IF(WEEKDAY(CR$6,1)=1,0,MAX(0,CR25-10)*CR24))+((IF(CR24&lt;=0,0,IF(WEEKDAY(CR$6,1)=1,0,MIN(10,CR25)*CR24)))-MIN(IF(CR24&lt;=0,0,IF(WEEKDAY(CR$6,1)=1,0,MIN(10,CR25)*CR24)),MAX(0,40*MAX(1,CR24)-(CQ26)))))</f>
        <v>3</v>
      </c>
      <c r="CS27" s="63">
        <f>IF(AND(CS24=1,CS25=13),3,IF(CS24&lt;=0,0,IF(WEEKDAY(CS$6,1)=1,0,MAX(0,CS25-10)*CS24))+((IF(CS24&lt;=0,0,IF(WEEKDAY(CS$6,1)=1,0,MIN(10,CS25)*CS24)))-MIN(IF(CS24&lt;=0,0,IF(WEEKDAY(CS$6,1)=1,0,MIN(10,CS25)*CS24)),MAX(0,40*MAX(1,CS24)-(CQ26+CR26)))))</f>
        <v>3</v>
      </c>
      <c r="CT27" s="63">
        <f>IF(AND(CT24=1,CT25=13),3,IF(CT24&lt;=0,0,IF(WEEKDAY(CT$6,1)=1,0,MAX(0,CT25-10)*CT24))+((IF(CT24&lt;=0,0,IF(WEEKDAY(CT$6,1)=1,0,MIN(10,CT25)*CT24)))-MIN(IF(CT24&lt;=0,0,IF(WEEKDAY(CT$6,1)=1,0,MIN(10,CT25)*CT24)),MAX(0,40*MAX(1,CT24)-(CQ26+CR26+CS26)))))</f>
        <v>3</v>
      </c>
      <c r="CU27" s="63">
        <f>IF(AND(CU24=1,CU25=13),13,IF(CU24&lt;=0,0,IF(WEEKDAY(CU$6,1)=1,0,MAX(0,CU25-10)*CU24))+((IF(CU24&lt;=0,0,IF(WEEKDAY(CU$6,1)=1,0,MIN(10,CU25)*CU24)))-MIN(IF(CU24&lt;=0,0,IF(WEEKDAY(CU$6,1)=1,0,MIN(10,CU25)*CU24)),MAX(0,40*MAX(1,CU24)-(CQ26+CR26+CS26+CT26)))))</f>
        <v>13</v>
      </c>
      <c r="CV27" s="64">
        <f>IF(AND(CV24=1,CV25=13),13,IF(CV24&lt;=0,0,IF(WEEKDAY(CV$6,1)=1,0,MAX(0,CV25-10)*CV24))+((IF(CV24&lt;=0,0,IF(WEEKDAY(CV$6,1)=1,0,MIN(10,CV25)*CV24)))-MIN(IF(CV24&lt;=0,0,IF(WEEKDAY(CV$6,1)=1,0,MIN(10,CV25)*CV24)),MAX(0,40*MAX(1,CV24)-(CQ26+CR26+CS26+CT26+CU26)))))</f>
        <v>13</v>
      </c>
      <c r="CW27" s="64">
        <f>IF(AND(CW24=1,CW25=13),0,IF(CW24&lt;=0,0,IF(WEEKDAY(CW$6,1)=1,0,MAX(0,CW25-10)*CW24))+((IF(CW24&lt;=0,0,IF(WEEKDAY(CW$6,1)=1,0,MIN(10,CW25)*CW24)))-MIN(IF(CW24&lt;=0,0,IF(WEEKDAY(CW$6,1)=1,0,MIN(10,CW25)*CW24)),MAX(0,40*MAX(1,CW24)-(CQ26+CR26+CS26+CT26+CU26+CV26)))))</f>
        <v>0</v>
      </c>
      <c r="CX27" s="63">
        <f>IF(AND(CX24=1,CX25=13),3,IF(CX24&lt;=0,0,IF(WEEKDAY(CX$6,1)=1,0,MAX(0,CX25-10)*CX24))+((IF(CX24&lt;=0,0,IF(WEEKDAY(CX$6,1)=1,0,MIN(10,CX25)*CX24)))-MIN(IF(CX24&lt;=0,0,IF(WEEKDAY(CX$6,1)=1,0,MIN(10,CX25)*CX24)),MAX(0,40*MAX(1,CX24)-(0)))))</f>
        <v>3</v>
      </c>
      <c r="CY27" s="63">
        <f>IF(AND(CY24=1,CY25=13),3,IF(CY24&lt;=0,0,IF(WEEKDAY(CY$6,1)=1,0,MAX(0,CY25-10)*CY24))+((IF(CY24&lt;=0,0,IF(WEEKDAY(CY$6,1)=1,0,MIN(10,CY25)*CY24)))-MIN(IF(CY24&lt;=0,0,IF(WEEKDAY(CY$6,1)=1,0,MIN(10,CY25)*CY24)),MAX(0,40*MAX(1,CY24)-(CX26)))))</f>
        <v>3</v>
      </c>
      <c r="CZ27" s="63">
        <f>IF(AND(CZ24=1,CZ25=13),3,IF(CZ24&lt;=0,0,IF(WEEKDAY(CZ$6,1)=1,0,MAX(0,CZ25-10)*CZ24))+((IF(CZ24&lt;=0,0,IF(WEEKDAY(CZ$6,1)=1,0,MIN(10,CZ25)*CZ24)))-MIN(IF(CZ24&lt;=0,0,IF(WEEKDAY(CZ$6,1)=1,0,MIN(10,CZ25)*CZ24)),MAX(0,40*MAX(1,CZ24)-(CX26+CY26)))))</f>
        <v>3</v>
      </c>
      <c r="DA27" s="63">
        <f>IF(AND(DA24=1,DA25=13),3,IF(DA24&lt;=0,0,IF(WEEKDAY(DA$6,1)=1,0,MAX(0,DA25-10)*DA24))+((IF(DA24&lt;=0,0,IF(WEEKDAY(DA$6,1)=1,0,MIN(10,DA25)*DA24)))-MIN(IF(DA24&lt;=0,0,IF(WEEKDAY(DA$6,1)=1,0,MIN(10,DA25)*DA24)),MAX(0,40*MAX(1,DA24)-(CX26+CY26+CZ26)))))</f>
        <v>3</v>
      </c>
      <c r="DB27" s="63">
        <f>IF(AND(DB24=1,DB25=13),13,IF(DB24&lt;=0,0,IF(WEEKDAY(DB$6,1)=1,0,MAX(0,DB25-10)*DB24))+((IF(DB24&lt;=0,0,IF(WEEKDAY(DB$6,1)=1,0,MIN(10,DB25)*DB24)))-MIN(IF(DB24&lt;=0,0,IF(WEEKDAY(DB$6,1)=1,0,MIN(10,DB25)*DB24)),MAX(0,40*MAX(1,DB24)-(CX26+CY26+CZ26+DA26)))))</f>
        <v>13</v>
      </c>
      <c r="DC27" s="64">
        <f>IF(AND(DC24=1,DC25=13),13,IF(DC24&lt;=0,0,IF(WEEKDAY(DC$6,1)=1,0,MAX(0,DC25-10)*DC24))+((IF(DC24&lt;=0,0,IF(WEEKDAY(DC$6,1)=1,0,MIN(10,DC25)*DC24)))-MIN(IF(DC24&lt;=0,0,IF(WEEKDAY(DC$6,1)=1,0,MIN(10,DC25)*DC24)),MAX(0,40*MAX(1,DC24)-(CX26+CY26+CZ26+DA26+DB26)))))</f>
        <v>13</v>
      </c>
      <c r="DD27" s="64">
        <f>IF(AND(DD24=1,DD25=13),0,IF(DD24&lt;=0,0,IF(WEEKDAY(DD$6,1)=1,0,MAX(0,DD25-10)*DD24))+((IF(DD24&lt;=0,0,IF(WEEKDAY(DD$6,1)=1,0,MIN(10,DD25)*DD24)))-MIN(IF(DD24&lt;=0,0,IF(WEEKDAY(DD$6,1)=1,0,MIN(10,DD25)*DD24)),MAX(0,40*MAX(1,DD24)-(0)))))</f>
        <v>0</v>
      </c>
      <c r="DE27" s="63">
        <f>IF(AND(DE24=1,DE25=13),3,IF(DE24&lt;=0,0,IF(WEEKDAY(DE$6,1)=1,0,MAX(0,DE25-10)*DE24))+((IF(DE24&lt;=0,0,IF(WEEKDAY(DE$6,1)=1,0,MIN(10,DE25)*DE24)))-MIN(IF(DE24&lt;=0,0,IF(WEEKDAY(DE$6,1)=1,0,MIN(10,DE25)*DE24)),MAX(0,40*MAX(1,DE24)-(0)))))</f>
        <v>3</v>
      </c>
      <c r="DF27" s="63">
        <f>IF(AND(DF24=1,DF25=13),3,IF(DF24&lt;=0,0,IF(WEEKDAY(DF$6,1)=1,0,MAX(0,DF25-10)*DF24))+((IF(DF24&lt;=0,0,IF(WEEKDAY(DF$6,1)=1,0,MIN(10,DF25)*DF24)))-MIN(IF(DF24&lt;=0,0,IF(WEEKDAY(DF$6,1)=1,0,MIN(10,DF25)*DF24)),MAX(0,40*MAX(1,DF24)-(DE26)))))</f>
        <v>3</v>
      </c>
      <c r="DG27" s="63">
        <f>IF(AND(DG24=1,DG25=13),3,IF(DG24&lt;=0,0,IF(WEEKDAY(DG$6,1)=1,0,MAX(0,DG25-10)*DG24))+((IF(DG24&lt;=0,0,IF(WEEKDAY(DG$6,1)=1,0,MIN(10,DG25)*DG24)))-MIN(IF(DG24&lt;=0,0,IF(WEEKDAY(DG$6,1)=1,0,MIN(10,DG25)*DG24)),MAX(0,40*MAX(1,DG24)-(DE26+DF26)))))</f>
        <v>3</v>
      </c>
      <c r="DH27" s="63">
        <f>IF(AND(DH24=1,DH25=13),3,IF(DH24&lt;=0,0,IF(WEEKDAY(DH$6,1)=1,0,MAX(0,DH25-10)*DH24))+((IF(DH24&lt;=0,0,IF(WEEKDAY(DH$6,1)=1,0,MIN(10,DH25)*DH24)))-MIN(IF(DH24&lt;=0,0,IF(WEEKDAY(DH$6,1)=1,0,MIN(10,DH25)*DH24)),MAX(0,40*MAX(1,DH24)-(DE26+DF26+DG26)))))</f>
        <v>3</v>
      </c>
      <c r="DI27" s="63">
        <f>IF(AND(DI24=1,DI25=13),13,IF(DI24&lt;=0,0,IF(WEEKDAY(DI$6,1)=1,0,MAX(0,DI25-10)*DI24))+((IF(DI24&lt;=0,0,IF(WEEKDAY(DI$6,1)=1,0,MIN(10,DI25)*DI24)))-MIN(IF(DI24&lt;=0,0,IF(WEEKDAY(DI$6,1)=1,0,MIN(10,DI25)*DI24)),MAX(0,40*MAX(1,DI24)-(DE26+DF26+DG26+DH26)))))</f>
        <v>13</v>
      </c>
      <c r="DJ27" s="64">
        <f>IF(AND(DJ24=1,DJ25=13),13,IF(DJ24&lt;=0,0,IF(WEEKDAY(DJ$6,1)=1,0,MAX(0,DJ25-10)*DJ24))+((IF(DJ24&lt;=0,0,IF(WEEKDAY(DJ$6,1)=1,0,MIN(10,DJ25)*DJ24)))-MIN(IF(DJ24&lt;=0,0,IF(WEEKDAY(DJ$6,1)=1,0,MIN(10,DJ25)*DJ24)),MAX(0,40*MAX(1,DJ24)-(DE26+DF26+DG26+DH26+DI26)))))</f>
        <v>13</v>
      </c>
      <c r="DK27" s="64">
        <f>IF(AND(DK24=0,DK25=0),0,IF(DK24&lt;=0,0,IF(WEEKDAY(DK$6,1)=1,0,MAX(0,DK25-10)*DK24))+((IF(DK24&lt;=0,0,IF(WEEKDAY(DK$6,1)=1,0,MIN(10,DK25)*DK24)))-MIN(IF(DK24&lt;=0,0,IF(WEEKDAY(DK$6,1)=1,0,MIN(10,DK25)*DK24)),MAX(0,40*MAX(1,DK24)-(0)))))</f>
        <v>0</v>
      </c>
      <c r="DL27" s="63">
        <f>IF(AND(DL24=1,DL25=13),3,IF(DL24&lt;=0,0,IF(WEEKDAY(DL$6,1)=1,0,MAX(0,DL25-10)*DL24))+((IF(DL24&lt;=0,0,IF(WEEKDAY(DL$6,1)=1,0,MIN(10,DL25)*DL24)))-MIN(IF(DL24&lt;=0,0,IF(WEEKDAY(DL$6,1)=1,0,MIN(10,DL25)*DL24)),MAX(0,40*MAX(1,DL24)-(0)))))</f>
        <v>3</v>
      </c>
      <c r="DM27" s="63">
        <f>IF(AND(DM24=1,DM25=13),3,IF(DM24&lt;=0,0,IF(WEEKDAY(DM$6,1)=1,0,MAX(0,DM25-10)*DM24))+((IF(DM24&lt;=0,0,IF(WEEKDAY(DM$6,1)=1,0,MIN(10,DM25)*DM24)))-MIN(IF(DM24&lt;=0,0,IF(WEEKDAY(DM$6,1)=1,0,MIN(10,DM25)*DM24)),MAX(0,40*MAX(1,DM24)-(DL26)))))</f>
        <v>3</v>
      </c>
      <c r="DN27" s="63">
        <f>IF(AND(DN24=1,DN25=13),3,IF(DN24&lt;=0,0,IF(WEEKDAY(DN$6,1)=1,0,MAX(0,DN25-10)*DN24))+((IF(DN24&lt;=0,0,IF(WEEKDAY(DN$6,1)=1,0,MIN(10,DN25)*DN24)))-MIN(IF(DN24&lt;=0,0,IF(WEEKDAY(DN$6,1)=1,0,MIN(10,DN25)*DN24)),MAX(0,40*MAX(1,DN24)-(DL26+DM26)))))</f>
        <v>3</v>
      </c>
      <c r="DO27" s="63">
        <f>IF(AND(DO24=1,DO25=13),3,IF(DO24&lt;=0,0,IF(WEEKDAY(DO$6,1)=1,0,MAX(0,DO25-10)*DO24))+((IF(DO24&lt;=0,0,IF(WEEKDAY(DO$6,1)=1,0,MIN(10,DO25)*DO24)))-MIN(IF(DO24&lt;=0,0,IF(WEEKDAY(DO$6,1)=1,0,MIN(10,DO25)*DO24)),MAX(0,40*MAX(1,DO24)-(DL26+DM26+DN26)))))</f>
        <v>3</v>
      </c>
      <c r="DP27" s="63">
        <f>IF(AND(DP24=1,DP25=13),13,IF(DP24&lt;=0,0,IF(WEEKDAY(DP$6,1)=1,0,MAX(0,DP25-10)*DP24))+((IF(DP24&lt;=0,0,IF(WEEKDAY(DP$6,1)=1,0,MIN(10,DP25)*DP24)))-MIN(IF(DP24&lt;=0,0,IF(WEEKDAY(DP$6,1)=1,0,MIN(10,DP25)*DP24)),MAX(0,40*MAX(1,DP24)-(DL26+DM26+DN26+DO26)))))</f>
        <v>13</v>
      </c>
      <c r="DQ27" s="64">
        <f>IF(AND(DQ24=1,DQ25=13),13,IF(DQ24&lt;=0,0,IF(WEEKDAY(DQ$6,1)=1,0,MAX(0,DQ25-10)*DQ24))+((IF(DQ24&lt;=0,0,IF(WEEKDAY(DQ$6,1)=1,0,MIN(10,DQ25)*DQ24)))-MIN(IF(DQ24&lt;=0,0,IF(WEEKDAY(DQ$6,1)=1,0,MIN(10,DQ25)*DQ24)),MAX(0,40*MAX(1,DQ24)-(DL26+DM26+DN26+DO26+DP26)))))</f>
        <v>13</v>
      </c>
      <c r="DR27" s="64">
        <f>IF(AND(DR24=1,DR25=13),0,IF(DR24&lt;=0,0,IF(WEEKDAY(DR$6,1)=1,0,MAX(0,DR25-10)*DR24))+((IF(DR24&lt;=0,0,IF(WEEKDAY(DR$6,1)=1,0,MIN(10,DR25)*DR24)))-MIN(IF(DR24&lt;=0,0,IF(WEEKDAY(DR$6,1)=1,0,MIN(10,DR25)*DR24)),MAX(0,40*MAX(1,DR24)-(DL26+DM26+DN26+DO26+DP26+DQ26)))))</f>
        <v>0</v>
      </c>
      <c r="DS27" s="63">
        <f>IF(AND(DS24=1,DS25=13),3,IF(DS24&lt;=0,0,IF(WEEKDAY(DS$6,1)=1,0,MAX(0,DS25-10)*DS24))+((IF(DS24&lt;=0,0,IF(WEEKDAY(DS$6,1)=1,0,MIN(10,DS25)*DS24)))-MIN(IF(DS24&lt;=0,0,IF(WEEKDAY(DS$6,1)=1,0,MIN(10,DS25)*DS24)),MAX(0,40*MAX(1,DS24)-(0)))))</f>
        <v>3</v>
      </c>
      <c r="DT27" s="63">
        <f>IF(AND(DT24=0,DT25=0),0,IF(DT24&lt;=0,0,IF(WEEKDAY(DT$6,1)=1,0,MAX(0,DT25-8)*DT24))+((IF(DT24&lt;=0,0,IF(WEEKDAY(DT$6,1)=1,0,MIN(8,DT25)*DT24)))-MIN(IF(DT24&lt;=0,0,IF(WEEKDAY(DT$6,1)=1,0,MIN(8,DT25)*DT24)),MAX(0,40*MAX(1,DT24)-(0)))))</f>
        <v>0</v>
      </c>
      <c r="DU27" s="63">
        <f>IF(AND(DU24=0,DU25=0),0,IF(DU24&lt;=0,0,IF(WEEKDAY(DU$6,1)=1,0,MAX(0,DU25-8)*DU24))+((IF(DU24&lt;=0,0,IF(WEEKDAY(DU$6,1)=1,0,MIN(8,DU25)*DU24)))-MIN(IF(DU24&lt;=0,0,IF(WEEKDAY(DU$6,1)=1,0,MIN(8,DU25)*DU24)),MAX(0,40*MAX(1,DU24)-(DT26)))))</f>
        <v>0</v>
      </c>
      <c r="DV27" s="63">
        <f>IF(AND(DV24=0,DV25=0),0,IF(DV24&lt;=0,0,IF(WEEKDAY(DV$6,1)=1,0,MAX(0,DV25-8)*DV24))+((IF(DV24&lt;=0,0,IF(WEEKDAY(DV$6,1)=1,0,MIN(8,DV25)*DV24)))-MIN(IF(DV24&lt;=0,0,IF(WEEKDAY(DV$6,1)=1,0,MIN(8,DV25)*DV24)),MAX(0,40*MAX(1,DV24)-(DT26+DU26)))))</f>
        <v>0</v>
      </c>
      <c r="DW27" s="63">
        <f>IF(AND(DW24=0,DW25=0),0,IF(DW24&lt;=0,0,IF(WEEKDAY(DW$6,1)=1,0,MAX(0,DW25-8)*DW24))+((IF(DW24&lt;=0,0,IF(WEEKDAY(DW$6,1)=1,0,MIN(8,DW25)*DW24)))-MIN(IF(DW24&lt;=0,0,IF(WEEKDAY(DW$6,1)=1,0,MIN(8,DW25)*DW24)),MAX(0,40*MAX(1,DW24)-(DT26+DU26+DV26)))))</f>
        <v>0</v>
      </c>
      <c r="DX27" s="64">
        <f>IF(AND(DX24=0,DX25=0),0,IF(DX24&lt;=0,0,IF(WEEKDAY(DX$6,1)=1,0,MAX(0,DX25-10)*DX24))+((IF(DX24&lt;=0,0,IF(WEEKDAY(DX$6,1)=1,0,MIN(10,DX25)*DX24)))-MIN(IF(DX24&lt;=0,0,IF(WEEKDAY(DX$6,1)=1,0,MIN(10,DX25)*DX24)),MAX(0,40*MAX(1,DX24)-(0)))))</f>
        <v>0</v>
      </c>
      <c r="DY27" s="64">
        <f>IF(AND(DY24=0,DY25=0),0,IF(DY24&lt;=0,0,IF(WEEKDAY(DY$6,1)=1,0,MAX(0,DY25-10)*DY24))+((IF(DY24&lt;=0,0,IF(WEEKDAY(DY$6,1)=1,0,MIN(10,DY25)*DY24)))-MIN(IF(DY24&lt;=0,0,IF(WEEKDAY(DY$6,1)=1,0,MIN(10,DY25)*DY24)),MAX(0,40*MAX(1,DY24)-(DX26)))))</f>
        <v>0</v>
      </c>
      <c r="DZ27" s="63">
        <f>IF(AND(DZ24=0,DZ25=0),0,IF(DZ24&lt;=0,0,IF(WEEKDAY(DZ$6,1)=1,0,MAX(0,DZ25-8)*DZ24))+((IF(DZ24&lt;=0,0,IF(WEEKDAY(DZ$6,1)=1,0,MIN(8,DZ25)*DZ24)))-MIN(IF(DZ24&lt;=0,0,IF(WEEKDAY(DZ$6,1)=1,0,MIN(8,DZ25)*DZ24)),MAX(0,40*MAX(1,DZ24)-(0)))))</f>
        <v>0</v>
      </c>
      <c r="EA27" s="63">
        <f>IF(AND(EA24=0,EA25=0),0,IF(EA24&lt;=0,0,IF(WEEKDAY(EA$6,1)=1,0,MAX(0,EA25-8)*EA24))+((IF(EA24&lt;=0,0,IF(WEEKDAY(EA$6,1)=1,0,MIN(8,EA25)*EA24)))-MIN(IF(EA24&lt;=0,0,IF(WEEKDAY(EA$6,1)=1,0,MIN(8,EA25)*EA24)),MAX(0,40*MAX(1,EA24)-(DZ26)))))</f>
        <v>0</v>
      </c>
      <c r="EB27" s="63">
        <f>IF(AND(EB24=0,EB25=0),0,IF(EB24&lt;=0,0,IF(WEEKDAY(EB$6,1)=1,0,MAX(0,EB25-8)*EB24))+((IF(EB24&lt;=0,0,IF(WEEKDAY(EB$6,1)=1,0,MIN(8,EB25)*EB24)))-MIN(IF(EB24&lt;=0,0,IF(WEEKDAY(EB$6,1)=1,0,MIN(8,EB25)*EB24)),MAX(0,40*MAX(1,EB24)-(DZ26+EA26)))))</f>
        <v>0</v>
      </c>
      <c r="EC27" s="63">
        <f>IF(AND(EC24=0,EC25=0),0,IF(EC24&lt;=0,0,IF(WEEKDAY(EC$6,1)=1,0,MAX(0,EC25-8)*EC24))+((IF(EC24&lt;=0,0,IF(WEEKDAY(EC$6,1)=1,0,MIN(8,EC25)*EC24)))-MIN(IF(EC24&lt;=0,0,IF(WEEKDAY(EC$6,1)=1,0,MIN(8,EC25)*EC24)),MAX(0,40*MAX(1,EC24)-(DZ26+EA26+EB26)))))</f>
        <v>0</v>
      </c>
      <c r="ED27" s="63">
        <f>IF(AND(ED24=0,ED25=0),0,IF(ED24&lt;=0,0,IF(WEEKDAY(ED$6,1)=1,0,MAX(0,ED25-8)*ED24))+((IF(ED24&lt;=0,0,IF(WEEKDAY(ED$6,1)=1,0,MIN(8,ED25)*ED24)))-MIN(IF(ED24&lt;=0,0,IF(WEEKDAY(ED$6,1)=1,0,MIN(8,ED25)*ED24)),MAX(0,40*MAX(1,ED24)-(DZ26+EA26+EB26+EC26)))))</f>
        <v>0</v>
      </c>
      <c r="EE27" s="64">
        <f>IF(AND(EE24=0,EE25=0),0,IF(EE24&lt;=0,0,IF(WEEKDAY(EE$6,1)=1,0,MAX(0,EE25-10)*EE24))+((IF(EE24&lt;=0,0,IF(WEEKDAY(EE$6,1)=1,0,MIN(10,EE25)*EE24)))-MIN(IF(EE24&lt;=0,0,IF(WEEKDAY(EE$6,1)=1,0,MIN(10,EE25)*EE24)),MAX(0,40*MAX(1,EE24)-(0)))))</f>
        <v>0</v>
      </c>
      <c r="EF27" s="64">
        <f>IF(AND(EF24=0,EF25=0),0,IF(EF24&lt;=0,0,IF(WEEKDAY(EF$6,1)=1,0,MAX(0,EF25-10)*EF24))+((IF(EF24&lt;=0,0,IF(WEEKDAY(EF$6,1)=1,0,MIN(10,EF25)*EF24)))-MIN(IF(EF24&lt;=0,0,IF(WEEKDAY(EF$6,1)=1,0,MIN(10,EF25)*EF24)),MAX(0,40*MAX(1,EF24)-(EE26)))))</f>
        <v>0</v>
      </c>
      <c r="EG27" s="63">
        <f>IF(AND(EG24=0,EG25=0),0,IF(EG24&lt;=0,0,IF(WEEKDAY(EG$6,1)=1,0,MAX(0,EG25-8)*EG24))+((IF(EG24&lt;=0,0,IF(WEEKDAY(EG$6,1)=1,0,MIN(8,EG25)*EG24)))-MIN(IF(EG24&lt;=0,0,IF(WEEKDAY(EG$6,1)=1,0,MIN(8,EG25)*EG24)),MAX(0,40*MAX(1,EG24)-(0)))))</f>
        <v>0</v>
      </c>
      <c r="EH27" s="63">
        <f>IF(AND(EH24=0,EH25=0),0,IF(EH24&lt;=0,0,IF(WEEKDAY(EH$6,1)=1,0,MAX(0,EH25-8)*EH24))+((IF(EH24&lt;=0,0,IF(WEEKDAY(EH$6,1)=1,0,MIN(8,EH25)*EH24)))-MIN(IF(EH24&lt;=0,0,IF(WEEKDAY(EH$6,1)=1,0,MIN(8,EH25)*EH24)),MAX(0,40*MAX(1,EH24)-(EG26)))))</f>
        <v>0</v>
      </c>
      <c r="EI27" s="63">
        <f>IF(AND(EI24=0,EI25=0),0,IF(EI24&lt;=0,0,IF(WEEKDAY(EI$6,1)=1,0,MAX(0,EI25-8)*EI24))+((IF(EI24&lt;=0,0,IF(WEEKDAY(EI$6,1)=1,0,MIN(8,EI25)*EI24)))-MIN(IF(EI24&lt;=0,0,IF(WEEKDAY(EI$6,1)=1,0,MIN(8,EI25)*EI24)),MAX(0,40*MAX(1,EI24)-(EG26+EH26)))))</f>
        <v>0</v>
      </c>
      <c r="EJ27" s="63">
        <f>IF(AND(EJ24=0,EJ25=0),0,IF(EJ24&lt;=0,0,IF(WEEKDAY(EJ$6,1)=1,0,MAX(0,EJ25-8)*EJ24))+((IF(EJ24&lt;=0,0,IF(WEEKDAY(EJ$6,1)=1,0,MIN(8,EJ25)*EJ24)))-MIN(IF(EJ24&lt;=0,0,IF(WEEKDAY(EJ$6,1)=1,0,MIN(8,EJ25)*EJ24)),MAX(0,40*MAX(1,EJ24)-(EG26+EH26+EI26)))))</f>
        <v>0</v>
      </c>
      <c r="EK27" s="65">
        <f>IF(AND(EK24=0,EK25=0),0,IF(EK24&lt;=0,0,IF(WEEKDAY(EK$6,1)=1,0,MAX(0,EK25-8)*EK24))+((IF(EK24&lt;=0,0,IF(WEEKDAY(EK$6,1)=1,0,MIN(8,EK25)*EK24)))-MIN(IF(EK24&lt;=0,0,IF(WEEKDAY(EK$6,1)=1,0,MIN(8,EK25)*EK24)),MAX(0,40*MAX(1,EK24)-(EG26+EH26+EI26+EJ26)))))</f>
        <v>0</v>
      </c>
      <c r="OU27" s="28" t="s">
        <v>69</v>
      </c>
    </row>
    <row r="28" ht="16" customHeight="1" spans="1:411" x14ac:dyDescent="0.25">
      <c r="A28" s="45"/>
      <c r="B28" s="46"/>
      <c r="C28" s="61">
        <f>H23*N(D28)</f>
        <v>18638.88</v>
      </c>
      <c r="D28" s="61">
        <f>IF(TRIM(B23)="","No rate",IFERROR(INDEX('Rate Tables'!E$7:E$158,MATCH(B23,'Rate Tables'!A$7:A$158,0)),"No rate"))</f>
        <v>238.96</v>
      </c>
      <c r="E28" s="55" t="s">
        <v>64</v>
      </c>
      <c r="F28" s="49"/>
      <c r="G28" s="49"/>
      <c r="H28" s="49"/>
      <c r="I28" s="49"/>
      <c r="J28" s="50"/>
      <c r="K28" s="62">
        <f>IF(AND(K24=1,K25=9),0,IF(K24&lt;=0,0,IF(WEEKDAY(K$6,1)=1,K24*K25,0)))</f>
        <v>0</v>
      </c>
      <c r="L28" s="63">
        <f>IF(AND(L24=1,L25=9),0,IF(L24&lt;=0,0,IF(WEEKDAY(L$6,1)=1,L24*L25,0)))</f>
        <v>0</v>
      </c>
      <c r="M28" s="63">
        <f>IF(AND(M24=1,M25=9),0,IF(M24&lt;=0,0,IF(WEEKDAY(M$6,1)=1,M24*M25,0)))</f>
        <v>0</v>
      </c>
      <c r="N28" s="63">
        <f>IF(AND(N24=1,N25=9),0,IF(N24&lt;=0,0,IF(WEEKDAY(N$6,1)=1,N24*N25,0)))</f>
        <v>0</v>
      </c>
      <c r="O28" s="63">
        <f>IF(AND(O24=1,O25=9),0,IF(O24&lt;=0,0,IF(WEEKDAY(O$6,1)=1,O24*O25,0)))</f>
        <v>0</v>
      </c>
      <c r="P28" s="64">
        <f>IF(AND(P24=0,P25=0),0,IF(P24&lt;=0,0,IF(WEEKDAY(P$6,1)=1,P24*P25,0)))</f>
        <v>0</v>
      </c>
      <c r="Q28" s="64">
        <f>IF(AND(Q24=0,Q25=0),0,IF(Q24&lt;=0,0,IF(WEEKDAY(Q$6,1)=1,Q24*Q25,0)))</f>
        <v>0</v>
      </c>
      <c r="R28" s="63">
        <f>IF(AND(R24=1,R25=9),0,IF(R24&lt;=0,0,IF(WEEKDAY(R$6,1)=1,R24*R25,0)))</f>
        <v>0</v>
      </c>
      <c r="S28" s="63">
        <f>IF(AND(S24=1,S25=9),0,IF(S24&lt;=0,0,IF(WEEKDAY(S$6,1)=1,S24*S25,0)))</f>
        <v>0</v>
      </c>
      <c r="T28" s="63">
        <f>IF(AND(T24=1,T25=9),0,IF(T24&lt;=0,0,IF(WEEKDAY(T$6,1)=1,T24*T25,0)))</f>
        <v>0</v>
      </c>
      <c r="U28" s="63">
        <f>IF(AND(U24=1,U25=9),0,IF(U24&lt;=0,0,IF(WEEKDAY(U$6,1)=1,U24*U25,0)))</f>
        <v>0</v>
      </c>
      <c r="V28" s="63">
        <f>IF(AND(V24=1,V25=9),0,IF(V24&lt;=0,0,IF(WEEKDAY(V$6,1)=1,V24*V25,0)))</f>
        <v>0</v>
      </c>
      <c r="W28" s="64">
        <f>IF(AND(W24=0,W25=0),0,IF(W24&lt;=0,0,IF(WEEKDAY(W$6,1)=1,W24*W25,0)))</f>
        <v>0</v>
      </c>
      <c r="X28" s="64">
        <f>IF(AND(X24=0,X25=0),0,IF(X24&lt;=0,0,IF(WEEKDAY(X$6,1)=1,X24*X25,0)))</f>
        <v>0</v>
      </c>
      <c r="Y28" s="63">
        <f>IF(AND(Y24=1,Y25=9),0,IF(Y24&lt;=0,0,IF(WEEKDAY(Y$6,1)=1,Y24*Y25,0)))</f>
        <v>0</v>
      </c>
      <c r="Z28" s="63">
        <f>IF(AND(Z24=1,Z25=9),0,IF(Z24&lt;=0,0,IF(WEEKDAY(Z$6,1)=1,Z24*Z25,0)))</f>
        <v>0</v>
      </c>
      <c r="AA28" s="63">
        <f>IF(AND(AA24=1,AA25=9),0,IF(AA24&lt;=0,0,IF(WEEKDAY(AA$6,1)=1,AA24*AA25,0)))</f>
        <v>0</v>
      </c>
      <c r="AB28" s="63">
        <f>IF(AND(AB24=1,AB25=9),0,IF(AB24&lt;=0,0,IF(WEEKDAY(AB$6,1)=1,AB24*AB25,0)))</f>
        <v>0</v>
      </c>
      <c r="AC28" s="63">
        <f>IF(AND(AC24=1,AC25=9),0,IF(AC24&lt;=0,0,IF(WEEKDAY(AC$6,1)=1,AC24*AC25,0)))</f>
        <v>0</v>
      </c>
      <c r="AD28" s="64">
        <f>IF(AND(AD24=0,AD25=0),0,IF(AD24&lt;=0,0,IF(WEEKDAY(AD$6,1)=1,AD24*AD25,0)))</f>
        <v>0</v>
      </c>
      <c r="AE28" s="64">
        <f>IF(AND(AE24=0,AE25=0),0,IF(AE24&lt;=0,0,IF(WEEKDAY(AE$6,1)=1,AE24*AE25,0)))</f>
        <v>0</v>
      </c>
      <c r="AF28" s="63">
        <f>IF(AND(AF24=1,AF25=9),0,IF(AF24&lt;=0,0,IF(WEEKDAY(AF$6,1)=1,AF24*AF25,0)))</f>
        <v>0</v>
      </c>
      <c r="AG28" s="63">
        <f>IF(AND(AG24=1,AG25=9),0,IF(AG24&lt;=0,0,IF(WEEKDAY(AG$6,1)=1,AG24*AG25,0)))</f>
        <v>0</v>
      </c>
      <c r="AH28" s="63">
        <f>IF(AND(AH24=1,AH25=9),0,IF(AH24&lt;=0,0,IF(WEEKDAY(AH$6,1)=1,AH24*AH25,0)))</f>
        <v>0</v>
      </c>
      <c r="AI28" s="63">
        <f>IF(AND(AI24=1,AI25=9),0,IF(AI24&lt;=0,0,IF(WEEKDAY(AI$6,1)=1,AI24*AI25,0)))</f>
        <v>0</v>
      </c>
      <c r="AJ28" s="63">
        <f>IF(AND(AJ24=1,AJ25=9),0,IF(AJ24&lt;=0,0,IF(WEEKDAY(AJ$6,1)=1,AJ24*AJ25,0)))</f>
        <v>0</v>
      </c>
      <c r="AK28" s="64">
        <f>IF(AND(AK24=0,AK25=0),0,IF(AK24&lt;=0,0,IF(WEEKDAY(AK$6,1)=1,AK24*AK25,0)))</f>
        <v>0</v>
      </c>
      <c r="AL28" s="64">
        <f>IF(AND(AL24=0,AL25=0),0,IF(AL24&lt;=0,0,IF(WEEKDAY(AL$6,1)=1,AL24*AL25,0)))</f>
        <v>0</v>
      </c>
      <c r="AM28" s="63">
        <f>IF(AND(AM24=1,AM25=9),0,IF(AM24&lt;=0,0,IF(WEEKDAY(AM$6,1)=1,AM24*AM25,0)))</f>
        <v>0</v>
      </c>
      <c r="AN28" s="63">
        <f>IF(AND(AN24=1,AN25=9),0,IF(AN24&lt;=0,0,IF(WEEKDAY(AN$6,1)=1,AN24*AN25,0)))</f>
        <v>0</v>
      </c>
      <c r="AO28" s="63">
        <f>IF(AND(AO24=1,AO25=9),0,IF(AO24&lt;=0,0,IF(WEEKDAY(AO$6,1)=1,AO24*AO25,0)))</f>
        <v>0</v>
      </c>
      <c r="AP28" s="63">
        <f>IF(AND(AP24=1,AP25=9),0,IF(AP24&lt;=0,0,IF(WEEKDAY(AP$6,1)=1,AP24*AP25,0)))</f>
        <v>0</v>
      </c>
      <c r="AQ28" s="63">
        <f>IF(AND(AQ24=1,AQ25=9),0,IF(AQ24&lt;=0,0,IF(WEEKDAY(AQ$6,1)=1,AQ24*AQ25,0)))</f>
        <v>0</v>
      </c>
      <c r="AR28" s="64">
        <f>IF(AND(AR24=0,AR25=0),0,IF(AR24&lt;=0,0,IF(WEEKDAY(AR$6,1)=1,AR24*AR25,0)))</f>
        <v>0</v>
      </c>
      <c r="AS28" s="64">
        <f>IF(AND(AS24=0,AS25=0),0,IF(AS24&lt;=0,0,IF(WEEKDAY(AS$6,1)=1,AS24*AS25,0)))</f>
        <v>0</v>
      </c>
      <c r="AT28" s="63">
        <f>IF(AND(AT24=1,AT25=9),0,IF(AT24&lt;=0,0,IF(WEEKDAY(AT$6,1)=1,AT24*AT25,0)))</f>
        <v>0</v>
      </c>
      <c r="AU28" s="63">
        <f>IF(AND(AU24=1,AU25=9),0,IF(AU24&lt;=0,0,IF(WEEKDAY(AU$6,1)=1,AU24*AU25,0)))</f>
        <v>0</v>
      </c>
      <c r="AV28" s="63">
        <f>IF(AND(AV24=1,AV25=9),0,IF(AV24&lt;=0,0,IF(WEEKDAY(AV$6,1)=1,AV24*AV25,0)))</f>
        <v>0</v>
      </c>
      <c r="AW28" s="63">
        <f>IF(AND(AW24=1,AW25=9),0,IF(AW24&lt;=0,0,IF(WEEKDAY(AW$6,1)=1,AW24*AW25,0)))</f>
        <v>0</v>
      </c>
      <c r="AX28" s="63">
        <f>IF(AND(AX24=1,AX25=9),0,IF(AX24&lt;=0,0,IF(WEEKDAY(AX$6,1)=1,AX24*AX25,0)))</f>
        <v>0</v>
      </c>
      <c r="AY28" s="64">
        <f>IF(AND(AY24=0,AY25=0),0,IF(AY24&lt;=0,0,IF(WEEKDAY(AY$6,1)=1,AY24*AY25,0)))</f>
        <v>0</v>
      </c>
      <c r="AZ28" s="64">
        <f>IF(AND(AZ24=0,AZ25=0),0,IF(AZ24&lt;=0,0,IF(WEEKDAY(AZ$6,1)=1,AZ24*AZ25,0)))</f>
        <v>0</v>
      </c>
      <c r="BA28" s="63">
        <f>IF(AND(BA24=1,BA25=9),0,IF(BA24&lt;=0,0,IF(WEEKDAY(BA$6,1)=1,BA24*BA25,0)))</f>
        <v>0</v>
      </c>
      <c r="BB28" s="63">
        <f>IF(AND(BB24=1,BB25=9),0,IF(BB24&lt;=0,0,IF(WEEKDAY(BB$6,1)=1,BB24*BB25,0)))</f>
        <v>0</v>
      </c>
      <c r="BC28" s="63">
        <f>IF(AND(BC24=1,BC25=9),0,IF(BC24&lt;=0,0,IF(WEEKDAY(BC$6,1)=1,BC24*BC25,0)))</f>
        <v>0</v>
      </c>
      <c r="BD28" s="63">
        <f>IF(AND(BD24=1,BD25=9),0,IF(BD24&lt;=0,0,IF(WEEKDAY(BD$6,1)=1,BD24*BD25,0)))</f>
        <v>0</v>
      </c>
      <c r="BE28" s="63">
        <f>IF(AND(BE24=1,BE25=9),0,IF(BE24&lt;=0,0,IF(WEEKDAY(BE$6,1)=1,BE24*BE25,0)))</f>
        <v>0</v>
      </c>
      <c r="BF28" s="64">
        <f>IF(AND(BF24=0,BF25=0),0,IF(BF24&lt;=0,0,IF(WEEKDAY(BF$6,1)=1,BF24*BF25,0)))</f>
        <v>0</v>
      </c>
      <c r="BG28" s="64">
        <f>IF(AND(BG24=0,BG25=0),0,IF(BG24&lt;=0,0,IF(WEEKDAY(BG$6,1)=1,BG24*BG25,0)))</f>
        <v>0</v>
      </c>
      <c r="BH28" s="63">
        <f>IF(AND(BH24=1,BH25=13),0,IF(BH24&lt;=0,0,IF(WEEKDAY(BH$6,1)=1,BH24*BH25,0)))</f>
        <v>0</v>
      </c>
      <c r="BI28" s="63">
        <f>IF(AND(BI24=1,BI25=13),0,IF(BI24&lt;=0,0,IF(WEEKDAY(BI$6,1)=1,BI24*BI25,0)))</f>
        <v>0</v>
      </c>
      <c r="BJ28" s="63">
        <f>IF(AND(BJ24=1,BJ25=13),0,IF(BJ24&lt;=0,0,IF(WEEKDAY(BJ$6,1)=1,BJ24*BJ25,0)))</f>
        <v>0</v>
      </c>
      <c r="BK28" s="63">
        <f>IF(AND(BK24=1,BK25=13),0,IF(BK24&lt;=0,0,IF(WEEKDAY(BK$6,1)=1,BK24*BK25,0)))</f>
        <v>0</v>
      </c>
      <c r="BL28" s="63">
        <f>IF(AND(BL24=1,BL25=13),0,IF(BL24&lt;=0,0,IF(WEEKDAY(BL$6,1)=1,BL24*BL25,0)))</f>
        <v>0</v>
      </c>
      <c r="BM28" s="64">
        <f>IF(AND(BM24=1,BM25=13),0,IF(BM24&lt;=0,0,IF(WEEKDAY(BM$6,1)=1,BM24*BM25,0)))</f>
        <v>0</v>
      </c>
      <c r="BN28" s="64">
        <f>IF(AND(BN24=1,BN25=13),13,IF(BN24&lt;=0,0,IF(WEEKDAY(BN$6,1)=1,BN24*BN25,0)))</f>
        <v>13</v>
      </c>
      <c r="BO28" s="63">
        <f>IF(AND(BO24=1,BO25=13),0,IF(BO24&lt;=0,0,IF(WEEKDAY(BO$6,1)=1,BO24*BO25,0)))</f>
        <v>0</v>
      </c>
      <c r="BP28" s="63">
        <f>IF(AND(BP24=1,BP25=13),0,IF(BP24&lt;=0,0,IF(WEEKDAY(BP$6,1)=1,BP24*BP25,0)))</f>
        <v>0</v>
      </c>
      <c r="BQ28" s="63">
        <f>IF(AND(BQ24=1,BQ25=13),0,IF(BQ24&lt;=0,0,IF(WEEKDAY(BQ$6,1)=1,BQ24*BQ25,0)))</f>
        <v>0</v>
      </c>
      <c r="BR28" s="63">
        <f>IF(AND(BR24=1,BR25=13),0,IF(BR24&lt;=0,0,IF(WEEKDAY(BR$6,1)=1,BR24*BR25,0)))</f>
        <v>0</v>
      </c>
      <c r="BS28" s="63">
        <f>IF(AND(BS24=1,BS25=13),0,IF(BS24&lt;=0,0,IF(WEEKDAY(BS$6,1)=1,BS24*BS25,0)))</f>
        <v>0</v>
      </c>
      <c r="BT28" s="64">
        <f>IF(AND(BT24=1,BT25=13),0,IF(BT24&lt;=0,0,IF(WEEKDAY(BT$6,1)=1,BT24*BT25,0)))</f>
        <v>0</v>
      </c>
      <c r="BU28" s="64">
        <f>IF(AND(BU24=1,BU25=13),13,IF(BU24&lt;=0,0,IF(WEEKDAY(BU$6,1)=1,BU24*BU25,0)))</f>
        <v>13</v>
      </c>
      <c r="BV28" s="63">
        <f>IF(AND(BV24=1,BV25=13),0,IF(BV24&lt;=0,0,IF(WEEKDAY(BV$6,1)=1,BV24*BV25,0)))</f>
        <v>0</v>
      </c>
      <c r="BW28" s="63">
        <f>IF(AND(BW24=1,BW25=13),0,IF(BW24&lt;=0,0,IF(WEEKDAY(BW$6,1)=1,BW24*BW25,0)))</f>
        <v>0</v>
      </c>
      <c r="BX28" s="63">
        <f>IF(AND(BX24=1,BX25=13),0,IF(BX24&lt;=0,0,IF(WEEKDAY(BX$6,1)=1,BX24*BX25,0)))</f>
        <v>0</v>
      </c>
      <c r="BY28" s="63">
        <f>IF(AND(BY24=1,BY25=13),0,IF(BY24&lt;=0,0,IF(WEEKDAY(BY$6,1)=1,BY24*BY25,0)))</f>
        <v>0</v>
      </c>
      <c r="BZ28" s="63">
        <f>IF(AND(BZ24=1,BZ25=13),0,IF(BZ24&lt;=0,0,IF(WEEKDAY(BZ$6,1)=1,BZ24*BZ25,0)))</f>
        <v>0</v>
      </c>
      <c r="CA28" s="64">
        <f>IF(AND(CA24=1,CA25=13),0,IF(CA24&lt;=0,0,IF(WEEKDAY(CA$6,1)=1,CA24*CA25,0)))</f>
        <v>0</v>
      </c>
      <c r="CB28" s="64">
        <f>IF(AND(CB24=0,CB25=0),0,IF(CB24&lt;=0,0,IF(WEEKDAY(CB$6,1)=1,CB24*CB25,0)))</f>
        <v>0</v>
      </c>
      <c r="CC28" s="63">
        <f>IF(AND(CC24=1,CC25=13),0,IF(CC24&lt;=0,0,IF(WEEKDAY(CC$6,1)=1,CC24*CC25,0)))</f>
        <v>0</v>
      </c>
      <c r="CD28" s="63">
        <f>IF(AND(CD24=1,CD25=13),0,IF(CD24&lt;=0,0,IF(WEEKDAY(CD$6,1)=1,CD24*CD25,0)))</f>
        <v>0</v>
      </c>
      <c r="CE28" s="63">
        <f>IF(AND(CE24=1,CE25=13),0,IF(CE24&lt;=0,0,IF(WEEKDAY(CE$6,1)=1,CE24*CE25,0)))</f>
        <v>0</v>
      </c>
      <c r="CF28" s="63">
        <f>IF(AND(CF24=1,CF25=13),0,IF(CF24&lt;=0,0,IF(WEEKDAY(CF$6,1)=1,CF24*CF25,0)))</f>
        <v>0</v>
      </c>
      <c r="CG28" s="63">
        <f>IF(AND(CG24=1,CG25=13),0,IF(CG24&lt;=0,0,IF(WEEKDAY(CG$6,1)=1,CG24*CG25,0)))</f>
        <v>0</v>
      </c>
      <c r="CH28" s="64">
        <f>IF(AND(CH24=1,CH25=13),0,IF(CH24&lt;=0,0,IF(WEEKDAY(CH$6,1)=1,CH24*CH25,0)))</f>
        <v>0</v>
      </c>
      <c r="CI28" s="64">
        <f>IF(AND(CI24=1,CI25=13),13,IF(CI24&lt;=0,0,IF(WEEKDAY(CI$6,1)=1,CI24*CI25,0)))</f>
        <v>13</v>
      </c>
      <c r="CJ28" s="63">
        <f>IF(AND(CJ24=1,CJ25=13),0,IF(CJ24&lt;=0,0,IF(WEEKDAY(CJ$6,1)=1,CJ24*CJ25,0)))</f>
        <v>0</v>
      </c>
      <c r="CK28" s="63">
        <f>IF(AND(CK24=1,CK25=13),0,IF(CK24&lt;=0,0,IF(WEEKDAY(CK$6,1)=1,CK24*CK25,0)))</f>
        <v>0</v>
      </c>
      <c r="CL28" s="63">
        <f>IF(AND(CL24=1,CL25=13),0,IF(CL24&lt;=0,0,IF(WEEKDAY(CL$6,1)=1,CL24*CL25,0)))</f>
        <v>0</v>
      </c>
      <c r="CM28" s="63">
        <f>IF(AND(CM24=1,CM25=13),0,IF(CM24&lt;=0,0,IF(WEEKDAY(CM$6,1)=1,CM24*CM25,0)))</f>
        <v>0</v>
      </c>
      <c r="CN28" s="63">
        <f>IF(AND(CN24=1,CN25=13),0,IF(CN24&lt;=0,0,IF(WEEKDAY(CN$6,1)=1,CN24*CN25,0)))</f>
        <v>0</v>
      </c>
      <c r="CO28" s="64">
        <f>IF(AND(CO24=1,CO25=13),0,IF(CO24&lt;=0,0,IF(WEEKDAY(CO$6,1)=1,CO24*CO25,0)))</f>
        <v>0</v>
      </c>
      <c r="CP28" s="64">
        <f>IF(AND(CP24=0,CP25=0),0,IF(CP24&lt;=0,0,IF(WEEKDAY(CP$6,1)=1,CP24*CP25,0)))</f>
        <v>0</v>
      </c>
      <c r="CQ28" s="63">
        <f>IF(AND(CQ24=1,CQ25=13),0,IF(CQ24&lt;=0,0,IF(WEEKDAY(CQ$6,1)=1,CQ24*CQ25,0)))</f>
        <v>0</v>
      </c>
      <c r="CR28" s="63">
        <f>IF(AND(CR24=1,CR25=13),0,IF(CR24&lt;=0,0,IF(WEEKDAY(CR$6,1)=1,CR24*CR25,0)))</f>
        <v>0</v>
      </c>
      <c r="CS28" s="63">
        <f>IF(AND(CS24=1,CS25=13),0,IF(CS24&lt;=0,0,IF(WEEKDAY(CS$6,1)=1,CS24*CS25,0)))</f>
        <v>0</v>
      </c>
      <c r="CT28" s="63">
        <f>IF(AND(CT24=1,CT25=13),0,IF(CT24&lt;=0,0,IF(WEEKDAY(CT$6,1)=1,CT24*CT25,0)))</f>
        <v>0</v>
      </c>
      <c r="CU28" s="63">
        <f>IF(AND(CU24=1,CU25=13),0,IF(CU24&lt;=0,0,IF(WEEKDAY(CU$6,1)=1,CU24*CU25,0)))</f>
        <v>0</v>
      </c>
      <c r="CV28" s="64">
        <f>IF(AND(CV24=1,CV25=13),0,IF(CV24&lt;=0,0,IF(WEEKDAY(CV$6,1)=1,CV24*CV25,0)))</f>
        <v>0</v>
      </c>
      <c r="CW28" s="64">
        <f>IF(AND(CW24=1,CW25=13),13,IF(CW24&lt;=0,0,IF(WEEKDAY(CW$6,1)=1,CW24*CW25,0)))</f>
        <v>13</v>
      </c>
      <c r="CX28" s="63">
        <f>IF(AND(CX24=1,CX25=13),0,IF(CX24&lt;=0,0,IF(WEEKDAY(CX$6,1)=1,CX24*CX25,0)))</f>
        <v>0</v>
      </c>
      <c r="CY28" s="63">
        <f>IF(AND(CY24=1,CY25=13),0,IF(CY24&lt;=0,0,IF(WEEKDAY(CY$6,1)=1,CY24*CY25,0)))</f>
        <v>0</v>
      </c>
      <c r="CZ28" s="63">
        <f>IF(AND(CZ24=1,CZ25=13),0,IF(CZ24&lt;=0,0,IF(WEEKDAY(CZ$6,1)=1,CZ24*CZ25,0)))</f>
        <v>0</v>
      </c>
      <c r="DA28" s="63">
        <f>IF(AND(DA24=1,DA25=13),0,IF(DA24&lt;=0,0,IF(WEEKDAY(DA$6,1)=1,DA24*DA25,0)))</f>
        <v>0</v>
      </c>
      <c r="DB28" s="63">
        <f>IF(AND(DB24=1,DB25=13),0,IF(DB24&lt;=0,0,IF(WEEKDAY(DB$6,1)=1,DB24*DB25,0)))</f>
        <v>0</v>
      </c>
      <c r="DC28" s="64">
        <f>IF(AND(DC24=1,DC25=13),0,IF(DC24&lt;=0,0,IF(WEEKDAY(DC$6,1)=1,DC24*DC25,0)))</f>
        <v>0</v>
      </c>
      <c r="DD28" s="64">
        <f>IF(AND(DD24=1,DD25=13),13,IF(DD24&lt;=0,0,IF(WEEKDAY(DD$6,1)=1,DD24*DD25,0)))</f>
        <v>13</v>
      </c>
      <c r="DE28" s="63">
        <f>IF(AND(DE24=1,DE25=13),0,IF(DE24&lt;=0,0,IF(WEEKDAY(DE$6,1)=1,DE24*DE25,0)))</f>
        <v>0</v>
      </c>
      <c r="DF28" s="63">
        <f>IF(AND(DF24=1,DF25=13),0,IF(DF24&lt;=0,0,IF(WEEKDAY(DF$6,1)=1,DF24*DF25,0)))</f>
        <v>0</v>
      </c>
      <c r="DG28" s="63">
        <f>IF(AND(DG24=1,DG25=13),0,IF(DG24&lt;=0,0,IF(WEEKDAY(DG$6,1)=1,DG24*DG25,0)))</f>
        <v>0</v>
      </c>
      <c r="DH28" s="63">
        <f>IF(AND(DH24=1,DH25=13),0,IF(DH24&lt;=0,0,IF(WEEKDAY(DH$6,1)=1,DH24*DH25,0)))</f>
        <v>0</v>
      </c>
      <c r="DI28" s="63">
        <f>IF(AND(DI24=1,DI25=13),0,IF(DI24&lt;=0,0,IF(WEEKDAY(DI$6,1)=1,DI24*DI25,0)))</f>
        <v>0</v>
      </c>
      <c r="DJ28" s="64">
        <f>IF(AND(DJ24=1,DJ25=13),0,IF(DJ24&lt;=0,0,IF(WEEKDAY(DJ$6,1)=1,DJ24*DJ25,0)))</f>
        <v>0</v>
      </c>
      <c r="DK28" s="64">
        <f>IF(AND(DK24=0,DK25=0),0,IF(DK24&lt;=0,0,IF(WEEKDAY(DK$6,1)=1,DK24*DK25,0)))</f>
        <v>0</v>
      </c>
      <c r="DL28" s="63">
        <f>IF(AND(DL24=1,DL25=13),0,IF(DL24&lt;=0,0,IF(WEEKDAY(DL$6,1)=1,DL24*DL25,0)))</f>
        <v>0</v>
      </c>
      <c r="DM28" s="63">
        <f>IF(AND(DM24=1,DM25=13),0,IF(DM24&lt;=0,0,IF(WEEKDAY(DM$6,1)=1,DM24*DM25,0)))</f>
        <v>0</v>
      </c>
      <c r="DN28" s="63">
        <f>IF(AND(DN24=1,DN25=13),0,IF(DN24&lt;=0,0,IF(WEEKDAY(DN$6,1)=1,DN24*DN25,0)))</f>
        <v>0</v>
      </c>
      <c r="DO28" s="63">
        <f>IF(AND(DO24=1,DO25=13),0,IF(DO24&lt;=0,0,IF(WEEKDAY(DO$6,1)=1,DO24*DO25,0)))</f>
        <v>0</v>
      </c>
      <c r="DP28" s="63">
        <f>IF(AND(DP24=1,DP25=13),0,IF(DP24&lt;=0,0,IF(WEEKDAY(DP$6,1)=1,DP24*DP25,0)))</f>
        <v>0</v>
      </c>
      <c r="DQ28" s="64">
        <f>IF(AND(DQ24=1,DQ25=13),0,IF(DQ24&lt;=0,0,IF(WEEKDAY(DQ$6,1)=1,DQ24*DQ25,0)))</f>
        <v>0</v>
      </c>
      <c r="DR28" s="64">
        <f>IF(AND(DR24=1,DR25=13),13,IF(DR24&lt;=0,0,IF(WEEKDAY(DR$6,1)=1,DR24*DR25,0)))</f>
        <v>13</v>
      </c>
      <c r="DS28" s="63">
        <f>IF(AND(DS24=1,DS25=13),0,IF(DS24&lt;=0,0,IF(WEEKDAY(DS$6,1)=1,DS24*DS25,0)))</f>
        <v>0</v>
      </c>
      <c r="DT28" s="63">
        <f>IF(AND(DT24=0,DT25=0),0,IF(DT24&lt;=0,0,IF(WEEKDAY(DT$6,1)=1,DT24*DT25,0)))</f>
        <v>0</v>
      </c>
      <c r="DU28" s="63">
        <f>IF(AND(DU24=0,DU25=0),0,IF(DU24&lt;=0,0,IF(WEEKDAY(DU$6,1)=1,DU24*DU25,0)))</f>
        <v>0</v>
      </c>
      <c r="DV28" s="63">
        <f>IF(AND(DV24=0,DV25=0),0,IF(DV24&lt;=0,0,IF(WEEKDAY(DV$6,1)=1,DV24*DV25,0)))</f>
        <v>0</v>
      </c>
      <c r="DW28" s="63">
        <f>IF(AND(DW24=0,DW25=0),0,IF(DW24&lt;=0,0,IF(WEEKDAY(DW$6,1)=1,DW24*DW25,0)))</f>
        <v>0</v>
      </c>
      <c r="DX28" s="64">
        <f>IF(AND(DX24=0,DX25=0),0,IF(DX24&lt;=0,0,IF(WEEKDAY(DX$6,1)=1,DX24*DX25,0)))</f>
        <v>0</v>
      </c>
      <c r="DY28" s="64">
        <f>IF(AND(DY24=0,DY25=0),0,IF(DY24&lt;=0,0,IF(WEEKDAY(DY$6,1)=1,DY24*DY25,0)))</f>
        <v>0</v>
      </c>
      <c r="DZ28" s="63">
        <f>IF(AND(DZ24=0,DZ25=0),0,IF(DZ24&lt;=0,0,IF(WEEKDAY(DZ$6,1)=1,DZ24*DZ25,0)))</f>
        <v>0</v>
      </c>
      <c r="EA28" s="63">
        <f>IF(AND(EA24=0,EA25=0),0,IF(EA24&lt;=0,0,IF(WEEKDAY(EA$6,1)=1,EA24*EA25,0)))</f>
        <v>0</v>
      </c>
      <c r="EB28" s="63">
        <f>IF(AND(EB24=0,EB25=0),0,IF(EB24&lt;=0,0,IF(WEEKDAY(EB$6,1)=1,EB24*EB25,0)))</f>
        <v>0</v>
      </c>
      <c r="EC28" s="63">
        <f>IF(AND(EC24=0,EC25=0),0,IF(EC24&lt;=0,0,IF(WEEKDAY(EC$6,1)=1,EC24*EC25,0)))</f>
        <v>0</v>
      </c>
      <c r="ED28" s="63">
        <f>IF(AND(ED24=0,ED25=0),0,IF(ED24&lt;=0,0,IF(WEEKDAY(ED$6,1)=1,ED24*ED25,0)))</f>
        <v>0</v>
      </c>
      <c r="EE28" s="64">
        <f>IF(AND(EE24=0,EE25=0),0,IF(EE24&lt;=0,0,IF(WEEKDAY(EE$6,1)=1,EE24*EE25,0)))</f>
        <v>0</v>
      </c>
      <c r="EF28" s="64">
        <f>IF(AND(EF24=0,EF25=0),0,IF(EF24&lt;=0,0,IF(WEEKDAY(EF$6,1)=1,EF24*EF25,0)))</f>
        <v>0</v>
      </c>
      <c r="EG28" s="63">
        <f>IF(AND(EG24=0,EG25=0),0,IF(EG24&lt;=0,0,IF(WEEKDAY(EG$6,1)=1,EG24*EG25,0)))</f>
        <v>0</v>
      </c>
      <c r="EH28" s="63">
        <f>IF(AND(EH24=0,EH25=0),0,IF(EH24&lt;=0,0,IF(WEEKDAY(EH$6,1)=1,EH24*EH25,0)))</f>
        <v>0</v>
      </c>
      <c r="EI28" s="63">
        <f>IF(AND(EI24=0,EI25=0),0,IF(EI24&lt;=0,0,IF(WEEKDAY(EI$6,1)=1,EI24*EI25,0)))</f>
        <v>0</v>
      </c>
      <c r="EJ28" s="63">
        <f>IF(AND(EJ24=0,EJ25=0),0,IF(EJ24&lt;=0,0,IF(WEEKDAY(EJ$6,1)=1,EJ24*EJ25,0)))</f>
        <v>0</v>
      </c>
      <c r="EK28" s="65">
        <f>IF(AND(EK24=0,EK25=0),0,IF(EK24&lt;=0,0,IF(WEEKDAY(EK$6,1)=1,EK24*EK25,0)))</f>
        <v>0</v>
      </c>
      <c r="OU28" s="28" t="s">
        <v>69</v>
      </c>
    </row>
    <row r="29" ht="16" customHeight="1" spans="1:411" x14ac:dyDescent="0.25">
      <c r="A29" s="45"/>
      <c r="B29" s="46"/>
      <c r="C29" s="67">
        <f>I23*D29</f>
        <v>13440</v>
      </c>
      <c r="D29" s="67">
        <v>140</v>
      </c>
      <c r="E29" s="68" t="s">
        <v>65</v>
      </c>
      <c r="F29" s="49"/>
      <c r="G29" s="49"/>
      <c r="H29" s="49"/>
      <c r="I29" s="49"/>
      <c r="J29" s="50"/>
      <c r="K29" s="69">
        <v>1</v>
      </c>
      <c r="L29" s="70">
        <v>1</v>
      </c>
      <c r="M29" s="70">
        <v>1</v>
      </c>
      <c r="N29" s="70">
        <v>1</v>
      </c>
      <c r="O29" s="70">
        <v>1</v>
      </c>
      <c r="P29" s="71">
        <v>0</v>
      </c>
      <c r="Q29" s="71">
        <v>0</v>
      </c>
      <c r="R29" s="70">
        <v>1</v>
      </c>
      <c r="S29" s="70">
        <v>1</v>
      </c>
      <c r="T29" s="70">
        <v>1</v>
      </c>
      <c r="U29" s="70">
        <v>1</v>
      </c>
      <c r="V29" s="70">
        <v>1</v>
      </c>
      <c r="W29" s="71">
        <v>0</v>
      </c>
      <c r="X29" s="71">
        <v>0</v>
      </c>
      <c r="Y29" s="70">
        <v>1</v>
      </c>
      <c r="Z29" s="70">
        <v>1</v>
      </c>
      <c r="AA29" s="70">
        <v>1</v>
      </c>
      <c r="AB29" s="70">
        <v>1</v>
      </c>
      <c r="AC29" s="70">
        <v>1</v>
      </c>
      <c r="AD29" s="71">
        <v>0</v>
      </c>
      <c r="AE29" s="71">
        <v>0</v>
      </c>
      <c r="AF29" s="70">
        <v>1</v>
      </c>
      <c r="AG29" s="70">
        <v>1</v>
      </c>
      <c r="AH29" s="70">
        <v>1</v>
      </c>
      <c r="AI29" s="70">
        <v>1</v>
      </c>
      <c r="AJ29" s="70">
        <v>1</v>
      </c>
      <c r="AK29" s="71">
        <v>0</v>
      </c>
      <c r="AL29" s="71">
        <v>0</v>
      </c>
      <c r="AM29" s="70">
        <v>1</v>
      </c>
      <c r="AN29" s="70">
        <v>1</v>
      </c>
      <c r="AO29" s="70">
        <v>1</v>
      </c>
      <c r="AP29" s="70">
        <v>1</v>
      </c>
      <c r="AQ29" s="70">
        <v>1</v>
      </c>
      <c r="AR29" s="71">
        <v>0</v>
      </c>
      <c r="AS29" s="71">
        <v>0</v>
      </c>
      <c r="AT29" s="70">
        <v>1</v>
      </c>
      <c r="AU29" s="70">
        <v>1</v>
      </c>
      <c r="AV29" s="70">
        <v>1</v>
      </c>
      <c r="AW29" s="70">
        <v>1</v>
      </c>
      <c r="AX29" s="70">
        <v>1</v>
      </c>
      <c r="AY29" s="71">
        <v>0</v>
      </c>
      <c r="AZ29" s="71">
        <v>0</v>
      </c>
      <c r="BA29" s="70">
        <v>1</v>
      </c>
      <c r="BB29" s="70">
        <v>1</v>
      </c>
      <c r="BC29" s="70">
        <v>1</v>
      </c>
      <c r="BD29" s="70">
        <v>1</v>
      </c>
      <c r="BE29" s="70">
        <v>1</v>
      </c>
      <c r="BF29" s="71">
        <v>0</v>
      </c>
      <c r="BG29" s="71">
        <v>0</v>
      </c>
      <c r="BH29" s="70">
        <v>1</v>
      </c>
      <c r="BI29" s="70">
        <v>1</v>
      </c>
      <c r="BJ29" s="70">
        <v>1</v>
      </c>
      <c r="BK29" s="70">
        <v>1</v>
      </c>
      <c r="BL29" s="70">
        <v>1</v>
      </c>
      <c r="BM29" s="71">
        <v>1</v>
      </c>
      <c r="BN29" s="71">
        <v>1</v>
      </c>
      <c r="BO29" s="70">
        <v>1</v>
      </c>
      <c r="BP29" s="70">
        <v>1</v>
      </c>
      <c r="BQ29" s="70">
        <v>1</v>
      </c>
      <c r="BR29" s="70">
        <v>1</v>
      </c>
      <c r="BS29" s="70">
        <v>1</v>
      </c>
      <c r="BT29" s="71">
        <v>1</v>
      </c>
      <c r="BU29" s="71">
        <v>1</v>
      </c>
      <c r="BV29" s="70">
        <v>1</v>
      </c>
      <c r="BW29" s="70">
        <v>1</v>
      </c>
      <c r="BX29" s="70">
        <v>1</v>
      </c>
      <c r="BY29" s="70">
        <v>1</v>
      </c>
      <c r="BZ29" s="70">
        <v>1</v>
      </c>
      <c r="CA29" s="71">
        <v>1</v>
      </c>
      <c r="CB29" s="71">
        <v>0</v>
      </c>
      <c r="CC29" s="70">
        <v>1</v>
      </c>
      <c r="CD29" s="70">
        <v>1</v>
      </c>
      <c r="CE29" s="70">
        <v>1</v>
      </c>
      <c r="CF29" s="70">
        <v>1</v>
      </c>
      <c r="CG29" s="70">
        <v>1</v>
      </c>
      <c r="CH29" s="71">
        <v>1</v>
      </c>
      <c r="CI29" s="71">
        <v>1</v>
      </c>
      <c r="CJ29" s="70">
        <v>1</v>
      </c>
      <c r="CK29" s="70">
        <v>1</v>
      </c>
      <c r="CL29" s="70">
        <v>1</v>
      </c>
      <c r="CM29" s="70">
        <v>1</v>
      </c>
      <c r="CN29" s="70">
        <v>1</v>
      </c>
      <c r="CO29" s="71">
        <v>1</v>
      </c>
      <c r="CP29" s="71">
        <v>0</v>
      </c>
      <c r="CQ29" s="70">
        <v>1</v>
      </c>
      <c r="CR29" s="70">
        <v>1</v>
      </c>
      <c r="CS29" s="70">
        <v>1</v>
      </c>
      <c r="CT29" s="70">
        <v>1</v>
      </c>
      <c r="CU29" s="70">
        <v>1</v>
      </c>
      <c r="CV29" s="71">
        <v>1</v>
      </c>
      <c r="CW29" s="71">
        <v>1</v>
      </c>
      <c r="CX29" s="70">
        <v>1</v>
      </c>
      <c r="CY29" s="70">
        <v>1</v>
      </c>
      <c r="CZ29" s="70">
        <v>1</v>
      </c>
      <c r="DA29" s="70">
        <v>1</v>
      </c>
      <c r="DB29" s="70">
        <v>1</v>
      </c>
      <c r="DC29" s="71">
        <v>1</v>
      </c>
      <c r="DD29" s="71">
        <v>1</v>
      </c>
      <c r="DE29" s="70">
        <v>1</v>
      </c>
      <c r="DF29" s="70">
        <v>1</v>
      </c>
      <c r="DG29" s="70">
        <v>1</v>
      </c>
      <c r="DH29" s="70">
        <v>1</v>
      </c>
      <c r="DI29" s="70">
        <v>1</v>
      </c>
      <c r="DJ29" s="71">
        <v>1</v>
      </c>
      <c r="DK29" s="71">
        <v>0</v>
      </c>
      <c r="DL29" s="70">
        <v>1</v>
      </c>
      <c r="DM29" s="70">
        <v>1</v>
      </c>
      <c r="DN29" s="70">
        <v>1</v>
      </c>
      <c r="DO29" s="70">
        <v>1</v>
      </c>
      <c r="DP29" s="70">
        <v>1</v>
      </c>
      <c r="DQ29" s="71">
        <v>1</v>
      </c>
      <c r="DR29" s="71">
        <v>1</v>
      </c>
      <c r="DS29" s="70">
        <v>1</v>
      </c>
      <c r="DT29" s="70">
        <v>0</v>
      </c>
      <c r="DU29" s="70">
        <v>0</v>
      </c>
      <c r="DV29" s="70">
        <v>0</v>
      </c>
      <c r="DW29" s="70">
        <v>0</v>
      </c>
      <c r="DX29" s="71">
        <v>0</v>
      </c>
      <c r="DY29" s="71">
        <v>0</v>
      </c>
      <c r="DZ29" s="70">
        <v>0</v>
      </c>
      <c r="EA29" s="70">
        <v>0</v>
      </c>
      <c r="EB29" s="70">
        <v>0</v>
      </c>
      <c r="EC29" s="70">
        <v>0</v>
      </c>
      <c r="ED29" s="70">
        <v>0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69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46" t="s">
        <v>68</v>
      </c>
      <c r="C31" s="47">
        <f>J31</f>
        <v>129843.48000000001</v>
      </c>
      <c r="D31" s="48"/>
      <c r="E31" s="48"/>
      <c r="F31" s="49">
        <f>SUM(K34:EK34)</f>
        <v>390</v>
      </c>
      <c r="G31" s="49">
        <f>SUM(K35:EK35)</f>
        <v>325</v>
      </c>
      <c r="H31" s="49">
        <f>SUM(K36:EK36)</f>
        <v>78</v>
      </c>
      <c r="I31" s="49">
        <f>SUM(K37:EK37)</f>
        <v>61</v>
      </c>
      <c r="J31" s="50">
        <f>C34+C35+C36</f>
        <v>129843.48000000001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71</v>
      </c>
    </row>
    <row r="32" ht="16" customHeight="1" spans="1:411" x14ac:dyDescent="0.25">
      <c r="A32" s="74"/>
      <c r="B32" s="46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1</v>
      </c>
      <c r="BI32" s="57">
        <v>1</v>
      </c>
      <c r="BJ32" s="57">
        <v>1</v>
      </c>
      <c r="BK32" s="57">
        <v>1</v>
      </c>
      <c r="BL32" s="57">
        <v>1</v>
      </c>
      <c r="BM32" s="58">
        <v>1</v>
      </c>
      <c r="BN32" s="58">
        <v>1</v>
      </c>
      <c r="BO32" s="57">
        <v>1</v>
      </c>
      <c r="BP32" s="57">
        <v>1</v>
      </c>
      <c r="BQ32" s="57">
        <v>1</v>
      </c>
      <c r="BR32" s="57">
        <v>1</v>
      </c>
      <c r="BS32" s="57">
        <v>1</v>
      </c>
      <c r="BT32" s="58">
        <v>1</v>
      </c>
      <c r="BU32" s="58">
        <v>1</v>
      </c>
      <c r="BV32" s="57">
        <v>1</v>
      </c>
      <c r="BW32" s="57">
        <v>1</v>
      </c>
      <c r="BX32" s="57">
        <v>1</v>
      </c>
      <c r="BY32" s="57">
        <v>1</v>
      </c>
      <c r="BZ32" s="57">
        <v>1</v>
      </c>
      <c r="CA32" s="58">
        <v>1</v>
      </c>
      <c r="CB32" s="58">
        <v>0</v>
      </c>
      <c r="CC32" s="57">
        <v>1</v>
      </c>
      <c r="CD32" s="57">
        <v>1</v>
      </c>
      <c r="CE32" s="57">
        <v>1</v>
      </c>
      <c r="CF32" s="57">
        <v>1</v>
      </c>
      <c r="CG32" s="57">
        <v>1</v>
      </c>
      <c r="CH32" s="58">
        <v>1</v>
      </c>
      <c r="CI32" s="58">
        <v>1</v>
      </c>
      <c r="CJ32" s="57">
        <v>1</v>
      </c>
      <c r="CK32" s="57">
        <v>1</v>
      </c>
      <c r="CL32" s="57">
        <v>1</v>
      </c>
      <c r="CM32" s="57">
        <v>1</v>
      </c>
      <c r="CN32" s="57">
        <v>1</v>
      </c>
      <c r="CO32" s="58">
        <v>1</v>
      </c>
      <c r="CP32" s="58">
        <v>0</v>
      </c>
      <c r="CQ32" s="57">
        <v>1</v>
      </c>
      <c r="CR32" s="57">
        <v>1</v>
      </c>
      <c r="CS32" s="57">
        <v>1</v>
      </c>
      <c r="CT32" s="57">
        <v>1</v>
      </c>
      <c r="CU32" s="57">
        <v>1</v>
      </c>
      <c r="CV32" s="58">
        <v>1</v>
      </c>
      <c r="CW32" s="58">
        <v>1</v>
      </c>
      <c r="CX32" s="57">
        <v>1</v>
      </c>
      <c r="CY32" s="57">
        <v>1</v>
      </c>
      <c r="CZ32" s="57">
        <v>1</v>
      </c>
      <c r="DA32" s="57">
        <v>1</v>
      </c>
      <c r="DB32" s="57">
        <v>1</v>
      </c>
      <c r="DC32" s="58">
        <v>1</v>
      </c>
      <c r="DD32" s="58">
        <v>1</v>
      </c>
      <c r="DE32" s="57">
        <v>1</v>
      </c>
      <c r="DF32" s="57">
        <v>1</v>
      </c>
      <c r="DG32" s="57">
        <v>1</v>
      </c>
      <c r="DH32" s="57">
        <v>1</v>
      </c>
      <c r="DI32" s="57">
        <v>1</v>
      </c>
      <c r="DJ32" s="58">
        <v>1</v>
      </c>
      <c r="DK32" s="58">
        <v>0</v>
      </c>
      <c r="DL32" s="57">
        <v>1</v>
      </c>
      <c r="DM32" s="57">
        <v>1</v>
      </c>
      <c r="DN32" s="57">
        <v>1</v>
      </c>
      <c r="DO32" s="57">
        <v>1</v>
      </c>
      <c r="DP32" s="57">
        <v>1</v>
      </c>
      <c r="DQ32" s="58">
        <v>1</v>
      </c>
      <c r="DR32" s="58">
        <v>1</v>
      </c>
      <c r="DS32" s="57">
        <v>1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71</v>
      </c>
    </row>
    <row r="33" ht="16" customHeight="1" spans="1:411" x14ac:dyDescent="0.25">
      <c r="A33" s="74"/>
      <c r="B33" s="46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13</v>
      </c>
      <c r="BI33" s="57">
        <v>13</v>
      </c>
      <c r="BJ33" s="57">
        <v>13</v>
      </c>
      <c r="BK33" s="57">
        <v>13</v>
      </c>
      <c r="BL33" s="57">
        <v>13</v>
      </c>
      <c r="BM33" s="58">
        <v>13</v>
      </c>
      <c r="BN33" s="58">
        <v>13</v>
      </c>
      <c r="BO33" s="57">
        <v>13</v>
      </c>
      <c r="BP33" s="57">
        <v>13</v>
      </c>
      <c r="BQ33" s="57">
        <v>13</v>
      </c>
      <c r="BR33" s="57">
        <v>13</v>
      </c>
      <c r="BS33" s="57">
        <v>13</v>
      </c>
      <c r="BT33" s="58">
        <v>13</v>
      </c>
      <c r="BU33" s="58">
        <v>13</v>
      </c>
      <c r="BV33" s="57">
        <v>13</v>
      </c>
      <c r="BW33" s="57">
        <v>13</v>
      </c>
      <c r="BX33" s="57">
        <v>13</v>
      </c>
      <c r="BY33" s="57">
        <v>13</v>
      </c>
      <c r="BZ33" s="57">
        <v>13</v>
      </c>
      <c r="CA33" s="58">
        <v>13</v>
      </c>
      <c r="CB33" s="58">
        <v>0</v>
      </c>
      <c r="CC33" s="57">
        <v>13</v>
      </c>
      <c r="CD33" s="57">
        <v>13</v>
      </c>
      <c r="CE33" s="57">
        <v>13</v>
      </c>
      <c r="CF33" s="57">
        <v>13</v>
      </c>
      <c r="CG33" s="57">
        <v>13</v>
      </c>
      <c r="CH33" s="58">
        <v>13</v>
      </c>
      <c r="CI33" s="58">
        <v>13</v>
      </c>
      <c r="CJ33" s="57">
        <v>13</v>
      </c>
      <c r="CK33" s="57">
        <v>13</v>
      </c>
      <c r="CL33" s="57">
        <v>13</v>
      </c>
      <c r="CM33" s="57">
        <v>13</v>
      </c>
      <c r="CN33" s="57">
        <v>13</v>
      </c>
      <c r="CO33" s="58">
        <v>13</v>
      </c>
      <c r="CP33" s="58">
        <v>0</v>
      </c>
      <c r="CQ33" s="57">
        <v>13</v>
      </c>
      <c r="CR33" s="57">
        <v>13</v>
      </c>
      <c r="CS33" s="57">
        <v>13</v>
      </c>
      <c r="CT33" s="57">
        <v>13</v>
      </c>
      <c r="CU33" s="57">
        <v>13</v>
      </c>
      <c r="CV33" s="58">
        <v>13</v>
      </c>
      <c r="CW33" s="58">
        <v>13</v>
      </c>
      <c r="CX33" s="57">
        <v>13</v>
      </c>
      <c r="CY33" s="57">
        <v>13</v>
      </c>
      <c r="CZ33" s="57">
        <v>13</v>
      </c>
      <c r="DA33" s="57">
        <v>13</v>
      </c>
      <c r="DB33" s="57">
        <v>13</v>
      </c>
      <c r="DC33" s="58">
        <v>13</v>
      </c>
      <c r="DD33" s="58">
        <v>13</v>
      </c>
      <c r="DE33" s="57">
        <v>13</v>
      </c>
      <c r="DF33" s="57">
        <v>13</v>
      </c>
      <c r="DG33" s="57">
        <v>13</v>
      </c>
      <c r="DH33" s="57">
        <v>13</v>
      </c>
      <c r="DI33" s="57">
        <v>13</v>
      </c>
      <c r="DJ33" s="58">
        <v>13</v>
      </c>
      <c r="DK33" s="58">
        <v>0</v>
      </c>
      <c r="DL33" s="57">
        <v>13</v>
      </c>
      <c r="DM33" s="57">
        <v>13</v>
      </c>
      <c r="DN33" s="57">
        <v>13</v>
      </c>
      <c r="DO33" s="57">
        <v>13</v>
      </c>
      <c r="DP33" s="57">
        <v>13</v>
      </c>
      <c r="DQ33" s="58">
        <v>13</v>
      </c>
      <c r="DR33" s="58">
        <v>13</v>
      </c>
      <c r="DS33" s="57">
        <v>13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71</v>
      </c>
    </row>
    <row r="34" ht="16" customHeight="1" spans="1:411" x14ac:dyDescent="0.25">
      <c r="A34" s="74"/>
      <c r="B34" s="46"/>
      <c r="C34" s="61">
        <f>F31*N(D34)</f>
        <v>51086.100000000006</v>
      </c>
      <c r="D34" s="61">
        <f>IF(TRIM(B31)="","No rate",IFERROR(INDEX('Rate Tables'!C$7:C$158,MATCH(B31,'Rate Tables'!A$7:A$158,0)),"No rate"))</f>
        <v>130.99</v>
      </c>
      <c r="E34" s="55" t="s">
        <v>62</v>
      </c>
      <c r="F34" s="49"/>
      <c r="G34" s="49"/>
      <c r="H34" s="49"/>
      <c r="I34" s="49"/>
      <c r="J34" s="50"/>
      <c r="K34" s="62">
        <f>IF(AND(K32=0,K33=0),0,MIN(IF(K32&lt;=0,0,IF(WEEKDAY(K$6,1)=1,0,MIN(10,K33)*K32)),MAX(0,40*MAX(1,K32)-(0))))</f>
        <v>0</v>
      </c>
      <c r="L34" s="63">
        <f>IF(AND(L32=0,L33=0),0,MIN(IF(L32&lt;=0,0,IF(WEEKDAY(L$6,1)=1,0,MIN(10,L33)*L32)),MAX(0,40*MAX(1,L32)-(K34))))</f>
        <v>0</v>
      </c>
      <c r="M34" s="63">
        <f>IF(AND(M32=0,M33=0),0,MIN(IF(M32&lt;=0,0,IF(WEEKDAY(M$6,1)=1,0,MIN(10,M33)*M32)),MAX(0,40*MAX(1,M32)-(K34+L34))))</f>
        <v>0</v>
      </c>
      <c r="N34" s="63">
        <f>IF(AND(N32=0,N33=0),0,MIN(IF(N32&lt;=0,0,IF(WEEKDAY(N$6,1)=1,0,MIN(10,N33)*N32)),MAX(0,40*MAX(1,N32)-(K34+L34+M34))))</f>
        <v>0</v>
      </c>
      <c r="O34" s="63">
        <f>IF(AND(O32=0,O33=0),0,MIN(IF(O32&lt;=0,0,IF(WEEKDAY(O$6,1)=1,0,MIN(10,O33)*O32)),MAX(0,40*MAX(1,O32)-(K34+L34+M34+N34))))</f>
        <v>0</v>
      </c>
      <c r="P34" s="64">
        <f>IF(AND(P32=0,P33=0),0,MIN(IF(P32&lt;=0,0,IF(WEEKDAY(P$6,1)=1,0,MIN(10,P33)*P32)),MAX(0,40*MAX(1,P32)-(K34+L34+M34+N34+O34))))</f>
        <v>0</v>
      </c>
      <c r="Q34" s="64">
        <f>IF(AND(Q32=0,Q33=0),0,MIN(IF(Q32&lt;=0,0,IF(WEEKDAY(Q$6,1)=1,0,MIN(10,Q33)*Q32)),MAX(0,40*MAX(1,Q32)-(K34+L34+M34+N34+O34+P34))))</f>
        <v>0</v>
      </c>
      <c r="R34" s="63">
        <f>IF(AND(R32=0,R33=0),0,MIN(IF(R32&lt;=0,0,IF(WEEKDAY(R$6,1)=1,0,MIN(10,R33)*R32)),MAX(0,40*MAX(1,R32)-(0))))</f>
        <v>0</v>
      </c>
      <c r="S34" s="63">
        <f>IF(AND(S32=0,S33=0),0,MIN(IF(S32&lt;=0,0,IF(WEEKDAY(S$6,1)=1,0,MIN(10,S33)*S32)),MAX(0,40*MAX(1,S32)-(R34))))</f>
        <v>0</v>
      </c>
      <c r="T34" s="63">
        <f>IF(AND(T32=0,T33=0),0,MIN(IF(T32&lt;=0,0,IF(WEEKDAY(T$6,1)=1,0,MIN(10,T33)*T32)),MAX(0,40*MAX(1,T32)-(R34+S34))))</f>
        <v>0</v>
      </c>
      <c r="U34" s="63">
        <f>IF(AND(U32=0,U33=0),0,MIN(IF(U32&lt;=0,0,IF(WEEKDAY(U$6,1)=1,0,MIN(10,U33)*U32)),MAX(0,40*MAX(1,U32)-(R34+S34+T34))))</f>
        <v>0</v>
      </c>
      <c r="V34" s="63">
        <f>IF(AND(V32=0,V33=0),0,MIN(IF(V32&lt;=0,0,IF(WEEKDAY(V$6,1)=1,0,MIN(10,V33)*V32)),MAX(0,40*MAX(1,V32)-(R34+S34+T34+U34))))</f>
        <v>0</v>
      </c>
      <c r="W34" s="64">
        <f>IF(AND(W32=0,W33=0),0,MIN(IF(W32&lt;=0,0,IF(WEEKDAY(W$6,1)=1,0,MIN(10,W33)*W32)),MAX(0,40*MAX(1,W32)-(R34+S34+T34+U34+V34))))</f>
        <v>0</v>
      </c>
      <c r="X34" s="64">
        <f>IF(AND(X32=0,X33=0),0,MIN(IF(X32&lt;=0,0,IF(WEEKDAY(X$6,1)=1,0,MIN(10,X33)*X32)),MAX(0,40*MAX(1,X32)-(R34+S34+T34+U34+V34+W34))))</f>
        <v>0</v>
      </c>
      <c r="Y34" s="63">
        <f>IF(AND(Y32=0,Y33=0),0,MIN(IF(Y32&lt;=0,0,IF(WEEKDAY(Y$6,1)=1,0,MIN(10,Y33)*Y32)),MAX(0,40*MAX(1,Y32)-(0))))</f>
        <v>0</v>
      </c>
      <c r="Z34" s="63">
        <f>IF(AND(Z32=0,Z33=0),0,MIN(IF(Z32&lt;=0,0,IF(WEEKDAY(Z$6,1)=1,0,MIN(10,Z33)*Z32)),MAX(0,40*MAX(1,Z32)-(Y34))))</f>
        <v>0</v>
      </c>
      <c r="AA34" s="63">
        <f>IF(AND(AA32=0,AA33=0),0,MIN(IF(AA32&lt;=0,0,IF(WEEKDAY(AA$6,1)=1,0,MIN(10,AA33)*AA32)),MAX(0,40*MAX(1,AA32)-(Y34+Z34))))</f>
        <v>0</v>
      </c>
      <c r="AB34" s="63">
        <f>IF(AND(AB32=0,AB33=0),0,MIN(IF(AB32&lt;=0,0,IF(WEEKDAY(AB$6,1)=1,0,MIN(10,AB33)*AB32)),MAX(0,40*MAX(1,AB32)-(Y34+Z34+AA34))))</f>
        <v>0</v>
      </c>
      <c r="AC34" s="63">
        <f>IF(AND(AC32=0,AC33=0),0,MIN(IF(AC32&lt;=0,0,IF(WEEKDAY(AC$6,1)=1,0,MIN(10,AC33)*AC32)),MAX(0,40*MAX(1,AC32)-(Y34+Z34+AA34+AB34))))</f>
        <v>0</v>
      </c>
      <c r="AD34" s="64">
        <f>IF(AND(AD32=0,AD33=0),0,MIN(IF(AD32&lt;=0,0,IF(WEEKDAY(AD$6,1)=1,0,MIN(10,AD33)*AD32)),MAX(0,40*MAX(1,AD32)-(Y34+Z34+AA34+AB34+AC34))))</f>
        <v>0</v>
      </c>
      <c r="AE34" s="64">
        <f>IF(AND(AE32=0,AE33=0),0,MIN(IF(AE32&lt;=0,0,IF(WEEKDAY(AE$6,1)=1,0,MIN(10,AE33)*AE32)),MAX(0,40*MAX(1,AE32)-(Y34+Z34+AA34+AB34+AC34+AD34))))</f>
        <v>0</v>
      </c>
      <c r="AF34" s="63">
        <f>IF(AND(AF32=0,AF33=0),0,MIN(IF(AF32&lt;=0,0,IF(WEEKDAY(AF$6,1)=1,0,MIN(10,AF33)*AF32)),MAX(0,40*MAX(1,AF32)-(0))))</f>
        <v>0</v>
      </c>
      <c r="AG34" s="63">
        <f>IF(AND(AG32=0,AG33=0),0,MIN(IF(AG32&lt;=0,0,IF(WEEKDAY(AG$6,1)=1,0,MIN(10,AG33)*AG32)),MAX(0,40*MAX(1,AG32)-(AF34))))</f>
        <v>0</v>
      </c>
      <c r="AH34" s="63">
        <f>IF(AND(AH32=0,AH33=0),0,MIN(IF(AH32&lt;=0,0,IF(WEEKDAY(AH$6,1)=1,0,MIN(10,AH33)*AH32)),MAX(0,40*MAX(1,AH32)-(AF34+AG34))))</f>
        <v>0</v>
      </c>
      <c r="AI34" s="63">
        <f>IF(AND(AI32=0,AI33=0),0,MIN(IF(AI32&lt;=0,0,IF(WEEKDAY(AI$6,1)=1,0,MIN(10,AI33)*AI32)),MAX(0,40*MAX(1,AI32)-(AF34+AG34+AH34))))</f>
        <v>0</v>
      </c>
      <c r="AJ34" s="63">
        <f>IF(AND(AJ32=0,AJ33=0),0,MIN(IF(AJ32&lt;=0,0,IF(WEEKDAY(AJ$6,1)=1,0,MIN(10,AJ33)*AJ32)),MAX(0,40*MAX(1,AJ32)-(AF34+AG34+AH34+AI34))))</f>
        <v>0</v>
      </c>
      <c r="AK34" s="64">
        <f>IF(AND(AK32=0,AK33=0),0,MIN(IF(AK32&lt;=0,0,IF(WEEKDAY(AK$6,1)=1,0,MIN(10,AK33)*AK32)),MAX(0,40*MAX(1,AK32)-(AF34+AG34+AH34+AI34+AJ34))))</f>
        <v>0</v>
      </c>
      <c r="AL34" s="64">
        <f>IF(AND(AL32=0,AL33=0),0,MIN(IF(AL32&lt;=0,0,IF(WEEKDAY(AL$6,1)=1,0,MIN(10,AL33)*AL32)),MAX(0,40*MAX(1,AL32)-(AF34+AG34+AH34+AI34+AJ34+AK34))))</f>
        <v>0</v>
      </c>
      <c r="AM34" s="63">
        <f>IF(AND(AM32=0,AM33=0),0,MIN(IF(AM32&lt;=0,0,IF(WEEKDAY(AM$6,1)=1,0,MIN(10,AM33)*AM32)),MAX(0,40*MAX(1,AM32)-(0))))</f>
        <v>0</v>
      </c>
      <c r="AN34" s="63">
        <f>IF(AND(AN32=0,AN33=0),0,MIN(IF(AN32&lt;=0,0,IF(WEEKDAY(AN$6,1)=1,0,MIN(10,AN33)*AN32)),MAX(0,40*MAX(1,AN32)-(AM34))))</f>
        <v>0</v>
      </c>
      <c r="AO34" s="63">
        <f>IF(AND(AO32=0,AO33=0),0,MIN(IF(AO32&lt;=0,0,IF(WEEKDAY(AO$6,1)=1,0,MIN(10,AO33)*AO32)),MAX(0,40*MAX(1,AO32)-(AM34+AN34))))</f>
        <v>0</v>
      </c>
      <c r="AP34" s="63">
        <f>IF(AND(AP32=0,AP33=0),0,MIN(IF(AP32&lt;=0,0,IF(WEEKDAY(AP$6,1)=1,0,MIN(10,AP33)*AP32)),MAX(0,40*MAX(1,AP32)-(AM34+AN34+AO34))))</f>
        <v>0</v>
      </c>
      <c r="AQ34" s="63">
        <f>IF(AND(AQ32=0,AQ33=0),0,MIN(IF(AQ32&lt;=0,0,IF(WEEKDAY(AQ$6,1)=1,0,MIN(10,AQ33)*AQ32)),MAX(0,40*MAX(1,AQ32)-(AM34+AN34+AO34+AP34))))</f>
        <v>0</v>
      </c>
      <c r="AR34" s="64">
        <f>IF(AND(AR32=0,AR33=0),0,MIN(IF(AR32&lt;=0,0,IF(WEEKDAY(AR$6,1)=1,0,MIN(10,AR33)*AR32)),MAX(0,40*MAX(1,AR32)-(AM34+AN34+AO34+AP34+AQ34))))</f>
        <v>0</v>
      </c>
      <c r="AS34" s="64">
        <f>IF(AND(AS32=0,AS33=0),0,MIN(IF(AS32&lt;=0,0,IF(WEEKDAY(AS$6,1)=1,0,MIN(10,AS33)*AS32)),MAX(0,40*MAX(1,AS32)-(AM34+AN34+AO34+AP34+AQ34+AR34))))</f>
        <v>0</v>
      </c>
      <c r="AT34" s="63">
        <f>IF(AND(AT32=0,AT33=0),0,MIN(IF(AT32&lt;=0,0,IF(WEEKDAY(AT$6,1)=1,0,MIN(10,AT33)*AT32)),MAX(0,40*MAX(1,AT32)-(0))))</f>
        <v>0</v>
      </c>
      <c r="AU34" s="63">
        <f>IF(AND(AU32=0,AU33=0),0,MIN(IF(AU32&lt;=0,0,IF(WEEKDAY(AU$6,1)=1,0,MIN(10,AU33)*AU32)),MAX(0,40*MAX(1,AU32)-(AT34))))</f>
        <v>0</v>
      </c>
      <c r="AV34" s="63">
        <f>IF(AND(AV32=0,AV33=0),0,MIN(IF(AV32&lt;=0,0,IF(WEEKDAY(AV$6,1)=1,0,MIN(10,AV33)*AV32)),MAX(0,40*MAX(1,AV32)-(AT34+AU34))))</f>
        <v>0</v>
      </c>
      <c r="AW34" s="63">
        <f>IF(AND(AW32=0,AW33=0),0,MIN(IF(AW32&lt;=0,0,IF(WEEKDAY(AW$6,1)=1,0,MIN(10,AW33)*AW32)),MAX(0,40*MAX(1,AW32)-(AT34+AU34+AV34))))</f>
        <v>0</v>
      </c>
      <c r="AX34" s="63">
        <f>IF(AND(AX32=0,AX33=0),0,MIN(IF(AX32&lt;=0,0,IF(WEEKDAY(AX$6,1)=1,0,MIN(10,AX33)*AX32)),MAX(0,40*MAX(1,AX32)-(AT34+AU34+AV34+AW34))))</f>
        <v>0</v>
      </c>
      <c r="AY34" s="64">
        <f>IF(AND(AY32=0,AY33=0),0,MIN(IF(AY32&lt;=0,0,IF(WEEKDAY(AY$6,1)=1,0,MIN(10,AY33)*AY32)),MAX(0,40*MAX(1,AY32)-(AT34+AU34+AV34+AW34+AX34))))</f>
        <v>0</v>
      </c>
      <c r="AZ34" s="64">
        <f>IF(AND(AZ32=0,AZ33=0),0,MIN(IF(AZ32&lt;=0,0,IF(WEEKDAY(AZ$6,1)=1,0,MIN(10,AZ33)*AZ32)),MAX(0,40*MAX(1,AZ32)-(AT34+AU34+AV34+AW34+AX34+AY34))))</f>
        <v>0</v>
      </c>
      <c r="BA34" s="63">
        <f>IF(AND(BA32=0,BA33=0),0,MIN(IF(BA32&lt;=0,0,IF(WEEKDAY(BA$6,1)=1,0,MIN(10,BA33)*BA32)),MAX(0,40*MAX(1,BA32)-(0))))</f>
        <v>0</v>
      </c>
      <c r="BB34" s="63">
        <f>IF(AND(BB32=0,BB33=0),0,MIN(IF(BB32&lt;=0,0,IF(WEEKDAY(BB$6,1)=1,0,MIN(10,BB33)*BB32)),MAX(0,40*MAX(1,BB32)-(BA34))))</f>
        <v>0</v>
      </c>
      <c r="BC34" s="63">
        <f>IF(AND(BC32=0,BC33=0),0,MIN(IF(BC32&lt;=0,0,IF(WEEKDAY(BC$6,1)=1,0,MIN(10,BC33)*BC32)),MAX(0,40*MAX(1,BC32)-(BA34+BB34))))</f>
        <v>0</v>
      </c>
      <c r="BD34" s="63">
        <f>IF(AND(BD32=0,BD33=0),0,MIN(IF(BD32&lt;=0,0,IF(WEEKDAY(BD$6,1)=1,0,MIN(10,BD33)*BD32)),MAX(0,40*MAX(1,BD32)-(BA34+BB34+BC34))))</f>
        <v>0</v>
      </c>
      <c r="BE34" s="63">
        <f>IF(AND(BE32=0,BE33=0),0,MIN(IF(BE32&lt;=0,0,IF(WEEKDAY(BE$6,1)=1,0,MIN(10,BE33)*BE32)),MAX(0,40*MAX(1,BE32)-(BA34+BB34+BC34+BD34))))</f>
        <v>0</v>
      </c>
      <c r="BF34" s="64">
        <f>IF(AND(BF32=0,BF33=0),0,MIN(IF(BF32&lt;=0,0,IF(WEEKDAY(BF$6,1)=1,0,MIN(10,BF33)*BF32)),MAX(0,40*MAX(1,BF32)-(BA34+BB34+BC34+BD34+BE34))))</f>
        <v>0</v>
      </c>
      <c r="BG34" s="64">
        <f>IF(AND(BG32=0,BG33=0),0,MIN(IF(BG32&lt;=0,0,IF(WEEKDAY(BG$6,1)=1,0,MIN(10,BG33)*BG32)),MAX(0,40*MAX(1,BG32)-(BA34+BB34+BC34+BD34+BE34+BF34))))</f>
        <v>0</v>
      </c>
      <c r="BH34" s="63">
        <f>IF(AND(BH32=1,BH33=13),10,MIN(IF(BH32&lt;=0,0,IF(WEEKDAY(BH$6,1)=1,0,MIN(10,BH33)*BH32)),MAX(0,40*MAX(1,BH32)-(0))))</f>
        <v>10</v>
      </c>
      <c r="BI34" s="63">
        <f>IF(AND(BI32=1,BI33=13),10,MIN(IF(BI32&lt;=0,0,IF(WEEKDAY(BI$6,1)=1,0,MIN(10,BI33)*BI32)),MAX(0,40*MAX(1,BI32)-(BH34))))</f>
        <v>10</v>
      </c>
      <c r="BJ34" s="63">
        <f>IF(AND(BJ32=1,BJ33=13),10,MIN(IF(BJ32&lt;=0,0,IF(WEEKDAY(BJ$6,1)=1,0,MIN(10,BJ33)*BJ32)),MAX(0,40*MAX(1,BJ32)-(BH34+BI34))))</f>
        <v>10</v>
      </c>
      <c r="BK34" s="63">
        <f>IF(AND(BK32=1,BK33=13),10,MIN(IF(BK32&lt;=0,0,IF(WEEKDAY(BK$6,1)=1,0,MIN(10,BK33)*BK32)),MAX(0,40*MAX(1,BK32)-(BH34+BI34+BJ34))))</f>
        <v>10</v>
      </c>
      <c r="BL34" s="63">
        <f>IF(AND(BL32=1,BL33=13),0,MIN(IF(BL32&lt;=0,0,IF(WEEKDAY(BL$6,1)=1,0,MIN(10,BL33)*BL32)),MAX(0,40*MAX(1,BL32)-(BH34+BI34+BJ34+BK34))))</f>
        <v>0</v>
      </c>
      <c r="BM34" s="64">
        <f>IF(AND(BM32=1,BM33=13),0,MIN(IF(BM32&lt;=0,0,IF(WEEKDAY(BM$6,1)=1,0,MIN(10,BM33)*BM32)),MAX(0,40*MAX(1,BM32)-(BH34+BI34+BJ34+BK34+BL34))))</f>
        <v>0</v>
      </c>
      <c r="BN34" s="64">
        <f>IF(AND(BN32=1,BN33=13),0,MIN(IF(BN32&lt;=0,0,IF(WEEKDAY(BN$6,1)=1,0,MIN(10,BN33)*BN32)),MAX(0,40*MAX(1,BN32)-(BH34+BI34+BJ34+BK34+BL34+BM34))))</f>
        <v>0</v>
      </c>
      <c r="BO34" s="63">
        <f>IF(AND(BO32=1,BO33=13),10,MIN(IF(BO32&lt;=0,0,IF(WEEKDAY(BO$6,1)=1,0,MIN(10,BO33)*BO32)),MAX(0,40*MAX(1,BO32)-(0))))</f>
        <v>10</v>
      </c>
      <c r="BP34" s="63">
        <f>IF(AND(BP32=1,BP33=13),10,MIN(IF(BP32&lt;=0,0,IF(WEEKDAY(BP$6,1)=1,0,MIN(10,BP33)*BP32)),MAX(0,40*MAX(1,BP32)-(BO34))))</f>
        <v>10</v>
      </c>
      <c r="BQ34" s="63">
        <f>IF(AND(BQ32=1,BQ33=13),10,MIN(IF(BQ32&lt;=0,0,IF(WEEKDAY(BQ$6,1)=1,0,MIN(10,BQ33)*BQ32)),MAX(0,40*MAX(1,BQ32)-(BO34+BP34))))</f>
        <v>10</v>
      </c>
      <c r="BR34" s="63">
        <f>IF(AND(BR32=1,BR33=13),10,MIN(IF(BR32&lt;=0,0,IF(WEEKDAY(BR$6,1)=1,0,MIN(10,BR33)*BR32)),MAX(0,40*MAX(1,BR32)-(0))))</f>
        <v>10</v>
      </c>
      <c r="BS34" s="63">
        <f>IF(AND(BS32=1,BS33=13),10,MIN(IF(BS32&lt;=0,0,IF(WEEKDAY(BS$6,1)=1,0,MIN(10,BS33)*BS32)),MAX(0,40*MAX(1,BS32)-(BR34))))</f>
        <v>10</v>
      </c>
      <c r="BT34" s="64">
        <f>IF(AND(BT32=1,BT33=13),10,MIN(IF(BT32&lt;=0,0,IF(WEEKDAY(BT$6,1)=1,0,MIN(10,BT33)*BT32)),MAX(0,40*MAX(1,BT32)-(BR34+BS34))))</f>
        <v>10</v>
      </c>
      <c r="BU34" s="64">
        <f>IF(AND(BU32=1,BU33=13),0,MIN(IF(BU32&lt;=0,0,IF(WEEKDAY(BU$6,1)=1,0,MIN(10,BU33)*BU32)),MAX(0,40*MAX(1,BU32)-(BR34+BS34+BT34))))</f>
        <v>0</v>
      </c>
      <c r="BV34" s="63">
        <f>IF(AND(BV32=1,BV33=13),10,MIN(IF(BV32&lt;=0,0,IF(WEEKDAY(BV$6,1)=1,0,MIN(10,BV33)*BV32)),MAX(0,40*MAX(1,BV32)-(0))))</f>
        <v>10</v>
      </c>
      <c r="BW34" s="63">
        <f>IF(AND(BW32=1,BW33=13),10,MIN(IF(BW32&lt;=0,0,IF(WEEKDAY(BW$6,1)=1,0,MIN(10,BW33)*BW32)),MAX(0,40*MAX(1,BW32)-(BV34))))</f>
        <v>10</v>
      </c>
      <c r="BX34" s="63">
        <f>IF(AND(BX32=1,BX33=13),10,MIN(IF(BX32&lt;=0,0,IF(WEEKDAY(BX$6,1)=1,0,MIN(10,BX33)*BX32)),MAX(0,40*MAX(1,BX32)-(BV34+BW34))))</f>
        <v>10</v>
      </c>
      <c r="BY34" s="63">
        <f>IF(AND(BY32=1,BY33=13),10,MIN(IF(BY32&lt;=0,0,IF(WEEKDAY(BY$6,1)=1,0,MIN(10,BY33)*BY32)),MAX(0,40*MAX(1,BY32)-(BV34+BW34+BX34))))</f>
        <v>10</v>
      </c>
      <c r="BZ34" s="63">
        <f>IF(AND(BZ32=1,BZ33=13),0,MIN(IF(BZ32&lt;=0,0,IF(WEEKDAY(BZ$6,1)=1,0,MIN(10,BZ33)*BZ32)),MAX(0,40*MAX(1,BZ32)-(BV34+BW34+BX34+BY34))))</f>
        <v>0</v>
      </c>
      <c r="CA34" s="64">
        <f>IF(AND(CA32=1,CA33=13),0,MIN(IF(CA32&lt;=0,0,IF(WEEKDAY(CA$6,1)=1,0,MIN(10,CA33)*CA32)),MAX(0,40*MAX(1,CA32)-(BV34+BW34+BX34+BY34+BZ34))))</f>
        <v>0</v>
      </c>
      <c r="CB34" s="64">
        <f>IF(AND(CB32=0,CB33=0),0,MIN(IF(CB32&lt;=0,0,IF(WEEKDAY(CB$6,1)=1,0,MIN(10,CB33)*CB32)),MAX(0,40*MAX(1,CB32)-(0))))</f>
        <v>0</v>
      </c>
      <c r="CC34" s="63">
        <f>IF(AND(CC32=1,CC33=13),10,MIN(IF(CC32&lt;=0,0,IF(WEEKDAY(CC$6,1)=1,0,MIN(10,CC33)*CC32)),MAX(0,40*MAX(1,CC32)-(0))))</f>
        <v>10</v>
      </c>
      <c r="CD34" s="63">
        <f>IF(AND(CD32=1,CD33=13),10,MIN(IF(CD32&lt;=0,0,IF(WEEKDAY(CD$6,1)=1,0,MIN(10,CD33)*CD32)),MAX(0,40*MAX(1,CD32)-(CC34))))</f>
        <v>10</v>
      </c>
      <c r="CE34" s="63">
        <f>IF(AND(CE32=1,CE33=13),10,MIN(IF(CE32&lt;=0,0,IF(WEEKDAY(CE$6,1)=1,0,MIN(10,CE33)*CE32)),MAX(0,40*MAX(1,CE32)-(CC34+CD34))))</f>
        <v>10</v>
      </c>
      <c r="CF34" s="63">
        <f>IF(AND(CF32=1,CF33=13),10,MIN(IF(CF32&lt;=0,0,IF(WEEKDAY(CF$6,1)=1,0,MIN(10,CF33)*CF32)),MAX(0,40*MAX(1,CF32)-(CC34+CD34+CE34))))</f>
        <v>10</v>
      </c>
      <c r="CG34" s="63">
        <f>IF(AND(CG32=1,CG33=13),0,MIN(IF(CG32&lt;=0,0,IF(WEEKDAY(CG$6,1)=1,0,MIN(10,CG33)*CG32)),MAX(0,40*MAX(1,CG32)-(CC34+CD34+CE34+CF34))))</f>
        <v>0</v>
      </c>
      <c r="CH34" s="64">
        <f>IF(AND(CH32=1,CH33=13),0,MIN(IF(CH32&lt;=0,0,IF(WEEKDAY(CH$6,1)=1,0,MIN(10,CH33)*CH32)),MAX(0,40*MAX(1,CH32)-(CC34+CD34+CE34+CF34+CG34))))</f>
        <v>0</v>
      </c>
      <c r="CI34" s="64">
        <f>IF(AND(CI32=1,CI33=13),0,MIN(IF(CI32&lt;=0,0,IF(WEEKDAY(CI$6,1)=1,0,MIN(10,CI33)*CI32)),MAX(0,40*MAX(1,CI32)-(CC34+CD34+CE34+CF34+CG34+CH34))))</f>
        <v>0</v>
      </c>
      <c r="CJ34" s="63">
        <f>IF(AND(CJ32=1,CJ33=13),10,MIN(IF(CJ32&lt;=0,0,IF(WEEKDAY(CJ$6,1)=1,0,MIN(10,CJ33)*CJ32)),MAX(0,40*MAX(1,CJ32)-(0))))</f>
        <v>10</v>
      </c>
      <c r="CK34" s="63">
        <f>IF(AND(CK32=1,CK33=13),10,MIN(IF(CK32&lt;=0,0,IF(WEEKDAY(CK$6,1)=1,0,MIN(10,CK33)*CK32)),MAX(0,40*MAX(1,CK32)-(CJ34))))</f>
        <v>10</v>
      </c>
      <c r="CL34" s="63">
        <f>IF(AND(CL32=1,CL33=13),10,MIN(IF(CL32&lt;=0,0,IF(WEEKDAY(CL$6,1)=1,0,MIN(10,CL33)*CL32)),MAX(0,40*MAX(1,CL32)-(CJ34+CK34))))</f>
        <v>10</v>
      </c>
      <c r="CM34" s="63">
        <f>IF(AND(CM32=1,CM33=13),10,MIN(IF(CM32&lt;=0,0,IF(WEEKDAY(CM$6,1)=1,0,MIN(10,CM33)*CM32)),MAX(0,40*MAX(1,CM32)-(CJ34+CK34+CL34))))</f>
        <v>10</v>
      </c>
      <c r="CN34" s="63">
        <f>IF(AND(CN32=1,CN33=13),0,MIN(IF(CN32&lt;=0,0,IF(WEEKDAY(CN$6,1)=1,0,MIN(10,CN33)*CN32)),MAX(0,40*MAX(1,CN32)-(CJ34+CK34+CL34+CM34))))</f>
        <v>0</v>
      </c>
      <c r="CO34" s="64">
        <f>IF(AND(CO32=1,CO33=13),0,MIN(IF(CO32&lt;=0,0,IF(WEEKDAY(CO$6,1)=1,0,MIN(10,CO33)*CO32)),MAX(0,40*MAX(1,CO32)-(CJ34+CK34+CL34+CM34+CN34))))</f>
        <v>0</v>
      </c>
      <c r="CP34" s="64">
        <f>IF(AND(CP32=0,CP33=0),0,MIN(IF(CP32&lt;=0,0,IF(WEEKDAY(CP$6,1)=1,0,MIN(10,CP33)*CP32)),MAX(0,40*MAX(1,CP32)-(0))))</f>
        <v>0</v>
      </c>
      <c r="CQ34" s="63">
        <f>IF(AND(CQ32=1,CQ33=13),10,MIN(IF(CQ32&lt;=0,0,IF(WEEKDAY(CQ$6,1)=1,0,MIN(10,CQ33)*CQ32)),MAX(0,40*MAX(1,CQ32)-(0))))</f>
        <v>10</v>
      </c>
      <c r="CR34" s="63">
        <f>IF(AND(CR32=1,CR33=13),10,MIN(IF(CR32&lt;=0,0,IF(WEEKDAY(CR$6,1)=1,0,MIN(10,CR33)*CR32)),MAX(0,40*MAX(1,CR32)-(CQ34))))</f>
        <v>10</v>
      </c>
      <c r="CS34" s="63">
        <f>IF(AND(CS32=1,CS33=13),10,MIN(IF(CS32&lt;=0,0,IF(WEEKDAY(CS$6,1)=1,0,MIN(10,CS33)*CS32)),MAX(0,40*MAX(1,CS32)-(CQ34+CR34))))</f>
        <v>10</v>
      </c>
      <c r="CT34" s="63">
        <f>IF(AND(CT32=1,CT33=13),10,MIN(IF(CT32&lt;=0,0,IF(WEEKDAY(CT$6,1)=1,0,MIN(10,CT33)*CT32)),MAX(0,40*MAX(1,CT32)-(CQ34+CR34+CS34))))</f>
        <v>10</v>
      </c>
      <c r="CU34" s="63">
        <f>IF(AND(CU32=1,CU33=13),0,MIN(IF(CU32&lt;=0,0,IF(WEEKDAY(CU$6,1)=1,0,MIN(10,CU33)*CU32)),MAX(0,40*MAX(1,CU32)-(CQ34+CR34+CS34+CT34))))</f>
        <v>0</v>
      </c>
      <c r="CV34" s="64">
        <f>IF(AND(CV32=1,CV33=13),0,MIN(IF(CV32&lt;=0,0,IF(WEEKDAY(CV$6,1)=1,0,MIN(10,CV33)*CV32)),MAX(0,40*MAX(1,CV32)-(CQ34+CR34+CS34+CT34+CU34))))</f>
        <v>0</v>
      </c>
      <c r="CW34" s="64">
        <f>IF(AND(CW32=1,CW33=13),0,MIN(IF(CW32&lt;=0,0,IF(WEEKDAY(CW$6,1)=1,0,MIN(10,CW33)*CW32)),MAX(0,40*MAX(1,CW32)-(CQ34+CR34+CS34+CT34+CU34+CV34))))</f>
        <v>0</v>
      </c>
      <c r="CX34" s="63">
        <f>IF(AND(CX32=1,CX33=13),10,MIN(IF(CX32&lt;=0,0,IF(WEEKDAY(CX$6,1)=1,0,MIN(10,CX33)*CX32)),MAX(0,40*MAX(1,CX32)-(0))))</f>
        <v>10</v>
      </c>
      <c r="CY34" s="63">
        <f>IF(AND(CY32=1,CY33=13),10,MIN(IF(CY32&lt;=0,0,IF(WEEKDAY(CY$6,1)=1,0,MIN(10,CY33)*CY32)),MAX(0,40*MAX(1,CY32)-(CX34))))</f>
        <v>10</v>
      </c>
      <c r="CZ34" s="63">
        <f>IF(AND(CZ32=1,CZ33=13),10,MIN(IF(CZ32&lt;=0,0,IF(WEEKDAY(CZ$6,1)=1,0,MIN(10,CZ33)*CZ32)),MAX(0,40*MAX(1,CZ32)-(CX34+CY34))))</f>
        <v>10</v>
      </c>
      <c r="DA34" s="63">
        <f>IF(AND(DA32=1,DA33=13),10,MIN(IF(DA32&lt;=0,0,IF(WEEKDAY(DA$6,1)=1,0,MIN(10,DA33)*DA32)),MAX(0,40*MAX(1,DA32)-(CX34+CY34+CZ34))))</f>
        <v>10</v>
      </c>
      <c r="DB34" s="63">
        <f>IF(AND(DB32=1,DB33=13),0,MIN(IF(DB32&lt;=0,0,IF(WEEKDAY(DB$6,1)=1,0,MIN(10,DB33)*DB32)),MAX(0,40*MAX(1,DB32)-(CX34+CY34+CZ34+DA34))))</f>
        <v>0</v>
      </c>
      <c r="DC34" s="64">
        <f>IF(AND(DC32=1,DC33=13),0,MIN(IF(DC32&lt;=0,0,IF(WEEKDAY(DC$6,1)=1,0,MIN(10,DC33)*DC32)),MAX(0,40*MAX(1,DC32)-(CX34+CY34+CZ34+DA34+DB34))))</f>
        <v>0</v>
      </c>
      <c r="DD34" s="64">
        <f>IF(AND(DD32=1,DD33=13),0,MIN(IF(DD32&lt;=0,0,IF(WEEKDAY(DD$6,1)=1,0,MIN(10,DD33)*DD32)),MAX(0,40*MAX(1,DD32)-(0))))</f>
        <v>0</v>
      </c>
      <c r="DE34" s="63">
        <f>IF(AND(DE32=1,DE33=13),10,MIN(IF(DE32&lt;=0,0,IF(WEEKDAY(DE$6,1)=1,0,MIN(10,DE33)*DE32)),MAX(0,40*MAX(1,DE32)-(0))))</f>
        <v>10</v>
      </c>
      <c r="DF34" s="63">
        <f>IF(AND(DF32=1,DF33=13),10,MIN(IF(DF32&lt;=0,0,IF(WEEKDAY(DF$6,1)=1,0,MIN(10,DF33)*DF32)),MAX(0,40*MAX(1,DF32)-(DE34))))</f>
        <v>10</v>
      </c>
      <c r="DG34" s="63">
        <f>IF(AND(DG32=1,DG33=13),10,MIN(IF(DG32&lt;=0,0,IF(WEEKDAY(DG$6,1)=1,0,MIN(10,DG33)*DG32)),MAX(0,40*MAX(1,DG32)-(DE34+DF34))))</f>
        <v>10</v>
      </c>
      <c r="DH34" s="63">
        <f>IF(AND(DH32=1,DH33=13),10,MIN(IF(DH32&lt;=0,0,IF(WEEKDAY(DH$6,1)=1,0,MIN(10,DH33)*DH32)),MAX(0,40*MAX(1,DH32)-(DE34+DF34+DG34))))</f>
        <v>10</v>
      </c>
      <c r="DI34" s="63">
        <f>IF(AND(DI32=1,DI33=13),0,MIN(IF(DI32&lt;=0,0,IF(WEEKDAY(DI$6,1)=1,0,MIN(10,DI33)*DI32)),MAX(0,40*MAX(1,DI32)-(DE34+DF34+DG34+DH34))))</f>
        <v>0</v>
      </c>
      <c r="DJ34" s="64">
        <f>IF(AND(DJ32=1,DJ33=13),0,MIN(IF(DJ32&lt;=0,0,IF(WEEKDAY(DJ$6,1)=1,0,MIN(10,DJ33)*DJ32)),MAX(0,40*MAX(1,DJ32)-(DE34+DF34+DG34+DH34+DI34))))</f>
        <v>0</v>
      </c>
      <c r="DK34" s="64">
        <f>IF(AND(DK32=0,DK33=0),0,MIN(IF(DK32&lt;=0,0,IF(WEEKDAY(DK$6,1)=1,0,MIN(10,DK33)*DK32)),MAX(0,40*MAX(1,DK32)-(0))))</f>
        <v>0</v>
      </c>
      <c r="DL34" s="63">
        <f>IF(AND(DL32=1,DL33=13),10,MIN(IF(DL32&lt;=0,0,IF(WEEKDAY(DL$6,1)=1,0,MIN(10,DL33)*DL32)),MAX(0,40*MAX(1,DL32)-(0))))</f>
        <v>10</v>
      </c>
      <c r="DM34" s="63">
        <f>IF(AND(DM32=1,DM33=13),10,MIN(IF(DM32&lt;=0,0,IF(WEEKDAY(DM$6,1)=1,0,MIN(10,DM33)*DM32)),MAX(0,40*MAX(1,DM32)-(DL34))))</f>
        <v>10</v>
      </c>
      <c r="DN34" s="63">
        <f>IF(AND(DN32=1,DN33=13),10,MIN(IF(DN32&lt;=0,0,IF(WEEKDAY(DN$6,1)=1,0,MIN(10,DN33)*DN32)),MAX(0,40*MAX(1,DN32)-(DL34+DM34))))</f>
        <v>10</v>
      </c>
      <c r="DO34" s="63">
        <f>IF(AND(DO32=1,DO33=13),10,MIN(IF(DO32&lt;=0,0,IF(WEEKDAY(DO$6,1)=1,0,MIN(10,DO33)*DO32)),MAX(0,40*MAX(1,DO32)-(DL34+DM34+DN34))))</f>
        <v>10</v>
      </c>
      <c r="DP34" s="63">
        <f>IF(AND(DP32=1,DP33=13),0,MIN(IF(DP32&lt;=0,0,IF(WEEKDAY(DP$6,1)=1,0,MIN(10,DP33)*DP32)),MAX(0,40*MAX(1,DP32)-(DL34+DM34+DN34+DO34))))</f>
        <v>0</v>
      </c>
      <c r="DQ34" s="64">
        <f>IF(AND(DQ32=1,DQ33=13),0,MIN(IF(DQ32&lt;=0,0,IF(WEEKDAY(DQ$6,1)=1,0,MIN(10,DQ33)*DQ32)),MAX(0,40*MAX(1,DQ32)-(DL34+DM34+DN34+DO34+DP34))))</f>
        <v>0</v>
      </c>
      <c r="DR34" s="64">
        <f>IF(AND(DR32=1,DR33=13),0,MIN(IF(DR32&lt;=0,0,IF(WEEKDAY(DR$6,1)=1,0,MIN(10,DR33)*DR32)),MAX(0,40*MAX(1,DR32)-(DL34+DM34+DN34+DO34+DP34+DQ34))))</f>
        <v>0</v>
      </c>
      <c r="DS34" s="63">
        <f>IF(AND(DS32=1,DS33=13),10,MIN(IF(DS32&lt;=0,0,IF(WEEKDAY(DS$6,1)=1,0,MIN(10,DS33)*DS32)),MAX(0,40*MAX(1,DS32)-(0))))</f>
        <v>10</v>
      </c>
      <c r="DT34" s="63">
        <f>IF(AND(DT32=0,DT33=0),0,MIN(IF(DT32&lt;=0,0,IF(WEEKDAY(DT$6,1)=1,0,MIN(10,DT33)*DT32)),MAX(0,40*MAX(1,DT32)-(0))))</f>
        <v>0</v>
      </c>
      <c r="DU34" s="63">
        <f>IF(AND(DU32=0,DU33=0),0,MIN(IF(DU32&lt;=0,0,IF(WEEKDAY(DU$6,1)=1,0,MIN(10,DU33)*DU32)),MAX(0,40*MAX(1,DU32)-(DT34))))</f>
        <v>0</v>
      </c>
      <c r="DV34" s="63">
        <f>IF(AND(DV32=0,DV33=0),0,MIN(IF(DV32&lt;=0,0,IF(WEEKDAY(DV$6,1)=1,0,MIN(10,DV33)*DV32)),MAX(0,40*MAX(1,DV32)-(DT34+DU34))))</f>
        <v>0</v>
      </c>
      <c r="DW34" s="63">
        <f>IF(AND(DW32=0,DW33=0),0,MIN(IF(DW32&lt;=0,0,IF(WEEKDAY(DW$6,1)=1,0,MIN(10,DW33)*DW32)),MAX(0,40*MAX(1,DW32)-(DT34+DU34+DV34))))</f>
        <v>0</v>
      </c>
      <c r="DX34" s="64">
        <f>IF(AND(DX32=0,DX33=0),0,MIN(IF(DX32&lt;=0,0,IF(WEEKDAY(DX$6,1)=1,0,MIN(10,DX33)*DX32)),MAX(0,40*MAX(1,DX32)-(DT34+DU34+DV34+DW34))))</f>
        <v>0</v>
      </c>
      <c r="DY34" s="64">
        <f>IF(AND(DY32=0,DY33=0),0,MIN(IF(DY32&lt;=0,0,IF(WEEKDAY(DY$6,1)=1,0,MIN(10,DY33)*DY32)),MAX(0,40*MAX(1,DY32)-(DT34+DU34+DV34+DW34+DX34))))</f>
        <v>0</v>
      </c>
      <c r="DZ34" s="63">
        <f>IF(AND(DZ32=0,DZ33=0),0,MIN(IF(DZ32&lt;=0,0,IF(WEEKDAY(DZ$6,1)=1,0,MIN(10,DZ33)*DZ32)),MAX(0,40*MAX(1,DZ32)-(0))))</f>
        <v>0</v>
      </c>
      <c r="EA34" s="63">
        <f>IF(AND(EA32=0,EA33=0),0,MIN(IF(EA32&lt;=0,0,IF(WEEKDAY(EA$6,1)=1,0,MIN(10,EA33)*EA32)),MAX(0,40*MAX(1,EA32)-(DZ34))))</f>
        <v>0</v>
      </c>
      <c r="EB34" s="63">
        <f>IF(AND(EB32=0,EB33=0),0,MIN(IF(EB32&lt;=0,0,IF(WEEKDAY(EB$6,1)=1,0,MIN(10,EB33)*EB32)),MAX(0,40*MAX(1,EB32)-(DZ34+EA34))))</f>
        <v>0</v>
      </c>
      <c r="EC34" s="63">
        <f>IF(AND(EC32=0,EC33=0),0,MIN(IF(EC32&lt;=0,0,IF(WEEKDAY(EC$6,1)=1,0,MIN(10,EC33)*EC32)),MAX(0,40*MAX(1,EC32)-(DZ34+EA34+EB34))))</f>
        <v>0</v>
      </c>
      <c r="ED34" s="63">
        <f>IF(AND(ED32=0,ED33=0),0,MIN(IF(ED32&lt;=0,0,IF(WEEKDAY(ED$6,1)=1,0,MIN(10,ED33)*ED32)),MAX(0,40*MAX(1,ED32)-(DZ34+EA34+EB34+EC34))))</f>
        <v>0</v>
      </c>
      <c r="EE34" s="64">
        <f>IF(AND(EE32=0,EE33=0),0,MIN(IF(EE32&lt;=0,0,IF(WEEKDAY(EE$6,1)=1,0,MIN(10,EE33)*EE32)),MAX(0,40*MAX(1,EE32)-(DZ34+EA34+EB34+EC34+ED34))))</f>
        <v>0</v>
      </c>
      <c r="EF34" s="64">
        <f>IF(AND(EF32=0,EF33=0),0,MIN(IF(EF32&lt;=0,0,IF(WEEKDAY(EF$6,1)=1,0,MIN(10,EF33)*EF32)),MAX(0,40*MAX(1,EF32)-(DZ34+EA34+EB34+EC34+ED34+EE34))))</f>
        <v>0</v>
      </c>
      <c r="EG34" s="63">
        <f>IF(AND(EG32=0,EG33=0),0,MIN(IF(EG32&lt;=0,0,IF(WEEKDAY(EG$6,1)=1,0,MIN(10,EG33)*EG32)),MAX(0,40*MAX(1,EG32)-(0))))</f>
        <v>0</v>
      </c>
      <c r="EH34" s="63">
        <f>IF(AND(EH32=0,EH33=0),0,MIN(IF(EH32&lt;=0,0,IF(WEEKDAY(EH$6,1)=1,0,MIN(10,EH33)*EH32)),MAX(0,40*MAX(1,EH32)-(EG34))))</f>
        <v>0</v>
      </c>
      <c r="EI34" s="63">
        <f>IF(AND(EI32=0,EI33=0),0,MIN(IF(EI32&lt;=0,0,IF(WEEKDAY(EI$6,1)=1,0,MIN(10,EI33)*EI32)),MAX(0,40*MAX(1,EI32)-(EG34+EH34))))</f>
        <v>0</v>
      </c>
      <c r="EJ34" s="63">
        <f>IF(AND(EJ32=0,EJ33=0),0,MIN(IF(EJ32&lt;=0,0,IF(WEEKDAY(EJ$6,1)=1,0,MIN(10,EJ33)*EJ32)),MAX(0,40*MAX(1,EJ32)-(EG34+EH34+EI34))))</f>
        <v>0</v>
      </c>
      <c r="EK34" s="65">
        <f>IF(AND(EK32=0,EK33=0),0,MIN(IF(EK32&lt;=0,0,IF(WEEKDAY(EK$6,1)=1,0,MIN(10,EK33)*EK32)),MAX(0,40*MAX(1,EK32)-(EG34+EH34+EI34+EJ34))))</f>
        <v>0</v>
      </c>
      <c r="OU34" s="28" t="s">
        <v>71</v>
      </c>
    </row>
    <row r="35" ht="16" customHeight="1" spans="1:411" x14ac:dyDescent="0.25">
      <c r="A35" s="74"/>
      <c r="B35" s="46"/>
      <c r="C35" s="66">
        <f>G31*N(D35)</f>
        <v>60118.5</v>
      </c>
      <c r="D35" s="66">
        <f>IF(TRIM(B31)="","No rate",IFERROR(INDEX('Rate Tables'!D$7:D$158,MATCH(B31,'Rate Tables'!A$7:A$158,0)),"No rate"))</f>
        <v>184.98</v>
      </c>
      <c r="E35" s="55" t="s">
        <v>63</v>
      </c>
      <c r="F35" s="49"/>
      <c r="G35" s="49"/>
      <c r="H35" s="49"/>
      <c r="I35" s="49"/>
      <c r="J35" s="50"/>
      <c r="K35" s="62">
        <f>IF(AND(K32=0,K33=0),0,IF(K32&lt;=0,0,IF(WEEKDAY(K$6,1)=1,0,MAX(0,K33-10)*K32))+((IF(K32&lt;=0,0,IF(WEEKDAY(K$6,1)=1,0,MIN(10,K33)*K32)))-MIN(IF(K32&lt;=0,0,IF(WEEKDAY(K$6,1)=1,0,MIN(10,K33)*K32)),MAX(0,40*MAX(1,K32)-(0)))))</f>
        <v>0</v>
      </c>
      <c r="L35" s="63">
        <f>IF(AND(L32=0,L33=0),0,IF(L32&lt;=0,0,IF(WEEKDAY(L$6,1)=1,0,MAX(0,L33-10)*L32))+((IF(L32&lt;=0,0,IF(WEEKDAY(L$6,1)=1,0,MIN(10,L33)*L32)))-MIN(IF(L32&lt;=0,0,IF(WEEKDAY(L$6,1)=1,0,MIN(10,L33)*L32)),MAX(0,40*MAX(1,L32)-(K34)))))</f>
        <v>0</v>
      </c>
      <c r="M35" s="63">
        <f>IF(AND(M32=0,M33=0),0,IF(M32&lt;=0,0,IF(WEEKDAY(M$6,1)=1,0,MAX(0,M33-10)*M32))+((IF(M32&lt;=0,0,IF(WEEKDAY(M$6,1)=1,0,MIN(10,M33)*M32)))-MIN(IF(M32&lt;=0,0,IF(WEEKDAY(M$6,1)=1,0,MIN(10,M33)*M32)),MAX(0,40*MAX(1,M32)-(K34+L34)))))</f>
        <v>0</v>
      </c>
      <c r="N35" s="63">
        <f>IF(AND(N32=0,N33=0),0,IF(N32&lt;=0,0,IF(WEEKDAY(N$6,1)=1,0,MAX(0,N33-10)*N32))+((IF(N32&lt;=0,0,IF(WEEKDAY(N$6,1)=1,0,MIN(10,N33)*N32)))-MIN(IF(N32&lt;=0,0,IF(WEEKDAY(N$6,1)=1,0,MIN(10,N33)*N32)),MAX(0,40*MAX(1,N32)-(K34+L34+M34)))))</f>
        <v>0</v>
      </c>
      <c r="O35" s="63">
        <f>IF(AND(O32=0,O33=0),0,IF(O32&lt;=0,0,IF(WEEKDAY(O$6,1)=1,0,MAX(0,O33-10)*O32))+((IF(O32&lt;=0,0,IF(WEEKDAY(O$6,1)=1,0,MIN(10,O33)*O32)))-MIN(IF(O32&lt;=0,0,IF(WEEKDAY(O$6,1)=1,0,MIN(10,O33)*O32)),MAX(0,40*MAX(1,O32)-(K34+L34+M34+N34)))))</f>
        <v>0</v>
      </c>
      <c r="P35" s="64">
        <f>IF(AND(P32=0,P33=0),0,IF(P32&lt;=0,0,IF(WEEKDAY(P$6,1)=1,0,MAX(0,P33-10)*P32))+((IF(P32&lt;=0,0,IF(WEEKDAY(P$6,1)=1,0,MIN(10,P33)*P32)))-MIN(IF(P32&lt;=0,0,IF(WEEKDAY(P$6,1)=1,0,MIN(10,P33)*P32)),MAX(0,40*MAX(1,P32)-(K34+L34+M34+N34+O34)))))</f>
        <v>0</v>
      </c>
      <c r="Q35" s="64">
        <f>IF(AND(Q32=0,Q33=0),0,IF(Q32&lt;=0,0,IF(WEEKDAY(Q$6,1)=1,0,MAX(0,Q33-10)*Q32))+((IF(Q32&lt;=0,0,IF(WEEKDAY(Q$6,1)=1,0,MIN(10,Q33)*Q32)))-MIN(IF(Q32&lt;=0,0,IF(WEEKDAY(Q$6,1)=1,0,MIN(10,Q33)*Q32)),MAX(0,40*MAX(1,Q32)-(K34+L34+M34+N34+O34+P34)))))</f>
        <v>0</v>
      </c>
      <c r="R35" s="63">
        <f>IF(AND(R32=0,R33=0),0,IF(R32&lt;=0,0,IF(WEEKDAY(R$6,1)=1,0,MAX(0,R33-10)*R32))+((IF(R32&lt;=0,0,IF(WEEKDAY(R$6,1)=1,0,MIN(10,R33)*R32)))-MIN(IF(R32&lt;=0,0,IF(WEEKDAY(R$6,1)=1,0,MIN(10,R33)*R32)),MAX(0,40*MAX(1,R32)-(0)))))</f>
        <v>0</v>
      </c>
      <c r="S35" s="63">
        <f>IF(AND(S32=0,S33=0),0,IF(S32&lt;=0,0,IF(WEEKDAY(S$6,1)=1,0,MAX(0,S33-10)*S32))+((IF(S32&lt;=0,0,IF(WEEKDAY(S$6,1)=1,0,MIN(10,S33)*S32)))-MIN(IF(S32&lt;=0,0,IF(WEEKDAY(S$6,1)=1,0,MIN(10,S33)*S32)),MAX(0,40*MAX(1,S32)-(R34)))))</f>
        <v>0</v>
      </c>
      <c r="T35" s="63">
        <f>IF(AND(T32=0,T33=0),0,IF(T32&lt;=0,0,IF(WEEKDAY(T$6,1)=1,0,MAX(0,T33-10)*T32))+((IF(T32&lt;=0,0,IF(WEEKDAY(T$6,1)=1,0,MIN(10,T33)*T32)))-MIN(IF(T32&lt;=0,0,IF(WEEKDAY(T$6,1)=1,0,MIN(10,T33)*T32)),MAX(0,40*MAX(1,T32)-(R34+S34)))))</f>
        <v>0</v>
      </c>
      <c r="U35" s="63">
        <f>IF(AND(U32=0,U33=0),0,IF(U32&lt;=0,0,IF(WEEKDAY(U$6,1)=1,0,MAX(0,U33-10)*U32))+((IF(U32&lt;=0,0,IF(WEEKDAY(U$6,1)=1,0,MIN(10,U33)*U32)))-MIN(IF(U32&lt;=0,0,IF(WEEKDAY(U$6,1)=1,0,MIN(10,U33)*U32)),MAX(0,40*MAX(1,U32)-(R34+S34+T34)))))</f>
        <v>0</v>
      </c>
      <c r="V35" s="63">
        <f>IF(AND(V32=0,V33=0),0,IF(V32&lt;=0,0,IF(WEEKDAY(V$6,1)=1,0,MAX(0,V33-10)*V32))+((IF(V32&lt;=0,0,IF(WEEKDAY(V$6,1)=1,0,MIN(10,V33)*V32)))-MIN(IF(V32&lt;=0,0,IF(WEEKDAY(V$6,1)=1,0,MIN(10,V33)*V32)),MAX(0,40*MAX(1,V32)-(R34+S34+T34+U34)))))</f>
        <v>0</v>
      </c>
      <c r="W35" s="64">
        <f>IF(AND(W32=0,W33=0),0,IF(W32&lt;=0,0,IF(WEEKDAY(W$6,1)=1,0,MAX(0,W33-10)*W32))+((IF(W32&lt;=0,0,IF(WEEKDAY(W$6,1)=1,0,MIN(10,W33)*W32)))-MIN(IF(W32&lt;=0,0,IF(WEEKDAY(W$6,1)=1,0,MIN(10,W33)*W32)),MAX(0,40*MAX(1,W32)-(R34+S34+T34+U34+V34)))))</f>
        <v>0</v>
      </c>
      <c r="X35" s="64">
        <f>IF(AND(X32=0,X33=0),0,IF(X32&lt;=0,0,IF(WEEKDAY(X$6,1)=1,0,MAX(0,X33-10)*X32))+((IF(X32&lt;=0,0,IF(WEEKDAY(X$6,1)=1,0,MIN(10,X33)*X32)))-MIN(IF(X32&lt;=0,0,IF(WEEKDAY(X$6,1)=1,0,MIN(10,X33)*X32)),MAX(0,40*MAX(1,X32)-(R34+S34+T34+U34+V34+W34)))))</f>
        <v>0</v>
      </c>
      <c r="Y35" s="63">
        <f>IF(AND(Y32=0,Y33=0),0,IF(Y32&lt;=0,0,IF(WEEKDAY(Y$6,1)=1,0,MAX(0,Y33-10)*Y32))+((IF(Y32&lt;=0,0,IF(WEEKDAY(Y$6,1)=1,0,MIN(10,Y33)*Y32)))-MIN(IF(Y32&lt;=0,0,IF(WEEKDAY(Y$6,1)=1,0,MIN(10,Y33)*Y32)),MAX(0,40*MAX(1,Y32)-(0)))))</f>
        <v>0</v>
      </c>
      <c r="Z35" s="63">
        <f>IF(AND(Z32=0,Z33=0),0,IF(Z32&lt;=0,0,IF(WEEKDAY(Z$6,1)=1,0,MAX(0,Z33-10)*Z32))+((IF(Z32&lt;=0,0,IF(WEEKDAY(Z$6,1)=1,0,MIN(10,Z33)*Z32)))-MIN(IF(Z32&lt;=0,0,IF(WEEKDAY(Z$6,1)=1,0,MIN(10,Z33)*Z32)),MAX(0,40*MAX(1,Z32)-(Y34)))))</f>
        <v>0</v>
      </c>
      <c r="AA35" s="63">
        <f>IF(AND(AA32=0,AA33=0),0,IF(AA32&lt;=0,0,IF(WEEKDAY(AA$6,1)=1,0,MAX(0,AA33-10)*AA32))+((IF(AA32&lt;=0,0,IF(WEEKDAY(AA$6,1)=1,0,MIN(10,AA33)*AA32)))-MIN(IF(AA32&lt;=0,0,IF(WEEKDAY(AA$6,1)=1,0,MIN(10,AA33)*AA32)),MAX(0,40*MAX(1,AA32)-(Y34+Z34)))))</f>
        <v>0</v>
      </c>
      <c r="AB35" s="63">
        <f>IF(AND(AB32=0,AB33=0),0,IF(AB32&lt;=0,0,IF(WEEKDAY(AB$6,1)=1,0,MAX(0,AB33-10)*AB32))+((IF(AB32&lt;=0,0,IF(WEEKDAY(AB$6,1)=1,0,MIN(10,AB33)*AB32)))-MIN(IF(AB32&lt;=0,0,IF(WEEKDAY(AB$6,1)=1,0,MIN(10,AB33)*AB32)),MAX(0,40*MAX(1,AB32)-(Y34+Z34+AA34)))))</f>
        <v>0</v>
      </c>
      <c r="AC35" s="63">
        <f>IF(AND(AC32=0,AC33=0),0,IF(AC32&lt;=0,0,IF(WEEKDAY(AC$6,1)=1,0,MAX(0,AC33-10)*AC32))+((IF(AC32&lt;=0,0,IF(WEEKDAY(AC$6,1)=1,0,MIN(10,AC33)*AC32)))-MIN(IF(AC32&lt;=0,0,IF(WEEKDAY(AC$6,1)=1,0,MIN(10,AC33)*AC32)),MAX(0,40*MAX(1,AC32)-(Y34+Z34+AA34+AB34)))))</f>
        <v>0</v>
      </c>
      <c r="AD35" s="64">
        <f>IF(AND(AD32=0,AD33=0),0,IF(AD32&lt;=0,0,IF(WEEKDAY(AD$6,1)=1,0,MAX(0,AD33-10)*AD32))+((IF(AD32&lt;=0,0,IF(WEEKDAY(AD$6,1)=1,0,MIN(10,AD33)*AD32)))-MIN(IF(AD32&lt;=0,0,IF(WEEKDAY(AD$6,1)=1,0,MIN(10,AD33)*AD32)),MAX(0,40*MAX(1,AD32)-(Y34+Z34+AA34+AB34+AC34)))))</f>
        <v>0</v>
      </c>
      <c r="AE35" s="64">
        <f>IF(AND(AE32=0,AE33=0),0,IF(AE32&lt;=0,0,IF(WEEKDAY(AE$6,1)=1,0,MAX(0,AE33-10)*AE32))+((IF(AE32&lt;=0,0,IF(WEEKDAY(AE$6,1)=1,0,MIN(10,AE33)*AE32)))-MIN(IF(AE32&lt;=0,0,IF(WEEKDAY(AE$6,1)=1,0,MIN(10,AE33)*AE32)),MAX(0,40*MAX(1,AE32)-(Y34+Z34+AA34+AB34+AC34+AD34)))))</f>
        <v>0</v>
      </c>
      <c r="AF35" s="63">
        <f>IF(AND(AF32=0,AF33=0),0,IF(AF32&lt;=0,0,IF(WEEKDAY(AF$6,1)=1,0,MAX(0,AF33-10)*AF32))+((IF(AF32&lt;=0,0,IF(WEEKDAY(AF$6,1)=1,0,MIN(10,AF33)*AF32)))-MIN(IF(AF32&lt;=0,0,IF(WEEKDAY(AF$6,1)=1,0,MIN(10,AF33)*AF32)),MAX(0,40*MAX(1,AF32)-(0)))))</f>
        <v>0</v>
      </c>
      <c r="AG35" s="63">
        <f>IF(AND(AG32=0,AG33=0),0,IF(AG32&lt;=0,0,IF(WEEKDAY(AG$6,1)=1,0,MAX(0,AG33-10)*AG32))+((IF(AG32&lt;=0,0,IF(WEEKDAY(AG$6,1)=1,0,MIN(10,AG33)*AG32)))-MIN(IF(AG32&lt;=0,0,IF(WEEKDAY(AG$6,1)=1,0,MIN(10,AG33)*AG32)),MAX(0,40*MAX(1,AG32)-(AF34)))))</f>
        <v>0</v>
      </c>
      <c r="AH35" s="63">
        <f>IF(AND(AH32=0,AH33=0),0,IF(AH32&lt;=0,0,IF(WEEKDAY(AH$6,1)=1,0,MAX(0,AH33-10)*AH32))+((IF(AH32&lt;=0,0,IF(WEEKDAY(AH$6,1)=1,0,MIN(10,AH33)*AH32)))-MIN(IF(AH32&lt;=0,0,IF(WEEKDAY(AH$6,1)=1,0,MIN(10,AH33)*AH32)),MAX(0,40*MAX(1,AH32)-(AF34+AG34)))))</f>
        <v>0</v>
      </c>
      <c r="AI35" s="63">
        <f>IF(AND(AI32=0,AI33=0),0,IF(AI32&lt;=0,0,IF(WEEKDAY(AI$6,1)=1,0,MAX(0,AI33-10)*AI32))+((IF(AI32&lt;=0,0,IF(WEEKDAY(AI$6,1)=1,0,MIN(10,AI33)*AI32)))-MIN(IF(AI32&lt;=0,0,IF(WEEKDAY(AI$6,1)=1,0,MIN(10,AI33)*AI32)),MAX(0,40*MAX(1,AI32)-(AF34+AG34+AH34)))))</f>
        <v>0</v>
      </c>
      <c r="AJ35" s="63">
        <f>IF(AND(AJ32=0,AJ33=0),0,IF(AJ32&lt;=0,0,IF(WEEKDAY(AJ$6,1)=1,0,MAX(0,AJ33-10)*AJ32))+((IF(AJ32&lt;=0,0,IF(WEEKDAY(AJ$6,1)=1,0,MIN(10,AJ33)*AJ32)))-MIN(IF(AJ32&lt;=0,0,IF(WEEKDAY(AJ$6,1)=1,0,MIN(10,AJ33)*AJ32)),MAX(0,40*MAX(1,AJ32)-(AF34+AG34+AH34+AI34)))))</f>
        <v>0</v>
      </c>
      <c r="AK35" s="64">
        <f>IF(AND(AK32=0,AK33=0),0,IF(AK32&lt;=0,0,IF(WEEKDAY(AK$6,1)=1,0,MAX(0,AK33-10)*AK32))+((IF(AK32&lt;=0,0,IF(WEEKDAY(AK$6,1)=1,0,MIN(10,AK33)*AK32)))-MIN(IF(AK32&lt;=0,0,IF(WEEKDAY(AK$6,1)=1,0,MIN(10,AK33)*AK32)),MAX(0,40*MAX(1,AK32)-(AF34+AG34+AH34+AI34+AJ34)))))</f>
        <v>0</v>
      </c>
      <c r="AL35" s="64">
        <f>IF(AND(AL32=0,AL33=0),0,IF(AL32&lt;=0,0,IF(WEEKDAY(AL$6,1)=1,0,MAX(0,AL33-10)*AL32))+((IF(AL32&lt;=0,0,IF(WEEKDAY(AL$6,1)=1,0,MIN(10,AL33)*AL32)))-MIN(IF(AL32&lt;=0,0,IF(WEEKDAY(AL$6,1)=1,0,MIN(10,AL33)*AL32)),MAX(0,40*MAX(1,AL32)-(AF34+AG34+AH34+AI34+AJ34+AK34)))))</f>
        <v>0</v>
      </c>
      <c r="AM35" s="63">
        <f>IF(AND(AM32=0,AM33=0),0,IF(AM32&lt;=0,0,IF(WEEKDAY(AM$6,1)=1,0,MAX(0,AM33-10)*AM32))+((IF(AM32&lt;=0,0,IF(WEEKDAY(AM$6,1)=1,0,MIN(10,AM33)*AM32)))-MIN(IF(AM32&lt;=0,0,IF(WEEKDAY(AM$6,1)=1,0,MIN(10,AM33)*AM32)),MAX(0,40*MAX(1,AM32)-(0)))))</f>
        <v>0</v>
      </c>
      <c r="AN35" s="63">
        <f>IF(AND(AN32=0,AN33=0),0,IF(AN32&lt;=0,0,IF(WEEKDAY(AN$6,1)=1,0,MAX(0,AN33-10)*AN32))+((IF(AN32&lt;=0,0,IF(WEEKDAY(AN$6,1)=1,0,MIN(10,AN33)*AN32)))-MIN(IF(AN32&lt;=0,0,IF(WEEKDAY(AN$6,1)=1,0,MIN(10,AN33)*AN32)),MAX(0,40*MAX(1,AN32)-(AM34)))))</f>
        <v>0</v>
      </c>
      <c r="AO35" s="63">
        <f>IF(AND(AO32=0,AO33=0),0,IF(AO32&lt;=0,0,IF(WEEKDAY(AO$6,1)=1,0,MAX(0,AO33-10)*AO32))+((IF(AO32&lt;=0,0,IF(WEEKDAY(AO$6,1)=1,0,MIN(10,AO33)*AO32)))-MIN(IF(AO32&lt;=0,0,IF(WEEKDAY(AO$6,1)=1,0,MIN(10,AO33)*AO32)),MAX(0,40*MAX(1,AO32)-(AM34+AN34)))))</f>
        <v>0</v>
      </c>
      <c r="AP35" s="63">
        <f>IF(AND(AP32=0,AP33=0),0,IF(AP32&lt;=0,0,IF(WEEKDAY(AP$6,1)=1,0,MAX(0,AP33-10)*AP32))+((IF(AP32&lt;=0,0,IF(WEEKDAY(AP$6,1)=1,0,MIN(10,AP33)*AP32)))-MIN(IF(AP32&lt;=0,0,IF(WEEKDAY(AP$6,1)=1,0,MIN(10,AP33)*AP32)),MAX(0,40*MAX(1,AP32)-(AM34+AN34+AO34)))))</f>
        <v>0</v>
      </c>
      <c r="AQ35" s="63">
        <f>IF(AND(AQ32=0,AQ33=0),0,IF(AQ32&lt;=0,0,IF(WEEKDAY(AQ$6,1)=1,0,MAX(0,AQ33-10)*AQ32))+((IF(AQ32&lt;=0,0,IF(WEEKDAY(AQ$6,1)=1,0,MIN(10,AQ33)*AQ32)))-MIN(IF(AQ32&lt;=0,0,IF(WEEKDAY(AQ$6,1)=1,0,MIN(10,AQ33)*AQ32)),MAX(0,40*MAX(1,AQ32)-(AM34+AN34+AO34+AP34)))))</f>
        <v>0</v>
      </c>
      <c r="AR35" s="64">
        <f>IF(AND(AR32=0,AR33=0),0,IF(AR32&lt;=0,0,IF(WEEKDAY(AR$6,1)=1,0,MAX(0,AR33-10)*AR32))+((IF(AR32&lt;=0,0,IF(WEEKDAY(AR$6,1)=1,0,MIN(10,AR33)*AR32)))-MIN(IF(AR32&lt;=0,0,IF(WEEKDAY(AR$6,1)=1,0,MIN(10,AR33)*AR32)),MAX(0,40*MAX(1,AR32)-(AM34+AN34+AO34+AP34+AQ34)))))</f>
        <v>0</v>
      </c>
      <c r="AS35" s="64">
        <f>IF(AND(AS32=0,AS33=0),0,IF(AS32&lt;=0,0,IF(WEEKDAY(AS$6,1)=1,0,MAX(0,AS33-10)*AS32))+((IF(AS32&lt;=0,0,IF(WEEKDAY(AS$6,1)=1,0,MIN(10,AS33)*AS32)))-MIN(IF(AS32&lt;=0,0,IF(WEEKDAY(AS$6,1)=1,0,MIN(10,AS33)*AS32)),MAX(0,40*MAX(1,AS32)-(AM34+AN34+AO34+AP34+AQ34+AR34)))))</f>
        <v>0</v>
      </c>
      <c r="AT35" s="63">
        <f>IF(AND(AT32=0,AT33=0),0,IF(AT32&lt;=0,0,IF(WEEKDAY(AT$6,1)=1,0,MAX(0,AT33-10)*AT32))+((IF(AT32&lt;=0,0,IF(WEEKDAY(AT$6,1)=1,0,MIN(10,AT33)*AT32)))-MIN(IF(AT32&lt;=0,0,IF(WEEKDAY(AT$6,1)=1,0,MIN(10,AT33)*AT32)),MAX(0,40*MAX(1,AT32)-(0)))))</f>
        <v>0</v>
      </c>
      <c r="AU35" s="63">
        <f>IF(AND(AU32=0,AU33=0),0,IF(AU32&lt;=0,0,IF(WEEKDAY(AU$6,1)=1,0,MAX(0,AU33-10)*AU32))+((IF(AU32&lt;=0,0,IF(WEEKDAY(AU$6,1)=1,0,MIN(10,AU33)*AU32)))-MIN(IF(AU32&lt;=0,0,IF(WEEKDAY(AU$6,1)=1,0,MIN(10,AU33)*AU32)),MAX(0,40*MAX(1,AU32)-(AT34)))))</f>
        <v>0</v>
      </c>
      <c r="AV35" s="63">
        <f>IF(AND(AV32=0,AV33=0),0,IF(AV32&lt;=0,0,IF(WEEKDAY(AV$6,1)=1,0,MAX(0,AV33-10)*AV32))+((IF(AV32&lt;=0,0,IF(WEEKDAY(AV$6,1)=1,0,MIN(10,AV33)*AV32)))-MIN(IF(AV32&lt;=0,0,IF(WEEKDAY(AV$6,1)=1,0,MIN(10,AV33)*AV32)),MAX(0,40*MAX(1,AV32)-(AT34+AU34)))))</f>
        <v>0</v>
      </c>
      <c r="AW35" s="63">
        <f>IF(AND(AW32=0,AW33=0),0,IF(AW32&lt;=0,0,IF(WEEKDAY(AW$6,1)=1,0,MAX(0,AW33-10)*AW32))+((IF(AW32&lt;=0,0,IF(WEEKDAY(AW$6,1)=1,0,MIN(10,AW33)*AW32)))-MIN(IF(AW32&lt;=0,0,IF(WEEKDAY(AW$6,1)=1,0,MIN(10,AW33)*AW32)),MAX(0,40*MAX(1,AW32)-(AT34+AU34+AV34)))))</f>
        <v>0</v>
      </c>
      <c r="AX35" s="63">
        <f>IF(AND(AX32=0,AX33=0),0,IF(AX32&lt;=0,0,IF(WEEKDAY(AX$6,1)=1,0,MAX(0,AX33-10)*AX32))+((IF(AX32&lt;=0,0,IF(WEEKDAY(AX$6,1)=1,0,MIN(10,AX33)*AX32)))-MIN(IF(AX32&lt;=0,0,IF(WEEKDAY(AX$6,1)=1,0,MIN(10,AX33)*AX32)),MAX(0,40*MAX(1,AX32)-(AT34+AU34+AV34+AW34)))))</f>
        <v>0</v>
      </c>
      <c r="AY35" s="64">
        <f>IF(AND(AY32=0,AY33=0),0,IF(AY32&lt;=0,0,IF(WEEKDAY(AY$6,1)=1,0,MAX(0,AY33-10)*AY32))+((IF(AY32&lt;=0,0,IF(WEEKDAY(AY$6,1)=1,0,MIN(10,AY33)*AY32)))-MIN(IF(AY32&lt;=0,0,IF(WEEKDAY(AY$6,1)=1,0,MIN(10,AY33)*AY32)),MAX(0,40*MAX(1,AY32)-(AT34+AU34+AV34+AW34+AX34)))))</f>
        <v>0</v>
      </c>
      <c r="AZ35" s="64">
        <f>IF(AND(AZ32=0,AZ33=0),0,IF(AZ32&lt;=0,0,IF(WEEKDAY(AZ$6,1)=1,0,MAX(0,AZ33-10)*AZ32))+((IF(AZ32&lt;=0,0,IF(WEEKDAY(AZ$6,1)=1,0,MIN(10,AZ33)*AZ32)))-MIN(IF(AZ32&lt;=0,0,IF(WEEKDAY(AZ$6,1)=1,0,MIN(10,AZ33)*AZ32)),MAX(0,40*MAX(1,AZ32)-(AT34+AU34+AV34+AW34+AX34+AY34)))))</f>
        <v>0</v>
      </c>
      <c r="BA35" s="63">
        <f>IF(AND(BA32=0,BA33=0),0,IF(BA32&lt;=0,0,IF(WEEKDAY(BA$6,1)=1,0,MAX(0,BA33-10)*BA32))+((IF(BA32&lt;=0,0,IF(WEEKDAY(BA$6,1)=1,0,MIN(10,BA33)*BA32)))-MIN(IF(BA32&lt;=0,0,IF(WEEKDAY(BA$6,1)=1,0,MIN(10,BA33)*BA32)),MAX(0,40*MAX(1,BA32)-(0)))))</f>
        <v>0</v>
      </c>
      <c r="BB35" s="63">
        <f>IF(AND(BB32=0,BB33=0),0,IF(BB32&lt;=0,0,IF(WEEKDAY(BB$6,1)=1,0,MAX(0,BB33-10)*BB32))+((IF(BB32&lt;=0,0,IF(WEEKDAY(BB$6,1)=1,0,MIN(10,BB33)*BB32)))-MIN(IF(BB32&lt;=0,0,IF(WEEKDAY(BB$6,1)=1,0,MIN(10,BB33)*BB32)),MAX(0,40*MAX(1,BB32)-(BA34)))))</f>
        <v>0</v>
      </c>
      <c r="BC35" s="63">
        <f>IF(AND(BC32=0,BC33=0),0,IF(BC32&lt;=0,0,IF(WEEKDAY(BC$6,1)=1,0,MAX(0,BC33-10)*BC32))+((IF(BC32&lt;=0,0,IF(WEEKDAY(BC$6,1)=1,0,MIN(10,BC33)*BC32)))-MIN(IF(BC32&lt;=0,0,IF(WEEKDAY(BC$6,1)=1,0,MIN(10,BC33)*BC32)),MAX(0,40*MAX(1,BC32)-(BA34+BB34)))))</f>
        <v>0</v>
      </c>
      <c r="BD35" s="63">
        <f>IF(AND(BD32=0,BD33=0),0,IF(BD32&lt;=0,0,IF(WEEKDAY(BD$6,1)=1,0,MAX(0,BD33-10)*BD32))+((IF(BD32&lt;=0,0,IF(WEEKDAY(BD$6,1)=1,0,MIN(10,BD33)*BD32)))-MIN(IF(BD32&lt;=0,0,IF(WEEKDAY(BD$6,1)=1,0,MIN(10,BD33)*BD32)),MAX(0,40*MAX(1,BD32)-(BA34+BB34+BC34)))))</f>
        <v>0</v>
      </c>
      <c r="BE35" s="63">
        <f>IF(AND(BE32=0,BE33=0),0,IF(BE32&lt;=0,0,IF(WEEKDAY(BE$6,1)=1,0,MAX(0,BE33-10)*BE32))+((IF(BE32&lt;=0,0,IF(WEEKDAY(BE$6,1)=1,0,MIN(10,BE33)*BE32)))-MIN(IF(BE32&lt;=0,0,IF(WEEKDAY(BE$6,1)=1,0,MIN(10,BE33)*BE32)),MAX(0,40*MAX(1,BE32)-(BA34+BB34+BC34+BD34)))))</f>
        <v>0</v>
      </c>
      <c r="BF35" s="64">
        <f>IF(AND(BF32=0,BF33=0),0,IF(BF32&lt;=0,0,IF(WEEKDAY(BF$6,1)=1,0,MAX(0,BF33-10)*BF32))+((IF(BF32&lt;=0,0,IF(WEEKDAY(BF$6,1)=1,0,MIN(10,BF33)*BF32)))-MIN(IF(BF32&lt;=0,0,IF(WEEKDAY(BF$6,1)=1,0,MIN(10,BF33)*BF32)),MAX(0,40*MAX(1,BF32)-(BA34+BB34+BC34+BD34+BE34)))))</f>
        <v>0</v>
      </c>
      <c r="BG35" s="64">
        <f>IF(AND(BG32=0,BG33=0),0,IF(BG32&lt;=0,0,IF(WEEKDAY(BG$6,1)=1,0,MAX(0,BG33-10)*BG32))+((IF(BG32&lt;=0,0,IF(WEEKDAY(BG$6,1)=1,0,MIN(10,BG33)*BG32)))-MIN(IF(BG32&lt;=0,0,IF(WEEKDAY(BG$6,1)=1,0,MIN(10,BG33)*BG32)),MAX(0,40*MAX(1,BG32)-(BA34+BB34+BC34+BD34+BE34+BF34)))))</f>
        <v>0</v>
      </c>
      <c r="BH35" s="63">
        <f>IF(AND(BH32=1,BH33=13),3,IF(BH32&lt;=0,0,IF(WEEKDAY(BH$6,1)=1,0,MAX(0,BH33-10)*BH32))+((IF(BH32&lt;=0,0,IF(WEEKDAY(BH$6,1)=1,0,MIN(10,BH33)*BH32)))-MIN(IF(BH32&lt;=0,0,IF(WEEKDAY(BH$6,1)=1,0,MIN(10,BH33)*BH32)),MAX(0,40*MAX(1,BH32)-(0)))))</f>
        <v>3</v>
      </c>
      <c r="BI35" s="63">
        <f>IF(AND(BI32=1,BI33=13),3,IF(BI32&lt;=0,0,IF(WEEKDAY(BI$6,1)=1,0,MAX(0,BI33-10)*BI32))+((IF(BI32&lt;=0,0,IF(WEEKDAY(BI$6,1)=1,0,MIN(10,BI33)*BI32)))-MIN(IF(BI32&lt;=0,0,IF(WEEKDAY(BI$6,1)=1,0,MIN(10,BI33)*BI32)),MAX(0,40*MAX(1,BI32)-(BH34)))))</f>
        <v>3</v>
      </c>
      <c r="BJ35" s="63">
        <f>IF(AND(BJ32=1,BJ33=13),3,IF(BJ32&lt;=0,0,IF(WEEKDAY(BJ$6,1)=1,0,MAX(0,BJ33-10)*BJ32))+((IF(BJ32&lt;=0,0,IF(WEEKDAY(BJ$6,1)=1,0,MIN(10,BJ33)*BJ32)))-MIN(IF(BJ32&lt;=0,0,IF(WEEKDAY(BJ$6,1)=1,0,MIN(10,BJ33)*BJ32)),MAX(0,40*MAX(1,BJ32)-(BH34+BI34)))))</f>
        <v>3</v>
      </c>
      <c r="BK35" s="63">
        <f>IF(AND(BK32=1,BK33=13),3,IF(BK32&lt;=0,0,IF(WEEKDAY(BK$6,1)=1,0,MAX(0,BK33-10)*BK32))+((IF(BK32&lt;=0,0,IF(WEEKDAY(BK$6,1)=1,0,MIN(10,BK33)*BK32)))-MIN(IF(BK32&lt;=0,0,IF(WEEKDAY(BK$6,1)=1,0,MIN(10,BK33)*BK32)),MAX(0,40*MAX(1,BK32)-(BH34+BI34+BJ34)))))</f>
        <v>3</v>
      </c>
      <c r="BL35" s="63">
        <f>IF(AND(BL32=1,BL33=13),13,IF(BL32&lt;=0,0,IF(WEEKDAY(BL$6,1)=1,0,MAX(0,BL33-10)*BL32))+((IF(BL32&lt;=0,0,IF(WEEKDAY(BL$6,1)=1,0,MIN(10,BL33)*BL32)))-MIN(IF(BL32&lt;=0,0,IF(WEEKDAY(BL$6,1)=1,0,MIN(10,BL33)*BL32)),MAX(0,40*MAX(1,BL32)-(BH34+BI34+BJ34+BK34)))))</f>
        <v>13</v>
      </c>
      <c r="BM35" s="64">
        <f>IF(AND(BM32=1,BM33=13),13,IF(BM32&lt;=0,0,IF(WEEKDAY(BM$6,1)=1,0,MAX(0,BM33-10)*BM32))+((IF(BM32&lt;=0,0,IF(WEEKDAY(BM$6,1)=1,0,MIN(10,BM33)*BM32)))-MIN(IF(BM32&lt;=0,0,IF(WEEKDAY(BM$6,1)=1,0,MIN(10,BM33)*BM32)),MAX(0,40*MAX(1,BM32)-(BH34+BI34+BJ34+BK34+BL34)))))</f>
        <v>13</v>
      </c>
      <c r="BN35" s="64">
        <f>IF(AND(BN32=1,BN33=13),0,IF(BN32&lt;=0,0,IF(WEEKDAY(BN$6,1)=1,0,MAX(0,BN33-10)*BN32))+((IF(BN32&lt;=0,0,IF(WEEKDAY(BN$6,1)=1,0,MIN(10,BN33)*BN32)))-MIN(IF(BN32&lt;=0,0,IF(WEEKDAY(BN$6,1)=1,0,MIN(10,BN33)*BN32)),MAX(0,40*MAX(1,BN32)-(BH34+BI34+BJ34+BK34+BL34+BM34)))))</f>
        <v>0</v>
      </c>
      <c r="BO35" s="63">
        <f>IF(AND(BO32=1,BO33=13),3,IF(BO32&lt;=0,0,IF(WEEKDAY(BO$6,1)=1,0,MAX(0,BO33-10)*BO32))+((IF(BO32&lt;=0,0,IF(WEEKDAY(BO$6,1)=1,0,MIN(10,BO33)*BO32)))-MIN(IF(BO32&lt;=0,0,IF(WEEKDAY(BO$6,1)=1,0,MIN(10,BO33)*BO32)),MAX(0,40*MAX(1,BO32)-(0)))))</f>
        <v>3</v>
      </c>
      <c r="BP35" s="63">
        <f>IF(AND(BP32=1,BP33=13),3,IF(BP32&lt;=0,0,IF(WEEKDAY(BP$6,1)=1,0,MAX(0,BP33-10)*BP32))+((IF(BP32&lt;=0,0,IF(WEEKDAY(BP$6,1)=1,0,MIN(10,BP33)*BP32)))-MIN(IF(BP32&lt;=0,0,IF(WEEKDAY(BP$6,1)=1,0,MIN(10,BP33)*BP32)),MAX(0,40*MAX(1,BP32)-(BO34)))))</f>
        <v>3</v>
      </c>
      <c r="BQ35" s="63">
        <f>IF(AND(BQ32=1,BQ33=13),3,IF(BQ32&lt;=0,0,IF(WEEKDAY(BQ$6,1)=1,0,MAX(0,BQ33-10)*BQ32))+((IF(BQ32&lt;=0,0,IF(WEEKDAY(BQ$6,1)=1,0,MIN(10,BQ33)*BQ32)))-MIN(IF(BQ32&lt;=0,0,IF(WEEKDAY(BQ$6,1)=1,0,MIN(10,BQ33)*BQ32)),MAX(0,40*MAX(1,BQ32)-(BO34+BP34)))))</f>
        <v>3</v>
      </c>
      <c r="BR35" s="63">
        <f>IF(AND(BR32=1,BR33=13),3,IF(BR32&lt;=0,0,IF(WEEKDAY(BR$6,1)=1,0,MAX(0,BR33-10)*BR32))+((IF(BR32&lt;=0,0,IF(WEEKDAY(BR$6,1)=1,0,MIN(10,BR33)*BR32)))-MIN(IF(BR32&lt;=0,0,IF(WEEKDAY(BR$6,1)=1,0,MIN(10,BR33)*BR32)),MAX(0,40*MAX(1,BR32)-(0)))))</f>
        <v>3</v>
      </c>
      <c r="BS35" s="63">
        <f>IF(AND(BS32=1,BS33=13),3,IF(BS32&lt;=0,0,IF(WEEKDAY(BS$6,1)=1,0,MAX(0,BS33-10)*BS32))+((IF(BS32&lt;=0,0,IF(WEEKDAY(BS$6,1)=1,0,MIN(10,BS33)*BS32)))-MIN(IF(BS32&lt;=0,0,IF(WEEKDAY(BS$6,1)=1,0,MIN(10,BS33)*BS32)),MAX(0,40*MAX(1,BS32)-(BR34)))))</f>
        <v>3</v>
      </c>
      <c r="BT35" s="64">
        <f>IF(AND(BT32=1,BT33=13),3,IF(BT32&lt;=0,0,IF(WEEKDAY(BT$6,1)=1,0,MAX(0,BT33-10)*BT32))+((IF(BT32&lt;=0,0,IF(WEEKDAY(BT$6,1)=1,0,MIN(10,BT33)*BT32)))-MIN(IF(BT32&lt;=0,0,IF(WEEKDAY(BT$6,1)=1,0,MIN(10,BT33)*BT32)),MAX(0,40*MAX(1,BT32)-(BR34+BS34)))))</f>
        <v>3</v>
      </c>
      <c r="BU35" s="64">
        <f>IF(AND(BU32=1,BU33=13),0,IF(BU32&lt;=0,0,IF(WEEKDAY(BU$6,1)=1,0,MAX(0,BU33-10)*BU32))+((IF(BU32&lt;=0,0,IF(WEEKDAY(BU$6,1)=1,0,MIN(10,BU33)*BU32)))-MIN(IF(BU32&lt;=0,0,IF(WEEKDAY(BU$6,1)=1,0,MIN(10,BU33)*BU32)),MAX(0,40*MAX(1,BU32)-(BR34+BS34+BT34)))))</f>
        <v>0</v>
      </c>
      <c r="BV35" s="63">
        <f>IF(AND(BV32=1,BV33=13),3,IF(BV32&lt;=0,0,IF(WEEKDAY(BV$6,1)=1,0,MAX(0,BV33-10)*BV32))+((IF(BV32&lt;=0,0,IF(WEEKDAY(BV$6,1)=1,0,MIN(10,BV33)*BV32)))-MIN(IF(BV32&lt;=0,0,IF(WEEKDAY(BV$6,1)=1,0,MIN(10,BV33)*BV32)),MAX(0,40*MAX(1,BV32)-(0)))))</f>
        <v>3</v>
      </c>
      <c r="BW35" s="63">
        <f>IF(AND(BW32=1,BW33=13),3,IF(BW32&lt;=0,0,IF(WEEKDAY(BW$6,1)=1,0,MAX(0,BW33-10)*BW32))+((IF(BW32&lt;=0,0,IF(WEEKDAY(BW$6,1)=1,0,MIN(10,BW33)*BW32)))-MIN(IF(BW32&lt;=0,0,IF(WEEKDAY(BW$6,1)=1,0,MIN(10,BW33)*BW32)),MAX(0,40*MAX(1,BW32)-(BV34)))))</f>
        <v>3</v>
      </c>
      <c r="BX35" s="63">
        <f>IF(AND(BX32=1,BX33=13),3,IF(BX32&lt;=0,0,IF(WEEKDAY(BX$6,1)=1,0,MAX(0,BX33-10)*BX32))+((IF(BX32&lt;=0,0,IF(WEEKDAY(BX$6,1)=1,0,MIN(10,BX33)*BX32)))-MIN(IF(BX32&lt;=0,0,IF(WEEKDAY(BX$6,1)=1,0,MIN(10,BX33)*BX32)),MAX(0,40*MAX(1,BX32)-(BV34+BW34)))))</f>
        <v>3</v>
      </c>
      <c r="BY35" s="63">
        <f>IF(AND(BY32=1,BY33=13),3,IF(BY32&lt;=0,0,IF(WEEKDAY(BY$6,1)=1,0,MAX(0,BY33-10)*BY32))+((IF(BY32&lt;=0,0,IF(WEEKDAY(BY$6,1)=1,0,MIN(10,BY33)*BY32)))-MIN(IF(BY32&lt;=0,0,IF(WEEKDAY(BY$6,1)=1,0,MIN(10,BY33)*BY32)),MAX(0,40*MAX(1,BY32)-(BV34+BW34+BX34)))))</f>
        <v>3</v>
      </c>
      <c r="BZ35" s="63">
        <f>IF(AND(BZ32=1,BZ33=13),13,IF(BZ32&lt;=0,0,IF(WEEKDAY(BZ$6,1)=1,0,MAX(0,BZ33-10)*BZ32))+((IF(BZ32&lt;=0,0,IF(WEEKDAY(BZ$6,1)=1,0,MIN(10,BZ33)*BZ32)))-MIN(IF(BZ32&lt;=0,0,IF(WEEKDAY(BZ$6,1)=1,0,MIN(10,BZ33)*BZ32)),MAX(0,40*MAX(1,BZ32)-(BV34+BW34+BX34+BY34)))))</f>
        <v>13</v>
      </c>
      <c r="CA35" s="64">
        <f>IF(AND(CA32=1,CA33=13),13,IF(CA32&lt;=0,0,IF(WEEKDAY(CA$6,1)=1,0,MAX(0,CA33-10)*CA32))+((IF(CA32&lt;=0,0,IF(WEEKDAY(CA$6,1)=1,0,MIN(10,CA33)*CA32)))-MIN(IF(CA32&lt;=0,0,IF(WEEKDAY(CA$6,1)=1,0,MIN(10,CA33)*CA32)),MAX(0,40*MAX(1,CA32)-(BV34+BW34+BX34+BY34+BZ34)))))</f>
        <v>13</v>
      </c>
      <c r="CB35" s="64">
        <f>IF(AND(CB32=0,CB33=0),0,IF(CB32&lt;=0,0,IF(WEEKDAY(CB$6,1)=1,0,MAX(0,CB33-10)*CB32))+((IF(CB32&lt;=0,0,IF(WEEKDAY(CB$6,1)=1,0,MIN(10,CB33)*CB32)))-MIN(IF(CB32&lt;=0,0,IF(WEEKDAY(CB$6,1)=1,0,MIN(10,CB33)*CB32)),MAX(0,40*MAX(1,CB32)-(0)))))</f>
        <v>0</v>
      </c>
      <c r="CC35" s="63">
        <f>IF(AND(CC32=1,CC33=13),3,IF(CC32&lt;=0,0,IF(WEEKDAY(CC$6,1)=1,0,MAX(0,CC33-10)*CC32))+((IF(CC32&lt;=0,0,IF(WEEKDAY(CC$6,1)=1,0,MIN(10,CC33)*CC32)))-MIN(IF(CC32&lt;=0,0,IF(WEEKDAY(CC$6,1)=1,0,MIN(10,CC33)*CC32)),MAX(0,40*MAX(1,CC32)-(0)))))</f>
        <v>3</v>
      </c>
      <c r="CD35" s="63">
        <f>IF(AND(CD32=1,CD33=13),3,IF(CD32&lt;=0,0,IF(WEEKDAY(CD$6,1)=1,0,MAX(0,CD33-10)*CD32))+((IF(CD32&lt;=0,0,IF(WEEKDAY(CD$6,1)=1,0,MIN(10,CD33)*CD32)))-MIN(IF(CD32&lt;=0,0,IF(WEEKDAY(CD$6,1)=1,0,MIN(10,CD33)*CD32)),MAX(0,40*MAX(1,CD32)-(CC34)))))</f>
        <v>3</v>
      </c>
      <c r="CE35" s="63">
        <f>IF(AND(CE32=1,CE33=13),3,IF(CE32&lt;=0,0,IF(WEEKDAY(CE$6,1)=1,0,MAX(0,CE33-10)*CE32))+((IF(CE32&lt;=0,0,IF(WEEKDAY(CE$6,1)=1,0,MIN(10,CE33)*CE32)))-MIN(IF(CE32&lt;=0,0,IF(WEEKDAY(CE$6,1)=1,0,MIN(10,CE33)*CE32)),MAX(0,40*MAX(1,CE32)-(CC34+CD34)))))</f>
        <v>3</v>
      </c>
      <c r="CF35" s="63">
        <f>IF(AND(CF32=1,CF33=13),3,IF(CF32&lt;=0,0,IF(WEEKDAY(CF$6,1)=1,0,MAX(0,CF33-10)*CF32))+((IF(CF32&lt;=0,0,IF(WEEKDAY(CF$6,1)=1,0,MIN(10,CF33)*CF32)))-MIN(IF(CF32&lt;=0,0,IF(WEEKDAY(CF$6,1)=1,0,MIN(10,CF33)*CF32)),MAX(0,40*MAX(1,CF32)-(CC34+CD34+CE34)))))</f>
        <v>3</v>
      </c>
      <c r="CG35" s="63">
        <f>IF(AND(CG32=1,CG33=13),13,IF(CG32&lt;=0,0,IF(WEEKDAY(CG$6,1)=1,0,MAX(0,CG33-10)*CG32))+((IF(CG32&lt;=0,0,IF(WEEKDAY(CG$6,1)=1,0,MIN(10,CG33)*CG32)))-MIN(IF(CG32&lt;=0,0,IF(WEEKDAY(CG$6,1)=1,0,MIN(10,CG33)*CG32)),MAX(0,40*MAX(1,CG32)-(CC34+CD34+CE34+CF34)))))</f>
        <v>13</v>
      </c>
      <c r="CH35" s="64">
        <f>IF(AND(CH32=1,CH33=13),13,IF(CH32&lt;=0,0,IF(WEEKDAY(CH$6,1)=1,0,MAX(0,CH33-10)*CH32))+((IF(CH32&lt;=0,0,IF(WEEKDAY(CH$6,1)=1,0,MIN(10,CH33)*CH32)))-MIN(IF(CH32&lt;=0,0,IF(WEEKDAY(CH$6,1)=1,0,MIN(10,CH33)*CH32)),MAX(0,40*MAX(1,CH32)-(CC34+CD34+CE34+CF34+CG34)))))</f>
        <v>13</v>
      </c>
      <c r="CI35" s="64">
        <f>IF(AND(CI32=1,CI33=13),0,IF(CI32&lt;=0,0,IF(WEEKDAY(CI$6,1)=1,0,MAX(0,CI33-10)*CI32))+((IF(CI32&lt;=0,0,IF(WEEKDAY(CI$6,1)=1,0,MIN(10,CI33)*CI32)))-MIN(IF(CI32&lt;=0,0,IF(WEEKDAY(CI$6,1)=1,0,MIN(10,CI33)*CI32)),MAX(0,40*MAX(1,CI32)-(CC34+CD34+CE34+CF34+CG34+CH34)))))</f>
        <v>0</v>
      </c>
      <c r="CJ35" s="63">
        <f>IF(AND(CJ32=1,CJ33=13),3,IF(CJ32&lt;=0,0,IF(WEEKDAY(CJ$6,1)=1,0,MAX(0,CJ33-10)*CJ32))+((IF(CJ32&lt;=0,0,IF(WEEKDAY(CJ$6,1)=1,0,MIN(10,CJ33)*CJ32)))-MIN(IF(CJ32&lt;=0,0,IF(WEEKDAY(CJ$6,1)=1,0,MIN(10,CJ33)*CJ32)),MAX(0,40*MAX(1,CJ32)-(0)))))</f>
        <v>3</v>
      </c>
      <c r="CK35" s="63">
        <f>IF(AND(CK32=1,CK33=13),3,IF(CK32&lt;=0,0,IF(WEEKDAY(CK$6,1)=1,0,MAX(0,CK33-10)*CK32))+((IF(CK32&lt;=0,0,IF(WEEKDAY(CK$6,1)=1,0,MIN(10,CK33)*CK32)))-MIN(IF(CK32&lt;=0,0,IF(WEEKDAY(CK$6,1)=1,0,MIN(10,CK33)*CK32)),MAX(0,40*MAX(1,CK32)-(CJ34)))))</f>
        <v>3</v>
      </c>
      <c r="CL35" s="63">
        <f>IF(AND(CL32=1,CL33=13),3,IF(CL32&lt;=0,0,IF(WEEKDAY(CL$6,1)=1,0,MAX(0,CL33-10)*CL32))+((IF(CL32&lt;=0,0,IF(WEEKDAY(CL$6,1)=1,0,MIN(10,CL33)*CL32)))-MIN(IF(CL32&lt;=0,0,IF(WEEKDAY(CL$6,1)=1,0,MIN(10,CL33)*CL32)),MAX(0,40*MAX(1,CL32)-(CJ34+CK34)))))</f>
        <v>3</v>
      </c>
      <c r="CM35" s="63">
        <f>IF(AND(CM32=1,CM33=13),3,IF(CM32&lt;=0,0,IF(WEEKDAY(CM$6,1)=1,0,MAX(0,CM33-10)*CM32))+((IF(CM32&lt;=0,0,IF(WEEKDAY(CM$6,1)=1,0,MIN(10,CM33)*CM32)))-MIN(IF(CM32&lt;=0,0,IF(WEEKDAY(CM$6,1)=1,0,MIN(10,CM33)*CM32)),MAX(0,40*MAX(1,CM32)-(CJ34+CK34+CL34)))))</f>
        <v>3</v>
      </c>
      <c r="CN35" s="63">
        <f>IF(AND(CN32=1,CN33=13),13,IF(CN32&lt;=0,0,IF(WEEKDAY(CN$6,1)=1,0,MAX(0,CN33-10)*CN32))+((IF(CN32&lt;=0,0,IF(WEEKDAY(CN$6,1)=1,0,MIN(10,CN33)*CN32)))-MIN(IF(CN32&lt;=0,0,IF(WEEKDAY(CN$6,1)=1,0,MIN(10,CN33)*CN32)),MAX(0,40*MAX(1,CN32)-(CJ34+CK34+CL34+CM34)))))</f>
        <v>13</v>
      </c>
      <c r="CO35" s="64">
        <f>IF(AND(CO32=1,CO33=13),13,IF(CO32&lt;=0,0,IF(WEEKDAY(CO$6,1)=1,0,MAX(0,CO33-10)*CO32))+((IF(CO32&lt;=0,0,IF(WEEKDAY(CO$6,1)=1,0,MIN(10,CO33)*CO32)))-MIN(IF(CO32&lt;=0,0,IF(WEEKDAY(CO$6,1)=1,0,MIN(10,CO33)*CO32)),MAX(0,40*MAX(1,CO32)-(CJ34+CK34+CL34+CM34+CN34)))))</f>
        <v>13</v>
      </c>
      <c r="CP35" s="64">
        <f>IF(AND(CP32=0,CP33=0),0,IF(CP32&lt;=0,0,IF(WEEKDAY(CP$6,1)=1,0,MAX(0,CP33-10)*CP32))+((IF(CP32&lt;=0,0,IF(WEEKDAY(CP$6,1)=1,0,MIN(10,CP33)*CP32)))-MIN(IF(CP32&lt;=0,0,IF(WEEKDAY(CP$6,1)=1,0,MIN(10,CP33)*CP32)),MAX(0,40*MAX(1,CP32)-(0)))))</f>
        <v>0</v>
      </c>
      <c r="CQ35" s="63">
        <f>IF(AND(CQ32=1,CQ33=13),3,IF(CQ32&lt;=0,0,IF(WEEKDAY(CQ$6,1)=1,0,MAX(0,CQ33-10)*CQ32))+((IF(CQ32&lt;=0,0,IF(WEEKDAY(CQ$6,1)=1,0,MIN(10,CQ33)*CQ32)))-MIN(IF(CQ32&lt;=0,0,IF(WEEKDAY(CQ$6,1)=1,0,MIN(10,CQ33)*CQ32)),MAX(0,40*MAX(1,CQ32)-(0)))))</f>
        <v>3</v>
      </c>
      <c r="CR35" s="63">
        <f>IF(AND(CR32=1,CR33=13),3,IF(CR32&lt;=0,0,IF(WEEKDAY(CR$6,1)=1,0,MAX(0,CR33-10)*CR32))+((IF(CR32&lt;=0,0,IF(WEEKDAY(CR$6,1)=1,0,MIN(10,CR33)*CR32)))-MIN(IF(CR32&lt;=0,0,IF(WEEKDAY(CR$6,1)=1,0,MIN(10,CR33)*CR32)),MAX(0,40*MAX(1,CR32)-(CQ34)))))</f>
        <v>3</v>
      </c>
      <c r="CS35" s="63">
        <f>IF(AND(CS32=1,CS33=13),3,IF(CS32&lt;=0,0,IF(WEEKDAY(CS$6,1)=1,0,MAX(0,CS33-10)*CS32))+((IF(CS32&lt;=0,0,IF(WEEKDAY(CS$6,1)=1,0,MIN(10,CS33)*CS32)))-MIN(IF(CS32&lt;=0,0,IF(WEEKDAY(CS$6,1)=1,0,MIN(10,CS33)*CS32)),MAX(0,40*MAX(1,CS32)-(CQ34+CR34)))))</f>
        <v>3</v>
      </c>
      <c r="CT35" s="63">
        <f>IF(AND(CT32=1,CT33=13),3,IF(CT32&lt;=0,0,IF(WEEKDAY(CT$6,1)=1,0,MAX(0,CT33-10)*CT32))+((IF(CT32&lt;=0,0,IF(WEEKDAY(CT$6,1)=1,0,MIN(10,CT33)*CT32)))-MIN(IF(CT32&lt;=0,0,IF(WEEKDAY(CT$6,1)=1,0,MIN(10,CT33)*CT32)),MAX(0,40*MAX(1,CT32)-(CQ34+CR34+CS34)))))</f>
        <v>3</v>
      </c>
      <c r="CU35" s="63">
        <f>IF(AND(CU32=1,CU33=13),13,IF(CU32&lt;=0,0,IF(WEEKDAY(CU$6,1)=1,0,MAX(0,CU33-10)*CU32))+((IF(CU32&lt;=0,0,IF(WEEKDAY(CU$6,1)=1,0,MIN(10,CU33)*CU32)))-MIN(IF(CU32&lt;=0,0,IF(WEEKDAY(CU$6,1)=1,0,MIN(10,CU33)*CU32)),MAX(0,40*MAX(1,CU32)-(CQ34+CR34+CS34+CT34)))))</f>
        <v>13</v>
      </c>
      <c r="CV35" s="64">
        <f>IF(AND(CV32=1,CV33=13),13,IF(CV32&lt;=0,0,IF(WEEKDAY(CV$6,1)=1,0,MAX(0,CV33-10)*CV32))+((IF(CV32&lt;=0,0,IF(WEEKDAY(CV$6,1)=1,0,MIN(10,CV33)*CV32)))-MIN(IF(CV32&lt;=0,0,IF(WEEKDAY(CV$6,1)=1,0,MIN(10,CV33)*CV32)),MAX(0,40*MAX(1,CV32)-(CQ34+CR34+CS34+CT34+CU34)))))</f>
        <v>13</v>
      </c>
      <c r="CW35" s="64">
        <f>IF(AND(CW32=1,CW33=13),0,IF(CW32&lt;=0,0,IF(WEEKDAY(CW$6,1)=1,0,MAX(0,CW33-10)*CW32))+((IF(CW32&lt;=0,0,IF(WEEKDAY(CW$6,1)=1,0,MIN(10,CW33)*CW32)))-MIN(IF(CW32&lt;=0,0,IF(WEEKDAY(CW$6,1)=1,0,MIN(10,CW33)*CW32)),MAX(0,40*MAX(1,CW32)-(CQ34+CR34+CS34+CT34+CU34+CV34)))))</f>
        <v>0</v>
      </c>
      <c r="CX35" s="63">
        <f>IF(AND(CX32=1,CX33=13),3,IF(CX32&lt;=0,0,IF(WEEKDAY(CX$6,1)=1,0,MAX(0,CX33-10)*CX32))+((IF(CX32&lt;=0,0,IF(WEEKDAY(CX$6,1)=1,0,MIN(10,CX33)*CX32)))-MIN(IF(CX32&lt;=0,0,IF(WEEKDAY(CX$6,1)=1,0,MIN(10,CX33)*CX32)),MAX(0,40*MAX(1,CX32)-(0)))))</f>
        <v>3</v>
      </c>
      <c r="CY35" s="63">
        <f>IF(AND(CY32=1,CY33=13),3,IF(CY32&lt;=0,0,IF(WEEKDAY(CY$6,1)=1,0,MAX(0,CY33-10)*CY32))+((IF(CY32&lt;=0,0,IF(WEEKDAY(CY$6,1)=1,0,MIN(10,CY33)*CY32)))-MIN(IF(CY32&lt;=0,0,IF(WEEKDAY(CY$6,1)=1,0,MIN(10,CY33)*CY32)),MAX(0,40*MAX(1,CY32)-(CX34)))))</f>
        <v>3</v>
      </c>
      <c r="CZ35" s="63">
        <f>IF(AND(CZ32=1,CZ33=13),3,IF(CZ32&lt;=0,0,IF(WEEKDAY(CZ$6,1)=1,0,MAX(0,CZ33-10)*CZ32))+((IF(CZ32&lt;=0,0,IF(WEEKDAY(CZ$6,1)=1,0,MIN(10,CZ33)*CZ32)))-MIN(IF(CZ32&lt;=0,0,IF(WEEKDAY(CZ$6,1)=1,0,MIN(10,CZ33)*CZ32)),MAX(0,40*MAX(1,CZ32)-(CX34+CY34)))))</f>
        <v>3</v>
      </c>
      <c r="DA35" s="63">
        <f>IF(AND(DA32=1,DA33=13),3,IF(DA32&lt;=0,0,IF(WEEKDAY(DA$6,1)=1,0,MAX(0,DA33-10)*DA32))+((IF(DA32&lt;=0,0,IF(WEEKDAY(DA$6,1)=1,0,MIN(10,DA33)*DA32)))-MIN(IF(DA32&lt;=0,0,IF(WEEKDAY(DA$6,1)=1,0,MIN(10,DA33)*DA32)),MAX(0,40*MAX(1,DA32)-(CX34+CY34+CZ34)))))</f>
        <v>3</v>
      </c>
      <c r="DB35" s="63">
        <f>IF(AND(DB32=1,DB33=13),13,IF(DB32&lt;=0,0,IF(WEEKDAY(DB$6,1)=1,0,MAX(0,DB33-10)*DB32))+((IF(DB32&lt;=0,0,IF(WEEKDAY(DB$6,1)=1,0,MIN(10,DB33)*DB32)))-MIN(IF(DB32&lt;=0,0,IF(WEEKDAY(DB$6,1)=1,0,MIN(10,DB33)*DB32)),MAX(0,40*MAX(1,DB32)-(CX34+CY34+CZ34+DA34)))))</f>
        <v>13</v>
      </c>
      <c r="DC35" s="64">
        <f>IF(AND(DC32=1,DC33=13),13,IF(DC32&lt;=0,0,IF(WEEKDAY(DC$6,1)=1,0,MAX(0,DC33-10)*DC32))+((IF(DC32&lt;=0,0,IF(WEEKDAY(DC$6,1)=1,0,MIN(10,DC33)*DC32)))-MIN(IF(DC32&lt;=0,0,IF(WEEKDAY(DC$6,1)=1,0,MIN(10,DC33)*DC32)),MAX(0,40*MAX(1,DC32)-(CX34+CY34+CZ34+DA34+DB34)))))</f>
        <v>13</v>
      </c>
      <c r="DD35" s="64">
        <f>IF(AND(DD32=1,DD33=13),0,IF(DD32&lt;=0,0,IF(WEEKDAY(DD$6,1)=1,0,MAX(0,DD33-10)*DD32))+((IF(DD32&lt;=0,0,IF(WEEKDAY(DD$6,1)=1,0,MIN(10,DD33)*DD32)))-MIN(IF(DD32&lt;=0,0,IF(WEEKDAY(DD$6,1)=1,0,MIN(10,DD33)*DD32)),MAX(0,40*MAX(1,DD32)-(0)))))</f>
        <v>0</v>
      </c>
      <c r="DE35" s="63">
        <f>IF(AND(DE32=1,DE33=13),3,IF(DE32&lt;=0,0,IF(WEEKDAY(DE$6,1)=1,0,MAX(0,DE33-10)*DE32))+((IF(DE32&lt;=0,0,IF(WEEKDAY(DE$6,1)=1,0,MIN(10,DE33)*DE32)))-MIN(IF(DE32&lt;=0,0,IF(WEEKDAY(DE$6,1)=1,0,MIN(10,DE33)*DE32)),MAX(0,40*MAX(1,DE32)-(0)))))</f>
        <v>3</v>
      </c>
      <c r="DF35" s="63">
        <f>IF(AND(DF32=1,DF33=13),3,IF(DF32&lt;=0,0,IF(WEEKDAY(DF$6,1)=1,0,MAX(0,DF33-10)*DF32))+((IF(DF32&lt;=0,0,IF(WEEKDAY(DF$6,1)=1,0,MIN(10,DF33)*DF32)))-MIN(IF(DF32&lt;=0,0,IF(WEEKDAY(DF$6,1)=1,0,MIN(10,DF33)*DF32)),MAX(0,40*MAX(1,DF32)-(DE34)))))</f>
        <v>3</v>
      </c>
      <c r="DG35" s="63">
        <f>IF(AND(DG32=1,DG33=13),3,IF(DG32&lt;=0,0,IF(WEEKDAY(DG$6,1)=1,0,MAX(0,DG33-10)*DG32))+((IF(DG32&lt;=0,0,IF(WEEKDAY(DG$6,1)=1,0,MIN(10,DG33)*DG32)))-MIN(IF(DG32&lt;=0,0,IF(WEEKDAY(DG$6,1)=1,0,MIN(10,DG33)*DG32)),MAX(0,40*MAX(1,DG32)-(DE34+DF34)))))</f>
        <v>3</v>
      </c>
      <c r="DH35" s="63">
        <f>IF(AND(DH32=1,DH33=13),3,IF(DH32&lt;=0,0,IF(WEEKDAY(DH$6,1)=1,0,MAX(0,DH33-10)*DH32))+((IF(DH32&lt;=0,0,IF(WEEKDAY(DH$6,1)=1,0,MIN(10,DH33)*DH32)))-MIN(IF(DH32&lt;=0,0,IF(WEEKDAY(DH$6,1)=1,0,MIN(10,DH33)*DH32)),MAX(0,40*MAX(1,DH32)-(DE34+DF34+DG34)))))</f>
        <v>3</v>
      </c>
      <c r="DI35" s="63">
        <f>IF(AND(DI32=1,DI33=13),13,IF(DI32&lt;=0,0,IF(WEEKDAY(DI$6,1)=1,0,MAX(0,DI33-10)*DI32))+((IF(DI32&lt;=0,0,IF(WEEKDAY(DI$6,1)=1,0,MIN(10,DI33)*DI32)))-MIN(IF(DI32&lt;=0,0,IF(WEEKDAY(DI$6,1)=1,0,MIN(10,DI33)*DI32)),MAX(0,40*MAX(1,DI32)-(DE34+DF34+DG34+DH34)))))</f>
        <v>13</v>
      </c>
      <c r="DJ35" s="64">
        <f>IF(AND(DJ32=1,DJ33=13),13,IF(DJ32&lt;=0,0,IF(WEEKDAY(DJ$6,1)=1,0,MAX(0,DJ33-10)*DJ32))+((IF(DJ32&lt;=0,0,IF(WEEKDAY(DJ$6,1)=1,0,MIN(10,DJ33)*DJ32)))-MIN(IF(DJ32&lt;=0,0,IF(WEEKDAY(DJ$6,1)=1,0,MIN(10,DJ33)*DJ32)),MAX(0,40*MAX(1,DJ32)-(DE34+DF34+DG34+DH34+DI34)))))</f>
        <v>13</v>
      </c>
      <c r="DK35" s="64">
        <f>IF(AND(DK32=0,DK33=0),0,IF(DK32&lt;=0,0,IF(WEEKDAY(DK$6,1)=1,0,MAX(0,DK33-10)*DK32))+((IF(DK32&lt;=0,0,IF(WEEKDAY(DK$6,1)=1,0,MIN(10,DK33)*DK32)))-MIN(IF(DK32&lt;=0,0,IF(WEEKDAY(DK$6,1)=1,0,MIN(10,DK33)*DK32)),MAX(0,40*MAX(1,DK32)-(0)))))</f>
        <v>0</v>
      </c>
      <c r="DL35" s="63">
        <f>IF(AND(DL32=1,DL33=13),3,IF(DL32&lt;=0,0,IF(WEEKDAY(DL$6,1)=1,0,MAX(0,DL33-10)*DL32))+((IF(DL32&lt;=0,0,IF(WEEKDAY(DL$6,1)=1,0,MIN(10,DL33)*DL32)))-MIN(IF(DL32&lt;=0,0,IF(WEEKDAY(DL$6,1)=1,0,MIN(10,DL33)*DL32)),MAX(0,40*MAX(1,DL32)-(0)))))</f>
        <v>3</v>
      </c>
      <c r="DM35" s="63">
        <f>IF(AND(DM32=1,DM33=13),3,IF(DM32&lt;=0,0,IF(WEEKDAY(DM$6,1)=1,0,MAX(0,DM33-10)*DM32))+((IF(DM32&lt;=0,0,IF(WEEKDAY(DM$6,1)=1,0,MIN(10,DM33)*DM32)))-MIN(IF(DM32&lt;=0,0,IF(WEEKDAY(DM$6,1)=1,0,MIN(10,DM33)*DM32)),MAX(0,40*MAX(1,DM32)-(DL34)))))</f>
        <v>3</v>
      </c>
      <c r="DN35" s="63">
        <f>IF(AND(DN32=1,DN33=13),3,IF(DN32&lt;=0,0,IF(WEEKDAY(DN$6,1)=1,0,MAX(0,DN33-10)*DN32))+((IF(DN32&lt;=0,0,IF(WEEKDAY(DN$6,1)=1,0,MIN(10,DN33)*DN32)))-MIN(IF(DN32&lt;=0,0,IF(WEEKDAY(DN$6,1)=1,0,MIN(10,DN33)*DN32)),MAX(0,40*MAX(1,DN32)-(DL34+DM34)))))</f>
        <v>3</v>
      </c>
      <c r="DO35" s="63">
        <f>IF(AND(DO32=1,DO33=13),3,IF(DO32&lt;=0,0,IF(WEEKDAY(DO$6,1)=1,0,MAX(0,DO33-10)*DO32))+((IF(DO32&lt;=0,0,IF(WEEKDAY(DO$6,1)=1,0,MIN(10,DO33)*DO32)))-MIN(IF(DO32&lt;=0,0,IF(WEEKDAY(DO$6,1)=1,0,MIN(10,DO33)*DO32)),MAX(0,40*MAX(1,DO32)-(DL34+DM34+DN34)))))</f>
        <v>3</v>
      </c>
      <c r="DP35" s="63">
        <f>IF(AND(DP32=1,DP33=13),13,IF(DP32&lt;=0,0,IF(WEEKDAY(DP$6,1)=1,0,MAX(0,DP33-10)*DP32))+((IF(DP32&lt;=0,0,IF(WEEKDAY(DP$6,1)=1,0,MIN(10,DP33)*DP32)))-MIN(IF(DP32&lt;=0,0,IF(WEEKDAY(DP$6,1)=1,0,MIN(10,DP33)*DP32)),MAX(0,40*MAX(1,DP32)-(DL34+DM34+DN34+DO34)))))</f>
        <v>13</v>
      </c>
      <c r="DQ35" s="64">
        <f>IF(AND(DQ32=1,DQ33=13),13,IF(DQ32&lt;=0,0,IF(WEEKDAY(DQ$6,1)=1,0,MAX(0,DQ33-10)*DQ32))+((IF(DQ32&lt;=0,0,IF(WEEKDAY(DQ$6,1)=1,0,MIN(10,DQ33)*DQ32)))-MIN(IF(DQ32&lt;=0,0,IF(WEEKDAY(DQ$6,1)=1,0,MIN(10,DQ33)*DQ32)),MAX(0,40*MAX(1,DQ32)-(DL34+DM34+DN34+DO34+DP34)))))</f>
        <v>13</v>
      </c>
      <c r="DR35" s="64">
        <f>IF(AND(DR32=1,DR33=13),0,IF(DR32&lt;=0,0,IF(WEEKDAY(DR$6,1)=1,0,MAX(0,DR33-10)*DR32))+((IF(DR32&lt;=0,0,IF(WEEKDAY(DR$6,1)=1,0,MIN(10,DR33)*DR32)))-MIN(IF(DR32&lt;=0,0,IF(WEEKDAY(DR$6,1)=1,0,MIN(10,DR33)*DR32)),MAX(0,40*MAX(1,DR32)-(DL34+DM34+DN34+DO34+DP34+DQ34)))))</f>
        <v>0</v>
      </c>
      <c r="DS35" s="63">
        <f>IF(AND(DS32=1,DS33=13),3,IF(DS32&lt;=0,0,IF(WEEKDAY(DS$6,1)=1,0,MAX(0,DS33-10)*DS32))+((IF(DS32&lt;=0,0,IF(WEEKDAY(DS$6,1)=1,0,MIN(10,DS33)*DS32)))-MIN(IF(DS32&lt;=0,0,IF(WEEKDAY(DS$6,1)=1,0,MIN(10,DS33)*DS32)),MAX(0,40*MAX(1,DS32)-(0)))))</f>
        <v>3</v>
      </c>
      <c r="DT35" s="63">
        <f>IF(AND(DT32=0,DT33=0),0,IF(DT32&lt;=0,0,IF(WEEKDAY(DT$6,1)=1,0,MAX(0,DT33-10)*DT32))+((IF(DT32&lt;=0,0,IF(WEEKDAY(DT$6,1)=1,0,MIN(10,DT33)*DT32)))-MIN(IF(DT32&lt;=0,0,IF(WEEKDAY(DT$6,1)=1,0,MIN(10,DT33)*DT32)),MAX(0,40*MAX(1,DT32)-(0)))))</f>
        <v>0</v>
      </c>
      <c r="DU35" s="63">
        <f>IF(AND(DU32=0,DU33=0),0,IF(DU32&lt;=0,0,IF(WEEKDAY(DU$6,1)=1,0,MAX(0,DU33-10)*DU32))+((IF(DU32&lt;=0,0,IF(WEEKDAY(DU$6,1)=1,0,MIN(10,DU33)*DU32)))-MIN(IF(DU32&lt;=0,0,IF(WEEKDAY(DU$6,1)=1,0,MIN(10,DU33)*DU32)),MAX(0,40*MAX(1,DU32)-(DT34)))))</f>
        <v>0</v>
      </c>
      <c r="DV35" s="63">
        <f>IF(AND(DV32=0,DV33=0),0,IF(DV32&lt;=0,0,IF(WEEKDAY(DV$6,1)=1,0,MAX(0,DV33-10)*DV32))+((IF(DV32&lt;=0,0,IF(WEEKDAY(DV$6,1)=1,0,MIN(10,DV33)*DV32)))-MIN(IF(DV32&lt;=0,0,IF(WEEKDAY(DV$6,1)=1,0,MIN(10,DV33)*DV32)),MAX(0,40*MAX(1,DV32)-(DT34+DU34)))))</f>
        <v>0</v>
      </c>
      <c r="DW35" s="63">
        <f>IF(AND(DW32=0,DW33=0),0,IF(DW32&lt;=0,0,IF(WEEKDAY(DW$6,1)=1,0,MAX(0,DW33-10)*DW32))+((IF(DW32&lt;=0,0,IF(WEEKDAY(DW$6,1)=1,0,MIN(10,DW33)*DW32)))-MIN(IF(DW32&lt;=0,0,IF(WEEKDAY(DW$6,1)=1,0,MIN(10,DW33)*DW32)),MAX(0,40*MAX(1,DW32)-(DT34+DU34+DV34)))))</f>
        <v>0</v>
      </c>
      <c r="DX35" s="64">
        <f>IF(AND(DX32=0,DX33=0),0,IF(DX32&lt;=0,0,IF(WEEKDAY(DX$6,1)=1,0,MAX(0,DX33-10)*DX32))+((IF(DX32&lt;=0,0,IF(WEEKDAY(DX$6,1)=1,0,MIN(10,DX33)*DX32)))-MIN(IF(DX32&lt;=0,0,IF(WEEKDAY(DX$6,1)=1,0,MIN(10,DX33)*DX32)),MAX(0,40*MAX(1,DX32)-(DT34+DU34+DV34+DW34)))))</f>
        <v>0</v>
      </c>
      <c r="DY35" s="64">
        <f>IF(AND(DY32=0,DY33=0),0,IF(DY32&lt;=0,0,IF(WEEKDAY(DY$6,1)=1,0,MAX(0,DY33-10)*DY32))+((IF(DY32&lt;=0,0,IF(WEEKDAY(DY$6,1)=1,0,MIN(10,DY33)*DY32)))-MIN(IF(DY32&lt;=0,0,IF(WEEKDAY(DY$6,1)=1,0,MIN(10,DY33)*DY32)),MAX(0,40*MAX(1,DY32)-(DT34+DU34+DV34+DW34+DX34)))))</f>
        <v>0</v>
      </c>
      <c r="DZ35" s="63">
        <f>IF(AND(DZ32=0,DZ33=0),0,IF(DZ32&lt;=0,0,IF(WEEKDAY(DZ$6,1)=1,0,MAX(0,DZ33-10)*DZ32))+((IF(DZ32&lt;=0,0,IF(WEEKDAY(DZ$6,1)=1,0,MIN(10,DZ33)*DZ32)))-MIN(IF(DZ32&lt;=0,0,IF(WEEKDAY(DZ$6,1)=1,0,MIN(10,DZ33)*DZ32)),MAX(0,40*MAX(1,DZ32)-(0)))))</f>
        <v>0</v>
      </c>
      <c r="EA35" s="63">
        <f>IF(AND(EA32=0,EA33=0),0,IF(EA32&lt;=0,0,IF(WEEKDAY(EA$6,1)=1,0,MAX(0,EA33-10)*EA32))+((IF(EA32&lt;=0,0,IF(WEEKDAY(EA$6,1)=1,0,MIN(10,EA33)*EA32)))-MIN(IF(EA32&lt;=0,0,IF(WEEKDAY(EA$6,1)=1,0,MIN(10,EA33)*EA32)),MAX(0,40*MAX(1,EA32)-(DZ34)))))</f>
        <v>0</v>
      </c>
      <c r="EB35" s="63">
        <f>IF(AND(EB32=0,EB33=0),0,IF(EB32&lt;=0,0,IF(WEEKDAY(EB$6,1)=1,0,MAX(0,EB33-10)*EB32))+((IF(EB32&lt;=0,0,IF(WEEKDAY(EB$6,1)=1,0,MIN(10,EB33)*EB32)))-MIN(IF(EB32&lt;=0,0,IF(WEEKDAY(EB$6,1)=1,0,MIN(10,EB33)*EB32)),MAX(0,40*MAX(1,EB32)-(DZ34+EA34)))))</f>
        <v>0</v>
      </c>
      <c r="EC35" s="63">
        <f>IF(AND(EC32=0,EC33=0),0,IF(EC32&lt;=0,0,IF(WEEKDAY(EC$6,1)=1,0,MAX(0,EC33-10)*EC32))+((IF(EC32&lt;=0,0,IF(WEEKDAY(EC$6,1)=1,0,MIN(10,EC33)*EC32)))-MIN(IF(EC32&lt;=0,0,IF(WEEKDAY(EC$6,1)=1,0,MIN(10,EC33)*EC32)),MAX(0,40*MAX(1,EC32)-(DZ34+EA34+EB34)))))</f>
        <v>0</v>
      </c>
      <c r="ED35" s="63">
        <f>IF(AND(ED32=0,ED33=0),0,IF(ED32&lt;=0,0,IF(WEEKDAY(ED$6,1)=1,0,MAX(0,ED33-10)*ED32))+((IF(ED32&lt;=0,0,IF(WEEKDAY(ED$6,1)=1,0,MIN(10,ED33)*ED32)))-MIN(IF(ED32&lt;=0,0,IF(WEEKDAY(ED$6,1)=1,0,MIN(10,ED33)*ED32)),MAX(0,40*MAX(1,ED32)-(DZ34+EA34+EB34+EC34)))))</f>
        <v>0</v>
      </c>
      <c r="EE35" s="64">
        <f>IF(AND(EE32=0,EE33=0),0,IF(EE32&lt;=0,0,IF(WEEKDAY(EE$6,1)=1,0,MAX(0,EE33-10)*EE32))+((IF(EE32&lt;=0,0,IF(WEEKDAY(EE$6,1)=1,0,MIN(10,EE33)*EE32)))-MIN(IF(EE32&lt;=0,0,IF(WEEKDAY(EE$6,1)=1,0,MIN(10,EE33)*EE32)),MAX(0,40*MAX(1,EE32)-(DZ34+EA34+EB34+EC34+ED34)))))</f>
        <v>0</v>
      </c>
      <c r="EF35" s="64">
        <f>IF(AND(EF32=0,EF33=0),0,IF(EF32&lt;=0,0,IF(WEEKDAY(EF$6,1)=1,0,MAX(0,EF33-10)*EF32))+((IF(EF32&lt;=0,0,IF(WEEKDAY(EF$6,1)=1,0,MIN(10,EF33)*EF32)))-MIN(IF(EF32&lt;=0,0,IF(WEEKDAY(EF$6,1)=1,0,MIN(10,EF33)*EF32)),MAX(0,40*MAX(1,EF32)-(DZ34+EA34+EB34+EC34+ED34+EE34)))))</f>
        <v>0</v>
      </c>
      <c r="EG35" s="63">
        <f>IF(AND(EG32=0,EG33=0),0,IF(EG32&lt;=0,0,IF(WEEKDAY(EG$6,1)=1,0,MAX(0,EG33-10)*EG32))+((IF(EG32&lt;=0,0,IF(WEEKDAY(EG$6,1)=1,0,MIN(10,EG33)*EG32)))-MIN(IF(EG32&lt;=0,0,IF(WEEKDAY(EG$6,1)=1,0,MIN(10,EG33)*EG32)),MAX(0,40*MAX(1,EG32)-(0)))))</f>
        <v>0</v>
      </c>
      <c r="EH35" s="63">
        <f>IF(AND(EH32=0,EH33=0),0,IF(EH32&lt;=0,0,IF(WEEKDAY(EH$6,1)=1,0,MAX(0,EH33-10)*EH32))+((IF(EH32&lt;=0,0,IF(WEEKDAY(EH$6,1)=1,0,MIN(10,EH33)*EH32)))-MIN(IF(EH32&lt;=0,0,IF(WEEKDAY(EH$6,1)=1,0,MIN(10,EH33)*EH32)),MAX(0,40*MAX(1,EH32)-(EG34)))))</f>
        <v>0</v>
      </c>
      <c r="EI35" s="63">
        <f>IF(AND(EI32=0,EI33=0),0,IF(EI32&lt;=0,0,IF(WEEKDAY(EI$6,1)=1,0,MAX(0,EI33-10)*EI32))+((IF(EI32&lt;=0,0,IF(WEEKDAY(EI$6,1)=1,0,MIN(10,EI33)*EI32)))-MIN(IF(EI32&lt;=0,0,IF(WEEKDAY(EI$6,1)=1,0,MIN(10,EI33)*EI32)),MAX(0,40*MAX(1,EI32)-(EG34+EH34)))))</f>
        <v>0</v>
      </c>
      <c r="EJ35" s="63">
        <f>IF(AND(EJ32=0,EJ33=0),0,IF(EJ32&lt;=0,0,IF(WEEKDAY(EJ$6,1)=1,0,MAX(0,EJ33-10)*EJ32))+((IF(EJ32&lt;=0,0,IF(WEEKDAY(EJ$6,1)=1,0,MIN(10,EJ33)*EJ32)))-MIN(IF(EJ32&lt;=0,0,IF(WEEKDAY(EJ$6,1)=1,0,MIN(10,EJ33)*EJ32)),MAX(0,40*MAX(1,EJ32)-(EG34+EH34+EI34)))))</f>
        <v>0</v>
      </c>
      <c r="EK35" s="65">
        <f>IF(AND(EK32=0,EK33=0),0,IF(EK32&lt;=0,0,IF(WEEKDAY(EK$6,1)=1,0,MAX(0,EK33-10)*EK32))+((IF(EK32&lt;=0,0,IF(WEEKDAY(EK$6,1)=1,0,MIN(10,EK33)*EK32)))-MIN(IF(EK32&lt;=0,0,IF(WEEKDAY(EK$6,1)=1,0,MIN(10,EK33)*EK32)),MAX(0,40*MAX(1,EK32)-(EG34+EH34+EI34+EJ34)))))</f>
        <v>0</v>
      </c>
      <c r="OU35" s="28" t="s">
        <v>71</v>
      </c>
    </row>
    <row r="36" ht="16" customHeight="1" spans="1:411" x14ac:dyDescent="0.25">
      <c r="A36" s="74"/>
      <c r="B36" s="46"/>
      <c r="C36" s="61">
        <f>H31*N(D36)</f>
        <v>18638.88</v>
      </c>
      <c r="D36" s="61">
        <f>IF(TRIM(B31)="","No rate",IFERROR(INDEX('Rate Tables'!E$7:E$158,MATCH(B31,'Rate Tables'!A$7:A$158,0)),"No rate"))</f>
        <v>238.96</v>
      </c>
      <c r="E36" s="55" t="s">
        <v>64</v>
      </c>
      <c r="F36" s="49"/>
      <c r="G36" s="49"/>
      <c r="H36" s="49"/>
      <c r="I36" s="49"/>
      <c r="J36" s="50"/>
      <c r="K36" s="62">
        <f>IF(AND(K32=0,K33=0),0,IF(K32&lt;=0,0,IF(WEEKDAY(K$6,1)=1,K32*K33,0)))</f>
        <v>0</v>
      </c>
      <c r="L36" s="63">
        <f>IF(AND(L32=0,L33=0),0,IF(L32&lt;=0,0,IF(WEEKDAY(L$6,1)=1,L32*L33,0)))</f>
        <v>0</v>
      </c>
      <c r="M36" s="63">
        <f>IF(AND(M32=0,M33=0),0,IF(M32&lt;=0,0,IF(WEEKDAY(M$6,1)=1,M32*M33,0)))</f>
        <v>0</v>
      </c>
      <c r="N36" s="63">
        <f>IF(AND(N32=0,N33=0),0,IF(N32&lt;=0,0,IF(WEEKDAY(N$6,1)=1,N32*N33,0)))</f>
        <v>0</v>
      </c>
      <c r="O36" s="63">
        <f>IF(AND(O32=0,O33=0),0,IF(O32&lt;=0,0,IF(WEEKDAY(O$6,1)=1,O32*O33,0)))</f>
        <v>0</v>
      </c>
      <c r="P36" s="64">
        <f>IF(AND(P32=0,P33=0),0,IF(P32&lt;=0,0,IF(WEEKDAY(P$6,1)=1,P32*P33,0)))</f>
        <v>0</v>
      </c>
      <c r="Q36" s="64">
        <f>IF(AND(Q32=0,Q33=0),0,IF(Q32&lt;=0,0,IF(WEEKDAY(Q$6,1)=1,Q32*Q33,0)))</f>
        <v>0</v>
      </c>
      <c r="R36" s="63">
        <f>IF(AND(R32=0,R33=0),0,IF(R32&lt;=0,0,IF(WEEKDAY(R$6,1)=1,R32*R33,0)))</f>
        <v>0</v>
      </c>
      <c r="S36" s="63">
        <f>IF(AND(S32=0,S33=0),0,IF(S32&lt;=0,0,IF(WEEKDAY(S$6,1)=1,S32*S33,0)))</f>
        <v>0</v>
      </c>
      <c r="T36" s="63">
        <f>IF(AND(T32=0,T33=0),0,IF(T32&lt;=0,0,IF(WEEKDAY(T$6,1)=1,T32*T33,0)))</f>
        <v>0</v>
      </c>
      <c r="U36" s="63">
        <f>IF(AND(U32=0,U33=0),0,IF(U32&lt;=0,0,IF(WEEKDAY(U$6,1)=1,U32*U33,0)))</f>
        <v>0</v>
      </c>
      <c r="V36" s="63">
        <f>IF(AND(V32=0,V33=0),0,IF(V32&lt;=0,0,IF(WEEKDAY(V$6,1)=1,V32*V33,0)))</f>
        <v>0</v>
      </c>
      <c r="W36" s="64">
        <f>IF(AND(W32=0,W33=0),0,IF(W32&lt;=0,0,IF(WEEKDAY(W$6,1)=1,W32*W33,0)))</f>
        <v>0</v>
      </c>
      <c r="X36" s="64">
        <f>IF(AND(X32=0,X33=0),0,IF(X32&lt;=0,0,IF(WEEKDAY(X$6,1)=1,X32*X33,0)))</f>
        <v>0</v>
      </c>
      <c r="Y36" s="63">
        <f>IF(AND(Y32=0,Y33=0),0,IF(Y32&lt;=0,0,IF(WEEKDAY(Y$6,1)=1,Y32*Y33,0)))</f>
        <v>0</v>
      </c>
      <c r="Z36" s="63">
        <f>IF(AND(Z32=0,Z33=0),0,IF(Z32&lt;=0,0,IF(WEEKDAY(Z$6,1)=1,Z32*Z33,0)))</f>
        <v>0</v>
      </c>
      <c r="AA36" s="63">
        <f>IF(AND(AA32=0,AA33=0),0,IF(AA32&lt;=0,0,IF(WEEKDAY(AA$6,1)=1,AA32*AA33,0)))</f>
        <v>0</v>
      </c>
      <c r="AB36" s="63">
        <f>IF(AND(AB32=0,AB33=0),0,IF(AB32&lt;=0,0,IF(WEEKDAY(AB$6,1)=1,AB32*AB33,0)))</f>
        <v>0</v>
      </c>
      <c r="AC36" s="63">
        <f>IF(AND(AC32=0,AC33=0),0,IF(AC32&lt;=0,0,IF(WEEKDAY(AC$6,1)=1,AC32*AC33,0)))</f>
        <v>0</v>
      </c>
      <c r="AD36" s="64">
        <f>IF(AND(AD32=0,AD33=0),0,IF(AD32&lt;=0,0,IF(WEEKDAY(AD$6,1)=1,AD32*AD33,0)))</f>
        <v>0</v>
      </c>
      <c r="AE36" s="64">
        <f>IF(AND(AE32=0,AE33=0),0,IF(AE32&lt;=0,0,IF(WEEKDAY(AE$6,1)=1,AE32*AE33,0)))</f>
        <v>0</v>
      </c>
      <c r="AF36" s="63">
        <f>IF(AND(AF32=0,AF33=0),0,IF(AF32&lt;=0,0,IF(WEEKDAY(AF$6,1)=1,AF32*AF33,0)))</f>
        <v>0</v>
      </c>
      <c r="AG36" s="63">
        <f>IF(AND(AG32=0,AG33=0),0,IF(AG32&lt;=0,0,IF(WEEKDAY(AG$6,1)=1,AG32*AG33,0)))</f>
        <v>0</v>
      </c>
      <c r="AH36" s="63">
        <f>IF(AND(AH32=0,AH33=0),0,IF(AH32&lt;=0,0,IF(WEEKDAY(AH$6,1)=1,AH32*AH33,0)))</f>
        <v>0</v>
      </c>
      <c r="AI36" s="63">
        <f>IF(AND(AI32=0,AI33=0),0,IF(AI32&lt;=0,0,IF(WEEKDAY(AI$6,1)=1,AI32*AI33,0)))</f>
        <v>0</v>
      </c>
      <c r="AJ36" s="63">
        <f>IF(AND(AJ32=0,AJ33=0),0,IF(AJ32&lt;=0,0,IF(WEEKDAY(AJ$6,1)=1,AJ32*AJ33,0)))</f>
        <v>0</v>
      </c>
      <c r="AK36" s="64">
        <f>IF(AND(AK32=0,AK33=0),0,IF(AK32&lt;=0,0,IF(WEEKDAY(AK$6,1)=1,AK32*AK33,0)))</f>
        <v>0</v>
      </c>
      <c r="AL36" s="64">
        <f>IF(AND(AL32=0,AL33=0),0,IF(AL32&lt;=0,0,IF(WEEKDAY(AL$6,1)=1,AL32*AL33,0)))</f>
        <v>0</v>
      </c>
      <c r="AM36" s="63">
        <f>IF(AND(AM32=0,AM33=0),0,IF(AM32&lt;=0,0,IF(WEEKDAY(AM$6,1)=1,AM32*AM33,0)))</f>
        <v>0</v>
      </c>
      <c r="AN36" s="63">
        <f>IF(AND(AN32=0,AN33=0),0,IF(AN32&lt;=0,0,IF(WEEKDAY(AN$6,1)=1,AN32*AN33,0)))</f>
        <v>0</v>
      </c>
      <c r="AO36" s="63">
        <f>IF(AND(AO32=0,AO33=0),0,IF(AO32&lt;=0,0,IF(WEEKDAY(AO$6,1)=1,AO32*AO33,0)))</f>
        <v>0</v>
      </c>
      <c r="AP36" s="63">
        <f>IF(AND(AP32=0,AP33=0),0,IF(AP32&lt;=0,0,IF(WEEKDAY(AP$6,1)=1,AP32*AP33,0)))</f>
        <v>0</v>
      </c>
      <c r="AQ36" s="63">
        <f>IF(AND(AQ32=0,AQ33=0),0,IF(AQ32&lt;=0,0,IF(WEEKDAY(AQ$6,1)=1,AQ32*AQ33,0)))</f>
        <v>0</v>
      </c>
      <c r="AR36" s="64">
        <f>IF(AND(AR32=0,AR33=0),0,IF(AR32&lt;=0,0,IF(WEEKDAY(AR$6,1)=1,AR32*AR33,0)))</f>
        <v>0</v>
      </c>
      <c r="AS36" s="64">
        <f>IF(AND(AS32=0,AS33=0),0,IF(AS32&lt;=0,0,IF(WEEKDAY(AS$6,1)=1,AS32*AS33,0)))</f>
        <v>0</v>
      </c>
      <c r="AT36" s="63">
        <f>IF(AND(AT32=0,AT33=0),0,IF(AT32&lt;=0,0,IF(WEEKDAY(AT$6,1)=1,AT32*AT33,0)))</f>
        <v>0</v>
      </c>
      <c r="AU36" s="63">
        <f>IF(AND(AU32=0,AU33=0),0,IF(AU32&lt;=0,0,IF(WEEKDAY(AU$6,1)=1,AU32*AU33,0)))</f>
        <v>0</v>
      </c>
      <c r="AV36" s="63">
        <f>IF(AND(AV32=0,AV33=0),0,IF(AV32&lt;=0,0,IF(WEEKDAY(AV$6,1)=1,AV32*AV33,0)))</f>
        <v>0</v>
      </c>
      <c r="AW36" s="63">
        <f>IF(AND(AW32=0,AW33=0),0,IF(AW32&lt;=0,0,IF(WEEKDAY(AW$6,1)=1,AW32*AW33,0)))</f>
        <v>0</v>
      </c>
      <c r="AX36" s="63">
        <f>IF(AND(AX32=0,AX33=0),0,IF(AX32&lt;=0,0,IF(WEEKDAY(AX$6,1)=1,AX32*AX33,0)))</f>
        <v>0</v>
      </c>
      <c r="AY36" s="64">
        <f>IF(AND(AY32=0,AY33=0),0,IF(AY32&lt;=0,0,IF(WEEKDAY(AY$6,1)=1,AY32*AY33,0)))</f>
        <v>0</v>
      </c>
      <c r="AZ36" s="64">
        <f>IF(AND(AZ32=0,AZ33=0),0,IF(AZ32&lt;=0,0,IF(WEEKDAY(AZ$6,1)=1,AZ32*AZ33,0)))</f>
        <v>0</v>
      </c>
      <c r="BA36" s="63">
        <f>IF(AND(BA32=0,BA33=0),0,IF(BA32&lt;=0,0,IF(WEEKDAY(BA$6,1)=1,BA32*BA33,0)))</f>
        <v>0</v>
      </c>
      <c r="BB36" s="63">
        <f>IF(AND(BB32=0,BB33=0),0,IF(BB32&lt;=0,0,IF(WEEKDAY(BB$6,1)=1,BB32*BB33,0)))</f>
        <v>0</v>
      </c>
      <c r="BC36" s="63">
        <f>IF(AND(BC32=0,BC33=0),0,IF(BC32&lt;=0,0,IF(WEEKDAY(BC$6,1)=1,BC32*BC33,0)))</f>
        <v>0</v>
      </c>
      <c r="BD36" s="63">
        <f>IF(AND(BD32=0,BD33=0),0,IF(BD32&lt;=0,0,IF(WEEKDAY(BD$6,1)=1,BD32*BD33,0)))</f>
        <v>0</v>
      </c>
      <c r="BE36" s="63">
        <f>IF(AND(BE32=0,BE33=0),0,IF(BE32&lt;=0,0,IF(WEEKDAY(BE$6,1)=1,BE32*BE33,0)))</f>
        <v>0</v>
      </c>
      <c r="BF36" s="64">
        <f>IF(AND(BF32=0,BF33=0),0,IF(BF32&lt;=0,0,IF(WEEKDAY(BF$6,1)=1,BF32*BF33,0)))</f>
        <v>0</v>
      </c>
      <c r="BG36" s="64">
        <f>IF(AND(BG32=0,BG33=0),0,IF(BG32&lt;=0,0,IF(WEEKDAY(BG$6,1)=1,BG32*BG33,0)))</f>
        <v>0</v>
      </c>
      <c r="BH36" s="63">
        <f>IF(AND(BH32=1,BH33=13),0,IF(BH32&lt;=0,0,IF(WEEKDAY(BH$6,1)=1,BH32*BH33,0)))</f>
        <v>0</v>
      </c>
      <c r="BI36" s="63">
        <f>IF(AND(BI32=1,BI33=13),0,IF(BI32&lt;=0,0,IF(WEEKDAY(BI$6,1)=1,BI32*BI33,0)))</f>
        <v>0</v>
      </c>
      <c r="BJ36" s="63">
        <f>IF(AND(BJ32=1,BJ33=13),0,IF(BJ32&lt;=0,0,IF(WEEKDAY(BJ$6,1)=1,BJ32*BJ33,0)))</f>
        <v>0</v>
      </c>
      <c r="BK36" s="63">
        <f>IF(AND(BK32=1,BK33=13),0,IF(BK32&lt;=0,0,IF(WEEKDAY(BK$6,1)=1,BK32*BK33,0)))</f>
        <v>0</v>
      </c>
      <c r="BL36" s="63">
        <f>IF(AND(BL32=1,BL33=13),0,IF(BL32&lt;=0,0,IF(WEEKDAY(BL$6,1)=1,BL32*BL33,0)))</f>
        <v>0</v>
      </c>
      <c r="BM36" s="64">
        <f>IF(AND(BM32=1,BM33=13),0,IF(BM32&lt;=0,0,IF(WEEKDAY(BM$6,1)=1,BM32*BM33,0)))</f>
        <v>0</v>
      </c>
      <c r="BN36" s="64">
        <f>IF(AND(BN32=1,BN33=13),13,IF(BN32&lt;=0,0,IF(WEEKDAY(BN$6,1)=1,BN32*BN33,0)))</f>
        <v>13</v>
      </c>
      <c r="BO36" s="63">
        <f>IF(AND(BO32=1,BO33=13),0,IF(BO32&lt;=0,0,IF(WEEKDAY(BO$6,1)=1,BO32*BO33,0)))</f>
        <v>0</v>
      </c>
      <c r="BP36" s="63">
        <f>IF(AND(BP32=1,BP33=13),0,IF(BP32&lt;=0,0,IF(WEEKDAY(BP$6,1)=1,BP32*BP33,0)))</f>
        <v>0</v>
      </c>
      <c r="BQ36" s="63">
        <f>IF(AND(BQ32=1,BQ33=13),0,IF(BQ32&lt;=0,0,IF(WEEKDAY(BQ$6,1)=1,BQ32*BQ33,0)))</f>
        <v>0</v>
      </c>
      <c r="BR36" s="63">
        <f>IF(AND(BR32=1,BR33=13),0,IF(BR32&lt;=0,0,IF(WEEKDAY(BR$6,1)=1,BR32*BR33,0)))</f>
        <v>0</v>
      </c>
      <c r="BS36" s="63">
        <f>IF(AND(BS32=1,BS33=13),0,IF(BS32&lt;=0,0,IF(WEEKDAY(BS$6,1)=1,BS32*BS33,0)))</f>
        <v>0</v>
      </c>
      <c r="BT36" s="64">
        <f>IF(AND(BT32=1,BT33=13),0,IF(BT32&lt;=0,0,IF(WEEKDAY(BT$6,1)=1,BT32*BT33,0)))</f>
        <v>0</v>
      </c>
      <c r="BU36" s="64">
        <f>IF(AND(BU32=1,BU33=13),13,IF(BU32&lt;=0,0,IF(WEEKDAY(BU$6,1)=1,BU32*BU33,0)))</f>
        <v>13</v>
      </c>
      <c r="BV36" s="63">
        <f>IF(AND(BV32=1,BV33=13),0,IF(BV32&lt;=0,0,IF(WEEKDAY(BV$6,1)=1,BV32*BV33,0)))</f>
        <v>0</v>
      </c>
      <c r="BW36" s="63">
        <f>IF(AND(BW32=1,BW33=13),0,IF(BW32&lt;=0,0,IF(WEEKDAY(BW$6,1)=1,BW32*BW33,0)))</f>
        <v>0</v>
      </c>
      <c r="BX36" s="63">
        <f>IF(AND(BX32=1,BX33=13),0,IF(BX32&lt;=0,0,IF(WEEKDAY(BX$6,1)=1,BX32*BX33,0)))</f>
        <v>0</v>
      </c>
      <c r="BY36" s="63">
        <f>IF(AND(BY32=1,BY33=13),0,IF(BY32&lt;=0,0,IF(WEEKDAY(BY$6,1)=1,BY32*BY33,0)))</f>
        <v>0</v>
      </c>
      <c r="BZ36" s="63">
        <f>IF(AND(BZ32=1,BZ33=13),0,IF(BZ32&lt;=0,0,IF(WEEKDAY(BZ$6,1)=1,BZ32*BZ33,0)))</f>
        <v>0</v>
      </c>
      <c r="CA36" s="64">
        <f>IF(AND(CA32=1,CA33=13),0,IF(CA32&lt;=0,0,IF(WEEKDAY(CA$6,1)=1,CA32*CA33,0)))</f>
        <v>0</v>
      </c>
      <c r="CB36" s="64">
        <f>IF(AND(CB32=0,CB33=0),0,IF(CB32&lt;=0,0,IF(WEEKDAY(CB$6,1)=1,CB32*CB33,0)))</f>
        <v>0</v>
      </c>
      <c r="CC36" s="63">
        <f>IF(AND(CC32=1,CC33=13),0,IF(CC32&lt;=0,0,IF(WEEKDAY(CC$6,1)=1,CC32*CC33,0)))</f>
        <v>0</v>
      </c>
      <c r="CD36" s="63">
        <f>IF(AND(CD32=1,CD33=13),0,IF(CD32&lt;=0,0,IF(WEEKDAY(CD$6,1)=1,CD32*CD33,0)))</f>
        <v>0</v>
      </c>
      <c r="CE36" s="63">
        <f>IF(AND(CE32=1,CE33=13),0,IF(CE32&lt;=0,0,IF(WEEKDAY(CE$6,1)=1,CE32*CE33,0)))</f>
        <v>0</v>
      </c>
      <c r="CF36" s="63">
        <f>IF(AND(CF32=1,CF33=13),0,IF(CF32&lt;=0,0,IF(WEEKDAY(CF$6,1)=1,CF32*CF33,0)))</f>
        <v>0</v>
      </c>
      <c r="CG36" s="63">
        <f>IF(AND(CG32=1,CG33=13),0,IF(CG32&lt;=0,0,IF(WEEKDAY(CG$6,1)=1,CG32*CG33,0)))</f>
        <v>0</v>
      </c>
      <c r="CH36" s="64">
        <f>IF(AND(CH32=1,CH33=13),0,IF(CH32&lt;=0,0,IF(WEEKDAY(CH$6,1)=1,CH32*CH33,0)))</f>
        <v>0</v>
      </c>
      <c r="CI36" s="64">
        <f>IF(AND(CI32=1,CI33=13),13,IF(CI32&lt;=0,0,IF(WEEKDAY(CI$6,1)=1,CI32*CI33,0)))</f>
        <v>13</v>
      </c>
      <c r="CJ36" s="63">
        <f>IF(AND(CJ32=1,CJ33=13),0,IF(CJ32&lt;=0,0,IF(WEEKDAY(CJ$6,1)=1,CJ32*CJ33,0)))</f>
        <v>0</v>
      </c>
      <c r="CK36" s="63">
        <f>IF(AND(CK32=1,CK33=13),0,IF(CK32&lt;=0,0,IF(WEEKDAY(CK$6,1)=1,CK32*CK33,0)))</f>
        <v>0</v>
      </c>
      <c r="CL36" s="63">
        <f>IF(AND(CL32=1,CL33=13),0,IF(CL32&lt;=0,0,IF(WEEKDAY(CL$6,1)=1,CL32*CL33,0)))</f>
        <v>0</v>
      </c>
      <c r="CM36" s="63">
        <f>IF(AND(CM32=1,CM33=13),0,IF(CM32&lt;=0,0,IF(WEEKDAY(CM$6,1)=1,CM32*CM33,0)))</f>
        <v>0</v>
      </c>
      <c r="CN36" s="63">
        <f>IF(AND(CN32=1,CN33=13),0,IF(CN32&lt;=0,0,IF(WEEKDAY(CN$6,1)=1,CN32*CN33,0)))</f>
        <v>0</v>
      </c>
      <c r="CO36" s="64">
        <f>IF(AND(CO32=1,CO33=13),0,IF(CO32&lt;=0,0,IF(WEEKDAY(CO$6,1)=1,CO32*CO33,0)))</f>
        <v>0</v>
      </c>
      <c r="CP36" s="64">
        <f>IF(AND(CP32=0,CP33=0),0,IF(CP32&lt;=0,0,IF(WEEKDAY(CP$6,1)=1,CP32*CP33,0)))</f>
        <v>0</v>
      </c>
      <c r="CQ36" s="63">
        <f>IF(AND(CQ32=1,CQ33=13),0,IF(CQ32&lt;=0,0,IF(WEEKDAY(CQ$6,1)=1,CQ32*CQ33,0)))</f>
        <v>0</v>
      </c>
      <c r="CR36" s="63">
        <f>IF(AND(CR32=1,CR33=13),0,IF(CR32&lt;=0,0,IF(WEEKDAY(CR$6,1)=1,CR32*CR33,0)))</f>
        <v>0</v>
      </c>
      <c r="CS36" s="63">
        <f>IF(AND(CS32=1,CS33=13),0,IF(CS32&lt;=0,0,IF(WEEKDAY(CS$6,1)=1,CS32*CS33,0)))</f>
        <v>0</v>
      </c>
      <c r="CT36" s="63">
        <f>IF(AND(CT32=1,CT33=13),0,IF(CT32&lt;=0,0,IF(WEEKDAY(CT$6,1)=1,CT32*CT33,0)))</f>
        <v>0</v>
      </c>
      <c r="CU36" s="63">
        <f>IF(AND(CU32=1,CU33=13),0,IF(CU32&lt;=0,0,IF(WEEKDAY(CU$6,1)=1,CU32*CU33,0)))</f>
        <v>0</v>
      </c>
      <c r="CV36" s="64">
        <f>IF(AND(CV32=1,CV33=13),0,IF(CV32&lt;=0,0,IF(WEEKDAY(CV$6,1)=1,CV32*CV33,0)))</f>
        <v>0</v>
      </c>
      <c r="CW36" s="64">
        <f>IF(AND(CW32=1,CW33=13),13,IF(CW32&lt;=0,0,IF(WEEKDAY(CW$6,1)=1,CW32*CW33,0)))</f>
        <v>13</v>
      </c>
      <c r="CX36" s="63">
        <f>IF(AND(CX32=1,CX33=13),0,IF(CX32&lt;=0,0,IF(WEEKDAY(CX$6,1)=1,CX32*CX33,0)))</f>
        <v>0</v>
      </c>
      <c r="CY36" s="63">
        <f>IF(AND(CY32=1,CY33=13),0,IF(CY32&lt;=0,0,IF(WEEKDAY(CY$6,1)=1,CY32*CY33,0)))</f>
        <v>0</v>
      </c>
      <c r="CZ36" s="63">
        <f>IF(AND(CZ32=1,CZ33=13),0,IF(CZ32&lt;=0,0,IF(WEEKDAY(CZ$6,1)=1,CZ32*CZ33,0)))</f>
        <v>0</v>
      </c>
      <c r="DA36" s="63">
        <f>IF(AND(DA32=1,DA33=13),0,IF(DA32&lt;=0,0,IF(WEEKDAY(DA$6,1)=1,DA32*DA33,0)))</f>
        <v>0</v>
      </c>
      <c r="DB36" s="63">
        <f>IF(AND(DB32=1,DB33=13),0,IF(DB32&lt;=0,0,IF(WEEKDAY(DB$6,1)=1,DB32*DB33,0)))</f>
        <v>0</v>
      </c>
      <c r="DC36" s="64">
        <f>IF(AND(DC32=1,DC33=13),0,IF(DC32&lt;=0,0,IF(WEEKDAY(DC$6,1)=1,DC32*DC33,0)))</f>
        <v>0</v>
      </c>
      <c r="DD36" s="64">
        <f>IF(AND(DD32=1,DD33=13),13,IF(DD32&lt;=0,0,IF(WEEKDAY(DD$6,1)=1,DD32*DD33,0)))</f>
        <v>13</v>
      </c>
      <c r="DE36" s="63">
        <f>IF(AND(DE32=1,DE33=13),0,IF(DE32&lt;=0,0,IF(WEEKDAY(DE$6,1)=1,DE32*DE33,0)))</f>
        <v>0</v>
      </c>
      <c r="DF36" s="63">
        <f>IF(AND(DF32=1,DF33=13),0,IF(DF32&lt;=0,0,IF(WEEKDAY(DF$6,1)=1,DF32*DF33,0)))</f>
        <v>0</v>
      </c>
      <c r="DG36" s="63">
        <f>IF(AND(DG32=1,DG33=13),0,IF(DG32&lt;=0,0,IF(WEEKDAY(DG$6,1)=1,DG32*DG33,0)))</f>
        <v>0</v>
      </c>
      <c r="DH36" s="63">
        <f>IF(AND(DH32=1,DH33=13),0,IF(DH32&lt;=0,0,IF(WEEKDAY(DH$6,1)=1,DH32*DH33,0)))</f>
        <v>0</v>
      </c>
      <c r="DI36" s="63">
        <f>IF(AND(DI32=1,DI33=13),0,IF(DI32&lt;=0,0,IF(WEEKDAY(DI$6,1)=1,DI32*DI33,0)))</f>
        <v>0</v>
      </c>
      <c r="DJ36" s="64">
        <f>IF(AND(DJ32=1,DJ33=13),0,IF(DJ32&lt;=0,0,IF(WEEKDAY(DJ$6,1)=1,DJ32*DJ33,0)))</f>
        <v>0</v>
      </c>
      <c r="DK36" s="64">
        <f>IF(AND(DK32=0,DK33=0),0,IF(DK32&lt;=0,0,IF(WEEKDAY(DK$6,1)=1,DK32*DK33,0)))</f>
        <v>0</v>
      </c>
      <c r="DL36" s="63">
        <f>IF(AND(DL32=1,DL33=13),0,IF(DL32&lt;=0,0,IF(WEEKDAY(DL$6,1)=1,DL32*DL33,0)))</f>
        <v>0</v>
      </c>
      <c r="DM36" s="63">
        <f>IF(AND(DM32=1,DM33=13),0,IF(DM32&lt;=0,0,IF(WEEKDAY(DM$6,1)=1,DM32*DM33,0)))</f>
        <v>0</v>
      </c>
      <c r="DN36" s="63">
        <f>IF(AND(DN32=1,DN33=13),0,IF(DN32&lt;=0,0,IF(WEEKDAY(DN$6,1)=1,DN32*DN33,0)))</f>
        <v>0</v>
      </c>
      <c r="DO36" s="63">
        <f>IF(AND(DO32=1,DO33=13),0,IF(DO32&lt;=0,0,IF(WEEKDAY(DO$6,1)=1,DO32*DO33,0)))</f>
        <v>0</v>
      </c>
      <c r="DP36" s="63">
        <f>IF(AND(DP32=1,DP33=13),0,IF(DP32&lt;=0,0,IF(WEEKDAY(DP$6,1)=1,DP32*DP33,0)))</f>
        <v>0</v>
      </c>
      <c r="DQ36" s="64">
        <f>IF(AND(DQ32=1,DQ33=13),0,IF(DQ32&lt;=0,0,IF(WEEKDAY(DQ$6,1)=1,DQ32*DQ33,0)))</f>
        <v>0</v>
      </c>
      <c r="DR36" s="64">
        <f>IF(AND(DR32=1,DR33=13),13,IF(DR32&lt;=0,0,IF(WEEKDAY(DR$6,1)=1,DR32*DR33,0)))</f>
        <v>13</v>
      </c>
      <c r="DS36" s="63">
        <f>IF(AND(DS32=1,DS33=13),0,IF(DS32&lt;=0,0,IF(WEEKDAY(DS$6,1)=1,DS32*DS33,0)))</f>
        <v>0</v>
      </c>
      <c r="DT36" s="63">
        <f>IF(AND(DT32=0,DT33=0),0,IF(DT32&lt;=0,0,IF(WEEKDAY(DT$6,1)=1,DT32*DT33,0)))</f>
        <v>0</v>
      </c>
      <c r="DU36" s="63">
        <f>IF(AND(DU32=0,DU33=0),0,IF(DU32&lt;=0,0,IF(WEEKDAY(DU$6,1)=1,DU32*DU33,0)))</f>
        <v>0</v>
      </c>
      <c r="DV36" s="63">
        <f>IF(AND(DV32=0,DV33=0),0,IF(DV32&lt;=0,0,IF(WEEKDAY(DV$6,1)=1,DV32*DV33,0)))</f>
        <v>0</v>
      </c>
      <c r="DW36" s="63">
        <f>IF(AND(DW32=0,DW33=0),0,IF(DW32&lt;=0,0,IF(WEEKDAY(DW$6,1)=1,DW32*DW33,0)))</f>
        <v>0</v>
      </c>
      <c r="DX36" s="64">
        <f>IF(AND(DX32=0,DX33=0),0,IF(DX32&lt;=0,0,IF(WEEKDAY(DX$6,1)=1,DX32*DX33,0)))</f>
        <v>0</v>
      </c>
      <c r="DY36" s="64">
        <f>IF(AND(DY32=0,DY33=0),0,IF(DY32&lt;=0,0,IF(WEEKDAY(DY$6,1)=1,DY32*DY33,0)))</f>
        <v>0</v>
      </c>
      <c r="DZ36" s="63">
        <f>IF(AND(DZ32=0,DZ33=0),0,IF(DZ32&lt;=0,0,IF(WEEKDAY(DZ$6,1)=1,DZ32*DZ33,0)))</f>
        <v>0</v>
      </c>
      <c r="EA36" s="63">
        <f>IF(AND(EA32=0,EA33=0),0,IF(EA32&lt;=0,0,IF(WEEKDAY(EA$6,1)=1,EA32*EA33,0)))</f>
        <v>0</v>
      </c>
      <c r="EB36" s="63">
        <f>IF(AND(EB32=0,EB33=0),0,IF(EB32&lt;=0,0,IF(WEEKDAY(EB$6,1)=1,EB32*EB33,0)))</f>
        <v>0</v>
      </c>
      <c r="EC36" s="63">
        <f>IF(AND(EC32=0,EC33=0),0,IF(EC32&lt;=0,0,IF(WEEKDAY(EC$6,1)=1,EC32*EC33,0)))</f>
        <v>0</v>
      </c>
      <c r="ED36" s="63">
        <f>IF(AND(ED32=0,ED33=0),0,IF(ED32&lt;=0,0,IF(WEEKDAY(ED$6,1)=1,ED32*ED33,0)))</f>
        <v>0</v>
      </c>
      <c r="EE36" s="64">
        <f>IF(AND(EE32=0,EE33=0),0,IF(EE32&lt;=0,0,IF(WEEKDAY(EE$6,1)=1,EE32*EE33,0)))</f>
        <v>0</v>
      </c>
      <c r="EF36" s="64">
        <f>IF(AND(EF32=0,EF33=0),0,IF(EF32&lt;=0,0,IF(WEEKDAY(EF$6,1)=1,EF32*EF33,0)))</f>
        <v>0</v>
      </c>
      <c r="EG36" s="63">
        <f>IF(AND(EG32=0,EG33=0),0,IF(EG32&lt;=0,0,IF(WEEKDAY(EG$6,1)=1,EG32*EG33,0)))</f>
        <v>0</v>
      </c>
      <c r="EH36" s="63">
        <f>IF(AND(EH32=0,EH33=0),0,IF(EH32&lt;=0,0,IF(WEEKDAY(EH$6,1)=1,EH32*EH33,0)))</f>
        <v>0</v>
      </c>
      <c r="EI36" s="63">
        <f>IF(AND(EI32=0,EI33=0),0,IF(EI32&lt;=0,0,IF(WEEKDAY(EI$6,1)=1,EI32*EI33,0)))</f>
        <v>0</v>
      </c>
      <c r="EJ36" s="63">
        <f>IF(AND(EJ32=0,EJ33=0),0,IF(EJ32&lt;=0,0,IF(WEEKDAY(EJ$6,1)=1,EJ32*EJ33,0)))</f>
        <v>0</v>
      </c>
      <c r="EK36" s="65">
        <f>IF(AND(EK32=0,EK33=0),0,IF(EK32&lt;=0,0,IF(WEEKDAY(EK$6,1)=1,EK32*EK33,0)))</f>
        <v>0</v>
      </c>
      <c r="OU36" s="28" t="s">
        <v>71</v>
      </c>
    </row>
    <row r="37" ht="16" customHeight="1" spans="1:411" x14ac:dyDescent="0.25">
      <c r="A37" s="74"/>
      <c r="B37" s="46"/>
      <c r="C37" s="67">
        <f>I31*D37</f>
        <v>8540</v>
      </c>
      <c r="D37" s="67">
        <v>140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1</v>
      </c>
      <c r="BI37" s="70">
        <v>1</v>
      </c>
      <c r="BJ37" s="70">
        <v>1</v>
      </c>
      <c r="BK37" s="70">
        <v>1</v>
      </c>
      <c r="BL37" s="70">
        <v>1</v>
      </c>
      <c r="BM37" s="71">
        <v>1</v>
      </c>
      <c r="BN37" s="71">
        <v>1</v>
      </c>
      <c r="BO37" s="70">
        <v>1</v>
      </c>
      <c r="BP37" s="70">
        <v>1</v>
      </c>
      <c r="BQ37" s="70">
        <v>1</v>
      </c>
      <c r="BR37" s="70">
        <v>1</v>
      </c>
      <c r="BS37" s="70">
        <v>1</v>
      </c>
      <c r="BT37" s="71">
        <v>1</v>
      </c>
      <c r="BU37" s="71">
        <v>1</v>
      </c>
      <c r="BV37" s="70">
        <v>1</v>
      </c>
      <c r="BW37" s="70">
        <v>1</v>
      </c>
      <c r="BX37" s="70">
        <v>1</v>
      </c>
      <c r="BY37" s="70">
        <v>1</v>
      </c>
      <c r="BZ37" s="70">
        <v>1</v>
      </c>
      <c r="CA37" s="71">
        <v>1</v>
      </c>
      <c r="CB37" s="71">
        <v>0</v>
      </c>
      <c r="CC37" s="70">
        <v>1</v>
      </c>
      <c r="CD37" s="70">
        <v>1</v>
      </c>
      <c r="CE37" s="70">
        <v>1</v>
      </c>
      <c r="CF37" s="70">
        <v>1</v>
      </c>
      <c r="CG37" s="70">
        <v>1</v>
      </c>
      <c r="CH37" s="71">
        <v>1</v>
      </c>
      <c r="CI37" s="71">
        <v>1</v>
      </c>
      <c r="CJ37" s="70">
        <v>1</v>
      </c>
      <c r="CK37" s="70">
        <v>1</v>
      </c>
      <c r="CL37" s="70">
        <v>1</v>
      </c>
      <c r="CM37" s="70">
        <v>1</v>
      </c>
      <c r="CN37" s="70">
        <v>1</v>
      </c>
      <c r="CO37" s="71">
        <v>1</v>
      </c>
      <c r="CP37" s="71">
        <v>0</v>
      </c>
      <c r="CQ37" s="70">
        <v>1</v>
      </c>
      <c r="CR37" s="70">
        <v>1</v>
      </c>
      <c r="CS37" s="70">
        <v>1</v>
      </c>
      <c r="CT37" s="70">
        <v>1</v>
      </c>
      <c r="CU37" s="70">
        <v>1</v>
      </c>
      <c r="CV37" s="71">
        <v>1</v>
      </c>
      <c r="CW37" s="71">
        <v>1</v>
      </c>
      <c r="CX37" s="70">
        <v>1</v>
      </c>
      <c r="CY37" s="70">
        <v>1</v>
      </c>
      <c r="CZ37" s="70">
        <v>1</v>
      </c>
      <c r="DA37" s="70">
        <v>1</v>
      </c>
      <c r="DB37" s="70">
        <v>1</v>
      </c>
      <c r="DC37" s="71">
        <v>1</v>
      </c>
      <c r="DD37" s="71">
        <v>1</v>
      </c>
      <c r="DE37" s="70">
        <v>1</v>
      </c>
      <c r="DF37" s="70">
        <v>1</v>
      </c>
      <c r="DG37" s="70">
        <v>1</v>
      </c>
      <c r="DH37" s="70">
        <v>1</v>
      </c>
      <c r="DI37" s="70">
        <v>1</v>
      </c>
      <c r="DJ37" s="71">
        <v>1</v>
      </c>
      <c r="DK37" s="71">
        <v>0</v>
      </c>
      <c r="DL37" s="70">
        <v>1</v>
      </c>
      <c r="DM37" s="70">
        <v>1</v>
      </c>
      <c r="DN37" s="70">
        <v>1</v>
      </c>
      <c r="DO37" s="70">
        <v>1</v>
      </c>
      <c r="DP37" s="70">
        <v>1</v>
      </c>
      <c r="DQ37" s="71">
        <v>1</v>
      </c>
      <c r="DR37" s="71">
        <v>1</v>
      </c>
      <c r="DS37" s="70">
        <v>1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71</v>
      </c>
    </row>
    <row r="38" ht="8" customHeight="1" spans="1:14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</row>
    <row r="39" ht="16" customHeight="1" spans="1:411" x14ac:dyDescent="0.25">
      <c r="A39" s="45" t="s">
        <v>57</v>
      </c>
      <c r="B39" s="46" t="s">
        <v>72</v>
      </c>
      <c r="C39" s="47">
        <f>J39</f>
        <v>128844.86</v>
      </c>
      <c r="D39" s="48"/>
      <c r="E39" s="48"/>
      <c r="F39" s="49">
        <f>SUM(K42:EK42)</f>
        <v>782</v>
      </c>
      <c r="G39" s="49">
        <f>SUM(K43:EK43)</f>
        <v>374</v>
      </c>
      <c r="H39" s="49">
        <f>SUM(K44:EK44)</f>
        <v>78</v>
      </c>
      <c r="I39" s="49">
        <f>SUM(K45:EK45)</f>
        <v>110</v>
      </c>
      <c r="J39" s="50">
        <f>C42+C43+C44</f>
        <v>128844.86</v>
      </c>
      <c r="K39" s="51"/>
      <c r="L39" s="52"/>
      <c r="M39" s="52"/>
      <c r="N39" s="52"/>
      <c r="O39" s="52"/>
      <c r="P39" s="53"/>
      <c r="Q39" s="53"/>
      <c r="R39" s="52"/>
      <c r="S39" s="52"/>
      <c r="T39" s="52"/>
      <c r="U39" s="52"/>
      <c r="V39" s="52"/>
      <c r="W39" s="53"/>
      <c r="X39" s="53"/>
      <c r="Y39" s="52"/>
      <c r="Z39" s="52"/>
      <c r="AA39" s="52"/>
      <c r="AB39" s="52"/>
      <c r="AC39" s="52"/>
      <c r="AD39" s="53"/>
      <c r="AE39" s="53"/>
      <c r="AF39" s="52"/>
      <c r="AG39" s="52"/>
      <c r="AH39" s="52"/>
      <c r="AI39" s="52"/>
      <c r="AJ39" s="52"/>
      <c r="AK39" s="53"/>
      <c r="AL39" s="53"/>
      <c r="AM39" s="52"/>
      <c r="AN39" s="52"/>
      <c r="AO39" s="52"/>
      <c r="AP39" s="52"/>
      <c r="AQ39" s="52"/>
      <c r="AR39" s="53"/>
      <c r="AS39" s="53"/>
      <c r="AT39" s="52"/>
      <c r="AU39" s="52"/>
      <c r="AV39" s="52"/>
      <c r="AW39" s="52"/>
      <c r="AX39" s="52"/>
      <c r="AY39" s="53"/>
      <c r="AZ39" s="53"/>
      <c r="BA39" s="52"/>
      <c r="BB39" s="52"/>
      <c r="BC39" s="52"/>
      <c r="BD39" s="52"/>
      <c r="BE39" s="52"/>
      <c r="BF39" s="53"/>
      <c r="BG39" s="53"/>
      <c r="BH39" s="52"/>
      <c r="BI39" s="52"/>
      <c r="BJ39" s="52"/>
      <c r="BK39" s="52"/>
      <c r="BL39" s="52"/>
      <c r="BM39" s="53"/>
      <c r="BN39" s="53"/>
      <c r="BO39" s="52"/>
      <c r="BP39" s="52"/>
      <c r="BQ39" s="52"/>
      <c r="BR39" s="52"/>
      <c r="BS39" s="52"/>
      <c r="BT39" s="53"/>
      <c r="BU39" s="53"/>
      <c r="BV39" s="52"/>
      <c r="BW39" s="52"/>
      <c r="BX39" s="52"/>
      <c r="BY39" s="52"/>
      <c r="BZ39" s="52"/>
      <c r="CA39" s="53"/>
      <c r="CB39" s="53"/>
      <c r="CC39" s="52"/>
      <c r="CD39" s="52"/>
      <c r="CE39" s="52"/>
      <c r="CF39" s="52"/>
      <c r="CG39" s="52"/>
      <c r="CH39" s="53"/>
      <c r="CI39" s="53"/>
      <c r="CJ39" s="52"/>
      <c r="CK39" s="52"/>
      <c r="CL39" s="52"/>
      <c r="CM39" s="52"/>
      <c r="CN39" s="52"/>
      <c r="CO39" s="53"/>
      <c r="CP39" s="53"/>
      <c r="CQ39" s="52"/>
      <c r="CR39" s="52"/>
      <c r="CS39" s="52"/>
      <c r="CT39" s="52"/>
      <c r="CU39" s="52"/>
      <c r="CV39" s="53"/>
      <c r="CW39" s="53"/>
      <c r="CX39" s="52"/>
      <c r="CY39" s="52"/>
      <c r="CZ39" s="52"/>
      <c r="DA39" s="52"/>
      <c r="DB39" s="52"/>
      <c r="DC39" s="53"/>
      <c r="DD39" s="53"/>
      <c r="DE39" s="52"/>
      <c r="DF39" s="52"/>
      <c r="DG39" s="52"/>
      <c r="DH39" s="52"/>
      <c r="DI39" s="52"/>
      <c r="DJ39" s="53"/>
      <c r="DK39" s="53"/>
      <c r="DL39" s="52"/>
      <c r="DM39" s="52"/>
      <c r="DN39" s="52"/>
      <c r="DO39" s="52"/>
      <c r="DP39" s="52"/>
      <c r="DQ39" s="53"/>
      <c r="DR39" s="53"/>
      <c r="DS39" s="52"/>
      <c r="DT39" s="52"/>
      <c r="DU39" s="52"/>
      <c r="DV39" s="52"/>
      <c r="DW39" s="52"/>
      <c r="DX39" s="53"/>
      <c r="DY39" s="53"/>
      <c r="DZ39" s="52"/>
      <c r="EA39" s="52"/>
      <c r="EB39" s="52"/>
      <c r="EC39" s="52"/>
      <c r="ED39" s="52"/>
      <c r="EE39" s="53"/>
      <c r="EF39" s="53"/>
      <c r="EG39" s="52"/>
      <c r="EH39" s="52"/>
      <c r="EI39" s="52"/>
      <c r="EJ39" s="52"/>
      <c r="EK39" s="54"/>
      <c r="OU39" s="28" t="s">
        <v>73</v>
      </c>
    </row>
    <row r="40" ht="16" customHeight="1" spans="1:411" x14ac:dyDescent="0.25">
      <c r="A40" s="45"/>
      <c r="B40" s="46"/>
      <c r="C40" s="47"/>
      <c r="D40" s="48"/>
      <c r="E40" s="55" t="s">
        <v>60</v>
      </c>
      <c r="F40" s="49"/>
      <c r="G40" s="49"/>
      <c r="H40" s="49"/>
      <c r="I40" s="49"/>
      <c r="J40" s="50"/>
      <c r="K40" s="56">
        <v>1</v>
      </c>
      <c r="L40" s="57">
        <v>1</v>
      </c>
      <c r="M40" s="57">
        <v>1</v>
      </c>
      <c r="N40" s="57">
        <v>1</v>
      </c>
      <c r="O40" s="57">
        <v>1</v>
      </c>
      <c r="P40" s="58">
        <v>0</v>
      </c>
      <c r="Q40" s="58">
        <v>0</v>
      </c>
      <c r="R40" s="57">
        <v>1</v>
      </c>
      <c r="S40" s="57">
        <v>1</v>
      </c>
      <c r="T40" s="57">
        <v>1</v>
      </c>
      <c r="U40" s="57">
        <v>1</v>
      </c>
      <c r="V40" s="57">
        <v>1</v>
      </c>
      <c r="W40" s="58">
        <v>0</v>
      </c>
      <c r="X40" s="58">
        <v>0</v>
      </c>
      <c r="Y40" s="57">
        <v>1</v>
      </c>
      <c r="Z40" s="57">
        <v>1</v>
      </c>
      <c r="AA40" s="57">
        <v>1</v>
      </c>
      <c r="AB40" s="57">
        <v>1</v>
      </c>
      <c r="AC40" s="57">
        <v>1</v>
      </c>
      <c r="AD40" s="58">
        <v>0</v>
      </c>
      <c r="AE40" s="58">
        <v>0</v>
      </c>
      <c r="AF40" s="57">
        <v>1</v>
      </c>
      <c r="AG40" s="57">
        <v>1</v>
      </c>
      <c r="AH40" s="57">
        <v>1</v>
      </c>
      <c r="AI40" s="57">
        <v>1</v>
      </c>
      <c r="AJ40" s="57">
        <v>1</v>
      </c>
      <c r="AK40" s="58">
        <v>0</v>
      </c>
      <c r="AL40" s="58">
        <v>0</v>
      </c>
      <c r="AM40" s="57">
        <v>1</v>
      </c>
      <c r="AN40" s="57">
        <v>1</v>
      </c>
      <c r="AO40" s="57">
        <v>1</v>
      </c>
      <c r="AP40" s="57">
        <v>1</v>
      </c>
      <c r="AQ40" s="57">
        <v>1</v>
      </c>
      <c r="AR40" s="58">
        <v>0</v>
      </c>
      <c r="AS40" s="58">
        <v>0</v>
      </c>
      <c r="AT40" s="57">
        <v>1</v>
      </c>
      <c r="AU40" s="57">
        <v>1</v>
      </c>
      <c r="AV40" s="57">
        <v>1</v>
      </c>
      <c r="AW40" s="57">
        <v>1</v>
      </c>
      <c r="AX40" s="57">
        <v>1</v>
      </c>
      <c r="AY40" s="58">
        <v>0</v>
      </c>
      <c r="AZ40" s="58">
        <v>0</v>
      </c>
      <c r="BA40" s="57">
        <v>1</v>
      </c>
      <c r="BB40" s="57">
        <v>1</v>
      </c>
      <c r="BC40" s="57">
        <v>1</v>
      </c>
      <c r="BD40" s="57">
        <v>1</v>
      </c>
      <c r="BE40" s="57">
        <v>1</v>
      </c>
      <c r="BF40" s="58">
        <v>0</v>
      </c>
      <c r="BG40" s="58">
        <v>0</v>
      </c>
      <c r="BH40" s="57">
        <v>1</v>
      </c>
      <c r="BI40" s="57">
        <v>1</v>
      </c>
      <c r="BJ40" s="57">
        <v>1</v>
      </c>
      <c r="BK40" s="57">
        <v>1</v>
      </c>
      <c r="BL40" s="57">
        <v>1</v>
      </c>
      <c r="BM40" s="58">
        <v>1</v>
      </c>
      <c r="BN40" s="58">
        <v>1</v>
      </c>
      <c r="BO40" s="57">
        <v>1</v>
      </c>
      <c r="BP40" s="57">
        <v>1</v>
      </c>
      <c r="BQ40" s="57">
        <v>1</v>
      </c>
      <c r="BR40" s="57">
        <v>1</v>
      </c>
      <c r="BS40" s="57">
        <v>1</v>
      </c>
      <c r="BT40" s="58">
        <v>1</v>
      </c>
      <c r="BU40" s="58">
        <v>1</v>
      </c>
      <c r="BV40" s="57">
        <v>1</v>
      </c>
      <c r="BW40" s="57">
        <v>1</v>
      </c>
      <c r="BX40" s="57">
        <v>1</v>
      </c>
      <c r="BY40" s="57">
        <v>1</v>
      </c>
      <c r="BZ40" s="57">
        <v>1</v>
      </c>
      <c r="CA40" s="58">
        <v>1</v>
      </c>
      <c r="CB40" s="58">
        <v>0</v>
      </c>
      <c r="CC40" s="57">
        <v>1</v>
      </c>
      <c r="CD40" s="57">
        <v>1</v>
      </c>
      <c r="CE40" s="57">
        <v>1</v>
      </c>
      <c r="CF40" s="57">
        <v>1</v>
      </c>
      <c r="CG40" s="57">
        <v>1</v>
      </c>
      <c r="CH40" s="58">
        <v>1</v>
      </c>
      <c r="CI40" s="58">
        <v>1</v>
      </c>
      <c r="CJ40" s="57">
        <v>1</v>
      </c>
      <c r="CK40" s="57">
        <v>1</v>
      </c>
      <c r="CL40" s="57">
        <v>1</v>
      </c>
      <c r="CM40" s="57">
        <v>1</v>
      </c>
      <c r="CN40" s="57">
        <v>1</v>
      </c>
      <c r="CO40" s="58">
        <v>1</v>
      </c>
      <c r="CP40" s="58">
        <v>0</v>
      </c>
      <c r="CQ40" s="57">
        <v>1</v>
      </c>
      <c r="CR40" s="57">
        <v>1</v>
      </c>
      <c r="CS40" s="57">
        <v>1</v>
      </c>
      <c r="CT40" s="57">
        <v>1</v>
      </c>
      <c r="CU40" s="57">
        <v>1</v>
      </c>
      <c r="CV40" s="58">
        <v>1</v>
      </c>
      <c r="CW40" s="58">
        <v>1</v>
      </c>
      <c r="CX40" s="57">
        <v>1</v>
      </c>
      <c r="CY40" s="57">
        <v>1</v>
      </c>
      <c r="CZ40" s="57">
        <v>1</v>
      </c>
      <c r="DA40" s="57">
        <v>1</v>
      </c>
      <c r="DB40" s="57">
        <v>1</v>
      </c>
      <c r="DC40" s="58">
        <v>1</v>
      </c>
      <c r="DD40" s="58">
        <v>1</v>
      </c>
      <c r="DE40" s="57">
        <v>1</v>
      </c>
      <c r="DF40" s="57">
        <v>1</v>
      </c>
      <c r="DG40" s="57">
        <v>1</v>
      </c>
      <c r="DH40" s="57">
        <v>1</v>
      </c>
      <c r="DI40" s="57">
        <v>1</v>
      </c>
      <c r="DJ40" s="58">
        <v>1</v>
      </c>
      <c r="DK40" s="58">
        <v>0</v>
      </c>
      <c r="DL40" s="57">
        <v>1</v>
      </c>
      <c r="DM40" s="57">
        <v>1</v>
      </c>
      <c r="DN40" s="57">
        <v>1</v>
      </c>
      <c r="DO40" s="57">
        <v>1</v>
      </c>
      <c r="DP40" s="57">
        <v>1</v>
      </c>
      <c r="DQ40" s="58">
        <v>1</v>
      </c>
      <c r="DR40" s="58">
        <v>1</v>
      </c>
      <c r="DS40" s="57">
        <v>1</v>
      </c>
      <c r="DT40" s="57">
        <v>1</v>
      </c>
      <c r="DU40" s="57">
        <v>1</v>
      </c>
      <c r="DV40" s="57">
        <v>1</v>
      </c>
      <c r="DW40" s="57">
        <v>1</v>
      </c>
      <c r="DX40" s="58">
        <v>0</v>
      </c>
      <c r="DY40" s="58">
        <v>0</v>
      </c>
      <c r="DZ40" s="57">
        <v>1</v>
      </c>
      <c r="EA40" s="57">
        <v>1</v>
      </c>
      <c r="EB40" s="57">
        <v>1</v>
      </c>
      <c r="EC40" s="57">
        <v>1</v>
      </c>
      <c r="ED40" s="57">
        <v>1</v>
      </c>
      <c r="EE40" s="58">
        <v>0</v>
      </c>
      <c r="EF40" s="58">
        <v>0</v>
      </c>
      <c r="EG40" s="57">
        <v>1</v>
      </c>
      <c r="EH40" s="57">
        <v>1</v>
      </c>
      <c r="EI40" s="57">
        <v>1</v>
      </c>
      <c r="EJ40" s="57">
        <v>1</v>
      </c>
      <c r="EK40" s="59">
        <v>1</v>
      </c>
      <c r="OU40" s="60" t="s">
        <v>73</v>
      </c>
    </row>
    <row r="41" ht="16" customHeight="1" spans="1:411" x14ac:dyDescent="0.25">
      <c r="A41" s="45"/>
      <c r="B41" s="46"/>
      <c r="C41" s="47"/>
      <c r="D41" s="48"/>
      <c r="E41" s="55" t="s">
        <v>61</v>
      </c>
      <c r="F41" s="49"/>
      <c r="G41" s="49"/>
      <c r="H41" s="49"/>
      <c r="I41" s="49"/>
      <c r="J41" s="50"/>
      <c r="K41" s="56">
        <v>9</v>
      </c>
      <c r="L41" s="57">
        <v>9</v>
      </c>
      <c r="M41" s="57">
        <v>9</v>
      </c>
      <c r="N41" s="57">
        <v>9</v>
      </c>
      <c r="O41" s="57">
        <v>9</v>
      </c>
      <c r="P41" s="58">
        <v>0</v>
      </c>
      <c r="Q41" s="58">
        <v>0</v>
      </c>
      <c r="R41" s="57">
        <v>9</v>
      </c>
      <c r="S41" s="57">
        <v>9</v>
      </c>
      <c r="T41" s="57">
        <v>9</v>
      </c>
      <c r="U41" s="57">
        <v>9</v>
      </c>
      <c r="V41" s="57">
        <v>9</v>
      </c>
      <c r="W41" s="58">
        <v>0</v>
      </c>
      <c r="X41" s="58">
        <v>0</v>
      </c>
      <c r="Y41" s="57">
        <v>9</v>
      </c>
      <c r="Z41" s="57">
        <v>9</v>
      </c>
      <c r="AA41" s="57">
        <v>9</v>
      </c>
      <c r="AB41" s="57">
        <v>9</v>
      </c>
      <c r="AC41" s="57">
        <v>9</v>
      </c>
      <c r="AD41" s="58">
        <v>0</v>
      </c>
      <c r="AE41" s="58">
        <v>0</v>
      </c>
      <c r="AF41" s="57">
        <v>9</v>
      </c>
      <c r="AG41" s="57">
        <v>9</v>
      </c>
      <c r="AH41" s="57">
        <v>9</v>
      </c>
      <c r="AI41" s="57">
        <v>9</v>
      </c>
      <c r="AJ41" s="57">
        <v>9</v>
      </c>
      <c r="AK41" s="58">
        <v>0</v>
      </c>
      <c r="AL41" s="58">
        <v>0</v>
      </c>
      <c r="AM41" s="57">
        <v>9</v>
      </c>
      <c r="AN41" s="57">
        <v>9</v>
      </c>
      <c r="AO41" s="57">
        <v>9</v>
      </c>
      <c r="AP41" s="57">
        <v>9</v>
      </c>
      <c r="AQ41" s="57">
        <v>9</v>
      </c>
      <c r="AR41" s="58">
        <v>0</v>
      </c>
      <c r="AS41" s="58">
        <v>0</v>
      </c>
      <c r="AT41" s="57">
        <v>9</v>
      </c>
      <c r="AU41" s="57">
        <v>9</v>
      </c>
      <c r="AV41" s="57">
        <v>9</v>
      </c>
      <c r="AW41" s="57">
        <v>9</v>
      </c>
      <c r="AX41" s="57">
        <v>9</v>
      </c>
      <c r="AY41" s="58">
        <v>0</v>
      </c>
      <c r="AZ41" s="58">
        <v>0</v>
      </c>
      <c r="BA41" s="57">
        <v>9</v>
      </c>
      <c r="BB41" s="57">
        <v>9</v>
      </c>
      <c r="BC41" s="57">
        <v>9</v>
      </c>
      <c r="BD41" s="57">
        <v>9</v>
      </c>
      <c r="BE41" s="57">
        <v>9</v>
      </c>
      <c r="BF41" s="58">
        <v>0</v>
      </c>
      <c r="BG41" s="58">
        <v>0</v>
      </c>
      <c r="BH41" s="57">
        <v>13</v>
      </c>
      <c r="BI41" s="57">
        <v>13</v>
      </c>
      <c r="BJ41" s="57">
        <v>13</v>
      </c>
      <c r="BK41" s="57">
        <v>13</v>
      </c>
      <c r="BL41" s="57">
        <v>13</v>
      </c>
      <c r="BM41" s="58">
        <v>13</v>
      </c>
      <c r="BN41" s="58">
        <v>13</v>
      </c>
      <c r="BO41" s="57">
        <v>13</v>
      </c>
      <c r="BP41" s="57">
        <v>13</v>
      </c>
      <c r="BQ41" s="57">
        <v>13</v>
      </c>
      <c r="BR41" s="57">
        <v>13</v>
      </c>
      <c r="BS41" s="57">
        <v>13</v>
      </c>
      <c r="BT41" s="58">
        <v>13</v>
      </c>
      <c r="BU41" s="58">
        <v>13</v>
      </c>
      <c r="BV41" s="57">
        <v>13</v>
      </c>
      <c r="BW41" s="57">
        <v>13</v>
      </c>
      <c r="BX41" s="57">
        <v>13</v>
      </c>
      <c r="BY41" s="57">
        <v>13</v>
      </c>
      <c r="BZ41" s="57">
        <v>13</v>
      </c>
      <c r="CA41" s="58">
        <v>13</v>
      </c>
      <c r="CB41" s="58">
        <v>0</v>
      </c>
      <c r="CC41" s="57">
        <v>13</v>
      </c>
      <c r="CD41" s="57">
        <v>13</v>
      </c>
      <c r="CE41" s="57">
        <v>13</v>
      </c>
      <c r="CF41" s="57">
        <v>13</v>
      </c>
      <c r="CG41" s="57">
        <v>13</v>
      </c>
      <c r="CH41" s="58">
        <v>13</v>
      </c>
      <c r="CI41" s="58">
        <v>13</v>
      </c>
      <c r="CJ41" s="57">
        <v>13</v>
      </c>
      <c r="CK41" s="57">
        <v>13</v>
      </c>
      <c r="CL41" s="57">
        <v>13</v>
      </c>
      <c r="CM41" s="57">
        <v>13</v>
      </c>
      <c r="CN41" s="57">
        <v>13</v>
      </c>
      <c r="CO41" s="58">
        <v>13</v>
      </c>
      <c r="CP41" s="58">
        <v>0</v>
      </c>
      <c r="CQ41" s="57">
        <v>13</v>
      </c>
      <c r="CR41" s="57">
        <v>13</v>
      </c>
      <c r="CS41" s="57">
        <v>13</v>
      </c>
      <c r="CT41" s="57">
        <v>13</v>
      </c>
      <c r="CU41" s="57">
        <v>13</v>
      </c>
      <c r="CV41" s="58">
        <v>13</v>
      </c>
      <c r="CW41" s="58">
        <v>13</v>
      </c>
      <c r="CX41" s="57">
        <v>13</v>
      </c>
      <c r="CY41" s="57">
        <v>13</v>
      </c>
      <c r="CZ41" s="57">
        <v>13</v>
      </c>
      <c r="DA41" s="57">
        <v>13</v>
      </c>
      <c r="DB41" s="57">
        <v>13</v>
      </c>
      <c r="DC41" s="58">
        <v>13</v>
      </c>
      <c r="DD41" s="58">
        <v>13</v>
      </c>
      <c r="DE41" s="57">
        <v>13</v>
      </c>
      <c r="DF41" s="57">
        <v>13</v>
      </c>
      <c r="DG41" s="57">
        <v>13</v>
      </c>
      <c r="DH41" s="57">
        <v>13</v>
      </c>
      <c r="DI41" s="57">
        <v>13</v>
      </c>
      <c r="DJ41" s="58">
        <v>13</v>
      </c>
      <c r="DK41" s="58">
        <v>0</v>
      </c>
      <c r="DL41" s="57">
        <v>13</v>
      </c>
      <c r="DM41" s="57">
        <v>13</v>
      </c>
      <c r="DN41" s="57">
        <v>13</v>
      </c>
      <c r="DO41" s="57">
        <v>13</v>
      </c>
      <c r="DP41" s="57">
        <v>13</v>
      </c>
      <c r="DQ41" s="58">
        <v>13</v>
      </c>
      <c r="DR41" s="58">
        <v>13</v>
      </c>
      <c r="DS41" s="57">
        <v>13</v>
      </c>
      <c r="DT41" s="57">
        <v>9</v>
      </c>
      <c r="DU41" s="57">
        <v>9</v>
      </c>
      <c r="DV41" s="57">
        <v>9</v>
      </c>
      <c r="DW41" s="57">
        <v>9</v>
      </c>
      <c r="DX41" s="58">
        <v>0</v>
      </c>
      <c r="DY41" s="58">
        <v>0</v>
      </c>
      <c r="DZ41" s="57">
        <v>9</v>
      </c>
      <c r="EA41" s="57">
        <v>9</v>
      </c>
      <c r="EB41" s="57">
        <v>9</v>
      </c>
      <c r="EC41" s="57">
        <v>9</v>
      </c>
      <c r="ED41" s="57">
        <v>9</v>
      </c>
      <c r="EE41" s="58">
        <v>0</v>
      </c>
      <c r="EF41" s="58">
        <v>0</v>
      </c>
      <c r="EG41" s="57">
        <v>9</v>
      </c>
      <c r="EH41" s="57">
        <v>9</v>
      </c>
      <c r="EI41" s="57">
        <v>9</v>
      </c>
      <c r="EJ41" s="57">
        <v>9</v>
      </c>
      <c r="EK41" s="59">
        <v>9</v>
      </c>
      <c r="OU41" s="60" t="s">
        <v>73</v>
      </c>
    </row>
    <row r="42" ht="16" customHeight="1" spans="1:411" x14ac:dyDescent="0.25">
      <c r="A42" s="45"/>
      <c r="B42" s="46"/>
      <c r="C42" s="61">
        <f>F39*N(D42)</f>
        <v>71177.64</v>
      </c>
      <c r="D42" s="61">
        <f>IF(TRIM(B39)="","No rate",IFERROR(INDEX('Rate Tables'!C$7:C$158,MATCH(B39,'Rate Tables'!A$7:A$158,0)),"No rate"))</f>
        <v>91.02</v>
      </c>
      <c r="E42" s="55" t="s">
        <v>62</v>
      </c>
      <c r="F42" s="49"/>
      <c r="G42" s="49"/>
      <c r="H42" s="49"/>
      <c r="I42" s="49"/>
      <c r="J42" s="50"/>
      <c r="K42" s="62">
        <f>IF(AND(K40=1,K41=9),8,MIN(IF(K40&lt;=0,0,IF(WEEKDAY(K$6,1)=1,0,MIN(8,K41)*K40)),MAX(0,40*MAX(1,K40)-(0))))</f>
        <v>8</v>
      </c>
      <c r="L42" s="63">
        <f>IF(AND(L40=1,L41=9),8,MIN(IF(L40&lt;=0,0,IF(WEEKDAY(L$6,1)=1,0,MIN(8,L41)*L40)),MAX(0,40*MAX(1,L40)-(K42))))</f>
        <v>8</v>
      </c>
      <c r="M42" s="63">
        <f>IF(AND(M40=1,M41=9),8,MIN(IF(M40&lt;=0,0,IF(WEEKDAY(M$6,1)=1,0,MIN(8,M41)*M40)),MAX(0,40*MAX(1,M40)-(K42+L42))))</f>
        <v>8</v>
      </c>
      <c r="N42" s="63">
        <f>IF(AND(N40=1,N41=9),8,MIN(IF(N40&lt;=0,0,IF(WEEKDAY(N$6,1)=1,0,MIN(8,N41)*N40)),MAX(0,40*MAX(1,N40)-(K42+L42+M42))))</f>
        <v>8</v>
      </c>
      <c r="O42" s="63">
        <f>IF(AND(O40=1,O41=9),8,MIN(IF(O40&lt;=0,0,IF(WEEKDAY(O$6,1)=1,0,MIN(8,O41)*O40)),MAX(0,40*MAX(1,O40)-(K42+L42+M42+N42))))</f>
        <v>8</v>
      </c>
      <c r="P42" s="64">
        <f>IF(AND(P40=0,P41=0),0,MIN(IF(P40&lt;=0,0,IF(WEEKDAY(P$6,1)=1,0,MIN(10,P41)*P40)),MAX(0,40*MAX(1,P40)-(0))))</f>
        <v>0</v>
      </c>
      <c r="Q42" s="64">
        <f>IF(AND(Q40=0,Q41=0),0,MIN(IF(Q40&lt;=0,0,IF(WEEKDAY(Q$6,1)=1,0,MIN(10,Q41)*Q40)),MAX(0,40*MAX(1,Q40)-(P42))))</f>
        <v>0</v>
      </c>
      <c r="R42" s="63">
        <f>IF(AND(R40=1,R41=9),8,MIN(IF(R40&lt;=0,0,IF(WEEKDAY(R$6,1)=1,0,MIN(8,R41)*R40)),MAX(0,40*MAX(1,R40)-(0))))</f>
        <v>8</v>
      </c>
      <c r="S42" s="63">
        <f>IF(AND(S40=1,S41=9),8,MIN(IF(S40&lt;=0,0,IF(WEEKDAY(S$6,1)=1,0,MIN(8,S41)*S40)),MAX(0,40*MAX(1,S40)-(R42))))</f>
        <v>8</v>
      </c>
      <c r="T42" s="63">
        <f>IF(AND(T40=1,T41=9),8,MIN(IF(T40&lt;=0,0,IF(WEEKDAY(T$6,1)=1,0,MIN(8,T41)*T40)),MAX(0,40*MAX(1,T40)-(R42+S42))))</f>
        <v>8</v>
      </c>
      <c r="U42" s="63">
        <f>IF(AND(U40=1,U41=9),8,MIN(IF(U40&lt;=0,0,IF(WEEKDAY(U$6,1)=1,0,MIN(8,U41)*U40)),MAX(0,40*MAX(1,U40)-(R42+S42+T42))))</f>
        <v>8</v>
      </c>
      <c r="V42" s="63">
        <f>IF(AND(V40=1,V41=9),8,MIN(IF(V40&lt;=0,0,IF(WEEKDAY(V$6,1)=1,0,MIN(8,V41)*V40)),MAX(0,40*MAX(1,V40)-(R42+S42+T42+U42))))</f>
        <v>8</v>
      </c>
      <c r="W42" s="64">
        <f>IF(AND(W40=0,W41=0),0,MIN(IF(W40&lt;=0,0,IF(WEEKDAY(W$6,1)=1,0,MIN(10,W41)*W40)),MAX(0,40*MAX(1,W40)-(0))))</f>
        <v>0</v>
      </c>
      <c r="X42" s="64">
        <f>IF(AND(X40=0,X41=0),0,MIN(IF(X40&lt;=0,0,IF(WEEKDAY(X$6,1)=1,0,MIN(10,X41)*X40)),MAX(0,40*MAX(1,X40)-(W42))))</f>
        <v>0</v>
      </c>
      <c r="Y42" s="63">
        <f>IF(AND(Y40=1,Y41=9),8,MIN(IF(Y40&lt;=0,0,IF(WEEKDAY(Y$6,1)=1,0,MIN(8,Y41)*Y40)),MAX(0,40*MAX(1,Y40)-(0))))</f>
        <v>8</v>
      </c>
      <c r="Z42" s="63">
        <f>IF(AND(Z40=1,Z41=9),8,MIN(IF(Z40&lt;=0,0,IF(WEEKDAY(Z$6,1)=1,0,MIN(8,Z41)*Z40)),MAX(0,40*MAX(1,Z40)-(Y42))))</f>
        <v>8</v>
      </c>
      <c r="AA42" s="63">
        <f>IF(AND(AA40=1,AA41=9),8,MIN(IF(AA40&lt;=0,0,IF(WEEKDAY(AA$6,1)=1,0,MIN(8,AA41)*AA40)),MAX(0,40*MAX(1,AA40)-(Y42+Z42))))</f>
        <v>8</v>
      </c>
      <c r="AB42" s="63">
        <f>IF(AND(AB40=1,AB41=9),8,MIN(IF(AB40&lt;=0,0,IF(WEEKDAY(AB$6,1)=1,0,MIN(8,AB41)*AB40)),MAX(0,40*MAX(1,AB40)-(Y42+Z42+AA42))))</f>
        <v>8</v>
      </c>
      <c r="AC42" s="63">
        <f>IF(AND(AC40=1,AC41=9),8,MIN(IF(AC40&lt;=0,0,IF(WEEKDAY(AC$6,1)=1,0,MIN(8,AC41)*AC40)),MAX(0,40*MAX(1,AC40)-(Y42+Z42+AA42+AB42))))</f>
        <v>8</v>
      </c>
      <c r="AD42" s="64">
        <f>IF(AND(AD40=0,AD41=0),0,MIN(IF(AD40&lt;=0,0,IF(WEEKDAY(AD$6,1)=1,0,MIN(10,AD41)*AD40)),MAX(0,40*MAX(1,AD40)-(0))))</f>
        <v>0</v>
      </c>
      <c r="AE42" s="64">
        <f>IF(AND(AE40=0,AE41=0),0,MIN(IF(AE40&lt;=0,0,IF(WEEKDAY(AE$6,1)=1,0,MIN(10,AE41)*AE40)),MAX(0,40*MAX(1,AE40)-(AD42))))</f>
        <v>0</v>
      </c>
      <c r="AF42" s="63">
        <f>IF(AND(AF40=1,AF41=9),8,MIN(IF(AF40&lt;=0,0,IF(WEEKDAY(AF$6,1)=1,0,MIN(8,AF41)*AF40)),MAX(0,40*MAX(1,AF40)-(0))))</f>
        <v>8</v>
      </c>
      <c r="AG42" s="63">
        <f>IF(AND(AG40=1,AG41=9),8,MIN(IF(AG40&lt;=0,0,IF(WEEKDAY(AG$6,1)=1,0,MIN(8,AG41)*AG40)),MAX(0,40*MAX(1,AG40)-(AF42))))</f>
        <v>8</v>
      </c>
      <c r="AH42" s="63">
        <f>IF(AND(AH40=1,AH41=9),8,MIN(IF(AH40&lt;=0,0,IF(WEEKDAY(AH$6,1)=1,0,MIN(8,AH41)*AH40)),MAX(0,40*MAX(1,AH40)-(AF42+AG42))))</f>
        <v>8</v>
      </c>
      <c r="AI42" s="63">
        <f>IF(AND(AI40=1,AI41=9),8,MIN(IF(AI40&lt;=0,0,IF(WEEKDAY(AI$6,1)=1,0,MIN(8,AI41)*AI40)),MAX(0,40*MAX(1,AI40)-(AF42+AG42+AH42))))</f>
        <v>8</v>
      </c>
      <c r="AJ42" s="63">
        <f>IF(AND(AJ40=1,AJ41=9),8,MIN(IF(AJ40&lt;=0,0,IF(WEEKDAY(AJ$6,1)=1,0,MIN(8,AJ41)*AJ40)),MAX(0,40*MAX(1,AJ40)-(AF42+AG42+AH42+AI42))))</f>
        <v>8</v>
      </c>
      <c r="AK42" s="64">
        <f>IF(AND(AK40=0,AK41=0),0,MIN(IF(AK40&lt;=0,0,IF(WEEKDAY(AK$6,1)=1,0,MIN(10,AK41)*AK40)),MAX(0,40*MAX(1,AK40)-(0))))</f>
        <v>0</v>
      </c>
      <c r="AL42" s="64">
        <f>IF(AND(AL40=0,AL41=0),0,MIN(IF(AL40&lt;=0,0,IF(WEEKDAY(AL$6,1)=1,0,MIN(10,AL41)*AL40)),MAX(0,40*MAX(1,AL40)-(AK42))))</f>
        <v>0</v>
      </c>
      <c r="AM42" s="63">
        <f>IF(AND(AM40=1,AM41=9),8,MIN(IF(AM40&lt;=0,0,IF(WEEKDAY(AM$6,1)=1,0,MIN(8,AM41)*AM40)),MAX(0,40*MAX(1,AM40)-(0))))</f>
        <v>8</v>
      </c>
      <c r="AN42" s="63">
        <f>IF(AND(AN40=1,AN41=9),8,MIN(IF(AN40&lt;=0,0,IF(WEEKDAY(AN$6,1)=1,0,MIN(8,AN41)*AN40)),MAX(0,40*MAX(1,AN40)-(AM42))))</f>
        <v>8</v>
      </c>
      <c r="AO42" s="63">
        <f>IF(AND(AO40=1,AO41=9),8,MIN(IF(AO40&lt;=0,0,IF(WEEKDAY(AO$6,1)=1,0,MIN(8,AO41)*AO40)),MAX(0,40*MAX(1,AO40)-(AM42+AN42))))</f>
        <v>8</v>
      </c>
      <c r="AP42" s="63">
        <f>IF(AND(AP40=1,AP41=9),8,MIN(IF(AP40&lt;=0,0,IF(WEEKDAY(AP$6,1)=1,0,MIN(8,AP41)*AP40)),MAX(0,40*MAX(1,AP40)-(AM42+AN42+AO42))))</f>
        <v>8</v>
      </c>
      <c r="AQ42" s="63">
        <f>IF(AND(AQ40=1,AQ41=9),8,MIN(IF(AQ40&lt;=0,0,IF(WEEKDAY(AQ$6,1)=1,0,MIN(8,AQ41)*AQ40)),MAX(0,40*MAX(1,AQ40)-(AM42+AN42+AO42+AP42))))</f>
        <v>8</v>
      </c>
      <c r="AR42" s="64">
        <f>IF(AND(AR40=0,AR41=0),0,MIN(IF(AR40&lt;=0,0,IF(WEEKDAY(AR$6,1)=1,0,MIN(10,AR41)*AR40)),MAX(0,40*MAX(1,AR40)-(0))))</f>
        <v>0</v>
      </c>
      <c r="AS42" s="64">
        <f>IF(AND(AS40=0,AS41=0),0,MIN(IF(AS40&lt;=0,0,IF(WEEKDAY(AS$6,1)=1,0,MIN(10,AS41)*AS40)),MAX(0,40*MAX(1,AS40)-(AR42))))</f>
        <v>0</v>
      </c>
      <c r="AT42" s="63">
        <f>IF(AND(AT40=1,AT41=9),8,MIN(IF(AT40&lt;=0,0,IF(WEEKDAY(AT$6,1)=1,0,MIN(8,AT41)*AT40)),MAX(0,40*MAX(1,AT40)-(0))))</f>
        <v>8</v>
      </c>
      <c r="AU42" s="63">
        <f>IF(AND(AU40=1,AU41=9),8,MIN(IF(AU40&lt;=0,0,IF(WEEKDAY(AU$6,1)=1,0,MIN(8,AU41)*AU40)),MAX(0,40*MAX(1,AU40)-(AT42))))</f>
        <v>8</v>
      </c>
      <c r="AV42" s="63">
        <f>IF(AND(AV40=1,AV41=9),8,MIN(IF(AV40&lt;=0,0,IF(WEEKDAY(AV$6,1)=1,0,MIN(8,AV41)*AV40)),MAX(0,40*MAX(1,AV40)-(AT42+AU42))))</f>
        <v>8</v>
      </c>
      <c r="AW42" s="63">
        <f>IF(AND(AW40=1,AW41=9),8,MIN(IF(AW40&lt;=0,0,IF(WEEKDAY(AW$6,1)=1,0,MIN(8,AW41)*AW40)),MAX(0,40*MAX(1,AW40)-(AT42+AU42+AV42))))</f>
        <v>8</v>
      </c>
      <c r="AX42" s="63">
        <f>IF(AND(AX40=1,AX41=9),8,MIN(IF(AX40&lt;=0,0,IF(WEEKDAY(AX$6,1)=1,0,MIN(8,AX41)*AX40)),MAX(0,40*MAX(1,AX40)-(AT42+AU42+AV42+AW42))))</f>
        <v>8</v>
      </c>
      <c r="AY42" s="64">
        <f>IF(AND(AY40=0,AY41=0),0,MIN(IF(AY40&lt;=0,0,IF(WEEKDAY(AY$6,1)=1,0,MIN(10,AY41)*AY40)),MAX(0,40*MAX(1,AY40)-(0))))</f>
        <v>0</v>
      </c>
      <c r="AZ42" s="64">
        <f>IF(AND(AZ40=0,AZ41=0),0,MIN(IF(AZ40&lt;=0,0,IF(WEEKDAY(AZ$6,1)=1,0,MIN(10,AZ41)*AZ40)),MAX(0,40*MAX(1,AZ40)-(AY42))))</f>
        <v>0</v>
      </c>
      <c r="BA42" s="63">
        <f>IF(AND(BA40=1,BA41=9),8,MIN(IF(BA40&lt;=0,0,IF(WEEKDAY(BA$6,1)=1,0,MIN(8,BA41)*BA40)),MAX(0,40*MAX(1,BA40)-(0))))</f>
        <v>8</v>
      </c>
      <c r="BB42" s="63">
        <f>IF(AND(BB40=1,BB41=9),8,MIN(IF(BB40&lt;=0,0,IF(WEEKDAY(BB$6,1)=1,0,MIN(8,BB41)*BB40)),MAX(0,40*MAX(1,BB40)-(BA42))))</f>
        <v>8</v>
      </c>
      <c r="BC42" s="63">
        <f>IF(AND(BC40=1,BC41=9),8,MIN(IF(BC40&lt;=0,0,IF(WEEKDAY(BC$6,1)=1,0,MIN(8,BC41)*BC40)),MAX(0,40*MAX(1,BC40)-(BA42+BB42))))</f>
        <v>8</v>
      </c>
      <c r="BD42" s="63">
        <f>IF(AND(BD40=1,BD41=9),8,MIN(IF(BD40&lt;=0,0,IF(WEEKDAY(BD$6,1)=1,0,MIN(8,BD41)*BD40)),MAX(0,40*MAX(1,BD40)-(BA42+BB42+BC42))))</f>
        <v>8</v>
      </c>
      <c r="BE42" s="63">
        <f>IF(AND(BE40=1,BE41=9),8,MIN(IF(BE40&lt;=0,0,IF(WEEKDAY(BE$6,1)=1,0,MIN(8,BE41)*BE40)),MAX(0,40*MAX(1,BE40)-(BA42+BB42+BC42+BD42))))</f>
        <v>8</v>
      </c>
      <c r="BF42" s="64">
        <f>IF(AND(BF40=0,BF41=0),0,MIN(IF(BF40&lt;=0,0,IF(WEEKDAY(BF$6,1)=1,0,MIN(10,BF41)*BF40)),MAX(0,40*MAX(1,BF40)-(0))))</f>
        <v>0</v>
      </c>
      <c r="BG42" s="64">
        <f>IF(AND(BG40=0,BG41=0),0,MIN(IF(BG40&lt;=0,0,IF(WEEKDAY(BG$6,1)=1,0,MIN(10,BG41)*BG40)),MAX(0,40*MAX(1,BG40)-(BF42))))</f>
        <v>0</v>
      </c>
      <c r="BH42" s="63">
        <f>IF(AND(BH40=1,BH41=13),10,MIN(IF(BH40&lt;=0,0,IF(WEEKDAY(BH$6,1)=1,0,MIN(10,BH41)*BH40)),MAX(0,40*MAX(1,BH40)-(0))))</f>
        <v>10</v>
      </c>
      <c r="BI42" s="63">
        <f>IF(AND(BI40=1,BI41=13),10,MIN(IF(BI40&lt;=0,0,IF(WEEKDAY(BI$6,1)=1,0,MIN(10,BI41)*BI40)),MAX(0,40*MAX(1,BI40)-(BH42))))</f>
        <v>10</v>
      </c>
      <c r="BJ42" s="63">
        <f>IF(AND(BJ40=1,BJ41=13),10,MIN(IF(BJ40&lt;=0,0,IF(WEEKDAY(BJ$6,1)=1,0,MIN(10,BJ41)*BJ40)),MAX(0,40*MAX(1,BJ40)-(BH42+BI42))))</f>
        <v>10</v>
      </c>
      <c r="BK42" s="63">
        <f>IF(AND(BK40=1,BK41=13),10,MIN(IF(BK40&lt;=0,0,IF(WEEKDAY(BK$6,1)=1,0,MIN(10,BK41)*BK40)),MAX(0,40*MAX(1,BK40)-(BH42+BI42+BJ42))))</f>
        <v>10</v>
      </c>
      <c r="BL42" s="63">
        <f>IF(AND(BL40=1,BL41=13),0,MIN(IF(BL40&lt;=0,0,IF(WEEKDAY(BL$6,1)=1,0,MIN(10,BL41)*BL40)),MAX(0,40*MAX(1,BL40)-(BH42+BI42+BJ42+BK42))))</f>
        <v>0</v>
      </c>
      <c r="BM42" s="64">
        <f>IF(AND(BM40=1,BM41=13),0,MIN(IF(BM40&lt;=0,0,IF(WEEKDAY(BM$6,1)=1,0,MIN(10,BM41)*BM40)),MAX(0,40*MAX(1,BM40)-(BH42+BI42+BJ42+BK42+BL42))))</f>
        <v>0</v>
      </c>
      <c r="BN42" s="64">
        <f>IF(AND(BN40=1,BN41=13),0,MIN(IF(BN40&lt;=0,0,IF(WEEKDAY(BN$6,1)=1,0,MIN(10,BN41)*BN40)),MAX(0,40*MAX(1,BN40)-(BH42+BI42+BJ42+BK42+BL42+BM42))))</f>
        <v>0</v>
      </c>
      <c r="BO42" s="63">
        <f>IF(AND(BO40=1,BO41=13),10,MIN(IF(BO40&lt;=0,0,IF(WEEKDAY(BO$6,1)=1,0,MIN(10,BO41)*BO40)),MAX(0,40*MAX(1,BO40)-(0))))</f>
        <v>10</v>
      </c>
      <c r="BP42" s="63">
        <f>IF(AND(BP40=1,BP41=13),10,MIN(IF(BP40&lt;=0,0,IF(WEEKDAY(BP$6,1)=1,0,MIN(10,BP41)*BP40)),MAX(0,40*MAX(1,BP40)-(BO42))))</f>
        <v>10</v>
      </c>
      <c r="BQ42" s="63">
        <f>IF(AND(BQ40=1,BQ41=13),10,MIN(IF(BQ40&lt;=0,0,IF(WEEKDAY(BQ$6,1)=1,0,MIN(10,BQ41)*BQ40)),MAX(0,40*MAX(1,BQ40)-(BO42+BP42))))</f>
        <v>10</v>
      </c>
      <c r="BR42" s="63">
        <f>IF(AND(BR40=1,BR41=13),10,MIN(IF(BR40&lt;=0,0,IF(WEEKDAY(BR$6,1)=1,0,MIN(10,BR41)*BR40)),MAX(0,40*MAX(1,BR40)-(0))))</f>
        <v>10</v>
      </c>
      <c r="BS42" s="63">
        <f>IF(AND(BS40=1,BS41=13),10,MIN(IF(BS40&lt;=0,0,IF(WEEKDAY(BS$6,1)=1,0,MIN(10,BS41)*BS40)),MAX(0,40*MAX(1,BS40)-(BR42))))</f>
        <v>10</v>
      </c>
      <c r="BT42" s="64">
        <f>IF(AND(BT40=1,BT41=13),10,MIN(IF(BT40&lt;=0,0,IF(WEEKDAY(BT$6,1)=1,0,MIN(10,BT41)*BT40)),MAX(0,40*MAX(1,BT40)-(BR42+BS42))))</f>
        <v>10</v>
      </c>
      <c r="BU42" s="64">
        <f>IF(AND(BU40=1,BU41=13),0,MIN(IF(BU40&lt;=0,0,IF(WEEKDAY(BU$6,1)=1,0,MIN(10,BU41)*BU40)),MAX(0,40*MAX(1,BU40)-(BR42+BS42+BT42))))</f>
        <v>0</v>
      </c>
      <c r="BV42" s="63">
        <f>IF(AND(BV40=1,BV41=13),10,MIN(IF(BV40&lt;=0,0,IF(WEEKDAY(BV$6,1)=1,0,MIN(10,BV41)*BV40)),MAX(0,40*MAX(1,BV40)-(0))))</f>
        <v>10</v>
      </c>
      <c r="BW42" s="63">
        <f>IF(AND(BW40=1,BW41=13),10,MIN(IF(BW40&lt;=0,0,IF(WEEKDAY(BW$6,1)=1,0,MIN(10,BW41)*BW40)),MAX(0,40*MAX(1,BW40)-(BV42))))</f>
        <v>10</v>
      </c>
      <c r="BX42" s="63">
        <f>IF(AND(BX40=1,BX41=13),10,MIN(IF(BX40&lt;=0,0,IF(WEEKDAY(BX$6,1)=1,0,MIN(10,BX41)*BX40)),MAX(0,40*MAX(1,BX40)-(BV42+BW42))))</f>
        <v>10</v>
      </c>
      <c r="BY42" s="63">
        <f>IF(AND(BY40=1,BY41=13),10,MIN(IF(BY40&lt;=0,0,IF(WEEKDAY(BY$6,1)=1,0,MIN(10,BY41)*BY40)),MAX(0,40*MAX(1,BY40)-(BV42+BW42+BX42))))</f>
        <v>10</v>
      </c>
      <c r="BZ42" s="63">
        <f>IF(AND(BZ40=1,BZ41=13),0,MIN(IF(BZ40&lt;=0,0,IF(WEEKDAY(BZ$6,1)=1,0,MIN(10,BZ41)*BZ40)),MAX(0,40*MAX(1,BZ40)-(BV42+BW42+BX42+BY42))))</f>
        <v>0</v>
      </c>
      <c r="CA42" s="64">
        <f>IF(AND(CA40=1,CA41=13),0,MIN(IF(CA40&lt;=0,0,IF(WEEKDAY(CA$6,1)=1,0,MIN(10,CA41)*CA40)),MAX(0,40*MAX(1,CA40)-(BV42+BW42+BX42+BY42+BZ42))))</f>
        <v>0</v>
      </c>
      <c r="CB42" s="64">
        <f>IF(AND(CB40=0,CB41=0),0,MIN(IF(CB40&lt;=0,0,IF(WEEKDAY(CB$6,1)=1,0,MIN(10,CB41)*CB40)),MAX(0,40*MAX(1,CB40)-(0))))</f>
        <v>0</v>
      </c>
      <c r="CC42" s="63">
        <f>IF(AND(CC40=1,CC41=13),10,MIN(IF(CC40&lt;=0,0,IF(WEEKDAY(CC$6,1)=1,0,MIN(10,CC41)*CC40)),MAX(0,40*MAX(1,CC40)-(0))))</f>
        <v>10</v>
      </c>
      <c r="CD42" s="63">
        <f>IF(AND(CD40=1,CD41=13),10,MIN(IF(CD40&lt;=0,0,IF(WEEKDAY(CD$6,1)=1,0,MIN(10,CD41)*CD40)),MAX(0,40*MAX(1,CD40)-(CC42))))</f>
        <v>10</v>
      </c>
      <c r="CE42" s="63">
        <f>IF(AND(CE40=1,CE41=13),10,MIN(IF(CE40&lt;=0,0,IF(WEEKDAY(CE$6,1)=1,0,MIN(10,CE41)*CE40)),MAX(0,40*MAX(1,CE40)-(CC42+CD42))))</f>
        <v>10</v>
      </c>
      <c r="CF42" s="63">
        <f>IF(AND(CF40=1,CF41=13),10,MIN(IF(CF40&lt;=0,0,IF(WEEKDAY(CF$6,1)=1,0,MIN(10,CF41)*CF40)),MAX(0,40*MAX(1,CF40)-(CC42+CD42+CE42))))</f>
        <v>10</v>
      </c>
      <c r="CG42" s="63">
        <f>IF(AND(CG40=1,CG41=13),0,MIN(IF(CG40&lt;=0,0,IF(WEEKDAY(CG$6,1)=1,0,MIN(10,CG41)*CG40)),MAX(0,40*MAX(1,CG40)-(CC42+CD42+CE42+CF42))))</f>
        <v>0</v>
      </c>
      <c r="CH42" s="64">
        <f>IF(AND(CH40=1,CH41=13),0,MIN(IF(CH40&lt;=0,0,IF(WEEKDAY(CH$6,1)=1,0,MIN(10,CH41)*CH40)),MAX(0,40*MAX(1,CH40)-(CC42+CD42+CE42+CF42+CG42))))</f>
        <v>0</v>
      </c>
      <c r="CI42" s="64">
        <f>IF(AND(CI40=1,CI41=13),0,MIN(IF(CI40&lt;=0,0,IF(WEEKDAY(CI$6,1)=1,0,MIN(10,CI41)*CI40)),MAX(0,40*MAX(1,CI40)-(CC42+CD42+CE42+CF42+CG42+CH42))))</f>
        <v>0</v>
      </c>
      <c r="CJ42" s="63">
        <f>IF(AND(CJ40=1,CJ41=13),10,MIN(IF(CJ40&lt;=0,0,IF(WEEKDAY(CJ$6,1)=1,0,MIN(10,CJ41)*CJ40)),MAX(0,40*MAX(1,CJ40)-(0))))</f>
        <v>10</v>
      </c>
      <c r="CK42" s="63">
        <f>IF(AND(CK40=1,CK41=13),10,MIN(IF(CK40&lt;=0,0,IF(WEEKDAY(CK$6,1)=1,0,MIN(10,CK41)*CK40)),MAX(0,40*MAX(1,CK40)-(CJ42))))</f>
        <v>10</v>
      </c>
      <c r="CL42" s="63">
        <f>IF(AND(CL40=1,CL41=13),10,MIN(IF(CL40&lt;=0,0,IF(WEEKDAY(CL$6,1)=1,0,MIN(10,CL41)*CL40)),MAX(0,40*MAX(1,CL40)-(CJ42+CK42))))</f>
        <v>10</v>
      </c>
      <c r="CM42" s="63">
        <f>IF(AND(CM40=1,CM41=13),10,MIN(IF(CM40&lt;=0,0,IF(WEEKDAY(CM$6,1)=1,0,MIN(10,CM41)*CM40)),MAX(0,40*MAX(1,CM40)-(CJ42+CK42+CL42))))</f>
        <v>10</v>
      </c>
      <c r="CN42" s="63">
        <f>IF(AND(CN40=1,CN41=13),0,MIN(IF(CN40&lt;=0,0,IF(WEEKDAY(CN$6,1)=1,0,MIN(10,CN41)*CN40)),MAX(0,40*MAX(1,CN40)-(CJ42+CK42+CL42+CM42))))</f>
        <v>0</v>
      </c>
      <c r="CO42" s="64">
        <f>IF(AND(CO40=1,CO41=13),0,MIN(IF(CO40&lt;=0,0,IF(WEEKDAY(CO$6,1)=1,0,MIN(10,CO41)*CO40)),MAX(0,40*MAX(1,CO40)-(CJ42+CK42+CL42+CM42+CN42))))</f>
        <v>0</v>
      </c>
      <c r="CP42" s="64">
        <f>IF(AND(CP40=0,CP41=0),0,MIN(IF(CP40&lt;=0,0,IF(WEEKDAY(CP$6,1)=1,0,MIN(10,CP41)*CP40)),MAX(0,40*MAX(1,CP40)-(0))))</f>
        <v>0</v>
      </c>
      <c r="CQ42" s="63">
        <f>IF(AND(CQ40=1,CQ41=13),10,MIN(IF(CQ40&lt;=0,0,IF(WEEKDAY(CQ$6,1)=1,0,MIN(10,CQ41)*CQ40)),MAX(0,40*MAX(1,CQ40)-(0))))</f>
        <v>10</v>
      </c>
      <c r="CR42" s="63">
        <f>IF(AND(CR40=1,CR41=13),10,MIN(IF(CR40&lt;=0,0,IF(WEEKDAY(CR$6,1)=1,0,MIN(10,CR41)*CR40)),MAX(0,40*MAX(1,CR40)-(CQ42))))</f>
        <v>10</v>
      </c>
      <c r="CS42" s="63">
        <f>IF(AND(CS40=1,CS41=13),10,MIN(IF(CS40&lt;=0,0,IF(WEEKDAY(CS$6,1)=1,0,MIN(10,CS41)*CS40)),MAX(0,40*MAX(1,CS40)-(CQ42+CR42))))</f>
        <v>10</v>
      </c>
      <c r="CT42" s="63">
        <f>IF(AND(CT40=1,CT41=13),10,MIN(IF(CT40&lt;=0,0,IF(WEEKDAY(CT$6,1)=1,0,MIN(10,CT41)*CT40)),MAX(0,40*MAX(1,CT40)-(CQ42+CR42+CS42))))</f>
        <v>10</v>
      </c>
      <c r="CU42" s="63">
        <f>IF(AND(CU40=1,CU41=13),0,MIN(IF(CU40&lt;=0,0,IF(WEEKDAY(CU$6,1)=1,0,MIN(10,CU41)*CU40)),MAX(0,40*MAX(1,CU40)-(CQ42+CR42+CS42+CT42))))</f>
        <v>0</v>
      </c>
      <c r="CV42" s="64">
        <f>IF(AND(CV40=1,CV41=13),0,MIN(IF(CV40&lt;=0,0,IF(WEEKDAY(CV$6,1)=1,0,MIN(10,CV41)*CV40)),MAX(0,40*MAX(1,CV40)-(CQ42+CR42+CS42+CT42+CU42))))</f>
        <v>0</v>
      </c>
      <c r="CW42" s="64">
        <f>IF(AND(CW40=1,CW41=13),0,MIN(IF(CW40&lt;=0,0,IF(WEEKDAY(CW$6,1)=1,0,MIN(10,CW41)*CW40)),MAX(0,40*MAX(1,CW40)-(CQ42+CR42+CS42+CT42+CU42+CV42))))</f>
        <v>0</v>
      </c>
      <c r="CX42" s="63">
        <f>IF(AND(CX40=1,CX41=13),10,MIN(IF(CX40&lt;=0,0,IF(WEEKDAY(CX$6,1)=1,0,MIN(10,CX41)*CX40)),MAX(0,40*MAX(1,CX40)-(0))))</f>
        <v>10</v>
      </c>
      <c r="CY42" s="63">
        <f>IF(AND(CY40=1,CY41=13),10,MIN(IF(CY40&lt;=0,0,IF(WEEKDAY(CY$6,1)=1,0,MIN(10,CY41)*CY40)),MAX(0,40*MAX(1,CY40)-(CX42))))</f>
        <v>10</v>
      </c>
      <c r="CZ42" s="63">
        <f>IF(AND(CZ40=1,CZ41=13),10,MIN(IF(CZ40&lt;=0,0,IF(WEEKDAY(CZ$6,1)=1,0,MIN(10,CZ41)*CZ40)),MAX(0,40*MAX(1,CZ40)-(CX42+CY42))))</f>
        <v>10</v>
      </c>
      <c r="DA42" s="63">
        <f>IF(AND(DA40=1,DA41=13),10,MIN(IF(DA40&lt;=0,0,IF(WEEKDAY(DA$6,1)=1,0,MIN(10,DA41)*DA40)),MAX(0,40*MAX(1,DA40)-(CX42+CY42+CZ42))))</f>
        <v>10</v>
      </c>
      <c r="DB42" s="63">
        <f>IF(AND(DB40=1,DB41=13),0,MIN(IF(DB40&lt;=0,0,IF(WEEKDAY(DB$6,1)=1,0,MIN(10,DB41)*DB40)),MAX(0,40*MAX(1,DB40)-(CX42+CY42+CZ42+DA42))))</f>
        <v>0</v>
      </c>
      <c r="DC42" s="64">
        <f>IF(AND(DC40=1,DC41=13),0,MIN(IF(DC40&lt;=0,0,IF(WEEKDAY(DC$6,1)=1,0,MIN(10,DC41)*DC40)),MAX(0,40*MAX(1,DC40)-(CX42+CY42+CZ42+DA42+DB42))))</f>
        <v>0</v>
      </c>
      <c r="DD42" s="64">
        <f>IF(AND(DD40=1,DD41=13),0,MIN(IF(DD40&lt;=0,0,IF(WEEKDAY(DD$6,1)=1,0,MIN(10,DD41)*DD40)),MAX(0,40*MAX(1,DD40)-(0))))</f>
        <v>0</v>
      </c>
      <c r="DE42" s="63">
        <f>IF(AND(DE40=1,DE41=13),10,MIN(IF(DE40&lt;=0,0,IF(WEEKDAY(DE$6,1)=1,0,MIN(10,DE41)*DE40)),MAX(0,40*MAX(1,DE40)-(0))))</f>
        <v>10</v>
      </c>
      <c r="DF42" s="63">
        <f>IF(AND(DF40=1,DF41=13),10,MIN(IF(DF40&lt;=0,0,IF(WEEKDAY(DF$6,1)=1,0,MIN(10,DF41)*DF40)),MAX(0,40*MAX(1,DF40)-(DE42))))</f>
        <v>10</v>
      </c>
      <c r="DG42" s="63">
        <f>IF(AND(DG40=1,DG41=13),10,MIN(IF(DG40&lt;=0,0,IF(WEEKDAY(DG$6,1)=1,0,MIN(10,DG41)*DG40)),MAX(0,40*MAX(1,DG40)-(DE42+DF42))))</f>
        <v>10</v>
      </c>
      <c r="DH42" s="63">
        <f>IF(AND(DH40=1,DH41=13),10,MIN(IF(DH40&lt;=0,0,IF(WEEKDAY(DH$6,1)=1,0,MIN(10,DH41)*DH40)),MAX(0,40*MAX(1,DH40)-(DE42+DF42+DG42))))</f>
        <v>10</v>
      </c>
      <c r="DI42" s="63">
        <f>IF(AND(DI40=1,DI41=13),0,MIN(IF(DI40&lt;=0,0,IF(WEEKDAY(DI$6,1)=1,0,MIN(10,DI41)*DI40)),MAX(0,40*MAX(1,DI40)-(DE42+DF42+DG42+DH42))))</f>
        <v>0</v>
      </c>
      <c r="DJ42" s="64">
        <f>IF(AND(DJ40=1,DJ41=13),0,MIN(IF(DJ40&lt;=0,0,IF(WEEKDAY(DJ$6,1)=1,0,MIN(10,DJ41)*DJ40)),MAX(0,40*MAX(1,DJ40)-(DE42+DF42+DG42+DH42+DI42))))</f>
        <v>0</v>
      </c>
      <c r="DK42" s="64">
        <f>IF(AND(DK40=0,DK41=0),0,MIN(IF(DK40&lt;=0,0,IF(WEEKDAY(DK$6,1)=1,0,MIN(10,DK41)*DK40)),MAX(0,40*MAX(1,DK40)-(0))))</f>
        <v>0</v>
      </c>
      <c r="DL42" s="63">
        <f>IF(AND(DL40=1,DL41=13),10,MIN(IF(DL40&lt;=0,0,IF(WEEKDAY(DL$6,1)=1,0,MIN(10,DL41)*DL40)),MAX(0,40*MAX(1,DL40)-(0))))</f>
        <v>10</v>
      </c>
      <c r="DM42" s="63">
        <f>IF(AND(DM40=1,DM41=13),10,MIN(IF(DM40&lt;=0,0,IF(WEEKDAY(DM$6,1)=1,0,MIN(10,DM41)*DM40)),MAX(0,40*MAX(1,DM40)-(DL42))))</f>
        <v>10</v>
      </c>
      <c r="DN42" s="63">
        <f>IF(AND(DN40=1,DN41=13),10,MIN(IF(DN40&lt;=0,0,IF(WEEKDAY(DN$6,1)=1,0,MIN(10,DN41)*DN40)),MAX(0,40*MAX(1,DN40)-(DL42+DM42))))</f>
        <v>10</v>
      </c>
      <c r="DO42" s="63">
        <f>IF(AND(DO40=1,DO41=13),10,MIN(IF(DO40&lt;=0,0,IF(WEEKDAY(DO$6,1)=1,0,MIN(10,DO41)*DO40)),MAX(0,40*MAX(1,DO40)-(DL42+DM42+DN42))))</f>
        <v>10</v>
      </c>
      <c r="DP42" s="63">
        <f>IF(AND(DP40=1,DP41=13),0,MIN(IF(DP40&lt;=0,0,IF(WEEKDAY(DP$6,1)=1,0,MIN(10,DP41)*DP40)),MAX(0,40*MAX(1,DP40)-(DL42+DM42+DN42+DO42))))</f>
        <v>0</v>
      </c>
      <c r="DQ42" s="64">
        <f>IF(AND(DQ40=1,DQ41=13),0,MIN(IF(DQ40&lt;=0,0,IF(WEEKDAY(DQ$6,1)=1,0,MIN(10,DQ41)*DQ40)),MAX(0,40*MAX(1,DQ40)-(DL42+DM42+DN42+DO42+DP42))))</f>
        <v>0</v>
      </c>
      <c r="DR42" s="64">
        <f>IF(AND(DR40=1,DR41=13),0,MIN(IF(DR40&lt;=0,0,IF(WEEKDAY(DR$6,1)=1,0,MIN(10,DR41)*DR40)),MAX(0,40*MAX(1,DR40)-(DL42+DM42+DN42+DO42+DP42+DQ42))))</f>
        <v>0</v>
      </c>
      <c r="DS42" s="63">
        <f>IF(AND(DS40=1,DS41=13),10,MIN(IF(DS40&lt;=0,0,IF(WEEKDAY(DS$6,1)=1,0,MIN(10,DS41)*DS40)),MAX(0,40*MAX(1,DS40)-(0))))</f>
        <v>10</v>
      </c>
      <c r="DT42" s="63">
        <f>IF(AND(DT40=1,DT41=9),8,MIN(IF(DT40&lt;=0,0,IF(WEEKDAY(DT$6,1)=1,0,MIN(8,DT41)*DT40)),MAX(0,40*MAX(1,DT40)-(0))))</f>
        <v>8</v>
      </c>
      <c r="DU42" s="63">
        <f>IF(AND(DU40=1,DU41=9),8,MIN(IF(DU40&lt;=0,0,IF(WEEKDAY(DU$6,1)=1,0,MIN(8,DU41)*DU40)),MAX(0,40*MAX(1,DU40)-(DT42))))</f>
        <v>8</v>
      </c>
      <c r="DV42" s="63">
        <f>IF(AND(DV40=1,DV41=9),8,MIN(IF(DV40&lt;=0,0,IF(WEEKDAY(DV$6,1)=1,0,MIN(8,DV41)*DV40)),MAX(0,40*MAX(1,DV40)-(DT42+DU42))))</f>
        <v>8</v>
      </c>
      <c r="DW42" s="63">
        <f>IF(AND(DW40=1,DW41=9),8,MIN(IF(DW40&lt;=0,0,IF(WEEKDAY(DW$6,1)=1,0,MIN(8,DW41)*DW40)),MAX(0,40*MAX(1,DW40)-(DT42+DU42+DV42))))</f>
        <v>8</v>
      </c>
      <c r="DX42" s="64">
        <f>IF(AND(DX40=0,DX41=0),0,MIN(IF(DX40&lt;=0,0,IF(WEEKDAY(DX$6,1)=1,0,MIN(10,DX41)*DX40)),MAX(0,40*MAX(1,DX40)-(0))))</f>
        <v>0</v>
      </c>
      <c r="DY42" s="64">
        <f>IF(AND(DY40=0,DY41=0),0,MIN(IF(DY40&lt;=0,0,IF(WEEKDAY(DY$6,1)=1,0,MIN(10,DY41)*DY40)),MAX(0,40*MAX(1,DY40)-(DX42))))</f>
        <v>0</v>
      </c>
      <c r="DZ42" s="63">
        <f>IF(AND(DZ40=1,DZ41=9),8,MIN(IF(DZ40&lt;=0,0,IF(WEEKDAY(DZ$6,1)=1,0,MIN(8,DZ41)*DZ40)),MAX(0,40*MAX(1,DZ40)-(0))))</f>
        <v>8</v>
      </c>
      <c r="EA42" s="63">
        <f>IF(AND(EA40=1,EA41=9),8,MIN(IF(EA40&lt;=0,0,IF(WEEKDAY(EA$6,1)=1,0,MIN(8,EA41)*EA40)),MAX(0,40*MAX(1,EA40)-(DZ42))))</f>
        <v>8</v>
      </c>
      <c r="EB42" s="63">
        <f>IF(AND(EB40=1,EB41=9),8,MIN(IF(EB40&lt;=0,0,IF(WEEKDAY(EB$6,1)=1,0,MIN(8,EB41)*EB40)),MAX(0,40*MAX(1,EB40)-(DZ42+EA42))))</f>
        <v>8</v>
      </c>
      <c r="EC42" s="63">
        <f>IF(AND(EC40=1,EC41=9),8,MIN(IF(EC40&lt;=0,0,IF(WEEKDAY(EC$6,1)=1,0,MIN(8,EC41)*EC40)),MAX(0,40*MAX(1,EC40)-(DZ42+EA42+EB42))))</f>
        <v>8</v>
      </c>
      <c r="ED42" s="63">
        <f>IF(AND(ED40=1,ED41=9),8,MIN(IF(ED40&lt;=0,0,IF(WEEKDAY(ED$6,1)=1,0,MIN(8,ED41)*ED40)),MAX(0,40*MAX(1,ED40)-(DZ42+EA42+EB42+EC42))))</f>
        <v>8</v>
      </c>
      <c r="EE42" s="64">
        <f>IF(AND(EE40=0,EE41=0),0,MIN(IF(EE40&lt;=0,0,IF(WEEKDAY(EE$6,1)=1,0,MIN(10,EE41)*EE40)),MAX(0,40*MAX(1,EE40)-(0))))</f>
        <v>0</v>
      </c>
      <c r="EF42" s="64">
        <f>IF(AND(EF40=0,EF41=0),0,MIN(IF(EF40&lt;=0,0,IF(WEEKDAY(EF$6,1)=1,0,MIN(10,EF41)*EF40)),MAX(0,40*MAX(1,EF40)-(EE42))))</f>
        <v>0</v>
      </c>
      <c r="EG42" s="63">
        <f>IF(AND(EG40=1,EG41=9),8,MIN(IF(EG40&lt;=0,0,IF(WEEKDAY(EG$6,1)=1,0,MIN(8,EG41)*EG40)),MAX(0,40*MAX(1,EG40)-(0))))</f>
        <v>8</v>
      </c>
      <c r="EH42" s="63">
        <f>IF(AND(EH40=1,EH41=9),8,MIN(IF(EH40&lt;=0,0,IF(WEEKDAY(EH$6,1)=1,0,MIN(8,EH41)*EH40)),MAX(0,40*MAX(1,EH40)-(EG42))))</f>
        <v>8</v>
      </c>
      <c r="EI42" s="63">
        <f>IF(AND(EI40=1,EI41=9),8,MIN(IF(EI40&lt;=0,0,IF(WEEKDAY(EI$6,1)=1,0,MIN(8,EI41)*EI40)),MAX(0,40*MAX(1,EI40)-(EG42+EH42))))</f>
        <v>8</v>
      </c>
      <c r="EJ42" s="63">
        <f>IF(AND(EJ40=1,EJ41=9),8,MIN(IF(EJ40&lt;=0,0,IF(WEEKDAY(EJ$6,1)=1,0,MIN(8,EJ41)*EJ40)),MAX(0,40*MAX(1,EJ40)-(EG42+EH42+EI42))))</f>
        <v>8</v>
      </c>
      <c r="EK42" s="65">
        <f>IF(AND(EK40=1,EK41=9),8,MIN(IF(EK40&lt;=0,0,IF(WEEKDAY(EK$6,1)=1,0,MIN(8,EK41)*EK40)),MAX(0,40*MAX(1,EK40)-(EG42+EH42+EI42+EJ42))))</f>
        <v>8</v>
      </c>
      <c r="OU42" s="28" t="s">
        <v>73</v>
      </c>
    </row>
    <row r="43" ht="16" customHeight="1" spans="1:411" x14ac:dyDescent="0.25">
      <c r="A43" s="45"/>
      <c r="B43" s="46"/>
      <c r="C43" s="66">
        <f>G39*N(D43)</f>
        <v>45702.8</v>
      </c>
      <c r="D43" s="66">
        <f>IF(TRIM(B39)="","No rate",IFERROR(INDEX('Rate Tables'!D$7:D$158,MATCH(B39,'Rate Tables'!A$7:A$158,0)),"No rate"))</f>
        <v>122.2</v>
      </c>
      <c r="E43" s="55" t="s">
        <v>63</v>
      </c>
      <c r="F43" s="49"/>
      <c r="G43" s="49"/>
      <c r="H43" s="49"/>
      <c r="I43" s="49"/>
      <c r="J43" s="50"/>
      <c r="K43" s="62">
        <f>IF(AND(K40=1,K41=9),1,IF(K40&lt;=0,0,IF(WEEKDAY(K$6,1)=1,0,MAX(0,K41-8)*K40))+((IF(K40&lt;=0,0,IF(WEEKDAY(K$6,1)=1,0,MIN(8,K41)*K40)))-MIN(IF(K40&lt;=0,0,IF(WEEKDAY(K$6,1)=1,0,MIN(8,K41)*K40)),MAX(0,40*MAX(1,K40)-(0)))))</f>
        <v>1</v>
      </c>
      <c r="L43" s="63">
        <f>IF(AND(L40=1,L41=9),1,IF(L40&lt;=0,0,IF(WEEKDAY(L$6,1)=1,0,MAX(0,L41-8)*L40))+((IF(L40&lt;=0,0,IF(WEEKDAY(L$6,1)=1,0,MIN(8,L41)*L40)))-MIN(IF(L40&lt;=0,0,IF(WEEKDAY(L$6,1)=1,0,MIN(8,L41)*L40)),MAX(0,40*MAX(1,L40)-(K42)))))</f>
        <v>1</v>
      </c>
      <c r="M43" s="63">
        <f>IF(AND(M40=1,M41=9),1,IF(M40&lt;=0,0,IF(WEEKDAY(M$6,1)=1,0,MAX(0,M41-8)*M40))+((IF(M40&lt;=0,0,IF(WEEKDAY(M$6,1)=1,0,MIN(8,M41)*M40)))-MIN(IF(M40&lt;=0,0,IF(WEEKDAY(M$6,1)=1,0,MIN(8,M41)*M40)),MAX(0,40*MAX(1,M40)-(K42+L42)))))</f>
        <v>1</v>
      </c>
      <c r="N43" s="63">
        <f>IF(AND(N40=1,N41=9),1,IF(N40&lt;=0,0,IF(WEEKDAY(N$6,1)=1,0,MAX(0,N41-8)*N40))+((IF(N40&lt;=0,0,IF(WEEKDAY(N$6,1)=1,0,MIN(8,N41)*N40)))-MIN(IF(N40&lt;=0,0,IF(WEEKDAY(N$6,1)=1,0,MIN(8,N41)*N40)),MAX(0,40*MAX(1,N40)-(K42+L42+M42)))))</f>
        <v>1</v>
      </c>
      <c r="O43" s="63">
        <f>IF(AND(O40=1,O41=9),1,IF(O40&lt;=0,0,IF(WEEKDAY(O$6,1)=1,0,MAX(0,O41-8)*O40))+((IF(O40&lt;=0,0,IF(WEEKDAY(O$6,1)=1,0,MIN(8,O41)*O40)))-MIN(IF(O40&lt;=0,0,IF(WEEKDAY(O$6,1)=1,0,MIN(8,O41)*O40)),MAX(0,40*MAX(1,O40)-(K42+L42+M42+N42)))))</f>
        <v>1</v>
      </c>
      <c r="P43" s="64">
        <f>IF(AND(P40=0,P41=0),0,IF(P40&lt;=0,0,IF(WEEKDAY(P$6,1)=1,0,MAX(0,P41-10)*P40))+((IF(P40&lt;=0,0,IF(WEEKDAY(P$6,1)=1,0,MIN(10,P41)*P40)))-MIN(IF(P40&lt;=0,0,IF(WEEKDAY(P$6,1)=1,0,MIN(10,P41)*P40)),MAX(0,40*MAX(1,P40)-(0)))))</f>
        <v>0</v>
      </c>
      <c r="Q43" s="64">
        <f>IF(AND(Q40=0,Q41=0),0,IF(Q40&lt;=0,0,IF(WEEKDAY(Q$6,1)=1,0,MAX(0,Q41-10)*Q40))+((IF(Q40&lt;=0,0,IF(WEEKDAY(Q$6,1)=1,0,MIN(10,Q41)*Q40)))-MIN(IF(Q40&lt;=0,0,IF(WEEKDAY(Q$6,1)=1,0,MIN(10,Q41)*Q40)),MAX(0,40*MAX(1,Q40)-(P42)))))</f>
        <v>0</v>
      </c>
      <c r="R43" s="63">
        <f>IF(AND(R40=1,R41=9),1,IF(R40&lt;=0,0,IF(WEEKDAY(R$6,1)=1,0,MAX(0,R41-8)*R40))+((IF(R40&lt;=0,0,IF(WEEKDAY(R$6,1)=1,0,MIN(8,R41)*R40)))-MIN(IF(R40&lt;=0,0,IF(WEEKDAY(R$6,1)=1,0,MIN(8,R41)*R40)),MAX(0,40*MAX(1,R40)-(0)))))</f>
        <v>1</v>
      </c>
      <c r="S43" s="63">
        <f>IF(AND(S40=1,S41=9),1,IF(S40&lt;=0,0,IF(WEEKDAY(S$6,1)=1,0,MAX(0,S41-8)*S40))+((IF(S40&lt;=0,0,IF(WEEKDAY(S$6,1)=1,0,MIN(8,S41)*S40)))-MIN(IF(S40&lt;=0,0,IF(WEEKDAY(S$6,1)=1,0,MIN(8,S41)*S40)),MAX(0,40*MAX(1,S40)-(R42)))))</f>
        <v>1</v>
      </c>
      <c r="T43" s="63">
        <f>IF(AND(T40=1,T41=9),1,IF(T40&lt;=0,0,IF(WEEKDAY(T$6,1)=1,0,MAX(0,T41-8)*T40))+((IF(T40&lt;=0,0,IF(WEEKDAY(T$6,1)=1,0,MIN(8,T41)*T40)))-MIN(IF(T40&lt;=0,0,IF(WEEKDAY(T$6,1)=1,0,MIN(8,T41)*T40)),MAX(0,40*MAX(1,T40)-(R42+S42)))))</f>
        <v>1</v>
      </c>
      <c r="U43" s="63">
        <f>IF(AND(U40=1,U41=9),1,IF(U40&lt;=0,0,IF(WEEKDAY(U$6,1)=1,0,MAX(0,U41-8)*U40))+((IF(U40&lt;=0,0,IF(WEEKDAY(U$6,1)=1,0,MIN(8,U41)*U40)))-MIN(IF(U40&lt;=0,0,IF(WEEKDAY(U$6,1)=1,0,MIN(8,U41)*U40)),MAX(0,40*MAX(1,U40)-(R42+S42+T42)))))</f>
        <v>1</v>
      </c>
      <c r="V43" s="63">
        <f>IF(AND(V40=1,V41=9),1,IF(V40&lt;=0,0,IF(WEEKDAY(V$6,1)=1,0,MAX(0,V41-8)*V40))+((IF(V40&lt;=0,0,IF(WEEKDAY(V$6,1)=1,0,MIN(8,V41)*V40)))-MIN(IF(V40&lt;=0,0,IF(WEEKDAY(V$6,1)=1,0,MIN(8,V41)*V40)),MAX(0,40*MAX(1,V40)-(R42+S42+T42+U42)))))</f>
        <v>1</v>
      </c>
      <c r="W43" s="64">
        <f>IF(AND(W40=0,W41=0),0,IF(W40&lt;=0,0,IF(WEEKDAY(W$6,1)=1,0,MAX(0,W41-10)*W40))+((IF(W40&lt;=0,0,IF(WEEKDAY(W$6,1)=1,0,MIN(10,W41)*W40)))-MIN(IF(W40&lt;=0,0,IF(WEEKDAY(W$6,1)=1,0,MIN(10,W41)*W40)),MAX(0,40*MAX(1,W40)-(0)))))</f>
        <v>0</v>
      </c>
      <c r="X43" s="64">
        <f>IF(AND(X40=0,X41=0),0,IF(X40&lt;=0,0,IF(WEEKDAY(X$6,1)=1,0,MAX(0,X41-10)*X40))+((IF(X40&lt;=0,0,IF(WEEKDAY(X$6,1)=1,0,MIN(10,X41)*X40)))-MIN(IF(X40&lt;=0,0,IF(WEEKDAY(X$6,1)=1,0,MIN(10,X41)*X40)),MAX(0,40*MAX(1,X40)-(W42)))))</f>
        <v>0</v>
      </c>
      <c r="Y43" s="63">
        <f>IF(AND(Y40=1,Y41=9),1,IF(Y40&lt;=0,0,IF(WEEKDAY(Y$6,1)=1,0,MAX(0,Y41-8)*Y40))+((IF(Y40&lt;=0,0,IF(WEEKDAY(Y$6,1)=1,0,MIN(8,Y41)*Y40)))-MIN(IF(Y40&lt;=0,0,IF(WEEKDAY(Y$6,1)=1,0,MIN(8,Y41)*Y40)),MAX(0,40*MAX(1,Y40)-(0)))))</f>
        <v>1</v>
      </c>
      <c r="Z43" s="63">
        <f>IF(AND(Z40=1,Z41=9),1,IF(Z40&lt;=0,0,IF(WEEKDAY(Z$6,1)=1,0,MAX(0,Z41-8)*Z40))+((IF(Z40&lt;=0,0,IF(WEEKDAY(Z$6,1)=1,0,MIN(8,Z41)*Z40)))-MIN(IF(Z40&lt;=0,0,IF(WEEKDAY(Z$6,1)=1,0,MIN(8,Z41)*Z40)),MAX(0,40*MAX(1,Z40)-(Y42)))))</f>
        <v>1</v>
      </c>
      <c r="AA43" s="63">
        <f>IF(AND(AA40=1,AA41=9),1,IF(AA40&lt;=0,0,IF(WEEKDAY(AA$6,1)=1,0,MAX(0,AA41-8)*AA40))+((IF(AA40&lt;=0,0,IF(WEEKDAY(AA$6,1)=1,0,MIN(8,AA41)*AA40)))-MIN(IF(AA40&lt;=0,0,IF(WEEKDAY(AA$6,1)=1,0,MIN(8,AA41)*AA40)),MAX(0,40*MAX(1,AA40)-(Y42+Z42)))))</f>
        <v>1</v>
      </c>
      <c r="AB43" s="63">
        <f>IF(AND(AB40=1,AB41=9),1,IF(AB40&lt;=0,0,IF(WEEKDAY(AB$6,1)=1,0,MAX(0,AB41-8)*AB40))+((IF(AB40&lt;=0,0,IF(WEEKDAY(AB$6,1)=1,0,MIN(8,AB41)*AB40)))-MIN(IF(AB40&lt;=0,0,IF(WEEKDAY(AB$6,1)=1,0,MIN(8,AB41)*AB40)),MAX(0,40*MAX(1,AB40)-(Y42+Z42+AA42)))))</f>
        <v>1</v>
      </c>
      <c r="AC43" s="63">
        <f>IF(AND(AC40=1,AC41=9),1,IF(AC40&lt;=0,0,IF(WEEKDAY(AC$6,1)=1,0,MAX(0,AC41-8)*AC40))+((IF(AC40&lt;=0,0,IF(WEEKDAY(AC$6,1)=1,0,MIN(8,AC41)*AC40)))-MIN(IF(AC40&lt;=0,0,IF(WEEKDAY(AC$6,1)=1,0,MIN(8,AC41)*AC40)),MAX(0,40*MAX(1,AC40)-(Y42+Z42+AA42+AB42)))))</f>
        <v>1</v>
      </c>
      <c r="AD43" s="64">
        <f>IF(AND(AD40=0,AD41=0),0,IF(AD40&lt;=0,0,IF(WEEKDAY(AD$6,1)=1,0,MAX(0,AD41-10)*AD40))+((IF(AD40&lt;=0,0,IF(WEEKDAY(AD$6,1)=1,0,MIN(10,AD41)*AD40)))-MIN(IF(AD40&lt;=0,0,IF(WEEKDAY(AD$6,1)=1,0,MIN(10,AD41)*AD40)),MAX(0,40*MAX(1,AD40)-(0)))))</f>
        <v>0</v>
      </c>
      <c r="AE43" s="64">
        <f>IF(AND(AE40=0,AE41=0),0,IF(AE40&lt;=0,0,IF(WEEKDAY(AE$6,1)=1,0,MAX(0,AE41-10)*AE40))+((IF(AE40&lt;=0,0,IF(WEEKDAY(AE$6,1)=1,0,MIN(10,AE41)*AE40)))-MIN(IF(AE40&lt;=0,0,IF(WEEKDAY(AE$6,1)=1,0,MIN(10,AE41)*AE40)),MAX(0,40*MAX(1,AE40)-(AD42)))))</f>
        <v>0</v>
      </c>
      <c r="AF43" s="63">
        <f>IF(AND(AF40=1,AF41=9),1,IF(AF40&lt;=0,0,IF(WEEKDAY(AF$6,1)=1,0,MAX(0,AF41-8)*AF40))+((IF(AF40&lt;=0,0,IF(WEEKDAY(AF$6,1)=1,0,MIN(8,AF41)*AF40)))-MIN(IF(AF40&lt;=0,0,IF(WEEKDAY(AF$6,1)=1,0,MIN(8,AF41)*AF40)),MAX(0,40*MAX(1,AF40)-(0)))))</f>
        <v>1</v>
      </c>
      <c r="AG43" s="63">
        <f>IF(AND(AG40=1,AG41=9),1,IF(AG40&lt;=0,0,IF(WEEKDAY(AG$6,1)=1,0,MAX(0,AG41-8)*AG40))+((IF(AG40&lt;=0,0,IF(WEEKDAY(AG$6,1)=1,0,MIN(8,AG41)*AG40)))-MIN(IF(AG40&lt;=0,0,IF(WEEKDAY(AG$6,1)=1,0,MIN(8,AG41)*AG40)),MAX(0,40*MAX(1,AG40)-(AF42)))))</f>
        <v>1</v>
      </c>
      <c r="AH43" s="63">
        <f>IF(AND(AH40=1,AH41=9),1,IF(AH40&lt;=0,0,IF(WEEKDAY(AH$6,1)=1,0,MAX(0,AH41-8)*AH40))+((IF(AH40&lt;=0,0,IF(WEEKDAY(AH$6,1)=1,0,MIN(8,AH41)*AH40)))-MIN(IF(AH40&lt;=0,0,IF(WEEKDAY(AH$6,1)=1,0,MIN(8,AH41)*AH40)),MAX(0,40*MAX(1,AH40)-(AF42+AG42)))))</f>
        <v>1</v>
      </c>
      <c r="AI43" s="63">
        <f>IF(AND(AI40=1,AI41=9),1,IF(AI40&lt;=0,0,IF(WEEKDAY(AI$6,1)=1,0,MAX(0,AI41-8)*AI40))+((IF(AI40&lt;=0,0,IF(WEEKDAY(AI$6,1)=1,0,MIN(8,AI41)*AI40)))-MIN(IF(AI40&lt;=0,0,IF(WEEKDAY(AI$6,1)=1,0,MIN(8,AI41)*AI40)),MAX(0,40*MAX(1,AI40)-(AF42+AG42+AH42)))))</f>
        <v>1</v>
      </c>
      <c r="AJ43" s="63">
        <f>IF(AND(AJ40=1,AJ41=9),1,IF(AJ40&lt;=0,0,IF(WEEKDAY(AJ$6,1)=1,0,MAX(0,AJ41-8)*AJ40))+((IF(AJ40&lt;=0,0,IF(WEEKDAY(AJ$6,1)=1,0,MIN(8,AJ41)*AJ40)))-MIN(IF(AJ40&lt;=0,0,IF(WEEKDAY(AJ$6,1)=1,0,MIN(8,AJ41)*AJ40)),MAX(0,40*MAX(1,AJ40)-(AF42+AG42+AH42+AI42)))))</f>
        <v>1</v>
      </c>
      <c r="AK43" s="64">
        <f>IF(AND(AK40=0,AK41=0),0,IF(AK40&lt;=0,0,IF(WEEKDAY(AK$6,1)=1,0,MAX(0,AK41-10)*AK40))+((IF(AK40&lt;=0,0,IF(WEEKDAY(AK$6,1)=1,0,MIN(10,AK41)*AK40)))-MIN(IF(AK40&lt;=0,0,IF(WEEKDAY(AK$6,1)=1,0,MIN(10,AK41)*AK40)),MAX(0,40*MAX(1,AK40)-(0)))))</f>
        <v>0</v>
      </c>
      <c r="AL43" s="64">
        <f>IF(AND(AL40=0,AL41=0),0,IF(AL40&lt;=0,0,IF(WEEKDAY(AL$6,1)=1,0,MAX(0,AL41-10)*AL40))+((IF(AL40&lt;=0,0,IF(WEEKDAY(AL$6,1)=1,0,MIN(10,AL41)*AL40)))-MIN(IF(AL40&lt;=0,0,IF(WEEKDAY(AL$6,1)=1,0,MIN(10,AL41)*AL40)),MAX(0,40*MAX(1,AL40)-(AK42)))))</f>
        <v>0</v>
      </c>
      <c r="AM43" s="63">
        <f>IF(AND(AM40=1,AM41=9),1,IF(AM40&lt;=0,0,IF(WEEKDAY(AM$6,1)=1,0,MAX(0,AM41-8)*AM40))+((IF(AM40&lt;=0,0,IF(WEEKDAY(AM$6,1)=1,0,MIN(8,AM41)*AM40)))-MIN(IF(AM40&lt;=0,0,IF(WEEKDAY(AM$6,1)=1,0,MIN(8,AM41)*AM40)),MAX(0,40*MAX(1,AM40)-(0)))))</f>
        <v>1</v>
      </c>
      <c r="AN43" s="63">
        <f>IF(AND(AN40=1,AN41=9),1,IF(AN40&lt;=0,0,IF(WEEKDAY(AN$6,1)=1,0,MAX(0,AN41-8)*AN40))+((IF(AN40&lt;=0,0,IF(WEEKDAY(AN$6,1)=1,0,MIN(8,AN41)*AN40)))-MIN(IF(AN40&lt;=0,0,IF(WEEKDAY(AN$6,1)=1,0,MIN(8,AN41)*AN40)),MAX(0,40*MAX(1,AN40)-(AM42)))))</f>
        <v>1</v>
      </c>
      <c r="AO43" s="63">
        <f>IF(AND(AO40=1,AO41=9),1,IF(AO40&lt;=0,0,IF(WEEKDAY(AO$6,1)=1,0,MAX(0,AO41-8)*AO40))+((IF(AO40&lt;=0,0,IF(WEEKDAY(AO$6,1)=1,0,MIN(8,AO41)*AO40)))-MIN(IF(AO40&lt;=0,0,IF(WEEKDAY(AO$6,1)=1,0,MIN(8,AO41)*AO40)),MAX(0,40*MAX(1,AO40)-(AM42+AN42)))))</f>
        <v>1</v>
      </c>
      <c r="AP43" s="63">
        <f>IF(AND(AP40=1,AP41=9),1,IF(AP40&lt;=0,0,IF(WEEKDAY(AP$6,1)=1,0,MAX(0,AP41-8)*AP40))+((IF(AP40&lt;=0,0,IF(WEEKDAY(AP$6,1)=1,0,MIN(8,AP41)*AP40)))-MIN(IF(AP40&lt;=0,0,IF(WEEKDAY(AP$6,1)=1,0,MIN(8,AP41)*AP40)),MAX(0,40*MAX(1,AP40)-(AM42+AN42+AO42)))))</f>
        <v>1</v>
      </c>
      <c r="AQ43" s="63">
        <f>IF(AND(AQ40=1,AQ41=9),1,IF(AQ40&lt;=0,0,IF(WEEKDAY(AQ$6,1)=1,0,MAX(0,AQ41-8)*AQ40))+((IF(AQ40&lt;=0,0,IF(WEEKDAY(AQ$6,1)=1,0,MIN(8,AQ41)*AQ40)))-MIN(IF(AQ40&lt;=0,0,IF(WEEKDAY(AQ$6,1)=1,0,MIN(8,AQ41)*AQ40)),MAX(0,40*MAX(1,AQ40)-(AM42+AN42+AO42+AP42)))))</f>
        <v>1</v>
      </c>
      <c r="AR43" s="64">
        <f>IF(AND(AR40=0,AR41=0),0,IF(AR40&lt;=0,0,IF(WEEKDAY(AR$6,1)=1,0,MAX(0,AR41-10)*AR40))+((IF(AR40&lt;=0,0,IF(WEEKDAY(AR$6,1)=1,0,MIN(10,AR41)*AR40)))-MIN(IF(AR40&lt;=0,0,IF(WEEKDAY(AR$6,1)=1,0,MIN(10,AR41)*AR40)),MAX(0,40*MAX(1,AR40)-(0)))))</f>
        <v>0</v>
      </c>
      <c r="AS43" s="64">
        <f>IF(AND(AS40=0,AS41=0),0,IF(AS40&lt;=0,0,IF(WEEKDAY(AS$6,1)=1,0,MAX(0,AS41-10)*AS40))+((IF(AS40&lt;=0,0,IF(WEEKDAY(AS$6,1)=1,0,MIN(10,AS41)*AS40)))-MIN(IF(AS40&lt;=0,0,IF(WEEKDAY(AS$6,1)=1,0,MIN(10,AS41)*AS40)),MAX(0,40*MAX(1,AS40)-(AR42)))))</f>
        <v>0</v>
      </c>
      <c r="AT43" s="63">
        <f>IF(AND(AT40=1,AT41=9),1,IF(AT40&lt;=0,0,IF(WEEKDAY(AT$6,1)=1,0,MAX(0,AT41-8)*AT40))+((IF(AT40&lt;=0,0,IF(WEEKDAY(AT$6,1)=1,0,MIN(8,AT41)*AT40)))-MIN(IF(AT40&lt;=0,0,IF(WEEKDAY(AT$6,1)=1,0,MIN(8,AT41)*AT40)),MAX(0,40*MAX(1,AT40)-(0)))))</f>
        <v>1</v>
      </c>
      <c r="AU43" s="63">
        <f>IF(AND(AU40=1,AU41=9),1,IF(AU40&lt;=0,0,IF(WEEKDAY(AU$6,1)=1,0,MAX(0,AU41-8)*AU40))+((IF(AU40&lt;=0,0,IF(WEEKDAY(AU$6,1)=1,0,MIN(8,AU41)*AU40)))-MIN(IF(AU40&lt;=0,0,IF(WEEKDAY(AU$6,1)=1,0,MIN(8,AU41)*AU40)),MAX(0,40*MAX(1,AU40)-(AT42)))))</f>
        <v>1</v>
      </c>
      <c r="AV43" s="63">
        <f>IF(AND(AV40=1,AV41=9),1,IF(AV40&lt;=0,0,IF(WEEKDAY(AV$6,1)=1,0,MAX(0,AV41-8)*AV40))+((IF(AV40&lt;=0,0,IF(WEEKDAY(AV$6,1)=1,0,MIN(8,AV41)*AV40)))-MIN(IF(AV40&lt;=0,0,IF(WEEKDAY(AV$6,1)=1,0,MIN(8,AV41)*AV40)),MAX(0,40*MAX(1,AV40)-(AT42+AU42)))))</f>
        <v>1</v>
      </c>
      <c r="AW43" s="63">
        <f>IF(AND(AW40=1,AW41=9),1,IF(AW40&lt;=0,0,IF(WEEKDAY(AW$6,1)=1,0,MAX(0,AW41-8)*AW40))+((IF(AW40&lt;=0,0,IF(WEEKDAY(AW$6,1)=1,0,MIN(8,AW41)*AW40)))-MIN(IF(AW40&lt;=0,0,IF(WEEKDAY(AW$6,1)=1,0,MIN(8,AW41)*AW40)),MAX(0,40*MAX(1,AW40)-(AT42+AU42+AV42)))))</f>
        <v>1</v>
      </c>
      <c r="AX43" s="63">
        <f>IF(AND(AX40=1,AX41=9),1,IF(AX40&lt;=0,0,IF(WEEKDAY(AX$6,1)=1,0,MAX(0,AX41-8)*AX40))+((IF(AX40&lt;=0,0,IF(WEEKDAY(AX$6,1)=1,0,MIN(8,AX41)*AX40)))-MIN(IF(AX40&lt;=0,0,IF(WEEKDAY(AX$6,1)=1,0,MIN(8,AX41)*AX40)),MAX(0,40*MAX(1,AX40)-(AT42+AU42+AV42+AW42)))))</f>
        <v>1</v>
      </c>
      <c r="AY43" s="64">
        <f>IF(AND(AY40=0,AY41=0),0,IF(AY40&lt;=0,0,IF(WEEKDAY(AY$6,1)=1,0,MAX(0,AY41-10)*AY40))+((IF(AY40&lt;=0,0,IF(WEEKDAY(AY$6,1)=1,0,MIN(10,AY41)*AY40)))-MIN(IF(AY40&lt;=0,0,IF(WEEKDAY(AY$6,1)=1,0,MIN(10,AY41)*AY40)),MAX(0,40*MAX(1,AY40)-(0)))))</f>
        <v>0</v>
      </c>
      <c r="AZ43" s="64">
        <f>IF(AND(AZ40=0,AZ41=0),0,IF(AZ40&lt;=0,0,IF(WEEKDAY(AZ$6,1)=1,0,MAX(0,AZ41-10)*AZ40))+((IF(AZ40&lt;=0,0,IF(WEEKDAY(AZ$6,1)=1,0,MIN(10,AZ41)*AZ40)))-MIN(IF(AZ40&lt;=0,0,IF(WEEKDAY(AZ$6,1)=1,0,MIN(10,AZ41)*AZ40)),MAX(0,40*MAX(1,AZ40)-(AY42)))))</f>
        <v>0</v>
      </c>
      <c r="BA43" s="63">
        <f>IF(AND(BA40=1,BA41=9),1,IF(BA40&lt;=0,0,IF(WEEKDAY(BA$6,1)=1,0,MAX(0,BA41-8)*BA40))+((IF(BA40&lt;=0,0,IF(WEEKDAY(BA$6,1)=1,0,MIN(8,BA41)*BA40)))-MIN(IF(BA40&lt;=0,0,IF(WEEKDAY(BA$6,1)=1,0,MIN(8,BA41)*BA40)),MAX(0,40*MAX(1,BA40)-(0)))))</f>
        <v>1</v>
      </c>
      <c r="BB43" s="63">
        <f>IF(AND(BB40=1,BB41=9),1,IF(BB40&lt;=0,0,IF(WEEKDAY(BB$6,1)=1,0,MAX(0,BB41-8)*BB40))+((IF(BB40&lt;=0,0,IF(WEEKDAY(BB$6,1)=1,0,MIN(8,BB41)*BB40)))-MIN(IF(BB40&lt;=0,0,IF(WEEKDAY(BB$6,1)=1,0,MIN(8,BB41)*BB40)),MAX(0,40*MAX(1,BB40)-(BA42)))))</f>
        <v>1</v>
      </c>
      <c r="BC43" s="63">
        <f>IF(AND(BC40=1,BC41=9),1,IF(BC40&lt;=0,0,IF(WEEKDAY(BC$6,1)=1,0,MAX(0,BC41-8)*BC40))+((IF(BC40&lt;=0,0,IF(WEEKDAY(BC$6,1)=1,0,MIN(8,BC41)*BC40)))-MIN(IF(BC40&lt;=0,0,IF(WEEKDAY(BC$6,1)=1,0,MIN(8,BC41)*BC40)),MAX(0,40*MAX(1,BC40)-(BA42+BB42)))))</f>
        <v>1</v>
      </c>
      <c r="BD43" s="63">
        <f>IF(AND(BD40=1,BD41=9),1,IF(BD40&lt;=0,0,IF(WEEKDAY(BD$6,1)=1,0,MAX(0,BD41-8)*BD40))+((IF(BD40&lt;=0,0,IF(WEEKDAY(BD$6,1)=1,0,MIN(8,BD41)*BD40)))-MIN(IF(BD40&lt;=0,0,IF(WEEKDAY(BD$6,1)=1,0,MIN(8,BD41)*BD40)),MAX(0,40*MAX(1,BD40)-(BA42+BB42+BC42)))))</f>
        <v>1</v>
      </c>
      <c r="BE43" s="63">
        <f>IF(AND(BE40=1,BE41=9),1,IF(BE40&lt;=0,0,IF(WEEKDAY(BE$6,1)=1,0,MAX(0,BE41-8)*BE40))+((IF(BE40&lt;=0,0,IF(WEEKDAY(BE$6,1)=1,0,MIN(8,BE41)*BE40)))-MIN(IF(BE40&lt;=0,0,IF(WEEKDAY(BE$6,1)=1,0,MIN(8,BE41)*BE40)),MAX(0,40*MAX(1,BE40)-(BA42+BB42+BC42+BD42)))))</f>
        <v>1</v>
      </c>
      <c r="BF43" s="64">
        <f>IF(AND(BF40=0,BF41=0),0,IF(BF40&lt;=0,0,IF(WEEKDAY(BF$6,1)=1,0,MAX(0,BF41-10)*BF40))+((IF(BF40&lt;=0,0,IF(WEEKDAY(BF$6,1)=1,0,MIN(10,BF41)*BF40)))-MIN(IF(BF40&lt;=0,0,IF(WEEKDAY(BF$6,1)=1,0,MIN(10,BF41)*BF40)),MAX(0,40*MAX(1,BF40)-(0)))))</f>
        <v>0</v>
      </c>
      <c r="BG43" s="64">
        <f>IF(AND(BG40=0,BG41=0),0,IF(BG40&lt;=0,0,IF(WEEKDAY(BG$6,1)=1,0,MAX(0,BG41-10)*BG40))+((IF(BG40&lt;=0,0,IF(WEEKDAY(BG$6,1)=1,0,MIN(10,BG41)*BG40)))-MIN(IF(BG40&lt;=0,0,IF(WEEKDAY(BG$6,1)=1,0,MIN(10,BG41)*BG40)),MAX(0,40*MAX(1,BG40)-(BF42)))))</f>
        <v>0</v>
      </c>
      <c r="BH43" s="63">
        <f>IF(AND(BH40=1,BH41=13),3,IF(BH40&lt;=0,0,IF(WEEKDAY(BH$6,1)=1,0,MAX(0,BH41-10)*BH40))+((IF(BH40&lt;=0,0,IF(WEEKDAY(BH$6,1)=1,0,MIN(10,BH41)*BH40)))-MIN(IF(BH40&lt;=0,0,IF(WEEKDAY(BH$6,1)=1,0,MIN(10,BH41)*BH40)),MAX(0,40*MAX(1,BH40)-(0)))))</f>
        <v>3</v>
      </c>
      <c r="BI43" s="63">
        <f>IF(AND(BI40=1,BI41=13),3,IF(BI40&lt;=0,0,IF(WEEKDAY(BI$6,1)=1,0,MAX(0,BI41-10)*BI40))+((IF(BI40&lt;=0,0,IF(WEEKDAY(BI$6,1)=1,0,MIN(10,BI41)*BI40)))-MIN(IF(BI40&lt;=0,0,IF(WEEKDAY(BI$6,1)=1,0,MIN(10,BI41)*BI40)),MAX(0,40*MAX(1,BI40)-(BH42)))))</f>
        <v>3</v>
      </c>
      <c r="BJ43" s="63">
        <f>IF(AND(BJ40=1,BJ41=13),3,IF(BJ40&lt;=0,0,IF(WEEKDAY(BJ$6,1)=1,0,MAX(0,BJ41-10)*BJ40))+((IF(BJ40&lt;=0,0,IF(WEEKDAY(BJ$6,1)=1,0,MIN(10,BJ41)*BJ40)))-MIN(IF(BJ40&lt;=0,0,IF(WEEKDAY(BJ$6,1)=1,0,MIN(10,BJ41)*BJ40)),MAX(0,40*MAX(1,BJ40)-(BH42+BI42)))))</f>
        <v>3</v>
      </c>
      <c r="BK43" s="63">
        <f>IF(AND(BK40=1,BK41=13),3,IF(BK40&lt;=0,0,IF(WEEKDAY(BK$6,1)=1,0,MAX(0,BK41-10)*BK40))+((IF(BK40&lt;=0,0,IF(WEEKDAY(BK$6,1)=1,0,MIN(10,BK41)*BK40)))-MIN(IF(BK40&lt;=0,0,IF(WEEKDAY(BK$6,1)=1,0,MIN(10,BK41)*BK40)),MAX(0,40*MAX(1,BK40)-(BH42+BI42+BJ42)))))</f>
        <v>3</v>
      </c>
      <c r="BL43" s="63">
        <f>IF(AND(BL40=1,BL41=13),13,IF(BL40&lt;=0,0,IF(WEEKDAY(BL$6,1)=1,0,MAX(0,BL41-10)*BL40))+((IF(BL40&lt;=0,0,IF(WEEKDAY(BL$6,1)=1,0,MIN(10,BL41)*BL40)))-MIN(IF(BL40&lt;=0,0,IF(WEEKDAY(BL$6,1)=1,0,MIN(10,BL41)*BL40)),MAX(0,40*MAX(1,BL40)-(BH42+BI42+BJ42+BK42)))))</f>
        <v>13</v>
      </c>
      <c r="BM43" s="64">
        <f>IF(AND(BM40=1,BM41=13),13,IF(BM40&lt;=0,0,IF(WEEKDAY(BM$6,1)=1,0,MAX(0,BM41-10)*BM40))+((IF(BM40&lt;=0,0,IF(WEEKDAY(BM$6,1)=1,0,MIN(10,BM41)*BM40)))-MIN(IF(BM40&lt;=0,0,IF(WEEKDAY(BM$6,1)=1,0,MIN(10,BM41)*BM40)),MAX(0,40*MAX(1,BM40)-(BH42+BI42+BJ42+BK42+BL42)))))</f>
        <v>13</v>
      </c>
      <c r="BN43" s="64">
        <f>IF(AND(BN40=1,BN41=13),0,IF(BN40&lt;=0,0,IF(WEEKDAY(BN$6,1)=1,0,MAX(0,BN41-10)*BN40))+((IF(BN40&lt;=0,0,IF(WEEKDAY(BN$6,1)=1,0,MIN(10,BN41)*BN40)))-MIN(IF(BN40&lt;=0,0,IF(WEEKDAY(BN$6,1)=1,0,MIN(10,BN41)*BN40)),MAX(0,40*MAX(1,BN40)-(BH42+BI42+BJ42+BK42+BL42+BM42)))))</f>
        <v>0</v>
      </c>
      <c r="BO43" s="63">
        <f>IF(AND(BO40=1,BO41=13),3,IF(BO40&lt;=0,0,IF(WEEKDAY(BO$6,1)=1,0,MAX(0,BO41-10)*BO40))+((IF(BO40&lt;=0,0,IF(WEEKDAY(BO$6,1)=1,0,MIN(10,BO41)*BO40)))-MIN(IF(BO40&lt;=0,0,IF(WEEKDAY(BO$6,1)=1,0,MIN(10,BO41)*BO40)),MAX(0,40*MAX(1,BO40)-(0)))))</f>
        <v>3</v>
      </c>
      <c r="BP43" s="63">
        <f>IF(AND(BP40=1,BP41=13),3,IF(BP40&lt;=0,0,IF(WEEKDAY(BP$6,1)=1,0,MAX(0,BP41-10)*BP40))+((IF(BP40&lt;=0,0,IF(WEEKDAY(BP$6,1)=1,0,MIN(10,BP41)*BP40)))-MIN(IF(BP40&lt;=0,0,IF(WEEKDAY(BP$6,1)=1,0,MIN(10,BP41)*BP40)),MAX(0,40*MAX(1,BP40)-(BO42)))))</f>
        <v>3</v>
      </c>
      <c r="BQ43" s="63">
        <f>IF(AND(BQ40=1,BQ41=13),3,IF(BQ40&lt;=0,0,IF(WEEKDAY(BQ$6,1)=1,0,MAX(0,BQ41-10)*BQ40))+((IF(BQ40&lt;=0,0,IF(WEEKDAY(BQ$6,1)=1,0,MIN(10,BQ41)*BQ40)))-MIN(IF(BQ40&lt;=0,0,IF(WEEKDAY(BQ$6,1)=1,0,MIN(10,BQ41)*BQ40)),MAX(0,40*MAX(1,BQ40)-(BO42+BP42)))))</f>
        <v>3</v>
      </c>
      <c r="BR43" s="63">
        <f>IF(AND(BR40=1,BR41=13),3,IF(BR40&lt;=0,0,IF(WEEKDAY(BR$6,1)=1,0,MAX(0,BR41-10)*BR40))+((IF(BR40&lt;=0,0,IF(WEEKDAY(BR$6,1)=1,0,MIN(10,BR41)*BR40)))-MIN(IF(BR40&lt;=0,0,IF(WEEKDAY(BR$6,1)=1,0,MIN(10,BR41)*BR40)),MAX(0,40*MAX(1,BR40)-(0)))))</f>
        <v>3</v>
      </c>
      <c r="BS43" s="63">
        <f>IF(AND(BS40=1,BS41=13),3,IF(BS40&lt;=0,0,IF(WEEKDAY(BS$6,1)=1,0,MAX(0,BS41-10)*BS40))+((IF(BS40&lt;=0,0,IF(WEEKDAY(BS$6,1)=1,0,MIN(10,BS41)*BS40)))-MIN(IF(BS40&lt;=0,0,IF(WEEKDAY(BS$6,1)=1,0,MIN(10,BS41)*BS40)),MAX(0,40*MAX(1,BS40)-(BR42)))))</f>
        <v>3</v>
      </c>
      <c r="BT43" s="64">
        <f>IF(AND(BT40=1,BT41=13),3,IF(BT40&lt;=0,0,IF(WEEKDAY(BT$6,1)=1,0,MAX(0,BT41-10)*BT40))+((IF(BT40&lt;=0,0,IF(WEEKDAY(BT$6,1)=1,0,MIN(10,BT41)*BT40)))-MIN(IF(BT40&lt;=0,0,IF(WEEKDAY(BT$6,1)=1,0,MIN(10,BT41)*BT40)),MAX(0,40*MAX(1,BT40)-(BR42+BS42)))))</f>
        <v>3</v>
      </c>
      <c r="BU43" s="64">
        <f>IF(AND(BU40=1,BU41=13),0,IF(BU40&lt;=0,0,IF(WEEKDAY(BU$6,1)=1,0,MAX(0,BU41-10)*BU40))+((IF(BU40&lt;=0,0,IF(WEEKDAY(BU$6,1)=1,0,MIN(10,BU41)*BU40)))-MIN(IF(BU40&lt;=0,0,IF(WEEKDAY(BU$6,1)=1,0,MIN(10,BU41)*BU40)),MAX(0,40*MAX(1,BU40)-(BR42+BS42+BT42)))))</f>
        <v>0</v>
      </c>
      <c r="BV43" s="63">
        <f>IF(AND(BV40=1,BV41=13),3,IF(BV40&lt;=0,0,IF(WEEKDAY(BV$6,1)=1,0,MAX(0,BV41-10)*BV40))+((IF(BV40&lt;=0,0,IF(WEEKDAY(BV$6,1)=1,0,MIN(10,BV41)*BV40)))-MIN(IF(BV40&lt;=0,0,IF(WEEKDAY(BV$6,1)=1,0,MIN(10,BV41)*BV40)),MAX(0,40*MAX(1,BV40)-(0)))))</f>
        <v>3</v>
      </c>
      <c r="BW43" s="63">
        <f>IF(AND(BW40=1,BW41=13),3,IF(BW40&lt;=0,0,IF(WEEKDAY(BW$6,1)=1,0,MAX(0,BW41-10)*BW40))+((IF(BW40&lt;=0,0,IF(WEEKDAY(BW$6,1)=1,0,MIN(10,BW41)*BW40)))-MIN(IF(BW40&lt;=0,0,IF(WEEKDAY(BW$6,1)=1,0,MIN(10,BW41)*BW40)),MAX(0,40*MAX(1,BW40)-(BV42)))))</f>
        <v>3</v>
      </c>
      <c r="BX43" s="63">
        <f>IF(AND(BX40=1,BX41=13),3,IF(BX40&lt;=0,0,IF(WEEKDAY(BX$6,1)=1,0,MAX(0,BX41-10)*BX40))+((IF(BX40&lt;=0,0,IF(WEEKDAY(BX$6,1)=1,0,MIN(10,BX41)*BX40)))-MIN(IF(BX40&lt;=0,0,IF(WEEKDAY(BX$6,1)=1,0,MIN(10,BX41)*BX40)),MAX(0,40*MAX(1,BX40)-(BV42+BW42)))))</f>
        <v>3</v>
      </c>
      <c r="BY43" s="63">
        <f>IF(AND(BY40=1,BY41=13),3,IF(BY40&lt;=0,0,IF(WEEKDAY(BY$6,1)=1,0,MAX(0,BY41-10)*BY40))+((IF(BY40&lt;=0,0,IF(WEEKDAY(BY$6,1)=1,0,MIN(10,BY41)*BY40)))-MIN(IF(BY40&lt;=0,0,IF(WEEKDAY(BY$6,1)=1,0,MIN(10,BY41)*BY40)),MAX(0,40*MAX(1,BY40)-(BV42+BW42+BX42)))))</f>
        <v>3</v>
      </c>
      <c r="BZ43" s="63">
        <f>IF(AND(BZ40=1,BZ41=13),13,IF(BZ40&lt;=0,0,IF(WEEKDAY(BZ$6,1)=1,0,MAX(0,BZ41-10)*BZ40))+((IF(BZ40&lt;=0,0,IF(WEEKDAY(BZ$6,1)=1,0,MIN(10,BZ41)*BZ40)))-MIN(IF(BZ40&lt;=0,0,IF(WEEKDAY(BZ$6,1)=1,0,MIN(10,BZ41)*BZ40)),MAX(0,40*MAX(1,BZ40)-(BV42+BW42+BX42+BY42)))))</f>
        <v>13</v>
      </c>
      <c r="CA43" s="64">
        <f>IF(AND(CA40=1,CA41=13),13,IF(CA40&lt;=0,0,IF(WEEKDAY(CA$6,1)=1,0,MAX(0,CA41-10)*CA40))+((IF(CA40&lt;=0,0,IF(WEEKDAY(CA$6,1)=1,0,MIN(10,CA41)*CA40)))-MIN(IF(CA40&lt;=0,0,IF(WEEKDAY(CA$6,1)=1,0,MIN(10,CA41)*CA40)),MAX(0,40*MAX(1,CA40)-(BV42+BW42+BX42+BY42+BZ42)))))</f>
        <v>13</v>
      </c>
      <c r="CB43" s="64">
        <f>IF(AND(CB40=0,CB41=0),0,IF(CB40&lt;=0,0,IF(WEEKDAY(CB$6,1)=1,0,MAX(0,CB41-10)*CB40))+((IF(CB40&lt;=0,0,IF(WEEKDAY(CB$6,1)=1,0,MIN(10,CB41)*CB40)))-MIN(IF(CB40&lt;=0,0,IF(WEEKDAY(CB$6,1)=1,0,MIN(10,CB41)*CB40)),MAX(0,40*MAX(1,CB40)-(0)))))</f>
        <v>0</v>
      </c>
      <c r="CC43" s="63">
        <f>IF(AND(CC40=1,CC41=13),3,IF(CC40&lt;=0,0,IF(WEEKDAY(CC$6,1)=1,0,MAX(0,CC41-10)*CC40))+((IF(CC40&lt;=0,0,IF(WEEKDAY(CC$6,1)=1,0,MIN(10,CC41)*CC40)))-MIN(IF(CC40&lt;=0,0,IF(WEEKDAY(CC$6,1)=1,0,MIN(10,CC41)*CC40)),MAX(0,40*MAX(1,CC40)-(0)))))</f>
        <v>3</v>
      </c>
      <c r="CD43" s="63">
        <f>IF(AND(CD40=1,CD41=13),3,IF(CD40&lt;=0,0,IF(WEEKDAY(CD$6,1)=1,0,MAX(0,CD41-10)*CD40))+((IF(CD40&lt;=0,0,IF(WEEKDAY(CD$6,1)=1,0,MIN(10,CD41)*CD40)))-MIN(IF(CD40&lt;=0,0,IF(WEEKDAY(CD$6,1)=1,0,MIN(10,CD41)*CD40)),MAX(0,40*MAX(1,CD40)-(CC42)))))</f>
        <v>3</v>
      </c>
      <c r="CE43" s="63">
        <f>IF(AND(CE40=1,CE41=13),3,IF(CE40&lt;=0,0,IF(WEEKDAY(CE$6,1)=1,0,MAX(0,CE41-10)*CE40))+((IF(CE40&lt;=0,0,IF(WEEKDAY(CE$6,1)=1,0,MIN(10,CE41)*CE40)))-MIN(IF(CE40&lt;=0,0,IF(WEEKDAY(CE$6,1)=1,0,MIN(10,CE41)*CE40)),MAX(0,40*MAX(1,CE40)-(CC42+CD42)))))</f>
        <v>3</v>
      </c>
      <c r="CF43" s="63">
        <f>IF(AND(CF40=1,CF41=13),3,IF(CF40&lt;=0,0,IF(WEEKDAY(CF$6,1)=1,0,MAX(0,CF41-10)*CF40))+((IF(CF40&lt;=0,0,IF(WEEKDAY(CF$6,1)=1,0,MIN(10,CF41)*CF40)))-MIN(IF(CF40&lt;=0,0,IF(WEEKDAY(CF$6,1)=1,0,MIN(10,CF41)*CF40)),MAX(0,40*MAX(1,CF40)-(CC42+CD42+CE42)))))</f>
        <v>3</v>
      </c>
      <c r="CG43" s="63">
        <f>IF(AND(CG40=1,CG41=13),13,IF(CG40&lt;=0,0,IF(WEEKDAY(CG$6,1)=1,0,MAX(0,CG41-10)*CG40))+((IF(CG40&lt;=0,0,IF(WEEKDAY(CG$6,1)=1,0,MIN(10,CG41)*CG40)))-MIN(IF(CG40&lt;=0,0,IF(WEEKDAY(CG$6,1)=1,0,MIN(10,CG41)*CG40)),MAX(0,40*MAX(1,CG40)-(CC42+CD42+CE42+CF42)))))</f>
        <v>13</v>
      </c>
      <c r="CH43" s="64">
        <f>IF(AND(CH40=1,CH41=13),13,IF(CH40&lt;=0,0,IF(WEEKDAY(CH$6,1)=1,0,MAX(0,CH41-10)*CH40))+((IF(CH40&lt;=0,0,IF(WEEKDAY(CH$6,1)=1,0,MIN(10,CH41)*CH40)))-MIN(IF(CH40&lt;=0,0,IF(WEEKDAY(CH$6,1)=1,0,MIN(10,CH41)*CH40)),MAX(0,40*MAX(1,CH40)-(CC42+CD42+CE42+CF42+CG42)))))</f>
        <v>13</v>
      </c>
      <c r="CI43" s="64">
        <f>IF(AND(CI40=1,CI41=13),0,IF(CI40&lt;=0,0,IF(WEEKDAY(CI$6,1)=1,0,MAX(0,CI41-10)*CI40))+((IF(CI40&lt;=0,0,IF(WEEKDAY(CI$6,1)=1,0,MIN(10,CI41)*CI40)))-MIN(IF(CI40&lt;=0,0,IF(WEEKDAY(CI$6,1)=1,0,MIN(10,CI41)*CI40)),MAX(0,40*MAX(1,CI40)-(CC42+CD42+CE42+CF42+CG42+CH42)))))</f>
        <v>0</v>
      </c>
      <c r="CJ43" s="63">
        <f>IF(AND(CJ40=1,CJ41=13),3,IF(CJ40&lt;=0,0,IF(WEEKDAY(CJ$6,1)=1,0,MAX(0,CJ41-10)*CJ40))+((IF(CJ40&lt;=0,0,IF(WEEKDAY(CJ$6,1)=1,0,MIN(10,CJ41)*CJ40)))-MIN(IF(CJ40&lt;=0,0,IF(WEEKDAY(CJ$6,1)=1,0,MIN(10,CJ41)*CJ40)),MAX(0,40*MAX(1,CJ40)-(0)))))</f>
        <v>3</v>
      </c>
      <c r="CK43" s="63">
        <f>IF(AND(CK40=1,CK41=13),3,IF(CK40&lt;=0,0,IF(WEEKDAY(CK$6,1)=1,0,MAX(0,CK41-10)*CK40))+((IF(CK40&lt;=0,0,IF(WEEKDAY(CK$6,1)=1,0,MIN(10,CK41)*CK40)))-MIN(IF(CK40&lt;=0,0,IF(WEEKDAY(CK$6,1)=1,0,MIN(10,CK41)*CK40)),MAX(0,40*MAX(1,CK40)-(CJ42)))))</f>
        <v>3</v>
      </c>
      <c r="CL43" s="63">
        <f>IF(AND(CL40=1,CL41=13),3,IF(CL40&lt;=0,0,IF(WEEKDAY(CL$6,1)=1,0,MAX(0,CL41-10)*CL40))+((IF(CL40&lt;=0,0,IF(WEEKDAY(CL$6,1)=1,0,MIN(10,CL41)*CL40)))-MIN(IF(CL40&lt;=0,0,IF(WEEKDAY(CL$6,1)=1,0,MIN(10,CL41)*CL40)),MAX(0,40*MAX(1,CL40)-(CJ42+CK42)))))</f>
        <v>3</v>
      </c>
      <c r="CM43" s="63">
        <f>IF(AND(CM40=1,CM41=13),3,IF(CM40&lt;=0,0,IF(WEEKDAY(CM$6,1)=1,0,MAX(0,CM41-10)*CM40))+((IF(CM40&lt;=0,0,IF(WEEKDAY(CM$6,1)=1,0,MIN(10,CM41)*CM40)))-MIN(IF(CM40&lt;=0,0,IF(WEEKDAY(CM$6,1)=1,0,MIN(10,CM41)*CM40)),MAX(0,40*MAX(1,CM40)-(CJ42+CK42+CL42)))))</f>
        <v>3</v>
      </c>
      <c r="CN43" s="63">
        <f>IF(AND(CN40=1,CN41=13),13,IF(CN40&lt;=0,0,IF(WEEKDAY(CN$6,1)=1,0,MAX(0,CN41-10)*CN40))+((IF(CN40&lt;=0,0,IF(WEEKDAY(CN$6,1)=1,0,MIN(10,CN41)*CN40)))-MIN(IF(CN40&lt;=0,0,IF(WEEKDAY(CN$6,1)=1,0,MIN(10,CN41)*CN40)),MAX(0,40*MAX(1,CN40)-(CJ42+CK42+CL42+CM42)))))</f>
        <v>13</v>
      </c>
      <c r="CO43" s="64">
        <f>IF(AND(CO40=1,CO41=13),13,IF(CO40&lt;=0,0,IF(WEEKDAY(CO$6,1)=1,0,MAX(0,CO41-10)*CO40))+((IF(CO40&lt;=0,0,IF(WEEKDAY(CO$6,1)=1,0,MIN(10,CO41)*CO40)))-MIN(IF(CO40&lt;=0,0,IF(WEEKDAY(CO$6,1)=1,0,MIN(10,CO41)*CO40)),MAX(0,40*MAX(1,CO40)-(CJ42+CK42+CL42+CM42+CN42)))))</f>
        <v>13</v>
      </c>
      <c r="CP43" s="64">
        <f>IF(AND(CP40=0,CP41=0),0,IF(CP40&lt;=0,0,IF(WEEKDAY(CP$6,1)=1,0,MAX(0,CP41-10)*CP40))+((IF(CP40&lt;=0,0,IF(WEEKDAY(CP$6,1)=1,0,MIN(10,CP41)*CP40)))-MIN(IF(CP40&lt;=0,0,IF(WEEKDAY(CP$6,1)=1,0,MIN(10,CP41)*CP40)),MAX(0,40*MAX(1,CP40)-(0)))))</f>
        <v>0</v>
      </c>
      <c r="CQ43" s="63">
        <f>IF(AND(CQ40=1,CQ41=13),3,IF(CQ40&lt;=0,0,IF(WEEKDAY(CQ$6,1)=1,0,MAX(0,CQ41-10)*CQ40))+((IF(CQ40&lt;=0,0,IF(WEEKDAY(CQ$6,1)=1,0,MIN(10,CQ41)*CQ40)))-MIN(IF(CQ40&lt;=0,0,IF(WEEKDAY(CQ$6,1)=1,0,MIN(10,CQ41)*CQ40)),MAX(0,40*MAX(1,CQ40)-(0)))))</f>
        <v>3</v>
      </c>
      <c r="CR43" s="63">
        <f>IF(AND(CR40=1,CR41=13),3,IF(CR40&lt;=0,0,IF(WEEKDAY(CR$6,1)=1,0,MAX(0,CR41-10)*CR40))+((IF(CR40&lt;=0,0,IF(WEEKDAY(CR$6,1)=1,0,MIN(10,CR41)*CR40)))-MIN(IF(CR40&lt;=0,0,IF(WEEKDAY(CR$6,1)=1,0,MIN(10,CR41)*CR40)),MAX(0,40*MAX(1,CR40)-(CQ42)))))</f>
        <v>3</v>
      </c>
      <c r="CS43" s="63">
        <f>IF(AND(CS40=1,CS41=13),3,IF(CS40&lt;=0,0,IF(WEEKDAY(CS$6,1)=1,0,MAX(0,CS41-10)*CS40))+((IF(CS40&lt;=0,0,IF(WEEKDAY(CS$6,1)=1,0,MIN(10,CS41)*CS40)))-MIN(IF(CS40&lt;=0,0,IF(WEEKDAY(CS$6,1)=1,0,MIN(10,CS41)*CS40)),MAX(0,40*MAX(1,CS40)-(CQ42+CR42)))))</f>
        <v>3</v>
      </c>
      <c r="CT43" s="63">
        <f>IF(AND(CT40=1,CT41=13),3,IF(CT40&lt;=0,0,IF(WEEKDAY(CT$6,1)=1,0,MAX(0,CT41-10)*CT40))+((IF(CT40&lt;=0,0,IF(WEEKDAY(CT$6,1)=1,0,MIN(10,CT41)*CT40)))-MIN(IF(CT40&lt;=0,0,IF(WEEKDAY(CT$6,1)=1,0,MIN(10,CT41)*CT40)),MAX(0,40*MAX(1,CT40)-(CQ42+CR42+CS42)))))</f>
        <v>3</v>
      </c>
      <c r="CU43" s="63">
        <f>IF(AND(CU40=1,CU41=13),13,IF(CU40&lt;=0,0,IF(WEEKDAY(CU$6,1)=1,0,MAX(0,CU41-10)*CU40))+((IF(CU40&lt;=0,0,IF(WEEKDAY(CU$6,1)=1,0,MIN(10,CU41)*CU40)))-MIN(IF(CU40&lt;=0,0,IF(WEEKDAY(CU$6,1)=1,0,MIN(10,CU41)*CU40)),MAX(0,40*MAX(1,CU40)-(CQ42+CR42+CS42+CT42)))))</f>
        <v>13</v>
      </c>
      <c r="CV43" s="64">
        <f>IF(AND(CV40=1,CV41=13),13,IF(CV40&lt;=0,0,IF(WEEKDAY(CV$6,1)=1,0,MAX(0,CV41-10)*CV40))+((IF(CV40&lt;=0,0,IF(WEEKDAY(CV$6,1)=1,0,MIN(10,CV41)*CV40)))-MIN(IF(CV40&lt;=0,0,IF(WEEKDAY(CV$6,1)=1,0,MIN(10,CV41)*CV40)),MAX(0,40*MAX(1,CV40)-(CQ42+CR42+CS42+CT42+CU42)))))</f>
        <v>13</v>
      </c>
      <c r="CW43" s="64">
        <f>IF(AND(CW40=1,CW41=13),0,IF(CW40&lt;=0,0,IF(WEEKDAY(CW$6,1)=1,0,MAX(0,CW41-10)*CW40))+((IF(CW40&lt;=0,0,IF(WEEKDAY(CW$6,1)=1,0,MIN(10,CW41)*CW40)))-MIN(IF(CW40&lt;=0,0,IF(WEEKDAY(CW$6,1)=1,0,MIN(10,CW41)*CW40)),MAX(0,40*MAX(1,CW40)-(CQ42+CR42+CS42+CT42+CU42+CV42)))))</f>
        <v>0</v>
      </c>
      <c r="CX43" s="63">
        <f>IF(AND(CX40=1,CX41=13),3,IF(CX40&lt;=0,0,IF(WEEKDAY(CX$6,1)=1,0,MAX(0,CX41-10)*CX40))+((IF(CX40&lt;=0,0,IF(WEEKDAY(CX$6,1)=1,0,MIN(10,CX41)*CX40)))-MIN(IF(CX40&lt;=0,0,IF(WEEKDAY(CX$6,1)=1,0,MIN(10,CX41)*CX40)),MAX(0,40*MAX(1,CX40)-(0)))))</f>
        <v>3</v>
      </c>
      <c r="CY43" s="63">
        <f>IF(AND(CY40=1,CY41=13),3,IF(CY40&lt;=0,0,IF(WEEKDAY(CY$6,1)=1,0,MAX(0,CY41-10)*CY40))+((IF(CY40&lt;=0,0,IF(WEEKDAY(CY$6,1)=1,0,MIN(10,CY41)*CY40)))-MIN(IF(CY40&lt;=0,0,IF(WEEKDAY(CY$6,1)=1,0,MIN(10,CY41)*CY40)),MAX(0,40*MAX(1,CY40)-(CX42)))))</f>
        <v>3</v>
      </c>
      <c r="CZ43" s="63">
        <f>IF(AND(CZ40=1,CZ41=13),3,IF(CZ40&lt;=0,0,IF(WEEKDAY(CZ$6,1)=1,0,MAX(0,CZ41-10)*CZ40))+((IF(CZ40&lt;=0,0,IF(WEEKDAY(CZ$6,1)=1,0,MIN(10,CZ41)*CZ40)))-MIN(IF(CZ40&lt;=0,0,IF(WEEKDAY(CZ$6,1)=1,0,MIN(10,CZ41)*CZ40)),MAX(0,40*MAX(1,CZ40)-(CX42+CY42)))))</f>
        <v>3</v>
      </c>
      <c r="DA43" s="63">
        <f>IF(AND(DA40=1,DA41=13),3,IF(DA40&lt;=0,0,IF(WEEKDAY(DA$6,1)=1,0,MAX(0,DA41-10)*DA40))+((IF(DA40&lt;=0,0,IF(WEEKDAY(DA$6,1)=1,0,MIN(10,DA41)*DA40)))-MIN(IF(DA40&lt;=0,0,IF(WEEKDAY(DA$6,1)=1,0,MIN(10,DA41)*DA40)),MAX(0,40*MAX(1,DA40)-(CX42+CY42+CZ42)))))</f>
        <v>3</v>
      </c>
      <c r="DB43" s="63">
        <f>IF(AND(DB40=1,DB41=13),13,IF(DB40&lt;=0,0,IF(WEEKDAY(DB$6,1)=1,0,MAX(0,DB41-10)*DB40))+((IF(DB40&lt;=0,0,IF(WEEKDAY(DB$6,1)=1,0,MIN(10,DB41)*DB40)))-MIN(IF(DB40&lt;=0,0,IF(WEEKDAY(DB$6,1)=1,0,MIN(10,DB41)*DB40)),MAX(0,40*MAX(1,DB40)-(CX42+CY42+CZ42+DA42)))))</f>
        <v>13</v>
      </c>
      <c r="DC43" s="64">
        <f>IF(AND(DC40=1,DC41=13),13,IF(DC40&lt;=0,0,IF(WEEKDAY(DC$6,1)=1,0,MAX(0,DC41-10)*DC40))+((IF(DC40&lt;=0,0,IF(WEEKDAY(DC$6,1)=1,0,MIN(10,DC41)*DC40)))-MIN(IF(DC40&lt;=0,0,IF(WEEKDAY(DC$6,1)=1,0,MIN(10,DC41)*DC40)),MAX(0,40*MAX(1,DC40)-(CX42+CY42+CZ42+DA42+DB42)))))</f>
        <v>13</v>
      </c>
      <c r="DD43" s="64">
        <f>IF(AND(DD40=1,DD41=13),0,IF(DD40&lt;=0,0,IF(WEEKDAY(DD$6,1)=1,0,MAX(0,DD41-10)*DD40))+((IF(DD40&lt;=0,0,IF(WEEKDAY(DD$6,1)=1,0,MIN(10,DD41)*DD40)))-MIN(IF(DD40&lt;=0,0,IF(WEEKDAY(DD$6,1)=1,0,MIN(10,DD41)*DD40)),MAX(0,40*MAX(1,DD40)-(0)))))</f>
        <v>0</v>
      </c>
      <c r="DE43" s="63">
        <f>IF(AND(DE40=1,DE41=13),3,IF(DE40&lt;=0,0,IF(WEEKDAY(DE$6,1)=1,0,MAX(0,DE41-10)*DE40))+((IF(DE40&lt;=0,0,IF(WEEKDAY(DE$6,1)=1,0,MIN(10,DE41)*DE40)))-MIN(IF(DE40&lt;=0,0,IF(WEEKDAY(DE$6,1)=1,0,MIN(10,DE41)*DE40)),MAX(0,40*MAX(1,DE40)-(0)))))</f>
        <v>3</v>
      </c>
      <c r="DF43" s="63">
        <f>IF(AND(DF40=1,DF41=13),3,IF(DF40&lt;=0,0,IF(WEEKDAY(DF$6,1)=1,0,MAX(0,DF41-10)*DF40))+((IF(DF40&lt;=0,0,IF(WEEKDAY(DF$6,1)=1,0,MIN(10,DF41)*DF40)))-MIN(IF(DF40&lt;=0,0,IF(WEEKDAY(DF$6,1)=1,0,MIN(10,DF41)*DF40)),MAX(0,40*MAX(1,DF40)-(DE42)))))</f>
        <v>3</v>
      </c>
      <c r="DG43" s="63">
        <f>IF(AND(DG40=1,DG41=13),3,IF(DG40&lt;=0,0,IF(WEEKDAY(DG$6,1)=1,0,MAX(0,DG41-10)*DG40))+((IF(DG40&lt;=0,0,IF(WEEKDAY(DG$6,1)=1,0,MIN(10,DG41)*DG40)))-MIN(IF(DG40&lt;=0,0,IF(WEEKDAY(DG$6,1)=1,0,MIN(10,DG41)*DG40)),MAX(0,40*MAX(1,DG40)-(DE42+DF42)))))</f>
        <v>3</v>
      </c>
      <c r="DH43" s="63">
        <f>IF(AND(DH40=1,DH41=13),3,IF(DH40&lt;=0,0,IF(WEEKDAY(DH$6,1)=1,0,MAX(0,DH41-10)*DH40))+((IF(DH40&lt;=0,0,IF(WEEKDAY(DH$6,1)=1,0,MIN(10,DH41)*DH40)))-MIN(IF(DH40&lt;=0,0,IF(WEEKDAY(DH$6,1)=1,0,MIN(10,DH41)*DH40)),MAX(0,40*MAX(1,DH40)-(DE42+DF42+DG42)))))</f>
        <v>3</v>
      </c>
      <c r="DI43" s="63">
        <f>IF(AND(DI40=1,DI41=13),13,IF(DI40&lt;=0,0,IF(WEEKDAY(DI$6,1)=1,0,MAX(0,DI41-10)*DI40))+((IF(DI40&lt;=0,0,IF(WEEKDAY(DI$6,1)=1,0,MIN(10,DI41)*DI40)))-MIN(IF(DI40&lt;=0,0,IF(WEEKDAY(DI$6,1)=1,0,MIN(10,DI41)*DI40)),MAX(0,40*MAX(1,DI40)-(DE42+DF42+DG42+DH42)))))</f>
        <v>13</v>
      </c>
      <c r="DJ43" s="64">
        <f>IF(AND(DJ40=1,DJ41=13),13,IF(DJ40&lt;=0,0,IF(WEEKDAY(DJ$6,1)=1,0,MAX(0,DJ41-10)*DJ40))+((IF(DJ40&lt;=0,0,IF(WEEKDAY(DJ$6,1)=1,0,MIN(10,DJ41)*DJ40)))-MIN(IF(DJ40&lt;=0,0,IF(WEEKDAY(DJ$6,1)=1,0,MIN(10,DJ41)*DJ40)),MAX(0,40*MAX(1,DJ40)-(DE42+DF42+DG42+DH42+DI42)))))</f>
        <v>13</v>
      </c>
      <c r="DK43" s="64">
        <f>IF(AND(DK40=0,DK41=0),0,IF(DK40&lt;=0,0,IF(WEEKDAY(DK$6,1)=1,0,MAX(0,DK41-10)*DK40))+((IF(DK40&lt;=0,0,IF(WEEKDAY(DK$6,1)=1,0,MIN(10,DK41)*DK40)))-MIN(IF(DK40&lt;=0,0,IF(WEEKDAY(DK$6,1)=1,0,MIN(10,DK41)*DK40)),MAX(0,40*MAX(1,DK40)-(0)))))</f>
        <v>0</v>
      </c>
      <c r="DL43" s="63">
        <f>IF(AND(DL40=1,DL41=13),3,IF(DL40&lt;=0,0,IF(WEEKDAY(DL$6,1)=1,0,MAX(0,DL41-10)*DL40))+((IF(DL40&lt;=0,0,IF(WEEKDAY(DL$6,1)=1,0,MIN(10,DL41)*DL40)))-MIN(IF(DL40&lt;=0,0,IF(WEEKDAY(DL$6,1)=1,0,MIN(10,DL41)*DL40)),MAX(0,40*MAX(1,DL40)-(0)))))</f>
        <v>3</v>
      </c>
      <c r="DM43" s="63">
        <f>IF(AND(DM40=1,DM41=13),3,IF(DM40&lt;=0,0,IF(WEEKDAY(DM$6,1)=1,0,MAX(0,DM41-10)*DM40))+((IF(DM40&lt;=0,0,IF(WEEKDAY(DM$6,1)=1,0,MIN(10,DM41)*DM40)))-MIN(IF(DM40&lt;=0,0,IF(WEEKDAY(DM$6,1)=1,0,MIN(10,DM41)*DM40)),MAX(0,40*MAX(1,DM40)-(DL42)))))</f>
        <v>3</v>
      </c>
      <c r="DN43" s="63">
        <f>IF(AND(DN40=1,DN41=13),3,IF(DN40&lt;=0,0,IF(WEEKDAY(DN$6,1)=1,0,MAX(0,DN41-10)*DN40))+((IF(DN40&lt;=0,0,IF(WEEKDAY(DN$6,1)=1,0,MIN(10,DN41)*DN40)))-MIN(IF(DN40&lt;=0,0,IF(WEEKDAY(DN$6,1)=1,0,MIN(10,DN41)*DN40)),MAX(0,40*MAX(1,DN40)-(DL42+DM42)))))</f>
        <v>3</v>
      </c>
      <c r="DO43" s="63">
        <f>IF(AND(DO40=1,DO41=13),3,IF(DO40&lt;=0,0,IF(WEEKDAY(DO$6,1)=1,0,MAX(0,DO41-10)*DO40))+((IF(DO40&lt;=0,0,IF(WEEKDAY(DO$6,1)=1,0,MIN(10,DO41)*DO40)))-MIN(IF(DO40&lt;=0,0,IF(WEEKDAY(DO$6,1)=1,0,MIN(10,DO41)*DO40)),MAX(0,40*MAX(1,DO40)-(DL42+DM42+DN42)))))</f>
        <v>3</v>
      </c>
      <c r="DP43" s="63">
        <f>IF(AND(DP40=1,DP41=13),13,IF(DP40&lt;=0,0,IF(WEEKDAY(DP$6,1)=1,0,MAX(0,DP41-10)*DP40))+((IF(DP40&lt;=0,0,IF(WEEKDAY(DP$6,1)=1,0,MIN(10,DP41)*DP40)))-MIN(IF(DP40&lt;=0,0,IF(WEEKDAY(DP$6,1)=1,0,MIN(10,DP41)*DP40)),MAX(0,40*MAX(1,DP40)-(DL42+DM42+DN42+DO42)))))</f>
        <v>13</v>
      </c>
      <c r="DQ43" s="64">
        <f>IF(AND(DQ40=1,DQ41=13),13,IF(DQ40&lt;=0,0,IF(WEEKDAY(DQ$6,1)=1,0,MAX(0,DQ41-10)*DQ40))+((IF(DQ40&lt;=0,0,IF(WEEKDAY(DQ$6,1)=1,0,MIN(10,DQ41)*DQ40)))-MIN(IF(DQ40&lt;=0,0,IF(WEEKDAY(DQ$6,1)=1,0,MIN(10,DQ41)*DQ40)),MAX(0,40*MAX(1,DQ40)-(DL42+DM42+DN42+DO42+DP42)))))</f>
        <v>13</v>
      </c>
      <c r="DR43" s="64">
        <f>IF(AND(DR40=1,DR41=13),0,IF(DR40&lt;=0,0,IF(WEEKDAY(DR$6,1)=1,0,MAX(0,DR41-10)*DR40))+((IF(DR40&lt;=0,0,IF(WEEKDAY(DR$6,1)=1,0,MIN(10,DR41)*DR40)))-MIN(IF(DR40&lt;=0,0,IF(WEEKDAY(DR$6,1)=1,0,MIN(10,DR41)*DR40)),MAX(0,40*MAX(1,DR40)-(DL42+DM42+DN42+DO42+DP42+DQ42)))))</f>
        <v>0</v>
      </c>
      <c r="DS43" s="63">
        <f>IF(AND(DS40=1,DS41=13),3,IF(DS40&lt;=0,0,IF(WEEKDAY(DS$6,1)=1,0,MAX(0,DS41-10)*DS40))+((IF(DS40&lt;=0,0,IF(WEEKDAY(DS$6,1)=1,0,MIN(10,DS41)*DS40)))-MIN(IF(DS40&lt;=0,0,IF(WEEKDAY(DS$6,1)=1,0,MIN(10,DS41)*DS40)),MAX(0,40*MAX(1,DS40)-(0)))))</f>
        <v>3</v>
      </c>
      <c r="DT43" s="63">
        <f>IF(AND(DT40=1,DT41=9),1,IF(DT40&lt;=0,0,IF(WEEKDAY(DT$6,1)=1,0,MAX(0,DT41-8)*DT40))+((IF(DT40&lt;=0,0,IF(WEEKDAY(DT$6,1)=1,0,MIN(8,DT41)*DT40)))-MIN(IF(DT40&lt;=0,0,IF(WEEKDAY(DT$6,1)=1,0,MIN(8,DT41)*DT40)),MAX(0,40*MAX(1,DT40)-(0)))))</f>
        <v>1</v>
      </c>
      <c r="DU43" s="63">
        <f>IF(AND(DU40=1,DU41=9),1,IF(DU40&lt;=0,0,IF(WEEKDAY(DU$6,1)=1,0,MAX(0,DU41-8)*DU40))+((IF(DU40&lt;=0,0,IF(WEEKDAY(DU$6,1)=1,0,MIN(8,DU41)*DU40)))-MIN(IF(DU40&lt;=0,0,IF(WEEKDAY(DU$6,1)=1,0,MIN(8,DU41)*DU40)),MAX(0,40*MAX(1,DU40)-(DT42)))))</f>
        <v>1</v>
      </c>
      <c r="DV43" s="63">
        <f>IF(AND(DV40=1,DV41=9),1,IF(DV40&lt;=0,0,IF(WEEKDAY(DV$6,1)=1,0,MAX(0,DV41-8)*DV40))+((IF(DV40&lt;=0,0,IF(WEEKDAY(DV$6,1)=1,0,MIN(8,DV41)*DV40)))-MIN(IF(DV40&lt;=0,0,IF(WEEKDAY(DV$6,1)=1,0,MIN(8,DV41)*DV40)),MAX(0,40*MAX(1,DV40)-(DT42+DU42)))))</f>
        <v>1</v>
      </c>
      <c r="DW43" s="63">
        <f>IF(AND(DW40=1,DW41=9),1,IF(DW40&lt;=0,0,IF(WEEKDAY(DW$6,1)=1,0,MAX(0,DW41-8)*DW40))+((IF(DW40&lt;=0,0,IF(WEEKDAY(DW$6,1)=1,0,MIN(8,DW41)*DW40)))-MIN(IF(DW40&lt;=0,0,IF(WEEKDAY(DW$6,1)=1,0,MIN(8,DW41)*DW40)),MAX(0,40*MAX(1,DW40)-(DT42+DU42+DV42)))))</f>
        <v>1</v>
      </c>
      <c r="DX43" s="64">
        <f>IF(AND(DX40=0,DX41=0),0,IF(DX40&lt;=0,0,IF(WEEKDAY(DX$6,1)=1,0,MAX(0,DX41-10)*DX40))+((IF(DX40&lt;=0,0,IF(WEEKDAY(DX$6,1)=1,0,MIN(10,DX41)*DX40)))-MIN(IF(DX40&lt;=0,0,IF(WEEKDAY(DX$6,1)=1,0,MIN(10,DX41)*DX40)),MAX(0,40*MAX(1,DX40)-(0)))))</f>
        <v>0</v>
      </c>
      <c r="DY43" s="64">
        <f>IF(AND(DY40=0,DY41=0),0,IF(DY40&lt;=0,0,IF(WEEKDAY(DY$6,1)=1,0,MAX(0,DY41-10)*DY40))+((IF(DY40&lt;=0,0,IF(WEEKDAY(DY$6,1)=1,0,MIN(10,DY41)*DY40)))-MIN(IF(DY40&lt;=0,0,IF(WEEKDAY(DY$6,1)=1,0,MIN(10,DY41)*DY40)),MAX(0,40*MAX(1,DY40)-(DX42)))))</f>
        <v>0</v>
      </c>
      <c r="DZ43" s="63">
        <f>IF(AND(DZ40=1,DZ41=9),1,IF(DZ40&lt;=0,0,IF(WEEKDAY(DZ$6,1)=1,0,MAX(0,DZ41-8)*DZ40))+((IF(DZ40&lt;=0,0,IF(WEEKDAY(DZ$6,1)=1,0,MIN(8,DZ41)*DZ40)))-MIN(IF(DZ40&lt;=0,0,IF(WEEKDAY(DZ$6,1)=1,0,MIN(8,DZ41)*DZ40)),MAX(0,40*MAX(1,DZ40)-(0)))))</f>
        <v>1</v>
      </c>
      <c r="EA43" s="63">
        <f>IF(AND(EA40=1,EA41=9),1,IF(EA40&lt;=0,0,IF(WEEKDAY(EA$6,1)=1,0,MAX(0,EA41-8)*EA40))+((IF(EA40&lt;=0,0,IF(WEEKDAY(EA$6,1)=1,0,MIN(8,EA41)*EA40)))-MIN(IF(EA40&lt;=0,0,IF(WEEKDAY(EA$6,1)=1,0,MIN(8,EA41)*EA40)),MAX(0,40*MAX(1,EA40)-(DZ42)))))</f>
        <v>1</v>
      </c>
      <c r="EB43" s="63">
        <f>IF(AND(EB40=1,EB41=9),1,IF(EB40&lt;=0,0,IF(WEEKDAY(EB$6,1)=1,0,MAX(0,EB41-8)*EB40))+((IF(EB40&lt;=0,0,IF(WEEKDAY(EB$6,1)=1,0,MIN(8,EB41)*EB40)))-MIN(IF(EB40&lt;=0,0,IF(WEEKDAY(EB$6,1)=1,0,MIN(8,EB41)*EB40)),MAX(0,40*MAX(1,EB40)-(DZ42+EA42)))))</f>
        <v>1</v>
      </c>
      <c r="EC43" s="63">
        <f>IF(AND(EC40=1,EC41=9),1,IF(EC40&lt;=0,0,IF(WEEKDAY(EC$6,1)=1,0,MAX(0,EC41-8)*EC40))+((IF(EC40&lt;=0,0,IF(WEEKDAY(EC$6,1)=1,0,MIN(8,EC41)*EC40)))-MIN(IF(EC40&lt;=0,0,IF(WEEKDAY(EC$6,1)=1,0,MIN(8,EC41)*EC40)),MAX(0,40*MAX(1,EC40)-(DZ42+EA42+EB42)))))</f>
        <v>1</v>
      </c>
      <c r="ED43" s="63">
        <f>IF(AND(ED40=1,ED41=9),1,IF(ED40&lt;=0,0,IF(WEEKDAY(ED$6,1)=1,0,MAX(0,ED41-8)*ED40))+((IF(ED40&lt;=0,0,IF(WEEKDAY(ED$6,1)=1,0,MIN(8,ED41)*ED40)))-MIN(IF(ED40&lt;=0,0,IF(WEEKDAY(ED$6,1)=1,0,MIN(8,ED41)*ED40)),MAX(0,40*MAX(1,ED40)-(DZ42+EA42+EB42+EC42)))))</f>
        <v>1</v>
      </c>
      <c r="EE43" s="64">
        <f>IF(AND(EE40=0,EE41=0),0,IF(EE40&lt;=0,0,IF(WEEKDAY(EE$6,1)=1,0,MAX(0,EE41-10)*EE40))+((IF(EE40&lt;=0,0,IF(WEEKDAY(EE$6,1)=1,0,MIN(10,EE41)*EE40)))-MIN(IF(EE40&lt;=0,0,IF(WEEKDAY(EE$6,1)=1,0,MIN(10,EE41)*EE40)),MAX(0,40*MAX(1,EE40)-(0)))))</f>
        <v>0</v>
      </c>
      <c r="EF43" s="64">
        <f>IF(AND(EF40=0,EF41=0),0,IF(EF40&lt;=0,0,IF(WEEKDAY(EF$6,1)=1,0,MAX(0,EF41-10)*EF40))+((IF(EF40&lt;=0,0,IF(WEEKDAY(EF$6,1)=1,0,MIN(10,EF41)*EF40)))-MIN(IF(EF40&lt;=0,0,IF(WEEKDAY(EF$6,1)=1,0,MIN(10,EF41)*EF40)),MAX(0,40*MAX(1,EF40)-(EE42)))))</f>
        <v>0</v>
      </c>
      <c r="EG43" s="63">
        <f>IF(AND(EG40=1,EG41=9),1,IF(EG40&lt;=0,0,IF(WEEKDAY(EG$6,1)=1,0,MAX(0,EG41-8)*EG40))+((IF(EG40&lt;=0,0,IF(WEEKDAY(EG$6,1)=1,0,MIN(8,EG41)*EG40)))-MIN(IF(EG40&lt;=0,0,IF(WEEKDAY(EG$6,1)=1,0,MIN(8,EG41)*EG40)),MAX(0,40*MAX(1,EG40)-(0)))))</f>
        <v>1</v>
      </c>
      <c r="EH43" s="63">
        <f>IF(AND(EH40=1,EH41=9),1,IF(EH40&lt;=0,0,IF(WEEKDAY(EH$6,1)=1,0,MAX(0,EH41-8)*EH40))+((IF(EH40&lt;=0,0,IF(WEEKDAY(EH$6,1)=1,0,MIN(8,EH41)*EH40)))-MIN(IF(EH40&lt;=0,0,IF(WEEKDAY(EH$6,1)=1,0,MIN(8,EH41)*EH40)),MAX(0,40*MAX(1,EH40)-(EG42)))))</f>
        <v>1</v>
      </c>
      <c r="EI43" s="63">
        <f>IF(AND(EI40=1,EI41=9),1,IF(EI40&lt;=0,0,IF(WEEKDAY(EI$6,1)=1,0,MAX(0,EI41-8)*EI40))+((IF(EI40&lt;=0,0,IF(WEEKDAY(EI$6,1)=1,0,MIN(8,EI41)*EI40)))-MIN(IF(EI40&lt;=0,0,IF(WEEKDAY(EI$6,1)=1,0,MIN(8,EI41)*EI40)),MAX(0,40*MAX(1,EI40)-(EG42+EH42)))))</f>
        <v>1</v>
      </c>
      <c r="EJ43" s="63">
        <f>IF(AND(EJ40=1,EJ41=9),1,IF(EJ40&lt;=0,0,IF(WEEKDAY(EJ$6,1)=1,0,MAX(0,EJ41-8)*EJ40))+((IF(EJ40&lt;=0,0,IF(WEEKDAY(EJ$6,1)=1,0,MIN(8,EJ41)*EJ40)))-MIN(IF(EJ40&lt;=0,0,IF(WEEKDAY(EJ$6,1)=1,0,MIN(8,EJ41)*EJ40)),MAX(0,40*MAX(1,EJ40)-(EG42+EH42+EI42)))))</f>
        <v>1</v>
      </c>
      <c r="EK43" s="65">
        <f>IF(AND(EK40=1,EK41=9),1,IF(EK40&lt;=0,0,IF(WEEKDAY(EK$6,1)=1,0,MAX(0,EK41-8)*EK40))+((IF(EK40&lt;=0,0,IF(WEEKDAY(EK$6,1)=1,0,MIN(8,EK41)*EK40)))-MIN(IF(EK40&lt;=0,0,IF(WEEKDAY(EK$6,1)=1,0,MIN(8,EK41)*EK40)),MAX(0,40*MAX(1,EK40)-(EG42+EH42+EI42+EJ42)))))</f>
        <v>1</v>
      </c>
      <c r="OU43" s="28" t="s">
        <v>73</v>
      </c>
    </row>
    <row r="44" ht="16" customHeight="1" spans="1:411" x14ac:dyDescent="0.25">
      <c r="A44" s="45"/>
      <c r="B44" s="46"/>
      <c r="C44" s="61">
        <f>H39*N(D44)</f>
        <v>11964.419999999998</v>
      </c>
      <c r="D44" s="61">
        <f>IF(TRIM(B39)="","No rate",IFERROR(INDEX('Rate Tables'!E$7:E$158,MATCH(B39,'Rate Tables'!A$7:A$158,0)),"No rate"))</f>
        <v>153.39</v>
      </c>
      <c r="E44" s="55" t="s">
        <v>64</v>
      </c>
      <c r="F44" s="49"/>
      <c r="G44" s="49"/>
      <c r="H44" s="49"/>
      <c r="I44" s="49"/>
      <c r="J44" s="50"/>
      <c r="K44" s="62">
        <f>IF(AND(K40=1,K41=9),0,IF(K40&lt;=0,0,IF(WEEKDAY(K$6,1)=1,K40*K41,0)))</f>
        <v>0</v>
      </c>
      <c r="L44" s="63">
        <f>IF(AND(L40=1,L41=9),0,IF(L40&lt;=0,0,IF(WEEKDAY(L$6,1)=1,L40*L41,0)))</f>
        <v>0</v>
      </c>
      <c r="M44" s="63">
        <f>IF(AND(M40=1,M41=9),0,IF(M40&lt;=0,0,IF(WEEKDAY(M$6,1)=1,M40*M41,0)))</f>
        <v>0</v>
      </c>
      <c r="N44" s="63">
        <f>IF(AND(N40=1,N41=9),0,IF(N40&lt;=0,0,IF(WEEKDAY(N$6,1)=1,N40*N41,0)))</f>
        <v>0</v>
      </c>
      <c r="O44" s="63">
        <f>IF(AND(O40=1,O41=9),0,IF(O40&lt;=0,0,IF(WEEKDAY(O$6,1)=1,O40*O41,0)))</f>
        <v>0</v>
      </c>
      <c r="P44" s="64">
        <f>IF(AND(P40=0,P41=0),0,IF(P40&lt;=0,0,IF(WEEKDAY(P$6,1)=1,P40*P41,0)))</f>
        <v>0</v>
      </c>
      <c r="Q44" s="64">
        <f>IF(AND(Q40=0,Q41=0),0,IF(Q40&lt;=0,0,IF(WEEKDAY(Q$6,1)=1,Q40*Q41,0)))</f>
        <v>0</v>
      </c>
      <c r="R44" s="63">
        <f>IF(AND(R40=1,R41=9),0,IF(R40&lt;=0,0,IF(WEEKDAY(R$6,1)=1,R40*R41,0)))</f>
        <v>0</v>
      </c>
      <c r="S44" s="63">
        <f>IF(AND(S40=1,S41=9),0,IF(S40&lt;=0,0,IF(WEEKDAY(S$6,1)=1,S40*S41,0)))</f>
        <v>0</v>
      </c>
      <c r="T44" s="63">
        <f>IF(AND(T40=1,T41=9),0,IF(T40&lt;=0,0,IF(WEEKDAY(T$6,1)=1,T40*T41,0)))</f>
        <v>0</v>
      </c>
      <c r="U44" s="63">
        <f>IF(AND(U40=1,U41=9),0,IF(U40&lt;=0,0,IF(WEEKDAY(U$6,1)=1,U40*U41,0)))</f>
        <v>0</v>
      </c>
      <c r="V44" s="63">
        <f>IF(AND(V40=1,V41=9),0,IF(V40&lt;=0,0,IF(WEEKDAY(V$6,1)=1,V40*V41,0)))</f>
        <v>0</v>
      </c>
      <c r="W44" s="64">
        <f>IF(AND(W40=0,W41=0),0,IF(W40&lt;=0,0,IF(WEEKDAY(W$6,1)=1,W40*W41,0)))</f>
        <v>0</v>
      </c>
      <c r="X44" s="64">
        <f>IF(AND(X40=0,X41=0),0,IF(X40&lt;=0,0,IF(WEEKDAY(X$6,1)=1,X40*X41,0)))</f>
        <v>0</v>
      </c>
      <c r="Y44" s="63">
        <f>IF(AND(Y40=1,Y41=9),0,IF(Y40&lt;=0,0,IF(WEEKDAY(Y$6,1)=1,Y40*Y41,0)))</f>
        <v>0</v>
      </c>
      <c r="Z44" s="63">
        <f>IF(AND(Z40=1,Z41=9),0,IF(Z40&lt;=0,0,IF(WEEKDAY(Z$6,1)=1,Z40*Z41,0)))</f>
        <v>0</v>
      </c>
      <c r="AA44" s="63">
        <f>IF(AND(AA40=1,AA41=9),0,IF(AA40&lt;=0,0,IF(WEEKDAY(AA$6,1)=1,AA40*AA41,0)))</f>
        <v>0</v>
      </c>
      <c r="AB44" s="63">
        <f>IF(AND(AB40=1,AB41=9),0,IF(AB40&lt;=0,0,IF(WEEKDAY(AB$6,1)=1,AB40*AB41,0)))</f>
        <v>0</v>
      </c>
      <c r="AC44" s="63">
        <f>IF(AND(AC40=1,AC41=9),0,IF(AC40&lt;=0,0,IF(WEEKDAY(AC$6,1)=1,AC40*AC41,0)))</f>
        <v>0</v>
      </c>
      <c r="AD44" s="64">
        <f>IF(AND(AD40=0,AD41=0),0,IF(AD40&lt;=0,0,IF(WEEKDAY(AD$6,1)=1,AD40*AD41,0)))</f>
        <v>0</v>
      </c>
      <c r="AE44" s="64">
        <f>IF(AND(AE40=0,AE41=0),0,IF(AE40&lt;=0,0,IF(WEEKDAY(AE$6,1)=1,AE40*AE41,0)))</f>
        <v>0</v>
      </c>
      <c r="AF44" s="63">
        <f>IF(AND(AF40=1,AF41=9),0,IF(AF40&lt;=0,0,IF(WEEKDAY(AF$6,1)=1,AF40*AF41,0)))</f>
        <v>0</v>
      </c>
      <c r="AG44" s="63">
        <f>IF(AND(AG40=1,AG41=9),0,IF(AG40&lt;=0,0,IF(WEEKDAY(AG$6,1)=1,AG40*AG41,0)))</f>
        <v>0</v>
      </c>
      <c r="AH44" s="63">
        <f>IF(AND(AH40=1,AH41=9),0,IF(AH40&lt;=0,0,IF(WEEKDAY(AH$6,1)=1,AH40*AH41,0)))</f>
        <v>0</v>
      </c>
      <c r="AI44" s="63">
        <f>IF(AND(AI40=1,AI41=9),0,IF(AI40&lt;=0,0,IF(WEEKDAY(AI$6,1)=1,AI40*AI41,0)))</f>
        <v>0</v>
      </c>
      <c r="AJ44" s="63">
        <f>IF(AND(AJ40=1,AJ41=9),0,IF(AJ40&lt;=0,0,IF(WEEKDAY(AJ$6,1)=1,AJ40*AJ41,0)))</f>
        <v>0</v>
      </c>
      <c r="AK44" s="64">
        <f>IF(AND(AK40=0,AK41=0),0,IF(AK40&lt;=0,0,IF(WEEKDAY(AK$6,1)=1,AK40*AK41,0)))</f>
        <v>0</v>
      </c>
      <c r="AL44" s="64">
        <f>IF(AND(AL40=0,AL41=0),0,IF(AL40&lt;=0,0,IF(WEEKDAY(AL$6,1)=1,AL40*AL41,0)))</f>
        <v>0</v>
      </c>
      <c r="AM44" s="63">
        <f>IF(AND(AM40=1,AM41=9),0,IF(AM40&lt;=0,0,IF(WEEKDAY(AM$6,1)=1,AM40*AM41,0)))</f>
        <v>0</v>
      </c>
      <c r="AN44" s="63">
        <f>IF(AND(AN40=1,AN41=9),0,IF(AN40&lt;=0,0,IF(WEEKDAY(AN$6,1)=1,AN40*AN41,0)))</f>
        <v>0</v>
      </c>
      <c r="AO44" s="63">
        <f>IF(AND(AO40=1,AO41=9),0,IF(AO40&lt;=0,0,IF(WEEKDAY(AO$6,1)=1,AO40*AO41,0)))</f>
        <v>0</v>
      </c>
      <c r="AP44" s="63">
        <f>IF(AND(AP40=1,AP41=9),0,IF(AP40&lt;=0,0,IF(WEEKDAY(AP$6,1)=1,AP40*AP41,0)))</f>
        <v>0</v>
      </c>
      <c r="AQ44" s="63">
        <f>IF(AND(AQ40=1,AQ41=9),0,IF(AQ40&lt;=0,0,IF(WEEKDAY(AQ$6,1)=1,AQ40*AQ41,0)))</f>
        <v>0</v>
      </c>
      <c r="AR44" s="64">
        <f>IF(AND(AR40=0,AR41=0),0,IF(AR40&lt;=0,0,IF(WEEKDAY(AR$6,1)=1,AR40*AR41,0)))</f>
        <v>0</v>
      </c>
      <c r="AS44" s="64">
        <f>IF(AND(AS40=0,AS41=0),0,IF(AS40&lt;=0,0,IF(WEEKDAY(AS$6,1)=1,AS40*AS41,0)))</f>
        <v>0</v>
      </c>
      <c r="AT44" s="63">
        <f>IF(AND(AT40=1,AT41=9),0,IF(AT40&lt;=0,0,IF(WEEKDAY(AT$6,1)=1,AT40*AT41,0)))</f>
        <v>0</v>
      </c>
      <c r="AU44" s="63">
        <f>IF(AND(AU40=1,AU41=9),0,IF(AU40&lt;=0,0,IF(WEEKDAY(AU$6,1)=1,AU40*AU41,0)))</f>
        <v>0</v>
      </c>
      <c r="AV44" s="63">
        <f>IF(AND(AV40=1,AV41=9),0,IF(AV40&lt;=0,0,IF(WEEKDAY(AV$6,1)=1,AV40*AV41,0)))</f>
        <v>0</v>
      </c>
      <c r="AW44" s="63">
        <f>IF(AND(AW40=1,AW41=9),0,IF(AW40&lt;=0,0,IF(WEEKDAY(AW$6,1)=1,AW40*AW41,0)))</f>
        <v>0</v>
      </c>
      <c r="AX44" s="63">
        <f>IF(AND(AX40=1,AX41=9),0,IF(AX40&lt;=0,0,IF(WEEKDAY(AX$6,1)=1,AX40*AX41,0)))</f>
        <v>0</v>
      </c>
      <c r="AY44" s="64">
        <f>IF(AND(AY40=0,AY41=0),0,IF(AY40&lt;=0,0,IF(WEEKDAY(AY$6,1)=1,AY40*AY41,0)))</f>
        <v>0</v>
      </c>
      <c r="AZ44" s="64">
        <f>IF(AND(AZ40=0,AZ41=0),0,IF(AZ40&lt;=0,0,IF(WEEKDAY(AZ$6,1)=1,AZ40*AZ41,0)))</f>
        <v>0</v>
      </c>
      <c r="BA44" s="63">
        <f>IF(AND(BA40=1,BA41=9),0,IF(BA40&lt;=0,0,IF(WEEKDAY(BA$6,1)=1,BA40*BA41,0)))</f>
        <v>0</v>
      </c>
      <c r="BB44" s="63">
        <f>IF(AND(BB40=1,BB41=9),0,IF(BB40&lt;=0,0,IF(WEEKDAY(BB$6,1)=1,BB40*BB41,0)))</f>
        <v>0</v>
      </c>
      <c r="BC44" s="63">
        <f>IF(AND(BC40=1,BC41=9),0,IF(BC40&lt;=0,0,IF(WEEKDAY(BC$6,1)=1,BC40*BC41,0)))</f>
        <v>0</v>
      </c>
      <c r="BD44" s="63">
        <f>IF(AND(BD40=1,BD41=9),0,IF(BD40&lt;=0,0,IF(WEEKDAY(BD$6,1)=1,BD40*BD41,0)))</f>
        <v>0</v>
      </c>
      <c r="BE44" s="63">
        <f>IF(AND(BE40=1,BE41=9),0,IF(BE40&lt;=0,0,IF(WEEKDAY(BE$6,1)=1,BE40*BE41,0)))</f>
        <v>0</v>
      </c>
      <c r="BF44" s="64">
        <f>IF(AND(BF40=0,BF41=0),0,IF(BF40&lt;=0,0,IF(WEEKDAY(BF$6,1)=1,BF40*BF41,0)))</f>
        <v>0</v>
      </c>
      <c r="BG44" s="64">
        <f>IF(AND(BG40=0,BG41=0),0,IF(BG40&lt;=0,0,IF(WEEKDAY(BG$6,1)=1,BG40*BG41,0)))</f>
        <v>0</v>
      </c>
      <c r="BH44" s="63">
        <f>IF(AND(BH40=1,BH41=13),0,IF(BH40&lt;=0,0,IF(WEEKDAY(BH$6,1)=1,BH40*BH41,0)))</f>
        <v>0</v>
      </c>
      <c r="BI44" s="63">
        <f>IF(AND(BI40=1,BI41=13),0,IF(BI40&lt;=0,0,IF(WEEKDAY(BI$6,1)=1,BI40*BI41,0)))</f>
        <v>0</v>
      </c>
      <c r="BJ44" s="63">
        <f>IF(AND(BJ40=1,BJ41=13),0,IF(BJ40&lt;=0,0,IF(WEEKDAY(BJ$6,1)=1,BJ40*BJ41,0)))</f>
        <v>0</v>
      </c>
      <c r="BK44" s="63">
        <f>IF(AND(BK40=1,BK41=13),0,IF(BK40&lt;=0,0,IF(WEEKDAY(BK$6,1)=1,BK40*BK41,0)))</f>
        <v>0</v>
      </c>
      <c r="BL44" s="63">
        <f>IF(AND(BL40=1,BL41=13),0,IF(BL40&lt;=0,0,IF(WEEKDAY(BL$6,1)=1,BL40*BL41,0)))</f>
        <v>0</v>
      </c>
      <c r="BM44" s="64">
        <f>IF(AND(BM40=1,BM41=13),0,IF(BM40&lt;=0,0,IF(WEEKDAY(BM$6,1)=1,BM40*BM41,0)))</f>
        <v>0</v>
      </c>
      <c r="BN44" s="64">
        <f>IF(AND(BN40=1,BN41=13),13,IF(BN40&lt;=0,0,IF(WEEKDAY(BN$6,1)=1,BN40*BN41,0)))</f>
        <v>13</v>
      </c>
      <c r="BO44" s="63">
        <f>IF(AND(BO40=1,BO41=13),0,IF(BO40&lt;=0,0,IF(WEEKDAY(BO$6,1)=1,BO40*BO41,0)))</f>
        <v>0</v>
      </c>
      <c r="BP44" s="63">
        <f>IF(AND(BP40=1,BP41=13),0,IF(BP40&lt;=0,0,IF(WEEKDAY(BP$6,1)=1,BP40*BP41,0)))</f>
        <v>0</v>
      </c>
      <c r="BQ44" s="63">
        <f>IF(AND(BQ40=1,BQ41=13),0,IF(BQ40&lt;=0,0,IF(WEEKDAY(BQ$6,1)=1,BQ40*BQ41,0)))</f>
        <v>0</v>
      </c>
      <c r="BR44" s="63">
        <f>IF(AND(BR40=1,BR41=13),0,IF(BR40&lt;=0,0,IF(WEEKDAY(BR$6,1)=1,BR40*BR41,0)))</f>
        <v>0</v>
      </c>
      <c r="BS44" s="63">
        <f>IF(AND(BS40=1,BS41=13),0,IF(BS40&lt;=0,0,IF(WEEKDAY(BS$6,1)=1,BS40*BS41,0)))</f>
        <v>0</v>
      </c>
      <c r="BT44" s="64">
        <f>IF(AND(BT40=1,BT41=13),0,IF(BT40&lt;=0,0,IF(WEEKDAY(BT$6,1)=1,BT40*BT41,0)))</f>
        <v>0</v>
      </c>
      <c r="BU44" s="64">
        <f>IF(AND(BU40=1,BU41=13),13,IF(BU40&lt;=0,0,IF(WEEKDAY(BU$6,1)=1,BU40*BU41,0)))</f>
        <v>13</v>
      </c>
      <c r="BV44" s="63">
        <f>IF(AND(BV40=1,BV41=13),0,IF(BV40&lt;=0,0,IF(WEEKDAY(BV$6,1)=1,BV40*BV41,0)))</f>
        <v>0</v>
      </c>
      <c r="BW44" s="63">
        <f>IF(AND(BW40=1,BW41=13),0,IF(BW40&lt;=0,0,IF(WEEKDAY(BW$6,1)=1,BW40*BW41,0)))</f>
        <v>0</v>
      </c>
      <c r="BX44" s="63">
        <f>IF(AND(BX40=1,BX41=13),0,IF(BX40&lt;=0,0,IF(WEEKDAY(BX$6,1)=1,BX40*BX41,0)))</f>
        <v>0</v>
      </c>
      <c r="BY44" s="63">
        <f>IF(AND(BY40=1,BY41=13),0,IF(BY40&lt;=0,0,IF(WEEKDAY(BY$6,1)=1,BY40*BY41,0)))</f>
        <v>0</v>
      </c>
      <c r="BZ44" s="63">
        <f>IF(AND(BZ40=1,BZ41=13),0,IF(BZ40&lt;=0,0,IF(WEEKDAY(BZ$6,1)=1,BZ40*BZ41,0)))</f>
        <v>0</v>
      </c>
      <c r="CA44" s="64">
        <f>IF(AND(CA40=1,CA41=13),0,IF(CA40&lt;=0,0,IF(WEEKDAY(CA$6,1)=1,CA40*CA41,0)))</f>
        <v>0</v>
      </c>
      <c r="CB44" s="64">
        <f>IF(AND(CB40=0,CB41=0),0,IF(CB40&lt;=0,0,IF(WEEKDAY(CB$6,1)=1,CB40*CB41,0)))</f>
        <v>0</v>
      </c>
      <c r="CC44" s="63">
        <f>IF(AND(CC40=1,CC41=13),0,IF(CC40&lt;=0,0,IF(WEEKDAY(CC$6,1)=1,CC40*CC41,0)))</f>
        <v>0</v>
      </c>
      <c r="CD44" s="63">
        <f>IF(AND(CD40=1,CD41=13),0,IF(CD40&lt;=0,0,IF(WEEKDAY(CD$6,1)=1,CD40*CD41,0)))</f>
        <v>0</v>
      </c>
      <c r="CE44" s="63">
        <f>IF(AND(CE40=1,CE41=13),0,IF(CE40&lt;=0,0,IF(WEEKDAY(CE$6,1)=1,CE40*CE41,0)))</f>
        <v>0</v>
      </c>
      <c r="CF44" s="63">
        <f>IF(AND(CF40=1,CF41=13),0,IF(CF40&lt;=0,0,IF(WEEKDAY(CF$6,1)=1,CF40*CF41,0)))</f>
        <v>0</v>
      </c>
      <c r="CG44" s="63">
        <f>IF(AND(CG40=1,CG41=13),0,IF(CG40&lt;=0,0,IF(WEEKDAY(CG$6,1)=1,CG40*CG41,0)))</f>
        <v>0</v>
      </c>
      <c r="CH44" s="64">
        <f>IF(AND(CH40=1,CH41=13),0,IF(CH40&lt;=0,0,IF(WEEKDAY(CH$6,1)=1,CH40*CH41,0)))</f>
        <v>0</v>
      </c>
      <c r="CI44" s="64">
        <f>IF(AND(CI40=1,CI41=13),13,IF(CI40&lt;=0,0,IF(WEEKDAY(CI$6,1)=1,CI40*CI41,0)))</f>
        <v>13</v>
      </c>
      <c r="CJ44" s="63">
        <f>IF(AND(CJ40=1,CJ41=13),0,IF(CJ40&lt;=0,0,IF(WEEKDAY(CJ$6,1)=1,CJ40*CJ41,0)))</f>
        <v>0</v>
      </c>
      <c r="CK44" s="63">
        <f>IF(AND(CK40=1,CK41=13),0,IF(CK40&lt;=0,0,IF(WEEKDAY(CK$6,1)=1,CK40*CK41,0)))</f>
        <v>0</v>
      </c>
      <c r="CL44" s="63">
        <f>IF(AND(CL40=1,CL41=13),0,IF(CL40&lt;=0,0,IF(WEEKDAY(CL$6,1)=1,CL40*CL41,0)))</f>
        <v>0</v>
      </c>
      <c r="CM44" s="63">
        <f>IF(AND(CM40=1,CM41=13),0,IF(CM40&lt;=0,0,IF(WEEKDAY(CM$6,1)=1,CM40*CM41,0)))</f>
        <v>0</v>
      </c>
      <c r="CN44" s="63">
        <f>IF(AND(CN40=1,CN41=13),0,IF(CN40&lt;=0,0,IF(WEEKDAY(CN$6,1)=1,CN40*CN41,0)))</f>
        <v>0</v>
      </c>
      <c r="CO44" s="64">
        <f>IF(AND(CO40=1,CO41=13),0,IF(CO40&lt;=0,0,IF(WEEKDAY(CO$6,1)=1,CO40*CO41,0)))</f>
        <v>0</v>
      </c>
      <c r="CP44" s="64">
        <f>IF(AND(CP40=0,CP41=0),0,IF(CP40&lt;=0,0,IF(WEEKDAY(CP$6,1)=1,CP40*CP41,0)))</f>
        <v>0</v>
      </c>
      <c r="CQ44" s="63">
        <f>IF(AND(CQ40=1,CQ41=13),0,IF(CQ40&lt;=0,0,IF(WEEKDAY(CQ$6,1)=1,CQ40*CQ41,0)))</f>
        <v>0</v>
      </c>
      <c r="CR44" s="63">
        <f>IF(AND(CR40=1,CR41=13),0,IF(CR40&lt;=0,0,IF(WEEKDAY(CR$6,1)=1,CR40*CR41,0)))</f>
        <v>0</v>
      </c>
      <c r="CS44" s="63">
        <f>IF(AND(CS40=1,CS41=13),0,IF(CS40&lt;=0,0,IF(WEEKDAY(CS$6,1)=1,CS40*CS41,0)))</f>
        <v>0</v>
      </c>
      <c r="CT44" s="63">
        <f>IF(AND(CT40=1,CT41=13),0,IF(CT40&lt;=0,0,IF(WEEKDAY(CT$6,1)=1,CT40*CT41,0)))</f>
        <v>0</v>
      </c>
      <c r="CU44" s="63">
        <f>IF(AND(CU40=1,CU41=13),0,IF(CU40&lt;=0,0,IF(WEEKDAY(CU$6,1)=1,CU40*CU41,0)))</f>
        <v>0</v>
      </c>
      <c r="CV44" s="64">
        <f>IF(AND(CV40=1,CV41=13),0,IF(CV40&lt;=0,0,IF(WEEKDAY(CV$6,1)=1,CV40*CV41,0)))</f>
        <v>0</v>
      </c>
      <c r="CW44" s="64">
        <f>IF(AND(CW40=1,CW41=13),13,IF(CW40&lt;=0,0,IF(WEEKDAY(CW$6,1)=1,CW40*CW41,0)))</f>
        <v>13</v>
      </c>
      <c r="CX44" s="63">
        <f>IF(AND(CX40=1,CX41=13),0,IF(CX40&lt;=0,0,IF(WEEKDAY(CX$6,1)=1,CX40*CX41,0)))</f>
        <v>0</v>
      </c>
      <c r="CY44" s="63">
        <f>IF(AND(CY40=1,CY41=13),0,IF(CY40&lt;=0,0,IF(WEEKDAY(CY$6,1)=1,CY40*CY41,0)))</f>
        <v>0</v>
      </c>
      <c r="CZ44" s="63">
        <f>IF(AND(CZ40=1,CZ41=13),0,IF(CZ40&lt;=0,0,IF(WEEKDAY(CZ$6,1)=1,CZ40*CZ41,0)))</f>
        <v>0</v>
      </c>
      <c r="DA44" s="63">
        <f>IF(AND(DA40=1,DA41=13),0,IF(DA40&lt;=0,0,IF(WEEKDAY(DA$6,1)=1,DA40*DA41,0)))</f>
        <v>0</v>
      </c>
      <c r="DB44" s="63">
        <f>IF(AND(DB40=1,DB41=13),0,IF(DB40&lt;=0,0,IF(WEEKDAY(DB$6,1)=1,DB40*DB41,0)))</f>
        <v>0</v>
      </c>
      <c r="DC44" s="64">
        <f>IF(AND(DC40=1,DC41=13),0,IF(DC40&lt;=0,0,IF(WEEKDAY(DC$6,1)=1,DC40*DC41,0)))</f>
        <v>0</v>
      </c>
      <c r="DD44" s="64">
        <f>IF(AND(DD40=1,DD41=13),13,IF(DD40&lt;=0,0,IF(WEEKDAY(DD$6,1)=1,DD40*DD41,0)))</f>
        <v>13</v>
      </c>
      <c r="DE44" s="63">
        <f>IF(AND(DE40=1,DE41=13),0,IF(DE40&lt;=0,0,IF(WEEKDAY(DE$6,1)=1,DE40*DE41,0)))</f>
        <v>0</v>
      </c>
      <c r="DF44" s="63">
        <f>IF(AND(DF40=1,DF41=13),0,IF(DF40&lt;=0,0,IF(WEEKDAY(DF$6,1)=1,DF40*DF41,0)))</f>
        <v>0</v>
      </c>
      <c r="DG44" s="63">
        <f>IF(AND(DG40=1,DG41=13),0,IF(DG40&lt;=0,0,IF(WEEKDAY(DG$6,1)=1,DG40*DG41,0)))</f>
        <v>0</v>
      </c>
      <c r="DH44" s="63">
        <f>IF(AND(DH40=1,DH41=13),0,IF(DH40&lt;=0,0,IF(WEEKDAY(DH$6,1)=1,DH40*DH41,0)))</f>
        <v>0</v>
      </c>
      <c r="DI44" s="63">
        <f>IF(AND(DI40=1,DI41=13),0,IF(DI40&lt;=0,0,IF(WEEKDAY(DI$6,1)=1,DI40*DI41,0)))</f>
        <v>0</v>
      </c>
      <c r="DJ44" s="64">
        <f>IF(AND(DJ40=1,DJ41=13),0,IF(DJ40&lt;=0,0,IF(WEEKDAY(DJ$6,1)=1,DJ40*DJ41,0)))</f>
        <v>0</v>
      </c>
      <c r="DK44" s="64">
        <f>IF(AND(DK40=0,DK41=0),0,IF(DK40&lt;=0,0,IF(WEEKDAY(DK$6,1)=1,DK40*DK41,0)))</f>
        <v>0</v>
      </c>
      <c r="DL44" s="63">
        <f>IF(AND(DL40=1,DL41=13),0,IF(DL40&lt;=0,0,IF(WEEKDAY(DL$6,1)=1,DL40*DL41,0)))</f>
        <v>0</v>
      </c>
      <c r="DM44" s="63">
        <f>IF(AND(DM40=1,DM41=13),0,IF(DM40&lt;=0,0,IF(WEEKDAY(DM$6,1)=1,DM40*DM41,0)))</f>
        <v>0</v>
      </c>
      <c r="DN44" s="63">
        <f>IF(AND(DN40=1,DN41=13),0,IF(DN40&lt;=0,0,IF(WEEKDAY(DN$6,1)=1,DN40*DN41,0)))</f>
        <v>0</v>
      </c>
      <c r="DO44" s="63">
        <f>IF(AND(DO40=1,DO41=13),0,IF(DO40&lt;=0,0,IF(WEEKDAY(DO$6,1)=1,DO40*DO41,0)))</f>
        <v>0</v>
      </c>
      <c r="DP44" s="63">
        <f>IF(AND(DP40=1,DP41=13),0,IF(DP40&lt;=0,0,IF(WEEKDAY(DP$6,1)=1,DP40*DP41,0)))</f>
        <v>0</v>
      </c>
      <c r="DQ44" s="64">
        <f>IF(AND(DQ40=1,DQ41=13),0,IF(DQ40&lt;=0,0,IF(WEEKDAY(DQ$6,1)=1,DQ40*DQ41,0)))</f>
        <v>0</v>
      </c>
      <c r="DR44" s="64">
        <f>IF(AND(DR40=1,DR41=13),13,IF(DR40&lt;=0,0,IF(WEEKDAY(DR$6,1)=1,DR40*DR41,0)))</f>
        <v>13</v>
      </c>
      <c r="DS44" s="63">
        <f>IF(AND(DS40=1,DS41=13),0,IF(DS40&lt;=0,0,IF(WEEKDAY(DS$6,1)=1,DS40*DS41,0)))</f>
        <v>0</v>
      </c>
      <c r="DT44" s="63">
        <f>IF(AND(DT40=1,DT41=9),0,IF(DT40&lt;=0,0,IF(WEEKDAY(DT$6,1)=1,DT40*DT41,0)))</f>
        <v>0</v>
      </c>
      <c r="DU44" s="63">
        <f>IF(AND(DU40=1,DU41=9),0,IF(DU40&lt;=0,0,IF(WEEKDAY(DU$6,1)=1,DU40*DU41,0)))</f>
        <v>0</v>
      </c>
      <c r="DV44" s="63">
        <f>IF(AND(DV40=1,DV41=9),0,IF(DV40&lt;=0,0,IF(WEEKDAY(DV$6,1)=1,DV40*DV41,0)))</f>
        <v>0</v>
      </c>
      <c r="DW44" s="63">
        <f>IF(AND(DW40=1,DW41=9),0,IF(DW40&lt;=0,0,IF(WEEKDAY(DW$6,1)=1,DW40*DW41,0)))</f>
        <v>0</v>
      </c>
      <c r="DX44" s="64">
        <f>IF(AND(DX40=0,DX41=0),0,IF(DX40&lt;=0,0,IF(WEEKDAY(DX$6,1)=1,DX40*DX41,0)))</f>
        <v>0</v>
      </c>
      <c r="DY44" s="64">
        <f>IF(AND(DY40=0,DY41=0),0,IF(DY40&lt;=0,0,IF(WEEKDAY(DY$6,1)=1,DY40*DY41,0)))</f>
        <v>0</v>
      </c>
      <c r="DZ44" s="63">
        <f>IF(AND(DZ40=1,DZ41=9),0,IF(DZ40&lt;=0,0,IF(WEEKDAY(DZ$6,1)=1,DZ40*DZ41,0)))</f>
        <v>0</v>
      </c>
      <c r="EA44" s="63">
        <f>IF(AND(EA40=1,EA41=9),0,IF(EA40&lt;=0,0,IF(WEEKDAY(EA$6,1)=1,EA40*EA41,0)))</f>
        <v>0</v>
      </c>
      <c r="EB44" s="63">
        <f>IF(AND(EB40=1,EB41=9),0,IF(EB40&lt;=0,0,IF(WEEKDAY(EB$6,1)=1,EB40*EB41,0)))</f>
        <v>0</v>
      </c>
      <c r="EC44" s="63">
        <f>IF(AND(EC40=1,EC41=9),0,IF(EC40&lt;=0,0,IF(WEEKDAY(EC$6,1)=1,EC40*EC41,0)))</f>
        <v>0</v>
      </c>
      <c r="ED44" s="63">
        <f>IF(AND(ED40=1,ED41=9),0,IF(ED40&lt;=0,0,IF(WEEKDAY(ED$6,1)=1,ED40*ED41,0)))</f>
        <v>0</v>
      </c>
      <c r="EE44" s="64">
        <f>IF(AND(EE40=0,EE41=0),0,IF(EE40&lt;=0,0,IF(WEEKDAY(EE$6,1)=1,EE40*EE41,0)))</f>
        <v>0</v>
      </c>
      <c r="EF44" s="64">
        <f>IF(AND(EF40=0,EF41=0),0,IF(EF40&lt;=0,0,IF(WEEKDAY(EF$6,1)=1,EF40*EF41,0)))</f>
        <v>0</v>
      </c>
      <c r="EG44" s="63">
        <f>IF(AND(EG40=1,EG41=9),0,IF(EG40&lt;=0,0,IF(WEEKDAY(EG$6,1)=1,EG40*EG41,0)))</f>
        <v>0</v>
      </c>
      <c r="EH44" s="63">
        <f>IF(AND(EH40=1,EH41=9),0,IF(EH40&lt;=0,0,IF(WEEKDAY(EH$6,1)=1,EH40*EH41,0)))</f>
        <v>0</v>
      </c>
      <c r="EI44" s="63">
        <f>IF(AND(EI40=1,EI41=9),0,IF(EI40&lt;=0,0,IF(WEEKDAY(EI$6,1)=1,EI40*EI41,0)))</f>
        <v>0</v>
      </c>
      <c r="EJ44" s="63">
        <f>IF(AND(EJ40=1,EJ41=9),0,IF(EJ40&lt;=0,0,IF(WEEKDAY(EJ$6,1)=1,EJ40*EJ41,0)))</f>
        <v>0</v>
      </c>
      <c r="EK44" s="65">
        <f>IF(AND(EK40=1,EK41=9),0,IF(EK40&lt;=0,0,IF(WEEKDAY(EK$6,1)=1,EK40*EK41,0)))</f>
        <v>0</v>
      </c>
      <c r="OU44" s="28" t="s">
        <v>73</v>
      </c>
    </row>
    <row r="45" ht="16" customHeight="1" spans="1:411" x14ac:dyDescent="0.25">
      <c r="A45" s="45"/>
      <c r="B45" s="46"/>
      <c r="C45" s="67">
        <f>I39*D45</f>
        <v>15400</v>
      </c>
      <c r="D45" s="67">
        <v>140</v>
      </c>
      <c r="E45" s="68" t="s">
        <v>65</v>
      </c>
      <c r="F45" s="49"/>
      <c r="G45" s="49"/>
      <c r="H45" s="49"/>
      <c r="I45" s="49"/>
      <c r="J45" s="50"/>
      <c r="K45" s="69">
        <v>1</v>
      </c>
      <c r="L45" s="70">
        <v>1</v>
      </c>
      <c r="M45" s="70">
        <v>1</v>
      </c>
      <c r="N45" s="70">
        <v>1</v>
      </c>
      <c r="O45" s="70">
        <v>1</v>
      </c>
      <c r="P45" s="71">
        <v>0</v>
      </c>
      <c r="Q45" s="71">
        <v>0</v>
      </c>
      <c r="R45" s="70">
        <v>1</v>
      </c>
      <c r="S45" s="70">
        <v>1</v>
      </c>
      <c r="T45" s="70">
        <v>1</v>
      </c>
      <c r="U45" s="70">
        <v>1</v>
      </c>
      <c r="V45" s="70">
        <v>1</v>
      </c>
      <c r="W45" s="71">
        <v>0</v>
      </c>
      <c r="X45" s="71">
        <v>0</v>
      </c>
      <c r="Y45" s="70">
        <v>1</v>
      </c>
      <c r="Z45" s="70">
        <v>1</v>
      </c>
      <c r="AA45" s="70">
        <v>1</v>
      </c>
      <c r="AB45" s="70">
        <v>1</v>
      </c>
      <c r="AC45" s="70">
        <v>1</v>
      </c>
      <c r="AD45" s="71">
        <v>0</v>
      </c>
      <c r="AE45" s="71">
        <v>0</v>
      </c>
      <c r="AF45" s="70">
        <v>1</v>
      </c>
      <c r="AG45" s="70">
        <v>1</v>
      </c>
      <c r="AH45" s="70">
        <v>1</v>
      </c>
      <c r="AI45" s="70">
        <v>1</v>
      </c>
      <c r="AJ45" s="70">
        <v>1</v>
      </c>
      <c r="AK45" s="71">
        <v>0</v>
      </c>
      <c r="AL45" s="71">
        <v>0</v>
      </c>
      <c r="AM45" s="70">
        <v>1</v>
      </c>
      <c r="AN45" s="70">
        <v>1</v>
      </c>
      <c r="AO45" s="70">
        <v>1</v>
      </c>
      <c r="AP45" s="70">
        <v>1</v>
      </c>
      <c r="AQ45" s="70">
        <v>1</v>
      </c>
      <c r="AR45" s="71">
        <v>0</v>
      </c>
      <c r="AS45" s="71">
        <v>0</v>
      </c>
      <c r="AT45" s="70">
        <v>1</v>
      </c>
      <c r="AU45" s="70">
        <v>1</v>
      </c>
      <c r="AV45" s="70">
        <v>1</v>
      </c>
      <c r="AW45" s="70">
        <v>1</v>
      </c>
      <c r="AX45" s="70">
        <v>1</v>
      </c>
      <c r="AY45" s="71">
        <v>0</v>
      </c>
      <c r="AZ45" s="71">
        <v>0</v>
      </c>
      <c r="BA45" s="70">
        <v>1</v>
      </c>
      <c r="BB45" s="70">
        <v>1</v>
      </c>
      <c r="BC45" s="70">
        <v>1</v>
      </c>
      <c r="BD45" s="70">
        <v>1</v>
      </c>
      <c r="BE45" s="70">
        <v>1</v>
      </c>
      <c r="BF45" s="71">
        <v>0</v>
      </c>
      <c r="BG45" s="71">
        <v>0</v>
      </c>
      <c r="BH45" s="70">
        <v>1</v>
      </c>
      <c r="BI45" s="70">
        <v>1</v>
      </c>
      <c r="BJ45" s="70">
        <v>1</v>
      </c>
      <c r="BK45" s="70">
        <v>1</v>
      </c>
      <c r="BL45" s="70">
        <v>1</v>
      </c>
      <c r="BM45" s="71">
        <v>1</v>
      </c>
      <c r="BN45" s="71">
        <v>1</v>
      </c>
      <c r="BO45" s="70">
        <v>1</v>
      </c>
      <c r="BP45" s="70">
        <v>1</v>
      </c>
      <c r="BQ45" s="70">
        <v>1</v>
      </c>
      <c r="BR45" s="70">
        <v>1</v>
      </c>
      <c r="BS45" s="70">
        <v>1</v>
      </c>
      <c r="BT45" s="71">
        <v>1</v>
      </c>
      <c r="BU45" s="71">
        <v>1</v>
      </c>
      <c r="BV45" s="70">
        <v>1</v>
      </c>
      <c r="BW45" s="70">
        <v>1</v>
      </c>
      <c r="BX45" s="70">
        <v>1</v>
      </c>
      <c r="BY45" s="70">
        <v>1</v>
      </c>
      <c r="BZ45" s="70">
        <v>1</v>
      </c>
      <c r="CA45" s="71">
        <v>1</v>
      </c>
      <c r="CB45" s="71">
        <v>0</v>
      </c>
      <c r="CC45" s="70">
        <v>1</v>
      </c>
      <c r="CD45" s="70">
        <v>1</v>
      </c>
      <c r="CE45" s="70">
        <v>1</v>
      </c>
      <c r="CF45" s="70">
        <v>1</v>
      </c>
      <c r="CG45" s="70">
        <v>1</v>
      </c>
      <c r="CH45" s="71">
        <v>1</v>
      </c>
      <c r="CI45" s="71">
        <v>1</v>
      </c>
      <c r="CJ45" s="70">
        <v>1</v>
      </c>
      <c r="CK45" s="70">
        <v>1</v>
      </c>
      <c r="CL45" s="70">
        <v>1</v>
      </c>
      <c r="CM45" s="70">
        <v>1</v>
      </c>
      <c r="CN45" s="70">
        <v>1</v>
      </c>
      <c r="CO45" s="71">
        <v>1</v>
      </c>
      <c r="CP45" s="71">
        <v>0</v>
      </c>
      <c r="CQ45" s="70">
        <v>1</v>
      </c>
      <c r="CR45" s="70">
        <v>1</v>
      </c>
      <c r="CS45" s="70">
        <v>1</v>
      </c>
      <c r="CT45" s="70">
        <v>1</v>
      </c>
      <c r="CU45" s="70">
        <v>1</v>
      </c>
      <c r="CV45" s="71">
        <v>1</v>
      </c>
      <c r="CW45" s="71">
        <v>1</v>
      </c>
      <c r="CX45" s="70">
        <v>1</v>
      </c>
      <c r="CY45" s="70">
        <v>1</v>
      </c>
      <c r="CZ45" s="70">
        <v>1</v>
      </c>
      <c r="DA45" s="70">
        <v>1</v>
      </c>
      <c r="DB45" s="70">
        <v>1</v>
      </c>
      <c r="DC45" s="71">
        <v>1</v>
      </c>
      <c r="DD45" s="71">
        <v>1</v>
      </c>
      <c r="DE45" s="70">
        <v>1</v>
      </c>
      <c r="DF45" s="70">
        <v>1</v>
      </c>
      <c r="DG45" s="70">
        <v>1</v>
      </c>
      <c r="DH45" s="70">
        <v>1</v>
      </c>
      <c r="DI45" s="70">
        <v>1</v>
      </c>
      <c r="DJ45" s="71">
        <v>1</v>
      </c>
      <c r="DK45" s="71">
        <v>0</v>
      </c>
      <c r="DL45" s="70">
        <v>1</v>
      </c>
      <c r="DM45" s="70">
        <v>1</v>
      </c>
      <c r="DN45" s="70">
        <v>1</v>
      </c>
      <c r="DO45" s="70">
        <v>1</v>
      </c>
      <c r="DP45" s="70">
        <v>1</v>
      </c>
      <c r="DQ45" s="71">
        <v>1</v>
      </c>
      <c r="DR45" s="71">
        <v>1</v>
      </c>
      <c r="DS45" s="70">
        <v>1</v>
      </c>
      <c r="DT45" s="70">
        <v>1</v>
      </c>
      <c r="DU45" s="70">
        <v>1</v>
      </c>
      <c r="DV45" s="70">
        <v>1</v>
      </c>
      <c r="DW45" s="70">
        <v>1</v>
      </c>
      <c r="DX45" s="71">
        <v>0</v>
      </c>
      <c r="DY45" s="71">
        <v>0</v>
      </c>
      <c r="DZ45" s="70">
        <v>1</v>
      </c>
      <c r="EA45" s="70">
        <v>1</v>
      </c>
      <c r="EB45" s="70">
        <v>1</v>
      </c>
      <c r="EC45" s="70">
        <v>1</v>
      </c>
      <c r="ED45" s="70">
        <v>1</v>
      </c>
      <c r="EE45" s="71">
        <v>0</v>
      </c>
      <c r="EF45" s="71">
        <v>0</v>
      </c>
      <c r="EG45" s="70">
        <v>1</v>
      </c>
      <c r="EH45" s="70">
        <v>1</v>
      </c>
      <c r="EI45" s="70">
        <v>1</v>
      </c>
      <c r="EJ45" s="70">
        <v>1</v>
      </c>
      <c r="EK45" s="72">
        <v>1</v>
      </c>
      <c r="OU45" s="60" t="s">
        <v>73</v>
      </c>
    </row>
    <row r="46" ht="8" customHeight="1" spans="1:14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  <c r="EK46" s="73"/>
    </row>
    <row r="47" ht="16" customHeight="1" spans="1:411" x14ac:dyDescent="0.25">
      <c r="A47" s="74" t="s">
        <v>70</v>
      </c>
      <c r="B47" s="46" t="s">
        <v>72</v>
      </c>
      <c r="C47" s="47">
        <f>J47</f>
        <v>87177.21999999999</v>
      </c>
      <c r="D47" s="48"/>
      <c r="E47" s="48"/>
      <c r="F47" s="49">
        <f>SUM(K50:EK50)</f>
        <v>390</v>
      </c>
      <c r="G47" s="49">
        <f>SUM(K51:EK51)</f>
        <v>325</v>
      </c>
      <c r="H47" s="49">
        <f>SUM(K52:EK52)</f>
        <v>78</v>
      </c>
      <c r="I47" s="49">
        <f>SUM(K53:EK53)</f>
        <v>61</v>
      </c>
      <c r="J47" s="50">
        <f>C50+C51+C52</f>
        <v>87177.21999999999</v>
      </c>
      <c r="K47" s="51"/>
      <c r="L47" s="52"/>
      <c r="M47" s="52"/>
      <c r="N47" s="52"/>
      <c r="O47" s="52"/>
      <c r="P47" s="53"/>
      <c r="Q47" s="53"/>
      <c r="R47" s="52"/>
      <c r="S47" s="52"/>
      <c r="T47" s="52"/>
      <c r="U47" s="52"/>
      <c r="V47" s="52"/>
      <c r="W47" s="53"/>
      <c r="X47" s="53"/>
      <c r="Y47" s="52"/>
      <c r="Z47" s="52"/>
      <c r="AA47" s="52"/>
      <c r="AB47" s="52"/>
      <c r="AC47" s="52"/>
      <c r="AD47" s="53"/>
      <c r="AE47" s="53"/>
      <c r="AF47" s="52"/>
      <c r="AG47" s="52"/>
      <c r="AH47" s="52"/>
      <c r="AI47" s="52"/>
      <c r="AJ47" s="52"/>
      <c r="AK47" s="53"/>
      <c r="AL47" s="53"/>
      <c r="AM47" s="52"/>
      <c r="AN47" s="52"/>
      <c r="AO47" s="52"/>
      <c r="AP47" s="52"/>
      <c r="AQ47" s="52"/>
      <c r="AR47" s="53"/>
      <c r="AS47" s="53"/>
      <c r="AT47" s="52"/>
      <c r="AU47" s="52"/>
      <c r="AV47" s="52"/>
      <c r="AW47" s="52"/>
      <c r="AX47" s="52"/>
      <c r="AY47" s="53"/>
      <c r="AZ47" s="53"/>
      <c r="BA47" s="52"/>
      <c r="BB47" s="52"/>
      <c r="BC47" s="52"/>
      <c r="BD47" s="52"/>
      <c r="BE47" s="52"/>
      <c r="BF47" s="53"/>
      <c r="BG47" s="53"/>
      <c r="BH47" s="52"/>
      <c r="BI47" s="52"/>
      <c r="BJ47" s="52"/>
      <c r="BK47" s="52"/>
      <c r="BL47" s="52"/>
      <c r="BM47" s="53"/>
      <c r="BN47" s="53"/>
      <c r="BO47" s="52"/>
      <c r="BP47" s="52"/>
      <c r="BQ47" s="52"/>
      <c r="BR47" s="52"/>
      <c r="BS47" s="52"/>
      <c r="BT47" s="53"/>
      <c r="BU47" s="53"/>
      <c r="BV47" s="52"/>
      <c r="BW47" s="52"/>
      <c r="BX47" s="52"/>
      <c r="BY47" s="52"/>
      <c r="BZ47" s="52"/>
      <c r="CA47" s="53"/>
      <c r="CB47" s="53"/>
      <c r="CC47" s="52"/>
      <c r="CD47" s="52"/>
      <c r="CE47" s="52"/>
      <c r="CF47" s="52"/>
      <c r="CG47" s="52"/>
      <c r="CH47" s="53"/>
      <c r="CI47" s="53"/>
      <c r="CJ47" s="52"/>
      <c r="CK47" s="52"/>
      <c r="CL47" s="52"/>
      <c r="CM47" s="52"/>
      <c r="CN47" s="52"/>
      <c r="CO47" s="53"/>
      <c r="CP47" s="53"/>
      <c r="CQ47" s="52"/>
      <c r="CR47" s="52"/>
      <c r="CS47" s="52"/>
      <c r="CT47" s="52"/>
      <c r="CU47" s="52"/>
      <c r="CV47" s="53"/>
      <c r="CW47" s="53"/>
      <c r="CX47" s="52"/>
      <c r="CY47" s="52"/>
      <c r="CZ47" s="52"/>
      <c r="DA47" s="52"/>
      <c r="DB47" s="52"/>
      <c r="DC47" s="53"/>
      <c r="DD47" s="53"/>
      <c r="DE47" s="52"/>
      <c r="DF47" s="52"/>
      <c r="DG47" s="52"/>
      <c r="DH47" s="52"/>
      <c r="DI47" s="52"/>
      <c r="DJ47" s="53"/>
      <c r="DK47" s="53"/>
      <c r="DL47" s="52"/>
      <c r="DM47" s="52"/>
      <c r="DN47" s="52"/>
      <c r="DO47" s="52"/>
      <c r="DP47" s="52"/>
      <c r="DQ47" s="53"/>
      <c r="DR47" s="53"/>
      <c r="DS47" s="52"/>
      <c r="DT47" s="52"/>
      <c r="DU47" s="52"/>
      <c r="DV47" s="52"/>
      <c r="DW47" s="52"/>
      <c r="DX47" s="53"/>
      <c r="DY47" s="53"/>
      <c r="DZ47" s="52"/>
      <c r="EA47" s="52"/>
      <c r="EB47" s="52"/>
      <c r="EC47" s="52"/>
      <c r="ED47" s="52"/>
      <c r="EE47" s="53"/>
      <c r="EF47" s="53"/>
      <c r="EG47" s="52"/>
      <c r="EH47" s="52"/>
      <c r="EI47" s="52"/>
      <c r="EJ47" s="52"/>
      <c r="EK47" s="54"/>
      <c r="OU47" s="28" t="s">
        <v>74</v>
      </c>
    </row>
    <row r="48" ht="16" customHeight="1" spans="1:411" x14ac:dyDescent="0.25">
      <c r="A48" s="74"/>
      <c r="B48" s="46"/>
      <c r="C48" s="47"/>
      <c r="D48" s="48"/>
      <c r="E48" s="55" t="s">
        <v>60</v>
      </c>
      <c r="F48" s="49"/>
      <c r="G48" s="49"/>
      <c r="H48" s="49"/>
      <c r="I48" s="49"/>
      <c r="J48" s="50"/>
      <c r="K48" s="56">
        <v>0</v>
      </c>
      <c r="L48" s="57">
        <v>0</v>
      </c>
      <c r="M48" s="57">
        <v>0</v>
      </c>
      <c r="N48" s="57">
        <v>0</v>
      </c>
      <c r="O48" s="57">
        <v>0</v>
      </c>
      <c r="P48" s="58">
        <v>0</v>
      </c>
      <c r="Q48" s="58">
        <v>0</v>
      </c>
      <c r="R48" s="57">
        <v>0</v>
      </c>
      <c r="S48" s="57">
        <v>0</v>
      </c>
      <c r="T48" s="57">
        <v>0</v>
      </c>
      <c r="U48" s="57">
        <v>0</v>
      </c>
      <c r="V48" s="57">
        <v>0</v>
      </c>
      <c r="W48" s="58">
        <v>0</v>
      </c>
      <c r="X48" s="58">
        <v>0</v>
      </c>
      <c r="Y48" s="57">
        <v>0</v>
      </c>
      <c r="Z48" s="57">
        <v>0</v>
      </c>
      <c r="AA48" s="57">
        <v>0</v>
      </c>
      <c r="AB48" s="57">
        <v>0</v>
      </c>
      <c r="AC48" s="57">
        <v>0</v>
      </c>
      <c r="AD48" s="58">
        <v>0</v>
      </c>
      <c r="AE48" s="58">
        <v>0</v>
      </c>
      <c r="AF48" s="57">
        <v>0</v>
      </c>
      <c r="AG48" s="57">
        <v>0</v>
      </c>
      <c r="AH48" s="57">
        <v>0</v>
      </c>
      <c r="AI48" s="57">
        <v>0</v>
      </c>
      <c r="AJ48" s="57">
        <v>0</v>
      </c>
      <c r="AK48" s="58">
        <v>0</v>
      </c>
      <c r="AL48" s="58">
        <v>0</v>
      </c>
      <c r="AM48" s="57">
        <v>0</v>
      </c>
      <c r="AN48" s="57">
        <v>0</v>
      </c>
      <c r="AO48" s="57">
        <v>0</v>
      </c>
      <c r="AP48" s="57">
        <v>0</v>
      </c>
      <c r="AQ48" s="57">
        <v>0</v>
      </c>
      <c r="AR48" s="58">
        <v>0</v>
      </c>
      <c r="AS48" s="58">
        <v>0</v>
      </c>
      <c r="AT48" s="57">
        <v>0</v>
      </c>
      <c r="AU48" s="57">
        <v>0</v>
      </c>
      <c r="AV48" s="57">
        <v>0</v>
      </c>
      <c r="AW48" s="57">
        <v>0</v>
      </c>
      <c r="AX48" s="57">
        <v>0</v>
      </c>
      <c r="AY48" s="58">
        <v>0</v>
      </c>
      <c r="AZ48" s="58">
        <v>0</v>
      </c>
      <c r="BA48" s="57">
        <v>0</v>
      </c>
      <c r="BB48" s="57">
        <v>0</v>
      </c>
      <c r="BC48" s="57">
        <v>0</v>
      </c>
      <c r="BD48" s="57">
        <v>0</v>
      </c>
      <c r="BE48" s="57">
        <v>0</v>
      </c>
      <c r="BF48" s="58">
        <v>0</v>
      </c>
      <c r="BG48" s="58">
        <v>0</v>
      </c>
      <c r="BH48" s="57">
        <v>1</v>
      </c>
      <c r="BI48" s="57">
        <v>1</v>
      </c>
      <c r="BJ48" s="57">
        <v>1</v>
      </c>
      <c r="BK48" s="57">
        <v>1</v>
      </c>
      <c r="BL48" s="57">
        <v>1</v>
      </c>
      <c r="BM48" s="58">
        <v>1</v>
      </c>
      <c r="BN48" s="58">
        <v>1</v>
      </c>
      <c r="BO48" s="57">
        <v>1</v>
      </c>
      <c r="BP48" s="57">
        <v>1</v>
      </c>
      <c r="BQ48" s="57">
        <v>1</v>
      </c>
      <c r="BR48" s="57">
        <v>1</v>
      </c>
      <c r="BS48" s="57">
        <v>1</v>
      </c>
      <c r="BT48" s="58">
        <v>1</v>
      </c>
      <c r="BU48" s="58">
        <v>1</v>
      </c>
      <c r="BV48" s="57">
        <v>1</v>
      </c>
      <c r="BW48" s="57">
        <v>1</v>
      </c>
      <c r="BX48" s="57">
        <v>1</v>
      </c>
      <c r="BY48" s="57">
        <v>1</v>
      </c>
      <c r="BZ48" s="57">
        <v>1</v>
      </c>
      <c r="CA48" s="58">
        <v>1</v>
      </c>
      <c r="CB48" s="58">
        <v>0</v>
      </c>
      <c r="CC48" s="57">
        <v>1</v>
      </c>
      <c r="CD48" s="57">
        <v>1</v>
      </c>
      <c r="CE48" s="57">
        <v>1</v>
      </c>
      <c r="CF48" s="57">
        <v>1</v>
      </c>
      <c r="CG48" s="57">
        <v>1</v>
      </c>
      <c r="CH48" s="58">
        <v>1</v>
      </c>
      <c r="CI48" s="58">
        <v>1</v>
      </c>
      <c r="CJ48" s="57">
        <v>1</v>
      </c>
      <c r="CK48" s="57">
        <v>1</v>
      </c>
      <c r="CL48" s="57">
        <v>1</v>
      </c>
      <c r="CM48" s="57">
        <v>1</v>
      </c>
      <c r="CN48" s="57">
        <v>1</v>
      </c>
      <c r="CO48" s="58">
        <v>1</v>
      </c>
      <c r="CP48" s="58">
        <v>0</v>
      </c>
      <c r="CQ48" s="57">
        <v>1</v>
      </c>
      <c r="CR48" s="57">
        <v>1</v>
      </c>
      <c r="CS48" s="57">
        <v>1</v>
      </c>
      <c r="CT48" s="57">
        <v>1</v>
      </c>
      <c r="CU48" s="57">
        <v>1</v>
      </c>
      <c r="CV48" s="58">
        <v>1</v>
      </c>
      <c r="CW48" s="58">
        <v>1</v>
      </c>
      <c r="CX48" s="57">
        <v>1</v>
      </c>
      <c r="CY48" s="57">
        <v>1</v>
      </c>
      <c r="CZ48" s="57">
        <v>1</v>
      </c>
      <c r="DA48" s="57">
        <v>1</v>
      </c>
      <c r="DB48" s="57">
        <v>1</v>
      </c>
      <c r="DC48" s="58">
        <v>1</v>
      </c>
      <c r="DD48" s="58">
        <v>1</v>
      </c>
      <c r="DE48" s="57">
        <v>1</v>
      </c>
      <c r="DF48" s="57">
        <v>1</v>
      </c>
      <c r="DG48" s="57">
        <v>1</v>
      </c>
      <c r="DH48" s="57">
        <v>1</v>
      </c>
      <c r="DI48" s="57">
        <v>1</v>
      </c>
      <c r="DJ48" s="58">
        <v>1</v>
      </c>
      <c r="DK48" s="58">
        <v>0</v>
      </c>
      <c r="DL48" s="57">
        <v>1</v>
      </c>
      <c r="DM48" s="57">
        <v>1</v>
      </c>
      <c r="DN48" s="57">
        <v>1</v>
      </c>
      <c r="DO48" s="57">
        <v>1</v>
      </c>
      <c r="DP48" s="57">
        <v>1</v>
      </c>
      <c r="DQ48" s="58">
        <v>1</v>
      </c>
      <c r="DR48" s="58">
        <v>1</v>
      </c>
      <c r="DS48" s="57">
        <v>1</v>
      </c>
      <c r="DT48" s="57">
        <v>0</v>
      </c>
      <c r="DU48" s="57">
        <v>0</v>
      </c>
      <c r="DV48" s="57">
        <v>0</v>
      </c>
      <c r="DW48" s="57">
        <v>0</v>
      </c>
      <c r="DX48" s="58">
        <v>0</v>
      </c>
      <c r="DY48" s="58">
        <v>0</v>
      </c>
      <c r="DZ48" s="57">
        <v>0</v>
      </c>
      <c r="EA48" s="57">
        <v>0</v>
      </c>
      <c r="EB48" s="57">
        <v>0</v>
      </c>
      <c r="EC48" s="57">
        <v>0</v>
      </c>
      <c r="ED48" s="57">
        <v>0</v>
      </c>
      <c r="EE48" s="58">
        <v>0</v>
      </c>
      <c r="EF48" s="58">
        <v>0</v>
      </c>
      <c r="EG48" s="57">
        <v>0</v>
      </c>
      <c r="EH48" s="57">
        <v>0</v>
      </c>
      <c r="EI48" s="57">
        <v>0</v>
      </c>
      <c r="EJ48" s="57">
        <v>0</v>
      </c>
      <c r="EK48" s="59">
        <v>0</v>
      </c>
      <c r="OU48" s="60" t="s">
        <v>74</v>
      </c>
    </row>
    <row r="49" ht="16" customHeight="1" spans="1:411" x14ac:dyDescent="0.25">
      <c r="A49" s="74"/>
      <c r="B49" s="46"/>
      <c r="C49" s="47"/>
      <c r="D49" s="48"/>
      <c r="E49" s="55" t="s">
        <v>61</v>
      </c>
      <c r="F49" s="49"/>
      <c r="G49" s="49"/>
      <c r="H49" s="49"/>
      <c r="I49" s="49"/>
      <c r="J49" s="50"/>
      <c r="K49" s="56">
        <v>0</v>
      </c>
      <c r="L49" s="57">
        <v>0</v>
      </c>
      <c r="M49" s="57">
        <v>0</v>
      </c>
      <c r="N49" s="57">
        <v>0</v>
      </c>
      <c r="O49" s="57">
        <v>0</v>
      </c>
      <c r="P49" s="58">
        <v>0</v>
      </c>
      <c r="Q49" s="58">
        <v>0</v>
      </c>
      <c r="R49" s="57">
        <v>0</v>
      </c>
      <c r="S49" s="57">
        <v>0</v>
      </c>
      <c r="T49" s="57">
        <v>0</v>
      </c>
      <c r="U49" s="57">
        <v>0</v>
      </c>
      <c r="V49" s="57">
        <v>0</v>
      </c>
      <c r="W49" s="58">
        <v>0</v>
      </c>
      <c r="X49" s="58">
        <v>0</v>
      </c>
      <c r="Y49" s="57">
        <v>0</v>
      </c>
      <c r="Z49" s="57">
        <v>0</v>
      </c>
      <c r="AA49" s="57">
        <v>0</v>
      </c>
      <c r="AB49" s="57">
        <v>0</v>
      </c>
      <c r="AC49" s="57">
        <v>0</v>
      </c>
      <c r="AD49" s="58">
        <v>0</v>
      </c>
      <c r="AE49" s="58">
        <v>0</v>
      </c>
      <c r="AF49" s="57">
        <v>0</v>
      </c>
      <c r="AG49" s="57">
        <v>0</v>
      </c>
      <c r="AH49" s="57">
        <v>0</v>
      </c>
      <c r="AI49" s="57">
        <v>0</v>
      </c>
      <c r="AJ49" s="57">
        <v>0</v>
      </c>
      <c r="AK49" s="58">
        <v>0</v>
      </c>
      <c r="AL49" s="58">
        <v>0</v>
      </c>
      <c r="AM49" s="57">
        <v>0</v>
      </c>
      <c r="AN49" s="57">
        <v>0</v>
      </c>
      <c r="AO49" s="57">
        <v>0</v>
      </c>
      <c r="AP49" s="57">
        <v>0</v>
      </c>
      <c r="AQ49" s="57">
        <v>0</v>
      </c>
      <c r="AR49" s="58">
        <v>0</v>
      </c>
      <c r="AS49" s="58">
        <v>0</v>
      </c>
      <c r="AT49" s="57">
        <v>0</v>
      </c>
      <c r="AU49" s="57">
        <v>0</v>
      </c>
      <c r="AV49" s="57">
        <v>0</v>
      </c>
      <c r="AW49" s="57">
        <v>0</v>
      </c>
      <c r="AX49" s="57">
        <v>0</v>
      </c>
      <c r="AY49" s="58">
        <v>0</v>
      </c>
      <c r="AZ49" s="58">
        <v>0</v>
      </c>
      <c r="BA49" s="57">
        <v>0</v>
      </c>
      <c r="BB49" s="57">
        <v>0</v>
      </c>
      <c r="BC49" s="57">
        <v>0</v>
      </c>
      <c r="BD49" s="57">
        <v>0</v>
      </c>
      <c r="BE49" s="57">
        <v>0</v>
      </c>
      <c r="BF49" s="58">
        <v>0</v>
      </c>
      <c r="BG49" s="58">
        <v>0</v>
      </c>
      <c r="BH49" s="57">
        <v>13</v>
      </c>
      <c r="BI49" s="57">
        <v>13</v>
      </c>
      <c r="BJ49" s="57">
        <v>13</v>
      </c>
      <c r="BK49" s="57">
        <v>13</v>
      </c>
      <c r="BL49" s="57">
        <v>13</v>
      </c>
      <c r="BM49" s="58">
        <v>13</v>
      </c>
      <c r="BN49" s="58">
        <v>13</v>
      </c>
      <c r="BO49" s="57">
        <v>13</v>
      </c>
      <c r="BP49" s="57">
        <v>13</v>
      </c>
      <c r="BQ49" s="57">
        <v>13</v>
      </c>
      <c r="BR49" s="57">
        <v>13</v>
      </c>
      <c r="BS49" s="57">
        <v>13</v>
      </c>
      <c r="BT49" s="58">
        <v>13</v>
      </c>
      <c r="BU49" s="58">
        <v>13</v>
      </c>
      <c r="BV49" s="57">
        <v>13</v>
      </c>
      <c r="BW49" s="57">
        <v>13</v>
      </c>
      <c r="BX49" s="57">
        <v>13</v>
      </c>
      <c r="BY49" s="57">
        <v>13</v>
      </c>
      <c r="BZ49" s="57">
        <v>13</v>
      </c>
      <c r="CA49" s="58">
        <v>13</v>
      </c>
      <c r="CB49" s="58">
        <v>0</v>
      </c>
      <c r="CC49" s="57">
        <v>13</v>
      </c>
      <c r="CD49" s="57">
        <v>13</v>
      </c>
      <c r="CE49" s="57">
        <v>13</v>
      </c>
      <c r="CF49" s="57">
        <v>13</v>
      </c>
      <c r="CG49" s="57">
        <v>13</v>
      </c>
      <c r="CH49" s="58">
        <v>13</v>
      </c>
      <c r="CI49" s="58">
        <v>13</v>
      </c>
      <c r="CJ49" s="57">
        <v>13</v>
      </c>
      <c r="CK49" s="57">
        <v>13</v>
      </c>
      <c r="CL49" s="57">
        <v>13</v>
      </c>
      <c r="CM49" s="57">
        <v>13</v>
      </c>
      <c r="CN49" s="57">
        <v>13</v>
      </c>
      <c r="CO49" s="58">
        <v>13</v>
      </c>
      <c r="CP49" s="58">
        <v>0</v>
      </c>
      <c r="CQ49" s="57">
        <v>13</v>
      </c>
      <c r="CR49" s="57">
        <v>13</v>
      </c>
      <c r="CS49" s="57">
        <v>13</v>
      </c>
      <c r="CT49" s="57">
        <v>13</v>
      </c>
      <c r="CU49" s="57">
        <v>13</v>
      </c>
      <c r="CV49" s="58">
        <v>13</v>
      </c>
      <c r="CW49" s="58">
        <v>13</v>
      </c>
      <c r="CX49" s="57">
        <v>13</v>
      </c>
      <c r="CY49" s="57">
        <v>13</v>
      </c>
      <c r="CZ49" s="57">
        <v>13</v>
      </c>
      <c r="DA49" s="57">
        <v>13</v>
      </c>
      <c r="DB49" s="57">
        <v>13</v>
      </c>
      <c r="DC49" s="58">
        <v>13</v>
      </c>
      <c r="DD49" s="58">
        <v>13</v>
      </c>
      <c r="DE49" s="57">
        <v>13</v>
      </c>
      <c r="DF49" s="57">
        <v>13</v>
      </c>
      <c r="DG49" s="57">
        <v>13</v>
      </c>
      <c r="DH49" s="57">
        <v>13</v>
      </c>
      <c r="DI49" s="57">
        <v>13</v>
      </c>
      <c r="DJ49" s="58">
        <v>13</v>
      </c>
      <c r="DK49" s="58">
        <v>0</v>
      </c>
      <c r="DL49" s="57">
        <v>13</v>
      </c>
      <c r="DM49" s="57">
        <v>13</v>
      </c>
      <c r="DN49" s="57">
        <v>13</v>
      </c>
      <c r="DO49" s="57">
        <v>13</v>
      </c>
      <c r="DP49" s="57">
        <v>13</v>
      </c>
      <c r="DQ49" s="58">
        <v>13</v>
      </c>
      <c r="DR49" s="58">
        <v>13</v>
      </c>
      <c r="DS49" s="57">
        <v>13</v>
      </c>
      <c r="DT49" s="57">
        <v>0</v>
      </c>
      <c r="DU49" s="57">
        <v>0</v>
      </c>
      <c r="DV49" s="57">
        <v>0</v>
      </c>
      <c r="DW49" s="57">
        <v>0</v>
      </c>
      <c r="DX49" s="58">
        <v>0</v>
      </c>
      <c r="DY49" s="58">
        <v>0</v>
      </c>
      <c r="DZ49" s="57">
        <v>0</v>
      </c>
      <c r="EA49" s="57">
        <v>0</v>
      </c>
      <c r="EB49" s="57">
        <v>0</v>
      </c>
      <c r="EC49" s="57">
        <v>0</v>
      </c>
      <c r="ED49" s="57">
        <v>0</v>
      </c>
      <c r="EE49" s="58">
        <v>0</v>
      </c>
      <c r="EF49" s="58">
        <v>0</v>
      </c>
      <c r="EG49" s="57">
        <v>0</v>
      </c>
      <c r="EH49" s="57">
        <v>0</v>
      </c>
      <c r="EI49" s="57">
        <v>0</v>
      </c>
      <c r="EJ49" s="57">
        <v>0</v>
      </c>
      <c r="EK49" s="59">
        <v>0</v>
      </c>
      <c r="OU49" s="60" t="s">
        <v>74</v>
      </c>
    </row>
    <row r="50" ht="16" customHeight="1" spans="1:411" x14ac:dyDescent="0.25">
      <c r="A50" s="74"/>
      <c r="B50" s="46"/>
      <c r="C50" s="61">
        <f>F47*N(D50)</f>
        <v>35497.799999999996</v>
      </c>
      <c r="D50" s="61">
        <f>IF(TRIM(B47)="","No rate",IFERROR(INDEX('Rate Tables'!C$7:C$158,MATCH(B47,'Rate Tables'!A$7:A$158,0)),"No rate"))</f>
        <v>91.02</v>
      </c>
      <c r="E50" s="55" t="s">
        <v>62</v>
      </c>
      <c r="F50" s="49"/>
      <c r="G50" s="49"/>
      <c r="H50" s="49"/>
      <c r="I50" s="49"/>
      <c r="J50" s="50"/>
      <c r="K50" s="62">
        <f>IF(AND(K48=0,K49=0),0,MIN(IF(K48&lt;=0,0,IF(WEEKDAY(K$6,1)=1,0,MIN(10,K49)*K48)),MAX(0,40*MAX(1,K48)-(0))))</f>
        <v>0</v>
      </c>
      <c r="L50" s="63">
        <f>IF(AND(L48=0,L49=0),0,MIN(IF(L48&lt;=0,0,IF(WEEKDAY(L$6,1)=1,0,MIN(10,L49)*L48)),MAX(0,40*MAX(1,L48)-(K50))))</f>
        <v>0</v>
      </c>
      <c r="M50" s="63">
        <f>IF(AND(M48=0,M49=0),0,MIN(IF(M48&lt;=0,0,IF(WEEKDAY(M$6,1)=1,0,MIN(10,M49)*M48)),MAX(0,40*MAX(1,M48)-(K50+L50))))</f>
        <v>0</v>
      </c>
      <c r="N50" s="63">
        <f>IF(AND(N48=0,N49=0),0,MIN(IF(N48&lt;=0,0,IF(WEEKDAY(N$6,1)=1,0,MIN(10,N49)*N48)),MAX(0,40*MAX(1,N48)-(K50+L50+M50))))</f>
        <v>0</v>
      </c>
      <c r="O50" s="63">
        <f>IF(AND(O48=0,O49=0),0,MIN(IF(O48&lt;=0,0,IF(WEEKDAY(O$6,1)=1,0,MIN(10,O49)*O48)),MAX(0,40*MAX(1,O48)-(K50+L50+M50+N50))))</f>
        <v>0</v>
      </c>
      <c r="P50" s="64">
        <f>IF(AND(P48=0,P49=0),0,MIN(IF(P48&lt;=0,0,IF(WEEKDAY(P$6,1)=1,0,MIN(10,P49)*P48)),MAX(0,40*MAX(1,P48)-(K50+L50+M50+N50+O50))))</f>
        <v>0</v>
      </c>
      <c r="Q50" s="64">
        <f>IF(AND(Q48=0,Q49=0),0,MIN(IF(Q48&lt;=0,0,IF(WEEKDAY(Q$6,1)=1,0,MIN(10,Q49)*Q48)),MAX(0,40*MAX(1,Q48)-(K50+L50+M50+N50+O50+P50))))</f>
        <v>0</v>
      </c>
      <c r="R50" s="63">
        <f>IF(AND(R48=0,R49=0),0,MIN(IF(R48&lt;=0,0,IF(WEEKDAY(R$6,1)=1,0,MIN(10,R49)*R48)),MAX(0,40*MAX(1,R48)-(0))))</f>
        <v>0</v>
      </c>
      <c r="S50" s="63">
        <f>IF(AND(S48=0,S49=0),0,MIN(IF(S48&lt;=0,0,IF(WEEKDAY(S$6,1)=1,0,MIN(10,S49)*S48)),MAX(0,40*MAX(1,S48)-(R50))))</f>
        <v>0</v>
      </c>
      <c r="T50" s="63">
        <f>IF(AND(T48=0,T49=0),0,MIN(IF(T48&lt;=0,0,IF(WEEKDAY(T$6,1)=1,0,MIN(10,T49)*T48)),MAX(0,40*MAX(1,T48)-(R50+S50))))</f>
        <v>0</v>
      </c>
      <c r="U50" s="63">
        <f>IF(AND(U48=0,U49=0),0,MIN(IF(U48&lt;=0,0,IF(WEEKDAY(U$6,1)=1,0,MIN(10,U49)*U48)),MAX(0,40*MAX(1,U48)-(R50+S50+T50))))</f>
        <v>0</v>
      </c>
      <c r="V50" s="63">
        <f>IF(AND(V48=0,V49=0),0,MIN(IF(V48&lt;=0,0,IF(WEEKDAY(V$6,1)=1,0,MIN(10,V49)*V48)),MAX(0,40*MAX(1,V48)-(R50+S50+T50+U50))))</f>
        <v>0</v>
      </c>
      <c r="W50" s="64">
        <f>IF(AND(W48=0,W49=0),0,MIN(IF(W48&lt;=0,0,IF(WEEKDAY(W$6,1)=1,0,MIN(10,W49)*W48)),MAX(0,40*MAX(1,W48)-(R50+S50+T50+U50+V50))))</f>
        <v>0</v>
      </c>
      <c r="X50" s="64">
        <f>IF(AND(X48=0,X49=0),0,MIN(IF(X48&lt;=0,0,IF(WEEKDAY(X$6,1)=1,0,MIN(10,X49)*X48)),MAX(0,40*MAX(1,X48)-(R50+S50+T50+U50+V50+W50))))</f>
        <v>0</v>
      </c>
      <c r="Y50" s="63">
        <f>IF(AND(Y48=0,Y49=0),0,MIN(IF(Y48&lt;=0,0,IF(WEEKDAY(Y$6,1)=1,0,MIN(10,Y49)*Y48)),MAX(0,40*MAX(1,Y48)-(0))))</f>
        <v>0</v>
      </c>
      <c r="Z50" s="63">
        <f>IF(AND(Z48=0,Z49=0),0,MIN(IF(Z48&lt;=0,0,IF(WEEKDAY(Z$6,1)=1,0,MIN(10,Z49)*Z48)),MAX(0,40*MAX(1,Z48)-(Y50))))</f>
        <v>0</v>
      </c>
      <c r="AA50" s="63">
        <f>IF(AND(AA48=0,AA49=0),0,MIN(IF(AA48&lt;=0,0,IF(WEEKDAY(AA$6,1)=1,0,MIN(10,AA49)*AA48)),MAX(0,40*MAX(1,AA48)-(Y50+Z50))))</f>
        <v>0</v>
      </c>
      <c r="AB50" s="63">
        <f>IF(AND(AB48=0,AB49=0),0,MIN(IF(AB48&lt;=0,0,IF(WEEKDAY(AB$6,1)=1,0,MIN(10,AB49)*AB48)),MAX(0,40*MAX(1,AB48)-(Y50+Z50+AA50))))</f>
        <v>0</v>
      </c>
      <c r="AC50" s="63">
        <f>IF(AND(AC48=0,AC49=0),0,MIN(IF(AC48&lt;=0,0,IF(WEEKDAY(AC$6,1)=1,0,MIN(10,AC49)*AC48)),MAX(0,40*MAX(1,AC48)-(Y50+Z50+AA50+AB50))))</f>
        <v>0</v>
      </c>
      <c r="AD50" s="64">
        <f>IF(AND(AD48=0,AD49=0),0,MIN(IF(AD48&lt;=0,0,IF(WEEKDAY(AD$6,1)=1,0,MIN(10,AD49)*AD48)),MAX(0,40*MAX(1,AD48)-(Y50+Z50+AA50+AB50+AC50))))</f>
        <v>0</v>
      </c>
      <c r="AE50" s="64">
        <f>IF(AND(AE48=0,AE49=0),0,MIN(IF(AE48&lt;=0,0,IF(WEEKDAY(AE$6,1)=1,0,MIN(10,AE49)*AE48)),MAX(0,40*MAX(1,AE48)-(Y50+Z50+AA50+AB50+AC50+AD50))))</f>
        <v>0</v>
      </c>
      <c r="AF50" s="63">
        <f>IF(AND(AF48=0,AF49=0),0,MIN(IF(AF48&lt;=0,0,IF(WEEKDAY(AF$6,1)=1,0,MIN(10,AF49)*AF48)),MAX(0,40*MAX(1,AF48)-(0))))</f>
        <v>0</v>
      </c>
      <c r="AG50" s="63">
        <f>IF(AND(AG48=0,AG49=0),0,MIN(IF(AG48&lt;=0,0,IF(WEEKDAY(AG$6,1)=1,0,MIN(10,AG49)*AG48)),MAX(0,40*MAX(1,AG48)-(AF50))))</f>
        <v>0</v>
      </c>
      <c r="AH50" s="63">
        <f>IF(AND(AH48=0,AH49=0),0,MIN(IF(AH48&lt;=0,0,IF(WEEKDAY(AH$6,1)=1,0,MIN(10,AH49)*AH48)),MAX(0,40*MAX(1,AH48)-(AF50+AG50))))</f>
        <v>0</v>
      </c>
      <c r="AI50" s="63">
        <f>IF(AND(AI48=0,AI49=0),0,MIN(IF(AI48&lt;=0,0,IF(WEEKDAY(AI$6,1)=1,0,MIN(10,AI49)*AI48)),MAX(0,40*MAX(1,AI48)-(AF50+AG50+AH50))))</f>
        <v>0</v>
      </c>
      <c r="AJ50" s="63">
        <f>IF(AND(AJ48=0,AJ49=0),0,MIN(IF(AJ48&lt;=0,0,IF(WEEKDAY(AJ$6,1)=1,0,MIN(10,AJ49)*AJ48)),MAX(0,40*MAX(1,AJ48)-(AF50+AG50+AH50+AI50))))</f>
        <v>0</v>
      </c>
      <c r="AK50" s="64">
        <f>IF(AND(AK48=0,AK49=0),0,MIN(IF(AK48&lt;=0,0,IF(WEEKDAY(AK$6,1)=1,0,MIN(10,AK49)*AK48)),MAX(0,40*MAX(1,AK48)-(AF50+AG50+AH50+AI50+AJ50))))</f>
        <v>0</v>
      </c>
      <c r="AL50" s="64">
        <f>IF(AND(AL48=0,AL49=0),0,MIN(IF(AL48&lt;=0,0,IF(WEEKDAY(AL$6,1)=1,0,MIN(10,AL49)*AL48)),MAX(0,40*MAX(1,AL48)-(AF50+AG50+AH50+AI50+AJ50+AK50))))</f>
        <v>0</v>
      </c>
      <c r="AM50" s="63">
        <f>IF(AND(AM48=0,AM49=0),0,MIN(IF(AM48&lt;=0,0,IF(WEEKDAY(AM$6,1)=1,0,MIN(10,AM49)*AM48)),MAX(0,40*MAX(1,AM48)-(0))))</f>
        <v>0</v>
      </c>
      <c r="AN50" s="63">
        <f>IF(AND(AN48=0,AN49=0),0,MIN(IF(AN48&lt;=0,0,IF(WEEKDAY(AN$6,1)=1,0,MIN(10,AN49)*AN48)),MAX(0,40*MAX(1,AN48)-(AM50))))</f>
        <v>0</v>
      </c>
      <c r="AO50" s="63">
        <f>IF(AND(AO48=0,AO49=0),0,MIN(IF(AO48&lt;=0,0,IF(WEEKDAY(AO$6,1)=1,0,MIN(10,AO49)*AO48)),MAX(0,40*MAX(1,AO48)-(AM50+AN50))))</f>
        <v>0</v>
      </c>
      <c r="AP50" s="63">
        <f>IF(AND(AP48=0,AP49=0),0,MIN(IF(AP48&lt;=0,0,IF(WEEKDAY(AP$6,1)=1,0,MIN(10,AP49)*AP48)),MAX(0,40*MAX(1,AP48)-(AM50+AN50+AO50))))</f>
        <v>0</v>
      </c>
      <c r="AQ50" s="63">
        <f>IF(AND(AQ48=0,AQ49=0),0,MIN(IF(AQ48&lt;=0,0,IF(WEEKDAY(AQ$6,1)=1,0,MIN(10,AQ49)*AQ48)),MAX(0,40*MAX(1,AQ48)-(AM50+AN50+AO50+AP50))))</f>
        <v>0</v>
      </c>
      <c r="AR50" s="64">
        <f>IF(AND(AR48=0,AR49=0),0,MIN(IF(AR48&lt;=0,0,IF(WEEKDAY(AR$6,1)=1,0,MIN(10,AR49)*AR48)),MAX(0,40*MAX(1,AR48)-(AM50+AN50+AO50+AP50+AQ50))))</f>
        <v>0</v>
      </c>
      <c r="AS50" s="64">
        <f>IF(AND(AS48=0,AS49=0),0,MIN(IF(AS48&lt;=0,0,IF(WEEKDAY(AS$6,1)=1,0,MIN(10,AS49)*AS48)),MAX(0,40*MAX(1,AS48)-(AM50+AN50+AO50+AP50+AQ50+AR50))))</f>
        <v>0</v>
      </c>
      <c r="AT50" s="63">
        <f>IF(AND(AT48=0,AT49=0),0,MIN(IF(AT48&lt;=0,0,IF(WEEKDAY(AT$6,1)=1,0,MIN(10,AT49)*AT48)),MAX(0,40*MAX(1,AT48)-(0))))</f>
        <v>0</v>
      </c>
      <c r="AU50" s="63">
        <f>IF(AND(AU48=0,AU49=0),0,MIN(IF(AU48&lt;=0,0,IF(WEEKDAY(AU$6,1)=1,0,MIN(10,AU49)*AU48)),MAX(0,40*MAX(1,AU48)-(AT50))))</f>
        <v>0</v>
      </c>
      <c r="AV50" s="63">
        <f>IF(AND(AV48=0,AV49=0),0,MIN(IF(AV48&lt;=0,0,IF(WEEKDAY(AV$6,1)=1,0,MIN(10,AV49)*AV48)),MAX(0,40*MAX(1,AV48)-(AT50+AU50))))</f>
        <v>0</v>
      </c>
      <c r="AW50" s="63">
        <f>IF(AND(AW48=0,AW49=0),0,MIN(IF(AW48&lt;=0,0,IF(WEEKDAY(AW$6,1)=1,0,MIN(10,AW49)*AW48)),MAX(0,40*MAX(1,AW48)-(AT50+AU50+AV50))))</f>
        <v>0</v>
      </c>
      <c r="AX50" s="63">
        <f>IF(AND(AX48=0,AX49=0),0,MIN(IF(AX48&lt;=0,0,IF(WEEKDAY(AX$6,1)=1,0,MIN(10,AX49)*AX48)),MAX(0,40*MAX(1,AX48)-(AT50+AU50+AV50+AW50))))</f>
        <v>0</v>
      </c>
      <c r="AY50" s="64">
        <f>IF(AND(AY48=0,AY49=0),0,MIN(IF(AY48&lt;=0,0,IF(WEEKDAY(AY$6,1)=1,0,MIN(10,AY49)*AY48)),MAX(0,40*MAX(1,AY48)-(AT50+AU50+AV50+AW50+AX50))))</f>
        <v>0</v>
      </c>
      <c r="AZ50" s="64">
        <f>IF(AND(AZ48=0,AZ49=0),0,MIN(IF(AZ48&lt;=0,0,IF(WEEKDAY(AZ$6,1)=1,0,MIN(10,AZ49)*AZ48)),MAX(0,40*MAX(1,AZ48)-(AT50+AU50+AV50+AW50+AX50+AY50))))</f>
        <v>0</v>
      </c>
      <c r="BA50" s="63">
        <f>IF(AND(BA48=0,BA49=0),0,MIN(IF(BA48&lt;=0,0,IF(WEEKDAY(BA$6,1)=1,0,MIN(10,BA49)*BA48)),MAX(0,40*MAX(1,BA48)-(0))))</f>
        <v>0</v>
      </c>
      <c r="BB50" s="63">
        <f>IF(AND(BB48=0,BB49=0),0,MIN(IF(BB48&lt;=0,0,IF(WEEKDAY(BB$6,1)=1,0,MIN(10,BB49)*BB48)),MAX(0,40*MAX(1,BB48)-(BA50))))</f>
        <v>0</v>
      </c>
      <c r="BC50" s="63">
        <f>IF(AND(BC48=0,BC49=0),0,MIN(IF(BC48&lt;=0,0,IF(WEEKDAY(BC$6,1)=1,0,MIN(10,BC49)*BC48)),MAX(0,40*MAX(1,BC48)-(BA50+BB50))))</f>
        <v>0</v>
      </c>
      <c r="BD50" s="63">
        <f>IF(AND(BD48=0,BD49=0),0,MIN(IF(BD48&lt;=0,0,IF(WEEKDAY(BD$6,1)=1,0,MIN(10,BD49)*BD48)),MAX(0,40*MAX(1,BD48)-(BA50+BB50+BC50))))</f>
        <v>0</v>
      </c>
      <c r="BE50" s="63">
        <f>IF(AND(BE48=0,BE49=0),0,MIN(IF(BE48&lt;=0,0,IF(WEEKDAY(BE$6,1)=1,0,MIN(10,BE49)*BE48)),MAX(0,40*MAX(1,BE48)-(BA50+BB50+BC50+BD50))))</f>
        <v>0</v>
      </c>
      <c r="BF50" s="64">
        <f>IF(AND(BF48=0,BF49=0),0,MIN(IF(BF48&lt;=0,0,IF(WEEKDAY(BF$6,1)=1,0,MIN(10,BF49)*BF48)),MAX(0,40*MAX(1,BF48)-(BA50+BB50+BC50+BD50+BE50))))</f>
        <v>0</v>
      </c>
      <c r="BG50" s="64">
        <f>IF(AND(BG48=0,BG49=0),0,MIN(IF(BG48&lt;=0,0,IF(WEEKDAY(BG$6,1)=1,0,MIN(10,BG49)*BG48)),MAX(0,40*MAX(1,BG48)-(BA50+BB50+BC50+BD50+BE50+BF50))))</f>
        <v>0</v>
      </c>
      <c r="BH50" s="63">
        <f>IF(AND(BH48=1,BH49=13),10,MIN(IF(BH48&lt;=0,0,IF(WEEKDAY(BH$6,1)=1,0,MIN(10,BH49)*BH48)),MAX(0,40*MAX(1,BH48)-(0))))</f>
        <v>10</v>
      </c>
      <c r="BI50" s="63">
        <f>IF(AND(BI48=1,BI49=13),10,MIN(IF(BI48&lt;=0,0,IF(WEEKDAY(BI$6,1)=1,0,MIN(10,BI49)*BI48)),MAX(0,40*MAX(1,BI48)-(BH50))))</f>
        <v>10</v>
      </c>
      <c r="BJ50" s="63">
        <f>IF(AND(BJ48=1,BJ49=13),10,MIN(IF(BJ48&lt;=0,0,IF(WEEKDAY(BJ$6,1)=1,0,MIN(10,BJ49)*BJ48)),MAX(0,40*MAX(1,BJ48)-(BH50+BI50))))</f>
        <v>10</v>
      </c>
      <c r="BK50" s="63">
        <f>IF(AND(BK48=1,BK49=13),10,MIN(IF(BK48&lt;=0,0,IF(WEEKDAY(BK$6,1)=1,0,MIN(10,BK49)*BK48)),MAX(0,40*MAX(1,BK48)-(BH50+BI50+BJ50))))</f>
        <v>10</v>
      </c>
      <c r="BL50" s="63">
        <f>IF(AND(BL48=1,BL49=13),0,MIN(IF(BL48&lt;=0,0,IF(WEEKDAY(BL$6,1)=1,0,MIN(10,BL49)*BL48)),MAX(0,40*MAX(1,BL48)-(BH50+BI50+BJ50+BK50))))</f>
        <v>0</v>
      </c>
      <c r="BM50" s="64">
        <f>IF(AND(BM48=1,BM49=13),0,MIN(IF(BM48&lt;=0,0,IF(WEEKDAY(BM$6,1)=1,0,MIN(10,BM49)*BM48)),MAX(0,40*MAX(1,BM48)-(BH50+BI50+BJ50+BK50+BL50))))</f>
        <v>0</v>
      </c>
      <c r="BN50" s="64">
        <f>IF(AND(BN48=1,BN49=13),0,MIN(IF(BN48&lt;=0,0,IF(WEEKDAY(BN$6,1)=1,0,MIN(10,BN49)*BN48)),MAX(0,40*MAX(1,BN48)-(BH50+BI50+BJ50+BK50+BL50+BM50))))</f>
        <v>0</v>
      </c>
      <c r="BO50" s="63">
        <f>IF(AND(BO48=1,BO49=13),10,MIN(IF(BO48&lt;=0,0,IF(WEEKDAY(BO$6,1)=1,0,MIN(10,BO49)*BO48)),MAX(0,40*MAX(1,BO48)-(0))))</f>
        <v>10</v>
      </c>
      <c r="BP50" s="63">
        <f>IF(AND(BP48=1,BP49=13),10,MIN(IF(BP48&lt;=0,0,IF(WEEKDAY(BP$6,1)=1,0,MIN(10,BP49)*BP48)),MAX(0,40*MAX(1,BP48)-(BO50))))</f>
        <v>10</v>
      </c>
      <c r="BQ50" s="63">
        <f>IF(AND(BQ48=1,BQ49=13),10,MIN(IF(BQ48&lt;=0,0,IF(WEEKDAY(BQ$6,1)=1,0,MIN(10,BQ49)*BQ48)),MAX(0,40*MAX(1,BQ48)-(BO50+BP50))))</f>
        <v>10</v>
      </c>
      <c r="BR50" s="63">
        <f>IF(AND(BR48=1,BR49=13),10,MIN(IF(BR48&lt;=0,0,IF(WEEKDAY(BR$6,1)=1,0,MIN(10,BR49)*BR48)),MAX(0,40*MAX(1,BR48)-(0))))</f>
        <v>10</v>
      </c>
      <c r="BS50" s="63">
        <f>IF(AND(BS48=1,BS49=13),10,MIN(IF(BS48&lt;=0,0,IF(WEEKDAY(BS$6,1)=1,0,MIN(10,BS49)*BS48)),MAX(0,40*MAX(1,BS48)-(BR50))))</f>
        <v>10</v>
      </c>
      <c r="BT50" s="64">
        <f>IF(AND(BT48=1,BT49=13),10,MIN(IF(BT48&lt;=0,0,IF(WEEKDAY(BT$6,1)=1,0,MIN(10,BT49)*BT48)),MAX(0,40*MAX(1,BT48)-(BR50+BS50))))</f>
        <v>10</v>
      </c>
      <c r="BU50" s="64">
        <f>IF(AND(BU48=1,BU49=13),0,MIN(IF(BU48&lt;=0,0,IF(WEEKDAY(BU$6,1)=1,0,MIN(10,BU49)*BU48)),MAX(0,40*MAX(1,BU48)-(BR50+BS50+BT50))))</f>
        <v>0</v>
      </c>
      <c r="BV50" s="63">
        <f>IF(AND(BV48=1,BV49=13),10,MIN(IF(BV48&lt;=0,0,IF(WEEKDAY(BV$6,1)=1,0,MIN(10,BV49)*BV48)),MAX(0,40*MAX(1,BV48)-(0))))</f>
        <v>10</v>
      </c>
      <c r="BW50" s="63">
        <f>IF(AND(BW48=1,BW49=13),10,MIN(IF(BW48&lt;=0,0,IF(WEEKDAY(BW$6,1)=1,0,MIN(10,BW49)*BW48)),MAX(0,40*MAX(1,BW48)-(BV50))))</f>
        <v>10</v>
      </c>
      <c r="BX50" s="63">
        <f>IF(AND(BX48=1,BX49=13),10,MIN(IF(BX48&lt;=0,0,IF(WEEKDAY(BX$6,1)=1,0,MIN(10,BX49)*BX48)),MAX(0,40*MAX(1,BX48)-(BV50+BW50))))</f>
        <v>10</v>
      </c>
      <c r="BY50" s="63">
        <f>IF(AND(BY48=1,BY49=13),10,MIN(IF(BY48&lt;=0,0,IF(WEEKDAY(BY$6,1)=1,0,MIN(10,BY49)*BY48)),MAX(0,40*MAX(1,BY48)-(BV50+BW50+BX50))))</f>
        <v>10</v>
      </c>
      <c r="BZ50" s="63">
        <f>IF(AND(BZ48=1,BZ49=13),0,MIN(IF(BZ48&lt;=0,0,IF(WEEKDAY(BZ$6,1)=1,0,MIN(10,BZ49)*BZ48)),MAX(0,40*MAX(1,BZ48)-(BV50+BW50+BX50+BY50))))</f>
        <v>0</v>
      </c>
      <c r="CA50" s="64">
        <f>IF(AND(CA48=1,CA49=13),0,MIN(IF(CA48&lt;=0,0,IF(WEEKDAY(CA$6,1)=1,0,MIN(10,CA49)*CA48)),MAX(0,40*MAX(1,CA48)-(BV50+BW50+BX50+BY50+BZ50))))</f>
        <v>0</v>
      </c>
      <c r="CB50" s="64">
        <f>IF(AND(CB48=0,CB49=0),0,MIN(IF(CB48&lt;=0,0,IF(WEEKDAY(CB$6,1)=1,0,MIN(10,CB49)*CB48)),MAX(0,40*MAX(1,CB48)-(0))))</f>
        <v>0</v>
      </c>
      <c r="CC50" s="63">
        <f>IF(AND(CC48=1,CC49=13),10,MIN(IF(CC48&lt;=0,0,IF(WEEKDAY(CC$6,1)=1,0,MIN(10,CC49)*CC48)),MAX(0,40*MAX(1,CC48)-(0))))</f>
        <v>10</v>
      </c>
      <c r="CD50" s="63">
        <f>IF(AND(CD48=1,CD49=13),10,MIN(IF(CD48&lt;=0,0,IF(WEEKDAY(CD$6,1)=1,0,MIN(10,CD49)*CD48)),MAX(0,40*MAX(1,CD48)-(CC50))))</f>
        <v>10</v>
      </c>
      <c r="CE50" s="63">
        <f>IF(AND(CE48=1,CE49=13),10,MIN(IF(CE48&lt;=0,0,IF(WEEKDAY(CE$6,1)=1,0,MIN(10,CE49)*CE48)),MAX(0,40*MAX(1,CE48)-(CC50+CD50))))</f>
        <v>10</v>
      </c>
      <c r="CF50" s="63">
        <f>IF(AND(CF48=1,CF49=13),10,MIN(IF(CF48&lt;=0,0,IF(WEEKDAY(CF$6,1)=1,0,MIN(10,CF49)*CF48)),MAX(0,40*MAX(1,CF48)-(CC50+CD50+CE50))))</f>
        <v>10</v>
      </c>
      <c r="CG50" s="63">
        <f>IF(AND(CG48=1,CG49=13),0,MIN(IF(CG48&lt;=0,0,IF(WEEKDAY(CG$6,1)=1,0,MIN(10,CG49)*CG48)),MAX(0,40*MAX(1,CG48)-(CC50+CD50+CE50+CF50))))</f>
        <v>0</v>
      </c>
      <c r="CH50" s="64">
        <f>IF(AND(CH48=1,CH49=13),0,MIN(IF(CH48&lt;=0,0,IF(WEEKDAY(CH$6,1)=1,0,MIN(10,CH49)*CH48)),MAX(0,40*MAX(1,CH48)-(CC50+CD50+CE50+CF50+CG50))))</f>
        <v>0</v>
      </c>
      <c r="CI50" s="64">
        <f>IF(AND(CI48=1,CI49=13),0,MIN(IF(CI48&lt;=0,0,IF(WEEKDAY(CI$6,1)=1,0,MIN(10,CI49)*CI48)),MAX(0,40*MAX(1,CI48)-(CC50+CD50+CE50+CF50+CG50+CH50))))</f>
        <v>0</v>
      </c>
      <c r="CJ50" s="63">
        <f>IF(AND(CJ48=1,CJ49=13),10,MIN(IF(CJ48&lt;=0,0,IF(WEEKDAY(CJ$6,1)=1,0,MIN(10,CJ49)*CJ48)),MAX(0,40*MAX(1,CJ48)-(0))))</f>
        <v>10</v>
      </c>
      <c r="CK50" s="63">
        <f>IF(AND(CK48=1,CK49=13),10,MIN(IF(CK48&lt;=0,0,IF(WEEKDAY(CK$6,1)=1,0,MIN(10,CK49)*CK48)),MAX(0,40*MAX(1,CK48)-(CJ50))))</f>
        <v>10</v>
      </c>
      <c r="CL50" s="63">
        <f>IF(AND(CL48=1,CL49=13),10,MIN(IF(CL48&lt;=0,0,IF(WEEKDAY(CL$6,1)=1,0,MIN(10,CL49)*CL48)),MAX(0,40*MAX(1,CL48)-(CJ50+CK50))))</f>
        <v>10</v>
      </c>
      <c r="CM50" s="63">
        <f>IF(AND(CM48=1,CM49=13),10,MIN(IF(CM48&lt;=0,0,IF(WEEKDAY(CM$6,1)=1,0,MIN(10,CM49)*CM48)),MAX(0,40*MAX(1,CM48)-(CJ50+CK50+CL50))))</f>
        <v>10</v>
      </c>
      <c r="CN50" s="63">
        <f>IF(AND(CN48=1,CN49=13),0,MIN(IF(CN48&lt;=0,0,IF(WEEKDAY(CN$6,1)=1,0,MIN(10,CN49)*CN48)),MAX(0,40*MAX(1,CN48)-(CJ50+CK50+CL50+CM50))))</f>
        <v>0</v>
      </c>
      <c r="CO50" s="64">
        <f>IF(AND(CO48=1,CO49=13),0,MIN(IF(CO48&lt;=0,0,IF(WEEKDAY(CO$6,1)=1,0,MIN(10,CO49)*CO48)),MAX(0,40*MAX(1,CO48)-(CJ50+CK50+CL50+CM50+CN50))))</f>
        <v>0</v>
      </c>
      <c r="CP50" s="64">
        <f>IF(AND(CP48=0,CP49=0),0,MIN(IF(CP48&lt;=0,0,IF(WEEKDAY(CP$6,1)=1,0,MIN(10,CP49)*CP48)),MAX(0,40*MAX(1,CP48)-(0))))</f>
        <v>0</v>
      </c>
      <c r="CQ50" s="63">
        <f>IF(AND(CQ48=1,CQ49=13),10,MIN(IF(CQ48&lt;=0,0,IF(WEEKDAY(CQ$6,1)=1,0,MIN(10,CQ49)*CQ48)),MAX(0,40*MAX(1,CQ48)-(0))))</f>
        <v>10</v>
      </c>
      <c r="CR50" s="63">
        <f>IF(AND(CR48=1,CR49=13),10,MIN(IF(CR48&lt;=0,0,IF(WEEKDAY(CR$6,1)=1,0,MIN(10,CR49)*CR48)),MAX(0,40*MAX(1,CR48)-(CQ50))))</f>
        <v>10</v>
      </c>
      <c r="CS50" s="63">
        <f>IF(AND(CS48=1,CS49=13),10,MIN(IF(CS48&lt;=0,0,IF(WEEKDAY(CS$6,1)=1,0,MIN(10,CS49)*CS48)),MAX(0,40*MAX(1,CS48)-(CQ50+CR50))))</f>
        <v>10</v>
      </c>
      <c r="CT50" s="63">
        <f>IF(AND(CT48=1,CT49=13),10,MIN(IF(CT48&lt;=0,0,IF(WEEKDAY(CT$6,1)=1,0,MIN(10,CT49)*CT48)),MAX(0,40*MAX(1,CT48)-(CQ50+CR50+CS50))))</f>
        <v>10</v>
      </c>
      <c r="CU50" s="63">
        <f>IF(AND(CU48=1,CU49=13),0,MIN(IF(CU48&lt;=0,0,IF(WEEKDAY(CU$6,1)=1,0,MIN(10,CU49)*CU48)),MAX(0,40*MAX(1,CU48)-(CQ50+CR50+CS50+CT50))))</f>
        <v>0</v>
      </c>
      <c r="CV50" s="64">
        <f>IF(AND(CV48=1,CV49=13),0,MIN(IF(CV48&lt;=0,0,IF(WEEKDAY(CV$6,1)=1,0,MIN(10,CV49)*CV48)),MAX(0,40*MAX(1,CV48)-(CQ50+CR50+CS50+CT50+CU50))))</f>
        <v>0</v>
      </c>
      <c r="CW50" s="64">
        <f>IF(AND(CW48=1,CW49=13),0,MIN(IF(CW48&lt;=0,0,IF(WEEKDAY(CW$6,1)=1,0,MIN(10,CW49)*CW48)),MAX(0,40*MAX(1,CW48)-(CQ50+CR50+CS50+CT50+CU50+CV50))))</f>
        <v>0</v>
      </c>
      <c r="CX50" s="63">
        <f>IF(AND(CX48=1,CX49=13),10,MIN(IF(CX48&lt;=0,0,IF(WEEKDAY(CX$6,1)=1,0,MIN(10,CX49)*CX48)),MAX(0,40*MAX(1,CX48)-(0))))</f>
        <v>10</v>
      </c>
      <c r="CY50" s="63">
        <f>IF(AND(CY48=1,CY49=13),10,MIN(IF(CY48&lt;=0,0,IF(WEEKDAY(CY$6,1)=1,0,MIN(10,CY49)*CY48)),MAX(0,40*MAX(1,CY48)-(CX50))))</f>
        <v>10</v>
      </c>
      <c r="CZ50" s="63">
        <f>IF(AND(CZ48=1,CZ49=13),10,MIN(IF(CZ48&lt;=0,0,IF(WEEKDAY(CZ$6,1)=1,0,MIN(10,CZ49)*CZ48)),MAX(0,40*MAX(1,CZ48)-(CX50+CY50))))</f>
        <v>10</v>
      </c>
      <c r="DA50" s="63">
        <f>IF(AND(DA48=1,DA49=13),10,MIN(IF(DA48&lt;=0,0,IF(WEEKDAY(DA$6,1)=1,0,MIN(10,DA49)*DA48)),MAX(0,40*MAX(1,DA48)-(CX50+CY50+CZ50))))</f>
        <v>10</v>
      </c>
      <c r="DB50" s="63">
        <f>IF(AND(DB48=1,DB49=13),0,MIN(IF(DB48&lt;=0,0,IF(WEEKDAY(DB$6,1)=1,0,MIN(10,DB49)*DB48)),MAX(0,40*MAX(1,DB48)-(CX50+CY50+CZ50+DA50))))</f>
        <v>0</v>
      </c>
      <c r="DC50" s="64">
        <f>IF(AND(DC48=1,DC49=13),0,MIN(IF(DC48&lt;=0,0,IF(WEEKDAY(DC$6,1)=1,0,MIN(10,DC49)*DC48)),MAX(0,40*MAX(1,DC48)-(CX50+CY50+CZ50+DA50+DB50))))</f>
        <v>0</v>
      </c>
      <c r="DD50" s="64">
        <f>IF(AND(DD48=1,DD49=13),0,MIN(IF(DD48&lt;=0,0,IF(WEEKDAY(DD$6,1)=1,0,MIN(10,DD49)*DD48)),MAX(0,40*MAX(1,DD48)-(0))))</f>
        <v>0</v>
      </c>
      <c r="DE50" s="63">
        <f>IF(AND(DE48=1,DE49=13),10,MIN(IF(DE48&lt;=0,0,IF(WEEKDAY(DE$6,1)=1,0,MIN(10,DE49)*DE48)),MAX(0,40*MAX(1,DE48)-(0))))</f>
        <v>10</v>
      </c>
      <c r="DF50" s="63">
        <f>IF(AND(DF48=1,DF49=13),10,MIN(IF(DF48&lt;=0,0,IF(WEEKDAY(DF$6,1)=1,0,MIN(10,DF49)*DF48)),MAX(0,40*MAX(1,DF48)-(DE50))))</f>
        <v>10</v>
      </c>
      <c r="DG50" s="63">
        <f>IF(AND(DG48=1,DG49=13),10,MIN(IF(DG48&lt;=0,0,IF(WEEKDAY(DG$6,1)=1,0,MIN(10,DG49)*DG48)),MAX(0,40*MAX(1,DG48)-(DE50+DF50))))</f>
        <v>10</v>
      </c>
      <c r="DH50" s="63">
        <f>IF(AND(DH48=1,DH49=13),10,MIN(IF(DH48&lt;=0,0,IF(WEEKDAY(DH$6,1)=1,0,MIN(10,DH49)*DH48)),MAX(0,40*MAX(1,DH48)-(DE50+DF50+DG50))))</f>
        <v>10</v>
      </c>
      <c r="DI50" s="63">
        <f>IF(AND(DI48=1,DI49=13),0,MIN(IF(DI48&lt;=0,0,IF(WEEKDAY(DI$6,1)=1,0,MIN(10,DI49)*DI48)),MAX(0,40*MAX(1,DI48)-(DE50+DF50+DG50+DH50))))</f>
        <v>0</v>
      </c>
      <c r="DJ50" s="64">
        <f>IF(AND(DJ48=1,DJ49=13),0,MIN(IF(DJ48&lt;=0,0,IF(WEEKDAY(DJ$6,1)=1,0,MIN(10,DJ49)*DJ48)),MAX(0,40*MAX(1,DJ48)-(DE50+DF50+DG50+DH50+DI50))))</f>
        <v>0</v>
      </c>
      <c r="DK50" s="64">
        <f>IF(AND(DK48=0,DK49=0),0,MIN(IF(DK48&lt;=0,0,IF(WEEKDAY(DK$6,1)=1,0,MIN(10,DK49)*DK48)),MAX(0,40*MAX(1,DK48)-(0))))</f>
        <v>0</v>
      </c>
      <c r="DL50" s="63">
        <f>IF(AND(DL48=1,DL49=13),10,MIN(IF(DL48&lt;=0,0,IF(WEEKDAY(DL$6,1)=1,0,MIN(10,DL49)*DL48)),MAX(0,40*MAX(1,DL48)-(0))))</f>
        <v>10</v>
      </c>
      <c r="DM50" s="63">
        <f>IF(AND(DM48=1,DM49=13),10,MIN(IF(DM48&lt;=0,0,IF(WEEKDAY(DM$6,1)=1,0,MIN(10,DM49)*DM48)),MAX(0,40*MAX(1,DM48)-(DL50))))</f>
        <v>10</v>
      </c>
      <c r="DN50" s="63">
        <f>IF(AND(DN48=1,DN49=13),10,MIN(IF(DN48&lt;=0,0,IF(WEEKDAY(DN$6,1)=1,0,MIN(10,DN49)*DN48)),MAX(0,40*MAX(1,DN48)-(DL50+DM50))))</f>
        <v>10</v>
      </c>
      <c r="DO50" s="63">
        <f>IF(AND(DO48=1,DO49=13),10,MIN(IF(DO48&lt;=0,0,IF(WEEKDAY(DO$6,1)=1,0,MIN(10,DO49)*DO48)),MAX(0,40*MAX(1,DO48)-(DL50+DM50+DN50))))</f>
        <v>10</v>
      </c>
      <c r="DP50" s="63">
        <f>IF(AND(DP48=1,DP49=13),0,MIN(IF(DP48&lt;=0,0,IF(WEEKDAY(DP$6,1)=1,0,MIN(10,DP49)*DP48)),MAX(0,40*MAX(1,DP48)-(DL50+DM50+DN50+DO50))))</f>
        <v>0</v>
      </c>
      <c r="DQ50" s="64">
        <f>IF(AND(DQ48=1,DQ49=13),0,MIN(IF(DQ48&lt;=0,0,IF(WEEKDAY(DQ$6,1)=1,0,MIN(10,DQ49)*DQ48)),MAX(0,40*MAX(1,DQ48)-(DL50+DM50+DN50+DO50+DP50))))</f>
        <v>0</v>
      </c>
      <c r="DR50" s="64">
        <f>IF(AND(DR48=1,DR49=13),0,MIN(IF(DR48&lt;=0,0,IF(WEEKDAY(DR$6,1)=1,0,MIN(10,DR49)*DR48)),MAX(0,40*MAX(1,DR48)-(DL50+DM50+DN50+DO50+DP50+DQ50))))</f>
        <v>0</v>
      </c>
      <c r="DS50" s="63">
        <f>IF(AND(DS48=1,DS49=13),10,MIN(IF(DS48&lt;=0,0,IF(WEEKDAY(DS$6,1)=1,0,MIN(10,DS49)*DS48)),MAX(0,40*MAX(1,DS48)-(0))))</f>
        <v>10</v>
      </c>
      <c r="DT50" s="63">
        <f>IF(AND(DT48=0,DT49=0),0,MIN(IF(DT48&lt;=0,0,IF(WEEKDAY(DT$6,1)=1,0,MIN(10,DT49)*DT48)),MAX(0,40*MAX(1,DT48)-(0))))</f>
        <v>0</v>
      </c>
      <c r="DU50" s="63">
        <f>IF(AND(DU48=0,DU49=0),0,MIN(IF(DU48&lt;=0,0,IF(WEEKDAY(DU$6,1)=1,0,MIN(10,DU49)*DU48)),MAX(0,40*MAX(1,DU48)-(DT50))))</f>
        <v>0</v>
      </c>
      <c r="DV50" s="63">
        <f>IF(AND(DV48=0,DV49=0),0,MIN(IF(DV48&lt;=0,0,IF(WEEKDAY(DV$6,1)=1,0,MIN(10,DV49)*DV48)),MAX(0,40*MAX(1,DV48)-(DT50+DU50))))</f>
        <v>0</v>
      </c>
      <c r="DW50" s="63">
        <f>IF(AND(DW48=0,DW49=0),0,MIN(IF(DW48&lt;=0,0,IF(WEEKDAY(DW$6,1)=1,0,MIN(10,DW49)*DW48)),MAX(0,40*MAX(1,DW48)-(DT50+DU50+DV50))))</f>
        <v>0</v>
      </c>
      <c r="DX50" s="64">
        <f>IF(AND(DX48=0,DX49=0),0,MIN(IF(DX48&lt;=0,0,IF(WEEKDAY(DX$6,1)=1,0,MIN(10,DX49)*DX48)),MAX(0,40*MAX(1,DX48)-(DT50+DU50+DV50+DW50))))</f>
        <v>0</v>
      </c>
      <c r="DY50" s="64">
        <f>IF(AND(DY48=0,DY49=0),0,MIN(IF(DY48&lt;=0,0,IF(WEEKDAY(DY$6,1)=1,0,MIN(10,DY49)*DY48)),MAX(0,40*MAX(1,DY48)-(DT50+DU50+DV50+DW50+DX50))))</f>
        <v>0</v>
      </c>
      <c r="DZ50" s="63">
        <f>IF(AND(DZ48=0,DZ49=0),0,MIN(IF(DZ48&lt;=0,0,IF(WEEKDAY(DZ$6,1)=1,0,MIN(10,DZ49)*DZ48)),MAX(0,40*MAX(1,DZ48)-(0))))</f>
        <v>0</v>
      </c>
      <c r="EA50" s="63">
        <f>IF(AND(EA48=0,EA49=0),0,MIN(IF(EA48&lt;=0,0,IF(WEEKDAY(EA$6,1)=1,0,MIN(10,EA49)*EA48)),MAX(0,40*MAX(1,EA48)-(DZ50))))</f>
        <v>0</v>
      </c>
      <c r="EB50" s="63">
        <f>IF(AND(EB48=0,EB49=0),0,MIN(IF(EB48&lt;=0,0,IF(WEEKDAY(EB$6,1)=1,0,MIN(10,EB49)*EB48)),MAX(0,40*MAX(1,EB48)-(DZ50+EA50))))</f>
        <v>0</v>
      </c>
      <c r="EC50" s="63">
        <f>IF(AND(EC48=0,EC49=0),0,MIN(IF(EC48&lt;=0,0,IF(WEEKDAY(EC$6,1)=1,0,MIN(10,EC49)*EC48)),MAX(0,40*MAX(1,EC48)-(DZ50+EA50+EB50))))</f>
        <v>0</v>
      </c>
      <c r="ED50" s="63">
        <f>IF(AND(ED48=0,ED49=0),0,MIN(IF(ED48&lt;=0,0,IF(WEEKDAY(ED$6,1)=1,0,MIN(10,ED49)*ED48)),MAX(0,40*MAX(1,ED48)-(DZ50+EA50+EB50+EC50))))</f>
        <v>0</v>
      </c>
      <c r="EE50" s="64">
        <f>IF(AND(EE48=0,EE49=0),0,MIN(IF(EE48&lt;=0,0,IF(WEEKDAY(EE$6,1)=1,0,MIN(10,EE49)*EE48)),MAX(0,40*MAX(1,EE48)-(DZ50+EA50+EB50+EC50+ED50))))</f>
        <v>0</v>
      </c>
      <c r="EF50" s="64">
        <f>IF(AND(EF48=0,EF49=0),0,MIN(IF(EF48&lt;=0,0,IF(WEEKDAY(EF$6,1)=1,0,MIN(10,EF49)*EF48)),MAX(0,40*MAX(1,EF48)-(DZ50+EA50+EB50+EC50+ED50+EE50))))</f>
        <v>0</v>
      </c>
      <c r="EG50" s="63">
        <f>IF(AND(EG48=0,EG49=0),0,MIN(IF(EG48&lt;=0,0,IF(WEEKDAY(EG$6,1)=1,0,MIN(10,EG49)*EG48)),MAX(0,40*MAX(1,EG48)-(0))))</f>
        <v>0</v>
      </c>
      <c r="EH50" s="63">
        <f>IF(AND(EH48=0,EH49=0),0,MIN(IF(EH48&lt;=0,0,IF(WEEKDAY(EH$6,1)=1,0,MIN(10,EH49)*EH48)),MAX(0,40*MAX(1,EH48)-(EG50))))</f>
        <v>0</v>
      </c>
      <c r="EI50" s="63">
        <f>IF(AND(EI48=0,EI49=0),0,MIN(IF(EI48&lt;=0,0,IF(WEEKDAY(EI$6,1)=1,0,MIN(10,EI49)*EI48)),MAX(0,40*MAX(1,EI48)-(EG50+EH50))))</f>
        <v>0</v>
      </c>
      <c r="EJ50" s="63">
        <f>IF(AND(EJ48=0,EJ49=0),0,MIN(IF(EJ48&lt;=0,0,IF(WEEKDAY(EJ$6,1)=1,0,MIN(10,EJ49)*EJ48)),MAX(0,40*MAX(1,EJ48)-(EG50+EH50+EI50))))</f>
        <v>0</v>
      </c>
      <c r="EK50" s="65">
        <f>IF(AND(EK48=0,EK49=0),0,MIN(IF(EK48&lt;=0,0,IF(WEEKDAY(EK$6,1)=1,0,MIN(10,EK49)*EK48)),MAX(0,40*MAX(1,EK48)-(EG50+EH50+EI50+EJ50))))</f>
        <v>0</v>
      </c>
      <c r="OU50" s="28" t="s">
        <v>74</v>
      </c>
    </row>
    <row r="51" ht="16" customHeight="1" spans="1:411" x14ac:dyDescent="0.25">
      <c r="A51" s="74"/>
      <c r="B51" s="46"/>
      <c r="C51" s="66">
        <f>G47*N(D51)</f>
        <v>39715</v>
      </c>
      <c r="D51" s="66">
        <f>IF(TRIM(B47)="","No rate",IFERROR(INDEX('Rate Tables'!D$7:D$158,MATCH(B47,'Rate Tables'!A$7:A$158,0)),"No rate"))</f>
        <v>122.2</v>
      </c>
      <c r="E51" s="55" t="s">
        <v>63</v>
      </c>
      <c r="F51" s="49"/>
      <c r="G51" s="49"/>
      <c r="H51" s="49"/>
      <c r="I51" s="49"/>
      <c r="J51" s="50"/>
      <c r="K51" s="62">
        <f>IF(AND(K48=0,K49=0),0,IF(K48&lt;=0,0,IF(WEEKDAY(K$6,1)=1,0,MAX(0,K49-10)*K48))+((IF(K48&lt;=0,0,IF(WEEKDAY(K$6,1)=1,0,MIN(10,K49)*K48)))-MIN(IF(K48&lt;=0,0,IF(WEEKDAY(K$6,1)=1,0,MIN(10,K49)*K48)),MAX(0,40*MAX(1,K48)-(0)))))</f>
        <v>0</v>
      </c>
      <c r="L51" s="63">
        <f>IF(AND(L48=0,L49=0),0,IF(L48&lt;=0,0,IF(WEEKDAY(L$6,1)=1,0,MAX(0,L49-10)*L48))+((IF(L48&lt;=0,0,IF(WEEKDAY(L$6,1)=1,0,MIN(10,L49)*L48)))-MIN(IF(L48&lt;=0,0,IF(WEEKDAY(L$6,1)=1,0,MIN(10,L49)*L48)),MAX(0,40*MAX(1,L48)-(K50)))))</f>
        <v>0</v>
      </c>
      <c r="M51" s="63">
        <f>IF(AND(M48=0,M49=0),0,IF(M48&lt;=0,0,IF(WEEKDAY(M$6,1)=1,0,MAX(0,M49-10)*M48))+((IF(M48&lt;=0,0,IF(WEEKDAY(M$6,1)=1,0,MIN(10,M49)*M48)))-MIN(IF(M48&lt;=0,0,IF(WEEKDAY(M$6,1)=1,0,MIN(10,M49)*M48)),MAX(0,40*MAX(1,M48)-(K50+L50)))))</f>
        <v>0</v>
      </c>
      <c r="N51" s="63">
        <f>IF(AND(N48=0,N49=0),0,IF(N48&lt;=0,0,IF(WEEKDAY(N$6,1)=1,0,MAX(0,N49-10)*N48))+((IF(N48&lt;=0,0,IF(WEEKDAY(N$6,1)=1,0,MIN(10,N49)*N48)))-MIN(IF(N48&lt;=0,0,IF(WEEKDAY(N$6,1)=1,0,MIN(10,N49)*N48)),MAX(0,40*MAX(1,N48)-(K50+L50+M50)))))</f>
        <v>0</v>
      </c>
      <c r="O51" s="63">
        <f>IF(AND(O48=0,O49=0),0,IF(O48&lt;=0,0,IF(WEEKDAY(O$6,1)=1,0,MAX(0,O49-10)*O48))+((IF(O48&lt;=0,0,IF(WEEKDAY(O$6,1)=1,0,MIN(10,O49)*O48)))-MIN(IF(O48&lt;=0,0,IF(WEEKDAY(O$6,1)=1,0,MIN(10,O49)*O48)),MAX(0,40*MAX(1,O48)-(K50+L50+M50+N50)))))</f>
        <v>0</v>
      </c>
      <c r="P51" s="64">
        <f>IF(AND(P48=0,P49=0),0,IF(P48&lt;=0,0,IF(WEEKDAY(P$6,1)=1,0,MAX(0,P49-10)*P48))+((IF(P48&lt;=0,0,IF(WEEKDAY(P$6,1)=1,0,MIN(10,P49)*P48)))-MIN(IF(P48&lt;=0,0,IF(WEEKDAY(P$6,1)=1,0,MIN(10,P49)*P48)),MAX(0,40*MAX(1,P48)-(K50+L50+M50+N50+O50)))))</f>
        <v>0</v>
      </c>
      <c r="Q51" s="64">
        <f>IF(AND(Q48=0,Q49=0),0,IF(Q48&lt;=0,0,IF(WEEKDAY(Q$6,1)=1,0,MAX(0,Q49-10)*Q48))+((IF(Q48&lt;=0,0,IF(WEEKDAY(Q$6,1)=1,0,MIN(10,Q49)*Q48)))-MIN(IF(Q48&lt;=0,0,IF(WEEKDAY(Q$6,1)=1,0,MIN(10,Q49)*Q48)),MAX(0,40*MAX(1,Q48)-(K50+L50+M50+N50+O50+P50)))))</f>
        <v>0</v>
      </c>
      <c r="R51" s="63">
        <f>IF(AND(R48=0,R49=0),0,IF(R48&lt;=0,0,IF(WEEKDAY(R$6,1)=1,0,MAX(0,R49-10)*R48))+((IF(R48&lt;=0,0,IF(WEEKDAY(R$6,1)=1,0,MIN(10,R49)*R48)))-MIN(IF(R48&lt;=0,0,IF(WEEKDAY(R$6,1)=1,0,MIN(10,R49)*R48)),MAX(0,40*MAX(1,R48)-(0)))))</f>
        <v>0</v>
      </c>
      <c r="S51" s="63">
        <f>IF(AND(S48=0,S49=0),0,IF(S48&lt;=0,0,IF(WEEKDAY(S$6,1)=1,0,MAX(0,S49-10)*S48))+((IF(S48&lt;=0,0,IF(WEEKDAY(S$6,1)=1,0,MIN(10,S49)*S48)))-MIN(IF(S48&lt;=0,0,IF(WEEKDAY(S$6,1)=1,0,MIN(10,S49)*S48)),MAX(0,40*MAX(1,S48)-(R50)))))</f>
        <v>0</v>
      </c>
      <c r="T51" s="63">
        <f>IF(AND(T48=0,T49=0),0,IF(T48&lt;=0,0,IF(WEEKDAY(T$6,1)=1,0,MAX(0,T49-10)*T48))+((IF(T48&lt;=0,0,IF(WEEKDAY(T$6,1)=1,0,MIN(10,T49)*T48)))-MIN(IF(T48&lt;=0,0,IF(WEEKDAY(T$6,1)=1,0,MIN(10,T49)*T48)),MAX(0,40*MAX(1,T48)-(R50+S50)))))</f>
        <v>0</v>
      </c>
      <c r="U51" s="63">
        <f>IF(AND(U48=0,U49=0),0,IF(U48&lt;=0,0,IF(WEEKDAY(U$6,1)=1,0,MAX(0,U49-10)*U48))+((IF(U48&lt;=0,0,IF(WEEKDAY(U$6,1)=1,0,MIN(10,U49)*U48)))-MIN(IF(U48&lt;=0,0,IF(WEEKDAY(U$6,1)=1,0,MIN(10,U49)*U48)),MAX(0,40*MAX(1,U48)-(R50+S50+T50)))))</f>
        <v>0</v>
      </c>
      <c r="V51" s="63">
        <f>IF(AND(V48=0,V49=0),0,IF(V48&lt;=0,0,IF(WEEKDAY(V$6,1)=1,0,MAX(0,V49-10)*V48))+((IF(V48&lt;=0,0,IF(WEEKDAY(V$6,1)=1,0,MIN(10,V49)*V48)))-MIN(IF(V48&lt;=0,0,IF(WEEKDAY(V$6,1)=1,0,MIN(10,V49)*V48)),MAX(0,40*MAX(1,V48)-(R50+S50+T50+U50)))))</f>
        <v>0</v>
      </c>
      <c r="W51" s="64">
        <f>IF(AND(W48=0,W49=0),0,IF(W48&lt;=0,0,IF(WEEKDAY(W$6,1)=1,0,MAX(0,W49-10)*W48))+((IF(W48&lt;=0,0,IF(WEEKDAY(W$6,1)=1,0,MIN(10,W49)*W48)))-MIN(IF(W48&lt;=0,0,IF(WEEKDAY(W$6,1)=1,0,MIN(10,W49)*W48)),MAX(0,40*MAX(1,W48)-(R50+S50+T50+U50+V50)))))</f>
        <v>0</v>
      </c>
      <c r="X51" s="64">
        <f>IF(AND(X48=0,X49=0),0,IF(X48&lt;=0,0,IF(WEEKDAY(X$6,1)=1,0,MAX(0,X49-10)*X48))+((IF(X48&lt;=0,0,IF(WEEKDAY(X$6,1)=1,0,MIN(10,X49)*X48)))-MIN(IF(X48&lt;=0,0,IF(WEEKDAY(X$6,1)=1,0,MIN(10,X49)*X48)),MAX(0,40*MAX(1,X48)-(R50+S50+T50+U50+V50+W50)))))</f>
        <v>0</v>
      </c>
      <c r="Y51" s="63">
        <f>IF(AND(Y48=0,Y49=0),0,IF(Y48&lt;=0,0,IF(WEEKDAY(Y$6,1)=1,0,MAX(0,Y49-10)*Y48))+((IF(Y48&lt;=0,0,IF(WEEKDAY(Y$6,1)=1,0,MIN(10,Y49)*Y48)))-MIN(IF(Y48&lt;=0,0,IF(WEEKDAY(Y$6,1)=1,0,MIN(10,Y49)*Y48)),MAX(0,40*MAX(1,Y48)-(0)))))</f>
        <v>0</v>
      </c>
      <c r="Z51" s="63">
        <f>IF(AND(Z48=0,Z49=0),0,IF(Z48&lt;=0,0,IF(WEEKDAY(Z$6,1)=1,0,MAX(0,Z49-10)*Z48))+((IF(Z48&lt;=0,0,IF(WEEKDAY(Z$6,1)=1,0,MIN(10,Z49)*Z48)))-MIN(IF(Z48&lt;=0,0,IF(WEEKDAY(Z$6,1)=1,0,MIN(10,Z49)*Z48)),MAX(0,40*MAX(1,Z48)-(Y50)))))</f>
        <v>0</v>
      </c>
      <c r="AA51" s="63">
        <f>IF(AND(AA48=0,AA49=0),0,IF(AA48&lt;=0,0,IF(WEEKDAY(AA$6,1)=1,0,MAX(0,AA49-10)*AA48))+((IF(AA48&lt;=0,0,IF(WEEKDAY(AA$6,1)=1,0,MIN(10,AA49)*AA48)))-MIN(IF(AA48&lt;=0,0,IF(WEEKDAY(AA$6,1)=1,0,MIN(10,AA49)*AA48)),MAX(0,40*MAX(1,AA48)-(Y50+Z50)))))</f>
        <v>0</v>
      </c>
      <c r="AB51" s="63">
        <f>IF(AND(AB48=0,AB49=0),0,IF(AB48&lt;=0,0,IF(WEEKDAY(AB$6,1)=1,0,MAX(0,AB49-10)*AB48))+((IF(AB48&lt;=0,0,IF(WEEKDAY(AB$6,1)=1,0,MIN(10,AB49)*AB48)))-MIN(IF(AB48&lt;=0,0,IF(WEEKDAY(AB$6,1)=1,0,MIN(10,AB49)*AB48)),MAX(0,40*MAX(1,AB48)-(Y50+Z50+AA50)))))</f>
        <v>0</v>
      </c>
      <c r="AC51" s="63">
        <f>IF(AND(AC48=0,AC49=0),0,IF(AC48&lt;=0,0,IF(WEEKDAY(AC$6,1)=1,0,MAX(0,AC49-10)*AC48))+((IF(AC48&lt;=0,0,IF(WEEKDAY(AC$6,1)=1,0,MIN(10,AC49)*AC48)))-MIN(IF(AC48&lt;=0,0,IF(WEEKDAY(AC$6,1)=1,0,MIN(10,AC49)*AC48)),MAX(0,40*MAX(1,AC48)-(Y50+Z50+AA50+AB50)))))</f>
        <v>0</v>
      </c>
      <c r="AD51" s="64">
        <f>IF(AND(AD48=0,AD49=0),0,IF(AD48&lt;=0,0,IF(WEEKDAY(AD$6,1)=1,0,MAX(0,AD49-10)*AD48))+((IF(AD48&lt;=0,0,IF(WEEKDAY(AD$6,1)=1,0,MIN(10,AD49)*AD48)))-MIN(IF(AD48&lt;=0,0,IF(WEEKDAY(AD$6,1)=1,0,MIN(10,AD49)*AD48)),MAX(0,40*MAX(1,AD48)-(Y50+Z50+AA50+AB50+AC50)))))</f>
        <v>0</v>
      </c>
      <c r="AE51" s="64">
        <f>IF(AND(AE48=0,AE49=0),0,IF(AE48&lt;=0,0,IF(WEEKDAY(AE$6,1)=1,0,MAX(0,AE49-10)*AE48))+((IF(AE48&lt;=0,0,IF(WEEKDAY(AE$6,1)=1,0,MIN(10,AE49)*AE48)))-MIN(IF(AE48&lt;=0,0,IF(WEEKDAY(AE$6,1)=1,0,MIN(10,AE49)*AE48)),MAX(0,40*MAX(1,AE48)-(Y50+Z50+AA50+AB50+AC50+AD50)))))</f>
        <v>0</v>
      </c>
      <c r="AF51" s="63">
        <f>IF(AND(AF48=0,AF49=0),0,IF(AF48&lt;=0,0,IF(WEEKDAY(AF$6,1)=1,0,MAX(0,AF49-10)*AF48))+((IF(AF48&lt;=0,0,IF(WEEKDAY(AF$6,1)=1,0,MIN(10,AF49)*AF48)))-MIN(IF(AF48&lt;=0,0,IF(WEEKDAY(AF$6,1)=1,0,MIN(10,AF49)*AF48)),MAX(0,40*MAX(1,AF48)-(0)))))</f>
        <v>0</v>
      </c>
      <c r="AG51" s="63">
        <f>IF(AND(AG48=0,AG49=0),0,IF(AG48&lt;=0,0,IF(WEEKDAY(AG$6,1)=1,0,MAX(0,AG49-10)*AG48))+((IF(AG48&lt;=0,0,IF(WEEKDAY(AG$6,1)=1,0,MIN(10,AG49)*AG48)))-MIN(IF(AG48&lt;=0,0,IF(WEEKDAY(AG$6,1)=1,0,MIN(10,AG49)*AG48)),MAX(0,40*MAX(1,AG48)-(AF50)))))</f>
        <v>0</v>
      </c>
      <c r="AH51" s="63">
        <f>IF(AND(AH48=0,AH49=0),0,IF(AH48&lt;=0,0,IF(WEEKDAY(AH$6,1)=1,0,MAX(0,AH49-10)*AH48))+((IF(AH48&lt;=0,0,IF(WEEKDAY(AH$6,1)=1,0,MIN(10,AH49)*AH48)))-MIN(IF(AH48&lt;=0,0,IF(WEEKDAY(AH$6,1)=1,0,MIN(10,AH49)*AH48)),MAX(0,40*MAX(1,AH48)-(AF50+AG50)))))</f>
        <v>0</v>
      </c>
      <c r="AI51" s="63">
        <f>IF(AND(AI48=0,AI49=0),0,IF(AI48&lt;=0,0,IF(WEEKDAY(AI$6,1)=1,0,MAX(0,AI49-10)*AI48))+((IF(AI48&lt;=0,0,IF(WEEKDAY(AI$6,1)=1,0,MIN(10,AI49)*AI48)))-MIN(IF(AI48&lt;=0,0,IF(WEEKDAY(AI$6,1)=1,0,MIN(10,AI49)*AI48)),MAX(0,40*MAX(1,AI48)-(AF50+AG50+AH50)))))</f>
        <v>0</v>
      </c>
      <c r="AJ51" s="63">
        <f>IF(AND(AJ48=0,AJ49=0),0,IF(AJ48&lt;=0,0,IF(WEEKDAY(AJ$6,1)=1,0,MAX(0,AJ49-10)*AJ48))+((IF(AJ48&lt;=0,0,IF(WEEKDAY(AJ$6,1)=1,0,MIN(10,AJ49)*AJ48)))-MIN(IF(AJ48&lt;=0,0,IF(WEEKDAY(AJ$6,1)=1,0,MIN(10,AJ49)*AJ48)),MAX(0,40*MAX(1,AJ48)-(AF50+AG50+AH50+AI50)))))</f>
        <v>0</v>
      </c>
      <c r="AK51" s="64">
        <f>IF(AND(AK48=0,AK49=0),0,IF(AK48&lt;=0,0,IF(WEEKDAY(AK$6,1)=1,0,MAX(0,AK49-10)*AK48))+((IF(AK48&lt;=0,0,IF(WEEKDAY(AK$6,1)=1,0,MIN(10,AK49)*AK48)))-MIN(IF(AK48&lt;=0,0,IF(WEEKDAY(AK$6,1)=1,0,MIN(10,AK49)*AK48)),MAX(0,40*MAX(1,AK48)-(AF50+AG50+AH50+AI50+AJ50)))))</f>
        <v>0</v>
      </c>
      <c r="AL51" s="64">
        <f>IF(AND(AL48=0,AL49=0),0,IF(AL48&lt;=0,0,IF(WEEKDAY(AL$6,1)=1,0,MAX(0,AL49-10)*AL48))+((IF(AL48&lt;=0,0,IF(WEEKDAY(AL$6,1)=1,0,MIN(10,AL49)*AL48)))-MIN(IF(AL48&lt;=0,0,IF(WEEKDAY(AL$6,1)=1,0,MIN(10,AL49)*AL48)),MAX(0,40*MAX(1,AL48)-(AF50+AG50+AH50+AI50+AJ50+AK50)))))</f>
        <v>0</v>
      </c>
      <c r="AM51" s="63">
        <f>IF(AND(AM48=0,AM49=0),0,IF(AM48&lt;=0,0,IF(WEEKDAY(AM$6,1)=1,0,MAX(0,AM49-10)*AM48))+((IF(AM48&lt;=0,0,IF(WEEKDAY(AM$6,1)=1,0,MIN(10,AM49)*AM48)))-MIN(IF(AM48&lt;=0,0,IF(WEEKDAY(AM$6,1)=1,0,MIN(10,AM49)*AM48)),MAX(0,40*MAX(1,AM48)-(0)))))</f>
        <v>0</v>
      </c>
      <c r="AN51" s="63">
        <f>IF(AND(AN48=0,AN49=0),0,IF(AN48&lt;=0,0,IF(WEEKDAY(AN$6,1)=1,0,MAX(0,AN49-10)*AN48))+((IF(AN48&lt;=0,0,IF(WEEKDAY(AN$6,1)=1,0,MIN(10,AN49)*AN48)))-MIN(IF(AN48&lt;=0,0,IF(WEEKDAY(AN$6,1)=1,0,MIN(10,AN49)*AN48)),MAX(0,40*MAX(1,AN48)-(AM50)))))</f>
        <v>0</v>
      </c>
      <c r="AO51" s="63">
        <f>IF(AND(AO48=0,AO49=0),0,IF(AO48&lt;=0,0,IF(WEEKDAY(AO$6,1)=1,0,MAX(0,AO49-10)*AO48))+((IF(AO48&lt;=0,0,IF(WEEKDAY(AO$6,1)=1,0,MIN(10,AO49)*AO48)))-MIN(IF(AO48&lt;=0,0,IF(WEEKDAY(AO$6,1)=1,0,MIN(10,AO49)*AO48)),MAX(0,40*MAX(1,AO48)-(AM50+AN50)))))</f>
        <v>0</v>
      </c>
      <c r="AP51" s="63">
        <f>IF(AND(AP48=0,AP49=0),0,IF(AP48&lt;=0,0,IF(WEEKDAY(AP$6,1)=1,0,MAX(0,AP49-10)*AP48))+((IF(AP48&lt;=0,0,IF(WEEKDAY(AP$6,1)=1,0,MIN(10,AP49)*AP48)))-MIN(IF(AP48&lt;=0,0,IF(WEEKDAY(AP$6,1)=1,0,MIN(10,AP49)*AP48)),MAX(0,40*MAX(1,AP48)-(AM50+AN50+AO50)))))</f>
        <v>0</v>
      </c>
      <c r="AQ51" s="63">
        <f>IF(AND(AQ48=0,AQ49=0),0,IF(AQ48&lt;=0,0,IF(WEEKDAY(AQ$6,1)=1,0,MAX(0,AQ49-10)*AQ48))+((IF(AQ48&lt;=0,0,IF(WEEKDAY(AQ$6,1)=1,0,MIN(10,AQ49)*AQ48)))-MIN(IF(AQ48&lt;=0,0,IF(WEEKDAY(AQ$6,1)=1,0,MIN(10,AQ49)*AQ48)),MAX(0,40*MAX(1,AQ48)-(AM50+AN50+AO50+AP50)))))</f>
        <v>0</v>
      </c>
      <c r="AR51" s="64">
        <f>IF(AND(AR48=0,AR49=0),0,IF(AR48&lt;=0,0,IF(WEEKDAY(AR$6,1)=1,0,MAX(0,AR49-10)*AR48))+((IF(AR48&lt;=0,0,IF(WEEKDAY(AR$6,1)=1,0,MIN(10,AR49)*AR48)))-MIN(IF(AR48&lt;=0,0,IF(WEEKDAY(AR$6,1)=1,0,MIN(10,AR49)*AR48)),MAX(0,40*MAX(1,AR48)-(AM50+AN50+AO50+AP50+AQ50)))))</f>
        <v>0</v>
      </c>
      <c r="AS51" s="64">
        <f>IF(AND(AS48=0,AS49=0),0,IF(AS48&lt;=0,0,IF(WEEKDAY(AS$6,1)=1,0,MAX(0,AS49-10)*AS48))+((IF(AS48&lt;=0,0,IF(WEEKDAY(AS$6,1)=1,0,MIN(10,AS49)*AS48)))-MIN(IF(AS48&lt;=0,0,IF(WEEKDAY(AS$6,1)=1,0,MIN(10,AS49)*AS48)),MAX(0,40*MAX(1,AS48)-(AM50+AN50+AO50+AP50+AQ50+AR50)))))</f>
        <v>0</v>
      </c>
      <c r="AT51" s="63">
        <f>IF(AND(AT48=0,AT49=0),0,IF(AT48&lt;=0,0,IF(WEEKDAY(AT$6,1)=1,0,MAX(0,AT49-10)*AT48))+((IF(AT48&lt;=0,0,IF(WEEKDAY(AT$6,1)=1,0,MIN(10,AT49)*AT48)))-MIN(IF(AT48&lt;=0,0,IF(WEEKDAY(AT$6,1)=1,0,MIN(10,AT49)*AT48)),MAX(0,40*MAX(1,AT48)-(0)))))</f>
        <v>0</v>
      </c>
      <c r="AU51" s="63">
        <f>IF(AND(AU48=0,AU49=0),0,IF(AU48&lt;=0,0,IF(WEEKDAY(AU$6,1)=1,0,MAX(0,AU49-10)*AU48))+((IF(AU48&lt;=0,0,IF(WEEKDAY(AU$6,1)=1,0,MIN(10,AU49)*AU48)))-MIN(IF(AU48&lt;=0,0,IF(WEEKDAY(AU$6,1)=1,0,MIN(10,AU49)*AU48)),MAX(0,40*MAX(1,AU48)-(AT50)))))</f>
        <v>0</v>
      </c>
      <c r="AV51" s="63">
        <f>IF(AND(AV48=0,AV49=0),0,IF(AV48&lt;=0,0,IF(WEEKDAY(AV$6,1)=1,0,MAX(0,AV49-10)*AV48))+((IF(AV48&lt;=0,0,IF(WEEKDAY(AV$6,1)=1,0,MIN(10,AV49)*AV48)))-MIN(IF(AV48&lt;=0,0,IF(WEEKDAY(AV$6,1)=1,0,MIN(10,AV49)*AV48)),MAX(0,40*MAX(1,AV48)-(AT50+AU50)))))</f>
        <v>0</v>
      </c>
      <c r="AW51" s="63">
        <f>IF(AND(AW48=0,AW49=0),0,IF(AW48&lt;=0,0,IF(WEEKDAY(AW$6,1)=1,0,MAX(0,AW49-10)*AW48))+((IF(AW48&lt;=0,0,IF(WEEKDAY(AW$6,1)=1,0,MIN(10,AW49)*AW48)))-MIN(IF(AW48&lt;=0,0,IF(WEEKDAY(AW$6,1)=1,0,MIN(10,AW49)*AW48)),MAX(0,40*MAX(1,AW48)-(AT50+AU50+AV50)))))</f>
        <v>0</v>
      </c>
      <c r="AX51" s="63">
        <f>IF(AND(AX48=0,AX49=0),0,IF(AX48&lt;=0,0,IF(WEEKDAY(AX$6,1)=1,0,MAX(0,AX49-10)*AX48))+((IF(AX48&lt;=0,0,IF(WEEKDAY(AX$6,1)=1,0,MIN(10,AX49)*AX48)))-MIN(IF(AX48&lt;=0,0,IF(WEEKDAY(AX$6,1)=1,0,MIN(10,AX49)*AX48)),MAX(0,40*MAX(1,AX48)-(AT50+AU50+AV50+AW50)))))</f>
        <v>0</v>
      </c>
      <c r="AY51" s="64">
        <f>IF(AND(AY48=0,AY49=0),0,IF(AY48&lt;=0,0,IF(WEEKDAY(AY$6,1)=1,0,MAX(0,AY49-10)*AY48))+((IF(AY48&lt;=0,0,IF(WEEKDAY(AY$6,1)=1,0,MIN(10,AY49)*AY48)))-MIN(IF(AY48&lt;=0,0,IF(WEEKDAY(AY$6,1)=1,0,MIN(10,AY49)*AY48)),MAX(0,40*MAX(1,AY48)-(AT50+AU50+AV50+AW50+AX50)))))</f>
        <v>0</v>
      </c>
      <c r="AZ51" s="64">
        <f>IF(AND(AZ48=0,AZ49=0),0,IF(AZ48&lt;=0,0,IF(WEEKDAY(AZ$6,1)=1,0,MAX(0,AZ49-10)*AZ48))+((IF(AZ48&lt;=0,0,IF(WEEKDAY(AZ$6,1)=1,0,MIN(10,AZ49)*AZ48)))-MIN(IF(AZ48&lt;=0,0,IF(WEEKDAY(AZ$6,1)=1,0,MIN(10,AZ49)*AZ48)),MAX(0,40*MAX(1,AZ48)-(AT50+AU50+AV50+AW50+AX50+AY50)))))</f>
        <v>0</v>
      </c>
      <c r="BA51" s="63">
        <f>IF(AND(BA48=0,BA49=0),0,IF(BA48&lt;=0,0,IF(WEEKDAY(BA$6,1)=1,0,MAX(0,BA49-10)*BA48))+((IF(BA48&lt;=0,0,IF(WEEKDAY(BA$6,1)=1,0,MIN(10,BA49)*BA48)))-MIN(IF(BA48&lt;=0,0,IF(WEEKDAY(BA$6,1)=1,0,MIN(10,BA49)*BA48)),MAX(0,40*MAX(1,BA48)-(0)))))</f>
        <v>0</v>
      </c>
      <c r="BB51" s="63">
        <f>IF(AND(BB48=0,BB49=0),0,IF(BB48&lt;=0,0,IF(WEEKDAY(BB$6,1)=1,0,MAX(0,BB49-10)*BB48))+((IF(BB48&lt;=0,0,IF(WEEKDAY(BB$6,1)=1,0,MIN(10,BB49)*BB48)))-MIN(IF(BB48&lt;=0,0,IF(WEEKDAY(BB$6,1)=1,0,MIN(10,BB49)*BB48)),MAX(0,40*MAX(1,BB48)-(BA50)))))</f>
        <v>0</v>
      </c>
      <c r="BC51" s="63">
        <f>IF(AND(BC48=0,BC49=0),0,IF(BC48&lt;=0,0,IF(WEEKDAY(BC$6,1)=1,0,MAX(0,BC49-10)*BC48))+((IF(BC48&lt;=0,0,IF(WEEKDAY(BC$6,1)=1,0,MIN(10,BC49)*BC48)))-MIN(IF(BC48&lt;=0,0,IF(WEEKDAY(BC$6,1)=1,0,MIN(10,BC49)*BC48)),MAX(0,40*MAX(1,BC48)-(BA50+BB50)))))</f>
        <v>0</v>
      </c>
      <c r="BD51" s="63">
        <f>IF(AND(BD48=0,BD49=0),0,IF(BD48&lt;=0,0,IF(WEEKDAY(BD$6,1)=1,0,MAX(0,BD49-10)*BD48))+((IF(BD48&lt;=0,0,IF(WEEKDAY(BD$6,1)=1,0,MIN(10,BD49)*BD48)))-MIN(IF(BD48&lt;=0,0,IF(WEEKDAY(BD$6,1)=1,0,MIN(10,BD49)*BD48)),MAX(0,40*MAX(1,BD48)-(BA50+BB50+BC50)))))</f>
        <v>0</v>
      </c>
      <c r="BE51" s="63">
        <f>IF(AND(BE48=0,BE49=0),0,IF(BE48&lt;=0,0,IF(WEEKDAY(BE$6,1)=1,0,MAX(0,BE49-10)*BE48))+((IF(BE48&lt;=0,0,IF(WEEKDAY(BE$6,1)=1,0,MIN(10,BE49)*BE48)))-MIN(IF(BE48&lt;=0,0,IF(WEEKDAY(BE$6,1)=1,0,MIN(10,BE49)*BE48)),MAX(0,40*MAX(1,BE48)-(BA50+BB50+BC50+BD50)))))</f>
        <v>0</v>
      </c>
      <c r="BF51" s="64">
        <f>IF(AND(BF48=0,BF49=0),0,IF(BF48&lt;=0,0,IF(WEEKDAY(BF$6,1)=1,0,MAX(0,BF49-10)*BF48))+((IF(BF48&lt;=0,0,IF(WEEKDAY(BF$6,1)=1,0,MIN(10,BF49)*BF48)))-MIN(IF(BF48&lt;=0,0,IF(WEEKDAY(BF$6,1)=1,0,MIN(10,BF49)*BF48)),MAX(0,40*MAX(1,BF48)-(BA50+BB50+BC50+BD50+BE50)))))</f>
        <v>0</v>
      </c>
      <c r="BG51" s="64">
        <f>IF(AND(BG48=0,BG49=0),0,IF(BG48&lt;=0,0,IF(WEEKDAY(BG$6,1)=1,0,MAX(0,BG49-10)*BG48))+((IF(BG48&lt;=0,0,IF(WEEKDAY(BG$6,1)=1,0,MIN(10,BG49)*BG48)))-MIN(IF(BG48&lt;=0,0,IF(WEEKDAY(BG$6,1)=1,0,MIN(10,BG49)*BG48)),MAX(0,40*MAX(1,BG48)-(BA50+BB50+BC50+BD50+BE50+BF50)))))</f>
        <v>0</v>
      </c>
      <c r="BH51" s="63">
        <f>IF(AND(BH48=1,BH49=13),3,IF(BH48&lt;=0,0,IF(WEEKDAY(BH$6,1)=1,0,MAX(0,BH49-10)*BH48))+((IF(BH48&lt;=0,0,IF(WEEKDAY(BH$6,1)=1,0,MIN(10,BH49)*BH48)))-MIN(IF(BH48&lt;=0,0,IF(WEEKDAY(BH$6,1)=1,0,MIN(10,BH49)*BH48)),MAX(0,40*MAX(1,BH48)-(0)))))</f>
        <v>3</v>
      </c>
      <c r="BI51" s="63">
        <f>IF(AND(BI48=1,BI49=13),3,IF(BI48&lt;=0,0,IF(WEEKDAY(BI$6,1)=1,0,MAX(0,BI49-10)*BI48))+((IF(BI48&lt;=0,0,IF(WEEKDAY(BI$6,1)=1,0,MIN(10,BI49)*BI48)))-MIN(IF(BI48&lt;=0,0,IF(WEEKDAY(BI$6,1)=1,0,MIN(10,BI49)*BI48)),MAX(0,40*MAX(1,BI48)-(BH50)))))</f>
        <v>3</v>
      </c>
      <c r="BJ51" s="63">
        <f>IF(AND(BJ48=1,BJ49=13),3,IF(BJ48&lt;=0,0,IF(WEEKDAY(BJ$6,1)=1,0,MAX(0,BJ49-10)*BJ48))+((IF(BJ48&lt;=0,0,IF(WEEKDAY(BJ$6,1)=1,0,MIN(10,BJ49)*BJ48)))-MIN(IF(BJ48&lt;=0,0,IF(WEEKDAY(BJ$6,1)=1,0,MIN(10,BJ49)*BJ48)),MAX(0,40*MAX(1,BJ48)-(BH50+BI50)))))</f>
        <v>3</v>
      </c>
      <c r="BK51" s="63">
        <f>IF(AND(BK48=1,BK49=13),3,IF(BK48&lt;=0,0,IF(WEEKDAY(BK$6,1)=1,0,MAX(0,BK49-10)*BK48))+((IF(BK48&lt;=0,0,IF(WEEKDAY(BK$6,1)=1,0,MIN(10,BK49)*BK48)))-MIN(IF(BK48&lt;=0,0,IF(WEEKDAY(BK$6,1)=1,0,MIN(10,BK49)*BK48)),MAX(0,40*MAX(1,BK48)-(BH50+BI50+BJ50)))))</f>
        <v>3</v>
      </c>
      <c r="BL51" s="63">
        <f>IF(AND(BL48=1,BL49=13),13,IF(BL48&lt;=0,0,IF(WEEKDAY(BL$6,1)=1,0,MAX(0,BL49-10)*BL48))+((IF(BL48&lt;=0,0,IF(WEEKDAY(BL$6,1)=1,0,MIN(10,BL49)*BL48)))-MIN(IF(BL48&lt;=0,0,IF(WEEKDAY(BL$6,1)=1,0,MIN(10,BL49)*BL48)),MAX(0,40*MAX(1,BL48)-(BH50+BI50+BJ50+BK50)))))</f>
        <v>13</v>
      </c>
      <c r="BM51" s="64">
        <f>IF(AND(BM48=1,BM49=13),13,IF(BM48&lt;=0,0,IF(WEEKDAY(BM$6,1)=1,0,MAX(0,BM49-10)*BM48))+((IF(BM48&lt;=0,0,IF(WEEKDAY(BM$6,1)=1,0,MIN(10,BM49)*BM48)))-MIN(IF(BM48&lt;=0,0,IF(WEEKDAY(BM$6,1)=1,0,MIN(10,BM49)*BM48)),MAX(0,40*MAX(1,BM48)-(BH50+BI50+BJ50+BK50+BL50)))))</f>
        <v>13</v>
      </c>
      <c r="BN51" s="64">
        <f>IF(AND(BN48=1,BN49=13),0,IF(BN48&lt;=0,0,IF(WEEKDAY(BN$6,1)=1,0,MAX(0,BN49-10)*BN48))+((IF(BN48&lt;=0,0,IF(WEEKDAY(BN$6,1)=1,0,MIN(10,BN49)*BN48)))-MIN(IF(BN48&lt;=0,0,IF(WEEKDAY(BN$6,1)=1,0,MIN(10,BN49)*BN48)),MAX(0,40*MAX(1,BN48)-(BH50+BI50+BJ50+BK50+BL50+BM50)))))</f>
        <v>0</v>
      </c>
      <c r="BO51" s="63">
        <f>IF(AND(BO48=1,BO49=13),3,IF(BO48&lt;=0,0,IF(WEEKDAY(BO$6,1)=1,0,MAX(0,BO49-10)*BO48))+((IF(BO48&lt;=0,0,IF(WEEKDAY(BO$6,1)=1,0,MIN(10,BO49)*BO48)))-MIN(IF(BO48&lt;=0,0,IF(WEEKDAY(BO$6,1)=1,0,MIN(10,BO49)*BO48)),MAX(0,40*MAX(1,BO48)-(0)))))</f>
        <v>3</v>
      </c>
      <c r="BP51" s="63">
        <f>IF(AND(BP48=1,BP49=13),3,IF(BP48&lt;=0,0,IF(WEEKDAY(BP$6,1)=1,0,MAX(0,BP49-10)*BP48))+((IF(BP48&lt;=0,0,IF(WEEKDAY(BP$6,1)=1,0,MIN(10,BP49)*BP48)))-MIN(IF(BP48&lt;=0,0,IF(WEEKDAY(BP$6,1)=1,0,MIN(10,BP49)*BP48)),MAX(0,40*MAX(1,BP48)-(BO50)))))</f>
        <v>3</v>
      </c>
      <c r="BQ51" s="63">
        <f>IF(AND(BQ48=1,BQ49=13),3,IF(BQ48&lt;=0,0,IF(WEEKDAY(BQ$6,1)=1,0,MAX(0,BQ49-10)*BQ48))+((IF(BQ48&lt;=0,0,IF(WEEKDAY(BQ$6,1)=1,0,MIN(10,BQ49)*BQ48)))-MIN(IF(BQ48&lt;=0,0,IF(WEEKDAY(BQ$6,1)=1,0,MIN(10,BQ49)*BQ48)),MAX(0,40*MAX(1,BQ48)-(BO50+BP50)))))</f>
        <v>3</v>
      </c>
      <c r="BR51" s="63">
        <f>IF(AND(BR48=1,BR49=13),3,IF(BR48&lt;=0,0,IF(WEEKDAY(BR$6,1)=1,0,MAX(0,BR49-10)*BR48))+((IF(BR48&lt;=0,0,IF(WEEKDAY(BR$6,1)=1,0,MIN(10,BR49)*BR48)))-MIN(IF(BR48&lt;=0,0,IF(WEEKDAY(BR$6,1)=1,0,MIN(10,BR49)*BR48)),MAX(0,40*MAX(1,BR48)-(0)))))</f>
        <v>3</v>
      </c>
      <c r="BS51" s="63">
        <f>IF(AND(BS48=1,BS49=13),3,IF(BS48&lt;=0,0,IF(WEEKDAY(BS$6,1)=1,0,MAX(0,BS49-10)*BS48))+((IF(BS48&lt;=0,0,IF(WEEKDAY(BS$6,1)=1,0,MIN(10,BS49)*BS48)))-MIN(IF(BS48&lt;=0,0,IF(WEEKDAY(BS$6,1)=1,0,MIN(10,BS49)*BS48)),MAX(0,40*MAX(1,BS48)-(BR50)))))</f>
        <v>3</v>
      </c>
      <c r="BT51" s="64">
        <f>IF(AND(BT48=1,BT49=13),3,IF(BT48&lt;=0,0,IF(WEEKDAY(BT$6,1)=1,0,MAX(0,BT49-10)*BT48))+((IF(BT48&lt;=0,0,IF(WEEKDAY(BT$6,1)=1,0,MIN(10,BT49)*BT48)))-MIN(IF(BT48&lt;=0,0,IF(WEEKDAY(BT$6,1)=1,0,MIN(10,BT49)*BT48)),MAX(0,40*MAX(1,BT48)-(BR50+BS50)))))</f>
        <v>3</v>
      </c>
      <c r="BU51" s="64">
        <f>IF(AND(BU48=1,BU49=13),0,IF(BU48&lt;=0,0,IF(WEEKDAY(BU$6,1)=1,0,MAX(0,BU49-10)*BU48))+((IF(BU48&lt;=0,0,IF(WEEKDAY(BU$6,1)=1,0,MIN(10,BU49)*BU48)))-MIN(IF(BU48&lt;=0,0,IF(WEEKDAY(BU$6,1)=1,0,MIN(10,BU49)*BU48)),MAX(0,40*MAX(1,BU48)-(BR50+BS50+BT50)))))</f>
        <v>0</v>
      </c>
      <c r="BV51" s="63">
        <f>IF(AND(BV48=1,BV49=13),3,IF(BV48&lt;=0,0,IF(WEEKDAY(BV$6,1)=1,0,MAX(0,BV49-10)*BV48))+((IF(BV48&lt;=0,0,IF(WEEKDAY(BV$6,1)=1,0,MIN(10,BV49)*BV48)))-MIN(IF(BV48&lt;=0,0,IF(WEEKDAY(BV$6,1)=1,0,MIN(10,BV49)*BV48)),MAX(0,40*MAX(1,BV48)-(0)))))</f>
        <v>3</v>
      </c>
      <c r="BW51" s="63">
        <f>IF(AND(BW48=1,BW49=13),3,IF(BW48&lt;=0,0,IF(WEEKDAY(BW$6,1)=1,0,MAX(0,BW49-10)*BW48))+((IF(BW48&lt;=0,0,IF(WEEKDAY(BW$6,1)=1,0,MIN(10,BW49)*BW48)))-MIN(IF(BW48&lt;=0,0,IF(WEEKDAY(BW$6,1)=1,0,MIN(10,BW49)*BW48)),MAX(0,40*MAX(1,BW48)-(BV50)))))</f>
        <v>3</v>
      </c>
      <c r="BX51" s="63">
        <f>IF(AND(BX48=1,BX49=13),3,IF(BX48&lt;=0,0,IF(WEEKDAY(BX$6,1)=1,0,MAX(0,BX49-10)*BX48))+((IF(BX48&lt;=0,0,IF(WEEKDAY(BX$6,1)=1,0,MIN(10,BX49)*BX48)))-MIN(IF(BX48&lt;=0,0,IF(WEEKDAY(BX$6,1)=1,0,MIN(10,BX49)*BX48)),MAX(0,40*MAX(1,BX48)-(BV50+BW50)))))</f>
        <v>3</v>
      </c>
      <c r="BY51" s="63">
        <f>IF(AND(BY48=1,BY49=13),3,IF(BY48&lt;=0,0,IF(WEEKDAY(BY$6,1)=1,0,MAX(0,BY49-10)*BY48))+((IF(BY48&lt;=0,0,IF(WEEKDAY(BY$6,1)=1,0,MIN(10,BY49)*BY48)))-MIN(IF(BY48&lt;=0,0,IF(WEEKDAY(BY$6,1)=1,0,MIN(10,BY49)*BY48)),MAX(0,40*MAX(1,BY48)-(BV50+BW50+BX50)))))</f>
        <v>3</v>
      </c>
      <c r="BZ51" s="63">
        <f>IF(AND(BZ48=1,BZ49=13),13,IF(BZ48&lt;=0,0,IF(WEEKDAY(BZ$6,1)=1,0,MAX(0,BZ49-10)*BZ48))+((IF(BZ48&lt;=0,0,IF(WEEKDAY(BZ$6,1)=1,0,MIN(10,BZ49)*BZ48)))-MIN(IF(BZ48&lt;=0,0,IF(WEEKDAY(BZ$6,1)=1,0,MIN(10,BZ49)*BZ48)),MAX(0,40*MAX(1,BZ48)-(BV50+BW50+BX50+BY50)))))</f>
        <v>13</v>
      </c>
      <c r="CA51" s="64">
        <f>IF(AND(CA48=1,CA49=13),13,IF(CA48&lt;=0,0,IF(WEEKDAY(CA$6,1)=1,0,MAX(0,CA49-10)*CA48))+((IF(CA48&lt;=0,0,IF(WEEKDAY(CA$6,1)=1,0,MIN(10,CA49)*CA48)))-MIN(IF(CA48&lt;=0,0,IF(WEEKDAY(CA$6,1)=1,0,MIN(10,CA49)*CA48)),MAX(0,40*MAX(1,CA48)-(BV50+BW50+BX50+BY50+BZ50)))))</f>
        <v>13</v>
      </c>
      <c r="CB51" s="64">
        <f>IF(AND(CB48=0,CB49=0),0,IF(CB48&lt;=0,0,IF(WEEKDAY(CB$6,1)=1,0,MAX(0,CB49-10)*CB48))+((IF(CB48&lt;=0,0,IF(WEEKDAY(CB$6,1)=1,0,MIN(10,CB49)*CB48)))-MIN(IF(CB48&lt;=0,0,IF(WEEKDAY(CB$6,1)=1,0,MIN(10,CB49)*CB48)),MAX(0,40*MAX(1,CB48)-(0)))))</f>
        <v>0</v>
      </c>
      <c r="CC51" s="63">
        <f>IF(AND(CC48=1,CC49=13),3,IF(CC48&lt;=0,0,IF(WEEKDAY(CC$6,1)=1,0,MAX(0,CC49-10)*CC48))+((IF(CC48&lt;=0,0,IF(WEEKDAY(CC$6,1)=1,0,MIN(10,CC49)*CC48)))-MIN(IF(CC48&lt;=0,0,IF(WEEKDAY(CC$6,1)=1,0,MIN(10,CC49)*CC48)),MAX(0,40*MAX(1,CC48)-(0)))))</f>
        <v>3</v>
      </c>
      <c r="CD51" s="63">
        <f>IF(AND(CD48=1,CD49=13),3,IF(CD48&lt;=0,0,IF(WEEKDAY(CD$6,1)=1,0,MAX(0,CD49-10)*CD48))+((IF(CD48&lt;=0,0,IF(WEEKDAY(CD$6,1)=1,0,MIN(10,CD49)*CD48)))-MIN(IF(CD48&lt;=0,0,IF(WEEKDAY(CD$6,1)=1,0,MIN(10,CD49)*CD48)),MAX(0,40*MAX(1,CD48)-(CC50)))))</f>
        <v>3</v>
      </c>
      <c r="CE51" s="63">
        <f>IF(AND(CE48=1,CE49=13),3,IF(CE48&lt;=0,0,IF(WEEKDAY(CE$6,1)=1,0,MAX(0,CE49-10)*CE48))+((IF(CE48&lt;=0,0,IF(WEEKDAY(CE$6,1)=1,0,MIN(10,CE49)*CE48)))-MIN(IF(CE48&lt;=0,0,IF(WEEKDAY(CE$6,1)=1,0,MIN(10,CE49)*CE48)),MAX(0,40*MAX(1,CE48)-(CC50+CD50)))))</f>
        <v>3</v>
      </c>
      <c r="CF51" s="63">
        <f>IF(AND(CF48=1,CF49=13),3,IF(CF48&lt;=0,0,IF(WEEKDAY(CF$6,1)=1,0,MAX(0,CF49-10)*CF48))+((IF(CF48&lt;=0,0,IF(WEEKDAY(CF$6,1)=1,0,MIN(10,CF49)*CF48)))-MIN(IF(CF48&lt;=0,0,IF(WEEKDAY(CF$6,1)=1,0,MIN(10,CF49)*CF48)),MAX(0,40*MAX(1,CF48)-(CC50+CD50+CE50)))))</f>
        <v>3</v>
      </c>
      <c r="CG51" s="63">
        <f>IF(AND(CG48=1,CG49=13),13,IF(CG48&lt;=0,0,IF(WEEKDAY(CG$6,1)=1,0,MAX(0,CG49-10)*CG48))+((IF(CG48&lt;=0,0,IF(WEEKDAY(CG$6,1)=1,0,MIN(10,CG49)*CG48)))-MIN(IF(CG48&lt;=0,0,IF(WEEKDAY(CG$6,1)=1,0,MIN(10,CG49)*CG48)),MAX(0,40*MAX(1,CG48)-(CC50+CD50+CE50+CF50)))))</f>
        <v>13</v>
      </c>
      <c r="CH51" s="64">
        <f>IF(AND(CH48=1,CH49=13),13,IF(CH48&lt;=0,0,IF(WEEKDAY(CH$6,1)=1,0,MAX(0,CH49-10)*CH48))+((IF(CH48&lt;=0,0,IF(WEEKDAY(CH$6,1)=1,0,MIN(10,CH49)*CH48)))-MIN(IF(CH48&lt;=0,0,IF(WEEKDAY(CH$6,1)=1,0,MIN(10,CH49)*CH48)),MAX(0,40*MAX(1,CH48)-(CC50+CD50+CE50+CF50+CG50)))))</f>
        <v>13</v>
      </c>
      <c r="CI51" s="64">
        <f>IF(AND(CI48=1,CI49=13),0,IF(CI48&lt;=0,0,IF(WEEKDAY(CI$6,1)=1,0,MAX(0,CI49-10)*CI48))+((IF(CI48&lt;=0,0,IF(WEEKDAY(CI$6,1)=1,0,MIN(10,CI49)*CI48)))-MIN(IF(CI48&lt;=0,0,IF(WEEKDAY(CI$6,1)=1,0,MIN(10,CI49)*CI48)),MAX(0,40*MAX(1,CI48)-(CC50+CD50+CE50+CF50+CG50+CH50)))))</f>
        <v>0</v>
      </c>
      <c r="CJ51" s="63">
        <f>IF(AND(CJ48=1,CJ49=13),3,IF(CJ48&lt;=0,0,IF(WEEKDAY(CJ$6,1)=1,0,MAX(0,CJ49-10)*CJ48))+((IF(CJ48&lt;=0,0,IF(WEEKDAY(CJ$6,1)=1,0,MIN(10,CJ49)*CJ48)))-MIN(IF(CJ48&lt;=0,0,IF(WEEKDAY(CJ$6,1)=1,0,MIN(10,CJ49)*CJ48)),MAX(0,40*MAX(1,CJ48)-(0)))))</f>
        <v>3</v>
      </c>
      <c r="CK51" s="63">
        <f>IF(AND(CK48=1,CK49=13),3,IF(CK48&lt;=0,0,IF(WEEKDAY(CK$6,1)=1,0,MAX(0,CK49-10)*CK48))+((IF(CK48&lt;=0,0,IF(WEEKDAY(CK$6,1)=1,0,MIN(10,CK49)*CK48)))-MIN(IF(CK48&lt;=0,0,IF(WEEKDAY(CK$6,1)=1,0,MIN(10,CK49)*CK48)),MAX(0,40*MAX(1,CK48)-(CJ50)))))</f>
        <v>3</v>
      </c>
      <c r="CL51" s="63">
        <f>IF(AND(CL48=1,CL49=13),3,IF(CL48&lt;=0,0,IF(WEEKDAY(CL$6,1)=1,0,MAX(0,CL49-10)*CL48))+((IF(CL48&lt;=0,0,IF(WEEKDAY(CL$6,1)=1,0,MIN(10,CL49)*CL48)))-MIN(IF(CL48&lt;=0,0,IF(WEEKDAY(CL$6,1)=1,0,MIN(10,CL49)*CL48)),MAX(0,40*MAX(1,CL48)-(CJ50+CK50)))))</f>
        <v>3</v>
      </c>
      <c r="CM51" s="63">
        <f>IF(AND(CM48=1,CM49=13),3,IF(CM48&lt;=0,0,IF(WEEKDAY(CM$6,1)=1,0,MAX(0,CM49-10)*CM48))+((IF(CM48&lt;=0,0,IF(WEEKDAY(CM$6,1)=1,0,MIN(10,CM49)*CM48)))-MIN(IF(CM48&lt;=0,0,IF(WEEKDAY(CM$6,1)=1,0,MIN(10,CM49)*CM48)),MAX(0,40*MAX(1,CM48)-(CJ50+CK50+CL50)))))</f>
        <v>3</v>
      </c>
      <c r="CN51" s="63">
        <f>IF(AND(CN48=1,CN49=13),13,IF(CN48&lt;=0,0,IF(WEEKDAY(CN$6,1)=1,0,MAX(0,CN49-10)*CN48))+((IF(CN48&lt;=0,0,IF(WEEKDAY(CN$6,1)=1,0,MIN(10,CN49)*CN48)))-MIN(IF(CN48&lt;=0,0,IF(WEEKDAY(CN$6,1)=1,0,MIN(10,CN49)*CN48)),MAX(0,40*MAX(1,CN48)-(CJ50+CK50+CL50+CM50)))))</f>
        <v>13</v>
      </c>
      <c r="CO51" s="64">
        <f>IF(AND(CO48=1,CO49=13),13,IF(CO48&lt;=0,0,IF(WEEKDAY(CO$6,1)=1,0,MAX(0,CO49-10)*CO48))+((IF(CO48&lt;=0,0,IF(WEEKDAY(CO$6,1)=1,0,MIN(10,CO49)*CO48)))-MIN(IF(CO48&lt;=0,0,IF(WEEKDAY(CO$6,1)=1,0,MIN(10,CO49)*CO48)),MAX(0,40*MAX(1,CO48)-(CJ50+CK50+CL50+CM50+CN50)))))</f>
        <v>13</v>
      </c>
      <c r="CP51" s="64">
        <f>IF(AND(CP48=0,CP49=0),0,IF(CP48&lt;=0,0,IF(WEEKDAY(CP$6,1)=1,0,MAX(0,CP49-10)*CP48))+((IF(CP48&lt;=0,0,IF(WEEKDAY(CP$6,1)=1,0,MIN(10,CP49)*CP48)))-MIN(IF(CP48&lt;=0,0,IF(WEEKDAY(CP$6,1)=1,0,MIN(10,CP49)*CP48)),MAX(0,40*MAX(1,CP48)-(0)))))</f>
        <v>0</v>
      </c>
      <c r="CQ51" s="63">
        <f>IF(AND(CQ48=1,CQ49=13),3,IF(CQ48&lt;=0,0,IF(WEEKDAY(CQ$6,1)=1,0,MAX(0,CQ49-10)*CQ48))+((IF(CQ48&lt;=0,0,IF(WEEKDAY(CQ$6,1)=1,0,MIN(10,CQ49)*CQ48)))-MIN(IF(CQ48&lt;=0,0,IF(WEEKDAY(CQ$6,1)=1,0,MIN(10,CQ49)*CQ48)),MAX(0,40*MAX(1,CQ48)-(0)))))</f>
        <v>3</v>
      </c>
      <c r="CR51" s="63">
        <f>IF(AND(CR48=1,CR49=13),3,IF(CR48&lt;=0,0,IF(WEEKDAY(CR$6,1)=1,0,MAX(0,CR49-10)*CR48))+((IF(CR48&lt;=0,0,IF(WEEKDAY(CR$6,1)=1,0,MIN(10,CR49)*CR48)))-MIN(IF(CR48&lt;=0,0,IF(WEEKDAY(CR$6,1)=1,0,MIN(10,CR49)*CR48)),MAX(0,40*MAX(1,CR48)-(CQ50)))))</f>
        <v>3</v>
      </c>
      <c r="CS51" s="63">
        <f>IF(AND(CS48=1,CS49=13),3,IF(CS48&lt;=0,0,IF(WEEKDAY(CS$6,1)=1,0,MAX(0,CS49-10)*CS48))+((IF(CS48&lt;=0,0,IF(WEEKDAY(CS$6,1)=1,0,MIN(10,CS49)*CS48)))-MIN(IF(CS48&lt;=0,0,IF(WEEKDAY(CS$6,1)=1,0,MIN(10,CS49)*CS48)),MAX(0,40*MAX(1,CS48)-(CQ50+CR50)))))</f>
        <v>3</v>
      </c>
      <c r="CT51" s="63">
        <f>IF(AND(CT48=1,CT49=13),3,IF(CT48&lt;=0,0,IF(WEEKDAY(CT$6,1)=1,0,MAX(0,CT49-10)*CT48))+((IF(CT48&lt;=0,0,IF(WEEKDAY(CT$6,1)=1,0,MIN(10,CT49)*CT48)))-MIN(IF(CT48&lt;=0,0,IF(WEEKDAY(CT$6,1)=1,0,MIN(10,CT49)*CT48)),MAX(0,40*MAX(1,CT48)-(CQ50+CR50+CS50)))))</f>
        <v>3</v>
      </c>
      <c r="CU51" s="63">
        <f>IF(AND(CU48=1,CU49=13),13,IF(CU48&lt;=0,0,IF(WEEKDAY(CU$6,1)=1,0,MAX(0,CU49-10)*CU48))+((IF(CU48&lt;=0,0,IF(WEEKDAY(CU$6,1)=1,0,MIN(10,CU49)*CU48)))-MIN(IF(CU48&lt;=0,0,IF(WEEKDAY(CU$6,1)=1,0,MIN(10,CU49)*CU48)),MAX(0,40*MAX(1,CU48)-(CQ50+CR50+CS50+CT50)))))</f>
        <v>13</v>
      </c>
      <c r="CV51" s="64">
        <f>IF(AND(CV48=1,CV49=13),13,IF(CV48&lt;=0,0,IF(WEEKDAY(CV$6,1)=1,0,MAX(0,CV49-10)*CV48))+((IF(CV48&lt;=0,0,IF(WEEKDAY(CV$6,1)=1,0,MIN(10,CV49)*CV48)))-MIN(IF(CV48&lt;=0,0,IF(WEEKDAY(CV$6,1)=1,0,MIN(10,CV49)*CV48)),MAX(0,40*MAX(1,CV48)-(CQ50+CR50+CS50+CT50+CU50)))))</f>
        <v>13</v>
      </c>
      <c r="CW51" s="64">
        <f>IF(AND(CW48=1,CW49=13),0,IF(CW48&lt;=0,0,IF(WEEKDAY(CW$6,1)=1,0,MAX(0,CW49-10)*CW48))+((IF(CW48&lt;=0,0,IF(WEEKDAY(CW$6,1)=1,0,MIN(10,CW49)*CW48)))-MIN(IF(CW48&lt;=0,0,IF(WEEKDAY(CW$6,1)=1,0,MIN(10,CW49)*CW48)),MAX(0,40*MAX(1,CW48)-(CQ50+CR50+CS50+CT50+CU50+CV50)))))</f>
        <v>0</v>
      </c>
      <c r="CX51" s="63">
        <f>IF(AND(CX48=1,CX49=13),3,IF(CX48&lt;=0,0,IF(WEEKDAY(CX$6,1)=1,0,MAX(0,CX49-10)*CX48))+((IF(CX48&lt;=0,0,IF(WEEKDAY(CX$6,1)=1,0,MIN(10,CX49)*CX48)))-MIN(IF(CX48&lt;=0,0,IF(WEEKDAY(CX$6,1)=1,0,MIN(10,CX49)*CX48)),MAX(0,40*MAX(1,CX48)-(0)))))</f>
        <v>3</v>
      </c>
      <c r="CY51" s="63">
        <f>IF(AND(CY48=1,CY49=13),3,IF(CY48&lt;=0,0,IF(WEEKDAY(CY$6,1)=1,0,MAX(0,CY49-10)*CY48))+((IF(CY48&lt;=0,0,IF(WEEKDAY(CY$6,1)=1,0,MIN(10,CY49)*CY48)))-MIN(IF(CY48&lt;=0,0,IF(WEEKDAY(CY$6,1)=1,0,MIN(10,CY49)*CY48)),MAX(0,40*MAX(1,CY48)-(CX50)))))</f>
        <v>3</v>
      </c>
      <c r="CZ51" s="63">
        <f>IF(AND(CZ48=1,CZ49=13),3,IF(CZ48&lt;=0,0,IF(WEEKDAY(CZ$6,1)=1,0,MAX(0,CZ49-10)*CZ48))+((IF(CZ48&lt;=0,0,IF(WEEKDAY(CZ$6,1)=1,0,MIN(10,CZ49)*CZ48)))-MIN(IF(CZ48&lt;=0,0,IF(WEEKDAY(CZ$6,1)=1,0,MIN(10,CZ49)*CZ48)),MAX(0,40*MAX(1,CZ48)-(CX50+CY50)))))</f>
        <v>3</v>
      </c>
      <c r="DA51" s="63">
        <f>IF(AND(DA48=1,DA49=13),3,IF(DA48&lt;=0,0,IF(WEEKDAY(DA$6,1)=1,0,MAX(0,DA49-10)*DA48))+((IF(DA48&lt;=0,0,IF(WEEKDAY(DA$6,1)=1,0,MIN(10,DA49)*DA48)))-MIN(IF(DA48&lt;=0,0,IF(WEEKDAY(DA$6,1)=1,0,MIN(10,DA49)*DA48)),MAX(0,40*MAX(1,DA48)-(CX50+CY50+CZ50)))))</f>
        <v>3</v>
      </c>
      <c r="DB51" s="63">
        <f>IF(AND(DB48=1,DB49=13),13,IF(DB48&lt;=0,0,IF(WEEKDAY(DB$6,1)=1,0,MAX(0,DB49-10)*DB48))+((IF(DB48&lt;=0,0,IF(WEEKDAY(DB$6,1)=1,0,MIN(10,DB49)*DB48)))-MIN(IF(DB48&lt;=0,0,IF(WEEKDAY(DB$6,1)=1,0,MIN(10,DB49)*DB48)),MAX(0,40*MAX(1,DB48)-(CX50+CY50+CZ50+DA50)))))</f>
        <v>13</v>
      </c>
      <c r="DC51" s="64">
        <f>IF(AND(DC48=1,DC49=13),13,IF(DC48&lt;=0,0,IF(WEEKDAY(DC$6,1)=1,0,MAX(0,DC49-10)*DC48))+((IF(DC48&lt;=0,0,IF(WEEKDAY(DC$6,1)=1,0,MIN(10,DC49)*DC48)))-MIN(IF(DC48&lt;=0,0,IF(WEEKDAY(DC$6,1)=1,0,MIN(10,DC49)*DC48)),MAX(0,40*MAX(1,DC48)-(CX50+CY50+CZ50+DA50+DB50)))))</f>
        <v>13</v>
      </c>
      <c r="DD51" s="64">
        <f>IF(AND(DD48=1,DD49=13),0,IF(DD48&lt;=0,0,IF(WEEKDAY(DD$6,1)=1,0,MAX(0,DD49-10)*DD48))+((IF(DD48&lt;=0,0,IF(WEEKDAY(DD$6,1)=1,0,MIN(10,DD49)*DD48)))-MIN(IF(DD48&lt;=0,0,IF(WEEKDAY(DD$6,1)=1,0,MIN(10,DD49)*DD48)),MAX(0,40*MAX(1,DD48)-(0)))))</f>
        <v>0</v>
      </c>
      <c r="DE51" s="63">
        <f>IF(AND(DE48=1,DE49=13),3,IF(DE48&lt;=0,0,IF(WEEKDAY(DE$6,1)=1,0,MAX(0,DE49-10)*DE48))+((IF(DE48&lt;=0,0,IF(WEEKDAY(DE$6,1)=1,0,MIN(10,DE49)*DE48)))-MIN(IF(DE48&lt;=0,0,IF(WEEKDAY(DE$6,1)=1,0,MIN(10,DE49)*DE48)),MAX(0,40*MAX(1,DE48)-(0)))))</f>
        <v>3</v>
      </c>
      <c r="DF51" s="63">
        <f>IF(AND(DF48=1,DF49=13),3,IF(DF48&lt;=0,0,IF(WEEKDAY(DF$6,1)=1,0,MAX(0,DF49-10)*DF48))+((IF(DF48&lt;=0,0,IF(WEEKDAY(DF$6,1)=1,0,MIN(10,DF49)*DF48)))-MIN(IF(DF48&lt;=0,0,IF(WEEKDAY(DF$6,1)=1,0,MIN(10,DF49)*DF48)),MAX(0,40*MAX(1,DF48)-(DE50)))))</f>
        <v>3</v>
      </c>
      <c r="DG51" s="63">
        <f>IF(AND(DG48=1,DG49=13),3,IF(DG48&lt;=0,0,IF(WEEKDAY(DG$6,1)=1,0,MAX(0,DG49-10)*DG48))+((IF(DG48&lt;=0,0,IF(WEEKDAY(DG$6,1)=1,0,MIN(10,DG49)*DG48)))-MIN(IF(DG48&lt;=0,0,IF(WEEKDAY(DG$6,1)=1,0,MIN(10,DG49)*DG48)),MAX(0,40*MAX(1,DG48)-(DE50+DF50)))))</f>
        <v>3</v>
      </c>
      <c r="DH51" s="63">
        <f>IF(AND(DH48=1,DH49=13),3,IF(DH48&lt;=0,0,IF(WEEKDAY(DH$6,1)=1,0,MAX(0,DH49-10)*DH48))+((IF(DH48&lt;=0,0,IF(WEEKDAY(DH$6,1)=1,0,MIN(10,DH49)*DH48)))-MIN(IF(DH48&lt;=0,0,IF(WEEKDAY(DH$6,1)=1,0,MIN(10,DH49)*DH48)),MAX(0,40*MAX(1,DH48)-(DE50+DF50+DG50)))))</f>
        <v>3</v>
      </c>
      <c r="DI51" s="63">
        <f>IF(AND(DI48=1,DI49=13),13,IF(DI48&lt;=0,0,IF(WEEKDAY(DI$6,1)=1,0,MAX(0,DI49-10)*DI48))+((IF(DI48&lt;=0,0,IF(WEEKDAY(DI$6,1)=1,0,MIN(10,DI49)*DI48)))-MIN(IF(DI48&lt;=0,0,IF(WEEKDAY(DI$6,1)=1,0,MIN(10,DI49)*DI48)),MAX(0,40*MAX(1,DI48)-(DE50+DF50+DG50+DH50)))))</f>
        <v>13</v>
      </c>
      <c r="DJ51" s="64">
        <f>IF(AND(DJ48=1,DJ49=13),13,IF(DJ48&lt;=0,0,IF(WEEKDAY(DJ$6,1)=1,0,MAX(0,DJ49-10)*DJ48))+((IF(DJ48&lt;=0,0,IF(WEEKDAY(DJ$6,1)=1,0,MIN(10,DJ49)*DJ48)))-MIN(IF(DJ48&lt;=0,0,IF(WEEKDAY(DJ$6,1)=1,0,MIN(10,DJ49)*DJ48)),MAX(0,40*MAX(1,DJ48)-(DE50+DF50+DG50+DH50+DI50)))))</f>
        <v>13</v>
      </c>
      <c r="DK51" s="64">
        <f>IF(AND(DK48=0,DK49=0),0,IF(DK48&lt;=0,0,IF(WEEKDAY(DK$6,1)=1,0,MAX(0,DK49-10)*DK48))+((IF(DK48&lt;=0,0,IF(WEEKDAY(DK$6,1)=1,0,MIN(10,DK49)*DK48)))-MIN(IF(DK48&lt;=0,0,IF(WEEKDAY(DK$6,1)=1,0,MIN(10,DK49)*DK48)),MAX(0,40*MAX(1,DK48)-(0)))))</f>
        <v>0</v>
      </c>
      <c r="DL51" s="63">
        <f>IF(AND(DL48=1,DL49=13),3,IF(DL48&lt;=0,0,IF(WEEKDAY(DL$6,1)=1,0,MAX(0,DL49-10)*DL48))+((IF(DL48&lt;=0,0,IF(WEEKDAY(DL$6,1)=1,0,MIN(10,DL49)*DL48)))-MIN(IF(DL48&lt;=0,0,IF(WEEKDAY(DL$6,1)=1,0,MIN(10,DL49)*DL48)),MAX(0,40*MAX(1,DL48)-(0)))))</f>
        <v>3</v>
      </c>
      <c r="DM51" s="63">
        <f>IF(AND(DM48=1,DM49=13),3,IF(DM48&lt;=0,0,IF(WEEKDAY(DM$6,1)=1,0,MAX(0,DM49-10)*DM48))+((IF(DM48&lt;=0,0,IF(WEEKDAY(DM$6,1)=1,0,MIN(10,DM49)*DM48)))-MIN(IF(DM48&lt;=0,0,IF(WEEKDAY(DM$6,1)=1,0,MIN(10,DM49)*DM48)),MAX(0,40*MAX(1,DM48)-(DL50)))))</f>
        <v>3</v>
      </c>
      <c r="DN51" s="63">
        <f>IF(AND(DN48=1,DN49=13),3,IF(DN48&lt;=0,0,IF(WEEKDAY(DN$6,1)=1,0,MAX(0,DN49-10)*DN48))+((IF(DN48&lt;=0,0,IF(WEEKDAY(DN$6,1)=1,0,MIN(10,DN49)*DN48)))-MIN(IF(DN48&lt;=0,0,IF(WEEKDAY(DN$6,1)=1,0,MIN(10,DN49)*DN48)),MAX(0,40*MAX(1,DN48)-(DL50+DM50)))))</f>
        <v>3</v>
      </c>
      <c r="DO51" s="63">
        <f>IF(AND(DO48=1,DO49=13),3,IF(DO48&lt;=0,0,IF(WEEKDAY(DO$6,1)=1,0,MAX(0,DO49-10)*DO48))+((IF(DO48&lt;=0,0,IF(WEEKDAY(DO$6,1)=1,0,MIN(10,DO49)*DO48)))-MIN(IF(DO48&lt;=0,0,IF(WEEKDAY(DO$6,1)=1,0,MIN(10,DO49)*DO48)),MAX(0,40*MAX(1,DO48)-(DL50+DM50+DN50)))))</f>
        <v>3</v>
      </c>
      <c r="DP51" s="63">
        <f>IF(AND(DP48=1,DP49=13),13,IF(DP48&lt;=0,0,IF(WEEKDAY(DP$6,1)=1,0,MAX(0,DP49-10)*DP48))+((IF(DP48&lt;=0,0,IF(WEEKDAY(DP$6,1)=1,0,MIN(10,DP49)*DP48)))-MIN(IF(DP48&lt;=0,0,IF(WEEKDAY(DP$6,1)=1,0,MIN(10,DP49)*DP48)),MAX(0,40*MAX(1,DP48)-(DL50+DM50+DN50+DO50)))))</f>
        <v>13</v>
      </c>
      <c r="DQ51" s="64">
        <f>IF(AND(DQ48=1,DQ49=13),13,IF(DQ48&lt;=0,0,IF(WEEKDAY(DQ$6,1)=1,0,MAX(0,DQ49-10)*DQ48))+((IF(DQ48&lt;=0,0,IF(WEEKDAY(DQ$6,1)=1,0,MIN(10,DQ49)*DQ48)))-MIN(IF(DQ48&lt;=0,0,IF(WEEKDAY(DQ$6,1)=1,0,MIN(10,DQ49)*DQ48)),MAX(0,40*MAX(1,DQ48)-(DL50+DM50+DN50+DO50+DP50)))))</f>
        <v>13</v>
      </c>
      <c r="DR51" s="64">
        <f>IF(AND(DR48=1,DR49=13),0,IF(DR48&lt;=0,0,IF(WEEKDAY(DR$6,1)=1,0,MAX(0,DR49-10)*DR48))+((IF(DR48&lt;=0,0,IF(WEEKDAY(DR$6,1)=1,0,MIN(10,DR49)*DR48)))-MIN(IF(DR48&lt;=0,0,IF(WEEKDAY(DR$6,1)=1,0,MIN(10,DR49)*DR48)),MAX(0,40*MAX(1,DR48)-(DL50+DM50+DN50+DO50+DP50+DQ50)))))</f>
        <v>0</v>
      </c>
      <c r="DS51" s="63">
        <f>IF(AND(DS48=1,DS49=13),3,IF(DS48&lt;=0,0,IF(WEEKDAY(DS$6,1)=1,0,MAX(0,DS49-10)*DS48))+((IF(DS48&lt;=0,0,IF(WEEKDAY(DS$6,1)=1,0,MIN(10,DS49)*DS48)))-MIN(IF(DS48&lt;=0,0,IF(WEEKDAY(DS$6,1)=1,0,MIN(10,DS49)*DS48)),MAX(0,40*MAX(1,DS48)-(0)))))</f>
        <v>3</v>
      </c>
      <c r="DT51" s="63">
        <f>IF(AND(DT48=0,DT49=0),0,IF(DT48&lt;=0,0,IF(WEEKDAY(DT$6,1)=1,0,MAX(0,DT49-10)*DT48))+((IF(DT48&lt;=0,0,IF(WEEKDAY(DT$6,1)=1,0,MIN(10,DT49)*DT48)))-MIN(IF(DT48&lt;=0,0,IF(WEEKDAY(DT$6,1)=1,0,MIN(10,DT49)*DT48)),MAX(0,40*MAX(1,DT48)-(0)))))</f>
        <v>0</v>
      </c>
      <c r="DU51" s="63">
        <f>IF(AND(DU48=0,DU49=0),0,IF(DU48&lt;=0,0,IF(WEEKDAY(DU$6,1)=1,0,MAX(0,DU49-10)*DU48))+((IF(DU48&lt;=0,0,IF(WEEKDAY(DU$6,1)=1,0,MIN(10,DU49)*DU48)))-MIN(IF(DU48&lt;=0,0,IF(WEEKDAY(DU$6,1)=1,0,MIN(10,DU49)*DU48)),MAX(0,40*MAX(1,DU48)-(DT50)))))</f>
        <v>0</v>
      </c>
      <c r="DV51" s="63">
        <f>IF(AND(DV48=0,DV49=0),0,IF(DV48&lt;=0,0,IF(WEEKDAY(DV$6,1)=1,0,MAX(0,DV49-10)*DV48))+((IF(DV48&lt;=0,0,IF(WEEKDAY(DV$6,1)=1,0,MIN(10,DV49)*DV48)))-MIN(IF(DV48&lt;=0,0,IF(WEEKDAY(DV$6,1)=1,0,MIN(10,DV49)*DV48)),MAX(0,40*MAX(1,DV48)-(DT50+DU50)))))</f>
        <v>0</v>
      </c>
      <c r="DW51" s="63">
        <f>IF(AND(DW48=0,DW49=0),0,IF(DW48&lt;=0,0,IF(WEEKDAY(DW$6,1)=1,0,MAX(0,DW49-10)*DW48))+((IF(DW48&lt;=0,0,IF(WEEKDAY(DW$6,1)=1,0,MIN(10,DW49)*DW48)))-MIN(IF(DW48&lt;=0,0,IF(WEEKDAY(DW$6,1)=1,0,MIN(10,DW49)*DW48)),MAX(0,40*MAX(1,DW48)-(DT50+DU50+DV50)))))</f>
        <v>0</v>
      </c>
      <c r="DX51" s="64">
        <f>IF(AND(DX48=0,DX49=0),0,IF(DX48&lt;=0,0,IF(WEEKDAY(DX$6,1)=1,0,MAX(0,DX49-10)*DX48))+((IF(DX48&lt;=0,0,IF(WEEKDAY(DX$6,1)=1,0,MIN(10,DX49)*DX48)))-MIN(IF(DX48&lt;=0,0,IF(WEEKDAY(DX$6,1)=1,0,MIN(10,DX49)*DX48)),MAX(0,40*MAX(1,DX48)-(DT50+DU50+DV50+DW50)))))</f>
        <v>0</v>
      </c>
      <c r="DY51" s="64">
        <f>IF(AND(DY48=0,DY49=0),0,IF(DY48&lt;=0,0,IF(WEEKDAY(DY$6,1)=1,0,MAX(0,DY49-10)*DY48))+((IF(DY48&lt;=0,0,IF(WEEKDAY(DY$6,1)=1,0,MIN(10,DY49)*DY48)))-MIN(IF(DY48&lt;=0,0,IF(WEEKDAY(DY$6,1)=1,0,MIN(10,DY49)*DY48)),MAX(0,40*MAX(1,DY48)-(DT50+DU50+DV50+DW50+DX50)))))</f>
        <v>0</v>
      </c>
      <c r="DZ51" s="63">
        <f>IF(AND(DZ48=0,DZ49=0),0,IF(DZ48&lt;=0,0,IF(WEEKDAY(DZ$6,1)=1,0,MAX(0,DZ49-10)*DZ48))+((IF(DZ48&lt;=0,0,IF(WEEKDAY(DZ$6,1)=1,0,MIN(10,DZ49)*DZ48)))-MIN(IF(DZ48&lt;=0,0,IF(WEEKDAY(DZ$6,1)=1,0,MIN(10,DZ49)*DZ48)),MAX(0,40*MAX(1,DZ48)-(0)))))</f>
        <v>0</v>
      </c>
      <c r="EA51" s="63">
        <f>IF(AND(EA48=0,EA49=0),0,IF(EA48&lt;=0,0,IF(WEEKDAY(EA$6,1)=1,0,MAX(0,EA49-10)*EA48))+((IF(EA48&lt;=0,0,IF(WEEKDAY(EA$6,1)=1,0,MIN(10,EA49)*EA48)))-MIN(IF(EA48&lt;=0,0,IF(WEEKDAY(EA$6,1)=1,0,MIN(10,EA49)*EA48)),MAX(0,40*MAX(1,EA48)-(DZ50)))))</f>
        <v>0</v>
      </c>
      <c r="EB51" s="63">
        <f>IF(AND(EB48=0,EB49=0),0,IF(EB48&lt;=0,0,IF(WEEKDAY(EB$6,1)=1,0,MAX(0,EB49-10)*EB48))+((IF(EB48&lt;=0,0,IF(WEEKDAY(EB$6,1)=1,0,MIN(10,EB49)*EB48)))-MIN(IF(EB48&lt;=0,0,IF(WEEKDAY(EB$6,1)=1,0,MIN(10,EB49)*EB48)),MAX(0,40*MAX(1,EB48)-(DZ50+EA50)))))</f>
        <v>0</v>
      </c>
      <c r="EC51" s="63">
        <f>IF(AND(EC48=0,EC49=0),0,IF(EC48&lt;=0,0,IF(WEEKDAY(EC$6,1)=1,0,MAX(0,EC49-10)*EC48))+((IF(EC48&lt;=0,0,IF(WEEKDAY(EC$6,1)=1,0,MIN(10,EC49)*EC48)))-MIN(IF(EC48&lt;=0,0,IF(WEEKDAY(EC$6,1)=1,0,MIN(10,EC49)*EC48)),MAX(0,40*MAX(1,EC48)-(DZ50+EA50+EB50)))))</f>
        <v>0</v>
      </c>
      <c r="ED51" s="63">
        <f>IF(AND(ED48=0,ED49=0),0,IF(ED48&lt;=0,0,IF(WEEKDAY(ED$6,1)=1,0,MAX(0,ED49-10)*ED48))+((IF(ED48&lt;=0,0,IF(WEEKDAY(ED$6,1)=1,0,MIN(10,ED49)*ED48)))-MIN(IF(ED48&lt;=0,0,IF(WEEKDAY(ED$6,1)=1,0,MIN(10,ED49)*ED48)),MAX(0,40*MAX(1,ED48)-(DZ50+EA50+EB50+EC50)))))</f>
        <v>0</v>
      </c>
      <c r="EE51" s="64">
        <f>IF(AND(EE48=0,EE49=0),0,IF(EE48&lt;=0,0,IF(WEEKDAY(EE$6,1)=1,0,MAX(0,EE49-10)*EE48))+((IF(EE48&lt;=0,0,IF(WEEKDAY(EE$6,1)=1,0,MIN(10,EE49)*EE48)))-MIN(IF(EE48&lt;=0,0,IF(WEEKDAY(EE$6,1)=1,0,MIN(10,EE49)*EE48)),MAX(0,40*MAX(1,EE48)-(DZ50+EA50+EB50+EC50+ED50)))))</f>
        <v>0</v>
      </c>
      <c r="EF51" s="64">
        <f>IF(AND(EF48=0,EF49=0),0,IF(EF48&lt;=0,0,IF(WEEKDAY(EF$6,1)=1,0,MAX(0,EF49-10)*EF48))+((IF(EF48&lt;=0,0,IF(WEEKDAY(EF$6,1)=1,0,MIN(10,EF49)*EF48)))-MIN(IF(EF48&lt;=0,0,IF(WEEKDAY(EF$6,1)=1,0,MIN(10,EF49)*EF48)),MAX(0,40*MAX(1,EF48)-(DZ50+EA50+EB50+EC50+ED50+EE50)))))</f>
        <v>0</v>
      </c>
      <c r="EG51" s="63">
        <f>IF(AND(EG48=0,EG49=0),0,IF(EG48&lt;=0,0,IF(WEEKDAY(EG$6,1)=1,0,MAX(0,EG49-10)*EG48))+((IF(EG48&lt;=0,0,IF(WEEKDAY(EG$6,1)=1,0,MIN(10,EG49)*EG48)))-MIN(IF(EG48&lt;=0,0,IF(WEEKDAY(EG$6,1)=1,0,MIN(10,EG49)*EG48)),MAX(0,40*MAX(1,EG48)-(0)))))</f>
        <v>0</v>
      </c>
      <c r="EH51" s="63">
        <f>IF(AND(EH48=0,EH49=0),0,IF(EH48&lt;=0,0,IF(WEEKDAY(EH$6,1)=1,0,MAX(0,EH49-10)*EH48))+((IF(EH48&lt;=0,0,IF(WEEKDAY(EH$6,1)=1,0,MIN(10,EH49)*EH48)))-MIN(IF(EH48&lt;=0,0,IF(WEEKDAY(EH$6,1)=1,0,MIN(10,EH49)*EH48)),MAX(0,40*MAX(1,EH48)-(EG50)))))</f>
        <v>0</v>
      </c>
      <c r="EI51" s="63">
        <f>IF(AND(EI48=0,EI49=0),0,IF(EI48&lt;=0,0,IF(WEEKDAY(EI$6,1)=1,0,MAX(0,EI49-10)*EI48))+((IF(EI48&lt;=0,0,IF(WEEKDAY(EI$6,1)=1,0,MIN(10,EI49)*EI48)))-MIN(IF(EI48&lt;=0,0,IF(WEEKDAY(EI$6,1)=1,0,MIN(10,EI49)*EI48)),MAX(0,40*MAX(1,EI48)-(EG50+EH50)))))</f>
        <v>0</v>
      </c>
      <c r="EJ51" s="63">
        <f>IF(AND(EJ48=0,EJ49=0),0,IF(EJ48&lt;=0,0,IF(WEEKDAY(EJ$6,1)=1,0,MAX(0,EJ49-10)*EJ48))+((IF(EJ48&lt;=0,0,IF(WEEKDAY(EJ$6,1)=1,0,MIN(10,EJ49)*EJ48)))-MIN(IF(EJ48&lt;=0,0,IF(WEEKDAY(EJ$6,1)=1,0,MIN(10,EJ49)*EJ48)),MAX(0,40*MAX(1,EJ48)-(EG50+EH50+EI50)))))</f>
        <v>0</v>
      </c>
      <c r="EK51" s="65">
        <f>IF(AND(EK48=0,EK49=0),0,IF(EK48&lt;=0,0,IF(WEEKDAY(EK$6,1)=1,0,MAX(0,EK49-10)*EK48))+((IF(EK48&lt;=0,0,IF(WEEKDAY(EK$6,1)=1,0,MIN(10,EK49)*EK48)))-MIN(IF(EK48&lt;=0,0,IF(WEEKDAY(EK$6,1)=1,0,MIN(10,EK49)*EK48)),MAX(0,40*MAX(1,EK48)-(EG50+EH50+EI50+EJ50)))))</f>
        <v>0</v>
      </c>
      <c r="OU51" s="28" t="s">
        <v>74</v>
      </c>
    </row>
    <row r="52" ht="16" customHeight="1" spans="1:411" x14ac:dyDescent="0.25">
      <c r="A52" s="74"/>
      <c r="B52" s="46"/>
      <c r="C52" s="61">
        <f>H47*N(D52)</f>
        <v>11964.419999999998</v>
      </c>
      <c r="D52" s="61">
        <f>IF(TRIM(B47)="","No rate",IFERROR(INDEX('Rate Tables'!E$7:E$158,MATCH(B47,'Rate Tables'!A$7:A$158,0)),"No rate"))</f>
        <v>153.39</v>
      </c>
      <c r="E52" s="55" t="s">
        <v>64</v>
      </c>
      <c r="F52" s="49"/>
      <c r="G52" s="49"/>
      <c r="H52" s="49"/>
      <c r="I52" s="49"/>
      <c r="J52" s="50"/>
      <c r="K52" s="62">
        <f>IF(AND(K48=0,K49=0),0,IF(K48&lt;=0,0,IF(WEEKDAY(K$6,1)=1,K48*K49,0)))</f>
        <v>0</v>
      </c>
      <c r="L52" s="63">
        <f>IF(AND(L48=0,L49=0),0,IF(L48&lt;=0,0,IF(WEEKDAY(L$6,1)=1,L48*L49,0)))</f>
        <v>0</v>
      </c>
      <c r="M52" s="63">
        <f>IF(AND(M48=0,M49=0),0,IF(M48&lt;=0,0,IF(WEEKDAY(M$6,1)=1,M48*M49,0)))</f>
        <v>0</v>
      </c>
      <c r="N52" s="63">
        <f>IF(AND(N48=0,N49=0),0,IF(N48&lt;=0,0,IF(WEEKDAY(N$6,1)=1,N48*N49,0)))</f>
        <v>0</v>
      </c>
      <c r="O52" s="63">
        <f>IF(AND(O48=0,O49=0),0,IF(O48&lt;=0,0,IF(WEEKDAY(O$6,1)=1,O48*O49,0)))</f>
        <v>0</v>
      </c>
      <c r="P52" s="64">
        <f>IF(AND(P48=0,P49=0),0,IF(P48&lt;=0,0,IF(WEEKDAY(P$6,1)=1,P48*P49,0)))</f>
        <v>0</v>
      </c>
      <c r="Q52" s="64">
        <f>IF(AND(Q48=0,Q49=0),0,IF(Q48&lt;=0,0,IF(WEEKDAY(Q$6,1)=1,Q48*Q49,0)))</f>
        <v>0</v>
      </c>
      <c r="R52" s="63">
        <f>IF(AND(R48=0,R49=0),0,IF(R48&lt;=0,0,IF(WEEKDAY(R$6,1)=1,R48*R49,0)))</f>
        <v>0</v>
      </c>
      <c r="S52" s="63">
        <f>IF(AND(S48=0,S49=0),0,IF(S48&lt;=0,0,IF(WEEKDAY(S$6,1)=1,S48*S49,0)))</f>
        <v>0</v>
      </c>
      <c r="T52" s="63">
        <f>IF(AND(T48=0,T49=0),0,IF(T48&lt;=0,0,IF(WEEKDAY(T$6,1)=1,T48*T49,0)))</f>
        <v>0</v>
      </c>
      <c r="U52" s="63">
        <f>IF(AND(U48=0,U49=0),0,IF(U48&lt;=0,0,IF(WEEKDAY(U$6,1)=1,U48*U49,0)))</f>
        <v>0</v>
      </c>
      <c r="V52" s="63">
        <f>IF(AND(V48=0,V49=0),0,IF(V48&lt;=0,0,IF(WEEKDAY(V$6,1)=1,V48*V49,0)))</f>
        <v>0</v>
      </c>
      <c r="W52" s="64">
        <f>IF(AND(W48=0,W49=0),0,IF(W48&lt;=0,0,IF(WEEKDAY(W$6,1)=1,W48*W49,0)))</f>
        <v>0</v>
      </c>
      <c r="X52" s="64">
        <f>IF(AND(X48=0,X49=0),0,IF(X48&lt;=0,0,IF(WEEKDAY(X$6,1)=1,X48*X49,0)))</f>
        <v>0</v>
      </c>
      <c r="Y52" s="63">
        <f>IF(AND(Y48=0,Y49=0),0,IF(Y48&lt;=0,0,IF(WEEKDAY(Y$6,1)=1,Y48*Y49,0)))</f>
        <v>0</v>
      </c>
      <c r="Z52" s="63">
        <f>IF(AND(Z48=0,Z49=0),0,IF(Z48&lt;=0,0,IF(WEEKDAY(Z$6,1)=1,Z48*Z49,0)))</f>
        <v>0</v>
      </c>
      <c r="AA52" s="63">
        <f>IF(AND(AA48=0,AA49=0),0,IF(AA48&lt;=0,0,IF(WEEKDAY(AA$6,1)=1,AA48*AA49,0)))</f>
        <v>0</v>
      </c>
      <c r="AB52" s="63">
        <f>IF(AND(AB48=0,AB49=0),0,IF(AB48&lt;=0,0,IF(WEEKDAY(AB$6,1)=1,AB48*AB49,0)))</f>
        <v>0</v>
      </c>
      <c r="AC52" s="63">
        <f>IF(AND(AC48=0,AC49=0),0,IF(AC48&lt;=0,0,IF(WEEKDAY(AC$6,1)=1,AC48*AC49,0)))</f>
        <v>0</v>
      </c>
      <c r="AD52" s="64">
        <f>IF(AND(AD48=0,AD49=0),0,IF(AD48&lt;=0,0,IF(WEEKDAY(AD$6,1)=1,AD48*AD49,0)))</f>
        <v>0</v>
      </c>
      <c r="AE52" s="64">
        <f>IF(AND(AE48=0,AE49=0),0,IF(AE48&lt;=0,0,IF(WEEKDAY(AE$6,1)=1,AE48*AE49,0)))</f>
        <v>0</v>
      </c>
      <c r="AF52" s="63">
        <f>IF(AND(AF48=0,AF49=0),0,IF(AF48&lt;=0,0,IF(WEEKDAY(AF$6,1)=1,AF48*AF49,0)))</f>
        <v>0</v>
      </c>
      <c r="AG52" s="63">
        <f>IF(AND(AG48=0,AG49=0),0,IF(AG48&lt;=0,0,IF(WEEKDAY(AG$6,1)=1,AG48*AG49,0)))</f>
        <v>0</v>
      </c>
      <c r="AH52" s="63">
        <f>IF(AND(AH48=0,AH49=0),0,IF(AH48&lt;=0,0,IF(WEEKDAY(AH$6,1)=1,AH48*AH49,0)))</f>
        <v>0</v>
      </c>
      <c r="AI52" s="63">
        <f>IF(AND(AI48=0,AI49=0),0,IF(AI48&lt;=0,0,IF(WEEKDAY(AI$6,1)=1,AI48*AI49,0)))</f>
        <v>0</v>
      </c>
      <c r="AJ52" s="63">
        <f>IF(AND(AJ48=0,AJ49=0),0,IF(AJ48&lt;=0,0,IF(WEEKDAY(AJ$6,1)=1,AJ48*AJ49,0)))</f>
        <v>0</v>
      </c>
      <c r="AK52" s="64">
        <f>IF(AND(AK48=0,AK49=0),0,IF(AK48&lt;=0,0,IF(WEEKDAY(AK$6,1)=1,AK48*AK49,0)))</f>
        <v>0</v>
      </c>
      <c r="AL52" s="64">
        <f>IF(AND(AL48=0,AL49=0),0,IF(AL48&lt;=0,0,IF(WEEKDAY(AL$6,1)=1,AL48*AL49,0)))</f>
        <v>0</v>
      </c>
      <c r="AM52" s="63">
        <f>IF(AND(AM48=0,AM49=0),0,IF(AM48&lt;=0,0,IF(WEEKDAY(AM$6,1)=1,AM48*AM49,0)))</f>
        <v>0</v>
      </c>
      <c r="AN52" s="63">
        <f>IF(AND(AN48=0,AN49=0),0,IF(AN48&lt;=0,0,IF(WEEKDAY(AN$6,1)=1,AN48*AN49,0)))</f>
        <v>0</v>
      </c>
      <c r="AO52" s="63">
        <f>IF(AND(AO48=0,AO49=0),0,IF(AO48&lt;=0,0,IF(WEEKDAY(AO$6,1)=1,AO48*AO49,0)))</f>
        <v>0</v>
      </c>
      <c r="AP52" s="63">
        <f>IF(AND(AP48=0,AP49=0),0,IF(AP48&lt;=0,0,IF(WEEKDAY(AP$6,1)=1,AP48*AP49,0)))</f>
        <v>0</v>
      </c>
      <c r="AQ52" s="63">
        <f>IF(AND(AQ48=0,AQ49=0),0,IF(AQ48&lt;=0,0,IF(WEEKDAY(AQ$6,1)=1,AQ48*AQ49,0)))</f>
        <v>0</v>
      </c>
      <c r="AR52" s="64">
        <f>IF(AND(AR48=0,AR49=0),0,IF(AR48&lt;=0,0,IF(WEEKDAY(AR$6,1)=1,AR48*AR49,0)))</f>
        <v>0</v>
      </c>
      <c r="AS52" s="64">
        <f>IF(AND(AS48=0,AS49=0),0,IF(AS48&lt;=0,0,IF(WEEKDAY(AS$6,1)=1,AS48*AS49,0)))</f>
        <v>0</v>
      </c>
      <c r="AT52" s="63">
        <f>IF(AND(AT48=0,AT49=0),0,IF(AT48&lt;=0,0,IF(WEEKDAY(AT$6,1)=1,AT48*AT49,0)))</f>
        <v>0</v>
      </c>
      <c r="AU52" s="63">
        <f>IF(AND(AU48=0,AU49=0),0,IF(AU48&lt;=0,0,IF(WEEKDAY(AU$6,1)=1,AU48*AU49,0)))</f>
        <v>0</v>
      </c>
      <c r="AV52" s="63">
        <f>IF(AND(AV48=0,AV49=0),0,IF(AV48&lt;=0,0,IF(WEEKDAY(AV$6,1)=1,AV48*AV49,0)))</f>
        <v>0</v>
      </c>
      <c r="AW52" s="63">
        <f>IF(AND(AW48=0,AW49=0),0,IF(AW48&lt;=0,0,IF(WEEKDAY(AW$6,1)=1,AW48*AW49,0)))</f>
        <v>0</v>
      </c>
      <c r="AX52" s="63">
        <f>IF(AND(AX48=0,AX49=0),0,IF(AX48&lt;=0,0,IF(WEEKDAY(AX$6,1)=1,AX48*AX49,0)))</f>
        <v>0</v>
      </c>
      <c r="AY52" s="64">
        <f>IF(AND(AY48=0,AY49=0),0,IF(AY48&lt;=0,0,IF(WEEKDAY(AY$6,1)=1,AY48*AY49,0)))</f>
        <v>0</v>
      </c>
      <c r="AZ52" s="64">
        <f>IF(AND(AZ48=0,AZ49=0),0,IF(AZ48&lt;=0,0,IF(WEEKDAY(AZ$6,1)=1,AZ48*AZ49,0)))</f>
        <v>0</v>
      </c>
      <c r="BA52" s="63">
        <f>IF(AND(BA48=0,BA49=0),0,IF(BA48&lt;=0,0,IF(WEEKDAY(BA$6,1)=1,BA48*BA49,0)))</f>
        <v>0</v>
      </c>
      <c r="BB52" s="63">
        <f>IF(AND(BB48=0,BB49=0),0,IF(BB48&lt;=0,0,IF(WEEKDAY(BB$6,1)=1,BB48*BB49,0)))</f>
        <v>0</v>
      </c>
      <c r="BC52" s="63">
        <f>IF(AND(BC48=0,BC49=0),0,IF(BC48&lt;=0,0,IF(WEEKDAY(BC$6,1)=1,BC48*BC49,0)))</f>
        <v>0</v>
      </c>
      <c r="BD52" s="63">
        <f>IF(AND(BD48=0,BD49=0),0,IF(BD48&lt;=0,0,IF(WEEKDAY(BD$6,1)=1,BD48*BD49,0)))</f>
        <v>0</v>
      </c>
      <c r="BE52" s="63">
        <f>IF(AND(BE48=0,BE49=0),0,IF(BE48&lt;=0,0,IF(WEEKDAY(BE$6,1)=1,BE48*BE49,0)))</f>
        <v>0</v>
      </c>
      <c r="BF52" s="64">
        <f>IF(AND(BF48=0,BF49=0),0,IF(BF48&lt;=0,0,IF(WEEKDAY(BF$6,1)=1,BF48*BF49,0)))</f>
        <v>0</v>
      </c>
      <c r="BG52" s="64">
        <f>IF(AND(BG48=0,BG49=0),0,IF(BG48&lt;=0,0,IF(WEEKDAY(BG$6,1)=1,BG48*BG49,0)))</f>
        <v>0</v>
      </c>
      <c r="BH52" s="63">
        <f>IF(AND(BH48=1,BH49=13),0,IF(BH48&lt;=0,0,IF(WEEKDAY(BH$6,1)=1,BH48*BH49,0)))</f>
        <v>0</v>
      </c>
      <c r="BI52" s="63">
        <f>IF(AND(BI48=1,BI49=13),0,IF(BI48&lt;=0,0,IF(WEEKDAY(BI$6,1)=1,BI48*BI49,0)))</f>
        <v>0</v>
      </c>
      <c r="BJ52" s="63">
        <f>IF(AND(BJ48=1,BJ49=13),0,IF(BJ48&lt;=0,0,IF(WEEKDAY(BJ$6,1)=1,BJ48*BJ49,0)))</f>
        <v>0</v>
      </c>
      <c r="BK52" s="63">
        <f>IF(AND(BK48=1,BK49=13),0,IF(BK48&lt;=0,0,IF(WEEKDAY(BK$6,1)=1,BK48*BK49,0)))</f>
        <v>0</v>
      </c>
      <c r="BL52" s="63">
        <f>IF(AND(BL48=1,BL49=13),0,IF(BL48&lt;=0,0,IF(WEEKDAY(BL$6,1)=1,BL48*BL49,0)))</f>
        <v>0</v>
      </c>
      <c r="BM52" s="64">
        <f>IF(AND(BM48=1,BM49=13),0,IF(BM48&lt;=0,0,IF(WEEKDAY(BM$6,1)=1,BM48*BM49,0)))</f>
        <v>0</v>
      </c>
      <c r="BN52" s="64">
        <f>IF(AND(BN48=1,BN49=13),13,IF(BN48&lt;=0,0,IF(WEEKDAY(BN$6,1)=1,BN48*BN49,0)))</f>
        <v>13</v>
      </c>
      <c r="BO52" s="63">
        <f>IF(AND(BO48=1,BO49=13),0,IF(BO48&lt;=0,0,IF(WEEKDAY(BO$6,1)=1,BO48*BO49,0)))</f>
        <v>0</v>
      </c>
      <c r="BP52" s="63">
        <f>IF(AND(BP48=1,BP49=13),0,IF(BP48&lt;=0,0,IF(WEEKDAY(BP$6,1)=1,BP48*BP49,0)))</f>
        <v>0</v>
      </c>
      <c r="BQ52" s="63">
        <f>IF(AND(BQ48=1,BQ49=13),0,IF(BQ48&lt;=0,0,IF(WEEKDAY(BQ$6,1)=1,BQ48*BQ49,0)))</f>
        <v>0</v>
      </c>
      <c r="BR52" s="63">
        <f>IF(AND(BR48=1,BR49=13),0,IF(BR48&lt;=0,0,IF(WEEKDAY(BR$6,1)=1,BR48*BR49,0)))</f>
        <v>0</v>
      </c>
      <c r="BS52" s="63">
        <f>IF(AND(BS48=1,BS49=13),0,IF(BS48&lt;=0,0,IF(WEEKDAY(BS$6,1)=1,BS48*BS49,0)))</f>
        <v>0</v>
      </c>
      <c r="BT52" s="64">
        <f>IF(AND(BT48=1,BT49=13),0,IF(BT48&lt;=0,0,IF(WEEKDAY(BT$6,1)=1,BT48*BT49,0)))</f>
        <v>0</v>
      </c>
      <c r="BU52" s="64">
        <f>IF(AND(BU48=1,BU49=13),13,IF(BU48&lt;=0,0,IF(WEEKDAY(BU$6,1)=1,BU48*BU49,0)))</f>
        <v>13</v>
      </c>
      <c r="BV52" s="63">
        <f>IF(AND(BV48=1,BV49=13),0,IF(BV48&lt;=0,0,IF(WEEKDAY(BV$6,1)=1,BV48*BV49,0)))</f>
        <v>0</v>
      </c>
      <c r="BW52" s="63">
        <f>IF(AND(BW48=1,BW49=13),0,IF(BW48&lt;=0,0,IF(WEEKDAY(BW$6,1)=1,BW48*BW49,0)))</f>
        <v>0</v>
      </c>
      <c r="BX52" s="63">
        <f>IF(AND(BX48=1,BX49=13),0,IF(BX48&lt;=0,0,IF(WEEKDAY(BX$6,1)=1,BX48*BX49,0)))</f>
        <v>0</v>
      </c>
      <c r="BY52" s="63">
        <f>IF(AND(BY48=1,BY49=13),0,IF(BY48&lt;=0,0,IF(WEEKDAY(BY$6,1)=1,BY48*BY49,0)))</f>
        <v>0</v>
      </c>
      <c r="BZ52" s="63">
        <f>IF(AND(BZ48=1,BZ49=13),0,IF(BZ48&lt;=0,0,IF(WEEKDAY(BZ$6,1)=1,BZ48*BZ49,0)))</f>
        <v>0</v>
      </c>
      <c r="CA52" s="64">
        <f>IF(AND(CA48=1,CA49=13),0,IF(CA48&lt;=0,0,IF(WEEKDAY(CA$6,1)=1,CA48*CA49,0)))</f>
        <v>0</v>
      </c>
      <c r="CB52" s="64">
        <f>IF(AND(CB48=0,CB49=0),0,IF(CB48&lt;=0,0,IF(WEEKDAY(CB$6,1)=1,CB48*CB49,0)))</f>
        <v>0</v>
      </c>
      <c r="CC52" s="63">
        <f>IF(AND(CC48=1,CC49=13),0,IF(CC48&lt;=0,0,IF(WEEKDAY(CC$6,1)=1,CC48*CC49,0)))</f>
        <v>0</v>
      </c>
      <c r="CD52" s="63">
        <f>IF(AND(CD48=1,CD49=13),0,IF(CD48&lt;=0,0,IF(WEEKDAY(CD$6,1)=1,CD48*CD49,0)))</f>
        <v>0</v>
      </c>
      <c r="CE52" s="63">
        <f>IF(AND(CE48=1,CE49=13),0,IF(CE48&lt;=0,0,IF(WEEKDAY(CE$6,1)=1,CE48*CE49,0)))</f>
        <v>0</v>
      </c>
      <c r="CF52" s="63">
        <f>IF(AND(CF48=1,CF49=13),0,IF(CF48&lt;=0,0,IF(WEEKDAY(CF$6,1)=1,CF48*CF49,0)))</f>
        <v>0</v>
      </c>
      <c r="CG52" s="63">
        <f>IF(AND(CG48=1,CG49=13),0,IF(CG48&lt;=0,0,IF(WEEKDAY(CG$6,1)=1,CG48*CG49,0)))</f>
        <v>0</v>
      </c>
      <c r="CH52" s="64">
        <f>IF(AND(CH48=1,CH49=13),0,IF(CH48&lt;=0,0,IF(WEEKDAY(CH$6,1)=1,CH48*CH49,0)))</f>
        <v>0</v>
      </c>
      <c r="CI52" s="64">
        <f>IF(AND(CI48=1,CI49=13),13,IF(CI48&lt;=0,0,IF(WEEKDAY(CI$6,1)=1,CI48*CI49,0)))</f>
        <v>13</v>
      </c>
      <c r="CJ52" s="63">
        <f>IF(AND(CJ48=1,CJ49=13),0,IF(CJ48&lt;=0,0,IF(WEEKDAY(CJ$6,1)=1,CJ48*CJ49,0)))</f>
        <v>0</v>
      </c>
      <c r="CK52" s="63">
        <f>IF(AND(CK48=1,CK49=13),0,IF(CK48&lt;=0,0,IF(WEEKDAY(CK$6,1)=1,CK48*CK49,0)))</f>
        <v>0</v>
      </c>
      <c r="CL52" s="63">
        <f>IF(AND(CL48=1,CL49=13),0,IF(CL48&lt;=0,0,IF(WEEKDAY(CL$6,1)=1,CL48*CL49,0)))</f>
        <v>0</v>
      </c>
      <c r="CM52" s="63">
        <f>IF(AND(CM48=1,CM49=13),0,IF(CM48&lt;=0,0,IF(WEEKDAY(CM$6,1)=1,CM48*CM49,0)))</f>
        <v>0</v>
      </c>
      <c r="CN52" s="63">
        <f>IF(AND(CN48=1,CN49=13),0,IF(CN48&lt;=0,0,IF(WEEKDAY(CN$6,1)=1,CN48*CN49,0)))</f>
        <v>0</v>
      </c>
      <c r="CO52" s="64">
        <f>IF(AND(CO48=1,CO49=13),0,IF(CO48&lt;=0,0,IF(WEEKDAY(CO$6,1)=1,CO48*CO49,0)))</f>
        <v>0</v>
      </c>
      <c r="CP52" s="64">
        <f>IF(AND(CP48=0,CP49=0),0,IF(CP48&lt;=0,0,IF(WEEKDAY(CP$6,1)=1,CP48*CP49,0)))</f>
        <v>0</v>
      </c>
      <c r="CQ52" s="63">
        <f>IF(AND(CQ48=1,CQ49=13),0,IF(CQ48&lt;=0,0,IF(WEEKDAY(CQ$6,1)=1,CQ48*CQ49,0)))</f>
        <v>0</v>
      </c>
      <c r="CR52" s="63">
        <f>IF(AND(CR48=1,CR49=13),0,IF(CR48&lt;=0,0,IF(WEEKDAY(CR$6,1)=1,CR48*CR49,0)))</f>
        <v>0</v>
      </c>
      <c r="CS52" s="63">
        <f>IF(AND(CS48=1,CS49=13),0,IF(CS48&lt;=0,0,IF(WEEKDAY(CS$6,1)=1,CS48*CS49,0)))</f>
        <v>0</v>
      </c>
      <c r="CT52" s="63">
        <f>IF(AND(CT48=1,CT49=13),0,IF(CT48&lt;=0,0,IF(WEEKDAY(CT$6,1)=1,CT48*CT49,0)))</f>
        <v>0</v>
      </c>
      <c r="CU52" s="63">
        <f>IF(AND(CU48=1,CU49=13),0,IF(CU48&lt;=0,0,IF(WEEKDAY(CU$6,1)=1,CU48*CU49,0)))</f>
        <v>0</v>
      </c>
      <c r="CV52" s="64">
        <f>IF(AND(CV48=1,CV49=13),0,IF(CV48&lt;=0,0,IF(WEEKDAY(CV$6,1)=1,CV48*CV49,0)))</f>
        <v>0</v>
      </c>
      <c r="CW52" s="64">
        <f>IF(AND(CW48=1,CW49=13),13,IF(CW48&lt;=0,0,IF(WEEKDAY(CW$6,1)=1,CW48*CW49,0)))</f>
        <v>13</v>
      </c>
      <c r="CX52" s="63">
        <f>IF(AND(CX48=1,CX49=13),0,IF(CX48&lt;=0,0,IF(WEEKDAY(CX$6,1)=1,CX48*CX49,0)))</f>
        <v>0</v>
      </c>
      <c r="CY52" s="63">
        <f>IF(AND(CY48=1,CY49=13),0,IF(CY48&lt;=0,0,IF(WEEKDAY(CY$6,1)=1,CY48*CY49,0)))</f>
        <v>0</v>
      </c>
      <c r="CZ52" s="63">
        <f>IF(AND(CZ48=1,CZ49=13),0,IF(CZ48&lt;=0,0,IF(WEEKDAY(CZ$6,1)=1,CZ48*CZ49,0)))</f>
        <v>0</v>
      </c>
      <c r="DA52" s="63">
        <f>IF(AND(DA48=1,DA49=13),0,IF(DA48&lt;=0,0,IF(WEEKDAY(DA$6,1)=1,DA48*DA49,0)))</f>
        <v>0</v>
      </c>
      <c r="DB52" s="63">
        <f>IF(AND(DB48=1,DB49=13),0,IF(DB48&lt;=0,0,IF(WEEKDAY(DB$6,1)=1,DB48*DB49,0)))</f>
        <v>0</v>
      </c>
      <c r="DC52" s="64">
        <f>IF(AND(DC48=1,DC49=13),0,IF(DC48&lt;=0,0,IF(WEEKDAY(DC$6,1)=1,DC48*DC49,0)))</f>
        <v>0</v>
      </c>
      <c r="DD52" s="64">
        <f>IF(AND(DD48=1,DD49=13),13,IF(DD48&lt;=0,0,IF(WEEKDAY(DD$6,1)=1,DD48*DD49,0)))</f>
        <v>13</v>
      </c>
      <c r="DE52" s="63">
        <f>IF(AND(DE48=1,DE49=13),0,IF(DE48&lt;=0,0,IF(WEEKDAY(DE$6,1)=1,DE48*DE49,0)))</f>
        <v>0</v>
      </c>
      <c r="DF52" s="63">
        <f>IF(AND(DF48=1,DF49=13),0,IF(DF48&lt;=0,0,IF(WEEKDAY(DF$6,1)=1,DF48*DF49,0)))</f>
        <v>0</v>
      </c>
      <c r="DG52" s="63">
        <f>IF(AND(DG48=1,DG49=13),0,IF(DG48&lt;=0,0,IF(WEEKDAY(DG$6,1)=1,DG48*DG49,0)))</f>
        <v>0</v>
      </c>
      <c r="DH52" s="63">
        <f>IF(AND(DH48=1,DH49=13),0,IF(DH48&lt;=0,0,IF(WEEKDAY(DH$6,1)=1,DH48*DH49,0)))</f>
        <v>0</v>
      </c>
      <c r="DI52" s="63">
        <f>IF(AND(DI48=1,DI49=13),0,IF(DI48&lt;=0,0,IF(WEEKDAY(DI$6,1)=1,DI48*DI49,0)))</f>
        <v>0</v>
      </c>
      <c r="DJ52" s="64">
        <f>IF(AND(DJ48=1,DJ49=13),0,IF(DJ48&lt;=0,0,IF(WEEKDAY(DJ$6,1)=1,DJ48*DJ49,0)))</f>
        <v>0</v>
      </c>
      <c r="DK52" s="64">
        <f>IF(AND(DK48=0,DK49=0),0,IF(DK48&lt;=0,0,IF(WEEKDAY(DK$6,1)=1,DK48*DK49,0)))</f>
        <v>0</v>
      </c>
      <c r="DL52" s="63">
        <f>IF(AND(DL48=1,DL49=13),0,IF(DL48&lt;=0,0,IF(WEEKDAY(DL$6,1)=1,DL48*DL49,0)))</f>
        <v>0</v>
      </c>
      <c r="DM52" s="63">
        <f>IF(AND(DM48=1,DM49=13),0,IF(DM48&lt;=0,0,IF(WEEKDAY(DM$6,1)=1,DM48*DM49,0)))</f>
        <v>0</v>
      </c>
      <c r="DN52" s="63">
        <f>IF(AND(DN48=1,DN49=13),0,IF(DN48&lt;=0,0,IF(WEEKDAY(DN$6,1)=1,DN48*DN49,0)))</f>
        <v>0</v>
      </c>
      <c r="DO52" s="63">
        <f>IF(AND(DO48=1,DO49=13),0,IF(DO48&lt;=0,0,IF(WEEKDAY(DO$6,1)=1,DO48*DO49,0)))</f>
        <v>0</v>
      </c>
      <c r="DP52" s="63">
        <f>IF(AND(DP48=1,DP49=13),0,IF(DP48&lt;=0,0,IF(WEEKDAY(DP$6,1)=1,DP48*DP49,0)))</f>
        <v>0</v>
      </c>
      <c r="DQ52" s="64">
        <f>IF(AND(DQ48=1,DQ49=13),0,IF(DQ48&lt;=0,0,IF(WEEKDAY(DQ$6,1)=1,DQ48*DQ49,0)))</f>
        <v>0</v>
      </c>
      <c r="DR52" s="64">
        <f>IF(AND(DR48=1,DR49=13),13,IF(DR48&lt;=0,0,IF(WEEKDAY(DR$6,1)=1,DR48*DR49,0)))</f>
        <v>13</v>
      </c>
      <c r="DS52" s="63">
        <f>IF(AND(DS48=1,DS49=13),0,IF(DS48&lt;=0,0,IF(WEEKDAY(DS$6,1)=1,DS48*DS49,0)))</f>
        <v>0</v>
      </c>
      <c r="DT52" s="63">
        <f>IF(AND(DT48=0,DT49=0),0,IF(DT48&lt;=0,0,IF(WEEKDAY(DT$6,1)=1,DT48*DT49,0)))</f>
        <v>0</v>
      </c>
      <c r="DU52" s="63">
        <f>IF(AND(DU48=0,DU49=0),0,IF(DU48&lt;=0,0,IF(WEEKDAY(DU$6,1)=1,DU48*DU49,0)))</f>
        <v>0</v>
      </c>
      <c r="DV52" s="63">
        <f>IF(AND(DV48=0,DV49=0),0,IF(DV48&lt;=0,0,IF(WEEKDAY(DV$6,1)=1,DV48*DV49,0)))</f>
        <v>0</v>
      </c>
      <c r="DW52" s="63">
        <f>IF(AND(DW48=0,DW49=0),0,IF(DW48&lt;=0,0,IF(WEEKDAY(DW$6,1)=1,DW48*DW49,0)))</f>
        <v>0</v>
      </c>
      <c r="DX52" s="64">
        <f>IF(AND(DX48=0,DX49=0),0,IF(DX48&lt;=0,0,IF(WEEKDAY(DX$6,1)=1,DX48*DX49,0)))</f>
        <v>0</v>
      </c>
      <c r="DY52" s="64">
        <f>IF(AND(DY48=0,DY49=0),0,IF(DY48&lt;=0,0,IF(WEEKDAY(DY$6,1)=1,DY48*DY49,0)))</f>
        <v>0</v>
      </c>
      <c r="DZ52" s="63">
        <f>IF(AND(DZ48=0,DZ49=0),0,IF(DZ48&lt;=0,0,IF(WEEKDAY(DZ$6,1)=1,DZ48*DZ49,0)))</f>
        <v>0</v>
      </c>
      <c r="EA52" s="63">
        <f>IF(AND(EA48=0,EA49=0),0,IF(EA48&lt;=0,0,IF(WEEKDAY(EA$6,1)=1,EA48*EA49,0)))</f>
        <v>0</v>
      </c>
      <c r="EB52" s="63">
        <f>IF(AND(EB48=0,EB49=0),0,IF(EB48&lt;=0,0,IF(WEEKDAY(EB$6,1)=1,EB48*EB49,0)))</f>
        <v>0</v>
      </c>
      <c r="EC52" s="63">
        <f>IF(AND(EC48=0,EC49=0),0,IF(EC48&lt;=0,0,IF(WEEKDAY(EC$6,1)=1,EC48*EC49,0)))</f>
        <v>0</v>
      </c>
      <c r="ED52" s="63">
        <f>IF(AND(ED48=0,ED49=0),0,IF(ED48&lt;=0,0,IF(WEEKDAY(ED$6,1)=1,ED48*ED49,0)))</f>
        <v>0</v>
      </c>
      <c r="EE52" s="64">
        <f>IF(AND(EE48=0,EE49=0),0,IF(EE48&lt;=0,0,IF(WEEKDAY(EE$6,1)=1,EE48*EE49,0)))</f>
        <v>0</v>
      </c>
      <c r="EF52" s="64">
        <f>IF(AND(EF48=0,EF49=0),0,IF(EF48&lt;=0,0,IF(WEEKDAY(EF$6,1)=1,EF48*EF49,0)))</f>
        <v>0</v>
      </c>
      <c r="EG52" s="63">
        <f>IF(AND(EG48=0,EG49=0),0,IF(EG48&lt;=0,0,IF(WEEKDAY(EG$6,1)=1,EG48*EG49,0)))</f>
        <v>0</v>
      </c>
      <c r="EH52" s="63">
        <f>IF(AND(EH48=0,EH49=0),0,IF(EH48&lt;=0,0,IF(WEEKDAY(EH$6,1)=1,EH48*EH49,0)))</f>
        <v>0</v>
      </c>
      <c r="EI52" s="63">
        <f>IF(AND(EI48=0,EI49=0),0,IF(EI48&lt;=0,0,IF(WEEKDAY(EI$6,1)=1,EI48*EI49,0)))</f>
        <v>0</v>
      </c>
      <c r="EJ52" s="63">
        <f>IF(AND(EJ48=0,EJ49=0),0,IF(EJ48&lt;=0,0,IF(WEEKDAY(EJ$6,1)=1,EJ48*EJ49,0)))</f>
        <v>0</v>
      </c>
      <c r="EK52" s="65">
        <f>IF(AND(EK48=0,EK49=0),0,IF(EK48&lt;=0,0,IF(WEEKDAY(EK$6,1)=1,EK48*EK49,0)))</f>
        <v>0</v>
      </c>
      <c r="OU52" s="28" t="s">
        <v>74</v>
      </c>
    </row>
    <row r="53" ht="16" customHeight="1" spans="1:411" x14ac:dyDescent="0.25">
      <c r="A53" s="74"/>
      <c r="B53" s="46"/>
      <c r="C53" s="67">
        <f>I47*D53</f>
        <v>8540</v>
      </c>
      <c r="D53" s="67">
        <v>140</v>
      </c>
      <c r="E53" s="68" t="s">
        <v>65</v>
      </c>
      <c r="F53" s="49"/>
      <c r="G53" s="49"/>
      <c r="H53" s="49"/>
      <c r="I53" s="49"/>
      <c r="J53" s="50"/>
      <c r="K53" s="69">
        <v>0</v>
      </c>
      <c r="L53" s="70">
        <v>0</v>
      </c>
      <c r="M53" s="70">
        <v>0</v>
      </c>
      <c r="N53" s="70">
        <v>0</v>
      </c>
      <c r="O53" s="70">
        <v>0</v>
      </c>
      <c r="P53" s="71">
        <v>0</v>
      </c>
      <c r="Q53" s="71">
        <v>0</v>
      </c>
      <c r="R53" s="70">
        <v>0</v>
      </c>
      <c r="S53" s="70">
        <v>0</v>
      </c>
      <c r="T53" s="70">
        <v>0</v>
      </c>
      <c r="U53" s="70">
        <v>0</v>
      </c>
      <c r="V53" s="70">
        <v>0</v>
      </c>
      <c r="W53" s="71">
        <v>0</v>
      </c>
      <c r="X53" s="71">
        <v>0</v>
      </c>
      <c r="Y53" s="70">
        <v>0</v>
      </c>
      <c r="Z53" s="70">
        <v>0</v>
      </c>
      <c r="AA53" s="70">
        <v>0</v>
      </c>
      <c r="AB53" s="70">
        <v>0</v>
      </c>
      <c r="AC53" s="70">
        <v>0</v>
      </c>
      <c r="AD53" s="71">
        <v>0</v>
      </c>
      <c r="AE53" s="71">
        <v>0</v>
      </c>
      <c r="AF53" s="70">
        <v>0</v>
      </c>
      <c r="AG53" s="70">
        <v>0</v>
      </c>
      <c r="AH53" s="70">
        <v>0</v>
      </c>
      <c r="AI53" s="70">
        <v>0</v>
      </c>
      <c r="AJ53" s="70">
        <v>0</v>
      </c>
      <c r="AK53" s="71">
        <v>0</v>
      </c>
      <c r="AL53" s="71">
        <v>0</v>
      </c>
      <c r="AM53" s="70">
        <v>0</v>
      </c>
      <c r="AN53" s="70">
        <v>0</v>
      </c>
      <c r="AO53" s="70">
        <v>0</v>
      </c>
      <c r="AP53" s="70">
        <v>0</v>
      </c>
      <c r="AQ53" s="70">
        <v>0</v>
      </c>
      <c r="AR53" s="71">
        <v>0</v>
      </c>
      <c r="AS53" s="71">
        <v>0</v>
      </c>
      <c r="AT53" s="70">
        <v>0</v>
      </c>
      <c r="AU53" s="70">
        <v>0</v>
      </c>
      <c r="AV53" s="70">
        <v>0</v>
      </c>
      <c r="AW53" s="70">
        <v>0</v>
      </c>
      <c r="AX53" s="70">
        <v>0</v>
      </c>
      <c r="AY53" s="71">
        <v>0</v>
      </c>
      <c r="AZ53" s="71">
        <v>0</v>
      </c>
      <c r="BA53" s="70">
        <v>0</v>
      </c>
      <c r="BB53" s="70">
        <v>0</v>
      </c>
      <c r="BC53" s="70">
        <v>0</v>
      </c>
      <c r="BD53" s="70">
        <v>0</v>
      </c>
      <c r="BE53" s="70">
        <v>0</v>
      </c>
      <c r="BF53" s="71">
        <v>0</v>
      </c>
      <c r="BG53" s="71">
        <v>0</v>
      </c>
      <c r="BH53" s="70">
        <v>1</v>
      </c>
      <c r="BI53" s="70">
        <v>1</v>
      </c>
      <c r="BJ53" s="70">
        <v>1</v>
      </c>
      <c r="BK53" s="70">
        <v>1</v>
      </c>
      <c r="BL53" s="70">
        <v>1</v>
      </c>
      <c r="BM53" s="71">
        <v>1</v>
      </c>
      <c r="BN53" s="71">
        <v>1</v>
      </c>
      <c r="BO53" s="70">
        <v>1</v>
      </c>
      <c r="BP53" s="70">
        <v>1</v>
      </c>
      <c r="BQ53" s="70">
        <v>1</v>
      </c>
      <c r="BR53" s="70">
        <v>1</v>
      </c>
      <c r="BS53" s="70">
        <v>1</v>
      </c>
      <c r="BT53" s="71">
        <v>1</v>
      </c>
      <c r="BU53" s="71">
        <v>1</v>
      </c>
      <c r="BV53" s="70">
        <v>1</v>
      </c>
      <c r="BW53" s="70">
        <v>1</v>
      </c>
      <c r="BX53" s="70">
        <v>1</v>
      </c>
      <c r="BY53" s="70">
        <v>1</v>
      </c>
      <c r="BZ53" s="70">
        <v>1</v>
      </c>
      <c r="CA53" s="71">
        <v>1</v>
      </c>
      <c r="CB53" s="71">
        <v>0</v>
      </c>
      <c r="CC53" s="70">
        <v>1</v>
      </c>
      <c r="CD53" s="70">
        <v>1</v>
      </c>
      <c r="CE53" s="70">
        <v>1</v>
      </c>
      <c r="CF53" s="70">
        <v>1</v>
      </c>
      <c r="CG53" s="70">
        <v>1</v>
      </c>
      <c r="CH53" s="71">
        <v>1</v>
      </c>
      <c r="CI53" s="71">
        <v>1</v>
      </c>
      <c r="CJ53" s="70">
        <v>1</v>
      </c>
      <c r="CK53" s="70">
        <v>1</v>
      </c>
      <c r="CL53" s="70">
        <v>1</v>
      </c>
      <c r="CM53" s="70">
        <v>1</v>
      </c>
      <c r="CN53" s="70">
        <v>1</v>
      </c>
      <c r="CO53" s="71">
        <v>1</v>
      </c>
      <c r="CP53" s="71">
        <v>0</v>
      </c>
      <c r="CQ53" s="70">
        <v>1</v>
      </c>
      <c r="CR53" s="70">
        <v>1</v>
      </c>
      <c r="CS53" s="70">
        <v>1</v>
      </c>
      <c r="CT53" s="70">
        <v>1</v>
      </c>
      <c r="CU53" s="70">
        <v>1</v>
      </c>
      <c r="CV53" s="71">
        <v>1</v>
      </c>
      <c r="CW53" s="71">
        <v>1</v>
      </c>
      <c r="CX53" s="70">
        <v>1</v>
      </c>
      <c r="CY53" s="70">
        <v>1</v>
      </c>
      <c r="CZ53" s="70">
        <v>1</v>
      </c>
      <c r="DA53" s="70">
        <v>1</v>
      </c>
      <c r="DB53" s="70">
        <v>1</v>
      </c>
      <c r="DC53" s="71">
        <v>1</v>
      </c>
      <c r="DD53" s="71">
        <v>1</v>
      </c>
      <c r="DE53" s="70">
        <v>1</v>
      </c>
      <c r="DF53" s="70">
        <v>1</v>
      </c>
      <c r="DG53" s="70">
        <v>1</v>
      </c>
      <c r="DH53" s="70">
        <v>1</v>
      </c>
      <c r="DI53" s="70">
        <v>1</v>
      </c>
      <c r="DJ53" s="71">
        <v>1</v>
      </c>
      <c r="DK53" s="71">
        <v>0</v>
      </c>
      <c r="DL53" s="70">
        <v>1</v>
      </c>
      <c r="DM53" s="70">
        <v>1</v>
      </c>
      <c r="DN53" s="70">
        <v>1</v>
      </c>
      <c r="DO53" s="70">
        <v>1</v>
      </c>
      <c r="DP53" s="70">
        <v>1</v>
      </c>
      <c r="DQ53" s="71">
        <v>1</v>
      </c>
      <c r="DR53" s="71">
        <v>1</v>
      </c>
      <c r="DS53" s="70">
        <v>1</v>
      </c>
      <c r="DT53" s="70">
        <v>0</v>
      </c>
      <c r="DU53" s="70">
        <v>0</v>
      </c>
      <c r="DV53" s="70">
        <v>0</v>
      </c>
      <c r="DW53" s="70">
        <v>0</v>
      </c>
      <c r="DX53" s="71">
        <v>0</v>
      </c>
      <c r="DY53" s="71">
        <v>0</v>
      </c>
      <c r="DZ53" s="70">
        <v>0</v>
      </c>
      <c r="EA53" s="70">
        <v>0</v>
      </c>
      <c r="EB53" s="70">
        <v>0</v>
      </c>
      <c r="EC53" s="70">
        <v>0</v>
      </c>
      <c r="ED53" s="70">
        <v>0</v>
      </c>
      <c r="EE53" s="71">
        <v>0</v>
      </c>
      <c r="EF53" s="71">
        <v>0</v>
      </c>
      <c r="EG53" s="70">
        <v>0</v>
      </c>
      <c r="EH53" s="70">
        <v>0</v>
      </c>
      <c r="EI53" s="70">
        <v>0</v>
      </c>
      <c r="EJ53" s="70">
        <v>0</v>
      </c>
      <c r="EK53" s="72">
        <v>0</v>
      </c>
      <c r="OU53" s="60" t="s">
        <v>74</v>
      </c>
    </row>
    <row r="54" ht="8" customHeight="1" spans="1:14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  <c r="EK54" s="73"/>
    </row>
    <row r="55" ht="16" customHeight="1" spans="1:411" x14ac:dyDescent="0.25">
      <c r="A55" s="45" t="s">
        <v>57</v>
      </c>
      <c r="B55" s="46" t="s">
        <v>75</v>
      </c>
      <c r="C55" s="47">
        <f>J55</f>
        <v>144015.38</v>
      </c>
      <c r="D55" s="48"/>
      <c r="E55" s="48"/>
      <c r="F55" s="49">
        <f>SUM(K58:EK58)</f>
        <v>782</v>
      </c>
      <c r="G55" s="49">
        <f>SUM(K59:EK59)</f>
        <v>374</v>
      </c>
      <c r="H55" s="49">
        <f>SUM(K60:EK60)</f>
        <v>78</v>
      </c>
      <c r="I55" s="49">
        <f>SUM(K61:EK61)</f>
        <v>110</v>
      </c>
      <c r="J55" s="50">
        <f>C58+C59+C60</f>
        <v>144015.38</v>
      </c>
      <c r="K55" s="51"/>
      <c r="L55" s="52"/>
      <c r="M55" s="52"/>
      <c r="N55" s="52"/>
      <c r="O55" s="52"/>
      <c r="P55" s="53"/>
      <c r="Q55" s="53"/>
      <c r="R55" s="52"/>
      <c r="S55" s="52"/>
      <c r="T55" s="52"/>
      <c r="U55" s="52"/>
      <c r="V55" s="52"/>
      <c r="W55" s="53"/>
      <c r="X55" s="53"/>
      <c r="Y55" s="52"/>
      <c r="Z55" s="52"/>
      <c r="AA55" s="52"/>
      <c r="AB55" s="52"/>
      <c r="AC55" s="52"/>
      <c r="AD55" s="53"/>
      <c r="AE55" s="53"/>
      <c r="AF55" s="52"/>
      <c r="AG55" s="52"/>
      <c r="AH55" s="52"/>
      <c r="AI55" s="52"/>
      <c r="AJ55" s="52"/>
      <c r="AK55" s="53"/>
      <c r="AL55" s="53"/>
      <c r="AM55" s="52"/>
      <c r="AN55" s="52"/>
      <c r="AO55" s="52"/>
      <c r="AP55" s="52"/>
      <c r="AQ55" s="52"/>
      <c r="AR55" s="53"/>
      <c r="AS55" s="53"/>
      <c r="AT55" s="52"/>
      <c r="AU55" s="52"/>
      <c r="AV55" s="52"/>
      <c r="AW55" s="52"/>
      <c r="AX55" s="52"/>
      <c r="AY55" s="53"/>
      <c r="AZ55" s="53"/>
      <c r="BA55" s="52"/>
      <c r="BB55" s="52"/>
      <c r="BC55" s="52"/>
      <c r="BD55" s="52"/>
      <c r="BE55" s="52"/>
      <c r="BF55" s="53"/>
      <c r="BG55" s="53"/>
      <c r="BH55" s="52"/>
      <c r="BI55" s="52"/>
      <c r="BJ55" s="52"/>
      <c r="BK55" s="52"/>
      <c r="BL55" s="52"/>
      <c r="BM55" s="53"/>
      <c r="BN55" s="53"/>
      <c r="BO55" s="52"/>
      <c r="BP55" s="52"/>
      <c r="BQ55" s="52"/>
      <c r="BR55" s="52"/>
      <c r="BS55" s="52"/>
      <c r="BT55" s="53"/>
      <c r="BU55" s="53"/>
      <c r="BV55" s="52"/>
      <c r="BW55" s="52"/>
      <c r="BX55" s="52"/>
      <c r="BY55" s="52"/>
      <c r="BZ55" s="52"/>
      <c r="CA55" s="53"/>
      <c r="CB55" s="53"/>
      <c r="CC55" s="52"/>
      <c r="CD55" s="52"/>
      <c r="CE55" s="52"/>
      <c r="CF55" s="52"/>
      <c r="CG55" s="52"/>
      <c r="CH55" s="53"/>
      <c r="CI55" s="53"/>
      <c r="CJ55" s="52"/>
      <c r="CK55" s="52"/>
      <c r="CL55" s="52"/>
      <c r="CM55" s="52"/>
      <c r="CN55" s="52"/>
      <c r="CO55" s="53"/>
      <c r="CP55" s="53"/>
      <c r="CQ55" s="52"/>
      <c r="CR55" s="52"/>
      <c r="CS55" s="52"/>
      <c r="CT55" s="52"/>
      <c r="CU55" s="52"/>
      <c r="CV55" s="53"/>
      <c r="CW55" s="53"/>
      <c r="CX55" s="52"/>
      <c r="CY55" s="52"/>
      <c r="CZ55" s="52"/>
      <c r="DA55" s="52"/>
      <c r="DB55" s="52"/>
      <c r="DC55" s="53"/>
      <c r="DD55" s="53"/>
      <c r="DE55" s="52"/>
      <c r="DF55" s="52"/>
      <c r="DG55" s="52"/>
      <c r="DH55" s="52"/>
      <c r="DI55" s="52"/>
      <c r="DJ55" s="53"/>
      <c r="DK55" s="53"/>
      <c r="DL55" s="52"/>
      <c r="DM55" s="52"/>
      <c r="DN55" s="52"/>
      <c r="DO55" s="52"/>
      <c r="DP55" s="52"/>
      <c r="DQ55" s="53"/>
      <c r="DR55" s="53"/>
      <c r="DS55" s="52"/>
      <c r="DT55" s="52"/>
      <c r="DU55" s="52"/>
      <c r="DV55" s="52"/>
      <c r="DW55" s="52"/>
      <c r="DX55" s="53"/>
      <c r="DY55" s="53"/>
      <c r="DZ55" s="52"/>
      <c r="EA55" s="52"/>
      <c r="EB55" s="52"/>
      <c r="EC55" s="52"/>
      <c r="ED55" s="52"/>
      <c r="EE55" s="53"/>
      <c r="EF55" s="53"/>
      <c r="EG55" s="52"/>
      <c r="EH55" s="52"/>
      <c r="EI55" s="52"/>
      <c r="EJ55" s="52"/>
      <c r="EK55" s="54"/>
      <c r="OU55" s="28" t="s">
        <v>76</v>
      </c>
    </row>
    <row r="56" ht="16" customHeight="1" spans="1:411" x14ac:dyDescent="0.25">
      <c r="A56" s="45"/>
      <c r="B56" s="46"/>
      <c r="C56" s="47"/>
      <c r="D56" s="48"/>
      <c r="E56" s="55" t="s">
        <v>60</v>
      </c>
      <c r="F56" s="49"/>
      <c r="G56" s="49"/>
      <c r="H56" s="49"/>
      <c r="I56" s="49"/>
      <c r="J56" s="50"/>
      <c r="K56" s="56">
        <v>1</v>
      </c>
      <c r="L56" s="57">
        <v>1</v>
      </c>
      <c r="M56" s="57">
        <v>1</v>
      </c>
      <c r="N56" s="57">
        <v>1</v>
      </c>
      <c r="O56" s="57">
        <v>1</v>
      </c>
      <c r="P56" s="58">
        <v>0</v>
      </c>
      <c r="Q56" s="58">
        <v>0</v>
      </c>
      <c r="R56" s="57">
        <v>1</v>
      </c>
      <c r="S56" s="57">
        <v>1</v>
      </c>
      <c r="T56" s="57">
        <v>1</v>
      </c>
      <c r="U56" s="57">
        <v>1</v>
      </c>
      <c r="V56" s="57">
        <v>1</v>
      </c>
      <c r="W56" s="58">
        <v>0</v>
      </c>
      <c r="X56" s="58">
        <v>0</v>
      </c>
      <c r="Y56" s="57">
        <v>1</v>
      </c>
      <c r="Z56" s="57">
        <v>1</v>
      </c>
      <c r="AA56" s="57">
        <v>1</v>
      </c>
      <c r="AB56" s="57">
        <v>1</v>
      </c>
      <c r="AC56" s="57">
        <v>1</v>
      </c>
      <c r="AD56" s="58">
        <v>0</v>
      </c>
      <c r="AE56" s="58">
        <v>0</v>
      </c>
      <c r="AF56" s="57">
        <v>1</v>
      </c>
      <c r="AG56" s="57">
        <v>1</v>
      </c>
      <c r="AH56" s="57">
        <v>1</v>
      </c>
      <c r="AI56" s="57">
        <v>1</v>
      </c>
      <c r="AJ56" s="57">
        <v>1</v>
      </c>
      <c r="AK56" s="58">
        <v>0</v>
      </c>
      <c r="AL56" s="58">
        <v>0</v>
      </c>
      <c r="AM56" s="57">
        <v>1</v>
      </c>
      <c r="AN56" s="57">
        <v>1</v>
      </c>
      <c r="AO56" s="57">
        <v>1</v>
      </c>
      <c r="AP56" s="57">
        <v>1</v>
      </c>
      <c r="AQ56" s="57">
        <v>1</v>
      </c>
      <c r="AR56" s="58">
        <v>0</v>
      </c>
      <c r="AS56" s="58">
        <v>0</v>
      </c>
      <c r="AT56" s="57">
        <v>1</v>
      </c>
      <c r="AU56" s="57">
        <v>1</v>
      </c>
      <c r="AV56" s="57">
        <v>1</v>
      </c>
      <c r="AW56" s="57">
        <v>1</v>
      </c>
      <c r="AX56" s="57">
        <v>1</v>
      </c>
      <c r="AY56" s="58">
        <v>0</v>
      </c>
      <c r="AZ56" s="58">
        <v>0</v>
      </c>
      <c r="BA56" s="57">
        <v>1</v>
      </c>
      <c r="BB56" s="57">
        <v>1</v>
      </c>
      <c r="BC56" s="57">
        <v>1</v>
      </c>
      <c r="BD56" s="57">
        <v>1</v>
      </c>
      <c r="BE56" s="57">
        <v>1</v>
      </c>
      <c r="BF56" s="58">
        <v>0</v>
      </c>
      <c r="BG56" s="58">
        <v>0</v>
      </c>
      <c r="BH56" s="57">
        <v>1</v>
      </c>
      <c r="BI56" s="57">
        <v>1</v>
      </c>
      <c r="BJ56" s="57">
        <v>1</v>
      </c>
      <c r="BK56" s="57">
        <v>1</v>
      </c>
      <c r="BL56" s="57">
        <v>1</v>
      </c>
      <c r="BM56" s="58">
        <v>1</v>
      </c>
      <c r="BN56" s="58">
        <v>1</v>
      </c>
      <c r="BO56" s="57">
        <v>1</v>
      </c>
      <c r="BP56" s="57">
        <v>1</v>
      </c>
      <c r="BQ56" s="57">
        <v>1</v>
      </c>
      <c r="BR56" s="57">
        <v>1</v>
      </c>
      <c r="BS56" s="57">
        <v>1</v>
      </c>
      <c r="BT56" s="58">
        <v>1</v>
      </c>
      <c r="BU56" s="58">
        <v>1</v>
      </c>
      <c r="BV56" s="57">
        <v>1</v>
      </c>
      <c r="BW56" s="57">
        <v>1</v>
      </c>
      <c r="BX56" s="57">
        <v>1</v>
      </c>
      <c r="BY56" s="57">
        <v>1</v>
      </c>
      <c r="BZ56" s="57">
        <v>1</v>
      </c>
      <c r="CA56" s="58">
        <v>1</v>
      </c>
      <c r="CB56" s="58">
        <v>0</v>
      </c>
      <c r="CC56" s="57">
        <v>1</v>
      </c>
      <c r="CD56" s="57">
        <v>1</v>
      </c>
      <c r="CE56" s="57">
        <v>1</v>
      </c>
      <c r="CF56" s="57">
        <v>1</v>
      </c>
      <c r="CG56" s="57">
        <v>1</v>
      </c>
      <c r="CH56" s="58">
        <v>1</v>
      </c>
      <c r="CI56" s="58">
        <v>1</v>
      </c>
      <c r="CJ56" s="57">
        <v>1</v>
      </c>
      <c r="CK56" s="57">
        <v>1</v>
      </c>
      <c r="CL56" s="57">
        <v>1</v>
      </c>
      <c r="CM56" s="57">
        <v>1</v>
      </c>
      <c r="CN56" s="57">
        <v>1</v>
      </c>
      <c r="CO56" s="58">
        <v>1</v>
      </c>
      <c r="CP56" s="58">
        <v>0</v>
      </c>
      <c r="CQ56" s="57">
        <v>1</v>
      </c>
      <c r="CR56" s="57">
        <v>1</v>
      </c>
      <c r="CS56" s="57">
        <v>1</v>
      </c>
      <c r="CT56" s="57">
        <v>1</v>
      </c>
      <c r="CU56" s="57">
        <v>1</v>
      </c>
      <c r="CV56" s="58">
        <v>1</v>
      </c>
      <c r="CW56" s="58">
        <v>1</v>
      </c>
      <c r="CX56" s="57">
        <v>1</v>
      </c>
      <c r="CY56" s="57">
        <v>1</v>
      </c>
      <c r="CZ56" s="57">
        <v>1</v>
      </c>
      <c r="DA56" s="57">
        <v>1</v>
      </c>
      <c r="DB56" s="57">
        <v>1</v>
      </c>
      <c r="DC56" s="58">
        <v>1</v>
      </c>
      <c r="DD56" s="58">
        <v>1</v>
      </c>
      <c r="DE56" s="57">
        <v>1</v>
      </c>
      <c r="DF56" s="57">
        <v>1</v>
      </c>
      <c r="DG56" s="57">
        <v>1</v>
      </c>
      <c r="DH56" s="57">
        <v>1</v>
      </c>
      <c r="DI56" s="57">
        <v>1</v>
      </c>
      <c r="DJ56" s="58">
        <v>1</v>
      </c>
      <c r="DK56" s="58">
        <v>0</v>
      </c>
      <c r="DL56" s="57">
        <v>1</v>
      </c>
      <c r="DM56" s="57">
        <v>1</v>
      </c>
      <c r="DN56" s="57">
        <v>1</v>
      </c>
      <c r="DO56" s="57">
        <v>1</v>
      </c>
      <c r="DP56" s="57">
        <v>1</v>
      </c>
      <c r="DQ56" s="58">
        <v>1</v>
      </c>
      <c r="DR56" s="58">
        <v>1</v>
      </c>
      <c r="DS56" s="57">
        <v>1</v>
      </c>
      <c r="DT56" s="57">
        <v>1</v>
      </c>
      <c r="DU56" s="57">
        <v>1</v>
      </c>
      <c r="DV56" s="57">
        <v>1</v>
      </c>
      <c r="DW56" s="57">
        <v>1</v>
      </c>
      <c r="DX56" s="58">
        <v>0</v>
      </c>
      <c r="DY56" s="58">
        <v>0</v>
      </c>
      <c r="DZ56" s="57">
        <v>1</v>
      </c>
      <c r="EA56" s="57">
        <v>1</v>
      </c>
      <c r="EB56" s="57">
        <v>1</v>
      </c>
      <c r="EC56" s="57">
        <v>1</v>
      </c>
      <c r="ED56" s="57">
        <v>1</v>
      </c>
      <c r="EE56" s="58">
        <v>0</v>
      </c>
      <c r="EF56" s="58">
        <v>0</v>
      </c>
      <c r="EG56" s="57">
        <v>1</v>
      </c>
      <c r="EH56" s="57">
        <v>1</v>
      </c>
      <c r="EI56" s="57">
        <v>1</v>
      </c>
      <c r="EJ56" s="57">
        <v>1</v>
      </c>
      <c r="EK56" s="59">
        <v>1</v>
      </c>
      <c r="OU56" s="60" t="s">
        <v>76</v>
      </c>
    </row>
    <row r="57" ht="16" customHeight="1" spans="1:411" x14ac:dyDescent="0.25">
      <c r="A57" s="45"/>
      <c r="B57" s="46"/>
      <c r="C57" s="47"/>
      <c r="D57" s="48"/>
      <c r="E57" s="55" t="s">
        <v>61</v>
      </c>
      <c r="F57" s="49"/>
      <c r="G57" s="49"/>
      <c r="H57" s="49"/>
      <c r="I57" s="49"/>
      <c r="J57" s="50"/>
      <c r="K57" s="56">
        <v>9</v>
      </c>
      <c r="L57" s="57">
        <v>9</v>
      </c>
      <c r="M57" s="57">
        <v>9</v>
      </c>
      <c r="N57" s="57">
        <v>9</v>
      </c>
      <c r="O57" s="57">
        <v>9</v>
      </c>
      <c r="P57" s="58">
        <v>0</v>
      </c>
      <c r="Q57" s="58">
        <v>0</v>
      </c>
      <c r="R57" s="57">
        <v>9</v>
      </c>
      <c r="S57" s="57">
        <v>9</v>
      </c>
      <c r="T57" s="57">
        <v>9</v>
      </c>
      <c r="U57" s="57">
        <v>9</v>
      </c>
      <c r="V57" s="57">
        <v>9</v>
      </c>
      <c r="W57" s="58">
        <v>0</v>
      </c>
      <c r="X57" s="58">
        <v>0</v>
      </c>
      <c r="Y57" s="57">
        <v>9</v>
      </c>
      <c r="Z57" s="57">
        <v>9</v>
      </c>
      <c r="AA57" s="57">
        <v>9</v>
      </c>
      <c r="AB57" s="57">
        <v>9</v>
      </c>
      <c r="AC57" s="57">
        <v>9</v>
      </c>
      <c r="AD57" s="58">
        <v>0</v>
      </c>
      <c r="AE57" s="58">
        <v>0</v>
      </c>
      <c r="AF57" s="57">
        <v>9</v>
      </c>
      <c r="AG57" s="57">
        <v>9</v>
      </c>
      <c r="AH57" s="57">
        <v>9</v>
      </c>
      <c r="AI57" s="57">
        <v>9</v>
      </c>
      <c r="AJ57" s="57">
        <v>9</v>
      </c>
      <c r="AK57" s="58">
        <v>0</v>
      </c>
      <c r="AL57" s="58">
        <v>0</v>
      </c>
      <c r="AM57" s="57">
        <v>9</v>
      </c>
      <c r="AN57" s="57">
        <v>9</v>
      </c>
      <c r="AO57" s="57">
        <v>9</v>
      </c>
      <c r="AP57" s="57">
        <v>9</v>
      </c>
      <c r="AQ57" s="57">
        <v>9</v>
      </c>
      <c r="AR57" s="58">
        <v>0</v>
      </c>
      <c r="AS57" s="58">
        <v>0</v>
      </c>
      <c r="AT57" s="57">
        <v>9</v>
      </c>
      <c r="AU57" s="57">
        <v>9</v>
      </c>
      <c r="AV57" s="57">
        <v>9</v>
      </c>
      <c r="AW57" s="57">
        <v>9</v>
      </c>
      <c r="AX57" s="57">
        <v>9</v>
      </c>
      <c r="AY57" s="58">
        <v>0</v>
      </c>
      <c r="AZ57" s="58">
        <v>0</v>
      </c>
      <c r="BA57" s="57">
        <v>9</v>
      </c>
      <c r="BB57" s="57">
        <v>9</v>
      </c>
      <c r="BC57" s="57">
        <v>9</v>
      </c>
      <c r="BD57" s="57">
        <v>9</v>
      </c>
      <c r="BE57" s="57">
        <v>9</v>
      </c>
      <c r="BF57" s="58">
        <v>0</v>
      </c>
      <c r="BG57" s="58">
        <v>0</v>
      </c>
      <c r="BH57" s="57">
        <v>13</v>
      </c>
      <c r="BI57" s="57">
        <v>13</v>
      </c>
      <c r="BJ57" s="57">
        <v>13</v>
      </c>
      <c r="BK57" s="57">
        <v>13</v>
      </c>
      <c r="BL57" s="57">
        <v>13</v>
      </c>
      <c r="BM57" s="58">
        <v>13</v>
      </c>
      <c r="BN57" s="58">
        <v>13</v>
      </c>
      <c r="BO57" s="57">
        <v>13</v>
      </c>
      <c r="BP57" s="57">
        <v>13</v>
      </c>
      <c r="BQ57" s="57">
        <v>13</v>
      </c>
      <c r="BR57" s="57">
        <v>13</v>
      </c>
      <c r="BS57" s="57">
        <v>13</v>
      </c>
      <c r="BT57" s="58">
        <v>13</v>
      </c>
      <c r="BU57" s="58">
        <v>13</v>
      </c>
      <c r="BV57" s="57">
        <v>13</v>
      </c>
      <c r="BW57" s="57">
        <v>13</v>
      </c>
      <c r="BX57" s="57">
        <v>13</v>
      </c>
      <c r="BY57" s="57">
        <v>13</v>
      </c>
      <c r="BZ57" s="57">
        <v>13</v>
      </c>
      <c r="CA57" s="58">
        <v>13</v>
      </c>
      <c r="CB57" s="58">
        <v>0</v>
      </c>
      <c r="CC57" s="57">
        <v>13</v>
      </c>
      <c r="CD57" s="57">
        <v>13</v>
      </c>
      <c r="CE57" s="57">
        <v>13</v>
      </c>
      <c r="CF57" s="57">
        <v>13</v>
      </c>
      <c r="CG57" s="57">
        <v>13</v>
      </c>
      <c r="CH57" s="58">
        <v>13</v>
      </c>
      <c r="CI57" s="58">
        <v>13</v>
      </c>
      <c r="CJ57" s="57">
        <v>13</v>
      </c>
      <c r="CK57" s="57">
        <v>13</v>
      </c>
      <c r="CL57" s="57">
        <v>13</v>
      </c>
      <c r="CM57" s="57">
        <v>13</v>
      </c>
      <c r="CN57" s="57">
        <v>13</v>
      </c>
      <c r="CO57" s="58">
        <v>13</v>
      </c>
      <c r="CP57" s="58">
        <v>0</v>
      </c>
      <c r="CQ57" s="57">
        <v>13</v>
      </c>
      <c r="CR57" s="57">
        <v>13</v>
      </c>
      <c r="CS57" s="57">
        <v>13</v>
      </c>
      <c r="CT57" s="57">
        <v>13</v>
      </c>
      <c r="CU57" s="57">
        <v>13</v>
      </c>
      <c r="CV57" s="58">
        <v>13</v>
      </c>
      <c r="CW57" s="58">
        <v>13</v>
      </c>
      <c r="CX57" s="57">
        <v>13</v>
      </c>
      <c r="CY57" s="57">
        <v>13</v>
      </c>
      <c r="CZ57" s="57">
        <v>13</v>
      </c>
      <c r="DA57" s="57">
        <v>13</v>
      </c>
      <c r="DB57" s="57">
        <v>13</v>
      </c>
      <c r="DC57" s="58">
        <v>13</v>
      </c>
      <c r="DD57" s="58">
        <v>13</v>
      </c>
      <c r="DE57" s="57">
        <v>13</v>
      </c>
      <c r="DF57" s="57">
        <v>13</v>
      </c>
      <c r="DG57" s="57">
        <v>13</v>
      </c>
      <c r="DH57" s="57">
        <v>13</v>
      </c>
      <c r="DI57" s="57">
        <v>13</v>
      </c>
      <c r="DJ57" s="58">
        <v>13</v>
      </c>
      <c r="DK57" s="58">
        <v>0</v>
      </c>
      <c r="DL57" s="57">
        <v>13</v>
      </c>
      <c r="DM57" s="57">
        <v>13</v>
      </c>
      <c r="DN57" s="57">
        <v>13</v>
      </c>
      <c r="DO57" s="57">
        <v>13</v>
      </c>
      <c r="DP57" s="57">
        <v>13</v>
      </c>
      <c r="DQ57" s="58">
        <v>13</v>
      </c>
      <c r="DR57" s="58">
        <v>13</v>
      </c>
      <c r="DS57" s="57">
        <v>13</v>
      </c>
      <c r="DT57" s="57">
        <v>9</v>
      </c>
      <c r="DU57" s="57">
        <v>9</v>
      </c>
      <c r="DV57" s="57">
        <v>9</v>
      </c>
      <c r="DW57" s="57">
        <v>9</v>
      </c>
      <c r="DX57" s="58">
        <v>0</v>
      </c>
      <c r="DY57" s="58">
        <v>0</v>
      </c>
      <c r="DZ57" s="57">
        <v>9</v>
      </c>
      <c r="EA57" s="57">
        <v>9</v>
      </c>
      <c r="EB57" s="57">
        <v>9</v>
      </c>
      <c r="EC57" s="57">
        <v>9</v>
      </c>
      <c r="ED57" s="57">
        <v>9</v>
      </c>
      <c r="EE57" s="58">
        <v>0</v>
      </c>
      <c r="EF57" s="58">
        <v>0</v>
      </c>
      <c r="EG57" s="57">
        <v>9</v>
      </c>
      <c r="EH57" s="57">
        <v>9</v>
      </c>
      <c r="EI57" s="57">
        <v>9</v>
      </c>
      <c r="EJ57" s="57">
        <v>9</v>
      </c>
      <c r="EK57" s="59">
        <v>9</v>
      </c>
      <c r="OU57" s="60" t="s">
        <v>76</v>
      </c>
    </row>
    <row r="58" ht="16" customHeight="1" spans="1:411" x14ac:dyDescent="0.25">
      <c r="A58" s="45"/>
      <c r="B58" s="46"/>
      <c r="C58" s="61">
        <f>F55*N(D58)</f>
        <v>79193.14</v>
      </c>
      <c r="D58" s="61">
        <f>IF(TRIM(B55)="","No rate",IFERROR(INDEX('Rate Tables'!C$7:C$158,MATCH(B55,'Rate Tables'!A$7:A$158,0)),"No rate"))</f>
        <v>101.27</v>
      </c>
      <c r="E58" s="55" t="s">
        <v>62</v>
      </c>
      <c r="F58" s="49"/>
      <c r="G58" s="49"/>
      <c r="H58" s="49"/>
      <c r="I58" s="49"/>
      <c r="J58" s="50"/>
      <c r="K58" s="62">
        <f>IF(AND(K56=1,K57=9),8,MIN(IF(K56&lt;=0,0,IF(WEEKDAY(K$6,1)=1,0,MIN(8,K57)*K56)),MAX(0,40*MAX(1,K56)-(0))))</f>
        <v>8</v>
      </c>
      <c r="L58" s="63">
        <f>IF(AND(L56=1,L57=9),8,MIN(IF(L56&lt;=0,0,IF(WEEKDAY(L$6,1)=1,0,MIN(8,L57)*L56)),MAX(0,40*MAX(1,L56)-(K58))))</f>
        <v>8</v>
      </c>
      <c r="M58" s="63">
        <f>IF(AND(M56=1,M57=9),8,MIN(IF(M56&lt;=0,0,IF(WEEKDAY(M$6,1)=1,0,MIN(8,M57)*M56)),MAX(0,40*MAX(1,M56)-(K58+L58))))</f>
        <v>8</v>
      </c>
      <c r="N58" s="63">
        <f>IF(AND(N56=1,N57=9),8,MIN(IF(N56&lt;=0,0,IF(WEEKDAY(N$6,1)=1,0,MIN(8,N57)*N56)),MAX(0,40*MAX(1,N56)-(K58+L58+M58))))</f>
        <v>8</v>
      </c>
      <c r="O58" s="63">
        <f>IF(AND(O56=1,O57=9),8,MIN(IF(O56&lt;=0,0,IF(WEEKDAY(O$6,1)=1,0,MIN(8,O57)*O56)),MAX(0,40*MAX(1,O56)-(K58+L58+M58+N58))))</f>
        <v>8</v>
      </c>
      <c r="P58" s="64">
        <f>IF(AND(P56=0,P57=0),0,MIN(IF(P56&lt;=0,0,IF(WEEKDAY(P$6,1)=1,0,MIN(10,P57)*P56)),MAX(0,40*MAX(1,P56)-(0))))</f>
        <v>0</v>
      </c>
      <c r="Q58" s="64">
        <f>IF(AND(Q56=0,Q57=0),0,MIN(IF(Q56&lt;=0,0,IF(WEEKDAY(Q$6,1)=1,0,MIN(10,Q57)*Q56)),MAX(0,40*MAX(1,Q56)-(P58))))</f>
        <v>0</v>
      </c>
      <c r="R58" s="63">
        <f>IF(AND(R56=1,R57=9),8,MIN(IF(R56&lt;=0,0,IF(WEEKDAY(R$6,1)=1,0,MIN(8,R57)*R56)),MAX(0,40*MAX(1,R56)-(0))))</f>
        <v>8</v>
      </c>
      <c r="S58" s="63">
        <f>IF(AND(S56=1,S57=9),8,MIN(IF(S56&lt;=0,0,IF(WEEKDAY(S$6,1)=1,0,MIN(8,S57)*S56)),MAX(0,40*MAX(1,S56)-(R58))))</f>
        <v>8</v>
      </c>
      <c r="T58" s="63">
        <f>IF(AND(T56=1,T57=9),8,MIN(IF(T56&lt;=0,0,IF(WEEKDAY(T$6,1)=1,0,MIN(8,T57)*T56)),MAX(0,40*MAX(1,T56)-(R58+S58))))</f>
        <v>8</v>
      </c>
      <c r="U58" s="63">
        <f>IF(AND(U56=1,U57=9),8,MIN(IF(U56&lt;=0,0,IF(WEEKDAY(U$6,1)=1,0,MIN(8,U57)*U56)),MAX(0,40*MAX(1,U56)-(R58+S58+T58))))</f>
        <v>8</v>
      </c>
      <c r="V58" s="63">
        <f>IF(AND(V56=1,V57=9),8,MIN(IF(V56&lt;=0,0,IF(WEEKDAY(V$6,1)=1,0,MIN(8,V57)*V56)),MAX(0,40*MAX(1,V56)-(R58+S58+T58+U58))))</f>
        <v>8</v>
      </c>
      <c r="W58" s="64">
        <f>IF(AND(W56=0,W57=0),0,MIN(IF(W56&lt;=0,0,IF(WEEKDAY(W$6,1)=1,0,MIN(10,W57)*W56)),MAX(0,40*MAX(1,W56)-(0))))</f>
        <v>0</v>
      </c>
      <c r="X58" s="64">
        <f>IF(AND(X56=0,X57=0),0,MIN(IF(X56&lt;=0,0,IF(WEEKDAY(X$6,1)=1,0,MIN(10,X57)*X56)),MAX(0,40*MAX(1,X56)-(W58))))</f>
        <v>0</v>
      </c>
      <c r="Y58" s="63">
        <f>IF(AND(Y56=1,Y57=9),8,MIN(IF(Y56&lt;=0,0,IF(WEEKDAY(Y$6,1)=1,0,MIN(8,Y57)*Y56)),MAX(0,40*MAX(1,Y56)-(0))))</f>
        <v>8</v>
      </c>
      <c r="Z58" s="63">
        <f>IF(AND(Z56=1,Z57=9),8,MIN(IF(Z56&lt;=0,0,IF(WEEKDAY(Z$6,1)=1,0,MIN(8,Z57)*Z56)),MAX(0,40*MAX(1,Z56)-(Y58))))</f>
        <v>8</v>
      </c>
      <c r="AA58" s="63">
        <f>IF(AND(AA56=1,AA57=9),8,MIN(IF(AA56&lt;=0,0,IF(WEEKDAY(AA$6,1)=1,0,MIN(8,AA57)*AA56)),MAX(0,40*MAX(1,AA56)-(Y58+Z58))))</f>
        <v>8</v>
      </c>
      <c r="AB58" s="63">
        <f>IF(AND(AB56=1,AB57=9),8,MIN(IF(AB56&lt;=0,0,IF(WEEKDAY(AB$6,1)=1,0,MIN(8,AB57)*AB56)),MAX(0,40*MAX(1,AB56)-(Y58+Z58+AA58))))</f>
        <v>8</v>
      </c>
      <c r="AC58" s="63">
        <f>IF(AND(AC56=1,AC57=9),8,MIN(IF(AC56&lt;=0,0,IF(WEEKDAY(AC$6,1)=1,0,MIN(8,AC57)*AC56)),MAX(0,40*MAX(1,AC56)-(Y58+Z58+AA58+AB58))))</f>
        <v>8</v>
      </c>
      <c r="AD58" s="64">
        <f>IF(AND(AD56=0,AD57=0),0,MIN(IF(AD56&lt;=0,0,IF(WEEKDAY(AD$6,1)=1,0,MIN(10,AD57)*AD56)),MAX(0,40*MAX(1,AD56)-(0))))</f>
        <v>0</v>
      </c>
      <c r="AE58" s="64">
        <f>IF(AND(AE56=0,AE57=0),0,MIN(IF(AE56&lt;=0,0,IF(WEEKDAY(AE$6,1)=1,0,MIN(10,AE57)*AE56)),MAX(0,40*MAX(1,AE56)-(AD58))))</f>
        <v>0</v>
      </c>
      <c r="AF58" s="63">
        <f>IF(AND(AF56=1,AF57=9),8,MIN(IF(AF56&lt;=0,0,IF(WEEKDAY(AF$6,1)=1,0,MIN(8,AF57)*AF56)),MAX(0,40*MAX(1,AF56)-(0))))</f>
        <v>8</v>
      </c>
      <c r="AG58" s="63">
        <f>IF(AND(AG56=1,AG57=9),8,MIN(IF(AG56&lt;=0,0,IF(WEEKDAY(AG$6,1)=1,0,MIN(8,AG57)*AG56)),MAX(0,40*MAX(1,AG56)-(AF58))))</f>
        <v>8</v>
      </c>
      <c r="AH58" s="63">
        <f>IF(AND(AH56=1,AH57=9),8,MIN(IF(AH56&lt;=0,0,IF(WEEKDAY(AH$6,1)=1,0,MIN(8,AH57)*AH56)),MAX(0,40*MAX(1,AH56)-(AF58+AG58))))</f>
        <v>8</v>
      </c>
      <c r="AI58" s="63">
        <f>IF(AND(AI56=1,AI57=9),8,MIN(IF(AI56&lt;=0,0,IF(WEEKDAY(AI$6,1)=1,0,MIN(8,AI57)*AI56)),MAX(0,40*MAX(1,AI56)-(AF58+AG58+AH58))))</f>
        <v>8</v>
      </c>
      <c r="AJ58" s="63">
        <f>IF(AND(AJ56=1,AJ57=9),8,MIN(IF(AJ56&lt;=0,0,IF(WEEKDAY(AJ$6,1)=1,0,MIN(8,AJ57)*AJ56)),MAX(0,40*MAX(1,AJ56)-(AF58+AG58+AH58+AI58))))</f>
        <v>8</v>
      </c>
      <c r="AK58" s="64">
        <f>IF(AND(AK56=0,AK57=0),0,MIN(IF(AK56&lt;=0,0,IF(WEEKDAY(AK$6,1)=1,0,MIN(10,AK57)*AK56)),MAX(0,40*MAX(1,AK56)-(0))))</f>
        <v>0</v>
      </c>
      <c r="AL58" s="64">
        <f>IF(AND(AL56=0,AL57=0),0,MIN(IF(AL56&lt;=0,0,IF(WEEKDAY(AL$6,1)=1,0,MIN(10,AL57)*AL56)),MAX(0,40*MAX(1,AL56)-(AK58))))</f>
        <v>0</v>
      </c>
      <c r="AM58" s="63">
        <f>IF(AND(AM56=1,AM57=9),8,MIN(IF(AM56&lt;=0,0,IF(WEEKDAY(AM$6,1)=1,0,MIN(8,AM57)*AM56)),MAX(0,40*MAX(1,AM56)-(0))))</f>
        <v>8</v>
      </c>
      <c r="AN58" s="63">
        <f>IF(AND(AN56=1,AN57=9),8,MIN(IF(AN56&lt;=0,0,IF(WEEKDAY(AN$6,1)=1,0,MIN(8,AN57)*AN56)),MAX(0,40*MAX(1,AN56)-(AM58))))</f>
        <v>8</v>
      </c>
      <c r="AO58" s="63">
        <f>IF(AND(AO56=1,AO57=9),8,MIN(IF(AO56&lt;=0,0,IF(WEEKDAY(AO$6,1)=1,0,MIN(8,AO57)*AO56)),MAX(0,40*MAX(1,AO56)-(AM58+AN58))))</f>
        <v>8</v>
      </c>
      <c r="AP58" s="63">
        <f>IF(AND(AP56=1,AP57=9),8,MIN(IF(AP56&lt;=0,0,IF(WEEKDAY(AP$6,1)=1,0,MIN(8,AP57)*AP56)),MAX(0,40*MAX(1,AP56)-(AM58+AN58+AO58))))</f>
        <v>8</v>
      </c>
      <c r="AQ58" s="63">
        <f>IF(AND(AQ56=1,AQ57=9),8,MIN(IF(AQ56&lt;=0,0,IF(WEEKDAY(AQ$6,1)=1,0,MIN(8,AQ57)*AQ56)),MAX(0,40*MAX(1,AQ56)-(AM58+AN58+AO58+AP58))))</f>
        <v>8</v>
      </c>
      <c r="AR58" s="64">
        <f>IF(AND(AR56=0,AR57=0),0,MIN(IF(AR56&lt;=0,0,IF(WEEKDAY(AR$6,1)=1,0,MIN(10,AR57)*AR56)),MAX(0,40*MAX(1,AR56)-(0))))</f>
        <v>0</v>
      </c>
      <c r="AS58" s="64">
        <f>IF(AND(AS56=0,AS57=0),0,MIN(IF(AS56&lt;=0,0,IF(WEEKDAY(AS$6,1)=1,0,MIN(10,AS57)*AS56)),MAX(0,40*MAX(1,AS56)-(AR58))))</f>
        <v>0</v>
      </c>
      <c r="AT58" s="63">
        <f>IF(AND(AT56=1,AT57=9),8,MIN(IF(AT56&lt;=0,0,IF(WEEKDAY(AT$6,1)=1,0,MIN(8,AT57)*AT56)),MAX(0,40*MAX(1,AT56)-(0))))</f>
        <v>8</v>
      </c>
      <c r="AU58" s="63">
        <f>IF(AND(AU56=1,AU57=9),8,MIN(IF(AU56&lt;=0,0,IF(WEEKDAY(AU$6,1)=1,0,MIN(8,AU57)*AU56)),MAX(0,40*MAX(1,AU56)-(AT58))))</f>
        <v>8</v>
      </c>
      <c r="AV58" s="63">
        <f>IF(AND(AV56=1,AV57=9),8,MIN(IF(AV56&lt;=0,0,IF(WEEKDAY(AV$6,1)=1,0,MIN(8,AV57)*AV56)),MAX(0,40*MAX(1,AV56)-(AT58+AU58))))</f>
        <v>8</v>
      </c>
      <c r="AW58" s="63">
        <f>IF(AND(AW56=1,AW57=9),8,MIN(IF(AW56&lt;=0,0,IF(WEEKDAY(AW$6,1)=1,0,MIN(8,AW57)*AW56)),MAX(0,40*MAX(1,AW56)-(AT58+AU58+AV58))))</f>
        <v>8</v>
      </c>
      <c r="AX58" s="63">
        <f>IF(AND(AX56=1,AX57=9),8,MIN(IF(AX56&lt;=0,0,IF(WEEKDAY(AX$6,1)=1,0,MIN(8,AX57)*AX56)),MAX(0,40*MAX(1,AX56)-(AT58+AU58+AV58+AW58))))</f>
        <v>8</v>
      </c>
      <c r="AY58" s="64">
        <f>IF(AND(AY56=0,AY57=0),0,MIN(IF(AY56&lt;=0,0,IF(WEEKDAY(AY$6,1)=1,0,MIN(10,AY57)*AY56)),MAX(0,40*MAX(1,AY56)-(0))))</f>
        <v>0</v>
      </c>
      <c r="AZ58" s="64">
        <f>IF(AND(AZ56=0,AZ57=0),0,MIN(IF(AZ56&lt;=0,0,IF(WEEKDAY(AZ$6,1)=1,0,MIN(10,AZ57)*AZ56)),MAX(0,40*MAX(1,AZ56)-(AY58))))</f>
        <v>0</v>
      </c>
      <c r="BA58" s="63">
        <f>IF(AND(BA56=1,BA57=9),8,MIN(IF(BA56&lt;=0,0,IF(WEEKDAY(BA$6,1)=1,0,MIN(8,BA57)*BA56)),MAX(0,40*MAX(1,BA56)-(0))))</f>
        <v>8</v>
      </c>
      <c r="BB58" s="63">
        <f>IF(AND(BB56=1,BB57=9),8,MIN(IF(BB56&lt;=0,0,IF(WEEKDAY(BB$6,1)=1,0,MIN(8,BB57)*BB56)),MAX(0,40*MAX(1,BB56)-(BA58))))</f>
        <v>8</v>
      </c>
      <c r="BC58" s="63">
        <f>IF(AND(BC56=1,BC57=9),8,MIN(IF(BC56&lt;=0,0,IF(WEEKDAY(BC$6,1)=1,0,MIN(8,BC57)*BC56)),MAX(0,40*MAX(1,BC56)-(BA58+BB58))))</f>
        <v>8</v>
      </c>
      <c r="BD58" s="63">
        <f>IF(AND(BD56=1,BD57=9),8,MIN(IF(BD56&lt;=0,0,IF(WEEKDAY(BD$6,1)=1,0,MIN(8,BD57)*BD56)),MAX(0,40*MAX(1,BD56)-(BA58+BB58+BC58))))</f>
        <v>8</v>
      </c>
      <c r="BE58" s="63">
        <f>IF(AND(BE56=1,BE57=9),8,MIN(IF(BE56&lt;=0,0,IF(WEEKDAY(BE$6,1)=1,0,MIN(8,BE57)*BE56)),MAX(0,40*MAX(1,BE56)-(BA58+BB58+BC58+BD58))))</f>
        <v>8</v>
      </c>
      <c r="BF58" s="64">
        <f>IF(AND(BF56=0,BF57=0),0,MIN(IF(BF56&lt;=0,0,IF(WEEKDAY(BF$6,1)=1,0,MIN(10,BF57)*BF56)),MAX(0,40*MAX(1,BF56)-(0))))</f>
        <v>0</v>
      </c>
      <c r="BG58" s="64">
        <f>IF(AND(BG56=0,BG57=0),0,MIN(IF(BG56&lt;=0,0,IF(WEEKDAY(BG$6,1)=1,0,MIN(10,BG57)*BG56)),MAX(0,40*MAX(1,BG56)-(BF58))))</f>
        <v>0</v>
      </c>
      <c r="BH58" s="63">
        <f>IF(AND(BH56=1,BH57=13),10,MIN(IF(BH56&lt;=0,0,IF(WEEKDAY(BH$6,1)=1,0,MIN(10,BH57)*BH56)),MAX(0,40*MAX(1,BH56)-(0))))</f>
        <v>10</v>
      </c>
      <c r="BI58" s="63">
        <f>IF(AND(BI56=1,BI57=13),10,MIN(IF(BI56&lt;=0,0,IF(WEEKDAY(BI$6,1)=1,0,MIN(10,BI57)*BI56)),MAX(0,40*MAX(1,BI56)-(BH58))))</f>
        <v>10</v>
      </c>
      <c r="BJ58" s="63">
        <f>IF(AND(BJ56=1,BJ57=13),10,MIN(IF(BJ56&lt;=0,0,IF(WEEKDAY(BJ$6,1)=1,0,MIN(10,BJ57)*BJ56)),MAX(0,40*MAX(1,BJ56)-(BH58+BI58))))</f>
        <v>10</v>
      </c>
      <c r="BK58" s="63">
        <f>IF(AND(BK56=1,BK57=13),10,MIN(IF(BK56&lt;=0,0,IF(WEEKDAY(BK$6,1)=1,0,MIN(10,BK57)*BK56)),MAX(0,40*MAX(1,BK56)-(BH58+BI58+BJ58))))</f>
        <v>10</v>
      </c>
      <c r="BL58" s="63">
        <f>IF(AND(BL56=1,BL57=13),0,MIN(IF(BL56&lt;=0,0,IF(WEEKDAY(BL$6,1)=1,0,MIN(10,BL57)*BL56)),MAX(0,40*MAX(1,BL56)-(BH58+BI58+BJ58+BK58))))</f>
        <v>0</v>
      </c>
      <c r="BM58" s="64">
        <f>IF(AND(BM56=1,BM57=13),0,MIN(IF(BM56&lt;=0,0,IF(WEEKDAY(BM$6,1)=1,0,MIN(10,BM57)*BM56)),MAX(0,40*MAX(1,BM56)-(BH58+BI58+BJ58+BK58+BL58))))</f>
        <v>0</v>
      </c>
      <c r="BN58" s="64">
        <f>IF(AND(BN56=1,BN57=13),0,MIN(IF(BN56&lt;=0,0,IF(WEEKDAY(BN$6,1)=1,0,MIN(10,BN57)*BN56)),MAX(0,40*MAX(1,BN56)-(BH58+BI58+BJ58+BK58+BL58+BM58))))</f>
        <v>0</v>
      </c>
      <c r="BO58" s="63">
        <f>IF(AND(BO56=1,BO57=13),10,MIN(IF(BO56&lt;=0,0,IF(WEEKDAY(BO$6,1)=1,0,MIN(10,BO57)*BO56)),MAX(0,40*MAX(1,BO56)-(0))))</f>
        <v>10</v>
      </c>
      <c r="BP58" s="63">
        <f>IF(AND(BP56=1,BP57=13),10,MIN(IF(BP56&lt;=0,0,IF(WEEKDAY(BP$6,1)=1,0,MIN(10,BP57)*BP56)),MAX(0,40*MAX(1,BP56)-(BO58))))</f>
        <v>10</v>
      </c>
      <c r="BQ58" s="63">
        <f>IF(AND(BQ56=1,BQ57=13),10,MIN(IF(BQ56&lt;=0,0,IF(WEEKDAY(BQ$6,1)=1,0,MIN(10,BQ57)*BQ56)),MAX(0,40*MAX(1,BQ56)-(BO58+BP58))))</f>
        <v>10</v>
      </c>
      <c r="BR58" s="63">
        <f>IF(AND(BR56=1,BR57=13),10,MIN(IF(BR56&lt;=0,0,IF(WEEKDAY(BR$6,1)=1,0,MIN(10,BR57)*BR56)),MAX(0,40*MAX(1,BR56)-(0))))</f>
        <v>10</v>
      </c>
      <c r="BS58" s="63">
        <f>IF(AND(BS56=1,BS57=13),10,MIN(IF(BS56&lt;=0,0,IF(WEEKDAY(BS$6,1)=1,0,MIN(10,BS57)*BS56)),MAX(0,40*MAX(1,BS56)-(BR58))))</f>
        <v>10</v>
      </c>
      <c r="BT58" s="64">
        <f>IF(AND(BT56=1,BT57=13),10,MIN(IF(BT56&lt;=0,0,IF(WEEKDAY(BT$6,1)=1,0,MIN(10,BT57)*BT56)),MAX(0,40*MAX(1,BT56)-(BR58+BS58))))</f>
        <v>10</v>
      </c>
      <c r="BU58" s="64">
        <f>IF(AND(BU56=1,BU57=13),0,MIN(IF(BU56&lt;=0,0,IF(WEEKDAY(BU$6,1)=1,0,MIN(10,BU57)*BU56)),MAX(0,40*MAX(1,BU56)-(BR58+BS58+BT58))))</f>
        <v>0</v>
      </c>
      <c r="BV58" s="63">
        <f>IF(AND(BV56=1,BV57=13),10,MIN(IF(BV56&lt;=0,0,IF(WEEKDAY(BV$6,1)=1,0,MIN(10,BV57)*BV56)),MAX(0,40*MAX(1,BV56)-(0))))</f>
        <v>10</v>
      </c>
      <c r="BW58" s="63">
        <f>IF(AND(BW56=1,BW57=13),10,MIN(IF(BW56&lt;=0,0,IF(WEEKDAY(BW$6,1)=1,0,MIN(10,BW57)*BW56)),MAX(0,40*MAX(1,BW56)-(BV58))))</f>
        <v>10</v>
      </c>
      <c r="BX58" s="63">
        <f>IF(AND(BX56=1,BX57=13),10,MIN(IF(BX56&lt;=0,0,IF(WEEKDAY(BX$6,1)=1,0,MIN(10,BX57)*BX56)),MAX(0,40*MAX(1,BX56)-(BV58+BW58))))</f>
        <v>10</v>
      </c>
      <c r="BY58" s="63">
        <f>IF(AND(BY56=1,BY57=13),10,MIN(IF(BY56&lt;=0,0,IF(WEEKDAY(BY$6,1)=1,0,MIN(10,BY57)*BY56)),MAX(0,40*MAX(1,BY56)-(BV58+BW58+BX58))))</f>
        <v>10</v>
      </c>
      <c r="BZ58" s="63">
        <f>IF(AND(BZ56=1,BZ57=13),0,MIN(IF(BZ56&lt;=0,0,IF(WEEKDAY(BZ$6,1)=1,0,MIN(10,BZ57)*BZ56)),MAX(0,40*MAX(1,BZ56)-(BV58+BW58+BX58+BY58))))</f>
        <v>0</v>
      </c>
      <c r="CA58" s="64">
        <f>IF(AND(CA56=1,CA57=13),0,MIN(IF(CA56&lt;=0,0,IF(WEEKDAY(CA$6,1)=1,0,MIN(10,CA57)*CA56)),MAX(0,40*MAX(1,CA56)-(BV58+BW58+BX58+BY58+BZ58))))</f>
        <v>0</v>
      </c>
      <c r="CB58" s="64">
        <f>IF(AND(CB56=0,CB57=0),0,MIN(IF(CB56&lt;=0,0,IF(WEEKDAY(CB$6,1)=1,0,MIN(10,CB57)*CB56)),MAX(0,40*MAX(1,CB56)-(0))))</f>
        <v>0</v>
      </c>
      <c r="CC58" s="63">
        <f>IF(AND(CC56=1,CC57=13),10,MIN(IF(CC56&lt;=0,0,IF(WEEKDAY(CC$6,1)=1,0,MIN(10,CC57)*CC56)),MAX(0,40*MAX(1,CC56)-(0))))</f>
        <v>10</v>
      </c>
      <c r="CD58" s="63">
        <f>IF(AND(CD56=1,CD57=13),10,MIN(IF(CD56&lt;=0,0,IF(WEEKDAY(CD$6,1)=1,0,MIN(10,CD57)*CD56)),MAX(0,40*MAX(1,CD56)-(CC58))))</f>
        <v>10</v>
      </c>
      <c r="CE58" s="63">
        <f>IF(AND(CE56=1,CE57=13),10,MIN(IF(CE56&lt;=0,0,IF(WEEKDAY(CE$6,1)=1,0,MIN(10,CE57)*CE56)),MAX(0,40*MAX(1,CE56)-(CC58+CD58))))</f>
        <v>10</v>
      </c>
      <c r="CF58" s="63">
        <f>IF(AND(CF56=1,CF57=13),10,MIN(IF(CF56&lt;=0,0,IF(WEEKDAY(CF$6,1)=1,0,MIN(10,CF57)*CF56)),MAX(0,40*MAX(1,CF56)-(CC58+CD58+CE58))))</f>
        <v>10</v>
      </c>
      <c r="CG58" s="63">
        <f>IF(AND(CG56=1,CG57=13),0,MIN(IF(CG56&lt;=0,0,IF(WEEKDAY(CG$6,1)=1,0,MIN(10,CG57)*CG56)),MAX(0,40*MAX(1,CG56)-(CC58+CD58+CE58+CF58))))</f>
        <v>0</v>
      </c>
      <c r="CH58" s="64">
        <f>IF(AND(CH56=1,CH57=13),0,MIN(IF(CH56&lt;=0,0,IF(WEEKDAY(CH$6,1)=1,0,MIN(10,CH57)*CH56)),MAX(0,40*MAX(1,CH56)-(CC58+CD58+CE58+CF58+CG58))))</f>
        <v>0</v>
      </c>
      <c r="CI58" s="64">
        <f>IF(AND(CI56=1,CI57=13),0,MIN(IF(CI56&lt;=0,0,IF(WEEKDAY(CI$6,1)=1,0,MIN(10,CI57)*CI56)),MAX(0,40*MAX(1,CI56)-(CC58+CD58+CE58+CF58+CG58+CH58))))</f>
        <v>0</v>
      </c>
      <c r="CJ58" s="63">
        <f>IF(AND(CJ56=1,CJ57=13),10,MIN(IF(CJ56&lt;=0,0,IF(WEEKDAY(CJ$6,1)=1,0,MIN(10,CJ57)*CJ56)),MAX(0,40*MAX(1,CJ56)-(0))))</f>
        <v>10</v>
      </c>
      <c r="CK58" s="63">
        <f>IF(AND(CK56=1,CK57=13),10,MIN(IF(CK56&lt;=0,0,IF(WEEKDAY(CK$6,1)=1,0,MIN(10,CK57)*CK56)),MAX(0,40*MAX(1,CK56)-(CJ58))))</f>
        <v>10</v>
      </c>
      <c r="CL58" s="63">
        <f>IF(AND(CL56=1,CL57=13),10,MIN(IF(CL56&lt;=0,0,IF(WEEKDAY(CL$6,1)=1,0,MIN(10,CL57)*CL56)),MAX(0,40*MAX(1,CL56)-(CJ58+CK58))))</f>
        <v>10</v>
      </c>
      <c r="CM58" s="63">
        <f>IF(AND(CM56=1,CM57=13),10,MIN(IF(CM56&lt;=0,0,IF(WEEKDAY(CM$6,1)=1,0,MIN(10,CM57)*CM56)),MAX(0,40*MAX(1,CM56)-(CJ58+CK58+CL58))))</f>
        <v>10</v>
      </c>
      <c r="CN58" s="63">
        <f>IF(AND(CN56=1,CN57=13),0,MIN(IF(CN56&lt;=0,0,IF(WEEKDAY(CN$6,1)=1,0,MIN(10,CN57)*CN56)),MAX(0,40*MAX(1,CN56)-(CJ58+CK58+CL58+CM58))))</f>
        <v>0</v>
      </c>
      <c r="CO58" s="64">
        <f>IF(AND(CO56=1,CO57=13),0,MIN(IF(CO56&lt;=0,0,IF(WEEKDAY(CO$6,1)=1,0,MIN(10,CO57)*CO56)),MAX(0,40*MAX(1,CO56)-(CJ58+CK58+CL58+CM58+CN58))))</f>
        <v>0</v>
      </c>
      <c r="CP58" s="64">
        <f>IF(AND(CP56=0,CP57=0),0,MIN(IF(CP56&lt;=0,0,IF(WEEKDAY(CP$6,1)=1,0,MIN(10,CP57)*CP56)),MAX(0,40*MAX(1,CP56)-(0))))</f>
        <v>0</v>
      </c>
      <c r="CQ58" s="63">
        <f>IF(AND(CQ56=1,CQ57=13),10,MIN(IF(CQ56&lt;=0,0,IF(WEEKDAY(CQ$6,1)=1,0,MIN(10,CQ57)*CQ56)),MAX(0,40*MAX(1,CQ56)-(0))))</f>
        <v>10</v>
      </c>
      <c r="CR58" s="63">
        <f>IF(AND(CR56=1,CR57=13),10,MIN(IF(CR56&lt;=0,0,IF(WEEKDAY(CR$6,1)=1,0,MIN(10,CR57)*CR56)),MAX(0,40*MAX(1,CR56)-(CQ58))))</f>
        <v>10</v>
      </c>
      <c r="CS58" s="63">
        <f>IF(AND(CS56=1,CS57=13),10,MIN(IF(CS56&lt;=0,0,IF(WEEKDAY(CS$6,1)=1,0,MIN(10,CS57)*CS56)),MAX(0,40*MAX(1,CS56)-(CQ58+CR58))))</f>
        <v>10</v>
      </c>
      <c r="CT58" s="63">
        <f>IF(AND(CT56=1,CT57=13),10,MIN(IF(CT56&lt;=0,0,IF(WEEKDAY(CT$6,1)=1,0,MIN(10,CT57)*CT56)),MAX(0,40*MAX(1,CT56)-(CQ58+CR58+CS58))))</f>
        <v>10</v>
      </c>
      <c r="CU58" s="63">
        <f>IF(AND(CU56=1,CU57=13),0,MIN(IF(CU56&lt;=0,0,IF(WEEKDAY(CU$6,1)=1,0,MIN(10,CU57)*CU56)),MAX(0,40*MAX(1,CU56)-(CQ58+CR58+CS58+CT58))))</f>
        <v>0</v>
      </c>
      <c r="CV58" s="64">
        <f>IF(AND(CV56=1,CV57=13),0,MIN(IF(CV56&lt;=0,0,IF(WEEKDAY(CV$6,1)=1,0,MIN(10,CV57)*CV56)),MAX(0,40*MAX(1,CV56)-(CQ58+CR58+CS58+CT58+CU58))))</f>
        <v>0</v>
      </c>
      <c r="CW58" s="64">
        <f>IF(AND(CW56=1,CW57=13),0,MIN(IF(CW56&lt;=0,0,IF(WEEKDAY(CW$6,1)=1,0,MIN(10,CW57)*CW56)),MAX(0,40*MAX(1,CW56)-(CQ58+CR58+CS58+CT58+CU58+CV58))))</f>
        <v>0</v>
      </c>
      <c r="CX58" s="63">
        <f>IF(AND(CX56=1,CX57=13),10,MIN(IF(CX56&lt;=0,0,IF(WEEKDAY(CX$6,1)=1,0,MIN(10,CX57)*CX56)),MAX(0,40*MAX(1,CX56)-(0))))</f>
        <v>10</v>
      </c>
      <c r="CY58" s="63">
        <f>IF(AND(CY56=1,CY57=13),10,MIN(IF(CY56&lt;=0,0,IF(WEEKDAY(CY$6,1)=1,0,MIN(10,CY57)*CY56)),MAX(0,40*MAX(1,CY56)-(CX58))))</f>
        <v>10</v>
      </c>
      <c r="CZ58" s="63">
        <f>IF(AND(CZ56=1,CZ57=13),10,MIN(IF(CZ56&lt;=0,0,IF(WEEKDAY(CZ$6,1)=1,0,MIN(10,CZ57)*CZ56)),MAX(0,40*MAX(1,CZ56)-(CX58+CY58))))</f>
        <v>10</v>
      </c>
      <c r="DA58" s="63">
        <f>IF(AND(DA56=1,DA57=13),10,MIN(IF(DA56&lt;=0,0,IF(WEEKDAY(DA$6,1)=1,0,MIN(10,DA57)*DA56)),MAX(0,40*MAX(1,DA56)-(CX58+CY58+CZ58))))</f>
        <v>10</v>
      </c>
      <c r="DB58" s="63">
        <f>IF(AND(DB56=1,DB57=13),0,MIN(IF(DB56&lt;=0,0,IF(WEEKDAY(DB$6,1)=1,0,MIN(10,DB57)*DB56)),MAX(0,40*MAX(1,DB56)-(CX58+CY58+CZ58+DA58))))</f>
        <v>0</v>
      </c>
      <c r="DC58" s="64">
        <f>IF(AND(DC56=1,DC57=13),0,MIN(IF(DC56&lt;=0,0,IF(WEEKDAY(DC$6,1)=1,0,MIN(10,DC57)*DC56)),MAX(0,40*MAX(1,DC56)-(CX58+CY58+CZ58+DA58+DB58))))</f>
        <v>0</v>
      </c>
      <c r="DD58" s="64">
        <f>IF(AND(DD56=1,DD57=13),0,MIN(IF(DD56&lt;=0,0,IF(WEEKDAY(DD$6,1)=1,0,MIN(10,DD57)*DD56)),MAX(0,40*MAX(1,DD56)-(0))))</f>
        <v>0</v>
      </c>
      <c r="DE58" s="63">
        <f>IF(AND(DE56=1,DE57=13),10,MIN(IF(DE56&lt;=0,0,IF(WEEKDAY(DE$6,1)=1,0,MIN(10,DE57)*DE56)),MAX(0,40*MAX(1,DE56)-(0))))</f>
        <v>10</v>
      </c>
      <c r="DF58" s="63">
        <f>IF(AND(DF56=1,DF57=13),10,MIN(IF(DF56&lt;=0,0,IF(WEEKDAY(DF$6,1)=1,0,MIN(10,DF57)*DF56)),MAX(0,40*MAX(1,DF56)-(DE58))))</f>
        <v>10</v>
      </c>
      <c r="DG58" s="63">
        <f>IF(AND(DG56=1,DG57=13),10,MIN(IF(DG56&lt;=0,0,IF(WEEKDAY(DG$6,1)=1,0,MIN(10,DG57)*DG56)),MAX(0,40*MAX(1,DG56)-(DE58+DF58))))</f>
        <v>10</v>
      </c>
      <c r="DH58" s="63">
        <f>IF(AND(DH56=1,DH57=13),10,MIN(IF(DH56&lt;=0,0,IF(WEEKDAY(DH$6,1)=1,0,MIN(10,DH57)*DH56)),MAX(0,40*MAX(1,DH56)-(DE58+DF58+DG58))))</f>
        <v>10</v>
      </c>
      <c r="DI58" s="63">
        <f>IF(AND(DI56=1,DI57=13),0,MIN(IF(DI56&lt;=0,0,IF(WEEKDAY(DI$6,1)=1,0,MIN(10,DI57)*DI56)),MAX(0,40*MAX(1,DI56)-(DE58+DF58+DG58+DH58))))</f>
        <v>0</v>
      </c>
      <c r="DJ58" s="64">
        <f>IF(AND(DJ56=1,DJ57=13),0,MIN(IF(DJ56&lt;=0,0,IF(WEEKDAY(DJ$6,1)=1,0,MIN(10,DJ57)*DJ56)),MAX(0,40*MAX(1,DJ56)-(DE58+DF58+DG58+DH58+DI58))))</f>
        <v>0</v>
      </c>
      <c r="DK58" s="64">
        <f>IF(AND(DK56=0,DK57=0),0,MIN(IF(DK56&lt;=0,0,IF(WEEKDAY(DK$6,1)=1,0,MIN(10,DK57)*DK56)),MAX(0,40*MAX(1,DK56)-(0))))</f>
        <v>0</v>
      </c>
      <c r="DL58" s="63">
        <f>IF(AND(DL56=1,DL57=13),10,MIN(IF(DL56&lt;=0,0,IF(WEEKDAY(DL$6,1)=1,0,MIN(10,DL57)*DL56)),MAX(0,40*MAX(1,DL56)-(0))))</f>
        <v>10</v>
      </c>
      <c r="DM58" s="63">
        <f>IF(AND(DM56=1,DM57=13),10,MIN(IF(DM56&lt;=0,0,IF(WEEKDAY(DM$6,1)=1,0,MIN(10,DM57)*DM56)),MAX(0,40*MAX(1,DM56)-(DL58))))</f>
        <v>10</v>
      </c>
      <c r="DN58" s="63">
        <f>IF(AND(DN56=1,DN57=13),10,MIN(IF(DN56&lt;=0,0,IF(WEEKDAY(DN$6,1)=1,0,MIN(10,DN57)*DN56)),MAX(0,40*MAX(1,DN56)-(DL58+DM58))))</f>
        <v>10</v>
      </c>
      <c r="DO58" s="63">
        <f>IF(AND(DO56=1,DO57=13),10,MIN(IF(DO56&lt;=0,0,IF(WEEKDAY(DO$6,1)=1,0,MIN(10,DO57)*DO56)),MAX(0,40*MAX(1,DO56)-(DL58+DM58+DN58))))</f>
        <v>10</v>
      </c>
      <c r="DP58" s="63">
        <f>IF(AND(DP56=1,DP57=13),0,MIN(IF(DP56&lt;=0,0,IF(WEEKDAY(DP$6,1)=1,0,MIN(10,DP57)*DP56)),MAX(0,40*MAX(1,DP56)-(DL58+DM58+DN58+DO58))))</f>
        <v>0</v>
      </c>
      <c r="DQ58" s="64">
        <f>IF(AND(DQ56=1,DQ57=13),0,MIN(IF(DQ56&lt;=0,0,IF(WEEKDAY(DQ$6,1)=1,0,MIN(10,DQ57)*DQ56)),MAX(0,40*MAX(1,DQ56)-(DL58+DM58+DN58+DO58+DP58))))</f>
        <v>0</v>
      </c>
      <c r="DR58" s="64">
        <f>IF(AND(DR56=1,DR57=13),0,MIN(IF(DR56&lt;=0,0,IF(WEEKDAY(DR$6,1)=1,0,MIN(10,DR57)*DR56)),MAX(0,40*MAX(1,DR56)-(DL58+DM58+DN58+DO58+DP58+DQ58))))</f>
        <v>0</v>
      </c>
      <c r="DS58" s="63">
        <f>IF(AND(DS56=1,DS57=13),10,MIN(IF(DS56&lt;=0,0,IF(WEEKDAY(DS$6,1)=1,0,MIN(10,DS57)*DS56)),MAX(0,40*MAX(1,DS56)-(0))))</f>
        <v>10</v>
      </c>
      <c r="DT58" s="63">
        <f>IF(AND(DT56=1,DT57=9),8,MIN(IF(DT56&lt;=0,0,IF(WEEKDAY(DT$6,1)=1,0,MIN(8,DT57)*DT56)),MAX(0,40*MAX(1,DT56)-(0))))</f>
        <v>8</v>
      </c>
      <c r="DU58" s="63">
        <f>IF(AND(DU56=1,DU57=9),8,MIN(IF(DU56&lt;=0,0,IF(WEEKDAY(DU$6,1)=1,0,MIN(8,DU57)*DU56)),MAX(0,40*MAX(1,DU56)-(DT58))))</f>
        <v>8</v>
      </c>
      <c r="DV58" s="63">
        <f>IF(AND(DV56=1,DV57=9),8,MIN(IF(DV56&lt;=0,0,IF(WEEKDAY(DV$6,1)=1,0,MIN(8,DV57)*DV56)),MAX(0,40*MAX(1,DV56)-(DT58+DU58))))</f>
        <v>8</v>
      </c>
      <c r="DW58" s="63">
        <f>IF(AND(DW56=1,DW57=9),8,MIN(IF(DW56&lt;=0,0,IF(WEEKDAY(DW$6,1)=1,0,MIN(8,DW57)*DW56)),MAX(0,40*MAX(1,DW56)-(DT58+DU58+DV58))))</f>
        <v>8</v>
      </c>
      <c r="DX58" s="64">
        <f>IF(AND(DX56=0,DX57=0),0,MIN(IF(DX56&lt;=0,0,IF(WEEKDAY(DX$6,1)=1,0,MIN(10,DX57)*DX56)),MAX(0,40*MAX(1,DX56)-(0))))</f>
        <v>0</v>
      </c>
      <c r="DY58" s="64">
        <f>IF(AND(DY56=0,DY57=0),0,MIN(IF(DY56&lt;=0,0,IF(WEEKDAY(DY$6,1)=1,0,MIN(10,DY57)*DY56)),MAX(0,40*MAX(1,DY56)-(DX58))))</f>
        <v>0</v>
      </c>
      <c r="DZ58" s="63">
        <f>IF(AND(DZ56=1,DZ57=9),8,MIN(IF(DZ56&lt;=0,0,IF(WEEKDAY(DZ$6,1)=1,0,MIN(8,DZ57)*DZ56)),MAX(0,40*MAX(1,DZ56)-(0))))</f>
        <v>8</v>
      </c>
      <c r="EA58" s="63">
        <f>IF(AND(EA56=1,EA57=9),8,MIN(IF(EA56&lt;=0,0,IF(WEEKDAY(EA$6,1)=1,0,MIN(8,EA57)*EA56)),MAX(0,40*MAX(1,EA56)-(DZ58))))</f>
        <v>8</v>
      </c>
      <c r="EB58" s="63">
        <f>IF(AND(EB56=1,EB57=9),8,MIN(IF(EB56&lt;=0,0,IF(WEEKDAY(EB$6,1)=1,0,MIN(8,EB57)*EB56)),MAX(0,40*MAX(1,EB56)-(DZ58+EA58))))</f>
        <v>8</v>
      </c>
      <c r="EC58" s="63">
        <f>IF(AND(EC56=1,EC57=9),8,MIN(IF(EC56&lt;=0,0,IF(WEEKDAY(EC$6,1)=1,0,MIN(8,EC57)*EC56)),MAX(0,40*MAX(1,EC56)-(DZ58+EA58+EB58))))</f>
        <v>8</v>
      </c>
      <c r="ED58" s="63">
        <f>IF(AND(ED56=1,ED57=9),8,MIN(IF(ED56&lt;=0,0,IF(WEEKDAY(ED$6,1)=1,0,MIN(8,ED57)*ED56)),MAX(0,40*MAX(1,ED56)-(DZ58+EA58+EB58+EC58))))</f>
        <v>8</v>
      </c>
      <c r="EE58" s="64">
        <f>IF(AND(EE56=0,EE57=0),0,MIN(IF(EE56&lt;=0,0,IF(WEEKDAY(EE$6,1)=1,0,MIN(10,EE57)*EE56)),MAX(0,40*MAX(1,EE56)-(0))))</f>
        <v>0</v>
      </c>
      <c r="EF58" s="64">
        <f>IF(AND(EF56=0,EF57=0),0,MIN(IF(EF56&lt;=0,0,IF(WEEKDAY(EF$6,1)=1,0,MIN(10,EF57)*EF56)),MAX(0,40*MAX(1,EF56)-(EE58))))</f>
        <v>0</v>
      </c>
      <c r="EG58" s="63">
        <f>IF(AND(EG56=1,EG57=9),8,MIN(IF(EG56&lt;=0,0,IF(WEEKDAY(EG$6,1)=1,0,MIN(8,EG57)*EG56)),MAX(0,40*MAX(1,EG56)-(0))))</f>
        <v>8</v>
      </c>
      <c r="EH58" s="63">
        <f>IF(AND(EH56=1,EH57=9),8,MIN(IF(EH56&lt;=0,0,IF(WEEKDAY(EH$6,1)=1,0,MIN(8,EH57)*EH56)),MAX(0,40*MAX(1,EH56)-(EG58))))</f>
        <v>8</v>
      </c>
      <c r="EI58" s="63">
        <f>IF(AND(EI56=1,EI57=9),8,MIN(IF(EI56&lt;=0,0,IF(WEEKDAY(EI$6,1)=1,0,MIN(8,EI57)*EI56)),MAX(0,40*MAX(1,EI56)-(EG58+EH58))))</f>
        <v>8</v>
      </c>
      <c r="EJ58" s="63">
        <f>IF(AND(EJ56=1,EJ57=9),8,MIN(IF(EJ56&lt;=0,0,IF(WEEKDAY(EJ$6,1)=1,0,MIN(8,EJ57)*EJ56)),MAX(0,40*MAX(1,EJ56)-(EG58+EH58+EI58))))</f>
        <v>8</v>
      </c>
      <c r="EK58" s="65">
        <f>IF(AND(EK56=1,EK57=9),8,MIN(IF(EK56&lt;=0,0,IF(WEEKDAY(EK$6,1)=1,0,MIN(8,EK57)*EK56)),MAX(0,40*MAX(1,EK56)-(EG58+EH58+EI58+EJ58))))</f>
        <v>8</v>
      </c>
      <c r="OU58" s="28" t="s">
        <v>76</v>
      </c>
    </row>
    <row r="59" ht="16" customHeight="1" spans="1:411" x14ac:dyDescent="0.25">
      <c r="A59" s="45"/>
      <c r="B59" s="46"/>
      <c r="C59" s="66">
        <f>G55*N(D59)</f>
        <v>51316.54</v>
      </c>
      <c r="D59" s="66">
        <f>IF(TRIM(B55)="","No rate",IFERROR(INDEX('Rate Tables'!D$7:D$158,MATCH(B55,'Rate Tables'!A$7:A$158,0)),"No rate"))</f>
        <v>137.21</v>
      </c>
      <c r="E59" s="55" t="s">
        <v>63</v>
      </c>
      <c r="F59" s="49"/>
      <c r="G59" s="49"/>
      <c r="H59" s="49"/>
      <c r="I59" s="49"/>
      <c r="J59" s="50"/>
      <c r="K59" s="62">
        <f>IF(AND(K56=1,K57=9),1,IF(K56&lt;=0,0,IF(WEEKDAY(K$6,1)=1,0,MAX(0,K57-8)*K56))+((IF(K56&lt;=0,0,IF(WEEKDAY(K$6,1)=1,0,MIN(8,K57)*K56)))-MIN(IF(K56&lt;=0,0,IF(WEEKDAY(K$6,1)=1,0,MIN(8,K57)*K56)),MAX(0,40*MAX(1,K56)-(0)))))</f>
        <v>1</v>
      </c>
      <c r="L59" s="63">
        <f>IF(AND(L56=1,L57=9),1,IF(L56&lt;=0,0,IF(WEEKDAY(L$6,1)=1,0,MAX(0,L57-8)*L56))+((IF(L56&lt;=0,0,IF(WEEKDAY(L$6,1)=1,0,MIN(8,L57)*L56)))-MIN(IF(L56&lt;=0,0,IF(WEEKDAY(L$6,1)=1,0,MIN(8,L57)*L56)),MAX(0,40*MAX(1,L56)-(K58)))))</f>
        <v>1</v>
      </c>
      <c r="M59" s="63">
        <f>IF(AND(M56=1,M57=9),1,IF(M56&lt;=0,0,IF(WEEKDAY(M$6,1)=1,0,MAX(0,M57-8)*M56))+((IF(M56&lt;=0,0,IF(WEEKDAY(M$6,1)=1,0,MIN(8,M57)*M56)))-MIN(IF(M56&lt;=0,0,IF(WEEKDAY(M$6,1)=1,0,MIN(8,M57)*M56)),MAX(0,40*MAX(1,M56)-(K58+L58)))))</f>
        <v>1</v>
      </c>
      <c r="N59" s="63">
        <f>IF(AND(N56=1,N57=9),1,IF(N56&lt;=0,0,IF(WEEKDAY(N$6,1)=1,0,MAX(0,N57-8)*N56))+((IF(N56&lt;=0,0,IF(WEEKDAY(N$6,1)=1,0,MIN(8,N57)*N56)))-MIN(IF(N56&lt;=0,0,IF(WEEKDAY(N$6,1)=1,0,MIN(8,N57)*N56)),MAX(0,40*MAX(1,N56)-(K58+L58+M58)))))</f>
        <v>1</v>
      </c>
      <c r="O59" s="63">
        <f>IF(AND(O56=1,O57=9),1,IF(O56&lt;=0,0,IF(WEEKDAY(O$6,1)=1,0,MAX(0,O57-8)*O56))+((IF(O56&lt;=0,0,IF(WEEKDAY(O$6,1)=1,0,MIN(8,O57)*O56)))-MIN(IF(O56&lt;=0,0,IF(WEEKDAY(O$6,1)=1,0,MIN(8,O57)*O56)),MAX(0,40*MAX(1,O56)-(K58+L58+M58+N58)))))</f>
        <v>1</v>
      </c>
      <c r="P59" s="64">
        <f>IF(AND(P56=0,P57=0),0,IF(P56&lt;=0,0,IF(WEEKDAY(P$6,1)=1,0,MAX(0,P57-10)*P56))+((IF(P56&lt;=0,0,IF(WEEKDAY(P$6,1)=1,0,MIN(10,P57)*P56)))-MIN(IF(P56&lt;=0,0,IF(WEEKDAY(P$6,1)=1,0,MIN(10,P57)*P56)),MAX(0,40*MAX(1,P56)-(0)))))</f>
        <v>0</v>
      </c>
      <c r="Q59" s="64">
        <f>IF(AND(Q56=0,Q57=0),0,IF(Q56&lt;=0,0,IF(WEEKDAY(Q$6,1)=1,0,MAX(0,Q57-10)*Q56))+((IF(Q56&lt;=0,0,IF(WEEKDAY(Q$6,1)=1,0,MIN(10,Q57)*Q56)))-MIN(IF(Q56&lt;=0,0,IF(WEEKDAY(Q$6,1)=1,0,MIN(10,Q57)*Q56)),MAX(0,40*MAX(1,Q56)-(P58)))))</f>
        <v>0</v>
      </c>
      <c r="R59" s="63">
        <f>IF(AND(R56=1,R57=9),1,IF(R56&lt;=0,0,IF(WEEKDAY(R$6,1)=1,0,MAX(0,R57-8)*R56))+((IF(R56&lt;=0,0,IF(WEEKDAY(R$6,1)=1,0,MIN(8,R57)*R56)))-MIN(IF(R56&lt;=0,0,IF(WEEKDAY(R$6,1)=1,0,MIN(8,R57)*R56)),MAX(0,40*MAX(1,R56)-(0)))))</f>
        <v>1</v>
      </c>
      <c r="S59" s="63">
        <f>IF(AND(S56=1,S57=9),1,IF(S56&lt;=0,0,IF(WEEKDAY(S$6,1)=1,0,MAX(0,S57-8)*S56))+((IF(S56&lt;=0,0,IF(WEEKDAY(S$6,1)=1,0,MIN(8,S57)*S56)))-MIN(IF(S56&lt;=0,0,IF(WEEKDAY(S$6,1)=1,0,MIN(8,S57)*S56)),MAX(0,40*MAX(1,S56)-(R58)))))</f>
        <v>1</v>
      </c>
      <c r="T59" s="63">
        <f>IF(AND(T56=1,T57=9),1,IF(T56&lt;=0,0,IF(WEEKDAY(T$6,1)=1,0,MAX(0,T57-8)*T56))+((IF(T56&lt;=0,0,IF(WEEKDAY(T$6,1)=1,0,MIN(8,T57)*T56)))-MIN(IF(T56&lt;=0,0,IF(WEEKDAY(T$6,1)=1,0,MIN(8,T57)*T56)),MAX(0,40*MAX(1,T56)-(R58+S58)))))</f>
        <v>1</v>
      </c>
      <c r="U59" s="63">
        <f>IF(AND(U56=1,U57=9),1,IF(U56&lt;=0,0,IF(WEEKDAY(U$6,1)=1,0,MAX(0,U57-8)*U56))+((IF(U56&lt;=0,0,IF(WEEKDAY(U$6,1)=1,0,MIN(8,U57)*U56)))-MIN(IF(U56&lt;=0,0,IF(WEEKDAY(U$6,1)=1,0,MIN(8,U57)*U56)),MAX(0,40*MAX(1,U56)-(R58+S58+T58)))))</f>
        <v>1</v>
      </c>
      <c r="V59" s="63">
        <f>IF(AND(V56=1,V57=9),1,IF(V56&lt;=0,0,IF(WEEKDAY(V$6,1)=1,0,MAX(0,V57-8)*V56))+((IF(V56&lt;=0,0,IF(WEEKDAY(V$6,1)=1,0,MIN(8,V57)*V56)))-MIN(IF(V56&lt;=0,0,IF(WEEKDAY(V$6,1)=1,0,MIN(8,V57)*V56)),MAX(0,40*MAX(1,V56)-(R58+S58+T58+U58)))))</f>
        <v>1</v>
      </c>
      <c r="W59" s="64">
        <f>IF(AND(W56=0,W57=0),0,IF(W56&lt;=0,0,IF(WEEKDAY(W$6,1)=1,0,MAX(0,W57-10)*W56))+((IF(W56&lt;=0,0,IF(WEEKDAY(W$6,1)=1,0,MIN(10,W57)*W56)))-MIN(IF(W56&lt;=0,0,IF(WEEKDAY(W$6,1)=1,0,MIN(10,W57)*W56)),MAX(0,40*MAX(1,W56)-(0)))))</f>
        <v>0</v>
      </c>
      <c r="X59" s="64">
        <f>IF(AND(X56=0,X57=0),0,IF(X56&lt;=0,0,IF(WEEKDAY(X$6,1)=1,0,MAX(0,X57-10)*X56))+((IF(X56&lt;=0,0,IF(WEEKDAY(X$6,1)=1,0,MIN(10,X57)*X56)))-MIN(IF(X56&lt;=0,0,IF(WEEKDAY(X$6,1)=1,0,MIN(10,X57)*X56)),MAX(0,40*MAX(1,X56)-(W58)))))</f>
        <v>0</v>
      </c>
      <c r="Y59" s="63">
        <f>IF(AND(Y56=1,Y57=9),1,IF(Y56&lt;=0,0,IF(WEEKDAY(Y$6,1)=1,0,MAX(0,Y57-8)*Y56))+((IF(Y56&lt;=0,0,IF(WEEKDAY(Y$6,1)=1,0,MIN(8,Y57)*Y56)))-MIN(IF(Y56&lt;=0,0,IF(WEEKDAY(Y$6,1)=1,0,MIN(8,Y57)*Y56)),MAX(0,40*MAX(1,Y56)-(0)))))</f>
        <v>1</v>
      </c>
      <c r="Z59" s="63">
        <f>IF(AND(Z56=1,Z57=9),1,IF(Z56&lt;=0,0,IF(WEEKDAY(Z$6,1)=1,0,MAX(0,Z57-8)*Z56))+((IF(Z56&lt;=0,0,IF(WEEKDAY(Z$6,1)=1,0,MIN(8,Z57)*Z56)))-MIN(IF(Z56&lt;=0,0,IF(WEEKDAY(Z$6,1)=1,0,MIN(8,Z57)*Z56)),MAX(0,40*MAX(1,Z56)-(Y58)))))</f>
        <v>1</v>
      </c>
      <c r="AA59" s="63">
        <f>IF(AND(AA56=1,AA57=9),1,IF(AA56&lt;=0,0,IF(WEEKDAY(AA$6,1)=1,0,MAX(0,AA57-8)*AA56))+((IF(AA56&lt;=0,0,IF(WEEKDAY(AA$6,1)=1,0,MIN(8,AA57)*AA56)))-MIN(IF(AA56&lt;=0,0,IF(WEEKDAY(AA$6,1)=1,0,MIN(8,AA57)*AA56)),MAX(0,40*MAX(1,AA56)-(Y58+Z58)))))</f>
        <v>1</v>
      </c>
      <c r="AB59" s="63">
        <f>IF(AND(AB56=1,AB57=9),1,IF(AB56&lt;=0,0,IF(WEEKDAY(AB$6,1)=1,0,MAX(0,AB57-8)*AB56))+((IF(AB56&lt;=0,0,IF(WEEKDAY(AB$6,1)=1,0,MIN(8,AB57)*AB56)))-MIN(IF(AB56&lt;=0,0,IF(WEEKDAY(AB$6,1)=1,0,MIN(8,AB57)*AB56)),MAX(0,40*MAX(1,AB56)-(Y58+Z58+AA58)))))</f>
        <v>1</v>
      </c>
      <c r="AC59" s="63">
        <f>IF(AND(AC56=1,AC57=9),1,IF(AC56&lt;=0,0,IF(WEEKDAY(AC$6,1)=1,0,MAX(0,AC57-8)*AC56))+((IF(AC56&lt;=0,0,IF(WEEKDAY(AC$6,1)=1,0,MIN(8,AC57)*AC56)))-MIN(IF(AC56&lt;=0,0,IF(WEEKDAY(AC$6,1)=1,0,MIN(8,AC57)*AC56)),MAX(0,40*MAX(1,AC56)-(Y58+Z58+AA58+AB58)))))</f>
        <v>1</v>
      </c>
      <c r="AD59" s="64">
        <f>IF(AND(AD56=0,AD57=0),0,IF(AD56&lt;=0,0,IF(WEEKDAY(AD$6,1)=1,0,MAX(0,AD57-10)*AD56))+((IF(AD56&lt;=0,0,IF(WEEKDAY(AD$6,1)=1,0,MIN(10,AD57)*AD56)))-MIN(IF(AD56&lt;=0,0,IF(WEEKDAY(AD$6,1)=1,0,MIN(10,AD57)*AD56)),MAX(0,40*MAX(1,AD56)-(0)))))</f>
        <v>0</v>
      </c>
      <c r="AE59" s="64">
        <f>IF(AND(AE56=0,AE57=0),0,IF(AE56&lt;=0,0,IF(WEEKDAY(AE$6,1)=1,0,MAX(0,AE57-10)*AE56))+((IF(AE56&lt;=0,0,IF(WEEKDAY(AE$6,1)=1,0,MIN(10,AE57)*AE56)))-MIN(IF(AE56&lt;=0,0,IF(WEEKDAY(AE$6,1)=1,0,MIN(10,AE57)*AE56)),MAX(0,40*MAX(1,AE56)-(AD58)))))</f>
        <v>0</v>
      </c>
      <c r="AF59" s="63">
        <f>IF(AND(AF56=1,AF57=9),1,IF(AF56&lt;=0,0,IF(WEEKDAY(AF$6,1)=1,0,MAX(0,AF57-8)*AF56))+((IF(AF56&lt;=0,0,IF(WEEKDAY(AF$6,1)=1,0,MIN(8,AF57)*AF56)))-MIN(IF(AF56&lt;=0,0,IF(WEEKDAY(AF$6,1)=1,0,MIN(8,AF57)*AF56)),MAX(0,40*MAX(1,AF56)-(0)))))</f>
        <v>1</v>
      </c>
      <c r="AG59" s="63">
        <f>IF(AND(AG56=1,AG57=9),1,IF(AG56&lt;=0,0,IF(WEEKDAY(AG$6,1)=1,0,MAX(0,AG57-8)*AG56))+((IF(AG56&lt;=0,0,IF(WEEKDAY(AG$6,1)=1,0,MIN(8,AG57)*AG56)))-MIN(IF(AG56&lt;=0,0,IF(WEEKDAY(AG$6,1)=1,0,MIN(8,AG57)*AG56)),MAX(0,40*MAX(1,AG56)-(AF58)))))</f>
        <v>1</v>
      </c>
      <c r="AH59" s="63">
        <f>IF(AND(AH56=1,AH57=9),1,IF(AH56&lt;=0,0,IF(WEEKDAY(AH$6,1)=1,0,MAX(0,AH57-8)*AH56))+((IF(AH56&lt;=0,0,IF(WEEKDAY(AH$6,1)=1,0,MIN(8,AH57)*AH56)))-MIN(IF(AH56&lt;=0,0,IF(WEEKDAY(AH$6,1)=1,0,MIN(8,AH57)*AH56)),MAX(0,40*MAX(1,AH56)-(AF58+AG58)))))</f>
        <v>1</v>
      </c>
      <c r="AI59" s="63">
        <f>IF(AND(AI56=1,AI57=9),1,IF(AI56&lt;=0,0,IF(WEEKDAY(AI$6,1)=1,0,MAX(0,AI57-8)*AI56))+((IF(AI56&lt;=0,0,IF(WEEKDAY(AI$6,1)=1,0,MIN(8,AI57)*AI56)))-MIN(IF(AI56&lt;=0,0,IF(WEEKDAY(AI$6,1)=1,0,MIN(8,AI57)*AI56)),MAX(0,40*MAX(1,AI56)-(AF58+AG58+AH58)))))</f>
        <v>1</v>
      </c>
      <c r="AJ59" s="63">
        <f>IF(AND(AJ56=1,AJ57=9),1,IF(AJ56&lt;=0,0,IF(WEEKDAY(AJ$6,1)=1,0,MAX(0,AJ57-8)*AJ56))+((IF(AJ56&lt;=0,0,IF(WEEKDAY(AJ$6,1)=1,0,MIN(8,AJ57)*AJ56)))-MIN(IF(AJ56&lt;=0,0,IF(WEEKDAY(AJ$6,1)=1,0,MIN(8,AJ57)*AJ56)),MAX(0,40*MAX(1,AJ56)-(AF58+AG58+AH58+AI58)))))</f>
        <v>1</v>
      </c>
      <c r="AK59" s="64">
        <f>IF(AND(AK56=0,AK57=0),0,IF(AK56&lt;=0,0,IF(WEEKDAY(AK$6,1)=1,0,MAX(0,AK57-10)*AK56))+((IF(AK56&lt;=0,0,IF(WEEKDAY(AK$6,1)=1,0,MIN(10,AK57)*AK56)))-MIN(IF(AK56&lt;=0,0,IF(WEEKDAY(AK$6,1)=1,0,MIN(10,AK57)*AK56)),MAX(0,40*MAX(1,AK56)-(0)))))</f>
        <v>0</v>
      </c>
      <c r="AL59" s="64">
        <f>IF(AND(AL56=0,AL57=0),0,IF(AL56&lt;=0,0,IF(WEEKDAY(AL$6,1)=1,0,MAX(0,AL57-10)*AL56))+((IF(AL56&lt;=0,0,IF(WEEKDAY(AL$6,1)=1,0,MIN(10,AL57)*AL56)))-MIN(IF(AL56&lt;=0,0,IF(WEEKDAY(AL$6,1)=1,0,MIN(10,AL57)*AL56)),MAX(0,40*MAX(1,AL56)-(AK58)))))</f>
        <v>0</v>
      </c>
      <c r="AM59" s="63">
        <f>IF(AND(AM56=1,AM57=9),1,IF(AM56&lt;=0,0,IF(WEEKDAY(AM$6,1)=1,0,MAX(0,AM57-8)*AM56))+((IF(AM56&lt;=0,0,IF(WEEKDAY(AM$6,1)=1,0,MIN(8,AM57)*AM56)))-MIN(IF(AM56&lt;=0,0,IF(WEEKDAY(AM$6,1)=1,0,MIN(8,AM57)*AM56)),MAX(0,40*MAX(1,AM56)-(0)))))</f>
        <v>1</v>
      </c>
      <c r="AN59" s="63">
        <f>IF(AND(AN56=1,AN57=9),1,IF(AN56&lt;=0,0,IF(WEEKDAY(AN$6,1)=1,0,MAX(0,AN57-8)*AN56))+((IF(AN56&lt;=0,0,IF(WEEKDAY(AN$6,1)=1,0,MIN(8,AN57)*AN56)))-MIN(IF(AN56&lt;=0,0,IF(WEEKDAY(AN$6,1)=1,0,MIN(8,AN57)*AN56)),MAX(0,40*MAX(1,AN56)-(AM58)))))</f>
        <v>1</v>
      </c>
      <c r="AO59" s="63">
        <f>IF(AND(AO56=1,AO57=9),1,IF(AO56&lt;=0,0,IF(WEEKDAY(AO$6,1)=1,0,MAX(0,AO57-8)*AO56))+((IF(AO56&lt;=0,0,IF(WEEKDAY(AO$6,1)=1,0,MIN(8,AO57)*AO56)))-MIN(IF(AO56&lt;=0,0,IF(WEEKDAY(AO$6,1)=1,0,MIN(8,AO57)*AO56)),MAX(0,40*MAX(1,AO56)-(AM58+AN58)))))</f>
        <v>1</v>
      </c>
      <c r="AP59" s="63">
        <f>IF(AND(AP56=1,AP57=9),1,IF(AP56&lt;=0,0,IF(WEEKDAY(AP$6,1)=1,0,MAX(0,AP57-8)*AP56))+((IF(AP56&lt;=0,0,IF(WEEKDAY(AP$6,1)=1,0,MIN(8,AP57)*AP56)))-MIN(IF(AP56&lt;=0,0,IF(WEEKDAY(AP$6,1)=1,0,MIN(8,AP57)*AP56)),MAX(0,40*MAX(1,AP56)-(AM58+AN58+AO58)))))</f>
        <v>1</v>
      </c>
      <c r="AQ59" s="63">
        <f>IF(AND(AQ56=1,AQ57=9),1,IF(AQ56&lt;=0,0,IF(WEEKDAY(AQ$6,1)=1,0,MAX(0,AQ57-8)*AQ56))+((IF(AQ56&lt;=0,0,IF(WEEKDAY(AQ$6,1)=1,0,MIN(8,AQ57)*AQ56)))-MIN(IF(AQ56&lt;=0,0,IF(WEEKDAY(AQ$6,1)=1,0,MIN(8,AQ57)*AQ56)),MAX(0,40*MAX(1,AQ56)-(AM58+AN58+AO58+AP58)))))</f>
        <v>1</v>
      </c>
      <c r="AR59" s="64">
        <f>IF(AND(AR56=0,AR57=0),0,IF(AR56&lt;=0,0,IF(WEEKDAY(AR$6,1)=1,0,MAX(0,AR57-10)*AR56))+((IF(AR56&lt;=0,0,IF(WEEKDAY(AR$6,1)=1,0,MIN(10,AR57)*AR56)))-MIN(IF(AR56&lt;=0,0,IF(WEEKDAY(AR$6,1)=1,0,MIN(10,AR57)*AR56)),MAX(0,40*MAX(1,AR56)-(0)))))</f>
        <v>0</v>
      </c>
      <c r="AS59" s="64">
        <f>IF(AND(AS56=0,AS57=0),0,IF(AS56&lt;=0,0,IF(WEEKDAY(AS$6,1)=1,0,MAX(0,AS57-10)*AS56))+((IF(AS56&lt;=0,0,IF(WEEKDAY(AS$6,1)=1,0,MIN(10,AS57)*AS56)))-MIN(IF(AS56&lt;=0,0,IF(WEEKDAY(AS$6,1)=1,0,MIN(10,AS57)*AS56)),MAX(0,40*MAX(1,AS56)-(AR58)))))</f>
        <v>0</v>
      </c>
      <c r="AT59" s="63">
        <f>IF(AND(AT56=1,AT57=9),1,IF(AT56&lt;=0,0,IF(WEEKDAY(AT$6,1)=1,0,MAX(0,AT57-8)*AT56))+((IF(AT56&lt;=0,0,IF(WEEKDAY(AT$6,1)=1,0,MIN(8,AT57)*AT56)))-MIN(IF(AT56&lt;=0,0,IF(WEEKDAY(AT$6,1)=1,0,MIN(8,AT57)*AT56)),MAX(0,40*MAX(1,AT56)-(0)))))</f>
        <v>1</v>
      </c>
      <c r="AU59" s="63">
        <f>IF(AND(AU56=1,AU57=9),1,IF(AU56&lt;=0,0,IF(WEEKDAY(AU$6,1)=1,0,MAX(0,AU57-8)*AU56))+((IF(AU56&lt;=0,0,IF(WEEKDAY(AU$6,1)=1,0,MIN(8,AU57)*AU56)))-MIN(IF(AU56&lt;=0,0,IF(WEEKDAY(AU$6,1)=1,0,MIN(8,AU57)*AU56)),MAX(0,40*MAX(1,AU56)-(AT58)))))</f>
        <v>1</v>
      </c>
      <c r="AV59" s="63">
        <f>IF(AND(AV56=1,AV57=9),1,IF(AV56&lt;=0,0,IF(WEEKDAY(AV$6,1)=1,0,MAX(0,AV57-8)*AV56))+((IF(AV56&lt;=0,0,IF(WEEKDAY(AV$6,1)=1,0,MIN(8,AV57)*AV56)))-MIN(IF(AV56&lt;=0,0,IF(WEEKDAY(AV$6,1)=1,0,MIN(8,AV57)*AV56)),MAX(0,40*MAX(1,AV56)-(AT58+AU58)))))</f>
        <v>1</v>
      </c>
      <c r="AW59" s="63">
        <f>IF(AND(AW56=1,AW57=9),1,IF(AW56&lt;=0,0,IF(WEEKDAY(AW$6,1)=1,0,MAX(0,AW57-8)*AW56))+((IF(AW56&lt;=0,0,IF(WEEKDAY(AW$6,1)=1,0,MIN(8,AW57)*AW56)))-MIN(IF(AW56&lt;=0,0,IF(WEEKDAY(AW$6,1)=1,0,MIN(8,AW57)*AW56)),MAX(0,40*MAX(1,AW56)-(AT58+AU58+AV58)))))</f>
        <v>1</v>
      </c>
      <c r="AX59" s="63">
        <f>IF(AND(AX56=1,AX57=9),1,IF(AX56&lt;=0,0,IF(WEEKDAY(AX$6,1)=1,0,MAX(0,AX57-8)*AX56))+((IF(AX56&lt;=0,0,IF(WEEKDAY(AX$6,1)=1,0,MIN(8,AX57)*AX56)))-MIN(IF(AX56&lt;=0,0,IF(WEEKDAY(AX$6,1)=1,0,MIN(8,AX57)*AX56)),MAX(0,40*MAX(1,AX56)-(AT58+AU58+AV58+AW58)))))</f>
        <v>1</v>
      </c>
      <c r="AY59" s="64">
        <f>IF(AND(AY56=0,AY57=0),0,IF(AY56&lt;=0,0,IF(WEEKDAY(AY$6,1)=1,0,MAX(0,AY57-10)*AY56))+((IF(AY56&lt;=0,0,IF(WEEKDAY(AY$6,1)=1,0,MIN(10,AY57)*AY56)))-MIN(IF(AY56&lt;=0,0,IF(WEEKDAY(AY$6,1)=1,0,MIN(10,AY57)*AY56)),MAX(0,40*MAX(1,AY56)-(0)))))</f>
        <v>0</v>
      </c>
      <c r="AZ59" s="64">
        <f>IF(AND(AZ56=0,AZ57=0),0,IF(AZ56&lt;=0,0,IF(WEEKDAY(AZ$6,1)=1,0,MAX(0,AZ57-10)*AZ56))+((IF(AZ56&lt;=0,0,IF(WEEKDAY(AZ$6,1)=1,0,MIN(10,AZ57)*AZ56)))-MIN(IF(AZ56&lt;=0,0,IF(WEEKDAY(AZ$6,1)=1,0,MIN(10,AZ57)*AZ56)),MAX(0,40*MAX(1,AZ56)-(AY58)))))</f>
        <v>0</v>
      </c>
      <c r="BA59" s="63">
        <f>IF(AND(BA56=1,BA57=9),1,IF(BA56&lt;=0,0,IF(WEEKDAY(BA$6,1)=1,0,MAX(0,BA57-8)*BA56))+((IF(BA56&lt;=0,0,IF(WEEKDAY(BA$6,1)=1,0,MIN(8,BA57)*BA56)))-MIN(IF(BA56&lt;=0,0,IF(WEEKDAY(BA$6,1)=1,0,MIN(8,BA57)*BA56)),MAX(0,40*MAX(1,BA56)-(0)))))</f>
        <v>1</v>
      </c>
      <c r="BB59" s="63">
        <f>IF(AND(BB56=1,BB57=9),1,IF(BB56&lt;=0,0,IF(WEEKDAY(BB$6,1)=1,0,MAX(0,BB57-8)*BB56))+((IF(BB56&lt;=0,0,IF(WEEKDAY(BB$6,1)=1,0,MIN(8,BB57)*BB56)))-MIN(IF(BB56&lt;=0,0,IF(WEEKDAY(BB$6,1)=1,0,MIN(8,BB57)*BB56)),MAX(0,40*MAX(1,BB56)-(BA58)))))</f>
        <v>1</v>
      </c>
      <c r="BC59" s="63">
        <f>IF(AND(BC56=1,BC57=9),1,IF(BC56&lt;=0,0,IF(WEEKDAY(BC$6,1)=1,0,MAX(0,BC57-8)*BC56))+((IF(BC56&lt;=0,0,IF(WEEKDAY(BC$6,1)=1,0,MIN(8,BC57)*BC56)))-MIN(IF(BC56&lt;=0,0,IF(WEEKDAY(BC$6,1)=1,0,MIN(8,BC57)*BC56)),MAX(0,40*MAX(1,BC56)-(BA58+BB58)))))</f>
        <v>1</v>
      </c>
      <c r="BD59" s="63">
        <f>IF(AND(BD56=1,BD57=9),1,IF(BD56&lt;=0,0,IF(WEEKDAY(BD$6,1)=1,0,MAX(0,BD57-8)*BD56))+((IF(BD56&lt;=0,0,IF(WEEKDAY(BD$6,1)=1,0,MIN(8,BD57)*BD56)))-MIN(IF(BD56&lt;=0,0,IF(WEEKDAY(BD$6,1)=1,0,MIN(8,BD57)*BD56)),MAX(0,40*MAX(1,BD56)-(BA58+BB58+BC58)))))</f>
        <v>1</v>
      </c>
      <c r="BE59" s="63">
        <f>IF(AND(BE56=1,BE57=9),1,IF(BE56&lt;=0,0,IF(WEEKDAY(BE$6,1)=1,0,MAX(0,BE57-8)*BE56))+((IF(BE56&lt;=0,0,IF(WEEKDAY(BE$6,1)=1,0,MIN(8,BE57)*BE56)))-MIN(IF(BE56&lt;=0,0,IF(WEEKDAY(BE$6,1)=1,0,MIN(8,BE57)*BE56)),MAX(0,40*MAX(1,BE56)-(BA58+BB58+BC58+BD58)))))</f>
        <v>1</v>
      </c>
      <c r="BF59" s="64">
        <f>IF(AND(BF56=0,BF57=0),0,IF(BF56&lt;=0,0,IF(WEEKDAY(BF$6,1)=1,0,MAX(0,BF57-10)*BF56))+((IF(BF56&lt;=0,0,IF(WEEKDAY(BF$6,1)=1,0,MIN(10,BF57)*BF56)))-MIN(IF(BF56&lt;=0,0,IF(WEEKDAY(BF$6,1)=1,0,MIN(10,BF57)*BF56)),MAX(0,40*MAX(1,BF56)-(0)))))</f>
        <v>0</v>
      </c>
      <c r="BG59" s="64">
        <f>IF(AND(BG56=0,BG57=0),0,IF(BG56&lt;=0,0,IF(WEEKDAY(BG$6,1)=1,0,MAX(0,BG57-10)*BG56))+((IF(BG56&lt;=0,0,IF(WEEKDAY(BG$6,1)=1,0,MIN(10,BG57)*BG56)))-MIN(IF(BG56&lt;=0,0,IF(WEEKDAY(BG$6,1)=1,0,MIN(10,BG57)*BG56)),MAX(0,40*MAX(1,BG56)-(BF58)))))</f>
        <v>0</v>
      </c>
      <c r="BH59" s="63">
        <f>IF(AND(BH56=1,BH57=13),3,IF(BH56&lt;=0,0,IF(WEEKDAY(BH$6,1)=1,0,MAX(0,BH57-10)*BH56))+((IF(BH56&lt;=0,0,IF(WEEKDAY(BH$6,1)=1,0,MIN(10,BH57)*BH56)))-MIN(IF(BH56&lt;=0,0,IF(WEEKDAY(BH$6,1)=1,0,MIN(10,BH57)*BH56)),MAX(0,40*MAX(1,BH56)-(0)))))</f>
        <v>3</v>
      </c>
      <c r="BI59" s="63">
        <f>IF(AND(BI56=1,BI57=13),3,IF(BI56&lt;=0,0,IF(WEEKDAY(BI$6,1)=1,0,MAX(0,BI57-10)*BI56))+((IF(BI56&lt;=0,0,IF(WEEKDAY(BI$6,1)=1,0,MIN(10,BI57)*BI56)))-MIN(IF(BI56&lt;=0,0,IF(WEEKDAY(BI$6,1)=1,0,MIN(10,BI57)*BI56)),MAX(0,40*MAX(1,BI56)-(BH58)))))</f>
        <v>3</v>
      </c>
      <c r="BJ59" s="63">
        <f>IF(AND(BJ56=1,BJ57=13),3,IF(BJ56&lt;=0,0,IF(WEEKDAY(BJ$6,1)=1,0,MAX(0,BJ57-10)*BJ56))+((IF(BJ56&lt;=0,0,IF(WEEKDAY(BJ$6,1)=1,0,MIN(10,BJ57)*BJ56)))-MIN(IF(BJ56&lt;=0,0,IF(WEEKDAY(BJ$6,1)=1,0,MIN(10,BJ57)*BJ56)),MAX(0,40*MAX(1,BJ56)-(BH58+BI58)))))</f>
        <v>3</v>
      </c>
      <c r="BK59" s="63">
        <f>IF(AND(BK56=1,BK57=13),3,IF(BK56&lt;=0,0,IF(WEEKDAY(BK$6,1)=1,0,MAX(0,BK57-10)*BK56))+((IF(BK56&lt;=0,0,IF(WEEKDAY(BK$6,1)=1,0,MIN(10,BK57)*BK56)))-MIN(IF(BK56&lt;=0,0,IF(WEEKDAY(BK$6,1)=1,0,MIN(10,BK57)*BK56)),MAX(0,40*MAX(1,BK56)-(BH58+BI58+BJ58)))))</f>
        <v>3</v>
      </c>
      <c r="BL59" s="63">
        <f>IF(AND(BL56=1,BL57=13),13,IF(BL56&lt;=0,0,IF(WEEKDAY(BL$6,1)=1,0,MAX(0,BL57-10)*BL56))+((IF(BL56&lt;=0,0,IF(WEEKDAY(BL$6,1)=1,0,MIN(10,BL57)*BL56)))-MIN(IF(BL56&lt;=0,0,IF(WEEKDAY(BL$6,1)=1,0,MIN(10,BL57)*BL56)),MAX(0,40*MAX(1,BL56)-(BH58+BI58+BJ58+BK58)))))</f>
        <v>13</v>
      </c>
      <c r="BM59" s="64">
        <f>IF(AND(BM56=1,BM57=13),13,IF(BM56&lt;=0,0,IF(WEEKDAY(BM$6,1)=1,0,MAX(0,BM57-10)*BM56))+((IF(BM56&lt;=0,0,IF(WEEKDAY(BM$6,1)=1,0,MIN(10,BM57)*BM56)))-MIN(IF(BM56&lt;=0,0,IF(WEEKDAY(BM$6,1)=1,0,MIN(10,BM57)*BM56)),MAX(0,40*MAX(1,BM56)-(BH58+BI58+BJ58+BK58+BL58)))))</f>
        <v>13</v>
      </c>
      <c r="BN59" s="64">
        <f>IF(AND(BN56=1,BN57=13),0,IF(BN56&lt;=0,0,IF(WEEKDAY(BN$6,1)=1,0,MAX(0,BN57-10)*BN56))+((IF(BN56&lt;=0,0,IF(WEEKDAY(BN$6,1)=1,0,MIN(10,BN57)*BN56)))-MIN(IF(BN56&lt;=0,0,IF(WEEKDAY(BN$6,1)=1,0,MIN(10,BN57)*BN56)),MAX(0,40*MAX(1,BN56)-(BH58+BI58+BJ58+BK58+BL58+BM58)))))</f>
        <v>0</v>
      </c>
      <c r="BO59" s="63">
        <f>IF(AND(BO56=1,BO57=13),3,IF(BO56&lt;=0,0,IF(WEEKDAY(BO$6,1)=1,0,MAX(0,BO57-10)*BO56))+((IF(BO56&lt;=0,0,IF(WEEKDAY(BO$6,1)=1,0,MIN(10,BO57)*BO56)))-MIN(IF(BO56&lt;=0,0,IF(WEEKDAY(BO$6,1)=1,0,MIN(10,BO57)*BO56)),MAX(0,40*MAX(1,BO56)-(0)))))</f>
        <v>3</v>
      </c>
      <c r="BP59" s="63">
        <f>IF(AND(BP56=1,BP57=13),3,IF(BP56&lt;=0,0,IF(WEEKDAY(BP$6,1)=1,0,MAX(0,BP57-10)*BP56))+((IF(BP56&lt;=0,0,IF(WEEKDAY(BP$6,1)=1,0,MIN(10,BP57)*BP56)))-MIN(IF(BP56&lt;=0,0,IF(WEEKDAY(BP$6,1)=1,0,MIN(10,BP57)*BP56)),MAX(0,40*MAX(1,BP56)-(BO58)))))</f>
        <v>3</v>
      </c>
      <c r="BQ59" s="63">
        <f>IF(AND(BQ56=1,BQ57=13),3,IF(BQ56&lt;=0,0,IF(WEEKDAY(BQ$6,1)=1,0,MAX(0,BQ57-10)*BQ56))+((IF(BQ56&lt;=0,0,IF(WEEKDAY(BQ$6,1)=1,0,MIN(10,BQ57)*BQ56)))-MIN(IF(BQ56&lt;=0,0,IF(WEEKDAY(BQ$6,1)=1,0,MIN(10,BQ57)*BQ56)),MAX(0,40*MAX(1,BQ56)-(BO58+BP58)))))</f>
        <v>3</v>
      </c>
      <c r="BR59" s="63">
        <f>IF(AND(BR56=1,BR57=13),3,IF(BR56&lt;=0,0,IF(WEEKDAY(BR$6,1)=1,0,MAX(0,BR57-10)*BR56))+((IF(BR56&lt;=0,0,IF(WEEKDAY(BR$6,1)=1,0,MIN(10,BR57)*BR56)))-MIN(IF(BR56&lt;=0,0,IF(WEEKDAY(BR$6,1)=1,0,MIN(10,BR57)*BR56)),MAX(0,40*MAX(1,BR56)-(0)))))</f>
        <v>3</v>
      </c>
      <c r="BS59" s="63">
        <f>IF(AND(BS56=1,BS57=13),3,IF(BS56&lt;=0,0,IF(WEEKDAY(BS$6,1)=1,0,MAX(0,BS57-10)*BS56))+((IF(BS56&lt;=0,0,IF(WEEKDAY(BS$6,1)=1,0,MIN(10,BS57)*BS56)))-MIN(IF(BS56&lt;=0,0,IF(WEEKDAY(BS$6,1)=1,0,MIN(10,BS57)*BS56)),MAX(0,40*MAX(1,BS56)-(BR58)))))</f>
        <v>3</v>
      </c>
      <c r="BT59" s="64">
        <f>IF(AND(BT56=1,BT57=13),3,IF(BT56&lt;=0,0,IF(WEEKDAY(BT$6,1)=1,0,MAX(0,BT57-10)*BT56))+((IF(BT56&lt;=0,0,IF(WEEKDAY(BT$6,1)=1,0,MIN(10,BT57)*BT56)))-MIN(IF(BT56&lt;=0,0,IF(WEEKDAY(BT$6,1)=1,0,MIN(10,BT57)*BT56)),MAX(0,40*MAX(1,BT56)-(BR58+BS58)))))</f>
        <v>3</v>
      </c>
      <c r="BU59" s="64">
        <f>IF(AND(BU56=1,BU57=13),0,IF(BU56&lt;=0,0,IF(WEEKDAY(BU$6,1)=1,0,MAX(0,BU57-10)*BU56))+((IF(BU56&lt;=0,0,IF(WEEKDAY(BU$6,1)=1,0,MIN(10,BU57)*BU56)))-MIN(IF(BU56&lt;=0,0,IF(WEEKDAY(BU$6,1)=1,0,MIN(10,BU57)*BU56)),MAX(0,40*MAX(1,BU56)-(BR58+BS58+BT58)))))</f>
        <v>0</v>
      </c>
      <c r="BV59" s="63">
        <f>IF(AND(BV56=1,BV57=13),3,IF(BV56&lt;=0,0,IF(WEEKDAY(BV$6,1)=1,0,MAX(0,BV57-10)*BV56))+((IF(BV56&lt;=0,0,IF(WEEKDAY(BV$6,1)=1,0,MIN(10,BV57)*BV56)))-MIN(IF(BV56&lt;=0,0,IF(WEEKDAY(BV$6,1)=1,0,MIN(10,BV57)*BV56)),MAX(0,40*MAX(1,BV56)-(0)))))</f>
        <v>3</v>
      </c>
      <c r="BW59" s="63">
        <f>IF(AND(BW56=1,BW57=13),3,IF(BW56&lt;=0,0,IF(WEEKDAY(BW$6,1)=1,0,MAX(0,BW57-10)*BW56))+((IF(BW56&lt;=0,0,IF(WEEKDAY(BW$6,1)=1,0,MIN(10,BW57)*BW56)))-MIN(IF(BW56&lt;=0,0,IF(WEEKDAY(BW$6,1)=1,0,MIN(10,BW57)*BW56)),MAX(0,40*MAX(1,BW56)-(BV58)))))</f>
        <v>3</v>
      </c>
      <c r="BX59" s="63">
        <f>IF(AND(BX56=1,BX57=13),3,IF(BX56&lt;=0,0,IF(WEEKDAY(BX$6,1)=1,0,MAX(0,BX57-10)*BX56))+((IF(BX56&lt;=0,0,IF(WEEKDAY(BX$6,1)=1,0,MIN(10,BX57)*BX56)))-MIN(IF(BX56&lt;=0,0,IF(WEEKDAY(BX$6,1)=1,0,MIN(10,BX57)*BX56)),MAX(0,40*MAX(1,BX56)-(BV58+BW58)))))</f>
        <v>3</v>
      </c>
      <c r="BY59" s="63">
        <f>IF(AND(BY56=1,BY57=13),3,IF(BY56&lt;=0,0,IF(WEEKDAY(BY$6,1)=1,0,MAX(0,BY57-10)*BY56))+((IF(BY56&lt;=0,0,IF(WEEKDAY(BY$6,1)=1,0,MIN(10,BY57)*BY56)))-MIN(IF(BY56&lt;=0,0,IF(WEEKDAY(BY$6,1)=1,0,MIN(10,BY57)*BY56)),MAX(0,40*MAX(1,BY56)-(BV58+BW58+BX58)))))</f>
        <v>3</v>
      </c>
      <c r="BZ59" s="63">
        <f>IF(AND(BZ56=1,BZ57=13),13,IF(BZ56&lt;=0,0,IF(WEEKDAY(BZ$6,1)=1,0,MAX(0,BZ57-10)*BZ56))+((IF(BZ56&lt;=0,0,IF(WEEKDAY(BZ$6,1)=1,0,MIN(10,BZ57)*BZ56)))-MIN(IF(BZ56&lt;=0,0,IF(WEEKDAY(BZ$6,1)=1,0,MIN(10,BZ57)*BZ56)),MAX(0,40*MAX(1,BZ56)-(BV58+BW58+BX58+BY58)))))</f>
        <v>13</v>
      </c>
      <c r="CA59" s="64">
        <f>IF(AND(CA56=1,CA57=13),13,IF(CA56&lt;=0,0,IF(WEEKDAY(CA$6,1)=1,0,MAX(0,CA57-10)*CA56))+((IF(CA56&lt;=0,0,IF(WEEKDAY(CA$6,1)=1,0,MIN(10,CA57)*CA56)))-MIN(IF(CA56&lt;=0,0,IF(WEEKDAY(CA$6,1)=1,0,MIN(10,CA57)*CA56)),MAX(0,40*MAX(1,CA56)-(BV58+BW58+BX58+BY58+BZ58)))))</f>
        <v>13</v>
      </c>
      <c r="CB59" s="64">
        <f>IF(AND(CB56=0,CB57=0),0,IF(CB56&lt;=0,0,IF(WEEKDAY(CB$6,1)=1,0,MAX(0,CB57-10)*CB56))+((IF(CB56&lt;=0,0,IF(WEEKDAY(CB$6,1)=1,0,MIN(10,CB57)*CB56)))-MIN(IF(CB56&lt;=0,0,IF(WEEKDAY(CB$6,1)=1,0,MIN(10,CB57)*CB56)),MAX(0,40*MAX(1,CB56)-(0)))))</f>
        <v>0</v>
      </c>
      <c r="CC59" s="63">
        <f>IF(AND(CC56=1,CC57=13),3,IF(CC56&lt;=0,0,IF(WEEKDAY(CC$6,1)=1,0,MAX(0,CC57-10)*CC56))+((IF(CC56&lt;=0,0,IF(WEEKDAY(CC$6,1)=1,0,MIN(10,CC57)*CC56)))-MIN(IF(CC56&lt;=0,0,IF(WEEKDAY(CC$6,1)=1,0,MIN(10,CC57)*CC56)),MAX(0,40*MAX(1,CC56)-(0)))))</f>
        <v>3</v>
      </c>
      <c r="CD59" s="63">
        <f>IF(AND(CD56=1,CD57=13),3,IF(CD56&lt;=0,0,IF(WEEKDAY(CD$6,1)=1,0,MAX(0,CD57-10)*CD56))+((IF(CD56&lt;=0,0,IF(WEEKDAY(CD$6,1)=1,0,MIN(10,CD57)*CD56)))-MIN(IF(CD56&lt;=0,0,IF(WEEKDAY(CD$6,1)=1,0,MIN(10,CD57)*CD56)),MAX(0,40*MAX(1,CD56)-(CC58)))))</f>
        <v>3</v>
      </c>
      <c r="CE59" s="63">
        <f>IF(AND(CE56=1,CE57=13),3,IF(CE56&lt;=0,0,IF(WEEKDAY(CE$6,1)=1,0,MAX(0,CE57-10)*CE56))+((IF(CE56&lt;=0,0,IF(WEEKDAY(CE$6,1)=1,0,MIN(10,CE57)*CE56)))-MIN(IF(CE56&lt;=0,0,IF(WEEKDAY(CE$6,1)=1,0,MIN(10,CE57)*CE56)),MAX(0,40*MAX(1,CE56)-(CC58+CD58)))))</f>
        <v>3</v>
      </c>
      <c r="CF59" s="63">
        <f>IF(AND(CF56=1,CF57=13),3,IF(CF56&lt;=0,0,IF(WEEKDAY(CF$6,1)=1,0,MAX(0,CF57-10)*CF56))+((IF(CF56&lt;=0,0,IF(WEEKDAY(CF$6,1)=1,0,MIN(10,CF57)*CF56)))-MIN(IF(CF56&lt;=0,0,IF(WEEKDAY(CF$6,1)=1,0,MIN(10,CF57)*CF56)),MAX(0,40*MAX(1,CF56)-(CC58+CD58+CE58)))))</f>
        <v>3</v>
      </c>
      <c r="CG59" s="63">
        <f>IF(AND(CG56=1,CG57=13),13,IF(CG56&lt;=0,0,IF(WEEKDAY(CG$6,1)=1,0,MAX(0,CG57-10)*CG56))+((IF(CG56&lt;=0,0,IF(WEEKDAY(CG$6,1)=1,0,MIN(10,CG57)*CG56)))-MIN(IF(CG56&lt;=0,0,IF(WEEKDAY(CG$6,1)=1,0,MIN(10,CG57)*CG56)),MAX(0,40*MAX(1,CG56)-(CC58+CD58+CE58+CF58)))))</f>
        <v>13</v>
      </c>
      <c r="CH59" s="64">
        <f>IF(AND(CH56=1,CH57=13),13,IF(CH56&lt;=0,0,IF(WEEKDAY(CH$6,1)=1,0,MAX(0,CH57-10)*CH56))+((IF(CH56&lt;=0,0,IF(WEEKDAY(CH$6,1)=1,0,MIN(10,CH57)*CH56)))-MIN(IF(CH56&lt;=0,0,IF(WEEKDAY(CH$6,1)=1,0,MIN(10,CH57)*CH56)),MAX(0,40*MAX(1,CH56)-(CC58+CD58+CE58+CF58+CG58)))))</f>
        <v>13</v>
      </c>
      <c r="CI59" s="64">
        <f>IF(AND(CI56=1,CI57=13),0,IF(CI56&lt;=0,0,IF(WEEKDAY(CI$6,1)=1,0,MAX(0,CI57-10)*CI56))+((IF(CI56&lt;=0,0,IF(WEEKDAY(CI$6,1)=1,0,MIN(10,CI57)*CI56)))-MIN(IF(CI56&lt;=0,0,IF(WEEKDAY(CI$6,1)=1,0,MIN(10,CI57)*CI56)),MAX(0,40*MAX(1,CI56)-(CC58+CD58+CE58+CF58+CG58+CH58)))))</f>
        <v>0</v>
      </c>
      <c r="CJ59" s="63">
        <f>IF(AND(CJ56=1,CJ57=13),3,IF(CJ56&lt;=0,0,IF(WEEKDAY(CJ$6,1)=1,0,MAX(0,CJ57-10)*CJ56))+((IF(CJ56&lt;=0,0,IF(WEEKDAY(CJ$6,1)=1,0,MIN(10,CJ57)*CJ56)))-MIN(IF(CJ56&lt;=0,0,IF(WEEKDAY(CJ$6,1)=1,0,MIN(10,CJ57)*CJ56)),MAX(0,40*MAX(1,CJ56)-(0)))))</f>
        <v>3</v>
      </c>
      <c r="CK59" s="63">
        <f>IF(AND(CK56=1,CK57=13),3,IF(CK56&lt;=0,0,IF(WEEKDAY(CK$6,1)=1,0,MAX(0,CK57-10)*CK56))+((IF(CK56&lt;=0,0,IF(WEEKDAY(CK$6,1)=1,0,MIN(10,CK57)*CK56)))-MIN(IF(CK56&lt;=0,0,IF(WEEKDAY(CK$6,1)=1,0,MIN(10,CK57)*CK56)),MAX(0,40*MAX(1,CK56)-(CJ58)))))</f>
        <v>3</v>
      </c>
      <c r="CL59" s="63">
        <f>IF(AND(CL56=1,CL57=13),3,IF(CL56&lt;=0,0,IF(WEEKDAY(CL$6,1)=1,0,MAX(0,CL57-10)*CL56))+((IF(CL56&lt;=0,0,IF(WEEKDAY(CL$6,1)=1,0,MIN(10,CL57)*CL56)))-MIN(IF(CL56&lt;=0,0,IF(WEEKDAY(CL$6,1)=1,0,MIN(10,CL57)*CL56)),MAX(0,40*MAX(1,CL56)-(CJ58+CK58)))))</f>
        <v>3</v>
      </c>
      <c r="CM59" s="63">
        <f>IF(AND(CM56=1,CM57=13),3,IF(CM56&lt;=0,0,IF(WEEKDAY(CM$6,1)=1,0,MAX(0,CM57-10)*CM56))+((IF(CM56&lt;=0,0,IF(WEEKDAY(CM$6,1)=1,0,MIN(10,CM57)*CM56)))-MIN(IF(CM56&lt;=0,0,IF(WEEKDAY(CM$6,1)=1,0,MIN(10,CM57)*CM56)),MAX(0,40*MAX(1,CM56)-(CJ58+CK58+CL58)))))</f>
        <v>3</v>
      </c>
      <c r="CN59" s="63">
        <f>IF(AND(CN56=1,CN57=13),13,IF(CN56&lt;=0,0,IF(WEEKDAY(CN$6,1)=1,0,MAX(0,CN57-10)*CN56))+((IF(CN56&lt;=0,0,IF(WEEKDAY(CN$6,1)=1,0,MIN(10,CN57)*CN56)))-MIN(IF(CN56&lt;=0,0,IF(WEEKDAY(CN$6,1)=1,0,MIN(10,CN57)*CN56)),MAX(0,40*MAX(1,CN56)-(CJ58+CK58+CL58+CM58)))))</f>
        <v>13</v>
      </c>
      <c r="CO59" s="64">
        <f>IF(AND(CO56=1,CO57=13),13,IF(CO56&lt;=0,0,IF(WEEKDAY(CO$6,1)=1,0,MAX(0,CO57-10)*CO56))+((IF(CO56&lt;=0,0,IF(WEEKDAY(CO$6,1)=1,0,MIN(10,CO57)*CO56)))-MIN(IF(CO56&lt;=0,0,IF(WEEKDAY(CO$6,1)=1,0,MIN(10,CO57)*CO56)),MAX(0,40*MAX(1,CO56)-(CJ58+CK58+CL58+CM58+CN58)))))</f>
        <v>13</v>
      </c>
      <c r="CP59" s="64">
        <f>IF(AND(CP56=0,CP57=0),0,IF(CP56&lt;=0,0,IF(WEEKDAY(CP$6,1)=1,0,MAX(0,CP57-10)*CP56))+((IF(CP56&lt;=0,0,IF(WEEKDAY(CP$6,1)=1,0,MIN(10,CP57)*CP56)))-MIN(IF(CP56&lt;=0,0,IF(WEEKDAY(CP$6,1)=1,0,MIN(10,CP57)*CP56)),MAX(0,40*MAX(1,CP56)-(0)))))</f>
        <v>0</v>
      </c>
      <c r="CQ59" s="63">
        <f>IF(AND(CQ56=1,CQ57=13),3,IF(CQ56&lt;=0,0,IF(WEEKDAY(CQ$6,1)=1,0,MAX(0,CQ57-10)*CQ56))+((IF(CQ56&lt;=0,0,IF(WEEKDAY(CQ$6,1)=1,0,MIN(10,CQ57)*CQ56)))-MIN(IF(CQ56&lt;=0,0,IF(WEEKDAY(CQ$6,1)=1,0,MIN(10,CQ57)*CQ56)),MAX(0,40*MAX(1,CQ56)-(0)))))</f>
        <v>3</v>
      </c>
      <c r="CR59" s="63">
        <f>IF(AND(CR56=1,CR57=13),3,IF(CR56&lt;=0,0,IF(WEEKDAY(CR$6,1)=1,0,MAX(0,CR57-10)*CR56))+((IF(CR56&lt;=0,0,IF(WEEKDAY(CR$6,1)=1,0,MIN(10,CR57)*CR56)))-MIN(IF(CR56&lt;=0,0,IF(WEEKDAY(CR$6,1)=1,0,MIN(10,CR57)*CR56)),MAX(0,40*MAX(1,CR56)-(CQ58)))))</f>
        <v>3</v>
      </c>
      <c r="CS59" s="63">
        <f>IF(AND(CS56=1,CS57=13),3,IF(CS56&lt;=0,0,IF(WEEKDAY(CS$6,1)=1,0,MAX(0,CS57-10)*CS56))+((IF(CS56&lt;=0,0,IF(WEEKDAY(CS$6,1)=1,0,MIN(10,CS57)*CS56)))-MIN(IF(CS56&lt;=0,0,IF(WEEKDAY(CS$6,1)=1,0,MIN(10,CS57)*CS56)),MAX(0,40*MAX(1,CS56)-(CQ58+CR58)))))</f>
        <v>3</v>
      </c>
      <c r="CT59" s="63">
        <f>IF(AND(CT56=1,CT57=13),3,IF(CT56&lt;=0,0,IF(WEEKDAY(CT$6,1)=1,0,MAX(0,CT57-10)*CT56))+((IF(CT56&lt;=0,0,IF(WEEKDAY(CT$6,1)=1,0,MIN(10,CT57)*CT56)))-MIN(IF(CT56&lt;=0,0,IF(WEEKDAY(CT$6,1)=1,0,MIN(10,CT57)*CT56)),MAX(0,40*MAX(1,CT56)-(CQ58+CR58+CS58)))))</f>
        <v>3</v>
      </c>
      <c r="CU59" s="63">
        <f>IF(AND(CU56=1,CU57=13),13,IF(CU56&lt;=0,0,IF(WEEKDAY(CU$6,1)=1,0,MAX(0,CU57-10)*CU56))+((IF(CU56&lt;=0,0,IF(WEEKDAY(CU$6,1)=1,0,MIN(10,CU57)*CU56)))-MIN(IF(CU56&lt;=0,0,IF(WEEKDAY(CU$6,1)=1,0,MIN(10,CU57)*CU56)),MAX(0,40*MAX(1,CU56)-(CQ58+CR58+CS58+CT58)))))</f>
        <v>13</v>
      </c>
      <c r="CV59" s="64">
        <f>IF(AND(CV56=1,CV57=13),13,IF(CV56&lt;=0,0,IF(WEEKDAY(CV$6,1)=1,0,MAX(0,CV57-10)*CV56))+((IF(CV56&lt;=0,0,IF(WEEKDAY(CV$6,1)=1,0,MIN(10,CV57)*CV56)))-MIN(IF(CV56&lt;=0,0,IF(WEEKDAY(CV$6,1)=1,0,MIN(10,CV57)*CV56)),MAX(0,40*MAX(1,CV56)-(CQ58+CR58+CS58+CT58+CU58)))))</f>
        <v>13</v>
      </c>
      <c r="CW59" s="64">
        <f>IF(AND(CW56=1,CW57=13),0,IF(CW56&lt;=0,0,IF(WEEKDAY(CW$6,1)=1,0,MAX(0,CW57-10)*CW56))+((IF(CW56&lt;=0,0,IF(WEEKDAY(CW$6,1)=1,0,MIN(10,CW57)*CW56)))-MIN(IF(CW56&lt;=0,0,IF(WEEKDAY(CW$6,1)=1,0,MIN(10,CW57)*CW56)),MAX(0,40*MAX(1,CW56)-(CQ58+CR58+CS58+CT58+CU58+CV58)))))</f>
        <v>0</v>
      </c>
      <c r="CX59" s="63">
        <f>IF(AND(CX56=1,CX57=13),3,IF(CX56&lt;=0,0,IF(WEEKDAY(CX$6,1)=1,0,MAX(0,CX57-10)*CX56))+((IF(CX56&lt;=0,0,IF(WEEKDAY(CX$6,1)=1,0,MIN(10,CX57)*CX56)))-MIN(IF(CX56&lt;=0,0,IF(WEEKDAY(CX$6,1)=1,0,MIN(10,CX57)*CX56)),MAX(0,40*MAX(1,CX56)-(0)))))</f>
        <v>3</v>
      </c>
      <c r="CY59" s="63">
        <f>IF(AND(CY56=1,CY57=13),3,IF(CY56&lt;=0,0,IF(WEEKDAY(CY$6,1)=1,0,MAX(0,CY57-10)*CY56))+((IF(CY56&lt;=0,0,IF(WEEKDAY(CY$6,1)=1,0,MIN(10,CY57)*CY56)))-MIN(IF(CY56&lt;=0,0,IF(WEEKDAY(CY$6,1)=1,0,MIN(10,CY57)*CY56)),MAX(0,40*MAX(1,CY56)-(CX58)))))</f>
        <v>3</v>
      </c>
      <c r="CZ59" s="63">
        <f>IF(AND(CZ56=1,CZ57=13),3,IF(CZ56&lt;=0,0,IF(WEEKDAY(CZ$6,1)=1,0,MAX(0,CZ57-10)*CZ56))+((IF(CZ56&lt;=0,0,IF(WEEKDAY(CZ$6,1)=1,0,MIN(10,CZ57)*CZ56)))-MIN(IF(CZ56&lt;=0,0,IF(WEEKDAY(CZ$6,1)=1,0,MIN(10,CZ57)*CZ56)),MAX(0,40*MAX(1,CZ56)-(CX58+CY58)))))</f>
        <v>3</v>
      </c>
      <c r="DA59" s="63">
        <f>IF(AND(DA56=1,DA57=13),3,IF(DA56&lt;=0,0,IF(WEEKDAY(DA$6,1)=1,0,MAX(0,DA57-10)*DA56))+((IF(DA56&lt;=0,0,IF(WEEKDAY(DA$6,1)=1,0,MIN(10,DA57)*DA56)))-MIN(IF(DA56&lt;=0,0,IF(WEEKDAY(DA$6,1)=1,0,MIN(10,DA57)*DA56)),MAX(0,40*MAX(1,DA56)-(CX58+CY58+CZ58)))))</f>
        <v>3</v>
      </c>
      <c r="DB59" s="63">
        <f>IF(AND(DB56=1,DB57=13),13,IF(DB56&lt;=0,0,IF(WEEKDAY(DB$6,1)=1,0,MAX(0,DB57-10)*DB56))+((IF(DB56&lt;=0,0,IF(WEEKDAY(DB$6,1)=1,0,MIN(10,DB57)*DB56)))-MIN(IF(DB56&lt;=0,0,IF(WEEKDAY(DB$6,1)=1,0,MIN(10,DB57)*DB56)),MAX(0,40*MAX(1,DB56)-(CX58+CY58+CZ58+DA58)))))</f>
        <v>13</v>
      </c>
      <c r="DC59" s="64">
        <f>IF(AND(DC56=1,DC57=13),13,IF(DC56&lt;=0,0,IF(WEEKDAY(DC$6,1)=1,0,MAX(0,DC57-10)*DC56))+((IF(DC56&lt;=0,0,IF(WEEKDAY(DC$6,1)=1,0,MIN(10,DC57)*DC56)))-MIN(IF(DC56&lt;=0,0,IF(WEEKDAY(DC$6,1)=1,0,MIN(10,DC57)*DC56)),MAX(0,40*MAX(1,DC56)-(CX58+CY58+CZ58+DA58+DB58)))))</f>
        <v>13</v>
      </c>
      <c r="DD59" s="64">
        <f>IF(AND(DD56=1,DD57=13),0,IF(DD56&lt;=0,0,IF(WEEKDAY(DD$6,1)=1,0,MAX(0,DD57-10)*DD56))+((IF(DD56&lt;=0,0,IF(WEEKDAY(DD$6,1)=1,0,MIN(10,DD57)*DD56)))-MIN(IF(DD56&lt;=0,0,IF(WEEKDAY(DD$6,1)=1,0,MIN(10,DD57)*DD56)),MAX(0,40*MAX(1,DD56)-(0)))))</f>
        <v>0</v>
      </c>
      <c r="DE59" s="63">
        <f>IF(AND(DE56=1,DE57=13),3,IF(DE56&lt;=0,0,IF(WEEKDAY(DE$6,1)=1,0,MAX(0,DE57-10)*DE56))+((IF(DE56&lt;=0,0,IF(WEEKDAY(DE$6,1)=1,0,MIN(10,DE57)*DE56)))-MIN(IF(DE56&lt;=0,0,IF(WEEKDAY(DE$6,1)=1,0,MIN(10,DE57)*DE56)),MAX(0,40*MAX(1,DE56)-(0)))))</f>
        <v>3</v>
      </c>
      <c r="DF59" s="63">
        <f>IF(AND(DF56=1,DF57=13),3,IF(DF56&lt;=0,0,IF(WEEKDAY(DF$6,1)=1,0,MAX(0,DF57-10)*DF56))+((IF(DF56&lt;=0,0,IF(WEEKDAY(DF$6,1)=1,0,MIN(10,DF57)*DF56)))-MIN(IF(DF56&lt;=0,0,IF(WEEKDAY(DF$6,1)=1,0,MIN(10,DF57)*DF56)),MAX(0,40*MAX(1,DF56)-(DE58)))))</f>
        <v>3</v>
      </c>
      <c r="DG59" s="63">
        <f>IF(AND(DG56=1,DG57=13),3,IF(DG56&lt;=0,0,IF(WEEKDAY(DG$6,1)=1,0,MAX(0,DG57-10)*DG56))+((IF(DG56&lt;=0,0,IF(WEEKDAY(DG$6,1)=1,0,MIN(10,DG57)*DG56)))-MIN(IF(DG56&lt;=0,0,IF(WEEKDAY(DG$6,1)=1,0,MIN(10,DG57)*DG56)),MAX(0,40*MAX(1,DG56)-(DE58+DF58)))))</f>
        <v>3</v>
      </c>
      <c r="DH59" s="63">
        <f>IF(AND(DH56=1,DH57=13),3,IF(DH56&lt;=0,0,IF(WEEKDAY(DH$6,1)=1,0,MAX(0,DH57-10)*DH56))+((IF(DH56&lt;=0,0,IF(WEEKDAY(DH$6,1)=1,0,MIN(10,DH57)*DH56)))-MIN(IF(DH56&lt;=0,0,IF(WEEKDAY(DH$6,1)=1,0,MIN(10,DH57)*DH56)),MAX(0,40*MAX(1,DH56)-(DE58+DF58+DG58)))))</f>
        <v>3</v>
      </c>
      <c r="DI59" s="63">
        <f>IF(AND(DI56=1,DI57=13),13,IF(DI56&lt;=0,0,IF(WEEKDAY(DI$6,1)=1,0,MAX(0,DI57-10)*DI56))+((IF(DI56&lt;=0,0,IF(WEEKDAY(DI$6,1)=1,0,MIN(10,DI57)*DI56)))-MIN(IF(DI56&lt;=0,0,IF(WEEKDAY(DI$6,1)=1,0,MIN(10,DI57)*DI56)),MAX(0,40*MAX(1,DI56)-(DE58+DF58+DG58+DH58)))))</f>
        <v>13</v>
      </c>
      <c r="DJ59" s="64">
        <f>IF(AND(DJ56=1,DJ57=13),13,IF(DJ56&lt;=0,0,IF(WEEKDAY(DJ$6,1)=1,0,MAX(0,DJ57-10)*DJ56))+((IF(DJ56&lt;=0,0,IF(WEEKDAY(DJ$6,1)=1,0,MIN(10,DJ57)*DJ56)))-MIN(IF(DJ56&lt;=0,0,IF(WEEKDAY(DJ$6,1)=1,0,MIN(10,DJ57)*DJ56)),MAX(0,40*MAX(1,DJ56)-(DE58+DF58+DG58+DH58+DI58)))))</f>
        <v>13</v>
      </c>
      <c r="DK59" s="64">
        <f>IF(AND(DK56=0,DK57=0),0,IF(DK56&lt;=0,0,IF(WEEKDAY(DK$6,1)=1,0,MAX(0,DK57-10)*DK56))+((IF(DK56&lt;=0,0,IF(WEEKDAY(DK$6,1)=1,0,MIN(10,DK57)*DK56)))-MIN(IF(DK56&lt;=0,0,IF(WEEKDAY(DK$6,1)=1,0,MIN(10,DK57)*DK56)),MAX(0,40*MAX(1,DK56)-(0)))))</f>
        <v>0</v>
      </c>
      <c r="DL59" s="63">
        <f>IF(AND(DL56=1,DL57=13),3,IF(DL56&lt;=0,0,IF(WEEKDAY(DL$6,1)=1,0,MAX(0,DL57-10)*DL56))+((IF(DL56&lt;=0,0,IF(WEEKDAY(DL$6,1)=1,0,MIN(10,DL57)*DL56)))-MIN(IF(DL56&lt;=0,0,IF(WEEKDAY(DL$6,1)=1,0,MIN(10,DL57)*DL56)),MAX(0,40*MAX(1,DL56)-(0)))))</f>
        <v>3</v>
      </c>
      <c r="DM59" s="63">
        <f>IF(AND(DM56=1,DM57=13),3,IF(DM56&lt;=0,0,IF(WEEKDAY(DM$6,1)=1,0,MAX(0,DM57-10)*DM56))+((IF(DM56&lt;=0,0,IF(WEEKDAY(DM$6,1)=1,0,MIN(10,DM57)*DM56)))-MIN(IF(DM56&lt;=0,0,IF(WEEKDAY(DM$6,1)=1,0,MIN(10,DM57)*DM56)),MAX(0,40*MAX(1,DM56)-(DL58)))))</f>
        <v>3</v>
      </c>
      <c r="DN59" s="63">
        <f>IF(AND(DN56=1,DN57=13),3,IF(DN56&lt;=0,0,IF(WEEKDAY(DN$6,1)=1,0,MAX(0,DN57-10)*DN56))+((IF(DN56&lt;=0,0,IF(WEEKDAY(DN$6,1)=1,0,MIN(10,DN57)*DN56)))-MIN(IF(DN56&lt;=0,0,IF(WEEKDAY(DN$6,1)=1,0,MIN(10,DN57)*DN56)),MAX(0,40*MAX(1,DN56)-(DL58+DM58)))))</f>
        <v>3</v>
      </c>
      <c r="DO59" s="63">
        <f>IF(AND(DO56=1,DO57=13),3,IF(DO56&lt;=0,0,IF(WEEKDAY(DO$6,1)=1,0,MAX(0,DO57-10)*DO56))+((IF(DO56&lt;=0,0,IF(WEEKDAY(DO$6,1)=1,0,MIN(10,DO57)*DO56)))-MIN(IF(DO56&lt;=0,0,IF(WEEKDAY(DO$6,1)=1,0,MIN(10,DO57)*DO56)),MAX(0,40*MAX(1,DO56)-(DL58+DM58+DN58)))))</f>
        <v>3</v>
      </c>
      <c r="DP59" s="63">
        <f>IF(AND(DP56=1,DP57=13),13,IF(DP56&lt;=0,0,IF(WEEKDAY(DP$6,1)=1,0,MAX(0,DP57-10)*DP56))+((IF(DP56&lt;=0,0,IF(WEEKDAY(DP$6,1)=1,0,MIN(10,DP57)*DP56)))-MIN(IF(DP56&lt;=0,0,IF(WEEKDAY(DP$6,1)=1,0,MIN(10,DP57)*DP56)),MAX(0,40*MAX(1,DP56)-(DL58+DM58+DN58+DO58)))))</f>
        <v>13</v>
      </c>
      <c r="DQ59" s="64">
        <f>IF(AND(DQ56=1,DQ57=13),13,IF(DQ56&lt;=0,0,IF(WEEKDAY(DQ$6,1)=1,0,MAX(0,DQ57-10)*DQ56))+((IF(DQ56&lt;=0,0,IF(WEEKDAY(DQ$6,1)=1,0,MIN(10,DQ57)*DQ56)))-MIN(IF(DQ56&lt;=0,0,IF(WEEKDAY(DQ$6,1)=1,0,MIN(10,DQ57)*DQ56)),MAX(0,40*MAX(1,DQ56)-(DL58+DM58+DN58+DO58+DP58)))))</f>
        <v>13</v>
      </c>
      <c r="DR59" s="64">
        <f>IF(AND(DR56=1,DR57=13),0,IF(DR56&lt;=0,0,IF(WEEKDAY(DR$6,1)=1,0,MAX(0,DR57-10)*DR56))+((IF(DR56&lt;=0,0,IF(WEEKDAY(DR$6,1)=1,0,MIN(10,DR57)*DR56)))-MIN(IF(DR56&lt;=0,0,IF(WEEKDAY(DR$6,1)=1,0,MIN(10,DR57)*DR56)),MAX(0,40*MAX(1,DR56)-(DL58+DM58+DN58+DO58+DP58+DQ58)))))</f>
        <v>0</v>
      </c>
      <c r="DS59" s="63">
        <f>IF(AND(DS56=1,DS57=13),3,IF(DS56&lt;=0,0,IF(WEEKDAY(DS$6,1)=1,0,MAX(0,DS57-10)*DS56))+((IF(DS56&lt;=0,0,IF(WEEKDAY(DS$6,1)=1,0,MIN(10,DS57)*DS56)))-MIN(IF(DS56&lt;=0,0,IF(WEEKDAY(DS$6,1)=1,0,MIN(10,DS57)*DS56)),MAX(0,40*MAX(1,DS56)-(0)))))</f>
        <v>3</v>
      </c>
      <c r="DT59" s="63">
        <f>IF(AND(DT56=1,DT57=9),1,IF(DT56&lt;=0,0,IF(WEEKDAY(DT$6,1)=1,0,MAX(0,DT57-8)*DT56))+((IF(DT56&lt;=0,0,IF(WEEKDAY(DT$6,1)=1,0,MIN(8,DT57)*DT56)))-MIN(IF(DT56&lt;=0,0,IF(WEEKDAY(DT$6,1)=1,0,MIN(8,DT57)*DT56)),MAX(0,40*MAX(1,DT56)-(0)))))</f>
        <v>1</v>
      </c>
      <c r="DU59" s="63">
        <f>IF(AND(DU56=1,DU57=9),1,IF(DU56&lt;=0,0,IF(WEEKDAY(DU$6,1)=1,0,MAX(0,DU57-8)*DU56))+((IF(DU56&lt;=0,0,IF(WEEKDAY(DU$6,1)=1,0,MIN(8,DU57)*DU56)))-MIN(IF(DU56&lt;=0,0,IF(WEEKDAY(DU$6,1)=1,0,MIN(8,DU57)*DU56)),MAX(0,40*MAX(1,DU56)-(DT58)))))</f>
        <v>1</v>
      </c>
      <c r="DV59" s="63">
        <f>IF(AND(DV56=1,DV57=9),1,IF(DV56&lt;=0,0,IF(WEEKDAY(DV$6,1)=1,0,MAX(0,DV57-8)*DV56))+((IF(DV56&lt;=0,0,IF(WEEKDAY(DV$6,1)=1,0,MIN(8,DV57)*DV56)))-MIN(IF(DV56&lt;=0,0,IF(WEEKDAY(DV$6,1)=1,0,MIN(8,DV57)*DV56)),MAX(0,40*MAX(1,DV56)-(DT58+DU58)))))</f>
        <v>1</v>
      </c>
      <c r="DW59" s="63">
        <f>IF(AND(DW56=1,DW57=9),1,IF(DW56&lt;=0,0,IF(WEEKDAY(DW$6,1)=1,0,MAX(0,DW57-8)*DW56))+((IF(DW56&lt;=0,0,IF(WEEKDAY(DW$6,1)=1,0,MIN(8,DW57)*DW56)))-MIN(IF(DW56&lt;=0,0,IF(WEEKDAY(DW$6,1)=1,0,MIN(8,DW57)*DW56)),MAX(0,40*MAX(1,DW56)-(DT58+DU58+DV58)))))</f>
        <v>1</v>
      </c>
      <c r="DX59" s="64">
        <f>IF(AND(DX56=0,DX57=0),0,IF(DX56&lt;=0,0,IF(WEEKDAY(DX$6,1)=1,0,MAX(0,DX57-10)*DX56))+((IF(DX56&lt;=0,0,IF(WEEKDAY(DX$6,1)=1,0,MIN(10,DX57)*DX56)))-MIN(IF(DX56&lt;=0,0,IF(WEEKDAY(DX$6,1)=1,0,MIN(10,DX57)*DX56)),MAX(0,40*MAX(1,DX56)-(0)))))</f>
        <v>0</v>
      </c>
      <c r="DY59" s="64">
        <f>IF(AND(DY56=0,DY57=0),0,IF(DY56&lt;=0,0,IF(WEEKDAY(DY$6,1)=1,0,MAX(0,DY57-10)*DY56))+((IF(DY56&lt;=0,0,IF(WEEKDAY(DY$6,1)=1,0,MIN(10,DY57)*DY56)))-MIN(IF(DY56&lt;=0,0,IF(WEEKDAY(DY$6,1)=1,0,MIN(10,DY57)*DY56)),MAX(0,40*MAX(1,DY56)-(DX58)))))</f>
        <v>0</v>
      </c>
      <c r="DZ59" s="63">
        <f>IF(AND(DZ56=1,DZ57=9),1,IF(DZ56&lt;=0,0,IF(WEEKDAY(DZ$6,1)=1,0,MAX(0,DZ57-8)*DZ56))+((IF(DZ56&lt;=0,0,IF(WEEKDAY(DZ$6,1)=1,0,MIN(8,DZ57)*DZ56)))-MIN(IF(DZ56&lt;=0,0,IF(WEEKDAY(DZ$6,1)=1,0,MIN(8,DZ57)*DZ56)),MAX(0,40*MAX(1,DZ56)-(0)))))</f>
        <v>1</v>
      </c>
      <c r="EA59" s="63">
        <f>IF(AND(EA56=1,EA57=9),1,IF(EA56&lt;=0,0,IF(WEEKDAY(EA$6,1)=1,0,MAX(0,EA57-8)*EA56))+((IF(EA56&lt;=0,0,IF(WEEKDAY(EA$6,1)=1,0,MIN(8,EA57)*EA56)))-MIN(IF(EA56&lt;=0,0,IF(WEEKDAY(EA$6,1)=1,0,MIN(8,EA57)*EA56)),MAX(0,40*MAX(1,EA56)-(DZ58)))))</f>
        <v>1</v>
      </c>
      <c r="EB59" s="63">
        <f>IF(AND(EB56=1,EB57=9),1,IF(EB56&lt;=0,0,IF(WEEKDAY(EB$6,1)=1,0,MAX(0,EB57-8)*EB56))+((IF(EB56&lt;=0,0,IF(WEEKDAY(EB$6,1)=1,0,MIN(8,EB57)*EB56)))-MIN(IF(EB56&lt;=0,0,IF(WEEKDAY(EB$6,1)=1,0,MIN(8,EB57)*EB56)),MAX(0,40*MAX(1,EB56)-(DZ58+EA58)))))</f>
        <v>1</v>
      </c>
      <c r="EC59" s="63">
        <f>IF(AND(EC56=1,EC57=9),1,IF(EC56&lt;=0,0,IF(WEEKDAY(EC$6,1)=1,0,MAX(0,EC57-8)*EC56))+((IF(EC56&lt;=0,0,IF(WEEKDAY(EC$6,1)=1,0,MIN(8,EC57)*EC56)))-MIN(IF(EC56&lt;=0,0,IF(WEEKDAY(EC$6,1)=1,0,MIN(8,EC57)*EC56)),MAX(0,40*MAX(1,EC56)-(DZ58+EA58+EB58)))))</f>
        <v>1</v>
      </c>
      <c r="ED59" s="63">
        <f>IF(AND(ED56=1,ED57=9),1,IF(ED56&lt;=0,0,IF(WEEKDAY(ED$6,1)=1,0,MAX(0,ED57-8)*ED56))+((IF(ED56&lt;=0,0,IF(WEEKDAY(ED$6,1)=1,0,MIN(8,ED57)*ED56)))-MIN(IF(ED56&lt;=0,0,IF(WEEKDAY(ED$6,1)=1,0,MIN(8,ED57)*ED56)),MAX(0,40*MAX(1,ED56)-(DZ58+EA58+EB58+EC58)))))</f>
        <v>1</v>
      </c>
      <c r="EE59" s="64">
        <f>IF(AND(EE56=0,EE57=0),0,IF(EE56&lt;=0,0,IF(WEEKDAY(EE$6,1)=1,0,MAX(0,EE57-10)*EE56))+((IF(EE56&lt;=0,0,IF(WEEKDAY(EE$6,1)=1,0,MIN(10,EE57)*EE56)))-MIN(IF(EE56&lt;=0,0,IF(WEEKDAY(EE$6,1)=1,0,MIN(10,EE57)*EE56)),MAX(0,40*MAX(1,EE56)-(0)))))</f>
        <v>0</v>
      </c>
      <c r="EF59" s="64">
        <f>IF(AND(EF56=0,EF57=0),0,IF(EF56&lt;=0,0,IF(WEEKDAY(EF$6,1)=1,0,MAX(0,EF57-10)*EF56))+((IF(EF56&lt;=0,0,IF(WEEKDAY(EF$6,1)=1,0,MIN(10,EF57)*EF56)))-MIN(IF(EF56&lt;=0,0,IF(WEEKDAY(EF$6,1)=1,0,MIN(10,EF57)*EF56)),MAX(0,40*MAX(1,EF56)-(EE58)))))</f>
        <v>0</v>
      </c>
      <c r="EG59" s="63">
        <f>IF(AND(EG56=1,EG57=9),1,IF(EG56&lt;=0,0,IF(WEEKDAY(EG$6,1)=1,0,MAX(0,EG57-8)*EG56))+((IF(EG56&lt;=0,0,IF(WEEKDAY(EG$6,1)=1,0,MIN(8,EG57)*EG56)))-MIN(IF(EG56&lt;=0,0,IF(WEEKDAY(EG$6,1)=1,0,MIN(8,EG57)*EG56)),MAX(0,40*MAX(1,EG56)-(0)))))</f>
        <v>1</v>
      </c>
      <c r="EH59" s="63">
        <f>IF(AND(EH56=1,EH57=9),1,IF(EH56&lt;=0,0,IF(WEEKDAY(EH$6,1)=1,0,MAX(0,EH57-8)*EH56))+((IF(EH56&lt;=0,0,IF(WEEKDAY(EH$6,1)=1,0,MIN(8,EH57)*EH56)))-MIN(IF(EH56&lt;=0,0,IF(WEEKDAY(EH$6,1)=1,0,MIN(8,EH57)*EH56)),MAX(0,40*MAX(1,EH56)-(EG58)))))</f>
        <v>1</v>
      </c>
      <c r="EI59" s="63">
        <f>IF(AND(EI56=1,EI57=9),1,IF(EI56&lt;=0,0,IF(WEEKDAY(EI$6,1)=1,0,MAX(0,EI57-8)*EI56))+((IF(EI56&lt;=0,0,IF(WEEKDAY(EI$6,1)=1,0,MIN(8,EI57)*EI56)))-MIN(IF(EI56&lt;=0,0,IF(WEEKDAY(EI$6,1)=1,0,MIN(8,EI57)*EI56)),MAX(0,40*MAX(1,EI56)-(EG58+EH58)))))</f>
        <v>1</v>
      </c>
      <c r="EJ59" s="63">
        <f>IF(AND(EJ56=1,EJ57=9),1,IF(EJ56&lt;=0,0,IF(WEEKDAY(EJ$6,1)=1,0,MAX(0,EJ57-8)*EJ56))+((IF(EJ56&lt;=0,0,IF(WEEKDAY(EJ$6,1)=1,0,MIN(8,EJ57)*EJ56)))-MIN(IF(EJ56&lt;=0,0,IF(WEEKDAY(EJ$6,1)=1,0,MIN(8,EJ57)*EJ56)),MAX(0,40*MAX(1,EJ56)-(EG58+EH58+EI58)))))</f>
        <v>1</v>
      </c>
      <c r="EK59" s="65">
        <f>IF(AND(EK56=1,EK57=9),1,IF(EK56&lt;=0,0,IF(WEEKDAY(EK$6,1)=1,0,MAX(0,EK57-8)*EK56))+((IF(EK56&lt;=0,0,IF(WEEKDAY(EK$6,1)=1,0,MIN(8,EK57)*EK56)))-MIN(IF(EK56&lt;=0,0,IF(WEEKDAY(EK$6,1)=1,0,MIN(8,EK57)*EK56)),MAX(0,40*MAX(1,EK56)-(EG58+EH58+EI58+EJ58)))))</f>
        <v>1</v>
      </c>
      <c r="OU59" s="28" t="s">
        <v>76</v>
      </c>
    </row>
    <row r="60" ht="16" customHeight="1" spans="1:411" x14ac:dyDescent="0.25">
      <c r="A60" s="45"/>
      <c r="B60" s="46"/>
      <c r="C60" s="61">
        <f>H55*N(D60)</f>
        <v>13505.7</v>
      </c>
      <c r="D60" s="61">
        <f>IF(TRIM(B55)="","No rate",IFERROR(INDEX('Rate Tables'!E$7:E$158,MATCH(B55,'Rate Tables'!A$7:A$158,0)),"No rate"))</f>
        <v>173.15</v>
      </c>
      <c r="E60" s="55" t="s">
        <v>64</v>
      </c>
      <c r="F60" s="49"/>
      <c r="G60" s="49"/>
      <c r="H60" s="49"/>
      <c r="I60" s="49"/>
      <c r="J60" s="50"/>
      <c r="K60" s="62">
        <f>IF(AND(K56=1,K57=9),0,IF(K56&lt;=0,0,IF(WEEKDAY(K$6,1)=1,K56*K57,0)))</f>
        <v>0</v>
      </c>
      <c r="L60" s="63">
        <f>IF(AND(L56=1,L57=9),0,IF(L56&lt;=0,0,IF(WEEKDAY(L$6,1)=1,L56*L57,0)))</f>
        <v>0</v>
      </c>
      <c r="M60" s="63">
        <f>IF(AND(M56=1,M57=9),0,IF(M56&lt;=0,0,IF(WEEKDAY(M$6,1)=1,M56*M57,0)))</f>
        <v>0</v>
      </c>
      <c r="N60" s="63">
        <f>IF(AND(N56=1,N57=9),0,IF(N56&lt;=0,0,IF(WEEKDAY(N$6,1)=1,N56*N57,0)))</f>
        <v>0</v>
      </c>
      <c r="O60" s="63">
        <f>IF(AND(O56=1,O57=9),0,IF(O56&lt;=0,0,IF(WEEKDAY(O$6,1)=1,O56*O57,0)))</f>
        <v>0</v>
      </c>
      <c r="P60" s="64">
        <f>IF(AND(P56=0,P57=0),0,IF(P56&lt;=0,0,IF(WEEKDAY(P$6,1)=1,P56*P57,0)))</f>
        <v>0</v>
      </c>
      <c r="Q60" s="64">
        <f>IF(AND(Q56=0,Q57=0),0,IF(Q56&lt;=0,0,IF(WEEKDAY(Q$6,1)=1,Q56*Q57,0)))</f>
        <v>0</v>
      </c>
      <c r="R60" s="63">
        <f>IF(AND(R56=1,R57=9),0,IF(R56&lt;=0,0,IF(WEEKDAY(R$6,1)=1,R56*R57,0)))</f>
        <v>0</v>
      </c>
      <c r="S60" s="63">
        <f>IF(AND(S56=1,S57=9),0,IF(S56&lt;=0,0,IF(WEEKDAY(S$6,1)=1,S56*S57,0)))</f>
        <v>0</v>
      </c>
      <c r="T60" s="63">
        <f>IF(AND(T56=1,T57=9),0,IF(T56&lt;=0,0,IF(WEEKDAY(T$6,1)=1,T56*T57,0)))</f>
        <v>0</v>
      </c>
      <c r="U60" s="63">
        <f>IF(AND(U56=1,U57=9),0,IF(U56&lt;=0,0,IF(WEEKDAY(U$6,1)=1,U56*U57,0)))</f>
        <v>0</v>
      </c>
      <c r="V60" s="63">
        <f>IF(AND(V56=1,V57=9),0,IF(V56&lt;=0,0,IF(WEEKDAY(V$6,1)=1,V56*V57,0)))</f>
        <v>0</v>
      </c>
      <c r="W60" s="64">
        <f>IF(AND(W56=0,W57=0),0,IF(W56&lt;=0,0,IF(WEEKDAY(W$6,1)=1,W56*W57,0)))</f>
        <v>0</v>
      </c>
      <c r="X60" s="64">
        <f>IF(AND(X56=0,X57=0),0,IF(X56&lt;=0,0,IF(WEEKDAY(X$6,1)=1,X56*X57,0)))</f>
        <v>0</v>
      </c>
      <c r="Y60" s="63">
        <f>IF(AND(Y56=1,Y57=9),0,IF(Y56&lt;=0,0,IF(WEEKDAY(Y$6,1)=1,Y56*Y57,0)))</f>
        <v>0</v>
      </c>
      <c r="Z60" s="63">
        <f>IF(AND(Z56=1,Z57=9),0,IF(Z56&lt;=0,0,IF(WEEKDAY(Z$6,1)=1,Z56*Z57,0)))</f>
        <v>0</v>
      </c>
      <c r="AA60" s="63">
        <f>IF(AND(AA56=1,AA57=9),0,IF(AA56&lt;=0,0,IF(WEEKDAY(AA$6,1)=1,AA56*AA57,0)))</f>
        <v>0</v>
      </c>
      <c r="AB60" s="63">
        <f>IF(AND(AB56=1,AB57=9),0,IF(AB56&lt;=0,0,IF(WEEKDAY(AB$6,1)=1,AB56*AB57,0)))</f>
        <v>0</v>
      </c>
      <c r="AC60" s="63">
        <f>IF(AND(AC56=1,AC57=9),0,IF(AC56&lt;=0,0,IF(WEEKDAY(AC$6,1)=1,AC56*AC57,0)))</f>
        <v>0</v>
      </c>
      <c r="AD60" s="64">
        <f>IF(AND(AD56=0,AD57=0),0,IF(AD56&lt;=0,0,IF(WEEKDAY(AD$6,1)=1,AD56*AD57,0)))</f>
        <v>0</v>
      </c>
      <c r="AE60" s="64">
        <f>IF(AND(AE56=0,AE57=0),0,IF(AE56&lt;=0,0,IF(WEEKDAY(AE$6,1)=1,AE56*AE57,0)))</f>
        <v>0</v>
      </c>
      <c r="AF60" s="63">
        <f>IF(AND(AF56=1,AF57=9),0,IF(AF56&lt;=0,0,IF(WEEKDAY(AF$6,1)=1,AF56*AF57,0)))</f>
        <v>0</v>
      </c>
      <c r="AG60" s="63">
        <f>IF(AND(AG56=1,AG57=9),0,IF(AG56&lt;=0,0,IF(WEEKDAY(AG$6,1)=1,AG56*AG57,0)))</f>
        <v>0</v>
      </c>
      <c r="AH60" s="63">
        <f>IF(AND(AH56=1,AH57=9),0,IF(AH56&lt;=0,0,IF(WEEKDAY(AH$6,1)=1,AH56*AH57,0)))</f>
        <v>0</v>
      </c>
      <c r="AI60" s="63">
        <f>IF(AND(AI56=1,AI57=9),0,IF(AI56&lt;=0,0,IF(WEEKDAY(AI$6,1)=1,AI56*AI57,0)))</f>
        <v>0</v>
      </c>
      <c r="AJ60" s="63">
        <f>IF(AND(AJ56=1,AJ57=9),0,IF(AJ56&lt;=0,0,IF(WEEKDAY(AJ$6,1)=1,AJ56*AJ57,0)))</f>
        <v>0</v>
      </c>
      <c r="AK60" s="64">
        <f>IF(AND(AK56=0,AK57=0),0,IF(AK56&lt;=0,0,IF(WEEKDAY(AK$6,1)=1,AK56*AK57,0)))</f>
        <v>0</v>
      </c>
      <c r="AL60" s="64">
        <f>IF(AND(AL56=0,AL57=0),0,IF(AL56&lt;=0,0,IF(WEEKDAY(AL$6,1)=1,AL56*AL57,0)))</f>
        <v>0</v>
      </c>
      <c r="AM60" s="63">
        <f>IF(AND(AM56=1,AM57=9),0,IF(AM56&lt;=0,0,IF(WEEKDAY(AM$6,1)=1,AM56*AM57,0)))</f>
        <v>0</v>
      </c>
      <c r="AN60" s="63">
        <f>IF(AND(AN56=1,AN57=9),0,IF(AN56&lt;=0,0,IF(WEEKDAY(AN$6,1)=1,AN56*AN57,0)))</f>
        <v>0</v>
      </c>
      <c r="AO60" s="63">
        <f>IF(AND(AO56=1,AO57=9),0,IF(AO56&lt;=0,0,IF(WEEKDAY(AO$6,1)=1,AO56*AO57,0)))</f>
        <v>0</v>
      </c>
      <c r="AP60" s="63">
        <f>IF(AND(AP56=1,AP57=9),0,IF(AP56&lt;=0,0,IF(WEEKDAY(AP$6,1)=1,AP56*AP57,0)))</f>
        <v>0</v>
      </c>
      <c r="AQ60" s="63">
        <f>IF(AND(AQ56=1,AQ57=9),0,IF(AQ56&lt;=0,0,IF(WEEKDAY(AQ$6,1)=1,AQ56*AQ57,0)))</f>
        <v>0</v>
      </c>
      <c r="AR60" s="64">
        <f>IF(AND(AR56=0,AR57=0),0,IF(AR56&lt;=0,0,IF(WEEKDAY(AR$6,1)=1,AR56*AR57,0)))</f>
        <v>0</v>
      </c>
      <c r="AS60" s="64">
        <f>IF(AND(AS56=0,AS57=0),0,IF(AS56&lt;=0,0,IF(WEEKDAY(AS$6,1)=1,AS56*AS57,0)))</f>
        <v>0</v>
      </c>
      <c r="AT60" s="63">
        <f>IF(AND(AT56=1,AT57=9),0,IF(AT56&lt;=0,0,IF(WEEKDAY(AT$6,1)=1,AT56*AT57,0)))</f>
        <v>0</v>
      </c>
      <c r="AU60" s="63">
        <f>IF(AND(AU56=1,AU57=9),0,IF(AU56&lt;=0,0,IF(WEEKDAY(AU$6,1)=1,AU56*AU57,0)))</f>
        <v>0</v>
      </c>
      <c r="AV60" s="63">
        <f>IF(AND(AV56=1,AV57=9),0,IF(AV56&lt;=0,0,IF(WEEKDAY(AV$6,1)=1,AV56*AV57,0)))</f>
        <v>0</v>
      </c>
      <c r="AW60" s="63">
        <f>IF(AND(AW56=1,AW57=9),0,IF(AW56&lt;=0,0,IF(WEEKDAY(AW$6,1)=1,AW56*AW57,0)))</f>
        <v>0</v>
      </c>
      <c r="AX60" s="63">
        <f>IF(AND(AX56=1,AX57=9),0,IF(AX56&lt;=0,0,IF(WEEKDAY(AX$6,1)=1,AX56*AX57,0)))</f>
        <v>0</v>
      </c>
      <c r="AY60" s="64">
        <f>IF(AND(AY56=0,AY57=0),0,IF(AY56&lt;=0,0,IF(WEEKDAY(AY$6,1)=1,AY56*AY57,0)))</f>
        <v>0</v>
      </c>
      <c r="AZ60" s="64">
        <f>IF(AND(AZ56=0,AZ57=0),0,IF(AZ56&lt;=0,0,IF(WEEKDAY(AZ$6,1)=1,AZ56*AZ57,0)))</f>
        <v>0</v>
      </c>
      <c r="BA60" s="63">
        <f>IF(AND(BA56=1,BA57=9),0,IF(BA56&lt;=0,0,IF(WEEKDAY(BA$6,1)=1,BA56*BA57,0)))</f>
        <v>0</v>
      </c>
      <c r="BB60" s="63">
        <f>IF(AND(BB56=1,BB57=9),0,IF(BB56&lt;=0,0,IF(WEEKDAY(BB$6,1)=1,BB56*BB57,0)))</f>
        <v>0</v>
      </c>
      <c r="BC60" s="63">
        <f>IF(AND(BC56=1,BC57=9),0,IF(BC56&lt;=0,0,IF(WEEKDAY(BC$6,1)=1,BC56*BC57,0)))</f>
        <v>0</v>
      </c>
      <c r="BD60" s="63">
        <f>IF(AND(BD56=1,BD57=9),0,IF(BD56&lt;=0,0,IF(WEEKDAY(BD$6,1)=1,BD56*BD57,0)))</f>
        <v>0</v>
      </c>
      <c r="BE60" s="63">
        <f>IF(AND(BE56=1,BE57=9),0,IF(BE56&lt;=0,0,IF(WEEKDAY(BE$6,1)=1,BE56*BE57,0)))</f>
        <v>0</v>
      </c>
      <c r="BF60" s="64">
        <f>IF(AND(BF56=0,BF57=0),0,IF(BF56&lt;=0,0,IF(WEEKDAY(BF$6,1)=1,BF56*BF57,0)))</f>
        <v>0</v>
      </c>
      <c r="BG60" s="64">
        <f>IF(AND(BG56=0,BG57=0),0,IF(BG56&lt;=0,0,IF(WEEKDAY(BG$6,1)=1,BG56*BG57,0)))</f>
        <v>0</v>
      </c>
      <c r="BH60" s="63">
        <f>IF(AND(BH56=1,BH57=13),0,IF(BH56&lt;=0,0,IF(WEEKDAY(BH$6,1)=1,BH56*BH57,0)))</f>
        <v>0</v>
      </c>
      <c r="BI60" s="63">
        <f>IF(AND(BI56=1,BI57=13),0,IF(BI56&lt;=0,0,IF(WEEKDAY(BI$6,1)=1,BI56*BI57,0)))</f>
        <v>0</v>
      </c>
      <c r="BJ60" s="63">
        <f>IF(AND(BJ56=1,BJ57=13),0,IF(BJ56&lt;=0,0,IF(WEEKDAY(BJ$6,1)=1,BJ56*BJ57,0)))</f>
        <v>0</v>
      </c>
      <c r="BK60" s="63">
        <f>IF(AND(BK56=1,BK57=13),0,IF(BK56&lt;=0,0,IF(WEEKDAY(BK$6,1)=1,BK56*BK57,0)))</f>
        <v>0</v>
      </c>
      <c r="BL60" s="63">
        <f>IF(AND(BL56=1,BL57=13),0,IF(BL56&lt;=0,0,IF(WEEKDAY(BL$6,1)=1,BL56*BL57,0)))</f>
        <v>0</v>
      </c>
      <c r="BM60" s="64">
        <f>IF(AND(BM56=1,BM57=13),0,IF(BM56&lt;=0,0,IF(WEEKDAY(BM$6,1)=1,BM56*BM57,0)))</f>
        <v>0</v>
      </c>
      <c r="BN60" s="64">
        <f>IF(AND(BN56=1,BN57=13),13,IF(BN56&lt;=0,0,IF(WEEKDAY(BN$6,1)=1,BN56*BN57,0)))</f>
        <v>13</v>
      </c>
      <c r="BO60" s="63">
        <f>IF(AND(BO56=1,BO57=13),0,IF(BO56&lt;=0,0,IF(WEEKDAY(BO$6,1)=1,BO56*BO57,0)))</f>
        <v>0</v>
      </c>
      <c r="BP60" s="63">
        <f>IF(AND(BP56=1,BP57=13),0,IF(BP56&lt;=0,0,IF(WEEKDAY(BP$6,1)=1,BP56*BP57,0)))</f>
        <v>0</v>
      </c>
      <c r="BQ60" s="63">
        <f>IF(AND(BQ56=1,BQ57=13),0,IF(BQ56&lt;=0,0,IF(WEEKDAY(BQ$6,1)=1,BQ56*BQ57,0)))</f>
        <v>0</v>
      </c>
      <c r="BR60" s="63">
        <f>IF(AND(BR56=1,BR57=13),0,IF(BR56&lt;=0,0,IF(WEEKDAY(BR$6,1)=1,BR56*BR57,0)))</f>
        <v>0</v>
      </c>
      <c r="BS60" s="63">
        <f>IF(AND(BS56=1,BS57=13),0,IF(BS56&lt;=0,0,IF(WEEKDAY(BS$6,1)=1,BS56*BS57,0)))</f>
        <v>0</v>
      </c>
      <c r="BT60" s="64">
        <f>IF(AND(BT56=1,BT57=13),0,IF(BT56&lt;=0,0,IF(WEEKDAY(BT$6,1)=1,BT56*BT57,0)))</f>
        <v>0</v>
      </c>
      <c r="BU60" s="64">
        <f>IF(AND(BU56=1,BU57=13),13,IF(BU56&lt;=0,0,IF(WEEKDAY(BU$6,1)=1,BU56*BU57,0)))</f>
        <v>13</v>
      </c>
      <c r="BV60" s="63">
        <f>IF(AND(BV56=1,BV57=13),0,IF(BV56&lt;=0,0,IF(WEEKDAY(BV$6,1)=1,BV56*BV57,0)))</f>
        <v>0</v>
      </c>
      <c r="BW60" s="63">
        <f>IF(AND(BW56=1,BW57=13),0,IF(BW56&lt;=0,0,IF(WEEKDAY(BW$6,1)=1,BW56*BW57,0)))</f>
        <v>0</v>
      </c>
      <c r="BX60" s="63">
        <f>IF(AND(BX56=1,BX57=13),0,IF(BX56&lt;=0,0,IF(WEEKDAY(BX$6,1)=1,BX56*BX57,0)))</f>
        <v>0</v>
      </c>
      <c r="BY60" s="63">
        <f>IF(AND(BY56=1,BY57=13),0,IF(BY56&lt;=0,0,IF(WEEKDAY(BY$6,1)=1,BY56*BY57,0)))</f>
        <v>0</v>
      </c>
      <c r="BZ60" s="63">
        <f>IF(AND(BZ56=1,BZ57=13),0,IF(BZ56&lt;=0,0,IF(WEEKDAY(BZ$6,1)=1,BZ56*BZ57,0)))</f>
        <v>0</v>
      </c>
      <c r="CA60" s="64">
        <f>IF(AND(CA56=1,CA57=13),0,IF(CA56&lt;=0,0,IF(WEEKDAY(CA$6,1)=1,CA56*CA57,0)))</f>
        <v>0</v>
      </c>
      <c r="CB60" s="64">
        <f>IF(AND(CB56=0,CB57=0),0,IF(CB56&lt;=0,0,IF(WEEKDAY(CB$6,1)=1,CB56*CB57,0)))</f>
        <v>0</v>
      </c>
      <c r="CC60" s="63">
        <f>IF(AND(CC56=1,CC57=13),0,IF(CC56&lt;=0,0,IF(WEEKDAY(CC$6,1)=1,CC56*CC57,0)))</f>
        <v>0</v>
      </c>
      <c r="CD60" s="63">
        <f>IF(AND(CD56=1,CD57=13),0,IF(CD56&lt;=0,0,IF(WEEKDAY(CD$6,1)=1,CD56*CD57,0)))</f>
        <v>0</v>
      </c>
      <c r="CE60" s="63">
        <f>IF(AND(CE56=1,CE57=13),0,IF(CE56&lt;=0,0,IF(WEEKDAY(CE$6,1)=1,CE56*CE57,0)))</f>
        <v>0</v>
      </c>
      <c r="CF60" s="63">
        <f>IF(AND(CF56=1,CF57=13),0,IF(CF56&lt;=0,0,IF(WEEKDAY(CF$6,1)=1,CF56*CF57,0)))</f>
        <v>0</v>
      </c>
      <c r="CG60" s="63">
        <f>IF(AND(CG56=1,CG57=13),0,IF(CG56&lt;=0,0,IF(WEEKDAY(CG$6,1)=1,CG56*CG57,0)))</f>
        <v>0</v>
      </c>
      <c r="CH60" s="64">
        <f>IF(AND(CH56=1,CH57=13),0,IF(CH56&lt;=0,0,IF(WEEKDAY(CH$6,1)=1,CH56*CH57,0)))</f>
        <v>0</v>
      </c>
      <c r="CI60" s="64">
        <f>IF(AND(CI56=1,CI57=13),13,IF(CI56&lt;=0,0,IF(WEEKDAY(CI$6,1)=1,CI56*CI57,0)))</f>
        <v>13</v>
      </c>
      <c r="CJ60" s="63">
        <f>IF(AND(CJ56=1,CJ57=13),0,IF(CJ56&lt;=0,0,IF(WEEKDAY(CJ$6,1)=1,CJ56*CJ57,0)))</f>
        <v>0</v>
      </c>
      <c r="CK60" s="63">
        <f>IF(AND(CK56=1,CK57=13),0,IF(CK56&lt;=0,0,IF(WEEKDAY(CK$6,1)=1,CK56*CK57,0)))</f>
        <v>0</v>
      </c>
      <c r="CL60" s="63">
        <f>IF(AND(CL56=1,CL57=13),0,IF(CL56&lt;=0,0,IF(WEEKDAY(CL$6,1)=1,CL56*CL57,0)))</f>
        <v>0</v>
      </c>
      <c r="CM60" s="63">
        <f>IF(AND(CM56=1,CM57=13),0,IF(CM56&lt;=0,0,IF(WEEKDAY(CM$6,1)=1,CM56*CM57,0)))</f>
        <v>0</v>
      </c>
      <c r="CN60" s="63">
        <f>IF(AND(CN56=1,CN57=13),0,IF(CN56&lt;=0,0,IF(WEEKDAY(CN$6,1)=1,CN56*CN57,0)))</f>
        <v>0</v>
      </c>
      <c r="CO60" s="64">
        <f>IF(AND(CO56=1,CO57=13),0,IF(CO56&lt;=0,0,IF(WEEKDAY(CO$6,1)=1,CO56*CO57,0)))</f>
        <v>0</v>
      </c>
      <c r="CP60" s="64">
        <f>IF(AND(CP56=0,CP57=0),0,IF(CP56&lt;=0,0,IF(WEEKDAY(CP$6,1)=1,CP56*CP57,0)))</f>
        <v>0</v>
      </c>
      <c r="CQ60" s="63">
        <f>IF(AND(CQ56=1,CQ57=13),0,IF(CQ56&lt;=0,0,IF(WEEKDAY(CQ$6,1)=1,CQ56*CQ57,0)))</f>
        <v>0</v>
      </c>
      <c r="CR60" s="63">
        <f>IF(AND(CR56=1,CR57=13),0,IF(CR56&lt;=0,0,IF(WEEKDAY(CR$6,1)=1,CR56*CR57,0)))</f>
        <v>0</v>
      </c>
      <c r="CS60" s="63">
        <f>IF(AND(CS56=1,CS57=13),0,IF(CS56&lt;=0,0,IF(WEEKDAY(CS$6,1)=1,CS56*CS57,0)))</f>
        <v>0</v>
      </c>
      <c r="CT60" s="63">
        <f>IF(AND(CT56=1,CT57=13),0,IF(CT56&lt;=0,0,IF(WEEKDAY(CT$6,1)=1,CT56*CT57,0)))</f>
        <v>0</v>
      </c>
      <c r="CU60" s="63">
        <f>IF(AND(CU56=1,CU57=13),0,IF(CU56&lt;=0,0,IF(WEEKDAY(CU$6,1)=1,CU56*CU57,0)))</f>
        <v>0</v>
      </c>
      <c r="CV60" s="64">
        <f>IF(AND(CV56=1,CV57=13),0,IF(CV56&lt;=0,0,IF(WEEKDAY(CV$6,1)=1,CV56*CV57,0)))</f>
        <v>0</v>
      </c>
      <c r="CW60" s="64">
        <f>IF(AND(CW56=1,CW57=13),13,IF(CW56&lt;=0,0,IF(WEEKDAY(CW$6,1)=1,CW56*CW57,0)))</f>
        <v>13</v>
      </c>
      <c r="CX60" s="63">
        <f>IF(AND(CX56=1,CX57=13),0,IF(CX56&lt;=0,0,IF(WEEKDAY(CX$6,1)=1,CX56*CX57,0)))</f>
        <v>0</v>
      </c>
      <c r="CY60" s="63">
        <f>IF(AND(CY56=1,CY57=13),0,IF(CY56&lt;=0,0,IF(WEEKDAY(CY$6,1)=1,CY56*CY57,0)))</f>
        <v>0</v>
      </c>
      <c r="CZ60" s="63">
        <f>IF(AND(CZ56=1,CZ57=13),0,IF(CZ56&lt;=0,0,IF(WEEKDAY(CZ$6,1)=1,CZ56*CZ57,0)))</f>
        <v>0</v>
      </c>
      <c r="DA60" s="63">
        <f>IF(AND(DA56=1,DA57=13),0,IF(DA56&lt;=0,0,IF(WEEKDAY(DA$6,1)=1,DA56*DA57,0)))</f>
        <v>0</v>
      </c>
      <c r="DB60" s="63">
        <f>IF(AND(DB56=1,DB57=13),0,IF(DB56&lt;=0,0,IF(WEEKDAY(DB$6,1)=1,DB56*DB57,0)))</f>
        <v>0</v>
      </c>
      <c r="DC60" s="64">
        <f>IF(AND(DC56=1,DC57=13),0,IF(DC56&lt;=0,0,IF(WEEKDAY(DC$6,1)=1,DC56*DC57,0)))</f>
        <v>0</v>
      </c>
      <c r="DD60" s="64">
        <f>IF(AND(DD56=1,DD57=13),13,IF(DD56&lt;=0,0,IF(WEEKDAY(DD$6,1)=1,DD56*DD57,0)))</f>
        <v>13</v>
      </c>
      <c r="DE60" s="63">
        <f>IF(AND(DE56=1,DE57=13),0,IF(DE56&lt;=0,0,IF(WEEKDAY(DE$6,1)=1,DE56*DE57,0)))</f>
        <v>0</v>
      </c>
      <c r="DF60" s="63">
        <f>IF(AND(DF56=1,DF57=13),0,IF(DF56&lt;=0,0,IF(WEEKDAY(DF$6,1)=1,DF56*DF57,0)))</f>
        <v>0</v>
      </c>
      <c r="DG60" s="63">
        <f>IF(AND(DG56=1,DG57=13),0,IF(DG56&lt;=0,0,IF(WEEKDAY(DG$6,1)=1,DG56*DG57,0)))</f>
        <v>0</v>
      </c>
      <c r="DH60" s="63">
        <f>IF(AND(DH56=1,DH57=13),0,IF(DH56&lt;=0,0,IF(WEEKDAY(DH$6,1)=1,DH56*DH57,0)))</f>
        <v>0</v>
      </c>
      <c r="DI60" s="63">
        <f>IF(AND(DI56=1,DI57=13),0,IF(DI56&lt;=0,0,IF(WEEKDAY(DI$6,1)=1,DI56*DI57,0)))</f>
        <v>0</v>
      </c>
      <c r="DJ60" s="64">
        <f>IF(AND(DJ56=1,DJ57=13),0,IF(DJ56&lt;=0,0,IF(WEEKDAY(DJ$6,1)=1,DJ56*DJ57,0)))</f>
        <v>0</v>
      </c>
      <c r="DK60" s="64">
        <f>IF(AND(DK56=0,DK57=0),0,IF(DK56&lt;=0,0,IF(WEEKDAY(DK$6,1)=1,DK56*DK57,0)))</f>
        <v>0</v>
      </c>
      <c r="DL60" s="63">
        <f>IF(AND(DL56=1,DL57=13),0,IF(DL56&lt;=0,0,IF(WEEKDAY(DL$6,1)=1,DL56*DL57,0)))</f>
        <v>0</v>
      </c>
      <c r="DM60" s="63">
        <f>IF(AND(DM56=1,DM57=13),0,IF(DM56&lt;=0,0,IF(WEEKDAY(DM$6,1)=1,DM56*DM57,0)))</f>
        <v>0</v>
      </c>
      <c r="DN60" s="63">
        <f>IF(AND(DN56=1,DN57=13),0,IF(DN56&lt;=0,0,IF(WEEKDAY(DN$6,1)=1,DN56*DN57,0)))</f>
        <v>0</v>
      </c>
      <c r="DO60" s="63">
        <f>IF(AND(DO56=1,DO57=13),0,IF(DO56&lt;=0,0,IF(WEEKDAY(DO$6,1)=1,DO56*DO57,0)))</f>
        <v>0</v>
      </c>
      <c r="DP60" s="63">
        <f>IF(AND(DP56=1,DP57=13),0,IF(DP56&lt;=0,0,IF(WEEKDAY(DP$6,1)=1,DP56*DP57,0)))</f>
        <v>0</v>
      </c>
      <c r="DQ60" s="64">
        <f>IF(AND(DQ56=1,DQ57=13),0,IF(DQ56&lt;=0,0,IF(WEEKDAY(DQ$6,1)=1,DQ56*DQ57,0)))</f>
        <v>0</v>
      </c>
      <c r="DR60" s="64">
        <f>IF(AND(DR56=1,DR57=13),13,IF(DR56&lt;=0,0,IF(WEEKDAY(DR$6,1)=1,DR56*DR57,0)))</f>
        <v>13</v>
      </c>
      <c r="DS60" s="63">
        <f>IF(AND(DS56=1,DS57=13),0,IF(DS56&lt;=0,0,IF(WEEKDAY(DS$6,1)=1,DS56*DS57,0)))</f>
        <v>0</v>
      </c>
      <c r="DT60" s="63">
        <f>IF(AND(DT56=1,DT57=9),0,IF(DT56&lt;=0,0,IF(WEEKDAY(DT$6,1)=1,DT56*DT57,0)))</f>
        <v>0</v>
      </c>
      <c r="DU60" s="63">
        <f>IF(AND(DU56=1,DU57=9),0,IF(DU56&lt;=0,0,IF(WEEKDAY(DU$6,1)=1,DU56*DU57,0)))</f>
        <v>0</v>
      </c>
      <c r="DV60" s="63">
        <f>IF(AND(DV56=1,DV57=9),0,IF(DV56&lt;=0,0,IF(WEEKDAY(DV$6,1)=1,DV56*DV57,0)))</f>
        <v>0</v>
      </c>
      <c r="DW60" s="63">
        <f>IF(AND(DW56=1,DW57=9),0,IF(DW56&lt;=0,0,IF(WEEKDAY(DW$6,1)=1,DW56*DW57,0)))</f>
        <v>0</v>
      </c>
      <c r="DX60" s="64">
        <f>IF(AND(DX56=0,DX57=0),0,IF(DX56&lt;=0,0,IF(WEEKDAY(DX$6,1)=1,DX56*DX57,0)))</f>
        <v>0</v>
      </c>
      <c r="DY60" s="64">
        <f>IF(AND(DY56=0,DY57=0),0,IF(DY56&lt;=0,0,IF(WEEKDAY(DY$6,1)=1,DY56*DY57,0)))</f>
        <v>0</v>
      </c>
      <c r="DZ60" s="63">
        <f>IF(AND(DZ56=1,DZ57=9),0,IF(DZ56&lt;=0,0,IF(WEEKDAY(DZ$6,1)=1,DZ56*DZ57,0)))</f>
        <v>0</v>
      </c>
      <c r="EA60" s="63">
        <f>IF(AND(EA56=1,EA57=9),0,IF(EA56&lt;=0,0,IF(WEEKDAY(EA$6,1)=1,EA56*EA57,0)))</f>
        <v>0</v>
      </c>
      <c r="EB60" s="63">
        <f>IF(AND(EB56=1,EB57=9),0,IF(EB56&lt;=0,0,IF(WEEKDAY(EB$6,1)=1,EB56*EB57,0)))</f>
        <v>0</v>
      </c>
      <c r="EC60" s="63">
        <f>IF(AND(EC56=1,EC57=9),0,IF(EC56&lt;=0,0,IF(WEEKDAY(EC$6,1)=1,EC56*EC57,0)))</f>
        <v>0</v>
      </c>
      <c r="ED60" s="63">
        <f>IF(AND(ED56=1,ED57=9),0,IF(ED56&lt;=0,0,IF(WEEKDAY(ED$6,1)=1,ED56*ED57,0)))</f>
        <v>0</v>
      </c>
      <c r="EE60" s="64">
        <f>IF(AND(EE56=0,EE57=0),0,IF(EE56&lt;=0,0,IF(WEEKDAY(EE$6,1)=1,EE56*EE57,0)))</f>
        <v>0</v>
      </c>
      <c r="EF60" s="64">
        <f>IF(AND(EF56=0,EF57=0),0,IF(EF56&lt;=0,0,IF(WEEKDAY(EF$6,1)=1,EF56*EF57,0)))</f>
        <v>0</v>
      </c>
      <c r="EG60" s="63">
        <f>IF(AND(EG56=1,EG57=9),0,IF(EG56&lt;=0,0,IF(WEEKDAY(EG$6,1)=1,EG56*EG57,0)))</f>
        <v>0</v>
      </c>
      <c r="EH60" s="63">
        <f>IF(AND(EH56=1,EH57=9),0,IF(EH56&lt;=0,0,IF(WEEKDAY(EH$6,1)=1,EH56*EH57,0)))</f>
        <v>0</v>
      </c>
      <c r="EI60" s="63">
        <f>IF(AND(EI56=1,EI57=9),0,IF(EI56&lt;=0,0,IF(WEEKDAY(EI$6,1)=1,EI56*EI57,0)))</f>
        <v>0</v>
      </c>
      <c r="EJ60" s="63">
        <f>IF(AND(EJ56=1,EJ57=9),0,IF(EJ56&lt;=0,0,IF(WEEKDAY(EJ$6,1)=1,EJ56*EJ57,0)))</f>
        <v>0</v>
      </c>
      <c r="EK60" s="65">
        <f>IF(AND(EK56=1,EK57=9),0,IF(EK56&lt;=0,0,IF(WEEKDAY(EK$6,1)=1,EK56*EK57,0)))</f>
        <v>0</v>
      </c>
      <c r="OU60" s="28" t="s">
        <v>76</v>
      </c>
    </row>
    <row r="61" ht="16" customHeight="1" spans="1:411" x14ac:dyDescent="0.25">
      <c r="A61" s="45"/>
      <c r="B61" s="46"/>
      <c r="C61" s="67">
        <f>I55*D61</f>
        <v>15400</v>
      </c>
      <c r="D61" s="67">
        <v>140</v>
      </c>
      <c r="E61" s="68" t="s">
        <v>65</v>
      </c>
      <c r="F61" s="49"/>
      <c r="G61" s="49"/>
      <c r="H61" s="49"/>
      <c r="I61" s="49"/>
      <c r="J61" s="50"/>
      <c r="K61" s="69">
        <v>1</v>
      </c>
      <c r="L61" s="70">
        <v>1</v>
      </c>
      <c r="M61" s="70">
        <v>1</v>
      </c>
      <c r="N61" s="70">
        <v>1</v>
      </c>
      <c r="O61" s="70">
        <v>1</v>
      </c>
      <c r="P61" s="71">
        <v>0</v>
      </c>
      <c r="Q61" s="71">
        <v>0</v>
      </c>
      <c r="R61" s="70">
        <v>1</v>
      </c>
      <c r="S61" s="70">
        <v>1</v>
      </c>
      <c r="T61" s="70">
        <v>1</v>
      </c>
      <c r="U61" s="70">
        <v>1</v>
      </c>
      <c r="V61" s="70">
        <v>1</v>
      </c>
      <c r="W61" s="71">
        <v>0</v>
      </c>
      <c r="X61" s="71">
        <v>0</v>
      </c>
      <c r="Y61" s="70">
        <v>1</v>
      </c>
      <c r="Z61" s="70">
        <v>1</v>
      </c>
      <c r="AA61" s="70">
        <v>1</v>
      </c>
      <c r="AB61" s="70">
        <v>1</v>
      </c>
      <c r="AC61" s="70">
        <v>1</v>
      </c>
      <c r="AD61" s="71">
        <v>0</v>
      </c>
      <c r="AE61" s="71">
        <v>0</v>
      </c>
      <c r="AF61" s="70">
        <v>1</v>
      </c>
      <c r="AG61" s="70">
        <v>1</v>
      </c>
      <c r="AH61" s="70">
        <v>1</v>
      </c>
      <c r="AI61" s="70">
        <v>1</v>
      </c>
      <c r="AJ61" s="70">
        <v>1</v>
      </c>
      <c r="AK61" s="71">
        <v>0</v>
      </c>
      <c r="AL61" s="71">
        <v>0</v>
      </c>
      <c r="AM61" s="70">
        <v>1</v>
      </c>
      <c r="AN61" s="70">
        <v>1</v>
      </c>
      <c r="AO61" s="70">
        <v>1</v>
      </c>
      <c r="AP61" s="70">
        <v>1</v>
      </c>
      <c r="AQ61" s="70">
        <v>1</v>
      </c>
      <c r="AR61" s="71">
        <v>0</v>
      </c>
      <c r="AS61" s="71">
        <v>0</v>
      </c>
      <c r="AT61" s="70">
        <v>1</v>
      </c>
      <c r="AU61" s="70">
        <v>1</v>
      </c>
      <c r="AV61" s="70">
        <v>1</v>
      </c>
      <c r="AW61" s="70">
        <v>1</v>
      </c>
      <c r="AX61" s="70">
        <v>1</v>
      </c>
      <c r="AY61" s="71">
        <v>0</v>
      </c>
      <c r="AZ61" s="71">
        <v>0</v>
      </c>
      <c r="BA61" s="70">
        <v>1</v>
      </c>
      <c r="BB61" s="70">
        <v>1</v>
      </c>
      <c r="BC61" s="70">
        <v>1</v>
      </c>
      <c r="BD61" s="70">
        <v>1</v>
      </c>
      <c r="BE61" s="70">
        <v>1</v>
      </c>
      <c r="BF61" s="71">
        <v>0</v>
      </c>
      <c r="BG61" s="71">
        <v>0</v>
      </c>
      <c r="BH61" s="70">
        <v>1</v>
      </c>
      <c r="BI61" s="70">
        <v>1</v>
      </c>
      <c r="BJ61" s="70">
        <v>1</v>
      </c>
      <c r="BK61" s="70">
        <v>1</v>
      </c>
      <c r="BL61" s="70">
        <v>1</v>
      </c>
      <c r="BM61" s="71">
        <v>1</v>
      </c>
      <c r="BN61" s="71">
        <v>1</v>
      </c>
      <c r="BO61" s="70">
        <v>1</v>
      </c>
      <c r="BP61" s="70">
        <v>1</v>
      </c>
      <c r="BQ61" s="70">
        <v>1</v>
      </c>
      <c r="BR61" s="70">
        <v>1</v>
      </c>
      <c r="BS61" s="70">
        <v>1</v>
      </c>
      <c r="BT61" s="71">
        <v>1</v>
      </c>
      <c r="BU61" s="71">
        <v>1</v>
      </c>
      <c r="BV61" s="70">
        <v>1</v>
      </c>
      <c r="BW61" s="70">
        <v>1</v>
      </c>
      <c r="BX61" s="70">
        <v>1</v>
      </c>
      <c r="BY61" s="70">
        <v>1</v>
      </c>
      <c r="BZ61" s="70">
        <v>1</v>
      </c>
      <c r="CA61" s="71">
        <v>1</v>
      </c>
      <c r="CB61" s="71">
        <v>0</v>
      </c>
      <c r="CC61" s="70">
        <v>1</v>
      </c>
      <c r="CD61" s="70">
        <v>1</v>
      </c>
      <c r="CE61" s="70">
        <v>1</v>
      </c>
      <c r="CF61" s="70">
        <v>1</v>
      </c>
      <c r="CG61" s="70">
        <v>1</v>
      </c>
      <c r="CH61" s="71">
        <v>1</v>
      </c>
      <c r="CI61" s="71">
        <v>1</v>
      </c>
      <c r="CJ61" s="70">
        <v>1</v>
      </c>
      <c r="CK61" s="70">
        <v>1</v>
      </c>
      <c r="CL61" s="70">
        <v>1</v>
      </c>
      <c r="CM61" s="70">
        <v>1</v>
      </c>
      <c r="CN61" s="70">
        <v>1</v>
      </c>
      <c r="CO61" s="71">
        <v>1</v>
      </c>
      <c r="CP61" s="71">
        <v>0</v>
      </c>
      <c r="CQ61" s="70">
        <v>1</v>
      </c>
      <c r="CR61" s="70">
        <v>1</v>
      </c>
      <c r="CS61" s="70">
        <v>1</v>
      </c>
      <c r="CT61" s="70">
        <v>1</v>
      </c>
      <c r="CU61" s="70">
        <v>1</v>
      </c>
      <c r="CV61" s="71">
        <v>1</v>
      </c>
      <c r="CW61" s="71">
        <v>1</v>
      </c>
      <c r="CX61" s="70">
        <v>1</v>
      </c>
      <c r="CY61" s="70">
        <v>1</v>
      </c>
      <c r="CZ61" s="70">
        <v>1</v>
      </c>
      <c r="DA61" s="70">
        <v>1</v>
      </c>
      <c r="DB61" s="70">
        <v>1</v>
      </c>
      <c r="DC61" s="71">
        <v>1</v>
      </c>
      <c r="DD61" s="71">
        <v>1</v>
      </c>
      <c r="DE61" s="70">
        <v>1</v>
      </c>
      <c r="DF61" s="70">
        <v>1</v>
      </c>
      <c r="DG61" s="70">
        <v>1</v>
      </c>
      <c r="DH61" s="70">
        <v>1</v>
      </c>
      <c r="DI61" s="70">
        <v>1</v>
      </c>
      <c r="DJ61" s="71">
        <v>1</v>
      </c>
      <c r="DK61" s="71">
        <v>0</v>
      </c>
      <c r="DL61" s="70">
        <v>1</v>
      </c>
      <c r="DM61" s="70">
        <v>1</v>
      </c>
      <c r="DN61" s="70">
        <v>1</v>
      </c>
      <c r="DO61" s="70">
        <v>1</v>
      </c>
      <c r="DP61" s="70">
        <v>1</v>
      </c>
      <c r="DQ61" s="71">
        <v>1</v>
      </c>
      <c r="DR61" s="71">
        <v>1</v>
      </c>
      <c r="DS61" s="70">
        <v>1</v>
      </c>
      <c r="DT61" s="70">
        <v>1</v>
      </c>
      <c r="DU61" s="70">
        <v>1</v>
      </c>
      <c r="DV61" s="70">
        <v>1</v>
      </c>
      <c r="DW61" s="70">
        <v>1</v>
      </c>
      <c r="DX61" s="71">
        <v>0</v>
      </c>
      <c r="DY61" s="71">
        <v>0</v>
      </c>
      <c r="DZ61" s="70">
        <v>1</v>
      </c>
      <c r="EA61" s="70">
        <v>1</v>
      </c>
      <c r="EB61" s="70">
        <v>1</v>
      </c>
      <c r="EC61" s="70">
        <v>1</v>
      </c>
      <c r="ED61" s="70">
        <v>1</v>
      </c>
      <c r="EE61" s="71">
        <v>0</v>
      </c>
      <c r="EF61" s="71">
        <v>0</v>
      </c>
      <c r="EG61" s="70">
        <v>1</v>
      </c>
      <c r="EH61" s="70">
        <v>1</v>
      </c>
      <c r="EI61" s="70">
        <v>1</v>
      </c>
      <c r="EJ61" s="70">
        <v>1</v>
      </c>
      <c r="EK61" s="72">
        <v>1</v>
      </c>
      <c r="OU61" s="60" t="s">
        <v>76</v>
      </c>
    </row>
    <row r="62" ht="8" customHeight="1" spans="1:14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  <c r="EK62" s="73"/>
    </row>
    <row r="63" ht="16" customHeight="1" spans="1:411" x14ac:dyDescent="0.25">
      <c r="A63" s="74" t="s">
        <v>70</v>
      </c>
      <c r="B63" s="46" t="s">
        <v>75</v>
      </c>
      <c r="C63" s="47">
        <f>J63</f>
        <v>103265.37</v>
      </c>
      <c r="D63" s="48"/>
      <c r="E63" s="48"/>
      <c r="F63" s="49">
        <f>SUM(K66:EK66)</f>
        <v>446</v>
      </c>
      <c r="G63" s="49">
        <f>SUM(K67:EK67)</f>
        <v>325</v>
      </c>
      <c r="H63" s="49">
        <f>SUM(K68:EK68)</f>
        <v>78</v>
      </c>
      <c r="I63" s="49">
        <f>SUM(K69:EK69)</f>
        <v>68</v>
      </c>
      <c r="J63" s="50">
        <f>C66+C67+C68</f>
        <v>103265.37</v>
      </c>
      <c r="K63" s="51"/>
      <c r="L63" s="52"/>
      <c r="M63" s="52"/>
      <c r="N63" s="52"/>
      <c r="O63" s="52"/>
      <c r="P63" s="53"/>
      <c r="Q63" s="53"/>
      <c r="R63" s="52"/>
      <c r="S63" s="52"/>
      <c r="T63" s="52"/>
      <c r="U63" s="52"/>
      <c r="V63" s="52"/>
      <c r="W63" s="53"/>
      <c r="X63" s="53"/>
      <c r="Y63" s="52"/>
      <c r="Z63" s="52"/>
      <c r="AA63" s="52"/>
      <c r="AB63" s="52"/>
      <c r="AC63" s="52"/>
      <c r="AD63" s="53"/>
      <c r="AE63" s="53"/>
      <c r="AF63" s="52"/>
      <c r="AG63" s="52"/>
      <c r="AH63" s="52"/>
      <c r="AI63" s="52"/>
      <c r="AJ63" s="52"/>
      <c r="AK63" s="53"/>
      <c r="AL63" s="53"/>
      <c r="AM63" s="52"/>
      <c r="AN63" s="52"/>
      <c r="AO63" s="52"/>
      <c r="AP63" s="52"/>
      <c r="AQ63" s="52"/>
      <c r="AR63" s="53"/>
      <c r="AS63" s="53"/>
      <c r="AT63" s="52"/>
      <c r="AU63" s="52"/>
      <c r="AV63" s="52"/>
      <c r="AW63" s="52"/>
      <c r="AX63" s="52"/>
      <c r="AY63" s="53"/>
      <c r="AZ63" s="53"/>
      <c r="BA63" s="52"/>
      <c r="BB63" s="52"/>
      <c r="BC63" s="52"/>
      <c r="BD63" s="52"/>
      <c r="BE63" s="52"/>
      <c r="BF63" s="53"/>
      <c r="BG63" s="53"/>
      <c r="BH63" s="52"/>
      <c r="BI63" s="52"/>
      <c r="BJ63" s="52"/>
      <c r="BK63" s="52"/>
      <c r="BL63" s="52"/>
      <c r="BM63" s="53"/>
      <c r="BN63" s="53"/>
      <c r="BO63" s="52"/>
      <c r="BP63" s="52"/>
      <c r="BQ63" s="52"/>
      <c r="BR63" s="52"/>
      <c r="BS63" s="52"/>
      <c r="BT63" s="53"/>
      <c r="BU63" s="53"/>
      <c r="BV63" s="52"/>
      <c r="BW63" s="52"/>
      <c r="BX63" s="52"/>
      <c r="BY63" s="52"/>
      <c r="BZ63" s="52"/>
      <c r="CA63" s="53"/>
      <c r="CB63" s="53"/>
      <c r="CC63" s="52"/>
      <c r="CD63" s="52"/>
      <c r="CE63" s="52"/>
      <c r="CF63" s="52"/>
      <c r="CG63" s="52"/>
      <c r="CH63" s="53"/>
      <c r="CI63" s="53"/>
      <c r="CJ63" s="52"/>
      <c r="CK63" s="52"/>
      <c r="CL63" s="52"/>
      <c r="CM63" s="52"/>
      <c r="CN63" s="52"/>
      <c r="CO63" s="53"/>
      <c r="CP63" s="53"/>
      <c r="CQ63" s="52"/>
      <c r="CR63" s="52"/>
      <c r="CS63" s="52"/>
      <c r="CT63" s="52"/>
      <c r="CU63" s="52"/>
      <c r="CV63" s="53"/>
      <c r="CW63" s="53"/>
      <c r="CX63" s="52"/>
      <c r="CY63" s="52"/>
      <c r="CZ63" s="52"/>
      <c r="DA63" s="52"/>
      <c r="DB63" s="52"/>
      <c r="DC63" s="53"/>
      <c r="DD63" s="53"/>
      <c r="DE63" s="52"/>
      <c r="DF63" s="52"/>
      <c r="DG63" s="52"/>
      <c r="DH63" s="52"/>
      <c r="DI63" s="52"/>
      <c r="DJ63" s="53"/>
      <c r="DK63" s="53"/>
      <c r="DL63" s="52"/>
      <c r="DM63" s="52"/>
      <c r="DN63" s="52"/>
      <c r="DO63" s="52"/>
      <c r="DP63" s="52"/>
      <c r="DQ63" s="53"/>
      <c r="DR63" s="53"/>
      <c r="DS63" s="52"/>
      <c r="DT63" s="52"/>
      <c r="DU63" s="52"/>
      <c r="DV63" s="52"/>
      <c r="DW63" s="52"/>
      <c r="DX63" s="53"/>
      <c r="DY63" s="53"/>
      <c r="DZ63" s="52"/>
      <c r="EA63" s="52"/>
      <c r="EB63" s="52"/>
      <c r="EC63" s="52"/>
      <c r="ED63" s="52"/>
      <c r="EE63" s="53"/>
      <c r="EF63" s="53"/>
      <c r="EG63" s="52"/>
      <c r="EH63" s="52"/>
      <c r="EI63" s="52"/>
      <c r="EJ63" s="52"/>
      <c r="EK63" s="54"/>
      <c r="OU63" s="28" t="s">
        <v>77</v>
      </c>
    </row>
    <row r="64" ht="16" customHeight="1" spans="1:411" x14ac:dyDescent="0.25">
      <c r="A64" s="74"/>
      <c r="B64" s="46"/>
      <c r="C64" s="47"/>
      <c r="D64" s="48"/>
      <c r="E64" s="55" t="s">
        <v>60</v>
      </c>
      <c r="F64" s="49"/>
      <c r="G64" s="49"/>
      <c r="H64" s="49"/>
      <c r="I64" s="49"/>
      <c r="J64" s="50"/>
      <c r="K64" s="56">
        <v>0</v>
      </c>
      <c r="L64" s="57">
        <v>0</v>
      </c>
      <c r="M64" s="57">
        <v>0</v>
      </c>
      <c r="N64" s="57">
        <v>0</v>
      </c>
      <c r="O64" s="57">
        <v>0</v>
      </c>
      <c r="P64" s="58">
        <v>0</v>
      </c>
      <c r="Q64" s="58">
        <v>0</v>
      </c>
      <c r="R64" s="57">
        <v>0</v>
      </c>
      <c r="S64" s="57">
        <v>0</v>
      </c>
      <c r="T64" s="57">
        <v>0</v>
      </c>
      <c r="U64" s="57">
        <v>0</v>
      </c>
      <c r="V64" s="57">
        <v>0</v>
      </c>
      <c r="W64" s="58">
        <v>0</v>
      </c>
      <c r="X64" s="58">
        <v>0</v>
      </c>
      <c r="Y64" s="57">
        <v>0</v>
      </c>
      <c r="Z64" s="57">
        <v>0</v>
      </c>
      <c r="AA64" s="57">
        <v>0</v>
      </c>
      <c r="AB64" s="57">
        <v>0</v>
      </c>
      <c r="AC64" s="57">
        <v>0</v>
      </c>
      <c r="AD64" s="58">
        <v>0</v>
      </c>
      <c r="AE64" s="58">
        <v>0</v>
      </c>
      <c r="AF64" s="57">
        <v>0</v>
      </c>
      <c r="AG64" s="57">
        <v>0</v>
      </c>
      <c r="AH64" s="57">
        <v>0</v>
      </c>
      <c r="AI64" s="57">
        <v>0</v>
      </c>
      <c r="AJ64" s="57">
        <v>0</v>
      </c>
      <c r="AK64" s="58">
        <v>0</v>
      </c>
      <c r="AL64" s="58">
        <v>0</v>
      </c>
      <c r="AM64" s="57">
        <v>0</v>
      </c>
      <c r="AN64" s="57">
        <v>0</v>
      </c>
      <c r="AO64" s="57">
        <v>0</v>
      </c>
      <c r="AP64" s="57">
        <v>0</v>
      </c>
      <c r="AQ64" s="57">
        <v>0</v>
      </c>
      <c r="AR64" s="58">
        <v>0</v>
      </c>
      <c r="AS64" s="58">
        <v>0</v>
      </c>
      <c r="AT64" s="57">
        <v>0</v>
      </c>
      <c r="AU64" s="57">
        <v>0</v>
      </c>
      <c r="AV64" s="57">
        <v>0</v>
      </c>
      <c r="AW64" s="57">
        <v>1</v>
      </c>
      <c r="AX64" s="57">
        <v>1</v>
      </c>
      <c r="AY64" s="58">
        <v>0</v>
      </c>
      <c r="AZ64" s="58">
        <v>0</v>
      </c>
      <c r="BA64" s="57">
        <v>1</v>
      </c>
      <c r="BB64" s="57">
        <v>1</v>
      </c>
      <c r="BC64" s="57">
        <v>1</v>
      </c>
      <c r="BD64" s="57">
        <v>1</v>
      </c>
      <c r="BE64" s="57">
        <v>1</v>
      </c>
      <c r="BF64" s="58">
        <v>0</v>
      </c>
      <c r="BG64" s="58">
        <v>0</v>
      </c>
      <c r="BH64" s="57">
        <v>1</v>
      </c>
      <c r="BI64" s="57">
        <v>1</v>
      </c>
      <c r="BJ64" s="57">
        <v>1</v>
      </c>
      <c r="BK64" s="57">
        <v>1</v>
      </c>
      <c r="BL64" s="57">
        <v>1</v>
      </c>
      <c r="BM64" s="58">
        <v>1</v>
      </c>
      <c r="BN64" s="58">
        <v>1</v>
      </c>
      <c r="BO64" s="57">
        <v>1</v>
      </c>
      <c r="BP64" s="57">
        <v>1</v>
      </c>
      <c r="BQ64" s="57">
        <v>1</v>
      </c>
      <c r="BR64" s="57">
        <v>1</v>
      </c>
      <c r="BS64" s="57">
        <v>1</v>
      </c>
      <c r="BT64" s="58">
        <v>1</v>
      </c>
      <c r="BU64" s="58">
        <v>1</v>
      </c>
      <c r="BV64" s="57">
        <v>1</v>
      </c>
      <c r="BW64" s="57">
        <v>1</v>
      </c>
      <c r="BX64" s="57">
        <v>1</v>
      </c>
      <c r="BY64" s="57">
        <v>1</v>
      </c>
      <c r="BZ64" s="57">
        <v>1</v>
      </c>
      <c r="CA64" s="58">
        <v>1</v>
      </c>
      <c r="CB64" s="58">
        <v>0</v>
      </c>
      <c r="CC64" s="57">
        <v>1</v>
      </c>
      <c r="CD64" s="57">
        <v>1</v>
      </c>
      <c r="CE64" s="57">
        <v>1</v>
      </c>
      <c r="CF64" s="57">
        <v>1</v>
      </c>
      <c r="CG64" s="57">
        <v>1</v>
      </c>
      <c r="CH64" s="58">
        <v>1</v>
      </c>
      <c r="CI64" s="58">
        <v>1</v>
      </c>
      <c r="CJ64" s="57">
        <v>1</v>
      </c>
      <c r="CK64" s="57">
        <v>1</v>
      </c>
      <c r="CL64" s="57">
        <v>1</v>
      </c>
      <c r="CM64" s="57">
        <v>1</v>
      </c>
      <c r="CN64" s="57">
        <v>1</v>
      </c>
      <c r="CO64" s="58">
        <v>1</v>
      </c>
      <c r="CP64" s="58">
        <v>0</v>
      </c>
      <c r="CQ64" s="57">
        <v>1</v>
      </c>
      <c r="CR64" s="57">
        <v>1</v>
      </c>
      <c r="CS64" s="57">
        <v>1</v>
      </c>
      <c r="CT64" s="57">
        <v>1</v>
      </c>
      <c r="CU64" s="57">
        <v>1</v>
      </c>
      <c r="CV64" s="58">
        <v>1</v>
      </c>
      <c r="CW64" s="58">
        <v>1</v>
      </c>
      <c r="CX64" s="57">
        <v>1</v>
      </c>
      <c r="CY64" s="57">
        <v>1</v>
      </c>
      <c r="CZ64" s="57">
        <v>1</v>
      </c>
      <c r="DA64" s="57">
        <v>1</v>
      </c>
      <c r="DB64" s="57">
        <v>1</v>
      </c>
      <c r="DC64" s="58">
        <v>1</v>
      </c>
      <c r="DD64" s="58">
        <v>1</v>
      </c>
      <c r="DE64" s="57">
        <v>1</v>
      </c>
      <c r="DF64" s="57">
        <v>1</v>
      </c>
      <c r="DG64" s="57">
        <v>1</v>
      </c>
      <c r="DH64" s="57">
        <v>1</v>
      </c>
      <c r="DI64" s="57">
        <v>1</v>
      </c>
      <c r="DJ64" s="58">
        <v>1</v>
      </c>
      <c r="DK64" s="58">
        <v>0</v>
      </c>
      <c r="DL64" s="57">
        <v>1</v>
      </c>
      <c r="DM64" s="57">
        <v>1</v>
      </c>
      <c r="DN64" s="57">
        <v>1</v>
      </c>
      <c r="DO64" s="57">
        <v>1</v>
      </c>
      <c r="DP64" s="57">
        <v>1</v>
      </c>
      <c r="DQ64" s="58">
        <v>1</v>
      </c>
      <c r="DR64" s="58">
        <v>1</v>
      </c>
      <c r="DS64" s="57">
        <v>1</v>
      </c>
      <c r="DT64" s="57">
        <v>0</v>
      </c>
      <c r="DU64" s="57">
        <v>0</v>
      </c>
      <c r="DV64" s="57">
        <v>0</v>
      </c>
      <c r="DW64" s="57">
        <v>0</v>
      </c>
      <c r="DX64" s="58">
        <v>0</v>
      </c>
      <c r="DY64" s="58">
        <v>0</v>
      </c>
      <c r="DZ64" s="57">
        <v>0</v>
      </c>
      <c r="EA64" s="57">
        <v>0</v>
      </c>
      <c r="EB64" s="57">
        <v>0</v>
      </c>
      <c r="EC64" s="57">
        <v>0</v>
      </c>
      <c r="ED64" s="57">
        <v>0</v>
      </c>
      <c r="EE64" s="58">
        <v>0</v>
      </c>
      <c r="EF64" s="58">
        <v>0</v>
      </c>
      <c r="EG64" s="57">
        <v>0</v>
      </c>
      <c r="EH64" s="57">
        <v>0</v>
      </c>
      <c r="EI64" s="57">
        <v>0</v>
      </c>
      <c r="EJ64" s="57">
        <v>0</v>
      </c>
      <c r="EK64" s="59">
        <v>0</v>
      </c>
      <c r="OU64" s="60" t="s">
        <v>77</v>
      </c>
    </row>
    <row r="65" ht="16" customHeight="1" spans="1:411" x14ac:dyDescent="0.25">
      <c r="A65" s="74"/>
      <c r="B65" s="46"/>
      <c r="C65" s="47"/>
      <c r="D65" s="48"/>
      <c r="E65" s="55" t="s">
        <v>61</v>
      </c>
      <c r="F65" s="49"/>
      <c r="G65" s="49"/>
      <c r="H65" s="49"/>
      <c r="I65" s="49"/>
      <c r="J65" s="50"/>
      <c r="K65" s="56">
        <v>0</v>
      </c>
      <c r="L65" s="57">
        <v>0</v>
      </c>
      <c r="M65" s="57">
        <v>0</v>
      </c>
      <c r="N65" s="57">
        <v>0</v>
      </c>
      <c r="O65" s="57">
        <v>0</v>
      </c>
      <c r="P65" s="58">
        <v>0</v>
      </c>
      <c r="Q65" s="58">
        <v>0</v>
      </c>
      <c r="R65" s="57">
        <v>0</v>
      </c>
      <c r="S65" s="57">
        <v>0</v>
      </c>
      <c r="T65" s="57">
        <v>0</v>
      </c>
      <c r="U65" s="57">
        <v>0</v>
      </c>
      <c r="V65" s="57">
        <v>0</v>
      </c>
      <c r="W65" s="58">
        <v>0</v>
      </c>
      <c r="X65" s="58">
        <v>0</v>
      </c>
      <c r="Y65" s="57">
        <v>0</v>
      </c>
      <c r="Z65" s="57">
        <v>0</v>
      </c>
      <c r="AA65" s="57">
        <v>0</v>
      </c>
      <c r="AB65" s="57">
        <v>0</v>
      </c>
      <c r="AC65" s="57">
        <v>0</v>
      </c>
      <c r="AD65" s="58">
        <v>0</v>
      </c>
      <c r="AE65" s="58">
        <v>0</v>
      </c>
      <c r="AF65" s="57">
        <v>0</v>
      </c>
      <c r="AG65" s="57">
        <v>0</v>
      </c>
      <c r="AH65" s="57">
        <v>0</v>
      </c>
      <c r="AI65" s="57">
        <v>0</v>
      </c>
      <c r="AJ65" s="57">
        <v>0</v>
      </c>
      <c r="AK65" s="58">
        <v>0</v>
      </c>
      <c r="AL65" s="58">
        <v>0</v>
      </c>
      <c r="AM65" s="57">
        <v>0</v>
      </c>
      <c r="AN65" s="57">
        <v>0</v>
      </c>
      <c r="AO65" s="57">
        <v>0</v>
      </c>
      <c r="AP65" s="57">
        <v>0</v>
      </c>
      <c r="AQ65" s="57">
        <v>0</v>
      </c>
      <c r="AR65" s="58">
        <v>0</v>
      </c>
      <c r="AS65" s="58">
        <v>0</v>
      </c>
      <c r="AT65" s="57">
        <v>0</v>
      </c>
      <c r="AU65" s="57">
        <v>0</v>
      </c>
      <c r="AV65" s="57">
        <v>0</v>
      </c>
      <c r="AW65" s="57">
        <v>8</v>
      </c>
      <c r="AX65" s="57">
        <v>8</v>
      </c>
      <c r="AY65" s="58">
        <v>0</v>
      </c>
      <c r="AZ65" s="58">
        <v>0</v>
      </c>
      <c r="BA65" s="57">
        <v>8</v>
      </c>
      <c r="BB65" s="57">
        <v>8</v>
      </c>
      <c r="BC65" s="57">
        <v>8</v>
      </c>
      <c r="BD65" s="57">
        <v>8</v>
      </c>
      <c r="BE65" s="57">
        <v>8</v>
      </c>
      <c r="BF65" s="58">
        <v>0</v>
      </c>
      <c r="BG65" s="58">
        <v>0</v>
      </c>
      <c r="BH65" s="57">
        <v>13</v>
      </c>
      <c r="BI65" s="57">
        <v>13</v>
      </c>
      <c r="BJ65" s="57">
        <v>13</v>
      </c>
      <c r="BK65" s="57">
        <v>13</v>
      </c>
      <c r="BL65" s="57">
        <v>13</v>
      </c>
      <c r="BM65" s="58">
        <v>13</v>
      </c>
      <c r="BN65" s="58">
        <v>13</v>
      </c>
      <c r="BO65" s="57">
        <v>13</v>
      </c>
      <c r="BP65" s="57">
        <v>13</v>
      </c>
      <c r="BQ65" s="57">
        <v>13</v>
      </c>
      <c r="BR65" s="57">
        <v>13</v>
      </c>
      <c r="BS65" s="57">
        <v>13</v>
      </c>
      <c r="BT65" s="58">
        <v>13</v>
      </c>
      <c r="BU65" s="58">
        <v>13</v>
      </c>
      <c r="BV65" s="57">
        <v>13</v>
      </c>
      <c r="BW65" s="57">
        <v>13</v>
      </c>
      <c r="BX65" s="57">
        <v>13</v>
      </c>
      <c r="BY65" s="57">
        <v>13</v>
      </c>
      <c r="BZ65" s="57">
        <v>13</v>
      </c>
      <c r="CA65" s="58">
        <v>13</v>
      </c>
      <c r="CB65" s="58">
        <v>0</v>
      </c>
      <c r="CC65" s="57">
        <v>13</v>
      </c>
      <c r="CD65" s="57">
        <v>13</v>
      </c>
      <c r="CE65" s="57">
        <v>13</v>
      </c>
      <c r="CF65" s="57">
        <v>13</v>
      </c>
      <c r="CG65" s="57">
        <v>13</v>
      </c>
      <c r="CH65" s="58">
        <v>13</v>
      </c>
      <c r="CI65" s="58">
        <v>13</v>
      </c>
      <c r="CJ65" s="57">
        <v>13</v>
      </c>
      <c r="CK65" s="57">
        <v>13</v>
      </c>
      <c r="CL65" s="57">
        <v>13</v>
      </c>
      <c r="CM65" s="57">
        <v>13</v>
      </c>
      <c r="CN65" s="57">
        <v>13</v>
      </c>
      <c r="CO65" s="58">
        <v>13</v>
      </c>
      <c r="CP65" s="58">
        <v>0</v>
      </c>
      <c r="CQ65" s="57">
        <v>13</v>
      </c>
      <c r="CR65" s="57">
        <v>13</v>
      </c>
      <c r="CS65" s="57">
        <v>13</v>
      </c>
      <c r="CT65" s="57">
        <v>13</v>
      </c>
      <c r="CU65" s="57">
        <v>13</v>
      </c>
      <c r="CV65" s="58">
        <v>13</v>
      </c>
      <c r="CW65" s="58">
        <v>13</v>
      </c>
      <c r="CX65" s="57">
        <v>13</v>
      </c>
      <c r="CY65" s="57">
        <v>13</v>
      </c>
      <c r="CZ65" s="57">
        <v>13</v>
      </c>
      <c r="DA65" s="57">
        <v>13</v>
      </c>
      <c r="DB65" s="57">
        <v>13</v>
      </c>
      <c r="DC65" s="58">
        <v>13</v>
      </c>
      <c r="DD65" s="58">
        <v>13</v>
      </c>
      <c r="DE65" s="57">
        <v>13</v>
      </c>
      <c r="DF65" s="57">
        <v>13</v>
      </c>
      <c r="DG65" s="57">
        <v>13</v>
      </c>
      <c r="DH65" s="57">
        <v>13</v>
      </c>
      <c r="DI65" s="57">
        <v>13</v>
      </c>
      <c r="DJ65" s="58">
        <v>13</v>
      </c>
      <c r="DK65" s="58">
        <v>0</v>
      </c>
      <c r="DL65" s="57">
        <v>13</v>
      </c>
      <c r="DM65" s="57">
        <v>13</v>
      </c>
      <c r="DN65" s="57">
        <v>13</v>
      </c>
      <c r="DO65" s="57">
        <v>13</v>
      </c>
      <c r="DP65" s="57">
        <v>13</v>
      </c>
      <c r="DQ65" s="58">
        <v>13</v>
      </c>
      <c r="DR65" s="58">
        <v>13</v>
      </c>
      <c r="DS65" s="57">
        <v>13</v>
      </c>
      <c r="DT65" s="57">
        <v>0</v>
      </c>
      <c r="DU65" s="57">
        <v>0</v>
      </c>
      <c r="DV65" s="57">
        <v>0</v>
      </c>
      <c r="DW65" s="57">
        <v>0</v>
      </c>
      <c r="DX65" s="58">
        <v>0</v>
      </c>
      <c r="DY65" s="58">
        <v>0</v>
      </c>
      <c r="DZ65" s="57">
        <v>0</v>
      </c>
      <c r="EA65" s="57">
        <v>0</v>
      </c>
      <c r="EB65" s="57">
        <v>0</v>
      </c>
      <c r="EC65" s="57">
        <v>0</v>
      </c>
      <c r="ED65" s="57">
        <v>0</v>
      </c>
      <c r="EE65" s="58">
        <v>0</v>
      </c>
      <c r="EF65" s="58">
        <v>0</v>
      </c>
      <c r="EG65" s="57">
        <v>0</v>
      </c>
      <c r="EH65" s="57">
        <v>0</v>
      </c>
      <c r="EI65" s="57">
        <v>0</v>
      </c>
      <c r="EJ65" s="57">
        <v>0</v>
      </c>
      <c r="EK65" s="59">
        <v>0</v>
      </c>
      <c r="OU65" s="60" t="s">
        <v>77</v>
      </c>
    </row>
    <row r="66" ht="16" customHeight="1" spans="1:411" x14ac:dyDescent="0.25">
      <c r="A66" s="74"/>
      <c r="B66" s="46"/>
      <c r="C66" s="61">
        <f>F63*N(D66)</f>
        <v>45166.42</v>
      </c>
      <c r="D66" s="61">
        <f>IF(TRIM(B63)="","No rate",IFERROR(INDEX('Rate Tables'!C$7:C$158,MATCH(B63,'Rate Tables'!A$7:A$158,0)),"No rate"))</f>
        <v>101.27</v>
      </c>
      <c r="E66" s="55" t="s">
        <v>62</v>
      </c>
      <c r="F66" s="49"/>
      <c r="G66" s="49"/>
      <c r="H66" s="49"/>
      <c r="I66" s="49"/>
      <c r="J66" s="50"/>
      <c r="K66" s="62">
        <f>IF(AND(K64=0,K65=0),0,MIN(IF(K64&lt;=0,0,IF(WEEKDAY(K$6,1)=1,0,MIN(10,K65)*K64)),MAX(0,40*MAX(1,K64)-(0))))</f>
        <v>0</v>
      </c>
      <c r="L66" s="63">
        <f>IF(AND(L64=0,L65=0),0,MIN(IF(L64&lt;=0,0,IF(WEEKDAY(L$6,1)=1,0,MIN(10,L65)*L64)),MAX(0,40*MAX(1,L64)-(K66))))</f>
        <v>0</v>
      </c>
      <c r="M66" s="63">
        <f>IF(AND(M64=0,M65=0),0,MIN(IF(M64&lt;=0,0,IF(WEEKDAY(M$6,1)=1,0,MIN(10,M65)*M64)),MAX(0,40*MAX(1,M64)-(K66+L66))))</f>
        <v>0</v>
      </c>
      <c r="N66" s="63">
        <f>IF(AND(N64=0,N65=0),0,MIN(IF(N64&lt;=0,0,IF(WEEKDAY(N$6,1)=1,0,MIN(10,N65)*N64)),MAX(0,40*MAX(1,N64)-(K66+L66+M66))))</f>
        <v>0</v>
      </c>
      <c r="O66" s="63">
        <f>IF(AND(O64=0,O65=0),0,MIN(IF(O64&lt;=0,0,IF(WEEKDAY(O$6,1)=1,0,MIN(10,O65)*O64)),MAX(0,40*MAX(1,O64)-(K66+L66+M66+N66))))</f>
        <v>0</v>
      </c>
      <c r="P66" s="64">
        <f>IF(AND(P64=0,P65=0),0,MIN(IF(P64&lt;=0,0,IF(WEEKDAY(P$6,1)=1,0,MIN(10,P65)*P64)),MAX(0,40*MAX(1,P64)-(K66+L66+M66+N66+O66))))</f>
        <v>0</v>
      </c>
      <c r="Q66" s="64">
        <f>IF(AND(Q64=0,Q65=0),0,MIN(IF(Q64&lt;=0,0,IF(WEEKDAY(Q$6,1)=1,0,MIN(10,Q65)*Q64)),MAX(0,40*MAX(1,Q64)-(K66+L66+M66+N66+O66+P66))))</f>
        <v>0</v>
      </c>
      <c r="R66" s="63">
        <f>IF(AND(R64=0,R65=0),0,MIN(IF(R64&lt;=0,0,IF(WEEKDAY(R$6,1)=1,0,MIN(10,R65)*R64)),MAX(0,40*MAX(1,R64)-(0))))</f>
        <v>0</v>
      </c>
      <c r="S66" s="63">
        <f>IF(AND(S64=0,S65=0),0,MIN(IF(S64&lt;=0,0,IF(WEEKDAY(S$6,1)=1,0,MIN(10,S65)*S64)),MAX(0,40*MAX(1,S64)-(R66))))</f>
        <v>0</v>
      </c>
      <c r="T66" s="63">
        <f>IF(AND(T64=0,T65=0),0,MIN(IF(T64&lt;=0,0,IF(WEEKDAY(T$6,1)=1,0,MIN(10,T65)*T64)),MAX(0,40*MAX(1,T64)-(R66+S66))))</f>
        <v>0</v>
      </c>
      <c r="U66" s="63">
        <f>IF(AND(U64=0,U65=0),0,MIN(IF(U64&lt;=0,0,IF(WEEKDAY(U$6,1)=1,0,MIN(10,U65)*U64)),MAX(0,40*MAX(1,U64)-(R66+S66+T66))))</f>
        <v>0</v>
      </c>
      <c r="V66" s="63">
        <f>IF(AND(V64=0,V65=0),0,MIN(IF(V64&lt;=0,0,IF(WEEKDAY(V$6,1)=1,0,MIN(10,V65)*V64)),MAX(0,40*MAX(1,V64)-(R66+S66+T66+U66))))</f>
        <v>0</v>
      </c>
      <c r="W66" s="64">
        <f>IF(AND(W64=0,W65=0),0,MIN(IF(W64&lt;=0,0,IF(WEEKDAY(W$6,1)=1,0,MIN(10,W65)*W64)),MAX(0,40*MAX(1,W64)-(R66+S66+T66+U66+V66))))</f>
        <v>0</v>
      </c>
      <c r="X66" s="64">
        <f>IF(AND(X64=0,X65=0),0,MIN(IF(X64&lt;=0,0,IF(WEEKDAY(X$6,1)=1,0,MIN(10,X65)*X64)),MAX(0,40*MAX(1,X64)-(R66+S66+T66+U66+V66+W66))))</f>
        <v>0</v>
      </c>
      <c r="Y66" s="63">
        <f>IF(AND(Y64=0,Y65=0),0,MIN(IF(Y64&lt;=0,0,IF(WEEKDAY(Y$6,1)=1,0,MIN(10,Y65)*Y64)),MAX(0,40*MAX(1,Y64)-(0))))</f>
        <v>0</v>
      </c>
      <c r="Z66" s="63">
        <f>IF(AND(Z64=0,Z65=0),0,MIN(IF(Z64&lt;=0,0,IF(WEEKDAY(Z$6,1)=1,0,MIN(10,Z65)*Z64)),MAX(0,40*MAX(1,Z64)-(Y66))))</f>
        <v>0</v>
      </c>
      <c r="AA66" s="63">
        <f>IF(AND(AA64=0,AA65=0),0,MIN(IF(AA64&lt;=0,0,IF(WEEKDAY(AA$6,1)=1,0,MIN(10,AA65)*AA64)),MAX(0,40*MAX(1,AA64)-(Y66+Z66))))</f>
        <v>0</v>
      </c>
      <c r="AB66" s="63">
        <f>IF(AND(AB64=0,AB65=0),0,MIN(IF(AB64&lt;=0,0,IF(WEEKDAY(AB$6,1)=1,0,MIN(10,AB65)*AB64)),MAX(0,40*MAX(1,AB64)-(Y66+Z66+AA66))))</f>
        <v>0</v>
      </c>
      <c r="AC66" s="63">
        <f>IF(AND(AC64=0,AC65=0),0,MIN(IF(AC64&lt;=0,0,IF(WEEKDAY(AC$6,1)=1,0,MIN(10,AC65)*AC64)),MAX(0,40*MAX(1,AC64)-(Y66+Z66+AA66+AB66))))</f>
        <v>0</v>
      </c>
      <c r="AD66" s="64">
        <f>IF(AND(AD64=0,AD65=0),0,MIN(IF(AD64&lt;=0,0,IF(WEEKDAY(AD$6,1)=1,0,MIN(10,AD65)*AD64)),MAX(0,40*MAX(1,AD64)-(Y66+Z66+AA66+AB66+AC66))))</f>
        <v>0</v>
      </c>
      <c r="AE66" s="64">
        <f>IF(AND(AE64=0,AE65=0),0,MIN(IF(AE64&lt;=0,0,IF(WEEKDAY(AE$6,1)=1,0,MIN(10,AE65)*AE64)),MAX(0,40*MAX(1,AE64)-(Y66+Z66+AA66+AB66+AC66+AD66))))</f>
        <v>0</v>
      </c>
      <c r="AF66" s="63">
        <f>IF(AND(AF64=0,AF65=0),0,MIN(IF(AF64&lt;=0,0,IF(WEEKDAY(AF$6,1)=1,0,MIN(10,AF65)*AF64)),MAX(0,40*MAX(1,AF64)-(0))))</f>
        <v>0</v>
      </c>
      <c r="AG66" s="63">
        <f>IF(AND(AG64=0,AG65=0),0,MIN(IF(AG64&lt;=0,0,IF(WEEKDAY(AG$6,1)=1,0,MIN(10,AG65)*AG64)),MAX(0,40*MAX(1,AG64)-(AF66))))</f>
        <v>0</v>
      </c>
      <c r="AH66" s="63">
        <f>IF(AND(AH64=0,AH65=0),0,MIN(IF(AH64&lt;=0,0,IF(WEEKDAY(AH$6,1)=1,0,MIN(10,AH65)*AH64)),MAX(0,40*MAX(1,AH64)-(AF66+AG66))))</f>
        <v>0</v>
      </c>
      <c r="AI66" s="63">
        <f>IF(AND(AI64=0,AI65=0),0,MIN(IF(AI64&lt;=0,0,IF(WEEKDAY(AI$6,1)=1,0,MIN(10,AI65)*AI64)),MAX(0,40*MAX(1,AI64)-(AF66+AG66+AH66))))</f>
        <v>0</v>
      </c>
      <c r="AJ66" s="63">
        <f>IF(AND(AJ64=0,AJ65=0),0,MIN(IF(AJ64&lt;=0,0,IF(WEEKDAY(AJ$6,1)=1,0,MIN(10,AJ65)*AJ64)),MAX(0,40*MAX(1,AJ64)-(AF66+AG66+AH66+AI66))))</f>
        <v>0</v>
      </c>
      <c r="AK66" s="64">
        <f>IF(AND(AK64=0,AK65=0),0,MIN(IF(AK64&lt;=0,0,IF(WEEKDAY(AK$6,1)=1,0,MIN(10,AK65)*AK64)),MAX(0,40*MAX(1,AK64)-(AF66+AG66+AH66+AI66+AJ66))))</f>
        <v>0</v>
      </c>
      <c r="AL66" s="64">
        <f>IF(AND(AL64=0,AL65=0),0,MIN(IF(AL64&lt;=0,0,IF(WEEKDAY(AL$6,1)=1,0,MIN(10,AL65)*AL64)),MAX(0,40*MAX(1,AL64)-(AF66+AG66+AH66+AI66+AJ66+AK66))))</f>
        <v>0</v>
      </c>
      <c r="AM66" s="63">
        <f>IF(AND(AM64=0,AM65=0),0,MIN(IF(AM64&lt;=0,0,IF(WEEKDAY(AM$6,1)=1,0,MIN(10,AM65)*AM64)),MAX(0,40*MAX(1,AM64)-(0))))</f>
        <v>0</v>
      </c>
      <c r="AN66" s="63">
        <f>IF(AND(AN64=0,AN65=0),0,MIN(IF(AN64&lt;=0,0,IF(WEEKDAY(AN$6,1)=1,0,MIN(10,AN65)*AN64)),MAX(0,40*MAX(1,AN64)-(AM66))))</f>
        <v>0</v>
      </c>
      <c r="AO66" s="63">
        <f>IF(AND(AO64=0,AO65=0),0,MIN(IF(AO64&lt;=0,0,IF(WEEKDAY(AO$6,1)=1,0,MIN(10,AO65)*AO64)),MAX(0,40*MAX(1,AO64)-(AM66+AN66))))</f>
        <v>0</v>
      </c>
      <c r="AP66" s="63">
        <f>IF(AND(AP64=0,AP65=0),0,MIN(IF(AP64&lt;=0,0,IF(WEEKDAY(AP$6,1)=1,0,MIN(10,AP65)*AP64)),MAX(0,40*MAX(1,AP64)-(AM66+AN66+AO66))))</f>
        <v>0</v>
      </c>
      <c r="AQ66" s="63">
        <f>IF(AND(AQ64=0,AQ65=0),0,MIN(IF(AQ64&lt;=0,0,IF(WEEKDAY(AQ$6,1)=1,0,MIN(10,AQ65)*AQ64)),MAX(0,40*MAX(1,AQ64)-(AM66+AN66+AO66+AP66))))</f>
        <v>0</v>
      </c>
      <c r="AR66" s="64">
        <f>IF(AND(AR64=0,AR65=0),0,MIN(IF(AR64&lt;=0,0,IF(WEEKDAY(AR$6,1)=1,0,MIN(10,AR65)*AR64)),MAX(0,40*MAX(1,AR64)-(AM66+AN66+AO66+AP66+AQ66))))</f>
        <v>0</v>
      </c>
      <c r="AS66" s="64">
        <f>IF(AND(AS64=0,AS65=0),0,MIN(IF(AS64&lt;=0,0,IF(WEEKDAY(AS$6,1)=1,0,MIN(10,AS65)*AS64)),MAX(0,40*MAX(1,AS64)-(AM66+AN66+AO66+AP66+AQ66+AR66))))</f>
        <v>0</v>
      </c>
      <c r="AT66" s="63">
        <f>IF(AND(AT64=0,AT65=0),0,MIN(IF(AT64&lt;=0,0,IF(WEEKDAY(AT$6,1)=1,0,MIN(10,AT65)*AT64)),MAX(0,40*MAX(1,AT64)-(0))))</f>
        <v>0</v>
      </c>
      <c r="AU66" s="63">
        <f>IF(AND(AU64=0,AU65=0),0,MIN(IF(AU64&lt;=0,0,IF(WEEKDAY(AU$6,1)=1,0,MIN(10,AU65)*AU64)),MAX(0,40*MAX(1,AU64)-(AT66))))</f>
        <v>0</v>
      </c>
      <c r="AV66" s="63">
        <f>IF(AND(AV64=0,AV65=0),0,MIN(IF(AV64&lt;=0,0,IF(WEEKDAY(AV$6,1)=1,0,MIN(10,AV65)*AV64)),MAX(0,40*MAX(1,AV64)-(AT66+AU66))))</f>
        <v>0</v>
      </c>
      <c r="AW66" s="63">
        <f>IF(AND(AW64=1,AW65=8),8,MIN(IF(AW64&lt;=0,0,IF(WEEKDAY(AW$6,1)=1,0,MIN(8,AW65)*AW64)),MAX(0,40*MAX(1,AW64)-(0))))</f>
        <v>8</v>
      </c>
      <c r="AX66" s="63">
        <f>IF(AND(AX64=1,AX65=8),8,MIN(IF(AX64&lt;=0,0,IF(WEEKDAY(AX$6,1)=1,0,MIN(8,AX65)*AX64)),MAX(0,40*MAX(1,AX64)-(AW66))))</f>
        <v>8</v>
      </c>
      <c r="AY66" s="64">
        <f>IF(AND(AY64=0,AY65=0),0,MIN(IF(AY64&lt;=0,0,IF(WEEKDAY(AY$6,1)=1,0,MIN(10,AY65)*AY64)),MAX(0,40*MAX(1,AY64)-(AT66+AU66+AV66))))</f>
        <v>0</v>
      </c>
      <c r="AZ66" s="64">
        <f>IF(AND(AZ64=0,AZ65=0),0,MIN(IF(AZ64&lt;=0,0,IF(WEEKDAY(AZ$6,1)=1,0,MIN(10,AZ65)*AZ64)),MAX(0,40*MAX(1,AZ64)-(AT66+AU66+AV66+AY66))))</f>
        <v>0</v>
      </c>
      <c r="BA66" s="63">
        <f>IF(AND(BA64=1,BA65=8),8,MIN(IF(BA64&lt;=0,0,IF(WEEKDAY(BA$6,1)=1,0,MIN(8,BA65)*BA64)),MAX(0,40*MAX(1,BA64)-(0))))</f>
        <v>8</v>
      </c>
      <c r="BB66" s="63">
        <f>IF(AND(BB64=1,BB65=8),8,MIN(IF(BB64&lt;=0,0,IF(WEEKDAY(BB$6,1)=1,0,MIN(8,BB65)*BB64)),MAX(0,40*MAX(1,BB64)-(BA66))))</f>
        <v>8</v>
      </c>
      <c r="BC66" s="63">
        <f>IF(AND(BC64=1,BC65=8),8,MIN(IF(BC64&lt;=0,0,IF(WEEKDAY(BC$6,1)=1,0,MIN(8,BC65)*BC64)),MAX(0,40*MAX(1,BC64)-(BA66+BB66))))</f>
        <v>8</v>
      </c>
      <c r="BD66" s="63">
        <f>IF(AND(BD64=1,BD65=8),8,MIN(IF(BD64&lt;=0,0,IF(WEEKDAY(BD$6,1)=1,0,MIN(8,BD65)*BD64)),MAX(0,40*MAX(1,BD64)-(BA66+BB66+BC66))))</f>
        <v>8</v>
      </c>
      <c r="BE66" s="63">
        <f>IF(AND(BE64=1,BE65=8),8,MIN(IF(BE64&lt;=0,0,IF(WEEKDAY(BE$6,1)=1,0,MIN(8,BE65)*BE64)),MAX(0,40*MAX(1,BE64)-(BA66+BB66+BC66+BD66))))</f>
        <v>8</v>
      </c>
      <c r="BF66" s="64">
        <f>IF(AND(BF64=0,BF65=0),0,MIN(IF(BF64&lt;=0,0,IF(WEEKDAY(BF$6,1)=1,0,MIN(10,BF65)*BF64)),MAX(0,40*MAX(1,BF64)-(0))))</f>
        <v>0</v>
      </c>
      <c r="BG66" s="64">
        <f>IF(AND(BG64=0,BG65=0),0,MIN(IF(BG64&lt;=0,0,IF(WEEKDAY(BG$6,1)=1,0,MIN(10,BG65)*BG64)),MAX(0,40*MAX(1,BG64)-(BF66))))</f>
        <v>0</v>
      </c>
      <c r="BH66" s="63">
        <f>IF(AND(BH64=1,BH65=13),10,MIN(IF(BH64&lt;=0,0,IF(WEEKDAY(BH$6,1)=1,0,MIN(10,BH65)*BH64)),MAX(0,40*MAX(1,BH64)-(0))))</f>
        <v>10</v>
      </c>
      <c r="BI66" s="63">
        <f>IF(AND(BI64=1,BI65=13),10,MIN(IF(BI64&lt;=0,0,IF(WEEKDAY(BI$6,1)=1,0,MIN(10,BI65)*BI64)),MAX(0,40*MAX(1,BI64)-(BH66))))</f>
        <v>10</v>
      </c>
      <c r="BJ66" s="63">
        <f>IF(AND(BJ64=1,BJ65=13),10,MIN(IF(BJ64&lt;=0,0,IF(WEEKDAY(BJ$6,1)=1,0,MIN(10,BJ65)*BJ64)),MAX(0,40*MAX(1,BJ64)-(BH66+BI66))))</f>
        <v>10</v>
      </c>
      <c r="BK66" s="63">
        <f>IF(AND(BK64=1,BK65=13),10,MIN(IF(BK64&lt;=0,0,IF(WEEKDAY(BK$6,1)=1,0,MIN(10,BK65)*BK64)),MAX(0,40*MAX(1,BK64)-(BH66+BI66+BJ66))))</f>
        <v>10</v>
      </c>
      <c r="BL66" s="63">
        <f>IF(AND(BL64=1,BL65=13),0,MIN(IF(BL64&lt;=0,0,IF(WEEKDAY(BL$6,1)=1,0,MIN(10,BL65)*BL64)),MAX(0,40*MAX(1,BL64)-(BH66+BI66+BJ66+BK66))))</f>
        <v>0</v>
      </c>
      <c r="BM66" s="64">
        <f>IF(AND(BM64=1,BM65=13),0,MIN(IF(BM64&lt;=0,0,IF(WEEKDAY(BM$6,1)=1,0,MIN(10,BM65)*BM64)),MAX(0,40*MAX(1,BM64)-(BH66+BI66+BJ66+BK66+BL66))))</f>
        <v>0</v>
      </c>
      <c r="BN66" s="64">
        <f>IF(AND(BN64=1,BN65=13),0,MIN(IF(BN64&lt;=0,0,IF(WEEKDAY(BN$6,1)=1,0,MIN(10,BN65)*BN64)),MAX(0,40*MAX(1,BN64)-(BH66+BI66+BJ66+BK66+BL66+BM66))))</f>
        <v>0</v>
      </c>
      <c r="BO66" s="63">
        <f>IF(AND(BO64=1,BO65=13),10,MIN(IF(BO64&lt;=0,0,IF(WEEKDAY(BO$6,1)=1,0,MIN(10,BO65)*BO64)),MAX(0,40*MAX(1,BO64)-(0))))</f>
        <v>10</v>
      </c>
      <c r="BP66" s="63">
        <f>IF(AND(BP64=1,BP65=13),10,MIN(IF(BP64&lt;=0,0,IF(WEEKDAY(BP$6,1)=1,0,MIN(10,BP65)*BP64)),MAX(0,40*MAX(1,BP64)-(BO66))))</f>
        <v>10</v>
      </c>
      <c r="BQ66" s="63">
        <f>IF(AND(BQ64=1,BQ65=13),10,MIN(IF(BQ64&lt;=0,0,IF(WEEKDAY(BQ$6,1)=1,0,MIN(10,BQ65)*BQ64)),MAX(0,40*MAX(1,BQ64)-(BO66+BP66))))</f>
        <v>10</v>
      </c>
      <c r="BR66" s="63">
        <f>IF(AND(BR64=1,BR65=13),10,MIN(IF(BR64&lt;=0,0,IF(WEEKDAY(BR$6,1)=1,0,MIN(10,BR65)*BR64)),MAX(0,40*MAX(1,BR64)-(0))))</f>
        <v>10</v>
      </c>
      <c r="BS66" s="63">
        <f>IF(AND(BS64=1,BS65=13),10,MIN(IF(BS64&lt;=0,0,IF(WEEKDAY(BS$6,1)=1,0,MIN(10,BS65)*BS64)),MAX(0,40*MAX(1,BS64)-(BR66))))</f>
        <v>10</v>
      </c>
      <c r="BT66" s="64">
        <f>IF(AND(BT64=1,BT65=13),10,MIN(IF(BT64&lt;=0,0,IF(WEEKDAY(BT$6,1)=1,0,MIN(10,BT65)*BT64)),MAX(0,40*MAX(1,BT64)-(BR66+BS66))))</f>
        <v>10</v>
      </c>
      <c r="BU66" s="64">
        <f>IF(AND(BU64=1,BU65=13),0,MIN(IF(BU64&lt;=0,0,IF(WEEKDAY(BU$6,1)=1,0,MIN(10,BU65)*BU64)),MAX(0,40*MAX(1,BU64)-(BR66+BS66+BT66))))</f>
        <v>0</v>
      </c>
      <c r="BV66" s="63">
        <f>IF(AND(BV64=1,BV65=13),10,MIN(IF(BV64&lt;=0,0,IF(WEEKDAY(BV$6,1)=1,0,MIN(10,BV65)*BV64)),MAX(0,40*MAX(1,BV64)-(0))))</f>
        <v>10</v>
      </c>
      <c r="BW66" s="63">
        <f>IF(AND(BW64=1,BW65=13),10,MIN(IF(BW64&lt;=0,0,IF(WEEKDAY(BW$6,1)=1,0,MIN(10,BW65)*BW64)),MAX(0,40*MAX(1,BW64)-(BV66))))</f>
        <v>10</v>
      </c>
      <c r="BX66" s="63">
        <f>IF(AND(BX64=1,BX65=13),10,MIN(IF(BX64&lt;=0,0,IF(WEEKDAY(BX$6,1)=1,0,MIN(10,BX65)*BX64)),MAX(0,40*MAX(1,BX64)-(BV66+BW66))))</f>
        <v>10</v>
      </c>
      <c r="BY66" s="63">
        <f>IF(AND(BY64=1,BY65=13),10,MIN(IF(BY64&lt;=0,0,IF(WEEKDAY(BY$6,1)=1,0,MIN(10,BY65)*BY64)),MAX(0,40*MAX(1,BY64)-(BV66+BW66+BX66))))</f>
        <v>10</v>
      </c>
      <c r="BZ66" s="63">
        <f>IF(AND(BZ64=1,BZ65=13),0,MIN(IF(BZ64&lt;=0,0,IF(WEEKDAY(BZ$6,1)=1,0,MIN(10,BZ65)*BZ64)),MAX(0,40*MAX(1,BZ64)-(BV66+BW66+BX66+BY66))))</f>
        <v>0</v>
      </c>
      <c r="CA66" s="64">
        <f>IF(AND(CA64=1,CA65=13),0,MIN(IF(CA64&lt;=0,0,IF(WEEKDAY(CA$6,1)=1,0,MIN(10,CA65)*CA64)),MAX(0,40*MAX(1,CA64)-(BV66+BW66+BX66+BY66+BZ66))))</f>
        <v>0</v>
      </c>
      <c r="CB66" s="64">
        <f>IF(AND(CB64=0,CB65=0),0,MIN(IF(CB64&lt;=0,0,IF(WEEKDAY(CB$6,1)=1,0,MIN(10,CB65)*CB64)),MAX(0,40*MAX(1,CB64)-(0))))</f>
        <v>0</v>
      </c>
      <c r="CC66" s="63">
        <f>IF(AND(CC64=1,CC65=13),10,MIN(IF(CC64&lt;=0,0,IF(WEEKDAY(CC$6,1)=1,0,MIN(10,CC65)*CC64)),MAX(0,40*MAX(1,CC64)-(0))))</f>
        <v>10</v>
      </c>
      <c r="CD66" s="63">
        <f>IF(AND(CD64=1,CD65=13),10,MIN(IF(CD64&lt;=0,0,IF(WEEKDAY(CD$6,1)=1,0,MIN(10,CD65)*CD64)),MAX(0,40*MAX(1,CD64)-(CC66))))</f>
        <v>10</v>
      </c>
      <c r="CE66" s="63">
        <f>IF(AND(CE64=1,CE65=13),10,MIN(IF(CE64&lt;=0,0,IF(WEEKDAY(CE$6,1)=1,0,MIN(10,CE65)*CE64)),MAX(0,40*MAX(1,CE64)-(CC66+CD66))))</f>
        <v>10</v>
      </c>
      <c r="CF66" s="63">
        <f>IF(AND(CF64=1,CF65=13),10,MIN(IF(CF64&lt;=0,0,IF(WEEKDAY(CF$6,1)=1,0,MIN(10,CF65)*CF64)),MAX(0,40*MAX(1,CF64)-(CC66+CD66+CE66))))</f>
        <v>10</v>
      </c>
      <c r="CG66" s="63">
        <f>IF(AND(CG64=1,CG65=13),0,MIN(IF(CG64&lt;=0,0,IF(WEEKDAY(CG$6,1)=1,0,MIN(10,CG65)*CG64)),MAX(0,40*MAX(1,CG64)-(CC66+CD66+CE66+CF66))))</f>
        <v>0</v>
      </c>
      <c r="CH66" s="64">
        <f>IF(AND(CH64=1,CH65=13),0,MIN(IF(CH64&lt;=0,0,IF(WEEKDAY(CH$6,1)=1,0,MIN(10,CH65)*CH64)),MAX(0,40*MAX(1,CH64)-(CC66+CD66+CE66+CF66+CG66))))</f>
        <v>0</v>
      </c>
      <c r="CI66" s="64">
        <f>IF(AND(CI64=1,CI65=13),0,MIN(IF(CI64&lt;=0,0,IF(WEEKDAY(CI$6,1)=1,0,MIN(10,CI65)*CI64)),MAX(0,40*MAX(1,CI64)-(CC66+CD66+CE66+CF66+CG66+CH66))))</f>
        <v>0</v>
      </c>
      <c r="CJ66" s="63">
        <f>IF(AND(CJ64=1,CJ65=13),10,MIN(IF(CJ64&lt;=0,0,IF(WEEKDAY(CJ$6,1)=1,0,MIN(10,CJ65)*CJ64)),MAX(0,40*MAX(1,CJ64)-(0))))</f>
        <v>10</v>
      </c>
      <c r="CK66" s="63">
        <f>IF(AND(CK64=1,CK65=13),10,MIN(IF(CK64&lt;=0,0,IF(WEEKDAY(CK$6,1)=1,0,MIN(10,CK65)*CK64)),MAX(0,40*MAX(1,CK64)-(CJ66))))</f>
        <v>10</v>
      </c>
      <c r="CL66" s="63">
        <f>IF(AND(CL64=1,CL65=13),10,MIN(IF(CL64&lt;=0,0,IF(WEEKDAY(CL$6,1)=1,0,MIN(10,CL65)*CL64)),MAX(0,40*MAX(1,CL64)-(CJ66+CK66))))</f>
        <v>10</v>
      </c>
      <c r="CM66" s="63">
        <f>IF(AND(CM64=1,CM65=13),10,MIN(IF(CM64&lt;=0,0,IF(WEEKDAY(CM$6,1)=1,0,MIN(10,CM65)*CM64)),MAX(0,40*MAX(1,CM64)-(CJ66+CK66+CL66))))</f>
        <v>10</v>
      </c>
      <c r="CN66" s="63">
        <f>IF(AND(CN64=1,CN65=13),0,MIN(IF(CN64&lt;=0,0,IF(WEEKDAY(CN$6,1)=1,0,MIN(10,CN65)*CN64)),MAX(0,40*MAX(1,CN64)-(CJ66+CK66+CL66+CM66))))</f>
        <v>0</v>
      </c>
      <c r="CO66" s="64">
        <f>IF(AND(CO64=1,CO65=13),0,MIN(IF(CO64&lt;=0,0,IF(WEEKDAY(CO$6,1)=1,0,MIN(10,CO65)*CO64)),MAX(0,40*MAX(1,CO64)-(CJ66+CK66+CL66+CM66+CN66))))</f>
        <v>0</v>
      </c>
      <c r="CP66" s="64">
        <f>IF(AND(CP64=0,CP65=0),0,MIN(IF(CP64&lt;=0,0,IF(WEEKDAY(CP$6,1)=1,0,MIN(10,CP65)*CP64)),MAX(0,40*MAX(1,CP64)-(0))))</f>
        <v>0</v>
      </c>
      <c r="CQ66" s="63">
        <f>IF(AND(CQ64=1,CQ65=13),10,MIN(IF(CQ64&lt;=0,0,IF(WEEKDAY(CQ$6,1)=1,0,MIN(10,CQ65)*CQ64)),MAX(0,40*MAX(1,CQ64)-(0))))</f>
        <v>10</v>
      </c>
      <c r="CR66" s="63">
        <f>IF(AND(CR64=1,CR65=13),10,MIN(IF(CR64&lt;=0,0,IF(WEEKDAY(CR$6,1)=1,0,MIN(10,CR65)*CR64)),MAX(0,40*MAX(1,CR64)-(CQ66))))</f>
        <v>10</v>
      </c>
      <c r="CS66" s="63">
        <f>IF(AND(CS64=1,CS65=13),10,MIN(IF(CS64&lt;=0,0,IF(WEEKDAY(CS$6,1)=1,0,MIN(10,CS65)*CS64)),MAX(0,40*MAX(1,CS64)-(CQ66+CR66))))</f>
        <v>10</v>
      </c>
      <c r="CT66" s="63">
        <f>IF(AND(CT64=1,CT65=13),10,MIN(IF(CT64&lt;=0,0,IF(WEEKDAY(CT$6,1)=1,0,MIN(10,CT65)*CT64)),MAX(0,40*MAX(1,CT64)-(CQ66+CR66+CS66))))</f>
        <v>10</v>
      </c>
      <c r="CU66" s="63">
        <f>IF(AND(CU64=1,CU65=13),0,MIN(IF(CU64&lt;=0,0,IF(WEEKDAY(CU$6,1)=1,0,MIN(10,CU65)*CU64)),MAX(0,40*MAX(1,CU64)-(CQ66+CR66+CS66+CT66))))</f>
        <v>0</v>
      </c>
      <c r="CV66" s="64">
        <f>IF(AND(CV64=1,CV65=13),0,MIN(IF(CV64&lt;=0,0,IF(WEEKDAY(CV$6,1)=1,0,MIN(10,CV65)*CV64)),MAX(0,40*MAX(1,CV64)-(CQ66+CR66+CS66+CT66+CU66))))</f>
        <v>0</v>
      </c>
      <c r="CW66" s="64">
        <f>IF(AND(CW64=1,CW65=13),0,MIN(IF(CW64&lt;=0,0,IF(WEEKDAY(CW$6,1)=1,0,MIN(10,CW65)*CW64)),MAX(0,40*MAX(1,CW64)-(CQ66+CR66+CS66+CT66+CU66+CV66))))</f>
        <v>0</v>
      </c>
      <c r="CX66" s="63">
        <f>IF(AND(CX64=1,CX65=13),10,MIN(IF(CX64&lt;=0,0,IF(WEEKDAY(CX$6,1)=1,0,MIN(10,CX65)*CX64)),MAX(0,40*MAX(1,CX64)-(0))))</f>
        <v>10</v>
      </c>
      <c r="CY66" s="63">
        <f>IF(AND(CY64=1,CY65=13),10,MIN(IF(CY64&lt;=0,0,IF(WEEKDAY(CY$6,1)=1,0,MIN(10,CY65)*CY64)),MAX(0,40*MAX(1,CY64)-(CX66))))</f>
        <v>10</v>
      </c>
      <c r="CZ66" s="63">
        <f>IF(AND(CZ64=1,CZ65=13),10,MIN(IF(CZ64&lt;=0,0,IF(WEEKDAY(CZ$6,1)=1,0,MIN(10,CZ65)*CZ64)),MAX(0,40*MAX(1,CZ64)-(CX66+CY66))))</f>
        <v>10</v>
      </c>
      <c r="DA66" s="63">
        <f>IF(AND(DA64=1,DA65=13),10,MIN(IF(DA64&lt;=0,0,IF(WEEKDAY(DA$6,1)=1,0,MIN(10,DA65)*DA64)),MAX(0,40*MAX(1,DA64)-(CX66+CY66+CZ66))))</f>
        <v>10</v>
      </c>
      <c r="DB66" s="63">
        <f>IF(AND(DB64=1,DB65=13),0,MIN(IF(DB64&lt;=0,0,IF(WEEKDAY(DB$6,1)=1,0,MIN(10,DB65)*DB64)),MAX(0,40*MAX(1,DB64)-(CX66+CY66+CZ66+DA66))))</f>
        <v>0</v>
      </c>
      <c r="DC66" s="64">
        <f>IF(AND(DC64=1,DC65=13),0,MIN(IF(DC64&lt;=0,0,IF(WEEKDAY(DC$6,1)=1,0,MIN(10,DC65)*DC64)),MAX(0,40*MAX(1,DC64)-(CX66+CY66+CZ66+DA66+DB66))))</f>
        <v>0</v>
      </c>
      <c r="DD66" s="64">
        <f>IF(AND(DD64=1,DD65=13),0,MIN(IF(DD64&lt;=0,0,IF(WEEKDAY(DD$6,1)=1,0,MIN(10,DD65)*DD64)),MAX(0,40*MAX(1,DD64)-(0))))</f>
        <v>0</v>
      </c>
      <c r="DE66" s="63">
        <f>IF(AND(DE64=1,DE65=13),10,MIN(IF(DE64&lt;=0,0,IF(WEEKDAY(DE$6,1)=1,0,MIN(10,DE65)*DE64)),MAX(0,40*MAX(1,DE64)-(0))))</f>
        <v>10</v>
      </c>
      <c r="DF66" s="63">
        <f>IF(AND(DF64=1,DF65=13),10,MIN(IF(DF64&lt;=0,0,IF(WEEKDAY(DF$6,1)=1,0,MIN(10,DF65)*DF64)),MAX(0,40*MAX(1,DF64)-(DE66))))</f>
        <v>10</v>
      </c>
      <c r="DG66" s="63">
        <f>IF(AND(DG64=1,DG65=13),10,MIN(IF(DG64&lt;=0,0,IF(WEEKDAY(DG$6,1)=1,0,MIN(10,DG65)*DG64)),MAX(0,40*MAX(1,DG64)-(DE66+DF66))))</f>
        <v>10</v>
      </c>
      <c r="DH66" s="63">
        <f>IF(AND(DH64=1,DH65=13),10,MIN(IF(DH64&lt;=0,0,IF(WEEKDAY(DH$6,1)=1,0,MIN(10,DH65)*DH64)),MAX(0,40*MAX(1,DH64)-(DE66+DF66+DG66))))</f>
        <v>10</v>
      </c>
      <c r="DI66" s="63">
        <f>IF(AND(DI64=1,DI65=13),0,MIN(IF(DI64&lt;=0,0,IF(WEEKDAY(DI$6,1)=1,0,MIN(10,DI65)*DI64)),MAX(0,40*MAX(1,DI64)-(DE66+DF66+DG66+DH66))))</f>
        <v>0</v>
      </c>
      <c r="DJ66" s="64">
        <f>IF(AND(DJ64=1,DJ65=13),0,MIN(IF(DJ64&lt;=0,0,IF(WEEKDAY(DJ$6,1)=1,0,MIN(10,DJ65)*DJ64)),MAX(0,40*MAX(1,DJ64)-(DE66+DF66+DG66+DH66+DI66))))</f>
        <v>0</v>
      </c>
      <c r="DK66" s="64">
        <f>IF(AND(DK64=0,DK65=0),0,MIN(IF(DK64&lt;=0,0,IF(WEEKDAY(DK$6,1)=1,0,MIN(10,DK65)*DK64)),MAX(0,40*MAX(1,DK64)-(0))))</f>
        <v>0</v>
      </c>
      <c r="DL66" s="63">
        <f>IF(AND(DL64=1,DL65=13),10,MIN(IF(DL64&lt;=0,0,IF(WEEKDAY(DL$6,1)=1,0,MIN(10,DL65)*DL64)),MAX(0,40*MAX(1,DL64)-(0))))</f>
        <v>10</v>
      </c>
      <c r="DM66" s="63">
        <f>IF(AND(DM64=1,DM65=13),10,MIN(IF(DM64&lt;=0,0,IF(WEEKDAY(DM$6,1)=1,0,MIN(10,DM65)*DM64)),MAX(0,40*MAX(1,DM64)-(DL66))))</f>
        <v>10</v>
      </c>
      <c r="DN66" s="63">
        <f>IF(AND(DN64=1,DN65=13),10,MIN(IF(DN64&lt;=0,0,IF(WEEKDAY(DN$6,1)=1,0,MIN(10,DN65)*DN64)),MAX(0,40*MAX(1,DN64)-(DL66+DM66))))</f>
        <v>10</v>
      </c>
      <c r="DO66" s="63">
        <f>IF(AND(DO64=1,DO65=13),10,MIN(IF(DO64&lt;=0,0,IF(WEEKDAY(DO$6,1)=1,0,MIN(10,DO65)*DO64)),MAX(0,40*MAX(1,DO64)-(DL66+DM66+DN66))))</f>
        <v>10</v>
      </c>
      <c r="DP66" s="63">
        <f>IF(AND(DP64=1,DP65=13),0,MIN(IF(DP64&lt;=0,0,IF(WEEKDAY(DP$6,1)=1,0,MIN(10,DP65)*DP64)),MAX(0,40*MAX(1,DP64)-(DL66+DM66+DN66+DO66))))</f>
        <v>0</v>
      </c>
      <c r="DQ66" s="64">
        <f>IF(AND(DQ64=1,DQ65=13),0,MIN(IF(DQ64&lt;=0,0,IF(WEEKDAY(DQ$6,1)=1,0,MIN(10,DQ65)*DQ64)),MAX(0,40*MAX(1,DQ64)-(DL66+DM66+DN66+DO66+DP66))))</f>
        <v>0</v>
      </c>
      <c r="DR66" s="64">
        <f>IF(AND(DR64=1,DR65=13),0,MIN(IF(DR64&lt;=0,0,IF(WEEKDAY(DR$6,1)=1,0,MIN(10,DR65)*DR64)),MAX(0,40*MAX(1,DR64)-(DL66+DM66+DN66+DO66+DP66+DQ66))))</f>
        <v>0</v>
      </c>
      <c r="DS66" s="63">
        <f>IF(AND(DS64=1,DS65=13),10,MIN(IF(DS64&lt;=0,0,IF(WEEKDAY(DS$6,1)=1,0,MIN(10,DS65)*DS64)),MAX(0,40*MAX(1,DS64)-(0))))</f>
        <v>10</v>
      </c>
      <c r="DT66" s="63">
        <f>IF(AND(DT64=0,DT65=0),0,MIN(IF(DT64&lt;=0,0,IF(WEEKDAY(DT$6,1)=1,0,MIN(10,DT65)*DT64)),MAX(0,40*MAX(1,DT64)-(0))))</f>
        <v>0</v>
      </c>
      <c r="DU66" s="63">
        <f>IF(AND(DU64=0,DU65=0),0,MIN(IF(DU64&lt;=0,0,IF(WEEKDAY(DU$6,1)=1,0,MIN(10,DU65)*DU64)),MAX(0,40*MAX(1,DU64)-(DT66))))</f>
        <v>0</v>
      </c>
      <c r="DV66" s="63">
        <f>IF(AND(DV64=0,DV65=0),0,MIN(IF(DV64&lt;=0,0,IF(WEEKDAY(DV$6,1)=1,0,MIN(10,DV65)*DV64)),MAX(0,40*MAX(1,DV64)-(DT66+DU66))))</f>
        <v>0</v>
      </c>
      <c r="DW66" s="63">
        <f>IF(AND(DW64=0,DW65=0),0,MIN(IF(DW64&lt;=0,0,IF(WEEKDAY(DW$6,1)=1,0,MIN(10,DW65)*DW64)),MAX(0,40*MAX(1,DW64)-(DT66+DU66+DV66))))</f>
        <v>0</v>
      </c>
      <c r="DX66" s="64">
        <f>IF(AND(DX64=0,DX65=0),0,MIN(IF(DX64&lt;=0,0,IF(WEEKDAY(DX$6,1)=1,0,MIN(10,DX65)*DX64)),MAX(0,40*MAX(1,DX64)-(DT66+DU66+DV66+DW66))))</f>
        <v>0</v>
      </c>
      <c r="DY66" s="64">
        <f>IF(AND(DY64=0,DY65=0),0,MIN(IF(DY64&lt;=0,0,IF(WEEKDAY(DY$6,1)=1,0,MIN(10,DY65)*DY64)),MAX(0,40*MAX(1,DY64)-(DT66+DU66+DV66+DW66+DX66))))</f>
        <v>0</v>
      </c>
      <c r="DZ66" s="63">
        <f>IF(AND(DZ64=0,DZ65=0),0,MIN(IF(DZ64&lt;=0,0,IF(WEEKDAY(DZ$6,1)=1,0,MIN(10,DZ65)*DZ64)),MAX(0,40*MAX(1,DZ64)-(0))))</f>
        <v>0</v>
      </c>
      <c r="EA66" s="63">
        <f>IF(AND(EA64=0,EA65=0),0,MIN(IF(EA64&lt;=0,0,IF(WEEKDAY(EA$6,1)=1,0,MIN(10,EA65)*EA64)),MAX(0,40*MAX(1,EA64)-(DZ66))))</f>
        <v>0</v>
      </c>
      <c r="EB66" s="63">
        <f>IF(AND(EB64=0,EB65=0),0,MIN(IF(EB64&lt;=0,0,IF(WEEKDAY(EB$6,1)=1,0,MIN(10,EB65)*EB64)),MAX(0,40*MAX(1,EB64)-(DZ66+EA66))))</f>
        <v>0</v>
      </c>
      <c r="EC66" s="63">
        <f>IF(AND(EC64=0,EC65=0),0,MIN(IF(EC64&lt;=0,0,IF(WEEKDAY(EC$6,1)=1,0,MIN(10,EC65)*EC64)),MAX(0,40*MAX(1,EC64)-(DZ66+EA66+EB66))))</f>
        <v>0</v>
      </c>
      <c r="ED66" s="63">
        <f>IF(AND(ED64=0,ED65=0),0,MIN(IF(ED64&lt;=0,0,IF(WEEKDAY(ED$6,1)=1,0,MIN(10,ED65)*ED64)),MAX(0,40*MAX(1,ED64)-(DZ66+EA66+EB66+EC66))))</f>
        <v>0</v>
      </c>
      <c r="EE66" s="64">
        <f>IF(AND(EE64=0,EE65=0),0,MIN(IF(EE64&lt;=0,0,IF(WEEKDAY(EE$6,1)=1,0,MIN(10,EE65)*EE64)),MAX(0,40*MAX(1,EE64)-(DZ66+EA66+EB66+EC66+ED66))))</f>
        <v>0</v>
      </c>
      <c r="EF66" s="64">
        <f>IF(AND(EF64=0,EF65=0),0,MIN(IF(EF64&lt;=0,0,IF(WEEKDAY(EF$6,1)=1,0,MIN(10,EF65)*EF64)),MAX(0,40*MAX(1,EF64)-(DZ66+EA66+EB66+EC66+ED66+EE66))))</f>
        <v>0</v>
      </c>
      <c r="EG66" s="63">
        <f>IF(AND(EG64=0,EG65=0),0,MIN(IF(EG64&lt;=0,0,IF(WEEKDAY(EG$6,1)=1,0,MIN(10,EG65)*EG64)),MAX(0,40*MAX(1,EG64)-(0))))</f>
        <v>0</v>
      </c>
      <c r="EH66" s="63">
        <f>IF(AND(EH64=0,EH65=0),0,MIN(IF(EH64&lt;=0,0,IF(WEEKDAY(EH$6,1)=1,0,MIN(10,EH65)*EH64)),MAX(0,40*MAX(1,EH64)-(EG66))))</f>
        <v>0</v>
      </c>
      <c r="EI66" s="63">
        <f>IF(AND(EI64=0,EI65=0),0,MIN(IF(EI64&lt;=0,0,IF(WEEKDAY(EI$6,1)=1,0,MIN(10,EI65)*EI64)),MAX(0,40*MAX(1,EI64)-(EG66+EH66))))</f>
        <v>0</v>
      </c>
      <c r="EJ66" s="63">
        <f>IF(AND(EJ64=0,EJ65=0),0,MIN(IF(EJ64&lt;=0,0,IF(WEEKDAY(EJ$6,1)=1,0,MIN(10,EJ65)*EJ64)),MAX(0,40*MAX(1,EJ64)-(EG66+EH66+EI66))))</f>
        <v>0</v>
      </c>
      <c r="EK66" s="65">
        <f>IF(AND(EK64=0,EK65=0),0,MIN(IF(EK64&lt;=0,0,IF(WEEKDAY(EK$6,1)=1,0,MIN(10,EK65)*EK64)),MAX(0,40*MAX(1,EK64)-(EG66+EH66+EI66+EJ66))))</f>
        <v>0</v>
      </c>
      <c r="OU66" s="28" t="s">
        <v>77</v>
      </c>
    </row>
    <row r="67" ht="16" customHeight="1" spans="1:411" x14ac:dyDescent="0.25">
      <c r="A67" s="74"/>
      <c r="B67" s="46"/>
      <c r="C67" s="66">
        <f>G63*N(D67)</f>
        <v>44593.25</v>
      </c>
      <c r="D67" s="66">
        <f>IF(TRIM(B63)="","No rate",IFERROR(INDEX('Rate Tables'!D$7:D$158,MATCH(B63,'Rate Tables'!A$7:A$158,0)),"No rate"))</f>
        <v>137.21</v>
      </c>
      <c r="E67" s="55" t="s">
        <v>63</v>
      </c>
      <c r="F67" s="49"/>
      <c r="G67" s="49"/>
      <c r="H67" s="49"/>
      <c r="I67" s="49"/>
      <c r="J67" s="50"/>
      <c r="K67" s="62">
        <f>IF(AND(K64=0,K65=0),0,IF(K64&lt;=0,0,IF(WEEKDAY(K$6,1)=1,0,MAX(0,K65-10)*K64))+((IF(K64&lt;=0,0,IF(WEEKDAY(K$6,1)=1,0,MIN(10,K65)*K64)))-MIN(IF(K64&lt;=0,0,IF(WEEKDAY(K$6,1)=1,0,MIN(10,K65)*K64)),MAX(0,40*MAX(1,K64)-(0)))))</f>
        <v>0</v>
      </c>
      <c r="L67" s="63">
        <f>IF(AND(L64=0,L65=0),0,IF(L64&lt;=0,0,IF(WEEKDAY(L$6,1)=1,0,MAX(0,L65-10)*L64))+((IF(L64&lt;=0,0,IF(WEEKDAY(L$6,1)=1,0,MIN(10,L65)*L64)))-MIN(IF(L64&lt;=0,0,IF(WEEKDAY(L$6,1)=1,0,MIN(10,L65)*L64)),MAX(0,40*MAX(1,L64)-(K66)))))</f>
        <v>0</v>
      </c>
      <c r="M67" s="63">
        <f>IF(AND(M64=0,M65=0),0,IF(M64&lt;=0,0,IF(WEEKDAY(M$6,1)=1,0,MAX(0,M65-10)*M64))+((IF(M64&lt;=0,0,IF(WEEKDAY(M$6,1)=1,0,MIN(10,M65)*M64)))-MIN(IF(M64&lt;=0,0,IF(WEEKDAY(M$6,1)=1,0,MIN(10,M65)*M64)),MAX(0,40*MAX(1,M64)-(K66+L66)))))</f>
        <v>0</v>
      </c>
      <c r="N67" s="63">
        <f>IF(AND(N64=0,N65=0),0,IF(N64&lt;=0,0,IF(WEEKDAY(N$6,1)=1,0,MAX(0,N65-10)*N64))+((IF(N64&lt;=0,0,IF(WEEKDAY(N$6,1)=1,0,MIN(10,N65)*N64)))-MIN(IF(N64&lt;=0,0,IF(WEEKDAY(N$6,1)=1,0,MIN(10,N65)*N64)),MAX(0,40*MAX(1,N64)-(K66+L66+M66)))))</f>
        <v>0</v>
      </c>
      <c r="O67" s="63">
        <f>IF(AND(O64=0,O65=0),0,IF(O64&lt;=0,0,IF(WEEKDAY(O$6,1)=1,0,MAX(0,O65-10)*O64))+((IF(O64&lt;=0,0,IF(WEEKDAY(O$6,1)=1,0,MIN(10,O65)*O64)))-MIN(IF(O64&lt;=0,0,IF(WEEKDAY(O$6,1)=1,0,MIN(10,O65)*O64)),MAX(0,40*MAX(1,O64)-(K66+L66+M66+N66)))))</f>
        <v>0</v>
      </c>
      <c r="P67" s="64">
        <f>IF(AND(P64=0,P65=0),0,IF(P64&lt;=0,0,IF(WEEKDAY(P$6,1)=1,0,MAX(0,P65-10)*P64))+((IF(P64&lt;=0,0,IF(WEEKDAY(P$6,1)=1,0,MIN(10,P65)*P64)))-MIN(IF(P64&lt;=0,0,IF(WEEKDAY(P$6,1)=1,0,MIN(10,P65)*P64)),MAX(0,40*MAX(1,P64)-(K66+L66+M66+N66+O66)))))</f>
        <v>0</v>
      </c>
      <c r="Q67" s="64">
        <f>IF(AND(Q64=0,Q65=0),0,IF(Q64&lt;=0,0,IF(WEEKDAY(Q$6,1)=1,0,MAX(0,Q65-10)*Q64))+((IF(Q64&lt;=0,0,IF(WEEKDAY(Q$6,1)=1,0,MIN(10,Q65)*Q64)))-MIN(IF(Q64&lt;=0,0,IF(WEEKDAY(Q$6,1)=1,0,MIN(10,Q65)*Q64)),MAX(0,40*MAX(1,Q64)-(K66+L66+M66+N66+O66+P66)))))</f>
        <v>0</v>
      </c>
      <c r="R67" s="63">
        <f>IF(AND(R64=0,R65=0),0,IF(R64&lt;=0,0,IF(WEEKDAY(R$6,1)=1,0,MAX(0,R65-10)*R64))+((IF(R64&lt;=0,0,IF(WEEKDAY(R$6,1)=1,0,MIN(10,R65)*R64)))-MIN(IF(R64&lt;=0,0,IF(WEEKDAY(R$6,1)=1,0,MIN(10,R65)*R64)),MAX(0,40*MAX(1,R64)-(0)))))</f>
        <v>0</v>
      </c>
      <c r="S67" s="63">
        <f>IF(AND(S64=0,S65=0),0,IF(S64&lt;=0,0,IF(WEEKDAY(S$6,1)=1,0,MAX(0,S65-10)*S64))+((IF(S64&lt;=0,0,IF(WEEKDAY(S$6,1)=1,0,MIN(10,S65)*S64)))-MIN(IF(S64&lt;=0,0,IF(WEEKDAY(S$6,1)=1,0,MIN(10,S65)*S64)),MAX(0,40*MAX(1,S64)-(R66)))))</f>
        <v>0</v>
      </c>
      <c r="T67" s="63">
        <f>IF(AND(T64=0,T65=0),0,IF(T64&lt;=0,0,IF(WEEKDAY(T$6,1)=1,0,MAX(0,T65-10)*T64))+((IF(T64&lt;=0,0,IF(WEEKDAY(T$6,1)=1,0,MIN(10,T65)*T64)))-MIN(IF(T64&lt;=0,0,IF(WEEKDAY(T$6,1)=1,0,MIN(10,T65)*T64)),MAX(0,40*MAX(1,T64)-(R66+S66)))))</f>
        <v>0</v>
      </c>
      <c r="U67" s="63">
        <f>IF(AND(U64=0,U65=0),0,IF(U64&lt;=0,0,IF(WEEKDAY(U$6,1)=1,0,MAX(0,U65-10)*U64))+((IF(U64&lt;=0,0,IF(WEEKDAY(U$6,1)=1,0,MIN(10,U65)*U64)))-MIN(IF(U64&lt;=0,0,IF(WEEKDAY(U$6,1)=1,0,MIN(10,U65)*U64)),MAX(0,40*MAX(1,U64)-(R66+S66+T66)))))</f>
        <v>0</v>
      </c>
      <c r="V67" s="63">
        <f>IF(AND(V64=0,V65=0),0,IF(V64&lt;=0,0,IF(WEEKDAY(V$6,1)=1,0,MAX(0,V65-10)*V64))+((IF(V64&lt;=0,0,IF(WEEKDAY(V$6,1)=1,0,MIN(10,V65)*V64)))-MIN(IF(V64&lt;=0,0,IF(WEEKDAY(V$6,1)=1,0,MIN(10,V65)*V64)),MAX(0,40*MAX(1,V64)-(R66+S66+T66+U66)))))</f>
        <v>0</v>
      </c>
      <c r="W67" s="64">
        <f>IF(AND(W64=0,W65=0),0,IF(W64&lt;=0,0,IF(WEEKDAY(W$6,1)=1,0,MAX(0,W65-10)*W64))+((IF(W64&lt;=0,0,IF(WEEKDAY(W$6,1)=1,0,MIN(10,W65)*W64)))-MIN(IF(W64&lt;=0,0,IF(WEEKDAY(W$6,1)=1,0,MIN(10,W65)*W64)),MAX(0,40*MAX(1,W64)-(R66+S66+T66+U66+V66)))))</f>
        <v>0</v>
      </c>
      <c r="X67" s="64">
        <f>IF(AND(X64=0,X65=0),0,IF(X64&lt;=0,0,IF(WEEKDAY(X$6,1)=1,0,MAX(0,X65-10)*X64))+((IF(X64&lt;=0,0,IF(WEEKDAY(X$6,1)=1,0,MIN(10,X65)*X64)))-MIN(IF(X64&lt;=0,0,IF(WEEKDAY(X$6,1)=1,0,MIN(10,X65)*X64)),MAX(0,40*MAX(1,X64)-(R66+S66+T66+U66+V66+W66)))))</f>
        <v>0</v>
      </c>
      <c r="Y67" s="63">
        <f>IF(AND(Y64=0,Y65=0),0,IF(Y64&lt;=0,0,IF(WEEKDAY(Y$6,1)=1,0,MAX(0,Y65-10)*Y64))+((IF(Y64&lt;=0,0,IF(WEEKDAY(Y$6,1)=1,0,MIN(10,Y65)*Y64)))-MIN(IF(Y64&lt;=0,0,IF(WEEKDAY(Y$6,1)=1,0,MIN(10,Y65)*Y64)),MAX(0,40*MAX(1,Y64)-(0)))))</f>
        <v>0</v>
      </c>
      <c r="Z67" s="63">
        <f>IF(AND(Z64=0,Z65=0),0,IF(Z64&lt;=0,0,IF(WEEKDAY(Z$6,1)=1,0,MAX(0,Z65-10)*Z64))+((IF(Z64&lt;=0,0,IF(WEEKDAY(Z$6,1)=1,0,MIN(10,Z65)*Z64)))-MIN(IF(Z64&lt;=0,0,IF(WEEKDAY(Z$6,1)=1,0,MIN(10,Z65)*Z64)),MAX(0,40*MAX(1,Z64)-(Y66)))))</f>
        <v>0</v>
      </c>
      <c r="AA67" s="63">
        <f>IF(AND(AA64=0,AA65=0),0,IF(AA64&lt;=0,0,IF(WEEKDAY(AA$6,1)=1,0,MAX(0,AA65-10)*AA64))+((IF(AA64&lt;=0,0,IF(WEEKDAY(AA$6,1)=1,0,MIN(10,AA65)*AA64)))-MIN(IF(AA64&lt;=0,0,IF(WEEKDAY(AA$6,1)=1,0,MIN(10,AA65)*AA64)),MAX(0,40*MAX(1,AA64)-(Y66+Z66)))))</f>
        <v>0</v>
      </c>
      <c r="AB67" s="63">
        <f>IF(AND(AB64=0,AB65=0),0,IF(AB64&lt;=0,0,IF(WEEKDAY(AB$6,1)=1,0,MAX(0,AB65-10)*AB64))+((IF(AB64&lt;=0,0,IF(WEEKDAY(AB$6,1)=1,0,MIN(10,AB65)*AB64)))-MIN(IF(AB64&lt;=0,0,IF(WEEKDAY(AB$6,1)=1,0,MIN(10,AB65)*AB64)),MAX(0,40*MAX(1,AB64)-(Y66+Z66+AA66)))))</f>
        <v>0</v>
      </c>
      <c r="AC67" s="63">
        <f>IF(AND(AC64=0,AC65=0),0,IF(AC64&lt;=0,0,IF(WEEKDAY(AC$6,1)=1,0,MAX(0,AC65-10)*AC64))+((IF(AC64&lt;=0,0,IF(WEEKDAY(AC$6,1)=1,0,MIN(10,AC65)*AC64)))-MIN(IF(AC64&lt;=0,0,IF(WEEKDAY(AC$6,1)=1,0,MIN(10,AC65)*AC64)),MAX(0,40*MAX(1,AC64)-(Y66+Z66+AA66+AB66)))))</f>
        <v>0</v>
      </c>
      <c r="AD67" s="64">
        <f>IF(AND(AD64=0,AD65=0),0,IF(AD64&lt;=0,0,IF(WEEKDAY(AD$6,1)=1,0,MAX(0,AD65-10)*AD64))+((IF(AD64&lt;=0,0,IF(WEEKDAY(AD$6,1)=1,0,MIN(10,AD65)*AD64)))-MIN(IF(AD64&lt;=0,0,IF(WEEKDAY(AD$6,1)=1,0,MIN(10,AD65)*AD64)),MAX(0,40*MAX(1,AD64)-(Y66+Z66+AA66+AB66+AC66)))))</f>
        <v>0</v>
      </c>
      <c r="AE67" s="64">
        <f>IF(AND(AE64=0,AE65=0),0,IF(AE64&lt;=0,0,IF(WEEKDAY(AE$6,1)=1,0,MAX(0,AE65-10)*AE64))+((IF(AE64&lt;=0,0,IF(WEEKDAY(AE$6,1)=1,0,MIN(10,AE65)*AE64)))-MIN(IF(AE64&lt;=0,0,IF(WEEKDAY(AE$6,1)=1,0,MIN(10,AE65)*AE64)),MAX(0,40*MAX(1,AE64)-(Y66+Z66+AA66+AB66+AC66+AD66)))))</f>
        <v>0</v>
      </c>
      <c r="AF67" s="63">
        <f>IF(AND(AF64=0,AF65=0),0,IF(AF64&lt;=0,0,IF(WEEKDAY(AF$6,1)=1,0,MAX(0,AF65-10)*AF64))+((IF(AF64&lt;=0,0,IF(WEEKDAY(AF$6,1)=1,0,MIN(10,AF65)*AF64)))-MIN(IF(AF64&lt;=0,0,IF(WEEKDAY(AF$6,1)=1,0,MIN(10,AF65)*AF64)),MAX(0,40*MAX(1,AF64)-(0)))))</f>
        <v>0</v>
      </c>
      <c r="AG67" s="63">
        <f>IF(AND(AG64=0,AG65=0),0,IF(AG64&lt;=0,0,IF(WEEKDAY(AG$6,1)=1,0,MAX(0,AG65-10)*AG64))+((IF(AG64&lt;=0,0,IF(WEEKDAY(AG$6,1)=1,0,MIN(10,AG65)*AG64)))-MIN(IF(AG64&lt;=0,0,IF(WEEKDAY(AG$6,1)=1,0,MIN(10,AG65)*AG64)),MAX(0,40*MAX(1,AG64)-(AF66)))))</f>
        <v>0</v>
      </c>
      <c r="AH67" s="63">
        <f>IF(AND(AH64=0,AH65=0),0,IF(AH64&lt;=0,0,IF(WEEKDAY(AH$6,1)=1,0,MAX(0,AH65-10)*AH64))+((IF(AH64&lt;=0,0,IF(WEEKDAY(AH$6,1)=1,0,MIN(10,AH65)*AH64)))-MIN(IF(AH64&lt;=0,0,IF(WEEKDAY(AH$6,1)=1,0,MIN(10,AH65)*AH64)),MAX(0,40*MAX(1,AH64)-(AF66+AG66)))))</f>
        <v>0</v>
      </c>
      <c r="AI67" s="63">
        <f>IF(AND(AI64=0,AI65=0),0,IF(AI64&lt;=0,0,IF(WEEKDAY(AI$6,1)=1,0,MAX(0,AI65-10)*AI64))+((IF(AI64&lt;=0,0,IF(WEEKDAY(AI$6,1)=1,0,MIN(10,AI65)*AI64)))-MIN(IF(AI64&lt;=0,0,IF(WEEKDAY(AI$6,1)=1,0,MIN(10,AI65)*AI64)),MAX(0,40*MAX(1,AI64)-(AF66+AG66+AH66)))))</f>
        <v>0</v>
      </c>
      <c r="AJ67" s="63">
        <f>IF(AND(AJ64=0,AJ65=0),0,IF(AJ64&lt;=0,0,IF(WEEKDAY(AJ$6,1)=1,0,MAX(0,AJ65-10)*AJ64))+((IF(AJ64&lt;=0,0,IF(WEEKDAY(AJ$6,1)=1,0,MIN(10,AJ65)*AJ64)))-MIN(IF(AJ64&lt;=0,0,IF(WEEKDAY(AJ$6,1)=1,0,MIN(10,AJ65)*AJ64)),MAX(0,40*MAX(1,AJ64)-(AF66+AG66+AH66+AI66)))))</f>
        <v>0</v>
      </c>
      <c r="AK67" s="64">
        <f>IF(AND(AK64=0,AK65=0),0,IF(AK64&lt;=0,0,IF(WEEKDAY(AK$6,1)=1,0,MAX(0,AK65-10)*AK64))+((IF(AK64&lt;=0,0,IF(WEEKDAY(AK$6,1)=1,0,MIN(10,AK65)*AK64)))-MIN(IF(AK64&lt;=0,0,IF(WEEKDAY(AK$6,1)=1,0,MIN(10,AK65)*AK64)),MAX(0,40*MAX(1,AK64)-(AF66+AG66+AH66+AI66+AJ66)))))</f>
        <v>0</v>
      </c>
      <c r="AL67" s="64">
        <f>IF(AND(AL64=0,AL65=0),0,IF(AL64&lt;=0,0,IF(WEEKDAY(AL$6,1)=1,0,MAX(0,AL65-10)*AL64))+((IF(AL64&lt;=0,0,IF(WEEKDAY(AL$6,1)=1,0,MIN(10,AL65)*AL64)))-MIN(IF(AL64&lt;=0,0,IF(WEEKDAY(AL$6,1)=1,0,MIN(10,AL65)*AL64)),MAX(0,40*MAX(1,AL64)-(AF66+AG66+AH66+AI66+AJ66+AK66)))))</f>
        <v>0</v>
      </c>
      <c r="AM67" s="63">
        <f>IF(AND(AM64=0,AM65=0),0,IF(AM64&lt;=0,0,IF(WEEKDAY(AM$6,1)=1,0,MAX(0,AM65-10)*AM64))+((IF(AM64&lt;=0,0,IF(WEEKDAY(AM$6,1)=1,0,MIN(10,AM65)*AM64)))-MIN(IF(AM64&lt;=0,0,IF(WEEKDAY(AM$6,1)=1,0,MIN(10,AM65)*AM64)),MAX(0,40*MAX(1,AM64)-(0)))))</f>
        <v>0</v>
      </c>
      <c r="AN67" s="63">
        <f>IF(AND(AN64=0,AN65=0),0,IF(AN64&lt;=0,0,IF(WEEKDAY(AN$6,1)=1,0,MAX(0,AN65-10)*AN64))+((IF(AN64&lt;=0,0,IF(WEEKDAY(AN$6,1)=1,0,MIN(10,AN65)*AN64)))-MIN(IF(AN64&lt;=0,0,IF(WEEKDAY(AN$6,1)=1,0,MIN(10,AN65)*AN64)),MAX(0,40*MAX(1,AN64)-(AM66)))))</f>
        <v>0</v>
      </c>
      <c r="AO67" s="63">
        <f>IF(AND(AO64=0,AO65=0),0,IF(AO64&lt;=0,0,IF(WEEKDAY(AO$6,1)=1,0,MAX(0,AO65-10)*AO64))+((IF(AO64&lt;=0,0,IF(WEEKDAY(AO$6,1)=1,0,MIN(10,AO65)*AO64)))-MIN(IF(AO64&lt;=0,0,IF(WEEKDAY(AO$6,1)=1,0,MIN(10,AO65)*AO64)),MAX(0,40*MAX(1,AO64)-(AM66+AN66)))))</f>
        <v>0</v>
      </c>
      <c r="AP67" s="63">
        <f>IF(AND(AP64=0,AP65=0),0,IF(AP64&lt;=0,0,IF(WEEKDAY(AP$6,1)=1,0,MAX(0,AP65-10)*AP64))+((IF(AP64&lt;=0,0,IF(WEEKDAY(AP$6,1)=1,0,MIN(10,AP65)*AP64)))-MIN(IF(AP64&lt;=0,0,IF(WEEKDAY(AP$6,1)=1,0,MIN(10,AP65)*AP64)),MAX(0,40*MAX(1,AP64)-(AM66+AN66+AO66)))))</f>
        <v>0</v>
      </c>
      <c r="AQ67" s="63">
        <f>IF(AND(AQ64=0,AQ65=0),0,IF(AQ64&lt;=0,0,IF(WEEKDAY(AQ$6,1)=1,0,MAX(0,AQ65-10)*AQ64))+((IF(AQ64&lt;=0,0,IF(WEEKDAY(AQ$6,1)=1,0,MIN(10,AQ65)*AQ64)))-MIN(IF(AQ64&lt;=0,0,IF(WEEKDAY(AQ$6,1)=1,0,MIN(10,AQ65)*AQ64)),MAX(0,40*MAX(1,AQ64)-(AM66+AN66+AO66+AP66)))))</f>
        <v>0</v>
      </c>
      <c r="AR67" s="64">
        <f>IF(AND(AR64=0,AR65=0),0,IF(AR64&lt;=0,0,IF(WEEKDAY(AR$6,1)=1,0,MAX(0,AR65-10)*AR64))+((IF(AR64&lt;=0,0,IF(WEEKDAY(AR$6,1)=1,0,MIN(10,AR65)*AR64)))-MIN(IF(AR64&lt;=0,0,IF(WEEKDAY(AR$6,1)=1,0,MIN(10,AR65)*AR64)),MAX(0,40*MAX(1,AR64)-(AM66+AN66+AO66+AP66+AQ66)))))</f>
        <v>0</v>
      </c>
      <c r="AS67" s="64">
        <f>IF(AND(AS64=0,AS65=0),0,IF(AS64&lt;=0,0,IF(WEEKDAY(AS$6,1)=1,0,MAX(0,AS65-10)*AS64))+((IF(AS64&lt;=0,0,IF(WEEKDAY(AS$6,1)=1,0,MIN(10,AS65)*AS64)))-MIN(IF(AS64&lt;=0,0,IF(WEEKDAY(AS$6,1)=1,0,MIN(10,AS65)*AS64)),MAX(0,40*MAX(1,AS64)-(AM66+AN66+AO66+AP66+AQ66+AR66)))))</f>
        <v>0</v>
      </c>
      <c r="AT67" s="63">
        <f>IF(AND(AT64=0,AT65=0),0,IF(AT64&lt;=0,0,IF(WEEKDAY(AT$6,1)=1,0,MAX(0,AT65-10)*AT64))+((IF(AT64&lt;=0,0,IF(WEEKDAY(AT$6,1)=1,0,MIN(10,AT65)*AT64)))-MIN(IF(AT64&lt;=0,0,IF(WEEKDAY(AT$6,1)=1,0,MIN(10,AT65)*AT64)),MAX(0,40*MAX(1,AT64)-(0)))))</f>
        <v>0</v>
      </c>
      <c r="AU67" s="63">
        <f>IF(AND(AU64=0,AU65=0),0,IF(AU64&lt;=0,0,IF(WEEKDAY(AU$6,1)=1,0,MAX(0,AU65-10)*AU64))+((IF(AU64&lt;=0,0,IF(WEEKDAY(AU$6,1)=1,0,MIN(10,AU65)*AU64)))-MIN(IF(AU64&lt;=0,0,IF(WEEKDAY(AU$6,1)=1,0,MIN(10,AU65)*AU64)),MAX(0,40*MAX(1,AU64)-(AT66)))))</f>
        <v>0</v>
      </c>
      <c r="AV67" s="63">
        <f>IF(AND(AV64=0,AV65=0),0,IF(AV64&lt;=0,0,IF(WEEKDAY(AV$6,1)=1,0,MAX(0,AV65-10)*AV64))+((IF(AV64&lt;=0,0,IF(WEEKDAY(AV$6,1)=1,0,MIN(10,AV65)*AV64)))-MIN(IF(AV64&lt;=0,0,IF(WEEKDAY(AV$6,1)=1,0,MIN(10,AV65)*AV64)),MAX(0,40*MAX(1,AV64)-(AT66+AU66)))))</f>
        <v>0</v>
      </c>
      <c r="AW67" s="63">
        <f>IF(AND(AW64=1,AW65=8),0,IF(AW64&lt;=0,0,IF(WEEKDAY(AW$6,1)=1,0,MAX(0,AW65-8)*AW64))+((IF(AW64&lt;=0,0,IF(WEEKDAY(AW$6,1)=1,0,MIN(8,AW65)*AW64)))-MIN(IF(AW64&lt;=0,0,IF(WEEKDAY(AW$6,1)=1,0,MIN(8,AW65)*AW64)),MAX(0,40*MAX(1,AW64)-(0)))))</f>
        <v>0</v>
      </c>
      <c r="AX67" s="63">
        <f>IF(AND(AX64=1,AX65=8),0,IF(AX64&lt;=0,0,IF(WEEKDAY(AX$6,1)=1,0,MAX(0,AX65-8)*AX64))+((IF(AX64&lt;=0,0,IF(WEEKDAY(AX$6,1)=1,0,MIN(8,AX65)*AX64)))-MIN(IF(AX64&lt;=0,0,IF(WEEKDAY(AX$6,1)=1,0,MIN(8,AX65)*AX64)),MAX(0,40*MAX(1,AX64)-(AW66)))))</f>
        <v>0</v>
      </c>
      <c r="AY67" s="64">
        <f>IF(AND(AY64=0,AY65=0),0,IF(AY64&lt;=0,0,IF(WEEKDAY(AY$6,1)=1,0,MAX(0,AY65-10)*AY64))+((IF(AY64&lt;=0,0,IF(WEEKDAY(AY$6,1)=1,0,MIN(10,AY65)*AY64)))-MIN(IF(AY64&lt;=0,0,IF(WEEKDAY(AY$6,1)=1,0,MIN(10,AY65)*AY64)),MAX(0,40*MAX(1,AY64)-(AT66+AU66+AV66)))))</f>
        <v>0</v>
      </c>
      <c r="AZ67" s="64">
        <f>IF(AND(AZ64=0,AZ65=0),0,IF(AZ64&lt;=0,0,IF(WEEKDAY(AZ$6,1)=1,0,MAX(0,AZ65-10)*AZ64))+((IF(AZ64&lt;=0,0,IF(WEEKDAY(AZ$6,1)=1,0,MIN(10,AZ65)*AZ64)))-MIN(IF(AZ64&lt;=0,0,IF(WEEKDAY(AZ$6,1)=1,0,MIN(10,AZ65)*AZ64)),MAX(0,40*MAX(1,AZ64)-(AT66+AU66+AV66+AY66)))))</f>
        <v>0</v>
      </c>
      <c r="BA67" s="63">
        <f>IF(AND(BA64=1,BA65=8),0,IF(BA64&lt;=0,0,IF(WEEKDAY(BA$6,1)=1,0,MAX(0,BA65-8)*BA64))+((IF(BA64&lt;=0,0,IF(WEEKDAY(BA$6,1)=1,0,MIN(8,BA65)*BA64)))-MIN(IF(BA64&lt;=0,0,IF(WEEKDAY(BA$6,1)=1,0,MIN(8,BA65)*BA64)),MAX(0,40*MAX(1,BA64)-(0)))))</f>
        <v>0</v>
      </c>
      <c r="BB67" s="63">
        <f>IF(AND(BB64=1,BB65=8),0,IF(BB64&lt;=0,0,IF(WEEKDAY(BB$6,1)=1,0,MAX(0,BB65-8)*BB64))+((IF(BB64&lt;=0,0,IF(WEEKDAY(BB$6,1)=1,0,MIN(8,BB65)*BB64)))-MIN(IF(BB64&lt;=0,0,IF(WEEKDAY(BB$6,1)=1,0,MIN(8,BB65)*BB64)),MAX(0,40*MAX(1,BB64)-(BA66)))))</f>
        <v>0</v>
      </c>
      <c r="BC67" s="63">
        <f>IF(AND(BC64=1,BC65=8),0,IF(BC64&lt;=0,0,IF(WEEKDAY(BC$6,1)=1,0,MAX(0,BC65-8)*BC64))+((IF(BC64&lt;=0,0,IF(WEEKDAY(BC$6,1)=1,0,MIN(8,BC65)*BC64)))-MIN(IF(BC64&lt;=0,0,IF(WEEKDAY(BC$6,1)=1,0,MIN(8,BC65)*BC64)),MAX(0,40*MAX(1,BC64)-(BA66+BB66)))))</f>
        <v>0</v>
      </c>
      <c r="BD67" s="63">
        <f>IF(AND(BD64=1,BD65=8),0,IF(BD64&lt;=0,0,IF(WEEKDAY(BD$6,1)=1,0,MAX(0,BD65-8)*BD64))+((IF(BD64&lt;=0,0,IF(WEEKDAY(BD$6,1)=1,0,MIN(8,BD65)*BD64)))-MIN(IF(BD64&lt;=0,0,IF(WEEKDAY(BD$6,1)=1,0,MIN(8,BD65)*BD64)),MAX(0,40*MAX(1,BD64)-(BA66+BB66+BC66)))))</f>
        <v>0</v>
      </c>
      <c r="BE67" s="63">
        <f>IF(AND(BE64=1,BE65=8),0,IF(BE64&lt;=0,0,IF(WEEKDAY(BE$6,1)=1,0,MAX(0,BE65-8)*BE64))+((IF(BE64&lt;=0,0,IF(WEEKDAY(BE$6,1)=1,0,MIN(8,BE65)*BE64)))-MIN(IF(BE64&lt;=0,0,IF(WEEKDAY(BE$6,1)=1,0,MIN(8,BE65)*BE64)),MAX(0,40*MAX(1,BE64)-(BA66+BB66+BC66+BD66)))))</f>
        <v>0</v>
      </c>
      <c r="BF67" s="64">
        <f>IF(AND(BF64=0,BF65=0),0,IF(BF64&lt;=0,0,IF(WEEKDAY(BF$6,1)=1,0,MAX(0,BF65-10)*BF64))+((IF(BF64&lt;=0,0,IF(WEEKDAY(BF$6,1)=1,0,MIN(10,BF65)*BF64)))-MIN(IF(BF64&lt;=0,0,IF(WEEKDAY(BF$6,1)=1,0,MIN(10,BF65)*BF64)),MAX(0,40*MAX(1,BF64)-(0)))))</f>
        <v>0</v>
      </c>
      <c r="BG67" s="64">
        <f>IF(AND(BG64=0,BG65=0),0,IF(BG64&lt;=0,0,IF(WEEKDAY(BG$6,1)=1,0,MAX(0,BG65-10)*BG64))+((IF(BG64&lt;=0,0,IF(WEEKDAY(BG$6,1)=1,0,MIN(10,BG65)*BG64)))-MIN(IF(BG64&lt;=0,0,IF(WEEKDAY(BG$6,1)=1,0,MIN(10,BG65)*BG64)),MAX(0,40*MAX(1,BG64)-(BF66)))))</f>
        <v>0</v>
      </c>
      <c r="BH67" s="63">
        <f>IF(AND(BH64=1,BH65=13),3,IF(BH64&lt;=0,0,IF(WEEKDAY(BH$6,1)=1,0,MAX(0,BH65-10)*BH64))+((IF(BH64&lt;=0,0,IF(WEEKDAY(BH$6,1)=1,0,MIN(10,BH65)*BH64)))-MIN(IF(BH64&lt;=0,0,IF(WEEKDAY(BH$6,1)=1,0,MIN(10,BH65)*BH64)),MAX(0,40*MAX(1,BH64)-(0)))))</f>
        <v>3</v>
      </c>
      <c r="BI67" s="63">
        <f>IF(AND(BI64=1,BI65=13),3,IF(BI64&lt;=0,0,IF(WEEKDAY(BI$6,1)=1,0,MAX(0,BI65-10)*BI64))+((IF(BI64&lt;=0,0,IF(WEEKDAY(BI$6,1)=1,0,MIN(10,BI65)*BI64)))-MIN(IF(BI64&lt;=0,0,IF(WEEKDAY(BI$6,1)=1,0,MIN(10,BI65)*BI64)),MAX(0,40*MAX(1,BI64)-(BH66)))))</f>
        <v>3</v>
      </c>
      <c r="BJ67" s="63">
        <f>IF(AND(BJ64=1,BJ65=13),3,IF(BJ64&lt;=0,0,IF(WEEKDAY(BJ$6,1)=1,0,MAX(0,BJ65-10)*BJ64))+((IF(BJ64&lt;=0,0,IF(WEEKDAY(BJ$6,1)=1,0,MIN(10,BJ65)*BJ64)))-MIN(IF(BJ64&lt;=0,0,IF(WEEKDAY(BJ$6,1)=1,0,MIN(10,BJ65)*BJ64)),MAX(0,40*MAX(1,BJ64)-(BH66+BI66)))))</f>
        <v>3</v>
      </c>
      <c r="BK67" s="63">
        <f>IF(AND(BK64=1,BK65=13),3,IF(BK64&lt;=0,0,IF(WEEKDAY(BK$6,1)=1,0,MAX(0,BK65-10)*BK64))+((IF(BK64&lt;=0,0,IF(WEEKDAY(BK$6,1)=1,0,MIN(10,BK65)*BK64)))-MIN(IF(BK64&lt;=0,0,IF(WEEKDAY(BK$6,1)=1,0,MIN(10,BK65)*BK64)),MAX(0,40*MAX(1,BK64)-(BH66+BI66+BJ66)))))</f>
        <v>3</v>
      </c>
      <c r="BL67" s="63">
        <f>IF(AND(BL64=1,BL65=13),13,IF(BL64&lt;=0,0,IF(WEEKDAY(BL$6,1)=1,0,MAX(0,BL65-10)*BL64))+((IF(BL64&lt;=0,0,IF(WEEKDAY(BL$6,1)=1,0,MIN(10,BL65)*BL64)))-MIN(IF(BL64&lt;=0,0,IF(WEEKDAY(BL$6,1)=1,0,MIN(10,BL65)*BL64)),MAX(0,40*MAX(1,BL64)-(BH66+BI66+BJ66+BK66)))))</f>
        <v>13</v>
      </c>
      <c r="BM67" s="64">
        <f>IF(AND(BM64=1,BM65=13),13,IF(BM64&lt;=0,0,IF(WEEKDAY(BM$6,1)=1,0,MAX(0,BM65-10)*BM64))+((IF(BM64&lt;=0,0,IF(WEEKDAY(BM$6,1)=1,0,MIN(10,BM65)*BM64)))-MIN(IF(BM64&lt;=0,0,IF(WEEKDAY(BM$6,1)=1,0,MIN(10,BM65)*BM64)),MAX(0,40*MAX(1,BM64)-(BH66+BI66+BJ66+BK66+BL66)))))</f>
        <v>13</v>
      </c>
      <c r="BN67" s="64">
        <f>IF(AND(BN64=1,BN65=13),0,IF(BN64&lt;=0,0,IF(WEEKDAY(BN$6,1)=1,0,MAX(0,BN65-10)*BN64))+((IF(BN64&lt;=0,0,IF(WEEKDAY(BN$6,1)=1,0,MIN(10,BN65)*BN64)))-MIN(IF(BN64&lt;=0,0,IF(WEEKDAY(BN$6,1)=1,0,MIN(10,BN65)*BN64)),MAX(0,40*MAX(1,BN64)-(BH66+BI66+BJ66+BK66+BL66+BM66)))))</f>
        <v>0</v>
      </c>
      <c r="BO67" s="63">
        <f>IF(AND(BO64=1,BO65=13),3,IF(BO64&lt;=0,0,IF(WEEKDAY(BO$6,1)=1,0,MAX(0,BO65-10)*BO64))+((IF(BO64&lt;=0,0,IF(WEEKDAY(BO$6,1)=1,0,MIN(10,BO65)*BO64)))-MIN(IF(BO64&lt;=0,0,IF(WEEKDAY(BO$6,1)=1,0,MIN(10,BO65)*BO64)),MAX(0,40*MAX(1,BO64)-(0)))))</f>
        <v>3</v>
      </c>
      <c r="BP67" s="63">
        <f>IF(AND(BP64=1,BP65=13),3,IF(BP64&lt;=0,0,IF(WEEKDAY(BP$6,1)=1,0,MAX(0,BP65-10)*BP64))+((IF(BP64&lt;=0,0,IF(WEEKDAY(BP$6,1)=1,0,MIN(10,BP65)*BP64)))-MIN(IF(BP64&lt;=0,0,IF(WEEKDAY(BP$6,1)=1,0,MIN(10,BP65)*BP64)),MAX(0,40*MAX(1,BP64)-(BO66)))))</f>
        <v>3</v>
      </c>
      <c r="BQ67" s="63">
        <f>IF(AND(BQ64=1,BQ65=13),3,IF(BQ64&lt;=0,0,IF(WEEKDAY(BQ$6,1)=1,0,MAX(0,BQ65-10)*BQ64))+((IF(BQ64&lt;=0,0,IF(WEEKDAY(BQ$6,1)=1,0,MIN(10,BQ65)*BQ64)))-MIN(IF(BQ64&lt;=0,0,IF(WEEKDAY(BQ$6,1)=1,0,MIN(10,BQ65)*BQ64)),MAX(0,40*MAX(1,BQ64)-(BO66+BP66)))))</f>
        <v>3</v>
      </c>
      <c r="BR67" s="63">
        <f>IF(AND(BR64=1,BR65=13),3,IF(BR64&lt;=0,0,IF(WEEKDAY(BR$6,1)=1,0,MAX(0,BR65-10)*BR64))+((IF(BR64&lt;=0,0,IF(WEEKDAY(BR$6,1)=1,0,MIN(10,BR65)*BR64)))-MIN(IF(BR64&lt;=0,0,IF(WEEKDAY(BR$6,1)=1,0,MIN(10,BR65)*BR64)),MAX(0,40*MAX(1,BR64)-(0)))))</f>
        <v>3</v>
      </c>
      <c r="BS67" s="63">
        <f>IF(AND(BS64=1,BS65=13),3,IF(BS64&lt;=0,0,IF(WEEKDAY(BS$6,1)=1,0,MAX(0,BS65-10)*BS64))+((IF(BS64&lt;=0,0,IF(WEEKDAY(BS$6,1)=1,0,MIN(10,BS65)*BS64)))-MIN(IF(BS64&lt;=0,0,IF(WEEKDAY(BS$6,1)=1,0,MIN(10,BS65)*BS64)),MAX(0,40*MAX(1,BS64)-(BR66)))))</f>
        <v>3</v>
      </c>
      <c r="BT67" s="64">
        <f>IF(AND(BT64=1,BT65=13),3,IF(BT64&lt;=0,0,IF(WEEKDAY(BT$6,1)=1,0,MAX(0,BT65-10)*BT64))+((IF(BT64&lt;=0,0,IF(WEEKDAY(BT$6,1)=1,0,MIN(10,BT65)*BT64)))-MIN(IF(BT64&lt;=0,0,IF(WEEKDAY(BT$6,1)=1,0,MIN(10,BT65)*BT64)),MAX(0,40*MAX(1,BT64)-(BR66+BS66)))))</f>
        <v>3</v>
      </c>
      <c r="BU67" s="64">
        <f>IF(AND(BU64=1,BU65=13),0,IF(BU64&lt;=0,0,IF(WEEKDAY(BU$6,1)=1,0,MAX(0,BU65-10)*BU64))+((IF(BU64&lt;=0,0,IF(WEEKDAY(BU$6,1)=1,0,MIN(10,BU65)*BU64)))-MIN(IF(BU64&lt;=0,0,IF(WEEKDAY(BU$6,1)=1,0,MIN(10,BU65)*BU64)),MAX(0,40*MAX(1,BU64)-(BR66+BS66+BT66)))))</f>
        <v>0</v>
      </c>
      <c r="BV67" s="63">
        <f>IF(AND(BV64=1,BV65=13),3,IF(BV64&lt;=0,0,IF(WEEKDAY(BV$6,1)=1,0,MAX(0,BV65-10)*BV64))+((IF(BV64&lt;=0,0,IF(WEEKDAY(BV$6,1)=1,0,MIN(10,BV65)*BV64)))-MIN(IF(BV64&lt;=0,0,IF(WEEKDAY(BV$6,1)=1,0,MIN(10,BV65)*BV64)),MAX(0,40*MAX(1,BV64)-(0)))))</f>
        <v>3</v>
      </c>
      <c r="BW67" s="63">
        <f>IF(AND(BW64=1,BW65=13),3,IF(BW64&lt;=0,0,IF(WEEKDAY(BW$6,1)=1,0,MAX(0,BW65-10)*BW64))+((IF(BW64&lt;=0,0,IF(WEEKDAY(BW$6,1)=1,0,MIN(10,BW65)*BW64)))-MIN(IF(BW64&lt;=0,0,IF(WEEKDAY(BW$6,1)=1,0,MIN(10,BW65)*BW64)),MAX(0,40*MAX(1,BW64)-(BV66)))))</f>
        <v>3</v>
      </c>
      <c r="BX67" s="63">
        <f>IF(AND(BX64=1,BX65=13),3,IF(BX64&lt;=0,0,IF(WEEKDAY(BX$6,1)=1,0,MAX(0,BX65-10)*BX64))+((IF(BX64&lt;=0,0,IF(WEEKDAY(BX$6,1)=1,0,MIN(10,BX65)*BX64)))-MIN(IF(BX64&lt;=0,0,IF(WEEKDAY(BX$6,1)=1,0,MIN(10,BX65)*BX64)),MAX(0,40*MAX(1,BX64)-(BV66+BW66)))))</f>
        <v>3</v>
      </c>
      <c r="BY67" s="63">
        <f>IF(AND(BY64=1,BY65=13),3,IF(BY64&lt;=0,0,IF(WEEKDAY(BY$6,1)=1,0,MAX(0,BY65-10)*BY64))+((IF(BY64&lt;=0,0,IF(WEEKDAY(BY$6,1)=1,0,MIN(10,BY65)*BY64)))-MIN(IF(BY64&lt;=0,0,IF(WEEKDAY(BY$6,1)=1,0,MIN(10,BY65)*BY64)),MAX(0,40*MAX(1,BY64)-(BV66+BW66+BX66)))))</f>
        <v>3</v>
      </c>
      <c r="BZ67" s="63">
        <f>IF(AND(BZ64=1,BZ65=13),13,IF(BZ64&lt;=0,0,IF(WEEKDAY(BZ$6,1)=1,0,MAX(0,BZ65-10)*BZ64))+((IF(BZ64&lt;=0,0,IF(WEEKDAY(BZ$6,1)=1,0,MIN(10,BZ65)*BZ64)))-MIN(IF(BZ64&lt;=0,0,IF(WEEKDAY(BZ$6,1)=1,0,MIN(10,BZ65)*BZ64)),MAX(0,40*MAX(1,BZ64)-(BV66+BW66+BX66+BY66)))))</f>
        <v>13</v>
      </c>
      <c r="CA67" s="64">
        <f>IF(AND(CA64=1,CA65=13),13,IF(CA64&lt;=0,0,IF(WEEKDAY(CA$6,1)=1,0,MAX(0,CA65-10)*CA64))+((IF(CA64&lt;=0,0,IF(WEEKDAY(CA$6,1)=1,0,MIN(10,CA65)*CA64)))-MIN(IF(CA64&lt;=0,0,IF(WEEKDAY(CA$6,1)=1,0,MIN(10,CA65)*CA64)),MAX(0,40*MAX(1,CA64)-(BV66+BW66+BX66+BY66+BZ66)))))</f>
        <v>13</v>
      </c>
      <c r="CB67" s="64">
        <f>IF(AND(CB64=0,CB65=0),0,IF(CB64&lt;=0,0,IF(WEEKDAY(CB$6,1)=1,0,MAX(0,CB65-10)*CB64))+((IF(CB64&lt;=0,0,IF(WEEKDAY(CB$6,1)=1,0,MIN(10,CB65)*CB64)))-MIN(IF(CB64&lt;=0,0,IF(WEEKDAY(CB$6,1)=1,0,MIN(10,CB65)*CB64)),MAX(0,40*MAX(1,CB64)-(0)))))</f>
        <v>0</v>
      </c>
      <c r="CC67" s="63">
        <f>IF(AND(CC64=1,CC65=13),3,IF(CC64&lt;=0,0,IF(WEEKDAY(CC$6,1)=1,0,MAX(0,CC65-10)*CC64))+((IF(CC64&lt;=0,0,IF(WEEKDAY(CC$6,1)=1,0,MIN(10,CC65)*CC64)))-MIN(IF(CC64&lt;=0,0,IF(WEEKDAY(CC$6,1)=1,0,MIN(10,CC65)*CC64)),MAX(0,40*MAX(1,CC64)-(0)))))</f>
        <v>3</v>
      </c>
      <c r="CD67" s="63">
        <f>IF(AND(CD64=1,CD65=13),3,IF(CD64&lt;=0,0,IF(WEEKDAY(CD$6,1)=1,0,MAX(0,CD65-10)*CD64))+((IF(CD64&lt;=0,0,IF(WEEKDAY(CD$6,1)=1,0,MIN(10,CD65)*CD64)))-MIN(IF(CD64&lt;=0,0,IF(WEEKDAY(CD$6,1)=1,0,MIN(10,CD65)*CD64)),MAX(0,40*MAX(1,CD64)-(CC66)))))</f>
        <v>3</v>
      </c>
      <c r="CE67" s="63">
        <f>IF(AND(CE64=1,CE65=13),3,IF(CE64&lt;=0,0,IF(WEEKDAY(CE$6,1)=1,0,MAX(0,CE65-10)*CE64))+((IF(CE64&lt;=0,0,IF(WEEKDAY(CE$6,1)=1,0,MIN(10,CE65)*CE64)))-MIN(IF(CE64&lt;=0,0,IF(WEEKDAY(CE$6,1)=1,0,MIN(10,CE65)*CE64)),MAX(0,40*MAX(1,CE64)-(CC66+CD66)))))</f>
        <v>3</v>
      </c>
      <c r="CF67" s="63">
        <f>IF(AND(CF64=1,CF65=13),3,IF(CF64&lt;=0,0,IF(WEEKDAY(CF$6,1)=1,0,MAX(0,CF65-10)*CF64))+((IF(CF64&lt;=0,0,IF(WEEKDAY(CF$6,1)=1,0,MIN(10,CF65)*CF64)))-MIN(IF(CF64&lt;=0,0,IF(WEEKDAY(CF$6,1)=1,0,MIN(10,CF65)*CF64)),MAX(0,40*MAX(1,CF64)-(CC66+CD66+CE66)))))</f>
        <v>3</v>
      </c>
      <c r="CG67" s="63">
        <f>IF(AND(CG64=1,CG65=13),13,IF(CG64&lt;=0,0,IF(WEEKDAY(CG$6,1)=1,0,MAX(0,CG65-10)*CG64))+((IF(CG64&lt;=0,0,IF(WEEKDAY(CG$6,1)=1,0,MIN(10,CG65)*CG64)))-MIN(IF(CG64&lt;=0,0,IF(WEEKDAY(CG$6,1)=1,0,MIN(10,CG65)*CG64)),MAX(0,40*MAX(1,CG64)-(CC66+CD66+CE66+CF66)))))</f>
        <v>13</v>
      </c>
      <c r="CH67" s="64">
        <f>IF(AND(CH64=1,CH65=13),13,IF(CH64&lt;=0,0,IF(WEEKDAY(CH$6,1)=1,0,MAX(0,CH65-10)*CH64))+((IF(CH64&lt;=0,0,IF(WEEKDAY(CH$6,1)=1,0,MIN(10,CH65)*CH64)))-MIN(IF(CH64&lt;=0,0,IF(WEEKDAY(CH$6,1)=1,0,MIN(10,CH65)*CH64)),MAX(0,40*MAX(1,CH64)-(CC66+CD66+CE66+CF66+CG66)))))</f>
        <v>13</v>
      </c>
      <c r="CI67" s="64">
        <f>IF(AND(CI64=1,CI65=13),0,IF(CI64&lt;=0,0,IF(WEEKDAY(CI$6,1)=1,0,MAX(0,CI65-10)*CI64))+((IF(CI64&lt;=0,0,IF(WEEKDAY(CI$6,1)=1,0,MIN(10,CI65)*CI64)))-MIN(IF(CI64&lt;=0,0,IF(WEEKDAY(CI$6,1)=1,0,MIN(10,CI65)*CI64)),MAX(0,40*MAX(1,CI64)-(CC66+CD66+CE66+CF66+CG66+CH66)))))</f>
        <v>0</v>
      </c>
      <c r="CJ67" s="63">
        <f>IF(AND(CJ64=1,CJ65=13),3,IF(CJ64&lt;=0,0,IF(WEEKDAY(CJ$6,1)=1,0,MAX(0,CJ65-10)*CJ64))+((IF(CJ64&lt;=0,0,IF(WEEKDAY(CJ$6,1)=1,0,MIN(10,CJ65)*CJ64)))-MIN(IF(CJ64&lt;=0,0,IF(WEEKDAY(CJ$6,1)=1,0,MIN(10,CJ65)*CJ64)),MAX(0,40*MAX(1,CJ64)-(0)))))</f>
        <v>3</v>
      </c>
      <c r="CK67" s="63">
        <f>IF(AND(CK64=1,CK65=13),3,IF(CK64&lt;=0,0,IF(WEEKDAY(CK$6,1)=1,0,MAX(0,CK65-10)*CK64))+((IF(CK64&lt;=0,0,IF(WEEKDAY(CK$6,1)=1,0,MIN(10,CK65)*CK64)))-MIN(IF(CK64&lt;=0,0,IF(WEEKDAY(CK$6,1)=1,0,MIN(10,CK65)*CK64)),MAX(0,40*MAX(1,CK64)-(CJ66)))))</f>
        <v>3</v>
      </c>
      <c r="CL67" s="63">
        <f>IF(AND(CL64=1,CL65=13),3,IF(CL64&lt;=0,0,IF(WEEKDAY(CL$6,1)=1,0,MAX(0,CL65-10)*CL64))+((IF(CL64&lt;=0,0,IF(WEEKDAY(CL$6,1)=1,0,MIN(10,CL65)*CL64)))-MIN(IF(CL64&lt;=0,0,IF(WEEKDAY(CL$6,1)=1,0,MIN(10,CL65)*CL64)),MAX(0,40*MAX(1,CL64)-(CJ66+CK66)))))</f>
        <v>3</v>
      </c>
      <c r="CM67" s="63">
        <f>IF(AND(CM64=1,CM65=13),3,IF(CM64&lt;=0,0,IF(WEEKDAY(CM$6,1)=1,0,MAX(0,CM65-10)*CM64))+((IF(CM64&lt;=0,0,IF(WEEKDAY(CM$6,1)=1,0,MIN(10,CM65)*CM64)))-MIN(IF(CM64&lt;=0,0,IF(WEEKDAY(CM$6,1)=1,0,MIN(10,CM65)*CM64)),MAX(0,40*MAX(1,CM64)-(CJ66+CK66+CL66)))))</f>
        <v>3</v>
      </c>
      <c r="CN67" s="63">
        <f>IF(AND(CN64=1,CN65=13),13,IF(CN64&lt;=0,0,IF(WEEKDAY(CN$6,1)=1,0,MAX(0,CN65-10)*CN64))+((IF(CN64&lt;=0,0,IF(WEEKDAY(CN$6,1)=1,0,MIN(10,CN65)*CN64)))-MIN(IF(CN64&lt;=0,0,IF(WEEKDAY(CN$6,1)=1,0,MIN(10,CN65)*CN64)),MAX(0,40*MAX(1,CN64)-(CJ66+CK66+CL66+CM66)))))</f>
        <v>13</v>
      </c>
      <c r="CO67" s="64">
        <f>IF(AND(CO64=1,CO65=13),13,IF(CO64&lt;=0,0,IF(WEEKDAY(CO$6,1)=1,0,MAX(0,CO65-10)*CO64))+((IF(CO64&lt;=0,0,IF(WEEKDAY(CO$6,1)=1,0,MIN(10,CO65)*CO64)))-MIN(IF(CO64&lt;=0,0,IF(WEEKDAY(CO$6,1)=1,0,MIN(10,CO65)*CO64)),MAX(0,40*MAX(1,CO64)-(CJ66+CK66+CL66+CM66+CN66)))))</f>
        <v>13</v>
      </c>
      <c r="CP67" s="64">
        <f>IF(AND(CP64=0,CP65=0),0,IF(CP64&lt;=0,0,IF(WEEKDAY(CP$6,1)=1,0,MAX(0,CP65-10)*CP64))+((IF(CP64&lt;=0,0,IF(WEEKDAY(CP$6,1)=1,0,MIN(10,CP65)*CP64)))-MIN(IF(CP64&lt;=0,0,IF(WEEKDAY(CP$6,1)=1,0,MIN(10,CP65)*CP64)),MAX(0,40*MAX(1,CP64)-(0)))))</f>
        <v>0</v>
      </c>
      <c r="CQ67" s="63">
        <f>IF(AND(CQ64=1,CQ65=13),3,IF(CQ64&lt;=0,0,IF(WEEKDAY(CQ$6,1)=1,0,MAX(0,CQ65-10)*CQ64))+((IF(CQ64&lt;=0,0,IF(WEEKDAY(CQ$6,1)=1,0,MIN(10,CQ65)*CQ64)))-MIN(IF(CQ64&lt;=0,0,IF(WEEKDAY(CQ$6,1)=1,0,MIN(10,CQ65)*CQ64)),MAX(0,40*MAX(1,CQ64)-(0)))))</f>
        <v>3</v>
      </c>
      <c r="CR67" s="63">
        <f>IF(AND(CR64=1,CR65=13),3,IF(CR64&lt;=0,0,IF(WEEKDAY(CR$6,1)=1,0,MAX(0,CR65-10)*CR64))+((IF(CR64&lt;=0,0,IF(WEEKDAY(CR$6,1)=1,0,MIN(10,CR65)*CR64)))-MIN(IF(CR64&lt;=0,0,IF(WEEKDAY(CR$6,1)=1,0,MIN(10,CR65)*CR64)),MAX(0,40*MAX(1,CR64)-(CQ66)))))</f>
        <v>3</v>
      </c>
      <c r="CS67" s="63">
        <f>IF(AND(CS64=1,CS65=13),3,IF(CS64&lt;=0,0,IF(WEEKDAY(CS$6,1)=1,0,MAX(0,CS65-10)*CS64))+((IF(CS64&lt;=0,0,IF(WEEKDAY(CS$6,1)=1,0,MIN(10,CS65)*CS64)))-MIN(IF(CS64&lt;=0,0,IF(WEEKDAY(CS$6,1)=1,0,MIN(10,CS65)*CS64)),MAX(0,40*MAX(1,CS64)-(CQ66+CR66)))))</f>
        <v>3</v>
      </c>
      <c r="CT67" s="63">
        <f>IF(AND(CT64=1,CT65=13),3,IF(CT64&lt;=0,0,IF(WEEKDAY(CT$6,1)=1,0,MAX(0,CT65-10)*CT64))+((IF(CT64&lt;=0,0,IF(WEEKDAY(CT$6,1)=1,0,MIN(10,CT65)*CT64)))-MIN(IF(CT64&lt;=0,0,IF(WEEKDAY(CT$6,1)=1,0,MIN(10,CT65)*CT64)),MAX(0,40*MAX(1,CT64)-(CQ66+CR66+CS66)))))</f>
        <v>3</v>
      </c>
      <c r="CU67" s="63">
        <f>IF(AND(CU64=1,CU65=13),13,IF(CU64&lt;=0,0,IF(WEEKDAY(CU$6,1)=1,0,MAX(0,CU65-10)*CU64))+((IF(CU64&lt;=0,0,IF(WEEKDAY(CU$6,1)=1,0,MIN(10,CU65)*CU64)))-MIN(IF(CU64&lt;=0,0,IF(WEEKDAY(CU$6,1)=1,0,MIN(10,CU65)*CU64)),MAX(0,40*MAX(1,CU64)-(CQ66+CR66+CS66+CT66)))))</f>
        <v>13</v>
      </c>
      <c r="CV67" s="64">
        <f>IF(AND(CV64=1,CV65=13),13,IF(CV64&lt;=0,0,IF(WEEKDAY(CV$6,1)=1,0,MAX(0,CV65-10)*CV64))+((IF(CV64&lt;=0,0,IF(WEEKDAY(CV$6,1)=1,0,MIN(10,CV65)*CV64)))-MIN(IF(CV64&lt;=0,0,IF(WEEKDAY(CV$6,1)=1,0,MIN(10,CV65)*CV64)),MAX(0,40*MAX(1,CV64)-(CQ66+CR66+CS66+CT66+CU66)))))</f>
        <v>13</v>
      </c>
      <c r="CW67" s="64">
        <f>IF(AND(CW64=1,CW65=13),0,IF(CW64&lt;=0,0,IF(WEEKDAY(CW$6,1)=1,0,MAX(0,CW65-10)*CW64))+((IF(CW64&lt;=0,0,IF(WEEKDAY(CW$6,1)=1,0,MIN(10,CW65)*CW64)))-MIN(IF(CW64&lt;=0,0,IF(WEEKDAY(CW$6,1)=1,0,MIN(10,CW65)*CW64)),MAX(0,40*MAX(1,CW64)-(CQ66+CR66+CS66+CT66+CU66+CV66)))))</f>
        <v>0</v>
      </c>
      <c r="CX67" s="63">
        <f>IF(AND(CX64=1,CX65=13),3,IF(CX64&lt;=0,0,IF(WEEKDAY(CX$6,1)=1,0,MAX(0,CX65-10)*CX64))+((IF(CX64&lt;=0,0,IF(WEEKDAY(CX$6,1)=1,0,MIN(10,CX65)*CX64)))-MIN(IF(CX64&lt;=0,0,IF(WEEKDAY(CX$6,1)=1,0,MIN(10,CX65)*CX64)),MAX(0,40*MAX(1,CX64)-(0)))))</f>
        <v>3</v>
      </c>
      <c r="CY67" s="63">
        <f>IF(AND(CY64=1,CY65=13),3,IF(CY64&lt;=0,0,IF(WEEKDAY(CY$6,1)=1,0,MAX(0,CY65-10)*CY64))+((IF(CY64&lt;=0,0,IF(WEEKDAY(CY$6,1)=1,0,MIN(10,CY65)*CY64)))-MIN(IF(CY64&lt;=0,0,IF(WEEKDAY(CY$6,1)=1,0,MIN(10,CY65)*CY64)),MAX(0,40*MAX(1,CY64)-(CX66)))))</f>
        <v>3</v>
      </c>
      <c r="CZ67" s="63">
        <f>IF(AND(CZ64=1,CZ65=13),3,IF(CZ64&lt;=0,0,IF(WEEKDAY(CZ$6,1)=1,0,MAX(0,CZ65-10)*CZ64))+((IF(CZ64&lt;=0,0,IF(WEEKDAY(CZ$6,1)=1,0,MIN(10,CZ65)*CZ64)))-MIN(IF(CZ64&lt;=0,0,IF(WEEKDAY(CZ$6,1)=1,0,MIN(10,CZ65)*CZ64)),MAX(0,40*MAX(1,CZ64)-(CX66+CY66)))))</f>
        <v>3</v>
      </c>
      <c r="DA67" s="63">
        <f>IF(AND(DA64=1,DA65=13),3,IF(DA64&lt;=0,0,IF(WEEKDAY(DA$6,1)=1,0,MAX(0,DA65-10)*DA64))+((IF(DA64&lt;=0,0,IF(WEEKDAY(DA$6,1)=1,0,MIN(10,DA65)*DA64)))-MIN(IF(DA64&lt;=0,0,IF(WEEKDAY(DA$6,1)=1,0,MIN(10,DA65)*DA64)),MAX(0,40*MAX(1,DA64)-(CX66+CY66+CZ66)))))</f>
        <v>3</v>
      </c>
      <c r="DB67" s="63">
        <f>IF(AND(DB64=1,DB65=13),13,IF(DB64&lt;=0,0,IF(WEEKDAY(DB$6,1)=1,0,MAX(0,DB65-10)*DB64))+((IF(DB64&lt;=0,0,IF(WEEKDAY(DB$6,1)=1,0,MIN(10,DB65)*DB64)))-MIN(IF(DB64&lt;=0,0,IF(WEEKDAY(DB$6,1)=1,0,MIN(10,DB65)*DB64)),MAX(0,40*MAX(1,DB64)-(CX66+CY66+CZ66+DA66)))))</f>
        <v>13</v>
      </c>
      <c r="DC67" s="64">
        <f>IF(AND(DC64=1,DC65=13),13,IF(DC64&lt;=0,0,IF(WEEKDAY(DC$6,1)=1,0,MAX(0,DC65-10)*DC64))+((IF(DC64&lt;=0,0,IF(WEEKDAY(DC$6,1)=1,0,MIN(10,DC65)*DC64)))-MIN(IF(DC64&lt;=0,0,IF(WEEKDAY(DC$6,1)=1,0,MIN(10,DC65)*DC64)),MAX(0,40*MAX(1,DC64)-(CX66+CY66+CZ66+DA66+DB66)))))</f>
        <v>13</v>
      </c>
      <c r="DD67" s="64">
        <f>IF(AND(DD64=1,DD65=13),0,IF(DD64&lt;=0,0,IF(WEEKDAY(DD$6,1)=1,0,MAX(0,DD65-10)*DD64))+((IF(DD64&lt;=0,0,IF(WEEKDAY(DD$6,1)=1,0,MIN(10,DD65)*DD64)))-MIN(IF(DD64&lt;=0,0,IF(WEEKDAY(DD$6,1)=1,0,MIN(10,DD65)*DD64)),MAX(0,40*MAX(1,DD64)-(0)))))</f>
        <v>0</v>
      </c>
      <c r="DE67" s="63">
        <f>IF(AND(DE64=1,DE65=13),3,IF(DE64&lt;=0,0,IF(WEEKDAY(DE$6,1)=1,0,MAX(0,DE65-10)*DE64))+((IF(DE64&lt;=0,0,IF(WEEKDAY(DE$6,1)=1,0,MIN(10,DE65)*DE64)))-MIN(IF(DE64&lt;=0,0,IF(WEEKDAY(DE$6,1)=1,0,MIN(10,DE65)*DE64)),MAX(0,40*MAX(1,DE64)-(0)))))</f>
        <v>3</v>
      </c>
      <c r="DF67" s="63">
        <f>IF(AND(DF64=1,DF65=13),3,IF(DF64&lt;=0,0,IF(WEEKDAY(DF$6,1)=1,0,MAX(0,DF65-10)*DF64))+((IF(DF64&lt;=0,0,IF(WEEKDAY(DF$6,1)=1,0,MIN(10,DF65)*DF64)))-MIN(IF(DF64&lt;=0,0,IF(WEEKDAY(DF$6,1)=1,0,MIN(10,DF65)*DF64)),MAX(0,40*MAX(1,DF64)-(DE66)))))</f>
        <v>3</v>
      </c>
      <c r="DG67" s="63">
        <f>IF(AND(DG64=1,DG65=13),3,IF(DG64&lt;=0,0,IF(WEEKDAY(DG$6,1)=1,0,MAX(0,DG65-10)*DG64))+((IF(DG64&lt;=0,0,IF(WEEKDAY(DG$6,1)=1,0,MIN(10,DG65)*DG64)))-MIN(IF(DG64&lt;=0,0,IF(WEEKDAY(DG$6,1)=1,0,MIN(10,DG65)*DG64)),MAX(0,40*MAX(1,DG64)-(DE66+DF66)))))</f>
        <v>3</v>
      </c>
      <c r="DH67" s="63">
        <f>IF(AND(DH64=1,DH65=13),3,IF(DH64&lt;=0,0,IF(WEEKDAY(DH$6,1)=1,0,MAX(0,DH65-10)*DH64))+((IF(DH64&lt;=0,0,IF(WEEKDAY(DH$6,1)=1,0,MIN(10,DH65)*DH64)))-MIN(IF(DH64&lt;=0,0,IF(WEEKDAY(DH$6,1)=1,0,MIN(10,DH65)*DH64)),MAX(0,40*MAX(1,DH64)-(DE66+DF66+DG66)))))</f>
        <v>3</v>
      </c>
      <c r="DI67" s="63">
        <f>IF(AND(DI64=1,DI65=13),13,IF(DI64&lt;=0,0,IF(WEEKDAY(DI$6,1)=1,0,MAX(0,DI65-10)*DI64))+((IF(DI64&lt;=0,0,IF(WEEKDAY(DI$6,1)=1,0,MIN(10,DI65)*DI64)))-MIN(IF(DI64&lt;=0,0,IF(WEEKDAY(DI$6,1)=1,0,MIN(10,DI65)*DI64)),MAX(0,40*MAX(1,DI64)-(DE66+DF66+DG66+DH66)))))</f>
        <v>13</v>
      </c>
      <c r="DJ67" s="64">
        <f>IF(AND(DJ64=1,DJ65=13),13,IF(DJ64&lt;=0,0,IF(WEEKDAY(DJ$6,1)=1,0,MAX(0,DJ65-10)*DJ64))+((IF(DJ64&lt;=0,0,IF(WEEKDAY(DJ$6,1)=1,0,MIN(10,DJ65)*DJ64)))-MIN(IF(DJ64&lt;=0,0,IF(WEEKDAY(DJ$6,1)=1,0,MIN(10,DJ65)*DJ64)),MAX(0,40*MAX(1,DJ64)-(DE66+DF66+DG66+DH66+DI66)))))</f>
        <v>13</v>
      </c>
      <c r="DK67" s="64">
        <f>IF(AND(DK64=0,DK65=0),0,IF(DK64&lt;=0,0,IF(WEEKDAY(DK$6,1)=1,0,MAX(0,DK65-10)*DK64))+((IF(DK64&lt;=0,0,IF(WEEKDAY(DK$6,1)=1,0,MIN(10,DK65)*DK64)))-MIN(IF(DK64&lt;=0,0,IF(WEEKDAY(DK$6,1)=1,0,MIN(10,DK65)*DK64)),MAX(0,40*MAX(1,DK64)-(0)))))</f>
        <v>0</v>
      </c>
      <c r="DL67" s="63">
        <f>IF(AND(DL64=1,DL65=13),3,IF(DL64&lt;=0,0,IF(WEEKDAY(DL$6,1)=1,0,MAX(0,DL65-10)*DL64))+((IF(DL64&lt;=0,0,IF(WEEKDAY(DL$6,1)=1,0,MIN(10,DL65)*DL64)))-MIN(IF(DL64&lt;=0,0,IF(WEEKDAY(DL$6,1)=1,0,MIN(10,DL65)*DL64)),MAX(0,40*MAX(1,DL64)-(0)))))</f>
        <v>3</v>
      </c>
      <c r="DM67" s="63">
        <f>IF(AND(DM64=1,DM65=13),3,IF(DM64&lt;=0,0,IF(WEEKDAY(DM$6,1)=1,0,MAX(0,DM65-10)*DM64))+((IF(DM64&lt;=0,0,IF(WEEKDAY(DM$6,1)=1,0,MIN(10,DM65)*DM64)))-MIN(IF(DM64&lt;=0,0,IF(WEEKDAY(DM$6,1)=1,0,MIN(10,DM65)*DM64)),MAX(0,40*MAX(1,DM64)-(DL66)))))</f>
        <v>3</v>
      </c>
      <c r="DN67" s="63">
        <f>IF(AND(DN64=1,DN65=13),3,IF(DN64&lt;=0,0,IF(WEEKDAY(DN$6,1)=1,0,MAX(0,DN65-10)*DN64))+((IF(DN64&lt;=0,0,IF(WEEKDAY(DN$6,1)=1,0,MIN(10,DN65)*DN64)))-MIN(IF(DN64&lt;=0,0,IF(WEEKDAY(DN$6,1)=1,0,MIN(10,DN65)*DN64)),MAX(0,40*MAX(1,DN64)-(DL66+DM66)))))</f>
        <v>3</v>
      </c>
      <c r="DO67" s="63">
        <f>IF(AND(DO64=1,DO65=13),3,IF(DO64&lt;=0,0,IF(WEEKDAY(DO$6,1)=1,0,MAX(0,DO65-10)*DO64))+((IF(DO64&lt;=0,0,IF(WEEKDAY(DO$6,1)=1,0,MIN(10,DO65)*DO64)))-MIN(IF(DO64&lt;=0,0,IF(WEEKDAY(DO$6,1)=1,0,MIN(10,DO65)*DO64)),MAX(0,40*MAX(1,DO64)-(DL66+DM66+DN66)))))</f>
        <v>3</v>
      </c>
      <c r="DP67" s="63">
        <f>IF(AND(DP64=1,DP65=13),13,IF(DP64&lt;=0,0,IF(WEEKDAY(DP$6,1)=1,0,MAX(0,DP65-10)*DP64))+((IF(DP64&lt;=0,0,IF(WEEKDAY(DP$6,1)=1,0,MIN(10,DP65)*DP64)))-MIN(IF(DP64&lt;=0,0,IF(WEEKDAY(DP$6,1)=1,0,MIN(10,DP65)*DP64)),MAX(0,40*MAX(1,DP64)-(DL66+DM66+DN66+DO66)))))</f>
        <v>13</v>
      </c>
      <c r="DQ67" s="64">
        <f>IF(AND(DQ64=1,DQ65=13),13,IF(DQ64&lt;=0,0,IF(WEEKDAY(DQ$6,1)=1,0,MAX(0,DQ65-10)*DQ64))+((IF(DQ64&lt;=0,0,IF(WEEKDAY(DQ$6,1)=1,0,MIN(10,DQ65)*DQ64)))-MIN(IF(DQ64&lt;=0,0,IF(WEEKDAY(DQ$6,1)=1,0,MIN(10,DQ65)*DQ64)),MAX(0,40*MAX(1,DQ64)-(DL66+DM66+DN66+DO66+DP66)))))</f>
        <v>13</v>
      </c>
      <c r="DR67" s="64">
        <f>IF(AND(DR64=1,DR65=13),0,IF(DR64&lt;=0,0,IF(WEEKDAY(DR$6,1)=1,0,MAX(0,DR65-10)*DR64))+((IF(DR64&lt;=0,0,IF(WEEKDAY(DR$6,1)=1,0,MIN(10,DR65)*DR64)))-MIN(IF(DR64&lt;=0,0,IF(WEEKDAY(DR$6,1)=1,0,MIN(10,DR65)*DR64)),MAX(0,40*MAX(1,DR64)-(DL66+DM66+DN66+DO66+DP66+DQ66)))))</f>
        <v>0</v>
      </c>
      <c r="DS67" s="63">
        <f>IF(AND(DS64=1,DS65=13),3,IF(DS64&lt;=0,0,IF(WEEKDAY(DS$6,1)=1,0,MAX(0,DS65-10)*DS64))+((IF(DS64&lt;=0,0,IF(WEEKDAY(DS$6,1)=1,0,MIN(10,DS65)*DS64)))-MIN(IF(DS64&lt;=0,0,IF(WEEKDAY(DS$6,1)=1,0,MIN(10,DS65)*DS64)),MAX(0,40*MAX(1,DS64)-(0)))))</f>
        <v>3</v>
      </c>
      <c r="DT67" s="63">
        <f>IF(AND(DT64=0,DT65=0),0,IF(DT64&lt;=0,0,IF(WEEKDAY(DT$6,1)=1,0,MAX(0,DT65-10)*DT64))+((IF(DT64&lt;=0,0,IF(WEEKDAY(DT$6,1)=1,0,MIN(10,DT65)*DT64)))-MIN(IF(DT64&lt;=0,0,IF(WEEKDAY(DT$6,1)=1,0,MIN(10,DT65)*DT64)),MAX(0,40*MAX(1,DT64)-(0)))))</f>
        <v>0</v>
      </c>
      <c r="DU67" s="63">
        <f>IF(AND(DU64=0,DU65=0),0,IF(DU64&lt;=0,0,IF(WEEKDAY(DU$6,1)=1,0,MAX(0,DU65-10)*DU64))+((IF(DU64&lt;=0,0,IF(WEEKDAY(DU$6,1)=1,0,MIN(10,DU65)*DU64)))-MIN(IF(DU64&lt;=0,0,IF(WEEKDAY(DU$6,1)=1,0,MIN(10,DU65)*DU64)),MAX(0,40*MAX(1,DU64)-(DT66)))))</f>
        <v>0</v>
      </c>
      <c r="DV67" s="63">
        <f>IF(AND(DV64=0,DV65=0),0,IF(DV64&lt;=0,0,IF(WEEKDAY(DV$6,1)=1,0,MAX(0,DV65-10)*DV64))+((IF(DV64&lt;=0,0,IF(WEEKDAY(DV$6,1)=1,0,MIN(10,DV65)*DV64)))-MIN(IF(DV64&lt;=0,0,IF(WEEKDAY(DV$6,1)=1,0,MIN(10,DV65)*DV64)),MAX(0,40*MAX(1,DV64)-(DT66+DU66)))))</f>
        <v>0</v>
      </c>
      <c r="DW67" s="63">
        <f>IF(AND(DW64=0,DW65=0),0,IF(DW64&lt;=0,0,IF(WEEKDAY(DW$6,1)=1,0,MAX(0,DW65-10)*DW64))+((IF(DW64&lt;=0,0,IF(WEEKDAY(DW$6,1)=1,0,MIN(10,DW65)*DW64)))-MIN(IF(DW64&lt;=0,0,IF(WEEKDAY(DW$6,1)=1,0,MIN(10,DW65)*DW64)),MAX(0,40*MAX(1,DW64)-(DT66+DU66+DV66)))))</f>
        <v>0</v>
      </c>
      <c r="DX67" s="64">
        <f>IF(AND(DX64=0,DX65=0),0,IF(DX64&lt;=0,0,IF(WEEKDAY(DX$6,1)=1,0,MAX(0,DX65-10)*DX64))+((IF(DX64&lt;=0,0,IF(WEEKDAY(DX$6,1)=1,0,MIN(10,DX65)*DX64)))-MIN(IF(DX64&lt;=0,0,IF(WEEKDAY(DX$6,1)=1,0,MIN(10,DX65)*DX64)),MAX(0,40*MAX(1,DX64)-(DT66+DU66+DV66+DW66)))))</f>
        <v>0</v>
      </c>
      <c r="DY67" s="64">
        <f>IF(AND(DY64=0,DY65=0),0,IF(DY64&lt;=0,0,IF(WEEKDAY(DY$6,1)=1,0,MAX(0,DY65-10)*DY64))+((IF(DY64&lt;=0,0,IF(WEEKDAY(DY$6,1)=1,0,MIN(10,DY65)*DY64)))-MIN(IF(DY64&lt;=0,0,IF(WEEKDAY(DY$6,1)=1,0,MIN(10,DY65)*DY64)),MAX(0,40*MAX(1,DY64)-(DT66+DU66+DV66+DW66+DX66)))))</f>
        <v>0</v>
      </c>
      <c r="DZ67" s="63">
        <f>IF(AND(DZ64=0,DZ65=0),0,IF(DZ64&lt;=0,0,IF(WEEKDAY(DZ$6,1)=1,0,MAX(0,DZ65-10)*DZ64))+((IF(DZ64&lt;=0,0,IF(WEEKDAY(DZ$6,1)=1,0,MIN(10,DZ65)*DZ64)))-MIN(IF(DZ64&lt;=0,0,IF(WEEKDAY(DZ$6,1)=1,0,MIN(10,DZ65)*DZ64)),MAX(0,40*MAX(1,DZ64)-(0)))))</f>
        <v>0</v>
      </c>
      <c r="EA67" s="63">
        <f>IF(AND(EA64=0,EA65=0),0,IF(EA64&lt;=0,0,IF(WEEKDAY(EA$6,1)=1,0,MAX(0,EA65-10)*EA64))+((IF(EA64&lt;=0,0,IF(WEEKDAY(EA$6,1)=1,0,MIN(10,EA65)*EA64)))-MIN(IF(EA64&lt;=0,0,IF(WEEKDAY(EA$6,1)=1,0,MIN(10,EA65)*EA64)),MAX(0,40*MAX(1,EA64)-(DZ66)))))</f>
        <v>0</v>
      </c>
      <c r="EB67" s="63">
        <f>IF(AND(EB64=0,EB65=0),0,IF(EB64&lt;=0,0,IF(WEEKDAY(EB$6,1)=1,0,MAX(0,EB65-10)*EB64))+((IF(EB64&lt;=0,0,IF(WEEKDAY(EB$6,1)=1,0,MIN(10,EB65)*EB64)))-MIN(IF(EB64&lt;=0,0,IF(WEEKDAY(EB$6,1)=1,0,MIN(10,EB65)*EB64)),MAX(0,40*MAX(1,EB64)-(DZ66+EA66)))))</f>
        <v>0</v>
      </c>
      <c r="EC67" s="63">
        <f>IF(AND(EC64=0,EC65=0),0,IF(EC64&lt;=0,0,IF(WEEKDAY(EC$6,1)=1,0,MAX(0,EC65-10)*EC64))+((IF(EC64&lt;=0,0,IF(WEEKDAY(EC$6,1)=1,0,MIN(10,EC65)*EC64)))-MIN(IF(EC64&lt;=0,0,IF(WEEKDAY(EC$6,1)=1,0,MIN(10,EC65)*EC64)),MAX(0,40*MAX(1,EC64)-(DZ66+EA66+EB66)))))</f>
        <v>0</v>
      </c>
      <c r="ED67" s="63">
        <f>IF(AND(ED64=0,ED65=0),0,IF(ED64&lt;=0,0,IF(WEEKDAY(ED$6,1)=1,0,MAX(0,ED65-10)*ED64))+((IF(ED64&lt;=0,0,IF(WEEKDAY(ED$6,1)=1,0,MIN(10,ED65)*ED64)))-MIN(IF(ED64&lt;=0,0,IF(WEEKDAY(ED$6,1)=1,0,MIN(10,ED65)*ED64)),MAX(0,40*MAX(1,ED64)-(DZ66+EA66+EB66+EC66)))))</f>
        <v>0</v>
      </c>
      <c r="EE67" s="64">
        <f>IF(AND(EE64=0,EE65=0),0,IF(EE64&lt;=0,0,IF(WEEKDAY(EE$6,1)=1,0,MAX(0,EE65-10)*EE64))+((IF(EE64&lt;=0,0,IF(WEEKDAY(EE$6,1)=1,0,MIN(10,EE65)*EE64)))-MIN(IF(EE64&lt;=0,0,IF(WEEKDAY(EE$6,1)=1,0,MIN(10,EE65)*EE64)),MAX(0,40*MAX(1,EE64)-(DZ66+EA66+EB66+EC66+ED66)))))</f>
        <v>0</v>
      </c>
      <c r="EF67" s="64">
        <f>IF(AND(EF64=0,EF65=0),0,IF(EF64&lt;=0,0,IF(WEEKDAY(EF$6,1)=1,0,MAX(0,EF65-10)*EF64))+((IF(EF64&lt;=0,0,IF(WEEKDAY(EF$6,1)=1,0,MIN(10,EF65)*EF64)))-MIN(IF(EF64&lt;=0,0,IF(WEEKDAY(EF$6,1)=1,0,MIN(10,EF65)*EF64)),MAX(0,40*MAX(1,EF64)-(DZ66+EA66+EB66+EC66+ED66+EE66)))))</f>
        <v>0</v>
      </c>
      <c r="EG67" s="63">
        <f>IF(AND(EG64=0,EG65=0),0,IF(EG64&lt;=0,0,IF(WEEKDAY(EG$6,1)=1,0,MAX(0,EG65-10)*EG64))+((IF(EG64&lt;=0,0,IF(WEEKDAY(EG$6,1)=1,0,MIN(10,EG65)*EG64)))-MIN(IF(EG64&lt;=0,0,IF(WEEKDAY(EG$6,1)=1,0,MIN(10,EG65)*EG64)),MAX(0,40*MAX(1,EG64)-(0)))))</f>
        <v>0</v>
      </c>
      <c r="EH67" s="63">
        <f>IF(AND(EH64=0,EH65=0),0,IF(EH64&lt;=0,0,IF(WEEKDAY(EH$6,1)=1,0,MAX(0,EH65-10)*EH64))+((IF(EH64&lt;=0,0,IF(WEEKDAY(EH$6,1)=1,0,MIN(10,EH65)*EH64)))-MIN(IF(EH64&lt;=0,0,IF(WEEKDAY(EH$6,1)=1,0,MIN(10,EH65)*EH64)),MAX(0,40*MAX(1,EH64)-(EG66)))))</f>
        <v>0</v>
      </c>
      <c r="EI67" s="63">
        <f>IF(AND(EI64=0,EI65=0),0,IF(EI64&lt;=0,0,IF(WEEKDAY(EI$6,1)=1,0,MAX(0,EI65-10)*EI64))+((IF(EI64&lt;=0,0,IF(WEEKDAY(EI$6,1)=1,0,MIN(10,EI65)*EI64)))-MIN(IF(EI64&lt;=0,0,IF(WEEKDAY(EI$6,1)=1,0,MIN(10,EI65)*EI64)),MAX(0,40*MAX(1,EI64)-(EG66+EH66)))))</f>
        <v>0</v>
      </c>
      <c r="EJ67" s="63">
        <f>IF(AND(EJ64=0,EJ65=0),0,IF(EJ64&lt;=0,0,IF(WEEKDAY(EJ$6,1)=1,0,MAX(0,EJ65-10)*EJ64))+((IF(EJ64&lt;=0,0,IF(WEEKDAY(EJ$6,1)=1,0,MIN(10,EJ65)*EJ64)))-MIN(IF(EJ64&lt;=0,0,IF(WEEKDAY(EJ$6,1)=1,0,MIN(10,EJ65)*EJ64)),MAX(0,40*MAX(1,EJ64)-(EG66+EH66+EI66)))))</f>
        <v>0</v>
      </c>
      <c r="EK67" s="65">
        <f>IF(AND(EK64=0,EK65=0),0,IF(EK64&lt;=0,0,IF(WEEKDAY(EK$6,1)=1,0,MAX(0,EK65-10)*EK64))+((IF(EK64&lt;=0,0,IF(WEEKDAY(EK$6,1)=1,0,MIN(10,EK65)*EK64)))-MIN(IF(EK64&lt;=0,0,IF(WEEKDAY(EK$6,1)=1,0,MIN(10,EK65)*EK64)),MAX(0,40*MAX(1,EK64)-(EG66+EH66+EI66+EJ66)))))</f>
        <v>0</v>
      </c>
      <c r="OU67" s="28" t="s">
        <v>77</v>
      </c>
    </row>
    <row r="68" ht="16" customHeight="1" spans="1:411" x14ac:dyDescent="0.25">
      <c r="A68" s="74"/>
      <c r="B68" s="46"/>
      <c r="C68" s="61">
        <f>H63*N(D68)</f>
        <v>13505.7</v>
      </c>
      <c r="D68" s="61">
        <f>IF(TRIM(B63)="","No rate",IFERROR(INDEX('Rate Tables'!E$7:E$158,MATCH(B63,'Rate Tables'!A$7:A$158,0)),"No rate"))</f>
        <v>173.15</v>
      </c>
      <c r="E68" s="55" t="s">
        <v>64</v>
      </c>
      <c r="F68" s="49"/>
      <c r="G68" s="49"/>
      <c r="H68" s="49"/>
      <c r="I68" s="49"/>
      <c r="J68" s="50"/>
      <c r="K68" s="62">
        <f>IF(AND(K64=0,K65=0),0,IF(K64&lt;=0,0,IF(WEEKDAY(K$6,1)=1,K64*K65,0)))</f>
        <v>0</v>
      </c>
      <c r="L68" s="63">
        <f>IF(AND(L64=0,L65=0),0,IF(L64&lt;=0,0,IF(WEEKDAY(L$6,1)=1,L64*L65,0)))</f>
        <v>0</v>
      </c>
      <c r="M68" s="63">
        <f>IF(AND(M64=0,M65=0),0,IF(M64&lt;=0,0,IF(WEEKDAY(M$6,1)=1,M64*M65,0)))</f>
        <v>0</v>
      </c>
      <c r="N68" s="63">
        <f>IF(AND(N64=0,N65=0),0,IF(N64&lt;=0,0,IF(WEEKDAY(N$6,1)=1,N64*N65,0)))</f>
        <v>0</v>
      </c>
      <c r="O68" s="63">
        <f>IF(AND(O64=0,O65=0),0,IF(O64&lt;=0,0,IF(WEEKDAY(O$6,1)=1,O64*O65,0)))</f>
        <v>0</v>
      </c>
      <c r="P68" s="64">
        <f>IF(AND(P64=0,P65=0),0,IF(P64&lt;=0,0,IF(WEEKDAY(P$6,1)=1,P64*P65,0)))</f>
        <v>0</v>
      </c>
      <c r="Q68" s="64">
        <f>IF(AND(Q64=0,Q65=0),0,IF(Q64&lt;=0,0,IF(WEEKDAY(Q$6,1)=1,Q64*Q65,0)))</f>
        <v>0</v>
      </c>
      <c r="R68" s="63">
        <f>IF(AND(R64=0,R65=0),0,IF(R64&lt;=0,0,IF(WEEKDAY(R$6,1)=1,R64*R65,0)))</f>
        <v>0</v>
      </c>
      <c r="S68" s="63">
        <f>IF(AND(S64=0,S65=0),0,IF(S64&lt;=0,0,IF(WEEKDAY(S$6,1)=1,S64*S65,0)))</f>
        <v>0</v>
      </c>
      <c r="T68" s="63">
        <f>IF(AND(T64=0,T65=0),0,IF(T64&lt;=0,0,IF(WEEKDAY(T$6,1)=1,T64*T65,0)))</f>
        <v>0</v>
      </c>
      <c r="U68" s="63">
        <f>IF(AND(U64=0,U65=0),0,IF(U64&lt;=0,0,IF(WEEKDAY(U$6,1)=1,U64*U65,0)))</f>
        <v>0</v>
      </c>
      <c r="V68" s="63">
        <f>IF(AND(V64=0,V65=0),0,IF(V64&lt;=0,0,IF(WEEKDAY(V$6,1)=1,V64*V65,0)))</f>
        <v>0</v>
      </c>
      <c r="W68" s="64">
        <f>IF(AND(W64=0,W65=0),0,IF(W64&lt;=0,0,IF(WEEKDAY(W$6,1)=1,W64*W65,0)))</f>
        <v>0</v>
      </c>
      <c r="X68" s="64">
        <f>IF(AND(X64=0,X65=0),0,IF(X64&lt;=0,0,IF(WEEKDAY(X$6,1)=1,X64*X65,0)))</f>
        <v>0</v>
      </c>
      <c r="Y68" s="63">
        <f>IF(AND(Y64=0,Y65=0),0,IF(Y64&lt;=0,0,IF(WEEKDAY(Y$6,1)=1,Y64*Y65,0)))</f>
        <v>0</v>
      </c>
      <c r="Z68" s="63">
        <f>IF(AND(Z64=0,Z65=0),0,IF(Z64&lt;=0,0,IF(WEEKDAY(Z$6,1)=1,Z64*Z65,0)))</f>
        <v>0</v>
      </c>
      <c r="AA68" s="63">
        <f>IF(AND(AA64=0,AA65=0),0,IF(AA64&lt;=0,0,IF(WEEKDAY(AA$6,1)=1,AA64*AA65,0)))</f>
        <v>0</v>
      </c>
      <c r="AB68" s="63">
        <f>IF(AND(AB64=0,AB65=0),0,IF(AB64&lt;=0,0,IF(WEEKDAY(AB$6,1)=1,AB64*AB65,0)))</f>
        <v>0</v>
      </c>
      <c r="AC68" s="63">
        <f>IF(AND(AC64=0,AC65=0),0,IF(AC64&lt;=0,0,IF(WEEKDAY(AC$6,1)=1,AC64*AC65,0)))</f>
        <v>0</v>
      </c>
      <c r="AD68" s="64">
        <f>IF(AND(AD64=0,AD65=0),0,IF(AD64&lt;=0,0,IF(WEEKDAY(AD$6,1)=1,AD64*AD65,0)))</f>
        <v>0</v>
      </c>
      <c r="AE68" s="64">
        <f>IF(AND(AE64=0,AE65=0),0,IF(AE64&lt;=0,0,IF(WEEKDAY(AE$6,1)=1,AE64*AE65,0)))</f>
        <v>0</v>
      </c>
      <c r="AF68" s="63">
        <f>IF(AND(AF64=0,AF65=0),0,IF(AF64&lt;=0,0,IF(WEEKDAY(AF$6,1)=1,AF64*AF65,0)))</f>
        <v>0</v>
      </c>
      <c r="AG68" s="63">
        <f>IF(AND(AG64=0,AG65=0),0,IF(AG64&lt;=0,0,IF(WEEKDAY(AG$6,1)=1,AG64*AG65,0)))</f>
        <v>0</v>
      </c>
      <c r="AH68" s="63">
        <f>IF(AND(AH64=0,AH65=0),0,IF(AH64&lt;=0,0,IF(WEEKDAY(AH$6,1)=1,AH64*AH65,0)))</f>
        <v>0</v>
      </c>
      <c r="AI68" s="63">
        <f>IF(AND(AI64=0,AI65=0),0,IF(AI64&lt;=0,0,IF(WEEKDAY(AI$6,1)=1,AI64*AI65,0)))</f>
        <v>0</v>
      </c>
      <c r="AJ68" s="63">
        <f>IF(AND(AJ64=0,AJ65=0),0,IF(AJ64&lt;=0,0,IF(WEEKDAY(AJ$6,1)=1,AJ64*AJ65,0)))</f>
        <v>0</v>
      </c>
      <c r="AK68" s="64">
        <f>IF(AND(AK64=0,AK65=0),0,IF(AK64&lt;=0,0,IF(WEEKDAY(AK$6,1)=1,AK64*AK65,0)))</f>
        <v>0</v>
      </c>
      <c r="AL68" s="64">
        <f>IF(AND(AL64=0,AL65=0),0,IF(AL64&lt;=0,0,IF(WEEKDAY(AL$6,1)=1,AL64*AL65,0)))</f>
        <v>0</v>
      </c>
      <c r="AM68" s="63">
        <f>IF(AND(AM64=0,AM65=0),0,IF(AM64&lt;=0,0,IF(WEEKDAY(AM$6,1)=1,AM64*AM65,0)))</f>
        <v>0</v>
      </c>
      <c r="AN68" s="63">
        <f>IF(AND(AN64=0,AN65=0),0,IF(AN64&lt;=0,0,IF(WEEKDAY(AN$6,1)=1,AN64*AN65,0)))</f>
        <v>0</v>
      </c>
      <c r="AO68" s="63">
        <f>IF(AND(AO64=0,AO65=0),0,IF(AO64&lt;=0,0,IF(WEEKDAY(AO$6,1)=1,AO64*AO65,0)))</f>
        <v>0</v>
      </c>
      <c r="AP68" s="63">
        <f>IF(AND(AP64=0,AP65=0),0,IF(AP64&lt;=0,0,IF(WEEKDAY(AP$6,1)=1,AP64*AP65,0)))</f>
        <v>0</v>
      </c>
      <c r="AQ68" s="63">
        <f>IF(AND(AQ64=0,AQ65=0),0,IF(AQ64&lt;=0,0,IF(WEEKDAY(AQ$6,1)=1,AQ64*AQ65,0)))</f>
        <v>0</v>
      </c>
      <c r="AR68" s="64">
        <f>IF(AND(AR64=0,AR65=0),0,IF(AR64&lt;=0,0,IF(WEEKDAY(AR$6,1)=1,AR64*AR65,0)))</f>
        <v>0</v>
      </c>
      <c r="AS68" s="64">
        <f>IF(AND(AS64=0,AS65=0),0,IF(AS64&lt;=0,0,IF(WEEKDAY(AS$6,1)=1,AS64*AS65,0)))</f>
        <v>0</v>
      </c>
      <c r="AT68" s="63">
        <f>IF(AND(AT64=0,AT65=0),0,IF(AT64&lt;=0,0,IF(WEEKDAY(AT$6,1)=1,AT64*AT65,0)))</f>
        <v>0</v>
      </c>
      <c r="AU68" s="63">
        <f>IF(AND(AU64=0,AU65=0),0,IF(AU64&lt;=0,0,IF(WEEKDAY(AU$6,1)=1,AU64*AU65,0)))</f>
        <v>0</v>
      </c>
      <c r="AV68" s="63">
        <f>IF(AND(AV64=0,AV65=0),0,IF(AV64&lt;=0,0,IF(WEEKDAY(AV$6,1)=1,AV64*AV65,0)))</f>
        <v>0</v>
      </c>
      <c r="AW68" s="63">
        <f>IF(AND(AW64=1,AW65=8),0,IF(AW64&lt;=0,0,IF(WEEKDAY(AW$6,1)=1,AW64*AW65,0)))</f>
        <v>0</v>
      </c>
      <c r="AX68" s="63">
        <f>IF(AND(AX64=1,AX65=8),0,IF(AX64&lt;=0,0,IF(WEEKDAY(AX$6,1)=1,AX64*AX65,0)))</f>
        <v>0</v>
      </c>
      <c r="AY68" s="64">
        <f>IF(AND(AY64=0,AY65=0),0,IF(AY64&lt;=0,0,IF(WEEKDAY(AY$6,1)=1,AY64*AY65,0)))</f>
        <v>0</v>
      </c>
      <c r="AZ68" s="64">
        <f>IF(AND(AZ64=0,AZ65=0),0,IF(AZ64&lt;=0,0,IF(WEEKDAY(AZ$6,1)=1,AZ64*AZ65,0)))</f>
        <v>0</v>
      </c>
      <c r="BA68" s="63">
        <f>IF(AND(BA64=1,BA65=8),0,IF(BA64&lt;=0,0,IF(WEEKDAY(BA$6,1)=1,BA64*BA65,0)))</f>
        <v>0</v>
      </c>
      <c r="BB68" s="63">
        <f>IF(AND(BB64=1,BB65=8),0,IF(BB64&lt;=0,0,IF(WEEKDAY(BB$6,1)=1,BB64*BB65,0)))</f>
        <v>0</v>
      </c>
      <c r="BC68" s="63">
        <f>IF(AND(BC64=1,BC65=8),0,IF(BC64&lt;=0,0,IF(WEEKDAY(BC$6,1)=1,BC64*BC65,0)))</f>
        <v>0</v>
      </c>
      <c r="BD68" s="63">
        <f>IF(AND(BD64=1,BD65=8),0,IF(BD64&lt;=0,0,IF(WEEKDAY(BD$6,1)=1,BD64*BD65,0)))</f>
        <v>0</v>
      </c>
      <c r="BE68" s="63">
        <f>IF(AND(BE64=1,BE65=8),0,IF(BE64&lt;=0,0,IF(WEEKDAY(BE$6,1)=1,BE64*BE65,0)))</f>
        <v>0</v>
      </c>
      <c r="BF68" s="64">
        <f>IF(AND(BF64=0,BF65=0),0,IF(BF64&lt;=0,0,IF(WEEKDAY(BF$6,1)=1,BF64*BF65,0)))</f>
        <v>0</v>
      </c>
      <c r="BG68" s="64">
        <f>IF(AND(BG64=0,BG65=0),0,IF(BG64&lt;=0,0,IF(WEEKDAY(BG$6,1)=1,BG64*BG65,0)))</f>
        <v>0</v>
      </c>
      <c r="BH68" s="63">
        <f>IF(AND(BH64=1,BH65=13),0,IF(BH64&lt;=0,0,IF(WEEKDAY(BH$6,1)=1,BH64*BH65,0)))</f>
        <v>0</v>
      </c>
      <c r="BI68" s="63">
        <f>IF(AND(BI64=1,BI65=13),0,IF(BI64&lt;=0,0,IF(WEEKDAY(BI$6,1)=1,BI64*BI65,0)))</f>
        <v>0</v>
      </c>
      <c r="BJ68" s="63">
        <f>IF(AND(BJ64=1,BJ65=13),0,IF(BJ64&lt;=0,0,IF(WEEKDAY(BJ$6,1)=1,BJ64*BJ65,0)))</f>
        <v>0</v>
      </c>
      <c r="BK68" s="63">
        <f>IF(AND(BK64=1,BK65=13),0,IF(BK64&lt;=0,0,IF(WEEKDAY(BK$6,1)=1,BK64*BK65,0)))</f>
        <v>0</v>
      </c>
      <c r="BL68" s="63">
        <f>IF(AND(BL64=1,BL65=13),0,IF(BL64&lt;=0,0,IF(WEEKDAY(BL$6,1)=1,BL64*BL65,0)))</f>
        <v>0</v>
      </c>
      <c r="BM68" s="64">
        <f>IF(AND(BM64=1,BM65=13),0,IF(BM64&lt;=0,0,IF(WEEKDAY(BM$6,1)=1,BM64*BM65,0)))</f>
        <v>0</v>
      </c>
      <c r="BN68" s="64">
        <f>IF(AND(BN64=1,BN65=13),13,IF(BN64&lt;=0,0,IF(WEEKDAY(BN$6,1)=1,BN64*BN65,0)))</f>
        <v>13</v>
      </c>
      <c r="BO68" s="63">
        <f>IF(AND(BO64=1,BO65=13),0,IF(BO64&lt;=0,0,IF(WEEKDAY(BO$6,1)=1,BO64*BO65,0)))</f>
        <v>0</v>
      </c>
      <c r="BP68" s="63">
        <f>IF(AND(BP64=1,BP65=13),0,IF(BP64&lt;=0,0,IF(WEEKDAY(BP$6,1)=1,BP64*BP65,0)))</f>
        <v>0</v>
      </c>
      <c r="BQ68" s="63">
        <f>IF(AND(BQ64=1,BQ65=13),0,IF(BQ64&lt;=0,0,IF(WEEKDAY(BQ$6,1)=1,BQ64*BQ65,0)))</f>
        <v>0</v>
      </c>
      <c r="BR68" s="63">
        <f>IF(AND(BR64=1,BR65=13),0,IF(BR64&lt;=0,0,IF(WEEKDAY(BR$6,1)=1,BR64*BR65,0)))</f>
        <v>0</v>
      </c>
      <c r="BS68" s="63">
        <f>IF(AND(BS64=1,BS65=13),0,IF(BS64&lt;=0,0,IF(WEEKDAY(BS$6,1)=1,BS64*BS65,0)))</f>
        <v>0</v>
      </c>
      <c r="BT68" s="64">
        <f>IF(AND(BT64=1,BT65=13),0,IF(BT64&lt;=0,0,IF(WEEKDAY(BT$6,1)=1,BT64*BT65,0)))</f>
        <v>0</v>
      </c>
      <c r="BU68" s="64">
        <f>IF(AND(BU64=1,BU65=13),13,IF(BU64&lt;=0,0,IF(WEEKDAY(BU$6,1)=1,BU64*BU65,0)))</f>
        <v>13</v>
      </c>
      <c r="BV68" s="63">
        <f>IF(AND(BV64=1,BV65=13),0,IF(BV64&lt;=0,0,IF(WEEKDAY(BV$6,1)=1,BV64*BV65,0)))</f>
        <v>0</v>
      </c>
      <c r="BW68" s="63">
        <f>IF(AND(BW64=1,BW65=13),0,IF(BW64&lt;=0,0,IF(WEEKDAY(BW$6,1)=1,BW64*BW65,0)))</f>
        <v>0</v>
      </c>
      <c r="BX68" s="63">
        <f>IF(AND(BX64=1,BX65=13),0,IF(BX64&lt;=0,0,IF(WEEKDAY(BX$6,1)=1,BX64*BX65,0)))</f>
        <v>0</v>
      </c>
      <c r="BY68" s="63">
        <f>IF(AND(BY64=1,BY65=13),0,IF(BY64&lt;=0,0,IF(WEEKDAY(BY$6,1)=1,BY64*BY65,0)))</f>
        <v>0</v>
      </c>
      <c r="BZ68" s="63">
        <f>IF(AND(BZ64=1,BZ65=13),0,IF(BZ64&lt;=0,0,IF(WEEKDAY(BZ$6,1)=1,BZ64*BZ65,0)))</f>
        <v>0</v>
      </c>
      <c r="CA68" s="64">
        <f>IF(AND(CA64=1,CA65=13),0,IF(CA64&lt;=0,0,IF(WEEKDAY(CA$6,1)=1,CA64*CA65,0)))</f>
        <v>0</v>
      </c>
      <c r="CB68" s="64">
        <f>IF(AND(CB64=0,CB65=0),0,IF(CB64&lt;=0,0,IF(WEEKDAY(CB$6,1)=1,CB64*CB65,0)))</f>
        <v>0</v>
      </c>
      <c r="CC68" s="63">
        <f>IF(AND(CC64=1,CC65=13),0,IF(CC64&lt;=0,0,IF(WEEKDAY(CC$6,1)=1,CC64*CC65,0)))</f>
        <v>0</v>
      </c>
      <c r="CD68" s="63">
        <f>IF(AND(CD64=1,CD65=13),0,IF(CD64&lt;=0,0,IF(WEEKDAY(CD$6,1)=1,CD64*CD65,0)))</f>
        <v>0</v>
      </c>
      <c r="CE68" s="63">
        <f>IF(AND(CE64=1,CE65=13),0,IF(CE64&lt;=0,0,IF(WEEKDAY(CE$6,1)=1,CE64*CE65,0)))</f>
        <v>0</v>
      </c>
      <c r="CF68" s="63">
        <f>IF(AND(CF64=1,CF65=13),0,IF(CF64&lt;=0,0,IF(WEEKDAY(CF$6,1)=1,CF64*CF65,0)))</f>
        <v>0</v>
      </c>
      <c r="CG68" s="63">
        <f>IF(AND(CG64=1,CG65=13),0,IF(CG64&lt;=0,0,IF(WEEKDAY(CG$6,1)=1,CG64*CG65,0)))</f>
        <v>0</v>
      </c>
      <c r="CH68" s="64">
        <f>IF(AND(CH64=1,CH65=13),0,IF(CH64&lt;=0,0,IF(WEEKDAY(CH$6,1)=1,CH64*CH65,0)))</f>
        <v>0</v>
      </c>
      <c r="CI68" s="64">
        <f>IF(AND(CI64=1,CI65=13),13,IF(CI64&lt;=0,0,IF(WEEKDAY(CI$6,1)=1,CI64*CI65,0)))</f>
        <v>13</v>
      </c>
      <c r="CJ68" s="63">
        <f>IF(AND(CJ64=1,CJ65=13),0,IF(CJ64&lt;=0,0,IF(WEEKDAY(CJ$6,1)=1,CJ64*CJ65,0)))</f>
        <v>0</v>
      </c>
      <c r="CK68" s="63">
        <f>IF(AND(CK64=1,CK65=13),0,IF(CK64&lt;=0,0,IF(WEEKDAY(CK$6,1)=1,CK64*CK65,0)))</f>
        <v>0</v>
      </c>
      <c r="CL68" s="63">
        <f>IF(AND(CL64=1,CL65=13),0,IF(CL64&lt;=0,0,IF(WEEKDAY(CL$6,1)=1,CL64*CL65,0)))</f>
        <v>0</v>
      </c>
      <c r="CM68" s="63">
        <f>IF(AND(CM64=1,CM65=13),0,IF(CM64&lt;=0,0,IF(WEEKDAY(CM$6,1)=1,CM64*CM65,0)))</f>
        <v>0</v>
      </c>
      <c r="CN68" s="63">
        <f>IF(AND(CN64=1,CN65=13),0,IF(CN64&lt;=0,0,IF(WEEKDAY(CN$6,1)=1,CN64*CN65,0)))</f>
        <v>0</v>
      </c>
      <c r="CO68" s="64">
        <f>IF(AND(CO64=1,CO65=13),0,IF(CO64&lt;=0,0,IF(WEEKDAY(CO$6,1)=1,CO64*CO65,0)))</f>
        <v>0</v>
      </c>
      <c r="CP68" s="64">
        <f>IF(AND(CP64=0,CP65=0),0,IF(CP64&lt;=0,0,IF(WEEKDAY(CP$6,1)=1,CP64*CP65,0)))</f>
        <v>0</v>
      </c>
      <c r="CQ68" s="63">
        <f>IF(AND(CQ64=1,CQ65=13),0,IF(CQ64&lt;=0,0,IF(WEEKDAY(CQ$6,1)=1,CQ64*CQ65,0)))</f>
        <v>0</v>
      </c>
      <c r="CR68" s="63">
        <f>IF(AND(CR64=1,CR65=13),0,IF(CR64&lt;=0,0,IF(WEEKDAY(CR$6,1)=1,CR64*CR65,0)))</f>
        <v>0</v>
      </c>
      <c r="CS68" s="63">
        <f>IF(AND(CS64=1,CS65=13),0,IF(CS64&lt;=0,0,IF(WEEKDAY(CS$6,1)=1,CS64*CS65,0)))</f>
        <v>0</v>
      </c>
      <c r="CT68" s="63">
        <f>IF(AND(CT64=1,CT65=13),0,IF(CT64&lt;=0,0,IF(WEEKDAY(CT$6,1)=1,CT64*CT65,0)))</f>
        <v>0</v>
      </c>
      <c r="CU68" s="63">
        <f>IF(AND(CU64=1,CU65=13),0,IF(CU64&lt;=0,0,IF(WEEKDAY(CU$6,1)=1,CU64*CU65,0)))</f>
        <v>0</v>
      </c>
      <c r="CV68" s="64">
        <f>IF(AND(CV64=1,CV65=13),0,IF(CV64&lt;=0,0,IF(WEEKDAY(CV$6,1)=1,CV64*CV65,0)))</f>
        <v>0</v>
      </c>
      <c r="CW68" s="64">
        <f>IF(AND(CW64=1,CW65=13),13,IF(CW64&lt;=0,0,IF(WEEKDAY(CW$6,1)=1,CW64*CW65,0)))</f>
        <v>13</v>
      </c>
      <c r="CX68" s="63">
        <f>IF(AND(CX64=1,CX65=13),0,IF(CX64&lt;=0,0,IF(WEEKDAY(CX$6,1)=1,CX64*CX65,0)))</f>
        <v>0</v>
      </c>
      <c r="CY68" s="63">
        <f>IF(AND(CY64=1,CY65=13),0,IF(CY64&lt;=0,0,IF(WEEKDAY(CY$6,1)=1,CY64*CY65,0)))</f>
        <v>0</v>
      </c>
      <c r="CZ68" s="63">
        <f>IF(AND(CZ64=1,CZ65=13),0,IF(CZ64&lt;=0,0,IF(WEEKDAY(CZ$6,1)=1,CZ64*CZ65,0)))</f>
        <v>0</v>
      </c>
      <c r="DA68" s="63">
        <f>IF(AND(DA64=1,DA65=13),0,IF(DA64&lt;=0,0,IF(WEEKDAY(DA$6,1)=1,DA64*DA65,0)))</f>
        <v>0</v>
      </c>
      <c r="DB68" s="63">
        <f>IF(AND(DB64=1,DB65=13),0,IF(DB64&lt;=0,0,IF(WEEKDAY(DB$6,1)=1,DB64*DB65,0)))</f>
        <v>0</v>
      </c>
      <c r="DC68" s="64">
        <f>IF(AND(DC64=1,DC65=13),0,IF(DC64&lt;=0,0,IF(WEEKDAY(DC$6,1)=1,DC64*DC65,0)))</f>
        <v>0</v>
      </c>
      <c r="DD68" s="64">
        <f>IF(AND(DD64=1,DD65=13),13,IF(DD64&lt;=0,0,IF(WEEKDAY(DD$6,1)=1,DD64*DD65,0)))</f>
        <v>13</v>
      </c>
      <c r="DE68" s="63">
        <f>IF(AND(DE64=1,DE65=13),0,IF(DE64&lt;=0,0,IF(WEEKDAY(DE$6,1)=1,DE64*DE65,0)))</f>
        <v>0</v>
      </c>
      <c r="DF68" s="63">
        <f>IF(AND(DF64=1,DF65=13),0,IF(DF64&lt;=0,0,IF(WEEKDAY(DF$6,1)=1,DF64*DF65,0)))</f>
        <v>0</v>
      </c>
      <c r="DG68" s="63">
        <f>IF(AND(DG64=1,DG65=13),0,IF(DG64&lt;=0,0,IF(WEEKDAY(DG$6,1)=1,DG64*DG65,0)))</f>
        <v>0</v>
      </c>
      <c r="DH68" s="63">
        <f>IF(AND(DH64=1,DH65=13),0,IF(DH64&lt;=0,0,IF(WEEKDAY(DH$6,1)=1,DH64*DH65,0)))</f>
        <v>0</v>
      </c>
      <c r="DI68" s="63">
        <f>IF(AND(DI64=1,DI65=13),0,IF(DI64&lt;=0,0,IF(WEEKDAY(DI$6,1)=1,DI64*DI65,0)))</f>
        <v>0</v>
      </c>
      <c r="DJ68" s="64">
        <f>IF(AND(DJ64=1,DJ65=13),0,IF(DJ64&lt;=0,0,IF(WEEKDAY(DJ$6,1)=1,DJ64*DJ65,0)))</f>
        <v>0</v>
      </c>
      <c r="DK68" s="64">
        <f>IF(AND(DK64=0,DK65=0),0,IF(DK64&lt;=0,0,IF(WEEKDAY(DK$6,1)=1,DK64*DK65,0)))</f>
        <v>0</v>
      </c>
      <c r="DL68" s="63">
        <f>IF(AND(DL64=1,DL65=13),0,IF(DL64&lt;=0,0,IF(WEEKDAY(DL$6,1)=1,DL64*DL65,0)))</f>
        <v>0</v>
      </c>
      <c r="DM68" s="63">
        <f>IF(AND(DM64=1,DM65=13),0,IF(DM64&lt;=0,0,IF(WEEKDAY(DM$6,1)=1,DM64*DM65,0)))</f>
        <v>0</v>
      </c>
      <c r="DN68" s="63">
        <f>IF(AND(DN64=1,DN65=13),0,IF(DN64&lt;=0,0,IF(WEEKDAY(DN$6,1)=1,DN64*DN65,0)))</f>
        <v>0</v>
      </c>
      <c r="DO68" s="63">
        <f>IF(AND(DO64=1,DO65=13),0,IF(DO64&lt;=0,0,IF(WEEKDAY(DO$6,1)=1,DO64*DO65,0)))</f>
        <v>0</v>
      </c>
      <c r="DP68" s="63">
        <f>IF(AND(DP64=1,DP65=13),0,IF(DP64&lt;=0,0,IF(WEEKDAY(DP$6,1)=1,DP64*DP65,0)))</f>
        <v>0</v>
      </c>
      <c r="DQ68" s="64">
        <f>IF(AND(DQ64=1,DQ65=13),0,IF(DQ64&lt;=0,0,IF(WEEKDAY(DQ$6,1)=1,DQ64*DQ65,0)))</f>
        <v>0</v>
      </c>
      <c r="DR68" s="64">
        <f>IF(AND(DR64=1,DR65=13),13,IF(DR64&lt;=0,0,IF(WEEKDAY(DR$6,1)=1,DR64*DR65,0)))</f>
        <v>13</v>
      </c>
      <c r="DS68" s="63">
        <f>IF(AND(DS64=1,DS65=13),0,IF(DS64&lt;=0,0,IF(WEEKDAY(DS$6,1)=1,DS64*DS65,0)))</f>
        <v>0</v>
      </c>
      <c r="DT68" s="63">
        <f>IF(AND(DT64=0,DT65=0),0,IF(DT64&lt;=0,0,IF(WEEKDAY(DT$6,1)=1,DT64*DT65,0)))</f>
        <v>0</v>
      </c>
      <c r="DU68" s="63">
        <f>IF(AND(DU64=0,DU65=0),0,IF(DU64&lt;=0,0,IF(WEEKDAY(DU$6,1)=1,DU64*DU65,0)))</f>
        <v>0</v>
      </c>
      <c r="DV68" s="63">
        <f>IF(AND(DV64=0,DV65=0),0,IF(DV64&lt;=0,0,IF(WEEKDAY(DV$6,1)=1,DV64*DV65,0)))</f>
        <v>0</v>
      </c>
      <c r="DW68" s="63">
        <f>IF(AND(DW64=0,DW65=0),0,IF(DW64&lt;=0,0,IF(WEEKDAY(DW$6,1)=1,DW64*DW65,0)))</f>
        <v>0</v>
      </c>
      <c r="DX68" s="64">
        <f>IF(AND(DX64=0,DX65=0),0,IF(DX64&lt;=0,0,IF(WEEKDAY(DX$6,1)=1,DX64*DX65,0)))</f>
        <v>0</v>
      </c>
      <c r="DY68" s="64">
        <f>IF(AND(DY64=0,DY65=0),0,IF(DY64&lt;=0,0,IF(WEEKDAY(DY$6,1)=1,DY64*DY65,0)))</f>
        <v>0</v>
      </c>
      <c r="DZ68" s="63">
        <f>IF(AND(DZ64=0,DZ65=0),0,IF(DZ64&lt;=0,0,IF(WEEKDAY(DZ$6,1)=1,DZ64*DZ65,0)))</f>
        <v>0</v>
      </c>
      <c r="EA68" s="63">
        <f>IF(AND(EA64=0,EA65=0),0,IF(EA64&lt;=0,0,IF(WEEKDAY(EA$6,1)=1,EA64*EA65,0)))</f>
        <v>0</v>
      </c>
      <c r="EB68" s="63">
        <f>IF(AND(EB64=0,EB65=0),0,IF(EB64&lt;=0,0,IF(WEEKDAY(EB$6,1)=1,EB64*EB65,0)))</f>
        <v>0</v>
      </c>
      <c r="EC68" s="63">
        <f>IF(AND(EC64=0,EC65=0),0,IF(EC64&lt;=0,0,IF(WEEKDAY(EC$6,1)=1,EC64*EC65,0)))</f>
        <v>0</v>
      </c>
      <c r="ED68" s="63">
        <f>IF(AND(ED64=0,ED65=0),0,IF(ED64&lt;=0,0,IF(WEEKDAY(ED$6,1)=1,ED64*ED65,0)))</f>
        <v>0</v>
      </c>
      <c r="EE68" s="64">
        <f>IF(AND(EE64=0,EE65=0),0,IF(EE64&lt;=0,0,IF(WEEKDAY(EE$6,1)=1,EE64*EE65,0)))</f>
        <v>0</v>
      </c>
      <c r="EF68" s="64">
        <f>IF(AND(EF64=0,EF65=0),0,IF(EF64&lt;=0,0,IF(WEEKDAY(EF$6,1)=1,EF64*EF65,0)))</f>
        <v>0</v>
      </c>
      <c r="EG68" s="63">
        <f>IF(AND(EG64=0,EG65=0),0,IF(EG64&lt;=0,0,IF(WEEKDAY(EG$6,1)=1,EG64*EG65,0)))</f>
        <v>0</v>
      </c>
      <c r="EH68" s="63">
        <f>IF(AND(EH64=0,EH65=0),0,IF(EH64&lt;=0,0,IF(WEEKDAY(EH$6,1)=1,EH64*EH65,0)))</f>
        <v>0</v>
      </c>
      <c r="EI68" s="63">
        <f>IF(AND(EI64=0,EI65=0),0,IF(EI64&lt;=0,0,IF(WEEKDAY(EI$6,1)=1,EI64*EI65,0)))</f>
        <v>0</v>
      </c>
      <c r="EJ68" s="63">
        <f>IF(AND(EJ64=0,EJ65=0),0,IF(EJ64&lt;=0,0,IF(WEEKDAY(EJ$6,1)=1,EJ64*EJ65,0)))</f>
        <v>0</v>
      </c>
      <c r="EK68" s="65">
        <f>IF(AND(EK64=0,EK65=0),0,IF(EK64&lt;=0,0,IF(WEEKDAY(EK$6,1)=1,EK64*EK65,0)))</f>
        <v>0</v>
      </c>
      <c r="OU68" s="28" t="s">
        <v>77</v>
      </c>
    </row>
    <row r="69" ht="16" customHeight="1" spans="1:411" x14ac:dyDescent="0.25">
      <c r="A69" s="74"/>
      <c r="B69" s="46"/>
      <c r="C69" s="67">
        <f>I63*D69</f>
        <v>9520</v>
      </c>
      <c r="D69" s="67">
        <v>140</v>
      </c>
      <c r="E69" s="68" t="s">
        <v>65</v>
      </c>
      <c r="F69" s="49"/>
      <c r="G69" s="49"/>
      <c r="H69" s="49"/>
      <c r="I69" s="49"/>
      <c r="J69" s="50"/>
      <c r="K69" s="69">
        <v>0</v>
      </c>
      <c r="L69" s="70">
        <v>0</v>
      </c>
      <c r="M69" s="70">
        <v>0</v>
      </c>
      <c r="N69" s="70">
        <v>0</v>
      </c>
      <c r="O69" s="70">
        <v>0</v>
      </c>
      <c r="P69" s="71">
        <v>0</v>
      </c>
      <c r="Q69" s="71">
        <v>0</v>
      </c>
      <c r="R69" s="70">
        <v>0</v>
      </c>
      <c r="S69" s="70">
        <v>0</v>
      </c>
      <c r="T69" s="70">
        <v>0</v>
      </c>
      <c r="U69" s="70">
        <v>0</v>
      </c>
      <c r="V69" s="70">
        <v>0</v>
      </c>
      <c r="W69" s="71">
        <v>0</v>
      </c>
      <c r="X69" s="71">
        <v>0</v>
      </c>
      <c r="Y69" s="70">
        <v>0</v>
      </c>
      <c r="Z69" s="70">
        <v>0</v>
      </c>
      <c r="AA69" s="70">
        <v>0</v>
      </c>
      <c r="AB69" s="70">
        <v>0</v>
      </c>
      <c r="AC69" s="70">
        <v>0</v>
      </c>
      <c r="AD69" s="71">
        <v>0</v>
      </c>
      <c r="AE69" s="71">
        <v>0</v>
      </c>
      <c r="AF69" s="70">
        <v>0</v>
      </c>
      <c r="AG69" s="70">
        <v>0</v>
      </c>
      <c r="AH69" s="70">
        <v>0</v>
      </c>
      <c r="AI69" s="70">
        <v>0</v>
      </c>
      <c r="AJ69" s="70">
        <v>0</v>
      </c>
      <c r="AK69" s="71">
        <v>0</v>
      </c>
      <c r="AL69" s="71">
        <v>0</v>
      </c>
      <c r="AM69" s="70">
        <v>0</v>
      </c>
      <c r="AN69" s="70">
        <v>0</v>
      </c>
      <c r="AO69" s="70">
        <v>0</v>
      </c>
      <c r="AP69" s="70">
        <v>0</v>
      </c>
      <c r="AQ69" s="70">
        <v>0</v>
      </c>
      <c r="AR69" s="71">
        <v>0</v>
      </c>
      <c r="AS69" s="71">
        <v>0</v>
      </c>
      <c r="AT69" s="70">
        <v>0</v>
      </c>
      <c r="AU69" s="70">
        <v>0</v>
      </c>
      <c r="AV69" s="70">
        <v>0</v>
      </c>
      <c r="AW69" s="70">
        <v>1</v>
      </c>
      <c r="AX69" s="70">
        <v>1</v>
      </c>
      <c r="AY69" s="71">
        <v>0</v>
      </c>
      <c r="AZ69" s="71">
        <v>0</v>
      </c>
      <c r="BA69" s="70">
        <v>1</v>
      </c>
      <c r="BB69" s="70">
        <v>1</v>
      </c>
      <c r="BC69" s="70">
        <v>1</v>
      </c>
      <c r="BD69" s="70">
        <v>1</v>
      </c>
      <c r="BE69" s="70">
        <v>1</v>
      </c>
      <c r="BF69" s="71">
        <v>0</v>
      </c>
      <c r="BG69" s="71">
        <v>0</v>
      </c>
      <c r="BH69" s="70">
        <v>1</v>
      </c>
      <c r="BI69" s="70">
        <v>1</v>
      </c>
      <c r="BJ69" s="70">
        <v>1</v>
      </c>
      <c r="BK69" s="70">
        <v>1</v>
      </c>
      <c r="BL69" s="70">
        <v>1</v>
      </c>
      <c r="BM69" s="71">
        <v>1</v>
      </c>
      <c r="BN69" s="71">
        <v>1</v>
      </c>
      <c r="BO69" s="70">
        <v>1</v>
      </c>
      <c r="BP69" s="70">
        <v>1</v>
      </c>
      <c r="BQ69" s="70">
        <v>1</v>
      </c>
      <c r="BR69" s="70">
        <v>1</v>
      </c>
      <c r="BS69" s="70">
        <v>1</v>
      </c>
      <c r="BT69" s="71">
        <v>1</v>
      </c>
      <c r="BU69" s="71">
        <v>1</v>
      </c>
      <c r="BV69" s="70">
        <v>1</v>
      </c>
      <c r="BW69" s="70">
        <v>1</v>
      </c>
      <c r="BX69" s="70">
        <v>1</v>
      </c>
      <c r="BY69" s="70">
        <v>1</v>
      </c>
      <c r="BZ69" s="70">
        <v>1</v>
      </c>
      <c r="CA69" s="71">
        <v>1</v>
      </c>
      <c r="CB69" s="71">
        <v>0</v>
      </c>
      <c r="CC69" s="70">
        <v>1</v>
      </c>
      <c r="CD69" s="70">
        <v>1</v>
      </c>
      <c r="CE69" s="70">
        <v>1</v>
      </c>
      <c r="CF69" s="70">
        <v>1</v>
      </c>
      <c r="CG69" s="70">
        <v>1</v>
      </c>
      <c r="CH69" s="71">
        <v>1</v>
      </c>
      <c r="CI69" s="71">
        <v>1</v>
      </c>
      <c r="CJ69" s="70">
        <v>1</v>
      </c>
      <c r="CK69" s="70">
        <v>1</v>
      </c>
      <c r="CL69" s="70">
        <v>1</v>
      </c>
      <c r="CM69" s="70">
        <v>1</v>
      </c>
      <c r="CN69" s="70">
        <v>1</v>
      </c>
      <c r="CO69" s="71">
        <v>1</v>
      </c>
      <c r="CP69" s="71">
        <v>0</v>
      </c>
      <c r="CQ69" s="70">
        <v>1</v>
      </c>
      <c r="CR69" s="70">
        <v>1</v>
      </c>
      <c r="CS69" s="70">
        <v>1</v>
      </c>
      <c r="CT69" s="70">
        <v>1</v>
      </c>
      <c r="CU69" s="70">
        <v>1</v>
      </c>
      <c r="CV69" s="71">
        <v>1</v>
      </c>
      <c r="CW69" s="71">
        <v>1</v>
      </c>
      <c r="CX69" s="70">
        <v>1</v>
      </c>
      <c r="CY69" s="70">
        <v>1</v>
      </c>
      <c r="CZ69" s="70">
        <v>1</v>
      </c>
      <c r="DA69" s="70">
        <v>1</v>
      </c>
      <c r="DB69" s="70">
        <v>1</v>
      </c>
      <c r="DC69" s="71">
        <v>1</v>
      </c>
      <c r="DD69" s="71">
        <v>1</v>
      </c>
      <c r="DE69" s="70">
        <v>1</v>
      </c>
      <c r="DF69" s="70">
        <v>1</v>
      </c>
      <c r="DG69" s="70">
        <v>1</v>
      </c>
      <c r="DH69" s="70">
        <v>1</v>
      </c>
      <c r="DI69" s="70">
        <v>1</v>
      </c>
      <c r="DJ69" s="71">
        <v>1</v>
      </c>
      <c r="DK69" s="71">
        <v>0</v>
      </c>
      <c r="DL69" s="70">
        <v>1</v>
      </c>
      <c r="DM69" s="70">
        <v>1</v>
      </c>
      <c r="DN69" s="70">
        <v>1</v>
      </c>
      <c r="DO69" s="70">
        <v>1</v>
      </c>
      <c r="DP69" s="70">
        <v>1</v>
      </c>
      <c r="DQ69" s="71">
        <v>1</v>
      </c>
      <c r="DR69" s="71">
        <v>1</v>
      </c>
      <c r="DS69" s="70">
        <v>1</v>
      </c>
      <c r="DT69" s="70">
        <v>0</v>
      </c>
      <c r="DU69" s="70">
        <v>0</v>
      </c>
      <c r="DV69" s="70">
        <v>0</v>
      </c>
      <c r="DW69" s="70">
        <v>0</v>
      </c>
      <c r="DX69" s="71">
        <v>0</v>
      </c>
      <c r="DY69" s="71">
        <v>0</v>
      </c>
      <c r="DZ69" s="70">
        <v>0</v>
      </c>
      <c r="EA69" s="70">
        <v>0</v>
      </c>
      <c r="EB69" s="70">
        <v>0</v>
      </c>
      <c r="EC69" s="70">
        <v>0</v>
      </c>
      <c r="ED69" s="70">
        <v>0</v>
      </c>
      <c r="EE69" s="71">
        <v>0</v>
      </c>
      <c r="EF69" s="71">
        <v>0</v>
      </c>
      <c r="EG69" s="70">
        <v>0</v>
      </c>
      <c r="EH69" s="70">
        <v>0</v>
      </c>
      <c r="EI69" s="70">
        <v>0</v>
      </c>
      <c r="EJ69" s="70">
        <v>0</v>
      </c>
      <c r="EK69" s="72">
        <v>0</v>
      </c>
      <c r="OU69" s="60" t="s">
        <v>77</v>
      </c>
    </row>
    <row r="70" ht="8" customHeight="1" spans="1:14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  <c r="EK70" s="73"/>
    </row>
    <row r="71" ht="16" customHeight="1" spans="1:411" x14ac:dyDescent="0.25">
      <c r="A71" s="45" t="s">
        <v>57</v>
      </c>
      <c r="B71" s="46" t="s">
        <v>78</v>
      </c>
      <c r="C71" s="47">
        <f>J71</f>
        <v>883153.8700000001</v>
      </c>
      <c r="D71" s="48"/>
      <c r="E71" s="48"/>
      <c r="F71" s="49">
        <f>SUM(K74:EK74)</f>
        <v>3721</v>
      </c>
      <c r="G71" s="49">
        <f>SUM(K75:EK75)</f>
        <v>2370</v>
      </c>
      <c r="H71" s="49">
        <f>SUM(K76:EK76)</f>
        <v>819</v>
      </c>
      <c r="I71" s="49">
        <f>SUM(K77:EK77)</f>
        <v>572</v>
      </c>
      <c r="J71" s="50">
        <f>C74+C75+C76</f>
        <v>883153.8700000001</v>
      </c>
      <c r="K71" s="51"/>
      <c r="L71" s="52"/>
      <c r="M71" s="52"/>
      <c r="N71" s="52"/>
      <c r="O71" s="52"/>
      <c r="P71" s="53"/>
      <c r="Q71" s="53"/>
      <c r="R71" s="52"/>
      <c r="S71" s="52"/>
      <c r="T71" s="52"/>
      <c r="U71" s="52"/>
      <c r="V71" s="52"/>
      <c r="W71" s="53"/>
      <c r="X71" s="53"/>
      <c r="Y71" s="52"/>
      <c r="Z71" s="52"/>
      <c r="AA71" s="52"/>
      <c r="AB71" s="52"/>
      <c r="AC71" s="52"/>
      <c r="AD71" s="53"/>
      <c r="AE71" s="53"/>
      <c r="AF71" s="52"/>
      <c r="AG71" s="52"/>
      <c r="AH71" s="52"/>
      <c r="AI71" s="52"/>
      <c r="AJ71" s="52"/>
      <c r="AK71" s="53"/>
      <c r="AL71" s="53"/>
      <c r="AM71" s="52"/>
      <c r="AN71" s="52"/>
      <c r="AO71" s="52"/>
      <c r="AP71" s="52"/>
      <c r="AQ71" s="52"/>
      <c r="AR71" s="53"/>
      <c r="AS71" s="53"/>
      <c r="AT71" s="52"/>
      <c r="AU71" s="52"/>
      <c r="AV71" s="52"/>
      <c r="AW71" s="52"/>
      <c r="AX71" s="52"/>
      <c r="AY71" s="53"/>
      <c r="AZ71" s="53"/>
      <c r="BA71" s="52"/>
      <c r="BB71" s="52"/>
      <c r="BC71" s="52"/>
      <c r="BD71" s="52"/>
      <c r="BE71" s="52"/>
      <c r="BF71" s="53"/>
      <c r="BG71" s="53"/>
      <c r="BH71" s="52"/>
      <c r="BI71" s="52"/>
      <c r="BJ71" s="52"/>
      <c r="BK71" s="52"/>
      <c r="BL71" s="52"/>
      <c r="BM71" s="53"/>
      <c r="BN71" s="53"/>
      <c r="BO71" s="52"/>
      <c r="BP71" s="52"/>
      <c r="BQ71" s="52"/>
      <c r="BR71" s="52"/>
      <c r="BS71" s="52"/>
      <c r="BT71" s="53"/>
      <c r="BU71" s="53"/>
      <c r="BV71" s="52"/>
      <c r="BW71" s="52"/>
      <c r="BX71" s="52"/>
      <c r="BY71" s="52"/>
      <c r="BZ71" s="52"/>
      <c r="CA71" s="53"/>
      <c r="CB71" s="53"/>
      <c r="CC71" s="52"/>
      <c r="CD71" s="52"/>
      <c r="CE71" s="52"/>
      <c r="CF71" s="52"/>
      <c r="CG71" s="52"/>
      <c r="CH71" s="53"/>
      <c r="CI71" s="53"/>
      <c r="CJ71" s="52"/>
      <c r="CK71" s="52"/>
      <c r="CL71" s="52"/>
      <c r="CM71" s="52"/>
      <c r="CN71" s="52"/>
      <c r="CO71" s="53"/>
      <c r="CP71" s="53"/>
      <c r="CQ71" s="52"/>
      <c r="CR71" s="52"/>
      <c r="CS71" s="52"/>
      <c r="CT71" s="52"/>
      <c r="CU71" s="52"/>
      <c r="CV71" s="53"/>
      <c r="CW71" s="53"/>
      <c r="CX71" s="52"/>
      <c r="CY71" s="52"/>
      <c r="CZ71" s="52"/>
      <c r="DA71" s="52"/>
      <c r="DB71" s="52"/>
      <c r="DC71" s="53"/>
      <c r="DD71" s="53"/>
      <c r="DE71" s="52"/>
      <c r="DF71" s="52"/>
      <c r="DG71" s="52"/>
      <c r="DH71" s="52"/>
      <c r="DI71" s="52"/>
      <c r="DJ71" s="53"/>
      <c r="DK71" s="53"/>
      <c r="DL71" s="52"/>
      <c r="DM71" s="52"/>
      <c r="DN71" s="52"/>
      <c r="DO71" s="52"/>
      <c r="DP71" s="52"/>
      <c r="DQ71" s="53"/>
      <c r="DR71" s="53"/>
      <c r="DS71" s="52"/>
      <c r="DT71" s="52"/>
      <c r="DU71" s="52"/>
      <c r="DV71" s="52"/>
      <c r="DW71" s="52"/>
      <c r="DX71" s="53"/>
      <c r="DY71" s="53"/>
      <c r="DZ71" s="52"/>
      <c r="EA71" s="52"/>
      <c r="EB71" s="52"/>
      <c r="EC71" s="52"/>
      <c r="ED71" s="52"/>
      <c r="EE71" s="53"/>
      <c r="EF71" s="53"/>
      <c r="EG71" s="52"/>
      <c r="EH71" s="52"/>
      <c r="EI71" s="52"/>
      <c r="EJ71" s="52"/>
      <c r="EK71" s="54"/>
      <c r="OU71" s="28" t="s">
        <v>79</v>
      </c>
    </row>
    <row r="72" ht="16" customHeight="1" spans="1:411" x14ac:dyDescent="0.25">
      <c r="A72" s="45"/>
      <c r="B72" s="46"/>
      <c r="C72" s="47"/>
      <c r="D72" s="48"/>
      <c r="E72" s="55" t="s">
        <v>60</v>
      </c>
      <c r="F72" s="49"/>
      <c r="G72" s="49"/>
      <c r="H72" s="49"/>
      <c r="I72" s="49"/>
      <c r="J72" s="50"/>
      <c r="K72" s="56">
        <v>2</v>
      </c>
      <c r="L72" s="57">
        <v>2</v>
      </c>
      <c r="M72" s="57">
        <v>2</v>
      </c>
      <c r="N72" s="57">
        <v>2</v>
      </c>
      <c r="O72" s="57">
        <v>2</v>
      </c>
      <c r="P72" s="58">
        <v>0</v>
      </c>
      <c r="Q72" s="58">
        <v>0</v>
      </c>
      <c r="R72" s="57">
        <v>2</v>
      </c>
      <c r="S72" s="57">
        <v>2</v>
      </c>
      <c r="T72" s="57">
        <v>2</v>
      </c>
      <c r="U72" s="57">
        <v>2</v>
      </c>
      <c r="V72" s="57">
        <v>2</v>
      </c>
      <c r="W72" s="58">
        <v>0</v>
      </c>
      <c r="X72" s="58">
        <v>0</v>
      </c>
      <c r="Y72" s="57">
        <v>3</v>
      </c>
      <c r="Z72" s="57">
        <v>3</v>
      </c>
      <c r="AA72" s="57">
        <v>3</v>
      </c>
      <c r="AB72" s="57">
        <v>3</v>
      </c>
      <c r="AC72" s="57">
        <v>3</v>
      </c>
      <c r="AD72" s="58">
        <v>0</v>
      </c>
      <c r="AE72" s="58">
        <v>0</v>
      </c>
      <c r="AF72" s="57">
        <v>3</v>
      </c>
      <c r="AG72" s="57">
        <v>3</v>
      </c>
      <c r="AH72" s="57">
        <v>3</v>
      </c>
      <c r="AI72" s="57">
        <v>3</v>
      </c>
      <c r="AJ72" s="57">
        <v>3</v>
      </c>
      <c r="AK72" s="58">
        <v>0</v>
      </c>
      <c r="AL72" s="58">
        <v>0</v>
      </c>
      <c r="AM72" s="57">
        <v>3</v>
      </c>
      <c r="AN72" s="57">
        <v>3</v>
      </c>
      <c r="AO72" s="57">
        <v>3</v>
      </c>
      <c r="AP72" s="57">
        <v>3</v>
      </c>
      <c r="AQ72" s="57">
        <v>3</v>
      </c>
      <c r="AR72" s="58">
        <v>0</v>
      </c>
      <c r="AS72" s="58">
        <v>0</v>
      </c>
      <c r="AT72" s="57">
        <v>3</v>
      </c>
      <c r="AU72" s="57">
        <v>3</v>
      </c>
      <c r="AV72" s="57">
        <v>3</v>
      </c>
      <c r="AW72" s="57">
        <v>3</v>
      </c>
      <c r="AX72" s="57">
        <v>3</v>
      </c>
      <c r="AY72" s="58">
        <v>0</v>
      </c>
      <c r="AZ72" s="58">
        <v>0</v>
      </c>
      <c r="BA72" s="57">
        <v>3</v>
      </c>
      <c r="BB72" s="57">
        <v>3</v>
      </c>
      <c r="BC72" s="57">
        <v>3</v>
      </c>
      <c r="BD72" s="57">
        <v>3</v>
      </c>
      <c r="BE72" s="57">
        <v>3</v>
      </c>
      <c r="BF72" s="58">
        <v>0</v>
      </c>
      <c r="BG72" s="58">
        <v>0</v>
      </c>
      <c r="BH72" s="57">
        <v>7</v>
      </c>
      <c r="BI72" s="57">
        <v>7</v>
      </c>
      <c r="BJ72" s="57">
        <v>7</v>
      </c>
      <c r="BK72" s="57">
        <v>7</v>
      </c>
      <c r="BL72" s="57">
        <v>7</v>
      </c>
      <c r="BM72" s="58">
        <v>7</v>
      </c>
      <c r="BN72" s="58">
        <v>7</v>
      </c>
      <c r="BO72" s="57">
        <v>7</v>
      </c>
      <c r="BP72" s="57">
        <v>7</v>
      </c>
      <c r="BQ72" s="57">
        <v>7</v>
      </c>
      <c r="BR72" s="57">
        <v>7</v>
      </c>
      <c r="BS72" s="57">
        <v>7</v>
      </c>
      <c r="BT72" s="58">
        <v>7</v>
      </c>
      <c r="BU72" s="58">
        <v>7</v>
      </c>
      <c r="BV72" s="57">
        <v>7</v>
      </c>
      <c r="BW72" s="57">
        <v>7</v>
      </c>
      <c r="BX72" s="57">
        <v>7</v>
      </c>
      <c r="BY72" s="57">
        <v>7</v>
      </c>
      <c r="BZ72" s="57">
        <v>7</v>
      </c>
      <c r="CA72" s="58">
        <v>7</v>
      </c>
      <c r="CB72" s="58">
        <v>7</v>
      </c>
      <c r="CC72" s="57">
        <v>7</v>
      </c>
      <c r="CD72" s="57">
        <v>7</v>
      </c>
      <c r="CE72" s="57">
        <v>7</v>
      </c>
      <c r="CF72" s="57">
        <v>7</v>
      </c>
      <c r="CG72" s="57">
        <v>7</v>
      </c>
      <c r="CH72" s="58">
        <v>7</v>
      </c>
      <c r="CI72" s="58">
        <v>7</v>
      </c>
      <c r="CJ72" s="57">
        <v>7</v>
      </c>
      <c r="CK72" s="57">
        <v>7</v>
      </c>
      <c r="CL72" s="57">
        <v>7</v>
      </c>
      <c r="CM72" s="57">
        <v>7</v>
      </c>
      <c r="CN72" s="57">
        <v>7</v>
      </c>
      <c r="CO72" s="58">
        <v>7</v>
      </c>
      <c r="CP72" s="58">
        <v>7</v>
      </c>
      <c r="CQ72" s="57">
        <v>7</v>
      </c>
      <c r="CR72" s="57">
        <v>7</v>
      </c>
      <c r="CS72" s="57">
        <v>7</v>
      </c>
      <c r="CT72" s="57">
        <v>7</v>
      </c>
      <c r="CU72" s="57">
        <v>7</v>
      </c>
      <c r="CV72" s="58">
        <v>7</v>
      </c>
      <c r="CW72" s="58">
        <v>7</v>
      </c>
      <c r="CX72" s="57">
        <v>7</v>
      </c>
      <c r="CY72" s="57">
        <v>7</v>
      </c>
      <c r="CZ72" s="57">
        <v>7</v>
      </c>
      <c r="DA72" s="57">
        <v>7</v>
      </c>
      <c r="DB72" s="57">
        <v>7</v>
      </c>
      <c r="DC72" s="58">
        <v>7</v>
      </c>
      <c r="DD72" s="58">
        <v>7</v>
      </c>
      <c r="DE72" s="57">
        <v>7</v>
      </c>
      <c r="DF72" s="57">
        <v>7</v>
      </c>
      <c r="DG72" s="57">
        <v>7</v>
      </c>
      <c r="DH72" s="57">
        <v>7</v>
      </c>
      <c r="DI72" s="57">
        <v>7</v>
      </c>
      <c r="DJ72" s="58">
        <v>7</v>
      </c>
      <c r="DK72" s="58">
        <v>7</v>
      </c>
      <c r="DL72" s="57">
        <v>7</v>
      </c>
      <c r="DM72" s="57">
        <v>7</v>
      </c>
      <c r="DN72" s="57">
        <v>7</v>
      </c>
      <c r="DO72" s="57">
        <v>7</v>
      </c>
      <c r="DP72" s="57">
        <v>7</v>
      </c>
      <c r="DQ72" s="58">
        <v>7</v>
      </c>
      <c r="DR72" s="58">
        <v>7</v>
      </c>
      <c r="DS72" s="57">
        <v>7</v>
      </c>
      <c r="DT72" s="57">
        <v>3.29</v>
      </c>
      <c r="DU72" s="57">
        <v>2</v>
      </c>
      <c r="DV72" s="57">
        <v>2</v>
      </c>
      <c r="DW72" s="57">
        <v>2</v>
      </c>
      <c r="DX72" s="58">
        <v>0</v>
      </c>
      <c r="DY72" s="58">
        <v>0</v>
      </c>
      <c r="DZ72" s="57">
        <v>2</v>
      </c>
      <c r="EA72" s="57">
        <v>2</v>
      </c>
      <c r="EB72" s="57">
        <v>2</v>
      </c>
      <c r="EC72" s="57">
        <v>2</v>
      </c>
      <c r="ED72" s="57">
        <v>2</v>
      </c>
      <c r="EE72" s="58">
        <v>0</v>
      </c>
      <c r="EF72" s="58">
        <v>0</v>
      </c>
      <c r="EG72" s="57">
        <v>2</v>
      </c>
      <c r="EH72" s="57">
        <v>2</v>
      </c>
      <c r="EI72" s="57">
        <v>2</v>
      </c>
      <c r="EJ72" s="57">
        <v>2</v>
      </c>
      <c r="EK72" s="59">
        <v>2</v>
      </c>
      <c r="OU72" s="60" t="s">
        <v>79</v>
      </c>
    </row>
    <row r="73" ht="16" customHeight="1" spans="1:411" x14ac:dyDescent="0.25">
      <c r="A73" s="45"/>
      <c r="B73" s="46"/>
      <c r="C73" s="47"/>
      <c r="D73" s="48"/>
      <c r="E73" s="55" t="s">
        <v>61</v>
      </c>
      <c r="F73" s="49"/>
      <c r="G73" s="49"/>
      <c r="H73" s="49"/>
      <c r="I73" s="49"/>
      <c r="J73" s="50"/>
      <c r="K73" s="56">
        <v>9</v>
      </c>
      <c r="L73" s="57">
        <v>9</v>
      </c>
      <c r="M73" s="57">
        <v>9</v>
      </c>
      <c r="N73" s="57">
        <v>9</v>
      </c>
      <c r="O73" s="57">
        <v>9</v>
      </c>
      <c r="P73" s="58">
        <v>0</v>
      </c>
      <c r="Q73" s="58">
        <v>0</v>
      </c>
      <c r="R73" s="57">
        <v>9</v>
      </c>
      <c r="S73" s="57">
        <v>9</v>
      </c>
      <c r="T73" s="57">
        <v>9</v>
      </c>
      <c r="U73" s="57">
        <v>9</v>
      </c>
      <c r="V73" s="57">
        <v>9</v>
      </c>
      <c r="W73" s="58">
        <v>0</v>
      </c>
      <c r="X73" s="58">
        <v>0</v>
      </c>
      <c r="Y73" s="57">
        <v>9</v>
      </c>
      <c r="Z73" s="57">
        <v>9</v>
      </c>
      <c r="AA73" s="57">
        <v>9</v>
      </c>
      <c r="AB73" s="57">
        <v>9</v>
      </c>
      <c r="AC73" s="57">
        <v>9</v>
      </c>
      <c r="AD73" s="58">
        <v>0</v>
      </c>
      <c r="AE73" s="58">
        <v>0</v>
      </c>
      <c r="AF73" s="57">
        <v>9</v>
      </c>
      <c r="AG73" s="57">
        <v>9</v>
      </c>
      <c r="AH73" s="57">
        <v>9</v>
      </c>
      <c r="AI73" s="57">
        <v>9</v>
      </c>
      <c r="AJ73" s="57">
        <v>9</v>
      </c>
      <c r="AK73" s="58">
        <v>0</v>
      </c>
      <c r="AL73" s="58">
        <v>0</v>
      </c>
      <c r="AM73" s="57">
        <v>9</v>
      </c>
      <c r="AN73" s="57">
        <v>9</v>
      </c>
      <c r="AO73" s="57">
        <v>9</v>
      </c>
      <c r="AP73" s="57">
        <v>9</v>
      </c>
      <c r="AQ73" s="57">
        <v>9</v>
      </c>
      <c r="AR73" s="58">
        <v>0</v>
      </c>
      <c r="AS73" s="58">
        <v>0</v>
      </c>
      <c r="AT73" s="57">
        <v>9</v>
      </c>
      <c r="AU73" s="57">
        <v>9</v>
      </c>
      <c r="AV73" s="57">
        <v>9</v>
      </c>
      <c r="AW73" s="57">
        <v>9</v>
      </c>
      <c r="AX73" s="57">
        <v>9</v>
      </c>
      <c r="AY73" s="58">
        <v>0</v>
      </c>
      <c r="AZ73" s="58">
        <v>0</v>
      </c>
      <c r="BA73" s="57">
        <v>9</v>
      </c>
      <c r="BB73" s="57">
        <v>9</v>
      </c>
      <c r="BC73" s="57">
        <v>9</v>
      </c>
      <c r="BD73" s="57">
        <v>9</v>
      </c>
      <c r="BE73" s="57">
        <v>9</v>
      </c>
      <c r="BF73" s="58">
        <v>0</v>
      </c>
      <c r="BG73" s="58">
        <v>0</v>
      </c>
      <c r="BH73" s="57">
        <v>13</v>
      </c>
      <c r="BI73" s="57">
        <v>13</v>
      </c>
      <c r="BJ73" s="57">
        <v>13</v>
      </c>
      <c r="BK73" s="57">
        <v>13</v>
      </c>
      <c r="BL73" s="57">
        <v>13</v>
      </c>
      <c r="BM73" s="58">
        <v>13</v>
      </c>
      <c r="BN73" s="58">
        <v>13</v>
      </c>
      <c r="BO73" s="57">
        <v>13</v>
      </c>
      <c r="BP73" s="57">
        <v>13</v>
      </c>
      <c r="BQ73" s="57">
        <v>13</v>
      </c>
      <c r="BR73" s="57">
        <v>13</v>
      </c>
      <c r="BS73" s="57">
        <v>13</v>
      </c>
      <c r="BT73" s="58">
        <v>13</v>
      </c>
      <c r="BU73" s="58">
        <v>13</v>
      </c>
      <c r="BV73" s="57">
        <v>13</v>
      </c>
      <c r="BW73" s="57">
        <v>13</v>
      </c>
      <c r="BX73" s="57">
        <v>13</v>
      </c>
      <c r="BY73" s="57">
        <v>13</v>
      </c>
      <c r="BZ73" s="57">
        <v>13</v>
      </c>
      <c r="CA73" s="58">
        <v>13</v>
      </c>
      <c r="CB73" s="58">
        <v>13</v>
      </c>
      <c r="CC73" s="57">
        <v>13</v>
      </c>
      <c r="CD73" s="57">
        <v>13</v>
      </c>
      <c r="CE73" s="57">
        <v>13</v>
      </c>
      <c r="CF73" s="57">
        <v>13</v>
      </c>
      <c r="CG73" s="57">
        <v>13</v>
      </c>
      <c r="CH73" s="58">
        <v>13</v>
      </c>
      <c r="CI73" s="58">
        <v>13</v>
      </c>
      <c r="CJ73" s="57">
        <v>13</v>
      </c>
      <c r="CK73" s="57">
        <v>13</v>
      </c>
      <c r="CL73" s="57">
        <v>13</v>
      </c>
      <c r="CM73" s="57">
        <v>13</v>
      </c>
      <c r="CN73" s="57">
        <v>13</v>
      </c>
      <c r="CO73" s="58">
        <v>13</v>
      </c>
      <c r="CP73" s="58">
        <v>13</v>
      </c>
      <c r="CQ73" s="57">
        <v>13</v>
      </c>
      <c r="CR73" s="57">
        <v>13</v>
      </c>
      <c r="CS73" s="57">
        <v>13</v>
      </c>
      <c r="CT73" s="57">
        <v>13</v>
      </c>
      <c r="CU73" s="57">
        <v>13</v>
      </c>
      <c r="CV73" s="58">
        <v>13</v>
      </c>
      <c r="CW73" s="58">
        <v>13</v>
      </c>
      <c r="CX73" s="57">
        <v>13</v>
      </c>
      <c r="CY73" s="57">
        <v>13</v>
      </c>
      <c r="CZ73" s="57">
        <v>13</v>
      </c>
      <c r="DA73" s="57">
        <v>13</v>
      </c>
      <c r="DB73" s="57">
        <v>13</v>
      </c>
      <c r="DC73" s="58">
        <v>13</v>
      </c>
      <c r="DD73" s="58">
        <v>13</v>
      </c>
      <c r="DE73" s="57">
        <v>13</v>
      </c>
      <c r="DF73" s="57">
        <v>13</v>
      </c>
      <c r="DG73" s="57">
        <v>13</v>
      </c>
      <c r="DH73" s="57">
        <v>13</v>
      </c>
      <c r="DI73" s="57">
        <v>13</v>
      </c>
      <c r="DJ73" s="58">
        <v>13</v>
      </c>
      <c r="DK73" s="58">
        <v>13</v>
      </c>
      <c r="DL73" s="57">
        <v>13</v>
      </c>
      <c r="DM73" s="57">
        <v>13</v>
      </c>
      <c r="DN73" s="57">
        <v>13</v>
      </c>
      <c r="DO73" s="57">
        <v>13</v>
      </c>
      <c r="DP73" s="57">
        <v>13</v>
      </c>
      <c r="DQ73" s="58">
        <v>13</v>
      </c>
      <c r="DR73" s="58">
        <v>13</v>
      </c>
      <c r="DS73" s="57">
        <v>13</v>
      </c>
      <c r="DT73" s="57">
        <v>7</v>
      </c>
      <c r="DU73" s="57">
        <v>8</v>
      </c>
      <c r="DV73" s="57">
        <v>8</v>
      </c>
      <c r="DW73" s="57">
        <v>8</v>
      </c>
      <c r="DX73" s="58">
        <v>0</v>
      </c>
      <c r="DY73" s="58">
        <v>0</v>
      </c>
      <c r="DZ73" s="57">
        <v>8</v>
      </c>
      <c r="EA73" s="57">
        <v>8</v>
      </c>
      <c r="EB73" s="57">
        <v>8</v>
      </c>
      <c r="EC73" s="57">
        <v>8</v>
      </c>
      <c r="ED73" s="57">
        <v>8</v>
      </c>
      <c r="EE73" s="58">
        <v>0</v>
      </c>
      <c r="EF73" s="58">
        <v>0</v>
      </c>
      <c r="EG73" s="57">
        <v>8</v>
      </c>
      <c r="EH73" s="57">
        <v>8</v>
      </c>
      <c r="EI73" s="57">
        <v>8</v>
      </c>
      <c r="EJ73" s="57">
        <v>8</v>
      </c>
      <c r="EK73" s="59">
        <v>8</v>
      </c>
      <c r="OU73" s="60" t="s">
        <v>79</v>
      </c>
    </row>
    <row r="74" ht="16" customHeight="1" spans="1:411" x14ac:dyDescent="0.25">
      <c r="A74" s="45"/>
      <c r="B74" s="46"/>
      <c r="C74" s="61">
        <f>F71*N(D74)</f>
        <v>393532.96</v>
      </c>
      <c r="D74" s="61">
        <f>IF(TRIM(B71)="","No rate",IFERROR(INDEX('Rate Tables'!C$7:C$158,MATCH(B71,'Rate Tables'!A$7:A$158,0)),"No rate"))</f>
        <v>105.76</v>
      </c>
      <c r="E74" s="55" t="s">
        <v>62</v>
      </c>
      <c r="F74" s="49"/>
      <c r="G74" s="49"/>
      <c r="H74" s="49"/>
      <c r="I74" s="49"/>
      <c r="J74" s="50"/>
      <c r="K74" s="62">
        <f>IF(AND(K72=2,K73=9),16,MIN(IF(K72&lt;=0,0,IF(WEEKDAY(K$6,1)=1,0,MIN(8,K73)*K72)),MAX(0,40*MAX(1,K72)-(0))))</f>
        <v>16</v>
      </c>
      <c r="L74" s="63">
        <f>IF(AND(L72=2,L73=9),16,MIN(IF(L72&lt;=0,0,IF(WEEKDAY(L$6,1)=1,0,MIN(8,L73)*L72)),MAX(0,40*MAX(1,L72)-(K74))))</f>
        <v>16</v>
      </c>
      <c r="M74" s="63">
        <f>IF(AND(M72=2,M73=9),16,MIN(IF(M72&lt;=0,0,IF(WEEKDAY(M$6,1)=1,0,MIN(8,M73)*M72)),MAX(0,40*MAX(1,M72)-(K74+L74))))</f>
        <v>16</v>
      </c>
      <c r="N74" s="63">
        <f>IF(AND(N72=2,N73=9),16,MIN(IF(N72&lt;=0,0,IF(WEEKDAY(N$6,1)=1,0,MIN(8,N73)*N72)),MAX(0,40*MAX(1,N72)-(K74+L74+M74))))</f>
        <v>16</v>
      </c>
      <c r="O74" s="63">
        <f>IF(AND(O72=2,O73=9),16,MIN(IF(O72&lt;=0,0,IF(WEEKDAY(O$6,1)=1,0,MIN(8,O73)*O72)),MAX(0,40*MAX(1,O72)-(K74+L74+M74+N74))))</f>
        <v>16</v>
      </c>
      <c r="P74" s="64">
        <f>IF(AND(P72=0,P73=0),0,MIN(IF(P72&lt;=0,0,IF(WEEKDAY(P$6,1)=1,0,MIN(10,P73)*P72)),MAX(0,40*MAX(1,P72)-(0))))</f>
        <v>0</v>
      </c>
      <c r="Q74" s="64">
        <f>IF(AND(Q72=0,Q73=0),0,MIN(IF(Q72&lt;=0,0,IF(WEEKDAY(Q$6,1)=1,0,MIN(10,Q73)*Q72)),MAX(0,40*MAX(1,Q72)-(P74))))</f>
        <v>0</v>
      </c>
      <c r="R74" s="63">
        <f>IF(AND(R72=2,R73=9),16,MIN(IF(R72&lt;=0,0,IF(WEEKDAY(R$6,1)=1,0,MIN(8,R73)*R72)),MAX(0,40*MAX(1,R72)-(0))))</f>
        <v>16</v>
      </c>
      <c r="S74" s="63">
        <f>IF(AND(S72=2,S73=9),16,MIN(IF(S72&lt;=0,0,IF(WEEKDAY(S$6,1)=1,0,MIN(8,S73)*S72)),MAX(0,40*MAX(1,S72)-(R74))))</f>
        <v>16</v>
      </c>
      <c r="T74" s="63">
        <f>IF(AND(T72=2,T73=9),16,MIN(IF(T72&lt;=0,0,IF(WEEKDAY(T$6,1)=1,0,MIN(8,T73)*T72)),MAX(0,40*MAX(1,T72)-(R74+S74))))</f>
        <v>16</v>
      </c>
      <c r="U74" s="63">
        <f>IF(AND(U72=2,U73=9),16,MIN(IF(U72&lt;=0,0,IF(WEEKDAY(U$6,1)=1,0,MIN(8,U73)*U72)),MAX(0,40*MAX(1,U72)-(R74+S74+T74))))</f>
        <v>16</v>
      </c>
      <c r="V74" s="63">
        <f>IF(AND(V72=2,V73=9),16,MIN(IF(V72&lt;=0,0,IF(WEEKDAY(V$6,1)=1,0,MIN(8,V73)*V72)),MAX(0,40*MAX(1,V72)-(R74+S74+T74+U74))))</f>
        <v>16</v>
      </c>
      <c r="W74" s="64">
        <f>IF(AND(W72=0,W73=0),0,MIN(IF(W72&lt;=0,0,IF(WEEKDAY(W$6,1)=1,0,MIN(10,W73)*W72)),MAX(0,40*MAX(1,W72)-(0))))</f>
        <v>0</v>
      </c>
      <c r="X74" s="64">
        <f>IF(AND(X72=0,X73=0),0,MIN(IF(X72&lt;=0,0,IF(WEEKDAY(X$6,1)=1,0,MIN(10,X73)*X72)),MAX(0,40*MAX(1,X72)-(W74))))</f>
        <v>0</v>
      </c>
      <c r="Y74" s="63">
        <f>IF(AND(Y72=3,Y73=9),24,MIN(IF(Y72&lt;=0,0,IF(WEEKDAY(Y$6,1)=1,0,MIN(8,Y73)*Y72)),MAX(0,40*MAX(1,Y72)-(0))))</f>
        <v>24</v>
      </c>
      <c r="Z74" s="63">
        <f>IF(AND(Z72=3,Z73=9),24,MIN(IF(Z72&lt;=0,0,IF(WEEKDAY(Z$6,1)=1,0,MIN(8,Z73)*Z72)),MAX(0,40*MAX(1,Z72)-(Y74))))</f>
        <v>24</v>
      </c>
      <c r="AA74" s="63">
        <f>IF(AND(AA72=3,AA73=9),24,MIN(IF(AA72&lt;=0,0,IF(WEEKDAY(AA$6,1)=1,0,MIN(8,AA73)*AA72)),MAX(0,40*MAX(1,AA72)-(Y74+Z74))))</f>
        <v>24</v>
      </c>
      <c r="AB74" s="63">
        <f>IF(AND(AB72=3,AB73=9),24,MIN(IF(AB72&lt;=0,0,IF(WEEKDAY(AB$6,1)=1,0,MIN(8,AB73)*AB72)),MAX(0,40*MAX(1,AB72)-(Y74+Z74+AA74))))</f>
        <v>24</v>
      </c>
      <c r="AC74" s="63">
        <f>IF(AND(AC72=3,AC73=9),24,MIN(IF(AC72&lt;=0,0,IF(WEEKDAY(AC$6,1)=1,0,MIN(8,AC73)*AC72)),MAX(0,40*MAX(1,AC72)-(Y74+Z74+AA74+AB74))))</f>
        <v>24</v>
      </c>
      <c r="AD74" s="64">
        <f>IF(AND(AD72=0,AD73=0),0,MIN(IF(AD72&lt;=0,0,IF(WEEKDAY(AD$6,1)=1,0,MIN(10,AD73)*AD72)),MAX(0,40*MAX(1,AD72)-(0))))</f>
        <v>0</v>
      </c>
      <c r="AE74" s="64">
        <f>IF(AND(AE72=0,AE73=0),0,MIN(IF(AE72&lt;=0,0,IF(WEEKDAY(AE$6,1)=1,0,MIN(10,AE73)*AE72)),MAX(0,40*MAX(1,AE72)-(AD74))))</f>
        <v>0</v>
      </c>
      <c r="AF74" s="63">
        <f>IF(AND(AF72=3,AF73=9),24,MIN(IF(AF72&lt;=0,0,IF(WEEKDAY(AF$6,1)=1,0,MIN(8,AF73)*AF72)),MAX(0,40*MAX(1,AF72)-(0))))</f>
        <v>24</v>
      </c>
      <c r="AG74" s="63">
        <f>IF(AND(AG72=3,AG73=9),24,MIN(IF(AG72&lt;=0,0,IF(WEEKDAY(AG$6,1)=1,0,MIN(8,AG73)*AG72)),MAX(0,40*MAX(1,AG72)-(AF74))))</f>
        <v>24</v>
      </c>
      <c r="AH74" s="63">
        <f>IF(AND(AH72=3,AH73=9),24,MIN(IF(AH72&lt;=0,0,IF(WEEKDAY(AH$6,1)=1,0,MIN(8,AH73)*AH72)),MAX(0,40*MAX(1,AH72)-(AF74+AG74))))</f>
        <v>24</v>
      </c>
      <c r="AI74" s="63">
        <f>IF(AND(AI72=3,AI73=9),24,MIN(IF(AI72&lt;=0,0,IF(WEEKDAY(AI$6,1)=1,0,MIN(8,AI73)*AI72)),MAX(0,40*MAX(1,AI72)-(AF74+AG74+AH74))))</f>
        <v>24</v>
      </c>
      <c r="AJ74" s="63">
        <f>IF(AND(AJ72=3,AJ73=9),24,MIN(IF(AJ72&lt;=0,0,IF(WEEKDAY(AJ$6,1)=1,0,MIN(8,AJ73)*AJ72)),MAX(0,40*MAX(1,AJ72)-(AF74+AG74+AH74+AI74))))</f>
        <v>24</v>
      </c>
      <c r="AK74" s="64">
        <f>IF(AND(AK72=0,AK73=0),0,MIN(IF(AK72&lt;=0,0,IF(WEEKDAY(AK$6,1)=1,0,MIN(10,AK73)*AK72)),MAX(0,40*MAX(1,AK72)-(0))))</f>
        <v>0</v>
      </c>
      <c r="AL74" s="64">
        <f>IF(AND(AL72=0,AL73=0),0,MIN(IF(AL72&lt;=0,0,IF(WEEKDAY(AL$6,1)=1,0,MIN(10,AL73)*AL72)),MAX(0,40*MAX(1,AL72)-(AK74))))</f>
        <v>0</v>
      </c>
      <c r="AM74" s="63">
        <f>IF(AND(AM72=3,AM73=9),24,MIN(IF(AM72&lt;=0,0,IF(WEEKDAY(AM$6,1)=1,0,MIN(8,AM73)*AM72)),MAX(0,40*MAX(1,AM72)-(0))))</f>
        <v>24</v>
      </c>
      <c r="AN74" s="63">
        <f>IF(AND(AN72=3,AN73=9),24,MIN(IF(AN72&lt;=0,0,IF(WEEKDAY(AN$6,1)=1,0,MIN(8,AN73)*AN72)),MAX(0,40*MAX(1,AN72)-(AM74))))</f>
        <v>24</v>
      </c>
      <c r="AO74" s="63">
        <f>IF(AND(AO72=3,AO73=9),24,MIN(IF(AO72&lt;=0,0,IF(WEEKDAY(AO$6,1)=1,0,MIN(8,AO73)*AO72)),MAX(0,40*MAX(1,AO72)-(AM74+AN74))))</f>
        <v>24</v>
      </c>
      <c r="AP74" s="63">
        <f>IF(AND(AP72=3,AP73=9),24,MIN(IF(AP72&lt;=0,0,IF(WEEKDAY(AP$6,1)=1,0,MIN(8,AP73)*AP72)),MAX(0,40*MAX(1,AP72)-(AM74+AN74+AO74))))</f>
        <v>24</v>
      </c>
      <c r="AQ74" s="63">
        <f>IF(AND(AQ72=3,AQ73=9),24,MIN(IF(AQ72&lt;=0,0,IF(WEEKDAY(AQ$6,1)=1,0,MIN(8,AQ73)*AQ72)),MAX(0,40*MAX(1,AQ72)-(AM74+AN74+AO74+AP74))))</f>
        <v>24</v>
      </c>
      <c r="AR74" s="64">
        <f>IF(AND(AR72=0,AR73=0),0,MIN(IF(AR72&lt;=0,0,IF(WEEKDAY(AR$6,1)=1,0,MIN(10,AR73)*AR72)),MAX(0,40*MAX(1,AR72)-(0))))</f>
        <v>0</v>
      </c>
      <c r="AS74" s="64">
        <f>IF(AND(AS72=0,AS73=0),0,MIN(IF(AS72&lt;=0,0,IF(WEEKDAY(AS$6,1)=1,0,MIN(10,AS73)*AS72)),MAX(0,40*MAX(1,AS72)-(AR74))))</f>
        <v>0</v>
      </c>
      <c r="AT74" s="63">
        <f>IF(AND(AT72=3,AT73=9),24,MIN(IF(AT72&lt;=0,0,IF(WEEKDAY(AT$6,1)=1,0,MIN(8,AT73)*AT72)),MAX(0,40*MAX(1,AT72)-(0))))</f>
        <v>24</v>
      </c>
      <c r="AU74" s="63">
        <f>IF(AND(AU72=3,AU73=9),24,MIN(IF(AU72&lt;=0,0,IF(WEEKDAY(AU$6,1)=1,0,MIN(8,AU73)*AU72)),MAX(0,40*MAX(1,AU72)-(AT74))))</f>
        <v>24</v>
      </c>
      <c r="AV74" s="63">
        <f>IF(AND(AV72=3,AV73=9),24,MIN(IF(AV72&lt;=0,0,IF(WEEKDAY(AV$6,1)=1,0,MIN(8,AV73)*AV72)),MAX(0,40*MAX(1,AV72)-(AT74+AU74))))</f>
        <v>24</v>
      </c>
      <c r="AW74" s="63">
        <f>IF(AND(AW72=3,AW73=9),24,MIN(IF(AW72&lt;=0,0,IF(WEEKDAY(AW$6,1)=1,0,MIN(8,AW73)*AW72)),MAX(0,40*MAX(1,AW72)-(AT74+AU74+AV74))))</f>
        <v>24</v>
      </c>
      <c r="AX74" s="63">
        <f>IF(AND(AX72=3,AX73=9),24,MIN(IF(AX72&lt;=0,0,IF(WEEKDAY(AX$6,1)=1,0,MIN(8,AX73)*AX72)),MAX(0,40*MAX(1,AX72)-(AT74+AU74+AV74+AW74))))</f>
        <v>24</v>
      </c>
      <c r="AY74" s="64">
        <f>IF(AND(AY72=0,AY73=0),0,MIN(IF(AY72&lt;=0,0,IF(WEEKDAY(AY$6,1)=1,0,MIN(10,AY73)*AY72)),MAX(0,40*MAX(1,AY72)-(0))))</f>
        <v>0</v>
      </c>
      <c r="AZ74" s="64">
        <f>IF(AND(AZ72=0,AZ73=0),0,MIN(IF(AZ72&lt;=0,0,IF(WEEKDAY(AZ$6,1)=1,0,MIN(10,AZ73)*AZ72)),MAX(0,40*MAX(1,AZ72)-(AY74))))</f>
        <v>0</v>
      </c>
      <c r="BA74" s="63">
        <f>IF(AND(BA72=3,BA73=9),24,MIN(IF(BA72&lt;=0,0,IF(WEEKDAY(BA$6,1)=1,0,MIN(8,BA73)*BA72)),MAX(0,40*MAX(1,BA72)-(0))))</f>
        <v>24</v>
      </c>
      <c r="BB74" s="63">
        <f>IF(AND(BB72=3,BB73=9),24,MIN(IF(BB72&lt;=0,0,IF(WEEKDAY(BB$6,1)=1,0,MIN(8,BB73)*BB72)),MAX(0,40*MAX(1,BB72)-(BA74))))</f>
        <v>24</v>
      </c>
      <c r="BC74" s="63">
        <f>IF(AND(BC72=3,BC73=9),24,MIN(IF(BC72&lt;=0,0,IF(WEEKDAY(BC$6,1)=1,0,MIN(8,BC73)*BC72)),MAX(0,40*MAX(1,BC72)-(BA74+BB74))))</f>
        <v>24</v>
      </c>
      <c r="BD74" s="63">
        <f>IF(AND(BD72=3,BD73=9),24,MIN(IF(BD72&lt;=0,0,IF(WEEKDAY(BD$6,1)=1,0,MIN(8,BD73)*BD72)),MAX(0,40*MAX(1,BD72)-(BA74+BB74+BC74))))</f>
        <v>24</v>
      </c>
      <c r="BE74" s="63">
        <f>IF(AND(BE72=3,BE73=9),24,MIN(IF(BE72&lt;=0,0,IF(WEEKDAY(BE$6,1)=1,0,MIN(8,BE73)*BE72)),MAX(0,40*MAX(1,BE72)-(BA74+BB74+BC74+BD74))))</f>
        <v>24</v>
      </c>
      <c r="BF74" s="64">
        <f>IF(AND(BF72=0,BF73=0),0,MIN(IF(BF72&lt;=0,0,IF(WEEKDAY(BF$6,1)=1,0,MIN(10,BF73)*BF72)),MAX(0,40*MAX(1,BF72)-(0))))</f>
        <v>0</v>
      </c>
      <c r="BG74" s="64">
        <f>IF(AND(BG72=0,BG73=0),0,MIN(IF(BG72&lt;=0,0,IF(WEEKDAY(BG$6,1)=1,0,MIN(10,BG73)*BG72)),MAX(0,40*MAX(1,BG72)-(BF74))))</f>
        <v>0</v>
      </c>
      <c r="BH74" s="63">
        <f>IF(AND(BH72=7,BH73=13),70,MIN(IF(BH72&lt;=0,0,IF(WEEKDAY(BH$6,1)=1,0,MIN(10,BH73)*BH72)),MAX(0,40*MAX(1,BH72)-(0))))</f>
        <v>70</v>
      </c>
      <c r="BI74" s="63">
        <f>IF(AND(BI72=7,BI73=13),70,MIN(IF(BI72&lt;=0,0,IF(WEEKDAY(BI$6,1)=1,0,MIN(10,BI73)*BI72)),MAX(0,40*MAX(1,BI72)-(BH74))))</f>
        <v>70</v>
      </c>
      <c r="BJ74" s="63">
        <f>IF(AND(BJ72=7,BJ73=13),70,MIN(IF(BJ72&lt;=0,0,IF(WEEKDAY(BJ$6,1)=1,0,MIN(10,BJ73)*BJ72)),MAX(0,40*MAX(1,BJ72)-(BH74+BI74))))</f>
        <v>70</v>
      </c>
      <c r="BK74" s="63">
        <f>IF(AND(BK72=7,BK73=13),70,MIN(IF(BK72&lt;=0,0,IF(WEEKDAY(BK$6,1)=1,0,MIN(10,BK73)*BK72)),MAX(0,40*MAX(1,BK72)-(BH74+BI74+BJ74))))</f>
        <v>70</v>
      </c>
      <c r="BL74" s="63">
        <f>IF(AND(BL72=7,BL73=13),0,MIN(IF(BL72&lt;=0,0,IF(WEEKDAY(BL$6,1)=1,0,MIN(10,BL73)*BL72)),MAX(0,40*MAX(1,BL72)-(BH74+BI74+BJ74+BK74))))</f>
        <v>0</v>
      </c>
      <c r="BM74" s="64">
        <f>IF(AND(BM72=7,BM73=13),0,MIN(IF(BM72&lt;=0,0,IF(WEEKDAY(BM$6,1)=1,0,MIN(10,BM73)*BM72)),MAX(0,40*MAX(1,BM72)-(BH74+BI74+BJ74+BK74+BL74))))</f>
        <v>0</v>
      </c>
      <c r="BN74" s="64">
        <f>IF(AND(BN72=7,BN73=13),0,MIN(IF(BN72&lt;=0,0,IF(WEEKDAY(BN$6,1)=1,0,MIN(10,BN73)*BN72)),MAX(0,40*MAX(1,BN72)-(BH74+BI74+BJ74+BK74+BL74+BM74))))</f>
        <v>0</v>
      </c>
      <c r="BO74" s="63">
        <f>IF(AND(BO72=7,BO73=13),70,MIN(IF(BO72&lt;=0,0,IF(WEEKDAY(BO$6,1)=1,0,MIN(10,BO73)*BO72)),MAX(0,40*MAX(1,BO72)-(0))))</f>
        <v>70</v>
      </c>
      <c r="BP74" s="63">
        <f>IF(AND(BP72=7,BP73=13),70,MIN(IF(BP72&lt;=0,0,IF(WEEKDAY(BP$6,1)=1,0,MIN(10,BP73)*BP72)),MAX(0,40*MAX(1,BP72)-(BO74))))</f>
        <v>70</v>
      </c>
      <c r="BQ74" s="63">
        <f>IF(AND(BQ72=7,BQ73=13),70,MIN(IF(BQ72&lt;=0,0,IF(WEEKDAY(BQ$6,1)=1,0,MIN(10,BQ73)*BQ72)),MAX(0,40*MAX(1,BQ72)-(BO74+BP74))))</f>
        <v>70</v>
      </c>
      <c r="BR74" s="63">
        <f>IF(AND(BR72=7,BR73=13),70,MIN(IF(BR72&lt;=0,0,IF(WEEKDAY(BR$6,1)=1,0,MIN(10,BR73)*BR72)),MAX(0,40*MAX(1,BR72)-(0))))</f>
        <v>70</v>
      </c>
      <c r="BS74" s="63">
        <f>IF(AND(BS72=7,BS73=13),70,MIN(IF(BS72&lt;=0,0,IF(WEEKDAY(BS$6,1)=1,0,MIN(10,BS73)*BS72)),MAX(0,40*MAX(1,BS72)-(BR74))))</f>
        <v>70</v>
      </c>
      <c r="BT74" s="64">
        <f>IF(AND(BT72=7,BT73=13),70,MIN(IF(BT72&lt;=0,0,IF(WEEKDAY(BT$6,1)=1,0,MIN(10,BT73)*BT72)),MAX(0,40*MAX(1,BT72)-(BR74+BS74))))</f>
        <v>70</v>
      </c>
      <c r="BU74" s="64">
        <f>IF(AND(BU72=7,BU73=13),0,MIN(IF(BU72&lt;=0,0,IF(WEEKDAY(BU$6,1)=1,0,MIN(10,BU73)*BU72)),MAX(0,40*MAX(1,BU72)-(BR74+BS74+BT74))))</f>
        <v>0</v>
      </c>
      <c r="BV74" s="63">
        <f>IF(AND(BV72=7,BV73=13),70,MIN(IF(BV72&lt;=0,0,IF(WEEKDAY(BV$6,1)=1,0,MIN(10,BV73)*BV72)),MAX(0,40*MAX(1,BV72)-(0))))</f>
        <v>70</v>
      </c>
      <c r="BW74" s="63">
        <f>IF(AND(BW72=7,BW73=13),70,MIN(IF(BW72&lt;=0,0,IF(WEEKDAY(BW$6,1)=1,0,MIN(10,BW73)*BW72)),MAX(0,40*MAX(1,BW72)-(BV74))))</f>
        <v>70</v>
      </c>
      <c r="BX74" s="63">
        <f>IF(AND(BX72=7,BX73=13),70,MIN(IF(BX72&lt;=0,0,IF(WEEKDAY(BX$6,1)=1,0,MIN(10,BX73)*BX72)),MAX(0,40*MAX(1,BX72)-(BV74+BW74))))</f>
        <v>70</v>
      </c>
      <c r="BY74" s="63">
        <f>IF(AND(BY72=7,BY73=13),70,MIN(IF(BY72&lt;=0,0,IF(WEEKDAY(BY$6,1)=1,0,MIN(10,BY73)*BY72)),MAX(0,40*MAX(1,BY72)-(BV74+BW74+BX74))))</f>
        <v>70</v>
      </c>
      <c r="BZ74" s="63">
        <f>IF(AND(BZ72=7,BZ73=13),0,MIN(IF(BZ72&lt;=0,0,IF(WEEKDAY(BZ$6,1)=1,0,MIN(10,BZ73)*BZ72)),MAX(0,40*MAX(1,BZ72)-(BV74+BW74+BX74+BY74))))</f>
        <v>0</v>
      </c>
      <c r="CA74" s="64">
        <f>IF(AND(CA72=7,CA73=13),0,MIN(IF(CA72&lt;=0,0,IF(WEEKDAY(CA$6,1)=1,0,MIN(10,CA73)*CA72)),MAX(0,40*MAX(1,CA72)-(BV74+BW74+BX74+BY74+BZ74))))</f>
        <v>0</v>
      </c>
      <c r="CB74" s="64">
        <f>IF(AND(CB72=7,CB73=13),0,MIN(IF(CB72&lt;=0,0,IF(WEEKDAY(CB$6,1)=1,0,MIN(10,CB73)*CB72)),MAX(0,40*MAX(1,CB72)-(BV74+BW74+BX74+BY74+BZ74+CA74))))</f>
        <v>0</v>
      </c>
      <c r="CC74" s="63">
        <f>IF(AND(CC72=7,CC73=13),70,MIN(IF(CC72&lt;=0,0,IF(WEEKDAY(CC$6,1)=1,0,MIN(10,CC73)*CC72)),MAX(0,40*MAX(1,CC72)-(0))))</f>
        <v>70</v>
      </c>
      <c r="CD74" s="63">
        <f>IF(AND(CD72=7,CD73=13),70,MIN(IF(CD72&lt;=0,0,IF(WEEKDAY(CD$6,1)=1,0,MIN(10,CD73)*CD72)),MAX(0,40*MAX(1,CD72)-(CC74))))</f>
        <v>70</v>
      </c>
      <c r="CE74" s="63">
        <f>IF(AND(CE72=7,CE73=13),70,MIN(IF(CE72&lt;=0,0,IF(WEEKDAY(CE$6,1)=1,0,MIN(10,CE73)*CE72)),MAX(0,40*MAX(1,CE72)-(CC74+CD74))))</f>
        <v>70</v>
      </c>
      <c r="CF74" s="63">
        <f>IF(AND(CF72=7,CF73=13),70,MIN(IF(CF72&lt;=0,0,IF(WEEKDAY(CF$6,1)=1,0,MIN(10,CF73)*CF72)),MAX(0,40*MAX(1,CF72)-(CC74+CD74+CE74))))</f>
        <v>70</v>
      </c>
      <c r="CG74" s="63">
        <f>IF(AND(CG72=7,CG73=13),0,MIN(IF(CG72&lt;=0,0,IF(WEEKDAY(CG$6,1)=1,0,MIN(10,CG73)*CG72)),MAX(0,40*MAX(1,CG72)-(CC74+CD74+CE74+CF74))))</f>
        <v>0</v>
      </c>
      <c r="CH74" s="64">
        <f>IF(AND(CH72=7,CH73=13),0,MIN(IF(CH72&lt;=0,0,IF(WEEKDAY(CH$6,1)=1,0,MIN(10,CH73)*CH72)),MAX(0,40*MAX(1,CH72)-(CC74+CD74+CE74+CF74+CG74))))</f>
        <v>0</v>
      </c>
      <c r="CI74" s="64">
        <f>IF(AND(CI72=7,CI73=13),0,MIN(IF(CI72&lt;=0,0,IF(WEEKDAY(CI$6,1)=1,0,MIN(10,CI73)*CI72)),MAX(0,40*MAX(1,CI72)-(CC74+CD74+CE74+CF74+CG74+CH74))))</f>
        <v>0</v>
      </c>
      <c r="CJ74" s="63">
        <f>IF(AND(CJ72=7,CJ73=13),70,MIN(IF(CJ72&lt;=0,0,IF(WEEKDAY(CJ$6,1)=1,0,MIN(10,CJ73)*CJ72)),MAX(0,40*MAX(1,CJ72)-(0))))</f>
        <v>70</v>
      </c>
      <c r="CK74" s="63">
        <f>IF(AND(CK72=7,CK73=13),70,MIN(IF(CK72&lt;=0,0,IF(WEEKDAY(CK$6,1)=1,0,MIN(10,CK73)*CK72)),MAX(0,40*MAX(1,CK72)-(CJ74))))</f>
        <v>70</v>
      </c>
      <c r="CL74" s="63">
        <f>IF(AND(CL72=7,CL73=13),70,MIN(IF(CL72&lt;=0,0,IF(WEEKDAY(CL$6,1)=1,0,MIN(10,CL73)*CL72)),MAX(0,40*MAX(1,CL72)-(CJ74+CK74))))</f>
        <v>70</v>
      </c>
      <c r="CM74" s="63">
        <f>IF(AND(CM72=7,CM73=13),70,MIN(IF(CM72&lt;=0,0,IF(WEEKDAY(CM$6,1)=1,0,MIN(10,CM73)*CM72)),MAX(0,40*MAX(1,CM72)-(CJ74+CK74+CL74))))</f>
        <v>70</v>
      </c>
      <c r="CN74" s="63">
        <f>IF(AND(CN72=7,CN73=13),0,MIN(IF(CN72&lt;=0,0,IF(WEEKDAY(CN$6,1)=1,0,MIN(10,CN73)*CN72)),MAX(0,40*MAX(1,CN72)-(CJ74+CK74+CL74+CM74))))</f>
        <v>0</v>
      </c>
      <c r="CO74" s="64">
        <f>IF(AND(CO72=7,CO73=13),0,MIN(IF(CO72&lt;=0,0,IF(WEEKDAY(CO$6,1)=1,0,MIN(10,CO73)*CO72)),MAX(0,40*MAX(1,CO72)-(CJ74+CK74+CL74+CM74+CN74))))</f>
        <v>0</v>
      </c>
      <c r="CP74" s="64">
        <f>IF(AND(CP72=7,CP73=13),0,MIN(IF(CP72&lt;=0,0,IF(WEEKDAY(CP$6,1)=1,0,MIN(10,CP73)*CP72)),MAX(0,40*MAX(1,CP72)-(CJ74+CK74+CL74+CM74+CN74+CO74))))</f>
        <v>0</v>
      </c>
      <c r="CQ74" s="63">
        <f>IF(AND(CQ72=7,CQ73=13),70,MIN(IF(CQ72&lt;=0,0,IF(WEEKDAY(CQ$6,1)=1,0,MIN(10,CQ73)*CQ72)),MAX(0,40*MAX(1,CQ72)-(0))))</f>
        <v>70</v>
      </c>
      <c r="CR74" s="63">
        <f>IF(AND(CR72=7,CR73=13),70,MIN(IF(CR72&lt;=0,0,IF(WEEKDAY(CR$6,1)=1,0,MIN(10,CR73)*CR72)),MAX(0,40*MAX(1,CR72)-(CQ74))))</f>
        <v>70</v>
      </c>
      <c r="CS74" s="63">
        <f>IF(AND(CS72=7,CS73=13),70,MIN(IF(CS72&lt;=0,0,IF(WEEKDAY(CS$6,1)=1,0,MIN(10,CS73)*CS72)),MAX(0,40*MAX(1,CS72)-(CQ74+CR74))))</f>
        <v>70</v>
      </c>
      <c r="CT74" s="63">
        <f>IF(AND(CT72=7,CT73=13),70,MIN(IF(CT72&lt;=0,0,IF(WEEKDAY(CT$6,1)=1,0,MIN(10,CT73)*CT72)),MAX(0,40*MAX(1,CT72)-(CQ74+CR74+CS74))))</f>
        <v>70</v>
      </c>
      <c r="CU74" s="63">
        <f>IF(AND(CU72=7,CU73=13),0,MIN(IF(CU72&lt;=0,0,IF(WEEKDAY(CU$6,1)=1,0,MIN(10,CU73)*CU72)),MAX(0,40*MAX(1,CU72)-(CQ74+CR74+CS74+CT74))))</f>
        <v>0</v>
      </c>
      <c r="CV74" s="64">
        <f>IF(AND(CV72=7,CV73=13),0,MIN(IF(CV72&lt;=0,0,IF(WEEKDAY(CV$6,1)=1,0,MIN(10,CV73)*CV72)),MAX(0,40*MAX(1,CV72)-(CQ74+CR74+CS74+CT74+CU74))))</f>
        <v>0</v>
      </c>
      <c r="CW74" s="64">
        <f>IF(AND(CW72=7,CW73=13),0,MIN(IF(CW72&lt;=0,0,IF(WEEKDAY(CW$6,1)=1,0,MIN(10,CW73)*CW72)),MAX(0,40*MAX(1,CW72)-(CQ74+CR74+CS74+CT74+CU74+CV74))))</f>
        <v>0</v>
      </c>
      <c r="CX74" s="63">
        <f>IF(AND(CX72=7,CX73=13),70,MIN(IF(CX72&lt;=0,0,IF(WEEKDAY(CX$6,1)=1,0,MIN(10,CX73)*CX72)),MAX(0,40*MAX(1,CX72)-(0))))</f>
        <v>70</v>
      </c>
      <c r="CY74" s="63">
        <f>IF(AND(CY72=7,CY73=13),70,MIN(IF(CY72&lt;=0,0,IF(WEEKDAY(CY$6,1)=1,0,MIN(10,CY73)*CY72)),MAX(0,40*MAX(1,CY72)-(CX74))))</f>
        <v>70</v>
      </c>
      <c r="CZ74" s="63">
        <f>IF(AND(CZ72=7,CZ73=13),70,MIN(IF(CZ72&lt;=0,0,IF(WEEKDAY(CZ$6,1)=1,0,MIN(10,CZ73)*CZ72)),MAX(0,40*MAX(1,CZ72)-(CX74+CY74))))</f>
        <v>70</v>
      </c>
      <c r="DA74" s="63">
        <f>IF(AND(DA72=7,DA73=13),70,MIN(IF(DA72&lt;=0,0,IF(WEEKDAY(DA$6,1)=1,0,MIN(10,DA73)*DA72)),MAX(0,40*MAX(1,DA72)-(CX74+CY74+CZ74))))</f>
        <v>70</v>
      </c>
      <c r="DB74" s="63">
        <f>IF(AND(DB72=7,DB73=13),0,MIN(IF(DB72&lt;=0,0,IF(WEEKDAY(DB$6,1)=1,0,MIN(10,DB73)*DB72)),MAX(0,40*MAX(1,DB72)-(CX74+CY74+CZ74+DA74))))</f>
        <v>0</v>
      </c>
      <c r="DC74" s="64">
        <f>IF(AND(DC72=7,DC73=13),0,MIN(IF(DC72&lt;=0,0,IF(WEEKDAY(DC$6,1)=1,0,MIN(10,DC73)*DC72)),MAX(0,40*MAX(1,DC72)-(CX74+CY74+CZ74+DA74+DB74))))</f>
        <v>0</v>
      </c>
      <c r="DD74" s="64">
        <f>IF(AND(DD72=7,DD73=13),0,MIN(IF(DD72&lt;=0,0,IF(WEEKDAY(DD$6,1)=1,0,MIN(10,DD73)*DD72)),MAX(0,40*MAX(1,DD72)-(0))))</f>
        <v>0</v>
      </c>
      <c r="DE74" s="63">
        <f>IF(AND(DE72=7,DE73=13),70,MIN(IF(DE72&lt;=0,0,IF(WEEKDAY(DE$6,1)=1,0,MIN(10,DE73)*DE72)),MAX(0,40*MAX(1,DE72)-(0))))</f>
        <v>70</v>
      </c>
      <c r="DF74" s="63">
        <f>IF(AND(DF72=7,DF73=13),70,MIN(IF(DF72&lt;=0,0,IF(WEEKDAY(DF$6,1)=1,0,MIN(10,DF73)*DF72)),MAX(0,40*MAX(1,DF72)-(DE74))))</f>
        <v>70</v>
      </c>
      <c r="DG74" s="63">
        <f>IF(AND(DG72=7,DG73=13),70,MIN(IF(DG72&lt;=0,0,IF(WEEKDAY(DG$6,1)=1,0,MIN(10,DG73)*DG72)),MAX(0,40*MAX(1,DG72)-(DE74+DF74))))</f>
        <v>70</v>
      </c>
      <c r="DH74" s="63">
        <f>IF(AND(DH72=7,DH73=13),70,MIN(IF(DH72&lt;=0,0,IF(WEEKDAY(DH$6,1)=1,0,MIN(10,DH73)*DH72)),MAX(0,40*MAX(1,DH72)-(DE74+DF74+DG74))))</f>
        <v>70</v>
      </c>
      <c r="DI74" s="63">
        <f>IF(AND(DI72=7,DI73=13),0,MIN(IF(DI72&lt;=0,0,IF(WEEKDAY(DI$6,1)=1,0,MIN(10,DI73)*DI72)),MAX(0,40*MAX(1,DI72)-(DE74+DF74+DG74+DH74))))</f>
        <v>0</v>
      </c>
      <c r="DJ74" s="64">
        <f>IF(AND(DJ72=7,DJ73=13),0,MIN(IF(DJ72&lt;=0,0,IF(WEEKDAY(DJ$6,1)=1,0,MIN(10,DJ73)*DJ72)),MAX(0,40*MAX(1,DJ72)-(DE74+DF74+DG74+DH74+DI74))))</f>
        <v>0</v>
      </c>
      <c r="DK74" s="64">
        <f>IF(AND(DK72=7,DK73=13),0,MIN(IF(DK72&lt;=0,0,IF(WEEKDAY(DK$6,1)=1,0,MIN(10,DK73)*DK72)),MAX(0,40*MAX(1,DK72)-(DE74+DF74+DG74+DH74+DI74+DJ74))))</f>
        <v>0</v>
      </c>
      <c r="DL74" s="63">
        <f>IF(AND(DL72=7,DL73=13),70,MIN(IF(DL72&lt;=0,0,IF(WEEKDAY(DL$6,1)=1,0,MIN(10,DL73)*DL72)),MAX(0,40*MAX(1,DL72)-(0))))</f>
        <v>70</v>
      </c>
      <c r="DM74" s="63">
        <f>IF(AND(DM72=7,DM73=13),70,MIN(IF(DM72&lt;=0,0,IF(WEEKDAY(DM$6,1)=1,0,MIN(10,DM73)*DM72)),MAX(0,40*MAX(1,DM72)-(DL74))))</f>
        <v>70</v>
      </c>
      <c r="DN74" s="63">
        <f>IF(AND(DN72=7,DN73=13),70,MIN(IF(DN72&lt;=0,0,IF(WEEKDAY(DN$6,1)=1,0,MIN(10,DN73)*DN72)),MAX(0,40*MAX(1,DN72)-(DL74+DM74))))</f>
        <v>70</v>
      </c>
      <c r="DO74" s="63">
        <f>IF(AND(DO72=7,DO73=13),70,MIN(IF(DO72&lt;=0,0,IF(WEEKDAY(DO$6,1)=1,0,MIN(10,DO73)*DO72)),MAX(0,40*MAX(1,DO72)-(DL74+DM74+DN74))))</f>
        <v>70</v>
      </c>
      <c r="DP74" s="63">
        <f>IF(AND(DP72=7,DP73=13),0,MIN(IF(DP72&lt;=0,0,IF(WEEKDAY(DP$6,1)=1,0,MIN(10,DP73)*DP72)),MAX(0,40*MAX(1,DP72)-(DL74+DM74+DN74+DO74))))</f>
        <v>0</v>
      </c>
      <c r="DQ74" s="64">
        <f>IF(AND(DQ72=7,DQ73=13),0,MIN(IF(DQ72&lt;=0,0,IF(WEEKDAY(DQ$6,1)=1,0,MIN(10,DQ73)*DQ72)),MAX(0,40*MAX(1,DQ72)-(DL74+DM74+DN74+DO74+DP74))))</f>
        <v>0</v>
      </c>
      <c r="DR74" s="64">
        <f>IF(AND(DR72=7,DR73=13),0,MIN(IF(DR72&lt;=0,0,IF(WEEKDAY(DR$6,1)=1,0,MIN(10,DR73)*DR72)),MAX(0,40*MAX(1,DR72)-(DL74+DM74+DN74+DO74+DP74+DQ74))))</f>
        <v>0</v>
      </c>
      <c r="DS74" s="63">
        <f>IF(AND(DS72=7,DS73=13),70,MIN(IF(DS72&lt;=0,0,IF(WEEKDAY(DS$6,1)=1,0,MIN(10,DS73)*DS72)),MAX(0,40*MAX(1,DS72)-(0))))</f>
        <v>70</v>
      </c>
      <c r="DT74" s="63">
        <f>IF(AND(DT72=3.29,DT73=7),23,MIN(IF(DT72&lt;=0,0,IF(WEEKDAY(DT$6,1)=1,0,MIN(8,DT73)*DT72)),MAX(0,40*MAX(1,DT72)-(0))))</f>
        <v>23</v>
      </c>
      <c r="DU74" s="63">
        <f>IF(AND(DU72=2,DU73=8),16,MIN(IF(DU72&lt;=0,0,IF(WEEKDAY(DU$6,1)=1,0,MIN(8,DU73)*DU72)),MAX(0,40*MAX(1,DU72)-(DT74))))</f>
        <v>16</v>
      </c>
      <c r="DV74" s="63">
        <f>IF(AND(DV72=2,DV73=8),16,MIN(IF(DV72&lt;=0,0,IF(WEEKDAY(DV$6,1)=1,0,MIN(8,DV73)*DV72)),MAX(0,40*MAX(1,DV72)-(DT74+DU74))))</f>
        <v>16</v>
      </c>
      <c r="DW74" s="63">
        <f>IF(AND(DW72=2,DW73=8),16,MIN(IF(DW72&lt;=0,0,IF(WEEKDAY(DW$6,1)=1,0,MIN(8,DW73)*DW72)),MAX(0,40*MAX(1,DW72)-(DT74+DU74+DV74))))</f>
        <v>16</v>
      </c>
      <c r="DX74" s="64">
        <f>IF(AND(DX72=0,DX73=0),0,MIN(IF(DX72&lt;=0,0,IF(WEEKDAY(DX$6,1)=1,0,MIN(10,DX73)*DX72)),MAX(0,40*MAX(1,DX72)-(0))))</f>
        <v>0</v>
      </c>
      <c r="DY74" s="64">
        <f>IF(AND(DY72=0,DY73=0),0,MIN(IF(DY72&lt;=0,0,IF(WEEKDAY(DY$6,1)=1,0,MIN(10,DY73)*DY72)),MAX(0,40*MAX(1,DY72)-(DX74))))</f>
        <v>0</v>
      </c>
      <c r="DZ74" s="63">
        <f>IF(AND(DZ72=2,DZ73=8),16,MIN(IF(DZ72&lt;=0,0,IF(WEEKDAY(DZ$6,1)=1,0,MIN(8,DZ73)*DZ72)),MAX(0,40*MAX(1,DZ72)-(0))))</f>
        <v>16</v>
      </c>
      <c r="EA74" s="63">
        <f>IF(AND(EA72=2,EA73=8),16,MIN(IF(EA72&lt;=0,0,IF(WEEKDAY(EA$6,1)=1,0,MIN(8,EA73)*EA72)),MAX(0,40*MAX(1,EA72)-(DZ74))))</f>
        <v>16</v>
      </c>
      <c r="EB74" s="63">
        <f>IF(AND(EB72=2,EB73=8),16,MIN(IF(EB72&lt;=0,0,IF(WEEKDAY(EB$6,1)=1,0,MIN(8,EB73)*EB72)),MAX(0,40*MAX(1,EB72)-(DZ74+EA74))))</f>
        <v>16</v>
      </c>
      <c r="EC74" s="63">
        <f>IF(AND(EC72=2,EC73=8),16,MIN(IF(EC72&lt;=0,0,IF(WEEKDAY(EC$6,1)=1,0,MIN(8,EC73)*EC72)),MAX(0,40*MAX(1,EC72)-(DZ74+EA74+EB74))))</f>
        <v>16</v>
      </c>
      <c r="ED74" s="63">
        <f>IF(AND(ED72=2,ED73=8),16,MIN(IF(ED72&lt;=0,0,IF(WEEKDAY(ED$6,1)=1,0,MIN(8,ED73)*ED72)),MAX(0,40*MAX(1,ED72)-(DZ74+EA74+EB74+EC74))))</f>
        <v>16</v>
      </c>
      <c r="EE74" s="64">
        <f>IF(AND(EE72=0,EE73=0),0,MIN(IF(EE72&lt;=0,0,IF(WEEKDAY(EE$6,1)=1,0,MIN(10,EE73)*EE72)),MAX(0,40*MAX(1,EE72)-(0))))</f>
        <v>0</v>
      </c>
      <c r="EF74" s="64">
        <f>IF(AND(EF72=0,EF73=0),0,MIN(IF(EF72&lt;=0,0,IF(WEEKDAY(EF$6,1)=1,0,MIN(10,EF73)*EF72)),MAX(0,40*MAX(1,EF72)-(EE74))))</f>
        <v>0</v>
      </c>
      <c r="EG74" s="63">
        <f>IF(AND(EG72=2,EG73=8),16,MIN(IF(EG72&lt;=0,0,IF(WEEKDAY(EG$6,1)=1,0,MIN(8,EG73)*EG72)),MAX(0,40*MAX(1,EG72)-(0))))</f>
        <v>16</v>
      </c>
      <c r="EH74" s="63">
        <f>IF(AND(EH72=2,EH73=8),16,MIN(IF(EH72&lt;=0,0,IF(WEEKDAY(EH$6,1)=1,0,MIN(8,EH73)*EH72)),MAX(0,40*MAX(1,EH72)-(EG74))))</f>
        <v>16</v>
      </c>
      <c r="EI74" s="63">
        <f>IF(AND(EI72=2,EI73=8),16,MIN(IF(EI72&lt;=0,0,IF(WEEKDAY(EI$6,1)=1,0,MIN(8,EI73)*EI72)),MAX(0,40*MAX(1,EI72)-(EG74+EH74))))</f>
        <v>16</v>
      </c>
      <c r="EJ74" s="63">
        <f>IF(AND(EJ72=2,EJ73=8),16,MIN(IF(EJ72&lt;=0,0,IF(WEEKDAY(EJ$6,1)=1,0,MIN(8,EJ73)*EJ72)),MAX(0,40*MAX(1,EJ72)-(EG74+EH74+EI74))))</f>
        <v>16</v>
      </c>
      <c r="EK74" s="65">
        <f>IF(AND(EK72=2,EK73=8),16,MIN(IF(EK72&lt;=0,0,IF(WEEKDAY(EK$6,1)=1,0,MIN(8,EK73)*EK72)),MAX(0,40*MAX(1,EK72)-(EG74+EH74+EI74+EJ74))))</f>
        <v>16</v>
      </c>
      <c r="OU74" s="28" t="s">
        <v>79</v>
      </c>
    </row>
    <row r="75" ht="16" customHeight="1" spans="1:411" x14ac:dyDescent="0.25">
      <c r="A75" s="45"/>
      <c r="B75" s="46"/>
      <c r="C75" s="66">
        <f>G71*N(D75)</f>
        <v>340734.9</v>
      </c>
      <c r="D75" s="66">
        <f>IF(TRIM(B71)="","No rate",IFERROR(INDEX('Rate Tables'!D$7:D$158,MATCH(B71,'Rate Tables'!A$7:A$158,0)),"No rate"))</f>
        <v>143.77</v>
      </c>
      <c r="E75" s="55" t="s">
        <v>63</v>
      </c>
      <c r="F75" s="49"/>
      <c r="G75" s="49"/>
      <c r="H75" s="49"/>
      <c r="I75" s="49"/>
      <c r="J75" s="50"/>
      <c r="K75" s="62">
        <f>IF(AND(K72=2,K73=9),2,IF(K72&lt;=0,0,IF(WEEKDAY(K$6,1)=1,0,MAX(0,K73-8)*K72))+((IF(K72&lt;=0,0,IF(WEEKDAY(K$6,1)=1,0,MIN(8,K73)*K72)))-MIN(IF(K72&lt;=0,0,IF(WEEKDAY(K$6,1)=1,0,MIN(8,K73)*K72)),MAX(0,40*MAX(1,K72)-(0)))))</f>
        <v>2</v>
      </c>
      <c r="L75" s="63">
        <f>IF(AND(L72=2,L73=9),2,IF(L72&lt;=0,0,IF(WEEKDAY(L$6,1)=1,0,MAX(0,L73-8)*L72))+((IF(L72&lt;=0,0,IF(WEEKDAY(L$6,1)=1,0,MIN(8,L73)*L72)))-MIN(IF(L72&lt;=0,0,IF(WEEKDAY(L$6,1)=1,0,MIN(8,L73)*L72)),MAX(0,40*MAX(1,L72)-(K74)))))</f>
        <v>2</v>
      </c>
      <c r="M75" s="63">
        <f>IF(AND(M72=2,M73=9),2,IF(M72&lt;=0,0,IF(WEEKDAY(M$6,1)=1,0,MAX(0,M73-8)*M72))+((IF(M72&lt;=0,0,IF(WEEKDAY(M$6,1)=1,0,MIN(8,M73)*M72)))-MIN(IF(M72&lt;=0,0,IF(WEEKDAY(M$6,1)=1,0,MIN(8,M73)*M72)),MAX(0,40*MAX(1,M72)-(K74+L74)))))</f>
        <v>2</v>
      </c>
      <c r="N75" s="63">
        <f>IF(AND(N72=2,N73=9),2,IF(N72&lt;=0,0,IF(WEEKDAY(N$6,1)=1,0,MAX(0,N73-8)*N72))+((IF(N72&lt;=0,0,IF(WEEKDAY(N$6,1)=1,0,MIN(8,N73)*N72)))-MIN(IF(N72&lt;=0,0,IF(WEEKDAY(N$6,1)=1,0,MIN(8,N73)*N72)),MAX(0,40*MAX(1,N72)-(K74+L74+M74)))))</f>
        <v>2</v>
      </c>
      <c r="O75" s="63">
        <f>IF(AND(O72=2,O73=9),2,IF(O72&lt;=0,0,IF(WEEKDAY(O$6,1)=1,0,MAX(0,O73-8)*O72))+((IF(O72&lt;=0,0,IF(WEEKDAY(O$6,1)=1,0,MIN(8,O73)*O72)))-MIN(IF(O72&lt;=0,0,IF(WEEKDAY(O$6,1)=1,0,MIN(8,O73)*O72)),MAX(0,40*MAX(1,O72)-(K74+L74+M74+N74)))))</f>
        <v>2</v>
      </c>
      <c r="P75" s="64">
        <f>IF(AND(P72=0,P73=0),0,IF(P72&lt;=0,0,IF(WEEKDAY(P$6,1)=1,0,MAX(0,P73-10)*P72))+((IF(P72&lt;=0,0,IF(WEEKDAY(P$6,1)=1,0,MIN(10,P73)*P72)))-MIN(IF(P72&lt;=0,0,IF(WEEKDAY(P$6,1)=1,0,MIN(10,P73)*P72)),MAX(0,40*MAX(1,P72)-(0)))))</f>
        <v>0</v>
      </c>
      <c r="Q75" s="64">
        <f>IF(AND(Q72=0,Q73=0),0,IF(Q72&lt;=0,0,IF(WEEKDAY(Q$6,1)=1,0,MAX(0,Q73-10)*Q72))+((IF(Q72&lt;=0,0,IF(WEEKDAY(Q$6,1)=1,0,MIN(10,Q73)*Q72)))-MIN(IF(Q72&lt;=0,0,IF(WEEKDAY(Q$6,1)=1,0,MIN(10,Q73)*Q72)),MAX(0,40*MAX(1,Q72)-(P74)))))</f>
        <v>0</v>
      </c>
      <c r="R75" s="63">
        <f>IF(AND(R72=2,R73=9),2,IF(R72&lt;=0,0,IF(WEEKDAY(R$6,1)=1,0,MAX(0,R73-8)*R72))+((IF(R72&lt;=0,0,IF(WEEKDAY(R$6,1)=1,0,MIN(8,R73)*R72)))-MIN(IF(R72&lt;=0,0,IF(WEEKDAY(R$6,1)=1,0,MIN(8,R73)*R72)),MAX(0,40*MAX(1,R72)-(0)))))</f>
        <v>2</v>
      </c>
      <c r="S75" s="63">
        <f>IF(AND(S72=2,S73=9),2,IF(S72&lt;=0,0,IF(WEEKDAY(S$6,1)=1,0,MAX(0,S73-8)*S72))+((IF(S72&lt;=0,0,IF(WEEKDAY(S$6,1)=1,0,MIN(8,S73)*S72)))-MIN(IF(S72&lt;=0,0,IF(WEEKDAY(S$6,1)=1,0,MIN(8,S73)*S72)),MAX(0,40*MAX(1,S72)-(R74)))))</f>
        <v>2</v>
      </c>
      <c r="T75" s="63">
        <f>IF(AND(T72=2,T73=9),2,IF(T72&lt;=0,0,IF(WEEKDAY(T$6,1)=1,0,MAX(0,T73-8)*T72))+((IF(T72&lt;=0,0,IF(WEEKDAY(T$6,1)=1,0,MIN(8,T73)*T72)))-MIN(IF(T72&lt;=0,0,IF(WEEKDAY(T$6,1)=1,0,MIN(8,T73)*T72)),MAX(0,40*MAX(1,T72)-(R74+S74)))))</f>
        <v>2</v>
      </c>
      <c r="U75" s="63">
        <f>IF(AND(U72=2,U73=9),2,IF(U72&lt;=0,0,IF(WEEKDAY(U$6,1)=1,0,MAX(0,U73-8)*U72))+((IF(U72&lt;=0,0,IF(WEEKDAY(U$6,1)=1,0,MIN(8,U73)*U72)))-MIN(IF(U72&lt;=0,0,IF(WEEKDAY(U$6,1)=1,0,MIN(8,U73)*U72)),MAX(0,40*MAX(1,U72)-(R74+S74+T74)))))</f>
        <v>2</v>
      </c>
      <c r="V75" s="63">
        <f>IF(AND(V72=2,V73=9),2,IF(V72&lt;=0,0,IF(WEEKDAY(V$6,1)=1,0,MAX(0,V73-8)*V72))+((IF(V72&lt;=0,0,IF(WEEKDAY(V$6,1)=1,0,MIN(8,V73)*V72)))-MIN(IF(V72&lt;=0,0,IF(WEEKDAY(V$6,1)=1,0,MIN(8,V73)*V72)),MAX(0,40*MAX(1,V72)-(R74+S74+T74+U74)))))</f>
        <v>2</v>
      </c>
      <c r="W75" s="64">
        <f>IF(AND(W72=0,W73=0),0,IF(W72&lt;=0,0,IF(WEEKDAY(W$6,1)=1,0,MAX(0,W73-10)*W72))+((IF(W72&lt;=0,0,IF(WEEKDAY(W$6,1)=1,0,MIN(10,W73)*W72)))-MIN(IF(W72&lt;=0,0,IF(WEEKDAY(W$6,1)=1,0,MIN(10,W73)*W72)),MAX(0,40*MAX(1,W72)-(0)))))</f>
        <v>0</v>
      </c>
      <c r="X75" s="64">
        <f>IF(AND(X72=0,X73=0),0,IF(X72&lt;=0,0,IF(WEEKDAY(X$6,1)=1,0,MAX(0,X73-10)*X72))+((IF(X72&lt;=0,0,IF(WEEKDAY(X$6,1)=1,0,MIN(10,X73)*X72)))-MIN(IF(X72&lt;=0,0,IF(WEEKDAY(X$6,1)=1,0,MIN(10,X73)*X72)),MAX(0,40*MAX(1,X72)-(W74)))))</f>
        <v>0</v>
      </c>
      <c r="Y75" s="63">
        <f>IF(AND(Y72=3,Y73=9),3,IF(Y72&lt;=0,0,IF(WEEKDAY(Y$6,1)=1,0,MAX(0,Y73-8)*Y72))+((IF(Y72&lt;=0,0,IF(WEEKDAY(Y$6,1)=1,0,MIN(8,Y73)*Y72)))-MIN(IF(Y72&lt;=0,0,IF(WEEKDAY(Y$6,1)=1,0,MIN(8,Y73)*Y72)),MAX(0,40*MAX(1,Y72)-(0)))))</f>
        <v>3</v>
      </c>
      <c r="Z75" s="63">
        <f>IF(AND(Z72=3,Z73=9),3,IF(Z72&lt;=0,0,IF(WEEKDAY(Z$6,1)=1,0,MAX(0,Z73-8)*Z72))+((IF(Z72&lt;=0,0,IF(WEEKDAY(Z$6,1)=1,0,MIN(8,Z73)*Z72)))-MIN(IF(Z72&lt;=0,0,IF(WEEKDAY(Z$6,1)=1,0,MIN(8,Z73)*Z72)),MAX(0,40*MAX(1,Z72)-(Y74)))))</f>
        <v>3</v>
      </c>
      <c r="AA75" s="63">
        <f>IF(AND(AA72=3,AA73=9),3,IF(AA72&lt;=0,0,IF(WEEKDAY(AA$6,1)=1,0,MAX(0,AA73-8)*AA72))+((IF(AA72&lt;=0,0,IF(WEEKDAY(AA$6,1)=1,0,MIN(8,AA73)*AA72)))-MIN(IF(AA72&lt;=0,0,IF(WEEKDAY(AA$6,1)=1,0,MIN(8,AA73)*AA72)),MAX(0,40*MAX(1,AA72)-(Y74+Z74)))))</f>
        <v>3</v>
      </c>
      <c r="AB75" s="63">
        <f>IF(AND(AB72=3,AB73=9),3,IF(AB72&lt;=0,0,IF(WEEKDAY(AB$6,1)=1,0,MAX(0,AB73-8)*AB72))+((IF(AB72&lt;=0,0,IF(WEEKDAY(AB$6,1)=1,0,MIN(8,AB73)*AB72)))-MIN(IF(AB72&lt;=0,0,IF(WEEKDAY(AB$6,1)=1,0,MIN(8,AB73)*AB72)),MAX(0,40*MAX(1,AB72)-(Y74+Z74+AA74)))))</f>
        <v>3</v>
      </c>
      <c r="AC75" s="63">
        <f>IF(AND(AC72=3,AC73=9),3,IF(AC72&lt;=0,0,IF(WEEKDAY(AC$6,1)=1,0,MAX(0,AC73-8)*AC72))+((IF(AC72&lt;=0,0,IF(WEEKDAY(AC$6,1)=1,0,MIN(8,AC73)*AC72)))-MIN(IF(AC72&lt;=0,0,IF(WEEKDAY(AC$6,1)=1,0,MIN(8,AC73)*AC72)),MAX(0,40*MAX(1,AC72)-(Y74+Z74+AA74+AB74)))))</f>
        <v>3</v>
      </c>
      <c r="AD75" s="64">
        <f>IF(AND(AD72=0,AD73=0),0,IF(AD72&lt;=0,0,IF(WEEKDAY(AD$6,1)=1,0,MAX(0,AD73-10)*AD72))+((IF(AD72&lt;=0,0,IF(WEEKDAY(AD$6,1)=1,0,MIN(10,AD73)*AD72)))-MIN(IF(AD72&lt;=0,0,IF(WEEKDAY(AD$6,1)=1,0,MIN(10,AD73)*AD72)),MAX(0,40*MAX(1,AD72)-(0)))))</f>
        <v>0</v>
      </c>
      <c r="AE75" s="64">
        <f>IF(AND(AE72=0,AE73=0),0,IF(AE72&lt;=0,0,IF(WEEKDAY(AE$6,1)=1,0,MAX(0,AE73-10)*AE72))+((IF(AE72&lt;=0,0,IF(WEEKDAY(AE$6,1)=1,0,MIN(10,AE73)*AE72)))-MIN(IF(AE72&lt;=0,0,IF(WEEKDAY(AE$6,1)=1,0,MIN(10,AE73)*AE72)),MAX(0,40*MAX(1,AE72)-(AD74)))))</f>
        <v>0</v>
      </c>
      <c r="AF75" s="63">
        <f>IF(AND(AF72=3,AF73=9),3,IF(AF72&lt;=0,0,IF(WEEKDAY(AF$6,1)=1,0,MAX(0,AF73-8)*AF72))+((IF(AF72&lt;=0,0,IF(WEEKDAY(AF$6,1)=1,0,MIN(8,AF73)*AF72)))-MIN(IF(AF72&lt;=0,0,IF(WEEKDAY(AF$6,1)=1,0,MIN(8,AF73)*AF72)),MAX(0,40*MAX(1,AF72)-(0)))))</f>
        <v>3</v>
      </c>
      <c r="AG75" s="63">
        <f>IF(AND(AG72=3,AG73=9),3,IF(AG72&lt;=0,0,IF(WEEKDAY(AG$6,1)=1,0,MAX(0,AG73-8)*AG72))+((IF(AG72&lt;=0,0,IF(WEEKDAY(AG$6,1)=1,0,MIN(8,AG73)*AG72)))-MIN(IF(AG72&lt;=0,0,IF(WEEKDAY(AG$6,1)=1,0,MIN(8,AG73)*AG72)),MAX(0,40*MAX(1,AG72)-(AF74)))))</f>
        <v>3</v>
      </c>
      <c r="AH75" s="63">
        <f>IF(AND(AH72=3,AH73=9),3,IF(AH72&lt;=0,0,IF(WEEKDAY(AH$6,1)=1,0,MAX(0,AH73-8)*AH72))+((IF(AH72&lt;=0,0,IF(WEEKDAY(AH$6,1)=1,0,MIN(8,AH73)*AH72)))-MIN(IF(AH72&lt;=0,0,IF(WEEKDAY(AH$6,1)=1,0,MIN(8,AH73)*AH72)),MAX(0,40*MAX(1,AH72)-(AF74+AG74)))))</f>
        <v>3</v>
      </c>
      <c r="AI75" s="63">
        <f>IF(AND(AI72=3,AI73=9),3,IF(AI72&lt;=0,0,IF(WEEKDAY(AI$6,1)=1,0,MAX(0,AI73-8)*AI72))+((IF(AI72&lt;=0,0,IF(WEEKDAY(AI$6,1)=1,0,MIN(8,AI73)*AI72)))-MIN(IF(AI72&lt;=0,0,IF(WEEKDAY(AI$6,1)=1,0,MIN(8,AI73)*AI72)),MAX(0,40*MAX(1,AI72)-(AF74+AG74+AH74)))))</f>
        <v>3</v>
      </c>
      <c r="AJ75" s="63">
        <f>IF(AND(AJ72=3,AJ73=9),3,IF(AJ72&lt;=0,0,IF(WEEKDAY(AJ$6,1)=1,0,MAX(0,AJ73-8)*AJ72))+((IF(AJ72&lt;=0,0,IF(WEEKDAY(AJ$6,1)=1,0,MIN(8,AJ73)*AJ72)))-MIN(IF(AJ72&lt;=0,0,IF(WEEKDAY(AJ$6,1)=1,0,MIN(8,AJ73)*AJ72)),MAX(0,40*MAX(1,AJ72)-(AF74+AG74+AH74+AI74)))))</f>
        <v>3</v>
      </c>
      <c r="AK75" s="64">
        <f>IF(AND(AK72=0,AK73=0),0,IF(AK72&lt;=0,0,IF(WEEKDAY(AK$6,1)=1,0,MAX(0,AK73-10)*AK72))+((IF(AK72&lt;=0,0,IF(WEEKDAY(AK$6,1)=1,0,MIN(10,AK73)*AK72)))-MIN(IF(AK72&lt;=0,0,IF(WEEKDAY(AK$6,1)=1,0,MIN(10,AK73)*AK72)),MAX(0,40*MAX(1,AK72)-(0)))))</f>
        <v>0</v>
      </c>
      <c r="AL75" s="64">
        <f>IF(AND(AL72=0,AL73=0),0,IF(AL72&lt;=0,0,IF(WEEKDAY(AL$6,1)=1,0,MAX(0,AL73-10)*AL72))+((IF(AL72&lt;=0,0,IF(WEEKDAY(AL$6,1)=1,0,MIN(10,AL73)*AL72)))-MIN(IF(AL72&lt;=0,0,IF(WEEKDAY(AL$6,1)=1,0,MIN(10,AL73)*AL72)),MAX(0,40*MAX(1,AL72)-(AK74)))))</f>
        <v>0</v>
      </c>
      <c r="AM75" s="63">
        <f>IF(AND(AM72=3,AM73=9),3,IF(AM72&lt;=0,0,IF(WEEKDAY(AM$6,1)=1,0,MAX(0,AM73-8)*AM72))+((IF(AM72&lt;=0,0,IF(WEEKDAY(AM$6,1)=1,0,MIN(8,AM73)*AM72)))-MIN(IF(AM72&lt;=0,0,IF(WEEKDAY(AM$6,1)=1,0,MIN(8,AM73)*AM72)),MAX(0,40*MAX(1,AM72)-(0)))))</f>
        <v>3</v>
      </c>
      <c r="AN75" s="63">
        <f>IF(AND(AN72=3,AN73=9),3,IF(AN72&lt;=0,0,IF(WEEKDAY(AN$6,1)=1,0,MAX(0,AN73-8)*AN72))+((IF(AN72&lt;=0,0,IF(WEEKDAY(AN$6,1)=1,0,MIN(8,AN73)*AN72)))-MIN(IF(AN72&lt;=0,0,IF(WEEKDAY(AN$6,1)=1,0,MIN(8,AN73)*AN72)),MAX(0,40*MAX(1,AN72)-(AM74)))))</f>
        <v>3</v>
      </c>
      <c r="AO75" s="63">
        <f>IF(AND(AO72=3,AO73=9),3,IF(AO72&lt;=0,0,IF(WEEKDAY(AO$6,1)=1,0,MAX(0,AO73-8)*AO72))+((IF(AO72&lt;=0,0,IF(WEEKDAY(AO$6,1)=1,0,MIN(8,AO73)*AO72)))-MIN(IF(AO72&lt;=0,0,IF(WEEKDAY(AO$6,1)=1,0,MIN(8,AO73)*AO72)),MAX(0,40*MAX(1,AO72)-(AM74+AN74)))))</f>
        <v>3</v>
      </c>
      <c r="AP75" s="63">
        <f>IF(AND(AP72=3,AP73=9),3,IF(AP72&lt;=0,0,IF(WEEKDAY(AP$6,1)=1,0,MAX(0,AP73-8)*AP72))+((IF(AP72&lt;=0,0,IF(WEEKDAY(AP$6,1)=1,0,MIN(8,AP73)*AP72)))-MIN(IF(AP72&lt;=0,0,IF(WEEKDAY(AP$6,1)=1,0,MIN(8,AP73)*AP72)),MAX(0,40*MAX(1,AP72)-(AM74+AN74+AO74)))))</f>
        <v>3</v>
      </c>
      <c r="AQ75" s="63">
        <f>IF(AND(AQ72=3,AQ73=9),3,IF(AQ72&lt;=0,0,IF(WEEKDAY(AQ$6,1)=1,0,MAX(0,AQ73-8)*AQ72))+((IF(AQ72&lt;=0,0,IF(WEEKDAY(AQ$6,1)=1,0,MIN(8,AQ73)*AQ72)))-MIN(IF(AQ72&lt;=0,0,IF(WEEKDAY(AQ$6,1)=1,0,MIN(8,AQ73)*AQ72)),MAX(0,40*MAX(1,AQ72)-(AM74+AN74+AO74+AP74)))))</f>
        <v>3</v>
      </c>
      <c r="AR75" s="64">
        <f>IF(AND(AR72=0,AR73=0),0,IF(AR72&lt;=0,0,IF(WEEKDAY(AR$6,1)=1,0,MAX(0,AR73-10)*AR72))+((IF(AR72&lt;=0,0,IF(WEEKDAY(AR$6,1)=1,0,MIN(10,AR73)*AR72)))-MIN(IF(AR72&lt;=0,0,IF(WEEKDAY(AR$6,1)=1,0,MIN(10,AR73)*AR72)),MAX(0,40*MAX(1,AR72)-(0)))))</f>
        <v>0</v>
      </c>
      <c r="AS75" s="64">
        <f>IF(AND(AS72=0,AS73=0),0,IF(AS72&lt;=0,0,IF(WEEKDAY(AS$6,1)=1,0,MAX(0,AS73-10)*AS72))+((IF(AS72&lt;=0,0,IF(WEEKDAY(AS$6,1)=1,0,MIN(10,AS73)*AS72)))-MIN(IF(AS72&lt;=0,0,IF(WEEKDAY(AS$6,1)=1,0,MIN(10,AS73)*AS72)),MAX(0,40*MAX(1,AS72)-(AR74)))))</f>
        <v>0</v>
      </c>
      <c r="AT75" s="63">
        <f>IF(AND(AT72=3,AT73=9),3,IF(AT72&lt;=0,0,IF(WEEKDAY(AT$6,1)=1,0,MAX(0,AT73-8)*AT72))+((IF(AT72&lt;=0,0,IF(WEEKDAY(AT$6,1)=1,0,MIN(8,AT73)*AT72)))-MIN(IF(AT72&lt;=0,0,IF(WEEKDAY(AT$6,1)=1,0,MIN(8,AT73)*AT72)),MAX(0,40*MAX(1,AT72)-(0)))))</f>
        <v>3</v>
      </c>
      <c r="AU75" s="63">
        <f>IF(AND(AU72=3,AU73=9),3,IF(AU72&lt;=0,0,IF(WEEKDAY(AU$6,1)=1,0,MAX(0,AU73-8)*AU72))+((IF(AU72&lt;=0,0,IF(WEEKDAY(AU$6,1)=1,0,MIN(8,AU73)*AU72)))-MIN(IF(AU72&lt;=0,0,IF(WEEKDAY(AU$6,1)=1,0,MIN(8,AU73)*AU72)),MAX(0,40*MAX(1,AU72)-(AT74)))))</f>
        <v>3</v>
      </c>
      <c r="AV75" s="63">
        <f>IF(AND(AV72=3,AV73=9),3,IF(AV72&lt;=0,0,IF(WEEKDAY(AV$6,1)=1,0,MAX(0,AV73-8)*AV72))+((IF(AV72&lt;=0,0,IF(WEEKDAY(AV$6,1)=1,0,MIN(8,AV73)*AV72)))-MIN(IF(AV72&lt;=0,0,IF(WEEKDAY(AV$6,1)=1,0,MIN(8,AV73)*AV72)),MAX(0,40*MAX(1,AV72)-(AT74+AU74)))))</f>
        <v>3</v>
      </c>
      <c r="AW75" s="63">
        <f>IF(AND(AW72=3,AW73=9),3,IF(AW72&lt;=0,0,IF(WEEKDAY(AW$6,1)=1,0,MAX(0,AW73-8)*AW72))+((IF(AW72&lt;=0,0,IF(WEEKDAY(AW$6,1)=1,0,MIN(8,AW73)*AW72)))-MIN(IF(AW72&lt;=0,0,IF(WEEKDAY(AW$6,1)=1,0,MIN(8,AW73)*AW72)),MAX(0,40*MAX(1,AW72)-(AT74+AU74+AV74)))))</f>
        <v>3</v>
      </c>
      <c r="AX75" s="63">
        <f>IF(AND(AX72=3,AX73=9),3,IF(AX72&lt;=0,0,IF(WEEKDAY(AX$6,1)=1,0,MAX(0,AX73-8)*AX72))+((IF(AX72&lt;=0,0,IF(WEEKDAY(AX$6,1)=1,0,MIN(8,AX73)*AX72)))-MIN(IF(AX72&lt;=0,0,IF(WEEKDAY(AX$6,1)=1,0,MIN(8,AX73)*AX72)),MAX(0,40*MAX(1,AX72)-(AT74+AU74+AV74+AW74)))))</f>
        <v>3</v>
      </c>
      <c r="AY75" s="64">
        <f>IF(AND(AY72=0,AY73=0),0,IF(AY72&lt;=0,0,IF(WEEKDAY(AY$6,1)=1,0,MAX(0,AY73-10)*AY72))+((IF(AY72&lt;=0,0,IF(WEEKDAY(AY$6,1)=1,0,MIN(10,AY73)*AY72)))-MIN(IF(AY72&lt;=0,0,IF(WEEKDAY(AY$6,1)=1,0,MIN(10,AY73)*AY72)),MAX(0,40*MAX(1,AY72)-(0)))))</f>
        <v>0</v>
      </c>
      <c r="AZ75" s="64">
        <f>IF(AND(AZ72=0,AZ73=0),0,IF(AZ72&lt;=0,0,IF(WEEKDAY(AZ$6,1)=1,0,MAX(0,AZ73-10)*AZ72))+((IF(AZ72&lt;=0,0,IF(WEEKDAY(AZ$6,1)=1,0,MIN(10,AZ73)*AZ72)))-MIN(IF(AZ72&lt;=0,0,IF(WEEKDAY(AZ$6,1)=1,0,MIN(10,AZ73)*AZ72)),MAX(0,40*MAX(1,AZ72)-(AY74)))))</f>
        <v>0</v>
      </c>
      <c r="BA75" s="63">
        <f>IF(AND(BA72=3,BA73=9),3,IF(BA72&lt;=0,0,IF(WEEKDAY(BA$6,1)=1,0,MAX(0,BA73-8)*BA72))+((IF(BA72&lt;=0,0,IF(WEEKDAY(BA$6,1)=1,0,MIN(8,BA73)*BA72)))-MIN(IF(BA72&lt;=0,0,IF(WEEKDAY(BA$6,1)=1,0,MIN(8,BA73)*BA72)),MAX(0,40*MAX(1,BA72)-(0)))))</f>
        <v>3</v>
      </c>
      <c r="BB75" s="63">
        <f>IF(AND(BB72=3,BB73=9),3,IF(BB72&lt;=0,0,IF(WEEKDAY(BB$6,1)=1,0,MAX(0,BB73-8)*BB72))+((IF(BB72&lt;=0,0,IF(WEEKDAY(BB$6,1)=1,0,MIN(8,BB73)*BB72)))-MIN(IF(BB72&lt;=0,0,IF(WEEKDAY(BB$6,1)=1,0,MIN(8,BB73)*BB72)),MAX(0,40*MAX(1,BB72)-(BA74)))))</f>
        <v>3</v>
      </c>
      <c r="BC75" s="63">
        <f>IF(AND(BC72=3,BC73=9),3,IF(BC72&lt;=0,0,IF(WEEKDAY(BC$6,1)=1,0,MAX(0,BC73-8)*BC72))+((IF(BC72&lt;=0,0,IF(WEEKDAY(BC$6,1)=1,0,MIN(8,BC73)*BC72)))-MIN(IF(BC72&lt;=0,0,IF(WEEKDAY(BC$6,1)=1,0,MIN(8,BC73)*BC72)),MAX(0,40*MAX(1,BC72)-(BA74+BB74)))))</f>
        <v>3</v>
      </c>
      <c r="BD75" s="63">
        <f>IF(AND(BD72=3,BD73=9),3,IF(BD72&lt;=0,0,IF(WEEKDAY(BD$6,1)=1,0,MAX(0,BD73-8)*BD72))+((IF(BD72&lt;=0,0,IF(WEEKDAY(BD$6,1)=1,0,MIN(8,BD73)*BD72)))-MIN(IF(BD72&lt;=0,0,IF(WEEKDAY(BD$6,1)=1,0,MIN(8,BD73)*BD72)),MAX(0,40*MAX(1,BD72)-(BA74+BB74+BC74)))))</f>
        <v>3</v>
      </c>
      <c r="BE75" s="63">
        <f>IF(AND(BE72=3,BE73=9),3,IF(BE72&lt;=0,0,IF(WEEKDAY(BE$6,1)=1,0,MAX(0,BE73-8)*BE72))+((IF(BE72&lt;=0,0,IF(WEEKDAY(BE$6,1)=1,0,MIN(8,BE73)*BE72)))-MIN(IF(BE72&lt;=0,0,IF(WEEKDAY(BE$6,1)=1,0,MIN(8,BE73)*BE72)),MAX(0,40*MAX(1,BE72)-(BA74+BB74+BC74+BD74)))))</f>
        <v>3</v>
      </c>
      <c r="BF75" s="64">
        <f>IF(AND(BF72=0,BF73=0),0,IF(BF72&lt;=0,0,IF(WEEKDAY(BF$6,1)=1,0,MAX(0,BF73-10)*BF72))+((IF(BF72&lt;=0,0,IF(WEEKDAY(BF$6,1)=1,0,MIN(10,BF73)*BF72)))-MIN(IF(BF72&lt;=0,0,IF(WEEKDAY(BF$6,1)=1,0,MIN(10,BF73)*BF72)),MAX(0,40*MAX(1,BF72)-(0)))))</f>
        <v>0</v>
      </c>
      <c r="BG75" s="64">
        <f>IF(AND(BG72=0,BG73=0),0,IF(BG72&lt;=0,0,IF(WEEKDAY(BG$6,1)=1,0,MAX(0,BG73-10)*BG72))+((IF(BG72&lt;=0,0,IF(WEEKDAY(BG$6,1)=1,0,MIN(10,BG73)*BG72)))-MIN(IF(BG72&lt;=0,0,IF(WEEKDAY(BG$6,1)=1,0,MIN(10,BG73)*BG72)),MAX(0,40*MAX(1,BG72)-(BF74)))))</f>
        <v>0</v>
      </c>
      <c r="BH75" s="63">
        <f>IF(AND(BH72=7,BH73=13),21,IF(BH72&lt;=0,0,IF(WEEKDAY(BH$6,1)=1,0,MAX(0,BH73-10)*BH72))+((IF(BH72&lt;=0,0,IF(WEEKDAY(BH$6,1)=1,0,MIN(10,BH73)*BH72)))-MIN(IF(BH72&lt;=0,0,IF(WEEKDAY(BH$6,1)=1,0,MIN(10,BH73)*BH72)),MAX(0,40*MAX(1,BH72)-(0)))))</f>
        <v>21</v>
      </c>
      <c r="BI75" s="63">
        <f>IF(AND(BI72=7,BI73=13),21,IF(BI72&lt;=0,0,IF(WEEKDAY(BI$6,1)=1,0,MAX(0,BI73-10)*BI72))+((IF(BI72&lt;=0,0,IF(WEEKDAY(BI$6,1)=1,0,MIN(10,BI73)*BI72)))-MIN(IF(BI72&lt;=0,0,IF(WEEKDAY(BI$6,1)=1,0,MIN(10,BI73)*BI72)),MAX(0,40*MAX(1,BI72)-(BH74)))))</f>
        <v>21</v>
      </c>
      <c r="BJ75" s="63">
        <f>IF(AND(BJ72=7,BJ73=13),21,IF(BJ72&lt;=0,0,IF(WEEKDAY(BJ$6,1)=1,0,MAX(0,BJ73-10)*BJ72))+((IF(BJ72&lt;=0,0,IF(WEEKDAY(BJ$6,1)=1,0,MIN(10,BJ73)*BJ72)))-MIN(IF(BJ72&lt;=0,0,IF(WEEKDAY(BJ$6,1)=1,0,MIN(10,BJ73)*BJ72)),MAX(0,40*MAX(1,BJ72)-(BH74+BI74)))))</f>
        <v>21</v>
      </c>
      <c r="BK75" s="63">
        <f>IF(AND(BK72=7,BK73=13),21,IF(BK72&lt;=0,0,IF(WEEKDAY(BK$6,1)=1,0,MAX(0,BK73-10)*BK72))+((IF(BK72&lt;=0,0,IF(WEEKDAY(BK$6,1)=1,0,MIN(10,BK73)*BK72)))-MIN(IF(BK72&lt;=0,0,IF(WEEKDAY(BK$6,1)=1,0,MIN(10,BK73)*BK72)),MAX(0,40*MAX(1,BK72)-(BH74+BI74+BJ74)))))</f>
        <v>21</v>
      </c>
      <c r="BL75" s="63">
        <f>IF(AND(BL72=7,BL73=13),91,IF(BL72&lt;=0,0,IF(WEEKDAY(BL$6,1)=1,0,MAX(0,BL73-10)*BL72))+((IF(BL72&lt;=0,0,IF(WEEKDAY(BL$6,1)=1,0,MIN(10,BL73)*BL72)))-MIN(IF(BL72&lt;=0,0,IF(WEEKDAY(BL$6,1)=1,0,MIN(10,BL73)*BL72)),MAX(0,40*MAX(1,BL72)-(BH74+BI74+BJ74+BK74)))))</f>
        <v>91</v>
      </c>
      <c r="BM75" s="64">
        <f>IF(AND(BM72=7,BM73=13),91,IF(BM72&lt;=0,0,IF(WEEKDAY(BM$6,1)=1,0,MAX(0,BM73-10)*BM72))+((IF(BM72&lt;=0,0,IF(WEEKDAY(BM$6,1)=1,0,MIN(10,BM73)*BM72)))-MIN(IF(BM72&lt;=0,0,IF(WEEKDAY(BM$6,1)=1,0,MIN(10,BM73)*BM72)),MAX(0,40*MAX(1,BM72)-(BH74+BI74+BJ74+BK74+BL74)))))</f>
        <v>91</v>
      </c>
      <c r="BN75" s="64">
        <f>IF(AND(BN72=7,BN73=13),0,IF(BN72&lt;=0,0,IF(WEEKDAY(BN$6,1)=1,0,MAX(0,BN73-10)*BN72))+((IF(BN72&lt;=0,0,IF(WEEKDAY(BN$6,1)=1,0,MIN(10,BN73)*BN72)))-MIN(IF(BN72&lt;=0,0,IF(WEEKDAY(BN$6,1)=1,0,MIN(10,BN73)*BN72)),MAX(0,40*MAX(1,BN72)-(BH74+BI74+BJ74+BK74+BL74+BM74)))))</f>
        <v>0</v>
      </c>
      <c r="BO75" s="63">
        <f>IF(AND(BO72=7,BO73=13),21,IF(BO72&lt;=0,0,IF(WEEKDAY(BO$6,1)=1,0,MAX(0,BO73-10)*BO72))+((IF(BO72&lt;=0,0,IF(WEEKDAY(BO$6,1)=1,0,MIN(10,BO73)*BO72)))-MIN(IF(BO72&lt;=0,0,IF(WEEKDAY(BO$6,1)=1,0,MIN(10,BO73)*BO72)),MAX(0,40*MAX(1,BO72)-(0)))))</f>
        <v>21</v>
      </c>
      <c r="BP75" s="63">
        <f>IF(AND(BP72=7,BP73=13),21,IF(BP72&lt;=0,0,IF(WEEKDAY(BP$6,1)=1,0,MAX(0,BP73-10)*BP72))+((IF(BP72&lt;=0,0,IF(WEEKDAY(BP$6,1)=1,0,MIN(10,BP73)*BP72)))-MIN(IF(BP72&lt;=0,0,IF(WEEKDAY(BP$6,1)=1,0,MIN(10,BP73)*BP72)),MAX(0,40*MAX(1,BP72)-(BO74)))))</f>
        <v>21</v>
      </c>
      <c r="BQ75" s="63">
        <f>IF(AND(BQ72=7,BQ73=13),21,IF(BQ72&lt;=0,0,IF(WEEKDAY(BQ$6,1)=1,0,MAX(0,BQ73-10)*BQ72))+((IF(BQ72&lt;=0,0,IF(WEEKDAY(BQ$6,1)=1,0,MIN(10,BQ73)*BQ72)))-MIN(IF(BQ72&lt;=0,0,IF(WEEKDAY(BQ$6,1)=1,0,MIN(10,BQ73)*BQ72)),MAX(0,40*MAX(1,BQ72)-(BO74+BP74)))))</f>
        <v>21</v>
      </c>
      <c r="BR75" s="63">
        <f>IF(AND(BR72=7,BR73=13),21,IF(BR72&lt;=0,0,IF(WEEKDAY(BR$6,1)=1,0,MAX(0,BR73-10)*BR72))+((IF(BR72&lt;=0,0,IF(WEEKDAY(BR$6,1)=1,0,MIN(10,BR73)*BR72)))-MIN(IF(BR72&lt;=0,0,IF(WEEKDAY(BR$6,1)=1,0,MIN(10,BR73)*BR72)),MAX(0,40*MAX(1,BR72)-(0)))))</f>
        <v>21</v>
      </c>
      <c r="BS75" s="63">
        <f>IF(AND(BS72=7,BS73=13),21,IF(BS72&lt;=0,0,IF(WEEKDAY(BS$6,1)=1,0,MAX(0,BS73-10)*BS72))+((IF(BS72&lt;=0,0,IF(WEEKDAY(BS$6,1)=1,0,MIN(10,BS73)*BS72)))-MIN(IF(BS72&lt;=0,0,IF(WEEKDAY(BS$6,1)=1,0,MIN(10,BS73)*BS72)),MAX(0,40*MAX(1,BS72)-(BR74)))))</f>
        <v>21</v>
      </c>
      <c r="BT75" s="64">
        <f>IF(AND(BT72=7,BT73=13),21,IF(BT72&lt;=0,0,IF(WEEKDAY(BT$6,1)=1,0,MAX(0,BT73-10)*BT72))+((IF(BT72&lt;=0,0,IF(WEEKDAY(BT$6,1)=1,0,MIN(10,BT73)*BT72)))-MIN(IF(BT72&lt;=0,0,IF(WEEKDAY(BT$6,1)=1,0,MIN(10,BT73)*BT72)),MAX(0,40*MAX(1,BT72)-(BR74+BS74)))))</f>
        <v>21</v>
      </c>
      <c r="BU75" s="64">
        <f>IF(AND(BU72=7,BU73=13),0,IF(BU72&lt;=0,0,IF(WEEKDAY(BU$6,1)=1,0,MAX(0,BU73-10)*BU72))+((IF(BU72&lt;=0,0,IF(WEEKDAY(BU$6,1)=1,0,MIN(10,BU73)*BU72)))-MIN(IF(BU72&lt;=0,0,IF(WEEKDAY(BU$6,1)=1,0,MIN(10,BU73)*BU72)),MAX(0,40*MAX(1,BU72)-(BR74+BS74+BT74)))))</f>
        <v>0</v>
      </c>
      <c r="BV75" s="63">
        <f>IF(AND(BV72=7,BV73=13),21,IF(BV72&lt;=0,0,IF(WEEKDAY(BV$6,1)=1,0,MAX(0,BV73-10)*BV72))+((IF(BV72&lt;=0,0,IF(WEEKDAY(BV$6,1)=1,0,MIN(10,BV73)*BV72)))-MIN(IF(BV72&lt;=0,0,IF(WEEKDAY(BV$6,1)=1,0,MIN(10,BV73)*BV72)),MAX(0,40*MAX(1,BV72)-(0)))))</f>
        <v>21</v>
      </c>
      <c r="BW75" s="63">
        <f>IF(AND(BW72=7,BW73=13),21,IF(BW72&lt;=0,0,IF(WEEKDAY(BW$6,1)=1,0,MAX(0,BW73-10)*BW72))+((IF(BW72&lt;=0,0,IF(WEEKDAY(BW$6,1)=1,0,MIN(10,BW73)*BW72)))-MIN(IF(BW72&lt;=0,0,IF(WEEKDAY(BW$6,1)=1,0,MIN(10,BW73)*BW72)),MAX(0,40*MAX(1,BW72)-(BV74)))))</f>
        <v>21</v>
      </c>
      <c r="BX75" s="63">
        <f>IF(AND(BX72=7,BX73=13),21,IF(BX72&lt;=0,0,IF(WEEKDAY(BX$6,1)=1,0,MAX(0,BX73-10)*BX72))+((IF(BX72&lt;=0,0,IF(WEEKDAY(BX$6,1)=1,0,MIN(10,BX73)*BX72)))-MIN(IF(BX72&lt;=0,0,IF(WEEKDAY(BX$6,1)=1,0,MIN(10,BX73)*BX72)),MAX(0,40*MAX(1,BX72)-(BV74+BW74)))))</f>
        <v>21</v>
      </c>
      <c r="BY75" s="63">
        <f>IF(AND(BY72=7,BY73=13),21,IF(BY72&lt;=0,0,IF(WEEKDAY(BY$6,1)=1,0,MAX(0,BY73-10)*BY72))+((IF(BY72&lt;=0,0,IF(WEEKDAY(BY$6,1)=1,0,MIN(10,BY73)*BY72)))-MIN(IF(BY72&lt;=0,0,IF(WEEKDAY(BY$6,1)=1,0,MIN(10,BY73)*BY72)),MAX(0,40*MAX(1,BY72)-(BV74+BW74+BX74)))))</f>
        <v>21</v>
      </c>
      <c r="BZ75" s="63">
        <f>IF(AND(BZ72=7,BZ73=13),91,IF(BZ72&lt;=0,0,IF(WEEKDAY(BZ$6,1)=1,0,MAX(0,BZ73-10)*BZ72))+((IF(BZ72&lt;=0,0,IF(WEEKDAY(BZ$6,1)=1,0,MIN(10,BZ73)*BZ72)))-MIN(IF(BZ72&lt;=0,0,IF(WEEKDAY(BZ$6,1)=1,0,MIN(10,BZ73)*BZ72)),MAX(0,40*MAX(1,BZ72)-(BV74+BW74+BX74+BY74)))))</f>
        <v>91</v>
      </c>
      <c r="CA75" s="64">
        <f>IF(AND(CA72=7,CA73=13),91,IF(CA72&lt;=0,0,IF(WEEKDAY(CA$6,1)=1,0,MAX(0,CA73-10)*CA72))+((IF(CA72&lt;=0,0,IF(WEEKDAY(CA$6,1)=1,0,MIN(10,CA73)*CA72)))-MIN(IF(CA72&lt;=0,0,IF(WEEKDAY(CA$6,1)=1,0,MIN(10,CA73)*CA72)),MAX(0,40*MAX(1,CA72)-(BV74+BW74+BX74+BY74+BZ74)))))</f>
        <v>91</v>
      </c>
      <c r="CB75" s="64">
        <f>IF(AND(CB72=7,CB73=13),0,IF(CB72&lt;=0,0,IF(WEEKDAY(CB$6,1)=1,0,MAX(0,CB73-10)*CB72))+((IF(CB72&lt;=0,0,IF(WEEKDAY(CB$6,1)=1,0,MIN(10,CB73)*CB72)))-MIN(IF(CB72&lt;=0,0,IF(WEEKDAY(CB$6,1)=1,0,MIN(10,CB73)*CB72)),MAX(0,40*MAX(1,CB72)-(BV74+BW74+BX74+BY74+BZ74+CA74)))))</f>
        <v>0</v>
      </c>
      <c r="CC75" s="63">
        <f>IF(AND(CC72=7,CC73=13),21,IF(CC72&lt;=0,0,IF(WEEKDAY(CC$6,1)=1,0,MAX(0,CC73-10)*CC72))+((IF(CC72&lt;=0,0,IF(WEEKDAY(CC$6,1)=1,0,MIN(10,CC73)*CC72)))-MIN(IF(CC72&lt;=0,0,IF(WEEKDAY(CC$6,1)=1,0,MIN(10,CC73)*CC72)),MAX(0,40*MAX(1,CC72)-(0)))))</f>
        <v>21</v>
      </c>
      <c r="CD75" s="63">
        <f>IF(AND(CD72=7,CD73=13),21,IF(CD72&lt;=0,0,IF(WEEKDAY(CD$6,1)=1,0,MAX(0,CD73-10)*CD72))+((IF(CD72&lt;=0,0,IF(WEEKDAY(CD$6,1)=1,0,MIN(10,CD73)*CD72)))-MIN(IF(CD72&lt;=0,0,IF(WEEKDAY(CD$6,1)=1,0,MIN(10,CD73)*CD72)),MAX(0,40*MAX(1,CD72)-(CC74)))))</f>
        <v>21</v>
      </c>
      <c r="CE75" s="63">
        <f>IF(AND(CE72=7,CE73=13),21,IF(CE72&lt;=0,0,IF(WEEKDAY(CE$6,1)=1,0,MAX(0,CE73-10)*CE72))+((IF(CE72&lt;=0,0,IF(WEEKDAY(CE$6,1)=1,0,MIN(10,CE73)*CE72)))-MIN(IF(CE72&lt;=0,0,IF(WEEKDAY(CE$6,1)=1,0,MIN(10,CE73)*CE72)),MAX(0,40*MAX(1,CE72)-(CC74+CD74)))))</f>
        <v>21</v>
      </c>
      <c r="CF75" s="63">
        <f>IF(AND(CF72=7,CF73=13),21,IF(CF72&lt;=0,0,IF(WEEKDAY(CF$6,1)=1,0,MAX(0,CF73-10)*CF72))+((IF(CF72&lt;=0,0,IF(WEEKDAY(CF$6,1)=1,0,MIN(10,CF73)*CF72)))-MIN(IF(CF72&lt;=0,0,IF(WEEKDAY(CF$6,1)=1,0,MIN(10,CF73)*CF72)),MAX(0,40*MAX(1,CF72)-(CC74+CD74+CE74)))))</f>
        <v>21</v>
      </c>
      <c r="CG75" s="63">
        <f>IF(AND(CG72=7,CG73=13),91,IF(CG72&lt;=0,0,IF(WEEKDAY(CG$6,1)=1,0,MAX(0,CG73-10)*CG72))+((IF(CG72&lt;=0,0,IF(WEEKDAY(CG$6,1)=1,0,MIN(10,CG73)*CG72)))-MIN(IF(CG72&lt;=0,0,IF(WEEKDAY(CG$6,1)=1,0,MIN(10,CG73)*CG72)),MAX(0,40*MAX(1,CG72)-(CC74+CD74+CE74+CF74)))))</f>
        <v>91</v>
      </c>
      <c r="CH75" s="64">
        <f>IF(AND(CH72=7,CH73=13),91,IF(CH72&lt;=0,0,IF(WEEKDAY(CH$6,1)=1,0,MAX(0,CH73-10)*CH72))+((IF(CH72&lt;=0,0,IF(WEEKDAY(CH$6,1)=1,0,MIN(10,CH73)*CH72)))-MIN(IF(CH72&lt;=0,0,IF(WEEKDAY(CH$6,1)=1,0,MIN(10,CH73)*CH72)),MAX(0,40*MAX(1,CH72)-(CC74+CD74+CE74+CF74+CG74)))))</f>
        <v>91</v>
      </c>
      <c r="CI75" s="64">
        <f>IF(AND(CI72=7,CI73=13),0,IF(CI72&lt;=0,0,IF(WEEKDAY(CI$6,1)=1,0,MAX(0,CI73-10)*CI72))+((IF(CI72&lt;=0,0,IF(WEEKDAY(CI$6,1)=1,0,MIN(10,CI73)*CI72)))-MIN(IF(CI72&lt;=0,0,IF(WEEKDAY(CI$6,1)=1,0,MIN(10,CI73)*CI72)),MAX(0,40*MAX(1,CI72)-(CC74+CD74+CE74+CF74+CG74+CH74)))))</f>
        <v>0</v>
      </c>
      <c r="CJ75" s="63">
        <f>IF(AND(CJ72=7,CJ73=13),21,IF(CJ72&lt;=0,0,IF(WEEKDAY(CJ$6,1)=1,0,MAX(0,CJ73-10)*CJ72))+((IF(CJ72&lt;=0,0,IF(WEEKDAY(CJ$6,1)=1,0,MIN(10,CJ73)*CJ72)))-MIN(IF(CJ72&lt;=0,0,IF(WEEKDAY(CJ$6,1)=1,0,MIN(10,CJ73)*CJ72)),MAX(0,40*MAX(1,CJ72)-(0)))))</f>
        <v>21</v>
      </c>
      <c r="CK75" s="63">
        <f>IF(AND(CK72=7,CK73=13),21,IF(CK72&lt;=0,0,IF(WEEKDAY(CK$6,1)=1,0,MAX(0,CK73-10)*CK72))+((IF(CK72&lt;=0,0,IF(WEEKDAY(CK$6,1)=1,0,MIN(10,CK73)*CK72)))-MIN(IF(CK72&lt;=0,0,IF(WEEKDAY(CK$6,1)=1,0,MIN(10,CK73)*CK72)),MAX(0,40*MAX(1,CK72)-(CJ74)))))</f>
        <v>21</v>
      </c>
      <c r="CL75" s="63">
        <f>IF(AND(CL72=7,CL73=13),21,IF(CL72&lt;=0,0,IF(WEEKDAY(CL$6,1)=1,0,MAX(0,CL73-10)*CL72))+((IF(CL72&lt;=0,0,IF(WEEKDAY(CL$6,1)=1,0,MIN(10,CL73)*CL72)))-MIN(IF(CL72&lt;=0,0,IF(WEEKDAY(CL$6,1)=1,0,MIN(10,CL73)*CL72)),MAX(0,40*MAX(1,CL72)-(CJ74+CK74)))))</f>
        <v>21</v>
      </c>
      <c r="CM75" s="63">
        <f>IF(AND(CM72=7,CM73=13),21,IF(CM72&lt;=0,0,IF(WEEKDAY(CM$6,1)=1,0,MAX(0,CM73-10)*CM72))+((IF(CM72&lt;=0,0,IF(WEEKDAY(CM$6,1)=1,0,MIN(10,CM73)*CM72)))-MIN(IF(CM72&lt;=0,0,IF(WEEKDAY(CM$6,1)=1,0,MIN(10,CM73)*CM72)),MAX(0,40*MAX(1,CM72)-(CJ74+CK74+CL74)))))</f>
        <v>21</v>
      </c>
      <c r="CN75" s="63">
        <f>IF(AND(CN72=7,CN73=13),91,IF(CN72&lt;=0,0,IF(WEEKDAY(CN$6,1)=1,0,MAX(0,CN73-10)*CN72))+((IF(CN72&lt;=0,0,IF(WEEKDAY(CN$6,1)=1,0,MIN(10,CN73)*CN72)))-MIN(IF(CN72&lt;=0,0,IF(WEEKDAY(CN$6,1)=1,0,MIN(10,CN73)*CN72)),MAX(0,40*MAX(1,CN72)-(CJ74+CK74+CL74+CM74)))))</f>
        <v>91</v>
      </c>
      <c r="CO75" s="64">
        <f>IF(AND(CO72=7,CO73=13),91,IF(CO72&lt;=0,0,IF(WEEKDAY(CO$6,1)=1,0,MAX(0,CO73-10)*CO72))+((IF(CO72&lt;=0,0,IF(WEEKDAY(CO$6,1)=1,0,MIN(10,CO73)*CO72)))-MIN(IF(CO72&lt;=0,0,IF(WEEKDAY(CO$6,1)=1,0,MIN(10,CO73)*CO72)),MAX(0,40*MAX(1,CO72)-(CJ74+CK74+CL74+CM74+CN74)))))</f>
        <v>91</v>
      </c>
      <c r="CP75" s="64">
        <f>IF(AND(CP72=7,CP73=13),0,IF(CP72&lt;=0,0,IF(WEEKDAY(CP$6,1)=1,0,MAX(0,CP73-10)*CP72))+((IF(CP72&lt;=0,0,IF(WEEKDAY(CP$6,1)=1,0,MIN(10,CP73)*CP72)))-MIN(IF(CP72&lt;=0,0,IF(WEEKDAY(CP$6,1)=1,0,MIN(10,CP73)*CP72)),MAX(0,40*MAX(1,CP72)-(CJ74+CK74+CL74+CM74+CN74+CO74)))))</f>
        <v>0</v>
      </c>
      <c r="CQ75" s="63">
        <f>IF(AND(CQ72=7,CQ73=13),21,IF(CQ72&lt;=0,0,IF(WEEKDAY(CQ$6,1)=1,0,MAX(0,CQ73-10)*CQ72))+((IF(CQ72&lt;=0,0,IF(WEEKDAY(CQ$6,1)=1,0,MIN(10,CQ73)*CQ72)))-MIN(IF(CQ72&lt;=0,0,IF(WEEKDAY(CQ$6,1)=1,0,MIN(10,CQ73)*CQ72)),MAX(0,40*MAX(1,CQ72)-(0)))))</f>
        <v>21</v>
      </c>
      <c r="CR75" s="63">
        <f>IF(AND(CR72=7,CR73=13),21,IF(CR72&lt;=0,0,IF(WEEKDAY(CR$6,1)=1,0,MAX(0,CR73-10)*CR72))+((IF(CR72&lt;=0,0,IF(WEEKDAY(CR$6,1)=1,0,MIN(10,CR73)*CR72)))-MIN(IF(CR72&lt;=0,0,IF(WEEKDAY(CR$6,1)=1,0,MIN(10,CR73)*CR72)),MAX(0,40*MAX(1,CR72)-(CQ74)))))</f>
        <v>21</v>
      </c>
      <c r="CS75" s="63">
        <f>IF(AND(CS72=7,CS73=13),21,IF(CS72&lt;=0,0,IF(WEEKDAY(CS$6,1)=1,0,MAX(0,CS73-10)*CS72))+((IF(CS72&lt;=0,0,IF(WEEKDAY(CS$6,1)=1,0,MIN(10,CS73)*CS72)))-MIN(IF(CS72&lt;=0,0,IF(WEEKDAY(CS$6,1)=1,0,MIN(10,CS73)*CS72)),MAX(0,40*MAX(1,CS72)-(CQ74+CR74)))))</f>
        <v>21</v>
      </c>
      <c r="CT75" s="63">
        <f>IF(AND(CT72=7,CT73=13),21,IF(CT72&lt;=0,0,IF(WEEKDAY(CT$6,1)=1,0,MAX(0,CT73-10)*CT72))+((IF(CT72&lt;=0,0,IF(WEEKDAY(CT$6,1)=1,0,MIN(10,CT73)*CT72)))-MIN(IF(CT72&lt;=0,0,IF(WEEKDAY(CT$6,1)=1,0,MIN(10,CT73)*CT72)),MAX(0,40*MAX(1,CT72)-(CQ74+CR74+CS74)))))</f>
        <v>21</v>
      </c>
      <c r="CU75" s="63">
        <f>IF(AND(CU72=7,CU73=13),91,IF(CU72&lt;=0,0,IF(WEEKDAY(CU$6,1)=1,0,MAX(0,CU73-10)*CU72))+((IF(CU72&lt;=0,0,IF(WEEKDAY(CU$6,1)=1,0,MIN(10,CU73)*CU72)))-MIN(IF(CU72&lt;=0,0,IF(WEEKDAY(CU$6,1)=1,0,MIN(10,CU73)*CU72)),MAX(0,40*MAX(1,CU72)-(CQ74+CR74+CS74+CT74)))))</f>
        <v>91</v>
      </c>
      <c r="CV75" s="64">
        <f>IF(AND(CV72=7,CV73=13),91,IF(CV72&lt;=0,0,IF(WEEKDAY(CV$6,1)=1,0,MAX(0,CV73-10)*CV72))+((IF(CV72&lt;=0,0,IF(WEEKDAY(CV$6,1)=1,0,MIN(10,CV73)*CV72)))-MIN(IF(CV72&lt;=0,0,IF(WEEKDAY(CV$6,1)=1,0,MIN(10,CV73)*CV72)),MAX(0,40*MAX(1,CV72)-(CQ74+CR74+CS74+CT74+CU74)))))</f>
        <v>91</v>
      </c>
      <c r="CW75" s="64">
        <f>IF(AND(CW72=7,CW73=13),0,IF(CW72&lt;=0,0,IF(WEEKDAY(CW$6,1)=1,0,MAX(0,CW73-10)*CW72))+((IF(CW72&lt;=0,0,IF(WEEKDAY(CW$6,1)=1,0,MIN(10,CW73)*CW72)))-MIN(IF(CW72&lt;=0,0,IF(WEEKDAY(CW$6,1)=1,0,MIN(10,CW73)*CW72)),MAX(0,40*MAX(1,CW72)-(CQ74+CR74+CS74+CT74+CU74+CV74)))))</f>
        <v>0</v>
      </c>
      <c r="CX75" s="63">
        <f>IF(AND(CX72=7,CX73=13),21,IF(CX72&lt;=0,0,IF(WEEKDAY(CX$6,1)=1,0,MAX(0,CX73-10)*CX72))+((IF(CX72&lt;=0,0,IF(WEEKDAY(CX$6,1)=1,0,MIN(10,CX73)*CX72)))-MIN(IF(CX72&lt;=0,0,IF(WEEKDAY(CX$6,1)=1,0,MIN(10,CX73)*CX72)),MAX(0,40*MAX(1,CX72)-(0)))))</f>
        <v>21</v>
      </c>
      <c r="CY75" s="63">
        <f>IF(AND(CY72=7,CY73=13),21,IF(CY72&lt;=0,0,IF(WEEKDAY(CY$6,1)=1,0,MAX(0,CY73-10)*CY72))+((IF(CY72&lt;=0,0,IF(WEEKDAY(CY$6,1)=1,0,MIN(10,CY73)*CY72)))-MIN(IF(CY72&lt;=0,0,IF(WEEKDAY(CY$6,1)=1,0,MIN(10,CY73)*CY72)),MAX(0,40*MAX(1,CY72)-(CX74)))))</f>
        <v>21</v>
      </c>
      <c r="CZ75" s="63">
        <f>IF(AND(CZ72=7,CZ73=13),21,IF(CZ72&lt;=0,0,IF(WEEKDAY(CZ$6,1)=1,0,MAX(0,CZ73-10)*CZ72))+((IF(CZ72&lt;=0,0,IF(WEEKDAY(CZ$6,1)=1,0,MIN(10,CZ73)*CZ72)))-MIN(IF(CZ72&lt;=0,0,IF(WEEKDAY(CZ$6,1)=1,0,MIN(10,CZ73)*CZ72)),MAX(0,40*MAX(1,CZ72)-(CX74+CY74)))))</f>
        <v>21</v>
      </c>
      <c r="DA75" s="63">
        <f>IF(AND(DA72=7,DA73=13),21,IF(DA72&lt;=0,0,IF(WEEKDAY(DA$6,1)=1,0,MAX(0,DA73-10)*DA72))+((IF(DA72&lt;=0,0,IF(WEEKDAY(DA$6,1)=1,0,MIN(10,DA73)*DA72)))-MIN(IF(DA72&lt;=0,0,IF(WEEKDAY(DA$6,1)=1,0,MIN(10,DA73)*DA72)),MAX(0,40*MAX(1,DA72)-(CX74+CY74+CZ74)))))</f>
        <v>21</v>
      </c>
      <c r="DB75" s="63">
        <f>IF(AND(DB72=7,DB73=13),91,IF(DB72&lt;=0,0,IF(WEEKDAY(DB$6,1)=1,0,MAX(0,DB73-10)*DB72))+((IF(DB72&lt;=0,0,IF(WEEKDAY(DB$6,1)=1,0,MIN(10,DB73)*DB72)))-MIN(IF(DB72&lt;=0,0,IF(WEEKDAY(DB$6,1)=1,0,MIN(10,DB73)*DB72)),MAX(0,40*MAX(1,DB72)-(CX74+CY74+CZ74+DA74)))))</f>
        <v>91</v>
      </c>
      <c r="DC75" s="64">
        <f>IF(AND(DC72=7,DC73=13),91,IF(DC72&lt;=0,0,IF(WEEKDAY(DC$6,1)=1,0,MAX(0,DC73-10)*DC72))+((IF(DC72&lt;=0,0,IF(WEEKDAY(DC$6,1)=1,0,MIN(10,DC73)*DC72)))-MIN(IF(DC72&lt;=0,0,IF(WEEKDAY(DC$6,1)=1,0,MIN(10,DC73)*DC72)),MAX(0,40*MAX(1,DC72)-(CX74+CY74+CZ74+DA74+DB74)))))</f>
        <v>91</v>
      </c>
      <c r="DD75" s="64">
        <f>IF(AND(DD72=7,DD73=13),0,IF(DD72&lt;=0,0,IF(WEEKDAY(DD$6,1)=1,0,MAX(0,DD73-10)*DD72))+((IF(DD72&lt;=0,0,IF(WEEKDAY(DD$6,1)=1,0,MIN(10,DD73)*DD72)))-MIN(IF(DD72&lt;=0,0,IF(WEEKDAY(DD$6,1)=1,0,MIN(10,DD73)*DD72)),MAX(0,40*MAX(1,DD72)-(0)))))</f>
        <v>0</v>
      </c>
      <c r="DE75" s="63">
        <f>IF(AND(DE72=7,DE73=13),21,IF(DE72&lt;=0,0,IF(WEEKDAY(DE$6,1)=1,0,MAX(0,DE73-10)*DE72))+((IF(DE72&lt;=0,0,IF(WEEKDAY(DE$6,1)=1,0,MIN(10,DE73)*DE72)))-MIN(IF(DE72&lt;=0,0,IF(WEEKDAY(DE$6,1)=1,0,MIN(10,DE73)*DE72)),MAX(0,40*MAX(1,DE72)-(0)))))</f>
        <v>21</v>
      </c>
      <c r="DF75" s="63">
        <f>IF(AND(DF72=7,DF73=13),21,IF(DF72&lt;=0,0,IF(WEEKDAY(DF$6,1)=1,0,MAX(0,DF73-10)*DF72))+((IF(DF72&lt;=0,0,IF(WEEKDAY(DF$6,1)=1,0,MIN(10,DF73)*DF72)))-MIN(IF(DF72&lt;=0,0,IF(WEEKDAY(DF$6,1)=1,0,MIN(10,DF73)*DF72)),MAX(0,40*MAX(1,DF72)-(DE74)))))</f>
        <v>21</v>
      </c>
      <c r="DG75" s="63">
        <f>IF(AND(DG72=7,DG73=13),21,IF(DG72&lt;=0,0,IF(WEEKDAY(DG$6,1)=1,0,MAX(0,DG73-10)*DG72))+((IF(DG72&lt;=0,0,IF(WEEKDAY(DG$6,1)=1,0,MIN(10,DG73)*DG72)))-MIN(IF(DG72&lt;=0,0,IF(WEEKDAY(DG$6,1)=1,0,MIN(10,DG73)*DG72)),MAX(0,40*MAX(1,DG72)-(DE74+DF74)))))</f>
        <v>21</v>
      </c>
      <c r="DH75" s="63">
        <f>IF(AND(DH72=7,DH73=13),21,IF(DH72&lt;=0,0,IF(WEEKDAY(DH$6,1)=1,0,MAX(0,DH73-10)*DH72))+((IF(DH72&lt;=0,0,IF(WEEKDAY(DH$6,1)=1,0,MIN(10,DH73)*DH72)))-MIN(IF(DH72&lt;=0,0,IF(WEEKDAY(DH$6,1)=1,0,MIN(10,DH73)*DH72)),MAX(0,40*MAX(1,DH72)-(DE74+DF74+DG74)))))</f>
        <v>21</v>
      </c>
      <c r="DI75" s="63">
        <f>IF(AND(DI72=7,DI73=13),91,IF(DI72&lt;=0,0,IF(WEEKDAY(DI$6,1)=1,0,MAX(0,DI73-10)*DI72))+((IF(DI72&lt;=0,0,IF(WEEKDAY(DI$6,1)=1,0,MIN(10,DI73)*DI72)))-MIN(IF(DI72&lt;=0,0,IF(WEEKDAY(DI$6,1)=1,0,MIN(10,DI73)*DI72)),MAX(0,40*MAX(1,DI72)-(DE74+DF74+DG74+DH74)))))</f>
        <v>91</v>
      </c>
      <c r="DJ75" s="64">
        <f>IF(AND(DJ72=7,DJ73=13),91,IF(DJ72&lt;=0,0,IF(WEEKDAY(DJ$6,1)=1,0,MAX(0,DJ73-10)*DJ72))+((IF(DJ72&lt;=0,0,IF(WEEKDAY(DJ$6,1)=1,0,MIN(10,DJ73)*DJ72)))-MIN(IF(DJ72&lt;=0,0,IF(WEEKDAY(DJ$6,1)=1,0,MIN(10,DJ73)*DJ72)),MAX(0,40*MAX(1,DJ72)-(DE74+DF74+DG74+DH74+DI74)))))</f>
        <v>91</v>
      </c>
      <c r="DK75" s="64">
        <f>IF(AND(DK72=7,DK73=13),0,IF(DK72&lt;=0,0,IF(WEEKDAY(DK$6,1)=1,0,MAX(0,DK73-10)*DK72))+((IF(DK72&lt;=0,0,IF(WEEKDAY(DK$6,1)=1,0,MIN(10,DK73)*DK72)))-MIN(IF(DK72&lt;=0,0,IF(WEEKDAY(DK$6,1)=1,0,MIN(10,DK73)*DK72)),MAX(0,40*MAX(1,DK72)-(DE74+DF74+DG74+DH74+DI74+DJ74)))))</f>
        <v>0</v>
      </c>
      <c r="DL75" s="63">
        <f>IF(AND(DL72=7,DL73=13),21,IF(DL72&lt;=0,0,IF(WEEKDAY(DL$6,1)=1,0,MAX(0,DL73-10)*DL72))+((IF(DL72&lt;=0,0,IF(WEEKDAY(DL$6,1)=1,0,MIN(10,DL73)*DL72)))-MIN(IF(DL72&lt;=0,0,IF(WEEKDAY(DL$6,1)=1,0,MIN(10,DL73)*DL72)),MAX(0,40*MAX(1,DL72)-(0)))))</f>
        <v>21</v>
      </c>
      <c r="DM75" s="63">
        <f>IF(AND(DM72=7,DM73=13),21,IF(DM72&lt;=0,0,IF(WEEKDAY(DM$6,1)=1,0,MAX(0,DM73-10)*DM72))+((IF(DM72&lt;=0,0,IF(WEEKDAY(DM$6,1)=1,0,MIN(10,DM73)*DM72)))-MIN(IF(DM72&lt;=0,0,IF(WEEKDAY(DM$6,1)=1,0,MIN(10,DM73)*DM72)),MAX(0,40*MAX(1,DM72)-(DL74)))))</f>
        <v>21</v>
      </c>
      <c r="DN75" s="63">
        <f>IF(AND(DN72=7,DN73=13),21,IF(DN72&lt;=0,0,IF(WEEKDAY(DN$6,1)=1,0,MAX(0,DN73-10)*DN72))+((IF(DN72&lt;=0,0,IF(WEEKDAY(DN$6,1)=1,0,MIN(10,DN73)*DN72)))-MIN(IF(DN72&lt;=0,0,IF(WEEKDAY(DN$6,1)=1,0,MIN(10,DN73)*DN72)),MAX(0,40*MAX(1,DN72)-(DL74+DM74)))))</f>
        <v>21</v>
      </c>
      <c r="DO75" s="63">
        <f>IF(AND(DO72=7,DO73=13),21,IF(DO72&lt;=0,0,IF(WEEKDAY(DO$6,1)=1,0,MAX(0,DO73-10)*DO72))+((IF(DO72&lt;=0,0,IF(WEEKDAY(DO$6,1)=1,0,MIN(10,DO73)*DO72)))-MIN(IF(DO72&lt;=0,0,IF(WEEKDAY(DO$6,1)=1,0,MIN(10,DO73)*DO72)),MAX(0,40*MAX(1,DO72)-(DL74+DM74+DN74)))))</f>
        <v>21</v>
      </c>
      <c r="DP75" s="63">
        <f>IF(AND(DP72=7,DP73=13),91,IF(DP72&lt;=0,0,IF(WEEKDAY(DP$6,1)=1,0,MAX(0,DP73-10)*DP72))+((IF(DP72&lt;=0,0,IF(WEEKDAY(DP$6,1)=1,0,MIN(10,DP73)*DP72)))-MIN(IF(DP72&lt;=0,0,IF(WEEKDAY(DP$6,1)=1,0,MIN(10,DP73)*DP72)),MAX(0,40*MAX(1,DP72)-(DL74+DM74+DN74+DO74)))))</f>
        <v>91</v>
      </c>
      <c r="DQ75" s="64">
        <f>IF(AND(DQ72=7,DQ73=13),91,IF(DQ72&lt;=0,0,IF(WEEKDAY(DQ$6,1)=1,0,MAX(0,DQ73-10)*DQ72))+((IF(DQ72&lt;=0,0,IF(WEEKDAY(DQ$6,1)=1,0,MIN(10,DQ73)*DQ72)))-MIN(IF(DQ72&lt;=0,0,IF(WEEKDAY(DQ$6,1)=1,0,MIN(10,DQ73)*DQ72)),MAX(0,40*MAX(1,DQ72)-(DL74+DM74+DN74+DO74+DP74)))))</f>
        <v>91</v>
      </c>
      <c r="DR75" s="64">
        <f>IF(AND(DR72=7,DR73=13),0,IF(DR72&lt;=0,0,IF(WEEKDAY(DR$6,1)=1,0,MAX(0,DR73-10)*DR72))+((IF(DR72&lt;=0,0,IF(WEEKDAY(DR$6,1)=1,0,MIN(10,DR73)*DR72)))-MIN(IF(DR72&lt;=0,0,IF(WEEKDAY(DR$6,1)=1,0,MIN(10,DR73)*DR72)),MAX(0,40*MAX(1,DR72)-(DL74+DM74+DN74+DO74+DP74+DQ74)))))</f>
        <v>0</v>
      </c>
      <c r="DS75" s="63">
        <f>IF(AND(DS72=7,DS73=13),21,IF(DS72&lt;=0,0,IF(WEEKDAY(DS$6,1)=1,0,MAX(0,DS73-10)*DS72))+((IF(DS72&lt;=0,0,IF(WEEKDAY(DS$6,1)=1,0,MIN(10,DS73)*DS72)))-MIN(IF(DS72&lt;=0,0,IF(WEEKDAY(DS$6,1)=1,0,MIN(10,DS73)*DS72)),MAX(0,40*MAX(1,DS72)-(0)))))</f>
        <v>21</v>
      </c>
      <c r="DT75" s="63">
        <f>IF(AND(DT72=3.29,DT73=7),0,IF(DT72&lt;=0,0,IF(WEEKDAY(DT$6,1)=1,0,MAX(0,DT73-8)*DT72))+((IF(DT72&lt;=0,0,IF(WEEKDAY(DT$6,1)=1,0,MIN(8,DT73)*DT72)))-MIN(IF(DT72&lt;=0,0,IF(WEEKDAY(DT$6,1)=1,0,MIN(8,DT73)*DT72)),MAX(0,40*MAX(1,DT72)-(0)))))</f>
        <v>0</v>
      </c>
      <c r="DU75" s="63">
        <f>IF(AND(DU72=2,DU73=8),0,IF(DU72&lt;=0,0,IF(WEEKDAY(DU$6,1)=1,0,MAX(0,DU73-8)*DU72))+((IF(DU72&lt;=0,0,IF(WEEKDAY(DU$6,1)=1,0,MIN(8,DU73)*DU72)))-MIN(IF(DU72&lt;=0,0,IF(WEEKDAY(DU$6,1)=1,0,MIN(8,DU73)*DU72)),MAX(0,40*MAX(1,DU72)-(DT74)))))</f>
        <v>0</v>
      </c>
      <c r="DV75" s="63">
        <f>IF(AND(DV72=2,DV73=8),0,IF(DV72&lt;=0,0,IF(WEEKDAY(DV$6,1)=1,0,MAX(0,DV73-8)*DV72))+((IF(DV72&lt;=0,0,IF(WEEKDAY(DV$6,1)=1,0,MIN(8,DV73)*DV72)))-MIN(IF(DV72&lt;=0,0,IF(WEEKDAY(DV$6,1)=1,0,MIN(8,DV73)*DV72)),MAX(0,40*MAX(1,DV72)-(DT74+DU74)))))</f>
        <v>0</v>
      </c>
      <c r="DW75" s="63">
        <f>IF(AND(DW72=2,DW73=8),0,IF(DW72&lt;=0,0,IF(WEEKDAY(DW$6,1)=1,0,MAX(0,DW73-8)*DW72))+((IF(DW72&lt;=0,0,IF(WEEKDAY(DW$6,1)=1,0,MIN(8,DW73)*DW72)))-MIN(IF(DW72&lt;=0,0,IF(WEEKDAY(DW$6,1)=1,0,MIN(8,DW73)*DW72)),MAX(0,40*MAX(1,DW72)-(DT74+DU74+DV74)))))</f>
        <v>0</v>
      </c>
      <c r="DX75" s="64">
        <f>IF(AND(DX72=0,DX73=0),0,IF(DX72&lt;=0,0,IF(WEEKDAY(DX$6,1)=1,0,MAX(0,DX73-10)*DX72))+((IF(DX72&lt;=0,0,IF(WEEKDAY(DX$6,1)=1,0,MIN(10,DX73)*DX72)))-MIN(IF(DX72&lt;=0,0,IF(WEEKDAY(DX$6,1)=1,0,MIN(10,DX73)*DX72)),MAX(0,40*MAX(1,DX72)-(0)))))</f>
        <v>0</v>
      </c>
      <c r="DY75" s="64">
        <f>IF(AND(DY72=0,DY73=0),0,IF(DY72&lt;=0,0,IF(WEEKDAY(DY$6,1)=1,0,MAX(0,DY73-10)*DY72))+((IF(DY72&lt;=0,0,IF(WEEKDAY(DY$6,1)=1,0,MIN(10,DY73)*DY72)))-MIN(IF(DY72&lt;=0,0,IF(WEEKDAY(DY$6,1)=1,0,MIN(10,DY73)*DY72)),MAX(0,40*MAX(1,DY72)-(DX74)))))</f>
        <v>0</v>
      </c>
      <c r="DZ75" s="63">
        <f>IF(AND(DZ72=2,DZ73=8),0,IF(DZ72&lt;=0,0,IF(WEEKDAY(DZ$6,1)=1,0,MAX(0,DZ73-8)*DZ72))+((IF(DZ72&lt;=0,0,IF(WEEKDAY(DZ$6,1)=1,0,MIN(8,DZ73)*DZ72)))-MIN(IF(DZ72&lt;=0,0,IF(WEEKDAY(DZ$6,1)=1,0,MIN(8,DZ73)*DZ72)),MAX(0,40*MAX(1,DZ72)-(0)))))</f>
        <v>0</v>
      </c>
      <c r="EA75" s="63">
        <f>IF(AND(EA72=2,EA73=8),0,IF(EA72&lt;=0,0,IF(WEEKDAY(EA$6,1)=1,0,MAX(0,EA73-8)*EA72))+((IF(EA72&lt;=0,0,IF(WEEKDAY(EA$6,1)=1,0,MIN(8,EA73)*EA72)))-MIN(IF(EA72&lt;=0,0,IF(WEEKDAY(EA$6,1)=1,0,MIN(8,EA73)*EA72)),MAX(0,40*MAX(1,EA72)-(DZ74)))))</f>
        <v>0</v>
      </c>
      <c r="EB75" s="63">
        <f>IF(AND(EB72=2,EB73=8),0,IF(EB72&lt;=0,0,IF(WEEKDAY(EB$6,1)=1,0,MAX(0,EB73-8)*EB72))+((IF(EB72&lt;=0,0,IF(WEEKDAY(EB$6,1)=1,0,MIN(8,EB73)*EB72)))-MIN(IF(EB72&lt;=0,0,IF(WEEKDAY(EB$6,1)=1,0,MIN(8,EB73)*EB72)),MAX(0,40*MAX(1,EB72)-(DZ74+EA74)))))</f>
        <v>0</v>
      </c>
      <c r="EC75" s="63">
        <f>IF(AND(EC72=2,EC73=8),0,IF(EC72&lt;=0,0,IF(WEEKDAY(EC$6,1)=1,0,MAX(0,EC73-8)*EC72))+((IF(EC72&lt;=0,0,IF(WEEKDAY(EC$6,1)=1,0,MIN(8,EC73)*EC72)))-MIN(IF(EC72&lt;=0,0,IF(WEEKDAY(EC$6,1)=1,0,MIN(8,EC73)*EC72)),MAX(0,40*MAX(1,EC72)-(DZ74+EA74+EB74)))))</f>
        <v>0</v>
      </c>
      <c r="ED75" s="63">
        <f>IF(AND(ED72=2,ED73=8),0,IF(ED72&lt;=0,0,IF(WEEKDAY(ED$6,1)=1,0,MAX(0,ED73-8)*ED72))+((IF(ED72&lt;=0,0,IF(WEEKDAY(ED$6,1)=1,0,MIN(8,ED73)*ED72)))-MIN(IF(ED72&lt;=0,0,IF(WEEKDAY(ED$6,1)=1,0,MIN(8,ED73)*ED72)),MAX(0,40*MAX(1,ED72)-(DZ74+EA74+EB74+EC74)))))</f>
        <v>0</v>
      </c>
      <c r="EE75" s="64">
        <f>IF(AND(EE72=0,EE73=0),0,IF(EE72&lt;=0,0,IF(WEEKDAY(EE$6,1)=1,0,MAX(0,EE73-10)*EE72))+((IF(EE72&lt;=0,0,IF(WEEKDAY(EE$6,1)=1,0,MIN(10,EE73)*EE72)))-MIN(IF(EE72&lt;=0,0,IF(WEEKDAY(EE$6,1)=1,0,MIN(10,EE73)*EE72)),MAX(0,40*MAX(1,EE72)-(0)))))</f>
        <v>0</v>
      </c>
      <c r="EF75" s="64">
        <f>IF(AND(EF72=0,EF73=0),0,IF(EF72&lt;=0,0,IF(WEEKDAY(EF$6,1)=1,0,MAX(0,EF73-10)*EF72))+((IF(EF72&lt;=0,0,IF(WEEKDAY(EF$6,1)=1,0,MIN(10,EF73)*EF72)))-MIN(IF(EF72&lt;=0,0,IF(WEEKDAY(EF$6,1)=1,0,MIN(10,EF73)*EF72)),MAX(0,40*MAX(1,EF72)-(EE74)))))</f>
        <v>0</v>
      </c>
      <c r="EG75" s="63">
        <f>IF(AND(EG72=2,EG73=8),0,IF(EG72&lt;=0,0,IF(WEEKDAY(EG$6,1)=1,0,MAX(0,EG73-8)*EG72))+((IF(EG72&lt;=0,0,IF(WEEKDAY(EG$6,1)=1,0,MIN(8,EG73)*EG72)))-MIN(IF(EG72&lt;=0,0,IF(WEEKDAY(EG$6,1)=1,0,MIN(8,EG73)*EG72)),MAX(0,40*MAX(1,EG72)-(0)))))</f>
        <v>0</v>
      </c>
      <c r="EH75" s="63">
        <f>IF(AND(EH72=2,EH73=8),0,IF(EH72&lt;=0,0,IF(WEEKDAY(EH$6,1)=1,0,MAX(0,EH73-8)*EH72))+((IF(EH72&lt;=0,0,IF(WEEKDAY(EH$6,1)=1,0,MIN(8,EH73)*EH72)))-MIN(IF(EH72&lt;=0,0,IF(WEEKDAY(EH$6,1)=1,0,MIN(8,EH73)*EH72)),MAX(0,40*MAX(1,EH72)-(EG74)))))</f>
        <v>0</v>
      </c>
      <c r="EI75" s="63">
        <f>IF(AND(EI72=2,EI73=8),0,IF(EI72&lt;=0,0,IF(WEEKDAY(EI$6,1)=1,0,MAX(0,EI73-8)*EI72))+((IF(EI72&lt;=0,0,IF(WEEKDAY(EI$6,1)=1,0,MIN(8,EI73)*EI72)))-MIN(IF(EI72&lt;=0,0,IF(WEEKDAY(EI$6,1)=1,0,MIN(8,EI73)*EI72)),MAX(0,40*MAX(1,EI72)-(EG74+EH74)))))</f>
        <v>0</v>
      </c>
      <c r="EJ75" s="63">
        <f>IF(AND(EJ72=2,EJ73=8),0,IF(EJ72&lt;=0,0,IF(WEEKDAY(EJ$6,1)=1,0,MAX(0,EJ73-8)*EJ72))+((IF(EJ72&lt;=0,0,IF(WEEKDAY(EJ$6,1)=1,0,MIN(8,EJ73)*EJ72)))-MIN(IF(EJ72&lt;=0,0,IF(WEEKDAY(EJ$6,1)=1,0,MIN(8,EJ73)*EJ72)),MAX(0,40*MAX(1,EJ72)-(EG74+EH74+EI74)))))</f>
        <v>0</v>
      </c>
      <c r="EK75" s="65">
        <f>IF(AND(EK72=2,EK73=8),0,IF(EK72&lt;=0,0,IF(WEEKDAY(EK$6,1)=1,0,MAX(0,EK73-8)*EK72))+((IF(EK72&lt;=0,0,IF(WEEKDAY(EK$6,1)=1,0,MIN(8,EK73)*EK72)))-MIN(IF(EK72&lt;=0,0,IF(WEEKDAY(EK$6,1)=1,0,MIN(8,EK73)*EK72)),MAX(0,40*MAX(1,EK72)-(EG74+EH74+EI74+EJ74)))))</f>
        <v>0</v>
      </c>
      <c r="OU75" s="28" t="s">
        <v>79</v>
      </c>
    </row>
    <row r="76" ht="16" customHeight="1" spans="1:411" x14ac:dyDescent="0.25">
      <c r="A76" s="45"/>
      <c r="B76" s="46"/>
      <c r="C76" s="61">
        <f>H71*N(D76)</f>
        <v>148886.00999999998</v>
      </c>
      <c r="D76" s="61">
        <f>IF(TRIM(B71)="","No rate",IFERROR(INDEX('Rate Tables'!E$7:E$158,MATCH(B71,'Rate Tables'!A$7:A$158,0)),"No rate"))</f>
        <v>181.79</v>
      </c>
      <c r="E76" s="55" t="s">
        <v>64</v>
      </c>
      <c r="F76" s="49"/>
      <c r="G76" s="49"/>
      <c r="H76" s="49"/>
      <c r="I76" s="49"/>
      <c r="J76" s="50"/>
      <c r="K76" s="62">
        <f>IF(AND(K72=2,K73=9),0,IF(K72&lt;=0,0,IF(WEEKDAY(K$6,1)=1,K72*K73,0)))</f>
        <v>0</v>
      </c>
      <c r="L76" s="63">
        <f>IF(AND(L72=2,L73=9),0,IF(L72&lt;=0,0,IF(WEEKDAY(L$6,1)=1,L72*L73,0)))</f>
        <v>0</v>
      </c>
      <c r="M76" s="63">
        <f>IF(AND(M72=2,M73=9),0,IF(M72&lt;=0,0,IF(WEEKDAY(M$6,1)=1,M72*M73,0)))</f>
        <v>0</v>
      </c>
      <c r="N76" s="63">
        <f>IF(AND(N72=2,N73=9),0,IF(N72&lt;=0,0,IF(WEEKDAY(N$6,1)=1,N72*N73,0)))</f>
        <v>0</v>
      </c>
      <c r="O76" s="63">
        <f>IF(AND(O72=2,O73=9),0,IF(O72&lt;=0,0,IF(WEEKDAY(O$6,1)=1,O72*O73,0)))</f>
        <v>0</v>
      </c>
      <c r="P76" s="64">
        <f>IF(AND(P72=0,P73=0),0,IF(P72&lt;=0,0,IF(WEEKDAY(P$6,1)=1,P72*P73,0)))</f>
        <v>0</v>
      </c>
      <c r="Q76" s="64">
        <f>IF(AND(Q72=0,Q73=0),0,IF(Q72&lt;=0,0,IF(WEEKDAY(Q$6,1)=1,Q72*Q73,0)))</f>
        <v>0</v>
      </c>
      <c r="R76" s="63">
        <f>IF(AND(R72=2,R73=9),0,IF(R72&lt;=0,0,IF(WEEKDAY(R$6,1)=1,R72*R73,0)))</f>
        <v>0</v>
      </c>
      <c r="S76" s="63">
        <f>IF(AND(S72=2,S73=9),0,IF(S72&lt;=0,0,IF(WEEKDAY(S$6,1)=1,S72*S73,0)))</f>
        <v>0</v>
      </c>
      <c r="T76" s="63">
        <f>IF(AND(T72=2,T73=9),0,IF(T72&lt;=0,0,IF(WEEKDAY(T$6,1)=1,T72*T73,0)))</f>
        <v>0</v>
      </c>
      <c r="U76" s="63">
        <f>IF(AND(U72=2,U73=9),0,IF(U72&lt;=0,0,IF(WEEKDAY(U$6,1)=1,U72*U73,0)))</f>
        <v>0</v>
      </c>
      <c r="V76" s="63">
        <f>IF(AND(V72=2,V73=9),0,IF(V72&lt;=0,0,IF(WEEKDAY(V$6,1)=1,V72*V73,0)))</f>
        <v>0</v>
      </c>
      <c r="W76" s="64">
        <f>IF(AND(W72=0,W73=0),0,IF(W72&lt;=0,0,IF(WEEKDAY(W$6,1)=1,W72*W73,0)))</f>
        <v>0</v>
      </c>
      <c r="X76" s="64">
        <f>IF(AND(X72=0,X73=0),0,IF(X72&lt;=0,0,IF(WEEKDAY(X$6,1)=1,X72*X73,0)))</f>
        <v>0</v>
      </c>
      <c r="Y76" s="63">
        <f>IF(AND(Y72=3,Y73=9),0,IF(Y72&lt;=0,0,IF(WEEKDAY(Y$6,1)=1,Y72*Y73,0)))</f>
        <v>0</v>
      </c>
      <c r="Z76" s="63">
        <f>IF(AND(Z72=3,Z73=9),0,IF(Z72&lt;=0,0,IF(WEEKDAY(Z$6,1)=1,Z72*Z73,0)))</f>
        <v>0</v>
      </c>
      <c r="AA76" s="63">
        <f>IF(AND(AA72=3,AA73=9),0,IF(AA72&lt;=0,0,IF(WEEKDAY(AA$6,1)=1,AA72*AA73,0)))</f>
        <v>0</v>
      </c>
      <c r="AB76" s="63">
        <f>IF(AND(AB72=3,AB73=9),0,IF(AB72&lt;=0,0,IF(WEEKDAY(AB$6,1)=1,AB72*AB73,0)))</f>
        <v>0</v>
      </c>
      <c r="AC76" s="63">
        <f>IF(AND(AC72=3,AC73=9),0,IF(AC72&lt;=0,0,IF(WEEKDAY(AC$6,1)=1,AC72*AC73,0)))</f>
        <v>0</v>
      </c>
      <c r="AD76" s="64">
        <f>IF(AND(AD72=0,AD73=0),0,IF(AD72&lt;=0,0,IF(WEEKDAY(AD$6,1)=1,AD72*AD73,0)))</f>
        <v>0</v>
      </c>
      <c r="AE76" s="64">
        <f>IF(AND(AE72=0,AE73=0),0,IF(AE72&lt;=0,0,IF(WEEKDAY(AE$6,1)=1,AE72*AE73,0)))</f>
        <v>0</v>
      </c>
      <c r="AF76" s="63">
        <f>IF(AND(AF72=3,AF73=9),0,IF(AF72&lt;=0,0,IF(WEEKDAY(AF$6,1)=1,AF72*AF73,0)))</f>
        <v>0</v>
      </c>
      <c r="AG76" s="63">
        <f>IF(AND(AG72=3,AG73=9),0,IF(AG72&lt;=0,0,IF(WEEKDAY(AG$6,1)=1,AG72*AG73,0)))</f>
        <v>0</v>
      </c>
      <c r="AH76" s="63">
        <f>IF(AND(AH72=3,AH73=9),0,IF(AH72&lt;=0,0,IF(WEEKDAY(AH$6,1)=1,AH72*AH73,0)))</f>
        <v>0</v>
      </c>
      <c r="AI76" s="63">
        <f>IF(AND(AI72=3,AI73=9),0,IF(AI72&lt;=0,0,IF(WEEKDAY(AI$6,1)=1,AI72*AI73,0)))</f>
        <v>0</v>
      </c>
      <c r="AJ76" s="63">
        <f>IF(AND(AJ72=3,AJ73=9),0,IF(AJ72&lt;=0,0,IF(WEEKDAY(AJ$6,1)=1,AJ72*AJ73,0)))</f>
        <v>0</v>
      </c>
      <c r="AK76" s="64">
        <f>IF(AND(AK72=0,AK73=0),0,IF(AK72&lt;=0,0,IF(WEEKDAY(AK$6,1)=1,AK72*AK73,0)))</f>
        <v>0</v>
      </c>
      <c r="AL76" s="64">
        <f>IF(AND(AL72=0,AL73=0),0,IF(AL72&lt;=0,0,IF(WEEKDAY(AL$6,1)=1,AL72*AL73,0)))</f>
        <v>0</v>
      </c>
      <c r="AM76" s="63">
        <f>IF(AND(AM72=3,AM73=9),0,IF(AM72&lt;=0,0,IF(WEEKDAY(AM$6,1)=1,AM72*AM73,0)))</f>
        <v>0</v>
      </c>
      <c r="AN76" s="63">
        <f>IF(AND(AN72=3,AN73=9),0,IF(AN72&lt;=0,0,IF(WEEKDAY(AN$6,1)=1,AN72*AN73,0)))</f>
        <v>0</v>
      </c>
      <c r="AO76" s="63">
        <f>IF(AND(AO72=3,AO73=9),0,IF(AO72&lt;=0,0,IF(WEEKDAY(AO$6,1)=1,AO72*AO73,0)))</f>
        <v>0</v>
      </c>
      <c r="AP76" s="63">
        <f>IF(AND(AP72=3,AP73=9),0,IF(AP72&lt;=0,0,IF(WEEKDAY(AP$6,1)=1,AP72*AP73,0)))</f>
        <v>0</v>
      </c>
      <c r="AQ76" s="63">
        <f>IF(AND(AQ72=3,AQ73=9),0,IF(AQ72&lt;=0,0,IF(WEEKDAY(AQ$6,1)=1,AQ72*AQ73,0)))</f>
        <v>0</v>
      </c>
      <c r="AR76" s="64">
        <f>IF(AND(AR72=0,AR73=0),0,IF(AR72&lt;=0,0,IF(WEEKDAY(AR$6,1)=1,AR72*AR73,0)))</f>
        <v>0</v>
      </c>
      <c r="AS76" s="64">
        <f>IF(AND(AS72=0,AS73=0),0,IF(AS72&lt;=0,0,IF(WEEKDAY(AS$6,1)=1,AS72*AS73,0)))</f>
        <v>0</v>
      </c>
      <c r="AT76" s="63">
        <f>IF(AND(AT72=3,AT73=9),0,IF(AT72&lt;=0,0,IF(WEEKDAY(AT$6,1)=1,AT72*AT73,0)))</f>
        <v>0</v>
      </c>
      <c r="AU76" s="63">
        <f>IF(AND(AU72=3,AU73=9),0,IF(AU72&lt;=0,0,IF(WEEKDAY(AU$6,1)=1,AU72*AU73,0)))</f>
        <v>0</v>
      </c>
      <c r="AV76" s="63">
        <f>IF(AND(AV72=3,AV73=9),0,IF(AV72&lt;=0,0,IF(WEEKDAY(AV$6,1)=1,AV72*AV73,0)))</f>
        <v>0</v>
      </c>
      <c r="AW76" s="63">
        <f>IF(AND(AW72=3,AW73=9),0,IF(AW72&lt;=0,0,IF(WEEKDAY(AW$6,1)=1,AW72*AW73,0)))</f>
        <v>0</v>
      </c>
      <c r="AX76" s="63">
        <f>IF(AND(AX72=3,AX73=9),0,IF(AX72&lt;=0,0,IF(WEEKDAY(AX$6,1)=1,AX72*AX73,0)))</f>
        <v>0</v>
      </c>
      <c r="AY76" s="64">
        <f>IF(AND(AY72=0,AY73=0),0,IF(AY72&lt;=0,0,IF(WEEKDAY(AY$6,1)=1,AY72*AY73,0)))</f>
        <v>0</v>
      </c>
      <c r="AZ76" s="64">
        <f>IF(AND(AZ72=0,AZ73=0),0,IF(AZ72&lt;=0,0,IF(WEEKDAY(AZ$6,1)=1,AZ72*AZ73,0)))</f>
        <v>0</v>
      </c>
      <c r="BA76" s="63">
        <f>IF(AND(BA72=3,BA73=9),0,IF(BA72&lt;=0,0,IF(WEEKDAY(BA$6,1)=1,BA72*BA73,0)))</f>
        <v>0</v>
      </c>
      <c r="BB76" s="63">
        <f>IF(AND(BB72=3,BB73=9),0,IF(BB72&lt;=0,0,IF(WEEKDAY(BB$6,1)=1,BB72*BB73,0)))</f>
        <v>0</v>
      </c>
      <c r="BC76" s="63">
        <f>IF(AND(BC72=3,BC73=9),0,IF(BC72&lt;=0,0,IF(WEEKDAY(BC$6,1)=1,BC72*BC73,0)))</f>
        <v>0</v>
      </c>
      <c r="BD76" s="63">
        <f>IF(AND(BD72=3,BD73=9),0,IF(BD72&lt;=0,0,IF(WEEKDAY(BD$6,1)=1,BD72*BD73,0)))</f>
        <v>0</v>
      </c>
      <c r="BE76" s="63">
        <f>IF(AND(BE72=3,BE73=9),0,IF(BE72&lt;=0,0,IF(WEEKDAY(BE$6,1)=1,BE72*BE73,0)))</f>
        <v>0</v>
      </c>
      <c r="BF76" s="64">
        <f>IF(AND(BF72=0,BF73=0),0,IF(BF72&lt;=0,0,IF(WEEKDAY(BF$6,1)=1,BF72*BF73,0)))</f>
        <v>0</v>
      </c>
      <c r="BG76" s="64">
        <f>IF(AND(BG72=0,BG73=0),0,IF(BG72&lt;=0,0,IF(WEEKDAY(BG$6,1)=1,BG72*BG73,0)))</f>
        <v>0</v>
      </c>
      <c r="BH76" s="63">
        <f>IF(AND(BH72=7,BH73=13),0,IF(BH72&lt;=0,0,IF(WEEKDAY(BH$6,1)=1,BH72*BH73,0)))</f>
        <v>0</v>
      </c>
      <c r="BI76" s="63">
        <f>IF(AND(BI72=7,BI73=13),0,IF(BI72&lt;=0,0,IF(WEEKDAY(BI$6,1)=1,BI72*BI73,0)))</f>
        <v>0</v>
      </c>
      <c r="BJ76" s="63">
        <f>IF(AND(BJ72=7,BJ73=13),0,IF(BJ72&lt;=0,0,IF(WEEKDAY(BJ$6,1)=1,BJ72*BJ73,0)))</f>
        <v>0</v>
      </c>
      <c r="BK76" s="63">
        <f>IF(AND(BK72=7,BK73=13),0,IF(BK72&lt;=0,0,IF(WEEKDAY(BK$6,1)=1,BK72*BK73,0)))</f>
        <v>0</v>
      </c>
      <c r="BL76" s="63">
        <f>IF(AND(BL72=7,BL73=13),0,IF(BL72&lt;=0,0,IF(WEEKDAY(BL$6,1)=1,BL72*BL73,0)))</f>
        <v>0</v>
      </c>
      <c r="BM76" s="64">
        <f>IF(AND(BM72=7,BM73=13),0,IF(BM72&lt;=0,0,IF(WEEKDAY(BM$6,1)=1,BM72*BM73,0)))</f>
        <v>0</v>
      </c>
      <c r="BN76" s="64">
        <f>IF(AND(BN72=7,BN73=13),91,IF(BN72&lt;=0,0,IF(WEEKDAY(BN$6,1)=1,BN72*BN73,0)))</f>
        <v>91</v>
      </c>
      <c r="BO76" s="63">
        <f>IF(AND(BO72=7,BO73=13),0,IF(BO72&lt;=0,0,IF(WEEKDAY(BO$6,1)=1,BO72*BO73,0)))</f>
        <v>0</v>
      </c>
      <c r="BP76" s="63">
        <f>IF(AND(BP72=7,BP73=13),0,IF(BP72&lt;=0,0,IF(WEEKDAY(BP$6,1)=1,BP72*BP73,0)))</f>
        <v>0</v>
      </c>
      <c r="BQ76" s="63">
        <f>IF(AND(BQ72=7,BQ73=13),0,IF(BQ72&lt;=0,0,IF(WEEKDAY(BQ$6,1)=1,BQ72*BQ73,0)))</f>
        <v>0</v>
      </c>
      <c r="BR76" s="63">
        <f>IF(AND(BR72=7,BR73=13),0,IF(BR72&lt;=0,0,IF(WEEKDAY(BR$6,1)=1,BR72*BR73,0)))</f>
        <v>0</v>
      </c>
      <c r="BS76" s="63">
        <f>IF(AND(BS72=7,BS73=13),0,IF(BS72&lt;=0,0,IF(WEEKDAY(BS$6,1)=1,BS72*BS73,0)))</f>
        <v>0</v>
      </c>
      <c r="BT76" s="64">
        <f>IF(AND(BT72=7,BT73=13),0,IF(BT72&lt;=0,0,IF(WEEKDAY(BT$6,1)=1,BT72*BT73,0)))</f>
        <v>0</v>
      </c>
      <c r="BU76" s="64">
        <f>IF(AND(BU72=7,BU73=13),91,IF(BU72&lt;=0,0,IF(WEEKDAY(BU$6,1)=1,BU72*BU73,0)))</f>
        <v>91</v>
      </c>
      <c r="BV76" s="63">
        <f>IF(AND(BV72=7,BV73=13),0,IF(BV72&lt;=0,0,IF(WEEKDAY(BV$6,1)=1,BV72*BV73,0)))</f>
        <v>0</v>
      </c>
      <c r="BW76" s="63">
        <f>IF(AND(BW72=7,BW73=13),0,IF(BW72&lt;=0,0,IF(WEEKDAY(BW$6,1)=1,BW72*BW73,0)))</f>
        <v>0</v>
      </c>
      <c r="BX76" s="63">
        <f>IF(AND(BX72=7,BX73=13),0,IF(BX72&lt;=0,0,IF(WEEKDAY(BX$6,1)=1,BX72*BX73,0)))</f>
        <v>0</v>
      </c>
      <c r="BY76" s="63">
        <f>IF(AND(BY72=7,BY73=13),0,IF(BY72&lt;=0,0,IF(WEEKDAY(BY$6,1)=1,BY72*BY73,0)))</f>
        <v>0</v>
      </c>
      <c r="BZ76" s="63">
        <f>IF(AND(BZ72=7,BZ73=13),0,IF(BZ72&lt;=0,0,IF(WEEKDAY(BZ$6,1)=1,BZ72*BZ73,0)))</f>
        <v>0</v>
      </c>
      <c r="CA76" s="64">
        <f>IF(AND(CA72=7,CA73=13),0,IF(CA72&lt;=0,0,IF(WEEKDAY(CA$6,1)=1,CA72*CA73,0)))</f>
        <v>0</v>
      </c>
      <c r="CB76" s="64">
        <f>IF(AND(CB72=7,CB73=13),91,IF(CB72&lt;=0,0,IF(WEEKDAY(CB$6,1)=1,CB72*CB73,0)))</f>
        <v>91</v>
      </c>
      <c r="CC76" s="63">
        <f>IF(AND(CC72=7,CC73=13),0,IF(CC72&lt;=0,0,IF(WEEKDAY(CC$6,1)=1,CC72*CC73,0)))</f>
        <v>0</v>
      </c>
      <c r="CD76" s="63">
        <f>IF(AND(CD72=7,CD73=13),0,IF(CD72&lt;=0,0,IF(WEEKDAY(CD$6,1)=1,CD72*CD73,0)))</f>
        <v>0</v>
      </c>
      <c r="CE76" s="63">
        <f>IF(AND(CE72=7,CE73=13),0,IF(CE72&lt;=0,0,IF(WEEKDAY(CE$6,1)=1,CE72*CE73,0)))</f>
        <v>0</v>
      </c>
      <c r="CF76" s="63">
        <f>IF(AND(CF72=7,CF73=13),0,IF(CF72&lt;=0,0,IF(WEEKDAY(CF$6,1)=1,CF72*CF73,0)))</f>
        <v>0</v>
      </c>
      <c r="CG76" s="63">
        <f>IF(AND(CG72=7,CG73=13),0,IF(CG72&lt;=0,0,IF(WEEKDAY(CG$6,1)=1,CG72*CG73,0)))</f>
        <v>0</v>
      </c>
      <c r="CH76" s="64">
        <f>IF(AND(CH72=7,CH73=13),0,IF(CH72&lt;=0,0,IF(WEEKDAY(CH$6,1)=1,CH72*CH73,0)))</f>
        <v>0</v>
      </c>
      <c r="CI76" s="64">
        <f>IF(AND(CI72=7,CI73=13),91,IF(CI72&lt;=0,0,IF(WEEKDAY(CI$6,1)=1,CI72*CI73,0)))</f>
        <v>91</v>
      </c>
      <c r="CJ76" s="63">
        <f>IF(AND(CJ72=7,CJ73=13),0,IF(CJ72&lt;=0,0,IF(WEEKDAY(CJ$6,1)=1,CJ72*CJ73,0)))</f>
        <v>0</v>
      </c>
      <c r="CK76" s="63">
        <f>IF(AND(CK72=7,CK73=13),0,IF(CK72&lt;=0,0,IF(WEEKDAY(CK$6,1)=1,CK72*CK73,0)))</f>
        <v>0</v>
      </c>
      <c r="CL76" s="63">
        <f>IF(AND(CL72=7,CL73=13),0,IF(CL72&lt;=0,0,IF(WEEKDAY(CL$6,1)=1,CL72*CL73,0)))</f>
        <v>0</v>
      </c>
      <c r="CM76" s="63">
        <f>IF(AND(CM72=7,CM73=13),0,IF(CM72&lt;=0,0,IF(WEEKDAY(CM$6,1)=1,CM72*CM73,0)))</f>
        <v>0</v>
      </c>
      <c r="CN76" s="63">
        <f>IF(AND(CN72=7,CN73=13),0,IF(CN72&lt;=0,0,IF(WEEKDAY(CN$6,1)=1,CN72*CN73,0)))</f>
        <v>0</v>
      </c>
      <c r="CO76" s="64">
        <f>IF(AND(CO72=7,CO73=13),0,IF(CO72&lt;=0,0,IF(WEEKDAY(CO$6,1)=1,CO72*CO73,0)))</f>
        <v>0</v>
      </c>
      <c r="CP76" s="64">
        <f>IF(AND(CP72=7,CP73=13),91,IF(CP72&lt;=0,0,IF(WEEKDAY(CP$6,1)=1,CP72*CP73,0)))</f>
        <v>91</v>
      </c>
      <c r="CQ76" s="63">
        <f>IF(AND(CQ72=7,CQ73=13),0,IF(CQ72&lt;=0,0,IF(WEEKDAY(CQ$6,1)=1,CQ72*CQ73,0)))</f>
        <v>0</v>
      </c>
      <c r="CR76" s="63">
        <f>IF(AND(CR72=7,CR73=13),0,IF(CR72&lt;=0,0,IF(WEEKDAY(CR$6,1)=1,CR72*CR73,0)))</f>
        <v>0</v>
      </c>
      <c r="CS76" s="63">
        <f>IF(AND(CS72=7,CS73=13),0,IF(CS72&lt;=0,0,IF(WEEKDAY(CS$6,1)=1,CS72*CS73,0)))</f>
        <v>0</v>
      </c>
      <c r="CT76" s="63">
        <f>IF(AND(CT72=7,CT73=13),0,IF(CT72&lt;=0,0,IF(WEEKDAY(CT$6,1)=1,CT72*CT73,0)))</f>
        <v>0</v>
      </c>
      <c r="CU76" s="63">
        <f>IF(AND(CU72=7,CU73=13),0,IF(CU72&lt;=0,0,IF(WEEKDAY(CU$6,1)=1,CU72*CU73,0)))</f>
        <v>0</v>
      </c>
      <c r="CV76" s="64">
        <f>IF(AND(CV72=7,CV73=13),0,IF(CV72&lt;=0,0,IF(WEEKDAY(CV$6,1)=1,CV72*CV73,0)))</f>
        <v>0</v>
      </c>
      <c r="CW76" s="64">
        <f>IF(AND(CW72=7,CW73=13),91,IF(CW72&lt;=0,0,IF(WEEKDAY(CW$6,1)=1,CW72*CW73,0)))</f>
        <v>91</v>
      </c>
      <c r="CX76" s="63">
        <f>IF(AND(CX72=7,CX73=13),0,IF(CX72&lt;=0,0,IF(WEEKDAY(CX$6,1)=1,CX72*CX73,0)))</f>
        <v>0</v>
      </c>
      <c r="CY76" s="63">
        <f>IF(AND(CY72=7,CY73=13),0,IF(CY72&lt;=0,0,IF(WEEKDAY(CY$6,1)=1,CY72*CY73,0)))</f>
        <v>0</v>
      </c>
      <c r="CZ76" s="63">
        <f>IF(AND(CZ72=7,CZ73=13),0,IF(CZ72&lt;=0,0,IF(WEEKDAY(CZ$6,1)=1,CZ72*CZ73,0)))</f>
        <v>0</v>
      </c>
      <c r="DA76" s="63">
        <f>IF(AND(DA72=7,DA73=13),0,IF(DA72&lt;=0,0,IF(WEEKDAY(DA$6,1)=1,DA72*DA73,0)))</f>
        <v>0</v>
      </c>
      <c r="DB76" s="63">
        <f>IF(AND(DB72=7,DB73=13),0,IF(DB72&lt;=0,0,IF(WEEKDAY(DB$6,1)=1,DB72*DB73,0)))</f>
        <v>0</v>
      </c>
      <c r="DC76" s="64">
        <f>IF(AND(DC72=7,DC73=13),0,IF(DC72&lt;=0,0,IF(WEEKDAY(DC$6,1)=1,DC72*DC73,0)))</f>
        <v>0</v>
      </c>
      <c r="DD76" s="64">
        <f>IF(AND(DD72=7,DD73=13),91,IF(DD72&lt;=0,0,IF(WEEKDAY(DD$6,1)=1,DD72*DD73,0)))</f>
        <v>91</v>
      </c>
      <c r="DE76" s="63">
        <f>IF(AND(DE72=7,DE73=13),0,IF(DE72&lt;=0,0,IF(WEEKDAY(DE$6,1)=1,DE72*DE73,0)))</f>
        <v>0</v>
      </c>
      <c r="DF76" s="63">
        <f>IF(AND(DF72=7,DF73=13),0,IF(DF72&lt;=0,0,IF(WEEKDAY(DF$6,1)=1,DF72*DF73,0)))</f>
        <v>0</v>
      </c>
      <c r="DG76" s="63">
        <f>IF(AND(DG72=7,DG73=13),0,IF(DG72&lt;=0,0,IF(WEEKDAY(DG$6,1)=1,DG72*DG73,0)))</f>
        <v>0</v>
      </c>
      <c r="DH76" s="63">
        <f>IF(AND(DH72=7,DH73=13),0,IF(DH72&lt;=0,0,IF(WEEKDAY(DH$6,1)=1,DH72*DH73,0)))</f>
        <v>0</v>
      </c>
      <c r="DI76" s="63">
        <f>IF(AND(DI72=7,DI73=13),0,IF(DI72&lt;=0,0,IF(WEEKDAY(DI$6,1)=1,DI72*DI73,0)))</f>
        <v>0</v>
      </c>
      <c r="DJ76" s="64">
        <f>IF(AND(DJ72=7,DJ73=13),0,IF(DJ72&lt;=0,0,IF(WEEKDAY(DJ$6,1)=1,DJ72*DJ73,0)))</f>
        <v>0</v>
      </c>
      <c r="DK76" s="64">
        <f>IF(AND(DK72=7,DK73=13),91,IF(DK72&lt;=0,0,IF(WEEKDAY(DK$6,1)=1,DK72*DK73,0)))</f>
        <v>91</v>
      </c>
      <c r="DL76" s="63">
        <f>IF(AND(DL72=7,DL73=13),0,IF(DL72&lt;=0,0,IF(WEEKDAY(DL$6,1)=1,DL72*DL73,0)))</f>
        <v>0</v>
      </c>
      <c r="DM76" s="63">
        <f>IF(AND(DM72=7,DM73=13),0,IF(DM72&lt;=0,0,IF(WEEKDAY(DM$6,1)=1,DM72*DM73,0)))</f>
        <v>0</v>
      </c>
      <c r="DN76" s="63">
        <f>IF(AND(DN72=7,DN73=13),0,IF(DN72&lt;=0,0,IF(WEEKDAY(DN$6,1)=1,DN72*DN73,0)))</f>
        <v>0</v>
      </c>
      <c r="DO76" s="63">
        <f>IF(AND(DO72=7,DO73=13),0,IF(DO72&lt;=0,0,IF(WEEKDAY(DO$6,1)=1,DO72*DO73,0)))</f>
        <v>0</v>
      </c>
      <c r="DP76" s="63">
        <f>IF(AND(DP72=7,DP73=13),0,IF(DP72&lt;=0,0,IF(WEEKDAY(DP$6,1)=1,DP72*DP73,0)))</f>
        <v>0</v>
      </c>
      <c r="DQ76" s="64">
        <f>IF(AND(DQ72=7,DQ73=13),0,IF(DQ72&lt;=0,0,IF(WEEKDAY(DQ$6,1)=1,DQ72*DQ73,0)))</f>
        <v>0</v>
      </c>
      <c r="DR76" s="64">
        <f>IF(AND(DR72=7,DR73=13),91,IF(DR72&lt;=0,0,IF(WEEKDAY(DR$6,1)=1,DR72*DR73,0)))</f>
        <v>91</v>
      </c>
      <c r="DS76" s="63">
        <f>IF(AND(DS72=7,DS73=13),0,IF(DS72&lt;=0,0,IF(WEEKDAY(DS$6,1)=1,DS72*DS73,0)))</f>
        <v>0</v>
      </c>
      <c r="DT76" s="63">
        <f>IF(AND(DT72=3.29,DT73=7),0,IF(DT72&lt;=0,0,IF(WEEKDAY(DT$6,1)=1,DT72*DT73,0)))</f>
        <v>0</v>
      </c>
      <c r="DU76" s="63">
        <f>IF(AND(DU72=2,DU73=8),0,IF(DU72&lt;=0,0,IF(WEEKDAY(DU$6,1)=1,DU72*DU73,0)))</f>
        <v>0</v>
      </c>
      <c r="DV76" s="63">
        <f>IF(AND(DV72=2,DV73=8),0,IF(DV72&lt;=0,0,IF(WEEKDAY(DV$6,1)=1,DV72*DV73,0)))</f>
        <v>0</v>
      </c>
      <c r="DW76" s="63">
        <f>IF(AND(DW72=2,DW73=8),0,IF(DW72&lt;=0,0,IF(WEEKDAY(DW$6,1)=1,DW72*DW73,0)))</f>
        <v>0</v>
      </c>
      <c r="DX76" s="64">
        <f>IF(AND(DX72=0,DX73=0),0,IF(DX72&lt;=0,0,IF(WEEKDAY(DX$6,1)=1,DX72*DX73,0)))</f>
        <v>0</v>
      </c>
      <c r="DY76" s="64">
        <f>IF(AND(DY72=0,DY73=0),0,IF(DY72&lt;=0,0,IF(WEEKDAY(DY$6,1)=1,DY72*DY73,0)))</f>
        <v>0</v>
      </c>
      <c r="DZ76" s="63">
        <f>IF(AND(DZ72=2,DZ73=8),0,IF(DZ72&lt;=0,0,IF(WEEKDAY(DZ$6,1)=1,DZ72*DZ73,0)))</f>
        <v>0</v>
      </c>
      <c r="EA76" s="63">
        <f>IF(AND(EA72=2,EA73=8),0,IF(EA72&lt;=0,0,IF(WEEKDAY(EA$6,1)=1,EA72*EA73,0)))</f>
        <v>0</v>
      </c>
      <c r="EB76" s="63">
        <f>IF(AND(EB72=2,EB73=8),0,IF(EB72&lt;=0,0,IF(WEEKDAY(EB$6,1)=1,EB72*EB73,0)))</f>
        <v>0</v>
      </c>
      <c r="EC76" s="63">
        <f>IF(AND(EC72=2,EC73=8),0,IF(EC72&lt;=0,0,IF(WEEKDAY(EC$6,1)=1,EC72*EC73,0)))</f>
        <v>0</v>
      </c>
      <c r="ED76" s="63">
        <f>IF(AND(ED72=2,ED73=8),0,IF(ED72&lt;=0,0,IF(WEEKDAY(ED$6,1)=1,ED72*ED73,0)))</f>
        <v>0</v>
      </c>
      <c r="EE76" s="64">
        <f>IF(AND(EE72=0,EE73=0),0,IF(EE72&lt;=0,0,IF(WEEKDAY(EE$6,1)=1,EE72*EE73,0)))</f>
        <v>0</v>
      </c>
      <c r="EF76" s="64">
        <f>IF(AND(EF72=0,EF73=0),0,IF(EF72&lt;=0,0,IF(WEEKDAY(EF$6,1)=1,EF72*EF73,0)))</f>
        <v>0</v>
      </c>
      <c r="EG76" s="63">
        <f>IF(AND(EG72=2,EG73=8),0,IF(EG72&lt;=0,0,IF(WEEKDAY(EG$6,1)=1,EG72*EG73,0)))</f>
        <v>0</v>
      </c>
      <c r="EH76" s="63">
        <f>IF(AND(EH72=2,EH73=8),0,IF(EH72&lt;=0,0,IF(WEEKDAY(EH$6,1)=1,EH72*EH73,0)))</f>
        <v>0</v>
      </c>
      <c r="EI76" s="63">
        <f>IF(AND(EI72=2,EI73=8),0,IF(EI72&lt;=0,0,IF(WEEKDAY(EI$6,1)=1,EI72*EI73,0)))</f>
        <v>0</v>
      </c>
      <c r="EJ76" s="63">
        <f>IF(AND(EJ72=2,EJ73=8),0,IF(EJ72&lt;=0,0,IF(WEEKDAY(EJ$6,1)=1,EJ72*EJ73,0)))</f>
        <v>0</v>
      </c>
      <c r="EK76" s="65">
        <f>IF(AND(EK72=2,EK73=8),0,IF(EK72&lt;=0,0,IF(WEEKDAY(EK$6,1)=1,EK72*EK73,0)))</f>
        <v>0</v>
      </c>
      <c r="OU76" s="28" t="s">
        <v>79</v>
      </c>
    </row>
    <row r="77" ht="16" customHeight="1" spans="1:411" x14ac:dyDescent="0.25">
      <c r="A77" s="45"/>
      <c r="B77" s="46"/>
      <c r="C77" s="67">
        <f>I71*D77</f>
        <v>80080</v>
      </c>
      <c r="D77" s="67">
        <v>140</v>
      </c>
      <c r="E77" s="68" t="s">
        <v>65</v>
      </c>
      <c r="F77" s="49"/>
      <c r="G77" s="49"/>
      <c r="H77" s="49"/>
      <c r="I77" s="49"/>
      <c r="J77" s="50"/>
      <c r="K77" s="69">
        <v>2</v>
      </c>
      <c r="L77" s="70">
        <v>2</v>
      </c>
      <c r="M77" s="70">
        <v>2</v>
      </c>
      <c r="N77" s="70">
        <v>2</v>
      </c>
      <c r="O77" s="70">
        <v>2</v>
      </c>
      <c r="P77" s="71">
        <v>0</v>
      </c>
      <c r="Q77" s="71">
        <v>0</v>
      </c>
      <c r="R77" s="70">
        <v>2</v>
      </c>
      <c r="S77" s="70">
        <v>2</v>
      </c>
      <c r="T77" s="70">
        <v>2</v>
      </c>
      <c r="U77" s="70">
        <v>2</v>
      </c>
      <c r="V77" s="70">
        <v>2</v>
      </c>
      <c r="W77" s="71">
        <v>0</v>
      </c>
      <c r="X77" s="71">
        <v>0</v>
      </c>
      <c r="Y77" s="70">
        <v>3</v>
      </c>
      <c r="Z77" s="70">
        <v>3</v>
      </c>
      <c r="AA77" s="70">
        <v>3</v>
      </c>
      <c r="AB77" s="70">
        <v>3</v>
      </c>
      <c r="AC77" s="70">
        <v>3</v>
      </c>
      <c r="AD77" s="71">
        <v>0</v>
      </c>
      <c r="AE77" s="71">
        <v>0</v>
      </c>
      <c r="AF77" s="70">
        <v>3</v>
      </c>
      <c r="AG77" s="70">
        <v>3</v>
      </c>
      <c r="AH77" s="70">
        <v>3</v>
      </c>
      <c r="AI77" s="70">
        <v>3</v>
      </c>
      <c r="AJ77" s="70">
        <v>3</v>
      </c>
      <c r="AK77" s="71">
        <v>0</v>
      </c>
      <c r="AL77" s="71">
        <v>0</v>
      </c>
      <c r="AM77" s="70">
        <v>3</v>
      </c>
      <c r="AN77" s="70">
        <v>3</v>
      </c>
      <c r="AO77" s="70">
        <v>3</v>
      </c>
      <c r="AP77" s="70">
        <v>3</v>
      </c>
      <c r="AQ77" s="70">
        <v>3</v>
      </c>
      <c r="AR77" s="71">
        <v>0</v>
      </c>
      <c r="AS77" s="71">
        <v>0</v>
      </c>
      <c r="AT77" s="70">
        <v>3</v>
      </c>
      <c r="AU77" s="70">
        <v>3</v>
      </c>
      <c r="AV77" s="70">
        <v>3</v>
      </c>
      <c r="AW77" s="70">
        <v>3</v>
      </c>
      <c r="AX77" s="70">
        <v>3</v>
      </c>
      <c r="AY77" s="71">
        <v>0</v>
      </c>
      <c r="AZ77" s="71">
        <v>0</v>
      </c>
      <c r="BA77" s="70">
        <v>3</v>
      </c>
      <c r="BB77" s="70">
        <v>3</v>
      </c>
      <c r="BC77" s="70">
        <v>3</v>
      </c>
      <c r="BD77" s="70">
        <v>3</v>
      </c>
      <c r="BE77" s="70">
        <v>3</v>
      </c>
      <c r="BF77" s="71">
        <v>0</v>
      </c>
      <c r="BG77" s="71">
        <v>0</v>
      </c>
      <c r="BH77" s="70">
        <v>7</v>
      </c>
      <c r="BI77" s="70">
        <v>7</v>
      </c>
      <c r="BJ77" s="70">
        <v>7</v>
      </c>
      <c r="BK77" s="70">
        <v>7</v>
      </c>
      <c r="BL77" s="70">
        <v>7</v>
      </c>
      <c r="BM77" s="71">
        <v>7</v>
      </c>
      <c r="BN77" s="71">
        <v>7</v>
      </c>
      <c r="BO77" s="70">
        <v>7</v>
      </c>
      <c r="BP77" s="70">
        <v>7</v>
      </c>
      <c r="BQ77" s="70">
        <v>7</v>
      </c>
      <c r="BR77" s="70">
        <v>7</v>
      </c>
      <c r="BS77" s="70">
        <v>7</v>
      </c>
      <c r="BT77" s="71">
        <v>7</v>
      </c>
      <c r="BU77" s="71">
        <v>7</v>
      </c>
      <c r="BV77" s="70">
        <v>7</v>
      </c>
      <c r="BW77" s="70">
        <v>7</v>
      </c>
      <c r="BX77" s="70">
        <v>7</v>
      </c>
      <c r="BY77" s="70">
        <v>7</v>
      </c>
      <c r="BZ77" s="70">
        <v>7</v>
      </c>
      <c r="CA77" s="71">
        <v>7</v>
      </c>
      <c r="CB77" s="71">
        <v>7</v>
      </c>
      <c r="CC77" s="70">
        <v>7</v>
      </c>
      <c r="CD77" s="70">
        <v>7</v>
      </c>
      <c r="CE77" s="70">
        <v>7</v>
      </c>
      <c r="CF77" s="70">
        <v>7</v>
      </c>
      <c r="CG77" s="70">
        <v>7</v>
      </c>
      <c r="CH77" s="71">
        <v>7</v>
      </c>
      <c r="CI77" s="71">
        <v>7</v>
      </c>
      <c r="CJ77" s="70">
        <v>7</v>
      </c>
      <c r="CK77" s="70">
        <v>7</v>
      </c>
      <c r="CL77" s="70">
        <v>7</v>
      </c>
      <c r="CM77" s="70">
        <v>7</v>
      </c>
      <c r="CN77" s="70">
        <v>7</v>
      </c>
      <c r="CO77" s="71">
        <v>7</v>
      </c>
      <c r="CP77" s="71">
        <v>7</v>
      </c>
      <c r="CQ77" s="70">
        <v>7</v>
      </c>
      <c r="CR77" s="70">
        <v>7</v>
      </c>
      <c r="CS77" s="70">
        <v>7</v>
      </c>
      <c r="CT77" s="70">
        <v>7</v>
      </c>
      <c r="CU77" s="70">
        <v>7</v>
      </c>
      <c r="CV77" s="71">
        <v>7</v>
      </c>
      <c r="CW77" s="71">
        <v>7</v>
      </c>
      <c r="CX77" s="70">
        <v>7</v>
      </c>
      <c r="CY77" s="70">
        <v>7</v>
      </c>
      <c r="CZ77" s="70">
        <v>7</v>
      </c>
      <c r="DA77" s="70">
        <v>7</v>
      </c>
      <c r="DB77" s="70">
        <v>7</v>
      </c>
      <c r="DC77" s="71">
        <v>7</v>
      </c>
      <c r="DD77" s="71">
        <v>7</v>
      </c>
      <c r="DE77" s="70">
        <v>7</v>
      </c>
      <c r="DF77" s="70">
        <v>7</v>
      </c>
      <c r="DG77" s="70">
        <v>7</v>
      </c>
      <c r="DH77" s="70">
        <v>7</v>
      </c>
      <c r="DI77" s="70">
        <v>7</v>
      </c>
      <c r="DJ77" s="71">
        <v>7</v>
      </c>
      <c r="DK77" s="71">
        <v>7</v>
      </c>
      <c r="DL77" s="70">
        <v>7</v>
      </c>
      <c r="DM77" s="70">
        <v>7</v>
      </c>
      <c r="DN77" s="70">
        <v>7</v>
      </c>
      <c r="DO77" s="70">
        <v>7</v>
      </c>
      <c r="DP77" s="70">
        <v>7</v>
      </c>
      <c r="DQ77" s="71">
        <v>7</v>
      </c>
      <c r="DR77" s="71">
        <v>7</v>
      </c>
      <c r="DS77" s="70">
        <v>7</v>
      </c>
      <c r="DT77" s="70">
        <v>3</v>
      </c>
      <c r="DU77" s="70">
        <v>2</v>
      </c>
      <c r="DV77" s="70">
        <v>2</v>
      </c>
      <c r="DW77" s="70">
        <v>2</v>
      </c>
      <c r="DX77" s="71">
        <v>0</v>
      </c>
      <c r="DY77" s="71">
        <v>0</v>
      </c>
      <c r="DZ77" s="70">
        <v>2</v>
      </c>
      <c r="EA77" s="70">
        <v>2</v>
      </c>
      <c r="EB77" s="70">
        <v>2</v>
      </c>
      <c r="EC77" s="70">
        <v>2</v>
      </c>
      <c r="ED77" s="70">
        <v>2</v>
      </c>
      <c r="EE77" s="71">
        <v>0</v>
      </c>
      <c r="EF77" s="71">
        <v>0</v>
      </c>
      <c r="EG77" s="70">
        <v>2</v>
      </c>
      <c r="EH77" s="70">
        <v>2</v>
      </c>
      <c r="EI77" s="70">
        <v>2</v>
      </c>
      <c r="EJ77" s="70">
        <v>2</v>
      </c>
      <c r="EK77" s="72">
        <v>2</v>
      </c>
      <c r="OU77" s="60" t="s">
        <v>79</v>
      </c>
    </row>
    <row r="78" ht="8" customHeight="1" spans="1:14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  <c r="EK78" s="73"/>
    </row>
    <row r="79" ht="16" customHeight="1" spans="1:411" x14ac:dyDescent="0.25">
      <c r="A79" s="74" t="s">
        <v>70</v>
      </c>
      <c r="B79" s="46" t="s">
        <v>78</v>
      </c>
      <c r="C79" s="47">
        <f>J79</f>
        <v>665545.6000000001</v>
      </c>
      <c r="D79" s="48"/>
      <c r="E79" s="48"/>
      <c r="F79" s="49">
        <f>SUM(K82:EK82)</f>
        <v>2310</v>
      </c>
      <c r="G79" s="49">
        <f>SUM(K83:EK83)</f>
        <v>1993</v>
      </c>
      <c r="H79" s="49">
        <f>SUM(K84:EK84)</f>
        <v>741</v>
      </c>
      <c r="I79" s="49">
        <f>SUM(K85:EK85)</f>
        <v>388</v>
      </c>
      <c r="J79" s="50">
        <f>C82+C83+C84</f>
        <v>665545.6000000001</v>
      </c>
      <c r="K79" s="51"/>
      <c r="L79" s="52"/>
      <c r="M79" s="52"/>
      <c r="N79" s="52"/>
      <c r="O79" s="52"/>
      <c r="P79" s="53"/>
      <c r="Q79" s="53"/>
      <c r="R79" s="52"/>
      <c r="S79" s="52"/>
      <c r="T79" s="52"/>
      <c r="U79" s="52"/>
      <c r="V79" s="52"/>
      <c r="W79" s="53"/>
      <c r="X79" s="53"/>
      <c r="Y79" s="52"/>
      <c r="Z79" s="52"/>
      <c r="AA79" s="52"/>
      <c r="AB79" s="52"/>
      <c r="AC79" s="52"/>
      <c r="AD79" s="53"/>
      <c r="AE79" s="53"/>
      <c r="AF79" s="52"/>
      <c r="AG79" s="52"/>
      <c r="AH79" s="52"/>
      <c r="AI79" s="52"/>
      <c r="AJ79" s="52"/>
      <c r="AK79" s="53"/>
      <c r="AL79" s="53"/>
      <c r="AM79" s="52"/>
      <c r="AN79" s="52"/>
      <c r="AO79" s="52"/>
      <c r="AP79" s="52"/>
      <c r="AQ79" s="52"/>
      <c r="AR79" s="53"/>
      <c r="AS79" s="53"/>
      <c r="AT79" s="52"/>
      <c r="AU79" s="52"/>
      <c r="AV79" s="52"/>
      <c r="AW79" s="52"/>
      <c r="AX79" s="52"/>
      <c r="AY79" s="53"/>
      <c r="AZ79" s="53"/>
      <c r="BA79" s="52"/>
      <c r="BB79" s="52"/>
      <c r="BC79" s="52"/>
      <c r="BD79" s="52"/>
      <c r="BE79" s="52"/>
      <c r="BF79" s="53"/>
      <c r="BG79" s="53"/>
      <c r="BH79" s="52"/>
      <c r="BI79" s="52"/>
      <c r="BJ79" s="52"/>
      <c r="BK79" s="52"/>
      <c r="BL79" s="52"/>
      <c r="BM79" s="53"/>
      <c r="BN79" s="53"/>
      <c r="BO79" s="52"/>
      <c r="BP79" s="52"/>
      <c r="BQ79" s="52"/>
      <c r="BR79" s="52"/>
      <c r="BS79" s="52"/>
      <c r="BT79" s="53"/>
      <c r="BU79" s="53"/>
      <c r="BV79" s="52"/>
      <c r="BW79" s="52"/>
      <c r="BX79" s="52"/>
      <c r="BY79" s="52"/>
      <c r="BZ79" s="52"/>
      <c r="CA79" s="53"/>
      <c r="CB79" s="53"/>
      <c r="CC79" s="52"/>
      <c r="CD79" s="52"/>
      <c r="CE79" s="52"/>
      <c r="CF79" s="52"/>
      <c r="CG79" s="52"/>
      <c r="CH79" s="53"/>
      <c r="CI79" s="53"/>
      <c r="CJ79" s="52"/>
      <c r="CK79" s="52"/>
      <c r="CL79" s="52"/>
      <c r="CM79" s="52"/>
      <c r="CN79" s="52"/>
      <c r="CO79" s="53"/>
      <c r="CP79" s="53"/>
      <c r="CQ79" s="52"/>
      <c r="CR79" s="52"/>
      <c r="CS79" s="52"/>
      <c r="CT79" s="52"/>
      <c r="CU79" s="52"/>
      <c r="CV79" s="53"/>
      <c r="CW79" s="53"/>
      <c r="CX79" s="52"/>
      <c r="CY79" s="52"/>
      <c r="CZ79" s="52"/>
      <c r="DA79" s="52"/>
      <c r="DB79" s="52"/>
      <c r="DC79" s="53"/>
      <c r="DD79" s="53"/>
      <c r="DE79" s="52"/>
      <c r="DF79" s="52"/>
      <c r="DG79" s="52"/>
      <c r="DH79" s="52"/>
      <c r="DI79" s="52"/>
      <c r="DJ79" s="53"/>
      <c r="DK79" s="53"/>
      <c r="DL79" s="52"/>
      <c r="DM79" s="52"/>
      <c r="DN79" s="52"/>
      <c r="DO79" s="52"/>
      <c r="DP79" s="52"/>
      <c r="DQ79" s="53"/>
      <c r="DR79" s="53"/>
      <c r="DS79" s="52"/>
      <c r="DT79" s="52"/>
      <c r="DU79" s="52"/>
      <c r="DV79" s="52"/>
      <c r="DW79" s="52"/>
      <c r="DX79" s="53"/>
      <c r="DY79" s="53"/>
      <c r="DZ79" s="52"/>
      <c r="EA79" s="52"/>
      <c r="EB79" s="52"/>
      <c r="EC79" s="52"/>
      <c r="ED79" s="52"/>
      <c r="EE79" s="53"/>
      <c r="EF79" s="53"/>
      <c r="EG79" s="52"/>
      <c r="EH79" s="52"/>
      <c r="EI79" s="52"/>
      <c r="EJ79" s="52"/>
      <c r="EK79" s="54"/>
      <c r="OU79" s="28" t="s">
        <v>80</v>
      </c>
    </row>
    <row r="80" ht="16" customHeight="1" spans="1:411" x14ac:dyDescent="0.25">
      <c r="A80" s="74"/>
      <c r="B80" s="46"/>
      <c r="C80" s="47"/>
      <c r="D80" s="48"/>
      <c r="E80" s="55" t="s">
        <v>60</v>
      </c>
      <c r="F80" s="49"/>
      <c r="G80" s="49"/>
      <c r="H80" s="49"/>
      <c r="I80" s="49"/>
      <c r="J80" s="50"/>
      <c r="K80" s="56">
        <v>0</v>
      </c>
      <c r="L80" s="57">
        <v>0</v>
      </c>
      <c r="M80" s="57">
        <v>0</v>
      </c>
      <c r="N80" s="57">
        <v>0</v>
      </c>
      <c r="O80" s="57">
        <v>0</v>
      </c>
      <c r="P80" s="58">
        <v>0</v>
      </c>
      <c r="Q80" s="58">
        <v>0</v>
      </c>
      <c r="R80" s="57">
        <v>0</v>
      </c>
      <c r="S80" s="57">
        <v>0</v>
      </c>
      <c r="T80" s="57">
        <v>0</v>
      </c>
      <c r="U80" s="57">
        <v>0</v>
      </c>
      <c r="V80" s="57">
        <v>0</v>
      </c>
      <c r="W80" s="58">
        <v>0</v>
      </c>
      <c r="X80" s="58">
        <v>0</v>
      </c>
      <c r="Y80" s="57">
        <v>0</v>
      </c>
      <c r="Z80" s="57">
        <v>0</v>
      </c>
      <c r="AA80" s="57">
        <v>0</v>
      </c>
      <c r="AB80" s="57">
        <v>0</v>
      </c>
      <c r="AC80" s="57">
        <v>0</v>
      </c>
      <c r="AD80" s="58">
        <v>0</v>
      </c>
      <c r="AE80" s="58">
        <v>0</v>
      </c>
      <c r="AF80" s="57">
        <v>0</v>
      </c>
      <c r="AG80" s="57">
        <v>0</v>
      </c>
      <c r="AH80" s="57">
        <v>0</v>
      </c>
      <c r="AI80" s="57">
        <v>0</v>
      </c>
      <c r="AJ80" s="57">
        <v>0</v>
      </c>
      <c r="AK80" s="58">
        <v>0</v>
      </c>
      <c r="AL80" s="58">
        <v>0</v>
      </c>
      <c r="AM80" s="57">
        <v>0</v>
      </c>
      <c r="AN80" s="57">
        <v>0</v>
      </c>
      <c r="AO80" s="57">
        <v>0</v>
      </c>
      <c r="AP80" s="57">
        <v>0</v>
      </c>
      <c r="AQ80" s="57">
        <v>0</v>
      </c>
      <c r="AR80" s="58">
        <v>0</v>
      </c>
      <c r="AS80" s="58">
        <v>0</v>
      </c>
      <c r="AT80" s="57">
        <v>0</v>
      </c>
      <c r="AU80" s="57">
        <v>0</v>
      </c>
      <c r="AV80" s="57">
        <v>0</v>
      </c>
      <c r="AW80" s="57">
        <v>0</v>
      </c>
      <c r="AX80" s="57">
        <v>0</v>
      </c>
      <c r="AY80" s="58">
        <v>0</v>
      </c>
      <c r="AZ80" s="58">
        <v>0</v>
      </c>
      <c r="BA80" s="57">
        <v>0</v>
      </c>
      <c r="BB80" s="57">
        <v>0</v>
      </c>
      <c r="BC80" s="57">
        <v>0</v>
      </c>
      <c r="BD80" s="57">
        <v>0</v>
      </c>
      <c r="BE80" s="57">
        <v>0</v>
      </c>
      <c r="BF80" s="58">
        <v>0</v>
      </c>
      <c r="BG80" s="58">
        <v>0</v>
      </c>
      <c r="BH80" s="57">
        <v>1</v>
      </c>
      <c r="BI80" s="57">
        <v>1</v>
      </c>
      <c r="BJ80" s="57">
        <v>1</v>
      </c>
      <c r="BK80" s="57">
        <v>1</v>
      </c>
      <c r="BL80" s="57">
        <v>1</v>
      </c>
      <c r="BM80" s="58">
        <v>1</v>
      </c>
      <c r="BN80" s="58">
        <v>1</v>
      </c>
      <c r="BO80" s="57">
        <v>1</v>
      </c>
      <c r="BP80" s="57">
        <v>1</v>
      </c>
      <c r="BQ80" s="57">
        <v>1</v>
      </c>
      <c r="BR80" s="57">
        <v>7</v>
      </c>
      <c r="BS80" s="57">
        <v>7</v>
      </c>
      <c r="BT80" s="58">
        <v>7</v>
      </c>
      <c r="BU80" s="58">
        <v>7</v>
      </c>
      <c r="BV80" s="57">
        <v>7</v>
      </c>
      <c r="BW80" s="57">
        <v>7</v>
      </c>
      <c r="BX80" s="57">
        <v>7</v>
      </c>
      <c r="BY80" s="57">
        <v>7</v>
      </c>
      <c r="BZ80" s="57">
        <v>7</v>
      </c>
      <c r="CA80" s="58">
        <v>7</v>
      </c>
      <c r="CB80" s="58">
        <v>7</v>
      </c>
      <c r="CC80" s="57">
        <v>7</v>
      </c>
      <c r="CD80" s="57">
        <v>7</v>
      </c>
      <c r="CE80" s="57">
        <v>7</v>
      </c>
      <c r="CF80" s="57">
        <v>7</v>
      </c>
      <c r="CG80" s="57">
        <v>7</v>
      </c>
      <c r="CH80" s="58">
        <v>7</v>
      </c>
      <c r="CI80" s="58">
        <v>7</v>
      </c>
      <c r="CJ80" s="57">
        <v>7</v>
      </c>
      <c r="CK80" s="57">
        <v>7</v>
      </c>
      <c r="CL80" s="57">
        <v>7</v>
      </c>
      <c r="CM80" s="57">
        <v>7</v>
      </c>
      <c r="CN80" s="57">
        <v>7</v>
      </c>
      <c r="CO80" s="58">
        <v>7</v>
      </c>
      <c r="CP80" s="58">
        <v>7</v>
      </c>
      <c r="CQ80" s="57">
        <v>7</v>
      </c>
      <c r="CR80" s="57">
        <v>7</v>
      </c>
      <c r="CS80" s="57">
        <v>7</v>
      </c>
      <c r="CT80" s="57">
        <v>7</v>
      </c>
      <c r="CU80" s="57">
        <v>7</v>
      </c>
      <c r="CV80" s="58">
        <v>7</v>
      </c>
      <c r="CW80" s="58">
        <v>7</v>
      </c>
      <c r="CX80" s="57">
        <v>7</v>
      </c>
      <c r="CY80" s="57">
        <v>7</v>
      </c>
      <c r="CZ80" s="57">
        <v>7</v>
      </c>
      <c r="DA80" s="57">
        <v>7</v>
      </c>
      <c r="DB80" s="57">
        <v>7</v>
      </c>
      <c r="DC80" s="58">
        <v>7</v>
      </c>
      <c r="DD80" s="58">
        <v>7</v>
      </c>
      <c r="DE80" s="57">
        <v>7</v>
      </c>
      <c r="DF80" s="57">
        <v>7</v>
      </c>
      <c r="DG80" s="57">
        <v>7</v>
      </c>
      <c r="DH80" s="57">
        <v>7</v>
      </c>
      <c r="DI80" s="57">
        <v>7</v>
      </c>
      <c r="DJ80" s="58">
        <v>7</v>
      </c>
      <c r="DK80" s="58">
        <v>7</v>
      </c>
      <c r="DL80" s="57">
        <v>7</v>
      </c>
      <c r="DM80" s="57">
        <v>7</v>
      </c>
      <c r="DN80" s="57">
        <v>7</v>
      </c>
      <c r="DO80" s="57">
        <v>7</v>
      </c>
      <c r="DP80" s="57">
        <v>7</v>
      </c>
      <c r="DQ80" s="58">
        <v>7</v>
      </c>
      <c r="DR80" s="58">
        <v>7</v>
      </c>
      <c r="DS80" s="57">
        <v>7</v>
      </c>
      <c r="DT80" s="57">
        <v>0</v>
      </c>
      <c r="DU80" s="57">
        <v>0</v>
      </c>
      <c r="DV80" s="57">
        <v>0</v>
      </c>
      <c r="DW80" s="57">
        <v>0</v>
      </c>
      <c r="DX80" s="58">
        <v>0</v>
      </c>
      <c r="DY80" s="58">
        <v>0</v>
      </c>
      <c r="DZ80" s="57">
        <v>0</v>
      </c>
      <c r="EA80" s="57">
        <v>0</v>
      </c>
      <c r="EB80" s="57">
        <v>0</v>
      </c>
      <c r="EC80" s="57">
        <v>0</v>
      </c>
      <c r="ED80" s="57">
        <v>0</v>
      </c>
      <c r="EE80" s="58">
        <v>0</v>
      </c>
      <c r="EF80" s="58">
        <v>0</v>
      </c>
      <c r="EG80" s="57">
        <v>0</v>
      </c>
      <c r="EH80" s="57">
        <v>0</v>
      </c>
      <c r="EI80" s="57">
        <v>0</v>
      </c>
      <c r="EJ80" s="57">
        <v>0</v>
      </c>
      <c r="EK80" s="59">
        <v>0</v>
      </c>
      <c r="OU80" s="60" t="s">
        <v>80</v>
      </c>
    </row>
    <row r="81" ht="16" customHeight="1" spans="1:411" x14ac:dyDescent="0.25">
      <c r="A81" s="74"/>
      <c r="B81" s="46"/>
      <c r="C81" s="47"/>
      <c r="D81" s="48"/>
      <c r="E81" s="55" t="s">
        <v>61</v>
      </c>
      <c r="F81" s="49"/>
      <c r="G81" s="49"/>
      <c r="H81" s="49"/>
      <c r="I81" s="49"/>
      <c r="J81" s="50"/>
      <c r="K81" s="56">
        <v>0</v>
      </c>
      <c r="L81" s="57">
        <v>0</v>
      </c>
      <c r="M81" s="57">
        <v>0</v>
      </c>
      <c r="N81" s="57">
        <v>0</v>
      </c>
      <c r="O81" s="57">
        <v>0</v>
      </c>
      <c r="P81" s="58">
        <v>0</v>
      </c>
      <c r="Q81" s="58">
        <v>0</v>
      </c>
      <c r="R81" s="57">
        <v>0</v>
      </c>
      <c r="S81" s="57">
        <v>0</v>
      </c>
      <c r="T81" s="57">
        <v>0</v>
      </c>
      <c r="U81" s="57">
        <v>0</v>
      </c>
      <c r="V81" s="57">
        <v>0</v>
      </c>
      <c r="W81" s="58">
        <v>0</v>
      </c>
      <c r="X81" s="58">
        <v>0</v>
      </c>
      <c r="Y81" s="57">
        <v>0</v>
      </c>
      <c r="Z81" s="57">
        <v>0</v>
      </c>
      <c r="AA81" s="57">
        <v>0</v>
      </c>
      <c r="AB81" s="57">
        <v>0</v>
      </c>
      <c r="AC81" s="57">
        <v>0</v>
      </c>
      <c r="AD81" s="58">
        <v>0</v>
      </c>
      <c r="AE81" s="58">
        <v>0</v>
      </c>
      <c r="AF81" s="57">
        <v>0</v>
      </c>
      <c r="AG81" s="57">
        <v>0</v>
      </c>
      <c r="AH81" s="57">
        <v>0</v>
      </c>
      <c r="AI81" s="57">
        <v>0</v>
      </c>
      <c r="AJ81" s="57">
        <v>0</v>
      </c>
      <c r="AK81" s="58">
        <v>0</v>
      </c>
      <c r="AL81" s="58">
        <v>0</v>
      </c>
      <c r="AM81" s="57">
        <v>0</v>
      </c>
      <c r="AN81" s="57">
        <v>0</v>
      </c>
      <c r="AO81" s="57">
        <v>0</v>
      </c>
      <c r="AP81" s="57">
        <v>0</v>
      </c>
      <c r="AQ81" s="57">
        <v>0</v>
      </c>
      <c r="AR81" s="58">
        <v>0</v>
      </c>
      <c r="AS81" s="58">
        <v>0</v>
      </c>
      <c r="AT81" s="57">
        <v>0</v>
      </c>
      <c r="AU81" s="57">
        <v>0</v>
      </c>
      <c r="AV81" s="57">
        <v>0</v>
      </c>
      <c r="AW81" s="57">
        <v>0</v>
      </c>
      <c r="AX81" s="57">
        <v>0</v>
      </c>
      <c r="AY81" s="58">
        <v>0</v>
      </c>
      <c r="AZ81" s="58">
        <v>0</v>
      </c>
      <c r="BA81" s="57">
        <v>0</v>
      </c>
      <c r="BB81" s="57">
        <v>0</v>
      </c>
      <c r="BC81" s="57">
        <v>0</v>
      </c>
      <c r="BD81" s="57">
        <v>0</v>
      </c>
      <c r="BE81" s="57">
        <v>0</v>
      </c>
      <c r="BF81" s="58">
        <v>0</v>
      </c>
      <c r="BG81" s="58">
        <v>0</v>
      </c>
      <c r="BH81" s="57">
        <v>13</v>
      </c>
      <c r="BI81" s="57">
        <v>13</v>
      </c>
      <c r="BJ81" s="57">
        <v>13</v>
      </c>
      <c r="BK81" s="57">
        <v>13</v>
      </c>
      <c r="BL81" s="57">
        <v>13</v>
      </c>
      <c r="BM81" s="58">
        <v>13</v>
      </c>
      <c r="BN81" s="58">
        <v>13</v>
      </c>
      <c r="BO81" s="57">
        <v>13</v>
      </c>
      <c r="BP81" s="57">
        <v>13</v>
      </c>
      <c r="BQ81" s="57">
        <v>13</v>
      </c>
      <c r="BR81" s="57">
        <v>13</v>
      </c>
      <c r="BS81" s="57">
        <v>13</v>
      </c>
      <c r="BT81" s="58">
        <v>13</v>
      </c>
      <c r="BU81" s="58">
        <v>13</v>
      </c>
      <c r="BV81" s="57">
        <v>13</v>
      </c>
      <c r="BW81" s="57">
        <v>13</v>
      </c>
      <c r="BX81" s="57">
        <v>13</v>
      </c>
      <c r="BY81" s="57">
        <v>13</v>
      </c>
      <c r="BZ81" s="57">
        <v>13</v>
      </c>
      <c r="CA81" s="58">
        <v>13</v>
      </c>
      <c r="CB81" s="58">
        <v>13</v>
      </c>
      <c r="CC81" s="57">
        <v>13</v>
      </c>
      <c r="CD81" s="57">
        <v>13</v>
      </c>
      <c r="CE81" s="57">
        <v>13</v>
      </c>
      <c r="CF81" s="57">
        <v>13</v>
      </c>
      <c r="CG81" s="57">
        <v>13</v>
      </c>
      <c r="CH81" s="58">
        <v>13</v>
      </c>
      <c r="CI81" s="58">
        <v>13</v>
      </c>
      <c r="CJ81" s="57">
        <v>13</v>
      </c>
      <c r="CK81" s="57">
        <v>13</v>
      </c>
      <c r="CL81" s="57">
        <v>13</v>
      </c>
      <c r="CM81" s="57">
        <v>13</v>
      </c>
      <c r="CN81" s="57">
        <v>13</v>
      </c>
      <c r="CO81" s="58">
        <v>13</v>
      </c>
      <c r="CP81" s="58">
        <v>13</v>
      </c>
      <c r="CQ81" s="57">
        <v>13</v>
      </c>
      <c r="CR81" s="57">
        <v>13</v>
      </c>
      <c r="CS81" s="57">
        <v>13</v>
      </c>
      <c r="CT81" s="57">
        <v>13</v>
      </c>
      <c r="CU81" s="57">
        <v>13</v>
      </c>
      <c r="CV81" s="58">
        <v>13</v>
      </c>
      <c r="CW81" s="58">
        <v>13</v>
      </c>
      <c r="CX81" s="57">
        <v>13</v>
      </c>
      <c r="CY81" s="57">
        <v>13</v>
      </c>
      <c r="CZ81" s="57">
        <v>13</v>
      </c>
      <c r="DA81" s="57">
        <v>13</v>
      </c>
      <c r="DB81" s="57">
        <v>13</v>
      </c>
      <c r="DC81" s="58">
        <v>13</v>
      </c>
      <c r="DD81" s="58">
        <v>13</v>
      </c>
      <c r="DE81" s="57">
        <v>13</v>
      </c>
      <c r="DF81" s="57">
        <v>13</v>
      </c>
      <c r="DG81" s="57">
        <v>13</v>
      </c>
      <c r="DH81" s="57">
        <v>13</v>
      </c>
      <c r="DI81" s="57">
        <v>13</v>
      </c>
      <c r="DJ81" s="58">
        <v>13</v>
      </c>
      <c r="DK81" s="58">
        <v>13</v>
      </c>
      <c r="DL81" s="57">
        <v>13</v>
      </c>
      <c r="DM81" s="57">
        <v>13</v>
      </c>
      <c r="DN81" s="57">
        <v>13</v>
      </c>
      <c r="DO81" s="57">
        <v>13</v>
      </c>
      <c r="DP81" s="57">
        <v>13</v>
      </c>
      <c r="DQ81" s="58">
        <v>13</v>
      </c>
      <c r="DR81" s="58">
        <v>13</v>
      </c>
      <c r="DS81" s="57">
        <v>13</v>
      </c>
      <c r="DT81" s="57">
        <v>0</v>
      </c>
      <c r="DU81" s="57">
        <v>0</v>
      </c>
      <c r="DV81" s="57">
        <v>0</v>
      </c>
      <c r="DW81" s="57">
        <v>0</v>
      </c>
      <c r="DX81" s="58">
        <v>0</v>
      </c>
      <c r="DY81" s="58">
        <v>0</v>
      </c>
      <c r="DZ81" s="57">
        <v>0</v>
      </c>
      <c r="EA81" s="57">
        <v>0</v>
      </c>
      <c r="EB81" s="57">
        <v>0</v>
      </c>
      <c r="EC81" s="57">
        <v>0</v>
      </c>
      <c r="ED81" s="57">
        <v>0</v>
      </c>
      <c r="EE81" s="58">
        <v>0</v>
      </c>
      <c r="EF81" s="58">
        <v>0</v>
      </c>
      <c r="EG81" s="57">
        <v>0</v>
      </c>
      <c r="EH81" s="57">
        <v>0</v>
      </c>
      <c r="EI81" s="57">
        <v>0</v>
      </c>
      <c r="EJ81" s="57">
        <v>0</v>
      </c>
      <c r="EK81" s="59">
        <v>0</v>
      </c>
      <c r="OU81" s="60" t="s">
        <v>80</v>
      </c>
    </row>
    <row r="82" ht="16" customHeight="1" spans="1:411" x14ac:dyDescent="0.25">
      <c r="A82" s="74"/>
      <c r="B82" s="46"/>
      <c r="C82" s="61">
        <f>F79*N(D82)</f>
        <v>244305.6</v>
      </c>
      <c r="D82" s="61">
        <f>IF(TRIM(B79)="","No rate",IFERROR(INDEX('Rate Tables'!C$7:C$158,MATCH(B79,'Rate Tables'!A$7:A$158,0)),"No rate"))</f>
        <v>105.76</v>
      </c>
      <c r="E82" s="55" t="s">
        <v>62</v>
      </c>
      <c r="F82" s="49"/>
      <c r="G82" s="49"/>
      <c r="H82" s="49"/>
      <c r="I82" s="49"/>
      <c r="J82" s="50"/>
      <c r="K82" s="62">
        <f>IF(AND(K80=0,K81=0),0,MIN(IF(K80&lt;=0,0,IF(WEEKDAY(K$6,1)=1,0,MIN(10,K81)*K80)),MAX(0,40*MAX(1,K80)-(0))))</f>
        <v>0</v>
      </c>
      <c r="L82" s="63">
        <f>IF(AND(L80=0,L81=0),0,MIN(IF(L80&lt;=0,0,IF(WEEKDAY(L$6,1)=1,0,MIN(10,L81)*L80)),MAX(0,40*MAX(1,L80)-(K82))))</f>
        <v>0</v>
      </c>
      <c r="M82" s="63">
        <f>IF(AND(M80=0,M81=0),0,MIN(IF(M80&lt;=0,0,IF(WEEKDAY(M$6,1)=1,0,MIN(10,M81)*M80)),MAX(0,40*MAX(1,M80)-(K82+L82))))</f>
        <v>0</v>
      </c>
      <c r="N82" s="63">
        <f>IF(AND(N80=0,N81=0),0,MIN(IF(N80&lt;=0,0,IF(WEEKDAY(N$6,1)=1,0,MIN(10,N81)*N80)),MAX(0,40*MAX(1,N80)-(K82+L82+M82))))</f>
        <v>0</v>
      </c>
      <c r="O82" s="63">
        <f>IF(AND(O80=0,O81=0),0,MIN(IF(O80&lt;=0,0,IF(WEEKDAY(O$6,1)=1,0,MIN(10,O81)*O80)),MAX(0,40*MAX(1,O80)-(K82+L82+M82+N82))))</f>
        <v>0</v>
      </c>
      <c r="P82" s="64">
        <f>IF(AND(P80=0,P81=0),0,MIN(IF(P80&lt;=0,0,IF(WEEKDAY(P$6,1)=1,0,MIN(10,P81)*P80)),MAX(0,40*MAX(1,P80)-(K82+L82+M82+N82+O82))))</f>
        <v>0</v>
      </c>
      <c r="Q82" s="64">
        <f>IF(AND(Q80=0,Q81=0),0,MIN(IF(Q80&lt;=0,0,IF(WEEKDAY(Q$6,1)=1,0,MIN(10,Q81)*Q80)),MAX(0,40*MAX(1,Q80)-(K82+L82+M82+N82+O82+P82))))</f>
        <v>0</v>
      </c>
      <c r="R82" s="63">
        <f>IF(AND(R80=0,R81=0),0,MIN(IF(R80&lt;=0,0,IF(WEEKDAY(R$6,1)=1,0,MIN(10,R81)*R80)),MAX(0,40*MAX(1,R80)-(0))))</f>
        <v>0</v>
      </c>
      <c r="S82" s="63">
        <f>IF(AND(S80=0,S81=0),0,MIN(IF(S80&lt;=0,0,IF(WEEKDAY(S$6,1)=1,0,MIN(10,S81)*S80)),MAX(0,40*MAX(1,S80)-(R82))))</f>
        <v>0</v>
      </c>
      <c r="T82" s="63">
        <f>IF(AND(T80=0,T81=0),0,MIN(IF(T80&lt;=0,0,IF(WEEKDAY(T$6,1)=1,0,MIN(10,T81)*T80)),MAX(0,40*MAX(1,T80)-(R82+S82))))</f>
        <v>0</v>
      </c>
      <c r="U82" s="63">
        <f>IF(AND(U80=0,U81=0),0,MIN(IF(U80&lt;=0,0,IF(WEEKDAY(U$6,1)=1,0,MIN(10,U81)*U80)),MAX(0,40*MAX(1,U80)-(R82+S82+T82))))</f>
        <v>0</v>
      </c>
      <c r="V82" s="63">
        <f>IF(AND(V80=0,V81=0),0,MIN(IF(V80&lt;=0,0,IF(WEEKDAY(V$6,1)=1,0,MIN(10,V81)*V80)),MAX(0,40*MAX(1,V80)-(R82+S82+T82+U82))))</f>
        <v>0</v>
      </c>
      <c r="W82" s="64">
        <f>IF(AND(W80=0,W81=0),0,MIN(IF(W80&lt;=0,0,IF(WEEKDAY(W$6,1)=1,0,MIN(10,W81)*W80)),MAX(0,40*MAX(1,W80)-(R82+S82+T82+U82+V82))))</f>
        <v>0</v>
      </c>
      <c r="X82" s="64">
        <f>IF(AND(X80=0,X81=0),0,MIN(IF(X80&lt;=0,0,IF(WEEKDAY(X$6,1)=1,0,MIN(10,X81)*X80)),MAX(0,40*MAX(1,X80)-(R82+S82+T82+U82+V82+W82))))</f>
        <v>0</v>
      </c>
      <c r="Y82" s="63">
        <f>IF(AND(Y80=0,Y81=0),0,MIN(IF(Y80&lt;=0,0,IF(WEEKDAY(Y$6,1)=1,0,MIN(10,Y81)*Y80)),MAX(0,40*MAX(1,Y80)-(0))))</f>
        <v>0</v>
      </c>
      <c r="Z82" s="63">
        <f>IF(AND(Z80=0,Z81=0),0,MIN(IF(Z80&lt;=0,0,IF(WEEKDAY(Z$6,1)=1,0,MIN(10,Z81)*Z80)),MAX(0,40*MAX(1,Z80)-(Y82))))</f>
        <v>0</v>
      </c>
      <c r="AA82" s="63">
        <f>IF(AND(AA80=0,AA81=0),0,MIN(IF(AA80&lt;=0,0,IF(WEEKDAY(AA$6,1)=1,0,MIN(10,AA81)*AA80)),MAX(0,40*MAX(1,AA80)-(Y82+Z82))))</f>
        <v>0</v>
      </c>
      <c r="AB82" s="63">
        <f>IF(AND(AB80=0,AB81=0),0,MIN(IF(AB80&lt;=0,0,IF(WEEKDAY(AB$6,1)=1,0,MIN(10,AB81)*AB80)),MAX(0,40*MAX(1,AB80)-(Y82+Z82+AA82))))</f>
        <v>0</v>
      </c>
      <c r="AC82" s="63">
        <f>IF(AND(AC80=0,AC81=0),0,MIN(IF(AC80&lt;=0,0,IF(WEEKDAY(AC$6,1)=1,0,MIN(10,AC81)*AC80)),MAX(0,40*MAX(1,AC80)-(Y82+Z82+AA82+AB82))))</f>
        <v>0</v>
      </c>
      <c r="AD82" s="64">
        <f>IF(AND(AD80=0,AD81=0),0,MIN(IF(AD80&lt;=0,0,IF(WEEKDAY(AD$6,1)=1,0,MIN(10,AD81)*AD80)),MAX(0,40*MAX(1,AD80)-(Y82+Z82+AA82+AB82+AC82))))</f>
        <v>0</v>
      </c>
      <c r="AE82" s="64">
        <f>IF(AND(AE80=0,AE81=0),0,MIN(IF(AE80&lt;=0,0,IF(WEEKDAY(AE$6,1)=1,0,MIN(10,AE81)*AE80)),MAX(0,40*MAX(1,AE80)-(Y82+Z82+AA82+AB82+AC82+AD82))))</f>
        <v>0</v>
      </c>
      <c r="AF82" s="63">
        <f>IF(AND(AF80=0,AF81=0),0,MIN(IF(AF80&lt;=0,0,IF(WEEKDAY(AF$6,1)=1,0,MIN(10,AF81)*AF80)),MAX(0,40*MAX(1,AF80)-(0))))</f>
        <v>0</v>
      </c>
      <c r="AG82" s="63">
        <f>IF(AND(AG80=0,AG81=0),0,MIN(IF(AG80&lt;=0,0,IF(WEEKDAY(AG$6,1)=1,0,MIN(10,AG81)*AG80)),MAX(0,40*MAX(1,AG80)-(AF82))))</f>
        <v>0</v>
      </c>
      <c r="AH82" s="63">
        <f>IF(AND(AH80=0,AH81=0),0,MIN(IF(AH80&lt;=0,0,IF(WEEKDAY(AH$6,1)=1,0,MIN(10,AH81)*AH80)),MAX(0,40*MAX(1,AH80)-(AF82+AG82))))</f>
        <v>0</v>
      </c>
      <c r="AI82" s="63">
        <f>IF(AND(AI80=0,AI81=0),0,MIN(IF(AI80&lt;=0,0,IF(WEEKDAY(AI$6,1)=1,0,MIN(10,AI81)*AI80)),MAX(0,40*MAX(1,AI80)-(AF82+AG82+AH82))))</f>
        <v>0</v>
      </c>
      <c r="AJ82" s="63">
        <f>IF(AND(AJ80=0,AJ81=0),0,MIN(IF(AJ80&lt;=0,0,IF(WEEKDAY(AJ$6,1)=1,0,MIN(10,AJ81)*AJ80)),MAX(0,40*MAX(1,AJ80)-(AF82+AG82+AH82+AI82))))</f>
        <v>0</v>
      </c>
      <c r="AK82" s="64">
        <f>IF(AND(AK80=0,AK81=0),0,MIN(IF(AK80&lt;=0,0,IF(WEEKDAY(AK$6,1)=1,0,MIN(10,AK81)*AK80)),MAX(0,40*MAX(1,AK80)-(AF82+AG82+AH82+AI82+AJ82))))</f>
        <v>0</v>
      </c>
      <c r="AL82" s="64">
        <f>IF(AND(AL80=0,AL81=0),0,MIN(IF(AL80&lt;=0,0,IF(WEEKDAY(AL$6,1)=1,0,MIN(10,AL81)*AL80)),MAX(0,40*MAX(1,AL80)-(AF82+AG82+AH82+AI82+AJ82+AK82))))</f>
        <v>0</v>
      </c>
      <c r="AM82" s="63">
        <f>IF(AND(AM80=0,AM81=0),0,MIN(IF(AM80&lt;=0,0,IF(WEEKDAY(AM$6,1)=1,0,MIN(10,AM81)*AM80)),MAX(0,40*MAX(1,AM80)-(0))))</f>
        <v>0</v>
      </c>
      <c r="AN82" s="63">
        <f>IF(AND(AN80=0,AN81=0),0,MIN(IF(AN80&lt;=0,0,IF(WEEKDAY(AN$6,1)=1,0,MIN(10,AN81)*AN80)),MAX(0,40*MAX(1,AN80)-(AM82))))</f>
        <v>0</v>
      </c>
      <c r="AO82" s="63">
        <f>IF(AND(AO80=0,AO81=0),0,MIN(IF(AO80&lt;=0,0,IF(WEEKDAY(AO$6,1)=1,0,MIN(10,AO81)*AO80)),MAX(0,40*MAX(1,AO80)-(AM82+AN82))))</f>
        <v>0</v>
      </c>
      <c r="AP82" s="63">
        <f>IF(AND(AP80=0,AP81=0),0,MIN(IF(AP80&lt;=0,0,IF(WEEKDAY(AP$6,1)=1,0,MIN(10,AP81)*AP80)),MAX(0,40*MAX(1,AP80)-(AM82+AN82+AO82))))</f>
        <v>0</v>
      </c>
      <c r="AQ82" s="63">
        <f>IF(AND(AQ80=0,AQ81=0),0,MIN(IF(AQ80&lt;=0,0,IF(WEEKDAY(AQ$6,1)=1,0,MIN(10,AQ81)*AQ80)),MAX(0,40*MAX(1,AQ80)-(AM82+AN82+AO82+AP82))))</f>
        <v>0</v>
      </c>
      <c r="AR82" s="64">
        <f>IF(AND(AR80=0,AR81=0),0,MIN(IF(AR80&lt;=0,0,IF(WEEKDAY(AR$6,1)=1,0,MIN(10,AR81)*AR80)),MAX(0,40*MAX(1,AR80)-(AM82+AN82+AO82+AP82+AQ82))))</f>
        <v>0</v>
      </c>
      <c r="AS82" s="64">
        <f>IF(AND(AS80=0,AS81=0),0,MIN(IF(AS80&lt;=0,0,IF(WEEKDAY(AS$6,1)=1,0,MIN(10,AS81)*AS80)),MAX(0,40*MAX(1,AS80)-(AM82+AN82+AO82+AP82+AQ82+AR82))))</f>
        <v>0</v>
      </c>
      <c r="AT82" s="63">
        <f>IF(AND(AT80=0,AT81=0),0,MIN(IF(AT80&lt;=0,0,IF(WEEKDAY(AT$6,1)=1,0,MIN(10,AT81)*AT80)),MAX(0,40*MAX(1,AT80)-(0))))</f>
        <v>0</v>
      </c>
      <c r="AU82" s="63">
        <f>IF(AND(AU80=0,AU81=0),0,MIN(IF(AU80&lt;=0,0,IF(WEEKDAY(AU$6,1)=1,0,MIN(10,AU81)*AU80)),MAX(0,40*MAX(1,AU80)-(AT82))))</f>
        <v>0</v>
      </c>
      <c r="AV82" s="63">
        <f>IF(AND(AV80=0,AV81=0),0,MIN(IF(AV80&lt;=0,0,IF(WEEKDAY(AV$6,1)=1,0,MIN(10,AV81)*AV80)),MAX(0,40*MAX(1,AV80)-(AT82+AU82))))</f>
        <v>0</v>
      </c>
      <c r="AW82" s="63">
        <f>IF(AND(AW80=0,AW81=0),0,MIN(IF(AW80&lt;=0,0,IF(WEEKDAY(AW$6,1)=1,0,MIN(10,AW81)*AW80)),MAX(0,40*MAX(1,AW80)-(AT82+AU82+AV82))))</f>
        <v>0</v>
      </c>
      <c r="AX82" s="63">
        <f>IF(AND(AX80=0,AX81=0),0,MIN(IF(AX80&lt;=0,0,IF(WEEKDAY(AX$6,1)=1,0,MIN(10,AX81)*AX80)),MAX(0,40*MAX(1,AX80)-(AT82+AU82+AV82+AW82))))</f>
        <v>0</v>
      </c>
      <c r="AY82" s="64">
        <f>IF(AND(AY80=0,AY81=0),0,MIN(IF(AY80&lt;=0,0,IF(WEEKDAY(AY$6,1)=1,0,MIN(10,AY81)*AY80)),MAX(0,40*MAX(1,AY80)-(AT82+AU82+AV82+AW82+AX82))))</f>
        <v>0</v>
      </c>
      <c r="AZ82" s="64">
        <f>IF(AND(AZ80=0,AZ81=0),0,MIN(IF(AZ80&lt;=0,0,IF(WEEKDAY(AZ$6,1)=1,0,MIN(10,AZ81)*AZ80)),MAX(0,40*MAX(1,AZ80)-(AT82+AU82+AV82+AW82+AX82+AY82))))</f>
        <v>0</v>
      </c>
      <c r="BA82" s="63">
        <f>IF(AND(BA80=0,BA81=0),0,MIN(IF(BA80&lt;=0,0,IF(WEEKDAY(BA$6,1)=1,0,MIN(10,BA81)*BA80)),MAX(0,40*MAX(1,BA80)-(0))))</f>
        <v>0</v>
      </c>
      <c r="BB82" s="63">
        <f>IF(AND(BB80=0,BB81=0),0,MIN(IF(BB80&lt;=0,0,IF(WEEKDAY(BB$6,1)=1,0,MIN(10,BB81)*BB80)),MAX(0,40*MAX(1,BB80)-(BA82))))</f>
        <v>0</v>
      </c>
      <c r="BC82" s="63">
        <f>IF(AND(BC80=0,BC81=0),0,MIN(IF(BC80&lt;=0,0,IF(WEEKDAY(BC$6,1)=1,0,MIN(10,BC81)*BC80)),MAX(0,40*MAX(1,BC80)-(BA82+BB82))))</f>
        <v>0</v>
      </c>
      <c r="BD82" s="63">
        <f>IF(AND(BD80=0,BD81=0),0,MIN(IF(BD80&lt;=0,0,IF(WEEKDAY(BD$6,1)=1,0,MIN(10,BD81)*BD80)),MAX(0,40*MAX(1,BD80)-(BA82+BB82+BC82))))</f>
        <v>0</v>
      </c>
      <c r="BE82" s="63">
        <f>IF(AND(BE80=0,BE81=0),0,MIN(IF(BE80&lt;=0,0,IF(WEEKDAY(BE$6,1)=1,0,MIN(10,BE81)*BE80)),MAX(0,40*MAX(1,BE80)-(BA82+BB82+BC82+BD82))))</f>
        <v>0</v>
      </c>
      <c r="BF82" s="64">
        <f>IF(AND(BF80=0,BF81=0),0,MIN(IF(BF80&lt;=0,0,IF(WEEKDAY(BF$6,1)=1,0,MIN(10,BF81)*BF80)),MAX(0,40*MAX(1,BF80)-(BA82+BB82+BC82+BD82+BE82))))</f>
        <v>0</v>
      </c>
      <c r="BG82" s="64">
        <f>IF(AND(BG80=0,BG81=0),0,MIN(IF(BG80&lt;=0,0,IF(WEEKDAY(BG$6,1)=1,0,MIN(10,BG81)*BG80)),MAX(0,40*MAX(1,BG80)-(BA82+BB82+BC82+BD82+BE82+BF82))))</f>
        <v>0</v>
      </c>
      <c r="BH82" s="63">
        <f>IF(AND(BH80=1,BH81=13),10,MIN(IF(BH80&lt;=0,0,IF(WEEKDAY(BH$6,1)=1,0,MIN(10,BH81)*BH80)),MAX(0,40*MAX(1,BH80)-(0))))</f>
        <v>10</v>
      </c>
      <c r="BI82" s="63">
        <f>IF(AND(BI80=1,BI81=13),10,MIN(IF(BI80&lt;=0,0,IF(WEEKDAY(BI$6,1)=1,0,MIN(10,BI81)*BI80)),MAX(0,40*MAX(1,BI80)-(BH82))))</f>
        <v>10</v>
      </c>
      <c r="BJ82" s="63">
        <f>IF(AND(BJ80=1,BJ81=13),10,MIN(IF(BJ80&lt;=0,0,IF(WEEKDAY(BJ$6,1)=1,0,MIN(10,BJ81)*BJ80)),MAX(0,40*MAX(1,BJ80)-(BH82+BI82))))</f>
        <v>10</v>
      </c>
      <c r="BK82" s="63">
        <f>IF(AND(BK80=1,BK81=13),10,MIN(IF(BK80&lt;=0,0,IF(WEEKDAY(BK$6,1)=1,0,MIN(10,BK81)*BK80)),MAX(0,40*MAX(1,BK80)-(BH82+BI82+BJ82))))</f>
        <v>10</v>
      </c>
      <c r="BL82" s="63">
        <f>IF(AND(BL80=1,BL81=13),0,MIN(IF(BL80&lt;=0,0,IF(WEEKDAY(BL$6,1)=1,0,MIN(10,BL81)*BL80)),MAX(0,40*MAX(1,BL80)-(BH82+BI82+BJ82+BK82))))</f>
        <v>0</v>
      </c>
      <c r="BM82" s="64">
        <f>IF(AND(BM80=1,BM81=13),0,MIN(IF(BM80&lt;=0,0,IF(WEEKDAY(BM$6,1)=1,0,MIN(10,BM81)*BM80)),MAX(0,40*MAX(1,BM80)-(BH82+BI82+BJ82+BK82+BL82))))</f>
        <v>0</v>
      </c>
      <c r="BN82" s="64">
        <f>IF(AND(BN80=1,BN81=13),0,MIN(IF(BN80&lt;=0,0,IF(WEEKDAY(BN$6,1)=1,0,MIN(10,BN81)*BN80)),MAX(0,40*MAX(1,BN80)-(BH82+BI82+BJ82+BK82+BL82+BM82))))</f>
        <v>0</v>
      </c>
      <c r="BO82" s="63">
        <f>IF(AND(BO80=1,BO81=13),10,MIN(IF(BO80&lt;=0,0,IF(WEEKDAY(BO$6,1)=1,0,MIN(10,BO81)*BO80)),MAX(0,40*MAX(1,BO80)-(0))))</f>
        <v>10</v>
      </c>
      <c r="BP82" s="63">
        <f>IF(AND(BP80=1,BP81=13),10,MIN(IF(BP80&lt;=0,0,IF(WEEKDAY(BP$6,1)=1,0,MIN(10,BP81)*BP80)),MAX(0,40*MAX(1,BP80)-(BO82))))</f>
        <v>10</v>
      </c>
      <c r="BQ82" s="63">
        <f>IF(AND(BQ80=1,BQ81=13),10,MIN(IF(BQ80&lt;=0,0,IF(WEEKDAY(BQ$6,1)=1,0,MIN(10,BQ81)*BQ80)),MAX(0,40*MAX(1,BQ80)-(BO82+BP82))))</f>
        <v>10</v>
      </c>
      <c r="BR82" s="63">
        <f>IF(AND(BR80=7,BR81=13),70,MIN(IF(BR80&lt;=0,0,IF(WEEKDAY(BR$6,1)=1,0,MIN(10,BR81)*BR80)),MAX(0,40*MAX(1,BR80)-(0))))</f>
        <v>70</v>
      </c>
      <c r="BS82" s="63">
        <f>IF(AND(BS80=7,BS81=13),70,MIN(IF(BS80&lt;=0,0,IF(WEEKDAY(BS$6,1)=1,0,MIN(10,BS81)*BS80)),MAX(0,40*MAX(1,BS80)-(BR82))))</f>
        <v>70</v>
      </c>
      <c r="BT82" s="64">
        <f>IF(AND(BT80=7,BT81=13),70,MIN(IF(BT80&lt;=0,0,IF(WEEKDAY(BT$6,1)=1,0,MIN(10,BT81)*BT80)),MAX(0,40*MAX(1,BT80)-(BR82+BS82))))</f>
        <v>70</v>
      </c>
      <c r="BU82" s="64">
        <f>IF(AND(BU80=7,BU81=13),0,MIN(IF(BU80&lt;=0,0,IF(WEEKDAY(BU$6,1)=1,0,MIN(10,BU81)*BU80)),MAX(0,40*MAX(1,BU80)-(BR82+BS82+BT82))))</f>
        <v>0</v>
      </c>
      <c r="BV82" s="63">
        <f>IF(AND(BV80=7,BV81=13),70,MIN(IF(BV80&lt;=0,0,IF(WEEKDAY(BV$6,1)=1,0,MIN(10,BV81)*BV80)),MAX(0,40*MAX(1,BV80)-(0))))</f>
        <v>70</v>
      </c>
      <c r="BW82" s="63">
        <f>IF(AND(BW80=7,BW81=13),70,MIN(IF(BW80&lt;=0,0,IF(WEEKDAY(BW$6,1)=1,0,MIN(10,BW81)*BW80)),MAX(0,40*MAX(1,BW80)-(BV82))))</f>
        <v>70</v>
      </c>
      <c r="BX82" s="63">
        <f>IF(AND(BX80=7,BX81=13),70,MIN(IF(BX80&lt;=0,0,IF(WEEKDAY(BX$6,1)=1,0,MIN(10,BX81)*BX80)),MAX(0,40*MAX(1,BX80)-(BV82+BW82))))</f>
        <v>70</v>
      </c>
      <c r="BY82" s="63">
        <f>IF(AND(BY80=7,BY81=13),70,MIN(IF(BY80&lt;=0,0,IF(WEEKDAY(BY$6,1)=1,0,MIN(10,BY81)*BY80)),MAX(0,40*MAX(1,BY80)-(BV82+BW82+BX82))))</f>
        <v>70</v>
      </c>
      <c r="BZ82" s="63">
        <f>IF(AND(BZ80=7,BZ81=13),0,MIN(IF(BZ80&lt;=0,0,IF(WEEKDAY(BZ$6,1)=1,0,MIN(10,BZ81)*BZ80)),MAX(0,40*MAX(1,BZ80)-(BV82+BW82+BX82+BY82))))</f>
        <v>0</v>
      </c>
      <c r="CA82" s="64">
        <f>IF(AND(CA80=7,CA81=13),0,MIN(IF(CA80&lt;=0,0,IF(WEEKDAY(CA$6,1)=1,0,MIN(10,CA81)*CA80)),MAX(0,40*MAX(1,CA80)-(BV82+BW82+BX82+BY82+BZ82))))</f>
        <v>0</v>
      </c>
      <c r="CB82" s="64">
        <f>IF(AND(CB80=7,CB81=13),0,MIN(IF(CB80&lt;=0,0,IF(WEEKDAY(CB$6,1)=1,0,MIN(10,CB81)*CB80)),MAX(0,40*MAX(1,CB80)-(BV82+BW82+BX82+BY82+BZ82+CA82))))</f>
        <v>0</v>
      </c>
      <c r="CC82" s="63">
        <f>IF(AND(CC80=7,CC81=13),70,MIN(IF(CC80&lt;=0,0,IF(WEEKDAY(CC$6,1)=1,0,MIN(10,CC81)*CC80)),MAX(0,40*MAX(1,CC80)-(0))))</f>
        <v>70</v>
      </c>
      <c r="CD82" s="63">
        <f>IF(AND(CD80=7,CD81=13),70,MIN(IF(CD80&lt;=0,0,IF(WEEKDAY(CD$6,1)=1,0,MIN(10,CD81)*CD80)),MAX(0,40*MAX(1,CD80)-(CC82))))</f>
        <v>70</v>
      </c>
      <c r="CE82" s="63">
        <f>IF(AND(CE80=7,CE81=13),70,MIN(IF(CE80&lt;=0,0,IF(WEEKDAY(CE$6,1)=1,0,MIN(10,CE81)*CE80)),MAX(0,40*MAX(1,CE80)-(CC82+CD82))))</f>
        <v>70</v>
      </c>
      <c r="CF82" s="63">
        <f>IF(AND(CF80=7,CF81=13),70,MIN(IF(CF80&lt;=0,0,IF(WEEKDAY(CF$6,1)=1,0,MIN(10,CF81)*CF80)),MAX(0,40*MAX(1,CF80)-(CC82+CD82+CE82))))</f>
        <v>70</v>
      </c>
      <c r="CG82" s="63">
        <f>IF(AND(CG80=7,CG81=13),0,MIN(IF(CG80&lt;=0,0,IF(WEEKDAY(CG$6,1)=1,0,MIN(10,CG81)*CG80)),MAX(0,40*MAX(1,CG80)-(CC82+CD82+CE82+CF82))))</f>
        <v>0</v>
      </c>
      <c r="CH82" s="64">
        <f>IF(AND(CH80=7,CH81=13),0,MIN(IF(CH80&lt;=0,0,IF(WEEKDAY(CH$6,1)=1,0,MIN(10,CH81)*CH80)),MAX(0,40*MAX(1,CH80)-(CC82+CD82+CE82+CF82+CG82))))</f>
        <v>0</v>
      </c>
      <c r="CI82" s="64">
        <f>IF(AND(CI80=7,CI81=13),0,MIN(IF(CI80&lt;=0,0,IF(WEEKDAY(CI$6,1)=1,0,MIN(10,CI81)*CI80)),MAX(0,40*MAX(1,CI80)-(CC82+CD82+CE82+CF82+CG82+CH82))))</f>
        <v>0</v>
      </c>
      <c r="CJ82" s="63">
        <f>IF(AND(CJ80=7,CJ81=13),70,MIN(IF(CJ80&lt;=0,0,IF(WEEKDAY(CJ$6,1)=1,0,MIN(10,CJ81)*CJ80)),MAX(0,40*MAX(1,CJ80)-(0))))</f>
        <v>70</v>
      </c>
      <c r="CK82" s="63">
        <f>IF(AND(CK80=7,CK81=13),70,MIN(IF(CK80&lt;=0,0,IF(WEEKDAY(CK$6,1)=1,0,MIN(10,CK81)*CK80)),MAX(0,40*MAX(1,CK80)-(CJ82))))</f>
        <v>70</v>
      </c>
      <c r="CL82" s="63">
        <f>IF(AND(CL80=7,CL81=13),70,MIN(IF(CL80&lt;=0,0,IF(WEEKDAY(CL$6,1)=1,0,MIN(10,CL81)*CL80)),MAX(0,40*MAX(1,CL80)-(CJ82+CK82))))</f>
        <v>70</v>
      </c>
      <c r="CM82" s="63">
        <f>IF(AND(CM80=7,CM81=13),70,MIN(IF(CM80&lt;=0,0,IF(WEEKDAY(CM$6,1)=1,0,MIN(10,CM81)*CM80)),MAX(0,40*MAX(1,CM80)-(CJ82+CK82+CL82))))</f>
        <v>70</v>
      </c>
      <c r="CN82" s="63">
        <f>IF(AND(CN80=7,CN81=13),0,MIN(IF(CN80&lt;=0,0,IF(WEEKDAY(CN$6,1)=1,0,MIN(10,CN81)*CN80)),MAX(0,40*MAX(1,CN80)-(CJ82+CK82+CL82+CM82))))</f>
        <v>0</v>
      </c>
      <c r="CO82" s="64">
        <f>IF(AND(CO80=7,CO81=13),0,MIN(IF(CO80&lt;=0,0,IF(WEEKDAY(CO$6,1)=1,0,MIN(10,CO81)*CO80)),MAX(0,40*MAX(1,CO80)-(CJ82+CK82+CL82+CM82+CN82))))</f>
        <v>0</v>
      </c>
      <c r="CP82" s="64">
        <f>IF(AND(CP80=7,CP81=13),0,MIN(IF(CP80&lt;=0,0,IF(WEEKDAY(CP$6,1)=1,0,MIN(10,CP81)*CP80)),MAX(0,40*MAX(1,CP80)-(CJ82+CK82+CL82+CM82+CN82+CO82))))</f>
        <v>0</v>
      </c>
      <c r="CQ82" s="63">
        <f>IF(AND(CQ80=7,CQ81=13),70,MIN(IF(CQ80&lt;=0,0,IF(WEEKDAY(CQ$6,1)=1,0,MIN(10,CQ81)*CQ80)),MAX(0,40*MAX(1,CQ80)-(0))))</f>
        <v>70</v>
      </c>
      <c r="CR82" s="63">
        <f>IF(AND(CR80=7,CR81=13),70,MIN(IF(CR80&lt;=0,0,IF(WEEKDAY(CR$6,1)=1,0,MIN(10,CR81)*CR80)),MAX(0,40*MAX(1,CR80)-(CQ82))))</f>
        <v>70</v>
      </c>
      <c r="CS82" s="63">
        <f>IF(AND(CS80=7,CS81=13),70,MIN(IF(CS80&lt;=0,0,IF(WEEKDAY(CS$6,1)=1,0,MIN(10,CS81)*CS80)),MAX(0,40*MAX(1,CS80)-(CQ82+CR82))))</f>
        <v>70</v>
      </c>
      <c r="CT82" s="63">
        <f>IF(AND(CT80=7,CT81=13),70,MIN(IF(CT80&lt;=0,0,IF(WEEKDAY(CT$6,1)=1,0,MIN(10,CT81)*CT80)),MAX(0,40*MAX(1,CT80)-(CQ82+CR82+CS82))))</f>
        <v>70</v>
      </c>
      <c r="CU82" s="63">
        <f>IF(AND(CU80=7,CU81=13),0,MIN(IF(CU80&lt;=0,0,IF(WEEKDAY(CU$6,1)=1,0,MIN(10,CU81)*CU80)),MAX(0,40*MAX(1,CU80)-(CQ82+CR82+CS82+CT82))))</f>
        <v>0</v>
      </c>
      <c r="CV82" s="64">
        <f>IF(AND(CV80=7,CV81=13),0,MIN(IF(CV80&lt;=0,0,IF(WEEKDAY(CV$6,1)=1,0,MIN(10,CV81)*CV80)),MAX(0,40*MAX(1,CV80)-(CQ82+CR82+CS82+CT82+CU82))))</f>
        <v>0</v>
      </c>
      <c r="CW82" s="64">
        <f>IF(AND(CW80=7,CW81=13),0,MIN(IF(CW80&lt;=0,0,IF(WEEKDAY(CW$6,1)=1,0,MIN(10,CW81)*CW80)),MAX(0,40*MAX(1,CW80)-(CQ82+CR82+CS82+CT82+CU82+CV82))))</f>
        <v>0</v>
      </c>
      <c r="CX82" s="63">
        <f>IF(AND(CX80=7,CX81=13),70,MIN(IF(CX80&lt;=0,0,IF(WEEKDAY(CX$6,1)=1,0,MIN(10,CX81)*CX80)),MAX(0,40*MAX(1,CX80)-(0))))</f>
        <v>70</v>
      </c>
      <c r="CY82" s="63">
        <f>IF(AND(CY80=7,CY81=13),70,MIN(IF(CY80&lt;=0,0,IF(WEEKDAY(CY$6,1)=1,0,MIN(10,CY81)*CY80)),MAX(0,40*MAX(1,CY80)-(CX82))))</f>
        <v>70</v>
      </c>
      <c r="CZ82" s="63">
        <f>IF(AND(CZ80=7,CZ81=13),70,MIN(IF(CZ80&lt;=0,0,IF(WEEKDAY(CZ$6,1)=1,0,MIN(10,CZ81)*CZ80)),MAX(0,40*MAX(1,CZ80)-(CX82+CY82))))</f>
        <v>70</v>
      </c>
      <c r="DA82" s="63">
        <f>IF(AND(DA80=7,DA81=13),70,MIN(IF(DA80&lt;=0,0,IF(WEEKDAY(DA$6,1)=1,0,MIN(10,DA81)*DA80)),MAX(0,40*MAX(1,DA80)-(CX82+CY82+CZ82))))</f>
        <v>70</v>
      </c>
      <c r="DB82" s="63">
        <f>IF(AND(DB80=7,DB81=13),0,MIN(IF(DB80&lt;=0,0,IF(WEEKDAY(DB$6,1)=1,0,MIN(10,DB81)*DB80)),MAX(0,40*MAX(1,DB80)-(CX82+CY82+CZ82+DA82))))</f>
        <v>0</v>
      </c>
      <c r="DC82" s="64">
        <f>IF(AND(DC80=7,DC81=13),0,MIN(IF(DC80&lt;=0,0,IF(WEEKDAY(DC$6,1)=1,0,MIN(10,DC81)*DC80)),MAX(0,40*MAX(1,DC80)-(CX82+CY82+CZ82+DA82+DB82))))</f>
        <v>0</v>
      </c>
      <c r="DD82" s="64">
        <f>IF(AND(DD80=7,DD81=13),0,MIN(IF(DD80&lt;=0,0,IF(WEEKDAY(DD$6,1)=1,0,MIN(10,DD81)*DD80)),MAX(0,40*MAX(1,DD80)-(0))))</f>
        <v>0</v>
      </c>
      <c r="DE82" s="63">
        <f>IF(AND(DE80=7,DE81=13),70,MIN(IF(DE80&lt;=0,0,IF(WEEKDAY(DE$6,1)=1,0,MIN(10,DE81)*DE80)),MAX(0,40*MAX(1,DE80)-(0))))</f>
        <v>70</v>
      </c>
      <c r="DF82" s="63">
        <f>IF(AND(DF80=7,DF81=13),70,MIN(IF(DF80&lt;=0,0,IF(WEEKDAY(DF$6,1)=1,0,MIN(10,DF81)*DF80)),MAX(0,40*MAX(1,DF80)-(DE82))))</f>
        <v>70</v>
      </c>
      <c r="DG82" s="63">
        <f>IF(AND(DG80=7,DG81=13),70,MIN(IF(DG80&lt;=0,0,IF(WEEKDAY(DG$6,1)=1,0,MIN(10,DG81)*DG80)),MAX(0,40*MAX(1,DG80)-(DE82+DF82))))</f>
        <v>70</v>
      </c>
      <c r="DH82" s="63">
        <f>IF(AND(DH80=7,DH81=13),70,MIN(IF(DH80&lt;=0,0,IF(WEEKDAY(DH$6,1)=1,0,MIN(10,DH81)*DH80)),MAX(0,40*MAX(1,DH80)-(DE82+DF82+DG82))))</f>
        <v>70</v>
      </c>
      <c r="DI82" s="63">
        <f>IF(AND(DI80=7,DI81=13),0,MIN(IF(DI80&lt;=0,0,IF(WEEKDAY(DI$6,1)=1,0,MIN(10,DI81)*DI80)),MAX(0,40*MAX(1,DI80)-(DE82+DF82+DG82+DH82))))</f>
        <v>0</v>
      </c>
      <c r="DJ82" s="64">
        <f>IF(AND(DJ80=7,DJ81=13),0,MIN(IF(DJ80&lt;=0,0,IF(WEEKDAY(DJ$6,1)=1,0,MIN(10,DJ81)*DJ80)),MAX(0,40*MAX(1,DJ80)-(DE82+DF82+DG82+DH82+DI82))))</f>
        <v>0</v>
      </c>
      <c r="DK82" s="64">
        <f>IF(AND(DK80=7,DK81=13),0,MIN(IF(DK80&lt;=0,0,IF(WEEKDAY(DK$6,1)=1,0,MIN(10,DK81)*DK80)),MAX(0,40*MAX(1,DK80)-(DE82+DF82+DG82+DH82+DI82+DJ82))))</f>
        <v>0</v>
      </c>
      <c r="DL82" s="63">
        <f>IF(AND(DL80=7,DL81=13),70,MIN(IF(DL80&lt;=0,0,IF(WEEKDAY(DL$6,1)=1,0,MIN(10,DL81)*DL80)),MAX(0,40*MAX(1,DL80)-(0))))</f>
        <v>70</v>
      </c>
      <c r="DM82" s="63">
        <f>IF(AND(DM80=7,DM81=13),70,MIN(IF(DM80&lt;=0,0,IF(WEEKDAY(DM$6,1)=1,0,MIN(10,DM81)*DM80)),MAX(0,40*MAX(1,DM80)-(DL82))))</f>
        <v>70</v>
      </c>
      <c r="DN82" s="63">
        <f>IF(AND(DN80=7,DN81=13),70,MIN(IF(DN80&lt;=0,0,IF(WEEKDAY(DN$6,1)=1,0,MIN(10,DN81)*DN80)),MAX(0,40*MAX(1,DN80)-(DL82+DM82))))</f>
        <v>70</v>
      </c>
      <c r="DO82" s="63">
        <f>IF(AND(DO80=7,DO81=13),70,MIN(IF(DO80&lt;=0,0,IF(WEEKDAY(DO$6,1)=1,0,MIN(10,DO81)*DO80)),MAX(0,40*MAX(1,DO80)-(DL82+DM82+DN82))))</f>
        <v>70</v>
      </c>
      <c r="DP82" s="63">
        <f>IF(AND(DP80=7,DP81=13),0,MIN(IF(DP80&lt;=0,0,IF(WEEKDAY(DP$6,1)=1,0,MIN(10,DP81)*DP80)),MAX(0,40*MAX(1,DP80)-(DL82+DM82+DN82+DO82))))</f>
        <v>0</v>
      </c>
      <c r="DQ82" s="64">
        <f>IF(AND(DQ80=7,DQ81=13),0,MIN(IF(DQ80&lt;=0,0,IF(WEEKDAY(DQ$6,1)=1,0,MIN(10,DQ81)*DQ80)),MAX(0,40*MAX(1,DQ80)-(DL82+DM82+DN82+DO82+DP82))))</f>
        <v>0</v>
      </c>
      <c r="DR82" s="64">
        <f>IF(AND(DR80=7,DR81=13),0,MIN(IF(DR80&lt;=0,0,IF(WEEKDAY(DR$6,1)=1,0,MIN(10,DR81)*DR80)),MAX(0,40*MAX(1,DR80)-(DL82+DM82+DN82+DO82+DP82+DQ82))))</f>
        <v>0</v>
      </c>
      <c r="DS82" s="63">
        <f>IF(AND(DS80=7,DS81=13),70,MIN(IF(DS80&lt;=0,0,IF(WEEKDAY(DS$6,1)=1,0,MIN(10,DS81)*DS80)),MAX(0,40*MAX(1,DS80)-(0))))</f>
        <v>70</v>
      </c>
      <c r="DT82" s="63">
        <f>IF(AND(DT80=0,DT81=0),0,MIN(IF(DT80&lt;=0,0,IF(WEEKDAY(DT$6,1)=1,0,MIN(10,DT81)*DT80)),MAX(0,40*MAX(1,DT80)-(0))))</f>
        <v>0</v>
      </c>
      <c r="DU82" s="63">
        <f>IF(AND(DU80=0,DU81=0),0,MIN(IF(DU80&lt;=0,0,IF(WEEKDAY(DU$6,1)=1,0,MIN(10,DU81)*DU80)),MAX(0,40*MAX(1,DU80)-(DT82))))</f>
        <v>0</v>
      </c>
      <c r="DV82" s="63">
        <f>IF(AND(DV80=0,DV81=0),0,MIN(IF(DV80&lt;=0,0,IF(WEEKDAY(DV$6,1)=1,0,MIN(10,DV81)*DV80)),MAX(0,40*MAX(1,DV80)-(DT82+DU82))))</f>
        <v>0</v>
      </c>
      <c r="DW82" s="63">
        <f>IF(AND(DW80=0,DW81=0),0,MIN(IF(DW80&lt;=0,0,IF(WEEKDAY(DW$6,1)=1,0,MIN(10,DW81)*DW80)),MAX(0,40*MAX(1,DW80)-(DT82+DU82+DV82))))</f>
        <v>0</v>
      </c>
      <c r="DX82" s="64">
        <f>IF(AND(DX80=0,DX81=0),0,MIN(IF(DX80&lt;=0,0,IF(WEEKDAY(DX$6,1)=1,0,MIN(10,DX81)*DX80)),MAX(0,40*MAX(1,DX80)-(DT82+DU82+DV82+DW82))))</f>
        <v>0</v>
      </c>
      <c r="DY82" s="64">
        <f>IF(AND(DY80=0,DY81=0),0,MIN(IF(DY80&lt;=0,0,IF(WEEKDAY(DY$6,1)=1,0,MIN(10,DY81)*DY80)),MAX(0,40*MAX(1,DY80)-(DT82+DU82+DV82+DW82+DX82))))</f>
        <v>0</v>
      </c>
      <c r="DZ82" s="63">
        <f>IF(AND(DZ80=0,DZ81=0),0,MIN(IF(DZ80&lt;=0,0,IF(WEEKDAY(DZ$6,1)=1,0,MIN(10,DZ81)*DZ80)),MAX(0,40*MAX(1,DZ80)-(0))))</f>
        <v>0</v>
      </c>
      <c r="EA82" s="63">
        <f>IF(AND(EA80=0,EA81=0),0,MIN(IF(EA80&lt;=0,0,IF(WEEKDAY(EA$6,1)=1,0,MIN(10,EA81)*EA80)),MAX(0,40*MAX(1,EA80)-(DZ82))))</f>
        <v>0</v>
      </c>
      <c r="EB82" s="63">
        <f>IF(AND(EB80=0,EB81=0),0,MIN(IF(EB80&lt;=0,0,IF(WEEKDAY(EB$6,1)=1,0,MIN(10,EB81)*EB80)),MAX(0,40*MAX(1,EB80)-(DZ82+EA82))))</f>
        <v>0</v>
      </c>
      <c r="EC82" s="63">
        <f>IF(AND(EC80=0,EC81=0),0,MIN(IF(EC80&lt;=0,0,IF(WEEKDAY(EC$6,1)=1,0,MIN(10,EC81)*EC80)),MAX(0,40*MAX(1,EC80)-(DZ82+EA82+EB82))))</f>
        <v>0</v>
      </c>
      <c r="ED82" s="63">
        <f>IF(AND(ED80=0,ED81=0),0,MIN(IF(ED80&lt;=0,0,IF(WEEKDAY(ED$6,1)=1,0,MIN(10,ED81)*ED80)),MAX(0,40*MAX(1,ED80)-(DZ82+EA82+EB82+EC82))))</f>
        <v>0</v>
      </c>
      <c r="EE82" s="64">
        <f>IF(AND(EE80=0,EE81=0),0,MIN(IF(EE80&lt;=0,0,IF(WEEKDAY(EE$6,1)=1,0,MIN(10,EE81)*EE80)),MAX(0,40*MAX(1,EE80)-(DZ82+EA82+EB82+EC82+ED82))))</f>
        <v>0</v>
      </c>
      <c r="EF82" s="64">
        <f>IF(AND(EF80=0,EF81=0),0,MIN(IF(EF80&lt;=0,0,IF(WEEKDAY(EF$6,1)=1,0,MIN(10,EF81)*EF80)),MAX(0,40*MAX(1,EF80)-(DZ82+EA82+EB82+EC82+ED82+EE82))))</f>
        <v>0</v>
      </c>
      <c r="EG82" s="63">
        <f>IF(AND(EG80=0,EG81=0),0,MIN(IF(EG80&lt;=0,0,IF(WEEKDAY(EG$6,1)=1,0,MIN(10,EG81)*EG80)),MAX(0,40*MAX(1,EG80)-(0))))</f>
        <v>0</v>
      </c>
      <c r="EH82" s="63">
        <f>IF(AND(EH80=0,EH81=0),0,MIN(IF(EH80&lt;=0,0,IF(WEEKDAY(EH$6,1)=1,0,MIN(10,EH81)*EH80)),MAX(0,40*MAX(1,EH80)-(EG82))))</f>
        <v>0</v>
      </c>
      <c r="EI82" s="63">
        <f>IF(AND(EI80=0,EI81=0),0,MIN(IF(EI80&lt;=0,0,IF(WEEKDAY(EI$6,1)=1,0,MIN(10,EI81)*EI80)),MAX(0,40*MAX(1,EI80)-(EG82+EH82))))</f>
        <v>0</v>
      </c>
      <c r="EJ82" s="63">
        <f>IF(AND(EJ80=0,EJ81=0),0,MIN(IF(EJ80&lt;=0,0,IF(WEEKDAY(EJ$6,1)=1,0,MIN(10,EJ81)*EJ80)),MAX(0,40*MAX(1,EJ80)-(EG82+EH82+EI82))))</f>
        <v>0</v>
      </c>
      <c r="EK82" s="65">
        <f>IF(AND(EK80=0,EK81=0),0,MIN(IF(EK80&lt;=0,0,IF(WEEKDAY(EK$6,1)=1,0,MIN(10,EK81)*EK80)),MAX(0,40*MAX(1,EK80)-(EG82+EH82+EI82+EJ82))))</f>
        <v>0</v>
      </c>
      <c r="OU82" s="28" t="s">
        <v>80</v>
      </c>
    </row>
    <row r="83" ht="16" customHeight="1" spans="1:411" x14ac:dyDescent="0.25">
      <c r="A83" s="74"/>
      <c r="B83" s="46"/>
      <c r="C83" s="66">
        <f>G79*N(D83)</f>
        <v>286533.61000000004</v>
      </c>
      <c r="D83" s="66">
        <f>IF(TRIM(B79)="","No rate",IFERROR(INDEX('Rate Tables'!D$7:D$158,MATCH(B79,'Rate Tables'!A$7:A$158,0)),"No rate"))</f>
        <v>143.77</v>
      </c>
      <c r="E83" s="55" t="s">
        <v>63</v>
      </c>
      <c r="F83" s="49"/>
      <c r="G83" s="49"/>
      <c r="H83" s="49"/>
      <c r="I83" s="49"/>
      <c r="J83" s="50"/>
      <c r="K83" s="62">
        <f>IF(AND(K80=0,K81=0),0,IF(K80&lt;=0,0,IF(WEEKDAY(K$6,1)=1,0,MAX(0,K81-10)*K80))+((IF(K80&lt;=0,0,IF(WEEKDAY(K$6,1)=1,0,MIN(10,K81)*K80)))-MIN(IF(K80&lt;=0,0,IF(WEEKDAY(K$6,1)=1,0,MIN(10,K81)*K80)),MAX(0,40*MAX(1,K80)-(0)))))</f>
        <v>0</v>
      </c>
      <c r="L83" s="63">
        <f>IF(AND(L80=0,L81=0),0,IF(L80&lt;=0,0,IF(WEEKDAY(L$6,1)=1,0,MAX(0,L81-10)*L80))+((IF(L80&lt;=0,0,IF(WEEKDAY(L$6,1)=1,0,MIN(10,L81)*L80)))-MIN(IF(L80&lt;=0,0,IF(WEEKDAY(L$6,1)=1,0,MIN(10,L81)*L80)),MAX(0,40*MAX(1,L80)-(K82)))))</f>
        <v>0</v>
      </c>
      <c r="M83" s="63">
        <f>IF(AND(M80=0,M81=0),0,IF(M80&lt;=0,0,IF(WEEKDAY(M$6,1)=1,0,MAX(0,M81-10)*M80))+((IF(M80&lt;=0,0,IF(WEEKDAY(M$6,1)=1,0,MIN(10,M81)*M80)))-MIN(IF(M80&lt;=0,0,IF(WEEKDAY(M$6,1)=1,0,MIN(10,M81)*M80)),MAX(0,40*MAX(1,M80)-(K82+L82)))))</f>
        <v>0</v>
      </c>
      <c r="N83" s="63">
        <f>IF(AND(N80=0,N81=0),0,IF(N80&lt;=0,0,IF(WEEKDAY(N$6,1)=1,0,MAX(0,N81-10)*N80))+((IF(N80&lt;=0,0,IF(WEEKDAY(N$6,1)=1,0,MIN(10,N81)*N80)))-MIN(IF(N80&lt;=0,0,IF(WEEKDAY(N$6,1)=1,0,MIN(10,N81)*N80)),MAX(0,40*MAX(1,N80)-(K82+L82+M82)))))</f>
        <v>0</v>
      </c>
      <c r="O83" s="63">
        <f>IF(AND(O80=0,O81=0),0,IF(O80&lt;=0,0,IF(WEEKDAY(O$6,1)=1,0,MAX(0,O81-10)*O80))+((IF(O80&lt;=0,0,IF(WEEKDAY(O$6,1)=1,0,MIN(10,O81)*O80)))-MIN(IF(O80&lt;=0,0,IF(WEEKDAY(O$6,1)=1,0,MIN(10,O81)*O80)),MAX(0,40*MAX(1,O80)-(K82+L82+M82+N82)))))</f>
        <v>0</v>
      </c>
      <c r="P83" s="64">
        <f>IF(AND(P80=0,P81=0),0,IF(P80&lt;=0,0,IF(WEEKDAY(P$6,1)=1,0,MAX(0,P81-10)*P80))+((IF(P80&lt;=0,0,IF(WEEKDAY(P$6,1)=1,0,MIN(10,P81)*P80)))-MIN(IF(P80&lt;=0,0,IF(WEEKDAY(P$6,1)=1,0,MIN(10,P81)*P80)),MAX(0,40*MAX(1,P80)-(K82+L82+M82+N82+O82)))))</f>
        <v>0</v>
      </c>
      <c r="Q83" s="64">
        <f>IF(AND(Q80=0,Q81=0),0,IF(Q80&lt;=0,0,IF(WEEKDAY(Q$6,1)=1,0,MAX(0,Q81-10)*Q80))+((IF(Q80&lt;=0,0,IF(WEEKDAY(Q$6,1)=1,0,MIN(10,Q81)*Q80)))-MIN(IF(Q80&lt;=0,0,IF(WEEKDAY(Q$6,1)=1,0,MIN(10,Q81)*Q80)),MAX(0,40*MAX(1,Q80)-(K82+L82+M82+N82+O82+P82)))))</f>
        <v>0</v>
      </c>
      <c r="R83" s="63">
        <f>IF(AND(R80=0,R81=0),0,IF(R80&lt;=0,0,IF(WEEKDAY(R$6,1)=1,0,MAX(0,R81-10)*R80))+((IF(R80&lt;=0,0,IF(WEEKDAY(R$6,1)=1,0,MIN(10,R81)*R80)))-MIN(IF(R80&lt;=0,0,IF(WEEKDAY(R$6,1)=1,0,MIN(10,R81)*R80)),MAX(0,40*MAX(1,R80)-(0)))))</f>
        <v>0</v>
      </c>
      <c r="S83" s="63">
        <f>IF(AND(S80=0,S81=0),0,IF(S80&lt;=0,0,IF(WEEKDAY(S$6,1)=1,0,MAX(0,S81-10)*S80))+((IF(S80&lt;=0,0,IF(WEEKDAY(S$6,1)=1,0,MIN(10,S81)*S80)))-MIN(IF(S80&lt;=0,0,IF(WEEKDAY(S$6,1)=1,0,MIN(10,S81)*S80)),MAX(0,40*MAX(1,S80)-(R82)))))</f>
        <v>0</v>
      </c>
      <c r="T83" s="63">
        <f>IF(AND(T80=0,T81=0),0,IF(T80&lt;=0,0,IF(WEEKDAY(T$6,1)=1,0,MAX(0,T81-10)*T80))+((IF(T80&lt;=0,0,IF(WEEKDAY(T$6,1)=1,0,MIN(10,T81)*T80)))-MIN(IF(T80&lt;=0,0,IF(WEEKDAY(T$6,1)=1,0,MIN(10,T81)*T80)),MAX(0,40*MAX(1,T80)-(R82+S82)))))</f>
        <v>0</v>
      </c>
      <c r="U83" s="63">
        <f>IF(AND(U80=0,U81=0),0,IF(U80&lt;=0,0,IF(WEEKDAY(U$6,1)=1,0,MAX(0,U81-10)*U80))+((IF(U80&lt;=0,0,IF(WEEKDAY(U$6,1)=1,0,MIN(10,U81)*U80)))-MIN(IF(U80&lt;=0,0,IF(WEEKDAY(U$6,1)=1,0,MIN(10,U81)*U80)),MAX(0,40*MAX(1,U80)-(R82+S82+T82)))))</f>
        <v>0</v>
      </c>
      <c r="V83" s="63">
        <f>IF(AND(V80=0,V81=0),0,IF(V80&lt;=0,0,IF(WEEKDAY(V$6,1)=1,0,MAX(0,V81-10)*V80))+((IF(V80&lt;=0,0,IF(WEEKDAY(V$6,1)=1,0,MIN(10,V81)*V80)))-MIN(IF(V80&lt;=0,0,IF(WEEKDAY(V$6,1)=1,0,MIN(10,V81)*V80)),MAX(0,40*MAX(1,V80)-(R82+S82+T82+U82)))))</f>
        <v>0</v>
      </c>
      <c r="W83" s="64">
        <f>IF(AND(W80=0,W81=0),0,IF(W80&lt;=0,0,IF(WEEKDAY(W$6,1)=1,0,MAX(0,W81-10)*W80))+((IF(W80&lt;=0,0,IF(WEEKDAY(W$6,1)=1,0,MIN(10,W81)*W80)))-MIN(IF(W80&lt;=0,0,IF(WEEKDAY(W$6,1)=1,0,MIN(10,W81)*W80)),MAX(0,40*MAX(1,W80)-(R82+S82+T82+U82+V82)))))</f>
        <v>0</v>
      </c>
      <c r="X83" s="64">
        <f>IF(AND(X80=0,X81=0),0,IF(X80&lt;=0,0,IF(WEEKDAY(X$6,1)=1,0,MAX(0,X81-10)*X80))+((IF(X80&lt;=0,0,IF(WEEKDAY(X$6,1)=1,0,MIN(10,X81)*X80)))-MIN(IF(X80&lt;=0,0,IF(WEEKDAY(X$6,1)=1,0,MIN(10,X81)*X80)),MAX(0,40*MAX(1,X80)-(R82+S82+T82+U82+V82+W82)))))</f>
        <v>0</v>
      </c>
      <c r="Y83" s="63">
        <f>IF(AND(Y80=0,Y81=0),0,IF(Y80&lt;=0,0,IF(WEEKDAY(Y$6,1)=1,0,MAX(0,Y81-10)*Y80))+((IF(Y80&lt;=0,0,IF(WEEKDAY(Y$6,1)=1,0,MIN(10,Y81)*Y80)))-MIN(IF(Y80&lt;=0,0,IF(WEEKDAY(Y$6,1)=1,0,MIN(10,Y81)*Y80)),MAX(0,40*MAX(1,Y80)-(0)))))</f>
        <v>0</v>
      </c>
      <c r="Z83" s="63">
        <f>IF(AND(Z80=0,Z81=0),0,IF(Z80&lt;=0,0,IF(WEEKDAY(Z$6,1)=1,0,MAX(0,Z81-10)*Z80))+((IF(Z80&lt;=0,0,IF(WEEKDAY(Z$6,1)=1,0,MIN(10,Z81)*Z80)))-MIN(IF(Z80&lt;=0,0,IF(WEEKDAY(Z$6,1)=1,0,MIN(10,Z81)*Z80)),MAX(0,40*MAX(1,Z80)-(Y82)))))</f>
        <v>0</v>
      </c>
      <c r="AA83" s="63">
        <f>IF(AND(AA80=0,AA81=0),0,IF(AA80&lt;=0,0,IF(WEEKDAY(AA$6,1)=1,0,MAX(0,AA81-10)*AA80))+((IF(AA80&lt;=0,0,IF(WEEKDAY(AA$6,1)=1,0,MIN(10,AA81)*AA80)))-MIN(IF(AA80&lt;=0,0,IF(WEEKDAY(AA$6,1)=1,0,MIN(10,AA81)*AA80)),MAX(0,40*MAX(1,AA80)-(Y82+Z82)))))</f>
        <v>0</v>
      </c>
      <c r="AB83" s="63">
        <f>IF(AND(AB80=0,AB81=0),0,IF(AB80&lt;=0,0,IF(WEEKDAY(AB$6,1)=1,0,MAX(0,AB81-10)*AB80))+((IF(AB80&lt;=0,0,IF(WEEKDAY(AB$6,1)=1,0,MIN(10,AB81)*AB80)))-MIN(IF(AB80&lt;=0,0,IF(WEEKDAY(AB$6,1)=1,0,MIN(10,AB81)*AB80)),MAX(0,40*MAX(1,AB80)-(Y82+Z82+AA82)))))</f>
        <v>0</v>
      </c>
      <c r="AC83" s="63">
        <f>IF(AND(AC80=0,AC81=0),0,IF(AC80&lt;=0,0,IF(WEEKDAY(AC$6,1)=1,0,MAX(0,AC81-10)*AC80))+((IF(AC80&lt;=0,0,IF(WEEKDAY(AC$6,1)=1,0,MIN(10,AC81)*AC80)))-MIN(IF(AC80&lt;=0,0,IF(WEEKDAY(AC$6,1)=1,0,MIN(10,AC81)*AC80)),MAX(0,40*MAX(1,AC80)-(Y82+Z82+AA82+AB82)))))</f>
        <v>0</v>
      </c>
      <c r="AD83" s="64">
        <f>IF(AND(AD80=0,AD81=0),0,IF(AD80&lt;=0,0,IF(WEEKDAY(AD$6,1)=1,0,MAX(0,AD81-10)*AD80))+((IF(AD80&lt;=0,0,IF(WEEKDAY(AD$6,1)=1,0,MIN(10,AD81)*AD80)))-MIN(IF(AD80&lt;=0,0,IF(WEEKDAY(AD$6,1)=1,0,MIN(10,AD81)*AD80)),MAX(0,40*MAX(1,AD80)-(Y82+Z82+AA82+AB82+AC82)))))</f>
        <v>0</v>
      </c>
      <c r="AE83" s="64">
        <f>IF(AND(AE80=0,AE81=0),0,IF(AE80&lt;=0,0,IF(WEEKDAY(AE$6,1)=1,0,MAX(0,AE81-10)*AE80))+((IF(AE80&lt;=0,0,IF(WEEKDAY(AE$6,1)=1,0,MIN(10,AE81)*AE80)))-MIN(IF(AE80&lt;=0,0,IF(WEEKDAY(AE$6,1)=1,0,MIN(10,AE81)*AE80)),MAX(0,40*MAX(1,AE80)-(Y82+Z82+AA82+AB82+AC82+AD82)))))</f>
        <v>0</v>
      </c>
      <c r="AF83" s="63">
        <f>IF(AND(AF80=0,AF81=0),0,IF(AF80&lt;=0,0,IF(WEEKDAY(AF$6,1)=1,0,MAX(0,AF81-10)*AF80))+((IF(AF80&lt;=0,0,IF(WEEKDAY(AF$6,1)=1,0,MIN(10,AF81)*AF80)))-MIN(IF(AF80&lt;=0,0,IF(WEEKDAY(AF$6,1)=1,0,MIN(10,AF81)*AF80)),MAX(0,40*MAX(1,AF80)-(0)))))</f>
        <v>0</v>
      </c>
      <c r="AG83" s="63">
        <f>IF(AND(AG80=0,AG81=0),0,IF(AG80&lt;=0,0,IF(WEEKDAY(AG$6,1)=1,0,MAX(0,AG81-10)*AG80))+((IF(AG80&lt;=0,0,IF(WEEKDAY(AG$6,1)=1,0,MIN(10,AG81)*AG80)))-MIN(IF(AG80&lt;=0,0,IF(WEEKDAY(AG$6,1)=1,0,MIN(10,AG81)*AG80)),MAX(0,40*MAX(1,AG80)-(AF82)))))</f>
        <v>0</v>
      </c>
      <c r="AH83" s="63">
        <f>IF(AND(AH80=0,AH81=0),0,IF(AH80&lt;=0,0,IF(WEEKDAY(AH$6,1)=1,0,MAX(0,AH81-10)*AH80))+((IF(AH80&lt;=0,0,IF(WEEKDAY(AH$6,1)=1,0,MIN(10,AH81)*AH80)))-MIN(IF(AH80&lt;=0,0,IF(WEEKDAY(AH$6,1)=1,0,MIN(10,AH81)*AH80)),MAX(0,40*MAX(1,AH80)-(AF82+AG82)))))</f>
        <v>0</v>
      </c>
      <c r="AI83" s="63">
        <f>IF(AND(AI80=0,AI81=0),0,IF(AI80&lt;=0,0,IF(WEEKDAY(AI$6,1)=1,0,MAX(0,AI81-10)*AI80))+((IF(AI80&lt;=0,0,IF(WEEKDAY(AI$6,1)=1,0,MIN(10,AI81)*AI80)))-MIN(IF(AI80&lt;=0,0,IF(WEEKDAY(AI$6,1)=1,0,MIN(10,AI81)*AI80)),MAX(0,40*MAX(1,AI80)-(AF82+AG82+AH82)))))</f>
        <v>0</v>
      </c>
      <c r="AJ83" s="63">
        <f>IF(AND(AJ80=0,AJ81=0),0,IF(AJ80&lt;=0,0,IF(WEEKDAY(AJ$6,1)=1,0,MAX(0,AJ81-10)*AJ80))+((IF(AJ80&lt;=0,0,IF(WEEKDAY(AJ$6,1)=1,0,MIN(10,AJ81)*AJ80)))-MIN(IF(AJ80&lt;=0,0,IF(WEEKDAY(AJ$6,1)=1,0,MIN(10,AJ81)*AJ80)),MAX(0,40*MAX(1,AJ80)-(AF82+AG82+AH82+AI82)))))</f>
        <v>0</v>
      </c>
      <c r="AK83" s="64">
        <f>IF(AND(AK80=0,AK81=0),0,IF(AK80&lt;=0,0,IF(WEEKDAY(AK$6,1)=1,0,MAX(0,AK81-10)*AK80))+((IF(AK80&lt;=0,0,IF(WEEKDAY(AK$6,1)=1,0,MIN(10,AK81)*AK80)))-MIN(IF(AK80&lt;=0,0,IF(WEEKDAY(AK$6,1)=1,0,MIN(10,AK81)*AK80)),MAX(0,40*MAX(1,AK80)-(AF82+AG82+AH82+AI82+AJ82)))))</f>
        <v>0</v>
      </c>
      <c r="AL83" s="64">
        <f>IF(AND(AL80=0,AL81=0),0,IF(AL80&lt;=0,0,IF(WEEKDAY(AL$6,1)=1,0,MAX(0,AL81-10)*AL80))+((IF(AL80&lt;=0,0,IF(WEEKDAY(AL$6,1)=1,0,MIN(10,AL81)*AL80)))-MIN(IF(AL80&lt;=0,0,IF(WEEKDAY(AL$6,1)=1,0,MIN(10,AL81)*AL80)),MAX(0,40*MAX(1,AL80)-(AF82+AG82+AH82+AI82+AJ82+AK82)))))</f>
        <v>0</v>
      </c>
      <c r="AM83" s="63">
        <f>IF(AND(AM80=0,AM81=0),0,IF(AM80&lt;=0,0,IF(WEEKDAY(AM$6,1)=1,0,MAX(0,AM81-10)*AM80))+((IF(AM80&lt;=0,0,IF(WEEKDAY(AM$6,1)=1,0,MIN(10,AM81)*AM80)))-MIN(IF(AM80&lt;=0,0,IF(WEEKDAY(AM$6,1)=1,0,MIN(10,AM81)*AM80)),MAX(0,40*MAX(1,AM80)-(0)))))</f>
        <v>0</v>
      </c>
      <c r="AN83" s="63">
        <f>IF(AND(AN80=0,AN81=0),0,IF(AN80&lt;=0,0,IF(WEEKDAY(AN$6,1)=1,0,MAX(0,AN81-10)*AN80))+((IF(AN80&lt;=0,0,IF(WEEKDAY(AN$6,1)=1,0,MIN(10,AN81)*AN80)))-MIN(IF(AN80&lt;=0,0,IF(WEEKDAY(AN$6,1)=1,0,MIN(10,AN81)*AN80)),MAX(0,40*MAX(1,AN80)-(AM82)))))</f>
        <v>0</v>
      </c>
      <c r="AO83" s="63">
        <f>IF(AND(AO80=0,AO81=0),0,IF(AO80&lt;=0,0,IF(WEEKDAY(AO$6,1)=1,0,MAX(0,AO81-10)*AO80))+((IF(AO80&lt;=0,0,IF(WEEKDAY(AO$6,1)=1,0,MIN(10,AO81)*AO80)))-MIN(IF(AO80&lt;=0,0,IF(WEEKDAY(AO$6,1)=1,0,MIN(10,AO81)*AO80)),MAX(0,40*MAX(1,AO80)-(AM82+AN82)))))</f>
        <v>0</v>
      </c>
      <c r="AP83" s="63">
        <f>IF(AND(AP80=0,AP81=0),0,IF(AP80&lt;=0,0,IF(WEEKDAY(AP$6,1)=1,0,MAX(0,AP81-10)*AP80))+((IF(AP80&lt;=0,0,IF(WEEKDAY(AP$6,1)=1,0,MIN(10,AP81)*AP80)))-MIN(IF(AP80&lt;=0,0,IF(WEEKDAY(AP$6,1)=1,0,MIN(10,AP81)*AP80)),MAX(0,40*MAX(1,AP80)-(AM82+AN82+AO82)))))</f>
        <v>0</v>
      </c>
      <c r="AQ83" s="63">
        <f>IF(AND(AQ80=0,AQ81=0),0,IF(AQ80&lt;=0,0,IF(WEEKDAY(AQ$6,1)=1,0,MAX(0,AQ81-10)*AQ80))+((IF(AQ80&lt;=0,0,IF(WEEKDAY(AQ$6,1)=1,0,MIN(10,AQ81)*AQ80)))-MIN(IF(AQ80&lt;=0,0,IF(WEEKDAY(AQ$6,1)=1,0,MIN(10,AQ81)*AQ80)),MAX(0,40*MAX(1,AQ80)-(AM82+AN82+AO82+AP82)))))</f>
        <v>0</v>
      </c>
      <c r="AR83" s="64">
        <f>IF(AND(AR80=0,AR81=0),0,IF(AR80&lt;=0,0,IF(WEEKDAY(AR$6,1)=1,0,MAX(0,AR81-10)*AR80))+((IF(AR80&lt;=0,0,IF(WEEKDAY(AR$6,1)=1,0,MIN(10,AR81)*AR80)))-MIN(IF(AR80&lt;=0,0,IF(WEEKDAY(AR$6,1)=1,0,MIN(10,AR81)*AR80)),MAX(0,40*MAX(1,AR80)-(AM82+AN82+AO82+AP82+AQ82)))))</f>
        <v>0</v>
      </c>
      <c r="AS83" s="64">
        <f>IF(AND(AS80=0,AS81=0),0,IF(AS80&lt;=0,0,IF(WEEKDAY(AS$6,1)=1,0,MAX(0,AS81-10)*AS80))+((IF(AS80&lt;=0,0,IF(WEEKDAY(AS$6,1)=1,0,MIN(10,AS81)*AS80)))-MIN(IF(AS80&lt;=0,0,IF(WEEKDAY(AS$6,1)=1,0,MIN(10,AS81)*AS80)),MAX(0,40*MAX(1,AS80)-(AM82+AN82+AO82+AP82+AQ82+AR82)))))</f>
        <v>0</v>
      </c>
      <c r="AT83" s="63">
        <f>IF(AND(AT80=0,AT81=0),0,IF(AT80&lt;=0,0,IF(WEEKDAY(AT$6,1)=1,0,MAX(0,AT81-10)*AT80))+((IF(AT80&lt;=0,0,IF(WEEKDAY(AT$6,1)=1,0,MIN(10,AT81)*AT80)))-MIN(IF(AT80&lt;=0,0,IF(WEEKDAY(AT$6,1)=1,0,MIN(10,AT81)*AT80)),MAX(0,40*MAX(1,AT80)-(0)))))</f>
        <v>0</v>
      </c>
      <c r="AU83" s="63">
        <f>IF(AND(AU80=0,AU81=0),0,IF(AU80&lt;=0,0,IF(WEEKDAY(AU$6,1)=1,0,MAX(0,AU81-10)*AU80))+((IF(AU80&lt;=0,0,IF(WEEKDAY(AU$6,1)=1,0,MIN(10,AU81)*AU80)))-MIN(IF(AU80&lt;=0,0,IF(WEEKDAY(AU$6,1)=1,0,MIN(10,AU81)*AU80)),MAX(0,40*MAX(1,AU80)-(AT82)))))</f>
        <v>0</v>
      </c>
      <c r="AV83" s="63">
        <f>IF(AND(AV80=0,AV81=0),0,IF(AV80&lt;=0,0,IF(WEEKDAY(AV$6,1)=1,0,MAX(0,AV81-10)*AV80))+((IF(AV80&lt;=0,0,IF(WEEKDAY(AV$6,1)=1,0,MIN(10,AV81)*AV80)))-MIN(IF(AV80&lt;=0,0,IF(WEEKDAY(AV$6,1)=1,0,MIN(10,AV81)*AV80)),MAX(0,40*MAX(1,AV80)-(AT82+AU82)))))</f>
        <v>0</v>
      </c>
      <c r="AW83" s="63">
        <f>IF(AND(AW80=0,AW81=0),0,IF(AW80&lt;=0,0,IF(WEEKDAY(AW$6,1)=1,0,MAX(0,AW81-10)*AW80))+((IF(AW80&lt;=0,0,IF(WEEKDAY(AW$6,1)=1,0,MIN(10,AW81)*AW80)))-MIN(IF(AW80&lt;=0,0,IF(WEEKDAY(AW$6,1)=1,0,MIN(10,AW81)*AW80)),MAX(0,40*MAX(1,AW80)-(AT82+AU82+AV82)))))</f>
        <v>0</v>
      </c>
      <c r="AX83" s="63">
        <f>IF(AND(AX80=0,AX81=0),0,IF(AX80&lt;=0,0,IF(WEEKDAY(AX$6,1)=1,0,MAX(0,AX81-10)*AX80))+((IF(AX80&lt;=0,0,IF(WEEKDAY(AX$6,1)=1,0,MIN(10,AX81)*AX80)))-MIN(IF(AX80&lt;=0,0,IF(WEEKDAY(AX$6,1)=1,0,MIN(10,AX81)*AX80)),MAX(0,40*MAX(1,AX80)-(AT82+AU82+AV82+AW82)))))</f>
        <v>0</v>
      </c>
      <c r="AY83" s="64">
        <f>IF(AND(AY80=0,AY81=0),0,IF(AY80&lt;=0,0,IF(WEEKDAY(AY$6,1)=1,0,MAX(0,AY81-10)*AY80))+((IF(AY80&lt;=0,0,IF(WEEKDAY(AY$6,1)=1,0,MIN(10,AY81)*AY80)))-MIN(IF(AY80&lt;=0,0,IF(WEEKDAY(AY$6,1)=1,0,MIN(10,AY81)*AY80)),MAX(0,40*MAX(1,AY80)-(AT82+AU82+AV82+AW82+AX82)))))</f>
        <v>0</v>
      </c>
      <c r="AZ83" s="64">
        <f>IF(AND(AZ80=0,AZ81=0),0,IF(AZ80&lt;=0,0,IF(WEEKDAY(AZ$6,1)=1,0,MAX(0,AZ81-10)*AZ80))+((IF(AZ80&lt;=0,0,IF(WEEKDAY(AZ$6,1)=1,0,MIN(10,AZ81)*AZ80)))-MIN(IF(AZ80&lt;=0,0,IF(WEEKDAY(AZ$6,1)=1,0,MIN(10,AZ81)*AZ80)),MAX(0,40*MAX(1,AZ80)-(AT82+AU82+AV82+AW82+AX82+AY82)))))</f>
        <v>0</v>
      </c>
      <c r="BA83" s="63">
        <f>IF(AND(BA80=0,BA81=0),0,IF(BA80&lt;=0,0,IF(WEEKDAY(BA$6,1)=1,0,MAX(0,BA81-10)*BA80))+((IF(BA80&lt;=0,0,IF(WEEKDAY(BA$6,1)=1,0,MIN(10,BA81)*BA80)))-MIN(IF(BA80&lt;=0,0,IF(WEEKDAY(BA$6,1)=1,0,MIN(10,BA81)*BA80)),MAX(0,40*MAX(1,BA80)-(0)))))</f>
        <v>0</v>
      </c>
      <c r="BB83" s="63">
        <f>IF(AND(BB80=0,BB81=0),0,IF(BB80&lt;=0,0,IF(WEEKDAY(BB$6,1)=1,0,MAX(0,BB81-10)*BB80))+((IF(BB80&lt;=0,0,IF(WEEKDAY(BB$6,1)=1,0,MIN(10,BB81)*BB80)))-MIN(IF(BB80&lt;=0,0,IF(WEEKDAY(BB$6,1)=1,0,MIN(10,BB81)*BB80)),MAX(0,40*MAX(1,BB80)-(BA82)))))</f>
        <v>0</v>
      </c>
      <c r="BC83" s="63">
        <f>IF(AND(BC80=0,BC81=0),0,IF(BC80&lt;=0,0,IF(WEEKDAY(BC$6,1)=1,0,MAX(0,BC81-10)*BC80))+((IF(BC80&lt;=0,0,IF(WEEKDAY(BC$6,1)=1,0,MIN(10,BC81)*BC80)))-MIN(IF(BC80&lt;=0,0,IF(WEEKDAY(BC$6,1)=1,0,MIN(10,BC81)*BC80)),MAX(0,40*MAX(1,BC80)-(BA82+BB82)))))</f>
        <v>0</v>
      </c>
      <c r="BD83" s="63">
        <f>IF(AND(BD80=0,BD81=0),0,IF(BD80&lt;=0,0,IF(WEEKDAY(BD$6,1)=1,0,MAX(0,BD81-10)*BD80))+((IF(BD80&lt;=0,0,IF(WEEKDAY(BD$6,1)=1,0,MIN(10,BD81)*BD80)))-MIN(IF(BD80&lt;=0,0,IF(WEEKDAY(BD$6,1)=1,0,MIN(10,BD81)*BD80)),MAX(0,40*MAX(1,BD80)-(BA82+BB82+BC82)))))</f>
        <v>0</v>
      </c>
      <c r="BE83" s="63">
        <f>IF(AND(BE80=0,BE81=0),0,IF(BE80&lt;=0,0,IF(WEEKDAY(BE$6,1)=1,0,MAX(0,BE81-10)*BE80))+((IF(BE80&lt;=0,0,IF(WEEKDAY(BE$6,1)=1,0,MIN(10,BE81)*BE80)))-MIN(IF(BE80&lt;=0,0,IF(WEEKDAY(BE$6,1)=1,0,MIN(10,BE81)*BE80)),MAX(0,40*MAX(1,BE80)-(BA82+BB82+BC82+BD82)))))</f>
        <v>0</v>
      </c>
      <c r="BF83" s="64">
        <f>IF(AND(BF80=0,BF81=0),0,IF(BF80&lt;=0,0,IF(WEEKDAY(BF$6,1)=1,0,MAX(0,BF81-10)*BF80))+((IF(BF80&lt;=0,0,IF(WEEKDAY(BF$6,1)=1,0,MIN(10,BF81)*BF80)))-MIN(IF(BF80&lt;=0,0,IF(WEEKDAY(BF$6,1)=1,0,MIN(10,BF81)*BF80)),MAX(0,40*MAX(1,BF80)-(BA82+BB82+BC82+BD82+BE82)))))</f>
        <v>0</v>
      </c>
      <c r="BG83" s="64">
        <f>IF(AND(BG80=0,BG81=0),0,IF(BG80&lt;=0,0,IF(WEEKDAY(BG$6,1)=1,0,MAX(0,BG81-10)*BG80))+((IF(BG80&lt;=0,0,IF(WEEKDAY(BG$6,1)=1,0,MIN(10,BG81)*BG80)))-MIN(IF(BG80&lt;=0,0,IF(WEEKDAY(BG$6,1)=1,0,MIN(10,BG81)*BG80)),MAX(0,40*MAX(1,BG80)-(BA82+BB82+BC82+BD82+BE82+BF82)))))</f>
        <v>0</v>
      </c>
      <c r="BH83" s="63">
        <f>IF(AND(BH80=1,BH81=13),3,IF(BH80&lt;=0,0,IF(WEEKDAY(BH$6,1)=1,0,MAX(0,BH81-10)*BH80))+((IF(BH80&lt;=0,0,IF(WEEKDAY(BH$6,1)=1,0,MIN(10,BH81)*BH80)))-MIN(IF(BH80&lt;=0,0,IF(WEEKDAY(BH$6,1)=1,0,MIN(10,BH81)*BH80)),MAX(0,40*MAX(1,BH80)-(0)))))</f>
        <v>3</v>
      </c>
      <c r="BI83" s="63">
        <f>IF(AND(BI80=1,BI81=13),3,IF(BI80&lt;=0,0,IF(WEEKDAY(BI$6,1)=1,0,MAX(0,BI81-10)*BI80))+((IF(BI80&lt;=0,0,IF(WEEKDAY(BI$6,1)=1,0,MIN(10,BI81)*BI80)))-MIN(IF(BI80&lt;=0,0,IF(WEEKDAY(BI$6,1)=1,0,MIN(10,BI81)*BI80)),MAX(0,40*MAX(1,BI80)-(BH82)))))</f>
        <v>3</v>
      </c>
      <c r="BJ83" s="63">
        <f>IF(AND(BJ80=1,BJ81=13),3,IF(BJ80&lt;=0,0,IF(WEEKDAY(BJ$6,1)=1,0,MAX(0,BJ81-10)*BJ80))+((IF(BJ80&lt;=0,0,IF(WEEKDAY(BJ$6,1)=1,0,MIN(10,BJ81)*BJ80)))-MIN(IF(BJ80&lt;=0,0,IF(WEEKDAY(BJ$6,1)=1,0,MIN(10,BJ81)*BJ80)),MAX(0,40*MAX(1,BJ80)-(BH82+BI82)))))</f>
        <v>3</v>
      </c>
      <c r="BK83" s="63">
        <f>IF(AND(BK80=1,BK81=13),3,IF(BK80&lt;=0,0,IF(WEEKDAY(BK$6,1)=1,0,MAX(0,BK81-10)*BK80))+((IF(BK80&lt;=0,0,IF(WEEKDAY(BK$6,1)=1,0,MIN(10,BK81)*BK80)))-MIN(IF(BK80&lt;=0,0,IF(WEEKDAY(BK$6,1)=1,0,MIN(10,BK81)*BK80)),MAX(0,40*MAX(1,BK80)-(BH82+BI82+BJ82)))))</f>
        <v>3</v>
      </c>
      <c r="BL83" s="63">
        <f>IF(AND(BL80=1,BL81=13),13,IF(BL80&lt;=0,0,IF(WEEKDAY(BL$6,1)=1,0,MAX(0,BL81-10)*BL80))+((IF(BL80&lt;=0,0,IF(WEEKDAY(BL$6,1)=1,0,MIN(10,BL81)*BL80)))-MIN(IF(BL80&lt;=0,0,IF(WEEKDAY(BL$6,1)=1,0,MIN(10,BL81)*BL80)),MAX(0,40*MAX(1,BL80)-(BH82+BI82+BJ82+BK82)))))</f>
        <v>13</v>
      </c>
      <c r="BM83" s="64">
        <f>IF(AND(BM80=1,BM81=13),13,IF(BM80&lt;=0,0,IF(WEEKDAY(BM$6,1)=1,0,MAX(0,BM81-10)*BM80))+((IF(BM80&lt;=0,0,IF(WEEKDAY(BM$6,1)=1,0,MIN(10,BM81)*BM80)))-MIN(IF(BM80&lt;=0,0,IF(WEEKDAY(BM$6,1)=1,0,MIN(10,BM81)*BM80)),MAX(0,40*MAX(1,BM80)-(BH82+BI82+BJ82+BK82+BL82)))))</f>
        <v>13</v>
      </c>
      <c r="BN83" s="64">
        <f>IF(AND(BN80=1,BN81=13),0,IF(BN80&lt;=0,0,IF(WEEKDAY(BN$6,1)=1,0,MAX(0,BN81-10)*BN80))+((IF(BN80&lt;=0,0,IF(WEEKDAY(BN$6,1)=1,0,MIN(10,BN81)*BN80)))-MIN(IF(BN80&lt;=0,0,IF(WEEKDAY(BN$6,1)=1,0,MIN(10,BN81)*BN80)),MAX(0,40*MAX(1,BN80)-(BH82+BI82+BJ82+BK82+BL82+BM82)))))</f>
        <v>0</v>
      </c>
      <c r="BO83" s="63">
        <f>IF(AND(BO80=1,BO81=13),3,IF(BO80&lt;=0,0,IF(WEEKDAY(BO$6,1)=1,0,MAX(0,BO81-10)*BO80))+((IF(BO80&lt;=0,0,IF(WEEKDAY(BO$6,1)=1,0,MIN(10,BO81)*BO80)))-MIN(IF(BO80&lt;=0,0,IF(WEEKDAY(BO$6,1)=1,0,MIN(10,BO81)*BO80)),MAX(0,40*MAX(1,BO80)-(0)))))</f>
        <v>3</v>
      </c>
      <c r="BP83" s="63">
        <f>IF(AND(BP80=1,BP81=13),3,IF(BP80&lt;=0,0,IF(WEEKDAY(BP$6,1)=1,0,MAX(0,BP81-10)*BP80))+((IF(BP80&lt;=0,0,IF(WEEKDAY(BP$6,1)=1,0,MIN(10,BP81)*BP80)))-MIN(IF(BP80&lt;=0,0,IF(WEEKDAY(BP$6,1)=1,0,MIN(10,BP81)*BP80)),MAX(0,40*MAX(1,BP80)-(BO82)))))</f>
        <v>3</v>
      </c>
      <c r="BQ83" s="63">
        <f>IF(AND(BQ80=1,BQ81=13),3,IF(BQ80&lt;=0,0,IF(WEEKDAY(BQ$6,1)=1,0,MAX(0,BQ81-10)*BQ80))+((IF(BQ80&lt;=0,0,IF(WEEKDAY(BQ$6,1)=1,0,MIN(10,BQ81)*BQ80)))-MIN(IF(BQ80&lt;=0,0,IF(WEEKDAY(BQ$6,1)=1,0,MIN(10,BQ81)*BQ80)),MAX(0,40*MAX(1,BQ80)-(BO82+BP82)))))</f>
        <v>3</v>
      </c>
      <c r="BR83" s="63">
        <f>IF(AND(BR80=7,BR81=13),21,IF(BR80&lt;=0,0,IF(WEEKDAY(BR$6,1)=1,0,MAX(0,BR81-10)*BR80))+((IF(BR80&lt;=0,0,IF(WEEKDAY(BR$6,1)=1,0,MIN(10,BR81)*BR80)))-MIN(IF(BR80&lt;=0,0,IF(WEEKDAY(BR$6,1)=1,0,MIN(10,BR81)*BR80)),MAX(0,40*MAX(1,BR80)-(0)))))</f>
        <v>21</v>
      </c>
      <c r="BS83" s="63">
        <f>IF(AND(BS80=7,BS81=13),21,IF(BS80&lt;=0,0,IF(WEEKDAY(BS$6,1)=1,0,MAX(0,BS81-10)*BS80))+((IF(BS80&lt;=0,0,IF(WEEKDAY(BS$6,1)=1,0,MIN(10,BS81)*BS80)))-MIN(IF(BS80&lt;=0,0,IF(WEEKDAY(BS$6,1)=1,0,MIN(10,BS81)*BS80)),MAX(0,40*MAX(1,BS80)-(BR82)))))</f>
        <v>21</v>
      </c>
      <c r="BT83" s="64">
        <f>IF(AND(BT80=7,BT81=13),21,IF(BT80&lt;=0,0,IF(WEEKDAY(BT$6,1)=1,0,MAX(0,BT81-10)*BT80))+((IF(BT80&lt;=0,0,IF(WEEKDAY(BT$6,1)=1,0,MIN(10,BT81)*BT80)))-MIN(IF(BT80&lt;=0,0,IF(WEEKDAY(BT$6,1)=1,0,MIN(10,BT81)*BT80)),MAX(0,40*MAX(1,BT80)-(BR82+BS82)))))</f>
        <v>21</v>
      </c>
      <c r="BU83" s="64">
        <f>IF(AND(BU80=7,BU81=13),0,IF(BU80&lt;=0,0,IF(WEEKDAY(BU$6,1)=1,0,MAX(0,BU81-10)*BU80))+((IF(BU80&lt;=0,0,IF(WEEKDAY(BU$6,1)=1,0,MIN(10,BU81)*BU80)))-MIN(IF(BU80&lt;=0,0,IF(WEEKDAY(BU$6,1)=1,0,MIN(10,BU81)*BU80)),MAX(0,40*MAX(1,BU80)-(BR82+BS82+BT82)))))</f>
        <v>0</v>
      </c>
      <c r="BV83" s="63">
        <f>IF(AND(BV80=7,BV81=13),21,IF(BV80&lt;=0,0,IF(WEEKDAY(BV$6,1)=1,0,MAX(0,BV81-10)*BV80))+((IF(BV80&lt;=0,0,IF(WEEKDAY(BV$6,1)=1,0,MIN(10,BV81)*BV80)))-MIN(IF(BV80&lt;=0,0,IF(WEEKDAY(BV$6,1)=1,0,MIN(10,BV81)*BV80)),MAX(0,40*MAX(1,BV80)-(0)))))</f>
        <v>21</v>
      </c>
      <c r="BW83" s="63">
        <f>IF(AND(BW80=7,BW81=13),21,IF(BW80&lt;=0,0,IF(WEEKDAY(BW$6,1)=1,0,MAX(0,BW81-10)*BW80))+((IF(BW80&lt;=0,0,IF(WEEKDAY(BW$6,1)=1,0,MIN(10,BW81)*BW80)))-MIN(IF(BW80&lt;=0,0,IF(WEEKDAY(BW$6,1)=1,0,MIN(10,BW81)*BW80)),MAX(0,40*MAX(1,BW80)-(BV82)))))</f>
        <v>21</v>
      </c>
      <c r="BX83" s="63">
        <f>IF(AND(BX80=7,BX81=13),21,IF(BX80&lt;=0,0,IF(WEEKDAY(BX$6,1)=1,0,MAX(0,BX81-10)*BX80))+((IF(BX80&lt;=0,0,IF(WEEKDAY(BX$6,1)=1,0,MIN(10,BX81)*BX80)))-MIN(IF(BX80&lt;=0,0,IF(WEEKDAY(BX$6,1)=1,0,MIN(10,BX81)*BX80)),MAX(0,40*MAX(1,BX80)-(BV82+BW82)))))</f>
        <v>21</v>
      </c>
      <c r="BY83" s="63">
        <f>IF(AND(BY80=7,BY81=13),21,IF(BY80&lt;=0,0,IF(WEEKDAY(BY$6,1)=1,0,MAX(0,BY81-10)*BY80))+((IF(BY80&lt;=0,0,IF(WEEKDAY(BY$6,1)=1,0,MIN(10,BY81)*BY80)))-MIN(IF(BY80&lt;=0,0,IF(WEEKDAY(BY$6,1)=1,0,MIN(10,BY81)*BY80)),MAX(0,40*MAX(1,BY80)-(BV82+BW82+BX82)))))</f>
        <v>21</v>
      </c>
      <c r="BZ83" s="63">
        <f>IF(AND(BZ80=7,BZ81=13),91,IF(BZ80&lt;=0,0,IF(WEEKDAY(BZ$6,1)=1,0,MAX(0,BZ81-10)*BZ80))+((IF(BZ80&lt;=0,0,IF(WEEKDAY(BZ$6,1)=1,0,MIN(10,BZ81)*BZ80)))-MIN(IF(BZ80&lt;=0,0,IF(WEEKDAY(BZ$6,1)=1,0,MIN(10,BZ81)*BZ80)),MAX(0,40*MAX(1,BZ80)-(BV82+BW82+BX82+BY82)))))</f>
        <v>91</v>
      </c>
      <c r="CA83" s="64">
        <f>IF(AND(CA80=7,CA81=13),91,IF(CA80&lt;=0,0,IF(WEEKDAY(CA$6,1)=1,0,MAX(0,CA81-10)*CA80))+((IF(CA80&lt;=0,0,IF(WEEKDAY(CA$6,1)=1,0,MIN(10,CA81)*CA80)))-MIN(IF(CA80&lt;=0,0,IF(WEEKDAY(CA$6,1)=1,0,MIN(10,CA81)*CA80)),MAX(0,40*MAX(1,CA80)-(BV82+BW82+BX82+BY82+BZ82)))))</f>
        <v>91</v>
      </c>
      <c r="CB83" s="64">
        <f>IF(AND(CB80=7,CB81=13),0,IF(CB80&lt;=0,0,IF(WEEKDAY(CB$6,1)=1,0,MAX(0,CB81-10)*CB80))+((IF(CB80&lt;=0,0,IF(WEEKDAY(CB$6,1)=1,0,MIN(10,CB81)*CB80)))-MIN(IF(CB80&lt;=0,0,IF(WEEKDAY(CB$6,1)=1,0,MIN(10,CB81)*CB80)),MAX(0,40*MAX(1,CB80)-(BV82+BW82+BX82+BY82+BZ82+CA82)))))</f>
        <v>0</v>
      </c>
      <c r="CC83" s="63">
        <f>IF(AND(CC80=7,CC81=13),21,IF(CC80&lt;=0,0,IF(WEEKDAY(CC$6,1)=1,0,MAX(0,CC81-10)*CC80))+((IF(CC80&lt;=0,0,IF(WEEKDAY(CC$6,1)=1,0,MIN(10,CC81)*CC80)))-MIN(IF(CC80&lt;=0,0,IF(WEEKDAY(CC$6,1)=1,0,MIN(10,CC81)*CC80)),MAX(0,40*MAX(1,CC80)-(0)))))</f>
        <v>21</v>
      </c>
      <c r="CD83" s="63">
        <f>IF(AND(CD80=7,CD81=13),21,IF(CD80&lt;=0,0,IF(WEEKDAY(CD$6,1)=1,0,MAX(0,CD81-10)*CD80))+((IF(CD80&lt;=0,0,IF(WEEKDAY(CD$6,1)=1,0,MIN(10,CD81)*CD80)))-MIN(IF(CD80&lt;=0,0,IF(WEEKDAY(CD$6,1)=1,0,MIN(10,CD81)*CD80)),MAX(0,40*MAX(1,CD80)-(CC82)))))</f>
        <v>21</v>
      </c>
      <c r="CE83" s="63">
        <f>IF(AND(CE80=7,CE81=13),21,IF(CE80&lt;=0,0,IF(WEEKDAY(CE$6,1)=1,0,MAX(0,CE81-10)*CE80))+((IF(CE80&lt;=0,0,IF(WEEKDAY(CE$6,1)=1,0,MIN(10,CE81)*CE80)))-MIN(IF(CE80&lt;=0,0,IF(WEEKDAY(CE$6,1)=1,0,MIN(10,CE81)*CE80)),MAX(0,40*MAX(1,CE80)-(CC82+CD82)))))</f>
        <v>21</v>
      </c>
      <c r="CF83" s="63">
        <f>IF(AND(CF80=7,CF81=13),21,IF(CF80&lt;=0,0,IF(WEEKDAY(CF$6,1)=1,0,MAX(0,CF81-10)*CF80))+((IF(CF80&lt;=0,0,IF(WEEKDAY(CF$6,1)=1,0,MIN(10,CF81)*CF80)))-MIN(IF(CF80&lt;=0,0,IF(WEEKDAY(CF$6,1)=1,0,MIN(10,CF81)*CF80)),MAX(0,40*MAX(1,CF80)-(CC82+CD82+CE82)))))</f>
        <v>21</v>
      </c>
      <c r="CG83" s="63">
        <f>IF(AND(CG80=7,CG81=13),91,IF(CG80&lt;=0,0,IF(WEEKDAY(CG$6,1)=1,0,MAX(0,CG81-10)*CG80))+((IF(CG80&lt;=0,0,IF(WEEKDAY(CG$6,1)=1,0,MIN(10,CG81)*CG80)))-MIN(IF(CG80&lt;=0,0,IF(WEEKDAY(CG$6,1)=1,0,MIN(10,CG81)*CG80)),MAX(0,40*MAX(1,CG80)-(CC82+CD82+CE82+CF82)))))</f>
        <v>91</v>
      </c>
      <c r="CH83" s="64">
        <f>IF(AND(CH80=7,CH81=13),91,IF(CH80&lt;=0,0,IF(WEEKDAY(CH$6,1)=1,0,MAX(0,CH81-10)*CH80))+((IF(CH80&lt;=0,0,IF(WEEKDAY(CH$6,1)=1,0,MIN(10,CH81)*CH80)))-MIN(IF(CH80&lt;=0,0,IF(WEEKDAY(CH$6,1)=1,0,MIN(10,CH81)*CH80)),MAX(0,40*MAX(1,CH80)-(CC82+CD82+CE82+CF82+CG82)))))</f>
        <v>91</v>
      </c>
      <c r="CI83" s="64">
        <f>IF(AND(CI80=7,CI81=13),0,IF(CI80&lt;=0,0,IF(WEEKDAY(CI$6,1)=1,0,MAX(0,CI81-10)*CI80))+((IF(CI80&lt;=0,0,IF(WEEKDAY(CI$6,1)=1,0,MIN(10,CI81)*CI80)))-MIN(IF(CI80&lt;=0,0,IF(WEEKDAY(CI$6,1)=1,0,MIN(10,CI81)*CI80)),MAX(0,40*MAX(1,CI80)-(CC82+CD82+CE82+CF82+CG82+CH82)))))</f>
        <v>0</v>
      </c>
      <c r="CJ83" s="63">
        <f>IF(AND(CJ80=7,CJ81=13),21,IF(CJ80&lt;=0,0,IF(WEEKDAY(CJ$6,1)=1,0,MAX(0,CJ81-10)*CJ80))+((IF(CJ80&lt;=0,0,IF(WEEKDAY(CJ$6,1)=1,0,MIN(10,CJ81)*CJ80)))-MIN(IF(CJ80&lt;=0,0,IF(WEEKDAY(CJ$6,1)=1,0,MIN(10,CJ81)*CJ80)),MAX(0,40*MAX(1,CJ80)-(0)))))</f>
        <v>21</v>
      </c>
      <c r="CK83" s="63">
        <f>IF(AND(CK80=7,CK81=13),21,IF(CK80&lt;=0,0,IF(WEEKDAY(CK$6,1)=1,0,MAX(0,CK81-10)*CK80))+((IF(CK80&lt;=0,0,IF(WEEKDAY(CK$6,1)=1,0,MIN(10,CK81)*CK80)))-MIN(IF(CK80&lt;=0,0,IF(WEEKDAY(CK$6,1)=1,0,MIN(10,CK81)*CK80)),MAX(0,40*MAX(1,CK80)-(CJ82)))))</f>
        <v>21</v>
      </c>
      <c r="CL83" s="63">
        <f>IF(AND(CL80=7,CL81=13),21,IF(CL80&lt;=0,0,IF(WEEKDAY(CL$6,1)=1,0,MAX(0,CL81-10)*CL80))+((IF(CL80&lt;=0,0,IF(WEEKDAY(CL$6,1)=1,0,MIN(10,CL81)*CL80)))-MIN(IF(CL80&lt;=0,0,IF(WEEKDAY(CL$6,1)=1,0,MIN(10,CL81)*CL80)),MAX(0,40*MAX(1,CL80)-(CJ82+CK82)))))</f>
        <v>21</v>
      </c>
      <c r="CM83" s="63">
        <f>IF(AND(CM80=7,CM81=13),21,IF(CM80&lt;=0,0,IF(WEEKDAY(CM$6,1)=1,0,MAX(0,CM81-10)*CM80))+((IF(CM80&lt;=0,0,IF(WEEKDAY(CM$6,1)=1,0,MIN(10,CM81)*CM80)))-MIN(IF(CM80&lt;=0,0,IF(WEEKDAY(CM$6,1)=1,0,MIN(10,CM81)*CM80)),MAX(0,40*MAX(1,CM80)-(CJ82+CK82+CL82)))))</f>
        <v>21</v>
      </c>
      <c r="CN83" s="63">
        <f>IF(AND(CN80=7,CN81=13),91,IF(CN80&lt;=0,0,IF(WEEKDAY(CN$6,1)=1,0,MAX(0,CN81-10)*CN80))+((IF(CN80&lt;=0,0,IF(WEEKDAY(CN$6,1)=1,0,MIN(10,CN81)*CN80)))-MIN(IF(CN80&lt;=0,0,IF(WEEKDAY(CN$6,1)=1,0,MIN(10,CN81)*CN80)),MAX(0,40*MAX(1,CN80)-(CJ82+CK82+CL82+CM82)))))</f>
        <v>91</v>
      </c>
      <c r="CO83" s="64">
        <f>IF(AND(CO80=7,CO81=13),91,IF(CO80&lt;=0,0,IF(WEEKDAY(CO$6,1)=1,0,MAX(0,CO81-10)*CO80))+((IF(CO80&lt;=0,0,IF(WEEKDAY(CO$6,1)=1,0,MIN(10,CO81)*CO80)))-MIN(IF(CO80&lt;=0,0,IF(WEEKDAY(CO$6,1)=1,0,MIN(10,CO81)*CO80)),MAX(0,40*MAX(1,CO80)-(CJ82+CK82+CL82+CM82+CN82)))))</f>
        <v>91</v>
      </c>
      <c r="CP83" s="64">
        <f>IF(AND(CP80=7,CP81=13),0,IF(CP80&lt;=0,0,IF(WEEKDAY(CP$6,1)=1,0,MAX(0,CP81-10)*CP80))+((IF(CP80&lt;=0,0,IF(WEEKDAY(CP$6,1)=1,0,MIN(10,CP81)*CP80)))-MIN(IF(CP80&lt;=0,0,IF(WEEKDAY(CP$6,1)=1,0,MIN(10,CP81)*CP80)),MAX(0,40*MAX(1,CP80)-(CJ82+CK82+CL82+CM82+CN82+CO82)))))</f>
        <v>0</v>
      </c>
      <c r="CQ83" s="63">
        <f>IF(AND(CQ80=7,CQ81=13),21,IF(CQ80&lt;=0,0,IF(WEEKDAY(CQ$6,1)=1,0,MAX(0,CQ81-10)*CQ80))+((IF(CQ80&lt;=0,0,IF(WEEKDAY(CQ$6,1)=1,0,MIN(10,CQ81)*CQ80)))-MIN(IF(CQ80&lt;=0,0,IF(WEEKDAY(CQ$6,1)=1,0,MIN(10,CQ81)*CQ80)),MAX(0,40*MAX(1,CQ80)-(0)))))</f>
        <v>21</v>
      </c>
      <c r="CR83" s="63">
        <f>IF(AND(CR80=7,CR81=13),21,IF(CR80&lt;=0,0,IF(WEEKDAY(CR$6,1)=1,0,MAX(0,CR81-10)*CR80))+((IF(CR80&lt;=0,0,IF(WEEKDAY(CR$6,1)=1,0,MIN(10,CR81)*CR80)))-MIN(IF(CR80&lt;=0,0,IF(WEEKDAY(CR$6,1)=1,0,MIN(10,CR81)*CR80)),MAX(0,40*MAX(1,CR80)-(CQ82)))))</f>
        <v>21</v>
      </c>
      <c r="CS83" s="63">
        <f>IF(AND(CS80=7,CS81=13),21,IF(CS80&lt;=0,0,IF(WEEKDAY(CS$6,1)=1,0,MAX(0,CS81-10)*CS80))+((IF(CS80&lt;=0,0,IF(WEEKDAY(CS$6,1)=1,0,MIN(10,CS81)*CS80)))-MIN(IF(CS80&lt;=0,0,IF(WEEKDAY(CS$6,1)=1,0,MIN(10,CS81)*CS80)),MAX(0,40*MAX(1,CS80)-(CQ82+CR82)))))</f>
        <v>21</v>
      </c>
      <c r="CT83" s="63">
        <f>IF(AND(CT80=7,CT81=13),21,IF(CT80&lt;=0,0,IF(WEEKDAY(CT$6,1)=1,0,MAX(0,CT81-10)*CT80))+((IF(CT80&lt;=0,0,IF(WEEKDAY(CT$6,1)=1,0,MIN(10,CT81)*CT80)))-MIN(IF(CT80&lt;=0,0,IF(WEEKDAY(CT$6,1)=1,0,MIN(10,CT81)*CT80)),MAX(0,40*MAX(1,CT80)-(CQ82+CR82+CS82)))))</f>
        <v>21</v>
      </c>
      <c r="CU83" s="63">
        <f>IF(AND(CU80=7,CU81=13),91,IF(CU80&lt;=0,0,IF(WEEKDAY(CU$6,1)=1,0,MAX(0,CU81-10)*CU80))+((IF(CU80&lt;=0,0,IF(WEEKDAY(CU$6,1)=1,0,MIN(10,CU81)*CU80)))-MIN(IF(CU80&lt;=0,0,IF(WEEKDAY(CU$6,1)=1,0,MIN(10,CU81)*CU80)),MAX(0,40*MAX(1,CU80)-(CQ82+CR82+CS82+CT82)))))</f>
        <v>91</v>
      </c>
      <c r="CV83" s="64">
        <f>IF(AND(CV80=7,CV81=13),91,IF(CV80&lt;=0,0,IF(WEEKDAY(CV$6,1)=1,0,MAX(0,CV81-10)*CV80))+((IF(CV80&lt;=0,0,IF(WEEKDAY(CV$6,1)=1,0,MIN(10,CV81)*CV80)))-MIN(IF(CV80&lt;=0,0,IF(WEEKDAY(CV$6,1)=1,0,MIN(10,CV81)*CV80)),MAX(0,40*MAX(1,CV80)-(CQ82+CR82+CS82+CT82+CU82)))))</f>
        <v>91</v>
      </c>
      <c r="CW83" s="64">
        <f>IF(AND(CW80=7,CW81=13),0,IF(CW80&lt;=0,0,IF(WEEKDAY(CW$6,1)=1,0,MAX(0,CW81-10)*CW80))+((IF(CW80&lt;=0,0,IF(WEEKDAY(CW$6,1)=1,0,MIN(10,CW81)*CW80)))-MIN(IF(CW80&lt;=0,0,IF(WEEKDAY(CW$6,1)=1,0,MIN(10,CW81)*CW80)),MAX(0,40*MAX(1,CW80)-(CQ82+CR82+CS82+CT82+CU82+CV82)))))</f>
        <v>0</v>
      </c>
      <c r="CX83" s="63">
        <f>IF(AND(CX80=7,CX81=13),21,IF(CX80&lt;=0,0,IF(WEEKDAY(CX$6,1)=1,0,MAX(0,CX81-10)*CX80))+((IF(CX80&lt;=0,0,IF(WEEKDAY(CX$6,1)=1,0,MIN(10,CX81)*CX80)))-MIN(IF(CX80&lt;=0,0,IF(WEEKDAY(CX$6,1)=1,0,MIN(10,CX81)*CX80)),MAX(0,40*MAX(1,CX80)-(0)))))</f>
        <v>21</v>
      </c>
      <c r="CY83" s="63">
        <f>IF(AND(CY80=7,CY81=13),21,IF(CY80&lt;=0,0,IF(WEEKDAY(CY$6,1)=1,0,MAX(0,CY81-10)*CY80))+((IF(CY80&lt;=0,0,IF(WEEKDAY(CY$6,1)=1,0,MIN(10,CY81)*CY80)))-MIN(IF(CY80&lt;=0,0,IF(WEEKDAY(CY$6,1)=1,0,MIN(10,CY81)*CY80)),MAX(0,40*MAX(1,CY80)-(CX82)))))</f>
        <v>21</v>
      </c>
      <c r="CZ83" s="63">
        <f>IF(AND(CZ80=7,CZ81=13),21,IF(CZ80&lt;=0,0,IF(WEEKDAY(CZ$6,1)=1,0,MAX(0,CZ81-10)*CZ80))+((IF(CZ80&lt;=0,0,IF(WEEKDAY(CZ$6,1)=1,0,MIN(10,CZ81)*CZ80)))-MIN(IF(CZ80&lt;=0,0,IF(WEEKDAY(CZ$6,1)=1,0,MIN(10,CZ81)*CZ80)),MAX(0,40*MAX(1,CZ80)-(CX82+CY82)))))</f>
        <v>21</v>
      </c>
      <c r="DA83" s="63">
        <f>IF(AND(DA80=7,DA81=13),21,IF(DA80&lt;=0,0,IF(WEEKDAY(DA$6,1)=1,0,MAX(0,DA81-10)*DA80))+((IF(DA80&lt;=0,0,IF(WEEKDAY(DA$6,1)=1,0,MIN(10,DA81)*DA80)))-MIN(IF(DA80&lt;=0,0,IF(WEEKDAY(DA$6,1)=1,0,MIN(10,DA81)*DA80)),MAX(0,40*MAX(1,DA80)-(CX82+CY82+CZ82)))))</f>
        <v>21</v>
      </c>
      <c r="DB83" s="63">
        <f>IF(AND(DB80=7,DB81=13),91,IF(DB80&lt;=0,0,IF(WEEKDAY(DB$6,1)=1,0,MAX(0,DB81-10)*DB80))+((IF(DB80&lt;=0,0,IF(WEEKDAY(DB$6,1)=1,0,MIN(10,DB81)*DB80)))-MIN(IF(DB80&lt;=0,0,IF(WEEKDAY(DB$6,1)=1,0,MIN(10,DB81)*DB80)),MAX(0,40*MAX(1,DB80)-(CX82+CY82+CZ82+DA82)))))</f>
        <v>91</v>
      </c>
      <c r="DC83" s="64">
        <f>IF(AND(DC80=7,DC81=13),91,IF(DC80&lt;=0,0,IF(WEEKDAY(DC$6,1)=1,0,MAX(0,DC81-10)*DC80))+((IF(DC80&lt;=0,0,IF(WEEKDAY(DC$6,1)=1,0,MIN(10,DC81)*DC80)))-MIN(IF(DC80&lt;=0,0,IF(WEEKDAY(DC$6,1)=1,0,MIN(10,DC81)*DC80)),MAX(0,40*MAX(1,DC80)-(CX82+CY82+CZ82+DA82+DB82)))))</f>
        <v>91</v>
      </c>
      <c r="DD83" s="64">
        <f>IF(AND(DD80=7,DD81=13),0,IF(DD80&lt;=0,0,IF(WEEKDAY(DD$6,1)=1,0,MAX(0,DD81-10)*DD80))+((IF(DD80&lt;=0,0,IF(WEEKDAY(DD$6,1)=1,0,MIN(10,DD81)*DD80)))-MIN(IF(DD80&lt;=0,0,IF(WEEKDAY(DD$6,1)=1,0,MIN(10,DD81)*DD80)),MAX(0,40*MAX(1,DD80)-(0)))))</f>
        <v>0</v>
      </c>
      <c r="DE83" s="63">
        <f>IF(AND(DE80=7,DE81=13),21,IF(DE80&lt;=0,0,IF(WEEKDAY(DE$6,1)=1,0,MAX(0,DE81-10)*DE80))+((IF(DE80&lt;=0,0,IF(WEEKDAY(DE$6,1)=1,0,MIN(10,DE81)*DE80)))-MIN(IF(DE80&lt;=0,0,IF(WEEKDAY(DE$6,1)=1,0,MIN(10,DE81)*DE80)),MAX(0,40*MAX(1,DE80)-(0)))))</f>
        <v>21</v>
      </c>
      <c r="DF83" s="63">
        <f>IF(AND(DF80=7,DF81=13),21,IF(DF80&lt;=0,0,IF(WEEKDAY(DF$6,1)=1,0,MAX(0,DF81-10)*DF80))+((IF(DF80&lt;=0,0,IF(WEEKDAY(DF$6,1)=1,0,MIN(10,DF81)*DF80)))-MIN(IF(DF80&lt;=0,0,IF(WEEKDAY(DF$6,1)=1,0,MIN(10,DF81)*DF80)),MAX(0,40*MAX(1,DF80)-(DE82)))))</f>
        <v>21</v>
      </c>
      <c r="DG83" s="63">
        <f>IF(AND(DG80=7,DG81=13),21,IF(DG80&lt;=0,0,IF(WEEKDAY(DG$6,1)=1,0,MAX(0,DG81-10)*DG80))+((IF(DG80&lt;=0,0,IF(WEEKDAY(DG$6,1)=1,0,MIN(10,DG81)*DG80)))-MIN(IF(DG80&lt;=0,0,IF(WEEKDAY(DG$6,1)=1,0,MIN(10,DG81)*DG80)),MAX(0,40*MAX(1,DG80)-(DE82+DF82)))))</f>
        <v>21</v>
      </c>
      <c r="DH83" s="63">
        <f>IF(AND(DH80=7,DH81=13),21,IF(DH80&lt;=0,0,IF(WEEKDAY(DH$6,1)=1,0,MAX(0,DH81-10)*DH80))+((IF(DH80&lt;=0,0,IF(WEEKDAY(DH$6,1)=1,0,MIN(10,DH81)*DH80)))-MIN(IF(DH80&lt;=0,0,IF(WEEKDAY(DH$6,1)=1,0,MIN(10,DH81)*DH80)),MAX(0,40*MAX(1,DH80)-(DE82+DF82+DG82)))))</f>
        <v>21</v>
      </c>
      <c r="DI83" s="63">
        <f>IF(AND(DI80=7,DI81=13),91,IF(DI80&lt;=0,0,IF(WEEKDAY(DI$6,1)=1,0,MAX(0,DI81-10)*DI80))+((IF(DI80&lt;=0,0,IF(WEEKDAY(DI$6,1)=1,0,MIN(10,DI81)*DI80)))-MIN(IF(DI80&lt;=0,0,IF(WEEKDAY(DI$6,1)=1,0,MIN(10,DI81)*DI80)),MAX(0,40*MAX(1,DI80)-(DE82+DF82+DG82+DH82)))))</f>
        <v>91</v>
      </c>
      <c r="DJ83" s="64">
        <f>IF(AND(DJ80=7,DJ81=13),91,IF(DJ80&lt;=0,0,IF(WEEKDAY(DJ$6,1)=1,0,MAX(0,DJ81-10)*DJ80))+((IF(DJ80&lt;=0,0,IF(WEEKDAY(DJ$6,1)=1,0,MIN(10,DJ81)*DJ80)))-MIN(IF(DJ80&lt;=0,0,IF(WEEKDAY(DJ$6,1)=1,0,MIN(10,DJ81)*DJ80)),MAX(0,40*MAX(1,DJ80)-(DE82+DF82+DG82+DH82+DI82)))))</f>
        <v>91</v>
      </c>
      <c r="DK83" s="64">
        <f>IF(AND(DK80=7,DK81=13),0,IF(DK80&lt;=0,0,IF(WEEKDAY(DK$6,1)=1,0,MAX(0,DK81-10)*DK80))+((IF(DK80&lt;=0,0,IF(WEEKDAY(DK$6,1)=1,0,MIN(10,DK81)*DK80)))-MIN(IF(DK80&lt;=0,0,IF(WEEKDAY(DK$6,1)=1,0,MIN(10,DK81)*DK80)),MAX(0,40*MAX(1,DK80)-(DE82+DF82+DG82+DH82+DI82+DJ82)))))</f>
        <v>0</v>
      </c>
      <c r="DL83" s="63">
        <f>IF(AND(DL80=7,DL81=13),21,IF(DL80&lt;=0,0,IF(WEEKDAY(DL$6,1)=1,0,MAX(0,DL81-10)*DL80))+((IF(DL80&lt;=0,0,IF(WEEKDAY(DL$6,1)=1,0,MIN(10,DL81)*DL80)))-MIN(IF(DL80&lt;=0,0,IF(WEEKDAY(DL$6,1)=1,0,MIN(10,DL81)*DL80)),MAX(0,40*MAX(1,DL80)-(0)))))</f>
        <v>21</v>
      </c>
      <c r="DM83" s="63">
        <f>IF(AND(DM80=7,DM81=13),21,IF(DM80&lt;=0,0,IF(WEEKDAY(DM$6,1)=1,0,MAX(0,DM81-10)*DM80))+((IF(DM80&lt;=0,0,IF(WEEKDAY(DM$6,1)=1,0,MIN(10,DM81)*DM80)))-MIN(IF(DM80&lt;=0,0,IF(WEEKDAY(DM$6,1)=1,0,MIN(10,DM81)*DM80)),MAX(0,40*MAX(1,DM80)-(DL82)))))</f>
        <v>21</v>
      </c>
      <c r="DN83" s="63">
        <f>IF(AND(DN80=7,DN81=13),21,IF(DN80&lt;=0,0,IF(WEEKDAY(DN$6,1)=1,0,MAX(0,DN81-10)*DN80))+((IF(DN80&lt;=0,0,IF(WEEKDAY(DN$6,1)=1,0,MIN(10,DN81)*DN80)))-MIN(IF(DN80&lt;=0,0,IF(WEEKDAY(DN$6,1)=1,0,MIN(10,DN81)*DN80)),MAX(0,40*MAX(1,DN80)-(DL82+DM82)))))</f>
        <v>21</v>
      </c>
      <c r="DO83" s="63">
        <f>IF(AND(DO80=7,DO81=13),21,IF(DO80&lt;=0,0,IF(WEEKDAY(DO$6,1)=1,0,MAX(0,DO81-10)*DO80))+((IF(DO80&lt;=0,0,IF(WEEKDAY(DO$6,1)=1,0,MIN(10,DO81)*DO80)))-MIN(IF(DO80&lt;=0,0,IF(WEEKDAY(DO$6,1)=1,0,MIN(10,DO81)*DO80)),MAX(0,40*MAX(1,DO80)-(DL82+DM82+DN82)))))</f>
        <v>21</v>
      </c>
      <c r="DP83" s="63">
        <f>IF(AND(DP80=7,DP81=13),91,IF(DP80&lt;=0,0,IF(WEEKDAY(DP$6,1)=1,0,MAX(0,DP81-10)*DP80))+((IF(DP80&lt;=0,0,IF(WEEKDAY(DP$6,1)=1,0,MIN(10,DP81)*DP80)))-MIN(IF(DP80&lt;=0,0,IF(WEEKDAY(DP$6,1)=1,0,MIN(10,DP81)*DP80)),MAX(0,40*MAX(1,DP80)-(DL82+DM82+DN82+DO82)))))</f>
        <v>91</v>
      </c>
      <c r="DQ83" s="64">
        <f>IF(AND(DQ80=7,DQ81=13),91,IF(DQ80&lt;=0,0,IF(WEEKDAY(DQ$6,1)=1,0,MAX(0,DQ81-10)*DQ80))+((IF(DQ80&lt;=0,0,IF(WEEKDAY(DQ$6,1)=1,0,MIN(10,DQ81)*DQ80)))-MIN(IF(DQ80&lt;=0,0,IF(WEEKDAY(DQ$6,1)=1,0,MIN(10,DQ81)*DQ80)),MAX(0,40*MAX(1,DQ80)-(DL82+DM82+DN82+DO82+DP82)))))</f>
        <v>91</v>
      </c>
      <c r="DR83" s="64">
        <f>IF(AND(DR80=7,DR81=13),0,IF(DR80&lt;=0,0,IF(WEEKDAY(DR$6,1)=1,0,MAX(0,DR81-10)*DR80))+((IF(DR80&lt;=0,0,IF(WEEKDAY(DR$6,1)=1,0,MIN(10,DR81)*DR80)))-MIN(IF(DR80&lt;=0,0,IF(WEEKDAY(DR$6,1)=1,0,MIN(10,DR81)*DR80)),MAX(0,40*MAX(1,DR80)-(DL82+DM82+DN82+DO82+DP82+DQ82)))))</f>
        <v>0</v>
      </c>
      <c r="DS83" s="63">
        <f>IF(AND(DS80=7,DS81=13),21,IF(DS80&lt;=0,0,IF(WEEKDAY(DS$6,1)=1,0,MAX(0,DS81-10)*DS80))+((IF(DS80&lt;=0,0,IF(WEEKDAY(DS$6,1)=1,0,MIN(10,DS81)*DS80)))-MIN(IF(DS80&lt;=0,0,IF(WEEKDAY(DS$6,1)=1,0,MIN(10,DS81)*DS80)),MAX(0,40*MAX(1,DS80)-(0)))))</f>
        <v>21</v>
      </c>
      <c r="DT83" s="63">
        <f>IF(AND(DT80=0,DT81=0),0,IF(DT80&lt;=0,0,IF(WEEKDAY(DT$6,1)=1,0,MAX(0,DT81-10)*DT80))+((IF(DT80&lt;=0,0,IF(WEEKDAY(DT$6,1)=1,0,MIN(10,DT81)*DT80)))-MIN(IF(DT80&lt;=0,0,IF(WEEKDAY(DT$6,1)=1,0,MIN(10,DT81)*DT80)),MAX(0,40*MAX(1,DT80)-(0)))))</f>
        <v>0</v>
      </c>
      <c r="DU83" s="63">
        <f>IF(AND(DU80=0,DU81=0),0,IF(DU80&lt;=0,0,IF(WEEKDAY(DU$6,1)=1,0,MAX(0,DU81-10)*DU80))+((IF(DU80&lt;=0,0,IF(WEEKDAY(DU$6,1)=1,0,MIN(10,DU81)*DU80)))-MIN(IF(DU80&lt;=0,0,IF(WEEKDAY(DU$6,1)=1,0,MIN(10,DU81)*DU80)),MAX(0,40*MAX(1,DU80)-(DT82)))))</f>
        <v>0</v>
      </c>
      <c r="DV83" s="63">
        <f>IF(AND(DV80=0,DV81=0),0,IF(DV80&lt;=0,0,IF(WEEKDAY(DV$6,1)=1,0,MAX(0,DV81-10)*DV80))+((IF(DV80&lt;=0,0,IF(WEEKDAY(DV$6,1)=1,0,MIN(10,DV81)*DV80)))-MIN(IF(DV80&lt;=0,0,IF(WEEKDAY(DV$6,1)=1,0,MIN(10,DV81)*DV80)),MAX(0,40*MAX(1,DV80)-(DT82+DU82)))))</f>
        <v>0</v>
      </c>
      <c r="DW83" s="63">
        <f>IF(AND(DW80=0,DW81=0),0,IF(DW80&lt;=0,0,IF(WEEKDAY(DW$6,1)=1,0,MAX(0,DW81-10)*DW80))+((IF(DW80&lt;=0,0,IF(WEEKDAY(DW$6,1)=1,0,MIN(10,DW81)*DW80)))-MIN(IF(DW80&lt;=0,0,IF(WEEKDAY(DW$6,1)=1,0,MIN(10,DW81)*DW80)),MAX(0,40*MAX(1,DW80)-(DT82+DU82+DV82)))))</f>
        <v>0</v>
      </c>
      <c r="DX83" s="64">
        <f>IF(AND(DX80=0,DX81=0),0,IF(DX80&lt;=0,0,IF(WEEKDAY(DX$6,1)=1,0,MAX(0,DX81-10)*DX80))+((IF(DX80&lt;=0,0,IF(WEEKDAY(DX$6,1)=1,0,MIN(10,DX81)*DX80)))-MIN(IF(DX80&lt;=0,0,IF(WEEKDAY(DX$6,1)=1,0,MIN(10,DX81)*DX80)),MAX(0,40*MAX(1,DX80)-(DT82+DU82+DV82+DW82)))))</f>
        <v>0</v>
      </c>
      <c r="DY83" s="64">
        <f>IF(AND(DY80=0,DY81=0),0,IF(DY80&lt;=0,0,IF(WEEKDAY(DY$6,1)=1,0,MAX(0,DY81-10)*DY80))+((IF(DY80&lt;=0,0,IF(WEEKDAY(DY$6,1)=1,0,MIN(10,DY81)*DY80)))-MIN(IF(DY80&lt;=0,0,IF(WEEKDAY(DY$6,1)=1,0,MIN(10,DY81)*DY80)),MAX(0,40*MAX(1,DY80)-(DT82+DU82+DV82+DW82+DX82)))))</f>
        <v>0</v>
      </c>
      <c r="DZ83" s="63">
        <f>IF(AND(DZ80=0,DZ81=0),0,IF(DZ80&lt;=0,0,IF(WEEKDAY(DZ$6,1)=1,0,MAX(0,DZ81-10)*DZ80))+((IF(DZ80&lt;=0,0,IF(WEEKDAY(DZ$6,1)=1,0,MIN(10,DZ81)*DZ80)))-MIN(IF(DZ80&lt;=0,0,IF(WEEKDAY(DZ$6,1)=1,0,MIN(10,DZ81)*DZ80)),MAX(0,40*MAX(1,DZ80)-(0)))))</f>
        <v>0</v>
      </c>
      <c r="EA83" s="63">
        <f>IF(AND(EA80=0,EA81=0),0,IF(EA80&lt;=0,0,IF(WEEKDAY(EA$6,1)=1,0,MAX(0,EA81-10)*EA80))+((IF(EA80&lt;=0,0,IF(WEEKDAY(EA$6,1)=1,0,MIN(10,EA81)*EA80)))-MIN(IF(EA80&lt;=0,0,IF(WEEKDAY(EA$6,1)=1,0,MIN(10,EA81)*EA80)),MAX(0,40*MAX(1,EA80)-(DZ82)))))</f>
        <v>0</v>
      </c>
      <c r="EB83" s="63">
        <f>IF(AND(EB80=0,EB81=0),0,IF(EB80&lt;=0,0,IF(WEEKDAY(EB$6,1)=1,0,MAX(0,EB81-10)*EB80))+((IF(EB80&lt;=0,0,IF(WEEKDAY(EB$6,1)=1,0,MIN(10,EB81)*EB80)))-MIN(IF(EB80&lt;=0,0,IF(WEEKDAY(EB$6,1)=1,0,MIN(10,EB81)*EB80)),MAX(0,40*MAX(1,EB80)-(DZ82+EA82)))))</f>
        <v>0</v>
      </c>
      <c r="EC83" s="63">
        <f>IF(AND(EC80=0,EC81=0),0,IF(EC80&lt;=0,0,IF(WEEKDAY(EC$6,1)=1,0,MAX(0,EC81-10)*EC80))+((IF(EC80&lt;=0,0,IF(WEEKDAY(EC$6,1)=1,0,MIN(10,EC81)*EC80)))-MIN(IF(EC80&lt;=0,0,IF(WEEKDAY(EC$6,1)=1,0,MIN(10,EC81)*EC80)),MAX(0,40*MAX(1,EC80)-(DZ82+EA82+EB82)))))</f>
        <v>0</v>
      </c>
      <c r="ED83" s="63">
        <f>IF(AND(ED80=0,ED81=0),0,IF(ED80&lt;=0,0,IF(WEEKDAY(ED$6,1)=1,0,MAX(0,ED81-10)*ED80))+((IF(ED80&lt;=0,0,IF(WEEKDAY(ED$6,1)=1,0,MIN(10,ED81)*ED80)))-MIN(IF(ED80&lt;=0,0,IF(WEEKDAY(ED$6,1)=1,0,MIN(10,ED81)*ED80)),MAX(0,40*MAX(1,ED80)-(DZ82+EA82+EB82+EC82)))))</f>
        <v>0</v>
      </c>
      <c r="EE83" s="64">
        <f>IF(AND(EE80=0,EE81=0),0,IF(EE80&lt;=0,0,IF(WEEKDAY(EE$6,1)=1,0,MAX(0,EE81-10)*EE80))+((IF(EE80&lt;=0,0,IF(WEEKDAY(EE$6,1)=1,0,MIN(10,EE81)*EE80)))-MIN(IF(EE80&lt;=0,0,IF(WEEKDAY(EE$6,1)=1,0,MIN(10,EE81)*EE80)),MAX(0,40*MAX(1,EE80)-(DZ82+EA82+EB82+EC82+ED82)))))</f>
        <v>0</v>
      </c>
      <c r="EF83" s="64">
        <f>IF(AND(EF80=0,EF81=0),0,IF(EF80&lt;=0,0,IF(WEEKDAY(EF$6,1)=1,0,MAX(0,EF81-10)*EF80))+((IF(EF80&lt;=0,0,IF(WEEKDAY(EF$6,1)=1,0,MIN(10,EF81)*EF80)))-MIN(IF(EF80&lt;=0,0,IF(WEEKDAY(EF$6,1)=1,0,MIN(10,EF81)*EF80)),MAX(0,40*MAX(1,EF80)-(DZ82+EA82+EB82+EC82+ED82+EE82)))))</f>
        <v>0</v>
      </c>
      <c r="EG83" s="63">
        <f>IF(AND(EG80=0,EG81=0),0,IF(EG80&lt;=0,0,IF(WEEKDAY(EG$6,1)=1,0,MAX(0,EG81-10)*EG80))+((IF(EG80&lt;=0,0,IF(WEEKDAY(EG$6,1)=1,0,MIN(10,EG81)*EG80)))-MIN(IF(EG80&lt;=0,0,IF(WEEKDAY(EG$6,1)=1,0,MIN(10,EG81)*EG80)),MAX(0,40*MAX(1,EG80)-(0)))))</f>
        <v>0</v>
      </c>
      <c r="EH83" s="63">
        <f>IF(AND(EH80=0,EH81=0),0,IF(EH80&lt;=0,0,IF(WEEKDAY(EH$6,1)=1,0,MAX(0,EH81-10)*EH80))+((IF(EH80&lt;=0,0,IF(WEEKDAY(EH$6,1)=1,0,MIN(10,EH81)*EH80)))-MIN(IF(EH80&lt;=0,0,IF(WEEKDAY(EH$6,1)=1,0,MIN(10,EH81)*EH80)),MAX(0,40*MAX(1,EH80)-(EG82)))))</f>
        <v>0</v>
      </c>
      <c r="EI83" s="63">
        <f>IF(AND(EI80=0,EI81=0),0,IF(EI80&lt;=0,0,IF(WEEKDAY(EI$6,1)=1,0,MAX(0,EI81-10)*EI80))+((IF(EI80&lt;=0,0,IF(WEEKDAY(EI$6,1)=1,0,MIN(10,EI81)*EI80)))-MIN(IF(EI80&lt;=0,0,IF(WEEKDAY(EI$6,1)=1,0,MIN(10,EI81)*EI80)),MAX(0,40*MAX(1,EI80)-(EG82+EH82)))))</f>
        <v>0</v>
      </c>
      <c r="EJ83" s="63">
        <f>IF(AND(EJ80=0,EJ81=0),0,IF(EJ80&lt;=0,0,IF(WEEKDAY(EJ$6,1)=1,0,MAX(0,EJ81-10)*EJ80))+((IF(EJ80&lt;=0,0,IF(WEEKDAY(EJ$6,1)=1,0,MIN(10,EJ81)*EJ80)))-MIN(IF(EJ80&lt;=0,0,IF(WEEKDAY(EJ$6,1)=1,0,MIN(10,EJ81)*EJ80)),MAX(0,40*MAX(1,EJ80)-(EG82+EH82+EI82)))))</f>
        <v>0</v>
      </c>
      <c r="EK83" s="65">
        <f>IF(AND(EK80=0,EK81=0),0,IF(EK80&lt;=0,0,IF(WEEKDAY(EK$6,1)=1,0,MAX(0,EK81-10)*EK80))+((IF(EK80&lt;=0,0,IF(WEEKDAY(EK$6,1)=1,0,MIN(10,EK81)*EK80)))-MIN(IF(EK80&lt;=0,0,IF(WEEKDAY(EK$6,1)=1,0,MIN(10,EK81)*EK80)),MAX(0,40*MAX(1,EK80)-(EG82+EH82+EI82+EJ82)))))</f>
        <v>0</v>
      </c>
      <c r="OU83" s="28" t="s">
        <v>80</v>
      </c>
    </row>
    <row r="84" ht="16" customHeight="1" spans="1:411" x14ac:dyDescent="0.25">
      <c r="A84" s="74"/>
      <c r="B84" s="46"/>
      <c r="C84" s="61">
        <f>H79*N(D84)</f>
        <v>134706.38999999998</v>
      </c>
      <c r="D84" s="61">
        <f>IF(TRIM(B79)="","No rate",IFERROR(INDEX('Rate Tables'!E$7:E$158,MATCH(B79,'Rate Tables'!A$7:A$158,0)),"No rate"))</f>
        <v>181.79</v>
      </c>
      <c r="E84" s="55" t="s">
        <v>64</v>
      </c>
      <c r="F84" s="49"/>
      <c r="G84" s="49"/>
      <c r="H84" s="49"/>
      <c r="I84" s="49"/>
      <c r="J84" s="50"/>
      <c r="K84" s="62">
        <f>IF(AND(K80=0,K81=0),0,IF(K80&lt;=0,0,IF(WEEKDAY(K$6,1)=1,K80*K81,0)))</f>
        <v>0</v>
      </c>
      <c r="L84" s="63">
        <f>IF(AND(L80=0,L81=0),0,IF(L80&lt;=0,0,IF(WEEKDAY(L$6,1)=1,L80*L81,0)))</f>
        <v>0</v>
      </c>
      <c r="M84" s="63">
        <f>IF(AND(M80=0,M81=0),0,IF(M80&lt;=0,0,IF(WEEKDAY(M$6,1)=1,M80*M81,0)))</f>
        <v>0</v>
      </c>
      <c r="N84" s="63">
        <f>IF(AND(N80=0,N81=0),0,IF(N80&lt;=0,0,IF(WEEKDAY(N$6,1)=1,N80*N81,0)))</f>
        <v>0</v>
      </c>
      <c r="O84" s="63">
        <f>IF(AND(O80=0,O81=0),0,IF(O80&lt;=0,0,IF(WEEKDAY(O$6,1)=1,O80*O81,0)))</f>
        <v>0</v>
      </c>
      <c r="P84" s="64">
        <f>IF(AND(P80=0,P81=0),0,IF(P80&lt;=0,0,IF(WEEKDAY(P$6,1)=1,P80*P81,0)))</f>
        <v>0</v>
      </c>
      <c r="Q84" s="64">
        <f>IF(AND(Q80=0,Q81=0),0,IF(Q80&lt;=0,0,IF(WEEKDAY(Q$6,1)=1,Q80*Q81,0)))</f>
        <v>0</v>
      </c>
      <c r="R84" s="63">
        <f>IF(AND(R80=0,R81=0),0,IF(R80&lt;=0,0,IF(WEEKDAY(R$6,1)=1,R80*R81,0)))</f>
        <v>0</v>
      </c>
      <c r="S84" s="63">
        <f>IF(AND(S80=0,S81=0),0,IF(S80&lt;=0,0,IF(WEEKDAY(S$6,1)=1,S80*S81,0)))</f>
        <v>0</v>
      </c>
      <c r="T84" s="63">
        <f>IF(AND(T80=0,T81=0),0,IF(T80&lt;=0,0,IF(WEEKDAY(T$6,1)=1,T80*T81,0)))</f>
        <v>0</v>
      </c>
      <c r="U84" s="63">
        <f>IF(AND(U80=0,U81=0),0,IF(U80&lt;=0,0,IF(WEEKDAY(U$6,1)=1,U80*U81,0)))</f>
        <v>0</v>
      </c>
      <c r="V84" s="63">
        <f>IF(AND(V80=0,V81=0),0,IF(V80&lt;=0,0,IF(WEEKDAY(V$6,1)=1,V80*V81,0)))</f>
        <v>0</v>
      </c>
      <c r="W84" s="64">
        <f>IF(AND(W80=0,W81=0),0,IF(W80&lt;=0,0,IF(WEEKDAY(W$6,1)=1,W80*W81,0)))</f>
        <v>0</v>
      </c>
      <c r="X84" s="64">
        <f>IF(AND(X80=0,X81=0),0,IF(X80&lt;=0,0,IF(WEEKDAY(X$6,1)=1,X80*X81,0)))</f>
        <v>0</v>
      </c>
      <c r="Y84" s="63">
        <f>IF(AND(Y80=0,Y81=0),0,IF(Y80&lt;=0,0,IF(WEEKDAY(Y$6,1)=1,Y80*Y81,0)))</f>
        <v>0</v>
      </c>
      <c r="Z84" s="63">
        <f>IF(AND(Z80=0,Z81=0),0,IF(Z80&lt;=0,0,IF(WEEKDAY(Z$6,1)=1,Z80*Z81,0)))</f>
        <v>0</v>
      </c>
      <c r="AA84" s="63">
        <f>IF(AND(AA80=0,AA81=0),0,IF(AA80&lt;=0,0,IF(WEEKDAY(AA$6,1)=1,AA80*AA81,0)))</f>
        <v>0</v>
      </c>
      <c r="AB84" s="63">
        <f>IF(AND(AB80=0,AB81=0),0,IF(AB80&lt;=0,0,IF(WEEKDAY(AB$6,1)=1,AB80*AB81,0)))</f>
        <v>0</v>
      </c>
      <c r="AC84" s="63">
        <f>IF(AND(AC80=0,AC81=0),0,IF(AC80&lt;=0,0,IF(WEEKDAY(AC$6,1)=1,AC80*AC81,0)))</f>
        <v>0</v>
      </c>
      <c r="AD84" s="64">
        <f>IF(AND(AD80=0,AD81=0),0,IF(AD80&lt;=0,0,IF(WEEKDAY(AD$6,1)=1,AD80*AD81,0)))</f>
        <v>0</v>
      </c>
      <c r="AE84" s="64">
        <f>IF(AND(AE80=0,AE81=0),0,IF(AE80&lt;=0,0,IF(WEEKDAY(AE$6,1)=1,AE80*AE81,0)))</f>
        <v>0</v>
      </c>
      <c r="AF84" s="63">
        <f>IF(AND(AF80=0,AF81=0),0,IF(AF80&lt;=0,0,IF(WEEKDAY(AF$6,1)=1,AF80*AF81,0)))</f>
        <v>0</v>
      </c>
      <c r="AG84" s="63">
        <f>IF(AND(AG80=0,AG81=0),0,IF(AG80&lt;=0,0,IF(WEEKDAY(AG$6,1)=1,AG80*AG81,0)))</f>
        <v>0</v>
      </c>
      <c r="AH84" s="63">
        <f>IF(AND(AH80=0,AH81=0),0,IF(AH80&lt;=0,0,IF(WEEKDAY(AH$6,1)=1,AH80*AH81,0)))</f>
        <v>0</v>
      </c>
      <c r="AI84" s="63">
        <f>IF(AND(AI80=0,AI81=0),0,IF(AI80&lt;=0,0,IF(WEEKDAY(AI$6,1)=1,AI80*AI81,0)))</f>
        <v>0</v>
      </c>
      <c r="AJ84" s="63">
        <f>IF(AND(AJ80=0,AJ81=0),0,IF(AJ80&lt;=0,0,IF(WEEKDAY(AJ$6,1)=1,AJ80*AJ81,0)))</f>
        <v>0</v>
      </c>
      <c r="AK84" s="64">
        <f>IF(AND(AK80=0,AK81=0),0,IF(AK80&lt;=0,0,IF(WEEKDAY(AK$6,1)=1,AK80*AK81,0)))</f>
        <v>0</v>
      </c>
      <c r="AL84" s="64">
        <f>IF(AND(AL80=0,AL81=0),0,IF(AL80&lt;=0,0,IF(WEEKDAY(AL$6,1)=1,AL80*AL81,0)))</f>
        <v>0</v>
      </c>
      <c r="AM84" s="63">
        <f>IF(AND(AM80=0,AM81=0),0,IF(AM80&lt;=0,0,IF(WEEKDAY(AM$6,1)=1,AM80*AM81,0)))</f>
        <v>0</v>
      </c>
      <c r="AN84" s="63">
        <f>IF(AND(AN80=0,AN81=0),0,IF(AN80&lt;=0,0,IF(WEEKDAY(AN$6,1)=1,AN80*AN81,0)))</f>
        <v>0</v>
      </c>
      <c r="AO84" s="63">
        <f>IF(AND(AO80=0,AO81=0),0,IF(AO80&lt;=0,0,IF(WEEKDAY(AO$6,1)=1,AO80*AO81,0)))</f>
        <v>0</v>
      </c>
      <c r="AP84" s="63">
        <f>IF(AND(AP80=0,AP81=0),0,IF(AP80&lt;=0,0,IF(WEEKDAY(AP$6,1)=1,AP80*AP81,0)))</f>
        <v>0</v>
      </c>
      <c r="AQ84" s="63">
        <f>IF(AND(AQ80=0,AQ81=0),0,IF(AQ80&lt;=0,0,IF(WEEKDAY(AQ$6,1)=1,AQ80*AQ81,0)))</f>
        <v>0</v>
      </c>
      <c r="AR84" s="64">
        <f>IF(AND(AR80=0,AR81=0),0,IF(AR80&lt;=0,0,IF(WEEKDAY(AR$6,1)=1,AR80*AR81,0)))</f>
        <v>0</v>
      </c>
      <c r="AS84" s="64">
        <f>IF(AND(AS80=0,AS81=0),0,IF(AS80&lt;=0,0,IF(WEEKDAY(AS$6,1)=1,AS80*AS81,0)))</f>
        <v>0</v>
      </c>
      <c r="AT84" s="63">
        <f>IF(AND(AT80=0,AT81=0),0,IF(AT80&lt;=0,0,IF(WEEKDAY(AT$6,1)=1,AT80*AT81,0)))</f>
        <v>0</v>
      </c>
      <c r="AU84" s="63">
        <f>IF(AND(AU80=0,AU81=0),0,IF(AU80&lt;=0,0,IF(WEEKDAY(AU$6,1)=1,AU80*AU81,0)))</f>
        <v>0</v>
      </c>
      <c r="AV84" s="63">
        <f>IF(AND(AV80=0,AV81=0),0,IF(AV80&lt;=0,0,IF(WEEKDAY(AV$6,1)=1,AV80*AV81,0)))</f>
        <v>0</v>
      </c>
      <c r="AW84" s="63">
        <f>IF(AND(AW80=0,AW81=0),0,IF(AW80&lt;=0,0,IF(WEEKDAY(AW$6,1)=1,AW80*AW81,0)))</f>
        <v>0</v>
      </c>
      <c r="AX84" s="63">
        <f>IF(AND(AX80=0,AX81=0),0,IF(AX80&lt;=0,0,IF(WEEKDAY(AX$6,1)=1,AX80*AX81,0)))</f>
        <v>0</v>
      </c>
      <c r="AY84" s="64">
        <f>IF(AND(AY80=0,AY81=0),0,IF(AY80&lt;=0,0,IF(WEEKDAY(AY$6,1)=1,AY80*AY81,0)))</f>
        <v>0</v>
      </c>
      <c r="AZ84" s="64">
        <f>IF(AND(AZ80=0,AZ81=0),0,IF(AZ80&lt;=0,0,IF(WEEKDAY(AZ$6,1)=1,AZ80*AZ81,0)))</f>
        <v>0</v>
      </c>
      <c r="BA84" s="63">
        <f>IF(AND(BA80=0,BA81=0),0,IF(BA80&lt;=0,0,IF(WEEKDAY(BA$6,1)=1,BA80*BA81,0)))</f>
        <v>0</v>
      </c>
      <c r="BB84" s="63">
        <f>IF(AND(BB80=0,BB81=0),0,IF(BB80&lt;=0,0,IF(WEEKDAY(BB$6,1)=1,BB80*BB81,0)))</f>
        <v>0</v>
      </c>
      <c r="BC84" s="63">
        <f>IF(AND(BC80=0,BC81=0),0,IF(BC80&lt;=0,0,IF(WEEKDAY(BC$6,1)=1,BC80*BC81,0)))</f>
        <v>0</v>
      </c>
      <c r="BD84" s="63">
        <f>IF(AND(BD80=0,BD81=0),0,IF(BD80&lt;=0,0,IF(WEEKDAY(BD$6,1)=1,BD80*BD81,0)))</f>
        <v>0</v>
      </c>
      <c r="BE84" s="63">
        <f>IF(AND(BE80=0,BE81=0),0,IF(BE80&lt;=0,0,IF(WEEKDAY(BE$6,1)=1,BE80*BE81,0)))</f>
        <v>0</v>
      </c>
      <c r="BF84" s="64">
        <f>IF(AND(BF80=0,BF81=0),0,IF(BF80&lt;=0,0,IF(WEEKDAY(BF$6,1)=1,BF80*BF81,0)))</f>
        <v>0</v>
      </c>
      <c r="BG84" s="64">
        <f>IF(AND(BG80=0,BG81=0),0,IF(BG80&lt;=0,0,IF(WEEKDAY(BG$6,1)=1,BG80*BG81,0)))</f>
        <v>0</v>
      </c>
      <c r="BH84" s="63">
        <f>IF(AND(BH80=1,BH81=13),0,IF(BH80&lt;=0,0,IF(WEEKDAY(BH$6,1)=1,BH80*BH81,0)))</f>
        <v>0</v>
      </c>
      <c r="BI84" s="63">
        <f>IF(AND(BI80=1,BI81=13),0,IF(BI80&lt;=0,0,IF(WEEKDAY(BI$6,1)=1,BI80*BI81,0)))</f>
        <v>0</v>
      </c>
      <c r="BJ84" s="63">
        <f>IF(AND(BJ80=1,BJ81=13),0,IF(BJ80&lt;=0,0,IF(WEEKDAY(BJ$6,1)=1,BJ80*BJ81,0)))</f>
        <v>0</v>
      </c>
      <c r="BK84" s="63">
        <f>IF(AND(BK80=1,BK81=13),0,IF(BK80&lt;=0,0,IF(WEEKDAY(BK$6,1)=1,BK80*BK81,0)))</f>
        <v>0</v>
      </c>
      <c r="BL84" s="63">
        <f>IF(AND(BL80=1,BL81=13),0,IF(BL80&lt;=0,0,IF(WEEKDAY(BL$6,1)=1,BL80*BL81,0)))</f>
        <v>0</v>
      </c>
      <c r="BM84" s="64">
        <f>IF(AND(BM80=1,BM81=13),0,IF(BM80&lt;=0,0,IF(WEEKDAY(BM$6,1)=1,BM80*BM81,0)))</f>
        <v>0</v>
      </c>
      <c r="BN84" s="64">
        <f>IF(AND(BN80=1,BN81=13),13,IF(BN80&lt;=0,0,IF(WEEKDAY(BN$6,1)=1,BN80*BN81,0)))</f>
        <v>13</v>
      </c>
      <c r="BO84" s="63">
        <f>IF(AND(BO80=1,BO81=13),0,IF(BO80&lt;=0,0,IF(WEEKDAY(BO$6,1)=1,BO80*BO81,0)))</f>
        <v>0</v>
      </c>
      <c r="BP84" s="63">
        <f>IF(AND(BP80=1,BP81=13),0,IF(BP80&lt;=0,0,IF(WEEKDAY(BP$6,1)=1,BP80*BP81,0)))</f>
        <v>0</v>
      </c>
      <c r="BQ84" s="63">
        <f>IF(AND(BQ80=1,BQ81=13),0,IF(BQ80&lt;=0,0,IF(WEEKDAY(BQ$6,1)=1,BQ80*BQ81,0)))</f>
        <v>0</v>
      </c>
      <c r="BR84" s="63">
        <f>IF(AND(BR80=7,BR81=13),0,IF(BR80&lt;=0,0,IF(WEEKDAY(BR$6,1)=1,BR80*BR81,0)))</f>
        <v>0</v>
      </c>
      <c r="BS84" s="63">
        <f>IF(AND(BS80=7,BS81=13),0,IF(BS80&lt;=0,0,IF(WEEKDAY(BS$6,1)=1,BS80*BS81,0)))</f>
        <v>0</v>
      </c>
      <c r="BT84" s="64">
        <f>IF(AND(BT80=7,BT81=13),0,IF(BT80&lt;=0,0,IF(WEEKDAY(BT$6,1)=1,BT80*BT81,0)))</f>
        <v>0</v>
      </c>
      <c r="BU84" s="64">
        <f>IF(AND(BU80=7,BU81=13),91,IF(BU80&lt;=0,0,IF(WEEKDAY(BU$6,1)=1,BU80*BU81,0)))</f>
        <v>91</v>
      </c>
      <c r="BV84" s="63">
        <f>IF(AND(BV80=7,BV81=13),0,IF(BV80&lt;=0,0,IF(WEEKDAY(BV$6,1)=1,BV80*BV81,0)))</f>
        <v>0</v>
      </c>
      <c r="BW84" s="63">
        <f>IF(AND(BW80=7,BW81=13),0,IF(BW80&lt;=0,0,IF(WEEKDAY(BW$6,1)=1,BW80*BW81,0)))</f>
        <v>0</v>
      </c>
      <c r="BX84" s="63">
        <f>IF(AND(BX80=7,BX81=13),0,IF(BX80&lt;=0,0,IF(WEEKDAY(BX$6,1)=1,BX80*BX81,0)))</f>
        <v>0</v>
      </c>
      <c r="BY84" s="63">
        <f>IF(AND(BY80=7,BY81=13),0,IF(BY80&lt;=0,0,IF(WEEKDAY(BY$6,1)=1,BY80*BY81,0)))</f>
        <v>0</v>
      </c>
      <c r="BZ84" s="63">
        <f>IF(AND(BZ80=7,BZ81=13),0,IF(BZ80&lt;=0,0,IF(WEEKDAY(BZ$6,1)=1,BZ80*BZ81,0)))</f>
        <v>0</v>
      </c>
      <c r="CA84" s="64">
        <f>IF(AND(CA80=7,CA81=13),0,IF(CA80&lt;=0,0,IF(WEEKDAY(CA$6,1)=1,CA80*CA81,0)))</f>
        <v>0</v>
      </c>
      <c r="CB84" s="64">
        <f>IF(AND(CB80=7,CB81=13),91,IF(CB80&lt;=0,0,IF(WEEKDAY(CB$6,1)=1,CB80*CB81,0)))</f>
        <v>91</v>
      </c>
      <c r="CC84" s="63">
        <f>IF(AND(CC80=7,CC81=13),0,IF(CC80&lt;=0,0,IF(WEEKDAY(CC$6,1)=1,CC80*CC81,0)))</f>
        <v>0</v>
      </c>
      <c r="CD84" s="63">
        <f>IF(AND(CD80=7,CD81=13),0,IF(CD80&lt;=0,0,IF(WEEKDAY(CD$6,1)=1,CD80*CD81,0)))</f>
        <v>0</v>
      </c>
      <c r="CE84" s="63">
        <f>IF(AND(CE80=7,CE81=13),0,IF(CE80&lt;=0,0,IF(WEEKDAY(CE$6,1)=1,CE80*CE81,0)))</f>
        <v>0</v>
      </c>
      <c r="CF84" s="63">
        <f>IF(AND(CF80=7,CF81=13),0,IF(CF80&lt;=0,0,IF(WEEKDAY(CF$6,1)=1,CF80*CF81,0)))</f>
        <v>0</v>
      </c>
      <c r="CG84" s="63">
        <f>IF(AND(CG80=7,CG81=13),0,IF(CG80&lt;=0,0,IF(WEEKDAY(CG$6,1)=1,CG80*CG81,0)))</f>
        <v>0</v>
      </c>
      <c r="CH84" s="64">
        <f>IF(AND(CH80=7,CH81=13),0,IF(CH80&lt;=0,0,IF(WEEKDAY(CH$6,1)=1,CH80*CH81,0)))</f>
        <v>0</v>
      </c>
      <c r="CI84" s="64">
        <f>IF(AND(CI80=7,CI81=13),91,IF(CI80&lt;=0,0,IF(WEEKDAY(CI$6,1)=1,CI80*CI81,0)))</f>
        <v>91</v>
      </c>
      <c r="CJ84" s="63">
        <f>IF(AND(CJ80=7,CJ81=13),0,IF(CJ80&lt;=0,0,IF(WEEKDAY(CJ$6,1)=1,CJ80*CJ81,0)))</f>
        <v>0</v>
      </c>
      <c r="CK84" s="63">
        <f>IF(AND(CK80=7,CK81=13),0,IF(CK80&lt;=0,0,IF(WEEKDAY(CK$6,1)=1,CK80*CK81,0)))</f>
        <v>0</v>
      </c>
      <c r="CL84" s="63">
        <f>IF(AND(CL80=7,CL81=13),0,IF(CL80&lt;=0,0,IF(WEEKDAY(CL$6,1)=1,CL80*CL81,0)))</f>
        <v>0</v>
      </c>
      <c r="CM84" s="63">
        <f>IF(AND(CM80=7,CM81=13),0,IF(CM80&lt;=0,0,IF(WEEKDAY(CM$6,1)=1,CM80*CM81,0)))</f>
        <v>0</v>
      </c>
      <c r="CN84" s="63">
        <f>IF(AND(CN80=7,CN81=13),0,IF(CN80&lt;=0,0,IF(WEEKDAY(CN$6,1)=1,CN80*CN81,0)))</f>
        <v>0</v>
      </c>
      <c r="CO84" s="64">
        <f>IF(AND(CO80=7,CO81=13),0,IF(CO80&lt;=0,0,IF(WEEKDAY(CO$6,1)=1,CO80*CO81,0)))</f>
        <v>0</v>
      </c>
      <c r="CP84" s="64">
        <f>IF(AND(CP80=7,CP81=13),91,IF(CP80&lt;=0,0,IF(WEEKDAY(CP$6,1)=1,CP80*CP81,0)))</f>
        <v>91</v>
      </c>
      <c r="CQ84" s="63">
        <f>IF(AND(CQ80=7,CQ81=13),0,IF(CQ80&lt;=0,0,IF(WEEKDAY(CQ$6,1)=1,CQ80*CQ81,0)))</f>
        <v>0</v>
      </c>
      <c r="CR84" s="63">
        <f>IF(AND(CR80=7,CR81=13),0,IF(CR80&lt;=0,0,IF(WEEKDAY(CR$6,1)=1,CR80*CR81,0)))</f>
        <v>0</v>
      </c>
      <c r="CS84" s="63">
        <f>IF(AND(CS80=7,CS81=13),0,IF(CS80&lt;=0,0,IF(WEEKDAY(CS$6,1)=1,CS80*CS81,0)))</f>
        <v>0</v>
      </c>
      <c r="CT84" s="63">
        <f>IF(AND(CT80=7,CT81=13),0,IF(CT80&lt;=0,0,IF(WEEKDAY(CT$6,1)=1,CT80*CT81,0)))</f>
        <v>0</v>
      </c>
      <c r="CU84" s="63">
        <f>IF(AND(CU80=7,CU81=13),0,IF(CU80&lt;=0,0,IF(WEEKDAY(CU$6,1)=1,CU80*CU81,0)))</f>
        <v>0</v>
      </c>
      <c r="CV84" s="64">
        <f>IF(AND(CV80=7,CV81=13),0,IF(CV80&lt;=0,0,IF(WEEKDAY(CV$6,1)=1,CV80*CV81,0)))</f>
        <v>0</v>
      </c>
      <c r="CW84" s="64">
        <f>IF(AND(CW80=7,CW81=13),91,IF(CW80&lt;=0,0,IF(WEEKDAY(CW$6,1)=1,CW80*CW81,0)))</f>
        <v>91</v>
      </c>
      <c r="CX84" s="63">
        <f>IF(AND(CX80=7,CX81=13),0,IF(CX80&lt;=0,0,IF(WEEKDAY(CX$6,1)=1,CX80*CX81,0)))</f>
        <v>0</v>
      </c>
      <c r="CY84" s="63">
        <f>IF(AND(CY80=7,CY81=13),0,IF(CY80&lt;=0,0,IF(WEEKDAY(CY$6,1)=1,CY80*CY81,0)))</f>
        <v>0</v>
      </c>
      <c r="CZ84" s="63">
        <f>IF(AND(CZ80=7,CZ81=13),0,IF(CZ80&lt;=0,0,IF(WEEKDAY(CZ$6,1)=1,CZ80*CZ81,0)))</f>
        <v>0</v>
      </c>
      <c r="DA84" s="63">
        <f>IF(AND(DA80=7,DA81=13),0,IF(DA80&lt;=0,0,IF(WEEKDAY(DA$6,1)=1,DA80*DA81,0)))</f>
        <v>0</v>
      </c>
      <c r="DB84" s="63">
        <f>IF(AND(DB80=7,DB81=13),0,IF(DB80&lt;=0,0,IF(WEEKDAY(DB$6,1)=1,DB80*DB81,0)))</f>
        <v>0</v>
      </c>
      <c r="DC84" s="64">
        <f>IF(AND(DC80=7,DC81=13),0,IF(DC80&lt;=0,0,IF(WEEKDAY(DC$6,1)=1,DC80*DC81,0)))</f>
        <v>0</v>
      </c>
      <c r="DD84" s="64">
        <f>IF(AND(DD80=7,DD81=13),91,IF(DD80&lt;=0,0,IF(WEEKDAY(DD$6,1)=1,DD80*DD81,0)))</f>
        <v>91</v>
      </c>
      <c r="DE84" s="63">
        <f>IF(AND(DE80=7,DE81=13),0,IF(DE80&lt;=0,0,IF(WEEKDAY(DE$6,1)=1,DE80*DE81,0)))</f>
        <v>0</v>
      </c>
      <c r="DF84" s="63">
        <f>IF(AND(DF80=7,DF81=13),0,IF(DF80&lt;=0,0,IF(WEEKDAY(DF$6,1)=1,DF80*DF81,0)))</f>
        <v>0</v>
      </c>
      <c r="DG84" s="63">
        <f>IF(AND(DG80=7,DG81=13),0,IF(DG80&lt;=0,0,IF(WEEKDAY(DG$6,1)=1,DG80*DG81,0)))</f>
        <v>0</v>
      </c>
      <c r="DH84" s="63">
        <f>IF(AND(DH80=7,DH81=13),0,IF(DH80&lt;=0,0,IF(WEEKDAY(DH$6,1)=1,DH80*DH81,0)))</f>
        <v>0</v>
      </c>
      <c r="DI84" s="63">
        <f>IF(AND(DI80=7,DI81=13),0,IF(DI80&lt;=0,0,IF(WEEKDAY(DI$6,1)=1,DI80*DI81,0)))</f>
        <v>0</v>
      </c>
      <c r="DJ84" s="64">
        <f>IF(AND(DJ80=7,DJ81=13),0,IF(DJ80&lt;=0,0,IF(WEEKDAY(DJ$6,1)=1,DJ80*DJ81,0)))</f>
        <v>0</v>
      </c>
      <c r="DK84" s="64">
        <f>IF(AND(DK80=7,DK81=13),91,IF(DK80&lt;=0,0,IF(WEEKDAY(DK$6,1)=1,DK80*DK81,0)))</f>
        <v>91</v>
      </c>
      <c r="DL84" s="63">
        <f>IF(AND(DL80=7,DL81=13),0,IF(DL80&lt;=0,0,IF(WEEKDAY(DL$6,1)=1,DL80*DL81,0)))</f>
        <v>0</v>
      </c>
      <c r="DM84" s="63">
        <f>IF(AND(DM80=7,DM81=13),0,IF(DM80&lt;=0,0,IF(WEEKDAY(DM$6,1)=1,DM80*DM81,0)))</f>
        <v>0</v>
      </c>
      <c r="DN84" s="63">
        <f>IF(AND(DN80=7,DN81=13),0,IF(DN80&lt;=0,0,IF(WEEKDAY(DN$6,1)=1,DN80*DN81,0)))</f>
        <v>0</v>
      </c>
      <c r="DO84" s="63">
        <f>IF(AND(DO80=7,DO81=13),0,IF(DO80&lt;=0,0,IF(WEEKDAY(DO$6,1)=1,DO80*DO81,0)))</f>
        <v>0</v>
      </c>
      <c r="DP84" s="63">
        <f>IF(AND(DP80=7,DP81=13),0,IF(DP80&lt;=0,0,IF(WEEKDAY(DP$6,1)=1,DP80*DP81,0)))</f>
        <v>0</v>
      </c>
      <c r="DQ84" s="64">
        <f>IF(AND(DQ80=7,DQ81=13),0,IF(DQ80&lt;=0,0,IF(WEEKDAY(DQ$6,1)=1,DQ80*DQ81,0)))</f>
        <v>0</v>
      </c>
      <c r="DR84" s="64">
        <f>IF(AND(DR80=7,DR81=13),91,IF(DR80&lt;=0,0,IF(WEEKDAY(DR$6,1)=1,DR80*DR81,0)))</f>
        <v>91</v>
      </c>
      <c r="DS84" s="63">
        <f>IF(AND(DS80=7,DS81=13),0,IF(DS80&lt;=0,0,IF(WEEKDAY(DS$6,1)=1,DS80*DS81,0)))</f>
        <v>0</v>
      </c>
      <c r="DT84" s="63">
        <f>IF(AND(DT80=0,DT81=0),0,IF(DT80&lt;=0,0,IF(WEEKDAY(DT$6,1)=1,DT80*DT81,0)))</f>
        <v>0</v>
      </c>
      <c r="DU84" s="63">
        <f>IF(AND(DU80=0,DU81=0),0,IF(DU80&lt;=0,0,IF(WEEKDAY(DU$6,1)=1,DU80*DU81,0)))</f>
        <v>0</v>
      </c>
      <c r="DV84" s="63">
        <f>IF(AND(DV80=0,DV81=0),0,IF(DV80&lt;=0,0,IF(WEEKDAY(DV$6,1)=1,DV80*DV81,0)))</f>
        <v>0</v>
      </c>
      <c r="DW84" s="63">
        <f>IF(AND(DW80=0,DW81=0),0,IF(DW80&lt;=0,0,IF(WEEKDAY(DW$6,1)=1,DW80*DW81,0)))</f>
        <v>0</v>
      </c>
      <c r="DX84" s="64">
        <f>IF(AND(DX80=0,DX81=0),0,IF(DX80&lt;=0,0,IF(WEEKDAY(DX$6,1)=1,DX80*DX81,0)))</f>
        <v>0</v>
      </c>
      <c r="DY84" s="64">
        <f>IF(AND(DY80=0,DY81=0),0,IF(DY80&lt;=0,0,IF(WEEKDAY(DY$6,1)=1,DY80*DY81,0)))</f>
        <v>0</v>
      </c>
      <c r="DZ84" s="63">
        <f>IF(AND(DZ80=0,DZ81=0),0,IF(DZ80&lt;=0,0,IF(WEEKDAY(DZ$6,1)=1,DZ80*DZ81,0)))</f>
        <v>0</v>
      </c>
      <c r="EA84" s="63">
        <f>IF(AND(EA80=0,EA81=0),0,IF(EA80&lt;=0,0,IF(WEEKDAY(EA$6,1)=1,EA80*EA81,0)))</f>
        <v>0</v>
      </c>
      <c r="EB84" s="63">
        <f>IF(AND(EB80=0,EB81=0),0,IF(EB80&lt;=0,0,IF(WEEKDAY(EB$6,1)=1,EB80*EB81,0)))</f>
        <v>0</v>
      </c>
      <c r="EC84" s="63">
        <f>IF(AND(EC80=0,EC81=0),0,IF(EC80&lt;=0,0,IF(WEEKDAY(EC$6,1)=1,EC80*EC81,0)))</f>
        <v>0</v>
      </c>
      <c r="ED84" s="63">
        <f>IF(AND(ED80=0,ED81=0),0,IF(ED80&lt;=0,0,IF(WEEKDAY(ED$6,1)=1,ED80*ED81,0)))</f>
        <v>0</v>
      </c>
      <c r="EE84" s="64">
        <f>IF(AND(EE80=0,EE81=0),0,IF(EE80&lt;=0,0,IF(WEEKDAY(EE$6,1)=1,EE80*EE81,0)))</f>
        <v>0</v>
      </c>
      <c r="EF84" s="64">
        <f>IF(AND(EF80=0,EF81=0),0,IF(EF80&lt;=0,0,IF(WEEKDAY(EF$6,1)=1,EF80*EF81,0)))</f>
        <v>0</v>
      </c>
      <c r="EG84" s="63">
        <f>IF(AND(EG80=0,EG81=0),0,IF(EG80&lt;=0,0,IF(WEEKDAY(EG$6,1)=1,EG80*EG81,0)))</f>
        <v>0</v>
      </c>
      <c r="EH84" s="63">
        <f>IF(AND(EH80=0,EH81=0),0,IF(EH80&lt;=0,0,IF(WEEKDAY(EH$6,1)=1,EH80*EH81,0)))</f>
        <v>0</v>
      </c>
      <c r="EI84" s="63">
        <f>IF(AND(EI80=0,EI81=0),0,IF(EI80&lt;=0,0,IF(WEEKDAY(EI$6,1)=1,EI80*EI81,0)))</f>
        <v>0</v>
      </c>
      <c r="EJ84" s="63">
        <f>IF(AND(EJ80=0,EJ81=0),0,IF(EJ80&lt;=0,0,IF(WEEKDAY(EJ$6,1)=1,EJ80*EJ81,0)))</f>
        <v>0</v>
      </c>
      <c r="EK84" s="65">
        <f>IF(AND(EK80=0,EK81=0),0,IF(EK80&lt;=0,0,IF(WEEKDAY(EK$6,1)=1,EK80*EK81,0)))</f>
        <v>0</v>
      </c>
      <c r="OU84" s="28" t="s">
        <v>80</v>
      </c>
    </row>
    <row r="85" ht="16" customHeight="1" spans="1:411" x14ac:dyDescent="0.25">
      <c r="A85" s="74"/>
      <c r="B85" s="46"/>
      <c r="C85" s="67">
        <f>I79*D85</f>
        <v>54320</v>
      </c>
      <c r="D85" s="67">
        <v>140</v>
      </c>
      <c r="E85" s="68" t="s">
        <v>65</v>
      </c>
      <c r="F85" s="49"/>
      <c r="G85" s="49"/>
      <c r="H85" s="49"/>
      <c r="I85" s="49"/>
      <c r="J85" s="50"/>
      <c r="K85" s="69">
        <v>0</v>
      </c>
      <c r="L85" s="70">
        <v>0</v>
      </c>
      <c r="M85" s="70">
        <v>0</v>
      </c>
      <c r="N85" s="70">
        <v>0</v>
      </c>
      <c r="O85" s="70">
        <v>0</v>
      </c>
      <c r="P85" s="71">
        <v>0</v>
      </c>
      <c r="Q85" s="71">
        <v>0</v>
      </c>
      <c r="R85" s="70">
        <v>0</v>
      </c>
      <c r="S85" s="70">
        <v>0</v>
      </c>
      <c r="T85" s="70">
        <v>0</v>
      </c>
      <c r="U85" s="70">
        <v>0</v>
      </c>
      <c r="V85" s="70">
        <v>0</v>
      </c>
      <c r="W85" s="71">
        <v>0</v>
      </c>
      <c r="X85" s="71">
        <v>0</v>
      </c>
      <c r="Y85" s="70">
        <v>0</v>
      </c>
      <c r="Z85" s="70">
        <v>0</v>
      </c>
      <c r="AA85" s="70">
        <v>0</v>
      </c>
      <c r="AB85" s="70">
        <v>0</v>
      </c>
      <c r="AC85" s="70">
        <v>0</v>
      </c>
      <c r="AD85" s="71">
        <v>0</v>
      </c>
      <c r="AE85" s="71">
        <v>0</v>
      </c>
      <c r="AF85" s="70">
        <v>0</v>
      </c>
      <c r="AG85" s="70">
        <v>0</v>
      </c>
      <c r="AH85" s="70">
        <v>0</v>
      </c>
      <c r="AI85" s="70">
        <v>0</v>
      </c>
      <c r="AJ85" s="70">
        <v>0</v>
      </c>
      <c r="AK85" s="71">
        <v>0</v>
      </c>
      <c r="AL85" s="71">
        <v>0</v>
      </c>
      <c r="AM85" s="70">
        <v>0</v>
      </c>
      <c r="AN85" s="70">
        <v>0</v>
      </c>
      <c r="AO85" s="70">
        <v>0</v>
      </c>
      <c r="AP85" s="70">
        <v>0</v>
      </c>
      <c r="AQ85" s="70">
        <v>0</v>
      </c>
      <c r="AR85" s="71">
        <v>0</v>
      </c>
      <c r="AS85" s="71">
        <v>0</v>
      </c>
      <c r="AT85" s="70">
        <v>0</v>
      </c>
      <c r="AU85" s="70">
        <v>0</v>
      </c>
      <c r="AV85" s="70">
        <v>0</v>
      </c>
      <c r="AW85" s="70">
        <v>0</v>
      </c>
      <c r="AX85" s="70">
        <v>0</v>
      </c>
      <c r="AY85" s="71">
        <v>0</v>
      </c>
      <c r="AZ85" s="71">
        <v>0</v>
      </c>
      <c r="BA85" s="70">
        <v>0</v>
      </c>
      <c r="BB85" s="70">
        <v>0</v>
      </c>
      <c r="BC85" s="70">
        <v>0</v>
      </c>
      <c r="BD85" s="70">
        <v>0</v>
      </c>
      <c r="BE85" s="70">
        <v>0</v>
      </c>
      <c r="BF85" s="71">
        <v>0</v>
      </c>
      <c r="BG85" s="71">
        <v>0</v>
      </c>
      <c r="BH85" s="70">
        <v>1</v>
      </c>
      <c r="BI85" s="70">
        <v>1</v>
      </c>
      <c r="BJ85" s="70">
        <v>1</v>
      </c>
      <c r="BK85" s="70">
        <v>1</v>
      </c>
      <c r="BL85" s="70">
        <v>1</v>
      </c>
      <c r="BM85" s="71">
        <v>1</v>
      </c>
      <c r="BN85" s="71">
        <v>1</v>
      </c>
      <c r="BO85" s="70">
        <v>1</v>
      </c>
      <c r="BP85" s="70">
        <v>1</v>
      </c>
      <c r="BQ85" s="70">
        <v>1</v>
      </c>
      <c r="BR85" s="70">
        <v>7</v>
      </c>
      <c r="BS85" s="70">
        <v>7</v>
      </c>
      <c r="BT85" s="71">
        <v>7</v>
      </c>
      <c r="BU85" s="71">
        <v>7</v>
      </c>
      <c r="BV85" s="70">
        <v>7</v>
      </c>
      <c r="BW85" s="70">
        <v>7</v>
      </c>
      <c r="BX85" s="70">
        <v>7</v>
      </c>
      <c r="BY85" s="70">
        <v>7</v>
      </c>
      <c r="BZ85" s="70">
        <v>7</v>
      </c>
      <c r="CA85" s="71">
        <v>7</v>
      </c>
      <c r="CB85" s="71">
        <v>7</v>
      </c>
      <c r="CC85" s="70">
        <v>7</v>
      </c>
      <c r="CD85" s="70">
        <v>7</v>
      </c>
      <c r="CE85" s="70">
        <v>7</v>
      </c>
      <c r="CF85" s="70">
        <v>7</v>
      </c>
      <c r="CG85" s="70">
        <v>7</v>
      </c>
      <c r="CH85" s="71">
        <v>7</v>
      </c>
      <c r="CI85" s="71">
        <v>7</v>
      </c>
      <c r="CJ85" s="70">
        <v>7</v>
      </c>
      <c r="CK85" s="70">
        <v>7</v>
      </c>
      <c r="CL85" s="70">
        <v>7</v>
      </c>
      <c r="CM85" s="70">
        <v>7</v>
      </c>
      <c r="CN85" s="70">
        <v>7</v>
      </c>
      <c r="CO85" s="71">
        <v>7</v>
      </c>
      <c r="CP85" s="71">
        <v>7</v>
      </c>
      <c r="CQ85" s="70">
        <v>7</v>
      </c>
      <c r="CR85" s="70">
        <v>7</v>
      </c>
      <c r="CS85" s="70">
        <v>7</v>
      </c>
      <c r="CT85" s="70">
        <v>7</v>
      </c>
      <c r="CU85" s="70">
        <v>7</v>
      </c>
      <c r="CV85" s="71">
        <v>7</v>
      </c>
      <c r="CW85" s="71">
        <v>7</v>
      </c>
      <c r="CX85" s="70">
        <v>7</v>
      </c>
      <c r="CY85" s="70">
        <v>7</v>
      </c>
      <c r="CZ85" s="70">
        <v>7</v>
      </c>
      <c r="DA85" s="70">
        <v>7</v>
      </c>
      <c r="DB85" s="70">
        <v>7</v>
      </c>
      <c r="DC85" s="71">
        <v>7</v>
      </c>
      <c r="DD85" s="71">
        <v>7</v>
      </c>
      <c r="DE85" s="70">
        <v>7</v>
      </c>
      <c r="DF85" s="70">
        <v>7</v>
      </c>
      <c r="DG85" s="70">
        <v>7</v>
      </c>
      <c r="DH85" s="70">
        <v>7</v>
      </c>
      <c r="DI85" s="70">
        <v>7</v>
      </c>
      <c r="DJ85" s="71">
        <v>7</v>
      </c>
      <c r="DK85" s="71">
        <v>7</v>
      </c>
      <c r="DL85" s="70">
        <v>7</v>
      </c>
      <c r="DM85" s="70">
        <v>7</v>
      </c>
      <c r="DN85" s="70">
        <v>7</v>
      </c>
      <c r="DO85" s="70">
        <v>7</v>
      </c>
      <c r="DP85" s="70">
        <v>7</v>
      </c>
      <c r="DQ85" s="71">
        <v>7</v>
      </c>
      <c r="DR85" s="71">
        <v>7</v>
      </c>
      <c r="DS85" s="70">
        <v>7</v>
      </c>
      <c r="DT85" s="70">
        <v>0</v>
      </c>
      <c r="DU85" s="70">
        <v>0</v>
      </c>
      <c r="DV85" s="70">
        <v>0</v>
      </c>
      <c r="DW85" s="70">
        <v>0</v>
      </c>
      <c r="DX85" s="71">
        <v>0</v>
      </c>
      <c r="DY85" s="71">
        <v>0</v>
      </c>
      <c r="DZ85" s="70">
        <v>0</v>
      </c>
      <c r="EA85" s="70">
        <v>0</v>
      </c>
      <c r="EB85" s="70">
        <v>0</v>
      </c>
      <c r="EC85" s="70">
        <v>0</v>
      </c>
      <c r="ED85" s="70">
        <v>0</v>
      </c>
      <c r="EE85" s="71">
        <v>0</v>
      </c>
      <c r="EF85" s="71">
        <v>0</v>
      </c>
      <c r="EG85" s="70">
        <v>0</v>
      </c>
      <c r="EH85" s="70">
        <v>0</v>
      </c>
      <c r="EI85" s="70">
        <v>0</v>
      </c>
      <c r="EJ85" s="70">
        <v>0</v>
      </c>
      <c r="EK85" s="72">
        <v>0</v>
      </c>
      <c r="OU85" s="60" t="s">
        <v>80</v>
      </c>
    </row>
    <row r="86" ht="8" customHeight="1" spans="1:14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  <c r="EK86" s="73"/>
    </row>
    <row r="87" ht="16" customHeight="1" spans="1:411" x14ac:dyDescent="0.25">
      <c r="A87" s="45" t="s">
        <v>57</v>
      </c>
      <c r="B87" s="46" t="s">
        <v>81</v>
      </c>
      <c r="C87" s="47">
        <f>J87</f>
        <v>85399.63999999998</v>
      </c>
      <c r="D87" s="48"/>
      <c r="E87" s="48"/>
      <c r="F87" s="49">
        <f>SUM(K90:EK90)</f>
        <v>782</v>
      </c>
      <c r="G87" s="49">
        <f>SUM(K91:EK91)</f>
        <v>215</v>
      </c>
      <c r="H87" s="49">
        <f>SUM(K92:EK92)</f>
        <v>99</v>
      </c>
      <c r="I87" s="49">
        <f>SUM(K93:EK93)</f>
        <v>113</v>
      </c>
      <c r="J87" s="50">
        <f>C90+C91+C92</f>
        <v>85399.63999999998</v>
      </c>
      <c r="K87" s="51"/>
      <c r="L87" s="52"/>
      <c r="M87" s="52"/>
      <c r="N87" s="52"/>
      <c r="O87" s="52"/>
      <c r="P87" s="53"/>
      <c r="Q87" s="53"/>
      <c r="R87" s="52"/>
      <c r="S87" s="52"/>
      <c r="T87" s="52"/>
      <c r="U87" s="52"/>
      <c r="V87" s="52"/>
      <c r="W87" s="53"/>
      <c r="X87" s="53"/>
      <c r="Y87" s="52"/>
      <c r="Z87" s="52"/>
      <c r="AA87" s="52"/>
      <c r="AB87" s="52"/>
      <c r="AC87" s="52"/>
      <c r="AD87" s="53"/>
      <c r="AE87" s="53"/>
      <c r="AF87" s="52"/>
      <c r="AG87" s="52"/>
      <c r="AH87" s="52"/>
      <c r="AI87" s="52"/>
      <c r="AJ87" s="52"/>
      <c r="AK87" s="53"/>
      <c r="AL87" s="53"/>
      <c r="AM87" s="52"/>
      <c r="AN87" s="52"/>
      <c r="AO87" s="52"/>
      <c r="AP87" s="52"/>
      <c r="AQ87" s="52"/>
      <c r="AR87" s="53"/>
      <c r="AS87" s="53"/>
      <c r="AT87" s="52"/>
      <c r="AU87" s="52"/>
      <c r="AV87" s="52"/>
      <c r="AW87" s="52"/>
      <c r="AX87" s="52"/>
      <c r="AY87" s="53"/>
      <c r="AZ87" s="53"/>
      <c r="BA87" s="52"/>
      <c r="BB87" s="52"/>
      <c r="BC87" s="52"/>
      <c r="BD87" s="52"/>
      <c r="BE87" s="52"/>
      <c r="BF87" s="53"/>
      <c r="BG87" s="53"/>
      <c r="BH87" s="52"/>
      <c r="BI87" s="52"/>
      <c r="BJ87" s="52"/>
      <c r="BK87" s="52"/>
      <c r="BL87" s="52"/>
      <c r="BM87" s="53"/>
      <c r="BN87" s="53"/>
      <c r="BO87" s="52"/>
      <c r="BP87" s="52"/>
      <c r="BQ87" s="52"/>
      <c r="BR87" s="52"/>
      <c r="BS87" s="52"/>
      <c r="BT87" s="53"/>
      <c r="BU87" s="53"/>
      <c r="BV87" s="52"/>
      <c r="BW87" s="52"/>
      <c r="BX87" s="52"/>
      <c r="BY87" s="52"/>
      <c r="BZ87" s="52"/>
      <c r="CA87" s="53"/>
      <c r="CB87" s="53"/>
      <c r="CC87" s="52"/>
      <c r="CD87" s="52"/>
      <c r="CE87" s="52"/>
      <c r="CF87" s="52"/>
      <c r="CG87" s="52"/>
      <c r="CH87" s="53"/>
      <c r="CI87" s="53"/>
      <c r="CJ87" s="52"/>
      <c r="CK87" s="52"/>
      <c r="CL87" s="52"/>
      <c r="CM87" s="52"/>
      <c r="CN87" s="52"/>
      <c r="CO87" s="53"/>
      <c r="CP87" s="53"/>
      <c r="CQ87" s="52"/>
      <c r="CR87" s="52"/>
      <c r="CS87" s="52"/>
      <c r="CT87" s="52"/>
      <c r="CU87" s="52"/>
      <c r="CV87" s="53"/>
      <c r="CW87" s="53"/>
      <c r="CX87" s="52"/>
      <c r="CY87" s="52"/>
      <c r="CZ87" s="52"/>
      <c r="DA87" s="52"/>
      <c r="DB87" s="52"/>
      <c r="DC87" s="53"/>
      <c r="DD87" s="53"/>
      <c r="DE87" s="52"/>
      <c r="DF87" s="52"/>
      <c r="DG87" s="52"/>
      <c r="DH87" s="52"/>
      <c r="DI87" s="52"/>
      <c r="DJ87" s="53"/>
      <c r="DK87" s="53"/>
      <c r="DL87" s="52"/>
      <c r="DM87" s="52"/>
      <c r="DN87" s="52"/>
      <c r="DO87" s="52"/>
      <c r="DP87" s="52"/>
      <c r="DQ87" s="53"/>
      <c r="DR87" s="53"/>
      <c r="DS87" s="52"/>
      <c r="DT87" s="52"/>
      <c r="DU87" s="52"/>
      <c r="DV87" s="52"/>
      <c r="DW87" s="52"/>
      <c r="DX87" s="53"/>
      <c r="DY87" s="53"/>
      <c r="DZ87" s="52"/>
      <c r="EA87" s="52"/>
      <c r="EB87" s="52"/>
      <c r="EC87" s="52"/>
      <c r="ED87" s="52"/>
      <c r="EE87" s="53"/>
      <c r="EF87" s="53"/>
      <c r="EG87" s="52"/>
      <c r="EH87" s="52"/>
      <c r="EI87" s="52"/>
      <c r="EJ87" s="52"/>
      <c r="EK87" s="54"/>
      <c r="OU87" s="28" t="s">
        <v>82</v>
      </c>
    </row>
    <row r="88" ht="16" customHeight="1" spans="1:411" x14ac:dyDescent="0.25">
      <c r="A88" s="45"/>
      <c r="B88" s="46"/>
      <c r="C88" s="47"/>
      <c r="D88" s="48"/>
      <c r="E88" s="55" t="s">
        <v>60</v>
      </c>
      <c r="F88" s="49"/>
      <c r="G88" s="49"/>
      <c r="H88" s="49"/>
      <c r="I88" s="49"/>
      <c r="J88" s="50"/>
      <c r="K88" s="56">
        <v>1</v>
      </c>
      <c r="L88" s="57">
        <v>1</v>
      </c>
      <c r="M88" s="57">
        <v>1</v>
      </c>
      <c r="N88" s="57">
        <v>1</v>
      </c>
      <c r="O88" s="57">
        <v>1</v>
      </c>
      <c r="P88" s="58">
        <v>0</v>
      </c>
      <c r="Q88" s="58">
        <v>0</v>
      </c>
      <c r="R88" s="57">
        <v>1</v>
      </c>
      <c r="S88" s="57">
        <v>1</v>
      </c>
      <c r="T88" s="57">
        <v>1</v>
      </c>
      <c r="U88" s="57">
        <v>1</v>
      </c>
      <c r="V88" s="57">
        <v>1</v>
      </c>
      <c r="W88" s="58">
        <v>0</v>
      </c>
      <c r="X88" s="58">
        <v>0</v>
      </c>
      <c r="Y88" s="57">
        <v>1</v>
      </c>
      <c r="Z88" s="57">
        <v>1</v>
      </c>
      <c r="AA88" s="57">
        <v>1</v>
      </c>
      <c r="AB88" s="57">
        <v>1</v>
      </c>
      <c r="AC88" s="57">
        <v>1</v>
      </c>
      <c r="AD88" s="58">
        <v>0</v>
      </c>
      <c r="AE88" s="58">
        <v>0</v>
      </c>
      <c r="AF88" s="57">
        <v>1</v>
      </c>
      <c r="AG88" s="57">
        <v>1</v>
      </c>
      <c r="AH88" s="57">
        <v>1</v>
      </c>
      <c r="AI88" s="57">
        <v>1</v>
      </c>
      <c r="AJ88" s="57">
        <v>1</v>
      </c>
      <c r="AK88" s="58">
        <v>0</v>
      </c>
      <c r="AL88" s="58">
        <v>0</v>
      </c>
      <c r="AM88" s="57">
        <v>1</v>
      </c>
      <c r="AN88" s="57">
        <v>1</v>
      </c>
      <c r="AO88" s="57">
        <v>1</v>
      </c>
      <c r="AP88" s="57">
        <v>1</v>
      </c>
      <c r="AQ88" s="57">
        <v>1</v>
      </c>
      <c r="AR88" s="58">
        <v>0</v>
      </c>
      <c r="AS88" s="58">
        <v>0</v>
      </c>
      <c r="AT88" s="57">
        <v>1</v>
      </c>
      <c r="AU88" s="57">
        <v>1</v>
      </c>
      <c r="AV88" s="57">
        <v>1</v>
      </c>
      <c r="AW88" s="57">
        <v>1</v>
      </c>
      <c r="AX88" s="57">
        <v>1</v>
      </c>
      <c r="AY88" s="58">
        <v>0</v>
      </c>
      <c r="AZ88" s="58">
        <v>0</v>
      </c>
      <c r="BA88" s="57">
        <v>1</v>
      </c>
      <c r="BB88" s="57">
        <v>1</v>
      </c>
      <c r="BC88" s="57">
        <v>1</v>
      </c>
      <c r="BD88" s="57">
        <v>1</v>
      </c>
      <c r="BE88" s="57">
        <v>1</v>
      </c>
      <c r="BF88" s="58">
        <v>0</v>
      </c>
      <c r="BG88" s="58">
        <v>0</v>
      </c>
      <c r="BH88" s="57">
        <v>1</v>
      </c>
      <c r="BI88" s="57">
        <v>1</v>
      </c>
      <c r="BJ88" s="57">
        <v>1</v>
      </c>
      <c r="BK88" s="57">
        <v>1</v>
      </c>
      <c r="BL88" s="57">
        <v>1</v>
      </c>
      <c r="BM88" s="58">
        <v>1</v>
      </c>
      <c r="BN88" s="58">
        <v>1</v>
      </c>
      <c r="BO88" s="57">
        <v>1</v>
      </c>
      <c r="BP88" s="57">
        <v>1</v>
      </c>
      <c r="BQ88" s="57">
        <v>1</v>
      </c>
      <c r="BR88" s="57">
        <v>1</v>
      </c>
      <c r="BS88" s="57">
        <v>1</v>
      </c>
      <c r="BT88" s="58">
        <v>1</v>
      </c>
      <c r="BU88" s="58">
        <v>1</v>
      </c>
      <c r="BV88" s="57">
        <v>1</v>
      </c>
      <c r="BW88" s="57">
        <v>1</v>
      </c>
      <c r="BX88" s="57">
        <v>1</v>
      </c>
      <c r="BY88" s="57">
        <v>1</v>
      </c>
      <c r="BZ88" s="57">
        <v>1</v>
      </c>
      <c r="CA88" s="58">
        <v>1</v>
      </c>
      <c r="CB88" s="58">
        <v>1</v>
      </c>
      <c r="CC88" s="57">
        <v>1</v>
      </c>
      <c r="CD88" s="57">
        <v>1</v>
      </c>
      <c r="CE88" s="57">
        <v>1</v>
      </c>
      <c r="CF88" s="57">
        <v>1</v>
      </c>
      <c r="CG88" s="57">
        <v>1</v>
      </c>
      <c r="CH88" s="58">
        <v>1</v>
      </c>
      <c r="CI88" s="58">
        <v>1</v>
      </c>
      <c r="CJ88" s="57">
        <v>1</v>
      </c>
      <c r="CK88" s="57">
        <v>1</v>
      </c>
      <c r="CL88" s="57">
        <v>1</v>
      </c>
      <c r="CM88" s="57">
        <v>1</v>
      </c>
      <c r="CN88" s="57">
        <v>1</v>
      </c>
      <c r="CO88" s="58">
        <v>1</v>
      </c>
      <c r="CP88" s="58">
        <v>1</v>
      </c>
      <c r="CQ88" s="57">
        <v>1</v>
      </c>
      <c r="CR88" s="57">
        <v>1</v>
      </c>
      <c r="CS88" s="57">
        <v>1</v>
      </c>
      <c r="CT88" s="57">
        <v>1</v>
      </c>
      <c r="CU88" s="57">
        <v>1</v>
      </c>
      <c r="CV88" s="58">
        <v>1</v>
      </c>
      <c r="CW88" s="58">
        <v>1</v>
      </c>
      <c r="CX88" s="57">
        <v>1</v>
      </c>
      <c r="CY88" s="57">
        <v>1</v>
      </c>
      <c r="CZ88" s="57">
        <v>1</v>
      </c>
      <c r="DA88" s="57">
        <v>1</v>
      </c>
      <c r="DB88" s="57">
        <v>1</v>
      </c>
      <c r="DC88" s="58">
        <v>1</v>
      </c>
      <c r="DD88" s="58">
        <v>1</v>
      </c>
      <c r="DE88" s="57">
        <v>1</v>
      </c>
      <c r="DF88" s="57">
        <v>1</v>
      </c>
      <c r="DG88" s="57">
        <v>1</v>
      </c>
      <c r="DH88" s="57">
        <v>1</v>
      </c>
      <c r="DI88" s="57">
        <v>1</v>
      </c>
      <c r="DJ88" s="58">
        <v>1</v>
      </c>
      <c r="DK88" s="58">
        <v>1</v>
      </c>
      <c r="DL88" s="57">
        <v>1</v>
      </c>
      <c r="DM88" s="57">
        <v>1</v>
      </c>
      <c r="DN88" s="57">
        <v>1</v>
      </c>
      <c r="DO88" s="57">
        <v>1</v>
      </c>
      <c r="DP88" s="57">
        <v>1</v>
      </c>
      <c r="DQ88" s="58">
        <v>1</v>
      </c>
      <c r="DR88" s="58">
        <v>1</v>
      </c>
      <c r="DS88" s="57">
        <v>1</v>
      </c>
      <c r="DT88" s="57">
        <v>1</v>
      </c>
      <c r="DU88" s="57">
        <v>1</v>
      </c>
      <c r="DV88" s="57">
        <v>1</v>
      </c>
      <c r="DW88" s="57">
        <v>1</v>
      </c>
      <c r="DX88" s="58">
        <v>0</v>
      </c>
      <c r="DY88" s="58">
        <v>0</v>
      </c>
      <c r="DZ88" s="57">
        <v>1</v>
      </c>
      <c r="EA88" s="57">
        <v>1</v>
      </c>
      <c r="EB88" s="57">
        <v>1</v>
      </c>
      <c r="EC88" s="57">
        <v>1</v>
      </c>
      <c r="ED88" s="57">
        <v>1</v>
      </c>
      <c r="EE88" s="58">
        <v>0</v>
      </c>
      <c r="EF88" s="58">
        <v>0</v>
      </c>
      <c r="EG88" s="57">
        <v>1</v>
      </c>
      <c r="EH88" s="57">
        <v>1</v>
      </c>
      <c r="EI88" s="57">
        <v>1</v>
      </c>
      <c r="EJ88" s="57">
        <v>1</v>
      </c>
      <c r="EK88" s="59">
        <v>1</v>
      </c>
      <c r="OU88" s="60" t="s">
        <v>82</v>
      </c>
    </row>
    <row r="89" ht="16" customHeight="1" spans="1:411" x14ac:dyDescent="0.25">
      <c r="A89" s="45"/>
      <c r="B89" s="46"/>
      <c r="C89" s="47"/>
      <c r="D89" s="48"/>
      <c r="E89" s="55" t="s">
        <v>61</v>
      </c>
      <c r="F89" s="49"/>
      <c r="G89" s="49"/>
      <c r="H89" s="49"/>
      <c r="I89" s="49"/>
      <c r="J89" s="50"/>
      <c r="K89" s="56">
        <v>8</v>
      </c>
      <c r="L89" s="57">
        <v>8</v>
      </c>
      <c r="M89" s="57">
        <v>8</v>
      </c>
      <c r="N89" s="57">
        <v>8</v>
      </c>
      <c r="O89" s="57">
        <v>8</v>
      </c>
      <c r="P89" s="58">
        <v>0</v>
      </c>
      <c r="Q89" s="58">
        <v>0</v>
      </c>
      <c r="R89" s="57">
        <v>8</v>
      </c>
      <c r="S89" s="57">
        <v>8</v>
      </c>
      <c r="T89" s="57">
        <v>8</v>
      </c>
      <c r="U89" s="57">
        <v>8</v>
      </c>
      <c r="V89" s="57">
        <v>8</v>
      </c>
      <c r="W89" s="58">
        <v>0</v>
      </c>
      <c r="X89" s="58">
        <v>0</v>
      </c>
      <c r="Y89" s="57">
        <v>8</v>
      </c>
      <c r="Z89" s="57">
        <v>8</v>
      </c>
      <c r="AA89" s="57">
        <v>8</v>
      </c>
      <c r="AB89" s="57">
        <v>8</v>
      </c>
      <c r="AC89" s="57">
        <v>8</v>
      </c>
      <c r="AD89" s="58">
        <v>0</v>
      </c>
      <c r="AE89" s="58">
        <v>0</v>
      </c>
      <c r="AF89" s="57">
        <v>8</v>
      </c>
      <c r="AG89" s="57">
        <v>8</v>
      </c>
      <c r="AH89" s="57">
        <v>8</v>
      </c>
      <c r="AI89" s="57">
        <v>8</v>
      </c>
      <c r="AJ89" s="57">
        <v>8</v>
      </c>
      <c r="AK89" s="58">
        <v>0</v>
      </c>
      <c r="AL89" s="58">
        <v>0</v>
      </c>
      <c r="AM89" s="57">
        <v>8</v>
      </c>
      <c r="AN89" s="57">
        <v>8</v>
      </c>
      <c r="AO89" s="57">
        <v>8</v>
      </c>
      <c r="AP89" s="57">
        <v>8</v>
      </c>
      <c r="AQ89" s="57">
        <v>8</v>
      </c>
      <c r="AR89" s="58">
        <v>0</v>
      </c>
      <c r="AS89" s="58">
        <v>0</v>
      </c>
      <c r="AT89" s="57">
        <v>8</v>
      </c>
      <c r="AU89" s="57">
        <v>8</v>
      </c>
      <c r="AV89" s="57">
        <v>8</v>
      </c>
      <c r="AW89" s="57">
        <v>8</v>
      </c>
      <c r="AX89" s="57">
        <v>8</v>
      </c>
      <c r="AY89" s="58">
        <v>0</v>
      </c>
      <c r="AZ89" s="58">
        <v>0</v>
      </c>
      <c r="BA89" s="57">
        <v>8</v>
      </c>
      <c r="BB89" s="57">
        <v>8</v>
      </c>
      <c r="BC89" s="57">
        <v>8</v>
      </c>
      <c r="BD89" s="57">
        <v>8</v>
      </c>
      <c r="BE89" s="57">
        <v>8</v>
      </c>
      <c r="BF89" s="58">
        <v>0</v>
      </c>
      <c r="BG89" s="58">
        <v>0</v>
      </c>
      <c r="BH89" s="57">
        <v>11</v>
      </c>
      <c r="BI89" s="57">
        <v>11</v>
      </c>
      <c r="BJ89" s="57">
        <v>11</v>
      </c>
      <c r="BK89" s="57">
        <v>11</v>
      </c>
      <c r="BL89" s="57">
        <v>11</v>
      </c>
      <c r="BM89" s="58">
        <v>11</v>
      </c>
      <c r="BN89" s="58">
        <v>11</v>
      </c>
      <c r="BO89" s="57">
        <v>11</v>
      </c>
      <c r="BP89" s="57">
        <v>11</v>
      </c>
      <c r="BQ89" s="57">
        <v>11</v>
      </c>
      <c r="BR89" s="57">
        <v>11</v>
      </c>
      <c r="BS89" s="57">
        <v>11</v>
      </c>
      <c r="BT89" s="58">
        <v>11</v>
      </c>
      <c r="BU89" s="58">
        <v>11</v>
      </c>
      <c r="BV89" s="57">
        <v>11</v>
      </c>
      <c r="BW89" s="57">
        <v>11</v>
      </c>
      <c r="BX89" s="57">
        <v>11</v>
      </c>
      <c r="BY89" s="57">
        <v>11</v>
      </c>
      <c r="BZ89" s="57">
        <v>11</v>
      </c>
      <c r="CA89" s="58">
        <v>11</v>
      </c>
      <c r="CB89" s="58">
        <v>11</v>
      </c>
      <c r="CC89" s="57">
        <v>11</v>
      </c>
      <c r="CD89" s="57">
        <v>11</v>
      </c>
      <c r="CE89" s="57">
        <v>11</v>
      </c>
      <c r="CF89" s="57">
        <v>11</v>
      </c>
      <c r="CG89" s="57">
        <v>11</v>
      </c>
      <c r="CH89" s="58">
        <v>11</v>
      </c>
      <c r="CI89" s="58">
        <v>11</v>
      </c>
      <c r="CJ89" s="57">
        <v>11</v>
      </c>
      <c r="CK89" s="57">
        <v>11</v>
      </c>
      <c r="CL89" s="57">
        <v>11</v>
      </c>
      <c r="CM89" s="57">
        <v>11</v>
      </c>
      <c r="CN89" s="57">
        <v>11</v>
      </c>
      <c r="CO89" s="58">
        <v>11</v>
      </c>
      <c r="CP89" s="58">
        <v>11</v>
      </c>
      <c r="CQ89" s="57">
        <v>11</v>
      </c>
      <c r="CR89" s="57">
        <v>11</v>
      </c>
      <c r="CS89" s="57">
        <v>11</v>
      </c>
      <c r="CT89" s="57">
        <v>11</v>
      </c>
      <c r="CU89" s="57">
        <v>11</v>
      </c>
      <c r="CV89" s="58">
        <v>11</v>
      </c>
      <c r="CW89" s="58">
        <v>11</v>
      </c>
      <c r="CX89" s="57">
        <v>11</v>
      </c>
      <c r="CY89" s="57">
        <v>11</v>
      </c>
      <c r="CZ89" s="57">
        <v>11</v>
      </c>
      <c r="DA89" s="57">
        <v>11</v>
      </c>
      <c r="DB89" s="57">
        <v>11</v>
      </c>
      <c r="DC89" s="58">
        <v>11</v>
      </c>
      <c r="DD89" s="58">
        <v>11</v>
      </c>
      <c r="DE89" s="57">
        <v>11</v>
      </c>
      <c r="DF89" s="57">
        <v>11</v>
      </c>
      <c r="DG89" s="57">
        <v>11</v>
      </c>
      <c r="DH89" s="57">
        <v>11</v>
      </c>
      <c r="DI89" s="57">
        <v>11</v>
      </c>
      <c r="DJ89" s="58">
        <v>11</v>
      </c>
      <c r="DK89" s="58">
        <v>11</v>
      </c>
      <c r="DL89" s="57">
        <v>11</v>
      </c>
      <c r="DM89" s="57">
        <v>11</v>
      </c>
      <c r="DN89" s="57">
        <v>11</v>
      </c>
      <c r="DO89" s="57">
        <v>11</v>
      </c>
      <c r="DP89" s="57">
        <v>11</v>
      </c>
      <c r="DQ89" s="58">
        <v>11</v>
      </c>
      <c r="DR89" s="58">
        <v>11</v>
      </c>
      <c r="DS89" s="57">
        <v>11</v>
      </c>
      <c r="DT89" s="57">
        <v>8</v>
      </c>
      <c r="DU89" s="57">
        <v>8</v>
      </c>
      <c r="DV89" s="57">
        <v>8</v>
      </c>
      <c r="DW89" s="57">
        <v>8</v>
      </c>
      <c r="DX89" s="58">
        <v>0</v>
      </c>
      <c r="DY89" s="58">
        <v>0</v>
      </c>
      <c r="DZ89" s="57">
        <v>8</v>
      </c>
      <c r="EA89" s="57">
        <v>8</v>
      </c>
      <c r="EB89" s="57">
        <v>8</v>
      </c>
      <c r="EC89" s="57">
        <v>8</v>
      </c>
      <c r="ED89" s="57">
        <v>8</v>
      </c>
      <c r="EE89" s="58">
        <v>0</v>
      </c>
      <c r="EF89" s="58">
        <v>0</v>
      </c>
      <c r="EG89" s="57">
        <v>8</v>
      </c>
      <c r="EH89" s="57">
        <v>8</v>
      </c>
      <c r="EI89" s="57">
        <v>8</v>
      </c>
      <c r="EJ89" s="57">
        <v>8</v>
      </c>
      <c r="EK89" s="59">
        <v>8</v>
      </c>
      <c r="OU89" s="60" t="s">
        <v>82</v>
      </c>
    </row>
    <row r="90" ht="16" customHeight="1" spans="1:411" x14ac:dyDescent="0.25">
      <c r="A90" s="45"/>
      <c r="B90" s="46"/>
      <c r="C90" s="61">
        <f>F87*N(D90)</f>
        <v>54630.52</v>
      </c>
      <c r="D90" s="61">
        <f>IF(TRIM(B87)="","No rate",IFERROR(INDEX('Rate Tables'!C$7:C$158,MATCH(B87,'Rate Tables'!A$7:A$158,0)),"No rate"))</f>
        <v>69.86</v>
      </c>
      <c r="E90" s="55" t="s">
        <v>62</v>
      </c>
      <c r="F90" s="49"/>
      <c r="G90" s="49"/>
      <c r="H90" s="49"/>
      <c r="I90" s="49"/>
      <c r="J90" s="50"/>
      <c r="K90" s="62">
        <f>IF(AND(K88=1,K89=8),8,MIN(IF(K88&lt;=0,0,IF(WEEKDAY(K$6,1)=1,0,MIN(8,K89)*K88)),MAX(0,40*MAX(1,K88)-(0))))</f>
        <v>8</v>
      </c>
      <c r="L90" s="63">
        <f>IF(AND(L88=1,L89=8),8,MIN(IF(L88&lt;=0,0,IF(WEEKDAY(L$6,1)=1,0,MIN(8,L89)*L88)),MAX(0,40*MAX(1,L88)-(K90))))</f>
        <v>8</v>
      </c>
      <c r="M90" s="63">
        <f>IF(AND(M88=1,M89=8),8,MIN(IF(M88&lt;=0,0,IF(WEEKDAY(M$6,1)=1,0,MIN(8,M89)*M88)),MAX(0,40*MAX(1,M88)-(K90+L90))))</f>
        <v>8</v>
      </c>
      <c r="N90" s="63">
        <f>IF(AND(N88=1,N89=8),8,MIN(IF(N88&lt;=0,0,IF(WEEKDAY(N$6,1)=1,0,MIN(8,N89)*N88)),MAX(0,40*MAX(1,N88)-(K90+L90+M90))))</f>
        <v>8</v>
      </c>
      <c r="O90" s="63">
        <f>IF(AND(O88=1,O89=8),8,MIN(IF(O88&lt;=0,0,IF(WEEKDAY(O$6,1)=1,0,MIN(8,O89)*O88)),MAX(0,40*MAX(1,O88)-(K90+L90+M90+N90))))</f>
        <v>8</v>
      </c>
      <c r="P90" s="64">
        <f>IF(AND(P88=0,P89=0),0,MIN(IF(P88&lt;=0,0,IF(WEEKDAY(P$6,1)=1,0,MIN(10,P89)*P88)),MAX(0,40*MAX(1,P88)-(0))))</f>
        <v>0</v>
      </c>
      <c r="Q90" s="64">
        <f>IF(AND(Q88=0,Q89=0),0,MIN(IF(Q88&lt;=0,0,IF(WEEKDAY(Q$6,1)=1,0,MIN(10,Q89)*Q88)),MAX(0,40*MAX(1,Q88)-(P90))))</f>
        <v>0</v>
      </c>
      <c r="R90" s="63">
        <f>IF(AND(R88=1,R89=8),8,MIN(IF(R88&lt;=0,0,IF(WEEKDAY(R$6,1)=1,0,MIN(8,R89)*R88)),MAX(0,40*MAX(1,R88)-(0))))</f>
        <v>8</v>
      </c>
      <c r="S90" s="63">
        <f>IF(AND(S88=1,S89=8),8,MIN(IF(S88&lt;=0,0,IF(WEEKDAY(S$6,1)=1,0,MIN(8,S89)*S88)),MAX(0,40*MAX(1,S88)-(R90))))</f>
        <v>8</v>
      </c>
      <c r="T90" s="63">
        <f>IF(AND(T88=1,T89=8),8,MIN(IF(T88&lt;=0,0,IF(WEEKDAY(T$6,1)=1,0,MIN(8,T89)*T88)),MAX(0,40*MAX(1,T88)-(R90+S90))))</f>
        <v>8</v>
      </c>
      <c r="U90" s="63">
        <f>IF(AND(U88=1,U89=8),8,MIN(IF(U88&lt;=0,0,IF(WEEKDAY(U$6,1)=1,0,MIN(8,U89)*U88)),MAX(0,40*MAX(1,U88)-(R90+S90+T90))))</f>
        <v>8</v>
      </c>
      <c r="V90" s="63">
        <f>IF(AND(V88=1,V89=8),8,MIN(IF(V88&lt;=0,0,IF(WEEKDAY(V$6,1)=1,0,MIN(8,V89)*V88)),MAX(0,40*MAX(1,V88)-(R90+S90+T90+U90))))</f>
        <v>8</v>
      </c>
      <c r="W90" s="64">
        <f>IF(AND(W88=0,W89=0),0,MIN(IF(W88&lt;=0,0,IF(WEEKDAY(W$6,1)=1,0,MIN(10,W89)*W88)),MAX(0,40*MAX(1,W88)-(0))))</f>
        <v>0</v>
      </c>
      <c r="X90" s="64">
        <f>IF(AND(X88=0,X89=0),0,MIN(IF(X88&lt;=0,0,IF(WEEKDAY(X$6,1)=1,0,MIN(10,X89)*X88)),MAX(0,40*MAX(1,X88)-(W90))))</f>
        <v>0</v>
      </c>
      <c r="Y90" s="63">
        <f>IF(AND(Y88=1,Y89=8),8,MIN(IF(Y88&lt;=0,0,IF(WEEKDAY(Y$6,1)=1,0,MIN(8,Y89)*Y88)),MAX(0,40*MAX(1,Y88)-(0))))</f>
        <v>8</v>
      </c>
      <c r="Z90" s="63">
        <f>IF(AND(Z88=1,Z89=8),8,MIN(IF(Z88&lt;=0,0,IF(WEEKDAY(Z$6,1)=1,0,MIN(8,Z89)*Z88)),MAX(0,40*MAX(1,Z88)-(Y90))))</f>
        <v>8</v>
      </c>
      <c r="AA90" s="63">
        <f>IF(AND(AA88=1,AA89=8),8,MIN(IF(AA88&lt;=0,0,IF(WEEKDAY(AA$6,1)=1,0,MIN(8,AA89)*AA88)),MAX(0,40*MAX(1,AA88)-(Y90+Z90))))</f>
        <v>8</v>
      </c>
      <c r="AB90" s="63">
        <f>IF(AND(AB88=1,AB89=8),8,MIN(IF(AB88&lt;=0,0,IF(WEEKDAY(AB$6,1)=1,0,MIN(8,AB89)*AB88)),MAX(0,40*MAX(1,AB88)-(Y90+Z90+AA90))))</f>
        <v>8</v>
      </c>
      <c r="AC90" s="63">
        <f>IF(AND(AC88=1,AC89=8),8,MIN(IF(AC88&lt;=0,0,IF(WEEKDAY(AC$6,1)=1,0,MIN(8,AC89)*AC88)),MAX(0,40*MAX(1,AC88)-(Y90+Z90+AA90+AB90))))</f>
        <v>8</v>
      </c>
      <c r="AD90" s="64">
        <f>IF(AND(AD88=0,AD89=0),0,MIN(IF(AD88&lt;=0,0,IF(WEEKDAY(AD$6,1)=1,0,MIN(10,AD89)*AD88)),MAX(0,40*MAX(1,AD88)-(0))))</f>
        <v>0</v>
      </c>
      <c r="AE90" s="64">
        <f>IF(AND(AE88=0,AE89=0),0,MIN(IF(AE88&lt;=0,0,IF(WEEKDAY(AE$6,1)=1,0,MIN(10,AE89)*AE88)),MAX(0,40*MAX(1,AE88)-(AD90))))</f>
        <v>0</v>
      </c>
      <c r="AF90" s="63">
        <f>IF(AND(AF88=1,AF89=8),8,MIN(IF(AF88&lt;=0,0,IF(WEEKDAY(AF$6,1)=1,0,MIN(8,AF89)*AF88)),MAX(0,40*MAX(1,AF88)-(0))))</f>
        <v>8</v>
      </c>
      <c r="AG90" s="63">
        <f>IF(AND(AG88=1,AG89=8),8,MIN(IF(AG88&lt;=0,0,IF(WEEKDAY(AG$6,1)=1,0,MIN(8,AG89)*AG88)),MAX(0,40*MAX(1,AG88)-(AF90))))</f>
        <v>8</v>
      </c>
      <c r="AH90" s="63">
        <f>IF(AND(AH88=1,AH89=8),8,MIN(IF(AH88&lt;=0,0,IF(WEEKDAY(AH$6,1)=1,0,MIN(8,AH89)*AH88)),MAX(0,40*MAX(1,AH88)-(AF90+AG90))))</f>
        <v>8</v>
      </c>
      <c r="AI90" s="63">
        <f>IF(AND(AI88=1,AI89=8),8,MIN(IF(AI88&lt;=0,0,IF(WEEKDAY(AI$6,1)=1,0,MIN(8,AI89)*AI88)),MAX(0,40*MAX(1,AI88)-(AF90+AG90+AH90))))</f>
        <v>8</v>
      </c>
      <c r="AJ90" s="63">
        <f>IF(AND(AJ88=1,AJ89=8),8,MIN(IF(AJ88&lt;=0,0,IF(WEEKDAY(AJ$6,1)=1,0,MIN(8,AJ89)*AJ88)),MAX(0,40*MAX(1,AJ88)-(AF90+AG90+AH90+AI90))))</f>
        <v>8</v>
      </c>
      <c r="AK90" s="64">
        <f>IF(AND(AK88=0,AK89=0),0,MIN(IF(AK88&lt;=0,0,IF(WEEKDAY(AK$6,1)=1,0,MIN(10,AK89)*AK88)),MAX(0,40*MAX(1,AK88)-(0))))</f>
        <v>0</v>
      </c>
      <c r="AL90" s="64">
        <f>IF(AND(AL88=0,AL89=0),0,MIN(IF(AL88&lt;=0,0,IF(WEEKDAY(AL$6,1)=1,0,MIN(10,AL89)*AL88)),MAX(0,40*MAX(1,AL88)-(AK90))))</f>
        <v>0</v>
      </c>
      <c r="AM90" s="63">
        <f>IF(AND(AM88=1,AM89=8),8,MIN(IF(AM88&lt;=0,0,IF(WEEKDAY(AM$6,1)=1,0,MIN(8,AM89)*AM88)),MAX(0,40*MAX(1,AM88)-(0))))</f>
        <v>8</v>
      </c>
      <c r="AN90" s="63">
        <f>IF(AND(AN88=1,AN89=8),8,MIN(IF(AN88&lt;=0,0,IF(WEEKDAY(AN$6,1)=1,0,MIN(8,AN89)*AN88)),MAX(0,40*MAX(1,AN88)-(AM90))))</f>
        <v>8</v>
      </c>
      <c r="AO90" s="63">
        <f>IF(AND(AO88=1,AO89=8),8,MIN(IF(AO88&lt;=0,0,IF(WEEKDAY(AO$6,1)=1,0,MIN(8,AO89)*AO88)),MAX(0,40*MAX(1,AO88)-(AM90+AN90))))</f>
        <v>8</v>
      </c>
      <c r="AP90" s="63">
        <f>IF(AND(AP88=1,AP89=8),8,MIN(IF(AP88&lt;=0,0,IF(WEEKDAY(AP$6,1)=1,0,MIN(8,AP89)*AP88)),MAX(0,40*MAX(1,AP88)-(AM90+AN90+AO90))))</f>
        <v>8</v>
      </c>
      <c r="AQ90" s="63">
        <f>IF(AND(AQ88=1,AQ89=8),8,MIN(IF(AQ88&lt;=0,0,IF(WEEKDAY(AQ$6,1)=1,0,MIN(8,AQ89)*AQ88)),MAX(0,40*MAX(1,AQ88)-(AM90+AN90+AO90+AP90))))</f>
        <v>8</v>
      </c>
      <c r="AR90" s="64">
        <f>IF(AND(AR88=0,AR89=0),0,MIN(IF(AR88&lt;=0,0,IF(WEEKDAY(AR$6,1)=1,0,MIN(10,AR89)*AR88)),MAX(0,40*MAX(1,AR88)-(0))))</f>
        <v>0</v>
      </c>
      <c r="AS90" s="64">
        <f>IF(AND(AS88=0,AS89=0),0,MIN(IF(AS88&lt;=0,0,IF(WEEKDAY(AS$6,1)=1,0,MIN(10,AS89)*AS88)),MAX(0,40*MAX(1,AS88)-(AR90))))</f>
        <v>0</v>
      </c>
      <c r="AT90" s="63">
        <f>IF(AND(AT88=1,AT89=8),8,MIN(IF(AT88&lt;=0,0,IF(WEEKDAY(AT$6,1)=1,0,MIN(8,AT89)*AT88)),MAX(0,40*MAX(1,AT88)-(0))))</f>
        <v>8</v>
      </c>
      <c r="AU90" s="63">
        <f>IF(AND(AU88=1,AU89=8),8,MIN(IF(AU88&lt;=0,0,IF(WEEKDAY(AU$6,1)=1,0,MIN(8,AU89)*AU88)),MAX(0,40*MAX(1,AU88)-(AT90))))</f>
        <v>8</v>
      </c>
      <c r="AV90" s="63">
        <f>IF(AND(AV88=1,AV89=8),8,MIN(IF(AV88&lt;=0,0,IF(WEEKDAY(AV$6,1)=1,0,MIN(8,AV89)*AV88)),MAX(0,40*MAX(1,AV88)-(AT90+AU90))))</f>
        <v>8</v>
      </c>
      <c r="AW90" s="63">
        <f>IF(AND(AW88=1,AW89=8),8,MIN(IF(AW88&lt;=0,0,IF(WEEKDAY(AW$6,1)=1,0,MIN(8,AW89)*AW88)),MAX(0,40*MAX(1,AW88)-(AT90+AU90+AV90))))</f>
        <v>8</v>
      </c>
      <c r="AX90" s="63">
        <f>IF(AND(AX88=1,AX89=8),8,MIN(IF(AX88&lt;=0,0,IF(WEEKDAY(AX$6,1)=1,0,MIN(8,AX89)*AX88)),MAX(0,40*MAX(1,AX88)-(AT90+AU90+AV90+AW90))))</f>
        <v>8</v>
      </c>
      <c r="AY90" s="64">
        <f>IF(AND(AY88=0,AY89=0),0,MIN(IF(AY88&lt;=0,0,IF(WEEKDAY(AY$6,1)=1,0,MIN(10,AY89)*AY88)),MAX(0,40*MAX(1,AY88)-(0))))</f>
        <v>0</v>
      </c>
      <c r="AZ90" s="64">
        <f>IF(AND(AZ88=0,AZ89=0),0,MIN(IF(AZ88&lt;=0,0,IF(WEEKDAY(AZ$6,1)=1,0,MIN(10,AZ89)*AZ88)),MAX(0,40*MAX(1,AZ88)-(AY90))))</f>
        <v>0</v>
      </c>
      <c r="BA90" s="63">
        <f>IF(AND(BA88=1,BA89=8),8,MIN(IF(BA88&lt;=0,0,IF(WEEKDAY(BA$6,1)=1,0,MIN(8,BA89)*BA88)),MAX(0,40*MAX(1,BA88)-(0))))</f>
        <v>8</v>
      </c>
      <c r="BB90" s="63">
        <f>IF(AND(BB88=1,BB89=8),8,MIN(IF(BB88&lt;=0,0,IF(WEEKDAY(BB$6,1)=1,0,MIN(8,BB89)*BB88)),MAX(0,40*MAX(1,BB88)-(BA90))))</f>
        <v>8</v>
      </c>
      <c r="BC90" s="63">
        <f>IF(AND(BC88=1,BC89=8),8,MIN(IF(BC88&lt;=0,0,IF(WEEKDAY(BC$6,1)=1,0,MIN(8,BC89)*BC88)),MAX(0,40*MAX(1,BC88)-(BA90+BB90))))</f>
        <v>8</v>
      </c>
      <c r="BD90" s="63">
        <f>IF(AND(BD88=1,BD89=8),8,MIN(IF(BD88&lt;=0,0,IF(WEEKDAY(BD$6,1)=1,0,MIN(8,BD89)*BD88)),MAX(0,40*MAX(1,BD88)-(BA90+BB90+BC90))))</f>
        <v>8</v>
      </c>
      <c r="BE90" s="63">
        <f>IF(AND(BE88=1,BE89=8),8,MIN(IF(BE88&lt;=0,0,IF(WEEKDAY(BE$6,1)=1,0,MIN(8,BE89)*BE88)),MAX(0,40*MAX(1,BE88)-(BA90+BB90+BC90+BD90))))</f>
        <v>8</v>
      </c>
      <c r="BF90" s="64">
        <f>IF(AND(BF88=0,BF89=0),0,MIN(IF(BF88&lt;=0,0,IF(WEEKDAY(BF$6,1)=1,0,MIN(10,BF89)*BF88)),MAX(0,40*MAX(1,BF88)-(0))))</f>
        <v>0</v>
      </c>
      <c r="BG90" s="64">
        <f>IF(AND(BG88=0,BG89=0),0,MIN(IF(BG88&lt;=0,0,IF(WEEKDAY(BG$6,1)=1,0,MIN(10,BG89)*BG88)),MAX(0,40*MAX(1,BG88)-(BF90))))</f>
        <v>0</v>
      </c>
      <c r="BH90" s="63">
        <f>IF(AND(BH88=1,BH89=11),10,MIN(IF(BH88&lt;=0,0,IF(WEEKDAY(BH$6,1)=1,0,MIN(10,BH89)*BH88)),MAX(0,40*MAX(1,BH88)-(0))))</f>
        <v>10</v>
      </c>
      <c r="BI90" s="63">
        <f>IF(AND(BI88=1,BI89=11),10,MIN(IF(BI88&lt;=0,0,IF(WEEKDAY(BI$6,1)=1,0,MIN(10,BI89)*BI88)),MAX(0,40*MAX(1,BI88)-(BH90))))</f>
        <v>10</v>
      </c>
      <c r="BJ90" s="63">
        <f>IF(AND(BJ88=1,BJ89=11),10,MIN(IF(BJ88&lt;=0,0,IF(WEEKDAY(BJ$6,1)=1,0,MIN(10,BJ89)*BJ88)),MAX(0,40*MAX(1,BJ88)-(BH90+BI90))))</f>
        <v>10</v>
      </c>
      <c r="BK90" s="63">
        <f>IF(AND(BK88=1,BK89=11),10,MIN(IF(BK88&lt;=0,0,IF(WEEKDAY(BK$6,1)=1,0,MIN(10,BK89)*BK88)),MAX(0,40*MAX(1,BK88)-(BH90+BI90+BJ90))))</f>
        <v>10</v>
      </c>
      <c r="BL90" s="63">
        <f>IF(AND(BL88=1,BL89=11),0,MIN(IF(BL88&lt;=0,0,IF(WEEKDAY(BL$6,1)=1,0,MIN(10,BL89)*BL88)),MAX(0,40*MAX(1,BL88)-(BH90+BI90+BJ90+BK90))))</f>
        <v>0</v>
      </c>
      <c r="BM90" s="64">
        <f>IF(AND(BM88=1,BM89=11),0,MIN(IF(BM88&lt;=0,0,IF(WEEKDAY(BM$6,1)=1,0,MIN(10,BM89)*BM88)),MAX(0,40*MAX(1,BM88)-(BH90+BI90+BJ90+BK90+BL90))))</f>
        <v>0</v>
      </c>
      <c r="BN90" s="64">
        <f>IF(AND(BN88=1,BN89=11),0,MIN(IF(BN88&lt;=0,0,IF(WEEKDAY(BN$6,1)=1,0,MIN(10,BN89)*BN88)),MAX(0,40*MAX(1,BN88)-(BH90+BI90+BJ90+BK90+BL90+BM90))))</f>
        <v>0</v>
      </c>
      <c r="BO90" s="63">
        <f>IF(AND(BO88=1,BO89=11),10,MIN(IF(BO88&lt;=0,0,IF(WEEKDAY(BO$6,1)=1,0,MIN(10,BO89)*BO88)),MAX(0,40*MAX(1,BO88)-(0))))</f>
        <v>10</v>
      </c>
      <c r="BP90" s="63">
        <f>IF(AND(BP88=1,BP89=11),10,MIN(IF(BP88&lt;=0,0,IF(WEEKDAY(BP$6,1)=1,0,MIN(10,BP89)*BP88)),MAX(0,40*MAX(1,BP88)-(BO90))))</f>
        <v>10</v>
      </c>
      <c r="BQ90" s="63">
        <f>IF(AND(BQ88=1,BQ89=11),10,MIN(IF(BQ88&lt;=0,0,IF(WEEKDAY(BQ$6,1)=1,0,MIN(10,BQ89)*BQ88)),MAX(0,40*MAX(1,BQ88)-(BO90+BP90))))</f>
        <v>10</v>
      </c>
      <c r="BR90" s="63">
        <f>IF(AND(BR88=1,BR89=11),10,MIN(IF(BR88&lt;=0,0,IF(WEEKDAY(BR$6,1)=1,0,MIN(10,BR89)*BR88)),MAX(0,40*MAX(1,BR88)-(0))))</f>
        <v>10</v>
      </c>
      <c r="BS90" s="63">
        <f>IF(AND(BS88=1,BS89=11),10,MIN(IF(BS88&lt;=0,0,IF(WEEKDAY(BS$6,1)=1,0,MIN(10,BS89)*BS88)),MAX(0,40*MAX(1,BS88)-(BR90))))</f>
        <v>10</v>
      </c>
      <c r="BT90" s="64">
        <f>IF(AND(BT88=1,BT89=11),10,MIN(IF(BT88&lt;=0,0,IF(WEEKDAY(BT$6,1)=1,0,MIN(10,BT89)*BT88)),MAX(0,40*MAX(1,BT88)-(BR90+BS90))))</f>
        <v>10</v>
      </c>
      <c r="BU90" s="64">
        <f>IF(AND(BU88=1,BU89=11),0,MIN(IF(BU88&lt;=0,0,IF(WEEKDAY(BU$6,1)=1,0,MIN(10,BU89)*BU88)),MAX(0,40*MAX(1,BU88)-(BR90+BS90+BT90))))</f>
        <v>0</v>
      </c>
      <c r="BV90" s="63">
        <f>IF(AND(BV88=1,BV89=11),10,MIN(IF(BV88&lt;=0,0,IF(WEEKDAY(BV$6,1)=1,0,MIN(10,BV89)*BV88)),MAX(0,40*MAX(1,BV88)-(0))))</f>
        <v>10</v>
      </c>
      <c r="BW90" s="63">
        <f>IF(AND(BW88=1,BW89=11),10,MIN(IF(BW88&lt;=0,0,IF(WEEKDAY(BW$6,1)=1,0,MIN(10,BW89)*BW88)),MAX(0,40*MAX(1,BW88)-(BV90))))</f>
        <v>10</v>
      </c>
      <c r="BX90" s="63">
        <f>IF(AND(BX88=1,BX89=11),10,MIN(IF(BX88&lt;=0,0,IF(WEEKDAY(BX$6,1)=1,0,MIN(10,BX89)*BX88)),MAX(0,40*MAX(1,BX88)-(BV90+BW90))))</f>
        <v>10</v>
      </c>
      <c r="BY90" s="63">
        <f>IF(AND(BY88=1,BY89=11),10,MIN(IF(BY88&lt;=0,0,IF(WEEKDAY(BY$6,1)=1,0,MIN(10,BY89)*BY88)),MAX(0,40*MAX(1,BY88)-(BV90+BW90+BX90))))</f>
        <v>10</v>
      </c>
      <c r="BZ90" s="63">
        <f>IF(AND(BZ88=1,BZ89=11),0,MIN(IF(BZ88&lt;=0,0,IF(WEEKDAY(BZ$6,1)=1,0,MIN(10,BZ89)*BZ88)),MAX(0,40*MAX(1,BZ88)-(BV90+BW90+BX90+BY90))))</f>
        <v>0</v>
      </c>
      <c r="CA90" s="64">
        <f>IF(AND(CA88=1,CA89=11),0,MIN(IF(CA88&lt;=0,0,IF(WEEKDAY(CA$6,1)=1,0,MIN(10,CA89)*CA88)),MAX(0,40*MAX(1,CA88)-(BV90+BW90+BX90+BY90+BZ90))))</f>
        <v>0</v>
      </c>
      <c r="CB90" s="64">
        <f>IF(AND(CB88=1,CB89=11),0,MIN(IF(CB88&lt;=0,0,IF(WEEKDAY(CB$6,1)=1,0,MIN(10,CB89)*CB88)),MAX(0,40*MAX(1,CB88)-(BV90+BW90+BX90+BY90+BZ90+CA90))))</f>
        <v>0</v>
      </c>
      <c r="CC90" s="63">
        <f>IF(AND(CC88=1,CC89=11),10,MIN(IF(CC88&lt;=0,0,IF(WEEKDAY(CC$6,1)=1,0,MIN(10,CC89)*CC88)),MAX(0,40*MAX(1,CC88)-(0))))</f>
        <v>10</v>
      </c>
      <c r="CD90" s="63">
        <f>IF(AND(CD88=1,CD89=11),10,MIN(IF(CD88&lt;=0,0,IF(WEEKDAY(CD$6,1)=1,0,MIN(10,CD89)*CD88)),MAX(0,40*MAX(1,CD88)-(CC90))))</f>
        <v>10</v>
      </c>
      <c r="CE90" s="63">
        <f>IF(AND(CE88=1,CE89=11),10,MIN(IF(CE88&lt;=0,0,IF(WEEKDAY(CE$6,1)=1,0,MIN(10,CE89)*CE88)),MAX(0,40*MAX(1,CE88)-(CC90+CD90))))</f>
        <v>10</v>
      </c>
      <c r="CF90" s="63">
        <f>IF(AND(CF88=1,CF89=11),10,MIN(IF(CF88&lt;=0,0,IF(WEEKDAY(CF$6,1)=1,0,MIN(10,CF89)*CF88)),MAX(0,40*MAX(1,CF88)-(CC90+CD90+CE90))))</f>
        <v>10</v>
      </c>
      <c r="CG90" s="63">
        <f>IF(AND(CG88=1,CG89=11),0,MIN(IF(CG88&lt;=0,0,IF(WEEKDAY(CG$6,1)=1,0,MIN(10,CG89)*CG88)),MAX(0,40*MAX(1,CG88)-(CC90+CD90+CE90+CF90))))</f>
        <v>0</v>
      </c>
      <c r="CH90" s="64">
        <f>IF(AND(CH88=1,CH89=11),0,MIN(IF(CH88&lt;=0,0,IF(WEEKDAY(CH$6,1)=1,0,MIN(10,CH89)*CH88)),MAX(0,40*MAX(1,CH88)-(CC90+CD90+CE90+CF90+CG90))))</f>
        <v>0</v>
      </c>
      <c r="CI90" s="64">
        <f>IF(AND(CI88=1,CI89=11),0,MIN(IF(CI88&lt;=0,0,IF(WEEKDAY(CI$6,1)=1,0,MIN(10,CI89)*CI88)),MAX(0,40*MAX(1,CI88)-(CC90+CD90+CE90+CF90+CG90+CH90))))</f>
        <v>0</v>
      </c>
      <c r="CJ90" s="63">
        <f>IF(AND(CJ88=1,CJ89=11),10,MIN(IF(CJ88&lt;=0,0,IF(WEEKDAY(CJ$6,1)=1,0,MIN(10,CJ89)*CJ88)),MAX(0,40*MAX(1,CJ88)-(0))))</f>
        <v>10</v>
      </c>
      <c r="CK90" s="63">
        <f>IF(AND(CK88=1,CK89=11),10,MIN(IF(CK88&lt;=0,0,IF(WEEKDAY(CK$6,1)=1,0,MIN(10,CK89)*CK88)),MAX(0,40*MAX(1,CK88)-(CJ90))))</f>
        <v>10</v>
      </c>
      <c r="CL90" s="63">
        <f>IF(AND(CL88=1,CL89=11),10,MIN(IF(CL88&lt;=0,0,IF(WEEKDAY(CL$6,1)=1,0,MIN(10,CL89)*CL88)),MAX(0,40*MAX(1,CL88)-(CJ90+CK90))))</f>
        <v>10</v>
      </c>
      <c r="CM90" s="63">
        <f>IF(AND(CM88=1,CM89=11),10,MIN(IF(CM88&lt;=0,0,IF(WEEKDAY(CM$6,1)=1,0,MIN(10,CM89)*CM88)),MAX(0,40*MAX(1,CM88)-(CJ90+CK90+CL90))))</f>
        <v>10</v>
      </c>
      <c r="CN90" s="63">
        <f>IF(AND(CN88=1,CN89=11),0,MIN(IF(CN88&lt;=0,0,IF(WEEKDAY(CN$6,1)=1,0,MIN(10,CN89)*CN88)),MAX(0,40*MAX(1,CN88)-(CJ90+CK90+CL90+CM90))))</f>
        <v>0</v>
      </c>
      <c r="CO90" s="64">
        <f>IF(AND(CO88=1,CO89=11),0,MIN(IF(CO88&lt;=0,0,IF(WEEKDAY(CO$6,1)=1,0,MIN(10,CO89)*CO88)),MAX(0,40*MAX(1,CO88)-(CJ90+CK90+CL90+CM90+CN90))))</f>
        <v>0</v>
      </c>
      <c r="CP90" s="64">
        <f>IF(AND(CP88=1,CP89=11),0,MIN(IF(CP88&lt;=0,0,IF(WEEKDAY(CP$6,1)=1,0,MIN(10,CP89)*CP88)),MAX(0,40*MAX(1,CP88)-(CJ90+CK90+CL90+CM90+CN90+CO90))))</f>
        <v>0</v>
      </c>
      <c r="CQ90" s="63">
        <f>IF(AND(CQ88=1,CQ89=11),10,MIN(IF(CQ88&lt;=0,0,IF(WEEKDAY(CQ$6,1)=1,0,MIN(10,CQ89)*CQ88)),MAX(0,40*MAX(1,CQ88)-(0))))</f>
        <v>10</v>
      </c>
      <c r="CR90" s="63">
        <f>IF(AND(CR88=1,CR89=11),10,MIN(IF(CR88&lt;=0,0,IF(WEEKDAY(CR$6,1)=1,0,MIN(10,CR89)*CR88)),MAX(0,40*MAX(1,CR88)-(CQ90))))</f>
        <v>10</v>
      </c>
      <c r="CS90" s="63">
        <f>IF(AND(CS88=1,CS89=11),10,MIN(IF(CS88&lt;=0,0,IF(WEEKDAY(CS$6,1)=1,0,MIN(10,CS89)*CS88)),MAX(0,40*MAX(1,CS88)-(CQ90+CR90))))</f>
        <v>10</v>
      </c>
      <c r="CT90" s="63">
        <f>IF(AND(CT88=1,CT89=11),10,MIN(IF(CT88&lt;=0,0,IF(WEEKDAY(CT$6,1)=1,0,MIN(10,CT89)*CT88)),MAX(0,40*MAX(1,CT88)-(CQ90+CR90+CS90))))</f>
        <v>10</v>
      </c>
      <c r="CU90" s="63">
        <f>IF(AND(CU88=1,CU89=11),0,MIN(IF(CU88&lt;=0,0,IF(WEEKDAY(CU$6,1)=1,0,MIN(10,CU89)*CU88)),MAX(0,40*MAX(1,CU88)-(CQ90+CR90+CS90+CT90))))</f>
        <v>0</v>
      </c>
      <c r="CV90" s="64">
        <f>IF(AND(CV88=1,CV89=11),0,MIN(IF(CV88&lt;=0,0,IF(WEEKDAY(CV$6,1)=1,0,MIN(10,CV89)*CV88)),MAX(0,40*MAX(1,CV88)-(CQ90+CR90+CS90+CT90+CU90))))</f>
        <v>0</v>
      </c>
      <c r="CW90" s="64">
        <f>IF(AND(CW88=1,CW89=11),0,MIN(IF(CW88&lt;=0,0,IF(WEEKDAY(CW$6,1)=1,0,MIN(10,CW89)*CW88)),MAX(0,40*MAX(1,CW88)-(CQ90+CR90+CS90+CT90+CU90+CV90))))</f>
        <v>0</v>
      </c>
      <c r="CX90" s="63">
        <f>IF(AND(CX88=1,CX89=11),10,MIN(IF(CX88&lt;=0,0,IF(WEEKDAY(CX$6,1)=1,0,MIN(10,CX89)*CX88)),MAX(0,40*MAX(1,CX88)-(0))))</f>
        <v>10</v>
      </c>
      <c r="CY90" s="63">
        <f>IF(AND(CY88=1,CY89=11),10,MIN(IF(CY88&lt;=0,0,IF(WEEKDAY(CY$6,1)=1,0,MIN(10,CY89)*CY88)),MAX(0,40*MAX(1,CY88)-(CX90))))</f>
        <v>10</v>
      </c>
      <c r="CZ90" s="63">
        <f>IF(AND(CZ88=1,CZ89=11),10,MIN(IF(CZ88&lt;=0,0,IF(WEEKDAY(CZ$6,1)=1,0,MIN(10,CZ89)*CZ88)),MAX(0,40*MAX(1,CZ88)-(CX90+CY90))))</f>
        <v>10</v>
      </c>
      <c r="DA90" s="63">
        <f>IF(AND(DA88=1,DA89=11),10,MIN(IF(DA88&lt;=0,0,IF(WEEKDAY(DA$6,1)=1,0,MIN(10,DA89)*DA88)),MAX(0,40*MAX(1,DA88)-(CX90+CY90+CZ90))))</f>
        <v>10</v>
      </c>
      <c r="DB90" s="63">
        <f>IF(AND(DB88=1,DB89=11),0,MIN(IF(DB88&lt;=0,0,IF(WEEKDAY(DB$6,1)=1,0,MIN(10,DB89)*DB88)),MAX(0,40*MAX(1,DB88)-(CX90+CY90+CZ90+DA90))))</f>
        <v>0</v>
      </c>
      <c r="DC90" s="64">
        <f>IF(AND(DC88=1,DC89=11),0,MIN(IF(DC88&lt;=0,0,IF(WEEKDAY(DC$6,1)=1,0,MIN(10,DC89)*DC88)),MAX(0,40*MAX(1,DC88)-(CX90+CY90+CZ90+DA90+DB90))))</f>
        <v>0</v>
      </c>
      <c r="DD90" s="64">
        <f>IF(AND(DD88=1,DD89=11),0,MIN(IF(DD88&lt;=0,0,IF(WEEKDAY(DD$6,1)=1,0,MIN(10,DD89)*DD88)),MAX(0,40*MAX(1,DD88)-(0))))</f>
        <v>0</v>
      </c>
      <c r="DE90" s="63">
        <f>IF(AND(DE88=1,DE89=11),10,MIN(IF(DE88&lt;=0,0,IF(WEEKDAY(DE$6,1)=1,0,MIN(10,DE89)*DE88)),MAX(0,40*MAX(1,DE88)-(0))))</f>
        <v>10</v>
      </c>
      <c r="DF90" s="63">
        <f>IF(AND(DF88=1,DF89=11),10,MIN(IF(DF88&lt;=0,0,IF(WEEKDAY(DF$6,1)=1,0,MIN(10,DF89)*DF88)),MAX(0,40*MAX(1,DF88)-(DE90))))</f>
        <v>10</v>
      </c>
      <c r="DG90" s="63">
        <f>IF(AND(DG88=1,DG89=11),10,MIN(IF(DG88&lt;=0,0,IF(WEEKDAY(DG$6,1)=1,0,MIN(10,DG89)*DG88)),MAX(0,40*MAX(1,DG88)-(DE90+DF90))))</f>
        <v>10</v>
      </c>
      <c r="DH90" s="63">
        <f>IF(AND(DH88=1,DH89=11),10,MIN(IF(DH88&lt;=0,0,IF(WEEKDAY(DH$6,1)=1,0,MIN(10,DH89)*DH88)),MAX(0,40*MAX(1,DH88)-(DE90+DF90+DG90))))</f>
        <v>10</v>
      </c>
      <c r="DI90" s="63">
        <f>IF(AND(DI88=1,DI89=11),0,MIN(IF(DI88&lt;=0,0,IF(WEEKDAY(DI$6,1)=1,0,MIN(10,DI89)*DI88)),MAX(0,40*MAX(1,DI88)-(DE90+DF90+DG90+DH90))))</f>
        <v>0</v>
      </c>
      <c r="DJ90" s="64">
        <f>IF(AND(DJ88=1,DJ89=11),0,MIN(IF(DJ88&lt;=0,0,IF(WEEKDAY(DJ$6,1)=1,0,MIN(10,DJ89)*DJ88)),MAX(0,40*MAX(1,DJ88)-(DE90+DF90+DG90+DH90+DI90))))</f>
        <v>0</v>
      </c>
      <c r="DK90" s="64">
        <f>IF(AND(DK88=1,DK89=11),0,MIN(IF(DK88&lt;=0,0,IF(WEEKDAY(DK$6,1)=1,0,MIN(10,DK89)*DK88)),MAX(0,40*MAX(1,DK88)-(DE90+DF90+DG90+DH90+DI90+DJ90))))</f>
        <v>0</v>
      </c>
      <c r="DL90" s="63">
        <f>IF(AND(DL88=1,DL89=11),10,MIN(IF(DL88&lt;=0,0,IF(WEEKDAY(DL$6,1)=1,0,MIN(10,DL89)*DL88)),MAX(0,40*MAX(1,DL88)-(0))))</f>
        <v>10</v>
      </c>
      <c r="DM90" s="63">
        <f>IF(AND(DM88=1,DM89=11),10,MIN(IF(DM88&lt;=0,0,IF(WEEKDAY(DM$6,1)=1,0,MIN(10,DM89)*DM88)),MAX(0,40*MAX(1,DM88)-(DL90))))</f>
        <v>10</v>
      </c>
      <c r="DN90" s="63">
        <f>IF(AND(DN88=1,DN89=11),10,MIN(IF(DN88&lt;=0,0,IF(WEEKDAY(DN$6,1)=1,0,MIN(10,DN89)*DN88)),MAX(0,40*MAX(1,DN88)-(DL90+DM90))))</f>
        <v>10</v>
      </c>
      <c r="DO90" s="63">
        <f>IF(AND(DO88=1,DO89=11),10,MIN(IF(DO88&lt;=0,0,IF(WEEKDAY(DO$6,1)=1,0,MIN(10,DO89)*DO88)),MAX(0,40*MAX(1,DO88)-(DL90+DM90+DN90))))</f>
        <v>10</v>
      </c>
      <c r="DP90" s="63">
        <f>IF(AND(DP88=1,DP89=11),0,MIN(IF(DP88&lt;=0,0,IF(WEEKDAY(DP$6,1)=1,0,MIN(10,DP89)*DP88)),MAX(0,40*MAX(1,DP88)-(DL90+DM90+DN90+DO90))))</f>
        <v>0</v>
      </c>
      <c r="DQ90" s="64">
        <f>IF(AND(DQ88=1,DQ89=11),0,MIN(IF(DQ88&lt;=0,0,IF(WEEKDAY(DQ$6,1)=1,0,MIN(10,DQ89)*DQ88)),MAX(0,40*MAX(1,DQ88)-(DL90+DM90+DN90+DO90+DP90))))</f>
        <v>0</v>
      </c>
      <c r="DR90" s="64">
        <f>IF(AND(DR88=1,DR89=11),0,MIN(IF(DR88&lt;=0,0,IF(WEEKDAY(DR$6,1)=1,0,MIN(10,DR89)*DR88)),MAX(0,40*MAX(1,DR88)-(DL90+DM90+DN90+DO90+DP90+DQ90))))</f>
        <v>0</v>
      </c>
      <c r="DS90" s="63">
        <f>IF(AND(DS88=1,DS89=11),10,MIN(IF(DS88&lt;=0,0,IF(WEEKDAY(DS$6,1)=1,0,MIN(10,DS89)*DS88)),MAX(0,40*MAX(1,DS88)-(0))))</f>
        <v>10</v>
      </c>
      <c r="DT90" s="63">
        <f>IF(AND(DT88=1,DT89=8),8,MIN(IF(DT88&lt;=0,0,IF(WEEKDAY(DT$6,1)=1,0,MIN(8,DT89)*DT88)),MAX(0,40*MAX(1,DT88)-(0))))</f>
        <v>8</v>
      </c>
      <c r="DU90" s="63">
        <f>IF(AND(DU88=1,DU89=8),8,MIN(IF(DU88&lt;=0,0,IF(WEEKDAY(DU$6,1)=1,0,MIN(8,DU89)*DU88)),MAX(0,40*MAX(1,DU88)-(DT90))))</f>
        <v>8</v>
      </c>
      <c r="DV90" s="63">
        <f>IF(AND(DV88=1,DV89=8),8,MIN(IF(DV88&lt;=0,0,IF(WEEKDAY(DV$6,1)=1,0,MIN(8,DV89)*DV88)),MAX(0,40*MAX(1,DV88)-(DT90+DU90))))</f>
        <v>8</v>
      </c>
      <c r="DW90" s="63">
        <f>IF(AND(DW88=1,DW89=8),8,MIN(IF(DW88&lt;=0,0,IF(WEEKDAY(DW$6,1)=1,0,MIN(8,DW89)*DW88)),MAX(0,40*MAX(1,DW88)-(DT90+DU90+DV90))))</f>
        <v>8</v>
      </c>
      <c r="DX90" s="64">
        <f>IF(AND(DX88=0,DX89=0),0,MIN(IF(DX88&lt;=0,0,IF(WEEKDAY(DX$6,1)=1,0,MIN(10,DX89)*DX88)),MAX(0,40*MAX(1,DX88)-(0))))</f>
        <v>0</v>
      </c>
      <c r="DY90" s="64">
        <f>IF(AND(DY88=0,DY89=0),0,MIN(IF(DY88&lt;=0,0,IF(WEEKDAY(DY$6,1)=1,0,MIN(10,DY89)*DY88)),MAX(0,40*MAX(1,DY88)-(DX90))))</f>
        <v>0</v>
      </c>
      <c r="DZ90" s="63">
        <f>IF(AND(DZ88=1,DZ89=8),8,MIN(IF(DZ88&lt;=0,0,IF(WEEKDAY(DZ$6,1)=1,0,MIN(8,DZ89)*DZ88)),MAX(0,40*MAX(1,DZ88)-(0))))</f>
        <v>8</v>
      </c>
      <c r="EA90" s="63">
        <f>IF(AND(EA88=1,EA89=8),8,MIN(IF(EA88&lt;=0,0,IF(WEEKDAY(EA$6,1)=1,0,MIN(8,EA89)*EA88)),MAX(0,40*MAX(1,EA88)-(DZ90))))</f>
        <v>8</v>
      </c>
      <c r="EB90" s="63">
        <f>IF(AND(EB88=1,EB89=8),8,MIN(IF(EB88&lt;=0,0,IF(WEEKDAY(EB$6,1)=1,0,MIN(8,EB89)*EB88)),MAX(0,40*MAX(1,EB88)-(DZ90+EA90))))</f>
        <v>8</v>
      </c>
      <c r="EC90" s="63">
        <f>IF(AND(EC88=1,EC89=8),8,MIN(IF(EC88&lt;=0,0,IF(WEEKDAY(EC$6,1)=1,0,MIN(8,EC89)*EC88)),MAX(0,40*MAX(1,EC88)-(DZ90+EA90+EB90))))</f>
        <v>8</v>
      </c>
      <c r="ED90" s="63">
        <f>IF(AND(ED88=1,ED89=8),8,MIN(IF(ED88&lt;=0,0,IF(WEEKDAY(ED$6,1)=1,0,MIN(8,ED89)*ED88)),MAX(0,40*MAX(1,ED88)-(DZ90+EA90+EB90+EC90))))</f>
        <v>8</v>
      </c>
      <c r="EE90" s="64">
        <f>IF(AND(EE88=0,EE89=0),0,MIN(IF(EE88&lt;=0,0,IF(WEEKDAY(EE$6,1)=1,0,MIN(10,EE89)*EE88)),MAX(0,40*MAX(1,EE88)-(0))))</f>
        <v>0</v>
      </c>
      <c r="EF90" s="64">
        <f>IF(AND(EF88=0,EF89=0),0,MIN(IF(EF88&lt;=0,0,IF(WEEKDAY(EF$6,1)=1,0,MIN(10,EF89)*EF88)),MAX(0,40*MAX(1,EF88)-(EE90))))</f>
        <v>0</v>
      </c>
      <c r="EG90" s="63">
        <f>IF(AND(EG88=1,EG89=8),8,MIN(IF(EG88&lt;=0,0,IF(WEEKDAY(EG$6,1)=1,0,MIN(8,EG89)*EG88)),MAX(0,40*MAX(1,EG88)-(0))))</f>
        <v>8</v>
      </c>
      <c r="EH90" s="63">
        <f>IF(AND(EH88=1,EH89=8),8,MIN(IF(EH88&lt;=0,0,IF(WEEKDAY(EH$6,1)=1,0,MIN(8,EH89)*EH88)),MAX(0,40*MAX(1,EH88)-(EG90))))</f>
        <v>8</v>
      </c>
      <c r="EI90" s="63">
        <f>IF(AND(EI88=1,EI89=8),8,MIN(IF(EI88&lt;=0,0,IF(WEEKDAY(EI$6,1)=1,0,MIN(8,EI89)*EI88)),MAX(0,40*MAX(1,EI88)-(EG90+EH90))))</f>
        <v>8</v>
      </c>
      <c r="EJ90" s="63">
        <f>IF(AND(EJ88=1,EJ89=8),8,MIN(IF(EJ88&lt;=0,0,IF(WEEKDAY(EJ$6,1)=1,0,MIN(8,EJ89)*EJ88)),MAX(0,40*MAX(1,EJ88)-(EG90+EH90+EI90))))</f>
        <v>8</v>
      </c>
      <c r="EK90" s="65">
        <f>IF(AND(EK88=1,EK89=8),8,MIN(IF(EK88&lt;=0,0,IF(WEEKDAY(EK$6,1)=1,0,MIN(8,EK89)*EK88)),MAX(0,40*MAX(1,EK88)-(EG90+EH90+EI90+EJ90))))</f>
        <v>8</v>
      </c>
      <c r="OU90" s="28" t="s">
        <v>82</v>
      </c>
    </row>
    <row r="91" ht="16" customHeight="1" spans="1:411" x14ac:dyDescent="0.25">
      <c r="A91" s="45"/>
      <c r="B91" s="46"/>
      <c r="C91" s="66">
        <f>G87*N(D91)</f>
        <v>19618.75</v>
      </c>
      <c r="D91" s="66">
        <f>IF(TRIM(B87)="","No rate",IFERROR(INDEX('Rate Tables'!D$7:D$158,MATCH(B87,'Rate Tables'!A$7:A$158,0)),"No rate"))</f>
        <v>91.25</v>
      </c>
      <c r="E91" s="55" t="s">
        <v>63</v>
      </c>
      <c r="F91" s="49"/>
      <c r="G91" s="49"/>
      <c r="H91" s="49"/>
      <c r="I91" s="49"/>
      <c r="J91" s="50"/>
      <c r="K91" s="62">
        <f>IF(AND(K88=1,K89=8),0,IF(K88&lt;=0,0,IF(WEEKDAY(K$6,1)=1,0,MAX(0,K89-8)*K88))+((IF(K88&lt;=0,0,IF(WEEKDAY(K$6,1)=1,0,MIN(8,K89)*K88)))-MIN(IF(K88&lt;=0,0,IF(WEEKDAY(K$6,1)=1,0,MIN(8,K89)*K88)),MAX(0,40*MAX(1,K88)-(0)))))</f>
        <v>0</v>
      </c>
      <c r="L91" s="63">
        <f>IF(AND(L88=1,L89=8),0,IF(L88&lt;=0,0,IF(WEEKDAY(L$6,1)=1,0,MAX(0,L89-8)*L88))+((IF(L88&lt;=0,0,IF(WEEKDAY(L$6,1)=1,0,MIN(8,L89)*L88)))-MIN(IF(L88&lt;=0,0,IF(WEEKDAY(L$6,1)=1,0,MIN(8,L89)*L88)),MAX(0,40*MAX(1,L88)-(K90)))))</f>
        <v>0</v>
      </c>
      <c r="M91" s="63">
        <f>IF(AND(M88=1,M89=8),0,IF(M88&lt;=0,0,IF(WEEKDAY(M$6,1)=1,0,MAX(0,M89-8)*M88))+((IF(M88&lt;=0,0,IF(WEEKDAY(M$6,1)=1,0,MIN(8,M89)*M88)))-MIN(IF(M88&lt;=0,0,IF(WEEKDAY(M$6,1)=1,0,MIN(8,M89)*M88)),MAX(0,40*MAX(1,M88)-(K90+L90)))))</f>
        <v>0</v>
      </c>
      <c r="N91" s="63">
        <f>IF(AND(N88=1,N89=8),0,IF(N88&lt;=0,0,IF(WEEKDAY(N$6,1)=1,0,MAX(0,N89-8)*N88))+((IF(N88&lt;=0,0,IF(WEEKDAY(N$6,1)=1,0,MIN(8,N89)*N88)))-MIN(IF(N88&lt;=0,0,IF(WEEKDAY(N$6,1)=1,0,MIN(8,N89)*N88)),MAX(0,40*MAX(1,N88)-(K90+L90+M90)))))</f>
        <v>0</v>
      </c>
      <c r="O91" s="63">
        <f>IF(AND(O88=1,O89=8),0,IF(O88&lt;=0,0,IF(WEEKDAY(O$6,1)=1,0,MAX(0,O89-8)*O88))+((IF(O88&lt;=0,0,IF(WEEKDAY(O$6,1)=1,0,MIN(8,O89)*O88)))-MIN(IF(O88&lt;=0,0,IF(WEEKDAY(O$6,1)=1,0,MIN(8,O89)*O88)),MAX(0,40*MAX(1,O88)-(K90+L90+M90+N90)))))</f>
        <v>0</v>
      </c>
      <c r="P91" s="64">
        <f>IF(AND(P88=0,P89=0),0,IF(P88&lt;=0,0,IF(WEEKDAY(P$6,1)=1,0,MAX(0,P89-10)*P88))+((IF(P88&lt;=0,0,IF(WEEKDAY(P$6,1)=1,0,MIN(10,P89)*P88)))-MIN(IF(P88&lt;=0,0,IF(WEEKDAY(P$6,1)=1,0,MIN(10,P89)*P88)),MAX(0,40*MAX(1,P88)-(0)))))</f>
        <v>0</v>
      </c>
      <c r="Q91" s="64">
        <f>IF(AND(Q88=0,Q89=0),0,IF(Q88&lt;=0,0,IF(WEEKDAY(Q$6,1)=1,0,MAX(0,Q89-10)*Q88))+((IF(Q88&lt;=0,0,IF(WEEKDAY(Q$6,1)=1,0,MIN(10,Q89)*Q88)))-MIN(IF(Q88&lt;=0,0,IF(WEEKDAY(Q$6,1)=1,0,MIN(10,Q89)*Q88)),MAX(0,40*MAX(1,Q88)-(P90)))))</f>
        <v>0</v>
      </c>
      <c r="R91" s="63">
        <f>IF(AND(R88=1,R89=8),0,IF(R88&lt;=0,0,IF(WEEKDAY(R$6,1)=1,0,MAX(0,R89-8)*R88))+((IF(R88&lt;=0,0,IF(WEEKDAY(R$6,1)=1,0,MIN(8,R89)*R88)))-MIN(IF(R88&lt;=0,0,IF(WEEKDAY(R$6,1)=1,0,MIN(8,R89)*R88)),MAX(0,40*MAX(1,R88)-(0)))))</f>
        <v>0</v>
      </c>
      <c r="S91" s="63">
        <f>IF(AND(S88=1,S89=8),0,IF(S88&lt;=0,0,IF(WEEKDAY(S$6,1)=1,0,MAX(0,S89-8)*S88))+((IF(S88&lt;=0,0,IF(WEEKDAY(S$6,1)=1,0,MIN(8,S89)*S88)))-MIN(IF(S88&lt;=0,0,IF(WEEKDAY(S$6,1)=1,0,MIN(8,S89)*S88)),MAX(0,40*MAX(1,S88)-(R90)))))</f>
        <v>0</v>
      </c>
      <c r="T91" s="63">
        <f>IF(AND(T88=1,T89=8),0,IF(T88&lt;=0,0,IF(WEEKDAY(T$6,1)=1,0,MAX(0,T89-8)*T88))+((IF(T88&lt;=0,0,IF(WEEKDAY(T$6,1)=1,0,MIN(8,T89)*T88)))-MIN(IF(T88&lt;=0,0,IF(WEEKDAY(T$6,1)=1,0,MIN(8,T89)*T88)),MAX(0,40*MAX(1,T88)-(R90+S90)))))</f>
        <v>0</v>
      </c>
      <c r="U91" s="63">
        <f>IF(AND(U88=1,U89=8),0,IF(U88&lt;=0,0,IF(WEEKDAY(U$6,1)=1,0,MAX(0,U89-8)*U88))+((IF(U88&lt;=0,0,IF(WEEKDAY(U$6,1)=1,0,MIN(8,U89)*U88)))-MIN(IF(U88&lt;=0,0,IF(WEEKDAY(U$6,1)=1,0,MIN(8,U89)*U88)),MAX(0,40*MAX(1,U88)-(R90+S90+T90)))))</f>
        <v>0</v>
      </c>
      <c r="V91" s="63">
        <f>IF(AND(V88=1,V89=8),0,IF(V88&lt;=0,0,IF(WEEKDAY(V$6,1)=1,0,MAX(0,V89-8)*V88))+((IF(V88&lt;=0,0,IF(WEEKDAY(V$6,1)=1,0,MIN(8,V89)*V88)))-MIN(IF(V88&lt;=0,0,IF(WEEKDAY(V$6,1)=1,0,MIN(8,V89)*V88)),MAX(0,40*MAX(1,V88)-(R90+S90+T90+U90)))))</f>
        <v>0</v>
      </c>
      <c r="W91" s="64">
        <f>IF(AND(W88=0,W89=0),0,IF(W88&lt;=0,0,IF(WEEKDAY(W$6,1)=1,0,MAX(0,W89-10)*W88))+((IF(W88&lt;=0,0,IF(WEEKDAY(W$6,1)=1,0,MIN(10,W89)*W88)))-MIN(IF(W88&lt;=0,0,IF(WEEKDAY(W$6,1)=1,0,MIN(10,W89)*W88)),MAX(0,40*MAX(1,W88)-(0)))))</f>
        <v>0</v>
      </c>
      <c r="X91" s="64">
        <f>IF(AND(X88=0,X89=0),0,IF(X88&lt;=0,0,IF(WEEKDAY(X$6,1)=1,0,MAX(0,X89-10)*X88))+((IF(X88&lt;=0,0,IF(WEEKDAY(X$6,1)=1,0,MIN(10,X89)*X88)))-MIN(IF(X88&lt;=0,0,IF(WEEKDAY(X$6,1)=1,0,MIN(10,X89)*X88)),MAX(0,40*MAX(1,X88)-(W90)))))</f>
        <v>0</v>
      </c>
      <c r="Y91" s="63">
        <f>IF(AND(Y88=1,Y89=8),0,IF(Y88&lt;=0,0,IF(WEEKDAY(Y$6,1)=1,0,MAX(0,Y89-8)*Y88))+((IF(Y88&lt;=0,0,IF(WEEKDAY(Y$6,1)=1,0,MIN(8,Y89)*Y88)))-MIN(IF(Y88&lt;=0,0,IF(WEEKDAY(Y$6,1)=1,0,MIN(8,Y89)*Y88)),MAX(0,40*MAX(1,Y88)-(0)))))</f>
        <v>0</v>
      </c>
      <c r="Z91" s="63">
        <f>IF(AND(Z88=1,Z89=8),0,IF(Z88&lt;=0,0,IF(WEEKDAY(Z$6,1)=1,0,MAX(0,Z89-8)*Z88))+((IF(Z88&lt;=0,0,IF(WEEKDAY(Z$6,1)=1,0,MIN(8,Z89)*Z88)))-MIN(IF(Z88&lt;=0,0,IF(WEEKDAY(Z$6,1)=1,0,MIN(8,Z89)*Z88)),MAX(0,40*MAX(1,Z88)-(Y90)))))</f>
        <v>0</v>
      </c>
      <c r="AA91" s="63">
        <f>IF(AND(AA88=1,AA89=8),0,IF(AA88&lt;=0,0,IF(WEEKDAY(AA$6,1)=1,0,MAX(0,AA89-8)*AA88))+((IF(AA88&lt;=0,0,IF(WEEKDAY(AA$6,1)=1,0,MIN(8,AA89)*AA88)))-MIN(IF(AA88&lt;=0,0,IF(WEEKDAY(AA$6,1)=1,0,MIN(8,AA89)*AA88)),MAX(0,40*MAX(1,AA88)-(Y90+Z90)))))</f>
        <v>0</v>
      </c>
      <c r="AB91" s="63">
        <f>IF(AND(AB88=1,AB89=8),0,IF(AB88&lt;=0,0,IF(WEEKDAY(AB$6,1)=1,0,MAX(0,AB89-8)*AB88))+((IF(AB88&lt;=0,0,IF(WEEKDAY(AB$6,1)=1,0,MIN(8,AB89)*AB88)))-MIN(IF(AB88&lt;=0,0,IF(WEEKDAY(AB$6,1)=1,0,MIN(8,AB89)*AB88)),MAX(0,40*MAX(1,AB88)-(Y90+Z90+AA90)))))</f>
        <v>0</v>
      </c>
      <c r="AC91" s="63">
        <f>IF(AND(AC88=1,AC89=8),0,IF(AC88&lt;=0,0,IF(WEEKDAY(AC$6,1)=1,0,MAX(0,AC89-8)*AC88))+((IF(AC88&lt;=0,0,IF(WEEKDAY(AC$6,1)=1,0,MIN(8,AC89)*AC88)))-MIN(IF(AC88&lt;=0,0,IF(WEEKDAY(AC$6,1)=1,0,MIN(8,AC89)*AC88)),MAX(0,40*MAX(1,AC88)-(Y90+Z90+AA90+AB90)))))</f>
        <v>0</v>
      </c>
      <c r="AD91" s="64">
        <f>IF(AND(AD88=0,AD89=0),0,IF(AD88&lt;=0,0,IF(WEEKDAY(AD$6,1)=1,0,MAX(0,AD89-10)*AD88))+((IF(AD88&lt;=0,0,IF(WEEKDAY(AD$6,1)=1,0,MIN(10,AD89)*AD88)))-MIN(IF(AD88&lt;=0,0,IF(WEEKDAY(AD$6,1)=1,0,MIN(10,AD89)*AD88)),MAX(0,40*MAX(1,AD88)-(0)))))</f>
        <v>0</v>
      </c>
      <c r="AE91" s="64">
        <f>IF(AND(AE88=0,AE89=0),0,IF(AE88&lt;=0,0,IF(WEEKDAY(AE$6,1)=1,0,MAX(0,AE89-10)*AE88))+((IF(AE88&lt;=0,0,IF(WEEKDAY(AE$6,1)=1,0,MIN(10,AE89)*AE88)))-MIN(IF(AE88&lt;=0,0,IF(WEEKDAY(AE$6,1)=1,0,MIN(10,AE89)*AE88)),MAX(0,40*MAX(1,AE88)-(AD90)))))</f>
        <v>0</v>
      </c>
      <c r="AF91" s="63">
        <f>IF(AND(AF88=1,AF89=8),0,IF(AF88&lt;=0,0,IF(WEEKDAY(AF$6,1)=1,0,MAX(0,AF89-8)*AF88))+((IF(AF88&lt;=0,0,IF(WEEKDAY(AF$6,1)=1,0,MIN(8,AF89)*AF88)))-MIN(IF(AF88&lt;=0,0,IF(WEEKDAY(AF$6,1)=1,0,MIN(8,AF89)*AF88)),MAX(0,40*MAX(1,AF88)-(0)))))</f>
        <v>0</v>
      </c>
      <c r="AG91" s="63">
        <f>IF(AND(AG88=1,AG89=8),0,IF(AG88&lt;=0,0,IF(WEEKDAY(AG$6,1)=1,0,MAX(0,AG89-8)*AG88))+((IF(AG88&lt;=0,0,IF(WEEKDAY(AG$6,1)=1,0,MIN(8,AG89)*AG88)))-MIN(IF(AG88&lt;=0,0,IF(WEEKDAY(AG$6,1)=1,0,MIN(8,AG89)*AG88)),MAX(0,40*MAX(1,AG88)-(AF90)))))</f>
        <v>0</v>
      </c>
      <c r="AH91" s="63">
        <f>IF(AND(AH88=1,AH89=8),0,IF(AH88&lt;=0,0,IF(WEEKDAY(AH$6,1)=1,0,MAX(0,AH89-8)*AH88))+((IF(AH88&lt;=0,0,IF(WEEKDAY(AH$6,1)=1,0,MIN(8,AH89)*AH88)))-MIN(IF(AH88&lt;=0,0,IF(WEEKDAY(AH$6,1)=1,0,MIN(8,AH89)*AH88)),MAX(0,40*MAX(1,AH88)-(AF90+AG90)))))</f>
        <v>0</v>
      </c>
      <c r="AI91" s="63">
        <f>IF(AND(AI88=1,AI89=8),0,IF(AI88&lt;=0,0,IF(WEEKDAY(AI$6,1)=1,0,MAX(0,AI89-8)*AI88))+((IF(AI88&lt;=0,0,IF(WEEKDAY(AI$6,1)=1,0,MIN(8,AI89)*AI88)))-MIN(IF(AI88&lt;=0,0,IF(WEEKDAY(AI$6,1)=1,0,MIN(8,AI89)*AI88)),MAX(0,40*MAX(1,AI88)-(AF90+AG90+AH90)))))</f>
        <v>0</v>
      </c>
      <c r="AJ91" s="63">
        <f>IF(AND(AJ88=1,AJ89=8),0,IF(AJ88&lt;=0,0,IF(WEEKDAY(AJ$6,1)=1,0,MAX(0,AJ89-8)*AJ88))+((IF(AJ88&lt;=0,0,IF(WEEKDAY(AJ$6,1)=1,0,MIN(8,AJ89)*AJ88)))-MIN(IF(AJ88&lt;=0,0,IF(WEEKDAY(AJ$6,1)=1,0,MIN(8,AJ89)*AJ88)),MAX(0,40*MAX(1,AJ88)-(AF90+AG90+AH90+AI90)))))</f>
        <v>0</v>
      </c>
      <c r="AK91" s="64">
        <f>IF(AND(AK88=0,AK89=0),0,IF(AK88&lt;=0,0,IF(WEEKDAY(AK$6,1)=1,0,MAX(0,AK89-10)*AK88))+((IF(AK88&lt;=0,0,IF(WEEKDAY(AK$6,1)=1,0,MIN(10,AK89)*AK88)))-MIN(IF(AK88&lt;=0,0,IF(WEEKDAY(AK$6,1)=1,0,MIN(10,AK89)*AK88)),MAX(0,40*MAX(1,AK88)-(0)))))</f>
        <v>0</v>
      </c>
      <c r="AL91" s="64">
        <f>IF(AND(AL88=0,AL89=0),0,IF(AL88&lt;=0,0,IF(WEEKDAY(AL$6,1)=1,0,MAX(0,AL89-10)*AL88))+((IF(AL88&lt;=0,0,IF(WEEKDAY(AL$6,1)=1,0,MIN(10,AL89)*AL88)))-MIN(IF(AL88&lt;=0,0,IF(WEEKDAY(AL$6,1)=1,0,MIN(10,AL89)*AL88)),MAX(0,40*MAX(1,AL88)-(AK90)))))</f>
        <v>0</v>
      </c>
      <c r="AM91" s="63">
        <f>IF(AND(AM88=1,AM89=8),0,IF(AM88&lt;=0,0,IF(WEEKDAY(AM$6,1)=1,0,MAX(0,AM89-8)*AM88))+((IF(AM88&lt;=0,0,IF(WEEKDAY(AM$6,1)=1,0,MIN(8,AM89)*AM88)))-MIN(IF(AM88&lt;=0,0,IF(WEEKDAY(AM$6,1)=1,0,MIN(8,AM89)*AM88)),MAX(0,40*MAX(1,AM88)-(0)))))</f>
        <v>0</v>
      </c>
      <c r="AN91" s="63">
        <f>IF(AND(AN88=1,AN89=8),0,IF(AN88&lt;=0,0,IF(WEEKDAY(AN$6,1)=1,0,MAX(0,AN89-8)*AN88))+((IF(AN88&lt;=0,0,IF(WEEKDAY(AN$6,1)=1,0,MIN(8,AN89)*AN88)))-MIN(IF(AN88&lt;=0,0,IF(WEEKDAY(AN$6,1)=1,0,MIN(8,AN89)*AN88)),MAX(0,40*MAX(1,AN88)-(AM90)))))</f>
        <v>0</v>
      </c>
      <c r="AO91" s="63">
        <f>IF(AND(AO88=1,AO89=8),0,IF(AO88&lt;=0,0,IF(WEEKDAY(AO$6,1)=1,0,MAX(0,AO89-8)*AO88))+((IF(AO88&lt;=0,0,IF(WEEKDAY(AO$6,1)=1,0,MIN(8,AO89)*AO88)))-MIN(IF(AO88&lt;=0,0,IF(WEEKDAY(AO$6,1)=1,0,MIN(8,AO89)*AO88)),MAX(0,40*MAX(1,AO88)-(AM90+AN90)))))</f>
        <v>0</v>
      </c>
      <c r="AP91" s="63">
        <f>IF(AND(AP88=1,AP89=8),0,IF(AP88&lt;=0,0,IF(WEEKDAY(AP$6,1)=1,0,MAX(0,AP89-8)*AP88))+((IF(AP88&lt;=0,0,IF(WEEKDAY(AP$6,1)=1,0,MIN(8,AP89)*AP88)))-MIN(IF(AP88&lt;=0,0,IF(WEEKDAY(AP$6,1)=1,0,MIN(8,AP89)*AP88)),MAX(0,40*MAX(1,AP88)-(AM90+AN90+AO90)))))</f>
        <v>0</v>
      </c>
      <c r="AQ91" s="63">
        <f>IF(AND(AQ88=1,AQ89=8),0,IF(AQ88&lt;=0,0,IF(WEEKDAY(AQ$6,1)=1,0,MAX(0,AQ89-8)*AQ88))+((IF(AQ88&lt;=0,0,IF(WEEKDAY(AQ$6,1)=1,0,MIN(8,AQ89)*AQ88)))-MIN(IF(AQ88&lt;=0,0,IF(WEEKDAY(AQ$6,1)=1,0,MIN(8,AQ89)*AQ88)),MAX(0,40*MAX(1,AQ88)-(AM90+AN90+AO90+AP90)))))</f>
        <v>0</v>
      </c>
      <c r="AR91" s="64">
        <f>IF(AND(AR88=0,AR89=0),0,IF(AR88&lt;=0,0,IF(WEEKDAY(AR$6,1)=1,0,MAX(0,AR89-10)*AR88))+((IF(AR88&lt;=0,0,IF(WEEKDAY(AR$6,1)=1,0,MIN(10,AR89)*AR88)))-MIN(IF(AR88&lt;=0,0,IF(WEEKDAY(AR$6,1)=1,0,MIN(10,AR89)*AR88)),MAX(0,40*MAX(1,AR88)-(0)))))</f>
        <v>0</v>
      </c>
      <c r="AS91" s="64">
        <f>IF(AND(AS88=0,AS89=0),0,IF(AS88&lt;=0,0,IF(WEEKDAY(AS$6,1)=1,0,MAX(0,AS89-10)*AS88))+((IF(AS88&lt;=0,0,IF(WEEKDAY(AS$6,1)=1,0,MIN(10,AS89)*AS88)))-MIN(IF(AS88&lt;=0,0,IF(WEEKDAY(AS$6,1)=1,0,MIN(10,AS89)*AS88)),MAX(0,40*MAX(1,AS88)-(AR90)))))</f>
        <v>0</v>
      </c>
      <c r="AT91" s="63">
        <f>IF(AND(AT88=1,AT89=8),0,IF(AT88&lt;=0,0,IF(WEEKDAY(AT$6,1)=1,0,MAX(0,AT89-8)*AT88))+((IF(AT88&lt;=0,0,IF(WEEKDAY(AT$6,1)=1,0,MIN(8,AT89)*AT88)))-MIN(IF(AT88&lt;=0,0,IF(WEEKDAY(AT$6,1)=1,0,MIN(8,AT89)*AT88)),MAX(0,40*MAX(1,AT88)-(0)))))</f>
        <v>0</v>
      </c>
      <c r="AU91" s="63">
        <f>IF(AND(AU88=1,AU89=8),0,IF(AU88&lt;=0,0,IF(WEEKDAY(AU$6,1)=1,0,MAX(0,AU89-8)*AU88))+((IF(AU88&lt;=0,0,IF(WEEKDAY(AU$6,1)=1,0,MIN(8,AU89)*AU88)))-MIN(IF(AU88&lt;=0,0,IF(WEEKDAY(AU$6,1)=1,0,MIN(8,AU89)*AU88)),MAX(0,40*MAX(1,AU88)-(AT90)))))</f>
        <v>0</v>
      </c>
      <c r="AV91" s="63">
        <f>IF(AND(AV88=1,AV89=8),0,IF(AV88&lt;=0,0,IF(WEEKDAY(AV$6,1)=1,0,MAX(0,AV89-8)*AV88))+((IF(AV88&lt;=0,0,IF(WEEKDAY(AV$6,1)=1,0,MIN(8,AV89)*AV88)))-MIN(IF(AV88&lt;=0,0,IF(WEEKDAY(AV$6,1)=1,0,MIN(8,AV89)*AV88)),MAX(0,40*MAX(1,AV88)-(AT90+AU90)))))</f>
        <v>0</v>
      </c>
      <c r="AW91" s="63">
        <f>IF(AND(AW88=1,AW89=8),0,IF(AW88&lt;=0,0,IF(WEEKDAY(AW$6,1)=1,0,MAX(0,AW89-8)*AW88))+((IF(AW88&lt;=0,0,IF(WEEKDAY(AW$6,1)=1,0,MIN(8,AW89)*AW88)))-MIN(IF(AW88&lt;=0,0,IF(WEEKDAY(AW$6,1)=1,0,MIN(8,AW89)*AW88)),MAX(0,40*MAX(1,AW88)-(AT90+AU90+AV90)))))</f>
        <v>0</v>
      </c>
      <c r="AX91" s="63">
        <f>IF(AND(AX88=1,AX89=8),0,IF(AX88&lt;=0,0,IF(WEEKDAY(AX$6,1)=1,0,MAX(0,AX89-8)*AX88))+((IF(AX88&lt;=0,0,IF(WEEKDAY(AX$6,1)=1,0,MIN(8,AX89)*AX88)))-MIN(IF(AX88&lt;=0,0,IF(WEEKDAY(AX$6,1)=1,0,MIN(8,AX89)*AX88)),MAX(0,40*MAX(1,AX88)-(AT90+AU90+AV90+AW90)))))</f>
        <v>0</v>
      </c>
      <c r="AY91" s="64">
        <f>IF(AND(AY88=0,AY89=0),0,IF(AY88&lt;=0,0,IF(WEEKDAY(AY$6,1)=1,0,MAX(0,AY89-10)*AY88))+((IF(AY88&lt;=0,0,IF(WEEKDAY(AY$6,1)=1,0,MIN(10,AY89)*AY88)))-MIN(IF(AY88&lt;=0,0,IF(WEEKDAY(AY$6,1)=1,0,MIN(10,AY89)*AY88)),MAX(0,40*MAX(1,AY88)-(0)))))</f>
        <v>0</v>
      </c>
      <c r="AZ91" s="64">
        <f>IF(AND(AZ88=0,AZ89=0),0,IF(AZ88&lt;=0,0,IF(WEEKDAY(AZ$6,1)=1,0,MAX(0,AZ89-10)*AZ88))+((IF(AZ88&lt;=0,0,IF(WEEKDAY(AZ$6,1)=1,0,MIN(10,AZ89)*AZ88)))-MIN(IF(AZ88&lt;=0,0,IF(WEEKDAY(AZ$6,1)=1,0,MIN(10,AZ89)*AZ88)),MAX(0,40*MAX(1,AZ88)-(AY90)))))</f>
        <v>0</v>
      </c>
      <c r="BA91" s="63">
        <f>IF(AND(BA88=1,BA89=8),0,IF(BA88&lt;=0,0,IF(WEEKDAY(BA$6,1)=1,0,MAX(0,BA89-8)*BA88))+((IF(BA88&lt;=0,0,IF(WEEKDAY(BA$6,1)=1,0,MIN(8,BA89)*BA88)))-MIN(IF(BA88&lt;=0,0,IF(WEEKDAY(BA$6,1)=1,0,MIN(8,BA89)*BA88)),MAX(0,40*MAX(1,BA88)-(0)))))</f>
        <v>0</v>
      </c>
      <c r="BB91" s="63">
        <f>IF(AND(BB88=1,BB89=8),0,IF(BB88&lt;=0,0,IF(WEEKDAY(BB$6,1)=1,0,MAX(0,BB89-8)*BB88))+((IF(BB88&lt;=0,0,IF(WEEKDAY(BB$6,1)=1,0,MIN(8,BB89)*BB88)))-MIN(IF(BB88&lt;=0,0,IF(WEEKDAY(BB$6,1)=1,0,MIN(8,BB89)*BB88)),MAX(0,40*MAX(1,BB88)-(BA90)))))</f>
        <v>0</v>
      </c>
      <c r="BC91" s="63">
        <f>IF(AND(BC88=1,BC89=8),0,IF(BC88&lt;=0,0,IF(WEEKDAY(BC$6,1)=1,0,MAX(0,BC89-8)*BC88))+((IF(BC88&lt;=0,0,IF(WEEKDAY(BC$6,1)=1,0,MIN(8,BC89)*BC88)))-MIN(IF(BC88&lt;=0,0,IF(WEEKDAY(BC$6,1)=1,0,MIN(8,BC89)*BC88)),MAX(0,40*MAX(1,BC88)-(BA90+BB90)))))</f>
        <v>0</v>
      </c>
      <c r="BD91" s="63">
        <f>IF(AND(BD88=1,BD89=8),0,IF(BD88&lt;=0,0,IF(WEEKDAY(BD$6,1)=1,0,MAX(0,BD89-8)*BD88))+((IF(BD88&lt;=0,0,IF(WEEKDAY(BD$6,1)=1,0,MIN(8,BD89)*BD88)))-MIN(IF(BD88&lt;=0,0,IF(WEEKDAY(BD$6,1)=1,0,MIN(8,BD89)*BD88)),MAX(0,40*MAX(1,BD88)-(BA90+BB90+BC90)))))</f>
        <v>0</v>
      </c>
      <c r="BE91" s="63">
        <f>IF(AND(BE88=1,BE89=8),0,IF(BE88&lt;=0,0,IF(WEEKDAY(BE$6,1)=1,0,MAX(0,BE89-8)*BE88))+((IF(BE88&lt;=0,0,IF(WEEKDAY(BE$6,1)=1,0,MIN(8,BE89)*BE88)))-MIN(IF(BE88&lt;=0,0,IF(WEEKDAY(BE$6,1)=1,0,MIN(8,BE89)*BE88)),MAX(0,40*MAX(1,BE88)-(BA90+BB90+BC90+BD90)))))</f>
        <v>0</v>
      </c>
      <c r="BF91" s="64">
        <f>IF(AND(BF88=0,BF89=0),0,IF(BF88&lt;=0,0,IF(WEEKDAY(BF$6,1)=1,0,MAX(0,BF89-10)*BF88))+((IF(BF88&lt;=0,0,IF(WEEKDAY(BF$6,1)=1,0,MIN(10,BF89)*BF88)))-MIN(IF(BF88&lt;=0,0,IF(WEEKDAY(BF$6,1)=1,0,MIN(10,BF89)*BF88)),MAX(0,40*MAX(1,BF88)-(0)))))</f>
        <v>0</v>
      </c>
      <c r="BG91" s="64">
        <f>IF(AND(BG88=0,BG89=0),0,IF(BG88&lt;=0,0,IF(WEEKDAY(BG$6,1)=1,0,MAX(0,BG89-10)*BG88))+((IF(BG88&lt;=0,0,IF(WEEKDAY(BG$6,1)=1,0,MIN(10,BG89)*BG88)))-MIN(IF(BG88&lt;=0,0,IF(WEEKDAY(BG$6,1)=1,0,MIN(10,BG89)*BG88)),MAX(0,40*MAX(1,BG88)-(BF90)))))</f>
        <v>0</v>
      </c>
      <c r="BH91" s="63">
        <f>IF(AND(BH88=1,BH89=11),1,IF(BH88&lt;=0,0,IF(WEEKDAY(BH$6,1)=1,0,MAX(0,BH89-10)*BH88))+((IF(BH88&lt;=0,0,IF(WEEKDAY(BH$6,1)=1,0,MIN(10,BH89)*BH88)))-MIN(IF(BH88&lt;=0,0,IF(WEEKDAY(BH$6,1)=1,0,MIN(10,BH89)*BH88)),MAX(0,40*MAX(1,BH88)-(0)))))</f>
        <v>1</v>
      </c>
      <c r="BI91" s="63">
        <f>IF(AND(BI88=1,BI89=11),1,IF(BI88&lt;=0,0,IF(WEEKDAY(BI$6,1)=1,0,MAX(0,BI89-10)*BI88))+((IF(BI88&lt;=0,0,IF(WEEKDAY(BI$6,1)=1,0,MIN(10,BI89)*BI88)))-MIN(IF(BI88&lt;=0,0,IF(WEEKDAY(BI$6,1)=1,0,MIN(10,BI89)*BI88)),MAX(0,40*MAX(1,BI88)-(BH90)))))</f>
        <v>1</v>
      </c>
      <c r="BJ91" s="63">
        <f>IF(AND(BJ88=1,BJ89=11),1,IF(BJ88&lt;=0,0,IF(WEEKDAY(BJ$6,1)=1,0,MAX(0,BJ89-10)*BJ88))+((IF(BJ88&lt;=0,0,IF(WEEKDAY(BJ$6,1)=1,0,MIN(10,BJ89)*BJ88)))-MIN(IF(BJ88&lt;=0,0,IF(WEEKDAY(BJ$6,1)=1,0,MIN(10,BJ89)*BJ88)),MAX(0,40*MAX(1,BJ88)-(BH90+BI90)))))</f>
        <v>1</v>
      </c>
      <c r="BK91" s="63">
        <f>IF(AND(BK88=1,BK89=11),1,IF(BK88&lt;=0,0,IF(WEEKDAY(BK$6,1)=1,0,MAX(0,BK89-10)*BK88))+((IF(BK88&lt;=0,0,IF(WEEKDAY(BK$6,1)=1,0,MIN(10,BK89)*BK88)))-MIN(IF(BK88&lt;=0,0,IF(WEEKDAY(BK$6,1)=1,0,MIN(10,BK89)*BK88)),MAX(0,40*MAX(1,BK88)-(BH90+BI90+BJ90)))))</f>
        <v>1</v>
      </c>
      <c r="BL91" s="63">
        <f>IF(AND(BL88=1,BL89=11),11,IF(BL88&lt;=0,0,IF(WEEKDAY(BL$6,1)=1,0,MAX(0,BL89-10)*BL88))+((IF(BL88&lt;=0,0,IF(WEEKDAY(BL$6,1)=1,0,MIN(10,BL89)*BL88)))-MIN(IF(BL88&lt;=0,0,IF(WEEKDAY(BL$6,1)=1,0,MIN(10,BL89)*BL88)),MAX(0,40*MAX(1,BL88)-(BH90+BI90+BJ90+BK90)))))</f>
        <v>11</v>
      </c>
      <c r="BM91" s="64">
        <f>IF(AND(BM88=1,BM89=11),11,IF(BM88&lt;=0,0,IF(WEEKDAY(BM$6,1)=1,0,MAX(0,BM89-10)*BM88))+((IF(BM88&lt;=0,0,IF(WEEKDAY(BM$6,1)=1,0,MIN(10,BM89)*BM88)))-MIN(IF(BM88&lt;=0,0,IF(WEEKDAY(BM$6,1)=1,0,MIN(10,BM89)*BM88)),MAX(0,40*MAX(1,BM88)-(BH90+BI90+BJ90+BK90+BL90)))))</f>
        <v>11</v>
      </c>
      <c r="BN91" s="64">
        <f>IF(AND(BN88=1,BN89=11),0,IF(BN88&lt;=0,0,IF(WEEKDAY(BN$6,1)=1,0,MAX(0,BN89-10)*BN88))+((IF(BN88&lt;=0,0,IF(WEEKDAY(BN$6,1)=1,0,MIN(10,BN89)*BN88)))-MIN(IF(BN88&lt;=0,0,IF(WEEKDAY(BN$6,1)=1,0,MIN(10,BN89)*BN88)),MAX(0,40*MAX(1,BN88)-(BH90+BI90+BJ90+BK90+BL90+BM90)))))</f>
        <v>0</v>
      </c>
      <c r="BO91" s="63">
        <f>IF(AND(BO88=1,BO89=11),1,IF(BO88&lt;=0,0,IF(WEEKDAY(BO$6,1)=1,0,MAX(0,BO89-10)*BO88))+((IF(BO88&lt;=0,0,IF(WEEKDAY(BO$6,1)=1,0,MIN(10,BO89)*BO88)))-MIN(IF(BO88&lt;=0,0,IF(WEEKDAY(BO$6,1)=1,0,MIN(10,BO89)*BO88)),MAX(0,40*MAX(1,BO88)-(0)))))</f>
        <v>1</v>
      </c>
      <c r="BP91" s="63">
        <f>IF(AND(BP88=1,BP89=11),1,IF(BP88&lt;=0,0,IF(WEEKDAY(BP$6,1)=1,0,MAX(0,BP89-10)*BP88))+((IF(BP88&lt;=0,0,IF(WEEKDAY(BP$6,1)=1,0,MIN(10,BP89)*BP88)))-MIN(IF(BP88&lt;=0,0,IF(WEEKDAY(BP$6,1)=1,0,MIN(10,BP89)*BP88)),MAX(0,40*MAX(1,BP88)-(BO90)))))</f>
        <v>1</v>
      </c>
      <c r="BQ91" s="63">
        <f>IF(AND(BQ88=1,BQ89=11),1,IF(BQ88&lt;=0,0,IF(WEEKDAY(BQ$6,1)=1,0,MAX(0,BQ89-10)*BQ88))+((IF(BQ88&lt;=0,0,IF(WEEKDAY(BQ$6,1)=1,0,MIN(10,BQ89)*BQ88)))-MIN(IF(BQ88&lt;=0,0,IF(WEEKDAY(BQ$6,1)=1,0,MIN(10,BQ89)*BQ88)),MAX(0,40*MAX(1,BQ88)-(BO90+BP90)))))</f>
        <v>1</v>
      </c>
      <c r="BR91" s="63">
        <f>IF(AND(BR88=1,BR89=11),1,IF(BR88&lt;=0,0,IF(WEEKDAY(BR$6,1)=1,0,MAX(0,BR89-10)*BR88))+((IF(BR88&lt;=0,0,IF(WEEKDAY(BR$6,1)=1,0,MIN(10,BR89)*BR88)))-MIN(IF(BR88&lt;=0,0,IF(WEEKDAY(BR$6,1)=1,0,MIN(10,BR89)*BR88)),MAX(0,40*MAX(1,BR88)-(0)))))</f>
        <v>1</v>
      </c>
      <c r="BS91" s="63">
        <f>IF(AND(BS88=1,BS89=11),1,IF(BS88&lt;=0,0,IF(WEEKDAY(BS$6,1)=1,0,MAX(0,BS89-10)*BS88))+((IF(BS88&lt;=0,0,IF(WEEKDAY(BS$6,1)=1,0,MIN(10,BS89)*BS88)))-MIN(IF(BS88&lt;=0,0,IF(WEEKDAY(BS$6,1)=1,0,MIN(10,BS89)*BS88)),MAX(0,40*MAX(1,BS88)-(BR90)))))</f>
        <v>1</v>
      </c>
      <c r="BT91" s="64">
        <f>IF(AND(BT88=1,BT89=11),1,IF(BT88&lt;=0,0,IF(WEEKDAY(BT$6,1)=1,0,MAX(0,BT89-10)*BT88))+((IF(BT88&lt;=0,0,IF(WEEKDAY(BT$6,1)=1,0,MIN(10,BT89)*BT88)))-MIN(IF(BT88&lt;=0,0,IF(WEEKDAY(BT$6,1)=1,0,MIN(10,BT89)*BT88)),MAX(0,40*MAX(1,BT88)-(BR90+BS90)))))</f>
        <v>1</v>
      </c>
      <c r="BU91" s="64">
        <f>IF(AND(BU88=1,BU89=11),0,IF(BU88&lt;=0,0,IF(WEEKDAY(BU$6,1)=1,0,MAX(0,BU89-10)*BU88))+((IF(BU88&lt;=0,0,IF(WEEKDAY(BU$6,1)=1,0,MIN(10,BU89)*BU88)))-MIN(IF(BU88&lt;=0,0,IF(WEEKDAY(BU$6,1)=1,0,MIN(10,BU89)*BU88)),MAX(0,40*MAX(1,BU88)-(BR90+BS90+BT90)))))</f>
        <v>0</v>
      </c>
      <c r="BV91" s="63">
        <f>IF(AND(BV88=1,BV89=11),1,IF(BV88&lt;=0,0,IF(WEEKDAY(BV$6,1)=1,0,MAX(0,BV89-10)*BV88))+((IF(BV88&lt;=0,0,IF(WEEKDAY(BV$6,1)=1,0,MIN(10,BV89)*BV88)))-MIN(IF(BV88&lt;=0,0,IF(WEEKDAY(BV$6,1)=1,0,MIN(10,BV89)*BV88)),MAX(0,40*MAX(1,BV88)-(0)))))</f>
        <v>1</v>
      </c>
      <c r="BW91" s="63">
        <f>IF(AND(BW88=1,BW89=11),1,IF(BW88&lt;=0,0,IF(WEEKDAY(BW$6,1)=1,0,MAX(0,BW89-10)*BW88))+((IF(BW88&lt;=0,0,IF(WEEKDAY(BW$6,1)=1,0,MIN(10,BW89)*BW88)))-MIN(IF(BW88&lt;=0,0,IF(WEEKDAY(BW$6,1)=1,0,MIN(10,BW89)*BW88)),MAX(0,40*MAX(1,BW88)-(BV90)))))</f>
        <v>1</v>
      </c>
      <c r="BX91" s="63">
        <f>IF(AND(BX88=1,BX89=11),1,IF(BX88&lt;=0,0,IF(WEEKDAY(BX$6,1)=1,0,MAX(0,BX89-10)*BX88))+((IF(BX88&lt;=0,0,IF(WEEKDAY(BX$6,1)=1,0,MIN(10,BX89)*BX88)))-MIN(IF(BX88&lt;=0,0,IF(WEEKDAY(BX$6,1)=1,0,MIN(10,BX89)*BX88)),MAX(0,40*MAX(1,BX88)-(BV90+BW90)))))</f>
        <v>1</v>
      </c>
      <c r="BY91" s="63">
        <f>IF(AND(BY88=1,BY89=11),1,IF(BY88&lt;=0,0,IF(WEEKDAY(BY$6,1)=1,0,MAX(0,BY89-10)*BY88))+((IF(BY88&lt;=0,0,IF(WEEKDAY(BY$6,1)=1,0,MIN(10,BY89)*BY88)))-MIN(IF(BY88&lt;=0,0,IF(WEEKDAY(BY$6,1)=1,0,MIN(10,BY89)*BY88)),MAX(0,40*MAX(1,BY88)-(BV90+BW90+BX90)))))</f>
        <v>1</v>
      </c>
      <c r="BZ91" s="63">
        <f>IF(AND(BZ88=1,BZ89=11),11,IF(BZ88&lt;=0,0,IF(WEEKDAY(BZ$6,1)=1,0,MAX(0,BZ89-10)*BZ88))+((IF(BZ88&lt;=0,0,IF(WEEKDAY(BZ$6,1)=1,0,MIN(10,BZ89)*BZ88)))-MIN(IF(BZ88&lt;=0,0,IF(WEEKDAY(BZ$6,1)=1,0,MIN(10,BZ89)*BZ88)),MAX(0,40*MAX(1,BZ88)-(BV90+BW90+BX90+BY90)))))</f>
        <v>11</v>
      </c>
      <c r="CA91" s="64">
        <f>IF(AND(CA88=1,CA89=11),11,IF(CA88&lt;=0,0,IF(WEEKDAY(CA$6,1)=1,0,MAX(0,CA89-10)*CA88))+((IF(CA88&lt;=0,0,IF(WEEKDAY(CA$6,1)=1,0,MIN(10,CA89)*CA88)))-MIN(IF(CA88&lt;=0,0,IF(WEEKDAY(CA$6,1)=1,0,MIN(10,CA89)*CA88)),MAX(0,40*MAX(1,CA88)-(BV90+BW90+BX90+BY90+BZ90)))))</f>
        <v>11</v>
      </c>
      <c r="CB91" s="64">
        <f>IF(AND(CB88=1,CB89=11),0,IF(CB88&lt;=0,0,IF(WEEKDAY(CB$6,1)=1,0,MAX(0,CB89-10)*CB88))+((IF(CB88&lt;=0,0,IF(WEEKDAY(CB$6,1)=1,0,MIN(10,CB89)*CB88)))-MIN(IF(CB88&lt;=0,0,IF(WEEKDAY(CB$6,1)=1,0,MIN(10,CB89)*CB88)),MAX(0,40*MAX(1,CB88)-(BV90+BW90+BX90+BY90+BZ90+CA90)))))</f>
        <v>0</v>
      </c>
      <c r="CC91" s="63">
        <f>IF(AND(CC88=1,CC89=11),1,IF(CC88&lt;=0,0,IF(WEEKDAY(CC$6,1)=1,0,MAX(0,CC89-10)*CC88))+((IF(CC88&lt;=0,0,IF(WEEKDAY(CC$6,1)=1,0,MIN(10,CC89)*CC88)))-MIN(IF(CC88&lt;=0,0,IF(WEEKDAY(CC$6,1)=1,0,MIN(10,CC89)*CC88)),MAX(0,40*MAX(1,CC88)-(0)))))</f>
        <v>1</v>
      </c>
      <c r="CD91" s="63">
        <f>IF(AND(CD88=1,CD89=11),1,IF(CD88&lt;=0,0,IF(WEEKDAY(CD$6,1)=1,0,MAX(0,CD89-10)*CD88))+((IF(CD88&lt;=0,0,IF(WEEKDAY(CD$6,1)=1,0,MIN(10,CD89)*CD88)))-MIN(IF(CD88&lt;=0,0,IF(WEEKDAY(CD$6,1)=1,0,MIN(10,CD89)*CD88)),MAX(0,40*MAX(1,CD88)-(CC90)))))</f>
        <v>1</v>
      </c>
      <c r="CE91" s="63">
        <f>IF(AND(CE88=1,CE89=11),1,IF(CE88&lt;=0,0,IF(WEEKDAY(CE$6,1)=1,0,MAX(0,CE89-10)*CE88))+((IF(CE88&lt;=0,0,IF(WEEKDAY(CE$6,1)=1,0,MIN(10,CE89)*CE88)))-MIN(IF(CE88&lt;=0,0,IF(WEEKDAY(CE$6,1)=1,0,MIN(10,CE89)*CE88)),MAX(0,40*MAX(1,CE88)-(CC90+CD90)))))</f>
        <v>1</v>
      </c>
      <c r="CF91" s="63">
        <f>IF(AND(CF88=1,CF89=11),1,IF(CF88&lt;=0,0,IF(WEEKDAY(CF$6,1)=1,0,MAX(0,CF89-10)*CF88))+((IF(CF88&lt;=0,0,IF(WEEKDAY(CF$6,1)=1,0,MIN(10,CF89)*CF88)))-MIN(IF(CF88&lt;=0,0,IF(WEEKDAY(CF$6,1)=1,0,MIN(10,CF89)*CF88)),MAX(0,40*MAX(1,CF88)-(CC90+CD90+CE90)))))</f>
        <v>1</v>
      </c>
      <c r="CG91" s="63">
        <f>IF(AND(CG88=1,CG89=11),11,IF(CG88&lt;=0,0,IF(WEEKDAY(CG$6,1)=1,0,MAX(0,CG89-10)*CG88))+((IF(CG88&lt;=0,0,IF(WEEKDAY(CG$6,1)=1,0,MIN(10,CG89)*CG88)))-MIN(IF(CG88&lt;=0,0,IF(WEEKDAY(CG$6,1)=1,0,MIN(10,CG89)*CG88)),MAX(0,40*MAX(1,CG88)-(CC90+CD90+CE90+CF90)))))</f>
        <v>11</v>
      </c>
      <c r="CH91" s="64">
        <f>IF(AND(CH88=1,CH89=11),11,IF(CH88&lt;=0,0,IF(WEEKDAY(CH$6,1)=1,0,MAX(0,CH89-10)*CH88))+((IF(CH88&lt;=0,0,IF(WEEKDAY(CH$6,1)=1,0,MIN(10,CH89)*CH88)))-MIN(IF(CH88&lt;=0,0,IF(WEEKDAY(CH$6,1)=1,0,MIN(10,CH89)*CH88)),MAX(0,40*MAX(1,CH88)-(CC90+CD90+CE90+CF90+CG90)))))</f>
        <v>11</v>
      </c>
      <c r="CI91" s="64">
        <f>IF(AND(CI88=1,CI89=11),0,IF(CI88&lt;=0,0,IF(WEEKDAY(CI$6,1)=1,0,MAX(0,CI89-10)*CI88))+((IF(CI88&lt;=0,0,IF(WEEKDAY(CI$6,1)=1,0,MIN(10,CI89)*CI88)))-MIN(IF(CI88&lt;=0,0,IF(WEEKDAY(CI$6,1)=1,0,MIN(10,CI89)*CI88)),MAX(0,40*MAX(1,CI88)-(CC90+CD90+CE90+CF90+CG90+CH90)))))</f>
        <v>0</v>
      </c>
      <c r="CJ91" s="63">
        <f>IF(AND(CJ88=1,CJ89=11),1,IF(CJ88&lt;=0,0,IF(WEEKDAY(CJ$6,1)=1,0,MAX(0,CJ89-10)*CJ88))+((IF(CJ88&lt;=0,0,IF(WEEKDAY(CJ$6,1)=1,0,MIN(10,CJ89)*CJ88)))-MIN(IF(CJ88&lt;=0,0,IF(WEEKDAY(CJ$6,1)=1,0,MIN(10,CJ89)*CJ88)),MAX(0,40*MAX(1,CJ88)-(0)))))</f>
        <v>1</v>
      </c>
      <c r="CK91" s="63">
        <f>IF(AND(CK88=1,CK89=11),1,IF(CK88&lt;=0,0,IF(WEEKDAY(CK$6,1)=1,0,MAX(0,CK89-10)*CK88))+((IF(CK88&lt;=0,0,IF(WEEKDAY(CK$6,1)=1,0,MIN(10,CK89)*CK88)))-MIN(IF(CK88&lt;=0,0,IF(WEEKDAY(CK$6,1)=1,0,MIN(10,CK89)*CK88)),MAX(0,40*MAX(1,CK88)-(CJ90)))))</f>
        <v>1</v>
      </c>
      <c r="CL91" s="63">
        <f>IF(AND(CL88=1,CL89=11),1,IF(CL88&lt;=0,0,IF(WEEKDAY(CL$6,1)=1,0,MAX(0,CL89-10)*CL88))+((IF(CL88&lt;=0,0,IF(WEEKDAY(CL$6,1)=1,0,MIN(10,CL89)*CL88)))-MIN(IF(CL88&lt;=0,0,IF(WEEKDAY(CL$6,1)=1,0,MIN(10,CL89)*CL88)),MAX(0,40*MAX(1,CL88)-(CJ90+CK90)))))</f>
        <v>1</v>
      </c>
      <c r="CM91" s="63">
        <f>IF(AND(CM88=1,CM89=11),1,IF(CM88&lt;=0,0,IF(WEEKDAY(CM$6,1)=1,0,MAX(0,CM89-10)*CM88))+((IF(CM88&lt;=0,0,IF(WEEKDAY(CM$6,1)=1,0,MIN(10,CM89)*CM88)))-MIN(IF(CM88&lt;=0,0,IF(WEEKDAY(CM$6,1)=1,0,MIN(10,CM89)*CM88)),MAX(0,40*MAX(1,CM88)-(CJ90+CK90+CL90)))))</f>
        <v>1</v>
      </c>
      <c r="CN91" s="63">
        <f>IF(AND(CN88=1,CN89=11),11,IF(CN88&lt;=0,0,IF(WEEKDAY(CN$6,1)=1,0,MAX(0,CN89-10)*CN88))+((IF(CN88&lt;=0,0,IF(WEEKDAY(CN$6,1)=1,0,MIN(10,CN89)*CN88)))-MIN(IF(CN88&lt;=0,0,IF(WEEKDAY(CN$6,1)=1,0,MIN(10,CN89)*CN88)),MAX(0,40*MAX(1,CN88)-(CJ90+CK90+CL90+CM90)))))</f>
        <v>11</v>
      </c>
      <c r="CO91" s="64">
        <f>IF(AND(CO88=1,CO89=11),11,IF(CO88&lt;=0,0,IF(WEEKDAY(CO$6,1)=1,0,MAX(0,CO89-10)*CO88))+((IF(CO88&lt;=0,0,IF(WEEKDAY(CO$6,1)=1,0,MIN(10,CO89)*CO88)))-MIN(IF(CO88&lt;=0,0,IF(WEEKDAY(CO$6,1)=1,0,MIN(10,CO89)*CO88)),MAX(0,40*MAX(1,CO88)-(CJ90+CK90+CL90+CM90+CN90)))))</f>
        <v>11</v>
      </c>
      <c r="CP91" s="64">
        <f>IF(AND(CP88=1,CP89=11),0,IF(CP88&lt;=0,0,IF(WEEKDAY(CP$6,1)=1,0,MAX(0,CP89-10)*CP88))+((IF(CP88&lt;=0,0,IF(WEEKDAY(CP$6,1)=1,0,MIN(10,CP89)*CP88)))-MIN(IF(CP88&lt;=0,0,IF(WEEKDAY(CP$6,1)=1,0,MIN(10,CP89)*CP88)),MAX(0,40*MAX(1,CP88)-(CJ90+CK90+CL90+CM90+CN90+CO90)))))</f>
        <v>0</v>
      </c>
      <c r="CQ91" s="63">
        <f>IF(AND(CQ88=1,CQ89=11),1,IF(CQ88&lt;=0,0,IF(WEEKDAY(CQ$6,1)=1,0,MAX(0,CQ89-10)*CQ88))+((IF(CQ88&lt;=0,0,IF(WEEKDAY(CQ$6,1)=1,0,MIN(10,CQ89)*CQ88)))-MIN(IF(CQ88&lt;=0,0,IF(WEEKDAY(CQ$6,1)=1,0,MIN(10,CQ89)*CQ88)),MAX(0,40*MAX(1,CQ88)-(0)))))</f>
        <v>1</v>
      </c>
      <c r="CR91" s="63">
        <f>IF(AND(CR88=1,CR89=11),1,IF(CR88&lt;=0,0,IF(WEEKDAY(CR$6,1)=1,0,MAX(0,CR89-10)*CR88))+((IF(CR88&lt;=0,0,IF(WEEKDAY(CR$6,1)=1,0,MIN(10,CR89)*CR88)))-MIN(IF(CR88&lt;=0,0,IF(WEEKDAY(CR$6,1)=1,0,MIN(10,CR89)*CR88)),MAX(0,40*MAX(1,CR88)-(CQ90)))))</f>
        <v>1</v>
      </c>
      <c r="CS91" s="63">
        <f>IF(AND(CS88=1,CS89=11),1,IF(CS88&lt;=0,0,IF(WEEKDAY(CS$6,1)=1,0,MAX(0,CS89-10)*CS88))+((IF(CS88&lt;=0,0,IF(WEEKDAY(CS$6,1)=1,0,MIN(10,CS89)*CS88)))-MIN(IF(CS88&lt;=0,0,IF(WEEKDAY(CS$6,1)=1,0,MIN(10,CS89)*CS88)),MAX(0,40*MAX(1,CS88)-(CQ90+CR90)))))</f>
        <v>1</v>
      </c>
      <c r="CT91" s="63">
        <f>IF(AND(CT88=1,CT89=11),1,IF(CT88&lt;=0,0,IF(WEEKDAY(CT$6,1)=1,0,MAX(0,CT89-10)*CT88))+((IF(CT88&lt;=0,0,IF(WEEKDAY(CT$6,1)=1,0,MIN(10,CT89)*CT88)))-MIN(IF(CT88&lt;=0,0,IF(WEEKDAY(CT$6,1)=1,0,MIN(10,CT89)*CT88)),MAX(0,40*MAX(1,CT88)-(CQ90+CR90+CS90)))))</f>
        <v>1</v>
      </c>
      <c r="CU91" s="63">
        <f>IF(AND(CU88=1,CU89=11),11,IF(CU88&lt;=0,0,IF(WEEKDAY(CU$6,1)=1,0,MAX(0,CU89-10)*CU88))+((IF(CU88&lt;=0,0,IF(WEEKDAY(CU$6,1)=1,0,MIN(10,CU89)*CU88)))-MIN(IF(CU88&lt;=0,0,IF(WEEKDAY(CU$6,1)=1,0,MIN(10,CU89)*CU88)),MAX(0,40*MAX(1,CU88)-(CQ90+CR90+CS90+CT90)))))</f>
        <v>11</v>
      </c>
      <c r="CV91" s="64">
        <f>IF(AND(CV88=1,CV89=11),11,IF(CV88&lt;=0,0,IF(WEEKDAY(CV$6,1)=1,0,MAX(0,CV89-10)*CV88))+((IF(CV88&lt;=0,0,IF(WEEKDAY(CV$6,1)=1,0,MIN(10,CV89)*CV88)))-MIN(IF(CV88&lt;=0,0,IF(WEEKDAY(CV$6,1)=1,0,MIN(10,CV89)*CV88)),MAX(0,40*MAX(1,CV88)-(CQ90+CR90+CS90+CT90+CU90)))))</f>
        <v>11</v>
      </c>
      <c r="CW91" s="64">
        <f>IF(AND(CW88=1,CW89=11),0,IF(CW88&lt;=0,0,IF(WEEKDAY(CW$6,1)=1,0,MAX(0,CW89-10)*CW88))+((IF(CW88&lt;=0,0,IF(WEEKDAY(CW$6,1)=1,0,MIN(10,CW89)*CW88)))-MIN(IF(CW88&lt;=0,0,IF(WEEKDAY(CW$6,1)=1,0,MIN(10,CW89)*CW88)),MAX(0,40*MAX(1,CW88)-(CQ90+CR90+CS90+CT90+CU90+CV90)))))</f>
        <v>0</v>
      </c>
      <c r="CX91" s="63">
        <f>IF(AND(CX88=1,CX89=11),1,IF(CX88&lt;=0,0,IF(WEEKDAY(CX$6,1)=1,0,MAX(0,CX89-10)*CX88))+((IF(CX88&lt;=0,0,IF(WEEKDAY(CX$6,1)=1,0,MIN(10,CX89)*CX88)))-MIN(IF(CX88&lt;=0,0,IF(WEEKDAY(CX$6,1)=1,0,MIN(10,CX89)*CX88)),MAX(0,40*MAX(1,CX88)-(0)))))</f>
        <v>1</v>
      </c>
      <c r="CY91" s="63">
        <f>IF(AND(CY88=1,CY89=11),1,IF(CY88&lt;=0,0,IF(WEEKDAY(CY$6,1)=1,0,MAX(0,CY89-10)*CY88))+((IF(CY88&lt;=0,0,IF(WEEKDAY(CY$6,1)=1,0,MIN(10,CY89)*CY88)))-MIN(IF(CY88&lt;=0,0,IF(WEEKDAY(CY$6,1)=1,0,MIN(10,CY89)*CY88)),MAX(0,40*MAX(1,CY88)-(CX90)))))</f>
        <v>1</v>
      </c>
      <c r="CZ91" s="63">
        <f>IF(AND(CZ88=1,CZ89=11),1,IF(CZ88&lt;=0,0,IF(WEEKDAY(CZ$6,1)=1,0,MAX(0,CZ89-10)*CZ88))+((IF(CZ88&lt;=0,0,IF(WEEKDAY(CZ$6,1)=1,0,MIN(10,CZ89)*CZ88)))-MIN(IF(CZ88&lt;=0,0,IF(WEEKDAY(CZ$6,1)=1,0,MIN(10,CZ89)*CZ88)),MAX(0,40*MAX(1,CZ88)-(CX90+CY90)))))</f>
        <v>1</v>
      </c>
      <c r="DA91" s="63">
        <f>IF(AND(DA88=1,DA89=11),1,IF(DA88&lt;=0,0,IF(WEEKDAY(DA$6,1)=1,0,MAX(0,DA89-10)*DA88))+((IF(DA88&lt;=0,0,IF(WEEKDAY(DA$6,1)=1,0,MIN(10,DA89)*DA88)))-MIN(IF(DA88&lt;=0,0,IF(WEEKDAY(DA$6,1)=1,0,MIN(10,DA89)*DA88)),MAX(0,40*MAX(1,DA88)-(CX90+CY90+CZ90)))))</f>
        <v>1</v>
      </c>
      <c r="DB91" s="63">
        <f>IF(AND(DB88=1,DB89=11),11,IF(DB88&lt;=0,0,IF(WEEKDAY(DB$6,1)=1,0,MAX(0,DB89-10)*DB88))+((IF(DB88&lt;=0,0,IF(WEEKDAY(DB$6,1)=1,0,MIN(10,DB89)*DB88)))-MIN(IF(DB88&lt;=0,0,IF(WEEKDAY(DB$6,1)=1,0,MIN(10,DB89)*DB88)),MAX(0,40*MAX(1,DB88)-(CX90+CY90+CZ90+DA90)))))</f>
        <v>11</v>
      </c>
      <c r="DC91" s="64">
        <f>IF(AND(DC88=1,DC89=11),11,IF(DC88&lt;=0,0,IF(WEEKDAY(DC$6,1)=1,0,MAX(0,DC89-10)*DC88))+((IF(DC88&lt;=0,0,IF(WEEKDAY(DC$6,1)=1,0,MIN(10,DC89)*DC88)))-MIN(IF(DC88&lt;=0,0,IF(WEEKDAY(DC$6,1)=1,0,MIN(10,DC89)*DC88)),MAX(0,40*MAX(1,DC88)-(CX90+CY90+CZ90+DA90+DB90)))))</f>
        <v>11</v>
      </c>
      <c r="DD91" s="64">
        <f>IF(AND(DD88=1,DD89=11),0,IF(DD88&lt;=0,0,IF(WEEKDAY(DD$6,1)=1,0,MAX(0,DD89-10)*DD88))+((IF(DD88&lt;=0,0,IF(WEEKDAY(DD$6,1)=1,0,MIN(10,DD89)*DD88)))-MIN(IF(DD88&lt;=0,0,IF(WEEKDAY(DD$6,1)=1,0,MIN(10,DD89)*DD88)),MAX(0,40*MAX(1,DD88)-(0)))))</f>
        <v>0</v>
      </c>
      <c r="DE91" s="63">
        <f>IF(AND(DE88=1,DE89=11),1,IF(DE88&lt;=0,0,IF(WEEKDAY(DE$6,1)=1,0,MAX(0,DE89-10)*DE88))+((IF(DE88&lt;=0,0,IF(WEEKDAY(DE$6,1)=1,0,MIN(10,DE89)*DE88)))-MIN(IF(DE88&lt;=0,0,IF(WEEKDAY(DE$6,1)=1,0,MIN(10,DE89)*DE88)),MAX(0,40*MAX(1,DE88)-(0)))))</f>
        <v>1</v>
      </c>
      <c r="DF91" s="63">
        <f>IF(AND(DF88=1,DF89=11),1,IF(DF88&lt;=0,0,IF(WEEKDAY(DF$6,1)=1,0,MAX(0,DF89-10)*DF88))+((IF(DF88&lt;=0,0,IF(WEEKDAY(DF$6,1)=1,0,MIN(10,DF89)*DF88)))-MIN(IF(DF88&lt;=0,0,IF(WEEKDAY(DF$6,1)=1,0,MIN(10,DF89)*DF88)),MAX(0,40*MAX(1,DF88)-(DE90)))))</f>
        <v>1</v>
      </c>
      <c r="DG91" s="63">
        <f>IF(AND(DG88=1,DG89=11),1,IF(DG88&lt;=0,0,IF(WEEKDAY(DG$6,1)=1,0,MAX(0,DG89-10)*DG88))+((IF(DG88&lt;=0,0,IF(WEEKDAY(DG$6,1)=1,0,MIN(10,DG89)*DG88)))-MIN(IF(DG88&lt;=0,0,IF(WEEKDAY(DG$6,1)=1,0,MIN(10,DG89)*DG88)),MAX(0,40*MAX(1,DG88)-(DE90+DF90)))))</f>
        <v>1</v>
      </c>
      <c r="DH91" s="63">
        <f>IF(AND(DH88=1,DH89=11),1,IF(DH88&lt;=0,0,IF(WEEKDAY(DH$6,1)=1,0,MAX(0,DH89-10)*DH88))+((IF(DH88&lt;=0,0,IF(WEEKDAY(DH$6,1)=1,0,MIN(10,DH89)*DH88)))-MIN(IF(DH88&lt;=0,0,IF(WEEKDAY(DH$6,1)=1,0,MIN(10,DH89)*DH88)),MAX(0,40*MAX(1,DH88)-(DE90+DF90+DG90)))))</f>
        <v>1</v>
      </c>
      <c r="DI91" s="63">
        <f>IF(AND(DI88=1,DI89=11),11,IF(DI88&lt;=0,0,IF(WEEKDAY(DI$6,1)=1,0,MAX(0,DI89-10)*DI88))+((IF(DI88&lt;=0,0,IF(WEEKDAY(DI$6,1)=1,0,MIN(10,DI89)*DI88)))-MIN(IF(DI88&lt;=0,0,IF(WEEKDAY(DI$6,1)=1,0,MIN(10,DI89)*DI88)),MAX(0,40*MAX(1,DI88)-(DE90+DF90+DG90+DH90)))))</f>
        <v>11</v>
      </c>
      <c r="DJ91" s="64">
        <f>IF(AND(DJ88=1,DJ89=11),11,IF(DJ88&lt;=0,0,IF(WEEKDAY(DJ$6,1)=1,0,MAX(0,DJ89-10)*DJ88))+((IF(DJ88&lt;=0,0,IF(WEEKDAY(DJ$6,1)=1,0,MIN(10,DJ89)*DJ88)))-MIN(IF(DJ88&lt;=0,0,IF(WEEKDAY(DJ$6,1)=1,0,MIN(10,DJ89)*DJ88)),MAX(0,40*MAX(1,DJ88)-(DE90+DF90+DG90+DH90+DI90)))))</f>
        <v>11</v>
      </c>
      <c r="DK91" s="64">
        <f>IF(AND(DK88=1,DK89=11),0,IF(DK88&lt;=0,0,IF(WEEKDAY(DK$6,1)=1,0,MAX(0,DK89-10)*DK88))+((IF(DK88&lt;=0,0,IF(WEEKDAY(DK$6,1)=1,0,MIN(10,DK89)*DK88)))-MIN(IF(DK88&lt;=0,0,IF(WEEKDAY(DK$6,1)=1,0,MIN(10,DK89)*DK88)),MAX(0,40*MAX(1,DK88)-(DE90+DF90+DG90+DH90+DI90+DJ90)))))</f>
        <v>0</v>
      </c>
      <c r="DL91" s="63">
        <f>IF(AND(DL88=1,DL89=11),1,IF(DL88&lt;=0,0,IF(WEEKDAY(DL$6,1)=1,0,MAX(0,DL89-10)*DL88))+((IF(DL88&lt;=0,0,IF(WEEKDAY(DL$6,1)=1,0,MIN(10,DL89)*DL88)))-MIN(IF(DL88&lt;=0,0,IF(WEEKDAY(DL$6,1)=1,0,MIN(10,DL89)*DL88)),MAX(0,40*MAX(1,DL88)-(0)))))</f>
        <v>1</v>
      </c>
      <c r="DM91" s="63">
        <f>IF(AND(DM88=1,DM89=11),1,IF(DM88&lt;=0,0,IF(WEEKDAY(DM$6,1)=1,0,MAX(0,DM89-10)*DM88))+((IF(DM88&lt;=0,0,IF(WEEKDAY(DM$6,1)=1,0,MIN(10,DM89)*DM88)))-MIN(IF(DM88&lt;=0,0,IF(WEEKDAY(DM$6,1)=1,0,MIN(10,DM89)*DM88)),MAX(0,40*MAX(1,DM88)-(DL90)))))</f>
        <v>1</v>
      </c>
      <c r="DN91" s="63">
        <f>IF(AND(DN88=1,DN89=11),1,IF(DN88&lt;=0,0,IF(WEEKDAY(DN$6,1)=1,0,MAX(0,DN89-10)*DN88))+((IF(DN88&lt;=0,0,IF(WEEKDAY(DN$6,1)=1,0,MIN(10,DN89)*DN88)))-MIN(IF(DN88&lt;=0,0,IF(WEEKDAY(DN$6,1)=1,0,MIN(10,DN89)*DN88)),MAX(0,40*MAX(1,DN88)-(DL90+DM90)))))</f>
        <v>1</v>
      </c>
      <c r="DO91" s="63">
        <f>IF(AND(DO88=1,DO89=11),1,IF(DO88&lt;=0,0,IF(WEEKDAY(DO$6,1)=1,0,MAX(0,DO89-10)*DO88))+((IF(DO88&lt;=0,0,IF(WEEKDAY(DO$6,1)=1,0,MIN(10,DO89)*DO88)))-MIN(IF(DO88&lt;=0,0,IF(WEEKDAY(DO$6,1)=1,0,MIN(10,DO89)*DO88)),MAX(0,40*MAX(1,DO88)-(DL90+DM90+DN90)))))</f>
        <v>1</v>
      </c>
      <c r="DP91" s="63">
        <f>IF(AND(DP88=1,DP89=11),11,IF(DP88&lt;=0,0,IF(WEEKDAY(DP$6,1)=1,0,MAX(0,DP89-10)*DP88))+((IF(DP88&lt;=0,0,IF(WEEKDAY(DP$6,1)=1,0,MIN(10,DP89)*DP88)))-MIN(IF(DP88&lt;=0,0,IF(WEEKDAY(DP$6,1)=1,0,MIN(10,DP89)*DP88)),MAX(0,40*MAX(1,DP88)-(DL90+DM90+DN90+DO90)))))</f>
        <v>11</v>
      </c>
      <c r="DQ91" s="64">
        <f>IF(AND(DQ88=1,DQ89=11),11,IF(DQ88&lt;=0,0,IF(WEEKDAY(DQ$6,1)=1,0,MAX(0,DQ89-10)*DQ88))+((IF(DQ88&lt;=0,0,IF(WEEKDAY(DQ$6,1)=1,0,MIN(10,DQ89)*DQ88)))-MIN(IF(DQ88&lt;=0,0,IF(WEEKDAY(DQ$6,1)=1,0,MIN(10,DQ89)*DQ88)),MAX(0,40*MAX(1,DQ88)-(DL90+DM90+DN90+DO90+DP90)))))</f>
        <v>11</v>
      </c>
      <c r="DR91" s="64">
        <f>IF(AND(DR88=1,DR89=11),0,IF(DR88&lt;=0,0,IF(WEEKDAY(DR$6,1)=1,0,MAX(0,DR89-10)*DR88))+((IF(DR88&lt;=0,0,IF(WEEKDAY(DR$6,1)=1,0,MIN(10,DR89)*DR88)))-MIN(IF(DR88&lt;=0,0,IF(WEEKDAY(DR$6,1)=1,0,MIN(10,DR89)*DR88)),MAX(0,40*MAX(1,DR88)-(DL90+DM90+DN90+DO90+DP90+DQ90)))))</f>
        <v>0</v>
      </c>
      <c r="DS91" s="63">
        <f>IF(AND(DS88=1,DS89=11),1,IF(DS88&lt;=0,0,IF(WEEKDAY(DS$6,1)=1,0,MAX(0,DS89-10)*DS88))+((IF(DS88&lt;=0,0,IF(WEEKDAY(DS$6,1)=1,0,MIN(10,DS89)*DS88)))-MIN(IF(DS88&lt;=0,0,IF(WEEKDAY(DS$6,1)=1,0,MIN(10,DS89)*DS88)),MAX(0,40*MAX(1,DS88)-(0)))))</f>
        <v>1</v>
      </c>
      <c r="DT91" s="63">
        <f>IF(AND(DT88=1,DT89=8),0,IF(DT88&lt;=0,0,IF(WEEKDAY(DT$6,1)=1,0,MAX(0,DT89-8)*DT88))+((IF(DT88&lt;=0,0,IF(WEEKDAY(DT$6,1)=1,0,MIN(8,DT89)*DT88)))-MIN(IF(DT88&lt;=0,0,IF(WEEKDAY(DT$6,1)=1,0,MIN(8,DT89)*DT88)),MAX(0,40*MAX(1,DT88)-(0)))))</f>
        <v>0</v>
      </c>
      <c r="DU91" s="63">
        <f>IF(AND(DU88=1,DU89=8),0,IF(DU88&lt;=0,0,IF(WEEKDAY(DU$6,1)=1,0,MAX(0,DU89-8)*DU88))+((IF(DU88&lt;=0,0,IF(WEEKDAY(DU$6,1)=1,0,MIN(8,DU89)*DU88)))-MIN(IF(DU88&lt;=0,0,IF(WEEKDAY(DU$6,1)=1,0,MIN(8,DU89)*DU88)),MAX(0,40*MAX(1,DU88)-(DT90)))))</f>
        <v>0</v>
      </c>
      <c r="DV91" s="63">
        <f>IF(AND(DV88=1,DV89=8),0,IF(DV88&lt;=0,0,IF(WEEKDAY(DV$6,1)=1,0,MAX(0,DV89-8)*DV88))+((IF(DV88&lt;=0,0,IF(WEEKDAY(DV$6,1)=1,0,MIN(8,DV89)*DV88)))-MIN(IF(DV88&lt;=0,0,IF(WEEKDAY(DV$6,1)=1,0,MIN(8,DV89)*DV88)),MAX(0,40*MAX(1,DV88)-(DT90+DU90)))))</f>
        <v>0</v>
      </c>
      <c r="DW91" s="63">
        <f>IF(AND(DW88=1,DW89=8),0,IF(DW88&lt;=0,0,IF(WEEKDAY(DW$6,1)=1,0,MAX(0,DW89-8)*DW88))+((IF(DW88&lt;=0,0,IF(WEEKDAY(DW$6,1)=1,0,MIN(8,DW89)*DW88)))-MIN(IF(DW88&lt;=0,0,IF(WEEKDAY(DW$6,1)=1,0,MIN(8,DW89)*DW88)),MAX(0,40*MAX(1,DW88)-(DT90+DU90+DV90)))))</f>
        <v>0</v>
      </c>
      <c r="DX91" s="64">
        <f>IF(AND(DX88=0,DX89=0),0,IF(DX88&lt;=0,0,IF(WEEKDAY(DX$6,1)=1,0,MAX(0,DX89-10)*DX88))+((IF(DX88&lt;=0,0,IF(WEEKDAY(DX$6,1)=1,0,MIN(10,DX89)*DX88)))-MIN(IF(DX88&lt;=0,0,IF(WEEKDAY(DX$6,1)=1,0,MIN(10,DX89)*DX88)),MAX(0,40*MAX(1,DX88)-(0)))))</f>
        <v>0</v>
      </c>
      <c r="DY91" s="64">
        <f>IF(AND(DY88=0,DY89=0),0,IF(DY88&lt;=0,0,IF(WEEKDAY(DY$6,1)=1,0,MAX(0,DY89-10)*DY88))+((IF(DY88&lt;=0,0,IF(WEEKDAY(DY$6,1)=1,0,MIN(10,DY89)*DY88)))-MIN(IF(DY88&lt;=0,0,IF(WEEKDAY(DY$6,1)=1,0,MIN(10,DY89)*DY88)),MAX(0,40*MAX(1,DY88)-(DX90)))))</f>
        <v>0</v>
      </c>
      <c r="DZ91" s="63">
        <f>IF(AND(DZ88=1,DZ89=8),0,IF(DZ88&lt;=0,0,IF(WEEKDAY(DZ$6,1)=1,0,MAX(0,DZ89-8)*DZ88))+((IF(DZ88&lt;=0,0,IF(WEEKDAY(DZ$6,1)=1,0,MIN(8,DZ89)*DZ88)))-MIN(IF(DZ88&lt;=0,0,IF(WEEKDAY(DZ$6,1)=1,0,MIN(8,DZ89)*DZ88)),MAX(0,40*MAX(1,DZ88)-(0)))))</f>
        <v>0</v>
      </c>
      <c r="EA91" s="63">
        <f>IF(AND(EA88=1,EA89=8),0,IF(EA88&lt;=0,0,IF(WEEKDAY(EA$6,1)=1,0,MAX(0,EA89-8)*EA88))+((IF(EA88&lt;=0,0,IF(WEEKDAY(EA$6,1)=1,0,MIN(8,EA89)*EA88)))-MIN(IF(EA88&lt;=0,0,IF(WEEKDAY(EA$6,1)=1,0,MIN(8,EA89)*EA88)),MAX(0,40*MAX(1,EA88)-(DZ90)))))</f>
        <v>0</v>
      </c>
      <c r="EB91" s="63">
        <f>IF(AND(EB88=1,EB89=8),0,IF(EB88&lt;=0,0,IF(WEEKDAY(EB$6,1)=1,0,MAX(0,EB89-8)*EB88))+((IF(EB88&lt;=0,0,IF(WEEKDAY(EB$6,1)=1,0,MIN(8,EB89)*EB88)))-MIN(IF(EB88&lt;=0,0,IF(WEEKDAY(EB$6,1)=1,0,MIN(8,EB89)*EB88)),MAX(0,40*MAX(1,EB88)-(DZ90+EA90)))))</f>
        <v>0</v>
      </c>
      <c r="EC91" s="63">
        <f>IF(AND(EC88=1,EC89=8),0,IF(EC88&lt;=0,0,IF(WEEKDAY(EC$6,1)=1,0,MAX(0,EC89-8)*EC88))+((IF(EC88&lt;=0,0,IF(WEEKDAY(EC$6,1)=1,0,MIN(8,EC89)*EC88)))-MIN(IF(EC88&lt;=0,0,IF(WEEKDAY(EC$6,1)=1,0,MIN(8,EC89)*EC88)),MAX(0,40*MAX(1,EC88)-(DZ90+EA90+EB90)))))</f>
        <v>0</v>
      </c>
      <c r="ED91" s="63">
        <f>IF(AND(ED88=1,ED89=8),0,IF(ED88&lt;=0,0,IF(WEEKDAY(ED$6,1)=1,0,MAX(0,ED89-8)*ED88))+((IF(ED88&lt;=0,0,IF(WEEKDAY(ED$6,1)=1,0,MIN(8,ED89)*ED88)))-MIN(IF(ED88&lt;=0,0,IF(WEEKDAY(ED$6,1)=1,0,MIN(8,ED89)*ED88)),MAX(0,40*MAX(1,ED88)-(DZ90+EA90+EB90+EC90)))))</f>
        <v>0</v>
      </c>
      <c r="EE91" s="64">
        <f>IF(AND(EE88=0,EE89=0),0,IF(EE88&lt;=0,0,IF(WEEKDAY(EE$6,1)=1,0,MAX(0,EE89-10)*EE88))+((IF(EE88&lt;=0,0,IF(WEEKDAY(EE$6,1)=1,0,MIN(10,EE89)*EE88)))-MIN(IF(EE88&lt;=0,0,IF(WEEKDAY(EE$6,1)=1,0,MIN(10,EE89)*EE88)),MAX(0,40*MAX(1,EE88)-(0)))))</f>
        <v>0</v>
      </c>
      <c r="EF91" s="64">
        <f>IF(AND(EF88=0,EF89=0),0,IF(EF88&lt;=0,0,IF(WEEKDAY(EF$6,1)=1,0,MAX(0,EF89-10)*EF88))+((IF(EF88&lt;=0,0,IF(WEEKDAY(EF$6,1)=1,0,MIN(10,EF89)*EF88)))-MIN(IF(EF88&lt;=0,0,IF(WEEKDAY(EF$6,1)=1,0,MIN(10,EF89)*EF88)),MAX(0,40*MAX(1,EF88)-(EE90)))))</f>
        <v>0</v>
      </c>
      <c r="EG91" s="63">
        <f>IF(AND(EG88=1,EG89=8),0,IF(EG88&lt;=0,0,IF(WEEKDAY(EG$6,1)=1,0,MAX(0,EG89-8)*EG88))+((IF(EG88&lt;=0,0,IF(WEEKDAY(EG$6,1)=1,0,MIN(8,EG89)*EG88)))-MIN(IF(EG88&lt;=0,0,IF(WEEKDAY(EG$6,1)=1,0,MIN(8,EG89)*EG88)),MAX(0,40*MAX(1,EG88)-(0)))))</f>
        <v>0</v>
      </c>
      <c r="EH91" s="63">
        <f>IF(AND(EH88=1,EH89=8),0,IF(EH88&lt;=0,0,IF(WEEKDAY(EH$6,1)=1,0,MAX(0,EH89-8)*EH88))+((IF(EH88&lt;=0,0,IF(WEEKDAY(EH$6,1)=1,0,MIN(8,EH89)*EH88)))-MIN(IF(EH88&lt;=0,0,IF(WEEKDAY(EH$6,1)=1,0,MIN(8,EH89)*EH88)),MAX(0,40*MAX(1,EH88)-(EG90)))))</f>
        <v>0</v>
      </c>
      <c r="EI91" s="63">
        <f>IF(AND(EI88=1,EI89=8),0,IF(EI88&lt;=0,0,IF(WEEKDAY(EI$6,1)=1,0,MAX(0,EI89-8)*EI88))+((IF(EI88&lt;=0,0,IF(WEEKDAY(EI$6,1)=1,0,MIN(8,EI89)*EI88)))-MIN(IF(EI88&lt;=0,0,IF(WEEKDAY(EI$6,1)=1,0,MIN(8,EI89)*EI88)),MAX(0,40*MAX(1,EI88)-(EG90+EH90)))))</f>
        <v>0</v>
      </c>
      <c r="EJ91" s="63">
        <f>IF(AND(EJ88=1,EJ89=8),0,IF(EJ88&lt;=0,0,IF(WEEKDAY(EJ$6,1)=1,0,MAX(0,EJ89-8)*EJ88))+((IF(EJ88&lt;=0,0,IF(WEEKDAY(EJ$6,1)=1,0,MIN(8,EJ89)*EJ88)))-MIN(IF(EJ88&lt;=0,0,IF(WEEKDAY(EJ$6,1)=1,0,MIN(8,EJ89)*EJ88)),MAX(0,40*MAX(1,EJ88)-(EG90+EH90+EI90)))))</f>
        <v>0</v>
      </c>
      <c r="EK91" s="65">
        <f>IF(AND(EK88=1,EK89=8),0,IF(EK88&lt;=0,0,IF(WEEKDAY(EK$6,1)=1,0,MAX(0,EK89-8)*EK88))+((IF(EK88&lt;=0,0,IF(WEEKDAY(EK$6,1)=1,0,MIN(8,EK89)*EK88)))-MIN(IF(EK88&lt;=0,0,IF(WEEKDAY(EK$6,1)=1,0,MIN(8,EK89)*EK88)),MAX(0,40*MAX(1,EK88)-(EG90+EH90+EI90+EJ90)))))</f>
        <v>0</v>
      </c>
      <c r="OU91" s="28" t="s">
        <v>82</v>
      </c>
    </row>
    <row r="92" ht="16" customHeight="1" spans="1:411" x14ac:dyDescent="0.25">
      <c r="A92" s="45"/>
      <c r="B92" s="46"/>
      <c r="C92" s="61">
        <f>H87*N(D92)</f>
        <v>11150.369999999999</v>
      </c>
      <c r="D92" s="61">
        <f>IF(TRIM(B87)="","No rate",IFERROR(INDEX('Rate Tables'!E$7:E$158,MATCH(B87,'Rate Tables'!A$7:A$158,0)),"No rate"))</f>
        <v>112.63</v>
      </c>
      <c r="E92" s="55" t="s">
        <v>64</v>
      </c>
      <c r="F92" s="49"/>
      <c r="G92" s="49"/>
      <c r="H92" s="49"/>
      <c r="I92" s="49"/>
      <c r="J92" s="50"/>
      <c r="K92" s="62">
        <f>IF(AND(K88=1,K89=8),0,IF(K88&lt;=0,0,IF(WEEKDAY(K$6,1)=1,K88*K89,0)))</f>
        <v>0</v>
      </c>
      <c r="L92" s="63">
        <f>IF(AND(L88=1,L89=8),0,IF(L88&lt;=0,0,IF(WEEKDAY(L$6,1)=1,L88*L89,0)))</f>
        <v>0</v>
      </c>
      <c r="M92" s="63">
        <f>IF(AND(M88=1,M89=8),0,IF(M88&lt;=0,0,IF(WEEKDAY(M$6,1)=1,M88*M89,0)))</f>
        <v>0</v>
      </c>
      <c r="N92" s="63">
        <f>IF(AND(N88=1,N89=8),0,IF(N88&lt;=0,0,IF(WEEKDAY(N$6,1)=1,N88*N89,0)))</f>
        <v>0</v>
      </c>
      <c r="O92" s="63">
        <f>IF(AND(O88=1,O89=8),0,IF(O88&lt;=0,0,IF(WEEKDAY(O$6,1)=1,O88*O89,0)))</f>
        <v>0</v>
      </c>
      <c r="P92" s="64">
        <f>IF(AND(P88=0,P89=0),0,IF(P88&lt;=0,0,IF(WEEKDAY(P$6,1)=1,P88*P89,0)))</f>
        <v>0</v>
      </c>
      <c r="Q92" s="64">
        <f>IF(AND(Q88=0,Q89=0),0,IF(Q88&lt;=0,0,IF(WEEKDAY(Q$6,1)=1,Q88*Q89,0)))</f>
        <v>0</v>
      </c>
      <c r="R92" s="63">
        <f>IF(AND(R88=1,R89=8),0,IF(R88&lt;=0,0,IF(WEEKDAY(R$6,1)=1,R88*R89,0)))</f>
        <v>0</v>
      </c>
      <c r="S92" s="63">
        <f>IF(AND(S88=1,S89=8),0,IF(S88&lt;=0,0,IF(WEEKDAY(S$6,1)=1,S88*S89,0)))</f>
        <v>0</v>
      </c>
      <c r="T92" s="63">
        <f>IF(AND(T88=1,T89=8),0,IF(T88&lt;=0,0,IF(WEEKDAY(T$6,1)=1,T88*T89,0)))</f>
        <v>0</v>
      </c>
      <c r="U92" s="63">
        <f>IF(AND(U88=1,U89=8),0,IF(U88&lt;=0,0,IF(WEEKDAY(U$6,1)=1,U88*U89,0)))</f>
        <v>0</v>
      </c>
      <c r="V92" s="63">
        <f>IF(AND(V88=1,V89=8),0,IF(V88&lt;=0,0,IF(WEEKDAY(V$6,1)=1,V88*V89,0)))</f>
        <v>0</v>
      </c>
      <c r="W92" s="64">
        <f>IF(AND(W88=0,W89=0),0,IF(W88&lt;=0,0,IF(WEEKDAY(W$6,1)=1,W88*W89,0)))</f>
        <v>0</v>
      </c>
      <c r="X92" s="64">
        <f>IF(AND(X88=0,X89=0),0,IF(X88&lt;=0,0,IF(WEEKDAY(X$6,1)=1,X88*X89,0)))</f>
        <v>0</v>
      </c>
      <c r="Y92" s="63">
        <f>IF(AND(Y88=1,Y89=8),0,IF(Y88&lt;=0,0,IF(WEEKDAY(Y$6,1)=1,Y88*Y89,0)))</f>
        <v>0</v>
      </c>
      <c r="Z92" s="63">
        <f>IF(AND(Z88=1,Z89=8),0,IF(Z88&lt;=0,0,IF(WEEKDAY(Z$6,1)=1,Z88*Z89,0)))</f>
        <v>0</v>
      </c>
      <c r="AA92" s="63">
        <f>IF(AND(AA88=1,AA89=8),0,IF(AA88&lt;=0,0,IF(WEEKDAY(AA$6,1)=1,AA88*AA89,0)))</f>
        <v>0</v>
      </c>
      <c r="AB92" s="63">
        <f>IF(AND(AB88=1,AB89=8),0,IF(AB88&lt;=0,0,IF(WEEKDAY(AB$6,1)=1,AB88*AB89,0)))</f>
        <v>0</v>
      </c>
      <c r="AC92" s="63">
        <f>IF(AND(AC88=1,AC89=8),0,IF(AC88&lt;=0,0,IF(WEEKDAY(AC$6,1)=1,AC88*AC89,0)))</f>
        <v>0</v>
      </c>
      <c r="AD92" s="64">
        <f>IF(AND(AD88=0,AD89=0),0,IF(AD88&lt;=0,0,IF(WEEKDAY(AD$6,1)=1,AD88*AD89,0)))</f>
        <v>0</v>
      </c>
      <c r="AE92" s="64">
        <f>IF(AND(AE88=0,AE89=0),0,IF(AE88&lt;=0,0,IF(WEEKDAY(AE$6,1)=1,AE88*AE89,0)))</f>
        <v>0</v>
      </c>
      <c r="AF92" s="63">
        <f>IF(AND(AF88=1,AF89=8),0,IF(AF88&lt;=0,0,IF(WEEKDAY(AF$6,1)=1,AF88*AF89,0)))</f>
        <v>0</v>
      </c>
      <c r="AG92" s="63">
        <f>IF(AND(AG88=1,AG89=8),0,IF(AG88&lt;=0,0,IF(WEEKDAY(AG$6,1)=1,AG88*AG89,0)))</f>
        <v>0</v>
      </c>
      <c r="AH92" s="63">
        <f>IF(AND(AH88=1,AH89=8),0,IF(AH88&lt;=0,0,IF(WEEKDAY(AH$6,1)=1,AH88*AH89,0)))</f>
        <v>0</v>
      </c>
      <c r="AI92" s="63">
        <f>IF(AND(AI88=1,AI89=8),0,IF(AI88&lt;=0,0,IF(WEEKDAY(AI$6,1)=1,AI88*AI89,0)))</f>
        <v>0</v>
      </c>
      <c r="AJ92" s="63">
        <f>IF(AND(AJ88=1,AJ89=8),0,IF(AJ88&lt;=0,0,IF(WEEKDAY(AJ$6,1)=1,AJ88*AJ89,0)))</f>
        <v>0</v>
      </c>
      <c r="AK92" s="64">
        <f>IF(AND(AK88=0,AK89=0),0,IF(AK88&lt;=0,0,IF(WEEKDAY(AK$6,1)=1,AK88*AK89,0)))</f>
        <v>0</v>
      </c>
      <c r="AL92" s="64">
        <f>IF(AND(AL88=0,AL89=0),0,IF(AL88&lt;=0,0,IF(WEEKDAY(AL$6,1)=1,AL88*AL89,0)))</f>
        <v>0</v>
      </c>
      <c r="AM92" s="63">
        <f>IF(AND(AM88=1,AM89=8),0,IF(AM88&lt;=0,0,IF(WEEKDAY(AM$6,1)=1,AM88*AM89,0)))</f>
        <v>0</v>
      </c>
      <c r="AN92" s="63">
        <f>IF(AND(AN88=1,AN89=8),0,IF(AN88&lt;=0,0,IF(WEEKDAY(AN$6,1)=1,AN88*AN89,0)))</f>
        <v>0</v>
      </c>
      <c r="AO92" s="63">
        <f>IF(AND(AO88=1,AO89=8),0,IF(AO88&lt;=0,0,IF(WEEKDAY(AO$6,1)=1,AO88*AO89,0)))</f>
        <v>0</v>
      </c>
      <c r="AP92" s="63">
        <f>IF(AND(AP88=1,AP89=8),0,IF(AP88&lt;=0,0,IF(WEEKDAY(AP$6,1)=1,AP88*AP89,0)))</f>
        <v>0</v>
      </c>
      <c r="AQ92" s="63">
        <f>IF(AND(AQ88=1,AQ89=8),0,IF(AQ88&lt;=0,0,IF(WEEKDAY(AQ$6,1)=1,AQ88*AQ89,0)))</f>
        <v>0</v>
      </c>
      <c r="AR92" s="64">
        <f>IF(AND(AR88=0,AR89=0),0,IF(AR88&lt;=0,0,IF(WEEKDAY(AR$6,1)=1,AR88*AR89,0)))</f>
        <v>0</v>
      </c>
      <c r="AS92" s="64">
        <f>IF(AND(AS88=0,AS89=0),0,IF(AS88&lt;=0,0,IF(WEEKDAY(AS$6,1)=1,AS88*AS89,0)))</f>
        <v>0</v>
      </c>
      <c r="AT92" s="63">
        <f>IF(AND(AT88=1,AT89=8),0,IF(AT88&lt;=0,0,IF(WEEKDAY(AT$6,1)=1,AT88*AT89,0)))</f>
        <v>0</v>
      </c>
      <c r="AU92" s="63">
        <f>IF(AND(AU88=1,AU89=8),0,IF(AU88&lt;=0,0,IF(WEEKDAY(AU$6,1)=1,AU88*AU89,0)))</f>
        <v>0</v>
      </c>
      <c r="AV92" s="63">
        <f>IF(AND(AV88=1,AV89=8),0,IF(AV88&lt;=0,0,IF(WEEKDAY(AV$6,1)=1,AV88*AV89,0)))</f>
        <v>0</v>
      </c>
      <c r="AW92" s="63">
        <f>IF(AND(AW88=1,AW89=8),0,IF(AW88&lt;=0,0,IF(WEEKDAY(AW$6,1)=1,AW88*AW89,0)))</f>
        <v>0</v>
      </c>
      <c r="AX92" s="63">
        <f>IF(AND(AX88=1,AX89=8),0,IF(AX88&lt;=0,0,IF(WEEKDAY(AX$6,1)=1,AX88*AX89,0)))</f>
        <v>0</v>
      </c>
      <c r="AY92" s="64">
        <f>IF(AND(AY88=0,AY89=0),0,IF(AY88&lt;=0,0,IF(WEEKDAY(AY$6,1)=1,AY88*AY89,0)))</f>
        <v>0</v>
      </c>
      <c r="AZ92" s="64">
        <f>IF(AND(AZ88=0,AZ89=0),0,IF(AZ88&lt;=0,0,IF(WEEKDAY(AZ$6,1)=1,AZ88*AZ89,0)))</f>
        <v>0</v>
      </c>
      <c r="BA92" s="63">
        <f>IF(AND(BA88=1,BA89=8),0,IF(BA88&lt;=0,0,IF(WEEKDAY(BA$6,1)=1,BA88*BA89,0)))</f>
        <v>0</v>
      </c>
      <c r="BB92" s="63">
        <f>IF(AND(BB88=1,BB89=8),0,IF(BB88&lt;=0,0,IF(WEEKDAY(BB$6,1)=1,BB88*BB89,0)))</f>
        <v>0</v>
      </c>
      <c r="BC92" s="63">
        <f>IF(AND(BC88=1,BC89=8),0,IF(BC88&lt;=0,0,IF(WEEKDAY(BC$6,1)=1,BC88*BC89,0)))</f>
        <v>0</v>
      </c>
      <c r="BD92" s="63">
        <f>IF(AND(BD88=1,BD89=8),0,IF(BD88&lt;=0,0,IF(WEEKDAY(BD$6,1)=1,BD88*BD89,0)))</f>
        <v>0</v>
      </c>
      <c r="BE92" s="63">
        <f>IF(AND(BE88=1,BE89=8),0,IF(BE88&lt;=0,0,IF(WEEKDAY(BE$6,1)=1,BE88*BE89,0)))</f>
        <v>0</v>
      </c>
      <c r="BF92" s="64">
        <f>IF(AND(BF88=0,BF89=0),0,IF(BF88&lt;=0,0,IF(WEEKDAY(BF$6,1)=1,BF88*BF89,0)))</f>
        <v>0</v>
      </c>
      <c r="BG92" s="64">
        <f>IF(AND(BG88=0,BG89=0),0,IF(BG88&lt;=0,0,IF(WEEKDAY(BG$6,1)=1,BG88*BG89,0)))</f>
        <v>0</v>
      </c>
      <c r="BH92" s="63">
        <f>IF(AND(BH88=1,BH89=11),0,IF(BH88&lt;=0,0,IF(WEEKDAY(BH$6,1)=1,BH88*BH89,0)))</f>
        <v>0</v>
      </c>
      <c r="BI92" s="63">
        <f>IF(AND(BI88=1,BI89=11),0,IF(BI88&lt;=0,0,IF(WEEKDAY(BI$6,1)=1,BI88*BI89,0)))</f>
        <v>0</v>
      </c>
      <c r="BJ92" s="63">
        <f>IF(AND(BJ88=1,BJ89=11),0,IF(BJ88&lt;=0,0,IF(WEEKDAY(BJ$6,1)=1,BJ88*BJ89,0)))</f>
        <v>0</v>
      </c>
      <c r="BK92" s="63">
        <f>IF(AND(BK88=1,BK89=11),0,IF(BK88&lt;=0,0,IF(WEEKDAY(BK$6,1)=1,BK88*BK89,0)))</f>
        <v>0</v>
      </c>
      <c r="BL92" s="63">
        <f>IF(AND(BL88=1,BL89=11),0,IF(BL88&lt;=0,0,IF(WEEKDAY(BL$6,1)=1,BL88*BL89,0)))</f>
        <v>0</v>
      </c>
      <c r="BM92" s="64">
        <f>IF(AND(BM88=1,BM89=11),0,IF(BM88&lt;=0,0,IF(WEEKDAY(BM$6,1)=1,BM88*BM89,0)))</f>
        <v>0</v>
      </c>
      <c r="BN92" s="64">
        <f>IF(AND(BN88=1,BN89=11),11,IF(BN88&lt;=0,0,IF(WEEKDAY(BN$6,1)=1,BN88*BN89,0)))</f>
        <v>11</v>
      </c>
      <c r="BO92" s="63">
        <f>IF(AND(BO88=1,BO89=11),0,IF(BO88&lt;=0,0,IF(WEEKDAY(BO$6,1)=1,BO88*BO89,0)))</f>
        <v>0</v>
      </c>
      <c r="BP92" s="63">
        <f>IF(AND(BP88=1,BP89=11),0,IF(BP88&lt;=0,0,IF(WEEKDAY(BP$6,1)=1,BP88*BP89,0)))</f>
        <v>0</v>
      </c>
      <c r="BQ92" s="63">
        <f>IF(AND(BQ88=1,BQ89=11),0,IF(BQ88&lt;=0,0,IF(WEEKDAY(BQ$6,1)=1,BQ88*BQ89,0)))</f>
        <v>0</v>
      </c>
      <c r="BR92" s="63">
        <f>IF(AND(BR88=1,BR89=11),0,IF(BR88&lt;=0,0,IF(WEEKDAY(BR$6,1)=1,BR88*BR89,0)))</f>
        <v>0</v>
      </c>
      <c r="BS92" s="63">
        <f>IF(AND(BS88=1,BS89=11),0,IF(BS88&lt;=0,0,IF(WEEKDAY(BS$6,1)=1,BS88*BS89,0)))</f>
        <v>0</v>
      </c>
      <c r="BT92" s="64">
        <f>IF(AND(BT88=1,BT89=11),0,IF(BT88&lt;=0,0,IF(WEEKDAY(BT$6,1)=1,BT88*BT89,0)))</f>
        <v>0</v>
      </c>
      <c r="BU92" s="64">
        <f>IF(AND(BU88=1,BU89=11),11,IF(BU88&lt;=0,0,IF(WEEKDAY(BU$6,1)=1,BU88*BU89,0)))</f>
        <v>11</v>
      </c>
      <c r="BV92" s="63">
        <f>IF(AND(BV88=1,BV89=11),0,IF(BV88&lt;=0,0,IF(WEEKDAY(BV$6,1)=1,BV88*BV89,0)))</f>
        <v>0</v>
      </c>
      <c r="BW92" s="63">
        <f>IF(AND(BW88=1,BW89=11),0,IF(BW88&lt;=0,0,IF(WEEKDAY(BW$6,1)=1,BW88*BW89,0)))</f>
        <v>0</v>
      </c>
      <c r="BX92" s="63">
        <f>IF(AND(BX88=1,BX89=11),0,IF(BX88&lt;=0,0,IF(WEEKDAY(BX$6,1)=1,BX88*BX89,0)))</f>
        <v>0</v>
      </c>
      <c r="BY92" s="63">
        <f>IF(AND(BY88=1,BY89=11),0,IF(BY88&lt;=0,0,IF(WEEKDAY(BY$6,1)=1,BY88*BY89,0)))</f>
        <v>0</v>
      </c>
      <c r="BZ92" s="63">
        <f>IF(AND(BZ88=1,BZ89=11),0,IF(BZ88&lt;=0,0,IF(WEEKDAY(BZ$6,1)=1,BZ88*BZ89,0)))</f>
        <v>0</v>
      </c>
      <c r="CA92" s="64">
        <f>IF(AND(CA88=1,CA89=11),0,IF(CA88&lt;=0,0,IF(WEEKDAY(CA$6,1)=1,CA88*CA89,0)))</f>
        <v>0</v>
      </c>
      <c r="CB92" s="64">
        <f>IF(AND(CB88=1,CB89=11),11,IF(CB88&lt;=0,0,IF(WEEKDAY(CB$6,1)=1,CB88*CB89,0)))</f>
        <v>11</v>
      </c>
      <c r="CC92" s="63">
        <f>IF(AND(CC88=1,CC89=11),0,IF(CC88&lt;=0,0,IF(WEEKDAY(CC$6,1)=1,CC88*CC89,0)))</f>
        <v>0</v>
      </c>
      <c r="CD92" s="63">
        <f>IF(AND(CD88=1,CD89=11),0,IF(CD88&lt;=0,0,IF(WEEKDAY(CD$6,1)=1,CD88*CD89,0)))</f>
        <v>0</v>
      </c>
      <c r="CE92" s="63">
        <f>IF(AND(CE88=1,CE89=11),0,IF(CE88&lt;=0,0,IF(WEEKDAY(CE$6,1)=1,CE88*CE89,0)))</f>
        <v>0</v>
      </c>
      <c r="CF92" s="63">
        <f>IF(AND(CF88=1,CF89=11),0,IF(CF88&lt;=0,0,IF(WEEKDAY(CF$6,1)=1,CF88*CF89,0)))</f>
        <v>0</v>
      </c>
      <c r="CG92" s="63">
        <f>IF(AND(CG88=1,CG89=11),0,IF(CG88&lt;=0,0,IF(WEEKDAY(CG$6,1)=1,CG88*CG89,0)))</f>
        <v>0</v>
      </c>
      <c r="CH92" s="64">
        <f>IF(AND(CH88=1,CH89=11),0,IF(CH88&lt;=0,0,IF(WEEKDAY(CH$6,1)=1,CH88*CH89,0)))</f>
        <v>0</v>
      </c>
      <c r="CI92" s="64">
        <f>IF(AND(CI88=1,CI89=11),11,IF(CI88&lt;=0,0,IF(WEEKDAY(CI$6,1)=1,CI88*CI89,0)))</f>
        <v>11</v>
      </c>
      <c r="CJ92" s="63">
        <f>IF(AND(CJ88=1,CJ89=11),0,IF(CJ88&lt;=0,0,IF(WEEKDAY(CJ$6,1)=1,CJ88*CJ89,0)))</f>
        <v>0</v>
      </c>
      <c r="CK92" s="63">
        <f>IF(AND(CK88=1,CK89=11),0,IF(CK88&lt;=0,0,IF(WEEKDAY(CK$6,1)=1,CK88*CK89,0)))</f>
        <v>0</v>
      </c>
      <c r="CL92" s="63">
        <f>IF(AND(CL88=1,CL89=11),0,IF(CL88&lt;=0,0,IF(WEEKDAY(CL$6,1)=1,CL88*CL89,0)))</f>
        <v>0</v>
      </c>
      <c r="CM92" s="63">
        <f>IF(AND(CM88=1,CM89=11),0,IF(CM88&lt;=0,0,IF(WEEKDAY(CM$6,1)=1,CM88*CM89,0)))</f>
        <v>0</v>
      </c>
      <c r="CN92" s="63">
        <f>IF(AND(CN88=1,CN89=11),0,IF(CN88&lt;=0,0,IF(WEEKDAY(CN$6,1)=1,CN88*CN89,0)))</f>
        <v>0</v>
      </c>
      <c r="CO92" s="64">
        <f>IF(AND(CO88=1,CO89=11),0,IF(CO88&lt;=0,0,IF(WEEKDAY(CO$6,1)=1,CO88*CO89,0)))</f>
        <v>0</v>
      </c>
      <c r="CP92" s="64">
        <f>IF(AND(CP88=1,CP89=11),11,IF(CP88&lt;=0,0,IF(WEEKDAY(CP$6,1)=1,CP88*CP89,0)))</f>
        <v>11</v>
      </c>
      <c r="CQ92" s="63">
        <f>IF(AND(CQ88=1,CQ89=11),0,IF(CQ88&lt;=0,0,IF(WEEKDAY(CQ$6,1)=1,CQ88*CQ89,0)))</f>
        <v>0</v>
      </c>
      <c r="CR92" s="63">
        <f>IF(AND(CR88=1,CR89=11),0,IF(CR88&lt;=0,0,IF(WEEKDAY(CR$6,1)=1,CR88*CR89,0)))</f>
        <v>0</v>
      </c>
      <c r="CS92" s="63">
        <f>IF(AND(CS88=1,CS89=11),0,IF(CS88&lt;=0,0,IF(WEEKDAY(CS$6,1)=1,CS88*CS89,0)))</f>
        <v>0</v>
      </c>
      <c r="CT92" s="63">
        <f>IF(AND(CT88=1,CT89=11),0,IF(CT88&lt;=0,0,IF(WEEKDAY(CT$6,1)=1,CT88*CT89,0)))</f>
        <v>0</v>
      </c>
      <c r="CU92" s="63">
        <f>IF(AND(CU88=1,CU89=11),0,IF(CU88&lt;=0,0,IF(WEEKDAY(CU$6,1)=1,CU88*CU89,0)))</f>
        <v>0</v>
      </c>
      <c r="CV92" s="64">
        <f>IF(AND(CV88=1,CV89=11),0,IF(CV88&lt;=0,0,IF(WEEKDAY(CV$6,1)=1,CV88*CV89,0)))</f>
        <v>0</v>
      </c>
      <c r="CW92" s="64">
        <f>IF(AND(CW88=1,CW89=11),11,IF(CW88&lt;=0,0,IF(WEEKDAY(CW$6,1)=1,CW88*CW89,0)))</f>
        <v>11</v>
      </c>
      <c r="CX92" s="63">
        <f>IF(AND(CX88=1,CX89=11),0,IF(CX88&lt;=0,0,IF(WEEKDAY(CX$6,1)=1,CX88*CX89,0)))</f>
        <v>0</v>
      </c>
      <c r="CY92" s="63">
        <f>IF(AND(CY88=1,CY89=11),0,IF(CY88&lt;=0,0,IF(WEEKDAY(CY$6,1)=1,CY88*CY89,0)))</f>
        <v>0</v>
      </c>
      <c r="CZ92" s="63">
        <f>IF(AND(CZ88=1,CZ89=11),0,IF(CZ88&lt;=0,0,IF(WEEKDAY(CZ$6,1)=1,CZ88*CZ89,0)))</f>
        <v>0</v>
      </c>
      <c r="DA92" s="63">
        <f>IF(AND(DA88=1,DA89=11),0,IF(DA88&lt;=0,0,IF(WEEKDAY(DA$6,1)=1,DA88*DA89,0)))</f>
        <v>0</v>
      </c>
      <c r="DB92" s="63">
        <f>IF(AND(DB88=1,DB89=11),0,IF(DB88&lt;=0,0,IF(WEEKDAY(DB$6,1)=1,DB88*DB89,0)))</f>
        <v>0</v>
      </c>
      <c r="DC92" s="64">
        <f>IF(AND(DC88=1,DC89=11),0,IF(DC88&lt;=0,0,IF(WEEKDAY(DC$6,1)=1,DC88*DC89,0)))</f>
        <v>0</v>
      </c>
      <c r="DD92" s="64">
        <f>IF(AND(DD88=1,DD89=11),11,IF(DD88&lt;=0,0,IF(WEEKDAY(DD$6,1)=1,DD88*DD89,0)))</f>
        <v>11</v>
      </c>
      <c r="DE92" s="63">
        <f>IF(AND(DE88=1,DE89=11),0,IF(DE88&lt;=0,0,IF(WEEKDAY(DE$6,1)=1,DE88*DE89,0)))</f>
        <v>0</v>
      </c>
      <c r="DF92" s="63">
        <f>IF(AND(DF88=1,DF89=11),0,IF(DF88&lt;=0,0,IF(WEEKDAY(DF$6,1)=1,DF88*DF89,0)))</f>
        <v>0</v>
      </c>
      <c r="DG92" s="63">
        <f>IF(AND(DG88=1,DG89=11),0,IF(DG88&lt;=0,0,IF(WEEKDAY(DG$6,1)=1,DG88*DG89,0)))</f>
        <v>0</v>
      </c>
      <c r="DH92" s="63">
        <f>IF(AND(DH88=1,DH89=11),0,IF(DH88&lt;=0,0,IF(WEEKDAY(DH$6,1)=1,DH88*DH89,0)))</f>
        <v>0</v>
      </c>
      <c r="DI92" s="63">
        <f>IF(AND(DI88=1,DI89=11),0,IF(DI88&lt;=0,0,IF(WEEKDAY(DI$6,1)=1,DI88*DI89,0)))</f>
        <v>0</v>
      </c>
      <c r="DJ92" s="64">
        <f>IF(AND(DJ88=1,DJ89=11),0,IF(DJ88&lt;=0,0,IF(WEEKDAY(DJ$6,1)=1,DJ88*DJ89,0)))</f>
        <v>0</v>
      </c>
      <c r="DK92" s="64">
        <f>IF(AND(DK88=1,DK89=11),11,IF(DK88&lt;=0,0,IF(WEEKDAY(DK$6,1)=1,DK88*DK89,0)))</f>
        <v>11</v>
      </c>
      <c r="DL92" s="63">
        <f>IF(AND(DL88=1,DL89=11),0,IF(DL88&lt;=0,0,IF(WEEKDAY(DL$6,1)=1,DL88*DL89,0)))</f>
        <v>0</v>
      </c>
      <c r="DM92" s="63">
        <f>IF(AND(DM88=1,DM89=11),0,IF(DM88&lt;=0,0,IF(WEEKDAY(DM$6,1)=1,DM88*DM89,0)))</f>
        <v>0</v>
      </c>
      <c r="DN92" s="63">
        <f>IF(AND(DN88=1,DN89=11),0,IF(DN88&lt;=0,0,IF(WEEKDAY(DN$6,1)=1,DN88*DN89,0)))</f>
        <v>0</v>
      </c>
      <c r="DO92" s="63">
        <f>IF(AND(DO88=1,DO89=11),0,IF(DO88&lt;=0,0,IF(WEEKDAY(DO$6,1)=1,DO88*DO89,0)))</f>
        <v>0</v>
      </c>
      <c r="DP92" s="63">
        <f>IF(AND(DP88=1,DP89=11),0,IF(DP88&lt;=0,0,IF(WEEKDAY(DP$6,1)=1,DP88*DP89,0)))</f>
        <v>0</v>
      </c>
      <c r="DQ92" s="64">
        <f>IF(AND(DQ88=1,DQ89=11),0,IF(DQ88&lt;=0,0,IF(WEEKDAY(DQ$6,1)=1,DQ88*DQ89,0)))</f>
        <v>0</v>
      </c>
      <c r="DR92" s="64">
        <f>IF(AND(DR88=1,DR89=11),11,IF(DR88&lt;=0,0,IF(WEEKDAY(DR$6,1)=1,DR88*DR89,0)))</f>
        <v>11</v>
      </c>
      <c r="DS92" s="63">
        <f>IF(AND(DS88=1,DS89=11),0,IF(DS88&lt;=0,0,IF(WEEKDAY(DS$6,1)=1,DS88*DS89,0)))</f>
        <v>0</v>
      </c>
      <c r="DT92" s="63">
        <f>IF(AND(DT88=1,DT89=8),0,IF(DT88&lt;=0,0,IF(WEEKDAY(DT$6,1)=1,DT88*DT89,0)))</f>
        <v>0</v>
      </c>
      <c r="DU92" s="63">
        <f>IF(AND(DU88=1,DU89=8),0,IF(DU88&lt;=0,0,IF(WEEKDAY(DU$6,1)=1,DU88*DU89,0)))</f>
        <v>0</v>
      </c>
      <c r="DV92" s="63">
        <f>IF(AND(DV88=1,DV89=8),0,IF(DV88&lt;=0,0,IF(WEEKDAY(DV$6,1)=1,DV88*DV89,0)))</f>
        <v>0</v>
      </c>
      <c r="DW92" s="63">
        <f>IF(AND(DW88=1,DW89=8),0,IF(DW88&lt;=0,0,IF(WEEKDAY(DW$6,1)=1,DW88*DW89,0)))</f>
        <v>0</v>
      </c>
      <c r="DX92" s="64">
        <f>IF(AND(DX88=0,DX89=0),0,IF(DX88&lt;=0,0,IF(WEEKDAY(DX$6,1)=1,DX88*DX89,0)))</f>
        <v>0</v>
      </c>
      <c r="DY92" s="64">
        <f>IF(AND(DY88=0,DY89=0),0,IF(DY88&lt;=0,0,IF(WEEKDAY(DY$6,1)=1,DY88*DY89,0)))</f>
        <v>0</v>
      </c>
      <c r="DZ92" s="63">
        <f>IF(AND(DZ88=1,DZ89=8),0,IF(DZ88&lt;=0,0,IF(WEEKDAY(DZ$6,1)=1,DZ88*DZ89,0)))</f>
        <v>0</v>
      </c>
      <c r="EA92" s="63">
        <f>IF(AND(EA88=1,EA89=8),0,IF(EA88&lt;=0,0,IF(WEEKDAY(EA$6,1)=1,EA88*EA89,0)))</f>
        <v>0</v>
      </c>
      <c r="EB92" s="63">
        <f>IF(AND(EB88=1,EB89=8),0,IF(EB88&lt;=0,0,IF(WEEKDAY(EB$6,1)=1,EB88*EB89,0)))</f>
        <v>0</v>
      </c>
      <c r="EC92" s="63">
        <f>IF(AND(EC88=1,EC89=8),0,IF(EC88&lt;=0,0,IF(WEEKDAY(EC$6,1)=1,EC88*EC89,0)))</f>
        <v>0</v>
      </c>
      <c r="ED92" s="63">
        <f>IF(AND(ED88=1,ED89=8),0,IF(ED88&lt;=0,0,IF(WEEKDAY(ED$6,1)=1,ED88*ED89,0)))</f>
        <v>0</v>
      </c>
      <c r="EE92" s="64">
        <f>IF(AND(EE88=0,EE89=0),0,IF(EE88&lt;=0,0,IF(WEEKDAY(EE$6,1)=1,EE88*EE89,0)))</f>
        <v>0</v>
      </c>
      <c r="EF92" s="64">
        <f>IF(AND(EF88=0,EF89=0),0,IF(EF88&lt;=0,0,IF(WEEKDAY(EF$6,1)=1,EF88*EF89,0)))</f>
        <v>0</v>
      </c>
      <c r="EG92" s="63">
        <f>IF(AND(EG88=1,EG89=8),0,IF(EG88&lt;=0,0,IF(WEEKDAY(EG$6,1)=1,EG88*EG89,0)))</f>
        <v>0</v>
      </c>
      <c r="EH92" s="63">
        <f>IF(AND(EH88=1,EH89=8),0,IF(EH88&lt;=0,0,IF(WEEKDAY(EH$6,1)=1,EH88*EH89,0)))</f>
        <v>0</v>
      </c>
      <c r="EI92" s="63">
        <f>IF(AND(EI88=1,EI89=8),0,IF(EI88&lt;=0,0,IF(WEEKDAY(EI$6,1)=1,EI88*EI89,0)))</f>
        <v>0</v>
      </c>
      <c r="EJ92" s="63">
        <f>IF(AND(EJ88=1,EJ89=8),0,IF(EJ88&lt;=0,0,IF(WEEKDAY(EJ$6,1)=1,EJ88*EJ89,0)))</f>
        <v>0</v>
      </c>
      <c r="EK92" s="65">
        <f>IF(AND(EK88=1,EK89=8),0,IF(EK88&lt;=0,0,IF(WEEKDAY(EK$6,1)=1,EK88*EK89,0)))</f>
        <v>0</v>
      </c>
      <c r="OU92" s="28" t="s">
        <v>82</v>
      </c>
    </row>
    <row r="93" ht="16" customHeight="1" spans="1:411" x14ac:dyDescent="0.25">
      <c r="A93" s="45"/>
      <c r="B93" s="46"/>
      <c r="C93" s="67">
        <f>I87*D93</f>
        <v>15820</v>
      </c>
      <c r="D93" s="67">
        <v>140</v>
      </c>
      <c r="E93" s="68" t="s">
        <v>65</v>
      </c>
      <c r="F93" s="49"/>
      <c r="G93" s="49"/>
      <c r="H93" s="49"/>
      <c r="I93" s="49"/>
      <c r="J93" s="50"/>
      <c r="K93" s="69">
        <v>1</v>
      </c>
      <c r="L93" s="70">
        <v>1</v>
      </c>
      <c r="M93" s="70">
        <v>1</v>
      </c>
      <c r="N93" s="70">
        <v>1</v>
      </c>
      <c r="O93" s="70">
        <v>1</v>
      </c>
      <c r="P93" s="71">
        <v>0</v>
      </c>
      <c r="Q93" s="71">
        <v>0</v>
      </c>
      <c r="R93" s="70">
        <v>1</v>
      </c>
      <c r="S93" s="70">
        <v>1</v>
      </c>
      <c r="T93" s="70">
        <v>1</v>
      </c>
      <c r="U93" s="70">
        <v>1</v>
      </c>
      <c r="V93" s="70">
        <v>1</v>
      </c>
      <c r="W93" s="71">
        <v>0</v>
      </c>
      <c r="X93" s="71">
        <v>0</v>
      </c>
      <c r="Y93" s="70">
        <v>1</v>
      </c>
      <c r="Z93" s="70">
        <v>1</v>
      </c>
      <c r="AA93" s="70">
        <v>1</v>
      </c>
      <c r="AB93" s="70">
        <v>1</v>
      </c>
      <c r="AC93" s="70">
        <v>1</v>
      </c>
      <c r="AD93" s="71">
        <v>0</v>
      </c>
      <c r="AE93" s="71">
        <v>0</v>
      </c>
      <c r="AF93" s="70">
        <v>1</v>
      </c>
      <c r="AG93" s="70">
        <v>1</v>
      </c>
      <c r="AH93" s="70">
        <v>1</v>
      </c>
      <c r="AI93" s="70">
        <v>1</v>
      </c>
      <c r="AJ93" s="70">
        <v>1</v>
      </c>
      <c r="AK93" s="71">
        <v>0</v>
      </c>
      <c r="AL93" s="71">
        <v>0</v>
      </c>
      <c r="AM93" s="70">
        <v>1</v>
      </c>
      <c r="AN93" s="70">
        <v>1</v>
      </c>
      <c r="AO93" s="70">
        <v>1</v>
      </c>
      <c r="AP93" s="70">
        <v>1</v>
      </c>
      <c r="AQ93" s="70">
        <v>1</v>
      </c>
      <c r="AR93" s="71">
        <v>0</v>
      </c>
      <c r="AS93" s="71">
        <v>0</v>
      </c>
      <c r="AT93" s="70">
        <v>1</v>
      </c>
      <c r="AU93" s="70">
        <v>1</v>
      </c>
      <c r="AV93" s="70">
        <v>1</v>
      </c>
      <c r="AW93" s="70">
        <v>1</v>
      </c>
      <c r="AX93" s="70">
        <v>1</v>
      </c>
      <c r="AY93" s="71">
        <v>0</v>
      </c>
      <c r="AZ93" s="71">
        <v>0</v>
      </c>
      <c r="BA93" s="70">
        <v>1</v>
      </c>
      <c r="BB93" s="70">
        <v>1</v>
      </c>
      <c r="BC93" s="70">
        <v>1</v>
      </c>
      <c r="BD93" s="70">
        <v>1</v>
      </c>
      <c r="BE93" s="70">
        <v>1</v>
      </c>
      <c r="BF93" s="71">
        <v>0</v>
      </c>
      <c r="BG93" s="71">
        <v>0</v>
      </c>
      <c r="BH93" s="70">
        <v>1</v>
      </c>
      <c r="BI93" s="70">
        <v>1</v>
      </c>
      <c r="BJ93" s="70">
        <v>1</v>
      </c>
      <c r="BK93" s="70">
        <v>1</v>
      </c>
      <c r="BL93" s="70">
        <v>1</v>
      </c>
      <c r="BM93" s="71">
        <v>1</v>
      </c>
      <c r="BN93" s="71">
        <v>1</v>
      </c>
      <c r="BO93" s="70">
        <v>1</v>
      </c>
      <c r="BP93" s="70">
        <v>1</v>
      </c>
      <c r="BQ93" s="70">
        <v>1</v>
      </c>
      <c r="BR93" s="70">
        <v>1</v>
      </c>
      <c r="BS93" s="70">
        <v>1</v>
      </c>
      <c r="BT93" s="71">
        <v>1</v>
      </c>
      <c r="BU93" s="71">
        <v>1</v>
      </c>
      <c r="BV93" s="70">
        <v>1</v>
      </c>
      <c r="BW93" s="70">
        <v>1</v>
      </c>
      <c r="BX93" s="70">
        <v>1</v>
      </c>
      <c r="BY93" s="70">
        <v>1</v>
      </c>
      <c r="BZ93" s="70">
        <v>1</v>
      </c>
      <c r="CA93" s="71">
        <v>1</v>
      </c>
      <c r="CB93" s="71">
        <v>1</v>
      </c>
      <c r="CC93" s="70">
        <v>1</v>
      </c>
      <c r="CD93" s="70">
        <v>1</v>
      </c>
      <c r="CE93" s="70">
        <v>1</v>
      </c>
      <c r="CF93" s="70">
        <v>1</v>
      </c>
      <c r="CG93" s="70">
        <v>1</v>
      </c>
      <c r="CH93" s="71">
        <v>1</v>
      </c>
      <c r="CI93" s="71">
        <v>1</v>
      </c>
      <c r="CJ93" s="70">
        <v>1</v>
      </c>
      <c r="CK93" s="70">
        <v>1</v>
      </c>
      <c r="CL93" s="70">
        <v>1</v>
      </c>
      <c r="CM93" s="70">
        <v>1</v>
      </c>
      <c r="CN93" s="70">
        <v>1</v>
      </c>
      <c r="CO93" s="71">
        <v>1</v>
      </c>
      <c r="CP93" s="71">
        <v>1</v>
      </c>
      <c r="CQ93" s="70">
        <v>1</v>
      </c>
      <c r="CR93" s="70">
        <v>1</v>
      </c>
      <c r="CS93" s="70">
        <v>1</v>
      </c>
      <c r="CT93" s="70">
        <v>1</v>
      </c>
      <c r="CU93" s="70">
        <v>1</v>
      </c>
      <c r="CV93" s="71">
        <v>1</v>
      </c>
      <c r="CW93" s="71">
        <v>1</v>
      </c>
      <c r="CX93" s="70">
        <v>1</v>
      </c>
      <c r="CY93" s="70">
        <v>1</v>
      </c>
      <c r="CZ93" s="70">
        <v>1</v>
      </c>
      <c r="DA93" s="70">
        <v>1</v>
      </c>
      <c r="DB93" s="70">
        <v>1</v>
      </c>
      <c r="DC93" s="71">
        <v>1</v>
      </c>
      <c r="DD93" s="71">
        <v>1</v>
      </c>
      <c r="DE93" s="70">
        <v>1</v>
      </c>
      <c r="DF93" s="70">
        <v>1</v>
      </c>
      <c r="DG93" s="70">
        <v>1</v>
      </c>
      <c r="DH93" s="70">
        <v>1</v>
      </c>
      <c r="DI93" s="70">
        <v>1</v>
      </c>
      <c r="DJ93" s="71">
        <v>1</v>
      </c>
      <c r="DK93" s="71">
        <v>1</v>
      </c>
      <c r="DL93" s="70">
        <v>1</v>
      </c>
      <c r="DM93" s="70">
        <v>1</v>
      </c>
      <c r="DN93" s="70">
        <v>1</v>
      </c>
      <c r="DO93" s="70">
        <v>1</v>
      </c>
      <c r="DP93" s="70">
        <v>1</v>
      </c>
      <c r="DQ93" s="71">
        <v>1</v>
      </c>
      <c r="DR93" s="71">
        <v>1</v>
      </c>
      <c r="DS93" s="70">
        <v>1</v>
      </c>
      <c r="DT93" s="70">
        <v>1</v>
      </c>
      <c r="DU93" s="70">
        <v>1</v>
      </c>
      <c r="DV93" s="70">
        <v>1</v>
      </c>
      <c r="DW93" s="70">
        <v>1</v>
      </c>
      <c r="DX93" s="71">
        <v>0</v>
      </c>
      <c r="DY93" s="71">
        <v>0</v>
      </c>
      <c r="DZ93" s="70">
        <v>1</v>
      </c>
      <c r="EA93" s="70">
        <v>1</v>
      </c>
      <c r="EB93" s="70">
        <v>1</v>
      </c>
      <c r="EC93" s="70">
        <v>1</v>
      </c>
      <c r="ED93" s="70">
        <v>1</v>
      </c>
      <c r="EE93" s="71">
        <v>0</v>
      </c>
      <c r="EF93" s="71">
        <v>0</v>
      </c>
      <c r="EG93" s="70">
        <v>1</v>
      </c>
      <c r="EH93" s="70">
        <v>1</v>
      </c>
      <c r="EI93" s="70">
        <v>1</v>
      </c>
      <c r="EJ93" s="70">
        <v>1</v>
      </c>
      <c r="EK93" s="72">
        <v>1</v>
      </c>
      <c r="OU93" s="60" t="s">
        <v>82</v>
      </c>
    </row>
    <row r="94" ht="8" customHeight="1" spans="1:14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  <c r="EK94" s="73"/>
    </row>
    <row r="95" ht="16" customHeight="1" spans="1:411" x14ac:dyDescent="0.25">
      <c r="A95" s="45" t="s">
        <v>57</v>
      </c>
      <c r="B95" s="46" t="s">
        <v>83</v>
      </c>
      <c r="C95" s="47">
        <f>J95</f>
        <v>208244.52</v>
      </c>
      <c r="D95" s="48"/>
      <c r="E95" s="48"/>
      <c r="F95" s="49">
        <f>SUM(K98:EK98)</f>
        <v>1340</v>
      </c>
      <c r="G95" s="49">
        <f>SUM(K99:EK99)</f>
        <v>457.5</v>
      </c>
      <c r="H95" s="49">
        <f>SUM(K100:EK100)</f>
        <v>198</v>
      </c>
      <c r="I95" s="49">
        <f>SUM(K101:EK101)</f>
        <v>198</v>
      </c>
      <c r="J95" s="50">
        <f>C98+C99+C100</f>
        <v>208244.52</v>
      </c>
      <c r="K95" s="51"/>
      <c r="L95" s="52"/>
      <c r="M95" s="52"/>
      <c r="N95" s="52"/>
      <c r="O95" s="52"/>
      <c r="P95" s="53"/>
      <c r="Q95" s="53"/>
      <c r="R95" s="52"/>
      <c r="S95" s="52"/>
      <c r="T95" s="52"/>
      <c r="U95" s="52"/>
      <c r="V95" s="52"/>
      <c r="W95" s="53"/>
      <c r="X95" s="53"/>
      <c r="Y95" s="52"/>
      <c r="Z95" s="52"/>
      <c r="AA95" s="52"/>
      <c r="AB95" s="52"/>
      <c r="AC95" s="52"/>
      <c r="AD95" s="53"/>
      <c r="AE95" s="53"/>
      <c r="AF95" s="52"/>
      <c r="AG95" s="52"/>
      <c r="AH95" s="52"/>
      <c r="AI95" s="52"/>
      <c r="AJ95" s="52"/>
      <c r="AK95" s="53"/>
      <c r="AL95" s="53"/>
      <c r="AM95" s="52"/>
      <c r="AN95" s="52"/>
      <c r="AO95" s="52"/>
      <c r="AP95" s="52"/>
      <c r="AQ95" s="52"/>
      <c r="AR95" s="53"/>
      <c r="AS95" s="53"/>
      <c r="AT95" s="52"/>
      <c r="AU95" s="52"/>
      <c r="AV95" s="52"/>
      <c r="AW95" s="52"/>
      <c r="AX95" s="52"/>
      <c r="AY95" s="53"/>
      <c r="AZ95" s="53"/>
      <c r="BA95" s="52"/>
      <c r="BB95" s="52"/>
      <c r="BC95" s="52"/>
      <c r="BD95" s="52"/>
      <c r="BE95" s="52"/>
      <c r="BF95" s="53"/>
      <c r="BG95" s="53"/>
      <c r="BH95" s="52"/>
      <c r="BI95" s="52"/>
      <c r="BJ95" s="52"/>
      <c r="BK95" s="52"/>
      <c r="BL95" s="52"/>
      <c r="BM95" s="53"/>
      <c r="BN95" s="53"/>
      <c r="BO95" s="52"/>
      <c r="BP95" s="52"/>
      <c r="BQ95" s="52"/>
      <c r="BR95" s="52"/>
      <c r="BS95" s="52"/>
      <c r="BT95" s="53"/>
      <c r="BU95" s="53"/>
      <c r="BV95" s="52"/>
      <c r="BW95" s="52"/>
      <c r="BX95" s="52"/>
      <c r="BY95" s="52"/>
      <c r="BZ95" s="52"/>
      <c r="CA95" s="53"/>
      <c r="CB95" s="53"/>
      <c r="CC95" s="52"/>
      <c r="CD95" s="52"/>
      <c r="CE95" s="52"/>
      <c r="CF95" s="52"/>
      <c r="CG95" s="52"/>
      <c r="CH95" s="53"/>
      <c r="CI95" s="53"/>
      <c r="CJ95" s="52"/>
      <c r="CK95" s="52"/>
      <c r="CL95" s="52"/>
      <c r="CM95" s="52"/>
      <c r="CN95" s="52"/>
      <c r="CO95" s="53"/>
      <c r="CP95" s="53"/>
      <c r="CQ95" s="52"/>
      <c r="CR95" s="52"/>
      <c r="CS95" s="52"/>
      <c r="CT95" s="52"/>
      <c r="CU95" s="52"/>
      <c r="CV95" s="53"/>
      <c r="CW95" s="53"/>
      <c r="CX95" s="52"/>
      <c r="CY95" s="52"/>
      <c r="CZ95" s="52"/>
      <c r="DA95" s="52"/>
      <c r="DB95" s="52"/>
      <c r="DC95" s="53"/>
      <c r="DD95" s="53"/>
      <c r="DE95" s="52"/>
      <c r="DF95" s="52"/>
      <c r="DG95" s="52"/>
      <c r="DH95" s="52"/>
      <c r="DI95" s="52"/>
      <c r="DJ95" s="53"/>
      <c r="DK95" s="53"/>
      <c r="DL95" s="52"/>
      <c r="DM95" s="52"/>
      <c r="DN95" s="52"/>
      <c r="DO95" s="52"/>
      <c r="DP95" s="52"/>
      <c r="DQ95" s="53"/>
      <c r="DR95" s="53"/>
      <c r="DS95" s="52"/>
      <c r="DT95" s="52"/>
      <c r="DU95" s="52"/>
      <c r="DV95" s="52"/>
      <c r="DW95" s="52"/>
      <c r="DX95" s="53"/>
      <c r="DY95" s="53"/>
      <c r="DZ95" s="52"/>
      <c r="EA95" s="52"/>
      <c r="EB95" s="52"/>
      <c r="EC95" s="52"/>
      <c r="ED95" s="52"/>
      <c r="EE95" s="53"/>
      <c r="EF95" s="53"/>
      <c r="EG95" s="52"/>
      <c r="EH95" s="52"/>
      <c r="EI95" s="52"/>
      <c r="EJ95" s="52"/>
      <c r="EK95" s="54"/>
      <c r="OU95" s="28" t="s">
        <v>84</v>
      </c>
    </row>
    <row r="96" ht="16" customHeight="1" spans="1:411" x14ac:dyDescent="0.25">
      <c r="A96" s="45"/>
      <c r="B96" s="46"/>
      <c r="C96" s="47"/>
      <c r="D96" s="48"/>
      <c r="E96" s="55" t="s">
        <v>60</v>
      </c>
      <c r="F96" s="49"/>
      <c r="G96" s="49"/>
      <c r="H96" s="49"/>
      <c r="I96" s="49"/>
      <c r="J96" s="50"/>
      <c r="K96" s="56">
        <v>1</v>
      </c>
      <c r="L96" s="57">
        <v>1</v>
      </c>
      <c r="M96" s="57">
        <v>1</v>
      </c>
      <c r="N96" s="57">
        <v>1</v>
      </c>
      <c r="O96" s="57">
        <v>1</v>
      </c>
      <c r="P96" s="58">
        <v>0</v>
      </c>
      <c r="Q96" s="58">
        <v>0</v>
      </c>
      <c r="R96" s="57">
        <v>1</v>
      </c>
      <c r="S96" s="57">
        <v>1</v>
      </c>
      <c r="T96" s="57">
        <v>1</v>
      </c>
      <c r="U96" s="57">
        <v>1</v>
      </c>
      <c r="V96" s="57">
        <v>1</v>
      </c>
      <c r="W96" s="58">
        <v>0</v>
      </c>
      <c r="X96" s="58">
        <v>0</v>
      </c>
      <c r="Y96" s="57">
        <v>1</v>
      </c>
      <c r="Z96" s="57">
        <v>1</v>
      </c>
      <c r="AA96" s="57">
        <v>1</v>
      </c>
      <c r="AB96" s="57">
        <v>1</v>
      </c>
      <c r="AC96" s="57">
        <v>1</v>
      </c>
      <c r="AD96" s="58">
        <v>0</v>
      </c>
      <c r="AE96" s="58">
        <v>0</v>
      </c>
      <c r="AF96" s="57">
        <v>2</v>
      </c>
      <c r="AG96" s="57">
        <v>2</v>
      </c>
      <c r="AH96" s="57">
        <v>2</v>
      </c>
      <c r="AI96" s="57">
        <v>2</v>
      </c>
      <c r="AJ96" s="57">
        <v>2</v>
      </c>
      <c r="AK96" s="58">
        <v>0</v>
      </c>
      <c r="AL96" s="58">
        <v>0</v>
      </c>
      <c r="AM96" s="57">
        <v>2</v>
      </c>
      <c r="AN96" s="57">
        <v>2</v>
      </c>
      <c r="AO96" s="57">
        <v>2</v>
      </c>
      <c r="AP96" s="57">
        <v>2</v>
      </c>
      <c r="AQ96" s="57">
        <v>2</v>
      </c>
      <c r="AR96" s="58">
        <v>0</v>
      </c>
      <c r="AS96" s="58">
        <v>0</v>
      </c>
      <c r="AT96" s="57">
        <v>2</v>
      </c>
      <c r="AU96" s="57">
        <v>2</v>
      </c>
      <c r="AV96" s="57">
        <v>2</v>
      </c>
      <c r="AW96" s="57">
        <v>2</v>
      </c>
      <c r="AX96" s="57">
        <v>2</v>
      </c>
      <c r="AY96" s="58">
        <v>0</v>
      </c>
      <c r="AZ96" s="58">
        <v>0</v>
      </c>
      <c r="BA96" s="57">
        <v>2</v>
      </c>
      <c r="BB96" s="57">
        <v>2</v>
      </c>
      <c r="BC96" s="57">
        <v>2</v>
      </c>
      <c r="BD96" s="57">
        <v>2</v>
      </c>
      <c r="BE96" s="57">
        <v>2</v>
      </c>
      <c r="BF96" s="58">
        <v>0</v>
      </c>
      <c r="BG96" s="58">
        <v>0</v>
      </c>
      <c r="BH96" s="57">
        <v>2</v>
      </c>
      <c r="BI96" s="57">
        <v>2</v>
      </c>
      <c r="BJ96" s="57">
        <v>2</v>
      </c>
      <c r="BK96" s="57">
        <v>2</v>
      </c>
      <c r="BL96" s="57">
        <v>2</v>
      </c>
      <c r="BM96" s="58">
        <v>2</v>
      </c>
      <c r="BN96" s="58">
        <v>2</v>
      </c>
      <c r="BO96" s="57">
        <v>2</v>
      </c>
      <c r="BP96" s="57">
        <v>2</v>
      </c>
      <c r="BQ96" s="57">
        <v>2</v>
      </c>
      <c r="BR96" s="57">
        <v>2</v>
      </c>
      <c r="BS96" s="57">
        <v>2</v>
      </c>
      <c r="BT96" s="58">
        <v>2</v>
      </c>
      <c r="BU96" s="58">
        <v>2</v>
      </c>
      <c r="BV96" s="57">
        <v>2</v>
      </c>
      <c r="BW96" s="57">
        <v>2</v>
      </c>
      <c r="BX96" s="57">
        <v>2</v>
      </c>
      <c r="BY96" s="57">
        <v>2</v>
      </c>
      <c r="BZ96" s="57">
        <v>2</v>
      </c>
      <c r="CA96" s="58">
        <v>2</v>
      </c>
      <c r="CB96" s="58">
        <v>2</v>
      </c>
      <c r="CC96" s="57">
        <v>2</v>
      </c>
      <c r="CD96" s="57">
        <v>2</v>
      </c>
      <c r="CE96" s="57">
        <v>2</v>
      </c>
      <c r="CF96" s="57">
        <v>2</v>
      </c>
      <c r="CG96" s="57">
        <v>2</v>
      </c>
      <c r="CH96" s="58">
        <v>2</v>
      </c>
      <c r="CI96" s="58">
        <v>2</v>
      </c>
      <c r="CJ96" s="57">
        <v>2</v>
      </c>
      <c r="CK96" s="57">
        <v>2</v>
      </c>
      <c r="CL96" s="57">
        <v>2</v>
      </c>
      <c r="CM96" s="57">
        <v>2</v>
      </c>
      <c r="CN96" s="57">
        <v>2</v>
      </c>
      <c r="CO96" s="58">
        <v>2</v>
      </c>
      <c r="CP96" s="58">
        <v>2</v>
      </c>
      <c r="CQ96" s="57">
        <v>2</v>
      </c>
      <c r="CR96" s="57">
        <v>2</v>
      </c>
      <c r="CS96" s="57">
        <v>2</v>
      </c>
      <c r="CT96" s="57">
        <v>2</v>
      </c>
      <c r="CU96" s="57">
        <v>2</v>
      </c>
      <c r="CV96" s="58">
        <v>2</v>
      </c>
      <c r="CW96" s="58">
        <v>2</v>
      </c>
      <c r="CX96" s="57">
        <v>2</v>
      </c>
      <c r="CY96" s="57">
        <v>2</v>
      </c>
      <c r="CZ96" s="57">
        <v>2</v>
      </c>
      <c r="DA96" s="57">
        <v>2</v>
      </c>
      <c r="DB96" s="57">
        <v>2</v>
      </c>
      <c r="DC96" s="58">
        <v>2</v>
      </c>
      <c r="DD96" s="58">
        <v>2</v>
      </c>
      <c r="DE96" s="57">
        <v>2</v>
      </c>
      <c r="DF96" s="57">
        <v>2</v>
      </c>
      <c r="DG96" s="57">
        <v>2</v>
      </c>
      <c r="DH96" s="57">
        <v>2</v>
      </c>
      <c r="DI96" s="57">
        <v>2</v>
      </c>
      <c r="DJ96" s="58">
        <v>2</v>
      </c>
      <c r="DK96" s="58">
        <v>2</v>
      </c>
      <c r="DL96" s="57">
        <v>2</v>
      </c>
      <c r="DM96" s="57">
        <v>2</v>
      </c>
      <c r="DN96" s="57">
        <v>2</v>
      </c>
      <c r="DO96" s="57">
        <v>2</v>
      </c>
      <c r="DP96" s="57">
        <v>2</v>
      </c>
      <c r="DQ96" s="58">
        <v>2</v>
      </c>
      <c r="DR96" s="58">
        <v>2</v>
      </c>
      <c r="DS96" s="57">
        <v>2</v>
      </c>
      <c r="DT96" s="57">
        <v>2</v>
      </c>
      <c r="DU96" s="57">
        <v>1</v>
      </c>
      <c r="DV96" s="57">
        <v>1</v>
      </c>
      <c r="DW96" s="57">
        <v>1</v>
      </c>
      <c r="DX96" s="58">
        <v>0</v>
      </c>
      <c r="DY96" s="58">
        <v>0</v>
      </c>
      <c r="DZ96" s="57">
        <v>1</v>
      </c>
      <c r="EA96" s="57">
        <v>1</v>
      </c>
      <c r="EB96" s="57">
        <v>1</v>
      </c>
      <c r="EC96" s="57">
        <v>1</v>
      </c>
      <c r="ED96" s="57">
        <v>1</v>
      </c>
      <c r="EE96" s="58">
        <v>0</v>
      </c>
      <c r="EF96" s="58">
        <v>0</v>
      </c>
      <c r="EG96" s="57">
        <v>1</v>
      </c>
      <c r="EH96" s="57">
        <v>1</v>
      </c>
      <c r="EI96" s="57">
        <v>1</v>
      </c>
      <c r="EJ96" s="57">
        <v>1</v>
      </c>
      <c r="EK96" s="59">
        <v>1</v>
      </c>
      <c r="OU96" s="60" t="s">
        <v>84</v>
      </c>
    </row>
    <row r="97" ht="16" customHeight="1" spans="1:411" x14ac:dyDescent="0.25">
      <c r="A97" s="45"/>
      <c r="B97" s="46"/>
      <c r="C97" s="47"/>
      <c r="D97" s="48"/>
      <c r="E97" s="55" t="s">
        <v>61</v>
      </c>
      <c r="F97" s="49"/>
      <c r="G97" s="49"/>
      <c r="H97" s="49"/>
      <c r="I97" s="49"/>
      <c r="J97" s="50"/>
      <c r="K97" s="56">
        <v>8.5</v>
      </c>
      <c r="L97" s="57">
        <v>8.5</v>
      </c>
      <c r="M97" s="57">
        <v>8.5</v>
      </c>
      <c r="N97" s="57">
        <v>8.5</v>
      </c>
      <c r="O97" s="57">
        <v>8.5</v>
      </c>
      <c r="P97" s="58">
        <v>0</v>
      </c>
      <c r="Q97" s="58">
        <v>0</v>
      </c>
      <c r="R97" s="57">
        <v>8.5</v>
      </c>
      <c r="S97" s="57">
        <v>8.5</v>
      </c>
      <c r="T97" s="57">
        <v>8.5</v>
      </c>
      <c r="U97" s="57">
        <v>8.5</v>
      </c>
      <c r="V97" s="57">
        <v>8.5</v>
      </c>
      <c r="W97" s="58">
        <v>0</v>
      </c>
      <c r="X97" s="58">
        <v>0</v>
      </c>
      <c r="Y97" s="57">
        <v>8.5</v>
      </c>
      <c r="Z97" s="57">
        <v>8.5</v>
      </c>
      <c r="AA97" s="57">
        <v>8.5</v>
      </c>
      <c r="AB97" s="57">
        <v>8.5</v>
      </c>
      <c r="AC97" s="57">
        <v>8.5</v>
      </c>
      <c r="AD97" s="58">
        <v>0</v>
      </c>
      <c r="AE97" s="58">
        <v>0</v>
      </c>
      <c r="AF97" s="57">
        <v>8.5</v>
      </c>
      <c r="AG97" s="57">
        <v>8.5</v>
      </c>
      <c r="AH97" s="57">
        <v>8.5</v>
      </c>
      <c r="AI97" s="57">
        <v>8.5</v>
      </c>
      <c r="AJ97" s="57">
        <v>8.5</v>
      </c>
      <c r="AK97" s="58">
        <v>0</v>
      </c>
      <c r="AL97" s="58">
        <v>0</v>
      </c>
      <c r="AM97" s="57">
        <v>8.5</v>
      </c>
      <c r="AN97" s="57">
        <v>8.5</v>
      </c>
      <c r="AO97" s="57">
        <v>8.5</v>
      </c>
      <c r="AP97" s="57">
        <v>8.5</v>
      </c>
      <c r="AQ97" s="57">
        <v>8.5</v>
      </c>
      <c r="AR97" s="58">
        <v>0</v>
      </c>
      <c r="AS97" s="58">
        <v>0</v>
      </c>
      <c r="AT97" s="57">
        <v>8.5</v>
      </c>
      <c r="AU97" s="57">
        <v>8.5</v>
      </c>
      <c r="AV97" s="57">
        <v>8.5</v>
      </c>
      <c r="AW97" s="57">
        <v>8.5</v>
      </c>
      <c r="AX97" s="57">
        <v>8.5</v>
      </c>
      <c r="AY97" s="58">
        <v>0</v>
      </c>
      <c r="AZ97" s="58">
        <v>0</v>
      </c>
      <c r="BA97" s="57">
        <v>8.5</v>
      </c>
      <c r="BB97" s="57">
        <v>8.5</v>
      </c>
      <c r="BC97" s="57">
        <v>8.5</v>
      </c>
      <c r="BD97" s="57">
        <v>8.5</v>
      </c>
      <c r="BE97" s="57">
        <v>8.5</v>
      </c>
      <c r="BF97" s="58">
        <v>0</v>
      </c>
      <c r="BG97" s="58">
        <v>0</v>
      </c>
      <c r="BH97" s="57">
        <v>11</v>
      </c>
      <c r="BI97" s="57">
        <v>11</v>
      </c>
      <c r="BJ97" s="57">
        <v>11</v>
      </c>
      <c r="BK97" s="57">
        <v>11</v>
      </c>
      <c r="BL97" s="57">
        <v>11</v>
      </c>
      <c r="BM97" s="58">
        <v>11</v>
      </c>
      <c r="BN97" s="58">
        <v>11</v>
      </c>
      <c r="BO97" s="57">
        <v>11</v>
      </c>
      <c r="BP97" s="57">
        <v>11</v>
      </c>
      <c r="BQ97" s="57">
        <v>11</v>
      </c>
      <c r="BR97" s="57">
        <v>11</v>
      </c>
      <c r="BS97" s="57">
        <v>11</v>
      </c>
      <c r="BT97" s="58">
        <v>11</v>
      </c>
      <c r="BU97" s="58">
        <v>11</v>
      </c>
      <c r="BV97" s="57">
        <v>11</v>
      </c>
      <c r="BW97" s="57">
        <v>11</v>
      </c>
      <c r="BX97" s="57">
        <v>11</v>
      </c>
      <c r="BY97" s="57">
        <v>11</v>
      </c>
      <c r="BZ97" s="57">
        <v>11</v>
      </c>
      <c r="CA97" s="58">
        <v>11</v>
      </c>
      <c r="CB97" s="58">
        <v>11</v>
      </c>
      <c r="CC97" s="57">
        <v>11</v>
      </c>
      <c r="CD97" s="57">
        <v>11</v>
      </c>
      <c r="CE97" s="57">
        <v>11</v>
      </c>
      <c r="CF97" s="57">
        <v>11</v>
      </c>
      <c r="CG97" s="57">
        <v>11</v>
      </c>
      <c r="CH97" s="58">
        <v>11</v>
      </c>
      <c r="CI97" s="58">
        <v>11</v>
      </c>
      <c r="CJ97" s="57">
        <v>11</v>
      </c>
      <c r="CK97" s="57">
        <v>11</v>
      </c>
      <c r="CL97" s="57">
        <v>11</v>
      </c>
      <c r="CM97" s="57">
        <v>11</v>
      </c>
      <c r="CN97" s="57">
        <v>11</v>
      </c>
      <c r="CO97" s="58">
        <v>11</v>
      </c>
      <c r="CP97" s="58">
        <v>11</v>
      </c>
      <c r="CQ97" s="57">
        <v>11</v>
      </c>
      <c r="CR97" s="57">
        <v>11</v>
      </c>
      <c r="CS97" s="57">
        <v>11</v>
      </c>
      <c r="CT97" s="57">
        <v>11</v>
      </c>
      <c r="CU97" s="57">
        <v>11</v>
      </c>
      <c r="CV97" s="58">
        <v>11</v>
      </c>
      <c r="CW97" s="58">
        <v>11</v>
      </c>
      <c r="CX97" s="57">
        <v>11</v>
      </c>
      <c r="CY97" s="57">
        <v>11</v>
      </c>
      <c r="CZ97" s="57">
        <v>11</v>
      </c>
      <c r="DA97" s="57">
        <v>11</v>
      </c>
      <c r="DB97" s="57">
        <v>11</v>
      </c>
      <c r="DC97" s="58">
        <v>11</v>
      </c>
      <c r="DD97" s="58">
        <v>11</v>
      </c>
      <c r="DE97" s="57">
        <v>11</v>
      </c>
      <c r="DF97" s="57">
        <v>11</v>
      </c>
      <c r="DG97" s="57">
        <v>11</v>
      </c>
      <c r="DH97" s="57">
        <v>11</v>
      </c>
      <c r="DI97" s="57">
        <v>11</v>
      </c>
      <c r="DJ97" s="58">
        <v>11</v>
      </c>
      <c r="DK97" s="58">
        <v>11</v>
      </c>
      <c r="DL97" s="57">
        <v>11</v>
      </c>
      <c r="DM97" s="57">
        <v>11</v>
      </c>
      <c r="DN97" s="57">
        <v>11</v>
      </c>
      <c r="DO97" s="57">
        <v>11</v>
      </c>
      <c r="DP97" s="57">
        <v>11</v>
      </c>
      <c r="DQ97" s="58">
        <v>11</v>
      </c>
      <c r="DR97" s="58">
        <v>11</v>
      </c>
      <c r="DS97" s="57">
        <v>11</v>
      </c>
      <c r="DT97" s="57">
        <v>8</v>
      </c>
      <c r="DU97" s="57">
        <v>8</v>
      </c>
      <c r="DV97" s="57">
        <v>8</v>
      </c>
      <c r="DW97" s="57">
        <v>8</v>
      </c>
      <c r="DX97" s="58">
        <v>0</v>
      </c>
      <c r="DY97" s="58">
        <v>0</v>
      </c>
      <c r="DZ97" s="57">
        <v>8</v>
      </c>
      <c r="EA97" s="57">
        <v>8</v>
      </c>
      <c r="EB97" s="57">
        <v>8</v>
      </c>
      <c r="EC97" s="57">
        <v>8</v>
      </c>
      <c r="ED97" s="57">
        <v>8</v>
      </c>
      <c r="EE97" s="58">
        <v>0</v>
      </c>
      <c r="EF97" s="58">
        <v>0</v>
      </c>
      <c r="EG97" s="57">
        <v>8</v>
      </c>
      <c r="EH97" s="57">
        <v>8</v>
      </c>
      <c r="EI97" s="57">
        <v>8</v>
      </c>
      <c r="EJ97" s="57">
        <v>8</v>
      </c>
      <c r="EK97" s="59">
        <v>8</v>
      </c>
      <c r="OU97" s="60" t="s">
        <v>84</v>
      </c>
    </row>
    <row r="98" ht="16" customHeight="1" spans="1:411" x14ac:dyDescent="0.25">
      <c r="A98" s="45"/>
      <c r="B98" s="46"/>
      <c r="C98" s="61">
        <f>F95*N(D98)</f>
        <v>121966.79999999999</v>
      </c>
      <c r="D98" s="61">
        <f>IF(TRIM(B95)="","No rate",IFERROR(INDEX('Rate Tables'!C$7:C$158,MATCH(B95,'Rate Tables'!A$7:A$158,0)),"No rate"))</f>
        <v>91.02</v>
      </c>
      <c r="E98" s="55" t="s">
        <v>62</v>
      </c>
      <c r="F98" s="49"/>
      <c r="G98" s="49"/>
      <c r="H98" s="49"/>
      <c r="I98" s="49"/>
      <c r="J98" s="50"/>
      <c r="K98" s="62">
        <f>IF(AND(K96=1,K97=8.5),8,MIN(IF(K96&lt;=0,0,IF(WEEKDAY(K$6,1)=1,0,MIN(8,K97)*K96)),MAX(0,40*MAX(1,K96)-(0))))</f>
        <v>8</v>
      </c>
      <c r="L98" s="63">
        <f>IF(AND(L96=1,L97=8.5),8,MIN(IF(L96&lt;=0,0,IF(WEEKDAY(L$6,1)=1,0,MIN(8,L97)*L96)),MAX(0,40*MAX(1,L96)-(K98))))</f>
        <v>8</v>
      </c>
      <c r="M98" s="63">
        <f>IF(AND(M96=1,M97=8.5),8,MIN(IF(M96&lt;=0,0,IF(WEEKDAY(M$6,1)=1,0,MIN(8,M97)*M96)),MAX(0,40*MAX(1,M96)-(K98+L98))))</f>
        <v>8</v>
      </c>
      <c r="N98" s="63">
        <f>IF(AND(N96=1,N97=8.5),8,MIN(IF(N96&lt;=0,0,IF(WEEKDAY(N$6,1)=1,0,MIN(8,N97)*N96)),MAX(0,40*MAX(1,N96)-(K98+L98+M98))))</f>
        <v>8</v>
      </c>
      <c r="O98" s="63">
        <f>IF(AND(O96=1,O97=8.5),8,MIN(IF(O96&lt;=0,0,IF(WEEKDAY(O$6,1)=1,0,MIN(8,O97)*O96)),MAX(0,40*MAX(1,O96)-(K98+L98+M98+N98))))</f>
        <v>8</v>
      </c>
      <c r="P98" s="64">
        <f>IF(AND(P96=0,P97=0),0,MIN(IF(P96&lt;=0,0,IF(WEEKDAY(P$6,1)=1,0,MIN(10,P97)*P96)),MAX(0,40*MAX(1,P96)-(0))))</f>
        <v>0</v>
      </c>
      <c r="Q98" s="64">
        <f>IF(AND(Q96=0,Q97=0),0,MIN(IF(Q96&lt;=0,0,IF(WEEKDAY(Q$6,1)=1,0,MIN(10,Q97)*Q96)),MAX(0,40*MAX(1,Q96)-(P98))))</f>
        <v>0</v>
      </c>
      <c r="R98" s="63">
        <f>IF(AND(R96=1,R97=8.5),8,MIN(IF(R96&lt;=0,0,IF(WEEKDAY(R$6,1)=1,0,MIN(8,R97)*R96)),MAX(0,40*MAX(1,R96)-(0))))</f>
        <v>8</v>
      </c>
      <c r="S98" s="63">
        <f>IF(AND(S96=1,S97=8.5),8,MIN(IF(S96&lt;=0,0,IF(WEEKDAY(S$6,1)=1,0,MIN(8,S97)*S96)),MAX(0,40*MAX(1,S96)-(R98))))</f>
        <v>8</v>
      </c>
      <c r="T98" s="63">
        <f>IF(AND(T96=1,T97=8.5),8,MIN(IF(T96&lt;=0,0,IF(WEEKDAY(T$6,1)=1,0,MIN(8,T97)*T96)),MAX(0,40*MAX(1,T96)-(R98+S98))))</f>
        <v>8</v>
      </c>
      <c r="U98" s="63">
        <f>IF(AND(U96=1,U97=8.5),8,MIN(IF(U96&lt;=0,0,IF(WEEKDAY(U$6,1)=1,0,MIN(8,U97)*U96)),MAX(0,40*MAX(1,U96)-(R98+S98+T98))))</f>
        <v>8</v>
      </c>
      <c r="V98" s="63">
        <f>IF(AND(V96=1,V97=8.5),8,MIN(IF(V96&lt;=0,0,IF(WEEKDAY(V$6,1)=1,0,MIN(8,V97)*V96)),MAX(0,40*MAX(1,V96)-(R98+S98+T98+U98))))</f>
        <v>8</v>
      </c>
      <c r="W98" s="64">
        <f>IF(AND(W96=0,W97=0),0,MIN(IF(W96&lt;=0,0,IF(WEEKDAY(W$6,1)=1,0,MIN(10,W97)*W96)),MAX(0,40*MAX(1,W96)-(0))))</f>
        <v>0</v>
      </c>
      <c r="X98" s="64">
        <f>IF(AND(X96=0,X97=0),0,MIN(IF(X96&lt;=0,0,IF(WEEKDAY(X$6,1)=1,0,MIN(10,X97)*X96)),MAX(0,40*MAX(1,X96)-(W98))))</f>
        <v>0</v>
      </c>
      <c r="Y98" s="63">
        <f>IF(AND(Y96=1,Y97=8.5),8,MIN(IF(Y96&lt;=0,0,IF(WEEKDAY(Y$6,1)=1,0,MIN(8,Y97)*Y96)),MAX(0,40*MAX(1,Y96)-(0))))</f>
        <v>8</v>
      </c>
      <c r="Z98" s="63">
        <f>IF(AND(Z96=1,Z97=8.5),8,MIN(IF(Z96&lt;=0,0,IF(WEEKDAY(Z$6,1)=1,0,MIN(8,Z97)*Z96)),MAX(0,40*MAX(1,Z96)-(Y98))))</f>
        <v>8</v>
      </c>
      <c r="AA98" s="63">
        <f>IF(AND(AA96=1,AA97=8.5),8,MIN(IF(AA96&lt;=0,0,IF(WEEKDAY(AA$6,1)=1,0,MIN(8,AA97)*AA96)),MAX(0,40*MAX(1,AA96)-(Y98+Z98))))</f>
        <v>8</v>
      </c>
      <c r="AB98" s="63">
        <f>IF(AND(AB96=1,AB97=8.5),8,MIN(IF(AB96&lt;=0,0,IF(WEEKDAY(AB$6,1)=1,0,MIN(8,AB97)*AB96)),MAX(0,40*MAX(1,AB96)-(Y98+Z98+AA98))))</f>
        <v>8</v>
      </c>
      <c r="AC98" s="63">
        <f>IF(AND(AC96=1,AC97=8.5),8,MIN(IF(AC96&lt;=0,0,IF(WEEKDAY(AC$6,1)=1,0,MIN(8,AC97)*AC96)),MAX(0,40*MAX(1,AC96)-(Y98+Z98+AA98+AB98))))</f>
        <v>8</v>
      </c>
      <c r="AD98" s="64">
        <f>IF(AND(AD96=0,AD97=0),0,MIN(IF(AD96&lt;=0,0,IF(WEEKDAY(AD$6,1)=1,0,MIN(10,AD97)*AD96)),MAX(0,40*MAX(1,AD96)-(0))))</f>
        <v>0</v>
      </c>
      <c r="AE98" s="64">
        <f>IF(AND(AE96=0,AE97=0),0,MIN(IF(AE96&lt;=0,0,IF(WEEKDAY(AE$6,1)=1,0,MIN(10,AE97)*AE96)),MAX(0,40*MAX(1,AE96)-(AD98))))</f>
        <v>0</v>
      </c>
      <c r="AF98" s="63">
        <f>IF(AND(AF96=2,AF97=8.5),16,MIN(IF(AF96&lt;=0,0,IF(WEEKDAY(AF$6,1)=1,0,MIN(8,AF97)*AF96)),MAX(0,40*MAX(1,AF96)-(0))))</f>
        <v>16</v>
      </c>
      <c r="AG98" s="63">
        <f>IF(AND(AG96=2,AG97=8.5),16,MIN(IF(AG96&lt;=0,0,IF(WEEKDAY(AG$6,1)=1,0,MIN(8,AG97)*AG96)),MAX(0,40*MAX(1,AG96)-(AF98))))</f>
        <v>16</v>
      </c>
      <c r="AH98" s="63">
        <f>IF(AND(AH96=2,AH97=8.5),16,MIN(IF(AH96&lt;=0,0,IF(WEEKDAY(AH$6,1)=1,0,MIN(8,AH97)*AH96)),MAX(0,40*MAX(1,AH96)-(AF98+AG98))))</f>
        <v>16</v>
      </c>
      <c r="AI98" s="63">
        <f>IF(AND(AI96=2,AI97=8.5),16,MIN(IF(AI96&lt;=0,0,IF(WEEKDAY(AI$6,1)=1,0,MIN(8,AI97)*AI96)),MAX(0,40*MAX(1,AI96)-(AF98+AG98+AH98))))</f>
        <v>16</v>
      </c>
      <c r="AJ98" s="63">
        <f>IF(AND(AJ96=2,AJ97=8.5),16,MIN(IF(AJ96&lt;=0,0,IF(WEEKDAY(AJ$6,1)=1,0,MIN(8,AJ97)*AJ96)),MAX(0,40*MAX(1,AJ96)-(AF98+AG98+AH98+AI98))))</f>
        <v>16</v>
      </c>
      <c r="AK98" s="64">
        <f>IF(AND(AK96=0,AK97=0),0,MIN(IF(AK96&lt;=0,0,IF(WEEKDAY(AK$6,1)=1,0,MIN(10,AK97)*AK96)),MAX(0,40*MAX(1,AK96)-(0))))</f>
        <v>0</v>
      </c>
      <c r="AL98" s="64">
        <f>IF(AND(AL96=0,AL97=0),0,MIN(IF(AL96&lt;=0,0,IF(WEEKDAY(AL$6,1)=1,0,MIN(10,AL97)*AL96)),MAX(0,40*MAX(1,AL96)-(AK98))))</f>
        <v>0</v>
      </c>
      <c r="AM98" s="63">
        <f>IF(AND(AM96=2,AM97=8.5),16,MIN(IF(AM96&lt;=0,0,IF(WEEKDAY(AM$6,1)=1,0,MIN(8,AM97)*AM96)),MAX(0,40*MAX(1,AM96)-(0))))</f>
        <v>16</v>
      </c>
      <c r="AN98" s="63">
        <f>IF(AND(AN96=2,AN97=8.5),16,MIN(IF(AN96&lt;=0,0,IF(WEEKDAY(AN$6,1)=1,0,MIN(8,AN97)*AN96)),MAX(0,40*MAX(1,AN96)-(AM98))))</f>
        <v>16</v>
      </c>
      <c r="AO98" s="63">
        <f>IF(AND(AO96=2,AO97=8.5),16,MIN(IF(AO96&lt;=0,0,IF(WEEKDAY(AO$6,1)=1,0,MIN(8,AO97)*AO96)),MAX(0,40*MAX(1,AO96)-(AM98+AN98))))</f>
        <v>16</v>
      </c>
      <c r="AP98" s="63">
        <f>IF(AND(AP96=2,AP97=8.5),16,MIN(IF(AP96&lt;=0,0,IF(WEEKDAY(AP$6,1)=1,0,MIN(8,AP97)*AP96)),MAX(0,40*MAX(1,AP96)-(AM98+AN98+AO98))))</f>
        <v>16</v>
      </c>
      <c r="AQ98" s="63">
        <f>IF(AND(AQ96=2,AQ97=8.5),16,MIN(IF(AQ96&lt;=0,0,IF(WEEKDAY(AQ$6,1)=1,0,MIN(8,AQ97)*AQ96)),MAX(0,40*MAX(1,AQ96)-(AM98+AN98+AO98+AP98))))</f>
        <v>16</v>
      </c>
      <c r="AR98" s="64">
        <f>IF(AND(AR96=0,AR97=0),0,MIN(IF(AR96&lt;=0,0,IF(WEEKDAY(AR$6,1)=1,0,MIN(10,AR97)*AR96)),MAX(0,40*MAX(1,AR96)-(0))))</f>
        <v>0</v>
      </c>
      <c r="AS98" s="64">
        <f>IF(AND(AS96=0,AS97=0),0,MIN(IF(AS96&lt;=0,0,IF(WEEKDAY(AS$6,1)=1,0,MIN(10,AS97)*AS96)),MAX(0,40*MAX(1,AS96)-(AR98))))</f>
        <v>0</v>
      </c>
      <c r="AT98" s="63">
        <f>IF(AND(AT96=2,AT97=8.5),16,MIN(IF(AT96&lt;=0,0,IF(WEEKDAY(AT$6,1)=1,0,MIN(8,AT97)*AT96)),MAX(0,40*MAX(1,AT96)-(0))))</f>
        <v>16</v>
      </c>
      <c r="AU98" s="63">
        <f>IF(AND(AU96=2,AU97=8.5),16,MIN(IF(AU96&lt;=0,0,IF(WEEKDAY(AU$6,1)=1,0,MIN(8,AU97)*AU96)),MAX(0,40*MAX(1,AU96)-(AT98))))</f>
        <v>16</v>
      </c>
      <c r="AV98" s="63">
        <f>IF(AND(AV96=2,AV97=8.5),16,MIN(IF(AV96&lt;=0,0,IF(WEEKDAY(AV$6,1)=1,0,MIN(8,AV97)*AV96)),MAX(0,40*MAX(1,AV96)-(AT98+AU98))))</f>
        <v>16</v>
      </c>
      <c r="AW98" s="63">
        <f>IF(AND(AW96=2,AW97=8.5),16,MIN(IF(AW96&lt;=0,0,IF(WEEKDAY(AW$6,1)=1,0,MIN(8,AW97)*AW96)),MAX(0,40*MAX(1,AW96)-(AT98+AU98+AV98))))</f>
        <v>16</v>
      </c>
      <c r="AX98" s="63">
        <f>IF(AND(AX96=2,AX97=8.5),16,MIN(IF(AX96&lt;=0,0,IF(WEEKDAY(AX$6,1)=1,0,MIN(8,AX97)*AX96)),MAX(0,40*MAX(1,AX96)-(AT98+AU98+AV98+AW98))))</f>
        <v>16</v>
      </c>
      <c r="AY98" s="64">
        <f>IF(AND(AY96=0,AY97=0),0,MIN(IF(AY96&lt;=0,0,IF(WEEKDAY(AY$6,1)=1,0,MIN(10,AY97)*AY96)),MAX(0,40*MAX(1,AY96)-(0))))</f>
        <v>0</v>
      </c>
      <c r="AZ98" s="64">
        <f>IF(AND(AZ96=0,AZ97=0),0,MIN(IF(AZ96&lt;=0,0,IF(WEEKDAY(AZ$6,1)=1,0,MIN(10,AZ97)*AZ96)),MAX(0,40*MAX(1,AZ96)-(AY98))))</f>
        <v>0</v>
      </c>
      <c r="BA98" s="63">
        <f>IF(AND(BA96=2,BA97=8.5),16,MIN(IF(BA96&lt;=0,0,IF(WEEKDAY(BA$6,1)=1,0,MIN(8,BA97)*BA96)),MAX(0,40*MAX(1,BA96)-(0))))</f>
        <v>16</v>
      </c>
      <c r="BB98" s="63">
        <f>IF(AND(BB96=2,BB97=8.5),16,MIN(IF(BB96&lt;=0,0,IF(WEEKDAY(BB$6,1)=1,0,MIN(8,BB97)*BB96)),MAX(0,40*MAX(1,BB96)-(BA98))))</f>
        <v>16</v>
      </c>
      <c r="BC98" s="63">
        <f>IF(AND(BC96=2,BC97=8.5),16,MIN(IF(BC96&lt;=0,0,IF(WEEKDAY(BC$6,1)=1,0,MIN(8,BC97)*BC96)),MAX(0,40*MAX(1,BC96)-(BA98+BB98))))</f>
        <v>16</v>
      </c>
      <c r="BD98" s="63">
        <f>IF(AND(BD96=2,BD97=8.5),16,MIN(IF(BD96&lt;=0,0,IF(WEEKDAY(BD$6,1)=1,0,MIN(8,BD97)*BD96)),MAX(0,40*MAX(1,BD96)-(BA98+BB98+BC98))))</f>
        <v>16</v>
      </c>
      <c r="BE98" s="63">
        <f>IF(AND(BE96=2,BE97=8.5),16,MIN(IF(BE96&lt;=0,0,IF(WEEKDAY(BE$6,1)=1,0,MIN(8,BE97)*BE96)),MAX(0,40*MAX(1,BE96)-(BA98+BB98+BC98+BD98))))</f>
        <v>16</v>
      </c>
      <c r="BF98" s="64">
        <f>IF(AND(BF96=0,BF97=0),0,MIN(IF(BF96&lt;=0,0,IF(WEEKDAY(BF$6,1)=1,0,MIN(10,BF97)*BF96)),MAX(0,40*MAX(1,BF96)-(0))))</f>
        <v>0</v>
      </c>
      <c r="BG98" s="64">
        <f>IF(AND(BG96=0,BG97=0),0,MIN(IF(BG96&lt;=0,0,IF(WEEKDAY(BG$6,1)=1,0,MIN(10,BG97)*BG96)),MAX(0,40*MAX(1,BG96)-(BF98))))</f>
        <v>0</v>
      </c>
      <c r="BH98" s="63">
        <f>IF(AND(BH96=2,BH97=11),20,MIN(IF(BH96&lt;=0,0,IF(WEEKDAY(BH$6,1)=1,0,MIN(10,BH97)*BH96)),MAX(0,40*MAX(1,BH96)-(0))))</f>
        <v>20</v>
      </c>
      <c r="BI98" s="63">
        <f>IF(AND(BI96=2,BI97=11),20,MIN(IF(BI96&lt;=0,0,IF(WEEKDAY(BI$6,1)=1,0,MIN(10,BI97)*BI96)),MAX(0,40*MAX(1,BI96)-(BH98))))</f>
        <v>20</v>
      </c>
      <c r="BJ98" s="63">
        <f>IF(AND(BJ96=2,BJ97=11),20,MIN(IF(BJ96&lt;=0,0,IF(WEEKDAY(BJ$6,1)=1,0,MIN(10,BJ97)*BJ96)),MAX(0,40*MAX(1,BJ96)-(BH98+BI98))))</f>
        <v>20</v>
      </c>
      <c r="BK98" s="63">
        <f>IF(AND(BK96=2,BK97=11),20,MIN(IF(BK96&lt;=0,0,IF(WEEKDAY(BK$6,1)=1,0,MIN(10,BK97)*BK96)),MAX(0,40*MAX(1,BK96)-(BH98+BI98+BJ98))))</f>
        <v>20</v>
      </c>
      <c r="BL98" s="63">
        <f>IF(AND(BL96=2,BL97=11),0,MIN(IF(BL96&lt;=0,0,IF(WEEKDAY(BL$6,1)=1,0,MIN(10,BL97)*BL96)),MAX(0,40*MAX(1,BL96)-(BH98+BI98+BJ98+BK98))))</f>
        <v>0</v>
      </c>
      <c r="BM98" s="64">
        <f>IF(AND(BM96=2,BM97=11),0,MIN(IF(BM96&lt;=0,0,IF(WEEKDAY(BM$6,1)=1,0,MIN(10,BM97)*BM96)),MAX(0,40*MAX(1,BM96)-(BH98+BI98+BJ98+BK98+BL98))))</f>
        <v>0</v>
      </c>
      <c r="BN98" s="64">
        <f>IF(AND(BN96=2,BN97=11),0,MIN(IF(BN96&lt;=0,0,IF(WEEKDAY(BN$6,1)=1,0,MIN(10,BN97)*BN96)),MAX(0,40*MAX(1,BN96)-(BH98+BI98+BJ98+BK98+BL98+BM98))))</f>
        <v>0</v>
      </c>
      <c r="BO98" s="63">
        <f>IF(AND(BO96=2,BO97=11),20,MIN(IF(BO96&lt;=0,0,IF(WEEKDAY(BO$6,1)=1,0,MIN(10,BO97)*BO96)),MAX(0,40*MAX(1,BO96)-(0))))</f>
        <v>20</v>
      </c>
      <c r="BP98" s="63">
        <f>IF(AND(BP96=2,BP97=11),20,MIN(IF(BP96&lt;=0,0,IF(WEEKDAY(BP$6,1)=1,0,MIN(10,BP97)*BP96)),MAX(0,40*MAX(1,BP96)-(BO98))))</f>
        <v>20</v>
      </c>
      <c r="BQ98" s="63">
        <f>IF(AND(BQ96=2,BQ97=11),20,MIN(IF(BQ96&lt;=0,0,IF(WEEKDAY(BQ$6,1)=1,0,MIN(10,BQ97)*BQ96)),MAX(0,40*MAX(1,BQ96)-(BO98+BP98))))</f>
        <v>20</v>
      </c>
      <c r="BR98" s="63">
        <f>IF(AND(BR96=2,BR97=11),20,MIN(IF(BR96&lt;=0,0,IF(WEEKDAY(BR$6,1)=1,0,MIN(10,BR97)*BR96)),MAX(0,40*MAX(1,BR96)-(0))))</f>
        <v>20</v>
      </c>
      <c r="BS98" s="63">
        <f>IF(AND(BS96=2,BS97=11),20,MIN(IF(BS96&lt;=0,0,IF(WEEKDAY(BS$6,1)=1,0,MIN(10,BS97)*BS96)),MAX(0,40*MAX(1,BS96)-(BR98))))</f>
        <v>20</v>
      </c>
      <c r="BT98" s="64">
        <f>IF(AND(BT96=2,BT97=11),20,MIN(IF(BT96&lt;=0,0,IF(WEEKDAY(BT$6,1)=1,0,MIN(10,BT97)*BT96)),MAX(0,40*MAX(1,BT96)-(BR98+BS98))))</f>
        <v>20</v>
      </c>
      <c r="BU98" s="64">
        <f>IF(AND(BU96=2,BU97=11),0,MIN(IF(BU96&lt;=0,0,IF(WEEKDAY(BU$6,1)=1,0,MIN(10,BU97)*BU96)),MAX(0,40*MAX(1,BU96)-(BR98+BS98+BT98))))</f>
        <v>0</v>
      </c>
      <c r="BV98" s="63">
        <f>IF(AND(BV96=2,BV97=11),20,MIN(IF(BV96&lt;=0,0,IF(WEEKDAY(BV$6,1)=1,0,MIN(10,BV97)*BV96)),MAX(0,40*MAX(1,BV96)-(0))))</f>
        <v>20</v>
      </c>
      <c r="BW98" s="63">
        <f>IF(AND(BW96=2,BW97=11),20,MIN(IF(BW96&lt;=0,0,IF(WEEKDAY(BW$6,1)=1,0,MIN(10,BW97)*BW96)),MAX(0,40*MAX(1,BW96)-(BV98))))</f>
        <v>20</v>
      </c>
      <c r="BX98" s="63">
        <f>IF(AND(BX96=2,BX97=11),20,MIN(IF(BX96&lt;=0,0,IF(WEEKDAY(BX$6,1)=1,0,MIN(10,BX97)*BX96)),MAX(0,40*MAX(1,BX96)-(BV98+BW98))))</f>
        <v>20</v>
      </c>
      <c r="BY98" s="63">
        <f>IF(AND(BY96=2,BY97=11),20,MIN(IF(BY96&lt;=0,0,IF(WEEKDAY(BY$6,1)=1,0,MIN(10,BY97)*BY96)),MAX(0,40*MAX(1,BY96)-(BV98+BW98+BX98))))</f>
        <v>20</v>
      </c>
      <c r="BZ98" s="63">
        <f>IF(AND(BZ96=2,BZ97=11),0,MIN(IF(BZ96&lt;=0,0,IF(WEEKDAY(BZ$6,1)=1,0,MIN(10,BZ97)*BZ96)),MAX(0,40*MAX(1,BZ96)-(BV98+BW98+BX98+BY98))))</f>
        <v>0</v>
      </c>
      <c r="CA98" s="64">
        <f>IF(AND(CA96=2,CA97=11),0,MIN(IF(CA96&lt;=0,0,IF(WEEKDAY(CA$6,1)=1,0,MIN(10,CA97)*CA96)),MAX(0,40*MAX(1,CA96)-(BV98+BW98+BX98+BY98+BZ98))))</f>
        <v>0</v>
      </c>
      <c r="CB98" s="64">
        <f>IF(AND(CB96=2,CB97=11),0,MIN(IF(CB96&lt;=0,0,IF(WEEKDAY(CB$6,1)=1,0,MIN(10,CB97)*CB96)),MAX(0,40*MAX(1,CB96)-(BV98+BW98+BX98+BY98+BZ98+CA98))))</f>
        <v>0</v>
      </c>
      <c r="CC98" s="63">
        <f>IF(AND(CC96=2,CC97=11),20,MIN(IF(CC96&lt;=0,0,IF(WEEKDAY(CC$6,1)=1,0,MIN(10,CC97)*CC96)),MAX(0,40*MAX(1,CC96)-(0))))</f>
        <v>20</v>
      </c>
      <c r="CD98" s="63">
        <f>IF(AND(CD96=2,CD97=11),20,MIN(IF(CD96&lt;=0,0,IF(WEEKDAY(CD$6,1)=1,0,MIN(10,CD97)*CD96)),MAX(0,40*MAX(1,CD96)-(CC98))))</f>
        <v>20</v>
      </c>
      <c r="CE98" s="63">
        <f>IF(AND(CE96=2,CE97=11),20,MIN(IF(CE96&lt;=0,0,IF(WEEKDAY(CE$6,1)=1,0,MIN(10,CE97)*CE96)),MAX(0,40*MAX(1,CE96)-(CC98+CD98))))</f>
        <v>20</v>
      </c>
      <c r="CF98" s="63">
        <f>IF(AND(CF96=2,CF97=11),20,MIN(IF(CF96&lt;=0,0,IF(WEEKDAY(CF$6,1)=1,0,MIN(10,CF97)*CF96)),MAX(0,40*MAX(1,CF96)-(CC98+CD98+CE98))))</f>
        <v>20</v>
      </c>
      <c r="CG98" s="63">
        <f>IF(AND(CG96=2,CG97=11),0,MIN(IF(CG96&lt;=0,0,IF(WEEKDAY(CG$6,1)=1,0,MIN(10,CG97)*CG96)),MAX(0,40*MAX(1,CG96)-(CC98+CD98+CE98+CF98))))</f>
        <v>0</v>
      </c>
      <c r="CH98" s="64">
        <f>IF(AND(CH96=2,CH97=11),0,MIN(IF(CH96&lt;=0,0,IF(WEEKDAY(CH$6,1)=1,0,MIN(10,CH97)*CH96)),MAX(0,40*MAX(1,CH96)-(CC98+CD98+CE98+CF98+CG98))))</f>
        <v>0</v>
      </c>
      <c r="CI98" s="64">
        <f>IF(AND(CI96=2,CI97=11),0,MIN(IF(CI96&lt;=0,0,IF(WEEKDAY(CI$6,1)=1,0,MIN(10,CI97)*CI96)),MAX(0,40*MAX(1,CI96)-(CC98+CD98+CE98+CF98+CG98+CH98))))</f>
        <v>0</v>
      </c>
      <c r="CJ98" s="63">
        <f>IF(AND(CJ96=2,CJ97=11),20,MIN(IF(CJ96&lt;=0,0,IF(WEEKDAY(CJ$6,1)=1,0,MIN(10,CJ97)*CJ96)),MAX(0,40*MAX(1,CJ96)-(0))))</f>
        <v>20</v>
      </c>
      <c r="CK98" s="63">
        <f>IF(AND(CK96=2,CK97=11),20,MIN(IF(CK96&lt;=0,0,IF(WEEKDAY(CK$6,1)=1,0,MIN(10,CK97)*CK96)),MAX(0,40*MAX(1,CK96)-(CJ98))))</f>
        <v>20</v>
      </c>
      <c r="CL98" s="63">
        <f>IF(AND(CL96=2,CL97=11),20,MIN(IF(CL96&lt;=0,0,IF(WEEKDAY(CL$6,1)=1,0,MIN(10,CL97)*CL96)),MAX(0,40*MAX(1,CL96)-(CJ98+CK98))))</f>
        <v>20</v>
      </c>
      <c r="CM98" s="63">
        <f>IF(AND(CM96=2,CM97=11),20,MIN(IF(CM96&lt;=0,0,IF(WEEKDAY(CM$6,1)=1,0,MIN(10,CM97)*CM96)),MAX(0,40*MAX(1,CM96)-(CJ98+CK98+CL98))))</f>
        <v>20</v>
      </c>
      <c r="CN98" s="63">
        <f>IF(AND(CN96=2,CN97=11),0,MIN(IF(CN96&lt;=0,0,IF(WEEKDAY(CN$6,1)=1,0,MIN(10,CN97)*CN96)),MAX(0,40*MAX(1,CN96)-(CJ98+CK98+CL98+CM98))))</f>
        <v>0</v>
      </c>
      <c r="CO98" s="64">
        <f>IF(AND(CO96=2,CO97=11),0,MIN(IF(CO96&lt;=0,0,IF(WEEKDAY(CO$6,1)=1,0,MIN(10,CO97)*CO96)),MAX(0,40*MAX(1,CO96)-(CJ98+CK98+CL98+CM98+CN98))))</f>
        <v>0</v>
      </c>
      <c r="CP98" s="64">
        <f>IF(AND(CP96=2,CP97=11),0,MIN(IF(CP96&lt;=0,0,IF(WEEKDAY(CP$6,1)=1,0,MIN(10,CP97)*CP96)),MAX(0,40*MAX(1,CP96)-(CJ98+CK98+CL98+CM98+CN98+CO98))))</f>
        <v>0</v>
      </c>
      <c r="CQ98" s="63">
        <f>IF(AND(CQ96=2,CQ97=11),20,MIN(IF(CQ96&lt;=0,0,IF(WEEKDAY(CQ$6,1)=1,0,MIN(10,CQ97)*CQ96)),MAX(0,40*MAX(1,CQ96)-(0))))</f>
        <v>20</v>
      </c>
      <c r="CR98" s="63">
        <f>IF(AND(CR96=2,CR97=11),20,MIN(IF(CR96&lt;=0,0,IF(WEEKDAY(CR$6,1)=1,0,MIN(10,CR97)*CR96)),MAX(0,40*MAX(1,CR96)-(CQ98))))</f>
        <v>20</v>
      </c>
      <c r="CS98" s="63">
        <f>IF(AND(CS96=2,CS97=11),20,MIN(IF(CS96&lt;=0,0,IF(WEEKDAY(CS$6,1)=1,0,MIN(10,CS97)*CS96)),MAX(0,40*MAX(1,CS96)-(CQ98+CR98))))</f>
        <v>20</v>
      </c>
      <c r="CT98" s="63">
        <f>IF(AND(CT96=2,CT97=11),20,MIN(IF(CT96&lt;=0,0,IF(WEEKDAY(CT$6,1)=1,0,MIN(10,CT97)*CT96)),MAX(0,40*MAX(1,CT96)-(CQ98+CR98+CS98))))</f>
        <v>20</v>
      </c>
      <c r="CU98" s="63">
        <f>IF(AND(CU96=2,CU97=11),0,MIN(IF(CU96&lt;=0,0,IF(WEEKDAY(CU$6,1)=1,0,MIN(10,CU97)*CU96)),MAX(0,40*MAX(1,CU96)-(CQ98+CR98+CS98+CT98))))</f>
        <v>0</v>
      </c>
      <c r="CV98" s="64">
        <f>IF(AND(CV96=2,CV97=11),0,MIN(IF(CV96&lt;=0,0,IF(WEEKDAY(CV$6,1)=1,0,MIN(10,CV97)*CV96)),MAX(0,40*MAX(1,CV96)-(CQ98+CR98+CS98+CT98+CU98))))</f>
        <v>0</v>
      </c>
      <c r="CW98" s="64">
        <f>IF(AND(CW96=2,CW97=11),0,MIN(IF(CW96&lt;=0,0,IF(WEEKDAY(CW$6,1)=1,0,MIN(10,CW97)*CW96)),MAX(0,40*MAX(1,CW96)-(CQ98+CR98+CS98+CT98+CU98+CV98))))</f>
        <v>0</v>
      </c>
      <c r="CX98" s="63">
        <f>IF(AND(CX96=2,CX97=11),20,MIN(IF(CX96&lt;=0,0,IF(WEEKDAY(CX$6,1)=1,0,MIN(10,CX97)*CX96)),MAX(0,40*MAX(1,CX96)-(0))))</f>
        <v>20</v>
      </c>
      <c r="CY98" s="63">
        <f>IF(AND(CY96=2,CY97=11),20,MIN(IF(CY96&lt;=0,0,IF(WEEKDAY(CY$6,1)=1,0,MIN(10,CY97)*CY96)),MAX(0,40*MAX(1,CY96)-(CX98))))</f>
        <v>20</v>
      </c>
      <c r="CZ98" s="63">
        <f>IF(AND(CZ96=2,CZ97=11),20,MIN(IF(CZ96&lt;=0,0,IF(WEEKDAY(CZ$6,1)=1,0,MIN(10,CZ97)*CZ96)),MAX(0,40*MAX(1,CZ96)-(CX98+CY98))))</f>
        <v>20</v>
      </c>
      <c r="DA98" s="63">
        <f>IF(AND(DA96=2,DA97=11),20,MIN(IF(DA96&lt;=0,0,IF(WEEKDAY(DA$6,1)=1,0,MIN(10,DA97)*DA96)),MAX(0,40*MAX(1,DA96)-(CX98+CY98+CZ98))))</f>
        <v>20</v>
      </c>
      <c r="DB98" s="63">
        <f>IF(AND(DB96=2,DB97=11),0,MIN(IF(DB96&lt;=0,0,IF(WEEKDAY(DB$6,1)=1,0,MIN(10,DB97)*DB96)),MAX(0,40*MAX(1,DB96)-(CX98+CY98+CZ98+DA98))))</f>
        <v>0</v>
      </c>
      <c r="DC98" s="64">
        <f>IF(AND(DC96=2,DC97=11),0,MIN(IF(DC96&lt;=0,0,IF(WEEKDAY(DC$6,1)=1,0,MIN(10,DC97)*DC96)),MAX(0,40*MAX(1,DC96)-(CX98+CY98+CZ98+DA98+DB98))))</f>
        <v>0</v>
      </c>
      <c r="DD98" s="64">
        <f>IF(AND(DD96=2,DD97=11),0,MIN(IF(DD96&lt;=0,0,IF(WEEKDAY(DD$6,1)=1,0,MIN(10,DD97)*DD96)),MAX(0,40*MAX(1,DD96)-(0))))</f>
        <v>0</v>
      </c>
      <c r="DE98" s="63">
        <f>IF(AND(DE96=2,DE97=11),20,MIN(IF(DE96&lt;=0,0,IF(WEEKDAY(DE$6,1)=1,0,MIN(10,DE97)*DE96)),MAX(0,40*MAX(1,DE96)-(0))))</f>
        <v>20</v>
      </c>
      <c r="DF98" s="63">
        <f>IF(AND(DF96=2,DF97=11),20,MIN(IF(DF96&lt;=0,0,IF(WEEKDAY(DF$6,1)=1,0,MIN(10,DF97)*DF96)),MAX(0,40*MAX(1,DF96)-(DE98))))</f>
        <v>20</v>
      </c>
      <c r="DG98" s="63">
        <f>IF(AND(DG96=2,DG97=11),20,MIN(IF(DG96&lt;=0,0,IF(WEEKDAY(DG$6,1)=1,0,MIN(10,DG97)*DG96)),MAX(0,40*MAX(1,DG96)-(DE98+DF98))))</f>
        <v>20</v>
      </c>
      <c r="DH98" s="63">
        <f>IF(AND(DH96=2,DH97=11),20,MIN(IF(DH96&lt;=0,0,IF(WEEKDAY(DH$6,1)=1,0,MIN(10,DH97)*DH96)),MAX(0,40*MAX(1,DH96)-(DE98+DF98+DG98))))</f>
        <v>20</v>
      </c>
      <c r="DI98" s="63">
        <f>IF(AND(DI96=2,DI97=11),0,MIN(IF(DI96&lt;=0,0,IF(WEEKDAY(DI$6,1)=1,0,MIN(10,DI97)*DI96)),MAX(0,40*MAX(1,DI96)-(DE98+DF98+DG98+DH98))))</f>
        <v>0</v>
      </c>
      <c r="DJ98" s="64">
        <f>IF(AND(DJ96=2,DJ97=11),0,MIN(IF(DJ96&lt;=0,0,IF(WEEKDAY(DJ$6,1)=1,0,MIN(10,DJ97)*DJ96)),MAX(0,40*MAX(1,DJ96)-(DE98+DF98+DG98+DH98+DI98))))</f>
        <v>0</v>
      </c>
      <c r="DK98" s="64">
        <f>IF(AND(DK96=2,DK97=11),0,MIN(IF(DK96&lt;=0,0,IF(WEEKDAY(DK$6,1)=1,0,MIN(10,DK97)*DK96)),MAX(0,40*MAX(1,DK96)-(DE98+DF98+DG98+DH98+DI98+DJ98))))</f>
        <v>0</v>
      </c>
      <c r="DL98" s="63">
        <f>IF(AND(DL96=2,DL97=11),20,MIN(IF(DL96&lt;=0,0,IF(WEEKDAY(DL$6,1)=1,0,MIN(10,DL97)*DL96)),MAX(0,40*MAX(1,DL96)-(0))))</f>
        <v>20</v>
      </c>
      <c r="DM98" s="63">
        <f>IF(AND(DM96=2,DM97=11),20,MIN(IF(DM96&lt;=0,0,IF(WEEKDAY(DM$6,1)=1,0,MIN(10,DM97)*DM96)),MAX(0,40*MAX(1,DM96)-(DL98))))</f>
        <v>20</v>
      </c>
      <c r="DN98" s="63">
        <f>IF(AND(DN96=2,DN97=11),20,MIN(IF(DN96&lt;=0,0,IF(WEEKDAY(DN$6,1)=1,0,MIN(10,DN97)*DN96)),MAX(0,40*MAX(1,DN96)-(DL98+DM98))))</f>
        <v>20</v>
      </c>
      <c r="DO98" s="63">
        <f>IF(AND(DO96=2,DO97=11),20,MIN(IF(DO96&lt;=0,0,IF(WEEKDAY(DO$6,1)=1,0,MIN(10,DO97)*DO96)),MAX(0,40*MAX(1,DO96)-(DL98+DM98+DN98))))</f>
        <v>20</v>
      </c>
      <c r="DP98" s="63">
        <f>IF(AND(DP96=2,DP97=11),0,MIN(IF(DP96&lt;=0,0,IF(WEEKDAY(DP$6,1)=1,0,MIN(10,DP97)*DP96)),MAX(0,40*MAX(1,DP96)-(DL98+DM98+DN98+DO98))))</f>
        <v>0</v>
      </c>
      <c r="DQ98" s="64">
        <f>IF(AND(DQ96=2,DQ97=11),0,MIN(IF(DQ96&lt;=0,0,IF(WEEKDAY(DQ$6,1)=1,0,MIN(10,DQ97)*DQ96)),MAX(0,40*MAX(1,DQ96)-(DL98+DM98+DN98+DO98+DP98))))</f>
        <v>0</v>
      </c>
      <c r="DR98" s="64">
        <f>IF(AND(DR96=2,DR97=11),0,MIN(IF(DR96&lt;=0,0,IF(WEEKDAY(DR$6,1)=1,0,MIN(10,DR97)*DR96)),MAX(0,40*MAX(1,DR96)-(DL98+DM98+DN98+DO98+DP98+DQ98))))</f>
        <v>0</v>
      </c>
      <c r="DS98" s="63">
        <f>IF(AND(DS96=2,DS97=11),20,MIN(IF(DS96&lt;=0,0,IF(WEEKDAY(DS$6,1)=1,0,MIN(10,DS97)*DS96)),MAX(0,40*MAX(1,DS96)-(0))))</f>
        <v>20</v>
      </c>
      <c r="DT98" s="63">
        <f>IF(AND(DT96=2,DT97=8),16,MIN(IF(DT96&lt;=0,0,IF(WEEKDAY(DT$6,1)=1,0,MIN(8,DT97)*DT96)),MAX(0,40*MAX(1,DT96)-(0))))</f>
        <v>16</v>
      </c>
      <c r="DU98" s="63">
        <f>IF(AND(DU96=1,DU97=8),8,MIN(IF(DU96&lt;=0,0,IF(WEEKDAY(DU$6,1)=1,0,MIN(8,DU97)*DU96)),MAX(0,40*MAX(1,DU96)-(DT98))))</f>
        <v>8</v>
      </c>
      <c r="DV98" s="63">
        <f>IF(AND(DV96=1,DV97=8),8,MIN(IF(DV96&lt;=0,0,IF(WEEKDAY(DV$6,1)=1,0,MIN(8,DV97)*DV96)),MAX(0,40*MAX(1,DV96)-(DT98+DU98))))</f>
        <v>8</v>
      </c>
      <c r="DW98" s="63">
        <f>IF(AND(DW96=1,DW97=8),8,MIN(IF(DW96&lt;=0,0,IF(WEEKDAY(DW$6,1)=1,0,MIN(8,DW97)*DW96)),MAX(0,40*MAX(1,DW96)-(DT98+DU98+DV98))))</f>
        <v>8</v>
      </c>
      <c r="DX98" s="64">
        <f>IF(AND(DX96=0,DX97=0),0,MIN(IF(DX96&lt;=0,0,IF(WEEKDAY(DX$6,1)=1,0,MIN(10,DX97)*DX96)),MAX(0,40*MAX(1,DX96)-(0))))</f>
        <v>0</v>
      </c>
      <c r="DY98" s="64">
        <f>IF(AND(DY96=0,DY97=0),0,MIN(IF(DY96&lt;=0,0,IF(WEEKDAY(DY$6,1)=1,0,MIN(10,DY97)*DY96)),MAX(0,40*MAX(1,DY96)-(DX98))))</f>
        <v>0</v>
      </c>
      <c r="DZ98" s="63">
        <f>IF(AND(DZ96=1,DZ97=8),8,MIN(IF(DZ96&lt;=0,0,IF(WEEKDAY(DZ$6,1)=1,0,MIN(8,DZ97)*DZ96)),MAX(0,40*MAX(1,DZ96)-(0))))</f>
        <v>8</v>
      </c>
      <c r="EA98" s="63">
        <f>IF(AND(EA96=1,EA97=8),8,MIN(IF(EA96&lt;=0,0,IF(WEEKDAY(EA$6,1)=1,0,MIN(8,EA97)*EA96)),MAX(0,40*MAX(1,EA96)-(DZ98))))</f>
        <v>8</v>
      </c>
      <c r="EB98" s="63">
        <f>IF(AND(EB96=1,EB97=8),8,MIN(IF(EB96&lt;=0,0,IF(WEEKDAY(EB$6,1)=1,0,MIN(8,EB97)*EB96)),MAX(0,40*MAX(1,EB96)-(DZ98+EA98))))</f>
        <v>8</v>
      </c>
      <c r="EC98" s="63">
        <f>IF(AND(EC96=1,EC97=8),8,MIN(IF(EC96&lt;=0,0,IF(WEEKDAY(EC$6,1)=1,0,MIN(8,EC97)*EC96)),MAX(0,40*MAX(1,EC96)-(DZ98+EA98+EB98))))</f>
        <v>8</v>
      </c>
      <c r="ED98" s="63">
        <f>IF(AND(ED96=1,ED97=8),8,MIN(IF(ED96&lt;=0,0,IF(WEEKDAY(ED$6,1)=1,0,MIN(8,ED97)*ED96)),MAX(0,40*MAX(1,ED96)-(DZ98+EA98+EB98+EC98))))</f>
        <v>8</v>
      </c>
      <c r="EE98" s="64">
        <f>IF(AND(EE96=0,EE97=0),0,MIN(IF(EE96&lt;=0,0,IF(WEEKDAY(EE$6,1)=1,0,MIN(10,EE97)*EE96)),MAX(0,40*MAX(1,EE96)-(0))))</f>
        <v>0</v>
      </c>
      <c r="EF98" s="64">
        <f>IF(AND(EF96=0,EF97=0),0,MIN(IF(EF96&lt;=0,0,IF(WEEKDAY(EF$6,1)=1,0,MIN(10,EF97)*EF96)),MAX(0,40*MAX(1,EF96)-(EE98))))</f>
        <v>0</v>
      </c>
      <c r="EG98" s="63">
        <f>IF(AND(EG96=1,EG97=8),8,MIN(IF(EG96&lt;=0,0,IF(WEEKDAY(EG$6,1)=1,0,MIN(8,EG97)*EG96)),MAX(0,40*MAX(1,EG96)-(0))))</f>
        <v>8</v>
      </c>
      <c r="EH98" s="63">
        <f>IF(AND(EH96=1,EH97=8),8,MIN(IF(EH96&lt;=0,0,IF(WEEKDAY(EH$6,1)=1,0,MIN(8,EH97)*EH96)),MAX(0,40*MAX(1,EH96)-(EG98))))</f>
        <v>8</v>
      </c>
      <c r="EI98" s="63">
        <f>IF(AND(EI96=1,EI97=8),8,MIN(IF(EI96&lt;=0,0,IF(WEEKDAY(EI$6,1)=1,0,MIN(8,EI97)*EI96)),MAX(0,40*MAX(1,EI96)-(EG98+EH98))))</f>
        <v>8</v>
      </c>
      <c r="EJ98" s="63">
        <f>IF(AND(EJ96=1,EJ97=8),8,MIN(IF(EJ96&lt;=0,0,IF(WEEKDAY(EJ$6,1)=1,0,MIN(8,EJ97)*EJ96)),MAX(0,40*MAX(1,EJ96)-(EG98+EH98+EI98))))</f>
        <v>8</v>
      </c>
      <c r="EK98" s="65">
        <f>IF(AND(EK96=1,EK97=8),8,MIN(IF(EK96&lt;=0,0,IF(WEEKDAY(EK$6,1)=1,0,MIN(8,EK97)*EK96)),MAX(0,40*MAX(1,EK96)-(EG98+EH98+EI98+EJ98))))</f>
        <v>8</v>
      </c>
      <c r="OU98" s="28" t="s">
        <v>84</v>
      </c>
    </row>
    <row r="99" ht="16" customHeight="1" spans="1:411" x14ac:dyDescent="0.25">
      <c r="A99" s="45"/>
      <c r="B99" s="46"/>
      <c r="C99" s="66">
        <f>G95*N(D99)</f>
        <v>55906.5</v>
      </c>
      <c r="D99" s="66">
        <f>IF(TRIM(B95)="","No rate",IFERROR(INDEX('Rate Tables'!D$7:D$158,MATCH(B95,'Rate Tables'!A$7:A$158,0)),"No rate"))</f>
        <v>122.2</v>
      </c>
      <c r="E99" s="55" t="s">
        <v>63</v>
      </c>
      <c r="F99" s="49"/>
      <c r="G99" s="49"/>
      <c r="H99" s="49"/>
      <c r="I99" s="49"/>
      <c r="J99" s="50"/>
      <c r="K99" s="62">
        <f>IF(AND(K96=1,K97=8.5),0.5,IF(K96&lt;=0,0,IF(WEEKDAY(K$6,1)=1,0,MAX(0,K97-8)*K96))+((IF(K96&lt;=0,0,IF(WEEKDAY(K$6,1)=1,0,MIN(8,K97)*K96)))-MIN(IF(K96&lt;=0,0,IF(WEEKDAY(K$6,1)=1,0,MIN(8,K97)*K96)),MAX(0,40*MAX(1,K96)-(0)))))</f>
        <v>0.5</v>
      </c>
      <c r="L99" s="63">
        <f>IF(AND(L96=1,L97=8.5),0.5,IF(L96&lt;=0,0,IF(WEEKDAY(L$6,1)=1,0,MAX(0,L97-8)*L96))+((IF(L96&lt;=0,0,IF(WEEKDAY(L$6,1)=1,0,MIN(8,L97)*L96)))-MIN(IF(L96&lt;=0,0,IF(WEEKDAY(L$6,1)=1,0,MIN(8,L97)*L96)),MAX(0,40*MAX(1,L96)-(K98)))))</f>
        <v>0.5</v>
      </c>
      <c r="M99" s="63">
        <f>IF(AND(M96=1,M97=8.5),0.5,IF(M96&lt;=0,0,IF(WEEKDAY(M$6,1)=1,0,MAX(0,M97-8)*M96))+((IF(M96&lt;=0,0,IF(WEEKDAY(M$6,1)=1,0,MIN(8,M97)*M96)))-MIN(IF(M96&lt;=0,0,IF(WEEKDAY(M$6,1)=1,0,MIN(8,M97)*M96)),MAX(0,40*MAX(1,M96)-(K98+L98)))))</f>
        <v>0.5</v>
      </c>
      <c r="N99" s="63">
        <f>IF(AND(N96=1,N97=8.5),0.5,IF(N96&lt;=0,0,IF(WEEKDAY(N$6,1)=1,0,MAX(0,N97-8)*N96))+((IF(N96&lt;=0,0,IF(WEEKDAY(N$6,1)=1,0,MIN(8,N97)*N96)))-MIN(IF(N96&lt;=0,0,IF(WEEKDAY(N$6,1)=1,0,MIN(8,N97)*N96)),MAX(0,40*MAX(1,N96)-(K98+L98+M98)))))</f>
        <v>0.5</v>
      </c>
      <c r="O99" s="63">
        <f>IF(AND(O96=1,O97=8.5),0.5,IF(O96&lt;=0,0,IF(WEEKDAY(O$6,1)=1,0,MAX(0,O97-8)*O96))+((IF(O96&lt;=0,0,IF(WEEKDAY(O$6,1)=1,0,MIN(8,O97)*O96)))-MIN(IF(O96&lt;=0,0,IF(WEEKDAY(O$6,1)=1,0,MIN(8,O97)*O96)),MAX(0,40*MAX(1,O96)-(K98+L98+M98+N98)))))</f>
        <v>0.5</v>
      </c>
      <c r="P99" s="64">
        <f>IF(AND(P96=0,P97=0),0,IF(P96&lt;=0,0,IF(WEEKDAY(P$6,1)=1,0,MAX(0,P97-10)*P96))+((IF(P96&lt;=0,0,IF(WEEKDAY(P$6,1)=1,0,MIN(10,P97)*P96)))-MIN(IF(P96&lt;=0,0,IF(WEEKDAY(P$6,1)=1,0,MIN(10,P97)*P96)),MAX(0,40*MAX(1,P96)-(0)))))</f>
        <v>0</v>
      </c>
      <c r="Q99" s="64">
        <f>IF(AND(Q96=0,Q97=0),0,IF(Q96&lt;=0,0,IF(WEEKDAY(Q$6,1)=1,0,MAX(0,Q97-10)*Q96))+((IF(Q96&lt;=0,0,IF(WEEKDAY(Q$6,1)=1,0,MIN(10,Q97)*Q96)))-MIN(IF(Q96&lt;=0,0,IF(WEEKDAY(Q$6,1)=1,0,MIN(10,Q97)*Q96)),MAX(0,40*MAX(1,Q96)-(P98)))))</f>
        <v>0</v>
      </c>
      <c r="R99" s="63">
        <f>IF(AND(R96=1,R97=8.5),0.5,IF(R96&lt;=0,0,IF(WEEKDAY(R$6,1)=1,0,MAX(0,R97-8)*R96))+((IF(R96&lt;=0,0,IF(WEEKDAY(R$6,1)=1,0,MIN(8,R97)*R96)))-MIN(IF(R96&lt;=0,0,IF(WEEKDAY(R$6,1)=1,0,MIN(8,R97)*R96)),MAX(0,40*MAX(1,R96)-(0)))))</f>
        <v>0.5</v>
      </c>
      <c r="S99" s="63">
        <f>IF(AND(S96=1,S97=8.5),0.5,IF(S96&lt;=0,0,IF(WEEKDAY(S$6,1)=1,0,MAX(0,S97-8)*S96))+((IF(S96&lt;=0,0,IF(WEEKDAY(S$6,1)=1,0,MIN(8,S97)*S96)))-MIN(IF(S96&lt;=0,0,IF(WEEKDAY(S$6,1)=1,0,MIN(8,S97)*S96)),MAX(0,40*MAX(1,S96)-(R98)))))</f>
        <v>0.5</v>
      </c>
      <c r="T99" s="63">
        <f>IF(AND(T96=1,T97=8.5),0.5,IF(T96&lt;=0,0,IF(WEEKDAY(T$6,1)=1,0,MAX(0,T97-8)*T96))+((IF(T96&lt;=0,0,IF(WEEKDAY(T$6,1)=1,0,MIN(8,T97)*T96)))-MIN(IF(T96&lt;=0,0,IF(WEEKDAY(T$6,1)=1,0,MIN(8,T97)*T96)),MAX(0,40*MAX(1,T96)-(R98+S98)))))</f>
        <v>0.5</v>
      </c>
      <c r="U99" s="63">
        <f>IF(AND(U96=1,U97=8.5),0.5,IF(U96&lt;=0,0,IF(WEEKDAY(U$6,1)=1,0,MAX(0,U97-8)*U96))+((IF(U96&lt;=0,0,IF(WEEKDAY(U$6,1)=1,0,MIN(8,U97)*U96)))-MIN(IF(U96&lt;=0,0,IF(WEEKDAY(U$6,1)=1,0,MIN(8,U97)*U96)),MAX(0,40*MAX(1,U96)-(R98+S98+T98)))))</f>
        <v>0.5</v>
      </c>
      <c r="V99" s="63">
        <f>IF(AND(V96=1,V97=8.5),0.5,IF(V96&lt;=0,0,IF(WEEKDAY(V$6,1)=1,0,MAX(0,V97-8)*V96))+((IF(V96&lt;=0,0,IF(WEEKDAY(V$6,1)=1,0,MIN(8,V97)*V96)))-MIN(IF(V96&lt;=0,0,IF(WEEKDAY(V$6,1)=1,0,MIN(8,V97)*V96)),MAX(0,40*MAX(1,V96)-(R98+S98+T98+U98)))))</f>
        <v>0.5</v>
      </c>
      <c r="W99" s="64">
        <f>IF(AND(W96=0,W97=0),0,IF(W96&lt;=0,0,IF(WEEKDAY(W$6,1)=1,0,MAX(0,W97-10)*W96))+((IF(W96&lt;=0,0,IF(WEEKDAY(W$6,1)=1,0,MIN(10,W97)*W96)))-MIN(IF(W96&lt;=0,0,IF(WEEKDAY(W$6,1)=1,0,MIN(10,W97)*W96)),MAX(0,40*MAX(1,W96)-(0)))))</f>
        <v>0</v>
      </c>
      <c r="X99" s="64">
        <f>IF(AND(X96=0,X97=0),0,IF(X96&lt;=0,0,IF(WEEKDAY(X$6,1)=1,0,MAX(0,X97-10)*X96))+((IF(X96&lt;=0,0,IF(WEEKDAY(X$6,1)=1,0,MIN(10,X97)*X96)))-MIN(IF(X96&lt;=0,0,IF(WEEKDAY(X$6,1)=1,0,MIN(10,X97)*X96)),MAX(0,40*MAX(1,X96)-(W98)))))</f>
        <v>0</v>
      </c>
      <c r="Y99" s="63">
        <f>IF(AND(Y96=1,Y97=8.5),0.5,IF(Y96&lt;=0,0,IF(WEEKDAY(Y$6,1)=1,0,MAX(0,Y97-8)*Y96))+((IF(Y96&lt;=0,0,IF(WEEKDAY(Y$6,1)=1,0,MIN(8,Y97)*Y96)))-MIN(IF(Y96&lt;=0,0,IF(WEEKDAY(Y$6,1)=1,0,MIN(8,Y97)*Y96)),MAX(0,40*MAX(1,Y96)-(0)))))</f>
        <v>0.5</v>
      </c>
      <c r="Z99" s="63">
        <f>IF(AND(Z96=1,Z97=8.5),0.5,IF(Z96&lt;=0,0,IF(WEEKDAY(Z$6,1)=1,0,MAX(0,Z97-8)*Z96))+((IF(Z96&lt;=0,0,IF(WEEKDAY(Z$6,1)=1,0,MIN(8,Z97)*Z96)))-MIN(IF(Z96&lt;=0,0,IF(WEEKDAY(Z$6,1)=1,0,MIN(8,Z97)*Z96)),MAX(0,40*MAX(1,Z96)-(Y98)))))</f>
        <v>0.5</v>
      </c>
      <c r="AA99" s="63">
        <f>IF(AND(AA96=1,AA97=8.5),0.5,IF(AA96&lt;=0,0,IF(WEEKDAY(AA$6,1)=1,0,MAX(0,AA97-8)*AA96))+((IF(AA96&lt;=0,0,IF(WEEKDAY(AA$6,1)=1,0,MIN(8,AA97)*AA96)))-MIN(IF(AA96&lt;=0,0,IF(WEEKDAY(AA$6,1)=1,0,MIN(8,AA97)*AA96)),MAX(0,40*MAX(1,AA96)-(Y98+Z98)))))</f>
        <v>0.5</v>
      </c>
      <c r="AB99" s="63">
        <f>IF(AND(AB96=1,AB97=8.5),0.5,IF(AB96&lt;=0,0,IF(WEEKDAY(AB$6,1)=1,0,MAX(0,AB97-8)*AB96))+((IF(AB96&lt;=0,0,IF(WEEKDAY(AB$6,1)=1,0,MIN(8,AB97)*AB96)))-MIN(IF(AB96&lt;=0,0,IF(WEEKDAY(AB$6,1)=1,0,MIN(8,AB97)*AB96)),MAX(0,40*MAX(1,AB96)-(Y98+Z98+AA98)))))</f>
        <v>0.5</v>
      </c>
      <c r="AC99" s="63">
        <f>IF(AND(AC96=1,AC97=8.5),0.5,IF(AC96&lt;=0,0,IF(WEEKDAY(AC$6,1)=1,0,MAX(0,AC97-8)*AC96))+((IF(AC96&lt;=0,0,IF(WEEKDAY(AC$6,1)=1,0,MIN(8,AC97)*AC96)))-MIN(IF(AC96&lt;=0,0,IF(WEEKDAY(AC$6,1)=1,0,MIN(8,AC97)*AC96)),MAX(0,40*MAX(1,AC96)-(Y98+Z98+AA98+AB98)))))</f>
        <v>0.5</v>
      </c>
      <c r="AD99" s="64">
        <f>IF(AND(AD96=0,AD97=0),0,IF(AD96&lt;=0,0,IF(WEEKDAY(AD$6,1)=1,0,MAX(0,AD97-10)*AD96))+((IF(AD96&lt;=0,0,IF(WEEKDAY(AD$6,1)=1,0,MIN(10,AD97)*AD96)))-MIN(IF(AD96&lt;=0,0,IF(WEEKDAY(AD$6,1)=1,0,MIN(10,AD97)*AD96)),MAX(0,40*MAX(1,AD96)-(0)))))</f>
        <v>0</v>
      </c>
      <c r="AE99" s="64">
        <f>IF(AND(AE96=0,AE97=0),0,IF(AE96&lt;=0,0,IF(WEEKDAY(AE$6,1)=1,0,MAX(0,AE97-10)*AE96))+((IF(AE96&lt;=0,0,IF(WEEKDAY(AE$6,1)=1,0,MIN(10,AE97)*AE96)))-MIN(IF(AE96&lt;=0,0,IF(WEEKDAY(AE$6,1)=1,0,MIN(10,AE97)*AE96)),MAX(0,40*MAX(1,AE96)-(AD98)))))</f>
        <v>0</v>
      </c>
      <c r="AF99" s="63">
        <f>IF(AND(AF96=2,AF97=8.5),1,IF(AF96&lt;=0,0,IF(WEEKDAY(AF$6,1)=1,0,MAX(0,AF97-8)*AF96))+((IF(AF96&lt;=0,0,IF(WEEKDAY(AF$6,1)=1,0,MIN(8,AF97)*AF96)))-MIN(IF(AF96&lt;=0,0,IF(WEEKDAY(AF$6,1)=1,0,MIN(8,AF97)*AF96)),MAX(0,40*MAX(1,AF96)-(0)))))</f>
        <v>1</v>
      </c>
      <c r="AG99" s="63">
        <f>IF(AND(AG96=2,AG97=8.5),1,IF(AG96&lt;=0,0,IF(WEEKDAY(AG$6,1)=1,0,MAX(0,AG97-8)*AG96))+((IF(AG96&lt;=0,0,IF(WEEKDAY(AG$6,1)=1,0,MIN(8,AG97)*AG96)))-MIN(IF(AG96&lt;=0,0,IF(WEEKDAY(AG$6,1)=1,0,MIN(8,AG97)*AG96)),MAX(0,40*MAX(1,AG96)-(AF98)))))</f>
        <v>1</v>
      </c>
      <c r="AH99" s="63">
        <f>IF(AND(AH96=2,AH97=8.5),1,IF(AH96&lt;=0,0,IF(WEEKDAY(AH$6,1)=1,0,MAX(0,AH97-8)*AH96))+((IF(AH96&lt;=0,0,IF(WEEKDAY(AH$6,1)=1,0,MIN(8,AH97)*AH96)))-MIN(IF(AH96&lt;=0,0,IF(WEEKDAY(AH$6,1)=1,0,MIN(8,AH97)*AH96)),MAX(0,40*MAX(1,AH96)-(AF98+AG98)))))</f>
        <v>1</v>
      </c>
      <c r="AI99" s="63">
        <f>IF(AND(AI96=2,AI97=8.5),1,IF(AI96&lt;=0,0,IF(WEEKDAY(AI$6,1)=1,0,MAX(0,AI97-8)*AI96))+((IF(AI96&lt;=0,0,IF(WEEKDAY(AI$6,1)=1,0,MIN(8,AI97)*AI96)))-MIN(IF(AI96&lt;=0,0,IF(WEEKDAY(AI$6,1)=1,0,MIN(8,AI97)*AI96)),MAX(0,40*MAX(1,AI96)-(AF98+AG98+AH98)))))</f>
        <v>1</v>
      </c>
      <c r="AJ99" s="63">
        <f>IF(AND(AJ96=2,AJ97=8.5),1,IF(AJ96&lt;=0,0,IF(WEEKDAY(AJ$6,1)=1,0,MAX(0,AJ97-8)*AJ96))+((IF(AJ96&lt;=0,0,IF(WEEKDAY(AJ$6,1)=1,0,MIN(8,AJ97)*AJ96)))-MIN(IF(AJ96&lt;=0,0,IF(WEEKDAY(AJ$6,1)=1,0,MIN(8,AJ97)*AJ96)),MAX(0,40*MAX(1,AJ96)-(AF98+AG98+AH98+AI98)))))</f>
        <v>1</v>
      </c>
      <c r="AK99" s="64">
        <f>IF(AND(AK96=0,AK97=0),0,IF(AK96&lt;=0,0,IF(WEEKDAY(AK$6,1)=1,0,MAX(0,AK97-10)*AK96))+((IF(AK96&lt;=0,0,IF(WEEKDAY(AK$6,1)=1,0,MIN(10,AK97)*AK96)))-MIN(IF(AK96&lt;=0,0,IF(WEEKDAY(AK$6,1)=1,0,MIN(10,AK97)*AK96)),MAX(0,40*MAX(1,AK96)-(0)))))</f>
        <v>0</v>
      </c>
      <c r="AL99" s="64">
        <f>IF(AND(AL96=0,AL97=0),0,IF(AL96&lt;=0,0,IF(WEEKDAY(AL$6,1)=1,0,MAX(0,AL97-10)*AL96))+((IF(AL96&lt;=0,0,IF(WEEKDAY(AL$6,1)=1,0,MIN(10,AL97)*AL96)))-MIN(IF(AL96&lt;=0,0,IF(WEEKDAY(AL$6,1)=1,0,MIN(10,AL97)*AL96)),MAX(0,40*MAX(1,AL96)-(AK98)))))</f>
        <v>0</v>
      </c>
      <c r="AM99" s="63">
        <f>IF(AND(AM96=2,AM97=8.5),1,IF(AM96&lt;=0,0,IF(WEEKDAY(AM$6,1)=1,0,MAX(0,AM97-8)*AM96))+((IF(AM96&lt;=0,0,IF(WEEKDAY(AM$6,1)=1,0,MIN(8,AM97)*AM96)))-MIN(IF(AM96&lt;=0,0,IF(WEEKDAY(AM$6,1)=1,0,MIN(8,AM97)*AM96)),MAX(0,40*MAX(1,AM96)-(0)))))</f>
        <v>1</v>
      </c>
      <c r="AN99" s="63">
        <f>IF(AND(AN96=2,AN97=8.5),1,IF(AN96&lt;=0,0,IF(WEEKDAY(AN$6,1)=1,0,MAX(0,AN97-8)*AN96))+((IF(AN96&lt;=0,0,IF(WEEKDAY(AN$6,1)=1,0,MIN(8,AN97)*AN96)))-MIN(IF(AN96&lt;=0,0,IF(WEEKDAY(AN$6,1)=1,0,MIN(8,AN97)*AN96)),MAX(0,40*MAX(1,AN96)-(AM98)))))</f>
        <v>1</v>
      </c>
      <c r="AO99" s="63">
        <f>IF(AND(AO96=2,AO97=8.5),1,IF(AO96&lt;=0,0,IF(WEEKDAY(AO$6,1)=1,0,MAX(0,AO97-8)*AO96))+((IF(AO96&lt;=0,0,IF(WEEKDAY(AO$6,1)=1,0,MIN(8,AO97)*AO96)))-MIN(IF(AO96&lt;=0,0,IF(WEEKDAY(AO$6,1)=1,0,MIN(8,AO97)*AO96)),MAX(0,40*MAX(1,AO96)-(AM98+AN98)))))</f>
        <v>1</v>
      </c>
      <c r="AP99" s="63">
        <f>IF(AND(AP96=2,AP97=8.5),1,IF(AP96&lt;=0,0,IF(WEEKDAY(AP$6,1)=1,0,MAX(0,AP97-8)*AP96))+((IF(AP96&lt;=0,0,IF(WEEKDAY(AP$6,1)=1,0,MIN(8,AP97)*AP96)))-MIN(IF(AP96&lt;=0,0,IF(WEEKDAY(AP$6,1)=1,0,MIN(8,AP97)*AP96)),MAX(0,40*MAX(1,AP96)-(AM98+AN98+AO98)))))</f>
        <v>1</v>
      </c>
      <c r="AQ99" s="63">
        <f>IF(AND(AQ96=2,AQ97=8.5),1,IF(AQ96&lt;=0,0,IF(WEEKDAY(AQ$6,1)=1,0,MAX(0,AQ97-8)*AQ96))+((IF(AQ96&lt;=0,0,IF(WEEKDAY(AQ$6,1)=1,0,MIN(8,AQ97)*AQ96)))-MIN(IF(AQ96&lt;=0,0,IF(WEEKDAY(AQ$6,1)=1,0,MIN(8,AQ97)*AQ96)),MAX(0,40*MAX(1,AQ96)-(AM98+AN98+AO98+AP98)))))</f>
        <v>1</v>
      </c>
      <c r="AR99" s="64">
        <f>IF(AND(AR96=0,AR97=0),0,IF(AR96&lt;=0,0,IF(WEEKDAY(AR$6,1)=1,0,MAX(0,AR97-10)*AR96))+((IF(AR96&lt;=0,0,IF(WEEKDAY(AR$6,1)=1,0,MIN(10,AR97)*AR96)))-MIN(IF(AR96&lt;=0,0,IF(WEEKDAY(AR$6,1)=1,0,MIN(10,AR97)*AR96)),MAX(0,40*MAX(1,AR96)-(0)))))</f>
        <v>0</v>
      </c>
      <c r="AS99" s="64">
        <f>IF(AND(AS96=0,AS97=0),0,IF(AS96&lt;=0,0,IF(WEEKDAY(AS$6,1)=1,0,MAX(0,AS97-10)*AS96))+((IF(AS96&lt;=0,0,IF(WEEKDAY(AS$6,1)=1,0,MIN(10,AS97)*AS96)))-MIN(IF(AS96&lt;=0,0,IF(WEEKDAY(AS$6,1)=1,0,MIN(10,AS97)*AS96)),MAX(0,40*MAX(1,AS96)-(AR98)))))</f>
        <v>0</v>
      </c>
      <c r="AT99" s="63">
        <f>IF(AND(AT96=2,AT97=8.5),1,IF(AT96&lt;=0,0,IF(WEEKDAY(AT$6,1)=1,0,MAX(0,AT97-8)*AT96))+((IF(AT96&lt;=0,0,IF(WEEKDAY(AT$6,1)=1,0,MIN(8,AT97)*AT96)))-MIN(IF(AT96&lt;=0,0,IF(WEEKDAY(AT$6,1)=1,0,MIN(8,AT97)*AT96)),MAX(0,40*MAX(1,AT96)-(0)))))</f>
        <v>1</v>
      </c>
      <c r="AU99" s="63">
        <f>IF(AND(AU96=2,AU97=8.5),1,IF(AU96&lt;=0,0,IF(WEEKDAY(AU$6,1)=1,0,MAX(0,AU97-8)*AU96))+((IF(AU96&lt;=0,0,IF(WEEKDAY(AU$6,1)=1,0,MIN(8,AU97)*AU96)))-MIN(IF(AU96&lt;=0,0,IF(WEEKDAY(AU$6,1)=1,0,MIN(8,AU97)*AU96)),MAX(0,40*MAX(1,AU96)-(AT98)))))</f>
        <v>1</v>
      </c>
      <c r="AV99" s="63">
        <f>IF(AND(AV96=2,AV97=8.5),1,IF(AV96&lt;=0,0,IF(WEEKDAY(AV$6,1)=1,0,MAX(0,AV97-8)*AV96))+((IF(AV96&lt;=0,0,IF(WEEKDAY(AV$6,1)=1,0,MIN(8,AV97)*AV96)))-MIN(IF(AV96&lt;=0,0,IF(WEEKDAY(AV$6,1)=1,0,MIN(8,AV97)*AV96)),MAX(0,40*MAX(1,AV96)-(AT98+AU98)))))</f>
        <v>1</v>
      </c>
      <c r="AW99" s="63">
        <f>IF(AND(AW96=2,AW97=8.5),1,IF(AW96&lt;=0,0,IF(WEEKDAY(AW$6,1)=1,0,MAX(0,AW97-8)*AW96))+((IF(AW96&lt;=0,0,IF(WEEKDAY(AW$6,1)=1,0,MIN(8,AW97)*AW96)))-MIN(IF(AW96&lt;=0,0,IF(WEEKDAY(AW$6,1)=1,0,MIN(8,AW97)*AW96)),MAX(0,40*MAX(1,AW96)-(AT98+AU98+AV98)))))</f>
        <v>1</v>
      </c>
      <c r="AX99" s="63">
        <f>IF(AND(AX96=2,AX97=8.5),1,IF(AX96&lt;=0,0,IF(WEEKDAY(AX$6,1)=1,0,MAX(0,AX97-8)*AX96))+((IF(AX96&lt;=0,0,IF(WEEKDAY(AX$6,1)=1,0,MIN(8,AX97)*AX96)))-MIN(IF(AX96&lt;=0,0,IF(WEEKDAY(AX$6,1)=1,0,MIN(8,AX97)*AX96)),MAX(0,40*MAX(1,AX96)-(AT98+AU98+AV98+AW98)))))</f>
        <v>1</v>
      </c>
      <c r="AY99" s="64">
        <f>IF(AND(AY96=0,AY97=0),0,IF(AY96&lt;=0,0,IF(WEEKDAY(AY$6,1)=1,0,MAX(0,AY97-10)*AY96))+((IF(AY96&lt;=0,0,IF(WEEKDAY(AY$6,1)=1,0,MIN(10,AY97)*AY96)))-MIN(IF(AY96&lt;=0,0,IF(WEEKDAY(AY$6,1)=1,0,MIN(10,AY97)*AY96)),MAX(0,40*MAX(1,AY96)-(0)))))</f>
        <v>0</v>
      </c>
      <c r="AZ99" s="64">
        <f>IF(AND(AZ96=0,AZ97=0),0,IF(AZ96&lt;=0,0,IF(WEEKDAY(AZ$6,1)=1,0,MAX(0,AZ97-10)*AZ96))+((IF(AZ96&lt;=0,0,IF(WEEKDAY(AZ$6,1)=1,0,MIN(10,AZ97)*AZ96)))-MIN(IF(AZ96&lt;=0,0,IF(WEEKDAY(AZ$6,1)=1,0,MIN(10,AZ97)*AZ96)),MAX(0,40*MAX(1,AZ96)-(AY98)))))</f>
        <v>0</v>
      </c>
      <c r="BA99" s="63">
        <f>IF(AND(BA96=2,BA97=8.5),1,IF(BA96&lt;=0,0,IF(WEEKDAY(BA$6,1)=1,0,MAX(0,BA97-8)*BA96))+((IF(BA96&lt;=0,0,IF(WEEKDAY(BA$6,1)=1,0,MIN(8,BA97)*BA96)))-MIN(IF(BA96&lt;=0,0,IF(WEEKDAY(BA$6,1)=1,0,MIN(8,BA97)*BA96)),MAX(0,40*MAX(1,BA96)-(0)))))</f>
        <v>1</v>
      </c>
      <c r="BB99" s="63">
        <f>IF(AND(BB96=2,BB97=8.5),1,IF(BB96&lt;=0,0,IF(WEEKDAY(BB$6,1)=1,0,MAX(0,BB97-8)*BB96))+((IF(BB96&lt;=0,0,IF(WEEKDAY(BB$6,1)=1,0,MIN(8,BB97)*BB96)))-MIN(IF(BB96&lt;=0,0,IF(WEEKDAY(BB$6,1)=1,0,MIN(8,BB97)*BB96)),MAX(0,40*MAX(1,BB96)-(BA98)))))</f>
        <v>1</v>
      </c>
      <c r="BC99" s="63">
        <f>IF(AND(BC96=2,BC97=8.5),1,IF(BC96&lt;=0,0,IF(WEEKDAY(BC$6,1)=1,0,MAX(0,BC97-8)*BC96))+((IF(BC96&lt;=0,0,IF(WEEKDAY(BC$6,1)=1,0,MIN(8,BC97)*BC96)))-MIN(IF(BC96&lt;=0,0,IF(WEEKDAY(BC$6,1)=1,0,MIN(8,BC97)*BC96)),MAX(0,40*MAX(1,BC96)-(BA98+BB98)))))</f>
        <v>1</v>
      </c>
      <c r="BD99" s="63">
        <f>IF(AND(BD96=2,BD97=8.5),1,IF(BD96&lt;=0,0,IF(WEEKDAY(BD$6,1)=1,0,MAX(0,BD97-8)*BD96))+((IF(BD96&lt;=0,0,IF(WEEKDAY(BD$6,1)=1,0,MIN(8,BD97)*BD96)))-MIN(IF(BD96&lt;=0,0,IF(WEEKDAY(BD$6,1)=1,0,MIN(8,BD97)*BD96)),MAX(0,40*MAX(1,BD96)-(BA98+BB98+BC98)))))</f>
        <v>1</v>
      </c>
      <c r="BE99" s="63">
        <f>IF(AND(BE96=2,BE97=8.5),1,IF(BE96&lt;=0,0,IF(WEEKDAY(BE$6,1)=1,0,MAX(0,BE97-8)*BE96))+((IF(BE96&lt;=0,0,IF(WEEKDAY(BE$6,1)=1,0,MIN(8,BE97)*BE96)))-MIN(IF(BE96&lt;=0,0,IF(WEEKDAY(BE$6,1)=1,0,MIN(8,BE97)*BE96)),MAX(0,40*MAX(1,BE96)-(BA98+BB98+BC98+BD98)))))</f>
        <v>1</v>
      </c>
      <c r="BF99" s="64">
        <f>IF(AND(BF96=0,BF97=0),0,IF(BF96&lt;=0,0,IF(WEEKDAY(BF$6,1)=1,0,MAX(0,BF97-10)*BF96))+((IF(BF96&lt;=0,0,IF(WEEKDAY(BF$6,1)=1,0,MIN(10,BF97)*BF96)))-MIN(IF(BF96&lt;=0,0,IF(WEEKDAY(BF$6,1)=1,0,MIN(10,BF97)*BF96)),MAX(0,40*MAX(1,BF96)-(0)))))</f>
        <v>0</v>
      </c>
      <c r="BG99" s="64">
        <f>IF(AND(BG96=0,BG97=0),0,IF(BG96&lt;=0,0,IF(WEEKDAY(BG$6,1)=1,0,MAX(0,BG97-10)*BG96))+((IF(BG96&lt;=0,0,IF(WEEKDAY(BG$6,1)=1,0,MIN(10,BG97)*BG96)))-MIN(IF(BG96&lt;=0,0,IF(WEEKDAY(BG$6,1)=1,0,MIN(10,BG97)*BG96)),MAX(0,40*MAX(1,BG96)-(BF98)))))</f>
        <v>0</v>
      </c>
      <c r="BH99" s="63">
        <f>IF(AND(BH96=2,BH97=11),2,IF(BH96&lt;=0,0,IF(WEEKDAY(BH$6,1)=1,0,MAX(0,BH97-10)*BH96))+((IF(BH96&lt;=0,0,IF(WEEKDAY(BH$6,1)=1,0,MIN(10,BH97)*BH96)))-MIN(IF(BH96&lt;=0,0,IF(WEEKDAY(BH$6,1)=1,0,MIN(10,BH97)*BH96)),MAX(0,40*MAX(1,BH96)-(0)))))</f>
        <v>2</v>
      </c>
      <c r="BI99" s="63">
        <f>IF(AND(BI96=2,BI97=11),2,IF(BI96&lt;=0,0,IF(WEEKDAY(BI$6,1)=1,0,MAX(0,BI97-10)*BI96))+((IF(BI96&lt;=0,0,IF(WEEKDAY(BI$6,1)=1,0,MIN(10,BI97)*BI96)))-MIN(IF(BI96&lt;=0,0,IF(WEEKDAY(BI$6,1)=1,0,MIN(10,BI97)*BI96)),MAX(0,40*MAX(1,BI96)-(BH98)))))</f>
        <v>2</v>
      </c>
      <c r="BJ99" s="63">
        <f>IF(AND(BJ96=2,BJ97=11),2,IF(BJ96&lt;=0,0,IF(WEEKDAY(BJ$6,1)=1,0,MAX(0,BJ97-10)*BJ96))+((IF(BJ96&lt;=0,0,IF(WEEKDAY(BJ$6,1)=1,0,MIN(10,BJ97)*BJ96)))-MIN(IF(BJ96&lt;=0,0,IF(WEEKDAY(BJ$6,1)=1,0,MIN(10,BJ97)*BJ96)),MAX(0,40*MAX(1,BJ96)-(BH98+BI98)))))</f>
        <v>2</v>
      </c>
      <c r="BK99" s="63">
        <f>IF(AND(BK96=2,BK97=11),2,IF(BK96&lt;=0,0,IF(WEEKDAY(BK$6,1)=1,0,MAX(0,BK97-10)*BK96))+((IF(BK96&lt;=0,0,IF(WEEKDAY(BK$6,1)=1,0,MIN(10,BK97)*BK96)))-MIN(IF(BK96&lt;=0,0,IF(WEEKDAY(BK$6,1)=1,0,MIN(10,BK97)*BK96)),MAX(0,40*MAX(1,BK96)-(BH98+BI98+BJ98)))))</f>
        <v>2</v>
      </c>
      <c r="BL99" s="63">
        <f>IF(AND(BL96=2,BL97=11),22,IF(BL96&lt;=0,0,IF(WEEKDAY(BL$6,1)=1,0,MAX(0,BL97-10)*BL96))+((IF(BL96&lt;=0,0,IF(WEEKDAY(BL$6,1)=1,0,MIN(10,BL97)*BL96)))-MIN(IF(BL96&lt;=0,0,IF(WEEKDAY(BL$6,1)=1,0,MIN(10,BL97)*BL96)),MAX(0,40*MAX(1,BL96)-(BH98+BI98+BJ98+BK98)))))</f>
        <v>22</v>
      </c>
      <c r="BM99" s="64">
        <f>IF(AND(BM96=2,BM97=11),22,IF(BM96&lt;=0,0,IF(WEEKDAY(BM$6,1)=1,0,MAX(0,BM97-10)*BM96))+((IF(BM96&lt;=0,0,IF(WEEKDAY(BM$6,1)=1,0,MIN(10,BM97)*BM96)))-MIN(IF(BM96&lt;=0,0,IF(WEEKDAY(BM$6,1)=1,0,MIN(10,BM97)*BM96)),MAX(0,40*MAX(1,BM96)-(BH98+BI98+BJ98+BK98+BL98)))))</f>
        <v>22</v>
      </c>
      <c r="BN99" s="64">
        <f>IF(AND(BN96=2,BN97=11),0,IF(BN96&lt;=0,0,IF(WEEKDAY(BN$6,1)=1,0,MAX(0,BN97-10)*BN96))+((IF(BN96&lt;=0,0,IF(WEEKDAY(BN$6,1)=1,0,MIN(10,BN97)*BN96)))-MIN(IF(BN96&lt;=0,0,IF(WEEKDAY(BN$6,1)=1,0,MIN(10,BN97)*BN96)),MAX(0,40*MAX(1,BN96)-(BH98+BI98+BJ98+BK98+BL98+BM98)))))</f>
        <v>0</v>
      </c>
      <c r="BO99" s="63">
        <f>IF(AND(BO96=2,BO97=11),2,IF(BO96&lt;=0,0,IF(WEEKDAY(BO$6,1)=1,0,MAX(0,BO97-10)*BO96))+((IF(BO96&lt;=0,0,IF(WEEKDAY(BO$6,1)=1,0,MIN(10,BO97)*BO96)))-MIN(IF(BO96&lt;=0,0,IF(WEEKDAY(BO$6,1)=1,0,MIN(10,BO97)*BO96)),MAX(0,40*MAX(1,BO96)-(0)))))</f>
        <v>2</v>
      </c>
      <c r="BP99" s="63">
        <f>IF(AND(BP96=2,BP97=11),2,IF(BP96&lt;=0,0,IF(WEEKDAY(BP$6,1)=1,0,MAX(0,BP97-10)*BP96))+((IF(BP96&lt;=0,0,IF(WEEKDAY(BP$6,1)=1,0,MIN(10,BP97)*BP96)))-MIN(IF(BP96&lt;=0,0,IF(WEEKDAY(BP$6,1)=1,0,MIN(10,BP97)*BP96)),MAX(0,40*MAX(1,BP96)-(BO98)))))</f>
        <v>2</v>
      </c>
      <c r="BQ99" s="63">
        <f>IF(AND(BQ96=2,BQ97=11),2,IF(BQ96&lt;=0,0,IF(WEEKDAY(BQ$6,1)=1,0,MAX(0,BQ97-10)*BQ96))+((IF(BQ96&lt;=0,0,IF(WEEKDAY(BQ$6,1)=1,0,MIN(10,BQ97)*BQ96)))-MIN(IF(BQ96&lt;=0,0,IF(WEEKDAY(BQ$6,1)=1,0,MIN(10,BQ97)*BQ96)),MAX(0,40*MAX(1,BQ96)-(BO98+BP98)))))</f>
        <v>2</v>
      </c>
      <c r="BR99" s="63">
        <f>IF(AND(BR96=2,BR97=11),2,IF(BR96&lt;=0,0,IF(WEEKDAY(BR$6,1)=1,0,MAX(0,BR97-10)*BR96))+((IF(BR96&lt;=0,0,IF(WEEKDAY(BR$6,1)=1,0,MIN(10,BR97)*BR96)))-MIN(IF(BR96&lt;=0,0,IF(WEEKDAY(BR$6,1)=1,0,MIN(10,BR97)*BR96)),MAX(0,40*MAX(1,BR96)-(0)))))</f>
        <v>2</v>
      </c>
      <c r="BS99" s="63">
        <f>IF(AND(BS96=2,BS97=11),2,IF(BS96&lt;=0,0,IF(WEEKDAY(BS$6,1)=1,0,MAX(0,BS97-10)*BS96))+((IF(BS96&lt;=0,0,IF(WEEKDAY(BS$6,1)=1,0,MIN(10,BS97)*BS96)))-MIN(IF(BS96&lt;=0,0,IF(WEEKDAY(BS$6,1)=1,0,MIN(10,BS97)*BS96)),MAX(0,40*MAX(1,BS96)-(BR98)))))</f>
        <v>2</v>
      </c>
      <c r="BT99" s="64">
        <f>IF(AND(BT96=2,BT97=11),2,IF(BT96&lt;=0,0,IF(WEEKDAY(BT$6,1)=1,0,MAX(0,BT97-10)*BT96))+((IF(BT96&lt;=0,0,IF(WEEKDAY(BT$6,1)=1,0,MIN(10,BT97)*BT96)))-MIN(IF(BT96&lt;=0,0,IF(WEEKDAY(BT$6,1)=1,0,MIN(10,BT97)*BT96)),MAX(0,40*MAX(1,BT96)-(BR98+BS98)))))</f>
        <v>2</v>
      </c>
      <c r="BU99" s="64">
        <f>IF(AND(BU96=2,BU97=11),0,IF(BU96&lt;=0,0,IF(WEEKDAY(BU$6,1)=1,0,MAX(0,BU97-10)*BU96))+((IF(BU96&lt;=0,0,IF(WEEKDAY(BU$6,1)=1,0,MIN(10,BU97)*BU96)))-MIN(IF(BU96&lt;=0,0,IF(WEEKDAY(BU$6,1)=1,0,MIN(10,BU97)*BU96)),MAX(0,40*MAX(1,BU96)-(BR98+BS98+BT98)))))</f>
        <v>0</v>
      </c>
      <c r="BV99" s="63">
        <f>IF(AND(BV96=2,BV97=11),2,IF(BV96&lt;=0,0,IF(WEEKDAY(BV$6,1)=1,0,MAX(0,BV97-10)*BV96))+((IF(BV96&lt;=0,0,IF(WEEKDAY(BV$6,1)=1,0,MIN(10,BV97)*BV96)))-MIN(IF(BV96&lt;=0,0,IF(WEEKDAY(BV$6,1)=1,0,MIN(10,BV97)*BV96)),MAX(0,40*MAX(1,BV96)-(0)))))</f>
        <v>2</v>
      </c>
      <c r="BW99" s="63">
        <f>IF(AND(BW96=2,BW97=11),2,IF(BW96&lt;=0,0,IF(WEEKDAY(BW$6,1)=1,0,MAX(0,BW97-10)*BW96))+((IF(BW96&lt;=0,0,IF(WEEKDAY(BW$6,1)=1,0,MIN(10,BW97)*BW96)))-MIN(IF(BW96&lt;=0,0,IF(WEEKDAY(BW$6,1)=1,0,MIN(10,BW97)*BW96)),MAX(0,40*MAX(1,BW96)-(BV98)))))</f>
        <v>2</v>
      </c>
      <c r="BX99" s="63">
        <f>IF(AND(BX96=2,BX97=11),2,IF(BX96&lt;=0,0,IF(WEEKDAY(BX$6,1)=1,0,MAX(0,BX97-10)*BX96))+((IF(BX96&lt;=0,0,IF(WEEKDAY(BX$6,1)=1,0,MIN(10,BX97)*BX96)))-MIN(IF(BX96&lt;=0,0,IF(WEEKDAY(BX$6,1)=1,0,MIN(10,BX97)*BX96)),MAX(0,40*MAX(1,BX96)-(BV98+BW98)))))</f>
        <v>2</v>
      </c>
      <c r="BY99" s="63">
        <f>IF(AND(BY96=2,BY97=11),2,IF(BY96&lt;=0,0,IF(WEEKDAY(BY$6,1)=1,0,MAX(0,BY97-10)*BY96))+((IF(BY96&lt;=0,0,IF(WEEKDAY(BY$6,1)=1,0,MIN(10,BY97)*BY96)))-MIN(IF(BY96&lt;=0,0,IF(WEEKDAY(BY$6,1)=1,0,MIN(10,BY97)*BY96)),MAX(0,40*MAX(1,BY96)-(BV98+BW98+BX98)))))</f>
        <v>2</v>
      </c>
      <c r="BZ99" s="63">
        <f>IF(AND(BZ96=2,BZ97=11),22,IF(BZ96&lt;=0,0,IF(WEEKDAY(BZ$6,1)=1,0,MAX(0,BZ97-10)*BZ96))+((IF(BZ96&lt;=0,0,IF(WEEKDAY(BZ$6,1)=1,0,MIN(10,BZ97)*BZ96)))-MIN(IF(BZ96&lt;=0,0,IF(WEEKDAY(BZ$6,1)=1,0,MIN(10,BZ97)*BZ96)),MAX(0,40*MAX(1,BZ96)-(BV98+BW98+BX98+BY98)))))</f>
        <v>22</v>
      </c>
      <c r="CA99" s="64">
        <f>IF(AND(CA96=2,CA97=11),22,IF(CA96&lt;=0,0,IF(WEEKDAY(CA$6,1)=1,0,MAX(0,CA97-10)*CA96))+((IF(CA96&lt;=0,0,IF(WEEKDAY(CA$6,1)=1,0,MIN(10,CA97)*CA96)))-MIN(IF(CA96&lt;=0,0,IF(WEEKDAY(CA$6,1)=1,0,MIN(10,CA97)*CA96)),MAX(0,40*MAX(1,CA96)-(BV98+BW98+BX98+BY98+BZ98)))))</f>
        <v>22</v>
      </c>
      <c r="CB99" s="64">
        <f>IF(AND(CB96=2,CB97=11),0,IF(CB96&lt;=0,0,IF(WEEKDAY(CB$6,1)=1,0,MAX(0,CB97-10)*CB96))+((IF(CB96&lt;=0,0,IF(WEEKDAY(CB$6,1)=1,0,MIN(10,CB97)*CB96)))-MIN(IF(CB96&lt;=0,0,IF(WEEKDAY(CB$6,1)=1,0,MIN(10,CB97)*CB96)),MAX(0,40*MAX(1,CB96)-(BV98+BW98+BX98+BY98+BZ98+CA98)))))</f>
        <v>0</v>
      </c>
      <c r="CC99" s="63">
        <f>IF(AND(CC96=2,CC97=11),2,IF(CC96&lt;=0,0,IF(WEEKDAY(CC$6,1)=1,0,MAX(0,CC97-10)*CC96))+((IF(CC96&lt;=0,0,IF(WEEKDAY(CC$6,1)=1,0,MIN(10,CC97)*CC96)))-MIN(IF(CC96&lt;=0,0,IF(WEEKDAY(CC$6,1)=1,0,MIN(10,CC97)*CC96)),MAX(0,40*MAX(1,CC96)-(0)))))</f>
        <v>2</v>
      </c>
      <c r="CD99" s="63">
        <f>IF(AND(CD96=2,CD97=11),2,IF(CD96&lt;=0,0,IF(WEEKDAY(CD$6,1)=1,0,MAX(0,CD97-10)*CD96))+((IF(CD96&lt;=0,0,IF(WEEKDAY(CD$6,1)=1,0,MIN(10,CD97)*CD96)))-MIN(IF(CD96&lt;=0,0,IF(WEEKDAY(CD$6,1)=1,0,MIN(10,CD97)*CD96)),MAX(0,40*MAX(1,CD96)-(CC98)))))</f>
        <v>2</v>
      </c>
      <c r="CE99" s="63">
        <f>IF(AND(CE96=2,CE97=11),2,IF(CE96&lt;=0,0,IF(WEEKDAY(CE$6,1)=1,0,MAX(0,CE97-10)*CE96))+((IF(CE96&lt;=0,0,IF(WEEKDAY(CE$6,1)=1,0,MIN(10,CE97)*CE96)))-MIN(IF(CE96&lt;=0,0,IF(WEEKDAY(CE$6,1)=1,0,MIN(10,CE97)*CE96)),MAX(0,40*MAX(1,CE96)-(CC98+CD98)))))</f>
        <v>2</v>
      </c>
      <c r="CF99" s="63">
        <f>IF(AND(CF96=2,CF97=11),2,IF(CF96&lt;=0,0,IF(WEEKDAY(CF$6,1)=1,0,MAX(0,CF97-10)*CF96))+((IF(CF96&lt;=0,0,IF(WEEKDAY(CF$6,1)=1,0,MIN(10,CF97)*CF96)))-MIN(IF(CF96&lt;=0,0,IF(WEEKDAY(CF$6,1)=1,0,MIN(10,CF97)*CF96)),MAX(0,40*MAX(1,CF96)-(CC98+CD98+CE98)))))</f>
        <v>2</v>
      </c>
      <c r="CG99" s="63">
        <f>IF(AND(CG96=2,CG97=11),22,IF(CG96&lt;=0,0,IF(WEEKDAY(CG$6,1)=1,0,MAX(0,CG97-10)*CG96))+((IF(CG96&lt;=0,0,IF(WEEKDAY(CG$6,1)=1,0,MIN(10,CG97)*CG96)))-MIN(IF(CG96&lt;=0,0,IF(WEEKDAY(CG$6,1)=1,0,MIN(10,CG97)*CG96)),MAX(0,40*MAX(1,CG96)-(CC98+CD98+CE98+CF98)))))</f>
        <v>22</v>
      </c>
      <c r="CH99" s="64">
        <f>IF(AND(CH96=2,CH97=11),22,IF(CH96&lt;=0,0,IF(WEEKDAY(CH$6,1)=1,0,MAX(0,CH97-10)*CH96))+((IF(CH96&lt;=0,0,IF(WEEKDAY(CH$6,1)=1,0,MIN(10,CH97)*CH96)))-MIN(IF(CH96&lt;=0,0,IF(WEEKDAY(CH$6,1)=1,0,MIN(10,CH97)*CH96)),MAX(0,40*MAX(1,CH96)-(CC98+CD98+CE98+CF98+CG98)))))</f>
        <v>22</v>
      </c>
      <c r="CI99" s="64">
        <f>IF(AND(CI96=2,CI97=11),0,IF(CI96&lt;=0,0,IF(WEEKDAY(CI$6,1)=1,0,MAX(0,CI97-10)*CI96))+((IF(CI96&lt;=0,0,IF(WEEKDAY(CI$6,1)=1,0,MIN(10,CI97)*CI96)))-MIN(IF(CI96&lt;=0,0,IF(WEEKDAY(CI$6,1)=1,0,MIN(10,CI97)*CI96)),MAX(0,40*MAX(1,CI96)-(CC98+CD98+CE98+CF98+CG98+CH98)))))</f>
        <v>0</v>
      </c>
      <c r="CJ99" s="63">
        <f>IF(AND(CJ96=2,CJ97=11),2,IF(CJ96&lt;=0,0,IF(WEEKDAY(CJ$6,1)=1,0,MAX(0,CJ97-10)*CJ96))+((IF(CJ96&lt;=0,0,IF(WEEKDAY(CJ$6,1)=1,0,MIN(10,CJ97)*CJ96)))-MIN(IF(CJ96&lt;=0,0,IF(WEEKDAY(CJ$6,1)=1,0,MIN(10,CJ97)*CJ96)),MAX(0,40*MAX(1,CJ96)-(0)))))</f>
        <v>2</v>
      </c>
      <c r="CK99" s="63">
        <f>IF(AND(CK96=2,CK97=11),2,IF(CK96&lt;=0,0,IF(WEEKDAY(CK$6,1)=1,0,MAX(0,CK97-10)*CK96))+((IF(CK96&lt;=0,0,IF(WEEKDAY(CK$6,1)=1,0,MIN(10,CK97)*CK96)))-MIN(IF(CK96&lt;=0,0,IF(WEEKDAY(CK$6,1)=1,0,MIN(10,CK97)*CK96)),MAX(0,40*MAX(1,CK96)-(CJ98)))))</f>
        <v>2</v>
      </c>
      <c r="CL99" s="63">
        <f>IF(AND(CL96=2,CL97=11),2,IF(CL96&lt;=0,0,IF(WEEKDAY(CL$6,1)=1,0,MAX(0,CL97-10)*CL96))+((IF(CL96&lt;=0,0,IF(WEEKDAY(CL$6,1)=1,0,MIN(10,CL97)*CL96)))-MIN(IF(CL96&lt;=0,0,IF(WEEKDAY(CL$6,1)=1,0,MIN(10,CL97)*CL96)),MAX(0,40*MAX(1,CL96)-(CJ98+CK98)))))</f>
        <v>2</v>
      </c>
      <c r="CM99" s="63">
        <f>IF(AND(CM96=2,CM97=11),2,IF(CM96&lt;=0,0,IF(WEEKDAY(CM$6,1)=1,0,MAX(0,CM97-10)*CM96))+((IF(CM96&lt;=0,0,IF(WEEKDAY(CM$6,1)=1,0,MIN(10,CM97)*CM96)))-MIN(IF(CM96&lt;=0,0,IF(WEEKDAY(CM$6,1)=1,0,MIN(10,CM97)*CM96)),MAX(0,40*MAX(1,CM96)-(CJ98+CK98+CL98)))))</f>
        <v>2</v>
      </c>
      <c r="CN99" s="63">
        <f>IF(AND(CN96=2,CN97=11),22,IF(CN96&lt;=0,0,IF(WEEKDAY(CN$6,1)=1,0,MAX(0,CN97-10)*CN96))+((IF(CN96&lt;=0,0,IF(WEEKDAY(CN$6,1)=1,0,MIN(10,CN97)*CN96)))-MIN(IF(CN96&lt;=0,0,IF(WEEKDAY(CN$6,1)=1,0,MIN(10,CN97)*CN96)),MAX(0,40*MAX(1,CN96)-(CJ98+CK98+CL98+CM98)))))</f>
        <v>22</v>
      </c>
      <c r="CO99" s="64">
        <f>IF(AND(CO96=2,CO97=11),22,IF(CO96&lt;=0,0,IF(WEEKDAY(CO$6,1)=1,0,MAX(0,CO97-10)*CO96))+((IF(CO96&lt;=0,0,IF(WEEKDAY(CO$6,1)=1,0,MIN(10,CO97)*CO96)))-MIN(IF(CO96&lt;=0,0,IF(WEEKDAY(CO$6,1)=1,0,MIN(10,CO97)*CO96)),MAX(0,40*MAX(1,CO96)-(CJ98+CK98+CL98+CM98+CN98)))))</f>
        <v>22</v>
      </c>
      <c r="CP99" s="64">
        <f>IF(AND(CP96=2,CP97=11),0,IF(CP96&lt;=0,0,IF(WEEKDAY(CP$6,1)=1,0,MAX(0,CP97-10)*CP96))+((IF(CP96&lt;=0,0,IF(WEEKDAY(CP$6,1)=1,0,MIN(10,CP97)*CP96)))-MIN(IF(CP96&lt;=0,0,IF(WEEKDAY(CP$6,1)=1,0,MIN(10,CP97)*CP96)),MAX(0,40*MAX(1,CP96)-(CJ98+CK98+CL98+CM98+CN98+CO98)))))</f>
        <v>0</v>
      </c>
      <c r="CQ99" s="63">
        <f>IF(AND(CQ96=2,CQ97=11),2,IF(CQ96&lt;=0,0,IF(WEEKDAY(CQ$6,1)=1,0,MAX(0,CQ97-10)*CQ96))+((IF(CQ96&lt;=0,0,IF(WEEKDAY(CQ$6,1)=1,0,MIN(10,CQ97)*CQ96)))-MIN(IF(CQ96&lt;=0,0,IF(WEEKDAY(CQ$6,1)=1,0,MIN(10,CQ97)*CQ96)),MAX(0,40*MAX(1,CQ96)-(0)))))</f>
        <v>2</v>
      </c>
      <c r="CR99" s="63">
        <f>IF(AND(CR96=2,CR97=11),2,IF(CR96&lt;=0,0,IF(WEEKDAY(CR$6,1)=1,0,MAX(0,CR97-10)*CR96))+((IF(CR96&lt;=0,0,IF(WEEKDAY(CR$6,1)=1,0,MIN(10,CR97)*CR96)))-MIN(IF(CR96&lt;=0,0,IF(WEEKDAY(CR$6,1)=1,0,MIN(10,CR97)*CR96)),MAX(0,40*MAX(1,CR96)-(CQ98)))))</f>
        <v>2</v>
      </c>
      <c r="CS99" s="63">
        <f>IF(AND(CS96=2,CS97=11),2,IF(CS96&lt;=0,0,IF(WEEKDAY(CS$6,1)=1,0,MAX(0,CS97-10)*CS96))+((IF(CS96&lt;=0,0,IF(WEEKDAY(CS$6,1)=1,0,MIN(10,CS97)*CS96)))-MIN(IF(CS96&lt;=0,0,IF(WEEKDAY(CS$6,1)=1,0,MIN(10,CS97)*CS96)),MAX(0,40*MAX(1,CS96)-(CQ98+CR98)))))</f>
        <v>2</v>
      </c>
      <c r="CT99" s="63">
        <f>IF(AND(CT96=2,CT97=11),2,IF(CT96&lt;=0,0,IF(WEEKDAY(CT$6,1)=1,0,MAX(0,CT97-10)*CT96))+((IF(CT96&lt;=0,0,IF(WEEKDAY(CT$6,1)=1,0,MIN(10,CT97)*CT96)))-MIN(IF(CT96&lt;=0,0,IF(WEEKDAY(CT$6,1)=1,0,MIN(10,CT97)*CT96)),MAX(0,40*MAX(1,CT96)-(CQ98+CR98+CS98)))))</f>
        <v>2</v>
      </c>
      <c r="CU99" s="63">
        <f>IF(AND(CU96=2,CU97=11),22,IF(CU96&lt;=0,0,IF(WEEKDAY(CU$6,1)=1,0,MAX(0,CU97-10)*CU96))+((IF(CU96&lt;=0,0,IF(WEEKDAY(CU$6,1)=1,0,MIN(10,CU97)*CU96)))-MIN(IF(CU96&lt;=0,0,IF(WEEKDAY(CU$6,1)=1,0,MIN(10,CU97)*CU96)),MAX(0,40*MAX(1,CU96)-(CQ98+CR98+CS98+CT98)))))</f>
        <v>22</v>
      </c>
      <c r="CV99" s="64">
        <f>IF(AND(CV96=2,CV97=11),22,IF(CV96&lt;=0,0,IF(WEEKDAY(CV$6,1)=1,0,MAX(0,CV97-10)*CV96))+((IF(CV96&lt;=0,0,IF(WEEKDAY(CV$6,1)=1,0,MIN(10,CV97)*CV96)))-MIN(IF(CV96&lt;=0,0,IF(WEEKDAY(CV$6,1)=1,0,MIN(10,CV97)*CV96)),MAX(0,40*MAX(1,CV96)-(CQ98+CR98+CS98+CT98+CU98)))))</f>
        <v>22</v>
      </c>
      <c r="CW99" s="64">
        <f>IF(AND(CW96=2,CW97=11),0,IF(CW96&lt;=0,0,IF(WEEKDAY(CW$6,1)=1,0,MAX(0,CW97-10)*CW96))+((IF(CW96&lt;=0,0,IF(WEEKDAY(CW$6,1)=1,0,MIN(10,CW97)*CW96)))-MIN(IF(CW96&lt;=0,0,IF(WEEKDAY(CW$6,1)=1,0,MIN(10,CW97)*CW96)),MAX(0,40*MAX(1,CW96)-(CQ98+CR98+CS98+CT98+CU98+CV98)))))</f>
        <v>0</v>
      </c>
      <c r="CX99" s="63">
        <f>IF(AND(CX96=2,CX97=11),2,IF(CX96&lt;=0,0,IF(WEEKDAY(CX$6,1)=1,0,MAX(0,CX97-10)*CX96))+((IF(CX96&lt;=0,0,IF(WEEKDAY(CX$6,1)=1,0,MIN(10,CX97)*CX96)))-MIN(IF(CX96&lt;=0,0,IF(WEEKDAY(CX$6,1)=1,0,MIN(10,CX97)*CX96)),MAX(0,40*MAX(1,CX96)-(0)))))</f>
        <v>2</v>
      </c>
      <c r="CY99" s="63">
        <f>IF(AND(CY96=2,CY97=11),2,IF(CY96&lt;=0,0,IF(WEEKDAY(CY$6,1)=1,0,MAX(0,CY97-10)*CY96))+((IF(CY96&lt;=0,0,IF(WEEKDAY(CY$6,1)=1,0,MIN(10,CY97)*CY96)))-MIN(IF(CY96&lt;=0,0,IF(WEEKDAY(CY$6,1)=1,0,MIN(10,CY97)*CY96)),MAX(0,40*MAX(1,CY96)-(CX98)))))</f>
        <v>2</v>
      </c>
      <c r="CZ99" s="63">
        <f>IF(AND(CZ96=2,CZ97=11),2,IF(CZ96&lt;=0,0,IF(WEEKDAY(CZ$6,1)=1,0,MAX(0,CZ97-10)*CZ96))+((IF(CZ96&lt;=0,0,IF(WEEKDAY(CZ$6,1)=1,0,MIN(10,CZ97)*CZ96)))-MIN(IF(CZ96&lt;=0,0,IF(WEEKDAY(CZ$6,1)=1,0,MIN(10,CZ97)*CZ96)),MAX(0,40*MAX(1,CZ96)-(CX98+CY98)))))</f>
        <v>2</v>
      </c>
      <c r="DA99" s="63">
        <f>IF(AND(DA96=2,DA97=11),2,IF(DA96&lt;=0,0,IF(WEEKDAY(DA$6,1)=1,0,MAX(0,DA97-10)*DA96))+((IF(DA96&lt;=0,0,IF(WEEKDAY(DA$6,1)=1,0,MIN(10,DA97)*DA96)))-MIN(IF(DA96&lt;=0,0,IF(WEEKDAY(DA$6,1)=1,0,MIN(10,DA97)*DA96)),MAX(0,40*MAX(1,DA96)-(CX98+CY98+CZ98)))))</f>
        <v>2</v>
      </c>
      <c r="DB99" s="63">
        <f>IF(AND(DB96=2,DB97=11),22,IF(DB96&lt;=0,0,IF(WEEKDAY(DB$6,1)=1,0,MAX(0,DB97-10)*DB96))+((IF(DB96&lt;=0,0,IF(WEEKDAY(DB$6,1)=1,0,MIN(10,DB97)*DB96)))-MIN(IF(DB96&lt;=0,0,IF(WEEKDAY(DB$6,1)=1,0,MIN(10,DB97)*DB96)),MAX(0,40*MAX(1,DB96)-(CX98+CY98+CZ98+DA98)))))</f>
        <v>22</v>
      </c>
      <c r="DC99" s="64">
        <f>IF(AND(DC96=2,DC97=11),22,IF(DC96&lt;=0,0,IF(WEEKDAY(DC$6,1)=1,0,MAX(0,DC97-10)*DC96))+((IF(DC96&lt;=0,0,IF(WEEKDAY(DC$6,1)=1,0,MIN(10,DC97)*DC96)))-MIN(IF(DC96&lt;=0,0,IF(WEEKDAY(DC$6,1)=1,0,MIN(10,DC97)*DC96)),MAX(0,40*MAX(1,DC96)-(CX98+CY98+CZ98+DA98+DB98)))))</f>
        <v>22</v>
      </c>
      <c r="DD99" s="64">
        <f>IF(AND(DD96=2,DD97=11),0,IF(DD96&lt;=0,0,IF(WEEKDAY(DD$6,1)=1,0,MAX(0,DD97-10)*DD96))+((IF(DD96&lt;=0,0,IF(WEEKDAY(DD$6,1)=1,0,MIN(10,DD97)*DD96)))-MIN(IF(DD96&lt;=0,0,IF(WEEKDAY(DD$6,1)=1,0,MIN(10,DD97)*DD96)),MAX(0,40*MAX(1,DD96)-(0)))))</f>
        <v>0</v>
      </c>
      <c r="DE99" s="63">
        <f>IF(AND(DE96=2,DE97=11),2,IF(DE96&lt;=0,0,IF(WEEKDAY(DE$6,1)=1,0,MAX(0,DE97-10)*DE96))+((IF(DE96&lt;=0,0,IF(WEEKDAY(DE$6,1)=1,0,MIN(10,DE97)*DE96)))-MIN(IF(DE96&lt;=0,0,IF(WEEKDAY(DE$6,1)=1,0,MIN(10,DE97)*DE96)),MAX(0,40*MAX(1,DE96)-(0)))))</f>
        <v>2</v>
      </c>
      <c r="DF99" s="63">
        <f>IF(AND(DF96=2,DF97=11),2,IF(DF96&lt;=0,0,IF(WEEKDAY(DF$6,1)=1,0,MAX(0,DF97-10)*DF96))+((IF(DF96&lt;=0,0,IF(WEEKDAY(DF$6,1)=1,0,MIN(10,DF97)*DF96)))-MIN(IF(DF96&lt;=0,0,IF(WEEKDAY(DF$6,1)=1,0,MIN(10,DF97)*DF96)),MAX(0,40*MAX(1,DF96)-(DE98)))))</f>
        <v>2</v>
      </c>
      <c r="DG99" s="63">
        <f>IF(AND(DG96=2,DG97=11),2,IF(DG96&lt;=0,0,IF(WEEKDAY(DG$6,1)=1,0,MAX(0,DG97-10)*DG96))+((IF(DG96&lt;=0,0,IF(WEEKDAY(DG$6,1)=1,0,MIN(10,DG97)*DG96)))-MIN(IF(DG96&lt;=0,0,IF(WEEKDAY(DG$6,1)=1,0,MIN(10,DG97)*DG96)),MAX(0,40*MAX(1,DG96)-(DE98+DF98)))))</f>
        <v>2</v>
      </c>
      <c r="DH99" s="63">
        <f>IF(AND(DH96=2,DH97=11),2,IF(DH96&lt;=0,0,IF(WEEKDAY(DH$6,1)=1,0,MAX(0,DH97-10)*DH96))+((IF(DH96&lt;=0,0,IF(WEEKDAY(DH$6,1)=1,0,MIN(10,DH97)*DH96)))-MIN(IF(DH96&lt;=0,0,IF(WEEKDAY(DH$6,1)=1,0,MIN(10,DH97)*DH96)),MAX(0,40*MAX(1,DH96)-(DE98+DF98+DG98)))))</f>
        <v>2</v>
      </c>
      <c r="DI99" s="63">
        <f>IF(AND(DI96=2,DI97=11),22,IF(DI96&lt;=0,0,IF(WEEKDAY(DI$6,1)=1,0,MAX(0,DI97-10)*DI96))+((IF(DI96&lt;=0,0,IF(WEEKDAY(DI$6,1)=1,0,MIN(10,DI97)*DI96)))-MIN(IF(DI96&lt;=0,0,IF(WEEKDAY(DI$6,1)=1,0,MIN(10,DI97)*DI96)),MAX(0,40*MAX(1,DI96)-(DE98+DF98+DG98+DH98)))))</f>
        <v>22</v>
      </c>
      <c r="DJ99" s="64">
        <f>IF(AND(DJ96=2,DJ97=11),22,IF(DJ96&lt;=0,0,IF(WEEKDAY(DJ$6,1)=1,0,MAX(0,DJ97-10)*DJ96))+((IF(DJ96&lt;=0,0,IF(WEEKDAY(DJ$6,1)=1,0,MIN(10,DJ97)*DJ96)))-MIN(IF(DJ96&lt;=0,0,IF(WEEKDAY(DJ$6,1)=1,0,MIN(10,DJ97)*DJ96)),MAX(0,40*MAX(1,DJ96)-(DE98+DF98+DG98+DH98+DI98)))))</f>
        <v>22</v>
      </c>
      <c r="DK99" s="64">
        <f>IF(AND(DK96=2,DK97=11),0,IF(DK96&lt;=0,0,IF(WEEKDAY(DK$6,1)=1,0,MAX(0,DK97-10)*DK96))+((IF(DK96&lt;=0,0,IF(WEEKDAY(DK$6,1)=1,0,MIN(10,DK97)*DK96)))-MIN(IF(DK96&lt;=0,0,IF(WEEKDAY(DK$6,1)=1,0,MIN(10,DK97)*DK96)),MAX(0,40*MAX(1,DK96)-(DE98+DF98+DG98+DH98+DI98+DJ98)))))</f>
        <v>0</v>
      </c>
      <c r="DL99" s="63">
        <f>IF(AND(DL96=2,DL97=11),2,IF(DL96&lt;=0,0,IF(WEEKDAY(DL$6,1)=1,0,MAX(0,DL97-10)*DL96))+((IF(DL96&lt;=0,0,IF(WEEKDAY(DL$6,1)=1,0,MIN(10,DL97)*DL96)))-MIN(IF(DL96&lt;=0,0,IF(WEEKDAY(DL$6,1)=1,0,MIN(10,DL97)*DL96)),MAX(0,40*MAX(1,DL96)-(0)))))</f>
        <v>2</v>
      </c>
      <c r="DM99" s="63">
        <f>IF(AND(DM96=2,DM97=11),2,IF(DM96&lt;=0,0,IF(WEEKDAY(DM$6,1)=1,0,MAX(0,DM97-10)*DM96))+((IF(DM96&lt;=0,0,IF(WEEKDAY(DM$6,1)=1,0,MIN(10,DM97)*DM96)))-MIN(IF(DM96&lt;=0,0,IF(WEEKDAY(DM$6,1)=1,0,MIN(10,DM97)*DM96)),MAX(0,40*MAX(1,DM96)-(DL98)))))</f>
        <v>2</v>
      </c>
      <c r="DN99" s="63">
        <f>IF(AND(DN96=2,DN97=11),2,IF(DN96&lt;=0,0,IF(WEEKDAY(DN$6,1)=1,0,MAX(0,DN97-10)*DN96))+((IF(DN96&lt;=0,0,IF(WEEKDAY(DN$6,1)=1,0,MIN(10,DN97)*DN96)))-MIN(IF(DN96&lt;=0,0,IF(WEEKDAY(DN$6,1)=1,0,MIN(10,DN97)*DN96)),MAX(0,40*MAX(1,DN96)-(DL98+DM98)))))</f>
        <v>2</v>
      </c>
      <c r="DO99" s="63">
        <f>IF(AND(DO96=2,DO97=11),2,IF(DO96&lt;=0,0,IF(WEEKDAY(DO$6,1)=1,0,MAX(0,DO97-10)*DO96))+((IF(DO96&lt;=0,0,IF(WEEKDAY(DO$6,1)=1,0,MIN(10,DO97)*DO96)))-MIN(IF(DO96&lt;=0,0,IF(WEEKDAY(DO$6,1)=1,0,MIN(10,DO97)*DO96)),MAX(0,40*MAX(1,DO96)-(DL98+DM98+DN98)))))</f>
        <v>2</v>
      </c>
      <c r="DP99" s="63">
        <f>IF(AND(DP96=2,DP97=11),22,IF(DP96&lt;=0,0,IF(WEEKDAY(DP$6,1)=1,0,MAX(0,DP97-10)*DP96))+((IF(DP96&lt;=0,0,IF(WEEKDAY(DP$6,1)=1,0,MIN(10,DP97)*DP96)))-MIN(IF(DP96&lt;=0,0,IF(WEEKDAY(DP$6,1)=1,0,MIN(10,DP97)*DP96)),MAX(0,40*MAX(1,DP96)-(DL98+DM98+DN98+DO98)))))</f>
        <v>22</v>
      </c>
      <c r="DQ99" s="64">
        <f>IF(AND(DQ96=2,DQ97=11),22,IF(DQ96&lt;=0,0,IF(WEEKDAY(DQ$6,1)=1,0,MAX(0,DQ97-10)*DQ96))+((IF(DQ96&lt;=0,0,IF(WEEKDAY(DQ$6,1)=1,0,MIN(10,DQ97)*DQ96)))-MIN(IF(DQ96&lt;=0,0,IF(WEEKDAY(DQ$6,1)=1,0,MIN(10,DQ97)*DQ96)),MAX(0,40*MAX(1,DQ96)-(DL98+DM98+DN98+DO98+DP98)))))</f>
        <v>22</v>
      </c>
      <c r="DR99" s="64">
        <f>IF(AND(DR96=2,DR97=11),0,IF(DR96&lt;=0,0,IF(WEEKDAY(DR$6,1)=1,0,MAX(0,DR97-10)*DR96))+((IF(DR96&lt;=0,0,IF(WEEKDAY(DR$6,1)=1,0,MIN(10,DR97)*DR96)))-MIN(IF(DR96&lt;=0,0,IF(WEEKDAY(DR$6,1)=1,0,MIN(10,DR97)*DR96)),MAX(0,40*MAX(1,DR96)-(DL98+DM98+DN98+DO98+DP98+DQ98)))))</f>
        <v>0</v>
      </c>
      <c r="DS99" s="63">
        <f>IF(AND(DS96=2,DS97=11),2,IF(DS96&lt;=0,0,IF(WEEKDAY(DS$6,1)=1,0,MAX(0,DS97-10)*DS96))+((IF(DS96&lt;=0,0,IF(WEEKDAY(DS$6,1)=1,0,MIN(10,DS97)*DS96)))-MIN(IF(DS96&lt;=0,0,IF(WEEKDAY(DS$6,1)=1,0,MIN(10,DS97)*DS96)),MAX(0,40*MAX(1,DS96)-(0)))))</f>
        <v>2</v>
      </c>
      <c r="DT99" s="63">
        <f>IF(AND(DT96=2,DT97=8),0,IF(DT96&lt;=0,0,IF(WEEKDAY(DT$6,1)=1,0,MAX(0,DT97-8)*DT96))+((IF(DT96&lt;=0,0,IF(WEEKDAY(DT$6,1)=1,0,MIN(8,DT97)*DT96)))-MIN(IF(DT96&lt;=0,0,IF(WEEKDAY(DT$6,1)=1,0,MIN(8,DT97)*DT96)),MAX(0,40*MAX(1,DT96)-(0)))))</f>
        <v>0</v>
      </c>
      <c r="DU99" s="63">
        <f>IF(AND(DU96=1,DU97=8),0,IF(DU96&lt;=0,0,IF(WEEKDAY(DU$6,1)=1,0,MAX(0,DU97-8)*DU96))+((IF(DU96&lt;=0,0,IF(WEEKDAY(DU$6,1)=1,0,MIN(8,DU97)*DU96)))-MIN(IF(DU96&lt;=0,0,IF(WEEKDAY(DU$6,1)=1,0,MIN(8,DU97)*DU96)),MAX(0,40*MAX(1,DU96)-(DT98)))))</f>
        <v>0</v>
      </c>
      <c r="DV99" s="63">
        <f>IF(AND(DV96=1,DV97=8),0,IF(DV96&lt;=0,0,IF(WEEKDAY(DV$6,1)=1,0,MAX(0,DV97-8)*DV96))+((IF(DV96&lt;=0,0,IF(WEEKDAY(DV$6,1)=1,0,MIN(8,DV97)*DV96)))-MIN(IF(DV96&lt;=0,0,IF(WEEKDAY(DV$6,1)=1,0,MIN(8,DV97)*DV96)),MAX(0,40*MAX(1,DV96)-(DT98+DU98)))))</f>
        <v>0</v>
      </c>
      <c r="DW99" s="63">
        <f>IF(AND(DW96=1,DW97=8),0,IF(DW96&lt;=0,0,IF(WEEKDAY(DW$6,1)=1,0,MAX(0,DW97-8)*DW96))+((IF(DW96&lt;=0,0,IF(WEEKDAY(DW$6,1)=1,0,MIN(8,DW97)*DW96)))-MIN(IF(DW96&lt;=0,0,IF(WEEKDAY(DW$6,1)=1,0,MIN(8,DW97)*DW96)),MAX(0,40*MAX(1,DW96)-(DT98+DU98+DV98)))))</f>
        <v>0</v>
      </c>
      <c r="DX99" s="64">
        <f>IF(AND(DX96=0,DX97=0),0,IF(DX96&lt;=0,0,IF(WEEKDAY(DX$6,1)=1,0,MAX(0,DX97-10)*DX96))+((IF(DX96&lt;=0,0,IF(WEEKDAY(DX$6,1)=1,0,MIN(10,DX97)*DX96)))-MIN(IF(DX96&lt;=0,0,IF(WEEKDAY(DX$6,1)=1,0,MIN(10,DX97)*DX96)),MAX(0,40*MAX(1,DX96)-(0)))))</f>
        <v>0</v>
      </c>
      <c r="DY99" s="64">
        <f>IF(AND(DY96=0,DY97=0),0,IF(DY96&lt;=0,0,IF(WEEKDAY(DY$6,1)=1,0,MAX(0,DY97-10)*DY96))+((IF(DY96&lt;=0,0,IF(WEEKDAY(DY$6,1)=1,0,MIN(10,DY97)*DY96)))-MIN(IF(DY96&lt;=0,0,IF(WEEKDAY(DY$6,1)=1,0,MIN(10,DY97)*DY96)),MAX(0,40*MAX(1,DY96)-(DX98)))))</f>
        <v>0</v>
      </c>
      <c r="DZ99" s="63">
        <f>IF(AND(DZ96=1,DZ97=8),0,IF(DZ96&lt;=0,0,IF(WEEKDAY(DZ$6,1)=1,0,MAX(0,DZ97-8)*DZ96))+((IF(DZ96&lt;=0,0,IF(WEEKDAY(DZ$6,1)=1,0,MIN(8,DZ97)*DZ96)))-MIN(IF(DZ96&lt;=0,0,IF(WEEKDAY(DZ$6,1)=1,0,MIN(8,DZ97)*DZ96)),MAX(0,40*MAX(1,DZ96)-(0)))))</f>
        <v>0</v>
      </c>
      <c r="EA99" s="63">
        <f>IF(AND(EA96=1,EA97=8),0,IF(EA96&lt;=0,0,IF(WEEKDAY(EA$6,1)=1,0,MAX(0,EA97-8)*EA96))+((IF(EA96&lt;=0,0,IF(WEEKDAY(EA$6,1)=1,0,MIN(8,EA97)*EA96)))-MIN(IF(EA96&lt;=0,0,IF(WEEKDAY(EA$6,1)=1,0,MIN(8,EA97)*EA96)),MAX(0,40*MAX(1,EA96)-(DZ98)))))</f>
        <v>0</v>
      </c>
      <c r="EB99" s="63">
        <f>IF(AND(EB96=1,EB97=8),0,IF(EB96&lt;=0,0,IF(WEEKDAY(EB$6,1)=1,0,MAX(0,EB97-8)*EB96))+((IF(EB96&lt;=0,0,IF(WEEKDAY(EB$6,1)=1,0,MIN(8,EB97)*EB96)))-MIN(IF(EB96&lt;=0,0,IF(WEEKDAY(EB$6,1)=1,0,MIN(8,EB97)*EB96)),MAX(0,40*MAX(1,EB96)-(DZ98+EA98)))))</f>
        <v>0</v>
      </c>
      <c r="EC99" s="63">
        <f>IF(AND(EC96=1,EC97=8),0,IF(EC96&lt;=0,0,IF(WEEKDAY(EC$6,1)=1,0,MAX(0,EC97-8)*EC96))+((IF(EC96&lt;=0,0,IF(WEEKDAY(EC$6,1)=1,0,MIN(8,EC97)*EC96)))-MIN(IF(EC96&lt;=0,0,IF(WEEKDAY(EC$6,1)=1,0,MIN(8,EC97)*EC96)),MAX(0,40*MAX(1,EC96)-(DZ98+EA98+EB98)))))</f>
        <v>0</v>
      </c>
      <c r="ED99" s="63">
        <f>IF(AND(ED96=1,ED97=8),0,IF(ED96&lt;=0,0,IF(WEEKDAY(ED$6,1)=1,0,MAX(0,ED97-8)*ED96))+((IF(ED96&lt;=0,0,IF(WEEKDAY(ED$6,1)=1,0,MIN(8,ED97)*ED96)))-MIN(IF(ED96&lt;=0,0,IF(WEEKDAY(ED$6,1)=1,0,MIN(8,ED97)*ED96)),MAX(0,40*MAX(1,ED96)-(DZ98+EA98+EB98+EC98)))))</f>
        <v>0</v>
      </c>
      <c r="EE99" s="64">
        <f>IF(AND(EE96=0,EE97=0),0,IF(EE96&lt;=0,0,IF(WEEKDAY(EE$6,1)=1,0,MAX(0,EE97-10)*EE96))+((IF(EE96&lt;=0,0,IF(WEEKDAY(EE$6,1)=1,0,MIN(10,EE97)*EE96)))-MIN(IF(EE96&lt;=0,0,IF(WEEKDAY(EE$6,1)=1,0,MIN(10,EE97)*EE96)),MAX(0,40*MAX(1,EE96)-(0)))))</f>
        <v>0</v>
      </c>
      <c r="EF99" s="64">
        <f>IF(AND(EF96=0,EF97=0),0,IF(EF96&lt;=0,0,IF(WEEKDAY(EF$6,1)=1,0,MAX(0,EF97-10)*EF96))+((IF(EF96&lt;=0,0,IF(WEEKDAY(EF$6,1)=1,0,MIN(10,EF97)*EF96)))-MIN(IF(EF96&lt;=0,0,IF(WEEKDAY(EF$6,1)=1,0,MIN(10,EF97)*EF96)),MAX(0,40*MAX(1,EF96)-(EE98)))))</f>
        <v>0</v>
      </c>
      <c r="EG99" s="63">
        <f>IF(AND(EG96=1,EG97=8),0,IF(EG96&lt;=0,0,IF(WEEKDAY(EG$6,1)=1,0,MAX(0,EG97-8)*EG96))+((IF(EG96&lt;=0,0,IF(WEEKDAY(EG$6,1)=1,0,MIN(8,EG97)*EG96)))-MIN(IF(EG96&lt;=0,0,IF(WEEKDAY(EG$6,1)=1,0,MIN(8,EG97)*EG96)),MAX(0,40*MAX(1,EG96)-(0)))))</f>
        <v>0</v>
      </c>
      <c r="EH99" s="63">
        <f>IF(AND(EH96=1,EH97=8),0,IF(EH96&lt;=0,0,IF(WEEKDAY(EH$6,1)=1,0,MAX(0,EH97-8)*EH96))+((IF(EH96&lt;=0,0,IF(WEEKDAY(EH$6,1)=1,0,MIN(8,EH97)*EH96)))-MIN(IF(EH96&lt;=0,0,IF(WEEKDAY(EH$6,1)=1,0,MIN(8,EH97)*EH96)),MAX(0,40*MAX(1,EH96)-(EG98)))))</f>
        <v>0</v>
      </c>
      <c r="EI99" s="63">
        <f>IF(AND(EI96=1,EI97=8),0,IF(EI96&lt;=0,0,IF(WEEKDAY(EI$6,1)=1,0,MAX(0,EI97-8)*EI96))+((IF(EI96&lt;=0,0,IF(WEEKDAY(EI$6,1)=1,0,MIN(8,EI97)*EI96)))-MIN(IF(EI96&lt;=0,0,IF(WEEKDAY(EI$6,1)=1,0,MIN(8,EI97)*EI96)),MAX(0,40*MAX(1,EI96)-(EG98+EH98)))))</f>
        <v>0</v>
      </c>
      <c r="EJ99" s="63">
        <f>IF(AND(EJ96=1,EJ97=8),0,IF(EJ96&lt;=0,0,IF(WEEKDAY(EJ$6,1)=1,0,MAX(0,EJ97-8)*EJ96))+((IF(EJ96&lt;=0,0,IF(WEEKDAY(EJ$6,1)=1,0,MIN(8,EJ97)*EJ96)))-MIN(IF(EJ96&lt;=0,0,IF(WEEKDAY(EJ$6,1)=1,0,MIN(8,EJ97)*EJ96)),MAX(0,40*MAX(1,EJ96)-(EG98+EH98+EI98)))))</f>
        <v>0</v>
      </c>
      <c r="EK99" s="65">
        <f>IF(AND(EK96=1,EK97=8),0,IF(EK96&lt;=0,0,IF(WEEKDAY(EK$6,1)=1,0,MAX(0,EK97-8)*EK96))+((IF(EK96&lt;=0,0,IF(WEEKDAY(EK$6,1)=1,0,MIN(8,EK97)*EK96)))-MIN(IF(EK96&lt;=0,0,IF(WEEKDAY(EK$6,1)=1,0,MIN(8,EK97)*EK96)),MAX(0,40*MAX(1,EK96)-(EG98+EH98+EI98+EJ98)))))</f>
        <v>0</v>
      </c>
      <c r="OU99" s="28" t="s">
        <v>84</v>
      </c>
    </row>
    <row r="100" ht="16" customHeight="1" spans="1:411" x14ac:dyDescent="0.25">
      <c r="A100" s="45"/>
      <c r="B100" s="46"/>
      <c r="C100" s="61">
        <f>H95*N(D100)</f>
        <v>30371.219999999998</v>
      </c>
      <c r="D100" s="61">
        <f>IF(TRIM(B95)="","No rate",IFERROR(INDEX('Rate Tables'!E$7:E$158,MATCH(B95,'Rate Tables'!A$7:A$158,0)),"No rate"))</f>
        <v>153.39</v>
      </c>
      <c r="E100" s="55" t="s">
        <v>64</v>
      </c>
      <c r="F100" s="49"/>
      <c r="G100" s="49"/>
      <c r="H100" s="49"/>
      <c r="I100" s="49"/>
      <c r="J100" s="50"/>
      <c r="K100" s="62">
        <f>IF(AND(K96=1,K97=8.5),0,IF(K96&lt;=0,0,IF(WEEKDAY(K$6,1)=1,K96*K97,0)))</f>
        <v>0</v>
      </c>
      <c r="L100" s="63">
        <f>IF(AND(L96=1,L97=8.5),0,IF(L96&lt;=0,0,IF(WEEKDAY(L$6,1)=1,L96*L97,0)))</f>
        <v>0</v>
      </c>
      <c r="M100" s="63">
        <f>IF(AND(M96=1,M97=8.5),0,IF(M96&lt;=0,0,IF(WEEKDAY(M$6,1)=1,M96*M97,0)))</f>
        <v>0</v>
      </c>
      <c r="N100" s="63">
        <f>IF(AND(N96=1,N97=8.5),0,IF(N96&lt;=0,0,IF(WEEKDAY(N$6,1)=1,N96*N97,0)))</f>
        <v>0</v>
      </c>
      <c r="O100" s="63">
        <f>IF(AND(O96=1,O97=8.5),0,IF(O96&lt;=0,0,IF(WEEKDAY(O$6,1)=1,O96*O97,0)))</f>
        <v>0</v>
      </c>
      <c r="P100" s="64">
        <f>IF(AND(P96=0,P97=0),0,IF(P96&lt;=0,0,IF(WEEKDAY(P$6,1)=1,P96*P97,0)))</f>
        <v>0</v>
      </c>
      <c r="Q100" s="64">
        <f>IF(AND(Q96=0,Q97=0),0,IF(Q96&lt;=0,0,IF(WEEKDAY(Q$6,1)=1,Q96*Q97,0)))</f>
        <v>0</v>
      </c>
      <c r="R100" s="63">
        <f>IF(AND(R96=1,R97=8.5),0,IF(R96&lt;=0,0,IF(WEEKDAY(R$6,1)=1,R96*R97,0)))</f>
        <v>0</v>
      </c>
      <c r="S100" s="63">
        <f>IF(AND(S96=1,S97=8.5),0,IF(S96&lt;=0,0,IF(WEEKDAY(S$6,1)=1,S96*S97,0)))</f>
        <v>0</v>
      </c>
      <c r="T100" s="63">
        <f>IF(AND(T96=1,T97=8.5),0,IF(T96&lt;=0,0,IF(WEEKDAY(T$6,1)=1,T96*T97,0)))</f>
        <v>0</v>
      </c>
      <c r="U100" s="63">
        <f>IF(AND(U96=1,U97=8.5),0,IF(U96&lt;=0,0,IF(WEEKDAY(U$6,1)=1,U96*U97,0)))</f>
        <v>0</v>
      </c>
      <c r="V100" s="63">
        <f>IF(AND(V96=1,V97=8.5),0,IF(V96&lt;=0,0,IF(WEEKDAY(V$6,1)=1,V96*V97,0)))</f>
        <v>0</v>
      </c>
      <c r="W100" s="64">
        <f>IF(AND(W96=0,W97=0),0,IF(W96&lt;=0,0,IF(WEEKDAY(W$6,1)=1,W96*W97,0)))</f>
        <v>0</v>
      </c>
      <c r="X100" s="64">
        <f>IF(AND(X96=0,X97=0),0,IF(X96&lt;=0,0,IF(WEEKDAY(X$6,1)=1,X96*X97,0)))</f>
        <v>0</v>
      </c>
      <c r="Y100" s="63">
        <f>IF(AND(Y96=1,Y97=8.5),0,IF(Y96&lt;=0,0,IF(WEEKDAY(Y$6,1)=1,Y96*Y97,0)))</f>
        <v>0</v>
      </c>
      <c r="Z100" s="63">
        <f>IF(AND(Z96=1,Z97=8.5),0,IF(Z96&lt;=0,0,IF(WEEKDAY(Z$6,1)=1,Z96*Z97,0)))</f>
        <v>0</v>
      </c>
      <c r="AA100" s="63">
        <f>IF(AND(AA96=1,AA97=8.5),0,IF(AA96&lt;=0,0,IF(WEEKDAY(AA$6,1)=1,AA96*AA97,0)))</f>
        <v>0</v>
      </c>
      <c r="AB100" s="63">
        <f>IF(AND(AB96=1,AB97=8.5),0,IF(AB96&lt;=0,0,IF(WEEKDAY(AB$6,1)=1,AB96*AB97,0)))</f>
        <v>0</v>
      </c>
      <c r="AC100" s="63">
        <f>IF(AND(AC96=1,AC97=8.5),0,IF(AC96&lt;=0,0,IF(WEEKDAY(AC$6,1)=1,AC96*AC97,0)))</f>
        <v>0</v>
      </c>
      <c r="AD100" s="64">
        <f>IF(AND(AD96=0,AD97=0),0,IF(AD96&lt;=0,0,IF(WEEKDAY(AD$6,1)=1,AD96*AD97,0)))</f>
        <v>0</v>
      </c>
      <c r="AE100" s="64">
        <f>IF(AND(AE96=0,AE97=0),0,IF(AE96&lt;=0,0,IF(WEEKDAY(AE$6,1)=1,AE96*AE97,0)))</f>
        <v>0</v>
      </c>
      <c r="AF100" s="63">
        <f>IF(AND(AF96=2,AF97=8.5),0,IF(AF96&lt;=0,0,IF(WEEKDAY(AF$6,1)=1,AF96*AF97,0)))</f>
        <v>0</v>
      </c>
      <c r="AG100" s="63">
        <f>IF(AND(AG96=2,AG97=8.5),0,IF(AG96&lt;=0,0,IF(WEEKDAY(AG$6,1)=1,AG96*AG97,0)))</f>
        <v>0</v>
      </c>
      <c r="AH100" s="63">
        <f>IF(AND(AH96=2,AH97=8.5),0,IF(AH96&lt;=0,0,IF(WEEKDAY(AH$6,1)=1,AH96*AH97,0)))</f>
        <v>0</v>
      </c>
      <c r="AI100" s="63">
        <f>IF(AND(AI96=2,AI97=8.5),0,IF(AI96&lt;=0,0,IF(WEEKDAY(AI$6,1)=1,AI96*AI97,0)))</f>
        <v>0</v>
      </c>
      <c r="AJ100" s="63">
        <f>IF(AND(AJ96=2,AJ97=8.5),0,IF(AJ96&lt;=0,0,IF(WEEKDAY(AJ$6,1)=1,AJ96*AJ97,0)))</f>
        <v>0</v>
      </c>
      <c r="AK100" s="64">
        <f>IF(AND(AK96=0,AK97=0),0,IF(AK96&lt;=0,0,IF(WEEKDAY(AK$6,1)=1,AK96*AK97,0)))</f>
        <v>0</v>
      </c>
      <c r="AL100" s="64">
        <f>IF(AND(AL96=0,AL97=0),0,IF(AL96&lt;=0,0,IF(WEEKDAY(AL$6,1)=1,AL96*AL97,0)))</f>
        <v>0</v>
      </c>
      <c r="AM100" s="63">
        <f>IF(AND(AM96=2,AM97=8.5),0,IF(AM96&lt;=0,0,IF(WEEKDAY(AM$6,1)=1,AM96*AM97,0)))</f>
        <v>0</v>
      </c>
      <c r="AN100" s="63">
        <f>IF(AND(AN96=2,AN97=8.5),0,IF(AN96&lt;=0,0,IF(WEEKDAY(AN$6,1)=1,AN96*AN97,0)))</f>
        <v>0</v>
      </c>
      <c r="AO100" s="63">
        <f>IF(AND(AO96=2,AO97=8.5),0,IF(AO96&lt;=0,0,IF(WEEKDAY(AO$6,1)=1,AO96*AO97,0)))</f>
        <v>0</v>
      </c>
      <c r="AP100" s="63">
        <f>IF(AND(AP96=2,AP97=8.5),0,IF(AP96&lt;=0,0,IF(WEEKDAY(AP$6,1)=1,AP96*AP97,0)))</f>
        <v>0</v>
      </c>
      <c r="AQ100" s="63">
        <f>IF(AND(AQ96=2,AQ97=8.5),0,IF(AQ96&lt;=0,0,IF(WEEKDAY(AQ$6,1)=1,AQ96*AQ97,0)))</f>
        <v>0</v>
      </c>
      <c r="AR100" s="64">
        <f>IF(AND(AR96=0,AR97=0),0,IF(AR96&lt;=0,0,IF(WEEKDAY(AR$6,1)=1,AR96*AR97,0)))</f>
        <v>0</v>
      </c>
      <c r="AS100" s="64">
        <f>IF(AND(AS96=0,AS97=0),0,IF(AS96&lt;=0,0,IF(WEEKDAY(AS$6,1)=1,AS96*AS97,0)))</f>
        <v>0</v>
      </c>
      <c r="AT100" s="63">
        <f>IF(AND(AT96=2,AT97=8.5),0,IF(AT96&lt;=0,0,IF(WEEKDAY(AT$6,1)=1,AT96*AT97,0)))</f>
        <v>0</v>
      </c>
      <c r="AU100" s="63">
        <f>IF(AND(AU96=2,AU97=8.5),0,IF(AU96&lt;=0,0,IF(WEEKDAY(AU$6,1)=1,AU96*AU97,0)))</f>
        <v>0</v>
      </c>
      <c r="AV100" s="63">
        <f>IF(AND(AV96=2,AV97=8.5),0,IF(AV96&lt;=0,0,IF(WEEKDAY(AV$6,1)=1,AV96*AV97,0)))</f>
        <v>0</v>
      </c>
      <c r="AW100" s="63">
        <f>IF(AND(AW96=2,AW97=8.5),0,IF(AW96&lt;=0,0,IF(WEEKDAY(AW$6,1)=1,AW96*AW97,0)))</f>
        <v>0</v>
      </c>
      <c r="AX100" s="63">
        <f>IF(AND(AX96=2,AX97=8.5),0,IF(AX96&lt;=0,0,IF(WEEKDAY(AX$6,1)=1,AX96*AX97,0)))</f>
        <v>0</v>
      </c>
      <c r="AY100" s="64">
        <f>IF(AND(AY96=0,AY97=0),0,IF(AY96&lt;=0,0,IF(WEEKDAY(AY$6,1)=1,AY96*AY97,0)))</f>
        <v>0</v>
      </c>
      <c r="AZ100" s="64">
        <f>IF(AND(AZ96=0,AZ97=0),0,IF(AZ96&lt;=0,0,IF(WEEKDAY(AZ$6,1)=1,AZ96*AZ97,0)))</f>
        <v>0</v>
      </c>
      <c r="BA100" s="63">
        <f>IF(AND(BA96=2,BA97=8.5),0,IF(BA96&lt;=0,0,IF(WEEKDAY(BA$6,1)=1,BA96*BA97,0)))</f>
        <v>0</v>
      </c>
      <c r="BB100" s="63">
        <f>IF(AND(BB96=2,BB97=8.5),0,IF(BB96&lt;=0,0,IF(WEEKDAY(BB$6,1)=1,BB96*BB97,0)))</f>
        <v>0</v>
      </c>
      <c r="BC100" s="63">
        <f>IF(AND(BC96=2,BC97=8.5),0,IF(BC96&lt;=0,0,IF(WEEKDAY(BC$6,1)=1,BC96*BC97,0)))</f>
        <v>0</v>
      </c>
      <c r="BD100" s="63">
        <f>IF(AND(BD96=2,BD97=8.5),0,IF(BD96&lt;=0,0,IF(WEEKDAY(BD$6,1)=1,BD96*BD97,0)))</f>
        <v>0</v>
      </c>
      <c r="BE100" s="63">
        <f>IF(AND(BE96=2,BE97=8.5),0,IF(BE96&lt;=0,0,IF(WEEKDAY(BE$6,1)=1,BE96*BE97,0)))</f>
        <v>0</v>
      </c>
      <c r="BF100" s="64">
        <f>IF(AND(BF96=0,BF97=0),0,IF(BF96&lt;=0,0,IF(WEEKDAY(BF$6,1)=1,BF96*BF97,0)))</f>
        <v>0</v>
      </c>
      <c r="BG100" s="64">
        <f>IF(AND(BG96=0,BG97=0),0,IF(BG96&lt;=0,0,IF(WEEKDAY(BG$6,1)=1,BG96*BG97,0)))</f>
        <v>0</v>
      </c>
      <c r="BH100" s="63">
        <f>IF(AND(BH96=2,BH97=11),0,IF(BH96&lt;=0,0,IF(WEEKDAY(BH$6,1)=1,BH96*BH97,0)))</f>
        <v>0</v>
      </c>
      <c r="BI100" s="63">
        <f>IF(AND(BI96=2,BI97=11),0,IF(BI96&lt;=0,0,IF(WEEKDAY(BI$6,1)=1,BI96*BI97,0)))</f>
        <v>0</v>
      </c>
      <c r="BJ100" s="63">
        <f>IF(AND(BJ96=2,BJ97=11),0,IF(BJ96&lt;=0,0,IF(WEEKDAY(BJ$6,1)=1,BJ96*BJ97,0)))</f>
        <v>0</v>
      </c>
      <c r="BK100" s="63">
        <f>IF(AND(BK96=2,BK97=11),0,IF(BK96&lt;=0,0,IF(WEEKDAY(BK$6,1)=1,BK96*BK97,0)))</f>
        <v>0</v>
      </c>
      <c r="BL100" s="63">
        <f>IF(AND(BL96=2,BL97=11),0,IF(BL96&lt;=0,0,IF(WEEKDAY(BL$6,1)=1,BL96*BL97,0)))</f>
        <v>0</v>
      </c>
      <c r="BM100" s="64">
        <f>IF(AND(BM96=2,BM97=11),0,IF(BM96&lt;=0,0,IF(WEEKDAY(BM$6,1)=1,BM96*BM97,0)))</f>
        <v>0</v>
      </c>
      <c r="BN100" s="64">
        <f>IF(AND(BN96=2,BN97=11),22,IF(BN96&lt;=0,0,IF(WEEKDAY(BN$6,1)=1,BN96*BN97,0)))</f>
        <v>22</v>
      </c>
      <c r="BO100" s="63">
        <f>IF(AND(BO96=2,BO97=11),0,IF(BO96&lt;=0,0,IF(WEEKDAY(BO$6,1)=1,BO96*BO97,0)))</f>
        <v>0</v>
      </c>
      <c r="BP100" s="63">
        <f>IF(AND(BP96=2,BP97=11),0,IF(BP96&lt;=0,0,IF(WEEKDAY(BP$6,1)=1,BP96*BP97,0)))</f>
        <v>0</v>
      </c>
      <c r="BQ100" s="63">
        <f>IF(AND(BQ96=2,BQ97=11),0,IF(BQ96&lt;=0,0,IF(WEEKDAY(BQ$6,1)=1,BQ96*BQ97,0)))</f>
        <v>0</v>
      </c>
      <c r="BR100" s="63">
        <f>IF(AND(BR96=2,BR97=11),0,IF(BR96&lt;=0,0,IF(WEEKDAY(BR$6,1)=1,BR96*BR97,0)))</f>
        <v>0</v>
      </c>
      <c r="BS100" s="63">
        <f>IF(AND(BS96=2,BS97=11),0,IF(BS96&lt;=0,0,IF(WEEKDAY(BS$6,1)=1,BS96*BS97,0)))</f>
        <v>0</v>
      </c>
      <c r="BT100" s="64">
        <f>IF(AND(BT96=2,BT97=11),0,IF(BT96&lt;=0,0,IF(WEEKDAY(BT$6,1)=1,BT96*BT97,0)))</f>
        <v>0</v>
      </c>
      <c r="BU100" s="64">
        <f>IF(AND(BU96=2,BU97=11),22,IF(BU96&lt;=0,0,IF(WEEKDAY(BU$6,1)=1,BU96*BU97,0)))</f>
        <v>22</v>
      </c>
      <c r="BV100" s="63">
        <f>IF(AND(BV96=2,BV97=11),0,IF(BV96&lt;=0,0,IF(WEEKDAY(BV$6,1)=1,BV96*BV97,0)))</f>
        <v>0</v>
      </c>
      <c r="BW100" s="63">
        <f>IF(AND(BW96=2,BW97=11),0,IF(BW96&lt;=0,0,IF(WEEKDAY(BW$6,1)=1,BW96*BW97,0)))</f>
        <v>0</v>
      </c>
      <c r="BX100" s="63">
        <f>IF(AND(BX96=2,BX97=11),0,IF(BX96&lt;=0,0,IF(WEEKDAY(BX$6,1)=1,BX96*BX97,0)))</f>
        <v>0</v>
      </c>
      <c r="BY100" s="63">
        <f>IF(AND(BY96=2,BY97=11),0,IF(BY96&lt;=0,0,IF(WEEKDAY(BY$6,1)=1,BY96*BY97,0)))</f>
        <v>0</v>
      </c>
      <c r="BZ100" s="63">
        <f>IF(AND(BZ96=2,BZ97=11),0,IF(BZ96&lt;=0,0,IF(WEEKDAY(BZ$6,1)=1,BZ96*BZ97,0)))</f>
        <v>0</v>
      </c>
      <c r="CA100" s="64">
        <f>IF(AND(CA96=2,CA97=11),0,IF(CA96&lt;=0,0,IF(WEEKDAY(CA$6,1)=1,CA96*CA97,0)))</f>
        <v>0</v>
      </c>
      <c r="CB100" s="64">
        <f>IF(AND(CB96=2,CB97=11),22,IF(CB96&lt;=0,0,IF(WEEKDAY(CB$6,1)=1,CB96*CB97,0)))</f>
        <v>22</v>
      </c>
      <c r="CC100" s="63">
        <f>IF(AND(CC96=2,CC97=11),0,IF(CC96&lt;=0,0,IF(WEEKDAY(CC$6,1)=1,CC96*CC97,0)))</f>
        <v>0</v>
      </c>
      <c r="CD100" s="63">
        <f>IF(AND(CD96=2,CD97=11),0,IF(CD96&lt;=0,0,IF(WEEKDAY(CD$6,1)=1,CD96*CD97,0)))</f>
        <v>0</v>
      </c>
      <c r="CE100" s="63">
        <f>IF(AND(CE96=2,CE97=11),0,IF(CE96&lt;=0,0,IF(WEEKDAY(CE$6,1)=1,CE96*CE97,0)))</f>
        <v>0</v>
      </c>
      <c r="CF100" s="63">
        <f>IF(AND(CF96=2,CF97=11),0,IF(CF96&lt;=0,0,IF(WEEKDAY(CF$6,1)=1,CF96*CF97,0)))</f>
        <v>0</v>
      </c>
      <c r="CG100" s="63">
        <f>IF(AND(CG96=2,CG97=11),0,IF(CG96&lt;=0,0,IF(WEEKDAY(CG$6,1)=1,CG96*CG97,0)))</f>
        <v>0</v>
      </c>
      <c r="CH100" s="64">
        <f>IF(AND(CH96=2,CH97=11),0,IF(CH96&lt;=0,0,IF(WEEKDAY(CH$6,1)=1,CH96*CH97,0)))</f>
        <v>0</v>
      </c>
      <c r="CI100" s="64">
        <f>IF(AND(CI96=2,CI97=11),22,IF(CI96&lt;=0,0,IF(WEEKDAY(CI$6,1)=1,CI96*CI97,0)))</f>
        <v>22</v>
      </c>
      <c r="CJ100" s="63">
        <f>IF(AND(CJ96=2,CJ97=11),0,IF(CJ96&lt;=0,0,IF(WEEKDAY(CJ$6,1)=1,CJ96*CJ97,0)))</f>
        <v>0</v>
      </c>
      <c r="CK100" s="63">
        <f>IF(AND(CK96=2,CK97=11),0,IF(CK96&lt;=0,0,IF(WEEKDAY(CK$6,1)=1,CK96*CK97,0)))</f>
        <v>0</v>
      </c>
      <c r="CL100" s="63">
        <f>IF(AND(CL96=2,CL97=11),0,IF(CL96&lt;=0,0,IF(WEEKDAY(CL$6,1)=1,CL96*CL97,0)))</f>
        <v>0</v>
      </c>
      <c r="CM100" s="63">
        <f>IF(AND(CM96=2,CM97=11),0,IF(CM96&lt;=0,0,IF(WEEKDAY(CM$6,1)=1,CM96*CM97,0)))</f>
        <v>0</v>
      </c>
      <c r="CN100" s="63">
        <f>IF(AND(CN96=2,CN97=11),0,IF(CN96&lt;=0,0,IF(WEEKDAY(CN$6,1)=1,CN96*CN97,0)))</f>
        <v>0</v>
      </c>
      <c r="CO100" s="64">
        <f>IF(AND(CO96=2,CO97=11),0,IF(CO96&lt;=0,0,IF(WEEKDAY(CO$6,1)=1,CO96*CO97,0)))</f>
        <v>0</v>
      </c>
      <c r="CP100" s="64">
        <f>IF(AND(CP96=2,CP97=11),22,IF(CP96&lt;=0,0,IF(WEEKDAY(CP$6,1)=1,CP96*CP97,0)))</f>
        <v>22</v>
      </c>
      <c r="CQ100" s="63">
        <f>IF(AND(CQ96=2,CQ97=11),0,IF(CQ96&lt;=0,0,IF(WEEKDAY(CQ$6,1)=1,CQ96*CQ97,0)))</f>
        <v>0</v>
      </c>
      <c r="CR100" s="63">
        <f>IF(AND(CR96=2,CR97=11),0,IF(CR96&lt;=0,0,IF(WEEKDAY(CR$6,1)=1,CR96*CR97,0)))</f>
        <v>0</v>
      </c>
      <c r="CS100" s="63">
        <f>IF(AND(CS96=2,CS97=11),0,IF(CS96&lt;=0,0,IF(WEEKDAY(CS$6,1)=1,CS96*CS97,0)))</f>
        <v>0</v>
      </c>
      <c r="CT100" s="63">
        <f>IF(AND(CT96=2,CT97=11),0,IF(CT96&lt;=0,0,IF(WEEKDAY(CT$6,1)=1,CT96*CT97,0)))</f>
        <v>0</v>
      </c>
      <c r="CU100" s="63">
        <f>IF(AND(CU96=2,CU97=11),0,IF(CU96&lt;=0,0,IF(WEEKDAY(CU$6,1)=1,CU96*CU97,0)))</f>
        <v>0</v>
      </c>
      <c r="CV100" s="64">
        <f>IF(AND(CV96=2,CV97=11),0,IF(CV96&lt;=0,0,IF(WEEKDAY(CV$6,1)=1,CV96*CV97,0)))</f>
        <v>0</v>
      </c>
      <c r="CW100" s="64">
        <f>IF(AND(CW96=2,CW97=11),22,IF(CW96&lt;=0,0,IF(WEEKDAY(CW$6,1)=1,CW96*CW97,0)))</f>
        <v>22</v>
      </c>
      <c r="CX100" s="63">
        <f>IF(AND(CX96=2,CX97=11),0,IF(CX96&lt;=0,0,IF(WEEKDAY(CX$6,1)=1,CX96*CX97,0)))</f>
        <v>0</v>
      </c>
      <c r="CY100" s="63">
        <f>IF(AND(CY96=2,CY97=11),0,IF(CY96&lt;=0,0,IF(WEEKDAY(CY$6,1)=1,CY96*CY97,0)))</f>
        <v>0</v>
      </c>
      <c r="CZ100" s="63">
        <f>IF(AND(CZ96=2,CZ97=11),0,IF(CZ96&lt;=0,0,IF(WEEKDAY(CZ$6,1)=1,CZ96*CZ97,0)))</f>
        <v>0</v>
      </c>
      <c r="DA100" s="63">
        <f>IF(AND(DA96=2,DA97=11),0,IF(DA96&lt;=0,0,IF(WEEKDAY(DA$6,1)=1,DA96*DA97,0)))</f>
        <v>0</v>
      </c>
      <c r="DB100" s="63">
        <f>IF(AND(DB96=2,DB97=11),0,IF(DB96&lt;=0,0,IF(WEEKDAY(DB$6,1)=1,DB96*DB97,0)))</f>
        <v>0</v>
      </c>
      <c r="DC100" s="64">
        <f>IF(AND(DC96=2,DC97=11),0,IF(DC96&lt;=0,0,IF(WEEKDAY(DC$6,1)=1,DC96*DC97,0)))</f>
        <v>0</v>
      </c>
      <c r="DD100" s="64">
        <f>IF(AND(DD96=2,DD97=11),22,IF(DD96&lt;=0,0,IF(WEEKDAY(DD$6,1)=1,DD96*DD97,0)))</f>
        <v>22</v>
      </c>
      <c r="DE100" s="63">
        <f>IF(AND(DE96=2,DE97=11),0,IF(DE96&lt;=0,0,IF(WEEKDAY(DE$6,1)=1,DE96*DE97,0)))</f>
        <v>0</v>
      </c>
      <c r="DF100" s="63">
        <f>IF(AND(DF96=2,DF97=11),0,IF(DF96&lt;=0,0,IF(WEEKDAY(DF$6,1)=1,DF96*DF97,0)))</f>
        <v>0</v>
      </c>
      <c r="DG100" s="63">
        <f>IF(AND(DG96=2,DG97=11),0,IF(DG96&lt;=0,0,IF(WEEKDAY(DG$6,1)=1,DG96*DG97,0)))</f>
        <v>0</v>
      </c>
      <c r="DH100" s="63">
        <f>IF(AND(DH96=2,DH97=11),0,IF(DH96&lt;=0,0,IF(WEEKDAY(DH$6,1)=1,DH96*DH97,0)))</f>
        <v>0</v>
      </c>
      <c r="DI100" s="63">
        <f>IF(AND(DI96=2,DI97=11),0,IF(DI96&lt;=0,0,IF(WEEKDAY(DI$6,1)=1,DI96*DI97,0)))</f>
        <v>0</v>
      </c>
      <c r="DJ100" s="64">
        <f>IF(AND(DJ96=2,DJ97=11),0,IF(DJ96&lt;=0,0,IF(WEEKDAY(DJ$6,1)=1,DJ96*DJ97,0)))</f>
        <v>0</v>
      </c>
      <c r="DK100" s="64">
        <f>IF(AND(DK96=2,DK97=11),22,IF(DK96&lt;=0,0,IF(WEEKDAY(DK$6,1)=1,DK96*DK97,0)))</f>
        <v>22</v>
      </c>
      <c r="DL100" s="63">
        <f>IF(AND(DL96=2,DL97=11),0,IF(DL96&lt;=0,0,IF(WEEKDAY(DL$6,1)=1,DL96*DL97,0)))</f>
        <v>0</v>
      </c>
      <c r="DM100" s="63">
        <f>IF(AND(DM96=2,DM97=11),0,IF(DM96&lt;=0,0,IF(WEEKDAY(DM$6,1)=1,DM96*DM97,0)))</f>
        <v>0</v>
      </c>
      <c r="DN100" s="63">
        <f>IF(AND(DN96=2,DN97=11),0,IF(DN96&lt;=0,0,IF(WEEKDAY(DN$6,1)=1,DN96*DN97,0)))</f>
        <v>0</v>
      </c>
      <c r="DO100" s="63">
        <f>IF(AND(DO96=2,DO97=11),0,IF(DO96&lt;=0,0,IF(WEEKDAY(DO$6,1)=1,DO96*DO97,0)))</f>
        <v>0</v>
      </c>
      <c r="DP100" s="63">
        <f>IF(AND(DP96=2,DP97=11),0,IF(DP96&lt;=0,0,IF(WEEKDAY(DP$6,1)=1,DP96*DP97,0)))</f>
        <v>0</v>
      </c>
      <c r="DQ100" s="64">
        <f>IF(AND(DQ96=2,DQ97=11),0,IF(DQ96&lt;=0,0,IF(WEEKDAY(DQ$6,1)=1,DQ96*DQ97,0)))</f>
        <v>0</v>
      </c>
      <c r="DR100" s="64">
        <f>IF(AND(DR96=2,DR97=11),22,IF(DR96&lt;=0,0,IF(WEEKDAY(DR$6,1)=1,DR96*DR97,0)))</f>
        <v>22</v>
      </c>
      <c r="DS100" s="63">
        <f>IF(AND(DS96=2,DS97=11),0,IF(DS96&lt;=0,0,IF(WEEKDAY(DS$6,1)=1,DS96*DS97,0)))</f>
        <v>0</v>
      </c>
      <c r="DT100" s="63">
        <f>IF(AND(DT96=2,DT97=8),0,IF(DT96&lt;=0,0,IF(WEEKDAY(DT$6,1)=1,DT96*DT97,0)))</f>
        <v>0</v>
      </c>
      <c r="DU100" s="63">
        <f>IF(AND(DU96=1,DU97=8),0,IF(DU96&lt;=0,0,IF(WEEKDAY(DU$6,1)=1,DU96*DU97,0)))</f>
        <v>0</v>
      </c>
      <c r="DV100" s="63">
        <f>IF(AND(DV96=1,DV97=8),0,IF(DV96&lt;=0,0,IF(WEEKDAY(DV$6,1)=1,DV96*DV97,0)))</f>
        <v>0</v>
      </c>
      <c r="DW100" s="63">
        <f>IF(AND(DW96=1,DW97=8),0,IF(DW96&lt;=0,0,IF(WEEKDAY(DW$6,1)=1,DW96*DW97,0)))</f>
        <v>0</v>
      </c>
      <c r="DX100" s="64">
        <f>IF(AND(DX96=0,DX97=0),0,IF(DX96&lt;=0,0,IF(WEEKDAY(DX$6,1)=1,DX96*DX97,0)))</f>
        <v>0</v>
      </c>
      <c r="DY100" s="64">
        <f>IF(AND(DY96=0,DY97=0),0,IF(DY96&lt;=0,0,IF(WEEKDAY(DY$6,1)=1,DY96*DY97,0)))</f>
        <v>0</v>
      </c>
      <c r="DZ100" s="63">
        <f>IF(AND(DZ96=1,DZ97=8),0,IF(DZ96&lt;=0,0,IF(WEEKDAY(DZ$6,1)=1,DZ96*DZ97,0)))</f>
        <v>0</v>
      </c>
      <c r="EA100" s="63">
        <f>IF(AND(EA96=1,EA97=8),0,IF(EA96&lt;=0,0,IF(WEEKDAY(EA$6,1)=1,EA96*EA97,0)))</f>
        <v>0</v>
      </c>
      <c r="EB100" s="63">
        <f>IF(AND(EB96=1,EB97=8),0,IF(EB96&lt;=0,0,IF(WEEKDAY(EB$6,1)=1,EB96*EB97,0)))</f>
        <v>0</v>
      </c>
      <c r="EC100" s="63">
        <f>IF(AND(EC96=1,EC97=8),0,IF(EC96&lt;=0,0,IF(WEEKDAY(EC$6,1)=1,EC96*EC97,0)))</f>
        <v>0</v>
      </c>
      <c r="ED100" s="63">
        <f>IF(AND(ED96=1,ED97=8),0,IF(ED96&lt;=0,0,IF(WEEKDAY(ED$6,1)=1,ED96*ED97,0)))</f>
        <v>0</v>
      </c>
      <c r="EE100" s="64">
        <f>IF(AND(EE96=0,EE97=0),0,IF(EE96&lt;=0,0,IF(WEEKDAY(EE$6,1)=1,EE96*EE97,0)))</f>
        <v>0</v>
      </c>
      <c r="EF100" s="64">
        <f>IF(AND(EF96=0,EF97=0),0,IF(EF96&lt;=0,0,IF(WEEKDAY(EF$6,1)=1,EF96*EF97,0)))</f>
        <v>0</v>
      </c>
      <c r="EG100" s="63">
        <f>IF(AND(EG96=1,EG97=8),0,IF(EG96&lt;=0,0,IF(WEEKDAY(EG$6,1)=1,EG96*EG97,0)))</f>
        <v>0</v>
      </c>
      <c r="EH100" s="63">
        <f>IF(AND(EH96=1,EH97=8),0,IF(EH96&lt;=0,0,IF(WEEKDAY(EH$6,1)=1,EH96*EH97,0)))</f>
        <v>0</v>
      </c>
      <c r="EI100" s="63">
        <f>IF(AND(EI96=1,EI97=8),0,IF(EI96&lt;=0,0,IF(WEEKDAY(EI$6,1)=1,EI96*EI97,0)))</f>
        <v>0</v>
      </c>
      <c r="EJ100" s="63">
        <f>IF(AND(EJ96=1,EJ97=8),0,IF(EJ96&lt;=0,0,IF(WEEKDAY(EJ$6,1)=1,EJ96*EJ97,0)))</f>
        <v>0</v>
      </c>
      <c r="EK100" s="65">
        <f>IF(AND(EK96=1,EK97=8),0,IF(EK96&lt;=0,0,IF(WEEKDAY(EK$6,1)=1,EK96*EK97,0)))</f>
        <v>0</v>
      </c>
      <c r="OU100" s="28" t="s">
        <v>84</v>
      </c>
    </row>
    <row r="101" ht="16" customHeight="1" spans="1:411" x14ac:dyDescent="0.25">
      <c r="A101" s="45"/>
      <c r="B101" s="46"/>
      <c r="C101" s="67">
        <f>I95*D101</f>
        <v>27720</v>
      </c>
      <c r="D101" s="67">
        <v>140</v>
      </c>
      <c r="E101" s="68" t="s">
        <v>65</v>
      </c>
      <c r="F101" s="49"/>
      <c r="G101" s="49"/>
      <c r="H101" s="49"/>
      <c r="I101" s="49"/>
      <c r="J101" s="50"/>
      <c r="K101" s="69">
        <v>1</v>
      </c>
      <c r="L101" s="70">
        <v>1</v>
      </c>
      <c r="M101" s="70">
        <v>1</v>
      </c>
      <c r="N101" s="70">
        <v>1</v>
      </c>
      <c r="O101" s="70">
        <v>1</v>
      </c>
      <c r="P101" s="71">
        <v>0</v>
      </c>
      <c r="Q101" s="71">
        <v>0</v>
      </c>
      <c r="R101" s="70">
        <v>1</v>
      </c>
      <c r="S101" s="70">
        <v>1</v>
      </c>
      <c r="T101" s="70">
        <v>1</v>
      </c>
      <c r="U101" s="70">
        <v>1</v>
      </c>
      <c r="V101" s="70">
        <v>1</v>
      </c>
      <c r="W101" s="71">
        <v>0</v>
      </c>
      <c r="X101" s="71">
        <v>0</v>
      </c>
      <c r="Y101" s="70">
        <v>1</v>
      </c>
      <c r="Z101" s="70">
        <v>1</v>
      </c>
      <c r="AA101" s="70">
        <v>1</v>
      </c>
      <c r="AB101" s="70">
        <v>1</v>
      </c>
      <c r="AC101" s="70">
        <v>1</v>
      </c>
      <c r="AD101" s="71">
        <v>0</v>
      </c>
      <c r="AE101" s="71">
        <v>0</v>
      </c>
      <c r="AF101" s="70">
        <v>2</v>
      </c>
      <c r="AG101" s="70">
        <v>2</v>
      </c>
      <c r="AH101" s="70">
        <v>2</v>
      </c>
      <c r="AI101" s="70">
        <v>2</v>
      </c>
      <c r="AJ101" s="70">
        <v>2</v>
      </c>
      <c r="AK101" s="71">
        <v>0</v>
      </c>
      <c r="AL101" s="71">
        <v>0</v>
      </c>
      <c r="AM101" s="70">
        <v>2</v>
      </c>
      <c r="AN101" s="70">
        <v>2</v>
      </c>
      <c r="AO101" s="70">
        <v>2</v>
      </c>
      <c r="AP101" s="70">
        <v>2</v>
      </c>
      <c r="AQ101" s="70">
        <v>2</v>
      </c>
      <c r="AR101" s="71">
        <v>0</v>
      </c>
      <c r="AS101" s="71">
        <v>0</v>
      </c>
      <c r="AT101" s="70">
        <v>2</v>
      </c>
      <c r="AU101" s="70">
        <v>2</v>
      </c>
      <c r="AV101" s="70">
        <v>2</v>
      </c>
      <c r="AW101" s="70">
        <v>2</v>
      </c>
      <c r="AX101" s="70">
        <v>2</v>
      </c>
      <c r="AY101" s="71">
        <v>0</v>
      </c>
      <c r="AZ101" s="71">
        <v>0</v>
      </c>
      <c r="BA101" s="70">
        <v>2</v>
      </c>
      <c r="BB101" s="70">
        <v>2</v>
      </c>
      <c r="BC101" s="70">
        <v>2</v>
      </c>
      <c r="BD101" s="70">
        <v>2</v>
      </c>
      <c r="BE101" s="70">
        <v>2</v>
      </c>
      <c r="BF101" s="71">
        <v>0</v>
      </c>
      <c r="BG101" s="71">
        <v>0</v>
      </c>
      <c r="BH101" s="70">
        <v>2</v>
      </c>
      <c r="BI101" s="70">
        <v>2</v>
      </c>
      <c r="BJ101" s="70">
        <v>2</v>
      </c>
      <c r="BK101" s="70">
        <v>2</v>
      </c>
      <c r="BL101" s="70">
        <v>2</v>
      </c>
      <c r="BM101" s="71">
        <v>2</v>
      </c>
      <c r="BN101" s="71">
        <v>2</v>
      </c>
      <c r="BO101" s="70">
        <v>2</v>
      </c>
      <c r="BP101" s="70">
        <v>2</v>
      </c>
      <c r="BQ101" s="70">
        <v>2</v>
      </c>
      <c r="BR101" s="70">
        <v>2</v>
      </c>
      <c r="BS101" s="70">
        <v>2</v>
      </c>
      <c r="BT101" s="71">
        <v>2</v>
      </c>
      <c r="BU101" s="71">
        <v>2</v>
      </c>
      <c r="BV101" s="70">
        <v>2</v>
      </c>
      <c r="BW101" s="70">
        <v>2</v>
      </c>
      <c r="BX101" s="70">
        <v>2</v>
      </c>
      <c r="BY101" s="70">
        <v>2</v>
      </c>
      <c r="BZ101" s="70">
        <v>2</v>
      </c>
      <c r="CA101" s="71">
        <v>2</v>
      </c>
      <c r="CB101" s="71">
        <v>2</v>
      </c>
      <c r="CC101" s="70">
        <v>2</v>
      </c>
      <c r="CD101" s="70">
        <v>2</v>
      </c>
      <c r="CE101" s="70">
        <v>2</v>
      </c>
      <c r="CF101" s="70">
        <v>2</v>
      </c>
      <c r="CG101" s="70">
        <v>2</v>
      </c>
      <c r="CH101" s="71">
        <v>2</v>
      </c>
      <c r="CI101" s="71">
        <v>2</v>
      </c>
      <c r="CJ101" s="70">
        <v>2</v>
      </c>
      <c r="CK101" s="70">
        <v>2</v>
      </c>
      <c r="CL101" s="70">
        <v>2</v>
      </c>
      <c r="CM101" s="70">
        <v>2</v>
      </c>
      <c r="CN101" s="70">
        <v>2</v>
      </c>
      <c r="CO101" s="71">
        <v>2</v>
      </c>
      <c r="CP101" s="71">
        <v>2</v>
      </c>
      <c r="CQ101" s="70">
        <v>2</v>
      </c>
      <c r="CR101" s="70">
        <v>2</v>
      </c>
      <c r="CS101" s="70">
        <v>2</v>
      </c>
      <c r="CT101" s="70">
        <v>2</v>
      </c>
      <c r="CU101" s="70">
        <v>2</v>
      </c>
      <c r="CV101" s="71">
        <v>2</v>
      </c>
      <c r="CW101" s="71">
        <v>2</v>
      </c>
      <c r="CX101" s="70">
        <v>2</v>
      </c>
      <c r="CY101" s="70">
        <v>2</v>
      </c>
      <c r="CZ101" s="70">
        <v>2</v>
      </c>
      <c r="DA101" s="70">
        <v>2</v>
      </c>
      <c r="DB101" s="70">
        <v>2</v>
      </c>
      <c r="DC101" s="71">
        <v>2</v>
      </c>
      <c r="DD101" s="71">
        <v>2</v>
      </c>
      <c r="DE101" s="70">
        <v>2</v>
      </c>
      <c r="DF101" s="70">
        <v>2</v>
      </c>
      <c r="DG101" s="70">
        <v>2</v>
      </c>
      <c r="DH101" s="70">
        <v>2</v>
      </c>
      <c r="DI101" s="70">
        <v>2</v>
      </c>
      <c r="DJ101" s="71">
        <v>2</v>
      </c>
      <c r="DK101" s="71">
        <v>2</v>
      </c>
      <c r="DL101" s="70">
        <v>2</v>
      </c>
      <c r="DM101" s="70">
        <v>2</v>
      </c>
      <c r="DN101" s="70">
        <v>2</v>
      </c>
      <c r="DO101" s="70">
        <v>2</v>
      </c>
      <c r="DP101" s="70">
        <v>2</v>
      </c>
      <c r="DQ101" s="71">
        <v>2</v>
      </c>
      <c r="DR101" s="71">
        <v>2</v>
      </c>
      <c r="DS101" s="70">
        <v>2</v>
      </c>
      <c r="DT101" s="70">
        <v>2</v>
      </c>
      <c r="DU101" s="70">
        <v>1</v>
      </c>
      <c r="DV101" s="70">
        <v>1</v>
      </c>
      <c r="DW101" s="70">
        <v>1</v>
      </c>
      <c r="DX101" s="71">
        <v>0</v>
      </c>
      <c r="DY101" s="71">
        <v>0</v>
      </c>
      <c r="DZ101" s="70">
        <v>1</v>
      </c>
      <c r="EA101" s="70">
        <v>1</v>
      </c>
      <c r="EB101" s="70">
        <v>1</v>
      </c>
      <c r="EC101" s="70">
        <v>1</v>
      </c>
      <c r="ED101" s="70">
        <v>1</v>
      </c>
      <c r="EE101" s="71">
        <v>0</v>
      </c>
      <c r="EF101" s="71">
        <v>0</v>
      </c>
      <c r="EG101" s="70">
        <v>1</v>
      </c>
      <c r="EH101" s="70">
        <v>1</v>
      </c>
      <c r="EI101" s="70">
        <v>1</v>
      </c>
      <c r="EJ101" s="70">
        <v>1</v>
      </c>
      <c r="EK101" s="72">
        <v>1</v>
      </c>
      <c r="OU101" s="60" t="s">
        <v>84</v>
      </c>
    </row>
    <row r="102" ht="8" customHeight="1" spans="1:14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3"/>
      <c r="CD102" s="73"/>
      <c r="CE102" s="73"/>
      <c r="CF102" s="73"/>
      <c r="CG102" s="73"/>
      <c r="CH102" s="73"/>
      <c r="CI102" s="73"/>
      <c r="CJ102" s="73"/>
      <c r="CK102" s="73"/>
      <c r="CL102" s="73"/>
      <c r="CM102" s="73"/>
      <c r="CN102" s="73"/>
      <c r="CO102" s="73"/>
      <c r="CP102" s="73"/>
      <c r="CQ102" s="73"/>
      <c r="CR102" s="73"/>
      <c r="CS102" s="73"/>
      <c r="CT102" s="73"/>
      <c r="CU102" s="73"/>
      <c r="CV102" s="73"/>
      <c r="CW102" s="73"/>
      <c r="CX102" s="73"/>
      <c r="CY102" s="73"/>
      <c r="CZ102" s="73"/>
      <c r="DA102" s="73"/>
      <c r="DB102" s="73"/>
      <c r="DC102" s="73"/>
      <c r="DD102" s="73"/>
      <c r="DE102" s="73"/>
      <c r="DF102" s="73"/>
      <c r="DG102" s="73"/>
      <c r="DH102" s="73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  <c r="DT102" s="73"/>
      <c r="DU102" s="73"/>
      <c r="DV102" s="73"/>
      <c r="DW102" s="73"/>
      <c r="DX102" s="73"/>
      <c r="DY102" s="73"/>
      <c r="DZ102" s="73"/>
      <c r="EA102" s="73"/>
      <c r="EB102" s="73"/>
      <c r="EC102" s="73"/>
      <c r="ED102" s="73"/>
      <c r="EE102" s="73"/>
      <c r="EF102" s="73"/>
      <c r="EG102" s="73"/>
      <c r="EH102" s="73"/>
      <c r="EI102" s="73"/>
      <c r="EJ102" s="73"/>
      <c r="EK102" s="73"/>
    </row>
    <row r="103" ht="16" customHeight="1" spans="1:411" x14ac:dyDescent="0.25">
      <c r="A103" s="74" t="s">
        <v>70</v>
      </c>
      <c r="B103" s="46" t="s">
        <v>83</v>
      </c>
      <c r="C103" s="47">
        <f>J103</f>
        <v>153912.81999999998</v>
      </c>
      <c r="D103" s="48"/>
      <c r="E103" s="48"/>
      <c r="F103" s="49">
        <f>SUM(K106:EK106)</f>
        <v>780</v>
      </c>
      <c r="G103" s="49">
        <f>SUM(K107:EK107)</f>
        <v>430</v>
      </c>
      <c r="H103" s="49">
        <f>SUM(K108:EK108)</f>
        <v>198</v>
      </c>
      <c r="I103" s="49">
        <f>SUM(K109:EK109)</f>
        <v>128</v>
      </c>
      <c r="J103" s="50">
        <f>C106+C107+C108</f>
        <v>153912.81999999998</v>
      </c>
      <c r="K103" s="51"/>
      <c r="L103" s="52"/>
      <c r="M103" s="52"/>
      <c r="N103" s="52"/>
      <c r="O103" s="52"/>
      <c r="P103" s="53"/>
      <c r="Q103" s="53"/>
      <c r="R103" s="52"/>
      <c r="S103" s="52"/>
      <c r="T103" s="52"/>
      <c r="U103" s="52"/>
      <c r="V103" s="52"/>
      <c r="W103" s="53"/>
      <c r="X103" s="53"/>
      <c r="Y103" s="52"/>
      <c r="Z103" s="52"/>
      <c r="AA103" s="52"/>
      <c r="AB103" s="52"/>
      <c r="AC103" s="52"/>
      <c r="AD103" s="53"/>
      <c r="AE103" s="53"/>
      <c r="AF103" s="52"/>
      <c r="AG103" s="52"/>
      <c r="AH103" s="52"/>
      <c r="AI103" s="52"/>
      <c r="AJ103" s="52"/>
      <c r="AK103" s="53"/>
      <c r="AL103" s="53"/>
      <c r="AM103" s="52"/>
      <c r="AN103" s="52"/>
      <c r="AO103" s="52"/>
      <c r="AP103" s="52"/>
      <c r="AQ103" s="52"/>
      <c r="AR103" s="53"/>
      <c r="AS103" s="53"/>
      <c r="AT103" s="52"/>
      <c r="AU103" s="52"/>
      <c r="AV103" s="52"/>
      <c r="AW103" s="52"/>
      <c r="AX103" s="52"/>
      <c r="AY103" s="53"/>
      <c r="AZ103" s="53"/>
      <c r="BA103" s="52"/>
      <c r="BB103" s="52"/>
      <c r="BC103" s="52"/>
      <c r="BD103" s="52"/>
      <c r="BE103" s="52"/>
      <c r="BF103" s="53"/>
      <c r="BG103" s="53"/>
      <c r="BH103" s="52"/>
      <c r="BI103" s="52"/>
      <c r="BJ103" s="52"/>
      <c r="BK103" s="52"/>
      <c r="BL103" s="52"/>
      <c r="BM103" s="53"/>
      <c r="BN103" s="53"/>
      <c r="BO103" s="52"/>
      <c r="BP103" s="52"/>
      <c r="BQ103" s="52"/>
      <c r="BR103" s="52"/>
      <c r="BS103" s="52"/>
      <c r="BT103" s="53"/>
      <c r="BU103" s="53"/>
      <c r="BV103" s="52"/>
      <c r="BW103" s="52"/>
      <c r="BX103" s="52"/>
      <c r="BY103" s="52"/>
      <c r="BZ103" s="52"/>
      <c r="CA103" s="53"/>
      <c r="CB103" s="53"/>
      <c r="CC103" s="52"/>
      <c r="CD103" s="52"/>
      <c r="CE103" s="52"/>
      <c r="CF103" s="52"/>
      <c r="CG103" s="52"/>
      <c r="CH103" s="53"/>
      <c r="CI103" s="53"/>
      <c r="CJ103" s="52"/>
      <c r="CK103" s="52"/>
      <c r="CL103" s="52"/>
      <c r="CM103" s="52"/>
      <c r="CN103" s="52"/>
      <c r="CO103" s="53"/>
      <c r="CP103" s="53"/>
      <c r="CQ103" s="52"/>
      <c r="CR103" s="52"/>
      <c r="CS103" s="52"/>
      <c r="CT103" s="52"/>
      <c r="CU103" s="52"/>
      <c r="CV103" s="53"/>
      <c r="CW103" s="53"/>
      <c r="CX103" s="52"/>
      <c r="CY103" s="52"/>
      <c r="CZ103" s="52"/>
      <c r="DA103" s="52"/>
      <c r="DB103" s="52"/>
      <c r="DC103" s="53"/>
      <c r="DD103" s="53"/>
      <c r="DE103" s="52"/>
      <c r="DF103" s="52"/>
      <c r="DG103" s="52"/>
      <c r="DH103" s="52"/>
      <c r="DI103" s="52"/>
      <c r="DJ103" s="53"/>
      <c r="DK103" s="53"/>
      <c r="DL103" s="52"/>
      <c r="DM103" s="52"/>
      <c r="DN103" s="52"/>
      <c r="DO103" s="52"/>
      <c r="DP103" s="52"/>
      <c r="DQ103" s="53"/>
      <c r="DR103" s="53"/>
      <c r="DS103" s="52"/>
      <c r="DT103" s="52"/>
      <c r="DU103" s="52"/>
      <c r="DV103" s="52"/>
      <c r="DW103" s="52"/>
      <c r="DX103" s="53"/>
      <c r="DY103" s="53"/>
      <c r="DZ103" s="52"/>
      <c r="EA103" s="52"/>
      <c r="EB103" s="52"/>
      <c r="EC103" s="52"/>
      <c r="ED103" s="52"/>
      <c r="EE103" s="53"/>
      <c r="EF103" s="53"/>
      <c r="EG103" s="52"/>
      <c r="EH103" s="52"/>
      <c r="EI103" s="52"/>
      <c r="EJ103" s="52"/>
      <c r="EK103" s="54"/>
      <c r="OU103" s="28" t="s">
        <v>85</v>
      </c>
    </row>
    <row r="104" ht="16" customHeight="1" spans="1:411" x14ac:dyDescent="0.25">
      <c r="A104" s="74"/>
      <c r="B104" s="46"/>
      <c r="C104" s="47"/>
      <c r="D104" s="48"/>
      <c r="E104" s="55" t="s">
        <v>60</v>
      </c>
      <c r="F104" s="49"/>
      <c r="G104" s="49"/>
      <c r="H104" s="49"/>
      <c r="I104" s="49"/>
      <c r="J104" s="50"/>
      <c r="K104" s="56">
        <v>0</v>
      </c>
      <c r="L104" s="57">
        <v>0</v>
      </c>
      <c r="M104" s="57">
        <v>0</v>
      </c>
      <c r="N104" s="57">
        <v>0</v>
      </c>
      <c r="O104" s="57">
        <v>0</v>
      </c>
      <c r="P104" s="58">
        <v>0</v>
      </c>
      <c r="Q104" s="58">
        <v>0</v>
      </c>
      <c r="R104" s="57">
        <v>0</v>
      </c>
      <c r="S104" s="57">
        <v>0</v>
      </c>
      <c r="T104" s="57">
        <v>0</v>
      </c>
      <c r="U104" s="57">
        <v>0</v>
      </c>
      <c r="V104" s="57">
        <v>0</v>
      </c>
      <c r="W104" s="58">
        <v>0</v>
      </c>
      <c r="X104" s="58">
        <v>0</v>
      </c>
      <c r="Y104" s="57">
        <v>0</v>
      </c>
      <c r="Z104" s="57">
        <v>0</v>
      </c>
      <c r="AA104" s="57">
        <v>0</v>
      </c>
      <c r="AB104" s="57">
        <v>0</v>
      </c>
      <c r="AC104" s="57">
        <v>0</v>
      </c>
      <c r="AD104" s="58">
        <v>0</v>
      </c>
      <c r="AE104" s="58">
        <v>0</v>
      </c>
      <c r="AF104" s="57">
        <v>0</v>
      </c>
      <c r="AG104" s="57">
        <v>0</v>
      </c>
      <c r="AH104" s="57">
        <v>0</v>
      </c>
      <c r="AI104" s="57">
        <v>0</v>
      </c>
      <c r="AJ104" s="57">
        <v>0</v>
      </c>
      <c r="AK104" s="58">
        <v>0</v>
      </c>
      <c r="AL104" s="58">
        <v>0</v>
      </c>
      <c r="AM104" s="57">
        <v>0</v>
      </c>
      <c r="AN104" s="57">
        <v>0</v>
      </c>
      <c r="AO104" s="57">
        <v>0</v>
      </c>
      <c r="AP104" s="57">
        <v>0</v>
      </c>
      <c r="AQ104" s="57">
        <v>0</v>
      </c>
      <c r="AR104" s="58">
        <v>0</v>
      </c>
      <c r="AS104" s="58">
        <v>0</v>
      </c>
      <c r="AT104" s="57">
        <v>0</v>
      </c>
      <c r="AU104" s="57">
        <v>0</v>
      </c>
      <c r="AV104" s="57">
        <v>0</v>
      </c>
      <c r="AW104" s="57">
        <v>0</v>
      </c>
      <c r="AX104" s="57">
        <v>0</v>
      </c>
      <c r="AY104" s="58">
        <v>0</v>
      </c>
      <c r="AZ104" s="58">
        <v>0</v>
      </c>
      <c r="BA104" s="57">
        <v>0</v>
      </c>
      <c r="BB104" s="57">
        <v>0</v>
      </c>
      <c r="BC104" s="57">
        <v>0</v>
      </c>
      <c r="BD104" s="57">
        <v>0</v>
      </c>
      <c r="BE104" s="57">
        <v>0</v>
      </c>
      <c r="BF104" s="58">
        <v>0</v>
      </c>
      <c r="BG104" s="58">
        <v>0</v>
      </c>
      <c r="BH104" s="57">
        <v>2</v>
      </c>
      <c r="BI104" s="57">
        <v>2</v>
      </c>
      <c r="BJ104" s="57">
        <v>2</v>
      </c>
      <c r="BK104" s="57">
        <v>2</v>
      </c>
      <c r="BL104" s="57">
        <v>2</v>
      </c>
      <c r="BM104" s="58">
        <v>2</v>
      </c>
      <c r="BN104" s="58">
        <v>2</v>
      </c>
      <c r="BO104" s="57">
        <v>2</v>
      </c>
      <c r="BP104" s="57">
        <v>2</v>
      </c>
      <c r="BQ104" s="57">
        <v>2</v>
      </c>
      <c r="BR104" s="57">
        <v>2</v>
      </c>
      <c r="BS104" s="57">
        <v>2</v>
      </c>
      <c r="BT104" s="58">
        <v>2</v>
      </c>
      <c r="BU104" s="58">
        <v>2</v>
      </c>
      <c r="BV104" s="57">
        <v>2</v>
      </c>
      <c r="BW104" s="57">
        <v>2</v>
      </c>
      <c r="BX104" s="57">
        <v>2</v>
      </c>
      <c r="BY104" s="57">
        <v>2</v>
      </c>
      <c r="BZ104" s="57">
        <v>2</v>
      </c>
      <c r="CA104" s="58">
        <v>2</v>
      </c>
      <c r="CB104" s="58">
        <v>2</v>
      </c>
      <c r="CC104" s="57">
        <v>2</v>
      </c>
      <c r="CD104" s="57">
        <v>2</v>
      </c>
      <c r="CE104" s="57">
        <v>2</v>
      </c>
      <c r="CF104" s="57">
        <v>2</v>
      </c>
      <c r="CG104" s="57">
        <v>2</v>
      </c>
      <c r="CH104" s="58">
        <v>2</v>
      </c>
      <c r="CI104" s="58">
        <v>2</v>
      </c>
      <c r="CJ104" s="57">
        <v>2</v>
      </c>
      <c r="CK104" s="57">
        <v>2</v>
      </c>
      <c r="CL104" s="57">
        <v>2</v>
      </c>
      <c r="CM104" s="57">
        <v>2</v>
      </c>
      <c r="CN104" s="57">
        <v>2</v>
      </c>
      <c r="CO104" s="58">
        <v>2</v>
      </c>
      <c r="CP104" s="58">
        <v>2</v>
      </c>
      <c r="CQ104" s="57">
        <v>2</v>
      </c>
      <c r="CR104" s="57">
        <v>2</v>
      </c>
      <c r="CS104" s="57">
        <v>2</v>
      </c>
      <c r="CT104" s="57">
        <v>2</v>
      </c>
      <c r="CU104" s="57">
        <v>2</v>
      </c>
      <c r="CV104" s="58">
        <v>2</v>
      </c>
      <c r="CW104" s="58">
        <v>2</v>
      </c>
      <c r="CX104" s="57">
        <v>2</v>
      </c>
      <c r="CY104" s="57">
        <v>2</v>
      </c>
      <c r="CZ104" s="57">
        <v>2</v>
      </c>
      <c r="DA104" s="57">
        <v>2</v>
      </c>
      <c r="DB104" s="57">
        <v>2</v>
      </c>
      <c r="DC104" s="58">
        <v>2</v>
      </c>
      <c r="DD104" s="58">
        <v>2</v>
      </c>
      <c r="DE104" s="57">
        <v>2</v>
      </c>
      <c r="DF104" s="57">
        <v>2</v>
      </c>
      <c r="DG104" s="57">
        <v>2</v>
      </c>
      <c r="DH104" s="57">
        <v>2</v>
      </c>
      <c r="DI104" s="57">
        <v>2</v>
      </c>
      <c r="DJ104" s="58">
        <v>2</v>
      </c>
      <c r="DK104" s="58">
        <v>2</v>
      </c>
      <c r="DL104" s="57">
        <v>2</v>
      </c>
      <c r="DM104" s="57">
        <v>2</v>
      </c>
      <c r="DN104" s="57">
        <v>2</v>
      </c>
      <c r="DO104" s="57">
        <v>2</v>
      </c>
      <c r="DP104" s="57">
        <v>2</v>
      </c>
      <c r="DQ104" s="58">
        <v>2</v>
      </c>
      <c r="DR104" s="58">
        <v>2</v>
      </c>
      <c r="DS104" s="57">
        <v>2</v>
      </c>
      <c r="DT104" s="57">
        <v>0</v>
      </c>
      <c r="DU104" s="57">
        <v>0</v>
      </c>
      <c r="DV104" s="57">
        <v>0</v>
      </c>
      <c r="DW104" s="57">
        <v>0</v>
      </c>
      <c r="DX104" s="58">
        <v>0</v>
      </c>
      <c r="DY104" s="58">
        <v>0</v>
      </c>
      <c r="DZ104" s="57">
        <v>0</v>
      </c>
      <c r="EA104" s="57">
        <v>0</v>
      </c>
      <c r="EB104" s="57">
        <v>0</v>
      </c>
      <c r="EC104" s="57">
        <v>0</v>
      </c>
      <c r="ED104" s="57">
        <v>0</v>
      </c>
      <c r="EE104" s="58">
        <v>0</v>
      </c>
      <c r="EF104" s="58">
        <v>0</v>
      </c>
      <c r="EG104" s="57">
        <v>0</v>
      </c>
      <c r="EH104" s="57">
        <v>0</v>
      </c>
      <c r="EI104" s="57">
        <v>0</v>
      </c>
      <c r="EJ104" s="57">
        <v>0</v>
      </c>
      <c r="EK104" s="59">
        <v>0</v>
      </c>
      <c r="OU104" s="60" t="s">
        <v>85</v>
      </c>
    </row>
    <row r="105" ht="16" customHeight="1" spans="1:411" x14ac:dyDescent="0.25">
      <c r="A105" s="74"/>
      <c r="B105" s="46"/>
      <c r="C105" s="47"/>
      <c r="D105" s="48"/>
      <c r="E105" s="55" t="s">
        <v>61</v>
      </c>
      <c r="F105" s="49"/>
      <c r="G105" s="49"/>
      <c r="H105" s="49"/>
      <c r="I105" s="49"/>
      <c r="J105" s="50"/>
      <c r="K105" s="56">
        <v>0</v>
      </c>
      <c r="L105" s="57">
        <v>0</v>
      </c>
      <c r="M105" s="57">
        <v>0</v>
      </c>
      <c r="N105" s="57">
        <v>0</v>
      </c>
      <c r="O105" s="57">
        <v>0</v>
      </c>
      <c r="P105" s="58">
        <v>0</v>
      </c>
      <c r="Q105" s="58">
        <v>0</v>
      </c>
      <c r="R105" s="57">
        <v>0</v>
      </c>
      <c r="S105" s="57">
        <v>0</v>
      </c>
      <c r="T105" s="57">
        <v>0</v>
      </c>
      <c r="U105" s="57">
        <v>0</v>
      </c>
      <c r="V105" s="57">
        <v>0</v>
      </c>
      <c r="W105" s="58">
        <v>0</v>
      </c>
      <c r="X105" s="58">
        <v>0</v>
      </c>
      <c r="Y105" s="57">
        <v>0</v>
      </c>
      <c r="Z105" s="57">
        <v>0</v>
      </c>
      <c r="AA105" s="57">
        <v>0</v>
      </c>
      <c r="AB105" s="57">
        <v>0</v>
      </c>
      <c r="AC105" s="57">
        <v>0</v>
      </c>
      <c r="AD105" s="58">
        <v>0</v>
      </c>
      <c r="AE105" s="58">
        <v>0</v>
      </c>
      <c r="AF105" s="57">
        <v>0</v>
      </c>
      <c r="AG105" s="57">
        <v>0</v>
      </c>
      <c r="AH105" s="57">
        <v>0</v>
      </c>
      <c r="AI105" s="57">
        <v>0</v>
      </c>
      <c r="AJ105" s="57">
        <v>0</v>
      </c>
      <c r="AK105" s="58">
        <v>0</v>
      </c>
      <c r="AL105" s="58">
        <v>0</v>
      </c>
      <c r="AM105" s="57">
        <v>0</v>
      </c>
      <c r="AN105" s="57">
        <v>0</v>
      </c>
      <c r="AO105" s="57">
        <v>0</v>
      </c>
      <c r="AP105" s="57">
        <v>0</v>
      </c>
      <c r="AQ105" s="57">
        <v>0</v>
      </c>
      <c r="AR105" s="58">
        <v>0</v>
      </c>
      <c r="AS105" s="58">
        <v>0</v>
      </c>
      <c r="AT105" s="57">
        <v>0</v>
      </c>
      <c r="AU105" s="57">
        <v>0</v>
      </c>
      <c r="AV105" s="57">
        <v>0</v>
      </c>
      <c r="AW105" s="57">
        <v>0</v>
      </c>
      <c r="AX105" s="57">
        <v>0</v>
      </c>
      <c r="AY105" s="58">
        <v>0</v>
      </c>
      <c r="AZ105" s="58">
        <v>0</v>
      </c>
      <c r="BA105" s="57">
        <v>0</v>
      </c>
      <c r="BB105" s="57">
        <v>0</v>
      </c>
      <c r="BC105" s="57">
        <v>0</v>
      </c>
      <c r="BD105" s="57">
        <v>0</v>
      </c>
      <c r="BE105" s="57">
        <v>0</v>
      </c>
      <c r="BF105" s="58">
        <v>0</v>
      </c>
      <c r="BG105" s="58">
        <v>0</v>
      </c>
      <c r="BH105" s="57">
        <v>11</v>
      </c>
      <c r="BI105" s="57">
        <v>11</v>
      </c>
      <c r="BJ105" s="57">
        <v>11</v>
      </c>
      <c r="BK105" s="57">
        <v>11</v>
      </c>
      <c r="BL105" s="57">
        <v>11</v>
      </c>
      <c r="BM105" s="58">
        <v>11</v>
      </c>
      <c r="BN105" s="58">
        <v>11</v>
      </c>
      <c r="BO105" s="57">
        <v>11</v>
      </c>
      <c r="BP105" s="57">
        <v>11</v>
      </c>
      <c r="BQ105" s="57">
        <v>11</v>
      </c>
      <c r="BR105" s="57">
        <v>11</v>
      </c>
      <c r="BS105" s="57">
        <v>11</v>
      </c>
      <c r="BT105" s="58">
        <v>11</v>
      </c>
      <c r="BU105" s="58">
        <v>11</v>
      </c>
      <c r="BV105" s="57">
        <v>11</v>
      </c>
      <c r="BW105" s="57">
        <v>11</v>
      </c>
      <c r="BX105" s="57">
        <v>11</v>
      </c>
      <c r="BY105" s="57">
        <v>11</v>
      </c>
      <c r="BZ105" s="57">
        <v>11</v>
      </c>
      <c r="CA105" s="58">
        <v>11</v>
      </c>
      <c r="CB105" s="58">
        <v>11</v>
      </c>
      <c r="CC105" s="57">
        <v>11</v>
      </c>
      <c r="CD105" s="57">
        <v>11</v>
      </c>
      <c r="CE105" s="57">
        <v>11</v>
      </c>
      <c r="CF105" s="57">
        <v>11</v>
      </c>
      <c r="CG105" s="57">
        <v>11</v>
      </c>
      <c r="CH105" s="58">
        <v>11</v>
      </c>
      <c r="CI105" s="58">
        <v>11</v>
      </c>
      <c r="CJ105" s="57">
        <v>11</v>
      </c>
      <c r="CK105" s="57">
        <v>11</v>
      </c>
      <c r="CL105" s="57">
        <v>11</v>
      </c>
      <c r="CM105" s="57">
        <v>11</v>
      </c>
      <c r="CN105" s="57">
        <v>11</v>
      </c>
      <c r="CO105" s="58">
        <v>11</v>
      </c>
      <c r="CP105" s="58">
        <v>11</v>
      </c>
      <c r="CQ105" s="57">
        <v>11</v>
      </c>
      <c r="CR105" s="57">
        <v>11</v>
      </c>
      <c r="CS105" s="57">
        <v>11</v>
      </c>
      <c r="CT105" s="57">
        <v>11</v>
      </c>
      <c r="CU105" s="57">
        <v>11</v>
      </c>
      <c r="CV105" s="58">
        <v>11</v>
      </c>
      <c r="CW105" s="58">
        <v>11</v>
      </c>
      <c r="CX105" s="57">
        <v>11</v>
      </c>
      <c r="CY105" s="57">
        <v>11</v>
      </c>
      <c r="CZ105" s="57">
        <v>11</v>
      </c>
      <c r="DA105" s="57">
        <v>11</v>
      </c>
      <c r="DB105" s="57">
        <v>11</v>
      </c>
      <c r="DC105" s="58">
        <v>11</v>
      </c>
      <c r="DD105" s="58">
        <v>11</v>
      </c>
      <c r="DE105" s="57">
        <v>11</v>
      </c>
      <c r="DF105" s="57">
        <v>11</v>
      </c>
      <c r="DG105" s="57">
        <v>11</v>
      </c>
      <c r="DH105" s="57">
        <v>11</v>
      </c>
      <c r="DI105" s="57">
        <v>11</v>
      </c>
      <c r="DJ105" s="58">
        <v>11</v>
      </c>
      <c r="DK105" s="58">
        <v>11</v>
      </c>
      <c r="DL105" s="57">
        <v>11</v>
      </c>
      <c r="DM105" s="57">
        <v>11</v>
      </c>
      <c r="DN105" s="57">
        <v>11</v>
      </c>
      <c r="DO105" s="57">
        <v>11</v>
      </c>
      <c r="DP105" s="57">
        <v>11</v>
      </c>
      <c r="DQ105" s="58">
        <v>11</v>
      </c>
      <c r="DR105" s="58">
        <v>11</v>
      </c>
      <c r="DS105" s="57">
        <v>11</v>
      </c>
      <c r="DT105" s="57">
        <v>0</v>
      </c>
      <c r="DU105" s="57">
        <v>0</v>
      </c>
      <c r="DV105" s="57">
        <v>0</v>
      </c>
      <c r="DW105" s="57">
        <v>0</v>
      </c>
      <c r="DX105" s="58">
        <v>0</v>
      </c>
      <c r="DY105" s="58">
        <v>0</v>
      </c>
      <c r="DZ105" s="57">
        <v>0</v>
      </c>
      <c r="EA105" s="57">
        <v>0</v>
      </c>
      <c r="EB105" s="57">
        <v>0</v>
      </c>
      <c r="EC105" s="57">
        <v>0</v>
      </c>
      <c r="ED105" s="57">
        <v>0</v>
      </c>
      <c r="EE105" s="58">
        <v>0</v>
      </c>
      <c r="EF105" s="58">
        <v>0</v>
      </c>
      <c r="EG105" s="57">
        <v>0</v>
      </c>
      <c r="EH105" s="57">
        <v>0</v>
      </c>
      <c r="EI105" s="57">
        <v>0</v>
      </c>
      <c r="EJ105" s="57">
        <v>0</v>
      </c>
      <c r="EK105" s="59">
        <v>0</v>
      </c>
      <c r="OU105" s="60" t="s">
        <v>85</v>
      </c>
    </row>
    <row r="106" ht="16" customHeight="1" spans="1:411" x14ac:dyDescent="0.25">
      <c r="A106" s="74"/>
      <c r="B106" s="46"/>
      <c r="C106" s="61">
        <f>F103*N(D106)</f>
        <v>70995.59999999999</v>
      </c>
      <c r="D106" s="61">
        <f>IF(TRIM(B103)="","No rate",IFERROR(INDEX('Rate Tables'!C$7:C$158,MATCH(B103,'Rate Tables'!A$7:A$158,0)),"No rate"))</f>
        <v>91.02</v>
      </c>
      <c r="E106" s="55" t="s">
        <v>62</v>
      </c>
      <c r="F106" s="49"/>
      <c r="G106" s="49"/>
      <c r="H106" s="49"/>
      <c r="I106" s="49"/>
      <c r="J106" s="50"/>
      <c r="K106" s="62">
        <f>IF(AND(K104=0,K105=0),0,MIN(IF(K104&lt;=0,0,IF(WEEKDAY(K$6,1)=1,0,MIN(10,K105)*K104)),MAX(0,40*MAX(1,K104)-(0))))</f>
        <v>0</v>
      </c>
      <c r="L106" s="63">
        <f>IF(AND(L104=0,L105=0),0,MIN(IF(L104&lt;=0,0,IF(WEEKDAY(L$6,1)=1,0,MIN(10,L105)*L104)),MAX(0,40*MAX(1,L104)-(K106))))</f>
        <v>0</v>
      </c>
      <c r="M106" s="63">
        <f>IF(AND(M104=0,M105=0),0,MIN(IF(M104&lt;=0,0,IF(WEEKDAY(M$6,1)=1,0,MIN(10,M105)*M104)),MAX(0,40*MAX(1,M104)-(K106+L106))))</f>
        <v>0</v>
      </c>
      <c r="N106" s="63">
        <f>IF(AND(N104=0,N105=0),0,MIN(IF(N104&lt;=0,0,IF(WEEKDAY(N$6,1)=1,0,MIN(10,N105)*N104)),MAX(0,40*MAX(1,N104)-(K106+L106+M106))))</f>
        <v>0</v>
      </c>
      <c r="O106" s="63">
        <f>IF(AND(O104=0,O105=0),0,MIN(IF(O104&lt;=0,0,IF(WEEKDAY(O$6,1)=1,0,MIN(10,O105)*O104)),MAX(0,40*MAX(1,O104)-(K106+L106+M106+N106))))</f>
        <v>0</v>
      </c>
      <c r="P106" s="64">
        <f>IF(AND(P104=0,P105=0),0,MIN(IF(P104&lt;=0,0,IF(WEEKDAY(P$6,1)=1,0,MIN(10,P105)*P104)),MAX(0,40*MAX(1,P104)-(K106+L106+M106+N106+O106))))</f>
        <v>0</v>
      </c>
      <c r="Q106" s="64">
        <f>IF(AND(Q104=0,Q105=0),0,MIN(IF(Q104&lt;=0,0,IF(WEEKDAY(Q$6,1)=1,0,MIN(10,Q105)*Q104)),MAX(0,40*MAX(1,Q104)-(K106+L106+M106+N106+O106+P106))))</f>
        <v>0</v>
      </c>
      <c r="R106" s="63">
        <f>IF(AND(R104=0,R105=0),0,MIN(IF(R104&lt;=0,0,IF(WEEKDAY(R$6,1)=1,0,MIN(10,R105)*R104)),MAX(0,40*MAX(1,R104)-(0))))</f>
        <v>0</v>
      </c>
      <c r="S106" s="63">
        <f>IF(AND(S104=0,S105=0),0,MIN(IF(S104&lt;=0,0,IF(WEEKDAY(S$6,1)=1,0,MIN(10,S105)*S104)),MAX(0,40*MAX(1,S104)-(R106))))</f>
        <v>0</v>
      </c>
      <c r="T106" s="63">
        <f>IF(AND(T104=0,T105=0),0,MIN(IF(T104&lt;=0,0,IF(WEEKDAY(T$6,1)=1,0,MIN(10,T105)*T104)),MAX(0,40*MAX(1,T104)-(R106+S106))))</f>
        <v>0</v>
      </c>
      <c r="U106" s="63">
        <f>IF(AND(U104=0,U105=0),0,MIN(IF(U104&lt;=0,0,IF(WEEKDAY(U$6,1)=1,0,MIN(10,U105)*U104)),MAX(0,40*MAX(1,U104)-(R106+S106+T106))))</f>
        <v>0</v>
      </c>
      <c r="V106" s="63">
        <f>IF(AND(V104=0,V105=0),0,MIN(IF(V104&lt;=0,0,IF(WEEKDAY(V$6,1)=1,0,MIN(10,V105)*V104)),MAX(0,40*MAX(1,V104)-(R106+S106+T106+U106))))</f>
        <v>0</v>
      </c>
      <c r="W106" s="64">
        <f>IF(AND(W104=0,W105=0),0,MIN(IF(W104&lt;=0,0,IF(WEEKDAY(W$6,1)=1,0,MIN(10,W105)*W104)),MAX(0,40*MAX(1,W104)-(R106+S106+T106+U106+V106))))</f>
        <v>0</v>
      </c>
      <c r="X106" s="64">
        <f>IF(AND(X104=0,X105=0),0,MIN(IF(X104&lt;=0,0,IF(WEEKDAY(X$6,1)=1,0,MIN(10,X105)*X104)),MAX(0,40*MAX(1,X104)-(R106+S106+T106+U106+V106+W106))))</f>
        <v>0</v>
      </c>
      <c r="Y106" s="63">
        <f>IF(AND(Y104=0,Y105=0),0,MIN(IF(Y104&lt;=0,0,IF(WEEKDAY(Y$6,1)=1,0,MIN(10,Y105)*Y104)),MAX(0,40*MAX(1,Y104)-(0))))</f>
        <v>0</v>
      </c>
      <c r="Z106" s="63">
        <f>IF(AND(Z104=0,Z105=0),0,MIN(IF(Z104&lt;=0,0,IF(WEEKDAY(Z$6,1)=1,0,MIN(10,Z105)*Z104)),MAX(0,40*MAX(1,Z104)-(Y106))))</f>
        <v>0</v>
      </c>
      <c r="AA106" s="63">
        <f>IF(AND(AA104=0,AA105=0),0,MIN(IF(AA104&lt;=0,0,IF(WEEKDAY(AA$6,1)=1,0,MIN(10,AA105)*AA104)),MAX(0,40*MAX(1,AA104)-(Y106+Z106))))</f>
        <v>0</v>
      </c>
      <c r="AB106" s="63">
        <f>IF(AND(AB104=0,AB105=0),0,MIN(IF(AB104&lt;=0,0,IF(WEEKDAY(AB$6,1)=1,0,MIN(10,AB105)*AB104)),MAX(0,40*MAX(1,AB104)-(Y106+Z106+AA106))))</f>
        <v>0</v>
      </c>
      <c r="AC106" s="63">
        <f>IF(AND(AC104=0,AC105=0),0,MIN(IF(AC104&lt;=0,0,IF(WEEKDAY(AC$6,1)=1,0,MIN(10,AC105)*AC104)),MAX(0,40*MAX(1,AC104)-(Y106+Z106+AA106+AB106))))</f>
        <v>0</v>
      </c>
      <c r="AD106" s="64">
        <f>IF(AND(AD104=0,AD105=0),0,MIN(IF(AD104&lt;=0,0,IF(WEEKDAY(AD$6,1)=1,0,MIN(10,AD105)*AD104)),MAX(0,40*MAX(1,AD104)-(Y106+Z106+AA106+AB106+AC106))))</f>
        <v>0</v>
      </c>
      <c r="AE106" s="64">
        <f>IF(AND(AE104=0,AE105=0),0,MIN(IF(AE104&lt;=0,0,IF(WEEKDAY(AE$6,1)=1,0,MIN(10,AE105)*AE104)),MAX(0,40*MAX(1,AE104)-(Y106+Z106+AA106+AB106+AC106+AD106))))</f>
        <v>0</v>
      </c>
      <c r="AF106" s="63">
        <f>IF(AND(AF104=0,AF105=0),0,MIN(IF(AF104&lt;=0,0,IF(WEEKDAY(AF$6,1)=1,0,MIN(10,AF105)*AF104)),MAX(0,40*MAX(1,AF104)-(0))))</f>
        <v>0</v>
      </c>
      <c r="AG106" s="63">
        <f>IF(AND(AG104=0,AG105=0),0,MIN(IF(AG104&lt;=0,0,IF(WEEKDAY(AG$6,1)=1,0,MIN(10,AG105)*AG104)),MAX(0,40*MAX(1,AG104)-(AF106))))</f>
        <v>0</v>
      </c>
      <c r="AH106" s="63">
        <f>IF(AND(AH104=0,AH105=0),0,MIN(IF(AH104&lt;=0,0,IF(WEEKDAY(AH$6,1)=1,0,MIN(10,AH105)*AH104)),MAX(0,40*MAX(1,AH104)-(AF106+AG106))))</f>
        <v>0</v>
      </c>
      <c r="AI106" s="63">
        <f>IF(AND(AI104=0,AI105=0),0,MIN(IF(AI104&lt;=0,0,IF(WEEKDAY(AI$6,1)=1,0,MIN(10,AI105)*AI104)),MAX(0,40*MAX(1,AI104)-(AF106+AG106+AH106))))</f>
        <v>0</v>
      </c>
      <c r="AJ106" s="63">
        <f>IF(AND(AJ104=0,AJ105=0),0,MIN(IF(AJ104&lt;=0,0,IF(WEEKDAY(AJ$6,1)=1,0,MIN(10,AJ105)*AJ104)),MAX(0,40*MAX(1,AJ104)-(AF106+AG106+AH106+AI106))))</f>
        <v>0</v>
      </c>
      <c r="AK106" s="64">
        <f>IF(AND(AK104=0,AK105=0),0,MIN(IF(AK104&lt;=0,0,IF(WEEKDAY(AK$6,1)=1,0,MIN(10,AK105)*AK104)),MAX(0,40*MAX(1,AK104)-(AF106+AG106+AH106+AI106+AJ106))))</f>
        <v>0</v>
      </c>
      <c r="AL106" s="64">
        <f>IF(AND(AL104=0,AL105=0),0,MIN(IF(AL104&lt;=0,0,IF(WEEKDAY(AL$6,1)=1,0,MIN(10,AL105)*AL104)),MAX(0,40*MAX(1,AL104)-(AF106+AG106+AH106+AI106+AJ106+AK106))))</f>
        <v>0</v>
      </c>
      <c r="AM106" s="63">
        <f>IF(AND(AM104=0,AM105=0),0,MIN(IF(AM104&lt;=0,0,IF(WEEKDAY(AM$6,1)=1,0,MIN(10,AM105)*AM104)),MAX(0,40*MAX(1,AM104)-(0))))</f>
        <v>0</v>
      </c>
      <c r="AN106" s="63">
        <f>IF(AND(AN104=0,AN105=0),0,MIN(IF(AN104&lt;=0,0,IF(WEEKDAY(AN$6,1)=1,0,MIN(10,AN105)*AN104)),MAX(0,40*MAX(1,AN104)-(AM106))))</f>
        <v>0</v>
      </c>
      <c r="AO106" s="63">
        <f>IF(AND(AO104=0,AO105=0),0,MIN(IF(AO104&lt;=0,0,IF(WEEKDAY(AO$6,1)=1,0,MIN(10,AO105)*AO104)),MAX(0,40*MAX(1,AO104)-(AM106+AN106))))</f>
        <v>0</v>
      </c>
      <c r="AP106" s="63">
        <f>IF(AND(AP104=0,AP105=0),0,MIN(IF(AP104&lt;=0,0,IF(WEEKDAY(AP$6,1)=1,0,MIN(10,AP105)*AP104)),MAX(0,40*MAX(1,AP104)-(AM106+AN106+AO106))))</f>
        <v>0</v>
      </c>
      <c r="AQ106" s="63">
        <f>IF(AND(AQ104=0,AQ105=0),0,MIN(IF(AQ104&lt;=0,0,IF(WEEKDAY(AQ$6,1)=1,0,MIN(10,AQ105)*AQ104)),MAX(0,40*MAX(1,AQ104)-(AM106+AN106+AO106+AP106))))</f>
        <v>0</v>
      </c>
      <c r="AR106" s="64">
        <f>IF(AND(AR104=0,AR105=0),0,MIN(IF(AR104&lt;=0,0,IF(WEEKDAY(AR$6,1)=1,0,MIN(10,AR105)*AR104)),MAX(0,40*MAX(1,AR104)-(AM106+AN106+AO106+AP106+AQ106))))</f>
        <v>0</v>
      </c>
      <c r="AS106" s="64">
        <f>IF(AND(AS104=0,AS105=0),0,MIN(IF(AS104&lt;=0,0,IF(WEEKDAY(AS$6,1)=1,0,MIN(10,AS105)*AS104)),MAX(0,40*MAX(1,AS104)-(AM106+AN106+AO106+AP106+AQ106+AR106))))</f>
        <v>0</v>
      </c>
      <c r="AT106" s="63">
        <f>IF(AND(AT104=0,AT105=0),0,MIN(IF(AT104&lt;=0,0,IF(WEEKDAY(AT$6,1)=1,0,MIN(10,AT105)*AT104)),MAX(0,40*MAX(1,AT104)-(0))))</f>
        <v>0</v>
      </c>
      <c r="AU106" s="63">
        <f>IF(AND(AU104=0,AU105=0),0,MIN(IF(AU104&lt;=0,0,IF(WEEKDAY(AU$6,1)=1,0,MIN(10,AU105)*AU104)),MAX(0,40*MAX(1,AU104)-(AT106))))</f>
        <v>0</v>
      </c>
      <c r="AV106" s="63">
        <f>IF(AND(AV104=0,AV105=0),0,MIN(IF(AV104&lt;=0,0,IF(WEEKDAY(AV$6,1)=1,0,MIN(10,AV105)*AV104)),MAX(0,40*MAX(1,AV104)-(AT106+AU106))))</f>
        <v>0</v>
      </c>
      <c r="AW106" s="63">
        <f>IF(AND(AW104=0,AW105=0),0,MIN(IF(AW104&lt;=0,0,IF(WEEKDAY(AW$6,1)=1,0,MIN(10,AW105)*AW104)),MAX(0,40*MAX(1,AW104)-(AT106+AU106+AV106))))</f>
        <v>0</v>
      </c>
      <c r="AX106" s="63">
        <f>IF(AND(AX104=0,AX105=0),0,MIN(IF(AX104&lt;=0,0,IF(WEEKDAY(AX$6,1)=1,0,MIN(10,AX105)*AX104)),MAX(0,40*MAX(1,AX104)-(AT106+AU106+AV106+AW106))))</f>
        <v>0</v>
      </c>
      <c r="AY106" s="64">
        <f>IF(AND(AY104=0,AY105=0),0,MIN(IF(AY104&lt;=0,0,IF(WEEKDAY(AY$6,1)=1,0,MIN(10,AY105)*AY104)),MAX(0,40*MAX(1,AY104)-(AT106+AU106+AV106+AW106+AX106))))</f>
        <v>0</v>
      </c>
      <c r="AZ106" s="64">
        <f>IF(AND(AZ104=0,AZ105=0),0,MIN(IF(AZ104&lt;=0,0,IF(WEEKDAY(AZ$6,1)=1,0,MIN(10,AZ105)*AZ104)),MAX(0,40*MAX(1,AZ104)-(AT106+AU106+AV106+AW106+AX106+AY106))))</f>
        <v>0</v>
      </c>
      <c r="BA106" s="63">
        <f>IF(AND(BA104=0,BA105=0),0,MIN(IF(BA104&lt;=0,0,IF(WEEKDAY(BA$6,1)=1,0,MIN(10,BA105)*BA104)),MAX(0,40*MAX(1,BA104)-(0))))</f>
        <v>0</v>
      </c>
      <c r="BB106" s="63">
        <f>IF(AND(BB104=0,BB105=0),0,MIN(IF(BB104&lt;=0,0,IF(WEEKDAY(BB$6,1)=1,0,MIN(10,BB105)*BB104)),MAX(0,40*MAX(1,BB104)-(BA106))))</f>
        <v>0</v>
      </c>
      <c r="BC106" s="63">
        <f>IF(AND(BC104=0,BC105=0),0,MIN(IF(BC104&lt;=0,0,IF(WEEKDAY(BC$6,1)=1,0,MIN(10,BC105)*BC104)),MAX(0,40*MAX(1,BC104)-(BA106+BB106))))</f>
        <v>0</v>
      </c>
      <c r="BD106" s="63">
        <f>IF(AND(BD104=0,BD105=0),0,MIN(IF(BD104&lt;=0,0,IF(WEEKDAY(BD$6,1)=1,0,MIN(10,BD105)*BD104)),MAX(0,40*MAX(1,BD104)-(BA106+BB106+BC106))))</f>
        <v>0</v>
      </c>
      <c r="BE106" s="63">
        <f>IF(AND(BE104=0,BE105=0),0,MIN(IF(BE104&lt;=0,0,IF(WEEKDAY(BE$6,1)=1,0,MIN(10,BE105)*BE104)),MAX(0,40*MAX(1,BE104)-(BA106+BB106+BC106+BD106))))</f>
        <v>0</v>
      </c>
      <c r="BF106" s="64">
        <f>IF(AND(BF104=0,BF105=0),0,MIN(IF(BF104&lt;=0,0,IF(WEEKDAY(BF$6,1)=1,0,MIN(10,BF105)*BF104)),MAX(0,40*MAX(1,BF104)-(BA106+BB106+BC106+BD106+BE106))))</f>
        <v>0</v>
      </c>
      <c r="BG106" s="64">
        <f>IF(AND(BG104=0,BG105=0),0,MIN(IF(BG104&lt;=0,0,IF(WEEKDAY(BG$6,1)=1,0,MIN(10,BG105)*BG104)),MAX(0,40*MAX(1,BG104)-(BA106+BB106+BC106+BD106+BE106+BF106))))</f>
        <v>0</v>
      </c>
      <c r="BH106" s="63">
        <f>IF(AND(BH104=2,BH105=11),20,MIN(IF(BH104&lt;=0,0,IF(WEEKDAY(BH$6,1)=1,0,MIN(10,BH105)*BH104)),MAX(0,40*MAX(1,BH104)-(0))))</f>
        <v>20</v>
      </c>
      <c r="BI106" s="63">
        <f>IF(AND(BI104=2,BI105=11),20,MIN(IF(BI104&lt;=0,0,IF(WEEKDAY(BI$6,1)=1,0,MIN(10,BI105)*BI104)),MAX(0,40*MAX(1,BI104)-(BH106))))</f>
        <v>20</v>
      </c>
      <c r="BJ106" s="63">
        <f>IF(AND(BJ104=2,BJ105=11),20,MIN(IF(BJ104&lt;=0,0,IF(WEEKDAY(BJ$6,1)=1,0,MIN(10,BJ105)*BJ104)),MAX(0,40*MAX(1,BJ104)-(BH106+BI106))))</f>
        <v>20</v>
      </c>
      <c r="BK106" s="63">
        <f>IF(AND(BK104=2,BK105=11),20,MIN(IF(BK104&lt;=0,0,IF(WEEKDAY(BK$6,1)=1,0,MIN(10,BK105)*BK104)),MAX(0,40*MAX(1,BK104)-(BH106+BI106+BJ106))))</f>
        <v>20</v>
      </c>
      <c r="BL106" s="63">
        <f>IF(AND(BL104=2,BL105=11),0,MIN(IF(BL104&lt;=0,0,IF(WEEKDAY(BL$6,1)=1,0,MIN(10,BL105)*BL104)),MAX(0,40*MAX(1,BL104)-(BH106+BI106+BJ106+BK106))))</f>
        <v>0</v>
      </c>
      <c r="BM106" s="64">
        <f>IF(AND(BM104=2,BM105=11),0,MIN(IF(BM104&lt;=0,0,IF(WEEKDAY(BM$6,1)=1,0,MIN(10,BM105)*BM104)),MAX(0,40*MAX(1,BM104)-(BH106+BI106+BJ106+BK106+BL106))))</f>
        <v>0</v>
      </c>
      <c r="BN106" s="64">
        <f>IF(AND(BN104=2,BN105=11),0,MIN(IF(BN104&lt;=0,0,IF(WEEKDAY(BN$6,1)=1,0,MIN(10,BN105)*BN104)),MAX(0,40*MAX(1,BN104)-(BH106+BI106+BJ106+BK106+BL106+BM106))))</f>
        <v>0</v>
      </c>
      <c r="BO106" s="63">
        <f>IF(AND(BO104=2,BO105=11),20,MIN(IF(BO104&lt;=0,0,IF(WEEKDAY(BO$6,1)=1,0,MIN(10,BO105)*BO104)),MAX(0,40*MAX(1,BO104)-(0))))</f>
        <v>20</v>
      </c>
      <c r="BP106" s="63">
        <f>IF(AND(BP104=2,BP105=11),20,MIN(IF(BP104&lt;=0,0,IF(WEEKDAY(BP$6,1)=1,0,MIN(10,BP105)*BP104)),MAX(0,40*MAX(1,BP104)-(BO106))))</f>
        <v>20</v>
      </c>
      <c r="BQ106" s="63">
        <f>IF(AND(BQ104=2,BQ105=11),20,MIN(IF(BQ104&lt;=0,0,IF(WEEKDAY(BQ$6,1)=1,0,MIN(10,BQ105)*BQ104)),MAX(0,40*MAX(1,BQ104)-(BO106+BP106))))</f>
        <v>20</v>
      </c>
      <c r="BR106" s="63">
        <f>IF(AND(BR104=2,BR105=11),20,MIN(IF(BR104&lt;=0,0,IF(WEEKDAY(BR$6,1)=1,0,MIN(10,BR105)*BR104)),MAX(0,40*MAX(1,BR104)-(0))))</f>
        <v>20</v>
      </c>
      <c r="BS106" s="63">
        <f>IF(AND(BS104=2,BS105=11),20,MIN(IF(BS104&lt;=0,0,IF(WEEKDAY(BS$6,1)=1,0,MIN(10,BS105)*BS104)),MAX(0,40*MAX(1,BS104)-(BR106))))</f>
        <v>20</v>
      </c>
      <c r="BT106" s="64">
        <f>IF(AND(BT104=2,BT105=11),20,MIN(IF(BT104&lt;=0,0,IF(WEEKDAY(BT$6,1)=1,0,MIN(10,BT105)*BT104)),MAX(0,40*MAX(1,BT104)-(BR106+BS106))))</f>
        <v>20</v>
      </c>
      <c r="BU106" s="64">
        <f>IF(AND(BU104=2,BU105=11),0,MIN(IF(BU104&lt;=0,0,IF(WEEKDAY(BU$6,1)=1,0,MIN(10,BU105)*BU104)),MAX(0,40*MAX(1,BU104)-(BR106+BS106+BT106))))</f>
        <v>0</v>
      </c>
      <c r="BV106" s="63">
        <f>IF(AND(BV104=2,BV105=11),20,MIN(IF(BV104&lt;=0,0,IF(WEEKDAY(BV$6,1)=1,0,MIN(10,BV105)*BV104)),MAX(0,40*MAX(1,BV104)-(0))))</f>
        <v>20</v>
      </c>
      <c r="BW106" s="63">
        <f>IF(AND(BW104=2,BW105=11),20,MIN(IF(BW104&lt;=0,0,IF(WEEKDAY(BW$6,1)=1,0,MIN(10,BW105)*BW104)),MAX(0,40*MAX(1,BW104)-(BV106))))</f>
        <v>20</v>
      </c>
      <c r="BX106" s="63">
        <f>IF(AND(BX104=2,BX105=11),20,MIN(IF(BX104&lt;=0,0,IF(WEEKDAY(BX$6,1)=1,0,MIN(10,BX105)*BX104)),MAX(0,40*MAX(1,BX104)-(BV106+BW106))))</f>
        <v>20</v>
      </c>
      <c r="BY106" s="63">
        <f>IF(AND(BY104=2,BY105=11),20,MIN(IF(BY104&lt;=0,0,IF(WEEKDAY(BY$6,1)=1,0,MIN(10,BY105)*BY104)),MAX(0,40*MAX(1,BY104)-(BV106+BW106+BX106))))</f>
        <v>20</v>
      </c>
      <c r="BZ106" s="63">
        <f>IF(AND(BZ104=2,BZ105=11),0,MIN(IF(BZ104&lt;=0,0,IF(WEEKDAY(BZ$6,1)=1,0,MIN(10,BZ105)*BZ104)),MAX(0,40*MAX(1,BZ104)-(BV106+BW106+BX106+BY106))))</f>
        <v>0</v>
      </c>
      <c r="CA106" s="64">
        <f>IF(AND(CA104=2,CA105=11),0,MIN(IF(CA104&lt;=0,0,IF(WEEKDAY(CA$6,1)=1,0,MIN(10,CA105)*CA104)),MAX(0,40*MAX(1,CA104)-(BV106+BW106+BX106+BY106+BZ106))))</f>
        <v>0</v>
      </c>
      <c r="CB106" s="64">
        <f>IF(AND(CB104=2,CB105=11),0,MIN(IF(CB104&lt;=0,0,IF(WEEKDAY(CB$6,1)=1,0,MIN(10,CB105)*CB104)),MAX(0,40*MAX(1,CB104)-(BV106+BW106+BX106+BY106+BZ106+CA106))))</f>
        <v>0</v>
      </c>
      <c r="CC106" s="63">
        <f>IF(AND(CC104=2,CC105=11),20,MIN(IF(CC104&lt;=0,0,IF(WEEKDAY(CC$6,1)=1,0,MIN(10,CC105)*CC104)),MAX(0,40*MAX(1,CC104)-(0))))</f>
        <v>20</v>
      </c>
      <c r="CD106" s="63">
        <f>IF(AND(CD104=2,CD105=11),20,MIN(IF(CD104&lt;=0,0,IF(WEEKDAY(CD$6,1)=1,0,MIN(10,CD105)*CD104)),MAX(0,40*MAX(1,CD104)-(CC106))))</f>
        <v>20</v>
      </c>
      <c r="CE106" s="63">
        <f>IF(AND(CE104=2,CE105=11),20,MIN(IF(CE104&lt;=0,0,IF(WEEKDAY(CE$6,1)=1,0,MIN(10,CE105)*CE104)),MAX(0,40*MAX(1,CE104)-(CC106+CD106))))</f>
        <v>20</v>
      </c>
      <c r="CF106" s="63">
        <f>IF(AND(CF104=2,CF105=11),20,MIN(IF(CF104&lt;=0,0,IF(WEEKDAY(CF$6,1)=1,0,MIN(10,CF105)*CF104)),MAX(0,40*MAX(1,CF104)-(CC106+CD106+CE106))))</f>
        <v>20</v>
      </c>
      <c r="CG106" s="63">
        <f>IF(AND(CG104=2,CG105=11),0,MIN(IF(CG104&lt;=0,0,IF(WEEKDAY(CG$6,1)=1,0,MIN(10,CG105)*CG104)),MAX(0,40*MAX(1,CG104)-(CC106+CD106+CE106+CF106))))</f>
        <v>0</v>
      </c>
      <c r="CH106" s="64">
        <f>IF(AND(CH104=2,CH105=11),0,MIN(IF(CH104&lt;=0,0,IF(WEEKDAY(CH$6,1)=1,0,MIN(10,CH105)*CH104)),MAX(0,40*MAX(1,CH104)-(CC106+CD106+CE106+CF106+CG106))))</f>
        <v>0</v>
      </c>
      <c r="CI106" s="64">
        <f>IF(AND(CI104=2,CI105=11),0,MIN(IF(CI104&lt;=0,0,IF(WEEKDAY(CI$6,1)=1,0,MIN(10,CI105)*CI104)),MAX(0,40*MAX(1,CI104)-(CC106+CD106+CE106+CF106+CG106+CH106))))</f>
        <v>0</v>
      </c>
      <c r="CJ106" s="63">
        <f>IF(AND(CJ104=2,CJ105=11),20,MIN(IF(CJ104&lt;=0,0,IF(WEEKDAY(CJ$6,1)=1,0,MIN(10,CJ105)*CJ104)),MAX(0,40*MAX(1,CJ104)-(0))))</f>
        <v>20</v>
      </c>
      <c r="CK106" s="63">
        <f>IF(AND(CK104=2,CK105=11),20,MIN(IF(CK104&lt;=0,0,IF(WEEKDAY(CK$6,1)=1,0,MIN(10,CK105)*CK104)),MAX(0,40*MAX(1,CK104)-(CJ106))))</f>
        <v>20</v>
      </c>
      <c r="CL106" s="63">
        <f>IF(AND(CL104=2,CL105=11),20,MIN(IF(CL104&lt;=0,0,IF(WEEKDAY(CL$6,1)=1,0,MIN(10,CL105)*CL104)),MAX(0,40*MAX(1,CL104)-(CJ106+CK106))))</f>
        <v>20</v>
      </c>
      <c r="CM106" s="63">
        <f>IF(AND(CM104=2,CM105=11),20,MIN(IF(CM104&lt;=0,0,IF(WEEKDAY(CM$6,1)=1,0,MIN(10,CM105)*CM104)),MAX(0,40*MAX(1,CM104)-(CJ106+CK106+CL106))))</f>
        <v>20</v>
      </c>
      <c r="CN106" s="63">
        <f>IF(AND(CN104=2,CN105=11),0,MIN(IF(CN104&lt;=0,0,IF(WEEKDAY(CN$6,1)=1,0,MIN(10,CN105)*CN104)),MAX(0,40*MAX(1,CN104)-(CJ106+CK106+CL106+CM106))))</f>
        <v>0</v>
      </c>
      <c r="CO106" s="64">
        <f>IF(AND(CO104=2,CO105=11),0,MIN(IF(CO104&lt;=0,0,IF(WEEKDAY(CO$6,1)=1,0,MIN(10,CO105)*CO104)),MAX(0,40*MAX(1,CO104)-(CJ106+CK106+CL106+CM106+CN106))))</f>
        <v>0</v>
      </c>
      <c r="CP106" s="64">
        <f>IF(AND(CP104=2,CP105=11),0,MIN(IF(CP104&lt;=0,0,IF(WEEKDAY(CP$6,1)=1,0,MIN(10,CP105)*CP104)),MAX(0,40*MAX(1,CP104)-(CJ106+CK106+CL106+CM106+CN106+CO106))))</f>
        <v>0</v>
      </c>
      <c r="CQ106" s="63">
        <f>IF(AND(CQ104=2,CQ105=11),20,MIN(IF(CQ104&lt;=0,0,IF(WEEKDAY(CQ$6,1)=1,0,MIN(10,CQ105)*CQ104)),MAX(0,40*MAX(1,CQ104)-(0))))</f>
        <v>20</v>
      </c>
      <c r="CR106" s="63">
        <f>IF(AND(CR104=2,CR105=11),20,MIN(IF(CR104&lt;=0,0,IF(WEEKDAY(CR$6,1)=1,0,MIN(10,CR105)*CR104)),MAX(0,40*MAX(1,CR104)-(CQ106))))</f>
        <v>20</v>
      </c>
      <c r="CS106" s="63">
        <f>IF(AND(CS104=2,CS105=11),20,MIN(IF(CS104&lt;=0,0,IF(WEEKDAY(CS$6,1)=1,0,MIN(10,CS105)*CS104)),MAX(0,40*MAX(1,CS104)-(CQ106+CR106))))</f>
        <v>20</v>
      </c>
      <c r="CT106" s="63">
        <f>IF(AND(CT104=2,CT105=11),20,MIN(IF(CT104&lt;=0,0,IF(WEEKDAY(CT$6,1)=1,0,MIN(10,CT105)*CT104)),MAX(0,40*MAX(1,CT104)-(CQ106+CR106+CS106))))</f>
        <v>20</v>
      </c>
      <c r="CU106" s="63">
        <f>IF(AND(CU104=2,CU105=11),0,MIN(IF(CU104&lt;=0,0,IF(WEEKDAY(CU$6,1)=1,0,MIN(10,CU105)*CU104)),MAX(0,40*MAX(1,CU104)-(CQ106+CR106+CS106+CT106))))</f>
        <v>0</v>
      </c>
      <c r="CV106" s="64">
        <f>IF(AND(CV104=2,CV105=11),0,MIN(IF(CV104&lt;=0,0,IF(WEEKDAY(CV$6,1)=1,0,MIN(10,CV105)*CV104)),MAX(0,40*MAX(1,CV104)-(CQ106+CR106+CS106+CT106+CU106))))</f>
        <v>0</v>
      </c>
      <c r="CW106" s="64">
        <f>IF(AND(CW104=2,CW105=11),0,MIN(IF(CW104&lt;=0,0,IF(WEEKDAY(CW$6,1)=1,0,MIN(10,CW105)*CW104)),MAX(0,40*MAX(1,CW104)-(CQ106+CR106+CS106+CT106+CU106+CV106))))</f>
        <v>0</v>
      </c>
      <c r="CX106" s="63">
        <f>IF(AND(CX104=2,CX105=11),20,MIN(IF(CX104&lt;=0,0,IF(WEEKDAY(CX$6,1)=1,0,MIN(10,CX105)*CX104)),MAX(0,40*MAX(1,CX104)-(0))))</f>
        <v>20</v>
      </c>
      <c r="CY106" s="63">
        <f>IF(AND(CY104=2,CY105=11),20,MIN(IF(CY104&lt;=0,0,IF(WEEKDAY(CY$6,1)=1,0,MIN(10,CY105)*CY104)),MAX(0,40*MAX(1,CY104)-(CX106))))</f>
        <v>20</v>
      </c>
      <c r="CZ106" s="63">
        <f>IF(AND(CZ104=2,CZ105=11),20,MIN(IF(CZ104&lt;=0,0,IF(WEEKDAY(CZ$6,1)=1,0,MIN(10,CZ105)*CZ104)),MAX(0,40*MAX(1,CZ104)-(CX106+CY106))))</f>
        <v>20</v>
      </c>
      <c r="DA106" s="63">
        <f>IF(AND(DA104=2,DA105=11),20,MIN(IF(DA104&lt;=0,0,IF(WEEKDAY(DA$6,1)=1,0,MIN(10,DA105)*DA104)),MAX(0,40*MAX(1,DA104)-(CX106+CY106+CZ106))))</f>
        <v>20</v>
      </c>
      <c r="DB106" s="63">
        <f>IF(AND(DB104=2,DB105=11),0,MIN(IF(DB104&lt;=0,0,IF(WEEKDAY(DB$6,1)=1,0,MIN(10,DB105)*DB104)),MAX(0,40*MAX(1,DB104)-(CX106+CY106+CZ106+DA106))))</f>
        <v>0</v>
      </c>
      <c r="DC106" s="64">
        <f>IF(AND(DC104=2,DC105=11),0,MIN(IF(DC104&lt;=0,0,IF(WEEKDAY(DC$6,1)=1,0,MIN(10,DC105)*DC104)),MAX(0,40*MAX(1,DC104)-(CX106+CY106+CZ106+DA106+DB106))))</f>
        <v>0</v>
      </c>
      <c r="DD106" s="64">
        <f>IF(AND(DD104=2,DD105=11),0,MIN(IF(DD104&lt;=0,0,IF(WEEKDAY(DD$6,1)=1,0,MIN(10,DD105)*DD104)),MAX(0,40*MAX(1,DD104)-(0))))</f>
        <v>0</v>
      </c>
      <c r="DE106" s="63">
        <f>IF(AND(DE104=2,DE105=11),20,MIN(IF(DE104&lt;=0,0,IF(WEEKDAY(DE$6,1)=1,0,MIN(10,DE105)*DE104)),MAX(0,40*MAX(1,DE104)-(0))))</f>
        <v>20</v>
      </c>
      <c r="DF106" s="63">
        <f>IF(AND(DF104=2,DF105=11),20,MIN(IF(DF104&lt;=0,0,IF(WEEKDAY(DF$6,1)=1,0,MIN(10,DF105)*DF104)),MAX(0,40*MAX(1,DF104)-(DE106))))</f>
        <v>20</v>
      </c>
      <c r="DG106" s="63">
        <f>IF(AND(DG104=2,DG105=11),20,MIN(IF(DG104&lt;=0,0,IF(WEEKDAY(DG$6,1)=1,0,MIN(10,DG105)*DG104)),MAX(0,40*MAX(1,DG104)-(DE106+DF106))))</f>
        <v>20</v>
      </c>
      <c r="DH106" s="63">
        <f>IF(AND(DH104=2,DH105=11),20,MIN(IF(DH104&lt;=0,0,IF(WEEKDAY(DH$6,1)=1,0,MIN(10,DH105)*DH104)),MAX(0,40*MAX(1,DH104)-(DE106+DF106+DG106))))</f>
        <v>20</v>
      </c>
      <c r="DI106" s="63">
        <f>IF(AND(DI104=2,DI105=11),0,MIN(IF(DI104&lt;=0,0,IF(WEEKDAY(DI$6,1)=1,0,MIN(10,DI105)*DI104)),MAX(0,40*MAX(1,DI104)-(DE106+DF106+DG106+DH106))))</f>
        <v>0</v>
      </c>
      <c r="DJ106" s="64">
        <f>IF(AND(DJ104=2,DJ105=11),0,MIN(IF(DJ104&lt;=0,0,IF(WEEKDAY(DJ$6,1)=1,0,MIN(10,DJ105)*DJ104)),MAX(0,40*MAX(1,DJ104)-(DE106+DF106+DG106+DH106+DI106))))</f>
        <v>0</v>
      </c>
      <c r="DK106" s="64">
        <f>IF(AND(DK104=2,DK105=11),0,MIN(IF(DK104&lt;=0,0,IF(WEEKDAY(DK$6,1)=1,0,MIN(10,DK105)*DK104)),MAX(0,40*MAX(1,DK104)-(DE106+DF106+DG106+DH106+DI106+DJ106))))</f>
        <v>0</v>
      </c>
      <c r="DL106" s="63">
        <f>IF(AND(DL104=2,DL105=11),20,MIN(IF(DL104&lt;=0,0,IF(WEEKDAY(DL$6,1)=1,0,MIN(10,DL105)*DL104)),MAX(0,40*MAX(1,DL104)-(0))))</f>
        <v>20</v>
      </c>
      <c r="DM106" s="63">
        <f>IF(AND(DM104=2,DM105=11),20,MIN(IF(DM104&lt;=0,0,IF(WEEKDAY(DM$6,1)=1,0,MIN(10,DM105)*DM104)),MAX(0,40*MAX(1,DM104)-(DL106))))</f>
        <v>20</v>
      </c>
      <c r="DN106" s="63">
        <f>IF(AND(DN104=2,DN105=11),20,MIN(IF(DN104&lt;=0,0,IF(WEEKDAY(DN$6,1)=1,0,MIN(10,DN105)*DN104)),MAX(0,40*MAX(1,DN104)-(DL106+DM106))))</f>
        <v>20</v>
      </c>
      <c r="DO106" s="63">
        <f>IF(AND(DO104=2,DO105=11),20,MIN(IF(DO104&lt;=0,0,IF(WEEKDAY(DO$6,1)=1,0,MIN(10,DO105)*DO104)),MAX(0,40*MAX(1,DO104)-(DL106+DM106+DN106))))</f>
        <v>20</v>
      </c>
      <c r="DP106" s="63">
        <f>IF(AND(DP104=2,DP105=11),0,MIN(IF(DP104&lt;=0,0,IF(WEEKDAY(DP$6,1)=1,0,MIN(10,DP105)*DP104)),MAX(0,40*MAX(1,DP104)-(DL106+DM106+DN106+DO106))))</f>
        <v>0</v>
      </c>
      <c r="DQ106" s="64">
        <f>IF(AND(DQ104=2,DQ105=11),0,MIN(IF(DQ104&lt;=0,0,IF(WEEKDAY(DQ$6,1)=1,0,MIN(10,DQ105)*DQ104)),MAX(0,40*MAX(1,DQ104)-(DL106+DM106+DN106+DO106+DP106))))</f>
        <v>0</v>
      </c>
      <c r="DR106" s="64">
        <f>IF(AND(DR104=2,DR105=11),0,MIN(IF(DR104&lt;=0,0,IF(WEEKDAY(DR$6,1)=1,0,MIN(10,DR105)*DR104)),MAX(0,40*MAX(1,DR104)-(DL106+DM106+DN106+DO106+DP106+DQ106))))</f>
        <v>0</v>
      </c>
      <c r="DS106" s="63">
        <f>IF(AND(DS104=2,DS105=11),20,MIN(IF(DS104&lt;=0,0,IF(WEEKDAY(DS$6,1)=1,0,MIN(10,DS105)*DS104)),MAX(0,40*MAX(1,DS104)-(0))))</f>
        <v>20</v>
      </c>
      <c r="DT106" s="63">
        <f>IF(AND(DT104=0,DT105=0),0,MIN(IF(DT104&lt;=0,0,IF(WEEKDAY(DT$6,1)=1,0,MIN(10,DT105)*DT104)),MAX(0,40*MAX(1,DT104)-(0))))</f>
        <v>0</v>
      </c>
      <c r="DU106" s="63">
        <f>IF(AND(DU104=0,DU105=0),0,MIN(IF(DU104&lt;=0,0,IF(WEEKDAY(DU$6,1)=1,0,MIN(10,DU105)*DU104)),MAX(0,40*MAX(1,DU104)-(DT106))))</f>
        <v>0</v>
      </c>
      <c r="DV106" s="63">
        <f>IF(AND(DV104=0,DV105=0),0,MIN(IF(DV104&lt;=0,0,IF(WEEKDAY(DV$6,1)=1,0,MIN(10,DV105)*DV104)),MAX(0,40*MAX(1,DV104)-(DT106+DU106))))</f>
        <v>0</v>
      </c>
      <c r="DW106" s="63">
        <f>IF(AND(DW104=0,DW105=0),0,MIN(IF(DW104&lt;=0,0,IF(WEEKDAY(DW$6,1)=1,0,MIN(10,DW105)*DW104)),MAX(0,40*MAX(1,DW104)-(DT106+DU106+DV106))))</f>
        <v>0</v>
      </c>
      <c r="DX106" s="64">
        <f>IF(AND(DX104=0,DX105=0),0,MIN(IF(DX104&lt;=0,0,IF(WEEKDAY(DX$6,1)=1,0,MIN(10,DX105)*DX104)),MAX(0,40*MAX(1,DX104)-(DT106+DU106+DV106+DW106))))</f>
        <v>0</v>
      </c>
      <c r="DY106" s="64">
        <f>IF(AND(DY104=0,DY105=0),0,MIN(IF(DY104&lt;=0,0,IF(WEEKDAY(DY$6,1)=1,0,MIN(10,DY105)*DY104)),MAX(0,40*MAX(1,DY104)-(DT106+DU106+DV106+DW106+DX106))))</f>
        <v>0</v>
      </c>
      <c r="DZ106" s="63">
        <f>IF(AND(DZ104=0,DZ105=0),0,MIN(IF(DZ104&lt;=0,0,IF(WEEKDAY(DZ$6,1)=1,0,MIN(10,DZ105)*DZ104)),MAX(0,40*MAX(1,DZ104)-(0))))</f>
        <v>0</v>
      </c>
      <c r="EA106" s="63">
        <f>IF(AND(EA104=0,EA105=0),0,MIN(IF(EA104&lt;=0,0,IF(WEEKDAY(EA$6,1)=1,0,MIN(10,EA105)*EA104)),MAX(0,40*MAX(1,EA104)-(DZ106))))</f>
        <v>0</v>
      </c>
      <c r="EB106" s="63">
        <f>IF(AND(EB104=0,EB105=0),0,MIN(IF(EB104&lt;=0,0,IF(WEEKDAY(EB$6,1)=1,0,MIN(10,EB105)*EB104)),MAX(0,40*MAX(1,EB104)-(DZ106+EA106))))</f>
        <v>0</v>
      </c>
      <c r="EC106" s="63">
        <f>IF(AND(EC104=0,EC105=0),0,MIN(IF(EC104&lt;=0,0,IF(WEEKDAY(EC$6,1)=1,0,MIN(10,EC105)*EC104)),MAX(0,40*MAX(1,EC104)-(DZ106+EA106+EB106))))</f>
        <v>0</v>
      </c>
      <c r="ED106" s="63">
        <f>IF(AND(ED104=0,ED105=0),0,MIN(IF(ED104&lt;=0,0,IF(WEEKDAY(ED$6,1)=1,0,MIN(10,ED105)*ED104)),MAX(0,40*MAX(1,ED104)-(DZ106+EA106+EB106+EC106))))</f>
        <v>0</v>
      </c>
      <c r="EE106" s="64">
        <f>IF(AND(EE104=0,EE105=0),0,MIN(IF(EE104&lt;=0,0,IF(WEEKDAY(EE$6,1)=1,0,MIN(10,EE105)*EE104)),MAX(0,40*MAX(1,EE104)-(DZ106+EA106+EB106+EC106+ED106))))</f>
        <v>0</v>
      </c>
      <c r="EF106" s="64">
        <f>IF(AND(EF104=0,EF105=0),0,MIN(IF(EF104&lt;=0,0,IF(WEEKDAY(EF$6,1)=1,0,MIN(10,EF105)*EF104)),MAX(0,40*MAX(1,EF104)-(DZ106+EA106+EB106+EC106+ED106+EE106))))</f>
        <v>0</v>
      </c>
      <c r="EG106" s="63">
        <f>IF(AND(EG104=0,EG105=0),0,MIN(IF(EG104&lt;=0,0,IF(WEEKDAY(EG$6,1)=1,0,MIN(10,EG105)*EG104)),MAX(0,40*MAX(1,EG104)-(0))))</f>
        <v>0</v>
      </c>
      <c r="EH106" s="63">
        <f>IF(AND(EH104=0,EH105=0),0,MIN(IF(EH104&lt;=0,0,IF(WEEKDAY(EH$6,1)=1,0,MIN(10,EH105)*EH104)),MAX(0,40*MAX(1,EH104)-(EG106))))</f>
        <v>0</v>
      </c>
      <c r="EI106" s="63">
        <f>IF(AND(EI104=0,EI105=0),0,MIN(IF(EI104&lt;=0,0,IF(WEEKDAY(EI$6,1)=1,0,MIN(10,EI105)*EI104)),MAX(0,40*MAX(1,EI104)-(EG106+EH106))))</f>
        <v>0</v>
      </c>
      <c r="EJ106" s="63">
        <f>IF(AND(EJ104=0,EJ105=0),0,MIN(IF(EJ104&lt;=0,0,IF(WEEKDAY(EJ$6,1)=1,0,MIN(10,EJ105)*EJ104)),MAX(0,40*MAX(1,EJ104)-(EG106+EH106+EI106))))</f>
        <v>0</v>
      </c>
      <c r="EK106" s="65">
        <f>IF(AND(EK104=0,EK105=0),0,MIN(IF(EK104&lt;=0,0,IF(WEEKDAY(EK$6,1)=1,0,MIN(10,EK105)*EK104)),MAX(0,40*MAX(1,EK104)-(EG106+EH106+EI106+EJ106))))</f>
        <v>0</v>
      </c>
      <c r="OU106" s="28" t="s">
        <v>85</v>
      </c>
    </row>
    <row r="107" ht="16" customHeight="1" spans="1:411" x14ac:dyDescent="0.25">
      <c r="A107" s="74"/>
      <c r="B107" s="46"/>
      <c r="C107" s="66">
        <f>G103*N(D107)</f>
        <v>52546</v>
      </c>
      <c r="D107" s="66">
        <f>IF(TRIM(B103)="","No rate",IFERROR(INDEX('Rate Tables'!D$7:D$158,MATCH(B103,'Rate Tables'!A$7:A$158,0)),"No rate"))</f>
        <v>122.2</v>
      </c>
      <c r="E107" s="55" t="s">
        <v>63</v>
      </c>
      <c r="F107" s="49"/>
      <c r="G107" s="49"/>
      <c r="H107" s="49"/>
      <c r="I107" s="49"/>
      <c r="J107" s="50"/>
      <c r="K107" s="62">
        <f>IF(AND(K104=0,K105=0),0,IF(K104&lt;=0,0,IF(WEEKDAY(K$6,1)=1,0,MAX(0,K105-10)*K104))+((IF(K104&lt;=0,0,IF(WEEKDAY(K$6,1)=1,0,MIN(10,K105)*K104)))-MIN(IF(K104&lt;=0,0,IF(WEEKDAY(K$6,1)=1,0,MIN(10,K105)*K104)),MAX(0,40*MAX(1,K104)-(0)))))</f>
        <v>0</v>
      </c>
      <c r="L107" s="63">
        <f>IF(AND(L104=0,L105=0),0,IF(L104&lt;=0,0,IF(WEEKDAY(L$6,1)=1,0,MAX(0,L105-10)*L104))+((IF(L104&lt;=0,0,IF(WEEKDAY(L$6,1)=1,0,MIN(10,L105)*L104)))-MIN(IF(L104&lt;=0,0,IF(WEEKDAY(L$6,1)=1,0,MIN(10,L105)*L104)),MAX(0,40*MAX(1,L104)-(K106)))))</f>
        <v>0</v>
      </c>
      <c r="M107" s="63">
        <f>IF(AND(M104=0,M105=0),0,IF(M104&lt;=0,0,IF(WEEKDAY(M$6,1)=1,0,MAX(0,M105-10)*M104))+((IF(M104&lt;=0,0,IF(WEEKDAY(M$6,1)=1,0,MIN(10,M105)*M104)))-MIN(IF(M104&lt;=0,0,IF(WEEKDAY(M$6,1)=1,0,MIN(10,M105)*M104)),MAX(0,40*MAX(1,M104)-(K106+L106)))))</f>
        <v>0</v>
      </c>
      <c r="N107" s="63">
        <f>IF(AND(N104=0,N105=0),0,IF(N104&lt;=0,0,IF(WEEKDAY(N$6,1)=1,0,MAX(0,N105-10)*N104))+((IF(N104&lt;=0,0,IF(WEEKDAY(N$6,1)=1,0,MIN(10,N105)*N104)))-MIN(IF(N104&lt;=0,0,IF(WEEKDAY(N$6,1)=1,0,MIN(10,N105)*N104)),MAX(0,40*MAX(1,N104)-(K106+L106+M106)))))</f>
        <v>0</v>
      </c>
      <c r="O107" s="63">
        <f>IF(AND(O104=0,O105=0),0,IF(O104&lt;=0,0,IF(WEEKDAY(O$6,1)=1,0,MAX(0,O105-10)*O104))+((IF(O104&lt;=0,0,IF(WEEKDAY(O$6,1)=1,0,MIN(10,O105)*O104)))-MIN(IF(O104&lt;=0,0,IF(WEEKDAY(O$6,1)=1,0,MIN(10,O105)*O104)),MAX(0,40*MAX(1,O104)-(K106+L106+M106+N106)))))</f>
        <v>0</v>
      </c>
      <c r="P107" s="64">
        <f>IF(AND(P104=0,P105=0),0,IF(P104&lt;=0,0,IF(WEEKDAY(P$6,1)=1,0,MAX(0,P105-10)*P104))+((IF(P104&lt;=0,0,IF(WEEKDAY(P$6,1)=1,0,MIN(10,P105)*P104)))-MIN(IF(P104&lt;=0,0,IF(WEEKDAY(P$6,1)=1,0,MIN(10,P105)*P104)),MAX(0,40*MAX(1,P104)-(K106+L106+M106+N106+O106)))))</f>
        <v>0</v>
      </c>
      <c r="Q107" s="64">
        <f>IF(AND(Q104=0,Q105=0),0,IF(Q104&lt;=0,0,IF(WEEKDAY(Q$6,1)=1,0,MAX(0,Q105-10)*Q104))+((IF(Q104&lt;=0,0,IF(WEEKDAY(Q$6,1)=1,0,MIN(10,Q105)*Q104)))-MIN(IF(Q104&lt;=0,0,IF(WEEKDAY(Q$6,1)=1,0,MIN(10,Q105)*Q104)),MAX(0,40*MAX(1,Q104)-(K106+L106+M106+N106+O106+P106)))))</f>
        <v>0</v>
      </c>
      <c r="R107" s="63">
        <f>IF(AND(R104=0,R105=0),0,IF(R104&lt;=0,0,IF(WEEKDAY(R$6,1)=1,0,MAX(0,R105-10)*R104))+((IF(R104&lt;=0,0,IF(WEEKDAY(R$6,1)=1,0,MIN(10,R105)*R104)))-MIN(IF(R104&lt;=0,0,IF(WEEKDAY(R$6,1)=1,0,MIN(10,R105)*R104)),MAX(0,40*MAX(1,R104)-(0)))))</f>
        <v>0</v>
      </c>
      <c r="S107" s="63">
        <f>IF(AND(S104=0,S105=0),0,IF(S104&lt;=0,0,IF(WEEKDAY(S$6,1)=1,0,MAX(0,S105-10)*S104))+((IF(S104&lt;=0,0,IF(WEEKDAY(S$6,1)=1,0,MIN(10,S105)*S104)))-MIN(IF(S104&lt;=0,0,IF(WEEKDAY(S$6,1)=1,0,MIN(10,S105)*S104)),MAX(0,40*MAX(1,S104)-(R106)))))</f>
        <v>0</v>
      </c>
      <c r="T107" s="63">
        <f>IF(AND(T104=0,T105=0),0,IF(T104&lt;=0,0,IF(WEEKDAY(T$6,1)=1,0,MAX(0,T105-10)*T104))+((IF(T104&lt;=0,0,IF(WEEKDAY(T$6,1)=1,0,MIN(10,T105)*T104)))-MIN(IF(T104&lt;=0,0,IF(WEEKDAY(T$6,1)=1,0,MIN(10,T105)*T104)),MAX(0,40*MAX(1,T104)-(R106+S106)))))</f>
        <v>0</v>
      </c>
      <c r="U107" s="63">
        <f>IF(AND(U104=0,U105=0),0,IF(U104&lt;=0,0,IF(WEEKDAY(U$6,1)=1,0,MAX(0,U105-10)*U104))+((IF(U104&lt;=0,0,IF(WEEKDAY(U$6,1)=1,0,MIN(10,U105)*U104)))-MIN(IF(U104&lt;=0,0,IF(WEEKDAY(U$6,1)=1,0,MIN(10,U105)*U104)),MAX(0,40*MAX(1,U104)-(R106+S106+T106)))))</f>
        <v>0</v>
      </c>
      <c r="V107" s="63">
        <f>IF(AND(V104=0,V105=0),0,IF(V104&lt;=0,0,IF(WEEKDAY(V$6,1)=1,0,MAX(0,V105-10)*V104))+((IF(V104&lt;=0,0,IF(WEEKDAY(V$6,1)=1,0,MIN(10,V105)*V104)))-MIN(IF(V104&lt;=0,0,IF(WEEKDAY(V$6,1)=1,0,MIN(10,V105)*V104)),MAX(0,40*MAX(1,V104)-(R106+S106+T106+U106)))))</f>
        <v>0</v>
      </c>
      <c r="W107" s="64">
        <f>IF(AND(W104=0,W105=0),0,IF(W104&lt;=0,0,IF(WEEKDAY(W$6,1)=1,0,MAX(0,W105-10)*W104))+((IF(W104&lt;=0,0,IF(WEEKDAY(W$6,1)=1,0,MIN(10,W105)*W104)))-MIN(IF(W104&lt;=0,0,IF(WEEKDAY(W$6,1)=1,0,MIN(10,W105)*W104)),MAX(0,40*MAX(1,W104)-(R106+S106+T106+U106+V106)))))</f>
        <v>0</v>
      </c>
      <c r="X107" s="64">
        <f>IF(AND(X104=0,X105=0),0,IF(X104&lt;=0,0,IF(WEEKDAY(X$6,1)=1,0,MAX(0,X105-10)*X104))+((IF(X104&lt;=0,0,IF(WEEKDAY(X$6,1)=1,0,MIN(10,X105)*X104)))-MIN(IF(X104&lt;=0,0,IF(WEEKDAY(X$6,1)=1,0,MIN(10,X105)*X104)),MAX(0,40*MAX(1,X104)-(R106+S106+T106+U106+V106+W106)))))</f>
        <v>0</v>
      </c>
      <c r="Y107" s="63">
        <f>IF(AND(Y104=0,Y105=0),0,IF(Y104&lt;=0,0,IF(WEEKDAY(Y$6,1)=1,0,MAX(0,Y105-10)*Y104))+((IF(Y104&lt;=0,0,IF(WEEKDAY(Y$6,1)=1,0,MIN(10,Y105)*Y104)))-MIN(IF(Y104&lt;=0,0,IF(WEEKDAY(Y$6,1)=1,0,MIN(10,Y105)*Y104)),MAX(0,40*MAX(1,Y104)-(0)))))</f>
        <v>0</v>
      </c>
      <c r="Z107" s="63">
        <f>IF(AND(Z104=0,Z105=0),0,IF(Z104&lt;=0,0,IF(WEEKDAY(Z$6,1)=1,0,MAX(0,Z105-10)*Z104))+((IF(Z104&lt;=0,0,IF(WEEKDAY(Z$6,1)=1,0,MIN(10,Z105)*Z104)))-MIN(IF(Z104&lt;=0,0,IF(WEEKDAY(Z$6,1)=1,0,MIN(10,Z105)*Z104)),MAX(0,40*MAX(1,Z104)-(Y106)))))</f>
        <v>0</v>
      </c>
      <c r="AA107" s="63">
        <f>IF(AND(AA104=0,AA105=0),0,IF(AA104&lt;=0,0,IF(WEEKDAY(AA$6,1)=1,0,MAX(0,AA105-10)*AA104))+((IF(AA104&lt;=0,0,IF(WEEKDAY(AA$6,1)=1,0,MIN(10,AA105)*AA104)))-MIN(IF(AA104&lt;=0,0,IF(WEEKDAY(AA$6,1)=1,0,MIN(10,AA105)*AA104)),MAX(0,40*MAX(1,AA104)-(Y106+Z106)))))</f>
        <v>0</v>
      </c>
      <c r="AB107" s="63">
        <f>IF(AND(AB104=0,AB105=0),0,IF(AB104&lt;=0,0,IF(WEEKDAY(AB$6,1)=1,0,MAX(0,AB105-10)*AB104))+((IF(AB104&lt;=0,0,IF(WEEKDAY(AB$6,1)=1,0,MIN(10,AB105)*AB104)))-MIN(IF(AB104&lt;=0,0,IF(WEEKDAY(AB$6,1)=1,0,MIN(10,AB105)*AB104)),MAX(0,40*MAX(1,AB104)-(Y106+Z106+AA106)))))</f>
        <v>0</v>
      </c>
      <c r="AC107" s="63">
        <f>IF(AND(AC104=0,AC105=0),0,IF(AC104&lt;=0,0,IF(WEEKDAY(AC$6,1)=1,0,MAX(0,AC105-10)*AC104))+((IF(AC104&lt;=0,0,IF(WEEKDAY(AC$6,1)=1,0,MIN(10,AC105)*AC104)))-MIN(IF(AC104&lt;=0,0,IF(WEEKDAY(AC$6,1)=1,0,MIN(10,AC105)*AC104)),MAX(0,40*MAX(1,AC104)-(Y106+Z106+AA106+AB106)))))</f>
        <v>0</v>
      </c>
      <c r="AD107" s="64">
        <f>IF(AND(AD104=0,AD105=0),0,IF(AD104&lt;=0,0,IF(WEEKDAY(AD$6,1)=1,0,MAX(0,AD105-10)*AD104))+((IF(AD104&lt;=0,0,IF(WEEKDAY(AD$6,1)=1,0,MIN(10,AD105)*AD104)))-MIN(IF(AD104&lt;=0,0,IF(WEEKDAY(AD$6,1)=1,0,MIN(10,AD105)*AD104)),MAX(0,40*MAX(1,AD104)-(Y106+Z106+AA106+AB106+AC106)))))</f>
        <v>0</v>
      </c>
      <c r="AE107" s="64">
        <f>IF(AND(AE104=0,AE105=0),0,IF(AE104&lt;=0,0,IF(WEEKDAY(AE$6,1)=1,0,MAX(0,AE105-10)*AE104))+((IF(AE104&lt;=0,0,IF(WEEKDAY(AE$6,1)=1,0,MIN(10,AE105)*AE104)))-MIN(IF(AE104&lt;=0,0,IF(WEEKDAY(AE$6,1)=1,0,MIN(10,AE105)*AE104)),MAX(0,40*MAX(1,AE104)-(Y106+Z106+AA106+AB106+AC106+AD106)))))</f>
        <v>0</v>
      </c>
      <c r="AF107" s="63">
        <f>IF(AND(AF104=0,AF105=0),0,IF(AF104&lt;=0,0,IF(WEEKDAY(AF$6,1)=1,0,MAX(0,AF105-10)*AF104))+((IF(AF104&lt;=0,0,IF(WEEKDAY(AF$6,1)=1,0,MIN(10,AF105)*AF104)))-MIN(IF(AF104&lt;=0,0,IF(WEEKDAY(AF$6,1)=1,0,MIN(10,AF105)*AF104)),MAX(0,40*MAX(1,AF104)-(0)))))</f>
        <v>0</v>
      </c>
      <c r="AG107" s="63">
        <f>IF(AND(AG104=0,AG105=0),0,IF(AG104&lt;=0,0,IF(WEEKDAY(AG$6,1)=1,0,MAX(0,AG105-10)*AG104))+((IF(AG104&lt;=0,0,IF(WEEKDAY(AG$6,1)=1,0,MIN(10,AG105)*AG104)))-MIN(IF(AG104&lt;=0,0,IF(WEEKDAY(AG$6,1)=1,0,MIN(10,AG105)*AG104)),MAX(0,40*MAX(1,AG104)-(AF106)))))</f>
        <v>0</v>
      </c>
      <c r="AH107" s="63">
        <f>IF(AND(AH104=0,AH105=0),0,IF(AH104&lt;=0,0,IF(WEEKDAY(AH$6,1)=1,0,MAX(0,AH105-10)*AH104))+((IF(AH104&lt;=0,0,IF(WEEKDAY(AH$6,1)=1,0,MIN(10,AH105)*AH104)))-MIN(IF(AH104&lt;=0,0,IF(WEEKDAY(AH$6,1)=1,0,MIN(10,AH105)*AH104)),MAX(0,40*MAX(1,AH104)-(AF106+AG106)))))</f>
        <v>0</v>
      </c>
      <c r="AI107" s="63">
        <f>IF(AND(AI104=0,AI105=0),0,IF(AI104&lt;=0,0,IF(WEEKDAY(AI$6,1)=1,0,MAX(0,AI105-10)*AI104))+((IF(AI104&lt;=0,0,IF(WEEKDAY(AI$6,1)=1,0,MIN(10,AI105)*AI104)))-MIN(IF(AI104&lt;=0,0,IF(WEEKDAY(AI$6,1)=1,0,MIN(10,AI105)*AI104)),MAX(0,40*MAX(1,AI104)-(AF106+AG106+AH106)))))</f>
        <v>0</v>
      </c>
      <c r="AJ107" s="63">
        <f>IF(AND(AJ104=0,AJ105=0),0,IF(AJ104&lt;=0,0,IF(WEEKDAY(AJ$6,1)=1,0,MAX(0,AJ105-10)*AJ104))+((IF(AJ104&lt;=0,0,IF(WEEKDAY(AJ$6,1)=1,0,MIN(10,AJ105)*AJ104)))-MIN(IF(AJ104&lt;=0,0,IF(WEEKDAY(AJ$6,1)=1,0,MIN(10,AJ105)*AJ104)),MAX(0,40*MAX(1,AJ104)-(AF106+AG106+AH106+AI106)))))</f>
        <v>0</v>
      </c>
      <c r="AK107" s="64">
        <f>IF(AND(AK104=0,AK105=0),0,IF(AK104&lt;=0,0,IF(WEEKDAY(AK$6,1)=1,0,MAX(0,AK105-10)*AK104))+((IF(AK104&lt;=0,0,IF(WEEKDAY(AK$6,1)=1,0,MIN(10,AK105)*AK104)))-MIN(IF(AK104&lt;=0,0,IF(WEEKDAY(AK$6,1)=1,0,MIN(10,AK105)*AK104)),MAX(0,40*MAX(1,AK104)-(AF106+AG106+AH106+AI106+AJ106)))))</f>
        <v>0</v>
      </c>
      <c r="AL107" s="64">
        <f>IF(AND(AL104=0,AL105=0),0,IF(AL104&lt;=0,0,IF(WEEKDAY(AL$6,1)=1,0,MAX(0,AL105-10)*AL104))+((IF(AL104&lt;=0,0,IF(WEEKDAY(AL$6,1)=1,0,MIN(10,AL105)*AL104)))-MIN(IF(AL104&lt;=0,0,IF(WEEKDAY(AL$6,1)=1,0,MIN(10,AL105)*AL104)),MAX(0,40*MAX(1,AL104)-(AF106+AG106+AH106+AI106+AJ106+AK106)))))</f>
        <v>0</v>
      </c>
      <c r="AM107" s="63">
        <f>IF(AND(AM104=0,AM105=0),0,IF(AM104&lt;=0,0,IF(WEEKDAY(AM$6,1)=1,0,MAX(0,AM105-10)*AM104))+((IF(AM104&lt;=0,0,IF(WEEKDAY(AM$6,1)=1,0,MIN(10,AM105)*AM104)))-MIN(IF(AM104&lt;=0,0,IF(WEEKDAY(AM$6,1)=1,0,MIN(10,AM105)*AM104)),MAX(0,40*MAX(1,AM104)-(0)))))</f>
        <v>0</v>
      </c>
      <c r="AN107" s="63">
        <f>IF(AND(AN104=0,AN105=0),0,IF(AN104&lt;=0,0,IF(WEEKDAY(AN$6,1)=1,0,MAX(0,AN105-10)*AN104))+((IF(AN104&lt;=0,0,IF(WEEKDAY(AN$6,1)=1,0,MIN(10,AN105)*AN104)))-MIN(IF(AN104&lt;=0,0,IF(WEEKDAY(AN$6,1)=1,0,MIN(10,AN105)*AN104)),MAX(0,40*MAX(1,AN104)-(AM106)))))</f>
        <v>0</v>
      </c>
      <c r="AO107" s="63">
        <f>IF(AND(AO104=0,AO105=0),0,IF(AO104&lt;=0,0,IF(WEEKDAY(AO$6,1)=1,0,MAX(0,AO105-10)*AO104))+((IF(AO104&lt;=0,0,IF(WEEKDAY(AO$6,1)=1,0,MIN(10,AO105)*AO104)))-MIN(IF(AO104&lt;=0,0,IF(WEEKDAY(AO$6,1)=1,0,MIN(10,AO105)*AO104)),MAX(0,40*MAX(1,AO104)-(AM106+AN106)))))</f>
        <v>0</v>
      </c>
      <c r="AP107" s="63">
        <f>IF(AND(AP104=0,AP105=0),0,IF(AP104&lt;=0,0,IF(WEEKDAY(AP$6,1)=1,0,MAX(0,AP105-10)*AP104))+((IF(AP104&lt;=0,0,IF(WEEKDAY(AP$6,1)=1,0,MIN(10,AP105)*AP104)))-MIN(IF(AP104&lt;=0,0,IF(WEEKDAY(AP$6,1)=1,0,MIN(10,AP105)*AP104)),MAX(0,40*MAX(1,AP104)-(AM106+AN106+AO106)))))</f>
        <v>0</v>
      </c>
      <c r="AQ107" s="63">
        <f>IF(AND(AQ104=0,AQ105=0),0,IF(AQ104&lt;=0,0,IF(WEEKDAY(AQ$6,1)=1,0,MAX(0,AQ105-10)*AQ104))+((IF(AQ104&lt;=0,0,IF(WEEKDAY(AQ$6,1)=1,0,MIN(10,AQ105)*AQ104)))-MIN(IF(AQ104&lt;=0,0,IF(WEEKDAY(AQ$6,1)=1,0,MIN(10,AQ105)*AQ104)),MAX(0,40*MAX(1,AQ104)-(AM106+AN106+AO106+AP106)))))</f>
        <v>0</v>
      </c>
      <c r="AR107" s="64">
        <f>IF(AND(AR104=0,AR105=0),0,IF(AR104&lt;=0,0,IF(WEEKDAY(AR$6,1)=1,0,MAX(0,AR105-10)*AR104))+((IF(AR104&lt;=0,0,IF(WEEKDAY(AR$6,1)=1,0,MIN(10,AR105)*AR104)))-MIN(IF(AR104&lt;=0,0,IF(WEEKDAY(AR$6,1)=1,0,MIN(10,AR105)*AR104)),MAX(0,40*MAX(1,AR104)-(AM106+AN106+AO106+AP106+AQ106)))))</f>
        <v>0</v>
      </c>
      <c r="AS107" s="64">
        <f>IF(AND(AS104=0,AS105=0),0,IF(AS104&lt;=0,0,IF(WEEKDAY(AS$6,1)=1,0,MAX(0,AS105-10)*AS104))+((IF(AS104&lt;=0,0,IF(WEEKDAY(AS$6,1)=1,0,MIN(10,AS105)*AS104)))-MIN(IF(AS104&lt;=0,0,IF(WEEKDAY(AS$6,1)=1,0,MIN(10,AS105)*AS104)),MAX(0,40*MAX(1,AS104)-(AM106+AN106+AO106+AP106+AQ106+AR106)))))</f>
        <v>0</v>
      </c>
      <c r="AT107" s="63">
        <f>IF(AND(AT104=0,AT105=0),0,IF(AT104&lt;=0,0,IF(WEEKDAY(AT$6,1)=1,0,MAX(0,AT105-10)*AT104))+((IF(AT104&lt;=0,0,IF(WEEKDAY(AT$6,1)=1,0,MIN(10,AT105)*AT104)))-MIN(IF(AT104&lt;=0,0,IF(WEEKDAY(AT$6,1)=1,0,MIN(10,AT105)*AT104)),MAX(0,40*MAX(1,AT104)-(0)))))</f>
        <v>0</v>
      </c>
      <c r="AU107" s="63">
        <f>IF(AND(AU104=0,AU105=0),0,IF(AU104&lt;=0,0,IF(WEEKDAY(AU$6,1)=1,0,MAX(0,AU105-10)*AU104))+((IF(AU104&lt;=0,0,IF(WEEKDAY(AU$6,1)=1,0,MIN(10,AU105)*AU104)))-MIN(IF(AU104&lt;=0,0,IF(WEEKDAY(AU$6,1)=1,0,MIN(10,AU105)*AU104)),MAX(0,40*MAX(1,AU104)-(AT106)))))</f>
        <v>0</v>
      </c>
      <c r="AV107" s="63">
        <f>IF(AND(AV104=0,AV105=0),0,IF(AV104&lt;=0,0,IF(WEEKDAY(AV$6,1)=1,0,MAX(0,AV105-10)*AV104))+((IF(AV104&lt;=0,0,IF(WEEKDAY(AV$6,1)=1,0,MIN(10,AV105)*AV104)))-MIN(IF(AV104&lt;=0,0,IF(WEEKDAY(AV$6,1)=1,0,MIN(10,AV105)*AV104)),MAX(0,40*MAX(1,AV104)-(AT106+AU106)))))</f>
        <v>0</v>
      </c>
      <c r="AW107" s="63">
        <f>IF(AND(AW104=0,AW105=0),0,IF(AW104&lt;=0,0,IF(WEEKDAY(AW$6,1)=1,0,MAX(0,AW105-10)*AW104))+((IF(AW104&lt;=0,0,IF(WEEKDAY(AW$6,1)=1,0,MIN(10,AW105)*AW104)))-MIN(IF(AW104&lt;=0,0,IF(WEEKDAY(AW$6,1)=1,0,MIN(10,AW105)*AW104)),MAX(0,40*MAX(1,AW104)-(AT106+AU106+AV106)))))</f>
        <v>0</v>
      </c>
      <c r="AX107" s="63">
        <f>IF(AND(AX104=0,AX105=0),0,IF(AX104&lt;=0,0,IF(WEEKDAY(AX$6,1)=1,0,MAX(0,AX105-10)*AX104))+((IF(AX104&lt;=0,0,IF(WEEKDAY(AX$6,1)=1,0,MIN(10,AX105)*AX104)))-MIN(IF(AX104&lt;=0,0,IF(WEEKDAY(AX$6,1)=1,0,MIN(10,AX105)*AX104)),MAX(0,40*MAX(1,AX104)-(AT106+AU106+AV106+AW106)))))</f>
        <v>0</v>
      </c>
      <c r="AY107" s="64">
        <f>IF(AND(AY104=0,AY105=0),0,IF(AY104&lt;=0,0,IF(WEEKDAY(AY$6,1)=1,0,MAX(0,AY105-10)*AY104))+((IF(AY104&lt;=0,0,IF(WEEKDAY(AY$6,1)=1,0,MIN(10,AY105)*AY104)))-MIN(IF(AY104&lt;=0,0,IF(WEEKDAY(AY$6,1)=1,0,MIN(10,AY105)*AY104)),MAX(0,40*MAX(1,AY104)-(AT106+AU106+AV106+AW106+AX106)))))</f>
        <v>0</v>
      </c>
      <c r="AZ107" s="64">
        <f>IF(AND(AZ104=0,AZ105=0),0,IF(AZ104&lt;=0,0,IF(WEEKDAY(AZ$6,1)=1,0,MAX(0,AZ105-10)*AZ104))+((IF(AZ104&lt;=0,0,IF(WEEKDAY(AZ$6,1)=1,0,MIN(10,AZ105)*AZ104)))-MIN(IF(AZ104&lt;=0,0,IF(WEEKDAY(AZ$6,1)=1,0,MIN(10,AZ105)*AZ104)),MAX(0,40*MAX(1,AZ104)-(AT106+AU106+AV106+AW106+AX106+AY106)))))</f>
        <v>0</v>
      </c>
      <c r="BA107" s="63">
        <f>IF(AND(BA104=0,BA105=0),0,IF(BA104&lt;=0,0,IF(WEEKDAY(BA$6,1)=1,0,MAX(0,BA105-10)*BA104))+((IF(BA104&lt;=0,0,IF(WEEKDAY(BA$6,1)=1,0,MIN(10,BA105)*BA104)))-MIN(IF(BA104&lt;=0,0,IF(WEEKDAY(BA$6,1)=1,0,MIN(10,BA105)*BA104)),MAX(0,40*MAX(1,BA104)-(0)))))</f>
        <v>0</v>
      </c>
      <c r="BB107" s="63">
        <f>IF(AND(BB104=0,BB105=0),0,IF(BB104&lt;=0,0,IF(WEEKDAY(BB$6,1)=1,0,MAX(0,BB105-10)*BB104))+((IF(BB104&lt;=0,0,IF(WEEKDAY(BB$6,1)=1,0,MIN(10,BB105)*BB104)))-MIN(IF(BB104&lt;=0,0,IF(WEEKDAY(BB$6,1)=1,0,MIN(10,BB105)*BB104)),MAX(0,40*MAX(1,BB104)-(BA106)))))</f>
        <v>0</v>
      </c>
      <c r="BC107" s="63">
        <f>IF(AND(BC104=0,BC105=0),0,IF(BC104&lt;=0,0,IF(WEEKDAY(BC$6,1)=1,0,MAX(0,BC105-10)*BC104))+((IF(BC104&lt;=0,0,IF(WEEKDAY(BC$6,1)=1,0,MIN(10,BC105)*BC104)))-MIN(IF(BC104&lt;=0,0,IF(WEEKDAY(BC$6,1)=1,0,MIN(10,BC105)*BC104)),MAX(0,40*MAX(1,BC104)-(BA106+BB106)))))</f>
        <v>0</v>
      </c>
      <c r="BD107" s="63">
        <f>IF(AND(BD104=0,BD105=0),0,IF(BD104&lt;=0,0,IF(WEEKDAY(BD$6,1)=1,0,MAX(0,BD105-10)*BD104))+((IF(BD104&lt;=0,0,IF(WEEKDAY(BD$6,1)=1,0,MIN(10,BD105)*BD104)))-MIN(IF(BD104&lt;=0,0,IF(WEEKDAY(BD$6,1)=1,0,MIN(10,BD105)*BD104)),MAX(0,40*MAX(1,BD104)-(BA106+BB106+BC106)))))</f>
        <v>0</v>
      </c>
      <c r="BE107" s="63">
        <f>IF(AND(BE104=0,BE105=0),0,IF(BE104&lt;=0,0,IF(WEEKDAY(BE$6,1)=1,0,MAX(0,BE105-10)*BE104))+((IF(BE104&lt;=0,0,IF(WEEKDAY(BE$6,1)=1,0,MIN(10,BE105)*BE104)))-MIN(IF(BE104&lt;=0,0,IF(WEEKDAY(BE$6,1)=1,0,MIN(10,BE105)*BE104)),MAX(0,40*MAX(1,BE104)-(BA106+BB106+BC106+BD106)))))</f>
        <v>0</v>
      </c>
      <c r="BF107" s="64">
        <f>IF(AND(BF104=0,BF105=0),0,IF(BF104&lt;=0,0,IF(WEEKDAY(BF$6,1)=1,0,MAX(0,BF105-10)*BF104))+((IF(BF104&lt;=0,0,IF(WEEKDAY(BF$6,1)=1,0,MIN(10,BF105)*BF104)))-MIN(IF(BF104&lt;=0,0,IF(WEEKDAY(BF$6,1)=1,0,MIN(10,BF105)*BF104)),MAX(0,40*MAX(1,BF104)-(BA106+BB106+BC106+BD106+BE106)))))</f>
        <v>0</v>
      </c>
      <c r="BG107" s="64">
        <f>IF(AND(BG104=0,BG105=0),0,IF(BG104&lt;=0,0,IF(WEEKDAY(BG$6,1)=1,0,MAX(0,BG105-10)*BG104))+((IF(BG104&lt;=0,0,IF(WEEKDAY(BG$6,1)=1,0,MIN(10,BG105)*BG104)))-MIN(IF(BG104&lt;=0,0,IF(WEEKDAY(BG$6,1)=1,0,MIN(10,BG105)*BG104)),MAX(0,40*MAX(1,BG104)-(BA106+BB106+BC106+BD106+BE106+BF106)))))</f>
        <v>0</v>
      </c>
      <c r="BH107" s="63">
        <f>IF(AND(BH104=2,BH105=11),2,IF(BH104&lt;=0,0,IF(WEEKDAY(BH$6,1)=1,0,MAX(0,BH105-10)*BH104))+((IF(BH104&lt;=0,0,IF(WEEKDAY(BH$6,1)=1,0,MIN(10,BH105)*BH104)))-MIN(IF(BH104&lt;=0,0,IF(WEEKDAY(BH$6,1)=1,0,MIN(10,BH105)*BH104)),MAX(0,40*MAX(1,BH104)-(0)))))</f>
        <v>2</v>
      </c>
      <c r="BI107" s="63">
        <f>IF(AND(BI104=2,BI105=11),2,IF(BI104&lt;=0,0,IF(WEEKDAY(BI$6,1)=1,0,MAX(0,BI105-10)*BI104))+((IF(BI104&lt;=0,0,IF(WEEKDAY(BI$6,1)=1,0,MIN(10,BI105)*BI104)))-MIN(IF(BI104&lt;=0,0,IF(WEEKDAY(BI$6,1)=1,0,MIN(10,BI105)*BI104)),MAX(0,40*MAX(1,BI104)-(BH106)))))</f>
        <v>2</v>
      </c>
      <c r="BJ107" s="63">
        <f>IF(AND(BJ104=2,BJ105=11),2,IF(BJ104&lt;=0,0,IF(WEEKDAY(BJ$6,1)=1,0,MAX(0,BJ105-10)*BJ104))+((IF(BJ104&lt;=0,0,IF(WEEKDAY(BJ$6,1)=1,0,MIN(10,BJ105)*BJ104)))-MIN(IF(BJ104&lt;=0,0,IF(WEEKDAY(BJ$6,1)=1,0,MIN(10,BJ105)*BJ104)),MAX(0,40*MAX(1,BJ104)-(BH106+BI106)))))</f>
        <v>2</v>
      </c>
      <c r="BK107" s="63">
        <f>IF(AND(BK104=2,BK105=11),2,IF(BK104&lt;=0,0,IF(WEEKDAY(BK$6,1)=1,0,MAX(0,BK105-10)*BK104))+((IF(BK104&lt;=0,0,IF(WEEKDAY(BK$6,1)=1,0,MIN(10,BK105)*BK104)))-MIN(IF(BK104&lt;=0,0,IF(WEEKDAY(BK$6,1)=1,0,MIN(10,BK105)*BK104)),MAX(0,40*MAX(1,BK104)-(BH106+BI106+BJ106)))))</f>
        <v>2</v>
      </c>
      <c r="BL107" s="63">
        <f>IF(AND(BL104=2,BL105=11),22,IF(BL104&lt;=0,0,IF(WEEKDAY(BL$6,1)=1,0,MAX(0,BL105-10)*BL104))+((IF(BL104&lt;=0,0,IF(WEEKDAY(BL$6,1)=1,0,MIN(10,BL105)*BL104)))-MIN(IF(BL104&lt;=0,0,IF(WEEKDAY(BL$6,1)=1,0,MIN(10,BL105)*BL104)),MAX(0,40*MAX(1,BL104)-(BH106+BI106+BJ106+BK106)))))</f>
        <v>22</v>
      </c>
      <c r="BM107" s="64">
        <f>IF(AND(BM104=2,BM105=11),22,IF(BM104&lt;=0,0,IF(WEEKDAY(BM$6,1)=1,0,MAX(0,BM105-10)*BM104))+((IF(BM104&lt;=0,0,IF(WEEKDAY(BM$6,1)=1,0,MIN(10,BM105)*BM104)))-MIN(IF(BM104&lt;=0,0,IF(WEEKDAY(BM$6,1)=1,0,MIN(10,BM105)*BM104)),MAX(0,40*MAX(1,BM104)-(BH106+BI106+BJ106+BK106+BL106)))))</f>
        <v>22</v>
      </c>
      <c r="BN107" s="64">
        <f>IF(AND(BN104=2,BN105=11),0,IF(BN104&lt;=0,0,IF(WEEKDAY(BN$6,1)=1,0,MAX(0,BN105-10)*BN104))+((IF(BN104&lt;=0,0,IF(WEEKDAY(BN$6,1)=1,0,MIN(10,BN105)*BN104)))-MIN(IF(BN104&lt;=0,0,IF(WEEKDAY(BN$6,1)=1,0,MIN(10,BN105)*BN104)),MAX(0,40*MAX(1,BN104)-(BH106+BI106+BJ106+BK106+BL106+BM106)))))</f>
        <v>0</v>
      </c>
      <c r="BO107" s="63">
        <f>IF(AND(BO104=2,BO105=11),2,IF(BO104&lt;=0,0,IF(WEEKDAY(BO$6,1)=1,0,MAX(0,BO105-10)*BO104))+((IF(BO104&lt;=0,0,IF(WEEKDAY(BO$6,1)=1,0,MIN(10,BO105)*BO104)))-MIN(IF(BO104&lt;=0,0,IF(WEEKDAY(BO$6,1)=1,0,MIN(10,BO105)*BO104)),MAX(0,40*MAX(1,BO104)-(0)))))</f>
        <v>2</v>
      </c>
      <c r="BP107" s="63">
        <f>IF(AND(BP104=2,BP105=11),2,IF(BP104&lt;=0,0,IF(WEEKDAY(BP$6,1)=1,0,MAX(0,BP105-10)*BP104))+((IF(BP104&lt;=0,0,IF(WEEKDAY(BP$6,1)=1,0,MIN(10,BP105)*BP104)))-MIN(IF(BP104&lt;=0,0,IF(WEEKDAY(BP$6,1)=1,0,MIN(10,BP105)*BP104)),MAX(0,40*MAX(1,BP104)-(BO106)))))</f>
        <v>2</v>
      </c>
      <c r="BQ107" s="63">
        <f>IF(AND(BQ104=2,BQ105=11),2,IF(BQ104&lt;=0,0,IF(WEEKDAY(BQ$6,1)=1,0,MAX(0,BQ105-10)*BQ104))+((IF(BQ104&lt;=0,0,IF(WEEKDAY(BQ$6,1)=1,0,MIN(10,BQ105)*BQ104)))-MIN(IF(BQ104&lt;=0,0,IF(WEEKDAY(BQ$6,1)=1,0,MIN(10,BQ105)*BQ104)),MAX(0,40*MAX(1,BQ104)-(BO106+BP106)))))</f>
        <v>2</v>
      </c>
      <c r="BR107" s="63">
        <f>IF(AND(BR104=2,BR105=11),2,IF(BR104&lt;=0,0,IF(WEEKDAY(BR$6,1)=1,0,MAX(0,BR105-10)*BR104))+((IF(BR104&lt;=0,0,IF(WEEKDAY(BR$6,1)=1,0,MIN(10,BR105)*BR104)))-MIN(IF(BR104&lt;=0,0,IF(WEEKDAY(BR$6,1)=1,0,MIN(10,BR105)*BR104)),MAX(0,40*MAX(1,BR104)-(0)))))</f>
        <v>2</v>
      </c>
      <c r="BS107" s="63">
        <f>IF(AND(BS104=2,BS105=11),2,IF(BS104&lt;=0,0,IF(WEEKDAY(BS$6,1)=1,0,MAX(0,BS105-10)*BS104))+((IF(BS104&lt;=0,0,IF(WEEKDAY(BS$6,1)=1,0,MIN(10,BS105)*BS104)))-MIN(IF(BS104&lt;=0,0,IF(WEEKDAY(BS$6,1)=1,0,MIN(10,BS105)*BS104)),MAX(0,40*MAX(1,BS104)-(BR106)))))</f>
        <v>2</v>
      </c>
      <c r="BT107" s="64">
        <f>IF(AND(BT104=2,BT105=11),2,IF(BT104&lt;=0,0,IF(WEEKDAY(BT$6,1)=1,0,MAX(0,BT105-10)*BT104))+((IF(BT104&lt;=0,0,IF(WEEKDAY(BT$6,1)=1,0,MIN(10,BT105)*BT104)))-MIN(IF(BT104&lt;=0,0,IF(WEEKDAY(BT$6,1)=1,0,MIN(10,BT105)*BT104)),MAX(0,40*MAX(1,BT104)-(BR106+BS106)))))</f>
        <v>2</v>
      </c>
      <c r="BU107" s="64">
        <f>IF(AND(BU104=2,BU105=11),0,IF(BU104&lt;=0,0,IF(WEEKDAY(BU$6,1)=1,0,MAX(0,BU105-10)*BU104))+((IF(BU104&lt;=0,0,IF(WEEKDAY(BU$6,1)=1,0,MIN(10,BU105)*BU104)))-MIN(IF(BU104&lt;=0,0,IF(WEEKDAY(BU$6,1)=1,0,MIN(10,BU105)*BU104)),MAX(0,40*MAX(1,BU104)-(BR106+BS106+BT106)))))</f>
        <v>0</v>
      </c>
      <c r="BV107" s="63">
        <f>IF(AND(BV104=2,BV105=11),2,IF(BV104&lt;=0,0,IF(WEEKDAY(BV$6,1)=1,0,MAX(0,BV105-10)*BV104))+((IF(BV104&lt;=0,0,IF(WEEKDAY(BV$6,1)=1,0,MIN(10,BV105)*BV104)))-MIN(IF(BV104&lt;=0,0,IF(WEEKDAY(BV$6,1)=1,0,MIN(10,BV105)*BV104)),MAX(0,40*MAX(1,BV104)-(0)))))</f>
        <v>2</v>
      </c>
      <c r="BW107" s="63">
        <f>IF(AND(BW104=2,BW105=11),2,IF(BW104&lt;=0,0,IF(WEEKDAY(BW$6,1)=1,0,MAX(0,BW105-10)*BW104))+((IF(BW104&lt;=0,0,IF(WEEKDAY(BW$6,1)=1,0,MIN(10,BW105)*BW104)))-MIN(IF(BW104&lt;=0,0,IF(WEEKDAY(BW$6,1)=1,0,MIN(10,BW105)*BW104)),MAX(0,40*MAX(1,BW104)-(BV106)))))</f>
        <v>2</v>
      </c>
      <c r="BX107" s="63">
        <f>IF(AND(BX104=2,BX105=11),2,IF(BX104&lt;=0,0,IF(WEEKDAY(BX$6,1)=1,0,MAX(0,BX105-10)*BX104))+((IF(BX104&lt;=0,0,IF(WEEKDAY(BX$6,1)=1,0,MIN(10,BX105)*BX104)))-MIN(IF(BX104&lt;=0,0,IF(WEEKDAY(BX$6,1)=1,0,MIN(10,BX105)*BX104)),MAX(0,40*MAX(1,BX104)-(BV106+BW106)))))</f>
        <v>2</v>
      </c>
      <c r="BY107" s="63">
        <f>IF(AND(BY104=2,BY105=11),2,IF(BY104&lt;=0,0,IF(WEEKDAY(BY$6,1)=1,0,MAX(0,BY105-10)*BY104))+((IF(BY104&lt;=0,0,IF(WEEKDAY(BY$6,1)=1,0,MIN(10,BY105)*BY104)))-MIN(IF(BY104&lt;=0,0,IF(WEEKDAY(BY$6,1)=1,0,MIN(10,BY105)*BY104)),MAX(0,40*MAX(1,BY104)-(BV106+BW106+BX106)))))</f>
        <v>2</v>
      </c>
      <c r="BZ107" s="63">
        <f>IF(AND(BZ104=2,BZ105=11),22,IF(BZ104&lt;=0,0,IF(WEEKDAY(BZ$6,1)=1,0,MAX(0,BZ105-10)*BZ104))+((IF(BZ104&lt;=0,0,IF(WEEKDAY(BZ$6,1)=1,0,MIN(10,BZ105)*BZ104)))-MIN(IF(BZ104&lt;=0,0,IF(WEEKDAY(BZ$6,1)=1,0,MIN(10,BZ105)*BZ104)),MAX(0,40*MAX(1,BZ104)-(BV106+BW106+BX106+BY106)))))</f>
        <v>22</v>
      </c>
      <c r="CA107" s="64">
        <f>IF(AND(CA104=2,CA105=11),22,IF(CA104&lt;=0,0,IF(WEEKDAY(CA$6,1)=1,0,MAX(0,CA105-10)*CA104))+((IF(CA104&lt;=0,0,IF(WEEKDAY(CA$6,1)=1,0,MIN(10,CA105)*CA104)))-MIN(IF(CA104&lt;=0,0,IF(WEEKDAY(CA$6,1)=1,0,MIN(10,CA105)*CA104)),MAX(0,40*MAX(1,CA104)-(BV106+BW106+BX106+BY106+BZ106)))))</f>
        <v>22</v>
      </c>
      <c r="CB107" s="64">
        <f>IF(AND(CB104=2,CB105=11),0,IF(CB104&lt;=0,0,IF(WEEKDAY(CB$6,1)=1,0,MAX(0,CB105-10)*CB104))+((IF(CB104&lt;=0,0,IF(WEEKDAY(CB$6,1)=1,0,MIN(10,CB105)*CB104)))-MIN(IF(CB104&lt;=0,0,IF(WEEKDAY(CB$6,1)=1,0,MIN(10,CB105)*CB104)),MAX(0,40*MAX(1,CB104)-(BV106+BW106+BX106+BY106+BZ106+CA106)))))</f>
        <v>0</v>
      </c>
      <c r="CC107" s="63">
        <f>IF(AND(CC104=2,CC105=11),2,IF(CC104&lt;=0,0,IF(WEEKDAY(CC$6,1)=1,0,MAX(0,CC105-10)*CC104))+((IF(CC104&lt;=0,0,IF(WEEKDAY(CC$6,1)=1,0,MIN(10,CC105)*CC104)))-MIN(IF(CC104&lt;=0,0,IF(WEEKDAY(CC$6,1)=1,0,MIN(10,CC105)*CC104)),MAX(0,40*MAX(1,CC104)-(0)))))</f>
        <v>2</v>
      </c>
      <c r="CD107" s="63">
        <f>IF(AND(CD104=2,CD105=11),2,IF(CD104&lt;=0,0,IF(WEEKDAY(CD$6,1)=1,0,MAX(0,CD105-10)*CD104))+((IF(CD104&lt;=0,0,IF(WEEKDAY(CD$6,1)=1,0,MIN(10,CD105)*CD104)))-MIN(IF(CD104&lt;=0,0,IF(WEEKDAY(CD$6,1)=1,0,MIN(10,CD105)*CD104)),MAX(0,40*MAX(1,CD104)-(CC106)))))</f>
        <v>2</v>
      </c>
      <c r="CE107" s="63">
        <f>IF(AND(CE104=2,CE105=11),2,IF(CE104&lt;=0,0,IF(WEEKDAY(CE$6,1)=1,0,MAX(0,CE105-10)*CE104))+((IF(CE104&lt;=0,0,IF(WEEKDAY(CE$6,1)=1,0,MIN(10,CE105)*CE104)))-MIN(IF(CE104&lt;=0,0,IF(WEEKDAY(CE$6,1)=1,0,MIN(10,CE105)*CE104)),MAX(0,40*MAX(1,CE104)-(CC106+CD106)))))</f>
        <v>2</v>
      </c>
      <c r="CF107" s="63">
        <f>IF(AND(CF104=2,CF105=11),2,IF(CF104&lt;=0,0,IF(WEEKDAY(CF$6,1)=1,0,MAX(0,CF105-10)*CF104))+((IF(CF104&lt;=0,0,IF(WEEKDAY(CF$6,1)=1,0,MIN(10,CF105)*CF104)))-MIN(IF(CF104&lt;=0,0,IF(WEEKDAY(CF$6,1)=1,0,MIN(10,CF105)*CF104)),MAX(0,40*MAX(1,CF104)-(CC106+CD106+CE106)))))</f>
        <v>2</v>
      </c>
      <c r="CG107" s="63">
        <f>IF(AND(CG104=2,CG105=11),22,IF(CG104&lt;=0,0,IF(WEEKDAY(CG$6,1)=1,0,MAX(0,CG105-10)*CG104))+((IF(CG104&lt;=0,0,IF(WEEKDAY(CG$6,1)=1,0,MIN(10,CG105)*CG104)))-MIN(IF(CG104&lt;=0,0,IF(WEEKDAY(CG$6,1)=1,0,MIN(10,CG105)*CG104)),MAX(0,40*MAX(1,CG104)-(CC106+CD106+CE106+CF106)))))</f>
        <v>22</v>
      </c>
      <c r="CH107" s="64">
        <f>IF(AND(CH104=2,CH105=11),22,IF(CH104&lt;=0,0,IF(WEEKDAY(CH$6,1)=1,0,MAX(0,CH105-10)*CH104))+((IF(CH104&lt;=0,0,IF(WEEKDAY(CH$6,1)=1,0,MIN(10,CH105)*CH104)))-MIN(IF(CH104&lt;=0,0,IF(WEEKDAY(CH$6,1)=1,0,MIN(10,CH105)*CH104)),MAX(0,40*MAX(1,CH104)-(CC106+CD106+CE106+CF106+CG106)))))</f>
        <v>22</v>
      </c>
      <c r="CI107" s="64">
        <f>IF(AND(CI104=2,CI105=11),0,IF(CI104&lt;=0,0,IF(WEEKDAY(CI$6,1)=1,0,MAX(0,CI105-10)*CI104))+((IF(CI104&lt;=0,0,IF(WEEKDAY(CI$6,1)=1,0,MIN(10,CI105)*CI104)))-MIN(IF(CI104&lt;=0,0,IF(WEEKDAY(CI$6,1)=1,0,MIN(10,CI105)*CI104)),MAX(0,40*MAX(1,CI104)-(CC106+CD106+CE106+CF106+CG106+CH106)))))</f>
        <v>0</v>
      </c>
      <c r="CJ107" s="63">
        <f>IF(AND(CJ104=2,CJ105=11),2,IF(CJ104&lt;=0,0,IF(WEEKDAY(CJ$6,1)=1,0,MAX(0,CJ105-10)*CJ104))+((IF(CJ104&lt;=0,0,IF(WEEKDAY(CJ$6,1)=1,0,MIN(10,CJ105)*CJ104)))-MIN(IF(CJ104&lt;=0,0,IF(WEEKDAY(CJ$6,1)=1,0,MIN(10,CJ105)*CJ104)),MAX(0,40*MAX(1,CJ104)-(0)))))</f>
        <v>2</v>
      </c>
      <c r="CK107" s="63">
        <f>IF(AND(CK104=2,CK105=11),2,IF(CK104&lt;=0,0,IF(WEEKDAY(CK$6,1)=1,0,MAX(0,CK105-10)*CK104))+((IF(CK104&lt;=0,0,IF(WEEKDAY(CK$6,1)=1,0,MIN(10,CK105)*CK104)))-MIN(IF(CK104&lt;=0,0,IF(WEEKDAY(CK$6,1)=1,0,MIN(10,CK105)*CK104)),MAX(0,40*MAX(1,CK104)-(CJ106)))))</f>
        <v>2</v>
      </c>
      <c r="CL107" s="63">
        <f>IF(AND(CL104=2,CL105=11),2,IF(CL104&lt;=0,0,IF(WEEKDAY(CL$6,1)=1,0,MAX(0,CL105-10)*CL104))+((IF(CL104&lt;=0,0,IF(WEEKDAY(CL$6,1)=1,0,MIN(10,CL105)*CL104)))-MIN(IF(CL104&lt;=0,0,IF(WEEKDAY(CL$6,1)=1,0,MIN(10,CL105)*CL104)),MAX(0,40*MAX(1,CL104)-(CJ106+CK106)))))</f>
        <v>2</v>
      </c>
      <c r="CM107" s="63">
        <f>IF(AND(CM104=2,CM105=11),2,IF(CM104&lt;=0,0,IF(WEEKDAY(CM$6,1)=1,0,MAX(0,CM105-10)*CM104))+((IF(CM104&lt;=0,0,IF(WEEKDAY(CM$6,1)=1,0,MIN(10,CM105)*CM104)))-MIN(IF(CM104&lt;=0,0,IF(WEEKDAY(CM$6,1)=1,0,MIN(10,CM105)*CM104)),MAX(0,40*MAX(1,CM104)-(CJ106+CK106+CL106)))))</f>
        <v>2</v>
      </c>
      <c r="CN107" s="63">
        <f>IF(AND(CN104=2,CN105=11),22,IF(CN104&lt;=0,0,IF(WEEKDAY(CN$6,1)=1,0,MAX(0,CN105-10)*CN104))+((IF(CN104&lt;=0,0,IF(WEEKDAY(CN$6,1)=1,0,MIN(10,CN105)*CN104)))-MIN(IF(CN104&lt;=0,0,IF(WEEKDAY(CN$6,1)=1,0,MIN(10,CN105)*CN104)),MAX(0,40*MAX(1,CN104)-(CJ106+CK106+CL106+CM106)))))</f>
        <v>22</v>
      </c>
      <c r="CO107" s="64">
        <f>IF(AND(CO104=2,CO105=11),22,IF(CO104&lt;=0,0,IF(WEEKDAY(CO$6,1)=1,0,MAX(0,CO105-10)*CO104))+((IF(CO104&lt;=0,0,IF(WEEKDAY(CO$6,1)=1,0,MIN(10,CO105)*CO104)))-MIN(IF(CO104&lt;=0,0,IF(WEEKDAY(CO$6,1)=1,0,MIN(10,CO105)*CO104)),MAX(0,40*MAX(1,CO104)-(CJ106+CK106+CL106+CM106+CN106)))))</f>
        <v>22</v>
      </c>
      <c r="CP107" s="64">
        <f>IF(AND(CP104=2,CP105=11),0,IF(CP104&lt;=0,0,IF(WEEKDAY(CP$6,1)=1,0,MAX(0,CP105-10)*CP104))+((IF(CP104&lt;=0,0,IF(WEEKDAY(CP$6,1)=1,0,MIN(10,CP105)*CP104)))-MIN(IF(CP104&lt;=0,0,IF(WEEKDAY(CP$6,1)=1,0,MIN(10,CP105)*CP104)),MAX(0,40*MAX(1,CP104)-(CJ106+CK106+CL106+CM106+CN106+CO106)))))</f>
        <v>0</v>
      </c>
      <c r="CQ107" s="63">
        <f>IF(AND(CQ104=2,CQ105=11),2,IF(CQ104&lt;=0,0,IF(WEEKDAY(CQ$6,1)=1,0,MAX(0,CQ105-10)*CQ104))+((IF(CQ104&lt;=0,0,IF(WEEKDAY(CQ$6,1)=1,0,MIN(10,CQ105)*CQ104)))-MIN(IF(CQ104&lt;=0,0,IF(WEEKDAY(CQ$6,1)=1,0,MIN(10,CQ105)*CQ104)),MAX(0,40*MAX(1,CQ104)-(0)))))</f>
        <v>2</v>
      </c>
      <c r="CR107" s="63">
        <f>IF(AND(CR104=2,CR105=11),2,IF(CR104&lt;=0,0,IF(WEEKDAY(CR$6,1)=1,0,MAX(0,CR105-10)*CR104))+((IF(CR104&lt;=0,0,IF(WEEKDAY(CR$6,1)=1,0,MIN(10,CR105)*CR104)))-MIN(IF(CR104&lt;=0,0,IF(WEEKDAY(CR$6,1)=1,0,MIN(10,CR105)*CR104)),MAX(0,40*MAX(1,CR104)-(CQ106)))))</f>
        <v>2</v>
      </c>
      <c r="CS107" s="63">
        <f>IF(AND(CS104=2,CS105=11),2,IF(CS104&lt;=0,0,IF(WEEKDAY(CS$6,1)=1,0,MAX(0,CS105-10)*CS104))+((IF(CS104&lt;=0,0,IF(WEEKDAY(CS$6,1)=1,0,MIN(10,CS105)*CS104)))-MIN(IF(CS104&lt;=0,0,IF(WEEKDAY(CS$6,1)=1,0,MIN(10,CS105)*CS104)),MAX(0,40*MAX(1,CS104)-(CQ106+CR106)))))</f>
        <v>2</v>
      </c>
      <c r="CT107" s="63">
        <f>IF(AND(CT104=2,CT105=11),2,IF(CT104&lt;=0,0,IF(WEEKDAY(CT$6,1)=1,0,MAX(0,CT105-10)*CT104))+((IF(CT104&lt;=0,0,IF(WEEKDAY(CT$6,1)=1,0,MIN(10,CT105)*CT104)))-MIN(IF(CT104&lt;=0,0,IF(WEEKDAY(CT$6,1)=1,0,MIN(10,CT105)*CT104)),MAX(0,40*MAX(1,CT104)-(CQ106+CR106+CS106)))))</f>
        <v>2</v>
      </c>
      <c r="CU107" s="63">
        <f>IF(AND(CU104=2,CU105=11),22,IF(CU104&lt;=0,0,IF(WEEKDAY(CU$6,1)=1,0,MAX(0,CU105-10)*CU104))+((IF(CU104&lt;=0,0,IF(WEEKDAY(CU$6,1)=1,0,MIN(10,CU105)*CU104)))-MIN(IF(CU104&lt;=0,0,IF(WEEKDAY(CU$6,1)=1,0,MIN(10,CU105)*CU104)),MAX(0,40*MAX(1,CU104)-(CQ106+CR106+CS106+CT106)))))</f>
        <v>22</v>
      </c>
      <c r="CV107" s="64">
        <f>IF(AND(CV104=2,CV105=11),22,IF(CV104&lt;=0,0,IF(WEEKDAY(CV$6,1)=1,0,MAX(0,CV105-10)*CV104))+((IF(CV104&lt;=0,0,IF(WEEKDAY(CV$6,1)=1,0,MIN(10,CV105)*CV104)))-MIN(IF(CV104&lt;=0,0,IF(WEEKDAY(CV$6,1)=1,0,MIN(10,CV105)*CV104)),MAX(0,40*MAX(1,CV104)-(CQ106+CR106+CS106+CT106+CU106)))))</f>
        <v>22</v>
      </c>
      <c r="CW107" s="64">
        <f>IF(AND(CW104=2,CW105=11),0,IF(CW104&lt;=0,0,IF(WEEKDAY(CW$6,1)=1,0,MAX(0,CW105-10)*CW104))+((IF(CW104&lt;=0,0,IF(WEEKDAY(CW$6,1)=1,0,MIN(10,CW105)*CW104)))-MIN(IF(CW104&lt;=0,0,IF(WEEKDAY(CW$6,1)=1,0,MIN(10,CW105)*CW104)),MAX(0,40*MAX(1,CW104)-(CQ106+CR106+CS106+CT106+CU106+CV106)))))</f>
        <v>0</v>
      </c>
      <c r="CX107" s="63">
        <f>IF(AND(CX104=2,CX105=11),2,IF(CX104&lt;=0,0,IF(WEEKDAY(CX$6,1)=1,0,MAX(0,CX105-10)*CX104))+((IF(CX104&lt;=0,0,IF(WEEKDAY(CX$6,1)=1,0,MIN(10,CX105)*CX104)))-MIN(IF(CX104&lt;=0,0,IF(WEEKDAY(CX$6,1)=1,0,MIN(10,CX105)*CX104)),MAX(0,40*MAX(1,CX104)-(0)))))</f>
        <v>2</v>
      </c>
      <c r="CY107" s="63">
        <f>IF(AND(CY104=2,CY105=11),2,IF(CY104&lt;=0,0,IF(WEEKDAY(CY$6,1)=1,0,MAX(0,CY105-10)*CY104))+((IF(CY104&lt;=0,0,IF(WEEKDAY(CY$6,1)=1,0,MIN(10,CY105)*CY104)))-MIN(IF(CY104&lt;=0,0,IF(WEEKDAY(CY$6,1)=1,0,MIN(10,CY105)*CY104)),MAX(0,40*MAX(1,CY104)-(CX106)))))</f>
        <v>2</v>
      </c>
      <c r="CZ107" s="63">
        <f>IF(AND(CZ104=2,CZ105=11),2,IF(CZ104&lt;=0,0,IF(WEEKDAY(CZ$6,1)=1,0,MAX(0,CZ105-10)*CZ104))+((IF(CZ104&lt;=0,0,IF(WEEKDAY(CZ$6,1)=1,0,MIN(10,CZ105)*CZ104)))-MIN(IF(CZ104&lt;=0,0,IF(WEEKDAY(CZ$6,1)=1,0,MIN(10,CZ105)*CZ104)),MAX(0,40*MAX(1,CZ104)-(CX106+CY106)))))</f>
        <v>2</v>
      </c>
      <c r="DA107" s="63">
        <f>IF(AND(DA104=2,DA105=11),2,IF(DA104&lt;=0,0,IF(WEEKDAY(DA$6,1)=1,0,MAX(0,DA105-10)*DA104))+((IF(DA104&lt;=0,0,IF(WEEKDAY(DA$6,1)=1,0,MIN(10,DA105)*DA104)))-MIN(IF(DA104&lt;=0,0,IF(WEEKDAY(DA$6,1)=1,0,MIN(10,DA105)*DA104)),MAX(0,40*MAX(1,DA104)-(CX106+CY106+CZ106)))))</f>
        <v>2</v>
      </c>
      <c r="DB107" s="63">
        <f>IF(AND(DB104=2,DB105=11),22,IF(DB104&lt;=0,0,IF(WEEKDAY(DB$6,1)=1,0,MAX(0,DB105-10)*DB104))+((IF(DB104&lt;=0,0,IF(WEEKDAY(DB$6,1)=1,0,MIN(10,DB105)*DB104)))-MIN(IF(DB104&lt;=0,0,IF(WEEKDAY(DB$6,1)=1,0,MIN(10,DB105)*DB104)),MAX(0,40*MAX(1,DB104)-(CX106+CY106+CZ106+DA106)))))</f>
        <v>22</v>
      </c>
      <c r="DC107" s="64">
        <f>IF(AND(DC104=2,DC105=11),22,IF(DC104&lt;=0,0,IF(WEEKDAY(DC$6,1)=1,0,MAX(0,DC105-10)*DC104))+((IF(DC104&lt;=0,0,IF(WEEKDAY(DC$6,1)=1,0,MIN(10,DC105)*DC104)))-MIN(IF(DC104&lt;=0,0,IF(WEEKDAY(DC$6,1)=1,0,MIN(10,DC105)*DC104)),MAX(0,40*MAX(1,DC104)-(CX106+CY106+CZ106+DA106+DB106)))))</f>
        <v>22</v>
      </c>
      <c r="DD107" s="64">
        <f>IF(AND(DD104=2,DD105=11),0,IF(DD104&lt;=0,0,IF(WEEKDAY(DD$6,1)=1,0,MAX(0,DD105-10)*DD104))+((IF(DD104&lt;=0,0,IF(WEEKDAY(DD$6,1)=1,0,MIN(10,DD105)*DD104)))-MIN(IF(DD104&lt;=0,0,IF(WEEKDAY(DD$6,1)=1,0,MIN(10,DD105)*DD104)),MAX(0,40*MAX(1,DD104)-(0)))))</f>
        <v>0</v>
      </c>
      <c r="DE107" s="63">
        <f>IF(AND(DE104=2,DE105=11),2,IF(DE104&lt;=0,0,IF(WEEKDAY(DE$6,1)=1,0,MAX(0,DE105-10)*DE104))+((IF(DE104&lt;=0,0,IF(WEEKDAY(DE$6,1)=1,0,MIN(10,DE105)*DE104)))-MIN(IF(DE104&lt;=0,0,IF(WEEKDAY(DE$6,1)=1,0,MIN(10,DE105)*DE104)),MAX(0,40*MAX(1,DE104)-(0)))))</f>
        <v>2</v>
      </c>
      <c r="DF107" s="63">
        <f>IF(AND(DF104=2,DF105=11),2,IF(DF104&lt;=0,0,IF(WEEKDAY(DF$6,1)=1,0,MAX(0,DF105-10)*DF104))+((IF(DF104&lt;=0,0,IF(WEEKDAY(DF$6,1)=1,0,MIN(10,DF105)*DF104)))-MIN(IF(DF104&lt;=0,0,IF(WEEKDAY(DF$6,1)=1,0,MIN(10,DF105)*DF104)),MAX(0,40*MAX(1,DF104)-(DE106)))))</f>
        <v>2</v>
      </c>
      <c r="DG107" s="63">
        <f>IF(AND(DG104=2,DG105=11),2,IF(DG104&lt;=0,0,IF(WEEKDAY(DG$6,1)=1,0,MAX(0,DG105-10)*DG104))+((IF(DG104&lt;=0,0,IF(WEEKDAY(DG$6,1)=1,0,MIN(10,DG105)*DG104)))-MIN(IF(DG104&lt;=0,0,IF(WEEKDAY(DG$6,1)=1,0,MIN(10,DG105)*DG104)),MAX(0,40*MAX(1,DG104)-(DE106+DF106)))))</f>
        <v>2</v>
      </c>
      <c r="DH107" s="63">
        <f>IF(AND(DH104=2,DH105=11),2,IF(DH104&lt;=0,0,IF(WEEKDAY(DH$6,1)=1,0,MAX(0,DH105-10)*DH104))+((IF(DH104&lt;=0,0,IF(WEEKDAY(DH$6,1)=1,0,MIN(10,DH105)*DH104)))-MIN(IF(DH104&lt;=0,0,IF(WEEKDAY(DH$6,1)=1,0,MIN(10,DH105)*DH104)),MAX(0,40*MAX(1,DH104)-(DE106+DF106+DG106)))))</f>
        <v>2</v>
      </c>
      <c r="DI107" s="63">
        <f>IF(AND(DI104=2,DI105=11),22,IF(DI104&lt;=0,0,IF(WEEKDAY(DI$6,1)=1,0,MAX(0,DI105-10)*DI104))+((IF(DI104&lt;=0,0,IF(WEEKDAY(DI$6,1)=1,0,MIN(10,DI105)*DI104)))-MIN(IF(DI104&lt;=0,0,IF(WEEKDAY(DI$6,1)=1,0,MIN(10,DI105)*DI104)),MAX(0,40*MAX(1,DI104)-(DE106+DF106+DG106+DH106)))))</f>
        <v>22</v>
      </c>
      <c r="DJ107" s="64">
        <f>IF(AND(DJ104=2,DJ105=11),22,IF(DJ104&lt;=0,0,IF(WEEKDAY(DJ$6,1)=1,0,MAX(0,DJ105-10)*DJ104))+((IF(DJ104&lt;=0,0,IF(WEEKDAY(DJ$6,1)=1,0,MIN(10,DJ105)*DJ104)))-MIN(IF(DJ104&lt;=0,0,IF(WEEKDAY(DJ$6,1)=1,0,MIN(10,DJ105)*DJ104)),MAX(0,40*MAX(1,DJ104)-(DE106+DF106+DG106+DH106+DI106)))))</f>
        <v>22</v>
      </c>
      <c r="DK107" s="64">
        <f>IF(AND(DK104=2,DK105=11),0,IF(DK104&lt;=0,0,IF(WEEKDAY(DK$6,1)=1,0,MAX(0,DK105-10)*DK104))+((IF(DK104&lt;=0,0,IF(WEEKDAY(DK$6,1)=1,0,MIN(10,DK105)*DK104)))-MIN(IF(DK104&lt;=0,0,IF(WEEKDAY(DK$6,1)=1,0,MIN(10,DK105)*DK104)),MAX(0,40*MAX(1,DK104)-(DE106+DF106+DG106+DH106+DI106+DJ106)))))</f>
        <v>0</v>
      </c>
      <c r="DL107" s="63">
        <f>IF(AND(DL104=2,DL105=11),2,IF(DL104&lt;=0,0,IF(WEEKDAY(DL$6,1)=1,0,MAX(0,DL105-10)*DL104))+((IF(DL104&lt;=0,0,IF(WEEKDAY(DL$6,1)=1,0,MIN(10,DL105)*DL104)))-MIN(IF(DL104&lt;=0,0,IF(WEEKDAY(DL$6,1)=1,0,MIN(10,DL105)*DL104)),MAX(0,40*MAX(1,DL104)-(0)))))</f>
        <v>2</v>
      </c>
      <c r="DM107" s="63">
        <f>IF(AND(DM104=2,DM105=11),2,IF(DM104&lt;=0,0,IF(WEEKDAY(DM$6,1)=1,0,MAX(0,DM105-10)*DM104))+((IF(DM104&lt;=0,0,IF(WEEKDAY(DM$6,1)=1,0,MIN(10,DM105)*DM104)))-MIN(IF(DM104&lt;=0,0,IF(WEEKDAY(DM$6,1)=1,0,MIN(10,DM105)*DM104)),MAX(0,40*MAX(1,DM104)-(DL106)))))</f>
        <v>2</v>
      </c>
      <c r="DN107" s="63">
        <f>IF(AND(DN104=2,DN105=11),2,IF(DN104&lt;=0,0,IF(WEEKDAY(DN$6,1)=1,0,MAX(0,DN105-10)*DN104))+((IF(DN104&lt;=0,0,IF(WEEKDAY(DN$6,1)=1,0,MIN(10,DN105)*DN104)))-MIN(IF(DN104&lt;=0,0,IF(WEEKDAY(DN$6,1)=1,0,MIN(10,DN105)*DN104)),MAX(0,40*MAX(1,DN104)-(DL106+DM106)))))</f>
        <v>2</v>
      </c>
      <c r="DO107" s="63">
        <f>IF(AND(DO104=2,DO105=11),2,IF(DO104&lt;=0,0,IF(WEEKDAY(DO$6,1)=1,0,MAX(0,DO105-10)*DO104))+((IF(DO104&lt;=0,0,IF(WEEKDAY(DO$6,1)=1,0,MIN(10,DO105)*DO104)))-MIN(IF(DO104&lt;=0,0,IF(WEEKDAY(DO$6,1)=1,0,MIN(10,DO105)*DO104)),MAX(0,40*MAX(1,DO104)-(DL106+DM106+DN106)))))</f>
        <v>2</v>
      </c>
      <c r="DP107" s="63">
        <f>IF(AND(DP104=2,DP105=11),22,IF(DP104&lt;=0,0,IF(WEEKDAY(DP$6,1)=1,0,MAX(0,DP105-10)*DP104))+((IF(DP104&lt;=0,0,IF(WEEKDAY(DP$6,1)=1,0,MIN(10,DP105)*DP104)))-MIN(IF(DP104&lt;=0,0,IF(WEEKDAY(DP$6,1)=1,0,MIN(10,DP105)*DP104)),MAX(0,40*MAX(1,DP104)-(DL106+DM106+DN106+DO106)))))</f>
        <v>22</v>
      </c>
      <c r="DQ107" s="64">
        <f>IF(AND(DQ104=2,DQ105=11),22,IF(DQ104&lt;=0,0,IF(WEEKDAY(DQ$6,1)=1,0,MAX(0,DQ105-10)*DQ104))+((IF(DQ104&lt;=0,0,IF(WEEKDAY(DQ$6,1)=1,0,MIN(10,DQ105)*DQ104)))-MIN(IF(DQ104&lt;=0,0,IF(WEEKDAY(DQ$6,1)=1,0,MIN(10,DQ105)*DQ104)),MAX(0,40*MAX(1,DQ104)-(DL106+DM106+DN106+DO106+DP106)))))</f>
        <v>22</v>
      </c>
      <c r="DR107" s="64">
        <f>IF(AND(DR104=2,DR105=11),0,IF(DR104&lt;=0,0,IF(WEEKDAY(DR$6,1)=1,0,MAX(0,DR105-10)*DR104))+((IF(DR104&lt;=0,0,IF(WEEKDAY(DR$6,1)=1,0,MIN(10,DR105)*DR104)))-MIN(IF(DR104&lt;=0,0,IF(WEEKDAY(DR$6,1)=1,0,MIN(10,DR105)*DR104)),MAX(0,40*MAX(1,DR104)-(DL106+DM106+DN106+DO106+DP106+DQ106)))))</f>
        <v>0</v>
      </c>
      <c r="DS107" s="63">
        <f>IF(AND(DS104=2,DS105=11),2,IF(DS104&lt;=0,0,IF(WEEKDAY(DS$6,1)=1,0,MAX(0,DS105-10)*DS104))+((IF(DS104&lt;=0,0,IF(WEEKDAY(DS$6,1)=1,0,MIN(10,DS105)*DS104)))-MIN(IF(DS104&lt;=0,0,IF(WEEKDAY(DS$6,1)=1,0,MIN(10,DS105)*DS104)),MAX(0,40*MAX(1,DS104)-(0)))))</f>
        <v>2</v>
      </c>
      <c r="DT107" s="63">
        <f>IF(AND(DT104=0,DT105=0),0,IF(DT104&lt;=0,0,IF(WEEKDAY(DT$6,1)=1,0,MAX(0,DT105-10)*DT104))+((IF(DT104&lt;=0,0,IF(WEEKDAY(DT$6,1)=1,0,MIN(10,DT105)*DT104)))-MIN(IF(DT104&lt;=0,0,IF(WEEKDAY(DT$6,1)=1,0,MIN(10,DT105)*DT104)),MAX(0,40*MAX(1,DT104)-(0)))))</f>
        <v>0</v>
      </c>
      <c r="DU107" s="63">
        <f>IF(AND(DU104=0,DU105=0),0,IF(DU104&lt;=0,0,IF(WEEKDAY(DU$6,1)=1,0,MAX(0,DU105-10)*DU104))+((IF(DU104&lt;=0,0,IF(WEEKDAY(DU$6,1)=1,0,MIN(10,DU105)*DU104)))-MIN(IF(DU104&lt;=0,0,IF(WEEKDAY(DU$6,1)=1,0,MIN(10,DU105)*DU104)),MAX(0,40*MAX(1,DU104)-(DT106)))))</f>
        <v>0</v>
      </c>
      <c r="DV107" s="63">
        <f>IF(AND(DV104=0,DV105=0),0,IF(DV104&lt;=0,0,IF(WEEKDAY(DV$6,1)=1,0,MAX(0,DV105-10)*DV104))+((IF(DV104&lt;=0,0,IF(WEEKDAY(DV$6,1)=1,0,MIN(10,DV105)*DV104)))-MIN(IF(DV104&lt;=0,0,IF(WEEKDAY(DV$6,1)=1,0,MIN(10,DV105)*DV104)),MAX(0,40*MAX(1,DV104)-(DT106+DU106)))))</f>
        <v>0</v>
      </c>
      <c r="DW107" s="63">
        <f>IF(AND(DW104=0,DW105=0),0,IF(DW104&lt;=0,0,IF(WEEKDAY(DW$6,1)=1,0,MAX(0,DW105-10)*DW104))+((IF(DW104&lt;=0,0,IF(WEEKDAY(DW$6,1)=1,0,MIN(10,DW105)*DW104)))-MIN(IF(DW104&lt;=0,0,IF(WEEKDAY(DW$6,1)=1,0,MIN(10,DW105)*DW104)),MAX(0,40*MAX(1,DW104)-(DT106+DU106+DV106)))))</f>
        <v>0</v>
      </c>
      <c r="DX107" s="64">
        <f>IF(AND(DX104=0,DX105=0),0,IF(DX104&lt;=0,0,IF(WEEKDAY(DX$6,1)=1,0,MAX(0,DX105-10)*DX104))+((IF(DX104&lt;=0,0,IF(WEEKDAY(DX$6,1)=1,0,MIN(10,DX105)*DX104)))-MIN(IF(DX104&lt;=0,0,IF(WEEKDAY(DX$6,1)=1,0,MIN(10,DX105)*DX104)),MAX(0,40*MAX(1,DX104)-(DT106+DU106+DV106+DW106)))))</f>
        <v>0</v>
      </c>
      <c r="DY107" s="64">
        <f>IF(AND(DY104=0,DY105=0),0,IF(DY104&lt;=0,0,IF(WEEKDAY(DY$6,1)=1,0,MAX(0,DY105-10)*DY104))+((IF(DY104&lt;=0,0,IF(WEEKDAY(DY$6,1)=1,0,MIN(10,DY105)*DY104)))-MIN(IF(DY104&lt;=0,0,IF(WEEKDAY(DY$6,1)=1,0,MIN(10,DY105)*DY104)),MAX(0,40*MAX(1,DY104)-(DT106+DU106+DV106+DW106+DX106)))))</f>
        <v>0</v>
      </c>
      <c r="DZ107" s="63">
        <f>IF(AND(DZ104=0,DZ105=0),0,IF(DZ104&lt;=0,0,IF(WEEKDAY(DZ$6,1)=1,0,MAX(0,DZ105-10)*DZ104))+((IF(DZ104&lt;=0,0,IF(WEEKDAY(DZ$6,1)=1,0,MIN(10,DZ105)*DZ104)))-MIN(IF(DZ104&lt;=0,0,IF(WEEKDAY(DZ$6,1)=1,0,MIN(10,DZ105)*DZ104)),MAX(0,40*MAX(1,DZ104)-(0)))))</f>
        <v>0</v>
      </c>
      <c r="EA107" s="63">
        <f>IF(AND(EA104=0,EA105=0),0,IF(EA104&lt;=0,0,IF(WEEKDAY(EA$6,1)=1,0,MAX(0,EA105-10)*EA104))+((IF(EA104&lt;=0,0,IF(WEEKDAY(EA$6,1)=1,0,MIN(10,EA105)*EA104)))-MIN(IF(EA104&lt;=0,0,IF(WEEKDAY(EA$6,1)=1,0,MIN(10,EA105)*EA104)),MAX(0,40*MAX(1,EA104)-(DZ106)))))</f>
        <v>0</v>
      </c>
      <c r="EB107" s="63">
        <f>IF(AND(EB104=0,EB105=0),0,IF(EB104&lt;=0,0,IF(WEEKDAY(EB$6,1)=1,0,MAX(0,EB105-10)*EB104))+((IF(EB104&lt;=0,0,IF(WEEKDAY(EB$6,1)=1,0,MIN(10,EB105)*EB104)))-MIN(IF(EB104&lt;=0,0,IF(WEEKDAY(EB$6,1)=1,0,MIN(10,EB105)*EB104)),MAX(0,40*MAX(1,EB104)-(DZ106+EA106)))))</f>
        <v>0</v>
      </c>
      <c r="EC107" s="63">
        <f>IF(AND(EC104=0,EC105=0),0,IF(EC104&lt;=0,0,IF(WEEKDAY(EC$6,1)=1,0,MAX(0,EC105-10)*EC104))+((IF(EC104&lt;=0,0,IF(WEEKDAY(EC$6,1)=1,0,MIN(10,EC105)*EC104)))-MIN(IF(EC104&lt;=0,0,IF(WEEKDAY(EC$6,1)=1,0,MIN(10,EC105)*EC104)),MAX(0,40*MAX(1,EC104)-(DZ106+EA106+EB106)))))</f>
        <v>0</v>
      </c>
      <c r="ED107" s="63">
        <f>IF(AND(ED104=0,ED105=0),0,IF(ED104&lt;=0,0,IF(WEEKDAY(ED$6,1)=1,0,MAX(0,ED105-10)*ED104))+((IF(ED104&lt;=0,0,IF(WEEKDAY(ED$6,1)=1,0,MIN(10,ED105)*ED104)))-MIN(IF(ED104&lt;=0,0,IF(WEEKDAY(ED$6,1)=1,0,MIN(10,ED105)*ED104)),MAX(0,40*MAX(1,ED104)-(DZ106+EA106+EB106+EC106)))))</f>
        <v>0</v>
      </c>
      <c r="EE107" s="64">
        <f>IF(AND(EE104=0,EE105=0),0,IF(EE104&lt;=0,0,IF(WEEKDAY(EE$6,1)=1,0,MAX(0,EE105-10)*EE104))+((IF(EE104&lt;=0,0,IF(WEEKDAY(EE$6,1)=1,0,MIN(10,EE105)*EE104)))-MIN(IF(EE104&lt;=0,0,IF(WEEKDAY(EE$6,1)=1,0,MIN(10,EE105)*EE104)),MAX(0,40*MAX(1,EE104)-(DZ106+EA106+EB106+EC106+ED106)))))</f>
        <v>0</v>
      </c>
      <c r="EF107" s="64">
        <f>IF(AND(EF104=0,EF105=0),0,IF(EF104&lt;=0,0,IF(WEEKDAY(EF$6,1)=1,0,MAX(0,EF105-10)*EF104))+((IF(EF104&lt;=0,0,IF(WEEKDAY(EF$6,1)=1,0,MIN(10,EF105)*EF104)))-MIN(IF(EF104&lt;=0,0,IF(WEEKDAY(EF$6,1)=1,0,MIN(10,EF105)*EF104)),MAX(0,40*MAX(1,EF104)-(DZ106+EA106+EB106+EC106+ED106+EE106)))))</f>
        <v>0</v>
      </c>
      <c r="EG107" s="63">
        <f>IF(AND(EG104=0,EG105=0),0,IF(EG104&lt;=0,0,IF(WEEKDAY(EG$6,1)=1,0,MAX(0,EG105-10)*EG104))+((IF(EG104&lt;=0,0,IF(WEEKDAY(EG$6,1)=1,0,MIN(10,EG105)*EG104)))-MIN(IF(EG104&lt;=0,0,IF(WEEKDAY(EG$6,1)=1,0,MIN(10,EG105)*EG104)),MAX(0,40*MAX(1,EG104)-(0)))))</f>
        <v>0</v>
      </c>
      <c r="EH107" s="63">
        <f>IF(AND(EH104=0,EH105=0),0,IF(EH104&lt;=0,0,IF(WEEKDAY(EH$6,1)=1,0,MAX(0,EH105-10)*EH104))+((IF(EH104&lt;=0,0,IF(WEEKDAY(EH$6,1)=1,0,MIN(10,EH105)*EH104)))-MIN(IF(EH104&lt;=0,0,IF(WEEKDAY(EH$6,1)=1,0,MIN(10,EH105)*EH104)),MAX(0,40*MAX(1,EH104)-(EG106)))))</f>
        <v>0</v>
      </c>
      <c r="EI107" s="63">
        <f>IF(AND(EI104=0,EI105=0),0,IF(EI104&lt;=0,0,IF(WEEKDAY(EI$6,1)=1,0,MAX(0,EI105-10)*EI104))+((IF(EI104&lt;=0,0,IF(WEEKDAY(EI$6,1)=1,0,MIN(10,EI105)*EI104)))-MIN(IF(EI104&lt;=0,0,IF(WEEKDAY(EI$6,1)=1,0,MIN(10,EI105)*EI104)),MAX(0,40*MAX(1,EI104)-(EG106+EH106)))))</f>
        <v>0</v>
      </c>
      <c r="EJ107" s="63">
        <f>IF(AND(EJ104=0,EJ105=0),0,IF(EJ104&lt;=0,0,IF(WEEKDAY(EJ$6,1)=1,0,MAX(0,EJ105-10)*EJ104))+((IF(EJ104&lt;=0,0,IF(WEEKDAY(EJ$6,1)=1,0,MIN(10,EJ105)*EJ104)))-MIN(IF(EJ104&lt;=0,0,IF(WEEKDAY(EJ$6,1)=1,0,MIN(10,EJ105)*EJ104)),MAX(0,40*MAX(1,EJ104)-(EG106+EH106+EI106)))))</f>
        <v>0</v>
      </c>
      <c r="EK107" s="65">
        <f>IF(AND(EK104=0,EK105=0),0,IF(EK104&lt;=0,0,IF(WEEKDAY(EK$6,1)=1,0,MAX(0,EK105-10)*EK104))+((IF(EK104&lt;=0,0,IF(WEEKDAY(EK$6,1)=1,0,MIN(10,EK105)*EK104)))-MIN(IF(EK104&lt;=0,0,IF(WEEKDAY(EK$6,1)=1,0,MIN(10,EK105)*EK104)),MAX(0,40*MAX(1,EK104)-(EG106+EH106+EI106+EJ106)))))</f>
        <v>0</v>
      </c>
      <c r="OU107" s="28" t="s">
        <v>85</v>
      </c>
    </row>
    <row r="108" ht="16" customHeight="1" spans="1:411" x14ac:dyDescent="0.25">
      <c r="A108" s="74"/>
      <c r="B108" s="46"/>
      <c r="C108" s="61">
        <f>H103*N(D108)</f>
        <v>30371.219999999998</v>
      </c>
      <c r="D108" s="61">
        <f>IF(TRIM(B103)="","No rate",IFERROR(INDEX('Rate Tables'!E$7:E$158,MATCH(B103,'Rate Tables'!A$7:A$158,0)),"No rate"))</f>
        <v>153.39</v>
      </c>
      <c r="E108" s="55" t="s">
        <v>64</v>
      </c>
      <c r="F108" s="49"/>
      <c r="G108" s="49"/>
      <c r="H108" s="49"/>
      <c r="I108" s="49"/>
      <c r="J108" s="50"/>
      <c r="K108" s="62">
        <f>IF(AND(K104=0,K105=0),0,IF(K104&lt;=0,0,IF(WEEKDAY(K$6,1)=1,K104*K105,0)))</f>
        <v>0</v>
      </c>
      <c r="L108" s="63">
        <f>IF(AND(L104=0,L105=0),0,IF(L104&lt;=0,0,IF(WEEKDAY(L$6,1)=1,L104*L105,0)))</f>
        <v>0</v>
      </c>
      <c r="M108" s="63">
        <f>IF(AND(M104=0,M105=0),0,IF(M104&lt;=0,0,IF(WEEKDAY(M$6,1)=1,M104*M105,0)))</f>
        <v>0</v>
      </c>
      <c r="N108" s="63">
        <f>IF(AND(N104=0,N105=0),0,IF(N104&lt;=0,0,IF(WEEKDAY(N$6,1)=1,N104*N105,0)))</f>
        <v>0</v>
      </c>
      <c r="O108" s="63">
        <f>IF(AND(O104=0,O105=0),0,IF(O104&lt;=0,0,IF(WEEKDAY(O$6,1)=1,O104*O105,0)))</f>
        <v>0</v>
      </c>
      <c r="P108" s="64">
        <f>IF(AND(P104=0,P105=0),0,IF(P104&lt;=0,0,IF(WEEKDAY(P$6,1)=1,P104*P105,0)))</f>
        <v>0</v>
      </c>
      <c r="Q108" s="64">
        <f>IF(AND(Q104=0,Q105=0),0,IF(Q104&lt;=0,0,IF(WEEKDAY(Q$6,1)=1,Q104*Q105,0)))</f>
        <v>0</v>
      </c>
      <c r="R108" s="63">
        <f>IF(AND(R104=0,R105=0),0,IF(R104&lt;=0,0,IF(WEEKDAY(R$6,1)=1,R104*R105,0)))</f>
        <v>0</v>
      </c>
      <c r="S108" s="63">
        <f>IF(AND(S104=0,S105=0),0,IF(S104&lt;=0,0,IF(WEEKDAY(S$6,1)=1,S104*S105,0)))</f>
        <v>0</v>
      </c>
      <c r="T108" s="63">
        <f>IF(AND(T104=0,T105=0),0,IF(T104&lt;=0,0,IF(WEEKDAY(T$6,1)=1,T104*T105,0)))</f>
        <v>0</v>
      </c>
      <c r="U108" s="63">
        <f>IF(AND(U104=0,U105=0),0,IF(U104&lt;=0,0,IF(WEEKDAY(U$6,1)=1,U104*U105,0)))</f>
        <v>0</v>
      </c>
      <c r="V108" s="63">
        <f>IF(AND(V104=0,V105=0),0,IF(V104&lt;=0,0,IF(WEEKDAY(V$6,1)=1,V104*V105,0)))</f>
        <v>0</v>
      </c>
      <c r="W108" s="64">
        <f>IF(AND(W104=0,W105=0),0,IF(W104&lt;=0,0,IF(WEEKDAY(W$6,1)=1,W104*W105,0)))</f>
        <v>0</v>
      </c>
      <c r="X108" s="64">
        <f>IF(AND(X104=0,X105=0),0,IF(X104&lt;=0,0,IF(WEEKDAY(X$6,1)=1,X104*X105,0)))</f>
        <v>0</v>
      </c>
      <c r="Y108" s="63">
        <f>IF(AND(Y104=0,Y105=0),0,IF(Y104&lt;=0,0,IF(WEEKDAY(Y$6,1)=1,Y104*Y105,0)))</f>
        <v>0</v>
      </c>
      <c r="Z108" s="63">
        <f>IF(AND(Z104=0,Z105=0),0,IF(Z104&lt;=0,0,IF(WEEKDAY(Z$6,1)=1,Z104*Z105,0)))</f>
        <v>0</v>
      </c>
      <c r="AA108" s="63">
        <f>IF(AND(AA104=0,AA105=0),0,IF(AA104&lt;=0,0,IF(WEEKDAY(AA$6,1)=1,AA104*AA105,0)))</f>
        <v>0</v>
      </c>
      <c r="AB108" s="63">
        <f>IF(AND(AB104=0,AB105=0),0,IF(AB104&lt;=0,0,IF(WEEKDAY(AB$6,1)=1,AB104*AB105,0)))</f>
        <v>0</v>
      </c>
      <c r="AC108" s="63">
        <f>IF(AND(AC104=0,AC105=0),0,IF(AC104&lt;=0,0,IF(WEEKDAY(AC$6,1)=1,AC104*AC105,0)))</f>
        <v>0</v>
      </c>
      <c r="AD108" s="64">
        <f>IF(AND(AD104=0,AD105=0),0,IF(AD104&lt;=0,0,IF(WEEKDAY(AD$6,1)=1,AD104*AD105,0)))</f>
        <v>0</v>
      </c>
      <c r="AE108" s="64">
        <f>IF(AND(AE104=0,AE105=0),0,IF(AE104&lt;=0,0,IF(WEEKDAY(AE$6,1)=1,AE104*AE105,0)))</f>
        <v>0</v>
      </c>
      <c r="AF108" s="63">
        <f>IF(AND(AF104=0,AF105=0),0,IF(AF104&lt;=0,0,IF(WEEKDAY(AF$6,1)=1,AF104*AF105,0)))</f>
        <v>0</v>
      </c>
      <c r="AG108" s="63">
        <f>IF(AND(AG104=0,AG105=0),0,IF(AG104&lt;=0,0,IF(WEEKDAY(AG$6,1)=1,AG104*AG105,0)))</f>
        <v>0</v>
      </c>
      <c r="AH108" s="63">
        <f>IF(AND(AH104=0,AH105=0),0,IF(AH104&lt;=0,0,IF(WEEKDAY(AH$6,1)=1,AH104*AH105,0)))</f>
        <v>0</v>
      </c>
      <c r="AI108" s="63">
        <f>IF(AND(AI104=0,AI105=0),0,IF(AI104&lt;=0,0,IF(WEEKDAY(AI$6,1)=1,AI104*AI105,0)))</f>
        <v>0</v>
      </c>
      <c r="AJ108" s="63">
        <f>IF(AND(AJ104=0,AJ105=0),0,IF(AJ104&lt;=0,0,IF(WEEKDAY(AJ$6,1)=1,AJ104*AJ105,0)))</f>
        <v>0</v>
      </c>
      <c r="AK108" s="64">
        <f>IF(AND(AK104=0,AK105=0),0,IF(AK104&lt;=0,0,IF(WEEKDAY(AK$6,1)=1,AK104*AK105,0)))</f>
        <v>0</v>
      </c>
      <c r="AL108" s="64">
        <f>IF(AND(AL104=0,AL105=0),0,IF(AL104&lt;=0,0,IF(WEEKDAY(AL$6,1)=1,AL104*AL105,0)))</f>
        <v>0</v>
      </c>
      <c r="AM108" s="63">
        <f>IF(AND(AM104=0,AM105=0),0,IF(AM104&lt;=0,0,IF(WEEKDAY(AM$6,1)=1,AM104*AM105,0)))</f>
        <v>0</v>
      </c>
      <c r="AN108" s="63">
        <f>IF(AND(AN104=0,AN105=0),0,IF(AN104&lt;=0,0,IF(WEEKDAY(AN$6,1)=1,AN104*AN105,0)))</f>
        <v>0</v>
      </c>
      <c r="AO108" s="63">
        <f>IF(AND(AO104=0,AO105=0),0,IF(AO104&lt;=0,0,IF(WEEKDAY(AO$6,1)=1,AO104*AO105,0)))</f>
        <v>0</v>
      </c>
      <c r="AP108" s="63">
        <f>IF(AND(AP104=0,AP105=0),0,IF(AP104&lt;=0,0,IF(WEEKDAY(AP$6,1)=1,AP104*AP105,0)))</f>
        <v>0</v>
      </c>
      <c r="AQ108" s="63">
        <f>IF(AND(AQ104=0,AQ105=0),0,IF(AQ104&lt;=0,0,IF(WEEKDAY(AQ$6,1)=1,AQ104*AQ105,0)))</f>
        <v>0</v>
      </c>
      <c r="AR108" s="64">
        <f>IF(AND(AR104=0,AR105=0),0,IF(AR104&lt;=0,0,IF(WEEKDAY(AR$6,1)=1,AR104*AR105,0)))</f>
        <v>0</v>
      </c>
      <c r="AS108" s="64">
        <f>IF(AND(AS104=0,AS105=0),0,IF(AS104&lt;=0,0,IF(WEEKDAY(AS$6,1)=1,AS104*AS105,0)))</f>
        <v>0</v>
      </c>
      <c r="AT108" s="63">
        <f>IF(AND(AT104=0,AT105=0),0,IF(AT104&lt;=0,0,IF(WEEKDAY(AT$6,1)=1,AT104*AT105,0)))</f>
        <v>0</v>
      </c>
      <c r="AU108" s="63">
        <f>IF(AND(AU104=0,AU105=0),0,IF(AU104&lt;=0,0,IF(WEEKDAY(AU$6,1)=1,AU104*AU105,0)))</f>
        <v>0</v>
      </c>
      <c r="AV108" s="63">
        <f>IF(AND(AV104=0,AV105=0),0,IF(AV104&lt;=0,0,IF(WEEKDAY(AV$6,1)=1,AV104*AV105,0)))</f>
        <v>0</v>
      </c>
      <c r="AW108" s="63">
        <f>IF(AND(AW104=0,AW105=0),0,IF(AW104&lt;=0,0,IF(WEEKDAY(AW$6,1)=1,AW104*AW105,0)))</f>
        <v>0</v>
      </c>
      <c r="AX108" s="63">
        <f>IF(AND(AX104=0,AX105=0),0,IF(AX104&lt;=0,0,IF(WEEKDAY(AX$6,1)=1,AX104*AX105,0)))</f>
        <v>0</v>
      </c>
      <c r="AY108" s="64">
        <f>IF(AND(AY104=0,AY105=0),0,IF(AY104&lt;=0,0,IF(WEEKDAY(AY$6,1)=1,AY104*AY105,0)))</f>
        <v>0</v>
      </c>
      <c r="AZ108" s="64">
        <f>IF(AND(AZ104=0,AZ105=0),0,IF(AZ104&lt;=0,0,IF(WEEKDAY(AZ$6,1)=1,AZ104*AZ105,0)))</f>
        <v>0</v>
      </c>
      <c r="BA108" s="63">
        <f>IF(AND(BA104=0,BA105=0),0,IF(BA104&lt;=0,0,IF(WEEKDAY(BA$6,1)=1,BA104*BA105,0)))</f>
        <v>0</v>
      </c>
      <c r="BB108" s="63">
        <f>IF(AND(BB104=0,BB105=0),0,IF(BB104&lt;=0,0,IF(WEEKDAY(BB$6,1)=1,BB104*BB105,0)))</f>
        <v>0</v>
      </c>
      <c r="BC108" s="63">
        <f>IF(AND(BC104=0,BC105=0),0,IF(BC104&lt;=0,0,IF(WEEKDAY(BC$6,1)=1,BC104*BC105,0)))</f>
        <v>0</v>
      </c>
      <c r="BD108" s="63">
        <f>IF(AND(BD104=0,BD105=0),0,IF(BD104&lt;=0,0,IF(WEEKDAY(BD$6,1)=1,BD104*BD105,0)))</f>
        <v>0</v>
      </c>
      <c r="BE108" s="63">
        <f>IF(AND(BE104=0,BE105=0),0,IF(BE104&lt;=0,0,IF(WEEKDAY(BE$6,1)=1,BE104*BE105,0)))</f>
        <v>0</v>
      </c>
      <c r="BF108" s="64">
        <f>IF(AND(BF104=0,BF105=0),0,IF(BF104&lt;=0,0,IF(WEEKDAY(BF$6,1)=1,BF104*BF105,0)))</f>
        <v>0</v>
      </c>
      <c r="BG108" s="64">
        <f>IF(AND(BG104=0,BG105=0),0,IF(BG104&lt;=0,0,IF(WEEKDAY(BG$6,1)=1,BG104*BG105,0)))</f>
        <v>0</v>
      </c>
      <c r="BH108" s="63">
        <f>IF(AND(BH104=2,BH105=11),0,IF(BH104&lt;=0,0,IF(WEEKDAY(BH$6,1)=1,BH104*BH105,0)))</f>
        <v>0</v>
      </c>
      <c r="BI108" s="63">
        <f>IF(AND(BI104=2,BI105=11),0,IF(BI104&lt;=0,0,IF(WEEKDAY(BI$6,1)=1,BI104*BI105,0)))</f>
        <v>0</v>
      </c>
      <c r="BJ108" s="63">
        <f>IF(AND(BJ104=2,BJ105=11),0,IF(BJ104&lt;=0,0,IF(WEEKDAY(BJ$6,1)=1,BJ104*BJ105,0)))</f>
        <v>0</v>
      </c>
      <c r="BK108" s="63">
        <f>IF(AND(BK104=2,BK105=11),0,IF(BK104&lt;=0,0,IF(WEEKDAY(BK$6,1)=1,BK104*BK105,0)))</f>
        <v>0</v>
      </c>
      <c r="BL108" s="63">
        <f>IF(AND(BL104=2,BL105=11),0,IF(BL104&lt;=0,0,IF(WEEKDAY(BL$6,1)=1,BL104*BL105,0)))</f>
        <v>0</v>
      </c>
      <c r="BM108" s="64">
        <f>IF(AND(BM104=2,BM105=11),0,IF(BM104&lt;=0,0,IF(WEEKDAY(BM$6,1)=1,BM104*BM105,0)))</f>
        <v>0</v>
      </c>
      <c r="BN108" s="64">
        <f>IF(AND(BN104=2,BN105=11),22,IF(BN104&lt;=0,0,IF(WEEKDAY(BN$6,1)=1,BN104*BN105,0)))</f>
        <v>22</v>
      </c>
      <c r="BO108" s="63">
        <f>IF(AND(BO104=2,BO105=11),0,IF(BO104&lt;=0,0,IF(WEEKDAY(BO$6,1)=1,BO104*BO105,0)))</f>
        <v>0</v>
      </c>
      <c r="BP108" s="63">
        <f>IF(AND(BP104=2,BP105=11),0,IF(BP104&lt;=0,0,IF(WEEKDAY(BP$6,1)=1,BP104*BP105,0)))</f>
        <v>0</v>
      </c>
      <c r="BQ108" s="63">
        <f>IF(AND(BQ104=2,BQ105=11),0,IF(BQ104&lt;=0,0,IF(WEEKDAY(BQ$6,1)=1,BQ104*BQ105,0)))</f>
        <v>0</v>
      </c>
      <c r="BR108" s="63">
        <f>IF(AND(BR104=2,BR105=11),0,IF(BR104&lt;=0,0,IF(WEEKDAY(BR$6,1)=1,BR104*BR105,0)))</f>
        <v>0</v>
      </c>
      <c r="BS108" s="63">
        <f>IF(AND(BS104=2,BS105=11),0,IF(BS104&lt;=0,0,IF(WEEKDAY(BS$6,1)=1,BS104*BS105,0)))</f>
        <v>0</v>
      </c>
      <c r="BT108" s="64">
        <f>IF(AND(BT104=2,BT105=11),0,IF(BT104&lt;=0,0,IF(WEEKDAY(BT$6,1)=1,BT104*BT105,0)))</f>
        <v>0</v>
      </c>
      <c r="BU108" s="64">
        <f>IF(AND(BU104=2,BU105=11),22,IF(BU104&lt;=0,0,IF(WEEKDAY(BU$6,1)=1,BU104*BU105,0)))</f>
        <v>22</v>
      </c>
      <c r="BV108" s="63">
        <f>IF(AND(BV104=2,BV105=11),0,IF(BV104&lt;=0,0,IF(WEEKDAY(BV$6,1)=1,BV104*BV105,0)))</f>
        <v>0</v>
      </c>
      <c r="BW108" s="63">
        <f>IF(AND(BW104=2,BW105=11),0,IF(BW104&lt;=0,0,IF(WEEKDAY(BW$6,1)=1,BW104*BW105,0)))</f>
        <v>0</v>
      </c>
      <c r="BX108" s="63">
        <f>IF(AND(BX104=2,BX105=11),0,IF(BX104&lt;=0,0,IF(WEEKDAY(BX$6,1)=1,BX104*BX105,0)))</f>
        <v>0</v>
      </c>
      <c r="BY108" s="63">
        <f>IF(AND(BY104=2,BY105=11),0,IF(BY104&lt;=0,0,IF(WEEKDAY(BY$6,1)=1,BY104*BY105,0)))</f>
        <v>0</v>
      </c>
      <c r="BZ108" s="63">
        <f>IF(AND(BZ104=2,BZ105=11),0,IF(BZ104&lt;=0,0,IF(WEEKDAY(BZ$6,1)=1,BZ104*BZ105,0)))</f>
        <v>0</v>
      </c>
      <c r="CA108" s="64">
        <f>IF(AND(CA104=2,CA105=11),0,IF(CA104&lt;=0,0,IF(WEEKDAY(CA$6,1)=1,CA104*CA105,0)))</f>
        <v>0</v>
      </c>
      <c r="CB108" s="64">
        <f>IF(AND(CB104=2,CB105=11),22,IF(CB104&lt;=0,0,IF(WEEKDAY(CB$6,1)=1,CB104*CB105,0)))</f>
        <v>22</v>
      </c>
      <c r="CC108" s="63">
        <f>IF(AND(CC104=2,CC105=11),0,IF(CC104&lt;=0,0,IF(WEEKDAY(CC$6,1)=1,CC104*CC105,0)))</f>
        <v>0</v>
      </c>
      <c r="CD108" s="63">
        <f>IF(AND(CD104=2,CD105=11),0,IF(CD104&lt;=0,0,IF(WEEKDAY(CD$6,1)=1,CD104*CD105,0)))</f>
        <v>0</v>
      </c>
      <c r="CE108" s="63">
        <f>IF(AND(CE104=2,CE105=11),0,IF(CE104&lt;=0,0,IF(WEEKDAY(CE$6,1)=1,CE104*CE105,0)))</f>
        <v>0</v>
      </c>
      <c r="CF108" s="63">
        <f>IF(AND(CF104=2,CF105=11),0,IF(CF104&lt;=0,0,IF(WEEKDAY(CF$6,1)=1,CF104*CF105,0)))</f>
        <v>0</v>
      </c>
      <c r="CG108" s="63">
        <f>IF(AND(CG104=2,CG105=11),0,IF(CG104&lt;=0,0,IF(WEEKDAY(CG$6,1)=1,CG104*CG105,0)))</f>
        <v>0</v>
      </c>
      <c r="CH108" s="64">
        <f>IF(AND(CH104=2,CH105=11),0,IF(CH104&lt;=0,0,IF(WEEKDAY(CH$6,1)=1,CH104*CH105,0)))</f>
        <v>0</v>
      </c>
      <c r="CI108" s="64">
        <f>IF(AND(CI104=2,CI105=11),22,IF(CI104&lt;=0,0,IF(WEEKDAY(CI$6,1)=1,CI104*CI105,0)))</f>
        <v>22</v>
      </c>
      <c r="CJ108" s="63">
        <f>IF(AND(CJ104=2,CJ105=11),0,IF(CJ104&lt;=0,0,IF(WEEKDAY(CJ$6,1)=1,CJ104*CJ105,0)))</f>
        <v>0</v>
      </c>
      <c r="CK108" s="63">
        <f>IF(AND(CK104=2,CK105=11),0,IF(CK104&lt;=0,0,IF(WEEKDAY(CK$6,1)=1,CK104*CK105,0)))</f>
        <v>0</v>
      </c>
      <c r="CL108" s="63">
        <f>IF(AND(CL104=2,CL105=11),0,IF(CL104&lt;=0,0,IF(WEEKDAY(CL$6,1)=1,CL104*CL105,0)))</f>
        <v>0</v>
      </c>
      <c r="CM108" s="63">
        <f>IF(AND(CM104=2,CM105=11),0,IF(CM104&lt;=0,0,IF(WEEKDAY(CM$6,1)=1,CM104*CM105,0)))</f>
        <v>0</v>
      </c>
      <c r="CN108" s="63">
        <f>IF(AND(CN104=2,CN105=11),0,IF(CN104&lt;=0,0,IF(WEEKDAY(CN$6,1)=1,CN104*CN105,0)))</f>
        <v>0</v>
      </c>
      <c r="CO108" s="64">
        <f>IF(AND(CO104=2,CO105=11),0,IF(CO104&lt;=0,0,IF(WEEKDAY(CO$6,1)=1,CO104*CO105,0)))</f>
        <v>0</v>
      </c>
      <c r="CP108" s="64">
        <f>IF(AND(CP104=2,CP105=11),22,IF(CP104&lt;=0,0,IF(WEEKDAY(CP$6,1)=1,CP104*CP105,0)))</f>
        <v>22</v>
      </c>
      <c r="CQ108" s="63">
        <f>IF(AND(CQ104=2,CQ105=11),0,IF(CQ104&lt;=0,0,IF(WEEKDAY(CQ$6,1)=1,CQ104*CQ105,0)))</f>
        <v>0</v>
      </c>
      <c r="CR108" s="63">
        <f>IF(AND(CR104=2,CR105=11),0,IF(CR104&lt;=0,0,IF(WEEKDAY(CR$6,1)=1,CR104*CR105,0)))</f>
        <v>0</v>
      </c>
      <c r="CS108" s="63">
        <f>IF(AND(CS104=2,CS105=11),0,IF(CS104&lt;=0,0,IF(WEEKDAY(CS$6,1)=1,CS104*CS105,0)))</f>
        <v>0</v>
      </c>
      <c r="CT108" s="63">
        <f>IF(AND(CT104=2,CT105=11),0,IF(CT104&lt;=0,0,IF(WEEKDAY(CT$6,1)=1,CT104*CT105,0)))</f>
        <v>0</v>
      </c>
      <c r="CU108" s="63">
        <f>IF(AND(CU104=2,CU105=11),0,IF(CU104&lt;=0,0,IF(WEEKDAY(CU$6,1)=1,CU104*CU105,0)))</f>
        <v>0</v>
      </c>
      <c r="CV108" s="64">
        <f>IF(AND(CV104=2,CV105=11),0,IF(CV104&lt;=0,0,IF(WEEKDAY(CV$6,1)=1,CV104*CV105,0)))</f>
        <v>0</v>
      </c>
      <c r="CW108" s="64">
        <f>IF(AND(CW104=2,CW105=11),22,IF(CW104&lt;=0,0,IF(WEEKDAY(CW$6,1)=1,CW104*CW105,0)))</f>
        <v>22</v>
      </c>
      <c r="CX108" s="63">
        <f>IF(AND(CX104=2,CX105=11),0,IF(CX104&lt;=0,0,IF(WEEKDAY(CX$6,1)=1,CX104*CX105,0)))</f>
        <v>0</v>
      </c>
      <c r="CY108" s="63">
        <f>IF(AND(CY104=2,CY105=11),0,IF(CY104&lt;=0,0,IF(WEEKDAY(CY$6,1)=1,CY104*CY105,0)))</f>
        <v>0</v>
      </c>
      <c r="CZ108" s="63">
        <f>IF(AND(CZ104=2,CZ105=11),0,IF(CZ104&lt;=0,0,IF(WEEKDAY(CZ$6,1)=1,CZ104*CZ105,0)))</f>
        <v>0</v>
      </c>
      <c r="DA108" s="63">
        <f>IF(AND(DA104=2,DA105=11),0,IF(DA104&lt;=0,0,IF(WEEKDAY(DA$6,1)=1,DA104*DA105,0)))</f>
        <v>0</v>
      </c>
      <c r="DB108" s="63">
        <f>IF(AND(DB104=2,DB105=11),0,IF(DB104&lt;=0,0,IF(WEEKDAY(DB$6,1)=1,DB104*DB105,0)))</f>
        <v>0</v>
      </c>
      <c r="DC108" s="64">
        <f>IF(AND(DC104=2,DC105=11),0,IF(DC104&lt;=0,0,IF(WEEKDAY(DC$6,1)=1,DC104*DC105,0)))</f>
        <v>0</v>
      </c>
      <c r="DD108" s="64">
        <f>IF(AND(DD104=2,DD105=11),22,IF(DD104&lt;=0,0,IF(WEEKDAY(DD$6,1)=1,DD104*DD105,0)))</f>
        <v>22</v>
      </c>
      <c r="DE108" s="63">
        <f>IF(AND(DE104=2,DE105=11),0,IF(DE104&lt;=0,0,IF(WEEKDAY(DE$6,1)=1,DE104*DE105,0)))</f>
        <v>0</v>
      </c>
      <c r="DF108" s="63">
        <f>IF(AND(DF104=2,DF105=11),0,IF(DF104&lt;=0,0,IF(WEEKDAY(DF$6,1)=1,DF104*DF105,0)))</f>
        <v>0</v>
      </c>
      <c r="DG108" s="63">
        <f>IF(AND(DG104=2,DG105=11),0,IF(DG104&lt;=0,0,IF(WEEKDAY(DG$6,1)=1,DG104*DG105,0)))</f>
        <v>0</v>
      </c>
      <c r="DH108" s="63">
        <f>IF(AND(DH104=2,DH105=11),0,IF(DH104&lt;=0,0,IF(WEEKDAY(DH$6,1)=1,DH104*DH105,0)))</f>
        <v>0</v>
      </c>
      <c r="DI108" s="63">
        <f>IF(AND(DI104=2,DI105=11),0,IF(DI104&lt;=0,0,IF(WEEKDAY(DI$6,1)=1,DI104*DI105,0)))</f>
        <v>0</v>
      </c>
      <c r="DJ108" s="64">
        <f>IF(AND(DJ104=2,DJ105=11),0,IF(DJ104&lt;=0,0,IF(WEEKDAY(DJ$6,1)=1,DJ104*DJ105,0)))</f>
        <v>0</v>
      </c>
      <c r="DK108" s="64">
        <f>IF(AND(DK104=2,DK105=11),22,IF(DK104&lt;=0,0,IF(WEEKDAY(DK$6,1)=1,DK104*DK105,0)))</f>
        <v>22</v>
      </c>
      <c r="DL108" s="63">
        <f>IF(AND(DL104=2,DL105=11),0,IF(DL104&lt;=0,0,IF(WEEKDAY(DL$6,1)=1,DL104*DL105,0)))</f>
        <v>0</v>
      </c>
      <c r="DM108" s="63">
        <f>IF(AND(DM104=2,DM105=11),0,IF(DM104&lt;=0,0,IF(WEEKDAY(DM$6,1)=1,DM104*DM105,0)))</f>
        <v>0</v>
      </c>
      <c r="DN108" s="63">
        <f>IF(AND(DN104=2,DN105=11),0,IF(DN104&lt;=0,0,IF(WEEKDAY(DN$6,1)=1,DN104*DN105,0)))</f>
        <v>0</v>
      </c>
      <c r="DO108" s="63">
        <f>IF(AND(DO104=2,DO105=11),0,IF(DO104&lt;=0,0,IF(WEEKDAY(DO$6,1)=1,DO104*DO105,0)))</f>
        <v>0</v>
      </c>
      <c r="DP108" s="63">
        <f>IF(AND(DP104=2,DP105=11),0,IF(DP104&lt;=0,0,IF(WEEKDAY(DP$6,1)=1,DP104*DP105,0)))</f>
        <v>0</v>
      </c>
      <c r="DQ108" s="64">
        <f>IF(AND(DQ104=2,DQ105=11),0,IF(DQ104&lt;=0,0,IF(WEEKDAY(DQ$6,1)=1,DQ104*DQ105,0)))</f>
        <v>0</v>
      </c>
      <c r="DR108" s="64">
        <f>IF(AND(DR104=2,DR105=11),22,IF(DR104&lt;=0,0,IF(WEEKDAY(DR$6,1)=1,DR104*DR105,0)))</f>
        <v>22</v>
      </c>
      <c r="DS108" s="63">
        <f>IF(AND(DS104=2,DS105=11),0,IF(DS104&lt;=0,0,IF(WEEKDAY(DS$6,1)=1,DS104*DS105,0)))</f>
        <v>0</v>
      </c>
      <c r="DT108" s="63">
        <f>IF(AND(DT104=0,DT105=0),0,IF(DT104&lt;=0,0,IF(WEEKDAY(DT$6,1)=1,DT104*DT105,0)))</f>
        <v>0</v>
      </c>
      <c r="DU108" s="63">
        <f>IF(AND(DU104=0,DU105=0),0,IF(DU104&lt;=0,0,IF(WEEKDAY(DU$6,1)=1,DU104*DU105,0)))</f>
        <v>0</v>
      </c>
      <c r="DV108" s="63">
        <f>IF(AND(DV104=0,DV105=0),0,IF(DV104&lt;=0,0,IF(WEEKDAY(DV$6,1)=1,DV104*DV105,0)))</f>
        <v>0</v>
      </c>
      <c r="DW108" s="63">
        <f>IF(AND(DW104=0,DW105=0),0,IF(DW104&lt;=0,0,IF(WEEKDAY(DW$6,1)=1,DW104*DW105,0)))</f>
        <v>0</v>
      </c>
      <c r="DX108" s="64">
        <f>IF(AND(DX104=0,DX105=0),0,IF(DX104&lt;=0,0,IF(WEEKDAY(DX$6,1)=1,DX104*DX105,0)))</f>
        <v>0</v>
      </c>
      <c r="DY108" s="64">
        <f>IF(AND(DY104=0,DY105=0),0,IF(DY104&lt;=0,0,IF(WEEKDAY(DY$6,1)=1,DY104*DY105,0)))</f>
        <v>0</v>
      </c>
      <c r="DZ108" s="63">
        <f>IF(AND(DZ104=0,DZ105=0),0,IF(DZ104&lt;=0,0,IF(WEEKDAY(DZ$6,1)=1,DZ104*DZ105,0)))</f>
        <v>0</v>
      </c>
      <c r="EA108" s="63">
        <f>IF(AND(EA104=0,EA105=0),0,IF(EA104&lt;=0,0,IF(WEEKDAY(EA$6,1)=1,EA104*EA105,0)))</f>
        <v>0</v>
      </c>
      <c r="EB108" s="63">
        <f>IF(AND(EB104=0,EB105=0),0,IF(EB104&lt;=0,0,IF(WEEKDAY(EB$6,1)=1,EB104*EB105,0)))</f>
        <v>0</v>
      </c>
      <c r="EC108" s="63">
        <f>IF(AND(EC104=0,EC105=0),0,IF(EC104&lt;=0,0,IF(WEEKDAY(EC$6,1)=1,EC104*EC105,0)))</f>
        <v>0</v>
      </c>
      <c r="ED108" s="63">
        <f>IF(AND(ED104=0,ED105=0),0,IF(ED104&lt;=0,0,IF(WEEKDAY(ED$6,1)=1,ED104*ED105,0)))</f>
        <v>0</v>
      </c>
      <c r="EE108" s="64">
        <f>IF(AND(EE104=0,EE105=0),0,IF(EE104&lt;=0,0,IF(WEEKDAY(EE$6,1)=1,EE104*EE105,0)))</f>
        <v>0</v>
      </c>
      <c r="EF108" s="64">
        <f>IF(AND(EF104=0,EF105=0),0,IF(EF104&lt;=0,0,IF(WEEKDAY(EF$6,1)=1,EF104*EF105,0)))</f>
        <v>0</v>
      </c>
      <c r="EG108" s="63">
        <f>IF(AND(EG104=0,EG105=0),0,IF(EG104&lt;=0,0,IF(WEEKDAY(EG$6,1)=1,EG104*EG105,0)))</f>
        <v>0</v>
      </c>
      <c r="EH108" s="63">
        <f>IF(AND(EH104=0,EH105=0),0,IF(EH104&lt;=0,0,IF(WEEKDAY(EH$6,1)=1,EH104*EH105,0)))</f>
        <v>0</v>
      </c>
      <c r="EI108" s="63">
        <f>IF(AND(EI104=0,EI105=0),0,IF(EI104&lt;=0,0,IF(WEEKDAY(EI$6,1)=1,EI104*EI105,0)))</f>
        <v>0</v>
      </c>
      <c r="EJ108" s="63">
        <f>IF(AND(EJ104=0,EJ105=0),0,IF(EJ104&lt;=0,0,IF(WEEKDAY(EJ$6,1)=1,EJ104*EJ105,0)))</f>
        <v>0</v>
      </c>
      <c r="EK108" s="65">
        <f>IF(AND(EK104=0,EK105=0),0,IF(EK104&lt;=0,0,IF(WEEKDAY(EK$6,1)=1,EK104*EK105,0)))</f>
        <v>0</v>
      </c>
      <c r="OU108" s="28" t="s">
        <v>85</v>
      </c>
    </row>
    <row r="109" ht="16" customHeight="1" spans="1:411" x14ac:dyDescent="0.25">
      <c r="A109" s="74"/>
      <c r="B109" s="46"/>
      <c r="C109" s="67">
        <f>I103*D109</f>
        <v>17920</v>
      </c>
      <c r="D109" s="67">
        <v>140</v>
      </c>
      <c r="E109" s="68" t="s">
        <v>65</v>
      </c>
      <c r="F109" s="49"/>
      <c r="G109" s="49"/>
      <c r="H109" s="49"/>
      <c r="I109" s="49"/>
      <c r="J109" s="50"/>
      <c r="K109" s="69">
        <v>0</v>
      </c>
      <c r="L109" s="70">
        <v>0</v>
      </c>
      <c r="M109" s="70">
        <v>0</v>
      </c>
      <c r="N109" s="70">
        <v>0</v>
      </c>
      <c r="O109" s="70">
        <v>0</v>
      </c>
      <c r="P109" s="71">
        <v>0</v>
      </c>
      <c r="Q109" s="71">
        <v>0</v>
      </c>
      <c r="R109" s="70">
        <v>0</v>
      </c>
      <c r="S109" s="70">
        <v>0</v>
      </c>
      <c r="T109" s="70">
        <v>0</v>
      </c>
      <c r="U109" s="70">
        <v>0</v>
      </c>
      <c r="V109" s="70">
        <v>0</v>
      </c>
      <c r="W109" s="71">
        <v>0</v>
      </c>
      <c r="X109" s="71">
        <v>0</v>
      </c>
      <c r="Y109" s="70">
        <v>0</v>
      </c>
      <c r="Z109" s="70">
        <v>0</v>
      </c>
      <c r="AA109" s="70">
        <v>0</v>
      </c>
      <c r="AB109" s="70">
        <v>0</v>
      </c>
      <c r="AC109" s="70">
        <v>0</v>
      </c>
      <c r="AD109" s="71">
        <v>0</v>
      </c>
      <c r="AE109" s="71">
        <v>0</v>
      </c>
      <c r="AF109" s="70">
        <v>0</v>
      </c>
      <c r="AG109" s="70">
        <v>0</v>
      </c>
      <c r="AH109" s="70">
        <v>0</v>
      </c>
      <c r="AI109" s="70">
        <v>0</v>
      </c>
      <c r="AJ109" s="70">
        <v>0</v>
      </c>
      <c r="AK109" s="71">
        <v>0</v>
      </c>
      <c r="AL109" s="71">
        <v>0</v>
      </c>
      <c r="AM109" s="70">
        <v>0</v>
      </c>
      <c r="AN109" s="70">
        <v>0</v>
      </c>
      <c r="AO109" s="70">
        <v>0</v>
      </c>
      <c r="AP109" s="70">
        <v>0</v>
      </c>
      <c r="AQ109" s="70">
        <v>0</v>
      </c>
      <c r="AR109" s="71">
        <v>0</v>
      </c>
      <c r="AS109" s="71">
        <v>0</v>
      </c>
      <c r="AT109" s="70">
        <v>0</v>
      </c>
      <c r="AU109" s="70">
        <v>0</v>
      </c>
      <c r="AV109" s="70">
        <v>0</v>
      </c>
      <c r="AW109" s="70">
        <v>0</v>
      </c>
      <c r="AX109" s="70">
        <v>0</v>
      </c>
      <c r="AY109" s="71">
        <v>0</v>
      </c>
      <c r="AZ109" s="71">
        <v>0</v>
      </c>
      <c r="BA109" s="70">
        <v>0</v>
      </c>
      <c r="BB109" s="70">
        <v>0</v>
      </c>
      <c r="BC109" s="70">
        <v>0</v>
      </c>
      <c r="BD109" s="70">
        <v>0</v>
      </c>
      <c r="BE109" s="70">
        <v>0</v>
      </c>
      <c r="BF109" s="71">
        <v>0</v>
      </c>
      <c r="BG109" s="71">
        <v>0</v>
      </c>
      <c r="BH109" s="70">
        <v>2</v>
      </c>
      <c r="BI109" s="70">
        <v>2</v>
      </c>
      <c r="BJ109" s="70">
        <v>2</v>
      </c>
      <c r="BK109" s="70">
        <v>2</v>
      </c>
      <c r="BL109" s="70">
        <v>2</v>
      </c>
      <c r="BM109" s="71">
        <v>2</v>
      </c>
      <c r="BN109" s="71">
        <v>2</v>
      </c>
      <c r="BO109" s="70">
        <v>2</v>
      </c>
      <c r="BP109" s="70">
        <v>2</v>
      </c>
      <c r="BQ109" s="70">
        <v>2</v>
      </c>
      <c r="BR109" s="70">
        <v>2</v>
      </c>
      <c r="BS109" s="70">
        <v>2</v>
      </c>
      <c r="BT109" s="71">
        <v>2</v>
      </c>
      <c r="BU109" s="71">
        <v>2</v>
      </c>
      <c r="BV109" s="70">
        <v>2</v>
      </c>
      <c r="BW109" s="70">
        <v>2</v>
      </c>
      <c r="BX109" s="70">
        <v>2</v>
      </c>
      <c r="BY109" s="70">
        <v>2</v>
      </c>
      <c r="BZ109" s="70">
        <v>2</v>
      </c>
      <c r="CA109" s="71">
        <v>2</v>
      </c>
      <c r="CB109" s="71">
        <v>2</v>
      </c>
      <c r="CC109" s="70">
        <v>2</v>
      </c>
      <c r="CD109" s="70">
        <v>2</v>
      </c>
      <c r="CE109" s="70">
        <v>2</v>
      </c>
      <c r="CF109" s="70">
        <v>2</v>
      </c>
      <c r="CG109" s="70">
        <v>2</v>
      </c>
      <c r="CH109" s="71">
        <v>2</v>
      </c>
      <c r="CI109" s="71">
        <v>2</v>
      </c>
      <c r="CJ109" s="70">
        <v>2</v>
      </c>
      <c r="CK109" s="70">
        <v>2</v>
      </c>
      <c r="CL109" s="70">
        <v>2</v>
      </c>
      <c r="CM109" s="70">
        <v>2</v>
      </c>
      <c r="CN109" s="70">
        <v>2</v>
      </c>
      <c r="CO109" s="71">
        <v>2</v>
      </c>
      <c r="CP109" s="71">
        <v>2</v>
      </c>
      <c r="CQ109" s="70">
        <v>2</v>
      </c>
      <c r="CR109" s="70">
        <v>2</v>
      </c>
      <c r="CS109" s="70">
        <v>2</v>
      </c>
      <c r="CT109" s="70">
        <v>2</v>
      </c>
      <c r="CU109" s="70">
        <v>2</v>
      </c>
      <c r="CV109" s="71">
        <v>2</v>
      </c>
      <c r="CW109" s="71">
        <v>2</v>
      </c>
      <c r="CX109" s="70">
        <v>2</v>
      </c>
      <c r="CY109" s="70">
        <v>2</v>
      </c>
      <c r="CZ109" s="70">
        <v>2</v>
      </c>
      <c r="DA109" s="70">
        <v>2</v>
      </c>
      <c r="DB109" s="70">
        <v>2</v>
      </c>
      <c r="DC109" s="71">
        <v>2</v>
      </c>
      <c r="DD109" s="71">
        <v>2</v>
      </c>
      <c r="DE109" s="70">
        <v>2</v>
      </c>
      <c r="DF109" s="70">
        <v>2</v>
      </c>
      <c r="DG109" s="70">
        <v>2</v>
      </c>
      <c r="DH109" s="70">
        <v>2</v>
      </c>
      <c r="DI109" s="70">
        <v>2</v>
      </c>
      <c r="DJ109" s="71">
        <v>2</v>
      </c>
      <c r="DK109" s="71">
        <v>2</v>
      </c>
      <c r="DL109" s="70">
        <v>2</v>
      </c>
      <c r="DM109" s="70">
        <v>2</v>
      </c>
      <c r="DN109" s="70">
        <v>2</v>
      </c>
      <c r="DO109" s="70">
        <v>2</v>
      </c>
      <c r="DP109" s="70">
        <v>2</v>
      </c>
      <c r="DQ109" s="71">
        <v>2</v>
      </c>
      <c r="DR109" s="71">
        <v>2</v>
      </c>
      <c r="DS109" s="70">
        <v>2</v>
      </c>
      <c r="DT109" s="70">
        <v>0</v>
      </c>
      <c r="DU109" s="70">
        <v>0</v>
      </c>
      <c r="DV109" s="70">
        <v>0</v>
      </c>
      <c r="DW109" s="70">
        <v>0</v>
      </c>
      <c r="DX109" s="71">
        <v>0</v>
      </c>
      <c r="DY109" s="71">
        <v>0</v>
      </c>
      <c r="DZ109" s="70">
        <v>0</v>
      </c>
      <c r="EA109" s="70">
        <v>0</v>
      </c>
      <c r="EB109" s="70">
        <v>0</v>
      </c>
      <c r="EC109" s="70">
        <v>0</v>
      </c>
      <c r="ED109" s="70">
        <v>0</v>
      </c>
      <c r="EE109" s="71">
        <v>0</v>
      </c>
      <c r="EF109" s="71">
        <v>0</v>
      </c>
      <c r="EG109" s="70">
        <v>0</v>
      </c>
      <c r="EH109" s="70">
        <v>0</v>
      </c>
      <c r="EI109" s="70">
        <v>0</v>
      </c>
      <c r="EJ109" s="70">
        <v>0</v>
      </c>
      <c r="EK109" s="72">
        <v>0</v>
      </c>
      <c r="OU109" s="60" t="s">
        <v>85</v>
      </c>
    </row>
    <row r="110" ht="8" customHeight="1" spans="1:14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3"/>
      <c r="CD110" s="73"/>
      <c r="CE110" s="73"/>
      <c r="CF110" s="73"/>
      <c r="CG110" s="73"/>
      <c r="CH110" s="73"/>
      <c r="CI110" s="73"/>
      <c r="CJ110" s="73"/>
      <c r="CK110" s="73"/>
      <c r="CL110" s="73"/>
      <c r="CM110" s="73"/>
      <c r="CN110" s="73"/>
      <c r="CO110" s="73"/>
      <c r="CP110" s="73"/>
      <c r="CQ110" s="73"/>
      <c r="CR110" s="73"/>
      <c r="CS110" s="73"/>
      <c r="CT110" s="73"/>
      <c r="CU110" s="73"/>
      <c r="CV110" s="73"/>
      <c r="CW110" s="73"/>
      <c r="CX110" s="73"/>
      <c r="CY110" s="73"/>
      <c r="CZ110" s="73"/>
      <c r="DA110" s="73"/>
      <c r="DB110" s="73"/>
      <c r="DC110" s="73"/>
      <c r="DD110" s="73"/>
      <c r="DE110" s="73"/>
      <c r="DF110" s="73"/>
      <c r="DG110" s="73"/>
      <c r="DH110" s="73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  <c r="DT110" s="73"/>
      <c r="DU110" s="73"/>
      <c r="DV110" s="73"/>
      <c r="DW110" s="73"/>
      <c r="DX110" s="73"/>
      <c r="DY110" s="73"/>
      <c r="DZ110" s="73"/>
      <c r="EA110" s="73"/>
      <c r="EB110" s="73"/>
      <c r="EC110" s="73"/>
      <c r="ED110" s="73"/>
      <c r="EE110" s="73"/>
      <c r="EF110" s="73"/>
      <c r="EG110" s="73"/>
      <c r="EH110" s="73"/>
      <c r="EI110" s="73"/>
      <c r="EJ110" s="73"/>
      <c r="EK110" s="73"/>
    </row>
    <row r="111" ht="16" customHeight="1" spans="1:411" x14ac:dyDescent="0.25">
      <c r="A111" s="45" t="s">
        <v>57</v>
      </c>
      <c r="B111" s="46" t="s">
        <v>86</v>
      </c>
      <c r="C111" s="47">
        <f>J111</f>
        <v>161951.83</v>
      </c>
      <c r="D111" s="48"/>
      <c r="E111" s="48"/>
      <c r="F111" s="49">
        <f>SUM(K114:EK114)</f>
        <v>830</v>
      </c>
      <c r="G111" s="49">
        <f>SUM(K115:EK115)</f>
        <v>197</v>
      </c>
      <c r="H111" s="49">
        <f>SUM(K116:EK116)</f>
        <v>90</v>
      </c>
      <c r="I111" s="49">
        <f>SUM(K117:EK117)</f>
        <v>117</v>
      </c>
      <c r="J111" s="50">
        <f>C114+C115+C116</f>
        <v>161951.83</v>
      </c>
      <c r="K111" s="51"/>
      <c r="L111" s="52"/>
      <c r="M111" s="52"/>
      <c r="N111" s="52"/>
      <c r="O111" s="52"/>
      <c r="P111" s="53"/>
      <c r="Q111" s="53"/>
      <c r="R111" s="52"/>
      <c r="S111" s="52"/>
      <c r="T111" s="52"/>
      <c r="U111" s="52"/>
      <c r="V111" s="52"/>
      <c r="W111" s="53"/>
      <c r="X111" s="53"/>
      <c r="Y111" s="52"/>
      <c r="Z111" s="52"/>
      <c r="AA111" s="52"/>
      <c r="AB111" s="52"/>
      <c r="AC111" s="52"/>
      <c r="AD111" s="53"/>
      <c r="AE111" s="53"/>
      <c r="AF111" s="52"/>
      <c r="AG111" s="52"/>
      <c r="AH111" s="52"/>
      <c r="AI111" s="52"/>
      <c r="AJ111" s="52"/>
      <c r="AK111" s="53"/>
      <c r="AL111" s="53"/>
      <c r="AM111" s="52"/>
      <c r="AN111" s="52"/>
      <c r="AO111" s="52"/>
      <c r="AP111" s="52"/>
      <c r="AQ111" s="52"/>
      <c r="AR111" s="53"/>
      <c r="AS111" s="53"/>
      <c r="AT111" s="52"/>
      <c r="AU111" s="52"/>
      <c r="AV111" s="52"/>
      <c r="AW111" s="52"/>
      <c r="AX111" s="52"/>
      <c r="AY111" s="53"/>
      <c r="AZ111" s="53"/>
      <c r="BA111" s="52"/>
      <c r="BB111" s="52"/>
      <c r="BC111" s="52"/>
      <c r="BD111" s="52"/>
      <c r="BE111" s="52"/>
      <c r="BF111" s="53"/>
      <c r="BG111" s="53"/>
      <c r="BH111" s="52"/>
      <c r="BI111" s="52"/>
      <c r="BJ111" s="52"/>
      <c r="BK111" s="52"/>
      <c r="BL111" s="52"/>
      <c r="BM111" s="53"/>
      <c r="BN111" s="53"/>
      <c r="BO111" s="52"/>
      <c r="BP111" s="52"/>
      <c r="BQ111" s="52"/>
      <c r="BR111" s="52"/>
      <c r="BS111" s="52"/>
      <c r="BT111" s="53"/>
      <c r="BU111" s="53"/>
      <c r="BV111" s="52"/>
      <c r="BW111" s="52"/>
      <c r="BX111" s="52"/>
      <c r="BY111" s="52"/>
      <c r="BZ111" s="52"/>
      <c r="CA111" s="53"/>
      <c r="CB111" s="53"/>
      <c r="CC111" s="52"/>
      <c r="CD111" s="52"/>
      <c r="CE111" s="52"/>
      <c r="CF111" s="52"/>
      <c r="CG111" s="52"/>
      <c r="CH111" s="53"/>
      <c r="CI111" s="53"/>
      <c r="CJ111" s="52"/>
      <c r="CK111" s="52"/>
      <c r="CL111" s="52"/>
      <c r="CM111" s="52"/>
      <c r="CN111" s="52"/>
      <c r="CO111" s="53"/>
      <c r="CP111" s="53"/>
      <c r="CQ111" s="52"/>
      <c r="CR111" s="52"/>
      <c r="CS111" s="52"/>
      <c r="CT111" s="52"/>
      <c r="CU111" s="52"/>
      <c r="CV111" s="53"/>
      <c r="CW111" s="53"/>
      <c r="CX111" s="52"/>
      <c r="CY111" s="52"/>
      <c r="CZ111" s="52"/>
      <c r="DA111" s="52"/>
      <c r="DB111" s="52"/>
      <c r="DC111" s="53"/>
      <c r="DD111" s="53"/>
      <c r="DE111" s="52"/>
      <c r="DF111" s="52"/>
      <c r="DG111" s="52"/>
      <c r="DH111" s="52"/>
      <c r="DI111" s="52"/>
      <c r="DJ111" s="53"/>
      <c r="DK111" s="53"/>
      <c r="DL111" s="52"/>
      <c r="DM111" s="52"/>
      <c r="DN111" s="52"/>
      <c r="DO111" s="52"/>
      <c r="DP111" s="52"/>
      <c r="DQ111" s="53"/>
      <c r="DR111" s="53"/>
      <c r="DS111" s="52"/>
      <c r="DT111" s="52"/>
      <c r="DU111" s="52"/>
      <c r="DV111" s="52"/>
      <c r="DW111" s="52"/>
      <c r="DX111" s="53"/>
      <c r="DY111" s="53"/>
      <c r="DZ111" s="52"/>
      <c r="EA111" s="52"/>
      <c r="EB111" s="52"/>
      <c r="EC111" s="52"/>
      <c r="ED111" s="52"/>
      <c r="EE111" s="53"/>
      <c r="EF111" s="53"/>
      <c r="EG111" s="52"/>
      <c r="EH111" s="52"/>
      <c r="EI111" s="52"/>
      <c r="EJ111" s="52"/>
      <c r="EK111" s="54"/>
      <c r="OU111" s="28" t="s">
        <v>87</v>
      </c>
    </row>
    <row r="112" ht="16" customHeight="1" spans="1:411" x14ac:dyDescent="0.25">
      <c r="A112" s="45"/>
      <c r="B112" s="46"/>
      <c r="C112" s="47"/>
      <c r="D112" s="48"/>
      <c r="E112" s="55" t="s">
        <v>60</v>
      </c>
      <c r="F112" s="49"/>
      <c r="G112" s="49"/>
      <c r="H112" s="49"/>
      <c r="I112" s="49"/>
      <c r="J112" s="50"/>
      <c r="K112" s="56">
        <v>1</v>
      </c>
      <c r="L112" s="57">
        <v>1</v>
      </c>
      <c r="M112" s="57">
        <v>1</v>
      </c>
      <c r="N112" s="57">
        <v>1</v>
      </c>
      <c r="O112" s="57">
        <v>1</v>
      </c>
      <c r="P112" s="58">
        <v>0</v>
      </c>
      <c r="Q112" s="58">
        <v>0</v>
      </c>
      <c r="R112" s="57">
        <v>1</v>
      </c>
      <c r="S112" s="57">
        <v>1</v>
      </c>
      <c r="T112" s="57">
        <v>1</v>
      </c>
      <c r="U112" s="57">
        <v>1</v>
      </c>
      <c r="V112" s="57">
        <v>1</v>
      </c>
      <c r="W112" s="58">
        <v>0</v>
      </c>
      <c r="X112" s="58">
        <v>0</v>
      </c>
      <c r="Y112" s="57">
        <v>1</v>
      </c>
      <c r="Z112" s="57">
        <v>1</v>
      </c>
      <c r="AA112" s="57">
        <v>1</v>
      </c>
      <c r="AB112" s="57">
        <v>1</v>
      </c>
      <c r="AC112" s="57">
        <v>1</v>
      </c>
      <c r="AD112" s="58">
        <v>0</v>
      </c>
      <c r="AE112" s="58">
        <v>0</v>
      </c>
      <c r="AF112" s="57">
        <v>1</v>
      </c>
      <c r="AG112" s="57">
        <v>1</v>
      </c>
      <c r="AH112" s="57">
        <v>1</v>
      </c>
      <c r="AI112" s="57">
        <v>1</v>
      </c>
      <c r="AJ112" s="57">
        <v>1</v>
      </c>
      <c r="AK112" s="58">
        <v>0</v>
      </c>
      <c r="AL112" s="58">
        <v>0</v>
      </c>
      <c r="AM112" s="57">
        <v>1</v>
      </c>
      <c r="AN112" s="57">
        <v>1</v>
      </c>
      <c r="AO112" s="57">
        <v>1</v>
      </c>
      <c r="AP112" s="57">
        <v>4.25</v>
      </c>
      <c r="AQ112" s="57">
        <v>4.25</v>
      </c>
      <c r="AR112" s="58">
        <v>0</v>
      </c>
      <c r="AS112" s="58">
        <v>0</v>
      </c>
      <c r="AT112" s="57">
        <v>1</v>
      </c>
      <c r="AU112" s="57">
        <v>1</v>
      </c>
      <c r="AV112" s="57">
        <v>1</v>
      </c>
      <c r="AW112" s="57">
        <v>1</v>
      </c>
      <c r="AX112" s="57">
        <v>1</v>
      </c>
      <c r="AY112" s="58">
        <v>0</v>
      </c>
      <c r="AZ112" s="58">
        <v>0</v>
      </c>
      <c r="BA112" s="57">
        <v>1</v>
      </c>
      <c r="BB112" s="57">
        <v>1</v>
      </c>
      <c r="BC112" s="57">
        <v>1</v>
      </c>
      <c r="BD112" s="57">
        <v>1</v>
      </c>
      <c r="BE112" s="57">
        <v>1</v>
      </c>
      <c r="BF112" s="58">
        <v>0</v>
      </c>
      <c r="BG112" s="58">
        <v>0</v>
      </c>
      <c r="BH112" s="57">
        <v>1</v>
      </c>
      <c r="BI112" s="57">
        <v>1</v>
      </c>
      <c r="BJ112" s="57">
        <v>1</v>
      </c>
      <c r="BK112" s="57">
        <v>1</v>
      </c>
      <c r="BL112" s="57">
        <v>1</v>
      </c>
      <c r="BM112" s="58">
        <v>1</v>
      </c>
      <c r="BN112" s="58">
        <v>1</v>
      </c>
      <c r="BO112" s="57">
        <v>1</v>
      </c>
      <c r="BP112" s="57">
        <v>1</v>
      </c>
      <c r="BQ112" s="57">
        <v>1</v>
      </c>
      <c r="BR112" s="57">
        <v>1</v>
      </c>
      <c r="BS112" s="57">
        <v>1</v>
      </c>
      <c r="BT112" s="58">
        <v>1</v>
      </c>
      <c r="BU112" s="58">
        <v>1</v>
      </c>
      <c r="BV112" s="57">
        <v>1</v>
      </c>
      <c r="BW112" s="57">
        <v>1</v>
      </c>
      <c r="BX112" s="57">
        <v>1</v>
      </c>
      <c r="BY112" s="57">
        <v>1</v>
      </c>
      <c r="BZ112" s="57">
        <v>1</v>
      </c>
      <c r="CA112" s="58">
        <v>1</v>
      </c>
      <c r="CB112" s="58">
        <v>1</v>
      </c>
      <c r="CC112" s="57">
        <v>1</v>
      </c>
      <c r="CD112" s="57">
        <v>1</v>
      </c>
      <c r="CE112" s="57">
        <v>1</v>
      </c>
      <c r="CF112" s="57">
        <v>1</v>
      </c>
      <c r="CG112" s="57">
        <v>1</v>
      </c>
      <c r="CH112" s="58">
        <v>1</v>
      </c>
      <c r="CI112" s="58">
        <v>1</v>
      </c>
      <c r="CJ112" s="57">
        <v>1</v>
      </c>
      <c r="CK112" s="57">
        <v>1</v>
      </c>
      <c r="CL112" s="57">
        <v>1</v>
      </c>
      <c r="CM112" s="57">
        <v>1</v>
      </c>
      <c r="CN112" s="57">
        <v>1</v>
      </c>
      <c r="CO112" s="58">
        <v>1</v>
      </c>
      <c r="CP112" s="58">
        <v>1</v>
      </c>
      <c r="CQ112" s="57">
        <v>1</v>
      </c>
      <c r="CR112" s="57">
        <v>1</v>
      </c>
      <c r="CS112" s="57">
        <v>1</v>
      </c>
      <c r="CT112" s="57">
        <v>1</v>
      </c>
      <c r="CU112" s="57">
        <v>1</v>
      </c>
      <c r="CV112" s="58">
        <v>1</v>
      </c>
      <c r="CW112" s="58">
        <v>1</v>
      </c>
      <c r="CX112" s="57">
        <v>1</v>
      </c>
      <c r="CY112" s="57">
        <v>1</v>
      </c>
      <c r="CZ112" s="57">
        <v>1</v>
      </c>
      <c r="DA112" s="57">
        <v>1</v>
      </c>
      <c r="DB112" s="57">
        <v>1</v>
      </c>
      <c r="DC112" s="58">
        <v>1</v>
      </c>
      <c r="DD112" s="58">
        <v>1</v>
      </c>
      <c r="DE112" s="57">
        <v>1</v>
      </c>
      <c r="DF112" s="57">
        <v>1</v>
      </c>
      <c r="DG112" s="57">
        <v>1</v>
      </c>
      <c r="DH112" s="57">
        <v>1</v>
      </c>
      <c r="DI112" s="57">
        <v>1</v>
      </c>
      <c r="DJ112" s="58">
        <v>1</v>
      </c>
      <c r="DK112" s="58">
        <v>1</v>
      </c>
      <c r="DL112" s="57">
        <v>1</v>
      </c>
      <c r="DM112" s="57">
        <v>1</v>
      </c>
      <c r="DN112" s="57">
        <v>1</v>
      </c>
      <c r="DO112" s="57">
        <v>1</v>
      </c>
      <c r="DP112" s="57">
        <v>1</v>
      </c>
      <c r="DQ112" s="58">
        <v>1</v>
      </c>
      <c r="DR112" s="58">
        <v>1</v>
      </c>
      <c r="DS112" s="57">
        <v>1</v>
      </c>
      <c r="DT112" s="57">
        <v>1</v>
      </c>
      <c r="DU112" s="57">
        <v>1</v>
      </c>
      <c r="DV112" s="57">
        <v>1</v>
      </c>
      <c r="DW112" s="57">
        <v>1</v>
      </c>
      <c r="DX112" s="58">
        <v>0</v>
      </c>
      <c r="DY112" s="58">
        <v>0</v>
      </c>
      <c r="DZ112" s="57">
        <v>1</v>
      </c>
      <c r="EA112" s="57">
        <v>1</v>
      </c>
      <c r="EB112" s="57">
        <v>1</v>
      </c>
      <c r="EC112" s="57">
        <v>1</v>
      </c>
      <c r="ED112" s="57">
        <v>1</v>
      </c>
      <c r="EE112" s="58">
        <v>0</v>
      </c>
      <c r="EF112" s="58">
        <v>0</v>
      </c>
      <c r="EG112" s="57">
        <v>1</v>
      </c>
      <c r="EH112" s="57">
        <v>1</v>
      </c>
      <c r="EI112" s="57">
        <v>1</v>
      </c>
      <c r="EJ112" s="57">
        <v>1</v>
      </c>
      <c r="EK112" s="59">
        <v>1</v>
      </c>
      <c r="OU112" s="60" t="s">
        <v>87</v>
      </c>
    </row>
    <row r="113" ht="16" customHeight="1" spans="1:411" x14ac:dyDescent="0.25">
      <c r="A113" s="45"/>
      <c r="B113" s="46"/>
      <c r="C113" s="47"/>
      <c r="D113" s="48"/>
      <c r="E113" s="55" t="s">
        <v>61</v>
      </c>
      <c r="F113" s="49"/>
      <c r="G113" s="49"/>
      <c r="H113" s="49"/>
      <c r="I113" s="49"/>
      <c r="J113" s="50"/>
      <c r="K113" s="56">
        <v>9</v>
      </c>
      <c r="L113" s="57">
        <v>9</v>
      </c>
      <c r="M113" s="57">
        <v>9</v>
      </c>
      <c r="N113" s="57">
        <v>9</v>
      </c>
      <c r="O113" s="57">
        <v>9</v>
      </c>
      <c r="P113" s="58">
        <v>0</v>
      </c>
      <c r="Q113" s="58">
        <v>0</v>
      </c>
      <c r="R113" s="57">
        <v>9</v>
      </c>
      <c r="S113" s="57">
        <v>9</v>
      </c>
      <c r="T113" s="57">
        <v>9</v>
      </c>
      <c r="U113" s="57">
        <v>9</v>
      </c>
      <c r="V113" s="57">
        <v>9</v>
      </c>
      <c r="W113" s="58">
        <v>0</v>
      </c>
      <c r="X113" s="58">
        <v>0</v>
      </c>
      <c r="Y113" s="57">
        <v>9</v>
      </c>
      <c r="Z113" s="57">
        <v>9</v>
      </c>
      <c r="AA113" s="57">
        <v>9</v>
      </c>
      <c r="AB113" s="57">
        <v>9</v>
      </c>
      <c r="AC113" s="57">
        <v>9</v>
      </c>
      <c r="AD113" s="58">
        <v>0</v>
      </c>
      <c r="AE113" s="58">
        <v>0</v>
      </c>
      <c r="AF113" s="57">
        <v>9</v>
      </c>
      <c r="AG113" s="57">
        <v>9</v>
      </c>
      <c r="AH113" s="57">
        <v>9</v>
      </c>
      <c r="AI113" s="57">
        <v>9</v>
      </c>
      <c r="AJ113" s="57">
        <v>9</v>
      </c>
      <c r="AK113" s="58">
        <v>0</v>
      </c>
      <c r="AL113" s="58">
        <v>0</v>
      </c>
      <c r="AM113" s="57">
        <v>9</v>
      </c>
      <c r="AN113" s="57">
        <v>9</v>
      </c>
      <c r="AO113" s="57">
        <v>9</v>
      </c>
      <c r="AP113" s="57">
        <v>8</v>
      </c>
      <c r="AQ113" s="57">
        <v>8</v>
      </c>
      <c r="AR113" s="58">
        <v>0</v>
      </c>
      <c r="AS113" s="58">
        <v>0</v>
      </c>
      <c r="AT113" s="57">
        <v>9</v>
      </c>
      <c r="AU113" s="57">
        <v>9</v>
      </c>
      <c r="AV113" s="57">
        <v>9</v>
      </c>
      <c r="AW113" s="57">
        <v>9</v>
      </c>
      <c r="AX113" s="57">
        <v>9</v>
      </c>
      <c r="AY113" s="58">
        <v>0</v>
      </c>
      <c r="AZ113" s="58">
        <v>0</v>
      </c>
      <c r="BA113" s="57">
        <v>9</v>
      </c>
      <c r="BB113" s="57">
        <v>9</v>
      </c>
      <c r="BC113" s="57">
        <v>9</v>
      </c>
      <c r="BD113" s="57">
        <v>9</v>
      </c>
      <c r="BE113" s="57">
        <v>9</v>
      </c>
      <c r="BF113" s="58">
        <v>0</v>
      </c>
      <c r="BG113" s="58">
        <v>0</v>
      </c>
      <c r="BH113" s="57">
        <v>10</v>
      </c>
      <c r="BI113" s="57">
        <v>10</v>
      </c>
      <c r="BJ113" s="57">
        <v>10</v>
      </c>
      <c r="BK113" s="57">
        <v>10</v>
      </c>
      <c r="BL113" s="57">
        <v>10</v>
      </c>
      <c r="BM113" s="58">
        <v>10</v>
      </c>
      <c r="BN113" s="58">
        <v>10</v>
      </c>
      <c r="BO113" s="57">
        <v>10</v>
      </c>
      <c r="BP113" s="57">
        <v>10</v>
      </c>
      <c r="BQ113" s="57">
        <v>10</v>
      </c>
      <c r="BR113" s="57">
        <v>10</v>
      </c>
      <c r="BS113" s="57">
        <v>10</v>
      </c>
      <c r="BT113" s="58">
        <v>10</v>
      </c>
      <c r="BU113" s="58">
        <v>10</v>
      </c>
      <c r="BV113" s="57">
        <v>10</v>
      </c>
      <c r="BW113" s="57">
        <v>10</v>
      </c>
      <c r="BX113" s="57">
        <v>10</v>
      </c>
      <c r="BY113" s="57">
        <v>10</v>
      </c>
      <c r="BZ113" s="57">
        <v>10</v>
      </c>
      <c r="CA113" s="58">
        <v>10</v>
      </c>
      <c r="CB113" s="58">
        <v>10</v>
      </c>
      <c r="CC113" s="57">
        <v>10</v>
      </c>
      <c r="CD113" s="57">
        <v>10</v>
      </c>
      <c r="CE113" s="57">
        <v>10</v>
      </c>
      <c r="CF113" s="57">
        <v>10</v>
      </c>
      <c r="CG113" s="57">
        <v>10</v>
      </c>
      <c r="CH113" s="58">
        <v>10</v>
      </c>
      <c r="CI113" s="58">
        <v>10</v>
      </c>
      <c r="CJ113" s="57">
        <v>10</v>
      </c>
      <c r="CK113" s="57">
        <v>10</v>
      </c>
      <c r="CL113" s="57">
        <v>10</v>
      </c>
      <c r="CM113" s="57">
        <v>10</v>
      </c>
      <c r="CN113" s="57">
        <v>10</v>
      </c>
      <c r="CO113" s="58">
        <v>10</v>
      </c>
      <c r="CP113" s="58">
        <v>10</v>
      </c>
      <c r="CQ113" s="57">
        <v>10</v>
      </c>
      <c r="CR113" s="57">
        <v>10</v>
      </c>
      <c r="CS113" s="57">
        <v>10</v>
      </c>
      <c r="CT113" s="57">
        <v>10</v>
      </c>
      <c r="CU113" s="57">
        <v>10</v>
      </c>
      <c r="CV113" s="58">
        <v>10</v>
      </c>
      <c r="CW113" s="58">
        <v>10</v>
      </c>
      <c r="CX113" s="57">
        <v>10</v>
      </c>
      <c r="CY113" s="57">
        <v>10</v>
      </c>
      <c r="CZ113" s="57">
        <v>10</v>
      </c>
      <c r="DA113" s="57">
        <v>10</v>
      </c>
      <c r="DB113" s="57">
        <v>10</v>
      </c>
      <c r="DC113" s="58">
        <v>10</v>
      </c>
      <c r="DD113" s="58">
        <v>10</v>
      </c>
      <c r="DE113" s="57">
        <v>10</v>
      </c>
      <c r="DF113" s="57">
        <v>10</v>
      </c>
      <c r="DG113" s="57">
        <v>10</v>
      </c>
      <c r="DH113" s="57">
        <v>10</v>
      </c>
      <c r="DI113" s="57">
        <v>10</v>
      </c>
      <c r="DJ113" s="58">
        <v>10</v>
      </c>
      <c r="DK113" s="58">
        <v>10</v>
      </c>
      <c r="DL113" s="57">
        <v>10</v>
      </c>
      <c r="DM113" s="57">
        <v>10</v>
      </c>
      <c r="DN113" s="57">
        <v>10</v>
      </c>
      <c r="DO113" s="57">
        <v>10</v>
      </c>
      <c r="DP113" s="57">
        <v>10</v>
      </c>
      <c r="DQ113" s="58">
        <v>10</v>
      </c>
      <c r="DR113" s="58">
        <v>10</v>
      </c>
      <c r="DS113" s="57">
        <v>10</v>
      </c>
      <c r="DT113" s="57">
        <v>8</v>
      </c>
      <c r="DU113" s="57">
        <v>8</v>
      </c>
      <c r="DV113" s="57">
        <v>8</v>
      </c>
      <c r="DW113" s="57">
        <v>8</v>
      </c>
      <c r="DX113" s="58">
        <v>0</v>
      </c>
      <c r="DY113" s="58">
        <v>0</v>
      </c>
      <c r="DZ113" s="57">
        <v>8</v>
      </c>
      <c r="EA113" s="57">
        <v>8</v>
      </c>
      <c r="EB113" s="57">
        <v>8</v>
      </c>
      <c r="EC113" s="57">
        <v>8</v>
      </c>
      <c r="ED113" s="57">
        <v>8</v>
      </c>
      <c r="EE113" s="58">
        <v>0</v>
      </c>
      <c r="EF113" s="58">
        <v>0</v>
      </c>
      <c r="EG113" s="57">
        <v>8</v>
      </c>
      <c r="EH113" s="57">
        <v>8</v>
      </c>
      <c r="EI113" s="57">
        <v>8</v>
      </c>
      <c r="EJ113" s="57">
        <v>8</v>
      </c>
      <c r="EK113" s="59">
        <v>8</v>
      </c>
      <c r="OU113" s="60" t="s">
        <v>87</v>
      </c>
    </row>
    <row r="114" ht="16" customHeight="1" spans="1:411" x14ac:dyDescent="0.25">
      <c r="A114" s="45"/>
      <c r="B114" s="46"/>
      <c r="C114" s="61">
        <f>F111*N(D114)</f>
        <v>105708.8</v>
      </c>
      <c r="D114" s="61">
        <f>IF(TRIM(B111)="","No rate",IFERROR(INDEX('Rate Tables'!C$7:C$158,MATCH(B111,'Rate Tables'!A$7:A$158,0)),"No rate"))</f>
        <v>127.36</v>
      </c>
      <c r="E114" s="55" t="s">
        <v>62</v>
      </c>
      <c r="F114" s="49"/>
      <c r="G114" s="49"/>
      <c r="H114" s="49"/>
      <c r="I114" s="49"/>
      <c r="J114" s="50"/>
      <c r="K114" s="62">
        <f>IF(AND(K112=1,K113=9),8,MIN(IF(K112&lt;=0,0,IF(WEEKDAY(K$6,1)=1,0,MIN(8,K113)*K112)),MAX(0,40*MAX(1,K112)-(0))))</f>
        <v>8</v>
      </c>
      <c r="L114" s="63">
        <f>IF(AND(L112=1,L113=9),8,MIN(IF(L112&lt;=0,0,IF(WEEKDAY(L$6,1)=1,0,MIN(8,L113)*L112)),MAX(0,40*MAX(1,L112)-(K114))))</f>
        <v>8</v>
      </c>
      <c r="M114" s="63">
        <f>IF(AND(M112=1,M113=9),8,MIN(IF(M112&lt;=0,0,IF(WEEKDAY(M$6,1)=1,0,MIN(8,M113)*M112)),MAX(0,40*MAX(1,M112)-(K114+L114))))</f>
        <v>8</v>
      </c>
      <c r="N114" s="63">
        <f>IF(AND(N112=1,N113=9),8,MIN(IF(N112&lt;=0,0,IF(WEEKDAY(N$6,1)=1,0,MIN(8,N113)*N112)),MAX(0,40*MAX(1,N112)-(K114+L114+M114))))</f>
        <v>8</v>
      </c>
      <c r="O114" s="63">
        <f>IF(AND(O112=1,O113=9),8,MIN(IF(O112&lt;=0,0,IF(WEEKDAY(O$6,1)=1,0,MIN(8,O113)*O112)),MAX(0,40*MAX(1,O112)-(K114+L114+M114+N114))))</f>
        <v>8</v>
      </c>
      <c r="P114" s="64">
        <f>IF(AND(P112=0,P113=0),0,MIN(IF(P112&lt;=0,0,IF(WEEKDAY(P$6,1)=1,0,MIN(10,P113)*P112)),MAX(0,40*MAX(1,P112)-(0))))</f>
        <v>0</v>
      </c>
      <c r="Q114" s="64">
        <f>IF(AND(Q112=0,Q113=0),0,MIN(IF(Q112&lt;=0,0,IF(WEEKDAY(Q$6,1)=1,0,MIN(10,Q113)*Q112)),MAX(0,40*MAX(1,Q112)-(P114))))</f>
        <v>0</v>
      </c>
      <c r="R114" s="63">
        <f>IF(AND(R112=1,R113=9),8,MIN(IF(R112&lt;=0,0,IF(WEEKDAY(R$6,1)=1,0,MIN(8,R113)*R112)),MAX(0,40*MAX(1,R112)-(0))))</f>
        <v>8</v>
      </c>
      <c r="S114" s="63">
        <f>IF(AND(S112=1,S113=9),8,MIN(IF(S112&lt;=0,0,IF(WEEKDAY(S$6,1)=1,0,MIN(8,S113)*S112)),MAX(0,40*MAX(1,S112)-(R114))))</f>
        <v>8</v>
      </c>
      <c r="T114" s="63">
        <f>IF(AND(T112=1,T113=9),8,MIN(IF(T112&lt;=0,0,IF(WEEKDAY(T$6,1)=1,0,MIN(8,T113)*T112)),MAX(0,40*MAX(1,T112)-(R114+S114))))</f>
        <v>8</v>
      </c>
      <c r="U114" s="63">
        <f>IF(AND(U112=1,U113=9),8,MIN(IF(U112&lt;=0,0,IF(WEEKDAY(U$6,1)=1,0,MIN(8,U113)*U112)),MAX(0,40*MAX(1,U112)-(R114+S114+T114))))</f>
        <v>8</v>
      </c>
      <c r="V114" s="63">
        <f>IF(AND(V112=1,V113=9),8,MIN(IF(V112&lt;=0,0,IF(WEEKDAY(V$6,1)=1,0,MIN(8,V113)*V112)),MAX(0,40*MAX(1,V112)-(R114+S114+T114+U114))))</f>
        <v>8</v>
      </c>
      <c r="W114" s="64">
        <f>IF(AND(W112=0,W113=0),0,MIN(IF(W112&lt;=0,0,IF(WEEKDAY(W$6,1)=1,0,MIN(10,W113)*W112)),MAX(0,40*MAX(1,W112)-(0))))</f>
        <v>0</v>
      </c>
      <c r="X114" s="64">
        <f>IF(AND(X112=0,X113=0),0,MIN(IF(X112&lt;=0,0,IF(WEEKDAY(X$6,1)=1,0,MIN(10,X113)*X112)),MAX(0,40*MAX(1,X112)-(W114))))</f>
        <v>0</v>
      </c>
      <c r="Y114" s="63">
        <f>IF(AND(Y112=1,Y113=9),8,MIN(IF(Y112&lt;=0,0,IF(WEEKDAY(Y$6,1)=1,0,MIN(8,Y113)*Y112)),MAX(0,40*MAX(1,Y112)-(0))))</f>
        <v>8</v>
      </c>
      <c r="Z114" s="63">
        <f>IF(AND(Z112=1,Z113=9),8,MIN(IF(Z112&lt;=0,0,IF(WEEKDAY(Z$6,1)=1,0,MIN(8,Z113)*Z112)),MAX(0,40*MAX(1,Z112)-(Y114))))</f>
        <v>8</v>
      </c>
      <c r="AA114" s="63">
        <f>IF(AND(AA112=1,AA113=9),8,MIN(IF(AA112&lt;=0,0,IF(WEEKDAY(AA$6,1)=1,0,MIN(8,AA113)*AA112)),MAX(0,40*MAX(1,AA112)-(Y114+Z114))))</f>
        <v>8</v>
      </c>
      <c r="AB114" s="63">
        <f>IF(AND(AB112=1,AB113=9),8,MIN(IF(AB112&lt;=0,0,IF(WEEKDAY(AB$6,1)=1,0,MIN(8,AB113)*AB112)),MAX(0,40*MAX(1,AB112)-(Y114+Z114+AA114))))</f>
        <v>8</v>
      </c>
      <c r="AC114" s="63">
        <f>IF(AND(AC112=1,AC113=9),8,MIN(IF(AC112&lt;=0,0,IF(WEEKDAY(AC$6,1)=1,0,MIN(8,AC113)*AC112)),MAX(0,40*MAX(1,AC112)-(Y114+Z114+AA114+AB114))))</f>
        <v>8</v>
      </c>
      <c r="AD114" s="64">
        <f>IF(AND(AD112=0,AD113=0),0,MIN(IF(AD112&lt;=0,0,IF(WEEKDAY(AD$6,1)=1,0,MIN(10,AD113)*AD112)),MAX(0,40*MAX(1,AD112)-(0))))</f>
        <v>0</v>
      </c>
      <c r="AE114" s="64">
        <f>IF(AND(AE112=0,AE113=0),0,MIN(IF(AE112&lt;=0,0,IF(WEEKDAY(AE$6,1)=1,0,MIN(10,AE113)*AE112)),MAX(0,40*MAX(1,AE112)-(AD114))))</f>
        <v>0</v>
      </c>
      <c r="AF114" s="63">
        <f>IF(AND(AF112=1,AF113=9),8,MIN(IF(AF112&lt;=0,0,IF(WEEKDAY(AF$6,1)=1,0,MIN(8,AF113)*AF112)),MAX(0,40*MAX(1,AF112)-(0))))</f>
        <v>8</v>
      </c>
      <c r="AG114" s="63">
        <f>IF(AND(AG112=1,AG113=9),8,MIN(IF(AG112&lt;=0,0,IF(WEEKDAY(AG$6,1)=1,0,MIN(8,AG113)*AG112)),MAX(0,40*MAX(1,AG112)-(AF114))))</f>
        <v>8</v>
      </c>
      <c r="AH114" s="63">
        <f>IF(AND(AH112=1,AH113=9),8,MIN(IF(AH112&lt;=0,0,IF(WEEKDAY(AH$6,1)=1,0,MIN(8,AH113)*AH112)),MAX(0,40*MAX(1,AH112)-(AF114+AG114))))</f>
        <v>8</v>
      </c>
      <c r="AI114" s="63">
        <f>IF(AND(AI112=1,AI113=9),8,MIN(IF(AI112&lt;=0,0,IF(WEEKDAY(AI$6,1)=1,0,MIN(8,AI113)*AI112)),MAX(0,40*MAX(1,AI112)-(AF114+AG114+AH114))))</f>
        <v>8</v>
      </c>
      <c r="AJ114" s="63">
        <f>IF(AND(AJ112=1,AJ113=9),8,MIN(IF(AJ112&lt;=0,0,IF(WEEKDAY(AJ$6,1)=1,0,MIN(8,AJ113)*AJ112)),MAX(0,40*MAX(1,AJ112)-(AF114+AG114+AH114+AI114))))</f>
        <v>8</v>
      </c>
      <c r="AK114" s="64">
        <f>IF(AND(AK112=0,AK113=0),0,MIN(IF(AK112&lt;=0,0,IF(WEEKDAY(AK$6,1)=1,0,MIN(10,AK113)*AK112)),MAX(0,40*MAX(1,AK112)-(0))))</f>
        <v>0</v>
      </c>
      <c r="AL114" s="64">
        <f>IF(AND(AL112=0,AL113=0),0,MIN(IF(AL112&lt;=0,0,IF(WEEKDAY(AL$6,1)=1,0,MIN(10,AL113)*AL112)),MAX(0,40*MAX(1,AL112)-(AK114))))</f>
        <v>0</v>
      </c>
      <c r="AM114" s="63">
        <f>IF(AND(AM112=1,AM113=9),8,MIN(IF(AM112&lt;=0,0,IF(WEEKDAY(AM$6,1)=1,0,MIN(8,AM113)*AM112)),MAX(0,40*MAX(1,AM112)-(0))))</f>
        <v>8</v>
      </c>
      <c r="AN114" s="63">
        <f>IF(AND(AN112=1,AN113=9),8,MIN(IF(AN112&lt;=0,0,IF(WEEKDAY(AN$6,1)=1,0,MIN(8,AN113)*AN112)),MAX(0,40*MAX(1,AN112)-(AM114))))</f>
        <v>8</v>
      </c>
      <c r="AO114" s="63">
        <f>IF(AND(AO112=1,AO113=9),8,MIN(IF(AO112&lt;=0,0,IF(WEEKDAY(AO$6,1)=1,0,MIN(8,AO113)*AO112)),MAX(0,40*MAX(1,AO112)-(AM114+AN114))))</f>
        <v>8</v>
      </c>
      <c r="AP114" s="63">
        <f>IF(AND(AP112=4.25,AP113=8),32,MIN(IF(AP112&lt;=0,0,IF(WEEKDAY(AP$6,1)=1,0,MIN(8,AP113)*AP112)),MAX(0,40*MAX(1,AP112)-(AM114+AN114+AO114))))</f>
        <v>32</v>
      </c>
      <c r="AQ114" s="63">
        <f>IF(AND(AQ112=4.25,AQ113=8),32,MIN(IF(AQ112&lt;=0,0,IF(WEEKDAY(AQ$6,1)=1,0,MIN(8,AQ113)*AQ112)),MAX(0,40*MAX(1,AQ112)-(AM114+AN114+AO114+AP114))))</f>
        <v>32</v>
      </c>
      <c r="AR114" s="64">
        <f>IF(AND(AR112=0,AR113=0),0,MIN(IF(AR112&lt;=0,0,IF(WEEKDAY(AR$6,1)=1,0,MIN(10,AR113)*AR112)),MAX(0,40*MAX(1,AR112)-(0))))</f>
        <v>0</v>
      </c>
      <c r="AS114" s="64">
        <f>IF(AND(AS112=0,AS113=0),0,MIN(IF(AS112&lt;=0,0,IF(WEEKDAY(AS$6,1)=1,0,MIN(10,AS113)*AS112)),MAX(0,40*MAX(1,AS112)-(AR114))))</f>
        <v>0</v>
      </c>
      <c r="AT114" s="63">
        <f>IF(AND(AT112=1,AT113=9),8,MIN(IF(AT112&lt;=0,0,IF(WEEKDAY(AT$6,1)=1,0,MIN(8,AT113)*AT112)),MAX(0,40*MAX(1,AT112)-(0))))</f>
        <v>8</v>
      </c>
      <c r="AU114" s="63">
        <f>IF(AND(AU112=1,AU113=9),8,MIN(IF(AU112&lt;=0,0,IF(WEEKDAY(AU$6,1)=1,0,MIN(8,AU113)*AU112)),MAX(0,40*MAX(1,AU112)-(AT114))))</f>
        <v>8</v>
      </c>
      <c r="AV114" s="63">
        <f>IF(AND(AV112=1,AV113=9),8,MIN(IF(AV112&lt;=0,0,IF(WEEKDAY(AV$6,1)=1,0,MIN(8,AV113)*AV112)),MAX(0,40*MAX(1,AV112)-(AT114+AU114))))</f>
        <v>8</v>
      </c>
      <c r="AW114" s="63">
        <f>IF(AND(AW112=1,AW113=9),8,MIN(IF(AW112&lt;=0,0,IF(WEEKDAY(AW$6,1)=1,0,MIN(8,AW113)*AW112)),MAX(0,40*MAX(1,AW112)-(AT114+AU114+AV114))))</f>
        <v>8</v>
      </c>
      <c r="AX114" s="63">
        <f>IF(AND(AX112=1,AX113=9),8,MIN(IF(AX112&lt;=0,0,IF(WEEKDAY(AX$6,1)=1,0,MIN(8,AX113)*AX112)),MAX(0,40*MAX(1,AX112)-(AT114+AU114+AV114+AW114))))</f>
        <v>8</v>
      </c>
      <c r="AY114" s="64">
        <f>IF(AND(AY112=0,AY113=0),0,MIN(IF(AY112&lt;=0,0,IF(WEEKDAY(AY$6,1)=1,0,MIN(10,AY113)*AY112)),MAX(0,40*MAX(1,AY112)-(0))))</f>
        <v>0</v>
      </c>
      <c r="AZ114" s="64">
        <f>IF(AND(AZ112=0,AZ113=0),0,MIN(IF(AZ112&lt;=0,0,IF(WEEKDAY(AZ$6,1)=1,0,MIN(10,AZ113)*AZ112)),MAX(0,40*MAX(1,AZ112)-(AY114))))</f>
        <v>0</v>
      </c>
      <c r="BA114" s="63">
        <f>IF(AND(BA112=1,BA113=9),8,MIN(IF(BA112&lt;=0,0,IF(WEEKDAY(BA$6,1)=1,0,MIN(8,BA113)*BA112)),MAX(0,40*MAX(1,BA112)-(0))))</f>
        <v>8</v>
      </c>
      <c r="BB114" s="63">
        <f>IF(AND(BB112=1,BB113=9),8,MIN(IF(BB112&lt;=0,0,IF(WEEKDAY(BB$6,1)=1,0,MIN(8,BB113)*BB112)),MAX(0,40*MAX(1,BB112)-(BA114))))</f>
        <v>8</v>
      </c>
      <c r="BC114" s="63">
        <f>IF(AND(BC112=1,BC113=9),8,MIN(IF(BC112&lt;=0,0,IF(WEEKDAY(BC$6,1)=1,0,MIN(8,BC113)*BC112)),MAX(0,40*MAX(1,BC112)-(BA114+BB114))))</f>
        <v>8</v>
      </c>
      <c r="BD114" s="63">
        <f>IF(AND(BD112=1,BD113=9),8,MIN(IF(BD112&lt;=0,0,IF(WEEKDAY(BD$6,1)=1,0,MIN(8,BD113)*BD112)),MAX(0,40*MAX(1,BD112)-(BA114+BB114+BC114))))</f>
        <v>8</v>
      </c>
      <c r="BE114" s="63">
        <f>IF(AND(BE112=1,BE113=9),8,MIN(IF(BE112&lt;=0,0,IF(WEEKDAY(BE$6,1)=1,0,MIN(8,BE113)*BE112)),MAX(0,40*MAX(1,BE112)-(BA114+BB114+BC114+BD114))))</f>
        <v>8</v>
      </c>
      <c r="BF114" s="64">
        <f>IF(AND(BF112=0,BF113=0),0,MIN(IF(BF112&lt;=0,0,IF(WEEKDAY(BF$6,1)=1,0,MIN(10,BF113)*BF112)),MAX(0,40*MAX(1,BF112)-(0))))</f>
        <v>0</v>
      </c>
      <c r="BG114" s="64">
        <f>IF(AND(BG112=0,BG113=0),0,MIN(IF(BG112&lt;=0,0,IF(WEEKDAY(BG$6,1)=1,0,MIN(10,BG113)*BG112)),MAX(0,40*MAX(1,BG112)-(BF114))))</f>
        <v>0</v>
      </c>
      <c r="BH114" s="63">
        <f>IF(AND(BH112=1,BH113=10),10,MIN(IF(BH112&lt;=0,0,IF(WEEKDAY(BH$6,1)=1,0,MIN(10,BH113)*BH112)),MAX(0,40*MAX(1,BH112)-(0))))</f>
        <v>10</v>
      </c>
      <c r="BI114" s="63">
        <f>IF(AND(BI112=1,BI113=10),10,MIN(IF(BI112&lt;=0,0,IF(WEEKDAY(BI$6,1)=1,0,MIN(10,BI113)*BI112)),MAX(0,40*MAX(1,BI112)-(BH114))))</f>
        <v>10</v>
      </c>
      <c r="BJ114" s="63">
        <f>IF(AND(BJ112=1,BJ113=10),10,MIN(IF(BJ112&lt;=0,0,IF(WEEKDAY(BJ$6,1)=1,0,MIN(10,BJ113)*BJ112)),MAX(0,40*MAX(1,BJ112)-(BH114+BI114))))</f>
        <v>10</v>
      </c>
      <c r="BK114" s="63">
        <f>IF(AND(BK112=1,BK113=10),10,MIN(IF(BK112&lt;=0,0,IF(WEEKDAY(BK$6,1)=1,0,MIN(10,BK113)*BK112)),MAX(0,40*MAX(1,BK112)-(BH114+BI114+BJ114))))</f>
        <v>10</v>
      </c>
      <c r="BL114" s="63">
        <f>IF(AND(BL112=1,BL113=10),0,MIN(IF(BL112&lt;=0,0,IF(WEEKDAY(BL$6,1)=1,0,MIN(10,BL113)*BL112)),MAX(0,40*MAX(1,BL112)-(BH114+BI114+BJ114+BK114))))</f>
        <v>0</v>
      </c>
      <c r="BM114" s="64">
        <f>IF(AND(BM112=1,BM113=10),0,MIN(IF(BM112&lt;=0,0,IF(WEEKDAY(BM$6,1)=1,0,MIN(10,BM113)*BM112)),MAX(0,40*MAX(1,BM112)-(BH114+BI114+BJ114+BK114+BL114))))</f>
        <v>0</v>
      </c>
      <c r="BN114" s="64">
        <f>IF(AND(BN112=1,BN113=10),0,MIN(IF(BN112&lt;=0,0,IF(WEEKDAY(BN$6,1)=1,0,MIN(10,BN113)*BN112)),MAX(0,40*MAX(1,BN112)-(BH114+BI114+BJ114+BK114+BL114+BM114))))</f>
        <v>0</v>
      </c>
      <c r="BO114" s="63">
        <f>IF(AND(BO112=1,BO113=10),10,MIN(IF(BO112&lt;=0,0,IF(WEEKDAY(BO$6,1)=1,0,MIN(10,BO113)*BO112)),MAX(0,40*MAX(1,BO112)-(0))))</f>
        <v>10</v>
      </c>
      <c r="BP114" s="63">
        <f>IF(AND(BP112=1,BP113=10),10,MIN(IF(BP112&lt;=0,0,IF(WEEKDAY(BP$6,1)=1,0,MIN(10,BP113)*BP112)),MAX(0,40*MAX(1,BP112)-(BO114))))</f>
        <v>10</v>
      </c>
      <c r="BQ114" s="63">
        <f>IF(AND(BQ112=1,BQ113=10),10,MIN(IF(BQ112&lt;=0,0,IF(WEEKDAY(BQ$6,1)=1,0,MIN(10,BQ113)*BQ112)),MAX(0,40*MAX(1,BQ112)-(BO114+BP114))))</f>
        <v>10</v>
      </c>
      <c r="BR114" s="63">
        <f>IF(AND(BR112=1,BR113=10),10,MIN(IF(BR112&lt;=0,0,IF(WEEKDAY(BR$6,1)=1,0,MIN(10,BR113)*BR112)),MAX(0,40*MAX(1,BR112)-(0))))</f>
        <v>10</v>
      </c>
      <c r="BS114" s="63">
        <f>IF(AND(BS112=1,BS113=10),10,MIN(IF(BS112&lt;=0,0,IF(WEEKDAY(BS$6,1)=1,0,MIN(10,BS113)*BS112)),MAX(0,40*MAX(1,BS112)-(BR114))))</f>
        <v>10</v>
      </c>
      <c r="BT114" s="64">
        <f>IF(AND(BT112=1,BT113=10),10,MIN(IF(BT112&lt;=0,0,IF(WEEKDAY(BT$6,1)=1,0,MIN(10,BT113)*BT112)),MAX(0,40*MAX(1,BT112)-(BR114+BS114))))</f>
        <v>10</v>
      </c>
      <c r="BU114" s="64">
        <f>IF(AND(BU112=1,BU113=10),0,MIN(IF(BU112&lt;=0,0,IF(WEEKDAY(BU$6,1)=1,0,MIN(10,BU113)*BU112)),MAX(0,40*MAX(1,BU112)-(BR114+BS114+BT114))))</f>
        <v>0</v>
      </c>
      <c r="BV114" s="63">
        <f>IF(AND(BV112=1,BV113=10),10,MIN(IF(BV112&lt;=0,0,IF(WEEKDAY(BV$6,1)=1,0,MIN(10,BV113)*BV112)),MAX(0,40*MAX(1,BV112)-(0))))</f>
        <v>10</v>
      </c>
      <c r="BW114" s="63">
        <f>IF(AND(BW112=1,BW113=10),10,MIN(IF(BW112&lt;=0,0,IF(WEEKDAY(BW$6,1)=1,0,MIN(10,BW113)*BW112)),MAX(0,40*MAX(1,BW112)-(BV114))))</f>
        <v>10</v>
      </c>
      <c r="BX114" s="63">
        <f>IF(AND(BX112=1,BX113=10),10,MIN(IF(BX112&lt;=0,0,IF(WEEKDAY(BX$6,1)=1,0,MIN(10,BX113)*BX112)),MAX(0,40*MAX(1,BX112)-(BV114+BW114))))</f>
        <v>10</v>
      </c>
      <c r="BY114" s="63">
        <f>IF(AND(BY112=1,BY113=10),10,MIN(IF(BY112&lt;=0,0,IF(WEEKDAY(BY$6,1)=1,0,MIN(10,BY113)*BY112)),MAX(0,40*MAX(1,BY112)-(BV114+BW114+BX114))))</f>
        <v>10</v>
      </c>
      <c r="BZ114" s="63">
        <f>IF(AND(BZ112=1,BZ113=10),0,MIN(IF(BZ112&lt;=0,0,IF(WEEKDAY(BZ$6,1)=1,0,MIN(10,BZ113)*BZ112)),MAX(0,40*MAX(1,BZ112)-(BV114+BW114+BX114+BY114))))</f>
        <v>0</v>
      </c>
      <c r="CA114" s="64">
        <f>IF(AND(CA112=1,CA113=10),0,MIN(IF(CA112&lt;=0,0,IF(WEEKDAY(CA$6,1)=1,0,MIN(10,CA113)*CA112)),MAX(0,40*MAX(1,CA112)-(BV114+BW114+BX114+BY114+BZ114))))</f>
        <v>0</v>
      </c>
      <c r="CB114" s="64">
        <f>IF(AND(CB112=1,CB113=10),0,MIN(IF(CB112&lt;=0,0,IF(WEEKDAY(CB$6,1)=1,0,MIN(10,CB113)*CB112)),MAX(0,40*MAX(1,CB112)-(BV114+BW114+BX114+BY114+BZ114+CA114))))</f>
        <v>0</v>
      </c>
      <c r="CC114" s="63">
        <f>IF(AND(CC112=1,CC113=10),10,MIN(IF(CC112&lt;=0,0,IF(WEEKDAY(CC$6,1)=1,0,MIN(10,CC113)*CC112)),MAX(0,40*MAX(1,CC112)-(0))))</f>
        <v>10</v>
      </c>
      <c r="CD114" s="63">
        <f>IF(AND(CD112=1,CD113=10),10,MIN(IF(CD112&lt;=0,0,IF(WEEKDAY(CD$6,1)=1,0,MIN(10,CD113)*CD112)),MAX(0,40*MAX(1,CD112)-(CC114))))</f>
        <v>10</v>
      </c>
      <c r="CE114" s="63">
        <f>IF(AND(CE112=1,CE113=10),10,MIN(IF(CE112&lt;=0,0,IF(WEEKDAY(CE$6,1)=1,0,MIN(10,CE113)*CE112)),MAX(0,40*MAX(1,CE112)-(CC114+CD114))))</f>
        <v>10</v>
      </c>
      <c r="CF114" s="63">
        <f>IF(AND(CF112=1,CF113=10),10,MIN(IF(CF112&lt;=0,0,IF(WEEKDAY(CF$6,1)=1,0,MIN(10,CF113)*CF112)),MAX(0,40*MAX(1,CF112)-(CC114+CD114+CE114))))</f>
        <v>10</v>
      </c>
      <c r="CG114" s="63">
        <f>IF(AND(CG112=1,CG113=10),0,MIN(IF(CG112&lt;=0,0,IF(WEEKDAY(CG$6,1)=1,0,MIN(10,CG113)*CG112)),MAX(0,40*MAX(1,CG112)-(CC114+CD114+CE114+CF114))))</f>
        <v>0</v>
      </c>
      <c r="CH114" s="64">
        <f>IF(AND(CH112=1,CH113=10),0,MIN(IF(CH112&lt;=0,0,IF(WEEKDAY(CH$6,1)=1,0,MIN(10,CH113)*CH112)),MAX(0,40*MAX(1,CH112)-(CC114+CD114+CE114+CF114+CG114))))</f>
        <v>0</v>
      </c>
      <c r="CI114" s="64">
        <f>IF(AND(CI112=1,CI113=10),0,MIN(IF(CI112&lt;=0,0,IF(WEEKDAY(CI$6,1)=1,0,MIN(10,CI113)*CI112)),MAX(0,40*MAX(1,CI112)-(CC114+CD114+CE114+CF114+CG114+CH114))))</f>
        <v>0</v>
      </c>
      <c r="CJ114" s="63">
        <f>IF(AND(CJ112=1,CJ113=10),10,MIN(IF(CJ112&lt;=0,0,IF(WEEKDAY(CJ$6,1)=1,0,MIN(10,CJ113)*CJ112)),MAX(0,40*MAX(1,CJ112)-(0))))</f>
        <v>10</v>
      </c>
      <c r="CK114" s="63">
        <f>IF(AND(CK112=1,CK113=10),10,MIN(IF(CK112&lt;=0,0,IF(WEEKDAY(CK$6,1)=1,0,MIN(10,CK113)*CK112)),MAX(0,40*MAX(1,CK112)-(CJ114))))</f>
        <v>10</v>
      </c>
      <c r="CL114" s="63">
        <f>IF(AND(CL112=1,CL113=10),10,MIN(IF(CL112&lt;=0,0,IF(WEEKDAY(CL$6,1)=1,0,MIN(10,CL113)*CL112)),MAX(0,40*MAX(1,CL112)-(CJ114+CK114))))</f>
        <v>10</v>
      </c>
      <c r="CM114" s="63">
        <f>IF(AND(CM112=1,CM113=10),10,MIN(IF(CM112&lt;=0,0,IF(WEEKDAY(CM$6,1)=1,0,MIN(10,CM113)*CM112)),MAX(0,40*MAX(1,CM112)-(CJ114+CK114+CL114))))</f>
        <v>10</v>
      </c>
      <c r="CN114" s="63">
        <f>IF(AND(CN112=1,CN113=10),0,MIN(IF(CN112&lt;=0,0,IF(WEEKDAY(CN$6,1)=1,0,MIN(10,CN113)*CN112)),MAX(0,40*MAX(1,CN112)-(CJ114+CK114+CL114+CM114))))</f>
        <v>0</v>
      </c>
      <c r="CO114" s="64">
        <f>IF(AND(CO112=1,CO113=10),0,MIN(IF(CO112&lt;=0,0,IF(WEEKDAY(CO$6,1)=1,0,MIN(10,CO113)*CO112)),MAX(0,40*MAX(1,CO112)-(CJ114+CK114+CL114+CM114+CN114))))</f>
        <v>0</v>
      </c>
      <c r="CP114" s="64">
        <f>IF(AND(CP112=1,CP113=10),0,MIN(IF(CP112&lt;=0,0,IF(WEEKDAY(CP$6,1)=1,0,MIN(10,CP113)*CP112)),MAX(0,40*MAX(1,CP112)-(CJ114+CK114+CL114+CM114+CN114+CO114))))</f>
        <v>0</v>
      </c>
      <c r="CQ114" s="63">
        <f>IF(AND(CQ112=1,CQ113=10),10,MIN(IF(CQ112&lt;=0,0,IF(WEEKDAY(CQ$6,1)=1,0,MIN(10,CQ113)*CQ112)),MAX(0,40*MAX(1,CQ112)-(0))))</f>
        <v>10</v>
      </c>
      <c r="CR114" s="63">
        <f>IF(AND(CR112=1,CR113=10),10,MIN(IF(CR112&lt;=0,0,IF(WEEKDAY(CR$6,1)=1,0,MIN(10,CR113)*CR112)),MAX(0,40*MAX(1,CR112)-(CQ114))))</f>
        <v>10</v>
      </c>
      <c r="CS114" s="63">
        <f>IF(AND(CS112=1,CS113=10),10,MIN(IF(CS112&lt;=0,0,IF(WEEKDAY(CS$6,1)=1,0,MIN(10,CS113)*CS112)),MAX(0,40*MAX(1,CS112)-(CQ114+CR114))))</f>
        <v>10</v>
      </c>
      <c r="CT114" s="63">
        <f>IF(AND(CT112=1,CT113=10),10,MIN(IF(CT112&lt;=0,0,IF(WEEKDAY(CT$6,1)=1,0,MIN(10,CT113)*CT112)),MAX(0,40*MAX(1,CT112)-(CQ114+CR114+CS114))))</f>
        <v>10</v>
      </c>
      <c r="CU114" s="63">
        <f>IF(AND(CU112=1,CU113=10),0,MIN(IF(CU112&lt;=0,0,IF(WEEKDAY(CU$6,1)=1,0,MIN(10,CU113)*CU112)),MAX(0,40*MAX(1,CU112)-(CQ114+CR114+CS114+CT114))))</f>
        <v>0</v>
      </c>
      <c r="CV114" s="64">
        <f>IF(AND(CV112=1,CV113=10),0,MIN(IF(CV112&lt;=0,0,IF(WEEKDAY(CV$6,1)=1,0,MIN(10,CV113)*CV112)),MAX(0,40*MAX(1,CV112)-(CQ114+CR114+CS114+CT114+CU114))))</f>
        <v>0</v>
      </c>
      <c r="CW114" s="64">
        <f>IF(AND(CW112=1,CW113=10),0,MIN(IF(CW112&lt;=0,0,IF(WEEKDAY(CW$6,1)=1,0,MIN(10,CW113)*CW112)),MAX(0,40*MAX(1,CW112)-(CQ114+CR114+CS114+CT114+CU114+CV114))))</f>
        <v>0</v>
      </c>
      <c r="CX114" s="63">
        <f>IF(AND(CX112=1,CX113=10),10,MIN(IF(CX112&lt;=0,0,IF(WEEKDAY(CX$6,1)=1,0,MIN(10,CX113)*CX112)),MAX(0,40*MAX(1,CX112)-(0))))</f>
        <v>10</v>
      </c>
      <c r="CY114" s="63">
        <f>IF(AND(CY112=1,CY113=10),10,MIN(IF(CY112&lt;=0,0,IF(WEEKDAY(CY$6,1)=1,0,MIN(10,CY113)*CY112)),MAX(0,40*MAX(1,CY112)-(CX114))))</f>
        <v>10</v>
      </c>
      <c r="CZ114" s="63">
        <f>IF(AND(CZ112=1,CZ113=10),10,MIN(IF(CZ112&lt;=0,0,IF(WEEKDAY(CZ$6,1)=1,0,MIN(10,CZ113)*CZ112)),MAX(0,40*MAX(1,CZ112)-(CX114+CY114))))</f>
        <v>10</v>
      </c>
      <c r="DA114" s="63">
        <f>IF(AND(DA112=1,DA113=10),10,MIN(IF(DA112&lt;=0,0,IF(WEEKDAY(DA$6,1)=1,0,MIN(10,DA113)*DA112)),MAX(0,40*MAX(1,DA112)-(CX114+CY114+CZ114))))</f>
        <v>10</v>
      </c>
      <c r="DB114" s="63">
        <f>IF(AND(DB112=1,DB113=10),0,MIN(IF(DB112&lt;=0,0,IF(WEEKDAY(DB$6,1)=1,0,MIN(10,DB113)*DB112)),MAX(0,40*MAX(1,DB112)-(CX114+CY114+CZ114+DA114))))</f>
        <v>0</v>
      </c>
      <c r="DC114" s="64">
        <f>IF(AND(DC112=1,DC113=10),0,MIN(IF(DC112&lt;=0,0,IF(WEEKDAY(DC$6,1)=1,0,MIN(10,DC113)*DC112)),MAX(0,40*MAX(1,DC112)-(CX114+CY114+CZ114+DA114+DB114))))</f>
        <v>0</v>
      </c>
      <c r="DD114" s="64">
        <f>IF(AND(DD112=1,DD113=10),0,MIN(IF(DD112&lt;=0,0,IF(WEEKDAY(DD$6,1)=1,0,MIN(10,DD113)*DD112)),MAX(0,40*MAX(1,DD112)-(0))))</f>
        <v>0</v>
      </c>
      <c r="DE114" s="63">
        <f>IF(AND(DE112=1,DE113=10),10,MIN(IF(DE112&lt;=0,0,IF(WEEKDAY(DE$6,1)=1,0,MIN(10,DE113)*DE112)),MAX(0,40*MAX(1,DE112)-(0))))</f>
        <v>10</v>
      </c>
      <c r="DF114" s="63">
        <f>IF(AND(DF112=1,DF113=10),10,MIN(IF(DF112&lt;=0,0,IF(WEEKDAY(DF$6,1)=1,0,MIN(10,DF113)*DF112)),MAX(0,40*MAX(1,DF112)-(DE114))))</f>
        <v>10</v>
      </c>
      <c r="DG114" s="63">
        <f>IF(AND(DG112=1,DG113=10),10,MIN(IF(DG112&lt;=0,0,IF(WEEKDAY(DG$6,1)=1,0,MIN(10,DG113)*DG112)),MAX(0,40*MAX(1,DG112)-(DE114+DF114))))</f>
        <v>10</v>
      </c>
      <c r="DH114" s="63">
        <f>IF(AND(DH112=1,DH113=10),10,MIN(IF(DH112&lt;=0,0,IF(WEEKDAY(DH$6,1)=1,0,MIN(10,DH113)*DH112)),MAX(0,40*MAX(1,DH112)-(DE114+DF114+DG114))))</f>
        <v>10</v>
      </c>
      <c r="DI114" s="63">
        <f>IF(AND(DI112=1,DI113=10),0,MIN(IF(DI112&lt;=0,0,IF(WEEKDAY(DI$6,1)=1,0,MIN(10,DI113)*DI112)),MAX(0,40*MAX(1,DI112)-(DE114+DF114+DG114+DH114))))</f>
        <v>0</v>
      </c>
      <c r="DJ114" s="64">
        <f>IF(AND(DJ112=1,DJ113=10),0,MIN(IF(DJ112&lt;=0,0,IF(WEEKDAY(DJ$6,1)=1,0,MIN(10,DJ113)*DJ112)),MAX(0,40*MAX(1,DJ112)-(DE114+DF114+DG114+DH114+DI114))))</f>
        <v>0</v>
      </c>
      <c r="DK114" s="64">
        <f>IF(AND(DK112=1,DK113=10),0,MIN(IF(DK112&lt;=0,0,IF(WEEKDAY(DK$6,1)=1,0,MIN(10,DK113)*DK112)),MAX(0,40*MAX(1,DK112)-(DE114+DF114+DG114+DH114+DI114+DJ114))))</f>
        <v>0</v>
      </c>
      <c r="DL114" s="63">
        <f>IF(AND(DL112=1,DL113=10),10,MIN(IF(DL112&lt;=0,0,IF(WEEKDAY(DL$6,1)=1,0,MIN(10,DL113)*DL112)),MAX(0,40*MAX(1,DL112)-(0))))</f>
        <v>10</v>
      </c>
      <c r="DM114" s="63">
        <f>IF(AND(DM112=1,DM113=10),10,MIN(IF(DM112&lt;=0,0,IF(WEEKDAY(DM$6,1)=1,0,MIN(10,DM113)*DM112)),MAX(0,40*MAX(1,DM112)-(DL114))))</f>
        <v>10</v>
      </c>
      <c r="DN114" s="63">
        <f>IF(AND(DN112=1,DN113=10),10,MIN(IF(DN112&lt;=0,0,IF(WEEKDAY(DN$6,1)=1,0,MIN(10,DN113)*DN112)),MAX(0,40*MAX(1,DN112)-(DL114+DM114))))</f>
        <v>10</v>
      </c>
      <c r="DO114" s="63">
        <f>IF(AND(DO112=1,DO113=10),10,MIN(IF(DO112&lt;=0,0,IF(WEEKDAY(DO$6,1)=1,0,MIN(10,DO113)*DO112)),MAX(0,40*MAX(1,DO112)-(DL114+DM114+DN114))))</f>
        <v>10</v>
      </c>
      <c r="DP114" s="63">
        <f>IF(AND(DP112=1,DP113=10),0,MIN(IF(DP112&lt;=0,0,IF(WEEKDAY(DP$6,1)=1,0,MIN(10,DP113)*DP112)),MAX(0,40*MAX(1,DP112)-(DL114+DM114+DN114+DO114))))</f>
        <v>0</v>
      </c>
      <c r="DQ114" s="64">
        <f>IF(AND(DQ112=1,DQ113=10),0,MIN(IF(DQ112&lt;=0,0,IF(WEEKDAY(DQ$6,1)=1,0,MIN(10,DQ113)*DQ112)),MAX(0,40*MAX(1,DQ112)-(DL114+DM114+DN114+DO114+DP114))))</f>
        <v>0</v>
      </c>
      <c r="DR114" s="64">
        <f>IF(AND(DR112=1,DR113=10),0,MIN(IF(DR112&lt;=0,0,IF(WEEKDAY(DR$6,1)=1,0,MIN(10,DR113)*DR112)),MAX(0,40*MAX(1,DR112)-(DL114+DM114+DN114+DO114+DP114+DQ114))))</f>
        <v>0</v>
      </c>
      <c r="DS114" s="63">
        <f>IF(AND(DS112=1,DS113=10),10,MIN(IF(DS112&lt;=0,0,IF(WEEKDAY(DS$6,1)=1,0,MIN(10,DS113)*DS112)),MAX(0,40*MAX(1,DS112)-(0))))</f>
        <v>10</v>
      </c>
      <c r="DT114" s="63">
        <f>IF(AND(DT112=1,DT113=8),8,MIN(IF(DT112&lt;=0,0,IF(WEEKDAY(DT$6,1)=1,0,MIN(8,DT113)*DT112)),MAX(0,40*MAX(1,DT112)-(0))))</f>
        <v>8</v>
      </c>
      <c r="DU114" s="63">
        <f>IF(AND(DU112=1,DU113=8),8,MIN(IF(DU112&lt;=0,0,IF(WEEKDAY(DU$6,1)=1,0,MIN(8,DU113)*DU112)),MAX(0,40*MAX(1,DU112)-(DT114))))</f>
        <v>8</v>
      </c>
      <c r="DV114" s="63">
        <f>IF(AND(DV112=1,DV113=8),8,MIN(IF(DV112&lt;=0,0,IF(WEEKDAY(DV$6,1)=1,0,MIN(8,DV113)*DV112)),MAX(0,40*MAX(1,DV112)-(DT114+DU114))))</f>
        <v>8</v>
      </c>
      <c r="DW114" s="63">
        <f>IF(AND(DW112=1,DW113=8),8,MIN(IF(DW112&lt;=0,0,IF(WEEKDAY(DW$6,1)=1,0,MIN(8,DW113)*DW112)),MAX(0,40*MAX(1,DW112)-(DT114+DU114+DV114))))</f>
        <v>8</v>
      </c>
      <c r="DX114" s="64">
        <f>IF(AND(DX112=0,DX113=0),0,MIN(IF(DX112&lt;=0,0,IF(WEEKDAY(DX$6,1)=1,0,MIN(10,DX113)*DX112)),MAX(0,40*MAX(1,DX112)-(0))))</f>
        <v>0</v>
      </c>
      <c r="DY114" s="64">
        <f>IF(AND(DY112=0,DY113=0),0,MIN(IF(DY112&lt;=0,0,IF(WEEKDAY(DY$6,1)=1,0,MIN(10,DY113)*DY112)),MAX(0,40*MAX(1,DY112)-(DX114))))</f>
        <v>0</v>
      </c>
      <c r="DZ114" s="63">
        <f>IF(AND(DZ112=1,DZ113=8),8,MIN(IF(DZ112&lt;=0,0,IF(WEEKDAY(DZ$6,1)=1,0,MIN(8,DZ113)*DZ112)),MAX(0,40*MAX(1,DZ112)-(0))))</f>
        <v>8</v>
      </c>
      <c r="EA114" s="63">
        <f>IF(AND(EA112=1,EA113=8),8,MIN(IF(EA112&lt;=0,0,IF(WEEKDAY(EA$6,1)=1,0,MIN(8,EA113)*EA112)),MAX(0,40*MAX(1,EA112)-(DZ114))))</f>
        <v>8</v>
      </c>
      <c r="EB114" s="63">
        <f>IF(AND(EB112=1,EB113=8),8,MIN(IF(EB112&lt;=0,0,IF(WEEKDAY(EB$6,1)=1,0,MIN(8,EB113)*EB112)),MAX(0,40*MAX(1,EB112)-(DZ114+EA114))))</f>
        <v>8</v>
      </c>
      <c r="EC114" s="63">
        <f>IF(AND(EC112=1,EC113=8),8,MIN(IF(EC112&lt;=0,0,IF(WEEKDAY(EC$6,1)=1,0,MIN(8,EC113)*EC112)),MAX(0,40*MAX(1,EC112)-(DZ114+EA114+EB114))))</f>
        <v>8</v>
      </c>
      <c r="ED114" s="63">
        <f>IF(AND(ED112=1,ED113=8),8,MIN(IF(ED112&lt;=0,0,IF(WEEKDAY(ED$6,1)=1,0,MIN(8,ED113)*ED112)),MAX(0,40*MAX(1,ED112)-(DZ114+EA114+EB114+EC114))))</f>
        <v>8</v>
      </c>
      <c r="EE114" s="64">
        <f>IF(AND(EE112=0,EE113=0),0,MIN(IF(EE112&lt;=0,0,IF(WEEKDAY(EE$6,1)=1,0,MIN(10,EE113)*EE112)),MAX(0,40*MAX(1,EE112)-(0))))</f>
        <v>0</v>
      </c>
      <c r="EF114" s="64">
        <f>IF(AND(EF112=0,EF113=0),0,MIN(IF(EF112&lt;=0,0,IF(WEEKDAY(EF$6,1)=1,0,MIN(10,EF113)*EF112)),MAX(0,40*MAX(1,EF112)-(EE114))))</f>
        <v>0</v>
      </c>
      <c r="EG114" s="63">
        <f>IF(AND(EG112=1,EG113=8),8,MIN(IF(EG112&lt;=0,0,IF(WEEKDAY(EG$6,1)=1,0,MIN(8,EG113)*EG112)),MAX(0,40*MAX(1,EG112)-(0))))</f>
        <v>8</v>
      </c>
      <c r="EH114" s="63">
        <f>IF(AND(EH112=1,EH113=8),8,MIN(IF(EH112&lt;=0,0,IF(WEEKDAY(EH$6,1)=1,0,MIN(8,EH113)*EH112)),MAX(0,40*MAX(1,EH112)-(EG114))))</f>
        <v>8</v>
      </c>
      <c r="EI114" s="63">
        <f>IF(AND(EI112=1,EI113=8),8,MIN(IF(EI112&lt;=0,0,IF(WEEKDAY(EI$6,1)=1,0,MIN(8,EI113)*EI112)),MAX(0,40*MAX(1,EI112)-(EG114+EH114))))</f>
        <v>8</v>
      </c>
      <c r="EJ114" s="63">
        <f>IF(AND(EJ112=1,EJ113=8),8,MIN(IF(EJ112&lt;=0,0,IF(WEEKDAY(EJ$6,1)=1,0,MIN(8,EJ113)*EJ112)),MAX(0,40*MAX(1,EJ112)-(EG114+EH114+EI114))))</f>
        <v>8</v>
      </c>
      <c r="EK114" s="65">
        <f>IF(AND(EK112=1,EK113=8),8,MIN(IF(EK112&lt;=0,0,IF(WEEKDAY(EK$6,1)=1,0,MIN(8,EK113)*EK112)),MAX(0,40*MAX(1,EK112)-(EG114+EH114+EI114+EJ114))))</f>
        <v>8</v>
      </c>
      <c r="OU114" s="28" t="s">
        <v>87</v>
      </c>
    </row>
    <row r="115" ht="16" customHeight="1" spans="1:411" x14ac:dyDescent="0.25">
      <c r="A115" s="45"/>
      <c r="B115" s="46"/>
      <c r="C115" s="66">
        <f>G111*N(D115)</f>
        <v>35379.23</v>
      </c>
      <c r="D115" s="66">
        <f>IF(TRIM(B111)="","No rate",IFERROR(INDEX('Rate Tables'!D$7:D$158,MATCH(B111,'Rate Tables'!A$7:A$158,0)),"No rate"))</f>
        <v>179.59</v>
      </c>
      <c r="E115" s="55" t="s">
        <v>63</v>
      </c>
      <c r="F115" s="49"/>
      <c r="G115" s="49"/>
      <c r="H115" s="49"/>
      <c r="I115" s="49"/>
      <c r="J115" s="50"/>
      <c r="K115" s="62">
        <f>IF(AND(K112=1,K113=9),1,IF(K112&lt;=0,0,IF(WEEKDAY(K$6,1)=1,0,MAX(0,K113-8)*K112))+((IF(K112&lt;=0,0,IF(WEEKDAY(K$6,1)=1,0,MIN(8,K113)*K112)))-MIN(IF(K112&lt;=0,0,IF(WEEKDAY(K$6,1)=1,0,MIN(8,K113)*K112)),MAX(0,40*MAX(1,K112)-(0)))))</f>
        <v>1</v>
      </c>
      <c r="L115" s="63">
        <f>IF(AND(L112=1,L113=9),1,IF(L112&lt;=0,0,IF(WEEKDAY(L$6,1)=1,0,MAX(0,L113-8)*L112))+((IF(L112&lt;=0,0,IF(WEEKDAY(L$6,1)=1,0,MIN(8,L113)*L112)))-MIN(IF(L112&lt;=0,0,IF(WEEKDAY(L$6,1)=1,0,MIN(8,L113)*L112)),MAX(0,40*MAX(1,L112)-(K114)))))</f>
        <v>1</v>
      </c>
      <c r="M115" s="63">
        <f>IF(AND(M112=1,M113=9),1,IF(M112&lt;=0,0,IF(WEEKDAY(M$6,1)=1,0,MAX(0,M113-8)*M112))+((IF(M112&lt;=0,0,IF(WEEKDAY(M$6,1)=1,0,MIN(8,M113)*M112)))-MIN(IF(M112&lt;=0,0,IF(WEEKDAY(M$6,1)=1,0,MIN(8,M113)*M112)),MAX(0,40*MAX(1,M112)-(K114+L114)))))</f>
        <v>1</v>
      </c>
      <c r="N115" s="63">
        <f>IF(AND(N112=1,N113=9),1,IF(N112&lt;=0,0,IF(WEEKDAY(N$6,1)=1,0,MAX(0,N113-8)*N112))+((IF(N112&lt;=0,0,IF(WEEKDAY(N$6,1)=1,0,MIN(8,N113)*N112)))-MIN(IF(N112&lt;=0,0,IF(WEEKDAY(N$6,1)=1,0,MIN(8,N113)*N112)),MAX(0,40*MAX(1,N112)-(K114+L114+M114)))))</f>
        <v>1</v>
      </c>
      <c r="O115" s="63">
        <f>IF(AND(O112=1,O113=9),1,IF(O112&lt;=0,0,IF(WEEKDAY(O$6,1)=1,0,MAX(0,O113-8)*O112))+((IF(O112&lt;=0,0,IF(WEEKDAY(O$6,1)=1,0,MIN(8,O113)*O112)))-MIN(IF(O112&lt;=0,0,IF(WEEKDAY(O$6,1)=1,0,MIN(8,O113)*O112)),MAX(0,40*MAX(1,O112)-(K114+L114+M114+N114)))))</f>
        <v>1</v>
      </c>
      <c r="P115" s="64">
        <f>IF(AND(P112=0,P113=0),0,IF(P112&lt;=0,0,IF(WEEKDAY(P$6,1)=1,0,MAX(0,P113-10)*P112))+((IF(P112&lt;=0,0,IF(WEEKDAY(P$6,1)=1,0,MIN(10,P113)*P112)))-MIN(IF(P112&lt;=0,0,IF(WEEKDAY(P$6,1)=1,0,MIN(10,P113)*P112)),MAX(0,40*MAX(1,P112)-(0)))))</f>
        <v>0</v>
      </c>
      <c r="Q115" s="64">
        <f>IF(AND(Q112=0,Q113=0),0,IF(Q112&lt;=0,0,IF(WEEKDAY(Q$6,1)=1,0,MAX(0,Q113-10)*Q112))+((IF(Q112&lt;=0,0,IF(WEEKDAY(Q$6,1)=1,0,MIN(10,Q113)*Q112)))-MIN(IF(Q112&lt;=0,0,IF(WEEKDAY(Q$6,1)=1,0,MIN(10,Q113)*Q112)),MAX(0,40*MAX(1,Q112)-(P114)))))</f>
        <v>0</v>
      </c>
      <c r="R115" s="63">
        <f>IF(AND(R112=1,R113=9),1,IF(R112&lt;=0,0,IF(WEEKDAY(R$6,1)=1,0,MAX(0,R113-8)*R112))+((IF(R112&lt;=0,0,IF(WEEKDAY(R$6,1)=1,0,MIN(8,R113)*R112)))-MIN(IF(R112&lt;=0,0,IF(WEEKDAY(R$6,1)=1,0,MIN(8,R113)*R112)),MAX(0,40*MAX(1,R112)-(0)))))</f>
        <v>1</v>
      </c>
      <c r="S115" s="63">
        <f>IF(AND(S112=1,S113=9),1,IF(S112&lt;=0,0,IF(WEEKDAY(S$6,1)=1,0,MAX(0,S113-8)*S112))+((IF(S112&lt;=0,0,IF(WEEKDAY(S$6,1)=1,0,MIN(8,S113)*S112)))-MIN(IF(S112&lt;=0,0,IF(WEEKDAY(S$6,1)=1,0,MIN(8,S113)*S112)),MAX(0,40*MAX(1,S112)-(R114)))))</f>
        <v>1</v>
      </c>
      <c r="T115" s="63">
        <f>IF(AND(T112=1,T113=9),1,IF(T112&lt;=0,0,IF(WEEKDAY(T$6,1)=1,0,MAX(0,T113-8)*T112))+((IF(T112&lt;=0,0,IF(WEEKDAY(T$6,1)=1,0,MIN(8,T113)*T112)))-MIN(IF(T112&lt;=0,0,IF(WEEKDAY(T$6,1)=1,0,MIN(8,T113)*T112)),MAX(0,40*MAX(1,T112)-(R114+S114)))))</f>
        <v>1</v>
      </c>
      <c r="U115" s="63">
        <f>IF(AND(U112=1,U113=9),1,IF(U112&lt;=0,0,IF(WEEKDAY(U$6,1)=1,0,MAX(0,U113-8)*U112))+((IF(U112&lt;=0,0,IF(WEEKDAY(U$6,1)=1,0,MIN(8,U113)*U112)))-MIN(IF(U112&lt;=0,0,IF(WEEKDAY(U$6,1)=1,0,MIN(8,U113)*U112)),MAX(0,40*MAX(1,U112)-(R114+S114+T114)))))</f>
        <v>1</v>
      </c>
      <c r="V115" s="63">
        <f>IF(AND(V112=1,V113=9),1,IF(V112&lt;=0,0,IF(WEEKDAY(V$6,1)=1,0,MAX(0,V113-8)*V112))+((IF(V112&lt;=0,0,IF(WEEKDAY(V$6,1)=1,0,MIN(8,V113)*V112)))-MIN(IF(V112&lt;=0,0,IF(WEEKDAY(V$6,1)=1,0,MIN(8,V113)*V112)),MAX(0,40*MAX(1,V112)-(R114+S114+T114+U114)))))</f>
        <v>1</v>
      </c>
      <c r="W115" s="64">
        <f>IF(AND(W112=0,W113=0),0,IF(W112&lt;=0,0,IF(WEEKDAY(W$6,1)=1,0,MAX(0,W113-10)*W112))+((IF(W112&lt;=0,0,IF(WEEKDAY(W$6,1)=1,0,MIN(10,W113)*W112)))-MIN(IF(W112&lt;=0,0,IF(WEEKDAY(W$6,1)=1,0,MIN(10,W113)*W112)),MAX(0,40*MAX(1,W112)-(0)))))</f>
        <v>0</v>
      </c>
      <c r="X115" s="64">
        <f>IF(AND(X112=0,X113=0),0,IF(X112&lt;=0,0,IF(WEEKDAY(X$6,1)=1,0,MAX(0,X113-10)*X112))+((IF(X112&lt;=0,0,IF(WEEKDAY(X$6,1)=1,0,MIN(10,X113)*X112)))-MIN(IF(X112&lt;=0,0,IF(WEEKDAY(X$6,1)=1,0,MIN(10,X113)*X112)),MAX(0,40*MAX(1,X112)-(W114)))))</f>
        <v>0</v>
      </c>
      <c r="Y115" s="63">
        <f>IF(AND(Y112=1,Y113=9),1,IF(Y112&lt;=0,0,IF(WEEKDAY(Y$6,1)=1,0,MAX(0,Y113-8)*Y112))+((IF(Y112&lt;=0,0,IF(WEEKDAY(Y$6,1)=1,0,MIN(8,Y113)*Y112)))-MIN(IF(Y112&lt;=0,0,IF(WEEKDAY(Y$6,1)=1,0,MIN(8,Y113)*Y112)),MAX(0,40*MAX(1,Y112)-(0)))))</f>
        <v>1</v>
      </c>
      <c r="Z115" s="63">
        <f>IF(AND(Z112=1,Z113=9),1,IF(Z112&lt;=0,0,IF(WEEKDAY(Z$6,1)=1,0,MAX(0,Z113-8)*Z112))+((IF(Z112&lt;=0,0,IF(WEEKDAY(Z$6,1)=1,0,MIN(8,Z113)*Z112)))-MIN(IF(Z112&lt;=0,0,IF(WEEKDAY(Z$6,1)=1,0,MIN(8,Z113)*Z112)),MAX(0,40*MAX(1,Z112)-(Y114)))))</f>
        <v>1</v>
      </c>
      <c r="AA115" s="63">
        <f>IF(AND(AA112=1,AA113=9),1,IF(AA112&lt;=0,0,IF(WEEKDAY(AA$6,1)=1,0,MAX(0,AA113-8)*AA112))+((IF(AA112&lt;=0,0,IF(WEEKDAY(AA$6,1)=1,0,MIN(8,AA113)*AA112)))-MIN(IF(AA112&lt;=0,0,IF(WEEKDAY(AA$6,1)=1,0,MIN(8,AA113)*AA112)),MAX(0,40*MAX(1,AA112)-(Y114+Z114)))))</f>
        <v>1</v>
      </c>
      <c r="AB115" s="63">
        <f>IF(AND(AB112=1,AB113=9),1,IF(AB112&lt;=0,0,IF(WEEKDAY(AB$6,1)=1,0,MAX(0,AB113-8)*AB112))+((IF(AB112&lt;=0,0,IF(WEEKDAY(AB$6,1)=1,0,MIN(8,AB113)*AB112)))-MIN(IF(AB112&lt;=0,0,IF(WEEKDAY(AB$6,1)=1,0,MIN(8,AB113)*AB112)),MAX(0,40*MAX(1,AB112)-(Y114+Z114+AA114)))))</f>
        <v>1</v>
      </c>
      <c r="AC115" s="63">
        <f>IF(AND(AC112=1,AC113=9),1,IF(AC112&lt;=0,0,IF(WEEKDAY(AC$6,1)=1,0,MAX(0,AC113-8)*AC112))+((IF(AC112&lt;=0,0,IF(WEEKDAY(AC$6,1)=1,0,MIN(8,AC113)*AC112)))-MIN(IF(AC112&lt;=0,0,IF(WEEKDAY(AC$6,1)=1,0,MIN(8,AC113)*AC112)),MAX(0,40*MAX(1,AC112)-(Y114+Z114+AA114+AB114)))))</f>
        <v>1</v>
      </c>
      <c r="AD115" s="64">
        <f>IF(AND(AD112=0,AD113=0),0,IF(AD112&lt;=0,0,IF(WEEKDAY(AD$6,1)=1,0,MAX(0,AD113-10)*AD112))+((IF(AD112&lt;=0,0,IF(WEEKDAY(AD$6,1)=1,0,MIN(10,AD113)*AD112)))-MIN(IF(AD112&lt;=0,0,IF(WEEKDAY(AD$6,1)=1,0,MIN(10,AD113)*AD112)),MAX(0,40*MAX(1,AD112)-(0)))))</f>
        <v>0</v>
      </c>
      <c r="AE115" s="64">
        <f>IF(AND(AE112=0,AE113=0),0,IF(AE112&lt;=0,0,IF(WEEKDAY(AE$6,1)=1,0,MAX(0,AE113-10)*AE112))+((IF(AE112&lt;=0,0,IF(WEEKDAY(AE$6,1)=1,0,MIN(10,AE113)*AE112)))-MIN(IF(AE112&lt;=0,0,IF(WEEKDAY(AE$6,1)=1,0,MIN(10,AE113)*AE112)),MAX(0,40*MAX(1,AE112)-(AD114)))))</f>
        <v>0</v>
      </c>
      <c r="AF115" s="63">
        <f>IF(AND(AF112=1,AF113=9),1,IF(AF112&lt;=0,0,IF(WEEKDAY(AF$6,1)=1,0,MAX(0,AF113-8)*AF112))+((IF(AF112&lt;=0,0,IF(WEEKDAY(AF$6,1)=1,0,MIN(8,AF113)*AF112)))-MIN(IF(AF112&lt;=0,0,IF(WEEKDAY(AF$6,1)=1,0,MIN(8,AF113)*AF112)),MAX(0,40*MAX(1,AF112)-(0)))))</f>
        <v>1</v>
      </c>
      <c r="AG115" s="63">
        <f>IF(AND(AG112=1,AG113=9),1,IF(AG112&lt;=0,0,IF(WEEKDAY(AG$6,1)=1,0,MAX(0,AG113-8)*AG112))+((IF(AG112&lt;=0,0,IF(WEEKDAY(AG$6,1)=1,0,MIN(8,AG113)*AG112)))-MIN(IF(AG112&lt;=0,0,IF(WEEKDAY(AG$6,1)=1,0,MIN(8,AG113)*AG112)),MAX(0,40*MAX(1,AG112)-(AF114)))))</f>
        <v>1</v>
      </c>
      <c r="AH115" s="63">
        <f>IF(AND(AH112=1,AH113=9),1,IF(AH112&lt;=0,0,IF(WEEKDAY(AH$6,1)=1,0,MAX(0,AH113-8)*AH112))+((IF(AH112&lt;=0,0,IF(WEEKDAY(AH$6,1)=1,0,MIN(8,AH113)*AH112)))-MIN(IF(AH112&lt;=0,0,IF(WEEKDAY(AH$6,1)=1,0,MIN(8,AH113)*AH112)),MAX(0,40*MAX(1,AH112)-(AF114+AG114)))))</f>
        <v>1</v>
      </c>
      <c r="AI115" s="63">
        <f>IF(AND(AI112=1,AI113=9),1,IF(AI112&lt;=0,0,IF(WEEKDAY(AI$6,1)=1,0,MAX(0,AI113-8)*AI112))+((IF(AI112&lt;=0,0,IF(WEEKDAY(AI$6,1)=1,0,MIN(8,AI113)*AI112)))-MIN(IF(AI112&lt;=0,0,IF(WEEKDAY(AI$6,1)=1,0,MIN(8,AI113)*AI112)),MAX(0,40*MAX(1,AI112)-(AF114+AG114+AH114)))))</f>
        <v>1</v>
      </c>
      <c r="AJ115" s="63">
        <f>IF(AND(AJ112=1,AJ113=9),1,IF(AJ112&lt;=0,0,IF(WEEKDAY(AJ$6,1)=1,0,MAX(0,AJ113-8)*AJ112))+((IF(AJ112&lt;=0,0,IF(WEEKDAY(AJ$6,1)=1,0,MIN(8,AJ113)*AJ112)))-MIN(IF(AJ112&lt;=0,0,IF(WEEKDAY(AJ$6,1)=1,0,MIN(8,AJ113)*AJ112)),MAX(0,40*MAX(1,AJ112)-(AF114+AG114+AH114+AI114)))))</f>
        <v>1</v>
      </c>
      <c r="AK115" s="64">
        <f>IF(AND(AK112=0,AK113=0),0,IF(AK112&lt;=0,0,IF(WEEKDAY(AK$6,1)=1,0,MAX(0,AK113-10)*AK112))+((IF(AK112&lt;=0,0,IF(WEEKDAY(AK$6,1)=1,0,MIN(10,AK113)*AK112)))-MIN(IF(AK112&lt;=0,0,IF(WEEKDAY(AK$6,1)=1,0,MIN(10,AK113)*AK112)),MAX(0,40*MAX(1,AK112)-(0)))))</f>
        <v>0</v>
      </c>
      <c r="AL115" s="64">
        <f>IF(AND(AL112=0,AL113=0),0,IF(AL112&lt;=0,0,IF(WEEKDAY(AL$6,1)=1,0,MAX(0,AL113-10)*AL112))+((IF(AL112&lt;=0,0,IF(WEEKDAY(AL$6,1)=1,0,MIN(10,AL113)*AL112)))-MIN(IF(AL112&lt;=0,0,IF(WEEKDAY(AL$6,1)=1,0,MIN(10,AL113)*AL112)),MAX(0,40*MAX(1,AL112)-(AK114)))))</f>
        <v>0</v>
      </c>
      <c r="AM115" s="63">
        <f>IF(AND(AM112=1,AM113=9),1,IF(AM112&lt;=0,0,IF(WEEKDAY(AM$6,1)=1,0,MAX(0,AM113-8)*AM112))+((IF(AM112&lt;=0,0,IF(WEEKDAY(AM$6,1)=1,0,MIN(8,AM113)*AM112)))-MIN(IF(AM112&lt;=0,0,IF(WEEKDAY(AM$6,1)=1,0,MIN(8,AM113)*AM112)),MAX(0,40*MAX(1,AM112)-(0)))))</f>
        <v>1</v>
      </c>
      <c r="AN115" s="63">
        <f>IF(AND(AN112=1,AN113=9),1,IF(AN112&lt;=0,0,IF(WEEKDAY(AN$6,1)=1,0,MAX(0,AN113-8)*AN112))+((IF(AN112&lt;=0,0,IF(WEEKDAY(AN$6,1)=1,0,MIN(8,AN113)*AN112)))-MIN(IF(AN112&lt;=0,0,IF(WEEKDAY(AN$6,1)=1,0,MIN(8,AN113)*AN112)),MAX(0,40*MAX(1,AN112)-(AM114)))))</f>
        <v>1</v>
      </c>
      <c r="AO115" s="63">
        <f>IF(AND(AO112=1,AO113=9),1,IF(AO112&lt;=0,0,IF(WEEKDAY(AO$6,1)=1,0,MAX(0,AO113-8)*AO112))+((IF(AO112&lt;=0,0,IF(WEEKDAY(AO$6,1)=1,0,MIN(8,AO113)*AO112)))-MIN(IF(AO112&lt;=0,0,IF(WEEKDAY(AO$6,1)=1,0,MIN(8,AO113)*AO112)),MAX(0,40*MAX(1,AO112)-(AM114+AN114)))))</f>
        <v>1</v>
      </c>
      <c r="AP115" s="63">
        <f>IF(AND(AP112=4.25,AP113=8),2,IF(AP112&lt;=0,0,IF(WEEKDAY(AP$6,1)=1,0,MAX(0,AP113-8)*AP112))+((IF(AP112&lt;=0,0,IF(WEEKDAY(AP$6,1)=1,0,MIN(8,AP113)*AP112)))-MIN(IF(AP112&lt;=0,0,IF(WEEKDAY(AP$6,1)=1,0,MIN(8,AP113)*AP112)),MAX(0,40*MAX(1,AP112)-(AM114+AN114+AO114)))))</f>
        <v>2</v>
      </c>
      <c r="AQ115" s="63">
        <f>IF(AND(AQ112=4.25,AQ113=8),2,IF(AQ112&lt;=0,0,IF(WEEKDAY(AQ$6,1)=1,0,MAX(0,AQ113-8)*AQ112))+((IF(AQ112&lt;=0,0,IF(WEEKDAY(AQ$6,1)=1,0,MIN(8,AQ113)*AQ112)))-MIN(IF(AQ112&lt;=0,0,IF(WEEKDAY(AQ$6,1)=1,0,MIN(8,AQ113)*AQ112)),MAX(0,40*MAX(1,AQ112)-(AM114+AN114+AO114+AP114)))))</f>
        <v>2</v>
      </c>
      <c r="AR115" s="64">
        <f>IF(AND(AR112=0,AR113=0),0,IF(AR112&lt;=0,0,IF(WEEKDAY(AR$6,1)=1,0,MAX(0,AR113-10)*AR112))+((IF(AR112&lt;=0,0,IF(WEEKDAY(AR$6,1)=1,0,MIN(10,AR113)*AR112)))-MIN(IF(AR112&lt;=0,0,IF(WEEKDAY(AR$6,1)=1,0,MIN(10,AR113)*AR112)),MAX(0,40*MAX(1,AR112)-(0)))))</f>
        <v>0</v>
      </c>
      <c r="AS115" s="64">
        <f>IF(AND(AS112=0,AS113=0),0,IF(AS112&lt;=0,0,IF(WEEKDAY(AS$6,1)=1,0,MAX(0,AS113-10)*AS112))+((IF(AS112&lt;=0,0,IF(WEEKDAY(AS$6,1)=1,0,MIN(10,AS113)*AS112)))-MIN(IF(AS112&lt;=0,0,IF(WEEKDAY(AS$6,1)=1,0,MIN(10,AS113)*AS112)),MAX(0,40*MAX(1,AS112)-(AR114)))))</f>
        <v>0</v>
      </c>
      <c r="AT115" s="63">
        <f>IF(AND(AT112=1,AT113=9),1,IF(AT112&lt;=0,0,IF(WEEKDAY(AT$6,1)=1,0,MAX(0,AT113-8)*AT112))+((IF(AT112&lt;=0,0,IF(WEEKDAY(AT$6,1)=1,0,MIN(8,AT113)*AT112)))-MIN(IF(AT112&lt;=0,0,IF(WEEKDAY(AT$6,1)=1,0,MIN(8,AT113)*AT112)),MAX(0,40*MAX(1,AT112)-(0)))))</f>
        <v>1</v>
      </c>
      <c r="AU115" s="63">
        <f>IF(AND(AU112=1,AU113=9),1,IF(AU112&lt;=0,0,IF(WEEKDAY(AU$6,1)=1,0,MAX(0,AU113-8)*AU112))+((IF(AU112&lt;=0,0,IF(WEEKDAY(AU$6,1)=1,0,MIN(8,AU113)*AU112)))-MIN(IF(AU112&lt;=0,0,IF(WEEKDAY(AU$6,1)=1,0,MIN(8,AU113)*AU112)),MAX(0,40*MAX(1,AU112)-(AT114)))))</f>
        <v>1</v>
      </c>
      <c r="AV115" s="63">
        <f>IF(AND(AV112=1,AV113=9),1,IF(AV112&lt;=0,0,IF(WEEKDAY(AV$6,1)=1,0,MAX(0,AV113-8)*AV112))+((IF(AV112&lt;=0,0,IF(WEEKDAY(AV$6,1)=1,0,MIN(8,AV113)*AV112)))-MIN(IF(AV112&lt;=0,0,IF(WEEKDAY(AV$6,1)=1,0,MIN(8,AV113)*AV112)),MAX(0,40*MAX(1,AV112)-(AT114+AU114)))))</f>
        <v>1</v>
      </c>
      <c r="AW115" s="63">
        <f>IF(AND(AW112=1,AW113=9),1,IF(AW112&lt;=0,0,IF(WEEKDAY(AW$6,1)=1,0,MAX(0,AW113-8)*AW112))+((IF(AW112&lt;=0,0,IF(WEEKDAY(AW$6,1)=1,0,MIN(8,AW113)*AW112)))-MIN(IF(AW112&lt;=0,0,IF(WEEKDAY(AW$6,1)=1,0,MIN(8,AW113)*AW112)),MAX(0,40*MAX(1,AW112)-(AT114+AU114+AV114)))))</f>
        <v>1</v>
      </c>
      <c r="AX115" s="63">
        <f>IF(AND(AX112=1,AX113=9),1,IF(AX112&lt;=0,0,IF(WEEKDAY(AX$6,1)=1,0,MAX(0,AX113-8)*AX112))+((IF(AX112&lt;=0,0,IF(WEEKDAY(AX$6,1)=1,0,MIN(8,AX113)*AX112)))-MIN(IF(AX112&lt;=0,0,IF(WEEKDAY(AX$6,1)=1,0,MIN(8,AX113)*AX112)),MAX(0,40*MAX(1,AX112)-(AT114+AU114+AV114+AW114)))))</f>
        <v>1</v>
      </c>
      <c r="AY115" s="64">
        <f>IF(AND(AY112=0,AY113=0),0,IF(AY112&lt;=0,0,IF(WEEKDAY(AY$6,1)=1,0,MAX(0,AY113-10)*AY112))+((IF(AY112&lt;=0,0,IF(WEEKDAY(AY$6,1)=1,0,MIN(10,AY113)*AY112)))-MIN(IF(AY112&lt;=0,0,IF(WEEKDAY(AY$6,1)=1,0,MIN(10,AY113)*AY112)),MAX(0,40*MAX(1,AY112)-(0)))))</f>
        <v>0</v>
      </c>
      <c r="AZ115" s="64">
        <f>IF(AND(AZ112=0,AZ113=0),0,IF(AZ112&lt;=0,0,IF(WEEKDAY(AZ$6,1)=1,0,MAX(0,AZ113-10)*AZ112))+((IF(AZ112&lt;=0,0,IF(WEEKDAY(AZ$6,1)=1,0,MIN(10,AZ113)*AZ112)))-MIN(IF(AZ112&lt;=0,0,IF(WEEKDAY(AZ$6,1)=1,0,MIN(10,AZ113)*AZ112)),MAX(0,40*MAX(1,AZ112)-(AY114)))))</f>
        <v>0</v>
      </c>
      <c r="BA115" s="63">
        <f>IF(AND(BA112=1,BA113=9),1,IF(BA112&lt;=0,0,IF(WEEKDAY(BA$6,1)=1,0,MAX(0,BA113-8)*BA112))+((IF(BA112&lt;=0,0,IF(WEEKDAY(BA$6,1)=1,0,MIN(8,BA113)*BA112)))-MIN(IF(BA112&lt;=0,0,IF(WEEKDAY(BA$6,1)=1,0,MIN(8,BA113)*BA112)),MAX(0,40*MAX(1,BA112)-(0)))))</f>
        <v>1</v>
      </c>
      <c r="BB115" s="63">
        <f>IF(AND(BB112=1,BB113=9),1,IF(BB112&lt;=0,0,IF(WEEKDAY(BB$6,1)=1,0,MAX(0,BB113-8)*BB112))+((IF(BB112&lt;=0,0,IF(WEEKDAY(BB$6,1)=1,0,MIN(8,BB113)*BB112)))-MIN(IF(BB112&lt;=0,0,IF(WEEKDAY(BB$6,1)=1,0,MIN(8,BB113)*BB112)),MAX(0,40*MAX(1,BB112)-(BA114)))))</f>
        <v>1</v>
      </c>
      <c r="BC115" s="63">
        <f>IF(AND(BC112=1,BC113=9),1,IF(BC112&lt;=0,0,IF(WEEKDAY(BC$6,1)=1,0,MAX(0,BC113-8)*BC112))+((IF(BC112&lt;=0,0,IF(WEEKDAY(BC$6,1)=1,0,MIN(8,BC113)*BC112)))-MIN(IF(BC112&lt;=0,0,IF(WEEKDAY(BC$6,1)=1,0,MIN(8,BC113)*BC112)),MAX(0,40*MAX(1,BC112)-(BA114+BB114)))))</f>
        <v>1</v>
      </c>
      <c r="BD115" s="63">
        <f>IF(AND(BD112=1,BD113=9),1,IF(BD112&lt;=0,0,IF(WEEKDAY(BD$6,1)=1,0,MAX(0,BD113-8)*BD112))+((IF(BD112&lt;=0,0,IF(WEEKDAY(BD$6,1)=1,0,MIN(8,BD113)*BD112)))-MIN(IF(BD112&lt;=0,0,IF(WEEKDAY(BD$6,1)=1,0,MIN(8,BD113)*BD112)),MAX(0,40*MAX(1,BD112)-(BA114+BB114+BC114)))))</f>
        <v>1</v>
      </c>
      <c r="BE115" s="63">
        <f>IF(AND(BE112=1,BE113=9),1,IF(BE112&lt;=0,0,IF(WEEKDAY(BE$6,1)=1,0,MAX(0,BE113-8)*BE112))+((IF(BE112&lt;=0,0,IF(WEEKDAY(BE$6,1)=1,0,MIN(8,BE113)*BE112)))-MIN(IF(BE112&lt;=0,0,IF(WEEKDAY(BE$6,1)=1,0,MIN(8,BE113)*BE112)),MAX(0,40*MAX(1,BE112)-(BA114+BB114+BC114+BD114)))))</f>
        <v>1</v>
      </c>
      <c r="BF115" s="64">
        <f>IF(AND(BF112=0,BF113=0),0,IF(BF112&lt;=0,0,IF(WEEKDAY(BF$6,1)=1,0,MAX(0,BF113-10)*BF112))+((IF(BF112&lt;=0,0,IF(WEEKDAY(BF$6,1)=1,0,MIN(10,BF113)*BF112)))-MIN(IF(BF112&lt;=0,0,IF(WEEKDAY(BF$6,1)=1,0,MIN(10,BF113)*BF112)),MAX(0,40*MAX(1,BF112)-(0)))))</f>
        <v>0</v>
      </c>
      <c r="BG115" s="64">
        <f>IF(AND(BG112=0,BG113=0),0,IF(BG112&lt;=0,0,IF(WEEKDAY(BG$6,1)=1,0,MAX(0,BG113-10)*BG112))+((IF(BG112&lt;=0,0,IF(WEEKDAY(BG$6,1)=1,0,MIN(10,BG113)*BG112)))-MIN(IF(BG112&lt;=0,0,IF(WEEKDAY(BG$6,1)=1,0,MIN(10,BG113)*BG112)),MAX(0,40*MAX(1,BG112)-(BF114)))))</f>
        <v>0</v>
      </c>
      <c r="BH115" s="63">
        <f>IF(AND(BH112=1,BH113=10),0,IF(BH112&lt;=0,0,IF(WEEKDAY(BH$6,1)=1,0,MAX(0,BH113-10)*BH112))+((IF(BH112&lt;=0,0,IF(WEEKDAY(BH$6,1)=1,0,MIN(10,BH113)*BH112)))-MIN(IF(BH112&lt;=0,0,IF(WEEKDAY(BH$6,1)=1,0,MIN(10,BH113)*BH112)),MAX(0,40*MAX(1,BH112)-(0)))))</f>
        <v>0</v>
      </c>
      <c r="BI115" s="63">
        <f>IF(AND(BI112=1,BI113=10),0,IF(BI112&lt;=0,0,IF(WEEKDAY(BI$6,1)=1,0,MAX(0,BI113-10)*BI112))+((IF(BI112&lt;=0,0,IF(WEEKDAY(BI$6,1)=1,0,MIN(10,BI113)*BI112)))-MIN(IF(BI112&lt;=0,0,IF(WEEKDAY(BI$6,1)=1,0,MIN(10,BI113)*BI112)),MAX(0,40*MAX(1,BI112)-(BH114)))))</f>
        <v>0</v>
      </c>
      <c r="BJ115" s="63">
        <f>IF(AND(BJ112=1,BJ113=10),0,IF(BJ112&lt;=0,0,IF(WEEKDAY(BJ$6,1)=1,0,MAX(0,BJ113-10)*BJ112))+((IF(BJ112&lt;=0,0,IF(WEEKDAY(BJ$6,1)=1,0,MIN(10,BJ113)*BJ112)))-MIN(IF(BJ112&lt;=0,0,IF(WEEKDAY(BJ$6,1)=1,0,MIN(10,BJ113)*BJ112)),MAX(0,40*MAX(1,BJ112)-(BH114+BI114)))))</f>
        <v>0</v>
      </c>
      <c r="BK115" s="63">
        <f>IF(AND(BK112=1,BK113=10),0,IF(BK112&lt;=0,0,IF(WEEKDAY(BK$6,1)=1,0,MAX(0,BK113-10)*BK112))+((IF(BK112&lt;=0,0,IF(WEEKDAY(BK$6,1)=1,0,MIN(10,BK113)*BK112)))-MIN(IF(BK112&lt;=0,0,IF(WEEKDAY(BK$6,1)=1,0,MIN(10,BK113)*BK112)),MAX(0,40*MAX(1,BK112)-(BH114+BI114+BJ114)))))</f>
        <v>0</v>
      </c>
      <c r="BL115" s="63">
        <f>IF(AND(BL112=1,BL113=10),10,IF(BL112&lt;=0,0,IF(WEEKDAY(BL$6,1)=1,0,MAX(0,BL113-10)*BL112))+((IF(BL112&lt;=0,0,IF(WEEKDAY(BL$6,1)=1,0,MIN(10,BL113)*BL112)))-MIN(IF(BL112&lt;=0,0,IF(WEEKDAY(BL$6,1)=1,0,MIN(10,BL113)*BL112)),MAX(0,40*MAX(1,BL112)-(BH114+BI114+BJ114+BK114)))))</f>
        <v>10</v>
      </c>
      <c r="BM115" s="64">
        <f>IF(AND(BM112=1,BM113=10),10,IF(BM112&lt;=0,0,IF(WEEKDAY(BM$6,1)=1,0,MAX(0,BM113-10)*BM112))+((IF(BM112&lt;=0,0,IF(WEEKDAY(BM$6,1)=1,0,MIN(10,BM113)*BM112)))-MIN(IF(BM112&lt;=0,0,IF(WEEKDAY(BM$6,1)=1,0,MIN(10,BM113)*BM112)),MAX(0,40*MAX(1,BM112)-(BH114+BI114+BJ114+BK114+BL114)))))</f>
        <v>10</v>
      </c>
      <c r="BN115" s="64">
        <f>IF(AND(BN112=1,BN113=10),0,IF(BN112&lt;=0,0,IF(WEEKDAY(BN$6,1)=1,0,MAX(0,BN113-10)*BN112))+((IF(BN112&lt;=0,0,IF(WEEKDAY(BN$6,1)=1,0,MIN(10,BN113)*BN112)))-MIN(IF(BN112&lt;=0,0,IF(WEEKDAY(BN$6,1)=1,0,MIN(10,BN113)*BN112)),MAX(0,40*MAX(1,BN112)-(BH114+BI114+BJ114+BK114+BL114+BM114)))))</f>
        <v>0</v>
      </c>
      <c r="BO115" s="63">
        <f>IF(AND(BO112=1,BO113=10),0,IF(BO112&lt;=0,0,IF(WEEKDAY(BO$6,1)=1,0,MAX(0,BO113-10)*BO112))+((IF(BO112&lt;=0,0,IF(WEEKDAY(BO$6,1)=1,0,MIN(10,BO113)*BO112)))-MIN(IF(BO112&lt;=0,0,IF(WEEKDAY(BO$6,1)=1,0,MIN(10,BO113)*BO112)),MAX(0,40*MAX(1,BO112)-(0)))))</f>
        <v>0</v>
      </c>
      <c r="BP115" s="63">
        <f>IF(AND(BP112=1,BP113=10),0,IF(BP112&lt;=0,0,IF(WEEKDAY(BP$6,1)=1,0,MAX(0,BP113-10)*BP112))+((IF(BP112&lt;=0,0,IF(WEEKDAY(BP$6,1)=1,0,MIN(10,BP113)*BP112)))-MIN(IF(BP112&lt;=0,0,IF(WEEKDAY(BP$6,1)=1,0,MIN(10,BP113)*BP112)),MAX(0,40*MAX(1,BP112)-(BO114)))))</f>
        <v>0</v>
      </c>
      <c r="BQ115" s="63">
        <f>IF(AND(BQ112=1,BQ113=10),0,IF(BQ112&lt;=0,0,IF(WEEKDAY(BQ$6,1)=1,0,MAX(0,BQ113-10)*BQ112))+((IF(BQ112&lt;=0,0,IF(WEEKDAY(BQ$6,1)=1,0,MIN(10,BQ113)*BQ112)))-MIN(IF(BQ112&lt;=0,0,IF(WEEKDAY(BQ$6,1)=1,0,MIN(10,BQ113)*BQ112)),MAX(0,40*MAX(1,BQ112)-(BO114+BP114)))))</f>
        <v>0</v>
      </c>
      <c r="BR115" s="63">
        <f>IF(AND(BR112=1,BR113=10),0,IF(BR112&lt;=0,0,IF(WEEKDAY(BR$6,1)=1,0,MAX(0,BR113-10)*BR112))+((IF(BR112&lt;=0,0,IF(WEEKDAY(BR$6,1)=1,0,MIN(10,BR113)*BR112)))-MIN(IF(BR112&lt;=0,0,IF(WEEKDAY(BR$6,1)=1,0,MIN(10,BR113)*BR112)),MAX(0,40*MAX(1,BR112)-(0)))))</f>
        <v>0</v>
      </c>
      <c r="BS115" s="63">
        <f>IF(AND(BS112=1,BS113=10),0,IF(BS112&lt;=0,0,IF(WEEKDAY(BS$6,1)=1,0,MAX(0,BS113-10)*BS112))+((IF(BS112&lt;=0,0,IF(WEEKDAY(BS$6,1)=1,0,MIN(10,BS113)*BS112)))-MIN(IF(BS112&lt;=0,0,IF(WEEKDAY(BS$6,1)=1,0,MIN(10,BS113)*BS112)),MAX(0,40*MAX(1,BS112)-(BR114)))))</f>
        <v>0</v>
      </c>
      <c r="BT115" s="64">
        <f>IF(AND(BT112=1,BT113=10),0,IF(BT112&lt;=0,0,IF(WEEKDAY(BT$6,1)=1,0,MAX(0,BT113-10)*BT112))+((IF(BT112&lt;=0,0,IF(WEEKDAY(BT$6,1)=1,0,MIN(10,BT113)*BT112)))-MIN(IF(BT112&lt;=0,0,IF(WEEKDAY(BT$6,1)=1,0,MIN(10,BT113)*BT112)),MAX(0,40*MAX(1,BT112)-(BR114+BS114)))))</f>
        <v>0</v>
      </c>
      <c r="BU115" s="64">
        <f>IF(AND(BU112=1,BU113=10),0,IF(BU112&lt;=0,0,IF(WEEKDAY(BU$6,1)=1,0,MAX(0,BU113-10)*BU112))+((IF(BU112&lt;=0,0,IF(WEEKDAY(BU$6,1)=1,0,MIN(10,BU113)*BU112)))-MIN(IF(BU112&lt;=0,0,IF(WEEKDAY(BU$6,1)=1,0,MIN(10,BU113)*BU112)),MAX(0,40*MAX(1,BU112)-(BR114+BS114+BT114)))))</f>
        <v>0</v>
      </c>
      <c r="BV115" s="63">
        <f>IF(AND(BV112=1,BV113=10),0,IF(BV112&lt;=0,0,IF(WEEKDAY(BV$6,1)=1,0,MAX(0,BV113-10)*BV112))+((IF(BV112&lt;=0,0,IF(WEEKDAY(BV$6,1)=1,0,MIN(10,BV113)*BV112)))-MIN(IF(BV112&lt;=0,0,IF(WEEKDAY(BV$6,1)=1,0,MIN(10,BV113)*BV112)),MAX(0,40*MAX(1,BV112)-(0)))))</f>
        <v>0</v>
      </c>
      <c r="BW115" s="63">
        <f>IF(AND(BW112=1,BW113=10),0,IF(BW112&lt;=0,0,IF(WEEKDAY(BW$6,1)=1,0,MAX(0,BW113-10)*BW112))+((IF(BW112&lt;=0,0,IF(WEEKDAY(BW$6,1)=1,0,MIN(10,BW113)*BW112)))-MIN(IF(BW112&lt;=0,0,IF(WEEKDAY(BW$6,1)=1,0,MIN(10,BW113)*BW112)),MAX(0,40*MAX(1,BW112)-(BV114)))))</f>
        <v>0</v>
      </c>
      <c r="BX115" s="63">
        <f>IF(AND(BX112=1,BX113=10),0,IF(BX112&lt;=0,0,IF(WEEKDAY(BX$6,1)=1,0,MAX(0,BX113-10)*BX112))+((IF(BX112&lt;=0,0,IF(WEEKDAY(BX$6,1)=1,0,MIN(10,BX113)*BX112)))-MIN(IF(BX112&lt;=0,0,IF(WEEKDAY(BX$6,1)=1,0,MIN(10,BX113)*BX112)),MAX(0,40*MAX(1,BX112)-(BV114+BW114)))))</f>
        <v>0</v>
      </c>
      <c r="BY115" s="63">
        <f>IF(AND(BY112=1,BY113=10),0,IF(BY112&lt;=0,0,IF(WEEKDAY(BY$6,1)=1,0,MAX(0,BY113-10)*BY112))+((IF(BY112&lt;=0,0,IF(WEEKDAY(BY$6,1)=1,0,MIN(10,BY113)*BY112)))-MIN(IF(BY112&lt;=0,0,IF(WEEKDAY(BY$6,1)=1,0,MIN(10,BY113)*BY112)),MAX(0,40*MAX(1,BY112)-(BV114+BW114+BX114)))))</f>
        <v>0</v>
      </c>
      <c r="BZ115" s="63">
        <f>IF(AND(BZ112=1,BZ113=10),10,IF(BZ112&lt;=0,0,IF(WEEKDAY(BZ$6,1)=1,0,MAX(0,BZ113-10)*BZ112))+((IF(BZ112&lt;=0,0,IF(WEEKDAY(BZ$6,1)=1,0,MIN(10,BZ113)*BZ112)))-MIN(IF(BZ112&lt;=0,0,IF(WEEKDAY(BZ$6,1)=1,0,MIN(10,BZ113)*BZ112)),MAX(0,40*MAX(1,BZ112)-(BV114+BW114+BX114+BY114)))))</f>
        <v>10</v>
      </c>
      <c r="CA115" s="64">
        <f>IF(AND(CA112=1,CA113=10),10,IF(CA112&lt;=0,0,IF(WEEKDAY(CA$6,1)=1,0,MAX(0,CA113-10)*CA112))+((IF(CA112&lt;=0,0,IF(WEEKDAY(CA$6,1)=1,0,MIN(10,CA113)*CA112)))-MIN(IF(CA112&lt;=0,0,IF(WEEKDAY(CA$6,1)=1,0,MIN(10,CA113)*CA112)),MAX(0,40*MAX(1,CA112)-(BV114+BW114+BX114+BY114+BZ114)))))</f>
        <v>10</v>
      </c>
      <c r="CB115" s="64">
        <f>IF(AND(CB112=1,CB113=10),0,IF(CB112&lt;=0,0,IF(WEEKDAY(CB$6,1)=1,0,MAX(0,CB113-10)*CB112))+((IF(CB112&lt;=0,0,IF(WEEKDAY(CB$6,1)=1,0,MIN(10,CB113)*CB112)))-MIN(IF(CB112&lt;=0,0,IF(WEEKDAY(CB$6,1)=1,0,MIN(10,CB113)*CB112)),MAX(0,40*MAX(1,CB112)-(BV114+BW114+BX114+BY114+BZ114+CA114)))))</f>
        <v>0</v>
      </c>
      <c r="CC115" s="63">
        <f>IF(AND(CC112=1,CC113=10),0,IF(CC112&lt;=0,0,IF(WEEKDAY(CC$6,1)=1,0,MAX(0,CC113-10)*CC112))+((IF(CC112&lt;=0,0,IF(WEEKDAY(CC$6,1)=1,0,MIN(10,CC113)*CC112)))-MIN(IF(CC112&lt;=0,0,IF(WEEKDAY(CC$6,1)=1,0,MIN(10,CC113)*CC112)),MAX(0,40*MAX(1,CC112)-(0)))))</f>
        <v>0</v>
      </c>
      <c r="CD115" s="63">
        <f>IF(AND(CD112=1,CD113=10),0,IF(CD112&lt;=0,0,IF(WEEKDAY(CD$6,1)=1,0,MAX(0,CD113-10)*CD112))+((IF(CD112&lt;=0,0,IF(WEEKDAY(CD$6,1)=1,0,MIN(10,CD113)*CD112)))-MIN(IF(CD112&lt;=0,0,IF(WEEKDAY(CD$6,1)=1,0,MIN(10,CD113)*CD112)),MAX(0,40*MAX(1,CD112)-(CC114)))))</f>
        <v>0</v>
      </c>
      <c r="CE115" s="63">
        <f>IF(AND(CE112=1,CE113=10),0,IF(CE112&lt;=0,0,IF(WEEKDAY(CE$6,1)=1,0,MAX(0,CE113-10)*CE112))+((IF(CE112&lt;=0,0,IF(WEEKDAY(CE$6,1)=1,0,MIN(10,CE113)*CE112)))-MIN(IF(CE112&lt;=0,0,IF(WEEKDAY(CE$6,1)=1,0,MIN(10,CE113)*CE112)),MAX(0,40*MAX(1,CE112)-(CC114+CD114)))))</f>
        <v>0</v>
      </c>
      <c r="CF115" s="63">
        <f>IF(AND(CF112=1,CF113=10),0,IF(CF112&lt;=0,0,IF(WEEKDAY(CF$6,1)=1,0,MAX(0,CF113-10)*CF112))+((IF(CF112&lt;=0,0,IF(WEEKDAY(CF$6,1)=1,0,MIN(10,CF113)*CF112)))-MIN(IF(CF112&lt;=0,0,IF(WEEKDAY(CF$6,1)=1,0,MIN(10,CF113)*CF112)),MAX(0,40*MAX(1,CF112)-(CC114+CD114+CE114)))))</f>
        <v>0</v>
      </c>
      <c r="CG115" s="63">
        <f>IF(AND(CG112=1,CG113=10),10,IF(CG112&lt;=0,0,IF(WEEKDAY(CG$6,1)=1,0,MAX(0,CG113-10)*CG112))+((IF(CG112&lt;=0,0,IF(WEEKDAY(CG$6,1)=1,0,MIN(10,CG113)*CG112)))-MIN(IF(CG112&lt;=0,0,IF(WEEKDAY(CG$6,1)=1,0,MIN(10,CG113)*CG112)),MAX(0,40*MAX(1,CG112)-(CC114+CD114+CE114+CF114)))))</f>
        <v>10</v>
      </c>
      <c r="CH115" s="64">
        <f>IF(AND(CH112=1,CH113=10),10,IF(CH112&lt;=0,0,IF(WEEKDAY(CH$6,1)=1,0,MAX(0,CH113-10)*CH112))+((IF(CH112&lt;=0,0,IF(WEEKDAY(CH$6,1)=1,0,MIN(10,CH113)*CH112)))-MIN(IF(CH112&lt;=0,0,IF(WEEKDAY(CH$6,1)=1,0,MIN(10,CH113)*CH112)),MAX(0,40*MAX(1,CH112)-(CC114+CD114+CE114+CF114+CG114)))))</f>
        <v>10</v>
      </c>
      <c r="CI115" s="64">
        <f>IF(AND(CI112=1,CI113=10),0,IF(CI112&lt;=0,0,IF(WEEKDAY(CI$6,1)=1,0,MAX(0,CI113-10)*CI112))+((IF(CI112&lt;=0,0,IF(WEEKDAY(CI$6,1)=1,0,MIN(10,CI113)*CI112)))-MIN(IF(CI112&lt;=0,0,IF(WEEKDAY(CI$6,1)=1,0,MIN(10,CI113)*CI112)),MAX(0,40*MAX(1,CI112)-(CC114+CD114+CE114+CF114+CG114+CH114)))))</f>
        <v>0</v>
      </c>
      <c r="CJ115" s="63">
        <f>IF(AND(CJ112=1,CJ113=10),0,IF(CJ112&lt;=0,0,IF(WEEKDAY(CJ$6,1)=1,0,MAX(0,CJ113-10)*CJ112))+((IF(CJ112&lt;=0,0,IF(WEEKDAY(CJ$6,1)=1,0,MIN(10,CJ113)*CJ112)))-MIN(IF(CJ112&lt;=0,0,IF(WEEKDAY(CJ$6,1)=1,0,MIN(10,CJ113)*CJ112)),MAX(0,40*MAX(1,CJ112)-(0)))))</f>
        <v>0</v>
      </c>
      <c r="CK115" s="63">
        <f>IF(AND(CK112=1,CK113=10),0,IF(CK112&lt;=0,0,IF(WEEKDAY(CK$6,1)=1,0,MAX(0,CK113-10)*CK112))+((IF(CK112&lt;=0,0,IF(WEEKDAY(CK$6,1)=1,0,MIN(10,CK113)*CK112)))-MIN(IF(CK112&lt;=0,0,IF(WEEKDAY(CK$6,1)=1,0,MIN(10,CK113)*CK112)),MAX(0,40*MAX(1,CK112)-(CJ114)))))</f>
        <v>0</v>
      </c>
      <c r="CL115" s="63">
        <f>IF(AND(CL112=1,CL113=10),0,IF(CL112&lt;=0,0,IF(WEEKDAY(CL$6,1)=1,0,MAX(0,CL113-10)*CL112))+((IF(CL112&lt;=0,0,IF(WEEKDAY(CL$6,1)=1,0,MIN(10,CL113)*CL112)))-MIN(IF(CL112&lt;=0,0,IF(WEEKDAY(CL$6,1)=1,0,MIN(10,CL113)*CL112)),MAX(0,40*MAX(1,CL112)-(CJ114+CK114)))))</f>
        <v>0</v>
      </c>
      <c r="CM115" s="63">
        <f>IF(AND(CM112=1,CM113=10),0,IF(CM112&lt;=0,0,IF(WEEKDAY(CM$6,1)=1,0,MAX(0,CM113-10)*CM112))+((IF(CM112&lt;=0,0,IF(WEEKDAY(CM$6,1)=1,0,MIN(10,CM113)*CM112)))-MIN(IF(CM112&lt;=0,0,IF(WEEKDAY(CM$6,1)=1,0,MIN(10,CM113)*CM112)),MAX(0,40*MAX(1,CM112)-(CJ114+CK114+CL114)))))</f>
        <v>0</v>
      </c>
      <c r="CN115" s="63">
        <f>IF(AND(CN112=1,CN113=10),10,IF(CN112&lt;=0,0,IF(WEEKDAY(CN$6,1)=1,0,MAX(0,CN113-10)*CN112))+((IF(CN112&lt;=0,0,IF(WEEKDAY(CN$6,1)=1,0,MIN(10,CN113)*CN112)))-MIN(IF(CN112&lt;=0,0,IF(WEEKDAY(CN$6,1)=1,0,MIN(10,CN113)*CN112)),MAX(0,40*MAX(1,CN112)-(CJ114+CK114+CL114+CM114)))))</f>
        <v>10</v>
      </c>
      <c r="CO115" s="64">
        <f>IF(AND(CO112=1,CO113=10),10,IF(CO112&lt;=0,0,IF(WEEKDAY(CO$6,1)=1,0,MAX(0,CO113-10)*CO112))+((IF(CO112&lt;=0,0,IF(WEEKDAY(CO$6,1)=1,0,MIN(10,CO113)*CO112)))-MIN(IF(CO112&lt;=0,0,IF(WEEKDAY(CO$6,1)=1,0,MIN(10,CO113)*CO112)),MAX(0,40*MAX(1,CO112)-(CJ114+CK114+CL114+CM114+CN114)))))</f>
        <v>10</v>
      </c>
      <c r="CP115" s="64">
        <f>IF(AND(CP112=1,CP113=10),0,IF(CP112&lt;=0,0,IF(WEEKDAY(CP$6,1)=1,0,MAX(0,CP113-10)*CP112))+((IF(CP112&lt;=0,0,IF(WEEKDAY(CP$6,1)=1,0,MIN(10,CP113)*CP112)))-MIN(IF(CP112&lt;=0,0,IF(WEEKDAY(CP$6,1)=1,0,MIN(10,CP113)*CP112)),MAX(0,40*MAX(1,CP112)-(CJ114+CK114+CL114+CM114+CN114+CO114)))))</f>
        <v>0</v>
      </c>
      <c r="CQ115" s="63">
        <f>IF(AND(CQ112=1,CQ113=10),0,IF(CQ112&lt;=0,0,IF(WEEKDAY(CQ$6,1)=1,0,MAX(0,CQ113-10)*CQ112))+((IF(CQ112&lt;=0,0,IF(WEEKDAY(CQ$6,1)=1,0,MIN(10,CQ113)*CQ112)))-MIN(IF(CQ112&lt;=0,0,IF(WEEKDAY(CQ$6,1)=1,0,MIN(10,CQ113)*CQ112)),MAX(0,40*MAX(1,CQ112)-(0)))))</f>
        <v>0</v>
      </c>
      <c r="CR115" s="63">
        <f>IF(AND(CR112=1,CR113=10),0,IF(CR112&lt;=0,0,IF(WEEKDAY(CR$6,1)=1,0,MAX(0,CR113-10)*CR112))+((IF(CR112&lt;=0,0,IF(WEEKDAY(CR$6,1)=1,0,MIN(10,CR113)*CR112)))-MIN(IF(CR112&lt;=0,0,IF(WEEKDAY(CR$6,1)=1,0,MIN(10,CR113)*CR112)),MAX(0,40*MAX(1,CR112)-(CQ114)))))</f>
        <v>0</v>
      </c>
      <c r="CS115" s="63">
        <f>IF(AND(CS112=1,CS113=10),0,IF(CS112&lt;=0,0,IF(WEEKDAY(CS$6,1)=1,0,MAX(0,CS113-10)*CS112))+((IF(CS112&lt;=0,0,IF(WEEKDAY(CS$6,1)=1,0,MIN(10,CS113)*CS112)))-MIN(IF(CS112&lt;=0,0,IF(WEEKDAY(CS$6,1)=1,0,MIN(10,CS113)*CS112)),MAX(0,40*MAX(1,CS112)-(CQ114+CR114)))))</f>
        <v>0</v>
      </c>
      <c r="CT115" s="63">
        <f>IF(AND(CT112=1,CT113=10),0,IF(CT112&lt;=0,0,IF(WEEKDAY(CT$6,1)=1,0,MAX(0,CT113-10)*CT112))+((IF(CT112&lt;=0,0,IF(WEEKDAY(CT$6,1)=1,0,MIN(10,CT113)*CT112)))-MIN(IF(CT112&lt;=0,0,IF(WEEKDAY(CT$6,1)=1,0,MIN(10,CT113)*CT112)),MAX(0,40*MAX(1,CT112)-(CQ114+CR114+CS114)))))</f>
        <v>0</v>
      </c>
      <c r="CU115" s="63">
        <f>IF(AND(CU112=1,CU113=10),10,IF(CU112&lt;=0,0,IF(WEEKDAY(CU$6,1)=1,0,MAX(0,CU113-10)*CU112))+((IF(CU112&lt;=0,0,IF(WEEKDAY(CU$6,1)=1,0,MIN(10,CU113)*CU112)))-MIN(IF(CU112&lt;=0,0,IF(WEEKDAY(CU$6,1)=1,0,MIN(10,CU113)*CU112)),MAX(0,40*MAX(1,CU112)-(CQ114+CR114+CS114+CT114)))))</f>
        <v>10</v>
      </c>
      <c r="CV115" s="64">
        <f>IF(AND(CV112=1,CV113=10),10,IF(CV112&lt;=0,0,IF(WEEKDAY(CV$6,1)=1,0,MAX(0,CV113-10)*CV112))+((IF(CV112&lt;=0,0,IF(WEEKDAY(CV$6,1)=1,0,MIN(10,CV113)*CV112)))-MIN(IF(CV112&lt;=0,0,IF(WEEKDAY(CV$6,1)=1,0,MIN(10,CV113)*CV112)),MAX(0,40*MAX(1,CV112)-(CQ114+CR114+CS114+CT114+CU114)))))</f>
        <v>10</v>
      </c>
      <c r="CW115" s="64">
        <f>IF(AND(CW112=1,CW113=10),0,IF(CW112&lt;=0,0,IF(WEEKDAY(CW$6,1)=1,0,MAX(0,CW113-10)*CW112))+((IF(CW112&lt;=0,0,IF(WEEKDAY(CW$6,1)=1,0,MIN(10,CW113)*CW112)))-MIN(IF(CW112&lt;=0,0,IF(WEEKDAY(CW$6,1)=1,0,MIN(10,CW113)*CW112)),MAX(0,40*MAX(1,CW112)-(CQ114+CR114+CS114+CT114+CU114+CV114)))))</f>
        <v>0</v>
      </c>
      <c r="CX115" s="63">
        <f>IF(AND(CX112=1,CX113=10),0,IF(CX112&lt;=0,0,IF(WEEKDAY(CX$6,1)=1,0,MAX(0,CX113-10)*CX112))+((IF(CX112&lt;=0,0,IF(WEEKDAY(CX$6,1)=1,0,MIN(10,CX113)*CX112)))-MIN(IF(CX112&lt;=0,0,IF(WEEKDAY(CX$6,1)=1,0,MIN(10,CX113)*CX112)),MAX(0,40*MAX(1,CX112)-(0)))))</f>
        <v>0</v>
      </c>
      <c r="CY115" s="63">
        <f>IF(AND(CY112=1,CY113=10),0,IF(CY112&lt;=0,0,IF(WEEKDAY(CY$6,1)=1,0,MAX(0,CY113-10)*CY112))+((IF(CY112&lt;=0,0,IF(WEEKDAY(CY$6,1)=1,0,MIN(10,CY113)*CY112)))-MIN(IF(CY112&lt;=0,0,IF(WEEKDAY(CY$6,1)=1,0,MIN(10,CY113)*CY112)),MAX(0,40*MAX(1,CY112)-(CX114)))))</f>
        <v>0</v>
      </c>
      <c r="CZ115" s="63">
        <f>IF(AND(CZ112=1,CZ113=10),0,IF(CZ112&lt;=0,0,IF(WEEKDAY(CZ$6,1)=1,0,MAX(0,CZ113-10)*CZ112))+((IF(CZ112&lt;=0,0,IF(WEEKDAY(CZ$6,1)=1,0,MIN(10,CZ113)*CZ112)))-MIN(IF(CZ112&lt;=0,0,IF(WEEKDAY(CZ$6,1)=1,0,MIN(10,CZ113)*CZ112)),MAX(0,40*MAX(1,CZ112)-(CX114+CY114)))))</f>
        <v>0</v>
      </c>
      <c r="DA115" s="63">
        <f>IF(AND(DA112=1,DA113=10),0,IF(DA112&lt;=0,0,IF(WEEKDAY(DA$6,1)=1,0,MAX(0,DA113-10)*DA112))+((IF(DA112&lt;=0,0,IF(WEEKDAY(DA$6,1)=1,0,MIN(10,DA113)*DA112)))-MIN(IF(DA112&lt;=0,0,IF(WEEKDAY(DA$6,1)=1,0,MIN(10,DA113)*DA112)),MAX(0,40*MAX(1,DA112)-(CX114+CY114+CZ114)))))</f>
        <v>0</v>
      </c>
      <c r="DB115" s="63">
        <f>IF(AND(DB112=1,DB113=10),10,IF(DB112&lt;=0,0,IF(WEEKDAY(DB$6,1)=1,0,MAX(0,DB113-10)*DB112))+((IF(DB112&lt;=0,0,IF(WEEKDAY(DB$6,1)=1,0,MIN(10,DB113)*DB112)))-MIN(IF(DB112&lt;=0,0,IF(WEEKDAY(DB$6,1)=1,0,MIN(10,DB113)*DB112)),MAX(0,40*MAX(1,DB112)-(CX114+CY114+CZ114+DA114)))))</f>
        <v>10</v>
      </c>
      <c r="DC115" s="64">
        <f>IF(AND(DC112=1,DC113=10),10,IF(DC112&lt;=0,0,IF(WEEKDAY(DC$6,1)=1,0,MAX(0,DC113-10)*DC112))+((IF(DC112&lt;=0,0,IF(WEEKDAY(DC$6,1)=1,0,MIN(10,DC113)*DC112)))-MIN(IF(DC112&lt;=0,0,IF(WEEKDAY(DC$6,1)=1,0,MIN(10,DC113)*DC112)),MAX(0,40*MAX(1,DC112)-(CX114+CY114+CZ114+DA114+DB114)))))</f>
        <v>10</v>
      </c>
      <c r="DD115" s="64">
        <f>IF(AND(DD112=1,DD113=10),0,IF(DD112&lt;=0,0,IF(WEEKDAY(DD$6,1)=1,0,MAX(0,DD113-10)*DD112))+((IF(DD112&lt;=0,0,IF(WEEKDAY(DD$6,1)=1,0,MIN(10,DD113)*DD112)))-MIN(IF(DD112&lt;=0,0,IF(WEEKDAY(DD$6,1)=1,0,MIN(10,DD113)*DD112)),MAX(0,40*MAX(1,DD112)-(0)))))</f>
        <v>0</v>
      </c>
      <c r="DE115" s="63">
        <f>IF(AND(DE112=1,DE113=10),0,IF(DE112&lt;=0,0,IF(WEEKDAY(DE$6,1)=1,0,MAX(0,DE113-10)*DE112))+((IF(DE112&lt;=0,0,IF(WEEKDAY(DE$6,1)=1,0,MIN(10,DE113)*DE112)))-MIN(IF(DE112&lt;=0,0,IF(WEEKDAY(DE$6,1)=1,0,MIN(10,DE113)*DE112)),MAX(0,40*MAX(1,DE112)-(0)))))</f>
        <v>0</v>
      </c>
      <c r="DF115" s="63">
        <f>IF(AND(DF112=1,DF113=10),0,IF(DF112&lt;=0,0,IF(WEEKDAY(DF$6,1)=1,0,MAX(0,DF113-10)*DF112))+((IF(DF112&lt;=0,0,IF(WEEKDAY(DF$6,1)=1,0,MIN(10,DF113)*DF112)))-MIN(IF(DF112&lt;=0,0,IF(WEEKDAY(DF$6,1)=1,0,MIN(10,DF113)*DF112)),MAX(0,40*MAX(1,DF112)-(DE114)))))</f>
        <v>0</v>
      </c>
      <c r="DG115" s="63">
        <f>IF(AND(DG112=1,DG113=10),0,IF(DG112&lt;=0,0,IF(WEEKDAY(DG$6,1)=1,0,MAX(0,DG113-10)*DG112))+((IF(DG112&lt;=0,0,IF(WEEKDAY(DG$6,1)=1,0,MIN(10,DG113)*DG112)))-MIN(IF(DG112&lt;=0,0,IF(WEEKDAY(DG$6,1)=1,0,MIN(10,DG113)*DG112)),MAX(0,40*MAX(1,DG112)-(DE114+DF114)))))</f>
        <v>0</v>
      </c>
      <c r="DH115" s="63">
        <f>IF(AND(DH112=1,DH113=10),0,IF(DH112&lt;=0,0,IF(WEEKDAY(DH$6,1)=1,0,MAX(0,DH113-10)*DH112))+((IF(DH112&lt;=0,0,IF(WEEKDAY(DH$6,1)=1,0,MIN(10,DH113)*DH112)))-MIN(IF(DH112&lt;=0,0,IF(WEEKDAY(DH$6,1)=1,0,MIN(10,DH113)*DH112)),MAX(0,40*MAX(1,DH112)-(DE114+DF114+DG114)))))</f>
        <v>0</v>
      </c>
      <c r="DI115" s="63">
        <f>IF(AND(DI112=1,DI113=10),10,IF(DI112&lt;=0,0,IF(WEEKDAY(DI$6,1)=1,0,MAX(0,DI113-10)*DI112))+((IF(DI112&lt;=0,0,IF(WEEKDAY(DI$6,1)=1,0,MIN(10,DI113)*DI112)))-MIN(IF(DI112&lt;=0,0,IF(WEEKDAY(DI$6,1)=1,0,MIN(10,DI113)*DI112)),MAX(0,40*MAX(1,DI112)-(DE114+DF114+DG114+DH114)))))</f>
        <v>10</v>
      </c>
      <c r="DJ115" s="64">
        <f>IF(AND(DJ112=1,DJ113=10),10,IF(DJ112&lt;=0,0,IF(WEEKDAY(DJ$6,1)=1,0,MAX(0,DJ113-10)*DJ112))+((IF(DJ112&lt;=0,0,IF(WEEKDAY(DJ$6,1)=1,0,MIN(10,DJ113)*DJ112)))-MIN(IF(DJ112&lt;=0,0,IF(WEEKDAY(DJ$6,1)=1,0,MIN(10,DJ113)*DJ112)),MAX(0,40*MAX(1,DJ112)-(DE114+DF114+DG114+DH114+DI114)))))</f>
        <v>10</v>
      </c>
      <c r="DK115" s="64">
        <f>IF(AND(DK112=1,DK113=10),0,IF(DK112&lt;=0,0,IF(WEEKDAY(DK$6,1)=1,0,MAX(0,DK113-10)*DK112))+((IF(DK112&lt;=0,0,IF(WEEKDAY(DK$6,1)=1,0,MIN(10,DK113)*DK112)))-MIN(IF(DK112&lt;=0,0,IF(WEEKDAY(DK$6,1)=1,0,MIN(10,DK113)*DK112)),MAX(0,40*MAX(1,DK112)-(DE114+DF114+DG114+DH114+DI114+DJ114)))))</f>
        <v>0</v>
      </c>
      <c r="DL115" s="63">
        <f>IF(AND(DL112=1,DL113=10),0,IF(DL112&lt;=0,0,IF(WEEKDAY(DL$6,1)=1,0,MAX(0,DL113-10)*DL112))+((IF(DL112&lt;=0,0,IF(WEEKDAY(DL$6,1)=1,0,MIN(10,DL113)*DL112)))-MIN(IF(DL112&lt;=0,0,IF(WEEKDAY(DL$6,1)=1,0,MIN(10,DL113)*DL112)),MAX(0,40*MAX(1,DL112)-(0)))))</f>
        <v>0</v>
      </c>
      <c r="DM115" s="63">
        <f>IF(AND(DM112=1,DM113=10),0,IF(DM112&lt;=0,0,IF(WEEKDAY(DM$6,1)=1,0,MAX(0,DM113-10)*DM112))+((IF(DM112&lt;=0,0,IF(WEEKDAY(DM$6,1)=1,0,MIN(10,DM113)*DM112)))-MIN(IF(DM112&lt;=0,0,IF(WEEKDAY(DM$6,1)=1,0,MIN(10,DM113)*DM112)),MAX(0,40*MAX(1,DM112)-(DL114)))))</f>
        <v>0</v>
      </c>
      <c r="DN115" s="63">
        <f>IF(AND(DN112=1,DN113=10),0,IF(DN112&lt;=0,0,IF(WEEKDAY(DN$6,1)=1,0,MAX(0,DN113-10)*DN112))+((IF(DN112&lt;=0,0,IF(WEEKDAY(DN$6,1)=1,0,MIN(10,DN113)*DN112)))-MIN(IF(DN112&lt;=0,0,IF(WEEKDAY(DN$6,1)=1,0,MIN(10,DN113)*DN112)),MAX(0,40*MAX(1,DN112)-(DL114+DM114)))))</f>
        <v>0</v>
      </c>
      <c r="DO115" s="63">
        <f>IF(AND(DO112=1,DO113=10),0,IF(DO112&lt;=0,0,IF(WEEKDAY(DO$6,1)=1,0,MAX(0,DO113-10)*DO112))+((IF(DO112&lt;=0,0,IF(WEEKDAY(DO$6,1)=1,0,MIN(10,DO113)*DO112)))-MIN(IF(DO112&lt;=0,0,IF(WEEKDAY(DO$6,1)=1,0,MIN(10,DO113)*DO112)),MAX(0,40*MAX(1,DO112)-(DL114+DM114+DN114)))))</f>
        <v>0</v>
      </c>
      <c r="DP115" s="63">
        <f>IF(AND(DP112=1,DP113=10),10,IF(DP112&lt;=0,0,IF(WEEKDAY(DP$6,1)=1,0,MAX(0,DP113-10)*DP112))+((IF(DP112&lt;=0,0,IF(WEEKDAY(DP$6,1)=1,0,MIN(10,DP113)*DP112)))-MIN(IF(DP112&lt;=0,0,IF(WEEKDAY(DP$6,1)=1,0,MIN(10,DP113)*DP112)),MAX(0,40*MAX(1,DP112)-(DL114+DM114+DN114+DO114)))))</f>
        <v>10</v>
      </c>
      <c r="DQ115" s="64">
        <f>IF(AND(DQ112=1,DQ113=10),10,IF(DQ112&lt;=0,0,IF(WEEKDAY(DQ$6,1)=1,0,MAX(0,DQ113-10)*DQ112))+((IF(DQ112&lt;=0,0,IF(WEEKDAY(DQ$6,1)=1,0,MIN(10,DQ113)*DQ112)))-MIN(IF(DQ112&lt;=0,0,IF(WEEKDAY(DQ$6,1)=1,0,MIN(10,DQ113)*DQ112)),MAX(0,40*MAX(1,DQ112)-(DL114+DM114+DN114+DO114+DP114)))))</f>
        <v>10</v>
      </c>
      <c r="DR115" s="64">
        <f>IF(AND(DR112=1,DR113=10),0,IF(DR112&lt;=0,0,IF(WEEKDAY(DR$6,1)=1,0,MAX(0,DR113-10)*DR112))+((IF(DR112&lt;=0,0,IF(WEEKDAY(DR$6,1)=1,0,MIN(10,DR113)*DR112)))-MIN(IF(DR112&lt;=0,0,IF(WEEKDAY(DR$6,1)=1,0,MIN(10,DR113)*DR112)),MAX(0,40*MAX(1,DR112)-(DL114+DM114+DN114+DO114+DP114+DQ114)))))</f>
        <v>0</v>
      </c>
      <c r="DS115" s="63">
        <f>IF(AND(DS112=1,DS113=10),0,IF(DS112&lt;=0,0,IF(WEEKDAY(DS$6,1)=1,0,MAX(0,DS113-10)*DS112))+((IF(DS112&lt;=0,0,IF(WEEKDAY(DS$6,1)=1,0,MIN(10,DS113)*DS112)))-MIN(IF(DS112&lt;=0,0,IF(WEEKDAY(DS$6,1)=1,0,MIN(10,DS113)*DS112)),MAX(0,40*MAX(1,DS112)-(0)))))</f>
        <v>0</v>
      </c>
      <c r="DT115" s="63">
        <f>IF(AND(DT112=1,DT113=8),0,IF(DT112&lt;=0,0,IF(WEEKDAY(DT$6,1)=1,0,MAX(0,DT113-8)*DT112))+((IF(DT112&lt;=0,0,IF(WEEKDAY(DT$6,1)=1,0,MIN(8,DT113)*DT112)))-MIN(IF(DT112&lt;=0,0,IF(WEEKDAY(DT$6,1)=1,0,MIN(8,DT113)*DT112)),MAX(0,40*MAX(1,DT112)-(0)))))</f>
        <v>0</v>
      </c>
      <c r="DU115" s="63">
        <f>IF(AND(DU112=1,DU113=8),0,IF(DU112&lt;=0,0,IF(WEEKDAY(DU$6,1)=1,0,MAX(0,DU113-8)*DU112))+((IF(DU112&lt;=0,0,IF(WEEKDAY(DU$6,1)=1,0,MIN(8,DU113)*DU112)))-MIN(IF(DU112&lt;=0,0,IF(WEEKDAY(DU$6,1)=1,0,MIN(8,DU113)*DU112)),MAX(0,40*MAX(1,DU112)-(DT114)))))</f>
        <v>0</v>
      </c>
      <c r="DV115" s="63">
        <f>IF(AND(DV112=1,DV113=8),0,IF(DV112&lt;=0,0,IF(WEEKDAY(DV$6,1)=1,0,MAX(0,DV113-8)*DV112))+((IF(DV112&lt;=0,0,IF(WEEKDAY(DV$6,1)=1,0,MIN(8,DV113)*DV112)))-MIN(IF(DV112&lt;=0,0,IF(WEEKDAY(DV$6,1)=1,0,MIN(8,DV113)*DV112)),MAX(0,40*MAX(1,DV112)-(DT114+DU114)))))</f>
        <v>0</v>
      </c>
      <c r="DW115" s="63">
        <f>IF(AND(DW112=1,DW113=8),0,IF(DW112&lt;=0,0,IF(WEEKDAY(DW$6,1)=1,0,MAX(0,DW113-8)*DW112))+((IF(DW112&lt;=0,0,IF(WEEKDAY(DW$6,1)=1,0,MIN(8,DW113)*DW112)))-MIN(IF(DW112&lt;=0,0,IF(WEEKDAY(DW$6,1)=1,0,MIN(8,DW113)*DW112)),MAX(0,40*MAX(1,DW112)-(DT114+DU114+DV114)))))</f>
        <v>0</v>
      </c>
      <c r="DX115" s="64">
        <f>IF(AND(DX112=0,DX113=0),0,IF(DX112&lt;=0,0,IF(WEEKDAY(DX$6,1)=1,0,MAX(0,DX113-10)*DX112))+((IF(DX112&lt;=0,0,IF(WEEKDAY(DX$6,1)=1,0,MIN(10,DX113)*DX112)))-MIN(IF(DX112&lt;=0,0,IF(WEEKDAY(DX$6,1)=1,0,MIN(10,DX113)*DX112)),MAX(0,40*MAX(1,DX112)-(0)))))</f>
        <v>0</v>
      </c>
      <c r="DY115" s="64">
        <f>IF(AND(DY112=0,DY113=0),0,IF(DY112&lt;=0,0,IF(WEEKDAY(DY$6,1)=1,0,MAX(0,DY113-10)*DY112))+((IF(DY112&lt;=0,0,IF(WEEKDAY(DY$6,1)=1,0,MIN(10,DY113)*DY112)))-MIN(IF(DY112&lt;=0,0,IF(WEEKDAY(DY$6,1)=1,0,MIN(10,DY113)*DY112)),MAX(0,40*MAX(1,DY112)-(DX114)))))</f>
        <v>0</v>
      </c>
      <c r="DZ115" s="63">
        <f>IF(AND(DZ112=1,DZ113=8),0,IF(DZ112&lt;=0,0,IF(WEEKDAY(DZ$6,1)=1,0,MAX(0,DZ113-8)*DZ112))+((IF(DZ112&lt;=0,0,IF(WEEKDAY(DZ$6,1)=1,0,MIN(8,DZ113)*DZ112)))-MIN(IF(DZ112&lt;=0,0,IF(WEEKDAY(DZ$6,1)=1,0,MIN(8,DZ113)*DZ112)),MAX(0,40*MAX(1,DZ112)-(0)))))</f>
        <v>0</v>
      </c>
      <c r="EA115" s="63">
        <f>IF(AND(EA112=1,EA113=8),0,IF(EA112&lt;=0,0,IF(WEEKDAY(EA$6,1)=1,0,MAX(0,EA113-8)*EA112))+((IF(EA112&lt;=0,0,IF(WEEKDAY(EA$6,1)=1,0,MIN(8,EA113)*EA112)))-MIN(IF(EA112&lt;=0,0,IF(WEEKDAY(EA$6,1)=1,0,MIN(8,EA113)*EA112)),MAX(0,40*MAX(1,EA112)-(DZ114)))))</f>
        <v>0</v>
      </c>
      <c r="EB115" s="63">
        <f>IF(AND(EB112=1,EB113=8),0,IF(EB112&lt;=0,0,IF(WEEKDAY(EB$6,1)=1,0,MAX(0,EB113-8)*EB112))+((IF(EB112&lt;=0,0,IF(WEEKDAY(EB$6,1)=1,0,MIN(8,EB113)*EB112)))-MIN(IF(EB112&lt;=0,0,IF(WEEKDAY(EB$6,1)=1,0,MIN(8,EB113)*EB112)),MAX(0,40*MAX(1,EB112)-(DZ114+EA114)))))</f>
        <v>0</v>
      </c>
      <c r="EC115" s="63">
        <f>IF(AND(EC112=1,EC113=8),0,IF(EC112&lt;=0,0,IF(WEEKDAY(EC$6,1)=1,0,MAX(0,EC113-8)*EC112))+((IF(EC112&lt;=0,0,IF(WEEKDAY(EC$6,1)=1,0,MIN(8,EC113)*EC112)))-MIN(IF(EC112&lt;=0,0,IF(WEEKDAY(EC$6,1)=1,0,MIN(8,EC113)*EC112)),MAX(0,40*MAX(1,EC112)-(DZ114+EA114+EB114)))))</f>
        <v>0</v>
      </c>
      <c r="ED115" s="63">
        <f>IF(AND(ED112=1,ED113=8),0,IF(ED112&lt;=0,0,IF(WEEKDAY(ED$6,1)=1,0,MAX(0,ED113-8)*ED112))+((IF(ED112&lt;=0,0,IF(WEEKDAY(ED$6,1)=1,0,MIN(8,ED113)*ED112)))-MIN(IF(ED112&lt;=0,0,IF(WEEKDAY(ED$6,1)=1,0,MIN(8,ED113)*ED112)),MAX(0,40*MAX(1,ED112)-(DZ114+EA114+EB114+EC114)))))</f>
        <v>0</v>
      </c>
      <c r="EE115" s="64">
        <f>IF(AND(EE112=0,EE113=0),0,IF(EE112&lt;=0,0,IF(WEEKDAY(EE$6,1)=1,0,MAX(0,EE113-10)*EE112))+((IF(EE112&lt;=0,0,IF(WEEKDAY(EE$6,1)=1,0,MIN(10,EE113)*EE112)))-MIN(IF(EE112&lt;=0,0,IF(WEEKDAY(EE$6,1)=1,0,MIN(10,EE113)*EE112)),MAX(0,40*MAX(1,EE112)-(0)))))</f>
        <v>0</v>
      </c>
      <c r="EF115" s="64">
        <f>IF(AND(EF112=0,EF113=0),0,IF(EF112&lt;=0,0,IF(WEEKDAY(EF$6,1)=1,0,MAX(0,EF113-10)*EF112))+((IF(EF112&lt;=0,0,IF(WEEKDAY(EF$6,1)=1,0,MIN(10,EF113)*EF112)))-MIN(IF(EF112&lt;=0,0,IF(WEEKDAY(EF$6,1)=1,0,MIN(10,EF113)*EF112)),MAX(0,40*MAX(1,EF112)-(EE114)))))</f>
        <v>0</v>
      </c>
      <c r="EG115" s="63">
        <f>IF(AND(EG112=1,EG113=8),0,IF(EG112&lt;=0,0,IF(WEEKDAY(EG$6,1)=1,0,MAX(0,EG113-8)*EG112))+((IF(EG112&lt;=0,0,IF(WEEKDAY(EG$6,1)=1,0,MIN(8,EG113)*EG112)))-MIN(IF(EG112&lt;=0,0,IF(WEEKDAY(EG$6,1)=1,0,MIN(8,EG113)*EG112)),MAX(0,40*MAX(1,EG112)-(0)))))</f>
        <v>0</v>
      </c>
      <c r="EH115" s="63">
        <f>IF(AND(EH112=1,EH113=8),0,IF(EH112&lt;=0,0,IF(WEEKDAY(EH$6,1)=1,0,MAX(0,EH113-8)*EH112))+((IF(EH112&lt;=0,0,IF(WEEKDAY(EH$6,1)=1,0,MIN(8,EH113)*EH112)))-MIN(IF(EH112&lt;=0,0,IF(WEEKDAY(EH$6,1)=1,0,MIN(8,EH113)*EH112)),MAX(0,40*MAX(1,EH112)-(EG114)))))</f>
        <v>0</v>
      </c>
      <c r="EI115" s="63">
        <f>IF(AND(EI112=1,EI113=8),0,IF(EI112&lt;=0,0,IF(WEEKDAY(EI$6,1)=1,0,MAX(0,EI113-8)*EI112))+((IF(EI112&lt;=0,0,IF(WEEKDAY(EI$6,1)=1,0,MIN(8,EI113)*EI112)))-MIN(IF(EI112&lt;=0,0,IF(WEEKDAY(EI$6,1)=1,0,MIN(8,EI113)*EI112)),MAX(0,40*MAX(1,EI112)-(EG114+EH114)))))</f>
        <v>0</v>
      </c>
      <c r="EJ115" s="63">
        <f>IF(AND(EJ112=1,EJ113=8),0,IF(EJ112&lt;=0,0,IF(WEEKDAY(EJ$6,1)=1,0,MAX(0,EJ113-8)*EJ112))+((IF(EJ112&lt;=0,0,IF(WEEKDAY(EJ$6,1)=1,0,MIN(8,EJ113)*EJ112)))-MIN(IF(EJ112&lt;=0,0,IF(WEEKDAY(EJ$6,1)=1,0,MIN(8,EJ113)*EJ112)),MAX(0,40*MAX(1,EJ112)-(EG114+EH114+EI114)))))</f>
        <v>0</v>
      </c>
      <c r="EK115" s="65">
        <f>IF(AND(EK112=1,EK113=8),0,IF(EK112&lt;=0,0,IF(WEEKDAY(EK$6,1)=1,0,MAX(0,EK113-8)*EK112))+((IF(EK112&lt;=0,0,IF(WEEKDAY(EK$6,1)=1,0,MIN(8,EK113)*EK112)))-MIN(IF(EK112&lt;=0,0,IF(WEEKDAY(EK$6,1)=1,0,MIN(8,EK113)*EK112)),MAX(0,40*MAX(1,EK112)-(EG114+EH114+EI114+EJ114)))))</f>
        <v>0</v>
      </c>
      <c r="OU115" s="28" t="s">
        <v>87</v>
      </c>
    </row>
    <row r="116" ht="16" customHeight="1" spans="1:411" x14ac:dyDescent="0.25">
      <c r="A116" s="45"/>
      <c r="B116" s="46"/>
      <c r="C116" s="61">
        <f>H111*N(D116)</f>
        <v>20863.8</v>
      </c>
      <c r="D116" s="61">
        <f>IF(TRIM(B111)="","No rate",IFERROR(INDEX('Rate Tables'!E$7:E$158,MATCH(B111,'Rate Tables'!A$7:A$158,0)),"No rate"))</f>
        <v>231.82</v>
      </c>
      <c r="E116" s="55" t="s">
        <v>64</v>
      </c>
      <c r="F116" s="49"/>
      <c r="G116" s="49"/>
      <c r="H116" s="49"/>
      <c r="I116" s="49"/>
      <c r="J116" s="50"/>
      <c r="K116" s="62">
        <f>IF(AND(K112=1,K113=9),0,IF(K112&lt;=0,0,IF(WEEKDAY(K$6,1)=1,K112*K113,0)))</f>
        <v>0</v>
      </c>
      <c r="L116" s="63">
        <f>IF(AND(L112=1,L113=9),0,IF(L112&lt;=0,0,IF(WEEKDAY(L$6,1)=1,L112*L113,0)))</f>
        <v>0</v>
      </c>
      <c r="M116" s="63">
        <f>IF(AND(M112=1,M113=9),0,IF(M112&lt;=0,0,IF(WEEKDAY(M$6,1)=1,M112*M113,0)))</f>
        <v>0</v>
      </c>
      <c r="N116" s="63">
        <f>IF(AND(N112=1,N113=9),0,IF(N112&lt;=0,0,IF(WEEKDAY(N$6,1)=1,N112*N113,0)))</f>
        <v>0</v>
      </c>
      <c r="O116" s="63">
        <f>IF(AND(O112=1,O113=9),0,IF(O112&lt;=0,0,IF(WEEKDAY(O$6,1)=1,O112*O113,0)))</f>
        <v>0</v>
      </c>
      <c r="P116" s="64">
        <f>IF(AND(P112=0,P113=0),0,IF(P112&lt;=0,0,IF(WEEKDAY(P$6,1)=1,P112*P113,0)))</f>
        <v>0</v>
      </c>
      <c r="Q116" s="64">
        <f>IF(AND(Q112=0,Q113=0),0,IF(Q112&lt;=0,0,IF(WEEKDAY(Q$6,1)=1,Q112*Q113,0)))</f>
        <v>0</v>
      </c>
      <c r="R116" s="63">
        <f>IF(AND(R112=1,R113=9),0,IF(R112&lt;=0,0,IF(WEEKDAY(R$6,1)=1,R112*R113,0)))</f>
        <v>0</v>
      </c>
      <c r="S116" s="63">
        <f>IF(AND(S112=1,S113=9),0,IF(S112&lt;=0,0,IF(WEEKDAY(S$6,1)=1,S112*S113,0)))</f>
        <v>0</v>
      </c>
      <c r="T116" s="63">
        <f>IF(AND(T112=1,T113=9),0,IF(T112&lt;=0,0,IF(WEEKDAY(T$6,1)=1,T112*T113,0)))</f>
        <v>0</v>
      </c>
      <c r="U116" s="63">
        <f>IF(AND(U112=1,U113=9),0,IF(U112&lt;=0,0,IF(WEEKDAY(U$6,1)=1,U112*U113,0)))</f>
        <v>0</v>
      </c>
      <c r="V116" s="63">
        <f>IF(AND(V112=1,V113=9),0,IF(V112&lt;=0,0,IF(WEEKDAY(V$6,1)=1,V112*V113,0)))</f>
        <v>0</v>
      </c>
      <c r="W116" s="64">
        <f>IF(AND(W112=0,W113=0),0,IF(W112&lt;=0,0,IF(WEEKDAY(W$6,1)=1,W112*W113,0)))</f>
        <v>0</v>
      </c>
      <c r="X116" s="64">
        <f>IF(AND(X112=0,X113=0),0,IF(X112&lt;=0,0,IF(WEEKDAY(X$6,1)=1,X112*X113,0)))</f>
        <v>0</v>
      </c>
      <c r="Y116" s="63">
        <f>IF(AND(Y112=1,Y113=9),0,IF(Y112&lt;=0,0,IF(WEEKDAY(Y$6,1)=1,Y112*Y113,0)))</f>
        <v>0</v>
      </c>
      <c r="Z116" s="63">
        <f>IF(AND(Z112=1,Z113=9),0,IF(Z112&lt;=0,0,IF(WEEKDAY(Z$6,1)=1,Z112*Z113,0)))</f>
        <v>0</v>
      </c>
      <c r="AA116" s="63">
        <f>IF(AND(AA112=1,AA113=9),0,IF(AA112&lt;=0,0,IF(WEEKDAY(AA$6,1)=1,AA112*AA113,0)))</f>
        <v>0</v>
      </c>
      <c r="AB116" s="63">
        <f>IF(AND(AB112=1,AB113=9),0,IF(AB112&lt;=0,0,IF(WEEKDAY(AB$6,1)=1,AB112*AB113,0)))</f>
        <v>0</v>
      </c>
      <c r="AC116" s="63">
        <f>IF(AND(AC112=1,AC113=9),0,IF(AC112&lt;=0,0,IF(WEEKDAY(AC$6,1)=1,AC112*AC113,0)))</f>
        <v>0</v>
      </c>
      <c r="AD116" s="64">
        <f>IF(AND(AD112=0,AD113=0),0,IF(AD112&lt;=0,0,IF(WEEKDAY(AD$6,1)=1,AD112*AD113,0)))</f>
        <v>0</v>
      </c>
      <c r="AE116" s="64">
        <f>IF(AND(AE112=0,AE113=0),0,IF(AE112&lt;=0,0,IF(WEEKDAY(AE$6,1)=1,AE112*AE113,0)))</f>
        <v>0</v>
      </c>
      <c r="AF116" s="63">
        <f>IF(AND(AF112=1,AF113=9),0,IF(AF112&lt;=0,0,IF(WEEKDAY(AF$6,1)=1,AF112*AF113,0)))</f>
        <v>0</v>
      </c>
      <c r="AG116" s="63">
        <f>IF(AND(AG112=1,AG113=9),0,IF(AG112&lt;=0,0,IF(WEEKDAY(AG$6,1)=1,AG112*AG113,0)))</f>
        <v>0</v>
      </c>
      <c r="AH116" s="63">
        <f>IF(AND(AH112=1,AH113=9),0,IF(AH112&lt;=0,0,IF(WEEKDAY(AH$6,1)=1,AH112*AH113,0)))</f>
        <v>0</v>
      </c>
      <c r="AI116" s="63">
        <f>IF(AND(AI112=1,AI113=9),0,IF(AI112&lt;=0,0,IF(WEEKDAY(AI$6,1)=1,AI112*AI113,0)))</f>
        <v>0</v>
      </c>
      <c r="AJ116" s="63">
        <f>IF(AND(AJ112=1,AJ113=9),0,IF(AJ112&lt;=0,0,IF(WEEKDAY(AJ$6,1)=1,AJ112*AJ113,0)))</f>
        <v>0</v>
      </c>
      <c r="AK116" s="64">
        <f>IF(AND(AK112=0,AK113=0),0,IF(AK112&lt;=0,0,IF(WEEKDAY(AK$6,1)=1,AK112*AK113,0)))</f>
        <v>0</v>
      </c>
      <c r="AL116" s="64">
        <f>IF(AND(AL112=0,AL113=0),0,IF(AL112&lt;=0,0,IF(WEEKDAY(AL$6,1)=1,AL112*AL113,0)))</f>
        <v>0</v>
      </c>
      <c r="AM116" s="63">
        <f>IF(AND(AM112=1,AM113=9),0,IF(AM112&lt;=0,0,IF(WEEKDAY(AM$6,1)=1,AM112*AM113,0)))</f>
        <v>0</v>
      </c>
      <c r="AN116" s="63">
        <f>IF(AND(AN112=1,AN113=9),0,IF(AN112&lt;=0,0,IF(WEEKDAY(AN$6,1)=1,AN112*AN113,0)))</f>
        <v>0</v>
      </c>
      <c r="AO116" s="63">
        <f>IF(AND(AO112=1,AO113=9),0,IF(AO112&lt;=0,0,IF(WEEKDAY(AO$6,1)=1,AO112*AO113,0)))</f>
        <v>0</v>
      </c>
      <c r="AP116" s="63">
        <f>IF(AND(AP112=4.25,AP113=8),0,IF(AP112&lt;=0,0,IF(WEEKDAY(AP$6,1)=1,AP112*AP113,0)))</f>
        <v>0</v>
      </c>
      <c r="AQ116" s="63">
        <f>IF(AND(AQ112=4.25,AQ113=8),0,IF(AQ112&lt;=0,0,IF(WEEKDAY(AQ$6,1)=1,AQ112*AQ113,0)))</f>
        <v>0</v>
      </c>
      <c r="AR116" s="64">
        <f>IF(AND(AR112=0,AR113=0),0,IF(AR112&lt;=0,0,IF(WEEKDAY(AR$6,1)=1,AR112*AR113,0)))</f>
        <v>0</v>
      </c>
      <c r="AS116" s="64">
        <f>IF(AND(AS112=0,AS113=0),0,IF(AS112&lt;=0,0,IF(WEEKDAY(AS$6,1)=1,AS112*AS113,0)))</f>
        <v>0</v>
      </c>
      <c r="AT116" s="63">
        <f>IF(AND(AT112=1,AT113=9),0,IF(AT112&lt;=0,0,IF(WEEKDAY(AT$6,1)=1,AT112*AT113,0)))</f>
        <v>0</v>
      </c>
      <c r="AU116" s="63">
        <f>IF(AND(AU112=1,AU113=9),0,IF(AU112&lt;=0,0,IF(WEEKDAY(AU$6,1)=1,AU112*AU113,0)))</f>
        <v>0</v>
      </c>
      <c r="AV116" s="63">
        <f>IF(AND(AV112=1,AV113=9),0,IF(AV112&lt;=0,0,IF(WEEKDAY(AV$6,1)=1,AV112*AV113,0)))</f>
        <v>0</v>
      </c>
      <c r="AW116" s="63">
        <f>IF(AND(AW112=1,AW113=9),0,IF(AW112&lt;=0,0,IF(WEEKDAY(AW$6,1)=1,AW112*AW113,0)))</f>
        <v>0</v>
      </c>
      <c r="AX116" s="63">
        <f>IF(AND(AX112=1,AX113=9),0,IF(AX112&lt;=0,0,IF(WEEKDAY(AX$6,1)=1,AX112*AX113,0)))</f>
        <v>0</v>
      </c>
      <c r="AY116" s="64">
        <f>IF(AND(AY112=0,AY113=0),0,IF(AY112&lt;=0,0,IF(WEEKDAY(AY$6,1)=1,AY112*AY113,0)))</f>
        <v>0</v>
      </c>
      <c r="AZ116" s="64">
        <f>IF(AND(AZ112=0,AZ113=0),0,IF(AZ112&lt;=0,0,IF(WEEKDAY(AZ$6,1)=1,AZ112*AZ113,0)))</f>
        <v>0</v>
      </c>
      <c r="BA116" s="63">
        <f>IF(AND(BA112=1,BA113=9),0,IF(BA112&lt;=0,0,IF(WEEKDAY(BA$6,1)=1,BA112*BA113,0)))</f>
        <v>0</v>
      </c>
      <c r="BB116" s="63">
        <f>IF(AND(BB112=1,BB113=9),0,IF(BB112&lt;=0,0,IF(WEEKDAY(BB$6,1)=1,BB112*BB113,0)))</f>
        <v>0</v>
      </c>
      <c r="BC116" s="63">
        <f>IF(AND(BC112=1,BC113=9),0,IF(BC112&lt;=0,0,IF(WEEKDAY(BC$6,1)=1,BC112*BC113,0)))</f>
        <v>0</v>
      </c>
      <c r="BD116" s="63">
        <f>IF(AND(BD112=1,BD113=9),0,IF(BD112&lt;=0,0,IF(WEEKDAY(BD$6,1)=1,BD112*BD113,0)))</f>
        <v>0</v>
      </c>
      <c r="BE116" s="63">
        <f>IF(AND(BE112=1,BE113=9),0,IF(BE112&lt;=0,0,IF(WEEKDAY(BE$6,1)=1,BE112*BE113,0)))</f>
        <v>0</v>
      </c>
      <c r="BF116" s="64">
        <f>IF(AND(BF112=0,BF113=0),0,IF(BF112&lt;=0,0,IF(WEEKDAY(BF$6,1)=1,BF112*BF113,0)))</f>
        <v>0</v>
      </c>
      <c r="BG116" s="64">
        <f>IF(AND(BG112=0,BG113=0),0,IF(BG112&lt;=0,0,IF(WEEKDAY(BG$6,1)=1,BG112*BG113,0)))</f>
        <v>0</v>
      </c>
      <c r="BH116" s="63">
        <f>IF(AND(BH112=1,BH113=10),0,IF(BH112&lt;=0,0,IF(WEEKDAY(BH$6,1)=1,BH112*BH113,0)))</f>
        <v>0</v>
      </c>
      <c r="BI116" s="63">
        <f>IF(AND(BI112=1,BI113=10),0,IF(BI112&lt;=0,0,IF(WEEKDAY(BI$6,1)=1,BI112*BI113,0)))</f>
        <v>0</v>
      </c>
      <c r="BJ116" s="63">
        <f>IF(AND(BJ112=1,BJ113=10),0,IF(BJ112&lt;=0,0,IF(WEEKDAY(BJ$6,1)=1,BJ112*BJ113,0)))</f>
        <v>0</v>
      </c>
      <c r="BK116" s="63">
        <f>IF(AND(BK112=1,BK113=10),0,IF(BK112&lt;=0,0,IF(WEEKDAY(BK$6,1)=1,BK112*BK113,0)))</f>
        <v>0</v>
      </c>
      <c r="BL116" s="63">
        <f>IF(AND(BL112=1,BL113=10),0,IF(BL112&lt;=0,0,IF(WEEKDAY(BL$6,1)=1,BL112*BL113,0)))</f>
        <v>0</v>
      </c>
      <c r="BM116" s="64">
        <f>IF(AND(BM112=1,BM113=10),0,IF(BM112&lt;=0,0,IF(WEEKDAY(BM$6,1)=1,BM112*BM113,0)))</f>
        <v>0</v>
      </c>
      <c r="BN116" s="64">
        <f>IF(AND(BN112=1,BN113=10),10,IF(BN112&lt;=0,0,IF(WEEKDAY(BN$6,1)=1,BN112*BN113,0)))</f>
        <v>10</v>
      </c>
      <c r="BO116" s="63">
        <f>IF(AND(BO112=1,BO113=10),0,IF(BO112&lt;=0,0,IF(WEEKDAY(BO$6,1)=1,BO112*BO113,0)))</f>
        <v>0</v>
      </c>
      <c r="BP116" s="63">
        <f>IF(AND(BP112=1,BP113=10),0,IF(BP112&lt;=0,0,IF(WEEKDAY(BP$6,1)=1,BP112*BP113,0)))</f>
        <v>0</v>
      </c>
      <c r="BQ116" s="63">
        <f>IF(AND(BQ112=1,BQ113=10),0,IF(BQ112&lt;=0,0,IF(WEEKDAY(BQ$6,1)=1,BQ112*BQ113,0)))</f>
        <v>0</v>
      </c>
      <c r="BR116" s="63">
        <f>IF(AND(BR112=1,BR113=10),0,IF(BR112&lt;=0,0,IF(WEEKDAY(BR$6,1)=1,BR112*BR113,0)))</f>
        <v>0</v>
      </c>
      <c r="BS116" s="63">
        <f>IF(AND(BS112=1,BS113=10),0,IF(BS112&lt;=0,0,IF(WEEKDAY(BS$6,1)=1,BS112*BS113,0)))</f>
        <v>0</v>
      </c>
      <c r="BT116" s="64">
        <f>IF(AND(BT112=1,BT113=10),0,IF(BT112&lt;=0,0,IF(WEEKDAY(BT$6,1)=1,BT112*BT113,0)))</f>
        <v>0</v>
      </c>
      <c r="BU116" s="64">
        <f>IF(AND(BU112=1,BU113=10),10,IF(BU112&lt;=0,0,IF(WEEKDAY(BU$6,1)=1,BU112*BU113,0)))</f>
        <v>10</v>
      </c>
      <c r="BV116" s="63">
        <f>IF(AND(BV112=1,BV113=10),0,IF(BV112&lt;=0,0,IF(WEEKDAY(BV$6,1)=1,BV112*BV113,0)))</f>
        <v>0</v>
      </c>
      <c r="BW116" s="63">
        <f>IF(AND(BW112=1,BW113=10),0,IF(BW112&lt;=0,0,IF(WEEKDAY(BW$6,1)=1,BW112*BW113,0)))</f>
        <v>0</v>
      </c>
      <c r="BX116" s="63">
        <f>IF(AND(BX112=1,BX113=10),0,IF(BX112&lt;=0,0,IF(WEEKDAY(BX$6,1)=1,BX112*BX113,0)))</f>
        <v>0</v>
      </c>
      <c r="BY116" s="63">
        <f>IF(AND(BY112=1,BY113=10),0,IF(BY112&lt;=0,0,IF(WEEKDAY(BY$6,1)=1,BY112*BY113,0)))</f>
        <v>0</v>
      </c>
      <c r="BZ116" s="63">
        <f>IF(AND(BZ112=1,BZ113=10),0,IF(BZ112&lt;=0,0,IF(WEEKDAY(BZ$6,1)=1,BZ112*BZ113,0)))</f>
        <v>0</v>
      </c>
      <c r="CA116" s="64">
        <f>IF(AND(CA112=1,CA113=10),0,IF(CA112&lt;=0,0,IF(WEEKDAY(CA$6,1)=1,CA112*CA113,0)))</f>
        <v>0</v>
      </c>
      <c r="CB116" s="64">
        <f>IF(AND(CB112=1,CB113=10),10,IF(CB112&lt;=0,0,IF(WEEKDAY(CB$6,1)=1,CB112*CB113,0)))</f>
        <v>10</v>
      </c>
      <c r="CC116" s="63">
        <f>IF(AND(CC112=1,CC113=10),0,IF(CC112&lt;=0,0,IF(WEEKDAY(CC$6,1)=1,CC112*CC113,0)))</f>
        <v>0</v>
      </c>
      <c r="CD116" s="63">
        <f>IF(AND(CD112=1,CD113=10),0,IF(CD112&lt;=0,0,IF(WEEKDAY(CD$6,1)=1,CD112*CD113,0)))</f>
        <v>0</v>
      </c>
      <c r="CE116" s="63">
        <f>IF(AND(CE112=1,CE113=10),0,IF(CE112&lt;=0,0,IF(WEEKDAY(CE$6,1)=1,CE112*CE113,0)))</f>
        <v>0</v>
      </c>
      <c r="CF116" s="63">
        <f>IF(AND(CF112=1,CF113=10),0,IF(CF112&lt;=0,0,IF(WEEKDAY(CF$6,1)=1,CF112*CF113,0)))</f>
        <v>0</v>
      </c>
      <c r="CG116" s="63">
        <f>IF(AND(CG112=1,CG113=10),0,IF(CG112&lt;=0,0,IF(WEEKDAY(CG$6,1)=1,CG112*CG113,0)))</f>
        <v>0</v>
      </c>
      <c r="CH116" s="64">
        <f>IF(AND(CH112=1,CH113=10),0,IF(CH112&lt;=0,0,IF(WEEKDAY(CH$6,1)=1,CH112*CH113,0)))</f>
        <v>0</v>
      </c>
      <c r="CI116" s="64">
        <f>IF(AND(CI112=1,CI113=10),10,IF(CI112&lt;=0,0,IF(WEEKDAY(CI$6,1)=1,CI112*CI113,0)))</f>
        <v>10</v>
      </c>
      <c r="CJ116" s="63">
        <f>IF(AND(CJ112=1,CJ113=10),0,IF(CJ112&lt;=0,0,IF(WEEKDAY(CJ$6,1)=1,CJ112*CJ113,0)))</f>
        <v>0</v>
      </c>
      <c r="CK116" s="63">
        <f>IF(AND(CK112=1,CK113=10),0,IF(CK112&lt;=0,0,IF(WEEKDAY(CK$6,1)=1,CK112*CK113,0)))</f>
        <v>0</v>
      </c>
      <c r="CL116" s="63">
        <f>IF(AND(CL112=1,CL113=10),0,IF(CL112&lt;=0,0,IF(WEEKDAY(CL$6,1)=1,CL112*CL113,0)))</f>
        <v>0</v>
      </c>
      <c r="CM116" s="63">
        <f>IF(AND(CM112=1,CM113=10),0,IF(CM112&lt;=0,0,IF(WEEKDAY(CM$6,1)=1,CM112*CM113,0)))</f>
        <v>0</v>
      </c>
      <c r="CN116" s="63">
        <f>IF(AND(CN112=1,CN113=10),0,IF(CN112&lt;=0,0,IF(WEEKDAY(CN$6,1)=1,CN112*CN113,0)))</f>
        <v>0</v>
      </c>
      <c r="CO116" s="64">
        <f>IF(AND(CO112=1,CO113=10),0,IF(CO112&lt;=0,0,IF(WEEKDAY(CO$6,1)=1,CO112*CO113,0)))</f>
        <v>0</v>
      </c>
      <c r="CP116" s="64">
        <f>IF(AND(CP112=1,CP113=10),10,IF(CP112&lt;=0,0,IF(WEEKDAY(CP$6,1)=1,CP112*CP113,0)))</f>
        <v>10</v>
      </c>
      <c r="CQ116" s="63">
        <f>IF(AND(CQ112=1,CQ113=10),0,IF(CQ112&lt;=0,0,IF(WEEKDAY(CQ$6,1)=1,CQ112*CQ113,0)))</f>
        <v>0</v>
      </c>
      <c r="CR116" s="63">
        <f>IF(AND(CR112=1,CR113=10),0,IF(CR112&lt;=0,0,IF(WEEKDAY(CR$6,1)=1,CR112*CR113,0)))</f>
        <v>0</v>
      </c>
      <c r="CS116" s="63">
        <f>IF(AND(CS112=1,CS113=10),0,IF(CS112&lt;=0,0,IF(WEEKDAY(CS$6,1)=1,CS112*CS113,0)))</f>
        <v>0</v>
      </c>
      <c r="CT116" s="63">
        <f>IF(AND(CT112=1,CT113=10),0,IF(CT112&lt;=0,0,IF(WEEKDAY(CT$6,1)=1,CT112*CT113,0)))</f>
        <v>0</v>
      </c>
      <c r="CU116" s="63">
        <f>IF(AND(CU112=1,CU113=10),0,IF(CU112&lt;=0,0,IF(WEEKDAY(CU$6,1)=1,CU112*CU113,0)))</f>
        <v>0</v>
      </c>
      <c r="CV116" s="64">
        <f>IF(AND(CV112=1,CV113=10),0,IF(CV112&lt;=0,0,IF(WEEKDAY(CV$6,1)=1,CV112*CV113,0)))</f>
        <v>0</v>
      </c>
      <c r="CW116" s="64">
        <f>IF(AND(CW112=1,CW113=10),10,IF(CW112&lt;=0,0,IF(WEEKDAY(CW$6,1)=1,CW112*CW113,0)))</f>
        <v>10</v>
      </c>
      <c r="CX116" s="63">
        <f>IF(AND(CX112=1,CX113=10),0,IF(CX112&lt;=0,0,IF(WEEKDAY(CX$6,1)=1,CX112*CX113,0)))</f>
        <v>0</v>
      </c>
      <c r="CY116" s="63">
        <f>IF(AND(CY112=1,CY113=10),0,IF(CY112&lt;=0,0,IF(WEEKDAY(CY$6,1)=1,CY112*CY113,0)))</f>
        <v>0</v>
      </c>
      <c r="CZ116" s="63">
        <f>IF(AND(CZ112=1,CZ113=10),0,IF(CZ112&lt;=0,0,IF(WEEKDAY(CZ$6,1)=1,CZ112*CZ113,0)))</f>
        <v>0</v>
      </c>
      <c r="DA116" s="63">
        <f>IF(AND(DA112=1,DA113=10),0,IF(DA112&lt;=0,0,IF(WEEKDAY(DA$6,1)=1,DA112*DA113,0)))</f>
        <v>0</v>
      </c>
      <c r="DB116" s="63">
        <f>IF(AND(DB112=1,DB113=10),0,IF(DB112&lt;=0,0,IF(WEEKDAY(DB$6,1)=1,DB112*DB113,0)))</f>
        <v>0</v>
      </c>
      <c r="DC116" s="64">
        <f>IF(AND(DC112=1,DC113=10),0,IF(DC112&lt;=0,0,IF(WEEKDAY(DC$6,1)=1,DC112*DC113,0)))</f>
        <v>0</v>
      </c>
      <c r="DD116" s="64">
        <f>IF(AND(DD112=1,DD113=10),10,IF(DD112&lt;=0,0,IF(WEEKDAY(DD$6,1)=1,DD112*DD113,0)))</f>
        <v>10</v>
      </c>
      <c r="DE116" s="63">
        <f>IF(AND(DE112=1,DE113=10),0,IF(DE112&lt;=0,0,IF(WEEKDAY(DE$6,1)=1,DE112*DE113,0)))</f>
        <v>0</v>
      </c>
      <c r="DF116" s="63">
        <f>IF(AND(DF112=1,DF113=10),0,IF(DF112&lt;=0,0,IF(WEEKDAY(DF$6,1)=1,DF112*DF113,0)))</f>
        <v>0</v>
      </c>
      <c r="DG116" s="63">
        <f>IF(AND(DG112=1,DG113=10),0,IF(DG112&lt;=0,0,IF(WEEKDAY(DG$6,1)=1,DG112*DG113,0)))</f>
        <v>0</v>
      </c>
      <c r="DH116" s="63">
        <f>IF(AND(DH112=1,DH113=10),0,IF(DH112&lt;=0,0,IF(WEEKDAY(DH$6,1)=1,DH112*DH113,0)))</f>
        <v>0</v>
      </c>
      <c r="DI116" s="63">
        <f>IF(AND(DI112=1,DI113=10),0,IF(DI112&lt;=0,0,IF(WEEKDAY(DI$6,1)=1,DI112*DI113,0)))</f>
        <v>0</v>
      </c>
      <c r="DJ116" s="64">
        <f>IF(AND(DJ112=1,DJ113=10),0,IF(DJ112&lt;=0,0,IF(WEEKDAY(DJ$6,1)=1,DJ112*DJ113,0)))</f>
        <v>0</v>
      </c>
      <c r="DK116" s="64">
        <f>IF(AND(DK112=1,DK113=10),10,IF(DK112&lt;=0,0,IF(WEEKDAY(DK$6,1)=1,DK112*DK113,0)))</f>
        <v>10</v>
      </c>
      <c r="DL116" s="63">
        <f>IF(AND(DL112=1,DL113=10),0,IF(DL112&lt;=0,0,IF(WEEKDAY(DL$6,1)=1,DL112*DL113,0)))</f>
        <v>0</v>
      </c>
      <c r="DM116" s="63">
        <f>IF(AND(DM112=1,DM113=10),0,IF(DM112&lt;=0,0,IF(WEEKDAY(DM$6,1)=1,DM112*DM113,0)))</f>
        <v>0</v>
      </c>
      <c r="DN116" s="63">
        <f>IF(AND(DN112=1,DN113=10),0,IF(DN112&lt;=0,0,IF(WEEKDAY(DN$6,1)=1,DN112*DN113,0)))</f>
        <v>0</v>
      </c>
      <c r="DO116" s="63">
        <f>IF(AND(DO112=1,DO113=10),0,IF(DO112&lt;=0,0,IF(WEEKDAY(DO$6,1)=1,DO112*DO113,0)))</f>
        <v>0</v>
      </c>
      <c r="DP116" s="63">
        <f>IF(AND(DP112=1,DP113=10),0,IF(DP112&lt;=0,0,IF(WEEKDAY(DP$6,1)=1,DP112*DP113,0)))</f>
        <v>0</v>
      </c>
      <c r="DQ116" s="64">
        <f>IF(AND(DQ112=1,DQ113=10),0,IF(DQ112&lt;=0,0,IF(WEEKDAY(DQ$6,1)=1,DQ112*DQ113,0)))</f>
        <v>0</v>
      </c>
      <c r="DR116" s="64">
        <f>IF(AND(DR112=1,DR113=10),10,IF(DR112&lt;=0,0,IF(WEEKDAY(DR$6,1)=1,DR112*DR113,0)))</f>
        <v>10</v>
      </c>
      <c r="DS116" s="63">
        <f>IF(AND(DS112=1,DS113=10),0,IF(DS112&lt;=0,0,IF(WEEKDAY(DS$6,1)=1,DS112*DS113,0)))</f>
        <v>0</v>
      </c>
      <c r="DT116" s="63">
        <f>IF(AND(DT112=1,DT113=8),0,IF(DT112&lt;=0,0,IF(WEEKDAY(DT$6,1)=1,DT112*DT113,0)))</f>
        <v>0</v>
      </c>
      <c r="DU116" s="63">
        <f>IF(AND(DU112=1,DU113=8),0,IF(DU112&lt;=0,0,IF(WEEKDAY(DU$6,1)=1,DU112*DU113,0)))</f>
        <v>0</v>
      </c>
      <c r="DV116" s="63">
        <f>IF(AND(DV112=1,DV113=8),0,IF(DV112&lt;=0,0,IF(WEEKDAY(DV$6,1)=1,DV112*DV113,0)))</f>
        <v>0</v>
      </c>
      <c r="DW116" s="63">
        <f>IF(AND(DW112=1,DW113=8),0,IF(DW112&lt;=0,0,IF(WEEKDAY(DW$6,1)=1,DW112*DW113,0)))</f>
        <v>0</v>
      </c>
      <c r="DX116" s="64">
        <f>IF(AND(DX112=0,DX113=0),0,IF(DX112&lt;=0,0,IF(WEEKDAY(DX$6,1)=1,DX112*DX113,0)))</f>
        <v>0</v>
      </c>
      <c r="DY116" s="64">
        <f>IF(AND(DY112=0,DY113=0),0,IF(DY112&lt;=0,0,IF(WEEKDAY(DY$6,1)=1,DY112*DY113,0)))</f>
        <v>0</v>
      </c>
      <c r="DZ116" s="63">
        <f>IF(AND(DZ112=1,DZ113=8),0,IF(DZ112&lt;=0,0,IF(WEEKDAY(DZ$6,1)=1,DZ112*DZ113,0)))</f>
        <v>0</v>
      </c>
      <c r="EA116" s="63">
        <f>IF(AND(EA112=1,EA113=8),0,IF(EA112&lt;=0,0,IF(WEEKDAY(EA$6,1)=1,EA112*EA113,0)))</f>
        <v>0</v>
      </c>
      <c r="EB116" s="63">
        <f>IF(AND(EB112=1,EB113=8),0,IF(EB112&lt;=0,0,IF(WEEKDAY(EB$6,1)=1,EB112*EB113,0)))</f>
        <v>0</v>
      </c>
      <c r="EC116" s="63">
        <f>IF(AND(EC112=1,EC113=8),0,IF(EC112&lt;=0,0,IF(WEEKDAY(EC$6,1)=1,EC112*EC113,0)))</f>
        <v>0</v>
      </c>
      <c r="ED116" s="63">
        <f>IF(AND(ED112=1,ED113=8),0,IF(ED112&lt;=0,0,IF(WEEKDAY(ED$6,1)=1,ED112*ED113,0)))</f>
        <v>0</v>
      </c>
      <c r="EE116" s="64">
        <f>IF(AND(EE112=0,EE113=0),0,IF(EE112&lt;=0,0,IF(WEEKDAY(EE$6,1)=1,EE112*EE113,0)))</f>
        <v>0</v>
      </c>
      <c r="EF116" s="64">
        <f>IF(AND(EF112=0,EF113=0),0,IF(EF112&lt;=0,0,IF(WEEKDAY(EF$6,1)=1,EF112*EF113,0)))</f>
        <v>0</v>
      </c>
      <c r="EG116" s="63">
        <f>IF(AND(EG112=1,EG113=8),0,IF(EG112&lt;=0,0,IF(WEEKDAY(EG$6,1)=1,EG112*EG113,0)))</f>
        <v>0</v>
      </c>
      <c r="EH116" s="63">
        <f>IF(AND(EH112=1,EH113=8),0,IF(EH112&lt;=0,0,IF(WEEKDAY(EH$6,1)=1,EH112*EH113,0)))</f>
        <v>0</v>
      </c>
      <c r="EI116" s="63">
        <f>IF(AND(EI112=1,EI113=8),0,IF(EI112&lt;=0,0,IF(WEEKDAY(EI$6,1)=1,EI112*EI113,0)))</f>
        <v>0</v>
      </c>
      <c r="EJ116" s="63">
        <f>IF(AND(EJ112=1,EJ113=8),0,IF(EJ112&lt;=0,0,IF(WEEKDAY(EJ$6,1)=1,EJ112*EJ113,0)))</f>
        <v>0</v>
      </c>
      <c r="EK116" s="65">
        <f>IF(AND(EK112=1,EK113=8),0,IF(EK112&lt;=0,0,IF(WEEKDAY(EK$6,1)=1,EK112*EK113,0)))</f>
        <v>0</v>
      </c>
      <c r="OU116" s="28" t="s">
        <v>87</v>
      </c>
    </row>
    <row r="117" ht="16" customHeight="1" spans="1:411" x14ac:dyDescent="0.25">
      <c r="A117" s="45"/>
      <c r="B117" s="46"/>
      <c r="C117" s="67">
        <f>I111*D117</f>
        <v>16380</v>
      </c>
      <c r="D117" s="67">
        <v>140</v>
      </c>
      <c r="E117" s="68" t="s">
        <v>65</v>
      </c>
      <c r="F117" s="49"/>
      <c r="G117" s="49"/>
      <c r="H117" s="49"/>
      <c r="I117" s="49"/>
      <c r="J117" s="50"/>
      <c r="K117" s="69">
        <v>1</v>
      </c>
      <c r="L117" s="70">
        <v>1</v>
      </c>
      <c r="M117" s="70">
        <v>1</v>
      </c>
      <c r="N117" s="70">
        <v>1</v>
      </c>
      <c r="O117" s="70">
        <v>1</v>
      </c>
      <c r="P117" s="71">
        <v>0</v>
      </c>
      <c r="Q117" s="71">
        <v>0</v>
      </c>
      <c r="R117" s="70">
        <v>1</v>
      </c>
      <c r="S117" s="70">
        <v>1</v>
      </c>
      <c r="T117" s="70">
        <v>1</v>
      </c>
      <c r="U117" s="70">
        <v>1</v>
      </c>
      <c r="V117" s="70">
        <v>1</v>
      </c>
      <c r="W117" s="71">
        <v>0</v>
      </c>
      <c r="X117" s="71">
        <v>0</v>
      </c>
      <c r="Y117" s="70">
        <v>1</v>
      </c>
      <c r="Z117" s="70">
        <v>1</v>
      </c>
      <c r="AA117" s="70">
        <v>1</v>
      </c>
      <c r="AB117" s="70">
        <v>1</v>
      </c>
      <c r="AC117" s="70">
        <v>1</v>
      </c>
      <c r="AD117" s="71">
        <v>0</v>
      </c>
      <c r="AE117" s="71">
        <v>0</v>
      </c>
      <c r="AF117" s="70">
        <v>1</v>
      </c>
      <c r="AG117" s="70">
        <v>1</v>
      </c>
      <c r="AH117" s="70">
        <v>1</v>
      </c>
      <c r="AI117" s="70">
        <v>1</v>
      </c>
      <c r="AJ117" s="70">
        <v>1</v>
      </c>
      <c r="AK117" s="71">
        <v>0</v>
      </c>
      <c r="AL117" s="71">
        <v>0</v>
      </c>
      <c r="AM117" s="70">
        <v>1</v>
      </c>
      <c r="AN117" s="70">
        <v>1</v>
      </c>
      <c r="AO117" s="70">
        <v>1</v>
      </c>
      <c r="AP117" s="70">
        <v>3</v>
      </c>
      <c r="AQ117" s="70">
        <v>3</v>
      </c>
      <c r="AR117" s="71">
        <v>0</v>
      </c>
      <c r="AS117" s="71">
        <v>0</v>
      </c>
      <c r="AT117" s="70">
        <v>1</v>
      </c>
      <c r="AU117" s="70">
        <v>1</v>
      </c>
      <c r="AV117" s="70">
        <v>1</v>
      </c>
      <c r="AW117" s="70">
        <v>1</v>
      </c>
      <c r="AX117" s="70">
        <v>1</v>
      </c>
      <c r="AY117" s="71">
        <v>0</v>
      </c>
      <c r="AZ117" s="71">
        <v>0</v>
      </c>
      <c r="BA117" s="70">
        <v>1</v>
      </c>
      <c r="BB117" s="70">
        <v>1</v>
      </c>
      <c r="BC117" s="70">
        <v>1</v>
      </c>
      <c r="BD117" s="70">
        <v>1</v>
      </c>
      <c r="BE117" s="70">
        <v>1</v>
      </c>
      <c r="BF117" s="71">
        <v>0</v>
      </c>
      <c r="BG117" s="71">
        <v>0</v>
      </c>
      <c r="BH117" s="70">
        <v>1</v>
      </c>
      <c r="BI117" s="70">
        <v>1</v>
      </c>
      <c r="BJ117" s="70">
        <v>1</v>
      </c>
      <c r="BK117" s="70">
        <v>1</v>
      </c>
      <c r="BL117" s="70">
        <v>1</v>
      </c>
      <c r="BM117" s="71">
        <v>1</v>
      </c>
      <c r="BN117" s="71">
        <v>1</v>
      </c>
      <c r="BO117" s="70">
        <v>1</v>
      </c>
      <c r="BP117" s="70">
        <v>1</v>
      </c>
      <c r="BQ117" s="70">
        <v>1</v>
      </c>
      <c r="BR117" s="70">
        <v>1</v>
      </c>
      <c r="BS117" s="70">
        <v>1</v>
      </c>
      <c r="BT117" s="71">
        <v>1</v>
      </c>
      <c r="BU117" s="71">
        <v>1</v>
      </c>
      <c r="BV117" s="70">
        <v>1</v>
      </c>
      <c r="BW117" s="70">
        <v>1</v>
      </c>
      <c r="BX117" s="70">
        <v>1</v>
      </c>
      <c r="BY117" s="70">
        <v>1</v>
      </c>
      <c r="BZ117" s="70">
        <v>1</v>
      </c>
      <c r="CA117" s="71">
        <v>1</v>
      </c>
      <c r="CB117" s="71">
        <v>1</v>
      </c>
      <c r="CC117" s="70">
        <v>1</v>
      </c>
      <c r="CD117" s="70">
        <v>1</v>
      </c>
      <c r="CE117" s="70">
        <v>1</v>
      </c>
      <c r="CF117" s="70">
        <v>1</v>
      </c>
      <c r="CG117" s="70">
        <v>1</v>
      </c>
      <c r="CH117" s="71">
        <v>1</v>
      </c>
      <c r="CI117" s="71">
        <v>1</v>
      </c>
      <c r="CJ117" s="70">
        <v>1</v>
      </c>
      <c r="CK117" s="70">
        <v>1</v>
      </c>
      <c r="CL117" s="70">
        <v>1</v>
      </c>
      <c r="CM117" s="70">
        <v>1</v>
      </c>
      <c r="CN117" s="70">
        <v>1</v>
      </c>
      <c r="CO117" s="71">
        <v>1</v>
      </c>
      <c r="CP117" s="71">
        <v>1</v>
      </c>
      <c r="CQ117" s="70">
        <v>1</v>
      </c>
      <c r="CR117" s="70">
        <v>1</v>
      </c>
      <c r="CS117" s="70">
        <v>1</v>
      </c>
      <c r="CT117" s="70">
        <v>1</v>
      </c>
      <c r="CU117" s="70">
        <v>1</v>
      </c>
      <c r="CV117" s="71">
        <v>1</v>
      </c>
      <c r="CW117" s="71">
        <v>1</v>
      </c>
      <c r="CX117" s="70">
        <v>1</v>
      </c>
      <c r="CY117" s="70">
        <v>1</v>
      </c>
      <c r="CZ117" s="70">
        <v>1</v>
      </c>
      <c r="DA117" s="70">
        <v>1</v>
      </c>
      <c r="DB117" s="70">
        <v>1</v>
      </c>
      <c r="DC117" s="71">
        <v>1</v>
      </c>
      <c r="DD117" s="71">
        <v>1</v>
      </c>
      <c r="DE117" s="70">
        <v>1</v>
      </c>
      <c r="DF117" s="70">
        <v>1</v>
      </c>
      <c r="DG117" s="70">
        <v>1</v>
      </c>
      <c r="DH117" s="70">
        <v>1</v>
      </c>
      <c r="DI117" s="70">
        <v>1</v>
      </c>
      <c r="DJ117" s="71">
        <v>1</v>
      </c>
      <c r="DK117" s="71">
        <v>1</v>
      </c>
      <c r="DL117" s="70">
        <v>1</v>
      </c>
      <c r="DM117" s="70">
        <v>1</v>
      </c>
      <c r="DN117" s="70">
        <v>1</v>
      </c>
      <c r="DO117" s="70">
        <v>1</v>
      </c>
      <c r="DP117" s="70">
        <v>1</v>
      </c>
      <c r="DQ117" s="71">
        <v>1</v>
      </c>
      <c r="DR117" s="71">
        <v>1</v>
      </c>
      <c r="DS117" s="70">
        <v>1</v>
      </c>
      <c r="DT117" s="70">
        <v>1</v>
      </c>
      <c r="DU117" s="70">
        <v>1</v>
      </c>
      <c r="DV117" s="70">
        <v>1</v>
      </c>
      <c r="DW117" s="70">
        <v>1</v>
      </c>
      <c r="DX117" s="71">
        <v>0</v>
      </c>
      <c r="DY117" s="71">
        <v>0</v>
      </c>
      <c r="DZ117" s="70">
        <v>1</v>
      </c>
      <c r="EA117" s="70">
        <v>1</v>
      </c>
      <c r="EB117" s="70">
        <v>1</v>
      </c>
      <c r="EC117" s="70">
        <v>1</v>
      </c>
      <c r="ED117" s="70">
        <v>1</v>
      </c>
      <c r="EE117" s="71">
        <v>0</v>
      </c>
      <c r="EF117" s="71">
        <v>0</v>
      </c>
      <c r="EG117" s="70">
        <v>1</v>
      </c>
      <c r="EH117" s="70">
        <v>1</v>
      </c>
      <c r="EI117" s="70">
        <v>1</v>
      </c>
      <c r="EJ117" s="70">
        <v>1</v>
      </c>
      <c r="EK117" s="72">
        <v>1</v>
      </c>
      <c r="OU117" s="60" t="s">
        <v>87</v>
      </c>
    </row>
    <row r="118" ht="8" customHeight="1" spans="1:14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3"/>
      <c r="CD118" s="73"/>
      <c r="CE118" s="73"/>
      <c r="CF118" s="73"/>
      <c r="CG118" s="73"/>
      <c r="CH118" s="73"/>
      <c r="CI118" s="73"/>
      <c r="CJ118" s="73"/>
      <c r="CK118" s="73"/>
      <c r="CL118" s="73"/>
      <c r="CM118" s="73"/>
      <c r="CN118" s="73"/>
      <c r="CO118" s="73"/>
      <c r="CP118" s="73"/>
      <c r="CQ118" s="73"/>
      <c r="CR118" s="73"/>
      <c r="CS118" s="73"/>
      <c r="CT118" s="73"/>
      <c r="CU118" s="73"/>
      <c r="CV118" s="73"/>
      <c r="CW118" s="73"/>
      <c r="CX118" s="73"/>
      <c r="CY118" s="73"/>
      <c r="CZ118" s="73"/>
      <c r="DA118" s="73"/>
      <c r="DB118" s="73"/>
      <c r="DC118" s="73"/>
      <c r="DD118" s="73"/>
      <c r="DE118" s="73"/>
      <c r="DF118" s="73"/>
      <c r="DG118" s="73"/>
      <c r="DH118" s="73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  <c r="DT118" s="73"/>
      <c r="DU118" s="73"/>
      <c r="DV118" s="73"/>
      <c r="DW118" s="73"/>
      <c r="DX118" s="73"/>
      <c r="DY118" s="73"/>
      <c r="DZ118" s="73"/>
      <c r="EA118" s="73"/>
      <c r="EB118" s="73"/>
      <c r="EC118" s="73"/>
      <c r="ED118" s="73"/>
      <c r="EE118" s="73"/>
      <c r="EF118" s="73"/>
      <c r="EG118" s="73"/>
      <c r="EH118" s="73"/>
      <c r="EI118" s="73"/>
      <c r="EJ118" s="73"/>
      <c r="EK118" s="73"/>
    </row>
    <row r="119" ht="16" customHeight="1" spans="1:411" x14ac:dyDescent="0.25">
      <c r="A119" s="74" t="s">
        <v>70</v>
      </c>
      <c r="B119" s="46" t="s">
        <v>86</v>
      </c>
      <c r="C119" s="47">
        <f>J119</f>
        <v>99268.6</v>
      </c>
      <c r="D119" s="48"/>
      <c r="E119" s="48"/>
      <c r="F119" s="49">
        <f>SUM(K122:EK122)</f>
        <v>390</v>
      </c>
      <c r="G119" s="49">
        <f>SUM(K123:EK123)</f>
        <v>160</v>
      </c>
      <c r="H119" s="49">
        <f>SUM(K124:EK124)</f>
        <v>90</v>
      </c>
      <c r="I119" s="49">
        <f>SUM(K125:EK125)</f>
        <v>64</v>
      </c>
      <c r="J119" s="50">
        <f>C122+C123+C124</f>
        <v>99268.6</v>
      </c>
      <c r="K119" s="51"/>
      <c r="L119" s="52"/>
      <c r="M119" s="52"/>
      <c r="N119" s="52"/>
      <c r="O119" s="52"/>
      <c r="P119" s="53"/>
      <c r="Q119" s="53"/>
      <c r="R119" s="52"/>
      <c r="S119" s="52"/>
      <c r="T119" s="52"/>
      <c r="U119" s="52"/>
      <c r="V119" s="52"/>
      <c r="W119" s="53"/>
      <c r="X119" s="53"/>
      <c r="Y119" s="52"/>
      <c r="Z119" s="52"/>
      <c r="AA119" s="52"/>
      <c r="AB119" s="52"/>
      <c r="AC119" s="52"/>
      <c r="AD119" s="53"/>
      <c r="AE119" s="53"/>
      <c r="AF119" s="52"/>
      <c r="AG119" s="52"/>
      <c r="AH119" s="52"/>
      <c r="AI119" s="52"/>
      <c r="AJ119" s="52"/>
      <c r="AK119" s="53"/>
      <c r="AL119" s="53"/>
      <c r="AM119" s="52"/>
      <c r="AN119" s="52"/>
      <c r="AO119" s="52"/>
      <c r="AP119" s="52"/>
      <c r="AQ119" s="52"/>
      <c r="AR119" s="53"/>
      <c r="AS119" s="53"/>
      <c r="AT119" s="52"/>
      <c r="AU119" s="52"/>
      <c r="AV119" s="52"/>
      <c r="AW119" s="52"/>
      <c r="AX119" s="52"/>
      <c r="AY119" s="53"/>
      <c r="AZ119" s="53"/>
      <c r="BA119" s="52"/>
      <c r="BB119" s="52"/>
      <c r="BC119" s="52"/>
      <c r="BD119" s="52"/>
      <c r="BE119" s="52"/>
      <c r="BF119" s="53"/>
      <c r="BG119" s="53"/>
      <c r="BH119" s="52"/>
      <c r="BI119" s="52"/>
      <c r="BJ119" s="52"/>
      <c r="BK119" s="52"/>
      <c r="BL119" s="52"/>
      <c r="BM119" s="53"/>
      <c r="BN119" s="53"/>
      <c r="BO119" s="52"/>
      <c r="BP119" s="52"/>
      <c r="BQ119" s="52"/>
      <c r="BR119" s="52"/>
      <c r="BS119" s="52"/>
      <c r="BT119" s="53"/>
      <c r="BU119" s="53"/>
      <c r="BV119" s="52"/>
      <c r="BW119" s="52"/>
      <c r="BX119" s="52"/>
      <c r="BY119" s="52"/>
      <c r="BZ119" s="52"/>
      <c r="CA119" s="53"/>
      <c r="CB119" s="53"/>
      <c r="CC119" s="52"/>
      <c r="CD119" s="52"/>
      <c r="CE119" s="52"/>
      <c r="CF119" s="52"/>
      <c r="CG119" s="52"/>
      <c r="CH119" s="53"/>
      <c r="CI119" s="53"/>
      <c r="CJ119" s="52"/>
      <c r="CK119" s="52"/>
      <c r="CL119" s="52"/>
      <c r="CM119" s="52"/>
      <c r="CN119" s="52"/>
      <c r="CO119" s="53"/>
      <c r="CP119" s="53"/>
      <c r="CQ119" s="52"/>
      <c r="CR119" s="52"/>
      <c r="CS119" s="52"/>
      <c r="CT119" s="52"/>
      <c r="CU119" s="52"/>
      <c r="CV119" s="53"/>
      <c r="CW119" s="53"/>
      <c r="CX119" s="52"/>
      <c r="CY119" s="52"/>
      <c r="CZ119" s="52"/>
      <c r="DA119" s="52"/>
      <c r="DB119" s="52"/>
      <c r="DC119" s="53"/>
      <c r="DD119" s="53"/>
      <c r="DE119" s="52"/>
      <c r="DF119" s="52"/>
      <c r="DG119" s="52"/>
      <c r="DH119" s="52"/>
      <c r="DI119" s="52"/>
      <c r="DJ119" s="53"/>
      <c r="DK119" s="53"/>
      <c r="DL119" s="52"/>
      <c r="DM119" s="52"/>
      <c r="DN119" s="52"/>
      <c r="DO119" s="52"/>
      <c r="DP119" s="52"/>
      <c r="DQ119" s="53"/>
      <c r="DR119" s="53"/>
      <c r="DS119" s="52"/>
      <c r="DT119" s="52"/>
      <c r="DU119" s="52"/>
      <c r="DV119" s="52"/>
      <c r="DW119" s="52"/>
      <c r="DX119" s="53"/>
      <c r="DY119" s="53"/>
      <c r="DZ119" s="52"/>
      <c r="EA119" s="52"/>
      <c r="EB119" s="52"/>
      <c r="EC119" s="52"/>
      <c r="ED119" s="52"/>
      <c r="EE119" s="53"/>
      <c r="EF119" s="53"/>
      <c r="EG119" s="52"/>
      <c r="EH119" s="52"/>
      <c r="EI119" s="52"/>
      <c r="EJ119" s="52"/>
      <c r="EK119" s="54"/>
      <c r="OU119" s="28" t="s">
        <v>88</v>
      </c>
    </row>
    <row r="120" ht="16" customHeight="1" spans="1:411" x14ac:dyDescent="0.25">
      <c r="A120" s="74"/>
      <c r="B120" s="46"/>
      <c r="C120" s="47"/>
      <c r="D120" s="48"/>
      <c r="E120" s="55" t="s">
        <v>60</v>
      </c>
      <c r="F120" s="49"/>
      <c r="G120" s="49"/>
      <c r="H120" s="49"/>
      <c r="I120" s="49"/>
      <c r="J120" s="50"/>
      <c r="K120" s="56">
        <v>0</v>
      </c>
      <c r="L120" s="57">
        <v>0</v>
      </c>
      <c r="M120" s="57">
        <v>0</v>
      </c>
      <c r="N120" s="57">
        <v>0</v>
      </c>
      <c r="O120" s="57">
        <v>0</v>
      </c>
      <c r="P120" s="58">
        <v>0</v>
      </c>
      <c r="Q120" s="58">
        <v>0</v>
      </c>
      <c r="R120" s="57">
        <v>0</v>
      </c>
      <c r="S120" s="57">
        <v>0</v>
      </c>
      <c r="T120" s="57">
        <v>0</v>
      </c>
      <c r="U120" s="57">
        <v>0</v>
      </c>
      <c r="V120" s="57">
        <v>0</v>
      </c>
      <c r="W120" s="58">
        <v>0</v>
      </c>
      <c r="X120" s="58">
        <v>0</v>
      </c>
      <c r="Y120" s="57">
        <v>0</v>
      </c>
      <c r="Z120" s="57">
        <v>0</v>
      </c>
      <c r="AA120" s="57">
        <v>0</v>
      </c>
      <c r="AB120" s="57">
        <v>0</v>
      </c>
      <c r="AC120" s="57">
        <v>0</v>
      </c>
      <c r="AD120" s="58">
        <v>0</v>
      </c>
      <c r="AE120" s="58">
        <v>0</v>
      </c>
      <c r="AF120" s="57">
        <v>0</v>
      </c>
      <c r="AG120" s="57">
        <v>0</v>
      </c>
      <c r="AH120" s="57">
        <v>0</v>
      </c>
      <c r="AI120" s="57">
        <v>0</v>
      </c>
      <c r="AJ120" s="57">
        <v>0</v>
      </c>
      <c r="AK120" s="58">
        <v>0</v>
      </c>
      <c r="AL120" s="58">
        <v>0</v>
      </c>
      <c r="AM120" s="57">
        <v>0</v>
      </c>
      <c r="AN120" s="57">
        <v>0</v>
      </c>
      <c r="AO120" s="57">
        <v>0</v>
      </c>
      <c r="AP120" s="57">
        <v>0</v>
      </c>
      <c r="AQ120" s="57">
        <v>0</v>
      </c>
      <c r="AR120" s="58">
        <v>0</v>
      </c>
      <c r="AS120" s="58">
        <v>0</v>
      </c>
      <c r="AT120" s="57">
        <v>0</v>
      </c>
      <c r="AU120" s="57">
        <v>0</v>
      </c>
      <c r="AV120" s="57">
        <v>0</v>
      </c>
      <c r="AW120" s="57">
        <v>0</v>
      </c>
      <c r="AX120" s="57">
        <v>0</v>
      </c>
      <c r="AY120" s="58">
        <v>0</v>
      </c>
      <c r="AZ120" s="58">
        <v>0</v>
      </c>
      <c r="BA120" s="57">
        <v>0</v>
      </c>
      <c r="BB120" s="57">
        <v>0</v>
      </c>
      <c r="BC120" s="57">
        <v>0</v>
      </c>
      <c r="BD120" s="57">
        <v>0</v>
      </c>
      <c r="BE120" s="57">
        <v>0</v>
      </c>
      <c r="BF120" s="58">
        <v>0</v>
      </c>
      <c r="BG120" s="58">
        <v>0</v>
      </c>
      <c r="BH120" s="57">
        <v>1</v>
      </c>
      <c r="BI120" s="57">
        <v>1</v>
      </c>
      <c r="BJ120" s="57">
        <v>1</v>
      </c>
      <c r="BK120" s="57">
        <v>1</v>
      </c>
      <c r="BL120" s="57">
        <v>1</v>
      </c>
      <c r="BM120" s="58">
        <v>1</v>
      </c>
      <c r="BN120" s="58">
        <v>1</v>
      </c>
      <c r="BO120" s="57">
        <v>1</v>
      </c>
      <c r="BP120" s="57">
        <v>1</v>
      </c>
      <c r="BQ120" s="57">
        <v>1</v>
      </c>
      <c r="BR120" s="57">
        <v>1</v>
      </c>
      <c r="BS120" s="57">
        <v>1</v>
      </c>
      <c r="BT120" s="58">
        <v>1</v>
      </c>
      <c r="BU120" s="58">
        <v>1</v>
      </c>
      <c r="BV120" s="57">
        <v>1</v>
      </c>
      <c r="BW120" s="57">
        <v>1</v>
      </c>
      <c r="BX120" s="57">
        <v>1</v>
      </c>
      <c r="BY120" s="57">
        <v>1</v>
      </c>
      <c r="BZ120" s="57">
        <v>1</v>
      </c>
      <c r="CA120" s="58">
        <v>1</v>
      </c>
      <c r="CB120" s="58">
        <v>1</v>
      </c>
      <c r="CC120" s="57">
        <v>1</v>
      </c>
      <c r="CD120" s="57">
        <v>1</v>
      </c>
      <c r="CE120" s="57">
        <v>1</v>
      </c>
      <c r="CF120" s="57">
        <v>1</v>
      </c>
      <c r="CG120" s="57">
        <v>1</v>
      </c>
      <c r="CH120" s="58">
        <v>1</v>
      </c>
      <c r="CI120" s="58">
        <v>1</v>
      </c>
      <c r="CJ120" s="57">
        <v>1</v>
      </c>
      <c r="CK120" s="57">
        <v>1</v>
      </c>
      <c r="CL120" s="57">
        <v>1</v>
      </c>
      <c r="CM120" s="57">
        <v>1</v>
      </c>
      <c r="CN120" s="57">
        <v>1</v>
      </c>
      <c r="CO120" s="58">
        <v>1</v>
      </c>
      <c r="CP120" s="58">
        <v>1</v>
      </c>
      <c r="CQ120" s="57">
        <v>1</v>
      </c>
      <c r="CR120" s="57">
        <v>1</v>
      </c>
      <c r="CS120" s="57">
        <v>1</v>
      </c>
      <c r="CT120" s="57">
        <v>1</v>
      </c>
      <c r="CU120" s="57">
        <v>1</v>
      </c>
      <c r="CV120" s="58">
        <v>1</v>
      </c>
      <c r="CW120" s="58">
        <v>1</v>
      </c>
      <c r="CX120" s="57">
        <v>1</v>
      </c>
      <c r="CY120" s="57">
        <v>1</v>
      </c>
      <c r="CZ120" s="57">
        <v>1</v>
      </c>
      <c r="DA120" s="57">
        <v>1</v>
      </c>
      <c r="DB120" s="57">
        <v>1</v>
      </c>
      <c r="DC120" s="58">
        <v>1</v>
      </c>
      <c r="DD120" s="58">
        <v>1</v>
      </c>
      <c r="DE120" s="57">
        <v>1</v>
      </c>
      <c r="DF120" s="57">
        <v>1</v>
      </c>
      <c r="DG120" s="57">
        <v>1</v>
      </c>
      <c r="DH120" s="57">
        <v>1</v>
      </c>
      <c r="DI120" s="57">
        <v>1</v>
      </c>
      <c r="DJ120" s="58">
        <v>1</v>
      </c>
      <c r="DK120" s="58">
        <v>1</v>
      </c>
      <c r="DL120" s="57">
        <v>1</v>
      </c>
      <c r="DM120" s="57">
        <v>1</v>
      </c>
      <c r="DN120" s="57">
        <v>1</v>
      </c>
      <c r="DO120" s="57">
        <v>1</v>
      </c>
      <c r="DP120" s="57">
        <v>1</v>
      </c>
      <c r="DQ120" s="58">
        <v>1</v>
      </c>
      <c r="DR120" s="58">
        <v>1</v>
      </c>
      <c r="DS120" s="57">
        <v>1</v>
      </c>
      <c r="DT120" s="57">
        <v>0</v>
      </c>
      <c r="DU120" s="57">
        <v>0</v>
      </c>
      <c r="DV120" s="57">
        <v>0</v>
      </c>
      <c r="DW120" s="57">
        <v>0</v>
      </c>
      <c r="DX120" s="58">
        <v>0</v>
      </c>
      <c r="DY120" s="58">
        <v>0</v>
      </c>
      <c r="DZ120" s="57">
        <v>0</v>
      </c>
      <c r="EA120" s="57">
        <v>0</v>
      </c>
      <c r="EB120" s="57">
        <v>0</v>
      </c>
      <c r="EC120" s="57">
        <v>0</v>
      </c>
      <c r="ED120" s="57">
        <v>0</v>
      </c>
      <c r="EE120" s="58">
        <v>0</v>
      </c>
      <c r="EF120" s="58">
        <v>0</v>
      </c>
      <c r="EG120" s="57">
        <v>0</v>
      </c>
      <c r="EH120" s="57">
        <v>0</v>
      </c>
      <c r="EI120" s="57">
        <v>0</v>
      </c>
      <c r="EJ120" s="57">
        <v>0</v>
      </c>
      <c r="EK120" s="59">
        <v>0</v>
      </c>
      <c r="OU120" s="60" t="s">
        <v>88</v>
      </c>
    </row>
    <row r="121" ht="16" customHeight="1" spans="1:411" x14ac:dyDescent="0.25">
      <c r="A121" s="74"/>
      <c r="B121" s="46"/>
      <c r="C121" s="47"/>
      <c r="D121" s="48"/>
      <c r="E121" s="55" t="s">
        <v>61</v>
      </c>
      <c r="F121" s="49"/>
      <c r="G121" s="49"/>
      <c r="H121" s="49"/>
      <c r="I121" s="49"/>
      <c r="J121" s="50"/>
      <c r="K121" s="56">
        <v>0</v>
      </c>
      <c r="L121" s="57">
        <v>0</v>
      </c>
      <c r="M121" s="57">
        <v>0</v>
      </c>
      <c r="N121" s="57">
        <v>0</v>
      </c>
      <c r="O121" s="57">
        <v>0</v>
      </c>
      <c r="P121" s="58">
        <v>0</v>
      </c>
      <c r="Q121" s="58">
        <v>0</v>
      </c>
      <c r="R121" s="57">
        <v>0</v>
      </c>
      <c r="S121" s="57">
        <v>0</v>
      </c>
      <c r="T121" s="57">
        <v>0</v>
      </c>
      <c r="U121" s="57">
        <v>0</v>
      </c>
      <c r="V121" s="57">
        <v>0</v>
      </c>
      <c r="W121" s="58">
        <v>0</v>
      </c>
      <c r="X121" s="58">
        <v>0</v>
      </c>
      <c r="Y121" s="57">
        <v>0</v>
      </c>
      <c r="Z121" s="57">
        <v>0</v>
      </c>
      <c r="AA121" s="57">
        <v>0</v>
      </c>
      <c r="AB121" s="57">
        <v>0</v>
      </c>
      <c r="AC121" s="57">
        <v>0</v>
      </c>
      <c r="AD121" s="58">
        <v>0</v>
      </c>
      <c r="AE121" s="58">
        <v>0</v>
      </c>
      <c r="AF121" s="57">
        <v>0</v>
      </c>
      <c r="AG121" s="57">
        <v>0</v>
      </c>
      <c r="AH121" s="57">
        <v>0</v>
      </c>
      <c r="AI121" s="57">
        <v>0</v>
      </c>
      <c r="AJ121" s="57">
        <v>0</v>
      </c>
      <c r="AK121" s="58">
        <v>0</v>
      </c>
      <c r="AL121" s="58">
        <v>0</v>
      </c>
      <c r="AM121" s="57">
        <v>0</v>
      </c>
      <c r="AN121" s="57">
        <v>0</v>
      </c>
      <c r="AO121" s="57">
        <v>0</v>
      </c>
      <c r="AP121" s="57">
        <v>0</v>
      </c>
      <c r="AQ121" s="57">
        <v>0</v>
      </c>
      <c r="AR121" s="58">
        <v>0</v>
      </c>
      <c r="AS121" s="58">
        <v>0</v>
      </c>
      <c r="AT121" s="57">
        <v>0</v>
      </c>
      <c r="AU121" s="57">
        <v>0</v>
      </c>
      <c r="AV121" s="57">
        <v>0</v>
      </c>
      <c r="AW121" s="57">
        <v>0</v>
      </c>
      <c r="AX121" s="57">
        <v>0</v>
      </c>
      <c r="AY121" s="58">
        <v>0</v>
      </c>
      <c r="AZ121" s="58">
        <v>0</v>
      </c>
      <c r="BA121" s="57">
        <v>0</v>
      </c>
      <c r="BB121" s="57">
        <v>0</v>
      </c>
      <c r="BC121" s="57">
        <v>0</v>
      </c>
      <c r="BD121" s="57">
        <v>0</v>
      </c>
      <c r="BE121" s="57">
        <v>0</v>
      </c>
      <c r="BF121" s="58">
        <v>0</v>
      </c>
      <c r="BG121" s="58">
        <v>0</v>
      </c>
      <c r="BH121" s="57">
        <v>10</v>
      </c>
      <c r="BI121" s="57">
        <v>10</v>
      </c>
      <c r="BJ121" s="57">
        <v>10</v>
      </c>
      <c r="BK121" s="57">
        <v>10</v>
      </c>
      <c r="BL121" s="57">
        <v>10</v>
      </c>
      <c r="BM121" s="58">
        <v>10</v>
      </c>
      <c r="BN121" s="58">
        <v>10</v>
      </c>
      <c r="BO121" s="57">
        <v>10</v>
      </c>
      <c r="BP121" s="57">
        <v>10</v>
      </c>
      <c r="BQ121" s="57">
        <v>10</v>
      </c>
      <c r="BR121" s="57">
        <v>10</v>
      </c>
      <c r="BS121" s="57">
        <v>10</v>
      </c>
      <c r="BT121" s="58">
        <v>10</v>
      </c>
      <c r="BU121" s="58">
        <v>10</v>
      </c>
      <c r="BV121" s="57">
        <v>10</v>
      </c>
      <c r="BW121" s="57">
        <v>10</v>
      </c>
      <c r="BX121" s="57">
        <v>10</v>
      </c>
      <c r="BY121" s="57">
        <v>10</v>
      </c>
      <c r="BZ121" s="57">
        <v>10</v>
      </c>
      <c r="CA121" s="58">
        <v>10</v>
      </c>
      <c r="CB121" s="58">
        <v>10</v>
      </c>
      <c r="CC121" s="57">
        <v>10</v>
      </c>
      <c r="CD121" s="57">
        <v>10</v>
      </c>
      <c r="CE121" s="57">
        <v>10</v>
      </c>
      <c r="CF121" s="57">
        <v>10</v>
      </c>
      <c r="CG121" s="57">
        <v>10</v>
      </c>
      <c r="CH121" s="58">
        <v>10</v>
      </c>
      <c r="CI121" s="58">
        <v>10</v>
      </c>
      <c r="CJ121" s="57">
        <v>10</v>
      </c>
      <c r="CK121" s="57">
        <v>10</v>
      </c>
      <c r="CL121" s="57">
        <v>10</v>
      </c>
      <c r="CM121" s="57">
        <v>10</v>
      </c>
      <c r="CN121" s="57">
        <v>10</v>
      </c>
      <c r="CO121" s="58">
        <v>10</v>
      </c>
      <c r="CP121" s="58">
        <v>10</v>
      </c>
      <c r="CQ121" s="57">
        <v>10</v>
      </c>
      <c r="CR121" s="57">
        <v>10</v>
      </c>
      <c r="CS121" s="57">
        <v>10</v>
      </c>
      <c r="CT121" s="57">
        <v>10</v>
      </c>
      <c r="CU121" s="57">
        <v>10</v>
      </c>
      <c r="CV121" s="58">
        <v>10</v>
      </c>
      <c r="CW121" s="58">
        <v>10</v>
      </c>
      <c r="CX121" s="57">
        <v>10</v>
      </c>
      <c r="CY121" s="57">
        <v>10</v>
      </c>
      <c r="CZ121" s="57">
        <v>10</v>
      </c>
      <c r="DA121" s="57">
        <v>10</v>
      </c>
      <c r="DB121" s="57">
        <v>10</v>
      </c>
      <c r="DC121" s="58">
        <v>10</v>
      </c>
      <c r="DD121" s="58">
        <v>10</v>
      </c>
      <c r="DE121" s="57">
        <v>10</v>
      </c>
      <c r="DF121" s="57">
        <v>10</v>
      </c>
      <c r="DG121" s="57">
        <v>10</v>
      </c>
      <c r="DH121" s="57">
        <v>10</v>
      </c>
      <c r="DI121" s="57">
        <v>10</v>
      </c>
      <c r="DJ121" s="58">
        <v>10</v>
      </c>
      <c r="DK121" s="58">
        <v>10</v>
      </c>
      <c r="DL121" s="57">
        <v>10</v>
      </c>
      <c r="DM121" s="57">
        <v>10</v>
      </c>
      <c r="DN121" s="57">
        <v>10</v>
      </c>
      <c r="DO121" s="57">
        <v>10</v>
      </c>
      <c r="DP121" s="57">
        <v>10</v>
      </c>
      <c r="DQ121" s="58">
        <v>10</v>
      </c>
      <c r="DR121" s="58">
        <v>10</v>
      </c>
      <c r="DS121" s="57">
        <v>10</v>
      </c>
      <c r="DT121" s="57">
        <v>0</v>
      </c>
      <c r="DU121" s="57">
        <v>0</v>
      </c>
      <c r="DV121" s="57">
        <v>0</v>
      </c>
      <c r="DW121" s="57">
        <v>0</v>
      </c>
      <c r="DX121" s="58">
        <v>0</v>
      </c>
      <c r="DY121" s="58">
        <v>0</v>
      </c>
      <c r="DZ121" s="57">
        <v>0</v>
      </c>
      <c r="EA121" s="57">
        <v>0</v>
      </c>
      <c r="EB121" s="57">
        <v>0</v>
      </c>
      <c r="EC121" s="57">
        <v>0</v>
      </c>
      <c r="ED121" s="57">
        <v>0</v>
      </c>
      <c r="EE121" s="58">
        <v>0</v>
      </c>
      <c r="EF121" s="58">
        <v>0</v>
      </c>
      <c r="EG121" s="57">
        <v>0</v>
      </c>
      <c r="EH121" s="57">
        <v>0</v>
      </c>
      <c r="EI121" s="57">
        <v>0</v>
      </c>
      <c r="EJ121" s="57">
        <v>0</v>
      </c>
      <c r="EK121" s="59">
        <v>0</v>
      </c>
      <c r="OU121" s="60" t="s">
        <v>88</v>
      </c>
    </row>
    <row r="122" ht="16" customHeight="1" spans="1:411" x14ac:dyDescent="0.25">
      <c r="A122" s="74"/>
      <c r="B122" s="46"/>
      <c r="C122" s="61">
        <f>F119*N(D122)</f>
        <v>49670.4</v>
      </c>
      <c r="D122" s="61">
        <f>IF(TRIM(B119)="","No rate",IFERROR(INDEX('Rate Tables'!C$7:C$158,MATCH(B119,'Rate Tables'!A$7:A$158,0)),"No rate"))</f>
        <v>127.36</v>
      </c>
      <c r="E122" s="55" t="s">
        <v>62</v>
      </c>
      <c r="F122" s="49"/>
      <c r="G122" s="49"/>
      <c r="H122" s="49"/>
      <c r="I122" s="49"/>
      <c r="J122" s="50"/>
      <c r="K122" s="62">
        <f>IF(AND(K120=0,K121=0),0,MIN(IF(K120&lt;=0,0,IF(WEEKDAY(K$6,1)=1,0,MIN(10,K121)*K120)),MAX(0,40*MAX(1,K120)-(0))))</f>
        <v>0</v>
      </c>
      <c r="L122" s="63">
        <f>IF(AND(L120=0,L121=0),0,MIN(IF(L120&lt;=0,0,IF(WEEKDAY(L$6,1)=1,0,MIN(10,L121)*L120)),MAX(0,40*MAX(1,L120)-(K122))))</f>
        <v>0</v>
      </c>
      <c r="M122" s="63">
        <f>IF(AND(M120=0,M121=0),0,MIN(IF(M120&lt;=0,0,IF(WEEKDAY(M$6,1)=1,0,MIN(10,M121)*M120)),MAX(0,40*MAX(1,M120)-(K122+L122))))</f>
        <v>0</v>
      </c>
      <c r="N122" s="63">
        <f>IF(AND(N120=0,N121=0),0,MIN(IF(N120&lt;=0,0,IF(WEEKDAY(N$6,1)=1,0,MIN(10,N121)*N120)),MAX(0,40*MAX(1,N120)-(K122+L122+M122))))</f>
        <v>0</v>
      </c>
      <c r="O122" s="63">
        <f>IF(AND(O120=0,O121=0),0,MIN(IF(O120&lt;=0,0,IF(WEEKDAY(O$6,1)=1,0,MIN(10,O121)*O120)),MAX(0,40*MAX(1,O120)-(K122+L122+M122+N122))))</f>
        <v>0</v>
      </c>
      <c r="P122" s="64">
        <f>IF(AND(P120=0,P121=0),0,MIN(IF(P120&lt;=0,0,IF(WEEKDAY(P$6,1)=1,0,MIN(10,P121)*P120)),MAX(0,40*MAX(1,P120)-(K122+L122+M122+N122+O122))))</f>
        <v>0</v>
      </c>
      <c r="Q122" s="64">
        <f>IF(AND(Q120=0,Q121=0),0,MIN(IF(Q120&lt;=0,0,IF(WEEKDAY(Q$6,1)=1,0,MIN(10,Q121)*Q120)),MAX(0,40*MAX(1,Q120)-(K122+L122+M122+N122+O122+P122))))</f>
        <v>0</v>
      </c>
      <c r="R122" s="63">
        <f>IF(AND(R120=0,R121=0),0,MIN(IF(R120&lt;=0,0,IF(WEEKDAY(R$6,1)=1,0,MIN(10,R121)*R120)),MAX(0,40*MAX(1,R120)-(0))))</f>
        <v>0</v>
      </c>
      <c r="S122" s="63">
        <f>IF(AND(S120=0,S121=0),0,MIN(IF(S120&lt;=0,0,IF(WEEKDAY(S$6,1)=1,0,MIN(10,S121)*S120)),MAX(0,40*MAX(1,S120)-(R122))))</f>
        <v>0</v>
      </c>
      <c r="T122" s="63">
        <f>IF(AND(T120=0,T121=0),0,MIN(IF(T120&lt;=0,0,IF(WEEKDAY(T$6,1)=1,0,MIN(10,T121)*T120)),MAX(0,40*MAX(1,T120)-(R122+S122))))</f>
        <v>0</v>
      </c>
      <c r="U122" s="63">
        <f>IF(AND(U120=0,U121=0),0,MIN(IF(U120&lt;=0,0,IF(WEEKDAY(U$6,1)=1,0,MIN(10,U121)*U120)),MAX(0,40*MAX(1,U120)-(R122+S122+T122))))</f>
        <v>0</v>
      </c>
      <c r="V122" s="63">
        <f>IF(AND(V120=0,V121=0),0,MIN(IF(V120&lt;=0,0,IF(WEEKDAY(V$6,1)=1,0,MIN(10,V121)*V120)),MAX(0,40*MAX(1,V120)-(R122+S122+T122+U122))))</f>
        <v>0</v>
      </c>
      <c r="W122" s="64">
        <f>IF(AND(W120=0,W121=0),0,MIN(IF(W120&lt;=0,0,IF(WEEKDAY(W$6,1)=1,0,MIN(10,W121)*W120)),MAX(0,40*MAX(1,W120)-(R122+S122+T122+U122+V122))))</f>
        <v>0</v>
      </c>
      <c r="X122" s="64">
        <f>IF(AND(X120=0,X121=0),0,MIN(IF(X120&lt;=0,0,IF(WEEKDAY(X$6,1)=1,0,MIN(10,X121)*X120)),MAX(0,40*MAX(1,X120)-(R122+S122+T122+U122+V122+W122))))</f>
        <v>0</v>
      </c>
      <c r="Y122" s="63">
        <f>IF(AND(Y120=0,Y121=0),0,MIN(IF(Y120&lt;=0,0,IF(WEEKDAY(Y$6,1)=1,0,MIN(10,Y121)*Y120)),MAX(0,40*MAX(1,Y120)-(0))))</f>
        <v>0</v>
      </c>
      <c r="Z122" s="63">
        <f>IF(AND(Z120=0,Z121=0),0,MIN(IF(Z120&lt;=0,0,IF(WEEKDAY(Z$6,1)=1,0,MIN(10,Z121)*Z120)),MAX(0,40*MAX(1,Z120)-(Y122))))</f>
        <v>0</v>
      </c>
      <c r="AA122" s="63">
        <f>IF(AND(AA120=0,AA121=0),0,MIN(IF(AA120&lt;=0,0,IF(WEEKDAY(AA$6,1)=1,0,MIN(10,AA121)*AA120)),MAX(0,40*MAX(1,AA120)-(Y122+Z122))))</f>
        <v>0</v>
      </c>
      <c r="AB122" s="63">
        <f>IF(AND(AB120=0,AB121=0),0,MIN(IF(AB120&lt;=0,0,IF(WEEKDAY(AB$6,1)=1,0,MIN(10,AB121)*AB120)),MAX(0,40*MAX(1,AB120)-(Y122+Z122+AA122))))</f>
        <v>0</v>
      </c>
      <c r="AC122" s="63">
        <f>IF(AND(AC120=0,AC121=0),0,MIN(IF(AC120&lt;=0,0,IF(WEEKDAY(AC$6,1)=1,0,MIN(10,AC121)*AC120)),MAX(0,40*MAX(1,AC120)-(Y122+Z122+AA122+AB122))))</f>
        <v>0</v>
      </c>
      <c r="AD122" s="64">
        <f>IF(AND(AD120=0,AD121=0),0,MIN(IF(AD120&lt;=0,0,IF(WEEKDAY(AD$6,1)=1,0,MIN(10,AD121)*AD120)),MAX(0,40*MAX(1,AD120)-(Y122+Z122+AA122+AB122+AC122))))</f>
        <v>0</v>
      </c>
      <c r="AE122" s="64">
        <f>IF(AND(AE120=0,AE121=0),0,MIN(IF(AE120&lt;=0,0,IF(WEEKDAY(AE$6,1)=1,0,MIN(10,AE121)*AE120)),MAX(0,40*MAX(1,AE120)-(Y122+Z122+AA122+AB122+AC122+AD122))))</f>
        <v>0</v>
      </c>
      <c r="AF122" s="63">
        <f>IF(AND(AF120=0,AF121=0),0,MIN(IF(AF120&lt;=0,0,IF(WEEKDAY(AF$6,1)=1,0,MIN(10,AF121)*AF120)),MAX(0,40*MAX(1,AF120)-(0))))</f>
        <v>0</v>
      </c>
      <c r="AG122" s="63">
        <f>IF(AND(AG120=0,AG121=0),0,MIN(IF(AG120&lt;=0,0,IF(WEEKDAY(AG$6,1)=1,0,MIN(10,AG121)*AG120)),MAX(0,40*MAX(1,AG120)-(AF122))))</f>
        <v>0</v>
      </c>
      <c r="AH122" s="63">
        <f>IF(AND(AH120=0,AH121=0),0,MIN(IF(AH120&lt;=0,0,IF(WEEKDAY(AH$6,1)=1,0,MIN(10,AH121)*AH120)),MAX(0,40*MAX(1,AH120)-(AF122+AG122))))</f>
        <v>0</v>
      </c>
      <c r="AI122" s="63">
        <f>IF(AND(AI120=0,AI121=0),0,MIN(IF(AI120&lt;=0,0,IF(WEEKDAY(AI$6,1)=1,0,MIN(10,AI121)*AI120)),MAX(0,40*MAX(1,AI120)-(AF122+AG122+AH122))))</f>
        <v>0</v>
      </c>
      <c r="AJ122" s="63">
        <f>IF(AND(AJ120=0,AJ121=0),0,MIN(IF(AJ120&lt;=0,0,IF(WEEKDAY(AJ$6,1)=1,0,MIN(10,AJ121)*AJ120)),MAX(0,40*MAX(1,AJ120)-(AF122+AG122+AH122+AI122))))</f>
        <v>0</v>
      </c>
      <c r="AK122" s="64">
        <f>IF(AND(AK120=0,AK121=0),0,MIN(IF(AK120&lt;=0,0,IF(WEEKDAY(AK$6,1)=1,0,MIN(10,AK121)*AK120)),MAX(0,40*MAX(1,AK120)-(AF122+AG122+AH122+AI122+AJ122))))</f>
        <v>0</v>
      </c>
      <c r="AL122" s="64">
        <f>IF(AND(AL120=0,AL121=0),0,MIN(IF(AL120&lt;=0,0,IF(WEEKDAY(AL$6,1)=1,0,MIN(10,AL121)*AL120)),MAX(0,40*MAX(1,AL120)-(AF122+AG122+AH122+AI122+AJ122+AK122))))</f>
        <v>0</v>
      </c>
      <c r="AM122" s="63">
        <f>IF(AND(AM120=0,AM121=0),0,MIN(IF(AM120&lt;=0,0,IF(WEEKDAY(AM$6,1)=1,0,MIN(10,AM121)*AM120)),MAX(0,40*MAX(1,AM120)-(0))))</f>
        <v>0</v>
      </c>
      <c r="AN122" s="63">
        <f>IF(AND(AN120=0,AN121=0),0,MIN(IF(AN120&lt;=0,0,IF(WEEKDAY(AN$6,1)=1,0,MIN(10,AN121)*AN120)),MAX(0,40*MAX(1,AN120)-(AM122))))</f>
        <v>0</v>
      </c>
      <c r="AO122" s="63">
        <f>IF(AND(AO120=0,AO121=0),0,MIN(IF(AO120&lt;=0,0,IF(WEEKDAY(AO$6,1)=1,0,MIN(10,AO121)*AO120)),MAX(0,40*MAX(1,AO120)-(AM122+AN122))))</f>
        <v>0</v>
      </c>
      <c r="AP122" s="63">
        <f>IF(AND(AP120=0,AP121=0),0,MIN(IF(AP120&lt;=0,0,IF(WEEKDAY(AP$6,1)=1,0,MIN(10,AP121)*AP120)),MAX(0,40*MAX(1,AP120)-(AM122+AN122+AO122))))</f>
        <v>0</v>
      </c>
      <c r="AQ122" s="63">
        <f>IF(AND(AQ120=0,AQ121=0),0,MIN(IF(AQ120&lt;=0,0,IF(WEEKDAY(AQ$6,1)=1,0,MIN(10,AQ121)*AQ120)),MAX(0,40*MAX(1,AQ120)-(AM122+AN122+AO122+AP122))))</f>
        <v>0</v>
      </c>
      <c r="AR122" s="64">
        <f>IF(AND(AR120=0,AR121=0),0,MIN(IF(AR120&lt;=0,0,IF(WEEKDAY(AR$6,1)=1,0,MIN(10,AR121)*AR120)),MAX(0,40*MAX(1,AR120)-(AM122+AN122+AO122+AP122+AQ122))))</f>
        <v>0</v>
      </c>
      <c r="AS122" s="64">
        <f>IF(AND(AS120=0,AS121=0),0,MIN(IF(AS120&lt;=0,0,IF(WEEKDAY(AS$6,1)=1,0,MIN(10,AS121)*AS120)),MAX(0,40*MAX(1,AS120)-(AM122+AN122+AO122+AP122+AQ122+AR122))))</f>
        <v>0</v>
      </c>
      <c r="AT122" s="63">
        <f>IF(AND(AT120=0,AT121=0),0,MIN(IF(AT120&lt;=0,0,IF(WEEKDAY(AT$6,1)=1,0,MIN(10,AT121)*AT120)),MAX(0,40*MAX(1,AT120)-(0))))</f>
        <v>0</v>
      </c>
      <c r="AU122" s="63">
        <f>IF(AND(AU120=0,AU121=0),0,MIN(IF(AU120&lt;=0,0,IF(WEEKDAY(AU$6,1)=1,0,MIN(10,AU121)*AU120)),MAX(0,40*MAX(1,AU120)-(AT122))))</f>
        <v>0</v>
      </c>
      <c r="AV122" s="63">
        <f>IF(AND(AV120=0,AV121=0),0,MIN(IF(AV120&lt;=0,0,IF(WEEKDAY(AV$6,1)=1,0,MIN(10,AV121)*AV120)),MAX(0,40*MAX(1,AV120)-(AT122+AU122))))</f>
        <v>0</v>
      </c>
      <c r="AW122" s="63">
        <f>IF(AND(AW120=0,AW121=0),0,MIN(IF(AW120&lt;=0,0,IF(WEEKDAY(AW$6,1)=1,0,MIN(10,AW121)*AW120)),MAX(0,40*MAX(1,AW120)-(AT122+AU122+AV122))))</f>
        <v>0</v>
      </c>
      <c r="AX122" s="63">
        <f>IF(AND(AX120=0,AX121=0),0,MIN(IF(AX120&lt;=0,0,IF(WEEKDAY(AX$6,1)=1,0,MIN(10,AX121)*AX120)),MAX(0,40*MAX(1,AX120)-(AT122+AU122+AV122+AW122))))</f>
        <v>0</v>
      </c>
      <c r="AY122" s="64">
        <f>IF(AND(AY120=0,AY121=0),0,MIN(IF(AY120&lt;=0,0,IF(WEEKDAY(AY$6,1)=1,0,MIN(10,AY121)*AY120)),MAX(0,40*MAX(1,AY120)-(AT122+AU122+AV122+AW122+AX122))))</f>
        <v>0</v>
      </c>
      <c r="AZ122" s="64">
        <f>IF(AND(AZ120=0,AZ121=0),0,MIN(IF(AZ120&lt;=0,0,IF(WEEKDAY(AZ$6,1)=1,0,MIN(10,AZ121)*AZ120)),MAX(0,40*MAX(1,AZ120)-(AT122+AU122+AV122+AW122+AX122+AY122))))</f>
        <v>0</v>
      </c>
      <c r="BA122" s="63">
        <f>IF(AND(BA120=0,BA121=0),0,MIN(IF(BA120&lt;=0,0,IF(WEEKDAY(BA$6,1)=1,0,MIN(10,BA121)*BA120)),MAX(0,40*MAX(1,BA120)-(0))))</f>
        <v>0</v>
      </c>
      <c r="BB122" s="63">
        <f>IF(AND(BB120=0,BB121=0),0,MIN(IF(BB120&lt;=0,0,IF(WEEKDAY(BB$6,1)=1,0,MIN(10,BB121)*BB120)),MAX(0,40*MAX(1,BB120)-(BA122))))</f>
        <v>0</v>
      </c>
      <c r="BC122" s="63">
        <f>IF(AND(BC120=0,BC121=0),0,MIN(IF(BC120&lt;=0,0,IF(WEEKDAY(BC$6,1)=1,0,MIN(10,BC121)*BC120)),MAX(0,40*MAX(1,BC120)-(BA122+BB122))))</f>
        <v>0</v>
      </c>
      <c r="BD122" s="63">
        <f>IF(AND(BD120=0,BD121=0),0,MIN(IF(BD120&lt;=0,0,IF(WEEKDAY(BD$6,1)=1,0,MIN(10,BD121)*BD120)),MAX(0,40*MAX(1,BD120)-(BA122+BB122+BC122))))</f>
        <v>0</v>
      </c>
      <c r="BE122" s="63">
        <f>IF(AND(BE120=0,BE121=0),0,MIN(IF(BE120&lt;=0,0,IF(WEEKDAY(BE$6,1)=1,0,MIN(10,BE121)*BE120)),MAX(0,40*MAX(1,BE120)-(BA122+BB122+BC122+BD122))))</f>
        <v>0</v>
      </c>
      <c r="BF122" s="64">
        <f>IF(AND(BF120=0,BF121=0),0,MIN(IF(BF120&lt;=0,0,IF(WEEKDAY(BF$6,1)=1,0,MIN(10,BF121)*BF120)),MAX(0,40*MAX(1,BF120)-(BA122+BB122+BC122+BD122+BE122))))</f>
        <v>0</v>
      </c>
      <c r="BG122" s="64">
        <f>IF(AND(BG120=0,BG121=0),0,MIN(IF(BG120&lt;=0,0,IF(WEEKDAY(BG$6,1)=1,0,MIN(10,BG121)*BG120)),MAX(0,40*MAX(1,BG120)-(BA122+BB122+BC122+BD122+BE122+BF122))))</f>
        <v>0</v>
      </c>
      <c r="BH122" s="63">
        <f>IF(AND(BH120=1,BH121=10),10,MIN(IF(BH120&lt;=0,0,IF(WEEKDAY(BH$6,1)=1,0,MIN(10,BH121)*BH120)),MAX(0,40*MAX(1,BH120)-(0))))</f>
        <v>10</v>
      </c>
      <c r="BI122" s="63">
        <f>IF(AND(BI120=1,BI121=10),10,MIN(IF(BI120&lt;=0,0,IF(WEEKDAY(BI$6,1)=1,0,MIN(10,BI121)*BI120)),MAX(0,40*MAX(1,BI120)-(BH122))))</f>
        <v>10</v>
      </c>
      <c r="BJ122" s="63">
        <f>IF(AND(BJ120=1,BJ121=10),10,MIN(IF(BJ120&lt;=0,0,IF(WEEKDAY(BJ$6,1)=1,0,MIN(10,BJ121)*BJ120)),MAX(0,40*MAX(1,BJ120)-(BH122+BI122))))</f>
        <v>10</v>
      </c>
      <c r="BK122" s="63">
        <f>IF(AND(BK120=1,BK121=10),10,MIN(IF(BK120&lt;=0,0,IF(WEEKDAY(BK$6,1)=1,0,MIN(10,BK121)*BK120)),MAX(0,40*MAX(1,BK120)-(BH122+BI122+BJ122))))</f>
        <v>10</v>
      </c>
      <c r="BL122" s="63">
        <f>IF(AND(BL120=1,BL121=10),0,MIN(IF(BL120&lt;=0,0,IF(WEEKDAY(BL$6,1)=1,0,MIN(10,BL121)*BL120)),MAX(0,40*MAX(1,BL120)-(BH122+BI122+BJ122+BK122))))</f>
        <v>0</v>
      </c>
      <c r="BM122" s="64">
        <f>IF(AND(BM120=1,BM121=10),0,MIN(IF(BM120&lt;=0,0,IF(WEEKDAY(BM$6,1)=1,0,MIN(10,BM121)*BM120)),MAX(0,40*MAX(1,BM120)-(BH122+BI122+BJ122+BK122+BL122))))</f>
        <v>0</v>
      </c>
      <c r="BN122" s="64">
        <f>IF(AND(BN120=1,BN121=10),0,MIN(IF(BN120&lt;=0,0,IF(WEEKDAY(BN$6,1)=1,0,MIN(10,BN121)*BN120)),MAX(0,40*MAX(1,BN120)-(BH122+BI122+BJ122+BK122+BL122+BM122))))</f>
        <v>0</v>
      </c>
      <c r="BO122" s="63">
        <f>IF(AND(BO120=1,BO121=10),10,MIN(IF(BO120&lt;=0,0,IF(WEEKDAY(BO$6,1)=1,0,MIN(10,BO121)*BO120)),MAX(0,40*MAX(1,BO120)-(0))))</f>
        <v>10</v>
      </c>
      <c r="BP122" s="63">
        <f>IF(AND(BP120=1,BP121=10),10,MIN(IF(BP120&lt;=0,0,IF(WEEKDAY(BP$6,1)=1,0,MIN(10,BP121)*BP120)),MAX(0,40*MAX(1,BP120)-(BO122))))</f>
        <v>10</v>
      </c>
      <c r="BQ122" s="63">
        <f>IF(AND(BQ120=1,BQ121=10),10,MIN(IF(BQ120&lt;=0,0,IF(WEEKDAY(BQ$6,1)=1,0,MIN(10,BQ121)*BQ120)),MAX(0,40*MAX(1,BQ120)-(BO122+BP122))))</f>
        <v>10</v>
      </c>
      <c r="BR122" s="63">
        <f>IF(AND(BR120=1,BR121=10),10,MIN(IF(BR120&lt;=0,0,IF(WEEKDAY(BR$6,1)=1,0,MIN(10,BR121)*BR120)),MAX(0,40*MAX(1,BR120)-(0))))</f>
        <v>10</v>
      </c>
      <c r="BS122" s="63">
        <f>IF(AND(BS120=1,BS121=10),10,MIN(IF(BS120&lt;=0,0,IF(WEEKDAY(BS$6,1)=1,0,MIN(10,BS121)*BS120)),MAX(0,40*MAX(1,BS120)-(BR122))))</f>
        <v>10</v>
      </c>
      <c r="BT122" s="64">
        <f>IF(AND(BT120=1,BT121=10),10,MIN(IF(BT120&lt;=0,0,IF(WEEKDAY(BT$6,1)=1,0,MIN(10,BT121)*BT120)),MAX(0,40*MAX(1,BT120)-(BR122+BS122))))</f>
        <v>10</v>
      </c>
      <c r="BU122" s="64">
        <f>IF(AND(BU120=1,BU121=10),0,MIN(IF(BU120&lt;=0,0,IF(WEEKDAY(BU$6,1)=1,0,MIN(10,BU121)*BU120)),MAX(0,40*MAX(1,BU120)-(BR122+BS122+BT122))))</f>
        <v>0</v>
      </c>
      <c r="BV122" s="63">
        <f>IF(AND(BV120=1,BV121=10),10,MIN(IF(BV120&lt;=0,0,IF(WEEKDAY(BV$6,1)=1,0,MIN(10,BV121)*BV120)),MAX(0,40*MAX(1,BV120)-(0))))</f>
        <v>10</v>
      </c>
      <c r="BW122" s="63">
        <f>IF(AND(BW120=1,BW121=10),10,MIN(IF(BW120&lt;=0,0,IF(WEEKDAY(BW$6,1)=1,0,MIN(10,BW121)*BW120)),MAX(0,40*MAX(1,BW120)-(BV122))))</f>
        <v>10</v>
      </c>
      <c r="BX122" s="63">
        <f>IF(AND(BX120=1,BX121=10),10,MIN(IF(BX120&lt;=0,0,IF(WEEKDAY(BX$6,1)=1,0,MIN(10,BX121)*BX120)),MAX(0,40*MAX(1,BX120)-(BV122+BW122))))</f>
        <v>10</v>
      </c>
      <c r="BY122" s="63">
        <f>IF(AND(BY120=1,BY121=10),10,MIN(IF(BY120&lt;=0,0,IF(WEEKDAY(BY$6,1)=1,0,MIN(10,BY121)*BY120)),MAX(0,40*MAX(1,BY120)-(BV122+BW122+BX122))))</f>
        <v>10</v>
      </c>
      <c r="BZ122" s="63">
        <f>IF(AND(BZ120=1,BZ121=10),0,MIN(IF(BZ120&lt;=0,0,IF(WEEKDAY(BZ$6,1)=1,0,MIN(10,BZ121)*BZ120)),MAX(0,40*MAX(1,BZ120)-(BV122+BW122+BX122+BY122))))</f>
        <v>0</v>
      </c>
      <c r="CA122" s="64">
        <f>IF(AND(CA120=1,CA121=10),0,MIN(IF(CA120&lt;=0,0,IF(WEEKDAY(CA$6,1)=1,0,MIN(10,CA121)*CA120)),MAX(0,40*MAX(1,CA120)-(BV122+BW122+BX122+BY122+BZ122))))</f>
        <v>0</v>
      </c>
      <c r="CB122" s="64">
        <f>IF(AND(CB120=1,CB121=10),0,MIN(IF(CB120&lt;=0,0,IF(WEEKDAY(CB$6,1)=1,0,MIN(10,CB121)*CB120)),MAX(0,40*MAX(1,CB120)-(BV122+BW122+BX122+BY122+BZ122+CA122))))</f>
        <v>0</v>
      </c>
      <c r="CC122" s="63">
        <f>IF(AND(CC120=1,CC121=10),10,MIN(IF(CC120&lt;=0,0,IF(WEEKDAY(CC$6,1)=1,0,MIN(10,CC121)*CC120)),MAX(0,40*MAX(1,CC120)-(0))))</f>
        <v>10</v>
      </c>
      <c r="CD122" s="63">
        <f>IF(AND(CD120=1,CD121=10),10,MIN(IF(CD120&lt;=0,0,IF(WEEKDAY(CD$6,1)=1,0,MIN(10,CD121)*CD120)),MAX(0,40*MAX(1,CD120)-(CC122))))</f>
        <v>10</v>
      </c>
      <c r="CE122" s="63">
        <f>IF(AND(CE120=1,CE121=10),10,MIN(IF(CE120&lt;=0,0,IF(WEEKDAY(CE$6,1)=1,0,MIN(10,CE121)*CE120)),MAX(0,40*MAX(1,CE120)-(CC122+CD122))))</f>
        <v>10</v>
      </c>
      <c r="CF122" s="63">
        <f>IF(AND(CF120=1,CF121=10),10,MIN(IF(CF120&lt;=0,0,IF(WEEKDAY(CF$6,1)=1,0,MIN(10,CF121)*CF120)),MAX(0,40*MAX(1,CF120)-(CC122+CD122+CE122))))</f>
        <v>10</v>
      </c>
      <c r="CG122" s="63">
        <f>IF(AND(CG120=1,CG121=10),0,MIN(IF(CG120&lt;=0,0,IF(WEEKDAY(CG$6,1)=1,0,MIN(10,CG121)*CG120)),MAX(0,40*MAX(1,CG120)-(CC122+CD122+CE122+CF122))))</f>
        <v>0</v>
      </c>
      <c r="CH122" s="64">
        <f>IF(AND(CH120=1,CH121=10),0,MIN(IF(CH120&lt;=0,0,IF(WEEKDAY(CH$6,1)=1,0,MIN(10,CH121)*CH120)),MAX(0,40*MAX(1,CH120)-(CC122+CD122+CE122+CF122+CG122))))</f>
        <v>0</v>
      </c>
      <c r="CI122" s="64">
        <f>IF(AND(CI120=1,CI121=10),0,MIN(IF(CI120&lt;=0,0,IF(WEEKDAY(CI$6,1)=1,0,MIN(10,CI121)*CI120)),MAX(0,40*MAX(1,CI120)-(CC122+CD122+CE122+CF122+CG122+CH122))))</f>
        <v>0</v>
      </c>
      <c r="CJ122" s="63">
        <f>IF(AND(CJ120=1,CJ121=10),10,MIN(IF(CJ120&lt;=0,0,IF(WEEKDAY(CJ$6,1)=1,0,MIN(10,CJ121)*CJ120)),MAX(0,40*MAX(1,CJ120)-(0))))</f>
        <v>10</v>
      </c>
      <c r="CK122" s="63">
        <f>IF(AND(CK120=1,CK121=10),10,MIN(IF(CK120&lt;=0,0,IF(WEEKDAY(CK$6,1)=1,0,MIN(10,CK121)*CK120)),MAX(0,40*MAX(1,CK120)-(CJ122))))</f>
        <v>10</v>
      </c>
      <c r="CL122" s="63">
        <f>IF(AND(CL120=1,CL121=10),10,MIN(IF(CL120&lt;=0,0,IF(WEEKDAY(CL$6,1)=1,0,MIN(10,CL121)*CL120)),MAX(0,40*MAX(1,CL120)-(CJ122+CK122))))</f>
        <v>10</v>
      </c>
      <c r="CM122" s="63">
        <f>IF(AND(CM120=1,CM121=10),10,MIN(IF(CM120&lt;=0,0,IF(WEEKDAY(CM$6,1)=1,0,MIN(10,CM121)*CM120)),MAX(0,40*MAX(1,CM120)-(CJ122+CK122+CL122))))</f>
        <v>10</v>
      </c>
      <c r="CN122" s="63">
        <f>IF(AND(CN120=1,CN121=10),0,MIN(IF(CN120&lt;=0,0,IF(WEEKDAY(CN$6,1)=1,0,MIN(10,CN121)*CN120)),MAX(0,40*MAX(1,CN120)-(CJ122+CK122+CL122+CM122))))</f>
        <v>0</v>
      </c>
      <c r="CO122" s="64">
        <f>IF(AND(CO120=1,CO121=10),0,MIN(IF(CO120&lt;=0,0,IF(WEEKDAY(CO$6,1)=1,0,MIN(10,CO121)*CO120)),MAX(0,40*MAX(1,CO120)-(CJ122+CK122+CL122+CM122+CN122))))</f>
        <v>0</v>
      </c>
      <c r="CP122" s="64">
        <f>IF(AND(CP120=1,CP121=10),0,MIN(IF(CP120&lt;=0,0,IF(WEEKDAY(CP$6,1)=1,0,MIN(10,CP121)*CP120)),MAX(0,40*MAX(1,CP120)-(CJ122+CK122+CL122+CM122+CN122+CO122))))</f>
        <v>0</v>
      </c>
      <c r="CQ122" s="63">
        <f>IF(AND(CQ120=1,CQ121=10),10,MIN(IF(CQ120&lt;=0,0,IF(WEEKDAY(CQ$6,1)=1,0,MIN(10,CQ121)*CQ120)),MAX(0,40*MAX(1,CQ120)-(0))))</f>
        <v>10</v>
      </c>
      <c r="CR122" s="63">
        <f>IF(AND(CR120=1,CR121=10),10,MIN(IF(CR120&lt;=0,0,IF(WEEKDAY(CR$6,1)=1,0,MIN(10,CR121)*CR120)),MAX(0,40*MAX(1,CR120)-(CQ122))))</f>
        <v>10</v>
      </c>
      <c r="CS122" s="63">
        <f>IF(AND(CS120=1,CS121=10),10,MIN(IF(CS120&lt;=0,0,IF(WEEKDAY(CS$6,1)=1,0,MIN(10,CS121)*CS120)),MAX(0,40*MAX(1,CS120)-(CQ122+CR122))))</f>
        <v>10</v>
      </c>
      <c r="CT122" s="63">
        <f>IF(AND(CT120=1,CT121=10),10,MIN(IF(CT120&lt;=0,0,IF(WEEKDAY(CT$6,1)=1,0,MIN(10,CT121)*CT120)),MAX(0,40*MAX(1,CT120)-(CQ122+CR122+CS122))))</f>
        <v>10</v>
      </c>
      <c r="CU122" s="63">
        <f>IF(AND(CU120=1,CU121=10),0,MIN(IF(CU120&lt;=0,0,IF(WEEKDAY(CU$6,1)=1,0,MIN(10,CU121)*CU120)),MAX(0,40*MAX(1,CU120)-(CQ122+CR122+CS122+CT122))))</f>
        <v>0</v>
      </c>
      <c r="CV122" s="64">
        <f>IF(AND(CV120=1,CV121=10),0,MIN(IF(CV120&lt;=0,0,IF(WEEKDAY(CV$6,1)=1,0,MIN(10,CV121)*CV120)),MAX(0,40*MAX(1,CV120)-(CQ122+CR122+CS122+CT122+CU122))))</f>
        <v>0</v>
      </c>
      <c r="CW122" s="64">
        <f>IF(AND(CW120=1,CW121=10),0,MIN(IF(CW120&lt;=0,0,IF(WEEKDAY(CW$6,1)=1,0,MIN(10,CW121)*CW120)),MAX(0,40*MAX(1,CW120)-(CQ122+CR122+CS122+CT122+CU122+CV122))))</f>
        <v>0</v>
      </c>
      <c r="CX122" s="63">
        <f>IF(AND(CX120=1,CX121=10),10,MIN(IF(CX120&lt;=0,0,IF(WEEKDAY(CX$6,1)=1,0,MIN(10,CX121)*CX120)),MAX(0,40*MAX(1,CX120)-(0))))</f>
        <v>10</v>
      </c>
      <c r="CY122" s="63">
        <f>IF(AND(CY120=1,CY121=10),10,MIN(IF(CY120&lt;=0,0,IF(WEEKDAY(CY$6,1)=1,0,MIN(10,CY121)*CY120)),MAX(0,40*MAX(1,CY120)-(CX122))))</f>
        <v>10</v>
      </c>
      <c r="CZ122" s="63">
        <f>IF(AND(CZ120=1,CZ121=10),10,MIN(IF(CZ120&lt;=0,0,IF(WEEKDAY(CZ$6,1)=1,0,MIN(10,CZ121)*CZ120)),MAX(0,40*MAX(1,CZ120)-(CX122+CY122))))</f>
        <v>10</v>
      </c>
      <c r="DA122" s="63">
        <f>IF(AND(DA120=1,DA121=10),10,MIN(IF(DA120&lt;=0,0,IF(WEEKDAY(DA$6,1)=1,0,MIN(10,DA121)*DA120)),MAX(0,40*MAX(1,DA120)-(CX122+CY122+CZ122))))</f>
        <v>10</v>
      </c>
      <c r="DB122" s="63">
        <f>IF(AND(DB120=1,DB121=10),0,MIN(IF(DB120&lt;=0,0,IF(WEEKDAY(DB$6,1)=1,0,MIN(10,DB121)*DB120)),MAX(0,40*MAX(1,DB120)-(CX122+CY122+CZ122+DA122))))</f>
        <v>0</v>
      </c>
      <c r="DC122" s="64">
        <f>IF(AND(DC120=1,DC121=10),0,MIN(IF(DC120&lt;=0,0,IF(WEEKDAY(DC$6,1)=1,0,MIN(10,DC121)*DC120)),MAX(0,40*MAX(1,DC120)-(CX122+CY122+CZ122+DA122+DB122))))</f>
        <v>0</v>
      </c>
      <c r="DD122" s="64">
        <f>IF(AND(DD120=1,DD121=10),0,MIN(IF(DD120&lt;=0,0,IF(WEEKDAY(DD$6,1)=1,0,MIN(10,DD121)*DD120)),MAX(0,40*MAX(1,DD120)-(0))))</f>
        <v>0</v>
      </c>
      <c r="DE122" s="63">
        <f>IF(AND(DE120=1,DE121=10),10,MIN(IF(DE120&lt;=0,0,IF(WEEKDAY(DE$6,1)=1,0,MIN(10,DE121)*DE120)),MAX(0,40*MAX(1,DE120)-(0))))</f>
        <v>10</v>
      </c>
      <c r="DF122" s="63">
        <f>IF(AND(DF120=1,DF121=10),10,MIN(IF(DF120&lt;=0,0,IF(WEEKDAY(DF$6,1)=1,0,MIN(10,DF121)*DF120)),MAX(0,40*MAX(1,DF120)-(DE122))))</f>
        <v>10</v>
      </c>
      <c r="DG122" s="63">
        <f>IF(AND(DG120=1,DG121=10),10,MIN(IF(DG120&lt;=0,0,IF(WEEKDAY(DG$6,1)=1,0,MIN(10,DG121)*DG120)),MAX(0,40*MAX(1,DG120)-(DE122+DF122))))</f>
        <v>10</v>
      </c>
      <c r="DH122" s="63">
        <f>IF(AND(DH120=1,DH121=10),10,MIN(IF(DH120&lt;=0,0,IF(WEEKDAY(DH$6,1)=1,0,MIN(10,DH121)*DH120)),MAX(0,40*MAX(1,DH120)-(DE122+DF122+DG122))))</f>
        <v>10</v>
      </c>
      <c r="DI122" s="63">
        <f>IF(AND(DI120=1,DI121=10),0,MIN(IF(DI120&lt;=0,0,IF(WEEKDAY(DI$6,1)=1,0,MIN(10,DI121)*DI120)),MAX(0,40*MAX(1,DI120)-(DE122+DF122+DG122+DH122))))</f>
        <v>0</v>
      </c>
      <c r="DJ122" s="64">
        <f>IF(AND(DJ120=1,DJ121=10),0,MIN(IF(DJ120&lt;=0,0,IF(WEEKDAY(DJ$6,1)=1,0,MIN(10,DJ121)*DJ120)),MAX(0,40*MAX(1,DJ120)-(DE122+DF122+DG122+DH122+DI122))))</f>
        <v>0</v>
      </c>
      <c r="DK122" s="64">
        <f>IF(AND(DK120=1,DK121=10),0,MIN(IF(DK120&lt;=0,0,IF(WEEKDAY(DK$6,1)=1,0,MIN(10,DK121)*DK120)),MAX(0,40*MAX(1,DK120)-(DE122+DF122+DG122+DH122+DI122+DJ122))))</f>
        <v>0</v>
      </c>
      <c r="DL122" s="63">
        <f>IF(AND(DL120=1,DL121=10),10,MIN(IF(DL120&lt;=0,0,IF(WEEKDAY(DL$6,1)=1,0,MIN(10,DL121)*DL120)),MAX(0,40*MAX(1,DL120)-(0))))</f>
        <v>10</v>
      </c>
      <c r="DM122" s="63">
        <f>IF(AND(DM120=1,DM121=10),10,MIN(IF(DM120&lt;=0,0,IF(WEEKDAY(DM$6,1)=1,0,MIN(10,DM121)*DM120)),MAX(0,40*MAX(1,DM120)-(DL122))))</f>
        <v>10</v>
      </c>
      <c r="DN122" s="63">
        <f>IF(AND(DN120=1,DN121=10),10,MIN(IF(DN120&lt;=0,0,IF(WEEKDAY(DN$6,1)=1,0,MIN(10,DN121)*DN120)),MAX(0,40*MAX(1,DN120)-(DL122+DM122))))</f>
        <v>10</v>
      </c>
      <c r="DO122" s="63">
        <f>IF(AND(DO120=1,DO121=10),10,MIN(IF(DO120&lt;=0,0,IF(WEEKDAY(DO$6,1)=1,0,MIN(10,DO121)*DO120)),MAX(0,40*MAX(1,DO120)-(DL122+DM122+DN122))))</f>
        <v>10</v>
      </c>
      <c r="DP122" s="63">
        <f>IF(AND(DP120=1,DP121=10),0,MIN(IF(DP120&lt;=0,0,IF(WEEKDAY(DP$6,1)=1,0,MIN(10,DP121)*DP120)),MAX(0,40*MAX(1,DP120)-(DL122+DM122+DN122+DO122))))</f>
        <v>0</v>
      </c>
      <c r="DQ122" s="64">
        <f>IF(AND(DQ120=1,DQ121=10),0,MIN(IF(DQ120&lt;=0,0,IF(WEEKDAY(DQ$6,1)=1,0,MIN(10,DQ121)*DQ120)),MAX(0,40*MAX(1,DQ120)-(DL122+DM122+DN122+DO122+DP122))))</f>
        <v>0</v>
      </c>
      <c r="DR122" s="64">
        <f>IF(AND(DR120=1,DR121=10),0,MIN(IF(DR120&lt;=0,0,IF(WEEKDAY(DR$6,1)=1,0,MIN(10,DR121)*DR120)),MAX(0,40*MAX(1,DR120)-(DL122+DM122+DN122+DO122+DP122+DQ122))))</f>
        <v>0</v>
      </c>
      <c r="DS122" s="63">
        <f>IF(AND(DS120=1,DS121=10),10,MIN(IF(DS120&lt;=0,0,IF(WEEKDAY(DS$6,1)=1,0,MIN(10,DS121)*DS120)),MAX(0,40*MAX(1,DS120)-(0))))</f>
        <v>10</v>
      </c>
      <c r="DT122" s="63">
        <f>IF(AND(DT120=0,DT121=0),0,MIN(IF(DT120&lt;=0,0,IF(WEEKDAY(DT$6,1)=1,0,MIN(10,DT121)*DT120)),MAX(0,40*MAX(1,DT120)-(0))))</f>
        <v>0</v>
      </c>
      <c r="DU122" s="63">
        <f>IF(AND(DU120=0,DU121=0),0,MIN(IF(DU120&lt;=0,0,IF(WEEKDAY(DU$6,1)=1,0,MIN(10,DU121)*DU120)),MAX(0,40*MAX(1,DU120)-(DT122))))</f>
        <v>0</v>
      </c>
      <c r="DV122" s="63">
        <f>IF(AND(DV120=0,DV121=0),0,MIN(IF(DV120&lt;=0,0,IF(WEEKDAY(DV$6,1)=1,0,MIN(10,DV121)*DV120)),MAX(0,40*MAX(1,DV120)-(DT122+DU122))))</f>
        <v>0</v>
      </c>
      <c r="DW122" s="63">
        <f>IF(AND(DW120=0,DW121=0),0,MIN(IF(DW120&lt;=0,0,IF(WEEKDAY(DW$6,1)=1,0,MIN(10,DW121)*DW120)),MAX(0,40*MAX(1,DW120)-(DT122+DU122+DV122))))</f>
        <v>0</v>
      </c>
      <c r="DX122" s="64">
        <f>IF(AND(DX120=0,DX121=0),0,MIN(IF(DX120&lt;=0,0,IF(WEEKDAY(DX$6,1)=1,0,MIN(10,DX121)*DX120)),MAX(0,40*MAX(1,DX120)-(DT122+DU122+DV122+DW122))))</f>
        <v>0</v>
      </c>
      <c r="DY122" s="64">
        <f>IF(AND(DY120=0,DY121=0),0,MIN(IF(DY120&lt;=0,0,IF(WEEKDAY(DY$6,1)=1,0,MIN(10,DY121)*DY120)),MAX(0,40*MAX(1,DY120)-(DT122+DU122+DV122+DW122+DX122))))</f>
        <v>0</v>
      </c>
      <c r="DZ122" s="63">
        <f>IF(AND(DZ120=0,DZ121=0),0,MIN(IF(DZ120&lt;=0,0,IF(WEEKDAY(DZ$6,1)=1,0,MIN(10,DZ121)*DZ120)),MAX(0,40*MAX(1,DZ120)-(0))))</f>
        <v>0</v>
      </c>
      <c r="EA122" s="63">
        <f>IF(AND(EA120=0,EA121=0),0,MIN(IF(EA120&lt;=0,0,IF(WEEKDAY(EA$6,1)=1,0,MIN(10,EA121)*EA120)),MAX(0,40*MAX(1,EA120)-(DZ122))))</f>
        <v>0</v>
      </c>
      <c r="EB122" s="63">
        <f>IF(AND(EB120=0,EB121=0),0,MIN(IF(EB120&lt;=0,0,IF(WEEKDAY(EB$6,1)=1,0,MIN(10,EB121)*EB120)),MAX(0,40*MAX(1,EB120)-(DZ122+EA122))))</f>
        <v>0</v>
      </c>
      <c r="EC122" s="63">
        <f>IF(AND(EC120=0,EC121=0),0,MIN(IF(EC120&lt;=0,0,IF(WEEKDAY(EC$6,1)=1,0,MIN(10,EC121)*EC120)),MAX(0,40*MAX(1,EC120)-(DZ122+EA122+EB122))))</f>
        <v>0</v>
      </c>
      <c r="ED122" s="63">
        <f>IF(AND(ED120=0,ED121=0),0,MIN(IF(ED120&lt;=0,0,IF(WEEKDAY(ED$6,1)=1,0,MIN(10,ED121)*ED120)),MAX(0,40*MAX(1,ED120)-(DZ122+EA122+EB122+EC122))))</f>
        <v>0</v>
      </c>
      <c r="EE122" s="64">
        <f>IF(AND(EE120=0,EE121=0),0,MIN(IF(EE120&lt;=0,0,IF(WEEKDAY(EE$6,1)=1,0,MIN(10,EE121)*EE120)),MAX(0,40*MAX(1,EE120)-(DZ122+EA122+EB122+EC122+ED122))))</f>
        <v>0</v>
      </c>
      <c r="EF122" s="64">
        <f>IF(AND(EF120=0,EF121=0),0,MIN(IF(EF120&lt;=0,0,IF(WEEKDAY(EF$6,1)=1,0,MIN(10,EF121)*EF120)),MAX(0,40*MAX(1,EF120)-(DZ122+EA122+EB122+EC122+ED122+EE122))))</f>
        <v>0</v>
      </c>
      <c r="EG122" s="63">
        <f>IF(AND(EG120=0,EG121=0),0,MIN(IF(EG120&lt;=0,0,IF(WEEKDAY(EG$6,1)=1,0,MIN(10,EG121)*EG120)),MAX(0,40*MAX(1,EG120)-(0))))</f>
        <v>0</v>
      </c>
      <c r="EH122" s="63">
        <f>IF(AND(EH120=0,EH121=0),0,MIN(IF(EH120&lt;=0,0,IF(WEEKDAY(EH$6,1)=1,0,MIN(10,EH121)*EH120)),MAX(0,40*MAX(1,EH120)-(EG122))))</f>
        <v>0</v>
      </c>
      <c r="EI122" s="63">
        <f>IF(AND(EI120=0,EI121=0),0,MIN(IF(EI120&lt;=0,0,IF(WEEKDAY(EI$6,1)=1,0,MIN(10,EI121)*EI120)),MAX(0,40*MAX(1,EI120)-(EG122+EH122))))</f>
        <v>0</v>
      </c>
      <c r="EJ122" s="63">
        <f>IF(AND(EJ120=0,EJ121=0),0,MIN(IF(EJ120&lt;=0,0,IF(WEEKDAY(EJ$6,1)=1,0,MIN(10,EJ121)*EJ120)),MAX(0,40*MAX(1,EJ120)-(EG122+EH122+EI122))))</f>
        <v>0</v>
      </c>
      <c r="EK122" s="65">
        <f>IF(AND(EK120=0,EK121=0),0,MIN(IF(EK120&lt;=0,0,IF(WEEKDAY(EK$6,1)=1,0,MIN(10,EK121)*EK120)),MAX(0,40*MAX(1,EK120)-(EG122+EH122+EI122+EJ122))))</f>
        <v>0</v>
      </c>
      <c r="OU122" s="28" t="s">
        <v>88</v>
      </c>
    </row>
    <row r="123" ht="16" customHeight="1" spans="1:411" x14ac:dyDescent="0.25">
      <c r="A123" s="74"/>
      <c r="B123" s="46"/>
      <c r="C123" s="66">
        <f>G119*N(D123)</f>
        <v>28734.4</v>
      </c>
      <c r="D123" s="66">
        <f>IF(TRIM(B119)="","No rate",IFERROR(INDEX('Rate Tables'!D$7:D$158,MATCH(B119,'Rate Tables'!A$7:A$158,0)),"No rate"))</f>
        <v>179.59</v>
      </c>
      <c r="E123" s="55" t="s">
        <v>63</v>
      </c>
      <c r="F123" s="49"/>
      <c r="G123" s="49"/>
      <c r="H123" s="49"/>
      <c r="I123" s="49"/>
      <c r="J123" s="50"/>
      <c r="K123" s="62">
        <f>IF(AND(K120=0,K121=0),0,IF(K120&lt;=0,0,IF(WEEKDAY(K$6,1)=1,0,MAX(0,K121-10)*K120))+((IF(K120&lt;=0,0,IF(WEEKDAY(K$6,1)=1,0,MIN(10,K121)*K120)))-MIN(IF(K120&lt;=0,0,IF(WEEKDAY(K$6,1)=1,0,MIN(10,K121)*K120)),MAX(0,40*MAX(1,K120)-(0)))))</f>
        <v>0</v>
      </c>
      <c r="L123" s="63">
        <f>IF(AND(L120=0,L121=0),0,IF(L120&lt;=0,0,IF(WEEKDAY(L$6,1)=1,0,MAX(0,L121-10)*L120))+((IF(L120&lt;=0,0,IF(WEEKDAY(L$6,1)=1,0,MIN(10,L121)*L120)))-MIN(IF(L120&lt;=0,0,IF(WEEKDAY(L$6,1)=1,0,MIN(10,L121)*L120)),MAX(0,40*MAX(1,L120)-(K122)))))</f>
        <v>0</v>
      </c>
      <c r="M123" s="63">
        <f>IF(AND(M120=0,M121=0),0,IF(M120&lt;=0,0,IF(WEEKDAY(M$6,1)=1,0,MAX(0,M121-10)*M120))+((IF(M120&lt;=0,0,IF(WEEKDAY(M$6,1)=1,0,MIN(10,M121)*M120)))-MIN(IF(M120&lt;=0,0,IF(WEEKDAY(M$6,1)=1,0,MIN(10,M121)*M120)),MAX(0,40*MAX(1,M120)-(K122+L122)))))</f>
        <v>0</v>
      </c>
      <c r="N123" s="63">
        <f>IF(AND(N120=0,N121=0),0,IF(N120&lt;=0,0,IF(WEEKDAY(N$6,1)=1,0,MAX(0,N121-10)*N120))+((IF(N120&lt;=0,0,IF(WEEKDAY(N$6,1)=1,0,MIN(10,N121)*N120)))-MIN(IF(N120&lt;=0,0,IF(WEEKDAY(N$6,1)=1,0,MIN(10,N121)*N120)),MAX(0,40*MAX(1,N120)-(K122+L122+M122)))))</f>
        <v>0</v>
      </c>
      <c r="O123" s="63">
        <f>IF(AND(O120=0,O121=0),0,IF(O120&lt;=0,0,IF(WEEKDAY(O$6,1)=1,0,MAX(0,O121-10)*O120))+((IF(O120&lt;=0,0,IF(WEEKDAY(O$6,1)=1,0,MIN(10,O121)*O120)))-MIN(IF(O120&lt;=0,0,IF(WEEKDAY(O$6,1)=1,0,MIN(10,O121)*O120)),MAX(0,40*MAX(1,O120)-(K122+L122+M122+N122)))))</f>
        <v>0</v>
      </c>
      <c r="P123" s="64">
        <f>IF(AND(P120=0,P121=0),0,IF(P120&lt;=0,0,IF(WEEKDAY(P$6,1)=1,0,MAX(0,P121-10)*P120))+((IF(P120&lt;=0,0,IF(WEEKDAY(P$6,1)=1,0,MIN(10,P121)*P120)))-MIN(IF(P120&lt;=0,0,IF(WEEKDAY(P$6,1)=1,0,MIN(10,P121)*P120)),MAX(0,40*MAX(1,P120)-(K122+L122+M122+N122+O122)))))</f>
        <v>0</v>
      </c>
      <c r="Q123" s="64">
        <f>IF(AND(Q120=0,Q121=0),0,IF(Q120&lt;=0,0,IF(WEEKDAY(Q$6,1)=1,0,MAX(0,Q121-10)*Q120))+((IF(Q120&lt;=0,0,IF(WEEKDAY(Q$6,1)=1,0,MIN(10,Q121)*Q120)))-MIN(IF(Q120&lt;=0,0,IF(WEEKDAY(Q$6,1)=1,0,MIN(10,Q121)*Q120)),MAX(0,40*MAX(1,Q120)-(K122+L122+M122+N122+O122+P122)))))</f>
        <v>0</v>
      </c>
      <c r="R123" s="63">
        <f>IF(AND(R120=0,R121=0),0,IF(R120&lt;=0,0,IF(WEEKDAY(R$6,1)=1,0,MAX(0,R121-10)*R120))+((IF(R120&lt;=0,0,IF(WEEKDAY(R$6,1)=1,0,MIN(10,R121)*R120)))-MIN(IF(R120&lt;=0,0,IF(WEEKDAY(R$6,1)=1,0,MIN(10,R121)*R120)),MAX(0,40*MAX(1,R120)-(0)))))</f>
        <v>0</v>
      </c>
      <c r="S123" s="63">
        <f>IF(AND(S120=0,S121=0),0,IF(S120&lt;=0,0,IF(WEEKDAY(S$6,1)=1,0,MAX(0,S121-10)*S120))+((IF(S120&lt;=0,0,IF(WEEKDAY(S$6,1)=1,0,MIN(10,S121)*S120)))-MIN(IF(S120&lt;=0,0,IF(WEEKDAY(S$6,1)=1,0,MIN(10,S121)*S120)),MAX(0,40*MAX(1,S120)-(R122)))))</f>
        <v>0</v>
      </c>
      <c r="T123" s="63">
        <f>IF(AND(T120=0,T121=0),0,IF(T120&lt;=0,0,IF(WEEKDAY(T$6,1)=1,0,MAX(0,T121-10)*T120))+((IF(T120&lt;=0,0,IF(WEEKDAY(T$6,1)=1,0,MIN(10,T121)*T120)))-MIN(IF(T120&lt;=0,0,IF(WEEKDAY(T$6,1)=1,0,MIN(10,T121)*T120)),MAX(0,40*MAX(1,T120)-(R122+S122)))))</f>
        <v>0</v>
      </c>
      <c r="U123" s="63">
        <f>IF(AND(U120=0,U121=0),0,IF(U120&lt;=0,0,IF(WEEKDAY(U$6,1)=1,0,MAX(0,U121-10)*U120))+((IF(U120&lt;=0,0,IF(WEEKDAY(U$6,1)=1,0,MIN(10,U121)*U120)))-MIN(IF(U120&lt;=0,0,IF(WEEKDAY(U$6,1)=1,0,MIN(10,U121)*U120)),MAX(0,40*MAX(1,U120)-(R122+S122+T122)))))</f>
        <v>0</v>
      </c>
      <c r="V123" s="63">
        <f>IF(AND(V120=0,V121=0),0,IF(V120&lt;=0,0,IF(WEEKDAY(V$6,1)=1,0,MAX(0,V121-10)*V120))+((IF(V120&lt;=0,0,IF(WEEKDAY(V$6,1)=1,0,MIN(10,V121)*V120)))-MIN(IF(V120&lt;=0,0,IF(WEEKDAY(V$6,1)=1,0,MIN(10,V121)*V120)),MAX(0,40*MAX(1,V120)-(R122+S122+T122+U122)))))</f>
        <v>0</v>
      </c>
      <c r="W123" s="64">
        <f>IF(AND(W120=0,W121=0),0,IF(W120&lt;=0,0,IF(WEEKDAY(W$6,1)=1,0,MAX(0,W121-10)*W120))+((IF(W120&lt;=0,0,IF(WEEKDAY(W$6,1)=1,0,MIN(10,W121)*W120)))-MIN(IF(W120&lt;=0,0,IF(WEEKDAY(W$6,1)=1,0,MIN(10,W121)*W120)),MAX(0,40*MAX(1,W120)-(R122+S122+T122+U122+V122)))))</f>
        <v>0</v>
      </c>
      <c r="X123" s="64">
        <f>IF(AND(X120=0,X121=0),0,IF(X120&lt;=0,0,IF(WEEKDAY(X$6,1)=1,0,MAX(0,X121-10)*X120))+((IF(X120&lt;=0,0,IF(WEEKDAY(X$6,1)=1,0,MIN(10,X121)*X120)))-MIN(IF(X120&lt;=0,0,IF(WEEKDAY(X$6,1)=1,0,MIN(10,X121)*X120)),MAX(0,40*MAX(1,X120)-(R122+S122+T122+U122+V122+W122)))))</f>
        <v>0</v>
      </c>
      <c r="Y123" s="63">
        <f>IF(AND(Y120=0,Y121=0),0,IF(Y120&lt;=0,0,IF(WEEKDAY(Y$6,1)=1,0,MAX(0,Y121-10)*Y120))+((IF(Y120&lt;=0,0,IF(WEEKDAY(Y$6,1)=1,0,MIN(10,Y121)*Y120)))-MIN(IF(Y120&lt;=0,0,IF(WEEKDAY(Y$6,1)=1,0,MIN(10,Y121)*Y120)),MAX(0,40*MAX(1,Y120)-(0)))))</f>
        <v>0</v>
      </c>
      <c r="Z123" s="63">
        <f>IF(AND(Z120=0,Z121=0),0,IF(Z120&lt;=0,0,IF(WEEKDAY(Z$6,1)=1,0,MAX(0,Z121-10)*Z120))+((IF(Z120&lt;=0,0,IF(WEEKDAY(Z$6,1)=1,0,MIN(10,Z121)*Z120)))-MIN(IF(Z120&lt;=0,0,IF(WEEKDAY(Z$6,1)=1,0,MIN(10,Z121)*Z120)),MAX(0,40*MAX(1,Z120)-(Y122)))))</f>
        <v>0</v>
      </c>
      <c r="AA123" s="63">
        <f>IF(AND(AA120=0,AA121=0),0,IF(AA120&lt;=0,0,IF(WEEKDAY(AA$6,1)=1,0,MAX(0,AA121-10)*AA120))+((IF(AA120&lt;=0,0,IF(WEEKDAY(AA$6,1)=1,0,MIN(10,AA121)*AA120)))-MIN(IF(AA120&lt;=0,0,IF(WEEKDAY(AA$6,1)=1,0,MIN(10,AA121)*AA120)),MAX(0,40*MAX(1,AA120)-(Y122+Z122)))))</f>
        <v>0</v>
      </c>
      <c r="AB123" s="63">
        <f>IF(AND(AB120=0,AB121=0),0,IF(AB120&lt;=0,0,IF(WEEKDAY(AB$6,1)=1,0,MAX(0,AB121-10)*AB120))+((IF(AB120&lt;=0,0,IF(WEEKDAY(AB$6,1)=1,0,MIN(10,AB121)*AB120)))-MIN(IF(AB120&lt;=0,0,IF(WEEKDAY(AB$6,1)=1,0,MIN(10,AB121)*AB120)),MAX(0,40*MAX(1,AB120)-(Y122+Z122+AA122)))))</f>
        <v>0</v>
      </c>
      <c r="AC123" s="63">
        <f>IF(AND(AC120=0,AC121=0),0,IF(AC120&lt;=0,0,IF(WEEKDAY(AC$6,1)=1,0,MAX(0,AC121-10)*AC120))+((IF(AC120&lt;=0,0,IF(WEEKDAY(AC$6,1)=1,0,MIN(10,AC121)*AC120)))-MIN(IF(AC120&lt;=0,0,IF(WEEKDAY(AC$6,1)=1,0,MIN(10,AC121)*AC120)),MAX(0,40*MAX(1,AC120)-(Y122+Z122+AA122+AB122)))))</f>
        <v>0</v>
      </c>
      <c r="AD123" s="64">
        <f>IF(AND(AD120=0,AD121=0),0,IF(AD120&lt;=0,0,IF(WEEKDAY(AD$6,1)=1,0,MAX(0,AD121-10)*AD120))+((IF(AD120&lt;=0,0,IF(WEEKDAY(AD$6,1)=1,0,MIN(10,AD121)*AD120)))-MIN(IF(AD120&lt;=0,0,IF(WEEKDAY(AD$6,1)=1,0,MIN(10,AD121)*AD120)),MAX(0,40*MAX(1,AD120)-(Y122+Z122+AA122+AB122+AC122)))))</f>
        <v>0</v>
      </c>
      <c r="AE123" s="64">
        <f>IF(AND(AE120=0,AE121=0),0,IF(AE120&lt;=0,0,IF(WEEKDAY(AE$6,1)=1,0,MAX(0,AE121-10)*AE120))+((IF(AE120&lt;=0,0,IF(WEEKDAY(AE$6,1)=1,0,MIN(10,AE121)*AE120)))-MIN(IF(AE120&lt;=0,0,IF(WEEKDAY(AE$6,1)=1,0,MIN(10,AE121)*AE120)),MAX(0,40*MAX(1,AE120)-(Y122+Z122+AA122+AB122+AC122+AD122)))))</f>
        <v>0</v>
      </c>
      <c r="AF123" s="63">
        <f>IF(AND(AF120=0,AF121=0),0,IF(AF120&lt;=0,0,IF(WEEKDAY(AF$6,1)=1,0,MAX(0,AF121-10)*AF120))+((IF(AF120&lt;=0,0,IF(WEEKDAY(AF$6,1)=1,0,MIN(10,AF121)*AF120)))-MIN(IF(AF120&lt;=0,0,IF(WEEKDAY(AF$6,1)=1,0,MIN(10,AF121)*AF120)),MAX(0,40*MAX(1,AF120)-(0)))))</f>
        <v>0</v>
      </c>
      <c r="AG123" s="63">
        <f>IF(AND(AG120=0,AG121=0),0,IF(AG120&lt;=0,0,IF(WEEKDAY(AG$6,1)=1,0,MAX(0,AG121-10)*AG120))+((IF(AG120&lt;=0,0,IF(WEEKDAY(AG$6,1)=1,0,MIN(10,AG121)*AG120)))-MIN(IF(AG120&lt;=0,0,IF(WEEKDAY(AG$6,1)=1,0,MIN(10,AG121)*AG120)),MAX(0,40*MAX(1,AG120)-(AF122)))))</f>
        <v>0</v>
      </c>
      <c r="AH123" s="63">
        <f>IF(AND(AH120=0,AH121=0),0,IF(AH120&lt;=0,0,IF(WEEKDAY(AH$6,1)=1,0,MAX(0,AH121-10)*AH120))+((IF(AH120&lt;=0,0,IF(WEEKDAY(AH$6,1)=1,0,MIN(10,AH121)*AH120)))-MIN(IF(AH120&lt;=0,0,IF(WEEKDAY(AH$6,1)=1,0,MIN(10,AH121)*AH120)),MAX(0,40*MAX(1,AH120)-(AF122+AG122)))))</f>
        <v>0</v>
      </c>
      <c r="AI123" s="63">
        <f>IF(AND(AI120=0,AI121=0),0,IF(AI120&lt;=0,0,IF(WEEKDAY(AI$6,1)=1,0,MAX(0,AI121-10)*AI120))+((IF(AI120&lt;=0,0,IF(WEEKDAY(AI$6,1)=1,0,MIN(10,AI121)*AI120)))-MIN(IF(AI120&lt;=0,0,IF(WEEKDAY(AI$6,1)=1,0,MIN(10,AI121)*AI120)),MAX(0,40*MAX(1,AI120)-(AF122+AG122+AH122)))))</f>
        <v>0</v>
      </c>
      <c r="AJ123" s="63">
        <f>IF(AND(AJ120=0,AJ121=0),0,IF(AJ120&lt;=0,0,IF(WEEKDAY(AJ$6,1)=1,0,MAX(0,AJ121-10)*AJ120))+((IF(AJ120&lt;=0,0,IF(WEEKDAY(AJ$6,1)=1,0,MIN(10,AJ121)*AJ120)))-MIN(IF(AJ120&lt;=0,0,IF(WEEKDAY(AJ$6,1)=1,0,MIN(10,AJ121)*AJ120)),MAX(0,40*MAX(1,AJ120)-(AF122+AG122+AH122+AI122)))))</f>
        <v>0</v>
      </c>
      <c r="AK123" s="64">
        <f>IF(AND(AK120=0,AK121=0),0,IF(AK120&lt;=0,0,IF(WEEKDAY(AK$6,1)=1,0,MAX(0,AK121-10)*AK120))+((IF(AK120&lt;=0,0,IF(WEEKDAY(AK$6,1)=1,0,MIN(10,AK121)*AK120)))-MIN(IF(AK120&lt;=0,0,IF(WEEKDAY(AK$6,1)=1,0,MIN(10,AK121)*AK120)),MAX(0,40*MAX(1,AK120)-(AF122+AG122+AH122+AI122+AJ122)))))</f>
        <v>0</v>
      </c>
      <c r="AL123" s="64">
        <f>IF(AND(AL120=0,AL121=0),0,IF(AL120&lt;=0,0,IF(WEEKDAY(AL$6,1)=1,0,MAX(0,AL121-10)*AL120))+((IF(AL120&lt;=0,0,IF(WEEKDAY(AL$6,1)=1,0,MIN(10,AL121)*AL120)))-MIN(IF(AL120&lt;=0,0,IF(WEEKDAY(AL$6,1)=1,0,MIN(10,AL121)*AL120)),MAX(0,40*MAX(1,AL120)-(AF122+AG122+AH122+AI122+AJ122+AK122)))))</f>
        <v>0</v>
      </c>
      <c r="AM123" s="63">
        <f>IF(AND(AM120=0,AM121=0),0,IF(AM120&lt;=0,0,IF(WEEKDAY(AM$6,1)=1,0,MAX(0,AM121-10)*AM120))+((IF(AM120&lt;=0,0,IF(WEEKDAY(AM$6,1)=1,0,MIN(10,AM121)*AM120)))-MIN(IF(AM120&lt;=0,0,IF(WEEKDAY(AM$6,1)=1,0,MIN(10,AM121)*AM120)),MAX(0,40*MAX(1,AM120)-(0)))))</f>
        <v>0</v>
      </c>
      <c r="AN123" s="63">
        <f>IF(AND(AN120=0,AN121=0),0,IF(AN120&lt;=0,0,IF(WEEKDAY(AN$6,1)=1,0,MAX(0,AN121-10)*AN120))+((IF(AN120&lt;=0,0,IF(WEEKDAY(AN$6,1)=1,0,MIN(10,AN121)*AN120)))-MIN(IF(AN120&lt;=0,0,IF(WEEKDAY(AN$6,1)=1,0,MIN(10,AN121)*AN120)),MAX(0,40*MAX(1,AN120)-(AM122)))))</f>
        <v>0</v>
      </c>
      <c r="AO123" s="63">
        <f>IF(AND(AO120=0,AO121=0),0,IF(AO120&lt;=0,0,IF(WEEKDAY(AO$6,1)=1,0,MAX(0,AO121-10)*AO120))+((IF(AO120&lt;=0,0,IF(WEEKDAY(AO$6,1)=1,0,MIN(10,AO121)*AO120)))-MIN(IF(AO120&lt;=0,0,IF(WEEKDAY(AO$6,1)=1,0,MIN(10,AO121)*AO120)),MAX(0,40*MAX(1,AO120)-(AM122+AN122)))))</f>
        <v>0</v>
      </c>
      <c r="AP123" s="63">
        <f>IF(AND(AP120=0,AP121=0),0,IF(AP120&lt;=0,0,IF(WEEKDAY(AP$6,1)=1,0,MAX(0,AP121-10)*AP120))+((IF(AP120&lt;=0,0,IF(WEEKDAY(AP$6,1)=1,0,MIN(10,AP121)*AP120)))-MIN(IF(AP120&lt;=0,0,IF(WEEKDAY(AP$6,1)=1,0,MIN(10,AP121)*AP120)),MAX(0,40*MAX(1,AP120)-(AM122+AN122+AO122)))))</f>
        <v>0</v>
      </c>
      <c r="AQ123" s="63">
        <f>IF(AND(AQ120=0,AQ121=0),0,IF(AQ120&lt;=0,0,IF(WEEKDAY(AQ$6,1)=1,0,MAX(0,AQ121-10)*AQ120))+((IF(AQ120&lt;=0,0,IF(WEEKDAY(AQ$6,1)=1,0,MIN(10,AQ121)*AQ120)))-MIN(IF(AQ120&lt;=0,0,IF(WEEKDAY(AQ$6,1)=1,0,MIN(10,AQ121)*AQ120)),MAX(0,40*MAX(1,AQ120)-(AM122+AN122+AO122+AP122)))))</f>
        <v>0</v>
      </c>
      <c r="AR123" s="64">
        <f>IF(AND(AR120=0,AR121=0),0,IF(AR120&lt;=0,0,IF(WEEKDAY(AR$6,1)=1,0,MAX(0,AR121-10)*AR120))+((IF(AR120&lt;=0,0,IF(WEEKDAY(AR$6,1)=1,0,MIN(10,AR121)*AR120)))-MIN(IF(AR120&lt;=0,0,IF(WEEKDAY(AR$6,1)=1,0,MIN(10,AR121)*AR120)),MAX(0,40*MAX(1,AR120)-(AM122+AN122+AO122+AP122+AQ122)))))</f>
        <v>0</v>
      </c>
      <c r="AS123" s="64">
        <f>IF(AND(AS120=0,AS121=0),0,IF(AS120&lt;=0,0,IF(WEEKDAY(AS$6,1)=1,0,MAX(0,AS121-10)*AS120))+((IF(AS120&lt;=0,0,IF(WEEKDAY(AS$6,1)=1,0,MIN(10,AS121)*AS120)))-MIN(IF(AS120&lt;=0,0,IF(WEEKDAY(AS$6,1)=1,0,MIN(10,AS121)*AS120)),MAX(0,40*MAX(1,AS120)-(AM122+AN122+AO122+AP122+AQ122+AR122)))))</f>
        <v>0</v>
      </c>
      <c r="AT123" s="63">
        <f>IF(AND(AT120=0,AT121=0),0,IF(AT120&lt;=0,0,IF(WEEKDAY(AT$6,1)=1,0,MAX(0,AT121-10)*AT120))+((IF(AT120&lt;=0,0,IF(WEEKDAY(AT$6,1)=1,0,MIN(10,AT121)*AT120)))-MIN(IF(AT120&lt;=0,0,IF(WEEKDAY(AT$6,1)=1,0,MIN(10,AT121)*AT120)),MAX(0,40*MAX(1,AT120)-(0)))))</f>
        <v>0</v>
      </c>
      <c r="AU123" s="63">
        <f>IF(AND(AU120=0,AU121=0),0,IF(AU120&lt;=0,0,IF(WEEKDAY(AU$6,1)=1,0,MAX(0,AU121-10)*AU120))+((IF(AU120&lt;=0,0,IF(WEEKDAY(AU$6,1)=1,0,MIN(10,AU121)*AU120)))-MIN(IF(AU120&lt;=0,0,IF(WEEKDAY(AU$6,1)=1,0,MIN(10,AU121)*AU120)),MAX(0,40*MAX(1,AU120)-(AT122)))))</f>
        <v>0</v>
      </c>
      <c r="AV123" s="63">
        <f>IF(AND(AV120=0,AV121=0),0,IF(AV120&lt;=0,0,IF(WEEKDAY(AV$6,1)=1,0,MAX(0,AV121-10)*AV120))+((IF(AV120&lt;=0,0,IF(WEEKDAY(AV$6,1)=1,0,MIN(10,AV121)*AV120)))-MIN(IF(AV120&lt;=0,0,IF(WEEKDAY(AV$6,1)=1,0,MIN(10,AV121)*AV120)),MAX(0,40*MAX(1,AV120)-(AT122+AU122)))))</f>
        <v>0</v>
      </c>
      <c r="AW123" s="63">
        <f>IF(AND(AW120=0,AW121=0),0,IF(AW120&lt;=0,0,IF(WEEKDAY(AW$6,1)=1,0,MAX(0,AW121-10)*AW120))+((IF(AW120&lt;=0,0,IF(WEEKDAY(AW$6,1)=1,0,MIN(10,AW121)*AW120)))-MIN(IF(AW120&lt;=0,0,IF(WEEKDAY(AW$6,1)=1,0,MIN(10,AW121)*AW120)),MAX(0,40*MAX(1,AW120)-(AT122+AU122+AV122)))))</f>
        <v>0</v>
      </c>
      <c r="AX123" s="63">
        <f>IF(AND(AX120=0,AX121=0),0,IF(AX120&lt;=0,0,IF(WEEKDAY(AX$6,1)=1,0,MAX(0,AX121-10)*AX120))+((IF(AX120&lt;=0,0,IF(WEEKDAY(AX$6,1)=1,0,MIN(10,AX121)*AX120)))-MIN(IF(AX120&lt;=0,0,IF(WEEKDAY(AX$6,1)=1,0,MIN(10,AX121)*AX120)),MAX(0,40*MAX(1,AX120)-(AT122+AU122+AV122+AW122)))))</f>
        <v>0</v>
      </c>
      <c r="AY123" s="64">
        <f>IF(AND(AY120=0,AY121=0),0,IF(AY120&lt;=0,0,IF(WEEKDAY(AY$6,1)=1,0,MAX(0,AY121-10)*AY120))+((IF(AY120&lt;=0,0,IF(WEEKDAY(AY$6,1)=1,0,MIN(10,AY121)*AY120)))-MIN(IF(AY120&lt;=0,0,IF(WEEKDAY(AY$6,1)=1,0,MIN(10,AY121)*AY120)),MAX(0,40*MAX(1,AY120)-(AT122+AU122+AV122+AW122+AX122)))))</f>
        <v>0</v>
      </c>
      <c r="AZ123" s="64">
        <f>IF(AND(AZ120=0,AZ121=0),0,IF(AZ120&lt;=0,0,IF(WEEKDAY(AZ$6,1)=1,0,MAX(0,AZ121-10)*AZ120))+((IF(AZ120&lt;=0,0,IF(WEEKDAY(AZ$6,1)=1,0,MIN(10,AZ121)*AZ120)))-MIN(IF(AZ120&lt;=0,0,IF(WEEKDAY(AZ$6,1)=1,0,MIN(10,AZ121)*AZ120)),MAX(0,40*MAX(1,AZ120)-(AT122+AU122+AV122+AW122+AX122+AY122)))))</f>
        <v>0</v>
      </c>
      <c r="BA123" s="63">
        <f>IF(AND(BA120=0,BA121=0),0,IF(BA120&lt;=0,0,IF(WEEKDAY(BA$6,1)=1,0,MAX(0,BA121-10)*BA120))+((IF(BA120&lt;=0,0,IF(WEEKDAY(BA$6,1)=1,0,MIN(10,BA121)*BA120)))-MIN(IF(BA120&lt;=0,0,IF(WEEKDAY(BA$6,1)=1,0,MIN(10,BA121)*BA120)),MAX(0,40*MAX(1,BA120)-(0)))))</f>
        <v>0</v>
      </c>
      <c r="BB123" s="63">
        <f>IF(AND(BB120=0,BB121=0),0,IF(BB120&lt;=0,0,IF(WEEKDAY(BB$6,1)=1,0,MAX(0,BB121-10)*BB120))+((IF(BB120&lt;=0,0,IF(WEEKDAY(BB$6,1)=1,0,MIN(10,BB121)*BB120)))-MIN(IF(BB120&lt;=0,0,IF(WEEKDAY(BB$6,1)=1,0,MIN(10,BB121)*BB120)),MAX(0,40*MAX(1,BB120)-(BA122)))))</f>
        <v>0</v>
      </c>
      <c r="BC123" s="63">
        <f>IF(AND(BC120=0,BC121=0),0,IF(BC120&lt;=0,0,IF(WEEKDAY(BC$6,1)=1,0,MAX(0,BC121-10)*BC120))+((IF(BC120&lt;=0,0,IF(WEEKDAY(BC$6,1)=1,0,MIN(10,BC121)*BC120)))-MIN(IF(BC120&lt;=0,0,IF(WEEKDAY(BC$6,1)=1,0,MIN(10,BC121)*BC120)),MAX(0,40*MAX(1,BC120)-(BA122+BB122)))))</f>
        <v>0</v>
      </c>
      <c r="BD123" s="63">
        <f>IF(AND(BD120=0,BD121=0),0,IF(BD120&lt;=0,0,IF(WEEKDAY(BD$6,1)=1,0,MAX(0,BD121-10)*BD120))+((IF(BD120&lt;=0,0,IF(WEEKDAY(BD$6,1)=1,0,MIN(10,BD121)*BD120)))-MIN(IF(BD120&lt;=0,0,IF(WEEKDAY(BD$6,1)=1,0,MIN(10,BD121)*BD120)),MAX(0,40*MAX(1,BD120)-(BA122+BB122+BC122)))))</f>
        <v>0</v>
      </c>
      <c r="BE123" s="63">
        <f>IF(AND(BE120=0,BE121=0),0,IF(BE120&lt;=0,0,IF(WEEKDAY(BE$6,1)=1,0,MAX(0,BE121-10)*BE120))+((IF(BE120&lt;=0,0,IF(WEEKDAY(BE$6,1)=1,0,MIN(10,BE121)*BE120)))-MIN(IF(BE120&lt;=0,0,IF(WEEKDAY(BE$6,1)=1,0,MIN(10,BE121)*BE120)),MAX(0,40*MAX(1,BE120)-(BA122+BB122+BC122+BD122)))))</f>
        <v>0</v>
      </c>
      <c r="BF123" s="64">
        <f>IF(AND(BF120=0,BF121=0),0,IF(BF120&lt;=0,0,IF(WEEKDAY(BF$6,1)=1,0,MAX(0,BF121-10)*BF120))+((IF(BF120&lt;=0,0,IF(WEEKDAY(BF$6,1)=1,0,MIN(10,BF121)*BF120)))-MIN(IF(BF120&lt;=0,0,IF(WEEKDAY(BF$6,1)=1,0,MIN(10,BF121)*BF120)),MAX(0,40*MAX(1,BF120)-(BA122+BB122+BC122+BD122+BE122)))))</f>
        <v>0</v>
      </c>
      <c r="BG123" s="64">
        <f>IF(AND(BG120=0,BG121=0),0,IF(BG120&lt;=0,0,IF(WEEKDAY(BG$6,1)=1,0,MAX(0,BG121-10)*BG120))+((IF(BG120&lt;=0,0,IF(WEEKDAY(BG$6,1)=1,0,MIN(10,BG121)*BG120)))-MIN(IF(BG120&lt;=0,0,IF(WEEKDAY(BG$6,1)=1,0,MIN(10,BG121)*BG120)),MAX(0,40*MAX(1,BG120)-(BA122+BB122+BC122+BD122+BE122+BF122)))))</f>
        <v>0</v>
      </c>
      <c r="BH123" s="63">
        <f>IF(AND(BH120=1,BH121=10),0,IF(BH120&lt;=0,0,IF(WEEKDAY(BH$6,1)=1,0,MAX(0,BH121-10)*BH120))+((IF(BH120&lt;=0,0,IF(WEEKDAY(BH$6,1)=1,0,MIN(10,BH121)*BH120)))-MIN(IF(BH120&lt;=0,0,IF(WEEKDAY(BH$6,1)=1,0,MIN(10,BH121)*BH120)),MAX(0,40*MAX(1,BH120)-(0)))))</f>
        <v>0</v>
      </c>
      <c r="BI123" s="63">
        <f>IF(AND(BI120=1,BI121=10),0,IF(BI120&lt;=0,0,IF(WEEKDAY(BI$6,1)=1,0,MAX(0,BI121-10)*BI120))+((IF(BI120&lt;=0,0,IF(WEEKDAY(BI$6,1)=1,0,MIN(10,BI121)*BI120)))-MIN(IF(BI120&lt;=0,0,IF(WEEKDAY(BI$6,1)=1,0,MIN(10,BI121)*BI120)),MAX(0,40*MAX(1,BI120)-(BH122)))))</f>
        <v>0</v>
      </c>
      <c r="BJ123" s="63">
        <f>IF(AND(BJ120=1,BJ121=10),0,IF(BJ120&lt;=0,0,IF(WEEKDAY(BJ$6,1)=1,0,MAX(0,BJ121-10)*BJ120))+((IF(BJ120&lt;=0,0,IF(WEEKDAY(BJ$6,1)=1,0,MIN(10,BJ121)*BJ120)))-MIN(IF(BJ120&lt;=0,0,IF(WEEKDAY(BJ$6,1)=1,0,MIN(10,BJ121)*BJ120)),MAX(0,40*MAX(1,BJ120)-(BH122+BI122)))))</f>
        <v>0</v>
      </c>
      <c r="BK123" s="63">
        <f>IF(AND(BK120=1,BK121=10),0,IF(BK120&lt;=0,0,IF(WEEKDAY(BK$6,1)=1,0,MAX(0,BK121-10)*BK120))+((IF(BK120&lt;=0,0,IF(WEEKDAY(BK$6,1)=1,0,MIN(10,BK121)*BK120)))-MIN(IF(BK120&lt;=0,0,IF(WEEKDAY(BK$6,1)=1,0,MIN(10,BK121)*BK120)),MAX(0,40*MAX(1,BK120)-(BH122+BI122+BJ122)))))</f>
        <v>0</v>
      </c>
      <c r="BL123" s="63">
        <f>IF(AND(BL120=1,BL121=10),10,IF(BL120&lt;=0,0,IF(WEEKDAY(BL$6,1)=1,0,MAX(0,BL121-10)*BL120))+((IF(BL120&lt;=0,0,IF(WEEKDAY(BL$6,1)=1,0,MIN(10,BL121)*BL120)))-MIN(IF(BL120&lt;=0,0,IF(WEEKDAY(BL$6,1)=1,0,MIN(10,BL121)*BL120)),MAX(0,40*MAX(1,BL120)-(BH122+BI122+BJ122+BK122)))))</f>
        <v>10</v>
      </c>
      <c r="BM123" s="64">
        <f>IF(AND(BM120=1,BM121=10),10,IF(BM120&lt;=0,0,IF(WEEKDAY(BM$6,1)=1,0,MAX(0,BM121-10)*BM120))+((IF(BM120&lt;=0,0,IF(WEEKDAY(BM$6,1)=1,0,MIN(10,BM121)*BM120)))-MIN(IF(BM120&lt;=0,0,IF(WEEKDAY(BM$6,1)=1,0,MIN(10,BM121)*BM120)),MAX(0,40*MAX(1,BM120)-(BH122+BI122+BJ122+BK122+BL122)))))</f>
        <v>10</v>
      </c>
      <c r="BN123" s="64">
        <f>IF(AND(BN120=1,BN121=10),0,IF(BN120&lt;=0,0,IF(WEEKDAY(BN$6,1)=1,0,MAX(0,BN121-10)*BN120))+((IF(BN120&lt;=0,0,IF(WEEKDAY(BN$6,1)=1,0,MIN(10,BN121)*BN120)))-MIN(IF(BN120&lt;=0,0,IF(WEEKDAY(BN$6,1)=1,0,MIN(10,BN121)*BN120)),MAX(0,40*MAX(1,BN120)-(BH122+BI122+BJ122+BK122+BL122+BM122)))))</f>
        <v>0</v>
      </c>
      <c r="BO123" s="63">
        <f>IF(AND(BO120=1,BO121=10),0,IF(BO120&lt;=0,0,IF(WEEKDAY(BO$6,1)=1,0,MAX(0,BO121-10)*BO120))+((IF(BO120&lt;=0,0,IF(WEEKDAY(BO$6,1)=1,0,MIN(10,BO121)*BO120)))-MIN(IF(BO120&lt;=0,0,IF(WEEKDAY(BO$6,1)=1,0,MIN(10,BO121)*BO120)),MAX(0,40*MAX(1,BO120)-(0)))))</f>
        <v>0</v>
      </c>
      <c r="BP123" s="63">
        <f>IF(AND(BP120=1,BP121=10),0,IF(BP120&lt;=0,0,IF(WEEKDAY(BP$6,1)=1,0,MAX(0,BP121-10)*BP120))+((IF(BP120&lt;=0,0,IF(WEEKDAY(BP$6,1)=1,0,MIN(10,BP121)*BP120)))-MIN(IF(BP120&lt;=0,0,IF(WEEKDAY(BP$6,1)=1,0,MIN(10,BP121)*BP120)),MAX(0,40*MAX(1,BP120)-(BO122)))))</f>
        <v>0</v>
      </c>
      <c r="BQ123" s="63">
        <f>IF(AND(BQ120=1,BQ121=10),0,IF(BQ120&lt;=0,0,IF(WEEKDAY(BQ$6,1)=1,0,MAX(0,BQ121-10)*BQ120))+((IF(BQ120&lt;=0,0,IF(WEEKDAY(BQ$6,1)=1,0,MIN(10,BQ121)*BQ120)))-MIN(IF(BQ120&lt;=0,0,IF(WEEKDAY(BQ$6,1)=1,0,MIN(10,BQ121)*BQ120)),MAX(0,40*MAX(1,BQ120)-(BO122+BP122)))))</f>
        <v>0</v>
      </c>
      <c r="BR123" s="63">
        <f>IF(AND(BR120=1,BR121=10),0,IF(BR120&lt;=0,0,IF(WEEKDAY(BR$6,1)=1,0,MAX(0,BR121-10)*BR120))+((IF(BR120&lt;=0,0,IF(WEEKDAY(BR$6,1)=1,0,MIN(10,BR121)*BR120)))-MIN(IF(BR120&lt;=0,0,IF(WEEKDAY(BR$6,1)=1,0,MIN(10,BR121)*BR120)),MAX(0,40*MAX(1,BR120)-(0)))))</f>
        <v>0</v>
      </c>
      <c r="BS123" s="63">
        <f>IF(AND(BS120=1,BS121=10),0,IF(BS120&lt;=0,0,IF(WEEKDAY(BS$6,1)=1,0,MAX(0,BS121-10)*BS120))+((IF(BS120&lt;=0,0,IF(WEEKDAY(BS$6,1)=1,0,MIN(10,BS121)*BS120)))-MIN(IF(BS120&lt;=0,0,IF(WEEKDAY(BS$6,1)=1,0,MIN(10,BS121)*BS120)),MAX(0,40*MAX(1,BS120)-(BR122)))))</f>
        <v>0</v>
      </c>
      <c r="BT123" s="64">
        <f>IF(AND(BT120=1,BT121=10),0,IF(BT120&lt;=0,0,IF(WEEKDAY(BT$6,1)=1,0,MAX(0,BT121-10)*BT120))+((IF(BT120&lt;=0,0,IF(WEEKDAY(BT$6,1)=1,0,MIN(10,BT121)*BT120)))-MIN(IF(BT120&lt;=0,0,IF(WEEKDAY(BT$6,1)=1,0,MIN(10,BT121)*BT120)),MAX(0,40*MAX(1,BT120)-(BR122+BS122)))))</f>
        <v>0</v>
      </c>
      <c r="BU123" s="64">
        <f>IF(AND(BU120=1,BU121=10),0,IF(BU120&lt;=0,0,IF(WEEKDAY(BU$6,1)=1,0,MAX(0,BU121-10)*BU120))+((IF(BU120&lt;=0,0,IF(WEEKDAY(BU$6,1)=1,0,MIN(10,BU121)*BU120)))-MIN(IF(BU120&lt;=0,0,IF(WEEKDAY(BU$6,1)=1,0,MIN(10,BU121)*BU120)),MAX(0,40*MAX(1,BU120)-(BR122+BS122+BT122)))))</f>
        <v>0</v>
      </c>
      <c r="BV123" s="63">
        <f>IF(AND(BV120=1,BV121=10),0,IF(BV120&lt;=0,0,IF(WEEKDAY(BV$6,1)=1,0,MAX(0,BV121-10)*BV120))+((IF(BV120&lt;=0,0,IF(WEEKDAY(BV$6,1)=1,0,MIN(10,BV121)*BV120)))-MIN(IF(BV120&lt;=0,0,IF(WEEKDAY(BV$6,1)=1,0,MIN(10,BV121)*BV120)),MAX(0,40*MAX(1,BV120)-(0)))))</f>
        <v>0</v>
      </c>
      <c r="BW123" s="63">
        <f>IF(AND(BW120=1,BW121=10),0,IF(BW120&lt;=0,0,IF(WEEKDAY(BW$6,1)=1,0,MAX(0,BW121-10)*BW120))+((IF(BW120&lt;=0,0,IF(WEEKDAY(BW$6,1)=1,0,MIN(10,BW121)*BW120)))-MIN(IF(BW120&lt;=0,0,IF(WEEKDAY(BW$6,1)=1,0,MIN(10,BW121)*BW120)),MAX(0,40*MAX(1,BW120)-(BV122)))))</f>
        <v>0</v>
      </c>
      <c r="BX123" s="63">
        <f>IF(AND(BX120=1,BX121=10),0,IF(BX120&lt;=0,0,IF(WEEKDAY(BX$6,1)=1,0,MAX(0,BX121-10)*BX120))+((IF(BX120&lt;=0,0,IF(WEEKDAY(BX$6,1)=1,0,MIN(10,BX121)*BX120)))-MIN(IF(BX120&lt;=0,0,IF(WEEKDAY(BX$6,1)=1,0,MIN(10,BX121)*BX120)),MAX(0,40*MAX(1,BX120)-(BV122+BW122)))))</f>
        <v>0</v>
      </c>
      <c r="BY123" s="63">
        <f>IF(AND(BY120=1,BY121=10),0,IF(BY120&lt;=0,0,IF(WEEKDAY(BY$6,1)=1,0,MAX(0,BY121-10)*BY120))+((IF(BY120&lt;=0,0,IF(WEEKDAY(BY$6,1)=1,0,MIN(10,BY121)*BY120)))-MIN(IF(BY120&lt;=0,0,IF(WEEKDAY(BY$6,1)=1,0,MIN(10,BY121)*BY120)),MAX(0,40*MAX(1,BY120)-(BV122+BW122+BX122)))))</f>
        <v>0</v>
      </c>
      <c r="BZ123" s="63">
        <f>IF(AND(BZ120=1,BZ121=10),10,IF(BZ120&lt;=0,0,IF(WEEKDAY(BZ$6,1)=1,0,MAX(0,BZ121-10)*BZ120))+((IF(BZ120&lt;=0,0,IF(WEEKDAY(BZ$6,1)=1,0,MIN(10,BZ121)*BZ120)))-MIN(IF(BZ120&lt;=0,0,IF(WEEKDAY(BZ$6,1)=1,0,MIN(10,BZ121)*BZ120)),MAX(0,40*MAX(1,BZ120)-(BV122+BW122+BX122+BY122)))))</f>
        <v>10</v>
      </c>
      <c r="CA123" s="64">
        <f>IF(AND(CA120=1,CA121=10),10,IF(CA120&lt;=0,0,IF(WEEKDAY(CA$6,1)=1,0,MAX(0,CA121-10)*CA120))+((IF(CA120&lt;=0,0,IF(WEEKDAY(CA$6,1)=1,0,MIN(10,CA121)*CA120)))-MIN(IF(CA120&lt;=0,0,IF(WEEKDAY(CA$6,1)=1,0,MIN(10,CA121)*CA120)),MAX(0,40*MAX(1,CA120)-(BV122+BW122+BX122+BY122+BZ122)))))</f>
        <v>10</v>
      </c>
      <c r="CB123" s="64">
        <f>IF(AND(CB120=1,CB121=10),0,IF(CB120&lt;=0,0,IF(WEEKDAY(CB$6,1)=1,0,MAX(0,CB121-10)*CB120))+((IF(CB120&lt;=0,0,IF(WEEKDAY(CB$6,1)=1,0,MIN(10,CB121)*CB120)))-MIN(IF(CB120&lt;=0,0,IF(WEEKDAY(CB$6,1)=1,0,MIN(10,CB121)*CB120)),MAX(0,40*MAX(1,CB120)-(BV122+BW122+BX122+BY122+BZ122+CA122)))))</f>
        <v>0</v>
      </c>
      <c r="CC123" s="63">
        <f>IF(AND(CC120=1,CC121=10),0,IF(CC120&lt;=0,0,IF(WEEKDAY(CC$6,1)=1,0,MAX(0,CC121-10)*CC120))+((IF(CC120&lt;=0,0,IF(WEEKDAY(CC$6,1)=1,0,MIN(10,CC121)*CC120)))-MIN(IF(CC120&lt;=0,0,IF(WEEKDAY(CC$6,1)=1,0,MIN(10,CC121)*CC120)),MAX(0,40*MAX(1,CC120)-(0)))))</f>
        <v>0</v>
      </c>
      <c r="CD123" s="63">
        <f>IF(AND(CD120=1,CD121=10),0,IF(CD120&lt;=0,0,IF(WEEKDAY(CD$6,1)=1,0,MAX(0,CD121-10)*CD120))+((IF(CD120&lt;=0,0,IF(WEEKDAY(CD$6,1)=1,0,MIN(10,CD121)*CD120)))-MIN(IF(CD120&lt;=0,0,IF(WEEKDAY(CD$6,1)=1,0,MIN(10,CD121)*CD120)),MAX(0,40*MAX(1,CD120)-(CC122)))))</f>
        <v>0</v>
      </c>
      <c r="CE123" s="63">
        <f>IF(AND(CE120=1,CE121=10),0,IF(CE120&lt;=0,0,IF(WEEKDAY(CE$6,1)=1,0,MAX(0,CE121-10)*CE120))+((IF(CE120&lt;=0,0,IF(WEEKDAY(CE$6,1)=1,0,MIN(10,CE121)*CE120)))-MIN(IF(CE120&lt;=0,0,IF(WEEKDAY(CE$6,1)=1,0,MIN(10,CE121)*CE120)),MAX(0,40*MAX(1,CE120)-(CC122+CD122)))))</f>
        <v>0</v>
      </c>
      <c r="CF123" s="63">
        <f>IF(AND(CF120=1,CF121=10),0,IF(CF120&lt;=0,0,IF(WEEKDAY(CF$6,1)=1,0,MAX(0,CF121-10)*CF120))+((IF(CF120&lt;=0,0,IF(WEEKDAY(CF$6,1)=1,0,MIN(10,CF121)*CF120)))-MIN(IF(CF120&lt;=0,0,IF(WEEKDAY(CF$6,1)=1,0,MIN(10,CF121)*CF120)),MAX(0,40*MAX(1,CF120)-(CC122+CD122+CE122)))))</f>
        <v>0</v>
      </c>
      <c r="CG123" s="63">
        <f>IF(AND(CG120=1,CG121=10),10,IF(CG120&lt;=0,0,IF(WEEKDAY(CG$6,1)=1,0,MAX(0,CG121-10)*CG120))+((IF(CG120&lt;=0,0,IF(WEEKDAY(CG$6,1)=1,0,MIN(10,CG121)*CG120)))-MIN(IF(CG120&lt;=0,0,IF(WEEKDAY(CG$6,1)=1,0,MIN(10,CG121)*CG120)),MAX(0,40*MAX(1,CG120)-(CC122+CD122+CE122+CF122)))))</f>
        <v>10</v>
      </c>
      <c r="CH123" s="64">
        <f>IF(AND(CH120=1,CH121=10),10,IF(CH120&lt;=0,0,IF(WEEKDAY(CH$6,1)=1,0,MAX(0,CH121-10)*CH120))+((IF(CH120&lt;=0,0,IF(WEEKDAY(CH$6,1)=1,0,MIN(10,CH121)*CH120)))-MIN(IF(CH120&lt;=0,0,IF(WEEKDAY(CH$6,1)=1,0,MIN(10,CH121)*CH120)),MAX(0,40*MAX(1,CH120)-(CC122+CD122+CE122+CF122+CG122)))))</f>
        <v>10</v>
      </c>
      <c r="CI123" s="64">
        <f>IF(AND(CI120=1,CI121=10),0,IF(CI120&lt;=0,0,IF(WEEKDAY(CI$6,1)=1,0,MAX(0,CI121-10)*CI120))+((IF(CI120&lt;=0,0,IF(WEEKDAY(CI$6,1)=1,0,MIN(10,CI121)*CI120)))-MIN(IF(CI120&lt;=0,0,IF(WEEKDAY(CI$6,1)=1,0,MIN(10,CI121)*CI120)),MAX(0,40*MAX(1,CI120)-(CC122+CD122+CE122+CF122+CG122+CH122)))))</f>
        <v>0</v>
      </c>
      <c r="CJ123" s="63">
        <f>IF(AND(CJ120=1,CJ121=10),0,IF(CJ120&lt;=0,0,IF(WEEKDAY(CJ$6,1)=1,0,MAX(0,CJ121-10)*CJ120))+((IF(CJ120&lt;=0,0,IF(WEEKDAY(CJ$6,1)=1,0,MIN(10,CJ121)*CJ120)))-MIN(IF(CJ120&lt;=0,0,IF(WEEKDAY(CJ$6,1)=1,0,MIN(10,CJ121)*CJ120)),MAX(0,40*MAX(1,CJ120)-(0)))))</f>
        <v>0</v>
      </c>
      <c r="CK123" s="63">
        <f>IF(AND(CK120=1,CK121=10),0,IF(CK120&lt;=0,0,IF(WEEKDAY(CK$6,1)=1,0,MAX(0,CK121-10)*CK120))+((IF(CK120&lt;=0,0,IF(WEEKDAY(CK$6,1)=1,0,MIN(10,CK121)*CK120)))-MIN(IF(CK120&lt;=0,0,IF(WEEKDAY(CK$6,1)=1,0,MIN(10,CK121)*CK120)),MAX(0,40*MAX(1,CK120)-(CJ122)))))</f>
        <v>0</v>
      </c>
      <c r="CL123" s="63">
        <f>IF(AND(CL120=1,CL121=10),0,IF(CL120&lt;=0,0,IF(WEEKDAY(CL$6,1)=1,0,MAX(0,CL121-10)*CL120))+((IF(CL120&lt;=0,0,IF(WEEKDAY(CL$6,1)=1,0,MIN(10,CL121)*CL120)))-MIN(IF(CL120&lt;=0,0,IF(WEEKDAY(CL$6,1)=1,0,MIN(10,CL121)*CL120)),MAX(0,40*MAX(1,CL120)-(CJ122+CK122)))))</f>
        <v>0</v>
      </c>
      <c r="CM123" s="63">
        <f>IF(AND(CM120=1,CM121=10),0,IF(CM120&lt;=0,0,IF(WEEKDAY(CM$6,1)=1,0,MAX(0,CM121-10)*CM120))+((IF(CM120&lt;=0,0,IF(WEEKDAY(CM$6,1)=1,0,MIN(10,CM121)*CM120)))-MIN(IF(CM120&lt;=0,0,IF(WEEKDAY(CM$6,1)=1,0,MIN(10,CM121)*CM120)),MAX(0,40*MAX(1,CM120)-(CJ122+CK122+CL122)))))</f>
        <v>0</v>
      </c>
      <c r="CN123" s="63">
        <f>IF(AND(CN120=1,CN121=10),10,IF(CN120&lt;=0,0,IF(WEEKDAY(CN$6,1)=1,0,MAX(0,CN121-10)*CN120))+((IF(CN120&lt;=0,0,IF(WEEKDAY(CN$6,1)=1,0,MIN(10,CN121)*CN120)))-MIN(IF(CN120&lt;=0,0,IF(WEEKDAY(CN$6,1)=1,0,MIN(10,CN121)*CN120)),MAX(0,40*MAX(1,CN120)-(CJ122+CK122+CL122+CM122)))))</f>
        <v>10</v>
      </c>
      <c r="CO123" s="64">
        <f>IF(AND(CO120=1,CO121=10),10,IF(CO120&lt;=0,0,IF(WEEKDAY(CO$6,1)=1,0,MAX(0,CO121-10)*CO120))+((IF(CO120&lt;=0,0,IF(WEEKDAY(CO$6,1)=1,0,MIN(10,CO121)*CO120)))-MIN(IF(CO120&lt;=0,0,IF(WEEKDAY(CO$6,1)=1,0,MIN(10,CO121)*CO120)),MAX(0,40*MAX(1,CO120)-(CJ122+CK122+CL122+CM122+CN122)))))</f>
        <v>10</v>
      </c>
      <c r="CP123" s="64">
        <f>IF(AND(CP120=1,CP121=10),0,IF(CP120&lt;=0,0,IF(WEEKDAY(CP$6,1)=1,0,MAX(0,CP121-10)*CP120))+((IF(CP120&lt;=0,0,IF(WEEKDAY(CP$6,1)=1,0,MIN(10,CP121)*CP120)))-MIN(IF(CP120&lt;=0,0,IF(WEEKDAY(CP$6,1)=1,0,MIN(10,CP121)*CP120)),MAX(0,40*MAX(1,CP120)-(CJ122+CK122+CL122+CM122+CN122+CO122)))))</f>
        <v>0</v>
      </c>
      <c r="CQ123" s="63">
        <f>IF(AND(CQ120=1,CQ121=10),0,IF(CQ120&lt;=0,0,IF(WEEKDAY(CQ$6,1)=1,0,MAX(0,CQ121-10)*CQ120))+((IF(CQ120&lt;=0,0,IF(WEEKDAY(CQ$6,1)=1,0,MIN(10,CQ121)*CQ120)))-MIN(IF(CQ120&lt;=0,0,IF(WEEKDAY(CQ$6,1)=1,0,MIN(10,CQ121)*CQ120)),MAX(0,40*MAX(1,CQ120)-(0)))))</f>
        <v>0</v>
      </c>
      <c r="CR123" s="63">
        <f>IF(AND(CR120=1,CR121=10),0,IF(CR120&lt;=0,0,IF(WEEKDAY(CR$6,1)=1,0,MAX(0,CR121-10)*CR120))+((IF(CR120&lt;=0,0,IF(WEEKDAY(CR$6,1)=1,0,MIN(10,CR121)*CR120)))-MIN(IF(CR120&lt;=0,0,IF(WEEKDAY(CR$6,1)=1,0,MIN(10,CR121)*CR120)),MAX(0,40*MAX(1,CR120)-(CQ122)))))</f>
        <v>0</v>
      </c>
      <c r="CS123" s="63">
        <f>IF(AND(CS120=1,CS121=10),0,IF(CS120&lt;=0,0,IF(WEEKDAY(CS$6,1)=1,0,MAX(0,CS121-10)*CS120))+((IF(CS120&lt;=0,0,IF(WEEKDAY(CS$6,1)=1,0,MIN(10,CS121)*CS120)))-MIN(IF(CS120&lt;=0,0,IF(WEEKDAY(CS$6,1)=1,0,MIN(10,CS121)*CS120)),MAX(0,40*MAX(1,CS120)-(CQ122+CR122)))))</f>
        <v>0</v>
      </c>
      <c r="CT123" s="63">
        <f>IF(AND(CT120=1,CT121=10),0,IF(CT120&lt;=0,0,IF(WEEKDAY(CT$6,1)=1,0,MAX(0,CT121-10)*CT120))+((IF(CT120&lt;=0,0,IF(WEEKDAY(CT$6,1)=1,0,MIN(10,CT121)*CT120)))-MIN(IF(CT120&lt;=0,0,IF(WEEKDAY(CT$6,1)=1,0,MIN(10,CT121)*CT120)),MAX(0,40*MAX(1,CT120)-(CQ122+CR122+CS122)))))</f>
        <v>0</v>
      </c>
      <c r="CU123" s="63">
        <f>IF(AND(CU120=1,CU121=10),10,IF(CU120&lt;=0,0,IF(WEEKDAY(CU$6,1)=1,0,MAX(0,CU121-10)*CU120))+((IF(CU120&lt;=0,0,IF(WEEKDAY(CU$6,1)=1,0,MIN(10,CU121)*CU120)))-MIN(IF(CU120&lt;=0,0,IF(WEEKDAY(CU$6,1)=1,0,MIN(10,CU121)*CU120)),MAX(0,40*MAX(1,CU120)-(CQ122+CR122+CS122+CT122)))))</f>
        <v>10</v>
      </c>
      <c r="CV123" s="64">
        <f>IF(AND(CV120=1,CV121=10),10,IF(CV120&lt;=0,0,IF(WEEKDAY(CV$6,1)=1,0,MAX(0,CV121-10)*CV120))+((IF(CV120&lt;=0,0,IF(WEEKDAY(CV$6,1)=1,0,MIN(10,CV121)*CV120)))-MIN(IF(CV120&lt;=0,0,IF(WEEKDAY(CV$6,1)=1,0,MIN(10,CV121)*CV120)),MAX(0,40*MAX(1,CV120)-(CQ122+CR122+CS122+CT122+CU122)))))</f>
        <v>10</v>
      </c>
      <c r="CW123" s="64">
        <f>IF(AND(CW120=1,CW121=10),0,IF(CW120&lt;=0,0,IF(WEEKDAY(CW$6,1)=1,0,MAX(0,CW121-10)*CW120))+((IF(CW120&lt;=0,0,IF(WEEKDAY(CW$6,1)=1,0,MIN(10,CW121)*CW120)))-MIN(IF(CW120&lt;=0,0,IF(WEEKDAY(CW$6,1)=1,0,MIN(10,CW121)*CW120)),MAX(0,40*MAX(1,CW120)-(CQ122+CR122+CS122+CT122+CU122+CV122)))))</f>
        <v>0</v>
      </c>
      <c r="CX123" s="63">
        <f>IF(AND(CX120=1,CX121=10),0,IF(CX120&lt;=0,0,IF(WEEKDAY(CX$6,1)=1,0,MAX(0,CX121-10)*CX120))+((IF(CX120&lt;=0,0,IF(WEEKDAY(CX$6,1)=1,0,MIN(10,CX121)*CX120)))-MIN(IF(CX120&lt;=0,0,IF(WEEKDAY(CX$6,1)=1,0,MIN(10,CX121)*CX120)),MAX(0,40*MAX(1,CX120)-(0)))))</f>
        <v>0</v>
      </c>
      <c r="CY123" s="63">
        <f>IF(AND(CY120=1,CY121=10),0,IF(CY120&lt;=0,0,IF(WEEKDAY(CY$6,1)=1,0,MAX(0,CY121-10)*CY120))+((IF(CY120&lt;=0,0,IF(WEEKDAY(CY$6,1)=1,0,MIN(10,CY121)*CY120)))-MIN(IF(CY120&lt;=0,0,IF(WEEKDAY(CY$6,1)=1,0,MIN(10,CY121)*CY120)),MAX(0,40*MAX(1,CY120)-(CX122)))))</f>
        <v>0</v>
      </c>
      <c r="CZ123" s="63">
        <f>IF(AND(CZ120=1,CZ121=10),0,IF(CZ120&lt;=0,0,IF(WEEKDAY(CZ$6,1)=1,0,MAX(0,CZ121-10)*CZ120))+((IF(CZ120&lt;=0,0,IF(WEEKDAY(CZ$6,1)=1,0,MIN(10,CZ121)*CZ120)))-MIN(IF(CZ120&lt;=0,0,IF(WEEKDAY(CZ$6,1)=1,0,MIN(10,CZ121)*CZ120)),MAX(0,40*MAX(1,CZ120)-(CX122+CY122)))))</f>
        <v>0</v>
      </c>
      <c r="DA123" s="63">
        <f>IF(AND(DA120=1,DA121=10),0,IF(DA120&lt;=0,0,IF(WEEKDAY(DA$6,1)=1,0,MAX(0,DA121-10)*DA120))+((IF(DA120&lt;=0,0,IF(WEEKDAY(DA$6,1)=1,0,MIN(10,DA121)*DA120)))-MIN(IF(DA120&lt;=0,0,IF(WEEKDAY(DA$6,1)=1,0,MIN(10,DA121)*DA120)),MAX(0,40*MAX(1,DA120)-(CX122+CY122+CZ122)))))</f>
        <v>0</v>
      </c>
      <c r="DB123" s="63">
        <f>IF(AND(DB120=1,DB121=10),10,IF(DB120&lt;=0,0,IF(WEEKDAY(DB$6,1)=1,0,MAX(0,DB121-10)*DB120))+((IF(DB120&lt;=0,0,IF(WEEKDAY(DB$6,1)=1,0,MIN(10,DB121)*DB120)))-MIN(IF(DB120&lt;=0,0,IF(WEEKDAY(DB$6,1)=1,0,MIN(10,DB121)*DB120)),MAX(0,40*MAX(1,DB120)-(CX122+CY122+CZ122+DA122)))))</f>
        <v>10</v>
      </c>
      <c r="DC123" s="64">
        <f>IF(AND(DC120=1,DC121=10),10,IF(DC120&lt;=0,0,IF(WEEKDAY(DC$6,1)=1,0,MAX(0,DC121-10)*DC120))+((IF(DC120&lt;=0,0,IF(WEEKDAY(DC$6,1)=1,0,MIN(10,DC121)*DC120)))-MIN(IF(DC120&lt;=0,0,IF(WEEKDAY(DC$6,1)=1,0,MIN(10,DC121)*DC120)),MAX(0,40*MAX(1,DC120)-(CX122+CY122+CZ122+DA122+DB122)))))</f>
        <v>10</v>
      </c>
      <c r="DD123" s="64">
        <f>IF(AND(DD120=1,DD121=10),0,IF(DD120&lt;=0,0,IF(WEEKDAY(DD$6,1)=1,0,MAX(0,DD121-10)*DD120))+((IF(DD120&lt;=0,0,IF(WEEKDAY(DD$6,1)=1,0,MIN(10,DD121)*DD120)))-MIN(IF(DD120&lt;=0,0,IF(WEEKDAY(DD$6,1)=1,0,MIN(10,DD121)*DD120)),MAX(0,40*MAX(1,DD120)-(0)))))</f>
        <v>0</v>
      </c>
      <c r="DE123" s="63">
        <f>IF(AND(DE120=1,DE121=10),0,IF(DE120&lt;=0,0,IF(WEEKDAY(DE$6,1)=1,0,MAX(0,DE121-10)*DE120))+((IF(DE120&lt;=0,0,IF(WEEKDAY(DE$6,1)=1,0,MIN(10,DE121)*DE120)))-MIN(IF(DE120&lt;=0,0,IF(WEEKDAY(DE$6,1)=1,0,MIN(10,DE121)*DE120)),MAX(0,40*MAX(1,DE120)-(0)))))</f>
        <v>0</v>
      </c>
      <c r="DF123" s="63">
        <f>IF(AND(DF120=1,DF121=10),0,IF(DF120&lt;=0,0,IF(WEEKDAY(DF$6,1)=1,0,MAX(0,DF121-10)*DF120))+((IF(DF120&lt;=0,0,IF(WEEKDAY(DF$6,1)=1,0,MIN(10,DF121)*DF120)))-MIN(IF(DF120&lt;=0,0,IF(WEEKDAY(DF$6,1)=1,0,MIN(10,DF121)*DF120)),MAX(0,40*MAX(1,DF120)-(DE122)))))</f>
        <v>0</v>
      </c>
      <c r="DG123" s="63">
        <f>IF(AND(DG120=1,DG121=10),0,IF(DG120&lt;=0,0,IF(WEEKDAY(DG$6,1)=1,0,MAX(0,DG121-10)*DG120))+((IF(DG120&lt;=0,0,IF(WEEKDAY(DG$6,1)=1,0,MIN(10,DG121)*DG120)))-MIN(IF(DG120&lt;=0,0,IF(WEEKDAY(DG$6,1)=1,0,MIN(10,DG121)*DG120)),MAX(0,40*MAX(1,DG120)-(DE122+DF122)))))</f>
        <v>0</v>
      </c>
      <c r="DH123" s="63">
        <f>IF(AND(DH120=1,DH121=10),0,IF(DH120&lt;=0,0,IF(WEEKDAY(DH$6,1)=1,0,MAX(0,DH121-10)*DH120))+((IF(DH120&lt;=0,0,IF(WEEKDAY(DH$6,1)=1,0,MIN(10,DH121)*DH120)))-MIN(IF(DH120&lt;=0,0,IF(WEEKDAY(DH$6,1)=1,0,MIN(10,DH121)*DH120)),MAX(0,40*MAX(1,DH120)-(DE122+DF122+DG122)))))</f>
        <v>0</v>
      </c>
      <c r="DI123" s="63">
        <f>IF(AND(DI120=1,DI121=10),10,IF(DI120&lt;=0,0,IF(WEEKDAY(DI$6,1)=1,0,MAX(0,DI121-10)*DI120))+((IF(DI120&lt;=0,0,IF(WEEKDAY(DI$6,1)=1,0,MIN(10,DI121)*DI120)))-MIN(IF(DI120&lt;=0,0,IF(WEEKDAY(DI$6,1)=1,0,MIN(10,DI121)*DI120)),MAX(0,40*MAX(1,DI120)-(DE122+DF122+DG122+DH122)))))</f>
        <v>10</v>
      </c>
      <c r="DJ123" s="64">
        <f>IF(AND(DJ120=1,DJ121=10),10,IF(DJ120&lt;=0,0,IF(WEEKDAY(DJ$6,1)=1,0,MAX(0,DJ121-10)*DJ120))+((IF(DJ120&lt;=0,0,IF(WEEKDAY(DJ$6,1)=1,0,MIN(10,DJ121)*DJ120)))-MIN(IF(DJ120&lt;=0,0,IF(WEEKDAY(DJ$6,1)=1,0,MIN(10,DJ121)*DJ120)),MAX(0,40*MAX(1,DJ120)-(DE122+DF122+DG122+DH122+DI122)))))</f>
        <v>10</v>
      </c>
      <c r="DK123" s="64">
        <f>IF(AND(DK120=1,DK121=10),0,IF(DK120&lt;=0,0,IF(WEEKDAY(DK$6,1)=1,0,MAX(0,DK121-10)*DK120))+((IF(DK120&lt;=0,0,IF(WEEKDAY(DK$6,1)=1,0,MIN(10,DK121)*DK120)))-MIN(IF(DK120&lt;=0,0,IF(WEEKDAY(DK$6,1)=1,0,MIN(10,DK121)*DK120)),MAX(0,40*MAX(1,DK120)-(DE122+DF122+DG122+DH122+DI122+DJ122)))))</f>
        <v>0</v>
      </c>
      <c r="DL123" s="63">
        <f>IF(AND(DL120=1,DL121=10),0,IF(DL120&lt;=0,0,IF(WEEKDAY(DL$6,1)=1,0,MAX(0,DL121-10)*DL120))+((IF(DL120&lt;=0,0,IF(WEEKDAY(DL$6,1)=1,0,MIN(10,DL121)*DL120)))-MIN(IF(DL120&lt;=0,0,IF(WEEKDAY(DL$6,1)=1,0,MIN(10,DL121)*DL120)),MAX(0,40*MAX(1,DL120)-(0)))))</f>
        <v>0</v>
      </c>
      <c r="DM123" s="63">
        <f>IF(AND(DM120=1,DM121=10),0,IF(DM120&lt;=0,0,IF(WEEKDAY(DM$6,1)=1,0,MAX(0,DM121-10)*DM120))+((IF(DM120&lt;=0,0,IF(WEEKDAY(DM$6,1)=1,0,MIN(10,DM121)*DM120)))-MIN(IF(DM120&lt;=0,0,IF(WEEKDAY(DM$6,1)=1,0,MIN(10,DM121)*DM120)),MAX(0,40*MAX(1,DM120)-(DL122)))))</f>
        <v>0</v>
      </c>
      <c r="DN123" s="63">
        <f>IF(AND(DN120=1,DN121=10),0,IF(DN120&lt;=0,0,IF(WEEKDAY(DN$6,1)=1,0,MAX(0,DN121-10)*DN120))+((IF(DN120&lt;=0,0,IF(WEEKDAY(DN$6,1)=1,0,MIN(10,DN121)*DN120)))-MIN(IF(DN120&lt;=0,0,IF(WEEKDAY(DN$6,1)=1,0,MIN(10,DN121)*DN120)),MAX(0,40*MAX(1,DN120)-(DL122+DM122)))))</f>
        <v>0</v>
      </c>
      <c r="DO123" s="63">
        <f>IF(AND(DO120=1,DO121=10),0,IF(DO120&lt;=0,0,IF(WEEKDAY(DO$6,1)=1,0,MAX(0,DO121-10)*DO120))+((IF(DO120&lt;=0,0,IF(WEEKDAY(DO$6,1)=1,0,MIN(10,DO121)*DO120)))-MIN(IF(DO120&lt;=0,0,IF(WEEKDAY(DO$6,1)=1,0,MIN(10,DO121)*DO120)),MAX(0,40*MAX(1,DO120)-(DL122+DM122+DN122)))))</f>
        <v>0</v>
      </c>
      <c r="DP123" s="63">
        <f>IF(AND(DP120=1,DP121=10),10,IF(DP120&lt;=0,0,IF(WEEKDAY(DP$6,1)=1,0,MAX(0,DP121-10)*DP120))+((IF(DP120&lt;=0,0,IF(WEEKDAY(DP$6,1)=1,0,MIN(10,DP121)*DP120)))-MIN(IF(DP120&lt;=0,0,IF(WEEKDAY(DP$6,1)=1,0,MIN(10,DP121)*DP120)),MAX(0,40*MAX(1,DP120)-(DL122+DM122+DN122+DO122)))))</f>
        <v>10</v>
      </c>
      <c r="DQ123" s="64">
        <f>IF(AND(DQ120=1,DQ121=10),10,IF(DQ120&lt;=0,0,IF(WEEKDAY(DQ$6,1)=1,0,MAX(0,DQ121-10)*DQ120))+((IF(DQ120&lt;=0,0,IF(WEEKDAY(DQ$6,1)=1,0,MIN(10,DQ121)*DQ120)))-MIN(IF(DQ120&lt;=0,0,IF(WEEKDAY(DQ$6,1)=1,0,MIN(10,DQ121)*DQ120)),MAX(0,40*MAX(1,DQ120)-(DL122+DM122+DN122+DO122+DP122)))))</f>
        <v>10</v>
      </c>
      <c r="DR123" s="64">
        <f>IF(AND(DR120=1,DR121=10),0,IF(DR120&lt;=0,0,IF(WEEKDAY(DR$6,1)=1,0,MAX(0,DR121-10)*DR120))+((IF(DR120&lt;=0,0,IF(WEEKDAY(DR$6,1)=1,0,MIN(10,DR121)*DR120)))-MIN(IF(DR120&lt;=0,0,IF(WEEKDAY(DR$6,1)=1,0,MIN(10,DR121)*DR120)),MAX(0,40*MAX(1,DR120)-(DL122+DM122+DN122+DO122+DP122+DQ122)))))</f>
        <v>0</v>
      </c>
      <c r="DS123" s="63">
        <f>IF(AND(DS120=1,DS121=10),0,IF(DS120&lt;=0,0,IF(WEEKDAY(DS$6,1)=1,0,MAX(0,DS121-10)*DS120))+((IF(DS120&lt;=0,0,IF(WEEKDAY(DS$6,1)=1,0,MIN(10,DS121)*DS120)))-MIN(IF(DS120&lt;=0,0,IF(WEEKDAY(DS$6,1)=1,0,MIN(10,DS121)*DS120)),MAX(0,40*MAX(1,DS120)-(0)))))</f>
        <v>0</v>
      </c>
      <c r="DT123" s="63">
        <f>IF(AND(DT120=0,DT121=0),0,IF(DT120&lt;=0,0,IF(WEEKDAY(DT$6,1)=1,0,MAX(0,DT121-10)*DT120))+((IF(DT120&lt;=0,0,IF(WEEKDAY(DT$6,1)=1,0,MIN(10,DT121)*DT120)))-MIN(IF(DT120&lt;=0,0,IF(WEEKDAY(DT$6,1)=1,0,MIN(10,DT121)*DT120)),MAX(0,40*MAX(1,DT120)-(0)))))</f>
        <v>0</v>
      </c>
      <c r="DU123" s="63">
        <f>IF(AND(DU120=0,DU121=0),0,IF(DU120&lt;=0,0,IF(WEEKDAY(DU$6,1)=1,0,MAX(0,DU121-10)*DU120))+((IF(DU120&lt;=0,0,IF(WEEKDAY(DU$6,1)=1,0,MIN(10,DU121)*DU120)))-MIN(IF(DU120&lt;=0,0,IF(WEEKDAY(DU$6,1)=1,0,MIN(10,DU121)*DU120)),MAX(0,40*MAX(1,DU120)-(DT122)))))</f>
        <v>0</v>
      </c>
      <c r="DV123" s="63">
        <f>IF(AND(DV120=0,DV121=0),0,IF(DV120&lt;=0,0,IF(WEEKDAY(DV$6,1)=1,0,MAX(0,DV121-10)*DV120))+((IF(DV120&lt;=0,0,IF(WEEKDAY(DV$6,1)=1,0,MIN(10,DV121)*DV120)))-MIN(IF(DV120&lt;=0,0,IF(WEEKDAY(DV$6,1)=1,0,MIN(10,DV121)*DV120)),MAX(0,40*MAX(1,DV120)-(DT122+DU122)))))</f>
        <v>0</v>
      </c>
      <c r="DW123" s="63">
        <f>IF(AND(DW120=0,DW121=0),0,IF(DW120&lt;=0,0,IF(WEEKDAY(DW$6,1)=1,0,MAX(0,DW121-10)*DW120))+((IF(DW120&lt;=0,0,IF(WEEKDAY(DW$6,1)=1,0,MIN(10,DW121)*DW120)))-MIN(IF(DW120&lt;=0,0,IF(WEEKDAY(DW$6,1)=1,0,MIN(10,DW121)*DW120)),MAX(0,40*MAX(1,DW120)-(DT122+DU122+DV122)))))</f>
        <v>0</v>
      </c>
      <c r="DX123" s="64">
        <f>IF(AND(DX120=0,DX121=0),0,IF(DX120&lt;=0,0,IF(WEEKDAY(DX$6,1)=1,0,MAX(0,DX121-10)*DX120))+((IF(DX120&lt;=0,0,IF(WEEKDAY(DX$6,1)=1,0,MIN(10,DX121)*DX120)))-MIN(IF(DX120&lt;=0,0,IF(WEEKDAY(DX$6,1)=1,0,MIN(10,DX121)*DX120)),MAX(0,40*MAX(1,DX120)-(DT122+DU122+DV122+DW122)))))</f>
        <v>0</v>
      </c>
      <c r="DY123" s="64">
        <f>IF(AND(DY120=0,DY121=0),0,IF(DY120&lt;=0,0,IF(WEEKDAY(DY$6,1)=1,0,MAX(0,DY121-10)*DY120))+((IF(DY120&lt;=0,0,IF(WEEKDAY(DY$6,1)=1,0,MIN(10,DY121)*DY120)))-MIN(IF(DY120&lt;=0,0,IF(WEEKDAY(DY$6,1)=1,0,MIN(10,DY121)*DY120)),MAX(0,40*MAX(1,DY120)-(DT122+DU122+DV122+DW122+DX122)))))</f>
        <v>0</v>
      </c>
      <c r="DZ123" s="63">
        <f>IF(AND(DZ120=0,DZ121=0),0,IF(DZ120&lt;=0,0,IF(WEEKDAY(DZ$6,1)=1,0,MAX(0,DZ121-10)*DZ120))+((IF(DZ120&lt;=0,0,IF(WEEKDAY(DZ$6,1)=1,0,MIN(10,DZ121)*DZ120)))-MIN(IF(DZ120&lt;=0,0,IF(WEEKDAY(DZ$6,1)=1,0,MIN(10,DZ121)*DZ120)),MAX(0,40*MAX(1,DZ120)-(0)))))</f>
        <v>0</v>
      </c>
      <c r="EA123" s="63">
        <f>IF(AND(EA120=0,EA121=0),0,IF(EA120&lt;=0,0,IF(WEEKDAY(EA$6,1)=1,0,MAX(0,EA121-10)*EA120))+((IF(EA120&lt;=0,0,IF(WEEKDAY(EA$6,1)=1,0,MIN(10,EA121)*EA120)))-MIN(IF(EA120&lt;=0,0,IF(WEEKDAY(EA$6,1)=1,0,MIN(10,EA121)*EA120)),MAX(0,40*MAX(1,EA120)-(DZ122)))))</f>
        <v>0</v>
      </c>
      <c r="EB123" s="63">
        <f>IF(AND(EB120=0,EB121=0),0,IF(EB120&lt;=0,0,IF(WEEKDAY(EB$6,1)=1,0,MAX(0,EB121-10)*EB120))+((IF(EB120&lt;=0,0,IF(WEEKDAY(EB$6,1)=1,0,MIN(10,EB121)*EB120)))-MIN(IF(EB120&lt;=0,0,IF(WEEKDAY(EB$6,1)=1,0,MIN(10,EB121)*EB120)),MAX(0,40*MAX(1,EB120)-(DZ122+EA122)))))</f>
        <v>0</v>
      </c>
      <c r="EC123" s="63">
        <f>IF(AND(EC120=0,EC121=0),0,IF(EC120&lt;=0,0,IF(WEEKDAY(EC$6,1)=1,0,MAX(0,EC121-10)*EC120))+((IF(EC120&lt;=0,0,IF(WEEKDAY(EC$6,1)=1,0,MIN(10,EC121)*EC120)))-MIN(IF(EC120&lt;=0,0,IF(WEEKDAY(EC$6,1)=1,0,MIN(10,EC121)*EC120)),MAX(0,40*MAX(1,EC120)-(DZ122+EA122+EB122)))))</f>
        <v>0</v>
      </c>
      <c r="ED123" s="63">
        <f>IF(AND(ED120=0,ED121=0),0,IF(ED120&lt;=0,0,IF(WEEKDAY(ED$6,1)=1,0,MAX(0,ED121-10)*ED120))+((IF(ED120&lt;=0,0,IF(WEEKDAY(ED$6,1)=1,0,MIN(10,ED121)*ED120)))-MIN(IF(ED120&lt;=0,0,IF(WEEKDAY(ED$6,1)=1,0,MIN(10,ED121)*ED120)),MAX(0,40*MAX(1,ED120)-(DZ122+EA122+EB122+EC122)))))</f>
        <v>0</v>
      </c>
      <c r="EE123" s="64">
        <f>IF(AND(EE120=0,EE121=0),0,IF(EE120&lt;=0,0,IF(WEEKDAY(EE$6,1)=1,0,MAX(0,EE121-10)*EE120))+((IF(EE120&lt;=0,0,IF(WEEKDAY(EE$6,1)=1,0,MIN(10,EE121)*EE120)))-MIN(IF(EE120&lt;=0,0,IF(WEEKDAY(EE$6,1)=1,0,MIN(10,EE121)*EE120)),MAX(0,40*MAX(1,EE120)-(DZ122+EA122+EB122+EC122+ED122)))))</f>
        <v>0</v>
      </c>
      <c r="EF123" s="64">
        <f>IF(AND(EF120=0,EF121=0),0,IF(EF120&lt;=0,0,IF(WEEKDAY(EF$6,1)=1,0,MAX(0,EF121-10)*EF120))+((IF(EF120&lt;=0,0,IF(WEEKDAY(EF$6,1)=1,0,MIN(10,EF121)*EF120)))-MIN(IF(EF120&lt;=0,0,IF(WEEKDAY(EF$6,1)=1,0,MIN(10,EF121)*EF120)),MAX(0,40*MAX(1,EF120)-(DZ122+EA122+EB122+EC122+ED122+EE122)))))</f>
        <v>0</v>
      </c>
      <c r="EG123" s="63">
        <f>IF(AND(EG120=0,EG121=0),0,IF(EG120&lt;=0,0,IF(WEEKDAY(EG$6,1)=1,0,MAX(0,EG121-10)*EG120))+((IF(EG120&lt;=0,0,IF(WEEKDAY(EG$6,1)=1,0,MIN(10,EG121)*EG120)))-MIN(IF(EG120&lt;=0,0,IF(WEEKDAY(EG$6,1)=1,0,MIN(10,EG121)*EG120)),MAX(0,40*MAX(1,EG120)-(0)))))</f>
        <v>0</v>
      </c>
      <c r="EH123" s="63">
        <f>IF(AND(EH120=0,EH121=0),0,IF(EH120&lt;=0,0,IF(WEEKDAY(EH$6,1)=1,0,MAX(0,EH121-10)*EH120))+((IF(EH120&lt;=0,0,IF(WEEKDAY(EH$6,1)=1,0,MIN(10,EH121)*EH120)))-MIN(IF(EH120&lt;=0,0,IF(WEEKDAY(EH$6,1)=1,0,MIN(10,EH121)*EH120)),MAX(0,40*MAX(1,EH120)-(EG122)))))</f>
        <v>0</v>
      </c>
      <c r="EI123" s="63">
        <f>IF(AND(EI120=0,EI121=0),0,IF(EI120&lt;=0,0,IF(WEEKDAY(EI$6,1)=1,0,MAX(0,EI121-10)*EI120))+((IF(EI120&lt;=0,0,IF(WEEKDAY(EI$6,1)=1,0,MIN(10,EI121)*EI120)))-MIN(IF(EI120&lt;=0,0,IF(WEEKDAY(EI$6,1)=1,0,MIN(10,EI121)*EI120)),MAX(0,40*MAX(1,EI120)-(EG122+EH122)))))</f>
        <v>0</v>
      </c>
      <c r="EJ123" s="63">
        <f>IF(AND(EJ120=0,EJ121=0),0,IF(EJ120&lt;=0,0,IF(WEEKDAY(EJ$6,1)=1,0,MAX(0,EJ121-10)*EJ120))+((IF(EJ120&lt;=0,0,IF(WEEKDAY(EJ$6,1)=1,0,MIN(10,EJ121)*EJ120)))-MIN(IF(EJ120&lt;=0,0,IF(WEEKDAY(EJ$6,1)=1,0,MIN(10,EJ121)*EJ120)),MAX(0,40*MAX(1,EJ120)-(EG122+EH122+EI122)))))</f>
        <v>0</v>
      </c>
      <c r="EK123" s="65">
        <f>IF(AND(EK120=0,EK121=0),0,IF(EK120&lt;=0,0,IF(WEEKDAY(EK$6,1)=1,0,MAX(0,EK121-10)*EK120))+((IF(EK120&lt;=0,0,IF(WEEKDAY(EK$6,1)=1,0,MIN(10,EK121)*EK120)))-MIN(IF(EK120&lt;=0,0,IF(WEEKDAY(EK$6,1)=1,0,MIN(10,EK121)*EK120)),MAX(0,40*MAX(1,EK120)-(EG122+EH122+EI122+EJ122)))))</f>
        <v>0</v>
      </c>
      <c r="OU123" s="28" t="s">
        <v>88</v>
      </c>
    </row>
    <row r="124" ht="16" customHeight="1" spans="1:411" x14ac:dyDescent="0.25">
      <c r="A124" s="74"/>
      <c r="B124" s="46"/>
      <c r="C124" s="61">
        <f>H119*N(D124)</f>
        <v>20863.8</v>
      </c>
      <c r="D124" s="61">
        <f>IF(TRIM(B119)="","No rate",IFERROR(INDEX('Rate Tables'!E$7:E$158,MATCH(B119,'Rate Tables'!A$7:A$158,0)),"No rate"))</f>
        <v>231.82</v>
      </c>
      <c r="E124" s="55" t="s">
        <v>64</v>
      </c>
      <c r="F124" s="49"/>
      <c r="G124" s="49"/>
      <c r="H124" s="49"/>
      <c r="I124" s="49"/>
      <c r="J124" s="50"/>
      <c r="K124" s="62">
        <f>IF(AND(K120=0,K121=0),0,IF(K120&lt;=0,0,IF(WEEKDAY(K$6,1)=1,K120*K121,0)))</f>
        <v>0</v>
      </c>
      <c r="L124" s="63">
        <f>IF(AND(L120=0,L121=0),0,IF(L120&lt;=0,0,IF(WEEKDAY(L$6,1)=1,L120*L121,0)))</f>
        <v>0</v>
      </c>
      <c r="M124" s="63">
        <f>IF(AND(M120=0,M121=0),0,IF(M120&lt;=0,0,IF(WEEKDAY(M$6,1)=1,M120*M121,0)))</f>
        <v>0</v>
      </c>
      <c r="N124" s="63">
        <f>IF(AND(N120=0,N121=0),0,IF(N120&lt;=0,0,IF(WEEKDAY(N$6,1)=1,N120*N121,0)))</f>
        <v>0</v>
      </c>
      <c r="O124" s="63">
        <f>IF(AND(O120=0,O121=0),0,IF(O120&lt;=0,0,IF(WEEKDAY(O$6,1)=1,O120*O121,0)))</f>
        <v>0</v>
      </c>
      <c r="P124" s="64">
        <f>IF(AND(P120=0,P121=0),0,IF(P120&lt;=0,0,IF(WEEKDAY(P$6,1)=1,P120*P121,0)))</f>
        <v>0</v>
      </c>
      <c r="Q124" s="64">
        <f>IF(AND(Q120=0,Q121=0),0,IF(Q120&lt;=0,0,IF(WEEKDAY(Q$6,1)=1,Q120*Q121,0)))</f>
        <v>0</v>
      </c>
      <c r="R124" s="63">
        <f>IF(AND(R120=0,R121=0),0,IF(R120&lt;=0,0,IF(WEEKDAY(R$6,1)=1,R120*R121,0)))</f>
        <v>0</v>
      </c>
      <c r="S124" s="63">
        <f>IF(AND(S120=0,S121=0),0,IF(S120&lt;=0,0,IF(WEEKDAY(S$6,1)=1,S120*S121,0)))</f>
        <v>0</v>
      </c>
      <c r="T124" s="63">
        <f>IF(AND(T120=0,T121=0),0,IF(T120&lt;=0,0,IF(WEEKDAY(T$6,1)=1,T120*T121,0)))</f>
        <v>0</v>
      </c>
      <c r="U124" s="63">
        <f>IF(AND(U120=0,U121=0),0,IF(U120&lt;=0,0,IF(WEEKDAY(U$6,1)=1,U120*U121,0)))</f>
        <v>0</v>
      </c>
      <c r="V124" s="63">
        <f>IF(AND(V120=0,V121=0),0,IF(V120&lt;=0,0,IF(WEEKDAY(V$6,1)=1,V120*V121,0)))</f>
        <v>0</v>
      </c>
      <c r="W124" s="64">
        <f>IF(AND(W120=0,W121=0),0,IF(W120&lt;=0,0,IF(WEEKDAY(W$6,1)=1,W120*W121,0)))</f>
        <v>0</v>
      </c>
      <c r="X124" s="64">
        <f>IF(AND(X120=0,X121=0),0,IF(X120&lt;=0,0,IF(WEEKDAY(X$6,1)=1,X120*X121,0)))</f>
        <v>0</v>
      </c>
      <c r="Y124" s="63">
        <f>IF(AND(Y120=0,Y121=0),0,IF(Y120&lt;=0,0,IF(WEEKDAY(Y$6,1)=1,Y120*Y121,0)))</f>
        <v>0</v>
      </c>
      <c r="Z124" s="63">
        <f>IF(AND(Z120=0,Z121=0),0,IF(Z120&lt;=0,0,IF(WEEKDAY(Z$6,1)=1,Z120*Z121,0)))</f>
        <v>0</v>
      </c>
      <c r="AA124" s="63">
        <f>IF(AND(AA120=0,AA121=0),0,IF(AA120&lt;=0,0,IF(WEEKDAY(AA$6,1)=1,AA120*AA121,0)))</f>
        <v>0</v>
      </c>
      <c r="AB124" s="63">
        <f>IF(AND(AB120=0,AB121=0),0,IF(AB120&lt;=0,0,IF(WEEKDAY(AB$6,1)=1,AB120*AB121,0)))</f>
        <v>0</v>
      </c>
      <c r="AC124" s="63">
        <f>IF(AND(AC120=0,AC121=0),0,IF(AC120&lt;=0,0,IF(WEEKDAY(AC$6,1)=1,AC120*AC121,0)))</f>
        <v>0</v>
      </c>
      <c r="AD124" s="64">
        <f>IF(AND(AD120=0,AD121=0),0,IF(AD120&lt;=0,0,IF(WEEKDAY(AD$6,1)=1,AD120*AD121,0)))</f>
        <v>0</v>
      </c>
      <c r="AE124" s="64">
        <f>IF(AND(AE120=0,AE121=0),0,IF(AE120&lt;=0,0,IF(WEEKDAY(AE$6,1)=1,AE120*AE121,0)))</f>
        <v>0</v>
      </c>
      <c r="AF124" s="63">
        <f>IF(AND(AF120=0,AF121=0),0,IF(AF120&lt;=0,0,IF(WEEKDAY(AF$6,1)=1,AF120*AF121,0)))</f>
        <v>0</v>
      </c>
      <c r="AG124" s="63">
        <f>IF(AND(AG120=0,AG121=0),0,IF(AG120&lt;=0,0,IF(WEEKDAY(AG$6,1)=1,AG120*AG121,0)))</f>
        <v>0</v>
      </c>
      <c r="AH124" s="63">
        <f>IF(AND(AH120=0,AH121=0),0,IF(AH120&lt;=0,0,IF(WEEKDAY(AH$6,1)=1,AH120*AH121,0)))</f>
        <v>0</v>
      </c>
      <c r="AI124" s="63">
        <f>IF(AND(AI120=0,AI121=0),0,IF(AI120&lt;=0,0,IF(WEEKDAY(AI$6,1)=1,AI120*AI121,0)))</f>
        <v>0</v>
      </c>
      <c r="AJ124" s="63">
        <f>IF(AND(AJ120=0,AJ121=0),0,IF(AJ120&lt;=0,0,IF(WEEKDAY(AJ$6,1)=1,AJ120*AJ121,0)))</f>
        <v>0</v>
      </c>
      <c r="AK124" s="64">
        <f>IF(AND(AK120=0,AK121=0),0,IF(AK120&lt;=0,0,IF(WEEKDAY(AK$6,1)=1,AK120*AK121,0)))</f>
        <v>0</v>
      </c>
      <c r="AL124" s="64">
        <f>IF(AND(AL120=0,AL121=0),0,IF(AL120&lt;=0,0,IF(WEEKDAY(AL$6,1)=1,AL120*AL121,0)))</f>
        <v>0</v>
      </c>
      <c r="AM124" s="63">
        <f>IF(AND(AM120=0,AM121=0),0,IF(AM120&lt;=0,0,IF(WEEKDAY(AM$6,1)=1,AM120*AM121,0)))</f>
        <v>0</v>
      </c>
      <c r="AN124" s="63">
        <f>IF(AND(AN120=0,AN121=0),0,IF(AN120&lt;=0,0,IF(WEEKDAY(AN$6,1)=1,AN120*AN121,0)))</f>
        <v>0</v>
      </c>
      <c r="AO124" s="63">
        <f>IF(AND(AO120=0,AO121=0),0,IF(AO120&lt;=0,0,IF(WEEKDAY(AO$6,1)=1,AO120*AO121,0)))</f>
        <v>0</v>
      </c>
      <c r="AP124" s="63">
        <f>IF(AND(AP120=0,AP121=0),0,IF(AP120&lt;=0,0,IF(WEEKDAY(AP$6,1)=1,AP120*AP121,0)))</f>
        <v>0</v>
      </c>
      <c r="AQ124" s="63">
        <f>IF(AND(AQ120=0,AQ121=0),0,IF(AQ120&lt;=0,0,IF(WEEKDAY(AQ$6,1)=1,AQ120*AQ121,0)))</f>
        <v>0</v>
      </c>
      <c r="AR124" s="64">
        <f>IF(AND(AR120=0,AR121=0),0,IF(AR120&lt;=0,0,IF(WEEKDAY(AR$6,1)=1,AR120*AR121,0)))</f>
        <v>0</v>
      </c>
      <c r="AS124" s="64">
        <f>IF(AND(AS120=0,AS121=0),0,IF(AS120&lt;=0,0,IF(WEEKDAY(AS$6,1)=1,AS120*AS121,0)))</f>
        <v>0</v>
      </c>
      <c r="AT124" s="63">
        <f>IF(AND(AT120=0,AT121=0),0,IF(AT120&lt;=0,0,IF(WEEKDAY(AT$6,1)=1,AT120*AT121,0)))</f>
        <v>0</v>
      </c>
      <c r="AU124" s="63">
        <f>IF(AND(AU120=0,AU121=0),0,IF(AU120&lt;=0,0,IF(WEEKDAY(AU$6,1)=1,AU120*AU121,0)))</f>
        <v>0</v>
      </c>
      <c r="AV124" s="63">
        <f>IF(AND(AV120=0,AV121=0),0,IF(AV120&lt;=0,0,IF(WEEKDAY(AV$6,1)=1,AV120*AV121,0)))</f>
        <v>0</v>
      </c>
      <c r="AW124" s="63">
        <f>IF(AND(AW120=0,AW121=0),0,IF(AW120&lt;=0,0,IF(WEEKDAY(AW$6,1)=1,AW120*AW121,0)))</f>
        <v>0</v>
      </c>
      <c r="AX124" s="63">
        <f>IF(AND(AX120=0,AX121=0),0,IF(AX120&lt;=0,0,IF(WEEKDAY(AX$6,1)=1,AX120*AX121,0)))</f>
        <v>0</v>
      </c>
      <c r="AY124" s="64">
        <f>IF(AND(AY120=0,AY121=0),0,IF(AY120&lt;=0,0,IF(WEEKDAY(AY$6,1)=1,AY120*AY121,0)))</f>
        <v>0</v>
      </c>
      <c r="AZ124" s="64">
        <f>IF(AND(AZ120=0,AZ121=0),0,IF(AZ120&lt;=0,0,IF(WEEKDAY(AZ$6,1)=1,AZ120*AZ121,0)))</f>
        <v>0</v>
      </c>
      <c r="BA124" s="63">
        <f>IF(AND(BA120=0,BA121=0),0,IF(BA120&lt;=0,0,IF(WEEKDAY(BA$6,1)=1,BA120*BA121,0)))</f>
        <v>0</v>
      </c>
      <c r="BB124" s="63">
        <f>IF(AND(BB120=0,BB121=0),0,IF(BB120&lt;=0,0,IF(WEEKDAY(BB$6,1)=1,BB120*BB121,0)))</f>
        <v>0</v>
      </c>
      <c r="BC124" s="63">
        <f>IF(AND(BC120=0,BC121=0),0,IF(BC120&lt;=0,0,IF(WEEKDAY(BC$6,1)=1,BC120*BC121,0)))</f>
        <v>0</v>
      </c>
      <c r="BD124" s="63">
        <f>IF(AND(BD120=0,BD121=0),0,IF(BD120&lt;=0,0,IF(WEEKDAY(BD$6,1)=1,BD120*BD121,0)))</f>
        <v>0</v>
      </c>
      <c r="BE124" s="63">
        <f>IF(AND(BE120=0,BE121=0),0,IF(BE120&lt;=0,0,IF(WEEKDAY(BE$6,1)=1,BE120*BE121,0)))</f>
        <v>0</v>
      </c>
      <c r="BF124" s="64">
        <f>IF(AND(BF120=0,BF121=0),0,IF(BF120&lt;=0,0,IF(WEEKDAY(BF$6,1)=1,BF120*BF121,0)))</f>
        <v>0</v>
      </c>
      <c r="BG124" s="64">
        <f>IF(AND(BG120=0,BG121=0),0,IF(BG120&lt;=0,0,IF(WEEKDAY(BG$6,1)=1,BG120*BG121,0)))</f>
        <v>0</v>
      </c>
      <c r="BH124" s="63">
        <f>IF(AND(BH120=1,BH121=10),0,IF(BH120&lt;=0,0,IF(WEEKDAY(BH$6,1)=1,BH120*BH121,0)))</f>
        <v>0</v>
      </c>
      <c r="BI124" s="63">
        <f>IF(AND(BI120=1,BI121=10),0,IF(BI120&lt;=0,0,IF(WEEKDAY(BI$6,1)=1,BI120*BI121,0)))</f>
        <v>0</v>
      </c>
      <c r="BJ124" s="63">
        <f>IF(AND(BJ120=1,BJ121=10),0,IF(BJ120&lt;=0,0,IF(WEEKDAY(BJ$6,1)=1,BJ120*BJ121,0)))</f>
        <v>0</v>
      </c>
      <c r="BK124" s="63">
        <f>IF(AND(BK120=1,BK121=10),0,IF(BK120&lt;=0,0,IF(WEEKDAY(BK$6,1)=1,BK120*BK121,0)))</f>
        <v>0</v>
      </c>
      <c r="BL124" s="63">
        <f>IF(AND(BL120=1,BL121=10),0,IF(BL120&lt;=0,0,IF(WEEKDAY(BL$6,1)=1,BL120*BL121,0)))</f>
        <v>0</v>
      </c>
      <c r="BM124" s="64">
        <f>IF(AND(BM120=1,BM121=10),0,IF(BM120&lt;=0,0,IF(WEEKDAY(BM$6,1)=1,BM120*BM121,0)))</f>
        <v>0</v>
      </c>
      <c r="BN124" s="64">
        <f>IF(AND(BN120=1,BN121=10),10,IF(BN120&lt;=0,0,IF(WEEKDAY(BN$6,1)=1,BN120*BN121,0)))</f>
        <v>10</v>
      </c>
      <c r="BO124" s="63">
        <f>IF(AND(BO120=1,BO121=10),0,IF(BO120&lt;=0,0,IF(WEEKDAY(BO$6,1)=1,BO120*BO121,0)))</f>
        <v>0</v>
      </c>
      <c r="BP124" s="63">
        <f>IF(AND(BP120=1,BP121=10),0,IF(BP120&lt;=0,0,IF(WEEKDAY(BP$6,1)=1,BP120*BP121,0)))</f>
        <v>0</v>
      </c>
      <c r="BQ124" s="63">
        <f>IF(AND(BQ120=1,BQ121=10),0,IF(BQ120&lt;=0,0,IF(WEEKDAY(BQ$6,1)=1,BQ120*BQ121,0)))</f>
        <v>0</v>
      </c>
      <c r="BR124" s="63">
        <f>IF(AND(BR120=1,BR121=10),0,IF(BR120&lt;=0,0,IF(WEEKDAY(BR$6,1)=1,BR120*BR121,0)))</f>
        <v>0</v>
      </c>
      <c r="BS124" s="63">
        <f>IF(AND(BS120=1,BS121=10),0,IF(BS120&lt;=0,0,IF(WEEKDAY(BS$6,1)=1,BS120*BS121,0)))</f>
        <v>0</v>
      </c>
      <c r="BT124" s="64">
        <f>IF(AND(BT120=1,BT121=10),0,IF(BT120&lt;=0,0,IF(WEEKDAY(BT$6,1)=1,BT120*BT121,0)))</f>
        <v>0</v>
      </c>
      <c r="BU124" s="64">
        <f>IF(AND(BU120=1,BU121=10),10,IF(BU120&lt;=0,0,IF(WEEKDAY(BU$6,1)=1,BU120*BU121,0)))</f>
        <v>10</v>
      </c>
      <c r="BV124" s="63">
        <f>IF(AND(BV120=1,BV121=10),0,IF(BV120&lt;=0,0,IF(WEEKDAY(BV$6,1)=1,BV120*BV121,0)))</f>
        <v>0</v>
      </c>
      <c r="BW124" s="63">
        <f>IF(AND(BW120=1,BW121=10),0,IF(BW120&lt;=0,0,IF(WEEKDAY(BW$6,1)=1,BW120*BW121,0)))</f>
        <v>0</v>
      </c>
      <c r="BX124" s="63">
        <f>IF(AND(BX120=1,BX121=10),0,IF(BX120&lt;=0,0,IF(WEEKDAY(BX$6,1)=1,BX120*BX121,0)))</f>
        <v>0</v>
      </c>
      <c r="BY124" s="63">
        <f>IF(AND(BY120=1,BY121=10),0,IF(BY120&lt;=0,0,IF(WEEKDAY(BY$6,1)=1,BY120*BY121,0)))</f>
        <v>0</v>
      </c>
      <c r="BZ124" s="63">
        <f>IF(AND(BZ120=1,BZ121=10),0,IF(BZ120&lt;=0,0,IF(WEEKDAY(BZ$6,1)=1,BZ120*BZ121,0)))</f>
        <v>0</v>
      </c>
      <c r="CA124" s="64">
        <f>IF(AND(CA120=1,CA121=10),0,IF(CA120&lt;=0,0,IF(WEEKDAY(CA$6,1)=1,CA120*CA121,0)))</f>
        <v>0</v>
      </c>
      <c r="CB124" s="64">
        <f>IF(AND(CB120=1,CB121=10),10,IF(CB120&lt;=0,0,IF(WEEKDAY(CB$6,1)=1,CB120*CB121,0)))</f>
        <v>10</v>
      </c>
      <c r="CC124" s="63">
        <f>IF(AND(CC120=1,CC121=10),0,IF(CC120&lt;=0,0,IF(WEEKDAY(CC$6,1)=1,CC120*CC121,0)))</f>
        <v>0</v>
      </c>
      <c r="CD124" s="63">
        <f>IF(AND(CD120=1,CD121=10),0,IF(CD120&lt;=0,0,IF(WEEKDAY(CD$6,1)=1,CD120*CD121,0)))</f>
        <v>0</v>
      </c>
      <c r="CE124" s="63">
        <f>IF(AND(CE120=1,CE121=10),0,IF(CE120&lt;=0,0,IF(WEEKDAY(CE$6,1)=1,CE120*CE121,0)))</f>
        <v>0</v>
      </c>
      <c r="CF124" s="63">
        <f>IF(AND(CF120=1,CF121=10),0,IF(CF120&lt;=0,0,IF(WEEKDAY(CF$6,1)=1,CF120*CF121,0)))</f>
        <v>0</v>
      </c>
      <c r="CG124" s="63">
        <f>IF(AND(CG120=1,CG121=10),0,IF(CG120&lt;=0,0,IF(WEEKDAY(CG$6,1)=1,CG120*CG121,0)))</f>
        <v>0</v>
      </c>
      <c r="CH124" s="64">
        <f>IF(AND(CH120=1,CH121=10),0,IF(CH120&lt;=0,0,IF(WEEKDAY(CH$6,1)=1,CH120*CH121,0)))</f>
        <v>0</v>
      </c>
      <c r="CI124" s="64">
        <f>IF(AND(CI120=1,CI121=10),10,IF(CI120&lt;=0,0,IF(WEEKDAY(CI$6,1)=1,CI120*CI121,0)))</f>
        <v>10</v>
      </c>
      <c r="CJ124" s="63">
        <f>IF(AND(CJ120=1,CJ121=10),0,IF(CJ120&lt;=0,0,IF(WEEKDAY(CJ$6,1)=1,CJ120*CJ121,0)))</f>
        <v>0</v>
      </c>
      <c r="CK124" s="63">
        <f>IF(AND(CK120=1,CK121=10),0,IF(CK120&lt;=0,0,IF(WEEKDAY(CK$6,1)=1,CK120*CK121,0)))</f>
        <v>0</v>
      </c>
      <c r="CL124" s="63">
        <f>IF(AND(CL120=1,CL121=10),0,IF(CL120&lt;=0,0,IF(WEEKDAY(CL$6,1)=1,CL120*CL121,0)))</f>
        <v>0</v>
      </c>
      <c r="CM124" s="63">
        <f>IF(AND(CM120=1,CM121=10),0,IF(CM120&lt;=0,0,IF(WEEKDAY(CM$6,1)=1,CM120*CM121,0)))</f>
        <v>0</v>
      </c>
      <c r="CN124" s="63">
        <f>IF(AND(CN120=1,CN121=10),0,IF(CN120&lt;=0,0,IF(WEEKDAY(CN$6,1)=1,CN120*CN121,0)))</f>
        <v>0</v>
      </c>
      <c r="CO124" s="64">
        <f>IF(AND(CO120=1,CO121=10),0,IF(CO120&lt;=0,0,IF(WEEKDAY(CO$6,1)=1,CO120*CO121,0)))</f>
        <v>0</v>
      </c>
      <c r="CP124" s="64">
        <f>IF(AND(CP120=1,CP121=10),10,IF(CP120&lt;=0,0,IF(WEEKDAY(CP$6,1)=1,CP120*CP121,0)))</f>
        <v>10</v>
      </c>
      <c r="CQ124" s="63">
        <f>IF(AND(CQ120=1,CQ121=10),0,IF(CQ120&lt;=0,0,IF(WEEKDAY(CQ$6,1)=1,CQ120*CQ121,0)))</f>
        <v>0</v>
      </c>
      <c r="CR124" s="63">
        <f>IF(AND(CR120=1,CR121=10),0,IF(CR120&lt;=0,0,IF(WEEKDAY(CR$6,1)=1,CR120*CR121,0)))</f>
        <v>0</v>
      </c>
      <c r="CS124" s="63">
        <f>IF(AND(CS120=1,CS121=10),0,IF(CS120&lt;=0,0,IF(WEEKDAY(CS$6,1)=1,CS120*CS121,0)))</f>
        <v>0</v>
      </c>
      <c r="CT124" s="63">
        <f>IF(AND(CT120=1,CT121=10),0,IF(CT120&lt;=0,0,IF(WEEKDAY(CT$6,1)=1,CT120*CT121,0)))</f>
        <v>0</v>
      </c>
      <c r="CU124" s="63">
        <f>IF(AND(CU120=1,CU121=10),0,IF(CU120&lt;=0,0,IF(WEEKDAY(CU$6,1)=1,CU120*CU121,0)))</f>
        <v>0</v>
      </c>
      <c r="CV124" s="64">
        <f>IF(AND(CV120=1,CV121=10),0,IF(CV120&lt;=0,0,IF(WEEKDAY(CV$6,1)=1,CV120*CV121,0)))</f>
        <v>0</v>
      </c>
      <c r="CW124" s="64">
        <f>IF(AND(CW120=1,CW121=10),10,IF(CW120&lt;=0,0,IF(WEEKDAY(CW$6,1)=1,CW120*CW121,0)))</f>
        <v>10</v>
      </c>
      <c r="CX124" s="63">
        <f>IF(AND(CX120=1,CX121=10),0,IF(CX120&lt;=0,0,IF(WEEKDAY(CX$6,1)=1,CX120*CX121,0)))</f>
        <v>0</v>
      </c>
      <c r="CY124" s="63">
        <f>IF(AND(CY120=1,CY121=10),0,IF(CY120&lt;=0,0,IF(WEEKDAY(CY$6,1)=1,CY120*CY121,0)))</f>
        <v>0</v>
      </c>
      <c r="CZ124" s="63">
        <f>IF(AND(CZ120=1,CZ121=10),0,IF(CZ120&lt;=0,0,IF(WEEKDAY(CZ$6,1)=1,CZ120*CZ121,0)))</f>
        <v>0</v>
      </c>
      <c r="DA124" s="63">
        <f>IF(AND(DA120=1,DA121=10),0,IF(DA120&lt;=0,0,IF(WEEKDAY(DA$6,1)=1,DA120*DA121,0)))</f>
        <v>0</v>
      </c>
      <c r="DB124" s="63">
        <f>IF(AND(DB120=1,DB121=10),0,IF(DB120&lt;=0,0,IF(WEEKDAY(DB$6,1)=1,DB120*DB121,0)))</f>
        <v>0</v>
      </c>
      <c r="DC124" s="64">
        <f>IF(AND(DC120=1,DC121=10),0,IF(DC120&lt;=0,0,IF(WEEKDAY(DC$6,1)=1,DC120*DC121,0)))</f>
        <v>0</v>
      </c>
      <c r="DD124" s="64">
        <f>IF(AND(DD120=1,DD121=10),10,IF(DD120&lt;=0,0,IF(WEEKDAY(DD$6,1)=1,DD120*DD121,0)))</f>
        <v>10</v>
      </c>
      <c r="DE124" s="63">
        <f>IF(AND(DE120=1,DE121=10),0,IF(DE120&lt;=0,0,IF(WEEKDAY(DE$6,1)=1,DE120*DE121,0)))</f>
        <v>0</v>
      </c>
      <c r="DF124" s="63">
        <f>IF(AND(DF120=1,DF121=10),0,IF(DF120&lt;=0,0,IF(WEEKDAY(DF$6,1)=1,DF120*DF121,0)))</f>
        <v>0</v>
      </c>
      <c r="DG124" s="63">
        <f>IF(AND(DG120=1,DG121=10),0,IF(DG120&lt;=0,0,IF(WEEKDAY(DG$6,1)=1,DG120*DG121,0)))</f>
        <v>0</v>
      </c>
      <c r="DH124" s="63">
        <f>IF(AND(DH120=1,DH121=10),0,IF(DH120&lt;=0,0,IF(WEEKDAY(DH$6,1)=1,DH120*DH121,0)))</f>
        <v>0</v>
      </c>
      <c r="DI124" s="63">
        <f>IF(AND(DI120=1,DI121=10),0,IF(DI120&lt;=0,0,IF(WEEKDAY(DI$6,1)=1,DI120*DI121,0)))</f>
        <v>0</v>
      </c>
      <c r="DJ124" s="64">
        <f>IF(AND(DJ120=1,DJ121=10),0,IF(DJ120&lt;=0,0,IF(WEEKDAY(DJ$6,1)=1,DJ120*DJ121,0)))</f>
        <v>0</v>
      </c>
      <c r="DK124" s="64">
        <f>IF(AND(DK120=1,DK121=10),10,IF(DK120&lt;=0,0,IF(WEEKDAY(DK$6,1)=1,DK120*DK121,0)))</f>
        <v>10</v>
      </c>
      <c r="DL124" s="63">
        <f>IF(AND(DL120=1,DL121=10),0,IF(DL120&lt;=0,0,IF(WEEKDAY(DL$6,1)=1,DL120*DL121,0)))</f>
        <v>0</v>
      </c>
      <c r="DM124" s="63">
        <f>IF(AND(DM120=1,DM121=10),0,IF(DM120&lt;=0,0,IF(WEEKDAY(DM$6,1)=1,DM120*DM121,0)))</f>
        <v>0</v>
      </c>
      <c r="DN124" s="63">
        <f>IF(AND(DN120=1,DN121=10),0,IF(DN120&lt;=0,0,IF(WEEKDAY(DN$6,1)=1,DN120*DN121,0)))</f>
        <v>0</v>
      </c>
      <c r="DO124" s="63">
        <f>IF(AND(DO120=1,DO121=10),0,IF(DO120&lt;=0,0,IF(WEEKDAY(DO$6,1)=1,DO120*DO121,0)))</f>
        <v>0</v>
      </c>
      <c r="DP124" s="63">
        <f>IF(AND(DP120=1,DP121=10),0,IF(DP120&lt;=0,0,IF(WEEKDAY(DP$6,1)=1,DP120*DP121,0)))</f>
        <v>0</v>
      </c>
      <c r="DQ124" s="64">
        <f>IF(AND(DQ120=1,DQ121=10),0,IF(DQ120&lt;=0,0,IF(WEEKDAY(DQ$6,1)=1,DQ120*DQ121,0)))</f>
        <v>0</v>
      </c>
      <c r="DR124" s="64">
        <f>IF(AND(DR120=1,DR121=10),10,IF(DR120&lt;=0,0,IF(WEEKDAY(DR$6,1)=1,DR120*DR121,0)))</f>
        <v>10</v>
      </c>
      <c r="DS124" s="63">
        <f>IF(AND(DS120=1,DS121=10),0,IF(DS120&lt;=0,0,IF(WEEKDAY(DS$6,1)=1,DS120*DS121,0)))</f>
        <v>0</v>
      </c>
      <c r="DT124" s="63">
        <f>IF(AND(DT120=0,DT121=0),0,IF(DT120&lt;=0,0,IF(WEEKDAY(DT$6,1)=1,DT120*DT121,0)))</f>
        <v>0</v>
      </c>
      <c r="DU124" s="63">
        <f>IF(AND(DU120=0,DU121=0),0,IF(DU120&lt;=0,0,IF(WEEKDAY(DU$6,1)=1,DU120*DU121,0)))</f>
        <v>0</v>
      </c>
      <c r="DV124" s="63">
        <f>IF(AND(DV120=0,DV121=0),0,IF(DV120&lt;=0,0,IF(WEEKDAY(DV$6,1)=1,DV120*DV121,0)))</f>
        <v>0</v>
      </c>
      <c r="DW124" s="63">
        <f>IF(AND(DW120=0,DW121=0),0,IF(DW120&lt;=0,0,IF(WEEKDAY(DW$6,1)=1,DW120*DW121,0)))</f>
        <v>0</v>
      </c>
      <c r="DX124" s="64">
        <f>IF(AND(DX120=0,DX121=0),0,IF(DX120&lt;=0,0,IF(WEEKDAY(DX$6,1)=1,DX120*DX121,0)))</f>
        <v>0</v>
      </c>
      <c r="DY124" s="64">
        <f>IF(AND(DY120=0,DY121=0),0,IF(DY120&lt;=0,0,IF(WEEKDAY(DY$6,1)=1,DY120*DY121,0)))</f>
        <v>0</v>
      </c>
      <c r="DZ124" s="63">
        <f>IF(AND(DZ120=0,DZ121=0),0,IF(DZ120&lt;=0,0,IF(WEEKDAY(DZ$6,1)=1,DZ120*DZ121,0)))</f>
        <v>0</v>
      </c>
      <c r="EA124" s="63">
        <f>IF(AND(EA120=0,EA121=0),0,IF(EA120&lt;=0,0,IF(WEEKDAY(EA$6,1)=1,EA120*EA121,0)))</f>
        <v>0</v>
      </c>
      <c r="EB124" s="63">
        <f>IF(AND(EB120=0,EB121=0),0,IF(EB120&lt;=0,0,IF(WEEKDAY(EB$6,1)=1,EB120*EB121,0)))</f>
        <v>0</v>
      </c>
      <c r="EC124" s="63">
        <f>IF(AND(EC120=0,EC121=0),0,IF(EC120&lt;=0,0,IF(WEEKDAY(EC$6,1)=1,EC120*EC121,0)))</f>
        <v>0</v>
      </c>
      <c r="ED124" s="63">
        <f>IF(AND(ED120=0,ED121=0),0,IF(ED120&lt;=0,0,IF(WEEKDAY(ED$6,1)=1,ED120*ED121,0)))</f>
        <v>0</v>
      </c>
      <c r="EE124" s="64">
        <f>IF(AND(EE120=0,EE121=0),0,IF(EE120&lt;=0,0,IF(WEEKDAY(EE$6,1)=1,EE120*EE121,0)))</f>
        <v>0</v>
      </c>
      <c r="EF124" s="64">
        <f>IF(AND(EF120=0,EF121=0),0,IF(EF120&lt;=0,0,IF(WEEKDAY(EF$6,1)=1,EF120*EF121,0)))</f>
        <v>0</v>
      </c>
      <c r="EG124" s="63">
        <f>IF(AND(EG120=0,EG121=0),0,IF(EG120&lt;=0,0,IF(WEEKDAY(EG$6,1)=1,EG120*EG121,0)))</f>
        <v>0</v>
      </c>
      <c r="EH124" s="63">
        <f>IF(AND(EH120=0,EH121=0),0,IF(EH120&lt;=0,0,IF(WEEKDAY(EH$6,1)=1,EH120*EH121,0)))</f>
        <v>0</v>
      </c>
      <c r="EI124" s="63">
        <f>IF(AND(EI120=0,EI121=0),0,IF(EI120&lt;=0,0,IF(WEEKDAY(EI$6,1)=1,EI120*EI121,0)))</f>
        <v>0</v>
      </c>
      <c r="EJ124" s="63">
        <f>IF(AND(EJ120=0,EJ121=0),0,IF(EJ120&lt;=0,0,IF(WEEKDAY(EJ$6,1)=1,EJ120*EJ121,0)))</f>
        <v>0</v>
      </c>
      <c r="EK124" s="65">
        <f>IF(AND(EK120=0,EK121=0),0,IF(EK120&lt;=0,0,IF(WEEKDAY(EK$6,1)=1,EK120*EK121,0)))</f>
        <v>0</v>
      </c>
      <c r="OU124" s="28" t="s">
        <v>88</v>
      </c>
    </row>
    <row r="125" ht="16" customHeight="1" spans="1:411" x14ac:dyDescent="0.25">
      <c r="A125" s="74"/>
      <c r="B125" s="46"/>
      <c r="C125" s="67">
        <f>I119*D125</f>
        <v>8960</v>
      </c>
      <c r="D125" s="67">
        <v>140</v>
      </c>
      <c r="E125" s="68" t="s">
        <v>65</v>
      </c>
      <c r="F125" s="49"/>
      <c r="G125" s="49"/>
      <c r="H125" s="49"/>
      <c r="I125" s="49"/>
      <c r="J125" s="50"/>
      <c r="K125" s="69">
        <v>0</v>
      </c>
      <c r="L125" s="70">
        <v>0</v>
      </c>
      <c r="M125" s="70">
        <v>0</v>
      </c>
      <c r="N125" s="70">
        <v>0</v>
      </c>
      <c r="O125" s="70">
        <v>0</v>
      </c>
      <c r="P125" s="71">
        <v>0</v>
      </c>
      <c r="Q125" s="71">
        <v>0</v>
      </c>
      <c r="R125" s="70">
        <v>0</v>
      </c>
      <c r="S125" s="70">
        <v>0</v>
      </c>
      <c r="T125" s="70">
        <v>0</v>
      </c>
      <c r="U125" s="70">
        <v>0</v>
      </c>
      <c r="V125" s="70">
        <v>0</v>
      </c>
      <c r="W125" s="71">
        <v>0</v>
      </c>
      <c r="X125" s="71">
        <v>0</v>
      </c>
      <c r="Y125" s="70">
        <v>0</v>
      </c>
      <c r="Z125" s="70">
        <v>0</v>
      </c>
      <c r="AA125" s="70">
        <v>0</v>
      </c>
      <c r="AB125" s="70">
        <v>0</v>
      </c>
      <c r="AC125" s="70">
        <v>0</v>
      </c>
      <c r="AD125" s="71">
        <v>0</v>
      </c>
      <c r="AE125" s="71">
        <v>0</v>
      </c>
      <c r="AF125" s="70">
        <v>0</v>
      </c>
      <c r="AG125" s="70">
        <v>0</v>
      </c>
      <c r="AH125" s="70">
        <v>0</v>
      </c>
      <c r="AI125" s="70">
        <v>0</v>
      </c>
      <c r="AJ125" s="70">
        <v>0</v>
      </c>
      <c r="AK125" s="71">
        <v>0</v>
      </c>
      <c r="AL125" s="71">
        <v>0</v>
      </c>
      <c r="AM125" s="70">
        <v>0</v>
      </c>
      <c r="AN125" s="70">
        <v>0</v>
      </c>
      <c r="AO125" s="70">
        <v>0</v>
      </c>
      <c r="AP125" s="70">
        <v>0</v>
      </c>
      <c r="AQ125" s="70">
        <v>0</v>
      </c>
      <c r="AR125" s="71">
        <v>0</v>
      </c>
      <c r="AS125" s="71">
        <v>0</v>
      </c>
      <c r="AT125" s="70">
        <v>0</v>
      </c>
      <c r="AU125" s="70">
        <v>0</v>
      </c>
      <c r="AV125" s="70">
        <v>0</v>
      </c>
      <c r="AW125" s="70">
        <v>0</v>
      </c>
      <c r="AX125" s="70">
        <v>0</v>
      </c>
      <c r="AY125" s="71">
        <v>0</v>
      </c>
      <c r="AZ125" s="71">
        <v>0</v>
      </c>
      <c r="BA125" s="70">
        <v>0</v>
      </c>
      <c r="BB125" s="70">
        <v>0</v>
      </c>
      <c r="BC125" s="70">
        <v>0</v>
      </c>
      <c r="BD125" s="70">
        <v>0</v>
      </c>
      <c r="BE125" s="70">
        <v>0</v>
      </c>
      <c r="BF125" s="71">
        <v>0</v>
      </c>
      <c r="BG125" s="71">
        <v>0</v>
      </c>
      <c r="BH125" s="70">
        <v>1</v>
      </c>
      <c r="BI125" s="70">
        <v>1</v>
      </c>
      <c r="BJ125" s="70">
        <v>1</v>
      </c>
      <c r="BK125" s="70">
        <v>1</v>
      </c>
      <c r="BL125" s="70">
        <v>1</v>
      </c>
      <c r="BM125" s="71">
        <v>1</v>
      </c>
      <c r="BN125" s="71">
        <v>1</v>
      </c>
      <c r="BO125" s="70">
        <v>1</v>
      </c>
      <c r="BP125" s="70">
        <v>1</v>
      </c>
      <c r="BQ125" s="70">
        <v>1</v>
      </c>
      <c r="BR125" s="70">
        <v>1</v>
      </c>
      <c r="BS125" s="70">
        <v>1</v>
      </c>
      <c r="BT125" s="71">
        <v>1</v>
      </c>
      <c r="BU125" s="71">
        <v>1</v>
      </c>
      <c r="BV125" s="70">
        <v>1</v>
      </c>
      <c r="BW125" s="70">
        <v>1</v>
      </c>
      <c r="BX125" s="70">
        <v>1</v>
      </c>
      <c r="BY125" s="70">
        <v>1</v>
      </c>
      <c r="BZ125" s="70">
        <v>1</v>
      </c>
      <c r="CA125" s="71">
        <v>1</v>
      </c>
      <c r="CB125" s="71">
        <v>1</v>
      </c>
      <c r="CC125" s="70">
        <v>1</v>
      </c>
      <c r="CD125" s="70">
        <v>1</v>
      </c>
      <c r="CE125" s="70">
        <v>1</v>
      </c>
      <c r="CF125" s="70">
        <v>1</v>
      </c>
      <c r="CG125" s="70">
        <v>1</v>
      </c>
      <c r="CH125" s="71">
        <v>1</v>
      </c>
      <c r="CI125" s="71">
        <v>1</v>
      </c>
      <c r="CJ125" s="70">
        <v>1</v>
      </c>
      <c r="CK125" s="70">
        <v>1</v>
      </c>
      <c r="CL125" s="70">
        <v>1</v>
      </c>
      <c r="CM125" s="70">
        <v>1</v>
      </c>
      <c r="CN125" s="70">
        <v>1</v>
      </c>
      <c r="CO125" s="71">
        <v>1</v>
      </c>
      <c r="CP125" s="71">
        <v>1</v>
      </c>
      <c r="CQ125" s="70">
        <v>1</v>
      </c>
      <c r="CR125" s="70">
        <v>1</v>
      </c>
      <c r="CS125" s="70">
        <v>1</v>
      </c>
      <c r="CT125" s="70">
        <v>1</v>
      </c>
      <c r="CU125" s="70">
        <v>1</v>
      </c>
      <c r="CV125" s="71">
        <v>1</v>
      </c>
      <c r="CW125" s="71">
        <v>1</v>
      </c>
      <c r="CX125" s="70">
        <v>1</v>
      </c>
      <c r="CY125" s="70">
        <v>1</v>
      </c>
      <c r="CZ125" s="70">
        <v>1</v>
      </c>
      <c r="DA125" s="70">
        <v>1</v>
      </c>
      <c r="DB125" s="70">
        <v>1</v>
      </c>
      <c r="DC125" s="71">
        <v>1</v>
      </c>
      <c r="DD125" s="71">
        <v>1</v>
      </c>
      <c r="DE125" s="70">
        <v>1</v>
      </c>
      <c r="DF125" s="70">
        <v>1</v>
      </c>
      <c r="DG125" s="70">
        <v>1</v>
      </c>
      <c r="DH125" s="70">
        <v>1</v>
      </c>
      <c r="DI125" s="70">
        <v>1</v>
      </c>
      <c r="DJ125" s="71">
        <v>1</v>
      </c>
      <c r="DK125" s="71">
        <v>1</v>
      </c>
      <c r="DL125" s="70">
        <v>1</v>
      </c>
      <c r="DM125" s="70">
        <v>1</v>
      </c>
      <c r="DN125" s="70">
        <v>1</v>
      </c>
      <c r="DO125" s="70">
        <v>1</v>
      </c>
      <c r="DP125" s="70">
        <v>1</v>
      </c>
      <c r="DQ125" s="71">
        <v>1</v>
      </c>
      <c r="DR125" s="71">
        <v>1</v>
      </c>
      <c r="DS125" s="70">
        <v>1</v>
      </c>
      <c r="DT125" s="70">
        <v>0</v>
      </c>
      <c r="DU125" s="70">
        <v>0</v>
      </c>
      <c r="DV125" s="70">
        <v>0</v>
      </c>
      <c r="DW125" s="70">
        <v>0</v>
      </c>
      <c r="DX125" s="71">
        <v>0</v>
      </c>
      <c r="DY125" s="71">
        <v>0</v>
      </c>
      <c r="DZ125" s="70">
        <v>0</v>
      </c>
      <c r="EA125" s="70">
        <v>0</v>
      </c>
      <c r="EB125" s="70">
        <v>0</v>
      </c>
      <c r="EC125" s="70">
        <v>0</v>
      </c>
      <c r="ED125" s="70">
        <v>0</v>
      </c>
      <c r="EE125" s="71">
        <v>0</v>
      </c>
      <c r="EF125" s="71">
        <v>0</v>
      </c>
      <c r="EG125" s="70">
        <v>0</v>
      </c>
      <c r="EH125" s="70">
        <v>0</v>
      </c>
      <c r="EI125" s="70">
        <v>0</v>
      </c>
      <c r="EJ125" s="70">
        <v>0</v>
      </c>
      <c r="EK125" s="72">
        <v>0</v>
      </c>
      <c r="OU125" s="60" t="s">
        <v>88</v>
      </c>
    </row>
    <row r="126" ht="8" customHeight="1" spans="1:14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3"/>
      <c r="CD126" s="73"/>
      <c r="CE126" s="73"/>
      <c r="CF126" s="73"/>
      <c r="CG126" s="73"/>
      <c r="CH126" s="73"/>
      <c r="CI126" s="73"/>
      <c r="CJ126" s="73"/>
      <c r="CK126" s="73"/>
      <c r="CL126" s="73"/>
      <c r="CM126" s="73"/>
      <c r="CN126" s="73"/>
      <c r="CO126" s="73"/>
      <c r="CP126" s="73"/>
      <c r="CQ126" s="73"/>
      <c r="CR126" s="73"/>
      <c r="CS126" s="73"/>
      <c r="CT126" s="73"/>
      <c r="CU126" s="73"/>
      <c r="CV126" s="73"/>
      <c r="CW126" s="73"/>
      <c r="CX126" s="73"/>
      <c r="CY126" s="73"/>
      <c r="CZ126" s="73"/>
      <c r="DA126" s="73"/>
      <c r="DB126" s="73"/>
      <c r="DC126" s="73"/>
      <c r="DD126" s="73"/>
      <c r="DE126" s="73"/>
      <c r="DF126" s="73"/>
      <c r="DG126" s="73"/>
      <c r="DH126" s="73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  <c r="DT126" s="73"/>
      <c r="DU126" s="73"/>
      <c r="DV126" s="73"/>
      <c r="DW126" s="73"/>
      <c r="DX126" s="73"/>
      <c r="DY126" s="73"/>
      <c r="DZ126" s="73"/>
      <c r="EA126" s="73"/>
      <c r="EB126" s="73"/>
      <c r="EC126" s="73"/>
      <c r="ED126" s="73"/>
      <c r="EE126" s="73"/>
      <c r="EF126" s="73"/>
      <c r="EG126" s="73"/>
      <c r="EH126" s="73"/>
      <c r="EI126" s="73"/>
      <c r="EJ126" s="73"/>
      <c r="EK126" s="73"/>
    </row>
    <row r="127" ht="16" customHeight="1" spans="1:411" x14ac:dyDescent="0.25">
      <c r="A127" s="45" t="s">
        <v>57</v>
      </c>
      <c r="B127" s="46" t="s">
        <v>89</v>
      </c>
      <c r="C127" s="47">
        <f>J127</f>
        <v>156994.16000000003</v>
      </c>
      <c r="D127" s="48"/>
      <c r="E127" s="48"/>
      <c r="F127" s="49">
        <f>SUM(K130:EK130)</f>
        <v>782</v>
      </c>
      <c r="G127" s="49">
        <f>SUM(K131:EK131)</f>
        <v>325</v>
      </c>
      <c r="H127" s="49">
        <f>SUM(K132:EK132)</f>
        <v>91</v>
      </c>
      <c r="I127" s="49">
        <f>SUM(K133:EK133)</f>
        <v>111</v>
      </c>
      <c r="J127" s="50">
        <f>C130+C131+C132</f>
        <v>156994.16000000003</v>
      </c>
      <c r="K127" s="51"/>
      <c r="L127" s="52"/>
      <c r="M127" s="52"/>
      <c r="N127" s="52"/>
      <c r="O127" s="52"/>
      <c r="P127" s="53"/>
      <c r="Q127" s="53"/>
      <c r="R127" s="52"/>
      <c r="S127" s="52"/>
      <c r="T127" s="52"/>
      <c r="U127" s="52"/>
      <c r="V127" s="52"/>
      <c r="W127" s="53"/>
      <c r="X127" s="53"/>
      <c r="Y127" s="52"/>
      <c r="Z127" s="52"/>
      <c r="AA127" s="52"/>
      <c r="AB127" s="52"/>
      <c r="AC127" s="52"/>
      <c r="AD127" s="53"/>
      <c r="AE127" s="53"/>
      <c r="AF127" s="52"/>
      <c r="AG127" s="52"/>
      <c r="AH127" s="52"/>
      <c r="AI127" s="52"/>
      <c r="AJ127" s="52"/>
      <c r="AK127" s="53"/>
      <c r="AL127" s="53"/>
      <c r="AM127" s="52"/>
      <c r="AN127" s="52"/>
      <c r="AO127" s="52"/>
      <c r="AP127" s="52"/>
      <c r="AQ127" s="52"/>
      <c r="AR127" s="53"/>
      <c r="AS127" s="53"/>
      <c r="AT127" s="52"/>
      <c r="AU127" s="52"/>
      <c r="AV127" s="52"/>
      <c r="AW127" s="52"/>
      <c r="AX127" s="52"/>
      <c r="AY127" s="53"/>
      <c r="AZ127" s="53"/>
      <c r="BA127" s="52"/>
      <c r="BB127" s="52"/>
      <c r="BC127" s="52"/>
      <c r="BD127" s="52"/>
      <c r="BE127" s="52"/>
      <c r="BF127" s="53"/>
      <c r="BG127" s="53"/>
      <c r="BH127" s="52"/>
      <c r="BI127" s="52"/>
      <c r="BJ127" s="52"/>
      <c r="BK127" s="52"/>
      <c r="BL127" s="52"/>
      <c r="BM127" s="53"/>
      <c r="BN127" s="53"/>
      <c r="BO127" s="52"/>
      <c r="BP127" s="52"/>
      <c r="BQ127" s="52"/>
      <c r="BR127" s="52"/>
      <c r="BS127" s="52"/>
      <c r="BT127" s="53"/>
      <c r="BU127" s="53"/>
      <c r="BV127" s="52"/>
      <c r="BW127" s="52"/>
      <c r="BX127" s="52"/>
      <c r="BY127" s="52"/>
      <c r="BZ127" s="52"/>
      <c r="CA127" s="53"/>
      <c r="CB127" s="53"/>
      <c r="CC127" s="52"/>
      <c r="CD127" s="52"/>
      <c r="CE127" s="52"/>
      <c r="CF127" s="52"/>
      <c r="CG127" s="52"/>
      <c r="CH127" s="53"/>
      <c r="CI127" s="53"/>
      <c r="CJ127" s="52"/>
      <c r="CK127" s="52"/>
      <c r="CL127" s="52"/>
      <c r="CM127" s="52"/>
      <c r="CN127" s="52"/>
      <c r="CO127" s="53"/>
      <c r="CP127" s="53"/>
      <c r="CQ127" s="52"/>
      <c r="CR127" s="52"/>
      <c r="CS127" s="52"/>
      <c r="CT127" s="52"/>
      <c r="CU127" s="52"/>
      <c r="CV127" s="53"/>
      <c r="CW127" s="53"/>
      <c r="CX127" s="52"/>
      <c r="CY127" s="52"/>
      <c r="CZ127" s="52"/>
      <c r="DA127" s="52"/>
      <c r="DB127" s="52"/>
      <c r="DC127" s="53"/>
      <c r="DD127" s="53"/>
      <c r="DE127" s="52"/>
      <c r="DF127" s="52"/>
      <c r="DG127" s="52"/>
      <c r="DH127" s="52"/>
      <c r="DI127" s="52"/>
      <c r="DJ127" s="53"/>
      <c r="DK127" s="53"/>
      <c r="DL127" s="52"/>
      <c r="DM127" s="52"/>
      <c r="DN127" s="52"/>
      <c r="DO127" s="52"/>
      <c r="DP127" s="52"/>
      <c r="DQ127" s="53"/>
      <c r="DR127" s="53"/>
      <c r="DS127" s="52"/>
      <c r="DT127" s="52"/>
      <c r="DU127" s="52"/>
      <c r="DV127" s="52"/>
      <c r="DW127" s="52"/>
      <c r="DX127" s="53"/>
      <c r="DY127" s="53"/>
      <c r="DZ127" s="52"/>
      <c r="EA127" s="52"/>
      <c r="EB127" s="52"/>
      <c r="EC127" s="52"/>
      <c r="ED127" s="52"/>
      <c r="EE127" s="53"/>
      <c r="EF127" s="53"/>
      <c r="EG127" s="52"/>
      <c r="EH127" s="52"/>
      <c r="EI127" s="52"/>
      <c r="EJ127" s="52"/>
      <c r="EK127" s="54"/>
      <c r="OU127" s="28" t="s">
        <v>90</v>
      </c>
    </row>
    <row r="128" ht="16" customHeight="1" spans="1:411" x14ac:dyDescent="0.25">
      <c r="A128" s="45"/>
      <c r="B128" s="46"/>
      <c r="C128" s="47"/>
      <c r="D128" s="48"/>
      <c r="E128" s="55" t="s">
        <v>60</v>
      </c>
      <c r="F128" s="49"/>
      <c r="G128" s="49"/>
      <c r="H128" s="49"/>
      <c r="I128" s="49"/>
      <c r="J128" s="50"/>
      <c r="K128" s="56">
        <v>1</v>
      </c>
      <c r="L128" s="57">
        <v>1</v>
      </c>
      <c r="M128" s="57">
        <v>1</v>
      </c>
      <c r="N128" s="57">
        <v>1</v>
      </c>
      <c r="O128" s="57">
        <v>1</v>
      </c>
      <c r="P128" s="58">
        <v>0</v>
      </c>
      <c r="Q128" s="58">
        <v>0</v>
      </c>
      <c r="R128" s="57">
        <v>1</v>
      </c>
      <c r="S128" s="57">
        <v>1</v>
      </c>
      <c r="T128" s="57">
        <v>1</v>
      </c>
      <c r="U128" s="57">
        <v>1</v>
      </c>
      <c r="V128" s="57">
        <v>1</v>
      </c>
      <c r="W128" s="58">
        <v>0</v>
      </c>
      <c r="X128" s="58">
        <v>0</v>
      </c>
      <c r="Y128" s="57">
        <v>1</v>
      </c>
      <c r="Z128" s="57">
        <v>1</v>
      </c>
      <c r="AA128" s="57">
        <v>1</v>
      </c>
      <c r="AB128" s="57">
        <v>1</v>
      </c>
      <c r="AC128" s="57">
        <v>1</v>
      </c>
      <c r="AD128" s="58">
        <v>0</v>
      </c>
      <c r="AE128" s="58">
        <v>0</v>
      </c>
      <c r="AF128" s="57">
        <v>1</v>
      </c>
      <c r="AG128" s="57">
        <v>1</v>
      </c>
      <c r="AH128" s="57">
        <v>1</v>
      </c>
      <c r="AI128" s="57">
        <v>1</v>
      </c>
      <c r="AJ128" s="57">
        <v>1</v>
      </c>
      <c r="AK128" s="58">
        <v>0</v>
      </c>
      <c r="AL128" s="58">
        <v>0</v>
      </c>
      <c r="AM128" s="57">
        <v>1</v>
      </c>
      <c r="AN128" s="57">
        <v>1</v>
      </c>
      <c r="AO128" s="57">
        <v>1</v>
      </c>
      <c r="AP128" s="57">
        <v>1</v>
      </c>
      <c r="AQ128" s="57">
        <v>1</v>
      </c>
      <c r="AR128" s="58">
        <v>0</v>
      </c>
      <c r="AS128" s="58">
        <v>0</v>
      </c>
      <c r="AT128" s="57">
        <v>1</v>
      </c>
      <c r="AU128" s="57">
        <v>1</v>
      </c>
      <c r="AV128" s="57">
        <v>1</v>
      </c>
      <c r="AW128" s="57">
        <v>1</v>
      </c>
      <c r="AX128" s="57">
        <v>1</v>
      </c>
      <c r="AY128" s="58">
        <v>0</v>
      </c>
      <c r="AZ128" s="58">
        <v>0</v>
      </c>
      <c r="BA128" s="57">
        <v>1</v>
      </c>
      <c r="BB128" s="57">
        <v>1</v>
      </c>
      <c r="BC128" s="57">
        <v>1</v>
      </c>
      <c r="BD128" s="57">
        <v>1</v>
      </c>
      <c r="BE128" s="57">
        <v>1</v>
      </c>
      <c r="BF128" s="58">
        <v>0</v>
      </c>
      <c r="BG128" s="58">
        <v>0</v>
      </c>
      <c r="BH128" s="57">
        <v>1</v>
      </c>
      <c r="BI128" s="57">
        <v>1</v>
      </c>
      <c r="BJ128" s="57">
        <v>1</v>
      </c>
      <c r="BK128" s="57">
        <v>1</v>
      </c>
      <c r="BL128" s="57">
        <v>1</v>
      </c>
      <c r="BM128" s="58">
        <v>1</v>
      </c>
      <c r="BN128" s="58">
        <v>1</v>
      </c>
      <c r="BO128" s="57">
        <v>1</v>
      </c>
      <c r="BP128" s="57">
        <v>1</v>
      </c>
      <c r="BQ128" s="57">
        <v>1</v>
      </c>
      <c r="BR128" s="57">
        <v>1</v>
      </c>
      <c r="BS128" s="57">
        <v>1</v>
      </c>
      <c r="BT128" s="58">
        <v>1</v>
      </c>
      <c r="BU128" s="58">
        <v>1</v>
      </c>
      <c r="BV128" s="57">
        <v>1</v>
      </c>
      <c r="BW128" s="57">
        <v>1</v>
      </c>
      <c r="BX128" s="57">
        <v>1</v>
      </c>
      <c r="BY128" s="57">
        <v>1</v>
      </c>
      <c r="BZ128" s="57">
        <v>1</v>
      </c>
      <c r="CA128" s="58">
        <v>1</v>
      </c>
      <c r="CB128" s="58">
        <v>0</v>
      </c>
      <c r="CC128" s="57">
        <v>1</v>
      </c>
      <c r="CD128" s="57">
        <v>1</v>
      </c>
      <c r="CE128" s="57">
        <v>1</v>
      </c>
      <c r="CF128" s="57">
        <v>1</v>
      </c>
      <c r="CG128" s="57">
        <v>1</v>
      </c>
      <c r="CH128" s="58">
        <v>1</v>
      </c>
      <c r="CI128" s="58">
        <v>1</v>
      </c>
      <c r="CJ128" s="57">
        <v>1</v>
      </c>
      <c r="CK128" s="57">
        <v>1</v>
      </c>
      <c r="CL128" s="57">
        <v>1</v>
      </c>
      <c r="CM128" s="57">
        <v>1</v>
      </c>
      <c r="CN128" s="57">
        <v>1</v>
      </c>
      <c r="CO128" s="58">
        <v>1</v>
      </c>
      <c r="CP128" s="58">
        <v>0</v>
      </c>
      <c r="CQ128" s="57">
        <v>1</v>
      </c>
      <c r="CR128" s="57">
        <v>1</v>
      </c>
      <c r="CS128" s="57">
        <v>1</v>
      </c>
      <c r="CT128" s="57">
        <v>1</v>
      </c>
      <c r="CU128" s="57">
        <v>1</v>
      </c>
      <c r="CV128" s="58">
        <v>1</v>
      </c>
      <c r="CW128" s="58">
        <v>1</v>
      </c>
      <c r="CX128" s="57">
        <v>1</v>
      </c>
      <c r="CY128" s="57">
        <v>1</v>
      </c>
      <c r="CZ128" s="57">
        <v>1</v>
      </c>
      <c r="DA128" s="57">
        <v>1</v>
      </c>
      <c r="DB128" s="57">
        <v>1</v>
      </c>
      <c r="DC128" s="58">
        <v>1</v>
      </c>
      <c r="DD128" s="58">
        <v>1</v>
      </c>
      <c r="DE128" s="57">
        <v>1</v>
      </c>
      <c r="DF128" s="57">
        <v>1</v>
      </c>
      <c r="DG128" s="57">
        <v>1</v>
      </c>
      <c r="DH128" s="57">
        <v>1</v>
      </c>
      <c r="DI128" s="57">
        <v>1</v>
      </c>
      <c r="DJ128" s="58">
        <v>1</v>
      </c>
      <c r="DK128" s="58">
        <v>1</v>
      </c>
      <c r="DL128" s="57">
        <v>1</v>
      </c>
      <c r="DM128" s="57">
        <v>1</v>
      </c>
      <c r="DN128" s="57">
        <v>1</v>
      </c>
      <c r="DO128" s="57">
        <v>1</v>
      </c>
      <c r="DP128" s="57">
        <v>1</v>
      </c>
      <c r="DQ128" s="58">
        <v>1</v>
      </c>
      <c r="DR128" s="58">
        <v>1</v>
      </c>
      <c r="DS128" s="57">
        <v>1</v>
      </c>
      <c r="DT128" s="57">
        <v>1</v>
      </c>
      <c r="DU128" s="57">
        <v>1</v>
      </c>
      <c r="DV128" s="57">
        <v>1</v>
      </c>
      <c r="DW128" s="57">
        <v>1</v>
      </c>
      <c r="DX128" s="58">
        <v>0</v>
      </c>
      <c r="DY128" s="58">
        <v>0</v>
      </c>
      <c r="DZ128" s="57">
        <v>1</v>
      </c>
      <c r="EA128" s="57">
        <v>1</v>
      </c>
      <c r="EB128" s="57">
        <v>1</v>
      </c>
      <c r="EC128" s="57">
        <v>1</v>
      </c>
      <c r="ED128" s="57">
        <v>1</v>
      </c>
      <c r="EE128" s="58">
        <v>0</v>
      </c>
      <c r="EF128" s="58">
        <v>0</v>
      </c>
      <c r="EG128" s="57">
        <v>1</v>
      </c>
      <c r="EH128" s="57">
        <v>1</v>
      </c>
      <c r="EI128" s="57">
        <v>1</v>
      </c>
      <c r="EJ128" s="57">
        <v>1</v>
      </c>
      <c r="EK128" s="59">
        <v>1</v>
      </c>
      <c r="OU128" s="60" t="s">
        <v>90</v>
      </c>
    </row>
    <row r="129" ht="16" customHeight="1" spans="1:411" x14ac:dyDescent="0.25">
      <c r="A129" s="45"/>
      <c r="B129" s="46"/>
      <c r="C129" s="47"/>
      <c r="D129" s="48"/>
      <c r="E129" s="55" t="s">
        <v>61</v>
      </c>
      <c r="F129" s="49"/>
      <c r="G129" s="49"/>
      <c r="H129" s="49"/>
      <c r="I129" s="49"/>
      <c r="J129" s="50"/>
      <c r="K129" s="56">
        <v>8</v>
      </c>
      <c r="L129" s="57">
        <v>8</v>
      </c>
      <c r="M129" s="57">
        <v>8</v>
      </c>
      <c r="N129" s="57">
        <v>8</v>
      </c>
      <c r="O129" s="57">
        <v>8</v>
      </c>
      <c r="P129" s="58">
        <v>0</v>
      </c>
      <c r="Q129" s="58">
        <v>0</v>
      </c>
      <c r="R129" s="57">
        <v>8</v>
      </c>
      <c r="S129" s="57">
        <v>8</v>
      </c>
      <c r="T129" s="57">
        <v>8</v>
      </c>
      <c r="U129" s="57">
        <v>8</v>
      </c>
      <c r="V129" s="57">
        <v>8</v>
      </c>
      <c r="W129" s="58">
        <v>0</v>
      </c>
      <c r="X129" s="58">
        <v>0</v>
      </c>
      <c r="Y129" s="57">
        <v>8</v>
      </c>
      <c r="Z129" s="57">
        <v>8</v>
      </c>
      <c r="AA129" s="57">
        <v>8</v>
      </c>
      <c r="AB129" s="57">
        <v>8</v>
      </c>
      <c r="AC129" s="57">
        <v>8</v>
      </c>
      <c r="AD129" s="58">
        <v>0</v>
      </c>
      <c r="AE129" s="58">
        <v>0</v>
      </c>
      <c r="AF129" s="57">
        <v>8</v>
      </c>
      <c r="AG129" s="57">
        <v>8</v>
      </c>
      <c r="AH129" s="57">
        <v>8</v>
      </c>
      <c r="AI129" s="57">
        <v>8</v>
      </c>
      <c r="AJ129" s="57">
        <v>8</v>
      </c>
      <c r="AK129" s="58">
        <v>0</v>
      </c>
      <c r="AL129" s="58">
        <v>0</v>
      </c>
      <c r="AM129" s="57">
        <v>8</v>
      </c>
      <c r="AN129" s="57">
        <v>8</v>
      </c>
      <c r="AO129" s="57">
        <v>8</v>
      </c>
      <c r="AP129" s="57">
        <v>8</v>
      </c>
      <c r="AQ129" s="57">
        <v>8</v>
      </c>
      <c r="AR129" s="58">
        <v>0</v>
      </c>
      <c r="AS129" s="58">
        <v>0</v>
      </c>
      <c r="AT129" s="57">
        <v>8</v>
      </c>
      <c r="AU129" s="57">
        <v>8</v>
      </c>
      <c r="AV129" s="57">
        <v>8</v>
      </c>
      <c r="AW129" s="57">
        <v>8</v>
      </c>
      <c r="AX129" s="57">
        <v>8</v>
      </c>
      <c r="AY129" s="58">
        <v>0</v>
      </c>
      <c r="AZ129" s="58">
        <v>0</v>
      </c>
      <c r="BA129" s="57">
        <v>8</v>
      </c>
      <c r="BB129" s="57">
        <v>8</v>
      </c>
      <c r="BC129" s="57">
        <v>8</v>
      </c>
      <c r="BD129" s="57">
        <v>8</v>
      </c>
      <c r="BE129" s="57">
        <v>8</v>
      </c>
      <c r="BF129" s="58">
        <v>0</v>
      </c>
      <c r="BG129" s="58">
        <v>0</v>
      </c>
      <c r="BH129" s="57">
        <v>13</v>
      </c>
      <c r="BI129" s="57">
        <v>13</v>
      </c>
      <c r="BJ129" s="57">
        <v>13</v>
      </c>
      <c r="BK129" s="57">
        <v>13</v>
      </c>
      <c r="BL129" s="57">
        <v>13</v>
      </c>
      <c r="BM129" s="58">
        <v>13</v>
      </c>
      <c r="BN129" s="58">
        <v>13</v>
      </c>
      <c r="BO129" s="57">
        <v>13</v>
      </c>
      <c r="BP129" s="57">
        <v>13</v>
      </c>
      <c r="BQ129" s="57">
        <v>13</v>
      </c>
      <c r="BR129" s="57">
        <v>13</v>
      </c>
      <c r="BS129" s="57">
        <v>13</v>
      </c>
      <c r="BT129" s="58">
        <v>13</v>
      </c>
      <c r="BU129" s="58">
        <v>13</v>
      </c>
      <c r="BV129" s="57">
        <v>13</v>
      </c>
      <c r="BW129" s="57">
        <v>13</v>
      </c>
      <c r="BX129" s="57">
        <v>13</v>
      </c>
      <c r="BY129" s="57">
        <v>13</v>
      </c>
      <c r="BZ129" s="57">
        <v>13</v>
      </c>
      <c r="CA129" s="58">
        <v>13</v>
      </c>
      <c r="CB129" s="58">
        <v>0</v>
      </c>
      <c r="CC129" s="57">
        <v>13</v>
      </c>
      <c r="CD129" s="57">
        <v>13</v>
      </c>
      <c r="CE129" s="57">
        <v>13</v>
      </c>
      <c r="CF129" s="57">
        <v>13</v>
      </c>
      <c r="CG129" s="57">
        <v>13</v>
      </c>
      <c r="CH129" s="58">
        <v>13</v>
      </c>
      <c r="CI129" s="58">
        <v>13</v>
      </c>
      <c r="CJ129" s="57">
        <v>13</v>
      </c>
      <c r="CK129" s="57">
        <v>13</v>
      </c>
      <c r="CL129" s="57">
        <v>13</v>
      </c>
      <c r="CM129" s="57">
        <v>13</v>
      </c>
      <c r="CN129" s="57">
        <v>13</v>
      </c>
      <c r="CO129" s="58">
        <v>13</v>
      </c>
      <c r="CP129" s="58">
        <v>0</v>
      </c>
      <c r="CQ129" s="57">
        <v>13</v>
      </c>
      <c r="CR129" s="57">
        <v>13</v>
      </c>
      <c r="CS129" s="57">
        <v>13</v>
      </c>
      <c r="CT129" s="57">
        <v>13</v>
      </c>
      <c r="CU129" s="57">
        <v>13</v>
      </c>
      <c r="CV129" s="58">
        <v>13</v>
      </c>
      <c r="CW129" s="58">
        <v>13</v>
      </c>
      <c r="CX129" s="57">
        <v>13</v>
      </c>
      <c r="CY129" s="57">
        <v>13</v>
      </c>
      <c r="CZ129" s="57">
        <v>13</v>
      </c>
      <c r="DA129" s="57">
        <v>13</v>
      </c>
      <c r="DB129" s="57">
        <v>13</v>
      </c>
      <c r="DC129" s="58">
        <v>13</v>
      </c>
      <c r="DD129" s="58">
        <v>13</v>
      </c>
      <c r="DE129" s="57">
        <v>13</v>
      </c>
      <c r="DF129" s="57">
        <v>13</v>
      </c>
      <c r="DG129" s="57">
        <v>13</v>
      </c>
      <c r="DH129" s="57">
        <v>13</v>
      </c>
      <c r="DI129" s="57">
        <v>13</v>
      </c>
      <c r="DJ129" s="58">
        <v>13</v>
      </c>
      <c r="DK129" s="58">
        <v>13</v>
      </c>
      <c r="DL129" s="57">
        <v>13</v>
      </c>
      <c r="DM129" s="57">
        <v>13</v>
      </c>
      <c r="DN129" s="57">
        <v>13</v>
      </c>
      <c r="DO129" s="57">
        <v>13</v>
      </c>
      <c r="DP129" s="57">
        <v>13</v>
      </c>
      <c r="DQ129" s="58">
        <v>13</v>
      </c>
      <c r="DR129" s="58">
        <v>13</v>
      </c>
      <c r="DS129" s="57">
        <v>13</v>
      </c>
      <c r="DT129" s="57">
        <v>8</v>
      </c>
      <c r="DU129" s="57">
        <v>8</v>
      </c>
      <c r="DV129" s="57">
        <v>8</v>
      </c>
      <c r="DW129" s="57">
        <v>8</v>
      </c>
      <c r="DX129" s="58">
        <v>0</v>
      </c>
      <c r="DY129" s="58">
        <v>0</v>
      </c>
      <c r="DZ129" s="57">
        <v>8</v>
      </c>
      <c r="EA129" s="57">
        <v>8</v>
      </c>
      <c r="EB129" s="57">
        <v>8</v>
      </c>
      <c r="EC129" s="57">
        <v>8</v>
      </c>
      <c r="ED129" s="57">
        <v>8</v>
      </c>
      <c r="EE129" s="58">
        <v>0</v>
      </c>
      <c r="EF129" s="58">
        <v>0</v>
      </c>
      <c r="EG129" s="57">
        <v>8</v>
      </c>
      <c r="EH129" s="57">
        <v>8</v>
      </c>
      <c r="EI129" s="57">
        <v>8</v>
      </c>
      <c r="EJ129" s="57">
        <v>8</v>
      </c>
      <c r="EK129" s="59">
        <v>8</v>
      </c>
      <c r="OU129" s="60" t="s">
        <v>90</v>
      </c>
    </row>
    <row r="130" ht="16" customHeight="1" spans="1:411" x14ac:dyDescent="0.25">
      <c r="A130" s="45"/>
      <c r="B130" s="46"/>
      <c r="C130" s="61">
        <f>F127*N(D130)</f>
        <v>88717.90000000001</v>
      </c>
      <c r="D130" s="61">
        <f>IF(TRIM(B127)="","No rate",IFERROR(INDEX('Rate Tables'!C$7:C$158,MATCH(B127,'Rate Tables'!A$7:A$158,0)),"No rate"))</f>
        <v>113.45</v>
      </c>
      <c r="E130" s="55" t="s">
        <v>62</v>
      </c>
      <c r="F130" s="49"/>
      <c r="G130" s="49"/>
      <c r="H130" s="49"/>
      <c r="I130" s="49"/>
      <c r="J130" s="50"/>
      <c r="K130" s="62">
        <f>IF(AND(K128=1,K129=8),8,MIN(IF(K128&lt;=0,0,IF(WEEKDAY(K$6,1)=1,0,MIN(8,K129)*K128)),MAX(0,40*MAX(1,K128)-(0))))</f>
        <v>8</v>
      </c>
      <c r="L130" s="63">
        <f>IF(AND(L128=1,L129=8),8,MIN(IF(L128&lt;=0,0,IF(WEEKDAY(L$6,1)=1,0,MIN(8,L129)*L128)),MAX(0,40*MAX(1,L128)-(K130))))</f>
        <v>8</v>
      </c>
      <c r="M130" s="63">
        <f>IF(AND(M128=1,M129=8),8,MIN(IF(M128&lt;=0,0,IF(WEEKDAY(M$6,1)=1,0,MIN(8,M129)*M128)),MAX(0,40*MAX(1,M128)-(K130+L130))))</f>
        <v>8</v>
      </c>
      <c r="N130" s="63">
        <f>IF(AND(N128=1,N129=8),8,MIN(IF(N128&lt;=0,0,IF(WEEKDAY(N$6,1)=1,0,MIN(8,N129)*N128)),MAX(0,40*MAX(1,N128)-(K130+L130+M130))))</f>
        <v>8</v>
      </c>
      <c r="O130" s="63">
        <f>IF(AND(O128=1,O129=8),8,MIN(IF(O128&lt;=0,0,IF(WEEKDAY(O$6,1)=1,0,MIN(8,O129)*O128)),MAX(0,40*MAX(1,O128)-(K130+L130+M130+N130))))</f>
        <v>8</v>
      </c>
      <c r="P130" s="64">
        <f>IF(AND(P128=0,P129=0),0,MIN(IF(P128&lt;=0,0,IF(WEEKDAY(P$6,1)=1,0,MIN(10,P129)*P128)),MAX(0,40*MAX(1,P128)-(0))))</f>
        <v>0</v>
      </c>
      <c r="Q130" s="64">
        <f>IF(AND(Q128=0,Q129=0),0,MIN(IF(Q128&lt;=0,0,IF(WEEKDAY(Q$6,1)=1,0,MIN(10,Q129)*Q128)),MAX(0,40*MAX(1,Q128)-(P130))))</f>
        <v>0</v>
      </c>
      <c r="R130" s="63">
        <f>IF(AND(R128=1,R129=8),8,MIN(IF(R128&lt;=0,0,IF(WEEKDAY(R$6,1)=1,0,MIN(8,R129)*R128)),MAX(0,40*MAX(1,R128)-(0))))</f>
        <v>8</v>
      </c>
      <c r="S130" s="63">
        <f>IF(AND(S128=1,S129=8),8,MIN(IF(S128&lt;=0,0,IF(WEEKDAY(S$6,1)=1,0,MIN(8,S129)*S128)),MAX(0,40*MAX(1,S128)-(R130))))</f>
        <v>8</v>
      </c>
      <c r="T130" s="63">
        <f>IF(AND(T128=1,T129=8),8,MIN(IF(T128&lt;=0,0,IF(WEEKDAY(T$6,1)=1,0,MIN(8,T129)*T128)),MAX(0,40*MAX(1,T128)-(R130+S130))))</f>
        <v>8</v>
      </c>
      <c r="U130" s="63">
        <f>IF(AND(U128=1,U129=8),8,MIN(IF(U128&lt;=0,0,IF(WEEKDAY(U$6,1)=1,0,MIN(8,U129)*U128)),MAX(0,40*MAX(1,U128)-(R130+S130+T130))))</f>
        <v>8</v>
      </c>
      <c r="V130" s="63">
        <f>IF(AND(V128=1,V129=8),8,MIN(IF(V128&lt;=0,0,IF(WEEKDAY(V$6,1)=1,0,MIN(8,V129)*V128)),MAX(0,40*MAX(1,V128)-(R130+S130+T130+U130))))</f>
        <v>8</v>
      </c>
      <c r="W130" s="64">
        <f>IF(AND(W128=0,W129=0),0,MIN(IF(W128&lt;=0,0,IF(WEEKDAY(W$6,1)=1,0,MIN(10,W129)*W128)),MAX(0,40*MAX(1,W128)-(0))))</f>
        <v>0</v>
      </c>
      <c r="X130" s="64">
        <f>IF(AND(X128=0,X129=0),0,MIN(IF(X128&lt;=0,0,IF(WEEKDAY(X$6,1)=1,0,MIN(10,X129)*X128)),MAX(0,40*MAX(1,X128)-(W130))))</f>
        <v>0</v>
      </c>
      <c r="Y130" s="63">
        <f>IF(AND(Y128=1,Y129=8),8,MIN(IF(Y128&lt;=0,0,IF(WEEKDAY(Y$6,1)=1,0,MIN(8,Y129)*Y128)),MAX(0,40*MAX(1,Y128)-(0))))</f>
        <v>8</v>
      </c>
      <c r="Z130" s="63">
        <f>IF(AND(Z128=1,Z129=8),8,MIN(IF(Z128&lt;=0,0,IF(WEEKDAY(Z$6,1)=1,0,MIN(8,Z129)*Z128)),MAX(0,40*MAX(1,Z128)-(Y130))))</f>
        <v>8</v>
      </c>
      <c r="AA130" s="63">
        <f>IF(AND(AA128=1,AA129=8),8,MIN(IF(AA128&lt;=0,0,IF(WEEKDAY(AA$6,1)=1,0,MIN(8,AA129)*AA128)),MAX(0,40*MAX(1,AA128)-(Y130+Z130))))</f>
        <v>8</v>
      </c>
      <c r="AB130" s="63">
        <f>IF(AND(AB128=1,AB129=8),8,MIN(IF(AB128&lt;=0,0,IF(WEEKDAY(AB$6,1)=1,0,MIN(8,AB129)*AB128)),MAX(0,40*MAX(1,AB128)-(Y130+Z130+AA130))))</f>
        <v>8</v>
      </c>
      <c r="AC130" s="63">
        <f>IF(AND(AC128=1,AC129=8),8,MIN(IF(AC128&lt;=0,0,IF(WEEKDAY(AC$6,1)=1,0,MIN(8,AC129)*AC128)),MAX(0,40*MAX(1,AC128)-(Y130+Z130+AA130+AB130))))</f>
        <v>8</v>
      </c>
      <c r="AD130" s="64">
        <f>IF(AND(AD128=0,AD129=0),0,MIN(IF(AD128&lt;=0,0,IF(WEEKDAY(AD$6,1)=1,0,MIN(10,AD129)*AD128)),MAX(0,40*MAX(1,AD128)-(0))))</f>
        <v>0</v>
      </c>
      <c r="AE130" s="64">
        <f>IF(AND(AE128=0,AE129=0),0,MIN(IF(AE128&lt;=0,0,IF(WEEKDAY(AE$6,1)=1,0,MIN(10,AE129)*AE128)),MAX(0,40*MAX(1,AE128)-(AD130))))</f>
        <v>0</v>
      </c>
      <c r="AF130" s="63">
        <f>IF(AND(AF128=1,AF129=8),8,MIN(IF(AF128&lt;=0,0,IF(WEEKDAY(AF$6,1)=1,0,MIN(8,AF129)*AF128)),MAX(0,40*MAX(1,AF128)-(0))))</f>
        <v>8</v>
      </c>
      <c r="AG130" s="63">
        <f>IF(AND(AG128=1,AG129=8),8,MIN(IF(AG128&lt;=0,0,IF(WEEKDAY(AG$6,1)=1,0,MIN(8,AG129)*AG128)),MAX(0,40*MAX(1,AG128)-(AF130))))</f>
        <v>8</v>
      </c>
      <c r="AH130" s="63">
        <f>IF(AND(AH128=1,AH129=8),8,MIN(IF(AH128&lt;=0,0,IF(WEEKDAY(AH$6,1)=1,0,MIN(8,AH129)*AH128)),MAX(0,40*MAX(1,AH128)-(AF130+AG130))))</f>
        <v>8</v>
      </c>
      <c r="AI130" s="63">
        <f>IF(AND(AI128=1,AI129=8),8,MIN(IF(AI128&lt;=0,0,IF(WEEKDAY(AI$6,1)=1,0,MIN(8,AI129)*AI128)),MAX(0,40*MAX(1,AI128)-(AF130+AG130+AH130))))</f>
        <v>8</v>
      </c>
      <c r="AJ130" s="63">
        <f>IF(AND(AJ128=1,AJ129=8),8,MIN(IF(AJ128&lt;=0,0,IF(WEEKDAY(AJ$6,1)=1,0,MIN(8,AJ129)*AJ128)),MAX(0,40*MAX(1,AJ128)-(AF130+AG130+AH130+AI130))))</f>
        <v>8</v>
      </c>
      <c r="AK130" s="64">
        <f>IF(AND(AK128=0,AK129=0),0,MIN(IF(AK128&lt;=0,0,IF(WEEKDAY(AK$6,1)=1,0,MIN(10,AK129)*AK128)),MAX(0,40*MAX(1,AK128)-(0))))</f>
        <v>0</v>
      </c>
      <c r="AL130" s="64">
        <f>IF(AND(AL128=0,AL129=0),0,MIN(IF(AL128&lt;=0,0,IF(WEEKDAY(AL$6,1)=1,0,MIN(10,AL129)*AL128)),MAX(0,40*MAX(1,AL128)-(AK130))))</f>
        <v>0</v>
      </c>
      <c r="AM130" s="63">
        <f>IF(AND(AM128=1,AM129=8),8,MIN(IF(AM128&lt;=0,0,IF(WEEKDAY(AM$6,1)=1,0,MIN(8,AM129)*AM128)),MAX(0,40*MAX(1,AM128)-(0))))</f>
        <v>8</v>
      </c>
      <c r="AN130" s="63">
        <f>IF(AND(AN128=1,AN129=8),8,MIN(IF(AN128&lt;=0,0,IF(WEEKDAY(AN$6,1)=1,0,MIN(8,AN129)*AN128)),MAX(0,40*MAX(1,AN128)-(AM130))))</f>
        <v>8</v>
      </c>
      <c r="AO130" s="63">
        <f>IF(AND(AO128=1,AO129=8),8,MIN(IF(AO128&lt;=0,0,IF(WEEKDAY(AO$6,1)=1,0,MIN(8,AO129)*AO128)),MAX(0,40*MAX(1,AO128)-(AM130+AN130))))</f>
        <v>8</v>
      </c>
      <c r="AP130" s="63">
        <f>IF(AND(AP128=1,AP129=8),8,MIN(IF(AP128&lt;=0,0,IF(WEEKDAY(AP$6,1)=1,0,MIN(8,AP129)*AP128)),MAX(0,40*MAX(1,AP128)-(AM130+AN130+AO130))))</f>
        <v>8</v>
      </c>
      <c r="AQ130" s="63">
        <f>IF(AND(AQ128=1,AQ129=8),8,MIN(IF(AQ128&lt;=0,0,IF(WEEKDAY(AQ$6,1)=1,0,MIN(8,AQ129)*AQ128)),MAX(0,40*MAX(1,AQ128)-(AM130+AN130+AO130+AP130))))</f>
        <v>8</v>
      </c>
      <c r="AR130" s="64">
        <f>IF(AND(AR128=0,AR129=0),0,MIN(IF(AR128&lt;=0,0,IF(WEEKDAY(AR$6,1)=1,0,MIN(10,AR129)*AR128)),MAX(0,40*MAX(1,AR128)-(0))))</f>
        <v>0</v>
      </c>
      <c r="AS130" s="64">
        <f>IF(AND(AS128=0,AS129=0),0,MIN(IF(AS128&lt;=0,0,IF(WEEKDAY(AS$6,1)=1,0,MIN(10,AS129)*AS128)),MAX(0,40*MAX(1,AS128)-(AR130))))</f>
        <v>0</v>
      </c>
      <c r="AT130" s="63">
        <f>IF(AND(AT128=1,AT129=8),8,MIN(IF(AT128&lt;=0,0,IF(WEEKDAY(AT$6,1)=1,0,MIN(8,AT129)*AT128)),MAX(0,40*MAX(1,AT128)-(0))))</f>
        <v>8</v>
      </c>
      <c r="AU130" s="63">
        <f>IF(AND(AU128=1,AU129=8),8,MIN(IF(AU128&lt;=0,0,IF(WEEKDAY(AU$6,1)=1,0,MIN(8,AU129)*AU128)),MAX(0,40*MAX(1,AU128)-(AT130))))</f>
        <v>8</v>
      </c>
      <c r="AV130" s="63">
        <f>IF(AND(AV128=1,AV129=8),8,MIN(IF(AV128&lt;=0,0,IF(WEEKDAY(AV$6,1)=1,0,MIN(8,AV129)*AV128)),MAX(0,40*MAX(1,AV128)-(AT130+AU130))))</f>
        <v>8</v>
      </c>
      <c r="AW130" s="63">
        <f>IF(AND(AW128=1,AW129=8),8,MIN(IF(AW128&lt;=0,0,IF(WEEKDAY(AW$6,1)=1,0,MIN(8,AW129)*AW128)),MAX(0,40*MAX(1,AW128)-(AT130+AU130+AV130))))</f>
        <v>8</v>
      </c>
      <c r="AX130" s="63">
        <f>IF(AND(AX128=1,AX129=8),8,MIN(IF(AX128&lt;=0,0,IF(WEEKDAY(AX$6,1)=1,0,MIN(8,AX129)*AX128)),MAX(0,40*MAX(1,AX128)-(AT130+AU130+AV130+AW130))))</f>
        <v>8</v>
      </c>
      <c r="AY130" s="64">
        <f>IF(AND(AY128=0,AY129=0),0,MIN(IF(AY128&lt;=0,0,IF(WEEKDAY(AY$6,1)=1,0,MIN(10,AY129)*AY128)),MAX(0,40*MAX(1,AY128)-(0))))</f>
        <v>0</v>
      </c>
      <c r="AZ130" s="64">
        <f>IF(AND(AZ128=0,AZ129=0),0,MIN(IF(AZ128&lt;=0,0,IF(WEEKDAY(AZ$6,1)=1,0,MIN(10,AZ129)*AZ128)),MAX(0,40*MAX(1,AZ128)-(AY130))))</f>
        <v>0</v>
      </c>
      <c r="BA130" s="63">
        <f>IF(AND(BA128=1,BA129=8),8,MIN(IF(BA128&lt;=0,0,IF(WEEKDAY(BA$6,1)=1,0,MIN(8,BA129)*BA128)),MAX(0,40*MAX(1,BA128)-(0))))</f>
        <v>8</v>
      </c>
      <c r="BB130" s="63">
        <f>IF(AND(BB128=1,BB129=8),8,MIN(IF(BB128&lt;=0,0,IF(WEEKDAY(BB$6,1)=1,0,MIN(8,BB129)*BB128)),MAX(0,40*MAX(1,BB128)-(BA130))))</f>
        <v>8</v>
      </c>
      <c r="BC130" s="63">
        <f>IF(AND(BC128=1,BC129=8),8,MIN(IF(BC128&lt;=0,0,IF(WEEKDAY(BC$6,1)=1,0,MIN(8,BC129)*BC128)),MAX(0,40*MAX(1,BC128)-(BA130+BB130))))</f>
        <v>8</v>
      </c>
      <c r="BD130" s="63">
        <f>IF(AND(BD128=1,BD129=8),8,MIN(IF(BD128&lt;=0,0,IF(WEEKDAY(BD$6,1)=1,0,MIN(8,BD129)*BD128)),MAX(0,40*MAX(1,BD128)-(BA130+BB130+BC130))))</f>
        <v>8</v>
      </c>
      <c r="BE130" s="63">
        <f>IF(AND(BE128=1,BE129=8),8,MIN(IF(BE128&lt;=0,0,IF(WEEKDAY(BE$6,1)=1,0,MIN(8,BE129)*BE128)),MAX(0,40*MAX(1,BE128)-(BA130+BB130+BC130+BD130))))</f>
        <v>8</v>
      </c>
      <c r="BF130" s="64">
        <f>IF(AND(BF128=0,BF129=0),0,MIN(IF(BF128&lt;=0,0,IF(WEEKDAY(BF$6,1)=1,0,MIN(10,BF129)*BF128)),MAX(0,40*MAX(1,BF128)-(0))))</f>
        <v>0</v>
      </c>
      <c r="BG130" s="64">
        <f>IF(AND(BG128=0,BG129=0),0,MIN(IF(BG128&lt;=0,0,IF(WEEKDAY(BG$6,1)=1,0,MIN(10,BG129)*BG128)),MAX(0,40*MAX(1,BG128)-(BF130))))</f>
        <v>0</v>
      </c>
      <c r="BH130" s="63">
        <f>IF(AND(BH128=1,BH129=13),10,MIN(IF(BH128&lt;=0,0,IF(WEEKDAY(BH$6,1)=1,0,MIN(10,BH129)*BH128)),MAX(0,40*MAX(1,BH128)-(0))))</f>
        <v>10</v>
      </c>
      <c r="BI130" s="63">
        <f>IF(AND(BI128=1,BI129=13),10,MIN(IF(BI128&lt;=0,0,IF(WEEKDAY(BI$6,1)=1,0,MIN(10,BI129)*BI128)),MAX(0,40*MAX(1,BI128)-(BH130))))</f>
        <v>10</v>
      </c>
      <c r="BJ130" s="63">
        <f>IF(AND(BJ128=1,BJ129=13),10,MIN(IF(BJ128&lt;=0,0,IF(WEEKDAY(BJ$6,1)=1,0,MIN(10,BJ129)*BJ128)),MAX(0,40*MAX(1,BJ128)-(BH130+BI130))))</f>
        <v>10</v>
      </c>
      <c r="BK130" s="63">
        <f>IF(AND(BK128=1,BK129=13),10,MIN(IF(BK128&lt;=0,0,IF(WEEKDAY(BK$6,1)=1,0,MIN(10,BK129)*BK128)),MAX(0,40*MAX(1,BK128)-(BH130+BI130+BJ130))))</f>
        <v>10</v>
      </c>
      <c r="BL130" s="63">
        <f>IF(AND(BL128=1,BL129=13),0,MIN(IF(BL128&lt;=0,0,IF(WEEKDAY(BL$6,1)=1,0,MIN(10,BL129)*BL128)),MAX(0,40*MAX(1,BL128)-(BH130+BI130+BJ130+BK130))))</f>
        <v>0</v>
      </c>
      <c r="BM130" s="64">
        <f>IF(AND(BM128=1,BM129=13),0,MIN(IF(BM128&lt;=0,0,IF(WEEKDAY(BM$6,1)=1,0,MIN(10,BM129)*BM128)),MAX(0,40*MAX(1,BM128)-(BH130+BI130+BJ130+BK130+BL130))))</f>
        <v>0</v>
      </c>
      <c r="BN130" s="64">
        <f>IF(AND(BN128=1,BN129=13),0,MIN(IF(BN128&lt;=0,0,IF(WEEKDAY(BN$6,1)=1,0,MIN(10,BN129)*BN128)),MAX(0,40*MAX(1,BN128)-(BH130+BI130+BJ130+BK130+BL130+BM130))))</f>
        <v>0</v>
      </c>
      <c r="BO130" s="63">
        <f>IF(AND(BO128=1,BO129=13),10,MIN(IF(BO128&lt;=0,0,IF(WEEKDAY(BO$6,1)=1,0,MIN(10,BO129)*BO128)),MAX(0,40*MAX(1,BO128)-(0))))</f>
        <v>10</v>
      </c>
      <c r="BP130" s="63">
        <f>IF(AND(BP128=1,BP129=13),10,MIN(IF(BP128&lt;=0,0,IF(WEEKDAY(BP$6,1)=1,0,MIN(10,BP129)*BP128)),MAX(0,40*MAX(1,BP128)-(BO130))))</f>
        <v>10</v>
      </c>
      <c r="BQ130" s="63">
        <f>IF(AND(BQ128=1,BQ129=13),10,MIN(IF(BQ128&lt;=0,0,IF(WEEKDAY(BQ$6,1)=1,0,MIN(10,BQ129)*BQ128)),MAX(0,40*MAX(1,BQ128)-(BO130+BP130))))</f>
        <v>10</v>
      </c>
      <c r="BR130" s="63">
        <f>IF(AND(BR128=1,BR129=13),10,MIN(IF(BR128&lt;=0,0,IF(WEEKDAY(BR$6,1)=1,0,MIN(10,BR129)*BR128)),MAX(0,40*MAX(1,BR128)-(0))))</f>
        <v>10</v>
      </c>
      <c r="BS130" s="63">
        <f>IF(AND(BS128=1,BS129=13),10,MIN(IF(BS128&lt;=0,0,IF(WEEKDAY(BS$6,1)=1,0,MIN(10,BS129)*BS128)),MAX(0,40*MAX(1,BS128)-(BR130))))</f>
        <v>10</v>
      </c>
      <c r="BT130" s="64">
        <f>IF(AND(BT128=1,BT129=13),10,MIN(IF(BT128&lt;=0,0,IF(WEEKDAY(BT$6,1)=1,0,MIN(10,BT129)*BT128)),MAX(0,40*MAX(1,BT128)-(BR130+BS130))))</f>
        <v>10</v>
      </c>
      <c r="BU130" s="64">
        <f>IF(AND(BU128=1,BU129=13),0,MIN(IF(BU128&lt;=0,0,IF(WEEKDAY(BU$6,1)=1,0,MIN(10,BU129)*BU128)),MAX(0,40*MAX(1,BU128)-(BR130+BS130+BT130))))</f>
        <v>0</v>
      </c>
      <c r="BV130" s="63">
        <f>IF(AND(BV128=1,BV129=13),10,MIN(IF(BV128&lt;=0,0,IF(WEEKDAY(BV$6,1)=1,0,MIN(10,BV129)*BV128)),MAX(0,40*MAX(1,BV128)-(0))))</f>
        <v>10</v>
      </c>
      <c r="BW130" s="63">
        <f>IF(AND(BW128=1,BW129=13),10,MIN(IF(BW128&lt;=0,0,IF(WEEKDAY(BW$6,1)=1,0,MIN(10,BW129)*BW128)),MAX(0,40*MAX(1,BW128)-(BV130))))</f>
        <v>10</v>
      </c>
      <c r="BX130" s="63">
        <f>IF(AND(BX128=1,BX129=13),10,MIN(IF(BX128&lt;=0,0,IF(WEEKDAY(BX$6,1)=1,0,MIN(10,BX129)*BX128)),MAX(0,40*MAX(1,BX128)-(BV130+BW130))))</f>
        <v>10</v>
      </c>
      <c r="BY130" s="63">
        <f>IF(AND(BY128=1,BY129=13),10,MIN(IF(BY128&lt;=0,0,IF(WEEKDAY(BY$6,1)=1,0,MIN(10,BY129)*BY128)),MAX(0,40*MAX(1,BY128)-(BV130+BW130+BX130))))</f>
        <v>10</v>
      </c>
      <c r="BZ130" s="63">
        <f>IF(AND(BZ128=1,BZ129=13),0,MIN(IF(BZ128&lt;=0,0,IF(WEEKDAY(BZ$6,1)=1,0,MIN(10,BZ129)*BZ128)),MAX(0,40*MAX(1,BZ128)-(BV130+BW130+BX130+BY130))))</f>
        <v>0</v>
      </c>
      <c r="CA130" s="64">
        <f>IF(AND(CA128=1,CA129=13),0,MIN(IF(CA128&lt;=0,0,IF(WEEKDAY(CA$6,1)=1,0,MIN(10,CA129)*CA128)),MAX(0,40*MAX(1,CA128)-(BV130+BW130+BX130+BY130+BZ130))))</f>
        <v>0</v>
      </c>
      <c r="CB130" s="64">
        <f>IF(AND(CB128=0,CB129=0),0,MIN(IF(CB128&lt;=0,0,IF(WEEKDAY(CB$6,1)=1,0,MIN(10,CB129)*CB128)),MAX(0,40*MAX(1,CB128)-(0))))</f>
        <v>0</v>
      </c>
      <c r="CC130" s="63">
        <f>IF(AND(CC128=1,CC129=13),10,MIN(IF(CC128&lt;=0,0,IF(WEEKDAY(CC$6,1)=1,0,MIN(10,CC129)*CC128)),MAX(0,40*MAX(1,CC128)-(0))))</f>
        <v>10</v>
      </c>
      <c r="CD130" s="63">
        <f>IF(AND(CD128=1,CD129=13),10,MIN(IF(CD128&lt;=0,0,IF(WEEKDAY(CD$6,1)=1,0,MIN(10,CD129)*CD128)),MAX(0,40*MAX(1,CD128)-(CC130))))</f>
        <v>10</v>
      </c>
      <c r="CE130" s="63">
        <f>IF(AND(CE128=1,CE129=13),10,MIN(IF(CE128&lt;=0,0,IF(WEEKDAY(CE$6,1)=1,0,MIN(10,CE129)*CE128)),MAX(0,40*MAX(1,CE128)-(CC130+CD130))))</f>
        <v>10</v>
      </c>
      <c r="CF130" s="63">
        <f>IF(AND(CF128=1,CF129=13),10,MIN(IF(CF128&lt;=0,0,IF(WEEKDAY(CF$6,1)=1,0,MIN(10,CF129)*CF128)),MAX(0,40*MAX(1,CF128)-(CC130+CD130+CE130))))</f>
        <v>10</v>
      </c>
      <c r="CG130" s="63">
        <f>IF(AND(CG128=1,CG129=13),0,MIN(IF(CG128&lt;=0,0,IF(WEEKDAY(CG$6,1)=1,0,MIN(10,CG129)*CG128)),MAX(0,40*MAX(1,CG128)-(CC130+CD130+CE130+CF130))))</f>
        <v>0</v>
      </c>
      <c r="CH130" s="64">
        <f>IF(AND(CH128=1,CH129=13),0,MIN(IF(CH128&lt;=0,0,IF(WEEKDAY(CH$6,1)=1,0,MIN(10,CH129)*CH128)),MAX(0,40*MAX(1,CH128)-(CC130+CD130+CE130+CF130+CG130))))</f>
        <v>0</v>
      </c>
      <c r="CI130" s="64">
        <f>IF(AND(CI128=1,CI129=13),0,MIN(IF(CI128&lt;=0,0,IF(WEEKDAY(CI$6,1)=1,0,MIN(10,CI129)*CI128)),MAX(0,40*MAX(1,CI128)-(CC130+CD130+CE130+CF130+CG130+CH130))))</f>
        <v>0</v>
      </c>
      <c r="CJ130" s="63">
        <f>IF(AND(CJ128=1,CJ129=13),10,MIN(IF(CJ128&lt;=0,0,IF(WEEKDAY(CJ$6,1)=1,0,MIN(10,CJ129)*CJ128)),MAX(0,40*MAX(1,CJ128)-(0))))</f>
        <v>10</v>
      </c>
      <c r="CK130" s="63">
        <f>IF(AND(CK128=1,CK129=13),10,MIN(IF(CK128&lt;=0,0,IF(WEEKDAY(CK$6,1)=1,0,MIN(10,CK129)*CK128)),MAX(0,40*MAX(1,CK128)-(CJ130))))</f>
        <v>10</v>
      </c>
      <c r="CL130" s="63">
        <f>IF(AND(CL128=1,CL129=13),10,MIN(IF(CL128&lt;=0,0,IF(WEEKDAY(CL$6,1)=1,0,MIN(10,CL129)*CL128)),MAX(0,40*MAX(1,CL128)-(CJ130+CK130))))</f>
        <v>10</v>
      </c>
      <c r="CM130" s="63">
        <f>IF(AND(CM128=1,CM129=13),10,MIN(IF(CM128&lt;=0,0,IF(WEEKDAY(CM$6,1)=1,0,MIN(10,CM129)*CM128)),MAX(0,40*MAX(1,CM128)-(CJ130+CK130+CL130))))</f>
        <v>10</v>
      </c>
      <c r="CN130" s="63">
        <f>IF(AND(CN128=1,CN129=13),0,MIN(IF(CN128&lt;=0,0,IF(WEEKDAY(CN$6,1)=1,0,MIN(10,CN129)*CN128)),MAX(0,40*MAX(1,CN128)-(CJ130+CK130+CL130+CM130))))</f>
        <v>0</v>
      </c>
      <c r="CO130" s="64">
        <f>IF(AND(CO128=1,CO129=13),0,MIN(IF(CO128&lt;=0,0,IF(WEEKDAY(CO$6,1)=1,0,MIN(10,CO129)*CO128)),MAX(0,40*MAX(1,CO128)-(CJ130+CK130+CL130+CM130+CN130))))</f>
        <v>0</v>
      </c>
      <c r="CP130" s="64">
        <f>IF(AND(CP128=0,CP129=0),0,MIN(IF(CP128&lt;=0,0,IF(WEEKDAY(CP$6,1)=1,0,MIN(10,CP129)*CP128)),MAX(0,40*MAX(1,CP128)-(0))))</f>
        <v>0</v>
      </c>
      <c r="CQ130" s="63">
        <f>IF(AND(CQ128=1,CQ129=13),10,MIN(IF(CQ128&lt;=0,0,IF(WEEKDAY(CQ$6,1)=1,0,MIN(10,CQ129)*CQ128)),MAX(0,40*MAX(1,CQ128)-(0))))</f>
        <v>10</v>
      </c>
      <c r="CR130" s="63">
        <f>IF(AND(CR128=1,CR129=13),10,MIN(IF(CR128&lt;=0,0,IF(WEEKDAY(CR$6,1)=1,0,MIN(10,CR129)*CR128)),MAX(0,40*MAX(1,CR128)-(CQ130))))</f>
        <v>10</v>
      </c>
      <c r="CS130" s="63">
        <f>IF(AND(CS128=1,CS129=13),10,MIN(IF(CS128&lt;=0,0,IF(WEEKDAY(CS$6,1)=1,0,MIN(10,CS129)*CS128)),MAX(0,40*MAX(1,CS128)-(CQ130+CR130))))</f>
        <v>10</v>
      </c>
      <c r="CT130" s="63">
        <f>IF(AND(CT128=1,CT129=13),10,MIN(IF(CT128&lt;=0,0,IF(WEEKDAY(CT$6,1)=1,0,MIN(10,CT129)*CT128)),MAX(0,40*MAX(1,CT128)-(CQ130+CR130+CS130))))</f>
        <v>10</v>
      </c>
      <c r="CU130" s="63">
        <f>IF(AND(CU128=1,CU129=13),0,MIN(IF(CU128&lt;=0,0,IF(WEEKDAY(CU$6,1)=1,0,MIN(10,CU129)*CU128)),MAX(0,40*MAX(1,CU128)-(CQ130+CR130+CS130+CT130))))</f>
        <v>0</v>
      </c>
      <c r="CV130" s="64">
        <f>IF(AND(CV128=1,CV129=13),0,MIN(IF(CV128&lt;=0,0,IF(WEEKDAY(CV$6,1)=1,0,MIN(10,CV129)*CV128)),MAX(0,40*MAX(1,CV128)-(CQ130+CR130+CS130+CT130+CU130))))</f>
        <v>0</v>
      </c>
      <c r="CW130" s="64">
        <f>IF(AND(CW128=1,CW129=13),0,MIN(IF(CW128&lt;=0,0,IF(WEEKDAY(CW$6,1)=1,0,MIN(10,CW129)*CW128)),MAX(0,40*MAX(1,CW128)-(CQ130+CR130+CS130+CT130+CU130+CV130))))</f>
        <v>0</v>
      </c>
      <c r="CX130" s="63">
        <f>IF(AND(CX128=1,CX129=13),10,MIN(IF(CX128&lt;=0,0,IF(WEEKDAY(CX$6,1)=1,0,MIN(10,CX129)*CX128)),MAX(0,40*MAX(1,CX128)-(0))))</f>
        <v>10</v>
      </c>
      <c r="CY130" s="63">
        <f>IF(AND(CY128=1,CY129=13),10,MIN(IF(CY128&lt;=0,0,IF(WEEKDAY(CY$6,1)=1,0,MIN(10,CY129)*CY128)),MAX(0,40*MAX(1,CY128)-(CX130))))</f>
        <v>10</v>
      </c>
      <c r="CZ130" s="63">
        <f>IF(AND(CZ128=1,CZ129=13),10,MIN(IF(CZ128&lt;=0,0,IF(WEEKDAY(CZ$6,1)=1,0,MIN(10,CZ129)*CZ128)),MAX(0,40*MAX(1,CZ128)-(CX130+CY130))))</f>
        <v>10</v>
      </c>
      <c r="DA130" s="63">
        <f>IF(AND(DA128=1,DA129=13),10,MIN(IF(DA128&lt;=0,0,IF(WEEKDAY(DA$6,1)=1,0,MIN(10,DA129)*DA128)),MAX(0,40*MAX(1,DA128)-(CX130+CY130+CZ130))))</f>
        <v>10</v>
      </c>
      <c r="DB130" s="63">
        <f>IF(AND(DB128=1,DB129=13),0,MIN(IF(DB128&lt;=0,0,IF(WEEKDAY(DB$6,1)=1,0,MIN(10,DB129)*DB128)),MAX(0,40*MAX(1,DB128)-(CX130+CY130+CZ130+DA130))))</f>
        <v>0</v>
      </c>
      <c r="DC130" s="64">
        <f>IF(AND(DC128=1,DC129=13),0,MIN(IF(DC128&lt;=0,0,IF(WEEKDAY(DC$6,1)=1,0,MIN(10,DC129)*DC128)),MAX(0,40*MAX(1,DC128)-(CX130+CY130+CZ130+DA130+DB130))))</f>
        <v>0</v>
      </c>
      <c r="DD130" s="64">
        <f>IF(AND(DD128=1,DD129=13),0,MIN(IF(DD128&lt;=0,0,IF(WEEKDAY(DD$6,1)=1,0,MIN(10,DD129)*DD128)),MAX(0,40*MAX(1,DD128)-(0))))</f>
        <v>0</v>
      </c>
      <c r="DE130" s="63">
        <f>IF(AND(DE128=1,DE129=13),10,MIN(IF(DE128&lt;=0,0,IF(WEEKDAY(DE$6,1)=1,0,MIN(10,DE129)*DE128)),MAX(0,40*MAX(1,DE128)-(0))))</f>
        <v>10</v>
      </c>
      <c r="DF130" s="63">
        <f>IF(AND(DF128=1,DF129=13),10,MIN(IF(DF128&lt;=0,0,IF(WEEKDAY(DF$6,1)=1,0,MIN(10,DF129)*DF128)),MAX(0,40*MAX(1,DF128)-(DE130))))</f>
        <v>10</v>
      </c>
      <c r="DG130" s="63">
        <f>IF(AND(DG128=1,DG129=13),10,MIN(IF(DG128&lt;=0,0,IF(WEEKDAY(DG$6,1)=1,0,MIN(10,DG129)*DG128)),MAX(0,40*MAX(1,DG128)-(DE130+DF130))))</f>
        <v>10</v>
      </c>
      <c r="DH130" s="63">
        <f>IF(AND(DH128=1,DH129=13),10,MIN(IF(DH128&lt;=0,0,IF(WEEKDAY(DH$6,1)=1,0,MIN(10,DH129)*DH128)),MAX(0,40*MAX(1,DH128)-(DE130+DF130+DG130))))</f>
        <v>10</v>
      </c>
      <c r="DI130" s="63">
        <f>IF(AND(DI128=1,DI129=13),0,MIN(IF(DI128&lt;=0,0,IF(WEEKDAY(DI$6,1)=1,0,MIN(10,DI129)*DI128)),MAX(0,40*MAX(1,DI128)-(DE130+DF130+DG130+DH130))))</f>
        <v>0</v>
      </c>
      <c r="DJ130" s="64">
        <f>IF(AND(DJ128=1,DJ129=13),0,MIN(IF(DJ128&lt;=0,0,IF(WEEKDAY(DJ$6,1)=1,0,MIN(10,DJ129)*DJ128)),MAX(0,40*MAX(1,DJ128)-(DE130+DF130+DG130+DH130+DI130))))</f>
        <v>0</v>
      </c>
      <c r="DK130" s="64">
        <f>IF(AND(DK128=1,DK129=13),0,MIN(IF(DK128&lt;=0,0,IF(WEEKDAY(DK$6,1)=1,0,MIN(10,DK129)*DK128)),MAX(0,40*MAX(1,DK128)-(DE130+DF130+DG130+DH130+DI130+DJ130))))</f>
        <v>0</v>
      </c>
      <c r="DL130" s="63">
        <f>IF(AND(DL128=1,DL129=13),10,MIN(IF(DL128&lt;=0,0,IF(WEEKDAY(DL$6,1)=1,0,MIN(10,DL129)*DL128)),MAX(0,40*MAX(1,DL128)-(0))))</f>
        <v>10</v>
      </c>
      <c r="DM130" s="63">
        <f>IF(AND(DM128=1,DM129=13),10,MIN(IF(DM128&lt;=0,0,IF(WEEKDAY(DM$6,1)=1,0,MIN(10,DM129)*DM128)),MAX(0,40*MAX(1,DM128)-(DL130))))</f>
        <v>10</v>
      </c>
      <c r="DN130" s="63">
        <f>IF(AND(DN128=1,DN129=13),10,MIN(IF(DN128&lt;=0,0,IF(WEEKDAY(DN$6,1)=1,0,MIN(10,DN129)*DN128)),MAX(0,40*MAX(1,DN128)-(DL130+DM130))))</f>
        <v>10</v>
      </c>
      <c r="DO130" s="63">
        <f>IF(AND(DO128=1,DO129=13),10,MIN(IF(DO128&lt;=0,0,IF(WEEKDAY(DO$6,1)=1,0,MIN(10,DO129)*DO128)),MAX(0,40*MAX(1,DO128)-(DL130+DM130+DN130))))</f>
        <v>10</v>
      </c>
      <c r="DP130" s="63">
        <f>IF(AND(DP128=1,DP129=13),0,MIN(IF(DP128&lt;=0,0,IF(WEEKDAY(DP$6,1)=1,0,MIN(10,DP129)*DP128)),MAX(0,40*MAX(1,DP128)-(DL130+DM130+DN130+DO130))))</f>
        <v>0</v>
      </c>
      <c r="DQ130" s="64">
        <f>IF(AND(DQ128=1,DQ129=13),0,MIN(IF(DQ128&lt;=0,0,IF(WEEKDAY(DQ$6,1)=1,0,MIN(10,DQ129)*DQ128)),MAX(0,40*MAX(1,DQ128)-(DL130+DM130+DN130+DO130+DP130))))</f>
        <v>0</v>
      </c>
      <c r="DR130" s="64">
        <f>IF(AND(DR128=1,DR129=13),0,MIN(IF(DR128&lt;=0,0,IF(WEEKDAY(DR$6,1)=1,0,MIN(10,DR129)*DR128)),MAX(0,40*MAX(1,DR128)-(DL130+DM130+DN130+DO130+DP130+DQ130))))</f>
        <v>0</v>
      </c>
      <c r="DS130" s="63">
        <f>IF(AND(DS128=1,DS129=13),10,MIN(IF(DS128&lt;=0,0,IF(WEEKDAY(DS$6,1)=1,0,MIN(10,DS129)*DS128)),MAX(0,40*MAX(1,DS128)-(0))))</f>
        <v>10</v>
      </c>
      <c r="DT130" s="63">
        <f>IF(AND(DT128=1,DT129=8),8,MIN(IF(DT128&lt;=0,0,IF(WEEKDAY(DT$6,1)=1,0,MIN(8,DT129)*DT128)),MAX(0,40*MAX(1,DT128)-(0))))</f>
        <v>8</v>
      </c>
      <c r="DU130" s="63">
        <f>IF(AND(DU128=1,DU129=8),8,MIN(IF(DU128&lt;=0,0,IF(WEEKDAY(DU$6,1)=1,0,MIN(8,DU129)*DU128)),MAX(0,40*MAX(1,DU128)-(DT130))))</f>
        <v>8</v>
      </c>
      <c r="DV130" s="63">
        <f>IF(AND(DV128=1,DV129=8),8,MIN(IF(DV128&lt;=0,0,IF(WEEKDAY(DV$6,1)=1,0,MIN(8,DV129)*DV128)),MAX(0,40*MAX(1,DV128)-(DT130+DU130))))</f>
        <v>8</v>
      </c>
      <c r="DW130" s="63">
        <f>IF(AND(DW128=1,DW129=8),8,MIN(IF(DW128&lt;=0,0,IF(WEEKDAY(DW$6,1)=1,0,MIN(8,DW129)*DW128)),MAX(0,40*MAX(1,DW128)-(DT130+DU130+DV130))))</f>
        <v>8</v>
      </c>
      <c r="DX130" s="64">
        <f>IF(AND(DX128=0,DX129=0),0,MIN(IF(DX128&lt;=0,0,IF(WEEKDAY(DX$6,1)=1,0,MIN(10,DX129)*DX128)),MAX(0,40*MAX(1,DX128)-(0))))</f>
        <v>0</v>
      </c>
      <c r="DY130" s="64">
        <f>IF(AND(DY128=0,DY129=0),0,MIN(IF(DY128&lt;=0,0,IF(WEEKDAY(DY$6,1)=1,0,MIN(10,DY129)*DY128)),MAX(0,40*MAX(1,DY128)-(DX130))))</f>
        <v>0</v>
      </c>
      <c r="DZ130" s="63">
        <f>IF(AND(DZ128=1,DZ129=8),8,MIN(IF(DZ128&lt;=0,0,IF(WEEKDAY(DZ$6,1)=1,0,MIN(8,DZ129)*DZ128)),MAX(0,40*MAX(1,DZ128)-(0))))</f>
        <v>8</v>
      </c>
      <c r="EA130" s="63">
        <f>IF(AND(EA128=1,EA129=8),8,MIN(IF(EA128&lt;=0,0,IF(WEEKDAY(EA$6,1)=1,0,MIN(8,EA129)*EA128)),MAX(0,40*MAX(1,EA128)-(DZ130))))</f>
        <v>8</v>
      </c>
      <c r="EB130" s="63">
        <f>IF(AND(EB128=1,EB129=8),8,MIN(IF(EB128&lt;=0,0,IF(WEEKDAY(EB$6,1)=1,0,MIN(8,EB129)*EB128)),MAX(0,40*MAX(1,EB128)-(DZ130+EA130))))</f>
        <v>8</v>
      </c>
      <c r="EC130" s="63">
        <f>IF(AND(EC128=1,EC129=8),8,MIN(IF(EC128&lt;=0,0,IF(WEEKDAY(EC$6,1)=1,0,MIN(8,EC129)*EC128)),MAX(0,40*MAX(1,EC128)-(DZ130+EA130+EB130))))</f>
        <v>8</v>
      </c>
      <c r="ED130" s="63">
        <f>IF(AND(ED128=1,ED129=8),8,MIN(IF(ED128&lt;=0,0,IF(WEEKDAY(ED$6,1)=1,0,MIN(8,ED129)*ED128)),MAX(0,40*MAX(1,ED128)-(DZ130+EA130+EB130+EC130))))</f>
        <v>8</v>
      </c>
      <c r="EE130" s="64">
        <f>IF(AND(EE128=0,EE129=0),0,MIN(IF(EE128&lt;=0,0,IF(WEEKDAY(EE$6,1)=1,0,MIN(10,EE129)*EE128)),MAX(0,40*MAX(1,EE128)-(0))))</f>
        <v>0</v>
      </c>
      <c r="EF130" s="64">
        <f>IF(AND(EF128=0,EF129=0),0,MIN(IF(EF128&lt;=0,0,IF(WEEKDAY(EF$6,1)=1,0,MIN(10,EF129)*EF128)),MAX(0,40*MAX(1,EF128)-(EE130))))</f>
        <v>0</v>
      </c>
      <c r="EG130" s="63">
        <f>IF(AND(EG128=1,EG129=8),8,MIN(IF(EG128&lt;=0,0,IF(WEEKDAY(EG$6,1)=1,0,MIN(8,EG129)*EG128)),MAX(0,40*MAX(1,EG128)-(0))))</f>
        <v>8</v>
      </c>
      <c r="EH130" s="63">
        <f>IF(AND(EH128=1,EH129=8),8,MIN(IF(EH128&lt;=0,0,IF(WEEKDAY(EH$6,1)=1,0,MIN(8,EH129)*EH128)),MAX(0,40*MAX(1,EH128)-(EG130))))</f>
        <v>8</v>
      </c>
      <c r="EI130" s="63">
        <f>IF(AND(EI128=1,EI129=8),8,MIN(IF(EI128&lt;=0,0,IF(WEEKDAY(EI$6,1)=1,0,MIN(8,EI129)*EI128)),MAX(0,40*MAX(1,EI128)-(EG130+EH130))))</f>
        <v>8</v>
      </c>
      <c r="EJ130" s="63">
        <f>IF(AND(EJ128=1,EJ129=8),8,MIN(IF(EJ128&lt;=0,0,IF(WEEKDAY(EJ$6,1)=1,0,MIN(8,EJ129)*EJ128)),MAX(0,40*MAX(1,EJ128)-(EG130+EH130+EI130))))</f>
        <v>8</v>
      </c>
      <c r="EK130" s="65">
        <f>IF(AND(EK128=1,EK129=8),8,MIN(IF(EK128&lt;=0,0,IF(WEEKDAY(EK$6,1)=1,0,MIN(8,EK129)*EK128)),MAX(0,40*MAX(1,EK128)-(EG130+EH130+EI130+EJ130))))</f>
        <v>8</v>
      </c>
      <c r="OU130" s="28" t="s">
        <v>90</v>
      </c>
    </row>
    <row r="131" ht="16" customHeight="1" spans="1:411" x14ac:dyDescent="0.25">
      <c r="A131" s="45"/>
      <c r="B131" s="46"/>
      <c r="C131" s="66">
        <f>G127*N(D131)</f>
        <v>50384.75</v>
      </c>
      <c r="D131" s="66">
        <f>IF(TRIM(B127)="","No rate",IFERROR(INDEX('Rate Tables'!D$7:D$158,MATCH(B127,'Rate Tables'!A$7:A$158,0)),"No rate"))</f>
        <v>155.03</v>
      </c>
      <c r="E131" s="55" t="s">
        <v>63</v>
      </c>
      <c r="F131" s="49"/>
      <c r="G131" s="49"/>
      <c r="H131" s="49"/>
      <c r="I131" s="49"/>
      <c r="J131" s="50"/>
      <c r="K131" s="62">
        <f>IF(AND(K128=1,K129=8),0,IF(K128&lt;=0,0,IF(WEEKDAY(K$6,1)=1,0,MAX(0,K129-8)*K128))+((IF(K128&lt;=0,0,IF(WEEKDAY(K$6,1)=1,0,MIN(8,K129)*K128)))-MIN(IF(K128&lt;=0,0,IF(WEEKDAY(K$6,1)=1,0,MIN(8,K129)*K128)),MAX(0,40*MAX(1,K128)-(0)))))</f>
        <v>0</v>
      </c>
      <c r="L131" s="63">
        <f>IF(AND(L128=1,L129=8),0,IF(L128&lt;=0,0,IF(WEEKDAY(L$6,1)=1,0,MAX(0,L129-8)*L128))+((IF(L128&lt;=0,0,IF(WEEKDAY(L$6,1)=1,0,MIN(8,L129)*L128)))-MIN(IF(L128&lt;=0,0,IF(WEEKDAY(L$6,1)=1,0,MIN(8,L129)*L128)),MAX(0,40*MAX(1,L128)-(K130)))))</f>
        <v>0</v>
      </c>
      <c r="M131" s="63">
        <f>IF(AND(M128=1,M129=8),0,IF(M128&lt;=0,0,IF(WEEKDAY(M$6,1)=1,0,MAX(0,M129-8)*M128))+((IF(M128&lt;=0,0,IF(WEEKDAY(M$6,1)=1,0,MIN(8,M129)*M128)))-MIN(IF(M128&lt;=0,0,IF(WEEKDAY(M$6,1)=1,0,MIN(8,M129)*M128)),MAX(0,40*MAX(1,M128)-(K130+L130)))))</f>
        <v>0</v>
      </c>
      <c r="N131" s="63">
        <f>IF(AND(N128=1,N129=8),0,IF(N128&lt;=0,0,IF(WEEKDAY(N$6,1)=1,0,MAX(0,N129-8)*N128))+((IF(N128&lt;=0,0,IF(WEEKDAY(N$6,1)=1,0,MIN(8,N129)*N128)))-MIN(IF(N128&lt;=0,0,IF(WEEKDAY(N$6,1)=1,0,MIN(8,N129)*N128)),MAX(0,40*MAX(1,N128)-(K130+L130+M130)))))</f>
        <v>0</v>
      </c>
      <c r="O131" s="63">
        <f>IF(AND(O128=1,O129=8),0,IF(O128&lt;=0,0,IF(WEEKDAY(O$6,1)=1,0,MAX(0,O129-8)*O128))+((IF(O128&lt;=0,0,IF(WEEKDAY(O$6,1)=1,0,MIN(8,O129)*O128)))-MIN(IF(O128&lt;=0,0,IF(WEEKDAY(O$6,1)=1,0,MIN(8,O129)*O128)),MAX(0,40*MAX(1,O128)-(K130+L130+M130+N130)))))</f>
        <v>0</v>
      </c>
      <c r="P131" s="64">
        <f>IF(AND(P128=0,P129=0),0,IF(P128&lt;=0,0,IF(WEEKDAY(P$6,1)=1,0,MAX(0,P129-10)*P128))+((IF(P128&lt;=0,0,IF(WEEKDAY(P$6,1)=1,0,MIN(10,P129)*P128)))-MIN(IF(P128&lt;=0,0,IF(WEEKDAY(P$6,1)=1,0,MIN(10,P129)*P128)),MAX(0,40*MAX(1,P128)-(0)))))</f>
        <v>0</v>
      </c>
      <c r="Q131" s="64">
        <f>IF(AND(Q128=0,Q129=0),0,IF(Q128&lt;=0,0,IF(WEEKDAY(Q$6,1)=1,0,MAX(0,Q129-10)*Q128))+((IF(Q128&lt;=0,0,IF(WEEKDAY(Q$6,1)=1,0,MIN(10,Q129)*Q128)))-MIN(IF(Q128&lt;=0,0,IF(WEEKDAY(Q$6,1)=1,0,MIN(10,Q129)*Q128)),MAX(0,40*MAX(1,Q128)-(P130)))))</f>
        <v>0</v>
      </c>
      <c r="R131" s="63">
        <f>IF(AND(R128=1,R129=8),0,IF(R128&lt;=0,0,IF(WEEKDAY(R$6,1)=1,0,MAX(0,R129-8)*R128))+((IF(R128&lt;=0,0,IF(WEEKDAY(R$6,1)=1,0,MIN(8,R129)*R128)))-MIN(IF(R128&lt;=0,0,IF(WEEKDAY(R$6,1)=1,0,MIN(8,R129)*R128)),MAX(0,40*MAX(1,R128)-(0)))))</f>
        <v>0</v>
      </c>
      <c r="S131" s="63">
        <f>IF(AND(S128=1,S129=8),0,IF(S128&lt;=0,0,IF(WEEKDAY(S$6,1)=1,0,MAX(0,S129-8)*S128))+((IF(S128&lt;=0,0,IF(WEEKDAY(S$6,1)=1,0,MIN(8,S129)*S128)))-MIN(IF(S128&lt;=0,0,IF(WEEKDAY(S$6,1)=1,0,MIN(8,S129)*S128)),MAX(0,40*MAX(1,S128)-(R130)))))</f>
        <v>0</v>
      </c>
      <c r="T131" s="63">
        <f>IF(AND(T128=1,T129=8),0,IF(T128&lt;=0,0,IF(WEEKDAY(T$6,1)=1,0,MAX(0,T129-8)*T128))+((IF(T128&lt;=0,0,IF(WEEKDAY(T$6,1)=1,0,MIN(8,T129)*T128)))-MIN(IF(T128&lt;=0,0,IF(WEEKDAY(T$6,1)=1,0,MIN(8,T129)*T128)),MAX(0,40*MAX(1,T128)-(R130+S130)))))</f>
        <v>0</v>
      </c>
      <c r="U131" s="63">
        <f>IF(AND(U128=1,U129=8),0,IF(U128&lt;=0,0,IF(WEEKDAY(U$6,1)=1,0,MAX(0,U129-8)*U128))+((IF(U128&lt;=0,0,IF(WEEKDAY(U$6,1)=1,0,MIN(8,U129)*U128)))-MIN(IF(U128&lt;=0,0,IF(WEEKDAY(U$6,1)=1,0,MIN(8,U129)*U128)),MAX(0,40*MAX(1,U128)-(R130+S130+T130)))))</f>
        <v>0</v>
      </c>
      <c r="V131" s="63">
        <f>IF(AND(V128=1,V129=8),0,IF(V128&lt;=0,0,IF(WEEKDAY(V$6,1)=1,0,MAX(0,V129-8)*V128))+((IF(V128&lt;=0,0,IF(WEEKDAY(V$6,1)=1,0,MIN(8,V129)*V128)))-MIN(IF(V128&lt;=0,0,IF(WEEKDAY(V$6,1)=1,0,MIN(8,V129)*V128)),MAX(0,40*MAX(1,V128)-(R130+S130+T130+U130)))))</f>
        <v>0</v>
      </c>
      <c r="W131" s="64">
        <f>IF(AND(W128=0,W129=0),0,IF(W128&lt;=0,0,IF(WEEKDAY(W$6,1)=1,0,MAX(0,W129-10)*W128))+((IF(W128&lt;=0,0,IF(WEEKDAY(W$6,1)=1,0,MIN(10,W129)*W128)))-MIN(IF(W128&lt;=0,0,IF(WEEKDAY(W$6,1)=1,0,MIN(10,W129)*W128)),MAX(0,40*MAX(1,W128)-(0)))))</f>
        <v>0</v>
      </c>
      <c r="X131" s="64">
        <f>IF(AND(X128=0,X129=0),0,IF(X128&lt;=0,0,IF(WEEKDAY(X$6,1)=1,0,MAX(0,X129-10)*X128))+((IF(X128&lt;=0,0,IF(WEEKDAY(X$6,1)=1,0,MIN(10,X129)*X128)))-MIN(IF(X128&lt;=0,0,IF(WEEKDAY(X$6,1)=1,0,MIN(10,X129)*X128)),MAX(0,40*MAX(1,X128)-(W130)))))</f>
        <v>0</v>
      </c>
      <c r="Y131" s="63">
        <f>IF(AND(Y128=1,Y129=8),0,IF(Y128&lt;=0,0,IF(WEEKDAY(Y$6,1)=1,0,MAX(0,Y129-8)*Y128))+((IF(Y128&lt;=0,0,IF(WEEKDAY(Y$6,1)=1,0,MIN(8,Y129)*Y128)))-MIN(IF(Y128&lt;=0,0,IF(WEEKDAY(Y$6,1)=1,0,MIN(8,Y129)*Y128)),MAX(0,40*MAX(1,Y128)-(0)))))</f>
        <v>0</v>
      </c>
      <c r="Z131" s="63">
        <f>IF(AND(Z128=1,Z129=8),0,IF(Z128&lt;=0,0,IF(WEEKDAY(Z$6,1)=1,0,MAX(0,Z129-8)*Z128))+((IF(Z128&lt;=0,0,IF(WEEKDAY(Z$6,1)=1,0,MIN(8,Z129)*Z128)))-MIN(IF(Z128&lt;=0,0,IF(WEEKDAY(Z$6,1)=1,0,MIN(8,Z129)*Z128)),MAX(0,40*MAX(1,Z128)-(Y130)))))</f>
        <v>0</v>
      </c>
      <c r="AA131" s="63">
        <f>IF(AND(AA128=1,AA129=8),0,IF(AA128&lt;=0,0,IF(WEEKDAY(AA$6,1)=1,0,MAX(0,AA129-8)*AA128))+((IF(AA128&lt;=0,0,IF(WEEKDAY(AA$6,1)=1,0,MIN(8,AA129)*AA128)))-MIN(IF(AA128&lt;=0,0,IF(WEEKDAY(AA$6,1)=1,0,MIN(8,AA129)*AA128)),MAX(0,40*MAX(1,AA128)-(Y130+Z130)))))</f>
        <v>0</v>
      </c>
      <c r="AB131" s="63">
        <f>IF(AND(AB128=1,AB129=8),0,IF(AB128&lt;=0,0,IF(WEEKDAY(AB$6,1)=1,0,MAX(0,AB129-8)*AB128))+((IF(AB128&lt;=0,0,IF(WEEKDAY(AB$6,1)=1,0,MIN(8,AB129)*AB128)))-MIN(IF(AB128&lt;=0,0,IF(WEEKDAY(AB$6,1)=1,0,MIN(8,AB129)*AB128)),MAX(0,40*MAX(1,AB128)-(Y130+Z130+AA130)))))</f>
        <v>0</v>
      </c>
      <c r="AC131" s="63">
        <f>IF(AND(AC128=1,AC129=8),0,IF(AC128&lt;=0,0,IF(WEEKDAY(AC$6,1)=1,0,MAX(0,AC129-8)*AC128))+((IF(AC128&lt;=0,0,IF(WEEKDAY(AC$6,1)=1,0,MIN(8,AC129)*AC128)))-MIN(IF(AC128&lt;=0,0,IF(WEEKDAY(AC$6,1)=1,0,MIN(8,AC129)*AC128)),MAX(0,40*MAX(1,AC128)-(Y130+Z130+AA130+AB130)))))</f>
        <v>0</v>
      </c>
      <c r="AD131" s="64">
        <f>IF(AND(AD128=0,AD129=0),0,IF(AD128&lt;=0,0,IF(WEEKDAY(AD$6,1)=1,0,MAX(0,AD129-10)*AD128))+((IF(AD128&lt;=0,0,IF(WEEKDAY(AD$6,1)=1,0,MIN(10,AD129)*AD128)))-MIN(IF(AD128&lt;=0,0,IF(WEEKDAY(AD$6,1)=1,0,MIN(10,AD129)*AD128)),MAX(0,40*MAX(1,AD128)-(0)))))</f>
        <v>0</v>
      </c>
      <c r="AE131" s="64">
        <f>IF(AND(AE128=0,AE129=0),0,IF(AE128&lt;=0,0,IF(WEEKDAY(AE$6,1)=1,0,MAX(0,AE129-10)*AE128))+((IF(AE128&lt;=0,0,IF(WEEKDAY(AE$6,1)=1,0,MIN(10,AE129)*AE128)))-MIN(IF(AE128&lt;=0,0,IF(WEEKDAY(AE$6,1)=1,0,MIN(10,AE129)*AE128)),MAX(0,40*MAX(1,AE128)-(AD130)))))</f>
        <v>0</v>
      </c>
      <c r="AF131" s="63">
        <f>IF(AND(AF128=1,AF129=8),0,IF(AF128&lt;=0,0,IF(WEEKDAY(AF$6,1)=1,0,MAX(0,AF129-8)*AF128))+((IF(AF128&lt;=0,0,IF(WEEKDAY(AF$6,1)=1,0,MIN(8,AF129)*AF128)))-MIN(IF(AF128&lt;=0,0,IF(WEEKDAY(AF$6,1)=1,0,MIN(8,AF129)*AF128)),MAX(0,40*MAX(1,AF128)-(0)))))</f>
        <v>0</v>
      </c>
      <c r="AG131" s="63">
        <f>IF(AND(AG128=1,AG129=8),0,IF(AG128&lt;=0,0,IF(WEEKDAY(AG$6,1)=1,0,MAX(0,AG129-8)*AG128))+((IF(AG128&lt;=0,0,IF(WEEKDAY(AG$6,1)=1,0,MIN(8,AG129)*AG128)))-MIN(IF(AG128&lt;=0,0,IF(WEEKDAY(AG$6,1)=1,0,MIN(8,AG129)*AG128)),MAX(0,40*MAX(1,AG128)-(AF130)))))</f>
        <v>0</v>
      </c>
      <c r="AH131" s="63">
        <f>IF(AND(AH128=1,AH129=8),0,IF(AH128&lt;=0,0,IF(WEEKDAY(AH$6,1)=1,0,MAX(0,AH129-8)*AH128))+((IF(AH128&lt;=0,0,IF(WEEKDAY(AH$6,1)=1,0,MIN(8,AH129)*AH128)))-MIN(IF(AH128&lt;=0,0,IF(WEEKDAY(AH$6,1)=1,0,MIN(8,AH129)*AH128)),MAX(0,40*MAX(1,AH128)-(AF130+AG130)))))</f>
        <v>0</v>
      </c>
      <c r="AI131" s="63">
        <f>IF(AND(AI128=1,AI129=8),0,IF(AI128&lt;=0,0,IF(WEEKDAY(AI$6,1)=1,0,MAX(0,AI129-8)*AI128))+((IF(AI128&lt;=0,0,IF(WEEKDAY(AI$6,1)=1,0,MIN(8,AI129)*AI128)))-MIN(IF(AI128&lt;=0,0,IF(WEEKDAY(AI$6,1)=1,0,MIN(8,AI129)*AI128)),MAX(0,40*MAX(1,AI128)-(AF130+AG130+AH130)))))</f>
        <v>0</v>
      </c>
      <c r="AJ131" s="63">
        <f>IF(AND(AJ128=1,AJ129=8),0,IF(AJ128&lt;=0,0,IF(WEEKDAY(AJ$6,1)=1,0,MAX(0,AJ129-8)*AJ128))+((IF(AJ128&lt;=0,0,IF(WEEKDAY(AJ$6,1)=1,0,MIN(8,AJ129)*AJ128)))-MIN(IF(AJ128&lt;=0,0,IF(WEEKDAY(AJ$6,1)=1,0,MIN(8,AJ129)*AJ128)),MAX(0,40*MAX(1,AJ128)-(AF130+AG130+AH130+AI130)))))</f>
        <v>0</v>
      </c>
      <c r="AK131" s="64">
        <f>IF(AND(AK128=0,AK129=0),0,IF(AK128&lt;=0,0,IF(WEEKDAY(AK$6,1)=1,0,MAX(0,AK129-10)*AK128))+((IF(AK128&lt;=0,0,IF(WEEKDAY(AK$6,1)=1,0,MIN(10,AK129)*AK128)))-MIN(IF(AK128&lt;=0,0,IF(WEEKDAY(AK$6,1)=1,0,MIN(10,AK129)*AK128)),MAX(0,40*MAX(1,AK128)-(0)))))</f>
        <v>0</v>
      </c>
      <c r="AL131" s="64">
        <f>IF(AND(AL128=0,AL129=0),0,IF(AL128&lt;=0,0,IF(WEEKDAY(AL$6,1)=1,0,MAX(0,AL129-10)*AL128))+((IF(AL128&lt;=0,0,IF(WEEKDAY(AL$6,1)=1,0,MIN(10,AL129)*AL128)))-MIN(IF(AL128&lt;=0,0,IF(WEEKDAY(AL$6,1)=1,0,MIN(10,AL129)*AL128)),MAX(0,40*MAX(1,AL128)-(AK130)))))</f>
        <v>0</v>
      </c>
      <c r="AM131" s="63">
        <f>IF(AND(AM128=1,AM129=8),0,IF(AM128&lt;=0,0,IF(WEEKDAY(AM$6,1)=1,0,MAX(0,AM129-8)*AM128))+((IF(AM128&lt;=0,0,IF(WEEKDAY(AM$6,1)=1,0,MIN(8,AM129)*AM128)))-MIN(IF(AM128&lt;=0,0,IF(WEEKDAY(AM$6,1)=1,0,MIN(8,AM129)*AM128)),MAX(0,40*MAX(1,AM128)-(0)))))</f>
        <v>0</v>
      </c>
      <c r="AN131" s="63">
        <f>IF(AND(AN128=1,AN129=8),0,IF(AN128&lt;=0,0,IF(WEEKDAY(AN$6,1)=1,0,MAX(0,AN129-8)*AN128))+((IF(AN128&lt;=0,0,IF(WEEKDAY(AN$6,1)=1,0,MIN(8,AN129)*AN128)))-MIN(IF(AN128&lt;=0,0,IF(WEEKDAY(AN$6,1)=1,0,MIN(8,AN129)*AN128)),MAX(0,40*MAX(1,AN128)-(AM130)))))</f>
        <v>0</v>
      </c>
      <c r="AO131" s="63">
        <f>IF(AND(AO128=1,AO129=8),0,IF(AO128&lt;=0,0,IF(WEEKDAY(AO$6,1)=1,0,MAX(0,AO129-8)*AO128))+((IF(AO128&lt;=0,0,IF(WEEKDAY(AO$6,1)=1,0,MIN(8,AO129)*AO128)))-MIN(IF(AO128&lt;=0,0,IF(WEEKDAY(AO$6,1)=1,0,MIN(8,AO129)*AO128)),MAX(0,40*MAX(1,AO128)-(AM130+AN130)))))</f>
        <v>0</v>
      </c>
      <c r="AP131" s="63">
        <f>IF(AND(AP128=1,AP129=8),0,IF(AP128&lt;=0,0,IF(WEEKDAY(AP$6,1)=1,0,MAX(0,AP129-8)*AP128))+((IF(AP128&lt;=0,0,IF(WEEKDAY(AP$6,1)=1,0,MIN(8,AP129)*AP128)))-MIN(IF(AP128&lt;=0,0,IF(WEEKDAY(AP$6,1)=1,0,MIN(8,AP129)*AP128)),MAX(0,40*MAX(1,AP128)-(AM130+AN130+AO130)))))</f>
        <v>0</v>
      </c>
      <c r="AQ131" s="63">
        <f>IF(AND(AQ128=1,AQ129=8),0,IF(AQ128&lt;=0,0,IF(WEEKDAY(AQ$6,1)=1,0,MAX(0,AQ129-8)*AQ128))+((IF(AQ128&lt;=0,0,IF(WEEKDAY(AQ$6,1)=1,0,MIN(8,AQ129)*AQ128)))-MIN(IF(AQ128&lt;=0,0,IF(WEEKDAY(AQ$6,1)=1,0,MIN(8,AQ129)*AQ128)),MAX(0,40*MAX(1,AQ128)-(AM130+AN130+AO130+AP130)))))</f>
        <v>0</v>
      </c>
      <c r="AR131" s="64">
        <f>IF(AND(AR128=0,AR129=0),0,IF(AR128&lt;=0,0,IF(WEEKDAY(AR$6,1)=1,0,MAX(0,AR129-10)*AR128))+((IF(AR128&lt;=0,0,IF(WEEKDAY(AR$6,1)=1,0,MIN(10,AR129)*AR128)))-MIN(IF(AR128&lt;=0,0,IF(WEEKDAY(AR$6,1)=1,0,MIN(10,AR129)*AR128)),MAX(0,40*MAX(1,AR128)-(0)))))</f>
        <v>0</v>
      </c>
      <c r="AS131" s="64">
        <f>IF(AND(AS128=0,AS129=0),0,IF(AS128&lt;=0,0,IF(WEEKDAY(AS$6,1)=1,0,MAX(0,AS129-10)*AS128))+((IF(AS128&lt;=0,0,IF(WEEKDAY(AS$6,1)=1,0,MIN(10,AS129)*AS128)))-MIN(IF(AS128&lt;=0,0,IF(WEEKDAY(AS$6,1)=1,0,MIN(10,AS129)*AS128)),MAX(0,40*MAX(1,AS128)-(AR130)))))</f>
        <v>0</v>
      </c>
      <c r="AT131" s="63">
        <f>IF(AND(AT128=1,AT129=8),0,IF(AT128&lt;=0,0,IF(WEEKDAY(AT$6,1)=1,0,MAX(0,AT129-8)*AT128))+((IF(AT128&lt;=0,0,IF(WEEKDAY(AT$6,1)=1,0,MIN(8,AT129)*AT128)))-MIN(IF(AT128&lt;=0,0,IF(WEEKDAY(AT$6,1)=1,0,MIN(8,AT129)*AT128)),MAX(0,40*MAX(1,AT128)-(0)))))</f>
        <v>0</v>
      </c>
      <c r="AU131" s="63">
        <f>IF(AND(AU128=1,AU129=8),0,IF(AU128&lt;=0,0,IF(WEEKDAY(AU$6,1)=1,0,MAX(0,AU129-8)*AU128))+((IF(AU128&lt;=0,0,IF(WEEKDAY(AU$6,1)=1,0,MIN(8,AU129)*AU128)))-MIN(IF(AU128&lt;=0,0,IF(WEEKDAY(AU$6,1)=1,0,MIN(8,AU129)*AU128)),MAX(0,40*MAX(1,AU128)-(AT130)))))</f>
        <v>0</v>
      </c>
      <c r="AV131" s="63">
        <f>IF(AND(AV128=1,AV129=8),0,IF(AV128&lt;=0,0,IF(WEEKDAY(AV$6,1)=1,0,MAX(0,AV129-8)*AV128))+((IF(AV128&lt;=0,0,IF(WEEKDAY(AV$6,1)=1,0,MIN(8,AV129)*AV128)))-MIN(IF(AV128&lt;=0,0,IF(WEEKDAY(AV$6,1)=1,0,MIN(8,AV129)*AV128)),MAX(0,40*MAX(1,AV128)-(AT130+AU130)))))</f>
        <v>0</v>
      </c>
      <c r="AW131" s="63">
        <f>IF(AND(AW128=1,AW129=8),0,IF(AW128&lt;=0,0,IF(WEEKDAY(AW$6,1)=1,0,MAX(0,AW129-8)*AW128))+((IF(AW128&lt;=0,0,IF(WEEKDAY(AW$6,1)=1,0,MIN(8,AW129)*AW128)))-MIN(IF(AW128&lt;=0,0,IF(WEEKDAY(AW$6,1)=1,0,MIN(8,AW129)*AW128)),MAX(0,40*MAX(1,AW128)-(AT130+AU130+AV130)))))</f>
        <v>0</v>
      </c>
      <c r="AX131" s="63">
        <f>IF(AND(AX128=1,AX129=8),0,IF(AX128&lt;=0,0,IF(WEEKDAY(AX$6,1)=1,0,MAX(0,AX129-8)*AX128))+((IF(AX128&lt;=0,0,IF(WEEKDAY(AX$6,1)=1,0,MIN(8,AX129)*AX128)))-MIN(IF(AX128&lt;=0,0,IF(WEEKDAY(AX$6,1)=1,0,MIN(8,AX129)*AX128)),MAX(0,40*MAX(1,AX128)-(AT130+AU130+AV130+AW130)))))</f>
        <v>0</v>
      </c>
      <c r="AY131" s="64">
        <f>IF(AND(AY128=0,AY129=0),0,IF(AY128&lt;=0,0,IF(WEEKDAY(AY$6,1)=1,0,MAX(0,AY129-10)*AY128))+((IF(AY128&lt;=0,0,IF(WEEKDAY(AY$6,1)=1,0,MIN(10,AY129)*AY128)))-MIN(IF(AY128&lt;=0,0,IF(WEEKDAY(AY$6,1)=1,0,MIN(10,AY129)*AY128)),MAX(0,40*MAX(1,AY128)-(0)))))</f>
        <v>0</v>
      </c>
      <c r="AZ131" s="64">
        <f>IF(AND(AZ128=0,AZ129=0),0,IF(AZ128&lt;=0,0,IF(WEEKDAY(AZ$6,1)=1,0,MAX(0,AZ129-10)*AZ128))+((IF(AZ128&lt;=0,0,IF(WEEKDAY(AZ$6,1)=1,0,MIN(10,AZ129)*AZ128)))-MIN(IF(AZ128&lt;=0,0,IF(WEEKDAY(AZ$6,1)=1,0,MIN(10,AZ129)*AZ128)),MAX(0,40*MAX(1,AZ128)-(AY130)))))</f>
        <v>0</v>
      </c>
      <c r="BA131" s="63">
        <f>IF(AND(BA128=1,BA129=8),0,IF(BA128&lt;=0,0,IF(WEEKDAY(BA$6,1)=1,0,MAX(0,BA129-8)*BA128))+((IF(BA128&lt;=0,0,IF(WEEKDAY(BA$6,1)=1,0,MIN(8,BA129)*BA128)))-MIN(IF(BA128&lt;=0,0,IF(WEEKDAY(BA$6,1)=1,0,MIN(8,BA129)*BA128)),MAX(0,40*MAX(1,BA128)-(0)))))</f>
        <v>0</v>
      </c>
      <c r="BB131" s="63">
        <f>IF(AND(BB128=1,BB129=8),0,IF(BB128&lt;=0,0,IF(WEEKDAY(BB$6,1)=1,0,MAX(0,BB129-8)*BB128))+((IF(BB128&lt;=0,0,IF(WEEKDAY(BB$6,1)=1,0,MIN(8,BB129)*BB128)))-MIN(IF(BB128&lt;=0,0,IF(WEEKDAY(BB$6,1)=1,0,MIN(8,BB129)*BB128)),MAX(0,40*MAX(1,BB128)-(BA130)))))</f>
        <v>0</v>
      </c>
      <c r="BC131" s="63">
        <f>IF(AND(BC128=1,BC129=8),0,IF(BC128&lt;=0,0,IF(WEEKDAY(BC$6,1)=1,0,MAX(0,BC129-8)*BC128))+((IF(BC128&lt;=0,0,IF(WEEKDAY(BC$6,1)=1,0,MIN(8,BC129)*BC128)))-MIN(IF(BC128&lt;=0,0,IF(WEEKDAY(BC$6,1)=1,0,MIN(8,BC129)*BC128)),MAX(0,40*MAX(1,BC128)-(BA130+BB130)))))</f>
        <v>0</v>
      </c>
      <c r="BD131" s="63">
        <f>IF(AND(BD128=1,BD129=8),0,IF(BD128&lt;=0,0,IF(WEEKDAY(BD$6,1)=1,0,MAX(0,BD129-8)*BD128))+((IF(BD128&lt;=0,0,IF(WEEKDAY(BD$6,1)=1,0,MIN(8,BD129)*BD128)))-MIN(IF(BD128&lt;=0,0,IF(WEEKDAY(BD$6,1)=1,0,MIN(8,BD129)*BD128)),MAX(0,40*MAX(1,BD128)-(BA130+BB130+BC130)))))</f>
        <v>0</v>
      </c>
      <c r="BE131" s="63">
        <f>IF(AND(BE128=1,BE129=8),0,IF(BE128&lt;=0,0,IF(WEEKDAY(BE$6,1)=1,0,MAX(0,BE129-8)*BE128))+((IF(BE128&lt;=0,0,IF(WEEKDAY(BE$6,1)=1,0,MIN(8,BE129)*BE128)))-MIN(IF(BE128&lt;=0,0,IF(WEEKDAY(BE$6,1)=1,0,MIN(8,BE129)*BE128)),MAX(0,40*MAX(1,BE128)-(BA130+BB130+BC130+BD130)))))</f>
        <v>0</v>
      </c>
      <c r="BF131" s="64">
        <f>IF(AND(BF128=0,BF129=0),0,IF(BF128&lt;=0,0,IF(WEEKDAY(BF$6,1)=1,0,MAX(0,BF129-10)*BF128))+((IF(BF128&lt;=0,0,IF(WEEKDAY(BF$6,1)=1,0,MIN(10,BF129)*BF128)))-MIN(IF(BF128&lt;=0,0,IF(WEEKDAY(BF$6,1)=1,0,MIN(10,BF129)*BF128)),MAX(0,40*MAX(1,BF128)-(0)))))</f>
        <v>0</v>
      </c>
      <c r="BG131" s="64">
        <f>IF(AND(BG128=0,BG129=0),0,IF(BG128&lt;=0,0,IF(WEEKDAY(BG$6,1)=1,0,MAX(0,BG129-10)*BG128))+((IF(BG128&lt;=0,0,IF(WEEKDAY(BG$6,1)=1,0,MIN(10,BG129)*BG128)))-MIN(IF(BG128&lt;=0,0,IF(WEEKDAY(BG$6,1)=1,0,MIN(10,BG129)*BG128)),MAX(0,40*MAX(1,BG128)-(BF130)))))</f>
        <v>0</v>
      </c>
      <c r="BH131" s="63">
        <f>IF(AND(BH128=1,BH129=13),3,IF(BH128&lt;=0,0,IF(WEEKDAY(BH$6,1)=1,0,MAX(0,BH129-10)*BH128))+((IF(BH128&lt;=0,0,IF(WEEKDAY(BH$6,1)=1,0,MIN(10,BH129)*BH128)))-MIN(IF(BH128&lt;=0,0,IF(WEEKDAY(BH$6,1)=1,0,MIN(10,BH129)*BH128)),MAX(0,40*MAX(1,BH128)-(0)))))</f>
        <v>3</v>
      </c>
      <c r="BI131" s="63">
        <f>IF(AND(BI128=1,BI129=13),3,IF(BI128&lt;=0,0,IF(WEEKDAY(BI$6,1)=1,0,MAX(0,BI129-10)*BI128))+((IF(BI128&lt;=0,0,IF(WEEKDAY(BI$6,1)=1,0,MIN(10,BI129)*BI128)))-MIN(IF(BI128&lt;=0,0,IF(WEEKDAY(BI$6,1)=1,0,MIN(10,BI129)*BI128)),MAX(0,40*MAX(1,BI128)-(BH130)))))</f>
        <v>3</v>
      </c>
      <c r="BJ131" s="63">
        <f>IF(AND(BJ128=1,BJ129=13),3,IF(BJ128&lt;=0,0,IF(WEEKDAY(BJ$6,1)=1,0,MAX(0,BJ129-10)*BJ128))+((IF(BJ128&lt;=0,0,IF(WEEKDAY(BJ$6,1)=1,0,MIN(10,BJ129)*BJ128)))-MIN(IF(BJ128&lt;=0,0,IF(WEEKDAY(BJ$6,1)=1,0,MIN(10,BJ129)*BJ128)),MAX(0,40*MAX(1,BJ128)-(BH130+BI130)))))</f>
        <v>3</v>
      </c>
      <c r="BK131" s="63">
        <f>IF(AND(BK128=1,BK129=13),3,IF(BK128&lt;=0,0,IF(WEEKDAY(BK$6,1)=1,0,MAX(0,BK129-10)*BK128))+((IF(BK128&lt;=0,0,IF(WEEKDAY(BK$6,1)=1,0,MIN(10,BK129)*BK128)))-MIN(IF(BK128&lt;=0,0,IF(WEEKDAY(BK$6,1)=1,0,MIN(10,BK129)*BK128)),MAX(0,40*MAX(1,BK128)-(BH130+BI130+BJ130)))))</f>
        <v>3</v>
      </c>
      <c r="BL131" s="63">
        <f>IF(AND(BL128=1,BL129=13),13,IF(BL128&lt;=0,0,IF(WEEKDAY(BL$6,1)=1,0,MAX(0,BL129-10)*BL128))+((IF(BL128&lt;=0,0,IF(WEEKDAY(BL$6,1)=1,0,MIN(10,BL129)*BL128)))-MIN(IF(BL128&lt;=0,0,IF(WEEKDAY(BL$6,1)=1,0,MIN(10,BL129)*BL128)),MAX(0,40*MAX(1,BL128)-(BH130+BI130+BJ130+BK130)))))</f>
        <v>13</v>
      </c>
      <c r="BM131" s="64">
        <f>IF(AND(BM128=1,BM129=13),13,IF(BM128&lt;=0,0,IF(WEEKDAY(BM$6,1)=1,0,MAX(0,BM129-10)*BM128))+((IF(BM128&lt;=0,0,IF(WEEKDAY(BM$6,1)=1,0,MIN(10,BM129)*BM128)))-MIN(IF(BM128&lt;=0,0,IF(WEEKDAY(BM$6,1)=1,0,MIN(10,BM129)*BM128)),MAX(0,40*MAX(1,BM128)-(BH130+BI130+BJ130+BK130+BL130)))))</f>
        <v>13</v>
      </c>
      <c r="BN131" s="64">
        <f>IF(AND(BN128=1,BN129=13),0,IF(BN128&lt;=0,0,IF(WEEKDAY(BN$6,1)=1,0,MAX(0,BN129-10)*BN128))+((IF(BN128&lt;=0,0,IF(WEEKDAY(BN$6,1)=1,0,MIN(10,BN129)*BN128)))-MIN(IF(BN128&lt;=0,0,IF(WEEKDAY(BN$6,1)=1,0,MIN(10,BN129)*BN128)),MAX(0,40*MAX(1,BN128)-(BH130+BI130+BJ130+BK130+BL130+BM130)))))</f>
        <v>0</v>
      </c>
      <c r="BO131" s="63">
        <f>IF(AND(BO128=1,BO129=13),3,IF(BO128&lt;=0,0,IF(WEEKDAY(BO$6,1)=1,0,MAX(0,BO129-10)*BO128))+((IF(BO128&lt;=0,0,IF(WEEKDAY(BO$6,1)=1,0,MIN(10,BO129)*BO128)))-MIN(IF(BO128&lt;=0,0,IF(WEEKDAY(BO$6,1)=1,0,MIN(10,BO129)*BO128)),MAX(0,40*MAX(1,BO128)-(0)))))</f>
        <v>3</v>
      </c>
      <c r="BP131" s="63">
        <f>IF(AND(BP128=1,BP129=13),3,IF(BP128&lt;=0,0,IF(WEEKDAY(BP$6,1)=1,0,MAX(0,BP129-10)*BP128))+((IF(BP128&lt;=0,0,IF(WEEKDAY(BP$6,1)=1,0,MIN(10,BP129)*BP128)))-MIN(IF(BP128&lt;=0,0,IF(WEEKDAY(BP$6,1)=1,0,MIN(10,BP129)*BP128)),MAX(0,40*MAX(1,BP128)-(BO130)))))</f>
        <v>3</v>
      </c>
      <c r="BQ131" s="63">
        <f>IF(AND(BQ128=1,BQ129=13),3,IF(BQ128&lt;=0,0,IF(WEEKDAY(BQ$6,1)=1,0,MAX(0,BQ129-10)*BQ128))+((IF(BQ128&lt;=0,0,IF(WEEKDAY(BQ$6,1)=1,0,MIN(10,BQ129)*BQ128)))-MIN(IF(BQ128&lt;=0,0,IF(WEEKDAY(BQ$6,1)=1,0,MIN(10,BQ129)*BQ128)),MAX(0,40*MAX(1,BQ128)-(BO130+BP130)))))</f>
        <v>3</v>
      </c>
      <c r="BR131" s="63">
        <f>IF(AND(BR128=1,BR129=13),3,IF(BR128&lt;=0,0,IF(WEEKDAY(BR$6,1)=1,0,MAX(0,BR129-10)*BR128))+((IF(BR128&lt;=0,0,IF(WEEKDAY(BR$6,1)=1,0,MIN(10,BR129)*BR128)))-MIN(IF(BR128&lt;=0,0,IF(WEEKDAY(BR$6,1)=1,0,MIN(10,BR129)*BR128)),MAX(0,40*MAX(1,BR128)-(0)))))</f>
        <v>3</v>
      </c>
      <c r="BS131" s="63">
        <f>IF(AND(BS128=1,BS129=13),3,IF(BS128&lt;=0,0,IF(WEEKDAY(BS$6,1)=1,0,MAX(0,BS129-10)*BS128))+((IF(BS128&lt;=0,0,IF(WEEKDAY(BS$6,1)=1,0,MIN(10,BS129)*BS128)))-MIN(IF(BS128&lt;=0,0,IF(WEEKDAY(BS$6,1)=1,0,MIN(10,BS129)*BS128)),MAX(0,40*MAX(1,BS128)-(BR130)))))</f>
        <v>3</v>
      </c>
      <c r="BT131" s="64">
        <f>IF(AND(BT128=1,BT129=13),3,IF(BT128&lt;=0,0,IF(WEEKDAY(BT$6,1)=1,0,MAX(0,BT129-10)*BT128))+((IF(BT128&lt;=0,0,IF(WEEKDAY(BT$6,1)=1,0,MIN(10,BT129)*BT128)))-MIN(IF(BT128&lt;=0,0,IF(WEEKDAY(BT$6,1)=1,0,MIN(10,BT129)*BT128)),MAX(0,40*MAX(1,BT128)-(BR130+BS130)))))</f>
        <v>3</v>
      </c>
      <c r="BU131" s="64">
        <f>IF(AND(BU128=1,BU129=13),0,IF(BU128&lt;=0,0,IF(WEEKDAY(BU$6,1)=1,0,MAX(0,BU129-10)*BU128))+((IF(BU128&lt;=0,0,IF(WEEKDAY(BU$6,1)=1,0,MIN(10,BU129)*BU128)))-MIN(IF(BU128&lt;=0,0,IF(WEEKDAY(BU$6,1)=1,0,MIN(10,BU129)*BU128)),MAX(0,40*MAX(1,BU128)-(BR130+BS130+BT130)))))</f>
        <v>0</v>
      </c>
      <c r="BV131" s="63">
        <f>IF(AND(BV128=1,BV129=13),3,IF(BV128&lt;=0,0,IF(WEEKDAY(BV$6,1)=1,0,MAX(0,BV129-10)*BV128))+((IF(BV128&lt;=0,0,IF(WEEKDAY(BV$6,1)=1,0,MIN(10,BV129)*BV128)))-MIN(IF(BV128&lt;=0,0,IF(WEEKDAY(BV$6,1)=1,0,MIN(10,BV129)*BV128)),MAX(0,40*MAX(1,BV128)-(0)))))</f>
        <v>3</v>
      </c>
      <c r="BW131" s="63">
        <f>IF(AND(BW128=1,BW129=13),3,IF(BW128&lt;=0,0,IF(WEEKDAY(BW$6,1)=1,0,MAX(0,BW129-10)*BW128))+((IF(BW128&lt;=0,0,IF(WEEKDAY(BW$6,1)=1,0,MIN(10,BW129)*BW128)))-MIN(IF(BW128&lt;=0,0,IF(WEEKDAY(BW$6,1)=1,0,MIN(10,BW129)*BW128)),MAX(0,40*MAX(1,BW128)-(BV130)))))</f>
        <v>3</v>
      </c>
      <c r="BX131" s="63">
        <f>IF(AND(BX128=1,BX129=13),3,IF(BX128&lt;=0,0,IF(WEEKDAY(BX$6,1)=1,0,MAX(0,BX129-10)*BX128))+((IF(BX128&lt;=0,0,IF(WEEKDAY(BX$6,1)=1,0,MIN(10,BX129)*BX128)))-MIN(IF(BX128&lt;=0,0,IF(WEEKDAY(BX$6,1)=1,0,MIN(10,BX129)*BX128)),MAX(0,40*MAX(1,BX128)-(BV130+BW130)))))</f>
        <v>3</v>
      </c>
      <c r="BY131" s="63">
        <f>IF(AND(BY128=1,BY129=13),3,IF(BY128&lt;=0,0,IF(WEEKDAY(BY$6,1)=1,0,MAX(0,BY129-10)*BY128))+((IF(BY128&lt;=0,0,IF(WEEKDAY(BY$6,1)=1,0,MIN(10,BY129)*BY128)))-MIN(IF(BY128&lt;=0,0,IF(WEEKDAY(BY$6,1)=1,0,MIN(10,BY129)*BY128)),MAX(0,40*MAX(1,BY128)-(BV130+BW130+BX130)))))</f>
        <v>3</v>
      </c>
      <c r="BZ131" s="63">
        <f>IF(AND(BZ128=1,BZ129=13),13,IF(BZ128&lt;=0,0,IF(WEEKDAY(BZ$6,1)=1,0,MAX(0,BZ129-10)*BZ128))+((IF(BZ128&lt;=0,0,IF(WEEKDAY(BZ$6,1)=1,0,MIN(10,BZ129)*BZ128)))-MIN(IF(BZ128&lt;=0,0,IF(WEEKDAY(BZ$6,1)=1,0,MIN(10,BZ129)*BZ128)),MAX(0,40*MAX(1,BZ128)-(BV130+BW130+BX130+BY130)))))</f>
        <v>13</v>
      </c>
      <c r="CA131" s="64">
        <f>IF(AND(CA128=1,CA129=13),13,IF(CA128&lt;=0,0,IF(WEEKDAY(CA$6,1)=1,0,MAX(0,CA129-10)*CA128))+((IF(CA128&lt;=0,0,IF(WEEKDAY(CA$6,1)=1,0,MIN(10,CA129)*CA128)))-MIN(IF(CA128&lt;=0,0,IF(WEEKDAY(CA$6,1)=1,0,MIN(10,CA129)*CA128)),MAX(0,40*MAX(1,CA128)-(BV130+BW130+BX130+BY130+BZ130)))))</f>
        <v>13</v>
      </c>
      <c r="CB131" s="64">
        <f>IF(AND(CB128=0,CB129=0),0,IF(CB128&lt;=0,0,IF(WEEKDAY(CB$6,1)=1,0,MAX(0,CB129-10)*CB128))+((IF(CB128&lt;=0,0,IF(WEEKDAY(CB$6,1)=1,0,MIN(10,CB129)*CB128)))-MIN(IF(CB128&lt;=0,0,IF(WEEKDAY(CB$6,1)=1,0,MIN(10,CB129)*CB128)),MAX(0,40*MAX(1,CB128)-(0)))))</f>
        <v>0</v>
      </c>
      <c r="CC131" s="63">
        <f>IF(AND(CC128=1,CC129=13),3,IF(CC128&lt;=0,0,IF(WEEKDAY(CC$6,1)=1,0,MAX(0,CC129-10)*CC128))+((IF(CC128&lt;=0,0,IF(WEEKDAY(CC$6,1)=1,0,MIN(10,CC129)*CC128)))-MIN(IF(CC128&lt;=0,0,IF(WEEKDAY(CC$6,1)=1,0,MIN(10,CC129)*CC128)),MAX(0,40*MAX(1,CC128)-(0)))))</f>
        <v>3</v>
      </c>
      <c r="CD131" s="63">
        <f>IF(AND(CD128=1,CD129=13),3,IF(CD128&lt;=0,0,IF(WEEKDAY(CD$6,1)=1,0,MAX(0,CD129-10)*CD128))+((IF(CD128&lt;=0,0,IF(WEEKDAY(CD$6,1)=1,0,MIN(10,CD129)*CD128)))-MIN(IF(CD128&lt;=0,0,IF(WEEKDAY(CD$6,1)=1,0,MIN(10,CD129)*CD128)),MAX(0,40*MAX(1,CD128)-(CC130)))))</f>
        <v>3</v>
      </c>
      <c r="CE131" s="63">
        <f>IF(AND(CE128=1,CE129=13),3,IF(CE128&lt;=0,0,IF(WEEKDAY(CE$6,1)=1,0,MAX(0,CE129-10)*CE128))+((IF(CE128&lt;=0,0,IF(WEEKDAY(CE$6,1)=1,0,MIN(10,CE129)*CE128)))-MIN(IF(CE128&lt;=0,0,IF(WEEKDAY(CE$6,1)=1,0,MIN(10,CE129)*CE128)),MAX(0,40*MAX(1,CE128)-(CC130+CD130)))))</f>
        <v>3</v>
      </c>
      <c r="CF131" s="63">
        <f>IF(AND(CF128=1,CF129=13),3,IF(CF128&lt;=0,0,IF(WEEKDAY(CF$6,1)=1,0,MAX(0,CF129-10)*CF128))+((IF(CF128&lt;=0,0,IF(WEEKDAY(CF$6,1)=1,0,MIN(10,CF129)*CF128)))-MIN(IF(CF128&lt;=0,0,IF(WEEKDAY(CF$6,1)=1,0,MIN(10,CF129)*CF128)),MAX(0,40*MAX(1,CF128)-(CC130+CD130+CE130)))))</f>
        <v>3</v>
      </c>
      <c r="CG131" s="63">
        <f>IF(AND(CG128=1,CG129=13),13,IF(CG128&lt;=0,0,IF(WEEKDAY(CG$6,1)=1,0,MAX(0,CG129-10)*CG128))+((IF(CG128&lt;=0,0,IF(WEEKDAY(CG$6,1)=1,0,MIN(10,CG129)*CG128)))-MIN(IF(CG128&lt;=0,0,IF(WEEKDAY(CG$6,1)=1,0,MIN(10,CG129)*CG128)),MAX(0,40*MAX(1,CG128)-(CC130+CD130+CE130+CF130)))))</f>
        <v>13</v>
      </c>
      <c r="CH131" s="64">
        <f>IF(AND(CH128=1,CH129=13),13,IF(CH128&lt;=0,0,IF(WEEKDAY(CH$6,1)=1,0,MAX(0,CH129-10)*CH128))+((IF(CH128&lt;=0,0,IF(WEEKDAY(CH$6,1)=1,0,MIN(10,CH129)*CH128)))-MIN(IF(CH128&lt;=0,0,IF(WEEKDAY(CH$6,1)=1,0,MIN(10,CH129)*CH128)),MAX(0,40*MAX(1,CH128)-(CC130+CD130+CE130+CF130+CG130)))))</f>
        <v>13</v>
      </c>
      <c r="CI131" s="64">
        <f>IF(AND(CI128=1,CI129=13),0,IF(CI128&lt;=0,0,IF(WEEKDAY(CI$6,1)=1,0,MAX(0,CI129-10)*CI128))+((IF(CI128&lt;=0,0,IF(WEEKDAY(CI$6,1)=1,0,MIN(10,CI129)*CI128)))-MIN(IF(CI128&lt;=0,0,IF(WEEKDAY(CI$6,1)=1,0,MIN(10,CI129)*CI128)),MAX(0,40*MAX(1,CI128)-(CC130+CD130+CE130+CF130+CG130+CH130)))))</f>
        <v>0</v>
      </c>
      <c r="CJ131" s="63">
        <f>IF(AND(CJ128=1,CJ129=13),3,IF(CJ128&lt;=0,0,IF(WEEKDAY(CJ$6,1)=1,0,MAX(0,CJ129-10)*CJ128))+((IF(CJ128&lt;=0,0,IF(WEEKDAY(CJ$6,1)=1,0,MIN(10,CJ129)*CJ128)))-MIN(IF(CJ128&lt;=0,0,IF(WEEKDAY(CJ$6,1)=1,0,MIN(10,CJ129)*CJ128)),MAX(0,40*MAX(1,CJ128)-(0)))))</f>
        <v>3</v>
      </c>
      <c r="CK131" s="63">
        <f>IF(AND(CK128=1,CK129=13),3,IF(CK128&lt;=0,0,IF(WEEKDAY(CK$6,1)=1,0,MAX(0,CK129-10)*CK128))+((IF(CK128&lt;=0,0,IF(WEEKDAY(CK$6,1)=1,0,MIN(10,CK129)*CK128)))-MIN(IF(CK128&lt;=0,0,IF(WEEKDAY(CK$6,1)=1,0,MIN(10,CK129)*CK128)),MAX(0,40*MAX(1,CK128)-(CJ130)))))</f>
        <v>3</v>
      </c>
      <c r="CL131" s="63">
        <f>IF(AND(CL128=1,CL129=13),3,IF(CL128&lt;=0,0,IF(WEEKDAY(CL$6,1)=1,0,MAX(0,CL129-10)*CL128))+((IF(CL128&lt;=0,0,IF(WEEKDAY(CL$6,1)=1,0,MIN(10,CL129)*CL128)))-MIN(IF(CL128&lt;=0,0,IF(WEEKDAY(CL$6,1)=1,0,MIN(10,CL129)*CL128)),MAX(0,40*MAX(1,CL128)-(CJ130+CK130)))))</f>
        <v>3</v>
      </c>
      <c r="CM131" s="63">
        <f>IF(AND(CM128=1,CM129=13),3,IF(CM128&lt;=0,0,IF(WEEKDAY(CM$6,1)=1,0,MAX(0,CM129-10)*CM128))+((IF(CM128&lt;=0,0,IF(WEEKDAY(CM$6,1)=1,0,MIN(10,CM129)*CM128)))-MIN(IF(CM128&lt;=0,0,IF(WEEKDAY(CM$6,1)=1,0,MIN(10,CM129)*CM128)),MAX(0,40*MAX(1,CM128)-(CJ130+CK130+CL130)))))</f>
        <v>3</v>
      </c>
      <c r="CN131" s="63">
        <f>IF(AND(CN128=1,CN129=13),13,IF(CN128&lt;=0,0,IF(WEEKDAY(CN$6,1)=1,0,MAX(0,CN129-10)*CN128))+((IF(CN128&lt;=0,0,IF(WEEKDAY(CN$6,1)=1,0,MIN(10,CN129)*CN128)))-MIN(IF(CN128&lt;=0,0,IF(WEEKDAY(CN$6,1)=1,0,MIN(10,CN129)*CN128)),MAX(0,40*MAX(1,CN128)-(CJ130+CK130+CL130+CM130)))))</f>
        <v>13</v>
      </c>
      <c r="CO131" s="64">
        <f>IF(AND(CO128=1,CO129=13),13,IF(CO128&lt;=0,0,IF(WEEKDAY(CO$6,1)=1,0,MAX(0,CO129-10)*CO128))+((IF(CO128&lt;=0,0,IF(WEEKDAY(CO$6,1)=1,0,MIN(10,CO129)*CO128)))-MIN(IF(CO128&lt;=0,0,IF(WEEKDAY(CO$6,1)=1,0,MIN(10,CO129)*CO128)),MAX(0,40*MAX(1,CO128)-(CJ130+CK130+CL130+CM130+CN130)))))</f>
        <v>13</v>
      </c>
      <c r="CP131" s="64">
        <f>IF(AND(CP128=0,CP129=0),0,IF(CP128&lt;=0,0,IF(WEEKDAY(CP$6,1)=1,0,MAX(0,CP129-10)*CP128))+((IF(CP128&lt;=0,0,IF(WEEKDAY(CP$6,1)=1,0,MIN(10,CP129)*CP128)))-MIN(IF(CP128&lt;=0,0,IF(WEEKDAY(CP$6,1)=1,0,MIN(10,CP129)*CP128)),MAX(0,40*MAX(1,CP128)-(0)))))</f>
        <v>0</v>
      </c>
      <c r="CQ131" s="63">
        <f>IF(AND(CQ128=1,CQ129=13),3,IF(CQ128&lt;=0,0,IF(WEEKDAY(CQ$6,1)=1,0,MAX(0,CQ129-10)*CQ128))+((IF(CQ128&lt;=0,0,IF(WEEKDAY(CQ$6,1)=1,0,MIN(10,CQ129)*CQ128)))-MIN(IF(CQ128&lt;=0,0,IF(WEEKDAY(CQ$6,1)=1,0,MIN(10,CQ129)*CQ128)),MAX(0,40*MAX(1,CQ128)-(0)))))</f>
        <v>3</v>
      </c>
      <c r="CR131" s="63">
        <f>IF(AND(CR128=1,CR129=13),3,IF(CR128&lt;=0,0,IF(WEEKDAY(CR$6,1)=1,0,MAX(0,CR129-10)*CR128))+((IF(CR128&lt;=0,0,IF(WEEKDAY(CR$6,1)=1,0,MIN(10,CR129)*CR128)))-MIN(IF(CR128&lt;=0,0,IF(WEEKDAY(CR$6,1)=1,0,MIN(10,CR129)*CR128)),MAX(0,40*MAX(1,CR128)-(CQ130)))))</f>
        <v>3</v>
      </c>
      <c r="CS131" s="63">
        <f>IF(AND(CS128=1,CS129=13),3,IF(CS128&lt;=0,0,IF(WEEKDAY(CS$6,1)=1,0,MAX(0,CS129-10)*CS128))+((IF(CS128&lt;=0,0,IF(WEEKDAY(CS$6,1)=1,0,MIN(10,CS129)*CS128)))-MIN(IF(CS128&lt;=0,0,IF(WEEKDAY(CS$6,1)=1,0,MIN(10,CS129)*CS128)),MAX(0,40*MAX(1,CS128)-(CQ130+CR130)))))</f>
        <v>3</v>
      </c>
      <c r="CT131" s="63">
        <f>IF(AND(CT128=1,CT129=13),3,IF(CT128&lt;=0,0,IF(WEEKDAY(CT$6,1)=1,0,MAX(0,CT129-10)*CT128))+((IF(CT128&lt;=0,0,IF(WEEKDAY(CT$6,1)=1,0,MIN(10,CT129)*CT128)))-MIN(IF(CT128&lt;=0,0,IF(WEEKDAY(CT$6,1)=1,0,MIN(10,CT129)*CT128)),MAX(0,40*MAX(1,CT128)-(CQ130+CR130+CS130)))))</f>
        <v>3</v>
      </c>
      <c r="CU131" s="63">
        <f>IF(AND(CU128=1,CU129=13),13,IF(CU128&lt;=0,0,IF(WEEKDAY(CU$6,1)=1,0,MAX(0,CU129-10)*CU128))+((IF(CU128&lt;=0,0,IF(WEEKDAY(CU$6,1)=1,0,MIN(10,CU129)*CU128)))-MIN(IF(CU128&lt;=0,0,IF(WEEKDAY(CU$6,1)=1,0,MIN(10,CU129)*CU128)),MAX(0,40*MAX(1,CU128)-(CQ130+CR130+CS130+CT130)))))</f>
        <v>13</v>
      </c>
      <c r="CV131" s="64">
        <f>IF(AND(CV128=1,CV129=13),13,IF(CV128&lt;=0,0,IF(WEEKDAY(CV$6,1)=1,0,MAX(0,CV129-10)*CV128))+((IF(CV128&lt;=0,0,IF(WEEKDAY(CV$6,1)=1,0,MIN(10,CV129)*CV128)))-MIN(IF(CV128&lt;=0,0,IF(WEEKDAY(CV$6,1)=1,0,MIN(10,CV129)*CV128)),MAX(0,40*MAX(1,CV128)-(CQ130+CR130+CS130+CT130+CU130)))))</f>
        <v>13</v>
      </c>
      <c r="CW131" s="64">
        <f>IF(AND(CW128=1,CW129=13),0,IF(CW128&lt;=0,0,IF(WEEKDAY(CW$6,1)=1,0,MAX(0,CW129-10)*CW128))+((IF(CW128&lt;=0,0,IF(WEEKDAY(CW$6,1)=1,0,MIN(10,CW129)*CW128)))-MIN(IF(CW128&lt;=0,0,IF(WEEKDAY(CW$6,1)=1,0,MIN(10,CW129)*CW128)),MAX(0,40*MAX(1,CW128)-(CQ130+CR130+CS130+CT130+CU130+CV130)))))</f>
        <v>0</v>
      </c>
      <c r="CX131" s="63">
        <f>IF(AND(CX128=1,CX129=13),3,IF(CX128&lt;=0,0,IF(WEEKDAY(CX$6,1)=1,0,MAX(0,CX129-10)*CX128))+((IF(CX128&lt;=0,0,IF(WEEKDAY(CX$6,1)=1,0,MIN(10,CX129)*CX128)))-MIN(IF(CX128&lt;=0,0,IF(WEEKDAY(CX$6,1)=1,0,MIN(10,CX129)*CX128)),MAX(0,40*MAX(1,CX128)-(0)))))</f>
        <v>3</v>
      </c>
      <c r="CY131" s="63">
        <f>IF(AND(CY128=1,CY129=13),3,IF(CY128&lt;=0,0,IF(WEEKDAY(CY$6,1)=1,0,MAX(0,CY129-10)*CY128))+((IF(CY128&lt;=0,0,IF(WEEKDAY(CY$6,1)=1,0,MIN(10,CY129)*CY128)))-MIN(IF(CY128&lt;=0,0,IF(WEEKDAY(CY$6,1)=1,0,MIN(10,CY129)*CY128)),MAX(0,40*MAX(1,CY128)-(CX130)))))</f>
        <v>3</v>
      </c>
      <c r="CZ131" s="63">
        <f>IF(AND(CZ128=1,CZ129=13),3,IF(CZ128&lt;=0,0,IF(WEEKDAY(CZ$6,1)=1,0,MAX(0,CZ129-10)*CZ128))+((IF(CZ128&lt;=0,0,IF(WEEKDAY(CZ$6,1)=1,0,MIN(10,CZ129)*CZ128)))-MIN(IF(CZ128&lt;=0,0,IF(WEEKDAY(CZ$6,1)=1,0,MIN(10,CZ129)*CZ128)),MAX(0,40*MAX(1,CZ128)-(CX130+CY130)))))</f>
        <v>3</v>
      </c>
      <c r="DA131" s="63">
        <f>IF(AND(DA128=1,DA129=13),3,IF(DA128&lt;=0,0,IF(WEEKDAY(DA$6,1)=1,0,MAX(0,DA129-10)*DA128))+((IF(DA128&lt;=0,0,IF(WEEKDAY(DA$6,1)=1,0,MIN(10,DA129)*DA128)))-MIN(IF(DA128&lt;=0,0,IF(WEEKDAY(DA$6,1)=1,0,MIN(10,DA129)*DA128)),MAX(0,40*MAX(1,DA128)-(CX130+CY130+CZ130)))))</f>
        <v>3</v>
      </c>
      <c r="DB131" s="63">
        <f>IF(AND(DB128=1,DB129=13),13,IF(DB128&lt;=0,0,IF(WEEKDAY(DB$6,1)=1,0,MAX(0,DB129-10)*DB128))+((IF(DB128&lt;=0,0,IF(WEEKDAY(DB$6,1)=1,0,MIN(10,DB129)*DB128)))-MIN(IF(DB128&lt;=0,0,IF(WEEKDAY(DB$6,1)=1,0,MIN(10,DB129)*DB128)),MAX(0,40*MAX(1,DB128)-(CX130+CY130+CZ130+DA130)))))</f>
        <v>13</v>
      </c>
      <c r="DC131" s="64">
        <f>IF(AND(DC128=1,DC129=13),13,IF(DC128&lt;=0,0,IF(WEEKDAY(DC$6,1)=1,0,MAX(0,DC129-10)*DC128))+((IF(DC128&lt;=0,0,IF(WEEKDAY(DC$6,1)=1,0,MIN(10,DC129)*DC128)))-MIN(IF(DC128&lt;=0,0,IF(WEEKDAY(DC$6,1)=1,0,MIN(10,DC129)*DC128)),MAX(0,40*MAX(1,DC128)-(CX130+CY130+CZ130+DA130+DB130)))))</f>
        <v>13</v>
      </c>
      <c r="DD131" s="64">
        <f>IF(AND(DD128=1,DD129=13),0,IF(DD128&lt;=0,0,IF(WEEKDAY(DD$6,1)=1,0,MAX(0,DD129-10)*DD128))+((IF(DD128&lt;=0,0,IF(WEEKDAY(DD$6,1)=1,0,MIN(10,DD129)*DD128)))-MIN(IF(DD128&lt;=0,0,IF(WEEKDAY(DD$6,1)=1,0,MIN(10,DD129)*DD128)),MAX(0,40*MAX(1,DD128)-(0)))))</f>
        <v>0</v>
      </c>
      <c r="DE131" s="63">
        <f>IF(AND(DE128=1,DE129=13),3,IF(DE128&lt;=0,0,IF(WEEKDAY(DE$6,1)=1,0,MAX(0,DE129-10)*DE128))+((IF(DE128&lt;=0,0,IF(WEEKDAY(DE$6,1)=1,0,MIN(10,DE129)*DE128)))-MIN(IF(DE128&lt;=0,0,IF(WEEKDAY(DE$6,1)=1,0,MIN(10,DE129)*DE128)),MAX(0,40*MAX(1,DE128)-(0)))))</f>
        <v>3</v>
      </c>
      <c r="DF131" s="63">
        <f>IF(AND(DF128=1,DF129=13),3,IF(DF128&lt;=0,0,IF(WEEKDAY(DF$6,1)=1,0,MAX(0,DF129-10)*DF128))+((IF(DF128&lt;=0,0,IF(WEEKDAY(DF$6,1)=1,0,MIN(10,DF129)*DF128)))-MIN(IF(DF128&lt;=0,0,IF(WEEKDAY(DF$6,1)=1,0,MIN(10,DF129)*DF128)),MAX(0,40*MAX(1,DF128)-(DE130)))))</f>
        <v>3</v>
      </c>
      <c r="DG131" s="63">
        <f>IF(AND(DG128=1,DG129=13),3,IF(DG128&lt;=0,0,IF(WEEKDAY(DG$6,1)=1,0,MAX(0,DG129-10)*DG128))+((IF(DG128&lt;=0,0,IF(WEEKDAY(DG$6,1)=1,0,MIN(10,DG129)*DG128)))-MIN(IF(DG128&lt;=0,0,IF(WEEKDAY(DG$6,1)=1,0,MIN(10,DG129)*DG128)),MAX(0,40*MAX(1,DG128)-(DE130+DF130)))))</f>
        <v>3</v>
      </c>
      <c r="DH131" s="63">
        <f>IF(AND(DH128=1,DH129=13),3,IF(DH128&lt;=0,0,IF(WEEKDAY(DH$6,1)=1,0,MAX(0,DH129-10)*DH128))+((IF(DH128&lt;=0,0,IF(WEEKDAY(DH$6,1)=1,0,MIN(10,DH129)*DH128)))-MIN(IF(DH128&lt;=0,0,IF(WEEKDAY(DH$6,1)=1,0,MIN(10,DH129)*DH128)),MAX(0,40*MAX(1,DH128)-(DE130+DF130+DG130)))))</f>
        <v>3</v>
      </c>
      <c r="DI131" s="63">
        <f>IF(AND(DI128=1,DI129=13),13,IF(DI128&lt;=0,0,IF(WEEKDAY(DI$6,1)=1,0,MAX(0,DI129-10)*DI128))+((IF(DI128&lt;=0,0,IF(WEEKDAY(DI$6,1)=1,0,MIN(10,DI129)*DI128)))-MIN(IF(DI128&lt;=0,0,IF(WEEKDAY(DI$6,1)=1,0,MIN(10,DI129)*DI128)),MAX(0,40*MAX(1,DI128)-(DE130+DF130+DG130+DH130)))))</f>
        <v>13</v>
      </c>
      <c r="DJ131" s="64">
        <f>IF(AND(DJ128=1,DJ129=13),13,IF(DJ128&lt;=0,0,IF(WEEKDAY(DJ$6,1)=1,0,MAX(0,DJ129-10)*DJ128))+((IF(DJ128&lt;=0,0,IF(WEEKDAY(DJ$6,1)=1,0,MIN(10,DJ129)*DJ128)))-MIN(IF(DJ128&lt;=0,0,IF(WEEKDAY(DJ$6,1)=1,0,MIN(10,DJ129)*DJ128)),MAX(0,40*MAX(1,DJ128)-(DE130+DF130+DG130+DH130+DI130)))))</f>
        <v>13</v>
      </c>
      <c r="DK131" s="64">
        <f>IF(AND(DK128=1,DK129=13),0,IF(DK128&lt;=0,0,IF(WEEKDAY(DK$6,1)=1,0,MAX(0,DK129-10)*DK128))+((IF(DK128&lt;=0,0,IF(WEEKDAY(DK$6,1)=1,0,MIN(10,DK129)*DK128)))-MIN(IF(DK128&lt;=0,0,IF(WEEKDAY(DK$6,1)=1,0,MIN(10,DK129)*DK128)),MAX(0,40*MAX(1,DK128)-(DE130+DF130+DG130+DH130+DI130+DJ130)))))</f>
        <v>0</v>
      </c>
      <c r="DL131" s="63">
        <f>IF(AND(DL128=1,DL129=13),3,IF(DL128&lt;=0,0,IF(WEEKDAY(DL$6,1)=1,0,MAX(0,DL129-10)*DL128))+((IF(DL128&lt;=0,0,IF(WEEKDAY(DL$6,1)=1,0,MIN(10,DL129)*DL128)))-MIN(IF(DL128&lt;=0,0,IF(WEEKDAY(DL$6,1)=1,0,MIN(10,DL129)*DL128)),MAX(0,40*MAX(1,DL128)-(0)))))</f>
        <v>3</v>
      </c>
      <c r="DM131" s="63">
        <f>IF(AND(DM128=1,DM129=13),3,IF(DM128&lt;=0,0,IF(WEEKDAY(DM$6,1)=1,0,MAX(0,DM129-10)*DM128))+((IF(DM128&lt;=0,0,IF(WEEKDAY(DM$6,1)=1,0,MIN(10,DM129)*DM128)))-MIN(IF(DM128&lt;=0,0,IF(WEEKDAY(DM$6,1)=1,0,MIN(10,DM129)*DM128)),MAX(0,40*MAX(1,DM128)-(DL130)))))</f>
        <v>3</v>
      </c>
      <c r="DN131" s="63">
        <f>IF(AND(DN128=1,DN129=13),3,IF(DN128&lt;=0,0,IF(WEEKDAY(DN$6,1)=1,0,MAX(0,DN129-10)*DN128))+((IF(DN128&lt;=0,0,IF(WEEKDAY(DN$6,1)=1,0,MIN(10,DN129)*DN128)))-MIN(IF(DN128&lt;=0,0,IF(WEEKDAY(DN$6,1)=1,0,MIN(10,DN129)*DN128)),MAX(0,40*MAX(1,DN128)-(DL130+DM130)))))</f>
        <v>3</v>
      </c>
      <c r="DO131" s="63">
        <f>IF(AND(DO128=1,DO129=13),3,IF(DO128&lt;=0,0,IF(WEEKDAY(DO$6,1)=1,0,MAX(0,DO129-10)*DO128))+((IF(DO128&lt;=0,0,IF(WEEKDAY(DO$6,1)=1,0,MIN(10,DO129)*DO128)))-MIN(IF(DO128&lt;=0,0,IF(WEEKDAY(DO$6,1)=1,0,MIN(10,DO129)*DO128)),MAX(0,40*MAX(1,DO128)-(DL130+DM130+DN130)))))</f>
        <v>3</v>
      </c>
      <c r="DP131" s="63">
        <f>IF(AND(DP128=1,DP129=13),13,IF(DP128&lt;=0,0,IF(WEEKDAY(DP$6,1)=1,0,MAX(0,DP129-10)*DP128))+((IF(DP128&lt;=0,0,IF(WEEKDAY(DP$6,1)=1,0,MIN(10,DP129)*DP128)))-MIN(IF(DP128&lt;=0,0,IF(WEEKDAY(DP$6,1)=1,0,MIN(10,DP129)*DP128)),MAX(0,40*MAX(1,DP128)-(DL130+DM130+DN130+DO130)))))</f>
        <v>13</v>
      </c>
      <c r="DQ131" s="64">
        <f>IF(AND(DQ128=1,DQ129=13),13,IF(DQ128&lt;=0,0,IF(WEEKDAY(DQ$6,1)=1,0,MAX(0,DQ129-10)*DQ128))+((IF(DQ128&lt;=0,0,IF(WEEKDAY(DQ$6,1)=1,0,MIN(10,DQ129)*DQ128)))-MIN(IF(DQ128&lt;=0,0,IF(WEEKDAY(DQ$6,1)=1,0,MIN(10,DQ129)*DQ128)),MAX(0,40*MAX(1,DQ128)-(DL130+DM130+DN130+DO130+DP130)))))</f>
        <v>13</v>
      </c>
      <c r="DR131" s="64">
        <f>IF(AND(DR128=1,DR129=13),0,IF(DR128&lt;=0,0,IF(WEEKDAY(DR$6,1)=1,0,MAX(0,DR129-10)*DR128))+((IF(DR128&lt;=0,0,IF(WEEKDAY(DR$6,1)=1,0,MIN(10,DR129)*DR128)))-MIN(IF(DR128&lt;=0,0,IF(WEEKDAY(DR$6,1)=1,0,MIN(10,DR129)*DR128)),MAX(0,40*MAX(1,DR128)-(DL130+DM130+DN130+DO130+DP130+DQ130)))))</f>
        <v>0</v>
      </c>
      <c r="DS131" s="63">
        <f>IF(AND(DS128=1,DS129=13),3,IF(DS128&lt;=0,0,IF(WEEKDAY(DS$6,1)=1,0,MAX(0,DS129-10)*DS128))+((IF(DS128&lt;=0,0,IF(WEEKDAY(DS$6,1)=1,0,MIN(10,DS129)*DS128)))-MIN(IF(DS128&lt;=0,0,IF(WEEKDAY(DS$6,1)=1,0,MIN(10,DS129)*DS128)),MAX(0,40*MAX(1,DS128)-(0)))))</f>
        <v>3</v>
      </c>
      <c r="DT131" s="63">
        <f>IF(AND(DT128=1,DT129=8),0,IF(DT128&lt;=0,0,IF(WEEKDAY(DT$6,1)=1,0,MAX(0,DT129-8)*DT128))+((IF(DT128&lt;=0,0,IF(WEEKDAY(DT$6,1)=1,0,MIN(8,DT129)*DT128)))-MIN(IF(DT128&lt;=0,0,IF(WEEKDAY(DT$6,1)=1,0,MIN(8,DT129)*DT128)),MAX(0,40*MAX(1,DT128)-(0)))))</f>
        <v>0</v>
      </c>
      <c r="DU131" s="63">
        <f>IF(AND(DU128=1,DU129=8),0,IF(DU128&lt;=0,0,IF(WEEKDAY(DU$6,1)=1,0,MAX(0,DU129-8)*DU128))+((IF(DU128&lt;=0,0,IF(WEEKDAY(DU$6,1)=1,0,MIN(8,DU129)*DU128)))-MIN(IF(DU128&lt;=0,0,IF(WEEKDAY(DU$6,1)=1,0,MIN(8,DU129)*DU128)),MAX(0,40*MAX(1,DU128)-(DT130)))))</f>
        <v>0</v>
      </c>
      <c r="DV131" s="63">
        <f>IF(AND(DV128=1,DV129=8),0,IF(DV128&lt;=0,0,IF(WEEKDAY(DV$6,1)=1,0,MAX(0,DV129-8)*DV128))+((IF(DV128&lt;=0,0,IF(WEEKDAY(DV$6,1)=1,0,MIN(8,DV129)*DV128)))-MIN(IF(DV128&lt;=0,0,IF(WEEKDAY(DV$6,1)=1,0,MIN(8,DV129)*DV128)),MAX(0,40*MAX(1,DV128)-(DT130+DU130)))))</f>
        <v>0</v>
      </c>
      <c r="DW131" s="63">
        <f>IF(AND(DW128=1,DW129=8),0,IF(DW128&lt;=0,0,IF(WEEKDAY(DW$6,1)=1,0,MAX(0,DW129-8)*DW128))+((IF(DW128&lt;=0,0,IF(WEEKDAY(DW$6,1)=1,0,MIN(8,DW129)*DW128)))-MIN(IF(DW128&lt;=0,0,IF(WEEKDAY(DW$6,1)=1,0,MIN(8,DW129)*DW128)),MAX(0,40*MAX(1,DW128)-(DT130+DU130+DV130)))))</f>
        <v>0</v>
      </c>
      <c r="DX131" s="64">
        <f>IF(AND(DX128=0,DX129=0),0,IF(DX128&lt;=0,0,IF(WEEKDAY(DX$6,1)=1,0,MAX(0,DX129-10)*DX128))+((IF(DX128&lt;=0,0,IF(WEEKDAY(DX$6,1)=1,0,MIN(10,DX129)*DX128)))-MIN(IF(DX128&lt;=0,0,IF(WEEKDAY(DX$6,1)=1,0,MIN(10,DX129)*DX128)),MAX(0,40*MAX(1,DX128)-(0)))))</f>
        <v>0</v>
      </c>
      <c r="DY131" s="64">
        <f>IF(AND(DY128=0,DY129=0),0,IF(DY128&lt;=0,0,IF(WEEKDAY(DY$6,1)=1,0,MAX(0,DY129-10)*DY128))+((IF(DY128&lt;=0,0,IF(WEEKDAY(DY$6,1)=1,0,MIN(10,DY129)*DY128)))-MIN(IF(DY128&lt;=0,0,IF(WEEKDAY(DY$6,1)=1,0,MIN(10,DY129)*DY128)),MAX(0,40*MAX(1,DY128)-(DX130)))))</f>
        <v>0</v>
      </c>
      <c r="DZ131" s="63">
        <f>IF(AND(DZ128=1,DZ129=8),0,IF(DZ128&lt;=0,0,IF(WEEKDAY(DZ$6,1)=1,0,MAX(0,DZ129-8)*DZ128))+((IF(DZ128&lt;=0,0,IF(WEEKDAY(DZ$6,1)=1,0,MIN(8,DZ129)*DZ128)))-MIN(IF(DZ128&lt;=0,0,IF(WEEKDAY(DZ$6,1)=1,0,MIN(8,DZ129)*DZ128)),MAX(0,40*MAX(1,DZ128)-(0)))))</f>
        <v>0</v>
      </c>
      <c r="EA131" s="63">
        <f>IF(AND(EA128=1,EA129=8),0,IF(EA128&lt;=0,0,IF(WEEKDAY(EA$6,1)=1,0,MAX(0,EA129-8)*EA128))+((IF(EA128&lt;=0,0,IF(WEEKDAY(EA$6,1)=1,0,MIN(8,EA129)*EA128)))-MIN(IF(EA128&lt;=0,0,IF(WEEKDAY(EA$6,1)=1,0,MIN(8,EA129)*EA128)),MAX(0,40*MAX(1,EA128)-(DZ130)))))</f>
        <v>0</v>
      </c>
      <c r="EB131" s="63">
        <f>IF(AND(EB128=1,EB129=8),0,IF(EB128&lt;=0,0,IF(WEEKDAY(EB$6,1)=1,0,MAX(0,EB129-8)*EB128))+((IF(EB128&lt;=0,0,IF(WEEKDAY(EB$6,1)=1,0,MIN(8,EB129)*EB128)))-MIN(IF(EB128&lt;=0,0,IF(WEEKDAY(EB$6,1)=1,0,MIN(8,EB129)*EB128)),MAX(0,40*MAX(1,EB128)-(DZ130+EA130)))))</f>
        <v>0</v>
      </c>
      <c r="EC131" s="63">
        <f>IF(AND(EC128=1,EC129=8),0,IF(EC128&lt;=0,0,IF(WEEKDAY(EC$6,1)=1,0,MAX(0,EC129-8)*EC128))+((IF(EC128&lt;=0,0,IF(WEEKDAY(EC$6,1)=1,0,MIN(8,EC129)*EC128)))-MIN(IF(EC128&lt;=0,0,IF(WEEKDAY(EC$6,1)=1,0,MIN(8,EC129)*EC128)),MAX(0,40*MAX(1,EC128)-(DZ130+EA130+EB130)))))</f>
        <v>0</v>
      </c>
      <c r="ED131" s="63">
        <f>IF(AND(ED128=1,ED129=8),0,IF(ED128&lt;=0,0,IF(WEEKDAY(ED$6,1)=1,0,MAX(0,ED129-8)*ED128))+((IF(ED128&lt;=0,0,IF(WEEKDAY(ED$6,1)=1,0,MIN(8,ED129)*ED128)))-MIN(IF(ED128&lt;=0,0,IF(WEEKDAY(ED$6,1)=1,0,MIN(8,ED129)*ED128)),MAX(0,40*MAX(1,ED128)-(DZ130+EA130+EB130+EC130)))))</f>
        <v>0</v>
      </c>
      <c r="EE131" s="64">
        <f>IF(AND(EE128=0,EE129=0),0,IF(EE128&lt;=0,0,IF(WEEKDAY(EE$6,1)=1,0,MAX(0,EE129-10)*EE128))+((IF(EE128&lt;=0,0,IF(WEEKDAY(EE$6,1)=1,0,MIN(10,EE129)*EE128)))-MIN(IF(EE128&lt;=0,0,IF(WEEKDAY(EE$6,1)=1,0,MIN(10,EE129)*EE128)),MAX(0,40*MAX(1,EE128)-(0)))))</f>
        <v>0</v>
      </c>
      <c r="EF131" s="64">
        <f>IF(AND(EF128=0,EF129=0),0,IF(EF128&lt;=0,0,IF(WEEKDAY(EF$6,1)=1,0,MAX(0,EF129-10)*EF128))+((IF(EF128&lt;=0,0,IF(WEEKDAY(EF$6,1)=1,0,MIN(10,EF129)*EF128)))-MIN(IF(EF128&lt;=0,0,IF(WEEKDAY(EF$6,1)=1,0,MIN(10,EF129)*EF128)),MAX(0,40*MAX(1,EF128)-(EE130)))))</f>
        <v>0</v>
      </c>
      <c r="EG131" s="63">
        <f>IF(AND(EG128=1,EG129=8),0,IF(EG128&lt;=0,0,IF(WEEKDAY(EG$6,1)=1,0,MAX(0,EG129-8)*EG128))+((IF(EG128&lt;=0,0,IF(WEEKDAY(EG$6,1)=1,0,MIN(8,EG129)*EG128)))-MIN(IF(EG128&lt;=0,0,IF(WEEKDAY(EG$6,1)=1,0,MIN(8,EG129)*EG128)),MAX(0,40*MAX(1,EG128)-(0)))))</f>
        <v>0</v>
      </c>
      <c r="EH131" s="63">
        <f>IF(AND(EH128=1,EH129=8),0,IF(EH128&lt;=0,0,IF(WEEKDAY(EH$6,1)=1,0,MAX(0,EH129-8)*EH128))+((IF(EH128&lt;=0,0,IF(WEEKDAY(EH$6,1)=1,0,MIN(8,EH129)*EH128)))-MIN(IF(EH128&lt;=0,0,IF(WEEKDAY(EH$6,1)=1,0,MIN(8,EH129)*EH128)),MAX(0,40*MAX(1,EH128)-(EG130)))))</f>
        <v>0</v>
      </c>
      <c r="EI131" s="63">
        <f>IF(AND(EI128=1,EI129=8),0,IF(EI128&lt;=0,0,IF(WEEKDAY(EI$6,1)=1,0,MAX(0,EI129-8)*EI128))+((IF(EI128&lt;=0,0,IF(WEEKDAY(EI$6,1)=1,0,MIN(8,EI129)*EI128)))-MIN(IF(EI128&lt;=0,0,IF(WEEKDAY(EI$6,1)=1,0,MIN(8,EI129)*EI128)),MAX(0,40*MAX(1,EI128)-(EG130+EH130)))))</f>
        <v>0</v>
      </c>
      <c r="EJ131" s="63">
        <f>IF(AND(EJ128=1,EJ129=8),0,IF(EJ128&lt;=0,0,IF(WEEKDAY(EJ$6,1)=1,0,MAX(0,EJ129-8)*EJ128))+((IF(EJ128&lt;=0,0,IF(WEEKDAY(EJ$6,1)=1,0,MIN(8,EJ129)*EJ128)))-MIN(IF(EJ128&lt;=0,0,IF(WEEKDAY(EJ$6,1)=1,0,MIN(8,EJ129)*EJ128)),MAX(0,40*MAX(1,EJ128)-(EG130+EH130+EI130)))))</f>
        <v>0</v>
      </c>
      <c r="EK131" s="65">
        <f>IF(AND(EK128=1,EK129=8),0,IF(EK128&lt;=0,0,IF(WEEKDAY(EK$6,1)=1,0,MAX(0,EK129-8)*EK128))+((IF(EK128&lt;=0,0,IF(WEEKDAY(EK$6,1)=1,0,MIN(8,EK129)*EK128)))-MIN(IF(EK128&lt;=0,0,IF(WEEKDAY(EK$6,1)=1,0,MIN(8,EK129)*EK128)),MAX(0,40*MAX(1,EK128)-(EG130+EH130+EI130+EJ130)))))</f>
        <v>0</v>
      </c>
      <c r="OU131" s="28" t="s">
        <v>90</v>
      </c>
    </row>
    <row r="132" ht="16" customHeight="1" spans="1:411" x14ac:dyDescent="0.25">
      <c r="A132" s="45"/>
      <c r="B132" s="46"/>
      <c r="C132" s="61">
        <f>H127*N(D132)</f>
        <v>17891.510000000002</v>
      </c>
      <c r="D132" s="61">
        <f>IF(TRIM(B127)="","No rate",IFERROR(INDEX('Rate Tables'!E$7:E$158,MATCH(B127,'Rate Tables'!A$7:A$158,0)),"No rate"))</f>
        <v>196.61</v>
      </c>
      <c r="E132" s="55" t="s">
        <v>64</v>
      </c>
      <c r="F132" s="49"/>
      <c r="G132" s="49"/>
      <c r="H132" s="49"/>
      <c r="I132" s="49"/>
      <c r="J132" s="50"/>
      <c r="K132" s="62">
        <f>IF(AND(K128=1,K129=8),0,IF(K128&lt;=0,0,IF(WEEKDAY(K$6,1)=1,K128*K129,0)))</f>
        <v>0</v>
      </c>
      <c r="L132" s="63">
        <f>IF(AND(L128=1,L129=8),0,IF(L128&lt;=0,0,IF(WEEKDAY(L$6,1)=1,L128*L129,0)))</f>
        <v>0</v>
      </c>
      <c r="M132" s="63">
        <f>IF(AND(M128=1,M129=8),0,IF(M128&lt;=0,0,IF(WEEKDAY(M$6,1)=1,M128*M129,0)))</f>
        <v>0</v>
      </c>
      <c r="N132" s="63">
        <f>IF(AND(N128=1,N129=8),0,IF(N128&lt;=0,0,IF(WEEKDAY(N$6,1)=1,N128*N129,0)))</f>
        <v>0</v>
      </c>
      <c r="O132" s="63">
        <f>IF(AND(O128=1,O129=8),0,IF(O128&lt;=0,0,IF(WEEKDAY(O$6,1)=1,O128*O129,0)))</f>
        <v>0</v>
      </c>
      <c r="P132" s="64">
        <f>IF(AND(P128=0,P129=0),0,IF(P128&lt;=0,0,IF(WEEKDAY(P$6,1)=1,P128*P129,0)))</f>
        <v>0</v>
      </c>
      <c r="Q132" s="64">
        <f>IF(AND(Q128=0,Q129=0),0,IF(Q128&lt;=0,0,IF(WEEKDAY(Q$6,1)=1,Q128*Q129,0)))</f>
        <v>0</v>
      </c>
      <c r="R132" s="63">
        <f>IF(AND(R128=1,R129=8),0,IF(R128&lt;=0,0,IF(WEEKDAY(R$6,1)=1,R128*R129,0)))</f>
        <v>0</v>
      </c>
      <c r="S132" s="63">
        <f>IF(AND(S128=1,S129=8),0,IF(S128&lt;=0,0,IF(WEEKDAY(S$6,1)=1,S128*S129,0)))</f>
        <v>0</v>
      </c>
      <c r="T132" s="63">
        <f>IF(AND(T128=1,T129=8),0,IF(T128&lt;=0,0,IF(WEEKDAY(T$6,1)=1,T128*T129,0)))</f>
        <v>0</v>
      </c>
      <c r="U132" s="63">
        <f>IF(AND(U128=1,U129=8),0,IF(U128&lt;=0,0,IF(WEEKDAY(U$6,1)=1,U128*U129,0)))</f>
        <v>0</v>
      </c>
      <c r="V132" s="63">
        <f>IF(AND(V128=1,V129=8),0,IF(V128&lt;=0,0,IF(WEEKDAY(V$6,1)=1,V128*V129,0)))</f>
        <v>0</v>
      </c>
      <c r="W132" s="64">
        <f>IF(AND(W128=0,W129=0),0,IF(W128&lt;=0,0,IF(WEEKDAY(W$6,1)=1,W128*W129,0)))</f>
        <v>0</v>
      </c>
      <c r="X132" s="64">
        <f>IF(AND(X128=0,X129=0),0,IF(X128&lt;=0,0,IF(WEEKDAY(X$6,1)=1,X128*X129,0)))</f>
        <v>0</v>
      </c>
      <c r="Y132" s="63">
        <f>IF(AND(Y128=1,Y129=8),0,IF(Y128&lt;=0,0,IF(WEEKDAY(Y$6,1)=1,Y128*Y129,0)))</f>
        <v>0</v>
      </c>
      <c r="Z132" s="63">
        <f>IF(AND(Z128=1,Z129=8),0,IF(Z128&lt;=0,0,IF(WEEKDAY(Z$6,1)=1,Z128*Z129,0)))</f>
        <v>0</v>
      </c>
      <c r="AA132" s="63">
        <f>IF(AND(AA128=1,AA129=8),0,IF(AA128&lt;=0,0,IF(WEEKDAY(AA$6,1)=1,AA128*AA129,0)))</f>
        <v>0</v>
      </c>
      <c r="AB132" s="63">
        <f>IF(AND(AB128=1,AB129=8),0,IF(AB128&lt;=0,0,IF(WEEKDAY(AB$6,1)=1,AB128*AB129,0)))</f>
        <v>0</v>
      </c>
      <c r="AC132" s="63">
        <f>IF(AND(AC128=1,AC129=8),0,IF(AC128&lt;=0,0,IF(WEEKDAY(AC$6,1)=1,AC128*AC129,0)))</f>
        <v>0</v>
      </c>
      <c r="AD132" s="64">
        <f>IF(AND(AD128=0,AD129=0),0,IF(AD128&lt;=0,0,IF(WEEKDAY(AD$6,1)=1,AD128*AD129,0)))</f>
        <v>0</v>
      </c>
      <c r="AE132" s="64">
        <f>IF(AND(AE128=0,AE129=0),0,IF(AE128&lt;=0,0,IF(WEEKDAY(AE$6,1)=1,AE128*AE129,0)))</f>
        <v>0</v>
      </c>
      <c r="AF132" s="63">
        <f>IF(AND(AF128=1,AF129=8),0,IF(AF128&lt;=0,0,IF(WEEKDAY(AF$6,1)=1,AF128*AF129,0)))</f>
        <v>0</v>
      </c>
      <c r="AG132" s="63">
        <f>IF(AND(AG128=1,AG129=8),0,IF(AG128&lt;=0,0,IF(WEEKDAY(AG$6,1)=1,AG128*AG129,0)))</f>
        <v>0</v>
      </c>
      <c r="AH132" s="63">
        <f>IF(AND(AH128=1,AH129=8),0,IF(AH128&lt;=0,0,IF(WEEKDAY(AH$6,1)=1,AH128*AH129,0)))</f>
        <v>0</v>
      </c>
      <c r="AI132" s="63">
        <f>IF(AND(AI128=1,AI129=8),0,IF(AI128&lt;=0,0,IF(WEEKDAY(AI$6,1)=1,AI128*AI129,0)))</f>
        <v>0</v>
      </c>
      <c r="AJ132" s="63">
        <f>IF(AND(AJ128=1,AJ129=8),0,IF(AJ128&lt;=0,0,IF(WEEKDAY(AJ$6,1)=1,AJ128*AJ129,0)))</f>
        <v>0</v>
      </c>
      <c r="AK132" s="64">
        <f>IF(AND(AK128=0,AK129=0),0,IF(AK128&lt;=0,0,IF(WEEKDAY(AK$6,1)=1,AK128*AK129,0)))</f>
        <v>0</v>
      </c>
      <c r="AL132" s="64">
        <f>IF(AND(AL128=0,AL129=0),0,IF(AL128&lt;=0,0,IF(WEEKDAY(AL$6,1)=1,AL128*AL129,0)))</f>
        <v>0</v>
      </c>
      <c r="AM132" s="63">
        <f>IF(AND(AM128=1,AM129=8),0,IF(AM128&lt;=0,0,IF(WEEKDAY(AM$6,1)=1,AM128*AM129,0)))</f>
        <v>0</v>
      </c>
      <c r="AN132" s="63">
        <f>IF(AND(AN128=1,AN129=8),0,IF(AN128&lt;=0,0,IF(WEEKDAY(AN$6,1)=1,AN128*AN129,0)))</f>
        <v>0</v>
      </c>
      <c r="AO132" s="63">
        <f>IF(AND(AO128=1,AO129=8),0,IF(AO128&lt;=0,0,IF(WEEKDAY(AO$6,1)=1,AO128*AO129,0)))</f>
        <v>0</v>
      </c>
      <c r="AP132" s="63">
        <f>IF(AND(AP128=1,AP129=8),0,IF(AP128&lt;=0,0,IF(WEEKDAY(AP$6,1)=1,AP128*AP129,0)))</f>
        <v>0</v>
      </c>
      <c r="AQ132" s="63">
        <f>IF(AND(AQ128=1,AQ129=8),0,IF(AQ128&lt;=0,0,IF(WEEKDAY(AQ$6,1)=1,AQ128*AQ129,0)))</f>
        <v>0</v>
      </c>
      <c r="AR132" s="64">
        <f>IF(AND(AR128=0,AR129=0),0,IF(AR128&lt;=0,0,IF(WEEKDAY(AR$6,1)=1,AR128*AR129,0)))</f>
        <v>0</v>
      </c>
      <c r="AS132" s="64">
        <f>IF(AND(AS128=0,AS129=0),0,IF(AS128&lt;=0,0,IF(WEEKDAY(AS$6,1)=1,AS128*AS129,0)))</f>
        <v>0</v>
      </c>
      <c r="AT132" s="63">
        <f>IF(AND(AT128=1,AT129=8),0,IF(AT128&lt;=0,0,IF(WEEKDAY(AT$6,1)=1,AT128*AT129,0)))</f>
        <v>0</v>
      </c>
      <c r="AU132" s="63">
        <f>IF(AND(AU128=1,AU129=8),0,IF(AU128&lt;=0,0,IF(WEEKDAY(AU$6,1)=1,AU128*AU129,0)))</f>
        <v>0</v>
      </c>
      <c r="AV132" s="63">
        <f>IF(AND(AV128=1,AV129=8),0,IF(AV128&lt;=0,0,IF(WEEKDAY(AV$6,1)=1,AV128*AV129,0)))</f>
        <v>0</v>
      </c>
      <c r="AW132" s="63">
        <f>IF(AND(AW128=1,AW129=8),0,IF(AW128&lt;=0,0,IF(WEEKDAY(AW$6,1)=1,AW128*AW129,0)))</f>
        <v>0</v>
      </c>
      <c r="AX132" s="63">
        <f>IF(AND(AX128=1,AX129=8),0,IF(AX128&lt;=0,0,IF(WEEKDAY(AX$6,1)=1,AX128*AX129,0)))</f>
        <v>0</v>
      </c>
      <c r="AY132" s="64">
        <f>IF(AND(AY128=0,AY129=0),0,IF(AY128&lt;=0,0,IF(WEEKDAY(AY$6,1)=1,AY128*AY129,0)))</f>
        <v>0</v>
      </c>
      <c r="AZ132" s="64">
        <f>IF(AND(AZ128=0,AZ129=0),0,IF(AZ128&lt;=0,0,IF(WEEKDAY(AZ$6,1)=1,AZ128*AZ129,0)))</f>
        <v>0</v>
      </c>
      <c r="BA132" s="63">
        <f>IF(AND(BA128=1,BA129=8),0,IF(BA128&lt;=0,0,IF(WEEKDAY(BA$6,1)=1,BA128*BA129,0)))</f>
        <v>0</v>
      </c>
      <c r="BB132" s="63">
        <f>IF(AND(BB128=1,BB129=8),0,IF(BB128&lt;=0,0,IF(WEEKDAY(BB$6,1)=1,BB128*BB129,0)))</f>
        <v>0</v>
      </c>
      <c r="BC132" s="63">
        <f>IF(AND(BC128=1,BC129=8),0,IF(BC128&lt;=0,0,IF(WEEKDAY(BC$6,1)=1,BC128*BC129,0)))</f>
        <v>0</v>
      </c>
      <c r="BD132" s="63">
        <f>IF(AND(BD128=1,BD129=8),0,IF(BD128&lt;=0,0,IF(WEEKDAY(BD$6,1)=1,BD128*BD129,0)))</f>
        <v>0</v>
      </c>
      <c r="BE132" s="63">
        <f>IF(AND(BE128=1,BE129=8),0,IF(BE128&lt;=0,0,IF(WEEKDAY(BE$6,1)=1,BE128*BE129,0)))</f>
        <v>0</v>
      </c>
      <c r="BF132" s="64">
        <f>IF(AND(BF128=0,BF129=0),0,IF(BF128&lt;=0,0,IF(WEEKDAY(BF$6,1)=1,BF128*BF129,0)))</f>
        <v>0</v>
      </c>
      <c r="BG132" s="64">
        <f>IF(AND(BG128=0,BG129=0),0,IF(BG128&lt;=0,0,IF(WEEKDAY(BG$6,1)=1,BG128*BG129,0)))</f>
        <v>0</v>
      </c>
      <c r="BH132" s="63">
        <f>IF(AND(BH128=1,BH129=13),0,IF(BH128&lt;=0,0,IF(WEEKDAY(BH$6,1)=1,BH128*BH129,0)))</f>
        <v>0</v>
      </c>
      <c r="BI132" s="63">
        <f>IF(AND(BI128=1,BI129=13),0,IF(BI128&lt;=0,0,IF(WEEKDAY(BI$6,1)=1,BI128*BI129,0)))</f>
        <v>0</v>
      </c>
      <c r="BJ132" s="63">
        <f>IF(AND(BJ128=1,BJ129=13),0,IF(BJ128&lt;=0,0,IF(WEEKDAY(BJ$6,1)=1,BJ128*BJ129,0)))</f>
        <v>0</v>
      </c>
      <c r="BK132" s="63">
        <f>IF(AND(BK128=1,BK129=13),0,IF(BK128&lt;=0,0,IF(WEEKDAY(BK$6,1)=1,BK128*BK129,0)))</f>
        <v>0</v>
      </c>
      <c r="BL132" s="63">
        <f>IF(AND(BL128=1,BL129=13),0,IF(BL128&lt;=0,0,IF(WEEKDAY(BL$6,1)=1,BL128*BL129,0)))</f>
        <v>0</v>
      </c>
      <c r="BM132" s="64">
        <f>IF(AND(BM128=1,BM129=13),0,IF(BM128&lt;=0,0,IF(WEEKDAY(BM$6,1)=1,BM128*BM129,0)))</f>
        <v>0</v>
      </c>
      <c r="BN132" s="64">
        <f>IF(AND(BN128=1,BN129=13),13,IF(BN128&lt;=0,0,IF(WEEKDAY(BN$6,1)=1,BN128*BN129,0)))</f>
        <v>13</v>
      </c>
      <c r="BO132" s="63">
        <f>IF(AND(BO128=1,BO129=13),0,IF(BO128&lt;=0,0,IF(WEEKDAY(BO$6,1)=1,BO128*BO129,0)))</f>
        <v>0</v>
      </c>
      <c r="BP132" s="63">
        <f>IF(AND(BP128=1,BP129=13),0,IF(BP128&lt;=0,0,IF(WEEKDAY(BP$6,1)=1,BP128*BP129,0)))</f>
        <v>0</v>
      </c>
      <c r="BQ132" s="63">
        <f>IF(AND(BQ128=1,BQ129=13),0,IF(BQ128&lt;=0,0,IF(WEEKDAY(BQ$6,1)=1,BQ128*BQ129,0)))</f>
        <v>0</v>
      </c>
      <c r="BR132" s="63">
        <f>IF(AND(BR128=1,BR129=13),0,IF(BR128&lt;=0,0,IF(WEEKDAY(BR$6,1)=1,BR128*BR129,0)))</f>
        <v>0</v>
      </c>
      <c r="BS132" s="63">
        <f>IF(AND(BS128=1,BS129=13),0,IF(BS128&lt;=0,0,IF(WEEKDAY(BS$6,1)=1,BS128*BS129,0)))</f>
        <v>0</v>
      </c>
      <c r="BT132" s="64">
        <f>IF(AND(BT128=1,BT129=13),0,IF(BT128&lt;=0,0,IF(WEEKDAY(BT$6,1)=1,BT128*BT129,0)))</f>
        <v>0</v>
      </c>
      <c r="BU132" s="64">
        <f>IF(AND(BU128=1,BU129=13),13,IF(BU128&lt;=0,0,IF(WEEKDAY(BU$6,1)=1,BU128*BU129,0)))</f>
        <v>13</v>
      </c>
      <c r="BV132" s="63">
        <f>IF(AND(BV128=1,BV129=13),0,IF(BV128&lt;=0,0,IF(WEEKDAY(BV$6,1)=1,BV128*BV129,0)))</f>
        <v>0</v>
      </c>
      <c r="BW132" s="63">
        <f>IF(AND(BW128=1,BW129=13),0,IF(BW128&lt;=0,0,IF(WEEKDAY(BW$6,1)=1,BW128*BW129,0)))</f>
        <v>0</v>
      </c>
      <c r="BX132" s="63">
        <f>IF(AND(BX128=1,BX129=13),0,IF(BX128&lt;=0,0,IF(WEEKDAY(BX$6,1)=1,BX128*BX129,0)))</f>
        <v>0</v>
      </c>
      <c r="BY132" s="63">
        <f>IF(AND(BY128=1,BY129=13),0,IF(BY128&lt;=0,0,IF(WEEKDAY(BY$6,1)=1,BY128*BY129,0)))</f>
        <v>0</v>
      </c>
      <c r="BZ132" s="63">
        <f>IF(AND(BZ128=1,BZ129=13),0,IF(BZ128&lt;=0,0,IF(WEEKDAY(BZ$6,1)=1,BZ128*BZ129,0)))</f>
        <v>0</v>
      </c>
      <c r="CA132" s="64">
        <f>IF(AND(CA128=1,CA129=13),0,IF(CA128&lt;=0,0,IF(WEEKDAY(CA$6,1)=1,CA128*CA129,0)))</f>
        <v>0</v>
      </c>
      <c r="CB132" s="64">
        <f>IF(AND(CB128=0,CB129=0),0,IF(CB128&lt;=0,0,IF(WEEKDAY(CB$6,1)=1,CB128*CB129,0)))</f>
        <v>0</v>
      </c>
      <c r="CC132" s="63">
        <f>IF(AND(CC128=1,CC129=13),0,IF(CC128&lt;=0,0,IF(WEEKDAY(CC$6,1)=1,CC128*CC129,0)))</f>
        <v>0</v>
      </c>
      <c r="CD132" s="63">
        <f>IF(AND(CD128=1,CD129=13),0,IF(CD128&lt;=0,0,IF(WEEKDAY(CD$6,1)=1,CD128*CD129,0)))</f>
        <v>0</v>
      </c>
      <c r="CE132" s="63">
        <f>IF(AND(CE128=1,CE129=13),0,IF(CE128&lt;=0,0,IF(WEEKDAY(CE$6,1)=1,CE128*CE129,0)))</f>
        <v>0</v>
      </c>
      <c r="CF132" s="63">
        <f>IF(AND(CF128=1,CF129=13),0,IF(CF128&lt;=0,0,IF(WEEKDAY(CF$6,1)=1,CF128*CF129,0)))</f>
        <v>0</v>
      </c>
      <c r="CG132" s="63">
        <f>IF(AND(CG128=1,CG129=13),0,IF(CG128&lt;=0,0,IF(WEEKDAY(CG$6,1)=1,CG128*CG129,0)))</f>
        <v>0</v>
      </c>
      <c r="CH132" s="64">
        <f>IF(AND(CH128=1,CH129=13),0,IF(CH128&lt;=0,0,IF(WEEKDAY(CH$6,1)=1,CH128*CH129,0)))</f>
        <v>0</v>
      </c>
      <c r="CI132" s="64">
        <f>IF(AND(CI128=1,CI129=13),13,IF(CI128&lt;=0,0,IF(WEEKDAY(CI$6,1)=1,CI128*CI129,0)))</f>
        <v>13</v>
      </c>
      <c r="CJ132" s="63">
        <f>IF(AND(CJ128=1,CJ129=13),0,IF(CJ128&lt;=0,0,IF(WEEKDAY(CJ$6,1)=1,CJ128*CJ129,0)))</f>
        <v>0</v>
      </c>
      <c r="CK132" s="63">
        <f>IF(AND(CK128=1,CK129=13),0,IF(CK128&lt;=0,0,IF(WEEKDAY(CK$6,1)=1,CK128*CK129,0)))</f>
        <v>0</v>
      </c>
      <c r="CL132" s="63">
        <f>IF(AND(CL128=1,CL129=13),0,IF(CL128&lt;=0,0,IF(WEEKDAY(CL$6,1)=1,CL128*CL129,0)))</f>
        <v>0</v>
      </c>
      <c r="CM132" s="63">
        <f>IF(AND(CM128=1,CM129=13),0,IF(CM128&lt;=0,0,IF(WEEKDAY(CM$6,1)=1,CM128*CM129,0)))</f>
        <v>0</v>
      </c>
      <c r="CN132" s="63">
        <f>IF(AND(CN128=1,CN129=13),0,IF(CN128&lt;=0,0,IF(WEEKDAY(CN$6,1)=1,CN128*CN129,0)))</f>
        <v>0</v>
      </c>
      <c r="CO132" s="64">
        <f>IF(AND(CO128=1,CO129=13),0,IF(CO128&lt;=0,0,IF(WEEKDAY(CO$6,1)=1,CO128*CO129,0)))</f>
        <v>0</v>
      </c>
      <c r="CP132" s="64">
        <f>IF(AND(CP128=0,CP129=0),0,IF(CP128&lt;=0,0,IF(WEEKDAY(CP$6,1)=1,CP128*CP129,0)))</f>
        <v>0</v>
      </c>
      <c r="CQ132" s="63">
        <f>IF(AND(CQ128=1,CQ129=13),0,IF(CQ128&lt;=0,0,IF(WEEKDAY(CQ$6,1)=1,CQ128*CQ129,0)))</f>
        <v>0</v>
      </c>
      <c r="CR132" s="63">
        <f>IF(AND(CR128=1,CR129=13),0,IF(CR128&lt;=0,0,IF(WEEKDAY(CR$6,1)=1,CR128*CR129,0)))</f>
        <v>0</v>
      </c>
      <c r="CS132" s="63">
        <f>IF(AND(CS128=1,CS129=13),0,IF(CS128&lt;=0,0,IF(WEEKDAY(CS$6,1)=1,CS128*CS129,0)))</f>
        <v>0</v>
      </c>
      <c r="CT132" s="63">
        <f>IF(AND(CT128=1,CT129=13),0,IF(CT128&lt;=0,0,IF(WEEKDAY(CT$6,1)=1,CT128*CT129,0)))</f>
        <v>0</v>
      </c>
      <c r="CU132" s="63">
        <f>IF(AND(CU128=1,CU129=13),0,IF(CU128&lt;=0,0,IF(WEEKDAY(CU$6,1)=1,CU128*CU129,0)))</f>
        <v>0</v>
      </c>
      <c r="CV132" s="64">
        <f>IF(AND(CV128=1,CV129=13),0,IF(CV128&lt;=0,0,IF(WEEKDAY(CV$6,1)=1,CV128*CV129,0)))</f>
        <v>0</v>
      </c>
      <c r="CW132" s="64">
        <f>IF(AND(CW128=1,CW129=13),13,IF(CW128&lt;=0,0,IF(WEEKDAY(CW$6,1)=1,CW128*CW129,0)))</f>
        <v>13</v>
      </c>
      <c r="CX132" s="63">
        <f>IF(AND(CX128=1,CX129=13),0,IF(CX128&lt;=0,0,IF(WEEKDAY(CX$6,1)=1,CX128*CX129,0)))</f>
        <v>0</v>
      </c>
      <c r="CY132" s="63">
        <f>IF(AND(CY128=1,CY129=13),0,IF(CY128&lt;=0,0,IF(WEEKDAY(CY$6,1)=1,CY128*CY129,0)))</f>
        <v>0</v>
      </c>
      <c r="CZ132" s="63">
        <f>IF(AND(CZ128=1,CZ129=13),0,IF(CZ128&lt;=0,0,IF(WEEKDAY(CZ$6,1)=1,CZ128*CZ129,0)))</f>
        <v>0</v>
      </c>
      <c r="DA132" s="63">
        <f>IF(AND(DA128=1,DA129=13),0,IF(DA128&lt;=0,0,IF(WEEKDAY(DA$6,1)=1,DA128*DA129,0)))</f>
        <v>0</v>
      </c>
      <c r="DB132" s="63">
        <f>IF(AND(DB128=1,DB129=13),0,IF(DB128&lt;=0,0,IF(WEEKDAY(DB$6,1)=1,DB128*DB129,0)))</f>
        <v>0</v>
      </c>
      <c r="DC132" s="64">
        <f>IF(AND(DC128=1,DC129=13),0,IF(DC128&lt;=0,0,IF(WEEKDAY(DC$6,1)=1,DC128*DC129,0)))</f>
        <v>0</v>
      </c>
      <c r="DD132" s="64">
        <f>IF(AND(DD128=1,DD129=13),13,IF(DD128&lt;=0,0,IF(WEEKDAY(DD$6,1)=1,DD128*DD129,0)))</f>
        <v>13</v>
      </c>
      <c r="DE132" s="63">
        <f>IF(AND(DE128=1,DE129=13),0,IF(DE128&lt;=0,0,IF(WEEKDAY(DE$6,1)=1,DE128*DE129,0)))</f>
        <v>0</v>
      </c>
      <c r="DF132" s="63">
        <f>IF(AND(DF128=1,DF129=13),0,IF(DF128&lt;=0,0,IF(WEEKDAY(DF$6,1)=1,DF128*DF129,0)))</f>
        <v>0</v>
      </c>
      <c r="DG132" s="63">
        <f>IF(AND(DG128=1,DG129=13),0,IF(DG128&lt;=0,0,IF(WEEKDAY(DG$6,1)=1,DG128*DG129,0)))</f>
        <v>0</v>
      </c>
      <c r="DH132" s="63">
        <f>IF(AND(DH128=1,DH129=13),0,IF(DH128&lt;=0,0,IF(WEEKDAY(DH$6,1)=1,DH128*DH129,0)))</f>
        <v>0</v>
      </c>
      <c r="DI132" s="63">
        <f>IF(AND(DI128=1,DI129=13),0,IF(DI128&lt;=0,0,IF(WEEKDAY(DI$6,1)=1,DI128*DI129,0)))</f>
        <v>0</v>
      </c>
      <c r="DJ132" s="64">
        <f>IF(AND(DJ128=1,DJ129=13),0,IF(DJ128&lt;=0,0,IF(WEEKDAY(DJ$6,1)=1,DJ128*DJ129,0)))</f>
        <v>0</v>
      </c>
      <c r="DK132" s="64">
        <f>IF(AND(DK128=1,DK129=13),13,IF(DK128&lt;=0,0,IF(WEEKDAY(DK$6,1)=1,DK128*DK129,0)))</f>
        <v>13</v>
      </c>
      <c r="DL132" s="63">
        <f>IF(AND(DL128=1,DL129=13),0,IF(DL128&lt;=0,0,IF(WEEKDAY(DL$6,1)=1,DL128*DL129,0)))</f>
        <v>0</v>
      </c>
      <c r="DM132" s="63">
        <f>IF(AND(DM128=1,DM129=13),0,IF(DM128&lt;=0,0,IF(WEEKDAY(DM$6,1)=1,DM128*DM129,0)))</f>
        <v>0</v>
      </c>
      <c r="DN132" s="63">
        <f>IF(AND(DN128=1,DN129=13),0,IF(DN128&lt;=0,0,IF(WEEKDAY(DN$6,1)=1,DN128*DN129,0)))</f>
        <v>0</v>
      </c>
      <c r="DO132" s="63">
        <f>IF(AND(DO128=1,DO129=13),0,IF(DO128&lt;=0,0,IF(WEEKDAY(DO$6,1)=1,DO128*DO129,0)))</f>
        <v>0</v>
      </c>
      <c r="DP132" s="63">
        <f>IF(AND(DP128=1,DP129=13),0,IF(DP128&lt;=0,0,IF(WEEKDAY(DP$6,1)=1,DP128*DP129,0)))</f>
        <v>0</v>
      </c>
      <c r="DQ132" s="64">
        <f>IF(AND(DQ128=1,DQ129=13),0,IF(DQ128&lt;=0,0,IF(WEEKDAY(DQ$6,1)=1,DQ128*DQ129,0)))</f>
        <v>0</v>
      </c>
      <c r="DR132" s="64">
        <f>IF(AND(DR128=1,DR129=13),13,IF(DR128&lt;=0,0,IF(WEEKDAY(DR$6,1)=1,DR128*DR129,0)))</f>
        <v>13</v>
      </c>
      <c r="DS132" s="63">
        <f>IF(AND(DS128=1,DS129=13),0,IF(DS128&lt;=0,0,IF(WEEKDAY(DS$6,1)=1,DS128*DS129,0)))</f>
        <v>0</v>
      </c>
      <c r="DT132" s="63">
        <f>IF(AND(DT128=1,DT129=8),0,IF(DT128&lt;=0,0,IF(WEEKDAY(DT$6,1)=1,DT128*DT129,0)))</f>
        <v>0</v>
      </c>
      <c r="DU132" s="63">
        <f>IF(AND(DU128=1,DU129=8),0,IF(DU128&lt;=0,0,IF(WEEKDAY(DU$6,1)=1,DU128*DU129,0)))</f>
        <v>0</v>
      </c>
      <c r="DV132" s="63">
        <f>IF(AND(DV128=1,DV129=8),0,IF(DV128&lt;=0,0,IF(WEEKDAY(DV$6,1)=1,DV128*DV129,0)))</f>
        <v>0</v>
      </c>
      <c r="DW132" s="63">
        <f>IF(AND(DW128=1,DW129=8),0,IF(DW128&lt;=0,0,IF(WEEKDAY(DW$6,1)=1,DW128*DW129,0)))</f>
        <v>0</v>
      </c>
      <c r="DX132" s="64">
        <f>IF(AND(DX128=0,DX129=0),0,IF(DX128&lt;=0,0,IF(WEEKDAY(DX$6,1)=1,DX128*DX129,0)))</f>
        <v>0</v>
      </c>
      <c r="DY132" s="64">
        <f>IF(AND(DY128=0,DY129=0),0,IF(DY128&lt;=0,0,IF(WEEKDAY(DY$6,1)=1,DY128*DY129,0)))</f>
        <v>0</v>
      </c>
      <c r="DZ132" s="63">
        <f>IF(AND(DZ128=1,DZ129=8),0,IF(DZ128&lt;=0,0,IF(WEEKDAY(DZ$6,1)=1,DZ128*DZ129,0)))</f>
        <v>0</v>
      </c>
      <c r="EA132" s="63">
        <f>IF(AND(EA128=1,EA129=8),0,IF(EA128&lt;=0,0,IF(WEEKDAY(EA$6,1)=1,EA128*EA129,0)))</f>
        <v>0</v>
      </c>
      <c r="EB132" s="63">
        <f>IF(AND(EB128=1,EB129=8),0,IF(EB128&lt;=0,0,IF(WEEKDAY(EB$6,1)=1,EB128*EB129,0)))</f>
        <v>0</v>
      </c>
      <c r="EC132" s="63">
        <f>IF(AND(EC128=1,EC129=8),0,IF(EC128&lt;=0,0,IF(WEEKDAY(EC$6,1)=1,EC128*EC129,0)))</f>
        <v>0</v>
      </c>
      <c r="ED132" s="63">
        <f>IF(AND(ED128=1,ED129=8),0,IF(ED128&lt;=0,0,IF(WEEKDAY(ED$6,1)=1,ED128*ED129,0)))</f>
        <v>0</v>
      </c>
      <c r="EE132" s="64">
        <f>IF(AND(EE128=0,EE129=0),0,IF(EE128&lt;=0,0,IF(WEEKDAY(EE$6,1)=1,EE128*EE129,0)))</f>
        <v>0</v>
      </c>
      <c r="EF132" s="64">
        <f>IF(AND(EF128=0,EF129=0),0,IF(EF128&lt;=0,0,IF(WEEKDAY(EF$6,1)=1,EF128*EF129,0)))</f>
        <v>0</v>
      </c>
      <c r="EG132" s="63">
        <f>IF(AND(EG128=1,EG129=8),0,IF(EG128&lt;=0,0,IF(WEEKDAY(EG$6,1)=1,EG128*EG129,0)))</f>
        <v>0</v>
      </c>
      <c r="EH132" s="63">
        <f>IF(AND(EH128=1,EH129=8),0,IF(EH128&lt;=0,0,IF(WEEKDAY(EH$6,1)=1,EH128*EH129,0)))</f>
        <v>0</v>
      </c>
      <c r="EI132" s="63">
        <f>IF(AND(EI128=1,EI129=8),0,IF(EI128&lt;=0,0,IF(WEEKDAY(EI$6,1)=1,EI128*EI129,0)))</f>
        <v>0</v>
      </c>
      <c r="EJ132" s="63">
        <f>IF(AND(EJ128=1,EJ129=8),0,IF(EJ128&lt;=0,0,IF(WEEKDAY(EJ$6,1)=1,EJ128*EJ129,0)))</f>
        <v>0</v>
      </c>
      <c r="EK132" s="65">
        <f>IF(AND(EK128=1,EK129=8),0,IF(EK128&lt;=0,0,IF(WEEKDAY(EK$6,1)=1,EK128*EK129,0)))</f>
        <v>0</v>
      </c>
      <c r="OU132" s="28" t="s">
        <v>90</v>
      </c>
    </row>
    <row r="133" ht="16" customHeight="1" spans="1:411" x14ac:dyDescent="0.25">
      <c r="A133" s="45"/>
      <c r="B133" s="46"/>
      <c r="C133" s="67">
        <f>I127*D133</f>
        <v>15540</v>
      </c>
      <c r="D133" s="67">
        <v>140</v>
      </c>
      <c r="E133" s="68" t="s">
        <v>65</v>
      </c>
      <c r="F133" s="49"/>
      <c r="G133" s="49"/>
      <c r="H133" s="49"/>
      <c r="I133" s="49"/>
      <c r="J133" s="50"/>
      <c r="K133" s="69">
        <v>1</v>
      </c>
      <c r="L133" s="70">
        <v>1</v>
      </c>
      <c r="M133" s="70">
        <v>1</v>
      </c>
      <c r="N133" s="70">
        <v>1</v>
      </c>
      <c r="O133" s="70">
        <v>1</v>
      </c>
      <c r="P133" s="71">
        <v>0</v>
      </c>
      <c r="Q133" s="71">
        <v>0</v>
      </c>
      <c r="R133" s="70">
        <v>1</v>
      </c>
      <c r="S133" s="70">
        <v>1</v>
      </c>
      <c r="T133" s="70">
        <v>1</v>
      </c>
      <c r="U133" s="70">
        <v>1</v>
      </c>
      <c r="V133" s="70">
        <v>1</v>
      </c>
      <c r="W133" s="71">
        <v>0</v>
      </c>
      <c r="X133" s="71">
        <v>0</v>
      </c>
      <c r="Y133" s="70">
        <v>1</v>
      </c>
      <c r="Z133" s="70">
        <v>1</v>
      </c>
      <c r="AA133" s="70">
        <v>1</v>
      </c>
      <c r="AB133" s="70">
        <v>1</v>
      </c>
      <c r="AC133" s="70">
        <v>1</v>
      </c>
      <c r="AD133" s="71">
        <v>0</v>
      </c>
      <c r="AE133" s="71">
        <v>0</v>
      </c>
      <c r="AF133" s="70">
        <v>1</v>
      </c>
      <c r="AG133" s="70">
        <v>1</v>
      </c>
      <c r="AH133" s="70">
        <v>1</v>
      </c>
      <c r="AI133" s="70">
        <v>1</v>
      </c>
      <c r="AJ133" s="70">
        <v>1</v>
      </c>
      <c r="AK133" s="71">
        <v>0</v>
      </c>
      <c r="AL133" s="71">
        <v>0</v>
      </c>
      <c r="AM133" s="70">
        <v>1</v>
      </c>
      <c r="AN133" s="70">
        <v>1</v>
      </c>
      <c r="AO133" s="70">
        <v>1</v>
      </c>
      <c r="AP133" s="70">
        <v>1</v>
      </c>
      <c r="AQ133" s="70">
        <v>1</v>
      </c>
      <c r="AR133" s="71">
        <v>0</v>
      </c>
      <c r="AS133" s="71">
        <v>0</v>
      </c>
      <c r="AT133" s="70">
        <v>1</v>
      </c>
      <c r="AU133" s="70">
        <v>1</v>
      </c>
      <c r="AV133" s="70">
        <v>1</v>
      </c>
      <c r="AW133" s="70">
        <v>1</v>
      </c>
      <c r="AX133" s="70">
        <v>1</v>
      </c>
      <c r="AY133" s="71">
        <v>0</v>
      </c>
      <c r="AZ133" s="71">
        <v>0</v>
      </c>
      <c r="BA133" s="70">
        <v>1</v>
      </c>
      <c r="BB133" s="70">
        <v>1</v>
      </c>
      <c r="BC133" s="70">
        <v>1</v>
      </c>
      <c r="BD133" s="70">
        <v>1</v>
      </c>
      <c r="BE133" s="70">
        <v>1</v>
      </c>
      <c r="BF133" s="71">
        <v>0</v>
      </c>
      <c r="BG133" s="71">
        <v>0</v>
      </c>
      <c r="BH133" s="70">
        <v>1</v>
      </c>
      <c r="BI133" s="70">
        <v>1</v>
      </c>
      <c r="BJ133" s="70">
        <v>1</v>
      </c>
      <c r="BK133" s="70">
        <v>1</v>
      </c>
      <c r="BL133" s="70">
        <v>1</v>
      </c>
      <c r="BM133" s="71">
        <v>1</v>
      </c>
      <c r="BN133" s="71">
        <v>1</v>
      </c>
      <c r="BO133" s="70">
        <v>1</v>
      </c>
      <c r="BP133" s="70">
        <v>1</v>
      </c>
      <c r="BQ133" s="70">
        <v>1</v>
      </c>
      <c r="BR133" s="70">
        <v>1</v>
      </c>
      <c r="BS133" s="70">
        <v>1</v>
      </c>
      <c r="BT133" s="71">
        <v>1</v>
      </c>
      <c r="BU133" s="71">
        <v>1</v>
      </c>
      <c r="BV133" s="70">
        <v>1</v>
      </c>
      <c r="BW133" s="70">
        <v>1</v>
      </c>
      <c r="BX133" s="70">
        <v>1</v>
      </c>
      <c r="BY133" s="70">
        <v>1</v>
      </c>
      <c r="BZ133" s="70">
        <v>1</v>
      </c>
      <c r="CA133" s="71">
        <v>1</v>
      </c>
      <c r="CB133" s="71">
        <v>0</v>
      </c>
      <c r="CC133" s="70">
        <v>1</v>
      </c>
      <c r="CD133" s="70">
        <v>1</v>
      </c>
      <c r="CE133" s="70">
        <v>1</v>
      </c>
      <c r="CF133" s="70">
        <v>1</v>
      </c>
      <c r="CG133" s="70">
        <v>1</v>
      </c>
      <c r="CH133" s="71">
        <v>1</v>
      </c>
      <c r="CI133" s="71">
        <v>1</v>
      </c>
      <c r="CJ133" s="70">
        <v>1</v>
      </c>
      <c r="CK133" s="70">
        <v>1</v>
      </c>
      <c r="CL133" s="70">
        <v>1</v>
      </c>
      <c r="CM133" s="70">
        <v>1</v>
      </c>
      <c r="CN133" s="70">
        <v>1</v>
      </c>
      <c r="CO133" s="71">
        <v>1</v>
      </c>
      <c r="CP133" s="71">
        <v>0</v>
      </c>
      <c r="CQ133" s="70">
        <v>1</v>
      </c>
      <c r="CR133" s="70">
        <v>1</v>
      </c>
      <c r="CS133" s="70">
        <v>1</v>
      </c>
      <c r="CT133" s="70">
        <v>1</v>
      </c>
      <c r="CU133" s="70">
        <v>1</v>
      </c>
      <c r="CV133" s="71">
        <v>1</v>
      </c>
      <c r="CW133" s="71">
        <v>1</v>
      </c>
      <c r="CX133" s="70">
        <v>1</v>
      </c>
      <c r="CY133" s="70">
        <v>1</v>
      </c>
      <c r="CZ133" s="70">
        <v>1</v>
      </c>
      <c r="DA133" s="70">
        <v>1</v>
      </c>
      <c r="DB133" s="70">
        <v>1</v>
      </c>
      <c r="DC133" s="71">
        <v>1</v>
      </c>
      <c r="DD133" s="71">
        <v>1</v>
      </c>
      <c r="DE133" s="70">
        <v>1</v>
      </c>
      <c r="DF133" s="70">
        <v>1</v>
      </c>
      <c r="DG133" s="70">
        <v>1</v>
      </c>
      <c r="DH133" s="70">
        <v>1</v>
      </c>
      <c r="DI133" s="70">
        <v>1</v>
      </c>
      <c r="DJ133" s="71">
        <v>1</v>
      </c>
      <c r="DK133" s="71">
        <v>1</v>
      </c>
      <c r="DL133" s="70">
        <v>1</v>
      </c>
      <c r="DM133" s="70">
        <v>1</v>
      </c>
      <c r="DN133" s="70">
        <v>1</v>
      </c>
      <c r="DO133" s="70">
        <v>1</v>
      </c>
      <c r="DP133" s="70">
        <v>1</v>
      </c>
      <c r="DQ133" s="71">
        <v>1</v>
      </c>
      <c r="DR133" s="71">
        <v>1</v>
      </c>
      <c r="DS133" s="70">
        <v>1</v>
      </c>
      <c r="DT133" s="70">
        <v>1</v>
      </c>
      <c r="DU133" s="70">
        <v>1</v>
      </c>
      <c r="DV133" s="70">
        <v>1</v>
      </c>
      <c r="DW133" s="70">
        <v>1</v>
      </c>
      <c r="DX133" s="71">
        <v>0</v>
      </c>
      <c r="DY133" s="71">
        <v>0</v>
      </c>
      <c r="DZ133" s="70">
        <v>1</v>
      </c>
      <c r="EA133" s="70">
        <v>1</v>
      </c>
      <c r="EB133" s="70">
        <v>1</v>
      </c>
      <c r="EC133" s="70">
        <v>1</v>
      </c>
      <c r="ED133" s="70">
        <v>1</v>
      </c>
      <c r="EE133" s="71">
        <v>0</v>
      </c>
      <c r="EF133" s="71">
        <v>0</v>
      </c>
      <c r="EG133" s="70">
        <v>1</v>
      </c>
      <c r="EH133" s="70">
        <v>1</v>
      </c>
      <c r="EI133" s="70">
        <v>1</v>
      </c>
      <c r="EJ133" s="70">
        <v>1</v>
      </c>
      <c r="EK133" s="72">
        <v>1</v>
      </c>
      <c r="OU133" s="60" t="s">
        <v>90</v>
      </c>
    </row>
    <row r="134" ht="8" customHeight="1" spans="1:14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3"/>
      <c r="CD134" s="73"/>
      <c r="CE134" s="73"/>
      <c r="CF134" s="73"/>
      <c r="CG134" s="73"/>
      <c r="CH134" s="73"/>
      <c r="CI134" s="73"/>
      <c r="CJ134" s="73"/>
      <c r="CK134" s="73"/>
      <c r="CL134" s="73"/>
      <c r="CM134" s="73"/>
      <c r="CN134" s="73"/>
      <c r="CO134" s="73"/>
      <c r="CP134" s="73"/>
      <c r="CQ134" s="73"/>
      <c r="CR134" s="73"/>
      <c r="CS134" s="73"/>
      <c r="CT134" s="73"/>
      <c r="CU134" s="73"/>
      <c r="CV134" s="73"/>
      <c r="CW134" s="73"/>
      <c r="CX134" s="73"/>
      <c r="CY134" s="73"/>
      <c r="CZ134" s="73"/>
      <c r="DA134" s="73"/>
      <c r="DB134" s="73"/>
      <c r="DC134" s="73"/>
      <c r="DD134" s="73"/>
      <c r="DE134" s="73"/>
      <c r="DF134" s="73"/>
      <c r="DG134" s="73"/>
      <c r="DH134" s="73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  <c r="DT134" s="73"/>
      <c r="DU134" s="73"/>
      <c r="DV134" s="73"/>
      <c r="DW134" s="73"/>
      <c r="DX134" s="73"/>
      <c r="DY134" s="73"/>
      <c r="DZ134" s="73"/>
      <c r="EA134" s="73"/>
      <c r="EB134" s="73"/>
      <c r="EC134" s="73"/>
      <c r="ED134" s="73"/>
      <c r="EE134" s="73"/>
      <c r="EF134" s="73"/>
      <c r="EG134" s="73"/>
      <c r="EH134" s="73"/>
      <c r="EI134" s="73"/>
      <c r="EJ134" s="73"/>
      <c r="EK134" s="73"/>
    </row>
    <row r="135" ht="16" customHeight="1" spans="1:411" x14ac:dyDescent="0.25">
      <c r="A135" s="45" t="s">
        <v>57</v>
      </c>
      <c r="B135" s="46" t="s">
        <v>91</v>
      </c>
      <c r="C135" s="47">
        <f>J135</f>
        <v>129613.96999999999</v>
      </c>
      <c r="D135" s="48"/>
      <c r="E135" s="48"/>
      <c r="F135" s="49">
        <f>SUM(K138:EK138)</f>
        <v>782</v>
      </c>
      <c r="G135" s="49">
        <f>SUM(K139:EK139)</f>
        <v>305</v>
      </c>
      <c r="H135" s="49">
        <f>SUM(K140:EK140)</f>
        <v>108</v>
      </c>
      <c r="I135" s="49">
        <f>SUM(K141:EK141)</f>
        <v>113</v>
      </c>
      <c r="J135" s="50">
        <f>C138+C139+C140</f>
        <v>129613.96999999999</v>
      </c>
      <c r="K135" s="51"/>
      <c r="L135" s="52"/>
      <c r="M135" s="52"/>
      <c r="N135" s="52"/>
      <c r="O135" s="52"/>
      <c r="P135" s="53"/>
      <c r="Q135" s="53"/>
      <c r="R135" s="52"/>
      <c r="S135" s="52"/>
      <c r="T135" s="52"/>
      <c r="U135" s="52"/>
      <c r="V135" s="52"/>
      <c r="W135" s="53"/>
      <c r="X135" s="53"/>
      <c r="Y135" s="52"/>
      <c r="Z135" s="52"/>
      <c r="AA135" s="52"/>
      <c r="AB135" s="52"/>
      <c r="AC135" s="52"/>
      <c r="AD135" s="53"/>
      <c r="AE135" s="53"/>
      <c r="AF135" s="52"/>
      <c r="AG135" s="52"/>
      <c r="AH135" s="52"/>
      <c r="AI135" s="52"/>
      <c r="AJ135" s="52"/>
      <c r="AK135" s="53"/>
      <c r="AL135" s="53"/>
      <c r="AM135" s="52"/>
      <c r="AN135" s="52"/>
      <c r="AO135" s="52"/>
      <c r="AP135" s="52"/>
      <c r="AQ135" s="52"/>
      <c r="AR135" s="53"/>
      <c r="AS135" s="53"/>
      <c r="AT135" s="52"/>
      <c r="AU135" s="52"/>
      <c r="AV135" s="52"/>
      <c r="AW135" s="52"/>
      <c r="AX135" s="52"/>
      <c r="AY135" s="53"/>
      <c r="AZ135" s="53"/>
      <c r="BA135" s="52"/>
      <c r="BB135" s="52"/>
      <c r="BC135" s="52"/>
      <c r="BD135" s="52"/>
      <c r="BE135" s="52"/>
      <c r="BF135" s="53"/>
      <c r="BG135" s="53"/>
      <c r="BH135" s="52"/>
      <c r="BI135" s="52"/>
      <c r="BJ135" s="52"/>
      <c r="BK135" s="52"/>
      <c r="BL135" s="52"/>
      <c r="BM135" s="53"/>
      <c r="BN135" s="53"/>
      <c r="BO135" s="52"/>
      <c r="BP135" s="52"/>
      <c r="BQ135" s="52"/>
      <c r="BR135" s="52"/>
      <c r="BS135" s="52"/>
      <c r="BT135" s="53"/>
      <c r="BU135" s="53"/>
      <c r="BV135" s="52"/>
      <c r="BW135" s="52"/>
      <c r="BX135" s="52"/>
      <c r="BY135" s="52"/>
      <c r="BZ135" s="52"/>
      <c r="CA135" s="53"/>
      <c r="CB135" s="53"/>
      <c r="CC135" s="52"/>
      <c r="CD135" s="52"/>
      <c r="CE135" s="52"/>
      <c r="CF135" s="52"/>
      <c r="CG135" s="52"/>
      <c r="CH135" s="53"/>
      <c r="CI135" s="53"/>
      <c r="CJ135" s="52"/>
      <c r="CK135" s="52"/>
      <c r="CL135" s="52"/>
      <c r="CM135" s="52"/>
      <c r="CN135" s="52"/>
      <c r="CO135" s="53"/>
      <c r="CP135" s="53"/>
      <c r="CQ135" s="52"/>
      <c r="CR135" s="52"/>
      <c r="CS135" s="52"/>
      <c r="CT135" s="52"/>
      <c r="CU135" s="52"/>
      <c r="CV135" s="53"/>
      <c r="CW135" s="53"/>
      <c r="CX135" s="52"/>
      <c r="CY135" s="52"/>
      <c r="CZ135" s="52"/>
      <c r="DA135" s="52"/>
      <c r="DB135" s="52"/>
      <c r="DC135" s="53"/>
      <c r="DD135" s="53"/>
      <c r="DE135" s="52"/>
      <c r="DF135" s="52"/>
      <c r="DG135" s="52"/>
      <c r="DH135" s="52"/>
      <c r="DI135" s="52"/>
      <c r="DJ135" s="53"/>
      <c r="DK135" s="53"/>
      <c r="DL135" s="52"/>
      <c r="DM135" s="52"/>
      <c r="DN135" s="52"/>
      <c r="DO135" s="52"/>
      <c r="DP135" s="52"/>
      <c r="DQ135" s="53"/>
      <c r="DR135" s="53"/>
      <c r="DS135" s="52"/>
      <c r="DT135" s="52"/>
      <c r="DU135" s="52"/>
      <c r="DV135" s="52"/>
      <c r="DW135" s="52"/>
      <c r="DX135" s="53"/>
      <c r="DY135" s="53"/>
      <c r="DZ135" s="52"/>
      <c r="EA135" s="52"/>
      <c r="EB135" s="52"/>
      <c r="EC135" s="52"/>
      <c r="ED135" s="52"/>
      <c r="EE135" s="53"/>
      <c r="EF135" s="53"/>
      <c r="EG135" s="52"/>
      <c r="EH135" s="52"/>
      <c r="EI135" s="52"/>
      <c r="EJ135" s="52"/>
      <c r="EK135" s="54"/>
      <c r="OU135" s="28" t="s">
        <v>92</v>
      </c>
    </row>
    <row r="136" ht="16" customHeight="1" spans="1:411" x14ac:dyDescent="0.25">
      <c r="A136" s="45"/>
      <c r="B136" s="46"/>
      <c r="C136" s="47"/>
      <c r="D136" s="48"/>
      <c r="E136" s="55" t="s">
        <v>60</v>
      </c>
      <c r="F136" s="49"/>
      <c r="G136" s="49"/>
      <c r="H136" s="49"/>
      <c r="I136" s="49"/>
      <c r="J136" s="50"/>
      <c r="K136" s="56">
        <v>1</v>
      </c>
      <c r="L136" s="57">
        <v>1</v>
      </c>
      <c r="M136" s="57">
        <v>1</v>
      </c>
      <c r="N136" s="57">
        <v>1</v>
      </c>
      <c r="O136" s="57">
        <v>1</v>
      </c>
      <c r="P136" s="58">
        <v>0</v>
      </c>
      <c r="Q136" s="58">
        <v>0</v>
      </c>
      <c r="R136" s="57">
        <v>1</v>
      </c>
      <c r="S136" s="57">
        <v>1</v>
      </c>
      <c r="T136" s="57">
        <v>1</v>
      </c>
      <c r="U136" s="57">
        <v>1</v>
      </c>
      <c r="V136" s="57">
        <v>1</v>
      </c>
      <c r="W136" s="58">
        <v>0</v>
      </c>
      <c r="X136" s="58">
        <v>0</v>
      </c>
      <c r="Y136" s="57">
        <v>1</v>
      </c>
      <c r="Z136" s="57">
        <v>1</v>
      </c>
      <c r="AA136" s="57">
        <v>1</v>
      </c>
      <c r="AB136" s="57">
        <v>1</v>
      </c>
      <c r="AC136" s="57">
        <v>1</v>
      </c>
      <c r="AD136" s="58">
        <v>0</v>
      </c>
      <c r="AE136" s="58">
        <v>0</v>
      </c>
      <c r="AF136" s="57">
        <v>1</v>
      </c>
      <c r="AG136" s="57">
        <v>1</v>
      </c>
      <c r="AH136" s="57">
        <v>1</v>
      </c>
      <c r="AI136" s="57">
        <v>1</v>
      </c>
      <c r="AJ136" s="57">
        <v>1</v>
      </c>
      <c r="AK136" s="58">
        <v>0</v>
      </c>
      <c r="AL136" s="58">
        <v>0</v>
      </c>
      <c r="AM136" s="57">
        <v>1</v>
      </c>
      <c r="AN136" s="57">
        <v>1</v>
      </c>
      <c r="AO136" s="57">
        <v>1</v>
      </c>
      <c r="AP136" s="57">
        <v>1</v>
      </c>
      <c r="AQ136" s="57">
        <v>1</v>
      </c>
      <c r="AR136" s="58">
        <v>0</v>
      </c>
      <c r="AS136" s="58">
        <v>0</v>
      </c>
      <c r="AT136" s="57">
        <v>1</v>
      </c>
      <c r="AU136" s="57">
        <v>1</v>
      </c>
      <c r="AV136" s="57">
        <v>1</v>
      </c>
      <c r="AW136" s="57">
        <v>1</v>
      </c>
      <c r="AX136" s="57">
        <v>1</v>
      </c>
      <c r="AY136" s="58">
        <v>0</v>
      </c>
      <c r="AZ136" s="58">
        <v>0</v>
      </c>
      <c r="BA136" s="57">
        <v>1</v>
      </c>
      <c r="BB136" s="57">
        <v>1</v>
      </c>
      <c r="BC136" s="57">
        <v>1</v>
      </c>
      <c r="BD136" s="57">
        <v>1</v>
      </c>
      <c r="BE136" s="57">
        <v>1</v>
      </c>
      <c r="BF136" s="58">
        <v>0</v>
      </c>
      <c r="BG136" s="58">
        <v>0</v>
      </c>
      <c r="BH136" s="57">
        <v>1</v>
      </c>
      <c r="BI136" s="57">
        <v>1</v>
      </c>
      <c r="BJ136" s="57">
        <v>1</v>
      </c>
      <c r="BK136" s="57">
        <v>1</v>
      </c>
      <c r="BL136" s="57">
        <v>1</v>
      </c>
      <c r="BM136" s="58">
        <v>1</v>
      </c>
      <c r="BN136" s="58">
        <v>1</v>
      </c>
      <c r="BO136" s="57">
        <v>1</v>
      </c>
      <c r="BP136" s="57">
        <v>1</v>
      </c>
      <c r="BQ136" s="57">
        <v>1</v>
      </c>
      <c r="BR136" s="57">
        <v>1</v>
      </c>
      <c r="BS136" s="57">
        <v>1</v>
      </c>
      <c r="BT136" s="58">
        <v>1</v>
      </c>
      <c r="BU136" s="58">
        <v>1</v>
      </c>
      <c r="BV136" s="57">
        <v>1</v>
      </c>
      <c r="BW136" s="57">
        <v>1</v>
      </c>
      <c r="BX136" s="57">
        <v>1</v>
      </c>
      <c r="BY136" s="57">
        <v>1</v>
      </c>
      <c r="BZ136" s="57">
        <v>1</v>
      </c>
      <c r="CA136" s="58">
        <v>1</v>
      </c>
      <c r="CB136" s="58">
        <v>1</v>
      </c>
      <c r="CC136" s="57">
        <v>1</v>
      </c>
      <c r="CD136" s="57">
        <v>1</v>
      </c>
      <c r="CE136" s="57">
        <v>1</v>
      </c>
      <c r="CF136" s="57">
        <v>1</v>
      </c>
      <c r="CG136" s="57">
        <v>1</v>
      </c>
      <c r="CH136" s="58">
        <v>1</v>
      </c>
      <c r="CI136" s="58">
        <v>1</v>
      </c>
      <c r="CJ136" s="57">
        <v>1</v>
      </c>
      <c r="CK136" s="57">
        <v>1</v>
      </c>
      <c r="CL136" s="57">
        <v>1</v>
      </c>
      <c r="CM136" s="57">
        <v>1</v>
      </c>
      <c r="CN136" s="57">
        <v>1</v>
      </c>
      <c r="CO136" s="58">
        <v>1</v>
      </c>
      <c r="CP136" s="58">
        <v>1</v>
      </c>
      <c r="CQ136" s="57">
        <v>1</v>
      </c>
      <c r="CR136" s="57">
        <v>1</v>
      </c>
      <c r="CS136" s="57">
        <v>1</v>
      </c>
      <c r="CT136" s="57">
        <v>1</v>
      </c>
      <c r="CU136" s="57">
        <v>1</v>
      </c>
      <c r="CV136" s="58">
        <v>1</v>
      </c>
      <c r="CW136" s="58">
        <v>1</v>
      </c>
      <c r="CX136" s="57">
        <v>1</v>
      </c>
      <c r="CY136" s="57">
        <v>1</v>
      </c>
      <c r="CZ136" s="57">
        <v>1</v>
      </c>
      <c r="DA136" s="57">
        <v>1</v>
      </c>
      <c r="DB136" s="57">
        <v>1</v>
      </c>
      <c r="DC136" s="58">
        <v>1</v>
      </c>
      <c r="DD136" s="58">
        <v>1</v>
      </c>
      <c r="DE136" s="57">
        <v>1</v>
      </c>
      <c r="DF136" s="57">
        <v>1</v>
      </c>
      <c r="DG136" s="57">
        <v>1</v>
      </c>
      <c r="DH136" s="57">
        <v>1</v>
      </c>
      <c r="DI136" s="57">
        <v>1</v>
      </c>
      <c r="DJ136" s="58">
        <v>1</v>
      </c>
      <c r="DK136" s="58">
        <v>1</v>
      </c>
      <c r="DL136" s="57">
        <v>1</v>
      </c>
      <c r="DM136" s="57">
        <v>1</v>
      </c>
      <c r="DN136" s="57">
        <v>1</v>
      </c>
      <c r="DO136" s="57">
        <v>1</v>
      </c>
      <c r="DP136" s="57">
        <v>1</v>
      </c>
      <c r="DQ136" s="58">
        <v>1</v>
      </c>
      <c r="DR136" s="58">
        <v>1</v>
      </c>
      <c r="DS136" s="57">
        <v>1</v>
      </c>
      <c r="DT136" s="57">
        <v>1</v>
      </c>
      <c r="DU136" s="57">
        <v>1</v>
      </c>
      <c r="DV136" s="57">
        <v>1</v>
      </c>
      <c r="DW136" s="57">
        <v>1</v>
      </c>
      <c r="DX136" s="58">
        <v>0</v>
      </c>
      <c r="DY136" s="58">
        <v>0</v>
      </c>
      <c r="DZ136" s="57">
        <v>1</v>
      </c>
      <c r="EA136" s="57">
        <v>1</v>
      </c>
      <c r="EB136" s="57">
        <v>1</v>
      </c>
      <c r="EC136" s="57">
        <v>1</v>
      </c>
      <c r="ED136" s="57">
        <v>1</v>
      </c>
      <c r="EE136" s="58">
        <v>0</v>
      </c>
      <c r="EF136" s="58">
        <v>0</v>
      </c>
      <c r="EG136" s="57">
        <v>1</v>
      </c>
      <c r="EH136" s="57">
        <v>1</v>
      </c>
      <c r="EI136" s="57">
        <v>1</v>
      </c>
      <c r="EJ136" s="57">
        <v>1</v>
      </c>
      <c r="EK136" s="59">
        <v>1</v>
      </c>
      <c r="OU136" s="60" t="s">
        <v>92</v>
      </c>
    </row>
    <row r="137" ht="16" customHeight="1" spans="1:411" x14ac:dyDescent="0.25">
      <c r="A137" s="45"/>
      <c r="B137" s="46"/>
      <c r="C137" s="47"/>
      <c r="D137" s="48"/>
      <c r="E137" s="55" t="s">
        <v>61</v>
      </c>
      <c r="F137" s="49"/>
      <c r="G137" s="49"/>
      <c r="H137" s="49"/>
      <c r="I137" s="49"/>
      <c r="J137" s="50"/>
      <c r="K137" s="56">
        <v>9</v>
      </c>
      <c r="L137" s="57">
        <v>9</v>
      </c>
      <c r="M137" s="57">
        <v>9</v>
      </c>
      <c r="N137" s="57">
        <v>9</v>
      </c>
      <c r="O137" s="57">
        <v>9</v>
      </c>
      <c r="P137" s="58">
        <v>0</v>
      </c>
      <c r="Q137" s="58">
        <v>0</v>
      </c>
      <c r="R137" s="57">
        <v>9</v>
      </c>
      <c r="S137" s="57">
        <v>9</v>
      </c>
      <c r="T137" s="57">
        <v>9</v>
      </c>
      <c r="U137" s="57">
        <v>9</v>
      </c>
      <c r="V137" s="57">
        <v>9</v>
      </c>
      <c r="W137" s="58">
        <v>0</v>
      </c>
      <c r="X137" s="58">
        <v>0</v>
      </c>
      <c r="Y137" s="57">
        <v>9</v>
      </c>
      <c r="Z137" s="57">
        <v>9</v>
      </c>
      <c r="AA137" s="57">
        <v>9</v>
      </c>
      <c r="AB137" s="57">
        <v>9</v>
      </c>
      <c r="AC137" s="57">
        <v>9</v>
      </c>
      <c r="AD137" s="58">
        <v>0</v>
      </c>
      <c r="AE137" s="58">
        <v>0</v>
      </c>
      <c r="AF137" s="57">
        <v>9</v>
      </c>
      <c r="AG137" s="57">
        <v>9</v>
      </c>
      <c r="AH137" s="57">
        <v>9</v>
      </c>
      <c r="AI137" s="57">
        <v>9</v>
      </c>
      <c r="AJ137" s="57">
        <v>9</v>
      </c>
      <c r="AK137" s="58">
        <v>0</v>
      </c>
      <c r="AL137" s="58">
        <v>0</v>
      </c>
      <c r="AM137" s="57">
        <v>9</v>
      </c>
      <c r="AN137" s="57">
        <v>9</v>
      </c>
      <c r="AO137" s="57">
        <v>9</v>
      </c>
      <c r="AP137" s="57">
        <v>9</v>
      </c>
      <c r="AQ137" s="57">
        <v>9</v>
      </c>
      <c r="AR137" s="58">
        <v>0</v>
      </c>
      <c r="AS137" s="58">
        <v>0</v>
      </c>
      <c r="AT137" s="57">
        <v>9</v>
      </c>
      <c r="AU137" s="57">
        <v>9</v>
      </c>
      <c r="AV137" s="57">
        <v>9</v>
      </c>
      <c r="AW137" s="57">
        <v>9</v>
      </c>
      <c r="AX137" s="57">
        <v>9</v>
      </c>
      <c r="AY137" s="58">
        <v>0</v>
      </c>
      <c r="AZ137" s="58">
        <v>0</v>
      </c>
      <c r="BA137" s="57">
        <v>9</v>
      </c>
      <c r="BB137" s="57">
        <v>9</v>
      </c>
      <c r="BC137" s="57">
        <v>9</v>
      </c>
      <c r="BD137" s="57">
        <v>9</v>
      </c>
      <c r="BE137" s="57">
        <v>9</v>
      </c>
      <c r="BF137" s="58">
        <v>0</v>
      </c>
      <c r="BG137" s="58">
        <v>0</v>
      </c>
      <c r="BH137" s="57">
        <v>12</v>
      </c>
      <c r="BI137" s="57">
        <v>12</v>
      </c>
      <c r="BJ137" s="57">
        <v>12</v>
      </c>
      <c r="BK137" s="57">
        <v>12</v>
      </c>
      <c r="BL137" s="57">
        <v>12</v>
      </c>
      <c r="BM137" s="58">
        <v>12</v>
      </c>
      <c r="BN137" s="58">
        <v>12</v>
      </c>
      <c r="BO137" s="57">
        <v>12</v>
      </c>
      <c r="BP137" s="57">
        <v>12</v>
      </c>
      <c r="BQ137" s="57">
        <v>12</v>
      </c>
      <c r="BR137" s="57">
        <v>12</v>
      </c>
      <c r="BS137" s="57">
        <v>12</v>
      </c>
      <c r="BT137" s="58">
        <v>12</v>
      </c>
      <c r="BU137" s="58">
        <v>12</v>
      </c>
      <c r="BV137" s="57">
        <v>12</v>
      </c>
      <c r="BW137" s="57">
        <v>12</v>
      </c>
      <c r="BX137" s="57">
        <v>12</v>
      </c>
      <c r="BY137" s="57">
        <v>12</v>
      </c>
      <c r="BZ137" s="57">
        <v>12</v>
      </c>
      <c r="CA137" s="58">
        <v>12</v>
      </c>
      <c r="CB137" s="58">
        <v>12</v>
      </c>
      <c r="CC137" s="57">
        <v>12</v>
      </c>
      <c r="CD137" s="57">
        <v>12</v>
      </c>
      <c r="CE137" s="57">
        <v>12</v>
      </c>
      <c r="CF137" s="57">
        <v>12</v>
      </c>
      <c r="CG137" s="57">
        <v>12</v>
      </c>
      <c r="CH137" s="58">
        <v>12</v>
      </c>
      <c r="CI137" s="58">
        <v>12</v>
      </c>
      <c r="CJ137" s="57">
        <v>12</v>
      </c>
      <c r="CK137" s="57">
        <v>12</v>
      </c>
      <c r="CL137" s="57">
        <v>12</v>
      </c>
      <c r="CM137" s="57">
        <v>12</v>
      </c>
      <c r="CN137" s="57">
        <v>12</v>
      </c>
      <c r="CO137" s="58">
        <v>12</v>
      </c>
      <c r="CP137" s="58">
        <v>12</v>
      </c>
      <c r="CQ137" s="57">
        <v>12</v>
      </c>
      <c r="CR137" s="57">
        <v>12</v>
      </c>
      <c r="CS137" s="57">
        <v>12</v>
      </c>
      <c r="CT137" s="57">
        <v>12</v>
      </c>
      <c r="CU137" s="57">
        <v>12</v>
      </c>
      <c r="CV137" s="58">
        <v>12</v>
      </c>
      <c r="CW137" s="58">
        <v>12</v>
      </c>
      <c r="CX137" s="57">
        <v>12</v>
      </c>
      <c r="CY137" s="57">
        <v>12</v>
      </c>
      <c r="CZ137" s="57">
        <v>12</v>
      </c>
      <c r="DA137" s="57">
        <v>12</v>
      </c>
      <c r="DB137" s="57">
        <v>12</v>
      </c>
      <c r="DC137" s="58">
        <v>12</v>
      </c>
      <c r="DD137" s="58">
        <v>12</v>
      </c>
      <c r="DE137" s="57">
        <v>12</v>
      </c>
      <c r="DF137" s="57">
        <v>12</v>
      </c>
      <c r="DG137" s="57">
        <v>12</v>
      </c>
      <c r="DH137" s="57">
        <v>12</v>
      </c>
      <c r="DI137" s="57">
        <v>12</v>
      </c>
      <c r="DJ137" s="58">
        <v>12</v>
      </c>
      <c r="DK137" s="58">
        <v>12</v>
      </c>
      <c r="DL137" s="57">
        <v>12</v>
      </c>
      <c r="DM137" s="57">
        <v>12</v>
      </c>
      <c r="DN137" s="57">
        <v>12</v>
      </c>
      <c r="DO137" s="57">
        <v>12</v>
      </c>
      <c r="DP137" s="57">
        <v>12</v>
      </c>
      <c r="DQ137" s="58">
        <v>12</v>
      </c>
      <c r="DR137" s="58">
        <v>12</v>
      </c>
      <c r="DS137" s="57">
        <v>12</v>
      </c>
      <c r="DT137" s="57">
        <v>8</v>
      </c>
      <c r="DU137" s="57">
        <v>8</v>
      </c>
      <c r="DV137" s="57">
        <v>8</v>
      </c>
      <c r="DW137" s="57">
        <v>8</v>
      </c>
      <c r="DX137" s="58">
        <v>0</v>
      </c>
      <c r="DY137" s="58">
        <v>0</v>
      </c>
      <c r="DZ137" s="57">
        <v>8</v>
      </c>
      <c r="EA137" s="57">
        <v>8</v>
      </c>
      <c r="EB137" s="57">
        <v>8</v>
      </c>
      <c r="EC137" s="57">
        <v>8</v>
      </c>
      <c r="ED137" s="57">
        <v>8</v>
      </c>
      <c r="EE137" s="58">
        <v>0</v>
      </c>
      <c r="EF137" s="58">
        <v>0</v>
      </c>
      <c r="EG137" s="57">
        <v>8</v>
      </c>
      <c r="EH137" s="57">
        <v>8</v>
      </c>
      <c r="EI137" s="57">
        <v>8</v>
      </c>
      <c r="EJ137" s="57">
        <v>8</v>
      </c>
      <c r="EK137" s="59">
        <v>8</v>
      </c>
      <c r="OU137" s="60" t="s">
        <v>92</v>
      </c>
    </row>
    <row r="138" ht="16" customHeight="1" spans="1:411" x14ac:dyDescent="0.25">
      <c r="A138" s="45"/>
      <c r="B138" s="46"/>
      <c r="C138" s="61">
        <f>F135*N(D138)</f>
        <v>73680.04</v>
      </c>
      <c r="D138" s="61">
        <f>IF(TRIM(B135)="","No rate",IFERROR(INDEX('Rate Tables'!C$7:C$158,MATCH(B135,'Rate Tables'!A$7:A$158,0)),"No rate"))</f>
        <v>94.22</v>
      </c>
      <c r="E138" s="55" t="s">
        <v>62</v>
      </c>
      <c r="F138" s="49"/>
      <c r="G138" s="49"/>
      <c r="H138" s="49"/>
      <c r="I138" s="49"/>
      <c r="J138" s="50"/>
      <c r="K138" s="62">
        <f>IF(AND(K136=1,K137=9),8,MIN(IF(K136&lt;=0,0,IF(WEEKDAY(K$6,1)=1,0,MIN(8,K137)*K136)),MAX(0,40*MAX(1,K136)-(0))))</f>
        <v>8</v>
      </c>
      <c r="L138" s="63">
        <f>IF(AND(L136=1,L137=9),8,MIN(IF(L136&lt;=0,0,IF(WEEKDAY(L$6,1)=1,0,MIN(8,L137)*L136)),MAX(0,40*MAX(1,L136)-(K138))))</f>
        <v>8</v>
      </c>
      <c r="M138" s="63">
        <f>IF(AND(M136=1,M137=9),8,MIN(IF(M136&lt;=0,0,IF(WEEKDAY(M$6,1)=1,0,MIN(8,M137)*M136)),MAX(0,40*MAX(1,M136)-(K138+L138))))</f>
        <v>8</v>
      </c>
      <c r="N138" s="63">
        <f>IF(AND(N136=1,N137=9),8,MIN(IF(N136&lt;=0,0,IF(WEEKDAY(N$6,1)=1,0,MIN(8,N137)*N136)),MAX(0,40*MAX(1,N136)-(K138+L138+M138))))</f>
        <v>8</v>
      </c>
      <c r="O138" s="63">
        <f>IF(AND(O136=1,O137=9),8,MIN(IF(O136&lt;=0,0,IF(WEEKDAY(O$6,1)=1,0,MIN(8,O137)*O136)),MAX(0,40*MAX(1,O136)-(K138+L138+M138+N138))))</f>
        <v>8</v>
      </c>
      <c r="P138" s="64">
        <f>IF(AND(P136=0,P137=0),0,MIN(IF(P136&lt;=0,0,IF(WEEKDAY(P$6,1)=1,0,MIN(10,P137)*P136)),MAX(0,40*MAX(1,P136)-(0))))</f>
        <v>0</v>
      </c>
      <c r="Q138" s="64">
        <f>IF(AND(Q136=0,Q137=0),0,MIN(IF(Q136&lt;=0,0,IF(WEEKDAY(Q$6,1)=1,0,MIN(10,Q137)*Q136)),MAX(0,40*MAX(1,Q136)-(P138))))</f>
        <v>0</v>
      </c>
      <c r="R138" s="63">
        <f>IF(AND(R136=1,R137=9),8,MIN(IF(R136&lt;=0,0,IF(WEEKDAY(R$6,1)=1,0,MIN(8,R137)*R136)),MAX(0,40*MAX(1,R136)-(0))))</f>
        <v>8</v>
      </c>
      <c r="S138" s="63">
        <f>IF(AND(S136=1,S137=9),8,MIN(IF(S136&lt;=0,0,IF(WEEKDAY(S$6,1)=1,0,MIN(8,S137)*S136)),MAX(0,40*MAX(1,S136)-(R138))))</f>
        <v>8</v>
      </c>
      <c r="T138" s="63">
        <f>IF(AND(T136=1,T137=9),8,MIN(IF(T136&lt;=0,0,IF(WEEKDAY(T$6,1)=1,0,MIN(8,T137)*T136)),MAX(0,40*MAX(1,T136)-(R138+S138))))</f>
        <v>8</v>
      </c>
      <c r="U138" s="63">
        <f>IF(AND(U136=1,U137=9),8,MIN(IF(U136&lt;=0,0,IF(WEEKDAY(U$6,1)=1,0,MIN(8,U137)*U136)),MAX(0,40*MAX(1,U136)-(R138+S138+T138))))</f>
        <v>8</v>
      </c>
      <c r="V138" s="63">
        <f>IF(AND(V136=1,V137=9),8,MIN(IF(V136&lt;=0,0,IF(WEEKDAY(V$6,1)=1,0,MIN(8,V137)*V136)),MAX(0,40*MAX(1,V136)-(R138+S138+T138+U138))))</f>
        <v>8</v>
      </c>
      <c r="W138" s="64">
        <f>IF(AND(W136=0,W137=0),0,MIN(IF(W136&lt;=0,0,IF(WEEKDAY(W$6,1)=1,0,MIN(10,W137)*W136)),MAX(0,40*MAX(1,W136)-(0))))</f>
        <v>0</v>
      </c>
      <c r="X138" s="64">
        <f>IF(AND(X136=0,X137=0),0,MIN(IF(X136&lt;=0,0,IF(WEEKDAY(X$6,1)=1,0,MIN(10,X137)*X136)),MAX(0,40*MAX(1,X136)-(W138))))</f>
        <v>0</v>
      </c>
      <c r="Y138" s="63">
        <f>IF(AND(Y136=1,Y137=9),8,MIN(IF(Y136&lt;=0,0,IF(WEEKDAY(Y$6,1)=1,0,MIN(8,Y137)*Y136)),MAX(0,40*MAX(1,Y136)-(0))))</f>
        <v>8</v>
      </c>
      <c r="Z138" s="63">
        <f>IF(AND(Z136=1,Z137=9),8,MIN(IF(Z136&lt;=0,0,IF(WEEKDAY(Z$6,1)=1,0,MIN(8,Z137)*Z136)),MAX(0,40*MAX(1,Z136)-(Y138))))</f>
        <v>8</v>
      </c>
      <c r="AA138" s="63">
        <f>IF(AND(AA136=1,AA137=9),8,MIN(IF(AA136&lt;=0,0,IF(WEEKDAY(AA$6,1)=1,0,MIN(8,AA137)*AA136)),MAX(0,40*MAX(1,AA136)-(Y138+Z138))))</f>
        <v>8</v>
      </c>
      <c r="AB138" s="63">
        <f>IF(AND(AB136=1,AB137=9),8,MIN(IF(AB136&lt;=0,0,IF(WEEKDAY(AB$6,1)=1,0,MIN(8,AB137)*AB136)),MAX(0,40*MAX(1,AB136)-(Y138+Z138+AA138))))</f>
        <v>8</v>
      </c>
      <c r="AC138" s="63">
        <f>IF(AND(AC136=1,AC137=9),8,MIN(IF(AC136&lt;=0,0,IF(WEEKDAY(AC$6,1)=1,0,MIN(8,AC137)*AC136)),MAX(0,40*MAX(1,AC136)-(Y138+Z138+AA138+AB138))))</f>
        <v>8</v>
      </c>
      <c r="AD138" s="64">
        <f>IF(AND(AD136=0,AD137=0),0,MIN(IF(AD136&lt;=0,0,IF(WEEKDAY(AD$6,1)=1,0,MIN(10,AD137)*AD136)),MAX(0,40*MAX(1,AD136)-(0))))</f>
        <v>0</v>
      </c>
      <c r="AE138" s="64">
        <f>IF(AND(AE136=0,AE137=0),0,MIN(IF(AE136&lt;=0,0,IF(WEEKDAY(AE$6,1)=1,0,MIN(10,AE137)*AE136)),MAX(0,40*MAX(1,AE136)-(AD138))))</f>
        <v>0</v>
      </c>
      <c r="AF138" s="63">
        <f>IF(AND(AF136=1,AF137=9),8,MIN(IF(AF136&lt;=0,0,IF(WEEKDAY(AF$6,1)=1,0,MIN(8,AF137)*AF136)),MAX(0,40*MAX(1,AF136)-(0))))</f>
        <v>8</v>
      </c>
      <c r="AG138" s="63">
        <f>IF(AND(AG136=1,AG137=9),8,MIN(IF(AG136&lt;=0,0,IF(WEEKDAY(AG$6,1)=1,0,MIN(8,AG137)*AG136)),MAX(0,40*MAX(1,AG136)-(AF138))))</f>
        <v>8</v>
      </c>
      <c r="AH138" s="63">
        <f>IF(AND(AH136=1,AH137=9),8,MIN(IF(AH136&lt;=0,0,IF(WEEKDAY(AH$6,1)=1,0,MIN(8,AH137)*AH136)),MAX(0,40*MAX(1,AH136)-(AF138+AG138))))</f>
        <v>8</v>
      </c>
      <c r="AI138" s="63">
        <f>IF(AND(AI136=1,AI137=9),8,MIN(IF(AI136&lt;=0,0,IF(WEEKDAY(AI$6,1)=1,0,MIN(8,AI137)*AI136)),MAX(0,40*MAX(1,AI136)-(AF138+AG138+AH138))))</f>
        <v>8</v>
      </c>
      <c r="AJ138" s="63">
        <f>IF(AND(AJ136=1,AJ137=9),8,MIN(IF(AJ136&lt;=0,0,IF(WEEKDAY(AJ$6,1)=1,0,MIN(8,AJ137)*AJ136)),MAX(0,40*MAX(1,AJ136)-(AF138+AG138+AH138+AI138))))</f>
        <v>8</v>
      </c>
      <c r="AK138" s="64">
        <f>IF(AND(AK136=0,AK137=0),0,MIN(IF(AK136&lt;=0,0,IF(WEEKDAY(AK$6,1)=1,0,MIN(10,AK137)*AK136)),MAX(0,40*MAX(1,AK136)-(0))))</f>
        <v>0</v>
      </c>
      <c r="AL138" s="64">
        <f>IF(AND(AL136=0,AL137=0),0,MIN(IF(AL136&lt;=0,0,IF(WEEKDAY(AL$6,1)=1,0,MIN(10,AL137)*AL136)),MAX(0,40*MAX(1,AL136)-(AK138))))</f>
        <v>0</v>
      </c>
      <c r="AM138" s="63">
        <f>IF(AND(AM136=1,AM137=9),8,MIN(IF(AM136&lt;=0,0,IF(WEEKDAY(AM$6,1)=1,0,MIN(8,AM137)*AM136)),MAX(0,40*MAX(1,AM136)-(0))))</f>
        <v>8</v>
      </c>
      <c r="AN138" s="63">
        <f>IF(AND(AN136=1,AN137=9),8,MIN(IF(AN136&lt;=0,0,IF(WEEKDAY(AN$6,1)=1,0,MIN(8,AN137)*AN136)),MAX(0,40*MAX(1,AN136)-(AM138))))</f>
        <v>8</v>
      </c>
      <c r="AO138" s="63">
        <f>IF(AND(AO136=1,AO137=9),8,MIN(IF(AO136&lt;=0,0,IF(WEEKDAY(AO$6,1)=1,0,MIN(8,AO137)*AO136)),MAX(0,40*MAX(1,AO136)-(AM138+AN138))))</f>
        <v>8</v>
      </c>
      <c r="AP138" s="63">
        <f>IF(AND(AP136=1,AP137=9),8,MIN(IF(AP136&lt;=0,0,IF(WEEKDAY(AP$6,1)=1,0,MIN(8,AP137)*AP136)),MAX(0,40*MAX(1,AP136)-(AM138+AN138+AO138))))</f>
        <v>8</v>
      </c>
      <c r="AQ138" s="63">
        <f>IF(AND(AQ136=1,AQ137=9),8,MIN(IF(AQ136&lt;=0,0,IF(WEEKDAY(AQ$6,1)=1,0,MIN(8,AQ137)*AQ136)),MAX(0,40*MAX(1,AQ136)-(AM138+AN138+AO138+AP138))))</f>
        <v>8</v>
      </c>
      <c r="AR138" s="64">
        <f>IF(AND(AR136=0,AR137=0),0,MIN(IF(AR136&lt;=0,0,IF(WEEKDAY(AR$6,1)=1,0,MIN(10,AR137)*AR136)),MAX(0,40*MAX(1,AR136)-(0))))</f>
        <v>0</v>
      </c>
      <c r="AS138" s="64">
        <f>IF(AND(AS136=0,AS137=0),0,MIN(IF(AS136&lt;=0,0,IF(WEEKDAY(AS$6,1)=1,0,MIN(10,AS137)*AS136)),MAX(0,40*MAX(1,AS136)-(AR138))))</f>
        <v>0</v>
      </c>
      <c r="AT138" s="63">
        <f>IF(AND(AT136=1,AT137=9),8,MIN(IF(AT136&lt;=0,0,IF(WEEKDAY(AT$6,1)=1,0,MIN(8,AT137)*AT136)),MAX(0,40*MAX(1,AT136)-(0))))</f>
        <v>8</v>
      </c>
      <c r="AU138" s="63">
        <f>IF(AND(AU136=1,AU137=9),8,MIN(IF(AU136&lt;=0,0,IF(WEEKDAY(AU$6,1)=1,0,MIN(8,AU137)*AU136)),MAX(0,40*MAX(1,AU136)-(AT138))))</f>
        <v>8</v>
      </c>
      <c r="AV138" s="63">
        <f>IF(AND(AV136=1,AV137=9),8,MIN(IF(AV136&lt;=0,0,IF(WEEKDAY(AV$6,1)=1,0,MIN(8,AV137)*AV136)),MAX(0,40*MAX(1,AV136)-(AT138+AU138))))</f>
        <v>8</v>
      </c>
      <c r="AW138" s="63">
        <f>IF(AND(AW136=1,AW137=9),8,MIN(IF(AW136&lt;=0,0,IF(WEEKDAY(AW$6,1)=1,0,MIN(8,AW137)*AW136)),MAX(0,40*MAX(1,AW136)-(AT138+AU138+AV138))))</f>
        <v>8</v>
      </c>
      <c r="AX138" s="63">
        <f>IF(AND(AX136=1,AX137=9),8,MIN(IF(AX136&lt;=0,0,IF(WEEKDAY(AX$6,1)=1,0,MIN(8,AX137)*AX136)),MAX(0,40*MAX(1,AX136)-(AT138+AU138+AV138+AW138))))</f>
        <v>8</v>
      </c>
      <c r="AY138" s="64">
        <f>IF(AND(AY136=0,AY137=0),0,MIN(IF(AY136&lt;=0,0,IF(WEEKDAY(AY$6,1)=1,0,MIN(10,AY137)*AY136)),MAX(0,40*MAX(1,AY136)-(0))))</f>
        <v>0</v>
      </c>
      <c r="AZ138" s="64">
        <f>IF(AND(AZ136=0,AZ137=0),0,MIN(IF(AZ136&lt;=0,0,IF(WEEKDAY(AZ$6,1)=1,0,MIN(10,AZ137)*AZ136)),MAX(0,40*MAX(1,AZ136)-(AY138))))</f>
        <v>0</v>
      </c>
      <c r="BA138" s="63">
        <f>IF(AND(BA136=1,BA137=9),8,MIN(IF(BA136&lt;=0,0,IF(WEEKDAY(BA$6,1)=1,0,MIN(8,BA137)*BA136)),MAX(0,40*MAX(1,BA136)-(0))))</f>
        <v>8</v>
      </c>
      <c r="BB138" s="63">
        <f>IF(AND(BB136=1,BB137=9),8,MIN(IF(BB136&lt;=0,0,IF(WEEKDAY(BB$6,1)=1,0,MIN(8,BB137)*BB136)),MAX(0,40*MAX(1,BB136)-(BA138))))</f>
        <v>8</v>
      </c>
      <c r="BC138" s="63">
        <f>IF(AND(BC136=1,BC137=9),8,MIN(IF(BC136&lt;=0,0,IF(WEEKDAY(BC$6,1)=1,0,MIN(8,BC137)*BC136)),MAX(0,40*MAX(1,BC136)-(BA138+BB138))))</f>
        <v>8</v>
      </c>
      <c r="BD138" s="63">
        <f>IF(AND(BD136=1,BD137=9),8,MIN(IF(BD136&lt;=0,0,IF(WEEKDAY(BD$6,1)=1,0,MIN(8,BD137)*BD136)),MAX(0,40*MAX(1,BD136)-(BA138+BB138+BC138))))</f>
        <v>8</v>
      </c>
      <c r="BE138" s="63">
        <f>IF(AND(BE136=1,BE137=9),8,MIN(IF(BE136&lt;=0,0,IF(WEEKDAY(BE$6,1)=1,0,MIN(8,BE137)*BE136)),MAX(0,40*MAX(1,BE136)-(BA138+BB138+BC138+BD138))))</f>
        <v>8</v>
      </c>
      <c r="BF138" s="64">
        <f>IF(AND(BF136=0,BF137=0),0,MIN(IF(BF136&lt;=0,0,IF(WEEKDAY(BF$6,1)=1,0,MIN(10,BF137)*BF136)),MAX(0,40*MAX(1,BF136)-(0))))</f>
        <v>0</v>
      </c>
      <c r="BG138" s="64">
        <f>IF(AND(BG136=0,BG137=0),0,MIN(IF(BG136&lt;=0,0,IF(WEEKDAY(BG$6,1)=1,0,MIN(10,BG137)*BG136)),MAX(0,40*MAX(1,BG136)-(BF138))))</f>
        <v>0</v>
      </c>
      <c r="BH138" s="63">
        <f>IF(AND(BH136=1,BH137=12),10,MIN(IF(BH136&lt;=0,0,IF(WEEKDAY(BH$6,1)=1,0,MIN(10,BH137)*BH136)),MAX(0,40*MAX(1,BH136)-(0))))</f>
        <v>10</v>
      </c>
      <c r="BI138" s="63">
        <f>IF(AND(BI136=1,BI137=12),10,MIN(IF(BI136&lt;=0,0,IF(WEEKDAY(BI$6,1)=1,0,MIN(10,BI137)*BI136)),MAX(0,40*MAX(1,BI136)-(BH138))))</f>
        <v>10</v>
      </c>
      <c r="BJ138" s="63">
        <f>IF(AND(BJ136=1,BJ137=12),10,MIN(IF(BJ136&lt;=0,0,IF(WEEKDAY(BJ$6,1)=1,0,MIN(10,BJ137)*BJ136)),MAX(0,40*MAX(1,BJ136)-(BH138+BI138))))</f>
        <v>10</v>
      </c>
      <c r="BK138" s="63">
        <f>IF(AND(BK136=1,BK137=12),10,MIN(IF(BK136&lt;=0,0,IF(WEEKDAY(BK$6,1)=1,0,MIN(10,BK137)*BK136)),MAX(0,40*MAX(1,BK136)-(BH138+BI138+BJ138))))</f>
        <v>10</v>
      </c>
      <c r="BL138" s="63">
        <f>IF(AND(BL136=1,BL137=12),0,MIN(IF(BL136&lt;=0,0,IF(WEEKDAY(BL$6,1)=1,0,MIN(10,BL137)*BL136)),MAX(0,40*MAX(1,BL136)-(BH138+BI138+BJ138+BK138))))</f>
        <v>0</v>
      </c>
      <c r="BM138" s="64">
        <f>IF(AND(BM136=1,BM137=12),0,MIN(IF(BM136&lt;=0,0,IF(WEEKDAY(BM$6,1)=1,0,MIN(10,BM137)*BM136)),MAX(0,40*MAX(1,BM136)-(BH138+BI138+BJ138+BK138+BL138))))</f>
        <v>0</v>
      </c>
      <c r="BN138" s="64">
        <f>IF(AND(BN136=1,BN137=12),0,MIN(IF(BN136&lt;=0,0,IF(WEEKDAY(BN$6,1)=1,0,MIN(10,BN137)*BN136)),MAX(0,40*MAX(1,BN136)-(BH138+BI138+BJ138+BK138+BL138+BM138))))</f>
        <v>0</v>
      </c>
      <c r="BO138" s="63">
        <f>IF(AND(BO136=1,BO137=12),10,MIN(IF(BO136&lt;=0,0,IF(WEEKDAY(BO$6,1)=1,0,MIN(10,BO137)*BO136)),MAX(0,40*MAX(1,BO136)-(0))))</f>
        <v>10</v>
      </c>
      <c r="BP138" s="63">
        <f>IF(AND(BP136=1,BP137=12),10,MIN(IF(BP136&lt;=0,0,IF(WEEKDAY(BP$6,1)=1,0,MIN(10,BP137)*BP136)),MAX(0,40*MAX(1,BP136)-(BO138))))</f>
        <v>10</v>
      </c>
      <c r="BQ138" s="63">
        <f>IF(AND(BQ136=1,BQ137=12),10,MIN(IF(BQ136&lt;=0,0,IF(WEEKDAY(BQ$6,1)=1,0,MIN(10,BQ137)*BQ136)),MAX(0,40*MAX(1,BQ136)-(BO138+BP138))))</f>
        <v>10</v>
      </c>
      <c r="BR138" s="63">
        <f>IF(AND(BR136=1,BR137=12),10,MIN(IF(BR136&lt;=0,0,IF(WEEKDAY(BR$6,1)=1,0,MIN(10,BR137)*BR136)),MAX(0,40*MAX(1,BR136)-(0))))</f>
        <v>10</v>
      </c>
      <c r="BS138" s="63">
        <f>IF(AND(BS136=1,BS137=12),10,MIN(IF(BS136&lt;=0,0,IF(WEEKDAY(BS$6,1)=1,0,MIN(10,BS137)*BS136)),MAX(0,40*MAX(1,BS136)-(BR138))))</f>
        <v>10</v>
      </c>
      <c r="BT138" s="64">
        <f>IF(AND(BT136=1,BT137=12),10,MIN(IF(BT136&lt;=0,0,IF(WEEKDAY(BT$6,1)=1,0,MIN(10,BT137)*BT136)),MAX(0,40*MAX(1,BT136)-(BR138+BS138))))</f>
        <v>10</v>
      </c>
      <c r="BU138" s="64">
        <f>IF(AND(BU136=1,BU137=12),0,MIN(IF(BU136&lt;=0,0,IF(WEEKDAY(BU$6,1)=1,0,MIN(10,BU137)*BU136)),MAX(0,40*MAX(1,BU136)-(BR138+BS138+BT138))))</f>
        <v>0</v>
      </c>
      <c r="BV138" s="63">
        <f>IF(AND(BV136=1,BV137=12),10,MIN(IF(BV136&lt;=0,0,IF(WEEKDAY(BV$6,1)=1,0,MIN(10,BV137)*BV136)),MAX(0,40*MAX(1,BV136)-(0))))</f>
        <v>10</v>
      </c>
      <c r="BW138" s="63">
        <f>IF(AND(BW136=1,BW137=12),10,MIN(IF(BW136&lt;=0,0,IF(WEEKDAY(BW$6,1)=1,0,MIN(10,BW137)*BW136)),MAX(0,40*MAX(1,BW136)-(BV138))))</f>
        <v>10</v>
      </c>
      <c r="BX138" s="63">
        <f>IF(AND(BX136=1,BX137=12),10,MIN(IF(BX136&lt;=0,0,IF(WEEKDAY(BX$6,1)=1,0,MIN(10,BX137)*BX136)),MAX(0,40*MAX(1,BX136)-(BV138+BW138))))</f>
        <v>10</v>
      </c>
      <c r="BY138" s="63">
        <f>IF(AND(BY136=1,BY137=12),10,MIN(IF(BY136&lt;=0,0,IF(WEEKDAY(BY$6,1)=1,0,MIN(10,BY137)*BY136)),MAX(0,40*MAX(1,BY136)-(BV138+BW138+BX138))))</f>
        <v>10</v>
      </c>
      <c r="BZ138" s="63">
        <f>IF(AND(BZ136=1,BZ137=12),0,MIN(IF(BZ136&lt;=0,0,IF(WEEKDAY(BZ$6,1)=1,0,MIN(10,BZ137)*BZ136)),MAX(0,40*MAX(1,BZ136)-(BV138+BW138+BX138+BY138))))</f>
        <v>0</v>
      </c>
      <c r="CA138" s="64">
        <f>IF(AND(CA136=1,CA137=12),0,MIN(IF(CA136&lt;=0,0,IF(WEEKDAY(CA$6,1)=1,0,MIN(10,CA137)*CA136)),MAX(0,40*MAX(1,CA136)-(BV138+BW138+BX138+BY138+BZ138))))</f>
        <v>0</v>
      </c>
      <c r="CB138" s="64">
        <f>IF(AND(CB136=1,CB137=12),0,MIN(IF(CB136&lt;=0,0,IF(WEEKDAY(CB$6,1)=1,0,MIN(10,CB137)*CB136)),MAX(0,40*MAX(1,CB136)-(BV138+BW138+BX138+BY138+BZ138+CA138))))</f>
        <v>0</v>
      </c>
      <c r="CC138" s="63">
        <f>IF(AND(CC136=1,CC137=12),10,MIN(IF(CC136&lt;=0,0,IF(WEEKDAY(CC$6,1)=1,0,MIN(10,CC137)*CC136)),MAX(0,40*MAX(1,CC136)-(0))))</f>
        <v>10</v>
      </c>
      <c r="CD138" s="63">
        <f>IF(AND(CD136=1,CD137=12),10,MIN(IF(CD136&lt;=0,0,IF(WEEKDAY(CD$6,1)=1,0,MIN(10,CD137)*CD136)),MAX(0,40*MAX(1,CD136)-(CC138))))</f>
        <v>10</v>
      </c>
      <c r="CE138" s="63">
        <f>IF(AND(CE136=1,CE137=12),10,MIN(IF(CE136&lt;=0,0,IF(WEEKDAY(CE$6,1)=1,0,MIN(10,CE137)*CE136)),MAX(0,40*MAX(1,CE136)-(CC138+CD138))))</f>
        <v>10</v>
      </c>
      <c r="CF138" s="63">
        <f>IF(AND(CF136=1,CF137=12),10,MIN(IF(CF136&lt;=0,0,IF(WEEKDAY(CF$6,1)=1,0,MIN(10,CF137)*CF136)),MAX(0,40*MAX(1,CF136)-(CC138+CD138+CE138))))</f>
        <v>10</v>
      </c>
      <c r="CG138" s="63">
        <f>IF(AND(CG136=1,CG137=12),0,MIN(IF(CG136&lt;=0,0,IF(WEEKDAY(CG$6,1)=1,0,MIN(10,CG137)*CG136)),MAX(0,40*MAX(1,CG136)-(CC138+CD138+CE138+CF138))))</f>
        <v>0</v>
      </c>
      <c r="CH138" s="64">
        <f>IF(AND(CH136=1,CH137=12),0,MIN(IF(CH136&lt;=0,0,IF(WEEKDAY(CH$6,1)=1,0,MIN(10,CH137)*CH136)),MAX(0,40*MAX(1,CH136)-(CC138+CD138+CE138+CF138+CG138))))</f>
        <v>0</v>
      </c>
      <c r="CI138" s="64">
        <f>IF(AND(CI136=1,CI137=12),0,MIN(IF(CI136&lt;=0,0,IF(WEEKDAY(CI$6,1)=1,0,MIN(10,CI137)*CI136)),MAX(0,40*MAX(1,CI136)-(CC138+CD138+CE138+CF138+CG138+CH138))))</f>
        <v>0</v>
      </c>
      <c r="CJ138" s="63">
        <f>IF(AND(CJ136=1,CJ137=12),10,MIN(IF(CJ136&lt;=0,0,IF(WEEKDAY(CJ$6,1)=1,0,MIN(10,CJ137)*CJ136)),MAX(0,40*MAX(1,CJ136)-(0))))</f>
        <v>10</v>
      </c>
      <c r="CK138" s="63">
        <f>IF(AND(CK136=1,CK137=12),10,MIN(IF(CK136&lt;=0,0,IF(WEEKDAY(CK$6,1)=1,0,MIN(10,CK137)*CK136)),MAX(0,40*MAX(1,CK136)-(CJ138))))</f>
        <v>10</v>
      </c>
      <c r="CL138" s="63">
        <f>IF(AND(CL136=1,CL137=12),10,MIN(IF(CL136&lt;=0,0,IF(WEEKDAY(CL$6,1)=1,0,MIN(10,CL137)*CL136)),MAX(0,40*MAX(1,CL136)-(CJ138+CK138))))</f>
        <v>10</v>
      </c>
      <c r="CM138" s="63">
        <f>IF(AND(CM136=1,CM137=12),10,MIN(IF(CM136&lt;=0,0,IF(WEEKDAY(CM$6,1)=1,0,MIN(10,CM137)*CM136)),MAX(0,40*MAX(1,CM136)-(CJ138+CK138+CL138))))</f>
        <v>10</v>
      </c>
      <c r="CN138" s="63">
        <f>IF(AND(CN136=1,CN137=12),0,MIN(IF(CN136&lt;=0,0,IF(WEEKDAY(CN$6,1)=1,0,MIN(10,CN137)*CN136)),MAX(0,40*MAX(1,CN136)-(CJ138+CK138+CL138+CM138))))</f>
        <v>0</v>
      </c>
      <c r="CO138" s="64">
        <f>IF(AND(CO136=1,CO137=12),0,MIN(IF(CO136&lt;=0,0,IF(WEEKDAY(CO$6,1)=1,0,MIN(10,CO137)*CO136)),MAX(0,40*MAX(1,CO136)-(CJ138+CK138+CL138+CM138+CN138))))</f>
        <v>0</v>
      </c>
      <c r="CP138" s="64">
        <f>IF(AND(CP136=1,CP137=12),0,MIN(IF(CP136&lt;=0,0,IF(WEEKDAY(CP$6,1)=1,0,MIN(10,CP137)*CP136)),MAX(0,40*MAX(1,CP136)-(CJ138+CK138+CL138+CM138+CN138+CO138))))</f>
        <v>0</v>
      </c>
      <c r="CQ138" s="63">
        <f>IF(AND(CQ136=1,CQ137=12),10,MIN(IF(CQ136&lt;=0,0,IF(WEEKDAY(CQ$6,1)=1,0,MIN(10,CQ137)*CQ136)),MAX(0,40*MAX(1,CQ136)-(0))))</f>
        <v>10</v>
      </c>
      <c r="CR138" s="63">
        <f>IF(AND(CR136=1,CR137=12),10,MIN(IF(CR136&lt;=0,0,IF(WEEKDAY(CR$6,1)=1,0,MIN(10,CR137)*CR136)),MAX(0,40*MAX(1,CR136)-(CQ138))))</f>
        <v>10</v>
      </c>
      <c r="CS138" s="63">
        <f>IF(AND(CS136=1,CS137=12),10,MIN(IF(CS136&lt;=0,0,IF(WEEKDAY(CS$6,1)=1,0,MIN(10,CS137)*CS136)),MAX(0,40*MAX(1,CS136)-(CQ138+CR138))))</f>
        <v>10</v>
      </c>
      <c r="CT138" s="63">
        <f>IF(AND(CT136=1,CT137=12),10,MIN(IF(CT136&lt;=0,0,IF(WEEKDAY(CT$6,1)=1,0,MIN(10,CT137)*CT136)),MAX(0,40*MAX(1,CT136)-(CQ138+CR138+CS138))))</f>
        <v>10</v>
      </c>
      <c r="CU138" s="63">
        <f>IF(AND(CU136=1,CU137=12),0,MIN(IF(CU136&lt;=0,0,IF(WEEKDAY(CU$6,1)=1,0,MIN(10,CU137)*CU136)),MAX(0,40*MAX(1,CU136)-(CQ138+CR138+CS138+CT138))))</f>
        <v>0</v>
      </c>
      <c r="CV138" s="64">
        <f>IF(AND(CV136=1,CV137=12),0,MIN(IF(CV136&lt;=0,0,IF(WEEKDAY(CV$6,1)=1,0,MIN(10,CV137)*CV136)),MAX(0,40*MAX(1,CV136)-(CQ138+CR138+CS138+CT138+CU138))))</f>
        <v>0</v>
      </c>
      <c r="CW138" s="64">
        <f>IF(AND(CW136=1,CW137=12),0,MIN(IF(CW136&lt;=0,0,IF(WEEKDAY(CW$6,1)=1,0,MIN(10,CW137)*CW136)),MAX(0,40*MAX(1,CW136)-(CQ138+CR138+CS138+CT138+CU138+CV138))))</f>
        <v>0</v>
      </c>
      <c r="CX138" s="63">
        <f>IF(AND(CX136=1,CX137=12),10,MIN(IF(CX136&lt;=0,0,IF(WEEKDAY(CX$6,1)=1,0,MIN(10,CX137)*CX136)),MAX(0,40*MAX(1,CX136)-(0))))</f>
        <v>10</v>
      </c>
      <c r="CY138" s="63">
        <f>IF(AND(CY136=1,CY137=12),10,MIN(IF(CY136&lt;=0,0,IF(WEEKDAY(CY$6,1)=1,0,MIN(10,CY137)*CY136)),MAX(0,40*MAX(1,CY136)-(CX138))))</f>
        <v>10</v>
      </c>
      <c r="CZ138" s="63">
        <f>IF(AND(CZ136=1,CZ137=12),10,MIN(IF(CZ136&lt;=0,0,IF(WEEKDAY(CZ$6,1)=1,0,MIN(10,CZ137)*CZ136)),MAX(0,40*MAX(1,CZ136)-(CX138+CY138))))</f>
        <v>10</v>
      </c>
      <c r="DA138" s="63">
        <f>IF(AND(DA136=1,DA137=12),10,MIN(IF(DA136&lt;=0,0,IF(WEEKDAY(DA$6,1)=1,0,MIN(10,DA137)*DA136)),MAX(0,40*MAX(1,DA136)-(CX138+CY138+CZ138))))</f>
        <v>10</v>
      </c>
      <c r="DB138" s="63">
        <f>IF(AND(DB136=1,DB137=12),0,MIN(IF(DB136&lt;=0,0,IF(WEEKDAY(DB$6,1)=1,0,MIN(10,DB137)*DB136)),MAX(0,40*MAX(1,DB136)-(CX138+CY138+CZ138+DA138))))</f>
        <v>0</v>
      </c>
      <c r="DC138" s="64">
        <f>IF(AND(DC136=1,DC137=12),0,MIN(IF(DC136&lt;=0,0,IF(WEEKDAY(DC$6,1)=1,0,MIN(10,DC137)*DC136)),MAX(0,40*MAX(1,DC136)-(CX138+CY138+CZ138+DA138+DB138))))</f>
        <v>0</v>
      </c>
      <c r="DD138" s="64">
        <f>IF(AND(DD136=1,DD137=12),0,MIN(IF(DD136&lt;=0,0,IF(WEEKDAY(DD$6,1)=1,0,MIN(10,DD137)*DD136)),MAX(0,40*MAX(1,DD136)-(0))))</f>
        <v>0</v>
      </c>
      <c r="DE138" s="63">
        <f>IF(AND(DE136=1,DE137=12),10,MIN(IF(DE136&lt;=0,0,IF(WEEKDAY(DE$6,1)=1,0,MIN(10,DE137)*DE136)),MAX(0,40*MAX(1,DE136)-(0))))</f>
        <v>10</v>
      </c>
      <c r="DF138" s="63">
        <f>IF(AND(DF136=1,DF137=12),10,MIN(IF(DF136&lt;=0,0,IF(WEEKDAY(DF$6,1)=1,0,MIN(10,DF137)*DF136)),MAX(0,40*MAX(1,DF136)-(DE138))))</f>
        <v>10</v>
      </c>
      <c r="DG138" s="63">
        <f>IF(AND(DG136=1,DG137=12),10,MIN(IF(DG136&lt;=0,0,IF(WEEKDAY(DG$6,1)=1,0,MIN(10,DG137)*DG136)),MAX(0,40*MAX(1,DG136)-(DE138+DF138))))</f>
        <v>10</v>
      </c>
      <c r="DH138" s="63">
        <f>IF(AND(DH136=1,DH137=12),10,MIN(IF(DH136&lt;=0,0,IF(WEEKDAY(DH$6,1)=1,0,MIN(10,DH137)*DH136)),MAX(0,40*MAX(1,DH136)-(DE138+DF138+DG138))))</f>
        <v>10</v>
      </c>
      <c r="DI138" s="63">
        <f>IF(AND(DI136=1,DI137=12),0,MIN(IF(DI136&lt;=0,0,IF(WEEKDAY(DI$6,1)=1,0,MIN(10,DI137)*DI136)),MAX(0,40*MAX(1,DI136)-(DE138+DF138+DG138+DH138))))</f>
        <v>0</v>
      </c>
      <c r="DJ138" s="64">
        <f>IF(AND(DJ136=1,DJ137=12),0,MIN(IF(DJ136&lt;=0,0,IF(WEEKDAY(DJ$6,1)=1,0,MIN(10,DJ137)*DJ136)),MAX(0,40*MAX(1,DJ136)-(DE138+DF138+DG138+DH138+DI138))))</f>
        <v>0</v>
      </c>
      <c r="DK138" s="64">
        <f>IF(AND(DK136=1,DK137=12),0,MIN(IF(DK136&lt;=0,0,IF(WEEKDAY(DK$6,1)=1,0,MIN(10,DK137)*DK136)),MAX(0,40*MAX(1,DK136)-(DE138+DF138+DG138+DH138+DI138+DJ138))))</f>
        <v>0</v>
      </c>
      <c r="DL138" s="63">
        <f>IF(AND(DL136=1,DL137=12),10,MIN(IF(DL136&lt;=0,0,IF(WEEKDAY(DL$6,1)=1,0,MIN(10,DL137)*DL136)),MAX(0,40*MAX(1,DL136)-(0))))</f>
        <v>10</v>
      </c>
      <c r="DM138" s="63">
        <f>IF(AND(DM136=1,DM137=12),10,MIN(IF(DM136&lt;=0,0,IF(WEEKDAY(DM$6,1)=1,0,MIN(10,DM137)*DM136)),MAX(0,40*MAX(1,DM136)-(DL138))))</f>
        <v>10</v>
      </c>
      <c r="DN138" s="63">
        <f>IF(AND(DN136=1,DN137=12),10,MIN(IF(DN136&lt;=0,0,IF(WEEKDAY(DN$6,1)=1,0,MIN(10,DN137)*DN136)),MAX(0,40*MAX(1,DN136)-(DL138+DM138))))</f>
        <v>10</v>
      </c>
      <c r="DO138" s="63">
        <f>IF(AND(DO136=1,DO137=12),10,MIN(IF(DO136&lt;=0,0,IF(WEEKDAY(DO$6,1)=1,0,MIN(10,DO137)*DO136)),MAX(0,40*MAX(1,DO136)-(DL138+DM138+DN138))))</f>
        <v>10</v>
      </c>
      <c r="DP138" s="63">
        <f>IF(AND(DP136=1,DP137=12),0,MIN(IF(DP136&lt;=0,0,IF(WEEKDAY(DP$6,1)=1,0,MIN(10,DP137)*DP136)),MAX(0,40*MAX(1,DP136)-(DL138+DM138+DN138+DO138))))</f>
        <v>0</v>
      </c>
      <c r="DQ138" s="64">
        <f>IF(AND(DQ136=1,DQ137=12),0,MIN(IF(DQ136&lt;=0,0,IF(WEEKDAY(DQ$6,1)=1,0,MIN(10,DQ137)*DQ136)),MAX(0,40*MAX(1,DQ136)-(DL138+DM138+DN138+DO138+DP138))))</f>
        <v>0</v>
      </c>
      <c r="DR138" s="64">
        <f>IF(AND(DR136=1,DR137=12),0,MIN(IF(DR136&lt;=0,0,IF(WEEKDAY(DR$6,1)=1,0,MIN(10,DR137)*DR136)),MAX(0,40*MAX(1,DR136)-(DL138+DM138+DN138+DO138+DP138+DQ138))))</f>
        <v>0</v>
      </c>
      <c r="DS138" s="63">
        <f>IF(AND(DS136=1,DS137=12),10,MIN(IF(DS136&lt;=0,0,IF(WEEKDAY(DS$6,1)=1,0,MIN(10,DS137)*DS136)),MAX(0,40*MAX(1,DS136)-(0))))</f>
        <v>10</v>
      </c>
      <c r="DT138" s="63">
        <f>IF(AND(DT136=1,DT137=8),8,MIN(IF(DT136&lt;=0,0,IF(WEEKDAY(DT$6,1)=1,0,MIN(8,DT137)*DT136)),MAX(0,40*MAX(1,DT136)-(0))))</f>
        <v>8</v>
      </c>
      <c r="DU138" s="63">
        <f>IF(AND(DU136=1,DU137=8),8,MIN(IF(DU136&lt;=0,0,IF(WEEKDAY(DU$6,1)=1,0,MIN(8,DU137)*DU136)),MAX(0,40*MAX(1,DU136)-(DT138))))</f>
        <v>8</v>
      </c>
      <c r="DV138" s="63">
        <f>IF(AND(DV136=1,DV137=8),8,MIN(IF(DV136&lt;=0,0,IF(WEEKDAY(DV$6,1)=1,0,MIN(8,DV137)*DV136)),MAX(0,40*MAX(1,DV136)-(DT138+DU138))))</f>
        <v>8</v>
      </c>
      <c r="DW138" s="63">
        <f>IF(AND(DW136=1,DW137=8),8,MIN(IF(DW136&lt;=0,0,IF(WEEKDAY(DW$6,1)=1,0,MIN(8,DW137)*DW136)),MAX(0,40*MAX(1,DW136)-(DT138+DU138+DV138))))</f>
        <v>8</v>
      </c>
      <c r="DX138" s="64">
        <f>IF(AND(DX136=0,DX137=0),0,MIN(IF(DX136&lt;=0,0,IF(WEEKDAY(DX$6,1)=1,0,MIN(10,DX137)*DX136)),MAX(0,40*MAX(1,DX136)-(0))))</f>
        <v>0</v>
      </c>
      <c r="DY138" s="64">
        <f>IF(AND(DY136=0,DY137=0),0,MIN(IF(DY136&lt;=0,0,IF(WEEKDAY(DY$6,1)=1,0,MIN(10,DY137)*DY136)),MAX(0,40*MAX(1,DY136)-(DX138))))</f>
        <v>0</v>
      </c>
      <c r="DZ138" s="63">
        <f>IF(AND(DZ136=1,DZ137=8),8,MIN(IF(DZ136&lt;=0,0,IF(WEEKDAY(DZ$6,1)=1,0,MIN(8,DZ137)*DZ136)),MAX(0,40*MAX(1,DZ136)-(0))))</f>
        <v>8</v>
      </c>
      <c r="EA138" s="63">
        <f>IF(AND(EA136=1,EA137=8),8,MIN(IF(EA136&lt;=0,0,IF(WEEKDAY(EA$6,1)=1,0,MIN(8,EA137)*EA136)),MAX(0,40*MAX(1,EA136)-(DZ138))))</f>
        <v>8</v>
      </c>
      <c r="EB138" s="63">
        <f>IF(AND(EB136=1,EB137=8),8,MIN(IF(EB136&lt;=0,0,IF(WEEKDAY(EB$6,1)=1,0,MIN(8,EB137)*EB136)),MAX(0,40*MAX(1,EB136)-(DZ138+EA138))))</f>
        <v>8</v>
      </c>
      <c r="EC138" s="63">
        <f>IF(AND(EC136=1,EC137=8),8,MIN(IF(EC136&lt;=0,0,IF(WEEKDAY(EC$6,1)=1,0,MIN(8,EC137)*EC136)),MAX(0,40*MAX(1,EC136)-(DZ138+EA138+EB138))))</f>
        <v>8</v>
      </c>
      <c r="ED138" s="63">
        <f>IF(AND(ED136=1,ED137=8),8,MIN(IF(ED136&lt;=0,0,IF(WEEKDAY(ED$6,1)=1,0,MIN(8,ED137)*ED136)),MAX(0,40*MAX(1,ED136)-(DZ138+EA138+EB138+EC138))))</f>
        <v>8</v>
      </c>
      <c r="EE138" s="64">
        <f>IF(AND(EE136=0,EE137=0),0,MIN(IF(EE136&lt;=0,0,IF(WEEKDAY(EE$6,1)=1,0,MIN(10,EE137)*EE136)),MAX(0,40*MAX(1,EE136)-(0))))</f>
        <v>0</v>
      </c>
      <c r="EF138" s="64">
        <f>IF(AND(EF136=0,EF137=0),0,MIN(IF(EF136&lt;=0,0,IF(WEEKDAY(EF$6,1)=1,0,MIN(10,EF137)*EF136)),MAX(0,40*MAX(1,EF136)-(EE138))))</f>
        <v>0</v>
      </c>
      <c r="EG138" s="63">
        <f>IF(AND(EG136=1,EG137=8),8,MIN(IF(EG136&lt;=0,0,IF(WEEKDAY(EG$6,1)=1,0,MIN(8,EG137)*EG136)),MAX(0,40*MAX(1,EG136)-(0))))</f>
        <v>8</v>
      </c>
      <c r="EH138" s="63">
        <f>IF(AND(EH136=1,EH137=8),8,MIN(IF(EH136&lt;=0,0,IF(WEEKDAY(EH$6,1)=1,0,MIN(8,EH137)*EH136)),MAX(0,40*MAX(1,EH136)-(EG138))))</f>
        <v>8</v>
      </c>
      <c r="EI138" s="63">
        <f>IF(AND(EI136=1,EI137=8),8,MIN(IF(EI136&lt;=0,0,IF(WEEKDAY(EI$6,1)=1,0,MIN(8,EI137)*EI136)),MAX(0,40*MAX(1,EI136)-(EG138+EH138))))</f>
        <v>8</v>
      </c>
      <c r="EJ138" s="63">
        <f>IF(AND(EJ136=1,EJ137=8),8,MIN(IF(EJ136&lt;=0,0,IF(WEEKDAY(EJ$6,1)=1,0,MIN(8,EJ137)*EJ136)),MAX(0,40*MAX(1,EJ136)-(EG138+EH138+EI138))))</f>
        <v>8</v>
      </c>
      <c r="EK138" s="65">
        <f>IF(AND(EK136=1,EK137=8),8,MIN(IF(EK136&lt;=0,0,IF(WEEKDAY(EK$6,1)=1,0,MIN(8,EK137)*EK136)),MAX(0,40*MAX(1,EK136)-(EG138+EH138+EI138+EJ138))))</f>
        <v>8</v>
      </c>
      <c r="OU138" s="28" t="s">
        <v>92</v>
      </c>
    </row>
    <row r="139" ht="16" customHeight="1" spans="1:411" x14ac:dyDescent="0.25">
      <c r="A139" s="45"/>
      <c r="B139" s="46"/>
      <c r="C139" s="66">
        <f>G135*N(D139)</f>
        <v>38701.45</v>
      </c>
      <c r="D139" s="66">
        <f>IF(TRIM(B135)="","No rate",IFERROR(INDEX('Rate Tables'!D$7:D$158,MATCH(B135,'Rate Tables'!A$7:A$158,0)),"No rate"))</f>
        <v>126.89</v>
      </c>
      <c r="E139" s="55" t="s">
        <v>63</v>
      </c>
      <c r="F139" s="49"/>
      <c r="G139" s="49"/>
      <c r="H139" s="49"/>
      <c r="I139" s="49"/>
      <c r="J139" s="50"/>
      <c r="K139" s="62">
        <f>IF(AND(K136=1,K137=9),1,IF(K136&lt;=0,0,IF(WEEKDAY(K$6,1)=1,0,MAX(0,K137-8)*K136))+((IF(K136&lt;=0,0,IF(WEEKDAY(K$6,1)=1,0,MIN(8,K137)*K136)))-MIN(IF(K136&lt;=0,0,IF(WEEKDAY(K$6,1)=1,0,MIN(8,K137)*K136)),MAX(0,40*MAX(1,K136)-(0)))))</f>
        <v>1</v>
      </c>
      <c r="L139" s="63">
        <f>IF(AND(L136=1,L137=9),1,IF(L136&lt;=0,0,IF(WEEKDAY(L$6,1)=1,0,MAX(0,L137-8)*L136))+((IF(L136&lt;=0,0,IF(WEEKDAY(L$6,1)=1,0,MIN(8,L137)*L136)))-MIN(IF(L136&lt;=0,0,IF(WEEKDAY(L$6,1)=1,0,MIN(8,L137)*L136)),MAX(0,40*MAX(1,L136)-(K138)))))</f>
        <v>1</v>
      </c>
      <c r="M139" s="63">
        <f>IF(AND(M136=1,M137=9),1,IF(M136&lt;=0,0,IF(WEEKDAY(M$6,1)=1,0,MAX(0,M137-8)*M136))+((IF(M136&lt;=0,0,IF(WEEKDAY(M$6,1)=1,0,MIN(8,M137)*M136)))-MIN(IF(M136&lt;=0,0,IF(WEEKDAY(M$6,1)=1,0,MIN(8,M137)*M136)),MAX(0,40*MAX(1,M136)-(K138+L138)))))</f>
        <v>1</v>
      </c>
      <c r="N139" s="63">
        <f>IF(AND(N136=1,N137=9),1,IF(N136&lt;=0,0,IF(WEEKDAY(N$6,1)=1,0,MAX(0,N137-8)*N136))+((IF(N136&lt;=0,0,IF(WEEKDAY(N$6,1)=1,0,MIN(8,N137)*N136)))-MIN(IF(N136&lt;=0,0,IF(WEEKDAY(N$6,1)=1,0,MIN(8,N137)*N136)),MAX(0,40*MAX(1,N136)-(K138+L138+M138)))))</f>
        <v>1</v>
      </c>
      <c r="O139" s="63">
        <f>IF(AND(O136=1,O137=9),1,IF(O136&lt;=0,0,IF(WEEKDAY(O$6,1)=1,0,MAX(0,O137-8)*O136))+((IF(O136&lt;=0,0,IF(WEEKDAY(O$6,1)=1,0,MIN(8,O137)*O136)))-MIN(IF(O136&lt;=0,0,IF(WEEKDAY(O$6,1)=1,0,MIN(8,O137)*O136)),MAX(0,40*MAX(1,O136)-(K138+L138+M138+N138)))))</f>
        <v>1</v>
      </c>
      <c r="P139" s="64">
        <f>IF(AND(P136=0,P137=0),0,IF(P136&lt;=0,0,IF(WEEKDAY(P$6,1)=1,0,MAX(0,P137-10)*P136))+((IF(P136&lt;=0,0,IF(WEEKDAY(P$6,1)=1,0,MIN(10,P137)*P136)))-MIN(IF(P136&lt;=0,0,IF(WEEKDAY(P$6,1)=1,0,MIN(10,P137)*P136)),MAX(0,40*MAX(1,P136)-(0)))))</f>
        <v>0</v>
      </c>
      <c r="Q139" s="64">
        <f>IF(AND(Q136=0,Q137=0),0,IF(Q136&lt;=0,0,IF(WEEKDAY(Q$6,1)=1,0,MAX(0,Q137-10)*Q136))+((IF(Q136&lt;=0,0,IF(WEEKDAY(Q$6,1)=1,0,MIN(10,Q137)*Q136)))-MIN(IF(Q136&lt;=0,0,IF(WEEKDAY(Q$6,1)=1,0,MIN(10,Q137)*Q136)),MAX(0,40*MAX(1,Q136)-(P138)))))</f>
        <v>0</v>
      </c>
      <c r="R139" s="63">
        <f>IF(AND(R136=1,R137=9),1,IF(R136&lt;=0,0,IF(WEEKDAY(R$6,1)=1,0,MAX(0,R137-8)*R136))+((IF(R136&lt;=0,0,IF(WEEKDAY(R$6,1)=1,0,MIN(8,R137)*R136)))-MIN(IF(R136&lt;=0,0,IF(WEEKDAY(R$6,1)=1,0,MIN(8,R137)*R136)),MAX(0,40*MAX(1,R136)-(0)))))</f>
        <v>1</v>
      </c>
      <c r="S139" s="63">
        <f>IF(AND(S136=1,S137=9),1,IF(S136&lt;=0,0,IF(WEEKDAY(S$6,1)=1,0,MAX(0,S137-8)*S136))+((IF(S136&lt;=0,0,IF(WEEKDAY(S$6,1)=1,0,MIN(8,S137)*S136)))-MIN(IF(S136&lt;=0,0,IF(WEEKDAY(S$6,1)=1,0,MIN(8,S137)*S136)),MAX(0,40*MAX(1,S136)-(R138)))))</f>
        <v>1</v>
      </c>
      <c r="T139" s="63">
        <f>IF(AND(T136=1,T137=9),1,IF(T136&lt;=0,0,IF(WEEKDAY(T$6,1)=1,0,MAX(0,T137-8)*T136))+((IF(T136&lt;=0,0,IF(WEEKDAY(T$6,1)=1,0,MIN(8,T137)*T136)))-MIN(IF(T136&lt;=0,0,IF(WEEKDAY(T$6,1)=1,0,MIN(8,T137)*T136)),MAX(0,40*MAX(1,T136)-(R138+S138)))))</f>
        <v>1</v>
      </c>
      <c r="U139" s="63">
        <f>IF(AND(U136=1,U137=9),1,IF(U136&lt;=0,0,IF(WEEKDAY(U$6,1)=1,0,MAX(0,U137-8)*U136))+((IF(U136&lt;=0,0,IF(WEEKDAY(U$6,1)=1,0,MIN(8,U137)*U136)))-MIN(IF(U136&lt;=0,0,IF(WEEKDAY(U$6,1)=1,0,MIN(8,U137)*U136)),MAX(0,40*MAX(1,U136)-(R138+S138+T138)))))</f>
        <v>1</v>
      </c>
      <c r="V139" s="63">
        <f>IF(AND(V136=1,V137=9),1,IF(V136&lt;=0,0,IF(WEEKDAY(V$6,1)=1,0,MAX(0,V137-8)*V136))+((IF(V136&lt;=0,0,IF(WEEKDAY(V$6,1)=1,0,MIN(8,V137)*V136)))-MIN(IF(V136&lt;=0,0,IF(WEEKDAY(V$6,1)=1,0,MIN(8,V137)*V136)),MAX(0,40*MAX(1,V136)-(R138+S138+T138+U138)))))</f>
        <v>1</v>
      </c>
      <c r="W139" s="64">
        <f>IF(AND(W136=0,W137=0),0,IF(W136&lt;=0,0,IF(WEEKDAY(W$6,1)=1,0,MAX(0,W137-10)*W136))+((IF(W136&lt;=0,0,IF(WEEKDAY(W$6,1)=1,0,MIN(10,W137)*W136)))-MIN(IF(W136&lt;=0,0,IF(WEEKDAY(W$6,1)=1,0,MIN(10,W137)*W136)),MAX(0,40*MAX(1,W136)-(0)))))</f>
        <v>0</v>
      </c>
      <c r="X139" s="64">
        <f>IF(AND(X136=0,X137=0),0,IF(X136&lt;=0,0,IF(WEEKDAY(X$6,1)=1,0,MAX(0,X137-10)*X136))+((IF(X136&lt;=0,0,IF(WEEKDAY(X$6,1)=1,0,MIN(10,X137)*X136)))-MIN(IF(X136&lt;=0,0,IF(WEEKDAY(X$6,1)=1,0,MIN(10,X137)*X136)),MAX(0,40*MAX(1,X136)-(W138)))))</f>
        <v>0</v>
      </c>
      <c r="Y139" s="63">
        <f>IF(AND(Y136=1,Y137=9),1,IF(Y136&lt;=0,0,IF(WEEKDAY(Y$6,1)=1,0,MAX(0,Y137-8)*Y136))+((IF(Y136&lt;=0,0,IF(WEEKDAY(Y$6,1)=1,0,MIN(8,Y137)*Y136)))-MIN(IF(Y136&lt;=0,0,IF(WEEKDAY(Y$6,1)=1,0,MIN(8,Y137)*Y136)),MAX(0,40*MAX(1,Y136)-(0)))))</f>
        <v>1</v>
      </c>
      <c r="Z139" s="63">
        <f>IF(AND(Z136=1,Z137=9),1,IF(Z136&lt;=0,0,IF(WEEKDAY(Z$6,1)=1,0,MAX(0,Z137-8)*Z136))+((IF(Z136&lt;=0,0,IF(WEEKDAY(Z$6,1)=1,0,MIN(8,Z137)*Z136)))-MIN(IF(Z136&lt;=0,0,IF(WEEKDAY(Z$6,1)=1,0,MIN(8,Z137)*Z136)),MAX(0,40*MAX(1,Z136)-(Y138)))))</f>
        <v>1</v>
      </c>
      <c r="AA139" s="63">
        <f>IF(AND(AA136=1,AA137=9),1,IF(AA136&lt;=0,0,IF(WEEKDAY(AA$6,1)=1,0,MAX(0,AA137-8)*AA136))+((IF(AA136&lt;=0,0,IF(WEEKDAY(AA$6,1)=1,0,MIN(8,AA137)*AA136)))-MIN(IF(AA136&lt;=0,0,IF(WEEKDAY(AA$6,1)=1,0,MIN(8,AA137)*AA136)),MAX(0,40*MAX(1,AA136)-(Y138+Z138)))))</f>
        <v>1</v>
      </c>
      <c r="AB139" s="63">
        <f>IF(AND(AB136=1,AB137=9),1,IF(AB136&lt;=0,0,IF(WEEKDAY(AB$6,1)=1,0,MAX(0,AB137-8)*AB136))+((IF(AB136&lt;=0,0,IF(WEEKDAY(AB$6,1)=1,0,MIN(8,AB137)*AB136)))-MIN(IF(AB136&lt;=0,0,IF(WEEKDAY(AB$6,1)=1,0,MIN(8,AB137)*AB136)),MAX(0,40*MAX(1,AB136)-(Y138+Z138+AA138)))))</f>
        <v>1</v>
      </c>
      <c r="AC139" s="63">
        <f>IF(AND(AC136=1,AC137=9),1,IF(AC136&lt;=0,0,IF(WEEKDAY(AC$6,1)=1,0,MAX(0,AC137-8)*AC136))+((IF(AC136&lt;=0,0,IF(WEEKDAY(AC$6,1)=1,0,MIN(8,AC137)*AC136)))-MIN(IF(AC136&lt;=0,0,IF(WEEKDAY(AC$6,1)=1,0,MIN(8,AC137)*AC136)),MAX(0,40*MAX(1,AC136)-(Y138+Z138+AA138+AB138)))))</f>
        <v>1</v>
      </c>
      <c r="AD139" s="64">
        <f>IF(AND(AD136=0,AD137=0),0,IF(AD136&lt;=0,0,IF(WEEKDAY(AD$6,1)=1,0,MAX(0,AD137-10)*AD136))+((IF(AD136&lt;=0,0,IF(WEEKDAY(AD$6,1)=1,0,MIN(10,AD137)*AD136)))-MIN(IF(AD136&lt;=0,0,IF(WEEKDAY(AD$6,1)=1,0,MIN(10,AD137)*AD136)),MAX(0,40*MAX(1,AD136)-(0)))))</f>
        <v>0</v>
      </c>
      <c r="AE139" s="64">
        <f>IF(AND(AE136=0,AE137=0),0,IF(AE136&lt;=0,0,IF(WEEKDAY(AE$6,1)=1,0,MAX(0,AE137-10)*AE136))+((IF(AE136&lt;=0,0,IF(WEEKDAY(AE$6,1)=1,0,MIN(10,AE137)*AE136)))-MIN(IF(AE136&lt;=0,0,IF(WEEKDAY(AE$6,1)=1,0,MIN(10,AE137)*AE136)),MAX(0,40*MAX(1,AE136)-(AD138)))))</f>
        <v>0</v>
      </c>
      <c r="AF139" s="63">
        <f>IF(AND(AF136=1,AF137=9),1,IF(AF136&lt;=0,0,IF(WEEKDAY(AF$6,1)=1,0,MAX(0,AF137-8)*AF136))+((IF(AF136&lt;=0,0,IF(WEEKDAY(AF$6,1)=1,0,MIN(8,AF137)*AF136)))-MIN(IF(AF136&lt;=0,0,IF(WEEKDAY(AF$6,1)=1,0,MIN(8,AF137)*AF136)),MAX(0,40*MAX(1,AF136)-(0)))))</f>
        <v>1</v>
      </c>
      <c r="AG139" s="63">
        <f>IF(AND(AG136=1,AG137=9),1,IF(AG136&lt;=0,0,IF(WEEKDAY(AG$6,1)=1,0,MAX(0,AG137-8)*AG136))+((IF(AG136&lt;=0,0,IF(WEEKDAY(AG$6,1)=1,0,MIN(8,AG137)*AG136)))-MIN(IF(AG136&lt;=0,0,IF(WEEKDAY(AG$6,1)=1,0,MIN(8,AG137)*AG136)),MAX(0,40*MAX(1,AG136)-(AF138)))))</f>
        <v>1</v>
      </c>
      <c r="AH139" s="63">
        <f>IF(AND(AH136=1,AH137=9),1,IF(AH136&lt;=0,0,IF(WEEKDAY(AH$6,1)=1,0,MAX(0,AH137-8)*AH136))+((IF(AH136&lt;=0,0,IF(WEEKDAY(AH$6,1)=1,0,MIN(8,AH137)*AH136)))-MIN(IF(AH136&lt;=0,0,IF(WEEKDAY(AH$6,1)=1,0,MIN(8,AH137)*AH136)),MAX(0,40*MAX(1,AH136)-(AF138+AG138)))))</f>
        <v>1</v>
      </c>
      <c r="AI139" s="63">
        <f>IF(AND(AI136=1,AI137=9),1,IF(AI136&lt;=0,0,IF(WEEKDAY(AI$6,1)=1,0,MAX(0,AI137-8)*AI136))+((IF(AI136&lt;=0,0,IF(WEEKDAY(AI$6,1)=1,0,MIN(8,AI137)*AI136)))-MIN(IF(AI136&lt;=0,0,IF(WEEKDAY(AI$6,1)=1,0,MIN(8,AI137)*AI136)),MAX(0,40*MAX(1,AI136)-(AF138+AG138+AH138)))))</f>
        <v>1</v>
      </c>
      <c r="AJ139" s="63">
        <f>IF(AND(AJ136=1,AJ137=9),1,IF(AJ136&lt;=0,0,IF(WEEKDAY(AJ$6,1)=1,0,MAX(0,AJ137-8)*AJ136))+((IF(AJ136&lt;=0,0,IF(WEEKDAY(AJ$6,1)=1,0,MIN(8,AJ137)*AJ136)))-MIN(IF(AJ136&lt;=0,0,IF(WEEKDAY(AJ$6,1)=1,0,MIN(8,AJ137)*AJ136)),MAX(0,40*MAX(1,AJ136)-(AF138+AG138+AH138+AI138)))))</f>
        <v>1</v>
      </c>
      <c r="AK139" s="64">
        <f>IF(AND(AK136=0,AK137=0),0,IF(AK136&lt;=0,0,IF(WEEKDAY(AK$6,1)=1,0,MAX(0,AK137-10)*AK136))+((IF(AK136&lt;=0,0,IF(WEEKDAY(AK$6,1)=1,0,MIN(10,AK137)*AK136)))-MIN(IF(AK136&lt;=0,0,IF(WEEKDAY(AK$6,1)=1,0,MIN(10,AK137)*AK136)),MAX(0,40*MAX(1,AK136)-(0)))))</f>
        <v>0</v>
      </c>
      <c r="AL139" s="64">
        <f>IF(AND(AL136=0,AL137=0),0,IF(AL136&lt;=0,0,IF(WEEKDAY(AL$6,1)=1,0,MAX(0,AL137-10)*AL136))+((IF(AL136&lt;=0,0,IF(WEEKDAY(AL$6,1)=1,0,MIN(10,AL137)*AL136)))-MIN(IF(AL136&lt;=0,0,IF(WEEKDAY(AL$6,1)=1,0,MIN(10,AL137)*AL136)),MAX(0,40*MAX(1,AL136)-(AK138)))))</f>
        <v>0</v>
      </c>
      <c r="AM139" s="63">
        <f>IF(AND(AM136=1,AM137=9),1,IF(AM136&lt;=0,0,IF(WEEKDAY(AM$6,1)=1,0,MAX(0,AM137-8)*AM136))+((IF(AM136&lt;=0,0,IF(WEEKDAY(AM$6,1)=1,0,MIN(8,AM137)*AM136)))-MIN(IF(AM136&lt;=0,0,IF(WEEKDAY(AM$6,1)=1,0,MIN(8,AM137)*AM136)),MAX(0,40*MAX(1,AM136)-(0)))))</f>
        <v>1</v>
      </c>
      <c r="AN139" s="63">
        <f>IF(AND(AN136=1,AN137=9),1,IF(AN136&lt;=0,0,IF(WEEKDAY(AN$6,1)=1,0,MAX(0,AN137-8)*AN136))+((IF(AN136&lt;=0,0,IF(WEEKDAY(AN$6,1)=1,0,MIN(8,AN137)*AN136)))-MIN(IF(AN136&lt;=0,0,IF(WEEKDAY(AN$6,1)=1,0,MIN(8,AN137)*AN136)),MAX(0,40*MAX(1,AN136)-(AM138)))))</f>
        <v>1</v>
      </c>
      <c r="AO139" s="63">
        <f>IF(AND(AO136=1,AO137=9),1,IF(AO136&lt;=0,0,IF(WEEKDAY(AO$6,1)=1,0,MAX(0,AO137-8)*AO136))+((IF(AO136&lt;=0,0,IF(WEEKDAY(AO$6,1)=1,0,MIN(8,AO137)*AO136)))-MIN(IF(AO136&lt;=0,0,IF(WEEKDAY(AO$6,1)=1,0,MIN(8,AO137)*AO136)),MAX(0,40*MAX(1,AO136)-(AM138+AN138)))))</f>
        <v>1</v>
      </c>
      <c r="AP139" s="63">
        <f>IF(AND(AP136=1,AP137=9),1,IF(AP136&lt;=0,0,IF(WEEKDAY(AP$6,1)=1,0,MAX(0,AP137-8)*AP136))+((IF(AP136&lt;=0,0,IF(WEEKDAY(AP$6,1)=1,0,MIN(8,AP137)*AP136)))-MIN(IF(AP136&lt;=0,0,IF(WEEKDAY(AP$6,1)=1,0,MIN(8,AP137)*AP136)),MAX(0,40*MAX(1,AP136)-(AM138+AN138+AO138)))))</f>
        <v>1</v>
      </c>
      <c r="AQ139" s="63">
        <f>IF(AND(AQ136=1,AQ137=9),1,IF(AQ136&lt;=0,0,IF(WEEKDAY(AQ$6,1)=1,0,MAX(0,AQ137-8)*AQ136))+((IF(AQ136&lt;=0,0,IF(WEEKDAY(AQ$6,1)=1,0,MIN(8,AQ137)*AQ136)))-MIN(IF(AQ136&lt;=0,0,IF(WEEKDAY(AQ$6,1)=1,0,MIN(8,AQ137)*AQ136)),MAX(0,40*MAX(1,AQ136)-(AM138+AN138+AO138+AP138)))))</f>
        <v>1</v>
      </c>
      <c r="AR139" s="64">
        <f>IF(AND(AR136=0,AR137=0),0,IF(AR136&lt;=0,0,IF(WEEKDAY(AR$6,1)=1,0,MAX(0,AR137-10)*AR136))+((IF(AR136&lt;=0,0,IF(WEEKDAY(AR$6,1)=1,0,MIN(10,AR137)*AR136)))-MIN(IF(AR136&lt;=0,0,IF(WEEKDAY(AR$6,1)=1,0,MIN(10,AR137)*AR136)),MAX(0,40*MAX(1,AR136)-(0)))))</f>
        <v>0</v>
      </c>
      <c r="AS139" s="64">
        <f>IF(AND(AS136=0,AS137=0),0,IF(AS136&lt;=0,0,IF(WEEKDAY(AS$6,1)=1,0,MAX(0,AS137-10)*AS136))+((IF(AS136&lt;=0,0,IF(WEEKDAY(AS$6,1)=1,0,MIN(10,AS137)*AS136)))-MIN(IF(AS136&lt;=0,0,IF(WEEKDAY(AS$6,1)=1,0,MIN(10,AS137)*AS136)),MAX(0,40*MAX(1,AS136)-(AR138)))))</f>
        <v>0</v>
      </c>
      <c r="AT139" s="63">
        <f>IF(AND(AT136=1,AT137=9),1,IF(AT136&lt;=0,0,IF(WEEKDAY(AT$6,1)=1,0,MAX(0,AT137-8)*AT136))+((IF(AT136&lt;=0,0,IF(WEEKDAY(AT$6,1)=1,0,MIN(8,AT137)*AT136)))-MIN(IF(AT136&lt;=0,0,IF(WEEKDAY(AT$6,1)=1,0,MIN(8,AT137)*AT136)),MAX(0,40*MAX(1,AT136)-(0)))))</f>
        <v>1</v>
      </c>
      <c r="AU139" s="63">
        <f>IF(AND(AU136=1,AU137=9),1,IF(AU136&lt;=0,0,IF(WEEKDAY(AU$6,1)=1,0,MAX(0,AU137-8)*AU136))+((IF(AU136&lt;=0,0,IF(WEEKDAY(AU$6,1)=1,0,MIN(8,AU137)*AU136)))-MIN(IF(AU136&lt;=0,0,IF(WEEKDAY(AU$6,1)=1,0,MIN(8,AU137)*AU136)),MAX(0,40*MAX(1,AU136)-(AT138)))))</f>
        <v>1</v>
      </c>
      <c r="AV139" s="63">
        <f>IF(AND(AV136=1,AV137=9),1,IF(AV136&lt;=0,0,IF(WEEKDAY(AV$6,1)=1,0,MAX(0,AV137-8)*AV136))+((IF(AV136&lt;=0,0,IF(WEEKDAY(AV$6,1)=1,0,MIN(8,AV137)*AV136)))-MIN(IF(AV136&lt;=0,0,IF(WEEKDAY(AV$6,1)=1,0,MIN(8,AV137)*AV136)),MAX(0,40*MAX(1,AV136)-(AT138+AU138)))))</f>
        <v>1</v>
      </c>
      <c r="AW139" s="63">
        <f>IF(AND(AW136=1,AW137=9),1,IF(AW136&lt;=0,0,IF(WEEKDAY(AW$6,1)=1,0,MAX(0,AW137-8)*AW136))+((IF(AW136&lt;=0,0,IF(WEEKDAY(AW$6,1)=1,0,MIN(8,AW137)*AW136)))-MIN(IF(AW136&lt;=0,0,IF(WEEKDAY(AW$6,1)=1,0,MIN(8,AW137)*AW136)),MAX(0,40*MAX(1,AW136)-(AT138+AU138+AV138)))))</f>
        <v>1</v>
      </c>
      <c r="AX139" s="63">
        <f>IF(AND(AX136=1,AX137=9),1,IF(AX136&lt;=0,0,IF(WEEKDAY(AX$6,1)=1,0,MAX(0,AX137-8)*AX136))+((IF(AX136&lt;=0,0,IF(WEEKDAY(AX$6,1)=1,0,MIN(8,AX137)*AX136)))-MIN(IF(AX136&lt;=0,0,IF(WEEKDAY(AX$6,1)=1,0,MIN(8,AX137)*AX136)),MAX(0,40*MAX(1,AX136)-(AT138+AU138+AV138+AW138)))))</f>
        <v>1</v>
      </c>
      <c r="AY139" s="64">
        <f>IF(AND(AY136=0,AY137=0),0,IF(AY136&lt;=0,0,IF(WEEKDAY(AY$6,1)=1,0,MAX(0,AY137-10)*AY136))+((IF(AY136&lt;=0,0,IF(WEEKDAY(AY$6,1)=1,0,MIN(10,AY137)*AY136)))-MIN(IF(AY136&lt;=0,0,IF(WEEKDAY(AY$6,1)=1,0,MIN(10,AY137)*AY136)),MAX(0,40*MAX(1,AY136)-(0)))))</f>
        <v>0</v>
      </c>
      <c r="AZ139" s="64">
        <f>IF(AND(AZ136=0,AZ137=0),0,IF(AZ136&lt;=0,0,IF(WEEKDAY(AZ$6,1)=1,0,MAX(0,AZ137-10)*AZ136))+((IF(AZ136&lt;=0,0,IF(WEEKDAY(AZ$6,1)=1,0,MIN(10,AZ137)*AZ136)))-MIN(IF(AZ136&lt;=0,0,IF(WEEKDAY(AZ$6,1)=1,0,MIN(10,AZ137)*AZ136)),MAX(0,40*MAX(1,AZ136)-(AY138)))))</f>
        <v>0</v>
      </c>
      <c r="BA139" s="63">
        <f>IF(AND(BA136=1,BA137=9),1,IF(BA136&lt;=0,0,IF(WEEKDAY(BA$6,1)=1,0,MAX(0,BA137-8)*BA136))+((IF(BA136&lt;=0,0,IF(WEEKDAY(BA$6,1)=1,0,MIN(8,BA137)*BA136)))-MIN(IF(BA136&lt;=0,0,IF(WEEKDAY(BA$6,1)=1,0,MIN(8,BA137)*BA136)),MAX(0,40*MAX(1,BA136)-(0)))))</f>
        <v>1</v>
      </c>
      <c r="BB139" s="63">
        <f>IF(AND(BB136=1,BB137=9),1,IF(BB136&lt;=0,0,IF(WEEKDAY(BB$6,1)=1,0,MAX(0,BB137-8)*BB136))+((IF(BB136&lt;=0,0,IF(WEEKDAY(BB$6,1)=1,0,MIN(8,BB137)*BB136)))-MIN(IF(BB136&lt;=0,0,IF(WEEKDAY(BB$6,1)=1,0,MIN(8,BB137)*BB136)),MAX(0,40*MAX(1,BB136)-(BA138)))))</f>
        <v>1</v>
      </c>
      <c r="BC139" s="63">
        <f>IF(AND(BC136=1,BC137=9),1,IF(BC136&lt;=0,0,IF(WEEKDAY(BC$6,1)=1,0,MAX(0,BC137-8)*BC136))+((IF(BC136&lt;=0,0,IF(WEEKDAY(BC$6,1)=1,0,MIN(8,BC137)*BC136)))-MIN(IF(BC136&lt;=0,0,IF(WEEKDAY(BC$6,1)=1,0,MIN(8,BC137)*BC136)),MAX(0,40*MAX(1,BC136)-(BA138+BB138)))))</f>
        <v>1</v>
      </c>
      <c r="BD139" s="63">
        <f>IF(AND(BD136=1,BD137=9),1,IF(BD136&lt;=0,0,IF(WEEKDAY(BD$6,1)=1,0,MAX(0,BD137-8)*BD136))+((IF(BD136&lt;=0,0,IF(WEEKDAY(BD$6,1)=1,0,MIN(8,BD137)*BD136)))-MIN(IF(BD136&lt;=0,0,IF(WEEKDAY(BD$6,1)=1,0,MIN(8,BD137)*BD136)),MAX(0,40*MAX(1,BD136)-(BA138+BB138+BC138)))))</f>
        <v>1</v>
      </c>
      <c r="BE139" s="63">
        <f>IF(AND(BE136=1,BE137=9),1,IF(BE136&lt;=0,0,IF(WEEKDAY(BE$6,1)=1,0,MAX(0,BE137-8)*BE136))+((IF(BE136&lt;=0,0,IF(WEEKDAY(BE$6,1)=1,0,MIN(8,BE137)*BE136)))-MIN(IF(BE136&lt;=0,0,IF(WEEKDAY(BE$6,1)=1,0,MIN(8,BE137)*BE136)),MAX(0,40*MAX(1,BE136)-(BA138+BB138+BC138+BD138)))))</f>
        <v>1</v>
      </c>
      <c r="BF139" s="64">
        <f>IF(AND(BF136=0,BF137=0),0,IF(BF136&lt;=0,0,IF(WEEKDAY(BF$6,1)=1,0,MAX(0,BF137-10)*BF136))+((IF(BF136&lt;=0,0,IF(WEEKDAY(BF$6,1)=1,0,MIN(10,BF137)*BF136)))-MIN(IF(BF136&lt;=0,0,IF(WEEKDAY(BF$6,1)=1,0,MIN(10,BF137)*BF136)),MAX(0,40*MAX(1,BF136)-(0)))))</f>
        <v>0</v>
      </c>
      <c r="BG139" s="64">
        <f>IF(AND(BG136=0,BG137=0),0,IF(BG136&lt;=0,0,IF(WEEKDAY(BG$6,1)=1,0,MAX(0,BG137-10)*BG136))+((IF(BG136&lt;=0,0,IF(WEEKDAY(BG$6,1)=1,0,MIN(10,BG137)*BG136)))-MIN(IF(BG136&lt;=0,0,IF(WEEKDAY(BG$6,1)=1,0,MIN(10,BG137)*BG136)),MAX(0,40*MAX(1,BG136)-(BF138)))))</f>
        <v>0</v>
      </c>
      <c r="BH139" s="63">
        <f>IF(AND(BH136=1,BH137=12),2,IF(BH136&lt;=0,0,IF(WEEKDAY(BH$6,1)=1,0,MAX(0,BH137-10)*BH136))+((IF(BH136&lt;=0,0,IF(WEEKDAY(BH$6,1)=1,0,MIN(10,BH137)*BH136)))-MIN(IF(BH136&lt;=0,0,IF(WEEKDAY(BH$6,1)=1,0,MIN(10,BH137)*BH136)),MAX(0,40*MAX(1,BH136)-(0)))))</f>
        <v>2</v>
      </c>
      <c r="BI139" s="63">
        <f>IF(AND(BI136=1,BI137=12),2,IF(BI136&lt;=0,0,IF(WEEKDAY(BI$6,1)=1,0,MAX(0,BI137-10)*BI136))+((IF(BI136&lt;=0,0,IF(WEEKDAY(BI$6,1)=1,0,MIN(10,BI137)*BI136)))-MIN(IF(BI136&lt;=0,0,IF(WEEKDAY(BI$6,1)=1,0,MIN(10,BI137)*BI136)),MAX(0,40*MAX(1,BI136)-(BH138)))))</f>
        <v>2</v>
      </c>
      <c r="BJ139" s="63">
        <f>IF(AND(BJ136=1,BJ137=12),2,IF(BJ136&lt;=0,0,IF(WEEKDAY(BJ$6,1)=1,0,MAX(0,BJ137-10)*BJ136))+((IF(BJ136&lt;=0,0,IF(WEEKDAY(BJ$6,1)=1,0,MIN(10,BJ137)*BJ136)))-MIN(IF(BJ136&lt;=0,0,IF(WEEKDAY(BJ$6,1)=1,0,MIN(10,BJ137)*BJ136)),MAX(0,40*MAX(1,BJ136)-(BH138+BI138)))))</f>
        <v>2</v>
      </c>
      <c r="BK139" s="63">
        <f>IF(AND(BK136=1,BK137=12),2,IF(BK136&lt;=0,0,IF(WEEKDAY(BK$6,1)=1,0,MAX(0,BK137-10)*BK136))+((IF(BK136&lt;=0,0,IF(WEEKDAY(BK$6,1)=1,0,MIN(10,BK137)*BK136)))-MIN(IF(BK136&lt;=0,0,IF(WEEKDAY(BK$6,1)=1,0,MIN(10,BK137)*BK136)),MAX(0,40*MAX(1,BK136)-(BH138+BI138+BJ138)))))</f>
        <v>2</v>
      </c>
      <c r="BL139" s="63">
        <f>IF(AND(BL136=1,BL137=12),12,IF(BL136&lt;=0,0,IF(WEEKDAY(BL$6,1)=1,0,MAX(0,BL137-10)*BL136))+((IF(BL136&lt;=0,0,IF(WEEKDAY(BL$6,1)=1,0,MIN(10,BL137)*BL136)))-MIN(IF(BL136&lt;=0,0,IF(WEEKDAY(BL$6,1)=1,0,MIN(10,BL137)*BL136)),MAX(0,40*MAX(1,BL136)-(BH138+BI138+BJ138+BK138)))))</f>
        <v>12</v>
      </c>
      <c r="BM139" s="64">
        <f>IF(AND(BM136=1,BM137=12),12,IF(BM136&lt;=0,0,IF(WEEKDAY(BM$6,1)=1,0,MAX(0,BM137-10)*BM136))+((IF(BM136&lt;=0,0,IF(WEEKDAY(BM$6,1)=1,0,MIN(10,BM137)*BM136)))-MIN(IF(BM136&lt;=0,0,IF(WEEKDAY(BM$6,1)=1,0,MIN(10,BM137)*BM136)),MAX(0,40*MAX(1,BM136)-(BH138+BI138+BJ138+BK138+BL138)))))</f>
        <v>12</v>
      </c>
      <c r="BN139" s="64">
        <f>IF(AND(BN136=1,BN137=12),0,IF(BN136&lt;=0,0,IF(WEEKDAY(BN$6,1)=1,0,MAX(0,BN137-10)*BN136))+((IF(BN136&lt;=0,0,IF(WEEKDAY(BN$6,1)=1,0,MIN(10,BN137)*BN136)))-MIN(IF(BN136&lt;=0,0,IF(WEEKDAY(BN$6,1)=1,0,MIN(10,BN137)*BN136)),MAX(0,40*MAX(1,BN136)-(BH138+BI138+BJ138+BK138+BL138+BM138)))))</f>
        <v>0</v>
      </c>
      <c r="BO139" s="63">
        <f>IF(AND(BO136=1,BO137=12),2,IF(BO136&lt;=0,0,IF(WEEKDAY(BO$6,1)=1,0,MAX(0,BO137-10)*BO136))+((IF(BO136&lt;=0,0,IF(WEEKDAY(BO$6,1)=1,0,MIN(10,BO137)*BO136)))-MIN(IF(BO136&lt;=0,0,IF(WEEKDAY(BO$6,1)=1,0,MIN(10,BO137)*BO136)),MAX(0,40*MAX(1,BO136)-(0)))))</f>
        <v>2</v>
      </c>
      <c r="BP139" s="63">
        <f>IF(AND(BP136=1,BP137=12),2,IF(BP136&lt;=0,0,IF(WEEKDAY(BP$6,1)=1,0,MAX(0,BP137-10)*BP136))+((IF(BP136&lt;=0,0,IF(WEEKDAY(BP$6,1)=1,0,MIN(10,BP137)*BP136)))-MIN(IF(BP136&lt;=0,0,IF(WEEKDAY(BP$6,1)=1,0,MIN(10,BP137)*BP136)),MAX(0,40*MAX(1,BP136)-(BO138)))))</f>
        <v>2</v>
      </c>
      <c r="BQ139" s="63">
        <f>IF(AND(BQ136=1,BQ137=12),2,IF(BQ136&lt;=0,0,IF(WEEKDAY(BQ$6,1)=1,0,MAX(0,BQ137-10)*BQ136))+((IF(BQ136&lt;=0,0,IF(WEEKDAY(BQ$6,1)=1,0,MIN(10,BQ137)*BQ136)))-MIN(IF(BQ136&lt;=0,0,IF(WEEKDAY(BQ$6,1)=1,0,MIN(10,BQ137)*BQ136)),MAX(0,40*MAX(1,BQ136)-(BO138+BP138)))))</f>
        <v>2</v>
      </c>
      <c r="BR139" s="63">
        <f>IF(AND(BR136=1,BR137=12),2,IF(BR136&lt;=0,0,IF(WEEKDAY(BR$6,1)=1,0,MAX(0,BR137-10)*BR136))+((IF(BR136&lt;=0,0,IF(WEEKDAY(BR$6,1)=1,0,MIN(10,BR137)*BR136)))-MIN(IF(BR136&lt;=0,0,IF(WEEKDAY(BR$6,1)=1,0,MIN(10,BR137)*BR136)),MAX(0,40*MAX(1,BR136)-(0)))))</f>
        <v>2</v>
      </c>
      <c r="BS139" s="63">
        <f>IF(AND(BS136=1,BS137=12),2,IF(BS136&lt;=0,0,IF(WEEKDAY(BS$6,1)=1,0,MAX(0,BS137-10)*BS136))+((IF(BS136&lt;=0,0,IF(WEEKDAY(BS$6,1)=1,0,MIN(10,BS137)*BS136)))-MIN(IF(BS136&lt;=0,0,IF(WEEKDAY(BS$6,1)=1,0,MIN(10,BS137)*BS136)),MAX(0,40*MAX(1,BS136)-(BR138)))))</f>
        <v>2</v>
      </c>
      <c r="BT139" s="64">
        <f>IF(AND(BT136=1,BT137=12),2,IF(BT136&lt;=0,0,IF(WEEKDAY(BT$6,1)=1,0,MAX(0,BT137-10)*BT136))+((IF(BT136&lt;=0,0,IF(WEEKDAY(BT$6,1)=1,0,MIN(10,BT137)*BT136)))-MIN(IF(BT136&lt;=0,0,IF(WEEKDAY(BT$6,1)=1,0,MIN(10,BT137)*BT136)),MAX(0,40*MAX(1,BT136)-(BR138+BS138)))))</f>
        <v>2</v>
      </c>
      <c r="BU139" s="64">
        <f>IF(AND(BU136=1,BU137=12),0,IF(BU136&lt;=0,0,IF(WEEKDAY(BU$6,1)=1,0,MAX(0,BU137-10)*BU136))+((IF(BU136&lt;=0,0,IF(WEEKDAY(BU$6,1)=1,0,MIN(10,BU137)*BU136)))-MIN(IF(BU136&lt;=0,0,IF(WEEKDAY(BU$6,1)=1,0,MIN(10,BU137)*BU136)),MAX(0,40*MAX(1,BU136)-(BR138+BS138+BT138)))))</f>
        <v>0</v>
      </c>
      <c r="BV139" s="63">
        <f>IF(AND(BV136=1,BV137=12),2,IF(BV136&lt;=0,0,IF(WEEKDAY(BV$6,1)=1,0,MAX(0,BV137-10)*BV136))+((IF(BV136&lt;=0,0,IF(WEEKDAY(BV$6,1)=1,0,MIN(10,BV137)*BV136)))-MIN(IF(BV136&lt;=0,0,IF(WEEKDAY(BV$6,1)=1,0,MIN(10,BV137)*BV136)),MAX(0,40*MAX(1,BV136)-(0)))))</f>
        <v>2</v>
      </c>
      <c r="BW139" s="63">
        <f>IF(AND(BW136=1,BW137=12),2,IF(BW136&lt;=0,0,IF(WEEKDAY(BW$6,1)=1,0,MAX(0,BW137-10)*BW136))+((IF(BW136&lt;=0,0,IF(WEEKDAY(BW$6,1)=1,0,MIN(10,BW137)*BW136)))-MIN(IF(BW136&lt;=0,0,IF(WEEKDAY(BW$6,1)=1,0,MIN(10,BW137)*BW136)),MAX(0,40*MAX(1,BW136)-(BV138)))))</f>
        <v>2</v>
      </c>
      <c r="BX139" s="63">
        <f>IF(AND(BX136=1,BX137=12),2,IF(BX136&lt;=0,0,IF(WEEKDAY(BX$6,1)=1,0,MAX(0,BX137-10)*BX136))+((IF(BX136&lt;=0,0,IF(WEEKDAY(BX$6,1)=1,0,MIN(10,BX137)*BX136)))-MIN(IF(BX136&lt;=0,0,IF(WEEKDAY(BX$6,1)=1,0,MIN(10,BX137)*BX136)),MAX(0,40*MAX(1,BX136)-(BV138+BW138)))))</f>
        <v>2</v>
      </c>
      <c r="BY139" s="63">
        <f>IF(AND(BY136=1,BY137=12),2,IF(BY136&lt;=0,0,IF(WEEKDAY(BY$6,1)=1,0,MAX(0,BY137-10)*BY136))+((IF(BY136&lt;=0,0,IF(WEEKDAY(BY$6,1)=1,0,MIN(10,BY137)*BY136)))-MIN(IF(BY136&lt;=0,0,IF(WEEKDAY(BY$6,1)=1,0,MIN(10,BY137)*BY136)),MAX(0,40*MAX(1,BY136)-(BV138+BW138+BX138)))))</f>
        <v>2</v>
      </c>
      <c r="BZ139" s="63">
        <f>IF(AND(BZ136=1,BZ137=12),12,IF(BZ136&lt;=0,0,IF(WEEKDAY(BZ$6,1)=1,0,MAX(0,BZ137-10)*BZ136))+((IF(BZ136&lt;=0,0,IF(WEEKDAY(BZ$6,1)=1,0,MIN(10,BZ137)*BZ136)))-MIN(IF(BZ136&lt;=0,0,IF(WEEKDAY(BZ$6,1)=1,0,MIN(10,BZ137)*BZ136)),MAX(0,40*MAX(1,BZ136)-(BV138+BW138+BX138+BY138)))))</f>
        <v>12</v>
      </c>
      <c r="CA139" s="64">
        <f>IF(AND(CA136=1,CA137=12),12,IF(CA136&lt;=0,0,IF(WEEKDAY(CA$6,1)=1,0,MAX(0,CA137-10)*CA136))+((IF(CA136&lt;=0,0,IF(WEEKDAY(CA$6,1)=1,0,MIN(10,CA137)*CA136)))-MIN(IF(CA136&lt;=0,0,IF(WEEKDAY(CA$6,1)=1,0,MIN(10,CA137)*CA136)),MAX(0,40*MAX(1,CA136)-(BV138+BW138+BX138+BY138+BZ138)))))</f>
        <v>12</v>
      </c>
      <c r="CB139" s="64">
        <f>IF(AND(CB136=1,CB137=12),0,IF(CB136&lt;=0,0,IF(WEEKDAY(CB$6,1)=1,0,MAX(0,CB137-10)*CB136))+((IF(CB136&lt;=0,0,IF(WEEKDAY(CB$6,1)=1,0,MIN(10,CB137)*CB136)))-MIN(IF(CB136&lt;=0,0,IF(WEEKDAY(CB$6,1)=1,0,MIN(10,CB137)*CB136)),MAX(0,40*MAX(1,CB136)-(BV138+BW138+BX138+BY138+BZ138+CA138)))))</f>
        <v>0</v>
      </c>
      <c r="CC139" s="63">
        <f>IF(AND(CC136=1,CC137=12),2,IF(CC136&lt;=0,0,IF(WEEKDAY(CC$6,1)=1,0,MAX(0,CC137-10)*CC136))+((IF(CC136&lt;=0,0,IF(WEEKDAY(CC$6,1)=1,0,MIN(10,CC137)*CC136)))-MIN(IF(CC136&lt;=0,0,IF(WEEKDAY(CC$6,1)=1,0,MIN(10,CC137)*CC136)),MAX(0,40*MAX(1,CC136)-(0)))))</f>
        <v>2</v>
      </c>
      <c r="CD139" s="63">
        <f>IF(AND(CD136=1,CD137=12),2,IF(CD136&lt;=0,0,IF(WEEKDAY(CD$6,1)=1,0,MAX(0,CD137-10)*CD136))+((IF(CD136&lt;=0,0,IF(WEEKDAY(CD$6,1)=1,0,MIN(10,CD137)*CD136)))-MIN(IF(CD136&lt;=0,0,IF(WEEKDAY(CD$6,1)=1,0,MIN(10,CD137)*CD136)),MAX(0,40*MAX(1,CD136)-(CC138)))))</f>
        <v>2</v>
      </c>
      <c r="CE139" s="63">
        <f>IF(AND(CE136=1,CE137=12),2,IF(CE136&lt;=0,0,IF(WEEKDAY(CE$6,1)=1,0,MAX(0,CE137-10)*CE136))+((IF(CE136&lt;=0,0,IF(WEEKDAY(CE$6,1)=1,0,MIN(10,CE137)*CE136)))-MIN(IF(CE136&lt;=0,0,IF(WEEKDAY(CE$6,1)=1,0,MIN(10,CE137)*CE136)),MAX(0,40*MAX(1,CE136)-(CC138+CD138)))))</f>
        <v>2</v>
      </c>
      <c r="CF139" s="63">
        <f>IF(AND(CF136=1,CF137=12),2,IF(CF136&lt;=0,0,IF(WEEKDAY(CF$6,1)=1,0,MAX(0,CF137-10)*CF136))+((IF(CF136&lt;=0,0,IF(WEEKDAY(CF$6,1)=1,0,MIN(10,CF137)*CF136)))-MIN(IF(CF136&lt;=0,0,IF(WEEKDAY(CF$6,1)=1,0,MIN(10,CF137)*CF136)),MAX(0,40*MAX(1,CF136)-(CC138+CD138+CE138)))))</f>
        <v>2</v>
      </c>
      <c r="CG139" s="63">
        <f>IF(AND(CG136=1,CG137=12),12,IF(CG136&lt;=0,0,IF(WEEKDAY(CG$6,1)=1,0,MAX(0,CG137-10)*CG136))+((IF(CG136&lt;=0,0,IF(WEEKDAY(CG$6,1)=1,0,MIN(10,CG137)*CG136)))-MIN(IF(CG136&lt;=0,0,IF(WEEKDAY(CG$6,1)=1,0,MIN(10,CG137)*CG136)),MAX(0,40*MAX(1,CG136)-(CC138+CD138+CE138+CF138)))))</f>
        <v>12</v>
      </c>
      <c r="CH139" s="64">
        <f>IF(AND(CH136=1,CH137=12),12,IF(CH136&lt;=0,0,IF(WEEKDAY(CH$6,1)=1,0,MAX(0,CH137-10)*CH136))+((IF(CH136&lt;=0,0,IF(WEEKDAY(CH$6,1)=1,0,MIN(10,CH137)*CH136)))-MIN(IF(CH136&lt;=0,0,IF(WEEKDAY(CH$6,1)=1,0,MIN(10,CH137)*CH136)),MAX(0,40*MAX(1,CH136)-(CC138+CD138+CE138+CF138+CG138)))))</f>
        <v>12</v>
      </c>
      <c r="CI139" s="64">
        <f>IF(AND(CI136=1,CI137=12),0,IF(CI136&lt;=0,0,IF(WEEKDAY(CI$6,1)=1,0,MAX(0,CI137-10)*CI136))+((IF(CI136&lt;=0,0,IF(WEEKDAY(CI$6,1)=1,0,MIN(10,CI137)*CI136)))-MIN(IF(CI136&lt;=0,0,IF(WEEKDAY(CI$6,1)=1,0,MIN(10,CI137)*CI136)),MAX(0,40*MAX(1,CI136)-(CC138+CD138+CE138+CF138+CG138+CH138)))))</f>
        <v>0</v>
      </c>
      <c r="CJ139" s="63">
        <f>IF(AND(CJ136=1,CJ137=12),2,IF(CJ136&lt;=0,0,IF(WEEKDAY(CJ$6,1)=1,0,MAX(0,CJ137-10)*CJ136))+((IF(CJ136&lt;=0,0,IF(WEEKDAY(CJ$6,1)=1,0,MIN(10,CJ137)*CJ136)))-MIN(IF(CJ136&lt;=0,0,IF(WEEKDAY(CJ$6,1)=1,0,MIN(10,CJ137)*CJ136)),MAX(0,40*MAX(1,CJ136)-(0)))))</f>
        <v>2</v>
      </c>
      <c r="CK139" s="63">
        <f>IF(AND(CK136=1,CK137=12),2,IF(CK136&lt;=0,0,IF(WEEKDAY(CK$6,1)=1,0,MAX(0,CK137-10)*CK136))+((IF(CK136&lt;=0,0,IF(WEEKDAY(CK$6,1)=1,0,MIN(10,CK137)*CK136)))-MIN(IF(CK136&lt;=0,0,IF(WEEKDAY(CK$6,1)=1,0,MIN(10,CK137)*CK136)),MAX(0,40*MAX(1,CK136)-(CJ138)))))</f>
        <v>2</v>
      </c>
      <c r="CL139" s="63">
        <f>IF(AND(CL136=1,CL137=12),2,IF(CL136&lt;=0,0,IF(WEEKDAY(CL$6,1)=1,0,MAX(0,CL137-10)*CL136))+((IF(CL136&lt;=0,0,IF(WEEKDAY(CL$6,1)=1,0,MIN(10,CL137)*CL136)))-MIN(IF(CL136&lt;=0,0,IF(WEEKDAY(CL$6,1)=1,0,MIN(10,CL137)*CL136)),MAX(0,40*MAX(1,CL136)-(CJ138+CK138)))))</f>
        <v>2</v>
      </c>
      <c r="CM139" s="63">
        <f>IF(AND(CM136=1,CM137=12),2,IF(CM136&lt;=0,0,IF(WEEKDAY(CM$6,1)=1,0,MAX(0,CM137-10)*CM136))+((IF(CM136&lt;=0,0,IF(WEEKDAY(CM$6,1)=1,0,MIN(10,CM137)*CM136)))-MIN(IF(CM136&lt;=0,0,IF(WEEKDAY(CM$6,1)=1,0,MIN(10,CM137)*CM136)),MAX(0,40*MAX(1,CM136)-(CJ138+CK138+CL138)))))</f>
        <v>2</v>
      </c>
      <c r="CN139" s="63">
        <f>IF(AND(CN136=1,CN137=12),12,IF(CN136&lt;=0,0,IF(WEEKDAY(CN$6,1)=1,0,MAX(0,CN137-10)*CN136))+((IF(CN136&lt;=0,0,IF(WEEKDAY(CN$6,1)=1,0,MIN(10,CN137)*CN136)))-MIN(IF(CN136&lt;=0,0,IF(WEEKDAY(CN$6,1)=1,0,MIN(10,CN137)*CN136)),MAX(0,40*MAX(1,CN136)-(CJ138+CK138+CL138+CM138)))))</f>
        <v>12</v>
      </c>
      <c r="CO139" s="64">
        <f>IF(AND(CO136=1,CO137=12),12,IF(CO136&lt;=0,0,IF(WEEKDAY(CO$6,1)=1,0,MAX(0,CO137-10)*CO136))+((IF(CO136&lt;=0,0,IF(WEEKDAY(CO$6,1)=1,0,MIN(10,CO137)*CO136)))-MIN(IF(CO136&lt;=0,0,IF(WEEKDAY(CO$6,1)=1,0,MIN(10,CO137)*CO136)),MAX(0,40*MAX(1,CO136)-(CJ138+CK138+CL138+CM138+CN138)))))</f>
        <v>12</v>
      </c>
      <c r="CP139" s="64">
        <f>IF(AND(CP136=1,CP137=12),0,IF(CP136&lt;=0,0,IF(WEEKDAY(CP$6,1)=1,0,MAX(0,CP137-10)*CP136))+((IF(CP136&lt;=0,0,IF(WEEKDAY(CP$6,1)=1,0,MIN(10,CP137)*CP136)))-MIN(IF(CP136&lt;=0,0,IF(WEEKDAY(CP$6,1)=1,0,MIN(10,CP137)*CP136)),MAX(0,40*MAX(1,CP136)-(CJ138+CK138+CL138+CM138+CN138+CO138)))))</f>
        <v>0</v>
      </c>
      <c r="CQ139" s="63">
        <f>IF(AND(CQ136=1,CQ137=12),2,IF(CQ136&lt;=0,0,IF(WEEKDAY(CQ$6,1)=1,0,MAX(0,CQ137-10)*CQ136))+((IF(CQ136&lt;=0,0,IF(WEEKDAY(CQ$6,1)=1,0,MIN(10,CQ137)*CQ136)))-MIN(IF(CQ136&lt;=0,0,IF(WEEKDAY(CQ$6,1)=1,0,MIN(10,CQ137)*CQ136)),MAX(0,40*MAX(1,CQ136)-(0)))))</f>
        <v>2</v>
      </c>
      <c r="CR139" s="63">
        <f>IF(AND(CR136=1,CR137=12),2,IF(CR136&lt;=0,0,IF(WEEKDAY(CR$6,1)=1,0,MAX(0,CR137-10)*CR136))+((IF(CR136&lt;=0,0,IF(WEEKDAY(CR$6,1)=1,0,MIN(10,CR137)*CR136)))-MIN(IF(CR136&lt;=0,0,IF(WEEKDAY(CR$6,1)=1,0,MIN(10,CR137)*CR136)),MAX(0,40*MAX(1,CR136)-(CQ138)))))</f>
        <v>2</v>
      </c>
      <c r="CS139" s="63">
        <f>IF(AND(CS136=1,CS137=12),2,IF(CS136&lt;=0,0,IF(WEEKDAY(CS$6,1)=1,0,MAX(0,CS137-10)*CS136))+((IF(CS136&lt;=0,0,IF(WEEKDAY(CS$6,1)=1,0,MIN(10,CS137)*CS136)))-MIN(IF(CS136&lt;=0,0,IF(WEEKDAY(CS$6,1)=1,0,MIN(10,CS137)*CS136)),MAX(0,40*MAX(1,CS136)-(CQ138+CR138)))))</f>
        <v>2</v>
      </c>
      <c r="CT139" s="63">
        <f>IF(AND(CT136=1,CT137=12),2,IF(CT136&lt;=0,0,IF(WEEKDAY(CT$6,1)=1,0,MAX(0,CT137-10)*CT136))+((IF(CT136&lt;=0,0,IF(WEEKDAY(CT$6,1)=1,0,MIN(10,CT137)*CT136)))-MIN(IF(CT136&lt;=0,0,IF(WEEKDAY(CT$6,1)=1,0,MIN(10,CT137)*CT136)),MAX(0,40*MAX(1,CT136)-(CQ138+CR138+CS138)))))</f>
        <v>2</v>
      </c>
      <c r="CU139" s="63">
        <f>IF(AND(CU136=1,CU137=12),12,IF(CU136&lt;=0,0,IF(WEEKDAY(CU$6,1)=1,0,MAX(0,CU137-10)*CU136))+((IF(CU136&lt;=0,0,IF(WEEKDAY(CU$6,1)=1,0,MIN(10,CU137)*CU136)))-MIN(IF(CU136&lt;=0,0,IF(WEEKDAY(CU$6,1)=1,0,MIN(10,CU137)*CU136)),MAX(0,40*MAX(1,CU136)-(CQ138+CR138+CS138+CT138)))))</f>
        <v>12</v>
      </c>
      <c r="CV139" s="64">
        <f>IF(AND(CV136=1,CV137=12),12,IF(CV136&lt;=0,0,IF(WEEKDAY(CV$6,1)=1,0,MAX(0,CV137-10)*CV136))+((IF(CV136&lt;=0,0,IF(WEEKDAY(CV$6,1)=1,0,MIN(10,CV137)*CV136)))-MIN(IF(CV136&lt;=0,0,IF(WEEKDAY(CV$6,1)=1,0,MIN(10,CV137)*CV136)),MAX(0,40*MAX(1,CV136)-(CQ138+CR138+CS138+CT138+CU138)))))</f>
        <v>12</v>
      </c>
      <c r="CW139" s="64">
        <f>IF(AND(CW136=1,CW137=12),0,IF(CW136&lt;=0,0,IF(WEEKDAY(CW$6,1)=1,0,MAX(0,CW137-10)*CW136))+((IF(CW136&lt;=0,0,IF(WEEKDAY(CW$6,1)=1,0,MIN(10,CW137)*CW136)))-MIN(IF(CW136&lt;=0,0,IF(WEEKDAY(CW$6,1)=1,0,MIN(10,CW137)*CW136)),MAX(0,40*MAX(1,CW136)-(CQ138+CR138+CS138+CT138+CU138+CV138)))))</f>
        <v>0</v>
      </c>
      <c r="CX139" s="63">
        <f>IF(AND(CX136=1,CX137=12),2,IF(CX136&lt;=0,0,IF(WEEKDAY(CX$6,1)=1,0,MAX(0,CX137-10)*CX136))+((IF(CX136&lt;=0,0,IF(WEEKDAY(CX$6,1)=1,0,MIN(10,CX137)*CX136)))-MIN(IF(CX136&lt;=0,0,IF(WEEKDAY(CX$6,1)=1,0,MIN(10,CX137)*CX136)),MAX(0,40*MAX(1,CX136)-(0)))))</f>
        <v>2</v>
      </c>
      <c r="CY139" s="63">
        <f>IF(AND(CY136=1,CY137=12),2,IF(CY136&lt;=0,0,IF(WEEKDAY(CY$6,1)=1,0,MAX(0,CY137-10)*CY136))+((IF(CY136&lt;=0,0,IF(WEEKDAY(CY$6,1)=1,0,MIN(10,CY137)*CY136)))-MIN(IF(CY136&lt;=0,0,IF(WEEKDAY(CY$6,1)=1,0,MIN(10,CY137)*CY136)),MAX(0,40*MAX(1,CY136)-(CX138)))))</f>
        <v>2</v>
      </c>
      <c r="CZ139" s="63">
        <f>IF(AND(CZ136=1,CZ137=12),2,IF(CZ136&lt;=0,0,IF(WEEKDAY(CZ$6,1)=1,0,MAX(0,CZ137-10)*CZ136))+((IF(CZ136&lt;=0,0,IF(WEEKDAY(CZ$6,1)=1,0,MIN(10,CZ137)*CZ136)))-MIN(IF(CZ136&lt;=0,0,IF(WEEKDAY(CZ$6,1)=1,0,MIN(10,CZ137)*CZ136)),MAX(0,40*MAX(1,CZ136)-(CX138+CY138)))))</f>
        <v>2</v>
      </c>
      <c r="DA139" s="63">
        <f>IF(AND(DA136=1,DA137=12),2,IF(DA136&lt;=0,0,IF(WEEKDAY(DA$6,1)=1,0,MAX(0,DA137-10)*DA136))+((IF(DA136&lt;=0,0,IF(WEEKDAY(DA$6,1)=1,0,MIN(10,DA137)*DA136)))-MIN(IF(DA136&lt;=0,0,IF(WEEKDAY(DA$6,1)=1,0,MIN(10,DA137)*DA136)),MAX(0,40*MAX(1,DA136)-(CX138+CY138+CZ138)))))</f>
        <v>2</v>
      </c>
      <c r="DB139" s="63">
        <f>IF(AND(DB136=1,DB137=12),12,IF(DB136&lt;=0,0,IF(WEEKDAY(DB$6,1)=1,0,MAX(0,DB137-10)*DB136))+((IF(DB136&lt;=0,0,IF(WEEKDAY(DB$6,1)=1,0,MIN(10,DB137)*DB136)))-MIN(IF(DB136&lt;=0,0,IF(WEEKDAY(DB$6,1)=1,0,MIN(10,DB137)*DB136)),MAX(0,40*MAX(1,DB136)-(CX138+CY138+CZ138+DA138)))))</f>
        <v>12</v>
      </c>
      <c r="DC139" s="64">
        <f>IF(AND(DC136=1,DC137=12),12,IF(DC136&lt;=0,0,IF(WEEKDAY(DC$6,1)=1,0,MAX(0,DC137-10)*DC136))+((IF(DC136&lt;=0,0,IF(WEEKDAY(DC$6,1)=1,0,MIN(10,DC137)*DC136)))-MIN(IF(DC136&lt;=0,0,IF(WEEKDAY(DC$6,1)=1,0,MIN(10,DC137)*DC136)),MAX(0,40*MAX(1,DC136)-(CX138+CY138+CZ138+DA138+DB138)))))</f>
        <v>12</v>
      </c>
      <c r="DD139" s="64">
        <f>IF(AND(DD136=1,DD137=12),0,IF(DD136&lt;=0,0,IF(WEEKDAY(DD$6,1)=1,0,MAX(0,DD137-10)*DD136))+((IF(DD136&lt;=0,0,IF(WEEKDAY(DD$6,1)=1,0,MIN(10,DD137)*DD136)))-MIN(IF(DD136&lt;=0,0,IF(WEEKDAY(DD$6,1)=1,0,MIN(10,DD137)*DD136)),MAX(0,40*MAX(1,DD136)-(0)))))</f>
        <v>0</v>
      </c>
      <c r="DE139" s="63">
        <f>IF(AND(DE136=1,DE137=12),2,IF(DE136&lt;=0,0,IF(WEEKDAY(DE$6,1)=1,0,MAX(0,DE137-10)*DE136))+((IF(DE136&lt;=0,0,IF(WEEKDAY(DE$6,1)=1,0,MIN(10,DE137)*DE136)))-MIN(IF(DE136&lt;=0,0,IF(WEEKDAY(DE$6,1)=1,0,MIN(10,DE137)*DE136)),MAX(0,40*MAX(1,DE136)-(0)))))</f>
        <v>2</v>
      </c>
      <c r="DF139" s="63">
        <f>IF(AND(DF136=1,DF137=12),2,IF(DF136&lt;=0,0,IF(WEEKDAY(DF$6,1)=1,0,MAX(0,DF137-10)*DF136))+((IF(DF136&lt;=0,0,IF(WEEKDAY(DF$6,1)=1,0,MIN(10,DF137)*DF136)))-MIN(IF(DF136&lt;=0,0,IF(WEEKDAY(DF$6,1)=1,0,MIN(10,DF137)*DF136)),MAX(0,40*MAX(1,DF136)-(DE138)))))</f>
        <v>2</v>
      </c>
      <c r="DG139" s="63">
        <f>IF(AND(DG136=1,DG137=12),2,IF(DG136&lt;=0,0,IF(WEEKDAY(DG$6,1)=1,0,MAX(0,DG137-10)*DG136))+((IF(DG136&lt;=0,0,IF(WEEKDAY(DG$6,1)=1,0,MIN(10,DG137)*DG136)))-MIN(IF(DG136&lt;=0,0,IF(WEEKDAY(DG$6,1)=1,0,MIN(10,DG137)*DG136)),MAX(0,40*MAX(1,DG136)-(DE138+DF138)))))</f>
        <v>2</v>
      </c>
      <c r="DH139" s="63">
        <f>IF(AND(DH136=1,DH137=12),2,IF(DH136&lt;=0,0,IF(WEEKDAY(DH$6,1)=1,0,MAX(0,DH137-10)*DH136))+((IF(DH136&lt;=0,0,IF(WEEKDAY(DH$6,1)=1,0,MIN(10,DH137)*DH136)))-MIN(IF(DH136&lt;=0,0,IF(WEEKDAY(DH$6,1)=1,0,MIN(10,DH137)*DH136)),MAX(0,40*MAX(1,DH136)-(DE138+DF138+DG138)))))</f>
        <v>2</v>
      </c>
      <c r="DI139" s="63">
        <f>IF(AND(DI136=1,DI137=12),12,IF(DI136&lt;=0,0,IF(WEEKDAY(DI$6,1)=1,0,MAX(0,DI137-10)*DI136))+((IF(DI136&lt;=0,0,IF(WEEKDAY(DI$6,1)=1,0,MIN(10,DI137)*DI136)))-MIN(IF(DI136&lt;=0,0,IF(WEEKDAY(DI$6,1)=1,0,MIN(10,DI137)*DI136)),MAX(0,40*MAX(1,DI136)-(DE138+DF138+DG138+DH138)))))</f>
        <v>12</v>
      </c>
      <c r="DJ139" s="64">
        <f>IF(AND(DJ136=1,DJ137=12),12,IF(DJ136&lt;=0,0,IF(WEEKDAY(DJ$6,1)=1,0,MAX(0,DJ137-10)*DJ136))+((IF(DJ136&lt;=0,0,IF(WEEKDAY(DJ$6,1)=1,0,MIN(10,DJ137)*DJ136)))-MIN(IF(DJ136&lt;=0,0,IF(WEEKDAY(DJ$6,1)=1,0,MIN(10,DJ137)*DJ136)),MAX(0,40*MAX(1,DJ136)-(DE138+DF138+DG138+DH138+DI138)))))</f>
        <v>12</v>
      </c>
      <c r="DK139" s="64">
        <f>IF(AND(DK136=1,DK137=12),0,IF(DK136&lt;=0,0,IF(WEEKDAY(DK$6,1)=1,0,MAX(0,DK137-10)*DK136))+((IF(DK136&lt;=0,0,IF(WEEKDAY(DK$6,1)=1,0,MIN(10,DK137)*DK136)))-MIN(IF(DK136&lt;=0,0,IF(WEEKDAY(DK$6,1)=1,0,MIN(10,DK137)*DK136)),MAX(0,40*MAX(1,DK136)-(DE138+DF138+DG138+DH138+DI138+DJ138)))))</f>
        <v>0</v>
      </c>
      <c r="DL139" s="63">
        <f>IF(AND(DL136=1,DL137=12),2,IF(DL136&lt;=0,0,IF(WEEKDAY(DL$6,1)=1,0,MAX(0,DL137-10)*DL136))+((IF(DL136&lt;=0,0,IF(WEEKDAY(DL$6,1)=1,0,MIN(10,DL137)*DL136)))-MIN(IF(DL136&lt;=0,0,IF(WEEKDAY(DL$6,1)=1,0,MIN(10,DL137)*DL136)),MAX(0,40*MAX(1,DL136)-(0)))))</f>
        <v>2</v>
      </c>
      <c r="DM139" s="63">
        <f>IF(AND(DM136=1,DM137=12),2,IF(DM136&lt;=0,0,IF(WEEKDAY(DM$6,1)=1,0,MAX(0,DM137-10)*DM136))+((IF(DM136&lt;=0,0,IF(WEEKDAY(DM$6,1)=1,0,MIN(10,DM137)*DM136)))-MIN(IF(DM136&lt;=0,0,IF(WEEKDAY(DM$6,1)=1,0,MIN(10,DM137)*DM136)),MAX(0,40*MAX(1,DM136)-(DL138)))))</f>
        <v>2</v>
      </c>
      <c r="DN139" s="63">
        <f>IF(AND(DN136=1,DN137=12),2,IF(DN136&lt;=0,0,IF(WEEKDAY(DN$6,1)=1,0,MAX(0,DN137-10)*DN136))+((IF(DN136&lt;=0,0,IF(WEEKDAY(DN$6,1)=1,0,MIN(10,DN137)*DN136)))-MIN(IF(DN136&lt;=0,0,IF(WEEKDAY(DN$6,1)=1,0,MIN(10,DN137)*DN136)),MAX(0,40*MAX(1,DN136)-(DL138+DM138)))))</f>
        <v>2</v>
      </c>
      <c r="DO139" s="63">
        <f>IF(AND(DO136=1,DO137=12),2,IF(DO136&lt;=0,0,IF(WEEKDAY(DO$6,1)=1,0,MAX(0,DO137-10)*DO136))+((IF(DO136&lt;=0,0,IF(WEEKDAY(DO$6,1)=1,0,MIN(10,DO137)*DO136)))-MIN(IF(DO136&lt;=0,0,IF(WEEKDAY(DO$6,1)=1,0,MIN(10,DO137)*DO136)),MAX(0,40*MAX(1,DO136)-(DL138+DM138+DN138)))))</f>
        <v>2</v>
      </c>
      <c r="DP139" s="63">
        <f>IF(AND(DP136=1,DP137=12),12,IF(DP136&lt;=0,0,IF(WEEKDAY(DP$6,1)=1,0,MAX(0,DP137-10)*DP136))+((IF(DP136&lt;=0,0,IF(WEEKDAY(DP$6,1)=1,0,MIN(10,DP137)*DP136)))-MIN(IF(DP136&lt;=0,0,IF(WEEKDAY(DP$6,1)=1,0,MIN(10,DP137)*DP136)),MAX(0,40*MAX(1,DP136)-(DL138+DM138+DN138+DO138)))))</f>
        <v>12</v>
      </c>
      <c r="DQ139" s="64">
        <f>IF(AND(DQ136=1,DQ137=12),12,IF(DQ136&lt;=0,0,IF(WEEKDAY(DQ$6,1)=1,0,MAX(0,DQ137-10)*DQ136))+((IF(DQ136&lt;=0,0,IF(WEEKDAY(DQ$6,1)=1,0,MIN(10,DQ137)*DQ136)))-MIN(IF(DQ136&lt;=0,0,IF(WEEKDAY(DQ$6,1)=1,0,MIN(10,DQ137)*DQ136)),MAX(0,40*MAX(1,DQ136)-(DL138+DM138+DN138+DO138+DP138)))))</f>
        <v>12</v>
      </c>
      <c r="DR139" s="64">
        <f>IF(AND(DR136=1,DR137=12),0,IF(DR136&lt;=0,0,IF(WEEKDAY(DR$6,1)=1,0,MAX(0,DR137-10)*DR136))+((IF(DR136&lt;=0,0,IF(WEEKDAY(DR$6,1)=1,0,MIN(10,DR137)*DR136)))-MIN(IF(DR136&lt;=0,0,IF(WEEKDAY(DR$6,1)=1,0,MIN(10,DR137)*DR136)),MAX(0,40*MAX(1,DR136)-(DL138+DM138+DN138+DO138+DP138+DQ138)))))</f>
        <v>0</v>
      </c>
      <c r="DS139" s="63">
        <f>IF(AND(DS136=1,DS137=12),2,IF(DS136&lt;=0,0,IF(WEEKDAY(DS$6,1)=1,0,MAX(0,DS137-10)*DS136))+((IF(DS136&lt;=0,0,IF(WEEKDAY(DS$6,1)=1,0,MIN(10,DS137)*DS136)))-MIN(IF(DS136&lt;=0,0,IF(WEEKDAY(DS$6,1)=1,0,MIN(10,DS137)*DS136)),MAX(0,40*MAX(1,DS136)-(0)))))</f>
        <v>2</v>
      </c>
      <c r="DT139" s="63">
        <f>IF(AND(DT136=1,DT137=8),0,IF(DT136&lt;=0,0,IF(WEEKDAY(DT$6,1)=1,0,MAX(0,DT137-8)*DT136))+((IF(DT136&lt;=0,0,IF(WEEKDAY(DT$6,1)=1,0,MIN(8,DT137)*DT136)))-MIN(IF(DT136&lt;=0,0,IF(WEEKDAY(DT$6,1)=1,0,MIN(8,DT137)*DT136)),MAX(0,40*MAX(1,DT136)-(0)))))</f>
        <v>0</v>
      </c>
      <c r="DU139" s="63">
        <f>IF(AND(DU136=1,DU137=8),0,IF(DU136&lt;=0,0,IF(WEEKDAY(DU$6,1)=1,0,MAX(0,DU137-8)*DU136))+((IF(DU136&lt;=0,0,IF(WEEKDAY(DU$6,1)=1,0,MIN(8,DU137)*DU136)))-MIN(IF(DU136&lt;=0,0,IF(WEEKDAY(DU$6,1)=1,0,MIN(8,DU137)*DU136)),MAX(0,40*MAX(1,DU136)-(DT138)))))</f>
        <v>0</v>
      </c>
      <c r="DV139" s="63">
        <f>IF(AND(DV136=1,DV137=8),0,IF(DV136&lt;=0,0,IF(WEEKDAY(DV$6,1)=1,0,MAX(0,DV137-8)*DV136))+((IF(DV136&lt;=0,0,IF(WEEKDAY(DV$6,1)=1,0,MIN(8,DV137)*DV136)))-MIN(IF(DV136&lt;=0,0,IF(WEEKDAY(DV$6,1)=1,0,MIN(8,DV137)*DV136)),MAX(0,40*MAX(1,DV136)-(DT138+DU138)))))</f>
        <v>0</v>
      </c>
      <c r="DW139" s="63">
        <f>IF(AND(DW136=1,DW137=8),0,IF(DW136&lt;=0,0,IF(WEEKDAY(DW$6,1)=1,0,MAX(0,DW137-8)*DW136))+((IF(DW136&lt;=0,0,IF(WEEKDAY(DW$6,1)=1,0,MIN(8,DW137)*DW136)))-MIN(IF(DW136&lt;=0,0,IF(WEEKDAY(DW$6,1)=1,0,MIN(8,DW137)*DW136)),MAX(0,40*MAX(1,DW136)-(DT138+DU138+DV138)))))</f>
        <v>0</v>
      </c>
      <c r="DX139" s="64">
        <f>IF(AND(DX136=0,DX137=0),0,IF(DX136&lt;=0,0,IF(WEEKDAY(DX$6,1)=1,0,MAX(0,DX137-10)*DX136))+((IF(DX136&lt;=0,0,IF(WEEKDAY(DX$6,1)=1,0,MIN(10,DX137)*DX136)))-MIN(IF(DX136&lt;=0,0,IF(WEEKDAY(DX$6,1)=1,0,MIN(10,DX137)*DX136)),MAX(0,40*MAX(1,DX136)-(0)))))</f>
        <v>0</v>
      </c>
      <c r="DY139" s="64">
        <f>IF(AND(DY136=0,DY137=0),0,IF(DY136&lt;=0,0,IF(WEEKDAY(DY$6,1)=1,0,MAX(0,DY137-10)*DY136))+((IF(DY136&lt;=0,0,IF(WEEKDAY(DY$6,1)=1,0,MIN(10,DY137)*DY136)))-MIN(IF(DY136&lt;=0,0,IF(WEEKDAY(DY$6,1)=1,0,MIN(10,DY137)*DY136)),MAX(0,40*MAX(1,DY136)-(DX138)))))</f>
        <v>0</v>
      </c>
      <c r="DZ139" s="63">
        <f>IF(AND(DZ136=1,DZ137=8),0,IF(DZ136&lt;=0,0,IF(WEEKDAY(DZ$6,1)=1,0,MAX(0,DZ137-8)*DZ136))+((IF(DZ136&lt;=0,0,IF(WEEKDAY(DZ$6,1)=1,0,MIN(8,DZ137)*DZ136)))-MIN(IF(DZ136&lt;=0,0,IF(WEEKDAY(DZ$6,1)=1,0,MIN(8,DZ137)*DZ136)),MAX(0,40*MAX(1,DZ136)-(0)))))</f>
        <v>0</v>
      </c>
      <c r="EA139" s="63">
        <f>IF(AND(EA136=1,EA137=8),0,IF(EA136&lt;=0,0,IF(WEEKDAY(EA$6,1)=1,0,MAX(0,EA137-8)*EA136))+((IF(EA136&lt;=0,0,IF(WEEKDAY(EA$6,1)=1,0,MIN(8,EA137)*EA136)))-MIN(IF(EA136&lt;=0,0,IF(WEEKDAY(EA$6,1)=1,0,MIN(8,EA137)*EA136)),MAX(0,40*MAX(1,EA136)-(DZ138)))))</f>
        <v>0</v>
      </c>
      <c r="EB139" s="63">
        <f>IF(AND(EB136=1,EB137=8),0,IF(EB136&lt;=0,0,IF(WEEKDAY(EB$6,1)=1,0,MAX(0,EB137-8)*EB136))+((IF(EB136&lt;=0,0,IF(WEEKDAY(EB$6,1)=1,0,MIN(8,EB137)*EB136)))-MIN(IF(EB136&lt;=0,0,IF(WEEKDAY(EB$6,1)=1,0,MIN(8,EB137)*EB136)),MAX(0,40*MAX(1,EB136)-(DZ138+EA138)))))</f>
        <v>0</v>
      </c>
      <c r="EC139" s="63">
        <f>IF(AND(EC136=1,EC137=8),0,IF(EC136&lt;=0,0,IF(WEEKDAY(EC$6,1)=1,0,MAX(0,EC137-8)*EC136))+((IF(EC136&lt;=0,0,IF(WEEKDAY(EC$6,1)=1,0,MIN(8,EC137)*EC136)))-MIN(IF(EC136&lt;=0,0,IF(WEEKDAY(EC$6,1)=1,0,MIN(8,EC137)*EC136)),MAX(0,40*MAX(1,EC136)-(DZ138+EA138+EB138)))))</f>
        <v>0</v>
      </c>
      <c r="ED139" s="63">
        <f>IF(AND(ED136=1,ED137=8),0,IF(ED136&lt;=0,0,IF(WEEKDAY(ED$6,1)=1,0,MAX(0,ED137-8)*ED136))+((IF(ED136&lt;=0,0,IF(WEEKDAY(ED$6,1)=1,0,MIN(8,ED137)*ED136)))-MIN(IF(ED136&lt;=0,0,IF(WEEKDAY(ED$6,1)=1,0,MIN(8,ED137)*ED136)),MAX(0,40*MAX(1,ED136)-(DZ138+EA138+EB138+EC138)))))</f>
        <v>0</v>
      </c>
      <c r="EE139" s="64">
        <f>IF(AND(EE136=0,EE137=0),0,IF(EE136&lt;=0,0,IF(WEEKDAY(EE$6,1)=1,0,MAX(0,EE137-10)*EE136))+((IF(EE136&lt;=0,0,IF(WEEKDAY(EE$6,1)=1,0,MIN(10,EE137)*EE136)))-MIN(IF(EE136&lt;=0,0,IF(WEEKDAY(EE$6,1)=1,0,MIN(10,EE137)*EE136)),MAX(0,40*MAX(1,EE136)-(0)))))</f>
        <v>0</v>
      </c>
      <c r="EF139" s="64">
        <f>IF(AND(EF136=0,EF137=0),0,IF(EF136&lt;=0,0,IF(WEEKDAY(EF$6,1)=1,0,MAX(0,EF137-10)*EF136))+((IF(EF136&lt;=0,0,IF(WEEKDAY(EF$6,1)=1,0,MIN(10,EF137)*EF136)))-MIN(IF(EF136&lt;=0,0,IF(WEEKDAY(EF$6,1)=1,0,MIN(10,EF137)*EF136)),MAX(0,40*MAX(1,EF136)-(EE138)))))</f>
        <v>0</v>
      </c>
      <c r="EG139" s="63">
        <f>IF(AND(EG136=1,EG137=8),0,IF(EG136&lt;=0,0,IF(WEEKDAY(EG$6,1)=1,0,MAX(0,EG137-8)*EG136))+((IF(EG136&lt;=0,0,IF(WEEKDAY(EG$6,1)=1,0,MIN(8,EG137)*EG136)))-MIN(IF(EG136&lt;=0,0,IF(WEEKDAY(EG$6,1)=1,0,MIN(8,EG137)*EG136)),MAX(0,40*MAX(1,EG136)-(0)))))</f>
        <v>0</v>
      </c>
      <c r="EH139" s="63">
        <f>IF(AND(EH136=1,EH137=8),0,IF(EH136&lt;=0,0,IF(WEEKDAY(EH$6,1)=1,0,MAX(0,EH137-8)*EH136))+((IF(EH136&lt;=0,0,IF(WEEKDAY(EH$6,1)=1,0,MIN(8,EH137)*EH136)))-MIN(IF(EH136&lt;=0,0,IF(WEEKDAY(EH$6,1)=1,0,MIN(8,EH137)*EH136)),MAX(0,40*MAX(1,EH136)-(EG138)))))</f>
        <v>0</v>
      </c>
      <c r="EI139" s="63">
        <f>IF(AND(EI136=1,EI137=8),0,IF(EI136&lt;=0,0,IF(WEEKDAY(EI$6,1)=1,0,MAX(0,EI137-8)*EI136))+((IF(EI136&lt;=0,0,IF(WEEKDAY(EI$6,1)=1,0,MIN(8,EI137)*EI136)))-MIN(IF(EI136&lt;=0,0,IF(WEEKDAY(EI$6,1)=1,0,MIN(8,EI137)*EI136)),MAX(0,40*MAX(1,EI136)-(EG138+EH138)))))</f>
        <v>0</v>
      </c>
      <c r="EJ139" s="63">
        <f>IF(AND(EJ136=1,EJ137=8),0,IF(EJ136&lt;=0,0,IF(WEEKDAY(EJ$6,1)=1,0,MAX(0,EJ137-8)*EJ136))+((IF(EJ136&lt;=0,0,IF(WEEKDAY(EJ$6,1)=1,0,MIN(8,EJ137)*EJ136)))-MIN(IF(EJ136&lt;=0,0,IF(WEEKDAY(EJ$6,1)=1,0,MIN(8,EJ137)*EJ136)),MAX(0,40*MAX(1,EJ136)-(EG138+EH138+EI138)))))</f>
        <v>0</v>
      </c>
      <c r="EK139" s="65">
        <f>IF(AND(EK136=1,EK137=8),0,IF(EK136&lt;=0,0,IF(WEEKDAY(EK$6,1)=1,0,MAX(0,EK137-8)*EK136))+((IF(EK136&lt;=0,0,IF(WEEKDAY(EK$6,1)=1,0,MIN(8,EK137)*EK136)))-MIN(IF(EK136&lt;=0,0,IF(WEEKDAY(EK$6,1)=1,0,MIN(8,EK137)*EK136)),MAX(0,40*MAX(1,EK136)-(EG138+EH138+EI138+EJ138)))))</f>
        <v>0</v>
      </c>
      <c r="OU139" s="28" t="s">
        <v>92</v>
      </c>
    </row>
    <row r="140" ht="16" customHeight="1" spans="1:411" x14ac:dyDescent="0.25">
      <c r="A140" s="45"/>
      <c r="B140" s="46"/>
      <c r="C140" s="61">
        <f>H135*N(D140)</f>
        <v>17232.48</v>
      </c>
      <c r="D140" s="61">
        <f>IF(TRIM(B135)="","No rate",IFERROR(INDEX('Rate Tables'!E$7:E$158,MATCH(B135,'Rate Tables'!A$7:A$158,0)),"No rate"))</f>
        <v>159.56</v>
      </c>
      <c r="E140" s="55" t="s">
        <v>64</v>
      </c>
      <c r="F140" s="49"/>
      <c r="G140" s="49"/>
      <c r="H140" s="49"/>
      <c r="I140" s="49"/>
      <c r="J140" s="50"/>
      <c r="K140" s="62">
        <f>IF(AND(K136=1,K137=9),0,IF(K136&lt;=0,0,IF(WEEKDAY(K$6,1)=1,K136*K137,0)))</f>
        <v>0</v>
      </c>
      <c r="L140" s="63">
        <f>IF(AND(L136=1,L137=9),0,IF(L136&lt;=0,0,IF(WEEKDAY(L$6,1)=1,L136*L137,0)))</f>
        <v>0</v>
      </c>
      <c r="M140" s="63">
        <f>IF(AND(M136=1,M137=9),0,IF(M136&lt;=0,0,IF(WEEKDAY(M$6,1)=1,M136*M137,0)))</f>
        <v>0</v>
      </c>
      <c r="N140" s="63">
        <f>IF(AND(N136=1,N137=9),0,IF(N136&lt;=0,0,IF(WEEKDAY(N$6,1)=1,N136*N137,0)))</f>
        <v>0</v>
      </c>
      <c r="O140" s="63">
        <f>IF(AND(O136=1,O137=9),0,IF(O136&lt;=0,0,IF(WEEKDAY(O$6,1)=1,O136*O137,0)))</f>
        <v>0</v>
      </c>
      <c r="P140" s="64">
        <f>IF(AND(P136=0,P137=0),0,IF(P136&lt;=0,0,IF(WEEKDAY(P$6,1)=1,P136*P137,0)))</f>
        <v>0</v>
      </c>
      <c r="Q140" s="64">
        <f>IF(AND(Q136=0,Q137=0),0,IF(Q136&lt;=0,0,IF(WEEKDAY(Q$6,1)=1,Q136*Q137,0)))</f>
        <v>0</v>
      </c>
      <c r="R140" s="63">
        <f>IF(AND(R136=1,R137=9),0,IF(R136&lt;=0,0,IF(WEEKDAY(R$6,1)=1,R136*R137,0)))</f>
        <v>0</v>
      </c>
      <c r="S140" s="63">
        <f>IF(AND(S136=1,S137=9),0,IF(S136&lt;=0,0,IF(WEEKDAY(S$6,1)=1,S136*S137,0)))</f>
        <v>0</v>
      </c>
      <c r="T140" s="63">
        <f>IF(AND(T136=1,T137=9),0,IF(T136&lt;=0,0,IF(WEEKDAY(T$6,1)=1,T136*T137,0)))</f>
        <v>0</v>
      </c>
      <c r="U140" s="63">
        <f>IF(AND(U136=1,U137=9),0,IF(U136&lt;=0,0,IF(WEEKDAY(U$6,1)=1,U136*U137,0)))</f>
        <v>0</v>
      </c>
      <c r="V140" s="63">
        <f>IF(AND(V136=1,V137=9),0,IF(V136&lt;=0,0,IF(WEEKDAY(V$6,1)=1,V136*V137,0)))</f>
        <v>0</v>
      </c>
      <c r="W140" s="64">
        <f>IF(AND(W136=0,W137=0),0,IF(W136&lt;=0,0,IF(WEEKDAY(W$6,1)=1,W136*W137,0)))</f>
        <v>0</v>
      </c>
      <c r="X140" s="64">
        <f>IF(AND(X136=0,X137=0),0,IF(X136&lt;=0,0,IF(WEEKDAY(X$6,1)=1,X136*X137,0)))</f>
        <v>0</v>
      </c>
      <c r="Y140" s="63">
        <f>IF(AND(Y136=1,Y137=9),0,IF(Y136&lt;=0,0,IF(WEEKDAY(Y$6,1)=1,Y136*Y137,0)))</f>
        <v>0</v>
      </c>
      <c r="Z140" s="63">
        <f>IF(AND(Z136=1,Z137=9),0,IF(Z136&lt;=0,0,IF(WEEKDAY(Z$6,1)=1,Z136*Z137,0)))</f>
        <v>0</v>
      </c>
      <c r="AA140" s="63">
        <f>IF(AND(AA136=1,AA137=9),0,IF(AA136&lt;=0,0,IF(WEEKDAY(AA$6,1)=1,AA136*AA137,0)))</f>
        <v>0</v>
      </c>
      <c r="AB140" s="63">
        <f>IF(AND(AB136=1,AB137=9),0,IF(AB136&lt;=0,0,IF(WEEKDAY(AB$6,1)=1,AB136*AB137,0)))</f>
        <v>0</v>
      </c>
      <c r="AC140" s="63">
        <f>IF(AND(AC136=1,AC137=9),0,IF(AC136&lt;=0,0,IF(WEEKDAY(AC$6,1)=1,AC136*AC137,0)))</f>
        <v>0</v>
      </c>
      <c r="AD140" s="64">
        <f>IF(AND(AD136=0,AD137=0),0,IF(AD136&lt;=0,0,IF(WEEKDAY(AD$6,1)=1,AD136*AD137,0)))</f>
        <v>0</v>
      </c>
      <c r="AE140" s="64">
        <f>IF(AND(AE136=0,AE137=0),0,IF(AE136&lt;=0,0,IF(WEEKDAY(AE$6,1)=1,AE136*AE137,0)))</f>
        <v>0</v>
      </c>
      <c r="AF140" s="63">
        <f>IF(AND(AF136=1,AF137=9),0,IF(AF136&lt;=0,0,IF(WEEKDAY(AF$6,1)=1,AF136*AF137,0)))</f>
        <v>0</v>
      </c>
      <c r="AG140" s="63">
        <f>IF(AND(AG136=1,AG137=9),0,IF(AG136&lt;=0,0,IF(WEEKDAY(AG$6,1)=1,AG136*AG137,0)))</f>
        <v>0</v>
      </c>
      <c r="AH140" s="63">
        <f>IF(AND(AH136=1,AH137=9),0,IF(AH136&lt;=0,0,IF(WEEKDAY(AH$6,1)=1,AH136*AH137,0)))</f>
        <v>0</v>
      </c>
      <c r="AI140" s="63">
        <f>IF(AND(AI136=1,AI137=9),0,IF(AI136&lt;=0,0,IF(WEEKDAY(AI$6,1)=1,AI136*AI137,0)))</f>
        <v>0</v>
      </c>
      <c r="AJ140" s="63">
        <f>IF(AND(AJ136=1,AJ137=9),0,IF(AJ136&lt;=0,0,IF(WEEKDAY(AJ$6,1)=1,AJ136*AJ137,0)))</f>
        <v>0</v>
      </c>
      <c r="AK140" s="64">
        <f>IF(AND(AK136=0,AK137=0),0,IF(AK136&lt;=0,0,IF(WEEKDAY(AK$6,1)=1,AK136*AK137,0)))</f>
        <v>0</v>
      </c>
      <c r="AL140" s="64">
        <f>IF(AND(AL136=0,AL137=0),0,IF(AL136&lt;=0,0,IF(WEEKDAY(AL$6,1)=1,AL136*AL137,0)))</f>
        <v>0</v>
      </c>
      <c r="AM140" s="63">
        <f>IF(AND(AM136=1,AM137=9),0,IF(AM136&lt;=0,0,IF(WEEKDAY(AM$6,1)=1,AM136*AM137,0)))</f>
        <v>0</v>
      </c>
      <c r="AN140" s="63">
        <f>IF(AND(AN136=1,AN137=9),0,IF(AN136&lt;=0,0,IF(WEEKDAY(AN$6,1)=1,AN136*AN137,0)))</f>
        <v>0</v>
      </c>
      <c r="AO140" s="63">
        <f>IF(AND(AO136=1,AO137=9),0,IF(AO136&lt;=0,0,IF(WEEKDAY(AO$6,1)=1,AO136*AO137,0)))</f>
        <v>0</v>
      </c>
      <c r="AP140" s="63">
        <f>IF(AND(AP136=1,AP137=9),0,IF(AP136&lt;=0,0,IF(WEEKDAY(AP$6,1)=1,AP136*AP137,0)))</f>
        <v>0</v>
      </c>
      <c r="AQ140" s="63">
        <f>IF(AND(AQ136=1,AQ137=9),0,IF(AQ136&lt;=0,0,IF(WEEKDAY(AQ$6,1)=1,AQ136*AQ137,0)))</f>
        <v>0</v>
      </c>
      <c r="AR140" s="64">
        <f>IF(AND(AR136=0,AR137=0),0,IF(AR136&lt;=0,0,IF(WEEKDAY(AR$6,1)=1,AR136*AR137,0)))</f>
        <v>0</v>
      </c>
      <c r="AS140" s="64">
        <f>IF(AND(AS136=0,AS137=0),0,IF(AS136&lt;=0,0,IF(WEEKDAY(AS$6,1)=1,AS136*AS137,0)))</f>
        <v>0</v>
      </c>
      <c r="AT140" s="63">
        <f>IF(AND(AT136=1,AT137=9),0,IF(AT136&lt;=0,0,IF(WEEKDAY(AT$6,1)=1,AT136*AT137,0)))</f>
        <v>0</v>
      </c>
      <c r="AU140" s="63">
        <f>IF(AND(AU136=1,AU137=9),0,IF(AU136&lt;=0,0,IF(WEEKDAY(AU$6,1)=1,AU136*AU137,0)))</f>
        <v>0</v>
      </c>
      <c r="AV140" s="63">
        <f>IF(AND(AV136=1,AV137=9),0,IF(AV136&lt;=0,0,IF(WEEKDAY(AV$6,1)=1,AV136*AV137,0)))</f>
        <v>0</v>
      </c>
      <c r="AW140" s="63">
        <f>IF(AND(AW136=1,AW137=9),0,IF(AW136&lt;=0,0,IF(WEEKDAY(AW$6,1)=1,AW136*AW137,0)))</f>
        <v>0</v>
      </c>
      <c r="AX140" s="63">
        <f>IF(AND(AX136=1,AX137=9),0,IF(AX136&lt;=0,0,IF(WEEKDAY(AX$6,1)=1,AX136*AX137,0)))</f>
        <v>0</v>
      </c>
      <c r="AY140" s="64">
        <f>IF(AND(AY136=0,AY137=0),0,IF(AY136&lt;=0,0,IF(WEEKDAY(AY$6,1)=1,AY136*AY137,0)))</f>
        <v>0</v>
      </c>
      <c r="AZ140" s="64">
        <f>IF(AND(AZ136=0,AZ137=0),0,IF(AZ136&lt;=0,0,IF(WEEKDAY(AZ$6,1)=1,AZ136*AZ137,0)))</f>
        <v>0</v>
      </c>
      <c r="BA140" s="63">
        <f>IF(AND(BA136=1,BA137=9),0,IF(BA136&lt;=0,0,IF(WEEKDAY(BA$6,1)=1,BA136*BA137,0)))</f>
        <v>0</v>
      </c>
      <c r="BB140" s="63">
        <f>IF(AND(BB136=1,BB137=9),0,IF(BB136&lt;=0,0,IF(WEEKDAY(BB$6,1)=1,BB136*BB137,0)))</f>
        <v>0</v>
      </c>
      <c r="BC140" s="63">
        <f>IF(AND(BC136=1,BC137=9),0,IF(BC136&lt;=0,0,IF(WEEKDAY(BC$6,1)=1,BC136*BC137,0)))</f>
        <v>0</v>
      </c>
      <c r="BD140" s="63">
        <f>IF(AND(BD136=1,BD137=9),0,IF(BD136&lt;=0,0,IF(WEEKDAY(BD$6,1)=1,BD136*BD137,0)))</f>
        <v>0</v>
      </c>
      <c r="BE140" s="63">
        <f>IF(AND(BE136=1,BE137=9),0,IF(BE136&lt;=0,0,IF(WEEKDAY(BE$6,1)=1,BE136*BE137,0)))</f>
        <v>0</v>
      </c>
      <c r="BF140" s="64">
        <f>IF(AND(BF136=0,BF137=0),0,IF(BF136&lt;=0,0,IF(WEEKDAY(BF$6,1)=1,BF136*BF137,0)))</f>
        <v>0</v>
      </c>
      <c r="BG140" s="64">
        <f>IF(AND(BG136=0,BG137=0),0,IF(BG136&lt;=0,0,IF(WEEKDAY(BG$6,1)=1,BG136*BG137,0)))</f>
        <v>0</v>
      </c>
      <c r="BH140" s="63">
        <f>IF(AND(BH136=1,BH137=12),0,IF(BH136&lt;=0,0,IF(WEEKDAY(BH$6,1)=1,BH136*BH137,0)))</f>
        <v>0</v>
      </c>
      <c r="BI140" s="63">
        <f>IF(AND(BI136=1,BI137=12),0,IF(BI136&lt;=0,0,IF(WEEKDAY(BI$6,1)=1,BI136*BI137,0)))</f>
        <v>0</v>
      </c>
      <c r="BJ140" s="63">
        <f>IF(AND(BJ136=1,BJ137=12),0,IF(BJ136&lt;=0,0,IF(WEEKDAY(BJ$6,1)=1,BJ136*BJ137,0)))</f>
        <v>0</v>
      </c>
      <c r="BK140" s="63">
        <f>IF(AND(BK136=1,BK137=12),0,IF(BK136&lt;=0,0,IF(WEEKDAY(BK$6,1)=1,BK136*BK137,0)))</f>
        <v>0</v>
      </c>
      <c r="BL140" s="63">
        <f>IF(AND(BL136=1,BL137=12),0,IF(BL136&lt;=0,0,IF(WEEKDAY(BL$6,1)=1,BL136*BL137,0)))</f>
        <v>0</v>
      </c>
      <c r="BM140" s="64">
        <f>IF(AND(BM136=1,BM137=12),0,IF(BM136&lt;=0,0,IF(WEEKDAY(BM$6,1)=1,BM136*BM137,0)))</f>
        <v>0</v>
      </c>
      <c r="BN140" s="64">
        <f>IF(AND(BN136=1,BN137=12),12,IF(BN136&lt;=0,0,IF(WEEKDAY(BN$6,1)=1,BN136*BN137,0)))</f>
        <v>12</v>
      </c>
      <c r="BO140" s="63">
        <f>IF(AND(BO136=1,BO137=12),0,IF(BO136&lt;=0,0,IF(WEEKDAY(BO$6,1)=1,BO136*BO137,0)))</f>
        <v>0</v>
      </c>
      <c r="BP140" s="63">
        <f>IF(AND(BP136=1,BP137=12),0,IF(BP136&lt;=0,0,IF(WEEKDAY(BP$6,1)=1,BP136*BP137,0)))</f>
        <v>0</v>
      </c>
      <c r="BQ140" s="63">
        <f>IF(AND(BQ136=1,BQ137=12),0,IF(BQ136&lt;=0,0,IF(WEEKDAY(BQ$6,1)=1,BQ136*BQ137,0)))</f>
        <v>0</v>
      </c>
      <c r="BR140" s="63">
        <f>IF(AND(BR136=1,BR137=12),0,IF(BR136&lt;=0,0,IF(WEEKDAY(BR$6,1)=1,BR136*BR137,0)))</f>
        <v>0</v>
      </c>
      <c r="BS140" s="63">
        <f>IF(AND(BS136=1,BS137=12),0,IF(BS136&lt;=0,0,IF(WEEKDAY(BS$6,1)=1,BS136*BS137,0)))</f>
        <v>0</v>
      </c>
      <c r="BT140" s="64">
        <f>IF(AND(BT136=1,BT137=12),0,IF(BT136&lt;=0,0,IF(WEEKDAY(BT$6,1)=1,BT136*BT137,0)))</f>
        <v>0</v>
      </c>
      <c r="BU140" s="64">
        <f>IF(AND(BU136=1,BU137=12),12,IF(BU136&lt;=0,0,IF(WEEKDAY(BU$6,1)=1,BU136*BU137,0)))</f>
        <v>12</v>
      </c>
      <c r="BV140" s="63">
        <f>IF(AND(BV136=1,BV137=12),0,IF(BV136&lt;=0,0,IF(WEEKDAY(BV$6,1)=1,BV136*BV137,0)))</f>
        <v>0</v>
      </c>
      <c r="BW140" s="63">
        <f>IF(AND(BW136=1,BW137=12),0,IF(BW136&lt;=0,0,IF(WEEKDAY(BW$6,1)=1,BW136*BW137,0)))</f>
        <v>0</v>
      </c>
      <c r="BX140" s="63">
        <f>IF(AND(BX136=1,BX137=12),0,IF(BX136&lt;=0,0,IF(WEEKDAY(BX$6,1)=1,BX136*BX137,0)))</f>
        <v>0</v>
      </c>
      <c r="BY140" s="63">
        <f>IF(AND(BY136=1,BY137=12),0,IF(BY136&lt;=0,0,IF(WEEKDAY(BY$6,1)=1,BY136*BY137,0)))</f>
        <v>0</v>
      </c>
      <c r="BZ140" s="63">
        <f>IF(AND(BZ136=1,BZ137=12),0,IF(BZ136&lt;=0,0,IF(WEEKDAY(BZ$6,1)=1,BZ136*BZ137,0)))</f>
        <v>0</v>
      </c>
      <c r="CA140" s="64">
        <f>IF(AND(CA136=1,CA137=12),0,IF(CA136&lt;=0,0,IF(WEEKDAY(CA$6,1)=1,CA136*CA137,0)))</f>
        <v>0</v>
      </c>
      <c r="CB140" s="64">
        <f>IF(AND(CB136=1,CB137=12),12,IF(CB136&lt;=0,0,IF(WEEKDAY(CB$6,1)=1,CB136*CB137,0)))</f>
        <v>12</v>
      </c>
      <c r="CC140" s="63">
        <f>IF(AND(CC136=1,CC137=12),0,IF(CC136&lt;=0,0,IF(WEEKDAY(CC$6,1)=1,CC136*CC137,0)))</f>
        <v>0</v>
      </c>
      <c r="CD140" s="63">
        <f>IF(AND(CD136=1,CD137=12),0,IF(CD136&lt;=0,0,IF(WEEKDAY(CD$6,1)=1,CD136*CD137,0)))</f>
        <v>0</v>
      </c>
      <c r="CE140" s="63">
        <f>IF(AND(CE136=1,CE137=12),0,IF(CE136&lt;=0,0,IF(WEEKDAY(CE$6,1)=1,CE136*CE137,0)))</f>
        <v>0</v>
      </c>
      <c r="CF140" s="63">
        <f>IF(AND(CF136=1,CF137=12),0,IF(CF136&lt;=0,0,IF(WEEKDAY(CF$6,1)=1,CF136*CF137,0)))</f>
        <v>0</v>
      </c>
      <c r="CG140" s="63">
        <f>IF(AND(CG136=1,CG137=12),0,IF(CG136&lt;=0,0,IF(WEEKDAY(CG$6,1)=1,CG136*CG137,0)))</f>
        <v>0</v>
      </c>
      <c r="CH140" s="64">
        <f>IF(AND(CH136=1,CH137=12),0,IF(CH136&lt;=0,0,IF(WEEKDAY(CH$6,1)=1,CH136*CH137,0)))</f>
        <v>0</v>
      </c>
      <c r="CI140" s="64">
        <f>IF(AND(CI136=1,CI137=12),12,IF(CI136&lt;=0,0,IF(WEEKDAY(CI$6,1)=1,CI136*CI137,0)))</f>
        <v>12</v>
      </c>
      <c r="CJ140" s="63">
        <f>IF(AND(CJ136=1,CJ137=12),0,IF(CJ136&lt;=0,0,IF(WEEKDAY(CJ$6,1)=1,CJ136*CJ137,0)))</f>
        <v>0</v>
      </c>
      <c r="CK140" s="63">
        <f>IF(AND(CK136=1,CK137=12),0,IF(CK136&lt;=0,0,IF(WEEKDAY(CK$6,1)=1,CK136*CK137,0)))</f>
        <v>0</v>
      </c>
      <c r="CL140" s="63">
        <f>IF(AND(CL136=1,CL137=12),0,IF(CL136&lt;=0,0,IF(WEEKDAY(CL$6,1)=1,CL136*CL137,0)))</f>
        <v>0</v>
      </c>
      <c r="CM140" s="63">
        <f>IF(AND(CM136=1,CM137=12),0,IF(CM136&lt;=0,0,IF(WEEKDAY(CM$6,1)=1,CM136*CM137,0)))</f>
        <v>0</v>
      </c>
      <c r="CN140" s="63">
        <f>IF(AND(CN136=1,CN137=12),0,IF(CN136&lt;=0,0,IF(WEEKDAY(CN$6,1)=1,CN136*CN137,0)))</f>
        <v>0</v>
      </c>
      <c r="CO140" s="64">
        <f>IF(AND(CO136=1,CO137=12),0,IF(CO136&lt;=0,0,IF(WEEKDAY(CO$6,1)=1,CO136*CO137,0)))</f>
        <v>0</v>
      </c>
      <c r="CP140" s="64">
        <f>IF(AND(CP136=1,CP137=12),12,IF(CP136&lt;=0,0,IF(WEEKDAY(CP$6,1)=1,CP136*CP137,0)))</f>
        <v>12</v>
      </c>
      <c r="CQ140" s="63">
        <f>IF(AND(CQ136=1,CQ137=12),0,IF(CQ136&lt;=0,0,IF(WEEKDAY(CQ$6,1)=1,CQ136*CQ137,0)))</f>
        <v>0</v>
      </c>
      <c r="CR140" s="63">
        <f>IF(AND(CR136=1,CR137=12),0,IF(CR136&lt;=0,0,IF(WEEKDAY(CR$6,1)=1,CR136*CR137,0)))</f>
        <v>0</v>
      </c>
      <c r="CS140" s="63">
        <f>IF(AND(CS136=1,CS137=12),0,IF(CS136&lt;=0,0,IF(WEEKDAY(CS$6,1)=1,CS136*CS137,0)))</f>
        <v>0</v>
      </c>
      <c r="CT140" s="63">
        <f>IF(AND(CT136=1,CT137=12),0,IF(CT136&lt;=0,0,IF(WEEKDAY(CT$6,1)=1,CT136*CT137,0)))</f>
        <v>0</v>
      </c>
      <c r="CU140" s="63">
        <f>IF(AND(CU136=1,CU137=12),0,IF(CU136&lt;=0,0,IF(WEEKDAY(CU$6,1)=1,CU136*CU137,0)))</f>
        <v>0</v>
      </c>
      <c r="CV140" s="64">
        <f>IF(AND(CV136=1,CV137=12),0,IF(CV136&lt;=0,0,IF(WEEKDAY(CV$6,1)=1,CV136*CV137,0)))</f>
        <v>0</v>
      </c>
      <c r="CW140" s="64">
        <f>IF(AND(CW136=1,CW137=12),12,IF(CW136&lt;=0,0,IF(WEEKDAY(CW$6,1)=1,CW136*CW137,0)))</f>
        <v>12</v>
      </c>
      <c r="CX140" s="63">
        <f>IF(AND(CX136=1,CX137=12),0,IF(CX136&lt;=0,0,IF(WEEKDAY(CX$6,1)=1,CX136*CX137,0)))</f>
        <v>0</v>
      </c>
      <c r="CY140" s="63">
        <f>IF(AND(CY136=1,CY137=12),0,IF(CY136&lt;=0,0,IF(WEEKDAY(CY$6,1)=1,CY136*CY137,0)))</f>
        <v>0</v>
      </c>
      <c r="CZ140" s="63">
        <f>IF(AND(CZ136=1,CZ137=12),0,IF(CZ136&lt;=0,0,IF(WEEKDAY(CZ$6,1)=1,CZ136*CZ137,0)))</f>
        <v>0</v>
      </c>
      <c r="DA140" s="63">
        <f>IF(AND(DA136=1,DA137=12),0,IF(DA136&lt;=0,0,IF(WEEKDAY(DA$6,1)=1,DA136*DA137,0)))</f>
        <v>0</v>
      </c>
      <c r="DB140" s="63">
        <f>IF(AND(DB136=1,DB137=12),0,IF(DB136&lt;=0,0,IF(WEEKDAY(DB$6,1)=1,DB136*DB137,0)))</f>
        <v>0</v>
      </c>
      <c r="DC140" s="64">
        <f>IF(AND(DC136=1,DC137=12),0,IF(DC136&lt;=0,0,IF(WEEKDAY(DC$6,1)=1,DC136*DC137,0)))</f>
        <v>0</v>
      </c>
      <c r="DD140" s="64">
        <f>IF(AND(DD136=1,DD137=12),12,IF(DD136&lt;=0,0,IF(WEEKDAY(DD$6,1)=1,DD136*DD137,0)))</f>
        <v>12</v>
      </c>
      <c r="DE140" s="63">
        <f>IF(AND(DE136=1,DE137=12),0,IF(DE136&lt;=0,0,IF(WEEKDAY(DE$6,1)=1,DE136*DE137,0)))</f>
        <v>0</v>
      </c>
      <c r="DF140" s="63">
        <f>IF(AND(DF136=1,DF137=12),0,IF(DF136&lt;=0,0,IF(WEEKDAY(DF$6,1)=1,DF136*DF137,0)))</f>
        <v>0</v>
      </c>
      <c r="DG140" s="63">
        <f>IF(AND(DG136=1,DG137=12),0,IF(DG136&lt;=0,0,IF(WEEKDAY(DG$6,1)=1,DG136*DG137,0)))</f>
        <v>0</v>
      </c>
      <c r="DH140" s="63">
        <f>IF(AND(DH136=1,DH137=12),0,IF(DH136&lt;=0,0,IF(WEEKDAY(DH$6,1)=1,DH136*DH137,0)))</f>
        <v>0</v>
      </c>
      <c r="DI140" s="63">
        <f>IF(AND(DI136=1,DI137=12),0,IF(DI136&lt;=0,0,IF(WEEKDAY(DI$6,1)=1,DI136*DI137,0)))</f>
        <v>0</v>
      </c>
      <c r="DJ140" s="64">
        <f>IF(AND(DJ136=1,DJ137=12),0,IF(DJ136&lt;=0,0,IF(WEEKDAY(DJ$6,1)=1,DJ136*DJ137,0)))</f>
        <v>0</v>
      </c>
      <c r="DK140" s="64">
        <f>IF(AND(DK136=1,DK137=12),12,IF(DK136&lt;=0,0,IF(WEEKDAY(DK$6,1)=1,DK136*DK137,0)))</f>
        <v>12</v>
      </c>
      <c r="DL140" s="63">
        <f>IF(AND(DL136=1,DL137=12),0,IF(DL136&lt;=0,0,IF(WEEKDAY(DL$6,1)=1,DL136*DL137,0)))</f>
        <v>0</v>
      </c>
      <c r="DM140" s="63">
        <f>IF(AND(DM136=1,DM137=12),0,IF(DM136&lt;=0,0,IF(WEEKDAY(DM$6,1)=1,DM136*DM137,0)))</f>
        <v>0</v>
      </c>
      <c r="DN140" s="63">
        <f>IF(AND(DN136=1,DN137=12),0,IF(DN136&lt;=0,0,IF(WEEKDAY(DN$6,1)=1,DN136*DN137,0)))</f>
        <v>0</v>
      </c>
      <c r="DO140" s="63">
        <f>IF(AND(DO136=1,DO137=12),0,IF(DO136&lt;=0,0,IF(WEEKDAY(DO$6,1)=1,DO136*DO137,0)))</f>
        <v>0</v>
      </c>
      <c r="DP140" s="63">
        <f>IF(AND(DP136=1,DP137=12),0,IF(DP136&lt;=0,0,IF(WEEKDAY(DP$6,1)=1,DP136*DP137,0)))</f>
        <v>0</v>
      </c>
      <c r="DQ140" s="64">
        <f>IF(AND(DQ136=1,DQ137=12),0,IF(DQ136&lt;=0,0,IF(WEEKDAY(DQ$6,1)=1,DQ136*DQ137,0)))</f>
        <v>0</v>
      </c>
      <c r="DR140" s="64">
        <f>IF(AND(DR136=1,DR137=12),12,IF(DR136&lt;=0,0,IF(WEEKDAY(DR$6,1)=1,DR136*DR137,0)))</f>
        <v>12</v>
      </c>
      <c r="DS140" s="63">
        <f>IF(AND(DS136=1,DS137=12),0,IF(DS136&lt;=0,0,IF(WEEKDAY(DS$6,1)=1,DS136*DS137,0)))</f>
        <v>0</v>
      </c>
      <c r="DT140" s="63">
        <f>IF(AND(DT136=1,DT137=8),0,IF(DT136&lt;=0,0,IF(WEEKDAY(DT$6,1)=1,DT136*DT137,0)))</f>
        <v>0</v>
      </c>
      <c r="DU140" s="63">
        <f>IF(AND(DU136=1,DU137=8),0,IF(DU136&lt;=0,0,IF(WEEKDAY(DU$6,1)=1,DU136*DU137,0)))</f>
        <v>0</v>
      </c>
      <c r="DV140" s="63">
        <f>IF(AND(DV136=1,DV137=8),0,IF(DV136&lt;=0,0,IF(WEEKDAY(DV$6,1)=1,DV136*DV137,0)))</f>
        <v>0</v>
      </c>
      <c r="DW140" s="63">
        <f>IF(AND(DW136=1,DW137=8),0,IF(DW136&lt;=0,0,IF(WEEKDAY(DW$6,1)=1,DW136*DW137,0)))</f>
        <v>0</v>
      </c>
      <c r="DX140" s="64">
        <f>IF(AND(DX136=0,DX137=0),0,IF(DX136&lt;=0,0,IF(WEEKDAY(DX$6,1)=1,DX136*DX137,0)))</f>
        <v>0</v>
      </c>
      <c r="DY140" s="64">
        <f>IF(AND(DY136=0,DY137=0),0,IF(DY136&lt;=0,0,IF(WEEKDAY(DY$6,1)=1,DY136*DY137,0)))</f>
        <v>0</v>
      </c>
      <c r="DZ140" s="63">
        <f>IF(AND(DZ136=1,DZ137=8),0,IF(DZ136&lt;=0,0,IF(WEEKDAY(DZ$6,1)=1,DZ136*DZ137,0)))</f>
        <v>0</v>
      </c>
      <c r="EA140" s="63">
        <f>IF(AND(EA136=1,EA137=8),0,IF(EA136&lt;=0,0,IF(WEEKDAY(EA$6,1)=1,EA136*EA137,0)))</f>
        <v>0</v>
      </c>
      <c r="EB140" s="63">
        <f>IF(AND(EB136=1,EB137=8),0,IF(EB136&lt;=0,0,IF(WEEKDAY(EB$6,1)=1,EB136*EB137,0)))</f>
        <v>0</v>
      </c>
      <c r="EC140" s="63">
        <f>IF(AND(EC136=1,EC137=8),0,IF(EC136&lt;=0,0,IF(WEEKDAY(EC$6,1)=1,EC136*EC137,0)))</f>
        <v>0</v>
      </c>
      <c r="ED140" s="63">
        <f>IF(AND(ED136=1,ED137=8),0,IF(ED136&lt;=0,0,IF(WEEKDAY(ED$6,1)=1,ED136*ED137,0)))</f>
        <v>0</v>
      </c>
      <c r="EE140" s="64">
        <f>IF(AND(EE136=0,EE137=0),0,IF(EE136&lt;=0,0,IF(WEEKDAY(EE$6,1)=1,EE136*EE137,0)))</f>
        <v>0</v>
      </c>
      <c r="EF140" s="64">
        <f>IF(AND(EF136=0,EF137=0),0,IF(EF136&lt;=0,0,IF(WEEKDAY(EF$6,1)=1,EF136*EF137,0)))</f>
        <v>0</v>
      </c>
      <c r="EG140" s="63">
        <f>IF(AND(EG136=1,EG137=8),0,IF(EG136&lt;=0,0,IF(WEEKDAY(EG$6,1)=1,EG136*EG137,0)))</f>
        <v>0</v>
      </c>
      <c r="EH140" s="63">
        <f>IF(AND(EH136=1,EH137=8),0,IF(EH136&lt;=0,0,IF(WEEKDAY(EH$6,1)=1,EH136*EH137,0)))</f>
        <v>0</v>
      </c>
      <c r="EI140" s="63">
        <f>IF(AND(EI136=1,EI137=8),0,IF(EI136&lt;=0,0,IF(WEEKDAY(EI$6,1)=1,EI136*EI137,0)))</f>
        <v>0</v>
      </c>
      <c r="EJ140" s="63">
        <f>IF(AND(EJ136=1,EJ137=8),0,IF(EJ136&lt;=0,0,IF(WEEKDAY(EJ$6,1)=1,EJ136*EJ137,0)))</f>
        <v>0</v>
      </c>
      <c r="EK140" s="65">
        <f>IF(AND(EK136=1,EK137=8),0,IF(EK136&lt;=0,0,IF(WEEKDAY(EK$6,1)=1,EK136*EK137,0)))</f>
        <v>0</v>
      </c>
      <c r="OU140" s="28" t="s">
        <v>92</v>
      </c>
    </row>
    <row r="141" ht="16" customHeight="1" spans="1:411" x14ac:dyDescent="0.25">
      <c r="A141" s="45"/>
      <c r="B141" s="46"/>
      <c r="C141" s="67">
        <f>I135*D141</f>
        <v>15820</v>
      </c>
      <c r="D141" s="67">
        <v>140</v>
      </c>
      <c r="E141" s="68" t="s">
        <v>65</v>
      </c>
      <c r="F141" s="49"/>
      <c r="G141" s="49"/>
      <c r="H141" s="49"/>
      <c r="I141" s="49"/>
      <c r="J141" s="50"/>
      <c r="K141" s="69">
        <v>1</v>
      </c>
      <c r="L141" s="70">
        <v>1</v>
      </c>
      <c r="M141" s="70">
        <v>1</v>
      </c>
      <c r="N141" s="70">
        <v>1</v>
      </c>
      <c r="O141" s="70">
        <v>1</v>
      </c>
      <c r="P141" s="71">
        <v>0</v>
      </c>
      <c r="Q141" s="71">
        <v>0</v>
      </c>
      <c r="R141" s="70">
        <v>1</v>
      </c>
      <c r="S141" s="70">
        <v>1</v>
      </c>
      <c r="T141" s="70">
        <v>1</v>
      </c>
      <c r="U141" s="70">
        <v>1</v>
      </c>
      <c r="V141" s="70">
        <v>1</v>
      </c>
      <c r="W141" s="71">
        <v>0</v>
      </c>
      <c r="X141" s="71">
        <v>0</v>
      </c>
      <c r="Y141" s="70">
        <v>1</v>
      </c>
      <c r="Z141" s="70">
        <v>1</v>
      </c>
      <c r="AA141" s="70">
        <v>1</v>
      </c>
      <c r="AB141" s="70">
        <v>1</v>
      </c>
      <c r="AC141" s="70">
        <v>1</v>
      </c>
      <c r="AD141" s="71">
        <v>0</v>
      </c>
      <c r="AE141" s="71">
        <v>0</v>
      </c>
      <c r="AF141" s="70">
        <v>1</v>
      </c>
      <c r="AG141" s="70">
        <v>1</v>
      </c>
      <c r="AH141" s="70">
        <v>1</v>
      </c>
      <c r="AI141" s="70">
        <v>1</v>
      </c>
      <c r="AJ141" s="70">
        <v>1</v>
      </c>
      <c r="AK141" s="71">
        <v>0</v>
      </c>
      <c r="AL141" s="71">
        <v>0</v>
      </c>
      <c r="AM141" s="70">
        <v>1</v>
      </c>
      <c r="AN141" s="70">
        <v>1</v>
      </c>
      <c r="AO141" s="70">
        <v>1</v>
      </c>
      <c r="AP141" s="70">
        <v>1</v>
      </c>
      <c r="AQ141" s="70">
        <v>1</v>
      </c>
      <c r="AR141" s="71">
        <v>0</v>
      </c>
      <c r="AS141" s="71">
        <v>0</v>
      </c>
      <c r="AT141" s="70">
        <v>1</v>
      </c>
      <c r="AU141" s="70">
        <v>1</v>
      </c>
      <c r="AV141" s="70">
        <v>1</v>
      </c>
      <c r="AW141" s="70">
        <v>1</v>
      </c>
      <c r="AX141" s="70">
        <v>1</v>
      </c>
      <c r="AY141" s="71">
        <v>0</v>
      </c>
      <c r="AZ141" s="71">
        <v>0</v>
      </c>
      <c r="BA141" s="70">
        <v>1</v>
      </c>
      <c r="BB141" s="70">
        <v>1</v>
      </c>
      <c r="BC141" s="70">
        <v>1</v>
      </c>
      <c r="BD141" s="70">
        <v>1</v>
      </c>
      <c r="BE141" s="70">
        <v>1</v>
      </c>
      <c r="BF141" s="71">
        <v>0</v>
      </c>
      <c r="BG141" s="71">
        <v>0</v>
      </c>
      <c r="BH141" s="70">
        <v>1</v>
      </c>
      <c r="BI141" s="70">
        <v>1</v>
      </c>
      <c r="BJ141" s="70">
        <v>1</v>
      </c>
      <c r="BK141" s="70">
        <v>1</v>
      </c>
      <c r="BL141" s="70">
        <v>1</v>
      </c>
      <c r="BM141" s="71">
        <v>1</v>
      </c>
      <c r="BN141" s="71">
        <v>1</v>
      </c>
      <c r="BO141" s="70">
        <v>1</v>
      </c>
      <c r="BP141" s="70">
        <v>1</v>
      </c>
      <c r="BQ141" s="70">
        <v>1</v>
      </c>
      <c r="BR141" s="70">
        <v>1</v>
      </c>
      <c r="BS141" s="70">
        <v>1</v>
      </c>
      <c r="BT141" s="71">
        <v>1</v>
      </c>
      <c r="BU141" s="71">
        <v>1</v>
      </c>
      <c r="BV141" s="70">
        <v>1</v>
      </c>
      <c r="BW141" s="70">
        <v>1</v>
      </c>
      <c r="BX141" s="70">
        <v>1</v>
      </c>
      <c r="BY141" s="70">
        <v>1</v>
      </c>
      <c r="BZ141" s="70">
        <v>1</v>
      </c>
      <c r="CA141" s="71">
        <v>1</v>
      </c>
      <c r="CB141" s="71">
        <v>1</v>
      </c>
      <c r="CC141" s="70">
        <v>1</v>
      </c>
      <c r="CD141" s="70">
        <v>1</v>
      </c>
      <c r="CE141" s="70">
        <v>1</v>
      </c>
      <c r="CF141" s="70">
        <v>1</v>
      </c>
      <c r="CG141" s="70">
        <v>1</v>
      </c>
      <c r="CH141" s="71">
        <v>1</v>
      </c>
      <c r="CI141" s="71">
        <v>1</v>
      </c>
      <c r="CJ141" s="70">
        <v>1</v>
      </c>
      <c r="CK141" s="70">
        <v>1</v>
      </c>
      <c r="CL141" s="70">
        <v>1</v>
      </c>
      <c r="CM141" s="70">
        <v>1</v>
      </c>
      <c r="CN141" s="70">
        <v>1</v>
      </c>
      <c r="CO141" s="71">
        <v>1</v>
      </c>
      <c r="CP141" s="71">
        <v>1</v>
      </c>
      <c r="CQ141" s="70">
        <v>1</v>
      </c>
      <c r="CR141" s="70">
        <v>1</v>
      </c>
      <c r="CS141" s="70">
        <v>1</v>
      </c>
      <c r="CT141" s="70">
        <v>1</v>
      </c>
      <c r="CU141" s="70">
        <v>1</v>
      </c>
      <c r="CV141" s="71">
        <v>1</v>
      </c>
      <c r="CW141" s="71">
        <v>1</v>
      </c>
      <c r="CX141" s="70">
        <v>1</v>
      </c>
      <c r="CY141" s="70">
        <v>1</v>
      </c>
      <c r="CZ141" s="70">
        <v>1</v>
      </c>
      <c r="DA141" s="70">
        <v>1</v>
      </c>
      <c r="DB141" s="70">
        <v>1</v>
      </c>
      <c r="DC141" s="71">
        <v>1</v>
      </c>
      <c r="DD141" s="71">
        <v>1</v>
      </c>
      <c r="DE141" s="70">
        <v>1</v>
      </c>
      <c r="DF141" s="70">
        <v>1</v>
      </c>
      <c r="DG141" s="70">
        <v>1</v>
      </c>
      <c r="DH141" s="70">
        <v>1</v>
      </c>
      <c r="DI141" s="70">
        <v>1</v>
      </c>
      <c r="DJ141" s="71">
        <v>1</v>
      </c>
      <c r="DK141" s="71">
        <v>1</v>
      </c>
      <c r="DL141" s="70">
        <v>1</v>
      </c>
      <c r="DM141" s="70">
        <v>1</v>
      </c>
      <c r="DN141" s="70">
        <v>1</v>
      </c>
      <c r="DO141" s="70">
        <v>1</v>
      </c>
      <c r="DP141" s="70">
        <v>1</v>
      </c>
      <c r="DQ141" s="71">
        <v>1</v>
      </c>
      <c r="DR141" s="71">
        <v>1</v>
      </c>
      <c r="DS141" s="70">
        <v>1</v>
      </c>
      <c r="DT141" s="70">
        <v>1</v>
      </c>
      <c r="DU141" s="70">
        <v>1</v>
      </c>
      <c r="DV141" s="70">
        <v>1</v>
      </c>
      <c r="DW141" s="70">
        <v>1</v>
      </c>
      <c r="DX141" s="71">
        <v>0</v>
      </c>
      <c r="DY141" s="71">
        <v>0</v>
      </c>
      <c r="DZ141" s="70">
        <v>1</v>
      </c>
      <c r="EA141" s="70">
        <v>1</v>
      </c>
      <c r="EB141" s="70">
        <v>1</v>
      </c>
      <c r="EC141" s="70">
        <v>1</v>
      </c>
      <c r="ED141" s="70">
        <v>1</v>
      </c>
      <c r="EE141" s="71">
        <v>0</v>
      </c>
      <c r="EF141" s="71">
        <v>0</v>
      </c>
      <c r="EG141" s="70">
        <v>1</v>
      </c>
      <c r="EH141" s="70">
        <v>1</v>
      </c>
      <c r="EI141" s="70">
        <v>1</v>
      </c>
      <c r="EJ141" s="70">
        <v>1</v>
      </c>
      <c r="EK141" s="72">
        <v>1</v>
      </c>
      <c r="OU141" s="60" t="s">
        <v>92</v>
      </c>
    </row>
    <row r="142" ht="8" customHeight="1" spans="1:14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  <c r="AS142" s="73"/>
      <c r="AT142" s="73"/>
      <c r="AU142" s="73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  <c r="BZ142" s="73"/>
      <c r="CA142" s="73"/>
      <c r="CB142" s="73"/>
      <c r="CC142" s="73"/>
      <c r="CD142" s="73"/>
      <c r="CE142" s="73"/>
      <c r="CF142" s="73"/>
      <c r="CG142" s="73"/>
      <c r="CH142" s="73"/>
      <c r="CI142" s="73"/>
      <c r="CJ142" s="73"/>
      <c r="CK142" s="73"/>
      <c r="CL142" s="73"/>
      <c r="CM142" s="73"/>
      <c r="CN142" s="73"/>
      <c r="CO142" s="73"/>
      <c r="CP142" s="73"/>
      <c r="CQ142" s="73"/>
      <c r="CR142" s="73"/>
      <c r="CS142" s="73"/>
      <c r="CT142" s="73"/>
      <c r="CU142" s="73"/>
      <c r="CV142" s="73"/>
      <c r="CW142" s="73"/>
      <c r="CX142" s="73"/>
      <c r="CY142" s="73"/>
      <c r="CZ142" s="73"/>
      <c r="DA142" s="73"/>
      <c r="DB142" s="73"/>
      <c r="DC142" s="73"/>
      <c r="DD142" s="73"/>
      <c r="DE142" s="73"/>
      <c r="DF142" s="73"/>
      <c r="DG142" s="73"/>
      <c r="DH142" s="73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  <c r="DT142" s="73"/>
      <c r="DU142" s="73"/>
      <c r="DV142" s="73"/>
      <c r="DW142" s="73"/>
      <c r="DX142" s="73"/>
      <c r="DY142" s="73"/>
      <c r="DZ142" s="73"/>
      <c r="EA142" s="73"/>
      <c r="EB142" s="73"/>
      <c r="EC142" s="73"/>
      <c r="ED142" s="73"/>
      <c r="EE142" s="73"/>
      <c r="EF142" s="73"/>
      <c r="EG142" s="73"/>
      <c r="EH142" s="73"/>
      <c r="EI142" s="73"/>
      <c r="EJ142" s="73"/>
      <c r="EK142" s="73"/>
    </row>
    <row r="143" ht="16" customHeight="1" spans="1:411" x14ac:dyDescent="0.25">
      <c r="A143" s="45" t="s">
        <v>57</v>
      </c>
      <c r="B143" s="46" t="s">
        <v>93</v>
      </c>
      <c r="C143" s="47">
        <f>J143</f>
        <v>44623.4</v>
      </c>
      <c r="D143" s="48"/>
      <c r="E143" s="48"/>
      <c r="F143" s="49">
        <f>SUM(K146:EK146)</f>
        <v>390</v>
      </c>
      <c r="G143" s="49">
        <f>SUM(K147:EK147)</f>
        <v>160</v>
      </c>
      <c r="H143" s="49">
        <f>SUM(K148:EK148)</f>
        <v>10</v>
      </c>
      <c r="I143" s="49">
        <f>SUM(K149:EK149)</f>
        <v>56</v>
      </c>
      <c r="J143" s="50">
        <f>C146+C147+C148</f>
        <v>44623.4</v>
      </c>
      <c r="K143" s="51"/>
      <c r="L143" s="52"/>
      <c r="M143" s="52"/>
      <c r="N143" s="52"/>
      <c r="O143" s="52"/>
      <c r="P143" s="53"/>
      <c r="Q143" s="53"/>
      <c r="R143" s="52"/>
      <c r="S143" s="52"/>
      <c r="T143" s="52"/>
      <c r="U143" s="52"/>
      <c r="V143" s="52"/>
      <c r="W143" s="53"/>
      <c r="X143" s="53"/>
      <c r="Y143" s="52"/>
      <c r="Z143" s="52"/>
      <c r="AA143" s="52"/>
      <c r="AB143" s="52"/>
      <c r="AC143" s="52"/>
      <c r="AD143" s="53"/>
      <c r="AE143" s="53"/>
      <c r="AF143" s="52"/>
      <c r="AG143" s="52"/>
      <c r="AH143" s="52"/>
      <c r="AI143" s="52"/>
      <c r="AJ143" s="52"/>
      <c r="AK143" s="53"/>
      <c r="AL143" s="53"/>
      <c r="AM143" s="52"/>
      <c r="AN143" s="52"/>
      <c r="AO143" s="52"/>
      <c r="AP143" s="52"/>
      <c r="AQ143" s="52"/>
      <c r="AR143" s="53"/>
      <c r="AS143" s="53"/>
      <c r="AT143" s="52"/>
      <c r="AU143" s="52"/>
      <c r="AV143" s="52"/>
      <c r="AW143" s="52"/>
      <c r="AX143" s="52"/>
      <c r="AY143" s="53"/>
      <c r="AZ143" s="53"/>
      <c r="BA143" s="52"/>
      <c r="BB143" s="52"/>
      <c r="BC143" s="52"/>
      <c r="BD143" s="52"/>
      <c r="BE143" s="52"/>
      <c r="BF143" s="53"/>
      <c r="BG143" s="53"/>
      <c r="BH143" s="52"/>
      <c r="BI143" s="52"/>
      <c r="BJ143" s="52"/>
      <c r="BK143" s="52"/>
      <c r="BL143" s="52"/>
      <c r="BM143" s="53"/>
      <c r="BN143" s="53"/>
      <c r="BO143" s="52"/>
      <c r="BP143" s="52"/>
      <c r="BQ143" s="52"/>
      <c r="BR143" s="52"/>
      <c r="BS143" s="52"/>
      <c r="BT143" s="53"/>
      <c r="BU143" s="53"/>
      <c r="BV143" s="52"/>
      <c r="BW143" s="52"/>
      <c r="BX143" s="52"/>
      <c r="BY143" s="52"/>
      <c r="BZ143" s="52"/>
      <c r="CA143" s="53"/>
      <c r="CB143" s="53"/>
      <c r="CC143" s="52"/>
      <c r="CD143" s="52"/>
      <c r="CE143" s="52"/>
      <c r="CF143" s="52"/>
      <c r="CG143" s="52"/>
      <c r="CH143" s="53"/>
      <c r="CI143" s="53"/>
      <c r="CJ143" s="52"/>
      <c r="CK143" s="52"/>
      <c r="CL143" s="52"/>
      <c r="CM143" s="52"/>
      <c r="CN143" s="52"/>
      <c r="CO143" s="53"/>
      <c r="CP143" s="53"/>
      <c r="CQ143" s="52"/>
      <c r="CR143" s="52"/>
      <c r="CS143" s="52"/>
      <c r="CT143" s="52"/>
      <c r="CU143" s="52"/>
      <c r="CV143" s="53"/>
      <c r="CW143" s="53"/>
      <c r="CX143" s="52"/>
      <c r="CY143" s="52"/>
      <c r="CZ143" s="52"/>
      <c r="DA143" s="52"/>
      <c r="DB143" s="52"/>
      <c r="DC143" s="53"/>
      <c r="DD143" s="53"/>
      <c r="DE143" s="52"/>
      <c r="DF143" s="52"/>
      <c r="DG143" s="52"/>
      <c r="DH143" s="52"/>
      <c r="DI143" s="52"/>
      <c r="DJ143" s="53"/>
      <c r="DK143" s="53"/>
      <c r="DL143" s="52"/>
      <c r="DM143" s="52"/>
      <c r="DN143" s="52"/>
      <c r="DO143" s="52"/>
      <c r="DP143" s="52"/>
      <c r="DQ143" s="53"/>
      <c r="DR143" s="53"/>
      <c r="DS143" s="52"/>
      <c r="DT143" s="52"/>
      <c r="DU143" s="52"/>
      <c r="DV143" s="52"/>
      <c r="DW143" s="52"/>
      <c r="DX143" s="53"/>
      <c r="DY143" s="53"/>
      <c r="DZ143" s="52"/>
      <c r="EA143" s="52"/>
      <c r="EB143" s="52"/>
      <c r="EC143" s="52"/>
      <c r="ED143" s="52"/>
      <c r="EE143" s="53"/>
      <c r="EF143" s="53"/>
      <c r="EG143" s="52"/>
      <c r="EH143" s="52"/>
      <c r="EI143" s="52"/>
      <c r="EJ143" s="52"/>
      <c r="EK143" s="54"/>
      <c r="OU143" s="28" t="s">
        <v>94</v>
      </c>
    </row>
    <row r="144" ht="16" customHeight="1" spans="1:411" x14ac:dyDescent="0.25">
      <c r="A144" s="45"/>
      <c r="B144" s="46"/>
      <c r="C144" s="47"/>
      <c r="D144" s="48"/>
      <c r="E144" s="55" t="s">
        <v>60</v>
      </c>
      <c r="F144" s="49"/>
      <c r="G144" s="49"/>
      <c r="H144" s="49"/>
      <c r="I144" s="49"/>
      <c r="J144" s="50"/>
      <c r="K144" s="56">
        <v>0</v>
      </c>
      <c r="L144" s="57">
        <v>0</v>
      </c>
      <c r="M144" s="57">
        <v>0</v>
      </c>
      <c r="N144" s="57">
        <v>0</v>
      </c>
      <c r="O144" s="57">
        <v>0</v>
      </c>
      <c r="P144" s="58">
        <v>0</v>
      </c>
      <c r="Q144" s="58">
        <v>0</v>
      </c>
      <c r="R144" s="57">
        <v>0</v>
      </c>
      <c r="S144" s="57">
        <v>0</v>
      </c>
      <c r="T144" s="57">
        <v>0</v>
      </c>
      <c r="U144" s="57">
        <v>0</v>
      </c>
      <c r="V144" s="57">
        <v>0</v>
      </c>
      <c r="W144" s="58">
        <v>0</v>
      </c>
      <c r="X144" s="58">
        <v>0</v>
      </c>
      <c r="Y144" s="57">
        <v>0</v>
      </c>
      <c r="Z144" s="57">
        <v>0</v>
      </c>
      <c r="AA144" s="57">
        <v>0</v>
      </c>
      <c r="AB144" s="57">
        <v>0</v>
      </c>
      <c r="AC144" s="57">
        <v>0</v>
      </c>
      <c r="AD144" s="58">
        <v>0</v>
      </c>
      <c r="AE144" s="58">
        <v>0</v>
      </c>
      <c r="AF144" s="57">
        <v>0</v>
      </c>
      <c r="AG144" s="57">
        <v>0</v>
      </c>
      <c r="AH144" s="57">
        <v>0</v>
      </c>
      <c r="AI144" s="57">
        <v>0</v>
      </c>
      <c r="AJ144" s="57">
        <v>0</v>
      </c>
      <c r="AK144" s="58">
        <v>0</v>
      </c>
      <c r="AL144" s="58">
        <v>0</v>
      </c>
      <c r="AM144" s="57">
        <v>0</v>
      </c>
      <c r="AN144" s="57">
        <v>0</v>
      </c>
      <c r="AO144" s="57">
        <v>0</v>
      </c>
      <c r="AP144" s="57">
        <v>0</v>
      </c>
      <c r="AQ144" s="57">
        <v>0</v>
      </c>
      <c r="AR144" s="58">
        <v>0</v>
      </c>
      <c r="AS144" s="58">
        <v>0</v>
      </c>
      <c r="AT144" s="57">
        <v>0</v>
      </c>
      <c r="AU144" s="57">
        <v>0</v>
      </c>
      <c r="AV144" s="57">
        <v>0</v>
      </c>
      <c r="AW144" s="57">
        <v>0</v>
      </c>
      <c r="AX144" s="57">
        <v>0</v>
      </c>
      <c r="AY144" s="58">
        <v>0</v>
      </c>
      <c r="AZ144" s="58">
        <v>0</v>
      </c>
      <c r="BA144" s="57">
        <v>0</v>
      </c>
      <c r="BB144" s="57">
        <v>0</v>
      </c>
      <c r="BC144" s="57">
        <v>0</v>
      </c>
      <c r="BD144" s="57">
        <v>0</v>
      </c>
      <c r="BE144" s="57">
        <v>0</v>
      </c>
      <c r="BF144" s="58">
        <v>0</v>
      </c>
      <c r="BG144" s="58">
        <v>0</v>
      </c>
      <c r="BH144" s="57">
        <v>1</v>
      </c>
      <c r="BI144" s="57">
        <v>1</v>
      </c>
      <c r="BJ144" s="57">
        <v>1</v>
      </c>
      <c r="BK144" s="57">
        <v>1</v>
      </c>
      <c r="BL144" s="57">
        <v>1</v>
      </c>
      <c r="BM144" s="58">
        <v>1</v>
      </c>
      <c r="BN144" s="58">
        <v>1</v>
      </c>
      <c r="BO144" s="57">
        <v>1</v>
      </c>
      <c r="BP144" s="57">
        <v>1</v>
      </c>
      <c r="BQ144" s="57">
        <v>1</v>
      </c>
      <c r="BR144" s="57">
        <v>1</v>
      </c>
      <c r="BS144" s="57">
        <v>1</v>
      </c>
      <c r="BT144" s="58">
        <v>1</v>
      </c>
      <c r="BU144" s="58">
        <v>0</v>
      </c>
      <c r="BV144" s="57">
        <v>1</v>
      </c>
      <c r="BW144" s="57">
        <v>1</v>
      </c>
      <c r="BX144" s="57">
        <v>1</v>
      </c>
      <c r="BY144" s="57">
        <v>1</v>
      </c>
      <c r="BZ144" s="57">
        <v>1</v>
      </c>
      <c r="CA144" s="58">
        <v>1</v>
      </c>
      <c r="CB144" s="58">
        <v>0</v>
      </c>
      <c r="CC144" s="57">
        <v>1</v>
      </c>
      <c r="CD144" s="57">
        <v>1</v>
      </c>
      <c r="CE144" s="57">
        <v>1</v>
      </c>
      <c r="CF144" s="57">
        <v>1</v>
      </c>
      <c r="CG144" s="57">
        <v>1</v>
      </c>
      <c r="CH144" s="58">
        <v>1</v>
      </c>
      <c r="CI144" s="58">
        <v>0</v>
      </c>
      <c r="CJ144" s="57">
        <v>1</v>
      </c>
      <c r="CK144" s="57">
        <v>1</v>
      </c>
      <c r="CL144" s="57">
        <v>1</v>
      </c>
      <c r="CM144" s="57">
        <v>1</v>
      </c>
      <c r="CN144" s="57">
        <v>1</v>
      </c>
      <c r="CO144" s="58">
        <v>1</v>
      </c>
      <c r="CP144" s="58">
        <v>0</v>
      </c>
      <c r="CQ144" s="57">
        <v>1</v>
      </c>
      <c r="CR144" s="57">
        <v>1</v>
      </c>
      <c r="CS144" s="57">
        <v>1</v>
      </c>
      <c r="CT144" s="57">
        <v>1</v>
      </c>
      <c r="CU144" s="57">
        <v>1</v>
      </c>
      <c r="CV144" s="58">
        <v>1</v>
      </c>
      <c r="CW144" s="58">
        <v>0</v>
      </c>
      <c r="CX144" s="57">
        <v>1</v>
      </c>
      <c r="CY144" s="57">
        <v>1</v>
      </c>
      <c r="CZ144" s="57">
        <v>1</v>
      </c>
      <c r="DA144" s="57">
        <v>1</v>
      </c>
      <c r="DB144" s="57">
        <v>1</v>
      </c>
      <c r="DC144" s="58">
        <v>1</v>
      </c>
      <c r="DD144" s="58">
        <v>0</v>
      </c>
      <c r="DE144" s="57">
        <v>1</v>
      </c>
      <c r="DF144" s="57">
        <v>1</v>
      </c>
      <c r="DG144" s="57">
        <v>1</v>
      </c>
      <c r="DH144" s="57">
        <v>1</v>
      </c>
      <c r="DI144" s="57">
        <v>1</v>
      </c>
      <c r="DJ144" s="58">
        <v>1</v>
      </c>
      <c r="DK144" s="58">
        <v>0</v>
      </c>
      <c r="DL144" s="57">
        <v>1</v>
      </c>
      <c r="DM144" s="57">
        <v>1</v>
      </c>
      <c r="DN144" s="57">
        <v>1</v>
      </c>
      <c r="DO144" s="57">
        <v>1</v>
      </c>
      <c r="DP144" s="57">
        <v>1</v>
      </c>
      <c r="DQ144" s="58">
        <v>1</v>
      </c>
      <c r="DR144" s="58">
        <v>0</v>
      </c>
      <c r="DS144" s="57">
        <v>1</v>
      </c>
      <c r="DT144" s="57">
        <v>0</v>
      </c>
      <c r="DU144" s="57">
        <v>0</v>
      </c>
      <c r="DV144" s="57">
        <v>0</v>
      </c>
      <c r="DW144" s="57">
        <v>0</v>
      </c>
      <c r="DX144" s="58">
        <v>0</v>
      </c>
      <c r="DY144" s="58">
        <v>0</v>
      </c>
      <c r="DZ144" s="57">
        <v>0</v>
      </c>
      <c r="EA144" s="57">
        <v>0</v>
      </c>
      <c r="EB144" s="57">
        <v>0</v>
      </c>
      <c r="EC144" s="57">
        <v>0</v>
      </c>
      <c r="ED144" s="57">
        <v>0</v>
      </c>
      <c r="EE144" s="58">
        <v>0</v>
      </c>
      <c r="EF144" s="58">
        <v>0</v>
      </c>
      <c r="EG144" s="57">
        <v>0</v>
      </c>
      <c r="EH144" s="57">
        <v>0</v>
      </c>
      <c r="EI144" s="57">
        <v>0</v>
      </c>
      <c r="EJ144" s="57">
        <v>0</v>
      </c>
      <c r="EK144" s="59">
        <v>0</v>
      </c>
      <c r="OU144" s="60" t="s">
        <v>94</v>
      </c>
    </row>
    <row r="145" ht="16" customHeight="1" spans="1:411" x14ac:dyDescent="0.25">
      <c r="A145" s="45"/>
      <c r="B145" s="46"/>
      <c r="C145" s="47"/>
      <c r="D145" s="48"/>
      <c r="E145" s="55" t="s">
        <v>61</v>
      </c>
      <c r="F145" s="49"/>
      <c r="G145" s="49"/>
      <c r="H145" s="49"/>
      <c r="I145" s="49"/>
      <c r="J145" s="50"/>
      <c r="K145" s="56">
        <v>0</v>
      </c>
      <c r="L145" s="57">
        <v>0</v>
      </c>
      <c r="M145" s="57">
        <v>0</v>
      </c>
      <c r="N145" s="57">
        <v>0</v>
      </c>
      <c r="O145" s="57">
        <v>0</v>
      </c>
      <c r="P145" s="58">
        <v>0</v>
      </c>
      <c r="Q145" s="58">
        <v>0</v>
      </c>
      <c r="R145" s="57">
        <v>0</v>
      </c>
      <c r="S145" s="57">
        <v>0</v>
      </c>
      <c r="T145" s="57">
        <v>0</v>
      </c>
      <c r="U145" s="57">
        <v>0</v>
      </c>
      <c r="V145" s="57">
        <v>0</v>
      </c>
      <c r="W145" s="58">
        <v>0</v>
      </c>
      <c r="X145" s="58">
        <v>0</v>
      </c>
      <c r="Y145" s="57">
        <v>0</v>
      </c>
      <c r="Z145" s="57">
        <v>0</v>
      </c>
      <c r="AA145" s="57">
        <v>0</v>
      </c>
      <c r="AB145" s="57">
        <v>0</v>
      </c>
      <c r="AC145" s="57">
        <v>0</v>
      </c>
      <c r="AD145" s="58">
        <v>0</v>
      </c>
      <c r="AE145" s="58">
        <v>0</v>
      </c>
      <c r="AF145" s="57">
        <v>0</v>
      </c>
      <c r="AG145" s="57">
        <v>0</v>
      </c>
      <c r="AH145" s="57">
        <v>0</v>
      </c>
      <c r="AI145" s="57">
        <v>0</v>
      </c>
      <c r="AJ145" s="57">
        <v>0</v>
      </c>
      <c r="AK145" s="58">
        <v>0</v>
      </c>
      <c r="AL145" s="58">
        <v>0</v>
      </c>
      <c r="AM145" s="57">
        <v>0</v>
      </c>
      <c r="AN145" s="57">
        <v>0</v>
      </c>
      <c r="AO145" s="57">
        <v>0</v>
      </c>
      <c r="AP145" s="57">
        <v>0</v>
      </c>
      <c r="AQ145" s="57">
        <v>0</v>
      </c>
      <c r="AR145" s="58">
        <v>0</v>
      </c>
      <c r="AS145" s="58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8">
        <v>0</v>
      </c>
      <c r="AZ145" s="58">
        <v>0</v>
      </c>
      <c r="BA145" s="57">
        <v>0</v>
      </c>
      <c r="BB145" s="57">
        <v>0</v>
      </c>
      <c r="BC145" s="57">
        <v>0</v>
      </c>
      <c r="BD145" s="57">
        <v>0</v>
      </c>
      <c r="BE145" s="57">
        <v>0</v>
      </c>
      <c r="BF145" s="58">
        <v>0</v>
      </c>
      <c r="BG145" s="58">
        <v>0</v>
      </c>
      <c r="BH145" s="57">
        <v>10</v>
      </c>
      <c r="BI145" s="57">
        <v>10</v>
      </c>
      <c r="BJ145" s="57">
        <v>10</v>
      </c>
      <c r="BK145" s="57">
        <v>10</v>
      </c>
      <c r="BL145" s="57">
        <v>10</v>
      </c>
      <c r="BM145" s="58">
        <v>10</v>
      </c>
      <c r="BN145" s="58">
        <v>10</v>
      </c>
      <c r="BO145" s="57">
        <v>10</v>
      </c>
      <c r="BP145" s="57">
        <v>10</v>
      </c>
      <c r="BQ145" s="57">
        <v>10</v>
      </c>
      <c r="BR145" s="57">
        <v>10</v>
      </c>
      <c r="BS145" s="57">
        <v>10</v>
      </c>
      <c r="BT145" s="58">
        <v>10</v>
      </c>
      <c r="BU145" s="58">
        <v>0</v>
      </c>
      <c r="BV145" s="57">
        <v>10</v>
      </c>
      <c r="BW145" s="57">
        <v>10</v>
      </c>
      <c r="BX145" s="57">
        <v>10</v>
      </c>
      <c r="BY145" s="57">
        <v>10</v>
      </c>
      <c r="BZ145" s="57">
        <v>10</v>
      </c>
      <c r="CA145" s="58">
        <v>10</v>
      </c>
      <c r="CB145" s="58">
        <v>0</v>
      </c>
      <c r="CC145" s="57">
        <v>10</v>
      </c>
      <c r="CD145" s="57">
        <v>10</v>
      </c>
      <c r="CE145" s="57">
        <v>10</v>
      </c>
      <c r="CF145" s="57">
        <v>10</v>
      </c>
      <c r="CG145" s="57">
        <v>10</v>
      </c>
      <c r="CH145" s="58">
        <v>10</v>
      </c>
      <c r="CI145" s="58">
        <v>0</v>
      </c>
      <c r="CJ145" s="57">
        <v>10</v>
      </c>
      <c r="CK145" s="57">
        <v>10</v>
      </c>
      <c r="CL145" s="57">
        <v>10</v>
      </c>
      <c r="CM145" s="57">
        <v>10</v>
      </c>
      <c r="CN145" s="57">
        <v>10</v>
      </c>
      <c r="CO145" s="58">
        <v>10</v>
      </c>
      <c r="CP145" s="58">
        <v>0</v>
      </c>
      <c r="CQ145" s="57">
        <v>10</v>
      </c>
      <c r="CR145" s="57">
        <v>10</v>
      </c>
      <c r="CS145" s="57">
        <v>10</v>
      </c>
      <c r="CT145" s="57">
        <v>10</v>
      </c>
      <c r="CU145" s="57">
        <v>10</v>
      </c>
      <c r="CV145" s="58">
        <v>10</v>
      </c>
      <c r="CW145" s="58">
        <v>0</v>
      </c>
      <c r="CX145" s="57">
        <v>10</v>
      </c>
      <c r="CY145" s="57">
        <v>10</v>
      </c>
      <c r="CZ145" s="57">
        <v>10</v>
      </c>
      <c r="DA145" s="57">
        <v>10</v>
      </c>
      <c r="DB145" s="57">
        <v>10</v>
      </c>
      <c r="DC145" s="58">
        <v>10</v>
      </c>
      <c r="DD145" s="58">
        <v>0</v>
      </c>
      <c r="DE145" s="57">
        <v>10</v>
      </c>
      <c r="DF145" s="57">
        <v>10</v>
      </c>
      <c r="DG145" s="57">
        <v>10</v>
      </c>
      <c r="DH145" s="57">
        <v>10</v>
      </c>
      <c r="DI145" s="57">
        <v>10</v>
      </c>
      <c r="DJ145" s="58">
        <v>10</v>
      </c>
      <c r="DK145" s="58">
        <v>0</v>
      </c>
      <c r="DL145" s="57">
        <v>10</v>
      </c>
      <c r="DM145" s="57">
        <v>10</v>
      </c>
      <c r="DN145" s="57">
        <v>10</v>
      </c>
      <c r="DO145" s="57">
        <v>10</v>
      </c>
      <c r="DP145" s="57">
        <v>10</v>
      </c>
      <c r="DQ145" s="58">
        <v>10</v>
      </c>
      <c r="DR145" s="58">
        <v>0</v>
      </c>
      <c r="DS145" s="57">
        <v>10</v>
      </c>
      <c r="DT145" s="57">
        <v>0</v>
      </c>
      <c r="DU145" s="57">
        <v>0</v>
      </c>
      <c r="DV145" s="57">
        <v>0</v>
      </c>
      <c r="DW145" s="57">
        <v>0</v>
      </c>
      <c r="DX145" s="58">
        <v>0</v>
      </c>
      <c r="DY145" s="58">
        <v>0</v>
      </c>
      <c r="DZ145" s="57">
        <v>0</v>
      </c>
      <c r="EA145" s="57">
        <v>0</v>
      </c>
      <c r="EB145" s="57">
        <v>0</v>
      </c>
      <c r="EC145" s="57">
        <v>0</v>
      </c>
      <c r="ED145" s="57">
        <v>0</v>
      </c>
      <c r="EE145" s="58">
        <v>0</v>
      </c>
      <c r="EF145" s="58">
        <v>0</v>
      </c>
      <c r="EG145" s="57">
        <v>0</v>
      </c>
      <c r="EH145" s="57">
        <v>0</v>
      </c>
      <c r="EI145" s="57">
        <v>0</v>
      </c>
      <c r="EJ145" s="57">
        <v>0</v>
      </c>
      <c r="EK145" s="59">
        <v>0</v>
      </c>
      <c r="OU145" s="60" t="s">
        <v>94</v>
      </c>
    </row>
    <row r="146" ht="16" customHeight="1" spans="1:411" x14ac:dyDescent="0.25">
      <c r="A146" s="45"/>
      <c r="B146" s="46"/>
      <c r="C146" s="61">
        <f>F143*N(D146)</f>
        <v>28247.700000000004</v>
      </c>
      <c r="D146" s="61">
        <f>IF(TRIM(B143)="","No rate",IFERROR(INDEX('Rate Tables'!C$7:C$158,MATCH(B143,'Rate Tables'!A$7:A$158,0)),"No rate"))</f>
        <v>72.43</v>
      </c>
      <c r="E146" s="55" t="s">
        <v>62</v>
      </c>
      <c r="F146" s="49"/>
      <c r="G146" s="49"/>
      <c r="H146" s="49"/>
      <c r="I146" s="49"/>
      <c r="J146" s="50"/>
      <c r="K146" s="62">
        <f>IF(AND(K144=0,K145=0),0,MIN(IF(K144&lt;=0,0,IF(WEEKDAY(K$6,1)=1,0,MIN(8,K145)*K144)),MAX(0,40*MAX(1,K144)-(0))))</f>
        <v>0</v>
      </c>
      <c r="L146" s="63">
        <f>IF(AND(L144=0,L145=0),0,MIN(IF(L144&lt;=0,0,IF(WEEKDAY(L$6,1)=1,0,MIN(8,L145)*L144)),MAX(0,40*MAX(1,L144)-(K146))))</f>
        <v>0</v>
      </c>
      <c r="M146" s="63">
        <f>IF(AND(M144=0,M145=0),0,MIN(IF(M144&lt;=0,0,IF(WEEKDAY(M$6,1)=1,0,MIN(8,M145)*M144)),MAX(0,40*MAX(1,M144)-(K146+L146))))</f>
        <v>0</v>
      </c>
      <c r="N146" s="63">
        <f>IF(AND(N144=0,N145=0),0,MIN(IF(N144&lt;=0,0,IF(WEEKDAY(N$6,1)=1,0,MIN(8,N145)*N144)),MAX(0,40*MAX(1,N144)-(K146+L146+M146))))</f>
        <v>0</v>
      </c>
      <c r="O146" s="63">
        <f>IF(AND(O144=0,O145=0),0,MIN(IF(O144&lt;=0,0,IF(WEEKDAY(O$6,1)=1,0,MIN(8,O145)*O144)),MAX(0,40*MAX(1,O144)-(K146+L146+M146+N146))))</f>
        <v>0</v>
      </c>
      <c r="P146" s="64">
        <f>IF(AND(P144=0,P145=0),0,MIN(IF(P144&lt;=0,0,IF(WEEKDAY(P$6,1)=1,0,MIN(10,P145)*P144)),MAX(0,40*MAX(1,P144)-(0))))</f>
        <v>0</v>
      </c>
      <c r="Q146" s="64">
        <f>IF(AND(Q144=0,Q145=0),0,MIN(IF(Q144&lt;=0,0,IF(WEEKDAY(Q$6,1)=1,0,MIN(10,Q145)*Q144)),MAX(0,40*MAX(1,Q144)-(P146))))</f>
        <v>0</v>
      </c>
      <c r="R146" s="63">
        <f>IF(AND(R144=0,R145=0),0,MIN(IF(R144&lt;=0,0,IF(WEEKDAY(R$6,1)=1,0,MIN(8,R145)*R144)),MAX(0,40*MAX(1,R144)-(0))))</f>
        <v>0</v>
      </c>
      <c r="S146" s="63">
        <f>IF(AND(S144=0,S145=0),0,MIN(IF(S144&lt;=0,0,IF(WEEKDAY(S$6,1)=1,0,MIN(8,S145)*S144)),MAX(0,40*MAX(1,S144)-(R146))))</f>
        <v>0</v>
      </c>
      <c r="T146" s="63">
        <f>IF(AND(T144=0,T145=0),0,MIN(IF(T144&lt;=0,0,IF(WEEKDAY(T$6,1)=1,0,MIN(8,T145)*T144)),MAX(0,40*MAX(1,T144)-(R146+S146))))</f>
        <v>0</v>
      </c>
      <c r="U146" s="63">
        <f>IF(AND(U144=0,U145=0),0,MIN(IF(U144&lt;=0,0,IF(WEEKDAY(U$6,1)=1,0,MIN(8,U145)*U144)),MAX(0,40*MAX(1,U144)-(R146+S146+T146))))</f>
        <v>0</v>
      </c>
      <c r="V146" s="63">
        <f>IF(AND(V144=0,V145=0),0,MIN(IF(V144&lt;=0,0,IF(WEEKDAY(V$6,1)=1,0,MIN(8,V145)*V144)),MAX(0,40*MAX(1,V144)-(R146+S146+T146+U146))))</f>
        <v>0</v>
      </c>
      <c r="W146" s="64">
        <f>IF(AND(W144=0,W145=0),0,MIN(IF(W144&lt;=0,0,IF(WEEKDAY(W$6,1)=1,0,MIN(10,W145)*W144)),MAX(0,40*MAX(1,W144)-(0))))</f>
        <v>0</v>
      </c>
      <c r="X146" s="64">
        <f>IF(AND(X144=0,X145=0),0,MIN(IF(X144&lt;=0,0,IF(WEEKDAY(X$6,1)=1,0,MIN(10,X145)*X144)),MAX(0,40*MAX(1,X144)-(W146))))</f>
        <v>0</v>
      </c>
      <c r="Y146" s="63">
        <f>IF(AND(Y144=0,Y145=0),0,MIN(IF(Y144&lt;=0,0,IF(WEEKDAY(Y$6,1)=1,0,MIN(8,Y145)*Y144)),MAX(0,40*MAX(1,Y144)-(0))))</f>
        <v>0</v>
      </c>
      <c r="Z146" s="63">
        <f>IF(AND(Z144=0,Z145=0),0,MIN(IF(Z144&lt;=0,0,IF(WEEKDAY(Z$6,1)=1,0,MIN(8,Z145)*Z144)),MAX(0,40*MAX(1,Z144)-(Y146))))</f>
        <v>0</v>
      </c>
      <c r="AA146" s="63">
        <f>IF(AND(AA144=0,AA145=0),0,MIN(IF(AA144&lt;=0,0,IF(WEEKDAY(AA$6,1)=1,0,MIN(8,AA145)*AA144)),MAX(0,40*MAX(1,AA144)-(Y146+Z146))))</f>
        <v>0</v>
      </c>
      <c r="AB146" s="63">
        <f>IF(AND(AB144=0,AB145=0),0,MIN(IF(AB144&lt;=0,0,IF(WEEKDAY(AB$6,1)=1,0,MIN(8,AB145)*AB144)),MAX(0,40*MAX(1,AB144)-(Y146+Z146+AA146))))</f>
        <v>0</v>
      </c>
      <c r="AC146" s="63">
        <f>IF(AND(AC144=0,AC145=0),0,MIN(IF(AC144&lt;=0,0,IF(WEEKDAY(AC$6,1)=1,0,MIN(8,AC145)*AC144)),MAX(0,40*MAX(1,AC144)-(Y146+Z146+AA146+AB146))))</f>
        <v>0</v>
      </c>
      <c r="AD146" s="64">
        <f>IF(AND(AD144=0,AD145=0),0,MIN(IF(AD144&lt;=0,0,IF(WEEKDAY(AD$6,1)=1,0,MIN(10,AD145)*AD144)),MAX(0,40*MAX(1,AD144)-(0))))</f>
        <v>0</v>
      </c>
      <c r="AE146" s="64">
        <f>IF(AND(AE144=0,AE145=0),0,MIN(IF(AE144&lt;=0,0,IF(WEEKDAY(AE$6,1)=1,0,MIN(10,AE145)*AE144)),MAX(0,40*MAX(1,AE144)-(AD146))))</f>
        <v>0</v>
      </c>
      <c r="AF146" s="63">
        <f>IF(AND(AF144=0,AF145=0),0,MIN(IF(AF144&lt;=0,0,IF(WEEKDAY(AF$6,1)=1,0,MIN(8,AF145)*AF144)),MAX(0,40*MAX(1,AF144)-(0))))</f>
        <v>0</v>
      </c>
      <c r="AG146" s="63">
        <f>IF(AND(AG144=0,AG145=0),0,MIN(IF(AG144&lt;=0,0,IF(WEEKDAY(AG$6,1)=1,0,MIN(8,AG145)*AG144)),MAX(0,40*MAX(1,AG144)-(AF146))))</f>
        <v>0</v>
      </c>
      <c r="AH146" s="63">
        <f>IF(AND(AH144=0,AH145=0),0,MIN(IF(AH144&lt;=0,0,IF(WEEKDAY(AH$6,1)=1,0,MIN(8,AH145)*AH144)),MAX(0,40*MAX(1,AH144)-(AF146+AG146))))</f>
        <v>0</v>
      </c>
      <c r="AI146" s="63">
        <f>IF(AND(AI144=0,AI145=0),0,MIN(IF(AI144&lt;=0,0,IF(WEEKDAY(AI$6,1)=1,0,MIN(8,AI145)*AI144)),MAX(0,40*MAX(1,AI144)-(AF146+AG146+AH146))))</f>
        <v>0</v>
      </c>
      <c r="AJ146" s="63">
        <f>IF(AND(AJ144=0,AJ145=0),0,MIN(IF(AJ144&lt;=0,0,IF(WEEKDAY(AJ$6,1)=1,0,MIN(8,AJ145)*AJ144)),MAX(0,40*MAX(1,AJ144)-(AF146+AG146+AH146+AI146))))</f>
        <v>0</v>
      </c>
      <c r="AK146" s="64">
        <f>IF(AND(AK144=0,AK145=0),0,MIN(IF(AK144&lt;=0,0,IF(WEEKDAY(AK$6,1)=1,0,MIN(10,AK145)*AK144)),MAX(0,40*MAX(1,AK144)-(0))))</f>
        <v>0</v>
      </c>
      <c r="AL146" s="64">
        <f>IF(AND(AL144=0,AL145=0),0,MIN(IF(AL144&lt;=0,0,IF(WEEKDAY(AL$6,1)=1,0,MIN(10,AL145)*AL144)),MAX(0,40*MAX(1,AL144)-(AK146))))</f>
        <v>0</v>
      </c>
      <c r="AM146" s="63">
        <f>IF(AND(AM144=0,AM145=0),0,MIN(IF(AM144&lt;=0,0,IF(WEEKDAY(AM$6,1)=1,0,MIN(8,AM145)*AM144)),MAX(0,40*MAX(1,AM144)-(0))))</f>
        <v>0</v>
      </c>
      <c r="AN146" s="63">
        <f>IF(AND(AN144=0,AN145=0),0,MIN(IF(AN144&lt;=0,0,IF(WEEKDAY(AN$6,1)=1,0,MIN(8,AN145)*AN144)),MAX(0,40*MAX(1,AN144)-(AM146))))</f>
        <v>0</v>
      </c>
      <c r="AO146" s="63">
        <f>IF(AND(AO144=0,AO145=0),0,MIN(IF(AO144&lt;=0,0,IF(WEEKDAY(AO$6,1)=1,0,MIN(8,AO145)*AO144)),MAX(0,40*MAX(1,AO144)-(AM146+AN146))))</f>
        <v>0</v>
      </c>
      <c r="AP146" s="63">
        <f>IF(AND(AP144=0,AP145=0),0,MIN(IF(AP144&lt;=0,0,IF(WEEKDAY(AP$6,1)=1,0,MIN(8,AP145)*AP144)),MAX(0,40*MAX(1,AP144)-(AM146+AN146+AO146))))</f>
        <v>0</v>
      </c>
      <c r="AQ146" s="63">
        <f>IF(AND(AQ144=0,AQ145=0),0,MIN(IF(AQ144&lt;=0,0,IF(WEEKDAY(AQ$6,1)=1,0,MIN(8,AQ145)*AQ144)),MAX(0,40*MAX(1,AQ144)-(AM146+AN146+AO146+AP146))))</f>
        <v>0</v>
      </c>
      <c r="AR146" s="64">
        <f>IF(AND(AR144=0,AR145=0),0,MIN(IF(AR144&lt;=0,0,IF(WEEKDAY(AR$6,1)=1,0,MIN(10,AR145)*AR144)),MAX(0,40*MAX(1,AR144)-(0))))</f>
        <v>0</v>
      </c>
      <c r="AS146" s="64">
        <f>IF(AND(AS144=0,AS145=0),0,MIN(IF(AS144&lt;=0,0,IF(WEEKDAY(AS$6,1)=1,0,MIN(10,AS145)*AS144)),MAX(0,40*MAX(1,AS144)-(AR146))))</f>
        <v>0</v>
      </c>
      <c r="AT146" s="63">
        <f>IF(AND(AT144=0,AT145=0),0,MIN(IF(AT144&lt;=0,0,IF(WEEKDAY(AT$6,1)=1,0,MIN(8,AT145)*AT144)),MAX(0,40*MAX(1,AT144)-(0))))</f>
        <v>0</v>
      </c>
      <c r="AU146" s="63">
        <f>IF(AND(AU144=0,AU145=0),0,MIN(IF(AU144&lt;=0,0,IF(WEEKDAY(AU$6,1)=1,0,MIN(8,AU145)*AU144)),MAX(0,40*MAX(1,AU144)-(AT146))))</f>
        <v>0</v>
      </c>
      <c r="AV146" s="63">
        <f>IF(AND(AV144=0,AV145=0),0,MIN(IF(AV144&lt;=0,0,IF(WEEKDAY(AV$6,1)=1,0,MIN(8,AV145)*AV144)),MAX(0,40*MAX(1,AV144)-(AT146+AU146))))</f>
        <v>0</v>
      </c>
      <c r="AW146" s="63">
        <f>IF(AND(AW144=0,AW145=0),0,MIN(IF(AW144&lt;=0,0,IF(WEEKDAY(AW$6,1)=1,0,MIN(8,AW145)*AW144)),MAX(0,40*MAX(1,AW144)-(AT146+AU146+AV146))))</f>
        <v>0</v>
      </c>
      <c r="AX146" s="63">
        <f>IF(AND(AX144=0,AX145=0),0,MIN(IF(AX144&lt;=0,0,IF(WEEKDAY(AX$6,1)=1,0,MIN(8,AX145)*AX144)),MAX(0,40*MAX(1,AX144)-(AT146+AU146+AV146+AW146))))</f>
        <v>0</v>
      </c>
      <c r="AY146" s="64">
        <f>IF(AND(AY144=0,AY145=0),0,MIN(IF(AY144&lt;=0,0,IF(WEEKDAY(AY$6,1)=1,0,MIN(10,AY145)*AY144)),MAX(0,40*MAX(1,AY144)-(0))))</f>
        <v>0</v>
      </c>
      <c r="AZ146" s="64">
        <f>IF(AND(AZ144=0,AZ145=0),0,MIN(IF(AZ144&lt;=0,0,IF(WEEKDAY(AZ$6,1)=1,0,MIN(10,AZ145)*AZ144)),MAX(0,40*MAX(1,AZ144)-(AY146))))</f>
        <v>0</v>
      </c>
      <c r="BA146" s="63">
        <f>IF(AND(BA144=0,BA145=0),0,MIN(IF(BA144&lt;=0,0,IF(WEEKDAY(BA$6,1)=1,0,MIN(8,BA145)*BA144)),MAX(0,40*MAX(1,BA144)-(0))))</f>
        <v>0</v>
      </c>
      <c r="BB146" s="63">
        <f>IF(AND(BB144=0,BB145=0),0,MIN(IF(BB144&lt;=0,0,IF(WEEKDAY(BB$6,1)=1,0,MIN(8,BB145)*BB144)),MAX(0,40*MAX(1,BB144)-(BA146))))</f>
        <v>0</v>
      </c>
      <c r="BC146" s="63">
        <f>IF(AND(BC144=0,BC145=0),0,MIN(IF(BC144&lt;=0,0,IF(WEEKDAY(BC$6,1)=1,0,MIN(8,BC145)*BC144)),MAX(0,40*MAX(1,BC144)-(BA146+BB146))))</f>
        <v>0</v>
      </c>
      <c r="BD146" s="63">
        <f>IF(AND(BD144=0,BD145=0),0,MIN(IF(BD144&lt;=0,0,IF(WEEKDAY(BD$6,1)=1,0,MIN(8,BD145)*BD144)),MAX(0,40*MAX(1,BD144)-(BA146+BB146+BC146))))</f>
        <v>0</v>
      </c>
      <c r="BE146" s="63">
        <f>IF(AND(BE144=0,BE145=0),0,MIN(IF(BE144&lt;=0,0,IF(WEEKDAY(BE$6,1)=1,0,MIN(8,BE145)*BE144)),MAX(0,40*MAX(1,BE144)-(BA146+BB146+BC146+BD146))))</f>
        <v>0</v>
      </c>
      <c r="BF146" s="64">
        <f>IF(AND(BF144=0,BF145=0),0,MIN(IF(BF144&lt;=0,0,IF(WEEKDAY(BF$6,1)=1,0,MIN(10,BF145)*BF144)),MAX(0,40*MAX(1,BF144)-(0))))</f>
        <v>0</v>
      </c>
      <c r="BG146" s="64">
        <f>IF(AND(BG144=0,BG145=0),0,MIN(IF(BG144&lt;=0,0,IF(WEEKDAY(BG$6,1)=1,0,MIN(10,BG145)*BG144)),MAX(0,40*MAX(1,BG144)-(BF146))))</f>
        <v>0</v>
      </c>
      <c r="BH146" s="63">
        <f>IF(AND(BH144=1,BH145=10),10,MIN(IF(BH144&lt;=0,0,IF(WEEKDAY(BH$6,1)=1,0,MIN(10,BH145)*BH144)),MAX(0,40*MAX(1,BH144)-(0))))</f>
        <v>10</v>
      </c>
      <c r="BI146" s="63">
        <f>IF(AND(BI144=1,BI145=10),10,MIN(IF(BI144&lt;=0,0,IF(WEEKDAY(BI$6,1)=1,0,MIN(10,BI145)*BI144)),MAX(0,40*MAX(1,BI144)-(BH146))))</f>
        <v>10</v>
      </c>
      <c r="BJ146" s="63">
        <f>IF(AND(BJ144=1,BJ145=10),10,MIN(IF(BJ144&lt;=0,0,IF(WEEKDAY(BJ$6,1)=1,0,MIN(10,BJ145)*BJ144)),MAX(0,40*MAX(1,BJ144)-(BH146+BI146))))</f>
        <v>10</v>
      </c>
      <c r="BK146" s="63">
        <f>IF(AND(BK144=1,BK145=10),10,MIN(IF(BK144&lt;=0,0,IF(WEEKDAY(BK$6,1)=1,0,MIN(10,BK145)*BK144)),MAX(0,40*MAX(1,BK144)-(BH146+BI146+BJ146))))</f>
        <v>10</v>
      </c>
      <c r="BL146" s="63">
        <f>IF(AND(BL144=1,BL145=10),0,MIN(IF(BL144&lt;=0,0,IF(WEEKDAY(BL$6,1)=1,0,MIN(10,BL145)*BL144)),MAX(0,40*MAX(1,BL144)-(BH146+BI146+BJ146+BK146))))</f>
        <v>0</v>
      </c>
      <c r="BM146" s="64">
        <f>IF(AND(BM144=1,BM145=10),0,MIN(IF(BM144&lt;=0,0,IF(WEEKDAY(BM$6,1)=1,0,MIN(10,BM145)*BM144)),MAX(0,40*MAX(1,BM144)-(BH146+BI146+BJ146+BK146+BL146))))</f>
        <v>0</v>
      </c>
      <c r="BN146" s="64">
        <f>IF(AND(BN144=1,BN145=10),0,MIN(IF(BN144&lt;=0,0,IF(WEEKDAY(BN$6,1)=1,0,MIN(10,BN145)*BN144)),MAX(0,40*MAX(1,BN144)-(BH146+BI146+BJ146+BK146+BL146+BM146))))</f>
        <v>0</v>
      </c>
      <c r="BO146" s="63">
        <f>IF(AND(BO144=1,BO145=10),10,MIN(IF(BO144&lt;=0,0,IF(WEEKDAY(BO$6,1)=1,0,MIN(10,BO145)*BO144)),MAX(0,40*MAX(1,BO144)-(0))))</f>
        <v>10</v>
      </c>
      <c r="BP146" s="63">
        <f>IF(AND(BP144=1,BP145=10),10,MIN(IF(BP144&lt;=0,0,IF(WEEKDAY(BP$6,1)=1,0,MIN(10,BP145)*BP144)),MAX(0,40*MAX(1,BP144)-(BO146))))</f>
        <v>10</v>
      </c>
      <c r="BQ146" s="63">
        <f>IF(AND(BQ144=1,BQ145=10),10,MIN(IF(BQ144&lt;=0,0,IF(WEEKDAY(BQ$6,1)=1,0,MIN(10,BQ145)*BQ144)),MAX(0,40*MAX(1,BQ144)-(BO146+BP146))))</f>
        <v>10</v>
      </c>
      <c r="BR146" s="63">
        <f>IF(AND(BR144=1,BR145=10),10,MIN(IF(BR144&lt;=0,0,IF(WEEKDAY(BR$6,1)=1,0,MIN(10,BR145)*BR144)),MAX(0,40*MAX(1,BR144)-(0))))</f>
        <v>10</v>
      </c>
      <c r="BS146" s="63">
        <f>IF(AND(BS144=1,BS145=10),10,MIN(IF(BS144&lt;=0,0,IF(WEEKDAY(BS$6,1)=1,0,MIN(10,BS145)*BS144)),MAX(0,40*MAX(1,BS144)-(BR146))))</f>
        <v>10</v>
      </c>
      <c r="BT146" s="64">
        <f>IF(AND(BT144=1,BT145=10),10,MIN(IF(BT144&lt;=0,0,IF(WEEKDAY(BT$6,1)=1,0,MIN(10,BT145)*BT144)),MAX(0,40*MAX(1,BT144)-(BR146+BS146))))</f>
        <v>10</v>
      </c>
      <c r="BU146" s="64">
        <f>IF(AND(BU144=0,BU145=0),0,MIN(IF(BU144&lt;=0,0,IF(WEEKDAY(BU$6,1)=1,0,MIN(10,BU145)*BU144)),MAX(0,40*MAX(1,BU144)-(0))))</f>
        <v>0</v>
      </c>
      <c r="BV146" s="63">
        <f>IF(AND(BV144=1,BV145=10),10,MIN(IF(BV144&lt;=0,0,IF(WEEKDAY(BV$6,1)=1,0,MIN(10,BV145)*BV144)),MAX(0,40*MAX(1,BV144)-(0))))</f>
        <v>10</v>
      </c>
      <c r="BW146" s="63">
        <f>IF(AND(BW144=1,BW145=10),10,MIN(IF(BW144&lt;=0,0,IF(WEEKDAY(BW$6,1)=1,0,MIN(10,BW145)*BW144)),MAX(0,40*MAX(1,BW144)-(BV146))))</f>
        <v>10</v>
      </c>
      <c r="BX146" s="63">
        <f>IF(AND(BX144=1,BX145=10),10,MIN(IF(BX144&lt;=0,0,IF(WEEKDAY(BX$6,1)=1,0,MIN(10,BX145)*BX144)),MAX(0,40*MAX(1,BX144)-(BV146+BW146))))</f>
        <v>10</v>
      </c>
      <c r="BY146" s="63">
        <f>IF(AND(BY144=1,BY145=10),10,MIN(IF(BY144&lt;=0,0,IF(WEEKDAY(BY$6,1)=1,0,MIN(10,BY145)*BY144)),MAX(0,40*MAX(1,BY144)-(BV146+BW146+BX146))))</f>
        <v>10</v>
      </c>
      <c r="BZ146" s="63">
        <f>IF(AND(BZ144=1,BZ145=10),0,MIN(IF(BZ144&lt;=0,0,IF(WEEKDAY(BZ$6,1)=1,0,MIN(10,BZ145)*BZ144)),MAX(0,40*MAX(1,BZ144)-(BV146+BW146+BX146+BY146))))</f>
        <v>0</v>
      </c>
      <c r="CA146" s="64">
        <f>IF(AND(CA144=1,CA145=10),0,MIN(IF(CA144&lt;=0,0,IF(WEEKDAY(CA$6,1)=1,0,MIN(10,CA145)*CA144)),MAX(0,40*MAX(1,CA144)-(BV146+BW146+BX146+BY146+BZ146))))</f>
        <v>0</v>
      </c>
      <c r="CB146" s="64">
        <f>IF(AND(CB144=0,CB145=0),0,MIN(IF(CB144&lt;=0,0,IF(WEEKDAY(CB$6,1)=1,0,MIN(10,CB145)*CB144)),MAX(0,40*MAX(1,CB144)-(0))))</f>
        <v>0</v>
      </c>
      <c r="CC146" s="63">
        <f>IF(AND(CC144=1,CC145=10),10,MIN(IF(CC144&lt;=0,0,IF(WEEKDAY(CC$6,1)=1,0,MIN(10,CC145)*CC144)),MAX(0,40*MAX(1,CC144)-(0))))</f>
        <v>10</v>
      </c>
      <c r="CD146" s="63">
        <f>IF(AND(CD144=1,CD145=10),10,MIN(IF(CD144&lt;=0,0,IF(WEEKDAY(CD$6,1)=1,0,MIN(10,CD145)*CD144)),MAX(0,40*MAX(1,CD144)-(CC146))))</f>
        <v>10</v>
      </c>
      <c r="CE146" s="63">
        <f>IF(AND(CE144=1,CE145=10),10,MIN(IF(CE144&lt;=0,0,IF(WEEKDAY(CE$6,1)=1,0,MIN(10,CE145)*CE144)),MAX(0,40*MAX(1,CE144)-(CC146+CD146))))</f>
        <v>10</v>
      </c>
      <c r="CF146" s="63">
        <f>IF(AND(CF144=1,CF145=10),10,MIN(IF(CF144&lt;=0,0,IF(WEEKDAY(CF$6,1)=1,0,MIN(10,CF145)*CF144)),MAX(0,40*MAX(1,CF144)-(CC146+CD146+CE146))))</f>
        <v>10</v>
      </c>
      <c r="CG146" s="63">
        <f>IF(AND(CG144=1,CG145=10),0,MIN(IF(CG144&lt;=0,0,IF(WEEKDAY(CG$6,1)=1,0,MIN(10,CG145)*CG144)),MAX(0,40*MAX(1,CG144)-(CC146+CD146+CE146+CF146))))</f>
        <v>0</v>
      </c>
      <c r="CH146" s="64">
        <f>IF(AND(CH144=1,CH145=10),0,MIN(IF(CH144&lt;=0,0,IF(WEEKDAY(CH$6,1)=1,0,MIN(10,CH145)*CH144)),MAX(0,40*MAX(1,CH144)-(CC146+CD146+CE146+CF146+CG146))))</f>
        <v>0</v>
      </c>
      <c r="CI146" s="64">
        <f>IF(AND(CI144=0,CI145=0),0,MIN(IF(CI144&lt;=0,0,IF(WEEKDAY(CI$6,1)=1,0,MIN(10,CI145)*CI144)),MAX(0,40*MAX(1,CI144)-(0))))</f>
        <v>0</v>
      </c>
      <c r="CJ146" s="63">
        <f>IF(AND(CJ144=1,CJ145=10),10,MIN(IF(CJ144&lt;=0,0,IF(WEEKDAY(CJ$6,1)=1,0,MIN(10,CJ145)*CJ144)),MAX(0,40*MAX(1,CJ144)-(0))))</f>
        <v>10</v>
      </c>
      <c r="CK146" s="63">
        <f>IF(AND(CK144=1,CK145=10),10,MIN(IF(CK144&lt;=0,0,IF(WEEKDAY(CK$6,1)=1,0,MIN(10,CK145)*CK144)),MAX(0,40*MAX(1,CK144)-(CJ146))))</f>
        <v>10</v>
      </c>
      <c r="CL146" s="63">
        <f>IF(AND(CL144=1,CL145=10),10,MIN(IF(CL144&lt;=0,0,IF(WEEKDAY(CL$6,1)=1,0,MIN(10,CL145)*CL144)),MAX(0,40*MAX(1,CL144)-(CJ146+CK146))))</f>
        <v>10</v>
      </c>
      <c r="CM146" s="63">
        <f>IF(AND(CM144=1,CM145=10),10,MIN(IF(CM144&lt;=0,0,IF(WEEKDAY(CM$6,1)=1,0,MIN(10,CM145)*CM144)),MAX(0,40*MAX(1,CM144)-(CJ146+CK146+CL146))))</f>
        <v>10</v>
      </c>
      <c r="CN146" s="63">
        <f>IF(AND(CN144=1,CN145=10),0,MIN(IF(CN144&lt;=0,0,IF(WEEKDAY(CN$6,1)=1,0,MIN(10,CN145)*CN144)),MAX(0,40*MAX(1,CN144)-(CJ146+CK146+CL146+CM146))))</f>
        <v>0</v>
      </c>
      <c r="CO146" s="64">
        <f>IF(AND(CO144=1,CO145=10),0,MIN(IF(CO144&lt;=0,0,IF(WEEKDAY(CO$6,1)=1,0,MIN(10,CO145)*CO144)),MAX(0,40*MAX(1,CO144)-(CJ146+CK146+CL146+CM146+CN146))))</f>
        <v>0</v>
      </c>
      <c r="CP146" s="64">
        <f>IF(AND(CP144=0,CP145=0),0,MIN(IF(CP144&lt;=0,0,IF(WEEKDAY(CP$6,1)=1,0,MIN(10,CP145)*CP144)),MAX(0,40*MAX(1,CP144)-(0))))</f>
        <v>0</v>
      </c>
      <c r="CQ146" s="63">
        <f>IF(AND(CQ144=1,CQ145=10),10,MIN(IF(CQ144&lt;=0,0,IF(WEEKDAY(CQ$6,1)=1,0,MIN(10,CQ145)*CQ144)),MAX(0,40*MAX(1,CQ144)-(0))))</f>
        <v>10</v>
      </c>
      <c r="CR146" s="63">
        <f>IF(AND(CR144=1,CR145=10),10,MIN(IF(CR144&lt;=0,0,IF(WEEKDAY(CR$6,1)=1,0,MIN(10,CR145)*CR144)),MAX(0,40*MAX(1,CR144)-(CQ146))))</f>
        <v>10</v>
      </c>
      <c r="CS146" s="63">
        <f>IF(AND(CS144=1,CS145=10),10,MIN(IF(CS144&lt;=0,0,IF(WEEKDAY(CS$6,1)=1,0,MIN(10,CS145)*CS144)),MAX(0,40*MAX(1,CS144)-(CQ146+CR146))))</f>
        <v>10</v>
      </c>
      <c r="CT146" s="63">
        <f>IF(AND(CT144=1,CT145=10),10,MIN(IF(CT144&lt;=0,0,IF(WEEKDAY(CT$6,1)=1,0,MIN(10,CT145)*CT144)),MAX(0,40*MAX(1,CT144)-(CQ146+CR146+CS146))))</f>
        <v>10</v>
      </c>
      <c r="CU146" s="63">
        <f>IF(AND(CU144=1,CU145=10),0,MIN(IF(CU144&lt;=0,0,IF(WEEKDAY(CU$6,1)=1,0,MIN(10,CU145)*CU144)),MAX(0,40*MAX(1,CU144)-(CQ146+CR146+CS146+CT146))))</f>
        <v>0</v>
      </c>
      <c r="CV146" s="64">
        <f>IF(AND(CV144=1,CV145=10),0,MIN(IF(CV144&lt;=0,0,IF(WEEKDAY(CV$6,1)=1,0,MIN(10,CV145)*CV144)),MAX(0,40*MAX(1,CV144)-(CQ146+CR146+CS146+CT146+CU146))))</f>
        <v>0</v>
      </c>
      <c r="CW146" s="64">
        <f>IF(AND(CW144=0,CW145=0),0,MIN(IF(CW144&lt;=0,0,IF(WEEKDAY(CW$6,1)=1,0,MIN(10,CW145)*CW144)),MAX(0,40*MAX(1,CW144)-(0))))</f>
        <v>0</v>
      </c>
      <c r="CX146" s="63">
        <f>IF(AND(CX144=1,CX145=10),10,MIN(IF(CX144&lt;=0,0,IF(WEEKDAY(CX$6,1)=1,0,MIN(10,CX145)*CX144)),MAX(0,40*MAX(1,CX144)-(0))))</f>
        <v>10</v>
      </c>
      <c r="CY146" s="63">
        <f>IF(AND(CY144=1,CY145=10),10,MIN(IF(CY144&lt;=0,0,IF(WEEKDAY(CY$6,1)=1,0,MIN(10,CY145)*CY144)),MAX(0,40*MAX(1,CY144)-(CX146))))</f>
        <v>10</v>
      </c>
      <c r="CZ146" s="63">
        <f>IF(AND(CZ144=1,CZ145=10),10,MIN(IF(CZ144&lt;=0,0,IF(WEEKDAY(CZ$6,1)=1,0,MIN(10,CZ145)*CZ144)),MAX(0,40*MAX(1,CZ144)-(CX146+CY146))))</f>
        <v>10</v>
      </c>
      <c r="DA146" s="63">
        <f>IF(AND(DA144=1,DA145=10),10,MIN(IF(DA144&lt;=0,0,IF(WEEKDAY(DA$6,1)=1,0,MIN(10,DA145)*DA144)),MAX(0,40*MAX(1,DA144)-(CX146+CY146+CZ146))))</f>
        <v>10</v>
      </c>
      <c r="DB146" s="63">
        <f>IF(AND(DB144=1,DB145=10),0,MIN(IF(DB144&lt;=0,0,IF(WEEKDAY(DB$6,1)=1,0,MIN(10,DB145)*DB144)),MAX(0,40*MAX(1,DB144)-(CX146+CY146+CZ146+DA146))))</f>
        <v>0</v>
      </c>
      <c r="DC146" s="64">
        <f>IF(AND(DC144=1,DC145=10),0,MIN(IF(DC144&lt;=0,0,IF(WEEKDAY(DC$6,1)=1,0,MIN(10,DC145)*DC144)),MAX(0,40*MAX(1,DC144)-(CX146+CY146+CZ146+DA146+DB146))))</f>
        <v>0</v>
      </c>
      <c r="DD146" s="64">
        <f>IF(AND(DD144=0,DD145=0),0,MIN(IF(DD144&lt;=0,0,IF(WEEKDAY(DD$6,1)=1,0,MIN(10,DD145)*DD144)),MAX(0,40*MAX(1,DD144)-(0))))</f>
        <v>0</v>
      </c>
      <c r="DE146" s="63">
        <f>IF(AND(DE144=1,DE145=10),10,MIN(IF(DE144&lt;=0,0,IF(WEEKDAY(DE$6,1)=1,0,MIN(10,DE145)*DE144)),MAX(0,40*MAX(1,DE144)-(0))))</f>
        <v>10</v>
      </c>
      <c r="DF146" s="63">
        <f>IF(AND(DF144=1,DF145=10),10,MIN(IF(DF144&lt;=0,0,IF(WEEKDAY(DF$6,1)=1,0,MIN(10,DF145)*DF144)),MAX(0,40*MAX(1,DF144)-(DE146))))</f>
        <v>10</v>
      </c>
      <c r="DG146" s="63">
        <f>IF(AND(DG144=1,DG145=10),10,MIN(IF(DG144&lt;=0,0,IF(WEEKDAY(DG$6,1)=1,0,MIN(10,DG145)*DG144)),MAX(0,40*MAX(1,DG144)-(DE146+DF146))))</f>
        <v>10</v>
      </c>
      <c r="DH146" s="63">
        <f>IF(AND(DH144=1,DH145=10),10,MIN(IF(DH144&lt;=0,0,IF(WEEKDAY(DH$6,1)=1,0,MIN(10,DH145)*DH144)),MAX(0,40*MAX(1,DH144)-(DE146+DF146+DG146))))</f>
        <v>10</v>
      </c>
      <c r="DI146" s="63">
        <f>IF(AND(DI144=1,DI145=10),0,MIN(IF(DI144&lt;=0,0,IF(WEEKDAY(DI$6,1)=1,0,MIN(10,DI145)*DI144)),MAX(0,40*MAX(1,DI144)-(DE146+DF146+DG146+DH146))))</f>
        <v>0</v>
      </c>
      <c r="DJ146" s="64">
        <f>IF(AND(DJ144=1,DJ145=10),0,MIN(IF(DJ144&lt;=0,0,IF(WEEKDAY(DJ$6,1)=1,0,MIN(10,DJ145)*DJ144)),MAX(0,40*MAX(1,DJ144)-(DE146+DF146+DG146+DH146+DI146))))</f>
        <v>0</v>
      </c>
      <c r="DK146" s="64">
        <f>IF(AND(DK144=0,DK145=0),0,MIN(IF(DK144&lt;=0,0,IF(WEEKDAY(DK$6,1)=1,0,MIN(10,DK145)*DK144)),MAX(0,40*MAX(1,DK144)-(0))))</f>
        <v>0</v>
      </c>
      <c r="DL146" s="63">
        <f>IF(AND(DL144=1,DL145=10),10,MIN(IF(DL144&lt;=0,0,IF(WEEKDAY(DL$6,1)=1,0,MIN(10,DL145)*DL144)),MAX(0,40*MAX(1,DL144)-(0))))</f>
        <v>10</v>
      </c>
      <c r="DM146" s="63">
        <f>IF(AND(DM144=1,DM145=10),10,MIN(IF(DM144&lt;=0,0,IF(WEEKDAY(DM$6,1)=1,0,MIN(10,DM145)*DM144)),MAX(0,40*MAX(1,DM144)-(DL146))))</f>
        <v>10</v>
      </c>
      <c r="DN146" s="63">
        <f>IF(AND(DN144=1,DN145=10),10,MIN(IF(DN144&lt;=0,0,IF(WEEKDAY(DN$6,1)=1,0,MIN(10,DN145)*DN144)),MAX(0,40*MAX(1,DN144)-(DL146+DM146))))</f>
        <v>10</v>
      </c>
      <c r="DO146" s="63">
        <f>IF(AND(DO144=1,DO145=10),10,MIN(IF(DO144&lt;=0,0,IF(WEEKDAY(DO$6,1)=1,0,MIN(10,DO145)*DO144)),MAX(0,40*MAX(1,DO144)-(DL146+DM146+DN146))))</f>
        <v>10</v>
      </c>
      <c r="DP146" s="63">
        <f>IF(AND(DP144=1,DP145=10),0,MIN(IF(DP144&lt;=0,0,IF(WEEKDAY(DP$6,1)=1,0,MIN(10,DP145)*DP144)),MAX(0,40*MAX(1,DP144)-(DL146+DM146+DN146+DO146))))</f>
        <v>0</v>
      </c>
      <c r="DQ146" s="64">
        <f>IF(AND(DQ144=1,DQ145=10),0,MIN(IF(DQ144&lt;=0,0,IF(WEEKDAY(DQ$6,1)=1,0,MIN(10,DQ145)*DQ144)),MAX(0,40*MAX(1,DQ144)-(DL146+DM146+DN146+DO146+DP146))))</f>
        <v>0</v>
      </c>
      <c r="DR146" s="64">
        <f>IF(AND(DR144=0,DR145=0),0,MIN(IF(DR144&lt;=0,0,IF(WEEKDAY(DR$6,1)=1,0,MIN(10,DR145)*DR144)),MAX(0,40*MAX(1,DR144)-(0))))</f>
        <v>0</v>
      </c>
      <c r="DS146" s="63">
        <f>IF(AND(DS144=1,DS145=10),10,MIN(IF(DS144&lt;=0,0,IF(WEEKDAY(DS$6,1)=1,0,MIN(10,DS145)*DS144)),MAX(0,40*MAX(1,DS144)-(0))))</f>
        <v>10</v>
      </c>
      <c r="DT146" s="63">
        <f>IF(AND(DT144=0,DT145=0),0,MIN(IF(DT144&lt;=0,0,IF(WEEKDAY(DT$6,1)=1,0,MIN(8,DT145)*DT144)),MAX(0,40*MAX(1,DT144)-(0))))</f>
        <v>0</v>
      </c>
      <c r="DU146" s="63">
        <f>IF(AND(DU144=0,DU145=0),0,MIN(IF(DU144&lt;=0,0,IF(WEEKDAY(DU$6,1)=1,0,MIN(8,DU145)*DU144)),MAX(0,40*MAX(1,DU144)-(DT146))))</f>
        <v>0</v>
      </c>
      <c r="DV146" s="63">
        <f>IF(AND(DV144=0,DV145=0),0,MIN(IF(DV144&lt;=0,0,IF(WEEKDAY(DV$6,1)=1,0,MIN(8,DV145)*DV144)),MAX(0,40*MAX(1,DV144)-(DT146+DU146))))</f>
        <v>0</v>
      </c>
      <c r="DW146" s="63">
        <f>IF(AND(DW144=0,DW145=0),0,MIN(IF(DW144&lt;=0,0,IF(WEEKDAY(DW$6,1)=1,0,MIN(8,DW145)*DW144)),MAX(0,40*MAX(1,DW144)-(DT146+DU146+DV146))))</f>
        <v>0</v>
      </c>
      <c r="DX146" s="64">
        <f>IF(AND(DX144=0,DX145=0),0,MIN(IF(DX144&lt;=0,0,IF(WEEKDAY(DX$6,1)=1,0,MIN(10,DX145)*DX144)),MAX(0,40*MAX(1,DX144)-(0))))</f>
        <v>0</v>
      </c>
      <c r="DY146" s="64">
        <f>IF(AND(DY144=0,DY145=0),0,MIN(IF(DY144&lt;=0,0,IF(WEEKDAY(DY$6,1)=1,0,MIN(10,DY145)*DY144)),MAX(0,40*MAX(1,DY144)-(DX146))))</f>
        <v>0</v>
      </c>
      <c r="DZ146" s="63">
        <f>IF(AND(DZ144=0,DZ145=0),0,MIN(IF(DZ144&lt;=0,0,IF(WEEKDAY(DZ$6,1)=1,0,MIN(8,DZ145)*DZ144)),MAX(0,40*MAX(1,DZ144)-(0))))</f>
        <v>0</v>
      </c>
      <c r="EA146" s="63">
        <f>IF(AND(EA144=0,EA145=0),0,MIN(IF(EA144&lt;=0,0,IF(WEEKDAY(EA$6,1)=1,0,MIN(8,EA145)*EA144)),MAX(0,40*MAX(1,EA144)-(DZ146))))</f>
        <v>0</v>
      </c>
      <c r="EB146" s="63">
        <f>IF(AND(EB144=0,EB145=0),0,MIN(IF(EB144&lt;=0,0,IF(WEEKDAY(EB$6,1)=1,0,MIN(8,EB145)*EB144)),MAX(0,40*MAX(1,EB144)-(DZ146+EA146))))</f>
        <v>0</v>
      </c>
      <c r="EC146" s="63">
        <f>IF(AND(EC144=0,EC145=0),0,MIN(IF(EC144&lt;=0,0,IF(WEEKDAY(EC$6,1)=1,0,MIN(8,EC145)*EC144)),MAX(0,40*MAX(1,EC144)-(DZ146+EA146+EB146))))</f>
        <v>0</v>
      </c>
      <c r="ED146" s="63">
        <f>IF(AND(ED144=0,ED145=0),0,MIN(IF(ED144&lt;=0,0,IF(WEEKDAY(ED$6,1)=1,0,MIN(8,ED145)*ED144)),MAX(0,40*MAX(1,ED144)-(DZ146+EA146+EB146+EC146))))</f>
        <v>0</v>
      </c>
      <c r="EE146" s="64">
        <f>IF(AND(EE144=0,EE145=0),0,MIN(IF(EE144&lt;=0,0,IF(WEEKDAY(EE$6,1)=1,0,MIN(10,EE145)*EE144)),MAX(0,40*MAX(1,EE144)-(0))))</f>
        <v>0</v>
      </c>
      <c r="EF146" s="64">
        <f>IF(AND(EF144=0,EF145=0),0,MIN(IF(EF144&lt;=0,0,IF(WEEKDAY(EF$6,1)=1,0,MIN(10,EF145)*EF144)),MAX(0,40*MAX(1,EF144)-(EE146))))</f>
        <v>0</v>
      </c>
      <c r="EG146" s="63">
        <f>IF(AND(EG144=0,EG145=0),0,MIN(IF(EG144&lt;=0,0,IF(WEEKDAY(EG$6,1)=1,0,MIN(8,EG145)*EG144)),MAX(0,40*MAX(1,EG144)-(0))))</f>
        <v>0</v>
      </c>
      <c r="EH146" s="63">
        <f>IF(AND(EH144=0,EH145=0),0,MIN(IF(EH144&lt;=0,0,IF(WEEKDAY(EH$6,1)=1,0,MIN(8,EH145)*EH144)),MAX(0,40*MAX(1,EH144)-(EG146))))</f>
        <v>0</v>
      </c>
      <c r="EI146" s="63">
        <f>IF(AND(EI144=0,EI145=0),0,MIN(IF(EI144&lt;=0,0,IF(WEEKDAY(EI$6,1)=1,0,MIN(8,EI145)*EI144)),MAX(0,40*MAX(1,EI144)-(EG146+EH146))))</f>
        <v>0</v>
      </c>
      <c r="EJ146" s="63">
        <f>IF(AND(EJ144=0,EJ145=0),0,MIN(IF(EJ144&lt;=0,0,IF(WEEKDAY(EJ$6,1)=1,0,MIN(8,EJ145)*EJ144)),MAX(0,40*MAX(1,EJ144)-(EG146+EH146+EI146))))</f>
        <v>0</v>
      </c>
      <c r="EK146" s="65">
        <f>IF(AND(EK144=0,EK145=0),0,MIN(IF(EK144&lt;=0,0,IF(WEEKDAY(EK$6,1)=1,0,MIN(8,EK145)*EK144)),MAX(0,40*MAX(1,EK144)-(EG146+EH146+EI146+EJ146))))</f>
        <v>0</v>
      </c>
      <c r="OU146" s="28" t="s">
        <v>94</v>
      </c>
    </row>
    <row r="147" ht="16" customHeight="1" spans="1:411" x14ac:dyDescent="0.25">
      <c r="A147" s="45"/>
      <c r="B147" s="46"/>
      <c r="C147" s="66">
        <f>G143*N(D147)</f>
        <v>15200</v>
      </c>
      <c r="D147" s="66">
        <f>IF(TRIM(B143)="","No rate",IFERROR(INDEX('Rate Tables'!D$7:D$158,MATCH(B143,'Rate Tables'!A$7:A$158,0)),"No rate"))</f>
        <v>95</v>
      </c>
      <c r="E147" s="55" t="s">
        <v>63</v>
      </c>
      <c r="F147" s="49"/>
      <c r="G147" s="49"/>
      <c r="H147" s="49"/>
      <c r="I147" s="49"/>
      <c r="J147" s="50"/>
      <c r="K147" s="62">
        <f>IF(AND(K144=0,K145=0),0,IF(K144&lt;=0,0,IF(WEEKDAY(K$6,1)=1,0,MAX(0,K145-8)*K144))+((IF(K144&lt;=0,0,IF(WEEKDAY(K$6,1)=1,0,MIN(8,K145)*K144)))-MIN(IF(K144&lt;=0,0,IF(WEEKDAY(K$6,1)=1,0,MIN(8,K145)*K144)),MAX(0,40*MAX(1,K144)-(0)))))</f>
        <v>0</v>
      </c>
      <c r="L147" s="63">
        <f>IF(AND(L144=0,L145=0),0,IF(L144&lt;=0,0,IF(WEEKDAY(L$6,1)=1,0,MAX(0,L145-8)*L144))+((IF(L144&lt;=0,0,IF(WEEKDAY(L$6,1)=1,0,MIN(8,L145)*L144)))-MIN(IF(L144&lt;=0,0,IF(WEEKDAY(L$6,1)=1,0,MIN(8,L145)*L144)),MAX(0,40*MAX(1,L144)-(K146)))))</f>
        <v>0</v>
      </c>
      <c r="M147" s="63">
        <f>IF(AND(M144=0,M145=0),0,IF(M144&lt;=0,0,IF(WEEKDAY(M$6,1)=1,0,MAX(0,M145-8)*M144))+((IF(M144&lt;=0,0,IF(WEEKDAY(M$6,1)=1,0,MIN(8,M145)*M144)))-MIN(IF(M144&lt;=0,0,IF(WEEKDAY(M$6,1)=1,0,MIN(8,M145)*M144)),MAX(0,40*MAX(1,M144)-(K146+L146)))))</f>
        <v>0</v>
      </c>
      <c r="N147" s="63">
        <f>IF(AND(N144=0,N145=0),0,IF(N144&lt;=0,0,IF(WEEKDAY(N$6,1)=1,0,MAX(0,N145-8)*N144))+((IF(N144&lt;=0,0,IF(WEEKDAY(N$6,1)=1,0,MIN(8,N145)*N144)))-MIN(IF(N144&lt;=0,0,IF(WEEKDAY(N$6,1)=1,0,MIN(8,N145)*N144)),MAX(0,40*MAX(1,N144)-(K146+L146+M146)))))</f>
        <v>0</v>
      </c>
      <c r="O147" s="63">
        <f>IF(AND(O144=0,O145=0),0,IF(O144&lt;=0,0,IF(WEEKDAY(O$6,1)=1,0,MAX(0,O145-8)*O144))+((IF(O144&lt;=0,0,IF(WEEKDAY(O$6,1)=1,0,MIN(8,O145)*O144)))-MIN(IF(O144&lt;=0,0,IF(WEEKDAY(O$6,1)=1,0,MIN(8,O145)*O144)),MAX(0,40*MAX(1,O144)-(K146+L146+M146+N146)))))</f>
        <v>0</v>
      </c>
      <c r="P147" s="64">
        <f>IF(AND(P144=0,P145=0),0,IF(P144&lt;=0,0,IF(WEEKDAY(P$6,1)=1,0,MAX(0,P145-10)*P144))+((IF(P144&lt;=0,0,IF(WEEKDAY(P$6,1)=1,0,MIN(10,P145)*P144)))-MIN(IF(P144&lt;=0,0,IF(WEEKDAY(P$6,1)=1,0,MIN(10,P145)*P144)),MAX(0,40*MAX(1,P144)-(0)))))</f>
        <v>0</v>
      </c>
      <c r="Q147" s="64">
        <f>IF(AND(Q144=0,Q145=0),0,IF(Q144&lt;=0,0,IF(WEEKDAY(Q$6,1)=1,0,MAX(0,Q145-10)*Q144))+((IF(Q144&lt;=0,0,IF(WEEKDAY(Q$6,1)=1,0,MIN(10,Q145)*Q144)))-MIN(IF(Q144&lt;=0,0,IF(WEEKDAY(Q$6,1)=1,0,MIN(10,Q145)*Q144)),MAX(0,40*MAX(1,Q144)-(P146)))))</f>
        <v>0</v>
      </c>
      <c r="R147" s="63">
        <f>IF(AND(R144=0,R145=0),0,IF(R144&lt;=0,0,IF(WEEKDAY(R$6,1)=1,0,MAX(0,R145-8)*R144))+((IF(R144&lt;=0,0,IF(WEEKDAY(R$6,1)=1,0,MIN(8,R145)*R144)))-MIN(IF(R144&lt;=0,0,IF(WEEKDAY(R$6,1)=1,0,MIN(8,R145)*R144)),MAX(0,40*MAX(1,R144)-(0)))))</f>
        <v>0</v>
      </c>
      <c r="S147" s="63">
        <f>IF(AND(S144=0,S145=0),0,IF(S144&lt;=0,0,IF(WEEKDAY(S$6,1)=1,0,MAX(0,S145-8)*S144))+((IF(S144&lt;=0,0,IF(WEEKDAY(S$6,1)=1,0,MIN(8,S145)*S144)))-MIN(IF(S144&lt;=0,0,IF(WEEKDAY(S$6,1)=1,0,MIN(8,S145)*S144)),MAX(0,40*MAX(1,S144)-(R146)))))</f>
        <v>0</v>
      </c>
      <c r="T147" s="63">
        <f>IF(AND(T144=0,T145=0),0,IF(T144&lt;=0,0,IF(WEEKDAY(T$6,1)=1,0,MAX(0,T145-8)*T144))+((IF(T144&lt;=0,0,IF(WEEKDAY(T$6,1)=1,0,MIN(8,T145)*T144)))-MIN(IF(T144&lt;=0,0,IF(WEEKDAY(T$6,1)=1,0,MIN(8,T145)*T144)),MAX(0,40*MAX(1,T144)-(R146+S146)))))</f>
        <v>0</v>
      </c>
      <c r="U147" s="63">
        <f>IF(AND(U144=0,U145=0),0,IF(U144&lt;=0,0,IF(WEEKDAY(U$6,1)=1,0,MAX(0,U145-8)*U144))+((IF(U144&lt;=0,0,IF(WEEKDAY(U$6,1)=1,0,MIN(8,U145)*U144)))-MIN(IF(U144&lt;=0,0,IF(WEEKDAY(U$6,1)=1,0,MIN(8,U145)*U144)),MAX(0,40*MAX(1,U144)-(R146+S146+T146)))))</f>
        <v>0</v>
      </c>
      <c r="V147" s="63">
        <f>IF(AND(V144=0,V145=0),0,IF(V144&lt;=0,0,IF(WEEKDAY(V$6,1)=1,0,MAX(0,V145-8)*V144))+((IF(V144&lt;=0,0,IF(WEEKDAY(V$6,1)=1,0,MIN(8,V145)*V144)))-MIN(IF(V144&lt;=0,0,IF(WEEKDAY(V$6,1)=1,0,MIN(8,V145)*V144)),MAX(0,40*MAX(1,V144)-(R146+S146+T146+U146)))))</f>
        <v>0</v>
      </c>
      <c r="W147" s="64">
        <f>IF(AND(W144=0,W145=0),0,IF(W144&lt;=0,0,IF(WEEKDAY(W$6,1)=1,0,MAX(0,W145-10)*W144))+((IF(W144&lt;=0,0,IF(WEEKDAY(W$6,1)=1,0,MIN(10,W145)*W144)))-MIN(IF(W144&lt;=0,0,IF(WEEKDAY(W$6,1)=1,0,MIN(10,W145)*W144)),MAX(0,40*MAX(1,W144)-(0)))))</f>
        <v>0</v>
      </c>
      <c r="X147" s="64">
        <f>IF(AND(X144=0,X145=0),0,IF(X144&lt;=0,0,IF(WEEKDAY(X$6,1)=1,0,MAX(0,X145-10)*X144))+((IF(X144&lt;=0,0,IF(WEEKDAY(X$6,1)=1,0,MIN(10,X145)*X144)))-MIN(IF(X144&lt;=0,0,IF(WEEKDAY(X$6,1)=1,0,MIN(10,X145)*X144)),MAX(0,40*MAX(1,X144)-(W146)))))</f>
        <v>0</v>
      </c>
      <c r="Y147" s="63">
        <f>IF(AND(Y144=0,Y145=0),0,IF(Y144&lt;=0,0,IF(WEEKDAY(Y$6,1)=1,0,MAX(0,Y145-8)*Y144))+((IF(Y144&lt;=0,0,IF(WEEKDAY(Y$6,1)=1,0,MIN(8,Y145)*Y144)))-MIN(IF(Y144&lt;=0,0,IF(WEEKDAY(Y$6,1)=1,0,MIN(8,Y145)*Y144)),MAX(0,40*MAX(1,Y144)-(0)))))</f>
        <v>0</v>
      </c>
      <c r="Z147" s="63">
        <f>IF(AND(Z144=0,Z145=0),0,IF(Z144&lt;=0,0,IF(WEEKDAY(Z$6,1)=1,0,MAX(0,Z145-8)*Z144))+((IF(Z144&lt;=0,0,IF(WEEKDAY(Z$6,1)=1,0,MIN(8,Z145)*Z144)))-MIN(IF(Z144&lt;=0,0,IF(WEEKDAY(Z$6,1)=1,0,MIN(8,Z145)*Z144)),MAX(0,40*MAX(1,Z144)-(Y146)))))</f>
        <v>0</v>
      </c>
      <c r="AA147" s="63">
        <f>IF(AND(AA144=0,AA145=0),0,IF(AA144&lt;=0,0,IF(WEEKDAY(AA$6,1)=1,0,MAX(0,AA145-8)*AA144))+((IF(AA144&lt;=0,0,IF(WEEKDAY(AA$6,1)=1,0,MIN(8,AA145)*AA144)))-MIN(IF(AA144&lt;=0,0,IF(WEEKDAY(AA$6,1)=1,0,MIN(8,AA145)*AA144)),MAX(0,40*MAX(1,AA144)-(Y146+Z146)))))</f>
        <v>0</v>
      </c>
      <c r="AB147" s="63">
        <f>IF(AND(AB144=0,AB145=0),0,IF(AB144&lt;=0,0,IF(WEEKDAY(AB$6,1)=1,0,MAX(0,AB145-8)*AB144))+((IF(AB144&lt;=0,0,IF(WEEKDAY(AB$6,1)=1,0,MIN(8,AB145)*AB144)))-MIN(IF(AB144&lt;=0,0,IF(WEEKDAY(AB$6,1)=1,0,MIN(8,AB145)*AB144)),MAX(0,40*MAX(1,AB144)-(Y146+Z146+AA146)))))</f>
        <v>0</v>
      </c>
      <c r="AC147" s="63">
        <f>IF(AND(AC144=0,AC145=0),0,IF(AC144&lt;=0,0,IF(WEEKDAY(AC$6,1)=1,0,MAX(0,AC145-8)*AC144))+((IF(AC144&lt;=0,0,IF(WEEKDAY(AC$6,1)=1,0,MIN(8,AC145)*AC144)))-MIN(IF(AC144&lt;=0,0,IF(WEEKDAY(AC$6,1)=1,0,MIN(8,AC145)*AC144)),MAX(0,40*MAX(1,AC144)-(Y146+Z146+AA146+AB146)))))</f>
        <v>0</v>
      </c>
      <c r="AD147" s="64">
        <f>IF(AND(AD144=0,AD145=0),0,IF(AD144&lt;=0,0,IF(WEEKDAY(AD$6,1)=1,0,MAX(0,AD145-10)*AD144))+((IF(AD144&lt;=0,0,IF(WEEKDAY(AD$6,1)=1,0,MIN(10,AD145)*AD144)))-MIN(IF(AD144&lt;=0,0,IF(WEEKDAY(AD$6,1)=1,0,MIN(10,AD145)*AD144)),MAX(0,40*MAX(1,AD144)-(0)))))</f>
        <v>0</v>
      </c>
      <c r="AE147" s="64">
        <f>IF(AND(AE144=0,AE145=0),0,IF(AE144&lt;=0,0,IF(WEEKDAY(AE$6,1)=1,0,MAX(0,AE145-10)*AE144))+((IF(AE144&lt;=0,0,IF(WEEKDAY(AE$6,1)=1,0,MIN(10,AE145)*AE144)))-MIN(IF(AE144&lt;=0,0,IF(WEEKDAY(AE$6,1)=1,0,MIN(10,AE145)*AE144)),MAX(0,40*MAX(1,AE144)-(AD146)))))</f>
        <v>0</v>
      </c>
      <c r="AF147" s="63">
        <f>IF(AND(AF144=0,AF145=0),0,IF(AF144&lt;=0,0,IF(WEEKDAY(AF$6,1)=1,0,MAX(0,AF145-8)*AF144))+((IF(AF144&lt;=0,0,IF(WEEKDAY(AF$6,1)=1,0,MIN(8,AF145)*AF144)))-MIN(IF(AF144&lt;=0,0,IF(WEEKDAY(AF$6,1)=1,0,MIN(8,AF145)*AF144)),MAX(0,40*MAX(1,AF144)-(0)))))</f>
        <v>0</v>
      </c>
      <c r="AG147" s="63">
        <f>IF(AND(AG144=0,AG145=0),0,IF(AG144&lt;=0,0,IF(WEEKDAY(AG$6,1)=1,0,MAX(0,AG145-8)*AG144))+((IF(AG144&lt;=0,0,IF(WEEKDAY(AG$6,1)=1,0,MIN(8,AG145)*AG144)))-MIN(IF(AG144&lt;=0,0,IF(WEEKDAY(AG$6,1)=1,0,MIN(8,AG145)*AG144)),MAX(0,40*MAX(1,AG144)-(AF146)))))</f>
        <v>0</v>
      </c>
      <c r="AH147" s="63">
        <f>IF(AND(AH144=0,AH145=0),0,IF(AH144&lt;=0,0,IF(WEEKDAY(AH$6,1)=1,0,MAX(0,AH145-8)*AH144))+((IF(AH144&lt;=0,0,IF(WEEKDAY(AH$6,1)=1,0,MIN(8,AH145)*AH144)))-MIN(IF(AH144&lt;=0,0,IF(WEEKDAY(AH$6,1)=1,0,MIN(8,AH145)*AH144)),MAX(0,40*MAX(1,AH144)-(AF146+AG146)))))</f>
        <v>0</v>
      </c>
      <c r="AI147" s="63">
        <f>IF(AND(AI144=0,AI145=0),0,IF(AI144&lt;=0,0,IF(WEEKDAY(AI$6,1)=1,0,MAX(0,AI145-8)*AI144))+((IF(AI144&lt;=0,0,IF(WEEKDAY(AI$6,1)=1,0,MIN(8,AI145)*AI144)))-MIN(IF(AI144&lt;=0,0,IF(WEEKDAY(AI$6,1)=1,0,MIN(8,AI145)*AI144)),MAX(0,40*MAX(1,AI144)-(AF146+AG146+AH146)))))</f>
        <v>0</v>
      </c>
      <c r="AJ147" s="63">
        <f>IF(AND(AJ144=0,AJ145=0),0,IF(AJ144&lt;=0,0,IF(WEEKDAY(AJ$6,1)=1,0,MAX(0,AJ145-8)*AJ144))+((IF(AJ144&lt;=0,0,IF(WEEKDAY(AJ$6,1)=1,0,MIN(8,AJ145)*AJ144)))-MIN(IF(AJ144&lt;=0,0,IF(WEEKDAY(AJ$6,1)=1,0,MIN(8,AJ145)*AJ144)),MAX(0,40*MAX(1,AJ144)-(AF146+AG146+AH146+AI146)))))</f>
        <v>0</v>
      </c>
      <c r="AK147" s="64">
        <f>IF(AND(AK144=0,AK145=0),0,IF(AK144&lt;=0,0,IF(WEEKDAY(AK$6,1)=1,0,MAX(0,AK145-10)*AK144))+((IF(AK144&lt;=0,0,IF(WEEKDAY(AK$6,1)=1,0,MIN(10,AK145)*AK144)))-MIN(IF(AK144&lt;=0,0,IF(WEEKDAY(AK$6,1)=1,0,MIN(10,AK145)*AK144)),MAX(0,40*MAX(1,AK144)-(0)))))</f>
        <v>0</v>
      </c>
      <c r="AL147" s="64">
        <f>IF(AND(AL144=0,AL145=0),0,IF(AL144&lt;=0,0,IF(WEEKDAY(AL$6,1)=1,0,MAX(0,AL145-10)*AL144))+((IF(AL144&lt;=0,0,IF(WEEKDAY(AL$6,1)=1,0,MIN(10,AL145)*AL144)))-MIN(IF(AL144&lt;=0,0,IF(WEEKDAY(AL$6,1)=1,0,MIN(10,AL145)*AL144)),MAX(0,40*MAX(1,AL144)-(AK146)))))</f>
        <v>0</v>
      </c>
      <c r="AM147" s="63">
        <f>IF(AND(AM144=0,AM145=0),0,IF(AM144&lt;=0,0,IF(WEEKDAY(AM$6,1)=1,0,MAX(0,AM145-8)*AM144))+((IF(AM144&lt;=0,0,IF(WEEKDAY(AM$6,1)=1,0,MIN(8,AM145)*AM144)))-MIN(IF(AM144&lt;=0,0,IF(WEEKDAY(AM$6,1)=1,0,MIN(8,AM145)*AM144)),MAX(0,40*MAX(1,AM144)-(0)))))</f>
        <v>0</v>
      </c>
      <c r="AN147" s="63">
        <f>IF(AND(AN144=0,AN145=0),0,IF(AN144&lt;=0,0,IF(WEEKDAY(AN$6,1)=1,0,MAX(0,AN145-8)*AN144))+((IF(AN144&lt;=0,0,IF(WEEKDAY(AN$6,1)=1,0,MIN(8,AN145)*AN144)))-MIN(IF(AN144&lt;=0,0,IF(WEEKDAY(AN$6,1)=1,0,MIN(8,AN145)*AN144)),MAX(0,40*MAX(1,AN144)-(AM146)))))</f>
        <v>0</v>
      </c>
      <c r="AO147" s="63">
        <f>IF(AND(AO144=0,AO145=0),0,IF(AO144&lt;=0,0,IF(WEEKDAY(AO$6,1)=1,0,MAX(0,AO145-8)*AO144))+((IF(AO144&lt;=0,0,IF(WEEKDAY(AO$6,1)=1,0,MIN(8,AO145)*AO144)))-MIN(IF(AO144&lt;=0,0,IF(WEEKDAY(AO$6,1)=1,0,MIN(8,AO145)*AO144)),MAX(0,40*MAX(1,AO144)-(AM146+AN146)))))</f>
        <v>0</v>
      </c>
      <c r="AP147" s="63">
        <f>IF(AND(AP144=0,AP145=0),0,IF(AP144&lt;=0,0,IF(WEEKDAY(AP$6,1)=1,0,MAX(0,AP145-8)*AP144))+((IF(AP144&lt;=0,0,IF(WEEKDAY(AP$6,1)=1,0,MIN(8,AP145)*AP144)))-MIN(IF(AP144&lt;=0,0,IF(WEEKDAY(AP$6,1)=1,0,MIN(8,AP145)*AP144)),MAX(0,40*MAX(1,AP144)-(AM146+AN146+AO146)))))</f>
        <v>0</v>
      </c>
      <c r="AQ147" s="63">
        <f>IF(AND(AQ144=0,AQ145=0),0,IF(AQ144&lt;=0,0,IF(WEEKDAY(AQ$6,1)=1,0,MAX(0,AQ145-8)*AQ144))+((IF(AQ144&lt;=0,0,IF(WEEKDAY(AQ$6,1)=1,0,MIN(8,AQ145)*AQ144)))-MIN(IF(AQ144&lt;=0,0,IF(WEEKDAY(AQ$6,1)=1,0,MIN(8,AQ145)*AQ144)),MAX(0,40*MAX(1,AQ144)-(AM146+AN146+AO146+AP146)))))</f>
        <v>0</v>
      </c>
      <c r="AR147" s="64">
        <f>IF(AND(AR144=0,AR145=0),0,IF(AR144&lt;=0,0,IF(WEEKDAY(AR$6,1)=1,0,MAX(0,AR145-10)*AR144))+((IF(AR144&lt;=0,0,IF(WEEKDAY(AR$6,1)=1,0,MIN(10,AR145)*AR144)))-MIN(IF(AR144&lt;=0,0,IF(WEEKDAY(AR$6,1)=1,0,MIN(10,AR145)*AR144)),MAX(0,40*MAX(1,AR144)-(0)))))</f>
        <v>0</v>
      </c>
      <c r="AS147" s="64">
        <f>IF(AND(AS144=0,AS145=0),0,IF(AS144&lt;=0,0,IF(WEEKDAY(AS$6,1)=1,0,MAX(0,AS145-10)*AS144))+((IF(AS144&lt;=0,0,IF(WEEKDAY(AS$6,1)=1,0,MIN(10,AS145)*AS144)))-MIN(IF(AS144&lt;=0,0,IF(WEEKDAY(AS$6,1)=1,0,MIN(10,AS145)*AS144)),MAX(0,40*MAX(1,AS144)-(AR146)))))</f>
        <v>0</v>
      </c>
      <c r="AT147" s="63">
        <f>IF(AND(AT144=0,AT145=0),0,IF(AT144&lt;=0,0,IF(WEEKDAY(AT$6,1)=1,0,MAX(0,AT145-8)*AT144))+((IF(AT144&lt;=0,0,IF(WEEKDAY(AT$6,1)=1,0,MIN(8,AT145)*AT144)))-MIN(IF(AT144&lt;=0,0,IF(WEEKDAY(AT$6,1)=1,0,MIN(8,AT145)*AT144)),MAX(0,40*MAX(1,AT144)-(0)))))</f>
        <v>0</v>
      </c>
      <c r="AU147" s="63">
        <f>IF(AND(AU144=0,AU145=0),0,IF(AU144&lt;=0,0,IF(WEEKDAY(AU$6,1)=1,0,MAX(0,AU145-8)*AU144))+((IF(AU144&lt;=0,0,IF(WEEKDAY(AU$6,1)=1,0,MIN(8,AU145)*AU144)))-MIN(IF(AU144&lt;=0,0,IF(WEEKDAY(AU$6,1)=1,0,MIN(8,AU145)*AU144)),MAX(0,40*MAX(1,AU144)-(AT146)))))</f>
        <v>0</v>
      </c>
      <c r="AV147" s="63">
        <f>IF(AND(AV144=0,AV145=0),0,IF(AV144&lt;=0,0,IF(WEEKDAY(AV$6,1)=1,0,MAX(0,AV145-8)*AV144))+((IF(AV144&lt;=0,0,IF(WEEKDAY(AV$6,1)=1,0,MIN(8,AV145)*AV144)))-MIN(IF(AV144&lt;=0,0,IF(WEEKDAY(AV$6,1)=1,0,MIN(8,AV145)*AV144)),MAX(0,40*MAX(1,AV144)-(AT146+AU146)))))</f>
        <v>0</v>
      </c>
      <c r="AW147" s="63">
        <f>IF(AND(AW144=0,AW145=0),0,IF(AW144&lt;=0,0,IF(WEEKDAY(AW$6,1)=1,0,MAX(0,AW145-8)*AW144))+((IF(AW144&lt;=0,0,IF(WEEKDAY(AW$6,1)=1,0,MIN(8,AW145)*AW144)))-MIN(IF(AW144&lt;=0,0,IF(WEEKDAY(AW$6,1)=1,0,MIN(8,AW145)*AW144)),MAX(0,40*MAX(1,AW144)-(AT146+AU146+AV146)))))</f>
        <v>0</v>
      </c>
      <c r="AX147" s="63">
        <f>IF(AND(AX144=0,AX145=0),0,IF(AX144&lt;=0,0,IF(WEEKDAY(AX$6,1)=1,0,MAX(0,AX145-8)*AX144))+((IF(AX144&lt;=0,0,IF(WEEKDAY(AX$6,1)=1,0,MIN(8,AX145)*AX144)))-MIN(IF(AX144&lt;=0,0,IF(WEEKDAY(AX$6,1)=1,0,MIN(8,AX145)*AX144)),MAX(0,40*MAX(1,AX144)-(AT146+AU146+AV146+AW146)))))</f>
        <v>0</v>
      </c>
      <c r="AY147" s="64">
        <f>IF(AND(AY144=0,AY145=0),0,IF(AY144&lt;=0,0,IF(WEEKDAY(AY$6,1)=1,0,MAX(0,AY145-10)*AY144))+((IF(AY144&lt;=0,0,IF(WEEKDAY(AY$6,1)=1,0,MIN(10,AY145)*AY144)))-MIN(IF(AY144&lt;=0,0,IF(WEEKDAY(AY$6,1)=1,0,MIN(10,AY145)*AY144)),MAX(0,40*MAX(1,AY144)-(0)))))</f>
        <v>0</v>
      </c>
      <c r="AZ147" s="64">
        <f>IF(AND(AZ144=0,AZ145=0),0,IF(AZ144&lt;=0,0,IF(WEEKDAY(AZ$6,1)=1,0,MAX(0,AZ145-10)*AZ144))+((IF(AZ144&lt;=0,0,IF(WEEKDAY(AZ$6,1)=1,0,MIN(10,AZ145)*AZ144)))-MIN(IF(AZ144&lt;=0,0,IF(WEEKDAY(AZ$6,1)=1,0,MIN(10,AZ145)*AZ144)),MAX(0,40*MAX(1,AZ144)-(AY146)))))</f>
        <v>0</v>
      </c>
      <c r="BA147" s="63">
        <f>IF(AND(BA144=0,BA145=0),0,IF(BA144&lt;=0,0,IF(WEEKDAY(BA$6,1)=1,0,MAX(0,BA145-8)*BA144))+((IF(BA144&lt;=0,0,IF(WEEKDAY(BA$6,1)=1,0,MIN(8,BA145)*BA144)))-MIN(IF(BA144&lt;=0,0,IF(WEEKDAY(BA$6,1)=1,0,MIN(8,BA145)*BA144)),MAX(0,40*MAX(1,BA144)-(0)))))</f>
        <v>0</v>
      </c>
      <c r="BB147" s="63">
        <f>IF(AND(BB144=0,BB145=0),0,IF(BB144&lt;=0,0,IF(WEEKDAY(BB$6,1)=1,0,MAX(0,BB145-8)*BB144))+((IF(BB144&lt;=0,0,IF(WEEKDAY(BB$6,1)=1,0,MIN(8,BB145)*BB144)))-MIN(IF(BB144&lt;=0,0,IF(WEEKDAY(BB$6,1)=1,0,MIN(8,BB145)*BB144)),MAX(0,40*MAX(1,BB144)-(BA146)))))</f>
        <v>0</v>
      </c>
      <c r="BC147" s="63">
        <f>IF(AND(BC144=0,BC145=0),0,IF(BC144&lt;=0,0,IF(WEEKDAY(BC$6,1)=1,0,MAX(0,BC145-8)*BC144))+((IF(BC144&lt;=0,0,IF(WEEKDAY(BC$6,1)=1,0,MIN(8,BC145)*BC144)))-MIN(IF(BC144&lt;=0,0,IF(WEEKDAY(BC$6,1)=1,0,MIN(8,BC145)*BC144)),MAX(0,40*MAX(1,BC144)-(BA146+BB146)))))</f>
        <v>0</v>
      </c>
      <c r="BD147" s="63">
        <f>IF(AND(BD144=0,BD145=0),0,IF(BD144&lt;=0,0,IF(WEEKDAY(BD$6,1)=1,0,MAX(0,BD145-8)*BD144))+((IF(BD144&lt;=0,0,IF(WEEKDAY(BD$6,1)=1,0,MIN(8,BD145)*BD144)))-MIN(IF(BD144&lt;=0,0,IF(WEEKDAY(BD$6,1)=1,0,MIN(8,BD145)*BD144)),MAX(0,40*MAX(1,BD144)-(BA146+BB146+BC146)))))</f>
        <v>0</v>
      </c>
      <c r="BE147" s="63">
        <f>IF(AND(BE144=0,BE145=0),0,IF(BE144&lt;=0,0,IF(WEEKDAY(BE$6,1)=1,0,MAX(0,BE145-8)*BE144))+((IF(BE144&lt;=0,0,IF(WEEKDAY(BE$6,1)=1,0,MIN(8,BE145)*BE144)))-MIN(IF(BE144&lt;=0,0,IF(WEEKDAY(BE$6,1)=1,0,MIN(8,BE145)*BE144)),MAX(0,40*MAX(1,BE144)-(BA146+BB146+BC146+BD146)))))</f>
        <v>0</v>
      </c>
      <c r="BF147" s="64">
        <f>IF(AND(BF144=0,BF145=0),0,IF(BF144&lt;=0,0,IF(WEEKDAY(BF$6,1)=1,0,MAX(0,BF145-10)*BF144))+((IF(BF144&lt;=0,0,IF(WEEKDAY(BF$6,1)=1,0,MIN(10,BF145)*BF144)))-MIN(IF(BF144&lt;=0,0,IF(WEEKDAY(BF$6,1)=1,0,MIN(10,BF145)*BF144)),MAX(0,40*MAX(1,BF144)-(0)))))</f>
        <v>0</v>
      </c>
      <c r="BG147" s="64">
        <f>IF(AND(BG144=0,BG145=0),0,IF(BG144&lt;=0,0,IF(WEEKDAY(BG$6,1)=1,0,MAX(0,BG145-10)*BG144))+((IF(BG144&lt;=0,0,IF(WEEKDAY(BG$6,1)=1,0,MIN(10,BG145)*BG144)))-MIN(IF(BG144&lt;=0,0,IF(WEEKDAY(BG$6,1)=1,0,MIN(10,BG145)*BG144)),MAX(0,40*MAX(1,BG144)-(BF146)))))</f>
        <v>0</v>
      </c>
      <c r="BH147" s="63">
        <f>IF(AND(BH144=1,BH145=10),0,IF(BH144&lt;=0,0,IF(WEEKDAY(BH$6,1)=1,0,MAX(0,BH145-10)*BH144))+((IF(BH144&lt;=0,0,IF(WEEKDAY(BH$6,1)=1,0,MIN(10,BH145)*BH144)))-MIN(IF(BH144&lt;=0,0,IF(WEEKDAY(BH$6,1)=1,0,MIN(10,BH145)*BH144)),MAX(0,40*MAX(1,BH144)-(0)))))</f>
        <v>0</v>
      </c>
      <c r="BI147" s="63">
        <f>IF(AND(BI144=1,BI145=10),0,IF(BI144&lt;=0,0,IF(WEEKDAY(BI$6,1)=1,0,MAX(0,BI145-10)*BI144))+((IF(BI144&lt;=0,0,IF(WEEKDAY(BI$6,1)=1,0,MIN(10,BI145)*BI144)))-MIN(IF(BI144&lt;=0,0,IF(WEEKDAY(BI$6,1)=1,0,MIN(10,BI145)*BI144)),MAX(0,40*MAX(1,BI144)-(BH146)))))</f>
        <v>0</v>
      </c>
      <c r="BJ147" s="63">
        <f>IF(AND(BJ144=1,BJ145=10),0,IF(BJ144&lt;=0,0,IF(WEEKDAY(BJ$6,1)=1,0,MAX(0,BJ145-10)*BJ144))+((IF(BJ144&lt;=0,0,IF(WEEKDAY(BJ$6,1)=1,0,MIN(10,BJ145)*BJ144)))-MIN(IF(BJ144&lt;=0,0,IF(WEEKDAY(BJ$6,1)=1,0,MIN(10,BJ145)*BJ144)),MAX(0,40*MAX(1,BJ144)-(BH146+BI146)))))</f>
        <v>0</v>
      </c>
      <c r="BK147" s="63">
        <f>IF(AND(BK144=1,BK145=10),0,IF(BK144&lt;=0,0,IF(WEEKDAY(BK$6,1)=1,0,MAX(0,BK145-10)*BK144))+((IF(BK144&lt;=0,0,IF(WEEKDAY(BK$6,1)=1,0,MIN(10,BK145)*BK144)))-MIN(IF(BK144&lt;=0,0,IF(WEEKDAY(BK$6,1)=1,0,MIN(10,BK145)*BK144)),MAX(0,40*MAX(1,BK144)-(BH146+BI146+BJ146)))))</f>
        <v>0</v>
      </c>
      <c r="BL147" s="63">
        <f>IF(AND(BL144=1,BL145=10),10,IF(BL144&lt;=0,0,IF(WEEKDAY(BL$6,1)=1,0,MAX(0,BL145-10)*BL144))+((IF(BL144&lt;=0,0,IF(WEEKDAY(BL$6,1)=1,0,MIN(10,BL145)*BL144)))-MIN(IF(BL144&lt;=0,0,IF(WEEKDAY(BL$6,1)=1,0,MIN(10,BL145)*BL144)),MAX(0,40*MAX(1,BL144)-(BH146+BI146+BJ146+BK146)))))</f>
        <v>10</v>
      </c>
      <c r="BM147" s="64">
        <f>IF(AND(BM144=1,BM145=10),10,IF(BM144&lt;=0,0,IF(WEEKDAY(BM$6,1)=1,0,MAX(0,BM145-10)*BM144))+((IF(BM144&lt;=0,0,IF(WEEKDAY(BM$6,1)=1,0,MIN(10,BM145)*BM144)))-MIN(IF(BM144&lt;=0,0,IF(WEEKDAY(BM$6,1)=1,0,MIN(10,BM145)*BM144)),MAX(0,40*MAX(1,BM144)-(BH146+BI146+BJ146+BK146+BL146)))))</f>
        <v>10</v>
      </c>
      <c r="BN147" s="64">
        <f>IF(AND(BN144=1,BN145=10),0,IF(BN144&lt;=0,0,IF(WEEKDAY(BN$6,1)=1,0,MAX(0,BN145-10)*BN144))+((IF(BN144&lt;=0,0,IF(WEEKDAY(BN$6,1)=1,0,MIN(10,BN145)*BN144)))-MIN(IF(BN144&lt;=0,0,IF(WEEKDAY(BN$6,1)=1,0,MIN(10,BN145)*BN144)),MAX(0,40*MAX(1,BN144)-(BH146+BI146+BJ146+BK146+BL146+BM146)))))</f>
        <v>0</v>
      </c>
      <c r="BO147" s="63">
        <f>IF(AND(BO144=1,BO145=10),0,IF(BO144&lt;=0,0,IF(WEEKDAY(BO$6,1)=1,0,MAX(0,BO145-10)*BO144))+((IF(BO144&lt;=0,0,IF(WEEKDAY(BO$6,1)=1,0,MIN(10,BO145)*BO144)))-MIN(IF(BO144&lt;=0,0,IF(WEEKDAY(BO$6,1)=1,0,MIN(10,BO145)*BO144)),MAX(0,40*MAX(1,BO144)-(0)))))</f>
        <v>0</v>
      </c>
      <c r="BP147" s="63">
        <f>IF(AND(BP144=1,BP145=10),0,IF(BP144&lt;=0,0,IF(WEEKDAY(BP$6,1)=1,0,MAX(0,BP145-10)*BP144))+((IF(BP144&lt;=0,0,IF(WEEKDAY(BP$6,1)=1,0,MIN(10,BP145)*BP144)))-MIN(IF(BP144&lt;=0,0,IF(WEEKDAY(BP$6,1)=1,0,MIN(10,BP145)*BP144)),MAX(0,40*MAX(1,BP144)-(BO146)))))</f>
        <v>0</v>
      </c>
      <c r="BQ147" s="63">
        <f>IF(AND(BQ144=1,BQ145=10),0,IF(BQ144&lt;=0,0,IF(WEEKDAY(BQ$6,1)=1,0,MAX(0,BQ145-10)*BQ144))+((IF(BQ144&lt;=0,0,IF(WEEKDAY(BQ$6,1)=1,0,MIN(10,BQ145)*BQ144)))-MIN(IF(BQ144&lt;=0,0,IF(WEEKDAY(BQ$6,1)=1,0,MIN(10,BQ145)*BQ144)),MAX(0,40*MAX(1,BQ144)-(BO146+BP146)))))</f>
        <v>0</v>
      </c>
      <c r="BR147" s="63">
        <f>IF(AND(BR144=1,BR145=10),0,IF(BR144&lt;=0,0,IF(WEEKDAY(BR$6,1)=1,0,MAX(0,BR145-10)*BR144))+((IF(BR144&lt;=0,0,IF(WEEKDAY(BR$6,1)=1,0,MIN(10,BR145)*BR144)))-MIN(IF(BR144&lt;=0,0,IF(WEEKDAY(BR$6,1)=1,0,MIN(10,BR145)*BR144)),MAX(0,40*MAX(1,BR144)-(0)))))</f>
        <v>0</v>
      </c>
      <c r="BS147" s="63">
        <f>IF(AND(BS144=1,BS145=10),0,IF(BS144&lt;=0,0,IF(WEEKDAY(BS$6,1)=1,0,MAX(0,BS145-10)*BS144))+((IF(BS144&lt;=0,0,IF(WEEKDAY(BS$6,1)=1,0,MIN(10,BS145)*BS144)))-MIN(IF(BS144&lt;=0,0,IF(WEEKDAY(BS$6,1)=1,0,MIN(10,BS145)*BS144)),MAX(0,40*MAX(1,BS144)-(BR146)))))</f>
        <v>0</v>
      </c>
      <c r="BT147" s="64">
        <f>IF(AND(BT144=1,BT145=10),0,IF(BT144&lt;=0,0,IF(WEEKDAY(BT$6,1)=1,0,MAX(0,BT145-10)*BT144))+((IF(BT144&lt;=0,0,IF(WEEKDAY(BT$6,1)=1,0,MIN(10,BT145)*BT144)))-MIN(IF(BT144&lt;=0,0,IF(WEEKDAY(BT$6,1)=1,0,MIN(10,BT145)*BT144)),MAX(0,40*MAX(1,BT144)-(BR146+BS146)))))</f>
        <v>0</v>
      </c>
      <c r="BU147" s="64">
        <f>IF(AND(BU144=0,BU145=0),0,IF(BU144&lt;=0,0,IF(WEEKDAY(BU$6,1)=1,0,MAX(0,BU145-10)*BU144))+((IF(BU144&lt;=0,0,IF(WEEKDAY(BU$6,1)=1,0,MIN(10,BU145)*BU144)))-MIN(IF(BU144&lt;=0,0,IF(WEEKDAY(BU$6,1)=1,0,MIN(10,BU145)*BU144)),MAX(0,40*MAX(1,BU144)-(0)))))</f>
        <v>0</v>
      </c>
      <c r="BV147" s="63">
        <f>IF(AND(BV144=1,BV145=10),0,IF(BV144&lt;=0,0,IF(WEEKDAY(BV$6,1)=1,0,MAX(0,BV145-10)*BV144))+((IF(BV144&lt;=0,0,IF(WEEKDAY(BV$6,1)=1,0,MIN(10,BV145)*BV144)))-MIN(IF(BV144&lt;=0,0,IF(WEEKDAY(BV$6,1)=1,0,MIN(10,BV145)*BV144)),MAX(0,40*MAX(1,BV144)-(0)))))</f>
        <v>0</v>
      </c>
      <c r="BW147" s="63">
        <f>IF(AND(BW144=1,BW145=10),0,IF(BW144&lt;=0,0,IF(WEEKDAY(BW$6,1)=1,0,MAX(0,BW145-10)*BW144))+((IF(BW144&lt;=0,0,IF(WEEKDAY(BW$6,1)=1,0,MIN(10,BW145)*BW144)))-MIN(IF(BW144&lt;=0,0,IF(WEEKDAY(BW$6,1)=1,0,MIN(10,BW145)*BW144)),MAX(0,40*MAX(1,BW144)-(BV146)))))</f>
        <v>0</v>
      </c>
      <c r="BX147" s="63">
        <f>IF(AND(BX144=1,BX145=10),0,IF(BX144&lt;=0,0,IF(WEEKDAY(BX$6,1)=1,0,MAX(0,BX145-10)*BX144))+((IF(BX144&lt;=0,0,IF(WEEKDAY(BX$6,1)=1,0,MIN(10,BX145)*BX144)))-MIN(IF(BX144&lt;=0,0,IF(WEEKDAY(BX$6,1)=1,0,MIN(10,BX145)*BX144)),MAX(0,40*MAX(1,BX144)-(BV146+BW146)))))</f>
        <v>0</v>
      </c>
      <c r="BY147" s="63">
        <f>IF(AND(BY144=1,BY145=10),0,IF(BY144&lt;=0,0,IF(WEEKDAY(BY$6,1)=1,0,MAX(0,BY145-10)*BY144))+((IF(BY144&lt;=0,0,IF(WEEKDAY(BY$6,1)=1,0,MIN(10,BY145)*BY144)))-MIN(IF(BY144&lt;=0,0,IF(WEEKDAY(BY$6,1)=1,0,MIN(10,BY145)*BY144)),MAX(0,40*MAX(1,BY144)-(BV146+BW146+BX146)))))</f>
        <v>0</v>
      </c>
      <c r="BZ147" s="63">
        <f>IF(AND(BZ144=1,BZ145=10),10,IF(BZ144&lt;=0,0,IF(WEEKDAY(BZ$6,1)=1,0,MAX(0,BZ145-10)*BZ144))+((IF(BZ144&lt;=0,0,IF(WEEKDAY(BZ$6,1)=1,0,MIN(10,BZ145)*BZ144)))-MIN(IF(BZ144&lt;=0,0,IF(WEEKDAY(BZ$6,1)=1,0,MIN(10,BZ145)*BZ144)),MAX(0,40*MAX(1,BZ144)-(BV146+BW146+BX146+BY146)))))</f>
        <v>10</v>
      </c>
      <c r="CA147" s="64">
        <f>IF(AND(CA144=1,CA145=10),10,IF(CA144&lt;=0,0,IF(WEEKDAY(CA$6,1)=1,0,MAX(0,CA145-10)*CA144))+((IF(CA144&lt;=0,0,IF(WEEKDAY(CA$6,1)=1,0,MIN(10,CA145)*CA144)))-MIN(IF(CA144&lt;=0,0,IF(WEEKDAY(CA$6,1)=1,0,MIN(10,CA145)*CA144)),MAX(0,40*MAX(1,CA144)-(BV146+BW146+BX146+BY146+BZ146)))))</f>
        <v>10</v>
      </c>
      <c r="CB147" s="64">
        <f>IF(AND(CB144=0,CB145=0),0,IF(CB144&lt;=0,0,IF(WEEKDAY(CB$6,1)=1,0,MAX(0,CB145-10)*CB144))+((IF(CB144&lt;=0,0,IF(WEEKDAY(CB$6,1)=1,0,MIN(10,CB145)*CB144)))-MIN(IF(CB144&lt;=0,0,IF(WEEKDAY(CB$6,1)=1,0,MIN(10,CB145)*CB144)),MAX(0,40*MAX(1,CB144)-(0)))))</f>
        <v>0</v>
      </c>
      <c r="CC147" s="63">
        <f>IF(AND(CC144=1,CC145=10),0,IF(CC144&lt;=0,0,IF(WEEKDAY(CC$6,1)=1,0,MAX(0,CC145-10)*CC144))+((IF(CC144&lt;=0,0,IF(WEEKDAY(CC$6,1)=1,0,MIN(10,CC145)*CC144)))-MIN(IF(CC144&lt;=0,0,IF(WEEKDAY(CC$6,1)=1,0,MIN(10,CC145)*CC144)),MAX(0,40*MAX(1,CC144)-(0)))))</f>
        <v>0</v>
      </c>
      <c r="CD147" s="63">
        <f>IF(AND(CD144=1,CD145=10),0,IF(CD144&lt;=0,0,IF(WEEKDAY(CD$6,1)=1,0,MAX(0,CD145-10)*CD144))+((IF(CD144&lt;=0,0,IF(WEEKDAY(CD$6,1)=1,0,MIN(10,CD145)*CD144)))-MIN(IF(CD144&lt;=0,0,IF(WEEKDAY(CD$6,1)=1,0,MIN(10,CD145)*CD144)),MAX(0,40*MAX(1,CD144)-(CC146)))))</f>
        <v>0</v>
      </c>
      <c r="CE147" s="63">
        <f>IF(AND(CE144=1,CE145=10),0,IF(CE144&lt;=0,0,IF(WEEKDAY(CE$6,1)=1,0,MAX(0,CE145-10)*CE144))+((IF(CE144&lt;=0,0,IF(WEEKDAY(CE$6,1)=1,0,MIN(10,CE145)*CE144)))-MIN(IF(CE144&lt;=0,0,IF(WEEKDAY(CE$6,1)=1,0,MIN(10,CE145)*CE144)),MAX(0,40*MAX(1,CE144)-(CC146+CD146)))))</f>
        <v>0</v>
      </c>
      <c r="CF147" s="63">
        <f>IF(AND(CF144=1,CF145=10),0,IF(CF144&lt;=0,0,IF(WEEKDAY(CF$6,1)=1,0,MAX(0,CF145-10)*CF144))+((IF(CF144&lt;=0,0,IF(WEEKDAY(CF$6,1)=1,0,MIN(10,CF145)*CF144)))-MIN(IF(CF144&lt;=0,0,IF(WEEKDAY(CF$6,1)=1,0,MIN(10,CF145)*CF144)),MAX(0,40*MAX(1,CF144)-(CC146+CD146+CE146)))))</f>
        <v>0</v>
      </c>
      <c r="CG147" s="63">
        <f>IF(AND(CG144=1,CG145=10),10,IF(CG144&lt;=0,0,IF(WEEKDAY(CG$6,1)=1,0,MAX(0,CG145-10)*CG144))+((IF(CG144&lt;=0,0,IF(WEEKDAY(CG$6,1)=1,0,MIN(10,CG145)*CG144)))-MIN(IF(CG144&lt;=0,0,IF(WEEKDAY(CG$6,1)=1,0,MIN(10,CG145)*CG144)),MAX(0,40*MAX(1,CG144)-(CC146+CD146+CE146+CF146)))))</f>
        <v>10</v>
      </c>
      <c r="CH147" s="64">
        <f>IF(AND(CH144=1,CH145=10),10,IF(CH144&lt;=0,0,IF(WEEKDAY(CH$6,1)=1,0,MAX(0,CH145-10)*CH144))+((IF(CH144&lt;=0,0,IF(WEEKDAY(CH$6,1)=1,0,MIN(10,CH145)*CH144)))-MIN(IF(CH144&lt;=0,0,IF(WEEKDAY(CH$6,1)=1,0,MIN(10,CH145)*CH144)),MAX(0,40*MAX(1,CH144)-(CC146+CD146+CE146+CF146+CG146)))))</f>
        <v>10</v>
      </c>
      <c r="CI147" s="64">
        <f>IF(AND(CI144=0,CI145=0),0,IF(CI144&lt;=0,0,IF(WEEKDAY(CI$6,1)=1,0,MAX(0,CI145-10)*CI144))+((IF(CI144&lt;=0,0,IF(WEEKDAY(CI$6,1)=1,0,MIN(10,CI145)*CI144)))-MIN(IF(CI144&lt;=0,0,IF(WEEKDAY(CI$6,1)=1,0,MIN(10,CI145)*CI144)),MAX(0,40*MAX(1,CI144)-(0)))))</f>
        <v>0</v>
      </c>
      <c r="CJ147" s="63">
        <f>IF(AND(CJ144=1,CJ145=10),0,IF(CJ144&lt;=0,0,IF(WEEKDAY(CJ$6,1)=1,0,MAX(0,CJ145-10)*CJ144))+((IF(CJ144&lt;=0,0,IF(WEEKDAY(CJ$6,1)=1,0,MIN(10,CJ145)*CJ144)))-MIN(IF(CJ144&lt;=0,0,IF(WEEKDAY(CJ$6,1)=1,0,MIN(10,CJ145)*CJ144)),MAX(0,40*MAX(1,CJ144)-(0)))))</f>
        <v>0</v>
      </c>
      <c r="CK147" s="63">
        <f>IF(AND(CK144=1,CK145=10),0,IF(CK144&lt;=0,0,IF(WEEKDAY(CK$6,1)=1,0,MAX(0,CK145-10)*CK144))+((IF(CK144&lt;=0,0,IF(WEEKDAY(CK$6,1)=1,0,MIN(10,CK145)*CK144)))-MIN(IF(CK144&lt;=0,0,IF(WEEKDAY(CK$6,1)=1,0,MIN(10,CK145)*CK144)),MAX(0,40*MAX(1,CK144)-(CJ146)))))</f>
        <v>0</v>
      </c>
      <c r="CL147" s="63">
        <f>IF(AND(CL144=1,CL145=10),0,IF(CL144&lt;=0,0,IF(WEEKDAY(CL$6,1)=1,0,MAX(0,CL145-10)*CL144))+((IF(CL144&lt;=0,0,IF(WEEKDAY(CL$6,1)=1,0,MIN(10,CL145)*CL144)))-MIN(IF(CL144&lt;=0,0,IF(WEEKDAY(CL$6,1)=1,0,MIN(10,CL145)*CL144)),MAX(0,40*MAX(1,CL144)-(CJ146+CK146)))))</f>
        <v>0</v>
      </c>
      <c r="CM147" s="63">
        <f>IF(AND(CM144=1,CM145=10),0,IF(CM144&lt;=0,0,IF(WEEKDAY(CM$6,1)=1,0,MAX(0,CM145-10)*CM144))+((IF(CM144&lt;=0,0,IF(WEEKDAY(CM$6,1)=1,0,MIN(10,CM145)*CM144)))-MIN(IF(CM144&lt;=0,0,IF(WEEKDAY(CM$6,1)=1,0,MIN(10,CM145)*CM144)),MAX(0,40*MAX(1,CM144)-(CJ146+CK146+CL146)))))</f>
        <v>0</v>
      </c>
      <c r="CN147" s="63">
        <f>IF(AND(CN144=1,CN145=10),10,IF(CN144&lt;=0,0,IF(WEEKDAY(CN$6,1)=1,0,MAX(0,CN145-10)*CN144))+((IF(CN144&lt;=0,0,IF(WEEKDAY(CN$6,1)=1,0,MIN(10,CN145)*CN144)))-MIN(IF(CN144&lt;=0,0,IF(WEEKDAY(CN$6,1)=1,0,MIN(10,CN145)*CN144)),MAX(0,40*MAX(1,CN144)-(CJ146+CK146+CL146+CM146)))))</f>
        <v>10</v>
      </c>
      <c r="CO147" s="64">
        <f>IF(AND(CO144=1,CO145=10),10,IF(CO144&lt;=0,0,IF(WEEKDAY(CO$6,1)=1,0,MAX(0,CO145-10)*CO144))+((IF(CO144&lt;=0,0,IF(WEEKDAY(CO$6,1)=1,0,MIN(10,CO145)*CO144)))-MIN(IF(CO144&lt;=0,0,IF(WEEKDAY(CO$6,1)=1,0,MIN(10,CO145)*CO144)),MAX(0,40*MAX(1,CO144)-(CJ146+CK146+CL146+CM146+CN146)))))</f>
        <v>10</v>
      </c>
      <c r="CP147" s="64">
        <f>IF(AND(CP144=0,CP145=0),0,IF(CP144&lt;=0,0,IF(WEEKDAY(CP$6,1)=1,0,MAX(0,CP145-10)*CP144))+((IF(CP144&lt;=0,0,IF(WEEKDAY(CP$6,1)=1,0,MIN(10,CP145)*CP144)))-MIN(IF(CP144&lt;=0,0,IF(WEEKDAY(CP$6,1)=1,0,MIN(10,CP145)*CP144)),MAX(0,40*MAX(1,CP144)-(0)))))</f>
        <v>0</v>
      </c>
      <c r="CQ147" s="63">
        <f>IF(AND(CQ144=1,CQ145=10),0,IF(CQ144&lt;=0,0,IF(WEEKDAY(CQ$6,1)=1,0,MAX(0,CQ145-10)*CQ144))+((IF(CQ144&lt;=0,0,IF(WEEKDAY(CQ$6,1)=1,0,MIN(10,CQ145)*CQ144)))-MIN(IF(CQ144&lt;=0,0,IF(WEEKDAY(CQ$6,1)=1,0,MIN(10,CQ145)*CQ144)),MAX(0,40*MAX(1,CQ144)-(0)))))</f>
        <v>0</v>
      </c>
      <c r="CR147" s="63">
        <f>IF(AND(CR144=1,CR145=10),0,IF(CR144&lt;=0,0,IF(WEEKDAY(CR$6,1)=1,0,MAX(0,CR145-10)*CR144))+((IF(CR144&lt;=0,0,IF(WEEKDAY(CR$6,1)=1,0,MIN(10,CR145)*CR144)))-MIN(IF(CR144&lt;=0,0,IF(WEEKDAY(CR$6,1)=1,0,MIN(10,CR145)*CR144)),MAX(0,40*MAX(1,CR144)-(CQ146)))))</f>
        <v>0</v>
      </c>
      <c r="CS147" s="63">
        <f>IF(AND(CS144=1,CS145=10),0,IF(CS144&lt;=0,0,IF(WEEKDAY(CS$6,1)=1,0,MAX(0,CS145-10)*CS144))+((IF(CS144&lt;=0,0,IF(WEEKDAY(CS$6,1)=1,0,MIN(10,CS145)*CS144)))-MIN(IF(CS144&lt;=0,0,IF(WEEKDAY(CS$6,1)=1,0,MIN(10,CS145)*CS144)),MAX(0,40*MAX(1,CS144)-(CQ146+CR146)))))</f>
        <v>0</v>
      </c>
      <c r="CT147" s="63">
        <f>IF(AND(CT144=1,CT145=10),0,IF(CT144&lt;=0,0,IF(WEEKDAY(CT$6,1)=1,0,MAX(0,CT145-10)*CT144))+((IF(CT144&lt;=0,0,IF(WEEKDAY(CT$6,1)=1,0,MIN(10,CT145)*CT144)))-MIN(IF(CT144&lt;=0,0,IF(WEEKDAY(CT$6,1)=1,0,MIN(10,CT145)*CT144)),MAX(0,40*MAX(1,CT144)-(CQ146+CR146+CS146)))))</f>
        <v>0</v>
      </c>
      <c r="CU147" s="63">
        <f>IF(AND(CU144=1,CU145=10),10,IF(CU144&lt;=0,0,IF(WEEKDAY(CU$6,1)=1,0,MAX(0,CU145-10)*CU144))+((IF(CU144&lt;=0,0,IF(WEEKDAY(CU$6,1)=1,0,MIN(10,CU145)*CU144)))-MIN(IF(CU144&lt;=0,0,IF(WEEKDAY(CU$6,1)=1,0,MIN(10,CU145)*CU144)),MAX(0,40*MAX(1,CU144)-(CQ146+CR146+CS146+CT146)))))</f>
        <v>10</v>
      </c>
      <c r="CV147" s="64">
        <f>IF(AND(CV144=1,CV145=10),10,IF(CV144&lt;=0,0,IF(WEEKDAY(CV$6,1)=1,0,MAX(0,CV145-10)*CV144))+((IF(CV144&lt;=0,0,IF(WEEKDAY(CV$6,1)=1,0,MIN(10,CV145)*CV144)))-MIN(IF(CV144&lt;=0,0,IF(WEEKDAY(CV$6,1)=1,0,MIN(10,CV145)*CV144)),MAX(0,40*MAX(1,CV144)-(CQ146+CR146+CS146+CT146+CU146)))))</f>
        <v>10</v>
      </c>
      <c r="CW147" s="64">
        <f>IF(AND(CW144=0,CW145=0),0,IF(CW144&lt;=0,0,IF(WEEKDAY(CW$6,1)=1,0,MAX(0,CW145-10)*CW144))+((IF(CW144&lt;=0,0,IF(WEEKDAY(CW$6,1)=1,0,MIN(10,CW145)*CW144)))-MIN(IF(CW144&lt;=0,0,IF(WEEKDAY(CW$6,1)=1,0,MIN(10,CW145)*CW144)),MAX(0,40*MAX(1,CW144)-(0)))))</f>
        <v>0</v>
      </c>
      <c r="CX147" s="63">
        <f>IF(AND(CX144=1,CX145=10),0,IF(CX144&lt;=0,0,IF(WEEKDAY(CX$6,1)=1,0,MAX(0,CX145-10)*CX144))+((IF(CX144&lt;=0,0,IF(WEEKDAY(CX$6,1)=1,0,MIN(10,CX145)*CX144)))-MIN(IF(CX144&lt;=0,0,IF(WEEKDAY(CX$6,1)=1,0,MIN(10,CX145)*CX144)),MAX(0,40*MAX(1,CX144)-(0)))))</f>
        <v>0</v>
      </c>
      <c r="CY147" s="63">
        <f>IF(AND(CY144=1,CY145=10),0,IF(CY144&lt;=0,0,IF(WEEKDAY(CY$6,1)=1,0,MAX(0,CY145-10)*CY144))+((IF(CY144&lt;=0,0,IF(WEEKDAY(CY$6,1)=1,0,MIN(10,CY145)*CY144)))-MIN(IF(CY144&lt;=0,0,IF(WEEKDAY(CY$6,1)=1,0,MIN(10,CY145)*CY144)),MAX(0,40*MAX(1,CY144)-(CX146)))))</f>
        <v>0</v>
      </c>
      <c r="CZ147" s="63">
        <f>IF(AND(CZ144=1,CZ145=10),0,IF(CZ144&lt;=0,0,IF(WEEKDAY(CZ$6,1)=1,0,MAX(0,CZ145-10)*CZ144))+((IF(CZ144&lt;=0,0,IF(WEEKDAY(CZ$6,1)=1,0,MIN(10,CZ145)*CZ144)))-MIN(IF(CZ144&lt;=0,0,IF(WEEKDAY(CZ$6,1)=1,0,MIN(10,CZ145)*CZ144)),MAX(0,40*MAX(1,CZ144)-(CX146+CY146)))))</f>
        <v>0</v>
      </c>
      <c r="DA147" s="63">
        <f>IF(AND(DA144=1,DA145=10),0,IF(DA144&lt;=0,0,IF(WEEKDAY(DA$6,1)=1,0,MAX(0,DA145-10)*DA144))+((IF(DA144&lt;=0,0,IF(WEEKDAY(DA$6,1)=1,0,MIN(10,DA145)*DA144)))-MIN(IF(DA144&lt;=0,0,IF(WEEKDAY(DA$6,1)=1,0,MIN(10,DA145)*DA144)),MAX(0,40*MAX(1,DA144)-(CX146+CY146+CZ146)))))</f>
        <v>0</v>
      </c>
      <c r="DB147" s="63">
        <f>IF(AND(DB144=1,DB145=10),10,IF(DB144&lt;=0,0,IF(WEEKDAY(DB$6,1)=1,0,MAX(0,DB145-10)*DB144))+((IF(DB144&lt;=0,0,IF(WEEKDAY(DB$6,1)=1,0,MIN(10,DB145)*DB144)))-MIN(IF(DB144&lt;=0,0,IF(WEEKDAY(DB$6,1)=1,0,MIN(10,DB145)*DB144)),MAX(0,40*MAX(1,DB144)-(CX146+CY146+CZ146+DA146)))))</f>
        <v>10</v>
      </c>
      <c r="DC147" s="64">
        <f>IF(AND(DC144=1,DC145=10),10,IF(DC144&lt;=0,0,IF(WEEKDAY(DC$6,1)=1,0,MAX(0,DC145-10)*DC144))+((IF(DC144&lt;=0,0,IF(WEEKDAY(DC$6,1)=1,0,MIN(10,DC145)*DC144)))-MIN(IF(DC144&lt;=0,0,IF(WEEKDAY(DC$6,1)=1,0,MIN(10,DC145)*DC144)),MAX(0,40*MAX(1,DC144)-(CX146+CY146+CZ146+DA146+DB146)))))</f>
        <v>10</v>
      </c>
      <c r="DD147" s="64">
        <f>IF(AND(DD144=0,DD145=0),0,IF(DD144&lt;=0,0,IF(WEEKDAY(DD$6,1)=1,0,MAX(0,DD145-10)*DD144))+((IF(DD144&lt;=0,0,IF(WEEKDAY(DD$6,1)=1,0,MIN(10,DD145)*DD144)))-MIN(IF(DD144&lt;=0,0,IF(WEEKDAY(DD$6,1)=1,0,MIN(10,DD145)*DD144)),MAX(0,40*MAX(1,DD144)-(0)))))</f>
        <v>0</v>
      </c>
      <c r="DE147" s="63">
        <f>IF(AND(DE144=1,DE145=10),0,IF(DE144&lt;=0,0,IF(WEEKDAY(DE$6,1)=1,0,MAX(0,DE145-10)*DE144))+((IF(DE144&lt;=0,0,IF(WEEKDAY(DE$6,1)=1,0,MIN(10,DE145)*DE144)))-MIN(IF(DE144&lt;=0,0,IF(WEEKDAY(DE$6,1)=1,0,MIN(10,DE145)*DE144)),MAX(0,40*MAX(1,DE144)-(0)))))</f>
        <v>0</v>
      </c>
      <c r="DF147" s="63">
        <f>IF(AND(DF144=1,DF145=10),0,IF(DF144&lt;=0,0,IF(WEEKDAY(DF$6,1)=1,0,MAX(0,DF145-10)*DF144))+((IF(DF144&lt;=0,0,IF(WEEKDAY(DF$6,1)=1,0,MIN(10,DF145)*DF144)))-MIN(IF(DF144&lt;=0,0,IF(WEEKDAY(DF$6,1)=1,0,MIN(10,DF145)*DF144)),MAX(0,40*MAX(1,DF144)-(DE146)))))</f>
        <v>0</v>
      </c>
      <c r="DG147" s="63">
        <f>IF(AND(DG144=1,DG145=10),0,IF(DG144&lt;=0,0,IF(WEEKDAY(DG$6,1)=1,0,MAX(0,DG145-10)*DG144))+((IF(DG144&lt;=0,0,IF(WEEKDAY(DG$6,1)=1,0,MIN(10,DG145)*DG144)))-MIN(IF(DG144&lt;=0,0,IF(WEEKDAY(DG$6,1)=1,0,MIN(10,DG145)*DG144)),MAX(0,40*MAX(1,DG144)-(DE146+DF146)))))</f>
        <v>0</v>
      </c>
      <c r="DH147" s="63">
        <f>IF(AND(DH144=1,DH145=10),0,IF(DH144&lt;=0,0,IF(WEEKDAY(DH$6,1)=1,0,MAX(0,DH145-10)*DH144))+((IF(DH144&lt;=0,0,IF(WEEKDAY(DH$6,1)=1,0,MIN(10,DH145)*DH144)))-MIN(IF(DH144&lt;=0,0,IF(WEEKDAY(DH$6,1)=1,0,MIN(10,DH145)*DH144)),MAX(0,40*MAX(1,DH144)-(DE146+DF146+DG146)))))</f>
        <v>0</v>
      </c>
      <c r="DI147" s="63">
        <f>IF(AND(DI144=1,DI145=10),10,IF(DI144&lt;=0,0,IF(WEEKDAY(DI$6,1)=1,0,MAX(0,DI145-10)*DI144))+((IF(DI144&lt;=0,0,IF(WEEKDAY(DI$6,1)=1,0,MIN(10,DI145)*DI144)))-MIN(IF(DI144&lt;=0,0,IF(WEEKDAY(DI$6,1)=1,0,MIN(10,DI145)*DI144)),MAX(0,40*MAX(1,DI144)-(DE146+DF146+DG146+DH146)))))</f>
        <v>10</v>
      </c>
      <c r="DJ147" s="64">
        <f>IF(AND(DJ144=1,DJ145=10),10,IF(DJ144&lt;=0,0,IF(WEEKDAY(DJ$6,1)=1,0,MAX(0,DJ145-10)*DJ144))+((IF(DJ144&lt;=0,0,IF(WEEKDAY(DJ$6,1)=1,0,MIN(10,DJ145)*DJ144)))-MIN(IF(DJ144&lt;=0,0,IF(WEEKDAY(DJ$6,1)=1,0,MIN(10,DJ145)*DJ144)),MAX(0,40*MAX(1,DJ144)-(DE146+DF146+DG146+DH146+DI146)))))</f>
        <v>10</v>
      </c>
      <c r="DK147" s="64">
        <f>IF(AND(DK144=0,DK145=0),0,IF(DK144&lt;=0,0,IF(WEEKDAY(DK$6,1)=1,0,MAX(0,DK145-10)*DK144))+((IF(DK144&lt;=0,0,IF(WEEKDAY(DK$6,1)=1,0,MIN(10,DK145)*DK144)))-MIN(IF(DK144&lt;=0,0,IF(WEEKDAY(DK$6,1)=1,0,MIN(10,DK145)*DK144)),MAX(0,40*MAX(1,DK144)-(0)))))</f>
        <v>0</v>
      </c>
      <c r="DL147" s="63">
        <f>IF(AND(DL144=1,DL145=10),0,IF(DL144&lt;=0,0,IF(WEEKDAY(DL$6,1)=1,0,MAX(0,DL145-10)*DL144))+((IF(DL144&lt;=0,0,IF(WEEKDAY(DL$6,1)=1,0,MIN(10,DL145)*DL144)))-MIN(IF(DL144&lt;=0,0,IF(WEEKDAY(DL$6,1)=1,0,MIN(10,DL145)*DL144)),MAX(0,40*MAX(1,DL144)-(0)))))</f>
        <v>0</v>
      </c>
      <c r="DM147" s="63">
        <f>IF(AND(DM144=1,DM145=10),0,IF(DM144&lt;=0,0,IF(WEEKDAY(DM$6,1)=1,0,MAX(0,DM145-10)*DM144))+((IF(DM144&lt;=0,0,IF(WEEKDAY(DM$6,1)=1,0,MIN(10,DM145)*DM144)))-MIN(IF(DM144&lt;=0,0,IF(WEEKDAY(DM$6,1)=1,0,MIN(10,DM145)*DM144)),MAX(0,40*MAX(1,DM144)-(DL146)))))</f>
        <v>0</v>
      </c>
      <c r="DN147" s="63">
        <f>IF(AND(DN144=1,DN145=10),0,IF(DN144&lt;=0,0,IF(WEEKDAY(DN$6,1)=1,0,MAX(0,DN145-10)*DN144))+((IF(DN144&lt;=0,0,IF(WEEKDAY(DN$6,1)=1,0,MIN(10,DN145)*DN144)))-MIN(IF(DN144&lt;=0,0,IF(WEEKDAY(DN$6,1)=1,0,MIN(10,DN145)*DN144)),MAX(0,40*MAX(1,DN144)-(DL146+DM146)))))</f>
        <v>0</v>
      </c>
      <c r="DO147" s="63">
        <f>IF(AND(DO144=1,DO145=10),0,IF(DO144&lt;=0,0,IF(WEEKDAY(DO$6,1)=1,0,MAX(0,DO145-10)*DO144))+((IF(DO144&lt;=0,0,IF(WEEKDAY(DO$6,1)=1,0,MIN(10,DO145)*DO144)))-MIN(IF(DO144&lt;=0,0,IF(WEEKDAY(DO$6,1)=1,0,MIN(10,DO145)*DO144)),MAX(0,40*MAX(1,DO144)-(DL146+DM146+DN146)))))</f>
        <v>0</v>
      </c>
      <c r="DP147" s="63">
        <f>IF(AND(DP144=1,DP145=10),10,IF(DP144&lt;=0,0,IF(WEEKDAY(DP$6,1)=1,0,MAX(0,DP145-10)*DP144))+((IF(DP144&lt;=0,0,IF(WEEKDAY(DP$6,1)=1,0,MIN(10,DP145)*DP144)))-MIN(IF(DP144&lt;=0,0,IF(WEEKDAY(DP$6,1)=1,0,MIN(10,DP145)*DP144)),MAX(0,40*MAX(1,DP144)-(DL146+DM146+DN146+DO146)))))</f>
        <v>10</v>
      </c>
      <c r="DQ147" s="64">
        <f>IF(AND(DQ144=1,DQ145=10),10,IF(DQ144&lt;=0,0,IF(WEEKDAY(DQ$6,1)=1,0,MAX(0,DQ145-10)*DQ144))+((IF(DQ144&lt;=0,0,IF(WEEKDAY(DQ$6,1)=1,0,MIN(10,DQ145)*DQ144)))-MIN(IF(DQ144&lt;=0,0,IF(WEEKDAY(DQ$6,1)=1,0,MIN(10,DQ145)*DQ144)),MAX(0,40*MAX(1,DQ144)-(DL146+DM146+DN146+DO146+DP146)))))</f>
        <v>10</v>
      </c>
      <c r="DR147" s="64">
        <f>IF(AND(DR144=0,DR145=0),0,IF(DR144&lt;=0,0,IF(WEEKDAY(DR$6,1)=1,0,MAX(0,DR145-10)*DR144))+((IF(DR144&lt;=0,0,IF(WEEKDAY(DR$6,1)=1,0,MIN(10,DR145)*DR144)))-MIN(IF(DR144&lt;=0,0,IF(WEEKDAY(DR$6,1)=1,0,MIN(10,DR145)*DR144)),MAX(0,40*MAX(1,DR144)-(0)))))</f>
        <v>0</v>
      </c>
      <c r="DS147" s="63">
        <f>IF(AND(DS144=1,DS145=10),0,IF(DS144&lt;=0,0,IF(WEEKDAY(DS$6,1)=1,0,MAX(0,DS145-10)*DS144))+((IF(DS144&lt;=0,0,IF(WEEKDAY(DS$6,1)=1,0,MIN(10,DS145)*DS144)))-MIN(IF(DS144&lt;=0,0,IF(WEEKDAY(DS$6,1)=1,0,MIN(10,DS145)*DS144)),MAX(0,40*MAX(1,DS144)-(0)))))</f>
        <v>0</v>
      </c>
      <c r="DT147" s="63">
        <f>IF(AND(DT144=0,DT145=0),0,IF(DT144&lt;=0,0,IF(WEEKDAY(DT$6,1)=1,0,MAX(0,DT145-8)*DT144))+((IF(DT144&lt;=0,0,IF(WEEKDAY(DT$6,1)=1,0,MIN(8,DT145)*DT144)))-MIN(IF(DT144&lt;=0,0,IF(WEEKDAY(DT$6,1)=1,0,MIN(8,DT145)*DT144)),MAX(0,40*MAX(1,DT144)-(0)))))</f>
        <v>0</v>
      </c>
      <c r="DU147" s="63">
        <f>IF(AND(DU144=0,DU145=0),0,IF(DU144&lt;=0,0,IF(WEEKDAY(DU$6,1)=1,0,MAX(0,DU145-8)*DU144))+((IF(DU144&lt;=0,0,IF(WEEKDAY(DU$6,1)=1,0,MIN(8,DU145)*DU144)))-MIN(IF(DU144&lt;=0,0,IF(WEEKDAY(DU$6,1)=1,0,MIN(8,DU145)*DU144)),MAX(0,40*MAX(1,DU144)-(DT146)))))</f>
        <v>0</v>
      </c>
      <c r="DV147" s="63">
        <f>IF(AND(DV144=0,DV145=0),0,IF(DV144&lt;=0,0,IF(WEEKDAY(DV$6,1)=1,0,MAX(0,DV145-8)*DV144))+((IF(DV144&lt;=0,0,IF(WEEKDAY(DV$6,1)=1,0,MIN(8,DV145)*DV144)))-MIN(IF(DV144&lt;=0,0,IF(WEEKDAY(DV$6,1)=1,0,MIN(8,DV145)*DV144)),MAX(0,40*MAX(1,DV144)-(DT146+DU146)))))</f>
        <v>0</v>
      </c>
      <c r="DW147" s="63">
        <f>IF(AND(DW144=0,DW145=0),0,IF(DW144&lt;=0,0,IF(WEEKDAY(DW$6,1)=1,0,MAX(0,DW145-8)*DW144))+((IF(DW144&lt;=0,0,IF(WEEKDAY(DW$6,1)=1,0,MIN(8,DW145)*DW144)))-MIN(IF(DW144&lt;=0,0,IF(WEEKDAY(DW$6,1)=1,0,MIN(8,DW145)*DW144)),MAX(0,40*MAX(1,DW144)-(DT146+DU146+DV146)))))</f>
        <v>0</v>
      </c>
      <c r="DX147" s="64">
        <f>IF(AND(DX144=0,DX145=0),0,IF(DX144&lt;=0,0,IF(WEEKDAY(DX$6,1)=1,0,MAX(0,DX145-10)*DX144))+((IF(DX144&lt;=0,0,IF(WEEKDAY(DX$6,1)=1,0,MIN(10,DX145)*DX144)))-MIN(IF(DX144&lt;=0,0,IF(WEEKDAY(DX$6,1)=1,0,MIN(10,DX145)*DX144)),MAX(0,40*MAX(1,DX144)-(0)))))</f>
        <v>0</v>
      </c>
      <c r="DY147" s="64">
        <f>IF(AND(DY144=0,DY145=0),0,IF(DY144&lt;=0,0,IF(WEEKDAY(DY$6,1)=1,0,MAX(0,DY145-10)*DY144))+((IF(DY144&lt;=0,0,IF(WEEKDAY(DY$6,1)=1,0,MIN(10,DY145)*DY144)))-MIN(IF(DY144&lt;=0,0,IF(WEEKDAY(DY$6,1)=1,0,MIN(10,DY145)*DY144)),MAX(0,40*MAX(1,DY144)-(DX146)))))</f>
        <v>0</v>
      </c>
      <c r="DZ147" s="63">
        <f>IF(AND(DZ144=0,DZ145=0),0,IF(DZ144&lt;=0,0,IF(WEEKDAY(DZ$6,1)=1,0,MAX(0,DZ145-8)*DZ144))+((IF(DZ144&lt;=0,0,IF(WEEKDAY(DZ$6,1)=1,0,MIN(8,DZ145)*DZ144)))-MIN(IF(DZ144&lt;=0,0,IF(WEEKDAY(DZ$6,1)=1,0,MIN(8,DZ145)*DZ144)),MAX(0,40*MAX(1,DZ144)-(0)))))</f>
        <v>0</v>
      </c>
      <c r="EA147" s="63">
        <f>IF(AND(EA144=0,EA145=0),0,IF(EA144&lt;=0,0,IF(WEEKDAY(EA$6,1)=1,0,MAX(0,EA145-8)*EA144))+((IF(EA144&lt;=0,0,IF(WEEKDAY(EA$6,1)=1,0,MIN(8,EA145)*EA144)))-MIN(IF(EA144&lt;=0,0,IF(WEEKDAY(EA$6,1)=1,0,MIN(8,EA145)*EA144)),MAX(0,40*MAX(1,EA144)-(DZ146)))))</f>
        <v>0</v>
      </c>
      <c r="EB147" s="63">
        <f>IF(AND(EB144=0,EB145=0),0,IF(EB144&lt;=0,0,IF(WEEKDAY(EB$6,1)=1,0,MAX(0,EB145-8)*EB144))+((IF(EB144&lt;=0,0,IF(WEEKDAY(EB$6,1)=1,0,MIN(8,EB145)*EB144)))-MIN(IF(EB144&lt;=0,0,IF(WEEKDAY(EB$6,1)=1,0,MIN(8,EB145)*EB144)),MAX(0,40*MAX(1,EB144)-(DZ146+EA146)))))</f>
        <v>0</v>
      </c>
      <c r="EC147" s="63">
        <f>IF(AND(EC144=0,EC145=0),0,IF(EC144&lt;=0,0,IF(WEEKDAY(EC$6,1)=1,0,MAX(0,EC145-8)*EC144))+((IF(EC144&lt;=0,0,IF(WEEKDAY(EC$6,1)=1,0,MIN(8,EC145)*EC144)))-MIN(IF(EC144&lt;=0,0,IF(WEEKDAY(EC$6,1)=1,0,MIN(8,EC145)*EC144)),MAX(0,40*MAX(1,EC144)-(DZ146+EA146+EB146)))))</f>
        <v>0</v>
      </c>
      <c r="ED147" s="63">
        <f>IF(AND(ED144=0,ED145=0),0,IF(ED144&lt;=0,0,IF(WEEKDAY(ED$6,1)=1,0,MAX(0,ED145-8)*ED144))+((IF(ED144&lt;=0,0,IF(WEEKDAY(ED$6,1)=1,0,MIN(8,ED145)*ED144)))-MIN(IF(ED144&lt;=0,0,IF(WEEKDAY(ED$6,1)=1,0,MIN(8,ED145)*ED144)),MAX(0,40*MAX(1,ED144)-(DZ146+EA146+EB146+EC146)))))</f>
        <v>0</v>
      </c>
      <c r="EE147" s="64">
        <f>IF(AND(EE144=0,EE145=0),0,IF(EE144&lt;=0,0,IF(WEEKDAY(EE$6,1)=1,0,MAX(0,EE145-10)*EE144))+((IF(EE144&lt;=0,0,IF(WEEKDAY(EE$6,1)=1,0,MIN(10,EE145)*EE144)))-MIN(IF(EE144&lt;=0,0,IF(WEEKDAY(EE$6,1)=1,0,MIN(10,EE145)*EE144)),MAX(0,40*MAX(1,EE144)-(0)))))</f>
        <v>0</v>
      </c>
      <c r="EF147" s="64">
        <f>IF(AND(EF144=0,EF145=0),0,IF(EF144&lt;=0,0,IF(WEEKDAY(EF$6,1)=1,0,MAX(0,EF145-10)*EF144))+((IF(EF144&lt;=0,0,IF(WEEKDAY(EF$6,1)=1,0,MIN(10,EF145)*EF144)))-MIN(IF(EF144&lt;=0,0,IF(WEEKDAY(EF$6,1)=1,0,MIN(10,EF145)*EF144)),MAX(0,40*MAX(1,EF144)-(EE146)))))</f>
        <v>0</v>
      </c>
      <c r="EG147" s="63">
        <f>IF(AND(EG144=0,EG145=0),0,IF(EG144&lt;=0,0,IF(WEEKDAY(EG$6,1)=1,0,MAX(0,EG145-8)*EG144))+((IF(EG144&lt;=0,0,IF(WEEKDAY(EG$6,1)=1,0,MIN(8,EG145)*EG144)))-MIN(IF(EG144&lt;=0,0,IF(WEEKDAY(EG$6,1)=1,0,MIN(8,EG145)*EG144)),MAX(0,40*MAX(1,EG144)-(0)))))</f>
        <v>0</v>
      </c>
      <c r="EH147" s="63">
        <f>IF(AND(EH144=0,EH145=0),0,IF(EH144&lt;=0,0,IF(WEEKDAY(EH$6,1)=1,0,MAX(0,EH145-8)*EH144))+((IF(EH144&lt;=0,0,IF(WEEKDAY(EH$6,1)=1,0,MIN(8,EH145)*EH144)))-MIN(IF(EH144&lt;=0,0,IF(WEEKDAY(EH$6,1)=1,0,MIN(8,EH145)*EH144)),MAX(0,40*MAX(1,EH144)-(EG146)))))</f>
        <v>0</v>
      </c>
      <c r="EI147" s="63">
        <f>IF(AND(EI144=0,EI145=0),0,IF(EI144&lt;=0,0,IF(WEEKDAY(EI$6,1)=1,0,MAX(0,EI145-8)*EI144))+((IF(EI144&lt;=0,0,IF(WEEKDAY(EI$6,1)=1,0,MIN(8,EI145)*EI144)))-MIN(IF(EI144&lt;=0,0,IF(WEEKDAY(EI$6,1)=1,0,MIN(8,EI145)*EI144)),MAX(0,40*MAX(1,EI144)-(EG146+EH146)))))</f>
        <v>0</v>
      </c>
      <c r="EJ147" s="63">
        <f>IF(AND(EJ144=0,EJ145=0),0,IF(EJ144&lt;=0,0,IF(WEEKDAY(EJ$6,1)=1,0,MAX(0,EJ145-8)*EJ144))+((IF(EJ144&lt;=0,0,IF(WEEKDAY(EJ$6,1)=1,0,MIN(8,EJ145)*EJ144)))-MIN(IF(EJ144&lt;=0,0,IF(WEEKDAY(EJ$6,1)=1,0,MIN(8,EJ145)*EJ144)),MAX(0,40*MAX(1,EJ144)-(EG146+EH146+EI146)))))</f>
        <v>0</v>
      </c>
      <c r="EK147" s="65">
        <f>IF(AND(EK144=0,EK145=0),0,IF(EK144&lt;=0,0,IF(WEEKDAY(EK$6,1)=1,0,MAX(0,EK145-8)*EK144))+((IF(EK144&lt;=0,0,IF(WEEKDAY(EK$6,1)=1,0,MIN(8,EK145)*EK144)))-MIN(IF(EK144&lt;=0,0,IF(WEEKDAY(EK$6,1)=1,0,MIN(8,EK145)*EK144)),MAX(0,40*MAX(1,EK144)-(EG146+EH146+EI146+EJ146)))))</f>
        <v>0</v>
      </c>
      <c r="OU147" s="28" t="s">
        <v>94</v>
      </c>
    </row>
    <row r="148" ht="16" customHeight="1" spans="1:411" x14ac:dyDescent="0.25">
      <c r="A148" s="45"/>
      <c r="B148" s="46"/>
      <c r="C148" s="61">
        <f>H143*N(D148)</f>
        <v>1175.6999999999998</v>
      </c>
      <c r="D148" s="61">
        <f>IF(TRIM(B143)="","No rate",IFERROR(INDEX('Rate Tables'!E$7:E$158,MATCH(B143,'Rate Tables'!A$7:A$158,0)),"No rate"))</f>
        <v>117.57</v>
      </c>
      <c r="E148" s="55" t="s">
        <v>64</v>
      </c>
      <c r="F148" s="49"/>
      <c r="G148" s="49"/>
      <c r="H148" s="49"/>
      <c r="I148" s="49"/>
      <c r="J148" s="50"/>
      <c r="K148" s="62">
        <f>IF(AND(K144=0,K145=0),0,IF(K144&lt;=0,0,IF(WEEKDAY(K$6,1)=1,K144*K145,0)))</f>
        <v>0</v>
      </c>
      <c r="L148" s="63">
        <f>IF(AND(L144=0,L145=0),0,IF(L144&lt;=0,0,IF(WEEKDAY(L$6,1)=1,L144*L145,0)))</f>
        <v>0</v>
      </c>
      <c r="M148" s="63">
        <f>IF(AND(M144=0,M145=0),0,IF(M144&lt;=0,0,IF(WEEKDAY(M$6,1)=1,M144*M145,0)))</f>
        <v>0</v>
      </c>
      <c r="N148" s="63">
        <f>IF(AND(N144=0,N145=0),0,IF(N144&lt;=0,0,IF(WEEKDAY(N$6,1)=1,N144*N145,0)))</f>
        <v>0</v>
      </c>
      <c r="O148" s="63">
        <f>IF(AND(O144=0,O145=0),0,IF(O144&lt;=0,0,IF(WEEKDAY(O$6,1)=1,O144*O145,0)))</f>
        <v>0</v>
      </c>
      <c r="P148" s="64">
        <f>IF(AND(P144=0,P145=0),0,IF(P144&lt;=0,0,IF(WEEKDAY(P$6,1)=1,P144*P145,0)))</f>
        <v>0</v>
      </c>
      <c r="Q148" s="64">
        <f>IF(AND(Q144=0,Q145=0),0,IF(Q144&lt;=0,0,IF(WEEKDAY(Q$6,1)=1,Q144*Q145,0)))</f>
        <v>0</v>
      </c>
      <c r="R148" s="63">
        <f>IF(AND(R144=0,R145=0),0,IF(R144&lt;=0,0,IF(WEEKDAY(R$6,1)=1,R144*R145,0)))</f>
        <v>0</v>
      </c>
      <c r="S148" s="63">
        <f>IF(AND(S144=0,S145=0),0,IF(S144&lt;=0,0,IF(WEEKDAY(S$6,1)=1,S144*S145,0)))</f>
        <v>0</v>
      </c>
      <c r="T148" s="63">
        <f>IF(AND(T144=0,T145=0),0,IF(T144&lt;=0,0,IF(WEEKDAY(T$6,1)=1,T144*T145,0)))</f>
        <v>0</v>
      </c>
      <c r="U148" s="63">
        <f>IF(AND(U144=0,U145=0),0,IF(U144&lt;=0,0,IF(WEEKDAY(U$6,1)=1,U144*U145,0)))</f>
        <v>0</v>
      </c>
      <c r="V148" s="63">
        <f>IF(AND(V144=0,V145=0),0,IF(V144&lt;=0,0,IF(WEEKDAY(V$6,1)=1,V144*V145,0)))</f>
        <v>0</v>
      </c>
      <c r="W148" s="64">
        <f>IF(AND(W144=0,W145=0),0,IF(W144&lt;=0,0,IF(WEEKDAY(W$6,1)=1,W144*W145,0)))</f>
        <v>0</v>
      </c>
      <c r="X148" s="64">
        <f>IF(AND(X144=0,X145=0),0,IF(X144&lt;=0,0,IF(WEEKDAY(X$6,1)=1,X144*X145,0)))</f>
        <v>0</v>
      </c>
      <c r="Y148" s="63">
        <f>IF(AND(Y144=0,Y145=0),0,IF(Y144&lt;=0,0,IF(WEEKDAY(Y$6,1)=1,Y144*Y145,0)))</f>
        <v>0</v>
      </c>
      <c r="Z148" s="63">
        <f>IF(AND(Z144=0,Z145=0),0,IF(Z144&lt;=0,0,IF(WEEKDAY(Z$6,1)=1,Z144*Z145,0)))</f>
        <v>0</v>
      </c>
      <c r="AA148" s="63">
        <f>IF(AND(AA144=0,AA145=0),0,IF(AA144&lt;=0,0,IF(WEEKDAY(AA$6,1)=1,AA144*AA145,0)))</f>
        <v>0</v>
      </c>
      <c r="AB148" s="63">
        <f>IF(AND(AB144=0,AB145=0),0,IF(AB144&lt;=0,0,IF(WEEKDAY(AB$6,1)=1,AB144*AB145,0)))</f>
        <v>0</v>
      </c>
      <c r="AC148" s="63">
        <f>IF(AND(AC144=0,AC145=0),0,IF(AC144&lt;=0,0,IF(WEEKDAY(AC$6,1)=1,AC144*AC145,0)))</f>
        <v>0</v>
      </c>
      <c r="AD148" s="64">
        <f>IF(AND(AD144=0,AD145=0),0,IF(AD144&lt;=0,0,IF(WEEKDAY(AD$6,1)=1,AD144*AD145,0)))</f>
        <v>0</v>
      </c>
      <c r="AE148" s="64">
        <f>IF(AND(AE144=0,AE145=0),0,IF(AE144&lt;=0,0,IF(WEEKDAY(AE$6,1)=1,AE144*AE145,0)))</f>
        <v>0</v>
      </c>
      <c r="AF148" s="63">
        <f>IF(AND(AF144=0,AF145=0),0,IF(AF144&lt;=0,0,IF(WEEKDAY(AF$6,1)=1,AF144*AF145,0)))</f>
        <v>0</v>
      </c>
      <c r="AG148" s="63">
        <f>IF(AND(AG144=0,AG145=0),0,IF(AG144&lt;=0,0,IF(WEEKDAY(AG$6,1)=1,AG144*AG145,0)))</f>
        <v>0</v>
      </c>
      <c r="AH148" s="63">
        <f>IF(AND(AH144=0,AH145=0),0,IF(AH144&lt;=0,0,IF(WEEKDAY(AH$6,1)=1,AH144*AH145,0)))</f>
        <v>0</v>
      </c>
      <c r="AI148" s="63">
        <f>IF(AND(AI144=0,AI145=0),0,IF(AI144&lt;=0,0,IF(WEEKDAY(AI$6,1)=1,AI144*AI145,0)))</f>
        <v>0</v>
      </c>
      <c r="AJ148" s="63">
        <f>IF(AND(AJ144=0,AJ145=0),0,IF(AJ144&lt;=0,0,IF(WEEKDAY(AJ$6,1)=1,AJ144*AJ145,0)))</f>
        <v>0</v>
      </c>
      <c r="AK148" s="64">
        <f>IF(AND(AK144=0,AK145=0),0,IF(AK144&lt;=0,0,IF(WEEKDAY(AK$6,1)=1,AK144*AK145,0)))</f>
        <v>0</v>
      </c>
      <c r="AL148" s="64">
        <f>IF(AND(AL144=0,AL145=0),0,IF(AL144&lt;=0,0,IF(WEEKDAY(AL$6,1)=1,AL144*AL145,0)))</f>
        <v>0</v>
      </c>
      <c r="AM148" s="63">
        <f>IF(AND(AM144=0,AM145=0),0,IF(AM144&lt;=0,0,IF(WEEKDAY(AM$6,1)=1,AM144*AM145,0)))</f>
        <v>0</v>
      </c>
      <c r="AN148" s="63">
        <f>IF(AND(AN144=0,AN145=0),0,IF(AN144&lt;=0,0,IF(WEEKDAY(AN$6,1)=1,AN144*AN145,0)))</f>
        <v>0</v>
      </c>
      <c r="AO148" s="63">
        <f>IF(AND(AO144=0,AO145=0),0,IF(AO144&lt;=0,0,IF(WEEKDAY(AO$6,1)=1,AO144*AO145,0)))</f>
        <v>0</v>
      </c>
      <c r="AP148" s="63">
        <f>IF(AND(AP144=0,AP145=0),0,IF(AP144&lt;=0,0,IF(WEEKDAY(AP$6,1)=1,AP144*AP145,0)))</f>
        <v>0</v>
      </c>
      <c r="AQ148" s="63">
        <f>IF(AND(AQ144=0,AQ145=0),0,IF(AQ144&lt;=0,0,IF(WEEKDAY(AQ$6,1)=1,AQ144*AQ145,0)))</f>
        <v>0</v>
      </c>
      <c r="AR148" s="64">
        <f>IF(AND(AR144=0,AR145=0),0,IF(AR144&lt;=0,0,IF(WEEKDAY(AR$6,1)=1,AR144*AR145,0)))</f>
        <v>0</v>
      </c>
      <c r="AS148" s="64">
        <f>IF(AND(AS144=0,AS145=0),0,IF(AS144&lt;=0,0,IF(WEEKDAY(AS$6,1)=1,AS144*AS145,0)))</f>
        <v>0</v>
      </c>
      <c r="AT148" s="63">
        <f>IF(AND(AT144=0,AT145=0),0,IF(AT144&lt;=0,0,IF(WEEKDAY(AT$6,1)=1,AT144*AT145,0)))</f>
        <v>0</v>
      </c>
      <c r="AU148" s="63">
        <f>IF(AND(AU144=0,AU145=0),0,IF(AU144&lt;=0,0,IF(WEEKDAY(AU$6,1)=1,AU144*AU145,0)))</f>
        <v>0</v>
      </c>
      <c r="AV148" s="63">
        <f>IF(AND(AV144=0,AV145=0),0,IF(AV144&lt;=0,0,IF(WEEKDAY(AV$6,1)=1,AV144*AV145,0)))</f>
        <v>0</v>
      </c>
      <c r="AW148" s="63">
        <f>IF(AND(AW144=0,AW145=0),0,IF(AW144&lt;=0,0,IF(WEEKDAY(AW$6,1)=1,AW144*AW145,0)))</f>
        <v>0</v>
      </c>
      <c r="AX148" s="63">
        <f>IF(AND(AX144=0,AX145=0),0,IF(AX144&lt;=0,0,IF(WEEKDAY(AX$6,1)=1,AX144*AX145,0)))</f>
        <v>0</v>
      </c>
      <c r="AY148" s="64">
        <f>IF(AND(AY144=0,AY145=0),0,IF(AY144&lt;=0,0,IF(WEEKDAY(AY$6,1)=1,AY144*AY145,0)))</f>
        <v>0</v>
      </c>
      <c r="AZ148" s="64">
        <f>IF(AND(AZ144=0,AZ145=0),0,IF(AZ144&lt;=0,0,IF(WEEKDAY(AZ$6,1)=1,AZ144*AZ145,0)))</f>
        <v>0</v>
      </c>
      <c r="BA148" s="63">
        <f>IF(AND(BA144=0,BA145=0),0,IF(BA144&lt;=0,0,IF(WEEKDAY(BA$6,1)=1,BA144*BA145,0)))</f>
        <v>0</v>
      </c>
      <c r="BB148" s="63">
        <f>IF(AND(BB144=0,BB145=0),0,IF(BB144&lt;=0,0,IF(WEEKDAY(BB$6,1)=1,BB144*BB145,0)))</f>
        <v>0</v>
      </c>
      <c r="BC148" s="63">
        <f>IF(AND(BC144=0,BC145=0),0,IF(BC144&lt;=0,0,IF(WEEKDAY(BC$6,1)=1,BC144*BC145,0)))</f>
        <v>0</v>
      </c>
      <c r="BD148" s="63">
        <f>IF(AND(BD144=0,BD145=0),0,IF(BD144&lt;=0,0,IF(WEEKDAY(BD$6,1)=1,BD144*BD145,0)))</f>
        <v>0</v>
      </c>
      <c r="BE148" s="63">
        <f>IF(AND(BE144=0,BE145=0),0,IF(BE144&lt;=0,0,IF(WEEKDAY(BE$6,1)=1,BE144*BE145,0)))</f>
        <v>0</v>
      </c>
      <c r="BF148" s="64">
        <f>IF(AND(BF144=0,BF145=0),0,IF(BF144&lt;=0,0,IF(WEEKDAY(BF$6,1)=1,BF144*BF145,0)))</f>
        <v>0</v>
      </c>
      <c r="BG148" s="64">
        <f>IF(AND(BG144=0,BG145=0),0,IF(BG144&lt;=0,0,IF(WEEKDAY(BG$6,1)=1,BG144*BG145,0)))</f>
        <v>0</v>
      </c>
      <c r="BH148" s="63">
        <f>IF(AND(BH144=1,BH145=10),0,IF(BH144&lt;=0,0,IF(WEEKDAY(BH$6,1)=1,BH144*BH145,0)))</f>
        <v>0</v>
      </c>
      <c r="BI148" s="63">
        <f>IF(AND(BI144=1,BI145=10),0,IF(BI144&lt;=0,0,IF(WEEKDAY(BI$6,1)=1,BI144*BI145,0)))</f>
        <v>0</v>
      </c>
      <c r="BJ148" s="63">
        <f>IF(AND(BJ144=1,BJ145=10),0,IF(BJ144&lt;=0,0,IF(WEEKDAY(BJ$6,1)=1,BJ144*BJ145,0)))</f>
        <v>0</v>
      </c>
      <c r="BK148" s="63">
        <f>IF(AND(BK144=1,BK145=10),0,IF(BK144&lt;=0,0,IF(WEEKDAY(BK$6,1)=1,BK144*BK145,0)))</f>
        <v>0</v>
      </c>
      <c r="BL148" s="63">
        <f>IF(AND(BL144=1,BL145=10),0,IF(BL144&lt;=0,0,IF(WEEKDAY(BL$6,1)=1,BL144*BL145,0)))</f>
        <v>0</v>
      </c>
      <c r="BM148" s="64">
        <f>IF(AND(BM144=1,BM145=10),0,IF(BM144&lt;=0,0,IF(WEEKDAY(BM$6,1)=1,BM144*BM145,0)))</f>
        <v>0</v>
      </c>
      <c r="BN148" s="64">
        <f>IF(AND(BN144=1,BN145=10),10,IF(BN144&lt;=0,0,IF(WEEKDAY(BN$6,1)=1,BN144*BN145,0)))</f>
        <v>10</v>
      </c>
      <c r="BO148" s="63">
        <f>IF(AND(BO144=1,BO145=10),0,IF(BO144&lt;=0,0,IF(WEEKDAY(BO$6,1)=1,BO144*BO145,0)))</f>
        <v>0</v>
      </c>
      <c r="BP148" s="63">
        <f>IF(AND(BP144=1,BP145=10),0,IF(BP144&lt;=0,0,IF(WEEKDAY(BP$6,1)=1,BP144*BP145,0)))</f>
        <v>0</v>
      </c>
      <c r="BQ148" s="63">
        <f>IF(AND(BQ144=1,BQ145=10),0,IF(BQ144&lt;=0,0,IF(WEEKDAY(BQ$6,1)=1,BQ144*BQ145,0)))</f>
        <v>0</v>
      </c>
      <c r="BR148" s="63">
        <f>IF(AND(BR144=1,BR145=10),0,IF(BR144&lt;=0,0,IF(WEEKDAY(BR$6,1)=1,BR144*BR145,0)))</f>
        <v>0</v>
      </c>
      <c r="BS148" s="63">
        <f>IF(AND(BS144=1,BS145=10),0,IF(BS144&lt;=0,0,IF(WEEKDAY(BS$6,1)=1,BS144*BS145,0)))</f>
        <v>0</v>
      </c>
      <c r="BT148" s="64">
        <f>IF(AND(BT144=1,BT145=10),0,IF(BT144&lt;=0,0,IF(WEEKDAY(BT$6,1)=1,BT144*BT145,0)))</f>
        <v>0</v>
      </c>
      <c r="BU148" s="64">
        <f>IF(AND(BU144=0,BU145=0),0,IF(BU144&lt;=0,0,IF(WEEKDAY(BU$6,1)=1,BU144*BU145,0)))</f>
        <v>0</v>
      </c>
      <c r="BV148" s="63">
        <f>IF(AND(BV144=1,BV145=10),0,IF(BV144&lt;=0,0,IF(WEEKDAY(BV$6,1)=1,BV144*BV145,0)))</f>
        <v>0</v>
      </c>
      <c r="BW148" s="63">
        <f>IF(AND(BW144=1,BW145=10),0,IF(BW144&lt;=0,0,IF(WEEKDAY(BW$6,1)=1,BW144*BW145,0)))</f>
        <v>0</v>
      </c>
      <c r="BX148" s="63">
        <f>IF(AND(BX144=1,BX145=10),0,IF(BX144&lt;=0,0,IF(WEEKDAY(BX$6,1)=1,BX144*BX145,0)))</f>
        <v>0</v>
      </c>
      <c r="BY148" s="63">
        <f>IF(AND(BY144=1,BY145=10),0,IF(BY144&lt;=0,0,IF(WEEKDAY(BY$6,1)=1,BY144*BY145,0)))</f>
        <v>0</v>
      </c>
      <c r="BZ148" s="63">
        <f>IF(AND(BZ144=1,BZ145=10),0,IF(BZ144&lt;=0,0,IF(WEEKDAY(BZ$6,1)=1,BZ144*BZ145,0)))</f>
        <v>0</v>
      </c>
      <c r="CA148" s="64">
        <f>IF(AND(CA144=1,CA145=10),0,IF(CA144&lt;=0,0,IF(WEEKDAY(CA$6,1)=1,CA144*CA145,0)))</f>
        <v>0</v>
      </c>
      <c r="CB148" s="64">
        <f>IF(AND(CB144=0,CB145=0),0,IF(CB144&lt;=0,0,IF(WEEKDAY(CB$6,1)=1,CB144*CB145,0)))</f>
        <v>0</v>
      </c>
      <c r="CC148" s="63">
        <f>IF(AND(CC144=1,CC145=10),0,IF(CC144&lt;=0,0,IF(WEEKDAY(CC$6,1)=1,CC144*CC145,0)))</f>
        <v>0</v>
      </c>
      <c r="CD148" s="63">
        <f>IF(AND(CD144=1,CD145=10),0,IF(CD144&lt;=0,0,IF(WEEKDAY(CD$6,1)=1,CD144*CD145,0)))</f>
        <v>0</v>
      </c>
      <c r="CE148" s="63">
        <f>IF(AND(CE144=1,CE145=10),0,IF(CE144&lt;=0,0,IF(WEEKDAY(CE$6,1)=1,CE144*CE145,0)))</f>
        <v>0</v>
      </c>
      <c r="CF148" s="63">
        <f>IF(AND(CF144=1,CF145=10),0,IF(CF144&lt;=0,0,IF(WEEKDAY(CF$6,1)=1,CF144*CF145,0)))</f>
        <v>0</v>
      </c>
      <c r="CG148" s="63">
        <f>IF(AND(CG144=1,CG145=10),0,IF(CG144&lt;=0,0,IF(WEEKDAY(CG$6,1)=1,CG144*CG145,0)))</f>
        <v>0</v>
      </c>
      <c r="CH148" s="64">
        <f>IF(AND(CH144=1,CH145=10),0,IF(CH144&lt;=0,0,IF(WEEKDAY(CH$6,1)=1,CH144*CH145,0)))</f>
        <v>0</v>
      </c>
      <c r="CI148" s="64">
        <f>IF(AND(CI144=0,CI145=0),0,IF(CI144&lt;=0,0,IF(WEEKDAY(CI$6,1)=1,CI144*CI145,0)))</f>
        <v>0</v>
      </c>
      <c r="CJ148" s="63">
        <f>IF(AND(CJ144=1,CJ145=10),0,IF(CJ144&lt;=0,0,IF(WEEKDAY(CJ$6,1)=1,CJ144*CJ145,0)))</f>
        <v>0</v>
      </c>
      <c r="CK148" s="63">
        <f>IF(AND(CK144=1,CK145=10),0,IF(CK144&lt;=0,0,IF(WEEKDAY(CK$6,1)=1,CK144*CK145,0)))</f>
        <v>0</v>
      </c>
      <c r="CL148" s="63">
        <f>IF(AND(CL144=1,CL145=10),0,IF(CL144&lt;=0,0,IF(WEEKDAY(CL$6,1)=1,CL144*CL145,0)))</f>
        <v>0</v>
      </c>
      <c r="CM148" s="63">
        <f>IF(AND(CM144=1,CM145=10),0,IF(CM144&lt;=0,0,IF(WEEKDAY(CM$6,1)=1,CM144*CM145,0)))</f>
        <v>0</v>
      </c>
      <c r="CN148" s="63">
        <f>IF(AND(CN144=1,CN145=10),0,IF(CN144&lt;=0,0,IF(WEEKDAY(CN$6,1)=1,CN144*CN145,0)))</f>
        <v>0</v>
      </c>
      <c r="CO148" s="64">
        <f>IF(AND(CO144=1,CO145=10),0,IF(CO144&lt;=0,0,IF(WEEKDAY(CO$6,1)=1,CO144*CO145,0)))</f>
        <v>0</v>
      </c>
      <c r="CP148" s="64">
        <f>IF(AND(CP144=0,CP145=0),0,IF(CP144&lt;=0,0,IF(WEEKDAY(CP$6,1)=1,CP144*CP145,0)))</f>
        <v>0</v>
      </c>
      <c r="CQ148" s="63">
        <f>IF(AND(CQ144=1,CQ145=10),0,IF(CQ144&lt;=0,0,IF(WEEKDAY(CQ$6,1)=1,CQ144*CQ145,0)))</f>
        <v>0</v>
      </c>
      <c r="CR148" s="63">
        <f>IF(AND(CR144=1,CR145=10),0,IF(CR144&lt;=0,0,IF(WEEKDAY(CR$6,1)=1,CR144*CR145,0)))</f>
        <v>0</v>
      </c>
      <c r="CS148" s="63">
        <f>IF(AND(CS144=1,CS145=10),0,IF(CS144&lt;=0,0,IF(WEEKDAY(CS$6,1)=1,CS144*CS145,0)))</f>
        <v>0</v>
      </c>
      <c r="CT148" s="63">
        <f>IF(AND(CT144=1,CT145=10),0,IF(CT144&lt;=0,0,IF(WEEKDAY(CT$6,1)=1,CT144*CT145,0)))</f>
        <v>0</v>
      </c>
      <c r="CU148" s="63">
        <f>IF(AND(CU144=1,CU145=10),0,IF(CU144&lt;=0,0,IF(WEEKDAY(CU$6,1)=1,CU144*CU145,0)))</f>
        <v>0</v>
      </c>
      <c r="CV148" s="64">
        <f>IF(AND(CV144=1,CV145=10),0,IF(CV144&lt;=0,0,IF(WEEKDAY(CV$6,1)=1,CV144*CV145,0)))</f>
        <v>0</v>
      </c>
      <c r="CW148" s="64">
        <f>IF(AND(CW144=0,CW145=0),0,IF(CW144&lt;=0,0,IF(WEEKDAY(CW$6,1)=1,CW144*CW145,0)))</f>
        <v>0</v>
      </c>
      <c r="CX148" s="63">
        <f>IF(AND(CX144=1,CX145=10),0,IF(CX144&lt;=0,0,IF(WEEKDAY(CX$6,1)=1,CX144*CX145,0)))</f>
        <v>0</v>
      </c>
      <c r="CY148" s="63">
        <f>IF(AND(CY144=1,CY145=10),0,IF(CY144&lt;=0,0,IF(WEEKDAY(CY$6,1)=1,CY144*CY145,0)))</f>
        <v>0</v>
      </c>
      <c r="CZ148" s="63">
        <f>IF(AND(CZ144=1,CZ145=10),0,IF(CZ144&lt;=0,0,IF(WEEKDAY(CZ$6,1)=1,CZ144*CZ145,0)))</f>
        <v>0</v>
      </c>
      <c r="DA148" s="63">
        <f>IF(AND(DA144=1,DA145=10),0,IF(DA144&lt;=0,0,IF(WEEKDAY(DA$6,1)=1,DA144*DA145,0)))</f>
        <v>0</v>
      </c>
      <c r="DB148" s="63">
        <f>IF(AND(DB144=1,DB145=10),0,IF(DB144&lt;=0,0,IF(WEEKDAY(DB$6,1)=1,DB144*DB145,0)))</f>
        <v>0</v>
      </c>
      <c r="DC148" s="64">
        <f>IF(AND(DC144=1,DC145=10),0,IF(DC144&lt;=0,0,IF(WEEKDAY(DC$6,1)=1,DC144*DC145,0)))</f>
        <v>0</v>
      </c>
      <c r="DD148" s="64">
        <f>IF(AND(DD144=0,DD145=0),0,IF(DD144&lt;=0,0,IF(WEEKDAY(DD$6,1)=1,DD144*DD145,0)))</f>
        <v>0</v>
      </c>
      <c r="DE148" s="63">
        <f>IF(AND(DE144=1,DE145=10),0,IF(DE144&lt;=0,0,IF(WEEKDAY(DE$6,1)=1,DE144*DE145,0)))</f>
        <v>0</v>
      </c>
      <c r="DF148" s="63">
        <f>IF(AND(DF144=1,DF145=10),0,IF(DF144&lt;=0,0,IF(WEEKDAY(DF$6,1)=1,DF144*DF145,0)))</f>
        <v>0</v>
      </c>
      <c r="DG148" s="63">
        <f>IF(AND(DG144=1,DG145=10),0,IF(DG144&lt;=0,0,IF(WEEKDAY(DG$6,1)=1,DG144*DG145,0)))</f>
        <v>0</v>
      </c>
      <c r="DH148" s="63">
        <f>IF(AND(DH144=1,DH145=10),0,IF(DH144&lt;=0,0,IF(WEEKDAY(DH$6,1)=1,DH144*DH145,0)))</f>
        <v>0</v>
      </c>
      <c r="DI148" s="63">
        <f>IF(AND(DI144=1,DI145=10),0,IF(DI144&lt;=0,0,IF(WEEKDAY(DI$6,1)=1,DI144*DI145,0)))</f>
        <v>0</v>
      </c>
      <c r="DJ148" s="64">
        <f>IF(AND(DJ144=1,DJ145=10),0,IF(DJ144&lt;=0,0,IF(WEEKDAY(DJ$6,1)=1,DJ144*DJ145,0)))</f>
        <v>0</v>
      </c>
      <c r="DK148" s="64">
        <f>IF(AND(DK144=0,DK145=0),0,IF(DK144&lt;=0,0,IF(WEEKDAY(DK$6,1)=1,DK144*DK145,0)))</f>
        <v>0</v>
      </c>
      <c r="DL148" s="63">
        <f>IF(AND(DL144=1,DL145=10),0,IF(DL144&lt;=0,0,IF(WEEKDAY(DL$6,1)=1,DL144*DL145,0)))</f>
        <v>0</v>
      </c>
      <c r="DM148" s="63">
        <f>IF(AND(DM144=1,DM145=10),0,IF(DM144&lt;=0,0,IF(WEEKDAY(DM$6,1)=1,DM144*DM145,0)))</f>
        <v>0</v>
      </c>
      <c r="DN148" s="63">
        <f>IF(AND(DN144=1,DN145=10),0,IF(DN144&lt;=0,0,IF(WEEKDAY(DN$6,1)=1,DN144*DN145,0)))</f>
        <v>0</v>
      </c>
      <c r="DO148" s="63">
        <f>IF(AND(DO144=1,DO145=10),0,IF(DO144&lt;=0,0,IF(WEEKDAY(DO$6,1)=1,DO144*DO145,0)))</f>
        <v>0</v>
      </c>
      <c r="DP148" s="63">
        <f>IF(AND(DP144=1,DP145=10),0,IF(DP144&lt;=0,0,IF(WEEKDAY(DP$6,1)=1,DP144*DP145,0)))</f>
        <v>0</v>
      </c>
      <c r="DQ148" s="64">
        <f>IF(AND(DQ144=1,DQ145=10),0,IF(DQ144&lt;=0,0,IF(WEEKDAY(DQ$6,1)=1,DQ144*DQ145,0)))</f>
        <v>0</v>
      </c>
      <c r="DR148" s="64">
        <f>IF(AND(DR144=0,DR145=0),0,IF(DR144&lt;=0,0,IF(WEEKDAY(DR$6,1)=1,DR144*DR145,0)))</f>
        <v>0</v>
      </c>
      <c r="DS148" s="63">
        <f>IF(AND(DS144=1,DS145=10),0,IF(DS144&lt;=0,0,IF(WEEKDAY(DS$6,1)=1,DS144*DS145,0)))</f>
        <v>0</v>
      </c>
      <c r="DT148" s="63">
        <f>IF(AND(DT144=0,DT145=0),0,IF(DT144&lt;=0,0,IF(WEEKDAY(DT$6,1)=1,DT144*DT145,0)))</f>
        <v>0</v>
      </c>
      <c r="DU148" s="63">
        <f>IF(AND(DU144=0,DU145=0),0,IF(DU144&lt;=0,0,IF(WEEKDAY(DU$6,1)=1,DU144*DU145,0)))</f>
        <v>0</v>
      </c>
      <c r="DV148" s="63">
        <f>IF(AND(DV144=0,DV145=0),0,IF(DV144&lt;=0,0,IF(WEEKDAY(DV$6,1)=1,DV144*DV145,0)))</f>
        <v>0</v>
      </c>
      <c r="DW148" s="63">
        <f>IF(AND(DW144=0,DW145=0),0,IF(DW144&lt;=0,0,IF(WEEKDAY(DW$6,1)=1,DW144*DW145,0)))</f>
        <v>0</v>
      </c>
      <c r="DX148" s="64">
        <f>IF(AND(DX144=0,DX145=0),0,IF(DX144&lt;=0,0,IF(WEEKDAY(DX$6,1)=1,DX144*DX145,0)))</f>
        <v>0</v>
      </c>
      <c r="DY148" s="64">
        <f>IF(AND(DY144=0,DY145=0),0,IF(DY144&lt;=0,0,IF(WEEKDAY(DY$6,1)=1,DY144*DY145,0)))</f>
        <v>0</v>
      </c>
      <c r="DZ148" s="63">
        <f>IF(AND(DZ144=0,DZ145=0),0,IF(DZ144&lt;=0,0,IF(WEEKDAY(DZ$6,1)=1,DZ144*DZ145,0)))</f>
        <v>0</v>
      </c>
      <c r="EA148" s="63">
        <f>IF(AND(EA144=0,EA145=0),0,IF(EA144&lt;=0,0,IF(WEEKDAY(EA$6,1)=1,EA144*EA145,0)))</f>
        <v>0</v>
      </c>
      <c r="EB148" s="63">
        <f>IF(AND(EB144=0,EB145=0),0,IF(EB144&lt;=0,0,IF(WEEKDAY(EB$6,1)=1,EB144*EB145,0)))</f>
        <v>0</v>
      </c>
      <c r="EC148" s="63">
        <f>IF(AND(EC144=0,EC145=0),0,IF(EC144&lt;=0,0,IF(WEEKDAY(EC$6,1)=1,EC144*EC145,0)))</f>
        <v>0</v>
      </c>
      <c r="ED148" s="63">
        <f>IF(AND(ED144=0,ED145=0),0,IF(ED144&lt;=0,0,IF(WEEKDAY(ED$6,1)=1,ED144*ED145,0)))</f>
        <v>0</v>
      </c>
      <c r="EE148" s="64">
        <f>IF(AND(EE144=0,EE145=0),0,IF(EE144&lt;=0,0,IF(WEEKDAY(EE$6,1)=1,EE144*EE145,0)))</f>
        <v>0</v>
      </c>
      <c r="EF148" s="64">
        <f>IF(AND(EF144=0,EF145=0),0,IF(EF144&lt;=0,0,IF(WEEKDAY(EF$6,1)=1,EF144*EF145,0)))</f>
        <v>0</v>
      </c>
      <c r="EG148" s="63">
        <f>IF(AND(EG144=0,EG145=0),0,IF(EG144&lt;=0,0,IF(WEEKDAY(EG$6,1)=1,EG144*EG145,0)))</f>
        <v>0</v>
      </c>
      <c r="EH148" s="63">
        <f>IF(AND(EH144=0,EH145=0),0,IF(EH144&lt;=0,0,IF(WEEKDAY(EH$6,1)=1,EH144*EH145,0)))</f>
        <v>0</v>
      </c>
      <c r="EI148" s="63">
        <f>IF(AND(EI144=0,EI145=0),0,IF(EI144&lt;=0,0,IF(WEEKDAY(EI$6,1)=1,EI144*EI145,0)))</f>
        <v>0</v>
      </c>
      <c r="EJ148" s="63">
        <f>IF(AND(EJ144=0,EJ145=0),0,IF(EJ144&lt;=0,0,IF(WEEKDAY(EJ$6,1)=1,EJ144*EJ145,0)))</f>
        <v>0</v>
      </c>
      <c r="EK148" s="65">
        <f>IF(AND(EK144=0,EK145=0),0,IF(EK144&lt;=0,0,IF(WEEKDAY(EK$6,1)=1,EK144*EK145,0)))</f>
        <v>0</v>
      </c>
      <c r="OU148" s="28" t="s">
        <v>94</v>
      </c>
    </row>
    <row r="149" ht="16" customHeight="1" spans="1:411" x14ac:dyDescent="0.25">
      <c r="A149" s="45"/>
      <c r="B149" s="46"/>
      <c r="C149" s="67">
        <f>I143*D149</f>
        <v>7840</v>
      </c>
      <c r="D149" s="67">
        <v>140</v>
      </c>
      <c r="E149" s="68" t="s">
        <v>65</v>
      </c>
      <c r="F149" s="49"/>
      <c r="G149" s="49"/>
      <c r="H149" s="49"/>
      <c r="I149" s="49"/>
      <c r="J149" s="50"/>
      <c r="K149" s="69">
        <v>0</v>
      </c>
      <c r="L149" s="70">
        <v>0</v>
      </c>
      <c r="M149" s="70">
        <v>0</v>
      </c>
      <c r="N149" s="70">
        <v>0</v>
      </c>
      <c r="O149" s="70">
        <v>0</v>
      </c>
      <c r="P149" s="71">
        <v>0</v>
      </c>
      <c r="Q149" s="71">
        <v>0</v>
      </c>
      <c r="R149" s="70">
        <v>0</v>
      </c>
      <c r="S149" s="70">
        <v>0</v>
      </c>
      <c r="T149" s="70">
        <v>0</v>
      </c>
      <c r="U149" s="70">
        <v>0</v>
      </c>
      <c r="V149" s="70">
        <v>0</v>
      </c>
      <c r="W149" s="71">
        <v>0</v>
      </c>
      <c r="X149" s="71">
        <v>0</v>
      </c>
      <c r="Y149" s="70">
        <v>0</v>
      </c>
      <c r="Z149" s="70">
        <v>0</v>
      </c>
      <c r="AA149" s="70">
        <v>0</v>
      </c>
      <c r="AB149" s="70">
        <v>0</v>
      </c>
      <c r="AC149" s="70">
        <v>0</v>
      </c>
      <c r="AD149" s="71">
        <v>0</v>
      </c>
      <c r="AE149" s="71">
        <v>0</v>
      </c>
      <c r="AF149" s="70">
        <v>0</v>
      </c>
      <c r="AG149" s="70">
        <v>0</v>
      </c>
      <c r="AH149" s="70">
        <v>0</v>
      </c>
      <c r="AI149" s="70">
        <v>0</v>
      </c>
      <c r="AJ149" s="70">
        <v>0</v>
      </c>
      <c r="AK149" s="71">
        <v>0</v>
      </c>
      <c r="AL149" s="71">
        <v>0</v>
      </c>
      <c r="AM149" s="70">
        <v>0</v>
      </c>
      <c r="AN149" s="70">
        <v>0</v>
      </c>
      <c r="AO149" s="70">
        <v>0</v>
      </c>
      <c r="AP149" s="70">
        <v>0</v>
      </c>
      <c r="AQ149" s="70">
        <v>0</v>
      </c>
      <c r="AR149" s="71">
        <v>0</v>
      </c>
      <c r="AS149" s="71">
        <v>0</v>
      </c>
      <c r="AT149" s="70">
        <v>0</v>
      </c>
      <c r="AU149" s="70">
        <v>0</v>
      </c>
      <c r="AV149" s="70">
        <v>0</v>
      </c>
      <c r="AW149" s="70">
        <v>0</v>
      </c>
      <c r="AX149" s="70">
        <v>0</v>
      </c>
      <c r="AY149" s="71">
        <v>0</v>
      </c>
      <c r="AZ149" s="71">
        <v>0</v>
      </c>
      <c r="BA149" s="70">
        <v>0</v>
      </c>
      <c r="BB149" s="70">
        <v>0</v>
      </c>
      <c r="BC149" s="70">
        <v>0</v>
      </c>
      <c r="BD149" s="70">
        <v>0</v>
      </c>
      <c r="BE149" s="70">
        <v>0</v>
      </c>
      <c r="BF149" s="71">
        <v>0</v>
      </c>
      <c r="BG149" s="71">
        <v>0</v>
      </c>
      <c r="BH149" s="70">
        <v>1</v>
      </c>
      <c r="BI149" s="70">
        <v>1</v>
      </c>
      <c r="BJ149" s="70">
        <v>1</v>
      </c>
      <c r="BK149" s="70">
        <v>1</v>
      </c>
      <c r="BL149" s="70">
        <v>1</v>
      </c>
      <c r="BM149" s="71">
        <v>1</v>
      </c>
      <c r="BN149" s="71">
        <v>1</v>
      </c>
      <c r="BO149" s="70">
        <v>1</v>
      </c>
      <c r="BP149" s="70">
        <v>1</v>
      </c>
      <c r="BQ149" s="70">
        <v>1</v>
      </c>
      <c r="BR149" s="70">
        <v>1</v>
      </c>
      <c r="BS149" s="70">
        <v>1</v>
      </c>
      <c r="BT149" s="71">
        <v>1</v>
      </c>
      <c r="BU149" s="71">
        <v>0</v>
      </c>
      <c r="BV149" s="70">
        <v>1</v>
      </c>
      <c r="BW149" s="70">
        <v>1</v>
      </c>
      <c r="BX149" s="70">
        <v>1</v>
      </c>
      <c r="BY149" s="70">
        <v>1</v>
      </c>
      <c r="BZ149" s="70">
        <v>1</v>
      </c>
      <c r="CA149" s="71">
        <v>1</v>
      </c>
      <c r="CB149" s="71">
        <v>0</v>
      </c>
      <c r="CC149" s="70">
        <v>1</v>
      </c>
      <c r="CD149" s="70">
        <v>1</v>
      </c>
      <c r="CE149" s="70">
        <v>1</v>
      </c>
      <c r="CF149" s="70">
        <v>1</v>
      </c>
      <c r="CG149" s="70">
        <v>1</v>
      </c>
      <c r="CH149" s="71">
        <v>1</v>
      </c>
      <c r="CI149" s="71">
        <v>0</v>
      </c>
      <c r="CJ149" s="70">
        <v>1</v>
      </c>
      <c r="CK149" s="70">
        <v>1</v>
      </c>
      <c r="CL149" s="70">
        <v>1</v>
      </c>
      <c r="CM149" s="70">
        <v>1</v>
      </c>
      <c r="CN149" s="70">
        <v>1</v>
      </c>
      <c r="CO149" s="71">
        <v>1</v>
      </c>
      <c r="CP149" s="71">
        <v>0</v>
      </c>
      <c r="CQ149" s="70">
        <v>1</v>
      </c>
      <c r="CR149" s="70">
        <v>1</v>
      </c>
      <c r="CS149" s="70">
        <v>1</v>
      </c>
      <c r="CT149" s="70">
        <v>1</v>
      </c>
      <c r="CU149" s="70">
        <v>1</v>
      </c>
      <c r="CV149" s="71">
        <v>1</v>
      </c>
      <c r="CW149" s="71">
        <v>0</v>
      </c>
      <c r="CX149" s="70">
        <v>1</v>
      </c>
      <c r="CY149" s="70">
        <v>1</v>
      </c>
      <c r="CZ149" s="70">
        <v>1</v>
      </c>
      <c r="DA149" s="70">
        <v>1</v>
      </c>
      <c r="DB149" s="70">
        <v>1</v>
      </c>
      <c r="DC149" s="71">
        <v>1</v>
      </c>
      <c r="DD149" s="71">
        <v>0</v>
      </c>
      <c r="DE149" s="70">
        <v>1</v>
      </c>
      <c r="DF149" s="70">
        <v>1</v>
      </c>
      <c r="DG149" s="70">
        <v>1</v>
      </c>
      <c r="DH149" s="70">
        <v>1</v>
      </c>
      <c r="DI149" s="70">
        <v>1</v>
      </c>
      <c r="DJ149" s="71">
        <v>1</v>
      </c>
      <c r="DK149" s="71">
        <v>0</v>
      </c>
      <c r="DL149" s="70">
        <v>1</v>
      </c>
      <c r="DM149" s="70">
        <v>1</v>
      </c>
      <c r="DN149" s="70">
        <v>1</v>
      </c>
      <c r="DO149" s="70">
        <v>1</v>
      </c>
      <c r="DP149" s="70">
        <v>1</v>
      </c>
      <c r="DQ149" s="71">
        <v>1</v>
      </c>
      <c r="DR149" s="71">
        <v>0</v>
      </c>
      <c r="DS149" s="70">
        <v>1</v>
      </c>
      <c r="DT149" s="70">
        <v>0</v>
      </c>
      <c r="DU149" s="70">
        <v>0</v>
      </c>
      <c r="DV149" s="70">
        <v>0</v>
      </c>
      <c r="DW149" s="70">
        <v>0</v>
      </c>
      <c r="DX149" s="71">
        <v>0</v>
      </c>
      <c r="DY149" s="71">
        <v>0</v>
      </c>
      <c r="DZ149" s="70">
        <v>0</v>
      </c>
      <c r="EA149" s="70">
        <v>0</v>
      </c>
      <c r="EB149" s="70">
        <v>0</v>
      </c>
      <c r="EC149" s="70">
        <v>0</v>
      </c>
      <c r="ED149" s="70">
        <v>0</v>
      </c>
      <c r="EE149" s="71">
        <v>0</v>
      </c>
      <c r="EF149" s="71">
        <v>0</v>
      </c>
      <c r="EG149" s="70">
        <v>0</v>
      </c>
      <c r="EH149" s="70">
        <v>0</v>
      </c>
      <c r="EI149" s="70">
        <v>0</v>
      </c>
      <c r="EJ149" s="70">
        <v>0</v>
      </c>
      <c r="EK149" s="72">
        <v>0</v>
      </c>
      <c r="OU149" s="60" t="s">
        <v>94</v>
      </c>
    </row>
    <row r="150" ht="8" customHeight="1" spans="1:14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  <c r="AS150" s="73"/>
      <c r="AT150" s="73"/>
      <c r="AU150" s="73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  <c r="BZ150" s="73"/>
      <c r="CA150" s="73"/>
      <c r="CB150" s="73"/>
      <c r="CC150" s="73"/>
      <c r="CD150" s="73"/>
      <c r="CE150" s="73"/>
      <c r="CF150" s="73"/>
      <c r="CG150" s="73"/>
      <c r="CH150" s="73"/>
      <c r="CI150" s="73"/>
      <c r="CJ150" s="73"/>
      <c r="CK150" s="73"/>
      <c r="CL150" s="73"/>
      <c r="CM150" s="73"/>
      <c r="CN150" s="73"/>
      <c r="CO150" s="73"/>
      <c r="CP150" s="73"/>
      <c r="CQ150" s="73"/>
      <c r="CR150" s="73"/>
      <c r="CS150" s="73"/>
      <c r="CT150" s="73"/>
      <c r="CU150" s="73"/>
      <c r="CV150" s="73"/>
      <c r="CW150" s="73"/>
      <c r="CX150" s="73"/>
      <c r="CY150" s="73"/>
      <c r="CZ150" s="73"/>
      <c r="DA150" s="73"/>
      <c r="DB150" s="73"/>
      <c r="DC150" s="73"/>
      <c r="DD150" s="73"/>
      <c r="DE150" s="73"/>
      <c r="DF150" s="73"/>
      <c r="DG150" s="73"/>
      <c r="DH150" s="73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  <c r="DT150" s="73"/>
      <c r="DU150" s="73"/>
      <c r="DV150" s="73"/>
      <c r="DW150" s="73"/>
      <c r="DX150" s="73"/>
      <c r="DY150" s="73"/>
      <c r="DZ150" s="73"/>
      <c r="EA150" s="73"/>
      <c r="EB150" s="73"/>
      <c r="EC150" s="73"/>
      <c r="ED150" s="73"/>
      <c r="EE150" s="73"/>
      <c r="EF150" s="73"/>
      <c r="EG150" s="73"/>
      <c r="EH150" s="73"/>
      <c r="EI150" s="73"/>
      <c r="EJ150" s="73"/>
      <c r="EK150" s="73"/>
    </row>
    <row r="151" ht="16" customHeight="1" spans="1:411" x14ac:dyDescent="0.25">
      <c r="A151" s="74" t="s">
        <v>70</v>
      </c>
      <c r="B151" s="46" t="s">
        <v>93</v>
      </c>
      <c r="C151" s="47">
        <f>J151</f>
        <v>44623.4</v>
      </c>
      <c r="D151" s="48"/>
      <c r="E151" s="48"/>
      <c r="F151" s="49">
        <f>SUM(K154:EK154)</f>
        <v>390</v>
      </c>
      <c r="G151" s="49">
        <f>SUM(K155:EK155)</f>
        <v>160</v>
      </c>
      <c r="H151" s="49">
        <f>SUM(K156:EK156)</f>
        <v>10</v>
      </c>
      <c r="I151" s="49">
        <f>SUM(K157:EK157)</f>
        <v>56</v>
      </c>
      <c r="J151" s="50">
        <f>C154+C155+C156</f>
        <v>44623.4</v>
      </c>
      <c r="K151" s="51"/>
      <c r="L151" s="52"/>
      <c r="M151" s="52"/>
      <c r="N151" s="52"/>
      <c r="O151" s="52"/>
      <c r="P151" s="53"/>
      <c r="Q151" s="53"/>
      <c r="R151" s="52"/>
      <c r="S151" s="52"/>
      <c r="T151" s="52"/>
      <c r="U151" s="52"/>
      <c r="V151" s="52"/>
      <c r="W151" s="53"/>
      <c r="X151" s="53"/>
      <c r="Y151" s="52"/>
      <c r="Z151" s="52"/>
      <c r="AA151" s="52"/>
      <c r="AB151" s="52"/>
      <c r="AC151" s="52"/>
      <c r="AD151" s="53"/>
      <c r="AE151" s="53"/>
      <c r="AF151" s="52"/>
      <c r="AG151" s="52"/>
      <c r="AH151" s="52"/>
      <c r="AI151" s="52"/>
      <c r="AJ151" s="52"/>
      <c r="AK151" s="53"/>
      <c r="AL151" s="53"/>
      <c r="AM151" s="52"/>
      <c r="AN151" s="52"/>
      <c r="AO151" s="52"/>
      <c r="AP151" s="52"/>
      <c r="AQ151" s="52"/>
      <c r="AR151" s="53"/>
      <c r="AS151" s="53"/>
      <c r="AT151" s="52"/>
      <c r="AU151" s="52"/>
      <c r="AV151" s="52"/>
      <c r="AW151" s="52"/>
      <c r="AX151" s="52"/>
      <c r="AY151" s="53"/>
      <c r="AZ151" s="53"/>
      <c r="BA151" s="52"/>
      <c r="BB151" s="52"/>
      <c r="BC151" s="52"/>
      <c r="BD151" s="52"/>
      <c r="BE151" s="52"/>
      <c r="BF151" s="53"/>
      <c r="BG151" s="53"/>
      <c r="BH151" s="52"/>
      <c r="BI151" s="52"/>
      <c r="BJ151" s="52"/>
      <c r="BK151" s="52"/>
      <c r="BL151" s="52"/>
      <c r="BM151" s="53"/>
      <c r="BN151" s="53"/>
      <c r="BO151" s="52"/>
      <c r="BP151" s="52"/>
      <c r="BQ151" s="52"/>
      <c r="BR151" s="52"/>
      <c r="BS151" s="52"/>
      <c r="BT151" s="53"/>
      <c r="BU151" s="53"/>
      <c r="BV151" s="52"/>
      <c r="BW151" s="52"/>
      <c r="BX151" s="52"/>
      <c r="BY151" s="52"/>
      <c r="BZ151" s="52"/>
      <c r="CA151" s="53"/>
      <c r="CB151" s="53"/>
      <c r="CC151" s="52"/>
      <c r="CD151" s="52"/>
      <c r="CE151" s="52"/>
      <c r="CF151" s="52"/>
      <c r="CG151" s="52"/>
      <c r="CH151" s="53"/>
      <c r="CI151" s="53"/>
      <c r="CJ151" s="52"/>
      <c r="CK151" s="52"/>
      <c r="CL151" s="52"/>
      <c r="CM151" s="52"/>
      <c r="CN151" s="52"/>
      <c r="CO151" s="53"/>
      <c r="CP151" s="53"/>
      <c r="CQ151" s="52"/>
      <c r="CR151" s="52"/>
      <c r="CS151" s="52"/>
      <c r="CT151" s="52"/>
      <c r="CU151" s="52"/>
      <c r="CV151" s="53"/>
      <c r="CW151" s="53"/>
      <c r="CX151" s="52"/>
      <c r="CY151" s="52"/>
      <c r="CZ151" s="52"/>
      <c r="DA151" s="52"/>
      <c r="DB151" s="52"/>
      <c r="DC151" s="53"/>
      <c r="DD151" s="53"/>
      <c r="DE151" s="52"/>
      <c r="DF151" s="52"/>
      <c r="DG151" s="52"/>
      <c r="DH151" s="52"/>
      <c r="DI151" s="52"/>
      <c r="DJ151" s="53"/>
      <c r="DK151" s="53"/>
      <c r="DL151" s="52"/>
      <c r="DM151" s="52"/>
      <c r="DN151" s="52"/>
      <c r="DO151" s="52"/>
      <c r="DP151" s="52"/>
      <c r="DQ151" s="53"/>
      <c r="DR151" s="53"/>
      <c r="DS151" s="52"/>
      <c r="DT151" s="52"/>
      <c r="DU151" s="52"/>
      <c r="DV151" s="52"/>
      <c r="DW151" s="52"/>
      <c r="DX151" s="53"/>
      <c r="DY151" s="53"/>
      <c r="DZ151" s="52"/>
      <c r="EA151" s="52"/>
      <c r="EB151" s="52"/>
      <c r="EC151" s="52"/>
      <c r="ED151" s="52"/>
      <c r="EE151" s="53"/>
      <c r="EF151" s="53"/>
      <c r="EG151" s="52"/>
      <c r="EH151" s="52"/>
      <c r="EI151" s="52"/>
      <c r="EJ151" s="52"/>
      <c r="EK151" s="54"/>
      <c r="OU151" s="28" t="s">
        <v>95</v>
      </c>
    </row>
    <row r="152" ht="16" customHeight="1" spans="1:411" x14ac:dyDescent="0.25">
      <c r="A152" s="74"/>
      <c r="B152" s="46"/>
      <c r="C152" s="47"/>
      <c r="D152" s="48"/>
      <c r="E152" s="55" t="s">
        <v>60</v>
      </c>
      <c r="F152" s="49"/>
      <c r="G152" s="49"/>
      <c r="H152" s="49"/>
      <c r="I152" s="49"/>
      <c r="J152" s="50"/>
      <c r="K152" s="56">
        <v>0</v>
      </c>
      <c r="L152" s="57">
        <v>0</v>
      </c>
      <c r="M152" s="57">
        <v>0</v>
      </c>
      <c r="N152" s="57">
        <v>0</v>
      </c>
      <c r="O152" s="57">
        <v>0</v>
      </c>
      <c r="P152" s="58">
        <v>0</v>
      </c>
      <c r="Q152" s="58">
        <v>0</v>
      </c>
      <c r="R152" s="57">
        <v>0</v>
      </c>
      <c r="S152" s="57">
        <v>0</v>
      </c>
      <c r="T152" s="57">
        <v>0</v>
      </c>
      <c r="U152" s="57">
        <v>0</v>
      </c>
      <c r="V152" s="57">
        <v>0</v>
      </c>
      <c r="W152" s="58">
        <v>0</v>
      </c>
      <c r="X152" s="58">
        <v>0</v>
      </c>
      <c r="Y152" s="57">
        <v>0</v>
      </c>
      <c r="Z152" s="57">
        <v>0</v>
      </c>
      <c r="AA152" s="57">
        <v>0</v>
      </c>
      <c r="AB152" s="57">
        <v>0</v>
      </c>
      <c r="AC152" s="57">
        <v>0</v>
      </c>
      <c r="AD152" s="58">
        <v>0</v>
      </c>
      <c r="AE152" s="58">
        <v>0</v>
      </c>
      <c r="AF152" s="57">
        <v>0</v>
      </c>
      <c r="AG152" s="57">
        <v>0</v>
      </c>
      <c r="AH152" s="57">
        <v>0</v>
      </c>
      <c r="AI152" s="57">
        <v>0</v>
      </c>
      <c r="AJ152" s="57">
        <v>0</v>
      </c>
      <c r="AK152" s="58">
        <v>0</v>
      </c>
      <c r="AL152" s="58">
        <v>0</v>
      </c>
      <c r="AM152" s="57">
        <v>0</v>
      </c>
      <c r="AN152" s="57">
        <v>0</v>
      </c>
      <c r="AO152" s="57">
        <v>0</v>
      </c>
      <c r="AP152" s="57">
        <v>0</v>
      </c>
      <c r="AQ152" s="57">
        <v>0</v>
      </c>
      <c r="AR152" s="58">
        <v>0</v>
      </c>
      <c r="AS152" s="58">
        <v>0</v>
      </c>
      <c r="AT152" s="57">
        <v>0</v>
      </c>
      <c r="AU152" s="57">
        <v>0</v>
      </c>
      <c r="AV152" s="57">
        <v>0</v>
      </c>
      <c r="AW152" s="57">
        <v>0</v>
      </c>
      <c r="AX152" s="57">
        <v>0</v>
      </c>
      <c r="AY152" s="58">
        <v>0</v>
      </c>
      <c r="AZ152" s="58">
        <v>0</v>
      </c>
      <c r="BA152" s="57">
        <v>0</v>
      </c>
      <c r="BB152" s="57">
        <v>0</v>
      </c>
      <c r="BC152" s="57">
        <v>0</v>
      </c>
      <c r="BD152" s="57">
        <v>0</v>
      </c>
      <c r="BE152" s="57">
        <v>0</v>
      </c>
      <c r="BF152" s="58">
        <v>0</v>
      </c>
      <c r="BG152" s="58">
        <v>0</v>
      </c>
      <c r="BH152" s="57">
        <v>1</v>
      </c>
      <c r="BI152" s="57">
        <v>1</v>
      </c>
      <c r="BJ152" s="57">
        <v>1</v>
      </c>
      <c r="BK152" s="57">
        <v>1</v>
      </c>
      <c r="BL152" s="57">
        <v>1</v>
      </c>
      <c r="BM152" s="58">
        <v>1</v>
      </c>
      <c r="BN152" s="58">
        <v>1</v>
      </c>
      <c r="BO152" s="57">
        <v>1</v>
      </c>
      <c r="BP152" s="57">
        <v>1</v>
      </c>
      <c r="BQ152" s="57">
        <v>1</v>
      </c>
      <c r="BR152" s="57">
        <v>1</v>
      </c>
      <c r="BS152" s="57">
        <v>1</v>
      </c>
      <c r="BT152" s="58">
        <v>1</v>
      </c>
      <c r="BU152" s="58">
        <v>0</v>
      </c>
      <c r="BV152" s="57">
        <v>1</v>
      </c>
      <c r="BW152" s="57">
        <v>1</v>
      </c>
      <c r="BX152" s="57">
        <v>1</v>
      </c>
      <c r="BY152" s="57">
        <v>1</v>
      </c>
      <c r="BZ152" s="57">
        <v>1</v>
      </c>
      <c r="CA152" s="58">
        <v>1</v>
      </c>
      <c r="CB152" s="58">
        <v>0</v>
      </c>
      <c r="CC152" s="57">
        <v>1</v>
      </c>
      <c r="CD152" s="57">
        <v>1</v>
      </c>
      <c r="CE152" s="57">
        <v>1</v>
      </c>
      <c r="CF152" s="57">
        <v>1</v>
      </c>
      <c r="CG152" s="57">
        <v>1</v>
      </c>
      <c r="CH152" s="58">
        <v>1</v>
      </c>
      <c r="CI152" s="58">
        <v>0</v>
      </c>
      <c r="CJ152" s="57">
        <v>1</v>
      </c>
      <c r="CK152" s="57">
        <v>1</v>
      </c>
      <c r="CL152" s="57">
        <v>1</v>
      </c>
      <c r="CM152" s="57">
        <v>1</v>
      </c>
      <c r="CN152" s="57">
        <v>1</v>
      </c>
      <c r="CO152" s="58">
        <v>1</v>
      </c>
      <c r="CP152" s="58">
        <v>0</v>
      </c>
      <c r="CQ152" s="57">
        <v>1</v>
      </c>
      <c r="CR152" s="57">
        <v>1</v>
      </c>
      <c r="CS152" s="57">
        <v>1</v>
      </c>
      <c r="CT152" s="57">
        <v>1</v>
      </c>
      <c r="CU152" s="57">
        <v>1</v>
      </c>
      <c r="CV152" s="58">
        <v>1</v>
      </c>
      <c r="CW152" s="58">
        <v>0</v>
      </c>
      <c r="CX152" s="57">
        <v>1</v>
      </c>
      <c r="CY152" s="57">
        <v>1</v>
      </c>
      <c r="CZ152" s="57">
        <v>1</v>
      </c>
      <c r="DA152" s="57">
        <v>1</v>
      </c>
      <c r="DB152" s="57">
        <v>1</v>
      </c>
      <c r="DC152" s="58">
        <v>1</v>
      </c>
      <c r="DD152" s="58">
        <v>0</v>
      </c>
      <c r="DE152" s="57">
        <v>1</v>
      </c>
      <c r="DF152" s="57">
        <v>1</v>
      </c>
      <c r="DG152" s="57">
        <v>1</v>
      </c>
      <c r="DH152" s="57">
        <v>1</v>
      </c>
      <c r="DI152" s="57">
        <v>1</v>
      </c>
      <c r="DJ152" s="58">
        <v>1</v>
      </c>
      <c r="DK152" s="58">
        <v>0</v>
      </c>
      <c r="DL152" s="57">
        <v>1</v>
      </c>
      <c r="DM152" s="57">
        <v>1</v>
      </c>
      <c r="DN152" s="57">
        <v>1</v>
      </c>
      <c r="DO152" s="57">
        <v>1</v>
      </c>
      <c r="DP152" s="57">
        <v>1</v>
      </c>
      <c r="DQ152" s="58">
        <v>1</v>
      </c>
      <c r="DR152" s="58">
        <v>0</v>
      </c>
      <c r="DS152" s="57">
        <v>1</v>
      </c>
      <c r="DT152" s="57">
        <v>0</v>
      </c>
      <c r="DU152" s="57">
        <v>0</v>
      </c>
      <c r="DV152" s="57">
        <v>0</v>
      </c>
      <c r="DW152" s="57">
        <v>0</v>
      </c>
      <c r="DX152" s="58">
        <v>0</v>
      </c>
      <c r="DY152" s="58">
        <v>0</v>
      </c>
      <c r="DZ152" s="57">
        <v>0</v>
      </c>
      <c r="EA152" s="57">
        <v>0</v>
      </c>
      <c r="EB152" s="57">
        <v>0</v>
      </c>
      <c r="EC152" s="57">
        <v>0</v>
      </c>
      <c r="ED152" s="57">
        <v>0</v>
      </c>
      <c r="EE152" s="58">
        <v>0</v>
      </c>
      <c r="EF152" s="58">
        <v>0</v>
      </c>
      <c r="EG152" s="57">
        <v>0</v>
      </c>
      <c r="EH152" s="57">
        <v>0</v>
      </c>
      <c r="EI152" s="57">
        <v>0</v>
      </c>
      <c r="EJ152" s="57">
        <v>0</v>
      </c>
      <c r="EK152" s="59">
        <v>0</v>
      </c>
      <c r="OU152" s="60" t="s">
        <v>95</v>
      </c>
    </row>
    <row r="153" ht="16" customHeight="1" spans="1:411" x14ac:dyDescent="0.25">
      <c r="A153" s="74"/>
      <c r="B153" s="46"/>
      <c r="C153" s="47"/>
      <c r="D153" s="48"/>
      <c r="E153" s="55" t="s">
        <v>61</v>
      </c>
      <c r="F153" s="49"/>
      <c r="G153" s="49"/>
      <c r="H153" s="49"/>
      <c r="I153" s="49"/>
      <c r="J153" s="50"/>
      <c r="K153" s="56">
        <v>0</v>
      </c>
      <c r="L153" s="57">
        <v>0</v>
      </c>
      <c r="M153" s="57">
        <v>0</v>
      </c>
      <c r="N153" s="57">
        <v>0</v>
      </c>
      <c r="O153" s="57">
        <v>0</v>
      </c>
      <c r="P153" s="58">
        <v>0</v>
      </c>
      <c r="Q153" s="58">
        <v>0</v>
      </c>
      <c r="R153" s="57">
        <v>0</v>
      </c>
      <c r="S153" s="57">
        <v>0</v>
      </c>
      <c r="T153" s="57">
        <v>0</v>
      </c>
      <c r="U153" s="57">
        <v>0</v>
      </c>
      <c r="V153" s="57">
        <v>0</v>
      </c>
      <c r="W153" s="58">
        <v>0</v>
      </c>
      <c r="X153" s="58">
        <v>0</v>
      </c>
      <c r="Y153" s="57">
        <v>0</v>
      </c>
      <c r="Z153" s="57">
        <v>0</v>
      </c>
      <c r="AA153" s="57">
        <v>0</v>
      </c>
      <c r="AB153" s="57">
        <v>0</v>
      </c>
      <c r="AC153" s="57">
        <v>0</v>
      </c>
      <c r="AD153" s="58">
        <v>0</v>
      </c>
      <c r="AE153" s="58">
        <v>0</v>
      </c>
      <c r="AF153" s="57">
        <v>0</v>
      </c>
      <c r="AG153" s="57">
        <v>0</v>
      </c>
      <c r="AH153" s="57">
        <v>0</v>
      </c>
      <c r="AI153" s="57">
        <v>0</v>
      </c>
      <c r="AJ153" s="57">
        <v>0</v>
      </c>
      <c r="AK153" s="58">
        <v>0</v>
      </c>
      <c r="AL153" s="58">
        <v>0</v>
      </c>
      <c r="AM153" s="57">
        <v>0</v>
      </c>
      <c r="AN153" s="57">
        <v>0</v>
      </c>
      <c r="AO153" s="57">
        <v>0</v>
      </c>
      <c r="AP153" s="57">
        <v>0</v>
      </c>
      <c r="AQ153" s="57">
        <v>0</v>
      </c>
      <c r="AR153" s="58">
        <v>0</v>
      </c>
      <c r="AS153" s="58">
        <v>0</v>
      </c>
      <c r="AT153" s="57">
        <v>0</v>
      </c>
      <c r="AU153" s="57">
        <v>0</v>
      </c>
      <c r="AV153" s="57">
        <v>0</v>
      </c>
      <c r="AW153" s="57">
        <v>0</v>
      </c>
      <c r="AX153" s="57">
        <v>0</v>
      </c>
      <c r="AY153" s="58">
        <v>0</v>
      </c>
      <c r="AZ153" s="58">
        <v>0</v>
      </c>
      <c r="BA153" s="57">
        <v>0</v>
      </c>
      <c r="BB153" s="57">
        <v>0</v>
      </c>
      <c r="BC153" s="57">
        <v>0</v>
      </c>
      <c r="BD153" s="57">
        <v>0</v>
      </c>
      <c r="BE153" s="57">
        <v>0</v>
      </c>
      <c r="BF153" s="58">
        <v>0</v>
      </c>
      <c r="BG153" s="58">
        <v>0</v>
      </c>
      <c r="BH153" s="57">
        <v>10</v>
      </c>
      <c r="BI153" s="57">
        <v>10</v>
      </c>
      <c r="BJ153" s="57">
        <v>10</v>
      </c>
      <c r="BK153" s="57">
        <v>10</v>
      </c>
      <c r="BL153" s="57">
        <v>10</v>
      </c>
      <c r="BM153" s="58">
        <v>10</v>
      </c>
      <c r="BN153" s="58">
        <v>10</v>
      </c>
      <c r="BO153" s="57">
        <v>10</v>
      </c>
      <c r="BP153" s="57">
        <v>10</v>
      </c>
      <c r="BQ153" s="57">
        <v>10</v>
      </c>
      <c r="BR153" s="57">
        <v>10</v>
      </c>
      <c r="BS153" s="57">
        <v>10</v>
      </c>
      <c r="BT153" s="58">
        <v>10</v>
      </c>
      <c r="BU153" s="58">
        <v>0</v>
      </c>
      <c r="BV153" s="57">
        <v>10</v>
      </c>
      <c r="BW153" s="57">
        <v>10</v>
      </c>
      <c r="BX153" s="57">
        <v>10</v>
      </c>
      <c r="BY153" s="57">
        <v>10</v>
      </c>
      <c r="BZ153" s="57">
        <v>10</v>
      </c>
      <c r="CA153" s="58">
        <v>10</v>
      </c>
      <c r="CB153" s="58">
        <v>0</v>
      </c>
      <c r="CC153" s="57">
        <v>10</v>
      </c>
      <c r="CD153" s="57">
        <v>10</v>
      </c>
      <c r="CE153" s="57">
        <v>10</v>
      </c>
      <c r="CF153" s="57">
        <v>10</v>
      </c>
      <c r="CG153" s="57">
        <v>10</v>
      </c>
      <c r="CH153" s="58">
        <v>10</v>
      </c>
      <c r="CI153" s="58">
        <v>0</v>
      </c>
      <c r="CJ153" s="57">
        <v>10</v>
      </c>
      <c r="CK153" s="57">
        <v>10</v>
      </c>
      <c r="CL153" s="57">
        <v>10</v>
      </c>
      <c r="CM153" s="57">
        <v>10</v>
      </c>
      <c r="CN153" s="57">
        <v>10</v>
      </c>
      <c r="CO153" s="58">
        <v>10</v>
      </c>
      <c r="CP153" s="58">
        <v>0</v>
      </c>
      <c r="CQ153" s="57">
        <v>10</v>
      </c>
      <c r="CR153" s="57">
        <v>10</v>
      </c>
      <c r="CS153" s="57">
        <v>10</v>
      </c>
      <c r="CT153" s="57">
        <v>10</v>
      </c>
      <c r="CU153" s="57">
        <v>10</v>
      </c>
      <c r="CV153" s="58">
        <v>10</v>
      </c>
      <c r="CW153" s="58">
        <v>0</v>
      </c>
      <c r="CX153" s="57">
        <v>10</v>
      </c>
      <c r="CY153" s="57">
        <v>10</v>
      </c>
      <c r="CZ153" s="57">
        <v>10</v>
      </c>
      <c r="DA153" s="57">
        <v>10</v>
      </c>
      <c r="DB153" s="57">
        <v>10</v>
      </c>
      <c r="DC153" s="58">
        <v>10</v>
      </c>
      <c r="DD153" s="58">
        <v>0</v>
      </c>
      <c r="DE153" s="57">
        <v>10</v>
      </c>
      <c r="DF153" s="57">
        <v>10</v>
      </c>
      <c r="DG153" s="57">
        <v>10</v>
      </c>
      <c r="DH153" s="57">
        <v>10</v>
      </c>
      <c r="DI153" s="57">
        <v>10</v>
      </c>
      <c r="DJ153" s="58">
        <v>10</v>
      </c>
      <c r="DK153" s="58">
        <v>0</v>
      </c>
      <c r="DL153" s="57">
        <v>10</v>
      </c>
      <c r="DM153" s="57">
        <v>10</v>
      </c>
      <c r="DN153" s="57">
        <v>10</v>
      </c>
      <c r="DO153" s="57">
        <v>10</v>
      </c>
      <c r="DP153" s="57">
        <v>10</v>
      </c>
      <c r="DQ153" s="58">
        <v>10</v>
      </c>
      <c r="DR153" s="58">
        <v>0</v>
      </c>
      <c r="DS153" s="57">
        <v>10</v>
      </c>
      <c r="DT153" s="57">
        <v>0</v>
      </c>
      <c r="DU153" s="57">
        <v>0</v>
      </c>
      <c r="DV153" s="57">
        <v>0</v>
      </c>
      <c r="DW153" s="57">
        <v>0</v>
      </c>
      <c r="DX153" s="58">
        <v>0</v>
      </c>
      <c r="DY153" s="58">
        <v>0</v>
      </c>
      <c r="DZ153" s="57">
        <v>0</v>
      </c>
      <c r="EA153" s="57">
        <v>0</v>
      </c>
      <c r="EB153" s="57">
        <v>0</v>
      </c>
      <c r="EC153" s="57">
        <v>0</v>
      </c>
      <c r="ED153" s="57">
        <v>0</v>
      </c>
      <c r="EE153" s="58">
        <v>0</v>
      </c>
      <c r="EF153" s="58">
        <v>0</v>
      </c>
      <c r="EG153" s="57">
        <v>0</v>
      </c>
      <c r="EH153" s="57">
        <v>0</v>
      </c>
      <c r="EI153" s="57">
        <v>0</v>
      </c>
      <c r="EJ153" s="57">
        <v>0</v>
      </c>
      <c r="EK153" s="59">
        <v>0</v>
      </c>
      <c r="OU153" s="60" t="s">
        <v>95</v>
      </c>
    </row>
    <row r="154" ht="16" customHeight="1" spans="1:411" x14ac:dyDescent="0.25">
      <c r="A154" s="74"/>
      <c r="B154" s="46"/>
      <c r="C154" s="61">
        <f>F151*N(D154)</f>
        <v>28247.700000000004</v>
      </c>
      <c r="D154" s="61">
        <f>IF(TRIM(B151)="","No rate",IFERROR(INDEX('Rate Tables'!C$7:C$158,MATCH(B151,'Rate Tables'!A$7:A$158,0)),"No rate"))</f>
        <v>72.43</v>
      </c>
      <c r="E154" s="55" t="s">
        <v>62</v>
      </c>
      <c r="F154" s="49"/>
      <c r="G154" s="49"/>
      <c r="H154" s="49"/>
      <c r="I154" s="49"/>
      <c r="J154" s="50"/>
      <c r="K154" s="62">
        <f>IF(AND(K152=0,K153=0),0,MIN(IF(K152&lt;=0,0,IF(WEEKDAY(K$6,1)=1,0,MIN(10,K153)*K152)),MAX(0,40*MAX(1,K152)-(0))))</f>
        <v>0</v>
      </c>
      <c r="L154" s="63">
        <f>IF(AND(L152=0,L153=0),0,MIN(IF(L152&lt;=0,0,IF(WEEKDAY(L$6,1)=1,0,MIN(10,L153)*L152)),MAX(0,40*MAX(1,L152)-(K154))))</f>
        <v>0</v>
      </c>
      <c r="M154" s="63">
        <f>IF(AND(M152=0,M153=0),0,MIN(IF(M152&lt;=0,0,IF(WEEKDAY(M$6,1)=1,0,MIN(10,M153)*M152)),MAX(0,40*MAX(1,M152)-(K154+L154))))</f>
        <v>0</v>
      </c>
      <c r="N154" s="63">
        <f>IF(AND(N152=0,N153=0),0,MIN(IF(N152&lt;=0,0,IF(WEEKDAY(N$6,1)=1,0,MIN(10,N153)*N152)),MAX(0,40*MAX(1,N152)-(K154+L154+M154))))</f>
        <v>0</v>
      </c>
      <c r="O154" s="63">
        <f>IF(AND(O152=0,O153=0),0,MIN(IF(O152&lt;=0,0,IF(WEEKDAY(O$6,1)=1,0,MIN(10,O153)*O152)),MAX(0,40*MAX(1,O152)-(K154+L154+M154+N154))))</f>
        <v>0</v>
      </c>
      <c r="P154" s="64">
        <f>IF(AND(P152=0,P153=0),0,MIN(IF(P152&lt;=0,0,IF(WEEKDAY(P$6,1)=1,0,MIN(10,P153)*P152)),MAX(0,40*MAX(1,P152)-(K154+L154+M154+N154+O154))))</f>
        <v>0</v>
      </c>
      <c r="Q154" s="64">
        <f>IF(AND(Q152=0,Q153=0),0,MIN(IF(Q152&lt;=0,0,IF(WEEKDAY(Q$6,1)=1,0,MIN(10,Q153)*Q152)),MAX(0,40*MAX(1,Q152)-(K154+L154+M154+N154+O154+P154))))</f>
        <v>0</v>
      </c>
      <c r="R154" s="63">
        <f>IF(AND(R152=0,R153=0),0,MIN(IF(R152&lt;=0,0,IF(WEEKDAY(R$6,1)=1,0,MIN(10,R153)*R152)),MAX(0,40*MAX(1,R152)-(0))))</f>
        <v>0</v>
      </c>
      <c r="S154" s="63">
        <f>IF(AND(S152=0,S153=0),0,MIN(IF(S152&lt;=0,0,IF(WEEKDAY(S$6,1)=1,0,MIN(10,S153)*S152)),MAX(0,40*MAX(1,S152)-(R154))))</f>
        <v>0</v>
      </c>
      <c r="T154" s="63">
        <f>IF(AND(T152=0,T153=0),0,MIN(IF(T152&lt;=0,0,IF(WEEKDAY(T$6,1)=1,0,MIN(10,T153)*T152)),MAX(0,40*MAX(1,T152)-(R154+S154))))</f>
        <v>0</v>
      </c>
      <c r="U154" s="63">
        <f>IF(AND(U152=0,U153=0),0,MIN(IF(U152&lt;=0,0,IF(WEEKDAY(U$6,1)=1,0,MIN(10,U153)*U152)),MAX(0,40*MAX(1,U152)-(R154+S154+T154))))</f>
        <v>0</v>
      </c>
      <c r="V154" s="63">
        <f>IF(AND(V152=0,V153=0),0,MIN(IF(V152&lt;=0,0,IF(WEEKDAY(V$6,1)=1,0,MIN(10,V153)*V152)),MAX(0,40*MAX(1,V152)-(R154+S154+T154+U154))))</f>
        <v>0</v>
      </c>
      <c r="W154" s="64">
        <f>IF(AND(W152=0,W153=0),0,MIN(IF(W152&lt;=0,0,IF(WEEKDAY(W$6,1)=1,0,MIN(10,W153)*W152)),MAX(0,40*MAX(1,W152)-(R154+S154+T154+U154+V154))))</f>
        <v>0</v>
      </c>
      <c r="X154" s="64">
        <f>IF(AND(X152=0,X153=0),0,MIN(IF(X152&lt;=0,0,IF(WEEKDAY(X$6,1)=1,0,MIN(10,X153)*X152)),MAX(0,40*MAX(1,X152)-(R154+S154+T154+U154+V154+W154))))</f>
        <v>0</v>
      </c>
      <c r="Y154" s="63">
        <f>IF(AND(Y152=0,Y153=0),0,MIN(IF(Y152&lt;=0,0,IF(WEEKDAY(Y$6,1)=1,0,MIN(10,Y153)*Y152)),MAX(0,40*MAX(1,Y152)-(0))))</f>
        <v>0</v>
      </c>
      <c r="Z154" s="63">
        <f>IF(AND(Z152=0,Z153=0),0,MIN(IF(Z152&lt;=0,0,IF(WEEKDAY(Z$6,1)=1,0,MIN(10,Z153)*Z152)),MAX(0,40*MAX(1,Z152)-(Y154))))</f>
        <v>0</v>
      </c>
      <c r="AA154" s="63">
        <f>IF(AND(AA152=0,AA153=0),0,MIN(IF(AA152&lt;=0,0,IF(WEEKDAY(AA$6,1)=1,0,MIN(10,AA153)*AA152)),MAX(0,40*MAX(1,AA152)-(Y154+Z154))))</f>
        <v>0</v>
      </c>
      <c r="AB154" s="63">
        <f>IF(AND(AB152=0,AB153=0),0,MIN(IF(AB152&lt;=0,0,IF(WEEKDAY(AB$6,1)=1,0,MIN(10,AB153)*AB152)),MAX(0,40*MAX(1,AB152)-(Y154+Z154+AA154))))</f>
        <v>0</v>
      </c>
      <c r="AC154" s="63">
        <f>IF(AND(AC152=0,AC153=0),0,MIN(IF(AC152&lt;=0,0,IF(WEEKDAY(AC$6,1)=1,0,MIN(10,AC153)*AC152)),MAX(0,40*MAX(1,AC152)-(Y154+Z154+AA154+AB154))))</f>
        <v>0</v>
      </c>
      <c r="AD154" s="64">
        <f>IF(AND(AD152=0,AD153=0),0,MIN(IF(AD152&lt;=0,0,IF(WEEKDAY(AD$6,1)=1,0,MIN(10,AD153)*AD152)),MAX(0,40*MAX(1,AD152)-(Y154+Z154+AA154+AB154+AC154))))</f>
        <v>0</v>
      </c>
      <c r="AE154" s="64">
        <f>IF(AND(AE152=0,AE153=0),0,MIN(IF(AE152&lt;=0,0,IF(WEEKDAY(AE$6,1)=1,0,MIN(10,AE153)*AE152)),MAX(0,40*MAX(1,AE152)-(Y154+Z154+AA154+AB154+AC154+AD154))))</f>
        <v>0</v>
      </c>
      <c r="AF154" s="63">
        <f>IF(AND(AF152=0,AF153=0),0,MIN(IF(AF152&lt;=0,0,IF(WEEKDAY(AF$6,1)=1,0,MIN(10,AF153)*AF152)),MAX(0,40*MAX(1,AF152)-(0))))</f>
        <v>0</v>
      </c>
      <c r="AG154" s="63">
        <f>IF(AND(AG152=0,AG153=0),0,MIN(IF(AG152&lt;=0,0,IF(WEEKDAY(AG$6,1)=1,0,MIN(10,AG153)*AG152)),MAX(0,40*MAX(1,AG152)-(AF154))))</f>
        <v>0</v>
      </c>
      <c r="AH154" s="63">
        <f>IF(AND(AH152=0,AH153=0),0,MIN(IF(AH152&lt;=0,0,IF(WEEKDAY(AH$6,1)=1,0,MIN(10,AH153)*AH152)),MAX(0,40*MAX(1,AH152)-(AF154+AG154))))</f>
        <v>0</v>
      </c>
      <c r="AI154" s="63">
        <f>IF(AND(AI152=0,AI153=0),0,MIN(IF(AI152&lt;=0,0,IF(WEEKDAY(AI$6,1)=1,0,MIN(10,AI153)*AI152)),MAX(0,40*MAX(1,AI152)-(AF154+AG154+AH154))))</f>
        <v>0</v>
      </c>
      <c r="AJ154" s="63">
        <f>IF(AND(AJ152=0,AJ153=0),0,MIN(IF(AJ152&lt;=0,0,IF(WEEKDAY(AJ$6,1)=1,0,MIN(10,AJ153)*AJ152)),MAX(0,40*MAX(1,AJ152)-(AF154+AG154+AH154+AI154))))</f>
        <v>0</v>
      </c>
      <c r="AK154" s="64">
        <f>IF(AND(AK152=0,AK153=0),0,MIN(IF(AK152&lt;=0,0,IF(WEEKDAY(AK$6,1)=1,0,MIN(10,AK153)*AK152)),MAX(0,40*MAX(1,AK152)-(AF154+AG154+AH154+AI154+AJ154))))</f>
        <v>0</v>
      </c>
      <c r="AL154" s="64">
        <f>IF(AND(AL152=0,AL153=0),0,MIN(IF(AL152&lt;=0,0,IF(WEEKDAY(AL$6,1)=1,0,MIN(10,AL153)*AL152)),MAX(0,40*MAX(1,AL152)-(AF154+AG154+AH154+AI154+AJ154+AK154))))</f>
        <v>0</v>
      </c>
      <c r="AM154" s="63">
        <f>IF(AND(AM152=0,AM153=0),0,MIN(IF(AM152&lt;=0,0,IF(WEEKDAY(AM$6,1)=1,0,MIN(10,AM153)*AM152)),MAX(0,40*MAX(1,AM152)-(0))))</f>
        <v>0</v>
      </c>
      <c r="AN154" s="63">
        <f>IF(AND(AN152=0,AN153=0),0,MIN(IF(AN152&lt;=0,0,IF(WEEKDAY(AN$6,1)=1,0,MIN(10,AN153)*AN152)),MAX(0,40*MAX(1,AN152)-(AM154))))</f>
        <v>0</v>
      </c>
      <c r="AO154" s="63">
        <f>IF(AND(AO152=0,AO153=0),0,MIN(IF(AO152&lt;=0,0,IF(WEEKDAY(AO$6,1)=1,0,MIN(10,AO153)*AO152)),MAX(0,40*MAX(1,AO152)-(AM154+AN154))))</f>
        <v>0</v>
      </c>
      <c r="AP154" s="63">
        <f>IF(AND(AP152=0,AP153=0),0,MIN(IF(AP152&lt;=0,0,IF(WEEKDAY(AP$6,1)=1,0,MIN(10,AP153)*AP152)),MAX(0,40*MAX(1,AP152)-(AM154+AN154+AO154))))</f>
        <v>0</v>
      </c>
      <c r="AQ154" s="63">
        <f>IF(AND(AQ152=0,AQ153=0),0,MIN(IF(AQ152&lt;=0,0,IF(WEEKDAY(AQ$6,1)=1,0,MIN(10,AQ153)*AQ152)),MAX(0,40*MAX(1,AQ152)-(AM154+AN154+AO154+AP154))))</f>
        <v>0</v>
      </c>
      <c r="AR154" s="64">
        <f>IF(AND(AR152=0,AR153=0),0,MIN(IF(AR152&lt;=0,0,IF(WEEKDAY(AR$6,1)=1,0,MIN(10,AR153)*AR152)),MAX(0,40*MAX(1,AR152)-(AM154+AN154+AO154+AP154+AQ154))))</f>
        <v>0</v>
      </c>
      <c r="AS154" s="64">
        <f>IF(AND(AS152=0,AS153=0),0,MIN(IF(AS152&lt;=0,0,IF(WEEKDAY(AS$6,1)=1,0,MIN(10,AS153)*AS152)),MAX(0,40*MAX(1,AS152)-(AM154+AN154+AO154+AP154+AQ154+AR154))))</f>
        <v>0</v>
      </c>
      <c r="AT154" s="63">
        <f>IF(AND(AT152=0,AT153=0),0,MIN(IF(AT152&lt;=0,0,IF(WEEKDAY(AT$6,1)=1,0,MIN(10,AT153)*AT152)),MAX(0,40*MAX(1,AT152)-(0))))</f>
        <v>0</v>
      </c>
      <c r="AU154" s="63">
        <f>IF(AND(AU152=0,AU153=0),0,MIN(IF(AU152&lt;=0,0,IF(WEEKDAY(AU$6,1)=1,0,MIN(10,AU153)*AU152)),MAX(0,40*MAX(1,AU152)-(AT154))))</f>
        <v>0</v>
      </c>
      <c r="AV154" s="63">
        <f>IF(AND(AV152=0,AV153=0),0,MIN(IF(AV152&lt;=0,0,IF(WEEKDAY(AV$6,1)=1,0,MIN(10,AV153)*AV152)),MAX(0,40*MAX(1,AV152)-(AT154+AU154))))</f>
        <v>0</v>
      </c>
      <c r="AW154" s="63">
        <f>IF(AND(AW152=0,AW153=0),0,MIN(IF(AW152&lt;=0,0,IF(WEEKDAY(AW$6,1)=1,0,MIN(10,AW153)*AW152)),MAX(0,40*MAX(1,AW152)-(AT154+AU154+AV154))))</f>
        <v>0</v>
      </c>
      <c r="AX154" s="63">
        <f>IF(AND(AX152=0,AX153=0),0,MIN(IF(AX152&lt;=0,0,IF(WEEKDAY(AX$6,1)=1,0,MIN(10,AX153)*AX152)),MAX(0,40*MAX(1,AX152)-(AT154+AU154+AV154+AW154))))</f>
        <v>0</v>
      </c>
      <c r="AY154" s="64">
        <f>IF(AND(AY152=0,AY153=0),0,MIN(IF(AY152&lt;=0,0,IF(WEEKDAY(AY$6,1)=1,0,MIN(10,AY153)*AY152)),MAX(0,40*MAX(1,AY152)-(AT154+AU154+AV154+AW154+AX154))))</f>
        <v>0</v>
      </c>
      <c r="AZ154" s="64">
        <f>IF(AND(AZ152=0,AZ153=0),0,MIN(IF(AZ152&lt;=0,0,IF(WEEKDAY(AZ$6,1)=1,0,MIN(10,AZ153)*AZ152)),MAX(0,40*MAX(1,AZ152)-(AT154+AU154+AV154+AW154+AX154+AY154))))</f>
        <v>0</v>
      </c>
      <c r="BA154" s="63">
        <f>IF(AND(BA152=0,BA153=0),0,MIN(IF(BA152&lt;=0,0,IF(WEEKDAY(BA$6,1)=1,0,MIN(10,BA153)*BA152)),MAX(0,40*MAX(1,BA152)-(0))))</f>
        <v>0</v>
      </c>
      <c r="BB154" s="63">
        <f>IF(AND(BB152=0,BB153=0),0,MIN(IF(BB152&lt;=0,0,IF(WEEKDAY(BB$6,1)=1,0,MIN(10,BB153)*BB152)),MAX(0,40*MAX(1,BB152)-(BA154))))</f>
        <v>0</v>
      </c>
      <c r="BC154" s="63">
        <f>IF(AND(BC152=0,BC153=0),0,MIN(IF(BC152&lt;=0,0,IF(WEEKDAY(BC$6,1)=1,0,MIN(10,BC153)*BC152)),MAX(0,40*MAX(1,BC152)-(BA154+BB154))))</f>
        <v>0</v>
      </c>
      <c r="BD154" s="63">
        <f>IF(AND(BD152=0,BD153=0),0,MIN(IF(BD152&lt;=0,0,IF(WEEKDAY(BD$6,1)=1,0,MIN(10,BD153)*BD152)),MAX(0,40*MAX(1,BD152)-(BA154+BB154+BC154))))</f>
        <v>0</v>
      </c>
      <c r="BE154" s="63">
        <f>IF(AND(BE152=0,BE153=0),0,MIN(IF(BE152&lt;=0,0,IF(WEEKDAY(BE$6,1)=1,0,MIN(10,BE153)*BE152)),MAX(0,40*MAX(1,BE152)-(BA154+BB154+BC154+BD154))))</f>
        <v>0</v>
      </c>
      <c r="BF154" s="64">
        <f>IF(AND(BF152=0,BF153=0),0,MIN(IF(BF152&lt;=0,0,IF(WEEKDAY(BF$6,1)=1,0,MIN(10,BF153)*BF152)),MAX(0,40*MAX(1,BF152)-(BA154+BB154+BC154+BD154+BE154))))</f>
        <v>0</v>
      </c>
      <c r="BG154" s="64">
        <f>IF(AND(BG152=0,BG153=0),0,MIN(IF(BG152&lt;=0,0,IF(WEEKDAY(BG$6,1)=1,0,MIN(10,BG153)*BG152)),MAX(0,40*MAX(1,BG152)-(BA154+BB154+BC154+BD154+BE154+BF154))))</f>
        <v>0</v>
      </c>
      <c r="BH154" s="63">
        <f>IF(AND(BH152=1,BH153=10),10,MIN(IF(BH152&lt;=0,0,IF(WEEKDAY(BH$6,1)=1,0,MIN(10,BH153)*BH152)),MAX(0,40*MAX(1,BH152)-(0))))</f>
        <v>10</v>
      </c>
      <c r="BI154" s="63">
        <f>IF(AND(BI152=1,BI153=10),10,MIN(IF(BI152&lt;=0,0,IF(WEEKDAY(BI$6,1)=1,0,MIN(10,BI153)*BI152)),MAX(0,40*MAX(1,BI152)-(BH154))))</f>
        <v>10</v>
      </c>
      <c r="BJ154" s="63">
        <f>IF(AND(BJ152=1,BJ153=10),10,MIN(IF(BJ152&lt;=0,0,IF(WEEKDAY(BJ$6,1)=1,0,MIN(10,BJ153)*BJ152)),MAX(0,40*MAX(1,BJ152)-(BH154+BI154))))</f>
        <v>10</v>
      </c>
      <c r="BK154" s="63">
        <f>IF(AND(BK152=1,BK153=10),10,MIN(IF(BK152&lt;=0,0,IF(WEEKDAY(BK$6,1)=1,0,MIN(10,BK153)*BK152)),MAX(0,40*MAX(1,BK152)-(BH154+BI154+BJ154))))</f>
        <v>10</v>
      </c>
      <c r="BL154" s="63">
        <f>IF(AND(BL152=1,BL153=10),0,MIN(IF(BL152&lt;=0,0,IF(WEEKDAY(BL$6,1)=1,0,MIN(10,BL153)*BL152)),MAX(0,40*MAX(1,BL152)-(BH154+BI154+BJ154+BK154))))</f>
        <v>0</v>
      </c>
      <c r="BM154" s="64">
        <f>IF(AND(BM152=1,BM153=10),0,MIN(IF(BM152&lt;=0,0,IF(WEEKDAY(BM$6,1)=1,0,MIN(10,BM153)*BM152)),MAX(0,40*MAX(1,BM152)-(BH154+BI154+BJ154+BK154+BL154))))</f>
        <v>0</v>
      </c>
      <c r="BN154" s="64">
        <f>IF(AND(BN152=1,BN153=10),0,MIN(IF(BN152&lt;=0,0,IF(WEEKDAY(BN$6,1)=1,0,MIN(10,BN153)*BN152)),MAX(0,40*MAX(1,BN152)-(BH154+BI154+BJ154+BK154+BL154+BM154))))</f>
        <v>0</v>
      </c>
      <c r="BO154" s="63">
        <f>IF(AND(BO152=1,BO153=10),10,MIN(IF(BO152&lt;=0,0,IF(WEEKDAY(BO$6,1)=1,0,MIN(10,BO153)*BO152)),MAX(0,40*MAX(1,BO152)-(0))))</f>
        <v>10</v>
      </c>
      <c r="BP154" s="63">
        <f>IF(AND(BP152=1,BP153=10),10,MIN(IF(BP152&lt;=0,0,IF(WEEKDAY(BP$6,1)=1,0,MIN(10,BP153)*BP152)),MAX(0,40*MAX(1,BP152)-(BO154))))</f>
        <v>10</v>
      </c>
      <c r="BQ154" s="63">
        <f>IF(AND(BQ152=1,BQ153=10),10,MIN(IF(BQ152&lt;=0,0,IF(WEEKDAY(BQ$6,1)=1,0,MIN(10,BQ153)*BQ152)),MAX(0,40*MAX(1,BQ152)-(BO154+BP154))))</f>
        <v>10</v>
      </c>
      <c r="BR154" s="63">
        <f>IF(AND(BR152=1,BR153=10),10,MIN(IF(BR152&lt;=0,0,IF(WEEKDAY(BR$6,1)=1,0,MIN(10,BR153)*BR152)),MAX(0,40*MAX(1,BR152)-(0))))</f>
        <v>10</v>
      </c>
      <c r="BS154" s="63">
        <f>IF(AND(BS152=1,BS153=10),10,MIN(IF(BS152&lt;=0,0,IF(WEEKDAY(BS$6,1)=1,0,MIN(10,BS153)*BS152)),MAX(0,40*MAX(1,BS152)-(BR154))))</f>
        <v>10</v>
      </c>
      <c r="BT154" s="64">
        <f>IF(AND(BT152=1,BT153=10),10,MIN(IF(BT152&lt;=0,0,IF(WEEKDAY(BT$6,1)=1,0,MIN(10,BT153)*BT152)),MAX(0,40*MAX(1,BT152)-(BR154+BS154))))</f>
        <v>10</v>
      </c>
      <c r="BU154" s="64">
        <f>IF(AND(BU152=0,BU153=0),0,MIN(IF(BU152&lt;=0,0,IF(WEEKDAY(BU$6,1)=1,0,MIN(10,BU153)*BU152)),MAX(0,40*MAX(1,BU152)-(0))))</f>
        <v>0</v>
      </c>
      <c r="BV154" s="63">
        <f>IF(AND(BV152=1,BV153=10),10,MIN(IF(BV152&lt;=0,0,IF(WEEKDAY(BV$6,1)=1,0,MIN(10,BV153)*BV152)),MAX(0,40*MAX(1,BV152)-(0))))</f>
        <v>10</v>
      </c>
      <c r="BW154" s="63">
        <f>IF(AND(BW152=1,BW153=10),10,MIN(IF(BW152&lt;=0,0,IF(WEEKDAY(BW$6,1)=1,0,MIN(10,BW153)*BW152)),MAX(0,40*MAX(1,BW152)-(BV154))))</f>
        <v>10</v>
      </c>
      <c r="BX154" s="63">
        <f>IF(AND(BX152=1,BX153=10),10,MIN(IF(BX152&lt;=0,0,IF(WEEKDAY(BX$6,1)=1,0,MIN(10,BX153)*BX152)),MAX(0,40*MAX(1,BX152)-(BV154+BW154))))</f>
        <v>10</v>
      </c>
      <c r="BY154" s="63">
        <f>IF(AND(BY152=1,BY153=10),10,MIN(IF(BY152&lt;=0,0,IF(WEEKDAY(BY$6,1)=1,0,MIN(10,BY153)*BY152)),MAX(0,40*MAX(1,BY152)-(BV154+BW154+BX154))))</f>
        <v>10</v>
      </c>
      <c r="BZ154" s="63">
        <f>IF(AND(BZ152=1,BZ153=10),0,MIN(IF(BZ152&lt;=0,0,IF(WEEKDAY(BZ$6,1)=1,0,MIN(10,BZ153)*BZ152)),MAX(0,40*MAX(1,BZ152)-(BV154+BW154+BX154+BY154))))</f>
        <v>0</v>
      </c>
      <c r="CA154" s="64">
        <f>IF(AND(CA152=1,CA153=10),0,MIN(IF(CA152&lt;=0,0,IF(WEEKDAY(CA$6,1)=1,0,MIN(10,CA153)*CA152)),MAX(0,40*MAX(1,CA152)-(BV154+BW154+BX154+BY154+BZ154))))</f>
        <v>0</v>
      </c>
      <c r="CB154" s="64">
        <f>IF(AND(CB152=0,CB153=0),0,MIN(IF(CB152&lt;=0,0,IF(WEEKDAY(CB$6,1)=1,0,MIN(10,CB153)*CB152)),MAX(0,40*MAX(1,CB152)-(0))))</f>
        <v>0</v>
      </c>
      <c r="CC154" s="63">
        <f>IF(AND(CC152=1,CC153=10),10,MIN(IF(CC152&lt;=0,0,IF(WEEKDAY(CC$6,1)=1,0,MIN(10,CC153)*CC152)),MAX(0,40*MAX(1,CC152)-(0))))</f>
        <v>10</v>
      </c>
      <c r="CD154" s="63">
        <f>IF(AND(CD152=1,CD153=10),10,MIN(IF(CD152&lt;=0,0,IF(WEEKDAY(CD$6,1)=1,0,MIN(10,CD153)*CD152)),MAX(0,40*MAX(1,CD152)-(CC154))))</f>
        <v>10</v>
      </c>
      <c r="CE154" s="63">
        <f>IF(AND(CE152=1,CE153=10),10,MIN(IF(CE152&lt;=0,0,IF(WEEKDAY(CE$6,1)=1,0,MIN(10,CE153)*CE152)),MAX(0,40*MAX(1,CE152)-(CC154+CD154))))</f>
        <v>10</v>
      </c>
      <c r="CF154" s="63">
        <f>IF(AND(CF152=1,CF153=10),10,MIN(IF(CF152&lt;=0,0,IF(WEEKDAY(CF$6,1)=1,0,MIN(10,CF153)*CF152)),MAX(0,40*MAX(1,CF152)-(CC154+CD154+CE154))))</f>
        <v>10</v>
      </c>
      <c r="CG154" s="63">
        <f>IF(AND(CG152=1,CG153=10),0,MIN(IF(CG152&lt;=0,0,IF(WEEKDAY(CG$6,1)=1,0,MIN(10,CG153)*CG152)),MAX(0,40*MAX(1,CG152)-(CC154+CD154+CE154+CF154))))</f>
        <v>0</v>
      </c>
      <c r="CH154" s="64">
        <f>IF(AND(CH152=1,CH153=10),0,MIN(IF(CH152&lt;=0,0,IF(WEEKDAY(CH$6,1)=1,0,MIN(10,CH153)*CH152)),MAX(0,40*MAX(1,CH152)-(CC154+CD154+CE154+CF154+CG154))))</f>
        <v>0</v>
      </c>
      <c r="CI154" s="64">
        <f>IF(AND(CI152=0,CI153=0),0,MIN(IF(CI152&lt;=0,0,IF(WEEKDAY(CI$6,1)=1,0,MIN(10,CI153)*CI152)),MAX(0,40*MAX(1,CI152)-(0))))</f>
        <v>0</v>
      </c>
      <c r="CJ154" s="63">
        <f>IF(AND(CJ152=1,CJ153=10),10,MIN(IF(CJ152&lt;=0,0,IF(WEEKDAY(CJ$6,1)=1,0,MIN(10,CJ153)*CJ152)),MAX(0,40*MAX(1,CJ152)-(0))))</f>
        <v>10</v>
      </c>
      <c r="CK154" s="63">
        <f>IF(AND(CK152=1,CK153=10),10,MIN(IF(CK152&lt;=0,0,IF(WEEKDAY(CK$6,1)=1,0,MIN(10,CK153)*CK152)),MAX(0,40*MAX(1,CK152)-(CJ154))))</f>
        <v>10</v>
      </c>
      <c r="CL154" s="63">
        <f>IF(AND(CL152=1,CL153=10),10,MIN(IF(CL152&lt;=0,0,IF(WEEKDAY(CL$6,1)=1,0,MIN(10,CL153)*CL152)),MAX(0,40*MAX(1,CL152)-(CJ154+CK154))))</f>
        <v>10</v>
      </c>
      <c r="CM154" s="63">
        <f>IF(AND(CM152=1,CM153=10),10,MIN(IF(CM152&lt;=0,0,IF(WEEKDAY(CM$6,1)=1,0,MIN(10,CM153)*CM152)),MAX(0,40*MAX(1,CM152)-(CJ154+CK154+CL154))))</f>
        <v>10</v>
      </c>
      <c r="CN154" s="63">
        <f>IF(AND(CN152=1,CN153=10),0,MIN(IF(CN152&lt;=0,0,IF(WEEKDAY(CN$6,1)=1,0,MIN(10,CN153)*CN152)),MAX(0,40*MAX(1,CN152)-(CJ154+CK154+CL154+CM154))))</f>
        <v>0</v>
      </c>
      <c r="CO154" s="64">
        <f>IF(AND(CO152=1,CO153=10),0,MIN(IF(CO152&lt;=0,0,IF(WEEKDAY(CO$6,1)=1,0,MIN(10,CO153)*CO152)),MAX(0,40*MAX(1,CO152)-(CJ154+CK154+CL154+CM154+CN154))))</f>
        <v>0</v>
      </c>
      <c r="CP154" s="64">
        <f>IF(AND(CP152=0,CP153=0),0,MIN(IF(CP152&lt;=0,0,IF(WEEKDAY(CP$6,1)=1,0,MIN(10,CP153)*CP152)),MAX(0,40*MAX(1,CP152)-(0))))</f>
        <v>0</v>
      </c>
      <c r="CQ154" s="63">
        <f>IF(AND(CQ152=1,CQ153=10),10,MIN(IF(CQ152&lt;=0,0,IF(WEEKDAY(CQ$6,1)=1,0,MIN(10,CQ153)*CQ152)),MAX(0,40*MAX(1,CQ152)-(0))))</f>
        <v>10</v>
      </c>
      <c r="CR154" s="63">
        <f>IF(AND(CR152=1,CR153=10),10,MIN(IF(CR152&lt;=0,0,IF(WEEKDAY(CR$6,1)=1,0,MIN(10,CR153)*CR152)),MAX(0,40*MAX(1,CR152)-(CQ154))))</f>
        <v>10</v>
      </c>
      <c r="CS154" s="63">
        <f>IF(AND(CS152=1,CS153=10),10,MIN(IF(CS152&lt;=0,0,IF(WEEKDAY(CS$6,1)=1,0,MIN(10,CS153)*CS152)),MAX(0,40*MAX(1,CS152)-(CQ154+CR154))))</f>
        <v>10</v>
      </c>
      <c r="CT154" s="63">
        <f>IF(AND(CT152=1,CT153=10),10,MIN(IF(CT152&lt;=0,0,IF(WEEKDAY(CT$6,1)=1,0,MIN(10,CT153)*CT152)),MAX(0,40*MAX(1,CT152)-(CQ154+CR154+CS154))))</f>
        <v>10</v>
      </c>
      <c r="CU154" s="63">
        <f>IF(AND(CU152=1,CU153=10),0,MIN(IF(CU152&lt;=0,0,IF(WEEKDAY(CU$6,1)=1,0,MIN(10,CU153)*CU152)),MAX(0,40*MAX(1,CU152)-(CQ154+CR154+CS154+CT154))))</f>
        <v>0</v>
      </c>
      <c r="CV154" s="64">
        <f>IF(AND(CV152=1,CV153=10),0,MIN(IF(CV152&lt;=0,0,IF(WEEKDAY(CV$6,1)=1,0,MIN(10,CV153)*CV152)),MAX(0,40*MAX(1,CV152)-(CQ154+CR154+CS154+CT154+CU154))))</f>
        <v>0</v>
      </c>
      <c r="CW154" s="64">
        <f>IF(AND(CW152=0,CW153=0),0,MIN(IF(CW152&lt;=0,0,IF(WEEKDAY(CW$6,1)=1,0,MIN(10,CW153)*CW152)),MAX(0,40*MAX(1,CW152)-(0))))</f>
        <v>0</v>
      </c>
      <c r="CX154" s="63">
        <f>IF(AND(CX152=1,CX153=10),10,MIN(IF(CX152&lt;=0,0,IF(WEEKDAY(CX$6,1)=1,0,MIN(10,CX153)*CX152)),MAX(0,40*MAX(1,CX152)-(0))))</f>
        <v>10</v>
      </c>
      <c r="CY154" s="63">
        <f>IF(AND(CY152=1,CY153=10),10,MIN(IF(CY152&lt;=0,0,IF(WEEKDAY(CY$6,1)=1,0,MIN(10,CY153)*CY152)),MAX(0,40*MAX(1,CY152)-(CX154))))</f>
        <v>10</v>
      </c>
      <c r="CZ154" s="63">
        <f>IF(AND(CZ152=1,CZ153=10),10,MIN(IF(CZ152&lt;=0,0,IF(WEEKDAY(CZ$6,1)=1,0,MIN(10,CZ153)*CZ152)),MAX(0,40*MAX(1,CZ152)-(CX154+CY154))))</f>
        <v>10</v>
      </c>
      <c r="DA154" s="63">
        <f>IF(AND(DA152=1,DA153=10),10,MIN(IF(DA152&lt;=0,0,IF(WEEKDAY(DA$6,1)=1,0,MIN(10,DA153)*DA152)),MAX(0,40*MAX(1,DA152)-(CX154+CY154+CZ154))))</f>
        <v>10</v>
      </c>
      <c r="DB154" s="63">
        <f>IF(AND(DB152=1,DB153=10),0,MIN(IF(DB152&lt;=0,0,IF(WEEKDAY(DB$6,1)=1,0,MIN(10,DB153)*DB152)),MAX(0,40*MAX(1,DB152)-(CX154+CY154+CZ154+DA154))))</f>
        <v>0</v>
      </c>
      <c r="DC154" s="64">
        <f>IF(AND(DC152=1,DC153=10),0,MIN(IF(DC152&lt;=0,0,IF(WEEKDAY(DC$6,1)=1,0,MIN(10,DC153)*DC152)),MAX(0,40*MAX(1,DC152)-(CX154+CY154+CZ154+DA154+DB154))))</f>
        <v>0</v>
      </c>
      <c r="DD154" s="64">
        <f>IF(AND(DD152=0,DD153=0),0,MIN(IF(DD152&lt;=0,0,IF(WEEKDAY(DD$6,1)=1,0,MIN(10,DD153)*DD152)),MAX(0,40*MAX(1,DD152)-(0))))</f>
        <v>0</v>
      </c>
      <c r="DE154" s="63">
        <f>IF(AND(DE152=1,DE153=10),10,MIN(IF(DE152&lt;=0,0,IF(WEEKDAY(DE$6,1)=1,0,MIN(10,DE153)*DE152)),MAX(0,40*MAX(1,DE152)-(0))))</f>
        <v>10</v>
      </c>
      <c r="DF154" s="63">
        <f>IF(AND(DF152=1,DF153=10),10,MIN(IF(DF152&lt;=0,0,IF(WEEKDAY(DF$6,1)=1,0,MIN(10,DF153)*DF152)),MAX(0,40*MAX(1,DF152)-(DE154))))</f>
        <v>10</v>
      </c>
      <c r="DG154" s="63">
        <f>IF(AND(DG152=1,DG153=10),10,MIN(IF(DG152&lt;=0,0,IF(WEEKDAY(DG$6,1)=1,0,MIN(10,DG153)*DG152)),MAX(0,40*MAX(1,DG152)-(DE154+DF154))))</f>
        <v>10</v>
      </c>
      <c r="DH154" s="63">
        <f>IF(AND(DH152=1,DH153=10),10,MIN(IF(DH152&lt;=0,0,IF(WEEKDAY(DH$6,1)=1,0,MIN(10,DH153)*DH152)),MAX(0,40*MAX(1,DH152)-(DE154+DF154+DG154))))</f>
        <v>10</v>
      </c>
      <c r="DI154" s="63">
        <f>IF(AND(DI152=1,DI153=10),0,MIN(IF(DI152&lt;=0,0,IF(WEEKDAY(DI$6,1)=1,0,MIN(10,DI153)*DI152)),MAX(0,40*MAX(1,DI152)-(DE154+DF154+DG154+DH154))))</f>
        <v>0</v>
      </c>
      <c r="DJ154" s="64">
        <f>IF(AND(DJ152=1,DJ153=10),0,MIN(IF(DJ152&lt;=0,0,IF(WEEKDAY(DJ$6,1)=1,0,MIN(10,DJ153)*DJ152)),MAX(0,40*MAX(1,DJ152)-(DE154+DF154+DG154+DH154+DI154))))</f>
        <v>0</v>
      </c>
      <c r="DK154" s="64">
        <f>IF(AND(DK152=0,DK153=0),0,MIN(IF(DK152&lt;=0,0,IF(WEEKDAY(DK$6,1)=1,0,MIN(10,DK153)*DK152)),MAX(0,40*MAX(1,DK152)-(0))))</f>
        <v>0</v>
      </c>
      <c r="DL154" s="63">
        <f>IF(AND(DL152=1,DL153=10),10,MIN(IF(DL152&lt;=0,0,IF(WEEKDAY(DL$6,1)=1,0,MIN(10,DL153)*DL152)),MAX(0,40*MAX(1,DL152)-(0))))</f>
        <v>10</v>
      </c>
      <c r="DM154" s="63">
        <f>IF(AND(DM152=1,DM153=10),10,MIN(IF(DM152&lt;=0,0,IF(WEEKDAY(DM$6,1)=1,0,MIN(10,DM153)*DM152)),MAX(0,40*MAX(1,DM152)-(DL154))))</f>
        <v>10</v>
      </c>
      <c r="DN154" s="63">
        <f>IF(AND(DN152=1,DN153=10),10,MIN(IF(DN152&lt;=0,0,IF(WEEKDAY(DN$6,1)=1,0,MIN(10,DN153)*DN152)),MAX(0,40*MAX(1,DN152)-(DL154+DM154))))</f>
        <v>10</v>
      </c>
      <c r="DO154" s="63">
        <f>IF(AND(DO152=1,DO153=10),10,MIN(IF(DO152&lt;=0,0,IF(WEEKDAY(DO$6,1)=1,0,MIN(10,DO153)*DO152)),MAX(0,40*MAX(1,DO152)-(DL154+DM154+DN154))))</f>
        <v>10</v>
      </c>
      <c r="DP154" s="63">
        <f>IF(AND(DP152=1,DP153=10),0,MIN(IF(DP152&lt;=0,0,IF(WEEKDAY(DP$6,1)=1,0,MIN(10,DP153)*DP152)),MAX(0,40*MAX(1,DP152)-(DL154+DM154+DN154+DO154))))</f>
        <v>0</v>
      </c>
      <c r="DQ154" s="64">
        <f>IF(AND(DQ152=1,DQ153=10),0,MIN(IF(DQ152&lt;=0,0,IF(WEEKDAY(DQ$6,1)=1,0,MIN(10,DQ153)*DQ152)),MAX(0,40*MAX(1,DQ152)-(DL154+DM154+DN154+DO154+DP154))))</f>
        <v>0</v>
      </c>
      <c r="DR154" s="64">
        <f>IF(AND(DR152=0,DR153=0),0,MIN(IF(DR152&lt;=0,0,IF(WEEKDAY(DR$6,1)=1,0,MIN(10,DR153)*DR152)),MAX(0,40*MAX(1,DR152)-(0))))</f>
        <v>0</v>
      </c>
      <c r="DS154" s="63">
        <f>IF(AND(DS152=1,DS153=10),10,MIN(IF(DS152&lt;=0,0,IF(WEEKDAY(DS$6,1)=1,0,MIN(10,DS153)*DS152)),MAX(0,40*MAX(1,DS152)-(0))))</f>
        <v>10</v>
      </c>
      <c r="DT154" s="63">
        <f>IF(AND(DT152=0,DT153=0),0,MIN(IF(DT152&lt;=0,0,IF(WEEKDAY(DT$6,1)=1,0,MIN(10,DT153)*DT152)),MAX(0,40*MAX(1,DT152)-(0))))</f>
        <v>0</v>
      </c>
      <c r="DU154" s="63">
        <f>IF(AND(DU152=0,DU153=0),0,MIN(IF(DU152&lt;=0,0,IF(WEEKDAY(DU$6,1)=1,0,MIN(10,DU153)*DU152)),MAX(0,40*MAX(1,DU152)-(DT154))))</f>
        <v>0</v>
      </c>
      <c r="DV154" s="63">
        <f>IF(AND(DV152=0,DV153=0),0,MIN(IF(DV152&lt;=0,0,IF(WEEKDAY(DV$6,1)=1,0,MIN(10,DV153)*DV152)),MAX(0,40*MAX(1,DV152)-(DT154+DU154))))</f>
        <v>0</v>
      </c>
      <c r="DW154" s="63">
        <f>IF(AND(DW152=0,DW153=0),0,MIN(IF(DW152&lt;=0,0,IF(WEEKDAY(DW$6,1)=1,0,MIN(10,DW153)*DW152)),MAX(0,40*MAX(1,DW152)-(DT154+DU154+DV154))))</f>
        <v>0</v>
      </c>
      <c r="DX154" s="64">
        <f>IF(AND(DX152=0,DX153=0),0,MIN(IF(DX152&lt;=0,0,IF(WEEKDAY(DX$6,1)=1,0,MIN(10,DX153)*DX152)),MAX(0,40*MAX(1,DX152)-(DT154+DU154+DV154+DW154))))</f>
        <v>0</v>
      </c>
      <c r="DY154" s="64">
        <f>IF(AND(DY152=0,DY153=0),0,MIN(IF(DY152&lt;=0,0,IF(WEEKDAY(DY$6,1)=1,0,MIN(10,DY153)*DY152)),MAX(0,40*MAX(1,DY152)-(DT154+DU154+DV154+DW154+DX154))))</f>
        <v>0</v>
      </c>
      <c r="DZ154" s="63">
        <f>IF(AND(DZ152=0,DZ153=0),0,MIN(IF(DZ152&lt;=0,0,IF(WEEKDAY(DZ$6,1)=1,0,MIN(10,DZ153)*DZ152)),MAX(0,40*MAX(1,DZ152)-(0))))</f>
        <v>0</v>
      </c>
      <c r="EA154" s="63">
        <f>IF(AND(EA152=0,EA153=0),0,MIN(IF(EA152&lt;=0,0,IF(WEEKDAY(EA$6,1)=1,0,MIN(10,EA153)*EA152)),MAX(0,40*MAX(1,EA152)-(DZ154))))</f>
        <v>0</v>
      </c>
      <c r="EB154" s="63">
        <f>IF(AND(EB152=0,EB153=0),0,MIN(IF(EB152&lt;=0,0,IF(WEEKDAY(EB$6,1)=1,0,MIN(10,EB153)*EB152)),MAX(0,40*MAX(1,EB152)-(DZ154+EA154))))</f>
        <v>0</v>
      </c>
      <c r="EC154" s="63">
        <f>IF(AND(EC152=0,EC153=0),0,MIN(IF(EC152&lt;=0,0,IF(WEEKDAY(EC$6,1)=1,0,MIN(10,EC153)*EC152)),MAX(0,40*MAX(1,EC152)-(DZ154+EA154+EB154))))</f>
        <v>0</v>
      </c>
      <c r="ED154" s="63">
        <f>IF(AND(ED152=0,ED153=0),0,MIN(IF(ED152&lt;=0,0,IF(WEEKDAY(ED$6,1)=1,0,MIN(10,ED153)*ED152)),MAX(0,40*MAX(1,ED152)-(DZ154+EA154+EB154+EC154))))</f>
        <v>0</v>
      </c>
      <c r="EE154" s="64">
        <f>IF(AND(EE152=0,EE153=0),0,MIN(IF(EE152&lt;=0,0,IF(WEEKDAY(EE$6,1)=1,0,MIN(10,EE153)*EE152)),MAX(0,40*MAX(1,EE152)-(DZ154+EA154+EB154+EC154+ED154))))</f>
        <v>0</v>
      </c>
      <c r="EF154" s="64">
        <f>IF(AND(EF152=0,EF153=0),0,MIN(IF(EF152&lt;=0,0,IF(WEEKDAY(EF$6,1)=1,0,MIN(10,EF153)*EF152)),MAX(0,40*MAX(1,EF152)-(DZ154+EA154+EB154+EC154+ED154+EE154))))</f>
        <v>0</v>
      </c>
      <c r="EG154" s="63">
        <f>IF(AND(EG152=0,EG153=0),0,MIN(IF(EG152&lt;=0,0,IF(WEEKDAY(EG$6,1)=1,0,MIN(10,EG153)*EG152)),MAX(0,40*MAX(1,EG152)-(0))))</f>
        <v>0</v>
      </c>
      <c r="EH154" s="63">
        <f>IF(AND(EH152=0,EH153=0),0,MIN(IF(EH152&lt;=0,0,IF(WEEKDAY(EH$6,1)=1,0,MIN(10,EH153)*EH152)),MAX(0,40*MAX(1,EH152)-(EG154))))</f>
        <v>0</v>
      </c>
      <c r="EI154" s="63">
        <f>IF(AND(EI152=0,EI153=0),0,MIN(IF(EI152&lt;=0,0,IF(WEEKDAY(EI$6,1)=1,0,MIN(10,EI153)*EI152)),MAX(0,40*MAX(1,EI152)-(EG154+EH154))))</f>
        <v>0</v>
      </c>
      <c r="EJ154" s="63">
        <f>IF(AND(EJ152=0,EJ153=0),0,MIN(IF(EJ152&lt;=0,0,IF(WEEKDAY(EJ$6,1)=1,0,MIN(10,EJ153)*EJ152)),MAX(0,40*MAX(1,EJ152)-(EG154+EH154+EI154))))</f>
        <v>0</v>
      </c>
      <c r="EK154" s="65">
        <f>IF(AND(EK152=0,EK153=0),0,MIN(IF(EK152&lt;=0,0,IF(WEEKDAY(EK$6,1)=1,0,MIN(10,EK153)*EK152)),MAX(0,40*MAX(1,EK152)-(EG154+EH154+EI154+EJ154))))</f>
        <v>0</v>
      </c>
      <c r="OU154" s="28" t="s">
        <v>95</v>
      </c>
    </row>
    <row r="155" ht="16" customHeight="1" spans="1:411" x14ac:dyDescent="0.25">
      <c r="A155" s="74"/>
      <c r="B155" s="46"/>
      <c r="C155" s="66">
        <f>G151*N(D155)</f>
        <v>15200</v>
      </c>
      <c r="D155" s="66">
        <f>IF(TRIM(B151)="","No rate",IFERROR(INDEX('Rate Tables'!D$7:D$158,MATCH(B151,'Rate Tables'!A$7:A$158,0)),"No rate"))</f>
        <v>95</v>
      </c>
      <c r="E155" s="55" t="s">
        <v>63</v>
      </c>
      <c r="F155" s="49"/>
      <c r="G155" s="49"/>
      <c r="H155" s="49"/>
      <c r="I155" s="49"/>
      <c r="J155" s="50"/>
      <c r="K155" s="62">
        <f>IF(AND(K152=0,K153=0),0,IF(K152&lt;=0,0,IF(WEEKDAY(K$6,1)=1,0,MAX(0,K153-10)*K152))+((IF(K152&lt;=0,0,IF(WEEKDAY(K$6,1)=1,0,MIN(10,K153)*K152)))-MIN(IF(K152&lt;=0,0,IF(WEEKDAY(K$6,1)=1,0,MIN(10,K153)*K152)),MAX(0,40*MAX(1,K152)-(0)))))</f>
        <v>0</v>
      </c>
      <c r="L155" s="63">
        <f>IF(AND(L152=0,L153=0),0,IF(L152&lt;=0,0,IF(WEEKDAY(L$6,1)=1,0,MAX(0,L153-10)*L152))+((IF(L152&lt;=0,0,IF(WEEKDAY(L$6,1)=1,0,MIN(10,L153)*L152)))-MIN(IF(L152&lt;=0,0,IF(WEEKDAY(L$6,1)=1,0,MIN(10,L153)*L152)),MAX(0,40*MAX(1,L152)-(K154)))))</f>
        <v>0</v>
      </c>
      <c r="M155" s="63">
        <f>IF(AND(M152=0,M153=0),0,IF(M152&lt;=0,0,IF(WEEKDAY(M$6,1)=1,0,MAX(0,M153-10)*M152))+((IF(M152&lt;=0,0,IF(WEEKDAY(M$6,1)=1,0,MIN(10,M153)*M152)))-MIN(IF(M152&lt;=0,0,IF(WEEKDAY(M$6,1)=1,0,MIN(10,M153)*M152)),MAX(0,40*MAX(1,M152)-(K154+L154)))))</f>
        <v>0</v>
      </c>
      <c r="N155" s="63">
        <f>IF(AND(N152=0,N153=0),0,IF(N152&lt;=0,0,IF(WEEKDAY(N$6,1)=1,0,MAX(0,N153-10)*N152))+((IF(N152&lt;=0,0,IF(WEEKDAY(N$6,1)=1,0,MIN(10,N153)*N152)))-MIN(IF(N152&lt;=0,0,IF(WEEKDAY(N$6,1)=1,0,MIN(10,N153)*N152)),MAX(0,40*MAX(1,N152)-(K154+L154+M154)))))</f>
        <v>0</v>
      </c>
      <c r="O155" s="63">
        <f>IF(AND(O152=0,O153=0),0,IF(O152&lt;=0,0,IF(WEEKDAY(O$6,1)=1,0,MAX(0,O153-10)*O152))+((IF(O152&lt;=0,0,IF(WEEKDAY(O$6,1)=1,0,MIN(10,O153)*O152)))-MIN(IF(O152&lt;=0,0,IF(WEEKDAY(O$6,1)=1,0,MIN(10,O153)*O152)),MAX(0,40*MAX(1,O152)-(K154+L154+M154+N154)))))</f>
        <v>0</v>
      </c>
      <c r="P155" s="64">
        <f>IF(AND(P152=0,P153=0),0,IF(P152&lt;=0,0,IF(WEEKDAY(P$6,1)=1,0,MAX(0,P153-10)*P152))+((IF(P152&lt;=0,0,IF(WEEKDAY(P$6,1)=1,0,MIN(10,P153)*P152)))-MIN(IF(P152&lt;=0,0,IF(WEEKDAY(P$6,1)=1,0,MIN(10,P153)*P152)),MAX(0,40*MAX(1,P152)-(K154+L154+M154+N154+O154)))))</f>
        <v>0</v>
      </c>
      <c r="Q155" s="64">
        <f>IF(AND(Q152=0,Q153=0),0,IF(Q152&lt;=0,0,IF(WEEKDAY(Q$6,1)=1,0,MAX(0,Q153-10)*Q152))+((IF(Q152&lt;=0,0,IF(WEEKDAY(Q$6,1)=1,0,MIN(10,Q153)*Q152)))-MIN(IF(Q152&lt;=0,0,IF(WEEKDAY(Q$6,1)=1,0,MIN(10,Q153)*Q152)),MAX(0,40*MAX(1,Q152)-(K154+L154+M154+N154+O154+P154)))))</f>
        <v>0</v>
      </c>
      <c r="R155" s="63">
        <f>IF(AND(R152=0,R153=0),0,IF(R152&lt;=0,0,IF(WEEKDAY(R$6,1)=1,0,MAX(0,R153-10)*R152))+((IF(R152&lt;=0,0,IF(WEEKDAY(R$6,1)=1,0,MIN(10,R153)*R152)))-MIN(IF(R152&lt;=0,0,IF(WEEKDAY(R$6,1)=1,0,MIN(10,R153)*R152)),MAX(0,40*MAX(1,R152)-(0)))))</f>
        <v>0</v>
      </c>
      <c r="S155" s="63">
        <f>IF(AND(S152=0,S153=0),0,IF(S152&lt;=0,0,IF(WEEKDAY(S$6,1)=1,0,MAX(0,S153-10)*S152))+((IF(S152&lt;=0,0,IF(WEEKDAY(S$6,1)=1,0,MIN(10,S153)*S152)))-MIN(IF(S152&lt;=0,0,IF(WEEKDAY(S$6,1)=1,0,MIN(10,S153)*S152)),MAX(0,40*MAX(1,S152)-(R154)))))</f>
        <v>0</v>
      </c>
      <c r="T155" s="63">
        <f>IF(AND(T152=0,T153=0),0,IF(T152&lt;=0,0,IF(WEEKDAY(T$6,1)=1,0,MAX(0,T153-10)*T152))+((IF(T152&lt;=0,0,IF(WEEKDAY(T$6,1)=1,0,MIN(10,T153)*T152)))-MIN(IF(T152&lt;=0,0,IF(WEEKDAY(T$6,1)=1,0,MIN(10,T153)*T152)),MAX(0,40*MAX(1,T152)-(R154+S154)))))</f>
        <v>0</v>
      </c>
      <c r="U155" s="63">
        <f>IF(AND(U152=0,U153=0),0,IF(U152&lt;=0,0,IF(WEEKDAY(U$6,1)=1,0,MAX(0,U153-10)*U152))+((IF(U152&lt;=0,0,IF(WEEKDAY(U$6,1)=1,0,MIN(10,U153)*U152)))-MIN(IF(U152&lt;=0,0,IF(WEEKDAY(U$6,1)=1,0,MIN(10,U153)*U152)),MAX(0,40*MAX(1,U152)-(R154+S154+T154)))))</f>
        <v>0</v>
      </c>
      <c r="V155" s="63">
        <f>IF(AND(V152=0,V153=0),0,IF(V152&lt;=0,0,IF(WEEKDAY(V$6,1)=1,0,MAX(0,V153-10)*V152))+((IF(V152&lt;=0,0,IF(WEEKDAY(V$6,1)=1,0,MIN(10,V153)*V152)))-MIN(IF(V152&lt;=0,0,IF(WEEKDAY(V$6,1)=1,0,MIN(10,V153)*V152)),MAX(0,40*MAX(1,V152)-(R154+S154+T154+U154)))))</f>
        <v>0</v>
      </c>
      <c r="W155" s="64">
        <f>IF(AND(W152=0,W153=0),0,IF(W152&lt;=0,0,IF(WEEKDAY(W$6,1)=1,0,MAX(0,W153-10)*W152))+((IF(W152&lt;=0,0,IF(WEEKDAY(W$6,1)=1,0,MIN(10,W153)*W152)))-MIN(IF(W152&lt;=0,0,IF(WEEKDAY(W$6,1)=1,0,MIN(10,W153)*W152)),MAX(0,40*MAX(1,W152)-(R154+S154+T154+U154+V154)))))</f>
        <v>0</v>
      </c>
      <c r="X155" s="64">
        <f>IF(AND(X152=0,X153=0),0,IF(X152&lt;=0,0,IF(WEEKDAY(X$6,1)=1,0,MAX(0,X153-10)*X152))+((IF(X152&lt;=0,0,IF(WEEKDAY(X$6,1)=1,0,MIN(10,X153)*X152)))-MIN(IF(X152&lt;=0,0,IF(WEEKDAY(X$6,1)=1,0,MIN(10,X153)*X152)),MAX(0,40*MAX(1,X152)-(R154+S154+T154+U154+V154+W154)))))</f>
        <v>0</v>
      </c>
      <c r="Y155" s="63">
        <f>IF(AND(Y152=0,Y153=0),0,IF(Y152&lt;=0,0,IF(WEEKDAY(Y$6,1)=1,0,MAX(0,Y153-10)*Y152))+((IF(Y152&lt;=0,0,IF(WEEKDAY(Y$6,1)=1,0,MIN(10,Y153)*Y152)))-MIN(IF(Y152&lt;=0,0,IF(WEEKDAY(Y$6,1)=1,0,MIN(10,Y153)*Y152)),MAX(0,40*MAX(1,Y152)-(0)))))</f>
        <v>0</v>
      </c>
      <c r="Z155" s="63">
        <f>IF(AND(Z152=0,Z153=0),0,IF(Z152&lt;=0,0,IF(WEEKDAY(Z$6,1)=1,0,MAX(0,Z153-10)*Z152))+((IF(Z152&lt;=0,0,IF(WEEKDAY(Z$6,1)=1,0,MIN(10,Z153)*Z152)))-MIN(IF(Z152&lt;=0,0,IF(WEEKDAY(Z$6,1)=1,0,MIN(10,Z153)*Z152)),MAX(0,40*MAX(1,Z152)-(Y154)))))</f>
        <v>0</v>
      </c>
      <c r="AA155" s="63">
        <f>IF(AND(AA152=0,AA153=0),0,IF(AA152&lt;=0,0,IF(WEEKDAY(AA$6,1)=1,0,MAX(0,AA153-10)*AA152))+((IF(AA152&lt;=0,0,IF(WEEKDAY(AA$6,1)=1,0,MIN(10,AA153)*AA152)))-MIN(IF(AA152&lt;=0,0,IF(WEEKDAY(AA$6,1)=1,0,MIN(10,AA153)*AA152)),MAX(0,40*MAX(1,AA152)-(Y154+Z154)))))</f>
        <v>0</v>
      </c>
      <c r="AB155" s="63">
        <f>IF(AND(AB152=0,AB153=0),0,IF(AB152&lt;=0,0,IF(WEEKDAY(AB$6,1)=1,0,MAX(0,AB153-10)*AB152))+((IF(AB152&lt;=0,0,IF(WEEKDAY(AB$6,1)=1,0,MIN(10,AB153)*AB152)))-MIN(IF(AB152&lt;=0,0,IF(WEEKDAY(AB$6,1)=1,0,MIN(10,AB153)*AB152)),MAX(0,40*MAX(1,AB152)-(Y154+Z154+AA154)))))</f>
        <v>0</v>
      </c>
      <c r="AC155" s="63">
        <f>IF(AND(AC152=0,AC153=0),0,IF(AC152&lt;=0,0,IF(WEEKDAY(AC$6,1)=1,0,MAX(0,AC153-10)*AC152))+((IF(AC152&lt;=0,0,IF(WEEKDAY(AC$6,1)=1,0,MIN(10,AC153)*AC152)))-MIN(IF(AC152&lt;=0,0,IF(WEEKDAY(AC$6,1)=1,0,MIN(10,AC153)*AC152)),MAX(0,40*MAX(1,AC152)-(Y154+Z154+AA154+AB154)))))</f>
        <v>0</v>
      </c>
      <c r="AD155" s="64">
        <f>IF(AND(AD152=0,AD153=0),0,IF(AD152&lt;=0,0,IF(WEEKDAY(AD$6,1)=1,0,MAX(0,AD153-10)*AD152))+((IF(AD152&lt;=0,0,IF(WEEKDAY(AD$6,1)=1,0,MIN(10,AD153)*AD152)))-MIN(IF(AD152&lt;=0,0,IF(WEEKDAY(AD$6,1)=1,0,MIN(10,AD153)*AD152)),MAX(0,40*MAX(1,AD152)-(Y154+Z154+AA154+AB154+AC154)))))</f>
        <v>0</v>
      </c>
      <c r="AE155" s="64">
        <f>IF(AND(AE152=0,AE153=0),0,IF(AE152&lt;=0,0,IF(WEEKDAY(AE$6,1)=1,0,MAX(0,AE153-10)*AE152))+((IF(AE152&lt;=0,0,IF(WEEKDAY(AE$6,1)=1,0,MIN(10,AE153)*AE152)))-MIN(IF(AE152&lt;=0,0,IF(WEEKDAY(AE$6,1)=1,0,MIN(10,AE153)*AE152)),MAX(0,40*MAX(1,AE152)-(Y154+Z154+AA154+AB154+AC154+AD154)))))</f>
        <v>0</v>
      </c>
      <c r="AF155" s="63">
        <f>IF(AND(AF152=0,AF153=0),0,IF(AF152&lt;=0,0,IF(WEEKDAY(AF$6,1)=1,0,MAX(0,AF153-10)*AF152))+((IF(AF152&lt;=0,0,IF(WEEKDAY(AF$6,1)=1,0,MIN(10,AF153)*AF152)))-MIN(IF(AF152&lt;=0,0,IF(WEEKDAY(AF$6,1)=1,0,MIN(10,AF153)*AF152)),MAX(0,40*MAX(1,AF152)-(0)))))</f>
        <v>0</v>
      </c>
      <c r="AG155" s="63">
        <f>IF(AND(AG152=0,AG153=0),0,IF(AG152&lt;=0,0,IF(WEEKDAY(AG$6,1)=1,0,MAX(0,AG153-10)*AG152))+((IF(AG152&lt;=0,0,IF(WEEKDAY(AG$6,1)=1,0,MIN(10,AG153)*AG152)))-MIN(IF(AG152&lt;=0,0,IF(WEEKDAY(AG$6,1)=1,0,MIN(10,AG153)*AG152)),MAX(0,40*MAX(1,AG152)-(AF154)))))</f>
        <v>0</v>
      </c>
      <c r="AH155" s="63">
        <f>IF(AND(AH152=0,AH153=0),0,IF(AH152&lt;=0,0,IF(WEEKDAY(AH$6,1)=1,0,MAX(0,AH153-10)*AH152))+((IF(AH152&lt;=0,0,IF(WEEKDAY(AH$6,1)=1,0,MIN(10,AH153)*AH152)))-MIN(IF(AH152&lt;=0,0,IF(WEEKDAY(AH$6,1)=1,0,MIN(10,AH153)*AH152)),MAX(0,40*MAX(1,AH152)-(AF154+AG154)))))</f>
        <v>0</v>
      </c>
      <c r="AI155" s="63">
        <f>IF(AND(AI152=0,AI153=0),0,IF(AI152&lt;=0,0,IF(WEEKDAY(AI$6,1)=1,0,MAX(0,AI153-10)*AI152))+((IF(AI152&lt;=0,0,IF(WEEKDAY(AI$6,1)=1,0,MIN(10,AI153)*AI152)))-MIN(IF(AI152&lt;=0,0,IF(WEEKDAY(AI$6,1)=1,0,MIN(10,AI153)*AI152)),MAX(0,40*MAX(1,AI152)-(AF154+AG154+AH154)))))</f>
        <v>0</v>
      </c>
      <c r="AJ155" s="63">
        <f>IF(AND(AJ152=0,AJ153=0),0,IF(AJ152&lt;=0,0,IF(WEEKDAY(AJ$6,1)=1,0,MAX(0,AJ153-10)*AJ152))+((IF(AJ152&lt;=0,0,IF(WEEKDAY(AJ$6,1)=1,0,MIN(10,AJ153)*AJ152)))-MIN(IF(AJ152&lt;=0,0,IF(WEEKDAY(AJ$6,1)=1,0,MIN(10,AJ153)*AJ152)),MAX(0,40*MAX(1,AJ152)-(AF154+AG154+AH154+AI154)))))</f>
        <v>0</v>
      </c>
      <c r="AK155" s="64">
        <f>IF(AND(AK152=0,AK153=0),0,IF(AK152&lt;=0,0,IF(WEEKDAY(AK$6,1)=1,0,MAX(0,AK153-10)*AK152))+((IF(AK152&lt;=0,0,IF(WEEKDAY(AK$6,1)=1,0,MIN(10,AK153)*AK152)))-MIN(IF(AK152&lt;=0,0,IF(WEEKDAY(AK$6,1)=1,0,MIN(10,AK153)*AK152)),MAX(0,40*MAX(1,AK152)-(AF154+AG154+AH154+AI154+AJ154)))))</f>
        <v>0</v>
      </c>
      <c r="AL155" s="64">
        <f>IF(AND(AL152=0,AL153=0),0,IF(AL152&lt;=0,0,IF(WEEKDAY(AL$6,1)=1,0,MAX(0,AL153-10)*AL152))+((IF(AL152&lt;=0,0,IF(WEEKDAY(AL$6,1)=1,0,MIN(10,AL153)*AL152)))-MIN(IF(AL152&lt;=0,0,IF(WEEKDAY(AL$6,1)=1,0,MIN(10,AL153)*AL152)),MAX(0,40*MAX(1,AL152)-(AF154+AG154+AH154+AI154+AJ154+AK154)))))</f>
        <v>0</v>
      </c>
      <c r="AM155" s="63">
        <f>IF(AND(AM152=0,AM153=0),0,IF(AM152&lt;=0,0,IF(WEEKDAY(AM$6,1)=1,0,MAX(0,AM153-10)*AM152))+((IF(AM152&lt;=0,0,IF(WEEKDAY(AM$6,1)=1,0,MIN(10,AM153)*AM152)))-MIN(IF(AM152&lt;=0,0,IF(WEEKDAY(AM$6,1)=1,0,MIN(10,AM153)*AM152)),MAX(0,40*MAX(1,AM152)-(0)))))</f>
        <v>0</v>
      </c>
      <c r="AN155" s="63">
        <f>IF(AND(AN152=0,AN153=0),0,IF(AN152&lt;=0,0,IF(WEEKDAY(AN$6,1)=1,0,MAX(0,AN153-10)*AN152))+((IF(AN152&lt;=0,0,IF(WEEKDAY(AN$6,1)=1,0,MIN(10,AN153)*AN152)))-MIN(IF(AN152&lt;=0,0,IF(WEEKDAY(AN$6,1)=1,0,MIN(10,AN153)*AN152)),MAX(0,40*MAX(1,AN152)-(AM154)))))</f>
        <v>0</v>
      </c>
      <c r="AO155" s="63">
        <f>IF(AND(AO152=0,AO153=0),0,IF(AO152&lt;=0,0,IF(WEEKDAY(AO$6,1)=1,0,MAX(0,AO153-10)*AO152))+((IF(AO152&lt;=0,0,IF(WEEKDAY(AO$6,1)=1,0,MIN(10,AO153)*AO152)))-MIN(IF(AO152&lt;=0,0,IF(WEEKDAY(AO$6,1)=1,0,MIN(10,AO153)*AO152)),MAX(0,40*MAX(1,AO152)-(AM154+AN154)))))</f>
        <v>0</v>
      </c>
      <c r="AP155" s="63">
        <f>IF(AND(AP152=0,AP153=0),0,IF(AP152&lt;=0,0,IF(WEEKDAY(AP$6,1)=1,0,MAX(0,AP153-10)*AP152))+((IF(AP152&lt;=0,0,IF(WEEKDAY(AP$6,1)=1,0,MIN(10,AP153)*AP152)))-MIN(IF(AP152&lt;=0,0,IF(WEEKDAY(AP$6,1)=1,0,MIN(10,AP153)*AP152)),MAX(0,40*MAX(1,AP152)-(AM154+AN154+AO154)))))</f>
        <v>0</v>
      </c>
      <c r="AQ155" s="63">
        <f>IF(AND(AQ152=0,AQ153=0),0,IF(AQ152&lt;=0,0,IF(WEEKDAY(AQ$6,1)=1,0,MAX(0,AQ153-10)*AQ152))+((IF(AQ152&lt;=0,0,IF(WEEKDAY(AQ$6,1)=1,0,MIN(10,AQ153)*AQ152)))-MIN(IF(AQ152&lt;=0,0,IF(WEEKDAY(AQ$6,1)=1,0,MIN(10,AQ153)*AQ152)),MAX(0,40*MAX(1,AQ152)-(AM154+AN154+AO154+AP154)))))</f>
        <v>0</v>
      </c>
      <c r="AR155" s="64">
        <f>IF(AND(AR152=0,AR153=0),0,IF(AR152&lt;=0,0,IF(WEEKDAY(AR$6,1)=1,0,MAX(0,AR153-10)*AR152))+((IF(AR152&lt;=0,0,IF(WEEKDAY(AR$6,1)=1,0,MIN(10,AR153)*AR152)))-MIN(IF(AR152&lt;=0,0,IF(WEEKDAY(AR$6,1)=1,0,MIN(10,AR153)*AR152)),MAX(0,40*MAX(1,AR152)-(AM154+AN154+AO154+AP154+AQ154)))))</f>
        <v>0</v>
      </c>
      <c r="AS155" s="64">
        <f>IF(AND(AS152=0,AS153=0),0,IF(AS152&lt;=0,0,IF(WEEKDAY(AS$6,1)=1,0,MAX(0,AS153-10)*AS152))+((IF(AS152&lt;=0,0,IF(WEEKDAY(AS$6,1)=1,0,MIN(10,AS153)*AS152)))-MIN(IF(AS152&lt;=0,0,IF(WEEKDAY(AS$6,1)=1,0,MIN(10,AS153)*AS152)),MAX(0,40*MAX(1,AS152)-(AM154+AN154+AO154+AP154+AQ154+AR154)))))</f>
        <v>0</v>
      </c>
      <c r="AT155" s="63">
        <f>IF(AND(AT152=0,AT153=0),0,IF(AT152&lt;=0,0,IF(WEEKDAY(AT$6,1)=1,0,MAX(0,AT153-10)*AT152))+((IF(AT152&lt;=0,0,IF(WEEKDAY(AT$6,1)=1,0,MIN(10,AT153)*AT152)))-MIN(IF(AT152&lt;=0,0,IF(WEEKDAY(AT$6,1)=1,0,MIN(10,AT153)*AT152)),MAX(0,40*MAX(1,AT152)-(0)))))</f>
        <v>0</v>
      </c>
      <c r="AU155" s="63">
        <f>IF(AND(AU152=0,AU153=0),0,IF(AU152&lt;=0,0,IF(WEEKDAY(AU$6,1)=1,0,MAX(0,AU153-10)*AU152))+((IF(AU152&lt;=0,0,IF(WEEKDAY(AU$6,1)=1,0,MIN(10,AU153)*AU152)))-MIN(IF(AU152&lt;=0,0,IF(WEEKDAY(AU$6,1)=1,0,MIN(10,AU153)*AU152)),MAX(0,40*MAX(1,AU152)-(AT154)))))</f>
        <v>0</v>
      </c>
      <c r="AV155" s="63">
        <f>IF(AND(AV152=0,AV153=0),0,IF(AV152&lt;=0,0,IF(WEEKDAY(AV$6,1)=1,0,MAX(0,AV153-10)*AV152))+((IF(AV152&lt;=0,0,IF(WEEKDAY(AV$6,1)=1,0,MIN(10,AV153)*AV152)))-MIN(IF(AV152&lt;=0,0,IF(WEEKDAY(AV$6,1)=1,0,MIN(10,AV153)*AV152)),MAX(0,40*MAX(1,AV152)-(AT154+AU154)))))</f>
        <v>0</v>
      </c>
      <c r="AW155" s="63">
        <f>IF(AND(AW152=0,AW153=0),0,IF(AW152&lt;=0,0,IF(WEEKDAY(AW$6,1)=1,0,MAX(0,AW153-10)*AW152))+((IF(AW152&lt;=0,0,IF(WEEKDAY(AW$6,1)=1,0,MIN(10,AW153)*AW152)))-MIN(IF(AW152&lt;=0,0,IF(WEEKDAY(AW$6,1)=1,0,MIN(10,AW153)*AW152)),MAX(0,40*MAX(1,AW152)-(AT154+AU154+AV154)))))</f>
        <v>0</v>
      </c>
      <c r="AX155" s="63">
        <f>IF(AND(AX152=0,AX153=0),0,IF(AX152&lt;=0,0,IF(WEEKDAY(AX$6,1)=1,0,MAX(0,AX153-10)*AX152))+((IF(AX152&lt;=0,0,IF(WEEKDAY(AX$6,1)=1,0,MIN(10,AX153)*AX152)))-MIN(IF(AX152&lt;=0,0,IF(WEEKDAY(AX$6,1)=1,0,MIN(10,AX153)*AX152)),MAX(0,40*MAX(1,AX152)-(AT154+AU154+AV154+AW154)))))</f>
        <v>0</v>
      </c>
      <c r="AY155" s="64">
        <f>IF(AND(AY152=0,AY153=0),0,IF(AY152&lt;=0,0,IF(WEEKDAY(AY$6,1)=1,0,MAX(0,AY153-10)*AY152))+((IF(AY152&lt;=0,0,IF(WEEKDAY(AY$6,1)=1,0,MIN(10,AY153)*AY152)))-MIN(IF(AY152&lt;=0,0,IF(WEEKDAY(AY$6,1)=1,0,MIN(10,AY153)*AY152)),MAX(0,40*MAX(1,AY152)-(AT154+AU154+AV154+AW154+AX154)))))</f>
        <v>0</v>
      </c>
      <c r="AZ155" s="64">
        <f>IF(AND(AZ152=0,AZ153=0),0,IF(AZ152&lt;=0,0,IF(WEEKDAY(AZ$6,1)=1,0,MAX(0,AZ153-10)*AZ152))+((IF(AZ152&lt;=0,0,IF(WEEKDAY(AZ$6,1)=1,0,MIN(10,AZ153)*AZ152)))-MIN(IF(AZ152&lt;=0,0,IF(WEEKDAY(AZ$6,1)=1,0,MIN(10,AZ153)*AZ152)),MAX(0,40*MAX(1,AZ152)-(AT154+AU154+AV154+AW154+AX154+AY154)))))</f>
        <v>0</v>
      </c>
      <c r="BA155" s="63">
        <f>IF(AND(BA152=0,BA153=0),0,IF(BA152&lt;=0,0,IF(WEEKDAY(BA$6,1)=1,0,MAX(0,BA153-10)*BA152))+((IF(BA152&lt;=0,0,IF(WEEKDAY(BA$6,1)=1,0,MIN(10,BA153)*BA152)))-MIN(IF(BA152&lt;=0,0,IF(WEEKDAY(BA$6,1)=1,0,MIN(10,BA153)*BA152)),MAX(0,40*MAX(1,BA152)-(0)))))</f>
        <v>0</v>
      </c>
      <c r="BB155" s="63">
        <f>IF(AND(BB152=0,BB153=0),0,IF(BB152&lt;=0,0,IF(WEEKDAY(BB$6,1)=1,0,MAX(0,BB153-10)*BB152))+((IF(BB152&lt;=0,0,IF(WEEKDAY(BB$6,1)=1,0,MIN(10,BB153)*BB152)))-MIN(IF(BB152&lt;=0,0,IF(WEEKDAY(BB$6,1)=1,0,MIN(10,BB153)*BB152)),MAX(0,40*MAX(1,BB152)-(BA154)))))</f>
        <v>0</v>
      </c>
      <c r="BC155" s="63">
        <f>IF(AND(BC152=0,BC153=0),0,IF(BC152&lt;=0,0,IF(WEEKDAY(BC$6,1)=1,0,MAX(0,BC153-10)*BC152))+((IF(BC152&lt;=0,0,IF(WEEKDAY(BC$6,1)=1,0,MIN(10,BC153)*BC152)))-MIN(IF(BC152&lt;=0,0,IF(WEEKDAY(BC$6,1)=1,0,MIN(10,BC153)*BC152)),MAX(0,40*MAX(1,BC152)-(BA154+BB154)))))</f>
        <v>0</v>
      </c>
      <c r="BD155" s="63">
        <f>IF(AND(BD152=0,BD153=0),0,IF(BD152&lt;=0,0,IF(WEEKDAY(BD$6,1)=1,0,MAX(0,BD153-10)*BD152))+((IF(BD152&lt;=0,0,IF(WEEKDAY(BD$6,1)=1,0,MIN(10,BD153)*BD152)))-MIN(IF(BD152&lt;=0,0,IF(WEEKDAY(BD$6,1)=1,0,MIN(10,BD153)*BD152)),MAX(0,40*MAX(1,BD152)-(BA154+BB154+BC154)))))</f>
        <v>0</v>
      </c>
      <c r="BE155" s="63">
        <f>IF(AND(BE152=0,BE153=0),0,IF(BE152&lt;=0,0,IF(WEEKDAY(BE$6,1)=1,0,MAX(0,BE153-10)*BE152))+((IF(BE152&lt;=0,0,IF(WEEKDAY(BE$6,1)=1,0,MIN(10,BE153)*BE152)))-MIN(IF(BE152&lt;=0,0,IF(WEEKDAY(BE$6,1)=1,0,MIN(10,BE153)*BE152)),MAX(0,40*MAX(1,BE152)-(BA154+BB154+BC154+BD154)))))</f>
        <v>0</v>
      </c>
      <c r="BF155" s="64">
        <f>IF(AND(BF152=0,BF153=0),0,IF(BF152&lt;=0,0,IF(WEEKDAY(BF$6,1)=1,0,MAX(0,BF153-10)*BF152))+((IF(BF152&lt;=0,0,IF(WEEKDAY(BF$6,1)=1,0,MIN(10,BF153)*BF152)))-MIN(IF(BF152&lt;=0,0,IF(WEEKDAY(BF$6,1)=1,0,MIN(10,BF153)*BF152)),MAX(0,40*MAX(1,BF152)-(BA154+BB154+BC154+BD154+BE154)))))</f>
        <v>0</v>
      </c>
      <c r="BG155" s="64">
        <f>IF(AND(BG152=0,BG153=0),0,IF(BG152&lt;=0,0,IF(WEEKDAY(BG$6,1)=1,0,MAX(0,BG153-10)*BG152))+((IF(BG152&lt;=0,0,IF(WEEKDAY(BG$6,1)=1,0,MIN(10,BG153)*BG152)))-MIN(IF(BG152&lt;=0,0,IF(WEEKDAY(BG$6,1)=1,0,MIN(10,BG153)*BG152)),MAX(0,40*MAX(1,BG152)-(BA154+BB154+BC154+BD154+BE154+BF154)))))</f>
        <v>0</v>
      </c>
      <c r="BH155" s="63">
        <f>IF(AND(BH152=1,BH153=10),0,IF(BH152&lt;=0,0,IF(WEEKDAY(BH$6,1)=1,0,MAX(0,BH153-10)*BH152))+((IF(BH152&lt;=0,0,IF(WEEKDAY(BH$6,1)=1,0,MIN(10,BH153)*BH152)))-MIN(IF(BH152&lt;=0,0,IF(WEEKDAY(BH$6,1)=1,0,MIN(10,BH153)*BH152)),MAX(0,40*MAX(1,BH152)-(0)))))</f>
        <v>0</v>
      </c>
      <c r="BI155" s="63">
        <f>IF(AND(BI152=1,BI153=10),0,IF(BI152&lt;=0,0,IF(WEEKDAY(BI$6,1)=1,0,MAX(0,BI153-10)*BI152))+((IF(BI152&lt;=0,0,IF(WEEKDAY(BI$6,1)=1,0,MIN(10,BI153)*BI152)))-MIN(IF(BI152&lt;=0,0,IF(WEEKDAY(BI$6,1)=1,0,MIN(10,BI153)*BI152)),MAX(0,40*MAX(1,BI152)-(BH154)))))</f>
        <v>0</v>
      </c>
      <c r="BJ155" s="63">
        <f>IF(AND(BJ152=1,BJ153=10),0,IF(BJ152&lt;=0,0,IF(WEEKDAY(BJ$6,1)=1,0,MAX(0,BJ153-10)*BJ152))+((IF(BJ152&lt;=0,0,IF(WEEKDAY(BJ$6,1)=1,0,MIN(10,BJ153)*BJ152)))-MIN(IF(BJ152&lt;=0,0,IF(WEEKDAY(BJ$6,1)=1,0,MIN(10,BJ153)*BJ152)),MAX(0,40*MAX(1,BJ152)-(BH154+BI154)))))</f>
        <v>0</v>
      </c>
      <c r="BK155" s="63">
        <f>IF(AND(BK152=1,BK153=10),0,IF(BK152&lt;=0,0,IF(WEEKDAY(BK$6,1)=1,0,MAX(0,BK153-10)*BK152))+((IF(BK152&lt;=0,0,IF(WEEKDAY(BK$6,1)=1,0,MIN(10,BK153)*BK152)))-MIN(IF(BK152&lt;=0,0,IF(WEEKDAY(BK$6,1)=1,0,MIN(10,BK153)*BK152)),MAX(0,40*MAX(1,BK152)-(BH154+BI154+BJ154)))))</f>
        <v>0</v>
      </c>
      <c r="BL155" s="63">
        <f>IF(AND(BL152=1,BL153=10),10,IF(BL152&lt;=0,0,IF(WEEKDAY(BL$6,1)=1,0,MAX(0,BL153-10)*BL152))+((IF(BL152&lt;=0,0,IF(WEEKDAY(BL$6,1)=1,0,MIN(10,BL153)*BL152)))-MIN(IF(BL152&lt;=0,0,IF(WEEKDAY(BL$6,1)=1,0,MIN(10,BL153)*BL152)),MAX(0,40*MAX(1,BL152)-(BH154+BI154+BJ154+BK154)))))</f>
        <v>10</v>
      </c>
      <c r="BM155" s="64">
        <f>IF(AND(BM152=1,BM153=10),10,IF(BM152&lt;=0,0,IF(WEEKDAY(BM$6,1)=1,0,MAX(0,BM153-10)*BM152))+((IF(BM152&lt;=0,0,IF(WEEKDAY(BM$6,1)=1,0,MIN(10,BM153)*BM152)))-MIN(IF(BM152&lt;=0,0,IF(WEEKDAY(BM$6,1)=1,0,MIN(10,BM153)*BM152)),MAX(0,40*MAX(1,BM152)-(BH154+BI154+BJ154+BK154+BL154)))))</f>
        <v>10</v>
      </c>
      <c r="BN155" s="64">
        <f>IF(AND(BN152=1,BN153=10),0,IF(BN152&lt;=0,0,IF(WEEKDAY(BN$6,1)=1,0,MAX(0,BN153-10)*BN152))+((IF(BN152&lt;=0,0,IF(WEEKDAY(BN$6,1)=1,0,MIN(10,BN153)*BN152)))-MIN(IF(BN152&lt;=0,0,IF(WEEKDAY(BN$6,1)=1,0,MIN(10,BN153)*BN152)),MAX(0,40*MAX(1,BN152)-(BH154+BI154+BJ154+BK154+BL154+BM154)))))</f>
        <v>0</v>
      </c>
      <c r="BO155" s="63">
        <f>IF(AND(BO152=1,BO153=10),0,IF(BO152&lt;=0,0,IF(WEEKDAY(BO$6,1)=1,0,MAX(0,BO153-10)*BO152))+((IF(BO152&lt;=0,0,IF(WEEKDAY(BO$6,1)=1,0,MIN(10,BO153)*BO152)))-MIN(IF(BO152&lt;=0,0,IF(WEEKDAY(BO$6,1)=1,0,MIN(10,BO153)*BO152)),MAX(0,40*MAX(1,BO152)-(0)))))</f>
        <v>0</v>
      </c>
      <c r="BP155" s="63">
        <f>IF(AND(BP152=1,BP153=10),0,IF(BP152&lt;=0,0,IF(WEEKDAY(BP$6,1)=1,0,MAX(0,BP153-10)*BP152))+((IF(BP152&lt;=0,0,IF(WEEKDAY(BP$6,1)=1,0,MIN(10,BP153)*BP152)))-MIN(IF(BP152&lt;=0,0,IF(WEEKDAY(BP$6,1)=1,0,MIN(10,BP153)*BP152)),MAX(0,40*MAX(1,BP152)-(BO154)))))</f>
        <v>0</v>
      </c>
      <c r="BQ155" s="63">
        <f>IF(AND(BQ152=1,BQ153=10),0,IF(BQ152&lt;=0,0,IF(WEEKDAY(BQ$6,1)=1,0,MAX(0,BQ153-10)*BQ152))+((IF(BQ152&lt;=0,0,IF(WEEKDAY(BQ$6,1)=1,0,MIN(10,BQ153)*BQ152)))-MIN(IF(BQ152&lt;=0,0,IF(WEEKDAY(BQ$6,1)=1,0,MIN(10,BQ153)*BQ152)),MAX(0,40*MAX(1,BQ152)-(BO154+BP154)))))</f>
        <v>0</v>
      </c>
      <c r="BR155" s="63">
        <f>IF(AND(BR152=1,BR153=10),0,IF(BR152&lt;=0,0,IF(WEEKDAY(BR$6,1)=1,0,MAX(0,BR153-10)*BR152))+((IF(BR152&lt;=0,0,IF(WEEKDAY(BR$6,1)=1,0,MIN(10,BR153)*BR152)))-MIN(IF(BR152&lt;=0,0,IF(WEEKDAY(BR$6,1)=1,0,MIN(10,BR153)*BR152)),MAX(0,40*MAX(1,BR152)-(0)))))</f>
        <v>0</v>
      </c>
      <c r="BS155" s="63">
        <f>IF(AND(BS152=1,BS153=10),0,IF(BS152&lt;=0,0,IF(WEEKDAY(BS$6,1)=1,0,MAX(0,BS153-10)*BS152))+((IF(BS152&lt;=0,0,IF(WEEKDAY(BS$6,1)=1,0,MIN(10,BS153)*BS152)))-MIN(IF(BS152&lt;=0,0,IF(WEEKDAY(BS$6,1)=1,0,MIN(10,BS153)*BS152)),MAX(0,40*MAX(1,BS152)-(BR154)))))</f>
        <v>0</v>
      </c>
      <c r="BT155" s="64">
        <f>IF(AND(BT152=1,BT153=10),0,IF(BT152&lt;=0,0,IF(WEEKDAY(BT$6,1)=1,0,MAX(0,BT153-10)*BT152))+((IF(BT152&lt;=0,0,IF(WEEKDAY(BT$6,1)=1,0,MIN(10,BT153)*BT152)))-MIN(IF(BT152&lt;=0,0,IF(WEEKDAY(BT$6,1)=1,0,MIN(10,BT153)*BT152)),MAX(0,40*MAX(1,BT152)-(BR154+BS154)))))</f>
        <v>0</v>
      </c>
      <c r="BU155" s="64">
        <f>IF(AND(BU152=0,BU153=0),0,IF(BU152&lt;=0,0,IF(WEEKDAY(BU$6,1)=1,0,MAX(0,BU153-10)*BU152))+((IF(BU152&lt;=0,0,IF(WEEKDAY(BU$6,1)=1,0,MIN(10,BU153)*BU152)))-MIN(IF(BU152&lt;=0,0,IF(WEEKDAY(BU$6,1)=1,0,MIN(10,BU153)*BU152)),MAX(0,40*MAX(1,BU152)-(0)))))</f>
        <v>0</v>
      </c>
      <c r="BV155" s="63">
        <f>IF(AND(BV152=1,BV153=10),0,IF(BV152&lt;=0,0,IF(WEEKDAY(BV$6,1)=1,0,MAX(0,BV153-10)*BV152))+((IF(BV152&lt;=0,0,IF(WEEKDAY(BV$6,1)=1,0,MIN(10,BV153)*BV152)))-MIN(IF(BV152&lt;=0,0,IF(WEEKDAY(BV$6,1)=1,0,MIN(10,BV153)*BV152)),MAX(0,40*MAX(1,BV152)-(0)))))</f>
        <v>0</v>
      </c>
      <c r="BW155" s="63">
        <f>IF(AND(BW152=1,BW153=10),0,IF(BW152&lt;=0,0,IF(WEEKDAY(BW$6,1)=1,0,MAX(0,BW153-10)*BW152))+((IF(BW152&lt;=0,0,IF(WEEKDAY(BW$6,1)=1,0,MIN(10,BW153)*BW152)))-MIN(IF(BW152&lt;=0,0,IF(WEEKDAY(BW$6,1)=1,0,MIN(10,BW153)*BW152)),MAX(0,40*MAX(1,BW152)-(BV154)))))</f>
        <v>0</v>
      </c>
      <c r="BX155" s="63">
        <f>IF(AND(BX152=1,BX153=10),0,IF(BX152&lt;=0,0,IF(WEEKDAY(BX$6,1)=1,0,MAX(0,BX153-10)*BX152))+((IF(BX152&lt;=0,0,IF(WEEKDAY(BX$6,1)=1,0,MIN(10,BX153)*BX152)))-MIN(IF(BX152&lt;=0,0,IF(WEEKDAY(BX$6,1)=1,0,MIN(10,BX153)*BX152)),MAX(0,40*MAX(1,BX152)-(BV154+BW154)))))</f>
        <v>0</v>
      </c>
      <c r="BY155" s="63">
        <f>IF(AND(BY152=1,BY153=10),0,IF(BY152&lt;=0,0,IF(WEEKDAY(BY$6,1)=1,0,MAX(0,BY153-10)*BY152))+((IF(BY152&lt;=0,0,IF(WEEKDAY(BY$6,1)=1,0,MIN(10,BY153)*BY152)))-MIN(IF(BY152&lt;=0,0,IF(WEEKDAY(BY$6,1)=1,0,MIN(10,BY153)*BY152)),MAX(0,40*MAX(1,BY152)-(BV154+BW154+BX154)))))</f>
        <v>0</v>
      </c>
      <c r="BZ155" s="63">
        <f>IF(AND(BZ152=1,BZ153=10),10,IF(BZ152&lt;=0,0,IF(WEEKDAY(BZ$6,1)=1,0,MAX(0,BZ153-10)*BZ152))+((IF(BZ152&lt;=0,0,IF(WEEKDAY(BZ$6,1)=1,0,MIN(10,BZ153)*BZ152)))-MIN(IF(BZ152&lt;=0,0,IF(WEEKDAY(BZ$6,1)=1,0,MIN(10,BZ153)*BZ152)),MAX(0,40*MAX(1,BZ152)-(BV154+BW154+BX154+BY154)))))</f>
        <v>10</v>
      </c>
      <c r="CA155" s="64">
        <f>IF(AND(CA152=1,CA153=10),10,IF(CA152&lt;=0,0,IF(WEEKDAY(CA$6,1)=1,0,MAX(0,CA153-10)*CA152))+((IF(CA152&lt;=0,0,IF(WEEKDAY(CA$6,1)=1,0,MIN(10,CA153)*CA152)))-MIN(IF(CA152&lt;=0,0,IF(WEEKDAY(CA$6,1)=1,0,MIN(10,CA153)*CA152)),MAX(0,40*MAX(1,CA152)-(BV154+BW154+BX154+BY154+BZ154)))))</f>
        <v>10</v>
      </c>
      <c r="CB155" s="64">
        <f>IF(AND(CB152=0,CB153=0),0,IF(CB152&lt;=0,0,IF(WEEKDAY(CB$6,1)=1,0,MAX(0,CB153-10)*CB152))+((IF(CB152&lt;=0,0,IF(WEEKDAY(CB$6,1)=1,0,MIN(10,CB153)*CB152)))-MIN(IF(CB152&lt;=0,0,IF(WEEKDAY(CB$6,1)=1,0,MIN(10,CB153)*CB152)),MAX(0,40*MAX(1,CB152)-(0)))))</f>
        <v>0</v>
      </c>
      <c r="CC155" s="63">
        <f>IF(AND(CC152=1,CC153=10),0,IF(CC152&lt;=0,0,IF(WEEKDAY(CC$6,1)=1,0,MAX(0,CC153-10)*CC152))+((IF(CC152&lt;=0,0,IF(WEEKDAY(CC$6,1)=1,0,MIN(10,CC153)*CC152)))-MIN(IF(CC152&lt;=0,0,IF(WEEKDAY(CC$6,1)=1,0,MIN(10,CC153)*CC152)),MAX(0,40*MAX(1,CC152)-(0)))))</f>
        <v>0</v>
      </c>
      <c r="CD155" s="63">
        <f>IF(AND(CD152=1,CD153=10),0,IF(CD152&lt;=0,0,IF(WEEKDAY(CD$6,1)=1,0,MAX(0,CD153-10)*CD152))+((IF(CD152&lt;=0,0,IF(WEEKDAY(CD$6,1)=1,0,MIN(10,CD153)*CD152)))-MIN(IF(CD152&lt;=0,0,IF(WEEKDAY(CD$6,1)=1,0,MIN(10,CD153)*CD152)),MAX(0,40*MAX(1,CD152)-(CC154)))))</f>
        <v>0</v>
      </c>
      <c r="CE155" s="63">
        <f>IF(AND(CE152=1,CE153=10),0,IF(CE152&lt;=0,0,IF(WEEKDAY(CE$6,1)=1,0,MAX(0,CE153-10)*CE152))+((IF(CE152&lt;=0,0,IF(WEEKDAY(CE$6,1)=1,0,MIN(10,CE153)*CE152)))-MIN(IF(CE152&lt;=0,0,IF(WEEKDAY(CE$6,1)=1,0,MIN(10,CE153)*CE152)),MAX(0,40*MAX(1,CE152)-(CC154+CD154)))))</f>
        <v>0</v>
      </c>
      <c r="CF155" s="63">
        <f>IF(AND(CF152=1,CF153=10),0,IF(CF152&lt;=0,0,IF(WEEKDAY(CF$6,1)=1,0,MAX(0,CF153-10)*CF152))+((IF(CF152&lt;=0,0,IF(WEEKDAY(CF$6,1)=1,0,MIN(10,CF153)*CF152)))-MIN(IF(CF152&lt;=0,0,IF(WEEKDAY(CF$6,1)=1,0,MIN(10,CF153)*CF152)),MAX(0,40*MAX(1,CF152)-(CC154+CD154+CE154)))))</f>
        <v>0</v>
      </c>
      <c r="CG155" s="63">
        <f>IF(AND(CG152=1,CG153=10),10,IF(CG152&lt;=0,0,IF(WEEKDAY(CG$6,1)=1,0,MAX(0,CG153-10)*CG152))+((IF(CG152&lt;=0,0,IF(WEEKDAY(CG$6,1)=1,0,MIN(10,CG153)*CG152)))-MIN(IF(CG152&lt;=0,0,IF(WEEKDAY(CG$6,1)=1,0,MIN(10,CG153)*CG152)),MAX(0,40*MAX(1,CG152)-(CC154+CD154+CE154+CF154)))))</f>
        <v>10</v>
      </c>
      <c r="CH155" s="64">
        <f>IF(AND(CH152=1,CH153=10),10,IF(CH152&lt;=0,0,IF(WEEKDAY(CH$6,1)=1,0,MAX(0,CH153-10)*CH152))+((IF(CH152&lt;=0,0,IF(WEEKDAY(CH$6,1)=1,0,MIN(10,CH153)*CH152)))-MIN(IF(CH152&lt;=0,0,IF(WEEKDAY(CH$6,1)=1,0,MIN(10,CH153)*CH152)),MAX(0,40*MAX(1,CH152)-(CC154+CD154+CE154+CF154+CG154)))))</f>
        <v>10</v>
      </c>
      <c r="CI155" s="64">
        <f>IF(AND(CI152=0,CI153=0),0,IF(CI152&lt;=0,0,IF(WEEKDAY(CI$6,1)=1,0,MAX(0,CI153-10)*CI152))+((IF(CI152&lt;=0,0,IF(WEEKDAY(CI$6,1)=1,0,MIN(10,CI153)*CI152)))-MIN(IF(CI152&lt;=0,0,IF(WEEKDAY(CI$6,1)=1,0,MIN(10,CI153)*CI152)),MAX(0,40*MAX(1,CI152)-(0)))))</f>
        <v>0</v>
      </c>
      <c r="CJ155" s="63">
        <f>IF(AND(CJ152=1,CJ153=10),0,IF(CJ152&lt;=0,0,IF(WEEKDAY(CJ$6,1)=1,0,MAX(0,CJ153-10)*CJ152))+((IF(CJ152&lt;=0,0,IF(WEEKDAY(CJ$6,1)=1,0,MIN(10,CJ153)*CJ152)))-MIN(IF(CJ152&lt;=0,0,IF(WEEKDAY(CJ$6,1)=1,0,MIN(10,CJ153)*CJ152)),MAX(0,40*MAX(1,CJ152)-(0)))))</f>
        <v>0</v>
      </c>
      <c r="CK155" s="63">
        <f>IF(AND(CK152=1,CK153=10),0,IF(CK152&lt;=0,0,IF(WEEKDAY(CK$6,1)=1,0,MAX(0,CK153-10)*CK152))+((IF(CK152&lt;=0,0,IF(WEEKDAY(CK$6,1)=1,0,MIN(10,CK153)*CK152)))-MIN(IF(CK152&lt;=0,0,IF(WEEKDAY(CK$6,1)=1,0,MIN(10,CK153)*CK152)),MAX(0,40*MAX(1,CK152)-(CJ154)))))</f>
        <v>0</v>
      </c>
      <c r="CL155" s="63">
        <f>IF(AND(CL152=1,CL153=10),0,IF(CL152&lt;=0,0,IF(WEEKDAY(CL$6,1)=1,0,MAX(0,CL153-10)*CL152))+((IF(CL152&lt;=0,0,IF(WEEKDAY(CL$6,1)=1,0,MIN(10,CL153)*CL152)))-MIN(IF(CL152&lt;=0,0,IF(WEEKDAY(CL$6,1)=1,0,MIN(10,CL153)*CL152)),MAX(0,40*MAX(1,CL152)-(CJ154+CK154)))))</f>
        <v>0</v>
      </c>
      <c r="CM155" s="63">
        <f>IF(AND(CM152=1,CM153=10),0,IF(CM152&lt;=0,0,IF(WEEKDAY(CM$6,1)=1,0,MAX(0,CM153-10)*CM152))+((IF(CM152&lt;=0,0,IF(WEEKDAY(CM$6,1)=1,0,MIN(10,CM153)*CM152)))-MIN(IF(CM152&lt;=0,0,IF(WEEKDAY(CM$6,1)=1,0,MIN(10,CM153)*CM152)),MAX(0,40*MAX(1,CM152)-(CJ154+CK154+CL154)))))</f>
        <v>0</v>
      </c>
      <c r="CN155" s="63">
        <f>IF(AND(CN152=1,CN153=10),10,IF(CN152&lt;=0,0,IF(WEEKDAY(CN$6,1)=1,0,MAX(0,CN153-10)*CN152))+((IF(CN152&lt;=0,0,IF(WEEKDAY(CN$6,1)=1,0,MIN(10,CN153)*CN152)))-MIN(IF(CN152&lt;=0,0,IF(WEEKDAY(CN$6,1)=1,0,MIN(10,CN153)*CN152)),MAX(0,40*MAX(1,CN152)-(CJ154+CK154+CL154+CM154)))))</f>
        <v>10</v>
      </c>
      <c r="CO155" s="64">
        <f>IF(AND(CO152=1,CO153=10),10,IF(CO152&lt;=0,0,IF(WEEKDAY(CO$6,1)=1,0,MAX(0,CO153-10)*CO152))+((IF(CO152&lt;=0,0,IF(WEEKDAY(CO$6,1)=1,0,MIN(10,CO153)*CO152)))-MIN(IF(CO152&lt;=0,0,IF(WEEKDAY(CO$6,1)=1,0,MIN(10,CO153)*CO152)),MAX(0,40*MAX(1,CO152)-(CJ154+CK154+CL154+CM154+CN154)))))</f>
        <v>10</v>
      </c>
      <c r="CP155" s="64">
        <f>IF(AND(CP152=0,CP153=0),0,IF(CP152&lt;=0,0,IF(WEEKDAY(CP$6,1)=1,0,MAX(0,CP153-10)*CP152))+((IF(CP152&lt;=0,0,IF(WEEKDAY(CP$6,1)=1,0,MIN(10,CP153)*CP152)))-MIN(IF(CP152&lt;=0,0,IF(WEEKDAY(CP$6,1)=1,0,MIN(10,CP153)*CP152)),MAX(0,40*MAX(1,CP152)-(0)))))</f>
        <v>0</v>
      </c>
      <c r="CQ155" s="63">
        <f>IF(AND(CQ152=1,CQ153=10),0,IF(CQ152&lt;=0,0,IF(WEEKDAY(CQ$6,1)=1,0,MAX(0,CQ153-10)*CQ152))+((IF(CQ152&lt;=0,0,IF(WEEKDAY(CQ$6,1)=1,0,MIN(10,CQ153)*CQ152)))-MIN(IF(CQ152&lt;=0,0,IF(WEEKDAY(CQ$6,1)=1,0,MIN(10,CQ153)*CQ152)),MAX(0,40*MAX(1,CQ152)-(0)))))</f>
        <v>0</v>
      </c>
      <c r="CR155" s="63">
        <f>IF(AND(CR152=1,CR153=10),0,IF(CR152&lt;=0,0,IF(WEEKDAY(CR$6,1)=1,0,MAX(0,CR153-10)*CR152))+((IF(CR152&lt;=0,0,IF(WEEKDAY(CR$6,1)=1,0,MIN(10,CR153)*CR152)))-MIN(IF(CR152&lt;=0,0,IF(WEEKDAY(CR$6,1)=1,0,MIN(10,CR153)*CR152)),MAX(0,40*MAX(1,CR152)-(CQ154)))))</f>
        <v>0</v>
      </c>
      <c r="CS155" s="63">
        <f>IF(AND(CS152=1,CS153=10),0,IF(CS152&lt;=0,0,IF(WEEKDAY(CS$6,1)=1,0,MAX(0,CS153-10)*CS152))+((IF(CS152&lt;=0,0,IF(WEEKDAY(CS$6,1)=1,0,MIN(10,CS153)*CS152)))-MIN(IF(CS152&lt;=0,0,IF(WEEKDAY(CS$6,1)=1,0,MIN(10,CS153)*CS152)),MAX(0,40*MAX(1,CS152)-(CQ154+CR154)))))</f>
        <v>0</v>
      </c>
      <c r="CT155" s="63">
        <f>IF(AND(CT152=1,CT153=10),0,IF(CT152&lt;=0,0,IF(WEEKDAY(CT$6,1)=1,0,MAX(0,CT153-10)*CT152))+((IF(CT152&lt;=0,0,IF(WEEKDAY(CT$6,1)=1,0,MIN(10,CT153)*CT152)))-MIN(IF(CT152&lt;=0,0,IF(WEEKDAY(CT$6,1)=1,0,MIN(10,CT153)*CT152)),MAX(0,40*MAX(1,CT152)-(CQ154+CR154+CS154)))))</f>
        <v>0</v>
      </c>
      <c r="CU155" s="63">
        <f>IF(AND(CU152=1,CU153=10),10,IF(CU152&lt;=0,0,IF(WEEKDAY(CU$6,1)=1,0,MAX(0,CU153-10)*CU152))+((IF(CU152&lt;=0,0,IF(WEEKDAY(CU$6,1)=1,0,MIN(10,CU153)*CU152)))-MIN(IF(CU152&lt;=0,0,IF(WEEKDAY(CU$6,1)=1,0,MIN(10,CU153)*CU152)),MAX(0,40*MAX(1,CU152)-(CQ154+CR154+CS154+CT154)))))</f>
        <v>10</v>
      </c>
      <c r="CV155" s="64">
        <f>IF(AND(CV152=1,CV153=10),10,IF(CV152&lt;=0,0,IF(WEEKDAY(CV$6,1)=1,0,MAX(0,CV153-10)*CV152))+((IF(CV152&lt;=0,0,IF(WEEKDAY(CV$6,1)=1,0,MIN(10,CV153)*CV152)))-MIN(IF(CV152&lt;=0,0,IF(WEEKDAY(CV$6,1)=1,0,MIN(10,CV153)*CV152)),MAX(0,40*MAX(1,CV152)-(CQ154+CR154+CS154+CT154+CU154)))))</f>
        <v>10</v>
      </c>
      <c r="CW155" s="64">
        <f>IF(AND(CW152=0,CW153=0),0,IF(CW152&lt;=0,0,IF(WEEKDAY(CW$6,1)=1,0,MAX(0,CW153-10)*CW152))+((IF(CW152&lt;=0,0,IF(WEEKDAY(CW$6,1)=1,0,MIN(10,CW153)*CW152)))-MIN(IF(CW152&lt;=0,0,IF(WEEKDAY(CW$6,1)=1,0,MIN(10,CW153)*CW152)),MAX(0,40*MAX(1,CW152)-(0)))))</f>
        <v>0</v>
      </c>
      <c r="CX155" s="63">
        <f>IF(AND(CX152=1,CX153=10),0,IF(CX152&lt;=0,0,IF(WEEKDAY(CX$6,1)=1,0,MAX(0,CX153-10)*CX152))+((IF(CX152&lt;=0,0,IF(WEEKDAY(CX$6,1)=1,0,MIN(10,CX153)*CX152)))-MIN(IF(CX152&lt;=0,0,IF(WEEKDAY(CX$6,1)=1,0,MIN(10,CX153)*CX152)),MAX(0,40*MAX(1,CX152)-(0)))))</f>
        <v>0</v>
      </c>
      <c r="CY155" s="63">
        <f>IF(AND(CY152=1,CY153=10),0,IF(CY152&lt;=0,0,IF(WEEKDAY(CY$6,1)=1,0,MAX(0,CY153-10)*CY152))+((IF(CY152&lt;=0,0,IF(WEEKDAY(CY$6,1)=1,0,MIN(10,CY153)*CY152)))-MIN(IF(CY152&lt;=0,0,IF(WEEKDAY(CY$6,1)=1,0,MIN(10,CY153)*CY152)),MAX(0,40*MAX(1,CY152)-(CX154)))))</f>
        <v>0</v>
      </c>
      <c r="CZ155" s="63">
        <f>IF(AND(CZ152=1,CZ153=10),0,IF(CZ152&lt;=0,0,IF(WEEKDAY(CZ$6,1)=1,0,MAX(0,CZ153-10)*CZ152))+((IF(CZ152&lt;=0,0,IF(WEEKDAY(CZ$6,1)=1,0,MIN(10,CZ153)*CZ152)))-MIN(IF(CZ152&lt;=0,0,IF(WEEKDAY(CZ$6,1)=1,0,MIN(10,CZ153)*CZ152)),MAX(0,40*MAX(1,CZ152)-(CX154+CY154)))))</f>
        <v>0</v>
      </c>
      <c r="DA155" s="63">
        <f>IF(AND(DA152=1,DA153=10),0,IF(DA152&lt;=0,0,IF(WEEKDAY(DA$6,1)=1,0,MAX(0,DA153-10)*DA152))+((IF(DA152&lt;=0,0,IF(WEEKDAY(DA$6,1)=1,0,MIN(10,DA153)*DA152)))-MIN(IF(DA152&lt;=0,0,IF(WEEKDAY(DA$6,1)=1,0,MIN(10,DA153)*DA152)),MAX(0,40*MAX(1,DA152)-(CX154+CY154+CZ154)))))</f>
        <v>0</v>
      </c>
      <c r="DB155" s="63">
        <f>IF(AND(DB152=1,DB153=10),10,IF(DB152&lt;=0,0,IF(WEEKDAY(DB$6,1)=1,0,MAX(0,DB153-10)*DB152))+((IF(DB152&lt;=0,0,IF(WEEKDAY(DB$6,1)=1,0,MIN(10,DB153)*DB152)))-MIN(IF(DB152&lt;=0,0,IF(WEEKDAY(DB$6,1)=1,0,MIN(10,DB153)*DB152)),MAX(0,40*MAX(1,DB152)-(CX154+CY154+CZ154+DA154)))))</f>
        <v>10</v>
      </c>
      <c r="DC155" s="64">
        <f>IF(AND(DC152=1,DC153=10),10,IF(DC152&lt;=0,0,IF(WEEKDAY(DC$6,1)=1,0,MAX(0,DC153-10)*DC152))+((IF(DC152&lt;=0,0,IF(WEEKDAY(DC$6,1)=1,0,MIN(10,DC153)*DC152)))-MIN(IF(DC152&lt;=0,0,IF(WEEKDAY(DC$6,1)=1,0,MIN(10,DC153)*DC152)),MAX(0,40*MAX(1,DC152)-(CX154+CY154+CZ154+DA154+DB154)))))</f>
        <v>10</v>
      </c>
      <c r="DD155" s="64">
        <f>IF(AND(DD152=0,DD153=0),0,IF(DD152&lt;=0,0,IF(WEEKDAY(DD$6,1)=1,0,MAX(0,DD153-10)*DD152))+((IF(DD152&lt;=0,0,IF(WEEKDAY(DD$6,1)=1,0,MIN(10,DD153)*DD152)))-MIN(IF(DD152&lt;=0,0,IF(WEEKDAY(DD$6,1)=1,0,MIN(10,DD153)*DD152)),MAX(0,40*MAX(1,DD152)-(0)))))</f>
        <v>0</v>
      </c>
      <c r="DE155" s="63">
        <f>IF(AND(DE152=1,DE153=10),0,IF(DE152&lt;=0,0,IF(WEEKDAY(DE$6,1)=1,0,MAX(0,DE153-10)*DE152))+((IF(DE152&lt;=0,0,IF(WEEKDAY(DE$6,1)=1,0,MIN(10,DE153)*DE152)))-MIN(IF(DE152&lt;=0,0,IF(WEEKDAY(DE$6,1)=1,0,MIN(10,DE153)*DE152)),MAX(0,40*MAX(1,DE152)-(0)))))</f>
        <v>0</v>
      </c>
      <c r="DF155" s="63">
        <f>IF(AND(DF152=1,DF153=10),0,IF(DF152&lt;=0,0,IF(WEEKDAY(DF$6,1)=1,0,MAX(0,DF153-10)*DF152))+((IF(DF152&lt;=0,0,IF(WEEKDAY(DF$6,1)=1,0,MIN(10,DF153)*DF152)))-MIN(IF(DF152&lt;=0,0,IF(WEEKDAY(DF$6,1)=1,0,MIN(10,DF153)*DF152)),MAX(0,40*MAX(1,DF152)-(DE154)))))</f>
        <v>0</v>
      </c>
      <c r="DG155" s="63">
        <f>IF(AND(DG152=1,DG153=10),0,IF(DG152&lt;=0,0,IF(WEEKDAY(DG$6,1)=1,0,MAX(0,DG153-10)*DG152))+((IF(DG152&lt;=0,0,IF(WEEKDAY(DG$6,1)=1,0,MIN(10,DG153)*DG152)))-MIN(IF(DG152&lt;=0,0,IF(WEEKDAY(DG$6,1)=1,0,MIN(10,DG153)*DG152)),MAX(0,40*MAX(1,DG152)-(DE154+DF154)))))</f>
        <v>0</v>
      </c>
      <c r="DH155" s="63">
        <f>IF(AND(DH152=1,DH153=10),0,IF(DH152&lt;=0,0,IF(WEEKDAY(DH$6,1)=1,0,MAX(0,DH153-10)*DH152))+((IF(DH152&lt;=0,0,IF(WEEKDAY(DH$6,1)=1,0,MIN(10,DH153)*DH152)))-MIN(IF(DH152&lt;=0,0,IF(WEEKDAY(DH$6,1)=1,0,MIN(10,DH153)*DH152)),MAX(0,40*MAX(1,DH152)-(DE154+DF154+DG154)))))</f>
        <v>0</v>
      </c>
      <c r="DI155" s="63">
        <f>IF(AND(DI152=1,DI153=10),10,IF(DI152&lt;=0,0,IF(WEEKDAY(DI$6,1)=1,0,MAX(0,DI153-10)*DI152))+((IF(DI152&lt;=0,0,IF(WEEKDAY(DI$6,1)=1,0,MIN(10,DI153)*DI152)))-MIN(IF(DI152&lt;=0,0,IF(WEEKDAY(DI$6,1)=1,0,MIN(10,DI153)*DI152)),MAX(0,40*MAX(1,DI152)-(DE154+DF154+DG154+DH154)))))</f>
        <v>10</v>
      </c>
      <c r="DJ155" s="64">
        <f>IF(AND(DJ152=1,DJ153=10),10,IF(DJ152&lt;=0,0,IF(WEEKDAY(DJ$6,1)=1,0,MAX(0,DJ153-10)*DJ152))+((IF(DJ152&lt;=0,0,IF(WEEKDAY(DJ$6,1)=1,0,MIN(10,DJ153)*DJ152)))-MIN(IF(DJ152&lt;=0,0,IF(WEEKDAY(DJ$6,1)=1,0,MIN(10,DJ153)*DJ152)),MAX(0,40*MAX(1,DJ152)-(DE154+DF154+DG154+DH154+DI154)))))</f>
        <v>10</v>
      </c>
      <c r="DK155" s="64">
        <f>IF(AND(DK152=0,DK153=0),0,IF(DK152&lt;=0,0,IF(WEEKDAY(DK$6,1)=1,0,MAX(0,DK153-10)*DK152))+((IF(DK152&lt;=0,0,IF(WEEKDAY(DK$6,1)=1,0,MIN(10,DK153)*DK152)))-MIN(IF(DK152&lt;=0,0,IF(WEEKDAY(DK$6,1)=1,0,MIN(10,DK153)*DK152)),MAX(0,40*MAX(1,DK152)-(0)))))</f>
        <v>0</v>
      </c>
      <c r="DL155" s="63">
        <f>IF(AND(DL152=1,DL153=10),0,IF(DL152&lt;=0,0,IF(WEEKDAY(DL$6,1)=1,0,MAX(0,DL153-10)*DL152))+((IF(DL152&lt;=0,0,IF(WEEKDAY(DL$6,1)=1,0,MIN(10,DL153)*DL152)))-MIN(IF(DL152&lt;=0,0,IF(WEEKDAY(DL$6,1)=1,0,MIN(10,DL153)*DL152)),MAX(0,40*MAX(1,DL152)-(0)))))</f>
        <v>0</v>
      </c>
      <c r="DM155" s="63">
        <f>IF(AND(DM152=1,DM153=10),0,IF(DM152&lt;=0,0,IF(WEEKDAY(DM$6,1)=1,0,MAX(0,DM153-10)*DM152))+((IF(DM152&lt;=0,0,IF(WEEKDAY(DM$6,1)=1,0,MIN(10,DM153)*DM152)))-MIN(IF(DM152&lt;=0,0,IF(WEEKDAY(DM$6,1)=1,0,MIN(10,DM153)*DM152)),MAX(0,40*MAX(1,DM152)-(DL154)))))</f>
        <v>0</v>
      </c>
      <c r="DN155" s="63">
        <f>IF(AND(DN152=1,DN153=10),0,IF(DN152&lt;=0,0,IF(WEEKDAY(DN$6,1)=1,0,MAX(0,DN153-10)*DN152))+((IF(DN152&lt;=0,0,IF(WEEKDAY(DN$6,1)=1,0,MIN(10,DN153)*DN152)))-MIN(IF(DN152&lt;=0,0,IF(WEEKDAY(DN$6,1)=1,0,MIN(10,DN153)*DN152)),MAX(0,40*MAX(1,DN152)-(DL154+DM154)))))</f>
        <v>0</v>
      </c>
      <c r="DO155" s="63">
        <f>IF(AND(DO152=1,DO153=10),0,IF(DO152&lt;=0,0,IF(WEEKDAY(DO$6,1)=1,0,MAX(0,DO153-10)*DO152))+((IF(DO152&lt;=0,0,IF(WEEKDAY(DO$6,1)=1,0,MIN(10,DO153)*DO152)))-MIN(IF(DO152&lt;=0,0,IF(WEEKDAY(DO$6,1)=1,0,MIN(10,DO153)*DO152)),MAX(0,40*MAX(1,DO152)-(DL154+DM154+DN154)))))</f>
        <v>0</v>
      </c>
      <c r="DP155" s="63">
        <f>IF(AND(DP152=1,DP153=10),10,IF(DP152&lt;=0,0,IF(WEEKDAY(DP$6,1)=1,0,MAX(0,DP153-10)*DP152))+((IF(DP152&lt;=0,0,IF(WEEKDAY(DP$6,1)=1,0,MIN(10,DP153)*DP152)))-MIN(IF(DP152&lt;=0,0,IF(WEEKDAY(DP$6,1)=1,0,MIN(10,DP153)*DP152)),MAX(0,40*MAX(1,DP152)-(DL154+DM154+DN154+DO154)))))</f>
        <v>10</v>
      </c>
      <c r="DQ155" s="64">
        <f>IF(AND(DQ152=1,DQ153=10),10,IF(DQ152&lt;=0,0,IF(WEEKDAY(DQ$6,1)=1,0,MAX(0,DQ153-10)*DQ152))+((IF(DQ152&lt;=0,0,IF(WEEKDAY(DQ$6,1)=1,0,MIN(10,DQ153)*DQ152)))-MIN(IF(DQ152&lt;=0,0,IF(WEEKDAY(DQ$6,1)=1,0,MIN(10,DQ153)*DQ152)),MAX(0,40*MAX(1,DQ152)-(DL154+DM154+DN154+DO154+DP154)))))</f>
        <v>10</v>
      </c>
      <c r="DR155" s="64">
        <f>IF(AND(DR152=0,DR153=0),0,IF(DR152&lt;=0,0,IF(WEEKDAY(DR$6,1)=1,0,MAX(0,DR153-10)*DR152))+((IF(DR152&lt;=0,0,IF(WEEKDAY(DR$6,1)=1,0,MIN(10,DR153)*DR152)))-MIN(IF(DR152&lt;=0,0,IF(WEEKDAY(DR$6,1)=1,0,MIN(10,DR153)*DR152)),MAX(0,40*MAX(1,DR152)-(0)))))</f>
        <v>0</v>
      </c>
      <c r="DS155" s="63">
        <f>IF(AND(DS152=1,DS153=10),0,IF(DS152&lt;=0,0,IF(WEEKDAY(DS$6,1)=1,0,MAX(0,DS153-10)*DS152))+((IF(DS152&lt;=0,0,IF(WEEKDAY(DS$6,1)=1,0,MIN(10,DS153)*DS152)))-MIN(IF(DS152&lt;=0,0,IF(WEEKDAY(DS$6,1)=1,0,MIN(10,DS153)*DS152)),MAX(0,40*MAX(1,DS152)-(0)))))</f>
        <v>0</v>
      </c>
      <c r="DT155" s="63">
        <f>IF(AND(DT152=0,DT153=0),0,IF(DT152&lt;=0,0,IF(WEEKDAY(DT$6,1)=1,0,MAX(0,DT153-10)*DT152))+((IF(DT152&lt;=0,0,IF(WEEKDAY(DT$6,1)=1,0,MIN(10,DT153)*DT152)))-MIN(IF(DT152&lt;=0,0,IF(WEEKDAY(DT$6,1)=1,0,MIN(10,DT153)*DT152)),MAX(0,40*MAX(1,DT152)-(0)))))</f>
        <v>0</v>
      </c>
      <c r="DU155" s="63">
        <f>IF(AND(DU152=0,DU153=0),0,IF(DU152&lt;=0,0,IF(WEEKDAY(DU$6,1)=1,0,MAX(0,DU153-10)*DU152))+((IF(DU152&lt;=0,0,IF(WEEKDAY(DU$6,1)=1,0,MIN(10,DU153)*DU152)))-MIN(IF(DU152&lt;=0,0,IF(WEEKDAY(DU$6,1)=1,0,MIN(10,DU153)*DU152)),MAX(0,40*MAX(1,DU152)-(DT154)))))</f>
        <v>0</v>
      </c>
      <c r="DV155" s="63">
        <f>IF(AND(DV152=0,DV153=0),0,IF(DV152&lt;=0,0,IF(WEEKDAY(DV$6,1)=1,0,MAX(0,DV153-10)*DV152))+((IF(DV152&lt;=0,0,IF(WEEKDAY(DV$6,1)=1,0,MIN(10,DV153)*DV152)))-MIN(IF(DV152&lt;=0,0,IF(WEEKDAY(DV$6,1)=1,0,MIN(10,DV153)*DV152)),MAX(0,40*MAX(1,DV152)-(DT154+DU154)))))</f>
        <v>0</v>
      </c>
      <c r="DW155" s="63">
        <f>IF(AND(DW152=0,DW153=0),0,IF(DW152&lt;=0,0,IF(WEEKDAY(DW$6,1)=1,0,MAX(0,DW153-10)*DW152))+((IF(DW152&lt;=0,0,IF(WEEKDAY(DW$6,1)=1,0,MIN(10,DW153)*DW152)))-MIN(IF(DW152&lt;=0,0,IF(WEEKDAY(DW$6,1)=1,0,MIN(10,DW153)*DW152)),MAX(0,40*MAX(1,DW152)-(DT154+DU154+DV154)))))</f>
        <v>0</v>
      </c>
      <c r="DX155" s="64">
        <f>IF(AND(DX152=0,DX153=0),0,IF(DX152&lt;=0,0,IF(WEEKDAY(DX$6,1)=1,0,MAX(0,DX153-10)*DX152))+((IF(DX152&lt;=0,0,IF(WEEKDAY(DX$6,1)=1,0,MIN(10,DX153)*DX152)))-MIN(IF(DX152&lt;=0,0,IF(WEEKDAY(DX$6,1)=1,0,MIN(10,DX153)*DX152)),MAX(0,40*MAX(1,DX152)-(DT154+DU154+DV154+DW154)))))</f>
        <v>0</v>
      </c>
      <c r="DY155" s="64">
        <f>IF(AND(DY152=0,DY153=0),0,IF(DY152&lt;=0,0,IF(WEEKDAY(DY$6,1)=1,0,MAX(0,DY153-10)*DY152))+((IF(DY152&lt;=0,0,IF(WEEKDAY(DY$6,1)=1,0,MIN(10,DY153)*DY152)))-MIN(IF(DY152&lt;=0,0,IF(WEEKDAY(DY$6,1)=1,0,MIN(10,DY153)*DY152)),MAX(0,40*MAX(1,DY152)-(DT154+DU154+DV154+DW154+DX154)))))</f>
        <v>0</v>
      </c>
      <c r="DZ155" s="63">
        <f>IF(AND(DZ152=0,DZ153=0),0,IF(DZ152&lt;=0,0,IF(WEEKDAY(DZ$6,1)=1,0,MAX(0,DZ153-10)*DZ152))+((IF(DZ152&lt;=0,0,IF(WEEKDAY(DZ$6,1)=1,0,MIN(10,DZ153)*DZ152)))-MIN(IF(DZ152&lt;=0,0,IF(WEEKDAY(DZ$6,1)=1,0,MIN(10,DZ153)*DZ152)),MAX(0,40*MAX(1,DZ152)-(0)))))</f>
        <v>0</v>
      </c>
      <c r="EA155" s="63">
        <f>IF(AND(EA152=0,EA153=0),0,IF(EA152&lt;=0,0,IF(WEEKDAY(EA$6,1)=1,0,MAX(0,EA153-10)*EA152))+((IF(EA152&lt;=0,0,IF(WEEKDAY(EA$6,1)=1,0,MIN(10,EA153)*EA152)))-MIN(IF(EA152&lt;=0,0,IF(WEEKDAY(EA$6,1)=1,0,MIN(10,EA153)*EA152)),MAX(0,40*MAX(1,EA152)-(DZ154)))))</f>
        <v>0</v>
      </c>
      <c r="EB155" s="63">
        <f>IF(AND(EB152=0,EB153=0),0,IF(EB152&lt;=0,0,IF(WEEKDAY(EB$6,1)=1,0,MAX(0,EB153-10)*EB152))+((IF(EB152&lt;=0,0,IF(WEEKDAY(EB$6,1)=1,0,MIN(10,EB153)*EB152)))-MIN(IF(EB152&lt;=0,0,IF(WEEKDAY(EB$6,1)=1,0,MIN(10,EB153)*EB152)),MAX(0,40*MAX(1,EB152)-(DZ154+EA154)))))</f>
        <v>0</v>
      </c>
      <c r="EC155" s="63">
        <f>IF(AND(EC152=0,EC153=0),0,IF(EC152&lt;=0,0,IF(WEEKDAY(EC$6,1)=1,0,MAX(0,EC153-10)*EC152))+((IF(EC152&lt;=0,0,IF(WEEKDAY(EC$6,1)=1,0,MIN(10,EC153)*EC152)))-MIN(IF(EC152&lt;=0,0,IF(WEEKDAY(EC$6,1)=1,0,MIN(10,EC153)*EC152)),MAX(0,40*MAX(1,EC152)-(DZ154+EA154+EB154)))))</f>
        <v>0</v>
      </c>
      <c r="ED155" s="63">
        <f>IF(AND(ED152=0,ED153=0),0,IF(ED152&lt;=0,0,IF(WEEKDAY(ED$6,1)=1,0,MAX(0,ED153-10)*ED152))+((IF(ED152&lt;=0,0,IF(WEEKDAY(ED$6,1)=1,0,MIN(10,ED153)*ED152)))-MIN(IF(ED152&lt;=0,0,IF(WEEKDAY(ED$6,1)=1,0,MIN(10,ED153)*ED152)),MAX(0,40*MAX(1,ED152)-(DZ154+EA154+EB154+EC154)))))</f>
        <v>0</v>
      </c>
      <c r="EE155" s="64">
        <f>IF(AND(EE152=0,EE153=0),0,IF(EE152&lt;=0,0,IF(WEEKDAY(EE$6,1)=1,0,MAX(0,EE153-10)*EE152))+((IF(EE152&lt;=0,0,IF(WEEKDAY(EE$6,1)=1,0,MIN(10,EE153)*EE152)))-MIN(IF(EE152&lt;=0,0,IF(WEEKDAY(EE$6,1)=1,0,MIN(10,EE153)*EE152)),MAX(0,40*MAX(1,EE152)-(DZ154+EA154+EB154+EC154+ED154)))))</f>
        <v>0</v>
      </c>
      <c r="EF155" s="64">
        <f>IF(AND(EF152=0,EF153=0),0,IF(EF152&lt;=0,0,IF(WEEKDAY(EF$6,1)=1,0,MAX(0,EF153-10)*EF152))+((IF(EF152&lt;=0,0,IF(WEEKDAY(EF$6,1)=1,0,MIN(10,EF153)*EF152)))-MIN(IF(EF152&lt;=0,0,IF(WEEKDAY(EF$6,1)=1,0,MIN(10,EF153)*EF152)),MAX(0,40*MAX(1,EF152)-(DZ154+EA154+EB154+EC154+ED154+EE154)))))</f>
        <v>0</v>
      </c>
      <c r="EG155" s="63">
        <f>IF(AND(EG152=0,EG153=0),0,IF(EG152&lt;=0,0,IF(WEEKDAY(EG$6,1)=1,0,MAX(0,EG153-10)*EG152))+((IF(EG152&lt;=0,0,IF(WEEKDAY(EG$6,1)=1,0,MIN(10,EG153)*EG152)))-MIN(IF(EG152&lt;=0,0,IF(WEEKDAY(EG$6,1)=1,0,MIN(10,EG153)*EG152)),MAX(0,40*MAX(1,EG152)-(0)))))</f>
        <v>0</v>
      </c>
      <c r="EH155" s="63">
        <f>IF(AND(EH152=0,EH153=0),0,IF(EH152&lt;=0,0,IF(WEEKDAY(EH$6,1)=1,0,MAX(0,EH153-10)*EH152))+((IF(EH152&lt;=0,0,IF(WEEKDAY(EH$6,1)=1,0,MIN(10,EH153)*EH152)))-MIN(IF(EH152&lt;=0,0,IF(WEEKDAY(EH$6,1)=1,0,MIN(10,EH153)*EH152)),MAX(0,40*MAX(1,EH152)-(EG154)))))</f>
        <v>0</v>
      </c>
      <c r="EI155" s="63">
        <f>IF(AND(EI152=0,EI153=0),0,IF(EI152&lt;=0,0,IF(WEEKDAY(EI$6,1)=1,0,MAX(0,EI153-10)*EI152))+((IF(EI152&lt;=0,0,IF(WEEKDAY(EI$6,1)=1,0,MIN(10,EI153)*EI152)))-MIN(IF(EI152&lt;=0,0,IF(WEEKDAY(EI$6,1)=1,0,MIN(10,EI153)*EI152)),MAX(0,40*MAX(1,EI152)-(EG154+EH154)))))</f>
        <v>0</v>
      </c>
      <c r="EJ155" s="63">
        <f>IF(AND(EJ152=0,EJ153=0),0,IF(EJ152&lt;=0,0,IF(WEEKDAY(EJ$6,1)=1,0,MAX(0,EJ153-10)*EJ152))+((IF(EJ152&lt;=0,0,IF(WEEKDAY(EJ$6,1)=1,0,MIN(10,EJ153)*EJ152)))-MIN(IF(EJ152&lt;=0,0,IF(WEEKDAY(EJ$6,1)=1,0,MIN(10,EJ153)*EJ152)),MAX(0,40*MAX(1,EJ152)-(EG154+EH154+EI154)))))</f>
        <v>0</v>
      </c>
      <c r="EK155" s="65">
        <f>IF(AND(EK152=0,EK153=0),0,IF(EK152&lt;=0,0,IF(WEEKDAY(EK$6,1)=1,0,MAX(0,EK153-10)*EK152))+((IF(EK152&lt;=0,0,IF(WEEKDAY(EK$6,1)=1,0,MIN(10,EK153)*EK152)))-MIN(IF(EK152&lt;=0,0,IF(WEEKDAY(EK$6,1)=1,0,MIN(10,EK153)*EK152)),MAX(0,40*MAX(1,EK152)-(EG154+EH154+EI154+EJ154)))))</f>
        <v>0</v>
      </c>
      <c r="OU155" s="28" t="s">
        <v>95</v>
      </c>
    </row>
    <row r="156" ht="16" customHeight="1" spans="1:411" x14ac:dyDescent="0.25">
      <c r="A156" s="74"/>
      <c r="B156" s="46"/>
      <c r="C156" s="61">
        <f>H151*N(D156)</f>
        <v>1175.6999999999998</v>
      </c>
      <c r="D156" s="61">
        <f>IF(TRIM(B151)="","No rate",IFERROR(INDEX('Rate Tables'!E$7:E$158,MATCH(B151,'Rate Tables'!A$7:A$158,0)),"No rate"))</f>
        <v>117.57</v>
      </c>
      <c r="E156" s="55" t="s">
        <v>64</v>
      </c>
      <c r="F156" s="49"/>
      <c r="G156" s="49"/>
      <c r="H156" s="49"/>
      <c r="I156" s="49"/>
      <c r="J156" s="50"/>
      <c r="K156" s="62">
        <f>IF(AND(K152=0,K153=0),0,IF(K152&lt;=0,0,IF(WEEKDAY(K$6,1)=1,K152*K153,0)))</f>
        <v>0</v>
      </c>
      <c r="L156" s="63">
        <f>IF(AND(L152=0,L153=0),0,IF(L152&lt;=0,0,IF(WEEKDAY(L$6,1)=1,L152*L153,0)))</f>
        <v>0</v>
      </c>
      <c r="M156" s="63">
        <f>IF(AND(M152=0,M153=0),0,IF(M152&lt;=0,0,IF(WEEKDAY(M$6,1)=1,M152*M153,0)))</f>
        <v>0</v>
      </c>
      <c r="N156" s="63">
        <f>IF(AND(N152=0,N153=0),0,IF(N152&lt;=0,0,IF(WEEKDAY(N$6,1)=1,N152*N153,0)))</f>
        <v>0</v>
      </c>
      <c r="O156" s="63">
        <f>IF(AND(O152=0,O153=0),0,IF(O152&lt;=0,0,IF(WEEKDAY(O$6,1)=1,O152*O153,0)))</f>
        <v>0</v>
      </c>
      <c r="P156" s="64">
        <f>IF(AND(P152=0,P153=0),0,IF(P152&lt;=0,0,IF(WEEKDAY(P$6,1)=1,P152*P153,0)))</f>
        <v>0</v>
      </c>
      <c r="Q156" s="64">
        <f>IF(AND(Q152=0,Q153=0),0,IF(Q152&lt;=0,0,IF(WEEKDAY(Q$6,1)=1,Q152*Q153,0)))</f>
        <v>0</v>
      </c>
      <c r="R156" s="63">
        <f>IF(AND(R152=0,R153=0),0,IF(R152&lt;=0,0,IF(WEEKDAY(R$6,1)=1,R152*R153,0)))</f>
        <v>0</v>
      </c>
      <c r="S156" s="63">
        <f>IF(AND(S152=0,S153=0),0,IF(S152&lt;=0,0,IF(WEEKDAY(S$6,1)=1,S152*S153,0)))</f>
        <v>0</v>
      </c>
      <c r="T156" s="63">
        <f>IF(AND(T152=0,T153=0),0,IF(T152&lt;=0,0,IF(WEEKDAY(T$6,1)=1,T152*T153,0)))</f>
        <v>0</v>
      </c>
      <c r="U156" s="63">
        <f>IF(AND(U152=0,U153=0),0,IF(U152&lt;=0,0,IF(WEEKDAY(U$6,1)=1,U152*U153,0)))</f>
        <v>0</v>
      </c>
      <c r="V156" s="63">
        <f>IF(AND(V152=0,V153=0),0,IF(V152&lt;=0,0,IF(WEEKDAY(V$6,1)=1,V152*V153,0)))</f>
        <v>0</v>
      </c>
      <c r="W156" s="64">
        <f>IF(AND(W152=0,W153=0),0,IF(W152&lt;=0,0,IF(WEEKDAY(W$6,1)=1,W152*W153,0)))</f>
        <v>0</v>
      </c>
      <c r="X156" s="64">
        <f>IF(AND(X152=0,X153=0),0,IF(X152&lt;=0,0,IF(WEEKDAY(X$6,1)=1,X152*X153,0)))</f>
        <v>0</v>
      </c>
      <c r="Y156" s="63">
        <f>IF(AND(Y152=0,Y153=0),0,IF(Y152&lt;=0,0,IF(WEEKDAY(Y$6,1)=1,Y152*Y153,0)))</f>
        <v>0</v>
      </c>
      <c r="Z156" s="63">
        <f>IF(AND(Z152=0,Z153=0),0,IF(Z152&lt;=0,0,IF(WEEKDAY(Z$6,1)=1,Z152*Z153,0)))</f>
        <v>0</v>
      </c>
      <c r="AA156" s="63">
        <f>IF(AND(AA152=0,AA153=0),0,IF(AA152&lt;=0,0,IF(WEEKDAY(AA$6,1)=1,AA152*AA153,0)))</f>
        <v>0</v>
      </c>
      <c r="AB156" s="63">
        <f>IF(AND(AB152=0,AB153=0),0,IF(AB152&lt;=0,0,IF(WEEKDAY(AB$6,1)=1,AB152*AB153,0)))</f>
        <v>0</v>
      </c>
      <c r="AC156" s="63">
        <f>IF(AND(AC152=0,AC153=0),0,IF(AC152&lt;=0,0,IF(WEEKDAY(AC$6,1)=1,AC152*AC153,0)))</f>
        <v>0</v>
      </c>
      <c r="AD156" s="64">
        <f>IF(AND(AD152=0,AD153=0),0,IF(AD152&lt;=0,0,IF(WEEKDAY(AD$6,1)=1,AD152*AD153,0)))</f>
        <v>0</v>
      </c>
      <c r="AE156" s="64">
        <f>IF(AND(AE152=0,AE153=0),0,IF(AE152&lt;=0,0,IF(WEEKDAY(AE$6,1)=1,AE152*AE153,0)))</f>
        <v>0</v>
      </c>
      <c r="AF156" s="63">
        <f>IF(AND(AF152=0,AF153=0),0,IF(AF152&lt;=0,0,IF(WEEKDAY(AF$6,1)=1,AF152*AF153,0)))</f>
        <v>0</v>
      </c>
      <c r="AG156" s="63">
        <f>IF(AND(AG152=0,AG153=0),0,IF(AG152&lt;=0,0,IF(WEEKDAY(AG$6,1)=1,AG152*AG153,0)))</f>
        <v>0</v>
      </c>
      <c r="AH156" s="63">
        <f>IF(AND(AH152=0,AH153=0),0,IF(AH152&lt;=0,0,IF(WEEKDAY(AH$6,1)=1,AH152*AH153,0)))</f>
        <v>0</v>
      </c>
      <c r="AI156" s="63">
        <f>IF(AND(AI152=0,AI153=0),0,IF(AI152&lt;=0,0,IF(WEEKDAY(AI$6,1)=1,AI152*AI153,0)))</f>
        <v>0</v>
      </c>
      <c r="AJ156" s="63">
        <f>IF(AND(AJ152=0,AJ153=0),0,IF(AJ152&lt;=0,0,IF(WEEKDAY(AJ$6,1)=1,AJ152*AJ153,0)))</f>
        <v>0</v>
      </c>
      <c r="AK156" s="64">
        <f>IF(AND(AK152=0,AK153=0),0,IF(AK152&lt;=0,0,IF(WEEKDAY(AK$6,1)=1,AK152*AK153,0)))</f>
        <v>0</v>
      </c>
      <c r="AL156" s="64">
        <f>IF(AND(AL152=0,AL153=0),0,IF(AL152&lt;=0,0,IF(WEEKDAY(AL$6,1)=1,AL152*AL153,0)))</f>
        <v>0</v>
      </c>
      <c r="AM156" s="63">
        <f>IF(AND(AM152=0,AM153=0),0,IF(AM152&lt;=0,0,IF(WEEKDAY(AM$6,1)=1,AM152*AM153,0)))</f>
        <v>0</v>
      </c>
      <c r="AN156" s="63">
        <f>IF(AND(AN152=0,AN153=0),0,IF(AN152&lt;=0,0,IF(WEEKDAY(AN$6,1)=1,AN152*AN153,0)))</f>
        <v>0</v>
      </c>
      <c r="AO156" s="63">
        <f>IF(AND(AO152=0,AO153=0),0,IF(AO152&lt;=0,0,IF(WEEKDAY(AO$6,1)=1,AO152*AO153,0)))</f>
        <v>0</v>
      </c>
      <c r="AP156" s="63">
        <f>IF(AND(AP152=0,AP153=0),0,IF(AP152&lt;=0,0,IF(WEEKDAY(AP$6,1)=1,AP152*AP153,0)))</f>
        <v>0</v>
      </c>
      <c r="AQ156" s="63">
        <f>IF(AND(AQ152=0,AQ153=0),0,IF(AQ152&lt;=0,0,IF(WEEKDAY(AQ$6,1)=1,AQ152*AQ153,0)))</f>
        <v>0</v>
      </c>
      <c r="AR156" s="64">
        <f>IF(AND(AR152=0,AR153=0),0,IF(AR152&lt;=0,0,IF(WEEKDAY(AR$6,1)=1,AR152*AR153,0)))</f>
        <v>0</v>
      </c>
      <c r="AS156" s="64">
        <f>IF(AND(AS152=0,AS153=0),0,IF(AS152&lt;=0,0,IF(WEEKDAY(AS$6,1)=1,AS152*AS153,0)))</f>
        <v>0</v>
      </c>
      <c r="AT156" s="63">
        <f>IF(AND(AT152=0,AT153=0),0,IF(AT152&lt;=0,0,IF(WEEKDAY(AT$6,1)=1,AT152*AT153,0)))</f>
        <v>0</v>
      </c>
      <c r="AU156" s="63">
        <f>IF(AND(AU152=0,AU153=0),0,IF(AU152&lt;=0,0,IF(WEEKDAY(AU$6,1)=1,AU152*AU153,0)))</f>
        <v>0</v>
      </c>
      <c r="AV156" s="63">
        <f>IF(AND(AV152=0,AV153=0),0,IF(AV152&lt;=0,0,IF(WEEKDAY(AV$6,1)=1,AV152*AV153,0)))</f>
        <v>0</v>
      </c>
      <c r="AW156" s="63">
        <f>IF(AND(AW152=0,AW153=0),0,IF(AW152&lt;=0,0,IF(WEEKDAY(AW$6,1)=1,AW152*AW153,0)))</f>
        <v>0</v>
      </c>
      <c r="AX156" s="63">
        <f>IF(AND(AX152=0,AX153=0),0,IF(AX152&lt;=0,0,IF(WEEKDAY(AX$6,1)=1,AX152*AX153,0)))</f>
        <v>0</v>
      </c>
      <c r="AY156" s="64">
        <f>IF(AND(AY152=0,AY153=0),0,IF(AY152&lt;=0,0,IF(WEEKDAY(AY$6,1)=1,AY152*AY153,0)))</f>
        <v>0</v>
      </c>
      <c r="AZ156" s="64">
        <f>IF(AND(AZ152=0,AZ153=0),0,IF(AZ152&lt;=0,0,IF(WEEKDAY(AZ$6,1)=1,AZ152*AZ153,0)))</f>
        <v>0</v>
      </c>
      <c r="BA156" s="63">
        <f>IF(AND(BA152=0,BA153=0),0,IF(BA152&lt;=0,0,IF(WEEKDAY(BA$6,1)=1,BA152*BA153,0)))</f>
        <v>0</v>
      </c>
      <c r="BB156" s="63">
        <f>IF(AND(BB152=0,BB153=0),0,IF(BB152&lt;=0,0,IF(WEEKDAY(BB$6,1)=1,BB152*BB153,0)))</f>
        <v>0</v>
      </c>
      <c r="BC156" s="63">
        <f>IF(AND(BC152=0,BC153=0),0,IF(BC152&lt;=0,0,IF(WEEKDAY(BC$6,1)=1,BC152*BC153,0)))</f>
        <v>0</v>
      </c>
      <c r="BD156" s="63">
        <f>IF(AND(BD152=0,BD153=0),0,IF(BD152&lt;=0,0,IF(WEEKDAY(BD$6,1)=1,BD152*BD153,0)))</f>
        <v>0</v>
      </c>
      <c r="BE156" s="63">
        <f>IF(AND(BE152=0,BE153=0),0,IF(BE152&lt;=0,0,IF(WEEKDAY(BE$6,1)=1,BE152*BE153,0)))</f>
        <v>0</v>
      </c>
      <c r="BF156" s="64">
        <f>IF(AND(BF152=0,BF153=0),0,IF(BF152&lt;=0,0,IF(WEEKDAY(BF$6,1)=1,BF152*BF153,0)))</f>
        <v>0</v>
      </c>
      <c r="BG156" s="64">
        <f>IF(AND(BG152=0,BG153=0),0,IF(BG152&lt;=0,0,IF(WEEKDAY(BG$6,1)=1,BG152*BG153,0)))</f>
        <v>0</v>
      </c>
      <c r="BH156" s="63">
        <f>IF(AND(BH152=1,BH153=10),0,IF(BH152&lt;=0,0,IF(WEEKDAY(BH$6,1)=1,BH152*BH153,0)))</f>
        <v>0</v>
      </c>
      <c r="BI156" s="63">
        <f>IF(AND(BI152=1,BI153=10),0,IF(BI152&lt;=0,0,IF(WEEKDAY(BI$6,1)=1,BI152*BI153,0)))</f>
        <v>0</v>
      </c>
      <c r="BJ156" s="63">
        <f>IF(AND(BJ152=1,BJ153=10),0,IF(BJ152&lt;=0,0,IF(WEEKDAY(BJ$6,1)=1,BJ152*BJ153,0)))</f>
        <v>0</v>
      </c>
      <c r="BK156" s="63">
        <f>IF(AND(BK152=1,BK153=10),0,IF(BK152&lt;=0,0,IF(WEEKDAY(BK$6,1)=1,BK152*BK153,0)))</f>
        <v>0</v>
      </c>
      <c r="BL156" s="63">
        <f>IF(AND(BL152=1,BL153=10),0,IF(BL152&lt;=0,0,IF(WEEKDAY(BL$6,1)=1,BL152*BL153,0)))</f>
        <v>0</v>
      </c>
      <c r="BM156" s="64">
        <f>IF(AND(BM152=1,BM153=10),0,IF(BM152&lt;=0,0,IF(WEEKDAY(BM$6,1)=1,BM152*BM153,0)))</f>
        <v>0</v>
      </c>
      <c r="BN156" s="64">
        <f>IF(AND(BN152=1,BN153=10),10,IF(BN152&lt;=0,0,IF(WEEKDAY(BN$6,1)=1,BN152*BN153,0)))</f>
        <v>10</v>
      </c>
      <c r="BO156" s="63">
        <f>IF(AND(BO152=1,BO153=10),0,IF(BO152&lt;=0,0,IF(WEEKDAY(BO$6,1)=1,BO152*BO153,0)))</f>
        <v>0</v>
      </c>
      <c r="BP156" s="63">
        <f>IF(AND(BP152=1,BP153=10),0,IF(BP152&lt;=0,0,IF(WEEKDAY(BP$6,1)=1,BP152*BP153,0)))</f>
        <v>0</v>
      </c>
      <c r="BQ156" s="63">
        <f>IF(AND(BQ152=1,BQ153=10),0,IF(BQ152&lt;=0,0,IF(WEEKDAY(BQ$6,1)=1,BQ152*BQ153,0)))</f>
        <v>0</v>
      </c>
      <c r="BR156" s="63">
        <f>IF(AND(BR152=1,BR153=10),0,IF(BR152&lt;=0,0,IF(WEEKDAY(BR$6,1)=1,BR152*BR153,0)))</f>
        <v>0</v>
      </c>
      <c r="BS156" s="63">
        <f>IF(AND(BS152=1,BS153=10),0,IF(BS152&lt;=0,0,IF(WEEKDAY(BS$6,1)=1,BS152*BS153,0)))</f>
        <v>0</v>
      </c>
      <c r="BT156" s="64">
        <f>IF(AND(BT152=1,BT153=10),0,IF(BT152&lt;=0,0,IF(WEEKDAY(BT$6,1)=1,BT152*BT153,0)))</f>
        <v>0</v>
      </c>
      <c r="BU156" s="64">
        <f>IF(AND(BU152=0,BU153=0),0,IF(BU152&lt;=0,0,IF(WEEKDAY(BU$6,1)=1,BU152*BU153,0)))</f>
        <v>0</v>
      </c>
      <c r="BV156" s="63">
        <f>IF(AND(BV152=1,BV153=10),0,IF(BV152&lt;=0,0,IF(WEEKDAY(BV$6,1)=1,BV152*BV153,0)))</f>
        <v>0</v>
      </c>
      <c r="BW156" s="63">
        <f>IF(AND(BW152=1,BW153=10),0,IF(BW152&lt;=0,0,IF(WEEKDAY(BW$6,1)=1,BW152*BW153,0)))</f>
        <v>0</v>
      </c>
      <c r="BX156" s="63">
        <f>IF(AND(BX152=1,BX153=10),0,IF(BX152&lt;=0,0,IF(WEEKDAY(BX$6,1)=1,BX152*BX153,0)))</f>
        <v>0</v>
      </c>
      <c r="BY156" s="63">
        <f>IF(AND(BY152=1,BY153=10),0,IF(BY152&lt;=0,0,IF(WEEKDAY(BY$6,1)=1,BY152*BY153,0)))</f>
        <v>0</v>
      </c>
      <c r="BZ156" s="63">
        <f>IF(AND(BZ152=1,BZ153=10),0,IF(BZ152&lt;=0,0,IF(WEEKDAY(BZ$6,1)=1,BZ152*BZ153,0)))</f>
        <v>0</v>
      </c>
      <c r="CA156" s="64">
        <f>IF(AND(CA152=1,CA153=10),0,IF(CA152&lt;=0,0,IF(WEEKDAY(CA$6,1)=1,CA152*CA153,0)))</f>
        <v>0</v>
      </c>
      <c r="CB156" s="64">
        <f>IF(AND(CB152=0,CB153=0),0,IF(CB152&lt;=0,0,IF(WEEKDAY(CB$6,1)=1,CB152*CB153,0)))</f>
        <v>0</v>
      </c>
      <c r="CC156" s="63">
        <f>IF(AND(CC152=1,CC153=10),0,IF(CC152&lt;=0,0,IF(WEEKDAY(CC$6,1)=1,CC152*CC153,0)))</f>
        <v>0</v>
      </c>
      <c r="CD156" s="63">
        <f>IF(AND(CD152=1,CD153=10),0,IF(CD152&lt;=0,0,IF(WEEKDAY(CD$6,1)=1,CD152*CD153,0)))</f>
        <v>0</v>
      </c>
      <c r="CE156" s="63">
        <f>IF(AND(CE152=1,CE153=10),0,IF(CE152&lt;=0,0,IF(WEEKDAY(CE$6,1)=1,CE152*CE153,0)))</f>
        <v>0</v>
      </c>
      <c r="CF156" s="63">
        <f>IF(AND(CF152=1,CF153=10),0,IF(CF152&lt;=0,0,IF(WEEKDAY(CF$6,1)=1,CF152*CF153,0)))</f>
        <v>0</v>
      </c>
      <c r="CG156" s="63">
        <f>IF(AND(CG152=1,CG153=10),0,IF(CG152&lt;=0,0,IF(WEEKDAY(CG$6,1)=1,CG152*CG153,0)))</f>
        <v>0</v>
      </c>
      <c r="CH156" s="64">
        <f>IF(AND(CH152=1,CH153=10),0,IF(CH152&lt;=0,0,IF(WEEKDAY(CH$6,1)=1,CH152*CH153,0)))</f>
        <v>0</v>
      </c>
      <c r="CI156" s="64">
        <f>IF(AND(CI152=0,CI153=0),0,IF(CI152&lt;=0,0,IF(WEEKDAY(CI$6,1)=1,CI152*CI153,0)))</f>
        <v>0</v>
      </c>
      <c r="CJ156" s="63">
        <f>IF(AND(CJ152=1,CJ153=10),0,IF(CJ152&lt;=0,0,IF(WEEKDAY(CJ$6,1)=1,CJ152*CJ153,0)))</f>
        <v>0</v>
      </c>
      <c r="CK156" s="63">
        <f>IF(AND(CK152=1,CK153=10),0,IF(CK152&lt;=0,0,IF(WEEKDAY(CK$6,1)=1,CK152*CK153,0)))</f>
        <v>0</v>
      </c>
      <c r="CL156" s="63">
        <f>IF(AND(CL152=1,CL153=10),0,IF(CL152&lt;=0,0,IF(WEEKDAY(CL$6,1)=1,CL152*CL153,0)))</f>
        <v>0</v>
      </c>
      <c r="CM156" s="63">
        <f>IF(AND(CM152=1,CM153=10),0,IF(CM152&lt;=0,0,IF(WEEKDAY(CM$6,1)=1,CM152*CM153,0)))</f>
        <v>0</v>
      </c>
      <c r="CN156" s="63">
        <f>IF(AND(CN152=1,CN153=10),0,IF(CN152&lt;=0,0,IF(WEEKDAY(CN$6,1)=1,CN152*CN153,0)))</f>
        <v>0</v>
      </c>
      <c r="CO156" s="64">
        <f>IF(AND(CO152=1,CO153=10),0,IF(CO152&lt;=0,0,IF(WEEKDAY(CO$6,1)=1,CO152*CO153,0)))</f>
        <v>0</v>
      </c>
      <c r="CP156" s="64">
        <f>IF(AND(CP152=0,CP153=0),0,IF(CP152&lt;=0,0,IF(WEEKDAY(CP$6,1)=1,CP152*CP153,0)))</f>
        <v>0</v>
      </c>
      <c r="CQ156" s="63">
        <f>IF(AND(CQ152=1,CQ153=10),0,IF(CQ152&lt;=0,0,IF(WEEKDAY(CQ$6,1)=1,CQ152*CQ153,0)))</f>
        <v>0</v>
      </c>
      <c r="CR156" s="63">
        <f>IF(AND(CR152=1,CR153=10),0,IF(CR152&lt;=0,0,IF(WEEKDAY(CR$6,1)=1,CR152*CR153,0)))</f>
        <v>0</v>
      </c>
      <c r="CS156" s="63">
        <f>IF(AND(CS152=1,CS153=10),0,IF(CS152&lt;=0,0,IF(WEEKDAY(CS$6,1)=1,CS152*CS153,0)))</f>
        <v>0</v>
      </c>
      <c r="CT156" s="63">
        <f>IF(AND(CT152=1,CT153=10),0,IF(CT152&lt;=0,0,IF(WEEKDAY(CT$6,1)=1,CT152*CT153,0)))</f>
        <v>0</v>
      </c>
      <c r="CU156" s="63">
        <f>IF(AND(CU152=1,CU153=10),0,IF(CU152&lt;=0,0,IF(WEEKDAY(CU$6,1)=1,CU152*CU153,0)))</f>
        <v>0</v>
      </c>
      <c r="CV156" s="64">
        <f>IF(AND(CV152=1,CV153=10),0,IF(CV152&lt;=0,0,IF(WEEKDAY(CV$6,1)=1,CV152*CV153,0)))</f>
        <v>0</v>
      </c>
      <c r="CW156" s="64">
        <f>IF(AND(CW152=0,CW153=0),0,IF(CW152&lt;=0,0,IF(WEEKDAY(CW$6,1)=1,CW152*CW153,0)))</f>
        <v>0</v>
      </c>
      <c r="CX156" s="63">
        <f>IF(AND(CX152=1,CX153=10),0,IF(CX152&lt;=0,0,IF(WEEKDAY(CX$6,1)=1,CX152*CX153,0)))</f>
        <v>0</v>
      </c>
      <c r="CY156" s="63">
        <f>IF(AND(CY152=1,CY153=10),0,IF(CY152&lt;=0,0,IF(WEEKDAY(CY$6,1)=1,CY152*CY153,0)))</f>
        <v>0</v>
      </c>
      <c r="CZ156" s="63">
        <f>IF(AND(CZ152=1,CZ153=10),0,IF(CZ152&lt;=0,0,IF(WEEKDAY(CZ$6,1)=1,CZ152*CZ153,0)))</f>
        <v>0</v>
      </c>
      <c r="DA156" s="63">
        <f>IF(AND(DA152=1,DA153=10),0,IF(DA152&lt;=0,0,IF(WEEKDAY(DA$6,1)=1,DA152*DA153,0)))</f>
        <v>0</v>
      </c>
      <c r="DB156" s="63">
        <f>IF(AND(DB152=1,DB153=10),0,IF(DB152&lt;=0,0,IF(WEEKDAY(DB$6,1)=1,DB152*DB153,0)))</f>
        <v>0</v>
      </c>
      <c r="DC156" s="64">
        <f>IF(AND(DC152=1,DC153=10),0,IF(DC152&lt;=0,0,IF(WEEKDAY(DC$6,1)=1,DC152*DC153,0)))</f>
        <v>0</v>
      </c>
      <c r="DD156" s="64">
        <f>IF(AND(DD152=0,DD153=0),0,IF(DD152&lt;=0,0,IF(WEEKDAY(DD$6,1)=1,DD152*DD153,0)))</f>
        <v>0</v>
      </c>
      <c r="DE156" s="63">
        <f>IF(AND(DE152=1,DE153=10),0,IF(DE152&lt;=0,0,IF(WEEKDAY(DE$6,1)=1,DE152*DE153,0)))</f>
        <v>0</v>
      </c>
      <c r="DF156" s="63">
        <f>IF(AND(DF152=1,DF153=10),0,IF(DF152&lt;=0,0,IF(WEEKDAY(DF$6,1)=1,DF152*DF153,0)))</f>
        <v>0</v>
      </c>
      <c r="DG156" s="63">
        <f>IF(AND(DG152=1,DG153=10),0,IF(DG152&lt;=0,0,IF(WEEKDAY(DG$6,1)=1,DG152*DG153,0)))</f>
        <v>0</v>
      </c>
      <c r="DH156" s="63">
        <f>IF(AND(DH152=1,DH153=10),0,IF(DH152&lt;=0,0,IF(WEEKDAY(DH$6,1)=1,DH152*DH153,0)))</f>
        <v>0</v>
      </c>
      <c r="DI156" s="63">
        <f>IF(AND(DI152=1,DI153=10),0,IF(DI152&lt;=0,0,IF(WEEKDAY(DI$6,1)=1,DI152*DI153,0)))</f>
        <v>0</v>
      </c>
      <c r="DJ156" s="64">
        <f>IF(AND(DJ152=1,DJ153=10),0,IF(DJ152&lt;=0,0,IF(WEEKDAY(DJ$6,1)=1,DJ152*DJ153,0)))</f>
        <v>0</v>
      </c>
      <c r="DK156" s="64">
        <f>IF(AND(DK152=0,DK153=0),0,IF(DK152&lt;=0,0,IF(WEEKDAY(DK$6,1)=1,DK152*DK153,0)))</f>
        <v>0</v>
      </c>
      <c r="DL156" s="63">
        <f>IF(AND(DL152=1,DL153=10),0,IF(DL152&lt;=0,0,IF(WEEKDAY(DL$6,1)=1,DL152*DL153,0)))</f>
        <v>0</v>
      </c>
      <c r="DM156" s="63">
        <f>IF(AND(DM152=1,DM153=10),0,IF(DM152&lt;=0,0,IF(WEEKDAY(DM$6,1)=1,DM152*DM153,0)))</f>
        <v>0</v>
      </c>
      <c r="DN156" s="63">
        <f>IF(AND(DN152=1,DN153=10),0,IF(DN152&lt;=0,0,IF(WEEKDAY(DN$6,1)=1,DN152*DN153,0)))</f>
        <v>0</v>
      </c>
      <c r="DO156" s="63">
        <f>IF(AND(DO152=1,DO153=10),0,IF(DO152&lt;=0,0,IF(WEEKDAY(DO$6,1)=1,DO152*DO153,0)))</f>
        <v>0</v>
      </c>
      <c r="DP156" s="63">
        <f>IF(AND(DP152=1,DP153=10),0,IF(DP152&lt;=0,0,IF(WEEKDAY(DP$6,1)=1,DP152*DP153,0)))</f>
        <v>0</v>
      </c>
      <c r="DQ156" s="64">
        <f>IF(AND(DQ152=1,DQ153=10),0,IF(DQ152&lt;=0,0,IF(WEEKDAY(DQ$6,1)=1,DQ152*DQ153,0)))</f>
        <v>0</v>
      </c>
      <c r="DR156" s="64">
        <f>IF(AND(DR152=0,DR153=0),0,IF(DR152&lt;=0,0,IF(WEEKDAY(DR$6,1)=1,DR152*DR153,0)))</f>
        <v>0</v>
      </c>
      <c r="DS156" s="63">
        <f>IF(AND(DS152=1,DS153=10),0,IF(DS152&lt;=0,0,IF(WEEKDAY(DS$6,1)=1,DS152*DS153,0)))</f>
        <v>0</v>
      </c>
      <c r="DT156" s="63">
        <f>IF(AND(DT152=0,DT153=0),0,IF(DT152&lt;=0,0,IF(WEEKDAY(DT$6,1)=1,DT152*DT153,0)))</f>
        <v>0</v>
      </c>
      <c r="DU156" s="63">
        <f>IF(AND(DU152=0,DU153=0),0,IF(DU152&lt;=0,0,IF(WEEKDAY(DU$6,1)=1,DU152*DU153,0)))</f>
        <v>0</v>
      </c>
      <c r="DV156" s="63">
        <f>IF(AND(DV152=0,DV153=0),0,IF(DV152&lt;=0,0,IF(WEEKDAY(DV$6,1)=1,DV152*DV153,0)))</f>
        <v>0</v>
      </c>
      <c r="DW156" s="63">
        <f>IF(AND(DW152=0,DW153=0),0,IF(DW152&lt;=0,0,IF(WEEKDAY(DW$6,1)=1,DW152*DW153,0)))</f>
        <v>0</v>
      </c>
      <c r="DX156" s="64">
        <f>IF(AND(DX152=0,DX153=0),0,IF(DX152&lt;=0,0,IF(WEEKDAY(DX$6,1)=1,DX152*DX153,0)))</f>
        <v>0</v>
      </c>
      <c r="DY156" s="64">
        <f>IF(AND(DY152=0,DY153=0),0,IF(DY152&lt;=0,0,IF(WEEKDAY(DY$6,1)=1,DY152*DY153,0)))</f>
        <v>0</v>
      </c>
      <c r="DZ156" s="63">
        <f>IF(AND(DZ152=0,DZ153=0),0,IF(DZ152&lt;=0,0,IF(WEEKDAY(DZ$6,1)=1,DZ152*DZ153,0)))</f>
        <v>0</v>
      </c>
      <c r="EA156" s="63">
        <f>IF(AND(EA152=0,EA153=0),0,IF(EA152&lt;=0,0,IF(WEEKDAY(EA$6,1)=1,EA152*EA153,0)))</f>
        <v>0</v>
      </c>
      <c r="EB156" s="63">
        <f>IF(AND(EB152=0,EB153=0),0,IF(EB152&lt;=0,0,IF(WEEKDAY(EB$6,1)=1,EB152*EB153,0)))</f>
        <v>0</v>
      </c>
      <c r="EC156" s="63">
        <f>IF(AND(EC152=0,EC153=0),0,IF(EC152&lt;=0,0,IF(WEEKDAY(EC$6,1)=1,EC152*EC153,0)))</f>
        <v>0</v>
      </c>
      <c r="ED156" s="63">
        <f>IF(AND(ED152=0,ED153=0),0,IF(ED152&lt;=0,0,IF(WEEKDAY(ED$6,1)=1,ED152*ED153,0)))</f>
        <v>0</v>
      </c>
      <c r="EE156" s="64">
        <f>IF(AND(EE152=0,EE153=0),0,IF(EE152&lt;=0,0,IF(WEEKDAY(EE$6,1)=1,EE152*EE153,0)))</f>
        <v>0</v>
      </c>
      <c r="EF156" s="64">
        <f>IF(AND(EF152=0,EF153=0),0,IF(EF152&lt;=0,0,IF(WEEKDAY(EF$6,1)=1,EF152*EF153,0)))</f>
        <v>0</v>
      </c>
      <c r="EG156" s="63">
        <f>IF(AND(EG152=0,EG153=0),0,IF(EG152&lt;=0,0,IF(WEEKDAY(EG$6,1)=1,EG152*EG153,0)))</f>
        <v>0</v>
      </c>
      <c r="EH156" s="63">
        <f>IF(AND(EH152=0,EH153=0),0,IF(EH152&lt;=0,0,IF(WEEKDAY(EH$6,1)=1,EH152*EH153,0)))</f>
        <v>0</v>
      </c>
      <c r="EI156" s="63">
        <f>IF(AND(EI152=0,EI153=0),0,IF(EI152&lt;=0,0,IF(WEEKDAY(EI$6,1)=1,EI152*EI153,0)))</f>
        <v>0</v>
      </c>
      <c r="EJ156" s="63">
        <f>IF(AND(EJ152=0,EJ153=0),0,IF(EJ152&lt;=0,0,IF(WEEKDAY(EJ$6,1)=1,EJ152*EJ153,0)))</f>
        <v>0</v>
      </c>
      <c r="EK156" s="65">
        <f>IF(AND(EK152=0,EK153=0),0,IF(EK152&lt;=0,0,IF(WEEKDAY(EK$6,1)=1,EK152*EK153,0)))</f>
        <v>0</v>
      </c>
      <c r="OU156" s="28" t="s">
        <v>95</v>
      </c>
    </row>
    <row r="157" ht="16" customHeight="1" spans="1:411" x14ac:dyDescent="0.25">
      <c r="A157" s="74"/>
      <c r="B157" s="46"/>
      <c r="C157" s="67">
        <f>I151*D157</f>
        <v>7840</v>
      </c>
      <c r="D157" s="67">
        <v>140</v>
      </c>
      <c r="E157" s="68" t="s">
        <v>65</v>
      </c>
      <c r="F157" s="49"/>
      <c r="G157" s="49"/>
      <c r="H157" s="49"/>
      <c r="I157" s="49"/>
      <c r="J157" s="50"/>
      <c r="K157" s="69">
        <v>0</v>
      </c>
      <c r="L157" s="70">
        <v>0</v>
      </c>
      <c r="M157" s="70">
        <v>0</v>
      </c>
      <c r="N157" s="70">
        <v>0</v>
      </c>
      <c r="O157" s="70">
        <v>0</v>
      </c>
      <c r="P157" s="71">
        <v>0</v>
      </c>
      <c r="Q157" s="71">
        <v>0</v>
      </c>
      <c r="R157" s="70">
        <v>0</v>
      </c>
      <c r="S157" s="70">
        <v>0</v>
      </c>
      <c r="T157" s="70">
        <v>0</v>
      </c>
      <c r="U157" s="70">
        <v>0</v>
      </c>
      <c r="V157" s="70">
        <v>0</v>
      </c>
      <c r="W157" s="71">
        <v>0</v>
      </c>
      <c r="X157" s="71">
        <v>0</v>
      </c>
      <c r="Y157" s="70">
        <v>0</v>
      </c>
      <c r="Z157" s="70">
        <v>0</v>
      </c>
      <c r="AA157" s="70">
        <v>0</v>
      </c>
      <c r="AB157" s="70">
        <v>0</v>
      </c>
      <c r="AC157" s="70">
        <v>0</v>
      </c>
      <c r="AD157" s="71">
        <v>0</v>
      </c>
      <c r="AE157" s="71">
        <v>0</v>
      </c>
      <c r="AF157" s="70">
        <v>0</v>
      </c>
      <c r="AG157" s="70">
        <v>0</v>
      </c>
      <c r="AH157" s="70">
        <v>0</v>
      </c>
      <c r="AI157" s="70">
        <v>0</v>
      </c>
      <c r="AJ157" s="70">
        <v>0</v>
      </c>
      <c r="AK157" s="71">
        <v>0</v>
      </c>
      <c r="AL157" s="71">
        <v>0</v>
      </c>
      <c r="AM157" s="70">
        <v>0</v>
      </c>
      <c r="AN157" s="70">
        <v>0</v>
      </c>
      <c r="AO157" s="70">
        <v>0</v>
      </c>
      <c r="AP157" s="70">
        <v>0</v>
      </c>
      <c r="AQ157" s="70">
        <v>0</v>
      </c>
      <c r="AR157" s="71">
        <v>0</v>
      </c>
      <c r="AS157" s="71">
        <v>0</v>
      </c>
      <c r="AT157" s="70">
        <v>0</v>
      </c>
      <c r="AU157" s="70">
        <v>0</v>
      </c>
      <c r="AV157" s="70">
        <v>0</v>
      </c>
      <c r="AW157" s="70">
        <v>0</v>
      </c>
      <c r="AX157" s="70">
        <v>0</v>
      </c>
      <c r="AY157" s="71">
        <v>0</v>
      </c>
      <c r="AZ157" s="71">
        <v>0</v>
      </c>
      <c r="BA157" s="70">
        <v>0</v>
      </c>
      <c r="BB157" s="70">
        <v>0</v>
      </c>
      <c r="BC157" s="70">
        <v>0</v>
      </c>
      <c r="BD157" s="70">
        <v>0</v>
      </c>
      <c r="BE157" s="70">
        <v>0</v>
      </c>
      <c r="BF157" s="71">
        <v>0</v>
      </c>
      <c r="BG157" s="71">
        <v>0</v>
      </c>
      <c r="BH157" s="70">
        <v>1</v>
      </c>
      <c r="BI157" s="70">
        <v>1</v>
      </c>
      <c r="BJ157" s="70">
        <v>1</v>
      </c>
      <c r="BK157" s="70">
        <v>1</v>
      </c>
      <c r="BL157" s="70">
        <v>1</v>
      </c>
      <c r="BM157" s="71">
        <v>1</v>
      </c>
      <c r="BN157" s="71">
        <v>1</v>
      </c>
      <c r="BO157" s="70">
        <v>1</v>
      </c>
      <c r="BP157" s="70">
        <v>1</v>
      </c>
      <c r="BQ157" s="70">
        <v>1</v>
      </c>
      <c r="BR157" s="70">
        <v>1</v>
      </c>
      <c r="BS157" s="70">
        <v>1</v>
      </c>
      <c r="BT157" s="71">
        <v>1</v>
      </c>
      <c r="BU157" s="71">
        <v>0</v>
      </c>
      <c r="BV157" s="70">
        <v>1</v>
      </c>
      <c r="BW157" s="70">
        <v>1</v>
      </c>
      <c r="BX157" s="70">
        <v>1</v>
      </c>
      <c r="BY157" s="70">
        <v>1</v>
      </c>
      <c r="BZ157" s="70">
        <v>1</v>
      </c>
      <c r="CA157" s="71">
        <v>1</v>
      </c>
      <c r="CB157" s="71">
        <v>0</v>
      </c>
      <c r="CC157" s="70">
        <v>1</v>
      </c>
      <c r="CD157" s="70">
        <v>1</v>
      </c>
      <c r="CE157" s="70">
        <v>1</v>
      </c>
      <c r="CF157" s="70">
        <v>1</v>
      </c>
      <c r="CG157" s="70">
        <v>1</v>
      </c>
      <c r="CH157" s="71">
        <v>1</v>
      </c>
      <c r="CI157" s="71">
        <v>0</v>
      </c>
      <c r="CJ157" s="70">
        <v>1</v>
      </c>
      <c r="CK157" s="70">
        <v>1</v>
      </c>
      <c r="CL157" s="70">
        <v>1</v>
      </c>
      <c r="CM157" s="70">
        <v>1</v>
      </c>
      <c r="CN157" s="70">
        <v>1</v>
      </c>
      <c r="CO157" s="71">
        <v>1</v>
      </c>
      <c r="CP157" s="71">
        <v>0</v>
      </c>
      <c r="CQ157" s="70">
        <v>1</v>
      </c>
      <c r="CR157" s="70">
        <v>1</v>
      </c>
      <c r="CS157" s="70">
        <v>1</v>
      </c>
      <c r="CT157" s="70">
        <v>1</v>
      </c>
      <c r="CU157" s="70">
        <v>1</v>
      </c>
      <c r="CV157" s="71">
        <v>1</v>
      </c>
      <c r="CW157" s="71">
        <v>0</v>
      </c>
      <c r="CX157" s="70">
        <v>1</v>
      </c>
      <c r="CY157" s="70">
        <v>1</v>
      </c>
      <c r="CZ157" s="70">
        <v>1</v>
      </c>
      <c r="DA157" s="70">
        <v>1</v>
      </c>
      <c r="DB157" s="70">
        <v>1</v>
      </c>
      <c r="DC157" s="71">
        <v>1</v>
      </c>
      <c r="DD157" s="71">
        <v>0</v>
      </c>
      <c r="DE157" s="70">
        <v>1</v>
      </c>
      <c r="DF157" s="70">
        <v>1</v>
      </c>
      <c r="DG157" s="70">
        <v>1</v>
      </c>
      <c r="DH157" s="70">
        <v>1</v>
      </c>
      <c r="DI157" s="70">
        <v>1</v>
      </c>
      <c r="DJ157" s="71">
        <v>1</v>
      </c>
      <c r="DK157" s="71">
        <v>0</v>
      </c>
      <c r="DL157" s="70">
        <v>1</v>
      </c>
      <c r="DM157" s="70">
        <v>1</v>
      </c>
      <c r="DN157" s="70">
        <v>1</v>
      </c>
      <c r="DO157" s="70">
        <v>1</v>
      </c>
      <c r="DP157" s="70">
        <v>1</v>
      </c>
      <c r="DQ157" s="71">
        <v>1</v>
      </c>
      <c r="DR157" s="71">
        <v>0</v>
      </c>
      <c r="DS157" s="70">
        <v>1</v>
      </c>
      <c r="DT157" s="70">
        <v>0</v>
      </c>
      <c r="DU157" s="70">
        <v>0</v>
      </c>
      <c r="DV157" s="70">
        <v>0</v>
      </c>
      <c r="DW157" s="70">
        <v>0</v>
      </c>
      <c r="DX157" s="71">
        <v>0</v>
      </c>
      <c r="DY157" s="71">
        <v>0</v>
      </c>
      <c r="DZ157" s="70">
        <v>0</v>
      </c>
      <c r="EA157" s="70">
        <v>0</v>
      </c>
      <c r="EB157" s="70">
        <v>0</v>
      </c>
      <c r="EC157" s="70">
        <v>0</v>
      </c>
      <c r="ED157" s="70">
        <v>0</v>
      </c>
      <c r="EE157" s="71">
        <v>0</v>
      </c>
      <c r="EF157" s="71">
        <v>0</v>
      </c>
      <c r="EG157" s="70">
        <v>0</v>
      </c>
      <c r="EH157" s="70">
        <v>0</v>
      </c>
      <c r="EI157" s="70">
        <v>0</v>
      </c>
      <c r="EJ157" s="70">
        <v>0</v>
      </c>
      <c r="EK157" s="72">
        <v>0</v>
      </c>
      <c r="OU157" s="60" t="s">
        <v>95</v>
      </c>
    </row>
    <row r="158" ht="8" customHeight="1" spans="1:14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  <c r="BZ158" s="73"/>
      <c r="CA158" s="73"/>
      <c r="CB158" s="73"/>
      <c r="CC158" s="73"/>
      <c r="CD158" s="73"/>
      <c r="CE158" s="73"/>
      <c r="CF158" s="73"/>
      <c r="CG158" s="73"/>
      <c r="CH158" s="73"/>
      <c r="CI158" s="73"/>
      <c r="CJ158" s="73"/>
      <c r="CK158" s="73"/>
      <c r="CL158" s="73"/>
      <c r="CM158" s="73"/>
      <c r="CN158" s="73"/>
      <c r="CO158" s="73"/>
      <c r="CP158" s="73"/>
      <c r="CQ158" s="73"/>
      <c r="CR158" s="73"/>
      <c r="CS158" s="73"/>
      <c r="CT158" s="73"/>
      <c r="CU158" s="73"/>
      <c r="CV158" s="73"/>
      <c r="CW158" s="73"/>
      <c r="CX158" s="73"/>
      <c r="CY158" s="73"/>
      <c r="CZ158" s="73"/>
      <c r="DA158" s="73"/>
      <c r="DB158" s="73"/>
      <c r="DC158" s="73"/>
      <c r="DD158" s="73"/>
      <c r="DE158" s="73"/>
      <c r="DF158" s="73"/>
      <c r="DG158" s="73"/>
      <c r="DH158" s="73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  <c r="DT158" s="73"/>
      <c r="DU158" s="73"/>
      <c r="DV158" s="73"/>
      <c r="DW158" s="73"/>
      <c r="DX158" s="73"/>
      <c r="DY158" s="73"/>
      <c r="DZ158" s="73"/>
      <c r="EA158" s="73"/>
      <c r="EB158" s="73"/>
      <c r="EC158" s="73"/>
      <c r="ED158" s="73"/>
      <c r="EE158" s="73"/>
      <c r="EF158" s="73"/>
      <c r="EG158" s="73"/>
      <c r="EH158" s="73"/>
      <c r="EI158" s="73"/>
      <c r="EJ158" s="73"/>
      <c r="EK158" s="73"/>
    </row>
    <row r="159" ht="16" customHeight="1" spans="1:411" x14ac:dyDescent="0.25">
      <c r="A159" s="45" t="s">
        <v>57</v>
      </c>
      <c r="B159" s="46" t="s">
        <v>96</v>
      </c>
      <c r="C159" s="47">
        <f>J159</f>
        <v>206800.75999999998</v>
      </c>
      <c r="D159" s="48"/>
      <c r="E159" s="48"/>
      <c r="F159" s="49">
        <f>SUM(K162:EK162)</f>
        <v>782</v>
      </c>
      <c r="G159" s="49">
        <f>SUM(K163:EK163)</f>
        <v>325</v>
      </c>
      <c r="H159" s="49">
        <f>SUM(K164:EK164)</f>
        <v>117</v>
      </c>
      <c r="I159" s="49">
        <f>SUM(K165:EK165)</f>
        <v>113</v>
      </c>
      <c r="J159" s="50">
        <f>C162+C163+C164</f>
        <v>206800.75999999998</v>
      </c>
      <c r="K159" s="51"/>
      <c r="L159" s="52"/>
      <c r="M159" s="52"/>
      <c r="N159" s="52"/>
      <c r="O159" s="52"/>
      <c r="P159" s="53"/>
      <c r="Q159" s="53"/>
      <c r="R159" s="52"/>
      <c r="S159" s="52"/>
      <c r="T159" s="52"/>
      <c r="U159" s="52"/>
      <c r="V159" s="52"/>
      <c r="W159" s="53"/>
      <c r="X159" s="53"/>
      <c r="Y159" s="52"/>
      <c r="Z159" s="52"/>
      <c r="AA159" s="52"/>
      <c r="AB159" s="52"/>
      <c r="AC159" s="52"/>
      <c r="AD159" s="53"/>
      <c r="AE159" s="53"/>
      <c r="AF159" s="52"/>
      <c r="AG159" s="52"/>
      <c r="AH159" s="52"/>
      <c r="AI159" s="52"/>
      <c r="AJ159" s="52"/>
      <c r="AK159" s="53"/>
      <c r="AL159" s="53"/>
      <c r="AM159" s="52"/>
      <c r="AN159" s="52"/>
      <c r="AO159" s="52"/>
      <c r="AP159" s="52"/>
      <c r="AQ159" s="52"/>
      <c r="AR159" s="53"/>
      <c r="AS159" s="53"/>
      <c r="AT159" s="52"/>
      <c r="AU159" s="52"/>
      <c r="AV159" s="52"/>
      <c r="AW159" s="52"/>
      <c r="AX159" s="52"/>
      <c r="AY159" s="53"/>
      <c r="AZ159" s="53"/>
      <c r="BA159" s="52"/>
      <c r="BB159" s="52"/>
      <c r="BC159" s="52"/>
      <c r="BD159" s="52"/>
      <c r="BE159" s="52"/>
      <c r="BF159" s="53"/>
      <c r="BG159" s="53"/>
      <c r="BH159" s="52"/>
      <c r="BI159" s="52"/>
      <c r="BJ159" s="52"/>
      <c r="BK159" s="52"/>
      <c r="BL159" s="52"/>
      <c r="BM159" s="53"/>
      <c r="BN159" s="53"/>
      <c r="BO159" s="52"/>
      <c r="BP159" s="52"/>
      <c r="BQ159" s="52"/>
      <c r="BR159" s="52"/>
      <c r="BS159" s="52"/>
      <c r="BT159" s="53"/>
      <c r="BU159" s="53"/>
      <c r="BV159" s="52"/>
      <c r="BW159" s="52"/>
      <c r="BX159" s="52"/>
      <c r="BY159" s="52"/>
      <c r="BZ159" s="52"/>
      <c r="CA159" s="53"/>
      <c r="CB159" s="53"/>
      <c r="CC159" s="52"/>
      <c r="CD159" s="52"/>
      <c r="CE159" s="52"/>
      <c r="CF159" s="52"/>
      <c r="CG159" s="52"/>
      <c r="CH159" s="53"/>
      <c r="CI159" s="53"/>
      <c r="CJ159" s="52"/>
      <c r="CK159" s="52"/>
      <c r="CL159" s="52"/>
      <c r="CM159" s="52"/>
      <c r="CN159" s="52"/>
      <c r="CO159" s="53"/>
      <c r="CP159" s="53"/>
      <c r="CQ159" s="52"/>
      <c r="CR159" s="52"/>
      <c r="CS159" s="52"/>
      <c r="CT159" s="52"/>
      <c r="CU159" s="52"/>
      <c r="CV159" s="53"/>
      <c r="CW159" s="53"/>
      <c r="CX159" s="52"/>
      <c r="CY159" s="52"/>
      <c r="CZ159" s="52"/>
      <c r="DA159" s="52"/>
      <c r="DB159" s="52"/>
      <c r="DC159" s="53"/>
      <c r="DD159" s="53"/>
      <c r="DE159" s="52"/>
      <c r="DF159" s="52"/>
      <c r="DG159" s="52"/>
      <c r="DH159" s="52"/>
      <c r="DI159" s="52"/>
      <c r="DJ159" s="53"/>
      <c r="DK159" s="53"/>
      <c r="DL159" s="52"/>
      <c r="DM159" s="52"/>
      <c r="DN159" s="52"/>
      <c r="DO159" s="52"/>
      <c r="DP159" s="52"/>
      <c r="DQ159" s="53"/>
      <c r="DR159" s="53"/>
      <c r="DS159" s="52"/>
      <c r="DT159" s="52"/>
      <c r="DU159" s="52"/>
      <c r="DV159" s="52"/>
      <c r="DW159" s="52"/>
      <c r="DX159" s="53"/>
      <c r="DY159" s="53"/>
      <c r="DZ159" s="52"/>
      <c r="EA159" s="52"/>
      <c r="EB159" s="52"/>
      <c r="EC159" s="52"/>
      <c r="ED159" s="52"/>
      <c r="EE159" s="53"/>
      <c r="EF159" s="53"/>
      <c r="EG159" s="52"/>
      <c r="EH159" s="52"/>
      <c r="EI159" s="52"/>
      <c r="EJ159" s="52"/>
      <c r="EK159" s="54"/>
      <c r="OU159" s="28" t="s">
        <v>97</v>
      </c>
    </row>
    <row r="160" ht="16" customHeight="1" spans="1:411" x14ac:dyDescent="0.25">
      <c r="A160" s="45"/>
      <c r="B160" s="46"/>
      <c r="C160" s="47"/>
      <c r="D160" s="48"/>
      <c r="E160" s="55" t="s">
        <v>60</v>
      </c>
      <c r="F160" s="49"/>
      <c r="G160" s="49"/>
      <c r="H160" s="49"/>
      <c r="I160" s="49"/>
      <c r="J160" s="50"/>
      <c r="K160" s="56">
        <v>1</v>
      </c>
      <c r="L160" s="57">
        <v>1</v>
      </c>
      <c r="M160" s="57">
        <v>1</v>
      </c>
      <c r="N160" s="57">
        <v>1</v>
      </c>
      <c r="O160" s="57">
        <v>1</v>
      </c>
      <c r="P160" s="58">
        <v>0</v>
      </c>
      <c r="Q160" s="58">
        <v>0</v>
      </c>
      <c r="R160" s="57">
        <v>1</v>
      </c>
      <c r="S160" s="57">
        <v>1</v>
      </c>
      <c r="T160" s="57">
        <v>1</v>
      </c>
      <c r="U160" s="57">
        <v>1</v>
      </c>
      <c r="V160" s="57">
        <v>1</v>
      </c>
      <c r="W160" s="58">
        <v>0</v>
      </c>
      <c r="X160" s="58">
        <v>0</v>
      </c>
      <c r="Y160" s="57">
        <v>1</v>
      </c>
      <c r="Z160" s="57">
        <v>1</v>
      </c>
      <c r="AA160" s="57">
        <v>1</v>
      </c>
      <c r="AB160" s="57">
        <v>1</v>
      </c>
      <c r="AC160" s="57">
        <v>1</v>
      </c>
      <c r="AD160" s="58">
        <v>0</v>
      </c>
      <c r="AE160" s="58">
        <v>0</v>
      </c>
      <c r="AF160" s="57">
        <v>1</v>
      </c>
      <c r="AG160" s="57">
        <v>1</v>
      </c>
      <c r="AH160" s="57">
        <v>1</v>
      </c>
      <c r="AI160" s="57">
        <v>1</v>
      </c>
      <c r="AJ160" s="57">
        <v>1</v>
      </c>
      <c r="AK160" s="58">
        <v>0</v>
      </c>
      <c r="AL160" s="58">
        <v>0</v>
      </c>
      <c r="AM160" s="57">
        <v>1</v>
      </c>
      <c r="AN160" s="57">
        <v>1</v>
      </c>
      <c r="AO160" s="57">
        <v>1</v>
      </c>
      <c r="AP160" s="57">
        <v>1</v>
      </c>
      <c r="AQ160" s="57">
        <v>1</v>
      </c>
      <c r="AR160" s="58">
        <v>0</v>
      </c>
      <c r="AS160" s="58">
        <v>0</v>
      </c>
      <c r="AT160" s="57">
        <v>1</v>
      </c>
      <c r="AU160" s="57">
        <v>1</v>
      </c>
      <c r="AV160" s="57">
        <v>1</v>
      </c>
      <c r="AW160" s="57">
        <v>1</v>
      </c>
      <c r="AX160" s="57">
        <v>1</v>
      </c>
      <c r="AY160" s="58">
        <v>0</v>
      </c>
      <c r="AZ160" s="58">
        <v>0</v>
      </c>
      <c r="BA160" s="57">
        <v>1</v>
      </c>
      <c r="BB160" s="57">
        <v>1</v>
      </c>
      <c r="BC160" s="57">
        <v>1</v>
      </c>
      <c r="BD160" s="57">
        <v>1</v>
      </c>
      <c r="BE160" s="57">
        <v>1</v>
      </c>
      <c r="BF160" s="58">
        <v>0</v>
      </c>
      <c r="BG160" s="58">
        <v>0</v>
      </c>
      <c r="BH160" s="57">
        <v>1</v>
      </c>
      <c r="BI160" s="57">
        <v>1</v>
      </c>
      <c r="BJ160" s="57">
        <v>1</v>
      </c>
      <c r="BK160" s="57">
        <v>1</v>
      </c>
      <c r="BL160" s="57">
        <v>1</v>
      </c>
      <c r="BM160" s="58">
        <v>1</v>
      </c>
      <c r="BN160" s="58">
        <v>1</v>
      </c>
      <c r="BO160" s="57">
        <v>1</v>
      </c>
      <c r="BP160" s="57">
        <v>1</v>
      </c>
      <c r="BQ160" s="57">
        <v>1</v>
      </c>
      <c r="BR160" s="57">
        <v>1</v>
      </c>
      <c r="BS160" s="57">
        <v>1</v>
      </c>
      <c r="BT160" s="58">
        <v>1</v>
      </c>
      <c r="BU160" s="58">
        <v>1</v>
      </c>
      <c r="BV160" s="57">
        <v>1</v>
      </c>
      <c r="BW160" s="57">
        <v>1</v>
      </c>
      <c r="BX160" s="57">
        <v>1</v>
      </c>
      <c r="BY160" s="57">
        <v>1</v>
      </c>
      <c r="BZ160" s="57">
        <v>1</v>
      </c>
      <c r="CA160" s="58">
        <v>1</v>
      </c>
      <c r="CB160" s="58">
        <v>1</v>
      </c>
      <c r="CC160" s="57">
        <v>1</v>
      </c>
      <c r="CD160" s="57">
        <v>1</v>
      </c>
      <c r="CE160" s="57">
        <v>1</v>
      </c>
      <c r="CF160" s="57">
        <v>1</v>
      </c>
      <c r="CG160" s="57">
        <v>1</v>
      </c>
      <c r="CH160" s="58">
        <v>1</v>
      </c>
      <c r="CI160" s="58">
        <v>1</v>
      </c>
      <c r="CJ160" s="57">
        <v>1</v>
      </c>
      <c r="CK160" s="57">
        <v>1</v>
      </c>
      <c r="CL160" s="57">
        <v>1</v>
      </c>
      <c r="CM160" s="57">
        <v>1</v>
      </c>
      <c r="CN160" s="57">
        <v>1</v>
      </c>
      <c r="CO160" s="58">
        <v>1</v>
      </c>
      <c r="CP160" s="58">
        <v>1</v>
      </c>
      <c r="CQ160" s="57">
        <v>1</v>
      </c>
      <c r="CR160" s="57">
        <v>1</v>
      </c>
      <c r="CS160" s="57">
        <v>1</v>
      </c>
      <c r="CT160" s="57">
        <v>1</v>
      </c>
      <c r="CU160" s="57">
        <v>1</v>
      </c>
      <c r="CV160" s="58">
        <v>1</v>
      </c>
      <c r="CW160" s="58">
        <v>1</v>
      </c>
      <c r="CX160" s="57">
        <v>1</v>
      </c>
      <c r="CY160" s="57">
        <v>1</v>
      </c>
      <c r="CZ160" s="57">
        <v>1</v>
      </c>
      <c r="DA160" s="57">
        <v>1</v>
      </c>
      <c r="DB160" s="57">
        <v>1</v>
      </c>
      <c r="DC160" s="58">
        <v>1</v>
      </c>
      <c r="DD160" s="58">
        <v>1</v>
      </c>
      <c r="DE160" s="57">
        <v>1</v>
      </c>
      <c r="DF160" s="57">
        <v>1</v>
      </c>
      <c r="DG160" s="57">
        <v>1</v>
      </c>
      <c r="DH160" s="57">
        <v>1</v>
      </c>
      <c r="DI160" s="57">
        <v>1</v>
      </c>
      <c r="DJ160" s="58">
        <v>1</v>
      </c>
      <c r="DK160" s="58">
        <v>1</v>
      </c>
      <c r="DL160" s="57">
        <v>1</v>
      </c>
      <c r="DM160" s="57">
        <v>1</v>
      </c>
      <c r="DN160" s="57">
        <v>1</v>
      </c>
      <c r="DO160" s="57">
        <v>1</v>
      </c>
      <c r="DP160" s="57">
        <v>1</v>
      </c>
      <c r="DQ160" s="58">
        <v>1</v>
      </c>
      <c r="DR160" s="58">
        <v>1</v>
      </c>
      <c r="DS160" s="57">
        <v>1</v>
      </c>
      <c r="DT160" s="57">
        <v>1</v>
      </c>
      <c r="DU160" s="57">
        <v>1</v>
      </c>
      <c r="DV160" s="57">
        <v>1</v>
      </c>
      <c r="DW160" s="57">
        <v>1</v>
      </c>
      <c r="DX160" s="58">
        <v>0</v>
      </c>
      <c r="DY160" s="58">
        <v>0</v>
      </c>
      <c r="DZ160" s="57">
        <v>1</v>
      </c>
      <c r="EA160" s="57">
        <v>1</v>
      </c>
      <c r="EB160" s="57">
        <v>1</v>
      </c>
      <c r="EC160" s="57">
        <v>1</v>
      </c>
      <c r="ED160" s="57">
        <v>1</v>
      </c>
      <c r="EE160" s="58">
        <v>0</v>
      </c>
      <c r="EF160" s="58">
        <v>0</v>
      </c>
      <c r="EG160" s="57">
        <v>1</v>
      </c>
      <c r="EH160" s="57">
        <v>1</v>
      </c>
      <c r="EI160" s="57">
        <v>1</v>
      </c>
      <c r="EJ160" s="57">
        <v>1</v>
      </c>
      <c r="EK160" s="59">
        <v>1</v>
      </c>
      <c r="OU160" s="60" t="s">
        <v>97</v>
      </c>
    </row>
    <row r="161" ht="16" customHeight="1" spans="1:411" x14ac:dyDescent="0.25">
      <c r="A161" s="45"/>
      <c r="B161" s="46"/>
      <c r="C161" s="47"/>
      <c r="D161" s="48"/>
      <c r="E161" s="55" t="s">
        <v>61</v>
      </c>
      <c r="F161" s="49"/>
      <c r="G161" s="49"/>
      <c r="H161" s="49"/>
      <c r="I161" s="49"/>
      <c r="J161" s="50"/>
      <c r="K161" s="56">
        <v>8</v>
      </c>
      <c r="L161" s="57">
        <v>8</v>
      </c>
      <c r="M161" s="57">
        <v>8</v>
      </c>
      <c r="N161" s="57">
        <v>8</v>
      </c>
      <c r="O161" s="57">
        <v>8</v>
      </c>
      <c r="P161" s="58">
        <v>0</v>
      </c>
      <c r="Q161" s="58">
        <v>0</v>
      </c>
      <c r="R161" s="57">
        <v>8</v>
      </c>
      <c r="S161" s="57">
        <v>8</v>
      </c>
      <c r="T161" s="57">
        <v>8</v>
      </c>
      <c r="U161" s="57">
        <v>8</v>
      </c>
      <c r="V161" s="57">
        <v>8</v>
      </c>
      <c r="W161" s="58">
        <v>0</v>
      </c>
      <c r="X161" s="58">
        <v>0</v>
      </c>
      <c r="Y161" s="57">
        <v>8</v>
      </c>
      <c r="Z161" s="57">
        <v>8</v>
      </c>
      <c r="AA161" s="57">
        <v>8</v>
      </c>
      <c r="AB161" s="57">
        <v>8</v>
      </c>
      <c r="AC161" s="57">
        <v>8</v>
      </c>
      <c r="AD161" s="58">
        <v>0</v>
      </c>
      <c r="AE161" s="58">
        <v>0</v>
      </c>
      <c r="AF161" s="57">
        <v>8</v>
      </c>
      <c r="AG161" s="57">
        <v>8</v>
      </c>
      <c r="AH161" s="57">
        <v>8</v>
      </c>
      <c r="AI161" s="57">
        <v>8</v>
      </c>
      <c r="AJ161" s="57">
        <v>8</v>
      </c>
      <c r="AK161" s="58">
        <v>0</v>
      </c>
      <c r="AL161" s="58">
        <v>0</v>
      </c>
      <c r="AM161" s="57">
        <v>8</v>
      </c>
      <c r="AN161" s="57">
        <v>8</v>
      </c>
      <c r="AO161" s="57">
        <v>8</v>
      </c>
      <c r="AP161" s="57">
        <v>8</v>
      </c>
      <c r="AQ161" s="57">
        <v>8</v>
      </c>
      <c r="AR161" s="58">
        <v>0</v>
      </c>
      <c r="AS161" s="58">
        <v>0</v>
      </c>
      <c r="AT161" s="57">
        <v>8</v>
      </c>
      <c r="AU161" s="57">
        <v>8</v>
      </c>
      <c r="AV161" s="57">
        <v>8</v>
      </c>
      <c r="AW161" s="57">
        <v>8</v>
      </c>
      <c r="AX161" s="57">
        <v>8</v>
      </c>
      <c r="AY161" s="58">
        <v>0</v>
      </c>
      <c r="AZ161" s="58">
        <v>0</v>
      </c>
      <c r="BA161" s="57">
        <v>8</v>
      </c>
      <c r="BB161" s="57">
        <v>8</v>
      </c>
      <c r="BC161" s="57">
        <v>8</v>
      </c>
      <c r="BD161" s="57">
        <v>8</v>
      </c>
      <c r="BE161" s="57">
        <v>8</v>
      </c>
      <c r="BF161" s="58">
        <v>0</v>
      </c>
      <c r="BG161" s="58">
        <v>0</v>
      </c>
      <c r="BH161" s="57">
        <v>13</v>
      </c>
      <c r="BI161" s="57">
        <v>13</v>
      </c>
      <c r="BJ161" s="57">
        <v>13</v>
      </c>
      <c r="BK161" s="57">
        <v>13</v>
      </c>
      <c r="BL161" s="57">
        <v>13</v>
      </c>
      <c r="BM161" s="58">
        <v>13</v>
      </c>
      <c r="BN161" s="58">
        <v>13</v>
      </c>
      <c r="BO161" s="57">
        <v>13</v>
      </c>
      <c r="BP161" s="57">
        <v>13</v>
      </c>
      <c r="BQ161" s="57">
        <v>13</v>
      </c>
      <c r="BR161" s="57">
        <v>13</v>
      </c>
      <c r="BS161" s="57">
        <v>13</v>
      </c>
      <c r="BT161" s="58">
        <v>13</v>
      </c>
      <c r="BU161" s="58">
        <v>13</v>
      </c>
      <c r="BV161" s="57">
        <v>13</v>
      </c>
      <c r="BW161" s="57">
        <v>13</v>
      </c>
      <c r="BX161" s="57">
        <v>13</v>
      </c>
      <c r="BY161" s="57">
        <v>13</v>
      </c>
      <c r="BZ161" s="57">
        <v>13</v>
      </c>
      <c r="CA161" s="58">
        <v>13</v>
      </c>
      <c r="CB161" s="58">
        <v>13</v>
      </c>
      <c r="CC161" s="57">
        <v>13</v>
      </c>
      <c r="CD161" s="57">
        <v>13</v>
      </c>
      <c r="CE161" s="57">
        <v>13</v>
      </c>
      <c r="CF161" s="57">
        <v>13</v>
      </c>
      <c r="CG161" s="57">
        <v>13</v>
      </c>
      <c r="CH161" s="58">
        <v>13</v>
      </c>
      <c r="CI161" s="58">
        <v>13</v>
      </c>
      <c r="CJ161" s="57">
        <v>13</v>
      </c>
      <c r="CK161" s="57">
        <v>13</v>
      </c>
      <c r="CL161" s="57">
        <v>13</v>
      </c>
      <c r="CM161" s="57">
        <v>13</v>
      </c>
      <c r="CN161" s="57">
        <v>13</v>
      </c>
      <c r="CO161" s="58">
        <v>13</v>
      </c>
      <c r="CP161" s="58">
        <v>13</v>
      </c>
      <c r="CQ161" s="57">
        <v>13</v>
      </c>
      <c r="CR161" s="57">
        <v>13</v>
      </c>
      <c r="CS161" s="57">
        <v>13</v>
      </c>
      <c r="CT161" s="57">
        <v>13</v>
      </c>
      <c r="CU161" s="57">
        <v>13</v>
      </c>
      <c r="CV161" s="58">
        <v>13</v>
      </c>
      <c r="CW161" s="58">
        <v>13</v>
      </c>
      <c r="CX161" s="57">
        <v>13</v>
      </c>
      <c r="CY161" s="57">
        <v>13</v>
      </c>
      <c r="CZ161" s="57">
        <v>13</v>
      </c>
      <c r="DA161" s="57">
        <v>13</v>
      </c>
      <c r="DB161" s="57">
        <v>13</v>
      </c>
      <c r="DC161" s="58">
        <v>13</v>
      </c>
      <c r="DD161" s="58">
        <v>13</v>
      </c>
      <c r="DE161" s="57">
        <v>13</v>
      </c>
      <c r="DF161" s="57">
        <v>13</v>
      </c>
      <c r="DG161" s="57">
        <v>13</v>
      </c>
      <c r="DH161" s="57">
        <v>13</v>
      </c>
      <c r="DI161" s="57">
        <v>13</v>
      </c>
      <c r="DJ161" s="58">
        <v>13</v>
      </c>
      <c r="DK161" s="58">
        <v>13</v>
      </c>
      <c r="DL161" s="57">
        <v>13</v>
      </c>
      <c r="DM161" s="57">
        <v>13</v>
      </c>
      <c r="DN161" s="57">
        <v>13</v>
      </c>
      <c r="DO161" s="57">
        <v>13</v>
      </c>
      <c r="DP161" s="57">
        <v>13</v>
      </c>
      <c r="DQ161" s="58">
        <v>13</v>
      </c>
      <c r="DR161" s="58">
        <v>13</v>
      </c>
      <c r="DS161" s="57">
        <v>13</v>
      </c>
      <c r="DT161" s="57">
        <v>8</v>
      </c>
      <c r="DU161" s="57">
        <v>8</v>
      </c>
      <c r="DV161" s="57">
        <v>8</v>
      </c>
      <c r="DW161" s="57">
        <v>8</v>
      </c>
      <c r="DX161" s="58">
        <v>0</v>
      </c>
      <c r="DY161" s="58">
        <v>0</v>
      </c>
      <c r="DZ161" s="57">
        <v>8</v>
      </c>
      <c r="EA161" s="57">
        <v>8</v>
      </c>
      <c r="EB161" s="57">
        <v>8</v>
      </c>
      <c r="EC161" s="57">
        <v>8</v>
      </c>
      <c r="ED161" s="57">
        <v>8</v>
      </c>
      <c r="EE161" s="58">
        <v>0</v>
      </c>
      <c r="EF161" s="58">
        <v>0</v>
      </c>
      <c r="EG161" s="57">
        <v>8</v>
      </c>
      <c r="EH161" s="57">
        <v>8</v>
      </c>
      <c r="EI161" s="57">
        <v>8</v>
      </c>
      <c r="EJ161" s="57">
        <v>8</v>
      </c>
      <c r="EK161" s="59">
        <v>8</v>
      </c>
      <c r="OU161" s="60" t="s">
        <v>97</v>
      </c>
    </row>
    <row r="162" ht="16" customHeight="1" spans="1:411" x14ac:dyDescent="0.25">
      <c r="A162" s="45"/>
      <c r="B162" s="46"/>
      <c r="C162" s="61">
        <f>F159*N(D162)</f>
        <v>110965.8</v>
      </c>
      <c r="D162" s="61">
        <f>IF(TRIM(B159)="","No rate",IFERROR(INDEX('Rate Tables'!C$7:C$158,MATCH(B159,'Rate Tables'!A$7:A$158,0)),"No rate"))</f>
        <v>141.9</v>
      </c>
      <c r="E162" s="55" t="s">
        <v>62</v>
      </c>
      <c r="F162" s="49"/>
      <c r="G162" s="49"/>
      <c r="H162" s="49"/>
      <c r="I162" s="49"/>
      <c r="J162" s="50"/>
      <c r="K162" s="62">
        <f>IF(AND(K160=1,K161=8),8,MIN(IF(K160&lt;=0,0,IF(WEEKDAY(K$6,1)=1,0,MIN(8,K161)*K160)),MAX(0,40*MAX(1,K160)-(0))))</f>
        <v>8</v>
      </c>
      <c r="L162" s="63">
        <f>IF(AND(L160=1,L161=8),8,MIN(IF(L160&lt;=0,0,IF(WEEKDAY(L$6,1)=1,0,MIN(8,L161)*L160)),MAX(0,40*MAX(1,L160)-(K162))))</f>
        <v>8</v>
      </c>
      <c r="M162" s="63">
        <f>IF(AND(M160=1,M161=8),8,MIN(IF(M160&lt;=0,0,IF(WEEKDAY(M$6,1)=1,0,MIN(8,M161)*M160)),MAX(0,40*MAX(1,M160)-(K162+L162))))</f>
        <v>8</v>
      </c>
      <c r="N162" s="63">
        <f>IF(AND(N160=1,N161=8),8,MIN(IF(N160&lt;=0,0,IF(WEEKDAY(N$6,1)=1,0,MIN(8,N161)*N160)),MAX(0,40*MAX(1,N160)-(K162+L162+M162))))</f>
        <v>8</v>
      </c>
      <c r="O162" s="63">
        <f>IF(AND(O160=1,O161=8),8,MIN(IF(O160&lt;=0,0,IF(WEEKDAY(O$6,1)=1,0,MIN(8,O161)*O160)),MAX(0,40*MAX(1,O160)-(K162+L162+M162+N162))))</f>
        <v>8</v>
      </c>
      <c r="P162" s="64">
        <f>IF(AND(P160=0,P161=0),0,MIN(IF(P160&lt;=0,0,IF(WEEKDAY(P$6,1)=1,0,MIN(10,P161)*P160)),MAX(0,40*MAX(1,P160)-(0))))</f>
        <v>0</v>
      </c>
      <c r="Q162" s="64">
        <f>IF(AND(Q160=0,Q161=0),0,MIN(IF(Q160&lt;=0,0,IF(WEEKDAY(Q$6,1)=1,0,MIN(10,Q161)*Q160)),MAX(0,40*MAX(1,Q160)-(P162))))</f>
        <v>0</v>
      </c>
      <c r="R162" s="63">
        <f>IF(AND(R160=1,R161=8),8,MIN(IF(R160&lt;=0,0,IF(WEEKDAY(R$6,1)=1,0,MIN(8,R161)*R160)),MAX(0,40*MAX(1,R160)-(0))))</f>
        <v>8</v>
      </c>
      <c r="S162" s="63">
        <f>IF(AND(S160=1,S161=8),8,MIN(IF(S160&lt;=0,0,IF(WEEKDAY(S$6,1)=1,0,MIN(8,S161)*S160)),MAX(0,40*MAX(1,S160)-(R162))))</f>
        <v>8</v>
      </c>
      <c r="T162" s="63">
        <f>IF(AND(T160=1,T161=8),8,MIN(IF(T160&lt;=0,0,IF(WEEKDAY(T$6,1)=1,0,MIN(8,T161)*T160)),MAX(0,40*MAX(1,T160)-(R162+S162))))</f>
        <v>8</v>
      </c>
      <c r="U162" s="63">
        <f>IF(AND(U160=1,U161=8),8,MIN(IF(U160&lt;=0,0,IF(WEEKDAY(U$6,1)=1,0,MIN(8,U161)*U160)),MAX(0,40*MAX(1,U160)-(R162+S162+T162))))</f>
        <v>8</v>
      </c>
      <c r="V162" s="63">
        <f>IF(AND(V160=1,V161=8),8,MIN(IF(V160&lt;=0,0,IF(WEEKDAY(V$6,1)=1,0,MIN(8,V161)*V160)),MAX(0,40*MAX(1,V160)-(R162+S162+T162+U162))))</f>
        <v>8</v>
      </c>
      <c r="W162" s="64">
        <f>IF(AND(W160=0,W161=0),0,MIN(IF(W160&lt;=0,0,IF(WEEKDAY(W$6,1)=1,0,MIN(10,W161)*W160)),MAX(0,40*MAX(1,W160)-(0))))</f>
        <v>0</v>
      </c>
      <c r="X162" s="64">
        <f>IF(AND(X160=0,X161=0),0,MIN(IF(X160&lt;=0,0,IF(WEEKDAY(X$6,1)=1,0,MIN(10,X161)*X160)),MAX(0,40*MAX(1,X160)-(W162))))</f>
        <v>0</v>
      </c>
      <c r="Y162" s="63">
        <f>IF(AND(Y160=1,Y161=8),8,MIN(IF(Y160&lt;=0,0,IF(WEEKDAY(Y$6,1)=1,0,MIN(8,Y161)*Y160)),MAX(0,40*MAX(1,Y160)-(0))))</f>
        <v>8</v>
      </c>
      <c r="Z162" s="63">
        <f>IF(AND(Z160=1,Z161=8),8,MIN(IF(Z160&lt;=0,0,IF(WEEKDAY(Z$6,1)=1,0,MIN(8,Z161)*Z160)),MAX(0,40*MAX(1,Z160)-(Y162))))</f>
        <v>8</v>
      </c>
      <c r="AA162" s="63">
        <f>IF(AND(AA160=1,AA161=8),8,MIN(IF(AA160&lt;=0,0,IF(WEEKDAY(AA$6,1)=1,0,MIN(8,AA161)*AA160)),MAX(0,40*MAX(1,AA160)-(Y162+Z162))))</f>
        <v>8</v>
      </c>
      <c r="AB162" s="63">
        <f>IF(AND(AB160=1,AB161=8),8,MIN(IF(AB160&lt;=0,0,IF(WEEKDAY(AB$6,1)=1,0,MIN(8,AB161)*AB160)),MAX(0,40*MAX(1,AB160)-(Y162+Z162+AA162))))</f>
        <v>8</v>
      </c>
      <c r="AC162" s="63">
        <f>IF(AND(AC160=1,AC161=8),8,MIN(IF(AC160&lt;=0,0,IF(WEEKDAY(AC$6,1)=1,0,MIN(8,AC161)*AC160)),MAX(0,40*MAX(1,AC160)-(Y162+Z162+AA162+AB162))))</f>
        <v>8</v>
      </c>
      <c r="AD162" s="64">
        <f>IF(AND(AD160=0,AD161=0),0,MIN(IF(AD160&lt;=0,0,IF(WEEKDAY(AD$6,1)=1,0,MIN(10,AD161)*AD160)),MAX(0,40*MAX(1,AD160)-(0))))</f>
        <v>0</v>
      </c>
      <c r="AE162" s="64">
        <f>IF(AND(AE160=0,AE161=0),0,MIN(IF(AE160&lt;=0,0,IF(WEEKDAY(AE$6,1)=1,0,MIN(10,AE161)*AE160)),MAX(0,40*MAX(1,AE160)-(AD162))))</f>
        <v>0</v>
      </c>
      <c r="AF162" s="63">
        <f>IF(AND(AF160=1,AF161=8),8,MIN(IF(AF160&lt;=0,0,IF(WEEKDAY(AF$6,1)=1,0,MIN(8,AF161)*AF160)),MAX(0,40*MAX(1,AF160)-(0))))</f>
        <v>8</v>
      </c>
      <c r="AG162" s="63">
        <f>IF(AND(AG160=1,AG161=8),8,MIN(IF(AG160&lt;=0,0,IF(WEEKDAY(AG$6,1)=1,0,MIN(8,AG161)*AG160)),MAX(0,40*MAX(1,AG160)-(AF162))))</f>
        <v>8</v>
      </c>
      <c r="AH162" s="63">
        <f>IF(AND(AH160=1,AH161=8),8,MIN(IF(AH160&lt;=0,0,IF(WEEKDAY(AH$6,1)=1,0,MIN(8,AH161)*AH160)),MAX(0,40*MAX(1,AH160)-(AF162+AG162))))</f>
        <v>8</v>
      </c>
      <c r="AI162" s="63">
        <f>IF(AND(AI160=1,AI161=8),8,MIN(IF(AI160&lt;=0,0,IF(WEEKDAY(AI$6,1)=1,0,MIN(8,AI161)*AI160)),MAX(0,40*MAX(1,AI160)-(AF162+AG162+AH162))))</f>
        <v>8</v>
      </c>
      <c r="AJ162" s="63">
        <f>IF(AND(AJ160=1,AJ161=8),8,MIN(IF(AJ160&lt;=0,0,IF(WEEKDAY(AJ$6,1)=1,0,MIN(8,AJ161)*AJ160)),MAX(0,40*MAX(1,AJ160)-(AF162+AG162+AH162+AI162))))</f>
        <v>8</v>
      </c>
      <c r="AK162" s="64">
        <f>IF(AND(AK160=0,AK161=0),0,MIN(IF(AK160&lt;=0,0,IF(WEEKDAY(AK$6,1)=1,0,MIN(10,AK161)*AK160)),MAX(0,40*MAX(1,AK160)-(0))))</f>
        <v>0</v>
      </c>
      <c r="AL162" s="64">
        <f>IF(AND(AL160=0,AL161=0),0,MIN(IF(AL160&lt;=0,0,IF(WEEKDAY(AL$6,1)=1,0,MIN(10,AL161)*AL160)),MAX(0,40*MAX(1,AL160)-(AK162))))</f>
        <v>0</v>
      </c>
      <c r="AM162" s="63">
        <f>IF(AND(AM160=1,AM161=8),8,MIN(IF(AM160&lt;=0,0,IF(WEEKDAY(AM$6,1)=1,0,MIN(8,AM161)*AM160)),MAX(0,40*MAX(1,AM160)-(0))))</f>
        <v>8</v>
      </c>
      <c r="AN162" s="63">
        <f>IF(AND(AN160=1,AN161=8),8,MIN(IF(AN160&lt;=0,0,IF(WEEKDAY(AN$6,1)=1,0,MIN(8,AN161)*AN160)),MAX(0,40*MAX(1,AN160)-(AM162))))</f>
        <v>8</v>
      </c>
      <c r="AO162" s="63">
        <f>IF(AND(AO160=1,AO161=8),8,MIN(IF(AO160&lt;=0,0,IF(WEEKDAY(AO$6,1)=1,0,MIN(8,AO161)*AO160)),MAX(0,40*MAX(1,AO160)-(AM162+AN162))))</f>
        <v>8</v>
      </c>
      <c r="AP162" s="63">
        <f>IF(AND(AP160=1,AP161=8),8,MIN(IF(AP160&lt;=0,0,IF(WEEKDAY(AP$6,1)=1,0,MIN(8,AP161)*AP160)),MAX(0,40*MAX(1,AP160)-(AM162+AN162+AO162))))</f>
        <v>8</v>
      </c>
      <c r="AQ162" s="63">
        <f>IF(AND(AQ160=1,AQ161=8),8,MIN(IF(AQ160&lt;=0,0,IF(WEEKDAY(AQ$6,1)=1,0,MIN(8,AQ161)*AQ160)),MAX(0,40*MAX(1,AQ160)-(AM162+AN162+AO162+AP162))))</f>
        <v>8</v>
      </c>
      <c r="AR162" s="64">
        <f>IF(AND(AR160=0,AR161=0),0,MIN(IF(AR160&lt;=0,0,IF(WEEKDAY(AR$6,1)=1,0,MIN(10,AR161)*AR160)),MAX(0,40*MAX(1,AR160)-(0))))</f>
        <v>0</v>
      </c>
      <c r="AS162" s="64">
        <f>IF(AND(AS160=0,AS161=0),0,MIN(IF(AS160&lt;=0,0,IF(WEEKDAY(AS$6,1)=1,0,MIN(10,AS161)*AS160)),MAX(0,40*MAX(1,AS160)-(AR162))))</f>
        <v>0</v>
      </c>
      <c r="AT162" s="63">
        <f>IF(AND(AT160=1,AT161=8),8,MIN(IF(AT160&lt;=0,0,IF(WEEKDAY(AT$6,1)=1,0,MIN(8,AT161)*AT160)),MAX(0,40*MAX(1,AT160)-(0))))</f>
        <v>8</v>
      </c>
      <c r="AU162" s="63">
        <f>IF(AND(AU160=1,AU161=8),8,MIN(IF(AU160&lt;=0,0,IF(WEEKDAY(AU$6,1)=1,0,MIN(8,AU161)*AU160)),MAX(0,40*MAX(1,AU160)-(AT162))))</f>
        <v>8</v>
      </c>
      <c r="AV162" s="63">
        <f>IF(AND(AV160=1,AV161=8),8,MIN(IF(AV160&lt;=0,0,IF(WEEKDAY(AV$6,1)=1,0,MIN(8,AV161)*AV160)),MAX(0,40*MAX(1,AV160)-(AT162+AU162))))</f>
        <v>8</v>
      </c>
      <c r="AW162" s="63">
        <f>IF(AND(AW160=1,AW161=8),8,MIN(IF(AW160&lt;=0,0,IF(WEEKDAY(AW$6,1)=1,0,MIN(8,AW161)*AW160)),MAX(0,40*MAX(1,AW160)-(AT162+AU162+AV162))))</f>
        <v>8</v>
      </c>
      <c r="AX162" s="63">
        <f>IF(AND(AX160=1,AX161=8),8,MIN(IF(AX160&lt;=0,0,IF(WEEKDAY(AX$6,1)=1,0,MIN(8,AX161)*AX160)),MAX(0,40*MAX(1,AX160)-(AT162+AU162+AV162+AW162))))</f>
        <v>8</v>
      </c>
      <c r="AY162" s="64">
        <f>IF(AND(AY160=0,AY161=0),0,MIN(IF(AY160&lt;=0,0,IF(WEEKDAY(AY$6,1)=1,0,MIN(10,AY161)*AY160)),MAX(0,40*MAX(1,AY160)-(0))))</f>
        <v>0</v>
      </c>
      <c r="AZ162" s="64">
        <f>IF(AND(AZ160=0,AZ161=0),0,MIN(IF(AZ160&lt;=0,0,IF(WEEKDAY(AZ$6,1)=1,0,MIN(10,AZ161)*AZ160)),MAX(0,40*MAX(1,AZ160)-(AY162))))</f>
        <v>0</v>
      </c>
      <c r="BA162" s="63">
        <f>IF(AND(BA160=1,BA161=8),8,MIN(IF(BA160&lt;=0,0,IF(WEEKDAY(BA$6,1)=1,0,MIN(8,BA161)*BA160)),MAX(0,40*MAX(1,BA160)-(0))))</f>
        <v>8</v>
      </c>
      <c r="BB162" s="63">
        <f>IF(AND(BB160=1,BB161=8),8,MIN(IF(BB160&lt;=0,0,IF(WEEKDAY(BB$6,1)=1,0,MIN(8,BB161)*BB160)),MAX(0,40*MAX(1,BB160)-(BA162))))</f>
        <v>8</v>
      </c>
      <c r="BC162" s="63">
        <f>IF(AND(BC160=1,BC161=8),8,MIN(IF(BC160&lt;=0,0,IF(WEEKDAY(BC$6,1)=1,0,MIN(8,BC161)*BC160)),MAX(0,40*MAX(1,BC160)-(BA162+BB162))))</f>
        <v>8</v>
      </c>
      <c r="BD162" s="63">
        <f>IF(AND(BD160=1,BD161=8),8,MIN(IF(BD160&lt;=0,0,IF(WEEKDAY(BD$6,1)=1,0,MIN(8,BD161)*BD160)),MAX(0,40*MAX(1,BD160)-(BA162+BB162+BC162))))</f>
        <v>8</v>
      </c>
      <c r="BE162" s="63">
        <f>IF(AND(BE160=1,BE161=8),8,MIN(IF(BE160&lt;=0,0,IF(WEEKDAY(BE$6,1)=1,0,MIN(8,BE161)*BE160)),MAX(0,40*MAX(1,BE160)-(BA162+BB162+BC162+BD162))))</f>
        <v>8</v>
      </c>
      <c r="BF162" s="64">
        <f>IF(AND(BF160=0,BF161=0),0,MIN(IF(BF160&lt;=0,0,IF(WEEKDAY(BF$6,1)=1,0,MIN(10,BF161)*BF160)),MAX(0,40*MAX(1,BF160)-(0))))</f>
        <v>0</v>
      </c>
      <c r="BG162" s="64">
        <f>IF(AND(BG160=0,BG161=0),0,MIN(IF(BG160&lt;=0,0,IF(WEEKDAY(BG$6,1)=1,0,MIN(10,BG161)*BG160)),MAX(0,40*MAX(1,BG160)-(BF162))))</f>
        <v>0</v>
      </c>
      <c r="BH162" s="63">
        <f>IF(AND(BH160=1,BH161=13),10,MIN(IF(BH160&lt;=0,0,IF(WEEKDAY(BH$6,1)=1,0,MIN(10,BH161)*BH160)),MAX(0,40*MAX(1,BH160)-(0))))</f>
        <v>10</v>
      </c>
      <c r="BI162" s="63">
        <f>IF(AND(BI160=1,BI161=13),10,MIN(IF(BI160&lt;=0,0,IF(WEEKDAY(BI$6,1)=1,0,MIN(10,BI161)*BI160)),MAX(0,40*MAX(1,BI160)-(BH162))))</f>
        <v>10</v>
      </c>
      <c r="BJ162" s="63">
        <f>IF(AND(BJ160=1,BJ161=13),10,MIN(IF(BJ160&lt;=0,0,IF(WEEKDAY(BJ$6,1)=1,0,MIN(10,BJ161)*BJ160)),MAX(0,40*MAX(1,BJ160)-(BH162+BI162))))</f>
        <v>10</v>
      </c>
      <c r="BK162" s="63">
        <f>IF(AND(BK160=1,BK161=13),10,MIN(IF(BK160&lt;=0,0,IF(WEEKDAY(BK$6,1)=1,0,MIN(10,BK161)*BK160)),MAX(0,40*MAX(1,BK160)-(BH162+BI162+BJ162))))</f>
        <v>10</v>
      </c>
      <c r="BL162" s="63">
        <f>IF(AND(BL160=1,BL161=13),0,MIN(IF(BL160&lt;=0,0,IF(WEEKDAY(BL$6,1)=1,0,MIN(10,BL161)*BL160)),MAX(0,40*MAX(1,BL160)-(BH162+BI162+BJ162+BK162))))</f>
        <v>0</v>
      </c>
      <c r="BM162" s="64">
        <f>IF(AND(BM160=1,BM161=13),0,MIN(IF(BM160&lt;=0,0,IF(WEEKDAY(BM$6,1)=1,0,MIN(10,BM161)*BM160)),MAX(0,40*MAX(1,BM160)-(BH162+BI162+BJ162+BK162+BL162))))</f>
        <v>0</v>
      </c>
      <c r="BN162" s="64">
        <f>IF(AND(BN160=1,BN161=13),0,MIN(IF(BN160&lt;=0,0,IF(WEEKDAY(BN$6,1)=1,0,MIN(10,BN161)*BN160)),MAX(0,40*MAX(1,BN160)-(BH162+BI162+BJ162+BK162+BL162+BM162))))</f>
        <v>0</v>
      </c>
      <c r="BO162" s="63">
        <f>IF(AND(BO160=1,BO161=13),10,MIN(IF(BO160&lt;=0,0,IF(WEEKDAY(BO$6,1)=1,0,MIN(10,BO161)*BO160)),MAX(0,40*MAX(1,BO160)-(0))))</f>
        <v>10</v>
      </c>
      <c r="BP162" s="63">
        <f>IF(AND(BP160=1,BP161=13),10,MIN(IF(BP160&lt;=0,0,IF(WEEKDAY(BP$6,1)=1,0,MIN(10,BP161)*BP160)),MAX(0,40*MAX(1,BP160)-(BO162))))</f>
        <v>10</v>
      </c>
      <c r="BQ162" s="63">
        <f>IF(AND(BQ160=1,BQ161=13),10,MIN(IF(BQ160&lt;=0,0,IF(WEEKDAY(BQ$6,1)=1,0,MIN(10,BQ161)*BQ160)),MAX(0,40*MAX(1,BQ160)-(BO162+BP162))))</f>
        <v>10</v>
      </c>
      <c r="BR162" s="63">
        <f>IF(AND(BR160=1,BR161=13),10,MIN(IF(BR160&lt;=0,0,IF(WEEKDAY(BR$6,1)=1,0,MIN(10,BR161)*BR160)),MAX(0,40*MAX(1,BR160)-(0))))</f>
        <v>10</v>
      </c>
      <c r="BS162" s="63">
        <f>IF(AND(BS160=1,BS161=13),10,MIN(IF(BS160&lt;=0,0,IF(WEEKDAY(BS$6,1)=1,0,MIN(10,BS161)*BS160)),MAX(0,40*MAX(1,BS160)-(BR162))))</f>
        <v>10</v>
      </c>
      <c r="BT162" s="64">
        <f>IF(AND(BT160=1,BT161=13),10,MIN(IF(BT160&lt;=0,0,IF(WEEKDAY(BT$6,1)=1,0,MIN(10,BT161)*BT160)),MAX(0,40*MAX(1,BT160)-(BR162+BS162))))</f>
        <v>10</v>
      </c>
      <c r="BU162" s="64">
        <f>IF(AND(BU160=1,BU161=13),0,MIN(IF(BU160&lt;=0,0,IF(WEEKDAY(BU$6,1)=1,0,MIN(10,BU161)*BU160)),MAX(0,40*MAX(1,BU160)-(BR162+BS162+BT162))))</f>
        <v>0</v>
      </c>
      <c r="BV162" s="63">
        <f>IF(AND(BV160=1,BV161=13),10,MIN(IF(BV160&lt;=0,0,IF(WEEKDAY(BV$6,1)=1,0,MIN(10,BV161)*BV160)),MAX(0,40*MAX(1,BV160)-(0))))</f>
        <v>10</v>
      </c>
      <c r="BW162" s="63">
        <f>IF(AND(BW160=1,BW161=13),10,MIN(IF(BW160&lt;=0,0,IF(WEEKDAY(BW$6,1)=1,0,MIN(10,BW161)*BW160)),MAX(0,40*MAX(1,BW160)-(BV162))))</f>
        <v>10</v>
      </c>
      <c r="BX162" s="63">
        <f>IF(AND(BX160=1,BX161=13),10,MIN(IF(BX160&lt;=0,0,IF(WEEKDAY(BX$6,1)=1,0,MIN(10,BX161)*BX160)),MAX(0,40*MAX(1,BX160)-(BV162+BW162))))</f>
        <v>10</v>
      </c>
      <c r="BY162" s="63">
        <f>IF(AND(BY160=1,BY161=13),10,MIN(IF(BY160&lt;=0,0,IF(WEEKDAY(BY$6,1)=1,0,MIN(10,BY161)*BY160)),MAX(0,40*MAX(1,BY160)-(BV162+BW162+BX162))))</f>
        <v>10</v>
      </c>
      <c r="BZ162" s="63">
        <f>IF(AND(BZ160=1,BZ161=13),0,MIN(IF(BZ160&lt;=0,0,IF(WEEKDAY(BZ$6,1)=1,0,MIN(10,BZ161)*BZ160)),MAX(0,40*MAX(1,BZ160)-(BV162+BW162+BX162+BY162))))</f>
        <v>0</v>
      </c>
      <c r="CA162" s="64">
        <f>IF(AND(CA160=1,CA161=13),0,MIN(IF(CA160&lt;=0,0,IF(WEEKDAY(CA$6,1)=1,0,MIN(10,CA161)*CA160)),MAX(0,40*MAX(1,CA160)-(BV162+BW162+BX162+BY162+BZ162))))</f>
        <v>0</v>
      </c>
      <c r="CB162" s="64">
        <f>IF(AND(CB160=1,CB161=13),0,MIN(IF(CB160&lt;=0,0,IF(WEEKDAY(CB$6,1)=1,0,MIN(10,CB161)*CB160)),MAX(0,40*MAX(1,CB160)-(BV162+BW162+BX162+BY162+BZ162+CA162))))</f>
        <v>0</v>
      </c>
      <c r="CC162" s="63">
        <f>IF(AND(CC160=1,CC161=13),10,MIN(IF(CC160&lt;=0,0,IF(WEEKDAY(CC$6,1)=1,0,MIN(10,CC161)*CC160)),MAX(0,40*MAX(1,CC160)-(0))))</f>
        <v>10</v>
      </c>
      <c r="CD162" s="63">
        <f>IF(AND(CD160=1,CD161=13),10,MIN(IF(CD160&lt;=0,0,IF(WEEKDAY(CD$6,1)=1,0,MIN(10,CD161)*CD160)),MAX(0,40*MAX(1,CD160)-(CC162))))</f>
        <v>10</v>
      </c>
      <c r="CE162" s="63">
        <f>IF(AND(CE160=1,CE161=13),10,MIN(IF(CE160&lt;=0,0,IF(WEEKDAY(CE$6,1)=1,0,MIN(10,CE161)*CE160)),MAX(0,40*MAX(1,CE160)-(CC162+CD162))))</f>
        <v>10</v>
      </c>
      <c r="CF162" s="63">
        <f>IF(AND(CF160=1,CF161=13),10,MIN(IF(CF160&lt;=0,0,IF(WEEKDAY(CF$6,1)=1,0,MIN(10,CF161)*CF160)),MAX(0,40*MAX(1,CF160)-(CC162+CD162+CE162))))</f>
        <v>10</v>
      </c>
      <c r="CG162" s="63">
        <f>IF(AND(CG160=1,CG161=13),0,MIN(IF(CG160&lt;=0,0,IF(WEEKDAY(CG$6,1)=1,0,MIN(10,CG161)*CG160)),MAX(0,40*MAX(1,CG160)-(CC162+CD162+CE162+CF162))))</f>
        <v>0</v>
      </c>
      <c r="CH162" s="64">
        <f>IF(AND(CH160=1,CH161=13),0,MIN(IF(CH160&lt;=0,0,IF(WEEKDAY(CH$6,1)=1,0,MIN(10,CH161)*CH160)),MAX(0,40*MAX(1,CH160)-(CC162+CD162+CE162+CF162+CG162))))</f>
        <v>0</v>
      </c>
      <c r="CI162" s="64">
        <f>IF(AND(CI160=1,CI161=13),0,MIN(IF(CI160&lt;=0,0,IF(WEEKDAY(CI$6,1)=1,0,MIN(10,CI161)*CI160)),MAX(0,40*MAX(1,CI160)-(CC162+CD162+CE162+CF162+CG162+CH162))))</f>
        <v>0</v>
      </c>
      <c r="CJ162" s="63">
        <f>IF(AND(CJ160=1,CJ161=13),10,MIN(IF(CJ160&lt;=0,0,IF(WEEKDAY(CJ$6,1)=1,0,MIN(10,CJ161)*CJ160)),MAX(0,40*MAX(1,CJ160)-(0))))</f>
        <v>10</v>
      </c>
      <c r="CK162" s="63">
        <f>IF(AND(CK160=1,CK161=13),10,MIN(IF(CK160&lt;=0,0,IF(WEEKDAY(CK$6,1)=1,0,MIN(10,CK161)*CK160)),MAX(0,40*MAX(1,CK160)-(CJ162))))</f>
        <v>10</v>
      </c>
      <c r="CL162" s="63">
        <f>IF(AND(CL160=1,CL161=13),10,MIN(IF(CL160&lt;=0,0,IF(WEEKDAY(CL$6,1)=1,0,MIN(10,CL161)*CL160)),MAX(0,40*MAX(1,CL160)-(CJ162+CK162))))</f>
        <v>10</v>
      </c>
      <c r="CM162" s="63">
        <f>IF(AND(CM160=1,CM161=13),10,MIN(IF(CM160&lt;=0,0,IF(WEEKDAY(CM$6,1)=1,0,MIN(10,CM161)*CM160)),MAX(0,40*MAX(1,CM160)-(CJ162+CK162+CL162))))</f>
        <v>10</v>
      </c>
      <c r="CN162" s="63">
        <f>IF(AND(CN160=1,CN161=13),0,MIN(IF(CN160&lt;=0,0,IF(WEEKDAY(CN$6,1)=1,0,MIN(10,CN161)*CN160)),MAX(0,40*MAX(1,CN160)-(CJ162+CK162+CL162+CM162))))</f>
        <v>0</v>
      </c>
      <c r="CO162" s="64">
        <f>IF(AND(CO160=1,CO161=13),0,MIN(IF(CO160&lt;=0,0,IF(WEEKDAY(CO$6,1)=1,0,MIN(10,CO161)*CO160)),MAX(0,40*MAX(1,CO160)-(CJ162+CK162+CL162+CM162+CN162))))</f>
        <v>0</v>
      </c>
      <c r="CP162" s="64">
        <f>IF(AND(CP160=1,CP161=13),0,MIN(IF(CP160&lt;=0,0,IF(WEEKDAY(CP$6,1)=1,0,MIN(10,CP161)*CP160)),MAX(0,40*MAX(1,CP160)-(CJ162+CK162+CL162+CM162+CN162+CO162))))</f>
        <v>0</v>
      </c>
      <c r="CQ162" s="63">
        <f>IF(AND(CQ160=1,CQ161=13),10,MIN(IF(CQ160&lt;=0,0,IF(WEEKDAY(CQ$6,1)=1,0,MIN(10,CQ161)*CQ160)),MAX(0,40*MAX(1,CQ160)-(0))))</f>
        <v>10</v>
      </c>
      <c r="CR162" s="63">
        <f>IF(AND(CR160=1,CR161=13),10,MIN(IF(CR160&lt;=0,0,IF(WEEKDAY(CR$6,1)=1,0,MIN(10,CR161)*CR160)),MAX(0,40*MAX(1,CR160)-(CQ162))))</f>
        <v>10</v>
      </c>
      <c r="CS162" s="63">
        <f>IF(AND(CS160=1,CS161=13),10,MIN(IF(CS160&lt;=0,0,IF(WEEKDAY(CS$6,1)=1,0,MIN(10,CS161)*CS160)),MAX(0,40*MAX(1,CS160)-(CQ162+CR162))))</f>
        <v>10</v>
      </c>
      <c r="CT162" s="63">
        <f>IF(AND(CT160=1,CT161=13),10,MIN(IF(CT160&lt;=0,0,IF(WEEKDAY(CT$6,1)=1,0,MIN(10,CT161)*CT160)),MAX(0,40*MAX(1,CT160)-(CQ162+CR162+CS162))))</f>
        <v>10</v>
      </c>
      <c r="CU162" s="63">
        <f>IF(AND(CU160=1,CU161=13),0,MIN(IF(CU160&lt;=0,0,IF(WEEKDAY(CU$6,1)=1,0,MIN(10,CU161)*CU160)),MAX(0,40*MAX(1,CU160)-(CQ162+CR162+CS162+CT162))))</f>
        <v>0</v>
      </c>
      <c r="CV162" s="64">
        <f>IF(AND(CV160=1,CV161=13),0,MIN(IF(CV160&lt;=0,0,IF(WEEKDAY(CV$6,1)=1,0,MIN(10,CV161)*CV160)),MAX(0,40*MAX(1,CV160)-(CQ162+CR162+CS162+CT162+CU162))))</f>
        <v>0</v>
      </c>
      <c r="CW162" s="64">
        <f>IF(AND(CW160=1,CW161=13),0,MIN(IF(CW160&lt;=0,0,IF(WEEKDAY(CW$6,1)=1,0,MIN(10,CW161)*CW160)),MAX(0,40*MAX(1,CW160)-(CQ162+CR162+CS162+CT162+CU162+CV162))))</f>
        <v>0</v>
      </c>
      <c r="CX162" s="63">
        <f>IF(AND(CX160=1,CX161=13),10,MIN(IF(CX160&lt;=0,0,IF(WEEKDAY(CX$6,1)=1,0,MIN(10,CX161)*CX160)),MAX(0,40*MAX(1,CX160)-(0))))</f>
        <v>10</v>
      </c>
      <c r="CY162" s="63">
        <f>IF(AND(CY160=1,CY161=13),10,MIN(IF(CY160&lt;=0,0,IF(WEEKDAY(CY$6,1)=1,0,MIN(10,CY161)*CY160)),MAX(0,40*MAX(1,CY160)-(CX162))))</f>
        <v>10</v>
      </c>
      <c r="CZ162" s="63">
        <f>IF(AND(CZ160=1,CZ161=13),10,MIN(IF(CZ160&lt;=0,0,IF(WEEKDAY(CZ$6,1)=1,0,MIN(10,CZ161)*CZ160)),MAX(0,40*MAX(1,CZ160)-(CX162+CY162))))</f>
        <v>10</v>
      </c>
      <c r="DA162" s="63">
        <f>IF(AND(DA160=1,DA161=13),10,MIN(IF(DA160&lt;=0,0,IF(WEEKDAY(DA$6,1)=1,0,MIN(10,DA161)*DA160)),MAX(0,40*MAX(1,DA160)-(CX162+CY162+CZ162))))</f>
        <v>10</v>
      </c>
      <c r="DB162" s="63">
        <f>IF(AND(DB160=1,DB161=13),0,MIN(IF(DB160&lt;=0,0,IF(WEEKDAY(DB$6,1)=1,0,MIN(10,DB161)*DB160)),MAX(0,40*MAX(1,DB160)-(CX162+CY162+CZ162+DA162))))</f>
        <v>0</v>
      </c>
      <c r="DC162" s="64">
        <f>IF(AND(DC160=1,DC161=13),0,MIN(IF(DC160&lt;=0,0,IF(WEEKDAY(DC$6,1)=1,0,MIN(10,DC161)*DC160)),MAX(0,40*MAX(1,DC160)-(CX162+CY162+CZ162+DA162+DB162))))</f>
        <v>0</v>
      </c>
      <c r="DD162" s="64">
        <f>IF(AND(DD160=1,DD161=13),0,MIN(IF(DD160&lt;=0,0,IF(WEEKDAY(DD$6,1)=1,0,MIN(10,DD161)*DD160)),MAX(0,40*MAX(1,DD160)-(0))))</f>
        <v>0</v>
      </c>
      <c r="DE162" s="63">
        <f>IF(AND(DE160=1,DE161=13),10,MIN(IF(DE160&lt;=0,0,IF(WEEKDAY(DE$6,1)=1,0,MIN(10,DE161)*DE160)),MAX(0,40*MAX(1,DE160)-(0))))</f>
        <v>10</v>
      </c>
      <c r="DF162" s="63">
        <f>IF(AND(DF160=1,DF161=13),10,MIN(IF(DF160&lt;=0,0,IF(WEEKDAY(DF$6,1)=1,0,MIN(10,DF161)*DF160)),MAX(0,40*MAX(1,DF160)-(DE162))))</f>
        <v>10</v>
      </c>
      <c r="DG162" s="63">
        <f>IF(AND(DG160=1,DG161=13),10,MIN(IF(DG160&lt;=0,0,IF(WEEKDAY(DG$6,1)=1,0,MIN(10,DG161)*DG160)),MAX(0,40*MAX(1,DG160)-(DE162+DF162))))</f>
        <v>10</v>
      </c>
      <c r="DH162" s="63">
        <f>IF(AND(DH160=1,DH161=13),10,MIN(IF(DH160&lt;=0,0,IF(WEEKDAY(DH$6,1)=1,0,MIN(10,DH161)*DH160)),MAX(0,40*MAX(1,DH160)-(DE162+DF162+DG162))))</f>
        <v>10</v>
      </c>
      <c r="DI162" s="63">
        <f>IF(AND(DI160=1,DI161=13),0,MIN(IF(DI160&lt;=0,0,IF(WEEKDAY(DI$6,1)=1,0,MIN(10,DI161)*DI160)),MAX(0,40*MAX(1,DI160)-(DE162+DF162+DG162+DH162))))</f>
        <v>0</v>
      </c>
      <c r="DJ162" s="64">
        <f>IF(AND(DJ160=1,DJ161=13),0,MIN(IF(DJ160&lt;=0,0,IF(WEEKDAY(DJ$6,1)=1,0,MIN(10,DJ161)*DJ160)),MAX(0,40*MAX(1,DJ160)-(DE162+DF162+DG162+DH162+DI162))))</f>
        <v>0</v>
      </c>
      <c r="DK162" s="64">
        <f>IF(AND(DK160=1,DK161=13),0,MIN(IF(DK160&lt;=0,0,IF(WEEKDAY(DK$6,1)=1,0,MIN(10,DK161)*DK160)),MAX(0,40*MAX(1,DK160)-(DE162+DF162+DG162+DH162+DI162+DJ162))))</f>
        <v>0</v>
      </c>
      <c r="DL162" s="63">
        <f>IF(AND(DL160=1,DL161=13),10,MIN(IF(DL160&lt;=0,0,IF(WEEKDAY(DL$6,1)=1,0,MIN(10,DL161)*DL160)),MAX(0,40*MAX(1,DL160)-(0))))</f>
        <v>10</v>
      </c>
      <c r="DM162" s="63">
        <f>IF(AND(DM160=1,DM161=13),10,MIN(IF(DM160&lt;=0,0,IF(WEEKDAY(DM$6,1)=1,0,MIN(10,DM161)*DM160)),MAX(0,40*MAX(1,DM160)-(DL162))))</f>
        <v>10</v>
      </c>
      <c r="DN162" s="63">
        <f>IF(AND(DN160=1,DN161=13),10,MIN(IF(DN160&lt;=0,0,IF(WEEKDAY(DN$6,1)=1,0,MIN(10,DN161)*DN160)),MAX(0,40*MAX(1,DN160)-(DL162+DM162))))</f>
        <v>10</v>
      </c>
      <c r="DO162" s="63">
        <f>IF(AND(DO160=1,DO161=13),10,MIN(IF(DO160&lt;=0,0,IF(WEEKDAY(DO$6,1)=1,0,MIN(10,DO161)*DO160)),MAX(0,40*MAX(1,DO160)-(DL162+DM162+DN162))))</f>
        <v>10</v>
      </c>
      <c r="DP162" s="63">
        <f>IF(AND(DP160=1,DP161=13),0,MIN(IF(DP160&lt;=0,0,IF(WEEKDAY(DP$6,1)=1,0,MIN(10,DP161)*DP160)),MAX(0,40*MAX(1,DP160)-(DL162+DM162+DN162+DO162))))</f>
        <v>0</v>
      </c>
      <c r="DQ162" s="64">
        <f>IF(AND(DQ160=1,DQ161=13),0,MIN(IF(DQ160&lt;=0,0,IF(WEEKDAY(DQ$6,1)=1,0,MIN(10,DQ161)*DQ160)),MAX(0,40*MAX(1,DQ160)-(DL162+DM162+DN162+DO162+DP162))))</f>
        <v>0</v>
      </c>
      <c r="DR162" s="64">
        <f>IF(AND(DR160=1,DR161=13),0,MIN(IF(DR160&lt;=0,0,IF(WEEKDAY(DR$6,1)=1,0,MIN(10,DR161)*DR160)),MAX(0,40*MAX(1,DR160)-(DL162+DM162+DN162+DO162+DP162+DQ162))))</f>
        <v>0</v>
      </c>
      <c r="DS162" s="63">
        <f>IF(AND(DS160=1,DS161=13),10,MIN(IF(DS160&lt;=0,0,IF(WEEKDAY(DS$6,1)=1,0,MIN(10,DS161)*DS160)),MAX(0,40*MAX(1,DS160)-(0))))</f>
        <v>10</v>
      </c>
      <c r="DT162" s="63">
        <f>IF(AND(DT160=1,DT161=8),8,MIN(IF(DT160&lt;=0,0,IF(WEEKDAY(DT$6,1)=1,0,MIN(8,DT161)*DT160)),MAX(0,40*MAX(1,DT160)-(0))))</f>
        <v>8</v>
      </c>
      <c r="DU162" s="63">
        <f>IF(AND(DU160=1,DU161=8),8,MIN(IF(DU160&lt;=0,0,IF(WEEKDAY(DU$6,1)=1,0,MIN(8,DU161)*DU160)),MAX(0,40*MAX(1,DU160)-(DT162))))</f>
        <v>8</v>
      </c>
      <c r="DV162" s="63">
        <f>IF(AND(DV160=1,DV161=8),8,MIN(IF(DV160&lt;=0,0,IF(WEEKDAY(DV$6,1)=1,0,MIN(8,DV161)*DV160)),MAX(0,40*MAX(1,DV160)-(DT162+DU162))))</f>
        <v>8</v>
      </c>
      <c r="DW162" s="63">
        <f>IF(AND(DW160=1,DW161=8),8,MIN(IF(DW160&lt;=0,0,IF(WEEKDAY(DW$6,1)=1,0,MIN(8,DW161)*DW160)),MAX(0,40*MAX(1,DW160)-(DT162+DU162+DV162))))</f>
        <v>8</v>
      </c>
      <c r="DX162" s="64">
        <f>IF(AND(DX160=0,DX161=0),0,MIN(IF(DX160&lt;=0,0,IF(WEEKDAY(DX$6,1)=1,0,MIN(10,DX161)*DX160)),MAX(0,40*MAX(1,DX160)-(0))))</f>
        <v>0</v>
      </c>
      <c r="DY162" s="64">
        <f>IF(AND(DY160=0,DY161=0),0,MIN(IF(DY160&lt;=0,0,IF(WEEKDAY(DY$6,1)=1,0,MIN(10,DY161)*DY160)),MAX(0,40*MAX(1,DY160)-(DX162))))</f>
        <v>0</v>
      </c>
      <c r="DZ162" s="63">
        <f>IF(AND(DZ160=1,DZ161=8),8,MIN(IF(DZ160&lt;=0,0,IF(WEEKDAY(DZ$6,1)=1,0,MIN(8,DZ161)*DZ160)),MAX(0,40*MAX(1,DZ160)-(0))))</f>
        <v>8</v>
      </c>
      <c r="EA162" s="63">
        <f>IF(AND(EA160=1,EA161=8),8,MIN(IF(EA160&lt;=0,0,IF(WEEKDAY(EA$6,1)=1,0,MIN(8,EA161)*EA160)),MAX(0,40*MAX(1,EA160)-(DZ162))))</f>
        <v>8</v>
      </c>
      <c r="EB162" s="63">
        <f>IF(AND(EB160=1,EB161=8),8,MIN(IF(EB160&lt;=0,0,IF(WEEKDAY(EB$6,1)=1,0,MIN(8,EB161)*EB160)),MAX(0,40*MAX(1,EB160)-(DZ162+EA162))))</f>
        <v>8</v>
      </c>
      <c r="EC162" s="63">
        <f>IF(AND(EC160=1,EC161=8),8,MIN(IF(EC160&lt;=0,0,IF(WEEKDAY(EC$6,1)=1,0,MIN(8,EC161)*EC160)),MAX(0,40*MAX(1,EC160)-(DZ162+EA162+EB162))))</f>
        <v>8</v>
      </c>
      <c r="ED162" s="63">
        <f>IF(AND(ED160=1,ED161=8),8,MIN(IF(ED160&lt;=0,0,IF(WEEKDAY(ED$6,1)=1,0,MIN(8,ED161)*ED160)),MAX(0,40*MAX(1,ED160)-(DZ162+EA162+EB162+EC162))))</f>
        <v>8</v>
      </c>
      <c r="EE162" s="64">
        <f>IF(AND(EE160=0,EE161=0),0,MIN(IF(EE160&lt;=0,0,IF(WEEKDAY(EE$6,1)=1,0,MIN(10,EE161)*EE160)),MAX(0,40*MAX(1,EE160)-(0))))</f>
        <v>0</v>
      </c>
      <c r="EF162" s="64">
        <f>IF(AND(EF160=0,EF161=0),0,MIN(IF(EF160&lt;=0,0,IF(WEEKDAY(EF$6,1)=1,0,MIN(10,EF161)*EF160)),MAX(0,40*MAX(1,EF160)-(EE162))))</f>
        <v>0</v>
      </c>
      <c r="EG162" s="63">
        <f>IF(AND(EG160=1,EG161=8),8,MIN(IF(EG160&lt;=0,0,IF(WEEKDAY(EG$6,1)=1,0,MIN(8,EG161)*EG160)),MAX(0,40*MAX(1,EG160)-(0))))</f>
        <v>8</v>
      </c>
      <c r="EH162" s="63">
        <f>IF(AND(EH160=1,EH161=8),8,MIN(IF(EH160&lt;=0,0,IF(WEEKDAY(EH$6,1)=1,0,MIN(8,EH161)*EH160)),MAX(0,40*MAX(1,EH160)-(EG162))))</f>
        <v>8</v>
      </c>
      <c r="EI162" s="63">
        <f>IF(AND(EI160=1,EI161=8),8,MIN(IF(EI160&lt;=0,0,IF(WEEKDAY(EI$6,1)=1,0,MIN(8,EI161)*EI160)),MAX(0,40*MAX(1,EI160)-(EG162+EH162))))</f>
        <v>8</v>
      </c>
      <c r="EJ162" s="63">
        <f>IF(AND(EJ160=1,EJ161=8),8,MIN(IF(EJ160&lt;=0,0,IF(WEEKDAY(EJ$6,1)=1,0,MIN(8,EJ161)*EJ160)),MAX(0,40*MAX(1,EJ160)-(EG162+EH162+EI162))))</f>
        <v>8</v>
      </c>
      <c r="EK162" s="65">
        <f>IF(AND(EK160=1,EK161=8),8,MIN(IF(EK160&lt;=0,0,IF(WEEKDAY(EK$6,1)=1,0,MIN(8,EK161)*EK160)),MAX(0,40*MAX(1,EK160)-(EG162+EH162+EI162+EJ162))))</f>
        <v>8</v>
      </c>
      <c r="OU162" s="28" t="s">
        <v>97</v>
      </c>
    </row>
    <row r="163" ht="16" customHeight="1" spans="1:411" x14ac:dyDescent="0.25">
      <c r="A163" s="45"/>
      <c r="B163" s="46"/>
      <c r="C163" s="66">
        <f>G159*N(D163)</f>
        <v>65370.49999999999</v>
      </c>
      <c r="D163" s="66">
        <f>IF(TRIM(B159)="","No rate",IFERROR(INDEX('Rate Tables'!D$7:D$158,MATCH(B159,'Rate Tables'!A$7:A$158,0)),"No rate"))</f>
        <v>201.14</v>
      </c>
      <c r="E163" s="55" t="s">
        <v>63</v>
      </c>
      <c r="F163" s="49"/>
      <c r="G163" s="49"/>
      <c r="H163" s="49"/>
      <c r="I163" s="49"/>
      <c r="J163" s="50"/>
      <c r="K163" s="62">
        <f>IF(AND(K160=1,K161=8),0,IF(K160&lt;=0,0,IF(WEEKDAY(K$6,1)=1,0,MAX(0,K161-8)*K160))+((IF(K160&lt;=0,0,IF(WEEKDAY(K$6,1)=1,0,MIN(8,K161)*K160)))-MIN(IF(K160&lt;=0,0,IF(WEEKDAY(K$6,1)=1,0,MIN(8,K161)*K160)),MAX(0,40*MAX(1,K160)-(0)))))</f>
        <v>0</v>
      </c>
      <c r="L163" s="63">
        <f>IF(AND(L160=1,L161=8),0,IF(L160&lt;=0,0,IF(WEEKDAY(L$6,1)=1,0,MAX(0,L161-8)*L160))+((IF(L160&lt;=0,0,IF(WEEKDAY(L$6,1)=1,0,MIN(8,L161)*L160)))-MIN(IF(L160&lt;=0,0,IF(WEEKDAY(L$6,1)=1,0,MIN(8,L161)*L160)),MAX(0,40*MAX(1,L160)-(K162)))))</f>
        <v>0</v>
      </c>
      <c r="M163" s="63">
        <f>IF(AND(M160=1,M161=8),0,IF(M160&lt;=0,0,IF(WEEKDAY(M$6,1)=1,0,MAX(0,M161-8)*M160))+((IF(M160&lt;=0,0,IF(WEEKDAY(M$6,1)=1,0,MIN(8,M161)*M160)))-MIN(IF(M160&lt;=0,0,IF(WEEKDAY(M$6,1)=1,0,MIN(8,M161)*M160)),MAX(0,40*MAX(1,M160)-(K162+L162)))))</f>
        <v>0</v>
      </c>
      <c r="N163" s="63">
        <f>IF(AND(N160=1,N161=8),0,IF(N160&lt;=0,0,IF(WEEKDAY(N$6,1)=1,0,MAX(0,N161-8)*N160))+((IF(N160&lt;=0,0,IF(WEEKDAY(N$6,1)=1,0,MIN(8,N161)*N160)))-MIN(IF(N160&lt;=0,0,IF(WEEKDAY(N$6,1)=1,0,MIN(8,N161)*N160)),MAX(0,40*MAX(1,N160)-(K162+L162+M162)))))</f>
        <v>0</v>
      </c>
      <c r="O163" s="63">
        <f>IF(AND(O160=1,O161=8),0,IF(O160&lt;=0,0,IF(WEEKDAY(O$6,1)=1,0,MAX(0,O161-8)*O160))+((IF(O160&lt;=0,0,IF(WEEKDAY(O$6,1)=1,0,MIN(8,O161)*O160)))-MIN(IF(O160&lt;=0,0,IF(WEEKDAY(O$6,1)=1,0,MIN(8,O161)*O160)),MAX(0,40*MAX(1,O160)-(K162+L162+M162+N162)))))</f>
        <v>0</v>
      </c>
      <c r="P163" s="64">
        <f>IF(AND(P160=0,P161=0),0,IF(P160&lt;=0,0,IF(WEEKDAY(P$6,1)=1,0,MAX(0,P161-10)*P160))+((IF(P160&lt;=0,0,IF(WEEKDAY(P$6,1)=1,0,MIN(10,P161)*P160)))-MIN(IF(P160&lt;=0,0,IF(WEEKDAY(P$6,1)=1,0,MIN(10,P161)*P160)),MAX(0,40*MAX(1,P160)-(0)))))</f>
        <v>0</v>
      </c>
      <c r="Q163" s="64">
        <f>IF(AND(Q160=0,Q161=0),0,IF(Q160&lt;=0,0,IF(WEEKDAY(Q$6,1)=1,0,MAX(0,Q161-10)*Q160))+((IF(Q160&lt;=0,0,IF(WEEKDAY(Q$6,1)=1,0,MIN(10,Q161)*Q160)))-MIN(IF(Q160&lt;=0,0,IF(WEEKDAY(Q$6,1)=1,0,MIN(10,Q161)*Q160)),MAX(0,40*MAX(1,Q160)-(P162)))))</f>
        <v>0</v>
      </c>
      <c r="R163" s="63">
        <f>IF(AND(R160=1,R161=8),0,IF(R160&lt;=0,0,IF(WEEKDAY(R$6,1)=1,0,MAX(0,R161-8)*R160))+((IF(R160&lt;=0,0,IF(WEEKDAY(R$6,1)=1,0,MIN(8,R161)*R160)))-MIN(IF(R160&lt;=0,0,IF(WEEKDAY(R$6,1)=1,0,MIN(8,R161)*R160)),MAX(0,40*MAX(1,R160)-(0)))))</f>
        <v>0</v>
      </c>
      <c r="S163" s="63">
        <f>IF(AND(S160=1,S161=8),0,IF(S160&lt;=0,0,IF(WEEKDAY(S$6,1)=1,0,MAX(0,S161-8)*S160))+((IF(S160&lt;=0,0,IF(WEEKDAY(S$6,1)=1,0,MIN(8,S161)*S160)))-MIN(IF(S160&lt;=0,0,IF(WEEKDAY(S$6,1)=1,0,MIN(8,S161)*S160)),MAX(0,40*MAX(1,S160)-(R162)))))</f>
        <v>0</v>
      </c>
      <c r="T163" s="63">
        <f>IF(AND(T160=1,T161=8),0,IF(T160&lt;=0,0,IF(WEEKDAY(T$6,1)=1,0,MAX(0,T161-8)*T160))+((IF(T160&lt;=0,0,IF(WEEKDAY(T$6,1)=1,0,MIN(8,T161)*T160)))-MIN(IF(T160&lt;=0,0,IF(WEEKDAY(T$6,1)=1,0,MIN(8,T161)*T160)),MAX(0,40*MAX(1,T160)-(R162+S162)))))</f>
        <v>0</v>
      </c>
      <c r="U163" s="63">
        <f>IF(AND(U160=1,U161=8),0,IF(U160&lt;=0,0,IF(WEEKDAY(U$6,1)=1,0,MAX(0,U161-8)*U160))+((IF(U160&lt;=0,0,IF(WEEKDAY(U$6,1)=1,0,MIN(8,U161)*U160)))-MIN(IF(U160&lt;=0,0,IF(WEEKDAY(U$6,1)=1,0,MIN(8,U161)*U160)),MAX(0,40*MAX(1,U160)-(R162+S162+T162)))))</f>
        <v>0</v>
      </c>
      <c r="V163" s="63">
        <f>IF(AND(V160=1,V161=8),0,IF(V160&lt;=0,0,IF(WEEKDAY(V$6,1)=1,0,MAX(0,V161-8)*V160))+((IF(V160&lt;=0,0,IF(WEEKDAY(V$6,1)=1,0,MIN(8,V161)*V160)))-MIN(IF(V160&lt;=0,0,IF(WEEKDAY(V$6,1)=1,0,MIN(8,V161)*V160)),MAX(0,40*MAX(1,V160)-(R162+S162+T162+U162)))))</f>
        <v>0</v>
      </c>
      <c r="W163" s="64">
        <f>IF(AND(W160=0,W161=0),0,IF(W160&lt;=0,0,IF(WEEKDAY(W$6,1)=1,0,MAX(0,W161-10)*W160))+((IF(W160&lt;=0,0,IF(WEEKDAY(W$6,1)=1,0,MIN(10,W161)*W160)))-MIN(IF(W160&lt;=0,0,IF(WEEKDAY(W$6,1)=1,0,MIN(10,W161)*W160)),MAX(0,40*MAX(1,W160)-(0)))))</f>
        <v>0</v>
      </c>
      <c r="X163" s="64">
        <f>IF(AND(X160=0,X161=0),0,IF(X160&lt;=0,0,IF(WEEKDAY(X$6,1)=1,0,MAX(0,X161-10)*X160))+((IF(X160&lt;=0,0,IF(WEEKDAY(X$6,1)=1,0,MIN(10,X161)*X160)))-MIN(IF(X160&lt;=0,0,IF(WEEKDAY(X$6,1)=1,0,MIN(10,X161)*X160)),MAX(0,40*MAX(1,X160)-(W162)))))</f>
        <v>0</v>
      </c>
      <c r="Y163" s="63">
        <f>IF(AND(Y160=1,Y161=8),0,IF(Y160&lt;=0,0,IF(WEEKDAY(Y$6,1)=1,0,MAX(0,Y161-8)*Y160))+((IF(Y160&lt;=0,0,IF(WEEKDAY(Y$6,1)=1,0,MIN(8,Y161)*Y160)))-MIN(IF(Y160&lt;=0,0,IF(WEEKDAY(Y$6,1)=1,0,MIN(8,Y161)*Y160)),MAX(0,40*MAX(1,Y160)-(0)))))</f>
        <v>0</v>
      </c>
      <c r="Z163" s="63">
        <f>IF(AND(Z160=1,Z161=8),0,IF(Z160&lt;=0,0,IF(WEEKDAY(Z$6,1)=1,0,MAX(0,Z161-8)*Z160))+((IF(Z160&lt;=0,0,IF(WEEKDAY(Z$6,1)=1,0,MIN(8,Z161)*Z160)))-MIN(IF(Z160&lt;=0,0,IF(WEEKDAY(Z$6,1)=1,0,MIN(8,Z161)*Z160)),MAX(0,40*MAX(1,Z160)-(Y162)))))</f>
        <v>0</v>
      </c>
      <c r="AA163" s="63">
        <f>IF(AND(AA160=1,AA161=8),0,IF(AA160&lt;=0,0,IF(WEEKDAY(AA$6,1)=1,0,MAX(0,AA161-8)*AA160))+((IF(AA160&lt;=0,0,IF(WEEKDAY(AA$6,1)=1,0,MIN(8,AA161)*AA160)))-MIN(IF(AA160&lt;=0,0,IF(WEEKDAY(AA$6,1)=1,0,MIN(8,AA161)*AA160)),MAX(0,40*MAX(1,AA160)-(Y162+Z162)))))</f>
        <v>0</v>
      </c>
      <c r="AB163" s="63">
        <f>IF(AND(AB160=1,AB161=8),0,IF(AB160&lt;=0,0,IF(WEEKDAY(AB$6,1)=1,0,MAX(0,AB161-8)*AB160))+((IF(AB160&lt;=0,0,IF(WEEKDAY(AB$6,1)=1,0,MIN(8,AB161)*AB160)))-MIN(IF(AB160&lt;=0,0,IF(WEEKDAY(AB$6,1)=1,0,MIN(8,AB161)*AB160)),MAX(0,40*MAX(1,AB160)-(Y162+Z162+AA162)))))</f>
        <v>0</v>
      </c>
      <c r="AC163" s="63">
        <f>IF(AND(AC160=1,AC161=8),0,IF(AC160&lt;=0,0,IF(WEEKDAY(AC$6,1)=1,0,MAX(0,AC161-8)*AC160))+((IF(AC160&lt;=0,0,IF(WEEKDAY(AC$6,1)=1,0,MIN(8,AC161)*AC160)))-MIN(IF(AC160&lt;=0,0,IF(WEEKDAY(AC$6,1)=1,0,MIN(8,AC161)*AC160)),MAX(0,40*MAX(1,AC160)-(Y162+Z162+AA162+AB162)))))</f>
        <v>0</v>
      </c>
      <c r="AD163" s="64">
        <f>IF(AND(AD160=0,AD161=0),0,IF(AD160&lt;=0,0,IF(WEEKDAY(AD$6,1)=1,0,MAX(0,AD161-10)*AD160))+((IF(AD160&lt;=0,0,IF(WEEKDAY(AD$6,1)=1,0,MIN(10,AD161)*AD160)))-MIN(IF(AD160&lt;=0,0,IF(WEEKDAY(AD$6,1)=1,0,MIN(10,AD161)*AD160)),MAX(0,40*MAX(1,AD160)-(0)))))</f>
        <v>0</v>
      </c>
      <c r="AE163" s="64">
        <f>IF(AND(AE160=0,AE161=0),0,IF(AE160&lt;=0,0,IF(WEEKDAY(AE$6,1)=1,0,MAX(0,AE161-10)*AE160))+((IF(AE160&lt;=0,0,IF(WEEKDAY(AE$6,1)=1,0,MIN(10,AE161)*AE160)))-MIN(IF(AE160&lt;=0,0,IF(WEEKDAY(AE$6,1)=1,0,MIN(10,AE161)*AE160)),MAX(0,40*MAX(1,AE160)-(AD162)))))</f>
        <v>0</v>
      </c>
      <c r="AF163" s="63">
        <f>IF(AND(AF160=1,AF161=8),0,IF(AF160&lt;=0,0,IF(WEEKDAY(AF$6,1)=1,0,MAX(0,AF161-8)*AF160))+((IF(AF160&lt;=0,0,IF(WEEKDAY(AF$6,1)=1,0,MIN(8,AF161)*AF160)))-MIN(IF(AF160&lt;=0,0,IF(WEEKDAY(AF$6,1)=1,0,MIN(8,AF161)*AF160)),MAX(0,40*MAX(1,AF160)-(0)))))</f>
        <v>0</v>
      </c>
      <c r="AG163" s="63">
        <f>IF(AND(AG160=1,AG161=8),0,IF(AG160&lt;=0,0,IF(WEEKDAY(AG$6,1)=1,0,MAX(0,AG161-8)*AG160))+((IF(AG160&lt;=0,0,IF(WEEKDAY(AG$6,1)=1,0,MIN(8,AG161)*AG160)))-MIN(IF(AG160&lt;=0,0,IF(WEEKDAY(AG$6,1)=1,0,MIN(8,AG161)*AG160)),MAX(0,40*MAX(1,AG160)-(AF162)))))</f>
        <v>0</v>
      </c>
      <c r="AH163" s="63">
        <f>IF(AND(AH160=1,AH161=8),0,IF(AH160&lt;=0,0,IF(WEEKDAY(AH$6,1)=1,0,MAX(0,AH161-8)*AH160))+((IF(AH160&lt;=0,0,IF(WEEKDAY(AH$6,1)=1,0,MIN(8,AH161)*AH160)))-MIN(IF(AH160&lt;=0,0,IF(WEEKDAY(AH$6,1)=1,0,MIN(8,AH161)*AH160)),MAX(0,40*MAX(1,AH160)-(AF162+AG162)))))</f>
        <v>0</v>
      </c>
      <c r="AI163" s="63">
        <f>IF(AND(AI160=1,AI161=8),0,IF(AI160&lt;=0,0,IF(WEEKDAY(AI$6,1)=1,0,MAX(0,AI161-8)*AI160))+((IF(AI160&lt;=0,0,IF(WEEKDAY(AI$6,1)=1,0,MIN(8,AI161)*AI160)))-MIN(IF(AI160&lt;=0,0,IF(WEEKDAY(AI$6,1)=1,0,MIN(8,AI161)*AI160)),MAX(0,40*MAX(1,AI160)-(AF162+AG162+AH162)))))</f>
        <v>0</v>
      </c>
      <c r="AJ163" s="63">
        <f>IF(AND(AJ160=1,AJ161=8),0,IF(AJ160&lt;=0,0,IF(WEEKDAY(AJ$6,1)=1,0,MAX(0,AJ161-8)*AJ160))+((IF(AJ160&lt;=0,0,IF(WEEKDAY(AJ$6,1)=1,0,MIN(8,AJ161)*AJ160)))-MIN(IF(AJ160&lt;=0,0,IF(WEEKDAY(AJ$6,1)=1,0,MIN(8,AJ161)*AJ160)),MAX(0,40*MAX(1,AJ160)-(AF162+AG162+AH162+AI162)))))</f>
        <v>0</v>
      </c>
      <c r="AK163" s="64">
        <f>IF(AND(AK160=0,AK161=0),0,IF(AK160&lt;=0,0,IF(WEEKDAY(AK$6,1)=1,0,MAX(0,AK161-10)*AK160))+((IF(AK160&lt;=0,0,IF(WEEKDAY(AK$6,1)=1,0,MIN(10,AK161)*AK160)))-MIN(IF(AK160&lt;=0,0,IF(WEEKDAY(AK$6,1)=1,0,MIN(10,AK161)*AK160)),MAX(0,40*MAX(1,AK160)-(0)))))</f>
        <v>0</v>
      </c>
      <c r="AL163" s="64">
        <f>IF(AND(AL160=0,AL161=0),0,IF(AL160&lt;=0,0,IF(WEEKDAY(AL$6,1)=1,0,MAX(0,AL161-10)*AL160))+((IF(AL160&lt;=0,0,IF(WEEKDAY(AL$6,1)=1,0,MIN(10,AL161)*AL160)))-MIN(IF(AL160&lt;=0,0,IF(WEEKDAY(AL$6,1)=1,0,MIN(10,AL161)*AL160)),MAX(0,40*MAX(1,AL160)-(AK162)))))</f>
        <v>0</v>
      </c>
      <c r="AM163" s="63">
        <f>IF(AND(AM160=1,AM161=8),0,IF(AM160&lt;=0,0,IF(WEEKDAY(AM$6,1)=1,0,MAX(0,AM161-8)*AM160))+((IF(AM160&lt;=0,0,IF(WEEKDAY(AM$6,1)=1,0,MIN(8,AM161)*AM160)))-MIN(IF(AM160&lt;=0,0,IF(WEEKDAY(AM$6,1)=1,0,MIN(8,AM161)*AM160)),MAX(0,40*MAX(1,AM160)-(0)))))</f>
        <v>0</v>
      </c>
      <c r="AN163" s="63">
        <f>IF(AND(AN160=1,AN161=8),0,IF(AN160&lt;=0,0,IF(WEEKDAY(AN$6,1)=1,0,MAX(0,AN161-8)*AN160))+((IF(AN160&lt;=0,0,IF(WEEKDAY(AN$6,1)=1,0,MIN(8,AN161)*AN160)))-MIN(IF(AN160&lt;=0,0,IF(WEEKDAY(AN$6,1)=1,0,MIN(8,AN161)*AN160)),MAX(0,40*MAX(1,AN160)-(AM162)))))</f>
        <v>0</v>
      </c>
      <c r="AO163" s="63">
        <f>IF(AND(AO160=1,AO161=8),0,IF(AO160&lt;=0,0,IF(WEEKDAY(AO$6,1)=1,0,MAX(0,AO161-8)*AO160))+((IF(AO160&lt;=0,0,IF(WEEKDAY(AO$6,1)=1,0,MIN(8,AO161)*AO160)))-MIN(IF(AO160&lt;=0,0,IF(WEEKDAY(AO$6,1)=1,0,MIN(8,AO161)*AO160)),MAX(0,40*MAX(1,AO160)-(AM162+AN162)))))</f>
        <v>0</v>
      </c>
      <c r="AP163" s="63">
        <f>IF(AND(AP160=1,AP161=8),0,IF(AP160&lt;=0,0,IF(WEEKDAY(AP$6,1)=1,0,MAX(0,AP161-8)*AP160))+((IF(AP160&lt;=0,0,IF(WEEKDAY(AP$6,1)=1,0,MIN(8,AP161)*AP160)))-MIN(IF(AP160&lt;=0,0,IF(WEEKDAY(AP$6,1)=1,0,MIN(8,AP161)*AP160)),MAX(0,40*MAX(1,AP160)-(AM162+AN162+AO162)))))</f>
        <v>0</v>
      </c>
      <c r="AQ163" s="63">
        <f>IF(AND(AQ160=1,AQ161=8),0,IF(AQ160&lt;=0,0,IF(WEEKDAY(AQ$6,1)=1,0,MAX(0,AQ161-8)*AQ160))+((IF(AQ160&lt;=0,0,IF(WEEKDAY(AQ$6,1)=1,0,MIN(8,AQ161)*AQ160)))-MIN(IF(AQ160&lt;=0,0,IF(WEEKDAY(AQ$6,1)=1,0,MIN(8,AQ161)*AQ160)),MAX(0,40*MAX(1,AQ160)-(AM162+AN162+AO162+AP162)))))</f>
        <v>0</v>
      </c>
      <c r="AR163" s="64">
        <f>IF(AND(AR160=0,AR161=0),0,IF(AR160&lt;=0,0,IF(WEEKDAY(AR$6,1)=1,0,MAX(0,AR161-10)*AR160))+((IF(AR160&lt;=0,0,IF(WEEKDAY(AR$6,1)=1,0,MIN(10,AR161)*AR160)))-MIN(IF(AR160&lt;=0,0,IF(WEEKDAY(AR$6,1)=1,0,MIN(10,AR161)*AR160)),MAX(0,40*MAX(1,AR160)-(0)))))</f>
        <v>0</v>
      </c>
      <c r="AS163" s="64">
        <f>IF(AND(AS160=0,AS161=0),0,IF(AS160&lt;=0,0,IF(WEEKDAY(AS$6,1)=1,0,MAX(0,AS161-10)*AS160))+((IF(AS160&lt;=0,0,IF(WEEKDAY(AS$6,1)=1,0,MIN(10,AS161)*AS160)))-MIN(IF(AS160&lt;=0,0,IF(WEEKDAY(AS$6,1)=1,0,MIN(10,AS161)*AS160)),MAX(0,40*MAX(1,AS160)-(AR162)))))</f>
        <v>0</v>
      </c>
      <c r="AT163" s="63">
        <f>IF(AND(AT160=1,AT161=8),0,IF(AT160&lt;=0,0,IF(WEEKDAY(AT$6,1)=1,0,MAX(0,AT161-8)*AT160))+((IF(AT160&lt;=0,0,IF(WEEKDAY(AT$6,1)=1,0,MIN(8,AT161)*AT160)))-MIN(IF(AT160&lt;=0,0,IF(WEEKDAY(AT$6,1)=1,0,MIN(8,AT161)*AT160)),MAX(0,40*MAX(1,AT160)-(0)))))</f>
        <v>0</v>
      </c>
      <c r="AU163" s="63">
        <f>IF(AND(AU160=1,AU161=8),0,IF(AU160&lt;=0,0,IF(WEEKDAY(AU$6,1)=1,0,MAX(0,AU161-8)*AU160))+((IF(AU160&lt;=0,0,IF(WEEKDAY(AU$6,1)=1,0,MIN(8,AU161)*AU160)))-MIN(IF(AU160&lt;=0,0,IF(WEEKDAY(AU$6,1)=1,0,MIN(8,AU161)*AU160)),MAX(0,40*MAX(1,AU160)-(AT162)))))</f>
        <v>0</v>
      </c>
      <c r="AV163" s="63">
        <f>IF(AND(AV160=1,AV161=8),0,IF(AV160&lt;=0,0,IF(WEEKDAY(AV$6,1)=1,0,MAX(0,AV161-8)*AV160))+((IF(AV160&lt;=0,0,IF(WEEKDAY(AV$6,1)=1,0,MIN(8,AV161)*AV160)))-MIN(IF(AV160&lt;=0,0,IF(WEEKDAY(AV$6,1)=1,0,MIN(8,AV161)*AV160)),MAX(0,40*MAX(1,AV160)-(AT162+AU162)))))</f>
        <v>0</v>
      </c>
      <c r="AW163" s="63">
        <f>IF(AND(AW160=1,AW161=8),0,IF(AW160&lt;=0,0,IF(WEEKDAY(AW$6,1)=1,0,MAX(0,AW161-8)*AW160))+((IF(AW160&lt;=0,0,IF(WEEKDAY(AW$6,1)=1,0,MIN(8,AW161)*AW160)))-MIN(IF(AW160&lt;=0,0,IF(WEEKDAY(AW$6,1)=1,0,MIN(8,AW161)*AW160)),MAX(0,40*MAX(1,AW160)-(AT162+AU162+AV162)))))</f>
        <v>0</v>
      </c>
      <c r="AX163" s="63">
        <f>IF(AND(AX160=1,AX161=8),0,IF(AX160&lt;=0,0,IF(WEEKDAY(AX$6,1)=1,0,MAX(0,AX161-8)*AX160))+((IF(AX160&lt;=0,0,IF(WEEKDAY(AX$6,1)=1,0,MIN(8,AX161)*AX160)))-MIN(IF(AX160&lt;=0,0,IF(WEEKDAY(AX$6,1)=1,0,MIN(8,AX161)*AX160)),MAX(0,40*MAX(1,AX160)-(AT162+AU162+AV162+AW162)))))</f>
        <v>0</v>
      </c>
      <c r="AY163" s="64">
        <f>IF(AND(AY160=0,AY161=0),0,IF(AY160&lt;=0,0,IF(WEEKDAY(AY$6,1)=1,0,MAX(0,AY161-10)*AY160))+((IF(AY160&lt;=0,0,IF(WEEKDAY(AY$6,1)=1,0,MIN(10,AY161)*AY160)))-MIN(IF(AY160&lt;=0,0,IF(WEEKDAY(AY$6,1)=1,0,MIN(10,AY161)*AY160)),MAX(0,40*MAX(1,AY160)-(0)))))</f>
        <v>0</v>
      </c>
      <c r="AZ163" s="64">
        <f>IF(AND(AZ160=0,AZ161=0),0,IF(AZ160&lt;=0,0,IF(WEEKDAY(AZ$6,1)=1,0,MAX(0,AZ161-10)*AZ160))+((IF(AZ160&lt;=0,0,IF(WEEKDAY(AZ$6,1)=1,0,MIN(10,AZ161)*AZ160)))-MIN(IF(AZ160&lt;=0,0,IF(WEEKDAY(AZ$6,1)=1,0,MIN(10,AZ161)*AZ160)),MAX(0,40*MAX(1,AZ160)-(AY162)))))</f>
        <v>0</v>
      </c>
      <c r="BA163" s="63">
        <f>IF(AND(BA160=1,BA161=8),0,IF(BA160&lt;=0,0,IF(WEEKDAY(BA$6,1)=1,0,MAX(0,BA161-8)*BA160))+((IF(BA160&lt;=0,0,IF(WEEKDAY(BA$6,1)=1,0,MIN(8,BA161)*BA160)))-MIN(IF(BA160&lt;=0,0,IF(WEEKDAY(BA$6,1)=1,0,MIN(8,BA161)*BA160)),MAX(0,40*MAX(1,BA160)-(0)))))</f>
        <v>0</v>
      </c>
      <c r="BB163" s="63">
        <f>IF(AND(BB160=1,BB161=8),0,IF(BB160&lt;=0,0,IF(WEEKDAY(BB$6,1)=1,0,MAX(0,BB161-8)*BB160))+((IF(BB160&lt;=0,0,IF(WEEKDAY(BB$6,1)=1,0,MIN(8,BB161)*BB160)))-MIN(IF(BB160&lt;=0,0,IF(WEEKDAY(BB$6,1)=1,0,MIN(8,BB161)*BB160)),MAX(0,40*MAX(1,BB160)-(BA162)))))</f>
        <v>0</v>
      </c>
      <c r="BC163" s="63">
        <f>IF(AND(BC160=1,BC161=8),0,IF(BC160&lt;=0,0,IF(WEEKDAY(BC$6,1)=1,0,MAX(0,BC161-8)*BC160))+((IF(BC160&lt;=0,0,IF(WEEKDAY(BC$6,1)=1,0,MIN(8,BC161)*BC160)))-MIN(IF(BC160&lt;=0,0,IF(WEEKDAY(BC$6,1)=1,0,MIN(8,BC161)*BC160)),MAX(0,40*MAX(1,BC160)-(BA162+BB162)))))</f>
        <v>0</v>
      </c>
      <c r="BD163" s="63">
        <f>IF(AND(BD160=1,BD161=8),0,IF(BD160&lt;=0,0,IF(WEEKDAY(BD$6,1)=1,0,MAX(0,BD161-8)*BD160))+((IF(BD160&lt;=0,0,IF(WEEKDAY(BD$6,1)=1,0,MIN(8,BD161)*BD160)))-MIN(IF(BD160&lt;=0,0,IF(WEEKDAY(BD$6,1)=1,0,MIN(8,BD161)*BD160)),MAX(0,40*MAX(1,BD160)-(BA162+BB162+BC162)))))</f>
        <v>0</v>
      </c>
      <c r="BE163" s="63">
        <f>IF(AND(BE160=1,BE161=8),0,IF(BE160&lt;=0,0,IF(WEEKDAY(BE$6,1)=1,0,MAX(0,BE161-8)*BE160))+((IF(BE160&lt;=0,0,IF(WEEKDAY(BE$6,1)=1,0,MIN(8,BE161)*BE160)))-MIN(IF(BE160&lt;=0,0,IF(WEEKDAY(BE$6,1)=1,0,MIN(8,BE161)*BE160)),MAX(0,40*MAX(1,BE160)-(BA162+BB162+BC162+BD162)))))</f>
        <v>0</v>
      </c>
      <c r="BF163" s="64">
        <f>IF(AND(BF160=0,BF161=0),0,IF(BF160&lt;=0,0,IF(WEEKDAY(BF$6,1)=1,0,MAX(0,BF161-10)*BF160))+((IF(BF160&lt;=0,0,IF(WEEKDAY(BF$6,1)=1,0,MIN(10,BF161)*BF160)))-MIN(IF(BF160&lt;=0,0,IF(WEEKDAY(BF$6,1)=1,0,MIN(10,BF161)*BF160)),MAX(0,40*MAX(1,BF160)-(0)))))</f>
        <v>0</v>
      </c>
      <c r="BG163" s="64">
        <f>IF(AND(BG160=0,BG161=0),0,IF(BG160&lt;=0,0,IF(WEEKDAY(BG$6,1)=1,0,MAX(0,BG161-10)*BG160))+((IF(BG160&lt;=0,0,IF(WEEKDAY(BG$6,1)=1,0,MIN(10,BG161)*BG160)))-MIN(IF(BG160&lt;=0,0,IF(WEEKDAY(BG$6,1)=1,0,MIN(10,BG161)*BG160)),MAX(0,40*MAX(1,BG160)-(BF162)))))</f>
        <v>0</v>
      </c>
      <c r="BH163" s="63">
        <f>IF(AND(BH160=1,BH161=13),3,IF(BH160&lt;=0,0,IF(WEEKDAY(BH$6,1)=1,0,MAX(0,BH161-10)*BH160))+((IF(BH160&lt;=0,0,IF(WEEKDAY(BH$6,1)=1,0,MIN(10,BH161)*BH160)))-MIN(IF(BH160&lt;=0,0,IF(WEEKDAY(BH$6,1)=1,0,MIN(10,BH161)*BH160)),MAX(0,40*MAX(1,BH160)-(0)))))</f>
        <v>3</v>
      </c>
      <c r="BI163" s="63">
        <f>IF(AND(BI160=1,BI161=13),3,IF(BI160&lt;=0,0,IF(WEEKDAY(BI$6,1)=1,0,MAX(0,BI161-10)*BI160))+((IF(BI160&lt;=0,0,IF(WEEKDAY(BI$6,1)=1,0,MIN(10,BI161)*BI160)))-MIN(IF(BI160&lt;=0,0,IF(WEEKDAY(BI$6,1)=1,0,MIN(10,BI161)*BI160)),MAX(0,40*MAX(1,BI160)-(BH162)))))</f>
        <v>3</v>
      </c>
      <c r="BJ163" s="63">
        <f>IF(AND(BJ160=1,BJ161=13),3,IF(BJ160&lt;=0,0,IF(WEEKDAY(BJ$6,1)=1,0,MAX(0,BJ161-10)*BJ160))+((IF(BJ160&lt;=0,0,IF(WEEKDAY(BJ$6,1)=1,0,MIN(10,BJ161)*BJ160)))-MIN(IF(BJ160&lt;=0,0,IF(WEEKDAY(BJ$6,1)=1,0,MIN(10,BJ161)*BJ160)),MAX(0,40*MAX(1,BJ160)-(BH162+BI162)))))</f>
        <v>3</v>
      </c>
      <c r="BK163" s="63">
        <f>IF(AND(BK160=1,BK161=13),3,IF(BK160&lt;=0,0,IF(WEEKDAY(BK$6,1)=1,0,MAX(0,BK161-10)*BK160))+((IF(BK160&lt;=0,0,IF(WEEKDAY(BK$6,1)=1,0,MIN(10,BK161)*BK160)))-MIN(IF(BK160&lt;=0,0,IF(WEEKDAY(BK$6,1)=1,0,MIN(10,BK161)*BK160)),MAX(0,40*MAX(1,BK160)-(BH162+BI162+BJ162)))))</f>
        <v>3</v>
      </c>
      <c r="BL163" s="63">
        <f>IF(AND(BL160=1,BL161=13),13,IF(BL160&lt;=0,0,IF(WEEKDAY(BL$6,1)=1,0,MAX(0,BL161-10)*BL160))+((IF(BL160&lt;=0,0,IF(WEEKDAY(BL$6,1)=1,0,MIN(10,BL161)*BL160)))-MIN(IF(BL160&lt;=0,0,IF(WEEKDAY(BL$6,1)=1,0,MIN(10,BL161)*BL160)),MAX(0,40*MAX(1,BL160)-(BH162+BI162+BJ162+BK162)))))</f>
        <v>13</v>
      </c>
      <c r="BM163" s="64">
        <f>IF(AND(BM160=1,BM161=13),13,IF(BM160&lt;=0,0,IF(WEEKDAY(BM$6,1)=1,0,MAX(0,BM161-10)*BM160))+((IF(BM160&lt;=0,0,IF(WEEKDAY(BM$6,1)=1,0,MIN(10,BM161)*BM160)))-MIN(IF(BM160&lt;=0,0,IF(WEEKDAY(BM$6,1)=1,0,MIN(10,BM161)*BM160)),MAX(0,40*MAX(1,BM160)-(BH162+BI162+BJ162+BK162+BL162)))))</f>
        <v>13</v>
      </c>
      <c r="BN163" s="64">
        <f>IF(AND(BN160=1,BN161=13),0,IF(BN160&lt;=0,0,IF(WEEKDAY(BN$6,1)=1,0,MAX(0,BN161-10)*BN160))+((IF(BN160&lt;=0,0,IF(WEEKDAY(BN$6,1)=1,0,MIN(10,BN161)*BN160)))-MIN(IF(BN160&lt;=0,0,IF(WEEKDAY(BN$6,1)=1,0,MIN(10,BN161)*BN160)),MAX(0,40*MAX(1,BN160)-(BH162+BI162+BJ162+BK162+BL162+BM162)))))</f>
        <v>0</v>
      </c>
      <c r="BO163" s="63">
        <f>IF(AND(BO160=1,BO161=13),3,IF(BO160&lt;=0,0,IF(WEEKDAY(BO$6,1)=1,0,MAX(0,BO161-10)*BO160))+((IF(BO160&lt;=0,0,IF(WEEKDAY(BO$6,1)=1,0,MIN(10,BO161)*BO160)))-MIN(IF(BO160&lt;=0,0,IF(WEEKDAY(BO$6,1)=1,0,MIN(10,BO161)*BO160)),MAX(0,40*MAX(1,BO160)-(0)))))</f>
        <v>3</v>
      </c>
      <c r="BP163" s="63">
        <f>IF(AND(BP160=1,BP161=13),3,IF(BP160&lt;=0,0,IF(WEEKDAY(BP$6,1)=1,0,MAX(0,BP161-10)*BP160))+((IF(BP160&lt;=0,0,IF(WEEKDAY(BP$6,1)=1,0,MIN(10,BP161)*BP160)))-MIN(IF(BP160&lt;=0,0,IF(WEEKDAY(BP$6,1)=1,0,MIN(10,BP161)*BP160)),MAX(0,40*MAX(1,BP160)-(BO162)))))</f>
        <v>3</v>
      </c>
      <c r="BQ163" s="63">
        <f>IF(AND(BQ160=1,BQ161=13),3,IF(BQ160&lt;=0,0,IF(WEEKDAY(BQ$6,1)=1,0,MAX(0,BQ161-10)*BQ160))+((IF(BQ160&lt;=0,0,IF(WEEKDAY(BQ$6,1)=1,0,MIN(10,BQ161)*BQ160)))-MIN(IF(BQ160&lt;=0,0,IF(WEEKDAY(BQ$6,1)=1,0,MIN(10,BQ161)*BQ160)),MAX(0,40*MAX(1,BQ160)-(BO162+BP162)))))</f>
        <v>3</v>
      </c>
      <c r="BR163" s="63">
        <f>IF(AND(BR160=1,BR161=13),3,IF(BR160&lt;=0,0,IF(WEEKDAY(BR$6,1)=1,0,MAX(0,BR161-10)*BR160))+((IF(BR160&lt;=0,0,IF(WEEKDAY(BR$6,1)=1,0,MIN(10,BR161)*BR160)))-MIN(IF(BR160&lt;=0,0,IF(WEEKDAY(BR$6,1)=1,0,MIN(10,BR161)*BR160)),MAX(0,40*MAX(1,BR160)-(0)))))</f>
        <v>3</v>
      </c>
      <c r="BS163" s="63">
        <f>IF(AND(BS160=1,BS161=13),3,IF(BS160&lt;=0,0,IF(WEEKDAY(BS$6,1)=1,0,MAX(0,BS161-10)*BS160))+((IF(BS160&lt;=0,0,IF(WEEKDAY(BS$6,1)=1,0,MIN(10,BS161)*BS160)))-MIN(IF(BS160&lt;=0,0,IF(WEEKDAY(BS$6,1)=1,0,MIN(10,BS161)*BS160)),MAX(0,40*MAX(1,BS160)-(BR162)))))</f>
        <v>3</v>
      </c>
      <c r="BT163" s="64">
        <f>IF(AND(BT160=1,BT161=13),3,IF(BT160&lt;=0,0,IF(WEEKDAY(BT$6,1)=1,0,MAX(0,BT161-10)*BT160))+((IF(BT160&lt;=0,0,IF(WEEKDAY(BT$6,1)=1,0,MIN(10,BT161)*BT160)))-MIN(IF(BT160&lt;=0,0,IF(WEEKDAY(BT$6,1)=1,0,MIN(10,BT161)*BT160)),MAX(0,40*MAX(1,BT160)-(BR162+BS162)))))</f>
        <v>3</v>
      </c>
      <c r="BU163" s="64">
        <f>IF(AND(BU160=1,BU161=13),0,IF(BU160&lt;=0,0,IF(WEEKDAY(BU$6,1)=1,0,MAX(0,BU161-10)*BU160))+((IF(BU160&lt;=0,0,IF(WEEKDAY(BU$6,1)=1,0,MIN(10,BU161)*BU160)))-MIN(IF(BU160&lt;=0,0,IF(WEEKDAY(BU$6,1)=1,0,MIN(10,BU161)*BU160)),MAX(0,40*MAX(1,BU160)-(BR162+BS162+BT162)))))</f>
        <v>0</v>
      </c>
      <c r="BV163" s="63">
        <f>IF(AND(BV160=1,BV161=13),3,IF(BV160&lt;=0,0,IF(WEEKDAY(BV$6,1)=1,0,MAX(0,BV161-10)*BV160))+((IF(BV160&lt;=0,0,IF(WEEKDAY(BV$6,1)=1,0,MIN(10,BV161)*BV160)))-MIN(IF(BV160&lt;=0,0,IF(WEEKDAY(BV$6,1)=1,0,MIN(10,BV161)*BV160)),MAX(0,40*MAX(1,BV160)-(0)))))</f>
        <v>3</v>
      </c>
      <c r="BW163" s="63">
        <f>IF(AND(BW160=1,BW161=13),3,IF(BW160&lt;=0,0,IF(WEEKDAY(BW$6,1)=1,0,MAX(0,BW161-10)*BW160))+((IF(BW160&lt;=0,0,IF(WEEKDAY(BW$6,1)=1,0,MIN(10,BW161)*BW160)))-MIN(IF(BW160&lt;=0,0,IF(WEEKDAY(BW$6,1)=1,0,MIN(10,BW161)*BW160)),MAX(0,40*MAX(1,BW160)-(BV162)))))</f>
        <v>3</v>
      </c>
      <c r="BX163" s="63">
        <f>IF(AND(BX160=1,BX161=13),3,IF(BX160&lt;=0,0,IF(WEEKDAY(BX$6,1)=1,0,MAX(0,BX161-10)*BX160))+((IF(BX160&lt;=0,0,IF(WEEKDAY(BX$6,1)=1,0,MIN(10,BX161)*BX160)))-MIN(IF(BX160&lt;=0,0,IF(WEEKDAY(BX$6,1)=1,0,MIN(10,BX161)*BX160)),MAX(0,40*MAX(1,BX160)-(BV162+BW162)))))</f>
        <v>3</v>
      </c>
      <c r="BY163" s="63">
        <f>IF(AND(BY160=1,BY161=13),3,IF(BY160&lt;=0,0,IF(WEEKDAY(BY$6,1)=1,0,MAX(0,BY161-10)*BY160))+((IF(BY160&lt;=0,0,IF(WEEKDAY(BY$6,1)=1,0,MIN(10,BY161)*BY160)))-MIN(IF(BY160&lt;=0,0,IF(WEEKDAY(BY$6,1)=1,0,MIN(10,BY161)*BY160)),MAX(0,40*MAX(1,BY160)-(BV162+BW162+BX162)))))</f>
        <v>3</v>
      </c>
      <c r="BZ163" s="63">
        <f>IF(AND(BZ160=1,BZ161=13),13,IF(BZ160&lt;=0,0,IF(WEEKDAY(BZ$6,1)=1,0,MAX(0,BZ161-10)*BZ160))+((IF(BZ160&lt;=0,0,IF(WEEKDAY(BZ$6,1)=1,0,MIN(10,BZ161)*BZ160)))-MIN(IF(BZ160&lt;=0,0,IF(WEEKDAY(BZ$6,1)=1,0,MIN(10,BZ161)*BZ160)),MAX(0,40*MAX(1,BZ160)-(BV162+BW162+BX162+BY162)))))</f>
        <v>13</v>
      </c>
      <c r="CA163" s="64">
        <f>IF(AND(CA160=1,CA161=13),13,IF(CA160&lt;=0,0,IF(WEEKDAY(CA$6,1)=1,0,MAX(0,CA161-10)*CA160))+((IF(CA160&lt;=0,0,IF(WEEKDAY(CA$6,1)=1,0,MIN(10,CA161)*CA160)))-MIN(IF(CA160&lt;=0,0,IF(WEEKDAY(CA$6,1)=1,0,MIN(10,CA161)*CA160)),MAX(0,40*MAX(1,CA160)-(BV162+BW162+BX162+BY162+BZ162)))))</f>
        <v>13</v>
      </c>
      <c r="CB163" s="64">
        <f>IF(AND(CB160=1,CB161=13),0,IF(CB160&lt;=0,0,IF(WEEKDAY(CB$6,1)=1,0,MAX(0,CB161-10)*CB160))+((IF(CB160&lt;=0,0,IF(WEEKDAY(CB$6,1)=1,0,MIN(10,CB161)*CB160)))-MIN(IF(CB160&lt;=0,0,IF(WEEKDAY(CB$6,1)=1,0,MIN(10,CB161)*CB160)),MAX(0,40*MAX(1,CB160)-(BV162+BW162+BX162+BY162+BZ162+CA162)))))</f>
        <v>0</v>
      </c>
      <c r="CC163" s="63">
        <f>IF(AND(CC160=1,CC161=13),3,IF(CC160&lt;=0,0,IF(WEEKDAY(CC$6,1)=1,0,MAX(0,CC161-10)*CC160))+((IF(CC160&lt;=0,0,IF(WEEKDAY(CC$6,1)=1,0,MIN(10,CC161)*CC160)))-MIN(IF(CC160&lt;=0,0,IF(WEEKDAY(CC$6,1)=1,0,MIN(10,CC161)*CC160)),MAX(0,40*MAX(1,CC160)-(0)))))</f>
        <v>3</v>
      </c>
      <c r="CD163" s="63">
        <f>IF(AND(CD160=1,CD161=13),3,IF(CD160&lt;=0,0,IF(WEEKDAY(CD$6,1)=1,0,MAX(0,CD161-10)*CD160))+((IF(CD160&lt;=0,0,IF(WEEKDAY(CD$6,1)=1,0,MIN(10,CD161)*CD160)))-MIN(IF(CD160&lt;=0,0,IF(WEEKDAY(CD$6,1)=1,0,MIN(10,CD161)*CD160)),MAX(0,40*MAX(1,CD160)-(CC162)))))</f>
        <v>3</v>
      </c>
      <c r="CE163" s="63">
        <f>IF(AND(CE160=1,CE161=13),3,IF(CE160&lt;=0,0,IF(WEEKDAY(CE$6,1)=1,0,MAX(0,CE161-10)*CE160))+((IF(CE160&lt;=0,0,IF(WEEKDAY(CE$6,1)=1,0,MIN(10,CE161)*CE160)))-MIN(IF(CE160&lt;=0,0,IF(WEEKDAY(CE$6,1)=1,0,MIN(10,CE161)*CE160)),MAX(0,40*MAX(1,CE160)-(CC162+CD162)))))</f>
        <v>3</v>
      </c>
      <c r="CF163" s="63">
        <f>IF(AND(CF160=1,CF161=13),3,IF(CF160&lt;=0,0,IF(WEEKDAY(CF$6,1)=1,0,MAX(0,CF161-10)*CF160))+((IF(CF160&lt;=0,0,IF(WEEKDAY(CF$6,1)=1,0,MIN(10,CF161)*CF160)))-MIN(IF(CF160&lt;=0,0,IF(WEEKDAY(CF$6,1)=1,0,MIN(10,CF161)*CF160)),MAX(0,40*MAX(1,CF160)-(CC162+CD162+CE162)))))</f>
        <v>3</v>
      </c>
      <c r="CG163" s="63">
        <f>IF(AND(CG160=1,CG161=13),13,IF(CG160&lt;=0,0,IF(WEEKDAY(CG$6,1)=1,0,MAX(0,CG161-10)*CG160))+((IF(CG160&lt;=0,0,IF(WEEKDAY(CG$6,1)=1,0,MIN(10,CG161)*CG160)))-MIN(IF(CG160&lt;=0,0,IF(WEEKDAY(CG$6,1)=1,0,MIN(10,CG161)*CG160)),MAX(0,40*MAX(1,CG160)-(CC162+CD162+CE162+CF162)))))</f>
        <v>13</v>
      </c>
      <c r="CH163" s="64">
        <f>IF(AND(CH160=1,CH161=13),13,IF(CH160&lt;=0,0,IF(WEEKDAY(CH$6,1)=1,0,MAX(0,CH161-10)*CH160))+((IF(CH160&lt;=0,0,IF(WEEKDAY(CH$6,1)=1,0,MIN(10,CH161)*CH160)))-MIN(IF(CH160&lt;=0,0,IF(WEEKDAY(CH$6,1)=1,0,MIN(10,CH161)*CH160)),MAX(0,40*MAX(1,CH160)-(CC162+CD162+CE162+CF162+CG162)))))</f>
        <v>13</v>
      </c>
      <c r="CI163" s="64">
        <f>IF(AND(CI160=1,CI161=13),0,IF(CI160&lt;=0,0,IF(WEEKDAY(CI$6,1)=1,0,MAX(0,CI161-10)*CI160))+((IF(CI160&lt;=0,0,IF(WEEKDAY(CI$6,1)=1,0,MIN(10,CI161)*CI160)))-MIN(IF(CI160&lt;=0,0,IF(WEEKDAY(CI$6,1)=1,0,MIN(10,CI161)*CI160)),MAX(0,40*MAX(1,CI160)-(CC162+CD162+CE162+CF162+CG162+CH162)))))</f>
        <v>0</v>
      </c>
      <c r="CJ163" s="63">
        <f>IF(AND(CJ160=1,CJ161=13),3,IF(CJ160&lt;=0,0,IF(WEEKDAY(CJ$6,1)=1,0,MAX(0,CJ161-10)*CJ160))+((IF(CJ160&lt;=0,0,IF(WEEKDAY(CJ$6,1)=1,0,MIN(10,CJ161)*CJ160)))-MIN(IF(CJ160&lt;=0,0,IF(WEEKDAY(CJ$6,1)=1,0,MIN(10,CJ161)*CJ160)),MAX(0,40*MAX(1,CJ160)-(0)))))</f>
        <v>3</v>
      </c>
      <c r="CK163" s="63">
        <f>IF(AND(CK160=1,CK161=13),3,IF(CK160&lt;=0,0,IF(WEEKDAY(CK$6,1)=1,0,MAX(0,CK161-10)*CK160))+((IF(CK160&lt;=0,0,IF(WEEKDAY(CK$6,1)=1,0,MIN(10,CK161)*CK160)))-MIN(IF(CK160&lt;=0,0,IF(WEEKDAY(CK$6,1)=1,0,MIN(10,CK161)*CK160)),MAX(0,40*MAX(1,CK160)-(CJ162)))))</f>
        <v>3</v>
      </c>
      <c r="CL163" s="63">
        <f>IF(AND(CL160=1,CL161=13),3,IF(CL160&lt;=0,0,IF(WEEKDAY(CL$6,1)=1,0,MAX(0,CL161-10)*CL160))+((IF(CL160&lt;=0,0,IF(WEEKDAY(CL$6,1)=1,0,MIN(10,CL161)*CL160)))-MIN(IF(CL160&lt;=0,0,IF(WEEKDAY(CL$6,1)=1,0,MIN(10,CL161)*CL160)),MAX(0,40*MAX(1,CL160)-(CJ162+CK162)))))</f>
        <v>3</v>
      </c>
      <c r="CM163" s="63">
        <f>IF(AND(CM160=1,CM161=13),3,IF(CM160&lt;=0,0,IF(WEEKDAY(CM$6,1)=1,0,MAX(0,CM161-10)*CM160))+((IF(CM160&lt;=0,0,IF(WEEKDAY(CM$6,1)=1,0,MIN(10,CM161)*CM160)))-MIN(IF(CM160&lt;=0,0,IF(WEEKDAY(CM$6,1)=1,0,MIN(10,CM161)*CM160)),MAX(0,40*MAX(1,CM160)-(CJ162+CK162+CL162)))))</f>
        <v>3</v>
      </c>
      <c r="CN163" s="63">
        <f>IF(AND(CN160=1,CN161=13),13,IF(CN160&lt;=0,0,IF(WEEKDAY(CN$6,1)=1,0,MAX(0,CN161-10)*CN160))+((IF(CN160&lt;=0,0,IF(WEEKDAY(CN$6,1)=1,0,MIN(10,CN161)*CN160)))-MIN(IF(CN160&lt;=0,0,IF(WEEKDAY(CN$6,1)=1,0,MIN(10,CN161)*CN160)),MAX(0,40*MAX(1,CN160)-(CJ162+CK162+CL162+CM162)))))</f>
        <v>13</v>
      </c>
      <c r="CO163" s="64">
        <f>IF(AND(CO160=1,CO161=13),13,IF(CO160&lt;=0,0,IF(WEEKDAY(CO$6,1)=1,0,MAX(0,CO161-10)*CO160))+((IF(CO160&lt;=0,0,IF(WEEKDAY(CO$6,1)=1,0,MIN(10,CO161)*CO160)))-MIN(IF(CO160&lt;=0,0,IF(WEEKDAY(CO$6,1)=1,0,MIN(10,CO161)*CO160)),MAX(0,40*MAX(1,CO160)-(CJ162+CK162+CL162+CM162+CN162)))))</f>
        <v>13</v>
      </c>
      <c r="CP163" s="64">
        <f>IF(AND(CP160=1,CP161=13),0,IF(CP160&lt;=0,0,IF(WEEKDAY(CP$6,1)=1,0,MAX(0,CP161-10)*CP160))+((IF(CP160&lt;=0,0,IF(WEEKDAY(CP$6,1)=1,0,MIN(10,CP161)*CP160)))-MIN(IF(CP160&lt;=0,0,IF(WEEKDAY(CP$6,1)=1,0,MIN(10,CP161)*CP160)),MAX(0,40*MAX(1,CP160)-(CJ162+CK162+CL162+CM162+CN162+CO162)))))</f>
        <v>0</v>
      </c>
      <c r="CQ163" s="63">
        <f>IF(AND(CQ160=1,CQ161=13),3,IF(CQ160&lt;=0,0,IF(WEEKDAY(CQ$6,1)=1,0,MAX(0,CQ161-10)*CQ160))+((IF(CQ160&lt;=0,0,IF(WEEKDAY(CQ$6,1)=1,0,MIN(10,CQ161)*CQ160)))-MIN(IF(CQ160&lt;=0,0,IF(WEEKDAY(CQ$6,1)=1,0,MIN(10,CQ161)*CQ160)),MAX(0,40*MAX(1,CQ160)-(0)))))</f>
        <v>3</v>
      </c>
      <c r="CR163" s="63">
        <f>IF(AND(CR160=1,CR161=13),3,IF(CR160&lt;=0,0,IF(WEEKDAY(CR$6,1)=1,0,MAX(0,CR161-10)*CR160))+((IF(CR160&lt;=0,0,IF(WEEKDAY(CR$6,1)=1,0,MIN(10,CR161)*CR160)))-MIN(IF(CR160&lt;=0,0,IF(WEEKDAY(CR$6,1)=1,0,MIN(10,CR161)*CR160)),MAX(0,40*MAX(1,CR160)-(CQ162)))))</f>
        <v>3</v>
      </c>
      <c r="CS163" s="63">
        <f>IF(AND(CS160=1,CS161=13),3,IF(CS160&lt;=0,0,IF(WEEKDAY(CS$6,1)=1,0,MAX(0,CS161-10)*CS160))+((IF(CS160&lt;=0,0,IF(WEEKDAY(CS$6,1)=1,0,MIN(10,CS161)*CS160)))-MIN(IF(CS160&lt;=0,0,IF(WEEKDAY(CS$6,1)=1,0,MIN(10,CS161)*CS160)),MAX(0,40*MAX(1,CS160)-(CQ162+CR162)))))</f>
        <v>3</v>
      </c>
      <c r="CT163" s="63">
        <f>IF(AND(CT160=1,CT161=13),3,IF(CT160&lt;=0,0,IF(WEEKDAY(CT$6,1)=1,0,MAX(0,CT161-10)*CT160))+((IF(CT160&lt;=0,0,IF(WEEKDAY(CT$6,1)=1,0,MIN(10,CT161)*CT160)))-MIN(IF(CT160&lt;=0,0,IF(WEEKDAY(CT$6,1)=1,0,MIN(10,CT161)*CT160)),MAX(0,40*MAX(1,CT160)-(CQ162+CR162+CS162)))))</f>
        <v>3</v>
      </c>
      <c r="CU163" s="63">
        <f>IF(AND(CU160=1,CU161=13),13,IF(CU160&lt;=0,0,IF(WEEKDAY(CU$6,1)=1,0,MAX(0,CU161-10)*CU160))+((IF(CU160&lt;=0,0,IF(WEEKDAY(CU$6,1)=1,0,MIN(10,CU161)*CU160)))-MIN(IF(CU160&lt;=0,0,IF(WEEKDAY(CU$6,1)=1,0,MIN(10,CU161)*CU160)),MAX(0,40*MAX(1,CU160)-(CQ162+CR162+CS162+CT162)))))</f>
        <v>13</v>
      </c>
      <c r="CV163" s="64">
        <f>IF(AND(CV160=1,CV161=13),13,IF(CV160&lt;=0,0,IF(WEEKDAY(CV$6,1)=1,0,MAX(0,CV161-10)*CV160))+((IF(CV160&lt;=0,0,IF(WEEKDAY(CV$6,1)=1,0,MIN(10,CV161)*CV160)))-MIN(IF(CV160&lt;=0,0,IF(WEEKDAY(CV$6,1)=1,0,MIN(10,CV161)*CV160)),MAX(0,40*MAX(1,CV160)-(CQ162+CR162+CS162+CT162+CU162)))))</f>
        <v>13</v>
      </c>
      <c r="CW163" s="64">
        <f>IF(AND(CW160=1,CW161=13),0,IF(CW160&lt;=0,0,IF(WEEKDAY(CW$6,1)=1,0,MAX(0,CW161-10)*CW160))+((IF(CW160&lt;=0,0,IF(WEEKDAY(CW$6,1)=1,0,MIN(10,CW161)*CW160)))-MIN(IF(CW160&lt;=0,0,IF(WEEKDAY(CW$6,1)=1,0,MIN(10,CW161)*CW160)),MAX(0,40*MAX(1,CW160)-(CQ162+CR162+CS162+CT162+CU162+CV162)))))</f>
        <v>0</v>
      </c>
      <c r="CX163" s="63">
        <f>IF(AND(CX160=1,CX161=13),3,IF(CX160&lt;=0,0,IF(WEEKDAY(CX$6,1)=1,0,MAX(0,CX161-10)*CX160))+((IF(CX160&lt;=0,0,IF(WEEKDAY(CX$6,1)=1,0,MIN(10,CX161)*CX160)))-MIN(IF(CX160&lt;=0,0,IF(WEEKDAY(CX$6,1)=1,0,MIN(10,CX161)*CX160)),MAX(0,40*MAX(1,CX160)-(0)))))</f>
        <v>3</v>
      </c>
      <c r="CY163" s="63">
        <f>IF(AND(CY160=1,CY161=13),3,IF(CY160&lt;=0,0,IF(WEEKDAY(CY$6,1)=1,0,MAX(0,CY161-10)*CY160))+((IF(CY160&lt;=0,0,IF(WEEKDAY(CY$6,1)=1,0,MIN(10,CY161)*CY160)))-MIN(IF(CY160&lt;=0,0,IF(WEEKDAY(CY$6,1)=1,0,MIN(10,CY161)*CY160)),MAX(0,40*MAX(1,CY160)-(CX162)))))</f>
        <v>3</v>
      </c>
      <c r="CZ163" s="63">
        <f>IF(AND(CZ160=1,CZ161=13),3,IF(CZ160&lt;=0,0,IF(WEEKDAY(CZ$6,1)=1,0,MAX(0,CZ161-10)*CZ160))+((IF(CZ160&lt;=0,0,IF(WEEKDAY(CZ$6,1)=1,0,MIN(10,CZ161)*CZ160)))-MIN(IF(CZ160&lt;=0,0,IF(WEEKDAY(CZ$6,1)=1,0,MIN(10,CZ161)*CZ160)),MAX(0,40*MAX(1,CZ160)-(CX162+CY162)))))</f>
        <v>3</v>
      </c>
      <c r="DA163" s="63">
        <f>IF(AND(DA160=1,DA161=13),3,IF(DA160&lt;=0,0,IF(WEEKDAY(DA$6,1)=1,0,MAX(0,DA161-10)*DA160))+((IF(DA160&lt;=0,0,IF(WEEKDAY(DA$6,1)=1,0,MIN(10,DA161)*DA160)))-MIN(IF(DA160&lt;=0,0,IF(WEEKDAY(DA$6,1)=1,0,MIN(10,DA161)*DA160)),MAX(0,40*MAX(1,DA160)-(CX162+CY162+CZ162)))))</f>
        <v>3</v>
      </c>
      <c r="DB163" s="63">
        <f>IF(AND(DB160=1,DB161=13),13,IF(DB160&lt;=0,0,IF(WEEKDAY(DB$6,1)=1,0,MAX(0,DB161-10)*DB160))+((IF(DB160&lt;=0,0,IF(WEEKDAY(DB$6,1)=1,0,MIN(10,DB161)*DB160)))-MIN(IF(DB160&lt;=0,0,IF(WEEKDAY(DB$6,1)=1,0,MIN(10,DB161)*DB160)),MAX(0,40*MAX(1,DB160)-(CX162+CY162+CZ162+DA162)))))</f>
        <v>13</v>
      </c>
      <c r="DC163" s="64">
        <f>IF(AND(DC160=1,DC161=13),13,IF(DC160&lt;=0,0,IF(WEEKDAY(DC$6,1)=1,0,MAX(0,DC161-10)*DC160))+((IF(DC160&lt;=0,0,IF(WEEKDAY(DC$6,1)=1,0,MIN(10,DC161)*DC160)))-MIN(IF(DC160&lt;=0,0,IF(WEEKDAY(DC$6,1)=1,0,MIN(10,DC161)*DC160)),MAX(0,40*MAX(1,DC160)-(CX162+CY162+CZ162+DA162+DB162)))))</f>
        <v>13</v>
      </c>
      <c r="DD163" s="64">
        <f>IF(AND(DD160=1,DD161=13),0,IF(DD160&lt;=0,0,IF(WEEKDAY(DD$6,1)=1,0,MAX(0,DD161-10)*DD160))+((IF(DD160&lt;=0,0,IF(WEEKDAY(DD$6,1)=1,0,MIN(10,DD161)*DD160)))-MIN(IF(DD160&lt;=0,0,IF(WEEKDAY(DD$6,1)=1,0,MIN(10,DD161)*DD160)),MAX(0,40*MAX(1,DD160)-(0)))))</f>
        <v>0</v>
      </c>
      <c r="DE163" s="63">
        <f>IF(AND(DE160=1,DE161=13),3,IF(DE160&lt;=0,0,IF(WEEKDAY(DE$6,1)=1,0,MAX(0,DE161-10)*DE160))+((IF(DE160&lt;=0,0,IF(WEEKDAY(DE$6,1)=1,0,MIN(10,DE161)*DE160)))-MIN(IF(DE160&lt;=0,0,IF(WEEKDAY(DE$6,1)=1,0,MIN(10,DE161)*DE160)),MAX(0,40*MAX(1,DE160)-(0)))))</f>
        <v>3</v>
      </c>
      <c r="DF163" s="63">
        <f>IF(AND(DF160=1,DF161=13),3,IF(DF160&lt;=0,0,IF(WEEKDAY(DF$6,1)=1,0,MAX(0,DF161-10)*DF160))+((IF(DF160&lt;=0,0,IF(WEEKDAY(DF$6,1)=1,0,MIN(10,DF161)*DF160)))-MIN(IF(DF160&lt;=0,0,IF(WEEKDAY(DF$6,1)=1,0,MIN(10,DF161)*DF160)),MAX(0,40*MAX(1,DF160)-(DE162)))))</f>
        <v>3</v>
      </c>
      <c r="DG163" s="63">
        <f>IF(AND(DG160=1,DG161=13),3,IF(DG160&lt;=0,0,IF(WEEKDAY(DG$6,1)=1,0,MAX(0,DG161-10)*DG160))+((IF(DG160&lt;=0,0,IF(WEEKDAY(DG$6,1)=1,0,MIN(10,DG161)*DG160)))-MIN(IF(DG160&lt;=0,0,IF(WEEKDAY(DG$6,1)=1,0,MIN(10,DG161)*DG160)),MAX(0,40*MAX(1,DG160)-(DE162+DF162)))))</f>
        <v>3</v>
      </c>
      <c r="DH163" s="63">
        <f>IF(AND(DH160=1,DH161=13),3,IF(DH160&lt;=0,0,IF(WEEKDAY(DH$6,1)=1,0,MAX(0,DH161-10)*DH160))+((IF(DH160&lt;=0,0,IF(WEEKDAY(DH$6,1)=1,0,MIN(10,DH161)*DH160)))-MIN(IF(DH160&lt;=0,0,IF(WEEKDAY(DH$6,1)=1,0,MIN(10,DH161)*DH160)),MAX(0,40*MAX(1,DH160)-(DE162+DF162+DG162)))))</f>
        <v>3</v>
      </c>
      <c r="DI163" s="63">
        <f>IF(AND(DI160=1,DI161=13),13,IF(DI160&lt;=0,0,IF(WEEKDAY(DI$6,1)=1,0,MAX(0,DI161-10)*DI160))+((IF(DI160&lt;=0,0,IF(WEEKDAY(DI$6,1)=1,0,MIN(10,DI161)*DI160)))-MIN(IF(DI160&lt;=0,0,IF(WEEKDAY(DI$6,1)=1,0,MIN(10,DI161)*DI160)),MAX(0,40*MAX(1,DI160)-(DE162+DF162+DG162+DH162)))))</f>
        <v>13</v>
      </c>
      <c r="DJ163" s="64">
        <f>IF(AND(DJ160=1,DJ161=13),13,IF(DJ160&lt;=0,0,IF(WEEKDAY(DJ$6,1)=1,0,MAX(0,DJ161-10)*DJ160))+((IF(DJ160&lt;=0,0,IF(WEEKDAY(DJ$6,1)=1,0,MIN(10,DJ161)*DJ160)))-MIN(IF(DJ160&lt;=0,0,IF(WEEKDAY(DJ$6,1)=1,0,MIN(10,DJ161)*DJ160)),MAX(0,40*MAX(1,DJ160)-(DE162+DF162+DG162+DH162+DI162)))))</f>
        <v>13</v>
      </c>
      <c r="DK163" s="64">
        <f>IF(AND(DK160=1,DK161=13),0,IF(DK160&lt;=0,0,IF(WEEKDAY(DK$6,1)=1,0,MAX(0,DK161-10)*DK160))+((IF(DK160&lt;=0,0,IF(WEEKDAY(DK$6,1)=1,0,MIN(10,DK161)*DK160)))-MIN(IF(DK160&lt;=0,0,IF(WEEKDAY(DK$6,1)=1,0,MIN(10,DK161)*DK160)),MAX(0,40*MAX(1,DK160)-(DE162+DF162+DG162+DH162+DI162+DJ162)))))</f>
        <v>0</v>
      </c>
      <c r="DL163" s="63">
        <f>IF(AND(DL160=1,DL161=13),3,IF(DL160&lt;=0,0,IF(WEEKDAY(DL$6,1)=1,0,MAX(0,DL161-10)*DL160))+((IF(DL160&lt;=0,0,IF(WEEKDAY(DL$6,1)=1,0,MIN(10,DL161)*DL160)))-MIN(IF(DL160&lt;=0,0,IF(WEEKDAY(DL$6,1)=1,0,MIN(10,DL161)*DL160)),MAX(0,40*MAX(1,DL160)-(0)))))</f>
        <v>3</v>
      </c>
      <c r="DM163" s="63">
        <f>IF(AND(DM160=1,DM161=13),3,IF(DM160&lt;=0,0,IF(WEEKDAY(DM$6,1)=1,0,MAX(0,DM161-10)*DM160))+((IF(DM160&lt;=0,0,IF(WEEKDAY(DM$6,1)=1,0,MIN(10,DM161)*DM160)))-MIN(IF(DM160&lt;=0,0,IF(WEEKDAY(DM$6,1)=1,0,MIN(10,DM161)*DM160)),MAX(0,40*MAX(1,DM160)-(DL162)))))</f>
        <v>3</v>
      </c>
      <c r="DN163" s="63">
        <f>IF(AND(DN160=1,DN161=13),3,IF(DN160&lt;=0,0,IF(WEEKDAY(DN$6,1)=1,0,MAX(0,DN161-10)*DN160))+((IF(DN160&lt;=0,0,IF(WEEKDAY(DN$6,1)=1,0,MIN(10,DN161)*DN160)))-MIN(IF(DN160&lt;=0,0,IF(WEEKDAY(DN$6,1)=1,0,MIN(10,DN161)*DN160)),MAX(0,40*MAX(1,DN160)-(DL162+DM162)))))</f>
        <v>3</v>
      </c>
      <c r="DO163" s="63">
        <f>IF(AND(DO160=1,DO161=13),3,IF(DO160&lt;=0,0,IF(WEEKDAY(DO$6,1)=1,0,MAX(0,DO161-10)*DO160))+((IF(DO160&lt;=0,0,IF(WEEKDAY(DO$6,1)=1,0,MIN(10,DO161)*DO160)))-MIN(IF(DO160&lt;=0,0,IF(WEEKDAY(DO$6,1)=1,0,MIN(10,DO161)*DO160)),MAX(0,40*MAX(1,DO160)-(DL162+DM162+DN162)))))</f>
        <v>3</v>
      </c>
      <c r="DP163" s="63">
        <f>IF(AND(DP160=1,DP161=13),13,IF(DP160&lt;=0,0,IF(WEEKDAY(DP$6,1)=1,0,MAX(0,DP161-10)*DP160))+((IF(DP160&lt;=0,0,IF(WEEKDAY(DP$6,1)=1,0,MIN(10,DP161)*DP160)))-MIN(IF(DP160&lt;=0,0,IF(WEEKDAY(DP$6,1)=1,0,MIN(10,DP161)*DP160)),MAX(0,40*MAX(1,DP160)-(DL162+DM162+DN162+DO162)))))</f>
        <v>13</v>
      </c>
      <c r="DQ163" s="64">
        <f>IF(AND(DQ160=1,DQ161=13),13,IF(DQ160&lt;=0,0,IF(WEEKDAY(DQ$6,1)=1,0,MAX(0,DQ161-10)*DQ160))+((IF(DQ160&lt;=0,0,IF(WEEKDAY(DQ$6,1)=1,0,MIN(10,DQ161)*DQ160)))-MIN(IF(DQ160&lt;=0,0,IF(WEEKDAY(DQ$6,1)=1,0,MIN(10,DQ161)*DQ160)),MAX(0,40*MAX(1,DQ160)-(DL162+DM162+DN162+DO162+DP162)))))</f>
        <v>13</v>
      </c>
      <c r="DR163" s="64">
        <f>IF(AND(DR160=1,DR161=13),0,IF(DR160&lt;=0,0,IF(WEEKDAY(DR$6,1)=1,0,MAX(0,DR161-10)*DR160))+((IF(DR160&lt;=0,0,IF(WEEKDAY(DR$6,1)=1,0,MIN(10,DR161)*DR160)))-MIN(IF(DR160&lt;=0,0,IF(WEEKDAY(DR$6,1)=1,0,MIN(10,DR161)*DR160)),MAX(0,40*MAX(1,DR160)-(DL162+DM162+DN162+DO162+DP162+DQ162)))))</f>
        <v>0</v>
      </c>
      <c r="DS163" s="63">
        <f>IF(AND(DS160=1,DS161=13),3,IF(DS160&lt;=0,0,IF(WEEKDAY(DS$6,1)=1,0,MAX(0,DS161-10)*DS160))+((IF(DS160&lt;=0,0,IF(WEEKDAY(DS$6,1)=1,0,MIN(10,DS161)*DS160)))-MIN(IF(DS160&lt;=0,0,IF(WEEKDAY(DS$6,1)=1,0,MIN(10,DS161)*DS160)),MAX(0,40*MAX(1,DS160)-(0)))))</f>
        <v>3</v>
      </c>
      <c r="DT163" s="63">
        <f>IF(AND(DT160=1,DT161=8),0,IF(DT160&lt;=0,0,IF(WEEKDAY(DT$6,1)=1,0,MAX(0,DT161-8)*DT160))+((IF(DT160&lt;=0,0,IF(WEEKDAY(DT$6,1)=1,0,MIN(8,DT161)*DT160)))-MIN(IF(DT160&lt;=0,0,IF(WEEKDAY(DT$6,1)=1,0,MIN(8,DT161)*DT160)),MAX(0,40*MAX(1,DT160)-(0)))))</f>
        <v>0</v>
      </c>
      <c r="DU163" s="63">
        <f>IF(AND(DU160=1,DU161=8),0,IF(DU160&lt;=0,0,IF(WEEKDAY(DU$6,1)=1,0,MAX(0,DU161-8)*DU160))+((IF(DU160&lt;=0,0,IF(WEEKDAY(DU$6,1)=1,0,MIN(8,DU161)*DU160)))-MIN(IF(DU160&lt;=0,0,IF(WEEKDAY(DU$6,1)=1,0,MIN(8,DU161)*DU160)),MAX(0,40*MAX(1,DU160)-(DT162)))))</f>
        <v>0</v>
      </c>
      <c r="DV163" s="63">
        <f>IF(AND(DV160=1,DV161=8),0,IF(DV160&lt;=0,0,IF(WEEKDAY(DV$6,1)=1,0,MAX(0,DV161-8)*DV160))+((IF(DV160&lt;=0,0,IF(WEEKDAY(DV$6,1)=1,0,MIN(8,DV161)*DV160)))-MIN(IF(DV160&lt;=0,0,IF(WEEKDAY(DV$6,1)=1,0,MIN(8,DV161)*DV160)),MAX(0,40*MAX(1,DV160)-(DT162+DU162)))))</f>
        <v>0</v>
      </c>
      <c r="DW163" s="63">
        <f>IF(AND(DW160=1,DW161=8),0,IF(DW160&lt;=0,0,IF(WEEKDAY(DW$6,1)=1,0,MAX(0,DW161-8)*DW160))+((IF(DW160&lt;=0,0,IF(WEEKDAY(DW$6,1)=1,0,MIN(8,DW161)*DW160)))-MIN(IF(DW160&lt;=0,0,IF(WEEKDAY(DW$6,1)=1,0,MIN(8,DW161)*DW160)),MAX(0,40*MAX(1,DW160)-(DT162+DU162+DV162)))))</f>
        <v>0</v>
      </c>
      <c r="DX163" s="64">
        <f>IF(AND(DX160=0,DX161=0),0,IF(DX160&lt;=0,0,IF(WEEKDAY(DX$6,1)=1,0,MAX(0,DX161-10)*DX160))+((IF(DX160&lt;=0,0,IF(WEEKDAY(DX$6,1)=1,0,MIN(10,DX161)*DX160)))-MIN(IF(DX160&lt;=0,0,IF(WEEKDAY(DX$6,1)=1,0,MIN(10,DX161)*DX160)),MAX(0,40*MAX(1,DX160)-(0)))))</f>
        <v>0</v>
      </c>
      <c r="DY163" s="64">
        <f>IF(AND(DY160=0,DY161=0),0,IF(DY160&lt;=0,0,IF(WEEKDAY(DY$6,1)=1,0,MAX(0,DY161-10)*DY160))+((IF(DY160&lt;=0,0,IF(WEEKDAY(DY$6,1)=1,0,MIN(10,DY161)*DY160)))-MIN(IF(DY160&lt;=0,0,IF(WEEKDAY(DY$6,1)=1,0,MIN(10,DY161)*DY160)),MAX(0,40*MAX(1,DY160)-(DX162)))))</f>
        <v>0</v>
      </c>
      <c r="DZ163" s="63">
        <f>IF(AND(DZ160=1,DZ161=8),0,IF(DZ160&lt;=0,0,IF(WEEKDAY(DZ$6,1)=1,0,MAX(0,DZ161-8)*DZ160))+((IF(DZ160&lt;=0,0,IF(WEEKDAY(DZ$6,1)=1,0,MIN(8,DZ161)*DZ160)))-MIN(IF(DZ160&lt;=0,0,IF(WEEKDAY(DZ$6,1)=1,0,MIN(8,DZ161)*DZ160)),MAX(0,40*MAX(1,DZ160)-(0)))))</f>
        <v>0</v>
      </c>
      <c r="EA163" s="63">
        <f>IF(AND(EA160=1,EA161=8),0,IF(EA160&lt;=0,0,IF(WEEKDAY(EA$6,1)=1,0,MAX(0,EA161-8)*EA160))+((IF(EA160&lt;=0,0,IF(WEEKDAY(EA$6,1)=1,0,MIN(8,EA161)*EA160)))-MIN(IF(EA160&lt;=0,0,IF(WEEKDAY(EA$6,1)=1,0,MIN(8,EA161)*EA160)),MAX(0,40*MAX(1,EA160)-(DZ162)))))</f>
        <v>0</v>
      </c>
      <c r="EB163" s="63">
        <f>IF(AND(EB160=1,EB161=8),0,IF(EB160&lt;=0,0,IF(WEEKDAY(EB$6,1)=1,0,MAX(0,EB161-8)*EB160))+((IF(EB160&lt;=0,0,IF(WEEKDAY(EB$6,1)=1,0,MIN(8,EB161)*EB160)))-MIN(IF(EB160&lt;=0,0,IF(WEEKDAY(EB$6,1)=1,0,MIN(8,EB161)*EB160)),MAX(0,40*MAX(1,EB160)-(DZ162+EA162)))))</f>
        <v>0</v>
      </c>
      <c r="EC163" s="63">
        <f>IF(AND(EC160=1,EC161=8),0,IF(EC160&lt;=0,0,IF(WEEKDAY(EC$6,1)=1,0,MAX(0,EC161-8)*EC160))+((IF(EC160&lt;=0,0,IF(WEEKDAY(EC$6,1)=1,0,MIN(8,EC161)*EC160)))-MIN(IF(EC160&lt;=0,0,IF(WEEKDAY(EC$6,1)=1,0,MIN(8,EC161)*EC160)),MAX(0,40*MAX(1,EC160)-(DZ162+EA162+EB162)))))</f>
        <v>0</v>
      </c>
      <c r="ED163" s="63">
        <f>IF(AND(ED160=1,ED161=8),0,IF(ED160&lt;=0,0,IF(WEEKDAY(ED$6,1)=1,0,MAX(0,ED161-8)*ED160))+((IF(ED160&lt;=0,0,IF(WEEKDAY(ED$6,1)=1,0,MIN(8,ED161)*ED160)))-MIN(IF(ED160&lt;=0,0,IF(WEEKDAY(ED$6,1)=1,0,MIN(8,ED161)*ED160)),MAX(0,40*MAX(1,ED160)-(DZ162+EA162+EB162+EC162)))))</f>
        <v>0</v>
      </c>
      <c r="EE163" s="64">
        <f>IF(AND(EE160=0,EE161=0),0,IF(EE160&lt;=0,0,IF(WEEKDAY(EE$6,1)=1,0,MAX(0,EE161-10)*EE160))+((IF(EE160&lt;=0,0,IF(WEEKDAY(EE$6,1)=1,0,MIN(10,EE161)*EE160)))-MIN(IF(EE160&lt;=0,0,IF(WEEKDAY(EE$6,1)=1,0,MIN(10,EE161)*EE160)),MAX(0,40*MAX(1,EE160)-(0)))))</f>
        <v>0</v>
      </c>
      <c r="EF163" s="64">
        <f>IF(AND(EF160=0,EF161=0),0,IF(EF160&lt;=0,0,IF(WEEKDAY(EF$6,1)=1,0,MAX(0,EF161-10)*EF160))+((IF(EF160&lt;=0,0,IF(WEEKDAY(EF$6,1)=1,0,MIN(10,EF161)*EF160)))-MIN(IF(EF160&lt;=0,0,IF(WEEKDAY(EF$6,1)=1,0,MIN(10,EF161)*EF160)),MAX(0,40*MAX(1,EF160)-(EE162)))))</f>
        <v>0</v>
      </c>
      <c r="EG163" s="63">
        <f>IF(AND(EG160=1,EG161=8),0,IF(EG160&lt;=0,0,IF(WEEKDAY(EG$6,1)=1,0,MAX(0,EG161-8)*EG160))+((IF(EG160&lt;=0,0,IF(WEEKDAY(EG$6,1)=1,0,MIN(8,EG161)*EG160)))-MIN(IF(EG160&lt;=0,0,IF(WEEKDAY(EG$6,1)=1,0,MIN(8,EG161)*EG160)),MAX(0,40*MAX(1,EG160)-(0)))))</f>
        <v>0</v>
      </c>
      <c r="EH163" s="63">
        <f>IF(AND(EH160=1,EH161=8),0,IF(EH160&lt;=0,0,IF(WEEKDAY(EH$6,1)=1,0,MAX(0,EH161-8)*EH160))+((IF(EH160&lt;=0,0,IF(WEEKDAY(EH$6,1)=1,0,MIN(8,EH161)*EH160)))-MIN(IF(EH160&lt;=0,0,IF(WEEKDAY(EH$6,1)=1,0,MIN(8,EH161)*EH160)),MAX(0,40*MAX(1,EH160)-(EG162)))))</f>
        <v>0</v>
      </c>
      <c r="EI163" s="63">
        <f>IF(AND(EI160=1,EI161=8),0,IF(EI160&lt;=0,0,IF(WEEKDAY(EI$6,1)=1,0,MAX(0,EI161-8)*EI160))+((IF(EI160&lt;=0,0,IF(WEEKDAY(EI$6,1)=1,0,MIN(8,EI161)*EI160)))-MIN(IF(EI160&lt;=0,0,IF(WEEKDAY(EI$6,1)=1,0,MIN(8,EI161)*EI160)),MAX(0,40*MAX(1,EI160)-(EG162+EH162)))))</f>
        <v>0</v>
      </c>
      <c r="EJ163" s="63">
        <f>IF(AND(EJ160=1,EJ161=8),0,IF(EJ160&lt;=0,0,IF(WEEKDAY(EJ$6,1)=1,0,MAX(0,EJ161-8)*EJ160))+((IF(EJ160&lt;=0,0,IF(WEEKDAY(EJ$6,1)=1,0,MIN(8,EJ161)*EJ160)))-MIN(IF(EJ160&lt;=0,0,IF(WEEKDAY(EJ$6,1)=1,0,MIN(8,EJ161)*EJ160)),MAX(0,40*MAX(1,EJ160)-(EG162+EH162+EI162)))))</f>
        <v>0</v>
      </c>
      <c r="EK163" s="65">
        <f>IF(AND(EK160=1,EK161=8),0,IF(EK160&lt;=0,0,IF(WEEKDAY(EK$6,1)=1,0,MAX(0,EK161-8)*EK160))+((IF(EK160&lt;=0,0,IF(WEEKDAY(EK$6,1)=1,0,MIN(8,EK161)*EK160)))-MIN(IF(EK160&lt;=0,0,IF(WEEKDAY(EK$6,1)=1,0,MIN(8,EK161)*EK160)),MAX(0,40*MAX(1,EK160)-(EG162+EH162+EI162+EJ162)))))</f>
        <v>0</v>
      </c>
      <c r="OU163" s="28" t="s">
        <v>97</v>
      </c>
    </row>
    <row r="164" ht="16" customHeight="1" spans="1:411" x14ac:dyDescent="0.25">
      <c r="A164" s="45"/>
      <c r="B164" s="46"/>
      <c r="C164" s="61">
        <f>H159*N(D164)</f>
        <v>30464.46</v>
      </c>
      <c r="D164" s="61">
        <f>IF(TRIM(B159)="","No rate",IFERROR(INDEX('Rate Tables'!E$7:E$158,MATCH(B159,'Rate Tables'!A$7:A$158,0)),"No rate"))</f>
        <v>260.38</v>
      </c>
      <c r="E164" s="55" t="s">
        <v>64</v>
      </c>
      <c r="F164" s="49"/>
      <c r="G164" s="49"/>
      <c r="H164" s="49"/>
      <c r="I164" s="49"/>
      <c r="J164" s="50"/>
      <c r="K164" s="62">
        <f>IF(AND(K160=1,K161=8),0,IF(K160&lt;=0,0,IF(WEEKDAY(K$6,1)=1,K160*K161,0)))</f>
        <v>0</v>
      </c>
      <c r="L164" s="63">
        <f>IF(AND(L160=1,L161=8),0,IF(L160&lt;=0,0,IF(WEEKDAY(L$6,1)=1,L160*L161,0)))</f>
        <v>0</v>
      </c>
      <c r="M164" s="63">
        <f>IF(AND(M160=1,M161=8),0,IF(M160&lt;=0,0,IF(WEEKDAY(M$6,1)=1,M160*M161,0)))</f>
        <v>0</v>
      </c>
      <c r="N164" s="63">
        <f>IF(AND(N160=1,N161=8),0,IF(N160&lt;=0,0,IF(WEEKDAY(N$6,1)=1,N160*N161,0)))</f>
        <v>0</v>
      </c>
      <c r="O164" s="63">
        <f>IF(AND(O160=1,O161=8),0,IF(O160&lt;=0,0,IF(WEEKDAY(O$6,1)=1,O160*O161,0)))</f>
        <v>0</v>
      </c>
      <c r="P164" s="64">
        <f>IF(AND(P160=0,P161=0),0,IF(P160&lt;=0,0,IF(WEEKDAY(P$6,1)=1,P160*P161,0)))</f>
        <v>0</v>
      </c>
      <c r="Q164" s="64">
        <f>IF(AND(Q160=0,Q161=0),0,IF(Q160&lt;=0,0,IF(WEEKDAY(Q$6,1)=1,Q160*Q161,0)))</f>
        <v>0</v>
      </c>
      <c r="R164" s="63">
        <f>IF(AND(R160=1,R161=8),0,IF(R160&lt;=0,0,IF(WEEKDAY(R$6,1)=1,R160*R161,0)))</f>
        <v>0</v>
      </c>
      <c r="S164" s="63">
        <f>IF(AND(S160=1,S161=8),0,IF(S160&lt;=0,0,IF(WEEKDAY(S$6,1)=1,S160*S161,0)))</f>
        <v>0</v>
      </c>
      <c r="T164" s="63">
        <f>IF(AND(T160=1,T161=8),0,IF(T160&lt;=0,0,IF(WEEKDAY(T$6,1)=1,T160*T161,0)))</f>
        <v>0</v>
      </c>
      <c r="U164" s="63">
        <f>IF(AND(U160=1,U161=8),0,IF(U160&lt;=0,0,IF(WEEKDAY(U$6,1)=1,U160*U161,0)))</f>
        <v>0</v>
      </c>
      <c r="V164" s="63">
        <f>IF(AND(V160=1,V161=8),0,IF(V160&lt;=0,0,IF(WEEKDAY(V$6,1)=1,V160*V161,0)))</f>
        <v>0</v>
      </c>
      <c r="W164" s="64">
        <f>IF(AND(W160=0,W161=0),0,IF(W160&lt;=0,0,IF(WEEKDAY(W$6,1)=1,W160*W161,0)))</f>
        <v>0</v>
      </c>
      <c r="X164" s="64">
        <f>IF(AND(X160=0,X161=0),0,IF(X160&lt;=0,0,IF(WEEKDAY(X$6,1)=1,X160*X161,0)))</f>
        <v>0</v>
      </c>
      <c r="Y164" s="63">
        <f>IF(AND(Y160=1,Y161=8),0,IF(Y160&lt;=0,0,IF(WEEKDAY(Y$6,1)=1,Y160*Y161,0)))</f>
        <v>0</v>
      </c>
      <c r="Z164" s="63">
        <f>IF(AND(Z160=1,Z161=8),0,IF(Z160&lt;=0,0,IF(WEEKDAY(Z$6,1)=1,Z160*Z161,0)))</f>
        <v>0</v>
      </c>
      <c r="AA164" s="63">
        <f>IF(AND(AA160=1,AA161=8),0,IF(AA160&lt;=0,0,IF(WEEKDAY(AA$6,1)=1,AA160*AA161,0)))</f>
        <v>0</v>
      </c>
      <c r="AB164" s="63">
        <f>IF(AND(AB160=1,AB161=8),0,IF(AB160&lt;=0,0,IF(WEEKDAY(AB$6,1)=1,AB160*AB161,0)))</f>
        <v>0</v>
      </c>
      <c r="AC164" s="63">
        <f>IF(AND(AC160=1,AC161=8),0,IF(AC160&lt;=0,0,IF(WEEKDAY(AC$6,1)=1,AC160*AC161,0)))</f>
        <v>0</v>
      </c>
      <c r="AD164" s="64">
        <f>IF(AND(AD160=0,AD161=0),0,IF(AD160&lt;=0,0,IF(WEEKDAY(AD$6,1)=1,AD160*AD161,0)))</f>
        <v>0</v>
      </c>
      <c r="AE164" s="64">
        <f>IF(AND(AE160=0,AE161=0),0,IF(AE160&lt;=0,0,IF(WEEKDAY(AE$6,1)=1,AE160*AE161,0)))</f>
        <v>0</v>
      </c>
      <c r="AF164" s="63">
        <f>IF(AND(AF160=1,AF161=8),0,IF(AF160&lt;=0,0,IF(WEEKDAY(AF$6,1)=1,AF160*AF161,0)))</f>
        <v>0</v>
      </c>
      <c r="AG164" s="63">
        <f>IF(AND(AG160=1,AG161=8),0,IF(AG160&lt;=0,0,IF(WEEKDAY(AG$6,1)=1,AG160*AG161,0)))</f>
        <v>0</v>
      </c>
      <c r="AH164" s="63">
        <f>IF(AND(AH160=1,AH161=8),0,IF(AH160&lt;=0,0,IF(WEEKDAY(AH$6,1)=1,AH160*AH161,0)))</f>
        <v>0</v>
      </c>
      <c r="AI164" s="63">
        <f>IF(AND(AI160=1,AI161=8),0,IF(AI160&lt;=0,0,IF(WEEKDAY(AI$6,1)=1,AI160*AI161,0)))</f>
        <v>0</v>
      </c>
      <c r="AJ164" s="63">
        <f>IF(AND(AJ160=1,AJ161=8),0,IF(AJ160&lt;=0,0,IF(WEEKDAY(AJ$6,1)=1,AJ160*AJ161,0)))</f>
        <v>0</v>
      </c>
      <c r="AK164" s="64">
        <f>IF(AND(AK160=0,AK161=0),0,IF(AK160&lt;=0,0,IF(WEEKDAY(AK$6,1)=1,AK160*AK161,0)))</f>
        <v>0</v>
      </c>
      <c r="AL164" s="64">
        <f>IF(AND(AL160=0,AL161=0),0,IF(AL160&lt;=0,0,IF(WEEKDAY(AL$6,1)=1,AL160*AL161,0)))</f>
        <v>0</v>
      </c>
      <c r="AM164" s="63">
        <f>IF(AND(AM160=1,AM161=8),0,IF(AM160&lt;=0,0,IF(WEEKDAY(AM$6,1)=1,AM160*AM161,0)))</f>
        <v>0</v>
      </c>
      <c r="AN164" s="63">
        <f>IF(AND(AN160=1,AN161=8),0,IF(AN160&lt;=0,0,IF(WEEKDAY(AN$6,1)=1,AN160*AN161,0)))</f>
        <v>0</v>
      </c>
      <c r="AO164" s="63">
        <f>IF(AND(AO160=1,AO161=8),0,IF(AO160&lt;=0,0,IF(WEEKDAY(AO$6,1)=1,AO160*AO161,0)))</f>
        <v>0</v>
      </c>
      <c r="AP164" s="63">
        <f>IF(AND(AP160=1,AP161=8),0,IF(AP160&lt;=0,0,IF(WEEKDAY(AP$6,1)=1,AP160*AP161,0)))</f>
        <v>0</v>
      </c>
      <c r="AQ164" s="63">
        <f>IF(AND(AQ160=1,AQ161=8),0,IF(AQ160&lt;=0,0,IF(WEEKDAY(AQ$6,1)=1,AQ160*AQ161,0)))</f>
        <v>0</v>
      </c>
      <c r="AR164" s="64">
        <f>IF(AND(AR160=0,AR161=0),0,IF(AR160&lt;=0,0,IF(WEEKDAY(AR$6,1)=1,AR160*AR161,0)))</f>
        <v>0</v>
      </c>
      <c r="AS164" s="64">
        <f>IF(AND(AS160=0,AS161=0),0,IF(AS160&lt;=0,0,IF(WEEKDAY(AS$6,1)=1,AS160*AS161,0)))</f>
        <v>0</v>
      </c>
      <c r="AT164" s="63">
        <f>IF(AND(AT160=1,AT161=8),0,IF(AT160&lt;=0,0,IF(WEEKDAY(AT$6,1)=1,AT160*AT161,0)))</f>
        <v>0</v>
      </c>
      <c r="AU164" s="63">
        <f>IF(AND(AU160=1,AU161=8),0,IF(AU160&lt;=0,0,IF(WEEKDAY(AU$6,1)=1,AU160*AU161,0)))</f>
        <v>0</v>
      </c>
      <c r="AV164" s="63">
        <f>IF(AND(AV160=1,AV161=8),0,IF(AV160&lt;=0,0,IF(WEEKDAY(AV$6,1)=1,AV160*AV161,0)))</f>
        <v>0</v>
      </c>
      <c r="AW164" s="63">
        <f>IF(AND(AW160=1,AW161=8),0,IF(AW160&lt;=0,0,IF(WEEKDAY(AW$6,1)=1,AW160*AW161,0)))</f>
        <v>0</v>
      </c>
      <c r="AX164" s="63">
        <f>IF(AND(AX160=1,AX161=8),0,IF(AX160&lt;=0,0,IF(WEEKDAY(AX$6,1)=1,AX160*AX161,0)))</f>
        <v>0</v>
      </c>
      <c r="AY164" s="64">
        <f>IF(AND(AY160=0,AY161=0),0,IF(AY160&lt;=0,0,IF(WEEKDAY(AY$6,1)=1,AY160*AY161,0)))</f>
        <v>0</v>
      </c>
      <c r="AZ164" s="64">
        <f>IF(AND(AZ160=0,AZ161=0),0,IF(AZ160&lt;=0,0,IF(WEEKDAY(AZ$6,1)=1,AZ160*AZ161,0)))</f>
        <v>0</v>
      </c>
      <c r="BA164" s="63">
        <f>IF(AND(BA160=1,BA161=8),0,IF(BA160&lt;=0,0,IF(WEEKDAY(BA$6,1)=1,BA160*BA161,0)))</f>
        <v>0</v>
      </c>
      <c r="BB164" s="63">
        <f>IF(AND(BB160=1,BB161=8),0,IF(BB160&lt;=0,0,IF(WEEKDAY(BB$6,1)=1,BB160*BB161,0)))</f>
        <v>0</v>
      </c>
      <c r="BC164" s="63">
        <f>IF(AND(BC160=1,BC161=8),0,IF(BC160&lt;=0,0,IF(WEEKDAY(BC$6,1)=1,BC160*BC161,0)))</f>
        <v>0</v>
      </c>
      <c r="BD164" s="63">
        <f>IF(AND(BD160=1,BD161=8),0,IF(BD160&lt;=0,0,IF(WEEKDAY(BD$6,1)=1,BD160*BD161,0)))</f>
        <v>0</v>
      </c>
      <c r="BE164" s="63">
        <f>IF(AND(BE160=1,BE161=8),0,IF(BE160&lt;=0,0,IF(WEEKDAY(BE$6,1)=1,BE160*BE161,0)))</f>
        <v>0</v>
      </c>
      <c r="BF164" s="64">
        <f>IF(AND(BF160=0,BF161=0),0,IF(BF160&lt;=0,0,IF(WEEKDAY(BF$6,1)=1,BF160*BF161,0)))</f>
        <v>0</v>
      </c>
      <c r="BG164" s="64">
        <f>IF(AND(BG160=0,BG161=0),0,IF(BG160&lt;=0,0,IF(WEEKDAY(BG$6,1)=1,BG160*BG161,0)))</f>
        <v>0</v>
      </c>
      <c r="BH164" s="63">
        <f>IF(AND(BH160=1,BH161=13),0,IF(BH160&lt;=0,0,IF(WEEKDAY(BH$6,1)=1,BH160*BH161,0)))</f>
        <v>0</v>
      </c>
      <c r="BI164" s="63">
        <f>IF(AND(BI160=1,BI161=13),0,IF(BI160&lt;=0,0,IF(WEEKDAY(BI$6,1)=1,BI160*BI161,0)))</f>
        <v>0</v>
      </c>
      <c r="BJ164" s="63">
        <f>IF(AND(BJ160=1,BJ161=13),0,IF(BJ160&lt;=0,0,IF(WEEKDAY(BJ$6,1)=1,BJ160*BJ161,0)))</f>
        <v>0</v>
      </c>
      <c r="BK164" s="63">
        <f>IF(AND(BK160=1,BK161=13),0,IF(BK160&lt;=0,0,IF(WEEKDAY(BK$6,1)=1,BK160*BK161,0)))</f>
        <v>0</v>
      </c>
      <c r="BL164" s="63">
        <f>IF(AND(BL160=1,BL161=13),0,IF(BL160&lt;=0,0,IF(WEEKDAY(BL$6,1)=1,BL160*BL161,0)))</f>
        <v>0</v>
      </c>
      <c r="BM164" s="64">
        <f>IF(AND(BM160=1,BM161=13),0,IF(BM160&lt;=0,0,IF(WEEKDAY(BM$6,1)=1,BM160*BM161,0)))</f>
        <v>0</v>
      </c>
      <c r="BN164" s="64">
        <f>IF(AND(BN160=1,BN161=13),13,IF(BN160&lt;=0,0,IF(WEEKDAY(BN$6,1)=1,BN160*BN161,0)))</f>
        <v>13</v>
      </c>
      <c r="BO164" s="63">
        <f>IF(AND(BO160=1,BO161=13),0,IF(BO160&lt;=0,0,IF(WEEKDAY(BO$6,1)=1,BO160*BO161,0)))</f>
        <v>0</v>
      </c>
      <c r="BP164" s="63">
        <f>IF(AND(BP160=1,BP161=13),0,IF(BP160&lt;=0,0,IF(WEEKDAY(BP$6,1)=1,BP160*BP161,0)))</f>
        <v>0</v>
      </c>
      <c r="BQ164" s="63">
        <f>IF(AND(BQ160=1,BQ161=13),0,IF(BQ160&lt;=0,0,IF(WEEKDAY(BQ$6,1)=1,BQ160*BQ161,0)))</f>
        <v>0</v>
      </c>
      <c r="BR164" s="63">
        <f>IF(AND(BR160=1,BR161=13),0,IF(BR160&lt;=0,0,IF(WEEKDAY(BR$6,1)=1,BR160*BR161,0)))</f>
        <v>0</v>
      </c>
      <c r="BS164" s="63">
        <f>IF(AND(BS160=1,BS161=13),0,IF(BS160&lt;=0,0,IF(WEEKDAY(BS$6,1)=1,BS160*BS161,0)))</f>
        <v>0</v>
      </c>
      <c r="BT164" s="64">
        <f>IF(AND(BT160=1,BT161=13),0,IF(BT160&lt;=0,0,IF(WEEKDAY(BT$6,1)=1,BT160*BT161,0)))</f>
        <v>0</v>
      </c>
      <c r="BU164" s="64">
        <f>IF(AND(BU160=1,BU161=13),13,IF(BU160&lt;=0,0,IF(WEEKDAY(BU$6,1)=1,BU160*BU161,0)))</f>
        <v>13</v>
      </c>
      <c r="BV164" s="63">
        <f>IF(AND(BV160=1,BV161=13),0,IF(BV160&lt;=0,0,IF(WEEKDAY(BV$6,1)=1,BV160*BV161,0)))</f>
        <v>0</v>
      </c>
      <c r="BW164" s="63">
        <f>IF(AND(BW160=1,BW161=13),0,IF(BW160&lt;=0,0,IF(WEEKDAY(BW$6,1)=1,BW160*BW161,0)))</f>
        <v>0</v>
      </c>
      <c r="BX164" s="63">
        <f>IF(AND(BX160=1,BX161=13),0,IF(BX160&lt;=0,0,IF(WEEKDAY(BX$6,1)=1,BX160*BX161,0)))</f>
        <v>0</v>
      </c>
      <c r="BY164" s="63">
        <f>IF(AND(BY160=1,BY161=13),0,IF(BY160&lt;=0,0,IF(WEEKDAY(BY$6,1)=1,BY160*BY161,0)))</f>
        <v>0</v>
      </c>
      <c r="BZ164" s="63">
        <f>IF(AND(BZ160=1,BZ161=13),0,IF(BZ160&lt;=0,0,IF(WEEKDAY(BZ$6,1)=1,BZ160*BZ161,0)))</f>
        <v>0</v>
      </c>
      <c r="CA164" s="64">
        <f>IF(AND(CA160=1,CA161=13),0,IF(CA160&lt;=0,0,IF(WEEKDAY(CA$6,1)=1,CA160*CA161,0)))</f>
        <v>0</v>
      </c>
      <c r="CB164" s="64">
        <f>IF(AND(CB160=1,CB161=13),13,IF(CB160&lt;=0,0,IF(WEEKDAY(CB$6,1)=1,CB160*CB161,0)))</f>
        <v>13</v>
      </c>
      <c r="CC164" s="63">
        <f>IF(AND(CC160=1,CC161=13),0,IF(CC160&lt;=0,0,IF(WEEKDAY(CC$6,1)=1,CC160*CC161,0)))</f>
        <v>0</v>
      </c>
      <c r="CD164" s="63">
        <f>IF(AND(CD160=1,CD161=13),0,IF(CD160&lt;=0,0,IF(WEEKDAY(CD$6,1)=1,CD160*CD161,0)))</f>
        <v>0</v>
      </c>
      <c r="CE164" s="63">
        <f>IF(AND(CE160=1,CE161=13),0,IF(CE160&lt;=0,0,IF(WEEKDAY(CE$6,1)=1,CE160*CE161,0)))</f>
        <v>0</v>
      </c>
      <c r="CF164" s="63">
        <f>IF(AND(CF160=1,CF161=13),0,IF(CF160&lt;=0,0,IF(WEEKDAY(CF$6,1)=1,CF160*CF161,0)))</f>
        <v>0</v>
      </c>
      <c r="CG164" s="63">
        <f>IF(AND(CG160=1,CG161=13),0,IF(CG160&lt;=0,0,IF(WEEKDAY(CG$6,1)=1,CG160*CG161,0)))</f>
        <v>0</v>
      </c>
      <c r="CH164" s="64">
        <f>IF(AND(CH160=1,CH161=13),0,IF(CH160&lt;=0,0,IF(WEEKDAY(CH$6,1)=1,CH160*CH161,0)))</f>
        <v>0</v>
      </c>
      <c r="CI164" s="64">
        <f>IF(AND(CI160=1,CI161=13),13,IF(CI160&lt;=0,0,IF(WEEKDAY(CI$6,1)=1,CI160*CI161,0)))</f>
        <v>13</v>
      </c>
      <c r="CJ164" s="63">
        <f>IF(AND(CJ160=1,CJ161=13),0,IF(CJ160&lt;=0,0,IF(WEEKDAY(CJ$6,1)=1,CJ160*CJ161,0)))</f>
        <v>0</v>
      </c>
      <c r="CK164" s="63">
        <f>IF(AND(CK160=1,CK161=13),0,IF(CK160&lt;=0,0,IF(WEEKDAY(CK$6,1)=1,CK160*CK161,0)))</f>
        <v>0</v>
      </c>
      <c r="CL164" s="63">
        <f>IF(AND(CL160=1,CL161=13),0,IF(CL160&lt;=0,0,IF(WEEKDAY(CL$6,1)=1,CL160*CL161,0)))</f>
        <v>0</v>
      </c>
      <c r="CM164" s="63">
        <f>IF(AND(CM160=1,CM161=13),0,IF(CM160&lt;=0,0,IF(WEEKDAY(CM$6,1)=1,CM160*CM161,0)))</f>
        <v>0</v>
      </c>
      <c r="CN164" s="63">
        <f>IF(AND(CN160=1,CN161=13),0,IF(CN160&lt;=0,0,IF(WEEKDAY(CN$6,1)=1,CN160*CN161,0)))</f>
        <v>0</v>
      </c>
      <c r="CO164" s="64">
        <f>IF(AND(CO160=1,CO161=13),0,IF(CO160&lt;=0,0,IF(WEEKDAY(CO$6,1)=1,CO160*CO161,0)))</f>
        <v>0</v>
      </c>
      <c r="CP164" s="64">
        <f>IF(AND(CP160=1,CP161=13),13,IF(CP160&lt;=0,0,IF(WEEKDAY(CP$6,1)=1,CP160*CP161,0)))</f>
        <v>13</v>
      </c>
      <c r="CQ164" s="63">
        <f>IF(AND(CQ160=1,CQ161=13),0,IF(CQ160&lt;=0,0,IF(WEEKDAY(CQ$6,1)=1,CQ160*CQ161,0)))</f>
        <v>0</v>
      </c>
      <c r="CR164" s="63">
        <f>IF(AND(CR160=1,CR161=13),0,IF(CR160&lt;=0,0,IF(WEEKDAY(CR$6,1)=1,CR160*CR161,0)))</f>
        <v>0</v>
      </c>
      <c r="CS164" s="63">
        <f>IF(AND(CS160=1,CS161=13),0,IF(CS160&lt;=0,0,IF(WEEKDAY(CS$6,1)=1,CS160*CS161,0)))</f>
        <v>0</v>
      </c>
      <c r="CT164" s="63">
        <f>IF(AND(CT160=1,CT161=13),0,IF(CT160&lt;=0,0,IF(WEEKDAY(CT$6,1)=1,CT160*CT161,0)))</f>
        <v>0</v>
      </c>
      <c r="CU164" s="63">
        <f>IF(AND(CU160=1,CU161=13),0,IF(CU160&lt;=0,0,IF(WEEKDAY(CU$6,1)=1,CU160*CU161,0)))</f>
        <v>0</v>
      </c>
      <c r="CV164" s="64">
        <f>IF(AND(CV160=1,CV161=13),0,IF(CV160&lt;=0,0,IF(WEEKDAY(CV$6,1)=1,CV160*CV161,0)))</f>
        <v>0</v>
      </c>
      <c r="CW164" s="64">
        <f>IF(AND(CW160=1,CW161=13),13,IF(CW160&lt;=0,0,IF(WEEKDAY(CW$6,1)=1,CW160*CW161,0)))</f>
        <v>13</v>
      </c>
      <c r="CX164" s="63">
        <f>IF(AND(CX160=1,CX161=13),0,IF(CX160&lt;=0,0,IF(WEEKDAY(CX$6,1)=1,CX160*CX161,0)))</f>
        <v>0</v>
      </c>
      <c r="CY164" s="63">
        <f>IF(AND(CY160=1,CY161=13),0,IF(CY160&lt;=0,0,IF(WEEKDAY(CY$6,1)=1,CY160*CY161,0)))</f>
        <v>0</v>
      </c>
      <c r="CZ164" s="63">
        <f>IF(AND(CZ160=1,CZ161=13),0,IF(CZ160&lt;=0,0,IF(WEEKDAY(CZ$6,1)=1,CZ160*CZ161,0)))</f>
        <v>0</v>
      </c>
      <c r="DA164" s="63">
        <f>IF(AND(DA160=1,DA161=13),0,IF(DA160&lt;=0,0,IF(WEEKDAY(DA$6,1)=1,DA160*DA161,0)))</f>
        <v>0</v>
      </c>
      <c r="DB164" s="63">
        <f>IF(AND(DB160=1,DB161=13),0,IF(DB160&lt;=0,0,IF(WEEKDAY(DB$6,1)=1,DB160*DB161,0)))</f>
        <v>0</v>
      </c>
      <c r="DC164" s="64">
        <f>IF(AND(DC160=1,DC161=13),0,IF(DC160&lt;=0,0,IF(WEEKDAY(DC$6,1)=1,DC160*DC161,0)))</f>
        <v>0</v>
      </c>
      <c r="DD164" s="64">
        <f>IF(AND(DD160=1,DD161=13),13,IF(DD160&lt;=0,0,IF(WEEKDAY(DD$6,1)=1,DD160*DD161,0)))</f>
        <v>13</v>
      </c>
      <c r="DE164" s="63">
        <f>IF(AND(DE160=1,DE161=13),0,IF(DE160&lt;=0,0,IF(WEEKDAY(DE$6,1)=1,DE160*DE161,0)))</f>
        <v>0</v>
      </c>
      <c r="DF164" s="63">
        <f>IF(AND(DF160=1,DF161=13),0,IF(DF160&lt;=0,0,IF(WEEKDAY(DF$6,1)=1,DF160*DF161,0)))</f>
        <v>0</v>
      </c>
      <c r="DG164" s="63">
        <f>IF(AND(DG160=1,DG161=13),0,IF(DG160&lt;=0,0,IF(WEEKDAY(DG$6,1)=1,DG160*DG161,0)))</f>
        <v>0</v>
      </c>
      <c r="DH164" s="63">
        <f>IF(AND(DH160=1,DH161=13),0,IF(DH160&lt;=0,0,IF(WEEKDAY(DH$6,1)=1,DH160*DH161,0)))</f>
        <v>0</v>
      </c>
      <c r="DI164" s="63">
        <f>IF(AND(DI160=1,DI161=13),0,IF(DI160&lt;=0,0,IF(WEEKDAY(DI$6,1)=1,DI160*DI161,0)))</f>
        <v>0</v>
      </c>
      <c r="DJ164" s="64">
        <f>IF(AND(DJ160=1,DJ161=13),0,IF(DJ160&lt;=0,0,IF(WEEKDAY(DJ$6,1)=1,DJ160*DJ161,0)))</f>
        <v>0</v>
      </c>
      <c r="DK164" s="64">
        <f>IF(AND(DK160=1,DK161=13),13,IF(DK160&lt;=0,0,IF(WEEKDAY(DK$6,1)=1,DK160*DK161,0)))</f>
        <v>13</v>
      </c>
      <c r="DL164" s="63">
        <f>IF(AND(DL160=1,DL161=13),0,IF(DL160&lt;=0,0,IF(WEEKDAY(DL$6,1)=1,DL160*DL161,0)))</f>
        <v>0</v>
      </c>
      <c r="DM164" s="63">
        <f>IF(AND(DM160=1,DM161=13),0,IF(DM160&lt;=0,0,IF(WEEKDAY(DM$6,1)=1,DM160*DM161,0)))</f>
        <v>0</v>
      </c>
      <c r="DN164" s="63">
        <f>IF(AND(DN160=1,DN161=13),0,IF(DN160&lt;=0,0,IF(WEEKDAY(DN$6,1)=1,DN160*DN161,0)))</f>
        <v>0</v>
      </c>
      <c r="DO164" s="63">
        <f>IF(AND(DO160=1,DO161=13),0,IF(DO160&lt;=0,0,IF(WEEKDAY(DO$6,1)=1,DO160*DO161,0)))</f>
        <v>0</v>
      </c>
      <c r="DP164" s="63">
        <f>IF(AND(DP160=1,DP161=13),0,IF(DP160&lt;=0,0,IF(WEEKDAY(DP$6,1)=1,DP160*DP161,0)))</f>
        <v>0</v>
      </c>
      <c r="DQ164" s="64">
        <f>IF(AND(DQ160=1,DQ161=13),0,IF(DQ160&lt;=0,0,IF(WEEKDAY(DQ$6,1)=1,DQ160*DQ161,0)))</f>
        <v>0</v>
      </c>
      <c r="DR164" s="64">
        <f>IF(AND(DR160=1,DR161=13),13,IF(DR160&lt;=0,0,IF(WEEKDAY(DR$6,1)=1,DR160*DR161,0)))</f>
        <v>13</v>
      </c>
      <c r="DS164" s="63">
        <f>IF(AND(DS160=1,DS161=13),0,IF(DS160&lt;=0,0,IF(WEEKDAY(DS$6,1)=1,DS160*DS161,0)))</f>
        <v>0</v>
      </c>
      <c r="DT164" s="63">
        <f>IF(AND(DT160=1,DT161=8),0,IF(DT160&lt;=0,0,IF(WEEKDAY(DT$6,1)=1,DT160*DT161,0)))</f>
        <v>0</v>
      </c>
      <c r="DU164" s="63">
        <f>IF(AND(DU160=1,DU161=8),0,IF(DU160&lt;=0,0,IF(WEEKDAY(DU$6,1)=1,DU160*DU161,0)))</f>
        <v>0</v>
      </c>
      <c r="DV164" s="63">
        <f>IF(AND(DV160=1,DV161=8),0,IF(DV160&lt;=0,0,IF(WEEKDAY(DV$6,1)=1,DV160*DV161,0)))</f>
        <v>0</v>
      </c>
      <c r="DW164" s="63">
        <f>IF(AND(DW160=1,DW161=8),0,IF(DW160&lt;=0,0,IF(WEEKDAY(DW$6,1)=1,DW160*DW161,0)))</f>
        <v>0</v>
      </c>
      <c r="DX164" s="64">
        <f>IF(AND(DX160=0,DX161=0),0,IF(DX160&lt;=0,0,IF(WEEKDAY(DX$6,1)=1,DX160*DX161,0)))</f>
        <v>0</v>
      </c>
      <c r="DY164" s="64">
        <f>IF(AND(DY160=0,DY161=0),0,IF(DY160&lt;=0,0,IF(WEEKDAY(DY$6,1)=1,DY160*DY161,0)))</f>
        <v>0</v>
      </c>
      <c r="DZ164" s="63">
        <f>IF(AND(DZ160=1,DZ161=8),0,IF(DZ160&lt;=0,0,IF(WEEKDAY(DZ$6,1)=1,DZ160*DZ161,0)))</f>
        <v>0</v>
      </c>
      <c r="EA164" s="63">
        <f>IF(AND(EA160=1,EA161=8),0,IF(EA160&lt;=0,0,IF(WEEKDAY(EA$6,1)=1,EA160*EA161,0)))</f>
        <v>0</v>
      </c>
      <c r="EB164" s="63">
        <f>IF(AND(EB160=1,EB161=8),0,IF(EB160&lt;=0,0,IF(WEEKDAY(EB$6,1)=1,EB160*EB161,0)))</f>
        <v>0</v>
      </c>
      <c r="EC164" s="63">
        <f>IF(AND(EC160=1,EC161=8),0,IF(EC160&lt;=0,0,IF(WEEKDAY(EC$6,1)=1,EC160*EC161,0)))</f>
        <v>0</v>
      </c>
      <c r="ED164" s="63">
        <f>IF(AND(ED160=1,ED161=8),0,IF(ED160&lt;=0,0,IF(WEEKDAY(ED$6,1)=1,ED160*ED161,0)))</f>
        <v>0</v>
      </c>
      <c r="EE164" s="64">
        <f>IF(AND(EE160=0,EE161=0),0,IF(EE160&lt;=0,0,IF(WEEKDAY(EE$6,1)=1,EE160*EE161,0)))</f>
        <v>0</v>
      </c>
      <c r="EF164" s="64">
        <f>IF(AND(EF160=0,EF161=0),0,IF(EF160&lt;=0,0,IF(WEEKDAY(EF$6,1)=1,EF160*EF161,0)))</f>
        <v>0</v>
      </c>
      <c r="EG164" s="63">
        <f>IF(AND(EG160=1,EG161=8),0,IF(EG160&lt;=0,0,IF(WEEKDAY(EG$6,1)=1,EG160*EG161,0)))</f>
        <v>0</v>
      </c>
      <c r="EH164" s="63">
        <f>IF(AND(EH160=1,EH161=8),0,IF(EH160&lt;=0,0,IF(WEEKDAY(EH$6,1)=1,EH160*EH161,0)))</f>
        <v>0</v>
      </c>
      <c r="EI164" s="63">
        <f>IF(AND(EI160=1,EI161=8),0,IF(EI160&lt;=0,0,IF(WEEKDAY(EI$6,1)=1,EI160*EI161,0)))</f>
        <v>0</v>
      </c>
      <c r="EJ164" s="63">
        <f>IF(AND(EJ160=1,EJ161=8),0,IF(EJ160&lt;=0,0,IF(WEEKDAY(EJ$6,1)=1,EJ160*EJ161,0)))</f>
        <v>0</v>
      </c>
      <c r="EK164" s="65">
        <f>IF(AND(EK160=1,EK161=8),0,IF(EK160&lt;=0,0,IF(WEEKDAY(EK$6,1)=1,EK160*EK161,0)))</f>
        <v>0</v>
      </c>
      <c r="OU164" s="28" t="s">
        <v>97</v>
      </c>
    </row>
    <row r="165" ht="16" customHeight="1" spans="1:411" x14ac:dyDescent="0.25">
      <c r="A165" s="45"/>
      <c r="B165" s="46"/>
      <c r="C165" s="67">
        <f>I159*D165</f>
        <v>15820</v>
      </c>
      <c r="D165" s="67">
        <v>140</v>
      </c>
      <c r="E165" s="68" t="s">
        <v>65</v>
      </c>
      <c r="F165" s="49"/>
      <c r="G165" s="49"/>
      <c r="H165" s="49"/>
      <c r="I165" s="49"/>
      <c r="J165" s="50"/>
      <c r="K165" s="69">
        <v>1</v>
      </c>
      <c r="L165" s="70">
        <v>1</v>
      </c>
      <c r="M165" s="70">
        <v>1</v>
      </c>
      <c r="N165" s="70">
        <v>1</v>
      </c>
      <c r="O165" s="70">
        <v>1</v>
      </c>
      <c r="P165" s="71">
        <v>0</v>
      </c>
      <c r="Q165" s="71">
        <v>0</v>
      </c>
      <c r="R165" s="70">
        <v>1</v>
      </c>
      <c r="S165" s="70">
        <v>1</v>
      </c>
      <c r="T165" s="70">
        <v>1</v>
      </c>
      <c r="U165" s="70">
        <v>1</v>
      </c>
      <c r="V165" s="70">
        <v>1</v>
      </c>
      <c r="W165" s="71">
        <v>0</v>
      </c>
      <c r="X165" s="71">
        <v>0</v>
      </c>
      <c r="Y165" s="70">
        <v>1</v>
      </c>
      <c r="Z165" s="70">
        <v>1</v>
      </c>
      <c r="AA165" s="70">
        <v>1</v>
      </c>
      <c r="AB165" s="70">
        <v>1</v>
      </c>
      <c r="AC165" s="70">
        <v>1</v>
      </c>
      <c r="AD165" s="71">
        <v>0</v>
      </c>
      <c r="AE165" s="71">
        <v>0</v>
      </c>
      <c r="AF165" s="70">
        <v>1</v>
      </c>
      <c r="AG165" s="70">
        <v>1</v>
      </c>
      <c r="AH165" s="70">
        <v>1</v>
      </c>
      <c r="AI165" s="70">
        <v>1</v>
      </c>
      <c r="AJ165" s="70">
        <v>1</v>
      </c>
      <c r="AK165" s="71">
        <v>0</v>
      </c>
      <c r="AL165" s="71">
        <v>0</v>
      </c>
      <c r="AM165" s="70">
        <v>1</v>
      </c>
      <c r="AN165" s="70">
        <v>1</v>
      </c>
      <c r="AO165" s="70">
        <v>1</v>
      </c>
      <c r="AP165" s="70">
        <v>1</v>
      </c>
      <c r="AQ165" s="70">
        <v>1</v>
      </c>
      <c r="AR165" s="71">
        <v>0</v>
      </c>
      <c r="AS165" s="71">
        <v>0</v>
      </c>
      <c r="AT165" s="70">
        <v>1</v>
      </c>
      <c r="AU165" s="70">
        <v>1</v>
      </c>
      <c r="AV165" s="70">
        <v>1</v>
      </c>
      <c r="AW165" s="70">
        <v>1</v>
      </c>
      <c r="AX165" s="70">
        <v>1</v>
      </c>
      <c r="AY165" s="71">
        <v>0</v>
      </c>
      <c r="AZ165" s="71">
        <v>0</v>
      </c>
      <c r="BA165" s="70">
        <v>1</v>
      </c>
      <c r="BB165" s="70">
        <v>1</v>
      </c>
      <c r="BC165" s="70">
        <v>1</v>
      </c>
      <c r="BD165" s="70">
        <v>1</v>
      </c>
      <c r="BE165" s="70">
        <v>1</v>
      </c>
      <c r="BF165" s="71">
        <v>0</v>
      </c>
      <c r="BG165" s="71">
        <v>0</v>
      </c>
      <c r="BH165" s="70">
        <v>1</v>
      </c>
      <c r="BI165" s="70">
        <v>1</v>
      </c>
      <c r="BJ165" s="70">
        <v>1</v>
      </c>
      <c r="BK165" s="70">
        <v>1</v>
      </c>
      <c r="BL165" s="70">
        <v>1</v>
      </c>
      <c r="BM165" s="71">
        <v>1</v>
      </c>
      <c r="BN165" s="71">
        <v>1</v>
      </c>
      <c r="BO165" s="70">
        <v>1</v>
      </c>
      <c r="BP165" s="70">
        <v>1</v>
      </c>
      <c r="BQ165" s="70">
        <v>1</v>
      </c>
      <c r="BR165" s="70">
        <v>1</v>
      </c>
      <c r="BS165" s="70">
        <v>1</v>
      </c>
      <c r="BT165" s="71">
        <v>1</v>
      </c>
      <c r="BU165" s="71">
        <v>1</v>
      </c>
      <c r="BV165" s="70">
        <v>1</v>
      </c>
      <c r="BW165" s="70">
        <v>1</v>
      </c>
      <c r="BX165" s="70">
        <v>1</v>
      </c>
      <c r="BY165" s="70">
        <v>1</v>
      </c>
      <c r="BZ165" s="70">
        <v>1</v>
      </c>
      <c r="CA165" s="71">
        <v>1</v>
      </c>
      <c r="CB165" s="71">
        <v>1</v>
      </c>
      <c r="CC165" s="70">
        <v>1</v>
      </c>
      <c r="CD165" s="70">
        <v>1</v>
      </c>
      <c r="CE165" s="70">
        <v>1</v>
      </c>
      <c r="CF165" s="70">
        <v>1</v>
      </c>
      <c r="CG165" s="70">
        <v>1</v>
      </c>
      <c r="CH165" s="71">
        <v>1</v>
      </c>
      <c r="CI165" s="71">
        <v>1</v>
      </c>
      <c r="CJ165" s="70">
        <v>1</v>
      </c>
      <c r="CK165" s="70">
        <v>1</v>
      </c>
      <c r="CL165" s="70">
        <v>1</v>
      </c>
      <c r="CM165" s="70">
        <v>1</v>
      </c>
      <c r="CN165" s="70">
        <v>1</v>
      </c>
      <c r="CO165" s="71">
        <v>1</v>
      </c>
      <c r="CP165" s="71">
        <v>1</v>
      </c>
      <c r="CQ165" s="70">
        <v>1</v>
      </c>
      <c r="CR165" s="70">
        <v>1</v>
      </c>
      <c r="CS165" s="70">
        <v>1</v>
      </c>
      <c r="CT165" s="70">
        <v>1</v>
      </c>
      <c r="CU165" s="70">
        <v>1</v>
      </c>
      <c r="CV165" s="71">
        <v>1</v>
      </c>
      <c r="CW165" s="71">
        <v>1</v>
      </c>
      <c r="CX165" s="70">
        <v>1</v>
      </c>
      <c r="CY165" s="70">
        <v>1</v>
      </c>
      <c r="CZ165" s="70">
        <v>1</v>
      </c>
      <c r="DA165" s="70">
        <v>1</v>
      </c>
      <c r="DB165" s="70">
        <v>1</v>
      </c>
      <c r="DC165" s="71">
        <v>1</v>
      </c>
      <c r="DD165" s="71">
        <v>1</v>
      </c>
      <c r="DE165" s="70">
        <v>1</v>
      </c>
      <c r="DF165" s="70">
        <v>1</v>
      </c>
      <c r="DG165" s="70">
        <v>1</v>
      </c>
      <c r="DH165" s="70">
        <v>1</v>
      </c>
      <c r="DI165" s="70">
        <v>1</v>
      </c>
      <c r="DJ165" s="71">
        <v>1</v>
      </c>
      <c r="DK165" s="71">
        <v>1</v>
      </c>
      <c r="DL165" s="70">
        <v>1</v>
      </c>
      <c r="DM165" s="70">
        <v>1</v>
      </c>
      <c r="DN165" s="70">
        <v>1</v>
      </c>
      <c r="DO165" s="70">
        <v>1</v>
      </c>
      <c r="DP165" s="70">
        <v>1</v>
      </c>
      <c r="DQ165" s="71">
        <v>1</v>
      </c>
      <c r="DR165" s="71">
        <v>1</v>
      </c>
      <c r="DS165" s="70">
        <v>1</v>
      </c>
      <c r="DT165" s="70">
        <v>1</v>
      </c>
      <c r="DU165" s="70">
        <v>1</v>
      </c>
      <c r="DV165" s="70">
        <v>1</v>
      </c>
      <c r="DW165" s="70">
        <v>1</v>
      </c>
      <c r="DX165" s="71">
        <v>0</v>
      </c>
      <c r="DY165" s="71">
        <v>0</v>
      </c>
      <c r="DZ165" s="70">
        <v>1</v>
      </c>
      <c r="EA165" s="70">
        <v>1</v>
      </c>
      <c r="EB165" s="70">
        <v>1</v>
      </c>
      <c r="EC165" s="70">
        <v>1</v>
      </c>
      <c r="ED165" s="70">
        <v>1</v>
      </c>
      <c r="EE165" s="71">
        <v>0</v>
      </c>
      <c r="EF165" s="71">
        <v>0</v>
      </c>
      <c r="EG165" s="70">
        <v>1</v>
      </c>
      <c r="EH165" s="70">
        <v>1</v>
      </c>
      <c r="EI165" s="70">
        <v>1</v>
      </c>
      <c r="EJ165" s="70">
        <v>1</v>
      </c>
      <c r="EK165" s="72">
        <v>1</v>
      </c>
      <c r="OU165" s="60" t="s">
        <v>97</v>
      </c>
    </row>
    <row r="166" ht="8" customHeight="1" spans="1:14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  <c r="AS166" s="73"/>
      <c r="AT166" s="73"/>
      <c r="AU166" s="73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  <c r="BZ166" s="73"/>
      <c r="CA166" s="73"/>
      <c r="CB166" s="73"/>
      <c r="CC166" s="73"/>
      <c r="CD166" s="73"/>
      <c r="CE166" s="73"/>
      <c r="CF166" s="73"/>
      <c r="CG166" s="73"/>
      <c r="CH166" s="73"/>
      <c r="CI166" s="73"/>
      <c r="CJ166" s="73"/>
      <c r="CK166" s="73"/>
      <c r="CL166" s="73"/>
      <c r="CM166" s="73"/>
      <c r="CN166" s="73"/>
      <c r="CO166" s="73"/>
      <c r="CP166" s="73"/>
      <c r="CQ166" s="73"/>
      <c r="CR166" s="73"/>
      <c r="CS166" s="73"/>
      <c r="CT166" s="73"/>
      <c r="CU166" s="73"/>
      <c r="CV166" s="73"/>
      <c r="CW166" s="73"/>
      <c r="CX166" s="73"/>
      <c r="CY166" s="73"/>
      <c r="CZ166" s="73"/>
      <c r="DA166" s="73"/>
      <c r="DB166" s="73"/>
      <c r="DC166" s="73"/>
      <c r="DD166" s="73"/>
      <c r="DE166" s="73"/>
      <c r="DF166" s="73"/>
      <c r="DG166" s="73"/>
      <c r="DH166" s="73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  <c r="DT166" s="73"/>
      <c r="DU166" s="73"/>
      <c r="DV166" s="73"/>
      <c r="DW166" s="73"/>
      <c r="DX166" s="73"/>
      <c r="DY166" s="73"/>
      <c r="DZ166" s="73"/>
      <c r="EA166" s="73"/>
      <c r="EB166" s="73"/>
      <c r="EC166" s="73"/>
      <c r="ED166" s="73"/>
      <c r="EE166" s="73"/>
      <c r="EF166" s="73"/>
      <c r="EG166" s="73"/>
      <c r="EH166" s="73"/>
      <c r="EI166" s="73"/>
      <c r="EJ166" s="73"/>
      <c r="EK166" s="73"/>
    </row>
    <row r="167" ht="16" customHeight="1" spans="1:411" x14ac:dyDescent="0.25">
      <c r="A167" s="45" t="s">
        <v>57</v>
      </c>
      <c r="B167" s="46" t="s">
        <v>98</v>
      </c>
      <c r="C167" s="47">
        <f>J167</f>
        <v>178397.79</v>
      </c>
      <c r="D167" s="48"/>
      <c r="E167" s="48"/>
      <c r="F167" s="49">
        <f>SUM(K170:EK170)</f>
        <v>670</v>
      </c>
      <c r="G167" s="49">
        <f>SUM(K171:EK171)</f>
        <v>325</v>
      </c>
      <c r="H167" s="49">
        <f>SUM(K172:EK172)</f>
        <v>117</v>
      </c>
      <c r="I167" s="49">
        <f>SUM(K173:EK173)</f>
        <v>99</v>
      </c>
      <c r="J167" s="50">
        <f>C170+C171+C172</f>
        <v>178397.79</v>
      </c>
      <c r="K167" s="51"/>
      <c r="L167" s="52"/>
      <c r="M167" s="52"/>
      <c r="N167" s="52"/>
      <c r="O167" s="52"/>
      <c r="P167" s="53"/>
      <c r="Q167" s="53"/>
      <c r="R167" s="52"/>
      <c r="S167" s="52"/>
      <c r="T167" s="52"/>
      <c r="U167" s="52"/>
      <c r="V167" s="52"/>
      <c r="W167" s="53"/>
      <c r="X167" s="53"/>
      <c r="Y167" s="52"/>
      <c r="Z167" s="52"/>
      <c r="AA167" s="52"/>
      <c r="AB167" s="52"/>
      <c r="AC167" s="52"/>
      <c r="AD167" s="53"/>
      <c r="AE167" s="53"/>
      <c r="AF167" s="52"/>
      <c r="AG167" s="52"/>
      <c r="AH167" s="52"/>
      <c r="AI167" s="52"/>
      <c r="AJ167" s="52"/>
      <c r="AK167" s="53"/>
      <c r="AL167" s="53"/>
      <c r="AM167" s="52"/>
      <c r="AN167" s="52"/>
      <c r="AO167" s="52"/>
      <c r="AP167" s="52"/>
      <c r="AQ167" s="52"/>
      <c r="AR167" s="53"/>
      <c r="AS167" s="53"/>
      <c r="AT167" s="52"/>
      <c r="AU167" s="52"/>
      <c r="AV167" s="52"/>
      <c r="AW167" s="52"/>
      <c r="AX167" s="52"/>
      <c r="AY167" s="53"/>
      <c r="AZ167" s="53"/>
      <c r="BA167" s="52"/>
      <c r="BB167" s="52"/>
      <c r="BC167" s="52"/>
      <c r="BD167" s="52"/>
      <c r="BE167" s="52"/>
      <c r="BF167" s="53"/>
      <c r="BG167" s="53"/>
      <c r="BH167" s="52"/>
      <c r="BI167" s="52"/>
      <c r="BJ167" s="52"/>
      <c r="BK167" s="52"/>
      <c r="BL167" s="52"/>
      <c r="BM167" s="53"/>
      <c r="BN167" s="53"/>
      <c r="BO167" s="52"/>
      <c r="BP167" s="52"/>
      <c r="BQ167" s="52"/>
      <c r="BR167" s="52"/>
      <c r="BS167" s="52"/>
      <c r="BT167" s="53"/>
      <c r="BU167" s="53"/>
      <c r="BV167" s="52"/>
      <c r="BW167" s="52"/>
      <c r="BX167" s="52"/>
      <c r="BY167" s="52"/>
      <c r="BZ167" s="52"/>
      <c r="CA167" s="53"/>
      <c r="CB167" s="53"/>
      <c r="CC167" s="52"/>
      <c r="CD167" s="52"/>
      <c r="CE167" s="52"/>
      <c r="CF167" s="52"/>
      <c r="CG167" s="52"/>
      <c r="CH167" s="53"/>
      <c r="CI167" s="53"/>
      <c r="CJ167" s="52"/>
      <c r="CK167" s="52"/>
      <c r="CL167" s="52"/>
      <c r="CM167" s="52"/>
      <c r="CN167" s="52"/>
      <c r="CO167" s="53"/>
      <c r="CP167" s="53"/>
      <c r="CQ167" s="52"/>
      <c r="CR167" s="52"/>
      <c r="CS167" s="52"/>
      <c r="CT167" s="52"/>
      <c r="CU167" s="52"/>
      <c r="CV167" s="53"/>
      <c r="CW167" s="53"/>
      <c r="CX167" s="52"/>
      <c r="CY167" s="52"/>
      <c r="CZ167" s="52"/>
      <c r="DA167" s="52"/>
      <c r="DB167" s="52"/>
      <c r="DC167" s="53"/>
      <c r="DD167" s="53"/>
      <c r="DE167" s="52"/>
      <c r="DF167" s="52"/>
      <c r="DG167" s="52"/>
      <c r="DH167" s="52"/>
      <c r="DI167" s="52"/>
      <c r="DJ167" s="53"/>
      <c r="DK167" s="53"/>
      <c r="DL167" s="52"/>
      <c r="DM167" s="52"/>
      <c r="DN167" s="52"/>
      <c r="DO167" s="52"/>
      <c r="DP167" s="52"/>
      <c r="DQ167" s="53"/>
      <c r="DR167" s="53"/>
      <c r="DS167" s="52"/>
      <c r="DT167" s="52"/>
      <c r="DU167" s="52"/>
      <c r="DV167" s="52"/>
      <c r="DW167" s="52"/>
      <c r="DX167" s="53"/>
      <c r="DY167" s="53"/>
      <c r="DZ167" s="52"/>
      <c r="EA167" s="52"/>
      <c r="EB167" s="52"/>
      <c r="EC167" s="52"/>
      <c r="ED167" s="52"/>
      <c r="EE167" s="53"/>
      <c r="EF167" s="53"/>
      <c r="EG167" s="52"/>
      <c r="EH167" s="52"/>
      <c r="EI167" s="52"/>
      <c r="EJ167" s="52"/>
      <c r="EK167" s="54"/>
      <c r="OU167" s="28" t="s">
        <v>99</v>
      </c>
    </row>
    <row r="168" ht="16" customHeight="1" spans="1:411" x14ac:dyDescent="0.25">
      <c r="A168" s="45"/>
      <c r="B168" s="46"/>
      <c r="C168" s="47"/>
      <c r="D168" s="48"/>
      <c r="E168" s="55" t="s">
        <v>60</v>
      </c>
      <c r="F168" s="49"/>
      <c r="G168" s="49"/>
      <c r="H168" s="49"/>
      <c r="I168" s="49"/>
      <c r="J168" s="50"/>
      <c r="K168" s="56">
        <v>1</v>
      </c>
      <c r="L168" s="57">
        <v>1</v>
      </c>
      <c r="M168" s="57">
        <v>1</v>
      </c>
      <c r="N168" s="57">
        <v>1</v>
      </c>
      <c r="O168" s="57">
        <v>1</v>
      </c>
      <c r="P168" s="58">
        <v>0</v>
      </c>
      <c r="Q168" s="58">
        <v>0</v>
      </c>
      <c r="R168" s="57">
        <v>1</v>
      </c>
      <c r="S168" s="57">
        <v>1</v>
      </c>
      <c r="T168" s="57">
        <v>1</v>
      </c>
      <c r="U168" s="57">
        <v>1</v>
      </c>
      <c r="V168" s="57">
        <v>1</v>
      </c>
      <c r="W168" s="58">
        <v>0</v>
      </c>
      <c r="X168" s="58">
        <v>0</v>
      </c>
      <c r="Y168" s="57">
        <v>1</v>
      </c>
      <c r="Z168" s="57">
        <v>1</v>
      </c>
      <c r="AA168" s="57">
        <v>1</v>
      </c>
      <c r="AB168" s="57">
        <v>1</v>
      </c>
      <c r="AC168" s="57">
        <v>1</v>
      </c>
      <c r="AD168" s="58">
        <v>0</v>
      </c>
      <c r="AE168" s="58">
        <v>0</v>
      </c>
      <c r="AF168" s="57">
        <v>1</v>
      </c>
      <c r="AG168" s="57">
        <v>1</v>
      </c>
      <c r="AH168" s="57">
        <v>1</v>
      </c>
      <c r="AI168" s="57">
        <v>1</v>
      </c>
      <c r="AJ168" s="57">
        <v>1</v>
      </c>
      <c r="AK168" s="58">
        <v>0</v>
      </c>
      <c r="AL168" s="58">
        <v>0</v>
      </c>
      <c r="AM168" s="57">
        <v>1</v>
      </c>
      <c r="AN168" s="57">
        <v>1</v>
      </c>
      <c r="AO168" s="57">
        <v>1</v>
      </c>
      <c r="AP168" s="57">
        <v>1</v>
      </c>
      <c r="AQ168" s="57">
        <v>1</v>
      </c>
      <c r="AR168" s="58">
        <v>0</v>
      </c>
      <c r="AS168" s="58">
        <v>0</v>
      </c>
      <c r="AT168" s="57">
        <v>1</v>
      </c>
      <c r="AU168" s="57">
        <v>1</v>
      </c>
      <c r="AV168" s="57">
        <v>1</v>
      </c>
      <c r="AW168" s="57">
        <v>1</v>
      </c>
      <c r="AX168" s="57">
        <v>1</v>
      </c>
      <c r="AY168" s="58">
        <v>0</v>
      </c>
      <c r="AZ168" s="58">
        <v>0</v>
      </c>
      <c r="BA168" s="57">
        <v>1</v>
      </c>
      <c r="BB168" s="57">
        <v>1</v>
      </c>
      <c r="BC168" s="57">
        <v>1</v>
      </c>
      <c r="BD168" s="57">
        <v>1</v>
      </c>
      <c r="BE168" s="57">
        <v>1</v>
      </c>
      <c r="BF168" s="58">
        <v>0</v>
      </c>
      <c r="BG168" s="58">
        <v>0</v>
      </c>
      <c r="BH168" s="57">
        <v>1</v>
      </c>
      <c r="BI168" s="57">
        <v>1</v>
      </c>
      <c r="BJ168" s="57">
        <v>1</v>
      </c>
      <c r="BK168" s="57">
        <v>1</v>
      </c>
      <c r="BL168" s="57">
        <v>1</v>
      </c>
      <c r="BM168" s="58">
        <v>1</v>
      </c>
      <c r="BN168" s="58">
        <v>1</v>
      </c>
      <c r="BO168" s="57">
        <v>1</v>
      </c>
      <c r="BP168" s="57">
        <v>1</v>
      </c>
      <c r="BQ168" s="57">
        <v>1</v>
      </c>
      <c r="BR168" s="57">
        <v>1</v>
      </c>
      <c r="BS168" s="57">
        <v>1</v>
      </c>
      <c r="BT168" s="58">
        <v>1</v>
      </c>
      <c r="BU168" s="58">
        <v>1</v>
      </c>
      <c r="BV168" s="57">
        <v>1</v>
      </c>
      <c r="BW168" s="57">
        <v>1</v>
      </c>
      <c r="BX168" s="57">
        <v>1</v>
      </c>
      <c r="BY168" s="57">
        <v>1</v>
      </c>
      <c r="BZ168" s="57">
        <v>1</v>
      </c>
      <c r="CA168" s="58">
        <v>1</v>
      </c>
      <c r="CB168" s="58">
        <v>1</v>
      </c>
      <c r="CC168" s="57">
        <v>1</v>
      </c>
      <c r="CD168" s="57">
        <v>1</v>
      </c>
      <c r="CE168" s="57">
        <v>1</v>
      </c>
      <c r="CF168" s="57">
        <v>1</v>
      </c>
      <c r="CG168" s="57">
        <v>1</v>
      </c>
      <c r="CH168" s="58">
        <v>1</v>
      </c>
      <c r="CI168" s="58">
        <v>1</v>
      </c>
      <c r="CJ168" s="57">
        <v>1</v>
      </c>
      <c r="CK168" s="57">
        <v>1</v>
      </c>
      <c r="CL168" s="57">
        <v>1</v>
      </c>
      <c r="CM168" s="57">
        <v>1</v>
      </c>
      <c r="CN168" s="57">
        <v>1</v>
      </c>
      <c r="CO168" s="58">
        <v>1</v>
      </c>
      <c r="CP168" s="58">
        <v>1</v>
      </c>
      <c r="CQ168" s="57">
        <v>1</v>
      </c>
      <c r="CR168" s="57">
        <v>1</v>
      </c>
      <c r="CS168" s="57">
        <v>1</v>
      </c>
      <c r="CT168" s="57">
        <v>1</v>
      </c>
      <c r="CU168" s="57">
        <v>1</v>
      </c>
      <c r="CV168" s="58">
        <v>1</v>
      </c>
      <c r="CW168" s="58">
        <v>1</v>
      </c>
      <c r="CX168" s="57">
        <v>1</v>
      </c>
      <c r="CY168" s="57">
        <v>1</v>
      </c>
      <c r="CZ168" s="57">
        <v>1</v>
      </c>
      <c r="DA168" s="57">
        <v>1</v>
      </c>
      <c r="DB168" s="57">
        <v>1</v>
      </c>
      <c r="DC168" s="58">
        <v>1</v>
      </c>
      <c r="DD168" s="58">
        <v>1</v>
      </c>
      <c r="DE168" s="57">
        <v>1</v>
      </c>
      <c r="DF168" s="57">
        <v>1</v>
      </c>
      <c r="DG168" s="57">
        <v>1</v>
      </c>
      <c r="DH168" s="57">
        <v>1</v>
      </c>
      <c r="DI168" s="57">
        <v>1</v>
      </c>
      <c r="DJ168" s="58">
        <v>1</v>
      </c>
      <c r="DK168" s="58">
        <v>1</v>
      </c>
      <c r="DL168" s="57">
        <v>1</v>
      </c>
      <c r="DM168" s="57">
        <v>1</v>
      </c>
      <c r="DN168" s="57">
        <v>1</v>
      </c>
      <c r="DO168" s="57">
        <v>1</v>
      </c>
      <c r="DP168" s="57">
        <v>1</v>
      </c>
      <c r="DQ168" s="58">
        <v>1</v>
      </c>
      <c r="DR168" s="58">
        <v>1</v>
      </c>
      <c r="DS168" s="57">
        <v>1</v>
      </c>
      <c r="DT168" s="57">
        <v>0</v>
      </c>
      <c r="DU168" s="57">
        <v>0</v>
      </c>
      <c r="DV168" s="57">
        <v>0</v>
      </c>
      <c r="DW168" s="57">
        <v>0</v>
      </c>
      <c r="DX168" s="58">
        <v>0</v>
      </c>
      <c r="DY168" s="58">
        <v>0</v>
      </c>
      <c r="DZ168" s="57">
        <v>0</v>
      </c>
      <c r="EA168" s="57">
        <v>0</v>
      </c>
      <c r="EB168" s="57">
        <v>0</v>
      </c>
      <c r="EC168" s="57">
        <v>0</v>
      </c>
      <c r="ED168" s="57">
        <v>0</v>
      </c>
      <c r="EE168" s="58">
        <v>0</v>
      </c>
      <c r="EF168" s="58">
        <v>0</v>
      </c>
      <c r="EG168" s="57">
        <v>0</v>
      </c>
      <c r="EH168" s="57">
        <v>0</v>
      </c>
      <c r="EI168" s="57">
        <v>0</v>
      </c>
      <c r="EJ168" s="57">
        <v>0</v>
      </c>
      <c r="EK168" s="59">
        <v>0</v>
      </c>
      <c r="OU168" s="60" t="s">
        <v>99</v>
      </c>
    </row>
    <row r="169" ht="16" customHeight="1" spans="1:411" x14ac:dyDescent="0.25">
      <c r="A169" s="45"/>
      <c r="B169" s="46"/>
      <c r="C169" s="47"/>
      <c r="D169" s="48"/>
      <c r="E169" s="55" t="s">
        <v>61</v>
      </c>
      <c r="F169" s="49"/>
      <c r="G169" s="49"/>
      <c r="H169" s="49"/>
      <c r="I169" s="49"/>
      <c r="J169" s="50"/>
      <c r="K169" s="56">
        <v>8</v>
      </c>
      <c r="L169" s="57">
        <v>8</v>
      </c>
      <c r="M169" s="57">
        <v>8</v>
      </c>
      <c r="N169" s="57">
        <v>8</v>
      </c>
      <c r="O169" s="57">
        <v>8</v>
      </c>
      <c r="P169" s="58">
        <v>0</v>
      </c>
      <c r="Q169" s="58">
        <v>0</v>
      </c>
      <c r="R169" s="57">
        <v>8</v>
      </c>
      <c r="S169" s="57">
        <v>8</v>
      </c>
      <c r="T169" s="57">
        <v>8</v>
      </c>
      <c r="U169" s="57">
        <v>8</v>
      </c>
      <c r="V169" s="57">
        <v>8</v>
      </c>
      <c r="W169" s="58">
        <v>0</v>
      </c>
      <c r="X169" s="58">
        <v>0</v>
      </c>
      <c r="Y169" s="57">
        <v>8</v>
      </c>
      <c r="Z169" s="57">
        <v>8</v>
      </c>
      <c r="AA169" s="57">
        <v>8</v>
      </c>
      <c r="AB169" s="57">
        <v>8</v>
      </c>
      <c r="AC169" s="57">
        <v>8</v>
      </c>
      <c r="AD169" s="58">
        <v>0</v>
      </c>
      <c r="AE169" s="58">
        <v>0</v>
      </c>
      <c r="AF169" s="57">
        <v>8</v>
      </c>
      <c r="AG169" s="57">
        <v>8</v>
      </c>
      <c r="AH169" s="57">
        <v>8</v>
      </c>
      <c r="AI169" s="57">
        <v>8</v>
      </c>
      <c r="AJ169" s="57">
        <v>8</v>
      </c>
      <c r="AK169" s="58">
        <v>0</v>
      </c>
      <c r="AL169" s="58">
        <v>0</v>
      </c>
      <c r="AM169" s="57">
        <v>8</v>
      </c>
      <c r="AN169" s="57">
        <v>8</v>
      </c>
      <c r="AO169" s="57">
        <v>8</v>
      </c>
      <c r="AP169" s="57">
        <v>8</v>
      </c>
      <c r="AQ169" s="57">
        <v>8</v>
      </c>
      <c r="AR169" s="58">
        <v>0</v>
      </c>
      <c r="AS169" s="58">
        <v>0</v>
      </c>
      <c r="AT169" s="57">
        <v>8</v>
      </c>
      <c r="AU169" s="57">
        <v>8</v>
      </c>
      <c r="AV169" s="57">
        <v>8</v>
      </c>
      <c r="AW169" s="57">
        <v>8</v>
      </c>
      <c r="AX169" s="57">
        <v>8</v>
      </c>
      <c r="AY169" s="58">
        <v>0</v>
      </c>
      <c r="AZ169" s="58">
        <v>0</v>
      </c>
      <c r="BA169" s="57">
        <v>8</v>
      </c>
      <c r="BB169" s="57">
        <v>8</v>
      </c>
      <c r="BC169" s="57">
        <v>8</v>
      </c>
      <c r="BD169" s="57">
        <v>8</v>
      </c>
      <c r="BE169" s="57">
        <v>8</v>
      </c>
      <c r="BF169" s="58">
        <v>0</v>
      </c>
      <c r="BG169" s="58">
        <v>0</v>
      </c>
      <c r="BH169" s="57">
        <v>13</v>
      </c>
      <c r="BI169" s="57">
        <v>13</v>
      </c>
      <c r="BJ169" s="57">
        <v>13</v>
      </c>
      <c r="BK169" s="57">
        <v>13</v>
      </c>
      <c r="BL169" s="57">
        <v>13</v>
      </c>
      <c r="BM169" s="58">
        <v>13</v>
      </c>
      <c r="BN169" s="58">
        <v>13</v>
      </c>
      <c r="BO169" s="57">
        <v>13</v>
      </c>
      <c r="BP169" s="57">
        <v>13</v>
      </c>
      <c r="BQ169" s="57">
        <v>13</v>
      </c>
      <c r="BR169" s="57">
        <v>13</v>
      </c>
      <c r="BS169" s="57">
        <v>13</v>
      </c>
      <c r="BT169" s="58">
        <v>13</v>
      </c>
      <c r="BU169" s="58">
        <v>13</v>
      </c>
      <c r="BV169" s="57">
        <v>13</v>
      </c>
      <c r="BW169" s="57">
        <v>13</v>
      </c>
      <c r="BX169" s="57">
        <v>13</v>
      </c>
      <c r="BY169" s="57">
        <v>13</v>
      </c>
      <c r="BZ169" s="57">
        <v>13</v>
      </c>
      <c r="CA169" s="58">
        <v>13</v>
      </c>
      <c r="CB169" s="58">
        <v>13</v>
      </c>
      <c r="CC169" s="57">
        <v>13</v>
      </c>
      <c r="CD169" s="57">
        <v>13</v>
      </c>
      <c r="CE169" s="57">
        <v>13</v>
      </c>
      <c r="CF169" s="57">
        <v>13</v>
      </c>
      <c r="CG169" s="57">
        <v>13</v>
      </c>
      <c r="CH169" s="58">
        <v>13</v>
      </c>
      <c r="CI169" s="58">
        <v>13</v>
      </c>
      <c r="CJ169" s="57">
        <v>13</v>
      </c>
      <c r="CK169" s="57">
        <v>13</v>
      </c>
      <c r="CL169" s="57">
        <v>13</v>
      </c>
      <c r="CM169" s="57">
        <v>13</v>
      </c>
      <c r="CN169" s="57">
        <v>13</v>
      </c>
      <c r="CO169" s="58">
        <v>13</v>
      </c>
      <c r="CP169" s="58">
        <v>13</v>
      </c>
      <c r="CQ169" s="57">
        <v>13</v>
      </c>
      <c r="CR169" s="57">
        <v>13</v>
      </c>
      <c r="CS169" s="57">
        <v>13</v>
      </c>
      <c r="CT169" s="57">
        <v>13</v>
      </c>
      <c r="CU169" s="57">
        <v>13</v>
      </c>
      <c r="CV169" s="58">
        <v>13</v>
      </c>
      <c r="CW169" s="58">
        <v>13</v>
      </c>
      <c r="CX169" s="57">
        <v>13</v>
      </c>
      <c r="CY169" s="57">
        <v>13</v>
      </c>
      <c r="CZ169" s="57">
        <v>13</v>
      </c>
      <c r="DA169" s="57">
        <v>13</v>
      </c>
      <c r="DB169" s="57">
        <v>13</v>
      </c>
      <c r="DC169" s="58">
        <v>13</v>
      </c>
      <c r="DD169" s="58">
        <v>13</v>
      </c>
      <c r="DE169" s="57">
        <v>13</v>
      </c>
      <c r="DF169" s="57">
        <v>13</v>
      </c>
      <c r="DG169" s="57">
        <v>13</v>
      </c>
      <c r="DH169" s="57">
        <v>13</v>
      </c>
      <c r="DI169" s="57">
        <v>13</v>
      </c>
      <c r="DJ169" s="58">
        <v>13</v>
      </c>
      <c r="DK169" s="58">
        <v>13</v>
      </c>
      <c r="DL169" s="57">
        <v>13</v>
      </c>
      <c r="DM169" s="57">
        <v>13</v>
      </c>
      <c r="DN169" s="57">
        <v>13</v>
      </c>
      <c r="DO169" s="57">
        <v>13</v>
      </c>
      <c r="DP169" s="57">
        <v>13</v>
      </c>
      <c r="DQ169" s="58">
        <v>13</v>
      </c>
      <c r="DR169" s="58">
        <v>13</v>
      </c>
      <c r="DS169" s="57">
        <v>13</v>
      </c>
      <c r="DT169" s="57">
        <v>0</v>
      </c>
      <c r="DU169" s="57">
        <v>0</v>
      </c>
      <c r="DV169" s="57">
        <v>0</v>
      </c>
      <c r="DW169" s="57">
        <v>0</v>
      </c>
      <c r="DX169" s="58">
        <v>0</v>
      </c>
      <c r="DY169" s="58">
        <v>0</v>
      </c>
      <c r="DZ169" s="57">
        <v>0</v>
      </c>
      <c r="EA169" s="57">
        <v>0</v>
      </c>
      <c r="EB169" s="57">
        <v>0</v>
      </c>
      <c r="EC169" s="57">
        <v>0</v>
      </c>
      <c r="ED169" s="57">
        <v>0</v>
      </c>
      <c r="EE169" s="58">
        <v>0</v>
      </c>
      <c r="EF169" s="58">
        <v>0</v>
      </c>
      <c r="EG169" s="57">
        <v>0</v>
      </c>
      <c r="EH169" s="57">
        <v>0</v>
      </c>
      <c r="EI169" s="57">
        <v>0</v>
      </c>
      <c r="EJ169" s="57">
        <v>0</v>
      </c>
      <c r="EK169" s="59">
        <v>0</v>
      </c>
      <c r="OU169" s="60" t="s">
        <v>99</v>
      </c>
    </row>
    <row r="170" ht="16" customHeight="1" spans="1:411" x14ac:dyDescent="0.25">
      <c r="A170" s="45"/>
      <c r="B170" s="46"/>
      <c r="C170" s="61">
        <f>F167*N(D170)</f>
        <v>90182</v>
      </c>
      <c r="D170" s="61">
        <f>IF(TRIM(B167)="","No rate",IFERROR(INDEX('Rate Tables'!C$7:C$158,MATCH(B167,'Rate Tables'!A$7:A$158,0)),"No rate"))</f>
        <v>134.6</v>
      </c>
      <c r="E170" s="55" t="s">
        <v>62</v>
      </c>
      <c r="F170" s="49"/>
      <c r="G170" s="49"/>
      <c r="H170" s="49"/>
      <c r="I170" s="49"/>
      <c r="J170" s="50"/>
      <c r="K170" s="62">
        <f>IF(AND(K168=1,K169=8),8,MIN(IF(K168&lt;=0,0,IF(WEEKDAY(K$6,1)=1,0,MIN(8,K169)*K168)),MAX(0,40*MAX(1,K168)-(0))))</f>
        <v>8</v>
      </c>
      <c r="L170" s="63">
        <f>IF(AND(L168=1,L169=8),8,MIN(IF(L168&lt;=0,0,IF(WEEKDAY(L$6,1)=1,0,MIN(8,L169)*L168)),MAX(0,40*MAX(1,L168)-(K170))))</f>
        <v>8</v>
      </c>
      <c r="M170" s="63">
        <f>IF(AND(M168=1,M169=8),8,MIN(IF(M168&lt;=0,0,IF(WEEKDAY(M$6,1)=1,0,MIN(8,M169)*M168)),MAX(0,40*MAX(1,M168)-(K170+L170))))</f>
        <v>8</v>
      </c>
      <c r="N170" s="63">
        <f>IF(AND(N168=1,N169=8),8,MIN(IF(N168&lt;=0,0,IF(WEEKDAY(N$6,1)=1,0,MIN(8,N169)*N168)),MAX(0,40*MAX(1,N168)-(K170+L170+M170))))</f>
        <v>8</v>
      </c>
      <c r="O170" s="63">
        <f>IF(AND(O168=1,O169=8),8,MIN(IF(O168&lt;=0,0,IF(WEEKDAY(O$6,1)=1,0,MIN(8,O169)*O168)),MAX(0,40*MAX(1,O168)-(K170+L170+M170+N170))))</f>
        <v>8</v>
      </c>
      <c r="P170" s="64">
        <f>IF(AND(P168=0,P169=0),0,MIN(IF(P168&lt;=0,0,IF(WEEKDAY(P$6,1)=1,0,MIN(10,P169)*P168)),MAX(0,40*MAX(1,P168)-(0))))</f>
        <v>0</v>
      </c>
      <c r="Q170" s="64">
        <f>IF(AND(Q168=0,Q169=0),0,MIN(IF(Q168&lt;=0,0,IF(WEEKDAY(Q$6,1)=1,0,MIN(10,Q169)*Q168)),MAX(0,40*MAX(1,Q168)-(P170))))</f>
        <v>0</v>
      </c>
      <c r="R170" s="63">
        <f>IF(AND(R168=1,R169=8),8,MIN(IF(R168&lt;=0,0,IF(WEEKDAY(R$6,1)=1,0,MIN(8,R169)*R168)),MAX(0,40*MAX(1,R168)-(0))))</f>
        <v>8</v>
      </c>
      <c r="S170" s="63">
        <f>IF(AND(S168=1,S169=8),8,MIN(IF(S168&lt;=0,0,IF(WEEKDAY(S$6,1)=1,0,MIN(8,S169)*S168)),MAX(0,40*MAX(1,S168)-(R170))))</f>
        <v>8</v>
      </c>
      <c r="T170" s="63">
        <f>IF(AND(T168=1,T169=8),8,MIN(IF(T168&lt;=0,0,IF(WEEKDAY(T$6,1)=1,0,MIN(8,T169)*T168)),MAX(0,40*MAX(1,T168)-(R170+S170))))</f>
        <v>8</v>
      </c>
      <c r="U170" s="63">
        <f>IF(AND(U168=1,U169=8),8,MIN(IF(U168&lt;=0,0,IF(WEEKDAY(U$6,1)=1,0,MIN(8,U169)*U168)),MAX(0,40*MAX(1,U168)-(R170+S170+T170))))</f>
        <v>8</v>
      </c>
      <c r="V170" s="63">
        <f>IF(AND(V168=1,V169=8),8,MIN(IF(V168&lt;=0,0,IF(WEEKDAY(V$6,1)=1,0,MIN(8,V169)*V168)),MAX(0,40*MAX(1,V168)-(R170+S170+T170+U170))))</f>
        <v>8</v>
      </c>
      <c r="W170" s="64">
        <f>IF(AND(W168=0,W169=0),0,MIN(IF(W168&lt;=0,0,IF(WEEKDAY(W$6,1)=1,0,MIN(10,W169)*W168)),MAX(0,40*MAX(1,W168)-(0))))</f>
        <v>0</v>
      </c>
      <c r="X170" s="64">
        <f>IF(AND(X168=0,X169=0),0,MIN(IF(X168&lt;=0,0,IF(WEEKDAY(X$6,1)=1,0,MIN(10,X169)*X168)),MAX(0,40*MAX(1,X168)-(W170))))</f>
        <v>0</v>
      </c>
      <c r="Y170" s="63">
        <f>IF(AND(Y168=1,Y169=8),8,MIN(IF(Y168&lt;=0,0,IF(WEEKDAY(Y$6,1)=1,0,MIN(8,Y169)*Y168)),MAX(0,40*MAX(1,Y168)-(0))))</f>
        <v>8</v>
      </c>
      <c r="Z170" s="63">
        <f>IF(AND(Z168=1,Z169=8),8,MIN(IF(Z168&lt;=0,0,IF(WEEKDAY(Z$6,1)=1,0,MIN(8,Z169)*Z168)),MAX(0,40*MAX(1,Z168)-(Y170))))</f>
        <v>8</v>
      </c>
      <c r="AA170" s="63">
        <f>IF(AND(AA168=1,AA169=8),8,MIN(IF(AA168&lt;=0,0,IF(WEEKDAY(AA$6,1)=1,0,MIN(8,AA169)*AA168)),MAX(0,40*MAX(1,AA168)-(Y170+Z170))))</f>
        <v>8</v>
      </c>
      <c r="AB170" s="63">
        <f>IF(AND(AB168=1,AB169=8),8,MIN(IF(AB168&lt;=0,0,IF(WEEKDAY(AB$6,1)=1,0,MIN(8,AB169)*AB168)),MAX(0,40*MAX(1,AB168)-(Y170+Z170+AA170))))</f>
        <v>8</v>
      </c>
      <c r="AC170" s="63">
        <f>IF(AND(AC168=1,AC169=8),8,MIN(IF(AC168&lt;=0,0,IF(WEEKDAY(AC$6,1)=1,0,MIN(8,AC169)*AC168)),MAX(0,40*MAX(1,AC168)-(Y170+Z170+AA170+AB170))))</f>
        <v>8</v>
      </c>
      <c r="AD170" s="64">
        <f>IF(AND(AD168=0,AD169=0),0,MIN(IF(AD168&lt;=0,0,IF(WEEKDAY(AD$6,1)=1,0,MIN(10,AD169)*AD168)),MAX(0,40*MAX(1,AD168)-(0))))</f>
        <v>0</v>
      </c>
      <c r="AE170" s="64">
        <f>IF(AND(AE168=0,AE169=0),0,MIN(IF(AE168&lt;=0,0,IF(WEEKDAY(AE$6,1)=1,0,MIN(10,AE169)*AE168)),MAX(0,40*MAX(1,AE168)-(AD170))))</f>
        <v>0</v>
      </c>
      <c r="AF170" s="63">
        <f>IF(AND(AF168=1,AF169=8),8,MIN(IF(AF168&lt;=0,0,IF(WEEKDAY(AF$6,1)=1,0,MIN(8,AF169)*AF168)),MAX(0,40*MAX(1,AF168)-(0))))</f>
        <v>8</v>
      </c>
      <c r="AG170" s="63">
        <f>IF(AND(AG168=1,AG169=8),8,MIN(IF(AG168&lt;=0,0,IF(WEEKDAY(AG$6,1)=1,0,MIN(8,AG169)*AG168)),MAX(0,40*MAX(1,AG168)-(AF170))))</f>
        <v>8</v>
      </c>
      <c r="AH170" s="63">
        <f>IF(AND(AH168=1,AH169=8),8,MIN(IF(AH168&lt;=0,0,IF(WEEKDAY(AH$6,1)=1,0,MIN(8,AH169)*AH168)),MAX(0,40*MAX(1,AH168)-(AF170+AG170))))</f>
        <v>8</v>
      </c>
      <c r="AI170" s="63">
        <f>IF(AND(AI168=1,AI169=8),8,MIN(IF(AI168&lt;=0,0,IF(WEEKDAY(AI$6,1)=1,0,MIN(8,AI169)*AI168)),MAX(0,40*MAX(1,AI168)-(AF170+AG170+AH170))))</f>
        <v>8</v>
      </c>
      <c r="AJ170" s="63">
        <f>IF(AND(AJ168=1,AJ169=8),8,MIN(IF(AJ168&lt;=0,0,IF(WEEKDAY(AJ$6,1)=1,0,MIN(8,AJ169)*AJ168)),MAX(0,40*MAX(1,AJ168)-(AF170+AG170+AH170+AI170))))</f>
        <v>8</v>
      </c>
      <c r="AK170" s="64">
        <f>IF(AND(AK168=0,AK169=0),0,MIN(IF(AK168&lt;=0,0,IF(WEEKDAY(AK$6,1)=1,0,MIN(10,AK169)*AK168)),MAX(0,40*MAX(1,AK168)-(0))))</f>
        <v>0</v>
      </c>
      <c r="AL170" s="64">
        <f>IF(AND(AL168=0,AL169=0),0,MIN(IF(AL168&lt;=0,0,IF(WEEKDAY(AL$6,1)=1,0,MIN(10,AL169)*AL168)),MAX(0,40*MAX(1,AL168)-(AK170))))</f>
        <v>0</v>
      </c>
      <c r="AM170" s="63">
        <f>IF(AND(AM168=1,AM169=8),8,MIN(IF(AM168&lt;=0,0,IF(WEEKDAY(AM$6,1)=1,0,MIN(8,AM169)*AM168)),MAX(0,40*MAX(1,AM168)-(0))))</f>
        <v>8</v>
      </c>
      <c r="AN170" s="63">
        <f>IF(AND(AN168=1,AN169=8),8,MIN(IF(AN168&lt;=0,0,IF(WEEKDAY(AN$6,1)=1,0,MIN(8,AN169)*AN168)),MAX(0,40*MAX(1,AN168)-(AM170))))</f>
        <v>8</v>
      </c>
      <c r="AO170" s="63">
        <f>IF(AND(AO168=1,AO169=8),8,MIN(IF(AO168&lt;=0,0,IF(WEEKDAY(AO$6,1)=1,0,MIN(8,AO169)*AO168)),MAX(0,40*MAX(1,AO168)-(AM170+AN170))))</f>
        <v>8</v>
      </c>
      <c r="AP170" s="63">
        <f>IF(AND(AP168=1,AP169=8),8,MIN(IF(AP168&lt;=0,0,IF(WEEKDAY(AP$6,1)=1,0,MIN(8,AP169)*AP168)),MAX(0,40*MAX(1,AP168)-(AM170+AN170+AO170))))</f>
        <v>8</v>
      </c>
      <c r="AQ170" s="63">
        <f>IF(AND(AQ168=1,AQ169=8),8,MIN(IF(AQ168&lt;=0,0,IF(WEEKDAY(AQ$6,1)=1,0,MIN(8,AQ169)*AQ168)),MAX(0,40*MAX(1,AQ168)-(AM170+AN170+AO170+AP170))))</f>
        <v>8</v>
      </c>
      <c r="AR170" s="64">
        <f>IF(AND(AR168=0,AR169=0),0,MIN(IF(AR168&lt;=0,0,IF(WEEKDAY(AR$6,1)=1,0,MIN(10,AR169)*AR168)),MAX(0,40*MAX(1,AR168)-(0))))</f>
        <v>0</v>
      </c>
      <c r="AS170" s="64">
        <f>IF(AND(AS168=0,AS169=0),0,MIN(IF(AS168&lt;=0,0,IF(WEEKDAY(AS$6,1)=1,0,MIN(10,AS169)*AS168)),MAX(0,40*MAX(1,AS168)-(AR170))))</f>
        <v>0</v>
      </c>
      <c r="AT170" s="63">
        <f>IF(AND(AT168=1,AT169=8),8,MIN(IF(AT168&lt;=0,0,IF(WEEKDAY(AT$6,1)=1,0,MIN(8,AT169)*AT168)),MAX(0,40*MAX(1,AT168)-(0))))</f>
        <v>8</v>
      </c>
      <c r="AU170" s="63">
        <f>IF(AND(AU168=1,AU169=8),8,MIN(IF(AU168&lt;=0,0,IF(WEEKDAY(AU$6,1)=1,0,MIN(8,AU169)*AU168)),MAX(0,40*MAX(1,AU168)-(AT170))))</f>
        <v>8</v>
      </c>
      <c r="AV170" s="63">
        <f>IF(AND(AV168=1,AV169=8),8,MIN(IF(AV168&lt;=0,0,IF(WEEKDAY(AV$6,1)=1,0,MIN(8,AV169)*AV168)),MAX(0,40*MAX(1,AV168)-(AT170+AU170))))</f>
        <v>8</v>
      </c>
      <c r="AW170" s="63">
        <f>IF(AND(AW168=1,AW169=8),8,MIN(IF(AW168&lt;=0,0,IF(WEEKDAY(AW$6,1)=1,0,MIN(8,AW169)*AW168)),MAX(0,40*MAX(1,AW168)-(AT170+AU170+AV170))))</f>
        <v>8</v>
      </c>
      <c r="AX170" s="63">
        <f>IF(AND(AX168=1,AX169=8),8,MIN(IF(AX168&lt;=0,0,IF(WEEKDAY(AX$6,1)=1,0,MIN(8,AX169)*AX168)),MAX(0,40*MAX(1,AX168)-(AT170+AU170+AV170+AW170))))</f>
        <v>8</v>
      </c>
      <c r="AY170" s="64">
        <f>IF(AND(AY168=0,AY169=0),0,MIN(IF(AY168&lt;=0,0,IF(WEEKDAY(AY$6,1)=1,0,MIN(10,AY169)*AY168)),MAX(0,40*MAX(1,AY168)-(0))))</f>
        <v>0</v>
      </c>
      <c r="AZ170" s="64">
        <f>IF(AND(AZ168=0,AZ169=0),0,MIN(IF(AZ168&lt;=0,0,IF(WEEKDAY(AZ$6,1)=1,0,MIN(10,AZ169)*AZ168)),MAX(0,40*MAX(1,AZ168)-(AY170))))</f>
        <v>0</v>
      </c>
      <c r="BA170" s="63">
        <f>IF(AND(BA168=1,BA169=8),8,MIN(IF(BA168&lt;=0,0,IF(WEEKDAY(BA$6,1)=1,0,MIN(8,BA169)*BA168)),MAX(0,40*MAX(1,BA168)-(0))))</f>
        <v>8</v>
      </c>
      <c r="BB170" s="63">
        <f>IF(AND(BB168=1,BB169=8),8,MIN(IF(BB168&lt;=0,0,IF(WEEKDAY(BB$6,1)=1,0,MIN(8,BB169)*BB168)),MAX(0,40*MAX(1,BB168)-(BA170))))</f>
        <v>8</v>
      </c>
      <c r="BC170" s="63">
        <f>IF(AND(BC168=1,BC169=8),8,MIN(IF(BC168&lt;=0,0,IF(WEEKDAY(BC$6,1)=1,0,MIN(8,BC169)*BC168)),MAX(0,40*MAX(1,BC168)-(BA170+BB170))))</f>
        <v>8</v>
      </c>
      <c r="BD170" s="63">
        <f>IF(AND(BD168=1,BD169=8),8,MIN(IF(BD168&lt;=0,0,IF(WEEKDAY(BD$6,1)=1,0,MIN(8,BD169)*BD168)),MAX(0,40*MAX(1,BD168)-(BA170+BB170+BC170))))</f>
        <v>8</v>
      </c>
      <c r="BE170" s="63">
        <f>IF(AND(BE168=1,BE169=8),8,MIN(IF(BE168&lt;=0,0,IF(WEEKDAY(BE$6,1)=1,0,MIN(8,BE169)*BE168)),MAX(0,40*MAX(1,BE168)-(BA170+BB170+BC170+BD170))))</f>
        <v>8</v>
      </c>
      <c r="BF170" s="64">
        <f>IF(AND(BF168=0,BF169=0),0,MIN(IF(BF168&lt;=0,0,IF(WEEKDAY(BF$6,1)=1,0,MIN(10,BF169)*BF168)),MAX(0,40*MAX(1,BF168)-(0))))</f>
        <v>0</v>
      </c>
      <c r="BG170" s="64">
        <f>IF(AND(BG168=0,BG169=0),0,MIN(IF(BG168&lt;=0,0,IF(WEEKDAY(BG$6,1)=1,0,MIN(10,BG169)*BG168)),MAX(0,40*MAX(1,BG168)-(BF170))))</f>
        <v>0</v>
      </c>
      <c r="BH170" s="63">
        <f>IF(AND(BH168=1,BH169=13),10,MIN(IF(BH168&lt;=0,0,IF(WEEKDAY(BH$6,1)=1,0,MIN(10,BH169)*BH168)),MAX(0,40*MAX(1,BH168)-(0))))</f>
        <v>10</v>
      </c>
      <c r="BI170" s="63">
        <f>IF(AND(BI168=1,BI169=13),10,MIN(IF(BI168&lt;=0,0,IF(WEEKDAY(BI$6,1)=1,0,MIN(10,BI169)*BI168)),MAX(0,40*MAX(1,BI168)-(BH170))))</f>
        <v>10</v>
      </c>
      <c r="BJ170" s="63">
        <f>IF(AND(BJ168=1,BJ169=13),10,MIN(IF(BJ168&lt;=0,0,IF(WEEKDAY(BJ$6,1)=1,0,MIN(10,BJ169)*BJ168)),MAX(0,40*MAX(1,BJ168)-(BH170+BI170))))</f>
        <v>10</v>
      </c>
      <c r="BK170" s="63">
        <f>IF(AND(BK168=1,BK169=13),10,MIN(IF(BK168&lt;=0,0,IF(WEEKDAY(BK$6,1)=1,0,MIN(10,BK169)*BK168)),MAX(0,40*MAX(1,BK168)-(BH170+BI170+BJ170))))</f>
        <v>10</v>
      </c>
      <c r="BL170" s="63">
        <f>IF(AND(BL168=1,BL169=13),0,MIN(IF(BL168&lt;=0,0,IF(WEEKDAY(BL$6,1)=1,0,MIN(10,BL169)*BL168)),MAX(0,40*MAX(1,BL168)-(BH170+BI170+BJ170+BK170))))</f>
        <v>0</v>
      </c>
      <c r="BM170" s="64">
        <f>IF(AND(BM168=1,BM169=13),0,MIN(IF(BM168&lt;=0,0,IF(WEEKDAY(BM$6,1)=1,0,MIN(10,BM169)*BM168)),MAX(0,40*MAX(1,BM168)-(BH170+BI170+BJ170+BK170+BL170))))</f>
        <v>0</v>
      </c>
      <c r="BN170" s="64">
        <f>IF(AND(BN168=1,BN169=13),0,MIN(IF(BN168&lt;=0,0,IF(WEEKDAY(BN$6,1)=1,0,MIN(10,BN169)*BN168)),MAX(0,40*MAX(1,BN168)-(BH170+BI170+BJ170+BK170+BL170+BM170))))</f>
        <v>0</v>
      </c>
      <c r="BO170" s="63">
        <f>IF(AND(BO168=1,BO169=13),10,MIN(IF(BO168&lt;=0,0,IF(WEEKDAY(BO$6,1)=1,0,MIN(10,BO169)*BO168)),MAX(0,40*MAX(1,BO168)-(0))))</f>
        <v>10</v>
      </c>
      <c r="BP170" s="63">
        <f>IF(AND(BP168=1,BP169=13),10,MIN(IF(BP168&lt;=0,0,IF(WEEKDAY(BP$6,1)=1,0,MIN(10,BP169)*BP168)),MAX(0,40*MAX(1,BP168)-(BO170))))</f>
        <v>10</v>
      </c>
      <c r="BQ170" s="63">
        <f>IF(AND(BQ168=1,BQ169=13),10,MIN(IF(BQ168&lt;=0,0,IF(WEEKDAY(BQ$6,1)=1,0,MIN(10,BQ169)*BQ168)),MAX(0,40*MAX(1,BQ168)-(BO170+BP170))))</f>
        <v>10</v>
      </c>
      <c r="BR170" s="63">
        <f>IF(AND(BR168=1,BR169=13),10,MIN(IF(BR168&lt;=0,0,IF(WEEKDAY(BR$6,1)=1,0,MIN(10,BR169)*BR168)),MAX(0,40*MAX(1,BR168)-(0))))</f>
        <v>10</v>
      </c>
      <c r="BS170" s="63">
        <f>IF(AND(BS168=1,BS169=13),10,MIN(IF(BS168&lt;=0,0,IF(WEEKDAY(BS$6,1)=1,0,MIN(10,BS169)*BS168)),MAX(0,40*MAX(1,BS168)-(BR170))))</f>
        <v>10</v>
      </c>
      <c r="BT170" s="64">
        <f>IF(AND(BT168=1,BT169=13),10,MIN(IF(BT168&lt;=0,0,IF(WEEKDAY(BT$6,1)=1,0,MIN(10,BT169)*BT168)),MAX(0,40*MAX(1,BT168)-(BR170+BS170))))</f>
        <v>10</v>
      </c>
      <c r="BU170" s="64">
        <f>IF(AND(BU168=1,BU169=13),0,MIN(IF(BU168&lt;=0,0,IF(WEEKDAY(BU$6,1)=1,0,MIN(10,BU169)*BU168)),MAX(0,40*MAX(1,BU168)-(BR170+BS170+BT170))))</f>
        <v>0</v>
      </c>
      <c r="BV170" s="63">
        <f>IF(AND(BV168=1,BV169=13),10,MIN(IF(BV168&lt;=0,0,IF(WEEKDAY(BV$6,1)=1,0,MIN(10,BV169)*BV168)),MAX(0,40*MAX(1,BV168)-(0))))</f>
        <v>10</v>
      </c>
      <c r="BW170" s="63">
        <f>IF(AND(BW168=1,BW169=13),10,MIN(IF(BW168&lt;=0,0,IF(WEEKDAY(BW$6,1)=1,0,MIN(10,BW169)*BW168)),MAX(0,40*MAX(1,BW168)-(BV170))))</f>
        <v>10</v>
      </c>
      <c r="BX170" s="63">
        <f>IF(AND(BX168=1,BX169=13),10,MIN(IF(BX168&lt;=0,0,IF(WEEKDAY(BX$6,1)=1,0,MIN(10,BX169)*BX168)),MAX(0,40*MAX(1,BX168)-(BV170+BW170))))</f>
        <v>10</v>
      </c>
      <c r="BY170" s="63">
        <f>IF(AND(BY168=1,BY169=13),10,MIN(IF(BY168&lt;=0,0,IF(WEEKDAY(BY$6,1)=1,0,MIN(10,BY169)*BY168)),MAX(0,40*MAX(1,BY168)-(BV170+BW170+BX170))))</f>
        <v>10</v>
      </c>
      <c r="BZ170" s="63">
        <f>IF(AND(BZ168=1,BZ169=13),0,MIN(IF(BZ168&lt;=0,0,IF(WEEKDAY(BZ$6,1)=1,0,MIN(10,BZ169)*BZ168)),MAX(0,40*MAX(1,BZ168)-(BV170+BW170+BX170+BY170))))</f>
        <v>0</v>
      </c>
      <c r="CA170" s="64">
        <f>IF(AND(CA168=1,CA169=13),0,MIN(IF(CA168&lt;=0,0,IF(WEEKDAY(CA$6,1)=1,0,MIN(10,CA169)*CA168)),MAX(0,40*MAX(1,CA168)-(BV170+BW170+BX170+BY170+BZ170))))</f>
        <v>0</v>
      </c>
      <c r="CB170" s="64">
        <f>IF(AND(CB168=1,CB169=13),0,MIN(IF(CB168&lt;=0,0,IF(WEEKDAY(CB$6,1)=1,0,MIN(10,CB169)*CB168)),MAX(0,40*MAX(1,CB168)-(BV170+BW170+BX170+BY170+BZ170+CA170))))</f>
        <v>0</v>
      </c>
      <c r="CC170" s="63">
        <f>IF(AND(CC168=1,CC169=13),10,MIN(IF(CC168&lt;=0,0,IF(WEEKDAY(CC$6,1)=1,0,MIN(10,CC169)*CC168)),MAX(0,40*MAX(1,CC168)-(0))))</f>
        <v>10</v>
      </c>
      <c r="CD170" s="63">
        <f>IF(AND(CD168=1,CD169=13),10,MIN(IF(CD168&lt;=0,0,IF(WEEKDAY(CD$6,1)=1,0,MIN(10,CD169)*CD168)),MAX(0,40*MAX(1,CD168)-(CC170))))</f>
        <v>10</v>
      </c>
      <c r="CE170" s="63">
        <f>IF(AND(CE168=1,CE169=13),10,MIN(IF(CE168&lt;=0,0,IF(WEEKDAY(CE$6,1)=1,0,MIN(10,CE169)*CE168)),MAX(0,40*MAX(1,CE168)-(CC170+CD170))))</f>
        <v>10</v>
      </c>
      <c r="CF170" s="63">
        <f>IF(AND(CF168=1,CF169=13),10,MIN(IF(CF168&lt;=0,0,IF(WEEKDAY(CF$6,1)=1,0,MIN(10,CF169)*CF168)),MAX(0,40*MAX(1,CF168)-(CC170+CD170+CE170))))</f>
        <v>10</v>
      </c>
      <c r="CG170" s="63">
        <f>IF(AND(CG168=1,CG169=13),0,MIN(IF(CG168&lt;=0,0,IF(WEEKDAY(CG$6,1)=1,0,MIN(10,CG169)*CG168)),MAX(0,40*MAX(1,CG168)-(CC170+CD170+CE170+CF170))))</f>
        <v>0</v>
      </c>
      <c r="CH170" s="64">
        <f>IF(AND(CH168=1,CH169=13),0,MIN(IF(CH168&lt;=0,0,IF(WEEKDAY(CH$6,1)=1,0,MIN(10,CH169)*CH168)),MAX(0,40*MAX(1,CH168)-(CC170+CD170+CE170+CF170+CG170))))</f>
        <v>0</v>
      </c>
      <c r="CI170" s="64">
        <f>IF(AND(CI168=1,CI169=13),0,MIN(IF(CI168&lt;=0,0,IF(WEEKDAY(CI$6,1)=1,0,MIN(10,CI169)*CI168)),MAX(0,40*MAX(1,CI168)-(CC170+CD170+CE170+CF170+CG170+CH170))))</f>
        <v>0</v>
      </c>
      <c r="CJ170" s="63">
        <f>IF(AND(CJ168=1,CJ169=13),10,MIN(IF(CJ168&lt;=0,0,IF(WEEKDAY(CJ$6,1)=1,0,MIN(10,CJ169)*CJ168)),MAX(0,40*MAX(1,CJ168)-(0))))</f>
        <v>10</v>
      </c>
      <c r="CK170" s="63">
        <f>IF(AND(CK168=1,CK169=13),10,MIN(IF(CK168&lt;=0,0,IF(WEEKDAY(CK$6,1)=1,0,MIN(10,CK169)*CK168)),MAX(0,40*MAX(1,CK168)-(CJ170))))</f>
        <v>10</v>
      </c>
      <c r="CL170" s="63">
        <f>IF(AND(CL168=1,CL169=13),10,MIN(IF(CL168&lt;=0,0,IF(WEEKDAY(CL$6,1)=1,0,MIN(10,CL169)*CL168)),MAX(0,40*MAX(1,CL168)-(CJ170+CK170))))</f>
        <v>10</v>
      </c>
      <c r="CM170" s="63">
        <f>IF(AND(CM168=1,CM169=13),10,MIN(IF(CM168&lt;=0,0,IF(WEEKDAY(CM$6,1)=1,0,MIN(10,CM169)*CM168)),MAX(0,40*MAX(1,CM168)-(CJ170+CK170+CL170))))</f>
        <v>10</v>
      </c>
      <c r="CN170" s="63">
        <f>IF(AND(CN168=1,CN169=13),0,MIN(IF(CN168&lt;=0,0,IF(WEEKDAY(CN$6,1)=1,0,MIN(10,CN169)*CN168)),MAX(0,40*MAX(1,CN168)-(CJ170+CK170+CL170+CM170))))</f>
        <v>0</v>
      </c>
      <c r="CO170" s="64">
        <f>IF(AND(CO168=1,CO169=13),0,MIN(IF(CO168&lt;=0,0,IF(WEEKDAY(CO$6,1)=1,0,MIN(10,CO169)*CO168)),MAX(0,40*MAX(1,CO168)-(CJ170+CK170+CL170+CM170+CN170))))</f>
        <v>0</v>
      </c>
      <c r="CP170" s="64">
        <f>IF(AND(CP168=1,CP169=13),0,MIN(IF(CP168&lt;=0,0,IF(WEEKDAY(CP$6,1)=1,0,MIN(10,CP169)*CP168)),MAX(0,40*MAX(1,CP168)-(CJ170+CK170+CL170+CM170+CN170+CO170))))</f>
        <v>0</v>
      </c>
      <c r="CQ170" s="63">
        <f>IF(AND(CQ168=1,CQ169=13),10,MIN(IF(CQ168&lt;=0,0,IF(WEEKDAY(CQ$6,1)=1,0,MIN(10,CQ169)*CQ168)),MAX(0,40*MAX(1,CQ168)-(0))))</f>
        <v>10</v>
      </c>
      <c r="CR170" s="63">
        <f>IF(AND(CR168=1,CR169=13),10,MIN(IF(CR168&lt;=0,0,IF(WEEKDAY(CR$6,1)=1,0,MIN(10,CR169)*CR168)),MAX(0,40*MAX(1,CR168)-(CQ170))))</f>
        <v>10</v>
      </c>
      <c r="CS170" s="63">
        <f>IF(AND(CS168=1,CS169=13),10,MIN(IF(CS168&lt;=0,0,IF(WEEKDAY(CS$6,1)=1,0,MIN(10,CS169)*CS168)),MAX(0,40*MAX(1,CS168)-(CQ170+CR170))))</f>
        <v>10</v>
      </c>
      <c r="CT170" s="63">
        <f>IF(AND(CT168=1,CT169=13),10,MIN(IF(CT168&lt;=0,0,IF(WEEKDAY(CT$6,1)=1,0,MIN(10,CT169)*CT168)),MAX(0,40*MAX(1,CT168)-(CQ170+CR170+CS170))))</f>
        <v>10</v>
      </c>
      <c r="CU170" s="63">
        <f>IF(AND(CU168=1,CU169=13),0,MIN(IF(CU168&lt;=0,0,IF(WEEKDAY(CU$6,1)=1,0,MIN(10,CU169)*CU168)),MAX(0,40*MAX(1,CU168)-(CQ170+CR170+CS170+CT170))))</f>
        <v>0</v>
      </c>
      <c r="CV170" s="64">
        <f>IF(AND(CV168=1,CV169=13),0,MIN(IF(CV168&lt;=0,0,IF(WEEKDAY(CV$6,1)=1,0,MIN(10,CV169)*CV168)),MAX(0,40*MAX(1,CV168)-(CQ170+CR170+CS170+CT170+CU170))))</f>
        <v>0</v>
      </c>
      <c r="CW170" s="64">
        <f>IF(AND(CW168=1,CW169=13),0,MIN(IF(CW168&lt;=0,0,IF(WEEKDAY(CW$6,1)=1,0,MIN(10,CW169)*CW168)),MAX(0,40*MAX(1,CW168)-(CQ170+CR170+CS170+CT170+CU170+CV170))))</f>
        <v>0</v>
      </c>
      <c r="CX170" s="63">
        <f>IF(AND(CX168=1,CX169=13),10,MIN(IF(CX168&lt;=0,0,IF(WEEKDAY(CX$6,1)=1,0,MIN(10,CX169)*CX168)),MAX(0,40*MAX(1,CX168)-(0))))</f>
        <v>10</v>
      </c>
      <c r="CY170" s="63">
        <f>IF(AND(CY168=1,CY169=13),10,MIN(IF(CY168&lt;=0,0,IF(WEEKDAY(CY$6,1)=1,0,MIN(10,CY169)*CY168)),MAX(0,40*MAX(1,CY168)-(CX170))))</f>
        <v>10</v>
      </c>
      <c r="CZ170" s="63">
        <f>IF(AND(CZ168=1,CZ169=13),10,MIN(IF(CZ168&lt;=0,0,IF(WEEKDAY(CZ$6,1)=1,0,MIN(10,CZ169)*CZ168)),MAX(0,40*MAX(1,CZ168)-(CX170+CY170))))</f>
        <v>10</v>
      </c>
      <c r="DA170" s="63">
        <f>IF(AND(DA168=1,DA169=13),10,MIN(IF(DA168&lt;=0,0,IF(WEEKDAY(DA$6,1)=1,0,MIN(10,DA169)*DA168)),MAX(0,40*MAX(1,DA168)-(CX170+CY170+CZ170))))</f>
        <v>10</v>
      </c>
      <c r="DB170" s="63">
        <f>IF(AND(DB168=1,DB169=13),0,MIN(IF(DB168&lt;=0,0,IF(WEEKDAY(DB$6,1)=1,0,MIN(10,DB169)*DB168)),MAX(0,40*MAX(1,DB168)-(CX170+CY170+CZ170+DA170))))</f>
        <v>0</v>
      </c>
      <c r="DC170" s="64">
        <f>IF(AND(DC168=1,DC169=13),0,MIN(IF(DC168&lt;=0,0,IF(WEEKDAY(DC$6,1)=1,0,MIN(10,DC169)*DC168)),MAX(0,40*MAX(1,DC168)-(CX170+CY170+CZ170+DA170+DB170))))</f>
        <v>0</v>
      </c>
      <c r="DD170" s="64">
        <f>IF(AND(DD168=1,DD169=13),0,MIN(IF(DD168&lt;=0,0,IF(WEEKDAY(DD$6,1)=1,0,MIN(10,DD169)*DD168)),MAX(0,40*MAX(1,DD168)-(0))))</f>
        <v>0</v>
      </c>
      <c r="DE170" s="63">
        <f>IF(AND(DE168=1,DE169=13),10,MIN(IF(DE168&lt;=0,0,IF(WEEKDAY(DE$6,1)=1,0,MIN(10,DE169)*DE168)),MAX(0,40*MAX(1,DE168)-(0))))</f>
        <v>10</v>
      </c>
      <c r="DF170" s="63">
        <f>IF(AND(DF168=1,DF169=13),10,MIN(IF(DF168&lt;=0,0,IF(WEEKDAY(DF$6,1)=1,0,MIN(10,DF169)*DF168)),MAX(0,40*MAX(1,DF168)-(DE170))))</f>
        <v>10</v>
      </c>
      <c r="DG170" s="63">
        <f>IF(AND(DG168=1,DG169=13),10,MIN(IF(DG168&lt;=0,0,IF(WEEKDAY(DG$6,1)=1,0,MIN(10,DG169)*DG168)),MAX(0,40*MAX(1,DG168)-(DE170+DF170))))</f>
        <v>10</v>
      </c>
      <c r="DH170" s="63">
        <f>IF(AND(DH168=1,DH169=13),10,MIN(IF(DH168&lt;=0,0,IF(WEEKDAY(DH$6,1)=1,0,MIN(10,DH169)*DH168)),MAX(0,40*MAX(1,DH168)-(DE170+DF170+DG170))))</f>
        <v>10</v>
      </c>
      <c r="DI170" s="63">
        <f>IF(AND(DI168=1,DI169=13),0,MIN(IF(DI168&lt;=0,0,IF(WEEKDAY(DI$6,1)=1,0,MIN(10,DI169)*DI168)),MAX(0,40*MAX(1,DI168)-(DE170+DF170+DG170+DH170))))</f>
        <v>0</v>
      </c>
      <c r="DJ170" s="64">
        <f>IF(AND(DJ168=1,DJ169=13),0,MIN(IF(DJ168&lt;=0,0,IF(WEEKDAY(DJ$6,1)=1,0,MIN(10,DJ169)*DJ168)),MAX(0,40*MAX(1,DJ168)-(DE170+DF170+DG170+DH170+DI170))))</f>
        <v>0</v>
      </c>
      <c r="DK170" s="64">
        <f>IF(AND(DK168=1,DK169=13),0,MIN(IF(DK168&lt;=0,0,IF(WEEKDAY(DK$6,1)=1,0,MIN(10,DK169)*DK168)),MAX(0,40*MAX(1,DK168)-(DE170+DF170+DG170+DH170+DI170+DJ170))))</f>
        <v>0</v>
      </c>
      <c r="DL170" s="63">
        <f>IF(AND(DL168=1,DL169=13),10,MIN(IF(DL168&lt;=0,0,IF(WEEKDAY(DL$6,1)=1,0,MIN(10,DL169)*DL168)),MAX(0,40*MAX(1,DL168)-(0))))</f>
        <v>10</v>
      </c>
      <c r="DM170" s="63">
        <f>IF(AND(DM168=1,DM169=13),10,MIN(IF(DM168&lt;=0,0,IF(WEEKDAY(DM$6,1)=1,0,MIN(10,DM169)*DM168)),MAX(0,40*MAX(1,DM168)-(DL170))))</f>
        <v>10</v>
      </c>
      <c r="DN170" s="63">
        <f>IF(AND(DN168=1,DN169=13),10,MIN(IF(DN168&lt;=0,0,IF(WEEKDAY(DN$6,1)=1,0,MIN(10,DN169)*DN168)),MAX(0,40*MAX(1,DN168)-(DL170+DM170))))</f>
        <v>10</v>
      </c>
      <c r="DO170" s="63">
        <f>IF(AND(DO168=1,DO169=13),10,MIN(IF(DO168&lt;=0,0,IF(WEEKDAY(DO$6,1)=1,0,MIN(10,DO169)*DO168)),MAX(0,40*MAX(1,DO168)-(DL170+DM170+DN170))))</f>
        <v>10</v>
      </c>
      <c r="DP170" s="63">
        <f>IF(AND(DP168=1,DP169=13),0,MIN(IF(DP168&lt;=0,0,IF(WEEKDAY(DP$6,1)=1,0,MIN(10,DP169)*DP168)),MAX(0,40*MAX(1,DP168)-(DL170+DM170+DN170+DO170))))</f>
        <v>0</v>
      </c>
      <c r="DQ170" s="64">
        <f>IF(AND(DQ168=1,DQ169=13),0,MIN(IF(DQ168&lt;=0,0,IF(WEEKDAY(DQ$6,1)=1,0,MIN(10,DQ169)*DQ168)),MAX(0,40*MAX(1,DQ168)-(DL170+DM170+DN170+DO170+DP170))))</f>
        <v>0</v>
      </c>
      <c r="DR170" s="64">
        <f>IF(AND(DR168=1,DR169=13),0,MIN(IF(DR168&lt;=0,0,IF(WEEKDAY(DR$6,1)=1,0,MIN(10,DR169)*DR168)),MAX(0,40*MAX(1,DR168)-(DL170+DM170+DN170+DO170+DP170+DQ170))))</f>
        <v>0</v>
      </c>
      <c r="DS170" s="63">
        <f>IF(AND(DS168=1,DS169=13),10,MIN(IF(DS168&lt;=0,0,IF(WEEKDAY(DS$6,1)=1,0,MIN(10,DS169)*DS168)),MAX(0,40*MAX(1,DS168)-(0))))</f>
        <v>10</v>
      </c>
      <c r="DT170" s="63">
        <f>IF(AND(DT168=0,DT169=0),0,MIN(IF(DT168&lt;=0,0,IF(WEEKDAY(DT$6,1)=1,0,MIN(8,DT169)*DT168)),MAX(0,40*MAX(1,DT168)-(0))))</f>
        <v>0</v>
      </c>
      <c r="DU170" s="63">
        <f>IF(AND(DU168=0,DU169=0),0,MIN(IF(DU168&lt;=0,0,IF(WEEKDAY(DU$6,1)=1,0,MIN(8,DU169)*DU168)),MAX(0,40*MAX(1,DU168)-(DT170))))</f>
        <v>0</v>
      </c>
      <c r="DV170" s="63">
        <f>IF(AND(DV168=0,DV169=0),0,MIN(IF(DV168&lt;=0,0,IF(WEEKDAY(DV$6,1)=1,0,MIN(8,DV169)*DV168)),MAX(0,40*MAX(1,DV168)-(DT170+DU170))))</f>
        <v>0</v>
      </c>
      <c r="DW170" s="63">
        <f>IF(AND(DW168=0,DW169=0),0,MIN(IF(DW168&lt;=0,0,IF(WEEKDAY(DW$6,1)=1,0,MIN(8,DW169)*DW168)),MAX(0,40*MAX(1,DW168)-(DT170+DU170+DV170))))</f>
        <v>0</v>
      </c>
      <c r="DX170" s="64">
        <f>IF(AND(DX168=0,DX169=0),0,MIN(IF(DX168&lt;=0,0,IF(WEEKDAY(DX$6,1)=1,0,MIN(10,DX169)*DX168)),MAX(0,40*MAX(1,DX168)-(0))))</f>
        <v>0</v>
      </c>
      <c r="DY170" s="64">
        <f>IF(AND(DY168=0,DY169=0),0,MIN(IF(DY168&lt;=0,0,IF(WEEKDAY(DY$6,1)=1,0,MIN(10,DY169)*DY168)),MAX(0,40*MAX(1,DY168)-(DX170))))</f>
        <v>0</v>
      </c>
      <c r="DZ170" s="63">
        <f>IF(AND(DZ168=0,DZ169=0),0,MIN(IF(DZ168&lt;=0,0,IF(WEEKDAY(DZ$6,1)=1,0,MIN(8,DZ169)*DZ168)),MAX(0,40*MAX(1,DZ168)-(0))))</f>
        <v>0</v>
      </c>
      <c r="EA170" s="63">
        <f>IF(AND(EA168=0,EA169=0),0,MIN(IF(EA168&lt;=0,0,IF(WEEKDAY(EA$6,1)=1,0,MIN(8,EA169)*EA168)),MAX(0,40*MAX(1,EA168)-(DZ170))))</f>
        <v>0</v>
      </c>
      <c r="EB170" s="63">
        <f>IF(AND(EB168=0,EB169=0),0,MIN(IF(EB168&lt;=0,0,IF(WEEKDAY(EB$6,1)=1,0,MIN(8,EB169)*EB168)),MAX(0,40*MAX(1,EB168)-(DZ170+EA170))))</f>
        <v>0</v>
      </c>
      <c r="EC170" s="63">
        <f>IF(AND(EC168=0,EC169=0),0,MIN(IF(EC168&lt;=0,0,IF(WEEKDAY(EC$6,1)=1,0,MIN(8,EC169)*EC168)),MAX(0,40*MAX(1,EC168)-(DZ170+EA170+EB170))))</f>
        <v>0</v>
      </c>
      <c r="ED170" s="63">
        <f>IF(AND(ED168=0,ED169=0),0,MIN(IF(ED168&lt;=0,0,IF(WEEKDAY(ED$6,1)=1,0,MIN(8,ED169)*ED168)),MAX(0,40*MAX(1,ED168)-(DZ170+EA170+EB170+EC170))))</f>
        <v>0</v>
      </c>
      <c r="EE170" s="64">
        <f>IF(AND(EE168=0,EE169=0),0,MIN(IF(EE168&lt;=0,0,IF(WEEKDAY(EE$6,1)=1,0,MIN(10,EE169)*EE168)),MAX(0,40*MAX(1,EE168)-(0))))</f>
        <v>0</v>
      </c>
      <c r="EF170" s="64">
        <f>IF(AND(EF168=0,EF169=0),0,MIN(IF(EF168&lt;=0,0,IF(WEEKDAY(EF$6,1)=1,0,MIN(10,EF169)*EF168)),MAX(0,40*MAX(1,EF168)-(EE170))))</f>
        <v>0</v>
      </c>
      <c r="EG170" s="63">
        <f>IF(AND(EG168=0,EG169=0),0,MIN(IF(EG168&lt;=0,0,IF(WEEKDAY(EG$6,1)=1,0,MIN(8,EG169)*EG168)),MAX(0,40*MAX(1,EG168)-(0))))</f>
        <v>0</v>
      </c>
      <c r="EH170" s="63">
        <f>IF(AND(EH168=0,EH169=0),0,MIN(IF(EH168&lt;=0,0,IF(WEEKDAY(EH$6,1)=1,0,MIN(8,EH169)*EH168)),MAX(0,40*MAX(1,EH168)-(EG170))))</f>
        <v>0</v>
      </c>
      <c r="EI170" s="63">
        <f>IF(AND(EI168=0,EI169=0),0,MIN(IF(EI168&lt;=0,0,IF(WEEKDAY(EI$6,1)=1,0,MIN(8,EI169)*EI168)),MAX(0,40*MAX(1,EI168)-(EG170+EH170))))</f>
        <v>0</v>
      </c>
      <c r="EJ170" s="63">
        <f>IF(AND(EJ168=0,EJ169=0),0,MIN(IF(EJ168&lt;=0,0,IF(WEEKDAY(EJ$6,1)=1,0,MIN(8,EJ169)*EJ168)),MAX(0,40*MAX(1,EJ168)-(EG170+EH170+EI170))))</f>
        <v>0</v>
      </c>
      <c r="EK170" s="65">
        <f>IF(AND(EK168=0,EK169=0),0,MIN(IF(EK168&lt;=0,0,IF(WEEKDAY(EK$6,1)=1,0,MIN(8,EK169)*EK168)),MAX(0,40*MAX(1,EK168)-(EG170+EH170+EI170+EJ170))))</f>
        <v>0</v>
      </c>
      <c r="OU170" s="28" t="s">
        <v>99</v>
      </c>
    </row>
    <row r="171" ht="16" customHeight="1" spans="1:411" x14ac:dyDescent="0.25">
      <c r="A171" s="45"/>
      <c r="B171" s="46"/>
      <c r="C171" s="66">
        <f>G167*N(D171)</f>
        <v>60443.5</v>
      </c>
      <c r="D171" s="66">
        <f>IF(TRIM(B167)="","No rate",IFERROR(INDEX('Rate Tables'!D$7:D$158,MATCH(B167,'Rate Tables'!A$7:A$158,0)),"No rate"))</f>
        <v>185.98</v>
      </c>
      <c r="E171" s="55" t="s">
        <v>63</v>
      </c>
      <c r="F171" s="49"/>
      <c r="G171" s="49"/>
      <c r="H171" s="49"/>
      <c r="I171" s="49"/>
      <c r="J171" s="50"/>
      <c r="K171" s="62">
        <f>IF(AND(K168=1,K169=8),0,IF(K168&lt;=0,0,IF(WEEKDAY(K$6,1)=1,0,MAX(0,K169-8)*K168))+((IF(K168&lt;=0,0,IF(WEEKDAY(K$6,1)=1,0,MIN(8,K169)*K168)))-MIN(IF(K168&lt;=0,0,IF(WEEKDAY(K$6,1)=1,0,MIN(8,K169)*K168)),MAX(0,40*MAX(1,K168)-(0)))))</f>
        <v>0</v>
      </c>
      <c r="L171" s="63">
        <f>IF(AND(L168=1,L169=8),0,IF(L168&lt;=0,0,IF(WEEKDAY(L$6,1)=1,0,MAX(0,L169-8)*L168))+((IF(L168&lt;=0,0,IF(WEEKDAY(L$6,1)=1,0,MIN(8,L169)*L168)))-MIN(IF(L168&lt;=0,0,IF(WEEKDAY(L$6,1)=1,0,MIN(8,L169)*L168)),MAX(0,40*MAX(1,L168)-(K170)))))</f>
        <v>0</v>
      </c>
      <c r="M171" s="63">
        <f>IF(AND(M168=1,M169=8),0,IF(M168&lt;=0,0,IF(WEEKDAY(M$6,1)=1,0,MAX(0,M169-8)*M168))+((IF(M168&lt;=0,0,IF(WEEKDAY(M$6,1)=1,0,MIN(8,M169)*M168)))-MIN(IF(M168&lt;=0,0,IF(WEEKDAY(M$6,1)=1,0,MIN(8,M169)*M168)),MAX(0,40*MAX(1,M168)-(K170+L170)))))</f>
        <v>0</v>
      </c>
      <c r="N171" s="63">
        <f>IF(AND(N168=1,N169=8),0,IF(N168&lt;=0,0,IF(WEEKDAY(N$6,1)=1,0,MAX(0,N169-8)*N168))+((IF(N168&lt;=0,0,IF(WEEKDAY(N$6,1)=1,0,MIN(8,N169)*N168)))-MIN(IF(N168&lt;=0,0,IF(WEEKDAY(N$6,1)=1,0,MIN(8,N169)*N168)),MAX(0,40*MAX(1,N168)-(K170+L170+M170)))))</f>
        <v>0</v>
      </c>
      <c r="O171" s="63">
        <f>IF(AND(O168=1,O169=8),0,IF(O168&lt;=0,0,IF(WEEKDAY(O$6,1)=1,0,MAX(0,O169-8)*O168))+((IF(O168&lt;=0,0,IF(WEEKDAY(O$6,1)=1,0,MIN(8,O169)*O168)))-MIN(IF(O168&lt;=0,0,IF(WEEKDAY(O$6,1)=1,0,MIN(8,O169)*O168)),MAX(0,40*MAX(1,O168)-(K170+L170+M170+N170)))))</f>
        <v>0</v>
      </c>
      <c r="P171" s="64">
        <f>IF(AND(P168=0,P169=0),0,IF(P168&lt;=0,0,IF(WEEKDAY(P$6,1)=1,0,MAX(0,P169-10)*P168))+((IF(P168&lt;=0,0,IF(WEEKDAY(P$6,1)=1,0,MIN(10,P169)*P168)))-MIN(IF(P168&lt;=0,0,IF(WEEKDAY(P$6,1)=1,0,MIN(10,P169)*P168)),MAX(0,40*MAX(1,P168)-(0)))))</f>
        <v>0</v>
      </c>
      <c r="Q171" s="64">
        <f>IF(AND(Q168=0,Q169=0),0,IF(Q168&lt;=0,0,IF(WEEKDAY(Q$6,1)=1,0,MAX(0,Q169-10)*Q168))+((IF(Q168&lt;=0,0,IF(WEEKDAY(Q$6,1)=1,0,MIN(10,Q169)*Q168)))-MIN(IF(Q168&lt;=0,0,IF(WEEKDAY(Q$6,1)=1,0,MIN(10,Q169)*Q168)),MAX(0,40*MAX(1,Q168)-(P170)))))</f>
        <v>0</v>
      </c>
      <c r="R171" s="63">
        <f>IF(AND(R168=1,R169=8),0,IF(R168&lt;=0,0,IF(WEEKDAY(R$6,1)=1,0,MAX(0,R169-8)*R168))+((IF(R168&lt;=0,0,IF(WEEKDAY(R$6,1)=1,0,MIN(8,R169)*R168)))-MIN(IF(R168&lt;=0,0,IF(WEEKDAY(R$6,1)=1,0,MIN(8,R169)*R168)),MAX(0,40*MAX(1,R168)-(0)))))</f>
        <v>0</v>
      </c>
      <c r="S171" s="63">
        <f>IF(AND(S168=1,S169=8),0,IF(S168&lt;=0,0,IF(WEEKDAY(S$6,1)=1,0,MAX(0,S169-8)*S168))+((IF(S168&lt;=0,0,IF(WEEKDAY(S$6,1)=1,0,MIN(8,S169)*S168)))-MIN(IF(S168&lt;=0,0,IF(WEEKDAY(S$6,1)=1,0,MIN(8,S169)*S168)),MAX(0,40*MAX(1,S168)-(R170)))))</f>
        <v>0</v>
      </c>
      <c r="T171" s="63">
        <f>IF(AND(T168=1,T169=8),0,IF(T168&lt;=0,0,IF(WEEKDAY(T$6,1)=1,0,MAX(0,T169-8)*T168))+((IF(T168&lt;=0,0,IF(WEEKDAY(T$6,1)=1,0,MIN(8,T169)*T168)))-MIN(IF(T168&lt;=0,0,IF(WEEKDAY(T$6,1)=1,0,MIN(8,T169)*T168)),MAX(0,40*MAX(1,T168)-(R170+S170)))))</f>
        <v>0</v>
      </c>
      <c r="U171" s="63">
        <f>IF(AND(U168=1,U169=8),0,IF(U168&lt;=0,0,IF(WEEKDAY(U$6,1)=1,0,MAX(0,U169-8)*U168))+((IF(U168&lt;=0,0,IF(WEEKDAY(U$6,1)=1,0,MIN(8,U169)*U168)))-MIN(IF(U168&lt;=0,0,IF(WEEKDAY(U$6,1)=1,0,MIN(8,U169)*U168)),MAX(0,40*MAX(1,U168)-(R170+S170+T170)))))</f>
        <v>0</v>
      </c>
      <c r="V171" s="63">
        <f>IF(AND(V168=1,V169=8),0,IF(V168&lt;=0,0,IF(WEEKDAY(V$6,1)=1,0,MAX(0,V169-8)*V168))+((IF(V168&lt;=0,0,IF(WEEKDAY(V$6,1)=1,0,MIN(8,V169)*V168)))-MIN(IF(V168&lt;=0,0,IF(WEEKDAY(V$6,1)=1,0,MIN(8,V169)*V168)),MAX(0,40*MAX(1,V168)-(R170+S170+T170+U170)))))</f>
        <v>0</v>
      </c>
      <c r="W171" s="64">
        <f>IF(AND(W168=0,W169=0),0,IF(W168&lt;=0,0,IF(WEEKDAY(W$6,1)=1,0,MAX(0,W169-10)*W168))+((IF(W168&lt;=0,0,IF(WEEKDAY(W$6,1)=1,0,MIN(10,W169)*W168)))-MIN(IF(W168&lt;=0,0,IF(WEEKDAY(W$6,1)=1,0,MIN(10,W169)*W168)),MAX(0,40*MAX(1,W168)-(0)))))</f>
        <v>0</v>
      </c>
      <c r="X171" s="64">
        <f>IF(AND(X168=0,X169=0),0,IF(X168&lt;=0,0,IF(WEEKDAY(X$6,1)=1,0,MAX(0,X169-10)*X168))+((IF(X168&lt;=0,0,IF(WEEKDAY(X$6,1)=1,0,MIN(10,X169)*X168)))-MIN(IF(X168&lt;=0,0,IF(WEEKDAY(X$6,1)=1,0,MIN(10,X169)*X168)),MAX(0,40*MAX(1,X168)-(W170)))))</f>
        <v>0</v>
      </c>
      <c r="Y171" s="63">
        <f>IF(AND(Y168=1,Y169=8),0,IF(Y168&lt;=0,0,IF(WEEKDAY(Y$6,1)=1,0,MAX(0,Y169-8)*Y168))+((IF(Y168&lt;=0,0,IF(WEEKDAY(Y$6,1)=1,0,MIN(8,Y169)*Y168)))-MIN(IF(Y168&lt;=0,0,IF(WEEKDAY(Y$6,1)=1,0,MIN(8,Y169)*Y168)),MAX(0,40*MAX(1,Y168)-(0)))))</f>
        <v>0</v>
      </c>
      <c r="Z171" s="63">
        <f>IF(AND(Z168=1,Z169=8),0,IF(Z168&lt;=0,0,IF(WEEKDAY(Z$6,1)=1,0,MAX(0,Z169-8)*Z168))+((IF(Z168&lt;=0,0,IF(WEEKDAY(Z$6,1)=1,0,MIN(8,Z169)*Z168)))-MIN(IF(Z168&lt;=0,0,IF(WEEKDAY(Z$6,1)=1,0,MIN(8,Z169)*Z168)),MAX(0,40*MAX(1,Z168)-(Y170)))))</f>
        <v>0</v>
      </c>
      <c r="AA171" s="63">
        <f>IF(AND(AA168=1,AA169=8),0,IF(AA168&lt;=0,0,IF(WEEKDAY(AA$6,1)=1,0,MAX(0,AA169-8)*AA168))+((IF(AA168&lt;=0,0,IF(WEEKDAY(AA$6,1)=1,0,MIN(8,AA169)*AA168)))-MIN(IF(AA168&lt;=0,0,IF(WEEKDAY(AA$6,1)=1,0,MIN(8,AA169)*AA168)),MAX(0,40*MAX(1,AA168)-(Y170+Z170)))))</f>
        <v>0</v>
      </c>
      <c r="AB171" s="63">
        <f>IF(AND(AB168=1,AB169=8),0,IF(AB168&lt;=0,0,IF(WEEKDAY(AB$6,1)=1,0,MAX(0,AB169-8)*AB168))+((IF(AB168&lt;=0,0,IF(WEEKDAY(AB$6,1)=1,0,MIN(8,AB169)*AB168)))-MIN(IF(AB168&lt;=0,0,IF(WEEKDAY(AB$6,1)=1,0,MIN(8,AB169)*AB168)),MAX(0,40*MAX(1,AB168)-(Y170+Z170+AA170)))))</f>
        <v>0</v>
      </c>
      <c r="AC171" s="63">
        <f>IF(AND(AC168=1,AC169=8),0,IF(AC168&lt;=0,0,IF(WEEKDAY(AC$6,1)=1,0,MAX(0,AC169-8)*AC168))+((IF(AC168&lt;=0,0,IF(WEEKDAY(AC$6,1)=1,0,MIN(8,AC169)*AC168)))-MIN(IF(AC168&lt;=0,0,IF(WEEKDAY(AC$6,1)=1,0,MIN(8,AC169)*AC168)),MAX(0,40*MAX(1,AC168)-(Y170+Z170+AA170+AB170)))))</f>
        <v>0</v>
      </c>
      <c r="AD171" s="64">
        <f>IF(AND(AD168=0,AD169=0),0,IF(AD168&lt;=0,0,IF(WEEKDAY(AD$6,1)=1,0,MAX(0,AD169-10)*AD168))+((IF(AD168&lt;=0,0,IF(WEEKDAY(AD$6,1)=1,0,MIN(10,AD169)*AD168)))-MIN(IF(AD168&lt;=0,0,IF(WEEKDAY(AD$6,1)=1,0,MIN(10,AD169)*AD168)),MAX(0,40*MAX(1,AD168)-(0)))))</f>
        <v>0</v>
      </c>
      <c r="AE171" s="64">
        <f>IF(AND(AE168=0,AE169=0),0,IF(AE168&lt;=0,0,IF(WEEKDAY(AE$6,1)=1,0,MAX(0,AE169-10)*AE168))+((IF(AE168&lt;=0,0,IF(WEEKDAY(AE$6,1)=1,0,MIN(10,AE169)*AE168)))-MIN(IF(AE168&lt;=0,0,IF(WEEKDAY(AE$6,1)=1,0,MIN(10,AE169)*AE168)),MAX(0,40*MAX(1,AE168)-(AD170)))))</f>
        <v>0</v>
      </c>
      <c r="AF171" s="63">
        <f>IF(AND(AF168=1,AF169=8),0,IF(AF168&lt;=0,0,IF(WEEKDAY(AF$6,1)=1,0,MAX(0,AF169-8)*AF168))+((IF(AF168&lt;=0,0,IF(WEEKDAY(AF$6,1)=1,0,MIN(8,AF169)*AF168)))-MIN(IF(AF168&lt;=0,0,IF(WEEKDAY(AF$6,1)=1,0,MIN(8,AF169)*AF168)),MAX(0,40*MAX(1,AF168)-(0)))))</f>
        <v>0</v>
      </c>
      <c r="AG171" s="63">
        <f>IF(AND(AG168=1,AG169=8),0,IF(AG168&lt;=0,0,IF(WEEKDAY(AG$6,1)=1,0,MAX(0,AG169-8)*AG168))+((IF(AG168&lt;=0,0,IF(WEEKDAY(AG$6,1)=1,0,MIN(8,AG169)*AG168)))-MIN(IF(AG168&lt;=0,0,IF(WEEKDAY(AG$6,1)=1,0,MIN(8,AG169)*AG168)),MAX(0,40*MAX(1,AG168)-(AF170)))))</f>
        <v>0</v>
      </c>
      <c r="AH171" s="63">
        <f>IF(AND(AH168=1,AH169=8),0,IF(AH168&lt;=0,0,IF(WEEKDAY(AH$6,1)=1,0,MAX(0,AH169-8)*AH168))+((IF(AH168&lt;=0,0,IF(WEEKDAY(AH$6,1)=1,0,MIN(8,AH169)*AH168)))-MIN(IF(AH168&lt;=0,0,IF(WEEKDAY(AH$6,1)=1,0,MIN(8,AH169)*AH168)),MAX(0,40*MAX(1,AH168)-(AF170+AG170)))))</f>
        <v>0</v>
      </c>
      <c r="AI171" s="63">
        <f>IF(AND(AI168=1,AI169=8),0,IF(AI168&lt;=0,0,IF(WEEKDAY(AI$6,1)=1,0,MAX(0,AI169-8)*AI168))+((IF(AI168&lt;=0,0,IF(WEEKDAY(AI$6,1)=1,0,MIN(8,AI169)*AI168)))-MIN(IF(AI168&lt;=0,0,IF(WEEKDAY(AI$6,1)=1,0,MIN(8,AI169)*AI168)),MAX(0,40*MAX(1,AI168)-(AF170+AG170+AH170)))))</f>
        <v>0</v>
      </c>
      <c r="AJ171" s="63">
        <f>IF(AND(AJ168=1,AJ169=8),0,IF(AJ168&lt;=0,0,IF(WEEKDAY(AJ$6,1)=1,0,MAX(0,AJ169-8)*AJ168))+((IF(AJ168&lt;=0,0,IF(WEEKDAY(AJ$6,1)=1,0,MIN(8,AJ169)*AJ168)))-MIN(IF(AJ168&lt;=0,0,IF(WEEKDAY(AJ$6,1)=1,0,MIN(8,AJ169)*AJ168)),MAX(0,40*MAX(1,AJ168)-(AF170+AG170+AH170+AI170)))))</f>
        <v>0</v>
      </c>
      <c r="AK171" s="64">
        <f>IF(AND(AK168=0,AK169=0),0,IF(AK168&lt;=0,0,IF(WEEKDAY(AK$6,1)=1,0,MAX(0,AK169-10)*AK168))+((IF(AK168&lt;=0,0,IF(WEEKDAY(AK$6,1)=1,0,MIN(10,AK169)*AK168)))-MIN(IF(AK168&lt;=0,0,IF(WEEKDAY(AK$6,1)=1,0,MIN(10,AK169)*AK168)),MAX(0,40*MAX(1,AK168)-(0)))))</f>
        <v>0</v>
      </c>
      <c r="AL171" s="64">
        <f>IF(AND(AL168=0,AL169=0),0,IF(AL168&lt;=0,0,IF(WEEKDAY(AL$6,1)=1,0,MAX(0,AL169-10)*AL168))+((IF(AL168&lt;=0,0,IF(WEEKDAY(AL$6,1)=1,0,MIN(10,AL169)*AL168)))-MIN(IF(AL168&lt;=0,0,IF(WEEKDAY(AL$6,1)=1,0,MIN(10,AL169)*AL168)),MAX(0,40*MAX(1,AL168)-(AK170)))))</f>
        <v>0</v>
      </c>
      <c r="AM171" s="63">
        <f>IF(AND(AM168=1,AM169=8),0,IF(AM168&lt;=0,0,IF(WEEKDAY(AM$6,1)=1,0,MAX(0,AM169-8)*AM168))+((IF(AM168&lt;=0,0,IF(WEEKDAY(AM$6,1)=1,0,MIN(8,AM169)*AM168)))-MIN(IF(AM168&lt;=0,0,IF(WEEKDAY(AM$6,1)=1,0,MIN(8,AM169)*AM168)),MAX(0,40*MAX(1,AM168)-(0)))))</f>
        <v>0</v>
      </c>
      <c r="AN171" s="63">
        <f>IF(AND(AN168=1,AN169=8),0,IF(AN168&lt;=0,0,IF(WEEKDAY(AN$6,1)=1,0,MAX(0,AN169-8)*AN168))+((IF(AN168&lt;=0,0,IF(WEEKDAY(AN$6,1)=1,0,MIN(8,AN169)*AN168)))-MIN(IF(AN168&lt;=0,0,IF(WEEKDAY(AN$6,1)=1,0,MIN(8,AN169)*AN168)),MAX(0,40*MAX(1,AN168)-(AM170)))))</f>
        <v>0</v>
      </c>
      <c r="AO171" s="63">
        <f>IF(AND(AO168=1,AO169=8),0,IF(AO168&lt;=0,0,IF(WEEKDAY(AO$6,1)=1,0,MAX(0,AO169-8)*AO168))+((IF(AO168&lt;=0,0,IF(WEEKDAY(AO$6,1)=1,0,MIN(8,AO169)*AO168)))-MIN(IF(AO168&lt;=0,0,IF(WEEKDAY(AO$6,1)=1,0,MIN(8,AO169)*AO168)),MAX(0,40*MAX(1,AO168)-(AM170+AN170)))))</f>
        <v>0</v>
      </c>
      <c r="AP171" s="63">
        <f>IF(AND(AP168=1,AP169=8),0,IF(AP168&lt;=0,0,IF(WEEKDAY(AP$6,1)=1,0,MAX(0,AP169-8)*AP168))+((IF(AP168&lt;=0,0,IF(WEEKDAY(AP$6,1)=1,0,MIN(8,AP169)*AP168)))-MIN(IF(AP168&lt;=0,0,IF(WEEKDAY(AP$6,1)=1,0,MIN(8,AP169)*AP168)),MAX(0,40*MAX(1,AP168)-(AM170+AN170+AO170)))))</f>
        <v>0</v>
      </c>
      <c r="AQ171" s="63">
        <f>IF(AND(AQ168=1,AQ169=8),0,IF(AQ168&lt;=0,0,IF(WEEKDAY(AQ$6,1)=1,0,MAX(0,AQ169-8)*AQ168))+((IF(AQ168&lt;=0,0,IF(WEEKDAY(AQ$6,1)=1,0,MIN(8,AQ169)*AQ168)))-MIN(IF(AQ168&lt;=0,0,IF(WEEKDAY(AQ$6,1)=1,0,MIN(8,AQ169)*AQ168)),MAX(0,40*MAX(1,AQ168)-(AM170+AN170+AO170+AP170)))))</f>
        <v>0</v>
      </c>
      <c r="AR171" s="64">
        <f>IF(AND(AR168=0,AR169=0),0,IF(AR168&lt;=0,0,IF(WEEKDAY(AR$6,1)=1,0,MAX(0,AR169-10)*AR168))+((IF(AR168&lt;=0,0,IF(WEEKDAY(AR$6,1)=1,0,MIN(10,AR169)*AR168)))-MIN(IF(AR168&lt;=0,0,IF(WEEKDAY(AR$6,1)=1,0,MIN(10,AR169)*AR168)),MAX(0,40*MAX(1,AR168)-(0)))))</f>
        <v>0</v>
      </c>
      <c r="AS171" s="64">
        <f>IF(AND(AS168=0,AS169=0),0,IF(AS168&lt;=0,0,IF(WEEKDAY(AS$6,1)=1,0,MAX(0,AS169-10)*AS168))+((IF(AS168&lt;=0,0,IF(WEEKDAY(AS$6,1)=1,0,MIN(10,AS169)*AS168)))-MIN(IF(AS168&lt;=0,0,IF(WEEKDAY(AS$6,1)=1,0,MIN(10,AS169)*AS168)),MAX(0,40*MAX(1,AS168)-(AR170)))))</f>
        <v>0</v>
      </c>
      <c r="AT171" s="63">
        <f>IF(AND(AT168=1,AT169=8),0,IF(AT168&lt;=0,0,IF(WEEKDAY(AT$6,1)=1,0,MAX(0,AT169-8)*AT168))+((IF(AT168&lt;=0,0,IF(WEEKDAY(AT$6,1)=1,0,MIN(8,AT169)*AT168)))-MIN(IF(AT168&lt;=0,0,IF(WEEKDAY(AT$6,1)=1,0,MIN(8,AT169)*AT168)),MAX(0,40*MAX(1,AT168)-(0)))))</f>
        <v>0</v>
      </c>
      <c r="AU171" s="63">
        <f>IF(AND(AU168=1,AU169=8),0,IF(AU168&lt;=0,0,IF(WEEKDAY(AU$6,1)=1,0,MAX(0,AU169-8)*AU168))+((IF(AU168&lt;=0,0,IF(WEEKDAY(AU$6,1)=1,0,MIN(8,AU169)*AU168)))-MIN(IF(AU168&lt;=0,0,IF(WEEKDAY(AU$6,1)=1,0,MIN(8,AU169)*AU168)),MAX(0,40*MAX(1,AU168)-(AT170)))))</f>
        <v>0</v>
      </c>
      <c r="AV171" s="63">
        <f>IF(AND(AV168=1,AV169=8),0,IF(AV168&lt;=0,0,IF(WEEKDAY(AV$6,1)=1,0,MAX(0,AV169-8)*AV168))+((IF(AV168&lt;=0,0,IF(WEEKDAY(AV$6,1)=1,0,MIN(8,AV169)*AV168)))-MIN(IF(AV168&lt;=0,0,IF(WEEKDAY(AV$6,1)=1,0,MIN(8,AV169)*AV168)),MAX(0,40*MAX(1,AV168)-(AT170+AU170)))))</f>
        <v>0</v>
      </c>
      <c r="AW171" s="63">
        <f>IF(AND(AW168=1,AW169=8),0,IF(AW168&lt;=0,0,IF(WEEKDAY(AW$6,1)=1,0,MAX(0,AW169-8)*AW168))+((IF(AW168&lt;=0,0,IF(WEEKDAY(AW$6,1)=1,0,MIN(8,AW169)*AW168)))-MIN(IF(AW168&lt;=0,0,IF(WEEKDAY(AW$6,1)=1,0,MIN(8,AW169)*AW168)),MAX(0,40*MAX(1,AW168)-(AT170+AU170+AV170)))))</f>
        <v>0</v>
      </c>
      <c r="AX171" s="63">
        <f>IF(AND(AX168=1,AX169=8),0,IF(AX168&lt;=0,0,IF(WEEKDAY(AX$6,1)=1,0,MAX(0,AX169-8)*AX168))+((IF(AX168&lt;=0,0,IF(WEEKDAY(AX$6,1)=1,0,MIN(8,AX169)*AX168)))-MIN(IF(AX168&lt;=0,0,IF(WEEKDAY(AX$6,1)=1,0,MIN(8,AX169)*AX168)),MAX(0,40*MAX(1,AX168)-(AT170+AU170+AV170+AW170)))))</f>
        <v>0</v>
      </c>
      <c r="AY171" s="64">
        <f>IF(AND(AY168=0,AY169=0),0,IF(AY168&lt;=0,0,IF(WEEKDAY(AY$6,1)=1,0,MAX(0,AY169-10)*AY168))+((IF(AY168&lt;=0,0,IF(WEEKDAY(AY$6,1)=1,0,MIN(10,AY169)*AY168)))-MIN(IF(AY168&lt;=0,0,IF(WEEKDAY(AY$6,1)=1,0,MIN(10,AY169)*AY168)),MAX(0,40*MAX(1,AY168)-(0)))))</f>
        <v>0</v>
      </c>
      <c r="AZ171" s="64">
        <f>IF(AND(AZ168=0,AZ169=0),0,IF(AZ168&lt;=0,0,IF(WEEKDAY(AZ$6,1)=1,0,MAX(0,AZ169-10)*AZ168))+((IF(AZ168&lt;=0,0,IF(WEEKDAY(AZ$6,1)=1,0,MIN(10,AZ169)*AZ168)))-MIN(IF(AZ168&lt;=0,0,IF(WEEKDAY(AZ$6,1)=1,0,MIN(10,AZ169)*AZ168)),MAX(0,40*MAX(1,AZ168)-(AY170)))))</f>
        <v>0</v>
      </c>
      <c r="BA171" s="63">
        <f>IF(AND(BA168=1,BA169=8),0,IF(BA168&lt;=0,0,IF(WEEKDAY(BA$6,1)=1,0,MAX(0,BA169-8)*BA168))+((IF(BA168&lt;=0,0,IF(WEEKDAY(BA$6,1)=1,0,MIN(8,BA169)*BA168)))-MIN(IF(BA168&lt;=0,0,IF(WEEKDAY(BA$6,1)=1,0,MIN(8,BA169)*BA168)),MAX(0,40*MAX(1,BA168)-(0)))))</f>
        <v>0</v>
      </c>
      <c r="BB171" s="63">
        <f>IF(AND(BB168=1,BB169=8),0,IF(BB168&lt;=0,0,IF(WEEKDAY(BB$6,1)=1,0,MAX(0,BB169-8)*BB168))+((IF(BB168&lt;=0,0,IF(WEEKDAY(BB$6,1)=1,0,MIN(8,BB169)*BB168)))-MIN(IF(BB168&lt;=0,0,IF(WEEKDAY(BB$6,1)=1,0,MIN(8,BB169)*BB168)),MAX(0,40*MAX(1,BB168)-(BA170)))))</f>
        <v>0</v>
      </c>
      <c r="BC171" s="63">
        <f>IF(AND(BC168=1,BC169=8),0,IF(BC168&lt;=0,0,IF(WEEKDAY(BC$6,1)=1,0,MAX(0,BC169-8)*BC168))+((IF(BC168&lt;=0,0,IF(WEEKDAY(BC$6,1)=1,0,MIN(8,BC169)*BC168)))-MIN(IF(BC168&lt;=0,0,IF(WEEKDAY(BC$6,1)=1,0,MIN(8,BC169)*BC168)),MAX(0,40*MAX(1,BC168)-(BA170+BB170)))))</f>
        <v>0</v>
      </c>
      <c r="BD171" s="63">
        <f>IF(AND(BD168=1,BD169=8),0,IF(BD168&lt;=0,0,IF(WEEKDAY(BD$6,1)=1,0,MAX(0,BD169-8)*BD168))+((IF(BD168&lt;=0,0,IF(WEEKDAY(BD$6,1)=1,0,MIN(8,BD169)*BD168)))-MIN(IF(BD168&lt;=0,0,IF(WEEKDAY(BD$6,1)=1,0,MIN(8,BD169)*BD168)),MAX(0,40*MAX(1,BD168)-(BA170+BB170+BC170)))))</f>
        <v>0</v>
      </c>
      <c r="BE171" s="63">
        <f>IF(AND(BE168=1,BE169=8),0,IF(BE168&lt;=0,0,IF(WEEKDAY(BE$6,1)=1,0,MAX(0,BE169-8)*BE168))+((IF(BE168&lt;=0,0,IF(WEEKDAY(BE$6,1)=1,0,MIN(8,BE169)*BE168)))-MIN(IF(BE168&lt;=0,0,IF(WEEKDAY(BE$6,1)=1,0,MIN(8,BE169)*BE168)),MAX(0,40*MAX(1,BE168)-(BA170+BB170+BC170+BD170)))))</f>
        <v>0</v>
      </c>
      <c r="BF171" s="64">
        <f>IF(AND(BF168=0,BF169=0),0,IF(BF168&lt;=0,0,IF(WEEKDAY(BF$6,1)=1,0,MAX(0,BF169-10)*BF168))+((IF(BF168&lt;=0,0,IF(WEEKDAY(BF$6,1)=1,0,MIN(10,BF169)*BF168)))-MIN(IF(BF168&lt;=0,0,IF(WEEKDAY(BF$6,1)=1,0,MIN(10,BF169)*BF168)),MAX(0,40*MAX(1,BF168)-(0)))))</f>
        <v>0</v>
      </c>
      <c r="BG171" s="64">
        <f>IF(AND(BG168=0,BG169=0),0,IF(BG168&lt;=0,0,IF(WEEKDAY(BG$6,1)=1,0,MAX(0,BG169-10)*BG168))+((IF(BG168&lt;=0,0,IF(WEEKDAY(BG$6,1)=1,0,MIN(10,BG169)*BG168)))-MIN(IF(BG168&lt;=0,0,IF(WEEKDAY(BG$6,1)=1,0,MIN(10,BG169)*BG168)),MAX(0,40*MAX(1,BG168)-(BF170)))))</f>
        <v>0</v>
      </c>
      <c r="BH171" s="63">
        <f>IF(AND(BH168=1,BH169=13),3,IF(BH168&lt;=0,0,IF(WEEKDAY(BH$6,1)=1,0,MAX(0,BH169-10)*BH168))+((IF(BH168&lt;=0,0,IF(WEEKDAY(BH$6,1)=1,0,MIN(10,BH169)*BH168)))-MIN(IF(BH168&lt;=0,0,IF(WEEKDAY(BH$6,1)=1,0,MIN(10,BH169)*BH168)),MAX(0,40*MAX(1,BH168)-(0)))))</f>
        <v>3</v>
      </c>
      <c r="BI171" s="63">
        <f>IF(AND(BI168=1,BI169=13),3,IF(BI168&lt;=0,0,IF(WEEKDAY(BI$6,1)=1,0,MAX(0,BI169-10)*BI168))+((IF(BI168&lt;=0,0,IF(WEEKDAY(BI$6,1)=1,0,MIN(10,BI169)*BI168)))-MIN(IF(BI168&lt;=0,0,IF(WEEKDAY(BI$6,1)=1,0,MIN(10,BI169)*BI168)),MAX(0,40*MAX(1,BI168)-(BH170)))))</f>
        <v>3</v>
      </c>
      <c r="BJ171" s="63">
        <f>IF(AND(BJ168=1,BJ169=13),3,IF(BJ168&lt;=0,0,IF(WEEKDAY(BJ$6,1)=1,0,MAX(0,BJ169-10)*BJ168))+((IF(BJ168&lt;=0,0,IF(WEEKDAY(BJ$6,1)=1,0,MIN(10,BJ169)*BJ168)))-MIN(IF(BJ168&lt;=0,0,IF(WEEKDAY(BJ$6,1)=1,0,MIN(10,BJ169)*BJ168)),MAX(0,40*MAX(1,BJ168)-(BH170+BI170)))))</f>
        <v>3</v>
      </c>
      <c r="BK171" s="63">
        <f>IF(AND(BK168=1,BK169=13),3,IF(BK168&lt;=0,0,IF(WEEKDAY(BK$6,1)=1,0,MAX(0,BK169-10)*BK168))+((IF(BK168&lt;=0,0,IF(WEEKDAY(BK$6,1)=1,0,MIN(10,BK169)*BK168)))-MIN(IF(BK168&lt;=0,0,IF(WEEKDAY(BK$6,1)=1,0,MIN(10,BK169)*BK168)),MAX(0,40*MAX(1,BK168)-(BH170+BI170+BJ170)))))</f>
        <v>3</v>
      </c>
      <c r="BL171" s="63">
        <f>IF(AND(BL168=1,BL169=13),13,IF(BL168&lt;=0,0,IF(WEEKDAY(BL$6,1)=1,0,MAX(0,BL169-10)*BL168))+((IF(BL168&lt;=0,0,IF(WEEKDAY(BL$6,1)=1,0,MIN(10,BL169)*BL168)))-MIN(IF(BL168&lt;=0,0,IF(WEEKDAY(BL$6,1)=1,0,MIN(10,BL169)*BL168)),MAX(0,40*MAX(1,BL168)-(BH170+BI170+BJ170+BK170)))))</f>
        <v>13</v>
      </c>
      <c r="BM171" s="64">
        <f>IF(AND(BM168=1,BM169=13),13,IF(BM168&lt;=0,0,IF(WEEKDAY(BM$6,1)=1,0,MAX(0,BM169-10)*BM168))+((IF(BM168&lt;=0,0,IF(WEEKDAY(BM$6,1)=1,0,MIN(10,BM169)*BM168)))-MIN(IF(BM168&lt;=0,0,IF(WEEKDAY(BM$6,1)=1,0,MIN(10,BM169)*BM168)),MAX(0,40*MAX(1,BM168)-(BH170+BI170+BJ170+BK170+BL170)))))</f>
        <v>13</v>
      </c>
      <c r="BN171" s="64">
        <f>IF(AND(BN168=1,BN169=13),0,IF(BN168&lt;=0,0,IF(WEEKDAY(BN$6,1)=1,0,MAX(0,BN169-10)*BN168))+((IF(BN168&lt;=0,0,IF(WEEKDAY(BN$6,1)=1,0,MIN(10,BN169)*BN168)))-MIN(IF(BN168&lt;=0,0,IF(WEEKDAY(BN$6,1)=1,0,MIN(10,BN169)*BN168)),MAX(0,40*MAX(1,BN168)-(BH170+BI170+BJ170+BK170+BL170+BM170)))))</f>
        <v>0</v>
      </c>
      <c r="BO171" s="63">
        <f>IF(AND(BO168=1,BO169=13),3,IF(BO168&lt;=0,0,IF(WEEKDAY(BO$6,1)=1,0,MAX(0,BO169-10)*BO168))+((IF(BO168&lt;=0,0,IF(WEEKDAY(BO$6,1)=1,0,MIN(10,BO169)*BO168)))-MIN(IF(BO168&lt;=0,0,IF(WEEKDAY(BO$6,1)=1,0,MIN(10,BO169)*BO168)),MAX(0,40*MAX(1,BO168)-(0)))))</f>
        <v>3</v>
      </c>
      <c r="BP171" s="63">
        <f>IF(AND(BP168=1,BP169=13),3,IF(BP168&lt;=0,0,IF(WEEKDAY(BP$6,1)=1,0,MAX(0,BP169-10)*BP168))+((IF(BP168&lt;=0,0,IF(WEEKDAY(BP$6,1)=1,0,MIN(10,BP169)*BP168)))-MIN(IF(BP168&lt;=0,0,IF(WEEKDAY(BP$6,1)=1,0,MIN(10,BP169)*BP168)),MAX(0,40*MAX(1,BP168)-(BO170)))))</f>
        <v>3</v>
      </c>
      <c r="BQ171" s="63">
        <f>IF(AND(BQ168=1,BQ169=13),3,IF(BQ168&lt;=0,0,IF(WEEKDAY(BQ$6,1)=1,0,MAX(0,BQ169-10)*BQ168))+((IF(BQ168&lt;=0,0,IF(WEEKDAY(BQ$6,1)=1,0,MIN(10,BQ169)*BQ168)))-MIN(IF(BQ168&lt;=0,0,IF(WEEKDAY(BQ$6,1)=1,0,MIN(10,BQ169)*BQ168)),MAX(0,40*MAX(1,BQ168)-(BO170+BP170)))))</f>
        <v>3</v>
      </c>
      <c r="BR171" s="63">
        <f>IF(AND(BR168=1,BR169=13),3,IF(BR168&lt;=0,0,IF(WEEKDAY(BR$6,1)=1,0,MAX(0,BR169-10)*BR168))+((IF(BR168&lt;=0,0,IF(WEEKDAY(BR$6,1)=1,0,MIN(10,BR169)*BR168)))-MIN(IF(BR168&lt;=0,0,IF(WEEKDAY(BR$6,1)=1,0,MIN(10,BR169)*BR168)),MAX(0,40*MAX(1,BR168)-(0)))))</f>
        <v>3</v>
      </c>
      <c r="BS171" s="63">
        <f>IF(AND(BS168=1,BS169=13),3,IF(BS168&lt;=0,0,IF(WEEKDAY(BS$6,1)=1,0,MAX(0,BS169-10)*BS168))+((IF(BS168&lt;=0,0,IF(WEEKDAY(BS$6,1)=1,0,MIN(10,BS169)*BS168)))-MIN(IF(BS168&lt;=0,0,IF(WEEKDAY(BS$6,1)=1,0,MIN(10,BS169)*BS168)),MAX(0,40*MAX(1,BS168)-(BR170)))))</f>
        <v>3</v>
      </c>
      <c r="BT171" s="64">
        <f>IF(AND(BT168=1,BT169=13),3,IF(BT168&lt;=0,0,IF(WEEKDAY(BT$6,1)=1,0,MAX(0,BT169-10)*BT168))+((IF(BT168&lt;=0,0,IF(WEEKDAY(BT$6,1)=1,0,MIN(10,BT169)*BT168)))-MIN(IF(BT168&lt;=0,0,IF(WEEKDAY(BT$6,1)=1,0,MIN(10,BT169)*BT168)),MAX(0,40*MAX(1,BT168)-(BR170+BS170)))))</f>
        <v>3</v>
      </c>
      <c r="BU171" s="64">
        <f>IF(AND(BU168=1,BU169=13),0,IF(BU168&lt;=0,0,IF(WEEKDAY(BU$6,1)=1,0,MAX(0,BU169-10)*BU168))+((IF(BU168&lt;=0,0,IF(WEEKDAY(BU$6,1)=1,0,MIN(10,BU169)*BU168)))-MIN(IF(BU168&lt;=0,0,IF(WEEKDAY(BU$6,1)=1,0,MIN(10,BU169)*BU168)),MAX(0,40*MAX(1,BU168)-(BR170+BS170+BT170)))))</f>
        <v>0</v>
      </c>
      <c r="BV171" s="63">
        <f>IF(AND(BV168=1,BV169=13),3,IF(BV168&lt;=0,0,IF(WEEKDAY(BV$6,1)=1,0,MAX(0,BV169-10)*BV168))+((IF(BV168&lt;=0,0,IF(WEEKDAY(BV$6,1)=1,0,MIN(10,BV169)*BV168)))-MIN(IF(BV168&lt;=0,0,IF(WEEKDAY(BV$6,1)=1,0,MIN(10,BV169)*BV168)),MAX(0,40*MAX(1,BV168)-(0)))))</f>
        <v>3</v>
      </c>
      <c r="BW171" s="63">
        <f>IF(AND(BW168=1,BW169=13),3,IF(BW168&lt;=0,0,IF(WEEKDAY(BW$6,1)=1,0,MAX(0,BW169-10)*BW168))+((IF(BW168&lt;=0,0,IF(WEEKDAY(BW$6,1)=1,0,MIN(10,BW169)*BW168)))-MIN(IF(BW168&lt;=0,0,IF(WEEKDAY(BW$6,1)=1,0,MIN(10,BW169)*BW168)),MAX(0,40*MAX(1,BW168)-(BV170)))))</f>
        <v>3</v>
      </c>
      <c r="BX171" s="63">
        <f>IF(AND(BX168=1,BX169=13),3,IF(BX168&lt;=0,0,IF(WEEKDAY(BX$6,1)=1,0,MAX(0,BX169-10)*BX168))+((IF(BX168&lt;=0,0,IF(WEEKDAY(BX$6,1)=1,0,MIN(10,BX169)*BX168)))-MIN(IF(BX168&lt;=0,0,IF(WEEKDAY(BX$6,1)=1,0,MIN(10,BX169)*BX168)),MAX(0,40*MAX(1,BX168)-(BV170+BW170)))))</f>
        <v>3</v>
      </c>
      <c r="BY171" s="63">
        <f>IF(AND(BY168=1,BY169=13),3,IF(BY168&lt;=0,0,IF(WEEKDAY(BY$6,1)=1,0,MAX(0,BY169-10)*BY168))+((IF(BY168&lt;=0,0,IF(WEEKDAY(BY$6,1)=1,0,MIN(10,BY169)*BY168)))-MIN(IF(BY168&lt;=0,0,IF(WEEKDAY(BY$6,1)=1,0,MIN(10,BY169)*BY168)),MAX(0,40*MAX(1,BY168)-(BV170+BW170+BX170)))))</f>
        <v>3</v>
      </c>
      <c r="BZ171" s="63">
        <f>IF(AND(BZ168=1,BZ169=13),13,IF(BZ168&lt;=0,0,IF(WEEKDAY(BZ$6,1)=1,0,MAX(0,BZ169-10)*BZ168))+((IF(BZ168&lt;=0,0,IF(WEEKDAY(BZ$6,1)=1,0,MIN(10,BZ169)*BZ168)))-MIN(IF(BZ168&lt;=0,0,IF(WEEKDAY(BZ$6,1)=1,0,MIN(10,BZ169)*BZ168)),MAX(0,40*MAX(1,BZ168)-(BV170+BW170+BX170+BY170)))))</f>
        <v>13</v>
      </c>
      <c r="CA171" s="64">
        <f>IF(AND(CA168=1,CA169=13),13,IF(CA168&lt;=0,0,IF(WEEKDAY(CA$6,1)=1,0,MAX(0,CA169-10)*CA168))+((IF(CA168&lt;=0,0,IF(WEEKDAY(CA$6,1)=1,0,MIN(10,CA169)*CA168)))-MIN(IF(CA168&lt;=0,0,IF(WEEKDAY(CA$6,1)=1,0,MIN(10,CA169)*CA168)),MAX(0,40*MAX(1,CA168)-(BV170+BW170+BX170+BY170+BZ170)))))</f>
        <v>13</v>
      </c>
      <c r="CB171" s="64">
        <f>IF(AND(CB168=1,CB169=13),0,IF(CB168&lt;=0,0,IF(WEEKDAY(CB$6,1)=1,0,MAX(0,CB169-10)*CB168))+((IF(CB168&lt;=0,0,IF(WEEKDAY(CB$6,1)=1,0,MIN(10,CB169)*CB168)))-MIN(IF(CB168&lt;=0,0,IF(WEEKDAY(CB$6,1)=1,0,MIN(10,CB169)*CB168)),MAX(0,40*MAX(1,CB168)-(BV170+BW170+BX170+BY170+BZ170+CA170)))))</f>
        <v>0</v>
      </c>
      <c r="CC171" s="63">
        <f>IF(AND(CC168=1,CC169=13),3,IF(CC168&lt;=0,0,IF(WEEKDAY(CC$6,1)=1,0,MAX(0,CC169-10)*CC168))+((IF(CC168&lt;=0,0,IF(WEEKDAY(CC$6,1)=1,0,MIN(10,CC169)*CC168)))-MIN(IF(CC168&lt;=0,0,IF(WEEKDAY(CC$6,1)=1,0,MIN(10,CC169)*CC168)),MAX(0,40*MAX(1,CC168)-(0)))))</f>
        <v>3</v>
      </c>
      <c r="CD171" s="63">
        <f>IF(AND(CD168=1,CD169=13),3,IF(CD168&lt;=0,0,IF(WEEKDAY(CD$6,1)=1,0,MAX(0,CD169-10)*CD168))+((IF(CD168&lt;=0,0,IF(WEEKDAY(CD$6,1)=1,0,MIN(10,CD169)*CD168)))-MIN(IF(CD168&lt;=0,0,IF(WEEKDAY(CD$6,1)=1,0,MIN(10,CD169)*CD168)),MAX(0,40*MAX(1,CD168)-(CC170)))))</f>
        <v>3</v>
      </c>
      <c r="CE171" s="63">
        <f>IF(AND(CE168=1,CE169=13),3,IF(CE168&lt;=0,0,IF(WEEKDAY(CE$6,1)=1,0,MAX(0,CE169-10)*CE168))+((IF(CE168&lt;=0,0,IF(WEEKDAY(CE$6,1)=1,0,MIN(10,CE169)*CE168)))-MIN(IF(CE168&lt;=0,0,IF(WEEKDAY(CE$6,1)=1,0,MIN(10,CE169)*CE168)),MAX(0,40*MAX(1,CE168)-(CC170+CD170)))))</f>
        <v>3</v>
      </c>
      <c r="CF171" s="63">
        <f>IF(AND(CF168=1,CF169=13),3,IF(CF168&lt;=0,0,IF(WEEKDAY(CF$6,1)=1,0,MAX(0,CF169-10)*CF168))+((IF(CF168&lt;=0,0,IF(WEEKDAY(CF$6,1)=1,0,MIN(10,CF169)*CF168)))-MIN(IF(CF168&lt;=0,0,IF(WEEKDAY(CF$6,1)=1,0,MIN(10,CF169)*CF168)),MAX(0,40*MAX(1,CF168)-(CC170+CD170+CE170)))))</f>
        <v>3</v>
      </c>
      <c r="CG171" s="63">
        <f>IF(AND(CG168=1,CG169=13),13,IF(CG168&lt;=0,0,IF(WEEKDAY(CG$6,1)=1,0,MAX(0,CG169-10)*CG168))+((IF(CG168&lt;=0,0,IF(WEEKDAY(CG$6,1)=1,0,MIN(10,CG169)*CG168)))-MIN(IF(CG168&lt;=0,0,IF(WEEKDAY(CG$6,1)=1,0,MIN(10,CG169)*CG168)),MAX(0,40*MAX(1,CG168)-(CC170+CD170+CE170+CF170)))))</f>
        <v>13</v>
      </c>
      <c r="CH171" s="64">
        <f>IF(AND(CH168=1,CH169=13),13,IF(CH168&lt;=0,0,IF(WEEKDAY(CH$6,1)=1,0,MAX(0,CH169-10)*CH168))+((IF(CH168&lt;=0,0,IF(WEEKDAY(CH$6,1)=1,0,MIN(10,CH169)*CH168)))-MIN(IF(CH168&lt;=0,0,IF(WEEKDAY(CH$6,1)=1,0,MIN(10,CH169)*CH168)),MAX(0,40*MAX(1,CH168)-(CC170+CD170+CE170+CF170+CG170)))))</f>
        <v>13</v>
      </c>
      <c r="CI171" s="64">
        <f>IF(AND(CI168=1,CI169=13),0,IF(CI168&lt;=0,0,IF(WEEKDAY(CI$6,1)=1,0,MAX(0,CI169-10)*CI168))+((IF(CI168&lt;=0,0,IF(WEEKDAY(CI$6,1)=1,0,MIN(10,CI169)*CI168)))-MIN(IF(CI168&lt;=0,0,IF(WEEKDAY(CI$6,1)=1,0,MIN(10,CI169)*CI168)),MAX(0,40*MAX(1,CI168)-(CC170+CD170+CE170+CF170+CG170+CH170)))))</f>
        <v>0</v>
      </c>
      <c r="CJ171" s="63">
        <f>IF(AND(CJ168=1,CJ169=13),3,IF(CJ168&lt;=0,0,IF(WEEKDAY(CJ$6,1)=1,0,MAX(0,CJ169-10)*CJ168))+((IF(CJ168&lt;=0,0,IF(WEEKDAY(CJ$6,1)=1,0,MIN(10,CJ169)*CJ168)))-MIN(IF(CJ168&lt;=0,0,IF(WEEKDAY(CJ$6,1)=1,0,MIN(10,CJ169)*CJ168)),MAX(0,40*MAX(1,CJ168)-(0)))))</f>
        <v>3</v>
      </c>
      <c r="CK171" s="63">
        <f>IF(AND(CK168=1,CK169=13),3,IF(CK168&lt;=0,0,IF(WEEKDAY(CK$6,1)=1,0,MAX(0,CK169-10)*CK168))+((IF(CK168&lt;=0,0,IF(WEEKDAY(CK$6,1)=1,0,MIN(10,CK169)*CK168)))-MIN(IF(CK168&lt;=0,0,IF(WEEKDAY(CK$6,1)=1,0,MIN(10,CK169)*CK168)),MAX(0,40*MAX(1,CK168)-(CJ170)))))</f>
        <v>3</v>
      </c>
      <c r="CL171" s="63">
        <f>IF(AND(CL168=1,CL169=13),3,IF(CL168&lt;=0,0,IF(WEEKDAY(CL$6,1)=1,0,MAX(0,CL169-10)*CL168))+((IF(CL168&lt;=0,0,IF(WEEKDAY(CL$6,1)=1,0,MIN(10,CL169)*CL168)))-MIN(IF(CL168&lt;=0,0,IF(WEEKDAY(CL$6,1)=1,0,MIN(10,CL169)*CL168)),MAX(0,40*MAX(1,CL168)-(CJ170+CK170)))))</f>
        <v>3</v>
      </c>
      <c r="CM171" s="63">
        <f>IF(AND(CM168=1,CM169=13),3,IF(CM168&lt;=0,0,IF(WEEKDAY(CM$6,1)=1,0,MAX(0,CM169-10)*CM168))+((IF(CM168&lt;=0,0,IF(WEEKDAY(CM$6,1)=1,0,MIN(10,CM169)*CM168)))-MIN(IF(CM168&lt;=0,0,IF(WEEKDAY(CM$6,1)=1,0,MIN(10,CM169)*CM168)),MAX(0,40*MAX(1,CM168)-(CJ170+CK170+CL170)))))</f>
        <v>3</v>
      </c>
      <c r="CN171" s="63">
        <f>IF(AND(CN168=1,CN169=13),13,IF(CN168&lt;=0,0,IF(WEEKDAY(CN$6,1)=1,0,MAX(0,CN169-10)*CN168))+((IF(CN168&lt;=0,0,IF(WEEKDAY(CN$6,1)=1,0,MIN(10,CN169)*CN168)))-MIN(IF(CN168&lt;=0,0,IF(WEEKDAY(CN$6,1)=1,0,MIN(10,CN169)*CN168)),MAX(0,40*MAX(1,CN168)-(CJ170+CK170+CL170+CM170)))))</f>
        <v>13</v>
      </c>
      <c r="CO171" s="64">
        <f>IF(AND(CO168=1,CO169=13),13,IF(CO168&lt;=0,0,IF(WEEKDAY(CO$6,1)=1,0,MAX(0,CO169-10)*CO168))+((IF(CO168&lt;=0,0,IF(WEEKDAY(CO$6,1)=1,0,MIN(10,CO169)*CO168)))-MIN(IF(CO168&lt;=0,0,IF(WEEKDAY(CO$6,1)=1,0,MIN(10,CO169)*CO168)),MAX(0,40*MAX(1,CO168)-(CJ170+CK170+CL170+CM170+CN170)))))</f>
        <v>13</v>
      </c>
      <c r="CP171" s="64">
        <f>IF(AND(CP168=1,CP169=13),0,IF(CP168&lt;=0,0,IF(WEEKDAY(CP$6,1)=1,0,MAX(0,CP169-10)*CP168))+((IF(CP168&lt;=0,0,IF(WEEKDAY(CP$6,1)=1,0,MIN(10,CP169)*CP168)))-MIN(IF(CP168&lt;=0,0,IF(WEEKDAY(CP$6,1)=1,0,MIN(10,CP169)*CP168)),MAX(0,40*MAX(1,CP168)-(CJ170+CK170+CL170+CM170+CN170+CO170)))))</f>
        <v>0</v>
      </c>
      <c r="CQ171" s="63">
        <f>IF(AND(CQ168=1,CQ169=13),3,IF(CQ168&lt;=0,0,IF(WEEKDAY(CQ$6,1)=1,0,MAX(0,CQ169-10)*CQ168))+((IF(CQ168&lt;=0,0,IF(WEEKDAY(CQ$6,1)=1,0,MIN(10,CQ169)*CQ168)))-MIN(IF(CQ168&lt;=0,0,IF(WEEKDAY(CQ$6,1)=1,0,MIN(10,CQ169)*CQ168)),MAX(0,40*MAX(1,CQ168)-(0)))))</f>
        <v>3</v>
      </c>
      <c r="CR171" s="63">
        <f>IF(AND(CR168=1,CR169=13),3,IF(CR168&lt;=0,0,IF(WEEKDAY(CR$6,1)=1,0,MAX(0,CR169-10)*CR168))+((IF(CR168&lt;=0,0,IF(WEEKDAY(CR$6,1)=1,0,MIN(10,CR169)*CR168)))-MIN(IF(CR168&lt;=0,0,IF(WEEKDAY(CR$6,1)=1,0,MIN(10,CR169)*CR168)),MAX(0,40*MAX(1,CR168)-(CQ170)))))</f>
        <v>3</v>
      </c>
      <c r="CS171" s="63">
        <f>IF(AND(CS168=1,CS169=13),3,IF(CS168&lt;=0,0,IF(WEEKDAY(CS$6,1)=1,0,MAX(0,CS169-10)*CS168))+((IF(CS168&lt;=0,0,IF(WEEKDAY(CS$6,1)=1,0,MIN(10,CS169)*CS168)))-MIN(IF(CS168&lt;=0,0,IF(WEEKDAY(CS$6,1)=1,0,MIN(10,CS169)*CS168)),MAX(0,40*MAX(1,CS168)-(CQ170+CR170)))))</f>
        <v>3</v>
      </c>
      <c r="CT171" s="63">
        <f>IF(AND(CT168=1,CT169=13),3,IF(CT168&lt;=0,0,IF(WEEKDAY(CT$6,1)=1,0,MAX(0,CT169-10)*CT168))+((IF(CT168&lt;=0,0,IF(WEEKDAY(CT$6,1)=1,0,MIN(10,CT169)*CT168)))-MIN(IF(CT168&lt;=0,0,IF(WEEKDAY(CT$6,1)=1,0,MIN(10,CT169)*CT168)),MAX(0,40*MAX(1,CT168)-(CQ170+CR170+CS170)))))</f>
        <v>3</v>
      </c>
      <c r="CU171" s="63">
        <f>IF(AND(CU168=1,CU169=13),13,IF(CU168&lt;=0,0,IF(WEEKDAY(CU$6,1)=1,0,MAX(0,CU169-10)*CU168))+((IF(CU168&lt;=0,0,IF(WEEKDAY(CU$6,1)=1,0,MIN(10,CU169)*CU168)))-MIN(IF(CU168&lt;=0,0,IF(WEEKDAY(CU$6,1)=1,0,MIN(10,CU169)*CU168)),MAX(0,40*MAX(1,CU168)-(CQ170+CR170+CS170+CT170)))))</f>
        <v>13</v>
      </c>
      <c r="CV171" s="64">
        <f>IF(AND(CV168=1,CV169=13),13,IF(CV168&lt;=0,0,IF(WEEKDAY(CV$6,1)=1,0,MAX(0,CV169-10)*CV168))+((IF(CV168&lt;=0,0,IF(WEEKDAY(CV$6,1)=1,0,MIN(10,CV169)*CV168)))-MIN(IF(CV168&lt;=0,0,IF(WEEKDAY(CV$6,1)=1,0,MIN(10,CV169)*CV168)),MAX(0,40*MAX(1,CV168)-(CQ170+CR170+CS170+CT170+CU170)))))</f>
        <v>13</v>
      </c>
      <c r="CW171" s="64">
        <f>IF(AND(CW168=1,CW169=13),0,IF(CW168&lt;=0,0,IF(WEEKDAY(CW$6,1)=1,0,MAX(0,CW169-10)*CW168))+((IF(CW168&lt;=0,0,IF(WEEKDAY(CW$6,1)=1,0,MIN(10,CW169)*CW168)))-MIN(IF(CW168&lt;=0,0,IF(WEEKDAY(CW$6,1)=1,0,MIN(10,CW169)*CW168)),MAX(0,40*MAX(1,CW168)-(CQ170+CR170+CS170+CT170+CU170+CV170)))))</f>
        <v>0</v>
      </c>
      <c r="CX171" s="63">
        <f>IF(AND(CX168=1,CX169=13),3,IF(CX168&lt;=0,0,IF(WEEKDAY(CX$6,1)=1,0,MAX(0,CX169-10)*CX168))+((IF(CX168&lt;=0,0,IF(WEEKDAY(CX$6,1)=1,0,MIN(10,CX169)*CX168)))-MIN(IF(CX168&lt;=0,0,IF(WEEKDAY(CX$6,1)=1,0,MIN(10,CX169)*CX168)),MAX(0,40*MAX(1,CX168)-(0)))))</f>
        <v>3</v>
      </c>
      <c r="CY171" s="63">
        <f>IF(AND(CY168=1,CY169=13),3,IF(CY168&lt;=0,0,IF(WEEKDAY(CY$6,1)=1,0,MAX(0,CY169-10)*CY168))+((IF(CY168&lt;=0,0,IF(WEEKDAY(CY$6,1)=1,0,MIN(10,CY169)*CY168)))-MIN(IF(CY168&lt;=0,0,IF(WEEKDAY(CY$6,1)=1,0,MIN(10,CY169)*CY168)),MAX(0,40*MAX(1,CY168)-(CX170)))))</f>
        <v>3</v>
      </c>
      <c r="CZ171" s="63">
        <f>IF(AND(CZ168=1,CZ169=13),3,IF(CZ168&lt;=0,0,IF(WEEKDAY(CZ$6,1)=1,0,MAX(0,CZ169-10)*CZ168))+((IF(CZ168&lt;=0,0,IF(WEEKDAY(CZ$6,1)=1,0,MIN(10,CZ169)*CZ168)))-MIN(IF(CZ168&lt;=0,0,IF(WEEKDAY(CZ$6,1)=1,0,MIN(10,CZ169)*CZ168)),MAX(0,40*MAX(1,CZ168)-(CX170+CY170)))))</f>
        <v>3</v>
      </c>
      <c r="DA171" s="63">
        <f>IF(AND(DA168=1,DA169=13),3,IF(DA168&lt;=0,0,IF(WEEKDAY(DA$6,1)=1,0,MAX(0,DA169-10)*DA168))+((IF(DA168&lt;=0,0,IF(WEEKDAY(DA$6,1)=1,0,MIN(10,DA169)*DA168)))-MIN(IF(DA168&lt;=0,0,IF(WEEKDAY(DA$6,1)=1,0,MIN(10,DA169)*DA168)),MAX(0,40*MAX(1,DA168)-(CX170+CY170+CZ170)))))</f>
        <v>3</v>
      </c>
      <c r="DB171" s="63">
        <f>IF(AND(DB168=1,DB169=13),13,IF(DB168&lt;=0,0,IF(WEEKDAY(DB$6,1)=1,0,MAX(0,DB169-10)*DB168))+((IF(DB168&lt;=0,0,IF(WEEKDAY(DB$6,1)=1,0,MIN(10,DB169)*DB168)))-MIN(IF(DB168&lt;=0,0,IF(WEEKDAY(DB$6,1)=1,0,MIN(10,DB169)*DB168)),MAX(0,40*MAX(1,DB168)-(CX170+CY170+CZ170+DA170)))))</f>
        <v>13</v>
      </c>
      <c r="DC171" s="64">
        <f>IF(AND(DC168=1,DC169=13),13,IF(DC168&lt;=0,0,IF(WEEKDAY(DC$6,1)=1,0,MAX(0,DC169-10)*DC168))+((IF(DC168&lt;=0,0,IF(WEEKDAY(DC$6,1)=1,0,MIN(10,DC169)*DC168)))-MIN(IF(DC168&lt;=0,0,IF(WEEKDAY(DC$6,1)=1,0,MIN(10,DC169)*DC168)),MAX(0,40*MAX(1,DC168)-(CX170+CY170+CZ170+DA170+DB170)))))</f>
        <v>13</v>
      </c>
      <c r="DD171" s="64">
        <f>IF(AND(DD168=1,DD169=13),0,IF(DD168&lt;=0,0,IF(WEEKDAY(DD$6,1)=1,0,MAX(0,DD169-10)*DD168))+((IF(DD168&lt;=0,0,IF(WEEKDAY(DD$6,1)=1,0,MIN(10,DD169)*DD168)))-MIN(IF(DD168&lt;=0,0,IF(WEEKDAY(DD$6,1)=1,0,MIN(10,DD169)*DD168)),MAX(0,40*MAX(1,DD168)-(0)))))</f>
        <v>0</v>
      </c>
      <c r="DE171" s="63">
        <f>IF(AND(DE168=1,DE169=13),3,IF(DE168&lt;=0,0,IF(WEEKDAY(DE$6,1)=1,0,MAX(0,DE169-10)*DE168))+((IF(DE168&lt;=0,0,IF(WEEKDAY(DE$6,1)=1,0,MIN(10,DE169)*DE168)))-MIN(IF(DE168&lt;=0,0,IF(WEEKDAY(DE$6,1)=1,0,MIN(10,DE169)*DE168)),MAX(0,40*MAX(1,DE168)-(0)))))</f>
        <v>3</v>
      </c>
      <c r="DF171" s="63">
        <f>IF(AND(DF168=1,DF169=13),3,IF(DF168&lt;=0,0,IF(WEEKDAY(DF$6,1)=1,0,MAX(0,DF169-10)*DF168))+((IF(DF168&lt;=0,0,IF(WEEKDAY(DF$6,1)=1,0,MIN(10,DF169)*DF168)))-MIN(IF(DF168&lt;=0,0,IF(WEEKDAY(DF$6,1)=1,0,MIN(10,DF169)*DF168)),MAX(0,40*MAX(1,DF168)-(DE170)))))</f>
        <v>3</v>
      </c>
      <c r="DG171" s="63">
        <f>IF(AND(DG168=1,DG169=13),3,IF(DG168&lt;=0,0,IF(WEEKDAY(DG$6,1)=1,0,MAX(0,DG169-10)*DG168))+((IF(DG168&lt;=0,0,IF(WEEKDAY(DG$6,1)=1,0,MIN(10,DG169)*DG168)))-MIN(IF(DG168&lt;=0,0,IF(WEEKDAY(DG$6,1)=1,0,MIN(10,DG169)*DG168)),MAX(0,40*MAX(1,DG168)-(DE170+DF170)))))</f>
        <v>3</v>
      </c>
      <c r="DH171" s="63">
        <f>IF(AND(DH168=1,DH169=13),3,IF(DH168&lt;=0,0,IF(WEEKDAY(DH$6,1)=1,0,MAX(0,DH169-10)*DH168))+((IF(DH168&lt;=0,0,IF(WEEKDAY(DH$6,1)=1,0,MIN(10,DH169)*DH168)))-MIN(IF(DH168&lt;=0,0,IF(WEEKDAY(DH$6,1)=1,0,MIN(10,DH169)*DH168)),MAX(0,40*MAX(1,DH168)-(DE170+DF170+DG170)))))</f>
        <v>3</v>
      </c>
      <c r="DI171" s="63">
        <f>IF(AND(DI168=1,DI169=13),13,IF(DI168&lt;=0,0,IF(WEEKDAY(DI$6,1)=1,0,MAX(0,DI169-10)*DI168))+((IF(DI168&lt;=0,0,IF(WEEKDAY(DI$6,1)=1,0,MIN(10,DI169)*DI168)))-MIN(IF(DI168&lt;=0,0,IF(WEEKDAY(DI$6,1)=1,0,MIN(10,DI169)*DI168)),MAX(0,40*MAX(1,DI168)-(DE170+DF170+DG170+DH170)))))</f>
        <v>13</v>
      </c>
      <c r="DJ171" s="64">
        <f>IF(AND(DJ168=1,DJ169=13),13,IF(DJ168&lt;=0,0,IF(WEEKDAY(DJ$6,1)=1,0,MAX(0,DJ169-10)*DJ168))+((IF(DJ168&lt;=0,0,IF(WEEKDAY(DJ$6,1)=1,0,MIN(10,DJ169)*DJ168)))-MIN(IF(DJ168&lt;=0,0,IF(WEEKDAY(DJ$6,1)=1,0,MIN(10,DJ169)*DJ168)),MAX(0,40*MAX(1,DJ168)-(DE170+DF170+DG170+DH170+DI170)))))</f>
        <v>13</v>
      </c>
      <c r="DK171" s="64">
        <f>IF(AND(DK168=1,DK169=13),0,IF(DK168&lt;=0,0,IF(WEEKDAY(DK$6,1)=1,0,MAX(0,DK169-10)*DK168))+((IF(DK168&lt;=0,0,IF(WEEKDAY(DK$6,1)=1,0,MIN(10,DK169)*DK168)))-MIN(IF(DK168&lt;=0,0,IF(WEEKDAY(DK$6,1)=1,0,MIN(10,DK169)*DK168)),MAX(0,40*MAX(1,DK168)-(DE170+DF170+DG170+DH170+DI170+DJ170)))))</f>
        <v>0</v>
      </c>
      <c r="DL171" s="63">
        <f>IF(AND(DL168=1,DL169=13),3,IF(DL168&lt;=0,0,IF(WEEKDAY(DL$6,1)=1,0,MAX(0,DL169-10)*DL168))+((IF(DL168&lt;=0,0,IF(WEEKDAY(DL$6,1)=1,0,MIN(10,DL169)*DL168)))-MIN(IF(DL168&lt;=0,0,IF(WEEKDAY(DL$6,1)=1,0,MIN(10,DL169)*DL168)),MAX(0,40*MAX(1,DL168)-(0)))))</f>
        <v>3</v>
      </c>
      <c r="DM171" s="63">
        <f>IF(AND(DM168=1,DM169=13),3,IF(DM168&lt;=0,0,IF(WEEKDAY(DM$6,1)=1,0,MAX(0,DM169-10)*DM168))+((IF(DM168&lt;=0,0,IF(WEEKDAY(DM$6,1)=1,0,MIN(10,DM169)*DM168)))-MIN(IF(DM168&lt;=0,0,IF(WEEKDAY(DM$6,1)=1,0,MIN(10,DM169)*DM168)),MAX(0,40*MAX(1,DM168)-(DL170)))))</f>
        <v>3</v>
      </c>
      <c r="DN171" s="63">
        <f>IF(AND(DN168=1,DN169=13),3,IF(DN168&lt;=0,0,IF(WEEKDAY(DN$6,1)=1,0,MAX(0,DN169-10)*DN168))+((IF(DN168&lt;=0,0,IF(WEEKDAY(DN$6,1)=1,0,MIN(10,DN169)*DN168)))-MIN(IF(DN168&lt;=0,0,IF(WEEKDAY(DN$6,1)=1,0,MIN(10,DN169)*DN168)),MAX(0,40*MAX(1,DN168)-(DL170+DM170)))))</f>
        <v>3</v>
      </c>
      <c r="DO171" s="63">
        <f>IF(AND(DO168=1,DO169=13),3,IF(DO168&lt;=0,0,IF(WEEKDAY(DO$6,1)=1,0,MAX(0,DO169-10)*DO168))+((IF(DO168&lt;=0,0,IF(WEEKDAY(DO$6,1)=1,0,MIN(10,DO169)*DO168)))-MIN(IF(DO168&lt;=0,0,IF(WEEKDAY(DO$6,1)=1,0,MIN(10,DO169)*DO168)),MAX(0,40*MAX(1,DO168)-(DL170+DM170+DN170)))))</f>
        <v>3</v>
      </c>
      <c r="DP171" s="63">
        <f>IF(AND(DP168=1,DP169=13),13,IF(DP168&lt;=0,0,IF(WEEKDAY(DP$6,1)=1,0,MAX(0,DP169-10)*DP168))+((IF(DP168&lt;=0,0,IF(WEEKDAY(DP$6,1)=1,0,MIN(10,DP169)*DP168)))-MIN(IF(DP168&lt;=0,0,IF(WEEKDAY(DP$6,1)=1,0,MIN(10,DP169)*DP168)),MAX(0,40*MAX(1,DP168)-(DL170+DM170+DN170+DO170)))))</f>
        <v>13</v>
      </c>
      <c r="DQ171" s="64">
        <f>IF(AND(DQ168=1,DQ169=13),13,IF(DQ168&lt;=0,0,IF(WEEKDAY(DQ$6,1)=1,0,MAX(0,DQ169-10)*DQ168))+((IF(DQ168&lt;=0,0,IF(WEEKDAY(DQ$6,1)=1,0,MIN(10,DQ169)*DQ168)))-MIN(IF(DQ168&lt;=0,0,IF(WEEKDAY(DQ$6,1)=1,0,MIN(10,DQ169)*DQ168)),MAX(0,40*MAX(1,DQ168)-(DL170+DM170+DN170+DO170+DP170)))))</f>
        <v>13</v>
      </c>
      <c r="DR171" s="64">
        <f>IF(AND(DR168=1,DR169=13),0,IF(DR168&lt;=0,0,IF(WEEKDAY(DR$6,1)=1,0,MAX(0,DR169-10)*DR168))+((IF(DR168&lt;=0,0,IF(WEEKDAY(DR$6,1)=1,0,MIN(10,DR169)*DR168)))-MIN(IF(DR168&lt;=0,0,IF(WEEKDAY(DR$6,1)=1,0,MIN(10,DR169)*DR168)),MAX(0,40*MAX(1,DR168)-(DL170+DM170+DN170+DO170+DP170+DQ170)))))</f>
        <v>0</v>
      </c>
      <c r="DS171" s="63">
        <f>IF(AND(DS168=1,DS169=13),3,IF(DS168&lt;=0,0,IF(WEEKDAY(DS$6,1)=1,0,MAX(0,DS169-10)*DS168))+((IF(DS168&lt;=0,0,IF(WEEKDAY(DS$6,1)=1,0,MIN(10,DS169)*DS168)))-MIN(IF(DS168&lt;=0,0,IF(WEEKDAY(DS$6,1)=1,0,MIN(10,DS169)*DS168)),MAX(0,40*MAX(1,DS168)-(0)))))</f>
        <v>3</v>
      </c>
      <c r="DT171" s="63">
        <f>IF(AND(DT168=0,DT169=0),0,IF(DT168&lt;=0,0,IF(WEEKDAY(DT$6,1)=1,0,MAX(0,DT169-8)*DT168))+((IF(DT168&lt;=0,0,IF(WEEKDAY(DT$6,1)=1,0,MIN(8,DT169)*DT168)))-MIN(IF(DT168&lt;=0,0,IF(WEEKDAY(DT$6,1)=1,0,MIN(8,DT169)*DT168)),MAX(0,40*MAX(1,DT168)-(0)))))</f>
        <v>0</v>
      </c>
      <c r="DU171" s="63">
        <f>IF(AND(DU168=0,DU169=0),0,IF(DU168&lt;=0,0,IF(WEEKDAY(DU$6,1)=1,0,MAX(0,DU169-8)*DU168))+((IF(DU168&lt;=0,0,IF(WEEKDAY(DU$6,1)=1,0,MIN(8,DU169)*DU168)))-MIN(IF(DU168&lt;=0,0,IF(WEEKDAY(DU$6,1)=1,0,MIN(8,DU169)*DU168)),MAX(0,40*MAX(1,DU168)-(DT170)))))</f>
        <v>0</v>
      </c>
      <c r="DV171" s="63">
        <f>IF(AND(DV168=0,DV169=0),0,IF(DV168&lt;=0,0,IF(WEEKDAY(DV$6,1)=1,0,MAX(0,DV169-8)*DV168))+((IF(DV168&lt;=0,0,IF(WEEKDAY(DV$6,1)=1,0,MIN(8,DV169)*DV168)))-MIN(IF(DV168&lt;=0,0,IF(WEEKDAY(DV$6,1)=1,0,MIN(8,DV169)*DV168)),MAX(0,40*MAX(1,DV168)-(DT170+DU170)))))</f>
        <v>0</v>
      </c>
      <c r="DW171" s="63">
        <f>IF(AND(DW168=0,DW169=0),0,IF(DW168&lt;=0,0,IF(WEEKDAY(DW$6,1)=1,0,MAX(0,DW169-8)*DW168))+((IF(DW168&lt;=0,0,IF(WEEKDAY(DW$6,1)=1,0,MIN(8,DW169)*DW168)))-MIN(IF(DW168&lt;=0,0,IF(WEEKDAY(DW$6,1)=1,0,MIN(8,DW169)*DW168)),MAX(0,40*MAX(1,DW168)-(DT170+DU170+DV170)))))</f>
        <v>0</v>
      </c>
      <c r="DX171" s="64">
        <f>IF(AND(DX168=0,DX169=0),0,IF(DX168&lt;=0,0,IF(WEEKDAY(DX$6,1)=1,0,MAX(0,DX169-10)*DX168))+((IF(DX168&lt;=0,0,IF(WEEKDAY(DX$6,1)=1,0,MIN(10,DX169)*DX168)))-MIN(IF(DX168&lt;=0,0,IF(WEEKDAY(DX$6,1)=1,0,MIN(10,DX169)*DX168)),MAX(0,40*MAX(1,DX168)-(0)))))</f>
        <v>0</v>
      </c>
      <c r="DY171" s="64">
        <f>IF(AND(DY168=0,DY169=0),0,IF(DY168&lt;=0,0,IF(WEEKDAY(DY$6,1)=1,0,MAX(0,DY169-10)*DY168))+((IF(DY168&lt;=0,0,IF(WEEKDAY(DY$6,1)=1,0,MIN(10,DY169)*DY168)))-MIN(IF(DY168&lt;=0,0,IF(WEEKDAY(DY$6,1)=1,0,MIN(10,DY169)*DY168)),MAX(0,40*MAX(1,DY168)-(DX170)))))</f>
        <v>0</v>
      </c>
      <c r="DZ171" s="63">
        <f>IF(AND(DZ168=0,DZ169=0),0,IF(DZ168&lt;=0,0,IF(WEEKDAY(DZ$6,1)=1,0,MAX(0,DZ169-8)*DZ168))+((IF(DZ168&lt;=0,0,IF(WEEKDAY(DZ$6,1)=1,0,MIN(8,DZ169)*DZ168)))-MIN(IF(DZ168&lt;=0,0,IF(WEEKDAY(DZ$6,1)=1,0,MIN(8,DZ169)*DZ168)),MAX(0,40*MAX(1,DZ168)-(0)))))</f>
        <v>0</v>
      </c>
      <c r="EA171" s="63">
        <f>IF(AND(EA168=0,EA169=0),0,IF(EA168&lt;=0,0,IF(WEEKDAY(EA$6,1)=1,0,MAX(0,EA169-8)*EA168))+((IF(EA168&lt;=0,0,IF(WEEKDAY(EA$6,1)=1,0,MIN(8,EA169)*EA168)))-MIN(IF(EA168&lt;=0,0,IF(WEEKDAY(EA$6,1)=1,0,MIN(8,EA169)*EA168)),MAX(0,40*MAX(1,EA168)-(DZ170)))))</f>
        <v>0</v>
      </c>
      <c r="EB171" s="63">
        <f>IF(AND(EB168=0,EB169=0),0,IF(EB168&lt;=0,0,IF(WEEKDAY(EB$6,1)=1,0,MAX(0,EB169-8)*EB168))+((IF(EB168&lt;=0,0,IF(WEEKDAY(EB$6,1)=1,0,MIN(8,EB169)*EB168)))-MIN(IF(EB168&lt;=0,0,IF(WEEKDAY(EB$6,1)=1,0,MIN(8,EB169)*EB168)),MAX(0,40*MAX(1,EB168)-(DZ170+EA170)))))</f>
        <v>0</v>
      </c>
      <c r="EC171" s="63">
        <f>IF(AND(EC168=0,EC169=0),0,IF(EC168&lt;=0,0,IF(WEEKDAY(EC$6,1)=1,0,MAX(0,EC169-8)*EC168))+((IF(EC168&lt;=0,0,IF(WEEKDAY(EC$6,1)=1,0,MIN(8,EC169)*EC168)))-MIN(IF(EC168&lt;=0,0,IF(WEEKDAY(EC$6,1)=1,0,MIN(8,EC169)*EC168)),MAX(0,40*MAX(1,EC168)-(DZ170+EA170+EB170)))))</f>
        <v>0</v>
      </c>
      <c r="ED171" s="63">
        <f>IF(AND(ED168=0,ED169=0),0,IF(ED168&lt;=0,0,IF(WEEKDAY(ED$6,1)=1,0,MAX(0,ED169-8)*ED168))+((IF(ED168&lt;=0,0,IF(WEEKDAY(ED$6,1)=1,0,MIN(8,ED169)*ED168)))-MIN(IF(ED168&lt;=0,0,IF(WEEKDAY(ED$6,1)=1,0,MIN(8,ED169)*ED168)),MAX(0,40*MAX(1,ED168)-(DZ170+EA170+EB170+EC170)))))</f>
        <v>0</v>
      </c>
      <c r="EE171" s="64">
        <f>IF(AND(EE168=0,EE169=0),0,IF(EE168&lt;=0,0,IF(WEEKDAY(EE$6,1)=1,0,MAX(0,EE169-10)*EE168))+((IF(EE168&lt;=0,0,IF(WEEKDAY(EE$6,1)=1,0,MIN(10,EE169)*EE168)))-MIN(IF(EE168&lt;=0,0,IF(WEEKDAY(EE$6,1)=1,0,MIN(10,EE169)*EE168)),MAX(0,40*MAX(1,EE168)-(0)))))</f>
        <v>0</v>
      </c>
      <c r="EF171" s="64">
        <f>IF(AND(EF168=0,EF169=0),0,IF(EF168&lt;=0,0,IF(WEEKDAY(EF$6,1)=1,0,MAX(0,EF169-10)*EF168))+((IF(EF168&lt;=0,0,IF(WEEKDAY(EF$6,1)=1,0,MIN(10,EF169)*EF168)))-MIN(IF(EF168&lt;=0,0,IF(WEEKDAY(EF$6,1)=1,0,MIN(10,EF169)*EF168)),MAX(0,40*MAX(1,EF168)-(EE170)))))</f>
        <v>0</v>
      </c>
      <c r="EG171" s="63">
        <f>IF(AND(EG168=0,EG169=0),0,IF(EG168&lt;=0,0,IF(WEEKDAY(EG$6,1)=1,0,MAX(0,EG169-8)*EG168))+((IF(EG168&lt;=0,0,IF(WEEKDAY(EG$6,1)=1,0,MIN(8,EG169)*EG168)))-MIN(IF(EG168&lt;=0,0,IF(WEEKDAY(EG$6,1)=1,0,MIN(8,EG169)*EG168)),MAX(0,40*MAX(1,EG168)-(0)))))</f>
        <v>0</v>
      </c>
      <c r="EH171" s="63">
        <f>IF(AND(EH168=0,EH169=0),0,IF(EH168&lt;=0,0,IF(WEEKDAY(EH$6,1)=1,0,MAX(0,EH169-8)*EH168))+((IF(EH168&lt;=0,0,IF(WEEKDAY(EH$6,1)=1,0,MIN(8,EH169)*EH168)))-MIN(IF(EH168&lt;=0,0,IF(WEEKDAY(EH$6,1)=1,0,MIN(8,EH169)*EH168)),MAX(0,40*MAX(1,EH168)-(EG170)))))</f>
        <v>0</v>
      </c>
      <c r="EI171" s="63">
        <f>IF(AND(EI168=0,EI169=0),0,IF(EI168&lt;=0,0,IF(WEEKDAY(EI$6,1)=1,0,MAX(0,EI169-8)*EI168))+((IF(EI168&lt;=0,0,IF(WEEKDAY(EI$6,1)=1,0,MIN(8,EI169)*EI168)))-MIN(IF(EI168&lt;=0,0,IF(WEEKDAY(EI$6,1)=1,0,MIN(8,EI169)*EI168)),MAX(0,40*MAX(1,EI168)-(EG170+EH170)))))</f>
        <v>0</v>
      </c>
      <c r="EJ171" s="63">
        <f>IF(AND(EJ168=0,EJ169=0),0,IF(EJ168&lt;=0,0,IF(WEEKDAY(EJ$6,1)=1,0,MAX(0,EJ169-8)*EJ168))+((IF(EJ168&lt;=0,0,IF(WEEKDAY(EJ$6,1)=1,0,MIN(8,EJ169)*EJ168)))-MIN(IF(EJ168&lt;=0,0,IF(WEEKDAY(EJ$6,1)=1,0,MIN(8,EJ169)*EJ168)),MAX(0,40*MAX(1,EJ168)-(EG170+EH170+EI170)))))</f>
        <v>0</v>
      </c>
      <c r="EK171" s="65">
        <f>IF(AND(EK168=0,EK169=0),0,IF(EK168&lt;=0,0,IF(WEEKDAY(EK$6,1)=1,0,MAX(0,EK169-8)*EK168))+((IF(EK168&lt;=0,0,IF(WEEKDAY(EK$6,1)=1,0,MIN(8,EK169)*EK168)))-MIN(IF(EK168&lt;=0,0,IF(WEEKDAY(EK$6,1)=1,0,MIN(8,EK169)*EK168)),MAX(0,40*MAX(1,EK168)-(EG170+EH170+EI170+EJ170)))))</f>
        <v>0</v>
      </c>
      <c r="OU171" s="28" t="s">
        <v>99</v>
      </c>
    </row>
    <row r="172" ht="16" customHeight="1" spans="1:411" x14ac:dyDescent="0.25">
      <c r="A172" s="45"/>
      <c r="B172" s="46"/>
      <c r="C172" s="61">
        <f>H167*N(D172)</f>
        <v>27772.29</v>
      </c>
      <c r="D172" s="61">
        <f>IF(TRIM(B167)="","No rate",IFERROR(INDEX('Rate Tables'!E$7:E$158,MATCH(B167,'Rate Tables'!A$7:A$158,0)),"No rate"))</f>
        <v>237.37</v>
      </c>
      <c r="E172" s="55" t="s">
        <v>64</v>
      </c>
      <c r="F172" s="49"/>
      <c r="G172" s="49"/>
      <c r="H172" s="49"/>
      <c r="I172" s="49"/>
      <c r="J172" s="50"/>
      <c r="K172" s="62">
        <f>IF(AND(K168=1,K169=8),0,IF(K168&lt;=0,0,IF(WEEKDAY(K$6,1)=1,K168*K169,0)))</f>
        <v>0</v>
      </c>
      <c r="L172" s="63">
        <f>IF(AND(L168=1,L169=8),0,IF(L168&lt;=0,0,IF(WEEKDAY(L$6,1)=1,L168*L169,0)))</f>
        <v>0</v>
      </c>
      <c r="M172" s="63">
        <f>IF(AND(M168=1,M169=8),0,IF(M168&lt;=0,0,IF(WEEKDAY(M$6,1)=1,M168*M169,0)))</f>
        <v>0</v>
      </c>
      <c r="N172" s="63">
        <f>IF(AND(N168=1,N169=8),0,IF(N168&lt;=0,0,IF(WEEKDAY(N$6,1)=1,N168*N169,0)))</f>
        <v>0</v>
      </c>
      <c r="O172" s="63">
        <f>IF(AND(O168=1,O169=8),0,IF(O168&lt;=0,0,IF(WEEKDAY(O$6,1)=1,O168*O169,0)))</f>
        <v>0</v>
      </c>
      <c r="P172" s="64">
        <f>IF(AND(P168=0,P169=0),0,IF(P168&lt;=0,0,IF(WEEKDAY(P$6,1)=1,P168*P169,0)))</f>
        <v>0</v>
      </c>
      <c r="Q172" s="64">
        <f>IF(AND(Q168=0,Q169=0),0,IF(Q168&lt;=0,0,IF(WEEKDAY(Q$6,1)=1,Q168*Q169,0)))</f>
        <v>0</v>
      </c>
      <c r="R172" s="63">
        <f>IF(AND(R168=1,R169=8),0,IF(R168&lt;=0,0,IF(WEEKDAY(R$6,1)=1,R168*R169,0)))</f>
        <v>0</v>
      </c>
      <c r="S172" s="63">
        <f>IF(AND(S168=1,S169=8),0,IF(S168&lt;=0,0,IF(WEEKDAY(S$6,1)=1,S168*S169,0)))</f>
        <v>0</v>
      </c>
      <c r="T172" s="63">
        <f>IF(AND(T168=1,T169=8),0,IF(T168&lt;=0,0,IF(WEEKDAY(T$6,1)=1,T168*T169,0)))</f>
        <v>0</v>
      </c>
      <c r="U172" s="63">
        <f>IF(AND(U168=1,U169=8),0,IF(U168&lt;=0,0,IF(WEEKDAY(U$6,1)=1,U168*U169,0)))</f>
        <v>0</v>
      </c>
      <c r="V172" s="63">
        <f>IF(AND(V168=1,V169=8),0,IF(V168&lt;=0,0,IF(WEEKDAY(V$6,1)=1,V168*V169,0)))</f>
        <v>0</v>
      </c>
      <c r="W172" s="64">
        <f>IF(AND(W168=0,W169=0),0,IF(W168&lt;=0,0,IF(WEEKDAY(W$6,1)=1,W168*W169,0)))</f>
        <v>0</v>
      </c>
      <c r="X172" s="64">
        <f>IF(AND(X168=0,X169=0),0,IF(X168&lt;=0,0,IF(WEEKDAY(X$6,1)=1,X168*X169,0)))</f>
        <v>0</v>
      </c>
      <c r="Y172" s="63">
        <f>IF(AND(Y168=1,Y169=8),0,IF(Y168&lt;=0,0,IF(WEEKDAY(Y$6,1)=1,Y168*Y169,0)))</f>
        <v>0</v>
      </c>
      <c r="Z172" s="63">
        <f>IF(AND(Z168=1,Z169=8),0,IF(Z168&lt;=0,0,IF(WEEKDAY(Z$6,1)=1,Z168*Z169,0)))</f>
        <v>0</v>
      </c>
      <c r="AA172" s="63">
        <f>IF(AND(AA168=1,AA169=8),0,IF(AA168&lt;=0,0,IF(WEEKDAY(AA$6,1)=1,AA168*AA169,0)))</f>
        <v>0</v>
      </c>
      <c r="AB172" s="63">
        <f>IF(AND(AB168=1,AB169=8),0,IF(AB168&lt;=0,0,IF(WEEKDAY(AB$6,1)=1,AB168*AB169,0)))</f>
        <v>0</v>
      </c>
      <c r="AC172" s="63">
        <f>IF(AND(AC168=1,AC169=8),0,IF(AC168&lt;=0,0,IF(WEEKDAY(AC$6,1)=1,AC168*AC169,0)))</f>
        <v>0</v>
      </c>
      <c r="AD172" s="64">
        <f>IF(AND(AD168=0,AD169=0),0,IF(AD168&lt;=0,0,IF(WEEKDAY(AD$6,1)=1,AD168*AD169,0)))</f>
        <v>0</v>
      </c>
      <c r="AE172" s="64">
        <f>IF(AND(AE168=0,AE169=0),0,IF(AE168&lt;=0,0,IF(WEEKDAY(AE$6,1)=1,AE168*AE169,0)))</f>
        <v>0</v>
      </c>
      <c r="AF172" s="63">
        <f>IF(AND(AF168=1,AF169=8),0,IF(AF168&lt;=0,0,IF(WEEKDAY(AF$6,1)=1,AF168*AF169,0)))</f>
        <v>0</v>
      </c>
      <c r="AG172" s="63">
        <f>IF(AND(AG168=1,AG169=8),0,IF(AG168&lt;=0,0,IF(WEEKDAY(AG$6,1)=1,AG168*AG169,0)))</f>
        <v>0</v>
      </c>
      <c r="AH172" s="63">
        <f>IF(AND(AH168=1,AH169=8),0,IF(AH168&lt;=0,0,IF(WEEKDAY(AH$6,1)=1,AH168*AH169,0)))</f>
        <v>0</v>
      </c>
      <c r="AI172" s="63">
        <f>IF(AND(AI168=1,AI169=8),0,IF(AI168&lt;=0,0,IF(WEEKDAY(AI$6,1)=1,AI168*AI169,0)))</f>
        <v>0</v>
      </c>
      <c r="AJ172" s="63">
        <f>IF(AND(AJ168=1,AJ169=8),0,IF(AJ168&lt;=0,0,IF(WEEKDAY(AJ$6,1)=1,AJ168*AJ169,0)))</f>
        <v>0</v>
      </c>
      <c r="AK172" s="64">
        <f>IF(AND(AK168=0,AK169=0),0,IF(AK168&lt;=0,0,IF(WEEKDAY(AK$6,1)=1,AK168*AK169,0)))</f>
        <v>0</v>
      </c>
      <c r="AL172" s="64">
        <f>IF(AND(AL168=0,AL169=0),0,IF(AL168&lt;=0,0,IF(WEEKDAY(AL$6,1)=1,AL168*AL169,0)))</f>
        <v>0</v>
      </c>
      <c r="AM172" s="63">
        <f>IF(AND(AM168=1,AM169=8),0,IF(AM168&lt;=0,0,IF(WEEKDAY(AM$6,1)=1,AM168*AM169,0)))</f>
        <v>0</v>
      </c>
      <c r="AN172" s="63">
        <f>IF(AND(AN168=1,AN169=8),0,IF(AN168&lt;=0,0,IF(WEEKDAY(AN$6,1)=1,AN168*AN169,0)))</f>
        <v>0</v>
      </c>
      <c r="AO172" s="63">
        <f>IF(AND(AO168=1,AO169=8),0,IF(AO168&lt;=0,0,IF(WEEKDAY(AO$6,1)=1,AO168*AO169,0)))</f>
        <v>0</v>
      </c>
      <c r="AP172" s="63">
        <f>IF(AND(AP168=1,AP169=8),0,IF(AP168&lt;=0,0,IF(WEEKDAY(AP$6,1)=1,AP168*AP169,0)))</f>
        <v>0</v>
      </c>
      <c r="AQ172" s="63">
        <f>IF(AND(AQ168=1,AQ169=8),0,IF(AQ168&lt;=0,0,IF(WEEKDAY(AQ$6,1)=1,AQ168*AQ169,0)))</f>
        <v>0</v>
      </c>
      <c r="AR172" s="64">
        <f>IF(AND(AR168=0,AR169=0),0,IF(AR168&lt;=0,0,IF(WEEKDAY(AR$6,1)=1,AR168*AR169,0)))</f>
        <v>0</v>
      </c>
      <c r="AS172" s="64">
        <f>IF(AND(AS168=0,AS169=0),0,IF(AS168&lt;=0,0,IF(WEEKDAY(AS$6,1)=1,AS168*AS169,0)))</f>
        <v>0</v>
      </c>
      <c r="AT172" s="63">
        <f>IF(AND(AT168=1,AT169=8),0,IF(AT168&lt;=0,0,IF(WEEKDAY(AT$6,1)=1,AT168*AT169,0)))</f>
        <v>0</v>
      </c>
      <c r="AU172" s="63">
        <f>IF(AND(AU168=1,AU169=8),0,IF(AU168&lt;=0,0,IF(WEEKDAY(AU$6,1)=1,AU168*AU169,0)))</f>
        <v>0</v>
      </c>
      <c r="AV172" s="63">
        <f>IF(AND(AV168=1,AV169=8),0,IF(AV168&lt;=0,0,IF(WEEKDAY(AV$6,1)=1,AV168*AV169,0)))</f>
        <v>0</v>
      </c>
      <c r="AW172" s="63">
        <f>IF(AND(AW168=1,AW169=8),0,IF(AW168&lt;=0,0,IF(WEEKDAY(AW$6,1)=1,AW168*AW169,0)))</f>
        <v>0</v>
      </c>
      <c r="AX172" s="63">
        <f>IF(AND(AX168=1,AX169=8),0,IF(AX168&lt;=0,0,IF(WEEKDAY(AX$6,1)=1,AX168*AX169,0)))</f>
        <v>0</v>
      </c>
      <c r="AY172" s="64">
        <f>IF(AND(AY168=0,AY169=0),0,IF(AY168&lt;=0,0,IF(WEEKDAY(AY$6,1)=1,AY168*AY169,0)))</f>
        <v>0</v>
      </c>
      <c r="AZ172" s="64">
        <f>IF(AND(AZ168=0,AZ169=0),0,IF(AZ168&lt;=0,0,IF(WEEKDAY(AZ$6,1)=1,AZ168*AZ169,0)))</f>
        <v>0</v>
      </c>
      <c r="BA172" s="63">
        <f>IF(AND(BA168=1,BA169=8),0,IF(BA168&lt;=0,0,IF(WEEKDAY(BA$6,1)=1,BA168*BA169,0)))</f>
        <v>0</v>
      </c>
      <c r="BB172" s="63">
        <f>IF(AND(BB168=1,BB169=8),0,IF(BB168&lt;=0,0,IF(WEEKDAY(BB$6,1)=1,BB168*BB169,0)))</f>
        <v>0</v>
      </c>
      <c r="BC172" s="63">
        <f>IF(AND(BC168=1,BC169=8),0,IF(BC168&lt;=0,0,IF(WEEKDAY(BC$6,1)=1,BC168*BC169,0)))</f>
        <v>0</v>
      </c>
      <c r="BD172" s="63">
        <f>IF(AND(BD168=1,BD169=8),0,IF(BD168&lt;=0,0,IF(WEEKDAY(BD$6,1)=1,BD168*BD169,0)))</f>
        <v>0</v>
      </c>
      <c r="BE172" s="63">
        <f>IF(AND(BE168=1,BE169=8),0,IF(BE168&lt;=0,0,IF(WEEKDAY(BE$6,1)=1,BE168*BE169,0)))</f>
        <v>0</v>
      </c>
      <c r="BF172" s="64">
        <f>IF(AND(BF168=0,BF169=0),0,IF(BF168&lt;=0,0,IF(WEEKDAY(BF$6,1)=1,BF168*BF169,0)))</f>
        <v>0</v>
      </c>
      <c r="BG172" s="64">
        <f>IF(AND(BG168=0,BG169=0),0,IF(BG168&lt;=0,0,IF(WEEKDAY(BG$6,1)=1,BG168*BG169,0)))</f>
        <v>0</v>
      </c>
      <c r="BH172" s="63">
        <f>IF(AND(BH168=1,BH169=13),0,IF(BH168&lt;=0,0,IF(WEEKDAY(BH$6,1)=1,BH168*BH169,0)))</f>
        <v>0</v>
      </c>
      <c r="BI172" s="63">
        <f>IF(AND(BI168=1,BI169=13),0,IF(BI168&lt;=0,0,IF(WEEKDAY(BI$6,1)=1,BI168*BI169,0)))</f>
        <v>0</v>
      </c>
      <c r="BJ172" s="63">
        <f>IF(AND(BJ168=1,BJ169=13),0,IF(BJ168&lt;=0,0,IF(WEEKDAY(BJ$6,1)=1,BJ168*BJ169,0)))</f>
        <v>0</v>
      </c>
      <c r="BK172" s="63">
        <f>IF(AND(BK168=1,BK169=13),0,IF(BK168&lt;=0,0,IF(WEEKDAY(BK$6,1)=1,BK168*BK169,0)))</f>
        <v>0</v>
      </c>
      <c r="BL172" s="63">
        <f>IF(AND(BL168=1,BL169=13),0,IF(BL168&lt;=0,0,IF(WEEKDAY(BL$6,1)=1,BL168*BL169,0)))</f>
        <v>0</v>
      </c>
      <c r="BM172" s="64">
        <f>IF(AND(BM168=1,BM169=13),0,IF(BM168&lt;=0,0,IF(WEEKDAY(BM$6,1)=1,BM168*BM169,0)))</f>
        <v>0</v>
      </c>
      <c r="BN172" s="64">
        <f>IF(AND(BN168=1,BN169=13),13,IF(BN168&lt;=0,0,IF(WEEKDAY(BN$6,1)=1,BN168*BN169,0)))</f>
        <v>13</v>
      </c>
      <c r="BO172" s="63">
        <f>IF(AND(BO168=1,BO169=13),0,IF(BO168&lt;=0,0,IF(WEEKDAY(BO$6,1)=1,BO168*BO169,0)))</f>
        <v>0</v>
      </c>
      <c r="BP172" s="63">
        <f>IF(AND(BP168=1,BP169=13),0,IF(BP168&lt;=0,0,IF(WEEKDAY(BP$6,1)=1,BP168*BP169,0)))</f>
        <v>0</v>
      </c>
      <c r="BQ172" s="63">
        <f>IF(AND(BQ168=1,BQ169=13),0,IF(BQ168&lt;=0,0,IF(WEEKDAY(BQ$6,1)=1,BQ168*BQ169,0)))</f>
        <v>0</v>
      </c>
      <c r="BR172" s="63">
        <f>IF(AND(BR168=1,BR169=13),0,IF(BR168&lt;=0,0,IF(WEEKDAY(BR$6,1)=1,BR168*BR169,0)))</f>
        <v>0</v>
      </c>
      <c r="BS172" s="63">
        <f>IF(AND(BS168=1,BS169=13),0,IF(BS168&lt;=0,0,IF(WEEKDAY(BS$6,1)=1,BS168*BS169,0)))</f>
        <v>0</v>
      </c>
      <c r="BT172" s="64">
        <f>IF(AND(BT168=1,BT169=13),0,IF(BT168&lt;=0,0,IF(WEEKDAY(BT$6,1)=1,BT168*BT169,0)))</f>
        <v>0</v>
      </c>
      <c r="BU172" s="64">
        <f>IF(AND(BU168=1,BU169=13),13,IF(BU168&lt;=0,0,IF(WEEKDAY(BU$6,1)=1,BU168*BU169,0)))</f>
        <v>13</v>
      </c>
      <c r="BV172" s="63">
        <f>IF(AND(BV168=1,BV169=13),0,IF(BV168&lt;=0,0,IF(WEEKDAY(BV$6,1)=1,BV168*BV169,0)))</f>
        <v>0</v>
      </c>
      <c r="BW172" s="63">
        <f>IF(AND(BW168=1,BW169=13),0,IF(BW168&lt;=0,0,IF(WEEKDAY(BW$6,1)=1,BW168*BW169,0)))</f>
        <v>0</v>
      </c>
      <c r="BX172" s="63">
        <f>IF(AND(BX168=1,BX169=13),0,IF(BX168&lt;=0,0,IF(WEEKDAY(BX$6,1)=1,BX168*BX169,0)))</f>
        <v>0</v>
      </c>
      <c r="BY172" s="63">
        <f>IF(AND(BY168=1,BY169=13),0,IF(BY168&lt;=0,0,IF(WEEKDAY(BY$6,1)=1,BY168*BY169,0)))</f>
        <v>0</v>
      </c>
      <c r="BZ172" s="63">
        <f>IF(AND(BZ168=1,BZ169=13),0,IF(BZ168&lt;=0,0,IF(WEEKDAY(BZ$6,1)=1,BZ168*BZ169,0)))</f>
        <v>0</v>
      </c>
      <c r="CA172" s="64">
        <f>IF(AND(CA168=1,CA169=13),0,IF(CA168&lt;=0,0,IF(WEEKDAY(CA$6,1)=1,CA168*CA169,0)))</f>
        <v>0</v>
      </c>
      <c r="CB172" s="64">
        <f>IF(AND(CB168=1,CB169=13),13,IF(CB168&lt;=0,0,IF(WEEKDAY(CB$6,1)=1,CB168*CB169,0)))</f>
        <v>13</v>
      </c>
      <c r="CC172" s="63">
        <f>IF(AND(CC168=1,CC169=13),0,IF(CC168&lt;=0,0,IF(WEEKDAY(CC$6,1)=1,CC168*CC169,0)))</f>
        <v>0</v>
      </c>
      <c r="CD172" s="63">
        <f>IF(AND(CD168=1,CD169=13),0,IF(CD168&lt;=0,0,IF(WEEKDAY(CD$6,1)=1,CD168*CD169,0)))</f>
        <v>0</v>
      </c>
      <c r="CE172" s="63">
        <f>IF(AND(CE168=1,CE169=13),0,IF(CE168&lt;=0,0,IF(WEEKDAY(CE$6,1)=1,CE168*CE169,0)))</f>
        <v>0</v>
      </c>
      <c r="CF172" s="63">
        <f>IF(AND(CF168=1,CF169=13),0,IF(CF168&lt;=0,0,IF(WEEKDAY(CF$6,1)=1,CF168*CF169,0)))</f>
        <v>0</v>
      </c>
      <c r="CG172" s="63">
        <f>IF(AND(CG168=1,CG169=13),0,IF(CG168&lt;=0,0,IF(WEEKDAY(CG$6,1)=1,CG168*CG169,0)))</f>
        <v>0</v>
      </c>
      <c r="CH172" s="64">
        <f>IF(AND(CH168=1,CH169=13),0,IF(CH168&lt;=0,0,IF(WEEKDAY(CH$6,1)=1,CH168*CH169,0)))</f>
        <v>0</v>
      </c>
      <c r="CI172" s="64">
        <f>IF(AND(CI168=1,CI169=13),13,IF(CI168&lt;=0,0,IF(WEEKDAY(CI$6,1)=1,CI168*CI169,0)))</f>
        <v>13</v>
      </c>
      <c r="CJ172" s="63">
        <f>IF(AND(CJ168=1,CJ169=13),0,IF(CJ168&lt;=0,0,IF(WEEKDAY(CJ$6,1)=1,CJ168*CJ169,0)))</f>
        <v>0</v>
      </c>
      <c r="CK172" s="63">
        <f>IF(AND(CK168=1,CK169=13),0,IF(CK168&lt;=0,0,IF(WEEKDAY(CK$6,1)=1,CK168*CK169,0)))</f>
        <v>0</v>
      </c>
      <c r="CL172" s="63">
        <f>IF(AND(CL168=1,CL169=13),0,IF(CL168&lt;=0,0,IF(WEEKDAY(CL$6,1)=1,CL168*CL169,0)))</f>
        <v>0</v>
      </c>
      <c r="CM172" s="63">
        <f>IF(AND(CM168=1,CM169=13),0,IF(CM168&lt;=0,0,IF(WEEKDAY(CM$6,1)=1,CM168*CM169,0)))</f>
        <v>0</v>
      </c>
      <c r="CN172" s="63">
        <f>IF(AND(CN168=1,CN169=13),0,IF(CN168&lt;=0,0,IF(WEEKDAY(CN$6,1)=1,CN168*CN169,0)))</f>
        <v>0</v>
      </c>
      <c r="CO172" s="64">
        <f>IF(AND(CO168=1,CO169=13),0,IF(CO168&lt;=0,0,IF(WEEKDAY(CO$6,1)=1,CO168*CO169,0)))</f>
        <v>0</v>
      </c>
      <c r="CP172" s="64">
        <f>IF(AND(CP168=1,CP169=13),13,IF(CP168&lt;=0,0,IF(WEEKDAY(CP$6,1)=1,CP168*CP169,0)))</f>
        <v>13</v>
      </c>
      <c r="CQ172" s="63">
        <f>IF(AND(CQ168=1,CQ169=13),0,IF(CQ168&lt;=0,0,IF(WEEKDAY(CQ$6,1)=1,CQ168*CQ169,0)))</f>
        <v>0</v>
      </c>
      <c r="CR172" s="63">
        <f>IF(AND(CR168=1,CR169=13),0,IF(CR168&lt;=0,0,IF(WEEKDAY(CR$6,1)=1,CR168*CR169,0)))</f>
        <v>0</v>
      </c>
      <c r="CS172" s="63">
        <f>IF(AND(CS168=1,CS169=13),0,IF(CS168&lt;=0,0,IF(WEEKDAY(CS$6,1)=1,CS168*CS169,0)))</f>
        <v>0</v>
      </c>
      <c r="CT172" s="63">
        <f>IF(AND(CT168=1,CT169=13),0,IF(CT168&lt;=0,0,IF(WEEKDAY(CT$6,1)=1,CT168*CT169,0)))</f>
        <v>0</v>
      </c>
      <c r="CU172" s="63">
        <f>IF(AND(CU168=1,CU169=13),0,IF(CU168&lt;=0,0,IF(WEEKDAY(CU$6,1)=1,CU168*CU169,0)))</f>
        <v>0</v>
      </c>
      <c r="CV172" s="64">
        <f>IF(AND(CV168=1,CV169=13),0,IF(CV168&lt;=0,0,IF(WEEKDAY(CV$6,1)=1,CV168*CV169,0)))</f>
        <v>0</v>
      </c>
      <c r="CW172" s="64">
        <f>IF(AND(CW168=1,CW169=13),13,IF(CW168&lt;=0,0,IF(WEEKDAY(CW$6,1)=1,CW168*CW169,0)))</f>
        <v>13</v>
      </c>
      <c r="CX172" s="63">
        <f>IF(AND(CX168=1,CX169=13),0,IF(CX168&lt;=0,0,IF(WEEKDAY(CX$6,1)=1,CX168*CX169,0)))</f>
        <v>0</v>
      </c>
      <c r="CY172" s="63">
        <f>IF(AND(CY168=1,CY169=13),0,IF(CY168&lt;=0,0,IF(WEEKDAY(CY$6,1)=1,CY168*CY169,0)))</f>
        <v>0</v>
      </c>
      <c r="CZ172" s="63">
        <f>IF(AND(CZ168=1,CZ169=13),0,IF(CZ168&lt;=0,0,IF(WEEKDAY(CZ$6,1)=1,CZ168*CZ169,0)))</f>
        <v>0</v>
      </c>
      <c r="DA172" s="63">
        <f>IF(AND(DA168=1,DA169=13),0,IF(DA168&lt;=0,0,IF(WEEKDAY(DA$6,1)=1,DA168*DA169,0)))</f>
        <v>0</v>
      </c>
      <c r="DB172" s="63">
        <f>IF(AND(DB168=1,DB169=13),0,IF(DB168&lt;=0,0,IF(WEEKDAY(DB$6,1)=1,DB168*DB169,0)))</f>
        <v>0</v>
      </c>
      <c r="DC172" s="64">
        <f>IF(AND(DC168=1,DC169=13),0,IF(DC168&lt;=0,0,IF(WEEKDAY(DC$6,1)=1,DC168*DC169,0)))</f>
        <v>0</v>
      </c>
      <c r="DD172" s="64">
        <f>IF(AND(DD168=1,DD169=13),13,IF(DD168&lt;=0,0,IF(WEEKDAY(DD$6,1)=1,DD168*DD169,0)))</f>
        <v>13</v>
      </c>
      <c r="DE172" s="63">
        <f>IF(AND(DE168=1,DE169=13),0,IF(DE168&lt;=0,0,IF(WEEKDAY(DE$6,1)=1,DE168*DE169,0)))</f>
        <v>0</v>
      </c>
      <c r="DF172" s="63">
        <f>IF(AND(DF168=1,DF169=13),0,IF(DF168&lt;=0,0,IF(WEEKDAY(DF$6,1)=1,DF168*DF169,0)))</f>
        <v>0</v>
      </c>
      <c r="DG172" s="63">
        <f>IF(AND(DG168=1,DG169=13),0,IF(DG168&lt;=0,0,IF(WEEKDAY(DG$6,1)=1,DG168*DG169,0)))</f>
        <v>0</v>
      </c>
      <c r="DH172" s="63">
        <f>IF(AND(DH168=1,DH169=13),0,IF(DH168&lt;=0,0,IF(WEEKDAY(DH$6,1)=1,DH168*DH169,0)))</f>
        <v>0</v>
      </c>
      <c r="DI172" s="63">
        <f>IF(AND(DI168=1,DI169=13),0,IF(DI168&lt;=0,0,IF(WEEKDAY(DI$6,1)=1,DI168*DI169,0)))</f>
        <v>0</v>
      </c>
      <c r="DJ172" s="64">
        <f>IF(AND(DJ168=1,DJ169=13),0,IF(DJ168&lt;=0,0,IF(WEEKDAY(DJ$6,1)=1,DJ168*DJ169,0)))</f>
        <v>0</v>
      </c>
      <c r="DK172" s="64">
        <f>IF(AND(DK168=1,DK169=13),13,IF(DK168&lt;=0,0,IF(WEEKDAY(DK$6,1)=1,DK168*DK169,0)))</f>
        <v>13</v>
      </c>
      <c r="DL172" s="63">
        <f>IF(AND(DL168=1,DL169=13),0,IF(DL168&lt;=0,0,IF(WEEKDAY(DL$6,1)=1,DL168*DL169,0)))</f>
        <v>0</v>
      </c>
      <c r="DM172" s="63">
        <f>IF(AND(DM168=1,DM169=13),0,IF(DM168&lt;=0,0,IF(WEEKDAY(DM$6,1)=1,DM168*DM169,0)))</f>
        <v>0</v>
      </c>
      <c r="DN172" s="63">
        <f>IF(AND(DN168=1,DN169=13),0,IF(DN168&lt;=0,0,IF(WEEKDAY(DN$6,1)=1,DN168*DN169,0)))</f>
        <v>0</v>
      </c>
      <c r="DO172" s="63">
        <f>IF(AND(DO168=1,DO169=13),0,IF(DO168&lt;=0,0,IF(WEEKDAY(DO$6,1)=1,DO168*DO169,0)))</f>
        <v>0</v>
      </c>
      <c r="DP172" s="63">
        <f>IF(AND(DP168=1,DP169=13),0,IF(DP168&lt;=0,0,IF(WEEKDAY(DP$6,1)=1,DP168*DP169,0)))</f>
        <v>0</v>
      </c>
      <c r="DQ172" s="64">
        <f>IF(AND(DQ168=1,DQ169=13),0,IF(DQ168&lt;=0,0,IF(WEEKDAY(DQ$6,1)=1,DQ168*DQ169,0)))</f>
        <v>0</v>
      </c>
      <c r="DR172" s="64">
        <f>IF(AND(DR168=1,DR169=13),13,IF(DR168&lt;=0,0,IF(WEEKDAY(DR$6,1)=1,DR168*DR169,0)))</f>
        <v>13</v>
      </c>
      <c r="DS172" s="63">
        <f>IF(AND(DS168=1,DS169=13),0,IF(DS168&lt;=0,0,IF(WEEKDAY(DS$6,1)=1,DS168*DS169,0)))</f>
        <v>0</v>
      </c>
      <c r="DT172" s="63">
        <f>IF(AND(DT168=0,DT169=0),0,IF(DT168&lt;=0,0,IF(WEEKDAY(DT$6,1)=1,DT168*DT169,0)))</f>
        <v>0</v>
      </c>
      <c r="DU172" s="63">
        <f>IF(AND(DU168=0,DU169=0),0,IF(DU168&lt;=0,0,IF(WEEKDAY(DU$6,1)=1,DU168*DU169,0)))</f>
        <v>0</v>
      </c>
      <c r="DV172" s="63">
        <f>IF(AND(DV168=0,DV169=0),0,IF(DV168&lt;=0,0,IF(WEEKDAY(DV$6,1)=1,DV168*DV169,0)))</f>
        <v>0</v>
      </c>
      <c r="DW172" s="63">
        <f>IF(AND(DW168=0,DW169=0),0,IF(DW168&lt;=0,0,IF(WEEKDAY(DW$6,1)=1,DW168*DW169,0)))</f>
        <v>0</v>
      </c>
      <c r="DX172" s="64">
        <f>IF(AND(DX168=0,DX169=0),0,IF(DX168&lt;=0,0,IF(WEEKDAY(DX$6,1)=1,DX168*DX169,0)))</f>
        <v>0</v>
      </c>
      <c r="DY172" s="64">
        <f>IF(AND(DY168=0,DY169=0),0,IF(DY168&lt;=0,0,IF(WEEKDAY(DY$6,1)=1,DY168*DY169,0)))</f>
        <v>0</v>
      </c>
      <c r="DZ172" s="63">
        <f>IF(AND(DZ168=0,DZ169=0),0,IF(DZ168&lt;=0,0,IF(WEEKDAY(DZ$6,1)=1,DZ168*DZ169,0)))</f>
        <v>0</v>
      </c>
      <c r="EA172" s="63">
        <f>IF(AND(EA168=0,EA169=0),0,IF(EA168&lt;=0,0,IF(WEEKDAY(EA$6,1)=1,EA168*EA169,0)))</f>
        <v>0</v>
      </c>
      <c r="EB172" s="63">
        <f>IF(AND(EB168=0,EB169=0),0,IF(EB168&lt;=0,0,IF(WEEKDAY(EB$6,1)=1,EB168*EB169,0)))</f>
        <v>0</v>
      </c>
      <c r="EC172" s="63">
        <f>IF(AND(EC168=0,EC169=0),0,IF(EC168&lt;=0,0,IF(WEEKDAY(EC$6,1)=1,EC168*EC169,0)))</f>
        <v>0</v>
      </c>
      <c r="ED172" s="63">
        <f>IF(AND(ED168=0,ED169=0),0,IF(ED168&lt;=0,0,IF(WEEKDAY(ED$6,1)=1,ED168*ED169,0)))</f>
        <v>0</v>
      </c>
      <c r="EE172" s="64">
        <f>IF(AND(EE168=0,EE169=0),0,IF(EE168&lt;=0,0,IF(WEEKDAY(EE$6,1)=1,EE168*EE169,0)))</f>
        <v>0</v>
      </c>
      <c r="EF172" s="64">
        <f>IF(AND(EF168=0,EF169=0),0,IF(EF168&lt;=0,0,IF(WEEKDAY(EF$6,1)=1,EF168*EF169,0)))</f>
        <v>0</v>
      </c>
      <c r="EG172" s="63">
        <f>IF(AND(EG168=0,EG169=0),0,IF(EG168&lt;=0,0,IF(WEEKDAY(EG$6,1)=1,EG168*EG169,0)))</f>
        <v>0</v>
      </c>
      <c r="EH172" s="63">
        <f>IF(AND(EH168=0,EH169=0),0,IF(EH168&lt;=0,0,IF(WEEKDAY(EH$6,1)=1,EH168*EH169,0)))</f>
        <v>0</v>
      </c>
      <c r="EI172" s="63">
        <f>IF(AND(EI168=0,EI169=0),0,IF(EI168&lt;=0,0,IF(WEEKDAY(EI$6,1)=1,EI168*EI169,0)))</f>
        <v>0</v>
      </c>
      <c r="EJ172" s="63">
        <f>IF(AND(EJ168=0,EJ169=0),0,IF(EJ168&lt;=0,0,IF(WEEKDAY(EJ$6,1)=1,EJ168*EJ169,0)))</f>
        <v>0</v>
      </c>
      <c r="EK172" s="65">
        <f>IF(AND(EK168=0,EK169=0),0,IF(EK168&lt;=0,0,IF(WEEKDAY(EK$6,1)=1,EK168*EK169,0)))</f>
        <v>0</v>
      </c>
      <c r="OU172" s="28" t="s">
        <v>99</v>
      </c>
    </row>
    <row r="173" ht="16" customHeight="1" spans="1:411" x14ac:dyDescent="0.25">
      <c r="A173" s="45"/>
      <c r="B173" s="46"/>
      <c r="C173" s="67">
        <f>I167*D173</f>
        <v>13860</v>
      </c>
      <c r="D173" s="67">
        <v>140</v>
      </c>
      <c r="E173" s="68" t="s">
        <v>65</v>
      </c>
      <c r="F173" s="49"/>
      <c r="G173" s="49"/>
      <c r="H173" s="49"/>
      <c r="I173" s="49"/>
      <c r="J173" s="50"/>
      <c r="K173" s="69">
        <v>1</v>
      </c>
      <c r="L173" s="70">
        <v>1</v>
      </c>
      <c r="M173" s="70">
        <v>1</v>
      </c>
      <c r="N173" s="70">
        <v>1</v>
      </c>
      <c r="O173" s="70">
        <v>1</v>
      </c>
      <c r="P173" s="71">
        <v>0</v>
      </c>
      <c r="Q173" s="71">
        <v>0</v>
      </c>
      <c r="R173" s="70">
        <v>1</v>
      </c>
      <c r="S173" s="70">
        <v>1</v>
      </c>
      <c r="T173" s="70">
        <v>1</v>
      </c>
      <c r="U173" s="70">
        <v>1</v>
      </c>
      <c r="V173" s="70">
        <v>1</v>
      </c>
      <c r="W173" s="71">
        <v>0</v>
      </c>
      <c r="X173" s="71">
        <v>0</v>
      </c>
      <c r="Y173" s="70">
        <v>1</v>
      </c>
      <c r="Z173" s="70">
        <v>1</v>
      </c>
      <c r="AA173" s="70">
        <v>1</v>
      </c>
      <c r="AB173" s="70">
        <v>1</v>
      </c>
      <c r="AC173" s="70">
        <v>1</v>
      </c>
      <c r="AD173" s="71">
        <v>0</v>
      </c>
      <c r="AE173" s="71">
        <v>0</v>
      </c>
      <c r="AF173" s="70">
        <v>1</v>
      </c>
      <c r="AG173" s="70">
        <v>1</v>
      </c>
      <c r="AH173" s="70">
        <v>1</v>
      </c>
      <c r="AI173" s="70">
        <v>1</v>
      </c>
      <c r="AJ173" s="70">
        <v>1</v>
      </c>
      <c r="AK173" s="71">
        <v>0</v>
      </c>
      <c r="AL173" s="71">
        <v>0</v>
      </c>
      <c r="AM173" s="70">
        <v>1</v>
      </c>
      <c r="AN173" s="70">
        <v>1</v>
      </c>
      <c r="AO173" s="70">
        <v>1</v>
      </c>
      <c r="AP173" s="70">
        <v>1</v>
      </c>
      <c r="AQ173" s="70">
        <v>1</v>
      </c>
      <c r="AR173" s="71">
        <v>0</v>
      </c>
      <c r="AS173" s="71">
        <v>0</v>
      </c>
      <c r="AT173" s="70">
        <v>1</v>
      </c>
      <c r="AU173" s="70">
        <v>1</v>
      </c>
      <c r="AV173" s="70">
        <v>1</v>
      </c>
      <c r="AW173" s="70">
        <v>1</v>
      </c>
      <c r="AX173" s="70">
        <v>1</v>
      </c>
      <c r="AY173" s="71">
        <v>0</v>
      </c>
      <c r="AZ173" s="71">
        <v>0</v>
      </c>
      <c r="BA173" s="70">
        <v>1</v>
      </c>
      <c r="BB173" s="70">
        <v>1</v>
      </c>
      <c r="BC173" s="70">
        <v>1</v>
      </c>
      <c r="BD173" s="70">
        <v>1</v>
      </c>
      <c r="BE173" s="70">
        <v>1</v>
      </c>
      <c r="BF173" s="71">
        <v>0</v>
      </c>
      <c r="BG173" s="71">
        <v>0</v>
      </c>
      <c r="BH173" s="70">
        <v>1</v>
      </c>
      <c r="BI173" s="70">
        <v>1</v>
      </c>
      <c r="BJ173" s="70">
        <v>1</v>
      </c>
      <c r="BK173" s="70">
        <v>1</v>
      </c>
      <c r="BL173" s="70">
        <v>1</v>
      </c>
      <c r="BM173" s="71">
        <v>1</v>
      </c>
      <c r="BN173" s="71">
        <v>1</v>
      </c>
      <c r="BO173" s="70">
        <v>1</v>
      </c>
      <c r="BP173" s="70">
        <v>1</v>
      </c>
      <c r="BQ173" s="70">
        <v>1</v>
      </c>
      <c r="BR173" s="70">
        <v>1</v>
      </c>
      <c r="BS173" s="70">
        <v>1</v>
      </c>
      <c r="BT173" s="71">
        <v>1</v>
      </c>
      <c r="BU173" s="71">
        <v>1</v>
      </c>
      <c r="BV173" s="70">
        <v>1</v>
      </c>
      <c r="BW173" s="70">
        <v>1</v>
      </c>
      <c r="BX173" s="70">
        <v>1</v>
      </c>
      <c r="BY173" s="70">
        <v>1</v>
      </c>
      <c r="BZ173" s="70">
        <v>1</v>
      </c>
      <c r="CA173" s="71">
        <v>1</v>
      </c>
      <c r="CB173" s="71">
        <v>1</v>
      </c>
      <c r="CC173" s="70">
        <v>1</v>
      </c>
      <c r="CD173" s="70">
        <v>1</v>
      </c>
      <c r="CE173" s="70">
        <v>1</v>
      </c>
      <c r="CF173" s="70">
        <v>1</v>
      </c>
      <c r="CG173" s="70">
        <v>1</v>
      </c>
      <c r="CH173" s="71">
        <v>1</v>
      </c>
      <c r="CI173" s="71">
        <v>1</v>
      </c>
      <c r="CJ173" s="70">
        <v>1</v>
      </c>
      <c r="CK173" s="70">
        <v>1</v>
      </c>
      <c r="CL173" s="70">
        <v>1</v>
      </c>
      <c r="CM173" s="70">
        <v>1</v>
      </c>
      <c r="CN173" s="70">
        <v>1</v>
      </c>
      <c r="CO173" s="71">
        <v>1</v>
      </c>
      <c r="CP173" s="71">
        <v>1</v>
      </c>
      <c r="CQ173" s="70">
        <v>1</v>
      </c>
      <c r="CR173" s="70">
        <v>1</v>
      </c>
      <c r="CS173" s="70">
        <v>1</v>
      </c>
      <c r="CT173" s="70">
        <v>1</v>
      </c>
      <c r="CU173" s="70">
        <v>1</v>
      </c>
      <c r="CV173" s="71">
        <v>1</v>
      </c>
      <c r="CW173" s="71">
        <v>1</v>
      </c>
      <c r="CX173" s="70">
        <v>1</v>
      </c>
      <c r="CY173" s="70">
        <v>1</v>
      </c>
      <c r="CZ173" s="70">
        <v>1</v>
      </c>
      <c r="DA173" s="70">
        <v>1</v>
      </c>
      <c r="DB173" s="70">
        <v>1</v>
      </c>
      <c r="DC173" s="71">
        <v>1</v>
      </c>
      <c r="DD173" s="71">
        <v>1</v>
      </c>
      <c r="DE173" s="70">
        <v>1</v>
      </c>
      <c r="DF173" s="70">
        <v>1</v>
      </c>
      <c r="DG173" s="70">
        <v>1</v>
      </c>
      <c r="DH173" s="70">
        <v>1</v>
      </c>
      <c r="DI173" s="70">
        <v>1</v>
      </c>
      <c r="DJ173" s="71">
        <v>1</v>
      </c>
      <c r="DK173" s="71">
        <v>1</v>
      </c>
      <c r="DL173" s="70">
        <v>1</v>
      </c>
      <c r="DM173" s="70">
        <v>1</v>
      </c>
      <c r="DN173" s="70">
        <v>1</v>
      </c>
      <c r="DO173" s="70">
        <v>1</v>
      </c>
      <c r="DP173" s="70">
        <v>1</v>
      </c>
      <c r="DQ173" s="71">
        <v>1</v>
      </c>
      <c r="DR173" s="71">
        <v>1</v>
      </c>
      <c r="DS173" s="70">
        <v>1</v>
      </c>
      <c r="DT173" s="70">
        <v>0</v>
      </c>
      <c r="DU173" s="70">
        <v>0</v>
      </c>
      <c r="DV173" s="70">
        <v>0</v>
      </c>
      <c r="DW173" s="70">
        <v>0</v>
      </c>
      <c r="DX173" s="71">
        <v>0</v>
      </c>
      <c r="DY173" s="71">
        <v>0</v>
      </c>
      <c r="DZ173" s="70">
        <v>0</v>
      </c>
      <c r="EA173" s="70">
        <v>0</v>
      </c>
      <c r="EB173" s="70">
        <v>0</v>
      </c>
      <c r="EC173" s="70">
        <v>0</v>
      </c>
      <c r="ED173" s="70">
        <v>0</v>
      </c>
      <c r="EE173" s="71">
        <v>0</v>
      </c>
      <c r="EF173" s="71">
        <v>0</v>
      </c>
      <c r="EG173" s="70">
        <v>0</v>
      </c>
      <c r="EH173" s="70">
        <v>0</v>
      </c>
      <c r="EI173" s="70">
        <v>0</v>
      </c>
      <c r="EJ173" s="70">
        <v>0</v>
      </c>
      <c r="EK173" s="72">
        <v>0</v>
      </c>
      <c r="OU173" s="60" t="s">
        <v>99</v>
      </c>
    </row>
    <row r="174" ht="8" customHeight="1" spans="1:141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  <c r="AS174" s="73"/>
      <c r="AT174" s="73"/>
      <c r="AU174" s="73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  <c r="BZ174" s="73"/>
      <c r="CA174" s="73"/>
      <c r="CB174" s="73"/>
      <c r="CC174" s="73"/>
      <c r="CD174" s="73"/>
      <c r="CE174" s="73"/>
      <c r="CF174" s="73"/>
      <c r="CG174" s="73"/>
      <c r="CH174" s="73"/>
      <c r="CI174" s="73"/>
      <c r="CJ174" s="73"/>
      <c r="CK174" s="73"/>
      <c r="CL174" s="73"/>
      <c r="CM174" s="73"/>
      <c r="CN174" s="73"/>
      <c r="CO174" s="73"/>
      <c r="CP174" s="73"/>
      <c r="CQ174" s="73"/>
      <c r="CR174" s="73"/>
      <c r="CS174" s="73"/>
      <c r="CT174" s="73"/>
      <c r="CU174" s="73"/>
      <c r="CV174" s="73"/>
      <c r="CW174" s="73"/>
      <c r="CX174" s="73"/>
      <c r="CY174" s="73"/>
      <c r="CZ174" s="73"/>
      <c r="DA174" s="73"/>
      <c r="DB174" s="73"/>
      <c r="DC174" s="73"/>
      <c r="DD174" s="73"/>
      <c r="DE174" s="73"/>
      <c r="DF174" s="73"/>
      <c r="DG174" s="73"/>
      <c r="DH174" s="73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  <c r="DT174" s="73"/>
      <c r="DU174" s="73"/>
      <c r="DV174" s="73"/>
      <c r="DW174" s="73"/>
      <c r="DX174" s="73"/>
      <c r="DY174" s="73"/>
      <c r="DZ174" s="73"/>
      <c r="EA174" s="73"/>
      <c r="EB174" s="73"/>
      <c r="EC174" s="73"/>
      <c r="ED174" s="73"/>
      <c r="EE174" s="73"/>
      <c r="EF174" s="73"/>
      <c r="EG174" s="73"/>
      <c r="EH174" s="73"/>
      <c r="EI174" s="73"/>
      <c r="EJ174" s="73"/>
      <c r="EK174" s="73"/>
    </row>
    <row r="175" ht="16" customHeight="1" spans="1:411" x14ac:dyDescent="0.25">
      <c r="A175" s="74" t="s">
        <v>70</v>
      </c>
      <c r="B175" s="46" t="s">
        <v>78</v>
      </c>
      <c r="C175" s="47">
        <f>J175</f>
        <v>138853.88</v>
      </c>
      <c r="D175" s="48"/>
      <c r="E175" s="48"/>
      <c r="F175" s="49">
        <f>SUM(K178:EK178)</f>
        <v>670</v>
      </c>
      <c r="G175" s="49">
        <f>SUM(K179:EK179)</f>
        <v>325</v>
      </c>
      <c r="H175" s="49">
        <f>SUM(K180:EK180)</f>
        <v>117</v>
      </c>
      <c r="I175" s="49">
        <f>SUM(K181:EK181)</f>
        <v>99</v>
      </c>
      <c r="J175" s="50">
        <f>C178+C179+C180</f>
        <v>138853.88</v>
      </c>
      <c r="K175" s="51"/>
      <c r="L175" s="52"/>
      <c r="M175" s="52"/>
      <c r="N175" s="52"/>
      <c r="O175" s="52"/>
      <c r="P175" s="53"/>
      <c r="Q175" s="53"/>
      <c r="R175" s="52"/>
      <c r="S175" s="52"/>
      <c r="T175" s="52"/>
      <c r="U175" s="52"/>
      <c r="V175" s="52"/>
      <c r="W175" s="53"/>
      <c r="X175" s="53"/>
      <c r="Y175" s="52"/>
      <c r="Z175" s="52"/>
      <c r="AA175" s="52"/>
      <c r="AB175" s="52"/>
      <c r="AC175" s="52"/>
      <c r="AD175" s="53"/>
      <c r="AE175" s="53"/>
      <c r="AF175" s="52"/>
      <c r="AG175" s="52"/>
      <c r="AH175" s="52"/>
      <c r="AI175" s="52"/>
      <c r="AJ175" s="52"/>
      <c r="AK175" s="53"/>
      <c r="AL175" s="53"/>
      <c r="AM175" s="52"/>
      <c r="AN175" s="52"/>
      <c r="AO175" s="52"/>
      <c r="AP175" s="52"/>
      <c r="AQ175" s="52"/>
      <c r="AR175" s="53"/>
      <c r="AS175" s="53"/>
      <c r="AT175" s="52"/>
      <c r="AU175" s="52"/>
      <c r="AV175" s="52"/>
      <c r="AW175" s="52"/>
      <c r="AX175" s="52"/>
      <c r="AY175" s="53"/>
      <c r="AZ175" s="53"/>
      <c r="BA175" s="52"/>
      <c r="BB175" s="52"/>
      <c r="BC175" s="52"/>
      <c r="BD175" s="52"/>
      <c r="BE175" s="52"/>
      <c r="BF175" s="53"/>
      <c r="BG175" s="53"/>
      <c r="BH175" s="52"/>
      <c r="BI175" s="52"/>
      <c r="BJ175" s="52"/>
      <c r="BK175" s="52"/>
      <c r="BL175" s="52"/>
      <c r="BM175" s="53"/>
      <c r="BN175" s="53"/>
      <c r="BO175" s="52"/>
      <c r="BP175" s="52"/>
      <c r="BQ175" s="52"/>
      <c r="BR175" s="52"/>
      <c r="BS175" s="52"/>
      <c r="BT175" s="53"/>
      <c r="BU175" s="53"/>
      <c r="BV175" s="52"/>
      <c r="BW175" s="52"/>
      <c r="BX175" s="52"/>
      <c r="BY175" s="52"/>
      <c r="BZ175" s="52"/>
      <c r="CA175" s="53"/>
      <c r="CB175" s="53"/>
      <c r="CC175" s="52"/>
      <c r="CD175" s="52"/>
      <c r="CE175" s="52"/>
      <c r="CF175" s="52"/>
      <c r="CG175" s="52"/>
      <c r="CH175" s="53"/>
      <c r="CI175" s="53"/>
      <c r="CJ175" s="52"/>
      <c r="CK175" s="52"/>
      <c r="CL175" s="52"/>
      <c r="CM175" s="52"/>
      <c r="CN175" s="52"/>
      <c r="CO175" s="53"/>
      <c r="CP175" s="53"/>
      <c r="CQ175" s="52"/>
      <c r="CR175" s="52"/>
      <c r="CS175" s="52"/>
      <c r="CT175" s="52"/>
      <c r="CU175" s="52"/>
      <c r="CV175" s="53"/>
      <c r="CW175" s="53"/>
      <c r="CX175" s="52"/>
      <c r="CY175" s="52"/>
      <c r="CZ175" s="52"/>
      <c r="DA175" s="52"/>
      <c r="DB175" s="52"/>
      <c r="DC175" s="53"/>
      <c r="DD175" s="53"/>
      <c r="DE175" s="52"/>
      <c r="DF175" s="52"/>
      <c r="DG175" s="52"/>
      <c r="DH175" s="52"/>
      <c r="DI175" s="52"/>
      <c r="DJ175" s="53"/>
      <c r="DK175" s="53"/>
      <c r="DL175" s="52"/>
      <c r="DM175" s="52"/>
      <c r="DN175" s="52"/>
      <c r="DO175" s="52"/>
      <c r="DP175" s="52"/>
      <c r="DQ175" s="53"/>
      <c r="DR175" s="53"/>
      <c r="DS175" s="52"/>
      <c r="DT175" s="52"/>
      <c r="DU175" s="52"/>
      <c r="DV175" s="52"/>
      <c r="DW175" s="52"/>
      <c r="DX175" s="53"/>
      <c r="DY175" s="53"/>
      <c r="DZ175" s="52"/>
      <c r="EA175" s="52"/>
      <c r="EB175" s="52"/>
      <c r="EC175" s="52"/>
      <c r="ED175" s="52"/>
      <c r="EE175" s="53"/>
      <c r="EF175" s="53"/>
      <c r="EG175" s="52"/>
      <c r="EH175" s="52"/>
      <c r="EI175" s="52"/>
      <c r="EJ175" s="52"/>
      <c r="EK175" s="54"/>
      <c r="OU175" s="28" t="s">
        <v>100</v>
      </c>
    </row>
    <row r="176" ht="16" customHeight="1" spans="1:411" x14ac:dyDescent="0.25">
      <c r="A176" s="74"/>
      <c r="B176" s="46"/>
      <c r="C176" s="47"/>
      <c r="D176" s="48"/>
      <c r="E176" s="55" t="s">
        <v>60</v>
      </c>
      <c r="F176" s="49"/>
      <c r="G176" s="49"/>
      <c r="H176" s="49"/>
      <c r="I176" s="49"/>
      <c r="J176" s="50"/>
      <c r="K176" s="56">
        <v>1</v>
      </c>
      <c r="L176" s="57">
        <v>1</v>
      </c>
      <c r="M176" s="57">
        <v>1</v>
      </c>
      <c r="N176" s="57">
        <v>1</v>
      </c>
      <c r="O176" s="57">
        <v>1</v>
      </c>
      <c r="P176" s="58">
        <v>0</v>
      </c>
      <c r="Q176" s="58">
        <v>0</v>
      </c>
      <c r="R176" s="57">
        <v>1</v>
      </c>
      <c r="S176" s="57">
        <v>1</v>
      </c>
      <c r="T176" s="57">
        <v>1</v>
      </c>
      <c r="U176" s="57">
        <v>1</v>
      </c>
      <c r="V176" s="57">
        <v>1</v>
      </c>
      <c r="W176" s="58">
        <v>0</v>
      </c>
      <c r="X176" s="58">
        <v>0</v>
      </c>
      <c r="Y176" s="57">
        <v>1</v>
      </c>
      <c r="Z176" s="57">
        <v>1</v>
      </c>
      <c r="AA176" s="57">
        <v>1</v>
      </c>
      <c r="AB176" s="57">
        <v>1</v>
      </c>
      <c r="AC176" s="57">
        <v>1</v>
      </c>
      <c r="AD176" s="58">
        <v>0</v>
      </c>
      <c r="AE176" s="58">
        <v>0</v>
      </c>
      <c r="AF176" s="57">
        <v>1</v>
      </c>
      <c r="AG176" s="57">
        <v>1</v>
      </c>
      <c r="AH176" s="57">
        <v>1</v>
      </c>
      <c r="AI176" s="57">
        <v>1</v>
      </c>
      <c r="AJ176" s="57">
        <v>1</v>
      </c>
      <c r="AK176" s="58">
        <v>0</v>
      </c>
      <c r="AL176" s="58">
        <v>0</v>
      </c>
      <c r="AM176" s="57">
        <v>1</v>
      </c>
      <c r="AN176" s="57">
        <v>1</v>
      </c>
      <c r="AO176" s="57">
        <v>1</v>
      </c>
      <c r="AP176" s="57">
        <v>1</v>
      </c>
      <c r="AQ176" s="57">
        <v>1</v>
      </c>
      <c r="AR176" s="58">
        <v>0</v>
      </c>
      <c r="AS176" s="58">
        <v>0</v>
      </c>
      <c r="AT176" s="57">
        <v>1</v>
      </c>
      <c r="AU176" s="57">
        <v>1</v>
      </c>
      <c r="AV176" s="57">
        <v>1</v>
      </c>
      <c r="AW176" s="57">
        <v>1</v>
      </c>
      <c r="AX176" s="57">
        <v>1</v>
      </c>
      <c r="AY176" s="58">
        <v>0</v>
      </c>
      <c r="AZ176" s="58">
        <v>0</v>
      </c>
      <c r="BA176" s="57">
        <v>1</v>
      </c>
      <c r="BB176" s="57">
        <v>1</v>
      </c>
      <c r="BC176" s="57">
        <v>1</v>
      </c>
      <c r="BD176" s="57">
        <v>1</v>
      </c>
      <c r="BE176" s="57">
        <v>1</v>
      </c>
      <c r="BF176" s="58">
        <v>0</v>
      </c>
      <c r="BG176" s="58">
        <v>0</v>
      </c>
      <c r="BH176" s="57">
        <v>1</v>
      </c>
      <c r="BI176" s="57">
        <v>1</v>
      </c>
      <c r="BJ176" s="57">
        <v>1</v>
      </c>
      <c r="BK176" s="57">
        <v>1</v>
      </c>
      <c r="BL176" s="57">
        <v>1</v>
      </c>
      <c r="BM176" s="58">
        <v>1</v>
      </c>
      <c r="BN176" s="58">
        <v>1</v>
      </c>
      <c r="BO176" s="57">
        <v>1</v>
      </c>
      <c r="BP176" s="57">
        <v>1</v>
      </c>
      <c r="BQ176" s="57">
        <v>1</v>
      </c>
      <c r="BR176" s="57">
        <v>1</v>
      </c>
      <c r="BS176" s="57">
        <v>1</v>
      </c>
      <c r="BT176" s="58">
        <v>1</v>
      </c>
      <c r="BU176" s="58">
        <v>1</v>
      </c>
      <c r="BV176" s="57">
        <v>1</v>
      </c>
      <c r="BW176" s="57">
        <v>1</v>
      </c>
      <c r="BX176" s="57">
        <v>1</v>
      </c>
      <c r="BY176" s="57">
        <v>1</v>
      </c>
      <c r="BZ176" s="57">
        <v>1</v>
      </c>
      <c r="CA176" s="58">
        <v>1</v>
      </c>
      <c r="CB176" s="58">
        <v>1</v>
      </c>
      <c r="CC176" s="57">
        <v>1</v>
      </c>
      <c r="CD176" s="57">
        <v>1</v>
      </c>
      <c r="CE176" s="57">
        <v>1</v>
      </c>
      <c r="CF176" s="57">
        <v>1</v>
      </c>
      <c r="CG176" s="57">
        <v>1</v>
      </c>
      <c r="CH176" s="58">
        <v>1</v>
      </c>
      <c r="CI176" s="58">
        <v>1</v>
      </c>
      <c r="CJ176" s="57">
        <v>1</v>
      </c>
      <c r="CK176" s="57">
        <v>1</v>
      </c>
      <c r="CL176" s="57">
        <v>1</v>
      </c>
      <c r="CM176" s="57">
        <v>1</v>
      </c>
      <c r="CN176" s="57">
        <v>1</v>
      </c>
      <c r="CO176" s="58">
        <v>1</v>
      </c>
      <c r="CP176" s="58">
        <v>1</v>
      </c>
      <c r="CQ176" s="57">
        <v>1</v>
      </c>
      <c r="CR176" s="57">
        <v>1</v>
      </c>
      <c r="CS176" s="57">
        <v>1</v>
      </c>
      <c r="CT176" s="57">
        <v>1</v>
      </c>
      <c r="CU176" s="57">
        <v>1</v>
      </c>
      <c r="CV176" s="58">
        <v>1</v>
      </c>
      <c r="CW176" s="58">
        <v>1</v>
      </c>
      <c r="CX176" s="57">
        <v>1</v>
      </c>
      <c r="CY176" s="57">
        <v>1</v>
      </c>
      <c r="CZ176" s="57">
        <v>1</v>
      </c>
      <c r="DA176" s="57">
        <v>1</v>
      </c>
      <c r="DB176" s="57">
        <v>1</v>
      </c>
      <c r="DC176" s="58">
        <v>1</v>
      </c>
      <c r="DD176" s="58">
        <v>1</v>
      </c>
      <c r="DE176" s="57">
        <v>1</v>
      </c>
      <c r="DF176" s="57">
        <v>1</v>
      </c>
      <c r="DG176" s="57">
        <v>1</v>
      </c>
      <c r="DH176" s="57">
        <v>1</v>
      </c>
      <c r="DI176" s="57">
        <v>1</v>
      </c>
      <c r="DJ176" s="58">
        <v>1</v>
      </c>
      <c r="DK176" s="58">
        <v>1</v>
      </c>
      <c r="DL176" s="57">
        <v>1</v>
      </c>
      <c r="DM176" s="57">
        <v>1</v>
      </c>
      <c r="DN176" s="57">
        <v>1</v>
      </c>
      <c r="DO176" s="57">
        <v>1</v>
      </c>
      <c r="DP176" s="57">
        <v>1</v>
      </c>
      <c r="DQ176" s="58">
        <v>1</v>
      </c>
      <c r="DR176" s="58">
        <v>1</v>
      </c>
      <c r="DS176" s="57">
        <v>1</v>
      </c>
      <c r="DT176" s="57">
        <v>0</v>
      </c>
      <c r="DU176" s="57">
        <v>0</v>
      </c>
      <c r="DV176" s="57">
        <v>0</v>
      </c>
      <c r="DW176" s="57">
        <v>0</v>
      </c>
      <c r="DX176" s="58">
        <v>0</v>
      </c>
      <c r="DY176" s="58">
        <v>0</v>
      </c>
      <c r="DZ176" s="57">
        <v>0</v>
      </c>
      <c r="EA176" s="57">
        <v>0</v>
      </c>
      <c r="EB176" s="57">
        <v>0</v>
      </c>
      <c r="EC176" s="57">
        <v>0</v>
      </c>
      <c r="ED176" s="57">
        <v>0</v>
      </c>
      <c r="EE176" s="58">
        <v>0</v>
      </c>
      <c r="EF176" s="58">
        <v>0</v>
      </c>
      <c r="EG176" s="57">
        <v>0</v>
      </c>
      <c r="EH176" s="57">
        <v>0</v>
      </c>
      <c r="EI176" s="57">
        <v>0</v>
      </c>
      <c r="EJ176" s="57">
        <v>0</v>
      </c>
      <c r="EK176" s="59">
        <v>0</v>
      </c>
      <c r="OU176" s="60" t="s">
        <v>100</v>
      </c>
    </row>
    <row r="177" ht="16" customHeight="1" spans="1:411" x14ac:dyDescent="0.25">
      <c r="A177" s="74"/>
      <c r="B177" s="46"/>
      <c r="C177" s="47"/>
      <c r="D177" s="48"/>
      <c r="E177" s="55" t="s">
        <v>61</v>
      </c>
      <c r="F177" s="49"/>
      <c r="G177" s="49"/>
      <c r="H177" s="49"/>
      <c r="I177" s="49"/>
      <c r="J177" s="50"/>
      <c r="K177" s="56">
        <v>8</v>
      </c>
      <c r="L177" s="57">
        <v>8</v>
      </c>
      <c r="M177" s="57">
        <v>8</v>
      </c>
      <c r="N177" s="57">
        <v>8</v>
      </c>
      <c r="O177" s="57">
        <v>8</v>
      </c>
      <c r="P177" s="58">
        <v>0</v>
      </c>
      <c r="Q177" s="58">
        <v>0</v>
      </c>
      <c r="R177" s="57">
        <v>8</v>
      </c>
      <c r="S177" s="57">
        <v>8</v>
      </c>
      <c r="T177" s="57">
        <v>8</v>
      </c>
      <c r="U177" s="57">
        <v>8</v>
      </c>
      <c r="V177" s="57">
        <v>8</v>
      </c>
      <c r="W177" s="58">
        <v>0</v>
      </c>
      <c r="X177" s="58">
        <v>0</v>
      </c>
      <c r="Y177" s="57">
        <v>8</v>
      </c>
      <c r="Z177" s="57">
        <v>8</v>
      </c>
      <c r="AA177" s="57">
        <v>8</v>
      </c>
      <c r="AB177" s="57">
        <v>8</v>
      </c>
      <c r="AC177" s="57">
        <v>8</v>
      </c>
      <c r="AD177" s="58">
        <v>0</v>
      </c>
      <c r="AE177" s="58">
        <v>0</v>
      </c>
      <c r="AF177" s="57">
        <v>8</v>
      </c>
      <c r="AG177" s="57">
        <v>8</v>
      </c>
      <c r="AH177" s="57">
        <v>8</v>
      </c>
      <c r="AI177" s="57">
        <v>8</v>
      </c>
      <c r="AJ177" s="57">
        <v>8</v>
      </c>
      <c r="AK177" s="58">
        <v>0</v>
      </c>
      <c r="AL177" s="58">
        <v>0</v>
      </c>
      <c r="AM177" s="57">
        <v>8</v>
      </c>
      <c r="AN177" s="57">
        <v>8</v>
      </c>
      <c r="AO177" s="57">
        <v>8</v>
      </c>
      <c r="AP177" s="57">
        <v>8</v>
      </c>
      <c r="AQ177" s="57">
        <v>8</v>
      </c>
      <c r="AR177" s="58">
        <v>0</v>
      </c>
      <c r="AS177" s="58">
        <v>0</v>
      </c>
      <c r="AT177" s="57">
        <v>8</v>
      </c>
      <c r="AU177" s="57">
        <v>8</v>
      </c>
      <c r="AV177" s="57">
        <v>8</v>
      </c>
      <c r="AW177" s="57">
        <v>8</v>
      </c>
      <c r="AX177" s="57">
        <v>8</v>
      </c>
      <c r="AY177" s="58">
        <v>0</v>
      </c>
      <c r="AZ177" s="58">
        <v>0</v>
      </c>
      <c r="BA177" s="57">
        <v>8</v>
      </c>
      <c r="BB177" s="57">
        <v>8</v>
      </c>
      <c r="BC177" s="57">
        <v>8</v>
      </c>
      <c r="BD177" s="57">
        <v>8</v>
      </c>
      <c r="BE177" s="57">
        <v>8</v>
      </c>
      <c r="BF177" s="58">
        <v>0</v>
      </c>
      <c r="BG177" s="58">
        <v>0</v>
      </c>
      <c r="BH177" s="57">
        <v>13</v>
      </c>
      <c r="BI177" s="57">
        <v>13</v>
      </c>
      <c r="BJ177" s="57">
        <v>13</v>
      </c>
      <c r="BK177" s="57">
        <v>13</v>
      </c>
      <c r="BL177" s="57">
        <v>13</v>
      </c>
      <c r="BM177" s="58">
        <v>13</v>
      </c>
      <c r="BN177" s="58">
        <v>13</v>
      </c>
      <c r="BO177" s="57">
        <v>13</v>
      </c>
      <c r="BP177" s="57">
        <v>13</v>
      </c>
      <c r="BQ177" s="57">
        <v>13</v>
      </c>
      <c r="BR177" s="57">
        <v>13</v>
      </c>
      <c r="BS177" s="57">
        <v>13</v>
      </c>
      <c r="BT177" s="58">
        <v>13</v>
      </c>
      <c r="BU177" s="58">
        <v>13</v>
      </c>
      <c r="BV177" s="57">
        <v>13</v>
      </c>
      <c r="BW177" s="57">
        <v>13</v>
      </c>
      <c r="BX177" s="57">
        <v>13</v>
      </c>
      <c r="BY177" s="57">
        <v>13</v>
      </c>
      <c r="BZ177" s="57">
        <v>13</v>
      </c>
      <c r="CA177" s="58">
        <v>13</v>
      </c>
      <c r="CB177" s="58">
        <v>13</v>
      </c>
      <c r="CC177" s="57">
        <v>13</v>
      </c>
      <c r="CD177" s="57">
        <v>13</v>
      </c>
      <c r="CE177" s="57">
        <v>13</v>
      </c>
      <c r="CF177" s="57">
        <v>13</v>
      </c>
      <c r="CG177" s="57">
        <v>13</v>
      </c>
      <c r="CH177" s="58">
        <v>13</v>
      </c>
      <c r="CI177" s="58">
        <v>13</v>
      </c>
      <c r="CJ177" s="57">
        <v>13</v>
      </c>
      <c r="CK177" s="57">
        <v>13</v>
      </c>
      <c r="CL177" s="57">
        <v>13</v>
      </c>
      <c r="CM177" s="57">
        <v>13</v>
      </c>
      <c r="CN177" s="57">
        <v>13</v>
      </c>
      <c r="CO177" s="58">
        <v>13</v>
      </c>
      <c r="CP177" s="58">
        <v>13</v>
      </c>
      <c r="CQ177" s="57">
        <v>13</v>
      </c>
      <c r="CR177" s="57">
        <v>13</v>
      </c>
      <c r="CS177" s="57">
        <v>13</v>
      </c>
      <c r="CT177" s="57">
        <v>13</v>
      </c>
      <c r="CU177" s="57">
        <v>13</v>
      </c>
      <c r="CV177" s="58">
        <v>13</v>
      </c>
      <c r="CW177" s="58">
        <v>13</v>
      </c>
      <c r="CX177" s="57">
        <v>13</v>
      </c>
      <c r="CY177" s="57">
        <v>13</v>
      </c>
      <c r="CZ177" s="57">
        <v>13</v>
      </c>
      <c r="DA177" s="57">
        <v>13</v>
      </c>
      <c r="DB177" s="57">
        <v>13</v>
      </c>
      <c r="DC177" s="58">
        <v>13</v>
      </c>
      <c r="DD177" s="58">
        <v>13</v>
      </c>
      <c r="DE177" s="57">
        <v>13</v>
      </c>
      <c r="DF177" s="57">
        <v>13</v>
      </c>
      <c r="DG177" s="57">
        <v>13</v>
      </c>
      <c r="DH177" s="57">
        <v>13</v>
      </c>
      <c r="DI177" s="57">
        <v>13</v>
      </c>
      <c r="DJ177" s="58">
        <v>13</v>
      </c>
      <c r="DK177" s="58">
        <v>13</v>
      </c>
      <c r="DL177" s="57">
        <v>13</v>
      </c>
      <c r="DM177" s="57">
        <v>13</v>
      </c>
      <c r="DN177" s="57">
        <v>13</v>
      </c>
      <c r="DO177" s="57">
        <v>13</v>
      </c>
      <c r="DP177" s="57">
        <v>13</v>
      </c>
      <c r="DQ177" s="58">
        <v>13</v>
      </c>
      <c r="DR177" s="58">
        <v>13</v>
      </c>
      <c r="DS177" s="57">
        <v>13</v>
      </c>
      <c r="DT177" s="57">
        <v>0</v>
      </c>
      <c r="DU177" s="57">
        <v>0</v>
      </c>
      <c r="DV177" s="57">
        <v>0</v>
      </c>
      <c r="DW177" s="57">
        <v>0</v>
      </c>
      <c r="DX177" s="58">
        <v>0</v>
      </c>
      <c r="DY177" s="58">
        <v>0</v>
      </c>
      <c r="DZ177" s="57">
        <v>0</v>
      </c>
      <c r="EA177" s="57">
        <v>0</v>
      </c>
      <c r="EB177" s="57">
        <v>0</v>
      </c>
      <c r="EC177" s="57">
        <v>0</v>
      </c>
      <c r="ED177" s="57">
        <v>0</v>
      </c>
      <c r="EE177" s="58">
        <v>0</v>
      </c>
      <c r="EF177" s="58">
        <v>0</v>
      </c>
      <c r="EG177" s="57">
        <v>0</v>
      </c>
      <c r="EH177" s="57">
        <v>0</v>
      </c>
      <c r="EI177" s="57">
        <v>0</v>
      </c>
      <c r="EJ177" s="57">
        <v>0</v>
      </c>
      <c r="EK177" s="59">
        <v>0</v>
      </c>
      <c r="OU177" s="60" t="s">
        <v>100</v>
      </c>
    </row>
    <row r="178" ht="16" customHeight="1" spans="1:411" x14ac:dyDescent="0.25">
      <c r="A178" s="74"/>
      <c r="B178" s="46"/>
      <c r="C178" s="61">
        <f>F175*N(D178)</f>
        <v>70859.2</v>
      </c>
      <c r="D178" s="61">
        <f>IF(TRIM(B175)="","No rate",IFERROR(INDEX('Rate Tables'!C$7:C$158,MATCH(B175,'Rate Tables'!A$7:A$158,0)),"No rate"))</f>
        <v>105.76</v>
      </c>
      <c r="E178" s="55" t="s">
        <v>62</v>
      </c>
      <c r="F178" s="49"/>
      <c r="G178" s="49"/>
      <c r="H178" s="49"/>
      <c r="I178" s="49"/>
      <c r="J178" s="50"/>
      <c r="K178" s="62">
        <f>IF(AND(K176=1,K177=8),8,MIN(IF(K176&lt;=0,0,IF(WEEKDAY(K$6,1)=1,0,MIN(8,K177)*K176)),MAX(0,40*MAX(1,K176)-(0))))</f>
        <v>8</v>
      </c>
      <c r="L178" s="63">
        <f>IF(AND(L176=1,L177=8),8,MIN(IF(L176&lt;=0,0,IF(WEEKDAY(L$6,1)=1,0,MIN(8,L177)*L176)),MAX(0,40*MAX(1,L176)-(K178))))</f>
        <v>8</v>
      </c>
      <c r="M178" s="63">
        <f>IF(AND(M176=1,M177=8),8,MIN(IF(M176&lt;=0,0,IF(WEEKDAY(M$6,1)=1,0,MIN(8,M177)*M176)),MAX(0,40*MAX(1,M176)-(K178+L178))))</f>
        <v>8</v>
      </c>
      <c r="N178" s="63">
        <f>IF(AND(N176=1,N177=8),8,MIN(IF(N176&lt;=0,0,IF(WEEKDAY(N$6,1)=1,0,MIN(8,N177)*N176)),MAX(0,40*MAX(1,N176)-(K178+L178+M178))))</f>
        <v>8</v>
      </c>
      <c r="O178" s="63">
        <f>IF(AND(O176=1,O177=8),8,MIN(IF(O176&lt;=0,0,IF(WEEKDAY(O$6,1)=1,0,MIN(8,O177)*O176)),MAX(0,40*MAX(1,O176)-(K178+L178+M178+N178))))</f>
        <v>8</v>
      </c>
      <c r="P178" s="64">
        <f>IF(AND(P176=0,P177=0),0,MIN(IF(P176&lt;=0,0,IF(WEEKDAY(P$6,1)=1,0,MIN(10,P177)*P176)),MAX(0,40*MAX(1,P176)-(0))))</f>
        <v>0</v>
      </c>
      <c r="Q178" s="64">
        <f>IF(AND(Q176=0,Q177=0),0,MIN(IF(Q176&lt;=0,0,IF(WEEKDAY(Q$6,1)=1,0,MIN(10,Q177)*Q176)),MAX(0,40*MAX(1,Q176)-(P178))))</f>
        <v>0</v>
      </c>
      <c r="R178" s="63">
        <f>IF(AND(R176=1,R177=8),8,MIN(IF(R176&lt;=0,0,IF(WEEKDAY(R$6,1)=1,0,MIN(8,R177)*R176)),MAX(0,40*MAX(1,R176)-(0))))</f>
        <v>8</v>
      </c>
      <c r="S178" s="63">
        <f>IF(AND(S176=1,S177=8),8,MIN(IF(S176&lt;=0,0,IF(WEEKDAY(S$6,1)=1,0,MIN(8,S177)*S176)),MAX(0,40*MAX(1,S176)-(R178))))</f>
        <v>8</v>
      </c>
      <c r="T178" s="63">
        <f>IF(AND(T176=1,T177=8),8,MIN(IF(T176&lt;=0,0,IF(WEEKDAY(T$6,1)=1,0,MIN(8,T177)*T176)),MAX(0,40*MAX(1,T176)-(R178+S178))))</f>
        <v>8</v>
      </c>
      <c r="U178" s="63">
        <f>IF(AND(U176=1,U177=8),8,MIN(IF(U176&lt;=0,0,IF(WEEKDAY(U$6,1)=1,0,MIN(8,U177)*U176)),MAX(0,40*MAX(1,U176)-(R178+S178+T178))))</f>
        <v>8</v>
      </c>
      <c r="V178" s="63">
        <f>IF(AND(V176=1,V177=8),8,MIN(IF(V176&lt;=0,0,IF(WEEKDAY(V$6,1)=1,0,MIN(8,V177)*V176)),MAX(0,40*MAX(1,V176)-(R178+S178+T178+U178))))</f>
        <v>8</v>
      </c>
      <c r="W178" s="64">
        <f>IF(AND(W176=0,W177=0),0,MIN(IF(W176&lt;=0,0,IF(WEEKDAY(W$6,1)=1,0,MIN(10,W177)*W176)),MAX(0,40*MAX(1,W176)-(0))))</f>
        <v>0</v>
      </c>
      <c r="X178" s="64">
        <f>IF(AND(X176=0,X177=0),0,MIN(IF(X176&lt;=0,0,IF(WEEKDAY(X$6,1)=1,0,MIN(10,X177)*X176)),MAX(0,40*MAX(1,X176)-(W178))))</f>
        <v>0</v>
      </c>
      <c r="Y178" s="63">
        <f>IF(AND(Y176=1,Y177=8),8,MIN(IF(Y176&lt;=0,0,IF(WEEKDAY(Y$6,1)=1,0,MIN(8,Y177)*Y176)),MAX(0,40*MAX(1,Y176)-(0))))</f>
        <v>8</v>
      </c>
      <c r="Z178" s="63">
        <f>IF(AND(Z176=1,Z177=8),8,MIN(IF(Z176&lt;=0,0,IF(WEEKDAY(Z$6,1)=1,0,MIN(8,Z177)*Z176)),MAX(0,40*MAX(1,Z176)-(Y178))))</f>
        <v>8</v>
      </c>
      <c r="AA178" s="63">
        <f>IF(AND(AA176=1,AA177=8),8,MIN(IF(AA176&lt;=0,0,IF(WEEKDAY(AA$6,1)=1,0,MIN(8,AA177)*AA176)),MAX(0,40*MAX(1,AA176)-(Y178+Z178))))</f>
        <v>8</v>
      </c>
      <c r="AB178" s="63">
        <f>IF(AND(AB176=1,AB177=8),8,MIN(IF(AB176&lt;=0,0,IF(WEEKDAY(AB$6,1)=1,0,MIN(8,AB177)*AB176)),MAX(0,40*MAX(1,AB176)-(Y178+Z178+AA178))))</f>
        <v>8</v>
      </c>
      <c r="AC178" s="63">
        <f>IF(AND(AC176=1,AC177=8),8,MIN(IF(AC176&lt;=0,0,IF(WEEKDAY(AC$6,1)=1,0,MIN(8,AC177)*AC176)),MAX(0,40*MAX(1,AC176)-(Y178+Z178+AA178+AB178))))</f>
        <v>8</v>
      </c>
      <c r="AD178" s="64">
        <f>IF(AND(AD176=0,AD177=0),0,MIN(IF(AD176&lt;=0,0,IF(WEEKDAY(AD$6,1)=1,0,MIN(10,AD177)*AD176)),MAX(0,40*MAX(1,AD176)-(0))))</f>
        <v>0</v>
      </c>
      <c r="AE178" s="64">
        <f>IF(AND(AE176=0,AE177=0),0,MIN(IF(AE176&lt;=0,0,IF(WEEKDAY(AE$6,1)=1,0,MIN(10,AE177)*AE176)),MAX(0,40*MAX(1,AE176)-(AD178))))</f>
        <v>0</v>
      </c>
      <c r="AF178" s="63">
        <f>IF(AND(AF176=1,AF177=8),8,MIN(IF(AF176&lt;=0,0,IF(WEEKDAY(AF$6,1)=1,0,MIN(8,AF177)*AF176)),MAX(0,40*MAX(1,AF176)-(0))))</f>
        <v>8</v>
      </c>
      <c r="AG178" s="63">
        <f>IF(AND(AG176=1,AG177=8),8,MIN(IF(AG176&lt;=0,0,IF(WEEKDAY(AG$6,1)=1,0,MIN(8,AG177)*AG176)),MAX(0,40*MAX(1,AG176)-(AF178))))</f>
        <v>8</v>
      </c>
      <c r="AH178" s="63">
        <f>IF(AND(AH176=1,AH177=8),8,MIN(IF(AH176&lt;=0,0,IF(WEEKDAY(AH$6,1)=1,0,MIN(8,AH177)*AH176)),MAX(0,40*MAX(1,AH176)-(AF178+AG178))))</f>
        <v>8</v>
      </c>
      <c r="AI178" s="63">
        <f>IF(AND(AI176=1,AI177=8),8,MIN(IF(AI176&lt;=0,0,IF(WEEKDAY(AI$6,1)=1,0,MIN(8,AI177)*AI176)),MAX(0,40*MAX(1,AI176)-(AF178+AG178+AH178))))</f>
        <v>8</v>
      </c>
      <c r="AJ178" s="63">
        <f>IF(AND(AJ176=1,AJ177=8),8,MIN(IF(AJ176&lt;=0,0,IF(WEEKDAY(AJ$6,1)=1,0,MIN(8,AJ177)*AJ176)),MAX(0,40*MAX(1,AJ176)-(AF178+AG178+AH178+AI178))))</f>
        <v>8</v>
      </c>
      <c r="AK178" s="64">
        <f>IF(AND(AK176=0,AK177=0),0,MIN(IF(AK176&lt;=0,0,IF(WEEKDAY(AK$6,1)=1,0,MIN(10,AK177)*AK176)),MAX(0,40*MAX(1,AK176)-(0))))</f>
        <v>0</v>
      </c>
      <c r="AL178" s="64">
        <f>IF(AND(AL176=0,AL177=0),0,MIN(IF(AL176&lt;=0,0,IF(WEEKDAY(AL$6,1)=1,0,MIN(10,AL177)*AL176)),MAX(0,40*MAX(1,AL176)-(AK178))))</f>
        <v>0</v>
      </c>
      <c r="AM178" s="63">
        <f>IF(AND(AM176=1,AM177=8),8,MIN(IF(AM176&lt;=0,0,IF(WEEKDAY(AM$6,1)=1,0,MIN(8,AM177)*AM176)),MAX(0,40*MAX(1,AM176)-(0))))</f>
        <v>8</v>
      </c>
      <c r="AN178" s="63">
        <f>IF(AND(AN176=1,AN177=8),8,MIN(IF(AN176&lt;=0,0,IF(WEEKDAY(AN$6,1)=1,0,MIN(8,AN177)*AN176)),MAX(0,40*MAX(1,AN176)-(AM178))))</f>
        <v>8</v>
      </c>
      <c r="AO178" s="63">
        <f>IF(AND(AO176=1,AO177=8),8,MIN(IF(AO176&lt;=0,0,IF(WEEKDAY(AO$6,1)=1,0,MIN(8,AO177)*AO176)),MAX(0,40*MAX(1,AO176)-(AM178+AN178))))</f>
        <v>8</v>
      </c>
      <c r="AP178" s="63">
        <f>IF(AND(AP176=1,AP177=8),8,MIN(IF(AP176&lt;=0,0,IF(WEEKDAY(AP$6,1)=1,0,MIN(8,AP177)*AP176)),MAX(0,40*MAX(1,AP176)-(AM178+AN178+AO178))))</f>
        <v>8</v>
      </c>
      <c r="AQ178" s="63">
        <f>IF(AND(AQ176=1,AQ177=8),8,MIN(IF(AQ176&lt;=0,0,IF(WEEKDAY(AQ$6,1)=1,0,MIN(8,AQ177)*AQ176)),MAX(0,40*MAX(1,AQ176)-(AM178+AN178+AO178+AP178))))</f>
        <v>8</v>
      </c>
      <c r="AR178" s="64">
        <f>IF(AND(AR176=0,AR177=0),0,MIN(IF(AR176&lt;=0,0,IF(WEEKDAY(AR$6,1)=1,0,MIN(10,AR177)*AR176)),MAX(0,40*MAX(1,AR176)-(0))))</f>
        <v>0</v>
      </c>
      <c r="AS178" s="64">
        <f>IF(AND(AS176=0,AS177=0),0,MIN(IF(AS176&lt;=0,0,IF(WEEKDAY(AS$6,1)=1,0,MIN(10,AS177)*AS176)),MAX(0,40*MAX(1,AS176)-(AR178))))</f>
        <v>0</v>
      </c>
      <c r="AT178" s="63">
        <f>IF(AND(AT176=1,AT177=8),8,MIN(IF(AT176&lt;=0,0,IF(WEEKDAY(AT$6,1)=1,0,MIN(8,AT177)*AT176)),MAX(0,40*MAX(1,AT176)-(0))))</f>
        <v>8</v>
      </c>
      <c r="AU178" s="63">
        <f>IF(AND(AU176=1,AU177=8),8,MIN(IF(AU176&lt;=0,0,IF(WEEKDAY(AU$6,1)=1,0,MIN(8,AU177)*AU176)),MAX(0,40*MAX(1,AU176)-(AT178))))</f>
        <v>8</v>
      </c>
      <c r="AV178" s="63">
        <f>IF(AND(AV176=1,AV177=8),8,MIN(IF(AV176&lt;=0,0,IF(WEEKDAY(AV$6,1)=1,0,MIN(8,AV177)*AV176)),MAX(0,40*MAX(1,AV176)-(AT178+AU178))))</f>
        <v>8</v>
      </c>
      <c r="AW178" s="63">
        <f>IF(AND(AW176=1,AW177=8),8,MIN(IF(AW176&lt;=0,0,IF(WEEKDAY(AW$6,1)=1,0,MIN(8,AW177)*AW176)),MAX(0,40*MAX(1,AW176)-(AT178+AU178+AV178))))</f>
        <v>8</v>
      </c>
      <c r="AX178" s="63">
        <f>IF(AND(AX176=1,AX177=8),8,MIN(IF(AX176&lt;=0,0,IF(WEEKDAY(AX$6,1)=1,0,MIN(8,AX177)*AX176)),MAX(0,40*MAX(1,AX176)-(AT178+AU178+AV178+AW178))))</f>
        <v>8</v>
      </c>
      <c r="AY178" s="64">
        <f>IF(AND(AY176=0,AY177=0),0,MIN(IF(AY176&lt;=0,0,IF(WEEKDAY(AY$6,1)=1,0,MIN(10,AY177)*AY176)),MAX(0,40*MAX(1,AY176)-(0))))</f>
        <v>0</v>
      </c>
      <c r="AZ178" s="64">
        <f>IF(AND(AZ176=0,AZ177=0),0,MIN(IF(AZ176&lt;=0,0,IF(WEEKDAY(AZ$6,1)=1,0,MIN(10,AZ177)*AZ176)),MAX(0,40*MAX(1,AZ176)-(AY178))))</f>
        <v>0</v>
      </c>
      <c r="BA178" s="63">
        <f>IF(AND(BA176=1,BA177=8),8,MIN(IF(BA176&lt;=0,0,IF(WEEKDAY(BA$6,1)=1,0,MIN(8,BA177)*BA176)),MAX(0,40*MAX(1,BA176)-(0))))</f>
        <v>8</v>
      </c>
      <c r="BB178" s="63">
        <f>IF(AND(BB176=1,BB177=8),8,MIN(IF(BB176&lt;=0,0,IF(WEEKDAY(BB$6,1)=1,0,MIN(8,BB177)*BB176)),MAX(0,40*MAX(1,BB176)-(BA178))))</f>
        <v>8</v>
      </c>
      <c r="BC178" s="63">
        <f>IF(AND(BC176=1,BC177=8),8,MIN(IF(BC176&lt;=0,0,IF(WEEKDAY(BC$6,1)=1,0,MIN(8,BC177)*BC176)),MAX(0,40*MAX(1,BC176)-(BA178+BB178))))</f>
        <v>8</v>
      </c>
      <c r="BD178" s="63">
        <f>IF(AND(BD176=1,BD177=8),8,MIN(IF(BD176&lt;=0,0,IF(WEEKDAY(BD$6,1)=1,0,MIN(8,BD177)*BD176)),MAX(0,40*MAX(1,BD176)-(BA178+BB178+BC178))))</f>
        <v>8</v>
      </c>
      <c r="BE178" s="63">
        <f>IF(AND(BE176=1,BE177=8),8,MIN(IF(BE176&lt;=0,0,IF(WEEKDAY(BE$6,1)=1,0,MIN(8,BE177)*BE176)),MAX(0,40*MAX(1,BE176)-(BA178+BB178+BC178+BD178))))</f>
        <v>8</v>
      </c>
      <c r="BF178" s="64">
        <f>IF(AND(BF176=0,BF177=0),0,MIN(IF(BF176&lt;=0,0,IF(WEEKDAY(BF$6,1)=1,0,MIN(10,BF177)*BF176)),MAX(0,40*MAX(1,BF176)-(0))))</f>
        <v>0</v>
      </c>
      <c r="BG178" s="64">
        <f>IF(AND(BG176=0,BG177=0),0,MIN(IF(BG176&lt;=0,0,IF(WEEKDAY(BG$6,1)=1,0,MIN(10,BG177)*BG176)),MAX(0,40*MAX(1,BG176)-(BF178))))</f>
        <v>0</v>
      </c>
      <c r="BH178" s="63">
        <f>IF(AND(BH176=1,BH177=13),10,MIN(IF(BH176&lt;=0,0,IF(WEEKDAY(BH$6,1)=1,0,MIN(10,BH177)*BH176)),MAX(0,40*MAX(1,BH176)-(0))))</f>
        <v>10</v>
      </c>
      <c r="BI178" s="63">
        <f>IF(AND(BI176=1,BI177=13),10,MIN(IF(BI176&lt;=0,0,IF(WEEKDAY(BI$6,1)=1,0,MIN(10,BI177)*BI176)),MAX(0,40*MAX(1,BI176)-(BH178))))</f>
        <v>10</v>
      </c>
      <c r="BJ178" s="63">
        <f>IF(AND(BJ176=1,BJ177=13),10,MIN(IF(BJ176&lt;=0,0,IF(WEEKDAY(BJ$6,1)=1,0,MIN(10,BJ177)*BJ176)),MAX(0,40*MAX(1,BJ176)-(BH178+BI178))))</f>
        <v>10</v>
      </c>
      <c r="BK178" s="63">
        <f>IF(AND(BK176=1,BK177=13),10,MIN(IF(BK176&lt;=0,0,IF(WEEKDAY(BK$6,1)=1,0,MIN(10,BK177)*BK176)),MAX(0,40*MAX(1,BK176)-(BH178+BI178+BJ178))))</f>
        <v>10</v>
      </c>
      <c r="BL178" s="63">
        <f>IF(AND(BL176=1,BL177=13),0,MIN(IF(BL176&lt;=0,0,IF(WEEKDAY(BL$6,1)=1,0,MIN(10,BL177)*BL176)),MAX(0,40*MAX(1,BL176)-(BH178+BI178+BJ178+BK178))))</f>
        <v>0</v>
      </c>
      <c r="BM178" s="64">
        <f>IF(AND(BM176=1,BM177=13),0,MIN(IF(BM176&lt;=0,0,IF(WEEKDAY(BM$6,1)=1,0,MIN(10,BM177)*BM176)),MAX(0,40*MAX(1,BM176)-(BH178+BI178+BJ178+BK178+BL178))))</f>
        <v>0</v>
      </c>
      <c r="BN178" s="64">
        <f>IF(AND(BN176=1,BN177=13),0,MIN(IF(BN176&lt;=0,0,IF(WEEKDAY(BN$6,1)=1,0,MIN(10,BN177)*BN176)),MAX(0,40*MAX(1,BN176)-(BH178+BI178+BJ178+BK178+BL178+BM178))))</f>
        <v>0</v>
      </c>
      <c r="BO178" s="63">
        <f>IF(AND(BO176=1,BO177=13),10,MIN(IF(BO176&lt;=0,0,IF(WEEKDAY(BO$6,1)=1,0,MIN(10,BO177)*BO176)),MAX(0,40*MAX(1,BO176)-(0))))</f>
        <v>10</v>
      </c>
      <c r="BP178" s="63">
        <f>IF(AND(BP176=1,BP177=13),10,MIN(IF(BP176&lt;=0,0,IF(WEEKDAY(BP$6,1)=1,0,MIN(10,BP177)*BP176)),MAX(0,40*MAX(1,BP176)-(BO178))))</f>
        <v>10</v>
      </c>
      <c r="BQ178" s="63">
        <f>IF(AND(BQ176=1,BQ177=13),10,MIN(IF(BQ176&lt;=0,0,IF(WEEKDAY(BQ$6,1)=1,0,MIN(10,BQ177)*BQ176)),MAX(0,40*MAX(1,BQ176)-(BO178+BP178))))</f>
        <v>10</v>
      </c>
      <c r="BR178" s="63">
        <f>IF(AND(BR176=1,BR177=13),10,MIN(IF(BR176&lt;=0,0,IF(WEEKDAY(BR$6,1)=1,0,MIN(10,BR177)*BR176)),MAX(0,40*MAX(1,BR176)-(0))))</f>
        <v>10</v>
      </c>
      <c r="BS178" s="63">
        <f>IF(AND(BS176=1,BS177=13),10,MIN(IF(BS176&lt;=0,0,IF(WEEKDAY(BS$6,1)=1,0,MIN(10,BS177)*BS176)),MAX(0,40*MAX(1,BS176)-(BR178))))</f>
        <v>10</v>
      </c>
      <c r="BT178" s="64">
        <f>IF(AND(BT176=1,BT177=13),10,MIN(IF(BT176&lt;=0,0,IF(WEEKDAY(BT$6,1)=1,0,MIN(10,BT177)*BT176)),MAX(0,40*MAX(1,BT176)-(BR178+BS178))))</f>
        <v>10</v>
      </c>
      <c r="BU178" s="64">
        <f>IF(AND(BU176=1,BU177=13),0,MIN(IF(BU176&lt;=0,0,IF(WEEKDAY(BU$6,1)=1,0,MIN(10,BU177)*BU176)),MAX(0,40*MAX(1,BU176)-(BR178+BS178+BT178))))</f>
        <v>0</v>
      </c>
      <c r="BV178" s="63">
        <f>IF(AND(BV176=1,BV177=13),10,MIN(IF(BV176&lt;=0,0,IF(WEEKDAY(BV$6,1)=1,0,MIN(10,BV177)*BV176)),MAX(0,40*MAX(1,BV176)-(0))))</f>
        <v>10</v>
      </c>
      <c r="BW178" s="63">
        <f>IF(AND(BW176=1,BW177=13),10,MIN(IF(BW176&lt;=0,0,IF(WEEKDAY(BW$6,1)=1,0,MIN(10,BW177)*BW176)),MAX(0,40*MAX(1,BW176)-(BV178))))</f>
        <v>10</v>
      </c>
      <c r="BX178" s="63">
        <f>IF(AND(BX176=1,BX177=13),10,MIN(IF(BX176&lt;=0,0,IF(WEEKDAY(BX$6,1)=1,0,MIN(10,BX177)*BX176)),MAX(0,40*MAX(1,BX176)-(BV178+BW178))))</f>
        <v>10</v>
      </c>
      <c r="BY178" s="63">
        <f>IF(AND(BY176=1,BY177=13),10,MIN(IF(BY176&lt;=0,0,IF(WEEKDAY(BY$6,1)=1,0,MIN(10,BY177)*BY176)),MAX(0,40*MAX(1,BY176)-(BV178+BW178+BX178))))</f>
        <v>10</v>
      </c>
      <c r="BZ178" s="63">
        <f>IF(AND(BZ176=1,BZ177=13),0,MIN(IF(BZ176&lt;=0,0,IF(WEEKDAY(BZ$6,1)=1,0,MIN(10,BZ177)*BZ176)),MAX(0,40*MAX(1,BZ176)-(BV178+BW178+BX178+BY178))))</f>
        <v>0</v>
      </c>
      <c r="CA178" s="64">
        <f>IF(AND(CA176=1,CA177=13),0,MIN(IF(CA176&lt;=0,0,IF(WEEKDAY(CA$6,1)=1,0,MIN(10,CA177)*CA176)),MAX(0,40*MAX(1,CA176)-(BV178+BW178+BX178+BY178+BZ178))))</f>
        <v>0</v>
      </c>
      <c r="CB178" s="64">
        <f>IF(AND(CB176=1,CB177=13),0,MIN(IF(CB176&lt;=0,0,IF(WEEKDAY(CB$6,1)=1,0,MIN(10,CB177)*CB176)),MAX(0,40*MAX(1,CB176)-(BV178+BW178+BX178+BY178+BZ178+CA178))))</f>
        <v>0</v>
      </c>
      <c r="CC178" s="63">
        <f>IF(AND(CC176=1,CC177=13),10,MIN(IF(CC176&lt;=0,0,IF(WEEKDAY(CC$6,1)=1,0,MIN(10,CC177)*CC176)),MAX(0,40*MAX(1,CC176)-(0))))</f>
        <v>10</v>
      </c>
      <c r="CD178" s="63">
        <f>IF(AND(CD176=1,CD177=13),10,MIN(IF(CD176&lt;=0,0,IF(WEEKDAY(CD$6,1)=1,0,MIN(10,CD177)*CD176)),MAX(0,40*MAX(1,CD176)-(CC178))))</f>
        <v>10</v>
      </c>
      <c r="CE178" s="63">
        <f>IF(AND(CE176=1,CE177=13),10,MIN(IF(CE176&lt;=0,0,IF(WEEKDAY(CE$6,1)=1,0,MIN(10,CE177)*CE176)),MAX(0,40*MAX(1,CE176)-(CC178+CD178))))</f>
        <v>10</v>
      </c>
      <c r="CF178" s="63">
        <f>IF(AND(CF176=1,CF177=13),10,MIN(IF(CF176&lt;=0,0,IF(WEEKDAY(CF$6,1)=1,0,MIN(10,CF177)*CF176)),MAX(0,40*MAX(1,CF176)-(CC178+CD178+CE178))))</f>
        <v>10</v>
      </c>
      <c r="CG178" s="63">
        <f>IF(AND(CG176=1,CG177=13),0,MIN(IF(CG176&lt;=0,0,IF(WEEKDAY(CG$6,1)=1,0,MIN(10,CG177)*CG176)),MAX(0,40*MAX(1,CG176)-(CC178+CD178+CE178+CF178))))</f>
        <v>0</v>
      </c>
      <c r="CH178" s="64">
        <f>IF(AND(CH176=1,CH177=13),0,MIN(IF(CH176&lt;=0,0,IF(WEEKDAY(CH$6,1)=1,0,MIN(10,CH177)*CH176)),MAX(0,40*MAX(1,CH176)-(CC178+CD178+CE178+CF178+CG178))))</f>
        <v>0</v>
      </c>
      <c r="CI178" s="64">
        <f>IF(AND(CI176=1,CI177=13),0,MIN(IF(CI176&lt;=0,0,IF(WEEKDAY(CI$6,1)=1,0,MIN(10,CI177)*CI176)),MAX(0,40*MAX(1,CI176)-(CC178+CD178+CE178+CF178+CG178+CH178))))</f>
        <v>0</v>
      </c>
      <c r="CJ178" s="63">
        <f>IF(AND(CJ176=1,CJ177=13),10,MIN(IF(CJ176&lt;=0,0,IF(WEEKDAY(CJ$6,1)=1,0,MIN(10,CJ177)*CJ176)),MAX(0,40*MAX(1,CJ176)-(0))))</f>
        <v>10</v>
      </c>
      <c r="CK178" s="63">
        <f>IF(AND(CK176=1,CK177=13),10,MIN(IF(CK176&lt;=0,0,IF(WEEKDAY(CK$6,1)=1,0,MIN(10,CK177)*CK176)),MAX(0,40*MAX(1,CK176)-(CJ178))))</f>
        <v>10</v>
      </c>
      <c r="CL178" s="63">
        <f>IF(AND(CL176=1,CL177=13),10,MIN(IF(CL176&lt;=0,0,IF(WEEKDAY(CL$6,1)=1,0,MIN(10,CL177)*CL176)),MAX(0,40*MAX(1,CL176)-(CJ178+CK178))))</f>
        <v>10</v>
      </c>
      <c r="CM178" s="63">
        <f>IF(AND(CM176=1,CM177=13),10,MIN(IF(CM176&lt;=0,0,IF(WEEKDAY(CM$6,1)=1,0,MIN(10,CM177)*CM176)),MAX(0,40*MAX(1,CM176)-(CJ178+CK178+CL178))))</f>
        <v>10</v>
      </c>
      <c r="CN178" s="63">
        <f>IF(AND(CN176=1,CN177=13),0,MIN(IF(CN176&lt;=0,0,IF(WEEKDAY(CN$6,1)=1,0,MIN(10,CN177)*CN176)),MAX(0,40*MAX(1,CN176)-(CJ178+CK178+CL178+CM178))))</f>
        <v>0</v>
      </c>
      <c r="CO178" s="64">
        <f>IF(AND(CO176=1,CO177=13),0,MIN(IF(CO176&lt;=0,0,IF(WEEKDAY(CO$6,1)=1,0,MIN(10,CO177)*CO176)),MAX(0,40*MAX(1,CO176)-(CJ178+CK178+CL178+CM178+CN178))))</f>
        <v>0</v>
      </c>
      <c r="CP178" s="64">
        <f>IF(AND(CP176=1,CP177=13),0,MIN(IF(CP176&lt;=0,0,IF(WEEKDAY(CP$6,1)=1,0,MIN(10,CP177)*CP176)),MAX(0,40*MAX(1,CP176)-(CJ178+CK178+CL178+CM178+CN178+CO178))))</f>
        <v>0</v>
      </c>
      <c r="CQ178" s="63">
        <f>IF(AND(CQ176=1,CQ177=13),10,MIN(IF(CQ176&lt;=0,0,IF(WEEKDAY(CQ$6,1)=1,0,MIN(10,CQ177)*CQ176)),MAX(0,40*MAX(1,CQ176)-(0))))</f>
        <v>10</v>
      </c>
      <c r="CR178" s="63">
        <f>IF(AND(CR176=1,CR177=13),10,MIN(IF(CR176&lt;=0,0,IF(WEEKDAY(CR$6,1)=1,0,MIN(10,CR177)*CR176)),MAX(0,40*MAX(1,CR176)-(CQ178))))</f>
        <v>10</v>
      </c>
      <c r="CS178" s="63">
        <f>IF(AND(CS176=1,CS177=13),10,MIN(IF(CS176&lt;=0,0,IF(WEEKDAY(CS$6,1)=1,0,MIN(10,CS177)*CS176)),MAX(0,40*MAX(1,CS176)-(CQ178+CR178))))</f>
        <v>10</v>
      </c>
      <c r="CT178" s="63">
        <f>IF(AND(CT176=1,CT177=13),10,MIN(IF(CT176&lt;=0,0,IF(WEEKDAY(CT$6,1)=1,0,MIN(10,CT177)*CT176)),MAX(0,40*MAX(1,CT176)-(CQ178+CR178+CS178))))</f>
        <v>10</v>
      </c>
      <c r="CU178" s="63">
        <f>IF(AND(CU176=1,CU177=13),0,MIN(IF(CU176&lt;=0,0,IF(WEEKDAY(CU$6,1)=1,0,MIN(10,CU177)*CU176)),MAX(0,40*MAX(1,CU176)-(CQ178+CR178+CS178+CT178))))</f>
        <v>0</v>
      </c>
      <c r="CV178" s="64">
        <f>IF(AND(CV176=1,CV177=13),0,MIN(IF(CV176&lt;=0,0,IF(WEEKDAY(CV$6,1)=1,0,MIN(10,CV177)*CV176)),MAX(0,40*MAX(1,CV176)-(CQ178+CR178+CS178+CT178+CU178))))</f>
        <v>0</v>
      </c>
      <c r="CW178" s="64">
        <f>IF(AND(CW176=1,CW177=13),0,MIN(IF(CW176&lt;=0,0,IF(WEEKDAY(CW$6,1)=1,0,MIN(10,CW177)*CW176)),MAX(0,40*MAX(1,CW176)-(CQ178+CR178+CS178+CT178+CU178+CV178))))</f>
        <v>0</v>
      </c>
      <c r="CX178" s="63">
        <f>IF(AND(CX176=1,CX177=13),10,MIN(IF(CX176&lt;=0,0,IF(WEEKDAY(CX$6,1)=1,0,MIN(10,CX177)*CX176)),MAX(0,40*MAX(1,CX176)-(0))))</f>
        <v>10</v>
      </c>
      <c r="CY178" s="63">
        <f>IF(AND(CY176=1,CY177=13),10,MIN(IF(CY176&lt;=0,0,IF(WEEKDAY(CY$6,1)=1,0,MIN(10,CY177)*CY176)),MAX(0,40*MAX(1,CY176)-(CX178))))</f>
        <v>10</v>
      </c>
      <c r="CZ178" s="63">
        <f>IF(AND(CZ176=1,CZ177=13),10,MIN(IF(CZ176&lt;=0,0,IF(WEEKDAY(CZ$6,1)=1,0,MIN(10,CZ177)*CZ176)),MAX(0,40*MAX(1,CZ176)-(CX178+CY178))))</f>
        <v>10</v>
      </c>
      <c r="DA178" s="63">
        <f>IF(AND(DA176=1,DA177=13),10,MIN(IF(DA176&lt;=0,0,IF(WEEKDAY(DA$6,1)=1,0,MIN(10,DA177)*DA176)),MAX(0,40*MAX(1,DA176)-(CX178+CY178+CZ178))))</f>
        <v>10</v>
      </c>
      <c r="DB178" s="63">
        <f>IF(AND(DB176=1,DB177=13),0,MIN(IF(DB176&lt;=0,0,IF(WEEKDAY(DB$6,1)=1,0,MIN(10,DB177)*DB176)),MAX(0,40*MAX(1,DB176)-(CX178+CY178+CZ178+DA178))))</f>
        <v>0</v>
      </c>
      <c r="DC178" s="64">
        <f>IF(AND(DC176=1,DC177=13),0,MIN(IF(DC176&lt;=0,0,IF(WEEKDAY(DC$6,1)=1,0,MIN(10,DC177)*DC176)),MAX(0,40*MAX(1,DC176)-(CX178+CY178+CZ178+DA178+DB178))))</f>
        <v>0</v>
      </c>
      <c r="DD178" s="64">
        <f>IF(AND(DD176=1,DD177=13),0,MIN(IF(DD176&lt;=0,0,IF(WEEKDAY(DD$6,1)=1,0,MIN(10,DD177)*DD176)),MAX(0,40*MAX(1,DD176)-(0))))</f>
        <v>0</v>
      </c>
      <c r="DE178" s="63">
        <f>IF(AND(DE176=1,DE177=13),10,MIN(IF(DE176&lt;=0,0,IF(WEEKDAY(DE$6,1)=1,0,MIN(10,DE177)*DE176)),MAX(0,40*MAX(1,DE176)-(0))))</f>
        <v>10</v>
      </c>
      <c r="DF178" s="63">
        <f>IF(AND(DF176=1,DF177=13),10,MIN(IF(DF176&lt;=0,0,IF(WEEKDAY(DF$6,1)=1,0,MIN(10,DF177)*DF176)),MAX(0,40*MAX(1,DF176)-(DE178))))</f>
        <v>10</v>
      </c>
      <c r="DG178" s="63">
        <f>IF(AND(DG176=1,DG177=13),10,MIN(IF(DG176&lt;=0,0,IF(WEEKDAY(DG$6,1)=1,0,MIN(10,DG177)*DG176)),MAX(0,40*MAX(1,DG176)-(DE178+DF178))))</f>
        <v>10</v>
      </c>
      <c r="DH178" s="63">
        <f>IF(AND(DH176=1,DH177=13),10,MIN(IF(DH176&lt;=0,0,IF(WEEKDAY(DH$6,1)=1,0,MIN(10,DH177)*DH176)),MAX(0,40*MAX(1,DH176)-(DE178+DF178+DG178))))</f>
        <v>10</v>
      </c>
      <c r="DI178" s="63">
        <f>IF(AND(DI176=1,DI177=13),0,MIN(IF(DI176&lt;=0,0,IF(WEEKDAY(DI$6,1)=1,0,MIN(10,DI177)*DI176)),MAX(0,40*MAX(1,DI176)-(DE178+DF178+DG178+DH178))))</f>
        <v>0</v>
      </c>
      <c r="DJ178" s="64">
        <f>IF(AND(DJ176=1,DJ177=13),0,MIN(IF(DJ176&lt;=0,0,IF(WEEKDAY(DJ$6,1)=1,0,MIN(10,DJ177)*DJ176)),MAX(0,40*MAX(1,DJ176)-(DE178+DF178+DG178+DH178+DI178))))</f>
        <v>0</v>
      </c>
      <c r="DK178" s="64">
        <f>IF(AND(DK176=1,DK177=13),0,MIN(IF(DK176&lt;=0,0,IF(WEEKDAY(DK$6,1)=1,0,MIN(10,DK177)*DK176)),MAX(0,40*MAX(1,DK176)-(DE178+DF178+DG178+DH178+DI178+DJ178))))</f>
        <v>0</v>
      </c>
      <c r="DL178" s="63">
        <f>IF(AND(DL176=1,DL177=13),10,MIN(IF(DL176&lt;=0,0,IF(WEEKDAY(DL$6,1)=1,0,MIN(10,DL177)*DL176)),MAX(0,40*MAX(1,DL176)-(0))))</f>
        <v>10</v>
      </c>
      <c r="DM178" s="63">
        <f>IF(AND(DM176=1,DM177=13),10,MIN(IF(DM176&lt;=0,0,IF(WEEKDAY(DM$6,1)=1,0,MIN(10,DM177)*DM176)),MAX(0,40*MAX(1,DM176)-(DL178))))</f>
        <v>10</v>
      </c>
      <c r="DN178" s="63">
        <f>IF(AND(DN176=1,DN177=13),10,MIN(IF(DN176&lt;=0,0,IF(WEEKDAY(DN$6,1)=1,0,MIN(10,DN177)*DN176)),MAX(0,40*MAX(1,DN176)-(DL178+DM178))))</f>
        <v>10</v>
      </c>
      <c r="DO178" s="63">
        <f>IF(AND(DO176=1,DO177=13),10,MIN(IF(DO176&lt;=0,0,IF(WEEKDAY(DO$6,1)=1,0,MIN(10,DO177)*DO176)),MAX(0,40*MAX(1,DO176)-(DL178+DM178+DN178))))</f>
        <v>10</v>
      </c>
      <c r="DP178" s="63">
        <f>IF(AND(DP176=1,DP177=13),0,MIN(IF(DP176&lt;=0,0,IF(WEEKDAY(DP$6,1)=1,0,MIN(10,DP177)*DP176)),MAX(0,40*MAX(1,DP176)-(DL178+DM178+DN178+DO178))))</f>
        <v>0</v>
      </c>
      <c r="DQ178" s="64">
        <f>IF(AND(DQ176=1,DQ177=13),0,MIN(IF(DQ176&lt;=0,0,IF(WEEKDAY(DQ$6,1)=1,0,MIN(10,DQ177)*DQ176)),MAX(0,40*MAX(1,DQ176)-(DL178+DM178+DN178+DO178+DP178))))</f>
        <v>0</v>
      </c>
      <c r="DR178" s="64">
        <f>IF(AND(DR176=1,DR177=13),0,MIN(IF(DR176&lt;=0,0,IF(WEEKDAY(DR$6,1)=1,0,MIN(10,DR177)*DR176)),MAX(0,40*MAX(1,DR176)-(DL178+DM178+DN178+DO178+DP178+DQ178))))</f>
        <v>0</v>
      </c>
      <c r="DS178" s="63">
        <f>IF(AND(DS176=1,DS177=13),10,MIN(IF(DS176&lt;=0,0,IF(WEEKDAY(DS$6,1)=1,0,MIN(10,DS177)*DS176)),MAX(0,40*MAX(1,DS176)-(0))))</f>
        <v>10</v>
      </c>
      <c r="DT178" s="63">
        <f>IF(AND(DT176=0,DT177=0),0,MIN(IF(DT176&lt;=0,0,IF(WEEKDAY(DT$6,1)=1,0,MIN(8,DT177)*DT176)),MAX(0,40*MAX(1,DT176)-(0))))</f>
        <v>0</v>
      </c>
      <c r="DU178" s="63">
        <f>IF(AND(DU176=0,DU177=0),0,MIN(IF(DU176&lt;=0,0,IF(WEEKDAY(DU$6,1)=1,0,MIN(8,DU177)*DU176)),MAX(0,40*MAX(1,DU176)-(DT178))))</f>
        <v>0</v>
      </c>
      <c r="DV178" s="63">
        <f>IF(AND(DV176=0,DV177=0),0,MIN(IF(DV176&lt;=0,0,IF(WEEKDAY(DV$6,1)=1,0,MIN(8,DV177)*DV176)),MAX(0,40*MAX(1,DV176)-(DT178+DU178))))</f>
        <v>0</v>
      </c>
      <c r="DW178" s="63">
        <f>IF(AND(DW176=0,DW177=0),0,MIN(IF(DW176&lt;=0,0,IF(WEEKDAY(DW$6,1)=1,0,MIN(8,DW177)*DW176)),MAX(0,40*MAX(1,DW176)-(DT178+DU178+DV178))))</f>
        <v>0</v>
      </c>
      <c r="DX178" s="64">
        <f>IF(AND(DX176=0,DX177=0),0,MIN(IF(DX176&lt;=0,0,IF(WEEKDAY(DX$6,1)=1,0,MIN(10,DX177)*DX176)),MAX(0,40*MAX(1,DX176)-(0))))</f>
        <v>0</v>
      </c>
      <c r="DY178" s="64">
        <f>IF(AND(DY176=0,DY177=0),0,MIN(IF(DY176&lt;=0,0,IF(WEEKDAY(DY$6,1)=1,0,MIN(10,DY177)*DY176)),MAX(0,40*MAX(1,DY176)-(DX178))))</f>
        <v>0</v>
      </c>
      <c r="DZ178" s="63">
        <f>IF(AND(DZ176=0,DZ177=0),0,MIN(IF(DZ176&lt;=0,0,IF(WEEKDAY(DZ$6,1)=1,0,MIN(8,DZ177)*DZ176)),MAX(0,40*MAX(1,DZ176)-(0))))</f>
        <v>0</v>
      </c>
      <c r="EA178" s="63">
        <f>IF(AND(EA176=0,EA177=0),0,MIN(IF(EA176&lt;=0,0,IF(WEEKDAY(EA$6,1)=1,0,MIN(8,EA177)*EA176)),MAX(0,40*MAX(1,EA176)-(DZ178))))</f>
        <v>0</v>
      </c>
      <c r="EB178" s="63">
        <f>IF(AND(EB176=0,EB177=0),0,MIN(IF(EB176&lt;=0,0,IF(WEEKDAY(EB$6,1)=1,0,MIN(8,EB177)*EB176)),MAX(0,40*MAX(1,EB176)-(DZ178+EA178))))</f>
        <v>0</v>
      </c>
      <c r="EC178" s="63">
        <f>IF(AND(EC176=0,EC177=0),0,MIN(IF(EC176&lt;=0,0,IF(WEEKDAY(EC$6,1)=1,0,MIN(8,EC177)*EC176)),MAX(0,40*MAX(1,EC176)-(DZ178+EA178+EB178))))</f>
        <v>0</v>
      </c>
      <c r="ED178" s="63">
        <f>IF(AND(ED176=0,ED177=0),0,MIN(IF(ED176&lt;=0,0,IF(WEEKDAY(ED$6,1)=1,0,MIN(8,ED177)*ED176)),MAX(0,40*MAX(1,ED176)-(DZ178+EA178+EB178+EC178))))</f>
        <v>0</v>
      </c>
      <c r="EE178" s="64">
        <f>IF(AND(EE176=0,EE177=0),0,MIN(IF(EE176&lt;=0,0,IF(WEEKDAY(EE$6,1)=1,0,MIN(10,EE177)*EE176)),MAX(0,40*MAX(1,EE176)-(0))))</f>
        <v>0</v>
      </c>
      <c r="EF178" s="64">
        <f>IF(AND(EF176=0,EF177=0),0,MIN(IF(EF176&lt;=0,0,IF(WEEKDAY(EF$6,1)=1,0,MIN(10,EF177)*EF176)),MAX(0,40*MAX(1,EF176)-(EE178))))</f>
        <v>0</v>
      </c>
      <c r="EG178" s="63">
        <f>IF(AND(EG176=0,EG177=0),0,MIN(IF(EG176&lt;=0,0,IF(WEEKDAY(EG$6,1)=1,0,MIN(8,EG177)*EG176)),MAX(0,40*MAX(1,EG176)-(0))))</f>
        <v>0</v>
      </c>
      <c r="EH178" s="63">
        <f>IF(AND(EH176=0,EH177=0),0,MIN(IF(EH176&lt;=0,0,IF(WEEKDAY(EH$6,1)=1,0,MIN(8,EH177)*EH176)),MAX(0,40*MAX(1,EH176)-(EG178))))</f>
        <v>0</v>
      </c>
      <c r="EI178" s="63">
        <f>IF(AND(EI176=0,EI177=0),0,MIN(IF(EI176&lt;=0,0,IF(WEEKDAY(EI$6,1)=1,0,MIN(8,EI177)*EI176)),MAX(0,40*MAX(1,EI176)-(EG178+EH178))))</f>
        <v>0</v>
      </c>
      <c r="EJ178" s="63">
        <f>IF(AND(EJ176=0,EJ177=0),0,MIN(IF(EJ176&lt;=0,0,IF(WEEKDAY(EJ$6,1)=1,0,MIN(8,EJ177)*EJ176)),MAX(0,40*MAX(1,EJ176)-(EG178+EH178+EI178))))</f>
        <v>0</v>
      </c>
      <c r="EK178" s="65">
        <f>IF(AND(EK176=0,EK177=0),0,MIN(IF(EK176&lt;=0,0,IF(WEEKDAY(EK$6,1)=1,0,MIN(8,EK177)*EK176)),MAX(0,40*MAX(1,EK176)-(EG178+EH178+EI178+EJ178))))</f>
        <v>0</v>
      </c>
      <c r="OU178" s="28" t="s">
        <v>100</v>
      </c>
    </row>
    <row r="179" ht="16" customHeight="1" spans="1:411" x14ac:dyDescent="0.25">
      <c r="A179" s="74"/>
      <c r="B179" s="46"/>
      <c r="C179" s="66">
        <f>G175*N(D179)</f>
        <v>46725.25</v>
      </c>
      <c r="D179" s="66">
        <f>IF(TRIM(B175)="","No rate",IFERROR(INDEX('Rate Tables'!D$7:D$158,MATCH(B175,'Rate Tables'!A$7:A$158,0)),"No rate"))</f>
        <v>143.77</v>
      </c>
      <c r="E179" s="55" t="s">
        <v>63</v>
      </c>
      <c r="F179" s="49"/>
      <c r="G179" s="49"/>
      <c r="H179" s="49"/>
      <c r="I179" s="49"/>
      <c r="J179" s="50"/>
      <c r="K179" s="62">
        <f>IF(AND(K176=1,K177=8),0,IF(K176&lt;=0,0,IF(WEEKDAY(K$6,1)=1,0,MAX(0,K177-8)*K176))+((IF(K176&lt;=0,0,IF(WEEKDAY(K$6,1)=1,0,MIN(8,K177)*K176)))-MIN(IF(K176&lt;=0,0,IF(WEEKDAY(K$6,1)=1,0,MIN(8,K177)*K176)),MAX(0,40*MAX(1,K176)-(0)))))</f>
        <v>0</v>
      </c>
      <c r="L179" s="63">
        <f>IF(AND(L176=1,L177=8),0,IF(L176&lt;=0,0,IF(WEEKDAY(L$6,1)=1,0,MAX(0,L177-8)*L176))+((IF(L176&lt;=0,0,IF(WEEKDAY(L$6,1)=1,0,MIN(8,L177)*L176)))-MIN(IF(L176&lt;=0,0,IF(WEEKDAY(L$6,1)=1,0,MIN(8,L177)*L176)),MAX(0,40*MAX(1,L176)-(K178)))))</f>
        <v>0</v>
      </c>
      <c r="M179" s="63">
        <f>IF(AND(M176=1,M177=8),0,IF(M176&lt;=0,0,IF(WEEKDAY(M$6,1)=1,0,MAX(0,M177-8)*M176))+((IF(M176&lt;=0,0,IF(WEEKDAY(M$6,1)=1,0,MIN(8,M177)*M176)))-MIN(IF(M176&lt;=0,0,IF(WEEKDAY(M$6,1)=1,0,MIN(8,M177)*M176)),MAX(0,40*MAX(1,M176)-(K178+L178)))))</f>
        <v>0</v>
      </c>
      <c r="N179" s="63">
        <f>IF(AND(N176=1,N177=8),0,IF(N176&lt;=0,0,IF(WEEKDAY(N$6,1)=1,0,MAX(0,N177-8)*N176))+((IF(N176&lt;=0,0,IF(WEEKDAY(N$6,1)=1,0,MIN(8,N177)*N176)))-MIN(IF(N176&lt;=0,0,IF(WEEKDAY(N$6,1)=1,0,MIN(8,N177)*N176)),MAX(0,40*MAX(1,N176)-(K178+L178+M178)))))</f>
        <v>0</v>
      </c>
      <c r="O179" s="63">
        <f>IF(AND(O176=1,O177=8),0,IF(O176&lt;=0,0,IF(WEEKDAY(O$6,1)=1,0,MAX(0,O177-8)*O176))+((IF(O176&lt;=0,0,IF(WEEKDAY(O$6,1)=1,0,MIN(8,O177)*O176)))-MIN(IF(O176&lt;=0,0,IF(WEEKDAY(O$6,1)=1,0,MIN(8,O177)*O176)),MAX(0,40*MAX(1,O176)-(K178+L178+M178+N178)))))</f>
        <v>0</v>
      </c>
      <c r="P179" s="64">
        <f>IF(AND(P176=0,P177=0),0,IF(P176&lt;=0,0,IF(WEEKDAY(P$6,1)=1,0,MAX(0,P177-10)*P176))+((IF(P176&lt;=0,0,IF(WEEKDAY(P$6,1)=1,0,MIN(10,P177)*P176)))-MIN(IF(P176&lt;=0,0,IF(WEEKDAY(P$6,1)=1,0,MIN(10,P177)*P176)),MAX(0,40*MAX(1,P176)-(0)))))</f>
        <v>0</v>
      </c>
      <c r="Q179" s="64">
        <f>IF(AND(Q176=0,Q177=0),0,IF(Q176&lt;=0,0,IF(WEEKDAY(Q$6,1)=1,0,MAX(0,Q177-10)*Q176))+((IF(Q176&lt;=0,0,IF(WEEKDAY(Q$6,1)=1,0,MIN(10,Q177)*Q176)))-MIN(IF(Q176&lt;=0,0,IF(WEEKDAY(Q$6,1)=1,0,MIN(10,Q177)*Q176)),MAX(0,40*MAX(1,Q176)-(P178)))))</f>
        <v>0</v>
      </c>
      <c r="R179" s="63">
        <f>IF(AND(R176=1,R177=8),0,IF(R176&lt;=0,0,IF(WEEKDAY(R$6,1)=1,0,MAX(0,R177-8)*R176))+((IF(R176&lt;=0,0,IF(WEEKDAY(R$6,1)=1,0,MIN(8,R177)*R176)))-MIN(IF(R176&lt;=0,0,IF(WEEKDAY(R$6,1)=1,0,MIN(8,R177)*R176)),MAX(0,40*MAX(1,R176)-(0)))))</f>
        <v>0</v>
      </c>
      <c r="S179" s="63">
        <f>IF(AND(S176=1,S177=8),0,IF(S176&lt;=0,0,IF(WEEKDAY(S$6,1)=1,0,MAX(0,S177-8)*S176))+((IF(S176&lt;=0,0,IF(WEEKDAY(S$6,1)=1,0,MIN(8,S177)*S176)))-MIN(IF(S176&lt;=0,0,IF(WEEKDAY(S$6,1)=1,0,MIN(8,S177)*S176)),MAX(0,40*MAX(1,S176)-(R178)))))</f>
        <v>0</v>
      </c>
      <c r="T179" s="63">
        <f>IF(AND(T176=1,T177=8),0,IF(T176&lt;=0,0,IF(WEEKDAY(T$6,1)=1,0,MAX(0,T177-8)*T176))+((IF(T176&lt;=0,0,IF(WEEKDAY(T$6,1)=1,0,MIN(8,T177)*T176)))-MIN(IF(T176&lt;=0,0,IF(WEEKDAY(T$6,1)=1,0,MIN(8,T177)*T176)),MAX(0,40*MAX(1,T176)-(R178+S178)))))</f>
        <v>0</v>
      </c>
      <c r="U179" s="63">
        <f>IF(AND(U176=1,U177=8),0,IF(U176&lt;=0,0,IF(WEEKDAY(U$6,1)=1,0,MAX(0,U177-8)*U176))+((IF(U176&lt;=0,0,IF(WEEKDAY(U$6,1)=1,0,MIN(8,U177)*U176)))-MIN(IF(U176&lt;=0,0,IF(WEEKDAY(U$6,1)=1,0,MIN(8,U177)*U176)),MAX(0,40*MAX(1,U176)-(R178+S178+T178)))))</f>
        <v>0</v>
      </c>
      <c r="V179" s="63">
        <f>IF(AND(V176=1,V177=8),0,IF(V176&lt;=0,0,IF(WEEKDAY(V$6,1)=1,0,MAX(0,V177-8)*V176))+((IF(V176&lt;=0,0,IF(WEEKDAY(V$6,1)=1,0,MIN(8,V177)*V176)))-MIN(IF(V176&lt;=0,0,IF(WEEKDAY(V$6,1)=1,0,MIN(8,V177)*V176)),MAX(0,40*MAX(1,V176)-(R178+S178+T178+U178)))))</f>
        <v>0</v>
      </c>
      <c r="W179" s="64">
        <f>IF(AND(W176=0,W177=0),0,IF(W176&lt;=0,0,IF(WEEKDAY(W$6,1)=1,0,MAX(0,W177-10)*W176))+((IF(W176&lt;=0,0,IF(WEEKDAY(W$6,1)=1,0,MIN(10,W177)*W176)))-MIN(IF(W176&lt;=0,0,IF(WEEKDAY(W$6,1)=1,0,MIN(10,W177)*W176)),MAX(0,40*MAX(1,W176)-(0)))))</f>
        <v>0</v>
      </c>
      <c r="X179" s="64">
        <f>IF(AND(X176=0,X177=0),0,IF(X176&lt;=0,0,IF(WEEKDAY(X$6,1)=1,0,MAX(0,X177-10)*X176))+((IF(X176&lt;=0,0,IF(WEEKDAY(X$6,1)=1,0,MIN(10,X177)*X176)))-MIN(IF(X176&lt;=0,0,IF(WEEKDAY(X$6,1)=1,0,MIN(10,X177)*X176)),MAX(0,40*MAX(1,X176)-(W178)))))</f>
        <v>0</v>
      </c>
      <c r="Y179" s="63">
        <f>IF(AND(Y176=1,Y177=8),0,IF(Y176&lt;=0,0,IF(WEEKDAY(Y$6,1)=1,0,MAX(0,Y177-8)*Y176))+((IF(Y176&lt;=0,0,IF(WEEKDAY(Y$6,1)=1,0,MIN(8,Y177)*Y176)))-MIN(IF(Y176&lt;=0,0,IF(WEEKDAY(Y$6,1)=1,0,MIN(8,Y177)*Y176)),MAX(0,40*MAX(1,Y176)-(0)))))</f>
        <v>0</v>
      </c>
      <c r="Z179" s="63">
        <f>IF(AND(Z176=1,Z177=8),0,IF(Z176&lt;=0,0,IF(WEEKDAY(Z$6,1)=1,0,MAX(0,Z177-8)*Z176))+((IF(Z176&lt;=0,0,IF(WEEKDAY(Z$6,1)=1,0,MIN(8,Z177)*Z176)))-MIN(IF(Z176&lt;=0,0,IF(WEEKDAY(Z$6,1)=1,0,MIN(8,Z177)*Z176)),MAX(0,40*MAX(1,Z176)-(Y178)))))</f>
        <v>0</v>
      </c>
      <c r="AA179" s="63">
        <f>IF(AND(AA176=1,AA177=8),0,IF(AA176&lt;=0,0,IF(WEEKDAY(AA$6,1)=1,0,MAX(0,AA177-8)*AA176))+((IF(AA176&lt;=0,0,IF(WEEKDAY(AA$6,1)=1,0,MIN(8,AA177)*AA176)))-MIN(IF(AA176&lt;=0,0,IF(WEEKDAY(AA$6,1)=1,0,MIN(8,AA177)*AA176)),MAX(0,40*MAX(1,AA176)-(Y178+Z178)))))</f>
        <v>0</v>
      </c>
      <c r="AB179" s="63">
        <f>IF(AND(AB176=1,AB177=8),0,IF(AB176&lt;=0,0,IF(WEEKDAY(AB$6,1)=1,0,MAX(0,AB177-8)*AB176))+((IF(AB176&lt;=0,0,IF(WEEKDAY(AB$6,1)=1,0,MIN(8,AB177)*AB176)))-MIN(IF(AB176&lt;=0,0,IF(WEEKDAY(AB$6,1)=1,0,MIN(8,AB177)*AB176)),MAX(0,40*MAX(1,AB176)-(Y178+Z178+AA178)))))</f>
        <v>0</v>
      </c>
      <c r="AC179" s="63">
        <f>IF(AND(AC176=1,AC177=8),0,IF(AC176&lt;=0,0,IF(WEEKDAY(AC$6,1)=1,0,MAX(0,AC177-8)*AC176))+((IF(AC176&lt;=0,0,IF(WEEKDAY(AC$6,1)=1,0,MIN(8,AC177)*AC176)))-MIN(IF(AC176&lt;=0,0,IF(WEEKDAY(AC$6,1)=1,0,MIN(8,AC177)*AC176)),MAX(0,40*MAX(1,AC176)-(Y178+Z178+AA178+AB178)))))</f>
        <v>0</v>
      </c>
      <c r="AD179" s="64">
        <f>IF(AND(AD176=0,AD177=0),0,IF(AD176&lt;=0,0,IF(WEEKDAY(AD$6,1)=1,0,MAX(0,AD177-10)*AD176))+((IF(AD176&lt;=0,0,IF(WEEKDAY(AD$6,1)=1,0,MIN(10,AD177)*AD176)))-MIN(IF(AD176&lt;=0,0,IF(WEEKDAY(AD$6,1)=1,0,MIN(10,AD177)*AD176)),MAX(0,40*MAX(1,AD176)-(0)))))</f>
        <v>0</v>
      </c>
      <c r="AE179" s="64">
        <f>IF(AND(AE176=0,AE177=0),0,IF(AE176&lt;=0,0,IF(WEEKDAY(AE$6,1)=1,0,MAX(0,AE177-10)*AE176))+((IF(AE176&lt;=0,0,IF(WEEKDAY(AE$6,1)=1,0,MIN(10,AE177)*AE176)))-MIN(IF(AE176&lt;=0,0,IF(WEEKDAY(AE$6,1)=1,0,MIN(10,AE177)*AE176)),MAX(0,40*MAX(1,AE176)-(AD178)))))</f>
        <v>0</v>
      </c>
      <c r="AF179" s="63">
        <f>IF(AND(AF176=1,AF177=8),0,IF(AF176&lt;=0,0,IF(WEEKDAY(AF$6,1)=1,0,MAX(0,AF177-8)*AF176))+((IF(AF176&lt;=0,0,IF(WEEKDAY(AF$6,1)=1,0,MIN(8,AF177)*AF176)))-MIN(IF(AF176&lt;=0,0,IF(WEEKDAY(AF$6,1)=1,0,MIN(8,AF177)*AF176)),MAX(0,40*MAX(1,AF176)-(0)))))</f>
        <v>0</v>
      </c>
      <c r="AG179" s="63">
        <f>IF(AND(AG176=1,AG177=8),0,IF(AG176&lt;=0,0,IF(WEEKDAY(AG$6,1)=1,0,MAX(0,AG177-8)*AG176))+((IF(AG176&lt;=0,0,IF(WEEKDAY(AG$6,1)=1,0,MIN(8,AG177)*AG176)))-MIN(IF(AG176&lt;=0,0,IF(WEEKDAY(AG$6,1)=1,0,MIN(8,AG177)*AG176)),MAX(0,40*MAX(1,AG176)-(AF178)))))</f>
        <v>0</v>
      </c>
      <c r="AH179" s="63">
        <f>IF(AND(AH176=1,AH177=8),0,IF(AH176&lt;=0,0,IF(WEEKDAY(AH$6,1)=1,0,MAX(0,AH177-8)*AH176))+((IF(AH176&lt;=0,0,IF(WEEKDAY(AH$6,1)=1,0,MIN(8,AH177)*AH176)))-MIN(IF(AH176&lt;=0,0,IF(WEEKDAY(AH$6,1)=1,0,MIN(8,AH177)*AH176)),MAX(0,40*MAX(1,AH176)-(AF178+AG178)))))</f>
        <v>0</v>
      </c>
      <c r="AI179" s="63">
        <f>IF(AND(AI176=1,AI177=8),0,IF(AI176&lt;=0,0,IF(WEEKDAY(AI$6,1)=1,0,MAX(0,AI177-8)*AI176))+((IF(AI176&lt;=0,0,IF(WEEKDAY(AI$6,1)=1,0,MIN(8,AI177)*AI176)))-MIN(IF(AI176&lt;=0,0,IF(WEEKDAY(AI$6,1)=1,0,MIN(8,AI177)*AI176)),MAX(0,40*MAX(1,AI176)-(AF178+AG178+AH178)))))</f>
        <v>0</v>
      </c>
      <c r="AJ179" s="63">
        <f>IF(AND(AJ176=1,AJ177=8),0,IF(AJ176&lt;=0,0,IF(WEEKDAY(AJ$6,1)=1,0,MAX(0,AJ177-8)*AJ176))+((IF(AJ176&lt;=0,0,IF(WEEKDAY(AJ$6,1)=1,0,MIN(8,AJ177)*AJ176)))-MIN(IF(AJ176&lt;=0,0,IF(WEEKDAY(AJ$6,1)=1,0,MIN(8,AJ177)*AJ176)),MAX(0,40*MAX(1,AJ176)-(AF178+AG178+AH178+AI178)))))</f>
        <v>0</v>
      </c>
      <c r="AK179" s="64">
        <f>IF(AND(AK176=0,AK177=0),0,IF(AK176&lt;=0,0,IF(WEEKDAY(AK$6,1)=1,0,MAX(0,AK177-10)*AK176))+((IF(AK176&lt;=0,0,IF(WEEKDAY(AK$6,1)=1,0,MIN(10,AK177)*AK176)))-MIN(IF(AK176&lt;=0,0,IF(WEEKDAY(AK$6,1)=1,0,MIN(10,AK177)*AK176)),MAX(0,40*MAX(1,AK176)-(0)))))</f>
        <v>0</v>
      </c>
      <c r="AL179" s="64">
        <f>IF(AND(AL176=0,AL177=0),0,IF(AL176&lt;=0,0,IF(WEEKDAY(AL$6,1)=1,0,MAX(0,AL177-10)*AL176))+((IF(AL176&lt;=0,0,IF(WEEKDAY(AL$6,1)=1,0,MIN(10,AL177)*AL176)))-MIN(IF(AL176&lt;=0,0,IF(WEEKDAY(AL$6,1)=1,0,MIN(10,AL177)*AL176)),MAX(0,40*MAX(1,AL176)-(AK178)))))</f>
        <v>0</v>
      </c>
      <c r="AM179" s="63">
        <f>IF(AND(AM176=1,AM177=8),0,IF(AM176&lt;=0,0,IF(WEEKDAY(AM$6,1)=1,0,MAX(0,AM177-8)*AM176))+((IF(AM176&lt;=0,0,IF(WEEKDAY(AM$6,1)=1,0,MIN(8,AM177)*AM176)))-MIN(IF(AM176&lt;=0,0,IF(WEEKDAY(AM$6,1)=1,0,MIN(8,AM177)*AM176)),MAX(0,40*MAX(1,AM176)-(0)))))</f>
        <v>0</v>
      </c>
      <c r="AN179" s="63">
        <f>IF(AND(AN176=1,AN177=8),0,IF(AN176&lt;=0,0,IF(WEEKDAY(AN$6,1)=1,0,MAX(0,AN177-8)*AN176))+((IF(AN176&lt;=0,0,IF(WEEKDAY(AN$6,1)=1,0,MIN(8,AN177)*AN176)))-MIN(IF(AN176&lt;=0,0,IF(WEEKDAY(AN$6,1)=1,0,MIN(8,AN177)*AN176)),MAX(0,40*MAX(1,AN176)-(AM178)))))</f>
        <v>0</v>
      </c>
      <c r="AO179" s="63">
        <f>IF(AND(AO176=1,AO177=8),0,IF(AO176&lt;=0,0,IF(WEEKDAY(AO$6,1)=1,0,MAX(0,AO177-8)*AO176))+((IF(AO176&lt;=0,0,IF(WEEKDAY(AO$6,1)=1,0,MIN(8,AO177)*AO176)))-MIN(IF(AO176&lt;=0,0,IF(WEEKDAY(AO$6,1)=1,0,MIN(8,AO177)*AO176)),MAX(0,40*MAX(1,AO176)-(AM178+AN178)))))</f>
        <v>0</v>
      </c>
      <c r="AP179" s="63">
        <f>IF(AND(AP176=1,AP177=8),0,IF(AP176&lt;=0,0,IF(WEEKDAY(AP$6,1)=1,0,MAX(0,AP177-8)*AP176))+((IF(AP176&lt;=0,0,IF(WEEKDAY(AP$6,1)=1,0,MIN(8,AP177)*AP176)))-MIN(IF(AP176&lt;=0,0,IF(WEEKDAY(AP$6,1)=1,0,MIN(8,AP177)*AP176)),MAX(0,40*MAX(1,AP176)-(AM178+AN178+AO178)))))</f>
        <v>0</v>
      </c>
      <c r="AQ179" s="63">
        <f>IF(AND(AQ176=1,AQ177=8),0,IF(AQ176&lt;=0,0,IF(WEEKDAY(AQ$6,1)=1,0,MAX(0,AQ177-8)*AQ176))+((IF(AQ176&lt;=0,0,IF(WEEKDAY(AQ$6,1)=1,0,MIN(8,AQ177)*AQ176)))-MIN(IF(AQ176&lt;=0,0,IF(WEEKDAY(AQ$6,1)=1,0,MIN(8,AQ177)*AQ176)),MAX(0,40*MAX(1,AQ176)-(AM178+AN178+AO178+AP178)))))</f>
        <v>0</v>
      </c>
      <c r="AR179" s="64">
        <f>IF(AND(AR176=0,AR177=0),0,IF(AR176&lt;=0,0,IF(WEEKDAY(AR$6,1)=1,0,MAX(0,AR177-10)*AR176))+((IF(AR176&lt;=0,0,IF(WEEKDAY(AR$6,1)=1,0,MIN(10,AR177)*AR176)))-MIN(IF(AR176&lt;=0,0,IF(WEEKDAY(AR$6,1)=1,0,MIN(10,AR177)*AR176)),MAX(0,40*MAX(1,AR176)-(0)))))</f>
        <v>0</v>
      </c>
      <c r="AS179" s="64">
        <f>IF(AND(AS176=0,AS177=0),0,IF(AS176&lt;=0,0,IF(WEEKDAY(AS$6,1)=1,0,MAX(0,AS177-10)*AS176))+((IF(AS176&lt;=0,0,IF(WEEKDAY(AS$6,1)=1,0,MIN(10,AS177)*AS176)))-MIN(IF(AS176&lt;=0,0,IF(WEEKDAY(AS$6,1)=1,0,MIN(10,AS177)*AS176)),MAX(0,40*MAX(1,AS176)-(AR178)))))</f>
        <v>0</v>
      </c>
      <c r="AT179" s="63">
        <f>IF(AND(AT176=1,AT177=8),0,IF(AT176&lt;=0,0,IF(WEEKDAY(AT$6,1)=1,0,MAX(0,AT177-8)*AT176))+((IF(AT176&lt;=0,0,IF(WEEKDAY(AT$6,1)=1,0,MIN(8,AT177)*AT176)))-MIN(IF(AT176&lt;=0,0,IF(WEEKDAY(AT$6,1)=1,0,MIN(8,AT177)*AT176)),MAX(0,40*MAX(1,AT176)-(0)))))</f>
        <v>0</v>
      </c>
      <c r="AU179" s="63">
        <f>IF(AND(AU176=1,AU177=8),0,IF(AU176&lt;=0,0,IF(WEEKDAY(AU$6,1)=1,0,MAX(0,AU177-8)*AU176))+((IF(AU176&lt;=0,0,IF(WEEKDAY(AU$6,1)=1,0,MIN(8,AU177)*AU176)))-MIN(IF(AU176&lt;=0,0,IF(WEEKDAY(AU$6,1)=1,0,MIN(8,AU177)*AU176)),MAX(0,40*MAX(1,AU176)-(AT178)))))</f>
        <v>0</v>
      </c>
      <c r="AV179" s="63">
        <f>IF(AND(AV176=1,AV177=8),0,IF(AV176&lt;=0,0,IF(WEEKDAY(AV$6,1)=1,0,MAX(0,AV177-8)*AV176))+((IF(AV176&lt;=0,0,IF(WEEKDAY(AV$6,1)=1,0,MIN(8,AV177)*AV176)))-MIN(IF(AV176&lt;=0,0,IF(WEEKDAY(AV$6,1)=1,0,MIN(8,AV177)*AV176)),MAX(0,40*MAX(1,AV176)-(AT178+AU178)))))</f>
        <v>0</v>
      </c>
      <c r="AW179" s="63">
        <f>IF(AND(AW176=1,AW177=8),0,IF(AW176&lt;=0,0,IF(WEEKDAY(AW$6,1)=1,0,MAX(0,AW177-8)*AW176))+((IF(AW176&lt;=0,0,IF(WEEKDAY(AW$6,1)=1,0,MIN(8,AW177)*AW176)))-MIN(IF(AW176&lt;=0,0,IF(WEEKDAY(AW$6,1)=1,0,MIN(8,AW177)*AW176)),MAX(0,40*MAX(1,AW176)-(AT178+AU178+AV178)))))</f>
        <v>0</v>
      </c>
      <c r="AX179" s="63">
        <f>IF(AND(AX176=1,AX177=8),0,IF(AX176&lt;=0,0,IF(WEEKDAY(AX$6,1)=1,0,MAX(0,AX177-8)*AX176))+((IF(AX176&lt;=0,0,IF(WEEKDAY(AX$6,1)=1,0,MIN(8,AX177)*AX176)))-MIN(IF(AX176&lt;=0,0,IF(WEEKDAY(AX$6,1)=1,0,MIN(8,AX177)*AX176)),MAX(0,40*MAX(1,AX176)-(AT178+AU178+AV178+AW178)))))</f>
        <v>0</v>
      </c>
      <c r="AY179" s="64">
        <f>IF(AND(AY176=0,AY177=0),0,IF(AY176&lt;=0,0,IF(WEEKDAY(AY$6,1)=1,0,MAX(0,AY177-10)*AY176))+((IF(AY176&lt;=0,0,IF(WEEKDAY(AY$6,1)=1,0,MIN(10,AY177)*AY176)))-MIN(IF(AY176&lt;=0,0,IF(WEEKDAY(AY$6,1)=1,0,MIN(10,AY177)*AY176)),MAX(0,40*MAX(1,AY176)-(0)))))</f>
        <v>0</v>
      </c>
      <c r="AZ179" s="64">
        <f>IF(AND(AZ176=0,AZ177=0),0,IF(AZ176&lt;=0,0,IF(WEEKDAY(AZ$6,1)=1,0,MAX(0,AZ177-10)*AZ176))+((IF(AZ176&lt;=0,0,IF(WEEKDAY(AZ$6,1)=1,0,MIN(10,AZ177)*AZ176)))-MIN(IF(AZ176&lt;=0,0,IF(WEEKDAY(AZ$6,1)=1,0,MIN(10,AZ177)*AZ176)),MAX(0,40*MAX(1,AZ176)-(AY178)))))</f>
        <v>0</v>
      </c>
      <c r="BA179" s="63">
        <f>IF(AND(BA176=1,BA177=8),0,IF(BA176&lt;=0,0,IF(WEEKDAY(BA$6,1)=1,0,MAX(0,BA177-8)*BA176))+((IF(BA176&lt;=0,0,IF(WEEKDAY(BA$6,1)=1,0,MIN(8,BA177)*BA176)))-MIN(IF(BA176&lt;=0,0,IF(WEEKDAY(BA$6,1)=1,0,MIN(8,BA177)*BA176)),MAX(0,40*MAX(1,BA176)-(0)))))</f>
        <v>0</v>
      </c>
      <c r="BB179" s="63">
        <f>IF(AND(BB176=1,BB177=8),0,IF(BB176&lt;=0,0,IF(WEEKDAY(BB$6,1)=1,0,MAX(0,BB177-8)*BB176))+((IF(BB176&lt;=0,0,IF(WEEKDAY(BB$6,1)=1,0,MIN(8,BB177)*BB176)))-MIN(IF(BB176&lt;=0,0,IF(WEEKDAY(BB$6,1)=1,0,MIN(8,BB177)*BB176)),MAX(0,40*MAX(1,BB176)-(BA178)))))</f>
        <v>0</v>
      </c>
      <c r="BC179" s="63">
        <f>IF(AND(BC176=1,BC177=8),0,IF(BC176&lt;=0,0,IF(WEEKDAY(BC$6,1)=1,0,MAX(0,BC177-8)*BC176))+((IF(BC176&lt;=0,0,IF(WEEKDAY(BC$6,1)=1,0,MIN(8,BC177)*BC176)))-MIN(IF(BC176&lt;=0,0,IF(WEEKDAY(BC$6,1)=1,0,MIN(8,BC177)*BC176)),MAX(0,40*MAX(1,BC176)-(BA178+BB178)))))</f>
        <v>0</v>
      </c>
      <c r="BD179" s="63">
        <f>IF(AND(BD176=1,BD177=8),0,IF(BD176&lt;=0,0,IF(WEEKDAY(BD$6,1)=1,0,MAX(0,BD177-8)*BD176))+((IF(BD176&lt;=0,0,IF(WEEKDAY(BD$6,1)=1,0,MIN(8,BD177)*BD176)))-MIN(IF(BD176&lt;=0,0,IF(WEEKDAY(BD$6,1)=1,0,MIN(8,BD177)*BD176)),MAX(0,40*MAX(1,BD176)-(BA178+BB178+BC178)))))</f>
        <v>0</v>
      </c>
      <c r="BE179" s="63">
        <f>IF(AND(BE176=1,BE177=8),0,IF(BE176&lt;=0,0,IF(WEEKDAY(BE$6,1)=1,0,MAX(0,BE177-8)*BE176))+((IF(BE176&lt;=0,0,IF(WEEKDAY(BE$6,1)=1,0,MIN(8,BE177)*BE176)))-MIN(IF(BE176&lt;=0,0,IF(WEEKDAY(BE$6,1)=1,0,MIN(8,BE177)*BE176)),MAX(0,40*MAX(1,BE176)-(BA178+BB178+BC178+BD178)))))</f>
        <v>0</v>
      </c>
      <c r="BF179" s="64">
        <f>IF(AND(BF176=0,BF177=0),0,IF(BF176&lt;=0,0,IF(WEEKDAY(BF$6,1)=1,0,MAX(0,BF177-10)*BF176))+((IF(BF176&lt;=0,0,IF(WEEKDAY(BF$6,1)=1,0,MIN(10,BF177)*BF176)))-MIN(IF(BF176&lt;=0,0,IF(WEEKDAY(BF$6,1)=1,0,MIN(10,BF177)*BF176)),MAX(0,40*MAX(1,BF176)-(0)))))</f>
        <v>0</v>
      </c>
      <c r="BG179" s="64">
        <f>IF(AND(BG176=0,BG177=0),0,IF(BG176&lt;=0,0,IF(WEEKDAY(BG$6,1)=1,0,MAX(0,BG177-10)*BG176))+((IF(BG176&lt;=0,0,IF(WEEKDAY(BG$6,1)=1,0,MIN(10,BG177)*BG176)))-MIN(IF(BG176&lt;=0,0,IF(WEEKDAY(BG$6,1)=1,0,MIN(10,BG177)*BG176)),MAX(0,40*MAX(1,BG176)-(BF178)))))</f>
        <v>0</v>
      </c>
      <c r="BH179" s="63">
        <f>IF(AND(BH176=1,BH177=13),3,IF(BH176&lt;=0,0,IF(WEEKDAY(BH$6,1)=1,0,MAX(0,BH177-10)*BH176))+((IF(BH176&lt;=0,0,IF(WEEKDAY(BH$6,1)=1,0,MIN(10,BH177)*BH176)))-MIN(IF(BH176&lt;=0,0,IF(WEEKDAY(BH$6,1)=1,0,MIN(10,BH177)*BH176)),MAX(0,40*MAX(1,BH176)-(0)))))</f>
        <v>3</v>
      </c>
      <c r="BI179" s="63">
        <f>IF(AND(BI176=1,BI177=13),3,IF(BI176&lt;=0,0,IF(WEEKDAY(BI$6,1)=1,0,MAX(0,BI177-10)*BI176))+((IF(BI176&lt;=0,0,IF(WEEKDAY(BI$6,1)=1,0,MIN(10,BI177)*BI176)))-MIN(IF(BI176&lt;=0,0,IF(WEEKDAY(BI$6,1)=1,0,MIN(10,BI177)*BI176)),MAX(0,40*MAX(1,BI176)-(BH178)))))</f>
        <v>3</v>
      </c>
      <c r="BJ179" s="63">
        <f>IF(AND(BJ176=1,BJ177=13),3,IF(BJ176&lt;=0,0,IF(WEEKDAY(BJ$6,1)=1,0,MAX(0,BJ177-10)*BJ176))+((IF(BJ176&lt;=0,0,IF(WEEKDAY(BJ$6,1)=1,0,MIN(10,BJ177)*BJ176)))-MIN(IF(BJ176&lt;=0,0,IF(WEEKDAY(BJ$6,1)=1,0,MIN(10,BJ177)*BJ176)),MAX(0,40*MAX(1,BJ176)-(BH178+BI178)))))</f>
        <v>3</v>
      </c>
      <c r="BK179" s="63">
        <f>IF(AND(BK176=1,BK177=13),3,IF(BK176&lt;=0,0,IF(WEEKDAY(BK$6,1)=1,0,MAX(0,BK177-10)*BK176))+((IF(BK176&lt;=0,0,IF(WEEKDAY(BK$6,1)=1,0,MIN(10,BK177)*BK176)))-MIN(IF(BK176&lt;=0,0,IF(WEEKDAY(BK$6,1)=1,0,MIN(10,BK177)*BK176)),MAX(0,40*MAX(1,BK176)-(BH178+BI178+BJ178)))))</f>
        <v>3</v>
      </c>
      <c r="BL179" s="63">
        <f>IF(AND(BL176=1,BL177=13),13,IF(BL176&lt;=0,0,IF(WEEKDAY(BL$6,1)=1,0,MAX(0,BL177-10)*BL176))+((IF(BL176&lt;=0,0,IF(WEEKDAY(BL$6,1)=1,0,MIN(10,BL177)*BL176)))-MIN(IF(BL176&lt;=0,0,IF(WEEKDAY(BL$6,1)=1,0,MIN(10,BL177)*BL176)),MAX(0,40*MAX(1,BL176)-(BH178+BI178+BJ178+BK178)))))</f>
        <v>13</v>
      </c>
      <c r="BM179" s="64">
        <f>IF(AND(BM176=1,BM177=13),13,IF(BM176&lt;=0,0,IF(WEEKDAY(BM$6,1)=1,0,MAX(0,BM177-10)*BM176))+((IF(BM176&lt;=0,0,IF(WEEKDAY(BM$6,1)=1,0,MIN(10,BM177)*BM176)))-MIN(IF(BM176&lt;=0,0,IF(WEEKDAY(BM$6,1)=1,0,MIN(10,BM177)*BM176)),MAX(0,40*MAX(1,BM176)-(BH178+BI178+BJ178+BK178+BL178)))))</f>
        <v>13</v>
      </c>
      <c r="BN179" s="64">
        <f>IF(AND(BN176=1,BN177=13),0,IF(BN176&lt;=0,0,IF(WEEKDAY(BN$6,1)=1,0,MAX(0,BN177-10)*BN176))+((IF(BN176&lt;=0,0,IF(WEEKDAY(BN$6,1)=1,0,MIN(10,BN177)*BN176)))-MIN(IF(BN176&lt;=0,0,IF(WEEKDAY(BN$6,1)=1,0,MIN(10,BN177)*BN176)),MAX(0,40*MAX(1,BN176)-(BH178+BI178+BJ178+BK178+BL178+BM178)))))</f>
        <v>0</v>
      </c>
      <c r="BO179" s="63">
        <f>IF(AND(BO176=1,BO177=13),3,IF(BO176&lt;=0,0,IF(WEEKDAY(BO$6,1)=1,0,MAX(0,BO177-10)*BO176))+((IF(BO176&lt;=0,0,IF(WEEKDAY(BO$6,1)=1,0,MIN(10,BO177)*BO176)))-MIN(IF(BO176&lt;=0,0,IF(WEEKDAY(BO$6,1)=1,0,MIN(10,BO177)*BO176)),MAX(0,40*MAX(1,BO176)-(0)))))</f>
        <v>3</v>
      </c>
      <c r="BP179" s="63">
        <f>IF(AND(BP176=1,BP177=13),3,IF(BP176&lt;=0,0,IF(WEEKDAY(BP$6,1)=1,0,MAX(0,BP177-10)*BP176))+((IF(BP176&lt;=0,0,IF(WEEKDAY(BP$6,1)=1,0,MIN(10,BP177)*BP176)))-MIN(IF(BP176&lt;=0,0,IF(WEEKDAY(BP$6,1)=1,0,MIN(10,BP177)*BP176)),MAX(0,40*MAX(1,BP176)-(BO178)))))</f>
        <v>3</v>
      </c>
      <c r="BQ179" s="63">
        <f>IF(AND(BQ176=1,BQ177=13),3,IF(BQ176&lt;=0,0,IF(WEEKDAY(BQ$6,1)=1,0,MAX(0,BQ177-10)*BQ176))+((IF(BQ176&lt;=0,0,IF(WEEKDAY(BQ$6,1)=1,0,MIN(10,BQ177)*BQ176)))-MIN(IF(BQ176&lt;=0,0,IF(WEEKDAY(BQ$6,1)=1,0,MIN(10,BQ177)*BQ176)),MAX(0,40*MAX(1,BQ176)-(BO178+BP178)))))</f>
        <v>3</v>
      </c>
      <c r="BR179" s="63">
        <f>IF(AND(BR176=1,BR177=13),3,IF(BR176&lt;=0,0,IF(WEEKDAY(BR$6,1)=1,0,MAX(0,BR177-10)*BR176))+((IF(BR176&lt;=0,0,IF(WEEKDAY(BR$6,1)=1,0,MIN(10,BR177)*BR176)))-MIN(IF(BR176&lt;=0,0,IF(WEEKDAY(BR$6,1)=1,0,MIN(10,BR177)*BR176)),MAX(0,40*MAX(1,BR176)-(0)))))</f>
        <v>3</v>
      </c>
      <c r="BS179" s="63">
        <f>IF(AND(BS176=1,BS177=13),3,IF(BS176&lt;=0,0,IF(WEEKDAY(BS$6,1)=1,0,MAX(0,BS177-10)*BS176))+((IF(BS176&lt;=0,0,IF(WEEKDAY(BS$6,1)=1,0,MIN(10,BS177)*BS176)))-MIN(IF(BS176&lt;=0,0,IF(WEEKDAY(BS$6,1)=1,0,MIN(10,BS177)*BS176)),MAX(0,40*MAX(1,BS176)-(BR178)))))</f>
        <v>3</v>
      </c>
      <c r="BT179" s="64">
        <f>IF(AND(BT176=1,BT177=13),3,IF(BT176&lt;=0,0,IF(WEEKDAY(BT$6,1)=1,0,MAX(0,BT177-10)*BT176))+((IF(BT176&lt;=0,0,IF(WEEKDAY(BT$6,1)=1,0,MIN(10,BT177)*BT176)))-MIN(IF(BT176&lt;=0,0,IF(WEEKDAY(BT$6,1)=1,0,MIN(10,BT177)*BT176)),MAX(0,40*MAX(1,BT176)-(BR178+BS178)))))</f>
        <v>3</v>
      </c>
      <c r="BU179" s="64">
        <f>IF(AND(BU176=1,BU177=13),0,IF(BU176&lt;=0,0,IF(WEEKDAY(BU$6,1)=1,0,MAX(0,BU177-10)*BU176))+((IF(BU176&lt;=0,0,IF(WEEKDAY(BU$6,1)=1,0,MIN(10,BU177)*BU176)))-MIN(IF(BU176&lt;=0,0,IF(WEEKDAY(BU$6,1)=1,0,MIN(10,BU177)*BU176)),MAX(0,40*MAX(1,BU176)-(BR178+BS178+BT178)))))</f>
        <v>0</v>
      </c>
      <c r="BV179" s="63">
        <f>IF(AND(BV176=1,BV177=13),3,IF(BV176&lt;=0,0,IF(WEEKDAY(BV$6,1)=1,0,MAX(0,BV177-10)*BV176))+((IF(BV176&lt;=0,0,IF(WEEKDAY(BV$6,1)=1,0,MIN(10,BV177)*BV176)))-MIN(IF(BV176&lt;=0,0,IF(WEEKDAY(BV$6,1)=1,0,MIN(10,BV177)*BV176)),MAX(0,40*MAX(1,BV176)-(0)))))</f>
        <v>3</v>
      </c>
      <c r="BW179" s="63">
        <f>IF(AND(BW176=1,BW177=13),3,IF(BW176&lt;=0,0,IF(WEEKDAY(BW$6,1)=1,0,MAX(0,BW177-10)*BW176))+((IF(BW176&lt;=0,0,IF(WEEKDAY(BW$6,1)=1,0,MIN(10,BW177)*BW176)))-MIN(IF(BW176&lt;=0,0,IF(WEEKDAY(BW$6,1)=1,0,MIN(10,BW177)*BW176)),MAX(0,40*MAX(1,BW176)-(BV178)))))</f>
        <v>3</v>
      </c>
      <c r="BX179" s="63">
        <f>IF(AND(BX176=1,BX177=13),3,IF(BX176&lt;=0,0,IF(WEEKDAY(BX$6,1)=1,0,MAX(0,BX177-10)*BX176))+((IF(BX176&lt;=0,0,IF(WEEKDAY(BX$6,1)=1,0,MIN(10,BX177)*BX176)))-MIN(IF(BX176&lt;=0,0,IF(WEEKDAY(BX$6,1)=1,0,MIN(10,BX177)*BX176)),MAX(0,40*MAX(1,BX176)-(BV178+BW178)))))</f>
        <v>3</v>
      </c>
      <c r="BY179" s="63">
        <f>IF(AND(BY176=1,BY177=13),3,IF(BY176&lt;=0,0,IF(WEEKDAY(BY$6,1)=1,0,MAX(0,BY177-10)*BY176))+((IF(BY176&lt;=0,0,IF(WEEKDAY(BY$6,1)=1,0,MIN(10,BY177)*BY176)))-MIN(IF(BY176&lt;=0,0,IF(WEEKDAY(BY$6,1)=1,0,MIN(10,BY177)*BY176)),MAX(0,40*MAX(1,BY176)-(BV178+BW178+BX178)))))</f>
        <v>3</v>
      </c>
      <c r="BZ179" s="63">
        <f>IF(AND(BZ176=1,BZ177=13),13,IF(BZ176&lt;=0,0,IF(WEEKDAY(BZ$6,1)=1,0,MAX(0,BZ177-10)*BZ176))+((IF(BZ176&lt;=0,0,IF(WEEKDAY(BZ$6,1)=1,0,MIN(10,BZ177)*BZ176)))-MIN(IF(BZ176&lt;=0,0,IF(WEEKDAY(BZ$6,1)=1,0,MIN(10,BZ177)*BZ176)),MAX(0,40*MAX(1,BZ176)-(BV178+BW178+BX178+BY178)))))</f>
        <v>13</v>
      </c>
      <c r="CA179" s="64">
        <f>IF(AND(CA176=1,CA177=13),13,IF(CA176&lt;=0,0,IF(WEEKDAY(CA$6,1)=1,0,MAX(0,CA177-10)*CA176))+((IF(CA176&lt;=0,0,IF(WEEKDAY(CA$6,1)=1,0,MIN(10,CA177)*CA176)))-MIN(IF(CA176&lt;=0,0,IF(WEEKDAY(CA$6,1)=1,0,MIN(10,CA177)*CA176)),MAX(0,40*MAX(1,CA176)-(BV178+BW178+BX178+BY178+BZ178)))))</f>
        <v>13</v>
      </c>
      <c r="CB179" s="64">
        <f>IF(AND(CB176=1,CB177=13),0,IF(CB176&lt;=0,0,IF(WEEKDAY(CB$6,1)=1,0,MAX(0,CB177-10)*CB176))+((IF(CB176&lt;=0,0,IF(WEEKDAY(CB$6,1)=1,0,MIN(10,CB177)*CB176)))-MIN(IF(CB176&lt;=0,0,IF(WEEKDAY(CB$6,1)=1,0,MIN(10,CB177)*CB176)),MAX(0,40*MAX(1,CB176)-(BV178+BW178+BX178+BY178+BZ178+CA178)))))</f>
        <v>0</v>
      </c>
      <c r="CC179" s="63">
        <f>IF(AND(CC176=1,CC177=13),3,IF(CC176&lt;=0,0,IF(WEEKDAY(CC$6,1)=1,0,MAX(0,CC177-10)*CC176))+((IF(CC176&lt;=0,0,IF(WEEKDAY(CC$6,1)=1,0,MIN(10,CC177)*CC176)))-MIN(IF(CC176&lt;=0,0,IF(WEEKDAY(CC$6,1)=1,0,MIN(10,CC177)*CC176)),MAX(0,40*MAX(1,CC176)-(0)))))</f>
        <v>3</v>
      </c>
      <c r="CD179" s="63">
        <f>IF(AND(CD176=1,CD177=13),3,IF(CD176&lt;=0,0,IF(WEEKDAY(CD$6,1)=1,0,MAX(0,CD177-10)*CD176))+((IF(CD176&lt;=0,0,IF(WEEKDAY(CD$6,1)=1,0,MIN(10,CD177)*CD176)))-MIN(IF(CD176&lt;=0,0,IF(WEEKDAY(CD$6,1)=1,0,MIN(10,CD177)*CD176)),MAX(0,40*MAX(1,CD176)-(CC178)))))</f>
        <v>3</v>
      </c>
      <c r="CE179" s="63">
        <f>IF(AND(CE176=1,CE177=13),3,IF(CE176&lt;=0,0,IF(WEEKDAY(CE$6,1)=1,0,MAX(0,CE177-10)*CE176))+((IF(CE176&lt;=0,0,IF(WEEKDAY(CE$6,1)=1,0,MIN(10,CE177)*CE176)))-MIN(IF(CE176&lt;=0,0,IF(WEEKDAY(CE$6,1)=1,0,MIN(10,CE177)*CE176)),MAX(0,40*MAX(1,CE176)-(CC178+CD178)))))</f>
        <v>3</v>
      </c>
      <c r="CF179" s="63">
        <f>IF(AND(CF176=1,CF177=13),3,IF(CF176&lt;=0,0,IF(WEEKDAY(CF$6,1)=1,0,MAX(0,CF177-10)*CF176))+((IF(CF176&lt;=0,0,IF(WEEKDAY(CF$6,1)=1,0,MIN(10,CF177)*CF176)))-MIN(IF(CF176&lt;=0,0,IF(WEEKDAY(CF$6,1)=1,0,MIN(10,CF177)*CF176)),MAX(0,40*MAX(1,CF176)-(CC178+CD178+CE178)))))</f>
        <v>3</v>
      </c>
      <c r="CG179" s="63">
        <f>IF(AND(CG176=1,CG177=13),13,IF(CG176&lt;=0,0,IF(WEEKDAY(CG$6,1)=1,0,MAX(0,CG177-10)*CG176))+((IF(CG176&lt;=0,0,IF(WEEKDAY(CG$6,1)=1,0,MIN(10,CG177)*CG176)))-MIN(IF(CG176&lt;=0,0,IF(WEEKDAY(CG$6,1)=1,0,MIN(10,CG177)*CG176)),MAX(0,40*MAX(1,CG176)-(CC178+CD178+CE178+CF178)))))</f>
        <v>13</v>
      </c>
      <c r="CH179" s="64">
        <f>IF(AND(CH176=1,CH177=13),13,IF(CH176&lt;=0,0,IF(WEEKDAY(CH$6,1)=1,0,MAX(0,CH177-10)*CH176))+((IF(CH176&lt;=0,0,IF(WEEKDAY(CH$6,1)=1,0,MIN(10,CH177)*CH176)))-MIN(IF(CH176&lt;=0,0,IF(WEEKDAY(CH$6,1)=1,0,MIN(10,CH177)*CH176)),MAX(0,40*MAX(1,CH176)-(CC178+CD178+CE178+CF178+CG178)))))</f>
        <v>13</v>
      </c>
      <c r="CI179" s="64">
        <f>IF(AND(CI176=1,CI177=13),0,IF(CI176&lt;=0,0,IF(WEEKDAY(CI$6,1)=1,0,MAX(0,CI177-10)*CI176))+((IF(CI176&lt;=0,0,IF(WEEKDAY(CI$6,1)=1,0,MIN(10,CI177)*CI176)))-MIN(IF(CI176&lt;=0,0,IF(WEEKDAY(CI$6,1)=1,0,MIN(10,CI177)*CI176)),MAX(0,40*MAX(1,CI176)-(CC178+CD178+CE178+CF178+CG178+CH178)))))</f>
        <v>0</v>
      </c>
      <c r="CJ179" s="63">
        <f>IF(AND(CJ176=1,CJ177=13),3,IF(CJ176&lt;=0,0,IF(WEEKDAY(CJ$6,1)=1,0,MAX(0,CJ177-10)*CJ176))+((IF(CJ176&lt;=0,0,IF(WEEKDAY(CJ$6,1)=1,0,MIN(10,CJ177)*CJ176)))-MIN(IF(CJ176&lt;=0,0,IF(WEEKDAY(CJ$6,1)=1,0,MIN(10,CJ177)*CJ176)),MAX(0,40*MAX(1,CJ176)-(0)))))</f>
        <v>3</v>
      </c>
      <c r="CK179" s="63">
        <f>IF(AND(CK176=1,CK177=13),3,IF(CK176&lt;=0,0,IF(WEEKDAY(CK$6,1)=1,0,MAX(0,CK177-10)*CK176))+((IF(CK176&lt;=0,0,IF(WEEKDAY(CK$6,1)=1,0,MIN(10,CK177)*CK176)))-MIN(IF(CK176&lt;=0,0,IF(WEEKDAY(CK$6,1)=1,0,MIN(10,CK177)*CK176)),MAX(0,40*MAX(1,CK176)-(CJ178)))))</f>
        <v>3</v>
      </c>
      <c r="CL179" s="63">
        <f>IF(AND(CL176=1,CL177=13),3,IF(CL176&lt;=0,0,IF(WEEKDAY(CL$6,1)=1,0,MAX(0,CL177-10)*CL176))+((IF(CL176&lt;=0,0,IF(WEEKDAY(CL$6,1)=1,0,MIN(10,CL177)*CL176)))-MIN(IF(CL176&lt;=0,0,IF(WEEKDAY(CL$6,1)=1,0,MIN(10,CL177)*CL176)),MAX(0,40*MAX(1,CL176)-(CJ178+CK178)))))</f>
        <v>3</v>
      </c>
      <c r="CM179" s="63">
        <f>IF(AND(CM176=1,CM177=13),3,IF(CM176&lt;=0,0,IF(WEEKDAY(CM$6,1)=1,0,MAX(0,CM177-10)*CM176))+((IF(CM176&lt;=0,0,IF(WEEKDAY(CM$6,1)=1,0,MIN(10,CM177)*CM176)))-MIN(IF(CM176&lt;=0,0,IF(WEEKDAY(CM$6,1)=1,0,MIN(10,CM177)*CM176)),MAX(0,40*MAX(1,CM176)-(CJ178+CK178+CL178)))))</f>
        <v>3</v>
      </c>
      <c r="CN179" s="63">
        <f>IF(AND(CN176=1,CN177=13),13,IF(CN176&lt;=0,0,IF(WEEKDAY(CN$6,1)=1,0,MAX(0,CN177-10)*CN176))+((IF(CN176&lt;=0,0,IF(WEEKDAY(CN$6,1)=1,0,MIN(10,CN177)*CN176)))-MIN(IF(CN176&lt;=0,0,IF(WEEKDAY(CN$6,1)=1,0,MIN(10,CN177)*CN176)),MAX(0,40*MAX(1,CN176)-(CJ178+CK178+CL178+CM178)))))</f>
        <v>13</v>
      </c>
      <c r="CO179" s="64">
        <f>IF(AND(CO176=1,CO177=13),13,IF(CO176&lt;=0,0,IF(WEEKDAY(CO$6,1)=1,0,MAX(0,CO177-10)*CO176))+((IF(CO176&lt;=0,0,IF(WEEKDAY(CO$6,1)=1,0,MIN(10,CO177)*CO176)))-MIN(IF(CO176&lt;=0,0,IF(WEEKDAY(CO$6,1)=1,0,MIN(10,CO177)*CO176)),MAX(0,40*MAX(1,CO176)-(CJ178+CK178+CL178+CM178+CN178)))))</f>
        <v>13</v>
      </c>
      <c r="CP179" s="64">
        <f>IF(AND(CP176=1,CP177=13),0,IF(CP176&lt;=0,0,IF(WEEKDAY(CP$6,1)=1,0,MAX(0,CP177-10)*CP176))+((IF(CP176&lt;=0,0,IF(WEEKDAY(CP$6,1)=1,0,MIN(10,CP177)*CP176)))-MIN(IF(CP176&lt;=0,0,IF(WEEKDAY(CP$6,1)=1,0,MIN(10,CP177)*CP176)),MAX(0,40*MAX(1,CP176)-(CJ178+CK178+CL178+CM178+CN178+CO178)))))</f>
        <v>0</v>
      </c>
      <c r="CQ179" s="63">
        <f>IF(AND(CQ176=1,CQ177=13),3,IF(CQ176&lt;=0,0,IF(WEEKDAY(CQ$6,1)=1,0,MAX(0,CQ177-10)*CQ176))+((IF(CQ176&lt;=0,0,IF(WEEKDAY(CQ$6,1)=1,0,MIN(10,CQ177)*CQ176)))-MIN(IF(CQ176&lt;=0,0,IF(WEEKDAY(CQ$6,1)=1,0,MIN(10,CQ177)*CQ176)),MAX(0,40*MAX(1,CQ176)-(0)))))</f>
        <v>3</v>
      </c>
      <c r="CR179" s="63">
        <f>IF(AND(CR176=1,CR177=13),3,IF(CR176&lt;=0,0,IF(WEEKDAY(CR$6,1)=1,0,MAX(0,CR177-10)*CR176))+((IF(CR176&lt;=0,0,IF(WEEKDAY(CR$6,1)=1,0,MIN(10,CR177)*CR176)))-MIN(IF(CR176&lt;=0,0,IF(WEEKDAY(CR$6,1)=1,0,MIN(10,CR177)*CR176)),MAX(0,40*MAX(1,CR176)-(CQ178)))))</f>
        <v>3</v>
      </c>
      <c r="CS179" s="63">
        <f>IF(AND(CS176=1,CS177=13),3,IF(CS176&lt;=0,0,IF(WEEKDAY(CS$6,1)=1,0,MAX(0,CS177-10)*CS176))+((IF(CS176&lt;=0,0,IF(WEEKDAY(CS$6,1)=1,0,MIN(10,CS177)*CS176)))-MIN(IF(CS176&lt;=0,0,IF(WEEKDAY(CS$6,1)=1,0,MIN(10,CS177)*CS176)),MAX(0,40*MAX(1,CS176)-(CQ178+CR178)))))</f>
        <v>3</v>
      </c>
      <c r="CT179" s="63">
        <f>IF(AND(CT176=1,CT177=13),3,IF(CT176&lt;=0,0,IF(WEEKDAY(CT$6,1)=1,0,MAX(0,CT177-10)*CT176))+((IF(CT176&lt;=0,0,IF(WEEKDAY(CT$6,1)=1,0,MIN(10,CT177)*CT176)))-MIN(IF(CT176&lt;=0,0,IF(WEEKDAY(CT$6,1)=1,0,MIN(10,CT177)*CT176)),MAX(0,40*MAX(1,CT176)-(CQ178+CR178+CS178)))))</f>
        <v>3</v>
      </c>
      <c r="CU179" s="63">
        <f>IF(AND(CU176=1,CU177=13),13,IF(CU176&lt;=0,0,IF(WEEKDAY(CU$6,1)=1,0,MAX(0,CU177-10)*CU176))+((IF(CU176&lt;=0,0,IF(WEEKDAY(CU$6,1)=1,0,MIN(10,CU177)*CU176)))-MIN(IF(CU176&lt;=0,0,IF(WEEKDAY(CU$6,1)=1,0,MIN(10,CU177)*CU176)),MAX(0,40*MAX(1,CU176)-(CQ178+CR178+CS178+CT178)))))</f>
        <v>13</v>
      </c>
      <c r="CV179" s="64">
        <f>IF(AND(CV176=1,CV177=13),13,IF(CV176&lt;=0,0,IF(WEEKDAY(CV$6,1)=1,0,MAX(0,CV177-10)*CV176))+((IF(CV176&lt;=0,0,IF(WEEKDAY(CV$6,1)=1,0,MIN(10,CV177)*CV176)))-MIN(IF(CV176&lt;=0,0,IF(WEEKDAY(CV$6,1)=1,0,MIN(10,CV177)*CV176)),MAX(0,40*MAX(1,CV176)-(CQ178+CR178+CS178+CT178+CU178)))))</f>
        <v>13</v>
      </c>
      <c r="CW179" s="64">
        <f>IF(AND(CW176=1,CW177=13),0,IF(CW176&lt;=0,0,IF(WEEKDAY(CW$6,1)=1,0,MAX(0,CW177-10)*CW176))+((IF(CW176&lt;=0,0,IF(WEEKDAY(CW$6,1)=1,0,MIN(10,CW177)*CW176)))-MIN(IF(CW176&lt;=0,0,IF(WEEKDAY(CW$6,1)=1,0,MIN(10,CW177)*CW176)),MAX(0,40*MAX(1,CW176)-(CQ178+CR178+CS178+CT178+CU178+CV178)))))</f>
        <v>0</v>
      </c>
      <c r="CX179" s="63">
        <f>IF(AND(CX176=1,CX177=13),3,IF(CX176&lt;=0,0,IF(WEEKDAY(CX$6,1)=1,0,MAX(0,CX177-10)*CX176))+((IF(CX176&lt;=0,0,IF(WEEKDAY(CX$6,1)=1,0,MIN(10,CX177)*CX176)))-MIN(IF(CX176&lt;=0,0,IF(WEEKDAY(CX$6,1)=1,0,MIN(10,CX177)*CX176)),MAX(0,40*MAX(1,CX176)-(0)))))</f>
        <v>3</v>
      </c>
      <c r="CY179" s="63">
        <f>IF(AND(CY176=1,CY177=13),3,IF(CY176&lt;=0,0,IF(WEEKDAY(CY$6,1)=1,0,MAX(0,CY177-10)*CY176))+((IF(CY176&lt;=0,0,IF(WEEKDAY(CY$6,1)=1,0,MIN(10,CY177)*CY176)))-MIN(IF(CY176&lt;=0,0,IF(WEEKDAY(CY$6,1)=1,0,MIN(10,CY177)*CY176)),MAX(0,40*MAX(1,CY176)-(CX178)))))</f>
        <v>3</v>
      </c>
      <c r="CZ179" s="63">
        <f>IF(AND(CZ176=1,CZ177=13),3,IF(CZ176&lt;=0,0,IF(WEEKDAY(CZ$6,1)=1,0,MAX(0,CZ177-10)*CZ176))+((IF(CZ176&lt;=0,0,IF(WEEKDAY(CZ$6,1)=1,0,MIN(10,CZ177)*CZ176)))-MIN(IF(CZ176&lt;=0,0,IF(WEEKDAY(CZ$6,1)=1,0,MIN(10,CZ177)*CZ176)),MAX(0,40*MAX(1,CZ176)-(CX178+CY178)))))</f>
        <v>3</v>
      </c>
      <c r="DA179" s="63">
        <f>IF(AND(DA176=1,DA177=13),3,IF(DA176&lt;=0,0,IF(WEEKDAY(DA$6,1)=1,0,MAX(0,DA177-10)*DA176))+((IF(DA176&lt;=0,0,IF(WEEKDAY(DA$6,1)=1,0,MIN(10,DA177)*DA176)))-MIN(IF(DA176&lt;=0,0,IF(WEEKDAY(DA$6,1)=1,0,MIN(10,DA177)*DA176)),MAX(0,40*MAX(1,DA176)-(CX178+CY178+CZ178)))))</f>
        <v>3</v>
      </c>
      <c r="DB179" s="63">
        <f>IF(AND(DB176=1,DB177=13),13,IF(DB176&lt;=0,0,IF(WEEKDAY(DB$6,1)=1,0,MAX(0,DB177-10)*DB176))+((IF(DB176&lt;=0,0,IF(WEEKDAY(DB$6,1)=1,0,MIN(10,DB177)*DB176)))-MIN(IF(DB176&lt;=0,0,IF(WEEKDAY(DB$6,1)=1,0,MIN(10,DB177)*DB176)),MAX(0,40*MAX(1,DB176)-(CX178+CY178+CZ178+DA178)))))</f>
        <v>13</v>
      </c>
      <c r="DC179" s="64">
        <f>IF(AND(DC176=1,DC177=13),13,IF(DC176&lt;=0,0,IF(WEEKDAY(DC$6,1)=1,0,MAX(0,DC177-10)*DC176))+((IF(DC176&lt;=0,0,IF(WEEKDAY(DC$6,1)=1,0,MIN(10,DC177)*DC176)))-MIN(IF(DC176&lt;=0,0,IF(WEEKDAY(DC$6,1)=1,0,MIN(10,DC177)*DC176)),MAX(0,40*MAX(1,DC176)-(CX178+CY178+CZ178+DA178+DB178)))))</f>
        <v>13</v>
      </c>
      <c r="DD179" s="64">
        <f>IF(AND(DD176=1,DD177=13),0,IF(DD176&lt;=0,0,IF(WEEKDAY(DD$6,1)=1,0,MAX(0,DD177-10)*DD176))+((IF(DD176&lt;=0,0,IF(WEEKDAY(DD$6,1)=1,0,MIN(10,DD177)*DD176)))-MIN(IF(DD176&lt;=0,0,IF(WEEKDAY(DD$6,1)=1,0,MIN(10,DD177)*DD176)),MAX(0,40*MAX(1,DD176)-(0)))))</f>
        <v>0</v>
      </c>
      <c r="DE179" s="63">
        <f>IF(AND(DE176=1,DE177=13),3,IF(DE176&lt;=0,0,IF(WEEKDAY(DE$6,1)=1,0,MAX(0,DE177-10)*DE176))+((IF(DE176&lt;=0,0,IF(WEEKDAY(DE$6,1)=1,0,MIN(10,DE177)*DE176)))-MIN(IF(DE176&lt;=0,0,IF(WEEKDAY(DE$6,1)=1,0,MIN(10,DE177)*DE176)),MAX(0,40*MAX(1,DE176)-(0)))))</f>
        <v>3</v>
      </c>
      <c r="DF179" s="63">
        <f>IF(AND(DF176=1,DF177=13),3,IF(DF176&lt;=0,0,IF(WEEKDAY(DF$6,1)=1,0,MAX(0,DF177-10)*DF176))+((IF(DF176&lt;=0,0,IF(WEEKDAY(DF$6,1)=1,0,MIN(10,DF177)*DF176)))-MIN(IF(DF176&lt;=0,0,IF(WEEKDAY(DF$6,1)=1,0,MIN(10,DF177)*DF176)),MAX(0,40*MAX(1,DF176)-(DE178)))))</f>
        <v>3</v>
      </c>
      <c r="DG179" s="63">
        <f>IF(AND(DG176=1,DG177=13),3,IF(DG176&lt;=0,0,IF(WEEKDAY(DG$6,1)=1,0,MAX(0,DG177-10)*DG176))+((IF(DG176&lt;=0,0,IF(WEEKDAY(DG$6,1)=1,0,MIN(10,DG177)*DG176)))-MIN(IF(DG176&lt;=0,0,IF(WEEKDAY(DG$6,1)=1,0,MIN(10,DG177)*DG176)),MAX(0,40*MAX(1,DG176)-(DE178+DF178)))))</f>
        <v>3</v>
      </c>
      <c r="DH179" s="63">
        <f>IF(AND(DH176=1,DH177=13),3,IF(DH176&lt;=0,0,IF(WEEKDAY(DH$6,1)=1,0,MAX(0,DH177-10)*DH176))+((IF(DH176&lt;=0,0,IF(WEEKDAY(DH$6,1)=1,0,MIN(10,DH177)*DH176)))-MIN(IF(DH176&lt;=0,0,IF(WEEKDAY(DH$6,1)=1,0,MIN(10,DH177)*DH176)),MAX(0,40*MAX(1,DH176)-(DE178+DF178+DG178)))))</f>
        <v>3</v>
      </c>
      <c r="DI179" s="63">
        <f>IF(AND(DI176=1,DI177=13),13,IF(DI176&lt;=0,0,IF(WEEKDAY(DI$6,1)=1,0,MAX(0,DI177-10)*DI176))+((IF(DI176&lt;=0,0,IF(WEEKDAY(DI$6,1)=1,0,MIN(10,DI177)*DI176)))-MIN(IF(DI176&lt;=0,0,IF(WEEKDAY(DI$6,1)=1,0,MIN(10,DI177)*DI176)),MAX(0,40*MAX(1,DI176)-(DE178+DF178+DG178+DH178)))))</f>
        <v>13</v>
      </c>
      <c r="DJ179" s="64">
        <f>IF(AND(DJ176=1,DJ177=13),13,IF(DJ176&lt;=0,0,IF(WEEKDAY(DJ$6,1)=1,0,MAX(0,DJ177-10)*DJ176))+((IF(DJ176&lt;=0,0,IF(WEEKDAY(DJ$6,1)=1,0,MIN(10,DJ177)*DJ176)))-MIN(IF(DJ176&lt;=0,0,IF(WEEKDAY(DJ$6,1)=1,0,MIN(10,DJ177)*DJ176)),MAX(0,40*MAX(1,DJ176)-(DE178+DF178+DG178+DH178+DI178)))))</f>
        <v>13</v>
      </c>
      <c r="DK179" s="64">
        <f>IF(AND(DK176=1,DK177=13),0,IF(DK176&lt;=0,0,IF(WEEKDAY(DK$6,1)=1,0,MAX(0,DK177-10)*DK176))+((IF(DK176&lt;=0,0,IF(WEEKDAY(DK$6,1)=1,0,MIN(10,DK177)*DK176)))-MIN(IF(DK176&lt;=0,0,IF(WEEKDAY(DK$6,1)=1,0,MIN(10,DK177)*DK176)),MAX(0,40*MAX(1,DK176)-(DE178+DF178+DG178+DH178+DI178+DJ178)))))</f>
        <v>0</v>
      </c>
      <c r="DL179" s="63">
        <f>IF(AND(DL176=1,DL177=13),3,IF(DL176&lt;=0,0,IF(WEEKDAY(DL$6,1)=1,0,MAX(0,DL177-10)*DL176))+((IF(DL176&lt;=0,0,IF(WEEKDAY(DL$6,1)=1,0,MIN(10,DL177)*DL176)))-MIN(IF(DL176&lt;=0,0,IF(WEEKDAY(DL$6,1)=1,0,MIN(10,DL177)*DL176)),MAX(0,40*MAX(1,DL176)-(0)))))</f>
        <v>3</v>
      </c>
      <c r="DM179" s="63">
        <f>IF(AND(DM176=1,DM177=13),3,IF(DM176&lt;=0,0,IF(WEEKDAY(DM$6,1)=1,0,MAX(0,DM177-10)*DM176))+((IF(DM176&lt;=0,0,IF(WEEKDAY(DM$6,1)=1,0,MIN(10,DM177)*DM176)))-MIN(IF(DM176&lt;=0,0,IF(WEEKDAY(DM$6,1)=1,0,MIN(10,DM177)*DM176)),MAX(0,40*MAX(1,DM176)-(DL178)))))</f>
        <v>3</v>
      </c>
      <c r="DN179" s="63">
        <f>IF(AND(DN176=1,DN177=13),3,IF(DN176&lt;=0,0,IF(WEEKDAY(DN$6,1)=1,0,MAX(0,DN177-10)*DN176))+((IF(DN176&lt;=0,0,IF(WEEKDAY(DN$6,1)=1,0,MIN(10,DN177)*DN176)))-MIN(IF(DN176&lt;=0,0,IF(WEEKDAY(DN$6,1)=1,0,MIN(10,DN177)*DN176)),MAX(0,40*MAX(1,DN176)-(DL178+DM178)))))</f>
        <v>3</v>
      </c>
      <c r="DO179" s="63">
        <f>IF(AND(DO176=1,DO177=13),3,IF(DO176&lt;=0,0,IF(WEEKDAY(DO$6,1)=1,0,MAX(0,DO177-10)*DO176))+((IF(DO176&lt;=0,0,IF(WEEKDAY(DO$6,1)=1,0,MIN(10,DO177)*DO176)))-MIN(IF(DO176&lt;=0,0,IF(WEEKDAY(DO$6,1)=1,0,MIN(10,DO177)*DO176)),MAX(0,40*MAX(1,DO176)-(DL178+DM178+DN178)))))</f>
        <v>3</v>
      </c>
      <c r="DP179" s="63">
        <f>IF(AND(DP176=1,DP177=13),13,IF(DP176&lt;=0,0,IF(WEEKDAY(DP$6,1)=1,0,MAX(0,DP177-10)*DP176))+((IF(DP176&lt;=0,0,IF(WEEKDAY(DP$6,1)=1,0,MIN(10,DP177)*DP176)))-MIN(IF(DP176&lt;=0,0,IF(WEEKDAY(DP$6,1)=1,0,MIN(10,DP177)*DP176)),MAX(0,40*MAX(1,DP176)-(DL178+DM178+DN178+DO178)))))</f>
        <v>13</v>
      </c>
      <c r="DQ179" s="64">
        <f>IF(AND(DQ176=1,DQ177=13),13,IF(DQ176&lt;=0,0,IF(WEEKDAY(DQ$6,1)=1,0,MAX(0,DQ177-10)*DQ176))+((IF(DQ176&lt;=0,0,IF(WEEKDAY(DQ$6,1)=1,0,MIN(10,DQ177)*DQ176)))-MIN(IF(DQ176&lt;=0,0,IF(WEEKDAY(DQ$6,1)=1,0,MIN(10,DQ177)*DQ176)),MAX(0,40*MAX(1,DQ176)-(DL178+DM178+DN178+DO178+DP178)))))</f>
        <v>13</v>
      </c>
      <c r="DR179" s="64">
        <f>IF(AND(DR176=1,DR177=13),0,IF(DR176&lt;=0,0,IF(WEEKDAY(DR$6,1)=1,0,MAX(0,DR177-10)*DR176))+((IF(DR176&lt;=0,0,IF(WEEKDAY(DR$6,1)=1,0,MIN(10,DR177)*DR176)))-MIN(IF(DR176&lt;=0,0,IF(WEEKDAY(DR$6,1)=1,0,MIN(10,DR177)*DR176)),MAX(0,40*MAX(1,DR176)-(DL178+DM178+DN178+DO178+DP178+DQ178)))))</f>
        <v>0</v>
      </c>
      <c r="DS179" s="63">
        <f>IF(AND(DS176=1,DS177=13),3,IF(DS176&lt;=0,0,IF(WEEKDAY(DS$6,1)=1,0,MAX(0,DS177-10)*DS176))+((IF(DS176&lt;=0,0,IF(WEEKDAY(DS$6,1)=1,0,MIN(10,DS177)*DS176)))-MIN(IF(DS176&lt;=0,0,IF(WEEKDAY(DS$6,1)=1,0,MIN(10,DS177)*DS176)),MAX(0,40*MAX(1,DS176)-(0)))))</f>
        <v>3</v>
      </c>
      <c r="DT179" s="63">
        <f>IF(AND(DT176=0,DT177=0),0,IF(DT176&lt;=0,0,IF(WEEKDAY(DT$6,1)=1,0,MAX(0,DT177-8)*DT176))+((IF(DT176&lt;=0,0,IF(WEEKDAY(DT$6,1)=1,0,MIN(8,DT177)*DT176)))-MIN(IF(DT176&lt;=0,0,IF(WEEKDAY(DT$6,1)=1,0,MIN(8,DT177)*DT176)),MAX(0,40*MAX(1,DT176)-(0)))))</f>
        <v>0</v>
      </c>
      <c r="DU179" s="63">
        <f>IF(AND(DU176=0,DU177=0),0,IF(DU176&lt;=0,0,IF(WEEKDAY(DU$6,1)=1,0,MAX(0,DU177-8)*DU176))+((IF(DU176&lt;=0,0,IF(WEEKDAY(DU$6,1)=1,0,MIN(8,DU177)*DU176)))-MIN(IF(DU176&lt;=0,0,IF(WEEKDAY(DU$6,1)=1,0,MIN(8,DU177)*DU176)),MAX(0,40*MAX(1,DU176)-(DT178)))))</f>
        <v>0</v>
      </c>
      <c r="DV179" s="63">
        <f>IF(AND(DV176=0,DV177=0),0,IF(DV176&lt;=0,0,IF(WEEKDAY(DV$6,1)=1,0,MAX(0,DV177-8)*DV176))+((IF(DV176&lt;=0,0,IF(WEEKDAY(DV$6,1)=1,0,MIN(8,DV177)*DV176)))-MIN(IF(DV176&lt;=0,0,IF(WEEKDAY(DV$6,1)=1,0,MIN(8,DV177)*DV176)),MAX(0,40*MAX(1,DV176)-(DT178+DU178)))))</f>
        <v>0</v>
      </c>
      <c r="DW179" s="63">
        <f>IF(AND(DW176=0,DW177=0),0,IF(DW176&lt;=0,0,IF(WEEKDAY(DW$6,1)=1,0,MAX(0,DW177-8)*DW176))+((IF(DW176&lt;=0,0,IF(WEEKDAY(DW$6,1)=1,0,MIN(8,DW177)*DW176)))-MIN(IF(DW176&lt;=0,0,IF(WEEKDAY(DW$6,1)=1,0,MIN(8,DW177)*DW176)),MAX(0,40*MAX(1,DW176)-(DT178+DU178+DV178)))))</f>
        <v>0</v>
      </c>
      <c r="DX179" s="64">
        <f>IF(AND(DX176=0,DX177=0),0,IF(DX176&lt;=0,0,IF(WEEKDAY(DX$6,1)=1,0,MAX(0,DX177-10)*DX176))+((IF(DX176&lt;=0,0,IF(WEEKDAY(DX$6,1)=1,0,MIN(10,DX177)*DX176)))-MIN(IF(DX176&lt;=0,0,IF(WEEKDAY(DX$6,1)=1,0,MIN(10,DX177)*DX176)),MAX(0,40*MAX(1,DX176)-(0)))))</f>
        <v>0</v>
      </c>
      <c r="DY179" s="64">
        <f>IF(AND(DY176=0,DY177=0),0,IF(DY176&lt;=0,0,IF(WEEKDAY(DY$6,1)=1,0,MAX(0,DY177-10)*DY176))+((IF(DY176&lt;=0,0,IF(WEEKDAY(DY$6,1)=1,0,MIN(10,DY177)*DY176)))-MIN(IF(DY176&lt;=0,0,IF(WEEKDAY(DY$6,1)=1,0,MIN(10,DY177)*DY176)),MAX(0,40*MAX(1,DY176)-(DX178)))))</f>
        <v>0</v>
      </c>
      <c r="DZ179" s="63">
        <f>IF(AND(DZ176=0,DZ177=0),0,IF(DZ176&lt;=0,0,IF(WEEKDAY(DZ$6,1)=1,0,MAX(0,DZ177-8)*DZ176))+((IF(DZ176&lt;=0,0,IF(WEEKDAY(DZ$6,1)=1,0,MIN(8,DZ177)*DZ176)))-MIN(IF(DZ176&lt;=0,0,IF(WEEKDAY(DZ$6,1)=1,0,MIN(8,DZ177)*DZ176)),MAX(0,40*MAX(1,DZ176)-(0)))))</f>
        <v>0</v>
      </c>
      <c r="EA179" s="63">
        <f>IF(AND(EA176=0,EA177=0),0,IF(EA176&lt;=0,0,IF(WEEKDAY(EA$6,1)=1,0,MAX(0,EA177-8)*EA176))+((IF(EA176&lt;=0,0,IF(WEEKDAY(EA$6,1)=1,0,MIN(8,EA177)*EA176)))-MIN(IF(EA176&lt;=0,0,IF(WEEKDAY(EA$6,1)=1,0,MIN(8,EA177)*EA176)),MAX(0,40*MAX(1,EA176)-(DZ178)))))</f>
        <v>0</v>
      </c>
      <c r="EB179" s="63">
        <f>IF(AND(EB176=0,EB177=0),0,IF(EB176&lt;=0,0,IF(WEEKDAY(EB$6,1)=1,0,MAX(0,EB177-8)*EB176))+((IF(EB176&lt;=0,0,IF(WEEKDAY(EB$6,1)=1,0,MIN(8,EB177)*EB176)))-MIN(IF(EB176&lt;=0,0,IF(WEEKDAY(EB$6,1)=1,0,MIN(8,EB177)*EB176)),MAX(0,40*MAX(1,EB176)-(DZ178+EA178)))))</f>
        <v>0</v>
      </c>
      <c r="EC179" s="63">
        <f>IF(AND(EC176=0,EC177=0),0,IF(EC176&lt;=0,0,IF(WEEKDAY(EC$6,1)=1,0,MAX(0,EC177-8)*EC176))+((IF(EC176&lt;=0,0,IF(WEEKDAY(EC$6,1)=1,0,MIN(8,EC177)*EC176)))-MIN(IF(EC176&lt;=0,0,IF(WEEKDAY(EC$6,1)=1,0,MIN(8,EC177)*EC176)),MAX(0,40*MAX(1,EC176)-(DZ178+EA178+EB178)))))</f>
        <v>0</v>
      </c>
      <c r="ED179" s="63">
        <f>IF(AND(ED176=0,ED177=0),0,IF(ED176&lt;=0,0,IF(WEEKDAY(ED$6,1)=1,0,MAX(0,ED177-8)*ED176))+((IF(ED176&lt;=0,0,IF(WEEKDAY(ED$6,1)=1,0,MIN(8,ED177)*ED176)))-MIN(IF(ED176&lt;=0,0,IF(WEEKDAY(ED$6,1)=1,0,MIN(8,ED177)*ED176)),MAX(0,40*MAX(1,ED176)-(DZ178+EA178+EB178+EC178)))))</f>
        <v>0</v>
      </c>
      <c r="EE179" s="64">
        <f>IF(AND(EE176=0,EE177=0),0,IF(EE176&lt;=0,0,IF(WEEKDAY(EE$6,1)=1,0,MAX(0,EE177-10)*EE176))+((IF(EE176&lt;=0,0,IF(WEEKDAY(EE$6,1)=1,0,MIN(10,EE177)*EE176)))-MIN(IF(EE176&lt;=0,0,IF(WEEKDAY(EE$6,1)=1,0,MIN(10,EE177)*EE176)),MAX(0,40*MAX(1,EE176)-(0)))))</f>
        <v>0</v>
      </c>
      <c r="EF179" s="64">
        <f>IF(AND(EF176=0,EF177=0),0,IF(EF176&lt;=0,0,IF(WEEKDAY(EF$6,1)=1,0,MAX(0,EF177-10)*EF176))+((IF(EF176&lt;=0,0,IF(WEEKDAY(EF$6,1)=1,0,MIN(10,EF177)*EF176)))-MIN(IF(EF176&lt;=0,0,IF(WEEKDAY(EF$6,1)=1,0,MIN(10,EF177)*EF176)),MAX(0,40*MAX(1,EF176)-(EE178)))))</f>
        <v>0</v>
      </c>
      <c r="EG179" s="63">
        <f>IF(AND(EG176=0,EG177=0),0,IF(EG176&lt;=0,0,IF(WEEKDAY(EG$6,1)=1,0,MAX(0,EG177-8)*EG176))+((IF(EG176&lt;=0,0,IF(WEEKDAY(EG$6,1)=1,0,MIN(8,EG177)*EG176)))-MIN(IF(EG176&lt;=0,0,IF(WEEKDAY(EG$6,1)=1,0,MIN(8,EG177)*EG176)),MAX(0,40*MAX(1,EG176)-(0)))))</f>
        <v>0</v>
      </c>
      <c r="EH179" s="63">
        <f>IF(AND(EH176=0,EH177=0),0,IF(EH176&lt;=0,0,IF(WEEKDAY(EH$6,1)=1,0,MAX(0,EH177-8)*EH176))+((IF(EH176&lt;=0,0,IF(WEEKDAY(EH$6,1)=1,0,MIN(8,EH177)*EH176)))-MIN(IF(EH176&lt;=0,0,IF(WEEKDAY(EH$6,1)=1,0,MIN(8,EH177)*EH176)),MAX(0,40*MAX(1,EH176)-(EG178)))))</f>
        <v>0</v>
      </c>
      <c r="EI179" s="63">
        <f>IF(AND(EI176=0,EI177=0),0,IF(EI176&lt;=0,0,IF(WEEKDAY(EI$6,1)=1,0,MAX(0,EI177-8)*EI176))+((IF(EI176&lt;=0,0,IF(WEEKDAY(EI$6,1)=1,0,MIN(8,EI177)*EI176)))-MIN(IF(EI176&lt;=0,0,IF(WEEKDAY(EI$6,1)=1,0,MIN(8,EI177)*EI176)),MAX(0,40*MAX(1,EI176)-(EG178+EH178)))))</f>
        <v>0</v>
      </c>
      <c r="EJ179" s="63">
        <f>IF(AND(EJ176=0,EJ177=0),0,IF(EJ176&lt;=0,0,IF(WEEKDAY(EJ$6,1)=1,0,MAX(0,EJ177-8)*EJ176))+((IF(EJ176&lt;=0,0,IF(WEEKDAY(EJ$6,1)=1,0,MIN(8,EJ177)*EJ176)))-MIN(IF(EJ176&lt;=0,0,IF(WEEKDAY(EJ$6,1)=1,0,MIN(8,EJ177)*EJ176)),MAX(0,40*MAX(1,EJ176)-(EG178+EH178+EI178)))))</f>
        <v>0</v>
      </c>
      <c r="EK179" s="65">
        <f>IF(AND(EK176=0,EK177=0),0,IF(EK176&lt;=0,0,IF(WEEKDAY(EK$6,1)=1,0,MAX(0,EK177-8)*EK176))+((IF(EK176&lt;=0,0,IF(WEEKDAY(EK$6,1)=1,0,MIN(8,EK177)*EK176)))-MIN(IF(EK176&lt;=0,0,IF(WEEKDAY(EK$6,1)=1,0,MIN(8,EK177)*EK176)),MAX(0,40*MAX(1,EK176)-(EG178+EH178+EI178+EJ178)))))</f>
        <v>0</v>
      </c>
      <c r="OU179" s="28" t="s">
        <v>100</v>
      </c>
    </row>
    <row r="180" ht="16" customHeight="1" spans="1:411" x14ac:dyDescent="0.25">
      <c r="A180" s="74"/>
      <c r="B180" s="46"/>
      <c r="C180" s="61">
        <f>H175*N(D180)</f>
        <v>21269.43</v>
      </c>
      <c r="D180" s="61">
        <f>IF(TRIM(B175)="","No rate",IFERROR(INDEX('Rate Tables'!E$7:E$158,MATCH(B175,'Rate Tables'!A$7:A$158,0)),"No rate"))</f>
        <v>181.79</v>
      </c>
      <c r="E180" s="55" t="s">
        <v>64</v>
      </c>
      <c r="F180" s="49"/>
      <c r="G180" s="49"/>
      <c r="H180" s="49"/>
      <c r="I180" s="49"/>
      <c r="J180" s="50"/>
      <c r="K180" s="62">
        <f>IF(AND(K176=1,K177=8),0,IF(K176&lt;=0,0,IF(WEEKDAY(K$6,1)=1,K176*K177,0)))</f>
        <v>0</v>
      </c>
      <c r="L180" s="63">
        <f>IF(AND(L176=1,L177=8),0,IF(L176&lt;=0,0,IF(WEEKDAY(L$6,1)=1,L176*L177,0)))</f>
        <v>0</v>
      </c>
      <c r="M180" s="63">
        <f>IF(AND(M176=1,M177=8),0,IF(M176&lt;=0,0,IF(WEEKDAY(M$6,1)=1,M176*M177,0)))</f>
        <v>0</v>
      </c>
      <c r="N180" s="63">
        <f>IF(AND(N176=1,N177=8),0,IF(N176&lt;=0,0,IF(WEEKDAY(N$6,1)=1,N176*N177,0)))</f>
        <v>0</v>
      </c>
      <c r="O180" s="63">
        <f>IF(AND(O176=1,O177=8),0,IF(O176&lt;=0,0,IF(WEEKDAY(O$6,1)=1,O176*O177,0)))</f>
        <v>0</v>
      </c>
      <c r="P180" s="64">
        <f>IF(AND(P176=0,P177=0),0,IF(P176&lt;=0,0,IF(WEEKDAY(P$6,1)=1,P176*P177,0)))</f>
        <v>0</v>
      </c>
      <c r="Q180" s="64">
        <f>IF(AND(Q176=0,Q177=0),0,IF(Q176&lt;=0,0,IF(WEEKDAY(Q$6,1)=1,Q176*Q177,0)))</f>
        <v>0</v>
      </c>
      <c r="R180" s="63">
        <f>IF(AND(R176=1,R177=8),0,IF(R176&lt;=0,0,IF(WEEKDAY(R$6,1)=1,R176*R177,0)))</f>
        <v>0</v>
      </c>
      <c r="S180" s="63">
        <f>IF(AND(S176=1,S177=8),0,IF(S176&lt;=0,0,IF(WEEKDAY(S$6,1)=1,S176*S177,0)))</f>
        <v>0</v>
      </c>
      <c r="T180" s="63">
        <f>IF(AND(T176=1,T177=8),0,IF(T176&lt;=0,0,IF(WEEKDAY(T$6,1)=1,T176*T177,0)))</f>
        <v>0</v>
      </c>
      <c r="U180" s="63">
        <f>IF(AND(U176=1,U177=8),0,IF(U176&lt;=0,0,IF(WEEKDAY(U$6,1)=1,U176*U177,0)))</f>
        <v>0</v>
      </c>
      <c r="V180" s="63">
        <f>IF(AND(V176=1,V177=8),0,IF(V176&lt;=0,0,IF(WEEKDAY(V$6,1)=1,V176*V177,0)))</f>
        <v>0</v>
      </c>
      <c r="W180" s="64">
        <f>IF(AND(W176=0,W177=0),0,IF(W176&lt;=0,0,IF(WEEKDAY(W$6,1)=1,W176*W177,0)))</f>
        <v>0</v>
      </c>
      <c r="X180" s="64">
        <f>IF(AND(X176=0,X177=0),0,IF(X176&lt;=0,0,IF(WEEKDAY(X$6,1)=1,X176*X177,0)))</f>
        <v>0</v>
      </c>
      <c r="Y180" s="63">
        <f>IF(AND(Y176=1,Y177=8),0,IF(Y176&lt;=0,0,IF(WEEKDAY(Y$6,1)=1,Y176*Y177,0)))</f>
        <v>0</v>
      </c>
      <c r="Z180" s="63">
        <f>IF(AND(Z176=1,Z177=8),0,IF(Z176&lt;=0,0,IF(WEEKDAY(Z$6,1)=1,Z176*Z177,0)))</f>
        <v>0</v>
      </c>
      <c r="AA180" s="63">
        <f>IF(AND(AA176=1,AA177=8),0,IF(AA176&lt;=0,0,IF(WEEKDAY(AA$6,1)=1,AA176*AA177,0)))</f>
        <v>0</v>
      </c>
      <c r="AB180" s="63">
        <f>IF(AND(AB176=1,AB177=8),0,IF(AB176&lt;=0,0,IF(WEEKDAY(AB$6,1)=1,AB176*AB177,0)))</f>
        <v>0</v>
      </c>
      <c r="AC180" s="63">
        <f>IF(AND(AC176=1,AC177=8),0,IF(AC176&lt;=0,0,IF(WEEKDAY(AC$6,1)=1,AC176*AC177,0)))</f>
        <v>0</v>
      </c>
      <c r="AD180" s="64">
        <f>IF(AND(AD176=0,AD177=0),0,IF(AD176&lt;=0,0,IF(WEEKDAY(AD$6,1)=1,AD176*AD177,0)))</f>
        <v>0</v>
      </c>
      <c r="AE180" s="64">
        <f>IF(AND(AE176=0,AE177=0),0,IF(AE176&lt;=0,0,IF(WEEKDAY(AE$6,1)=1,AE176*AE177,0)))</f>
        <v>0</v>
      </c>
      <c r="AF180" s="63">
        <f>IF(AND(AF176=1,AF177=8),0,IF(AF176&lt;=0,0,IF(WEEKDAY(AF$6,1)=1,AF176*AF177,0)))</f>
        <v>0</v>
      </c>
      <c r="AG180" s="63">
        <f>IF(AND(AG176=1,AG177=8),0,IF(AG176&lt;=0,0,IF(WEEKDAY(AG$6,1)=1,AG176*AG177,0)))</f>
        <v>0</v>
      </c>
      <c r="AH180" s="63">
        <f>IF(AND(AH176=1,AH177=8),0,IF(AH176&lt;=0,0,IF(WEEKDAY(AH$6,1)=1,AH176*AH177,0)))</f>
        <v>0</v>
      </c>
      <c r="AI180" s="63">
        <f>IF(AND(AI176=1,AI177=8),0,IF(AI176&lt;=0,0,IF(WEEKDAY(AI$6,1)=1,AI176*AI177,0)))</f>
        <v>0</v>
      </c>
      <c r="AJ180" s="63">
        <f>IF(AND(AJ176=1,AJ177=8),0,IF(AJ176&lt;=0,0,IF(WEEKDAY(AJ$6,1)=1,AJ176*AJ177,0)))</f>
        <v>0</v>
      </c>
      <c r="AK180" s="64">
        <f>IF(AND(AK176=0,AK177=0),0,IF(AK176&lt;=0,0,IF(WEEKDAY(AK$6,1)=1,AK176*AK177,0)))</f>
        <v>0</v>
      </c>
      <c r="AL180" s="64">
        <f>IF(AND(AL176=0,AL177=0),0,IF(AL176&lt;=0,0,IF(WEEKDAY(AL$6,1)=1,AL176*AL177,0)))</f>
        <v>0</v>
      </c>
      <c r="AM180" s="63">
        <f>IF(AND(AM176=1,AM177=8),0,IF(AM176&lt;=0,0,IF(WEEKDAY(AM$6,1)=1,AM176*AM177,0)))</f>
        <v>0</v>
      </c>
      <c r="AN180" s="63">
        <f>IF(AND(AN176=1,AN177=8),0,IF(AN176&lt;=0,0,IF(WEEKDAY(AN$6,1)=1,AN176*AN177,0)))</f>
        <v>0</v>
      </c>
      <c r="AO180" s="63">
        <f>IF(AND(AO176=1,AO177=8),0,IF(AO176&lt;=0,0,IF(WEEKDAY(AO$6,1)=1,AO176*AO177,0)))</f>
        <v>0</v>
      </c>
      <c r="AP180" s="63">
        <f>IF(AND(AP176=1,AP177=8),0,IF(AP176&lt;=0,0,IF(WEEKDAY(AP$6,1)=1,AP176*AP177,0)))</f>
        <v>0</v>
      </c>
      <c r="AQ180" s="63">
        <f>IF(AND(AQ176=1,AQ177=8),0,IF(AQ176&lt;=0,0,IF(WEEKDAY(AQ$6,1)=1,AQ176*AQ177,0)))</f>
        <v>0</v>
      </c>
      <c r="AR180" s="64">
        <f>IF(AND(AR176=0,AR177=0),0,IF(AR176&lt;=0,0,IF(WEEKDAY(AR$6,1)=1,AR176*AR177,0)))</f>
        <v>0</v>
      </c>
      <c r="AS180" s="64">
        <f>IF(AND(AS176=0,AS177=0),0,IF(AS176&lt;=0,0,IF(WEEKDAY(AS$6,1)=1,AS176*AS177,0)))</f>
        <v>0</v>
      </c>
      <c r="AT180" s="63">
        <f>IF(AND(AT176=1,AT177=8),0,IF(AT176&lt;=0,0,IF(WEEKDAY(AT$6,1)=1,AT176*AT177,0)))</f>
        <v>0</v>
      </c>
      <c r="AU180" s="63">
        <f>IF(AND(AU176=1,AU177=8),0,IF(AU176&lt;=0,0,IF(WEEKDAY(AU$6,1)=1,AU176*AU177,0)))</f>
        <v>0</v>
      </c>
      <c r="AV180" s="63">
        <f>IF(AND(AV176=1,AV177=8),0,IF(AV176&lt;=0,0,IF(WEEKDAY(AV$6,1)=1,AV176*AV177,0)))</f>
        <v>0</v>
      </c>
      <c r="AW180" s="63">
        <f>IF(AND(AW176=1,AW177=8),0,IF(AW176&lt;=0,0,IF(WEEKDAY(AW$6,1)=1,AW176*AW177,0)))</f>
        <v>0</v>
      </c>
      <c r="AX180" s="63">
        <f>IF(AND(AX176=1,AX177=8),0,IF(AX176&lt;=0,0,IF(WEEKDAY(AX$6,1)=1,AX176*AX177,0)))</f>
        <v>0</v>
      </c>
      <c r="AY180" s="64">
        <f>IF(AND(AY176=0,AY177=0),0,IF(AY176&lt;=0,0,IF(WEEKDAY(AY$6,1)=1,AY176*AY177,0)))</f>
        <v>0</v>
      </c>
      <c r="AZ180" s="64">
        <f>IF(AND(AZ176=0,AZ177=0),0,IF(AZ176&lt;=0,0,IF(WEEKDAY(AZ$6,1)=1,AZ176*AZ177,0)))</f>
        <v>0</v>
      </c>
      <c r="BA180" s="63">
        <f>IF(AND(BA176=1,BA177=8),0,IF(BA176&lt;=0,0,IF(WEEKDAY(BA$6,1)=1,BA176*BA177,0)))</f>
        <v>0</v>
      </c>
      <c r="BB180" s="63">
        <f>IF(AND(BB176=1,BB177=8),0,IF(BB176&lt;=0,0,IF(WEEKDAY(BB$6,1)=1,BB176*BB177,0)))</f>
        <v>0</v>
      </c>
      <c r="BC180" s="63">
        <f>IF(AND(BC176=1,BC177=8),0,IF(BC176&lt;=0,0,IF(WEEKDAY(BC$6,1)=1,BC176*BC177,0)))</f>
        <v>0</v>
      </c>
      <c r="BD180" s="63">
        <f>IF(AND(BD176=1,BD177=8),0,IF(BD176&lt;=0,0,IF(WEEKDAY(BD$6,1)=1,BD176*BD177,0)))</f>
        <v>0</v>
      </c>
      <c r="BE180" s="63">
        <f>IF(AND(BE176=1,BE177=8),0,IF(BE176&lt;=0,0,IF(WEEKDAY(BE$6,1)=1,BE176*BE177,0)))</f>
        <v>0</v>
      </c>
      <c r="BF180" s="64">
        <f>IF(AND(BF176=0,BF177=0),0,IF(BF176&lt;=0,0,IF(WEEKDAY(BF$6,1)=1,BF176*BF177,0)))</f>
        <v>0</v>
      </c>
      <c r="BG180" s="64">
        <f>IF(AND(BG176=0,BG177=0),0,IF(BG176&lt;=0,0,IF(WEEKDAY(BG$6,1)=1,BG176*BG177,0)))</f>
        <v>0</v>
      </c>
      <c r="BH180" s="63">
        <f>IF(AND(BH176=1,BH177=13),0,IF(BH176&lt;=0,0,IF(WEEKDAY(BH$6,1)=1,BH176*BH177,0)))</f>
        <v>0</v>
      </c>
      <c r="BI180" s="63">
        <f>IF(AND(BI176=1,BI177=13),0,IF(BI176&lt;=0,0,IF(WEEKDAY(BI$6,1)=1,BI176*BI177,0)))</f>
        <v>0</v>
      </c>
      <c r="BJ180" s="63">
        <f>IF(AND(BJ176=1,BJ177=13),0,IF(BJ176&lt;=0,0,IF(WEEKDAY(BJ$6,1)=1,BJ176*BJ177,0)))</f>
        <v>0</v>
      </c>
      <c r="BK180" s="63">
        <f>IF(AND(BK176=1,BK177=13),0,IF(BK176&lt;=0,0,IF(WEEKDAY(BK$6,1)=1,BK176*BK177,0)))</f>
        <v>0</v>
      </c>
      <c r="BL180" s="63">
        <f>IF(AND(BL176=1,BL177=13),0,IF(BL176&lt;=0,0,IF(WEEKDAY(BL$6,1)=1,BL176*BL177,0)))</f>
        <v>0</v>
      </c>
      <c r="BM180" s="64">
        <f>IF(AND(BM176=1,BM177=13),0,IF(BM176&lt;=0,0,IF(WEEKDAY(BM$6,1)=1,BM176*BM177,0)))</f>
        <v>0</v>
      </c>
      <c r="BN180" s="64">
        <f>IF(AND(BN176=1,BN177=13),13,IF(BN176&lt;=0,0,IF(WEEKDAY(BN$6,1)=1,BN176*BN177,0)))</f>
        <v>13</v>
      </c>
      <c r="BO180" s="63">
        <f>IF(AND(BO176=1,BO177=13),0,IF(BO176&lt;=0,0,IF(WEEKDAY(BO$6,1)=1,BO176*BO177,0)))</f>
        <v>0</v>
      </c>
      <c r="BP180" s="63">
        <f>IF(AND(BP176=1,BP177=13),0,IF(BP176&lt;=0,0,IF(WEEKDAY(BP$6,1)=1,BP176*BP177,0)))</f>
        <v>0</v>
      </c>
      <c r="BQ180" s="63">
        <f>IF(AND(BQ176=1,BQ177=13),0,IF(BQ176&lt;=0,0,IF(WEEKDAY(BQ$6,1)=1,BQ176*BQ177,0)))</f>
        <v>0</v>
      </c>
      <c r="BR180" s="63">
        <f>IF(AND(BR176=1,BR177=13),0,IF(BR176&lt;=0,0,IF(WEEKDAY(BR$6,1)=1,BR176*BR177,0)))</f>
        <v>0</v>
      </c>
      <c r="BS180" s="63">
        <f>IF(AND(BS176=1,BS177=13),0,IF(BS176&lt;=0,0,IF(WEEKDAY(BS$6,1)=1,BS176*BS177,0)))</f>
        <v>0</v>
      </c>
      <c r="BT180" s="64">
        <f>IF(AND(BT176=1,BT177=13),0,IF(BT176&lt;=0,0,IF(WEEKDAY(BT$6,1)=1,BT176*BT177,0)))</f>
        <v>0</v>
      </c>
      <c r="BU180" s="64">
        <f>IF(AND(BU176=1,BU177=13),13,IF(BU176&lt;=0,0,IF(WEEKDAY(BU$6,1)=1,BU176*BU177,0)))</f>
        <v>13</v>
      </c>
      <c r="BV180" s="63">
        <f>IF(AND(BV176=1,BV177=13),0,IF(BV176&lt;=0,0,IF(WEEKDAY(BV$6,1)=1,BV176*BV177,0)))</f>
        <v>0</v>
      </c>
      <c r="BW180" s="63">
        <f>IF(AND(BW176=1,BW177=13),0,IF(BW176&lt;=0,0,IF(WEEKDAY(BW$6,1)=1,BW176*BW177,0)))</f>
        <v>0</v>
      </c>
      <c r="BX180" s="63">
        <f>IF(AND(BX176=1,BX177=13),0,IF(BX176&lt;=0,0,IF(WEEKDAY(BX$6,1)=1,BX176*BX177,0)))</f>
        <v>0</v>
      </c>
      <c r="BY180" s="63">
        <f>IF(AND(BY176=1,BY177=13),0,IF(BY176&lt;=0,0,IF(WEEKDAY(BY$6,1)=1,BY176*BY177,0)))</f>
        <v>0</v>
      </c>
      <c r="BZ180" s="63">
        <f>IF(AND(BZ176=1,BZ177=13),0,IF(BZ176&lt;=0,0,IF(WEEKDAY(BZ$6,1)=1,BZ176*BZ177,0)))</f>
        <v>0</v>
      </c>
      <c r="CA180" s="64">
        <f>IF(AND(CA176=1,CA177=13),0,IF(CA176&lt;=0,0,IF(WEEKDAY(CA$6,1)=1,CA176*CA177,0)))</f>
        <v>0</v>
      </c>
      <c r="CB180" s="64">
        <f>IF(AND(CB176=1,CB177=13),13,IF(CB176&lt;=0,0,IF(WEEKDAY(CB$6,1)=1,CB176*CB177,0)))</f>
        <v>13</v>
      </c>
      <c r="CC180" s="63">
        <f>IF(AND(CC176=1,CC177=13),0,IF(CC176&lt;=0,0,IF(WEEKDAY(CC$6,1)=1,CC176*CC177,0)))</f>
        <v>0</v>
      </c>
      <c r="CD180" s="63">
        <f>IF(AND(CD176=1,CD177=13),0,IF(CD176&lt;=0,0,IF(WEEKDAY(CD$6,1)=1,CD176*CD177,0)))</f>
        <v>0</v>
      </c>
      <c r="CE180" s="63">
        <f>IF(AND(CE176=1,CE177=13),0,IF(CE176&lt;=0,0,IF(WEEKDAY(CE$6,1)=1,CE176*CE177,0)))</f>
        <v>0</v>
      </c>
      <c r="CF180" s="63">
        <f>IF(AND(CF176=1,CF177=13),0,IF(CF176&lt;=0,0,IF(WEEKDAY(CF$6,1)=1,CF176*CF177,0)))</f>
        <v>0</v>
      </c>
      <c r="CG180" s="63">
        <f>IF(AND(CG176=1,CG177=13),0,IF(CG176&lt;=0,0,IF(WEEKDAY(CG$6,1)=1,CG176*CG177,0)))</f>
        <v>0</v>
      </c>
      <c r="CH180" s="64">
        <f>IF(AND(CH176=1,CH177=13),0,IF(CH176&lt;=0,0,IF(WEEKDAY(CH$6,1)=1,CH176*CH177,0)))</f>
        <v>0</v>
      </c>
      <c r="CI180" s="64">
        <f>IF(AND(CI176=1,CI177=13),13,IF(CI176&lt;=0,0,IF(WEEKDAY(CI$6,1)=1,CI176*CI177,0)))</f>
        <v>13</v>
      </c>
      <c r="CJ180" s="63">
        <f>IF(AND(CJ176=1,CJ177=13),0,IF(CJ176&lt;=0,0,IF(WEEKDAY(CJ$6,1)=1,CJ176*CJ177,0)))</f>
        <v>0</v>
      </c>
      <c r="CK180" s="63">
        <f>IF(AND(CK176=1,CK177=13),0,IF(CK176&lt;=0,0,IF(WEEKDAY(CK$6,1)=1,CK176*CK177,0)))</f>
        <v>0</v>
      </c>
      <c r="CL180" s="63">
        <f>IF(AND(CL176=1,CL177=13),0,IF(CL176&lt;=0,0,IF(WEEKDAY(CL$6,1)=1,CL176*CL177,0)))</f>
        <v>0</v>
      </c>
      <c r="CM180" s="63">
        <f>IF(AND(CM176=1,CM177=13),0,IF(CM176&lt;=0,0,IF(WEEKDAY(CM$6,1)=1,CM176*CM177,0)))</f>
        <v>0</v>
      </c>
      <c r="CN180" s="63">
        <f>IF(AND(CN176=1,CN177=13),0,IF(CN176&lt;=0,0,IF(WEEKDAY(CN$6,1)=1,CN176*CN177,0)))</f>
        <v>0</v>
      </c>
      <c r="CO180" s="64">
        <f>IF(AND(CO176=1,CO177=13),0,IF(CO176&lt;=0,0,IF(WEEKDAY(CO$6,1)=1,CO176*CO177,0)))</f>
        <v>0</v>
      </c>
      <c r="CP180" s="64">
        <f>IF(AND(CP176=1,CP177=13),13,IF(CP176&lt;=0,0,IF(WEEKDAY(CP$6,1)=1,CP176*CP177,0)))</f>
        <v>13</v>
      </c>
      <c r="CQ180" s="63">
        <f>IF(AND(CQ176=1,CQ177=13),0,IF(CQ176&lt;=0,0,IF(WEEKDAY(CQ$6,1)=1,CQ176*CQ177,0)))</f>
        <v>0</v>
      </c>
      <c r="CR180" s="63">
        <f>IF(AND(CR176=1,CR177=13),0,IF(CR176&lt;=0,0,IF(WEEKDAY(CR$6,1)=1,CR176*CR177,0)))</f>
        <v>0</v>
      </c>
      <c r="CS180" s="63">
        <f>IF(AND(CS176=1,CS177=13),0,IF(CS176&lt;=0,0,IF(WEEKDAY(CS$6,1)=1,CS176*CS177,0)))</f>
        <v>0</v>
      </c>
      <c r="CT180" s="63">
        <f>IF(AND(CT176=1,CT177=13),0,IF(CT176&lt;=0,0,IF(WEEKDAY(CT$6,1)=1,CT176*CT177,0)))</f>
        <v>0</v>
      </c>
      <c r="CU180" s="63">
        <f>IF(AND(CU176=1,CU177=13),0,IF(CU176&lt;=0,0,IF(WEEKDAY(CU$6,1)=1,CU176*CU177,0)))</f>
        <v>0</v>
      </c>
      <c r="CV180" s="64">
        <f>IF(AND(CV176=1,CV177=13),0,IF(CV176&lt;=0,0,IF(WEEKDAY(CV$6,1)=1,CV176*CV177,0)))</f>
        <v>0</v>
      </c>
      <c r="CW180" s="64">
        <f>IF(AND(CW176=1,CW177=13),13,IF(CW176&lt;=0,0,IF(WEEKDAY(CW$6,1)=1,CW176*CW177,0)))</f>
        <v>13</v>
      </c>
      <c r="CX180" s="63">
        <f>IF(AND(CX176=1,CX177=13),0,IF(CX176&lt;=0,0,IF(WEEKDAY(CX$6,1)=1,CX176*CX177,0)))</f>
        <v>0</v>
      </c>
      <c r="CY180" s="63">
        <f>IF(AND(CY176=1,CY177=13),0,IF(CY176&lt;=0,0,IF(WEEKDAY(CY$6,1)=1,CY176*CY177,0)))</f>
        <v>0</v>
      </c>
      <c r="CZ180" s="63">
        <f>IF(AND(CZ176=1,CZ177=13),0,IF(CZ176&lt;=0,0,IF(WEEKDAY(CZ$6,1)=1,CZ176*CZ177,0)))</f>
        <v>0</v>
      </c>
      <c r="DA180" s="63">
        <f>IF(AND(DA176=1,DA177=13),0,IF(DA176&lt;=0,0,IF(WEEKDAY(DA$6,1)=1,DA176*DA177,0)))</f>
        <v>0</v>
      </c>
      <c r="DB180" s="63">
        <f>IF(AND(DB176=1,DB177=13),0,IF(DB176&lt;=0,0,IF(WEEKDAY(DB$6,1)=1,DB176*DB177,0)))</f>
        <v>0</v>
      </c>
      <c r="DC180" s="64">
        <f>IF(AND(DC176=1,DC177=13),0,IF(DC176&lt;=0,0,IF(WEEKDAY(DC$6,1)=1,DC176*DC177,0)))</f>
        <v>0</v>
      </c>
      <c r="DD180" s="64">
        <f>IF(AND(DD176=1,DD177=13),13,IF(DD176&lt;=0,0,IF(WEEKDAY(DD$6,1)=1,DD176*DD177,0)))</f>
        <v>13</v>
      </c>
      <c r="DE180" s="63">
        <f>IF(AND(DE176=1,DE177=13),0,IF(DE176&lt;=0,0,IF(WEEKDAY(DE$6,1)=1,DE176*DE177,0)))</f>
        <v>0</v>
      </c>
      <c r="DF180" s="63">
        <f>IF(AND(DF176=1,DF177=13),0,IF(DF176&lt;=0,0,IF(WEEKDAY(DF$6,1)=1,DF176*DF177,0)))</f>
        <v>0</v>
      </c>
      <c r="DG180" s="63">
        <f>IF(AND(DG176=1,DG177=13),0,IF(DG176&lt;=0,0,IF(WEEKDAY(DG$6,1)=1,DG176*DG177,0)))</f>
        <v>0</v>
      </c>
      <c r="DH180" s="63">
        <f>IF(AND(DH176=1,DH177=13),0,IF(DH176&lt;=0,0,IF(WEEKDAY(DH$6,1)=1,DH176*DH177,0)))</f>
        <v>0</v>
      </c>
      <c r="DI180" s="63">
        <f>IF(AND(DI176=1,DI177=13),0,IF(DI176&lt;=0,0,IF(WEEKDAY(DI$6,1)=1,DI176*DI177,0)))</f>
        <v>0</v>
      </c>
      <c r="DJ180" s="64">
        <f>IF(AND(DJ176=1,DJ177=13),0,IF(DJ176&lt;=0,0,IF(WEEKDAY(DJ$6,1)=1,DJ176*DJ177,0)))</f>
        <v>0</v>
      </c>
      <c r="DK180" s="64">
        <f>IF(AND(DK176=1,DK177=13),13,IF(DK176&lt;=0,0,IF(WEEKDAY(DK$6,1)=1,DK176*DK177,0)))</f>
        <v>13</v>
      </c>
      <c r="DL180" s="63">
        <f>IF(AND(DL176=1,DL177=13),0,IF(DL176&lt;=0,0,IF(WEEKDAY(DL$6,1)=1,DL176*DL177,0)))</f>
        <v>0</v>
      </c>
      <c r="DM180" s="63">
        <f>IF(AND(DM176=1,DM177=13),0,IF(DM176&lt;=0,0,IF(WEEKDAY(DM$6,1)=1,DM176*DM177,0)))</f>
        <v>0</v>
      </c>
      <c r="DN180" s="63">
        <f>IF(AND(DN176=1,DN177=13),0,IF(DN176&lt;=0,0,IF(WEEKDAY(DN$6,1)=1,DN176*DN177,0)))</f>
        <v>0</v>
      </c>
      <c r="DO180" s="63">
        <f>IF(AND(DO176=1,DO177=13),0,IF(DO176&lt;=0,0,IF(WEEKDAY(DO$6,1)=1,DO176*DO177,0)))</f>
        <v>0</v>
      </c>
      <c r="DP180" s="63">
        <f>IF(AND(DP176=1,DP177=13),0,IF(DP176&lt;=0,0,IF(WEEKDAY(DP$6,1)=1,DP176*DP177,0)))</f>
        <v>0</v>
      </c>
      <c r="DQ180" s="64">
        <f>IF(AND(DQ176=1,DQ177=13),0,IF(DQ176&lt;=0,0,IF(WEEKDAY(DQ$6,1)=1,DQ176*DQ177,0)))</f>
        <v>0</v>
      </c>
      <c r="DR180" s="64">
        <f>IF(AND(DR176=1,DR177=13),13,IF(DR176&lt;=0,0,IF(WEEKDAY(DR$6,1)=1,DR176*DR177,0)))</f>
        <v>13</v>
      </c>
      <c r="DS180" s="63">
        <f>IF(AND(DS176=1,DS177=13),0,IF(DS176&lt;=0,0,IF(WEEKDAY(DS$6,1)=1,DS176*DS177,0)))</f>
        <v>0</v>
      </c>
      <c r="DT180" s="63">
        <f>IF(AND(DT176=0,DT177=0),0,IF(DT176&lt;=0,0,IF(WEEKDAY(DT$6,1)=1,DT176*DT177,0)))</f>
        <v>0</v>
      </c>
      <c r="DU180" s="63">
        <f>IF(AND(DU176=0,DU177=0),0,IF(DU176&lt;=0,0,IF(WEEKDAY(DU$6,1)=1,DU176*DU177,0)))</f>
        <v>0</v>
      </c>
      <c r="DV180" s="63">
        <f>IF(AND(DV176=0,DV177=0),0,IF(DV176&lt;=0,0,IF(WEEKDAY(DV$6,1)=1,DV176*DV177,0)))</f>
        <v>0</v>
      </c>
      <c r="DW180" s="63">
        <f>IF(AND(DW176=0,DW177=0),0,IF(DW176&lt;=0,0,IF(WEEKDAY(DW$6,1)=1,DW176*DW177,0)))</f>
        <v>0</v>
      </c>
      <c r="DX180" s="64">
        <f>IF(AND(DX176=0,DX177=0),0,IF(DX176&lt;=0,0,IF(WEEKDAY(DX$6,1)=1,DX176*DX177,0)))</f>
        <v>0</v>
      </c>
      <c r="DY180" s="64">
        <f>IF(AND(DY176=0,DY177=0),0,IF(DY176&lt;=0,0,IF(WEEKDAY(DY$6,1)=1,DY176*DY177,0)))</f>
        <v>0</v>
      </c>
      <c r="DZ180" s="63">
        <f>IF(AND(DZ176=0,DZ177=0),0,IF(DZ176&lt;=0,0,IF(WEEKDAY(DZ$6,1)=1,DZ176*DZ177,0)))</f>
        <v>0</v>
      </c>
      <c r="EA180" s="63">
        <f>IF(AND(EA176=0,EA177=0),0,IF(EA176&lt;=0,0,IF(WEEKDAY(EA$6,1)=1,EA176*EA177,0)))</f>
        <v>0</v>
      </c>
      <c r="EB180" s="63">
        <f>IF(AND(EB176=0,EB177=0),0,IF(EB176&lt;=0,0,IF(WEEKDAY(EB$6,1)=1,EB176*EB177,0)))</f>
        <v>0</v>
      </c>
      <c r="EC180" s="63">
        <f>IF(AND(EC176=0,EC177=0),0,IF(EC176&lt;=0,0,IF(WEEKDAY(EC$6,1)=1,EC176*EC177,0)))</f>
        <v>0</v>
      </c>
      <c r="ED180" s="63">
        <f>IF(AND(ED176=0,ED177=0),0,IF(ED176&lt;=0,0,IF(WEEKDAY(ED$6,1)=1,ED176*ED177,0)))</f>
        <v>0</v>
      </c>
      <c r="EE180" s="64">
        <f>IF(AND(EE176=0,EE177=0),0,IF(EE176&lt;=0,0,IF(WEEKDAY(EE$6,1)=1,EE176*EE177,0)))</f>
        <v>0</v>
      </c>
      <c r="EF180" s="64">
        <f>IF(AND(EF176=0,EF177=0),0,IF(EF176&lt;=0,0,IF(WEEKDAY(EF$6,1)=1,EF176*EF177,0)))</f>
        <v>0</v>
      </c>
      <c r="EG180" s="63">
        <f>IF(AND(EG176=0,EG177=0),0,IF(EG176&lt;=0,0,IF(WEEKDAY(EG$6,1)=1,EG176*EG177,0)))</f>
        <v>0</v>
      </c>
      <c r="EH180" s="63">
        <f>IF(AND(EH176=0,EH177=0),0,IF(EH176&lt;=0,0,IF(WEEKDAY(EH$6,1)=1,EH176*EH177,0)))</f>
        <v>0</v>
      </c>
      <c r="EI180" s="63">
        <f>IF(AND(EI176=0,EI177=0),0,IF(EI176&lt;=0,0,IF(WEEKDAY(EI$6,1)=1,EI176*EI177,0)))</f>
        <v>0</v>
      </c>
      <c r="EJ180" s="63">
        <f>IF(AND(EJ176=0,EJ177=0),0,IF(EJ176&lt;=0,0,IF(WEEKDAY(EJ$6,1)=1,EJ176*EJ177,0)))</f>
        <v>0</v>
      </c>
      <c r="EK180" s="65">
        <f>IF(AND(EK176=0,EK177=0),0,IF(EK176&lt;=0,0,IF(WEEKDAY(EK$6,1)=1,EK176*EK177,0)))</f>
        <v>0</v>
      </c>
      <c r="OU180" s="28" t="s">
        <v>100</v>
      </c>
    </row>
    <row r="181" ht="16" customHeight="1" spans="1:411" x14ac:dyDescent="0.25">
      <c r="A181" s="74"/>
      <c r="B181" s="46"/>
      <c r="C181" s="67">
        <f>I175*D181</f>
        <v>13860</v>
      </c>
      <c r="D181" s="67">
        <v>140</v>
      </c>
      <c r="E181" s="68" t="s">
        <v>65</v>
      </c>
      <c r="F181" s="49"/>
      <c r="G181" s="49"/>
      <c r="H181" s="49"/>
      <c r="I181" s="49"/>
      <c r="J181" s="50"/>
      <c r="K181" s="69">
        <v>1</v>
      </c>
      <c r="L181" s="70">
        <v>1</v>
      </c>
      <c r="M181" s="70">
        <v>1</v>
      </c>
      <c r="N181" s="70">
        <v>1</v>
      </c>
      <c r="O181" s="70">
        <v>1</v>
      </c>
      <c r="P181" s="71">
        <v>0</v>
      </c>
      <c r="Q181" s="71">
        <v>0</v>
      </c>
      <c r="R181" s="70">
        <v>1</v>
      </c>
      <c r="S181" s="70">
        <v>1</v>
      </c>
      <c r="T181" s="70">
        <v>1</v>
      </c>
      <c r="U181" s="70">
        <v>1</v>
      </c>
      <c r="V181" s="70">
        <v>1</v>
      </c>
      <c r="W181" s="71">
        <v>0</v>
      </c>
      <c r="X181" s="71">
        <v>0</v>
      </c>
      <c r="Y181" s="70">
        <v>1</v>
      </c>
      <c r="Z181" s="70">
        <v>1</v>
      </c>
      <c r="AA181" s="70">
        <v>1</v>
      </c>
      <c r="AB181" s="70">
        <v>1</v>
      </c>
      <c r="AC181" s="70">
        <v>1</v>
      </c>
      <c r="AD181" s="71">
        <v>0</v>
      </c>
      <c r="AE181" s="71">
        <v>0</v>
      </c>
      <c r="AF181" s="70">
        <v>1</v>
      </c>
      <c r="AG181" s="70">
        <v>1</v>
      </c>
      <c r="AH181" s="70">
        <v>1</v>
      </c>
      <c r="AI181" s="70">
        <v>1</v>
      </c>
      <c r="AJ181" s="70">
        <v>1</v>
      </c>
      <c r="AK181" s="71">
        <v>0</v>
      </c>
      <c r="AL181" s="71">
        <v>0</v>
      </c>
      <c r="AM181" s="70">
        <v>1</v>
      </c>
      <c r="AN181" s="70">
        <v>1</v>
      </c>
      <c r="AO181" s="70">
        <v>1</v>
      </c>
      <c r="AP181" s="70">
        <v>1</v>
      </c>
      <c r="AQ181" s="70">
        <v>1</v>
      </c>
      <c r="AR181" s="71">
        <v>0</v>
      </c>
      <c r="AS181" s="71">
        <v>0</v>
      </c>
      <c r="AT181" s="70">
        <v>1</v>
      </c>
      <c r="AU181" s="70">
        <v>1</v>
      </c>
      <c r="AV181" s="70">
        <v>1</v>
      </c>
      <c r="AW181" s="70">
        <v>1</v>
      </c>
      <c r="AX181" s="70">
        <v>1</v>
      </c>
      <c r="AY181" s="71">
        <v>0</v>
      </c>
      <c r="AZ181" s="71">
        <v>0</v>
      </c>
      <c r="BA181" s="70">
        <v>1</v>
      </c>
      <c r="BB181" s="70">
        <v>1</v>
      </c>
      <c r="BC181" s="70">
        <v>1</v>
      </c>
      <c r="BD181" s="70">
        <v>1</v>
      </c>
      <c r="BE181" s="70">
        <v>1</v>
      </c>
      <c r="BF181" s="71">
        <v>0</v>
      </c>
      <c r="BG181" s="71">
        <v>0</v>
      </c>
      <c r="BH181" s="70">
        <v>1</v>
      </c>
      <c r="BI181" s="70">
        <v>1</v>
      </c>
      <c r="BJ181" s="70">
        <v>1</v>
      </c>
      <c r="BK181" s="70">
        <v>1</v>
      </c>
      <c r="BL181" s="70">
        <v>1</v>
      </c>
      <c r="BM181" s="71">
        <v>1</v>
      </c>
      <c r="BN181" s="71">
        <v>1</v>
      </c>
      <c r="BO181" s="70">
        <v>1</v>
      </c>
      <c r="BP181" s="70">
        <v>1</v>
      </c>
      <c r="BQ181" s="70">
        <v>1</v>
      </c>
      <c r="BR181" s="70">
        <v>1</v>
      </c>
      <c r="BS181" s="70">
        <v>1</v>
      </c>
      <c r="BT181" s="71">
        <v>1</v>
      </c>
      <c r="BU181" s="71">
        <v>1</v>
      </c>
      <c r="BV181" s="70">
        <v>1</v>
      </c>
      <c r="BW181" s="70">
        <v>1</v>
      </c>
      <c r="BX181" s="70">
        <v>1</v>
      </c>
      <c r="BY181" s="70">
        <v>1</v>
      </c>
      <c r="BZ181" s="70">
        <v>1</v>
      </c>
      <c r="CA181" s="71">
        <v>1</v>
      </c>
      <c r="CB181" s="71">
        <v>1</v>
      </c>
      <c r="CC181" s="70">
        <v>1</v>
      </c>
      <c r="CD181" s="70">
        <v>1</v>
      </c>
      <c r="CE181" s="70">
        <v>1</v>
      </c>
      <c r="CF181" s="70">
        <v>1</v>
      </c>
      <c r="CG181" s="70">
        <v>1</v>
      </c>
      <c r="CH181" s="71">
        <v>1</v>
      </c>
      <c r="CI181" s="71">
        <v>1</v>
      </c>
      <c r="CJ181" s="70">
        <v>1</v>
      </c>
      <c r="CK181" s="70">
        <v>1</v>
      </c>
      <c r="CL181" s="70">
        <v>1</v>
      </c>
      <c r="CM181" s="70">
        <v>1</v>
      </c>
      <c r="CN181" s="70">
        <v>1</v>
      </c>
      <c r="CO181" s="71">
        <v>1</v>
      </c>
      <c r="CP181" s="71">
        <v>1</v>
      </c>
      <c r="CQ181" s="70">
        <v>1</v>
      </c>
      <c r="CR181" s="70">
        <v>1</v>
      </c>
      <c r="CS181" s="70">
        <v>1</v>
      </c>
      <c r="CT181" s="70">
        <v>1</v>
      </c>
      <c r="CU181" s="70">
        <v>1</v>
      </c>
      <c r="CV181" s="71">
        <v>1</v>
      </c>
      <c r="CW181" s="71">
        <v>1</v>
      </c>
      <c r="CX181" s="70">
        <v>1</v>
      </c>
      <c r="CY181" s="70">
        <v>1</v>
      </c>
      <c r="CZ181" s="70">
        <v>1</v>
      </c>
      <c r="DA181" s="70">
        <v>1</v>
      </c>
      <c r="DB181" s="70">
        <v>1</v>
      </c>
      <c r="DC181" s="71">
        <v>1</v>
      </c>
      <c r="DD181" s="71">
        <v>1</v>
      </c>
      <c r="DE181" s="70">
        <v>1</v>
      </c>
      <c r="DF181" s="70">
        <v>1</v>
      </c>
      <c r="DG181" s="70">
        <v>1</v>
      </c>
      <c r="DH181" s="70">
        <v>1</v>
      </c>
      <c r="DI181" s="70">
        <v>1</v>
      </c>
      <c r="DJ181" s="71">
        <v>1</v>
      </c>
      <c r="DK181" s="71">
        <v>1</v>
      </c>
      <c r="DL181" s="70">
        <v>1</v>
      </c>
      <c r="DM181" s="70">
        <v>1</v>
      </c>
      <c r="DN181" s="70">
        <v>1</v>
      </c>
      <c r="DO181" s="70">
        <v>1</v>
      </c>
      <c r="DP181" s="70">
        <v>1</v>
      </c>
      <c r="DQ181" s="71">
        <v>1</v>
      </c>
      <c r="DR181" s="71">
        <v>1</v>
      </c>
      <c r="DS181" s="70">
        <v>1</v>
      </c>
      <c r="DT181" s="70">
        <v>0</v>
      </c>
      <c r="DU181" s="70">
        <v>0</v>
      </c>
      <c r="DV181" s="70">
        <v>0</v>
      </c>
      <c r="DW181" s="70">
        <v>0</v>
      </c>
      <c r="DX181" s="71">
        <v>0</v>
      </c>
      <c r="DY181" s="71">
        <v>0</v>
      </c>
      <c r="DZ181" s="70">
        <v>0</v>
      </c>
      <c r="EA181" s="70">
        <v>0</v>
      </c>
      <c r="EB181" s="70">
        <v>0</v>
      </c>
      <c r="EC181" s="70">
        <v>0</v>
      </c>
      <c r="ED181" s="70">
        <v>0</v>
      </c>
      <c r="EE181" s="71">
        <v>0</v>
      </c>
      <c r="EF181" s="71">
        <v>0</v>
      </c>
      <c r="EG181" s="70">
        <v>0</v>
      </c>
      <c r="EH181" s="70">
        <v>0</v>
      </c>
      <c r="EI181" s="70">
        <v>0</v>
      </c>
      <c r="EJ181" s="70">
        <v>0</v>
      </c>
      <c r="EK181" s="72">
        <v>0</v>
      </c>
      <c r="OU181" s="60" t="s">
        <v>100</v>
      </c>
    </row>
    <row r="182" ht="8" customHeight="1" spans="1:141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  <c r="BZ182" s="73"/>
      <c r="CA182" s="73"/>
      <c r="CB182" s="73"/>
      <c r="CC182" s="73"/>
      <c r="CD182" s="73"/>
      <c r="CE182" s="73"/>
      <c r="CF182" s="73"/>
      <c r="CG182" s="73"/>
      <c r="CH182" s="73"/>
      <c r="CI182" s="73"/>
      <c r="CJ182" s="73"/>
      <c r="CK182" s="73"/>
      <c r="CL182" s="73"/>
      <c r="CM182" s="73"/>
      <c r="CN182" s="73"/>
      <c r="CO182" s="73"/>
      <c r="CP182" s="73"/>
      <c r="CQ182" s="73"/>
      <c r="CR182" s="73"/>
      <c r="CS182" s="73"/>
      <c r="CT182" s="73"/>
      <c r="CU182" s="73"/>
      <c r="CV182" s="73"/>
      <c r="CW182" s="73"/>
      <c r="CX182" s="73"/>
      <c r="CY182" s="73"/>
      <c r="CZ182" s="73"/>
      <c r="DA182" s="73"/>
      <c r="DB182" s="73"/>
      <c r="DC182" s="73"/>
      <c r="DD182" s="73"/>
      <c r="DE182" s="73"/>
      <c r="DF182" s="73"/>
      <c r="DG182" s="73"/>
      <c r="DH182" s="73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  <c r="DT182" s="73"/>
      <c r="DU182" s="73"/>
      <c r="DV182" s="73"/>
      <c r="DW182" s="73"/>
      <c r="DX182" s="73"/>
      <c r="DY182" s="73"/>
      <c r="DZ182" s="73"/>
      <c r="EA182" s="73"/>
      <c r="EB182" s="73"/>
      <c r="EC182" s="73"/>
      <c r="ED182" s="73"/>
      <c r="EE182" s="73"/>
      <c r="EF182" s="73"/>
      <c r="EG182" s="73"/>
      <c r="EH182" s="73"/>
      <c r="EI182" s="73"/>
      <c r="EJ182" s="73"/>
      <c r="EK182" s="73"/>
    </row>
    <row r="183" ht="16" customHeight="1" spans="1:411" x14ac:dyDescent="0.25">
      <c r="A183" s="45" t="s">
        <v>57</v>
      </c>
      <c r="B183" s="46" t="s">
        <v>101</v>
      </c>
      <c r="C183" s="47">
        <f>J183</f>
        <v>232378.25</v>
      </c>
      <c r="D183" s="48"/>
      <c r="E183" s="48"/>
      <c r="F183" s="49">
        <f>SUM(K186:EK186)</f>
        <v>1192</v>
      </c>
      <c r="G183" s="49">
        <f>SUM(K187:EK187)</f>
        <v>471</v>
      </c>
      <c r="H183" s="49">
        <f>SUM(K188:EK188)</f>
        <v>130</v>
      </c>
      <c r="I183" s="49">
        <f>SUM(K189:EK189)</f>
        <v>137</v>
      </c>
      <c r="J183" s="50">
        <f>C186+C187+C188</f>
        <v>232378.25</v>
      </c>
      <c r="K183" s="51"/>
      <c r="L183" s="52"/>
      <c r="M183" s="52"/>
      <c r="N183" s="52"/>
      <c r="O183" s="52"/>
      <c r="P183" s="53"/>
      <c r="Q183" s="53"/>
      <c r="R183" s="52"/>
      <c r="S183" s="52"/>
      <c r="T183" s="52"/>
      <c r="U183" s="52"/>
      <c r="V183" s="52"/>
      <c r="W183" s="53"/>
      <c r="X183" s="53"/>
      <c r="Y183" s="52"/>
      <c r="Z183" s="52"/>
      <c r="AA183" s="52"/>
      <c r="AB183" s="52"/>
      <c r="AC183" s="52"/>
      <c r="AD183" s="53"/>
      <c r="AE183" s="53"/>
      <c r="AF183" s="52"/>
      <c r="AG183" s="52"/>
      <c r="AH183" s="52"/>
      <c r="AI183" s="52"/>
      <c r="AJ183" s="52"/>
      <c r="AK183" s="53"/>
      <c r="AL183" s="53"/>
      <c r="AM183" s="52"/>
      <c r="AN183" s="52"/>
      <c r="AO183" s="52"/>
      <c r="AP183" s="52"/>
      <c r="AQ183" s="52"/>
      <c r="AR183" s="53"/>
      <c r="AS183" s="53"/>
      <c r="AT183" s="52"/>
      <c r="AU183" s="52"/>
      <c r="AV183" s="52"/>
      <c r="AW183" s="52"/>
      <c r="AX183" s="52"/>
      <c r="AY183" s="53"/>
      <c r="AZ183" s="53"/>
      <c r="BA183" s="52"/>
      <c r="BB183" s="52"/>
      <c r="BC183" s="52"/>
      <c r="BD183" s="52"/>
      <c r="BE183" s="52"/>
      <c r="BF183" s="53"/>
      <c r="BG183" s="53"/>
      <c r="BH183" s="52"/>
      <c r="BI183" s="52"/>
      <c r="BJ183" s="52"/>
      <c r="BK183" s="52"/>
      <c r="BL183" s="52"/>
      <c r="BM183" s="53"/>
      <c r="BN183" s="53"/>
      <c r="BO183" s="52"/>
      <c r="BP183" s="52"/>
      <c r="BQ183" s="52"/>
      <c r="BR183" s="52"/>
      <c r="BS183" s="52"/>
      <c r="BT183" s="53"/>
      <c r="BU183" s="53"/>
      <c r="BV183" s="52"/>
      <c r="BW183" s="52"/>
      <c r="BX183" s="52"/>
      <c r="BY183" s="52"/>
      <c r="BZ183" s="52"/>
      <c r="CA183" s="53"/>
      <c r="CB183" s="53"/>
      <c r="CC183" s="52"/>
      <c r="CD183" s="52"/>
      <c r="CE183" s="52"/>
      <c r="CF183" s="52"/>
      <c r="CG183" s="52"/>
      <c r="CH183" s="53"/>
      <c r="CI183" s="53"/>
      <c r="CJ183" s="52"/>
      <c r="CK183" s="52"/>
      <c r="CL183" s="52"/>
      <c r="CM183" s="52"/>
      <c r="CN183" s="52"/>
      <c r="CO183" s="53"/>
      <c r="CP183" s="53"/>
      <c r="CQ183" s="52"/>
      <c r="CR183" s="52"/>
      <c r="CS183" s="52"/>
      <c r="CT183" s="52"/>
      <c r="CU183" s="52"/>
      <c r="CV183" s="53"/>
      <c r="CW183" s="53"/>
      <c r="CX183" s="52"/>
      <c r="CY183" s="52"/>
      <c r="CZ183" s="52"/>
      <c r="DA183" s="52"/>
      <c r="DB183" s="52"/>
      <c r="DC183" s="53"/>
      <c r="DD183" s="53"/>
      <c r="DE183" s="52"/>
      <c r="DF183" s="52"/>
      <c r="DG183" s="52"/>
      <c r="DH183" s="52"/>
      <c r="DI183" s="52"/>
      <c r="DJ183" s="53"/>
      <c r="DK183" s="53"/>
      <c r="DL183" s="52"/>
      <c r="DM183" s="52"/>
      <c r="DN183" s="52"/>
      <c r="DO183" s="52"/>
      <c r="DP183" s="52"/>
      <c r="DQ183" s="53"/>
      <c r="DR183" s="53"/>
      <c r="DS183" s="52"/>
      <c r="DT183" s="52"/>
      <c r="DU183" s="52"/>
      <c r="DV183" s="52"/>
      <c r="DW183" s="52"/>
      <c r="DX183" s="53"/>
      <c r="DY183" s="53"/>
      <c r="DZ183" s="52"/>
      <c r="EA183" s="52"/>
      <c r="EB183" s="52"/>
      <c r="EC183" s="52"/>
      <c r="ED183" s="52"/>
      <c r="EE183" s="53"/>
      <c r="EF183" s="53"/>
      <c r="EG183" s="52"/>
      <c r="EH183" s="52"/>
      <c r="EI183" s="52"/>
      <c r="EJ183" s="52"/>
      <c r="EK183" s="54"/>
      <c r="OU183" s="28" t="s">
        <v>102</v>
      </c>
    </row>
    <row r="184" ht="16" customHeight="1" spans="1:411" x14ac:dyDescent="0.25">
      <c r="A184" s="45"/>
      <c r="B184" s="46"/>
      <c r="C184" s="47"/>
      <c r="D184" s="48"/>
      <c r="E184" s="55" t="s">
        <v>60</v>
      </c>
      <c r="F184" s="49"/>
      <c r="G184" s="49"/>
      <c r="H184" s="49"/>
      <c r="I184" s="49"/>
      <c r="J184" s="50"/>
      <c r="K184" s="56">
        <v>1</v>
      </c>
      <c r="L184" s="57">
        <v>1</v>
      </c>
      <c r="M184" s="57">
        <v>1</v>
      </c>
      <c r="N184" s="57">
        <v>1</v>
      </c>
      <c r="O184" s="57">
        <v>1</v>
      </c>
      <c r="P184" s="58">
        <v>0</v>
      </c>
      <c r="Q184" s="58">
        <v>0</v>
      </c>
      <c r="R184" s="57">
        <v>1</v>
      </c>
      <c r="S184" s="57">
        <v>1</v>
      </c>
      <c r="T184" s="57">
        <v>1</v>
      </c>
      <c r="U184" s="57">
        <v>1</v>
      </c>
      <c r="V184" s="57">
        <v>1</v>
      </c>
      <c r="W184" s="58">
        <v>0</v>
      </c>
      <c r="X184" s="58">
        <v>0</v>
      </c>
      <c r="Y184" s="57">
        <v>1</v>
      </c>
      <c r="Z184" s="57">
        <v>1</v>
      </c>
      <c r="AA184" s="57">
        <v>1</v>
      </c>
      <c r="AB184" s="57">
        <v>2</v>
      </c>
      <c r="AC184" s="57">
        <v>2</v>
      </c>
      <c r="AD184" s="58">
        <v>0</v>
      </c>
      <c r="AE184" s="58">
        <v>0</v>
      </c>
      <c r="AF184" s="57">
        <v>2</v>
      </c>
      <c r="AG184" s="57">
        <v>2</v>
      </c>
      <c r="AH184" s="57">
        <v>2</v>
      </c>
      <c r="AI184" s="57">
        <v>2</v>
      </c>
      <c r="AJ184" s="57">
        <v>2</v>
      </c>
      <c r="AK184" s="58">
        <v>0</v>
      </c>
      <c r="AL184" s="58">
        <v>0</v>
      </c>
      <c r="AM184" s="57">
        <v>2</v>
      </c>
      <c r="AN184" s="57">
        <v>2</v>
      </c>
      <c r="AO184" s="57">
        <v>2</v>
      </c>
      <c r="AP184" s="57">
        <v>4.25</v>
      </c>
      <c r="AQ184" s="57">
        <v>4.25</v>
      </c>
      <c r="AR184" s="58">
        <v>0</v>
      </c>
      <c r="AS184" s="58">
        <v>0</v>
      </c>
      <c r="AT184" s="57">
        <v>4.25</v>
      </c>
      <c r="AU184" s="57">
        <v>4.25</v>
      </c>
      <c r="AV184" s="57">
        <v>4.25</v>
      </c>
      <c r="AW184" s="57">
        <v>4.25</v>
      </c>
      <c r="AX184" s="57">
        <v>4.25</v>
      </c>
      <c r="AY184" s="58">
        <v>0</v>
      </c>
      <c r="AZ184" s="58">
        <v>0</v>
      </c>
      <c r="BA184" s="57">
        <v>4.25</v>
      </c>
      <c r="BB184" s="57">
        <v>4.25</v>
      </c>
      <c r="BC184" s="57">
        <v>4.25</v>
      </c>
      <c r="BD184" s="57">
        <v>4.25</v>
      </c>
      <c r="BE184" s="57">
        <v>4.25</v>
      </c>
      <c r="BF184" s="58">
        <v>0</v>
      </c>
      <c r="BG184" s="58">
        <v>0</v>
      </c>
      <c r="BH184" s="57">
        <v>2</v>
      </c>
      <c r="BI184" s="57">
        <v>2</v>
      </c>
      <c r="BJ184" s="57">
        <v>2</v>
      </c>
      <c r="BK184" s="57">
        <v>2</v>
      </c>
      <c r="BL184" s="57">
        <v>2</v>
      </c>
      <c r="BM184" s="58">
        <v>2</v>
      </c>
      <c r="BN184" s="58">
        <v>2</v>
      </c>
      <c r="BO184" s="57">
        <v>2</v>
      </c>
      <c r="BP184" s="57">
        <v>2</v>
      </c>
      <c r="BQ184" s="57">
        <v>2</v>
      </c>
      <c r="BR184" s="57">
        <v>1</v>
      </c>
      <c r="BS184" s="57">
        <v>1</v>
      </c>
      <c r="BT184" s="58">
        <v>1</v>
      </c>
      <c r="BU184" s="58">
        <v>1</v>
      </c>
      <c r="BV184" s="57">
        <v>1</v>
      </c>
      <c r="BW184" s="57">
        <v>1</v>
      </c>
      <c r="BX184" s="57">
        <v>1</v>
      </c>
      <c r="BY184" s="57">
        <v>1</v>
      </c>
      <c r="BZ184" s="57">
        <v>1</v>
      </c>
      <c r="CA184" s="58">
        <v>1</v>
      </c>
      <c r="CB184" s="58">
        <v>1</v>
      </c>
      <c r="CC184" s="57">
        <v>1</v>
      </c>
      <c r="CD184" s="57">
        <v>1</v>
      </c>
      <c r="CE184" s="57">
        <v>1</v>
      </c>
      <c r="CF184" s="57">
        <v>1</v>
      </c>
      <c r="CG184" s="57">
        <v>1</v>
      </c>
      <c r="CH184" s="58">
        <v>1</v>
      </c>
      <c r="CI184" s="58">
        <v>1</v>
      </c>
      <c r="CJ184" s="57">
        <v>1</v>
      </c>
      <c r="CK184" s="57">
        <v>1</v>
      </c>
      <c r="CL184" s="57">
        <v>1</v>
      </c>
      <c r="CM184" s="57">
        <v>1</v>
      </c>
      <c r="CN184" s="57">
        <v>1</v>
      </c>
      <c r="CO184" s="58">
        <v>1</v>
      </c>
      <c r="CP184" s="58">
        <v>1</v>
      </c>
      <c r="CQ184" s="57">
        <v>1</v>
      </c>
      <c r="CR184" s="57">
        <v>1</v>
      </c>
      <c r="CS184" s="57">
        <v>1</v>
      </c>
      <c r="CT184" s="57">
        <v>1</v>
      </c>
      <c r="CU184" s="57">
        <v>1</v>
      </c>
      <c r="CV184" s="58">
        <v>1</v>
      </c>
      <c r="CW184" s="58">
        <v>1</v>
      </c>
      <c r="CX184" s="57">
        <v>1</v>
      </c>
      <c r="CY184" s="57">
        <v>1</v>
      </c>
      <c r="CZ184" s="57">
        <v>1</v>
      </c>
      <c r="DA184" s="57">
        <v>1</v>
      </c>
      <c r="DB184" s="57">
        <v>1</v>
      </c>
      <c r="DC184" s="58">
        <v>1</v>
      </c>
      <c r="DD184" s="58">
        <v>1</v>
      </c>
      <c r="DE184" s="57">
        <v>1</v>
      </c>
      <c r="DF184" s="57">
        <v>1</v>
      </c>
      <c r="DG184" s="57">
        <v>1</v>
      </c>
      <c r="DH184" s="57">
        <v>1</v>
      </c>
      <c r="DI184" s="57">
        <v>1</v>
      </c>
      <c r="DJ184" s="58">
        <v>1</v>
      </c>
      <c r="DK184" s="58">
        <v>1</v>
      </c>
      <c r="DL184" s="57">
        <v>1</v>
      </c>
      <c r="DM184" s="57">
        <v>1</v>
      </c>
      <c r="DN184" s="57">
        <v>1</v>
      </c>
      <c r="DO184" s="57">
        <v>1</v>
      </c>
      <c r="DP184" s="57">
        <v>1</v>
      </c>
      <c r="DQ184" s="58">
        <v>1</v>
      </c>
      <c r="DR184" s="58">
        <v>1</v>
      </c>
      <c r="DS184" s="57">
        <v>1</v>
      </c>
      <c r="DT184" s="57">
        <v>1</v>
      </c>
      <c r="DU184" s="57">
        <v>1</v>
      </c>
      <c r="DV184" s="57">
        <v>1</v>
      </c>
      <c r="DW184" s="57">
        <v>1</v>
      </c>
      <c r="DX184" s="58">
        <v>0</v>
      </c>
      <c r="DY184" s="58">
        <v>0</v>
      </c>
      <c r="DZ184" s="57">
        <v>1</v>
      </c>
      <c r="EA184" s="57">
        <v>1</v>
      </c>
      <c r="EB184" s="57">
        <v>1</v>
      </c>
      <c r="EC184" s="57">
        <v>1</v>
      </c>
      <c r="ED184" s="57">
        <v>1</v>
      </c>
      <c r="EE184" s="58">
        <v>0</v>
      </c>
      <c r="EF184" s="58">
        <v>0</v>
      </c>
      <c r="EG184" s="57">
        <v>1</v>
      </c>
      <c r="EH184" s="57">
        <v>1</v>
      </c>
      <c r="EI184" s="57">
        <v>1</v>
      </c>
      <c r="EJ184" s="57">
        <v>1</v>
      </c>
      <c r="EK184" s="59">
        <v>1</v>
      </c>
      <c r="OU184" s="60" t="s">
        <v>102</v>
      </c>
    </row>
    <row r="185" ht="16" customHeight="1" spans="1:411" x14ac:dyDescent="0.25">
      <c r="A185" s="45"/>
      <c r="B185" s="46"/>
      <c r="C185" s="47"/>
      <c r="D185" s="48"/>
      <c r="E185" s="55" t="s">
        <v>61</v>
      </c>
      <c r="F185" s="49"/>
      <c r="G185" s="49"/>
      <c r="H185" s="49"/>
      <c r="I185" s="49"/>
      <c r="J185" s="50"/>
      <c r="K185" s="56">
        <v>9</v>
      </c>
      <c r="L185" s="57">
        <v>9</v>
      </c>
      <c r="M185" s="57">
        <v>9</v>
      </c>
      <c r="N185" s="57">
        <v>9</v>
      </c>
      <c r="O185" s="57">
        <v>9</v>
      </c>
      <c r="P185" s="58">
        <v>0</v>
      </c>
      <c r="Q185" s="58">
        <v>0</v>
      </c>
      <c r="R185" s="57">
        <v>9</v>
      </c>
      <c r="S185" s="57">
        <v>9</v>
      </c>
      <c r="T185" s="57">
        <v>9</v>
      </c>
      <c r="U185" s="57">
        <v>9</v>
      </c>
      <c r="V185" s="57">
        <v>9</v>
      </c>
      <c r="W185" s="58">
        <v>0</v>
      </c>
      <c r="X185" s="58">
        <v>0</v>
      </c>
      <c r="Y185" s="57">
        <v>9</v>
      </c>
      <c r="Z185" s="57">
        <v>9</v>
      </c>
      <c r="AA185" s="57">
        <v>9</v>
      </c>
      <c r="AB185" s="57">
        <v>9</v>
      </c>
      <c r="AC185" s="57">
        <v>9</v>
      </c>
      <c r="AD185" s="58">
        <v>0</v>
      </c>
      <c r="AE185" s="58">
        <v>0</v>
      </c>
      <c r="AF185" s="57">
        <v>9</v>
      </c>
      <c r="AG185" s="57">
        <v>9</v>
      </c>
      <c r="AH185" s="57">
        <v>9</v>
      </c>
      <c r="AI185" s="57">
        <v>9</v>
      </c>
      <c r="AJ185" s="57">
        <v>9</v>
      </c>
      <c r="AK185" s="58">
        <v>0</v>
      </c>
      <c r="AL185" s="58">
        <v>0</v>
      </c>
      <c r="AM185" s="57">
        <v>9</v>
      </c>
      <c r="AN185" s="57">
        <v>9</v>
      </c>
      <c r="AO185" s="57">
        <v>9</v>
      </c>
      <c r="AP185" s="57">
        <v>8</v>
      </c>
      <c r="AQ185" s="57">
        <v>8</v>
      </c>
      <c r="AR185" s="58">
        <v>0</v>
      </c>
      <c r="AS185" s="58">
        <v>0</v>
      </c>
      <c r="AT185" s="57">
        <v>8</v>
      </c>
      <c r="AU185" s="57">
        <v>8</v>
      </c>
      <c r="AV185" s="57">
        <v>8</v>
      </c>
      <c r="AW185" s="57">
        <v>8</v>
      </c>
      <c r="AX185" s="57">
        <v>8</v>
      </c>
      <c r="AY185" s="58">
        <v>0</v>
      </c>
      <c r="AZ185" s="58">
        <v>0</v>
      </c>
      <c r="BA185" s="57">
        <v>8</v>
      </c>
      <c r="BB185" s="57">
        <v>8</v>
      </c>
      <c r="BC185" s="57">
        <v>8</v>
      </c>
      <c r="BD185" s="57">
        <v>8</v>
      </c>
      <c r="BE185" s="57">
        <v>8</v>
      </c>
      <c r="BF185" s="58">
        <v>0</v>
      </c>
      <c r="BG185" s="58">
        <v>0</v>
      </c>
      <c r="BH185" s="57">
        <v>13</v>
      </c>
      <c r="BI185" s="57">
        <v>13</v>
      </c>
      <c r="BJ185" s="57">
        <v>13</v>
      </c>
      <c r="BK185" s="57">
        <v>13</v>
      </c>
      <c r="BL185" s="57">
        <v>13</v>
      </c>
      <c r="BM185" s="58">
        <v>13</v>
      </c>
      <c r="BN185" s="58">
        <v>13</v>
      </c>
      <c r="BO185" s="57">
        <v>13</v>
      </c>
      <c r="BP185" s="57">
        <v>13</v>
      </c>
      <c r="BQ185" s="57">
        <v>13</v>
      </c>
      <c r="BR185" s="57">
        <v>13</v>
      </c>
      <c r="BS185" s="57">
        <v>13</v>
      </c>
      <c r="BT185" s="58">
        <v>13</v>
      </c>
      <c r="BU185" s="58">
        <v>13</v>
      </c>
      <c r="BV185" s="57">
        <v>13</v>
      </c>
      <c r="BW185" s="57">
        <v>13</v>
      </c>
      <c r="BX185" s="57">
        <v>13</v>
      </c>
      <c r="BY185" s="57">
        <v>13</v>
      </c>
      <c r="BZ185" s="57">
        <v>13</v>
      </c>
      <c r="CA185" s="58">
        <v>13</v>
      </c>
      <c r="CB185" s="58">
        <v>13</v>
      </c>
      <c r="CC185" s="57">
        <v>13</v>
      </c>
      <c r="CD185" s="57">
        <v>13</v>
      </c>
      <c r="CE185" s="57">
        <v>13</v>
      </c>
      <c r="CF185" s="57">
        <v>13</v>
      </c>
      <c r="CG185" s="57">
        <v>13</v>
      </c>
      <c r="CH185" s="58">
        <v>13</v>
      </c>
      <c r="CI185" s="58">
        <v>13</v>
      </c>
      <c r="CJ185" s="57">
        <v>13</v>
      </c>
      <c r="CK185" s="57">
        <v>13</v>
      </c>
      <c r="CL185" s="57">
        <v>13</v>
      </c>
      <c r="CM185" s="57">
        <v>13</v>
      </c>
      <c r="CN185" s="57">
        <v>13</v>
      </c>
      <c r="CO185" s="58">
        <v>13</v>
      </c>
      <c r="CP185" s="58">
        <v>13</v>
      </c>
      <c r="CQ185" s="57">
        <v>13</v>
      </c>
      <c r="CR185" s="57">
        <v>13</v>
      </c>
      <c r="CS185" s="57">
        <v>13</v>
      </c>
      <c r="CT185" s="57">
        <v>13</v>
      </c>
      <c r="CU185" s="57">
        <v>13</v>
      </c>
      <c r="CV185" s="58">
        <v>13</v>
      </c>
      <c r="CW185" s="58">
        <v>13</v>
      </c>
      <c r="CX185" s="57">
        <v>13</v>
      </c>
      <c r="CY185" s="57">
        <v>13</v>
      </c>
      <c r="CZ185" s="57">
        <v>13</v>
      </c>
      <c r="DA185" s="57">
        <v>13</v>
      </c>
      <c r="DB185" s="57">
        <v>13</v>
      </c>
      <c r="DC185" s="58">
        <v>13</v>
      </c>
      <c r="DD185" s="58">
        <v>13</v>
      </c>
      <c r="DE185" s="57">
        <v>13</v>
      </c>
      <c r="DF185" s="57">
        <v>13</v>
      </c>
      <c r="DG185" s="57">
        <v>13</v>
      </c>
      <c r="DH185" s="57">
        <v>13</v>
      </c>
      <c r="DI185" s="57">
        <v>13</v>
      </c>
      <c r="DJ185" s="58">
        <v>13</v>
      </c>
      <c r="DK185" s="58">
        <v>13</v>
      </c>
      <c r="DL185" s="57">
        <v>13</v>
      </c>
      <c r="DM185" s="57">
        <v>13</v>
      </c>
      <c r="DN185" s="57">
        <v>13</v>
      </c>
      <c r="DO185" s="57">
        <v>13</v>
      </c>
      <c r="DP185" s="57">
        <v>13</v>
      </c>
      <c r="DQ185" s="58">
        <v>13</v>
      </c>
      <c r="DR185" s="58">
        <v>13</v>
      </c>
      <c r="DS185" s="57">
        <v>13</v>
      </c>
      <c r="DT185" s="57">
        <v>9</v>
      </c>
      <c r="DU185" s="57">
        <v>9</v>
      </c>
      <c r="DV185" s="57">
        <v>9</v>
      </c>
      <c r="DW185" s="57">
        <v>9</v>
      </c>
      <c r="DX185" s="58">
        <v>0</v>
      </c>
      <c r="DY185" s="58">
        <v>0</v>
      </c>
      <c r="DZ185" s="57">
        <v>9</v>
      </c>
      <c r="EA185" s="57">
        <v>9</v>
      </c>
      <c r="EB185" s="57">
        <v>9</v>
      </c>
      <c r="EC185" s="57">
        <v>9</v>
      </c>
      <c r="ED185" s="57">
        <v>9</v>
      </c>
      <c r="EE185" s="58">
        <v>0</v>
      </c>
      <c r="EF185" s="58">
        <v>0</v>
      </c>
      <c r="EG185" s="57">
        <v>9</v>
      </c>
      <c r="EH185" s="57">
        <v>9</v>
      </c>
      <c r="EI185" s="57">
        <v>9</v>
      </c>
      <c r="EJ185" s="57">
        <v>9</v>
      </c>
      <c r="EK185" s="59">
        <v>9</v>
      </c>
      <c r="OU185" s="60" t="s">
        <v>102</v>
      </c>
    </row>
    <row r="186" ht="16" customHeight="1" spans="1:411" x14ac:dyDescent="0.25">
      <c r="A186" s="45"/>
      <c r="B186" s="46"/>
      <c r="C186" s="61">
        <f>F183*N(D186)</f>
        <v>132574.24</v>
      </c>
      <c r="D186" s="61">
        <f>IF(TRIM(B183)="","No rate",IFERROR(INDEX('Rate Tables'!C$7:C$158,MATCH(B183,'Rate Tables'!A$7:A$158,0)),"No rate"))</f>
        <v>111.22</v>
      </c>
      <c r="E186" s="55" t="s">
        <v>62</v>
      </c>
      <c r="F186" s="49"/>
      <c r="G186" s="49"/>
      <c r="H186" s="49"/>
      <c r="I186" s="49"/>
      <c r="J186" s="50"/>
      <c r="K186" s="62">
        <f>IF(AND(K184=1,K185=9),8,MIN(IF(K184&lt;=0,0,IF(WEEKDAY(K$6,1)=1,0,IF(WEEKDAY(K$6,1)=7,0,MIN(8,K185)*K184))),MAX(0,40*MAX(1,K184)-(0))))</f>
        <v>8</v>
      </c>
      <c r="L186" s="63">
        <f>IF(AND(L184=1,L185=9),8,MIN(IF(L184&lt;=0,0,IF(WEEKDAY(L$6,1)=1,0,IF(WEEKDAY(L$6,1)=7,0,MIN(8,L185)*L184))),MAX(0,40*MAX(1,L184)-(K186))))</f>
        <v>8</v>
      </c>
      <c r="M186" s="63">
        <f>IF(AND(M184=1,M185=9),8,MIN(IF(M184&lt;=0,0,IF(WEEKDAY(M$6,1)=1,0,IF(WEEKDAY(M$6,1)=7,0,MIN(8,M185)*M184))),MAX(0,40*MAX(1,M184)-(K186+L186))))</f>
        <v>8</v>
      </c>
      <c r="N186" s="63">
        <f>IF(AND(N184=1,N185=9),8,MIN(IF(N184&lt;=0,0,IF(WEEKDAY(N$6,1)=1,0,IF(WEEKDAY(N$6,1)=7,0,MIN(8,N185)*N184))),MAX(0,40*MAX(1,N184)-(K186+L186+M186))))</f>
        <v>8</v>
      </c>
      <c r="O186" s="63">
        <f>IF(AND(O184=1,O185=9),8,MIN(IF(O184&lt;=0,0,IF(WEEKDAY(O$6,1)=1,0,IF(WEEKDAY(O$6,1)=7,0,MIN(8,O185)*O184))),MAX(0,40*MAX(1,O184)-(K186+L186+M186+N186))))</f>
        <v>8</v>
      </c>
      <c r="P186" s="64">
        <f>IF(AND(P184=0,P185=0),0,MIN(IF(P184&lt;=0,0,IF(WEEKDAY(P$6,1)=1,0,IF(WEEKDAY(P$6,1)=7,0,MIN(8,P185)*P184))),MAX(0,40*MAX(1,P184)-(0))))</f>
        <v>0</v>
      </c>
      <c r="Q186" s="64">
        <f>IF(AND(Q184=0,Q185=0),0,MIN(IF(Q184&lt;=0,0,IF(WEEKDAY(Q$6,1)=1,0,IF(WEEKDAY(Q$6,1)=7,0,MIN(8,Q185)*Q184))),MAX(0,40*MAX(1,Q184)-(P186))))</f>
        <v>0</v>
      </c>
      <c r="R186" s="63">
        <f>IF(AND(R184=1,R185=9),8,MIN(IF(R184&lt;=0,0,IF(WEEKDAY(R$6,1)=1,0,IF(WEEKDAY(R$6,1)=7,0,MIN(8,R185)*R184))),MAX(0,40*MAX(1,R184)-(0))))</f>
        <v>8</v>
      </c>
      <c r="S186" s="63">
        <f>IF(AND(S184=1,S185=9),8,MIN(IF(S184&lt;=0,0,IF(WEEKDAY(S$6,1)=1,0,IF(WEEKDAY(S$6,1)=7,0,MIN(8,S185)*S184))),MAX(0,40*MAX(1,S184)-(R186))))</f>
        <v>8</v>
      </c>
      <c r="T186" s="63">
        <f>IF(AND(T184=1,T185=9),8,MIN(IF(T184&lt;=0,0,IF(WEEKDAY(T$6,1)=1,0,IF(WEEKDAY(T$6,1)=7,0,MIN(8,T185)*T184))),MAX(0,40*MAX(1,T184)-(R186+S186))))</f>
        <v>8</v>
      </c>
      <c r="U186" s="63">
        <f>IF(AND(U184=1,U185=9),8,MIN(IF(U184&lt;=0,0,IF(WEEKDAY(U$6,1)=1,0,IF(WEEKDAY(U$6,1)=7,0,MIN(8,U185)*U184))),MAX(0,40*MAX(1,U184)-(R186+S186+T186))))</f>
        <v>8</v>
      </c>
      <c r="V186" s="63">
        <f>IF(AND(V184=1,V185=9),8,MIN(IF(V184&lt;=0,0,IF(WEEKDAY(V$6,1)=1,0,IF(WEEKDAY(V$6,1)=7,0,MIN(8,V185)*V184))),MAX(0,40*MAX(1,V184)-(R186+S186+T186+U186))))</f>
        <v>8</v>
      </c>
      <c r="W186" s="64">
        <f>IF(AND(W184=0,W185=0),0,MIN(IF(W184&lt;=0,0,IF(WEEKDAY(W$6,1)=1,0,IF(WEEKDAY(W$6,1)=7,0,MIN(8,W185)*W184))),MAX(0,40*MAX(1,W184)-(0))))</f>
        <v>0</v>
      </c>
      <c r="X186" s="64">
        <f>IF(AND(X184=0,X185=0),0,MIN(IF(X184&lt;=0,0,IF(WEEKDAY(X$6,1)=1,0,IF(WEEKDAY(X$6,1)=7,0,MIN(8,X185)*X184))),MAX(0,40*MAX(1,X184)-(W186))))</f>
        <v>0</v>
      </c>
      <c r="Y186" s="63">
        <f>IF(AND(Y184=1,Y185=9),8,MIN(IF(Y184&lt;=0,0,IF(WEEKDAY(Y$6,1)=1,0,IF(WEEKDAY(Y$6,1)=7,0,MIN(8,Y185)*Y184))),MAX(0,40*MAX(1,Y184)-(0))))</f>
        <v>8</v>
      </c>
      <c r="Z186" s="63">
        <f>IF(AND(Z184=1,Z185=9),8,MIN(IF(Z184&lt;=0,0,IF(WEEKDAY(Z$6,1)=1,0,IF(WEEKDAY(Z$6,1)=7,0,MIN(8,Z185)*Z184))),MAX(0,40*MAX(1,Z184)-(Y186))))</f>
        <v>8</v>
      </c>
      <c r="AA186" s="63">
        <f>IF(AND(AA184=1,AA185=9),8,MIN(IF(AA184&lt;=0,0,IF(WEEKDAY(AA$6,1)=1,0,IF(WEEKDAY(AA$6,1)=7,0,MIN(8,AA185)*AA184))),MAX(0,40*MAX(1,AA184)-(Y186+Z186))))</f>
        <v>8</v>
      </c>
      <c r="AB186" s="63">
        <f>IF(AND(AB184=2,AB185=9),16,MIN(IF(AB184&lt;=0,0,IF(WEEKDAY(AB$6,1)=1,0,IF(WEEKDAY(AB$6,1)=7,0,MIN(8,AB185)*AB184))),MAX(0,40*MAX(1,AB184)-(Y186+Z186+AA186))))</f>
        <v>16</v>
      </c>
      <c r="AC186" s="63">
        <f>IF(AND(AC184=2,AC185=9),16,MIN(IF(AC184&lt;=0,0,IF(WEEKDAY(AC$6,1)=1,0,IF(WEEKDAY(AC$6,1)=7,0,MIN(8,AC185)*AC184))),MAX(0,40*MAX(1,AC184)-(Y186+Z186+AA186+AB186))))</f>
        <v>16</v>
      </c>
      <c r="AD186" s="64">
        <f>IF(AND(AD184=0,AD185=0),0,MIN(IF(AD184&lt;=0,0,IF(WEEKDAY(AD$6,1)=1,0,IF(WEEKDAY(AD$6,1)=7,0,MIN(8,AD185)*AD184))),MAX(0,40*MAX(1,AD184)-(0))))</f>
        <v>0</v>
      </c>
      <c r="AE186" s="64">
        <f>IF(AND(AE184=0,AE185=0),0,MIN(IF(AE184&lt;=0,0,IF(WEEKDAY(AE$6,1)=1,0,IF(WEEKDAY(AE$6,1)=7,0,MIN(8,AE185)*AE184))),MAX(0,40*MAX(1,AE184)-(AD186))))</f>
        <v>0</v>
      </c>
      <c r="AF186" s="63">
        <f>IF(AND(AF184=2,AF185=9),16,MIN(IF(AF184&lt;=0,0,IF(WEEKDAY(AF$6,1)=1,0,IF(WEEKDAY(AF$6,1)=7,0,MIN(8,AF185)*AF184))),MAX(0,40*MAX(1,AF184)-(0))))</f>
        <v>16</v>
      </c>
      <c r="AG186" s="63">
        <f>IF(AND(AG184=2,AG185=9),16,MIN(IF(AG184&lt;=0,0,IF(WEEKDAY(AG$6,1)=1,0,IF(WEEKDAY(AG$6,1)=7,0,MIN(8,AG185)*AG184))),MAX(0,40*MAX(1,AG184)-(AF186))))</f>
        <v>16</v>
      </c>
      <c r="AH186" s="63">
        <f>IF(AND(AH184=2,AH185=9),16,MIN(IF(AH184&lt;=0,0,IF(WEEKDAY(AH$6,1)=1,0,IF(WEEKDAY(AH$6,1)=7,0,MIN(8,AH185)*AH184))),MAX(0,40*MAX(1,AH184)-(AF186+AG186))))</f>
        <v>16</v>
      </c>
      <c r="AI186" s="63">
        <f>IF(AND(AI184=2,AI185=9),16,MIN(IF(AI184&lt;=0,0,IF(WEEKDAY(AI$6,1)=1,0,IF(WEEKDAY(AI$6,1)=7,0,MIN(8,AI185)*AI184))),MAX(0,40*MAX(1,AI184)-(AF186+AG186+AH186))))</f>
        <v>16</v>
      </c>
      <c r="AJ186" s="63">
        <f>IF(AND(AJ184=2,AJ185=9),16,MIN(IF(AJ184&lt;=0,0,IF(WEEKDAY(AJ$6,1)=1,0,IF(WEEKDAY(AJ$6,1)=7,0,MIN(8,AJ185)*AJ184))),MAX(0,40*MAX(1,AJ184)-(AF186+AG186+AH186+AI186))))</f>
        <v>16</v>
      </c>
      <c r="AK186" s="64">
        <f>IF(AND(AK184=0,AK185=0),0,MIN(IF(AK184&lt;=0,0,IF(WEEKDAY(AK$6,1)=1,0,IF(WEEKDAY(AK$6,1)=7,0,MIN(8,AK185)*AK184))),MAX(0,40*MAX(1,AK184)-(0))))</f>
        <v>0</v>
      </c>
      <c r="AL186" s="64">
        <f>IF(AND(AL184=0,AL185=0),0,MIN(IF(AL184&lt;=0,0,IF(WEEKDAY(AL$6,1)=1,0,IF(WEEKDAY(AL$6,1)=7,0,MIN(8,AL185)*AL184))),MAX(0,40*MAX(1,AL184)-(AK186))))</f>
        <v>0</v>
      </c>
      <c r="AM186" s="63">
        <f>IF(AND(AM184=2,AM185=9),16,MIN(IF(AM184&lt;=0,0,IF(WEEKDAY(AM$6,1)=1,0,IF(WEEKDAY(AM$6,1)=7,0,MIN(8,AM185)*AM184))),MAX(0,40*MAX(1,AM184)-(0))))</f>
        <v>16</v>
      </c>
      <c r="AN186" s="63">
        <f>IF(AND(AN184=2,AN185=9),16,MIN(IF(AN184&lt;=0,0,IF(WEEKDAY(AN$6,1)=1,0,IF(WEEKDAY(AN$6,1)=7,0,MIN(8,AN185)*AN184))),MAX(0,40*MAX(1,AN184)-(AM186))))</f>
        <v>16</v>
      </c>
      <c r="AO186" s="63">
        <f>IF(AND(AO184=2,AO185=9),16,MIN(IF(AO184&lt;=0,0,IF(WEEKDAY(AO$6,1)=1,0,IF(WEEKDAY(AO$6,1)=7,0,MIN(8,AO185)*AO184))),MAX(0,40*MAX(1,AO184)-(AM186+AN186))))</f>
        <v>16</v>
      </c>
      <c r="AP186" s="63">
        <f>IF(AND(AP184=4.25,AP185=8),32,MIN(IF(AP184&lt;=0,0,IF(WEEKDAY(AP$6,1)=1,0,IF(WEEKDAY(AP$6,1)=7,0,MIN(8,AP185)*AP184))),MAX(0,40*MAX(1,AP184)-(AM186+AN186+AO186))))</f>
        <v>32</v>
      </c>
      <c r="AQ186" s="63">
        <f>IF(AND(AQ184=4.25,AQ185=8),32,MIN(IF(AQ184&lt;=0,0,IF(WEEKDAY(AQ$6,1)=1,0,IF(WEEKDAY(AQ$6,1)=7,0,MIN(8,AQ185)*AQ184))),MAX(0,40*MAX(1,AQ184)-(AM186+AN186+AO186+AP186))))</f>
        <v>32</v>
      </c>
      <c r="AR186" s="64">
        <f>IF(AND(AR184=0,AR185=0),0,MIN(IF(AR184&lt;=0,0,IF(WEEKDAY(AR$6,1)=1,0,IF(WEEKDAY(AR$6,1)=7,0,MIN(8,AR185)*AR184))),MAX(0,40*MAX(1,AR184)-(0))))</f>
        <v>0</v>
      </c>
      <c r="AS186" s="64">
        <f>IF(AND(AS184=0,AS185=0),0,MIN(IF(AS184&lt;=0,0,IF(WEEKDAY(AS$6,1)=1,0,IF(WEEKDAY(AS$6,1)=7,0,MIN(8,AS185)*AS184))),MAX(0,40*MAX(1,AS184)-(AR186))))</f>
        <v>0</v>
      </c>
      <c r="AT186" s="63">
        <f>IF(AND(AT184=4.25,AT185=8),32,MIN(IF(AT184&lt;=0,0,IF(WEEKDAY(AT$6,1)=1,0,IF(WEEKDAY(AT$6,1)=7,0,MIN(8,AT185)*AT184))),MAX(0,40*MAX(1,AT184)-(0))))</f>
        <v>32</v>
      </c>
      <c r="AU186" s="63">
        <f>IF(AND(AU184=4.25,AU185=8),32,MIN(IF(AU184&lt;=0,0,IF(WEEKDAY(AU$6,1)=1,0,IF(WEEKDAY(AU$6,1)=7,0,MIN(8,AU185)*AU184))),MAX(0,40*MAX(1,AU184)-(AT186))))</f>
        <v>32</v>
      </c>
      <c r="AV186" s="63">
        <f>IF(AND(AV184=4.25,AV185=8),32,MIN(IF(AV184&lt;=0,0,IF(WEEKDAY(AV$6,1)=1,0,IF(WEEKDAY(AV$6,1)=7,0,MIN(8,AV185)*AV184))),MAX(0,40*MAX(1,AV184)-(AT186+AU186))))</f>
        <v>32</v>
      </c>
      <c r="AW186" s="63">
        <f>IF(AND(AW184=4.25,AW185=8),32,MIN(IF(AW184&lt;=0,0,IF(WEEKDAY(AW$6,1)=1,0,IF(WEEKDAY(AW$6,1)=7,0,MIN(8,AW185)*AW184))),MAX(0,40*MAX(1,AW184)-(AT186+AU186+AV186))))</f>
        <v>32</v>
      </c>
      <c r="AX186" s="63">
        <f>IF(AND(AX184=4.25,AX185=8),32,MIN(IF(AX184&lt;=0,0,IF(WEEKDAY(AX$6,1)=1,0,IF(WEEKDAY(AX$6,1)=7,0,MIN(8,AX185)*AX184))),MAX(0,40*MAX(1,AX184)-(AT186+AU186+AV186+AW186))))</f>
        <v>32</v>
      </c>
      <c r="AY186" s="64">
        <f>IF(AND(AY184=0,AY185=0),0,MIN(IF(AY184&lt;=0,0,IF(WEEKDAY(AY$6,1)=1,0,IF(WEEKDAY(AY$6,1)=7,0,MIN(8,AY185)*AY184))),MAX(0,40*MAX(1,AY184)-(0))))</f>
        <v>0</v>
      </c>
      <c r="AZ186" s="64">
        <f>IF(AND(AZ184=0,AZ185=0),0,MIN(IF(AZ184&lt;=0,0,IF(WEEKDAY(AZ$6,1)=1,0,IF(WEEKDAY(AZ$6,1)=7,0,MIN(8,AZ185)*AZ184))),MAX(0,40*MAX(1,AZ184)-(AY186))))</f>
        <v>0</v>
      </c>
      <c r="BA186" s="63">
        <f>IF(AND(BA184=4.25,BA185=8),32,MIN(IF(BA184&lt;=0,0,IF(WEEKDAY(BA$6,1)=1,0,IF(WEEKDAY(BA$6,1)=7,0,MIN(8,BA185)*BA184))),MAX(0,40*MAX(1,BA184)-(0))))</f>
        <v>32</v>
      </c>
      <c r="BB186" s="63">
        <f>IF(AND(BB184=4.25,BB185=8),32,MIN(IF(BB184&lt;=0,0,IF(WEEKDAY(BB$6,1)=1,0,IF(WEEKDAY(BB$6,1)=7,0,MIN(8,BB185)*BB184))),MAX(0,40*MAX(1,BB184)-(BA186))))</f>
        <v>32</v>
      </c>
      <c r="BC186" s="63">
        <f>IF(AND(BC184=4.25,BC185=8),32,MIN(IF(BC184&lt;=0,0,IF(WEEKDAY(BC$6,1)=1,0,IF(WEEKDAY(BC$6,1)=7,0,MIN(8,BC185)*BC184))),MAX(0,40*MAX(1,BC184)-(BA186+BB186))))</f>
        <v>32</v>
      </c>
      <c r="BD186" s="63">
        <f>IF(AND(BD184=4.25,BD185=8),32,MIN(IF(BD184&lt;=0,0,IF(WEEKDAY(BD$6,1)=1,0,IF(WEEKDAY(BD$6,1)=7,0,MIN(8,BD185)*BD184))),MAX(0,40*MAX(1,BD184)-(BA186+BB186+BC186))))</f>
        <v>32</v>
      </c>
      <c r="BE186" s="63">
        <f>IF(AND(BE184=4.25,BE185=8),32,MIN(IF(BE184&lt;=0,0,IF(WEEKDAY(BE$6,1)=1,0,IF(WEEKDAY(BE$6,1)=7,0,MIN(8,BE185)*BE184))),MAX(0,40*MAX(1,BE184)-(BA186+BB186+BC186+BD186))))</f>
        <v>32</v>
      </c>
      <c r="BF186" s="64">
        <f>IF(AND(BF184=0,BF185=0),0,MIN(IF(BF184&lt;=0,0,IF(WEEKDAY(BF$6,1)=1,0,IF(WEEKDAY(BF$6,1)=7,0,MIN(8,BF185)*BF184))),MAX(0,40*MAX(1,BF184)-(0))))</f>
        <v>0</v>
      </c>
      <c r="BG186" s="64">
        <f>IF(AND(BG184=0,BG185=0),0,MIN(IF(BG184&lt;=0,0,IF(WEEKDAY(BG$6,1)=1,0,IF(WEEKDAY(BG$6,1)=7,0,MIN(8,BG185)*BG184))),MAX(0,40*MAX(1,BG184)-(BF186))))</f>
        <v>0</v>
      </c>
      <c r="BH186" s="63">
        <f>IF(AND(BH184=2,BH185=13),16,MIN(IF(BH184&lt;=0,0,IF(WEEKDAY(BH$6,1)=1,0,IF(WEEKDAY(BH$6,1)=7,0,MIN(8,BH185)*BH184))),MAX(0,40*MAX(1,BH184)-(0))))</f>
        <v>16</v>
      </c>
      <c r="BI186" s="63">
        <f>IF(AND(BI184=2,BI185=13),16,MIN(IF(BI184&lt;=0,0,IF(WEEKDAY(BI$6,1)=1,0,IF(WEEKDAY(BI$6,1)=7,0,MIN(8,BI185)*BI184))),MAX(0,40*MAX(1,BI184)-(BH186))))</f>
        <v>16</v>
      </c>
      <c r="BJ186" s="63">
        <f>IF(AND(BJ184=2,BJ185=13),16,MIN(IF(BJ184&lt;=0,0,IF(WEEKDAY(BJ$6,1)=1,0,IF(WEEKDAY(BJ$6,1)=7,0,MIN(8,BJ185)*BJ184))),MAX(0,40*MAX(1,BJ184)-(BH186+BI186))))</f>
        <v>16</v>
      </c>
      <c r="BK186" s="63">
        <f>IF(AND(BK184=2,BK185=13),16,MIN(IF(BK184&lt;=0,0,IF(WEEKDAY(BK$6,1)=1,0,IF(WEEKDAY(BK$6,1)=7,0,MIN(8,BK185)*BK184))),MAX(0,40*MAX(1,BK184)-(BH186+BI186+BJ186))))</f>
        <v>16</v>
      </c>
      <c r="BL186" s="63">
        <f>IF(AND(BL184=2,BL185=13),16,MIN(IF(BL184&lt;=0,0,IF(WEEKDAY(BL$6,1)=1,0,IF(WEEKDAY(BL$6,1)=7,0,MIN(8,BL185)*BL184))),MAX(0,40*MAX(1,BL184)-(BH186+BI186+BJ186+BK186))))</f>
        <v>16</v>
      </c>
      <c r="BM186" s="64">
        <f>IF(AND(BM184=2,BM185=13),0,MIN(IF(BM184&lt;=0,0,IF(WEEKDAY(BM$6,1)=1,0,IF(WEEKDAY(BM$6,1)=7,0,MIN(8,BM185)*BM184))),MAX(0,40*MAX(1,BM184)-(BH186+BI186+BJ186+BK186+BL186))))</f>
        <v>0</v>
      </c>
      <c r="BN186" s="64">
        <f>IF(AND(BN184=2,BN185=13),0,MIN(IF(BN184&lt;=0,0,IF(WEEKDAY(BN$6,1)=1,0,IF(WEEKDAY(BN$6,1)=7,0,MIN(8,BN185)*BN184))),MAX(0,40*MAX(1,BN184)-(BH186+BI186+BJ186+BK186+BL186+BM186))))</f>
        <v>0</v>
      </c>
      <c r="BO186" s="63">
        <f>IF(AND(BO184=2,BO185=13),16,MIN(IF(BO184&lt;=0,0,IF(WEEKDAY(BO$6,1)=1,0,IF(WEEKDAY(BO$6,1)=7,0,MIN(8,BO185)*BO184))),MAX(0,40*MAX(1,BO184)-(0))))</f>
        <v>16</v>
      </c>
      <c r="BP186" s="63">
        <f>IF(AND(BP184=2,BP185=13),16,MIN(IF(BP184&lt;=0,0,IF(WEEKDAY(BP$6,1)=1,0,IF(WEEKDAY(BP$6,1)=7,0,MIN(8,BP185)*BP184))),MAX(0,40*MAX(1,BP184)-(BO186))))</f>
        <v>16</v>
      </c>
      <c r="BQ186" s="63">
        <f>IF(AND(BQ184=2,BQ185=13),16,MIN(IF(BQ184&lt;=0,0,IF(WEEKDAY(BQ$6,1)=1,0,IF(WEEKDAY(BQ$6,1)=7,0,MIN(8,BQ185)*BQ184))),MAX(0,40*MAX(1,BQ184)-(BO186+BP186))))</f>
        <v>16</v>
      </c>
      <c r="BR186" s="63">
        <f>IF(AND(BR184=1,BR185=13),8,MIN(IF(BR184&lt;=0,0,IF(WEEKDAY(BR$6,1)=1,0,IF(WEEKDAY(BR$6,1)=7,0,MIN(8,BR185)*BR184))),MAX(0,40*MAX(1,BR184)-(0))))</f>
        <v>8</v>
      </c>
      <c r="BS186" s="63">
        <f>IF(AND(BS184=1,BS185=13),8,MIN(IF(BS184&lt;=0,0,IF(WEEKDAY(BS$6,1)=1,0,IF(WEEKDAY(BS$6,1)=7,0,MIN(8,BS185)*BS184))),MAX(0,40*MAX(1,BS184)-(BR186))))</f>
        <v>8</v>
      </c>
      <c r="BT186" s="64">
        <f>IF(AND(BT184=1,BT185=13),0,MIN(IF(BT184&lt;=0,0,IF(WEEKDAY(BT$6,1)=1,0,IF(WEEKDAY(BT$6,1)=7,0,MIN(8,BT185)*BT184))),MAX(0,40*MAX(1,BT184)-(BR186+BS186))))</f>
        <v>0</v>
      </c>
      <c r="BU186" s="64">
        <f>IF(AND(BU184=1,BU185=13),0,MIN(IF(BU184&lt;=0,0,IF(WEEKDAY(BU$6,1)=1,0,IF(WEEKDAY(BU$6,1)=7,0,MIN(8,BU185)*BU184))),MAX(0,40*MAX(1,BU184)-(BR186+BS186+BT186))))</f>
        <v>0</v>
      </c>
      <c r="BV186" s="63">
        <f>IF(AND(BV184=1,BV185=13),8,MIN(IF(BV184&lt;=0,0,IF(WEEKDAY(BV$6,1)=1,0,IF(WEEKDAY(BV$6,1)=7,0,MIN(8,BV185)*BV184))),MAX(0,40*MAX(1,BV184)-(0))))</f>
        <v>8</v>
      </c>
      <c r="BW186" s="63">
        <f>IF(AND(BW184=1,BW185=13),8,MIN(IF(BW184&lt;=0,0,IF(WEEKDAY(BW$6,1)=1,0,IF(WEEKDAY(BW$6,1)=7,0,MIN(8,BW185)*BW184))),MAX(0,40*MAX(1,BW184)-(BV186))))</f>
        <v>8</v>
      </c>
      <c r="BX186" s="63">
        <f>IF(AND(BX184=1,BX185=13),8,MIN(IF(BX184&lt;=0,0,IF(WEEKDAY(BX$6,1)=1,0,IF(WEEKDAY(BX$6,1)=7,0,MIN(8,BX185)*BX184))),MAX(0,40*MAX(1,BX184)-(BV186+BW186))))</f>
        <v>8</v>
      </c>
      <c r="BY186" s="63">
        <f>IF(AND(BY184=1,BY185=13),8,MIN(IF(BY184&lt;=0,0,IF(WEEKDAY(BY$6,1)=1,0,IF(WEEKDAY(BY$6,1)=7,0,MIN(8,BY185)*BY184))),MAX(0,40*MAX(1,BY184)-(BV186+BW186+BX186))))</f>
        <v>8</v>
      </c>
      <c r="BZ186" s="63">
        <f>IF(AND(BZ184=1,BZ185=13),8,MIN(IF(BZ184&lt;=0,0,IF(WEEKDAY(BZ$6,1)=1,0,IF(WEEKDAY(BZ$6,1)=7,0,MIN(8,BZ185)*BZ184))),MAX(0,40*MAX(1,BZ184)-(BV186+BW186+BX186+BY186))))</f>
        <v>8</v>
      </c>
      <c r="CA186" s="64">
        <f>IF(AND(CA184=1,CA185=13),0,MIN(IF(CA184&lt;=0,0,IF(WEEKDAY(CA$6,1)=1,0,IF(WEEKDAY(CA$6,1)=7,0,MIN(8,CA185)*CA184))),MAX(0,40*MAX(1,CA184)-(BV186+BW186+BX186+BY186+BZ186))))</f>
        <v>0</v>
      </c>
      <c r="CB186" s="64">
        <f>IF(AND(CB184=1,CB185=13),0,MIN(IF(CB184&lt;=0,0,IF(WEEKDAY(CB$6,1)=1,0,IF(WEEKDAY(CB$6,1)=7,0,MIN(8,CB185)*CB184))),MAX(0,40*MAX(1,CB184)-(BV186+BW186+BX186+BY186+BZ186+CA186))))</f>
        <v>0</v>
      </c>
      <c r="CC186" s="63">
        <f>IF(AND(CC184=1,CC185=13),8,MIN(IF(CC184&lt;=0,0,IF(WEEKDAY(CC$6,1)=1,0,IF(WEEKDAY(CC$6,1)=7,0,MIN(8,CC185)*CC184))),MAX(0,40*MAX(1,CC184)-(0))))</f>
        <v>8</v>
      </c>
      <c r="CD186" s="63">
        <f>IF(AND(CD184=1,CD185=13),8,MIN(IF(CD184&lt;=0,0,IF(WEEKDAY(CD$6,1)=1,0,IF(WEEKDAY(CD$6,1)=7,0,MIN(8,CD185)*CD184))),MAX(0,40*MAX(1,CD184)-(CC186))))</f>
        <v>8</v>
      </c>
      <c r="CE186" s="63">
        <f>IF(AND(CE184=1,CE185=13),8,MIN(IF(CE184&lt;=0,0,IF(WEEKDAY(CE$6,1)=1,0,IF(WEEKDAY(CE$6,1)=7,0,MIN(8,CE185)*CE184))),MAX(0,40*MAX(1,CE184)-(CC186+CD186))))</f>
        <v>8</v>
      </c>
      <c r="CF186" s="63">
        <f>IF(AND(CF184=1,CF185=13),8,MIN(IF(CF184&lt;=0,0,IF(WEEKDAY(CF$6,1)=1,0,IF(WEEKDAY(CF$6,1)=7,0,MIN(8,CF185)*CF184))),MAX(0,40*MAX(1,CF184)-(CC186+CD186+CE186))))</f>
        <v>8</v>
      </c>
      <c r="CG186" s="63">
        <f>IF(AND(CG184=1,CG185=13),8,MIN(IF(CG184&lt;=0,0,IF(WEEKDAY(CG$6,1)=1,0,IF(WEEKDAY(CG$6,1)=7,0,MIN(8,CG185)*CG184))),MAX(0,40*MAX(1,CG184)-(CC186+CD186+CE186+CF186))))</f>
        <v>8</v>
      </c>
      <c r="CH186" s="64">
        <f>IF(AND(CH184=1,CH185=13),0,MIN(IF(CH184&lt;=0,0,IF(WEEKDAY(CH$6,1)=1,0,IF(WEEKDAY(CH$6,1)=7,0,MIN(8,CH185)*CH184))),MAX(0,40*MAX(1,CH184)-(CC186+CD186+CE186+CF186+CG186))))</f>
        <v>0</v>
      </c>
      <c r="CI186" s="64">
        <f>IF(AND(CI184=1,CI185=13),0,MIN(IF(CI184&lt;=0,0,IF(WEEKDAY(CI$6,1)=1,0,IF(WEEKDAY(CI$6,1)=7,0,MIN(8,CI185)*CI184))),MAX(0,40*MAX(1,CI184)-(CC186+CD186+CE186+CF186+CG186+CH186))))</f>
        <v>0</v>
      </c>
      <c r="CJ186" s="63">
        <f>IF(AND(CJ184=1,CJ185=13),8,MIN(IF(CJ184&lt;=0,0,IF(WEEKDAY(CJ$6,1)=1,0,IF(WEEKDAY(CJ$6,1)=7,0,MIN(8,CJ185)*CJ184))),MAX(0,40*MAX(1,CJ184)-(0))))</f>
        <v>8</v>
      </c>
      <c r="CK186" s="63">
        <f>IF(AND(CK184=1,CK185=13),8,MIN(IF(CK184&lt;=0,0,IF(WEEKDAY(CK$6,1)=1,0,IF(WEEKDAY(CK$6,1)=7,0,MIN(8,CK185)*CK184))),MAX(0,40*MAX(1,CK184)-(CJ186))))</f>
        <v>8</v>
      </c>
      <c r="CL186" s="63">
        <f>IF(AND(CL184=1,CL185=13),8,MIN(IF(CL184&lt;=0,0,IF(WEEKDAY(CL$6,1)=1,0,IF(WEEKDAY(CL$6,1)=7,0,MIN(8,CL185)*CL184))),MAX(0,40*MAX(1,CL184)-(CJ186+CK186))))</f>
        <v>8</v>
      </c>
      <c r="CM186" s="63">
        <f>IF(AND(CM184=1,CM185=13),8,MIN(IF(CM184&lt;=0,0,IF(WEEKDAY(CM$6,1)=1,0,IF(WEEKDAY(CM$6,1)=7,0,MIN(8,CM185)*CM184))),MAX(0,40*MAX(1,CM184)-(CJ186+CK186+CL186))))</f>
        <v>8</v>
      </c>
      <c r="CN186" s="63">
        <f>IF(AND(CN184=1,CN185=13),8,MIN(IF(CN184&lt;=0,0,IF(WEEKDAY(CN$6,1)=1,0,IF(WEEKDAY(CN$6,1)=7,0,MIN(8,CN185)*CN184))),MAX(0,40*MAX(1,CN184)-(CJ186+CK186+CL186+CM186))))</f>
        <v>8</v>
      </c>
      <c r="CO186" s="64">
        <f>IF(AND(CO184=1,CO185=13),0,MIN(IF(CO184&lt;=0,0,IF(WEEKDAY(CO$6,1)=1,0,IF(WEEKDAY(CO$6,1)=7,0,MIN(8,CO185)*CO184))),MAX(0,40*MAX(1,CO184)-(CJ186+CK186+CL186+CM186+CN186))))</f>
        <v>0</v>
      </c>
      <c r="CP186" s="64">
        <f>IF(AND(CP184=1,CP185=13),0,MIN(IF(CP184&lt;=0,0,IF(WEEKDAY(CP$6,1)=1,0,IF(WEEKDAY(CP$6,1)=7,0,MIN(8,CP185)*CP184))),MAX(0,40*MAX(1,CP184)-(CJ186+CK186+CL186+CM186+CN186+CO186))))</f>
        <v>0</v>
      </c>
      <c r="CQ186" s="63">
        <f>IF(AND(CQ184=1,CQ185=13),8,MIN(IF(CQ184&lt;=0,0,IF(WEEKDAY(CQ$6,1)=1,0,IF(WEEKDAY(CQ$6,1)=7,0,MIN(8,CQ185)*CQ184))),MAX(0,40*MAX(1,CQ184)-(0))))</f>
        <v>8</v>
      </c>
      <c r="CR186" s="63">
        <f>IF(AND(CR184=1,CR185=13),8,MIN(IF(CR184&lt;=0,0,IF(WEEKDAY(CR$6,1)=1,0,IF(WEEKDAY(CR$6,1)=7,0,MIN(8,CR185)*CR184))),MAX(0,40*MAX(1,CR184)-(CQ186))))</f>
        <v>8</v>
      </c>
      <c r="CS186" s="63">
        <f>IF(AND(CS184=1,CS185=13),8,MIN(IF(CS184&lt;=0,0,IF(WEEKDAY(CS$6,1)=1,0,IF(WEEKDAY(CS$6,1)=7,0,MIN(8,CS185)*CS184))),MAX(0,40*MAX(1,CS184)-(CQ186+CR186))))</f>
        <v>8</v>
      </c>
      <c r="CT186" s="63">
        <f>IF(AND(CT184=1,CT185=13),8,MIN(IF(CT184&lt;=0,0,IF(WEEKDAY(CT$6,1)=1,0,IF(WEEKDAY(CT$6,1)=7,0,MIN(8,CT185)*CT184))),MAX(0,40*MAX(1,CT184)-(CQ186+CR186+CS186))))</f>
        <v>8</v>
      </c>
      <c r="CU186" s="63">
        <f>IF(AND(CU184=1,CU185=13),8,MIN(IF(CU184&lt;=0,0,IF(WEEKDAY(CU$6,1)=1,0,IF(WEEKDAY(CU$6,1)=7,0,MIN(8,CU185)*CU184))),MAX(0,40*MAX(1,CU184)-(CQ186+CR186+CS186+CT186))))</f>
        <v>8</v>
      </c>
      <c r="CV186" s="64">
        <f>IF(AND(CV184=1,CV185=13),0,MIN(IF(CV184&lt;=0,0,IF(WEEKDAY(CV$6,1)=1,0,IF(WEEKDAY(CV$6,1)=7,0,MIN(8,CV185)*CV184))),MAX(0,40*MAX(1,CV184)-(CQ186+CR186+CS186+CT186+CU186))))</f>
        <v>0</v>
      </c>
      <c r="CW186" s="64">
        <f>IF(AND(CW184=1,CW185=13),0,MIN(IF(CW184&lt;=0,0,IF(WEEKDAY(CW$6,1)=1,0,IF(WEEKDAY(CW$6,1)=7,0,MIN(8,CW185)*CW184))),MAX(0,40*MAX(1,CW184)-(CQ186+CR186+CS186+CT186+CU186+CV186))))</f>
        <v>0</v>
      </c>
      <c r="CX186" s="63">
        <f>IF(AND(CX184=1,CX185=13),8,MIN(IF(CX184&lt;=0,0,IF(WEEKDAY(CX$6,1)=1,0,IF(WEEKDAY(CX$6,1)=7,0,MIN(8,CX185)*CX184))),MAX(0,40*MAX(1,CX184)-(0))))</f>
        <v>8</v>
      </c>
      <c r="CY186" s="63">
        <f>IF(AND(CY184=1,CY185=13),8,MIN(IF(CY184&lt;=0,0,IF(WEEKDAY(CY$6,1)=1,0,IF(WEEKDAY(CY$6,1)=7,0,MIN(8,CY185)*CY184))),MAX(0,40*MAX(1,CY184)-(CX186))))</f>
        <v>8</v>
      </c>
      <c r="CZ186" s="63">
        <f>IF(AND(CZ184=1,CZ185=13),8,MIN(IF(CZ184&lt;=0,0,IF(WEEKDAY(CZ$6,1)=1,0,IF(WEEKDAY(CZ$6,1)=7,0,MIN(8,CZ185)*CZ184))),MAX(0,40*MAX(1,CZ184)-(CX186+CY186))))</f>
        <v>8</v>
      </c>
      <c r="DA186" s="63">
        <f>IF(AND(DA184=1,DA185=13),8,MIN(IF(DA184&lt;=0,0,IF(WEEKDAY(DA$6,1)=1,0,IF(WEEKDAY(DA$6,1)=7,0,MIN(8,DA185)*DA184))),MAX(0,40*MAX(1,DA184)-(CX186+CY186+CZ186))))</f>
        <v>8</v>
      </c>
      <c r="DB186" s="63">
        <f>IF(AND(DB184=1,DB185=13),8,MIN(IF(DB184&lt;=0,0,IF(WEEKDAY(DB$6,1)=1,0,IF(WEEKDAY(DB$6,1)=7,0,MIN(8,DB185)*DB184))),MAX(0,40*MAX(1,DB184)-(CX186+CY186+CZ186+DA186))))</f>
        <v>8</v>
      </c>
      <c r="DC186" s="64">
        <f>IF(AND(DC184=1,DC185=13),0,MIN(IF(DC184&lt;=0,0,IF(WEEKDAY(DC$6,1)=1,0,IF(WEEKDAY(DC$6,1)=7,0,MIN(8,DC185)*DC184))),MAX(0,40*MAX(1,DC184)-(CX186+CY186+CZ186+DA186+DB186))))</f>
        <v>0</v>
      </c>
      <c r="DD186" s="64">
        <f>IF(AND(DD184=1,DD185=13),0,MIN(IF(DD184&lt;=0,0,IF(WEEKDAY(DD$6,1)=1,0,IF(WEEKDAY(DD$6,1)=7,0,MIN(8,DD185)*DD184))),MAX(0,40*MAX(1,DD184)-(0))))</f>
        <v>0</v>
      </c>
      <c r="DE186" s="63">
        <f>IF(AND(DE184=1,DE185=13),8,MIN(IF(DE184&lt;=0,0,IF(WEEKDAY(DE$6,1)=1,0,IF(WEEKDAY(DE$6,1)=7,0,MIN(8,DE185)*DE184))),MAX(0,40*MAX(1,DE184)-(0))))</f>
        <v>8</v>
      </c>
      <c r="DF186" s="63">
        <f>IF(AND(DF184=1,DF185=13),8,MIN(IF(DF184&lt;=0,0,IF(WEEKDAY(DF$6,1)=1,0,IF(WEEKDAY(DF$6,1)=7,0,MIN(8,DF185)*DF184))),MAX(0,40*MAX(1,DF184)-(DE186))))</f>
        <v>8</v>
      </c>
      <c r="DG186" s="63">
        <f>IF(AND(DG184=1,DG185=13),8,MIN(IF(DG184&lt;=0,0,IF(WEEKDAY(DG$6,1)=1,0,IF(WEEKDAY(DG$6,1)=7,0,MIN(8,DG185)*DG184))),MAX(0,40*MAX(1,DG184)-(DE186+DF186))))</f>
        <v>8</v>
      </c>
      <c r="DH186" s="63">
        <f>IF(AND(DH184=1,DH185=13),8,MIN(IF(DH184&lt;=0,0,IF(WEEKDAY(DH$6,1)=1,0,IF(WEEKDAY(DH$6,1)=7,0,MIN(8,DH185)*DH184))),MAX(0,40*MAX(1,DH184)-(DE186+DF186+DG186))))</f>
        <v>8</v>
      </c>
      <c r="DI186" s="63">
        <f>IF(AND(DI184=1,DI185=13),8,MIN(IF(DI184&lt;=0,0,IF(WEEKDAY(DI$6,1)=1,0,IF(WEEKDAY(DI$6,1)=7,0,MIN(8,DI185)*DI184))),MAX(0,40*MAX(1,DI184)-(DE186+DF186+DG186+DH186))))</f>
        <v>8</v>
      </c>
      <c r="DJ186" s="64">
        <f>IF(AND(DJ184=1,DJ185=13),0,MIN(IF(DJ184&lt;=0,0,IF(WEEKDAY(DJ$6,1)=1,0,IF(WEEKDAY(DJ$6,1)=7,0,MIN(8,DJ185)*DJ184))),MAX(0,40*MAX(1,DJ184)-(DE186+DF186+DG186+DH186+DI186))))</f>
        <v>0</v>
      </c>
      <c r="DK186" s="64">
        <f>IF(AND(DK184=1,DK185=13),0,MIN(IF(DK184&lt;=0,0,IF(WEEKDAY(DK$6,1)=1,0,IF(WEEKDAY(DK$6,1)=7,0,MIN(8,DK185)*DK184))),MAX(0,40*MAX(1,DK184)-(DE186+DF186+DG186+DH186+DI186+DJ186))))</f>
        <v>0</v>
      </c>
      <c r="DL186" s="63">
        <f>IF(AND(DL184=1,DL185=13),8,MIN(IF(DL184&lt;=0,0,IF(WEEKDAY(DL$6,1)=1,0,IF(WEEKDAY(DL$6,1)=7,0,MIN(8,DL185)*DL184))),MAX(0,40*MAX(1,DL184)-(0))))</f>
        <v>8</v>
      </c>
      <c r="DM186" s="63">
        <f>IF(AND(DM184=1,DM185=13),8,MIN(IF(DM184&lt;=0,0,IF(WEEKDAY(DM$6,1)=1,0,IF(WEEKDAY(DM$6,1)=7,0,MIN(8,DM185)*DM184))),MAX(0,40*MAX(1,DM184)-(DL186))))</f>
        <v>8</v>
      </c>
      <c r="DN186" s="63">
        <f>IF(AND(DN184=1,DN185=13),8,MIN(IF(DN184&lt;=0,0,IF(WEEKDAY(DN$6,1)=1,0,IF(WEEKDAY(DN$6,1)=7,0,MIN(8,DN185)*DN184))),MAX(0,40*MAX(1,DN184)-(DL186+DM186))))</f>
        <v>8</v>
      </c>
      <c r="DO186" s="63">
        <f>IF(AND(DO184=1,DO185=13),8,MIN(IF(DO184&lt;=0,0,IF(WEEKDAY(DO$6,1)=1,0,IF(WEEKDAY(DO$6,1)=7,0,MIN(8,DO185)*DO184))),MAX(0,40*MAX(1,DO184)-(DL186+DM186+DN186))))</f>
        <v>8</v>
      </c>
      <c r="DP186" s="63">
        <f>IF(AND(DP184=1,DP185=13),8,MIN(IF(DP184&lt;=0,0,IF(WEEKDAY(DP$6,1)=1,0,IF(WEEKDAY(DP$6,1)=7,0,MIN(8,DP185)*DP184))),MAX(0,40*MAX(1,DP184)-(DL186+DM186+DN186+DO186))))</f>
        <v>8</v>
      </c>
      <c r="DQ186" s="64">
        <f>IF(AND(DQ184=1,DQ185=13),0,MIN(IF(DQ184&lt;=0,0,IF(WEEKDAY(DQ$6,1)=1,0,IF(WEEKDAY(DQ$6,1)=7,0,MIN(8,DQ185)*DQ184))),MAX(0,40*MAX(1,DQ184)-(DL186+DM186+DN186+DO186+DP186))))</f>
        <v>0</v>
      </c>
      <c r="DR186" s="64">
        <f>IF(AND(DR184=1,DR185=13),0,MIN(IF(DR184&lt;=0,0,IF(WEEKDAY(DR$6,1)=1,0,IF(WEEKDAY(DR$6,1)=7,0,MIN(8,DR185)*DR184))),MAX(0,40*MAX(1,DR184)-(DL186+DM186+DN186+DO186+DP186+DQ186))))</f>
        <v>0</v>
      </c>
      <c r="DS186" s="63">
        <f>IF(AND(DS184=1,DS185=13),8,MIN(IF(DS184&lt;=0,0,IF(WEEKDAY(DS$6,1)=1,0,IF(WEEKDAY(DS$6,1)=7,0,MIN(8,DS185)*DS184))),MAX(0,40*MAX(1,DS184)-(0))))</f>
        <v>8</v>
      </c>
      <c r="DT186" s="63">
        <f>IF(AND(DT184=1,DT185=9),8,MIN(IF(DT184&lt;=0,0,IF(WEEKDAY(DT$6,1)=1,0,IF(WEEKDAY(DT$6,1)=7,0,MIN(8,DT185)*DT184))),MAX(0,40*MAX(1,DT184)-(0))))</f>
        <v>8</v>
      </c>
      <c r="DU186" s="63">
        <f>IF(AND(DU184=1,DU185=9),8,MIN(IF(DU184&lt;=0,0,IF(WEEKDAY(DU$6,1)=1,0,IF(WEEKDAY(DU$6,1)=7,0,MIN(8,DU185)*DU184))),MAX(0,40*MAX(1,DU184)-(DT186))))</f>
        <v>8</v>
      </c>
      <c r="DV186" s="63">
        <f>IF(AND(DV184=1,DV185=9),8,MIN(IF(DV184&lt;=0,0,IF(WEEKDAY(DV$6,1)=1,0,IF(WEEKDAY(DV$6,1)=7,0,MIN(8,DV185)*DV184))),MAX(0,40*MAX(1,DV184)-(DT186+DU186))))</f>
        <v>8</v>
      </c>
      <c r="DW186" s="63">
        <f>IF(AND(DW184=1,DW185=9),8,MIN(IF(DW184&lt;=0,0,IF(WEEKDAY(DW$6,1)=1,0,IF(WEEKDAY(DW$6,1)=7,0,MIN(8,DW185)*DW184))),MAX(0,40*MAX(1,DW184)-(DT186+DU186+DV186))))</f>
        <v>8</v>
      </c>
      <c r="DX186" s="64">
        <f>IF(AND(DX184=0,DX185=0),0,MIN(IF(DX184&lt;=0,0,IF(WEEKDAY(DX$6,1)=1,0,IF(WEEKDAY(DX$6,1)=7,0,MIN(8,DX185)*DX184))),MAX(0,40*MAX(1,DX184)-(0))))</f>
        <v>0</v>
      </c>
      <c r="DY186" s="64">
        <f>IF(AND(DY184=0,DY185=0),0,MIN(IF(DY184&lt;=0,0,IF(WEEKDAY(DY$6,1)=1,0,IF(WEEKDAY(DY$6,1)=7,0,MIN(8,DY185)*DY184))),MAX(0,40*MAX(1,DY184)-(DX186))))</f>
        <v>0</v>
      </c>
      <c r="DZ186" s="63">
        <f>IF(AND(DZ184=1,DZ185=9),8,MIN(IF(DZ184&lt;=0,0,IF(WEEKDAY(DZ$6,1)=1,0,IF(WEEKDAY(DZ$6,1)=7,0,MIN(8,DZ185)*DZ184))),MAX(0,40*MAX(1,DZ184)-(0))))</f>
        <v>8</v>
      </c>
      <c r="EA186" s="63">
        <f>IF(AND(EA184=1,EA185=9),8,MIN(IF(EA184&lt;=0,0,IF(WEEKDAY(EA$6,1)=1,0,IF(WEEKDAY(EA$6,1)=7,0,MIN(8,EA185)*EA184))),MAX(0,40*MAX(1,EA184)-(DZ186))))</f>
        <v>8</v>
      </c>
      <c r="EB186" s="63">
        <f>IF(AND(EB184=1,EB185=9),8,MIN(IF(EB184&lt;=0,0,IF(WEEKDAY(EB$6,1)=1,0,IF(WEEKDAY(EB$6,1)=7,0,MIN(8,EB185)*EB184))),MAX(0,40*MAX(1,EB184)-(DZ186+EA186))))</f>
        <v>8</v>
      </c>
      <c r="EC186" s="63">
        <f>IF(AND(EC184=1,EC185=9),8,MIN(IF(EC184&lt;=0,0,IF(WEEKDAY(EC$6,1)=1,0,IF(WEEKDAY(EC$6,1)=7,0,MIN(8,EC185)*EC184))),MAX(0,40*MAX(1,EC184)-(DZ186+EA186+EB186))))</f>
        <v>8</v>
      </c>
      <c r="ED186" s="63">
        <f>IF(AND(ED184=1,ED185=9),8,MIN(IF(ED184&lt;=0,0,IF(WEEKDAY(ED$6,1)=1,0,IF(WEEKDAY(ED$6,1)=7,0,MIN(8,ED185)*ED184))),MAX(0,40*MAX(1,ED184)-(DZ186+EA186+EB186+EC186))))</f>
        <v>8</v>
      </c>
      <c r="EE186" s="64">
        <f>IF(AND(EE184=0,EE185=0),0,MIN(IF(EE184&lt;=0,0,IF(WEEKDAY(EE$6,1)=1,0,IF(WEEKDAY(EE$6,1)=7,0,MIN(8,EE185)*EE184))),MAX(0,40*MAX(1,EE184)-(0))))</f>
        <v>0</v>
      </c>
      <c r="EF186" s="64">
        <f>IF(AND(EF184=0,EF185=0),0,MIN(IF(EF184&lt;=0,0,IF(WEEKDAY(EF$6,1)=1,0,IF(WEEKDAY(EF$6,1)=7,0,MIN(8,EF185)*EF184))),MAX(0,40*MAX(1,EF184)-(EE186))))</f>
        <v>0</v>
      </c>
      <c r="EG186" s="63">
        <f>IF(AND(EG184=1,EG185=9),8,MIN(IF(EG184&lt;=0,0,IF(WEEKDAY(EG$6,1)=1,0,IF(WEEKDAY(EG$6,1)=7,0,MIN(8,EG185)*EG184))),MAX(0,40*MAX(1,EG184)-(0))))</f>
        <v>8</v>
      </c>
      <c r="EH186" s="63">
        <f>IF(AND(EH184=1,EH185=9),8,MIN(IF(EH184&lt;=0,0,IF(WEEKDAY(EH$6,1)=1,0,IF(WEEKDAY(EH$6,1)=7,0,MIN(8,EH185)*EH184))),MAX(0,40*MAX(1,EH184)-(EG186))))</f>
        <v>8</v>
      </c>
      <c r="EI186" s="63">
        <f>IF(AND(EI184=1,EI185=9),8,MIN(IF(EI184&lt;=0,0,IF(WEEKDAY(EI$6,1)=1,0,IF(WEEKDAY(EI$6,1)=7,0,MIN(8,EI185)*EI184))),MAX(0,40*MAX(1,EI184)-(EG186+EH186))))</f>
        <v>8</v>
      </c>
      <c r="EJ186" s="63">
        <f>IF(AND(EJ184=1,EJ185=9),8,MIN(IF(EJ184&lt;=0,0,IF(WEEKDAY(EJ$6,1)=1,0,IF(WEEKDAY(EJ$6,1)=7,0,MIN(8,EJ185)*EJ184))),MAX(0,40*MAX(1,EJ184)-(EG186+EH186+EI186))))</f>
        <v>8</v>
      </c>
      <c r="EK186" s="65">
        <f>IF(AND(EK184=1,EK185=9),8,MIN(IF(EK184&lt;=0,0,IF(WEEKDAY(EK$6,1)=1,0,IF(WEEKDAY(EK$6,1)=7,0,MIN(8,EK185)*EK184))),MAX(0,40*MAX(1,EK184)-(EG186+EH186+EI186+EJ186))))</f>
        <v>8</v>
      </c>
      <c r="OU186" s="28" t="s">
        <v>102</v>
      </c>
    </row>
    <row r="187" ht="16" customHeight="1" spans="1:411" x14ac:dyDescent="0.25">
      <c r="A187" s="45"/>
      <c r="B187" s="46"/>
      <c r="C187" s="66">
        <f>G183*N(D187)</f>
        <v>73622.01</v>
      </c>
      <c r="D187" s="66">
        <f>IF(TRIM(B183)="","No rate",IFERROR(INDEX('Rate Tables'!D$7:D$158,MATCH(B183,'Rate Tables'!A$7:A$158,0)),"No rate"))</f>
        <v>156.31</v>
      </c>
      <c r="E187" s="55" t="s">
        <v>63</v>
      </c>
      <c r="F187" s="49"/>
      <c r="G187" s="49"/>
      <c r="H187" s="49"/>
      <c r="I187" s="49"/>
      <c r="J187" s="50"/>
      <c r="K187" s="62">
        <f>IF(AND(K184=1,K185=9),1,IF(K184&lt;=0,0,IF(WEEKDAY(K$6,1)=1,0,IF(WEEKDAY(K$6,1)=7,K184*K185,MAX(0,K185-8)*K184)))+((IF(K184&lt;=0,0,IF(WEEKDAY(K$6,1)=1,0,IF(WEEKDAY(K$6,1)=7,0,MIN(8,K185)*K184))))-MIN(IF(K184&lt;=0,0,IF(WEEKDAY(K$6,1)=1,0,IF(WEEKDAY(K$6,1)=7,0,MIN(8,K185)*K184))),MAX(0,40*MAX(1,K184)-(0)))))</f>
        <v>1</v>
      </c>
      <c r="L187" s="63">
        <f>IF(AND(L184=1,L185=9),1,IF(L184&lt;=0,0,IF(WEEKDAY(L$6,1)=1,0,IF(WEEKDAY(L$6,1)=7,L184*L185,MAX(0,L185-8)*L184)))+((IF(L184&lt;=0,0,IF(WEEKDAY(L$6,1)=1,0,IF(WEEKDAY(L$6,1)=7,0,MIN(8,L185)*L184))))-MIN(IF(L184&lt;=0,0,IF(WEEKDAY(L$6,1)=1,0,IF(WEEKDAY(L$6,1)=7,0,MIN(8,L185)*L184))),MAX(0,40*MAX(1,L184)-(K186)))))</f>
        <v>1</v>
      </c>
      <c r="M187" s="63">
        <f>IF(AND(M184=1,M185=9),1,IF(M184&lt;=0,0,IF(WEEKDAY(M$6,1)=1,0,IF(WEEKDAY(M$6,1)=7,M184*M185,MAX(0,M185-8)*M184)))+((IF(M184&lt;=0,0,IF(WEEKDAY(M$6,1)=1,0,IF(WEEKDAY(M$6,1)=7,0,MIN(8,M185)*M184))))-MIN(IF(M184&lt;=0,0,IF(WEEKDAY(M$6,1)=1,0,IF(WEEKDAY(M$6,1)=7,0,MIN(8,M185)*M184))),MAX(0,40*MAX(1,M184)-(K186+L186)))))</f>
        <v>1</v>
      </c>
      <c r="N187" s="63">
        <f>IF(AND(N184=1,N185=9),1,IF(N184&lt;=0,0,IF(WEEKDAY(N$6,1)=1,0,IF(WEEKDAY(N$6,1)=7,N184*N185,MAX(0,N185-8)*N184)))+((IF(N184&lt;=0,0,IF(WEEKDAY(N$6,1)=1,0,IF(WEEKDAY(N$6,1)=7,0,MIN(8,N185)*N184))))-MIN(IF(N184&lt;=0,0,IF(WEEKDAY(N$6,1)=1,0,IF(WEEKDAY(N$6,1)=7,0,MIN(8,N185)*N184))),MAX(0,40*MAX(1,N184)-(K186+L186+M186)))))</f>
        <v>1</v>
      </c>
      <c r="O187" s="63">
        <f>IF(AND(O184=1,O185=9),1,IF(O184&lt;=0,0,IF(WEEKDAY(O$6,1)=1,0,IF(WEEKDAY(O$6,1)=7,O184*O185,MAX(0,O185-8)*O184)))+((IF(O184&lt;=0,0,IF(WEEKDAY(O$6,1)=1,0,IF(WEEKDAY(O$6,1)=7,0,MIN(8,O185)*O184))))-MIN(IF(O184&lt;=0,0,IF(WEEKDAY(O$6,1)=1,0,IF(WEEKDAY(O$6,1)=7,0,MIN(8,O185)*O184))),MAX(0,40*MAX(1,O184)-(K186+L186+M186+N186)))))</f>
        <v>1</v>
      </c>
      <c r="P187" s="64">
        <f>IF(AND(P184=0,P185=0),0,IF(P184&lt;=0,0,IF(WEEKDAY(P$6,1)=1,0,IF(WEEKDAY(P$6,1)=7,P184*P185,MAX(0,P185-8)*P184)))+((IF(P184&lt;=0,0,IF(WEEKDAY(P$6,1)=1,0,IF(WEEKDAY(P$6,1)=7,0,MIN(8,P185)*P184))))-MIN(IF(P184&lt;=0,0,IF(WEEKDAY(P$6,1)=1,0,IF(WEEKDAY(P$6,1)=7,0,MIN(8,P185)*P184))),MAX(0,40*MAX(1,P184)-(0)))))</f>
        <v>0</v>
      </c>
      <c r="Q187" s="64">
        <f>IF(AND(Q184=0,Q185=0),0,IF(Q184&lt;=0,0,IF(WEEKDAY(Q$6,1)=1,0,IF(WEEKDAY(Q$6,1)=7,Q184*Q185,MAX(0,Q185-8)*Q184)))+((IF(Q184&lt;=0,0,IF(WEEKDAY(Q$6,1)=1,0,IF(WEEKDAY(Q$6,1)=7,0,MIN(8,Q185)*Q184))))-MIN(IF(Q184&lt;=0,0,IF(WEEKDAY(Q$6,1)=1,0,IF(WEEKDAY(Q$6,1)=7,0,MIN(8,Q185)*Q184))),MAX(0,40*MAX(1,Q184)-(P186)))))</f>
        <v>0</v>
      </c>
      <c r="R187" s="63">
        <f>IF(AND(R184=1,R185=9),1,IF(R184&lt;=0,0,IF(WEEKDAY(R$6,1)=1,0,IF(WEEKDAY(R$6,1)=7,R184*R185,MAX(0,R185-8)*R184)))+((IF(R184&lt;=0,0,IF(WEEKDAY(R$6,1)=1,0,IF(WEEKDAY(R$6,1)=7,0,MIN(8,R185)*R184))))-MIN(IF(R184&lt;=0,0,IF(WEEKDAY(R$6,1)=1,0,IF(WEEKDAY(R$6,1)=7,0,MIN(8,R185)*R184))),MAX(0,40*MAX(1,R184)-(0)))))</f>
        <v>1</v>
      </c>
      <c r="S187" s="63">
        <f>IF(AND(S184=1,S185=9),1,IF(S184&lt;=0,0,IF(WEEKDAY(S$6,1)=1,0,IF(WEEKDAY(S$6,1)=7,S184*S185,MAX(0,S185-8)*S184)))+((IF(S184&lt;=0,0,IF(WEEKDAY(S$6,1)=1,0,IF(WEEKDAY(S$6,1)=7,0,MIN(8,S185)*S184))))-MIN(IF(S184&lt;=0,0,IF(WEEKDAY(S$6,1)=1,0,IF(WEEKDAY(S$6,1)=7,0,MIN(8,S185)*S184))),MAX(0,40*MAX(1,S184)-(R186)))))</f>
        <v>1</v>
      </c>
      <c r="T187" s="63">
        <f>IF(AND(T184=1,T185=9),1,IF(T184&lt;=0,0,IF(WEEKDAY(T$6,1)=1,0,IF(WEEKDAY(T$6,1)=7,T184*T185,MAX(0,T185-8)*T184)))+((IF(T184&lt;=0,0,IF(WEEKDAY(T$6,1)=1,0,IF(WEEKDAY(T$6,1)=7,0,MIN(8,T185)*T184))))-MIN(IF(T184&lt;=0,0,IF(WEEKDAY(T$6,1)=1,0,IF(WEEKDAY(T$6,1)=7,0,MIN(8,T185)*T184))),MAX(0,40*MAX(1,T184)-(R186+S186)))))</f>
        <v>1</v>
      </c>
      <c r="U187" s="63">
        <f>IF(AND(U184=1,U185=9),1,IF(U184&lt;=0,0,IF(WEEKDAY(U$6,1)=1,0,IF(WEEKDAY(U$6,1)=7,U184*U185,MAX(0,U185-8)*U184)))+((IF(U184&lt;=0,0,IF(WEEKDAY(U$6,1)=1,0,IF(WEEKDAY(U$6,1)=7,0,MIN(8,U185)*U184))))-MIN(IF(U184&lt;=0,0,IF(WEEKDAY(U$6,1)=1,0,IF(WEEKDAY(U$6,1)=7,0,MIN(8,U185)*U184))),MAX(0,40*MAX(1,U184)-(R186+S186+T186)))))</f>
        <v>1</v>
      </c>
      <c r="V187" s="63">
        <f>IF(AND(V184=1,V185=9),1,IF(V184&lt;=0,0,IF(WEEKDAY(V$6,1)=1,0,IF(WEEKDAY(V$6,1)=7,V184*V185,MAX(0,V185-8)*V184)))+((IF(V184&lt;=0,0,IF(WEEKDAY(V$6,1)=1,0,IF(WEEKDAY(V$6,1)=7,0,MIN(8,V185)*V184))))-MIN(IF(V184&lt;=0,0,IF(WEEKDAY(V$6,1)=1,0,IF(WEEKDAY(V$6,1)=7,0,MIN(8,V185)*V184))),MAX(0,40*MAX(1,V184)-(R186+S186+T186+U186)))))</f>
        <v>1</v>
      </c>
      <c r="W187" s="64">
        <f>IF(AND(W184=0,W185=0),0,IF(W184&lt;=0,0,IF(WEEKDAY(W$6,1)=1,0,IF(WEEKDAY(W$6,1)=7,W184*W185,MAX(0,W185-8)*W184)))+((IF(W184&lt;=0,0,IF(WEEKDAY(W$6,1)=1,0,IF(WEEKDAY(W$6,1)=7,0,MIN(8,W185)*W184))))-MIN(IF(W184&lt;=0,0,IF(WEEKDAY(W$6,1)=1,0,IF(WEEKDAY(W$6,1)=7,0,MIN(8,W185)*W184))),MAX(0,40*MAX(1,W184)-(0)))))</f>
        <v>0</v>
      </c>
      <c r="X187" s="64">
        <f>IF(AND(X184=0,X185=0),0,IF(X184&lt;=0,0,IF(WEEKDAY(X$6,1)=1,0,IF(WEEKDAY(X$6,1)=7,X184*X185,MAX(0,X185-8)*X184)))+((IF(X184&lt;=0,0,IF(WEEKDAY(X$6,1)=1,0,IF(WEEKDAY(X$6,1)=7,0,MIN(8,X185)*X184))))-MIN(IF(X184&lt;=0,0,IF(WEEKDAY(X$6,1)=1,0,IF(WEEKDAY(X$6,1)=7,0,MIN(8,X185)*X184))),MAX(0,40*MAX(1,X184)-(W186)))))</f>
        <v>0</v>
      </c>
      <c r="Y187" s="63">
        <f>IF(AND(Y184=1,Y185=9),1,IF(Y184&lt;=0,0,IF(WEEKDAY(Y$6,1)=1,0,IF(WEEKDAY(Y$6,1)=7,Y184*Y185,MAX(0,Y185-8)*Y184)))+((IF(Y184&lt;=0,0,IF(WEEKDAY(Y$6,1)=1,0,IF(WEEKDAY(Y$6,1)=7,0,MIN(8,Y185)*Y184))))-MIN(IF(Y184&lt;=0,0,IF(WEEKDAY(Y$6,1)=1,0,IF(WEEKDAY(Y$6,1)=7,0,MIN(8,Y185)*Y184))),MAX(0,40*MAX(1,Y184)-(0)))))</f>
        <v>1</v>
      </c>
      <c r="Z187" s="63">
        <f>IF(AND(Z184=1,Z185=9),1,IF(Z184&lt;=0,0,IF(WEEKDAY(Z$6,1)=1,0,IF(WEEKDAY(Z$6,1)=7,Z184*Z185,MAX(0,Z185-8)*Z184)))+((IF(Z184&lt;=0,0,IF(WEEKDAY(Z$6,1)=1,0,IF(WEEKDAY(Z$6,1)=7,0,MIN(8,Z185)*Z184))))-MIN(IF(Z184&lt;=0,0,IF(WEEKDAY(Z$6,1)=1,0,IF(WEEKDAY(Z$6,1)=7,0,MIN(8,Z185)*Z184))),MAX(0,40*MAX(1,Z184)-(Y186)))))</f>
        <v>1</v>
      </c>
      <c r="AA187" s="63">
        <f>IF(AND(AA184=1,AA185=9),1,IF(AA184&lt;=0,0,IF(WEEKDAY(AA$6,1)=1,0,IF(WEEKDAY(AA$6,1)=7,AA184*AA185,MAX(0,AA185-8)*AA184)))+((IF(AA184&lt;=0,0,IF(WEEKDAY(AA$6,1)=1,0,IF(WEEKDAY(AA$6,1)=7,0,MIN(8,AA185)*AA184))))-MIN(IF(AA184&lt;=0,0,IF(WEEKDAY(AA$6,1)=1,0,IF(WEEKDAY(AA$6,1)=7,0,MIN(8,AA185)*AA184))),MAX(0,40*MAX(1,AA184)-(Y186+Z186)))))</f>
        <v>1</v>
      </c>
      <c r="AB187" s="63">
        <f>IF(AND(AB184=2,AB185=9),2,IF(AB184&lt;=0,0,IF(WEEKDAY(AB$6,1)=1,0,IF(WEEKDAY(AB$6,1)=7,AB184*AB185,MAX(0,AB185-8)*AB184)))+((IF(AB184&lt;=0,0,IF(WEEKDAY(AB$6,1)=1,0,IF(WEEKDAY(AB$6,1)=7,0,MIN(8,AB185)*AB184))))-MIN(IF(AB184&lt;=0,0,IF(WEEKDAY(AB$6,1)=1,0,IF(WEEKDAY(AB$6,1)=7,0,MIN(8,AB185)*AB184))),MAX(0,40*MAX(1,AB184)-(Y186+Z186+AA186)))))</f>
        <v>2</v>
      </c>
      <c r="AC187" s="63">
        <f>IF(AND(AC184=2,AC185=9),2,IF(AC184&lt;=0,0,IF(WEEKDAY(AC$6,1)=1,0,IF(WEEKDAY(AC$6,1)=7,AC184*AC185,MAX(0,AC185-8)*AC184)))+((IF(AC184&lt;=0,0,IF(WEEKDAY(AC$6,1)=1,0,IF(WEEKDAY(AC$6,1)=7,0,MIN(8,AC185)*AC184))))-MIN(IF(AC184&lt;=0,0,IF(WEEKDAY(AC$6,1)=1,0,IF(WEEKDAY(AC$6,1)=7,0,MIN(8,AC185)*AC184))),MAX(0,40*MAX(1,AC184)-(Y186+Z186+AA186+AB186)))))</f>
        <v>2</v>
      </c>
      <c r="AD187" s="64">
        <f>IF(AND(AD184=0,AD185=0),0,IF(AD184&lt;=0,0,IF(WEEKDAY(AD$6,1)=1,0,IF(WEEKDAY(AD$6,1)=7,AD184*AD185,MAX(0,AD185-8)*AD184)))+((IF(AD184&lt;=0,0,IF(WEEKDAY(AD$6,1)=1,0,IF(WEEKDAY(AD$6,1)=7,0,MIN(8,AD185)*AD184))))-MIN(IF(AD184&lt;=0,0,IF(WEEKDAY(AD$6,1)=1,0,IF(WEEKDAY(AD$6,1)=7,0,MIN(8,AD185)*AD184))),MAX(0,40*MAX(1,AD184)-(0)))))</f>
        <v>0</v>
      </c>
      <c r="AE187" s="64">
        <f>IF(AND(AE184=0,AE185=0),0,IF(AE184&lt;=0,0,IF(WEEKDAY(AE$6,1)=1,0,IF(WEEKDAY(AE$6,1)=7,AE184*AE185,MAX(0,AE185-8)*AE184)))+((IF(AE184&lt;=0,0,IF(WEEKDAY(AE$6,1)=1,0,IF(WEEKDAY(AE$6,1)=7,0,MIN(8,AE185)*AE184))))-MIN(IF(AE184&lt;=0,0,IF(WEEKDAY(AE$6,1)=1,0,IF(WEEKDAY(AE$6,1)=7,0,MIN(8,AE185)*AE184))),MAX(0,40*MAX(1,AE184)-(AD186)))))</f>
        <v>0</v>
      </c>
      <c r="AF187" s="63">
        <f>IF(AND(AF184=2,AF185=9),2,IF(AF184&lt;=0,0,IF(WEEKDAY(AF$6,1)=1,0,IF(WEEKDAY(AF$6,1)=7,AF184*AF185,MAX(0,AF185-8)*AF184)))+((IF(AF184&lt;=0,0,IF(WEEKDAY(AF$6,1)=1,0,IF(WEEKDAY(AF$6,1)=7,0,MIN(8,AF185)*AF184))))-MIN(IF(AF184&lt;=0,0,IF(WEEKDAY(AF$6,1)=1,0,IF(WEEKDAY(AF$6,1)=7,0,MIN(8,AF185)*AF184))),MAX(0,40*MAX(1,AF184)-(0)))))</f>
        <v>2</v>
      </c>
      <c r="AG187" s="63">
        <f>IF(AND(AG184=2,AG185=9),2,IF(AG184&lt;=0,0,IF(WEEKDAY(AG$6,1)=1,0,IF(WEEKDAY(AG$6,1)=7,AG184*AG185,MAX(0,AG185-8)*AG184)))+((IF(AG184&lt;=0,0,IF(WEEKDAY(AG$6,1)=1,0,IF(WEEKDAY(AG$6,1)=7,0,MIN(8,AG185)*AG184))))-MIN(IF(AG184&lt;=0,0,IF(WEEKDAY(AG$6,1)=1,0,IF(WEEKDAY(AG$6,1)=7,0,MIN(8,AG185)*AG184))),MAX(0,40*MAX(1,AG184)-(AF186)))))</f>
        <v>2</v>
      </c>
      <c r="AH187" s="63">
        <f>IF(AND(AH184=2,AH185=9),2,IF(AH184&lt;=0,0,IF(WEEKDAY(AH$6,1)=1,0,IF(WEEKDAY(AH$6,1)=7,AH184*AH185,MAX(0,AH185-8)*AH184)))+((IF(AH184&lt;=0,0,IF(WEEKDAY(AH$6,1)=1,0,IF(WEEKDAY(AH$6,1)=7,0,MIN(8,AH185)*AH184))))-MIN(IF(AH184&lt;=0,0,IF(WEEKDAY(AH$6,1)=1,0,IF(WEEKDAY(AH$6,1)=7,0,MIN(8,AH185)*AH184))),MAX(0,40*MAX(1,AH184)-(AF186+AG186)))))</f>
        <v>2</v>
      </c>
      <c r="AI187" s="63">
        <f>IF(AND(AI184=2,AI185=9),2,IF(AI184&lt;=0,0,IF(WEEKDAY(AI$6,1)=1,0,IF(WEEKDAY(AI$6,1)=7,AI184*AI185,MAX(0,AI185-8)*AI184)))+((IF(AI184&lt;=0,0,IF(WEEKDAY(AI$6,1)=1,0,IF(WEEKDAY(AI$6,1)=7,0,MIN(8,AI185)*AI184))))-MIN(IF(AI184&lt;=0,0,IF(WEEKDAY(AI$6,1)=1,0,IF(WEEKDAY(AI$6,1)=7,0,MIN(8,AI185)*AI184))),MAX(0,40*MAX(1,AI184)-(AF186+AG186+AH186)))))</f>
        <v>2</v>
      </c>
      <c r="AJ187" s="63">
        <f>IF(AND(AJ184=2,AJ185=9),2,IF(AJ184&lt;=0,0,IF(WEEKDAY(AJ$6,1)=1,0,IF(WEEKDAY(AJ$6,1)=7,AJ184*AJ185,MAX(0,AJ185-8)*AJ184)))+((IF(AJ184&lt;=0,0,IF(WEEKDAY(AJ$6,1)=1,0,IF(WEEKDAY(AJ$6,1)=7,0,MIN(8,AJ185)*AJ184))))-MIN(IF(AJ184&lt;=0,0,IF(WEEKDAY(AJ$6,1)=1,0,IF(WEEKDAY(AJ$6,1)=7,0,MIN(8,AJ185)*AJ184))),MAX(0,40*MAX(1,AJ184)-(AF186+AG186+AH186+AI186)))))</f>
        <v>2</v>
      </c>
      <c r="AK187" s="64">
        <f>IF(AND(AK184=0,AK185=0),0,IF(AK184&lt;=0,0,IF(WEEKDAY(AK$6,1)=1,0,IF(WEEKDAY(AK$6,1)=7,AK184*AK185,MAX(0,AK185-8)*AK184)))+((IF(AK184&lt;=0,0,IF(WEEKDAY(AK$6,1)=1,0,IF(WEEKDAY(AK$6,1)=7,0,MIN(8,AK185)*AK184))))-MIN(IF(AK184&lt;=0,0,IF(WEEKDAY(AK$6,1)=1,0,IF(WEEKDAY(AK$6,1)=7,0,MIN(8,AK185)*AK184))),MAX(0,40*MAX(1,AK184)-(0)))))</f>
        <v>0</v>
      </c>
      <c r="AL187" s="64">
        <f>IF(AND(AL184=0,AL185=0),0,IF(AL184&lt;=0,0,IF(WEEKDAY(AL$6,1)=1,0,IF(WEEKDAY(AL$6,1)=7,AL184*AL185,MAX(0,AL185-8)*AL184)))+((IF(AL184&lt;=0,0,IF(WEEKDAY(AL$6,1)=1,0,IF(WEEKDAY(AL$6,1)=7,0,MIN(8,AL185)*AL184))))-MIN(IF(AL184&lt;=0,0,IF(WEEKDAY(AL$6,1)=1,0,IF(WEEKDAY(AL$6,1)=7,0,MIN(8,AL185)*AL184))),MAX(0,40*MAX(1,AL184)-(AK186)))))</f>
        <v>0</v>
      </c>
      <c r="AM187" s="63">
        <f>IF(AND(AM184=2,AM185=9),2,IF(AM184&lt;=0,0,IF(WEEKDAY(AM$6,1)=1,0,IF(WEEKDAY(AM$6,1)=7,AM184*AM185,MAX(0,AM185-8)*AM184)))+((IF(AM184&lt;=0,0,IF(WEEKDAY(AM$6,1)=1,0,IF(WEEKDAY(AM$6,1)=7,0,MIN(8,AM185)*AM184))))-MIN(IF(AM184&lt;=0,0,IF(WEEKDAY(AM$6,1)=1,0,IF(WEEKDAY(AM$6,1)=7,0,MIN(8,AM185)*AM184))),MAX(0,40*MAX(1,AM184)-(0)))))</f>
        <v>2</v>
      </c>
      <c r="AN187" s="63">
        <f>IF(AND(AN184=2,AN185=9),2,IF(AN184&lt;=0,0,IF(WEEKDAY(AN$6,1)=1,0,IF(WEEKDAY(AN$6,1)=7,AN184*AN185,MAX(0,AN185-8)*AN184)))+((IF(AN184&lt;=0,0,IF(WEEKDAY(AN$6,1)=1,0,IF(WEEKDAY(AN$6,1)=7,0,MIN(8,AN185)*AN184))))-MIN(IF(AN184&lt;=0,0,IF(WEEKDAY(AN$6,1)=1,0,IF(WEEKDAY(AN$6,1)=7,0,MIN(8,AN185)*AN184))),MAX(0,40*MAX(1,AN184)-(AM186)))))</f>
        <v>2</v>
      </c>
      <c r="AO187" s="63">
        <f>IF(AND(AO184=2,AO185=9),2,IF(AO184&lt;=0,0,IF(WEEKDAY(AO$6,1)=1,0,IF(WEEKDAY(AO$6,1)=7,AO184*AO185,MAX(0,AO185-8)*AO184)))+((IF(AO184&lt;=0,0,IF(WEEKDAY(AO$6,1)=1,0,IF(WEEKDAY(AO$6,1)=7,0,MIN(8,AO185)*AO184))))-MIN(IF(AO184&lt;=0,0,IF(WEEKDAY(AO$6,1)=1,0,IF(WEEKDAY(AO$6,1)=7,0,MIN(8,AO185)*AO184))),MAX(0,40*MAX(1,AO184)-(AM186+AN186)))))</f>
        <v>2</v>
      </c>
      <c r="AP187" s="63">
        <f>IF(AND(AP184=4.25,AP185=8),2,IF(AP184&lt;=0,0,IF(WEEKDAY(AP$6,1)=1,0,IF(WEEKDAY(AP$6,1)=7,AP184*AP185,MAX(0,AP185-8)*AP184)))+((IF(AP184&lt;=0,0,IF(WEEKDAY(AP$6,1)=1,0,IF(WEEKDAY(AP$6,1)=7,0,MIN(8,AP185)*AP184))))-MIN(IF(AP184&lt;=0,0,IF(WEEKDAY(AP$6,1)=1,0,IF(WEEKDAY(AP$6,1)=7,0,MIN(8,AP185)*AP184))),MAX(0,40*MAX(1,AP184)-(AM186+AN186+AO186)))))</f>
        <v>2</v>
      </c>
      <c r="AQ187" s="63">
        <f>IF(AND(AQ184=4.25,AQ185=8),2,IF(AQ184&lt;=0,0,IF(WEEKDAY(AQ$6,1)=1,0,IF(WEEKDAY(AQ$6,1)=7,AQ184*AQ185,MAX(0,AQ185-8)*AQ184)))+((IF(AQ184&lt;=0,0,IF(WEEKDAY(AQ$6,1)=1,0,IF(WEEKDAY(AQ$6,1)=7,0,MIN(8,AQ185)*AQ184))))-MIN(IF(AQ184&lt;=0,0,IF(WEEKDAY(AQ$6,1)=1,0,IF(WEEKDAY(AQ$6,1)=7,0,MIN(8,AQ185)*AQ184))),MAX(0,40*MAX(1,AQ184)-(AM186+AN186+AO186+AP186)))))</f>
        <v>2</v>
      </c>
      <c r="AR187" s="64">
        <f>IF(AND(AR184=0,AR185=0),0,IF(AR184&lt;=0,0,IF(WEEKDAY(AR$6,1)=1,0,IF(WEEKDAY(AR$6,1)=7,AR184*AR185,MAX(0,AR185-8)*AR184)))+((IF(AR184&lt;=0,0,IF(WEEKDAY(AR$6,1)=1,0,IF(WEEKDAY(AR$6,1)=7,0,MIN(8,AR185)*AR184))))-MIN(IF(AR184&lt;=0,0,IF(WEEKDAY(AR$6,1)=1,0,IF(WEEKDAY(AR$6,1)=7,0,MIN(8,AR185)*AR184))),MAX(0,40*MAX(1,AR184)-(0)))))</f>
        <v>0</v>
      </c>
      <c r="AS187" s="64">
        <f>IF(AND(AS184=0,AS185=0),0,IF(AS184&lt;=0,0,IF(WEEKDAY(AS$6,1)=1,0,IF(WEEKDAY(AS$6,1)=7,AS184*AS185,MAX(0,AS185-8)*AS184)))+((IF(AS184&lt;=0,0,IF(WEEKDAY(AS$6,1)=1,0,IF(WEEKDAY(AS$6,1)=7,0,MIN(8,AS185)*AS184))))-MIN(IF(AS184&lt;=0,0,IF(WEEKDAY(AS$6,1)=1,0,IF(WEEKDAY(AS$6,1)=7,0,MIN(8,AS185)*AS184))),MAX(0,40*MAX(1,AS184)-(AR186)))))</f>
        <v>0</v>
      </c>
      <c r="AT187" s="63">
        <f>IF(AND(AT184=4.25,AT185=8),2,IF(AT184&lt;=0,0,IF(WEEKDAY(AT$6,1)=1,0,IF(WEEKDAY(AT$6,1)=7,AT184*AT185,MAX(0,AT185-8)*AT184)))+((IF(AT184&lt;=0,0,IF(WEEKDAY(AT$6,1)=1,0,IF(WEEKDAY(AT$6,1)=7,0,MIN(8,AT185)*AT184))))-MIN(IF(AT184&lt;=0,0,IF(WEEKDAY(AT$6,1)=1,0,IF(WEEKDAY(AT$6,1)=7,0,MIN(8,AT185)*AT184))),MAX(0,40*MAX(1,AT184)-(0)))))</f>
        <v>2</v>
      </c>
      <c r="AU187" s="63">
        <f>IF(AND(AU184=4.25,AU185=8),2,IF(AU184&lt;=0,0,IF(WEEKDAY(AU$6,1)=1,0,IF(WEEKDAY(AU$6,1)=7,AU184*AU185,MAX(0,AU185-8)*AU184)))+((IF(AU184&lt;=0,0,IF(WEEKDAY(AU$6,1)=1,0,IF(WEEKDAY(AU$6,1)=7,0,MIN(8,AU185)*AU184))))-MIN(IF(AU184&lt;=0,0,IF(WEEKDAY(AU$6,1)=1,0,IF(WEEKDAY(AU$6,1)=7,0,MIN(8,AU185)*AU184))),MAX(0,40*MAX(1,AU184)-(AT186)))))</f>
        <v>2</v>
      </c>
      <c r="AV187" s="63">
        <f>IF(AND(AV184=4.25,AV185=8),2,IF(AV184&lt;=0,0,IF(WEEKDAY(AV$6,1)=1,0,IF(WEEKDAY(AV$6,1)=7,AV184*AV185,MAX(0,AV185-8)*AV184)))+((IF(AV184&lt;=0,0,IF(WEEKDAY(AV$6,1)=1,0,IF(WEEKDAY(AV$6,1)=7,0,MIN(8,AV185)*AV184))))-MIN(IF(AV184&lt;=0,0,IF(WEEKDAY(AV$6,1)=1,0,IF(WEEKDAY(AV$6,1)=7,0,MIN(8,AV185)*AV184))),MAX(0,40*MAX(1,AV184)-(AT186+AU186)))))</f>
        <v>2</v>
      </c>
      <c r="AW187" s="63">
        <f>IF(AND(AW184=4.25,AW185=8),2,IF(AW184&lt;=0,0,IF(WEEKDAY(AW$6,1)=1,0,IF(WEEKDAY(AW$6,1)=7,AW184*AW185,MAX(0,AW185-8)*AW184)))+((IF(AW184&lt;=0,0,IF(WEEKDAY(AW$6,1)=1,0,IF(WEEKDAY(AW$6,1)=7,0,MIN(8,AW185)*AW184))))-MIN(IF(AW184&lt;=0,0,IF(WEEKDAY(AW$6,1)=1,0,IF(WEEKDAY(AW$6,1)=7,0,MIN(8,AW185)*AW184))),MAX(0,40*MAX(1,AW184)-(AT186+AU186+AV186)))))</f>
        <v>2</v>
      </c>
      <c r="AX187" s="63">
        <f>IF(AND(AX184=4.25,AX185=8),2,IF(AX184&lt;=0,0,IF(WEEKDAY(AX$6,1)=1,0,IF(WEEKDAY(AX$6,1)=7,AX184*AX185,MAX(0,AX185-8)*AX184)))+((IF(AX184&lt;=0,0,IF(WEEKDAY(AX$6,1)=1,0,IF(WEEKDAY(AX$6,1)=7,0,MIN(8,AX185)*AX184))))-MIN(IF(AX184&lt;=0,0,IF(WEEKDAY(AX$6,1)=1,0,IF(WEEKDAY(AX$6,1)=7,0,MIN(8,AX185)*AX184))),MAX(0,40*MAX(1,AX184)-(AT186+AU186+AV186+AW186)))))</f>
        <v>2</v>
      </c>
      <c r="AY187" s="64">
        <f>IF(AND(AY184=0,AY185=0),0,IF(AY184&lt;=0,0,IF(WEEKDAY(AY$6,1)=1,0,IF(WEEKDAY(AY$6,1)=7,AY184*AY185,MAX(0,AY185-8)*AY184)))+((IF(AY184&lt;=0,0,IF(WEEKDAY(AY$6,1)=1,0,IF(WEEKDAY(AY$6,1)=7,0,MIN(8,AY185)*AY184))))-MIN(IF(AY184&lt;=0,0,IF(WEEKDAY(AY$6,1)=1,0,IF(WEEKDAY(AY$6,1)=7,0,MIN(8,AY185)*AY184))),MAX(0,40*MAX(1,AY184)-(0)))))</f>
        <v>0</v>
      </c>
      <c r="AZ187" s="64">
        <f>IF(AND(AZ184=0,AZ185=0),0,IF(AZ184&lt;=0,0,IF(WEEKDAY(AZ$6,1)=1,0,IF(WEEKDAY(AZ$6,1)=7,AZ184*AZ185,MAX(0,AZ185-8)*AZ184)))+((IF(AZ184&lt;=0,0,IF(WEEKDAY(AZ$6,1)=1,0,IF(WEEKDAY(AZ$6,1)=7,0,MIN(8,AZ185)*AZ184))))-MIN(IF(AZ184&lt;=0,0,IF(WEEKDAY(AZ$6,1)=1,0,IF(WEEKDAY(AZ$6,1)=7,0,MIN(8,AZ185)*AZ184))),MAX(0,40*MAX(1,AZ184)-(AY186)))))</f>
        <v>0</v>
      </c>
      <c r="BA187" s="63">
        <f>IF(AND(BA184=4.25,BA185=8),2,IF(BA184&lt;=0,0,IF(WEEKDAY(BA$6,1)=1,0,IF(WEEKDAY(BA$6,1)=7,BA184*BA185,MAX(0,BA185-8)*BA184)))+((IF(BA184&lt;=0,0,IF(WEEKDAY(BA$6,1)=1,0,IF(WEEKDAY(BA$6,1)=7,0,MIN(8,BA185)*BA184))))-MIN(IF(BA184&lt;=0,0,IF(WEEKDAY(BA$6,1)=1,0,IF(WEEKDAY(BA$6,1)=7,0,MIN(8,BA185)*BA184))),MAX(0,40*MAX(1,BA184)-(0)))))</f>
        <v>2</v>
      </c>
      <c r="BB187" s="63">
        <f>IF(AND(BB184=4.25,BB185=8),2,IF(BB184&lt;=0,0,IF(WEEKDAY(BB$6,1)=1,0,IF(WEEKDAY(BB$6,1)=7,BB184*BB185,MAX(0,BB185-8)*BB184)))+((IF(BB184&lt;=0,0,IF(WEEKDAY(BB$6,1)=1,0,IF(WEEKDAY(BB$6,1)=7,0,MIN(8,BB185)*BB184))))-MIN(IF(BB184&lt;=0,0,IF(WEEKDAY(BB$6,1)=1,0,IF(WEEKDAY(BB$6,1)=7,0,MIN(8,BB185)*BB184))),MAX(0,40*MAX(1,BB184)-(BA186)))))</f>
        <v>2</v>
      </c>
      <c r="BC187" s="63">
        <f>IF(AND(BC184=4.25,BC185=8),2,IF(BC184&lt;=0,0,IF(WEEKDAY(BC$6,1)=1,0,IF(WEEKDAY(BC$6,1)=7,BC184*BC185,MAX(0,BC185-8)*BC184)))+((IF(BC184&lt;=0,0,IF(WEEKDAY(BC$6,1)=1,0,IF(WEEKDAY(BC$6,1)=7,0,MIN(8,BC185)*BC184))))-MIN(IF(BC184&lt;=0,0,IF(WEEKDAY(BC$6,1)=1,0,IF(WEEKDAY(BC$6,1)=7,0,MIN(8,BC185)*BC184))),MAX(0,40*MAX(1,BC184)-(BA186+BB186)))))</f>
        <v>2</v>
      </c>
      <c r="BD187" s="63">
        <f>IF(AND(BD184=4.25,BD185=8),2,IF(BD184&lt;=0,0,IF(WEEKDAY(BD$6,1)=1,0,IF(WEEKDAY(BD$6,1)=7,BD184*BD185,MAX(0,BD185-8)*BD184)))+((IF(BD184&lt;=0,0,IF(WEEKDAY(BD$6,1)=1,0,IF(WEEKDAY(BD$6,1)=7,0,MIN(8,BD185)*BD184))))-MIN(IF(BD184&lt;=0,0,IF(WEEKDAY(BD$6,1)=1,0,IF(WEEKDAY(BD$6,1)=7,0,MIN(8,BD185)*BD184))),MAX(0,40*MAX(1,BD184)-(BA186+BB186+BC186)))))</f>
        <v>2</v>
      </c>
      <c r="BE187" s="63">
        <f>IF(AND(BE184=4.25,BE185=8),2,IF(BE184&lt;=0,0,IF(WEEKDAY(BE$6,1)=1,0,IF(WEEKDAY(BE$6,1)=7,BE184*BE185,MAX(0,BE185-8)*BE184)))+((IF(BE184&lt;=0,0,IF(WEEKDAY(BE$6,1)=1,0,IF(WEEKDAY(BE$6,1)=7,0,MIN(8,BE185)*BE184))))-MIN(IF(BE184&lt;=0,0,IF(WEEKDAY(BE$6,1)=1,0,IF(WEEKDAY(BE$6,1)=7,0,MIN(8,BE185)*BE184))),MAX(0,40*MAX(1,BE184)-(BA186+BB186+BC186+BD186)))))</f>
        <v>2</v>
      </c>
      <c r="BF187" s="64">
        <f>IF(AND(BF184=0,BF185=0),0,IF(BF184&lt;=0,0,IF(WEEKDAY(BF$6,1)=1,0,IF(WEEKDAY(BF$6,1)=7,BF184*BF185,MAX(0,BF185-8)*BF184)))+((IF(BF184&lt;=0,0,IF(WEEKDAY(BF$6,1)=1,0,IF(WEEKDAY(BF$6,1)=7,0,MIN(8,BF185)*BF184))))-MIN(IF(BF184&lt;=0,0,IF(WEEKDAY(BF$6,1)=1,0,IF(WEEKDAY(BF$6,1)=7,0,MIN(8,BF185)*BF184))),MAX(0,40*MAX(1,BF184)-(0)))))</f>
        <v>0</v>
      </c>
      <c r="BG187" s="64">
        <f>IF(AND(BG184=0,BG185=0),0,IF(BG184&lt;=0,0,IF(WEEKDAY(BG$6,1)=1,0,IF(WEEKDAY(BG$6,1)=7,BG184*BG185,MAX(0,BG185-8)*BG184)))+((IF(BG184&lt;=0,0,IF(WEEKDAY(BG$6,1)=1,0,IF(WEEKDAY(BG$6,1)=7,0,MIN(8,BG185)*BG184))))-MIN(IF(BG184&lt;=0,0,IF(WEEKDAY(BG$6,1)=1,0,IF(WEEKDAY(BG$6,1)=7,0,MIN(8,BG185)*BG184))),MAX(0,40*MAX(1,BG184)-(BF186)))))</f>
        <v>0</v>
      </c>
      <c r="BH187" s="63">
        <f>IF(AND(BH184=2,BH185=13),10,IF(BH184&lt;=0,0,IF(WEEKDAY(BH$6,1)=1,0,IF(WEEKDAY(BH$6,1)=7,BH184*BH185,MAX(0,BH185-8)*BH184)))+((IF(BH184&lt;=0,0,IF(WEEKDAY(BH$6,1)=1,0,IF(WEEKDAY(BH$6,1)=7,0,MIN(8,BH185)*BH184))))-MIN(IF(BH184&lt;=0,0,IF(WEEKDAY(BH$6,1)=1,0,IF(WEEKDAY(BH$6,1)=7,0,MIN(8,BH185)*BH184))),MAX(0,40*MAX(1,BH184)-(0)))))</f>
        <v>10</v>
      </c>
      <c r="BI187" s="63">
        <f>IF(AND(BI184=2,BI185=13),10,IF(BI184&lt;=0,0,IF(WEEKDAY(BI$6,1)=1,0,IF(WEEKDAY(BI$6,1)=7,BI184*BI185,MAX(0,BI185-8)*BI184)))+((IF(BI184&lt;=0,0,IF(WEEKDAY(BI$6,1)=1,0,IF(WEEKDAY(BI$6,1)=7,0,MIN(8,BI185)*BI184))))-MIN(IF(BI184&lt;=0,0,IF(WEEKDAY(BI$6,1)=1,0,IF(WEEKDAY(BI$6,1)=7,0,MIN(8,BI185)*BI184))),MAX(0,40*MAX(1,BI184)-(BH186)))))</f>
        <v>10</v>
      </c>
      <c r="BJ187" s="63">
        <f>IF(AND(BJ184=2,BJ185=13),10,IF(BJ184&lt;=0,0,IF(WEEKDAY(BJ$6,1)=1,0,IF(WEEKDAY(BJ$6,1)=7,BJ184*BJ185,MAX(0,BJ185-8)*BJ184)))+((IF(BJ184&lt;=0,0,IF(WEEKDAY(BJ$6,1)=1,0,IF(WEEKDAY(BJ$6,1)=7,0,MIN(8,BJ185)*BJ184))))-MIN(IF(BJ184&lt;=0,0,IF(WEEKDAY(BJ$6,1)=1,0,IF(WEEKDAY(BJ$6,1)=7,0,MIN(8,BJ185)*BJ184))),MAX(0,40*MAX(1,BJ184)-(BH186+BI186)))))</f>
        <v>10</v>
      </c>
      <c r="BK187" s="63">
        <f>IF(AND(BK184=2,BK185=13),10,IF(BK184&lt;=0,0,IF(WEEKDAY(BK$6,1)=1,0,IF(WEEKDAY(BK$6,1)=7,BK184*BK185,MAX(0,BK185-8)*BK184)))+((IF(BK184&lt;=0,0,IF(WEEKDAY(BK$6,1)=1,0,IF(WEEKDAY(BK$6,1)=7,0,MIN(8,BK185)*BK184))))-MIN(IF(BK184&lt;=0,0,IF(WEEKDAY(BK$6,1)=1,0,IF(WEEKDAY(BK$6,1)=7,0,MIN(8,BK185)*BK184))),MAX(0,40*MAX(1,BK184)-(BH186+BI186+BJ186)))))</f>
        <v>10</v>
      </c>
      <c r="BL187" s="63">
        <f>IF(AND(BL184=2,BL185=13),10,IF(BL184&lt;=0,0,IF(WEEKDAY(BL$6,1)=1,0,IF(WEEKDAY(BL$6,1)=7,BL184*BL185,MAX(0,BL185-8)*BL184)))+((IF(BL184&lt;=0,0,IF(WEEKDAY(BL$6,1)=1,0,IF(WEEKDAY(BL$6,1)=7,0,MIN(8,BL185)*BL184))))-MIN(IF(BL184&lt;=0,0,IF(WEEKDAY(BL$6,1)=1,0,IF(WEEKDAY(BL$6,1)=7,0,MIN(8,BL185)*BL184))),MAX(0,40*MAX(1,BL184)-(BH186+BI186+BJ186+BK186)))))</f>
        <v>10</v>
      </c>
      <c r="BM187" s="64">
        <f>IF(AND(BM184=2,BM185=13),26,IF(BM184&lt;=0,0,IF(WEEKDAY(BM$6,1)=1,0,IF(WEEKDAY(BM$6,1)=7,BM184*BM185,MAX(0,BM185-8)*BM184)))+((IF(BM184&lt;=0,0,IF(WEEKDAY(BM$6,1)=1,0,IF(WEEKDAY(BM$6,1)=7,0,MIN(8,BM185)*BM184))))-MIN(IF(BM184&lt;=0,0,IF(WEEKDAY(BM$6,1)=1,0,IF(WEEKDAY(BM$6,1)=7,0,MIN(8,BM185)*BM184))),MAX(0,40*MAX(1,BM184)-(BH186+BI186+BJ186+BK186+BL186)))))</f>
        <v>26</v>
      </c>
      <c r="BN187" s="64">
        <f>IF(AND(BN184=2,BN185=13),0,IF(BN184&lt;=0,0,IF(WEEKDAY(BN$6,1)=1,0,IF(WEEKDAY(BN$6,1)=7,BN184*BN185,MAX(0,BN185-8)*BN184)))+((IF(BN184&lt;=0,0,IF(WEEKDAY(BN$6,1)=1,0,IF(WEEKDAY(BN$6,1)=7,0,MIN(8,BN185)*BN184))))-MIN(IF(BN184&lt;=0,0,IF(WEEKDAY(BN$6,1)=1,0,IF(WEEKDAY(BN$6,1)=7,0,MIN(8,BN185)*BN184))),MAX(0,40*MAX(1,BN184)-(BH186+BI186+BJ186+BK186+BL186+BM186)))))</f>
        <v>0</v>
      </c>
      <c r="BO187" s="63">
        <f>IF(AND(BO184=2,BO185=13),10,IF(BO184&lt;=0,0,IF(WEEKDAY(BO$6,1)=1,0,IF(WEEKDAY(BO$6,1)=7,BO184*BO185,MAX(0,BO185-8)*BO184)))+((IF(BO184&lt;=0,0,IF(WEEKDAY(BO$6,1)=1,0,IF(WEEKDAY(BO$6,1)=7,0,MIN(8,BO185)*BO184))))-MIN(IF(BO184&lt;=0,0,IF(WEEKDAY(BO$6,1)=1,0,IF(WEEKDAY(BO$6,1)=7,0,MIN(8,BO185)*BO184))),MAX(0,40*MAX(1,BO184)-(0)))))</f>
        <v>10</v>
      </c>
      <c r="BP187" s="63">
        <f>IF(AND(BP184=2,BP185=13),10,IF(BP184&lt;=0,0,IF(WEEKDAY(BP$6,1)=1,0,IF(WEEKDAY(BP$6,1)=7,BP184*BP185,MAX(0,BP185-8)*BP184)))+((IF(BP184&lt;=0,0,IF(WEEKDAY(BP$6,1)=1,0,IF(WEEKDAY(BP$6,1)=7,0,MIN(8,BP185)*BP184))))-MIN(IF(BP184&lt;=0,0,IF(WEEKDAY(BP$6,1)=1,0,IF(WEEKDAY(BP$6,1)=7,0,MIN(8,BP185)*BP184))),MAX(0,40*MAX(1,BP184)-(BO186)))))</f>
        <v>10</v>
      </c>
      <c r="BQ187" s="63">
        <f>IF(AND(BQ184=2,BQ185=13),10,IF(BQ184&lt;=0,0,IF(WEEKDAY(BQ$6,1)=1,0,IF(WEEKDAY(BQ$6,1)=7,BQ184*BQ185,MAX(0,BQ185-8)*BQ184)))+((IF(BQ184&lt;=0,0,IF(WEEKDAY(BQ$6,1)=1,0,IF(WEEKDAY(BQ$6,1)=7,0,MIN(8,BQ185)*BQ184))))-MIN(IF(BQ184&lt;=0,0,IF(WEEKDAY(BQ$6,1)=1,0,IF(WEEKDAY(BQ$6,1)=7,0,MIN(8,BQ185)*BQ184))),MAX(0,40*MAX(1,BQ184)-(BO186+BP186)))))</f>
        <v>10</v>
      </c>
      <c r="BR187" s="63">
        <f>IF(AND(BR184=1,BR185=13),5,IF(BR184&lt;=0,0,IF(WEEKDAY(BR$6,1)=1,0,IF(WEEKDAY(BR$6,1)=7,BR184*BR185,MAX(0,BR185-8)*BR184)))+((IF(BR184&lt;=0,0,IF(WEEKDAY(BR$6,1)=1,0,IF(WEEKDAY(BR$6,1)=7,0,MIN(8,BR185)*BR184))))-MIN(IF(BR184&lt;=0,0,IF(WEEKDAY(BR$6,1)=1,0,IF(WEEKDAY(BR$6,1)=7,0,MIN(8,BR185)*BR184))),MAX(0,40*MAX(1,BR184)-(0)))))</f>
        <v>5</v>
      </c>
      <c r="BS187" s="63">
        <f>IF(AND(BS184=1,BS185=13),5,IF(BS184&lt;=0,0,IF(WEEKDAY(BS$6,1)=1,0,IF(WEEKDAY(BS$6,1)=7,BS184*BS185,MAX(0,BS185-8)*BS184)))+((IF(BS184&lt;=0,0,IF(WEEKDAY(BS$6,1)=1,0,IF(WEEKDAY(BS$6,1)=7,0,MIN(8,BS185)*BS184))))-MIN(IF(BS184&lt;=0,0,IF(WEEKDAY(BS$6,1)=1,0,IF(WEEKDAY(BS$6,1)=7,0,MIN(8,BS185)*BS184))),MAX(0,40*MAX(1,BS184)-(BR186)))))</f>
        <v>5</v>
      </c>
      <c r="BT187" s="64">
        <f>IF(AND(BT184=1,BT185=13),13,IF(BT184&lt;=0,0,IF(WEEKDAY(BT$6,1)=1,0,IF(WEEKDAY(BT$6,1)=7,BT184*BT185,MAX(0,BT185-8)*BT184)))+((IF(BT184&lt;=0,0,IF(WEEKDAY(BT$6,1)=1,0,IF(WEEKDAY(BT$6,1)=7,0,MIN(8,BT185)*BT184))))-MIN(IF(BT184&lt;=0,0,IF(WEEKDAY(BT$6,1)=1,0,IF(WEEKDAY(BT$6,1)=7,0,MIN(8,BT185)*BT184))),MAX(0,40*MAX(1,BT184)-(BR186+BS186)))))</f>
        <v>13</v>
      </c>
      <c r="BU187" s="64">
        <f>IF(AND(BU184=1,BU185=13),0,IF(BU184&lt;=0,0,IF(WEEKDAY(BU$6,1)=1,0,IF(WEEKDAY(BU$6,1)=7,BU184*BU185,MAX(0,BU185-8)*BU184)))+((IF(BU184&lt;=0,0,IF(WEEKDAY(BU$6,1)=1,0,IF(WEEKDAY(BU$6,1)=7,0,MIN(8,BU185)*BU184))))-MIN(IF(BU184&lt;=0,0,IF(WEEKDAY(BU$6,1)=1,0,IF(WEEKDAY(BU$6,1)=7,0,MIN(8,BU185)*BU184))),MAX(0,40*MAX(1,BU184)-(BR186+BS186+BT186)))))</f>
        <v>0</v>
      </c>
      <c r="BV187" s="63">
        <f>IF(AND(BV184=1,BV185=13),5,IF(BV184&lt;=0,0,IF(WEEKDAY(BV$6,1)=1,0,IF(WEEKDAY(BV$6,1)=7,BV184*BV185,MAX(0,BV185-8)*BV184)))+((IF(BV184&lt;=0,0,IF(WEEKDAY(BV$6,1)=1,0,IF(WEEKDAY(BV$6,1)=7,0,MIN(8,BV185)*BV184))))-MIN(IF(BV184&lt;=0,0,IF(WEEKDAY(BV$6,1)=1,0,IF(WEEKDAY(BV$6,1)=7,0,MIN(8,BV185)*BV184))),MAX(0,40*MAX(1,BV184)-(0)))))</f>
        <v>5</v>
      </c>
      <c r="BW187" s="63">
        <f>IF(AND(BW184=1,BW185=13),5,IF(BW184&lt;=0,0,IF(WEEKDAY(BW$6,1)=1,0,IF(WEEKDAY(BW$6,1)=7,BW184*BW185,MAX(0,BW185-8)*BW184)))+((IF(BW184&lt;=0,0,IF(WEEKDAY(BW$6,1)=1,0,IF(WEEKDAY(BW$6,1)=7,0,MIN(8,BW185)*BW184))))-MIN(IF(BW184&lt;=0,0,IF(WEEKDAY(BW$6,1)=1,0,IF(WEEKDAY(BW$6,1)=7,0,MIN(8,BW185)*BW184))),MAX(0,40*MAX(1,BW184)-(BV186)))))</f>
        <v>5</v>
      </c>
      <c r="BX187" s="63">
        <f>IF(AND(BX184=1,BX185=13),5,IF(BX184&lt;=0,0,IF(WEEKDAY(BX$6,1)=1,0,IF(WEEKDAY(BX$6,1)=7,BX184*BX185,MAX(0,BX185-8)*BX184)))+((IF(BX184&lt;=0,0,IF(WEEKDAY(BX$6,1)=1,0,IF(WEEKDAY(BX$6,1)=7,0,MIN(8,BX185)*BX184))))-MIN(IF(BX184&lt;=0,0,IF(WEEKDAY(BX$6,1)=1,0,IF(WEEKDAY(BX$6,1)=7,0,MIN(8,BX185)*BX184))),MAX(0,40*MAX(1,BX184)-(BV186+BW186)))))</f>
        <v>5</v>
      </c>
      <c r="BY187" s="63">
        <f>IF(AND(BY184=1,BY185=13),5,IF(BY184&lt;=0,0,IF(WEEKDAY(BY$6,1)=1,0,IF(WEEKDAY(BY$6,1)=7,BY184*BY185,MAX(0,BY185-8)*BY184)))+((IF(BY184&lt;=0,0,IF(WEEKDAY(BY$6,1)=1,0,IF(WEEKDAY(BY$6,1)=7,0,MIN(8,BY185)*BY184))))-MIN(IF(BY184&lt;=0,0,IF(WEEKDAY(BY$6,1)=1,0,IF(WEEKDAY(BY$6,1)=7,0,MIN(8,BY185)*BY184))),MAX(0,40*MAX(1,BY184)-(BV186+BW186+BX186)))))</f>
        <v>5</v>
      </c>
      <c r="BZ187" s="63">
        <f>IF(AND(BZ184=1,BZ185=13),5,IF(BZ184&lt;=0,0,IF(WEEKDAY(BZ$6,1)=1,0,IF(WEEKDAY(BZ$6,1)=7,BZ184*BZ185,MAX(0,BZ185-8)*BZ184)))+((IF(BZ184&lt;=0,0,IF(WEEKDAY(BZ$6,1)=1,0,IF(WEEKDAY(BZ$6,1)=7,0,MIN(8,BZ185)*BZ184))))-MIN(IF(BZ184&lt;=0,0,IF(WEEKDAY(BZ$6,1)=1,0,IF(WEEKDAY(BZ$6,1)=7,0,MIN(8,BZ185)*BZ184))),MAX(0,40*MAX(1,BZ184)-(BV186+BW186+BX186+BY186)))))</f>
        <v>5</v>
      </c>
      <c r="CA187" s="64">
        <f>IF(AND(CA184=1,CA185=13),13,IF(CA184&lt;=0,0,IF(WEEKDAY(CA$6,1)=1,0,IF(WEEKDAY(CA$6,1)=7,CA184*CA185,MAX(0,CA185-8)*CA184)))+((IF(CA184&lt;=0,0,IF(WEEKDAY(CA$6,1)=1,0,IF(WEEKDAY(CA$6,1)=7,0,MIN(8,CA185)*CA184))))-MIN(IF(CA184&lt;=0,0,IF(WEEKDAY(CA$6,1)=1,0,IF(WEEKDAY(CA$6,1)=7,0,MIN(8,CA185)*CA184))),MAX(0,40*MAX(1,CA184)-(BV186+BW186+BX186+BY186+BZ186)))))</f>
        <v>13</v>
      </c>
      <c r="CB187" s="64">
        <f>IF(AND(CB184=1,CB185=13),0,IF(CB184&lt;=0,0,IF(WEEKDAY(CB$6,1)=1,0,IF(WEEKDAY(CB$6,1)=7,CB184*CB185,MAX(0,CB185-8)*CB184)))+((IF(CB184&lt;=0,0,IF(WEEKDAY(CB$6,1)=1,0,IF(WEEKDAY(CB$6,1)=7,0,MIN(8,CB185)*CB184))))-MIN(IF(CB184&lt;=0,0,IF(WEEKDAY(CB$6,1)=1,0,IF(WEEKDAY(CB$6,1)=7,0,MIN(8,CB185)*CB184))),MAX(0,40*MAX(1,CB184)-(BV186+BW186+BX186+BY186+BZ186+CA186)))))</f>
        <v>0</v>
      </c>
      <c r="CC187" s="63">
        <f>IF(AND(CC184=1,CC185=13),5,IF(CC184&lt;=0,0,IF(WEEKDAY(CC$6,1)=1,0,IF(WEEKDAY(CC$6,1)=7,CC184*CC185,MAX(0,CC185-8)*CC184)))+((IF(CC184&lt;=0,0,IF(WEEKDAY(CC$6,1)=1,0,IF(WEEKDAY(CC$6,1)=7,0,MIN(8,CC185)*CC184))))-MIN(IF(CC184&lt;=0,0,IF(WEEKDAY(CC$6,1)=1,0,IF(WEEKDAY(CC$6,1)=7,0,MIN(8,CC185)*CC184))),MAX(0,40*MAX(1,CC184)-(0)))))</f>
        <v>5</v>
      </c>
      <c r="CD187" s="63">
        <f>IF(AND(CD184=1,CD185=13),5,IF(CD184&lt;=0,0,IF(WEEKDAY(CD$6,1)=1,0,IF(WEEKDAY(CD$6,1)=7,CD184*CD185,MAX(0,CD185-8)*CD184)))+((IF(CD184&lt;=0,0,IF(WEEKDAY(CD$6,1)=1,0,IF(WEEKDAY(CD$6,1)=7,0,MIN(8,CD185)*CD184))))-MIN(IF(CD184&lt;=0,0,IF(WEEKDAY(CD$6,1)=1,0,IF(WEEKDAY(CD$6,1)=7,0,MIN(8,CD185)*CD184))),MAX(0,40*MAX(1,CD184)-(CC186)))))</f>
        <v>5</v>
      </c>
      <c r="CE187" s="63">
        <f>IF(AND(CE184=1,CE185=13),5,IF(CE184&lt;=0,0,IF(WEEKDAY(CE$6,1)=1,0,IF(WEEKDAY(CE$6,1)=7,CE184*CE185,MAX(0,CE185-8)*CE184)))+((IF(CE184&lt;=0,0,IF(WEEKDAY(CE$6,1)=1,0,IF(WEEKDAY(CE$6,1)=7,0,MIN(8,CE185)*CE184))))-MIN(IF(CE184&lt;=0,0,IF(WEEKDAY(CE$6,1)=1,0,IF(WEEKDAY(CE$6,1)=7,0,MIN(8,CE185)*CE184))),MAX(0,40*MAX(1,CE184)-(CC186+CD186)))))</f>
        <v>5</v>
      </c>
      <c r="CF187" s="63">
        <f>IF(AND(CF184=1,CF185=13),5,IF(CF184&lt;=0,0,IF(WEEKDAY(CF$6,1)=1,0,IF(WEEKDAY(CF$6,1)=7,CF184*CF185,MAX(0,CF185-8)*CF184)))+((IF(CF184&lt;=0,0,IF(WEEKDAY(CF$6,1)=1,0,IF(WEEKDAY(CF$6,1)=7,0,MIN(8,CF185)*CF184))))-MIN(IF(CF184&lt;=0,0,IF(WEEKDAY(CF$6,1)=1,0,IF(WEEKDAY(CF$6,1)=7,0,MIN(8,CF185)*CF184))),MAX(0,40*MAX(1,CF184)-(CC186+CD186+CE186)))))</f>
        <v>5</v>
      </c>
      <c r="CG187" s="63">
        <f>IF(AND(CG184=1,CG185=13),5,IF(CG184&lt;=0,0,IF(WEEKDAY(CG$6,1)=1,0,IF(WEEKDAY(CG$6,1)=7,CG184*CG185,MAX(0,CG185-8)*CG184)))+((IF(CG184&lt;=0,0,IF(WEEKDAY(CG$6,1)=1,0,IF(WEEKDAY(CG$6,1)=7,0,MIN(8,CG185)*CG184))))-MIN(IF(CG184&lt;=0,0,IF(WEEKDAY(CG$6,1)=1,0,IF(WEEKDAY(CG$6,1)=7,0,MIN(8,CG185)*CG184))),MAX(0,40*MAX(1,CG184)-(CC186+CD186+CE186+CF186)))))</f>
        <v>5</v>
      </c>
      <c r="CH187" s="64">
        <f>IF(AND(CH184=1,CH185=13),13,IF(CH184&lt;=0,0,IF(WEEKDAY(CH$6,1)=1,0,IF(WEEKDAY(CH$6,1)=7,CH184*CH185,MAX(0,CH185-8)*CH184)))+((IF(CH184&lt;=0,0,IF(WEEKDAY(CH$6,1)=1,0,IF(WEEKDAY(CH$6,1)=7,0,MIN(8,CH185)*CH184))))-MIN(IF(CH184&lt;=0,0,IF(WEEKDAY(CH$6,1)=1,0,IF(WEEKDAY(CH$6,1)=7,0,MIN(8,CH185)*CH184))),MAX(0,40*MAX(1,CH184)-(CC186+CD186+CE186+CF186+CG186)))))</f>
        <v>13</v>
      </c>
      <c r="CI187" s="64">
        <f>IF(AND(CI184=1,CI185=13),0,IF(CI184&lt;=0,0,IF(WEEKDAY(CI$6,1)=1,0,IF(WEEKDAY(CI$6,1)=7,CI184*CI185,MAX(0,CI185-8)*CI184)))+((IF(CI184&lt;=0,0,IF(WEEKDAY(CI$6,1)=1,0,IF(WEEKDAY(CI$6,1)=7,0,MIN(8,CI185)*CI184))))-MIN(IF(CI184&lt;=0,0,IF(WEEKDAY(CI$6,1)=1,0,IF(WEEKDAY(CI$6,1)=7,0,MIN(8,CI185)*CI184))),MAX(0,40*MAX(1,CI184)-(CC186+CD186+CE186+CF186+CG186+CH186)))))</f>
        <v>0</v>
      </c>
      <c r="CJ187" s="63">
        <f>IF(AND(CJ184=1,CJ185=13),5,IF(CJ184&lt;=0,0,IF(WEEKDAY(CJ$6,1)=1,0,IF(WEEKDAY(CJ$6,1)=7,CJ184*CJ185,MAX(0,CJ185-8)*CJ184)))+((IF(CJ184&lt;=0,0,IF(WEEKDAY(CJ$6,1)=1,0,IF(WEEKDAY(CJ$6,1)=7,0,MIN(8,CJ185)*CJ184))))-MIN(IF(CJ184&lt;=0,0,IF(WEEKDAY(CJ$6,1)=1,0,IF(WEEKDAY(CJ$6,1)=7,0,MIN(8,CJ185)*CJ184))),MAX(0,40*MAX(1,CJ184)-(0)))))</f>
        <v>5</v>
      </c>
      <c r="CK187" s="63">
        <f>IF(AND(CK184=1,CK185=13),5,IF(CK184&lt;=0,0,IF(WEEKDAY(CK$6,1)=1,0,IF(WEEKDAY(CK$6,1)=7,CK184*CK185,MAX(0,CK185-8)*CK184)))+((IF(CK184&lt;=0,0,IF(WEEKDAY(CK$6,1)=1,0,IF(WEEKDAY(CK$6,1)=7,0,MIN(8,CK185)*CK184))))-MIN(IF(CK184&lt;=0,0,IF(WEEKDAY(CK$6,1)=1,0,IF(WEEKDAY(CK$6,1)=7,0,MIN(8,CK185)*CK184))),MAX(0,40*MAX(1,CK184)-(CJ186)))))</f>
        <v>5</v>
      </c>
      <c r="CL187" s="63">
        <f>IF(AND(CL184=1,CL185=13),5,IF(CL184&lt;=0,0,IF(WEEKDAY(CL$6,1)=1,0,IF(WEEKDAY(CL$6,1)=7,CL184*CL185,MAX(0,CL185-8)*CL184)))+((IF(CL184&lt;=0,0,IF(WEEKDAY(CL$6,1)=1,0,IF(WEEKDAY(CL$6,1)=7,0,MIN(8,CL185)*CL184))))-MIN(IF(CL184&lt;=0,0,IF(WEEKDAY(CL$6,1)=1,0,IF(WEEKDAY(CL$6,1)=7,0,MIN(8,CL185)*CL184))),MAX(0,40*MAX(1,CL184)-(CJ186+CK186)))))</f>
        <v>5</v>
      </c>
      <c r="CM187" s="63">
        <f>IF(AND(CM184=1,CM185=13),5,IF(CM184&lt;=0,0,IF(WEEKDAY(CM$6,1)=1,0,IF(WEEKDAY(CM$6,1)=7,CM184*CM185,MAX(0,CM185-8)*CM184)))+((IF(CM184&lt;=0,0,IF(WEEKDAY(CM$6,1)=1,0,IF(WEEKDAY(CM$6,1)=7,0,MIN(8,CM185)*CM184))))-MIN(IF(CM184&lt;=0,0,IF(WEEKDAY(CM$6,1)=1,0,IF(WEEKDAY(CM$6,1)=7,0,MIN(8,CM185)*CM184))),MAX(0,40*MAX(1,CM184)-(CJ186+CK186+CL186)))))</f>
        <v>5</v>
      </c>
      <c r="CN187" s="63">
        <f>IF(AND(CN184=1,CN185=13),5,IF(CN184&lt;=0,0,IF(WEEKDAY(CN$6,1)=1,0,IF(WEEKDAY(CN$6,1)=7,CN184*CN185,MAX(0,CN185-8)*CN184)))+((IF(CN184&lt;=0,0,IF(WEEKDAY(CN$6,1)=1,0,IF(WEEKDAY(CN$6,1)=7,0,MIN(8,CN185)*CN184))))-MIN(IF(CN184&lt;=0,0,IF(WEEKDAY(CN$6,1)=1,0,IF(WEEKDAY(CN$6,1)=7,0,MIN(8,CN185)*CN184))),MAX(0,40*MAX(1,CN184)-(CJ186+CK186+CL186+CM186)))))</f>
        <v>5</v>
      </c>
      <c r="CO187" s="64">
        <f>IF(AND(CO184=1,CO185=13),13,IF(CO184&lt;=0,0,IF(WEEKDAY(CO$6,1)=1,0,IF(WEEKDAY(CO$6,1)=7,CO184*CO185,MAX(0,CO185-8)*CO184)))+((IF(CO184&lt;=0,0,IF(WEEKDAY(CO$6,1)=1,0,IF(WEEKDAY(CO$6,1)=7,0,MIN(8,CO185)*CO184))))-MIN(IF(CO184&lt;=0,0,IF(WEEKDAY(CO$6,1)=1,0,IF(WEEKDAY(CO$6,1)=7,0,MIN(8,CO185)*CO184))),MAX(0,40*MAX(1,CO184)-(CJ186+CK186+CL186+CM186+CN186)))))</f>
        <v>13</v>
      </c>
      <c r="CP187" s="64">
        <f>IF(AND(CP184=1,CP185=13),0,IF(CP184&lt;=0,0,IF(WEEKDAY(CP$6,1)=1,0,IF(WEEKDAY(CP$6,1)=7,CP184*CP185,MAX(0,CP185-8)*CP184)))+((IF(CP184&lt;=0,0,IF(WEEKDAY(CP$6,1)=1,0,IF(WEEKDAY(CP$6,1)=7,0,MIN(8,CP185)*CP184))))-MIN(IF(CP184&lt;=0,0,IF(WEEKDAY(CP$6,1)=1,0,IF(WEEKDAY(CP$6,1)=7,0,MIN(8,CP185)*CP184))),MAX(0,40*MAX(1,CP184)-(CJ186+CK186+CL186+CM186+CN186+CO186)))))</f>
        <v>0</v>
      </c>
      <c r="CQ187" s="63">
        <f>IF(AND(CQ184=1,CQ185=13),5,IF(CQ184&lt;=0,0,IF(WEEKDAY(CQ$6,1)=1,0,IF(WEEKDAY(CQ$6,1)=7,CQ184*CQ185,MAX(0,CQ185-8)*CQ184)))+((IF(CQ184&lt;=0,0,IF(WEEKDAY(CQ$6,1)=1,0,IF(WEEKDAY(CQ$6,1)=7,0,MIN(8,CQ185)*CQ184))))-MIN(IF(CQ184&lt;=0,0,IF(WEEKDAY(CQ$6,1)=1,0,IF(WEEKDAY(CQ$6,1)=7,0,MIN(8,CQ185)*CQ184))),MAX(0,40*MAX(1,CQ184)-(0)))))</f>
        <v>5</v>
      </c>
      <c r="CR187" s="63">
        <f>IF(AND(CR184=1,CR185=13),5,IF(CR184&lt;=0,0,IF(WEEKDAY(CR$6,1)=1,0,IF(WEEKDAY(CR$6,1)=7,CR184*CR185,MAX(0,CR185-8)*CR184)))+((IF(CR184&lt;=0,0,IF(WEEKDAY(CR$6,1)=1,0,IF(WEEKDAY(CR$6,1)=7,0,MIN(8,CR185)*CR184))))-MIN(IF(CR184&lt;=0,0,IF(WEEKDAY(CR$6,1)=1,0,IF(WEEKDAY(CR$6,1)=7,0,MIN(8,CR185)*CR184))),MAX(0,40*MAX(1,CR184)-(CQ186)))))</f>
        <v>5</v>
      </c>
      <c r="CS187" s="63">
        <f>IF(AND(CS184=1,CS185=13),5,IF(CS184&lt;=0,0,IF(WEEKDAY(CS$6,1)=1,0,IF(WEEKDAY(CS$6,1)=7,CS184*CS185,MAX(0,CS185-8)*CS184)))+((IF(CS184&lt;=0,0,IF(WEEKDAY(CS$6,1)=1,0,IF(WEEKDAY(CS$6,1)=7,0,MIN(8,CS185)*CS184))))-MIN(IF(CS184&lt;=0,0,IF(WEEKDAY(CS$6,1)=1,0,IF(WEEKDAY(CS$6,1)=7,0,MIN(8,CS185)*CS184))),MAX(0,40*MAX(1,CS184)-(CQ186+CR186)))))</f>
        <v>5</v>
      </c>
      <c r="CT187" s="63">
        <f>IF(AND(CT184=1,CT185=13),5,IF(CT184&lt;=0,0,IF(WEEKDAY(CT$6,1)=1,0,IF(WEEKDAY(CT$6,1)=7,CT184*CT185,MAX(0,CT185-8)*CT184)))+((IF(CT184&lt;=0,0,IF(WEEKDAY(CT$6,1)=1,0,IF(WEEKDAY(CT$6,1)=7,0,MIN(8,CT185)*CT184))))-MIN(IF(CT184&lt;=0,0,IF(WEEKDAY(CT$6,1)=1,0,IF(WEEKDAY(CT$6,1)=7,0,MIN(8,CT185)*CT184))),MAX(0,40*MAX(1,CT184)-(CQ186+CR186+CS186)))))</f>
        <v>5</v>
      </c>
      <c r="CU187" s="63">
        <f>IF(AND(CU184=1,CU185=13),5,IF(CU184&lt;=0,0,IF(WEEKDAY(CU$6,1)=1,0,IF(WEEKDAY(CU$6,1)=7,CU184*CU185,MAX(0,CU185-8)*CU184)))+((IF(CU184&lt;=0,0,IF(WEEKDAY(CU$6,1)=1,0,IF(WEEKDAY(CU$6,1)=7,0,MIN(8,CU185)*CU184))))-MIN(IF(CU184&lt;=0,0,IF(WEEKDAY(CU$6,1)=1,0,IF(WEEKDAY(CU$6,1)=7,0,MIN(8,CU185)*CU184))),MAX(0,40*MAX(1,CU184)-(CQ186+CR186+CS186+CT186)))))</f>
        <v>5</v>
      </c>
      <c r="CV187" s="64">
        <f>IF(AND(CV184=1,CV185=13),13,IF(CV184&lt;=0,0,IF(WEEKDAY(CV$6,1)=1,0,IF(WEEKDAY(CV$6,1)=7,CV184*CV185,MAX(0,CV185-8)*CV184)))+((IF(CV184&lt;=0,0,IF(WEEKDAY(CV$6,1)=1,0,IF(WEEKDAY(CV$6,1)=7,0,MIN(8,CV185)*CV184))))-MIN(IF(CV184&lt;=0,0,IF(WEEKDAY(CV$6,1)=1,0,IF(WEEKDAY(CV$6,1)=7,0,MIN(8,CV185)*CV184))),MAX(0,40*MAX(1,CV184)-(CQ186+CR186+CS186+CT186+CU186)))))</f>
        <v>13</v>
      </c>
      <c r="CW187" s="64">
        <f>IF(AND(CW184=1,CW185=13),0,IF(CW184&lt;=0,0,IF(WEEKDAY(CW$6,1)=1,0,IF(WEEKDAY(CW$6,1)=7,CW184*CW185,MAX(0,CW185-8)*CW184)))+((IF(CW184&lt;=0,0,IF(WEEKDAY(CW$6,1)=1,0,IF(WEEKDAY(CW$6,1)=7,0,MIN(8,CW185)*CW184))))-MIN(IF(CW184&lt;=0,0,IF(WEEKDAY(CW$6,1)=1,0,IF(WEEKDAY(CW$6,1)=7,0,MIN(8,CW185)*CW184))),MAX(0,40*MAX(1,CW184)-(CQ186+CR186+CS186+CT186+CU186+CV186)))))</f>
        <v>0</v>
      </c>
      <c r="CX187" s="63">
        <f>IF(AND(CX184=1,CX185=13),5,IF(CX184&lt;=0,0,IF(WEEKDAY(CX$6,1)=1,0,IF(WEEKDAY(CX$6,1)=7,CX184*CX185,MAX(0,CX185-8)*CX184)))+((IF(CX184&lt;=0,0,IF(WEEKDAY(CX$6,1)=1,0,IF(WEEKDAY(CX$6,1)=7,0,MIN(8,CX185)*CX184))))-MIN(IF(CX184&lt;=0,0,IF(WEEKDAY(CX$6,1)=1,0,IF(WEEKDAY(CX$6,1)=7,0,MIN(8,CX185)*CX184))),MAX(0,40*MAX(1,CX184)-(0)))))</f>
        <v>5</v>
      </c>
      <c r="CY187" s="63">
        <f>IF(AND(CY184=1,CY185=13),5,IF(CY184&lt;=0,0,IF(WEEKDAY(CY$6,1)=1,0,IF(WEEKDAY(CY$6,1)=7,CY184*CY185,MAX(0,CY185-8)*CY184)))+((IF(CY184&lt;=0,0,IF(WEEKDAY(CY$6,1)=1,0,IF(WEEKDAY(CY$6,1)=7,0,MIN(8,CY185)*CY184))))-MIN(IF(CY184&lt;=0,0,IF(WEEKDAY(CY$6,1)=1,0,IF(WEEKDAY(CY$6,1)=7,0,MIN(8,CY185)*CY184))),MAX(0,40*MAX(1,CY184)-(CX186)))))</f>
        <v>5</v>
      </c>
      <c r="CZ187" s="63">
        <f>IF(AND(CZ184=1,CZ185=13),5,IF(CZ184&lt;=0,0,IF(WEEKDAY(CZ$6,1)=1,0,IF(WEEKDAY(CZ$6,1)=7,CZ184*CZ185,MAX(0,CZ185-8)*CZ184)))+((IF(CZ184&lt;=0,0,IF(WEEKDAY(CZ$6,1)=1,0,IF(WEEKDAY(CZ$6,1)=7,0,MIN(8,CZ185)*CZ184))))-MIN(IF(CZ184&lt;=0,0,IF(WEEKDAY(CZ$6,1)=1,0,IF(WEEKDAY(CZ$6,1)=7,0,MIN(8,CZ185)*CZ184))),MAX(0,40*MAX(1,CZ184)-(CX186+CY186)))))</f>
        <v>5</v>
      </c>
      <c r="DA187" s="63">
        <f>IF(AND(DA184=1,DA185=13),5,IF(DA184&lt;=0,0,IF(WEEKDAY(DA$6,1)=1,0,IF(WEEKDAY(DA$6,1)=7,DA184*DA185,MAX(0,DA185-8)*DA184)))+((IF(DA184&lt;=0,0,IF(WEEKDAY(DA$6,1)=1,0,IF(WEEKDAY(DA$6,1)=7,0,MIN(8,DA185)*DA184))))-MIN(IF(DA184&lt;=0,0,IF(WEEKDAY(DA$6,1)=1,0,IF(WEEKDAY(DA$6,1)=7,0,MIN(8,DA185)*DA184))),MAX(0,40*MAX(1,DA184)-(CX186+CY186+CZ186)))))</f>
        <v>5</v>
      </c>
      <c r="DB187" s="63">
        <f>IF(AND(DB184=1,DB185=13),5,IF(DB184&lt;=0,0,IF(WEEKDAY(DB$6,1)=1,0,IF(WEEKDAY(DB$6,1)=7,DB184*DB185,MAX(0,DB185-8)*DB184)))+((IF(DB184&lt;=0,0,IF(WEEKDAY(DB$6,1)=1,0,IF(WEEKDAY(DB$6,1)=7,0,MIN(8,DB185)*DB184))))-MIN(IF(DB184&lt;=0,0,IF(WEEKDAY(DB$6,1)=1,0,IF(WEEKDAY(DB$6,1)=7,0,MIN(8,DB185)*DB184))),MAX(0,40*MAX(1,DB184)-(CX186+CY186+CZ186+DA186)))))</f>
        <v>5</v>
      </c>
      <c r="DC187" s="64">
        <f>IF(AND(DC184=1,DC185=13),13,IF(DC184&lt;=0,0,IF(WEEKDAY(DC$6,1)=1,0,IF(WEEKDAY(DC$6,1)=7,DC184*DC185,MAX(0,DC185-8)*DC184)))+((IF(DC184&lt;=0,0,IF(WEEKDAY(DC$6,1)=1,0,IF(WEEKDAY(DC$6,1)=7,0,MIN(8,DC185)*DC184))))-MIN(IF(DC184&lt;=0,0,IF(WEEKDAY(DC$6,1)=1,0,IF(WEEKDAY(DC$6,1)=7,0,MIN(8,DC185)*DC184))),MAX(0,40*MAX(1,DC184)-(CX186+CY186+CZ186+DA186+DB186)))))</f>
        <v>13</v>
      </c>
      <c r="DD187" s="64">
        <f>IF(AND(DD184=1,DD185=13),0,IF(DD184&lt;=0,0,IF(WEEKDAY(DD$6,1)=1,0,IF(WEEKDAY(DD$6,1)=7,DD184*DD185,MAX(0,DD185-8)*DD184)))+((IF(DD184&lt;=0,0,IF(WEEKDAY(DD$6,1)=1,0,IF(WEEKDAY(DD$6,1)=7,0,MIN(8,DD185)*DD184))))-MIN(IF(DD184&lt;=0,0,IF(WEEKDAY(DD$6,1)=1,0,IF(WEEKDAY(DD$6,1)=7,0,MIN(8,DD185)*DD184))),MAX(0,40*MAX(1,DD184)-(0)))))</f>
        <v>0</v>
      </c>
      <c r="DE187" s="63">
        <f>IF(AND(DE184=1,DE185=13),5,IF(DE184&lt;=0,0,IF(WEEKDAY(DE$6,1)=1,0,IF(WEEKDAY(DE$6,1)=7,DE184*DE185,MAX(0,DE185-8)*DE184)))+((IF(DE184&lt;=0,0,IF(WEEKDAY(DE$6,1)=1,0,IF(WEEKDAY(DE$6,1)=7,0,MIN(8,DE185)*DE184))))-MIN(IF(DE184&lt;=0,0,IF(WEEKDAY(DE$6,1)=1,0,IF(WEEKDAY(DE$6,1)=7,0,MIN(8,DE185)*DE184))),MAX(0,40*MAX(1,DE184)-(0)))))</f>
        <v>5</v>
      </c>
      <c r="DF187" s="63">
        <f>IF(AND(DF184=1,DF185=13),5,IF(DF184&lt;=0,0,IF(WEEKDAY(DF$6,1)=1,0,IF(WEEKDAY(DF$6,1)=7,DF184*DF185,MAX(0,DF185-8)*DF184)))+((IF(DF184&lt;=0,0,IF(WEEKDAY(DF$6,1)=1,0,IF(WEEKDAY(DF$6,1)=7,0,MIN(8,DF185)*DF184))))-MIN(IF(DF184&lt;=0,0,IF(WEEKDAY(DF$6,1)=1,0,IF(WEEKDAY(DF$6,1)=7,0,MIN(8,DF185)*DF184))),MAX(0,40*MAX(1,DF184)-(DE186)))))</f>
        <v>5</v>
      </c>
      <c r="DG187" s="63">
        <f>IF(AND(DG184=1,DG185=13),5,IF(DG184&lt;=0,0,IF(WEEKDAY(DG$6,1)=1,0,IF(WEEKDAY(DG$6,1)=7,DG184*DG185,MAX(0,DG185-8)*DG184)))+((IF(DG184&lt;=0,0,IF(WEEKDAY(DG$6,1)=1,0,IF(WEEKDAY(DG$6,1)=7,0,MIN(8,DG185)*DG184))))-MIN(IF(DG184&lt;=0,0,IF(WEEKDAY(DG$6,1)=1,0,IF(WEEKDAY(DG$6,1)=7,0,MIN(8,DG185)*DG184))),MAX(0,40*MAX(1,DG184)-(DE186+DF186)))))</f>
        <v>5</v>
      </c>
      <c r="DH187" s="63">
        <f>IF(AND(DH184=1,DH185=13),5,IF(DH184&lt;=0,0,IF(WEEKDAY(DH$6,1)=1,0,IF(WEEKDAY(DH$6,1)=7,DH184*DH185,MAX(0,DH185-8)*DH184)))+((IF(DH184&lt;=0,0,IF(WEEKDAY(DH$6,1)=1,0,IF(WEEKDAY(DH$6,1)=7,0,MIN(8,DH185)*DH184))))-MIN(IF(DH184&lt;=0,0,IF(WEEKDAY(DH$6,1)=1,0,IF(WEEKDAY(DH$6,1)=7,0,MIN(8,DH185)*DH184))),MAX(0,40*MAX(1,DH184)-(DE186+DF186+DG186)))))</f>
        <v>5</v>
      </c>
      <c r="DI187" s="63">
        <f>IF(AND(DI184=1,DI185=13),5,IF(DI184&lt;=0,0,IF(WEEKDAY(DI$6,1)=1,0,IF(WEEKDAY(DI$6,1)=7,DI184*DI185,MAX(0,DI185-8)*DI184)))+((IF(DI184&lt;=0,0,IF(WEEKDAY(DI$6,1)=1,0,IF(WEEKDAY(DI$6,1)=7,0,MIN(8,DI185)*DI184))))-MIN(IF(DI184&lt;=0,0,IF(WEEKDAY(DI$6,1)=1,0,IF(WEEKDAY(DI$6,1)=7,0,MIN(8,DI185)*DI184))),MAX(0,40*MAX(1,DI184)-(DE186+DF186+DG186+DH186)))))</f>
        <v>5</v>
      </c>
      <c r="DJ187" s="64">
        <f>IF(AND(DJ184=1,DJ185=13),13,IF(DJ184&lt;=0,0,IF(WEEKDAY(DJ$6,1)=1,0,IF(WEEKDAY(DJ$6,1)=7,DJ184*DJ185,MAX(0,DJ185-8)*DJ184)))+((IF(DJ184&lt;=0,0,IF(WEEKDAY(DJ$6,1)=1,0,IF(WEEKDAY(DJ$6,1)=7,0,MIN(8,DJ185)*DJ184))))-MIN(IF(DJ184&lt;=0,0,IF(WEEKDAY(DJ$6,1)=1,0,IF(WEEKDAY(DJ$6,1)=7,0,MIN(8,DJ185)*DJ184))),MAX(0,40*MAX(1,DJ184)-(DE186+DF186+DG186+DH186+DI186)))))</f>
        <v>13</v>
      </c>
      <c r="DK187" s="64">
        <f>IF(AND(DK184=1,DK185=13),0,IF(DK184&lt;=0,0,IF(WEEKDAY(DK$6,1)=1,0,IF(WEEKDAY(DK$6,1)=7,DK184*DK185,MAX(0,DK185-8)*DK184)))+((IF(DK184&lt;=0,0,IF(WEEKDAY(DK$6,1)=1,0,IF(WEEKDAY(DK$6,1)=7,0,MIN(8,DK185)*DK184))))-MIN(IF(DK184&lt;=0,0,IF(WEEKDAY(DK$6,1)=1,0,IF(WEEKDAY(DK$6,1)=7,0,MIN(8,DK185)*DK184))),MAX(0,40*MAX(1,DK184)-(DE186+DF186+DG186+DH186+DI186+DJ186)))))</f>
        <v>0</v>
      </c>
      <c r="DL187" s="63">
        <f>IF(AND(DL184=1,DL185=13),5,IF(DL184&lt;=0,0,IF(WEEKDAY(DL$6,1)=1,0,IF(WEEKDAY(DL$6,1)=7,DL184*DL185,MAX(0,DL185-8)*DL184)))+((IF(DL184&lt;=0,0,IF(WEEKDAY(DL$6,1)=1,0,IF(WEEKDAY(DL$6,1)=7,0,MIN(8,DL185)*DL184))))-MIN(IF(DL184&lt;=0,0,IF(WEEKDAY(DL$6,1)=1,0,IF(WEEKDAY(DL$6,1)=7,0,MIN(8,DL185)*DL184))),MAX(0,40*MAX(1,DL184)-(0)))))</f>
        <v>5</v>
      </c>
      <c r="DM187" s="63">
        <f>IF(AND(DM184=1,DM185=13),5,IF(DM184&lt;=0,0,IF(WEEKDAY(DM$6,1)=1,0,IF(WEEKDAY(DM$6,1)=7,DM184*DM185,MAX(0,DM185-8)*DM184)))+((IF(DM184&lt;=0,0,IF(WEEKDAY(DM$6,1)=1,0,IF(WEEKDAY(DM$6,1)=7,0,MIN(8,DM185)*DM184))))-MIN(IF(DM184&lt;=0,0,IF(WEEKDAY(DM$6,1)=1,0,IF(WEEKDAY(DM$6,1)=7,0,MIN(8,DM185)*DM184))),MAX(0,40*MAX(1,DM184)-(DL186)))))</f>
        <v>5</v>
      </c>
      <c r="DN187" s="63">
        <f>IF(AND(DN184=1,DN185=13),5,IF(DN184&lt;=0,0,IF(WEEKDAY(DN$6,1)=1,0,IF(WEEKDAY(DN$6,1)=7,DN184*DN185,MAX(0,DN185-8)*DN184)))+((IF(DN184&lt;=0,0,IF(WEEKDAY(DN$6,1)=1,0,IF(WEEKDAY(DN$6,1)=7,0,MIN(8,DN185)*DN184))))-MIN(IF(DN184&lt;=0,0,IF(WEEKDAY(DN$6,1)=1,0,IF(WEEKDAY(DN$6,1)=7,0,MIN(8,DN185)*DN184))),MAX(0,40*MAX(1,DN184)-(DL186+DM186)))))</f>
        <v>5</v>
      </c>
      <c r="DO187" s="63">
        <f>IF(AND(DO184=1,DO185=13),5,IF(DO184&lt;=0,0,IF(WEEKDAY(DO$6,1)=1,0,IF(WEEKDAY(DO$6,1)=7,DO184*DO185,MAX(0,DO185-8)*DO184)))+((IF(DO184&lt;=0,0,IF(WEEKDAY(DO$6,1)=1,0,IF(WEEKDAY(DO$6,1)=7,0,MIN(8,DO185)*DO184))))-MIN(IF(DO184&lt;=0,0,IF(WEEKDAY(DO$6,1)=1,0,IF(WEEKDAY(DO$6,1)=7,0,MIN(8,DO185)*DO184))),MAX(0,40*MAX(1,DO184)-(DL186+DM186+DN186)))))</f>
        <v>5</v>
      </c>
      <c r="DP187" s="63">
        <f>IF(AND(DP184=1,DP185=13),5,IF(DP184&lt;=0,0,IF(WEEKDAY(DP$6,1)=1,0,IF(WEEKDAY(DP$6,1)=7,DP184*DP185,MAX(0,DP185-8)*DP184)))+((IF(DP184&lt;=0,0,IF(WEEKDAY(DP$6,1)=1,0,IF(WEEKDAY(DP$6,1)=7,0,MIN(8,DP185)*DP184))))-MIN(IF(DP184&lt;=0,0,IF(WEEKDAY(DP$6,1)=1,0,IF(WEEKDAY(DP$6,1)=7,0,MIN(8,DP185)*DP184))),MAX(0,40*MAX(1,DP184)-(DL186+DM186+DN186+DO186)))))</f>
        <v>5</v>
      </c>
      <c r="DQ187" s="64">
        <f>IF(AND(DQ184=1,DQ185=13),13,IF(DQ184&lt;=0,0,IF(WEEKDAY(DQ$6,1)=1,0,IF(WEEKDAY(DQ$6,1)=7,DQ184*DQ185,MAX(0,DQ185-8)*DQ184)))+((IF(DQ184&lt;=0,0,IF(WEEKDAY(DQ$6,1)=1,0,IF(WEEKDAY(DQ$6,1)=7,0,MIN(8,DQ185)*DQ184))))-MIN(IF(DQ184&lt;=0,0,IF(WEEKDAY(DQ$6,1)=1,0,IF(WEEKDAY(DQ$6,1)=7,0,MIN(8,DQ185)*DQ184))),MAX(0,40*MAX(1,DQ184)-(DL186+DM186+DN186+DO186+DP186)))))</f>
        <v>13</v>
      </c>
      <c r="DR187" s="64">
        <f>IF(AND(DR184=1,DR185=13),0,IF(DR184&lt;=0,0,IF(WEEKDAY(DR$6,1)=1,0,IF(WEEKDAY(DR$6,1)=7,DR184*DR185,MAX(0,DR185-8)*DR184)))+((IF(DR184&lt;=0,0,IF(WEEKDAY(DR$6,1)=1,0,IF(WEEKDAY(DR$6,1)=7,0,MIN(8,DR185)*DR184))))-MIN(IF(DR184&lt;=0,0,IF(WEEKDAY(DR$6,1)=1,0,IF(WEEKDAY(DR$6,1)=7,0,MIN(8,DR185)*DR184))),MAX(0,40*MAX(1,DR184)-(DL186+DM186+DN186+DO186+DP186+DQ186)))))</f>
        <v>0</v>
      </c>
      <c r="DS187" s="63">
        <f>IF(AND(DS184=1,DS185=13),5,IF(DS184&lt;=0,0,IF(WEEKDAY(DS$6,1)=1,0,IF(WEEKDAY(DS$6,1)=7,DS184*DS185,MAX(0,DS185-8)*DS184)))+((IF(DS184&lt;=0,0,IF(WEEKDAY(DS$6,1)=1,0,IF(WEEKDAY(DS$6,1)=7,0,MIN(8,DS185)*DS184))))-MIN(IF(DS184&lt;=0,0,IF(WEEKDAY(DS$6,1)=1,0,IF(WEEKDAY(DS$6,1)=7,0,MIN(8,DS185)*DS184))),MAX(0,40*MAX(1,DS184)-(0)))))</f>
        <v>5</v>
      </c>
      <c r="DT187" s="63">
        <f>IF(AND(DT184=1,DT185=9),1,IF(DT184&lt;=0,0,IF(WEEKDAY(DT$6,1)=1,0,IF(WEEKDAY(DT$6,1)=7,DT184*DT185,MAX(0,DT185-8)*DT184)))+((IF(DT184&lt;=0,0,IF(WEEKDAY(DT$6,1)=1,0,IF(WEEKDAY(DT$6,1)=7,0,MIN(8,DT185)*DT184))))-MIN(IF(DT184&lt;=0,0,IF(WEEKDAY(DT$6,1)=1,0,IF(WEEKDAY(DT$6,1)=7,0,MIN(8,DT185)*DT184))),MAX(0,40*MAX(1,DT184)-(0)))))</f>
        <v>1</v>
      </c>
      <c r="DU187" s="63">
        <f>IF(AND(DU184=1,DU185=9),1,IF(DU184&lt;=0,0,IF(WEEKDAY(DU$6,1)=1,0,IF(WEEKDAY(DU$6,1)=7,DU184*DU185,MAX(0,DU185-8)*DU184)))+((IF(DU184&lt;=0,0,IF(WEEKDAY(DU$6,1)=1,0,IF(WEEKDAY(DU$6,1)=7,0,MIN(8,DU185)*DU184))))-MIN(IF(DU184&lt;=0,0,IF(WEEKDAY(DU$6,1)=1,0,IF(WEEKDAY(DU$6,1)=7,0,MIN(8,DU185)*DU184))),MAX(0,40*MAX(1,DU184)-(DT186)))))</f>
        <v>1</v>
      </c>
      <c r="DV187" s="63">
        <f>IF(AND(DV184=1,DV185=9),1,IF(DV184&lt;=0,0,IF(WEEKDAY(DV$6,1)=1,0,IF(WEEKDAY(DV$6,1)=7,DV184*DV185,MAX(0,DV185-8)*DV184)))+((IF(DV184&lt;=0,0,IF(WEEKDAY(DV$6,1)=1,0,IF(WEEKDAY(DV$6,1)=7,0,MIN(8,DV185)*DV184))))-MIN(IF(DV184&lt;=0,0,IF(WEEKDAY(DV$6,1)=1,0,IF(WEEKDAY(DV$6,1)=7,0,MIN(8,DV185)*DV184))),MAX(0,40*MAX(1,DV184)-(DT186+DU186)))))</f>
        <v>1</v>
      </c>
      <c r="DW187" s="63">
        <f>IF(AND(DW184=1,DW185=9),1,IF(DW184&lt;=0,0,IF(WEEKDAY(DW$6,1)=1,0,IF(WEEKDAY(DW$6,1)=7,DW184*DW185,MAX(0,DW185-8)*DW184)))+((IF(DW184&lt;=0,0,IF(WEEKDAY(DW$6,1)=1,0,IF(WEEKDAY(DW$6,1)=7,0,MIN(8,DW185)*DW184))))-MIN(IF(DW184&lt;=0,0,IF(WEEKDAY(DW$6,1)=1,0,IF(WEEKDAY(DW$6,1)=7,0,MIN(8,DW185)*DW184))),MAX(0,40*MAX(1,DW184)-(DT186+DU186+DV186)))))</f>
        <v>1</v>
      </c>
      <c r="DX187" s="64">
        <f>IF(AND(DX184=0,DX185=0),0,IF(DX184&lt;=0,0,IF(WEEKDAY(DX$6,1)=1,0,IF(WEEKDAY(DX$6,1)=7,DX184*DX185,MAX(0,DX185-8)*DX184)))+((IF(DX184&lt;=0,0,IF(WEEKDAY(DX$6,1)=1,0,IF(WEEKDAY(DX$6,1)=7,0,MIN(8,DX185)*DX184))))-MIN(IF(DX184&lt;=0,0,IF(WEEKDAY(DX$6,1)=1,0,IF(WEEKDAY(DX$6,1)=7,0,MIN(8,DX185)*DX184))),MAX(0,40*MAX(1,DX184)-(0)))))</f>
        <v>0</v>
      </c>
      <c r="DY187" s="64">
        <f>IF(AND(DY184=0,DY185=0),0,IF(DY184&lt;=0,0,IF(WEEKDAY(DY$6,1)=1,0,IF(WEEKDAY(DY$6,1)=7,DY184*DY185,MAX(0,DY185-8)*DY184)))+((IF(DY184&lt;=0,0,IF(WEEKDAY(DY$6,1)=1,0,IF(WEEKDAY(DY$6,1)=7,0,MIN(8,DY185)*DY184))))-MIN(IF(DY184&lt;=0,0,IF(WEEKDAY(DY$6,1)=1,0,IF(WEEKDAY(DY$6,1)=7,0,MIN(8,DY185)*DY184))),MAX(0,40*MAX(1,DY184)-(DX186)))))</f>
        <v>0</v>
      </c>
      <c r="DZ187" s="63">
        <f>IF(AND(DZ184=1,DZ185=9),1,IF(DZ184&lt;=0,0,IF(WEEKDAY(DZ$6,1)=1,0,IF(WEEKDAY(DZ$6,1)=7,DZ184*DZ185,MAX(0,DZ185-8)*DZ184)))+((IF(DZ184&lt;=0,0,IF(WEEKDAY(DZ$6,1)=1,0,IF(WEEKDAY(DZ$6,1)=7,0,MIN(8,DZ185)*DZ184))))-MIN(IF(DZ184&lt;=0,0,IF(WEEKDAY(DZ$6,1)=1,0,IF(WEEKDAY(DZ$6,1)=7,0,MIN(8,DZ185)*DZ184))),MAX(0,40*MAX(1,DZ184)-(0)))))</f>
        <v>1</v>
      </c>
      <c r="EA187" s="63">
        <f>IF(AND(EA184=1,EA185=9),1,IF(EA184&lt;=0,0,IF(WEEKDAY(EA$6,1)=1,0,IF(WEEKDAY(EA$6,1)=7,EA184*EA185,MAX(0,EA185-8)*EA184)))+((IF(EA184&lt;=0,0,IF(WEEKDAY(EA$6,1)=1,0,IF(WEEKDAY(EA$6,1)=7,0,MIN(8,EA185)*EA184))))-MIN(IF(EA184&lt;=0,0,IF(WEEKDAY(EA$6,1)=1,0,IF(WEEKDAY(EA$6,1)=7,0,MIN(8,EA185)*EA184))),MAX(0,40*MAX(1,EA184)-(DZ186)))))</f>
        <v>1</v>
      </c>
      <c r="EB187" s="63">
        <f>IF(AND(EB184=1,EB185=9),1,IF(EB184&lt;=0,0,IF(WEEKDAY(EB$6,1)=1,0,IF(WEEKDAY(EB$6,1)=7,EB184*EB185,MAX(0,EB185-8)*EB184)))+((IF(EB184&lt;=0,0,IF(WEEKDAY(EB$6,1)=1,0,IF(WEEKDAY(EB$6,1)=7,0,MIN(8,EB185)*EB184))))-MIN(IF(EB184&lt;=0,0,IF(WEEKDAY(EB$6,1)=1,0,IF(WEEKDAY(EB$6,1)=7,0,MIN(8,EB185)*EB184))),MAX(0,40*MAX(1,EB184)-(DZ186+EA186)))))</f>
        <v>1</v>
      </c>
      <c r="EC187" s="63">
        <f>IF(AND(EC184=1,EC185=9),1,IF(EC184&lt;=0,0,IF(WEEKDAY(EC$6,1)=1,0,IF(WEEKDAY(EC$6,1)=7,EC184*EC185,MAX(0,EC185-8)*EC184)))+((IF(EC184&lt;=0,0,IF(WEEKDAY(EC$6,1)=1,0,IF(WEEKDAY(EC$6,1)=7,0,MIN(8,EC185)*EC184))))-MIN(IF(EC184&lt;=0,0,IF(WEEKDAY(EC$6,1)=1,0,IF(WEEKDAY(EC$6,1)=7,0,MIN(8,EC185)*EC184))),MAX(0,40*MAX(1,EC184)-(DZ186+EA186+EB186)))))</f>
        <v>1</v>
      </c>
      <c r="ED187" s="63">
        <f>IF(AND(ED184=1,ED185=9),1,IF(ED184&lt;=0,0,IF(WEEKDAY(ED$6,1)=1,0,IF(WEEKDAY(ED$6,1)=7,ED184*ED185,MAX(0,ED185-8)*ED184)))+((IF(ED184&lt;=0,0,IF(WEEKDAY(ED$6,1)=1,0,IF(WEEKDAY(ED$6,1)=7,0,MIN(8,ED185)*ED184))))-MIN(IF(ED184&lt;=0,0,IF(WEEKDAY(ED$6,1)=1,0,IF(WEEKDAY(ED$6,1)=7,0,MIN(8,ED185)*ED184))),MAX(0,40*MAX(1,ED184)-(DZ186+EA186+EB186+EC186)))))</f>
        <v>1</v>
      </c>
      <c r="EE187" s="64">
        <f>IF(AND(EE184=0,EE185=0),0,IF(EE184&lt;=0,0,IF(WEEKDAY(EE$6,1)=1,0,IF(WEEKDAY(EE$6,1)=7,EE184*EE185,MAX(0,EE185-8)*EE184)))+((IF(EE184&lt;=0,0,IF(WEEKDAY(EE$6,1)=1,0,IF(WEEKDAY(EE$6,1)=7,0,MIN(8,EE185)*EE184))))-MIN(IF(EE184&lt;=0,0,IF(WEEKDAY(EE$6,1)=1,0,IF(WEEKDAY(EE$6,1)=7,0,MIN(8,EE185)*EE184))),MAX(0,40*MAX(1,EE184)-(0)))))</f>
        <v>0</v>
      </c>
      <c r="EF187" s="64">
        <f>IF(AND(EF184=0,EF185=0),0,IF(EF184&lt;=0,0,IF(WEEKDAY(EF$6,1)=1,0,IF(WEEKDAY(EF$6,1)=7,EF184*EF185,MAX(0,EF185-8)*EF184)))+((IF(EF184&lt;=0,0,IF(WEEKDAY(EF$6,1)=1,0,IF(WEEKDAY(EF$6,1)=7,0,MIN(8,EF185)*EF184))))-MIN(IF(EF184&lt;=0,0,IF(WEEKDAY(EF$6,1)=1,0,IF(WEEKDAY(EF$6,1)=7,0,MIN(8,EF185)*EF184))),MAX(0,40*MAX(1,EF184)-(EE186)))))</f>
        <v>0</v>
      </c>
      <c r="EG187" s="63">
        <f>IF(AND(EG184=1,EG185=9),1,IF(EG184&lt;=0,0,IF(WEEKDAY(EG$6,1)=1,0,IF(WEEKDAY(EG$6,1)=7,EG184*EG185,MAX(0,EG185-8)*EG184)))+((IF(EG184&lt;=0,0,IF(WEEKDAY(EG$6,1)=1,0,IF(WEEKDAY(EG$6,1)=7,0,MIN(8,EG185)*EG184))))-MIN(IF(EG184&lt;=0,0,IF(WEEKDAY(EG$6,1)=1,0,IF(WEEKDAY(EG$6,1)=7,0,MIN(8,EG185)*EG184))),MAX(0,40*MAX(1,EG184)-(0)))))</f>
        <v>1</v>
      </c>
      <c r="EH187" s="63">
        <f>IF(AND(EH184=1,EH185=9),1,IF(EH184&lt;=0,0,IF(WEEKDAY(EH$6,1)=1,0,IF(WEEKDAY(EH$6,1)=7,EH184*EH185,MAX(0,EH185-8)*EH184)))+((IF(EH184&lt;=0,0,IF(WEEKDAY(EH$6,1)=1,0,IF(WEEKDAY(EH$6,1)=7,0,MIN(8,EH185)*EH184))))-MIN(IF(EH184&lt;=0,0,IF(WEEKDAY(EH$6,1)=1,0,IF(WEEKDAY(EH$6,1)=7,0,MIN(8,EH185)*EH184))),MAX(0,40*MAX(1,EH184)-(EG186)))))</f>
        <v>1</v>
      </c>
      <c r="EI187" s="63">
        <f>IF(AND(EI184=1,EI185=9),1,IF(EI184&lt;=0,0,IF(WEEKDAY(EI$6,1)=1,0,IF(WEEKDAY(EI$6,1)=7,EI184*EI185,MAX(0,EI185-8)*EI184)))+((IF(EI184&lt;=0,0,IF(WEEKDAY(EI$6,1)=1,0,IF(WEEKDAY(EI$6,1)=7,0,MIN(8,EI185)*EI184))))-MIN(IF(EI184&lt;=0,0,IF(WEEKDAY(EI$6,1)=1,0,IF(WEEKDAY(EI$6,1)=7,0,MIN(8,EI185)*EI184))),MAX(0,40*MAX(1,EI184)-(EG186+EH186)))))</f>
        <v>1</v>
      </c>
      <c r="EJ187" s="63">
        <f>IF(AND(EJ184=1,EJ185=9),1,IF(EJ184&lt;=0,0,IF(WEEKDAY(EJ$6,1)=1,0,IF(WEEKDAY(EJ$6,1)=7,EJ184*EJ185,MAX(0,EJ185-8)*EJ184)))+((IF(EJ184&lt;=0,0,IF(WEEKDAY(EJ$6,1)=1,0,IF(WEEKDAY(EJ$6,1)=7,0,MIN(8,EJ185)*EJ184))))-MIN(IF(EJ184&lt;=0,0,IF(WEEKDAY(EJ$6,1)=1,0,IF(WEEKDAY(EJ$6,1)=7,0,MIN(8,EJ185)*EJ184))),MAX(0,40*MAX(1,EJ184)-(EG186+EH186+EI186)))))</f>
        <v>1</v>
      </c>
      <c r="EK187" s="65">
        <f>IF(AND(EK184=1,EK185=9),1,IF(EK184&lt;=0,0,IF(WEEKDAY(EK$6,1)=1,0,IF(WEEKDAY(EK$6,1)=7,EK184*EK185,MAX(0,EK185-8)*EK184)))+((IF(EK184&lt;=0,0,IF(WEEKDAY(EK$6,1)=1,0,IF(WEEKDAY(EK$6,1)=7,0,MIN(8,EK185)*EK184))))-MIN(IF(EK184&lt;=0,0,IF(WEEKDAY(EK$6,1)=1,0,IF(WEEKDAY(EK$6,1)=7,0,MIN(8,EK185)*EK184))),MAX(0,40*MAX(1,EK184)-(EG186+EH186+EI186+EJ186)))))</f>
        <v>1</v>
      </c>
      <c r="OU187" s="28" t="s">
        <v>102</v>
      </c>
    </row>
    <row r="188" ht="16" customHeight="1" spans="1:411" x14ac:dyDescent="0.25">
      <c r="A188" s="45"/>
      <c r="B188" s="46"/>
      <c r="C188" s="61">
        <f>H183*N(D188)</f>
        <v>26182</v>
      </c>
      <c r="D188" s="61">
        <f>IF(TRIM(B183)="","No rate",IFERROR(INDEX('Rate Tables'!E$7:E$158,MATCH(B183,'Rate Tables'!A$7:A$158,0)),"No rate"))</f>
        <v>201.4</v>
      </c>
      <c r="E188" s="55" t="s">
        <v>64</v>
      </c>
      <c r="F188" s="49"/>
      <c r="G188" s="49"/>
      <c r="H188" s="49"/>
      <c r="I188" s="49"/>
      <c r="J188" s="50"/>
      <c r="K188" s="62">
        <f>IF(AND(K184=1,K185=9),0,IF(K184&lt;=0,0,IF(WEEKDAY(K$6,1)=1,K184*K185,0)))</f>
        <v>0</v>
      </c>
      <c r="L188" s="63">
        <f>IF(AND(L184=1,L185=9),0,IF(L184&lt;=0,0,IF(WEEKDAY(L$6,1)=1,L184*L185,0)))</f>
        <v>0</v>
      </c>
      <c r="M188" s="63">
        <f>IF(AND(M184=1,M185=9),0,IF(M184&lt;=0,0,IF(WEEKDAY(M$6,1)=1,M184*M185,0)))</f>
        <v>0</v>
      </c>
      <c r="N188" s="63">
        <f>IF(AND(N184=1,N185=9),0,IF(N184&lt;=0,0,IF(WEEKDAY(N$6,1)=1,N184*N185,0)))</f>
        <v>0</v>
      </c>
      <c r="O188" s="63">
        <f>IF(AND(O184=1,O185=9),0,IF(O184&lt;=0,0,IF(WEEKDAY(O$6,1)=1,O184*O185,0)))</f>
        <v>0</v>
      </c>
      <c r="P188" s="64">
        <f>IF(AND(P184=0,P185=0),0,IF(P184&lt;=0,0,IF(WEEKDAY(P$6,1)=1,P184*P185,0)))</f>
        <v>0</v>
      </c>
      <c r="Q188" s="64">
        <f>IF(AND(Q184=0,Q185=0),0,IF(Q184&lt;=0,0,IF(WEEKDAY(Q$6,1)=1,Q184*Q185,0)))</f>
        <v>0</v>
      </c>
      <c r="R188" s="63">
        <f>IF(AND(R184=1,R185=9),0,IF(R184&lt;=0,0,IF(WEEKDAY(R$6,1)=1,R184*R185,0)))</f>
        <v>0</v>
      </c>
      <c r="S188" s="63">
        <f>IF(AND(S184=1,S185=9),0,IF(S184&lt;=0,0,IF(WEEKDAY(S$6,1)=1,S184*S185,0)))</f>
        <v>0</v>
      </c>
      <c r="T188" s="63">
        <f>IF(AND(T184=1,T185=9),0,IF(T184&lt;=0,0,IF(WEEKDAY(T$6,1)=1,T184*T185,0)))</f>
        <v>0</v>
      </c>
      <c r="U188" s="63">
        <f>IF(AND(U184=1,U185=9),0,IF(U184&lt;=0,0,IF(WEEKDAY(U$6,1)=1,U184*U185,0)))</f>
        <v>0</v>
      </c>
      <c r="V188" s="63">
        <f>IF(AND(V184=1,V185=9),0,IF(V184&lt;=0,0,IF(WEEKDAY(V$6,1)=1,V184*V185,0)))</f>
        <v>0</v>
      </c>
      <c r="W188" s="64">
        <f>IF(AND(W184=0,W185=0),0,IF(W184&lt;=0,0,IF(WEEKDAY(W$6,1)=1,W184*W185,0)))</f>
        <v>0</v>
      </c>
      <c r="X188" s="64">
        <f>IF(AND(X184=0,X185=0),0,IF(X184&lt;=0,0,IF(WEEKDAY(X$6,1)=1,X184*X185,0)))</f>
        <v>0</v>
      </c>
      <c r="Y188" s="63">
        <f>IF(AND(Y184=1,Y185=9),0,IF(Y184&lt;=0,0,IF(WEEKDAY(Y$6,1)=1,Y184*Y185,0)))</f>
        <v>0</v>
      </c>
      <c r="Z188" s="63">
        <f>IF(AND(Z184=1,Z185=9),0,IF(Z184&lt;=0,0,IF(WEEKDAY(Z$6,1)=1,Z184*Z185,0)))</f>
        <v>0</v>
      </c>
      <c r="AA188" s="63">
        <f>IF(AND(AA184=1,AA185=9),0,IF(AA184&lt;=0,0,IF(WEEKDAY(AA$6,1)=1,AA184*AA185,0)))</f>
        <v>0</v>
      </c>
      <c r="AB188" s="63">
        <f>IF(AND(AB184=2,AB185=9),0,IF(AB184&lt;=0,0,IF(WEEKDAY(AB$6,1)=1,AB184*AB185,0)))</f>
        <v>0</v>
      </c>
      <c r="AC188" s="63">
        <f>IF(AND(AC184=2,AC185=9),0,IF(AC184&lt;=0,0,IF(WEEKDAY(AC$6,1)=1,AC184*AC185,0)))</f>
        <v>0</v>
      </c>
      <c r="AD188" s="64">
        <f>IF(AND(AD184=0,AD185=0),0,IF(AD184&lt;=0,0,IF(WEEKDAY(AD$6,1)=1,AD184*AD185,0)))</f>
        <v>0</v>
      </c>
      <c r="AE188" s="64">
        <f>IF(AND(AE184=0,AE185=0),0,IF(AE184&lt;=0,0,IF(WEEKDAY(AE$6,1)=1,AE184*AE185,0)))</f>
        <v>0</v>
      </c>
      <c r="AF188" s="63">
        <f>IF(AND(AF184=2,AF185=9),0,IF(AF184&lt;=0,0,IF(WEEKDAY(AF$6,1)=1,AF184*AF185,0)))</f>
        <v>0</v>
      </c>
      <c r="AG188" s="63">
        <f>IF(AND(AG184=2,AG185=9),0,IF(AG184&lt;=0,0,IF(WEEKDAY(AG$6,1)=1,AG184*AG185,0)))</f>
        <v>0</v>
      </c>
      <c r="AH188" s="63">
        <f>IF(AND(AH184=2,AH185=9),0,IF(AH184&lt;=0,0,IF(WEEKDAY(AH$6,1)=1,AH184*AH185,0)))</f>
        <v>0</v>
      </c>
      <c r="AI188" s="63">
        <f>IF(AND(AI184=2,AI185=9),0,IF(AI184&lt;=0,0,IF(WEEKDAY(AI$6,1)=1,AI184*AI185,0)))</f>
        <v>0</v>
      </c>
      <c r="AJ188" s="63">
        <f>IF(AND(AJ184=2,AJ185=9),0,IF(AJ184&lt;=0,0,IF(WEEKDAY(AJ$6,1)=1,AJ184*AJ185,0)))</f>
        <v>0</v>
      </c>
      <c r="AK188" s="64">
        <f>IF(AND(AK184=0,AK185=0),0,IF(AK184&lt;=0,0,IF(WEEKDAY(AK$6,1)=1,AK184*AK185,0)))</f>
        <v>0</v>
      </c>
      <c r="AL188" s="64">
        <f>IF(AND(AL184=0,AL185=0),0,IF(AL184&lt;=0,0,IF(WEEKDAY(AL$6,1)=1,AL184*AL185,0)))</f>
        <v>0</v>
      </c>
      <c r="AM188" s="63">
        <f>IF(AND(AM184=2,AM185=9),0,IF(AM184&lt;=0,0,IF(WEEKDAY(AM$6,1)=1,AM184*AM185,0)))</f>
        <v>0</v>
      </c>
      <c r="AN188" s="63">
        <f>IF(AND(AN184=2,AN185=9),0,IF(AN184&lt;=0,0,IF(WEEKDAY(AN$6,1)=1,AN184*AN185,0)))</f>
        <v>0</v>
      </c>
      <c r="AO188" s="63">
        <f>IF(AND(AO184=2,AO185=9),0,IF(AO184&lt;=0,0,IF(WEEKDAY(AO$6,1)=1,AO184*AO185,0)))</f>
        <v>0</v>
      </c>
      <c r="AP188" s="63">
        <f>IF(AND(AP184=4.25,AP185=8),0,IF(AP184&lt;=0,0,IF(WEEKDAY(AP$6,1)=1,AP184*AP185,0)))</f>
        <v>0</v>
      </c>
      <c r="AQ188" s="63">
        <f>IF(AND(AQ184=4.25,AQ185=8),0,IF(AQ184&lt;=0,0,IF(WEEKDAY(AQ$6,1)=1,AQ184*AQ185,0)))</f>
        <v>0</v>
      </c>
      <c r="AR188" s="64">
        <f>IF(AND(AR184=0,AR185=0),0,IF(AR184&lt;=0,0,IF(WEEKDAY(AR$6,1)=1,AR184*AR185,0)))</f>
        <v>0</v>
      </c>
      <c r="AS188" s="64">
        <f>IF(AND(AS184=0,AS185=0),0,IF(AS184&lt;=0,0,IF(WEEKDAY(AS$6,1)=1,AS184*AS185,0)))</f>
        <v>0</v>
      </c>
      <c r="AT188" s="63">
        <f>IF(AND(AT184=4.25,AT185=8),0,IF(AT184&lt;=0,0,IF(WEEKDAY(AT$6,1)=1,AT184*AT185,0)))</f>
        <v>0</v>
      </c>
      <c r="AU188" s="63">
        <f>IF(AND(AU184=4.25,AU185=8),0,IF(AU184&lt;=0,0,IF(WEEKDAY(AU$6,1)=1,AU184*AU185,0)))</f>
        <v>0</v>
      </c>
      <c r="AV188" s="63">
        <f>IF(AND(AV184=4.25,AV185=8),0,IF(AV184&lt;=0,0,IF(WEEKDAY(AV$6,1)=1,AV184*AV185,0)))</f>
        <v>0</v>
      </c>
      <c r="AW188" s="63">
        <f>IF(AND(AW184=4.25,AW185=8),0,IF(AW184&lt;=0,0,IF(WEEKDAY(AW$6,1)=1,AW184*AW185,0)))</f>
        <v>0</v>
      </c>
      <c r="AX188" s="63">
        <f>IF(AND(AX184=4.25,AX185=8),0,IF(AX184&lt;=0,0,IF(WEEKDAY(AX$6,1)=1,AX184*AX185,0)))</f>
        <v>0</v>
      </c>
      <c r="AY188" s="64">
        <f>IF(AND(AY184=0,AY185=0),0,IF(AY184&lt;=0,0,IF(WEEKDAY(AY$6,1)=1,AY184*AY185,0)))</f>
        <v>0</v>
      </c>
      <c r="AZ188" s="64">
        <f>IF(AND(AZ184=0,AZ185=0),0,IF(AZ184&lt;=0,0,IF(WEEKDAY(AZ$6,1)=1,AZ184*AZ185,0)))</f>
        <v>0</v>
      </c>
      <c r="BA188" s="63">
        <f>IF(AND(BA184=4.25,BA185=8),0,IF(BA184&lt;=0,0,IF(WEEKDAY(BA$6,1)=1,BA184*BA185,0)))</f>
        <v>0</v>
      </c>
      <c r="BB188" s="63">
        <f>IF(AND(BB184=4.25,BB185=8),0,IF(BB184&lt;=0,0,IF(WEEKDAY(BB$6,1)=1,BB184*BB185,0)))</f>
        <v>0</v>
      </c>
      <c r="BC188" s="63">
        <f>IF(AND(BC184=4.25,BC185=8),0,IF(BC184&lt;=0,0,IF(WEEKDAY(BC$6,1)=1,BC184*BC185,0)))</f>
        <v>0</v>
      </c>
      <c r="BD188" s="63">
        <f>IF(AND(BD184=4.25,BD185=8),0,IF(BD184&lt;=0,0,IF(WEEKDAY(BD$6,1)=1,BD184*BD185,0)))</f>
        <v>0</v>
      </c>
      <c r="BE188" s="63">
        <f>IF(AND(BE184=4.25,BE185=8),0,IF(BE184&lt;=0,0,IF(WEEKDAY(BE$6,1)=1,BE184*BE185,0)))</f>
        <v>0</v>
      </c>
      <c r="BF188" s="64">
        <f>IF(AND(BF184=0,BF185=0),0,IF(BF184&lt;=0,0,IF(WEEKDAY(BF$6,1)=1,BF184*BF185,0)))</f>
        <v>0</v>
      </c>
      <c r="BG188" s="64">
        <f>IF(AND(BG184=0,BG185=0),0,IF(BG184&lt;=0,0,IF(WEEKDAY(BG$6,1)=1,BG184*BG185,0)))</f>
        <v>0</v>
      </c>
      <c r="BH188" s="63">
        <f>IF(AND(BH184=2,BH185=13),0,IF(BH184&lt;=0,0,IF(WEEKDAY(BH$6,1)=1,BH184*BH185,0)))</f>
        <v>0</v>
      </c>
      <c r="BI188" s="63">
        <f>IF(AND(BI184=2,BI185=13),0,IF(BI184&lt;=0,0,IF(WEEKDAY(BI$6,1)=1,BI184*BI185,0)))</f>
        <v>0</v>
      </c>
      <c r="BJ188" s="63">
        <f>IF(AND(BJ184=2,BJ185=13),0,IF(BJ184&lt;=0,0,IF(WEEKDAY(BJ$6,1)=1,BJ184*BJ185,0)))</f>
        <v>0</v>
      </c>
      <c r="BK188" s="63">
        <f>IF(AND(BK184=2,BK185=13),0,IF(BK184&lt;=0,0,IF(WEEKDAY(BK$6,1)=1,BK184*BK185,0)))</f>
        <v>0</v>
      </c>
      <c r="BL188" s="63">
        <f>IF(AND(BL184=2,BL185=13),0,IF(BL184&lt;=0,0,IF(WEEKDAY(BL$6,1)=1,BL184*BL185,0)))</f>
        <v>0</v>
      </c>
      <c r="BM188" s="64">
        <f>IF(AND(BM184=2,BM185=13),0,IF(BM184&lt;=0,0,IF(WEEKDAY(BM$6,1)=1,BM184*BM185,0)))</f>
        <v>0</v>
      </c>
      <c r="BN188" s="64">
        <f>IF(AND(BN184=2,BN185=13),26,IF(BN184&lt;=0,0,IF(WEEKDAY(BN$6,1)=1,BN184*BN185,0)))</f>
        <v>26</v>
      </c>
      <c r="BO188" s="63">
        <f>IF(AND(BO184=2,BO185=13),0,IF(BO184&lt;=0,0,IF(WEEKDAY(BO$6,1)=1,BO184*BO185,0)))</f>
        <v>0</v>
      </c>
      <c r="BP188" s="63">
        <f>IF(AND(BP184=2,BP185=13),0,IF(BP184&lt;=0,0,IF(WEEKDAY(BP$6,1)=1,BP184*BP185,0)))</f>
        <v>0</v>
      </c>
      <c r="BQ188" s="63">
        <f>IF(AND(BQ184=2,BQ185=13),0,IF(BQ184&lt;=0,0,IF(WEEKDAY(BQ$6,1)=1,BQ184*BQ185,0)))</f>
        <v>0</v>
      </c>
      <c r="BR188" s="63">
        <f>IF(AND(BR184=1,BR185=13),0,IF(BR184&lt;=0,0,IF(WEEKDAY(BR$6,1)=1,BR184*BR185,0)))</f>
        <v>0</v>
      </c>
      <c r="BS188" s="63">
        <f>IF(AND(BS184=1,BS185=13),0,IF(BS184&lt;=0,0,IF(WEEKDAY(BS$6,1)=1,BS184*BS185,0)))</f>
        <v>0</v>
      </c>
      <c r="BT188" s="64">
        <f>IF(AND(BT184=1,BT185=13),0,IF(BT184&lt;=0,0,IF(WEEKDAY(BT$6,1)=1,BT184*BT185,0)))</f>
        <v>0</v>
      </c>
      <c r="BU188" s="64">
        <f>IF(AND(BU184=1,BU185=13),13,IF(BU184&lt;=0,0,IF(WEEKDAY(BU$6,1)=1,BU184*BU185,0)))</f>
        <v>13</v>
      </c>
      <c r="BV188" s="63">
        <f>IF(AND(BV184=1,BV185=13),0,IF(BV184&lt;=0,0,IF(WEEKDAY(BV$6,1)=1,BV184*BV185,0)))</f>
        <v>0</v>
      </c>
      <c r="BW188" s="63">
        <f>IF(AND(BW184=1,BW185=13),0,IF(BW184&lt;=0,0,IF(WEEKDAY(BW$6,1)=1,BW184*BW185,0)))</f>
        <v>0</v>
      </c>
      <c r="BX188" s="63">
        <f>IF(AND(BX184=1,BX185=13),0,IF(BX184&lt;=0,0,IF(WEEKDAY(BX$6,1)=1,BX184*BX185,0)))</f>
        <v>0</v>
      </c>
      <c r="BY188" s="63">
        <f>IF(AND(BY184=1,BY185=13),0,IF(BY184&lt;=0,0,IF(WEEKDAY(BY$6,1)=1,BY184*BY185,0)))</f>
        <v>0</v>
      </c>
      <c r="BZ188" s="63">
        <f>IF(AND(BZ184=1,BZ185=13),0,IF(BZ184&lt;=0,0,IF(WEEKDAY(BZ$6,1)=1,BZ184*BZ185,0)))</f>
        <v>0</v>
      </c>
      <c r="CA188" s="64">
        <f>IF(AND(CA184=1,CA185=13),0,IF(CA184&lt;=0,0,IF(WEEKDAY(CA$6,1)=1,CA184*CA185,0)))</f>
        <v>0</v>
      </c>
      <c r="CB188" s="64">
        <f>IF(AND(CB184=1,CB185=13),13,IF(CB184&lt;=0,0,IF(WEEKDAY(CB$6,1)=1,CB184*CB185,0)))</f>
        <v>13</v>
      </c>
      <c r="CC188" s="63">
        <f>IF(AND(CC184=1,CC185=13),0,IF(CC184&lt;=0,0,IF(WEEKDAY(CC$6,1)=1,CC184*CC185,0)))</f>
        <v>0</v>
      </c>
      <c r="CD188" s="63">
        <f>IF(AND(CD184=1,CD185=13),0,IF(CD184&lt;=0,0,IF(WEEKDAY(CD$6,1)=1,CD184*CD185,0)))</f>
        <v>0</v>
      </c>
      <c r="CE188" s="63">
        <f>IF(AND(CE184=1,CE185=13),0,IF(CE184&lt;=0,0,IF(WEEKDAY(CE$6,1)=1,CE184*CE185,0)))</f>
        <v>0</v>
      </c>
      <c r="CF188" s="63">
        <f>IF(AND(CF184=1,CF185=13),0,IF(CF184&lt;=0,0,IF(WEEKDAY(CF$6,1)=1,CF184*CF185,0)))</f>
        <v>0</v>
      </c>
      <c r="CG188" s="63">
        <f>IF(AND(CG184=1,CG185=13),0,IF(CG184&lt;=0,0,IF(WEEKDAY(CG$6,1)=1,CG184*CG185,0)))</f>
        <v>0</v>
      </c>
      <c r="CH188" s="64">
        <f>IF(AND(CH184=1,CH185=13),0,IF(CH184&lt;=0,0,IF(WEEKDAY(CH$6,1)=1,CH184*CH185,0)))</f>
        <v>0</v>
      </c>
      <c r="CI188" s="64">
        <f>IF(AND(CI184=1,CI185=13),13,IF(CI184&lt;=0,0,IF(WEEKDAY(CI$6,1)=1,CI184*CI185,0)))</f>
        <v>13</v>
      </c>
      <c r="CJ188" s="63">
        <f>IF(AND(CJ184=1,CJ185=13),0,IF(CJ184&lt;=0,0,IF(WEEKDAY(CJ$6,1)=1,CJ184*CJ185,0)))</f>
        <v>0</v>
      </c>
      <c r="CK188" s="63">
        <f>IF(AND(CK184=1,CK185=13),0,IF(CK184&lt;=0,0,IF(WEEKDAY(CK$6,1)=1,CK184*CK185,0)))</f>
        <v>0</v>
      </c>
      <c r="CL188" s="63">
        <f>IF(AND(CL184=1,CL185=13),0,IF(CL184&lt;=0,0,IF(WEEKDAY(CL$6,1)=1,CL184*CL185,0)))</f>
        <v>0</v>
      </c>
      <c r="CM188" s="63">
        <f>IF(AND(CM184=1,CM185=13),0,IF(CM184&lt;=0,0,IF(WEEKDAY(CM$6,1)=1,CM184*CM185,0)))</f>
        <v>0</v>
      </c>
      <c r="CN188" s="63">
        <f>IF(AND(CN184=1,CN185=13),0,IF(CN184&lt;=0,0,IF(WEEKDAY(CN$6,1)=1,CN184*CN185,0)))</f>
        <v>0</v>
      </c>
      <c r="CO188" s="64">
        <f>IF(AND(CO184=1,CO185=13),0,IF(CO184&lt;=0,0,IF(WEEKDAY(CO$6,1)=1,CO184*CO185,0)))</f>
        <v>0</v>
      </c>
      <c r="CP188" s="64">
        <f>IF(AND(CP184=1,CP185=13),13,IF(CP184&lt;=0,0,IF(WEEKDAY(CP$6,1)=1,CP184*CP185,0)))</f>
        <v>13</v>
      </c>
      <c r="CQ188" s="63">
        <f>IF(AND(CQ184=1,CQ185=13),0,IF(CQ184&lt;=0,0,IF(WEEKDAY(CQ$6,1)=1,CQ184*CQ185,0)))</f>
        <v>0</v>
      </c>
      <c r="CR188" s="63">
        <f>IF(AND(CR184=1,CR185=13),0,IF(CR184&lt;=0,0,IF(WEEKDAY(CR$6,1)=1,CR184*CR185,0)))</f>
        <v>0</v>
      </c>
      <c r="CS188" s="63">
        <f>IF(AND(CS184=1,CS185=13),0,IF(CS184&lt;=0,0,IF(WEEKDAY(CS$6,1)=1,CS184*CS185,0)))</f>
        <v>0</v>
      </c>
      <c r="CT188" s="63">
        <f>IF(AND(CT184=1,CT185=13),0,IF(CT184&lt;=0,0,IF(WEEKDAY(CT$6,1)=1,CT184*CT185,0)))</f>
        <v>0</v>
      </c>
      <c r="CU188" s="63">
        <f>IF(AND(CU184=1,CU185=13),0,IF(CU184&lt;=0,0,IF(WEEKDAY(CU$6,1)=1,CU184*CU185,0)))</f>
        <v>0</v>
      </c>
      <c r="CV188" s="64">
        <f>IF(AND(CV184=1,CV185=13),0,IF(CV184&lt;=0,0,IF(WEEKDAY(CV$6,1)=1,CV184*CV185,0)))</f>
        <v>0</v>
      </c>
      <c r="CW188" s="64">
        <f>IF(AND(CW184=1,CW185=13),13,IF(CW184&lt;=0,0,IF(WEEKDAY(CW$6,1)=1,CW184*CW185,0)))</f>
        <v>13</v>
      </c>
      <c r="CX188" s="63">
        <f>IF(AND(CX184=1,CX185=13),0,IF(CX184&lt;=0,0,IF(WEEKDAY(CX$6,1)=1,CX184*CX185,0)))</f>
        <v>0</v>
      </c>
      <c r="CY188" s="63">
        <f>IF(AND(CY184=1,CY185=13),0,IF(CY184&lt;=0,0,IF(WEEKDAY(CY$6,1)=1,CY184*CY185,0)))</f>
        <v>0</v>
      </c>
      <c r="CZ188" s="63">
        <f>IF(AND(CZ184=1,CZ185=13),0,IF(CZ184&lt;=0,0,IF(WEEKDAY(CZ$6,1)=1,CZ184*CZ185,0)))</f>
        <v>0</v>
      </c>
      <c r="DA188" s="63">
        <f>IF(AND(DA184=1,DA185=13),0,IF(DA184&lt;=0,0,IF(WEEKDAY(DA$6,1)=1,DA184*DA185,0)))</f>
        <v>0</v>
      </c>
      <c r="DB188" s="63">
        <f>IF(AND(DB184=1,DB185=13),0,IF(DB184&lt;=0,0,IF(WEEKDAY(DB$6,1)=1,DB184*DB185,0)))</f>
        <v>0</v>
      </c>
      <c r="DC188" s="64">
        <f>IF(AND(DC184=1,DC185=13),0,IF(DC184&lt;=0,0,IF(WEEKDAY(DC$6,1)=1,DC184*DC185,0)))</f>
        <v>0</v>
      </c>
      <c r="DD188" s="64">
        <f>IF(AND(DD184=1,DD185=13),13,IF(DD184&lt;=0,0,IF(WEEKDAY(DD$6,1)=1,DD184*DD185,0)))</f>
        <v>13</v>
      </c>
      <c r="DE188" s="63">
        <f>IF(AND(DE184=1,DE185=13),0,IF(DE184&lt;=0,0,IF(WEEKDAY(DE$6,1)=1,DE184*DE185,0)))</f>
        <v>0</v>
      </c>
      <c r="DF188" s="63">
        <f>IF(AND(DF184=1,DF185=13),0,IF(DF184&lt;=0,0,IF(WEEKDAY(DF$6,1)=1,DF184*DF185,0)))</f>
        <v>0</v>
      </c>
      <c r="DG188" s="63">
        <f>IF(AND(DG184=1,DG185=13),0,IF(DG184&lt;=0,0,IF(WEEKDAY(DG$6,1)=1,DG184*DG185,0)))</f>
        <v>0</v>
      </c>
      <c r="DH188" s="63">
        <f>IF(AND(DH184=1,DH185=13),0,IF(DH184&lt;=0,0,IF(WEEKDAY(DH$6,1)=1,DH184*DH185,0)))</f>
        <v>0</v>
      </c>
      <c r="DI188" s="63">
        <f>IF(AND(DI184=1,DI185=13),0,IF(DI184&lt;=0,0,IF(WEEKDAY(DI$6,1)=1,DI184*DI185,0)))</f>
        <v>0</v>
      </c>
      <c r="DJ188" s="64">
        <f>IF(AND(DJ184=1,DJ185=13),0,IF(DJ184&lt;=0,0,IF(WEEKDAY(DJ$6,1)=1,DJ184*DJ185,0)))</f>
        <v>0</v>
      </c>
      <c r="DK188" s="64">
        <f>IF(AND(DK184=1,DK185=13),13,IF(DK184&lt;=0,0,IF(WEEKDAY(DK$6,1)=1,DK184*DK185,0)))</f>
        <v>13</v>
      </c>
      <c r="DL188" s="63">
        <f>IF(AND(DL184=1,DL185=13),0,IF(DL184&lt;=0,0,IF(WEEKDAY(DL$6,1)=1,DL184*DL185,0)))</f>
        <v>0</v>
      </c>
      <c r="DM188" s="63">
        <f>IF(AND(DM184=1,DM185=13),0,IF(DM184&lt;=0,0,IF(WEEKDAY(DM$6,1)=1,DM184*DM185,0)))</f>
        <v>0</v>
      </c>
      <c r="DN188" s="63">
        <f>IF(AND(DN184=1,DN185=13),0,IF(DN184&lt;=0,0,IF(WEEKDAY(DN$6,1)=1,DN184*DN185,0)))</f>
        <v>0</v>
      </c>
      <c r="DO188" s="63">
        <f>IF(AND(DO184=1,DO185=13),0,IF(DO184&lt;=0,0,IF(WEEKDAY(DO$6,1)=1,DO184*DO185,0)))</f>
        <v>0</v>
      </c>
      <c r="DP188" s="63">
        <f>IF(AND(DP184=1,DP185=13),0,IF(DP184&lt;=0,0,IF(WEEKDAY(DP$6,1)=1,DP184*DP185,0)))</f>
        <v>0</v>
      </c>
      <c r="DQ188" s="64">
        <f>IF(AND(DQ184=1,DQ185=13),0,IF(DQ184&lt;=0,0,IF(WEEKDAY(DQ$6,1)=1,DQ184*DQ185,0)))</f>
        <v>0</v>
      </c>
      <c r="DR188" s="64">
        <f>IF(AND(DR184=1,DR185=13),13,IF(DR184&lt;=0,0,IF(WEEKDAY(DR$6,1)=1,DR184*DR185,0)))</f>
        <v>13</v>
      </c>
      <c r="DS188" s="63">
        <f>IF(AND(DS184=1,DS185=13),0,IF(DS184&lt;=0,0,IF(WEEKDAY(DS$6,1)=1,DS184*DS185,0)))</f>
        <v>0</v>
      </c>
      <c r="DT188" s="63">
        <f>IF(AND(DT184=1,DT185=9),0,IF(DT184&lt;=0,0,IF(WEEKDAY(DT$6,1)=1,DT184*DT185,0)))</f>
        <v>0</v>
      </c>
      <c r="DU188" s="63">
        <f>IF(AND(DU184=1,DU185=9),0,IF(DU184&lt;=0,0,IF(WEEKDAY(DU$6,1)=1,DU184*DU185,0)))</f>
        <v>0</v>
      </c>
      <c r="DV188" s="63">
        <f>IF(AND(DV184=1,DV185=9),0,IF(DV184&lt;=0,0,IF(WEEKDAY(DV$6,1)=1,DV184*DV185,0)))</f>
        <v>0</v>
      </c>
      <c r="DW188" s="63">
        <f>IF(AND(DW184=1,DW185=9),0,IF(DW184&lt;=0,0,IF(WEEKDAY(DW$6,1)=1,DW184*DW185,0)))</f>
        <v>0</v>
      </c>
      <c r="DX188" s="64">
        <f>IF(AND(DX184=0,DX185=0),0,IF(DX184&lt;=0,0,IF(WEEKDAY(DX$6,1)=1,DX184*DX185,0)))</f>
        <v>0</v>
      </c>
      <c r="DY188" s="64">
        <f>IF(AND(DY184=0,DY185=0),0,IF(DY184&lt;=0,0,IF(WEEKDAY(DY$6,1)=1,DY184*DY185,0)))</f>
        <v>0</v>
      </c>
      <c r="DZ188" s="63">
        <f>IF(AND(DZ184=1,DZ185=9),0,IF(DZ184&lt;=0,0,IF(WEEKDAY(DZ$6,1)=1,DZ184*DZ185,0)))</f>
        <v>0</v>
      </c>
      <c r="EA188" s="63">
        <f>IF(AND(EA184=1,EA185=9),0,IF(EA184&lt;=0,0,IF(WEEKDAY(EA$6,1)=1,EA184*EA185,0)))</f>
        <v>0</v>
      </c>
      <c r="EB188" s="63">
        <f>IF(AND(EB184=1,EB185=9),0,IF(EB184&lt;=0,0,IF(WEEKDAY(EB$6,1)=1,EB184*EB185,0)))</f>
        <v>0</v>
      </c>
      <c r="EC188" s="63">
        <f>IF(AND(EC184=1,EC185=9),0,IF(EC184&lt;=0,0,IF(WEEKDAY(EC$6,1)=1,EC184*EC185,0)))</f>
        <v>0</v>
      </c>
      <c r="ED188" s="63">
        <f>IF(AND(ED184=1,ED185=9),0,IF(ED184&lt;=0,0,IF(WEEKDAY(ED$6,1)=1,ED184*ED185,0)))</f>
        <v>0</v>
      </c>
      <c r="EE188" s="64">
        <f>IF(AND(EE184=0,EE185=0),0,IF(EE184&lt;=0,0,IF(WEEKDAY(EE$6,1)=1,EE184*EE185,0)))</f>
        <v>0</v>
      </c>
      <c r="EF188" s="64">
        <f>IF(AND(EF184=0,EF185=0),0,IF(EF184&lt;=0,0,IF(WEEKDAY(EF$6,1)=1,EF184*EF185,0)))</f>
        <v>0</v>
      </c>
      <c r="EG188" s="63">
        <f>IF(AND(EG184=1,EG185=9),0,IF(EG184&lt;=0,0,IF(WEEKDAY(EG$6,1)=1,EG184*EG185,0)))</f>
        <v>0</v>
      </c>
      <c r="EH188" s="63">
        <f>IF(AND(EH184=1,EH185=9),0,IF(EH184&lt;=0,0,IF(WEEKDAY(EH$6,1)=1,EH184*EH185,0)))</f>
        <v>0</v>
      </c>
      <c r="EI188" s="63">
        <f>IF(AND(EI184=1,EI185=9),0,IF(EI184&lt;=0,0,IF(WEEKDAY(EI$6,1)=1,EI184*EI185,0)))</f>
        <v>0</v>
      </c>
      <c r="EJ188" s="63">
        <f>IF(AND(EJ184=1,EJ185=9),0,IF(EJ184&lt;=0,0,IF(WEEKDAY(EJ$6,1)=1,EJ184*EJ185,0)))</f>
        <v>0</v>
      </c>
      <c r="EK188" s="65">
        <f>IF(AND(EK184=1,EK185=9),0,IF(EK184&lt;=0,0,IF(WEEKDAY(EK$6,1)=1,EK184*EK185,0)))</f>
        <v>0</v>
      </c>
      <c r="OU188" s="28" t="s">
        <v>102</v>
      </c>
    </row>
    <row r="189" ht="16" customHeight="1" spans="1:411" x14ac:dyDescent="0.25">
      <c r="A189" s="45"/>
      <c r="B189" s="46"/>
      <c r="C189" s="67">
        <f>I183*D189</f>
        <v>19180</v>
      </c>
      <c r="D189" s="67">
        <v>140</v>
      </c>
      <c r="E189" s="68" t="s">
        <v>65</v>
      </c>
      <c r="F189" s="49"/>
      <c r="G189" s="49"/>
      <c r="H189" s="49"/>
      <c r="I189" s="49"/>
      <c r="J189" s="50"/>
      <c r="K189" s="69">
        <v>1</v>
      </c>
      <c r="L189" s="70">
        <v>1</v>
      </c>
      <c r="M189" s="70">
        <v>1</v>
      </c>
      <c r="N189" s="70">
        <v>1</v>
      </c>
      <c r="O189" s="70">
        <v>1</v>
      </c>
      <c r="P189" s="71">
        <v>0</v>
      </c>
      <c r="Q189" s="71">
        <v>0</v>
      </c>
      <c r="R189" s="70">
        <v>1</v>
      </c>
      <c r="S189" s="70">
        <v>1</v>
      </c>
      <c r="T189" s="70">
        <v>1</v>
      </c>
      <c r="U189" s="70">
        <v>1</v>
      </c>
      <c r="V189" s="70">
        <v>1</v>
      </c>
      <c r="W189" s="71">
        <v>0</v>
      </c>
      <c r="X189" s="71">
        <v>0</v>
      </c>
      <c r="Y189" s="70">
        <v>1</v>
      </c>
      <c r="Z189" s="70">
        <v>1</v>
      </c>
      <c r="AA189" s="70">
        <v>1</v>
      </c>
      <c r="AB189" s="70">
        <v>1</v>
      </c>
      <c r="AC189" s="70">
        <v>1</v>
      </c>
      <c r="AD189" s="71">
        <v>0</v>
      </c>
      <c r="AE189" s="71">
        <v>0</v>
      </c>
      <c r="AF189" s="70">
        <v>1</v>
      </c>
      <c r="AG189" s="70">
        <v>1</v>
      </c>
      <c r="AH189" s="70">
        <v>1</v>
      </c>
      <c r="AI189" s="70">
        <v>1</v>
      </c>
      <c r="AJ189" s="70">
        <v>1</v>
      </c>
      <c r="AK189" s="71">
        <v>0</v>
      </c>
      <c r="AL189" s="71">
        <v>0</v>
      </c>
      <c r="AM189" s="70">
        <v>1</v>
      </c>
      <c r="AN189" s="70">
        <v>1</v>
      </c>
      <c r="AO189" s="70">
        <v>1</v>
      </c>
      <c r="AP189" s="70">
        <v>3</v>
      </c>
      <c r="AQ189" s="70">
        <v>3</v>
      </c>
      <c r="AR189" s="71">
        <v>0</v>
      </c>
      <c r="AS189" s="71">
        <v>0</v>
      </c>
      <c r="AT189" s="70">
        <v>3</v>
      </c>
      <c r="AU189" s="70">
        <v>3</v>
      </c>
      <c r="AV189" s="70">
        <v>3</v>
      </c>
      <c r="AW189" s="70">
        <v>3</v>
      </c>
      <c r="AX189" s="70">
        <v>3</v>
      </c>
      <c r="AY189" s="71">
        <v>0</v>
      </c>
      <c r="AZ189" s="71">
        <v>0</v>
      </c>
      <c r="BA189" s="70">
        <v>3</v>
      </c>
      <c r="BB189" s="70">
        <v>3</v>
      </c>
      <c r="BC189" s="70">
        <v>3</v>
      </c>
      <c r="BD189" s="70">
        <v>3</v>
      </c>
      <c r="BE189" s="70">
        <v>3</v>
      </c>
      <c r="BF189" s="71">
        <v>0</v>
      </c>
      <c r="BG189" s="71">
        <v>0</v>
      </c>
      <c r="BH189" s="70">
        <v>1</v>
      </c>
      <c r="BI189" s="70">
        <v>1</v>
      </c>
      <c r="BJ189" s="70">
        <v>1</v>
      </c>
      <c r="BK189" s="70">
        <v>1</v>
      </c>
      <c r="BL189" s="70">
        <v>1</v>
      </c>
      <c r="BM189" s="71">
        <v>1</v>
      </c>
      <c r="BN189" s="71">
        <v>1</v>
      </c>
      <c r="BO189" s="70">
        <v>1</v>
      </c>
      <c r="BP189" s="70">
        <v>1</v>
      </c>
      <c r="BQ189" s="70">
        <v>1</v>
      </c>
      <c r="BR189" s="70">
        <v>1</v>
      </c>
      <c r="BS189" s="70">
        <v>1</v>
      </c>
      <c r="BT189" s="71">
        <v>1</v>
      </c>
      <c r="BU189" s="71">
        <v>1</v>
      </c>
      <c r="BV189" s="70">
        <v>1</v>
      </c>
      <c r="BW189" s="70">
        <v>1</v>
      </c>
      <c r="BX189" s="70">
        <v>1</v>
      </c>
      <c r="BY189" s="70">
        <v>1</v>
      </c>
      <c r="BZ189" s="70">
        <v>1</v>
      </c>
      <c r="CA189" s="71">
        <v>1</v>
      </c>
      <c r="CB189" s="71">
        <v>1</v>
      </c>
      <c r="CC189" s="70">
        <v>1</v>
      </c>
      <c r="CD189" s="70">
        <v>1</v>
      </c>
      <c r="CE189" s="70">
        <v>1</v>
      </c>
      <c r="CF189" s="70">
        <v>1</v>
      </c>
      <c r="CG189" s="70">
        <v>1</v>
      </c>
      <c r="CH189" s="71">
        <v>1</v>
      </c>
      <c r="CI189" s="71">
        <v>1</v>
      </c>
      <c r="CJ189" s="70">
        <v>1</v>
      </c>
      <c r="CK189" s="70">
        <v>1</v>
      </c>
      <c r="CL189" s="70">
        <v>1</v>
      </c>
      <c r="CM189" s="70">
        <v>1</v>
      </c>
      <c r="CN189" s="70">
        <v>1</v>
      </c>
      <c r="CO189" s="71">
        <v>1</v>
      </c>
      <c r="CP189" s="71">
        <v>1</v>
      </c>
      <c r="CQ189" s="70">
        <v>1</v>
      </c>
      <c r="CR189" s="70">
        <v>1</v>
      </c>
      <c r="CS189" s="70">
        <v>1</v>
      </c>
      <c r="CT189" s="70">
        <v>1</v>
      </c>
      <c r="CU189" s="70">
        <v>1</v>
      </c>
      <c r="CV189" s="71">
        <v>1</v>
      </c>
      <c r="CW189" s="71">
        <v>1</v>
      </c>
      <c r="CX189" s="70">
        <v>1</v>
      </c>
      <c r="CY189" s="70">
        <v>1</v>
      </c>
      <c r="CZ189" s="70">
        <v>1</v>
      </c>
      <c r="DA189" s="70">
        <v>1</v>
      </c>
      <c r="DB189" s="70">
        <v>1</v>
      </c>
      <c r="DC189" s="71">
        <v>1</v>
      </c>
      <c r="DD189" s="71">
        <v>1</v>
      </c>
      <c r="DE189" s="70">
        <v>1</v>
      </c>
      <c r="DF189" s="70">
        <v>1</v>
      </c>
      <c r="DG189" s="70">
        <v>1</v>
      </c>
      <c r="DH189" s="70">
        <v>1</v>
      </c>
      <c r="DI189" s="70">
        <v>1</v>
      </c>
      <c r="DJ189" s="71">
        <v>1</v>
      </c>
      <c r="DK189" s="71">
        <v>1</v>
      </c>
      <c r="DL189" s="70">
        <v>1</v>
      </c>
      <c r="DM189" s="70">
        <v>1</v>
      </c>
      <c r="DN189" s="70">
        <v>1</v>
      </c>
      <c r="DO189" s="70">
        <v>1</v>
      </c>
      <c r="DP189" s="70">
        <v>1</v>
      </c>
      <c r="DQ189" s="71">
        <v>1</v>
      </c>
      <c r="DR189" s="71">
        <v>1</v>
      </c>
      <c r="DS189" s="70">
        <v>1</v>
      </c>
      <c r="DT189" s="70">
        <v>1</v>
      </c>
      <c r="DU189" s="70">
        <v>1</v>
      </c>
      <c r="DV189" s="70">
        <v>1</v>
      </c>
      <c r="DW189" s="70">
        <v>1</v>
      </c>
      <c r="DX189" s="71">
        <v>0</v>
      </c>
      <c r="DY189" s="71">
        <v>0</v>
      </c>
      <c r="DZ189" s="70">
        <v>1</v>
      </c>
      <c r="EA189" s="70">
        <v>1</v>
      </c>
      <c r="EB189" s="70">
        <v>1</v>
      </c>
      <c r="EC189" s="70">
        <v>1</v>
      </c>
      <c r="ED189" s="70">
        <v>1</v>
      </c>
      <c r="EE189" s="71">
        <v>0</v>
      </c>
      <c r="EF189" s="71">
        <v>0</v>
      </c>
      <c r="EG189" s="70">
        <v>1</v>
      </c>
      <c r="EH189" s="70">
        <v>1</v>
      </c>
      <c r="EI189" s="70">
        <v>1</v>
      </c>
      <c r="EJ189" s="70">
        <v>1</v>
      </c>
      <c r="EK189" s="72">
        <v>1</v>
      </c>
      <c r="OU189" s="60" t="s">
        <v>102</v>
      </c>
    </row>
    <row r="190" ht="8" customHeight="1" spans="1:141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  <c r="BZ190" s="73"/>
      <c r="CA190" s="73"/>
      <c r="CB190" s="73"/>
      <c r="CC190" s="73"/>
      <c r="CD190" s="73"/>
      <c r="CE190" s="73"/>
      <c r="CF190" s="73"/>
      <c r="CG190" s="73"/>
      <c r="CH190" s="73"/>
      <c r="CI190" s="73"/>
      <c r="CJ190" s="73"/>
      <c r="CK190" s="73"/>
      <c r="CL190" s="73"/>
      <c r="CM190" s="73"/>
      <c r="CN190" s="73"/>
      <c r="CO190" s="73"/>
      <c r="CP190" s="73"/>
      <c r="CQ190" s="73"/>
      <c r="CR190" s="73"/>
      <c r="CS190" s="73"/>
      <c r="CT190" s="73"/>
      <c r="CU190" s="73"/>
      <c r="CV190" s="73"/>
      <c r="CW190" s="73"/>
      <c r="CX190" s="73"/>
      <c r="CY190" s="73"/>
      <c r="CZ190" s="73"/>
      <c r="DA190" s="73"/>
      <c r="DB190" s="73"/>
      <c r="DC190" s="73"/>
      <c r="DD190" s="73"/>
      <c r="DE190" s="73"/>
      <c r="DF190" s="73"/>
      <c r="DG190" s="73"/>
      <c r="DH190" s="73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  <c r="DT190" s="73"/>
      <c r="DU190" s="73"/>
      <c r="DV190" s="73"/>
      <c r="DW190" s="73"/>
      <c r="DX190" s="73"/>
      <c r="DY190" s="73"/>
      <c r="DZ190" s="73"/>
      <c r="EA190" s="73"/>
      <c r="EB190" s="73"/>
      <c r="EC190" s="73"/>
      <c r="ED190" s="73"/>
      <c r="EE190" s="73"/>
      <c r="EF190" s="73"/>
      <c r="EG190" s="73"/>
      <c r="EH190" s="73"/>
      <c r="EI190" s="73"/>
      <c r="EJ190" s="73"/>
      <c r="EK190" s="73"/>
    </row>
    <row r="191" ht="16" customHeight="1" spans="1:411" x14ac:dyDescent="0.25">
      <c r="A191" s="74" t="s">
        <v>70</v>
      </c>
      <c r="B191" s="46" t="s">
        <v>101</v>
      </c>
      <c r="C191" s="47">
        <f>J191</f>
        <v>118732.33</v>
      </c>
      <c r="D191" s="48"/>
      <c r="E191" s="48"/>
      <c r="F191" s="49">
        <f>SUM(K194:EK194)</f>
        <v>368</v>
      </c>
      <c r="G191" s="49">
        <f>SUM(K195:EK195)</f>
        <v>347</v>
      </c>
      <c r="H191" s="49">
        <f>SUM(K196:EK196)</f>
        <v>117</v>
      </c>
      <c r="I191" s="49">
        <f>SUM(K197:EK197)</f>
        <v>64</v>
      </c>
      <c r="J191" s="50">
        <f>C194+C195+C196</f>
        <v>118732.33</v>
      </c>
      <c r="K191" s="51"/>
      <c r="L191" s="52"/>
      <c r="M191" s="52"/>
      <c r="N191" s="52"/>
      <c r="O191" s="52"/>
      <c r="P191" s="53"/>
      <c r="Q191" s="53"/>
      <c r="R191" s="52"/>
      <c r="S191" s="52"/>
      <c r="T191" s="52"/>
      <c r="U191" s="52"/>
      <c r="V191" s="52"/>
      <c r="W191" s="53"/>
      <c r="X191" s="53"/>
      <c r="Y191" s="52"/>
      <c r="Z191" s="52"/>
      <c r="AA191" s="52"/>
      <c r="AB191" s="52"/>
      <c r="AC191" s="52"/>
      <c r="AD191" s="53"/>
      <c r="AE191" s="53"/>
      <c r="AF191" s="52"/>
      <c r="AG191" s="52"/>
      <c r="AH191" s="52"/>
      <c r="AI191" s="52"/>
      <c r="AJ191" s="52"/>
      <c r="AK191" s="53"/>
      <c r="AL191" s="53"/>
      <c r="AM191" s="52"/>
      <c r="AN191" s="52"/>
      <c r="AO191" s="52"/>
      <c r="AP191" s="52"/>
      <c r="AQ191" s="52"/>
      <c r="AR191" s="53"/>
      <c r="AS191" s="53"/>
      <c r="AT191" s="52"/>
      <c r="AU191" s="52"/>
      <c r="AV191" s="52"/>
      <c r="AW191" s="52"/>
      <c r="AX191" s="52"/>
      <c r="AY191" s="53"/>
      <c r="AZ191" s="53"/>
      <c r="BA191" s="52"/>
      <c r="BB191" s="52"/>
      <c r="BC191" s="52"/>
      <c r="BD191" s="52"/>
      <c r="BE191" s="52"/>
      <c r="BF191" s="53"/>
      <c r="BG191" s="53"/>
      <c r="BH191" s="52"/>
      <c r="BI191" s="52"/>
      <c r="BJ191" s="52"/>
      <c r="BK191" s="52"/>
      <c r="BL191" s="52"/>
      <c r="BM191" s="53"/>
      <c r="BN191" s="53"/>
      <c r="BO191" s="52"/>
      <c r="BP191" s="52"/>
      <c r="BQ191" s="52"/>
      <c r="BR191" s="52"/>
      <c r="BS191" s="52"/>
      <c r="BT191" s="53"/>
      <c r="BU191" s="53"/>
      <c r="BV191" s="52"/>
      <c r="BW191" s="52"/>
      <c r="BX191" s="52"/>
      <c r="BY191" s="52"/>
      <c r="BZ191" s="52"/>
      <c r="CA191" s="53"/>
      <c r="CB191" s="53"/>
      <c r="CC191" s="52"/>
      <c r="CD191" s="52"/>
      <c r="CE191" s="52"/>
      <c r="CF191" s="52"/>
      <c r="CG191" s="52"/>
      <c r="CH191" s="53"/>
      <c r="CI191" s="53"/>
      <c r="CJ191" s="52"/>
      <c r="CK191" s="52"/>
      <c r="CL191" s="52"/>
      <c r="CM191" s="52"/>
      <c r="CN191" s="52"/>
      <c r="CO191" s="53"/>
      <c r="CP191" s="53"/>
      <c r="CQ191" s="52"/>
      <c r="CR191" s="52"/>
      <c r="CS191" s="52"/>
      <c r="CT191" s="52"/>
      <c r="CU191" s="52"/>
      <c r="CV191" s="53"/>
      <c r="CW191" s="53"/>
      <c r="CX191" s="52"/>
      <c r="CY191" s="52"/>
      <c r="CZ191" s="52"/>
      <c r="DA191" s="52"/>
      <c r="DB191" s="52"/>
      <c r="DC191" s="53"/>
      <c r="DD191" s="53"/>
      <c r="DE191" s="52"/>
      <c r="DF191" s="52"/>
      <c r="DG191" s="52"/>
      <c r="DH191" s="52"/>
      <c r="DI191" s="52"/>
      <c r="DJ191" s="53"/>
      <c r="DK191" s="53"/>
      <c r="DL191" s="52"/>
      <c r="DM191" s="52"/>
      <c r="DN191" s="52"/>
      <c r="DO191" s="52"/>
      <c r="DP191" s="52"/>
      <c r="DQ191" s="53"/>
      <c r="DR191" s="53"/>
      <c r="DS191" s="52"/>
      <c r="DT191" s="52"/>
      <c r="DU191" s="52"/>
      <c r="DV191" s="52"/>
      <c r="DW191" s="52"/>
      <c r="DX191" s="53"/>
      <c r="DY191" s="53"/>
      <c r="DZ191" s="52"/>
      <c r="EA191" s="52"/>
      <c r="EB191" s="52"/>
      <c r="EC191" s="52"/>
      <c r="ED191" s="52"/>
      <c r="EE191" s="53"/>
      <c r="EF191" s="53"/>
      <c r="EG191" s="52"/>
      <c r="EH191" s="52"/>
      <c r="EI191" s="52"/>
      <c r="EJ191" s="52"/>
      <c r="EK191" s="54"/>
      <c r="OU191" s="28" t="s">
        <v>103</v>
      </c>
    </row>
    <row r="192" ht="16" customHeight="1" spans="1:411" x14ac:dyDescent="0.25">
      <c r="A192" s="74"/>
      <c r="B192" s="46"/>
      <c r="C192" s="47"/>
      <c r="D192" s="48"/>
      <c r="E192" s="55" t="s">
        <v>60</v>
      </c>
      <c r="F192" s="49"/>
      <c r="G192" s="49"/>
      <c r="H192" s="49"/>
      <c r="I192" s="49"/>
      <c r="J192" s="50"/>
      <c r="K192" s="56">
        <v>0</v>
      </c>
      <c r="L192" s="57">
        <v>0</v>
      </c>
      <c r="M192" s="57">
        <v>0</v>
      </c>
      <c r="N192" s="57">
        <v>0</v>
      </c>
      <c r="O192" s="57">
        <v>0</v>
      </c>
      <c r="P192" s="58">
        <v>0</v>
      </c>
      <c r="Q192" s="58">
        <v>0</v>
      </c>
      <c r="R192" s="57">
        <v>0</v>
      </c>
      <c r="S192" s="57">
        <v>0</v>
      </c>
      <c r="T192" s="57">
        <v>0</v>
      </c>
      <c r="U192" s="57">
        <v>0</v>
      </c>
      <c r="V192" s="57">
        <v>0</v>
      </c>
      <c r="W192" s="58">
        <v>0</v>
      </c>
      <c r="X192" s="58">
        <v>0</v>
      </c>
      <c r="Y192" s="57">
        <v>0</v>
      </c>
      <c r="Z192" s="57">
        <v>0</v>
      </c>
      <c r="AA192" s="57">
        <v>0</v>
      </c>
      <c r="AB192" s="57">
        <v>0</v>
      </c>
      <c r="AC192" s="57">
        <v>0</v>
      </c>
      <c r="AD192" s="58">
        <v>0</v>
      </c>
      <c r="AE192" s="58">
        <v>0</v>
      </c>
      <c r="AF192" s="57">
        <v>0</v>
      </c>
      <c r="AG192" s="57">
        <v>0</v>
      </c>
      <c r="AH192" s="57">
        <v>0</v>
      </c>
      <c r="AI192" s="57">
        <v>0</v>
      </c>
      <c r="AJ192" s="57">
        <v>0</v>
      </c>
      <c r="AK192" s="58">
        <v>0</v>
      </c>
      <c r="AL192" s="58">
        <v>0</v>
      </c>
      <c r="AM192" s="57">
        <v>0</v>
      </c>
      <c r="AN192" s="57">
        <v>0</v>
      </c>
      <c r="AO192" s="57">
        <v>0</v>
      </c>
      <c r="AP192" s="57">
        <v>0</v>
      </c>
      <c r="AQ192" s="57">
        <v>0</v>
      </c>
      <c r="AR192" s="58">
        <v>0</v>
      </c>
      <c r="AS192" s="58">
        <v>0</v>
      </c>
      <c r="AT192" s="57">
        <v>0</v>
      </c>
      <c r="AU192" s="57">
        <v>0</v>
      </c>
      <c r="AV192" s="57">
        <v>0</v>
      </c>
      <c r="AW192" s="57">
        <v>0</v>
      </c>
      <c r="AX192" s="57">
        <v>0</v>
      </c>
      <c r="AY192" s="58">
        <v>0</v>
      </c>
      <c r="AZ192" s="58">
        <v>0</v>
      </c>
      <c r="BA192" s="57">
        <v>0</v>
      </c>
      <c r="BB192" s="57">
        <v>0</v>
      </c>
      <c r="BC192" s="57">
        <v>0</v>
      </c>
      <c r="BD192" s="57">
        <v>0</v>
      </c>
      <c r="BE192" s="57">
        <v>0</v>
      </c>
      <c r="BF192" s="58">
        <v>0</v>
      </c>
      <c r="BG192" s="58">
        <v>0</v>
      </c>
      <c r="BH192" s="57">
        <v>1</v>
      </c>
      <c r="BI192" s="57">
        <v>1</v>
      </c>
      <c r="BJ192" s="57">
        <v>1</v>
      </c>
      <c r="BK192" s="57">
        <v>1</v>
      </c>
      <c r="BL192" s="57">
        <v>1</v>
      </c>
      <c r="BM192" s="58">
        <v>1</v>
      </c>
      <c r="BN192" s="58">
        <v>1</v>
      </c>
      <c r="BO192" s="57">
        <v>1</v>
      </c>
      <c r="BP192" s="57">
        <v>1</v>
      </c>
      <c r="BQ192" s="57">
        <v>1</v>
      </c>
      <c r="BR192" s="57">
        <v>1</v>
      </c>
      <c r="BS192" s="57">
        <v>1</v>
      </c>
      <c r="BT192" s="58">
        <v>1</v>
      </c>
      <c r="BU192" s="58">
        <v>1</v>
      </c>
      <c r="BV192" s="57">
        <v>1</v>
      </c>
      <c r="BW192" s="57">
        <v>1</v>
      </c>
      <c r="BX192" s="57">
        <v>1</v>
      </c>
      <c r="BY192" s="57">
        <v>1</v>
      </c>
      <c r="BZ192" s="57">
        <v>1</v>
      </c>
      <c r="CA192" s="58">
        <v>1</v>
      </c>
      <c r="CB192" s="58">
        <v>1</v>
      </c>
      <c r="CC192" s="57">
        <v>1</v>
      </c>
      <c r="CD192" s="57">
        <v>1</v>
      </c>
      <c r="CE192" s="57">
        <v>1</v>
      </c>
      <c r="CF192" s="57">
        <v>1</v>
      </c>
      <c r="CG192" s="57">
        <v>1</v>
      </c>
      <c r="CH192" s="58">
        <v>1</v>
      </c>
      <c r="CI192" s="58">
        <v>1</v>
      </c>
      <c r="CJ192" s="57">
        <v>1</v>
      </c>
      <c r="CK192" s="57">
        <v>1</v>
      </c>
      <c r="CL192" s="57">
        <v>1</v>
      </c>
      <c r="CM192" s="57">
        <v>1</v>
      </c>
      <c r="CN192" s="57">
        <v>1</v>
      </c>
      <c r="CO192" s="58">
        <v>1</v>
      </c>
      <c r="CP192" s="58">
        <v>1</v>
      </c>
      <c r="CQ192" s="57">
        <v>1</v>
      </c>
      <c r="CR192" s="57">
        <v>1</v>
      </c>
      <c r="CS192" s="57">
        <v>1</v>
      </c>
      <c r="CT192" s="57">
        <v>1</v>
      </c>
      <c r="CU192" s="57">
        <v>1</v>
      </c>
      <c r="CV192" s="58">
        <v>1</v>
      </c>
      <c r="CW192" s="58">
        <v>1</v>
      </c>
      <c r="CX192" s="57">
        <v>1</v>
      </c>
      <c r="CY192" s="57">
        <v>1</v>
      </c>
      <c r="CZ192" s="57">
        <v>1</v>
      </c>
      <c r="DA192" s="57">
        <v>1</v>
      </c>
      <c r="DB192" s="57">
        <v>1</v>
      </c>
      <c r="DC192" s="58">
        <v>1</v>
      </c>
      <c r="DD192" s="58">
        <v>1</v>
      </c>
      <c r="DE192" s="57">
        <v>1</v>
      </c>
      <c r="DF192" s="57">
        <v>1</v>
      </c>
      <c r="DG192" s="57">
        <v>1</v>
      </c>
      <c r="DH192" s="57">
        <v>1</v>
      </c>
      <c r="DI192" s="57">
        <v>1</v>
      </c>
      <c r="DJ192" s="58">
        <v>1</v>
      </c>
      <c r="DK192" s="58">
        <v>1</v>
      </c>
      <c r="DL192" s="57">
        <v>1</v>
      </c>
      <c r="DM192" s="57">
        <v>1</v>
      </c>
      <c r="DN192" s="57">
        <v>1</v>
      </c>
      <c r="DO192" s="57">
        <v>1</v>
      </c>
      <c r="DP192" s="57">
        <v>1</v>
      </c>
      <c r="DQ192" s="58">
        <v>1</v>
      </c>
      <c r="DR192" s="58">
        <v>1</v>
      </c>
      <c r="DS192" s="57">
        <v>1</v>
      </c>
      <c r="DT192" s="57">
        <v>0</v>
      </c>
      <c r="DU192" s="57">
        <v>0</v>
      </c>
      <c r="DV192" s="57">
        <v>0</v>
      </c>
      <c r="DW192" s="57">
        <v>0</v>
      </c>
      <c r="DX192" s="58">
        <v>0</v>
      </c>
      <c r="DY192" s="58">
        <v>0</v>
      </c>
      <c r="DZ192" s="57">
        <v>0</v>
      </c>
      <c r="EA192" s="57">
        <v>0</v>
      </c>
      <c r="EB192" s="57">
        <v>0</v>
      </c>
      <c r="EC192" s="57">
        <v>0</v>
      </c>
      <c r="ED192" s="57">
        <v>0</v>
      </c>
      <c r="EE192" s="58">
        <v>0</v>
      </c>
      <c r="EF192" s="58">
        <v>0</v>
      </c>
      <c r="EG192" s="57">
        <v>0</v>
      </c>
      <c r="EH192" s="57">
        <v>0</v>
      </c>
      <c r="EI192" s="57">
        <v>0</v>
      </c>
      <c r="EJ192" s="57">
        <v>0</v>
      </c>
      <c r="EK192" s="59">
        <v>0</v>
      </c>
      <c r="OU192" s="60" t="s">
        <v>103</v>
      </c>
    </row>
    <row r="193" ht="16" customHeight="1" spans="1:411" x14ac:dyDescent="0.25">
      <c r="A193" s="74"/>
      <c r="B193" s="46"/>
      <c r="C193" s="47"/>
      <c r="D193" s="48"/>
      <c r="E193" s="55" t="s">
        <v>61</v>
      </c>
      <c r="F193" s="49"/>
      <c r="G193" s="49"/>
      <c r="H193" s="49"/>
      <c r="I193" s="49"/>
      <c r="J193" s="50"/>
      <c r="K193" s="56">
        <v>0</v>
      </c>
      <c r="L193" s="57">
        <v>0</v>
      </c>
      <c r="M193" s="57">
        <v>0</v>
      </c>
      <c r="N193" s="57">
        <v>0</v>
      </c>
      <c r="O193" s="57">
        <v>0</v>
      </c>
      <c r="P193" s="58">
        <v>0</v>
      </c>
      <c r="Q193" s="58">
        <v>0</v>
      </c>
      <c r="R193" s="57">
        <v>0</v>
      </c>
      <c r="S193" s="57">
        <v>0</v>
      </c>
      <c r="T193" s="57">
        <v>0</v>
      </c>
      <c r="U193" s="57">
        <v>0</v>
      </c>
      <c r="V193" s="57">
        <v>0</v>
      </c>
      <c r="W193" s="58">
        <v>0</v>
      </c>
      <c r="X193" s="58">
        <v>0</v>
      </c>
      <c r="Y193" s="57">
        <v>0</v>
      </c>
      <c r="Z193" s="57">
        <v>0</v>
      </c>
      <c r="AA193" s="57">
        <v>0</v>
      </c>
      <c r="AB193" s="57">
        <v>0</v>
      </c>
      <c r="AC193" s="57">
        <v>0</v>
      </c>
      <c r="AD193" s="58">
        <v>0</v>
      </c>
      <c r="AE193" s="58">
        <v>0</v>
      </c>
      <c r="AF193" s="57">
        <v>0</v>
      </c>
      <c r="AG193" s="57">
        <v>0</v>
      </c>
      <c r="AH193" s="57">
        <v>0</v>
      </c>
      <c r="AI193" s="57">
        <v>0</v>
      </c>
      <c r="AJ193" s="57">
        <v>0</v>
      </c>
      <c r="AK193" s="58">
        <v>0</v>
      </c>
      <c r="AL193" s="58">
        <v>0</v>
      </c>
      <c r="AM193" s="57">
        <v>0</v>
      </c>
      <c r="AN193" s="57">
        <v>0</v>
      </c>
      <c r="AO193" s="57">
        <v>0</v>
      </c>
      <c r="AP193" s="57">
        <v>0</v>
      </c>
      <c r="AQ193" s="57">
        <v>0</v>
      </c>
      <c r="AR193" s="58">
        <v>0</v>
      </c>
      <c r="AS193" s="58">
        <v>0</v>
      </c>
      <c r="AT193" s="57">
        <v>0</v>
      </c>
      <c r="AU193" s="57">
        <v>0</v>
      </c>
      <c r="AV193" s="57">
        <v>0</v>
      </c>
      <c r="AW193" s="57">
        <v>0</v>
      </c>
      <c r="AX193" s="57">
        <v>0</v>
      </c>
      <c r="AY193" s="58">
        <v>0</v>
      </c>
      <c r="AZ193" s="58">
        <v>0</v>
      </c>
      <c r="BA193" s="57">
        <v>0</v>
      </c>
      <c r="BB193" s="57">
        <v>0</v>
      </c>
      <c r="BC193" s="57">
        <v>0</v>
      </c>
      <c r="BD193" s="57">
        <v>0</v>
      </c>
      <c r="BE193" s="57">
        <v>0</v>
      </c>
      <c r="BF193" s="58">
        <v>0</v>
      </c>
      <c r="BG193" s="58">
        <v>0</v>
      </c>
      <c r="BH193" s="57">
        <v>13</v>
      </c>
      <c r="BI193" s="57">
        <v>13</v>
      </c>
      <c r="BJ193" s="57">
        <v>13</v>
      </c>
      <c r="BK193" s="57">
        <v>13</v>
      </c>
      <c r="BL193" s="57">
        <v>13</v>
      </c>
      <c r="BM193" s="58">
        <v>13</v>
      </c>
      <c r="BN193" s="58">
        <v>13</v>
      </c>
      <c r="BO193" s="57">
        <v>13</v>
      </c>
      <c r="BP193" s="57">
        <v>13</v>
      </c>
      <c r="BQ193" s="57">
        <v>13</v>
      </c>
      <c r="BR193" s="57">
        <v>13</v>
      </c>
      <c r="BS193" s="57">
        <v>13</v>
      </c>
      <c r="BT193" s="58">
        <v>13</v>
      </c>
      <c r="BU193" s="58">
        <v>13</v>
      </c>
      <c r="BV193" s="57">
        <v>13</v>
      </c>
      <c r="BW193" s="57">
        <v>13</v>
      </c>
      <c r="BX193" s="57">
        <v>13</v>
      </c>
      <c r="BY193" s="57">
        <v>13</v>
      </c>
      <c r="BZ193" s="57">
        <v>13</v>
      </c>
      <c r="CA193" s="58">
        <v>13</v>
      </c>
      <c r="CB193" s="58">
        <v>13</v>
      </c>
      <c r="CC193" s="57">
        <v>13</v>
      </c>
      <c r="CD193" s="57">
        <v>13</v>
      </c>
      <c r="CE193" s="57">
        <v>13</v>
      </c>
      <c r="CF193" s="57">
        <v>13</v>
      </c>
      <c r="CG193" s="57">
        <v>13</v>
      </c>
      <c r="CH193" s="58">
        <v>13</v>
      </c>
      <c r="CI193" s="58">
        <v>13</v>
      </c>
      <c r="CJ193" s="57">
        <v>13</v>
      </c>
      <c r="CK193" s="57">
        <v>13</v>
      </c>
      <c r="CL193" s="57">
        <v>13</v>
      </c>
      <c r="CM193" s="57">
        <v>13</v>
      </c>
      <c r="CN193" s="57">
        <v>13</v>
      </c>
      <c r="CO193" s="58">
        <v>13</v>
      </c>
      <c r="CP193" s="58">
        <v>13</v>
      </c>
      <c r="CQ193" s="57">
        <v>13</v>
      </c>
      <c r="CR193" s="57">
        <v>13</v>
      </c>
      <c r="CS193" s="57">
        <v>13</v>
      </c>
      <c r="CT193" s="57">
        <v>13</v>
      </c>
      <c r="CU193" s="57">
        <v>13</v>
      </c>
      <c r="CV193" s="58">
        <v>13</v>
      </c>
      <c r="CW193" s="58">
        <v>13</v>
      </c>
      <c r="CX193" s="57">
        <v>13</v>
      </c>
      <c r="CY193" s="57">
        <v>13</v>
      </c>
      <c r="CZ193" s="57">
        <v>13</v>
      </c>
      <c r="DA193" s="57">
        <v>13</v>
      </c>
      <c r="DB193" s="57">
        <v>13</v>
      </c>
      <c r="DC193" s="58">
        <v>13</v>
      </c>
      <c r="DD193" s="58">
        <v>13</v>
      </c>
      <c r="DE193" s="57">
        <v>13</v>
      </c>
      <c r="DF193" s="57">
        <v>13</v>
      </c>
      <c r="DG193" s="57">
        <v>13</v>
      </c>
      <c r="DH193" s="57">
        <v>13</v>
      </c>
      <c r="DI193" s="57">
        <v>13</v>
      </c>
      <c r="DJ193" s="58">
        <v>13</v>
      </c>
      <c r="DK193" s="58">
        <v>13</v>
      </c>
      <c r="DL193" s="57">
        <v>13</v>
      </c>
      <c r="DM193" s="57">
        <v>13</v>
      </c>
      <c r="DN193" s="57">
        <v>13</v>
      </c>
      <c r="DO193" s="57">
        <v>13</v>
      </c>
      <c r="DP193" s="57">
        <v>13</v>
      </c>
      <c r="DQ193" s="58">
        <v>13</v>
      </c>
      <c r="DR193" s="58">
        <v>13</v>
      </c>
      <c r="DS193" s="57">
        <v>13</v>
      </c>
      <c r="DT193" s="57">
        <v>0</v>
      </c>
      <c r="DU193" s="57">
        <v>0</v>
      </c>
      <c r="DV193" s="57">
        <v>0</v>
      </c>
      <c r="DW193" s="57">
        <v>0</v>
      </c>
      <c r="DX193" s="58">
        <v>0</v>
      </c>
      <c r="DY193" s="58">
        <v>0</v>
      </c>
      <c r="DZ193" s="57">
        <v>0</v>
      </c>
      <c r="EA193" s="57">
        <v>0</v>
      </c>
      <c r="EB193" s="57">
        <v>0</v>
      </c>
      <c r="EC193" s="57">
        <v>0</v>
      </c>
      <c r="ED193" s="57">
        <v>0</v>
      </c>
      <c r="EE193" s="58">
        <v>0</v>
      </c>
      <c r="EF193" s="58">
        <v>0</v>
      </c>
      <c r="EG193" s="57">
        <v>0</v>
      </c>
      <c r="EH193" s="57">
        <v>0</v>
      </c>
      <c r="EI193" s="57">
        <v>0</v>
      </c>
      <c r="EJ193" s="57">
        <v>0</v>
      </c>
      <c r="EK193" s="59">
        <v>0</v>
      </c>
      <c r="OU193" s="60" t="s">
        <v>103</v>
      </c>
    </row>
    <row r="194" ht="16" customHeight="1" spans="1:411" x14ac:dyDescent="0.25">
      <c r="A194" s="74"/>
      <c r="B194" s="46"/>
      <c r="C194" s="61">
        <f>F191*N(D194)</f>
        <v>40928.96</v>
      </c>
      <c r="D194" s="61">
        <f>IF(TRIM(B191)="","No rate",IFERROR(INDEX('Rate Tables'!C$7:C$158,MATCH(B191,'Rate Tables'!A$7:A$158,0)),"No rate"))</f>
        <v>111.22</v>
      </c>
      <c r="E194" s="55" t="s">
        <v>62</v>
      </c>
      <c r="F194" s="49"/>
      <c r="G194" s="49"/>
      <c r="H194" s="49"/>
      <c r="I194" s="49"/>
      <c r="J194" s="50"/>
      <c r="K194" s="62">
        <f>IF(AND(K192=0,K193=0),0,MIN(IF(K192&lt;=0,0,IF(WEEKDAY(K$6,1)=1,0,IF(WEEKDAY(K$6,1)=7,0,MIN(8,K193)*K192))),MAX(0,40*MAX(1,K192)-(0))))</f>
        <v>0</v>
      </c>
      <c r="L194" s="63">
        <f>IF(AND(L192=0,L193=0),0,MIN(IF(L192&lt;=0,0,IF(WEEKDAY(L$6,1)=1,0,IF(WEEKDAY(L$6,1)=7,0,MIN(8,L193)*L192))),MAX(0,40*MAX(1,L192)-(K194))))</f>
        <v>0</v>
      </c>
      <c r="M194" s="63">
        <f>IF(AND(M192=0,M193=0),0,MIN(IF(M192&lt;=0,0,IF(WEEKDAY(M$6,1)=1,0,IF(WEEKDAY(M$6,1)=7,0,MIN(8,M193)*M192))),MAX(0,40*MAX(1,M192)-(K194+L194))))</f>
        <v>0</v>
      </c>
      <c r="N194" s="63">
        <f>IF(AND(N192=0,N193=0),0,MIN(IF(N192&lt;=0,0,IF(WEEKDAY(N$6,1)=1,0,IF(WEEKDAY(N$6,1)=7,0,MIN(8,N193)*N192))),MAX(0,40*MAX(1,N192)-(K194+L194+M194))))</f>
        <v>0</v>
      </c>
      <c r="O194" s="63">
        <f>IF(AND(O192=0,O193=0),0,MIN(IF(O192&lt;=0,0,IF(WEEKDAY(O$6,1)=1,0,IF(WEEKDAY(O$6,1)=7,0,MIN(8,O193)*O192))),MAX(0,40*MAX(1,O192)-(K194+L194+M194+N194))))</f>
        <v>0</v>
      </c>
      <c r="P194" s="64">
        <f>IF(AND(P192=0,P193=0),0,MIN(IF(P192&lt;=0,0,IF(WEEKDAY(P$6,1)=1,0,IF(WEEKDAY(P$6,1)=7,0,MIN(8,P193)*P192))),MAX(0,40*MAX(1,P192)-(K194+L194+M194+N194+O194))))</f>
        <v>0</v>
      </c>
      <c r="Q194" s="64">
        <f>IF(AND(Q192=0,Q193=0),0,MIN(IF(Q192&lt;=0,0,IF(WEEKDAY(Q$6,1)=1,0,IF(WEEKDAY(Q$6,1)=7,0,MIN(8,Q193)*Q192))),MAX(0,40*MAX(1,Q192)-(K194+L194+M194+N194+O194+P194))))</f>
        <v>0</v>
      </c>
      <c r="R194" s="63">
        <f>IF(AND(R192=0,R193=0),0,MIN(IF(R192&lt;=0,0,IF(WEEKDAY(R$6,1)=1,0,IF(WEEKDAY(R$6,1)=7,0,MIN(8,R193)*R192))),MAX(0,40*MAX(1,R192)-(0))))</f>
        <v>0</v>
      </c>
      <c r="S194" s="63">
        <f>IF(AND(S192=0,S193=0),0,MIN(IF(S192&lt;=0,0,IF(WEEKDAY(S$6,1)=1,0,IF(WEEKDAY(S$6,1)=7,0,MIN(8,S193)*S192))),MAX(0,40*MAX(1,S192)-(R194))))</f>
        <v>0</v>
      </c>
      <c r="T194" s="63">
        <f>IF(AND(T192=0,T193=0),0,MIN(IF(T192&lt;=0,0,IF(WEEKDAY(T$6,1)=1,0,IF(WEEKDAY(T$6,1)=7,0,MIN(8,T193)*T192))),MAX(0,40*MAX(1,T192)-(R194+S194))))</f>
        <v>0</v>
      </c>
      <c r="U194" s="63">
        <f>IF(AND(U192=0,U193=0),0,MIN(IF(U192&lt;=0,0,IF(WEEKDAY(U$6,1)=1,0,IF(WEEKDAY(U$6,1)=7,0,MIN(8,U193)*U192))),MAX(0,40*MAX(1,U192)-(R194+S194+T194))))</f>
        <v>0</v>
      </c>
      <c r="V194" s="63">
        <f>IF(AND(V192=0,V193=0),0,MIN(IF(V192&lt;=0,0,IF(WEEKDAY(V$6,1)=1,0,IF(WEEKDAY(V$6,1)=7,0,MIN(8,V193)*V192))),MAX(0,40*MAX(1,V192)-(R194+S194+T194+U194))))</f>
        <v>0</v>
      </c>
      <c r="W194" s="64">
        <f>IF(AND(W192=0,W193=0),0,MIN(IF(W192&lt;=0,0,IF(WEEKDAY(W$6,1)=1,0,IF(WEEKDAY(W$6,1)=7,0,MIN(8,W193)*W192))),MAX(0,40*MAX(1,W192)-(R194+S194+T194+U194+V194))))</f>
        <v>0</v>
      </c>
      <c r="X194" s="64">
        <f>IF(AND(X192=0,X193=0),0,MIN(IF(X192&lt;=0,0,IF(WEEKDAY(X$6,1)=1,0,IF(WEEKDAY(X$6,1)=7,0,MIN(8,X193)*X192))),MAX(0,40*MAX(1,X192)-(R194+S194+T194+U194+V194+W194))))</f>
        <v>0</v>
      </c>
      <c r="Y194" s="63">
        <f>IF(AND(Y192=0,Y193=0),0,MIN(IF(Y192&lt;=0,0,IF(WEEKDAY(Y$6,1)=1,0,IF(WEEKDAY(Y$6,1)=7,0,MIN(8,Y193)*Y192))),MAX(0,40*MAX(1,Y192)-(0))))</f>
        <v>0</v>
      </c>
      <c r="Z194" s="63">
        <f>IF(AND(Z192=0,Z193=0),0,MIN(IF(Z192&lt;=0,0,IF(WEEKDAY(Z$6,1)=1,0,IF(WEEKDAY(Z$6,1)=7,0,MIN(8,Z193)*Z192))),MAX(0,40*MAX(1,Z192)-(Y194))))</f>
        <v>0</v>
      </c>
      <c r="AA194" s="63">
        <f>IF(AND(AA192=0,AA193=0),0,MIN(IF(AA192&lt;=0,0,IF(WEEKDAY(AA$6,1)=1,0,IF(WEEKDAY(AA$6,1)=7,0,MIN(8,AA193)*AA192))),MAX(0,40*MAX(1,AA192)-(Y194+Z194))))</f>
        <v>0</v>
      </c>
      <c r="AB194" s="63">
        <f>IF(AND(AB192=0,AB193=0),0,MIN(IF(AB192&lt;=0,0,IF(WEEKDAY(AB$6,1)=1,0,IF(WEEKDAY(AB$6,1)=7,0,MIN(8,AB193)*AB192))),MAX(0,40*MAX(1,AB192)-(Y194+Z194+AA194))))</f>
        <v>0</v>
      </c>
      <c r="AC194" s="63">
        <f>IF(AND(AC192=0,AC193=0),0,MIN(IF(AC192&lt;=0,0,IF(WEEKDAY(AC$6,1)=1,0,IF(WEEKDAY(AC$6,1)=7,0,MIN(8,AC193)*AC192))),MAX(0,40*MAX(1,AC192)-(Y194+Z194+AA194+AB194))))</f>
        <v>0</v>
      </c>
      <c r="AD194" s="64">
        <f>IF(AND(AD192=0,AD193=0),0,MIN(IF(AD192&lt;=0,0,IF(WEEKDAY(AD$6,1)=1,0,IF(WEEKDAY(AD$6,1)=7,0,MIN(8,AD193)*AD192))),MAX(0,40*MAX(1,AD192)-(Y194+Z194+AA194+AB194+AC194))))</f>
        <v>0</v>
      </c>
      <c r="AE194" s="64">
        <f>IF(AND(AE192=0,AE193=0),0,MIN(IF(AE192&lt;=0,0,IF(WEEKDAY(AE$6,1)=1,0,IF(WEEKDAY(AE$6,1)=7,0,MIN(8,AE193)*AE192))),MAX(0,40*MAX(1,AE192)-(Y194+Z194+AA194+AB194+AC194+AD194))))</f>
        <v>0</v>
      </c>
      <c r="AF194" s="63">
        <f>IF(AND(AF192=0,AF193=0),0,MIN(IF(AF192&lt;=0,0,IF(WEEKDAY(AF$6,1)=1,0,IF(WEEKDAY(AF$6,1)=7,0,MIN(8,AF193)*AF192))),MAX(0,40*MAX(1,AF192)-(0))))</f>
        <v>0</v>
      </c>
      <c r="AG194" s="63">
        <f>IF(AND(AG192=0,AG193=0),0,MIN(IF(AG192&lt;=0,0,IF(WEEKDAY(AG$6,1)=1,0,IF(WEEKDAY(AG$6,1)=7,0,MIN(8,AG193)*AG192))),MAX(0,40*MAX(1,AG192)-(AF194))))</f>
        <v>0</v>
      </c>
      <c r="AH194" s="63">
        <f>IF(AND(AH192=0,AH193=0),0,MIN(IF(AH192&lt;=0,0,IF(WEEKDAY(AH$6,1)=1,0,IF(WEEKDAY(AH$6,1)=7,0,MIN(8,AH193)*AH192))),MAX(0,40*MAX(1,AH192)-(AF194+AG194))))</f>
        <v>0</v>
      </c>
      <c r="AI194" s="63">
        <f>IF(AND(AI192=0,AI193=0),0,MIN(IF(AI192&lt;=0,0,IF(WEEKDAY(AI$6,1)=1,0,IF(WEEKDAY(AI$6,1)=7,0,MIN(8,AI193)*AI192))),MAX(0,40*MAX(1,AI192)-(AF194+AG194+AH194))))</f>
        <v>0</v>
      </c>
      <c r="AJ194" s="63">
        <f>IF(AND(AJ192=0,AJ193=0),0,MIN(IF(AJ192&lt;=0,0,IF(WEEKDAY(AJ$6,1)=1,0,IF(WEEKDAY(AJ$6,1)=7,0,MIN(8,AJ193)*AJ192))),MAX(0,40*MAX(1,AJ192)-(AF194+AG194+AH194+AI194))))</f>
        <v>0</v>
      </c>
      <c r="AK194" s="64">
        <f>IF(AND(AK192=0,AK193=0),0,MIN(IF(AK192&lt;=0,0,IF(WEEKDAY(AK$6,1)=1,0,IF(WEEKDAY(AK$6,1)=7,0,MIN(8,AK193)*AK192))),MAX(0,40*MAX(1,AK192)-(AF194+AG194+AH194+AI194+AJ194))))</f>
        <v>0</v>
      </c>
      <c r="AL194" s="64">
        <f>IF(AND(AL192=0,AL193=0),0,MIN(IF(AL192&lt;=0,0,IF(WEEKDAY(AL$6,1)=1,0,IF(WEEKDAY(AL$6,1)=7,0,MIN(8,AL193)*AL192))),MAX(0,40*MAX(1,AL192)-(AF194+AG194+AH194+AI194+AJ194+AK194))))</f>
        <v>0</v>
      </c>
      <c r="AM194" s="63">
        <f>IF(AND(AM192=0,AM193=0),0,MIN(IF(AM192&lt;=0,0,IF(WEEKDAY(AM$6,1)=1,0,IF(WEEKDAY(AM$6,1)=7,0,MIN(8,AM193)*AM192))),MAX(0,40*MAX(1,AM192)-(0))))</f>
        <v>0</v>
      </c>
      <c r="AN194" s="63">
        <f>IF(AND(AN192=0,AN193=0),0,MIN(IF(AN192&lt;=0,0,IF(WEEKDAY(AN$6,1)=1,0,IF(WEEKDAY(AN$6,1)=7,0,MIN(8,AN193)*AN192))),MAX(0,40*MAX(1,AN192)-(AM194))))</f>
        <v>0</v>
      </c>
      <c r="AO194" s="63">
        <f>IF(AND(AO192=0,AO193=0),0,MIN(IF(AO192&lt;=0,0,IF(WEEKDAY(AO$6,1)=1,0,IF(WEEKDAY(AO$6,1)=7,0,MIN(8,AO193)*AO192))),MAX(0,40*MAX(1,AO192)-(AM194+AN194))))</f>
        <v>0</v>
      </c>
      <c r="AP194" s="63">
        <f>IF(AND(AP192=0,AP193=0),0,MIN(IF(AP192&lt;=0,0,IF(WEEKDAY(AP$6,1)=1,0,IF(WEEKDAY(AP$6,1)=7,0,MIN(8,AP193)*AP192))),MAX(0,40*MAX(1,AP192)-(AM194+AN194+AO194))))</f>
        <v>0</v>
      </c>
      <c r="AQ194" s="63">
        <f>IF(AND(AQ192=0,AQ193=0),0,MIN(IF(AQ192&lt;=0,0,IF(WEEKDAY(AQ$6,1)=1,0,IF(WEEKDAY(AQ$6,1)=7,0,MIN(8,AQ193)*AQ192))),MAX(0,40*MAX(1,AQ192)-(AM194+AN194+AO194+AP194))))</f>
        <v>0</v>
      </c>
      <c r="AR194" s="64">
        <f>IF(AND(AR192=0,AR193=0),0,MIN(IF(AR192&lt;=0,0,IF(WEEKDAY(AR$6,1)=1,0,IF(WEEKDAY(AR$6,1)=7,0,MIN(8,AR193)*AR192))),MAX(0,40*MAX(1,AR192)-(AM194+AN194+AO194+AP194+AQ194))))</f>
        <v>0</v>
      </c>
      <c r="AS194" s="64">
        <f>IF(AND(AS192=0,AS193=0),0,MIN(IF(AS192&lt;=0,0,IF(WEEKDAY(AS$6,1)=1,0,IF(WEEKDAY(AS$6,1)=7,0,MIN(8,AS193)*AS192))),MAX(0,40*MAX(1,AS192)-(AM194+AN194+AO194+AP194+AQ194+AR194))))</f>
        <v>0</v>
      </c>
      <c r="AT194" s="63">
        <f>IF(AND(AT192=0,AT193=0),0,MIN(IF(AT192&lt;=0,0,IF(WEEKDAY(AT$6,1)=1,0,IF(WEEKDAY(AT$6,1)=7,0,MIN(8,AT193)*AT192))),MAX(0,40*MAX(1,AT192)-(0))))</f>
        <v>0</v>
      </c>
      <c r="AU194" s="63">
        <f>IF(AND(AU192=0,AU193=0),0,MIN(IF(AU192&lt;=0,0,IF(WEEKDAY(AU$6,1)=1,0,IF(WEEKDAY(AU$6,1)=7,0,MIN(8,AU193)*AU192))),MAX(0,40*MAX(1,AU192)-(AT194))))</f>
        <v>0</v>
      </c>
      <c r="AV194" s="63">
        <f>IF(AND(AV192=0,AV193=0),0,MIN(IF(AV192&lt;=0,0,IF(WEEKDAY(AV$6,1)=1,0,IF(WEEKDAY(AV$6,1)=7,0,MIN(8,AV193)*AV192))),MAX(0,40*MAX(1,AV192)-(AT194+AU194))))</f>
        <v>0</v>
      </c>
      <c r="AW194" s="63">
        <f>IF(AND(AW192=0,AW193=0),0,MIN(IF(AW192&lt;=0,0,IF(WEEKDAY(AW$6,1)=1,0,IF(WEEKDAY(AW$6,1)=7,0,MIN(8,AW193)*AW192))),MAX(0,40*MAX(1,AW192)-(AT194+AU194+AV194))))</f>
        <v>0</v>
      </c>
      <c r="AX194" s="63">
        <f>IF(AND(AX192=0,AX193=0),0,MIN(IF(AX192&lt;=0,0,IF(WEEKDAY(AX$6,1)=1,0,IF(WEEKDAY(AX$6,1)=7,0,MIN(8,AX193)*AX192))),MAX(0,40*MAX(1,AX192)-(AT194+AU194+AV194+AW194))))</f>
        <v>0</v>
      </c>
      <c r="AY194" s="64">
        <f>IF(AND(AY192=0,AY193=0),0,MIN(IF(AY192&lt;=0,0,IF(WEEKDAY(AY$6,1)=1,0,IF(WEEKDAY(AY$6,1)=7,0,MIN(8,AY193)*AY192))),MAX(0,40*MAX(1,AY192)-(AT194+AU194+AV194+AW194+AX194))))</f>
        <v>0</v>
      </c>
      <c r="AZ194" s="64">
        <f>IF(AND(AZ192=0,AZ193=0),0,MIN(IF(AZ192&lt;=0,0,IF(WEEKDAY(AZ$6,1)=1,0,IF(WEEKDAY(AZ$6,1)=7,0,MIN(8,AZ193)*AZ192))),MAX(0,40*MAX(1,AZ192)-(AT194+AU194+AV194+AW194+AX194+AY194))))</f>
        <v>0</v>
      </c>
      <c r="BA194" s="63">
        <f>IF(AND(BA192=0,BA193=0),0,MIN(IF(BA192&lt;=0,0,IF(WEEKDAY(BA$6,1)=1,0,IF(WEEKDAY(BA$6,1)=7,0,MIN(8,BA193)*BA192))),MAX(0,40*MAX(1,BA192)-(0))))</f>
        <v>0</v>
      </c>
      <c r="BB194" s="63">
        <f>IF(AND(BB192=0,BB193=0),0,MIN(IF(BB192&lt;=0,0,IF(WEEKDAY(BB$6,1)=1,0,IF(WEEKDAY(BB$6,1)=7,0,MIN(8,BB193)*BB192))),MAX(0,40*MAX(1,BB192)-(BA194))))</f>
        <v>0</v>
      </c>
      <c r="BC194" s="63">
        <f>IF(AND(BC192=0,BC193=0),0,MIN(IF(BC192&lt;=0,0,IF(WEEKDAY(BC$6,1)=1,0,IF(WEEKDAY(BC$6,1)=7,0,MIN(8,BC193)*BC192))),MAX(0,40*MAX(1,BC192)-(BA194+BB194))))</f>
        <v>0</v>
      </c>
      <c r="BD194" s="63">
        <f>IF(AND(BD192=0,BD193=0),0,MIN(IF(BD192&lt;=0,0,IF(WEEKDAY(BD$6,1)=1,0,IF(WEEKDAY(BD$6,1)=7,0,MIN(8,BD193)*BD192))),MAX(0,40*MAX(1,BD192)-(BA194+BB194+BC194))))</f>
        <v>0</v>
      </c>
      <c r="BE194" s="63">
        <f>IF(AND(BE192=0,BE193=0),0,MIN(IF(BE192&lt;=0,0,IF(WEEKDAY(BE$6,1)=1,0,IF(WEEKDAY(BE$6,1)=7,0,MIN(8,BE193)*BE192))),MAX(0,40*MAX(1,BE192)-(BA194+BB194+BC194+BD194))))</f>
        <v>0</v>
      </c>
      <c r="BF194" s="64">
        <f>IF(AND(BF192=0,BF193=0),0,MIN(IF(BF192&lt;=0,0,IF(WEEKDAY(BF$6,1)=1,0,IF(WEEKDAY(BF$6,1)=7,0,MIN(8,BF193)*BF192))),MAX(0,40*MAX(1,BF192)-(BA194+BB194+BC194+BD194+BE194))))</f>
        <v>0</v>
      </c>
      <c r="BG194" s="64">
        <f>IF(AND(BG192=0,BG193=0),0,MIN(IF(BG192&lt;=0,0,IF(WEEKDAY(BG$6,1)=1,0,IF(WEEKDAY(BG$6,1)=7,0,MIN(8,BG193)*BG192))),MAX(0,40*MAX(1,BG192)-(BA194+BB194+BC194+BD194+BE194+BF194))))</f>
        <v>0</v>
      </c>
      <c r="BH194" s="63">
        <f>IF(AND(BH192=1,BH193=13),8,MIN(IF(BH192&lt;=0,0,IF(WEEKDAY(BH$6,1)=1,0,IF(WEEKDAY(BH$6,1)=7,0,MIN(8,BH193)*BH192))),MAX(0,40*MAX(1,BH192)-(0))))</f>
        <v>8</v>
      </c>
      <c r="BI194" s="63">
        <f>IF(AND(BI192=1,BI193=13),8,MIN(IF(BI192&lt;=0,0,IF(WEEKDAY(BI$6,1)=1,0,IF(WEEKDAY(BI$6,1)=7,0,MIN(8,BI193)*BI192))),MAX(0,40*MAX(1,BI192)-(BH194))))</f>
        <v>8</v>
      </c>
      <c r="BJ194" s="63">
        <f>IF(AND(BJ192=1,BJ193=13),8,MIN(IF(BJ192&lt;=0,0,IF(WEEKDAY(BJ$6,1)=1,0,IF(WEEKDAY(BJ$6,1)=7,0,MIN(8,BJ193)*BJ192))),MAX(0,40*MAX(1,BJ192)-(BH194+BI194))))</f>
        <v>8</v>
      </c>
      <c r="BK194" s="63">
        <f>IF(AND(BK192=1,BK193=13),8,MIN(IF(BK192&lt;=0,0,IF(WEEKDAY(BK$6,1)=1,0,IF(WEEKDAY(BK$6,1)=7,0,MIN(8,BK193)*BK192))),MAX(0,40*MAX(1,BK192)-(BH194+BI194+BJ194))))</f>
        <v>8</v>
      </c>
      <c r="BL194" s="63">
        <f>IF(AND(BL192=1,BL193=13),8,MIN(IF(BL192&lt;=0,0,IF(WEEKDAY(BL$6,1)=1,0,IF(WEEKDAY(BL$6,1)=7,0,MIN(8,BL193)*BL192))),MAX(0,40*MAX(1,BL192)-(BH194+BI194+BJ194+BK194))))</f>
        <v>8</v>
      </c>
      <c r="BM194" s="64">
        <f>IF(AND(BM192=1,BM193=13),0,MIN(IF(BM192&lt;=0,0,IF(WEEKDAY(BM$6,1)=1,0,IF(WEEKDAY(BM$6,1)=7,0,MIN(8,BM193)*BM192))),MAX(0,40*MAX(1,BM192)-(BH194+BI194+BJ194+BK194+BL194))))</f>
        <v>0</v>
      </c>
      <c r="BN194" s="64">
        <f>IF(AND(BN192=1,BN193=13),0,MIN(IF(BN192&lt;=0,0,IF(WEEKDAY(BN$6,1)=1,0,IF(WEEKDAY(BN$6,1)=7,0,MIN(8,BN193)*BN192))),MAX(0,40*MAX(1,BN192)-(BH194+BI194+BJ194+BK194+BL194+BM194))))</f>
        <v>0</v>
      </c>
      <c r="BO194" s="63">
        <f>IF(AND(BO192=1,BO193=13),8,MIN(IF(BO192&lt;=0,0,IF(WEEKDAY(BO$6,1)=1,0,IF(WEEKDAY(BO$6,1)=7,0,MIN(8,BO193)*BO192))),MAX(0,40*MAX(1,BO192)-(0))))</f>
        <v>8</v>
      </c>
      <c r="BP194" s="63">
        <f>IF(AND(BP192=1,BP193=13),8,MIN(IF(BP192&lt;=0,0,IF(WEEKDAY(BP$6,1)=1,0,IF(WEEKDAY(BP$6,1)=7,0,MIN(8,BP193)*BP192))),MAX(0,40*MAX(1,BP192)-(BO194))))</f>
        <v>8</v>
      </c>
      <c r="BQ194" s="63">
        <f>IF(AND(BQ192=1,BQ193=13),8,MIN(IF(BQ192&lt;=0,0,IF(WEEKDAY(BQ$6,1)=1,0,IF(WEEKDAY(BQ$6,1)=7,0,MIN(8,BQ193)*BQ192))),MAX(0,40*MAX(1,BQ192)-(BO194+BP194))))</f>
        <v>8</v>
      </c>
      <c r="BR194" s="63">
        <f>IF(AND(BR192=1,BR193=13),8,MIN(IF(BR192&lt;=0,0,IF(WEEKDAY(BR$6,1)=1,0,IF(WEEKDAY(BR$6,1)=7,0,MIN(8,BR193)*BR192))),MAX(0,40*MAX(1,BR192)-(0))))</f>
        <v>8</v>
      </c>
      <c r="BS194" s="63">
        <f>IF(AND(BS192=1,BS193=13),8,MIN(IF(BS192&lt;=0,0,IF(WEEKDAY(BS$6,1)=1,0,IF(WEEKDAY(BS$6,1)=7,0,MIN(8,BS193)*BS192))),MAX(0,40*MAX(1,BS192)-(BR194))))</f>
        <v>8</v>
      </c>
      <c r="BT194" s="64">
        <f>IF(AND(BT192=1,BT193=13),0,MIN(IF(BT192&lt;=0,0,IF(WEEKDAY(BT$6,1)=1,0,IF(WEEKDAY(BT$6,1)=7,0,MIN(8,BT193)*BT192))),MAX(0,40*MAX(1,BT192)-(BR194+BS194))))</f>
        <v>0</v>
      </c>
      <c r="BU194" s="64">
        <f>IF(AND(BU192=1,BU193=13),0,MIN(IF(BU192&lt;=0,0,IF(WEEKDAY(BU$6,1)=1,0,IF(WEEKDAY(BU$6,1)=7,0,MIN(8,BU193)*BU192))),MAX(0,40*MAX(1,BU192)-(BR194+BS194+BT194))))</f>
        <v>0</v>
      </c>
      <c r="BV194" s="63">
        <f>IF(AND(BV192=1,BV193=13),8,MIN(IF(BV192&lt;=0,0,IF(WEEKDAY(BV$6,1)=1,0,IF(WEEKDAY(BV$6,1)=7,0,MIN(8,BV193)*BV192))),MAX(0,40*MAX(1,BV192)-(0))))</f>
        <v>8</v>
      </c>
      <c r="BW194" s="63">
        <f>IF(AND(BW192=1,BW193=13),8,MIN(IF(BW192&lt;=0,0,IF(WEEKDAY(BW$6,1)=1,0,IF(WEEKDAY(BW$6,1)=7,0,MIN(8,BW193)*BW192))),MAX(0,40*MAX(1,BW192)-(BV194))))</f>
        <v>8</v>
      </c>
      <c r="BX194" s="63">
        <f>IF(AND(BX192=1,BX193=13),8,MIN(IF(BX192&lt;=0,0,IF(WEEKDAY(BX$6,1)=1,0,IF(WEEKDAY(BX$6,1)=7,0,MIN(8,BX193)*BX192))),MAX(0,40*MAX(1,BX192)-(BV194+BW194))))</f>
        <v>8</v>
      </c>
      <c r="BY194" s="63">
        <f>IF(AND(BY192=1,BY193=13),8,MIN(IF(BY192&lt;=0,0,IF(WEEKDAY(BY$6,1)=1,0,IF(WEEKDAY(BY$6,1)=7,0,MIN(8,BY193)*BY192))),MAX(0,40*MAX(1,BY192)-(BV194+BW194+BX194))))</f>
        <v>8</v>
      </c>
      <c r="BZ194" s="63">
        <f>IF(AND(BZ192=1,BZ193=13),8,MIN(IF(BZ192&lt;=0,0,IF(WEEKDAY(BZ$6,1)=1,0,IF(WEEKDAY(BZ$6,1)=7,0,MIN(8,BZ193)*BZ192))),MAX(0,40*MAX(1,BZ192)-(BV194+BW194+BX194+BY194))))</f>
        <v>8</v>
      </c>
      <c r="CA194" s="64">
        <f>IF(AND(CA192=1,CA193=13),0,MIN(IF(CA192&lt;=0,0,IF(WEEKDAY(CA$6,1)=1,0,IF(WEEKDAY(CA$6,1)=7,0,MIN(8,CA193)*CA192))),MAX(0,40*MAX(1,CA192)-(BV194+BW194+BX194+BY194+BZ194))))</f>
        <v>0</v>
      </c>
      <c r="CB194" s="64">
        <f>IF(AND(CB192=1,CB193=13),0,MIN(IF(CB192&lt;=0,0,IF(WEEKDAY(CB$6,1)=1,0,IF(WEEKDAY(CB$6,1)=7,0,MIN(8,CB193)*CB192))),MAX(0,40*MAX(1,CB192)-(BV194+BW194+BX194+BY194+BZ194+CA194))))</f>
        <v>0</v>
      </c>
      <c r="CC194" s="63">
        <f>IF(AND(CC192=1,CC193=13),8,MIN(IF(CC192&lt;=0,0,IF(WEEKDAY(CC$6,1)=1,0,IF(WEEKDAY(CC$6,1)=7,0,MIN(8,CC193)*CC192))),MAX(0,40*MAX(1,CC192)-(0))))</f>
        <v>8</v>
      </c>
      <c r="CD194" s="63">
        <f>IF(AND(CD192=1,CD193=13),8,MIN(IF(CD192&lt;=0,0,IF(WEEKDAY(CD$6,1)=1,0,IF(WEEKDAY(CD$6,1)=7,0,MIN(8,CD193)*CD192))),MAX(0,40*MAX(1,CD192)-(CC194))))</f>
        <v>8</v>
      </c>
      <c r="CE194" s="63">
        <f>IF(AND(CE192=1,CE193=13),8,MIN(IF(CE192&lt;=0,0,IF(WEEKDAY(CE$6,1)=1,0,IF(WEEKDAY(CE$6,1)=7,0,MIN(8,CE193)*CE192))),MAX(0,40*MAX(1,CE192)-(CC194+CD194))))</f>
        <v>8</v>
      </c>
      <c r="CF194" s="63">
        <f>IF(AND(CF192=1,CF193=13),8,MIN(IF(CF192&lt;=0,0,IF(WEEKDAY(CF$6,1)=1,0,IF(WEEKDAY(CF$6,1)=7,0,MIN(8,CF193)*CF192))),MAX(0,40*MAX(1,CF192)-(CC194+CD194+CE194))))</f>
        <v>8</v>
      </c>
      <c r="CG194" s="63">
        <f>IF(AND(CG192=1,CG193=13),8,MIN(IF(CG192&lt;=0,0,IF(WEEKDAY(CG$6,1)=1,0,IF(WEEKDAY(CG$6,1)=7,0,MIN(8,CG193)*CG192))),MAX(0,40*MAX(1,CG192)-(CC194+CD194+CE194+CF194))))</f>
        <v>8</v>
      </c>
      <c r="CH194" s="64">
        <f>IF(AND(CH192=1,CH193=13),0,MIN(IF(CH192&lt;=0,0,IF(WEEKDAY(CH$6,1)=1,0,IF(WEEKDAY(CH$6,1)=7,0,MIN(8,CH193)*CH192))),MAX(0,40*MAX(1,CH192)-(CC194+CD194+CE194+CF194+CG194))))</f>
        <v>0</v>
      </c>
      <c r="CI194" s="64">
        <f>IF(AND(CI192=1,CI193=13),0,MIN(IF(CI192&lt;=0,0,IF(WEEKDAY(CI$6,1)=1,0,IF(WEEKDAY(CI$6,1)=7,0,MIN(8,CI193)*CI192))),MAX(0,40*MAX(1,CI192)-(CC194+CD194+CE194+CF194+CG194+CH194))))</f>
        <v>0</v>
      </c>
      <c r="CJ194" s="63">
        <f>IF(AND(CJ192=1,CJ193=13),8,MIN(IF(CJ192&lt;=0,0,IF(WEEKDAY(CJ$6,1)=1,0,IF(WEEKDAY(CJ$6,1)=7,0,MIN(8,CJ193)*CJ192))),MAX(0,40*MAX(1,CJ192)-(0))))</f>
        <v>8</v>
      </c>
      <c r="CK194" s="63">
        <f>IF(AND(CK192=1,CK193=13),8,MIN(IF(CK192&lt;=0,0,IF(WEEKDAY(CK$6,1)=1,0,IF(WEEKDAY(CK$6,1)=7,0,MIN(8,CK193)*CK192))),MAX(0,40*MAX(1,CK192)-(CJ194))))</f>
        <v>8</v>
      </c>
      <c r="CL194" s="63">
        <f>IF(AND(CL192=1,CL193=13),8,MIN(IF(CL192&lt;=0,0,IF(WEEKDAY(CL$6,1)=1,0,IF(WEEKDAY(CL$6,1)=7,0,MIN(8,CL193)*CL192))),MAX(0,40*MAX(1,CL192)-(CJ194+CK194))))</f>
        <v>8</v>
      </c>
      <c r="CM194" s="63">
        <f>IF(AND(CM192=1,CM193=13),8,MIN(IF(CM192&lt;=0,0,IF(WEEKDAY(CM$6,1)=1,0,IF(WEEKDAY(CM$6,1)=7,0,MIN(8,CM193)*CM192))),MAX(0,40*MAX(1,CM192)-(CJ194+CK194+CL194))))</f>
        <v>8</v>
      </c>
      <c r="CN194" s="63">
        <f>IF(AND(CN192=1,CN193=13),8,MIN(IF(CN192&lt;=0,0,IF(WEEKDAY(CN$6,1)=1,0,IF(WEEKDAY(CN$6,1)=7,0,MIN(8,CN193)*CN192))),MAX(0,40*MAX(1,CN192)-(CJ194+CK194+CL194+CM194))))</f>
        <v>8</v>
      </c>
      <c r="CO194" s="64">
        <f>IF(AND(CO192=1,CO193=13),0,MIN(IF(CO192&lt;=0,0,IF(WEEKDAY(CO$6,1)=1,0,IF(WEEKDAY(CO$6,1)=7,0,MIN(8,CO193)*CO192))),MAX(0,40*MAX(1,CO192)-(CJ194+CK194+CL194+CM194+CN194))))</f>
        <v>0</v>
      </c>
      <c r="CP194" s="64">
        <f>IF(AND(CP192=1,CP193=13),0,MIN(IF(CP192&lt;=0,0,IF(WEEKDAY(CP$6,1)=1,0,IF(WEEKDAY(CP$6,1)=7,0,MIN(8,CP193)*CP192))),MAX(0,40*MAX(1,CP192)-(CJ194+CK194+CL194+CM194+CN194+CO194))))</f>
        <v>0</v>
      </c>
      <c r="CQ194" s="63">
        <f>IF(AND(CQ192=1,CQ193=13),8,MIN(IF(CQ192&lt;=0,0,IF(WEEKDAY(CQ$6,1)=1,0,IF(WEEKDAY(CQ$6,1)=7,0,MIN(8,CQ193)*CQ192))),MAX(0,40*MAX(1,CQ192)-(0))))</f>
        <v>8</v>
      </c>
      <c r="CR194" s="63">
        <f>IF(AND(CR192=1,CR193=13),8,MIN(IF(CR192&lt;=0,0,IF(WEEKDAY(CR$6,1)=1,0,IF(WEEKDAY(CR$6,1)=7,0,MIN(8,CR193)*CR192))),MAX(0,40*MAX(1,CR192)-(CQ194))))</f>
        <v>8</v>
      </c>
      <c r="CS194" s="63">
        <f>IF(AND(CS192=1,CS193=13),8,MIN(IF(CS192&lt;=0,0,IF(WEEKDAY(CS$6,1)=1,0,IF(WEEKDAY(CS$6,1)=7,0,MIN(8,CS193)*CS192))),MAX(0,40*MAX(1,CS192)-(CQ194+CR194))))</f>
        <v>8</v>
      </c>
      <c r="CT194" s="63">
        <f>IF(AND(CT192=1,CT193=13),8,MIN(IF(CT192&lt;=0,0,IF(WEEKDAY(CT$6,1)=1,0,IF(WEEKDAY(CT$6,1)=7,0,MIN(8,CT193)*CT192))),MAX(0,40*MAX(1,CT192)-(CQ194+CR194+CS194))))</f>
        <v>8</v>
      </c>
      <c r="CU194" s="63">
        <f>IF(AND(CU192=1,CU193=13),8,MIN(IF(CU192&lt;=0,0,IF(WEEKDAY(CU$6,1)=1,0,IF(WEEKDAY(CU$6,1)=7,0,MIN(8,CU193)*CU192))),MAX(0,40*MAX(1,CU192)-(CQ194+CR194+CS194+CT194))))</f>
        <v>8</v>
      </c>
      <c r="CV194" s="64">
        <f>IF(AND(CV192=1,CV193=13),0,MIN(IF(CV192&lt;=0,0,IF(WEEKDAY(CV$6,1)=1,0,IF(WEEKDAY(CV$6,1)=7,0,MIN(8,CV193)*CV192))),MAX(0,40*MAX(1,CV192)-(CQ194+CR194+CS194+CT194+CU194))))</f>
        <v>0</v>
      </c>
      <c r="CW194" s="64">
        <f>IF(AND(CW192=1,CW193=13),0,MIN(IF(CW192&lt;=0,0,IF(WEEKDAY(CW$6,1)=1,0,IF(WEEKDAY(CW$6,1)=7,0,MIN(8,CW193)*CW192))),MAX(0,40*MAX(1,CW192)-(CQ194+CR194+CS194+CT194+CU194+CV194))))</f>
        <v>0</v>
      </c>
      <c r="CX194" s="63">
        <f>IF(AND(CX192=1,CX193=13),8,MIN(IF(CX192&lt;=0,0,IF(WEEKDAY(CX$6,1)=1,0,IF(WEEKDAY(CX$6,1)=7,0,MIN(8,CX193)*CX192))),MAX(0,40*MAX(1,CX192)-(0))))</f>
        <v>8</v>
      </c>
      <c r="CY194" s="63">
        <f>IF(AND(CY192=1,CY193=13),8,MIN(IF(CY192&lt;=0,0,IF(WEEKDAY(CY$6,1)=1,0,IF(WEEKDAY(CY$6,1)=7,0,MIN(8,CY193)*CY192))),MAX(0,40*MAX(1,CY192)-(CX194))))</f>
        <v>8</v>
      </c>
      <c r="CZ194" s="63">
        <f>IF(AND(CZ192=1,CZ193=13),8,MIN(IF(CZ192&lt;=0,0,IF(WEEKDAY(CZ$6,1)=1,0,IF(WEEKDAY(CZ$6,1)=7,0,MIN(8,CZ193)*CZ192))),MAX(0,40*MAX(1,CZ192)-(CX194+CY194))))</f>
        <v>8</v>
      </c>
      <c r="DA194" s="63">
        <f>IF(AND(DA192=1,DA193=13),8,MIN(IF(DA192&lt;=0,0,IF(WEEKDAY(DA$6,1)=1,0,IF(WEEKDAY(DA$6,1)=7,0,MIN(8,DA193)*DA192))),MAX(0,40*MAX(1,DA192)-(CX194+CY194+CZ194))))</f>
        <v>8</v>
      </c>
      <c r="DB194" s="63">
        <f>IF(AND(DB192=1,DB193=13),8,MIN(IF(DB192&lt;=0,0,IF(WEEKDAY(DB$6,1)=1,0,IF(WEEKDAY(DB$6,1)=7,0,MIN(8,DB193)*DB192))),MAX(0,40*MAX(1,DB192)-(CX194+CY194+CZ194+DA194))))</f>
        <v>8</v>
      </c>
      <c r="DC194" s="64">
        <f>IF(AND(DC192=1,DC193=13),0,MIN(IF(DC192&lt;=0,0,IF(WEEKDAY(DC$6,1)=1,0,IF(WEEKDAY(DC$6,1)=7,0,MIN(8,DC193)*DC192))),MAX(0,40*MAX(1,DC192)-(CX194+CY194+CZ194+DA194+DB194))))</f>
        <v>0</v>
      </c>
      <c r="DD194" s="64">
        <f>IF(AND(DD192=1,DD193=13),0,MIN(IF(DD192&lt;=0,0,IF(WEEKDAY(DD$6,1)=1,0,IF(WEEKDAY(DD$6,1)=7,0,MIN(8,DD193)*DD192))),MAX(0,40*MAX(1,DD192)-(0))))</f>
        <v>0</v>
      </c>
      <c r="DE194" s="63">
        <f>IF(AND(DE192=1,DE193=13),8,MIN(IF(DE192&lt;=0,0,IF(WEEKDAY(DE$6,1)=1,0,IF(WEEKDAY(DE$6,1)=7,0,MIN(8,DE193)*DE192))),MAX(0,40*MAX(1,DE192)-(0))))</f>
        <v>8</v>
      </c>
      <c r="DF194" s="63">
        <f>IF(AND(DF192=1,DF193=13),8,MIN(IF(DF192&lt;=0,0,IF(WEEKDAY(DF$6,1)=1,0,IF(WEEKDAY(DF$6,1)=7,0,MIN(8,DF193)*DF192))),MAX(0,40*MAX(1,DF192)-(DE194))))</f>
        <v>8</v>
      </c>
      <c r="DG194" s="63">
        <f>IF(AND(DG192=1,DG193=13),8,MIN(IF(DG192&lt;=0,0,IF(WEEKDAY(DG$6,1)=1,0,IF(WEEKDAY(DG$6,1)=7,0,MIN(8,DG193)*DG192))),MAX(0,40*MAX(1,DG192)-(DE194+DF194))))</f>
        <v>8</v>
      </c>
      <c r="DH194" s="63">
        <f>IF(AND(DH192=1,DH193=13),8,MIN(IF(DH192&lt;=0,0,IF(WEEKDAY(DH$6,1)=1,0,IF(WEEKDAY(DH$6,1)=7,0,MIN(8,DH193)*DH192))),MAX(0,40*MAX(1,DH192)-(DE194+DF194+DG194))))</f>
        <v>8</v>
      </c>
      <c r="DI194" s="63">
        <f>IF(AND(DI192=1,DI193=13),8,MIN(IF(DI192&lt;=0,0,IF(WEEKDAY(DI$6,1)=1,0,IF(WEEKDAY(DI$6,1)=7,0,MIN(8,DI193)*DI192))),MAX(0,40*MAX(1,DI192)-(DE194+DF194+DG194+DH194))))</f>
        <v>8</v>
      </c>
      <c r="DJ194" s="64">
        <f>IF(AND(DJ192=1,DJ193=13),0,MIN(IF(DJ192&lt;=0,0,IF(WEEKDAY(DJ$6,1)=1,0,IF(WEEKDAY(DJ$6,1)=7,0,MIN(8,DJ193)*DJ192))),MAX(0,40*MAX(1,DJ192)-(DE194+DF194+DG194+DH194+DI194))))</f>
        <v>0</v>
      </c>
      <c r="DK194" s="64">
        <f>IF(AND(DK192=1,DK193=13),0,MIN(IF(DK192&lt;=0,0,IF(WEEKDAY(DK$6,1)=1,0,IF(WEEKDAY(DK$6,1)=7,0,MIN(8,DK193)*DK192))),MAX(0,40*MAX(1,DK192)-(DE194+DF194+DG194+DH194+DI194+DJ194))))</f>
        <v>0</v>
      </c>
      <c r="DL194" s="63">
        <f>IF(AND(DL192=1,DL193=13),8,MIN(IF(DL192&lt;=0,0,IF(WEEKDAY(DL$6,1)=1,0,IF(WEEKDAY(DL$6,1)=7,0,MIN(8,DL193)*DL192))),MAX(0,40*MAX(1,DL192)-(0))))</f>
        <v>8</v>
      </c>
      <c r="DM194" s="63">
        <f>IF(AND(DM192=1,DM193=13),8,MIN(IF(DM192&lt;=0,0,IF(WEEKDAY(DM$6,1)=1,0,IF(WEEKDAY(DM$6,1)=7,0,MIN(8,DM193)*DM192))),MAX(0,40*MAX(1,DM192)-(DL194))))</f>
        <v>8</v>
      </c>
      <c r="DN194" s="63">
        <f>IF(AND(DN192=1,DN193=13),8,MIN(IF(DN192&lt;=0,0,IF(WEEKDAY(DN$6,1)=1,0,IF(WEEKDAY(DN$6,1)=7,0,MIN(8,DN193)*DN192))),MAX(0,40*MAX(1,DN192)-(DL194+DM194))))</f>
        <v>8</v>
      </c>
      <c r="DO194" s="63">
        <f>IF(AND(DO192=1,DO193=13),8,MIN(IF(DO192&lt;=0,0,IF(WEEKDAY(DO$6,1)=1,0,IF(WEEKDAY(DO$6,1)=7,0,MIN(8,DO193)*DO192))),MAX(0,40*MAX(1,DO192)-(DL194+DM194+DN194))))</f>
        <v>8</v>
      </c>
      <c r="DP194" s="63">
        <f>IF(AND(DP192=1,DP193=13),8,MIN(IF(DP192&lt;=0,0,IF(WEEKDAY(DP$6,1)=1,0,IF(WEEKDAY(DP$6,1)=7,0,MIN(8,DP193)*DP192))),MAX(0,40*MAX(1,DP192)-(DL194+DM194+DN194+DO194))))</f>
        <v>8</v>
      </c>
      <c r="DQ194" s="64">
        <f>IF(AND(DQ192=1,DQ193=13),0,MIN(IF(DQ192&lt;=0,0,IF(WEEKDAY(DQ$6,1)=1,0,IF(WEEKDAY(DQ$6,1)=7,0,MIN(8,DQ193)*DQ192))),MAX(0,40*MAX(1,DQ192)-(DL194+DM194+DN194+DO194+DP194))))</f>
        <v>0</v>
      </c>
      <c r="DR194" s="64">
        <f>IF(AND(DR192=1,DR193=13),0,MIN(IF(DR192&lt;=0,0,IF(WEEKDAY(DR$6,1)=1,0,IF(WEEKDAY(DR$6,1)=7,0,MIN(8,DR193)*DR192))),MAX(0,40*MAX(1,DR192)-(DL194+DM194+DN194+DO194+DP194+DQ194))))</f>
        <v>0</v>
      </c>
      <c r="DS194" s="63">
        <f>IF(AND(DS192=1,DS193=13),8,MIN(IF(DS192&lt;=0,0,IF(WEEKDAY(DS$6,1)=1,0,IF(WEEKDAY(DS$6,1)=7,0,MIN(8,DS193)*DS192))),MAX(0,40*MAX(1,DS192)-(0))))</f>
        <v>8</v>
      </c>
      <c r="DT194" s="63">
        <f>IF(AND(DT192=0,DT193=0),0,MIN(IF(DT192&lt;=0,0,IF(WEEKDAY(DT$6,1)=1,0,IF(WEEKDAY(DT$6,1)=7,0,MIN(8,DT193)*DT192))),MAX(0,40*MAX(1,DT192)-(0))))</f>
        <v>0</v>
      </c>
      <c r="DU194" s="63">
        <f>IF(AND(DU192=0,DU193=0),0,MIN(IF(DU192&lt;=0,0,IF(WEEKDAY(DU$6,1)=1,0,IF(WEEKDAY(DU$6,1)=7,0,MIN(8,DU193)*DU192))),MAX(0,40*MAX(1,DU192)-(DT194))))</f>
        <v>0</v>
      </c>
      <c r="DV194" s="63">
        <f>IF(AND(DV192=0,DV193=0),0,MIN(IF(DV192&lt;=0,0,IF(WEEKDAY(DV$6,1)=1,0,IF(WEEKDAY(DV$6,1)=7,0,MIN(8,DV193)*DV192))),MAX(0,40*MAX(1,DV192)-(DT194+DU194))))</f>
        <v>0</v>
      </c>
      <c r="DW194" s="63">
        <f>IF(AND(DW192=0,DW193=0),0,MIN(IF(DW192&lt;=0,0,IF(WEEKDAY(DW$6,1)=1,0,IF(WEEKDAY(DW$6,1)=7,0,MIN(8,DW193)*DW192))),MAX(0,40*MAX(1,DW192)-(DT194+DU194+DV194))))</f>
        <v>0</v>
      </c>
      <c r="DX194" s="64">
        <f>IF(AND(DX192=0,DX193=0),0,MIN(IF(DX192&lt;=0,0,IF(WEEKDAY(DX$6,1)=1,0,IF(WEEKDAY(DX$6,1)=7,0,MIN(8,DX193)*DX192))),MAX(0,40*MAX(1,DX192)-(DT194+DU194+DV194+DW194))))</f>
        <v>0</v>
      </c>
      <c r="DY194" s="64">
        <f>IF(AND(DY192=0,DY193=0),0,MIN(IF(DY192&lt;=0,0,IF(WEEKDAY(DY$6,1)=1,0,IF(WEEKDAY(DY$6,1)=7,0,MIN(8,DY193)*DY192))),MAX(0,40*MAX(1,DY192)-(DT194+DU194+DV194+DW194+DX194))))</f>
        <v>0</v>
      </c>
      <c r="DZ194" s="63">
        <f>IF(AND(DZ192=0,DZ193=0),0,MIN(IF(DZ192&lt;=0,0,IF(WEEKDAY(DZ$6,1)=1,0,IF(WEEKDAY(DZ$6,1)=7,0,MIN(8,DZ193)*DZ192))),MAX(0,40*MAX(1,DZ192)-(0))))</f>
        <v>0</v>
      </c>
      <c r="EA194" s="63">
        <f>IF(AND(EA192=0,EA193=0),0,MIN(IF(EA192&lt;=0,0,IF(WEEKDAY(EA$6,1)=1,0,IF(WEEKDAY(EA$6,1)=7,0,MIN(8,EA193)*EA192))),MAX(0,40*MAX(1,EA192)-(DZ194))))</f>
        <v>0</v>
      </c>
      <c r="EB194" s="63">
        <f>IF(AND(EB192=0,EB193=0),0,MIN(IF(EB192&lt;=0,0,IF(WEEKDAY(EB$6,1)=1,0,IF(WEEKDAY(EB$6,1)=7,0,MIN(8,EB193)*EB192))),MAX(0,40*MAX(1,EB192)-(DZ194+EA194))))</f>
        <v>0</v>
      </c>
      <c r="EC194" s="63">
        <f>IF(AND(EC192=0,EC193=0),0,MIN(IF(EC192&lt;=0,0,IF(WEEKDAY(EC$6,1)=1,0,IF(WEEKDAY(EC$6,1)=7,0,MIN(8,EC193)*EC192))),MAX(0,40*MAX(1,EC192)-(DZ194+EA194+EB194))))</f>
        <v>0</v>
      </c>
      <c r="ED194" s="63">
        <f>IF(AND(ED192=0,ED193=0),0,MIN(IF(ED192&lt;=0,0,IF(WEEKDAY(ED$6,1)=1,0,IF(WEEKDAY(ED$6,1)=7,0,MIN(8,ED193)*ED192))),MAX(0,40*MAX(1,ED192)-(DZ194+EA194+EB194+EC194))))</f>
        <v>0</v>
      </c>
      <c r="EE194" s="64">
        <f>IF(AND(EE192=0,EE193=0),0,MIN(IF(EE192&lt;=0,0,IF(WEEKDAY(EE$6,1)=1,0,IF(WEEKDAY(EE$6,1)=7,0,MIN(8,EE193)*EE192))),MAX(0,40*MAX(1,EE192)-(DZ194+EA194+EB194+EC194+ED194))))</f>
        <v>0</v>
      </c>
      <c r="EF194" s="64">
        <f>IF(AND(EF192=0,EF193=0),0,MIN(IF(EF192&lt;=0,0,IF(WEEKDAY(EF$6,1)=1,0,IF(WEEKDAY(EF$6,1)=7,0,MIN(8,EF193)*EF192))),MAX(0,40*MAX(1,EF192)-(DZ194+EA194+EB194+EC194+ED194+EE194))))</f>
        <v>0</v>
      </c>
      <c r="EG194" s="63">
        <f>IF(AND(EG192=0,EG193=0),0,MIN(IF(EG192&lt;=0,0,IF(WEEKDAY(EG$6,1)=1,0,IF(WEEKDAY(EG$6,1)=7,0,MIN(8,EG193)*EG192))),MAX(0,40*MAX(1,EG192)-(0))))</f>
        <v>0</v>
      </c>
      <c r="EH194" s="63">
        <f>IF(AND(EH192=0,EH193=0),0,MIN(IF(EH192&lt;=0,0,IF(WEEKDAY(EH$6,1)=1,0,IF(WEEKDAY(EH$6,1)=7,0,MIN(8,EH193)*EH192))),MAX(0,40*MAX(1,EH192)-(EG194))))</f>
        <v>0</v>
      </c>
      <c r="EI194" s="63">
        <f>IF(AND(EI192=0,EI193=0),0,MIN(IF(EI192&lt;=0,0,IF(WEEKDAY(EI$6,1)=1,0,IF(WEEKDAY(EI$6,1)=7,0,MIN(8,EI193)*EI192))),MAX(0,40*MAX(1,EI192)-(EG194+EH194))))</f>
        <v>0</v>
      </c>
      <c r="EJ194" s="63">
        <f>IF(AND(EJ192=0,EJ193=0),0,MIN(IF(EJ192&lt;=0,0,IF(WEEKDAY(EJ$6,1)=1,0,IF(WEEKDAY(EJ$6,1)=7,0,MIN(8,EJ193)*EJ192))),MAX(0,40*MAX(1,EJ192)-(EG194+EH194+EI194))))</f>
        <v>0</v>
      </c>
      <c r="EK194" s="65">
        <f>IF(AND(EK192=0,EK193=0),0,MIN(IF(EK192&lt;=0,0,IF(WEEKDAY(EK$6,1)=1,0,IF(WEEKDAY(EK$6,1)=7,0,MIN(8,EK193)*EK192))),MAX(0,40*MAX(1,EK192)-(EG194+EH194+EI194+EJ194))))</f>
        <v>0</v>
      </c>
      <c r="OU194" s="28" t="s">
        <v>103</v>
      </c>
    </row>
    <row r="195" ht="16" customHeight="1" spans="1:411" x14ac:dyDescent="0.25">
      <c r="A195" s="74"/>
      <c r="B195" s="46"/>
      <c r="C195" s="66">
        <f>G191*N(D195)</f>
        <v>54239.57</v>
      </c>
      <c r="D195" s="66">
        <f>IF(TRIM(B191)="","No rate",IFERROR(INDEX('Rate Tables'!D$7:D$158,MATCH(B191,'Rate Tables'!A$7:A$158,0)),"No rate"))</f>
        <v>156.31</v>
      </c>
      <c r="E195" s="55" t="s">
        <v>63</v>
      </c>
      <c r="F195" s="49"/>
      <c r="G195" s="49"/>
      <c r="H195" s="49"/>
      <c r="I195" s="49"/>
      <c r="J195" s="50"/>
      <c r="K195" s="62">
        <f>IF(AND(K192=0,K193=0),0,IF(K192&lt;=0,0,IF(WEEKDAY(K$6,1)=1,0,IF(WEEKDAY(K$6,1)=7,K192*K193,MAX(0,K193-8)*K192)))+((IF(K192&lt;=0,0,IF(WEEKDAY(K$6,1)=1,0,IF(WEEKDAY(K$6,1)=7,0,MIN(8,K193)*K192))))-MIN(IF(K192&lt;=0,0,IF(WEEKDAY(K$6,1)=1,0,IF(WEEKDAY(K$6,1)=7,0,MIN(8,K193)*K192))),MAX(0,40*MAX(1,K192)-(0)))))</f>
        <v>0</v>
      </c>
      <c r="L195" s="63">
        <f>IF(AND(L192=0,L193=0),0,IF(L192&lt;=0,0,IF(WEEKDAY(L$6,1)=1,0,IF(WEEKDAY(L$6,1)=7,L192*L193,MAX(0,L193-8)*L192)))+((IF(L192&lt;=0,0,IF(WEEKDAY(L$6,1)=1,0,IF(WEEKDAY(L$6,1)=7,0,MIN(8,L193)*L192))))-MIN(IF(L192&lt;=0,0,IF(WEEKDAY(L$6,1)=1,0,IF(WEEKDAY(L$6,1)=7,0,MIN(8,L193)*L192))),MAX(0,40*MAX(1,L192)-(K194)))))</f>
        <v>0</v>
      </c>
      <c r="M195" s="63">
        <f>IF(AND(M192=0,M193=0),0,IF(M192&lt;=0,0,IF(WEEKDAY(M$6,1)=1,0,IF(WEEKDAY(M$6,1)=7,M192*M193,MAX(0,M193-8)*M192)))+((IF(M192&lt;=0,0,IF(WEEKDAY(M$6,1)=1,0,IF(WEEKDAY(M$6,1)=7,0,MIN(8,M193)*M192))))-MIN(IF(M192&lt;=0,0,IF(WEEKDAY(M$6,1)=1,0,IF(WEEKDAY(M$6,1)=7,0,MIN(8,M193)*M192))),MAX(0,40*MAX(1,M192)-(K194+L194)))))</f>
        <v>0</v>
      </c>
      <c r="N195" s="63">
        <f>IF(AND(N192=0,N193=0),0,IF(N192&lt;=0,0,IF(WEEKDAY(N$6,1)=1,0,IF(WEEKDAY(N$6,1)=7,N192*N193,MAX(0,N193-8)*N192)))+((IF(N192&lt;=0,0,IF(WEEKDAY(N$6,1)=1,0,IF(WEEKDAY(N$6,1)=7,0,MIN(8,N193)*N192))))-MIN(IF(N192&lt;=0,0,IF(WEEKDAY(N$6,1)=1,0,IF(WEEKDAY(N$6,1)=7,0,MIN(8,N193)*N192))),MAX(0,40*MAX(1,N192)-(K194+L194+M194)))))</f>
        <v>0</v>
      </c>
      <c r="O195" s="63">
        <f>IF(AND(O192=0,O193=0),0,IF(O192&lt;=0,0,IF(WEEKDAY(O$6,1)=1,0,IF(WEEKDAY(O$6,1)=7,O192*O193,MAX(0,O193-8)*O192)))+((IF(O192&lt;=0,0,IF(WEEKDAY(O$6,1)=1,0,IF(WEEKDAY(O$6,1)=7,0,MIN(8,O193)*O192))))-MIN(IF(O192&lt;=0,0,IF(WEEKDAY(O$6,1)=1,0,IF(WEEKDAY(O$6,1)=7,0,MIN(8,O193)*O192))),MAX(0,40*MAX(1,O192)-(K194+L194+M194+N194)))))</f>
        <v>0</v>
      </c>
      <c r="P195" s="64">
        <f>IF(AND(P192=0,P193=0),0,IF(P192&lt;=0,0,IF(WEEKDAY(P$6,1)=1,0,IF(WEEKDAY(P$6,1)=7,P192*P193,MAX(0,P193-8)*P192)))+((IF(P192&lt;=0,0,IF(WEEKDAY(P$6,1)=1,0,IF(WEEKDAY(P$6,1)=7,0,MIN(8,P193)*P192))))-MIN(IF(P192&lt;=0,0,IF(WEEKDAY(P$6,1)=1,0,IF(WEEKDAY(P$6,1)=7,0,MIN(8,P193)*P192))),MAX(0,40*MAX(1,P192)-(K194+L194+M194+N194+O194)))))</f>
        <v>0</v>
      </c>
      <c r="Q195" s="64">
        <f>IF(AND(Q192=0,Q193=0),0,IF(Q192&lt;=0,0,IF(WEEKDAY(Q$6,1)=1,0,IF(WEEKDAY(Q$6,1)=7,Q192*Q193,MAX(0,Q193-8)*Q192)))+((IF(Q192&lt;=0,0,IF(WEEKDAY(Q$6,1)=1,0,IF(WEEKDAY(Q$6,1)=7,0,MIN(8,Q193)*Q192))))-MIN(IF(Q192&lt;=0,0,IF(WEEKDAY(Q$6,1)=1,0,IF(WEEKDAY(Q$6,1)=7,0,MIN(8,Q193)*Q192))),MAX(0,40*MAX(1,Q192)-(K194+L194+M194+N194+O194+P194)))))</f>
        <v>0</v>
      </c>
      <c r="R195" s="63">
        <f>IF(AND(R192=0,R193=0),0,IF(R192&lt;=0,0,IF(WEEKDAY(R$6,1)=1,0,IF(WEEKDAY(R$6,1)=7,R192*R193,MAX(0,R193-8)*R192)))+((IF(R192&lt;=0,0,IF(WEEKDAY(R$6,1)=1,0,IF(WEEKDAY(R$6,1)=7,0,MIN(8,R193)*R192))))-MIN(IF(R192&lt;=0,0,IF(WEEKDAY(R$6,1)=1,0,IF(WEEKDAY(R$6,1)=7,0,MIN(8,R193)*R192))),MAX(0,40*MAX(1,R192)-(0)))))</f>
        <v>0</v>
      </c>
      <c r="S195" s="63">
        <f>IF(AND(S192=0,S193=0),0,IF(S192&lt;=0,0,IF(WEEKDAY(S$6,1)=1,0,IF(WEEKDAY(S$6,1)=7,S192*S193,MAX(0,S193-8)*S192)))+((IF(S192&lt;=0,0,IF(WEEKDAY(S$6,1)=1,0,IF(WEEKDAY(S$6,1)=7,0,MIN(8,S193)*S192))))-MIN(IF(S192&lt;=0,0,IF(WEEKDAY(S$6,1)=1,0,IF(WEEKDAY(S$6,1)=7,0,MIN(8,S193)*S192))),MAX(0,40*MAX(1,S192)-(R194)))))</f>
        <v>0</v>
      </c>
      <c r="T195" s="63">
        <f>IF(AND(T192=0,T193=0),0,IF(T192&lt;=0,0,IF(WEEKDAY(T$6,1)=1,0,IF(WEEKDAY(T$6,1)=7,T192*T193,MAX(0,T193-8)*T192)))+((IF(T192&lt;=0,0,IF(WEEKDAY(T$6,1)=1,0,IF(WEEKDAY(T$6,1)=7,0,MIN(8,T193)*T192))))-MIN(IF(T192&lt;=0,0,IF(WEEKDAY(T$6,1)=1,0,IF(WEEKDAY(T$6,1)=7,0,MIN(8,T193)*T192))),MAX(0,40*MAX(1,T192)-(R194+S194)))))</f>
        <v>0</v>
      </c>
      <c r="U195" s="63">
        <f>IF(AND(U192=0,U193=0),0,IF(U192&lt;=0,0,IF(WEEKDAY(U$6,1)=1,0,IF(WEEKDAY(U$6,1)=7,U192*U193,MAX(0,U193-8)*U192)))+((IF(U192&lt;=0,0,IF(WEEKDAY(U$6,1)=1,0,IF(WEEKDAY(U$6,1)=7,0,MIN(8,U193)*U192))))-MIN(IF(U192&lt;=0,0,IF(WEEKDAY(U$6,1)=1,0,IF(WEEKDAY(U$6,1)=7,0,MIN(8,U193)*U192))),MAX(0,40*MAX(1,U192)-(R194+S194+T194)))))</f>
        <v>0</v>
      </c>
      <c r="V195" s="63">
        <f>IF(AND(V192=0,V193=0),0,IF(V192&lt;=0,0,IF(WEEKDAY(V$6,1)=1,0,IF(WEEKDAY(V$6,1)=7,V192*V193,MAX(0,V193-8)*V192)))+((IF(V192&lt;=0,0,IF(WEEKDAY(V$6,1)=1,0,IF(WEEKDAY(V$6,1)=7,0,MIN(8,V193)*V192))))-MIN(IF(V192&lt;=0,0,IF(WEEKDAY(V$6,1)=1,0,IF(WEEKDAY(V$6,1)=7,0,MIN(8,V193)*V192))),MAX(0,40*MAX(1,V192)-(R194+S194+T194+U194)))))</f>
        <v>0</v>
      </c>
      <c r="W195" s="64">
        <f>IF(AND(W192=0,W193=0),0,IF(W192&lt;=0,0,IF(WEEKDAY(W$6,1)=1,0,IF(WEEKDAY(W$6,1)=7,W192*W193,MAX(0,W193-8)*W192)))+((IF(W192&lt;=0,0,IF(WEEKDAY(W$6,1)=1,0,IF(WEEKDAY(W$6,1)=7,0,MIN(8,W193)*W192))))-MIN(IF(W192&lt;=0,0,IF(WEEKDAY(W$6,1)=1,0,IF(WEEKDAY(W$6,1)=7,0,MIN(8,W193)*W192))),MAX(0,40*MAX(1,W192)-(R194+S194+T194+U194+V194)))))</f>
        <v>0</v>
      </c>
      <c r="X195" s="64">
        <f>IF(AND(X192=0,X193=0),0,IF(X192&lt;=0,0,IF(WEEKDAY(X$6,1)=1,0,IF(WEEKDAY(X$6,1)=7,X192*X193,MAX(0,X193-8)*X192)))+((IF(X192&lt;=0,0,IF(WEEKDAY(X$6,1)=1,0,IF(WEEKDAY(X$6,1)=7,0,MIN(8,X193)*X192))))-MIN(IF(X192&lt;=0,0,IF(WEEKDAY(X$6,1)=1,0,IF(WEEKDAY(X$6,1)=7,0,MIN(8,X193)*X192))),MAX(0,40*MAX(1,X192)-(R194+S194+T194+U194+V194+W194)))))</f>
        <v>0</v>
      </c>
      <c r="Y195" s="63">
        <f>IF(AND(Y192=0,Y193=0),0,IF(Y192&lt;=0,0,IF(WEEKDAY(Y$6,1)=1,0,IF(WEEKDAY(Y$6,1)=7,Y192*Y193,MAX(0,Y193-8)*Y192)))+((IF(Y192&lt;=0,0,IF(WEEKDAY(Y$6,1)=1,0,IF(WEEKDAY(Y$6,1)=7,0,MIN(8,Y193)*Y192))))-MIN(IF(Y192&lt;=0,0,IF(WEEKDAY(Y$6,1)=1,0,IF(WEEKDAY(Y$6,1)=7,0,MIN(8,Y193)*Y192))),MAX(0,40*MAX(1,Y192)-(0)))))</f>
        <v>0</v>
      </c>
      <c r="Z195" s="63">
        <f>IF(AND(Z192=0,Z193=0),0,IF(Z192&lt;=0,0,IF(WEEKDAY(Z$6,1)=1,0,IF(WEEKDAY(Z$6,1)=7,Z192*Z193,MAX(0,Z193-8)*Z192)))+((IF(Z192&lt;=0,0,IF(WEEKDAY(Z$6,1)=1,0,IF(WEEKDAY(Z$6,1)=7,0,MIN(8,Z193)*Z192))))-MIN(IF(Z192&lt;=0,0,IF(WEEKDAY(Z$6,1)=1,0,IF(WEEKDAY(Z$6,1)=7,0,MIN(8,Z193)*Z192))),MAX(0,40*MAX(1,Z192)-(Y194)))))</f>
        <v>0</v>
      </c>
      <c r="AA195" s="63">
        <f>IF(AND(AA192=0,AA193=0),0,IF(AA192&lt;=0,0,IF(WEEKDAY(AA$6,1)=1,0,IF(WEEKDAY(AA$6,1)=7,AA192*AA193,MAX(0,AA193-8)*AA192)))+((IF(AA192&lt;=0,0,IF(WEEKDAY(AA$6,1)=1,0,IF(WEEKDAY(AA$6,1)=7,0,MIN(8,AA193)*AA192))))-MIN(IF(AA192&lt;=0,0,IF(WEEKDAY(AA$6,1)=1,0,IF(WEEKDAY(AA$6,1)=7,0,MIN(8,AA193)*AA192))),MAX(0,40*MAX(1,AA192)-(Y194+Z194)))))</f>
        <v>0</v>
      </c>
      <c r="AB195" s="63">
        <f>IF(AND(AB192=0,AB193=0),0,IF(AB192&lt;=0,0,IF(WEEKDAY(AB$6,1)=1,0,IF(WEEKDAY(AB$6,1)=7,AB192*AB193,MAX(0,AB193-8)*AB192)))+((IF(AB192&lt;=0,0,IF(WEEKDAY(AB$6,1)=1,0,IF(WEEKDAY(AB$6,1)=7,0,MIN(8,AB193)*AB192))))-MIN(IF(AB192&lt;=0,0,IF(WEEKDAY(AB$6,1)=1,0,IF(WEEKDAY(AB$6,1)=7,0,MIN(8,AB193)*AB192))),MAX(0,40*MAX(1,AB192)-(Y194+Z194+AA194)))))</f>
        <v>0</v>
      </c>
      <c r="AC195" s="63">
        <f>IF(AND(AC192=0,AC193=0),0,IF(AC192&lt;=0,0,IF(WEEKDAY(AC$6,1)=1,0,IF(WEEKDAY(AC$6,1)=7,AC192*AC193,MAX(0,AC193-8)*AC192)))+((IF(AC192&lt;=0,0,IF(WEEKDAY(AC$6,1)=1,0,IF(WEEKDAY(AC$6,1)=7,0,MIN(8,AC193)*AC192))))-MIN(IF(AC192&lt;=0,0,IF(WEEKDAY(AC$6,1)=1,0,IF(WEEKDAY(AC$6,1)=7,0,MIN(8,AC193)*AC192))),MAX(0,40*MAX(1,AC192)-(Y194+Z194+AA194+AB194)))))</f>
        <v>0</v>
      </c>
      <c r="AD195" s="64">
        <f>IF(AND(AD192=0,AD193=0),0,IF(AD192&lt;=0,0,IF(WEEKDAY(AD$6,1)=1,0,IF(WEEKDAY(AD$6,1)=7,AD192*AD193,MAX(0,AD193-8)*AD192)))+((IF(AD192&lt;=0,0,IF(WEEKDAY(AD$6,1)=1,0,IF(WEEKDAY(AD$6,1)=7,0,MIN(8,AD193)*AD192))))-MIN(IF(AD192&lt;=0,0,IF(WEEKDAY(AD$6,1)=1,0,IF(WEEKDAY(AD$6,1)=7,0,MIN(8,AD193)*AD192))),MAX(0,40*MAX(1,AD192)-(Y194+Z194+AA194+AB194+AC194)))))</f>
        <v>0</v>
      </c>
      <c r="AE195" s="64">
        <f>IF(AND(AE192=0,AE193=0),0,IF(AE192&lt;=0,0,IF(WEEKDAY(AE$6,1)=1,0,IF(WEEKDAY(AE$6,1)=7,AE192*AE193,MAX(0,AE193-8)*AE192)))+((IF(AE192&lt;=0,0,IF(WEEKDAY(AE$6,1)=1,0,IF(WEEKDAY(AE$6,1)=7,0,MIN(8,AE193)*AE192))))-MIN(IF(AE192&lt;=0,0,IF(WEEKDAY(AE$6,1)=1,0,IF(WEEKDAY(AE$6,1)=7,0,MIN(8,AE193)*AE192))),MAX(0,40*MAX(1,AE192)-(Y194+Z194+AA194+AB194+AC194+AD194)))))</f>
        <v>0</v>
      </c>
      <c r="AF195" s="63">
        <f>IF(AND(AF192=0,AF193=0),0,IF(AF192&lt;=0,0,IF(WEEKDAY(AF$6,1)=1,0,IF(WEEKDAY(AF$6,1)=7,AF192*AF193,MAX(0,AF193-8)*AF192)))+((IF(AF192&lt;=0,0,IF(WEEKDAY(AF$6,1)=1,0,IF(WEEKDAY(AF$6,1)=7,0,MIN(8,AF193)*AF192))))-MIN(IF(AF192&lt;=0,0,IF(WEEKDAY(AF$6,1)=1,0,IF(WEEKDAY(AF$6,1)=7,0,MIN(8,AF193)*AF192))),MAX(0,40*MAX(1,AF192)-(0)))))</f>
        <v>0</v>
      </c>
      <c r="AG195" s="63">
        <f>IF(AND(AG192=0,AG193=0),0,IF(AG192&lt;=0,0,IF(WEEKDAY(AG$6,1)=1,0,IF(WEEKDAY(AG$6,1)=7,AG192*AG193,MAX(0,AG193-8)*AG192)))+((IF(AG192&lt;=0,0,IF(WEEKDAY(AG$6,1)=1,0,IF(WEEKDAY(AG$6,1)=7,0,MIN(8,AG193)*AG192))))-MIN(IF(AG192&lt;=0,0,IF(WEEKDAY(AG$6,1)=1,0,IF(WEEKDAY(AG$6,1)=7,0,MIN(8,AG193)*AG192))),MAX(0,40*MAX(1,AG192)-(AF194)))))</f>
        <v>0</v>
      </c>
      <c r="AH195" s="63">
        <f>IF(AND(AH192=0,AH193=0),0,IF(AH192&lt;=0,0,IF(WEEKDAY(AH$6,1)=1,0,IF(WEEKDAY(AH$6,1)=7,AH192*AH193,MAX(0,AH193-8)*AH192)))+((IF(AH192&lt;=0,0,IF(WEEKDAY(AH$6,1)=1,0,IF(WEEKDAY(AH$6,1)=7,0,MIN(8,AH193)*AH192))))-MIN(IF(AH192&lt;=0,0,IF(WEEKDAY(AH$6,1)=1,0,IF(WEEKDAY(AH$6,1)=7,0,MIN(8,AH193)*AH192))),MAX(0,40*MAX(1,AH192)-(AF194+AG194)))))</f>
        <v>0</v>
      </c>
      <c r="AI195" s="63">
        <f>IF(AND(AI192=0,AI193=0),0,IF(AI192&lt;=0,0,IF(WEEKDAY(AI$6,1)=1,0,IF(WEEKDAY(AI$6,1)=7,AI192*AI193,MAX(0,AI193-8)*AI192)))+((IF(AI192&lt;=0,0,IF(WEEKDAY(AI$6,1)=1,0,IF(WEEKDAY(AI$6,1)=7,0,MIN(8,AI193)*AI192))))-MIN(IF(AI192&lt;=0,0,IF(WEEKDAY(AI$6,1)=1,0,IF(WEEKDAY(AI$6,1)=7,0,MIN(8,AI193)*AI192))),MAX(0,40*MAX(1,AI192)-(AF194+AG194+AH194)))))</f>
        <v>0</v>
      </c>
      <c r="AJ195" s="63">
        <f>IF(AND(AJ192=0,AJ193=0),0,IF(AJ192&lt;=0,0,IF(WEEKDAY(AJ$6,1)=1,0,IF(WEEKDAY(AJ$6,1)=7,AJ192*AJ193,MAX(0,AJ193-8)*AJ192)))+((IF(AJ192&lt;=0,0,IF(WEEKDAY(AJ$6,1)=1,0,IF(WEEKDAY(AJ$6,1)=7,0,MIN(8,AJ193)*AJ192))))-MIN(IF(AJ192&lt;=0,0,IF(WEEKDAY(AJ$6,1)=1,0,IF(WEEKDAY(AJ$6,1)=7,0,MIN(8,AJ193)*AJ192))),MAX(0,40*MAX(1,AJ192)-(AF194+AG194+AH194+AI194)))))</f>
        <v>0</v>
      </c>
      <c r="AK195" s="64">
        <f>IF(AND(AK192=0,AK193=0),0,IF(AK192&lt;=0,0,IF(WEEKDAY(AK$6,1)=1,0,IF(WEEKDAY(AK$6,1)=7,AK192*AK193,MAX(0,AK193-8)*AK192)))+((IF(AK192&lt;=0,0,IF(WEEKDAY(AK$6,1)=1,0,IF(WEEKDAY(AK$6,1)=7,0,MIN(8,AK193)*AK192))))-MIN(IF(AK192&lt;=0,0,IF(WEEKDAY(AK$6,1)=1,0,IF(WEEKDAY(AK$6,1)=7,0,MIN(8,AK193)*AK192))),MAX(0,40*MAX(1,AK192)-(AF194+AG194+AH194+AI194+AJ194)))))</f>
        <v>0</v>
      </c>
      <c r="AL195" s="64">
        <f>IF(AND(AL192=0,AL193=0),0,IF(AL192&lt;=0,0,IF(WEEKDAY(AL$6,1)=1,0,IF(WEEKDAY(AL$6,1)=7,AL192*AL193,MAX(0,AL193-8)*AL192)))+((IF(AL192&lt;=0,0,IF(WEEKDAY(AL$6,1)=1,0,IF(WEEKDAY(AL$6,1)=7,0,MIN(8,AL193)*AL192))))-MIN(IF(AL192&lt;=0,0,IF(WEEKDAY(AL$6,1)=1,0,IF(WEEKDAY(AL$6,1)=7,0,MIN(8,AL193)*AL192))),MAX(0,40*MAX(1,AL192)-(AF194+AG194+AH194+AI194+AJ194+AK194)))))</f>
        <v>0</v>
      </c>
      <c r="AM195" s="63">
        <f>IF(AND(AM192=0,AM193=0),0,IF(AM192&lt;=0,0,IF(WEEKDAY(AM$6,1)=1,0,IF(WEEKDAY(AM$6,1)=7,AM192*AM193,MAX(0,AM193-8)*AM192)))+((IF(AM192&lt;=0,0,IF(WEEKDAY(AM$6,1)=1,0,IF(WEEKDAY(AM$6,1)=7,0,MIN(8,AM193)*AM192))))-MIN(IF(AM192&lt;=0,0,IF(WEEKDAY(AM$6,1)=1,0,IF(WEEKDAY(AM$6,1)=7,0,MIN(8,AM193)*AM192))),MAX(0,40*MAX(1,AM192)-(0)))))</f>
        <v>0</v>
      </c>
      <c r="AN195" s="63">
        <f>IF(AND(AN192=0,AN193=0),0,IF(AN192&lt;=0,0,IF(WEEKDAY(AN$6,1)=1,0,IF(WEEKDAY(AN$6,1)=7,AN192*AN193,MAX(0,AN193-8)*AN192)))+((IF(AN192&lt;=0,0,IF(WEEKDAY(AN$6,1)=1,0,IF(WEEKDAY(AN$6,1)=7,0,MIN(8,AN193)*AN192))))-MIN(IF(AN192&lt;=0,0,IF(WEEKDAY(AN$6,1)=1,0,IF(WEEKDAY(AN$6,1)=7,0,MIN(8,AN193)*AN192))),MAX(0,40*MAX(1,AN192)-(AM194)))))</f>
        <v>0</v>
      </c>
      <c r="AO195" s="63">
        <f>IF(AND(AO192=0,AO193=0),0,IF(AO192&lt;=0,0,IF(WEEKDAY(AO$6,1)=1,0,IF(WEEKDAY(AO$6,1)=7,AO192*AO193,MAX(0,AO193-8)*AO192)))+((IF(AO192&lt;=0,0,IF(WEEKDAY(AO$6,1)=1,0,IF(WEEKDAY(AO$6,1)=7,0,MIN(8,AO193)*AO192))))-MIN(IF(AO192&lt;=0,0,IF(WEEKDAY(AO$6,1)=1,0,IF(WEEKDAY(AO$6,1)=7,0,MIN(8,AO193)*AO192))),MAX(0,40*MAX(1,AO192)-(AM194+AN194)))))</f>
        <v>0</v>
      </c>
      <c r="AP195" s="63">
        <f>IF(AND(AP192=0,AP193=0),0,IF(AP192&lt;=0,0,IF(WEEKDAY(AP$6,1)=1,0,IF(WEEKDAY(AP$6,1)=7,AP192*AP193,MAX(0,AP193-8)*AP192)))+((IF(AP192&lt;=0,0,IF(WEEKDAY(AP$6,1)=1,0,IF(WEEKDAY(AP$6,1)=7,0,MIN(8,AP193)*AP192))))-MIN(IF(AP192&lt;=0,0,IF(WEEKDAY(AP$6,1)=1,0,IF(WEEKDAY(AP$6,1)=7,0,MIN(8,AP193)*AP192))),MAX(0,40*MAX(1,AP192)-(AM194+AN194+AO194)))))</f>
        <v>0</v>
      </c>
      <c r="AQ195" s="63">
        <f>IF(AND(AQ192=0,AQ193=0),0,IF(AQ192&lt;=0,0,IF(WEEKDAY(AQ$6,1)=1,0,IF(WEEKDAY(AQ$6,1)=7,AQ192*AQ193,MAX(0,AQ193-8)*AQ192)))+((IF(AQ192&lt;=0,0,IF(WEEKDAY(AQ$6,1)=1,0,IF(WEEKDAY(AQ$6,1)=7,0,MIN(8,AQ193)*AQ192))))-MIN(IF(AQ192&lt;=0,0,IF(WEEKDAY(AQ$6,1)=1,0,IF(WEEKDAY(AQ$6,1)=7,0,MIN(8,AQ193)*AQ192))),MAX(0,40*MAX(1,AQ192)-(AM194+AN194+AO194+AP194)))))</f>
        <v>0</v>
      </c>
      <c r="AR195" s="64">
        <f>IF(AND(AR192=0,AR193=0),0,IF(AR192&lt;=0,0,IF(WEEKDAY(AR$6,1)=1,0,IF(WEEKDAY(AR$6,1)=7,AR192*AR193,MAX(0,AR193-8)*AR192)))+((IF(AR192&lt;=0,0,IF(WEEKDAY(AR$6,1)=1,0,IF(WEEKDAY(AR$6,1)=7,0,MIN(8,AR193)*AR192))))-MIN(IF(AR192&lt;=0,0,IF(WEEKDAY(AR$6,1)=1,0,IF(WEEKDAY(AR$6,1)=7,0,MIN(8,AR193)*AR192))),MAX(0,40*MAX(1,AR192)-(AM194+AN194+AO194+AP194+AQ194)))))</f>
        <v>0</v>
      </c>
      <c r="AS195" s="64">
        <f>IF(AND(AS192=0,AS193=0),0,IF(AS192&lt;=0,0,IF(WEEKDAY(AS$6,1)=1,0,IF(WEEKDAY(AS$6,1)=7,AS192*AS193,MAX(0,AS193-8)*AS192)))+((IF(AS192&lt;=0,0,IF(WEEKDAY(AS$6,1)=1,0,IF(WEEKDAY(AS$6,1)=7,0,MIN(8,AS193)*AS192))))-MIN(IF(AS192&lt;=0,0,IF(WEEKDAY(AS$6,1)=1,0,IF(WEEKDAY(AS$6,1)=7,0,MIN(8,AS193)*AS192))),MAX(0,40*MAX(1,AS192)-(AM194+AN194+AO194+AP194+AQ194+AR194)))))</f>
        <v>0</v>
      </c>
      <c r="AT195" s="63">
        <f>IF(AND(AT192=0,AT193=0),0,IF(AT192&lt;=0,0,IF(WEEKDAY(AT$6,1)=1,0,IF(WEEKDAY(AT$6,1)=7,AT192*AT193,MAX(0,AT193-8)*AT192)))+((IF(AT192&lt;=0,0,IF(WEEKDAY(AT$6,1)=1,0,IF(WEEKDAY(AT$6,1)=7,0,MIN(8,AT193)*AT192))))-MIN(IF(AT192&lt;=0,0,IF(WEEKDAY(AT$6,1)=1,0,IF(WEEKDAY(AT$6,1)=7,0,MIN(8,AT193)*AT192))),MAX(0,40*MAX(1,AT192)-(0)))))</f>
        <v>0</v>
      </c>
      <c r="AU195" s="63">
        <f>IF(AND(AU192=0,AU193=0),0,IF(AU192&lt;=0,0,IF(WEEKDAY(AU$6,1)=1,0,IF(WEEKDAY(AU$6,1)=7,AU192*AU193,MAX(0,AU193-8)*AU192)))+((IF(AU192&lt;=0,0,IF(WEEKDAY(AU$6,1)=1,0,IF(WEEKDAY(AU$6,1)=7,0,MIN(8,AU193)*AU192))))-MIN(IF(AU192&lt;=0,0,IF(WEEKDAY(AU$6,1)=1,0,IF(WEEKDAY(AU$6,1)=7,0,MIN(8,AU193)*AU192))),MAX(0,40*MAX(1,AU192)-(AT194)))))</f>
        <v>0</v>
      </c>
      <c r="AV195" s="63">
        <f>IF(AND(AV192=0,AV193=0),0,IF(AV192&lt;=0,0,IF(WEEKDAY(AV$6,1)=1,0,IF(WEEKDAY(AV$6,1)=7,AV192*AV193,MAX(0,AV193-8)*AV192)))+((IF(AV192&lt;=0,0,IF(WEEKDAY(AV$6,1)=1,0,IF(WEEKDAY(AV$6,1)=7,0,MIN(8,AV193)*AV192))))-MIN(IF(AV192&lt;=0,0,IF(WEEKDAY(AV$6,1)=1,0,IF(WEEKDAY(AV$6,1)=7,0,MIN(8,AV193)*AV192))),MAX(0,40*MAX(1,AV192)-(AT194+AU194)))))</f>
        <v>0</v>
      </c>
      <c r="AW195" s="63">
        <f>IF(AND(AW192=0,AW193=0),0,IF(AW192&lt;=0,0,IF(WEEKDAY(AW$6,1)=1,0,IF(WEEKDAY(AW$6,1)=7,AW192*AW193,MAX(0,AW193-8)*AW192)))+((IF(AW192&lt;=0,0,IF(WEEKDAY(AW$6,1)=1,0,IF(WEEKDAY(AW$6,1)=7,0,MIN(8,AW193)*AW192))))-MIN(IF(AW192&lt;=0,0,IF(WEEKDAY(AW$6,1)=1,0,IF(WEEKDAY(AW$6,1)=7,0,MIN(8,AW193)*AW192))),MAX(0,40*MAX(1,AW192)-(AT194+AU194+AV194)))))</f>
        <v>0</v>
      </c>
      <c r="AX195" s="63">
        <f>IF(AND(AX192=0,AX193=0),0,IF(AX192&lt;=0,0,IF(WEEKDAY(AX$6,1)=1,0,IF(WEEKDAY(AX$6,1)=7,AX192*AX193,MAX(0,AX193-8)*AX192)))+((IF(AX192&lt;=0,0,IF(WEEKDAY(AX$6,1)=1,0,IF(WEEKDAY(AX$6,1)=7,0,MIN(8,AX193)*AX192))))-MIN(IF(AX192&lt;=0,0,IF(WEEKDAY(AX$6,1)=1,0,IF(WEEKDAY(AX$6,1)=7,0,MIN(8,AX193)*AX192))),MAX(0,40*MAX(1,AX192)-(AT194+AU194+AV194+AW194)))))</f>
        <v>0</v>
      </c>
      <c r="AY195" s="64">
        <f>IF(AND(AY192=0,AY193=0),0,IF(AY192&lt;=0,0,IF(WEEKDAY(AY$6,1)=1,0,IF(WEEKDAY(AY$6,1)=7,AY192*AY193,MAX(0,AY193-8)*AY192)))+((IF(AY192&lt;=0,0,IF(WEEKDAY(AY$6,1)=1,0,IF(WEEKDAY(AY$6,1)=7,0,MIN(8,AY193)*AY192))))-MIN(IF(AY192&lt;=0,0,IF(WEEKDAY(AY$6,1)=1,0,IF(WEEKDAY(AY$6,1)=7,0,MIN(8,AY193)*AY192))),MAX(0,40*MAX(1,AY192)-(AT194+AU194+AV194+AW194+AX194)))))</f>
        <v>0</v>
      </c>
      <c r="AZ195" s="64">
        <f>IF(AND(AZ192=0,AZ193=0),0,IF(AZ192&lt;=0,0,IF(WEEKDAY(AZ$6,1)=1,0,IF(WEEKDAY(AZ$6,1)=7,AZ192*AZ193,MAX(0,AZ193-8)*AZ192)))+((IF(AZ192&lt;=0,0,IF(WEEKDAY(AZ$6,1)=1,0,IF(WEEKDAY(AZ$6,1)=7,0,MIN(8,AZ193)*AZ192))))-MIN(IF(AZ192&lt;=0,0,IF(WEEKDAY(AZ$6,1)=1,0,IF(WEEKDAY(AZ$6,1)=7,0,MIN(8,AZ193)*AZ192))),MAX(0,40*MAX(1,AZ192)-(AT194+AU194+AV194+AW194+AX194+AY194)))))</f>
        <v>0</v>
      </c>
      <c r="BA195" s="63">
        <f>IF(AND(BA192=0,BA193=0),0,IF(BA192&lt;=0,0,IF(WEEKDAY(BA$6,1)=1,0,IF(WEEKDAY(BA$6,1)=7,BA192*BA193,MAX(0,BA193-8)*BA192)))+((IF(BA192&lt;=0,0,IF(WEEKDAY(BA$6,1)=1,0,IF(WEEKDAY(BA$6,1)=7,0,MIN(8,BA193)*BA192))))-MIN(IF(BA192&lt;=0,0,IF(WEEKDAY(BA$6,1)=1,0,IF(WEEKDAY(BA$6,1)=7,0,MIN(8,BA193)*BA192))),MAX(0,40*MAX(1,BA192)-(0)))))</f>
        <v>0</v>
      </c>
      <c r="BB195" s="63">
        <f>IF(AND(BB192=0,BB193=0),0,IF(BB192&lt;=0,0,IF(WEEKDAY(BB$6,1)=1,0,IF(WEEKDAY(BB$6,1)=7,BB192*BB193,MAX(0,BB193-8)*BB192)))+((IF(BB192&lt;=0,0,IF(WEEKDAY(BB$6,1)=1,0,IF(WEEKDAY(BB$6,1)=7,0,MIN(8,BB193)*BB192))))-MIN(IF(BB192&lt;=0,0,IF(WEEKDAY(BB$6,1)=1,0,IF(WEEKDAY(BB$6,1)=7,0,MIN(8,BB193)*BB192))),MAX(0,40*MAX(1,BB192)-(BA194)))))</f>
        <v>0</v>
      </c>
      <c r="BC195" s="63">
        <f>IF(AND(BC192=0,BC193=0),0,IF(BC192&lt;=0,0,IF(WEEKDAY(BC$6,1)=1,0,IF(WEEKDAY(BC$6,1)=7,BC192*BC193,MAX(0,BC193-8)*BC192)))+((IF(BC192&lt;=0,0,IF(WEEKDAY(BC$6,1)=1,0,IF(WEEKDAY(BC$6,1)=7,0,MIN(8,BC193)*BC192))))-MIN(IF(BC192&lt;=0,0,IF(WEEKDAY(BC$6,1)=1,0,IF(WEEKDAY(BC$6,1)=7,0,MIN(8,BC193)*BC192))),MAX(0,40*MAX(1,BC192)-(BA194+BB194)))))</f>
        <v>0</v>
      </c>
      <c r="BD195" s="63">
        <f>IF(AND(BD192=0,BD193=0),0,IF(BD192&lt;=0,0,IF(WEEKDAY(BD$6,1)=1,0,IF(WEEKDAY(BD$6,1)=7,BD192*BD193,MAX(0,BD193-8)*BD192)))+((IF(BD192&lt;=0,0,IF(WEEKDAY(BD$6,1)=1,0,IF(WEEKDAY(BD$6,1)=7,0,MIN(8,BD193)*BD192))))-MIN(IF(BD192&lt;=0,0,IF(WEEKDAY(BD$6,1)=1,0,IF(WEEKDAY(BD$6,1)=7,0,MIN(8,BD193)*BD192))),MAX(0,40*MAX(1,BD192)-(BA194+BB194+BC194)))))</f>
        <v>0</v>
      </c>
      <c r="BE195" s="63">
        <f>IF(AND(BE192=0,BE193=0),0,IF(BE192&lt;=0,0,IF(WEEKDAY(BE$6,1)=1,0,IF(WEEKDAY(BE$6,1)=7,BE192*BE193,MAX(0,BE193-8)*BE192)))+((IF(BE192&lt;=0,0,IF(WEEKDAY(BE$6,1)=1,0,IF(WEEKDAY(BE$6,1)=7,0,MIN(8,BE193)*BE192))))-MIN(IF(BE192&lt;=0,0,IF(WEEKDAY(BE$6,1)=1,0,IF(WEEKDAY(BE$6,1)=7,0,MIN(8,BE193)*BE192))),MAX(0,40*MAX(1,BE192)-(BA194+BB194+BC194+BD194)))))</f>
        <v>0</v>
      </c>
      <c r="BF195" s="64">
        <f>IF(AND(BF192=0,BF193=0),0,IF(BF192&lt;=0,0,IF(WEEKDAY(BF$6,1)=1,0,IF(WEEKDAY(BF$6,1)=7,BF192*BF193,MAX(0,BF193-8)*BF192)))+((IF(BF192&lt;=0,0,IF(WEEKDAY(BF$6,1)=1,0,IF(WEEKDAY(BF$6,1)=7,0,MIN(8,BF193)*BF192))))-MIN(IF(BF192&lt;=0,0,IF(WEEKDAY(BF$6,1)=1,0,IF(WEEKDAY(BF$6,1)=7,0,MIN(8,BF193)*BF192))),MAX(0,40*MAX(1,BF192)-(BA194+BB194+BC194+BD194+BE194)))))</f>
        <v>0</v>
      </c>
      <c r="BG195" s="64">
        <f>IF(AND(BG192=0,BG193=0),0,IF(BG192&lt;=0,0,IF(WEEKDAY(BG$6,1)=1,0,IF(WEEKDAY(BG$6,1)=7,BG192*BG193,MAX(0,BG193-8)*BG192)))+((IF(BG192&lt;=0,0,IF(WEEKDAY(BG$6,1)=1,0,IF(WEEKDAY(BG$6,1)=7,0,MIN(8,BG193)*BG192))))-MIN(IF(BG192&lt;=0,0,IF(WEEKDAY(BG$6,1)=1,0,IF(WEEKDAY(BG$6,1)=7,0,MIN(8,BG193)*BG192))),MAX(0,40*MAX(1,BG192)-(BA194+BB194+BC194+BD194+BE194+BF194)))))</f>
        <v>0</v>
      </c>
      <c r="BH195" s="63">
        <f>IF(AND(BH192=1,BH193=13),5,IF(BH192&lt;=0,0,IF(WEEKDAY(BH$6,1)=1,0,IF(WEEKDAY(BH$6,1)=7,BH192*BH193,MAX(0,BH193-8)*BH192)))+((IF(BH192&lt;=0,0,IF(WEEKDAY(BH$6,1)=1,0,IF(WEEKDAY(BH$6,1)=7,0,MIN(8,BH193)*BH192))))-MIN(IF(BH192&lt;=0,0,IF(WEEKDAY(BH$6,1)=1,0,IF(WEEKDAY(BH$6,1)=7,0,MIN(8,BH193)*BH192))),MAX(0,40*MAX(1,BH192)-(0)))))</f>
        <v>5</v>
      </c>
      <c r="BI195" s="63">
        <f>IF(AND(BI192=1,BI193=13),5,IF(BI192&lt;=0,0,IF(WEEKDAY(BI$6,1)=1,0,IF(WEEKDAY(BI$6,1)=7,BI192*BI193,MAX(0,BI193-8)*BI192)))+((IF(BI192&lt;=0,0,IF(WEEKDAY(BI$6,1)=1,0,IF(WEEKDAY(BI$6,1)=7,0,MIN(8,BI193)*BI192))))-MIN(IF(BI192&lt;=0,0,IF(WEEKDAY(BI$6,1)=1,0,IF(WEEKDAY(BI$6,1)=7,0,MIN(8,BI193)*BI192))),MAX(0,40*MAX(1,BI192)-(BH194)))))</f>
        <v>5</v>
      </c>
      <c r="BJ195" s="63">
        <f>IF(AND(BJ192=1,BJ193=13),5,IF(BJ192&lt;=0,0,IF(WEEKDAY(BJ$6,1)=1,0,IF(WEEKDAY(BJ$6,1)=7,BJ192*BJ193,MAX(0,BJ193-8)*BJ192)))+((IF(BJ192&lt;=0,0,IF(WEEKDAY(BJ$6,1)=1,0,IF(WEEKDAY(BJ$6,1)=7,0,MIN(8,BJ193)*BJ192))))-MIN(IF(BJ192&lt;=0,0,IF(WEEKDAY(BJ$6,1)=1,0,IF(WEEKDAY(BJ$6,1)=7,0,MIN(8,BJ193)*BJ192))),MAX(0,40*MAX(1,BJ192)-(BH194+BI194)))))</f>
        <v>5</v>
      </c>
      <c r="BK195" s="63">
        <f>IF(AND(BK192=1,BK193=13),5,IF(BK192&lt;=0,0,IF(WEEKDAY(BK$6,1)=1,0,IF(WEEKDAY(BK$6,1)=7,BK192*BK193,MAX(0,BK193-8)*BK192)))+((IF(BK192&lt;=0,0,IF(WEEKDAY(BK$6,1)=1,0,IF(WEEKDAY(BK$6,1)=7,0,MIN(8,BK193)*BK192))))-MIN(IF(BK192&lt;=0,0,IF(WEEKDAY(BK$6,1)=1,0,IF(WEEKDAY(BK$6,1)=7,0,MIN(8,BK193)*BK192))),MAX(0,40*MAX(1,BK192)-(BH194+BI194+BJ194)))))</f>
        <v>5</v>
      </c>
      <c r="BL195" s="63">
        <f>IF(AND(BL192=1,BL193=13),5,IF(BL192&lt;=0,0,IF(WEEKDAY(BL$6,1)=1,0,IF(WEEKDAY(BL$6,1)=7,BL192*BL193,MAX(0,BL193-8)*BL192)))+((IF(BL192&lt;=0,0,IF(WEEKDAY(BL$6,1)=1,0,IF(WEEKDAY(BL$6,1)=7,0,MIN(8,BL193)*BL192))))-MIN(IF(BL192&lt;=0,0,IF(WEEKDAY(BL$6,1)=1,0,IF(WEEKDAY(BL$6,1)=7,0,MIN(8,BL193)*BL192))),MAX(0,40*MAX(1,BL192)-(BH194+BI194+BJ194+BK194)))))</f>
        <v>5</v>
      </c>
      <c r="BM195" s="64">
        <f>IF(AND(BM192=1,BM193=13),13,IF(BM192&lt;=0,0,IF(WEEKDAY(BM$6,1)=1,0,IF(WEEKDAY(BM$6,1)=7,BM192*BM193,MAX(0,BM193-8)*BM192)))+((IF(BM192&lt;=0,0,IF(WEEKDAY(BM$6,1)=1,0,IF(WEEKDAY(BM$6,1)=7,0,MIN(8,BM193)*BM192))))-MIN(IF(BM192&lt;=0,0,IF(WEEKDAY(BM$6,1)=1,0,IF(WEEKDAY(BM$6,1)=7,0,MIN(8,BM193)*BM192))),MAX(0,40*MAX(1,BM192)-(BH194+BI194+BJ194+BK194+BL194)))))</f>
        <v>13</v>
      </c>
      <c r="BN195" s="64">
        <f>IF(AND(BN192=1,BN193=13),0,IF(BN192&lt;=0,0,IF(WEEKDAY(BN$6,1)=1,0,IF(WEEKDAY(BN$6,1)=7,BN192*BN193,MAX(0,BN193-8)*BN192)))+((IF(BN192&lt;=0,0,IF(WEEKDAY(BN$6,1)=1,0,IF(WEEKDAY(BN$6,1)=7,0,MIN(8,BN193)*BN192))))-MIN(IF(BN192&lt;=0,0,IF(WEEKDAY(BN$6,1)=1,0,IF(WEEKDAY(BN$6,1)=7,0,MIN(8,BN193)*BN192))),MAX(0,40*MAX(1,BN192)-(BH194+BI194+BJ194+BK194+BL194+BM194)))))</f>
        <v>0</v>
      </c>
      <c r="BO195" s="63">
        <f>IF(AND(BO192=1,BO193=13),5,IF(BO192&lt;=0,0,IF(WEEKDAY(BO$6,1)=1,0,IF(WEEKDAY(BO$6,1)=7,BO192*BO193,MAX(0,BO193-8)*BO192)))+((IF(BO192&lt;=0,0,IF(WEEKDAY(BO$6,1)=1,0,IF(WEEKDAY(BO$6,1)=7,0,MIN(8,BO193)*BO192))))-MIN(IF(BO192&lt;=0,0,IF(WEEKDAY(BO$6,1)=1,0,IF(WEEKDAY(BO$6,1)=7,0,MIN(8,BO193)*BO192))),MAX(0,40*MAX(1,BO192)-(0)))))</f>
        <v>5</v>
      </c>
      <c r="BP195" s="63">
        <f>IF(AND(BP192=1,BP193=13),5,IF(BP192&lt;=0,0,IF(WEEKDAY(BP$6,1)=1,0,IF(WEEKDAY(BP$6,1)=7,BP192*BP193,MAX(0,BP193-8)*BP192)))+((IF(BP192&lt;=0,0,IF(WEEKDAY(BP$6,1)=1,0,IF(WEEKDAY(BP$6,1)=7,0,MIN(8,BP193)*BP192))))-MIN(IF(BP192&lt;=0,0,IF(WEEKDAY(BP$6,1)=1,0,IF(WEEKDAY(BP$6,1)=7,0,MIN(8,BP193)*BP192))),MAX(0,40*MAX(1,BP192)-(BO194)))))</f>
        <v>5</v>
      </c>
      <c r="BQ195" s="63">
        <f>IF(AND(BQ192=1,BQ193=13),5,IF(BQ192&lt;=0,0,IF(WEEKDAY(BQ$6,1)=1,0,IF(WEEKDAY(BQ$6,1)=7,BQ192*BQ193,MAX(0,BQ193-8)*BQ192)))+((IF(BQ192&lt;=0,0,IF(WEEKDAY(BQ$6,1)=1,0,IF(WEEKDAY(BQ$6,1)=7,0,MIN(8,BQ193)*BQ192))))-MIN(IF(BQ192&lt;=0,0,IF(WEEKDAY(BQ$6,1)=1,0,IF(WEEKDAY(BQ$6,1)=7,0,MIN(8,BQ193)*BQ192))),MAX(0,40*MAX(1,BQ192)-(BO194+BP194)))))</f>
        <v>5</v>
      </c>
      <c r="BR195" s="63">
        <f>IF(AND(BR192=1,BR193=13),5,IF(BR192&lt;=0,0,IF(WEEKDAY(BR$6,1)=1,0,IF(WEEKDAY(BR$6,1)=7,BR192*BR193,MAX(0,BR193-8)*BR192)))+((IF(BR192&lt;=0,0,IF(WEEKDAY(BR$6,1)=1,0,IF(WEEKDAY(BR$6,1)=7,0,MIN(8,BR193)*BR192))))-MIN(IF(BR192&lt;=0,0,IF(WEEKDAY(BR$6,1)=1,0,IF(WEEKDAY(BR$6,1)=7,0,MIN(8,BR193)*BR192))),MAX(0,40*MAX(1,BR192)-(0)))))</f>
        <v>5</v>
      </c>
      <c r="BS195" s="63">
        <f>IF(AND(BS192=1,BS193=13),5,IF(BS192&lt;=0,0,IF(WEEKDAY(BS$6,1)=1,0,IF(WEEKDAY(BS$6,1)=7,BS192*BS193,MAX(0,BS193-8)*BS192)))+((IF(BS192&lt;=0,0,IF(WEEKDAY(BS$6,1)=1,0,IF(WEEKDAY(BS$6,1)=7,0,MIN(8,BS193)*BS192))))-MIN(IF(BS192&lt;=0,0,IF(WEEKDAY(BS$6,1)=1,0,IF(WEEKDAY(BS$6,1)=7,0,MIN(8,BS193)*BS192))),MAX(0,40*MAX(1,BS192)-(BR194)))))</f>
        <v>5</v>
      </c>
      <c r="BT195" s="64">
        <f>IF(AND(BT192=1,BT193=13),13,IF(BT192&lt;=0,0,IF(WEEKDAY(BT$6,1)=1,0,IF(WEEKDAY(BT$6,1)=7,BT192*BT193,MAX(0,BT193-8)*BT192)))+((IF(BT192&lt;=0,0,IF(WEEKDAY(BT$6,1)=1,0,IF(WEEKDAY(BT$6,1)=7,0,MIN(8,BT193)*BT192))))-MIN(IF(BT192&lt;=0,0,IF(WEEKDAY(BT$6,1)=1,0,IF(WEEKDAY(BT$6,1)=7,0,MIN(8,BT193)*BT192))),MAX(0,40*MAX(1,BT192)-(BR194+BS194)))))</f>
        <v>13</v>
      </c>
      <c r="BU195" s="64">
        <f>IF(AND(BU192=1,BU193=13),0,IF(BU192&lt;=0,0,IF(WEEKDAY(BU$6,1)=1,0,IF(WEEKDAY(BU$6,1)=7,BU192*BU193,MAX(0,BU193-8)*BU192)))+((IF(BU192&lt;=0,0,IF(WEEKDAY(BU$6,1)=1,0,IF(WEEKDAY(BU$6,1)=7,0,MIN(8,BU193)*BU192))))-MIN(IF(BU192&lt;=0,0,IF(WEEKDAY(BU$6,1)=1,0,IF(WEEKDAY(BU$6,1)=7,0,MIN(8,BU193)*BU192))),MAX(0,40*MAX(1,BU192)-(BR194+BS194+BT194)))))</f>
        <v>0</v>
      </c>
      <c r="BV195" s="63">
        <f>IF(AND(BV192=1,BV193=13),5,IF(BV192&lt;=0,0,IF(WEEKDAY(BV$6,1)=1,0,IF(WEEKDAY(BV$6,1)=7,BV192*BV193,MAX(0,BV193-8)*BV192)))+((IF(BV192&lt;=0,0,IF(WEEKDAY(BV$6,1)=1,0,IF(WEEKDAY(BV$6,1)=7,0,MIN(8,BV193)*BV192))))-MIN(IF(BV192&lt;=0,0,IF(WEEKDAY(BV$6,1)=1,0,IF(WEEKDAY(BV$6,1)=7,0,MIN(8,BV193)*BV192))),MAX(0,40*MAX(1,BV192)-(0)))))</f>
        <v>5</v>
      </c>
      <c r="BW195" s="63">
        <f>IF(AND(BW192=1,BW193=13),5,IF(BW192&lt;=0,0,IF(WEEKDAY(BW$6,1)=1,0,IF(WEEKDAY(BW$6,1)=7,BW192*BW193,MAX(0,BW193-8)*BW192)))+((IF(BW192&lt;=0,0,IF(WEEKDAY(BW$6,1)=1,0,IF(WEEKDAY(BW$6,1)=7,0,MIN(8,BW193)*BW192))))-MIN(IF(BW192&lt;=0,0,IF(WEEKDAY(BW$6,1)=1,0,IF(WEEKDAY(BW$6,1)=7,0,MIN(8,BW193)*BW192))),MAX(0,40*MAX(1,BW192)-(BV194)))))</f>
        <v>5</v>
      </c>
      <c r="BX195" s="63">
        <f>IF(AND(BX192=1,BX193=13),5,IF(BX192&lt;=0,0,IF(WEEKDAY(BX$6,1)=1,0,IF(WEEKDAY(BX$6,1)=7,BX192*BX193,MAX(0,BX193-8)*BX192)))+((IF(BX192&lt;=0,0,IF(WEEKDAY(BX$6,1)=1,0,IF(WEEKDAY(BX$6,1)=7,0,MIN(8,BX193)*BX192))))-MIN(IF(BX192&lt;=0,0,IF(WEEKDAY(BX$6,1)=1,0,IF(WEEKDAY(BX$6,1)=7,0,MIN(8,BX193)*BX192))),MAX(0,40*MAX(1,BX192)-(BV194+BW194)))))</f>
        <v>5</v>
      </c>
      <c r="BY195" s="63">
        <f>IF(AND(BY192=1,BY193=13),5,IF(BY192&lt;=0,0,IF(WEEKDAY(BY$6,1)=1,0,IF(WEEKDAY(BY$6,1)=7,BY192*BY193,MAX(0,BY193-8)*BY192)))+((IF(BY192&lt;=0,0,IF(WEEKDAY(BY$6,1)=1,0,IF(WEEKDAY(BY$6,1)=7,0,MIN(8,BY193)*BY192))))-MIN(IF(BY192&lt;=0,0,IF(WEEKDAY(BY$6,1)=1,0,IF(WEEKDAY(BY$6,1)=7,0,MIN(8,BY193)*BY192))),MAX(0,40*MAX(1,BY192)-(BV194+BW194+BX194)))))</f>
        <v>5</v>
      </c>
      <c r="BZ195" s="63">
        <f>IF(AND(BZ192=1,BZ193=13),5,IF(BZ192&lt;=0,0,IF(WEEKDAY(BZ$6,1)=1,0,IF(WEEKDAY(BZ$6,1)=7,BZ192*BZ193,MAX(0,BZ193-8)*BZ192)))+((IF(BZ192&lt;=0,0,IF(WEEKDAY(BZ$6,1)=1,0,IF(WEEKDAY(BZ$6,1)=7,0,MIN(8,BZ193)*BZ192))))-MIN(IF(BZ192&lt;=0,0,IF(WEEKDAY(BZ$6,1)=1,0,IF(WEEKDAY(BZ$6,1)=7,0,MIN(8,BZ193)*BZ192))),MAX(0,40*MAX(1,BZ192)-(BV194+BW194+BX194+BY194)))))</f>
        <v>5</v>
      </c>
      <c r="CA195" s="64">
        <f>IF(AND(CA192=1,CA193=13),13,IF(CA192&lt;=0,0,IF(WEEKDAY(CA$6,1)=1,0,IF(WEEKDAY(CA$6,1)=7,CA192*CA193,MAX(0,CA193-8)*CA192)))+((IF(CA192&lt;=0,0,IF(WEEKDAY(CA$6,1)=1,0,IF(WEEKDAY(CA$6,1)=7,0,MIN(8,CA193)*CA192))))-MIN(IF(CA192&lt;=0,0,IF(WEEKDAY(CA$6,1)=1,0,IF(WEEKDAY(CA$6,1)=7,0,MIN(8,CA193)*CA192))),MAX(0,40*MAX(1,CA192)-(BV194+BW194+BX194+BY194+BZ194)))))</f>
        <v>13</v>
      </c>
      <c r="CB195" s="64">
        <f>IF(AND(CB192=1,CB193=13),0,IF(CB192&lt;=0,0,IF(WEEKDAY(CB$6,1)=1,0,IF(WEEKDAY(CB$6,1)=7,CB192*CB193,MAX(0,CB193-8)*CB192)))+((IF(CB192&lt;=0,0,IF(WEEKDAY(CB$6,1)=1,0,IF(WEEKDAY(CB$6,1)=7,0,MIN(8,CB193)*CB192))))-MIN(IF(CB192&lt;=0,0,IF(WEEKDAY(CB$6,1)=1,0,IF(WEEKDAY(CB$6,1)=7,0,MIN(8,CB193)*CB192))),MAX(0,40*MAX(1,CB192)-(BV194+BW194+BX194+BY194+BZ194+CA194)))))</f>
        <v>0</v>
      </c>
      <c r="CC195" s="63">
        <f>IF(AND(CC192=1,CC193=13),5,IF(CC192&lt;=0,0,IF(WEEKDAY(CC$6,1)=1,0,IF(WEEKDAY(CC$6,1)=7,CC192*CC193,MAX(0,CC193-8)*CC192)))+((IF(CC192&lt;=0,0,IF(WEEKDAY(CC$6,1)=1,0,IF(WEEKDAY(CC$6,1)=7,0,MIN(8,CC193)*CC192))))-MIN(IF(CC192&lt;=0,0,IF(WEEKDAY(CC$6,1)=1,0,IF(WEEKDAY(CC$6,1)=7,0,MIN(8,CC193)*CC192))),MAX(0,40*MAX(1,CC192)-(0)))))</f>
        <v>5</v>
      </c>
      <c r="CD195" s="63">
        <f>IF(AND(CD192=1,CD193=13),5,IF(CD192&lt;=0,0,IF(WEEKDAY(CD$6,1)=1,0,IF(WEEKDAY(CD$6,1)=7,CD192*CD193,MAX(0,CD193-8)*CD192)))+((IF(CD192&lt;=0,0,IF(WEEKDAY(CD$6,1)=1,0,IF(WEEKDAY(CD$6,1)=7,0,MIN(8,CD193)*CD192))))-MIN(IF(CD192&lt;=0,0,IF(WEEKDAY(CD$6,1)=1,0,IF(WEEKDAY(CD$6,1)=7,0,MIN(8,CD193)*CD192))),MAX(0,40*MAX(1,CD192)-(CC194)))))</f>
        <v>5</v>
      </c>
      <c r="CE195" s="63">
        <f>IF(AND(CE192=1,CE193=13),5,IF(CE192&lt;=0,0,IF(WEEKDAY(CE$6,1)=1,0,IF(WEEKDAY(CE$6,1)=7,CE192*CE193,MAX(0,CE193-8)*CE192)))+((IF(CE192&lt;=0,0,IF(WEEKDAY(CE$6,1)=1,0,IF(WEEKDAY(CE$6,1)=7,0,MIN(8,CE193)*CE192))))-MIN(IF(CE192&lt;=0,0,IF(WEEKDAY(CE$6,1)=1,0,IF(WEEKDAY(CE$6,1)=7,0,MIN(8,CE193)*CE192))),MAX(0,40*MAX(1,CE192)-(CC194+CD194)))))</f>
        <v>5</v>
      </c>
      <c r="CF195" s="63">
        <f>IF(AND(CF192=1,CF193=13),5,IF(CF192&lt;=0,0,IF(WEEKDAY(CF$6,1)=1,0,IF(WEEKDAY(CF$6,1)=7,CF192*CF193,MAX(0,CF193-8)*CF192)))+((IF(CF192&lt;=0,0,IF(WEEKDAY(CF$6,1)=1,0,IF(WEEKDAY(CF$6,1)=7,0,MIN(8,CF193)*CF192))))-MIN(IF(CF192&lt;=0,0,IF(WEEKDAY(CF$6,1)=1,0,IF(WEEKDAY(CF$6,1)=7,0,MIN(8,CF193)*CF192))),MAX(0,40*MAX(1,CF192)-(CC194+CD194+CE194)))))</f>
        <v>5</v>
      </c>
      <c r="CG195" s="63">
        <f>IF(AND(CG192=1,CG193=13),5,IF(CG192&lt;=0,0,IF(WEEKDAY(CG$6,1)=1,0,IF(WEEKDAY(CG$6,1)=7,CG192*CG193,MAX(0,CG193-8)*CG192)))+((IF(CG192&lt;=0,0,IF(WEEKDAY(CG$6,1)=1,0,IF(WEEKDAY(CG$6,1)=7,0,MIN(8,CG193)*CG192))))-MIN(IF(CG192&lt;=0,0,IF(WEEKDAY(CG$6,1)=1,0,IF(WEEKDAY(CG$6,1)=7,0,MIN(8,CG193)*CG192))),MAX(0,40*MAX(1,CG192)-(CC194+CD194+CE194+CF194)))))</f>
        <v>5</v>
      </c>
      <c r="CH195" s="64">
        <f>IF(AND(CH192=1,CH193=13),13,IF(CH192&lt;=0,0,IF(WEEKDAY(CH$6,1)=1,0,IF(WEEKDAY(CH$6,1)=7,CH192*CH193,MAX(0,CH193-8)*CH192)))+((IF(CH192&lt;=0,0,IF(WEEKDAY(CH$6,1)=1,0,IF(WEEKDAY(CH$6,1)=7,0,MIN(8,CH193)*CH192))))-MIN(IF(CH192&lt;=0,0,IF(WEEKDAY(CH$6,1)=1,0,IF(WEEKDAY(CH$6,1)=7,0,MIN(8,CH193)*CH192))),MAX(0,40*MAX(1,CH192)-(CC194+CD194+CE194+CF194+CG194)))))</f>
        <v>13</v>
      </c>
      <c r="CI195" s="64">
        <f>IF(AND(CI192=1,CI193=13),0,IF(CI192&lt;=0,0,IF(WEEKDAY(CI$6,1)=1,0,IF(WEEKDAY(CI$6,1)=7,CI192*CI193,MAX(0,CI193-8)*CI192)))+((IF(CI192&lt;=0,0,IF(WEEKDAY(CI$6,1)=1,0,IF(WEEKDAY(CI$6,1)=7,0,MIN(8,CI193)*CI192))))-MIN(IF(CI192&lt;=0,0,IF(WEEKDAY(CI$6,1)=1,0,IF(WEEKDAY(CI$6,1)=7,0,MIN(8,CI193)*CI192))),MAX(0,40*MAX(1,CI192)-(CC194+CD194+CE194+CF194+CG194+CH194)))))</f>
        <v>0</v>
      </c>
      <c r="CJ195" s="63">
        <f>IF(AND(CJ192=1,CJ193=13),5,IF(CJ192&lt;=0,0,IF(WEEKDAY(CJ$6,1)=1,0,IF(WEEKDAY(CJ$6,1)=7,CJ192*CJ193,MAX(0,CJ193-8)*CJ192)))+((IF(CJ192&lt;=0,0,IF(WEEKDAY(CJ$6,1)=1,0,IF(WEEKDAY(CJ$6,1)=7,0,MIN(8,CJ193)*CJ192))))-MIN(IF(CJ192&lt;=0,0,IF(WEEKDAY(CJ$6,1)=1,0,IF(WEEKDAY(CJ$6,1)=7,0,MIN(8,CJ193)*CJ192))),MAX(0,40*MAX(1,CJ192)-(0)))))</f>
        <v>5</v>
      </c>
      <c r="CK195" s="63">
        <f>IF(AND(CK192=1,CK193=13),5,IF(CK192&lt;=0,0,IF(WEEKDAY(CK$6,1)=1,0,IF(WEEKDAY(CK$6,1)=7,CK192*CK193,MAX(0,CK193-8)*CK192)))+((IF(CK192&lt;=0,0,IF(WEEKDAY(CK$6,1)=1,0,IF(WEEKDAY(CK$6,1)=7,0,MIN(8,CK193)*CK192))))-MIN(IF(CK192&lt;=0,0,IF(WEEKDAY(CK$6,1)=1,0,IF(WEEKDAY(CK$6,1)=7,0,MIN(8,CK193)*CK192))),MAX(0,40*MAX(1,CK192)-(CJ194)))))</f>
        <v>5</v>
      </c>
      <c r="CL195" s="63">
        <f>IF(AND(CL192=1,CL193=13),5,IF(CL192&lt;=0,0,IF(WEEKDAY(CL$6,1)=1,0,IF(WEEKDAY(CL$6,1)=7,CL192*CL193,MAX(0,CL193-8)*CL192)))+((IF(CL192&lt;=0,0,IF(WEEKDAY(CL$6,1)=1,0,IF(WEEKDAY(CL$6,1)=7,0,MIN(8,CL193)*CL192))))-MIN(IF(CL192&lt;=0,0,IF(WEEKDAY(CL$6,1)=1,0,IF(WEEKDAY(CL$6,1)=7,0,MIN(8,CL193)*CL192))),MAX(0,40*MAX(1,CL192)-(CJ194+CK194)))))</f>
        <v>5</v>
      </c>
      <c r="CM195" s="63">
        <f>IF(AND(CM192=1,CM193=13),5,IF(CM192&lt;=0,0,IF(WEEKDAY(CM$6,1)=1,0,IF(WEEKDAY(CM$6,1)=7,CM192*CM193,MAX(0,CM193-8)*CM192)))+((IF(CM192&lt;=0,0,IF(WEEKDAY(CM$6,1)=1,0,IF(WEEKDAY(CM$6,1)=7,0,MIN(8,CM193)*CM192))))-MIN(IF(CM192&lt;=0,0,IF(WEEKDAY(CM$6,1)=1,0,IF(WEEKDAY(CM$6,1)=7,0,MIN(8,CM193)*CM192))),MAX(0,40*MAX(1,CM192)-(CJ194+CK194+CL194)))))</f>
        <v>5</v>
      </c>
      <c r="CN195" s="63">
        <f>IF(AND(CN192=1,CN193=13),5,IF(CN192&lt;=0,0,IF(WEEKDAY(CN$6,1)=1,0,IF(WEEKDAY(CN$6,1)=7,CN192*CN193,MAX(0,CN193-8)*CN192)))+((IF(CN192&lt;=0,0,IF(WEEKDAY(CN$6,1)=1,0,IF(WEEKDAY(CN$6,1)=7,0,MIN(8,CN193)*CN192))))-MIN(IF(CN192&lt;=0,0,IF(WEEKDAY(CN$6,1)=1,0,IF(WEEKDAY(CN$6,1)=7,0,MIN(8,CN193)*CN192))),MAX(0,40*MAX(1,CN192)-(CJ194+CK194+CL194+CM194)))))</f>
        <v>5</v>
      </c>
      <c r="CO195" s="64">
        <f>IF(AND(CO192=1,CO193=13),13,IF(CO192&lt;=0,0,IF(WEEKDAY(CO$6,1)=1,0,IF(WEEKDAY(CO$6,1)=7,CO192*CO193,MAX(0,CO193-8)*CO192)))+((IF(CO192&lt;=0,0,IF(WEEKDAY(CO$6,1)=1,0,IF(WEEKDAY(CO$6,1)=7,0,MIN(8,CO193)*CO192))))-MIN(IF(CO192&lt;=0,0,IF(WEEKDAY(CO$6,1)=1,0,IF(WEEKDAY(CO$6,1)=7,0,MIN(8,CO193)*CO192))),MAX(0,40*MAX(1,CO192)-(CJ194+CK194+CL194+CM194+CN194)))))</f>
        <v>13</v>
      </c>
      <c r="CP195" s="64">
        <f>IF(AND(CP192=1,CP193=13),0,IF(CP192&lt;=0,0,IF(WEEKDAY(CP$6,1)=1,0,IF(WEEKDAY(CP$6,1)=7,CP192*CP193,MAX(0,CP193-8)*CP192)))+((IF(CP192&lt;=0,0,IF(WEEKDAY(CP$6,1)=1,0,IF(WEEKDAY(CP$6,1)=7,0,MIN(8,CP193)*CP192))))-MIN(IF(CP192&lt;=0,0,IF(WEEKDAY(CP$6,1)=1,0,IF(WEEKDAY(CP$6,1)=7,0,MIN(8,CP193)*CP192))),MAX(0,40*MAX(1,CP192)-(CJ194+CK194+CL194+CM194+CN194+CO194)))))</f>
        <v>0</v>
      </c>
      <c r="CQ195" s="63">
        <f>IF(AND(CQ192=1,CQ193=13),5,IF(CQ192&lt;=0,0,IF(WEEKDAY(CQ$6,1)=1,0,IF(WEEKDAY(CQ$6,1)=7,CQ192*CQ193,MAX(0,CQ193-8)*CQ192)))+((IF(CQ192&lt;=0,0,IF(WEEKDAY(CQ$6,1)=1,0,IF(WEEKDAY(CQ$6,1)=7,0,MIN(8,CQ193)*CQ192))))-MIN(IF(CQ192&lt;=0,0,IF(WEEKDAY(CQ$6,1)=1,0,IF(WEEKDAY(CQ$6,1)=7,0,MIN(8,CQ193)*CQ192))),MAX(0,40*MAX(1,CQ192)-(0)))))</f>
        <v>5</v>
      </c>
      <c r="CR195" s="63">
        <f>IF(AND(CR192=1,CR193=13),5,IF(CR192&lt;=0,0,IF(WEEKDAY(CR$6,1)=1,0,IF(WEEKDAY(CR$6,1)=7,CR192*CR193,MAX(0,CR193-8)*CR192)))+((IF(CR192&lt;=0,0,IF(WEEKDAY(CR$6,1)=1,0,IF(WEEKDAY(CR$6,1)=7,0,MIN(8,CR193)*CR192))))-MIN(IF(CR192&lt;=0,0,IF(WEEKDAY(CR$6,1)=1,0,IF(WEEKDAY(CR$6,1)=7,0,MIN(8,CR193)*CR192))),MAX(0,40*MAX(1,CR192)-(CQ194)))))</f>
        <v>5</v>
      </c>
      <c r="CS195" s="63">
        <f>IF(AND(CS192=1,CS193=13),5,IF(CS192&lt;=0,0,IF(WEEKDAY(CS$6,1)=1,0,IF(WEEKDAY(CS$6,1)=7,CS192*CS193,MAX(0,CS193-8)*CS192)))+((IF(CS192&lt;=0,0,IF(WEEKDAY(CS$6,1)=1,0,IF(WEEKDAY(CS$6,1)=7,0,MIN(8,CS193)*CS192))))-MIN(IF(CS192&lt;=0,0,IF(WEEKDAY(CS$6,1)=1,0,IF(WEEKDAY(CS$6,1)=7,0,MIN(8,CS193)*CS192))),MAX(0,40*MAX(1,CS192)-(CQ194+CR194)))))</f>
        <v>5</v>
      </c>
      <c r="CT195" s="63">
        <f>IF(AND(CT192=1,CT193=13),5,IF(CT192&lt;=0,0,IF(WEEKDAY(CT$6,1)=1,0,IF(WEEKDAY(CT$6,1)=7,CT192*CT193,MAX(0,CT193-8)*CT192)))+((IF(CT192&lt;=0,0,IF(WEEKDAY(CT$6,1)=1,0,IF(WEEKDAY(CT$6,1)=7,0,MIN(8,CT193)*CT192))))-MIN(IF(CT192&lt;=0,0,IF(WEEKDAY(CT$6,1)=1,0,IF(WEEKDAY(CT$6,1)=7,0,MIN(8,CT193)*CT192))),MAX(0,40*MAX(1,CT192)-(CQ194+CR194+CS194)))))</f>
        <v>5</v>
      </c>
      <c r="CU195" s="63">
        <f>IF(AND(CU192=1,CU193=13),5,IF(CU192&lt;=0,0,IF(WEEKDAY(CU$6,1)=1,0,IF(WEEKDAY(CU$6,1)=7,CU192*CU193,MAX(0,CU193-8)*CU192)))+((IF(CU192&lt;=0,0,IF(WEEKDAY(CU$6,1)=1,0,IF(WEEKDAY(CU$6,1)=7,0,MIN(8,CU193)*CU192))))-MIN(IF(CU192&lt;=0,0,IF(WEEKDAY(CU$6,1)=1,0,IF(WEEKDAY(CU$6,1)=7,0,MIN(8,CU193)*CU192))),MAX(0,40*MAX(1,CU192)-(CQ194+CR194+CS194+CT194)))))</f>
        <v>5</v>
      </c>
      <c r="CV195" s="64">
        <f>IF(AND(CV192=1,CV193=13),13,IF(CV192&lt;=0,0,IF(WEEKDAY(CV$6,1)=1,0,IF(WEEKDAY(CV$6,1)=7,CV192*CV193,MAX(0,CV193-8)*CV192)))+((IF(CV192&lt;=0,0,IF(WEEKDAY(CV$6,1)=1,0,IF(WEEKDAY(CV$6,1)=7,0,MIN(8,CV193)*CV192))))-MIN(IF(CV192&lt;=0,0,IF(WEEKDAY(CV$6,1)=1,0,IF(WEEKDAY(CV$6,1)=7,0,MIN(8,CV193)*CV192))),MAX(0,40*MAX(1,CV192)-(CQ194+CR194+CS194+CT194+CU194)))))</f>
        <v>13</v>
      </c>
      <c r="CW195" s="64">
        <f>IF(AND(CW192=1,CW193=13),0,IF(CW192&lt;=0,0,IF(WEEKDAY(CW$6,1)=1,0,IF(WEEKDAY(CW$6,1)=7,CW192*CW193,MAX(0,CW193-8)*CW192)))+((IF(CW192&lt;=0,0,IF(WEEKDAY(CW$6,1)=1,0,IF(WEEKDAY(CW$6,1)=7,0,MIN(8,CW193)*CW192))))-MIN(IF(CW192&lt;=0,0,IF(WEEKDAY(CW$6,1)=1,0,IF(WEEKDAY(CW$6,1)=7,0,MIN(8,CW193)*CW192))),MAX(0,40*MAX(1,CW192)-(CQ194+CR194+CS194+CT194+CU194+CV194)))))</f>
        <v>0</v>
      </c>
      <c r="CX195" s="63">
        <f>IF(AND(CX192=1,CX193=13),5,IF(CX192&lt;=0,0,IF(WEEKDAY(CX$6,1)=1,0,IF(WEEKDAY(CX$6,1)=7,CX192*CX193,MAX(0,CX193-8)*CX192)))+((IF(CX192&lt;=0,0,IF(WEEKDAY(CX$6,1)=1,0,IF(WEEKDAY(CX$6,1)=7,0,MIN(8,CX193)*CX192))))-MIN(IF(CX192&lt;=0,0,IF(WEEKDAY(CX$6,1)=1,0,IF(WEEKDAY(CX$6,1)=7,0,MIN(8,CX193)*CX192))),MAX(0,40*MAX(1,CX192)-(0)))))</f>
        <v>5</v>
      </c>
      <c r="CY195" s="63">
        <f>IF(AND(CY192=1,CY193=13),5,IF(CY192&lt;=0,0,IF(WEEKDAY(CY$6,1)=1,0,IF(WEEKDAY(CY$6,1)=7,CY192*CY193,MAX(0,CY193-8)*CY192)))+((IF(CY192&lt;=0,0,IF(WEEKDAY(CY$6,1)=1,0,IF(WEEKDAY(CY$6,1)=7,0,MIN(8,CY193)*CY192))))-MIN(IF(CY192&lt;=0,0,IF(WEEKDAY(CY$6,1)=1,0,IF(WEEKDAY(CY$6,1)=7,0,MIN(8,CY193)*CY192))),MAX(0,40*MAX(1,CY192)-(CX194)))))</f>
        <v>5</v>
      </c>
      <c r="CZ195" s="63">
        <f>IF(AND(CZ192=1,CZ193=13),5,IF(CZ192&lt;=0,0,IF(WEEKDAY(CZ$6,1)=1,0,IF(WEEKDAY(CZ$6,1)=7,CZ192*CZ193,MAX(0,CZ193-8)*CZ192)))+((IF(CZ192&lt;=0,0,IF(WEEKDAY(CZ$6,1)=1,0,IF(WEEKDAY(CZ$6,1)=7,0,MIN(8,CZ193)*CZ192))))-MIN(IF(CZ192&lt;=0,0,IF(WEEKDAY(CZ$6,1)=1,0,IF(WEEKDAY(CZ$6,1)=7,0,MIN(8,CZ193)*CZ192))),MAX(0,40*MAX(1,CZ192)-(CX194+CY194)))))</f>
        <v>5</v>
      </c>
      <c r="DA195" s="63">
        <f>IF(AND(DA192=1,DA193=13),5,IF(DA192&lt;=0,0,IF(WEEKDAY(DA$6,1)=1,0,IF(WEEKDAY(DA$6,1)=7,DA192*DA193,MAX(0,DA193-8)*DA192)))+((IF(DA192&lt;=0,0,IF(WEEKDAY(DA$6,1)=1,0,IF(WEEKDAY(DA$6,1)=7,0,MIN(8,DA193)*DA192))))-MIN(IF(DA192&lt;=0,0,IF(WEEKDAY(DA$6,1)=1,0,IF(WEEKDAY(DA$6,1)=7,0,MIN(8,DA193)*DA192))),MAX(0,40*MAX(1,DA192)-(CX194+CY194+CZ194)))))</f>
        <v>5</v>
      </c>
      <c r="DB195" s="63">
        <f>IF(AND(DB192=1,DB193=13),5,IF(DB192&lt;=0,0,IF(WEEKDAY(DB$6,1)=1,0,IF(WEEKDAY(DB$6,1)=7,DB192*DB193,MAX(0,DB193-8)*DB192)))+((IF(DB192&lt;=0,0,IF(WEEKDAY(DB$6,1)=1,0,IF(WEEKDAY(DB$6,1)=7,0,MIN(8,DB193)*DB192))))-MIN(IF(DB192&lt;=0,0,IF(WEEKDAY(DB$6,1)=1,0,IF(WEEKDAY(DB$6,1)=7,0,MIN(8,DB193)*DB192))),MAX(0,40*MAX(1,DB192)-(CX194+CY194+CZ194+DA194)))))</f>
        <v>5</v>
      </c>
      <c r="DC195" s="64">
        <f>IF(AND(DC192=1,DC193=13),13,IF(DC192&lt;=0,0,IF(WEEKDAY(DC$6,1)=1,0,IF(WEEKDAY(DC$6,1)=7,DC192*DC193,MAX(0,DC193-8)*DC192)))+((IF(DC192&lt;=0,0,IF(WEEKDAY(DC$6,1)=1,0,IF(WEEKDAY(DC$6,1)=7,0,MIN(8,DC193)*DC192))))-MIN(IF(DC192&lt;=0,0,IF(WEEKDAY(DC$6,1)=1,0,IF(WEEKDAY(DC$6,1)=7,0,MIN(8,DC193)*DC192))),MAX(0,40*MAX(1,DC192)-(CX194+CY194+CZ194+DA194+DB194)))))</f>
        <v>13</v>
      </c>
      <c r="DD195" s="64">
        <f>IF(AND(DD192=1,DD193=13),0,IF(DD192&lt;=0,0,IF(WEEKDAY(DD$6,1)=1,0,IF(WEEKDAY(DD$6,1)=7,DD192*DD193,MAX(0,DD193-8)*DD192)))+((IF(DD192&lt;=0,0,IF(WEEKDAY(DD$6,1)=1,0,IF(WEEKDAY(DD$6,1)=7,0,MIN(8,DD193)*DD192))))-MIN(IF(DD192&lt;=0,0,IF(WEEKDAY(DD$6,1)=1,0,IF(WEEKDAY(DD$6,1)=7,0,MIN(8,DD193)*DD192))),MAX(0,40*MAX(1,DD192)-(0)))))</f>
        <v>0</v>
      </c>
      <c r="DE195" s="63">
        <f>IF(AND(DE192=1,DE193=13),5,IF(DE192&lt;=0,0,IF(WEEKDAY(DE$6,1)=1,0,IF(WEEKDAY(DE$6,1)=7,DE192*DE193,MAX(0,DE193-8)*DE192)))+((IF(DE192&lt;=0,0,IF(WEEKDAY(DE$6,1)=1,0,IF(WEEKDAY(DE$6,1)=7,0,MIN(8,DE193)*DE192))))-MIN(IF(DE192&lt;=0,0,IF(WEEKDAY(DE$6,1)=1,0,IF(WEEKDAY(DE$6,1)=7,0,MIN(8,DE193)*DE192))),MAX(0,40*MAX(1,DE192)-(0)))))</f>
        <v>5</v>
      </c>
      <c r="DF195" s="63">
        <f>IF(AND(DF192=1,DF193=13),5,IF(DF192&lt;=0,0,IF(WEEKDAY(DF$6,1)=1,0,IF(WEEKDAY(DF$6,1)=7,DF192*DF193,MAX(0,DF193-8)*DF192)))+((IF(DF192&lt;=0,0,IF(WEEKDAY(DF$6,1)=1,0,IF(WEEKDAY(DF$6,1)=7,0,MIN(8,DF193)*DF192))))-MIN(IF(DF192&lt;=0,0,IF(WEEKDAY(DF$6,1)=1,0,IF(WEEKDAY(DF$6,1)=7,0,MIN(8,DF193)*DF192))),MAX(0,40*MAX(1,DF192)-(DE194)))))</f>
        <v>5</v>
      </c>
      <c r="DG195" s="63">
        <f>IF(AND(DG192=1,DG193=13),5,IF(DG192&lt;=0,0,IF(WEEKDAY(DG$6,1)=1,0,IF(WEEKDAY(DG$6,1)=7,DG192*DG193,MAX(0,DG193-8)*DG192)))+((IF(DG192&lt;=0,0,IF(WEEKDAY(DG$6,1)=1,0,IF(WEEKDAY(DG$6,1)=7,0,MIN(8,DG193)*DG192))))-MIN(IF(DG192&lt;=0,0,IF(WEEKDAY(DG$6,1)=1,0,IF(WEEKDAY(DG$6,1)=7,0,MIN(8,DG193)*DG192))),MAX(0,40*MAX(1,DG192)-(DE194+DF194)))))</f>
        <v>5</v>
      </c>
      <c r="DH195" s="63">
        <f>IF(AND(DH192=1,DH193=13),5,IF(DH192&lt;=0,0,IF(WEEKDAY(DH$6,1)=1,0,IF(WEEKDAY(DH$6,1)=7,DH192*DH193,MAX(0,DH193-8)*DH192)))+((IF(DH192&lt;=0,0,IF(WEEKDAY(DH$6,1)=1,0,IF(WEEKDAY(DH$6,1)=7,0,MIN(8,DH193)*DH192))))-MIN(IF(DH192&lt;=0,0,IF(WEEKDAY(DH$6,1)=1,0,IF(WEEKDAY(DH$6,1)=7,0,MIN(8,DH193)*DH192))),MAX(0,40*MAX(1,DH192)-(DE194+DF194+DG194)))))</f>
        <v>5</v>
      </c>
      <c r="DI195" s="63">
        <f>IF(AND(DI192=1,DI193=13),5,IF(DI192&lt;=0,0,IF(WEEKDAY(DI$6,1)=1,0,IF(WEEKDAY(DI$6,1)=7,DI192*DI193,MAX(0,DI193-8)*DI192)))+((IF(DI192&lt;=0,0,IF(WEEKDAY(DI$6,1)=1,0,IF(WEEKDAY(DI$6,1)=7,0,MIN(8,DI193)*DI192))))-MIN(IF(DI192&lt;=0,0,IF(WEEKDAY(DI$6,1)=1,0,IF(WEEKDAY(DI$6,1)=7,0,MIN(8,DI193)*DI192))),MAX(0,40*MAX(1,DI192)-(DE194+DF194+DG194+DH194)))))</f>
        <v>5</v>
      </c>
      <c r="DJ195" s="64">
        <f>IF(AND(DJ192=1,DJ193=13),13,IF(DJ192&lt;=0,0,IF(WEEKDAY(DJ$6,1)=1,0,IF(WEEKDAY(DJ$6,1)=7,DJ192*DJ193,MAX(0,DJ193-8)*DJ192)))+((IF(DJ192&lt;=0,0,IF(WEEKDAY(DJ$6,1)=1,0,IF(WEEKDAY(DJ$6,1)=7,0,MIN(8,DJ193)*DJ192))))-MIN(IF(DJ192&lt;=0,0,IF(WEEKDAY(DJ$6,1)=1,0,IF(WEEKDAY(DJ$6,1)=7,0,MIN(8,DJ193)*DJ192))),MAX(0,40*MAX(1,DJ192)-(DE194+DF194+DG194+DH194+DI194)))))</f>
        <v>13</v>
      </c>
      <c r="DK195" s="64">
        <f>IF(AND(DK192=1,DK193=13),0,IF(DK192&lt;=0,0,IF(WEEKDAY(DK$6,1)=1,0,IF(WEEKDAY(DK$6,1)=7,DK192*DK193,MAX(0,DK193-8)*DK192)))+((IF(DK192&lt;=0,0,IF(WEEKDAY(DK$6,1)=1,0,IF(WEEKDAY(DK$6,1)=7,0,MIN(8,DK193)*DK192))))-MIN(IF(DK192&lt;=0,0,IF(WEEKDAY(DK$6,1)=1,0,IF(WEEKDAY(DK$6,1)=7,0,MIN(8,DK193)*DK192))),MAX(0,40*MAX(1,DK192)-(DE194+DF194+DG194+DH194+DI194+DJ194)))))</f>
        <v>0</v>
      </c>
      <c r="DL195" s="63">
        <f>IF(AND(DL192=1,DL193=13),5,IF(DL192&lt;=0,0,IF(WEEKDAY(DL$6,1)=1,0,IF(WEEKDAY(DL$6,1)=7,DL192*DL193,MAX(0,DL193-8)*DL192)))+((IF(DL192&lt;=0,0,IF(WEEKDAY(DL$6,1)=1,0,IF(WEEKDAY(DL$6,1)=7,0,MIN(8,DL193)*DL192))))-MIN(IF(DL192&lt;=0,0,IF(WEEKDAY(DL$6,1)=1,0,IF(WEEKDAY(DL$6,1)=7,0,MIN(8,DL193)*DL192))),MAX(0,40*MAX(1,DL192)-(0)))))</f>
        <v>5</v>
      </c>
      <c r="DM195" s="63">
        <f>IF(AND(DM192=1,DM193=13),5,IF(DM192&lt;=0,0,IF(WEEKDAY(DM$6,1)=1,0,IF(WEEKDAY(DM$6,1)=7,DM192*DM193,MAX(0,DM193-8)*DM192)))+((IF(DM192&lt;=0,0,IF(WEEKDAY(DM$6,1)=1,0,IF(WEEKDAY(DM$6,1)=7,0,MIN(8,DM193)*DM192))))-MIN(IF(DM192&lt;=0,0,IF(WEEKDAY(DM$6,1)=1,0,IF(WEEKDAY(DM$6,1)=7,0,MIN(8,DM193)*DM192))),MAX(0,40*MAX(1,DM192)-(DL194)))))</f>
        <v>5</v>
      </c>
      <c r="DN195" s="63">
        <f>IF(AND(DN192=1,DN193=13),5,IF(DN192&lt;=0,0,IF(WEEKDAY(DN$6,1)=1,0,IF(WEEKDAY(DN$6,1)=7,DN192*DN193,MAX(0,DN193-8)*DN192)))+((IF(DN192&lt;=0,0,IF(WEEKDAY(DN$6,1)=1,0,IF(WEEKDAY(DN$6,1)=7,0,MIN(8,DN193)*DN192))))-MIN(IF(DN192&lt;=0,0,IF(WEEKDAY(DN$6,1)=1,0,IF(WEEKDAY(DN$6,1)=7,0,MIN(8,DN193)*DN192))),MAX(0,40*MAX(1,DN192)-(DL194+DM194)))))</f>
        <v>5</v>
      </c>
      <c r="DO195" s="63">
        <f>IF(AND(DO192=1,DO193=13),5,IF(DO192&lt;=0,0,IF(WEEKDAY(DO$6,1)=1,0,IF(WEEKDAY(DO$6,1)=7,DO192*DO193,MAX(0,DO193-8)*DO192)))+((IF(DO192&lt;=0,0,IF(WEEKDAY(DO$6,1)=1,0,IF(WEEKDAY(DO$6,1)=7,0,MIN(8,DO193)*DO192))))-MIN(IF(DO192&lt;=0,0,IF(WEEKDAY(DO$6,1)=1,0,IF(WEEKDAY(DO$6,1)=7,0,MIN(8,DO193)*DO192))),MAX(0,40*MAX(1,DO192)-(DL194+DM194+DN194)))))</f>
        <v>5</v>
      </c>
      <c r="DP195" s="63">
        <f>IF(AND(DP192=1,DP193=13),5,IF(DP192&lt;=0,0,IF(WEEKDAY(DP$6,1)=1,0,IF(WEEKDAY(DP$6,1)=7,DP192*DP193,MAX(0,DP193-8)*DP192)))+((IF(DP192&lt;=0,0,IF(WEEKDAY(DP$6,1)=1,0,IF(WEEKDAY(DP$6,1)=7,0,MIN(8,DP193)*DP192))))-MIN(IF(DP192&lt;=0,0,IF(WEEKDAY(DP$6,1)=1,0,IF(WEEKDAY(DP$6,1)=7,0,MIN(8,DP193)*DP192))),MAX(0,40*MAX(1,DP192)-(DL194+DM194+DN194+DO194)))))</f>
        <v>5</v>
      </c>
      <c r="DQ195" s="64">
        <f>IF(AND(DQ192=1,DQ193=13),13,IF(DQ192&lt;=0,0,IF(WEEKDAY(DQ$6,1)=1,0,IF(WEEKDAY(DQ$6,1)=7,DQ192*DQ193,MAX(0,DQ193-8)*DQ192)))+((IF(DQ192&lt;=0,0,IF(WEEKDAY(DQ$6,1)=1,0,IF(WEEKDAY(DQ$6,1)=7,0,MIN(8,DQ193)*DQ192))))-MIN(IF(DQ192&lt;=0,0,IF(WEEKDAY(DQ$6,1)=1,0,IF(WEEKDAY(DQ$6,1)=7,0,MIN(8,DQ193)*DQ192))),MAX(0,40*MAX(1,DQ192)-(DL194+DM194+DN194+DO194+DP194)))))</f>
        <v>13</v>
      </c>
      <c r="DR195" s="64">
        <f>IF(AND(DR192=1,DR193=13),0,IF(DR192&lt;=0,0,IF(WEEKDAY(DR$6,1)=1,0,IF(WEEKDAY(DR$6,1)=7,DR192*DR193,MAX(0,DR193-8)*DR192)))+((IF(DR192&lt;=0,0,IF(WEEKDAY(DR$6,1)=1,0,IF(WEEKDAY(DR$6,1)=7,0,MIN(8,DR193)*DR192))))-MIN(IF(DR192&lt;=0,0,IF(WEEKDAY(DR$6,1)=1,0,IF(WEEKDAY(DR$6,1)=7,0,MIN(8,DR193)*DR192))),MAX(0,40*MAX(1,DR192)-(DL194+DM194+DN194+DO194+DP194+DQ194)))))</f>
        <v>0</v>
      </c>
      <c r="DS195" s="63">
        <f>IF(AND(DS192=1,DS193=13),5,IF(DS192&lt;=0,0,IF(WEEKDAY(DS$6,1)=1,0,IF(WEEKDAY(DS$6,1)=7,DS192*DS193,MAX(0,DS193-8)*DS192)))+((IF(DS192&lt;=0,0,IF(WEEKDAY(DS$6,1)=1,0,IF(WEEKDAY(DS$6,1)=7,0,MIN(8,DS193)*DS192))))-MIN(IF(DS192&lt;=0,0,IF(WEEKDAY(DS$6,1)=1,0,IF(WEEKDAY(DS$6,1)=7,0,MIN(8,DS193)*DS192))),MAX(0,40*MAX(1,DS192)-(0)))))</f>
        <v>5</v>
      </c>
      <c r="DT195" s="63">
        <f>IF(AND(DT192=0,DT193=0),0,IF(DT192&lt;=0,0,IF(WEEKDAY(DT$6,1)=1,0,IF(WEEKDAY(DT$6,1)=7,DT192*DT193,MAX(0,DT193-8)*DT192)))+((IF(DT192&lt;=0,0,IF(WEEKDAY(DT$6,1)=1,0,IF(WEEKDAY(DT$6,1)=7,0,MIN(8,DT193)*DT192))))-MIN(IF(DT192&lt;=0,0,IF(WEEKDAY(DT$6,1)=1,0,IF(WEEKDAY(DT$6,1)=7,0,MIN(8,DT193)*DT192))),MAX(0,40*MAX(1,DT192)-(0)))))</f>
        <v>0</v>
      </c>
      <c r="DU195" s="63">
        <f>IF(AND(DU192=0,DU193=0),0,IF(DU192&lt;=0,0,IF(WEEKDAY(DU$6,1)=1,0,IF(WEEKDAY(DU$6,1)=7,DU192*DU193,MAX(0,DU193-8)*DU192)))+((IF(DU192&lt;=0,0,IF(WEEKDAY(DU$6,1)=1,0,IF(WEEKDAY(DU$6,1)=7,0,MIN(8,DU193)*DU192))))-MIN(IF(DU192&lt;=0,0,IF(WEEKDAY(DU$6,1)=1,0,IF(WEEKDAY(DU$6,1)=7,0,MIN(8,DU193)*DU192))),MAX(0,40*MAX(1,DU192)-(DT194)))))</f>
        <v>0</v>
      </c>
      <c r="DV195" s="63">
        <f>IF(AND(DV192=0,DV193=0),0,IF(DV192&lt;=0,0,IF(WEEKDAY(DV$6,1)=1,0,IF(WEEKDAY(DV$6,1)=7,DV192*DV193,MAX(0,DV193-8)*DV192)))+((IF(DV192&lt;=0,0,IF(WEEKDAY(DV$6,1)=1,0,IF(WEEKDAY(DV$6,1)=7,0,MIN(8,DV193)*DV192))))-MIN(IF(DV192&lt;=0,0,IF(WEEKDAY(DV$6,1)=1,0,IF(WEEKDAY(DV$6,1)=7,0,MIN(8,DV193)*DV192))),MAX(0,40*MAX(1,DV192)-(DT194+DU194)))))</f>
        <v>0</v>
      </c>
      <c r="DW195" s="63">
        <f>IF(AND(DW192=0,DW193=0),0,IF(DW192&lt;=0,0,IF(WEEKDAY(DW$6,1)=1,0,IF(WEEKDAY(DW$6,1)=7,DW192*DW193,MAX(0,DW193-8)*DW192)))+((IF(DW192&lt;=0,0,IF(WEEKDAY(DW$6,1)=1,0,IF(WEEKDAY(DW$6,1)=7,0,MIN(8,DW193)*DW192))))-MIN(IF(DW192&lt;=0,0,IF(WEEKDAY(DW$6,1)=1,0,IF(WEEKDAY(DW$6,1)=7,0,MIN(8,DW193)*DW192))),MAX(0,40*MAX(1,DW192)-(DT194+DU194+DV194)))))</f>
        <v>0</v>
      </c>
      <c r="DX195" s="64">
        <f>IF(AND(DX192=0,DX193=0),0,IF(DX192&lt;=0,0,IF(WEEKDAY(DX$6,1)=1,0,IF(WEEKDAY(DX$6,1)=7,DX192*DX193,MAX(0,DX193-8)*DX192)))+((IF(DX192&lt;=0,0,IF(WEEKDAY(DX$6,1)=1,0,IF(WEEKDAY(DX$6,1)=7,0,MIN(8,DX193)*DX192))))-MIN(IF(DX192&lt;=0,0,IF(WEEKDAY(DX$6,1)=1,0,IF(WEEKDAY(DX$6,1)=7,0,MIN(8,DX193)*DX192))),MAX(0,40*MAX(1,DX192)-(DT194+DU194+DV194+DW194)))))</f>
        <v>0</v>
      </c>
      <c r="DY195" s="64">
        <f>IF(AND(DY192=0,DY193=0),0,IF(DY192&lt;=0,0,IF(WEEKDAY(DY$6,1)=1,0,IF(WEEKDAY(DY$6,1)=7,DY192*DY193,MAX(0,DY193-8)*DY192)))+((IF(DY192&lt;=0,0,IF(WEEKDAY(DY$6,1)=1,0,IF(WEEKDAY(DY$6,1)=7,0,MIN(8,DY193)*DY192))))-MIN(IF(DY192&lt;=0,0,IF(WEEKDAY(DY$6,1)=1,0,IF(WEEKDAY(DY$6,1)=7,0,MIN(8,DY193)*DY192))),MAX(0,40*MAX(1,DY192)-(DT194+DU194+DV194+DW194+DX194)))))</f>
        <v>0</v>
      </c>
      <c r="DZ195" s="63">
        <f>IF(AND(DZ192=0,DZ193=0),0,IF(DZ192&lt;=0,0,IF(WEEKDAY(DZ$6,1)=1,0,IF(WEEKDAY(DZ$6,1)=7,DZ192*DZ193,MAX(0,DZ193-8)*DZ192)))+((IF(DZ192&lt;=0,0,IF(WEEKDAY(DZ$6,1)=1,0,IF(WEEKDAY(DZ$6,1)=7,0,MIN(8,DZ193)*DZ192))))-MIN(IF(DZ192&lt;=0,0,IF(WEEKDAY(DZ$6,1)=1,0,IF(WEEKDAY(DZ$6,1)=7,0,MIN(8,DZ193)*DZ192))),MAX(0,40*MAX(1,DZ192)-(0)))))</f>
        <v>0</v>
      </c>
      <c r="EA195" s="63">
        <f>IF(AND(EA192=0,EA193=0),0,IF(EA192&lt;=0,0,IF(WEEKDAY(EA$6,1)=1,0,IF(WEEKDAY(EA$6,1)=7,EA192*EA193,MAX(0,EA193-8)*EA192)))+((IF(EA192&lt;=0,0,IF(WEEKDAY(EA$6,1)=1,0,IF(WEEKDAY(EA$6,1)=7,0,MIN(8,EA193)*EA192))))-MIN(IF(EA192&lt;=0,0,IF(WEEKDAY(EA$6,1)=1,0,IF(WEEKDAY(EA$6,1)=7,0,MIN(8,EA193)*EA192))),MAX(0,40*MAX(1,EA192)-(DZ194)))))</f>
        <v>0</v>
      </c>
      <c r="EB195" s="63">
        <f>IF(AND(EB192=0,EB193=0),0,IF(EB192&lt;=0,0,IF(WEEKDAY(EB$6,1)=1,0,IF(WEEKDAY(EB$6,1)=7,EB192*EB193,MAX(0,EB193-8)*EB192)))+((IF(EB192&lt;=0,0,IF(WEEKDAY(EB$6,1)=1,0,IF(WEEKDAY(EB$6,1)=7,0,MIN(8,EB193)*EB192))))-MIN(IF(EB192&lt;=0,0,IF(WEEKDAY(EB$6,1)=1,0,IF(WEEKDAY(EB$6,1)=7,0,MIN(8,EB193)*EB192))),MAX(0,40*MAX(1,EB192)-(DZ194+EA194)))))</f>
        <v>0</v>
      </c>
      <c r="EC195" s="63">
        <f>IF(AND(EC192=0,EC193=0),0,IF(EC192&lt;=0,0,IF(WEEKDAY(EC$6,1)=1,0,IF(WEEKDAY(EC$6,1)=7,EC192*EC193,MAX(0,EC193-8)*EC192)))+((IF(EC192&lt;=0,0,IF(WEEKDAY(EC$6,1)=1,0,IF(WEEKDAY(EC$6,1)=7,0,MIN(8,EC193)*EC192))))-MIN(IF(EC192&lt;=0,0,IF(WEEKDAY(EC$6,1)=1,0,IF(WEEKDAY(EC$6,1)=7,0,MIN(8,EC193)*EC192))),MAX(0,40*MAX(1,EC192)-(DZ194+EA194+EB194)))))</f>
        <v>0</v>
      </c>
      <c r="ED195" s="63">
        <f>IF(AND(ED192=0,ED193=0),0,IF(ED192&lt;=0,0,IF(WEEKDAY(ED$6,1)=1,0,IF(WEEKDAY(ED$6,1)=7,ED192*ED193,MAX(0,ED193-8)*ED192)))+((IF(ED192&lt;=0,0,IF(WEEKDAY(ED$6,1)=1,0,IF(WEEKDAY(ED$6,1)=7,0,MIN(8,ED193)*ED192))))-MIN(IF(ED192&lt;=0,0,IF(WEEKDAY(ED$6,1)=1,0,IF(WEEKDAY(ED$6,1)=7,0,MIN(8,ED193)*ED192))),MAX(0,40*MAX(1,ED192)-(DZ194+EA194+EB194+EC194)))))</f>
        <v>0</v>
      </c>
      <c r="EE195" s="64">
        <f>IF(AND(EE192=0,EE193=0),0,IF(EE192&lt;=0,0,IF(WEEKDAY(EE$6,1)=1,0,IF(WEEKDAY(EE$6,1)=7,EE192*EE193,MAX(0,EE193-8)*EE192)))+((IF(EE192&lt;=0,0,IF(WEEKDAY(EE$6,1)=1,0,IF(WEEKDAY(EE$6,1)=7,0,MIN(8,EE193)*EE192))))-MIN(IF(EE192&lt;=0,0,IF(WEEKDAY(EE$6,1)=1,0,IF(WEEKDAY(EE$6,1)=7,0,MIN(8,EE193)*EE192))),MAX(0,40*MAX(1,EE192)-(DZ194+EA194+EB194+EC194+ED194)))))</f>
        <v>0</v>
      </c>
      <c r="EF195" s="64">
        <f>IF(AND(EF192=0,EF193=0),0,IF(EF192&lt;=0,0,IF(WEEKDAY(EF$6,1)=1,0,IF(WEEKDAY(EF$6,1)=7,EF192*EF193,MAX(0,EF193-8)*EF192)))+((IF(EF192&lt;=0,0,IF(WEEKDAY(EF$6,1)=1,0,IF(WEEKDAY(EF$6,1)=7,0,MIN(8,EF193)*EF192))))-MIN(IF(EF192&lt;=0,0,IF(WEEKDAY(EF$6,1)=1,0,IF(WEEKDAY(EF$6,1)=7,0,MIN(8,EF193)*EF192))),MAX(0,40*MAX(1,EF192)-(DZ194+EA194+EB194+EC194+ED194+EE194)))))</f>
        <v>0</v>
      </c>
      <c r="EG195" s="63">
        <f>IF(AND(EG192=0,EG193=0),0,IF(EG192&lt;=0,0,IF(WEEKDAY(EG$6,1)=1,0,IF(WEEKDAY(EG$6,1)=7,EG192*EG193,MAX(0,EG193-8)*EG192)))+((IF(EG192&lt;=0,0,IF(WEEKDAY(EG$6,1)=1,0,IF(WEEKDAY(EG$6,1)=7,0,MIN(8,EG193)*EG192))))-MIN(IF(EG192&lt;=0,0,IF(WEEKDAY(EG$6,1)=1,0,IF(WEEKDAY(EG$6,1)=7,0,MIN(8,EG193)*EG192))),MAX(0,40*MAX(1,EG192)-(0)))))</f>
        <v>0</v>
      </c>
      <c r="EH195" s="63">
        <f>IF(AND(EH192=0,EH193=0),0,IF(EH192&lt;=0,0,IF(WEEKDAY(EH$6,1)=1,0,IF(WEEKDAY(EH$6,1)=7,EH192*EH193,MAX(0,EH193-8)*EH192)))+((IF(EH192&lt;=0,0,IF(WEEKDAY(EH$6,1)=1,0,IF(WEEKDAY(EH$6,1)=7,0,MIN(8,EH193)*EH192))))-MIN(IF(EH192&lt;=0,0,IF(WEEKDAY(EH$6,1)=1,0,IF(WEEKDAY(EH$6,1)=7,0,MIN(8,EH193)*EH192))),MAX(0,40*MAX(1,EH192)-(EG194)))))</f>
        <v>0</v>
      </c>
      <c r="EI195" s="63">
        <f>IF(AND(EI192=0,EI193=0),0,IF(EI192&lt;=0,0,IF(WEEKDAY(EI$6,1)=1,0,IF(WEEKDAY(EI$6,1)=7,EI192*EI193,MAX(0,EI193-8)*EI192)))+((IF(EI192&lt;=0,0,IF(WEEKDAY(EI$6,1)=1,0,IF(WEEKDAY(EI$6,1)=7,0,MIN(8,EI193)*EI192))))-MIN(IF(EI192&lt;=0,0,IF(WEEKDAY(EI$6,1)=1,0,IF(WEEKDAY(EI$6,1)=7,0,MIN(8,EI193)*EI192))),MAX(0,40*MAX(1,EI192)-(EG194+EH194)))))</f>
        <v>0</v>
      </c>
      <c r="EJ195" s="63">
        <f>IF(AND(EJ192=0,EJ193=0),0,IF(EJ192&lt;=0,0,IF(WEEKDAY(EJ$6,1)=1,0,IF(WEEKDAY(EJ$6,1)=7,EJ192*EJ193,MAX(0,EJ193-8)*EJ192)))+((IF(EJ192&lt;=0,0,IF(WEEKDAY(EJ$6,1)=1,0,IF(WEEKDAY(EJ$6,1)=7,0,MIN(8,EJ193)*EJ192))))-MIN(IF(EJ192&lt;=0,0,IF(WEEKDAY(EJ$6,1)=1,0,IF(WEEKDAY(EJ$6,1)=7,0,MIN(8,EJ193)*EJ192))),MAX(0,40*MAX(1,EJ192)-(EG194+EH194+EI194)))))</f>
        <v>0</v>
      </c>
      <c r="EK195" s="65">
        <f>IF(AND(EK192=0,EK193=0),0,IF(EK192&lt;=0,0,IF(WEEKDAY(EK$6,1)=1,0,IF(WEEKDAY(EK$6,1)=7,EK192*EK193,MAX(0,EK193-8)*EK192)))+((IF(EK192&lt;=0,0,IF(WEEKDAY(EK$6,1)=1,0,IF(WEEKDAY(EK$6,1)=7,0,MIN(8,EK193)*EK192))))-MIN(IF(EK192&lt;=0,0,IF(WEEKDAY(EK$6,1)=1,0,IF(WEEKDAY(EK$6,1)=7,0,MIN(8,EK193)*EK192))),MAX(0,40*MAX(1,EK192)-(EG194+EH194+EI194+EJ194)))))</f>
        <v>0</v>
      </c>
      <c r="OU195" s="28" t="s">
        <v>103</v>
      </c>
    </row>
    <row r="196" ht="16" customHeight="1" spans="1:411" x14ac:dyDescent="0.25">
      <c r="A196" s="74"/>
      <c r="B196" s="46"/>
      <c r="C196" s="61">
        <f>H191*N(D196)</f>
        <v>23563.8</v>
      </c>
      <c r="D196" s="61">
        <f>IF(TRIM(B191)="","No rate",IFERROR(INDEX('Rate Tables'!E$7:E$158,MATCH(B191,'Rate Tables'!A$7:A$158,0)),"No rate"))</f>
        <v>201.4</v>
      </c>
      <c r="E196" s="55" t="s">
        <v>64</v>
      </c>
      <c r="F196" s="49"/>
      <c r="G196" s="49"/>
      <c r="H196" s="49"/>
      <c r="I196" s="49"/>
      <c r="J196" s="50"/>
      <c r="K196" s="62">
        <f>IF(AND(K192=0,K193=0),0,IF(K192&lt;=0,0,IF(WEEKDAY(K$6,1)=1,K192*K193,0)))</f>
        <v>0</v>
      </c>
      <c r="L196" s="63">
        <f>IF(AND(L192=0,L193=0),0,IF(L192&lt;=0,0,IF(WEEKDAY(L$6,1)=1,L192*L193,0)))</f>
        <v>0</v>
      </c>
      <c r="M196" s="63">
        <f>IF(AND(M192=0,M193=0),0,IF(M192&lt;=0,0,IF(WEEKDAY(M$6,1)=1,M192*M193,0)))</f>
        <v>0</v>
      </c>
      <c r="N196" s="63">
        <f>IF(AND(N192=0,N193=0),0,IF(N192&lt;=0,0,IF(WEEKDAY(N$6,1)=1,N192*N193,0)))</f>
        <v>0</v>
      </c>
      <c r="O196" s="63">
        <f>IF(AND(O192=0,O193=0),0,IF(O192&lt;=0,0,IF(WEEKDAY(O$6,1)=1,O192*O193,0)))</f>
        <v>0</v>
      </c>
      <c r="P196" s="64">
        <f>IF(AND(P192=0,P193=0),0,IF(P192&lt;=0,0,IF(WEEKDAY(P$6,1)=1,P192*P193,0)))</f>
        <v>0</v>
      </c>
      <c r="Q196" s="64">
        <f>IF(AND(Q192=0,Q193=0),0,IF(Q192&lt;=0,0,IF(WEEKDAY(Q$6,1)=1,Q192*Q193,0)))</f>
        <v>0</v>
      </c>
      <c r="R196" s="63">
        <f>IF(AND(R192=0,R193=0),0,IF(R192&lt;=0,0,IF(WEEKDAY(R$6,1)=1,R192*R193,0)))</f>
        <v>0</v>
      </c>
      <c r="S196" s="63">
        <f>IF(AND(S192=0,S193=0),0,IF(S192&lt;=0,0,IF(WEEKDAY(S$6,1)=1,S192*S193,0)))</f>
        <v>0</v>
      </c>
      <c r="T196" s="63">
        <f>IF(AND(T192=0,T193=0),0,IF(T192&lt;=0,0,IF(WEEKDAY(T$6,1)=1,T192*T193,0)))</f>
        <v>0</v>
      </c>
      <c r="U196" s="63">
        <f>IF(AND(U192=0,U193=0),0,IF(U192&lt;=0,0,IF(WEEKDAY(U$6,1)=1,U192*U193,0)))</f>
        <v>0</v>
      </c>
      <c r="V196" s="63">
        <f>IF(AND(V192=0,V193=0),0,IF(V192&lt;=0,0,IF(WEEKDAY(V$6,1)=1,V192*V193,0)))</f>
        <v>0</v>
      </c>
      <c r="W196" s="64">
        <f>IF(AND(W192=0,W193=0),0,IF(W192&lt;=0,0,IF(WEEKDAY(W$6,1)=1,W192*W193,0)))</f>
        <v>0</v>
      </c>
      <c r="X196" s="64">
        <f>IF(AND(X192=0,X193=0),0,IF(X192&lt;=0,0,IF(WEEKDAY(X$6,1)=1,X192*X193,0)))</f>
        <v>0</v>
      </c>
      <c r="Y196" s="63">
        <f>IF(AND(Y192=0,Y193=0),0,IF(Y192&lt;=0,0,IF(WEEKDAY(Y$6,1)=1,Y192*Y193,0)))</f>
        <v>0</v>
      </c>
      <c r="Z196" s="63">
        <f>IF(AND(Z192=0,Z193=0),0,IF(Z192&lt;=0,0,IF(WEEKDAY(Z$6,1)=1,Z192*Z193,0)))</f>
        <v>0</v>
      </c>
      <c r="AA196" s="63">
        <f>IF(AND(AA192=0,AA193=0),0,IF(AA192&lt;=0,0,IF(WEEKDAY(AA$6,1)=1,AA192*AA193,0)))</f>
        <v>0</v>
      </c>
      <c r="AB196" s="63">
        <f>IF(AND(AB192=0,AB193=0),0,IF(AB192&lt;=0,0,IF(WEEKDAY(AB$6,1)=1,AB192*AB193,0)))</f>
        <v>0</v>
      </c>
      <c r="AC196" s="63">
        <f>IF(AND(AC192=0,AC193=0),0,IF(AC192&lt;=0,0,IF(WEEKDAY(AC$6,1)=1,AC192*AC193,0)))</f>
        <v>0</v>
      </c>
      <c r="AD196" s="64">
        <f>IF(AND(AD192=0,AD193=0),0,IF(AD192&lt;=0,0,IF(WEEKDAY(AD$6,1)=1,AD192*AD193,0)))</f>
        <v>0</v>
      </c>
      <c r="AE196" s="64">
        <f>IF(AND(AE192=0,AE193=0),0,IF(AE192&lt;=0,0,IF(WEEKDAY(AE$6,1)=1,AE192*AE193,0)))</f>
        <v>0</v>
      </c>
      <c r="AF196" s="63">
        <f>IF(AND(AF192=0,AF193=0),0,IF(AF192&lt;=0,0,IF(WEEKDAY(AF$6,1)=1,AF192*AF193,0)))</f>
        <v>0</v>
      </c>
      <c r="AG196" s="63">
        <f>IF(AND(AG192=0,AG193=0),0,IF(AG192&lt;=0,0,IF(WEEKDAY(AG$6,1)=1,AG192*AG193,0)))</f>
        <v>0</v>
      </c>
      <c r="AH196" s="63">
        <f>IF(AND(AH192=0,AH193=0),0,IF(AH192&lt;=0,0,IF(WEEKDAY(AH$6,1)=1,AH192*AH193,0)))</f>
        <v>0</v>
      </c>
      <c r="AI196" s="63">
        <f>IF(AND(AI192=0,AI193=0),0,IF(AI192&lt;=0,0,IF(WEEKDAY(AI$6,1)=1,AI192*AI193,0)))</f>
        <v>0</v>
      </c>
      <c r="AJ196" s="63">
        <f>IF(AND(AJ192=0,AJ193=0),0,IF(AJ192&lt;=0,0,IF(WEEKDAY(AJ$6,1)=1,AJ192*AJ193,0)))</f>
        <v>0</v>
      </c>
      <c r="AK196" s="64">
        <f>IF(AND(AK192=0,AK193=0),0,IF(AK192&lt;=0,0,IF(WEEKDAY(AK$6,1)=1,AK192*AK193,0)))</f>
        <v>0</v>
      </c>
      <c r="AL196" s="64">
        <f>IF(AND(AL192=0,AL193=0),0,IF(AL192&lt;=0,0,IF(WEEKDAY(AL$6,1)=1,AL192*AL193,0)))</f>
        <v>0</v>
      </c>
      <c r="AM196" s="63">
        <f>IF(AND(AM192=0,AM193=0),0,IF(AM192&lt;=0,0,IF(WEEKDAY(AM$6,1)=1,AM192*AM193,0)))</f>
        <v>0</v>
      </c>
      <c r="AN196" s="63">
        <f>IF(AND(AN192=0,AN193=0),0,IF(AN192&lt;=0,0,IF(WEEKDAY(AN$6,1)=1,AN192*AN193,0)))</f>
        <v>0</v>
      </c>
      <c r="AO196" s="63">
        <f>IF(AND(AO192=0,AO193=0),0,IF(AO192&lt;=0,0,IF(WEEKDAY(AO$6,1)=1,AO192*AO193,0)))</f>
        <v>0</v>
      </c>
      <c r="AP196" s="63">
        <f>IF(AND(AP192=0,AP193=0),0,IF(AP192&lt;=0,0,IF(WEEKDAY(AP$6,1)=1,AP192*AP193,0)))</f>
        <v>0</v>
      </c>
      <c r="AQ196" s="63">
        <f>IF(AND(AQ192=0,AQ193=0),0,IF(AQ192&lt;=0,0,IF(WEEKDAY(AQ$6,1)=1,AQ192*AQ193,0)))</f>
        <v>0</v>
      </c>
      <c r="AR196" s="64">
        <f>IF(AND(AR192=0,AR193=0),0,IF(AR192&lt;=0,0,IF(WEEKDAY(AR$6,1)=1,AR192*AR193,0)))</f>
        <v>0</v>
      </c>
      <c r="AS196" s="64">
        <f>IF(AND(AS192=0,AS193=0),0,IF(AS192&lt;=0,0,IF(WEEKDAY(AS$6,1)=1,AS192*AS193,0)))</f>
        <v>0</v>
      </c>
      <c r="AT196" s="63">
        <f>IF(AND(AT192=0,AT193=0),0,IF(AT192&lt;=0,0,IF(WEEKDAY(AT$6,1)=1,AT192*AT193,0)))</f>
        <v>0</v>
      </c>
      <c r="AU196" s="63">
        <f>IF(AND(AU192=0,AU193=0),0,IF(AU192&lt;=0,0,IF(WEEKDAY(AU$6,1)=1,AU192*AU193,0)))</f>
        <v>0</v>
      </c>
      <c r="AV196" s="63">
        <f>IF(AND(AV192=0,AV193=0),0,IF(AV192&lt;=0,0,IF(WEEKDAY(AV$6,1)=1,AV192*AV193,0)))</f>
        <v>0</v>
      </c>
      <c r="AW196" s="63">
        <f>IF(AND(AW192=0,AW193=0),0,IF(AW192&lt;=0,0,IF(WEEKDAY(AW$6,1)=1,AW192*AW193,0)))</f>
        <v>0</v>
      </c>
      <c r="AX196" s="63">
        <f>IF(AND(AX192=0,AX193=0),0,IF(AX192&lt;=0,0,IF(WEEKDAY(AX$6,1)=1,AX192*AX193,0)))</f>
        <v>0</v>
      </c>
      <c r="AY196" s="64">
        <f>IF(AND(AY192=0,AY193=0),0,IF(AY192&lt;=0,0,IF(WEEKDAY(AY$6,1)=1,AY192*AY193,0)))</f>
        <v>0</v>
      </c>
      <c r="AZ196" s="64">
        <f>IF(AND(AZ192=0,AZ193=0),0,IF(AZ192&lt;=0,0,IF(WEEKDAY(AZ$6,1)=1,AZ192*AZ193,0)))</f>
        <v>0</v>
      </c>
      <c r="BA196" s="63">
        <f>IF(AND(BA192=0,BA193=0),0,IF(BA192&lt;=0,0,IF(WEEKDAY(BA$6,1)=1,BA192*BA193,0)))</f>
        <v>0</v>
      </c>
      <c r="BB196" s="63">
        <f>IF(AND(BB192=0,BB193=0),0,IF(BB192&lt;=0,0,IF(WEEKDAY(BB$6,1)=1,BB192*BB193,0)))</f>
        <v>0</v>
      </c>
      <c r="BC196" s="63">
        <f>IF(AND(BC192=0,BC193=0),0,IF(BC192&lt;=0,0,IF(WEEKDAY(BC$6,1)=1,BC192*BC193,0)))</f>
        <v>0</v>
      </c>
      <c r="BD196" s="63">
        <f>IF(AND(BD192=0,BD193=0),0,IF(BD192&lt;=0,0,IF(WEEKDAY(BD$6,1)=1,BD192*BD193,0)))</f>
        <v>0</v>
      </c>
      <c r="BE196" s="63">
        <f>IF(AND(BE192=0,BE193=0),0,IF(BE192&lt;=0,0,IF(WEEKDAY(BE$6,1)=1,BE192*BE193,0)))</f>
        <v>0</v>
      </c>
      <c r="BF196" s="64">
        <f>IF(AND(BF192=0,BF193=0),0,IF(BF192&lt;=0,0,IF(WEEKDAY(BF$6,1)=1,BF192*BF193,0)))</f>
        <v>0</v>
      </c>
      <c r="BG196" s="64">
        <f>IF(AND(BG192=0,BG193=0),0,IF(BG192&lt;=0,0,IF(WEEKDAY(BG$6,1)=1,BG192*BG193,0)))</f>
        <v>0</v>
      </c>
      <c r="BH196" s="63">
        <f>IF(AND(BH192=1,BH193=13),0,IF(BH192&lt;=0,0,IF(WEEKDAY(BH$6,1)=1,BH192*BH193,0)))</f>
        <v>0</v>
      </c>
      <c r="BI196" s="63">
        <f>IF(AND(BI192=1,BI193=13),0,IF(BI192&lt;=0,0,IF(WEEKDAY(BI$6,1)=1,BI192*BI193,0)))</f>
        <v>0</v>
      </c>
      <c r="BJ196" s="63">
        <f>IF(AND(BJ192=1,BJ193=13),0,IF(BJ192&lt;=0,0,IF(WEEKDAY(BJ$6,1)=1,BJ192*BJ193,0)))</f>
        <v>0</v>
      </c>
      <c r="BK196" s="63">
        <f>IF(AND(BK192=1,BK193=13),0,IF(BK192&lt;=0,0,IF(WEEKDAY(BK$6,1)=1,BK192*BK193,0)))</f>
        <v>0</v>
      </c>
      <c r="BL196" s="63">
        <f>IF(AND(BL192=1,BL193=13),0,IF(BL192&lt;=0,0,IF(WEEKDAY(BL$6,1)=1,BL192*BL193,0)))</f>
        <v>0</v>
      </c>
      <c r="BM196" s="64">
        <f>IF(AND(BM192=1,BM193=13),0,IF(BM192&lt;=0,0,IF(WEEKDAY(BM$6,1)=1,BM192*BM193,0)))</f>
        <v>0</v>
      </c>
      <c r="BN196" s="64">
        <f>IF(AND(BN192=1,BN193=13),13,IF(BN192&lt;=0,0,IF(WEEKDAY(BN$6,1)=1,BN192*BN193,0)))</f>
        <v>13</v>
      </c>
      <c r="BO196" s="63">
        <f>IF(AND(BO192=1,BO193=13),0,IF(BO192&lt;=0,0,IF(WEEKDAY(BO$6,1)=1,BO192*BO193,0)))</f>
        <v>0</v>
      </c>
      <c r="BP196" s="63">
        <f>IF(AND(BP192=1,BP193=13),0,IF(BP192&lt;=0,0,IF(WEEKDAY(BP$6,1)=1,BP192*BP193,0)))</f>
        <v>0</v>
      </c>
      <c r="BQ196" s="63">
        <f>IF(AND(BQ192=1,BQ193=13),0,IF(BQ192&lt;=0,0,IF(WEEKDAY(BQ$6,1)=1,BQ192*BQ193,0)))</f>
        <v>0</v>
      </c>
      <c r="BR196" s="63">
        <f>IF(AND(BR192=1,BR193=13),0,IF(BR192&lt;=0,0,IF(WEEKDAY(BR$6,1)=1,BR192*BR193,0)))</f>
        <v>0</v>
      </c>
      <c r="BS196" s="63">
        <f>IF(AND(BS192=1,BS193=13),0,IF(BS192&lt;=0,0,IF(WEEKDAY(BS$6,1)=1,BS192*BS193,0)))</f>
        <v>0</v>
      </c>
      <c r="BT196" s="64">
        <f>IF(AND(BT192=1,BT193=13),0,IF(BT192&lt;=0,0,IF(WEEKDAY(BT$6,1)=1,BT192*BT193,0)))</f>
        <v>0</v>
      </c>
      <c r="BU196" s="64">
        <f>IF(AND(BU192=1,BU193=13),13,IF(BU192&lt;=0,0,IF(WEEKDAY(BU$6,1)=1,BU192*BU193,0)))</f>
        <v>13</v>
      </c>
      <c r="BV196" s="63">
        <f>IF(AND(BV192=1,BV193=13),0,IF(BV192&lt;=0,0,IF(WEEKDAY(BV$6,1)=1,BV192*BV193,0)))</f>
        <v>0</v>
      </c>
      <c r="BW196" s="63">
        <f>IF(AND(BW192=1,BW193=13),0,IF(BW192&lt;=0,0,IF(WEEKDAY(BW$6,1)=1,BW192*BW193,0)))</f>
        <v>0</v>
      </c>
      <c r="BX196" s="63">
        <f>IF(AND(BX192=1,BX193=13),0,IF(BX192&lt;=0,0,IF(WEEKDAY(BX$6,1)=1,BX192*BX193,0)))</f>
        <v>0</v>
      </c>
      <c r="BY196" s="63">
        <f>IF(AND(BY192=1,BY193=13),0,IF(BY192&lt;=0,0,IF(WEEKDAY(BY$6,1)=1,BY192*BY193,0)))</f>
        <v>0</v>
      </c>
      <c r="BZ196" s="63">
        <f>IF(AND(BZ192=1,BZ193=13),0,IF(BZ192&lt;=0,0,IF(WEEKDAY(BZ$6,1)=1,BZ192*BZ193,0)))</f>
        <v>0</v>
      </c>
      <c r="CA196" s="64">
        <f>IF(AND(CA192=1,CA193=13),0,IF(CA192&lt;=0,0,IF(WEEKDAY(CA$6,1)=1,CA192*CA193,0)))</f>
        <v>0</v>
      </c>
      <c r="CB196" s="64">
        <f>IF(AND(CB192=1,CB193=13),13,IF(CB192&lt;=0,0,IF(WEEKDAY(CB$6,1)=1,CB192*CB193,0)))</f>
        <v>13</v>
      </c>
      <c r="CC196" s="63">
        <f>IF(AND(CC192=1,CC193=13),0,IF(CC192&lt;=0,0,IF(WEEKDAY(CC$6,1)=1,CC192*CC193,0)))</f>
        <v>0</v>
      </c>
      <c r="CD196" s="63">
        <f>IF(AND(CD192=1,CD193=13),0,IF(CD192&lt;=0,0,IF(WEEKDAY(CD$6,1)=1,CD192*CD193,0)))</f>
        <v>0</v>
      </c>
      <c r="CE196" s="63">
        <f>IF(AND(CE192=1,CE193=13),0,IF(CE192&lt;=0,0,IF(WEEKDAY(CE$6,1)=1,CE192*CE193,0)))</f>
        <v>0</v>
      </c>
      <c r="CF196" s="63">
        <f>IF(AND(CF192=1,CF193=13),0,IF(CF192&lt;=0,0,IF(WEEKDAY(CF$6,1)=1,CF192*CF193,0)))</f>
        <v>0</v>
      </c>
      <c r="CG196" s="63">
        <f>IF(AND(CG192=1,CG193=13),0,IF(CG192&lt;=0,0,IF(WEEKDAY(CG$6,1)=1,CG192*CG193,0)))</f>
        <v>0</v>
      </c>
      <c r="CH196" s="64">
        <f>IF(AND(CH192=1,CH193=13),0,IF(CH192&lt;=0,0,IF(WEEKDAY(CH$6,1)=1,CH192*CH193,0)))</f>
        <v>0</v>
      </c>
      <c r="CI196" s="64">
        <f>IF(AND(CI192=1,CI193=13),13,IF(CI192&lt;=0,0,IF(WEEKDAY(CI$6,1)=1,CI192*CI193,0)))</f>
        <v>13</v>
      </c>
      <c r="CJ196" s="63">
        <f>IF(AND(CJ192=1,CJ193=13),0,IF(CJ192&lt;=0,0,IF(WEEKDAY(CJ$6,1)=1,CJ192*CJ193,0)))</f>
        <v>0</v>
      </c>
      <c r="CK196" s="63">
        <f>IF(AND(CK192=1,CK193=13),0,IF(CK192&lt;=0,0,IF(WEEKDAY(CK$6,1)=1,CK192*CK193,0)))</f>
        <v>0</v>
      </c>
      <c r="CL196" s="63">
        <f>IF(AND(CL192=1,CL193=13),0,IF(CL192&lt;=0,0,IF(WEEKDAY(CL$6,1)=1,CL192*CL193,0)))</f>
        <v>0</v>
      </c>
      <c r="CM196" s="63">
        <f>IF(AND(CM192=1,CM193=13),0,IF(CM192&lt;=0,0,IF(WEEKDAY(CM$6,1)=1,CM192*CM193,0)))</f>
        <v>0</v>
      </c>
      <c r="CN196" s="63">
        <f>IF(AND(CN192=1,CN193=13),0,IF(CN192&lt;=0,0,IF(WEEKDAY(CN$6,1)=1,CN192*CN193,0)))</f>
        <v>0</v>
      </c>
      <c r="CO196" s="64">
        <f>IF(AND(CO192=1,CO193=13),0,IF(CO192&lt;=0,0,IF(WEEKDAY(CO$6,1)=1,CO192*CO193,0)))</f>
        <v>0</v>
      </c>
      <c r="CP196" s="64">
        <f>IF(AND(CP192=1,CP193=13),13,IF(CP192&lt;=0,0,IF(WEEKDAY(CP$6,1)=1,CP192*CP193,0)))</f>
        <v>13</v>
      </c>
      <c r="CQ196" s="63">
        <f>IF(AND(CQ192=1,CQ193=13),0,IF(CQ192&lt;=0,0,IF(WEEKDAY(CQ$6,1)=1,CQ192*CQ193,0)))</f>
        <v>0</v>
      </c>
      <c r="CR196" s="63">
        <f>IF(AND(CR192=1,CR193=13),0,IF(CR192&lt;=0,0,IF(WEEKDAY(CR$6,1)=1,CR192*CR193,0)))</f>
        <v>0</v>
      </c>
      <c r="CS196" s="63">
        <f>IF(AND(CS192=1,CS193=13),0,IF(CS192&lt;=0,0,IF(WEEKDAY(CS$6,1)=1,CS192*CS193,0)))</f>
        <v>0</v>
      </c>
      <c r="CT196" s="63">
        <f>IF(AND(CT192=1,CT193=13),0,IF(CT192&lt;=0,0,IF(WEEKDAY(CT$6,1)=1,CT192*CT193,0)))</f>
        <v>0</v>
      </c>
      <c r="CU196" s="63">
        <f>IF(AND(CU192=1,CU193=13),0,IF(CU192&lt;=0,0,IF(WEEKDAY(CU$6,1)=1,CU192*CU193,0)))</f>
        <v>0</v>
      </c>
      <c r="CV196" s="64">
        <f>IF(AND(CV192=1,CV193=13),0,IF(CV192&lt;=0,0,IF(WEEKDAY(CV$6,1)=1,CV192*CV193,0)))</f>
        <v>0</v>
      </c>
      <c r="CW196" s="64">
        <f>IF(AND(CW192=1,CW193=13),13,IF(CW192&lt;=0,0,IF(WEEKDAY(CW$6,1)=1,CW192*CW193,0)))</f>
        <v>13</v>
      </c>
      <c r="CX196" s="63">
        <f>IF(AND(CX192=1,CX193=13),0,IF(CX192&lt;=0,0,IF(WEEKDAY(CX$6,1)=1,CX192*CX193,0)))</f>
        <v>0</v>
      </c>
      <c r="CY196" s="63">
        <f>IF(AND(CY192=1,CY193=13),0,IF(CY192&lt;=0,0,IF(WEEKDAY(CY$6,1)=1,CY192*CY193,0)))</f>
        <v>0</v>
      </c>
      <c r="CZ196" s="63">
        <f>IF(AND(CZ192=1,CZ193=13),0,IF(CZ192&lt;=0,0,IF(WEEKDAY(CZ$6,1)=1,CZ192*CZ193,0)))</f>
        <v>0</v>
      </c>
      <c r="DA196" s="63">
        <f>IF(AND(DA192=1,DA193=13),0,IF(DA192&lt;=0,0,IF(WEEKDAY(DA$6,1)=1,DA192*DA193,0)))</f>
        <v>0</v>
      </c>
      <c r="DB196" s="63">
        <f>IF(AND(DB192=1,DB193=13),0,IF(DB192&lt;=0,0,IF(WEEKDAY(DB$6,1)=1,DB192*DB193,0)))</f>
        <v>0</v>
      </c>
      <c r="DC196" s="64">
        <f>IF(AND(DC192=1,DC193=13),0,IF(DC192&lt;=0,0,IF(WEEKDAY(DC$6,1)=1,DC192*DC193,0)))</f>
        <v>0</v>
      </c>
      <c r="DD196" s="64">
        <f>IF(AND(DD192=1,DD193=13),13,IF(DD192&lt;=0,0,IF(WEEKDAY(DD$6,1)=1,DD192*DD193,0)))</f>
        <v>13</v>
      </c>
      <c r="DE196" s="63">
        <f>IF(AND(DE192=1,DE193=13),0,IF(DE192&lt;=0,0,IF(WEEKDAY(DE$6,1)=1,DE192*DE193,0)))</f>
        <v>0</v>
      </c>
      <c r="DF196" s="63">
        <f>IF(AND(DF192=1,DF193=13),0,IF(DF192&lt;=0,0,IF(WEEKDAY(DF$6,1)=1,DF192*DF193,0)))</f>
        <v>0</v>
      </c>
      <c r="DG196" s="63">
        <f>IF(AND(DG192=1,DG193=13),0,IF(DG192&lt;=0,0,IF(WEEKDAY(DG$6,1)=1,DG192*DG193,0)))</f>
        <v>0</v>
      </c>
      <c r="DH196" s="63">
        <f>IF(AND(DH192=1,DH193=13),0,IF(DH192&lt;=0,0,IF(WEEKDAY(DH$6,1)=1,DH192*DH193,0)))</f>
        <v>0</v>
      </c>
      <c r="DI196" s="63">
        <f>IF(AND(DI192=1,DI193=13),0,IF(DI192&lt;=0,0,IF(WEEKDAY(DI$6,1)=1,DI192*DI193,0)))</f>
        <v>0</v>
      </c>
      <c r="DJ196" s="64">
        <f>IF(AND(DJ192=1,DJ193=13),0,IF(DJ192&lt;=0,0,IF(WEEKDAY(DJ$6,1)=1,DJ192*DJ193,0)))</f>
        <v>0</v>
      </c>
      <c r="DK196" s="64">
        <f>IF(AND(DK192=1,DK193=13),13,IF(DK192&lt;=0,0,IF(WEEKDAY(DK$6,1)=1,DK192*DK193,0)))</f>
        <v>13</v>
      </c>
      <c r="DL196" s="63">
        <f>IF(AND(DL192=1,DL193=13),0,IF(DL192&lt;=0,0,IF(WEEKDAY(DL$6,1)=1,DL192*DL193,0)))</f>
        <v>0</v>
      </c>
      <c r="DM196" s="63">
        <f>IF(AND(DM192=1,DM193=13),0,IF(DM192&lt;=0,0,IF(WEEKDAY(DM$6,1)=1,DM192*DM193,0)))</f>
        <v>0</v>
      </c>
      <c r="DN196" s="63">
        <f>IF(AND(DN192=1,DN193=13),0,IF(DN192&lt;=0,0,IF(WEEKDAY(DN$6,1)=1,DN192*DN193,0)))</f>
        <v>0</v>
      </c>
      <c r="DO196" s="63">
        <f>IF(AND(DO192=1,DO193=13),0,IF(DO192&lt;=0,0,IF(WEEKDAY(DO$6,1)=1,DO192*DO193,0)))</f>
        <v>0</v>
      </c>
      <c r="DP196" s="63">
        <f>IF(AND(DP192=1,DP193=13),0,IF(DP192&lt;=0,0,IF(WEEKDAY(DP$6,1)=1,DP192*DP193,0)))</f>
        <v>0</v>
      </c>
      <c r="DQ196" s="64">
        <f>IF(AND(DQ192=1,DQ193=13),0,IF(DQ192&lt;=0,0,IF(WEEKDAY(DQ$6,1)=1,DQ192*DQ193,0)))</f>
        <v>0</v>
      </c>
      <c r="DR196" s="64">
        <f>IF(AND(DR192=1,DR193=13),13,IF(DR192&lt;=0,0,IF(WEEKDAY(DR$6,1)=1,DR192*DR193,0)))</f>
        <v>13</v>
      </c>
      <c r="DS196" s="63">
        <f>IF(AND(DS192=1,DS193=13),0,IF(DS192&lt;=0,0,IF(WEEKDAY(DS$6,1)=1,DS192*DS193,0)))</f>
        <v>0</v>
      </c>
      <c r="DT196" s="63">
        <f>IF(AND(DT192=0,DT193=0),0,IF(DT192&lt;=0,0,IF(WEEKDAY(DT$6,1)=1,DT192*DT193,0)))</f>
        <v>0</v>
      </c>
      <c r="DU196" s="63">
        <f>IF(AND(DU192=0,DU193=0),0,IF(DU192&lt;=0,0,IF(WEEKDAY(DU$6,1)=1,DU192*DU193,0)))</f>
        <v>0</v>
      </c>
      <c r="DV196" s="63">
        <f>IF(AND(DV192=0,DV193=0),0,IF(DV192&lt;=0,0,IF(WEEKDAY(DV$6,1)=1,DV192*DV193,0)))</f>
        <v>0</v>
      </c>
      <c r="DW196" s="63">
        <f>IF(AND(DW192=0,DW193=0),0,IF(DW192&lt;=0,0,IF(WEEKDAY(DW$6,1)=1,DW192*DW193,0)))</f>
        <v>0</v>
      </c>
      <c r="DX196" s="64">
        <f>IF(AND(DX192=0,DX193=0),0,IF(DX192&lt;=0,0,IF(WEEKDAY(DX$6,1)=1,DX192*DX193,0)))</f>
        <v>0</v>
      </c>
      <c r="DY196" s="64">
        <f>IF(AND(DY192=0,DY193=0),0,IF(DY192&lt;=0,0,IF(WEEKDAY(DY$6,1)=1,DY192*DY193,0)))</f>
        <v>0</v>
      </c>
      <c r="DZ196" s="63">
        <f>IF(AND(DZ192=0,DZ193=0),0,IF(DZ192&lt;=0,0,IF(WEEKDAY(DZ$6,1)=1,DZ192*DZ193,0)))</f>
        <v>0</v>
      </c>
      <c r="EA196" s="63">
        <f>IF(AND(EA192=0,EA193=0),0,IF(EA192&lt;=0,0,IF(WEEKDAY(EA$6,1)=1,EA192*EA193,0)))</f>
        <v>0</v>
      </c>
      <c r="EB196" s="63">
        <f>IF(AND(EB192=0,EB193=0),0,IF(EB192&lt;=0,0,IF(WEEKDAY(EB$6,1)=1,EB192*EB193,0)))</f>
        <v>0</v>
      </c>
      <c r="EC196" s="63">
        <f>IF(AND(EC192=0,EC193=0),0,IF(EC192&lt;=0,0,IF(WEEKDAY(EC$6,1)=1,EC192*EC193,0)))</f>
        <v>0</v>
      </c>
      <c r="ED196" s="63">
        <f>IF(AND(ED192=0,ED193=0),0,IF(ED192&lt;=0,0,IF(WEEKDAY(ED$6,1)=1,ED192*ED193,0)))</f>
        <v>0</v>
      </c>
      <c r="EE196" s="64">
        <f>IF(AND(EE192=0,EE193=0),0,IF(EE192&lt;=0,0,IF(WEEKDAY(EE$6,1)=1,EE192*EE193,0)))</f>
        <v>0</v>
      </c>
      <c r="EF196" s="64">
        <f>IF(AND(EF192=0,EF193=0),0,IF(EF192&lt;=0,0,IF(WEEKDAY(EF$6,1)=1,EF192*EF193,0)))</f>
        <v>0</v>
      </c>
      <c r="EG196" s="63">
        <f>IF(AND(EG192=0,EG193=0),0,IF(EG192&lt;=0,0,IF(WEEKDAY(EG$6,1)=1,EG192*EG193,0)))</f>
        <v>0</v>
      </c>
      <c r="EH196" s="63">
        <f>IF(AND(EH192=0,EH193=0),0,IF(EH192&lt;=0,0,IF(WEEKDAY(EH$6,1)=1,EH192*EH193,0)))</f>
        <v>0</v>
      </c>
      <c r="EI196" s="63">
        <f>IF(AND(EI192=0,EI193=0),0,IF(EI192&lt;=0,0,IF(WEEKDAY(EI$6,1)=1,EI192*EI193,0)))</f>
        <v>0</v>
      </c>
      <c r="EJ196" s="63">
        <f>IF(AND(EJ192=0,EJ193=0),0,IF(EJ192&lt;=0,0,IF(WEEKDAY(EJ$6,1)=1,EJ192*EJ193,0)))</f>
        <v>0</v>
      </c>
      <c r="EK196" s="65">
        <f>IF(AND(EK192=0,EK193=0),0,IF(EK192&lt;=0,0,IF(WEEKDAY(EK$6,1)=1,EK192*EK193,0)))</f>
        <v>0</v>
      </c>
      <c r="OU196" s="28" t="s">
        <v>103</v>
      </c>
    </row>
    <row r="197" ht="16" customHeight="1" spans="1:411" x14ac:dyDescent="0.25">
      <c r="A197" s="74"/>
      <c r="B197" s="46"/>
      <c r="C197" s="67">
        <f>I191*D197</f>
        <v>8960</v>
      </c>
      <c r="D197" s="67">
        <v>140</v>
      </c>
      <c r="E197" s="68" t="s">
        <v>65</v>
      </c>
      <c r="F197" s="49"/>
      <c r="G197" s="49"/>
      <c r="H197" s="49"/>
      <c r="I197" s="49"/>
      <c r="J197" s="50"/>
      <c r="K197" s="69">
        <v>0</v>
      </c>
      <c r="L197" s="70">
        <v>0</v>
      </c>
      <c r="M197" s="70">
        <v>0</v>
      </c>
      <c r="N197" s="70">
        <v>0</v>
      </c>
      <c r="O197" s="70">
        <v>0</v>
      </c>
      <c r="P197" s="71">
        <v>0</v>
      </c>
      <c r="Q197" s="71">
        <v>0</v>
      </c>
      <c r="R197" s="70">
        <v>0</v>
      </c>
      <c r="S197" s="70">
        <v>0</v>
      </c>
      <c r="T197" s="70">
        <v>0</v>
      </c>
      <c r="U197" s="70">
        <v>0</v>
      </c>
      <c r="V197" s="70">
        <v>0</v>
      </c>
      <c r="W197" s="71">
        <v>0</v>
      </c>
      <c r="X197" s="71">
        <v>0</v>
      </c>
      <c r="Y197" s="70">
        <v>0</v>
      </c>
      <c r="Z197" s="70">
        <v>0</v>
      </c>
      <c r="AA197" s="70">
        <v>0</v>
      </c>
      <c r="AB197" s="70">
        <v>0</v>
      </c>
      <c r="AC197" s="70">
        <v>0</v>
      </c>
      <c r="AD197" s="71">
        <v>0</v>
      </c>
      <c r="AE197" s="71">
        <v>0</v>
      </c>
      <c r="AF197" s="70">
        <v>0</v>
      </c>
      <c r="AG197" s="70">
        <v>0</v>
      </c>
      <c r="AH197" s="70">
        <v>0</v>
      </c>
      <c r="AI197" s="70">
        <v>0</v>
      </c>
      <c r="AJ197" s="70">
        <v>0</v>
      </c>
      <c r="AK197" s="71">
        <v>0</v>
      </c>
      <c r="AL197" s="71">
        <v>0</v>
      </c>
      <c r="AM197" s="70">
        <v>0</v>
      </c>
      <c r="AN197" s="70">
        <v>0</v>
      </c>
      <c r="AO197" s="70">
        <v>0</v>
      </c>
      <c r="AP197" s="70">
        <v>0</v>
      </c>
      <c r="AQ197" s="70">
        <v>0</v>
      </c>
      <c r="AR197" s="71">
        <v>0</v>
      </c>
      <c r="AS197" s="71">
        <v>0</v>
      </c>
      <c r="AT197" s="70">
        <v>0</v>
      </c>
      <c r="AU197" s="70">
        <v>0</v>
      </c>
      <c r="AV197" s="70">
        <v>0</v>
      </c>
      <c r="AW197" s="70">
        <v>0</v>
      </c>
      <c r="AX197" s="70">
        <v>0</v>
      </c>
      <c r="AY197" s="71">
        <v>0</v>
      </c>
      <c r="AZ197" s="71">
        <v>0</v>
      </c>
      <c r="BA197" s="70">
        <v>0</v>
      </c>
      <c r="BB197" s="70">
        <v>0</v>
      </c>
      <c r="BC197" s="70">
        <v>0</v>
      </c>
      <c r="BD197" s="70">
        <v>0</v>
      </c>
      <c r="BE197" s="70">
        <v>0</v>
      </c>
      <c r="BF197" s="71">
        <v>0</v>
      </c>
      <c r="BG197" s="71">
        <v>0</v>
      </c>
      <c r="BH197" s="70">
        <v>1</v>
      </c>
      <c r="BI197" s="70">
        <v>1</v>
      </c>
      <c r="BJ197" s="70">
        <v>1</v>
      </c>
      <c r="BK197" s="70">
        <v>1</v>
      </c>
      <c r="BL197" s="70">
        <v>1</v>
      </c>
      <c r="BM197" s="71">
        <v>1</v>
      </c>
      <c r="BN197" s="71">
        <v>1</v>
      </c>
      <c r="BO197" s="70">
        <v>1</v>
      </c>
      <c r="BP197" s="70">
        <v>1</v>
      </c>
      <c r="BQ197" s="70">
        <v>1</v>
      </c>
      <c r="BR197" s="70">
        <v>1</v>
      </c>
      <c r="BS197" s="70">
        <v>1</v>
      </c>
      <c r="BT197" s="71">
        <v>1</v>
      </c>
      <c r="BU197" s="71">
        <v>1</v>
      </c>
      <c r="BV197" s="70">
        <v>1</v>
      </c>
      <c r="BW197" s="70">
        <v>1</v>
      </c>
      <c r="BX197" s="70">
        <v>1</v>
      </c>
      <c r="BY197" s="70">
        <v>1</v>
      </c>
      <c r="BZ197" s="70">
        <v>1</v>
      </c>
      <c r="CA197" s="71">
        <v>1</v>
      </c>
      <c r="CB197" s="71">
        <v>1</v>
      </c>
      <c r="CC197" s="70">
        <v>1</v>
      </c>
      <c r="CD197" s="70">
        <v>1</v>
      </c>
      <c r="CE197" s="70">
        <v>1</v>
      </c>
      <c r="CF197" s="70">
        <v>1</v>
      </c>
      <c r="CG197" s="70">
        <v>1</v>
      </c>
      <c r="CH197" s="71">
        <v>1</v>
      </c>
      <c r="CI197" s="71">
        <v>1</v>
      </c>
      <c r="CJ197" s="70">
        <v>1</v>
      </c>
      <c r="CK197" s="70">
        <v>1</v>
      </c>
      <c r="CL197" s="70">
        <v>1</v>
      </c>
      <c r="CM197" s="70">
        <v>1</v>
      </c>
      <c r="CN197" s="70">
        <v>1</v>
      </c>
      <c r="CO197" s="71">
        <v>1</v>
      </c>
      <c r="CP197" s="71">
        <v>1</v>
      </c>
      <c r="CQ197" s="70">
        <v>1</v>
      </c>
      <c r="CR197" s="70">
        <v>1</v>
      </c>
      <c r="CS197" s="70">
        <v>1</v>
      </c>
      <c r="CT197" s="70">
        <v>1</v>
      </c>
      <c r="CU197" s="70">
        <v>1</v>
      </c>
      <c r="CV197" s="71">
        <v>1</v>
      </c>
      <c r="CW197" s="71">
        <v>1</v>
      </c>
      <c r="CX197" s="70">
        <v>1</v>
      </c>
      <c r="CY197" s="70">
        <v>1</v>
      </c>
      <c r="CZ197" s="70">
        <v>1</v>
      </c>
      <c r="DA197" s="70">
        <v>1</v>
      </c>
      <c r="DB197" s="70">
        <v>1</v>
      </c>
      <c r="DC197" s="71">
        <v>1</v>
      </c>
      <c r="DD197" s="71">
        <v>1</v>
      </c>
      <c r="DE197" s="70">
        <v>1</v>
      </c>
      <c r="DF197" s="70">
        <v>1</v>
      </c>
      <c r="DG197" s="70">
        <v>1</v>
      </c>
      <c r="DH197" s="70">
        <v>1</v>
      </c>
      <c r="DI197" s="70">
        <v>1</v>
      </c>
      <c r="DJ197" s="71">
        <v>1</v>
      </c>
      <c r="DK197" s="71">
        <v>1</v>
      </c>
      <c r="DL197" s="70">
        <v>1</v>
      </c>
      <c r="DM197" s="70">
        <v>1</v>
      </c>
      <c r="DN197" s="70">
        <v>1</v>
      </c>
      <c r="DO197" s="70">
        <v>1</v>
      </c>
      <c r="DP197" s="70">
        <v>1</v>
      </c>
      <c r="DQ197" s="71">
        <v>1</v>
      </c>
      <c r="DR197" s="71">
        <v>1</v>
      </c>
      <c r="DS197" s="70">
        <v>1</v>
      </c>
      <c r="DT197" s="70">
        <v>0</v>
      </c>
      <c r="DU197" s="70">
        <v>0</v>
      </c>
      <c r="DV197" s="70">
        <v>0</v>
      </c>
      <c r="DW197" s="70">
        <v>0</v>
      </c>
      <c r="DX197" s="71">
        <v>0</v>
      </c>
      <c r="DY197" s="71">
        <v>0</v>
      </c>
      <c r="DZ197" s="70">
        <v>0</v>
      </c>
      <c r="EA197" s="70">
        <v>0</v>
      </c>
      <c r="EB197" s="70">
        <v>0</v>
      </c>
      <c r="EC197" s="70">
        <v>0</v>
      </c>
      <c r="ED197" s="70">
        <v>0</v>
      </c>
      <c r="EE197" s="71">
        <v>0</v>
      </c>
      <c r="EF197" s="71">
        <v>0</v>
      </c>
      <c r="EG197" s="70">
        <v>0</v>
      </c>
      <c r="EH197" s="70">
        <v>0</v>
      </c>
      <c r="EI197" s="70">
        <v>0</v>
      </c>
      <c r="EJ197" s="70">
        <v>0</v>
      </c>
      <c r="EK197" s="72">
        <v>0</v>
      </c>
      <c r="OU197" s="60" t="s">
        <v>103</v>
      </c>
    </row>
    <row r="198" ht="16" customHeight="1" spans="1:411" x14ac:dyDescent="0.25">
      <c r="A198" s="16" t="s">
        <v>104</v>
      </c>
      <c r="B198" s="17"/>
      <c r="C198" s="75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5">
        <f>SUM(J7,J15,J23,J31,J39,J47,J55,J63,J71,J79,J87,J95,J103,J111,J119,J127,J135,J143,J151,J159,J167,J175,J183,J191)</f>
        <v>4653519.250000001</v>
      </c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  <c r="AR198" s="76"/>
      <c r="AS198" s="76"/>
      <c r="AT198" s="76"/>
      <c r="AU198" s="76"/>
      <c r="AV198" s="76"/>
      <c r="AW198" s="76"/>
      <c r="AX198" s="76"/>
      <c r="AY198" s="76"/>
      <c r="AZ198" s="76"/>
      <c r="BA198" s="76"/>
      <c r="BB198" s="76"/>
      <c r="BC198" s="76"/>
      <c r="BD198" s="76"/>
      <c r="BE198" s="76"/>
      <c r="BF198" s="76"/>
      <c r="BG198" s="76"/>
      <c r="BH198" s="76"/>
      <c r="BI198" s="76"/>
      <c r="BJ198" s="76"/>
      <c r="BK198" s="76"/>
      <c r="BL198" s="76"/>
      <c r="BM198" s="76"/>
      <c r="BN198" s="76"/>
      <c r="BO198" s="76"/>
      <c r="BP198" s="76"/>
      <c r="BQ198" s="76"/>
      <c r="BR198" s="76"/>
      <c r="BS198" s="76"/>
      <c r="BT198" s="76"/>
      <c r="BU198" s="76"/>
      <c r="BV198" s="76"/>
      <c r="BW198" s="76"/>
      <c r="BX198" s="76"/>
      <c r="BY198" s="76"/>
      <c r="BZ198" s="76"/>
      <c r="CA198" s="76"/>
      <c r="CB198" s="76"/>
      <c r="CC198" s="76"/>
      <c r="CD198" s="76"/>
      <c r="CE198" s="76"/>
      <c r="CF198" s="76"/>
      <c r="CG198" s="76"/>
      <c r="CH198" s="76"/>
      <c r="CI198" s="76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76"/>
      <c r="CY198" s="76"/>
      <c r="CZ198" s="76"/>
      <c r="DA198" s="76"/>
      <c r="DB198" s="76"/>
      <c r="DC198" s="76"/>
      <c r="DD198" s="76"/>
      <c r="DE198" s="76"/>
      <c r="DF198" s="76"/>
      <c r="DG198" s="76"/>
      <c r="DH198" s="76"/>
      <c r="DI198" s="76"/>
      <c r="DJ198" s="76"/>
      <c r="DK198" s="76"/>
      <c r="DL198" s="76"/>
      <c r="DM198" s="76"/>
      <c r="DN198" s="76"/>
      <c r="DO198" s="76"/>
      <c r="DP198" s="76"/>
      <c r="DQ198" s="76"/>
      <c r="DR198" s="76"/>
      <c r="DS198" s="76"/>
      <c r="DT198" s="76"/>
      <c r="DU198" s="76"/>
      <c r="DV198" s="76"/>
      <c r="DW198" s="76"/>
      <c r="DX198" s="76"/>
      <c r="DY198" s="76"/>
      <c r="DZ198" s="76"/>
      <c r="EA198" s="76"/>
      <c r="EB198" s="76"/>
      <c r="EC198" s="76"/>
      <c r="ED198" s="76"/>
      <c r="EE198" s="76"/>
      <c r="EF198" s="76"/>
      <c r="EG198" s="76"/>
      <c r="EH198" s="76"/>
      <c r="EI198" s="76"/>
      <c r="EJ198" s="76"/>
      <c r="EK198" s="76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dataValidations count="24">
    <dataValidation type="list" allowBlank="1" sqref="B103">
      <formula1>=_Lists!$A$1:$A$94</formula1>
    </dataValidation>
    <dataValidation type="list" allowBlank="1" sqref="B111">
      <formula1>=_Lists!$A$1:$A$94</formula1>
    </dataValidation>
    <dataValidation type="list" allowBlank="1" sqref="B119">
      <formula1>=_Lists!$A$1:$A$94</formula1>
    </dataValidation>
    <dataValidation type="list" allowBlank="1" sqref="B127">
      <formula1>=_Lists!$A$1:$A$94</formula1>
    </dataValidation>
    <dataValidation type="list" allowBlank="1" sqref="B135">
      <formula1>=_Lists!$A$1:$A$94</formula1>
    </dataValidation>
    <dataValidation type="list" allowBlank="1" sqref="B143">
      <formula1>=_Lists!$A$1:$A$94</formula1>
    </dataValidation>
    <dataValidation type="list" allowBlank="1" sqref="B15">
      <formula1>=_Lists!$A$1:$A$94</formula1>
    </dataValidation>
    <dataValidation type="list" allowBlank="1" sqref="B151">
      <formula1>=_Lists!$A$1:$A$94</formula1>
    </dataValidation>
    <dataValidation type="list" allowBlank="1" sqref="B159">
      <formula1>=_Lists!$A$1:$A$94</formula1>
    </dataValidation>
    <dataValidation type="list" allowBlank="1" sqref="B167">
      <formula1>=_Lists!$A$1:$A$94</formula1>
    </dataValidation>
    <dataValidation type="list" allowBlank="1" sqref="B175">
      <formula1>=_Lists!$A$1:$A$94</formula1>
    </dataValidation>
    <dataValidation type="list" allowBlank="1" sqref="B183">
      <formula1>=_Lists!$A$1:$A$94</formula1>
    </dataValidation>
    <dataValidation type="list" allowBlank="1" sqref="B191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  <dataValidation type="list" allowBlank="1" sqref="B71">
      <formula1>=_Lists!$A$1:$A$94</formula1>
    </dataValidation>
    <dataValidation type="list" allowBlank="1" sqref="B79">
      <formula1>=_Lists!$A$1:$A$94</formula1>
    </dataValidation>
    <dataValidation type="list" allowBlank="1" sqref="B87">
      <formula1>=_Lists!$A$1:$A$94</formula1>
    </dataValidation>
    <dataValidation type="list" allowBlank="1" sqref="B95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46" t="s">
        <v>105</v>
      </c>
      <c r="C7" s="47">
        <f>J7</f>
        <v>595283.34</v>
      </c>
      <c r="D7" s="48"/>
      <c r="E7" s="48"/>
      <c r="F7" s="49">
        <f>SUM(K10:EK10)</f>
        <v>2752</v>
      </c>
      <c r="G7" s="49">
        <f>SUM(K11:EK11)</f>
        <v>1290</v>
      </c>
      <c r="H7" s="49">
        <f>SUM(K12:EK12)</f>
        <v>390</v>
      </c>
      <c r="I7" s="49">
        <f>SUM(K13:EK13)</f>
        <v>406</v>
      </c>
      <c r="J7" s="50">
        <f>C10+C11+C12</f>
        <v>595283.34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106</v>
      </c>
    </row>
    <row r="8" ht="16" customHeight="1" spans="1:411" x14ac:dyDescent="0.25">
      <c r="A8" s="45"/>
      <c r="B8" s="46"/>
      <c r="C8" s="47"/>
      <c r="D8" s="48"/>
      <c r="E8" s="55" t="s">
        <v>60</v>
      </c>
      <c r="F8" s="49"/>
      <c r="G8" s="49"/>
      <c r="H8" s="49"/>
      <c r="I8" s="49"/>
      <c r="J8" s="50"/>
      <c r="K8" s="56">
        <v>0</v>
      </c>
      <c r="L8" s="57">
        <v>0</v>
      </c>
      <c r="M8" s="57">
        <v>0</v>
      </c>
      <c r="N8" s="57">
        <v>2</v>
      </c>
      <c r="O8" s="57">
        <v>2</v>
      </c>
      <c r="P8" s="58">
        <v>0</v>
      </c>
      <c r="Q8" s="58">
        <v>0</v>
      </c>
      <c r="R8" s="57">
        <v>2</v>
      </c>
      <c r="S8" s="57">
        <v>2</v>
      </c>
      <c r="T8" s="57">
        <v>2</v>
      </c>
      <c r="U8" s="57">
        <v>2</v>
      </c>
      <c r="V8" s="57">
        <v>2</v>
      </c>
      <c r="W8" s="58">
        <v>0</v>
      </c>
      <c r="X8" s="58">
        <v>0</v>
      </c>
      <c r="Y8" s="57">
        <v>2</v>
      </c>
      <c r="Z8" s="57">
        <v>2</v>
      </c>
      <c r="AA8" s="57">
        <v>2</v>
      </c>
      <c r="AB8" s="57">
        <v>2</v>
      </c>
      <c r="AC8" s="57">
        <v>2</v>
      </c>
      <c r="AD8" s="58">
        <v>0</v>
      </c>
      <c r="AE8" s="58">
        <v>0</v>
      </c>
      <c r="AF8" s="57">
        <v>2</v>
      </c>
      <c r="AG8" s="57">
        <v>2</v>
      </c>
      <c r="AH8" s="57">
        <v>2</v>
      </c>
      <c r="AI8" s="57">
        <v>2</v>
      </c>
      <c r="AJ8" s="57">
        <v>2</v>
      </c>
      <c r="AK8" s="58">
        <v>0</v>
      </c>
      <c r="AL8" s="58">
        <v>0</v>
      </c>
      <c r="AM8" s="57">
        <v>8.25</v>
      </c>
      <c r="AN8" s="57">
        <v>8.25</v>
      </c>
      <c r="AO8" s="57">
        <v>8.25</v>
      </c>
      <c r="AP8" s="57">
        <v>8.25</v>
      </c>
      <c r="AQ8" s="57">
        <v>8.25</v>
      </c>
      <c r="AR8" s="58">
        <v>0</v>
      </c>
      <c r="AS8" s="58">
        <v>0</v>
      </c>
      <c r="AT8" s="57">
        <v>8.25</v>
      </c>
      <c r="AU8" s="57">
        <v>8.25</v>
      </c>
      <c r="AV8" s="57">
        <v>8.25</v>
      </c>
      <c r="AW8" s="57">
        <v>8.25</v>
      </c>
      <c r="AX8" s="57">
        <v>8.25</v>
      </c>
      <c r="AY8" s="58">
        <v>0</v>
      </c>
      <c r="AZ8" s="58">
        <v>0</v>
      </c>
      <c r="BA8" s="57">
        <v>8.25</v>
      </c>
      <c r="BB8" s="57">
        <v>8.25</v>
      </c>
      <c r="BC8" s="57">
        <v>8.25</v>
      </c>
      <c r="BD8" s="57">
        <v>8.25</v>
      </c>
      <c r="BE8" s="57">
        <v>8.25</v>
      </c>
      <c r="BF8" s="58">
        <v>0</v>
      </c>
      <c r="BG8" s="58">
        <v>0</v>
      </c>
      <c r="BH8" s="57">
        <v>4</v>
      </c>
      <c r="BI8" s="57">
        <v>4</v>
      </c>
      <c r="BJ8" s="57">
        <v>4</v>
      </c>
      <c r="BK8" s="57">
        <v>4</v>
      </c>
      <c r="BL8" s="57">
        <v>4</v>
      </c>
      <c r="BM8" s="58">
        <v>4</v>
      </c>
      <c r="BN8" s="58">
        <v>4</v>
      </c>
      <c r="BO8" s="57">
        <v>4</v>
      </c>
      <c r="BP8" s="57">
        <v>4</v>
      </c>
      <c r="BQ8" s="57">
        <v>4</v>
      </c>
      <c r="BR8" s="57">
        <v>4</v>
      </c>
      <c r="BS8" s="57">
        <v>4</v>
      </c>
      <c r="BT8" s="58">
        <v>4</v>
      </c>
      <c r="BU8" s="58">
        <v>4</v>
      </c>
      <c r="BV8" s="57">
        <v>4</v>
      </c>
      <c r="BW8" s="57">
        <v>4</v>
      </c>
      <c r="BX8" s="57">
        <v>4</v>
      </c>
      <c r="BY8" s="57">
        <v>4</v>
      </c>
      <c r="BZ8" s="57">
        <v>4</v>
      </c>
      <c r="CA8" s="58">
        <v>4</v>
      </c>
      <c r="CB8" s="58">
        <v>4</v>
      </c>
      <c r="CC8" s="57">
        <v>4</v>
      </c>
      <c r="CD8" s="57">
        <v>4</v>
      </c>
      <c r="CE8" s="57">
        <v>4</v>
      </c>
      <c r="CF8" s="57">
        <v>4</v>
      </c>
      <c r="CG8" s="57">
        <v>4</v>
      </c>
      <c r="CH8" s="58">
        <v>4</v>
      </c>
      <c r="CI8" s="58">
        <v>4</v>
      </c>
      <c r="CJ8" s="57">
        <v>4</v>
      </c>
      <c r="CK8" s="57">
        <v>4</v>
      </c>
      <c r="CL8" s="57">
        <v>4</v>
      </c>
      <c r="CM8" s="57">
        <v>4</v>
      </c>
      <c r="CN8" s="57">
        <v>4</v>
      </c>
      <c r="CO8" s="58">
        <v>4</v>
      </c>
      <c r="CP8" s="58">
        <v>4</v>
      </c>
      <c r="CQ8" s="57">
        <v>4</v>
      </c>
      <c r="CR8" s="57">
        <v>4</v>
      </c>
      <c r="CS8" s="57">
        <v>4</v>
      </c>
      <c r="CT8" s="57">
        <v>4</v>
      </c>
      <c r="CU8" s="57">
        <v>4</v>
      </c>
      <c r="CV8" s="58">
        <v>4</v>
      </c>
      <c r="CW8" s="58">
        <v>4</v>
      </c>
      <c r="CX8" s="57">
        <v>4</v>
      </c>
      <c r="CY8" s="57">
        <v>4</v>
      </c>
      <c r="CZ8" s="57">
        <v>4</v>
      </c>
      <c r="DA8" s="57">
        <v>4</v>
      </c>
      <c r="DB8" s="57">
        <v>4</v>
      </c>
      <c r="DC8" s="58">
        <v>4</v>
      </c>
      <c r="DD8" s="58">
        <v>2</v>
      </c>
      <c r="DE8" s="57">
        <v>2</v>
      </c>
      <c r="DF8" s="57">
        <v>2</v>
      </c>
      <c r="DG8" s="57">
        <v>2</v>
      </c>
      <c r="DH8" s="57">
        <v>2</v>
      </c>
      <c r="DI8" s="57">
        <v>2</v>
      </c>
      <c r="DJ8" s="58">
        <v>2</v>
      </c>
      <c r="DK8" s="58">
        <v>2</v>
      </c>
      <c r="DL8" s="57">
        <v>2</v>
      </c>
      <c r="DM8" s="57">
        <v>2</v>
      </c>
      <c r="DN8" s="57">
        <v>2</v>
      </c>
      <c r="DO8" s="57">
        <v>2</v>
      </c>
      <c r="DP8" s="57">
        <v>2</v>
      </c>
      <c r="DQ8" s="58">
        <v>2</v>
      </c>
      <c r="DR8" s="58">
        <v>2</v>
      </c>
      <c r="DS8" s="57">
        <v>2</v>
      </c>
      <c r="DT8" s="57">
        <v>2</v>
      </c>
      <c r="DU8" s="57">
        <v>2</v>
      </c>
      <c r="DV8" s="57">
        <v>2</v>
      </c>
      <c r="DW8" s="57">
        <v>2</v>
      </c>
      <c r="DX8" s="58">
        <v>0</v>
      </c>
      <c r="DY8" s="58">
        <v>0</v>
      </c>
      <c r="DZ8" s="57">
        <v>2</v>
      </c>
      <c r="EA8" s="57">
        <v>2</v>
      </c>
      <c r="EB8" s="57">
        <v>2</v>
      </c>
      <c r="EC8" s="57">
        <v>2</v>
      </c>
      <c r="ED8" s="57">
        <v>2</v>
      </c>
      <c r="EE8" s="58">
        <v>0</v>
      </c>
      <c r="EF8" s="58">
        <v>0</v>
      </c>
      <c r="EG8" s="57">
        <v>2</v>
      </c>
      <c r="EH8" s="57">
        <v>2</v>
      </c>
      <c r="EI8" s="57">
        <v>2</v>
      </c>
      <c r="EJ8" s="57">
        <v>2</v>
      </c>
      <c r="EK8" s="59">
        <v>2</v>
      </c>
      <c r="OU8" s="60" t="s">
        <v>106</v>
      </c>
    </row>
    <row r="9" ht="16" customHeight="1" spans="1:411" x14ac:dyDescent="0.25">
      <c r="A9" s="45"/>
      <c r="B9" s="46"/>
      <c r="C9" s="47"/>
      <c r="D9" s="48"/>
      <c r="E9" s="55" t="s">
        <v>61</v>
      </c>
      <c r="F9" s="49"/>
      <c r="G9" s="49"/>
      <c r="H9" s="49"/>
      <c r="I9" s="49"/>
      <c r="J9" s="50"/>
      <c r="K9" s="56">
        <v>0</v>
      </c>
      <c r="L9" s="57">
        <v>0</v>
      </c>
      <c r="M9" s="57">
        <v>0</v>
      </c>
      <c r="N9" s="57">
        <v>9</v>
      </c>
      <c r="O9" s="57">
        <v>9</v>
      </c>
      <c r="P9" s="58">
        <v>0</v>
      </c>
      <c r="Q9" s="58">
        <v>0</v>
      </c>
      <c r="R9" s="57">
        <v>9</v>
      </c>
      <c r="S9" s="57">
        <v>9</v>
      </c>
      <c r="T9" s="57">
        <v>9</v>
      </c>
      <c r="U9" s="57">
        <v>9</v>
      </c>
      <c r="V9" s="57">
        <v>9</v>
      </c>
      <c r="W9" s="58">
        <v>0</v>
      </c>
      <c r="X9" s="58">
        <v>0</v>
      </c>
      <c r="Y9" s="57">
        <v>9</v>
      </c>
      <c r="Z9" s="57">
        <v>9</v>
      </c>
      <c r="AA9" s="57">
        <v>9</v>
      </c>
      <c r="AB9" s="57">
        <v>9</v>
      </c>
      <c r="AC9" s="57">
        <v>9</v>
      </c>
      <c r="AD9" s="58">
        <v>0</v>
      </c>
      <c r="AE9" s="58">
        <v>0</v>
      </c>
      <c r="AF9" s="57">
        <v>9</v>
      </c>
      <c r="AG9" s="57">
        <v>9</v>
      </c>
      <c r="AH9" s="57">
        <v>9</v>
      </c>
      <c r="AI9" s="57">
        <v>9</v>
      </c>
      <c r="AJ9" s="57">
        <v>9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13</v>
      </c>
      <c r="BI9" s="57">
        <v>13</v>
      </c>
      <c r="BJ9" s="57">
        <v>13</v>
      </c>
      <c r="BK9" s="57">
        <v>13</v>
      </c>
      <c r="BL9" s="57">
        <v>13</v>
      </c>
      <c r="BM9" s="58">
        <v>13</v>
      </c>
      <c r="BN9" s="58">
        <v>13</v>
      </c>
      <c r="BO9" s="57">
        <v>13</v>
      </c>
      <c r="BP9" s="57">
        <v>13</v>
      </c>
      <c r="BQ9" s="57">
        <v>13</v>
      </c>
      <c r="BR9" s="57">
        <v>13</v>
      </c>
      <c r="BS9" s="57">
        <v>13</v>
      </c>
      <c r="BT9" s="58">
        <v>13</v>
      </c>
      <c r="BU9" s="58">
        <v>13</v>
      </c>
      <c r="BV9" s="57">
        <v>13</v>
      </c>
      <c r="BW9" s="57">
        <v>13</v>
      </c>
      <c r="BX9" s="57">
        <v>13</v>
      </c>
      <c r="BY9" s="57">
        <v>13</v>
      </c>
      <c r="BZ9" s="57">
        <v>13</v>
      </c>
      <c r="CA9" s="58">
        <v>13</v>
      </c>
      <c r="CB9" s="58">
        <v>13</v>
      </c>
      <c r="CC9" s="57">
        <v>13</v>
      </c>
      <c r="CD9" s="57">
        <v>13</v>
      </c>
      <c r="CE9" s="57">
        <v>13</v>
      </c>
      <c r="CF9" s="57">
        <v>13</v>
      </c>
      <c r="CG9" s="57">
        <v>13</v>
      </c>
      <c r="CH9" s="58">
        <v>13</v>
      </c>
      <c r="CI9" s="58">
        <v>13</v>
      </c>
      <c r="CJ9" s="57">
        <v>13</v>
      </c>
      <c r="CK9" s="57">
        <v>13</v>
      </c>
      <c r="CL9" s="57">
        <v>13</v>
      </c>
      <c r="CM9" s="57">
        <v>13</v>
      </c>
      <c r="CN9" s="57">
        <v>13</v>
      </c>
      <c r="CO9" s="58">
        <v>13</v>
      </c>
      <c r="CP9" s="58">
        <v>13</v>
      </c>
      <c r="CQ9" s="57">
        <v>13</v>
      </c>
      <c r="CR9" s="57">
        <v>13</v>
      </c>
      <c r="CS9" s="57">
        <v>13</v>
      </c>
      <c r="CT9" s="57">
        <v>13</v>
      </c>
      <c r="CU9" s="57">
        <v>13</v>
      </c>
      <c r="CV9" s="58">
        <v>13</v>
      </c>
      <c r="CW9" s="58">
        <v>13</v>
      </c>
      <c r="CX9" s="57">
        <v>13</v>
      </c>
      <c r="CY9" s="57">
        <v>13</v>
      </c>
      <c r="CZ9" s="57">
        <v>13</v>
      </c>
      <c r="DA9" s="57">
        <v>13</v>
      </c>
      <c r="DB9" s="57">
        <v>13</v>
      </c>
      <c r="DC9" s="58">
        <v>13</v>
      </c>
      <c r="DD9" s="58">
        <v>13</v>
      </c>
      <c r="DE9" s="57">
        <v>13</v>
      </c>
      <c r="DF9" s="57">
        <v>13</v>
      </c>
      <c r="DG9" s="57">
        <v>13</v>
      </c>
      <c r="DH9" s="57">
        <v>13</v>
      </c>
      <c r="DI9" s="57">
        <v>13</v>
      </c>
      <c r="DJ9" s="58">
        <v>13</v>
      </c>
      <c r="DK9" s="58">
        <v>13</v>
      </c>
      <c r="DL9" s="57">
        <v>13</v>
      </c>
      <c r="DM9" s="57">
        <v>13</v>
      </c>
      <c r="DN9" s="57">
        <v>13</v>
      </c>
      <c r="DO9" s="57">
        <v>13</v>
      </c>
      <c r="DP9" s="57">
        <v>13</v>
      </c>
      <c r="DQ9" s="58">
        <v>13</v>
      </c>
      <c r="DR9" s="58">
        <v>13</v>
      </c>
      <c r="DS9" s="57">
        <v>13</v>
      </c>
      <c r="DT9" s="57">
        <v>8</v>
      </c>
      <c r="DU9" s="57">
        <v>8</v>
      </c>
      <c r="DV9" s="57">
        <v>8</v>
      </c>
      <c r="DW9" s="57">
        <v>8</v>
      </c>
      <c r="DX9" s="58">
        <v>0</v>
      </c>
      <c r="DY9" s="58">
        <v>0</v>
      </c>
      <c r="DZ9" s="57">
        <v>8</v>
      </c>
      <c r="EA9" s="57">
        <v>8</v>
      </c>
      <c r="EB9" s="57">
        <v>8</v>
      </c>
      <c r="EC9" s="57">
        <v>8</v>
      </c>
      <c r="ED9" s="57">
        <v>8</v>
      </c>
      <c r="EE9" s="58">
        <v>0</v>
      </c>
      <c r="EF9" s="58">
        <v>0</v>
      </c>
      <c r="EG9" s="57">
        <v>8</v>
      </c>
      <c r="EH9" s="57">
        <v>8</v>
      </c>
      <c r="EI9" s="57">
        <v>8</v>
      </c>
      <c r="EJ9" s="57">
        <v>8</v>
      </c>
      <c r="EK9" s="59">
        <v>8</v>
      </c>
      <c r="OU9" s="60" t="s">
        <v>106</v>
      </c>
    </row>
    <row r="10" ht="16" customHeight="1" spans="1:411" x14ac:dyDescent="0.25">
      <c r="A10" s="45"/>
      <c r="B10" s="46"/>
      <c r="C10" s="61">
        <f>F7*N(D10)</f>
        <v>309930.24</v>
      </c>
      <c r="D10" s="61">
        <f>IF(TRIM(B7)="","No rate",IFERROR(INDEX('Rate Tables'!C$7:C$158,MATCH(B7,'Rate Tables'!A$7:A$158,0)),"No rate"))</f>
        <v>112.62</v>
      </c>
      <c r="E10" s="55" t="s">
        <v>62</v>
      </c>
      <c r="F10" s="49"/>
      <c r="G10" s="49"/>
      <c r="H10" s="49"/>
      <c r="I10" s="49"/>
      <c r="J10" s="50"/>
      <c r="K10" s="62">
        <f>IF(AND(K8=0,K9=0),0,MIN(IF(K8&lt;=0,0,IF(WEEKDAY(K$6,1)=1,0,IF(WEEKDAY(K$6,1)=7,0,MIN(8,K9)*K8))),MAX(0,40*MAX(1,K8)-(0))))</f>
        <v>0</v>
      </c>
      <c r="L10" s="63">
        <f>IF(AND(L8=0,L9=0),0,MIN(IF(L8&lt;=0,0,IF(WEEKDAY(L$6,1)=1,0,IF(WEEKDAY(L$6,1)=7,0,MIN(8,L9)*L8))),MAX(0,40*MAX(1,L8)-(K10))))</f>
        <v>0</v>
      </c>
      <c r="M10" s="63">
        <f>IF(AND(M8=0,M9=0),0,MIN(IF(M8&lt;=0,0,IF(WEEKDAY(M$6,1)=1,0,IF(WEEKDAY(M$6,1)=7,0,MIN(8,M9)*M8))),MAX(0,40*MAX(1,M8)-(K10+L10))))</f>
        <v>0</v>
      </c>
      <c r="N10" s="63">
        <f>IF(AND(N8=2,N9=9),16,MIN(IF(N8&lt;=0,0,IF(WEEKDAY(N$6,1)=1,0,IF(WEEKDAY(N$6,1)=7,0,MIN(8,N9)*N8))),MAX(0,40*MAX(1,N8)-(0))))</f>
        <v>16</v>
      </c>
      <c r="O10" s="63">
        <f>IF(AND(O8=2,O9=9),16,MIN(IF(O8&lt;=0,0,IF(WEEKDAY(O$6,1)=1,0,IF(WEEKDAY(O$6,1)=7,0,MIN(8,O9)*O8))),MAX(0,40*MAX(1,O8)-(N10))))</f>
        <v>16</v>
      </c>
      <c r="P10" s="64">
        <f>IF(AND(P8=0,P9=0),0,MIN(IF(P8&lt;=0,0,IF(WEEKDAY(P$6,1)=1,0,IF(WEEKDAY(P$6,1)=7,0,MIN(8,P9)*P8))),MAX(0,40*MAX(1,P8)-(K10+L10+M10))))</f>
        <v>0</v>
      </c>
      <c r="Q10" s="64">
        <f>IF(AND(Q8=0,Q9=0),0,MIN(IF(Q8&lt;=0,0,IF(WEEKDAY(Q$6,1)=1,0,IF(WEEKDAY(Q$6,1)=7,0,MIN(8,Q9)*Q8))),MAX(0,40*MAX(1,Q8)-(K10+L10+M10+P10))))</f>
        <v>0</v>
      </c>
      <c r="R10" s="63">
        <f>IF(AND(R8=2,R9=9),16,MIN(IF(R8&lt;=0,0,IF(WEEKDAY(R$6,1)=1,0,IF(WEEKDAY(R$6,1)=7,0,MIN(8,R9)*R8))),MAX(0,40*MAX(1,R8)-(0))))</f>
        <v>16</v>
      </c>
      <c r="S10" s="63">
        <f>IF(AND(S8=2,S9=9),16,MIN(IF(S8&lt;=0,0,IF(WEEKDAY(S$6,1)=1,0,IF(WEEKDAY(S$6,1)=7,0,MIN(8,S9)*S8))),MAX(0,40*MAX(1,S8)-(R10))))</f>
        <v>16</v>
      </c>
      <c r="T10" s="63">
        <f>IF(AND(T8=2,T9=9),16,MIN(IF(T8&lt;=0,0,IF(WEEKDAY(T$6,1)=1,0,IF(WEEKDAY(T$6,1)=7,0,MIN(8,T9)*T8))),MAX(0,40*MAX(1,T8)-(R10+S10))))</f>
        <v>16</v>
      </c>
      <c r="U10" s="63">
        <f>IF(AND(U8=2,U9=9),16,MIN(IF(U8&lt;=0,0,IF(WEEKDAY(U$6,1)=1,0,IF(WEEKDAY(U$6,1)=7,0,MIN(8,U9)*U8))),MAX(0,40*MAX(1,U8)-(R10+S10+T10))))</f>
        <v>16</v>
      </c>
      <c r="V10" s="63">
        <f>IF(AND(V8=2,V9=9),16,MIN(IF(V8&lt;=0,0,IF(WEEKDAY(V$6,1)=1,0,IF(WEEKDAY(V$6,1)=7,0,MIN(8,V9)*V8))),MAX(0,40*MAX(1,V8)-(R10+S10+T10+U10))))</f>
        <v>16</v>
      </c>
      <c r="W10" s="64">
        <f>IF(AND(W8=0,W9=0),0,MIN(IF(W8&lt;=0,0,IF(WEEKDAY(W$6,1)=1,0,IF(WEEKDAY(W$6,1)=7,0,MIN(8,W9)*W8))),MAX(0,40*MAX(1,W8)-(0))))</f>
        <v>0</v>
      </c>
      <c r="X10" s="64">
        <f>IF(AND(X8=0,X9=0),0,MIN(IF(X8&lt;=0,0,IF(WEEKDAY(X$6,1)=1,0,IF(WEEKDAY(X$6,1)=7,0,MIN(8,X9)*X8))),MAX(0,40*MAX(1,X8)-(W10))))</f>
        <v>0</v>
      </c>
      <c r="Y10" s="63">
        <f>IF(AND(Y8=2,Y9=9),16,MIN(IF(Y8&lt;=0,0,IF(WEEKDAY(Y$6,1)=1,0,IF(WEEKDAY(Y$6,1)=7,0,MIN(8,Y9)*Y8))),MAX(0,40*MAX(1,Y8)-(0))))</f>
        <v>16</v>
      </c>
      <c r="Z10" s="63">
        <f>IF(AND(Z8=2,Z9=9),16,MIN(IF(Z8&lt;=0,0,IF(WEEKDAY(Z$6,1)=1,0,IF(WEEKDAY(Z$6,1)=7,0,MIN(8,Z9)*Z8))),MAX(0,40*MAX(1,Z8)-(Y10))))</f>
        <v>16</v>
      </c>
      <c r="AA10" s="63">
        <f>IF(AND(AA8=2,AA9=9),16,MIN(IF(AA8&lt;=0,0,IF(WEEKDAY(AA$6,1)=1,0,IF(WEEKDAY(AA$6,1)=7,0,MIN(8,AA9)*AA8))),MAX(0,40*MAX(1,AA8)-(Y10+Z10))))</f>
        <v>16</v>
      </c>
      <c r="AB10" s="63">
        <f>IF(AND(AB8=2,AB9=9),16,MIN(IF(AB8&lt;=0,0,IF(WEEKDAY(AB$6,1)=1,0,IF(WEEKDAY(AB$6,1)=7,0,MIN(8,AB9)*AB8))),MAX(0,40*MAX(1,AB8)-(Y10+Z10+AA10))))</f>
        <v>16</v>
      </c>
      <c r="AC10" s="63">
        <f>IF(AND(AC8=2,AC9=9),16,MIN(IF(AC8&lt;=0,0,IF(WEEKDAY(AC$6,1)=1,0,IF(WEEKDAY(AC$6,1)=7,0,MIN(8,AC9)*AC8))),MAX(0,40*MAX(1,AC8)-(Y10+Z10+AA10+AB10))))</f>
        <v>16</v>
      </c>
      <c r="AD10" s="64">
        <f>IF(AND(AD8=0,AD9=0),0,MIN(IF(AD8&lt;=0,0,IF(WEEKDAY(AD$6,1)=1,0,IF(WEEKDAY(AD$6,1)=7,0,MIN(8,AD9)*AD8))),MAX(0,40*MAX(1,AD8)-(0))))</f>
        <v>0</v>
      </c>
      <c r="AE10" s="64">
        <f>IF(AND(AE8=0,AE9=0),0,MIN(IF(AE8&lt;=0,0,IF(WEEKDAY(AE$6,1)=1,0,IF(WEEKDAY(AE$6,1)=7,0,MIN(8,AE9)*AE8))),MAX(0,40*MAX(1,AE8)-(AD10))))</f>
        <v>0</v>
      </c>
      <c r="AF10" s="63">
        <f>IF(AND(AF8=2,AF9=9),16,MIN(IF(AF8&lt;=0,0,IF(WEEKDAY(AF$6,1)=1,0,IF(WEEKDAY(AF$6,1)=7,0,MIN(8,AF9)*AF8))),MAX(0,40*MAX(1,AF8)-(0))))</f>
        <v>16</v>
      </c>
      <c r="AG10" s="63">
        <f>IF(AND(AG8=2,AG9=9),16,MIN(IF(AG8&lt;=0,0,IF(WEEKDAY(AG$6,1)=1,0,IF(WEEKDAY(AG$6,1)=7,0,MIN(8,AG9)*AG8))),MAX(0,40*MAX(1,AG8)-(AF10))))</f>
        <v>16</v>
      </c>
      <c r="AH10" s="63">
        <f>IF(AND(AH8=2,AH9=9),16,MIN(IF(AH8&lt;=0,0,IF(WEEKDAY(AH$6,1)=1,0,IF(WEEKDAY(AH$6,1)=7,0,MIN(8,AH9)*AH8))),MAX(0,40*MAX(1,AH8)-(AF10+AG10))))</f>
        <v>16</v>
      </c>
      <c r="AI10" s="63">
        <f>IF(AND(AI8=2,AI9=9),16,MIN(IF(AI8&lt;=0,0,IF(WEEKDAY(AI$6,1)=1,0,IF(WEEKDAY(AI$6,1)=7,0,MIN(8,AI9)*AI8))),MAX(0,40*MAX(1,AI8)-(AF10+AG10+AH10))))</f>
        <v>16</v>
      </c>
      <c r="AJ10" s="63">
        <f>IF(AND(AJ8=2,AJ9=9),16,MIN(IF(AJ8&lt;=0,0,IF(WEEKDAY(AJ$6,1)=1,0,IF(WEEKDAY(AJ$6,1)=7,0,MIN(8,AJ9)*AJ8))),MAX(0,40*MAX(1,AJ8)-(AF10+AG10+AH10+AI10))))</f>
        <v>16</v>
      </c>
      <c r="AK10" s="64">
        <f>IF(AND(AK8=0,AK9=0),0,MIN(IF(AK8&lt;=0,0,IF(WEEKDAY(AK$6,1)=1,0,IF(WEEKDAY(AK$6,1)=7,0,MIN(8,AK9)*AK8))),MAX(0,40*MAX(1,AK8)-(0))))</f>
        <v>0</v>
      </c>
      <c r="AL10" s="64">
        <f>IF(AND(AL8=0,AL9=0),0,MIN(IF(AL8&lt;=0,0,IF(WEEKDAY(AL$6,1)=1,0,IF(WEEKDAY(AL$6,1)=7,0,MIN(8,AL9)*AL8))),MAX(0,40*MAX(1,AL8)-(AK10))))</f>
        <v>0</v>
      </c>
      <c r="AM10" s="63">
        <f>IF(AND(AM8=8.25,AM9=8),64,MIN(IF(AM8&lt;=0,0,IF(WEEKDAY(AM$6,1)=1,0,IF(WEEKDAY(AM$6,1)=7,0,MIN(8,AM9)*AM8))),MAX(0,40*MAX(1,AM8)-(0))))</f>
        <v>64</v>
      </c>
      <c r="AN10" s="63">
        <f>IF(AND(AN8=8.25,AN9=8),64,MIN(IF(AN8&lt;=0,0,IF(WEEKDAY(AN$6,1)=1,0,IF(WEEKDAY(AN$6,1)=7,0,MIN(8,AN9)*AN8))),MAX(0,40*MAX(1,AN8)-(AM10))))</f>
        <v>64</v>
      </c>
      <c r="AO10" s="63">
        <f>IF(AND(AO8=8.25,AO9=8),64,MIN(IF(AO8&lt;=0,0,IF(WEEKDAY(AO$6,1)=1,0,IF(WEEKDAY(AO$6,1)=7,0,MIN(8,AO9)*AO8))),MAX(0,40*MAX(1,AO8)-(AM10+AN10))))</f>
        <v>64</v>
      </c>
      <c r="AP10" s="63">
        <f>IF(AND(AP8=8.25,AP9=8),64,MIN(IF(AP8&lt;=0,0,IF(WEEKDAY(AP$6,1)=1,0,IF(WEEKDAY(AP$6,1)=7,0,MIN(8,AP9)*AP8))),MAX(0,40*MAX(1,AP8)-(AM10+AN10+AO10))))</f>
        <v>64</v>
      </c>
      <c r="AQ10" s="63">
        <f>IF(AND(AQ8=8.25,AQ9=8),64,MIN(IF(AQ8&lt;=0,0,IF(WEEKDAY(AQ$6,1)=1,0,IF(WEEKDAY(AQ$6,1)=7,0,MIN(8,AQ9)*AQ8))),MAX(0,40*MAX(1,AQ8)-(AM10+AN10+AO10+AP10))))</f>
        <v>64</v>
      </c>
      <c r="AR10" s="64">
        <f>IF(AND(AR8=0,AR9=0),0,MIN(IF(AR8&lt;=0,0,IF(WEEKDAY(AR$6,1)=1,0,IF(WEEKDAY(AR$6,1)=7,0,MIN(8,AR9)*AR8))),MAX(0,40*MAX(1,AR8)-(0))))</f>
        <v>0</v>
      </c>
      <c r="AS10" s="64">
        <f>IF(AND(AS8=0,AS9=0),0,MIN(IF(AS8&lt;=0,0,IF(WEEKDAY(AS$6,1)=1,0,IF(WEEKDAY(AS$6,1)=7,0,MIN(8,AS9)*AS8))),MAX(0,40*MAX(1,AS8)-(AR10))))</f>
        <v>0</v>
      </c>
      <c r="AT10" s="63">
        <f>IF(AND(AT8=8.25,AT9=8),64,MIN(IF(AT8&lt;=0,0,IF(WEEKDAY(AT$6,1)=1,0,IF(WEEKDAY(AT$6,1)=7,0,MIN(8,AT9)*AT8))),MAX(0,40*MAX(1,AT8)-(0))))</f>
        <v>64</v>
      </c>
      <c r="AU10" s="63">
        <f>IF(AND(AU8=8.25,AU9=8),64,MIN(IF(AU8&lt;=0,0,IF(WEEKDAY(AU$6,1)=1,0,IF(WEEKDAY(AU$6,1)=7,0,MIN(8,AU9)*AU8))),MAX(0,40*MAX(1,AU8)-(AT10))))</f>
        <v>64</v>
      </c>
      <c r="AV10" s="63">
        <f>IF(AND(AV8=8.25,AV9=8),64,MIN(IF(AV8&lt;=0,0,IF(WEEKDAY(AV$6,1)=1,0,IF(WEEKDAY(AV$6,1)=7,0,MIN(8,AV9)*AV8))),MAX(0,40*MAX(1,AV8)-(AT10+AU10))))</f>
        <v>64</v>
      </c>
      <c r="AW10" s="63">
        <f>IF(AND(AW8=8.25,AW9=8),64,MIN(IF(AW8&lt;=0,0,IF(WEEKDAY(AW$6,1)=1,0,IF(WEEKDAY(AW$6,1)=7,0,MIN(8,AW9)*AW8))),MAX(0,40*MAX(1,AW8)-(AT10+AU10+AV10))))</f>
        <v>64</v>
      </c>
      <c r="AX10" s="63">
        <f>IF(AND(AX8=8.25,AX9=8),64,MIN(IF(AX8&lt;=0,0,IF(WEEKDAY(AX$6,1)=1,0,IF(WEEKDAY(AX$6,1)=7,0,MIN(8,AX9)*AX8))),MAX(0,40*MAX(1,AX8)-(AT10+AU10+AV10+AW10))))</f>
        <v>64</v>
      </c>
      <c r="AY10" s="64">
        <f>IF(AND(AY8=0,AY9=0),0,MIN(IF(AY8&lt;=0,0,IF(WEEKDAY(AY$6,1)=1,0,IF(WEEKDAY(AY$6,1)=7,0,MIN(8,AY9)*AY8))),MAX(0,40*MAX(1,AY8)-(0))))</f>
        <v>0</v>
      </c>
      <c r="AZ10" s="64">
        <f>IF(AND(AZ8=0,AZ9=0),0,MIN(IF(AZ8&lt;=0,0,IF(WEEKDAY(AZ$6,1)=1,0,IF(WEEKDAY(AZ$6,1)=7,0,MIN(8,AZ9)*AZ8))),MAX(0,40*MAX(1,AZ8)-(AY10))))</f>
        <v>0</v>
      </c>
      <c r="BA10" s="63">
        <f>IF(AND(BA8=8.25,BA9=8),64,MIN(IF(BA8&lt;=0,0,IF(WEEKDAY(BA$6,1)=1,0,IF(WEEKDAY(BA$6,1)=7,0,MIN(8,BA9)*BA8))),MAX(0,40*MAX(1,BA8)-(0))))</f>
        <v>64</v>
      </c>
      <c r="BB10" s="63">
        <f>IF(AND(BB8=8.25,BB9=8),64,MIN(IF(BB8&lt;=0,0,IF(WEEKDAY(BB$6,1)=1,0,IF(WEEKDAY(BB$6,1)=7,0,MIN(8,BB9)*BB8))),MAX(0,40*MAX(1,BB8)-(BA10))))</f>
        <v>64</v>
      </c>
      <c r="BC10" s="63">
        <f>IF(AND(BC8=8.25,BC9=8),64,MIN(IF(BC8&lt;=0,0,IF(WEEKDAY(BC$6,1)=1,0,IF(WEEKDAY(BC$6,1)=7,0,MIN(8,BC9)*BC8))),MAX(0,40*MAX(1,BC8)-(BA10+BB10))))</f>
        <v>64</v>
      </c>
      <c r="BD10" s="63">
        <f>IF(AND(BD8=8.25,BD9=8),64,MIN(IF(BD8&lt;=0,0,IF(WEEKDAY(BD$6,1)=1,0,IF(WEEKDAY(BD$6,1)=7,0,MIN(8,BD9)*BD8))),MAX(0,40*MAX(1,BD8)-(BA10+BB10+BC10))))</f>
        <v>64</v>
      </c>
      <c r="BE10" s="63">
        <f>IF(AND(BE8=8.25,BE9=8),64,MIN(IF(BE8&lt;=0,0,IF(WEEKDAY(BE$6,1)=1,0,IF(WEEKDAY(BE$6,1)=7,0,MIN(8,BE9)*BE8))),MAX(0,40*MAX(1,BE8)-(BA10+BB10+BC10+BD10))))</f>
        <v>64</v>
      </c>
      <c r="BF10" s="64">
        <f>IF(AND(BF8=0,BF9=0),0,MIN(IF(BF8&lt;=0,0,IF(WEEKDAY(BF$6,1)=1,0,IF(WEEKDAY(BF$6,1)=7,0,MIN(8,BF9)*BF8))),MAX(0,40*MAX(1,BF8)-(0))))</f>
        <v>0</v>
      </c>
      <c r="BG10" s="64">
        <f>IF(AND(BG8=0,BG9=0),0,MIN(IF(BG8&lt;=0,0,IF(WEEKDAY(BG$6,1)=1,0,IF(WEEKDAY(BG$6,1)=7,0,MIN(8,BG9)*BG8))),MAX(0,40*MAX(1,BG8)-(BF10))))</f>
        <v>0</v>
      </c>
      <c r="BH10" s="63">
        <f>IF(AND(BH8=4,BH9=13),32,MIN(IF(BH8&lt;=0,0,IF(WEEKDAY(BH$6,1)=1,0,IF(WEEKDAY(BH$6,1)=7,0,MIN(8,BH9)*BH8))),MAX(0,40*MAX(1,BH8)-(0))))</f>
        <v>32</v>
      </c>
      <c r="BI10" s="63">
        <f>IF(AND(BI8=4,BI9=13),32,MIN(IF(BI8&lt;=0,0,IF(WEEKDAY(BI$6,1)=1,0,IF(WEEKDAY(BI$6,1)=7,0,MIN(8,BI9)*BI8))),MAX(0,40*MAX(1,BI8)-(BH10))))</f>
        <v>32</v>
      </c>
      <c r="BJ10" s="63">
        <f>IF(AND(BJ8=4,BJ9=13),32,MIN(IF(BJ8&lt;=0,0,IF(WEEKDAY(BJ$6,1)=1,0,IF(WEEKDAY(BJ$6,1)=7,0,MIN(8,BJ9)*BJ8))),MAX(0,40*MAX(1,BJ8)-(BH10+BI10))))</f>
        <v>32</v>
      </c>
      <c r="BK10" s="63">
        <f>IF(AND(BK8=4,BK9=13),32,MIN(IF(BK8&lt;=0,0,IF(WEEKDAY(BK$6,1)=1,0,IF(WEEKDAY(BK$6,1)=7,0,MIN(8,BK9)*BK8))),MAX(0,40*MAX(1,BK8)-(BH10+BI10+BJ10))))</f>
        <v>32</v>
      </c>
      <c r="BL10" s="63">
        <f>IF(AND(BL8=4,BL9=13),32,MIN(IF(BL8&lt;=0,0,IF(WEEKDAY(BL$6,1)=1,0,IF(WEEKDAY(BL$6,1)=7,0,MIN(8,BL9)*BL8))),MAX(0,40*MAX(1,BL8)-(BH10+BI10+BJ10+BK10))))</f>
        <v>32</v>
      </c>
      <c r="BM10" s="64">
        <f>IF(AND(BM8=4,BM9=13),0,MIN(IF(BM8&lt;=0,0,IF(WEEKDAY(BM$6,1)=1,0,IF(WEEKDAY(BM$6,1)=7,0,MIN(8,BM9)*BM8))),MAX(0,40*MAX(1,BM8)-(BH10+BI10+BJ10+BK10+BL10))))</f>
        <v>0</v>
      </c>
      <c r="BN10" s="64">
        <f>IF(AND(BN8=4,BN9=13),0,MIN(IF(BN8&lt;=0,0,IF(WEEKDAY(BN$6,1)=1,0,IF(WEEKDAY(BN$6,1)=7,0,MIN(8,BN9)*BN8))),MAX(0,40*MAX(1,BN8)-(BH10+BI10+BJ10+BK10+BL10+BM10))))</f>
        <v>0</v>
      </c>
      <c r="BO10" s="63">
        <f>IF(AND(BO8=4,BO9=13),32,MIN(IF(BO8&lt;=0,0,IF(WEEKDAY(BO$6,1)=1,0,IF(WEEKDAY(BO$6,1)=7,0,MIN(8,BO9)*BO8))),MAX(0,40*MAX(1,BO8)-(0))))</f>
        <v>32</v>
      </c>
      <c r="BP10" s="63">
        <f>IF(AND(BP8=4,BP9=13),32,MIN(IF(BP8&lt;=0,0,IF(WEEKDAY(BP$6,1)=1,0,IF(WEEKDAY(BP$6,1)=7,0,MIN(8,BP9)*BP8))),MAX(0,40*MAX(1,BP8)-(BO10))))</f>
        <v>32</v>
      </c>
      <c r="BQ10" s="63">
        <f>IF(AND(BQ8=4,BQ9=13),32,MIN(IF(BQ8&lt;=0,0,IF(WEEKDAY(BQ$6,1)=1,0,IF(WEEKDAY(BQ$6,1)=7,0,MIN(8,BQ9)*BQ8))),MAX(0,40*MAX(1,BQ8)-(BO10+BP10))))</f>
        <v>32</v>
      </c>
      <c r="BR10" s="63">
        <f>IF(AND(BR8=4,BR9=13),32,MIN(IF(BR8&lt;=0,0,IF(WEEKDAY(BR$6,1)=1,0,IF(WEEKDAY(BR$6,1)=7,0,MIN(8,BR9)*BR8))),MAX(0,40*MAX(1,BR8)-(0))))</f>
        <v>32</v>
      </c>
      <c r="BS10" s="63">
        <f>IF(AND(BS8=4,BS9=13),32,MIN(IF(BS8&lt;=0,0,IF(WEEKDAY(BS$6,1)=1,0,IF(WEEKDAY(BS$6,1)=7,0,MIN(8,BS9)*BS8))),MAX(0,40*MAX(1,BS8)-(BR10))))</f>
        <v>32</v>
      </c>
      <c r="BT10" s="64">
        <f>IF(AND(BT8=4,BT9=13),0,MIN(IF(BT8&lt;=0,0,IF(WEEKDAY(BT$6,1)=1,0,IF(WEEKDAY(BT$6,1)=7,0,MIN(8,BT9)*BT8))),MAX(0,40*MAX(1,BT8)-(BR10+BS10))))</f>
        <v>0</v>
      </c>
      <c r="BU10" s="64">
        <f>IF(AND(BU8=4,BU9=13),0,MIN(IF(BU8&lt;=0,0,IF(WEEKDAY(BU$6,1)=1,0,IF(WEEKDAY(BU$6,1)=7,0,MIN(8,BU9)*BU8))),MAX(0,40*MAX(1,BU8)-(BR10+BS10+BT10))))</f>
        <v>0</v>
      </c>
      <c r="BV10" s="63">
        <f>IF(AND(BV8=4,BV9=13),32,MIN(IF(BV8&lt;=0,0,IF(WEEKDAY(BV$6,1)=1,0,IF(WEEKDAY(BV$6,1)=7,0,MIN(8,BV9)*BV8))),MAX(0,40*MAX(1,BV8)-(0))))</f>
        <v>32</v>
      </c>
      <c r="BW10" s="63">
        <f>IF(AND(BW8=4,BW9=13),32,MIN(IF(BW8&lt;=0,0,IF(WEEKDAY(BW$6,1)=1,0,IF(WEEKDAY(BW$6,1)=7,0,MIN(8,BW9)*BW8))),MAX(0,40*MAX(1,BW8)-(BV10))))</f>
        <v>32</v>
      </c>
      <c r="BX10" s="63">
        <f>IF(AND(BX8=4,BX9=13),32,MIN(IF(BX8&lt;=0,0,IF(WEEKDAY(BX$6,1)=1,0,IF(WEEKDAY(BX$6,1)=7,0,MIN(8,BX9)*BX8))),MAX(0,40*MAX(1,BX8)-(BV10+BW10))))</f>
        <v>32</v>
      </c>
      <c r="BY10" s="63">
        <f>IF(AND(BY8=4,BY9=13),32,MIN(IF(BY8&lt;=0,0,IF(WEEKDAY(BY$6,1)=1,0,IF(WEEKDAY(BY$6,1)=7,0,MIN(8,BY9)*BY8))),MAX(0,40*MAX(1,BY8)-(BV10+BW10+BX10))))</f>
        <v>32</v>
      </c>
      <c r="BZ10" s="63">
        <f>IF(AND(BZ8=4,BZ9=13),32,MIN(IF(BZ8&lt;=0,0,IF(WEEKDAY(BZ$6,1)=1,0,IF(WEEKDAY(BZ$6,1)=7,0,MIN(8,BZ9)*BZ8))),MAX(0,40*MAX(1,BZ8)-(BV10+BW10+BX10+BY10))))</f>
        <v>32</v>
      </c>
      <c r="CA10" s="64">
        <f>IF(AND(CA8=4,CA9=13),0,MIN(IF(CA8&lt;=0,0,IF(WEEKDAY(CA$6,1)=1,0,IF(WEEKDAY(CA$6,1)=7,0,MIN(8,CA9)*CA8))),MAX(0,40*MAX(1,CA8)-(BV10+BW10+BX10+BY10+BZ10))))</f>
        <v>0</v>
      </c>
      <c r="CB10" s="64">
        <f>IF(AND(CB8=4,CB9=13),0,MIN(IF(CB8&lt;=0,0,IF(WEEKDAY(CB$6,1)=1,0,IF(WEEKDAY(CB$6,1)=7,0,MIN(8,CB9)*CB8))),MAX(0,40*MAX(1,CB8)-(BV10+BW10+BX10+BY10+BZ10+CA10))))</f>
        <v>0</v>
      </c>
      <c r="CC10" s="63">
        <f>IF(AND(CC8=4,CC9=13),32,MIN(IF(CC8&lt;=0,0,IF(WEEKDAY(CC$6,1)=1,0,IF(WEEKDAY(CC$6,1)=7,0,MIN(8,CC9)*CC8))),MAX(0,40*MAX(1,CC8)-(0))))</f>
        <v>32</v>
      </c>
      <c r="CD10" s="63">
        <f>IF(AND(CD8=4,CD9=13),32,MIN(IF(CD8&lt;=0,0,IF(WEEKDAY(CD$6,1)=1,0,IF(WEEKDAY(CD$6,1)=7,0,MIN(8,CD9)*CD8))),MAX(0,40*MAX(1,CD8)-(CC10))))</f>
        <v>32</v>
      </c>
      <c r="CE10" s="63">
        <f>IF(AND(CE8=4,CE9=13),32,MIN(IF(CE8&lt;=0,0,IF(WEEKDAY(CE$6,1)=1,0,IF(WEEKDAY(CE$6,1)=7,0,MIN(8,CE9)*CE8))),MAX(0,40*MAX(1,CE8)-(CC10+CD10))))</f>
        <v>32</v>
      </c>
      <c r="CF10" s="63">
        <f>IF(AND(CF8=4,CF9=13),32,MIN(IF(CF8&lt;=0,0,IF(WEEKDAY(CF$6,1)=1,0,IF(WEEKDAY(CF$6,1)=7,0,MIN(8,CF9)*CF8))),MAX(0,40*MAX(1,CF8)-(CC10+CD10+CE10))))</f>
        <v>32</v>
      </c>
      <c r="CG10" s="63">
        <f>IF(AND(CG8=4,CG9=13),32,MIN(IF(CG8&lt;=0,0,IF(WEEKDAY(CG$6,1)=1,0,IF(WEEKDAY(CG$6,1)=7,0,MIN(8,CG9)*CG8))),MAX(0,40*MAX(1,CG8)-(CC10+CD10+CE10+CF10))))</f>
        <v>32</v>
      </c>
      <c r="CH10" s="64">
        <f>IF(AND(CH8=4,CH9=13),0,MIN(IF(CH8&lt;=0,0,IF(WEEKDAY(CH$6,1)=1,0,IF(WEEKDAY(CH$6,1)=7,0,MIN(8,CH9)*CH8))),MAX(0,40*MAX(1,CH8)-(CC10+CD10+CE10+CF10+CG10))))</f>
        <v>0</v>
      </c>
      <c r="CI10" s="64">
        <f>IF(AND(CI8=4,CI9=13),0,MIN(IF(CI8&lt;=0,0,IF(WEEKDAY(CI$6,1)=1,0,IF(WEEKDAY(CI$6,1)=7,0,MIN(8,CI9)*CI8))),MAX(0,40*MAX(1,CI8)-(CC10+CD10+CE10+CF10+CG10+CH10))))</f>
        <v>0</v>
      </c>
      <c r="CJ10" s="63">
        <f>IF(AND(CJ8=4,CJ9=13),32,MIN(IF(CJ8&lt;=0,0,IF(WEEKDAY(CJ$6,1)=1,0,IF(WEEKDAY(CJ$6,1)=7,0,MIN(8,CJ9)*CJ8))),MAX(0,40*MAX(1,CJ8)-(0))))</f>
        <v>32</v>
      </c>
      <c r="CK10" s="63">
        <f>IF(AND(CK8=4,CK9=13),32,MIN(IF(CK8&lt;=0,0,IF(WEEKDAY(CK$6,1)=1,0,IF(WEEKDAY(CK$6,1)=7,0,MIN(8,CK9)*CK8))),MAX(0,40*MAX(1,CK8)-(CJ10))))</f>
        <v>32</v>
      </c>
      <c r="CL10" s="63">
        <f>IF(AND(CL8=4,CL9=13),32,MIN(IF(CL8&lt;=0,0,IF(WEEKDAY(CL$6,1)=1,0,IF(WEEKDAY(CL$6,1)=7,0,MIN(8,CL9)*CL8))),MAX(0,40*MAX(1,CL8)-(CJ10+CK10))))</f>
        <v>32</v>
      </c>
      <c r="CM10" s="63">
        <f>IF(AND(CM8=4,CM9=13),32,MIN(IF(CM8&lt;=0,0,IF(WEEKDAY(CM$6,1)=1,0,IF(WEEKDAY(CM$6,1)=7,0,MIN(8,CM9)*CM8))),MAX(0,40*MAX(1,CM8)-(CJ10+CK10+CL10))))</f>
        <v>32</v>
      </c>
      <c r="CN10" s="63">
        <f>IF(AND(CN8=4,CN9=13),32,MIN(IF(CN8&lt;=0,0,IF(WEEKDAY(CN$6,1)=1,0,IF(WEEKDAY(CN$6,1)=7,0,MIN(8,CN9)*CN8))),MAX(0,40*MAX(1,CN8)-(CJ10+CK10+CL10+CM10))))</f>
        <v>32</v>
      </c>
      <c r="CO10" s="64">
        <f>IF(AND(CO8=4,CO9=13),0,MIN(IF(CO8&lt;=0,0,IF(WEEKDAY(CO$6,1)=1,0,IF(WEEKDAY(CO$6,1)=7,0,MIN(8,CO9)*CO8))),MAX(0,40*MAX(1,CO8)-(CJ10+CK10+CL10+CM10+CN10))))</f>
        <v>0</v>
      </c>
      <c r="CP10" s="64">
        <f>IF(AND(CP8=4,CP9=13),0,MIN(IF(CP8&lt;=0,0,IF(WEEKDAY(CP$6,1)=1,0,IF(WEEKDAY(CP$6,1)=7,0,MIN(8,CP9)*CP8))),MAX(0,40*MAX(1,CP8)-(CJ10+CK10+CL10+CM10+CN10+CO10))))</f>
        <v>0</v>
      </c>
      <c r="CQ10" s="63">
        <f>IF(AND(CQ8=4,CQ9=13),32,MIN(IF(CQ8&lt;=0,0,IF(WEEKDAY(CQ$6,1)=1,0,IF(WEEKDAY(CQ$6,1)=7,0,MIN(8,CQ9)*CQ8))),MAX(0,40*MAX(1,CQ8)-(0))))</f>
        <v>32</v>
      </c>
      <c r="CR10" s="63">
        <f>IF(AND(CR8=4,CR9=13),32,MIN(IF(CR8&lt;=0,0,IF(WEEKDAY(CR$6,1)=1,0,IF(WEEKDAY(CR$6,1)=7,0,MIN(8,CR9)*CR8))),MAX(0,40*MAX(1,CR8)-(CQ10))))</f>
        <v>32</v>
      </c>
      <c r="CS10" s="63">
        <f>IF(AND(CS8=4,CS9=13),32,MIN(IF(CS8&lt;=0,0,IF(WEEKDAY(CS$6,1)=1,0,IF(WEEKDAY(CS$6,1)=7,0,MIN(8,CS9)*CS8))),MAX(0,40*MAX(1,CS8)-(CQ10+CR10))))</f>
        <v>32</v>
      </c>
      <c r="CT10" s="63">
        <f>IF(AND(CT8=4,CT9=13),32,MIN(IF(CT8&lt;=0,0,IF(WEEKDAY(CT$6,1)=1,0,IF(WEEKDAY(CT$6,1)=7,0,MIN(8,CT9)*CT8))),MAX(0,40*MAX(1,CT8)-(CQ10+CR10+CS10))))</f>
        <v>32</v>
      </c>
      <c r="CU10" s="63">
        <f>IF(AND(CU8=4,CU9=13),32,MIN(IF(CU8&lt;=0,0,IF(WEEKDAY(CU$6,1)=1,0,IF(WEEKDAY(CU$6,1)=7,0,MIN(8,CU9)*CU8))),MAX(0,40*MAX(1,CU8)-(CQ10+CR10+CS10+CT10))))</f>
        <v>32</v>
      </c>
      <c r="CV10" s="64">
        <f>IF(AND(CV8=4,CV9=13),0,MIN(IF(CV8&lt;=0,0,IF(WEEKDAY(CV$6,1)=1,0,IF(WEEKDAY(CV$6,1)=7,0,MIN(8,CV9)*CV8))),MAX(0,40*MAX(1,CV8)-(CQ10+CR10+CS10+CT10+CU10))))</f>
        <v>0</v>
      </c>
      <c r="CW10" s="64">
        <f>IF(AND(CW8=4,CW9=13),0,MIN(IF(CW8&lt;=0,0,IF(WEEKDAY(CW$6,1)=1,0,IF(WEEKDAY(CW$6,1)=7,0,MIN(8,CW9)*CW8))),MAX(0,40*MAX(1,CW8)-(CQ10+CR10+CS10+CT10+CU10+CV10))))</f>
        <v>0</v>
      </c>
      <c r="CX10" s="63">
        <f>IF(AND(CX8=4,CX9=13),32,MIN(IF(CX8&lt;=0,0,IF(WEEKDAY(CX$6,1)=1,0,IF(WEEKDAY(CX$6,1)=7,0,MIN(8,CX9)*CX8))),MAX(0,40*MAX(1,CX8)-(0))))</f>
        <v>32</v>
      </c>
      <c r="CY10" s="63">
        <f>IF(AND(CY8=4,CY9=13),32,MIN(IF(CY8&lt;=0,0,IF(WEEKDAY(CY$6,1)=1,0,IF(WEEKDAY(CY$6,1)=7,0,MIN(8,CY9)*CY8))),MAX(0,40*MAX(1,CY8)-(CX10))))</f>
        <v>32</v>
      </c>
      <c r="CZ10" s="63">
        <f>IF(AND(CZ8=4,CZ9=13),32,MIN(IF(CZ8&lt;=0,0,IF(WEEKDAY(CZ$6,1)=1,0,IF(WEEKDAY(CZ$6,1)=7,0,MIN(8,CZ9)*CZ8))),MAX(0,40*MAX(1,CZ8)-(CX10+CY10))))</f>
        <v>32</v>
      </c>
      <c r="DA10" s="63">
        <f>IF(AND(DA8=4,DA9=13),32,MIN(IF(DA8&lt;=0,0,IF(WEEKDAY(DA$6,1)=1,0,IF(WEEKDAY(DA$6,1)=7,0,MIN(8,DA9)*DA8))),MAX(0,40*MAX(1,DA8)-(CX10+CY10+CZ10))))</f>
        <v>32</v>
      </c>
      <c r="DB10" s="63">
        <f>IF(AND(DB8=4,DB9=13),32,MIN(IF(DB8&lt;=0,0,IF(WEEKDAY(DB$6,1)=1,0,IF(WEEKDAY(DB$6,1)=7,0,MIN(8,DB9)*DB8))),MAX(0,40*MAX(1,DB8)-(CX10+CY10+CZ10+DA10))))</f>
        <v>32</v>
      </c>
      <c r="DC10" s="64">
        <f>IF(AND(DC8=4,DC9=13),0,MIN(IF(DC8&lt;=0,0,IF(WEEKDAY(DC$6,1)=1,0,IF(WEEKDAY(DC$6,1)=7,0,MIN(8,DC9)*DC8))),MAX(0,40*MAX(1,DC8)-(CX10+CY10+CZ10+DA10+DB10))))</f>
        <v>0</v>
      </c>
      <c r="DD10" s="64">
        <f>IF(AND(DD8=2,DD9=13),0,MIN(IF(DD8&lt;=0,0,IF(WEEKDAY(DD$6,1)=1,0,IF(WEEKDAY(DD$6,1)=7,0,MIN(8,DD9)*DD8))),MAX(0,40*MAX(1,DD8)-(0))))</f>
        <v>0</v>
      </c>
      <c r="DE10" s="63">
        <f>IF(AND(DE8=2,DE9=13),16,MIN(IF(DE8&lt;=0,0,IF(WEEKDAY(DE$6,1)=1,0,IF(WEEKDAY(DE$6,1)=7,0,MIN(8,DE9)*DE8))),MAX(0,40*MAX(1,DE8)-(0))))</f>
        <v>16</v>
      </c>
      <c r="DF10" s="63">
        <f>IF(AND(DF8=2,DF9=13),16,MIN(IF(DF8&lt;=0,0,IF(WEEKDAY(DF$6,1)=1,0,IF(WEEKDAY(DF$6,1)=7,0,MIN(8,DF9)*DF8))),MAX(0,40*MAX(1,DF8)-(DE10))))</f>
        <v>16</v>
      </c>
      <c r="DG10" s="63">
        <f>IF(AND(DG8=2,DG9=13),16,MIN(IF(DG8&lt;=0,0,IF(WEEKDAY(DG$6,1)=1,0,IF(WEEKDAY(DG$6,1)=7,0,MIN(8,DG9)*DG8))),MAX(0,40*MAX(1,DG8)-(DE10+DF10))))</f>
        <v>16</v>
      </c>
      <c r="DH10" s="63">
        <f>IF(AND(DH8=2,DH9=13),16,MIN(IF(DH8&lt;=0,0,IF(WEEKDAY(DH$6,1)=1,0,IF(WEEKDAY(DH$6,1)=7,0,MIN(8,DH9)*DH8))),MAX(0,40*MAX(1,DH8)-(DE10+DF10+DG10))))</f>
        <v>16</v>
      </c>
      <c r="DI10" s="63">
        <f>IF(AND(DI8=2,DI9=13),16,MIN(IF(DI8&lt;=0,0,IF(WEEKDAY(DI$6,1)=1,0,IF(WEEKDAY(DI$6,1)=7,0,MIN(8,DI9)*DI8))),MAX(0,40*MAX(1,DI8)-(DE10+DF10+DG10+DH10))))</f>
        <v>16</v>
      </c>
      <c r="DJ10" s="64">
        <f>IF(AND(DJ8=2,DJ9=13),0,MIN(IF(DJ8&lt;=0,0,IF(WEEKDAY(DJ$6,1)=1,0,IF(WEEKDAY(DJ$6,1)=7,0,MIN(8,DJ9)*DJ8))),MAX(0,40*MAX(1,DJ8)-(DE10+DF10+DG10+DH10+DI10))))</f>
        <v>0</v>
      </c>
      <c r="DK10" s="64">
        <f>IF(AND(DK8=2,DK9=13),0,MIN(IF(DK8&lt;=0,0,IF(WEEKDAY(DK$6,1)=1,0,IF(WEEKDAY(DK$6,1)=7,0,MIN(8,DK9)*DK8))),MAX(0,40*MAX(1,DK8)-(DE10+DF10+DG10+DH10+DI10+DJ10))))</f>
        <v>0</v>
      </c>
      <c r="DL10" s="63">
        <f>IF(AND(DL8=2,DL9=13),16,MIN(IF(DL8&lt;=0,0,IF(WEEKDAY(DL$6,1)=1,0,IF(WEEKDAY(DL$6,1)=7,0,MIN(8,DL9)*DL8))),MAX(0,40*MAX(1,DL8)-(0))))</f>
        <v>16</v>
      </c>
      <c r="DM10" s="63">
        <f>IF(AND(DM8=2,DM9=13),16,MIN(IF(DM8&lt;=0,0,IF(WEEKDAY(DM$6,1)=1,0,IF(WEEKDAY(DM$6,1)=7,0,MIN(8,DM9)*DM8))),MAX(0,40*MAX(1,DM8)-(DL10))))</f>
        <v>16</v>
      </c>
      <c r="DN10" s="63">
        <f>IF(AND(DN8=2,DN9=13),16,MIN(IF(DN8&lt;=0,0,IF(WEEKDAY(DN$6,1)=1,0,IF(WEEKDAY(DN$6,1)=7,0,MIN(8,DN9)*DN8))),MAX(0,40*MAX(1,DN8)-(DL10+DM10))))</f>
        <v>16</v>
      </c>
      <c r="DO10" s="63">
        <f>IF(AND(DO8=2,DO9=13),16,MIN(IF(DO8&lt;=0,0,IF(WEEKDAY(DO$6,1)=1,0,IF(WEEKDAY(DO$6,1)=7,0,MIN(8,DO9)*DO8))),MAX(0,40*MAX(1,DO8)-(DL10+DM10+DN10))))</f>
        <v>16</v>
      </c>
      <c r="DP10" s="63">
        <f>IF(AND(DP8=2,DP9=13),16,MIN(IF(DP8&lt;=0,0,IF(WEEKDAY(DP$6,1)=1,0,IF(WEEKDAY(DP$6,1)=7,0,MIN(8,DP9)*DP8))),MAX(0,40*MAX(1,DP8)-(DL10+DM10+DN10+DO10))))</f>
        <v>16</v>
      </c>
      <c r="DQ10" s="64">
        <f>IF(AND(DQ8=2,DQ9=13),0,MIN(IF(DQ8&lt;=0,0,IF(WEEKDAY(DQ$6,1)=1,0,IF(WEEKDAY(DQ$6,1)=7,0,MIN(8,DQ9)*DQ8))),MAX(0,40*MAX(1,DQ8)-(DL10+DM10+DN10+DO10+DP10))))</f>
        <v>0</v>
      </c>
      <c r="DR10" s="64">
        <f>IF(AND(DR8=2,DR9=13),0,MIN(IF(DR8&lt;=0,0,IF(WEEKDAY(DR$6,1)=1,0,IF(WEEKDAY(DR$6,1)=7,0,MIN(8,DR9)*DR8))),MAX(0,40*MAX(1,DR8)-(DL10+DM10+DN10+DO10+DP10+DQ10))))</f>
        <v>0</v>
      </c>
      <c r="DS10" s="63">
        <f>IF(AND(DS8=2,DS9=13),16,MIN(IF(DS8&lt;=0,0,IF(WEEKDAY(DS$6,1)=1,0,IF(WEEKDAY(DS$6,1)=7,0,MIN(8,DS9)*DS8))),MAX(0,40*MAX(1,DS8)-(0))))</f>
        <v>16</v>
      </c>
      <c r="DT10" s="63">
        <f>IF(AND(DT8=2,DT9=8),16,MIN(IF(DT8&lt;=0,0,IF(WEEKDAY(DT$6,1)=1,0,IF(WEEKDAY(DT$6,1)=7,0,MIN(8,DT9)*DT8))),MAX(0,40*MAX(1,DT8)-(0))))</f>
        <v>16</v>
      </c>
      <c r="DU10" s="63">
        <f>IF(AND(DU8=2,DU9=8),16,MIN(IF(DU8&lt;=0,0,IF(WEEKDAY(DU$6,1)=1,0,IF(WEEKDAY(DU$6,1)=7,0,MIN(8,DU9)*DU8))),MAX(0,40*MAX(1,DU8)-(DT10))))</f>
        <v>16</v>
      </c>
      <c r="DV10" s="63">
        <f>IF(AND(DV8=2,DV9=8),16,MIN(IF(DV8&lt;=0,0,IF(WEEKDAY(DV$6,1)=1,0,IF(WEEKDAY(DV$6,1)=7,0,MIN(8,DV9)*DV8))),MAX(0,40*MAX(1,DV8)-(DT10+DU10))))</f>
        <v>16</v>
      </c>
      <c r="DW10" s="63">
        <f>IF(AND(DW8=2,DW9=8),16,MIN(IF(DW8&lt;=0,0,IF(WEEKDAY(DW$6,1)=1,0,IF(WEEKDAY(DW$6,1)=7,0,MIN(8,DW9)*DW8))),MAX(0,40*MAX(1,DW8)-(DT10+DU10+DV10))))</f>
        <v>16</v>
      </c>
      <c r="DX10" s="64">
        <f>IF(AND(DX8=0,DX9=0),0,MIN(IF(DX8&lt;=0,0,IF(WEEKDAY(DX$6,1)=1,0,IF(WEEKDAY(DX$6,1)=7,0,MIN(8,DX9)*DX8))),MAX(0,40*MAX(1,DX8)-(0))))</f>
        <v>0</v>
      </c>
      <c r="DY10" s="64">
        <f>IF(AND(DY8=0,DY9=0),0,MIN(IF(DY8&lt;=0,0,IF(WEEKDAY(DY$6,1)=1,0,IF(WEEKDAY(DY$6,1)=7,0,MIN(8,DY9)*DY8))),MAX(0,40*MAX(1,DY8)-(DX10))))</f>
        <v>0</v>
      </c>
      <c r="DZ10" s="63">
        <f>IF(AND(DZ8=2,DZ9=8),16,MIN(IF(DZ8&lt;=0,0,IF(WEEKDAY(DZ$6,1)=1,0,IF(WEEKDAY(DZ$6,1)=7,0,MIN(8,DZ9)*DZ8))),MAX(0,40*MAX(1,DZ8)-(0))))</f>
        <v>16</v>
      </c>
      <c r="EA10" s="63">
        <f>IF(AND(EA8=2,EA9=8),16,MIN(IF(EA8&lt;=0,0,IF(WEEKDAY(EA$6,1)=1,0,IF(WEEKDAY(EA$6,1)=7,0,MIN(8,EA9)*EA8))),MAX(0,40*MAX(1,EA8)-(DZ10))))</f>
        <v>16</v>
      </c>
      <c r="EB10" s="63">
        <f>IF(AND(EB8=2,EB9=8),16,MIN(IF(EB8&lt;=0,0,IF(WEEKDAY(EB$6,1)=1,0,IF(WEEKDAY(EB$6,1)=7,0,MIN(8,EB9)*EB8))),MAX(0,40*MAX(1,EB8)-(DZ10+EA10))))</f>
        <v>16</v>
      </c>
      <c r="EC10" s="63">
        <f>IF(AND(EC8=2,EC9=8),16,MIN(IF(EC8&lt;=0,0,IF(WEEKDAY(EC$6,1)=1,0,IF(WEEKDAY(EC$6,1)=7,0,MIN(8,EC9)*EC8))),MAX(0,40*MAX(1,EC8)-(DZ10+EA10+EB10))))</f>
        <v>16</v>
      </c>
      <c r="ED10" s="63">
        <f>IF(AND(ED8=2,ED9=8),16,MIN(IF(ED8&lt;=0,0,IF(WEEKDAY(ED$6,1)=1,0,IF(WEEKDAY(ED$6,1)=7,0,MIN(8,ED9)*ED8))),MAX(0,40*MAX(1,ED8)-(DZ10+EA10+EB10+EC10))))</f>
        <v>16</v>
      </c>
      <c r="EE10" s="64">
        <f>IF(AND(EE8=0,EE9=0),0,MIN(IF(EE8&lt;=0,0,IF(WEEKDAY(EE$6,1)=1,0,IF(WEEKDAY(EE$6,1)=7,0,MIN(8,EE9)*EE8))),MAX(0,40*MAX(1,EE8)-(0))))</f>
        <v>0</v>
      </c>
      <c r="EF10" s="64">
        <f>IF(AND(EF8=0,EF9=0),0,MIN(IF(EF8&lt;=0,0,IF(WEEKDAY(EF$6,1)=1,0,IF(WEEKDAY(EF$6,1)=7,0,MIN(8,EF9)*EF8))),MAX(0,40*MAX(1,EF8)-(EE10))))</f>
        <v>0</v>
      </c>
      <c r="EG10" s="63">
        <f>IF(AND(EG8=2,EG9=8),16,MIN(IF(EG8&lt;=0,0,IF(WEEKDAY(EG$6,1)=1,0,IF(WEEKDAY(EG$6,1)=7,0,MIN(8,EG9)*EG8))),MAX(0,40*MAX(1,EG8)-(0))))</f>
        <v>16</v>
      </c>
      <c r="EH10" s="63">
        <f>IF(AND(EH8=2,EH9=8),16,MIN(IF(EH8&lt;=0,0,IF(WEEKDAY(EH$6,1)=1,0,IF(WEEKDAY(EH$6,1)=7,0,MIN(8,EH9)*EH8))),MAX(0,40*MAX(1,EH8)-(EG10))))</f>
        <v>16</v>
      </c>
      <c r="EI10" s="63">
        <f>IF(AND(EI8=2,EI9=8),16,MIN(IF(EI8&lt;=0,0,IF(WEEKDAY(EI$6,1)=1,0,IF(WEEKDAY(EI$6,1)=7,0,MIN(8,EI9)*EI8))),MAX(0,40*MAX(1,EI8)-(EG10+EH10))))</f>
        <v>16</v>
      </c>
      <c r="EJ10" s="63">
        <f>IF(AND(EJ8=2,EJ9=8),16,MIN(IF(EJ8&lt;=0,0,IF(WEEKDAY(EJ$6,1)=1,0,IF(WEEKDAY(EJ$6,1)=7,0,MIN(8,EJ9)*EJ8))),MAX(0,40*MAX(1,EJ8)-(EG10+EH10+EI10))))</f>
        <v>16</v>
      </c>
      <c r="EK10" s="65">
        <f>IF(AND(EK8=2,EK9=8),16,MIN(IF(EK8&lt;=0,0,IF(WEEKDAY(EK$6,1)=1,0,IF(WEEKDAY(EK$6,1)=7,0,MIN(8,EK9)*EK8))),MAX(0,40*MAX(1,EK8)-(EG10+EH10+EI10+EJ10))))</f>
        <v>16</v>
      </c>
      <c r="OU10" s="28" t="s">
        <v>106</v>
      </c>
    </row>
    <row r="11" ht="16" customHeight="1" spans="1:411" x14ac:dyDescent="0.25">
      <c r="A11" s="45"/>
      <c r="B11" s="46"/>
      <c r="C11" s="66">
        <f>G7*N(D11)</f>
        <v>205200.3</v>
      </c>
      <c r="D11" s="66">
        <f>IF(TRIM(B7)="","No rate",IFERROR(INDEX('Rate Tables'!D$7:D$158,MATCH(B7,'Rate Tables'!A$7:A$158,0)),"No rate"))</f>
        <v>159.07</v>
      </c>
      <c r="E11" s="55" t="s">
        <v>63</v>
      </c>
      <c r="F11" s="49"/>
      <c r="G11" s="49"/>
      <c r="H11" s="49"/>
      <c r="I11" s="49"/>
      <c r="J11" s="50"/>
      <c r="K11" s="62">
        <f>IF(AND(K8=0,K9=0),0,IF(K8&lt;=0,0,IF(WEEKDAY(K$6,1)=1,0,IF(WEEKDAY(K$6,1)=7,K8*K9,MAX(0,K9-8)*K8)))+((IF(K8&lt;=0,0,IF(WEEKDAY(K$6,1)=1,0,IF(WEEKDAY(K$6,1)=7,0,MIN(8,K9)*K8))))-MIN(IF(K8&lt;=0,0,IF(WEEKDAY(K$6,1)=1,0,IF(WEEKDAY(K$6,1)=7,0,MIN(8,K9)*K8))),MAX(0,40*MAX(1,K8)-(0)))))</f>
        <v>0</v>
      </c>
      <c r="L11" s="63">
        <f>IF(AND(L8=0,L9=0),0,IF(L8&lt;=0,0,IF(WEEKDAY(L$6,1)=1,0,IF(WEEKDAY(L$6,1)=7,L8*L9,MAX(0,L9-8)*L8)))+((IF(L8&lt;=0,0,IF(WEEKDAY(L$6,1)=1,0,IF(WEEKDAY(L$6,1)=7,0,MIN(8,L9)*L8))))-MIN(IF(L8&lt;=0,0,IF(WEEKDAY(L$6,1)=1,0,IF(WEEKDAY(L$6,1)=7,0,MIN(8,L9)*L8))),MAX(0,40*MAX(1,L8)-(K10)))))</f>
        <v>0</v>
      </c>
      <c r="M11" s="63">
        <f>IF(AND(M8=0,M9=0),0,IF(M8&lt;=0,0,IF(WEEKDAY(M$6,1)=1,0,IF(WEEKDAY(M$6,1)=7,M8*M9,MAX(0,M9-8)*M8)))+((IF(M8&lt;=0,0,IF(WEEKDAY(M$6,1)=1,0,IF(WEEKDAY(M$6,1)=7,0,MIN(8,M9)*M8))))-MIN(IF(M8&lt;=0,0,IF(WEEKDAY(M$6,1)=1,0,IF(WEEKDAY(M$6,1)=7,0,MIN(8,M9)*M8))),MAX(0,40*MAX(1,M8)-(K10+L10)))))</f>
        <v>0</v>
      </c>
      <c r="N11" s="63">
        <f>IF(AND(N8=2,N9=9),2,IF(N8&lt;=0,0,IF(WEEKDAY(N$6,1)=1,0,IF(WEEKDAY(N$6,1)=7,N8*N9,MAX(0,N9-8)*N8)))+((IF(N8&lt;=0,0,IF(WEEKDAY(N$6,1)=1,0,IF(WEEKDAY(N$6,1)=7,0,MIN(8,N9)*N8))))-MIN(IF(N8&lt;=0,0,IF(WEEKDAY(N$6,1)=1,0,IF(WEEKDAY(N$6,1)=7,0,MIN(8,N9)*N8))),MAX(0,40*MAX(1,N8)-(0)))))</f>
        <v>2</v>
      </c>
      <c r="O11" s="63">
        <f>IF(AND(O8=2,O9=9),2,IF(O8&lt;=0,0,IF(WEEKDAY(O$6,1)=1,0,IF(WEEKDAY(O$6,1)=7,O8*O9,MAX(0,O9-8)*O8)))+((IF(O8&lt;=0,0,IF(WEEKDAY(O$6,1)=1,0,IF(WEEKDAY(O$6,1)=7,0,MIN(8,O9)*O8))))-MIN(IF(O8&lt;=0,0,IF(WEEKDAY(O$6,1)=1,0,IF(WEEKDAY(O$6,1)=7,0,MIN(8,O9)*O8))),MAX(0,40*MAX(1,O8)-(N10)))))</f>
        <v>2</v>
      </c>
      <c r="P11" s="64">
        <f>IF(AND(P8=0,P9=0),0,IF(P8&lt;=0,0,IF(WEEKDAY(P$6,1)=1,0,IF(WEEKDAY(P$6,1)=7,P8*P9,MAX(0,P9-8)*P8)))+((IF(P8&lt;=0,0,IF(WEEKDAY(P$6,1)=1,0,IF(WEEKDAY(P$6,1)=7,0,MIN(8,P9)*P8))))-MIN(IF(P8&lt;=0,0,IF(WEEKDAY(P$6,1)=1,0,IF(WEEKDAY(P$6,1)=7,0,MIN(8,P9)*P8))),MAX(0,40*MAX(1,P8)-(K10+L10+M10)))))</f>
        <v>0</v>
      </c>
      <c r="Q11" s="64">
        <f>IF(AND(Q8=0,Q9=0),0,IF(Q8&lt;=0,0,IF(WEEKDAY(Q$6,1)=1,0,IF(WEEKDAY(Q$6,1)=7,Q8*Q9,MAX(0,Q9-8)*Q8)))+((IF(Q8&lt;=0,0,IF(WEEKDAY(Q$6,1)=1,0,IF(WEEKDAY(Q$6,1)=7,0,MIN(8,Q9)*Q8))))-MIN(IF(Q8&lt;=0,0,IF(WEEKDAY(Q$6,1)=1,0,IF(WEEKDAY(Q$6,1)=7,0,MIN(8,Q9)*Q8))),MAX(0,40*MAX(1,Q8)-(K10+L10+M10+P10)))))</f>
        <v>0</v>
      </c>
      <c r="R11" s="63">
        <f>IF(AND(R8=2,R9=9),2,IF(R8&lt;=0,0,IF(WEEKDAY(R$6,1)=1,0,IF(WEEKDAY(R$6,1)=7,R8*R9,MAX(0,R9-8)*R8)))+((IF(R8&lt;=0,0,IF(WEEKDAY(R$6,1)=1,0,IF(WEEKDAY(R$6,1)=7,0,MIN(8,R9)*R8))))-MIN(IF(R8&lt;=0,0,IF(WEEKDAY(R$6,1)=1,0,IF(WEEKDAY(R$6,1)=7,0,MIN(8,R9)*R8))),MAX(0,40*MAX(1,R8)-(0)))))</f>
        <v>2</v>
      </c>
      <c r="S11" s="63">
        <f>IF(AND(S8=2,S9=9),2,IF(S8&lt;=0,0,IF(WEEKDAY(S$6,1)=1,0,IF(WEEKDAY(S$6,1)=7,S8*S9,MAX(0,S9-8)*S8)))+((IF(S8&lt;=0,0,IF(WEEKDAY(S$6,1)=1,0,IF(WEEKDAY(S$6,1)=7,0,MIN(8,S9)*S8))))-MIN(IF(S8&lt;=0,0,IF(WEEKDAY(S$6,1)=1,0,IF(WEEKDAY(S$6,1)=7,0,MIN(8,S9)*S8))),MAX(0,40*MAX(1,S8)-(R10)))))</f>
        <v>2</v>
      </c>
      <c r="T11" s="63">
        <f>IF(AND(T8=2,T9=9),2,IF(T8&lt;=0,0,IF(WEEKDAY(T$6,1)=1,0,IF(WEEKDAY(T$6,1)=7,T8*T9,MAX(0,T9-8)*T8)))+((IF(T8&lt;=0,0,IF(WEEKDAY(T$6,1)=1,0,IF(WEEKDAY(T$6,1)=7,0,MIN(8,T9)*T8))))-MIN(IF(T8&lt;=0,0,IF(WEEKDAY(T$6,1)=1,0,IF(WEEKDAY(T$6,1)=7,0,MIN(8,T9)*T8))),MAX(0,40*MAX(1,T8)-(R10+S10)))))</f>
        <v>2</v>
      </c>
      <c r="U11" s="63">
        <f>IF(AND(U8=2,U9=9),2,IF(U8&lt;=0,0,IF(WEEKDAY(U$6,1)=1,0,IF(WEEKDAY(U$6,1)=7,U8*U9,MAX(0,U9-8)*U8)))+((IF(U8&lt;=0,0,IF(WEEKDAY(U$6,1)=1,0,IF(WEEKDAY(U$6,1)=7,0,MIN(8,U9)*U8))))-MIN(IF(U8&lt;=0,0,IF(WEEKDAY(U$6,1)=1,0,IF(WEEKDAY(U$6,1)=7,0,MIN(8,U9)*U8))),MAX(0,40*MAX(1,U8)-(R10+S10+T10)))))</f>
        <v>2</v>
      </c>
      <c r="V11" s="63">
        <f>IF(AND(V8=2,V9=9),2,IF(V8&lt;=0,0,IF(WEEKDAY(V$6,1)=1,0,IF(WEEKDAY(V$6,1)=7,V8*V9,MAX(0,V9-8)*V8)))+((IF(V8&lt;=0,0,IF(WEEKDAY(V$6,1)=1,0,IF(WEEKDAY(V$6,1)=7,0,MIN(8,V9)*V8))))-MIN(IF(V8&lt;=0,0,IF(WEEKDAY(V$6,1)=1,0,IF(WEEKDAY(V$6,1)=7,0,MIN(8,V9)*V8))),MAX(0,40*MAX(1,V8)-(R10+S10+T10+U10)))))</f>
        <v>2</v>
      </c>
      <c r="W11" s="64">
        <f>IF(AND(W8=0,W9=0),0,IF(W8&lt;=0,0,IF(WEEKDAY(W$6,1)=1,0,IF(WEEKDAY(W$6,1)=7,W8*W9,MAX(0,W9-8)*W8)))+((IF(W8&lt;=0,0,IF(WEEKDAY(W$6,1)=1,0,IF(WEEKDAY(W$6,1)=7,0,MIN(8,W9)*W8))))-MIN(IF(W8&lt;=0,0,IF(WEEKDAY(W$6,1)=1,0,IF(WEEKDAY(W$6,1)=7,0,MIN(8,W9)*W8))),MAX(0,40*MAX(1,W8)-(0)))))</f>
        <v>0</v>
      </c>
      <c r="X11" s="64">
        <f>IF(AND(X8=0,X9=0),0,IF(X8&lt;=0,0,IF(WEEKDAY(X$6,1)=1,0,IF(WEEKDAY(X$6,1)=7,X8*X9,MAX(0,X9-8)*X8)))+((IF(X8&lt;=0,0,IF(WEEKDAY(X$6,1)=1,0,IF(WEEKDAY(X$6,1)=7,0,MIN(8,X9)*X8))))-MIN(IF(X8&lt;=0,0,IF(WEEKDAY(X$6,1)=1,0,IF(WEEKDAY(X$6,1)=7,0,MIN(8,X9)*X8))),MAX(0,40*MAX(1,X8)-(W10)))))</f>
        <v>0</v>
      </c>
      <c r="Y11" s="63">
        <f>IF(AND(Y8=2,Y9=9),2,IF(Y8&lt;=0,0,IF(WEEKDAY(Y$6,1)=1,0,IF(WEEKDAY(Y$6,1)=7,Y8*Y9,MAX(0,Y9-8)*Y8)))+((IF(Y8&lt;=0,0,IF(WEEKDAY(Y$6,1)=1,0,IF(WEEKDAY(Y$6,1)=7,0,MIN(8,Y9)*Y8))))-MIN(IF(Y8&lt;=0,0,IF(WEEKDAY(Y$6,1)=1,0,IF(WEEKDAY(Y$6,1)=7,0,MIN(8,Y9)*Y8))),MAX(0,40*MAX(1,Y8)-(0)))))</f>
        <v>2</v>
      </c>
      <c r="Z11" s="63">
        <f>IF(AND(Z8=2,Z9=9),2,IF(Z8&lt;=0,0,IF(WEEKDAY(Z$6,1)=1,0,IF(WEEKDAY(Z$6,1)=7,Z8*Z9,MAX(0,Z9-8)*Z8)))+((IF(Z8&lt;=0,0,IF(WEEKDAY(Z$6,1)=1,0,IF(WEEKDAY(Z$6,1)=7,0,MIN(8,Z9)*Z8))))-MIN(IF(Z8&lt;=0,0,IF(WEEKDAY(Z$6,1)=1,0,IF(WEEKDAY(Z$6,1)=7,0,MIN(8,Z9)*Z8))),MAX(0,40*MAX(1,Z8)-(Y10)))))</f>
        <v>2</v>
      </c>
      <c r="AA11" s="63">
        <f>IF(AND(AA8=2,AA9=9),2,IF(AA8&lt;=0,0,IF(WEEKDAY(AA$6,1)=1,0,IF(WEEKDAY(AA$6,1)=7,AA8*AA9,MAX(0,AA9-8)*AA8)))+((IF(AA8&lt;=0,0,IF(WEEKDAY(AA$6,1)=1,0,IF(WEEKDAY(AA$6,1)=7,0,MIN(8,AA9)*AA8))))-MIN(IF(AA8&lt;=0,0,IF(WEEKDAY(AA$6,1)=1,0,IF(WEEKDAY(AA$6,1)=7,0,MIN(8,AA9)*AA8))),MAX(0,40*MAX(1,AA8)-(Y10+Z10)))))</f>
        <v>2</v>
      </c>
      <c r="AB11" s="63">
        <f>IF(AND(AB8=2,AB9=9),2,IF(AB8&lt;=0,0,IF(WEEKDAY(AB$6,1)=1,0,IF(WEEKDAY(AB$6,1)=7,AB8*AB9,MAX(0,AB9-8)*AB8)))+((IF(AB8&lt;=0,0,IF(WEEKDAY(AB$6,1)=1,0,IF(WEEKDAY(AB$6,1)=7,0,MIN(8,AB9)*AB8))))-MIN(IF(AB8&lt;=0,0,IF(WEEKDAY(AB$6,1)=1,0,IF(WEEKDAY(AB$6,1)=7,0,MIN(8,AB9)*AB8))),MAX(0,40*MAX(1,AB8)-(Y10+Z10+AA10)))))</f>
        <v>2</v>
      </c>
      <c r="AC11" s="63">
        <f>IF(AND(AC8=2,AC9=9),2,IF(AC8&lt;=0,0,IF(WEEKDAY(AC$6,1)=1,0,IF(WEEKDAY(AC$6,1)=7,AC8*AC9,MAX(0,AC9-8)*AC8)))+((IF(AC8&lt;=0,0,IF(WEEKDAY(AC$6,1)=1,0,IF(WEEKDAY(AC$6,1)=7,0,MIN(8,AC9)*AC8))))-MIN(IF(AC8&lt;=0,0,IF(WEEKDAY(AC$6,1)=1,0,IF(WEEKDAY(AC$6,1)=7,0,MIN(8,AC9)*AC8))),MAX(0,40*MAX(1,AC8)-(Y10+Z10+AA10+AB10)))))</f>
        <v>2</v>
      </c>
      <c r="AD11" s="64">
        <f>IF(AND(AD8=0,AD9=0),0,IF(AD8&lt;=0,0,IF(WEEKDAY(AD$6,1)=1,0,IF(WEEKDAY(AD$6,1)=7,AD8*AD9,MAX(0,AD9-8)*AD8)))+((IF(AD8&lt;=0,0,IF(WEEKDAY(AD$6,1)=1,0,IF(WEEKDAY(AD$6,1)=7,0,MIN(8,AD9)*AD8))))-MIN(IF(AD8&lt;=0,0,IF(WEEKDAY(AD$6,1)=1,0,IF(WEEKDAY(AD$6,1)=7,0,MIN(8,AD9)*AD8))),MAX(0,40*MAX(1,AD8)-(0)))))</f>
        <v>0</v>
      </c>
      <c r="AE11" s="64">
        <f>IF(AND(AE8=0,AE9=0),0,IF(AE8&lt;=0,0,IF(WEEKDAY(AE$6,1)=1,0,IF(WEEKDAY(AE$6,1)=7,AE8*AE9,MAX(0,AE9-8)*AE8)))+((IF(AE8&lt;=0,0,IF(WEEKDAY(AE$6,1)=1,0,IF(WEEKDAY(AE$6,1)=7,0,MIN(8,AE9)*AE8))))-MIN(IF(AE8&lt;=0,0,IF(WEEKDAY(AE$6,1)=1,0,IF(WEEKDAY(AE$6,1)=7,0,MIN(8,AE9)*AE8))),MAX(0,40*MAX(1,AE8)-(AD10)))))</f>
        <v>0</v>
      </c>
      <c r="AF11" s="63">
        <f>IF(AND(AF8=2,AF9=9),2,IF(AF8&lt;=0,0,IF(WEEKDAY(AF$6,1)=1,0,IF(WEEKDAY(AF$6,1)=7,AF8*AF9,MAX(0,AF9-8)*AF8)))+((IF(AF8&lt;=0,0,IF(WEEKDAY(AF$6,1)=1,0,IF(WEEKDAY(AF$6,1)=7,0,MIN(8,AF9)*AF8))))-MIN(IF(AF8&lt;=0,0,IF(WEEKDAY(AF$6,1)=1,0,IF(WEEKDAY(AF$6,1)=7,0,MIN(8,AF9)*AF8))),MAX(0,40*MAX(1,AF8)-(0)))))</f>
        <v>2</v>
      </c>
      <c r="AG11" s="63">
        <f>IF(AND(AG8=2,AG9=9),2,IF(AG8&lt;=0,0,IF(WEEKDAY(AG$6,1)=1,0,IF(WEEKDAY(AG$6,1)=7,AG8*AG9,MAX(0,AG9-8)*AG8)))+((IF(AG8&lt;=0,0,IF(WEEKDAY(AG$6,1)=1,0,IF(WEEKDAY(AG$6,1)=7,0,MIN(8,AG9)*AG8))))-MIN(IF(AG8&lt;=0,0,IF(WEEKDAY(AG$6,1)=1,0,IF(WEEKDAY(AG$6,1)=7,0,MIN(8,AG9)*AG8))),MAX(0,40*MAX(1,AG8)-(AF10)))))</f>
        <v>2</v>
      </c>
      <c r="AH11" s="63">
        <f>IF(AND(AH8=2,AH9=9),2,IF(AH8&lt;=0,0,IF(WEEKDAY(AH$6,1)=1,0,IF(WEEKDAY(AH$6,1)=7,AH8*AH9,MAX(0,AH9-8)*AH8)))+((IF(AH8&lt;=0,0,IF(WEEKDAY(AH$6,1)=1,0,IF(WEEKDAY(AH$6,1)=7,0,MIN(8,AH9)*AH8))))-MIN(IF(AH8&lt;=0,0,IF(WEEKDAY(AH$6,1)=1,0,IF(WEEKDAY(AH$6,1)=7,0,MIN(8,AH9)*AH8))),MAX(0,40*MAX(1,AH8)-(AF10+AG10)))))</f>
        <v>2</v>
      </c>
      <c r="AI11" s="63">
        <f>IF(AND(AI8=2,AI9=9),2,IF(AI8&lt;=0,0,IF(WEEKDAY(AI$6,1)=1,0,IF(WEEKDAY(AI$6,1)=7,AI8*AI9,MAX(0,AI9-8)*AI8)))+((IF(AI8&lt;=0,0,IF(WEEKDAY(AI$6,1)=1,0,IF(WEEKDAY(AI$6,1)=7,0,MIN(8,AI9)*AI8))))-MIN(IF(AI8&lt;=0,0,IF(WEEKDAY(AI$6,1)=1,0,IF(WEEKDAY(AI$6,1)=7,0,MIN(8,AI9)*AI8))),MAX(0,40*MAX(1,AI8)-(AF10+AG10+AH10)))))</f>
        <v>2</v>
      </c>
      <c r="AJ11" s="63">
        <f>IF(AND(AJ8=2,AJ9=9),2,IF(AJ8&lt;=0,0,IF(WEEKDAY(AJ$6,1)=1,0,IF(WEEKDAY(AJ$6,1)=7,AJ8*AJ9,MAX(0,AJ9-8)*AJ8)))+((IF(AJ8&lt;=0,0,IF(WEEKDAY(AJ$6,1)=1,0,IF(WEEKDAY(AJ$6,1)=7,0,MIN(8,AJ9)*AJ8))))-MIN(IF(AJ8&lt;=0,0,IF(WEEKDAY(AJ$6,1)=1,0,IF(WEEKDAY(AJ$6,1)=7,0,MIN(8,AJ9)*AJ8))),MAX(0,40*MAX(1,AJ8)-(AF10+AG10+AH10+AI10)))))</f>
        <v>2</v>
      </c>
      <c r="AK11" s="64">
        <f>IF(AND(AK8=0,AK9=0),0,IF(AK8&lt;=0,0,IF(WEEKDAY(AK$6,1)=1,0,IF(WEEKDAY(AK$6,1)=7,AK8*AK9,MAX(0,AK9-8)*AK8)))+((IF(AK8&lt;=0,0,IF(WEEKDAY(AK$6,1)=1,0,IF(WEEKDAY(AK$6,1)=7,0,MIN(8,AK9)*AK8))))-MIN(IF(AK8&lt;=0,0,IF(WEEKDAY(AK$6,1)=1,0,IF(WEEKDAY(AK$6,1)=7,0,MIN(8,AK9)*AK8))),MAX(0,40*MAX(1,AK8)-(0)))))</f>
        <v>0</v>
      </c>
      <c r="AL11" s="64">
        <f>IF(AND(AL8=0,AL9=0),0,IF(AL8&lt;=0,0,IF(WEEKDAY(AL$6,1)=1,0,IF(WEEKDAY(AL$6,1)=7,AL8*AL9,MAX(0,AL9-8)*AL8)))+((IF(AL8&lt;=0,0,IF(WEEKDAY(AL$6,1)=1,0,IF(WEEKDAY(AL$6,1)=7,0,MIN(8,AL9)*AL8))))-MIN(IF(AL8&lt;=0,0,IF(WEEKDAY(AL$6,1)=1,0,IF(WEEKDAY(AL$6,1)=7,0,MIN(8,AL9)*AL8))),MAX(0,40*MAX(1,AL8)-(AK10)))))</f>
        <v>0</v>
      </c>
      <c r="AM11" s="63">
        <f>IF(AND(AM8=8.25,AM9=8),2,IF(AM8&lt;=0,0,IF(WEEKDAY(AM$6,1)=1,0,IF(WEEKDAY(AM$6,1)=7,AM8*AM9,MAX(0,AM9-8)*AM8)))+((IF(AM8&lt;=0,0,IF(WEEKDAY(AM$6,1)=1,0,IF(WEEKDAY(AM$6,1)=7,0,MIN(8,AM9)*AM8))))-MIN(IF(AM8&lt;=0,0,IF(WEEKDAY(AM$6,1)=1,0,IF(WEEKDAY(AM$6,1)=7,0,MIN(8,AM9)*AM8))),MAX(0,40*MAX(1,AM8)-(0)))))</f>
        <v>2</v>
      </c>
      <c r="AN11" s="63">
        <f>IF(AND(AN8=8.25,AN9=8),2,IF(AN8&lt;=0,0,IF(WEEKDAY(AN$6,1)=1,0,IF(WEEKDAY(AN$6,1)=7,AN8*AN9,MAX(0,AN9-8)*AN8)))+((IF(AN8&lt;=0,0,IF(WEEKDAY(AN$6,1)=1,0,IF(WEEKDAY(AN$6,1)=7,0,MIN(8,AN9)*AN8))))-MIN(IF(AN8&lt;=0,0,IF(WEEKDAY(AN$6,1)=1,0,IF(WEEKDAY(AN$6,1)=7,0,MIN(8,AN9)*AN8))),MAX(0,40*MAX(1,AN8)-(AM10)))))</f>
        <v>2</v>
      </c>
      <c r="AO11" s="63">
        <f>IF(AND(AO8=8.25,AO9=8),2,IF(AO8&lt;=0,0,IF(WEEKDAY(AO$6,1)=1,0,IF(WEEKDAY(AO$6,1)=7,AO8*AO9,MAX(0,AO9-8)*AO8)))+((IF(AO8&lt;=0,0,IF(WEEKDAY(AO$6,1)=1,0,IF(WEEKDAY(AO$6,1)=7,0,MIN(8,AO9)*AO8))))-MIN(IF(AO8&lt;=0,0,IF(WEEKDAY(AO$6,1)=1,0,IF(WEEKDAY(AO$6,1)=7,0,MIN(8,AO9)*AO8))),MAX(0,40*MAX(1,AO8)-(AM10+AN10)))))</f>
        <v>2</v>
      </c>
      <c r="AP11" s="63">
        <f>IF(AND(AP8=8.25,AP9=8),2,IF(AP8&lt;=0,0,IF(WEEKDAY(AP$6,1)=1,0,IF(WEEKDAY(AP$6,1)=7,AP8*AP9,MAX(0,AP9-8)*AP8)))+((IF(AP8&lt;=0,0,IF(WEEKDAY(AP$6,1)=1,0,IF(WEEKDAY(AP$6,1)=7,0,MIN(8,AP9)*AP8))))-MIN(IF(AP8&lt;=0,0,IF(WEEKDAY(AP$6,1)=1,0,IF(WEEKDAY(AP$6,1)=7,0,MIN(8,AP9)*AP8))),MAX(0,40*MAX(1,AP8)-(AM10+AN10+AO10)))))</f>
        <v>2</v>
      </c>
      <c r="AQ11" s="63">
        <f>IF(AND(AQ8=8.25,AQ9=8),2,IF(AQ8&lt;=0,0,IF(WEEKDAY(AQ$6,1)=1,0,IF(WEEKDAY(AQ$6,1)=7,AQ8*AQ9,MAX(0,AQ9-8)*AQ8)))+((IF(AQ8&lt;=0,0,IF(WEEKDAY(AQ$6,1)=1,0,IF(WEEKDAY(AQ$6,1)=7,0,MIN(8,AQ9)*AQ8))))-MIN(IF(AQ8&lt;=0,0,IF(WEEKDAY(AQ$6,1)=1,0,IF(WEEKDAY(AQ$6,1)=7,0,MIN(8,AQ9)*AQ8))),MAX(0,40*MAX(1,AQ8)-(AM10+AN10+AO10+AP10)))))</f>
        <v>2</v>
      </c>
      <c r="AR11" s="64">
        <f>IF(AND(AR8=0,AR9=0),0,IF(AR8&lt;=0,0,IF(WEEKDAY(AR$6,1)=1,0,IF(WEEKDAY(AR$6,1)=7,AR8*AR9,MAX(0,AR9-8)*AR8)))+((IF(AR8&lt;=0,0,IF(WEEKDAY(AR$6,1)=1,0,IF(WEEKDAY(AR$6,1)=7,0,MIN(8,AR9)*AR8))))-MIN(IF(AR8&lt;=0,0,IF(WEEKDAY(AR$6,1)=1,0,IF(WEEKDAY(AR$6,1)=7,0,MIN(8,AR9)*AR8))),MAX(0,40*MAX(1,AR8)-(0)))))</f>
        <v>0</v>
      </c>
      <c r="AS11" s="64">
        <f>IF(AND(AS8=0,AS9=0),0,IF(AS8&lt;=0,0,IF(WEEKDAY(AS$6,1)=1,0,IF(WEEKDAY(AS$6,1)=7,AS8*AS9,MAX(0,AS9-8)*AS8)))+((IF(AS8&lt;=0,0,IF(WEEKDAY(AS$6,1)=1,0,IF(WEEKDAY(AS$6,1)=7,0,MIN(8,AS9)*AS8))))-MIN(IF(AS8&lt;=0,0,IF(WEEKDAY(AS$6,1)=1,0,IF(WEEKDAY(AS$6,1)=7,0,MIN(8,AS9)*AS8))),MAX(0,40*MAX(1,AS8)-(AR10)))))</f>
        <v>0</v>
      </c>
      <c r="AT11" s="63">
        <f>IF(AND(AT8=8.25,AT9=8),2,IF(AT8&lt;=0,0,IF(WEEKDAY(AT$6,1)=1,0,IF(WEEKDAY(AT$6,1)=7,AT8*AT9,MAX(0,AT9-8)*AT8)))+((IF(AT8&lt;=0,0,IF(WEEKDAY(AT$6,1)=1,0,IF(WEEKDAY(AT$6,1)=7,0,MIN(8,AT9)*AT8))))-MIN(IF(AT8&lt;=0,0,IF(WEEKDAY(AT$6,1)=1,0,IF(WEEKDAY(AT$6,1)=7,0,MIN(8,AT9)*AT8))),MAX(0,40*MAX(1,AT8)-(0)))))</f>
        <v>2</v>
      </c>
      <c r="AU11" s="63">
        <f>IF(AND(AU8=8.25,AU9=8),2,IF(AU8&lt;=0,0,IF(WEEKDAY(AU$6,1)=1,0,IF(WEEKDAY(AU$6,1)=7,AU8*AU9,MAX(0,AU9-8)*AU8)))+((IF(AU8&lt;=0,0,IF(WEEKDAY(AU$6,1)=1,0,IF(WEEKDAY(AU$6,1)=7,0,MIN(8,AU9)*AU8))))-MIN(IF(AU8&lt;=0,0,IF(WEEKDAY(AU$6,1)=1,0,IF(WEEKDAY(AU$6,1)=7,0,MIN(8,AU9)*AU8))),MAX(0,40*MAX(1,AU8)-(AT10)))))</f>
        <v>2</v>
      </c>
      <c r="AV11" s="63">
        <f>IF(AND(AV8=8.25,AV9=8),2,IF(AV8&lt;=0,0,IF(WEEKDAY(AV$6,1)=1,0,IF(WEEKDAY(AV$6,1)=7,AV8*AV9,MAX(0,AV9-8)*AV8)))+((IF(AV8&lt;=0,0,IF(WEEKDAY(AV$6,1)=1,0,IF(WEEKDAY(AV$6,1)=7,0,MIN(8,AV9)*AV8))))-MIN(IF(AV8&lt;=0,0,IF(WEEKDAY(AV$6,1)=1,0,IF(WEEKDAY(AV$6,1)=7,0,MIN(8,AV9)*AV8))),MAX(0,40*MAX(1,AV8)-(AT10+AU10)))))</f>
        <v>2</v>
      </c>
      <c r="AW11" s="63">
        <f>IF(AND(AW8=8.25,AW9=8),2,IF(AW8&lt;=0,0,IF(WEEKDAY(AW$6,1)=1,0,IF(WEEKDAY(AW$6,1)=7,AW8*AW9,MAX(0,AW9-8)*AW8)))+((IF(AW8&lt;=0,0,IF(WEEKDAY(AW$6,1)=1,0,IF(WEEKDAY(AW$6,1)=7,0,MIN(8,AW9)*AW8))))-MIN(IF(AW8&lt;=0,0,IF(WEEKDAY(AW$6,1)=1,0,IF(WEEKDAY(AW$6,1)=7,0,MIN(8,AW9)*AW8))),MAX(0,40*MAX(1,AW8)-(AT10+AU10+AV10)))))</f>
        <v>2</v>
      </c>
      <c r="AX11" s="63">
        <f>IF(AND(AX8=8.25,AX9=8),2,IF(AX8&lt;=0,0,IF(WEEKDAY(AX$6,1)=1,0,IF(WEEKDAY(AX$6,1)=7,AX8*AX9,MAX(0,AX9-8)*AX8)))+((IF(AX8&lt;=0,0,IF(WEEKDAY(AX$6,1)=1,0,IF(WEEKDAY(AX$6,1)=7,0,MIN(8,AX9)*AX8))))-MIN(IF(AX8&lt;=0,0,IF(WEEKDAY(AX$6,1)=1,0,IF(WEEKDAY(AX$6,1)=7,0,MIN(8,AX9)*AX8))),MAX(0,40*MAX(1,AX8)-(AT10+AU10+AV10+AW10)))))</f>
        <v>2</v>
      </c>
      <c r="AY11" s="64">
        <f>IF(AND(AY8=0,AY9=0),0,IF(AY8&lt;=0,0,IF(WEEKDAY(AY$6,1)=1,0,IF(WEEKDAY(AY$6,1)=7,AY8*AY9,MAX(0,AY9-8)*AY8)))+((IF(AY8&lt;=0,0,IF(WEEKDAY(AY$6,1)=1,0,IF(WEEKDAY(AY$6,1)=7,0,MIN(8,AY9)*AY8))))-MIN(IF(AY8&lt;=0,0,IF(WEEKDAY(AY$6,1)=1,0,IF(WEEKDAY(AY$6,1)=7,0,MIN(8,AY9)*AY8))),MAX(0,40*MAX(1,AY8)-(0)))))</f>
        <v>0</v>
      </c>
      <c r="AZ11" s="64">
        <f>IF(AND(AZ8=0,AZ9=0),0,IF(AZ8&lt;=0,0,IF(WEEKDAY(AZ$6,1)=1,0,IF(WEEKDAY(AZ$6,1)=7,AZ8*AZ9,MAX(0,AZ9-8)*AZ8)))+((IF(AZ8&lt;=0,0,IF(WEEKDAY(AZ$6,1)=1,0,IF(WEEKDAY(AZ$6,1)=7,0,MIN(8,AZ9)*AZ8))))-MIN(IF(AZ8&lt;=0,0,IF(WEEKDAY(AZ$6,1)=1,0,IF(WEEKDAY(AZ$6,1)=7,0,MIN(8,AZ9)*AZ8))),MAX(0,40*MAX(1,AZ8)-(AY10)))))</f>
        <v>0</v>
      </c>
      <c r="BA11" s="63">
        <f>IF(AND(BA8=8.25,BA9=8),2,IF(BA8&lt;=0,0,IF(WEEKDAY(BA$6,1)=1,0,IF(WEEKDAY(BA$6,1)=7,BA8*BA9,MAX(0,BA9-8)*BA8)))+((IF(BA8&lt;=0,0,IF(WEEKDAY(BA$6,1)=1,0,IF(WEEKDAY(BA$6,1)=7,0,MIN(8,BA9)*BA8))))-MIN(IF(BA8&lt;=0,0,IF(WEEKDAY(BA$6,1)=1,0,IF(WEEKDAY(BA$6,1)=7,0,MIN(8,BA9)*BA8))),MAX(0,40*MAX(1,BA8)-(0)))))</f>
        <v>2</v>
      </c>
      <c r="BB11" s="63">
        <f>IF(AND(BB8=8.25,BB9=8),2,IF(BB8&lt;=0,0,IF(WEEKDAY(BB$6,1)=1,0,IF(WEEKDAY(BB$6,1)=7,BB8*BB9,MAX(0,BB9-8)*BB8)))+((IF(BB8&lt;=0,0,IF(WEEKDAY(BB$6,1)=1,0,IF(WEEKDAY(BB$6,1)=7,0,MIN(8,BB9)*BB8))))-MIN(IF(BB8&lt;=0,0,IF(WEEKDAY(BB$6,1)=1,0,IF(WEEKDAY(BB$6,1)=7,0,MIN(8,BB9)*BB8))),MAX(0,40*MAX(1,BB8)-(BA10)))))</f>
        <v>2</v>
      </c>
      <c r="BC11" s="63">
        <f>IF(AND(BC8=8.25,BC9=8),2,IF(BC8&lt;=0,0,IF(WEEKDAY(BC$6,1)=1,0,IF(WEEKDAY(BC$6,1)=7,BC8*BC9,MAX(0,BC9-8)*BC8)))+((IF(BC8&lt;=0,0,IF(WEEKDAY(BC$6,1)=1,0,IF(WEEKDAY(BC$6,1)=7,0,MIN(8,BC9)*BC8))))-MIN(IF(BC8&lt;=0,0,IF(WEEKDAY(BC$6,1)=1,0,IF(WEEKDAY(BC$6,1)=7,0,MIN(8,BC9)*BC8))),MAX(0,40*MAX(1,BC8)-(BA10+BB10)))))</f>
        <v>2</v>
      </c>
      <c r="BD11" s="63">
        <f>IF(AND(BD8=8.25,BD9=8),2,IF(BD8&lt;=0,0,IF(WEEKDAY(BD$6,1)=1,0,IF(WEEKDAY(BD$6,1)=7,BD8*BD9,MAX(0,BD9-8)*BD8)))+((IF(BD8&lt;=0,0,IF(WEEKDAY(BD$6,1)=1,0,IF(WEEKDAY(BD$6,1)=7,0,MIN(8,BD9)*BD8))))-MIN(IF(BD8&lt;=0,0,IF(WEEKDAY(BD$6,1)=1,0,IF(WEEKDAY(BD$6,1)=7,0,MIN(8,BD9)*BD8))),MAX(0,40*MAX(1,BD8)-(BA10+BB10+BC10)))))</f>
        <v>2</v>
      </c>
      <c r="BE11" s="63">
        <f>IF(AND(BE8=8.25,BE9=8),2,IF(BE8&lt;=0,0,IF(WEEKDAY(BE$6,1)=1,0,IF(WEEKDAY(BE$6,1)=7,BE8*BE9,MAX(0,BE9-8)*BE8)))+((IF(BE8&lt;=0,0,IF(WEEKDAY(BE$6,1)=1,0,IF(WEEKDAY(BE$6,1)=7,0,MIN(8,BE9)*BE8))))-MIN(IF(BE8&lt;=0,0,IF(WEEKDAY(BE$6,1)=1,0,IF(WEEKDAY(BE$6,1)=7,0,MIN(8,BE9)*BE8))),MAX(0,40*MAX(1,BE8)-(BA10+BB10+BC10+BD10)))))</f>
        <v>2</v>
      </c>
      <c r="BF11" s="64">
        <f>IF(AND(BF8=0,BF9=0),0,IF(BF8&lt;=0,0,IF(WEEKDAY(BF$6,1)=1,0,IF(WEEKDAY(BF$6,1)=7,BF8*BF9,MAX(0,BF9-8)*BF8)))+((IF(BF8&lt;=0,0,IF(WEEKDAY(BF$6,1)=1,0,IF(WEEKDAY(BF$6,1)=7,0,MIN(8,BF9)*BF8))))-MIN(IF(BF8&lt;=0,0,IF(WEEKDAY(BF$6,1)=1,0,IF(WEEKDAY(BF$6,1)=7,0,MIN(8,BF9)*BF8))),MAX(0,40*MAX(1,BF8)-(0)))))</f>
        <v>0</v>
      </c>
      <c r="BG11" s="64">
        <f>IF(AND(BG8=0,BG9=0),0,IF(BG8&lt;=0,0,IF(WEEKDAY(BG$6,1)=1,0,IF(WEEKDAY(BG$6,1)=7,BG8*BG9,MAX(0,BG9-8)*BG8)))+((IF(BG8&lt;=0,0,IF(WEEKDAY(BG$6,1)=1,0,IF(WEEKDAY(BG$6,1)=7,0,MIN(8,BG9)*BG8))))-MIN(IF(BG8&lt;=0,0,IF(WEEKDAY(BG$6,1)=1,0,IF(WEEKDAY(BG$6,1)=7,0,MIN(8,BG9)*BG8))),MAX(0,40*MAX(1,BG8)-(BF10)))))</f>
        <v>0</v>
      </c>
      <c r="BH11" s="63">
        <f>IF(AND(BH8=4,BH9=13),20,IF(BH8&lt;=0,0,IF(WEEKDAY(BH$6,1)=1,0,IF(WEEKDAY(BH$6,1)=7,BH8*BH9,MAX(0,BH9-8)*BH8)))+((IF(BH8&lt;=0,0,IF(WEEKDAY(BH$6,1)=1,0,IF(WEEKDAY(BH$6,1)=7,0,MIN(8,BH9)*BH8))))-MIN(IF(BH8&lt;=0,0,IF(WEEKDAY(BH$6,1)=1,0,IF(WEEKDAY(BH$6,1)=7,0,MIN(8,BH9)*BH8))),MAX(0,40*MAX(1,BH8)-(0)))))</f>
        <v>20</v>
      </c>
      <c r="BI11" s="63">
        <f>IF(AND(BI8=4,BI9=13),20,IF(BI8&lt;=0,0,IF(WEEKDAY(BI$6,1)=1,0,IF(WEEKDAY(BI$6,1)=7,BI8*BI9,MAX(0,BI9-8)*BI8)))+((IF(BI8&lt;=0,0,IF(WEEKDAY(BI$6,1)=1,0,IF(WEEKDAY(BI$6,1)=7,0,MIN(8,BI9)*BI8))))-MIN(IF(BI8&lt;=0,0,IF(WEEKDAY(BI$6,1)=1,0,IF(WEEKDAY(BI$6,1)=7,0,MIN(8,BI9)*BI8))),MAX(0,40*MAX(1,BI8)-(BH10)))))</f>
        <v>20</v>
      </c>
      <c r="BJ11" s="63">
        <f>IF(AND(BJ8=4,BJ9=13),20,IF(BJ8&lt;=0,0,IF(WEEKDAY(BJ$6,1)=1,0,IF(WEEKDAY(BJ$6,1)=7,BJ8*BJ9,MAX(0,BJ9-8)*BJ8)))+((IF(BJ8&lt;=0,0,IF(WEEKDAY(BJ$6,1)=1,0,IF(WEEKDAY(BJ$6,1)=7,0,MIN(8,BJ9)*BJ8))))-MIN(IF(BJ8&lt;=0,0,IF(WEEKDAY(BJ$6,1)=1,0,IF(WEEKDAY(BJ$6,1)=7,0,MIN(8,BJ9)*BJ8))),MAX(0,40*MAX(1,BJ8)-(BH10+BI10)))))</f>
        <v>20</v>
      </c>
      <c r="BK11" s="63">
        <f>IF(AND(BK8=4,BK9=13),20,IF(BK8&lt;=0,0,IF(WEEKDAY(BK$6,1)=1,0,IF(WEEKDAY(BK$6,1)=7,BK8*BK9,MAX(0,BK9-8)*BK8)))+((IF(BK8&lt;=0,0,IF(WEEKDAY(BK$6,1)=1,0,IF(WEEKDAY(BK$6,1)=7,0,MIN(8,BK9)*BK8))))-MIN(IF(BK8&lt;=0,0,IF(WEEKDAY(BK$6,1)=1,0,IF(WEEKDAY(BK$6,1)=7,0,MIN(8,BK9)*BK8))),MAX(0,40*MAX(1,BK8)-(BH10+BI10+BJ10)))))</f>
        <v>20</v>
      </c>
      <c r="BL11" s="63">
        <f>IF(AND(BL8=4,BL9=13),20,IF(BL8&lt;=0,0,IF(WEEKDAY(BL$6,1)=1,0,IF(WEEKDAY(BL$6,1)=7,BL8*BL9,MAX(0,BL9-8)*BL8)))+((IF(BL8&lt;=0,0,IF(WEEKDAY(BL$6,1)=1,0,IF(WEEKDAY(BL$6,1)=7,0,MIN(8,BL9)*BL8))))-MIN(IF(BL8&lt;=0,0,IF(WEEKDAY(BL$6,1)=1,0,IF(WEEKDAY(BL$6,1)=7,0,MIN(8,BL9)*BL8))),MAX(0,40*MAX(1,BL8)-(BH10+BI10+BJ10+BK10)))))</f>
        <v>20</v>
      </c>
      <c r="BM11" s="64">
        <f>IF(AND(BM8=4,BM9=13),52,IF(BM8&lt;=0,0,IF(WEEKDAY(BM$6,1)=1,0,IF(WEEKDAY(BM$6,1)=7,BM8*BM9,MAX(0,BM9-8)*BM8)))+((IF(BM8&lt;=0,0,IF(WEEKDAY(BM$6,1)=1,0,IF(WEEKDAY(BM$6,1)=7,0,MIN(8,BM9)*BM8))))-MIN(IF(BM8&lt;=0,0,IF(WEEKDAY(BM$6,1)=1,0,IF(WEEKDAY(BM$6,1)=7,0,MIN(8,BM9)*BM8))),MAX(0,40*MAX(1,BM8)-(BH10+BI10+BJ10+BK10+BL10)))))</f>
        <v>52</v>
      </c>
      <c r="BN11" s="64">
        <f>IF(AND(BN8=4,BN9=13),0,IF(BN8&lt;=0,0,IF(WEEKDAY(BN$6,1)=1,0,IF(WEEKDAY(BN$6,1)=7,BN8*BN9,MAX(0,BN9-8)*BN8)))+((IF(BN8&lt;=0,0,IF(WEEKDAY(BN$6,1)=1,0,IF(WEEKDAY(BN$6,1)=7,0,MIN(8,BN9)*BN8))))-MIN(IF(BN8&lt;=0,0,IF(WEEKDAY(BN$6,1)=1,0,IF(WEEKDAY(BN$6,1)=7,0,MIN(8,BN9)*BN8))),MAX(0,40*MAX(1,BN8)-(BH10+BI10+BJ10+BK10+BL10+BM10)))))</f>
        <v>0</v>
      </c>
      <c r="BO11" s="63">
        <f>IF(AND(BO8=4,BO9=13),20,IF(BO8&lt;=0,0,IF(WEEKDAY(BO$6,1)=1,0,IF(WEEKDAY(BO$6,1)=7,BO8*BO9,MAX(0,BO9-8)*BO8)))+((IF(BO8&lt;=0,0,IF(WEEKDAY(BO$6,1)=1,0,IF(WEEKDAY(BO$6,1)=7,0,MIN(8,BO9)*BO8))))-MIN(IF(BO8&lt;=0,0,IF(WEEKDAY(BO$6,1)=1,0,IF(WEEKDAY(BO$6,1)=7,0,MIN(8,BO9)*BO8))),MAX(0,40*MAX(1,BO8)-(0)))))</f>
        <v>20</v>
      </c>
      <c r="BP11" s="63">
        <f>IF(AND(BP8=4,BP9=13),20,IF(BP8&lt;=0,0,IF(WEEKDAY(BP$6,1)=1,0,IF(WEEKDAY(BP$6,1)=7,BP8*BP9,MAX(0,BP9-8)*BP8)))+((IF(BP8&lt;=0,0,IF(WEEKDAY(BP$6,1)=1,0,IF(WEEKDAY(BP$6,1)=7,0,MIN(8,BP9)*BP8))))-MIN(IF(BP8&lt;=0,0,IF(WEEKDAY(BP$6,1)=1,0,IF(WEEKDAY(BP$6,1)=7,0,MIN(8,BP9)*BP8))),MAX(0,40*MAX(1,BP8)-(BO10)))))</f>
        <v>20</v>
      </c>
      <c r="BQ11" s="63">
        <f>IF(AND(BQ8=4,BQ9=13),20,IF(BQ8&lt;=0,0,IF(WEEKDAY(BQ$6,1)=1,0,IF(WEEKDAY(BQ$6,1)=7,BQ8*BQ9,MAX(0,BQ9-8)*BQ8)))+((IF(BQ8&lt;=0,0,IF(WEEKDAY(BQ$6,1)=1,0,IF(WEEKDAY(BQ$6,1)=7,0,MIN(8,BQ9)*BQ8))))-MIN(IF(BQ8&lt;=0,0,IF(WEEKDAY(BQ$6,1)=1,0,IF(WEEKDAY(BQ$6,1)=7,0,MIN(8,BQ9)*BQ8))),MAX(0,40*MAX(1,BQ8)-(BO10+BP10)))))</f>
        <v>20</v>
      </c>
      <c r="BR11" s="63">
        <f>IF(AND(BR8=4,BR9=13),20,IF(BR8&lt;=0,0,IF(WEEKDAY(BR$6,1)=1,0,IF(WEEKDAY(BR$6,1)=7,BR8*BR9,MAX(0,BR9-8)*BR8)))+((IF(BR8&lt;=0,0,IF(WEEKDAY(BR$6,1)=1,0,IF(WEEKDAY(BR$6,1)=7,0,MIN(8,BR9)*BR8))))-MIN(IF(BR8&lt;=0,0,IF(WEEKDAY(BR$6,1)=1,0,IF(WEEKDAY(BR$6,1)=7,0,MIN(8,BR9)*BR8))),MAX(0,40*MAX(1,BR8)-(0)))))</f>
        <v>20</v>
      </c>
      <c r="BS11" s="63">
        <f>IF(AND(BS8=4,BS9=13),20,IF(BS8&lt;=0,0,IF(WEEKDAY(BS$6,1)=1,0,IF(WEEKDAY(BS$6,1)=7,BS8*BS9,MAX(0,BS9-8)*BS8)))+((IF(BS8&lt;=0,0,IF(WEEKDAY(BS$6,1)=1,0,IF(WEEKDAY(BS$6,1)=7,0,MIN(8,BS9)*BS8))))-MIN(IF(BS8&lt;=0,0,IF(WEEKDAY(BS$6,1)=1,0,IF(WEEKDAY(BS$6,1)=7,0,MIN(8,BS9)*BS8))),MAX(0,40*MAX(1,BS8)-(BR10)))))</f>
        <v>20</v>
      </c>
      <c r="BT11" s="64">
        <f>IF(AND(BT8=4,BT9=13),52,IF(BT8&lt;=0,0,IF(WEEKDAY(BT$6,1)=1,0,IF(WEEKDAY(BT$6,1)=7,BT8*BT9,MAX(0,BT9-8)*BT8)))+((IF(BT8&lt;=0,0,IF(WEEKDAY(BT$6,1)=1,0,IF(WEEKDAY(BT$6,1)=7,0,MIN(8,BT9)*BT8))))-MIN(IF(BT8&lt;=0,0,IF(WEEKDAY(BT$6,1)=1,0,IF(WEEKDAY(BT$6,1)=7,0,MIN(8,BT9)*BT8))),MAX(0,40*MAX(1,BT8)-(BR10+BS10)))))</f>
        <v>52</v>
      </c>
      <c r="BU11" s="64">
        <f>IF(AND(BU8=4,BU9=13),0,IF(BU8&lt;=0,0,IF(WEEKDAY(BU$6,1)=1,0,IF(WEEKDAY(BU$6,1)=7,BU8*BU9,MAX(0,BU9-8)*BU8)))+((IF(BU8&lt;=0,0,IF(WEEKDAY(BU$6,1)=1,0,IF(WEEKDAY(BU$6,1)=7,0,MIN(8,BU9)*BU8))))-MIN(IF(BU8&lt;=0,0,IF(WEEKDAY(BU$6,1)=1,0,IF(WEEKDAY(BU$6,1)=7,0,MIN(8,BU9)*BU8))),MAX(0,40*MAX(1,BU8)-(BR10+BS10+BT10)))))</f>
        <v>0</v>
      </c>
      <c r="BV11" s="63">
        <f>IF(AND(BV8=4,BV9=13),20,IF(BV8&lt;=0,0,IF(WEEKDAY(BV$6,1)=1,0,IF(WEEKDAY(BV$6,1)=7,BV8*BV9,MAX(0,BV9-8)*BV8)))+((IF(BV8&lt;=0,0,IF(WEEKDAY(BV$6,1)=1,0,IF(WEEKDAY(BV$6,1)=7,0,MIN(8,BV9)*BV8))))-MIN(IF(BV8&lt;=0,0,IF(WEEKDAY(BV$6,1)=1,0,IF(WEEKDAY(BV$6,1)=7,0,MIN(8,BV9)*BV8))),MAX(0,40*MAX(1,BV8)-(0)))))</f>
        <v>20</v>
      </c>
      <c r="BW11" s="63">
        <f>IF(AND(BW8=4,BW9=13),20,IF(BW8&lt;=0,0,IF(WEEKDAY(BW$6,1)=1,0,IF(WEEKDAY(BW$6,1)=7,BW8*BW9,MAX(0,BW9-8)*BW8)))+((IF(BW8&lt;=0,0,IF(WEEKDAY(BW$6,1)=1,0,IF(WEEKDAY(BW$6,1)=7,0,MIN(8,BW9)*BW8))))-MIN(IF(BW8&lt;=0,0,IF(WEEKDAY(BW$6,1)=1,0,IF(WEEKDAY(BW$6,1)=7,0,MIN(8,BW9)*BW8))),MAX(0,40*MAX(1,BW8)-(BV10)))))</f>
        <v>20</v>
      </c>
      <c r="BX11" s="63">
        <f>IF(AND(BX8=4,BX9=13),20,IF(BX8&lt;=0,0,IF(WEEKDAY(BX$6,1)=1,0,IF(WEEKDAY(BX$6,1)=7,BX8*BX9,MAX(0,BX9-8)*BX8)))+((IF(BX8&lt;=0,0,IF(WEEKDAY(BX$6,1)=1,0,IF(WEEKDAY(BX$6,1)=7,0,MIN(8,BX9)*BX8))))-MIN(IF(BX8&lt;=0,0,IF(WEEKDAY(BX$6,1)=1,0,IF(WEEKDAY(BX$6,1)=7,0,MIN(8,BX9)*BX8))),MAX(0,40*MAX(1,BX8)-(BV10+BW10)))))</f>
        <v>20</v>
      </c>
      <c r="BY11" s="63">
        <f>IF(AND(BY8=4,BY9=13),20,IF(BY8&lt;=0,0,IF(WEEKDAY(BY$6,1)=1,0,IF(WEEKDAY(BY$6,1)=7,BY8*BY9,MAX(0,BY9-8)*BY8)))+((IF(BY8&lt;=0,0,IF(WEEKDAY(BY$6,1)=1,0,IF(WEEKDAY(BY$6,1)=7,0,MIN(8,BY9)*BY8))))-MIN(IF(BY8&lt;=0,0,IF(WEEKDAY(BY$6,1)=1,0,IF(WEEKDAY(BY$6,1)=7,0,MIN(8,BY9)*BY8))),MAX(0,40*MAX(1,BY8)-(BV10+BW10+BX10)))))</f>
        <v>20</v>
      </c>
      <c r="BZ11" s="63">
        <f>IF(AND(BZ8=4,BZ9=13),20,IF(BZ8&lt;=0,0,IF(WEEKDAY(BZ$6,1)=1,0,IF(WEEKDAY(BZ$6,1)=7,BZ8*BZ9,MAX(0,BZ9-8)*BZ8)))+((IF(BZ8&lt;=0,0,IF(WEEKDAY(BZ$6,1)=1,0,IF(WEEKDAY(BZ$6,1)=7,0,MIN(8,BZ9)*BZ8))))-MIN(IF(BZ8&lt;=0,0,IF(WEEKDAY(BZ$6,1)=1,0,IF(WEEKDAY(BZ$6,1)=7,0,MIN(8,BZ9)*BZ8))),MAX(0,40*MAX(1,BZ8)-(BV10+BW10+BX10+BY10)))))</f>
        <v>20</v>
      </c>
      <c r="CA11" s="64">
        <f>IF(AND(CA8=4,CA9=13),52,IF(CA8&lt;=0,0,IF(WEEKDAY(CA$6,1)=1,0,IF(WEEKDAY(CA$6,1)=7,CA8*CA9,MAX(0,CA9-8)*CA8)))+((IF(CA8&lt;=0,0,IF(WEEKDAY(CA$6,1)=1,0,IF(WEEKDAY(CA$6,1)=7,0,MIN(8,CA9)*CA8))))-MIN(IF(CA8&lt;=0,0,IF(WEEKDAY(CA$6,1)=1,0,IF(WEEKDAY(CA$6,1)=7,0,MIN(8,CA9)*CA8))),MAX(0,40*MAX(1,CA8)-(BV10+BW10+BX10+BY10+BZ10)))))</f>
        <v>52</v>
      </c>
      <c r="CB11" s="64">
        <f>IF(AND(CB8=4,CB9=13),0,IF(CB8&lt;=0,0,IF(WEEKDAY(CB$6,1)=1,0,IF(WEEKDAY(CB$6,1)=7,CB8*CB9,MAX(0,CB9-8)*CB8)))+((IF(CB8&lt;=0,0,IF(WEEKDAY(CB$6,1)=1,0,IF(WEEKDAY(CB$6,1)=7,0,MIN(8,CB9)*CB8))))-MIN(IF(CB8&lt;=0,0,IF(WEEKDAY(CB$6,1)=1,0,IF(WEEKDAY(CB$6,1)=7,0,MIN(8,CB9)*CB8))),MAX(0,40*MAX(1,CB8)-(BV10+BW10+BX10+BY10+BZ10+CA10)))))</f>
        <v>0</v>
      </c>
      <c r="CC11" s="63">
        <f>IF(AND(CC8=4,CC9=13),20,IF(CC8&lt;=0,0,IF(WEEKDAY(CC$6,1)=1,0,IF(WEEKDAY(CC$6,1)=7,CC8*CC9,MAX(0,CC9-8)*CC8)))+((IF(CC8&lt;=0,0,IF(WEEKDAY(CC$6,1)=1,0,IF(WEEKDAY(CC$6,1)=7,0,MIN(8,CC9)*CC8))))-MIN(IF(CC8&lt;=0,0,IF(WEEKDAY(CC$6,1)=1,0,IF(WEEKDAY(CC$6,1)=7,0,MIN(8,CC9)*CC8))),MAX(0,40*MAX(1,CC8)-(0)))))</f>
        <v>20</v>
      </c>
      <c r="CD11" s="63">
        <f>IF(AND(CD8=4,CD9=13),20,IF(CD8&lt;=0,0,IF(WEEKDAY(CD$6,1)=1,0,IF(WEEKDAY(CD$6,1)=7,CD8*CD9,MAX(0,CD9-8)*CD8)))+((IF(CD8&lt;=0,0,IF(WEEKDAY(CD$6,1)=1,0,IF(WEEKDAY(CD$6,1)=7,0,MIN(8,CD9)*CD8))))-MIN(IF(CD8&lt;=0,0,IF(WEEKDAY(CD$6,1)=1,0,IF(WEEKDAY(CD$6,1)=7,0,MIN(8,CD9)*CD8))),MAX(0,40*MAX(1,CD8)-(CC10)))))</f>
        <v>20</v>
      </c>
      <c r="CE11" s="63">
        <f>IF(AND(CE8=4,CE9=13),20,IF(CE8&lt;=0,0,IF(WEEKDAY(CE$6,1)=1,0,IF(WEEKDAY(CE$6,1)=7,CE8*CE9,MAX(0,CE9-8)*CE8)))+((IF(CE8&lt;=0,0,IF(WEEKDAY(CE$6,1)=1,0,IF(WEEKDAY(CE$6,1)=7,0,MIN(8,CE9)*CE8))))-MIN(IF(CE8&lt;=0,0,IF(WEEKDAY(CE$6,1)=1,0,IF(WEEKDAY(CE$6,1)=7,0,MIN(8,CE9)*CE8))),MAX(0,40*MAX(1,CE8)-(CC10+CD10)))))</f>
        <v>20</v>
      </c>
      <c r="CF11" s="63">
        <f>IF(AND(CF8=4,CF9=13),20,IF(CF8&lt;=0,0,IF(WEEKDAY(CF$6,1)=1,0,IF(WEEKDAY(CF$6,1)=7,CF8*CF9,MAX(0,CF9-8)*CF8)))+((IF(CF8&lt;=0,0,IF(WEEKDAY(CF$6,1)=1,0,IF(WEEKDAY(CF$6,1)=7,0,MIN(8,CF9)*CF8))))-MIN(IF(CF8&lt;=0,0,IF(WEEKDAY(CF$6,1)=1,0,IF(WEEKDAY(CF$6,1)=7,0,MIN(8,CF9)*CF8))),MAX(0,40*MAX(1,CF8)-(CC10+CD10+CE10)))))</f>
        <v>20</v>
      </c>
      <c r="CG11" s="63">
        <f>IF(AND(CG8=4,CG9=13),20,IF(CG8&lt;=0,0,IF(WEEKDAY(CG$6,1)=1,0,IF(WEEKDAY(CG$6,1)=7,CG8*CG9,MAX(0,CG9-8)*CG8)))+((IF(CG8&lt;=0,0,IF(WEEKDAY(CG$6,1)=1,0,IF(WEEKDAY(CG$6,1)=7,0,MIN(8,CG9)*CG8))))-MIN(IF(CG8&lt;=0,0,IF(WEEKDAY(CG$6,1)=1,0,IF(WEEKDAY(CG$6,1)=7,0,MIN(8,CG9)*CG8))),MAX(0,40*MAX(1,CG8)-(CC10+CD10+CE10+CF10)))))</f>
        <v>20</v>
      </c>
      <c r="CH11" s="64">
        <f>IF(AND(CH8=4,CH9=13),52,IF(CH8&lt;=0,0,IF(WEEKDAY(CH$6,1)=1,0,IF(WEEKDAY(CH$6,1)=7,CH8*CH9,MAX(0,CH9-8)*CH8)))+((IF(CH8&lt;=0,0,IF(WEEKDAY(CH$6,1)=1,0,IF(WEEKDAY(CH$6,1)=7,0,MIN(8,CH9)*CH8))))-MIN(IF(CH8&lt;=0,0,IF(WEEKDAY(CH$6,1)=1,0,IF(WEEKDAY(CH$6,1)=7,0,MIN(8,CH9)*CH8))),MAX(0,40*MAX(1,CH8)-(CC10+CD10+CE10+CF10+CG10)))))</f>
        <v>52</v>
      </c>
      <c r="CI11" s="64">
        <f>IF(AND(CI8=4,CI9=13),0,IF(CI8&lt;=0,0,IF(WEEKDAY(CI$6,1)=1,0,IF(WEEKDAY(CI$6,1)=7,CI8*CI9,MAX(0,CI9-8)*CI8)))+((IF(CI8&lt;=0,0,IF(WEEKDAY(CI$6,1)=1,0,IF(WEEKDAY(CI$6,1)=7,0,MIN(8,CI9)*CI8))))-MIN(IF(CI8&lt;=0,0,IF(WEEKDAY(CI$6,1)=1,0,IF(WEEKDAY(CI$6,1)=7,0,MIN(8,CI9)*CI8))),MAX(0,40*MAX(1,CI8)-(CC10+CD10+CE10+CF10+CG10+CH10)))))</f>
        <v>0</v>
      </c>
      <c r="CJ11" s="63">
        <f>IF(AND(CJ8=4,CJ9=13),20,IF(CJ8&lt;=0,0,IF(WEEKDAY(CJ$6,1)=1,0,IF(WEEKDAY(CJ$6,1)=7,CJ8*CJ9,MAX(0,CJ9-8)*CJ8)))+((IF(CJ8&lt;=0,0,IF(WEEKDAY(CJ$6,1)=1,0,IF(WEEKDAY(CJ$6,1)=7,0,MIN(8,CJ9)*CJ8))))-MIN(IF(CJ8&lt;=0,0,IF(WEEKDAY(CJ$6,1)=1,0,IF(WEEKDAY(CJ$6,1)=7,0,MIN(8,CJ9)*CJ8))),MAX(0,40*MAX(1,CJ8)-(0)))))</f>
        <v>20</v>
      </c>
      <c r="CK11" s="63">
        <f>IF(AND(CK8=4,CK9=13),20,IF(CK8&lt;=0,0,IF(WEEKDAY(CK$6,1)=1,0,IF(WEEKDAY(CK$6,1)=7,CK8*CK9,MAX(0,CK9-8)*CK8)))+((IF(CK8&lt;=0,0,IF(WEEKDAY(CK$6,1)=1,0,IF(WEEKDAY(CK$6,1)=7,0,MIN(8,CK9)*CK8))))-MIN(IF(CK8&lt;=0,0,IF(WEEKDAY(CK$6,1)=1,0,IF(WEEKDAY(CK$6,1)=7,0,MIN(8,CK9)*CK8))),MAX(0,40*MAX(1,CK8)-(CJ10)))))</f>
        <v>20</v>
      </c>
      <c r="CL11" s="63">
        <f>IF(AND(CL8=4,CL9=13),20,IF(CL8&lt;=0,0,IF(WEEKDAY(CL$6,1)=1,0,IF(WEEKDAY(CL$6,1)=7,CL8*CL9,MAX(0,CL9-8)*CL8)))+((IF(CL8&lt;=0,0,IF(WEEKDAY(CL$6,1)=1,0,IF(WEEKDAY(CL$6,1)=7,0,MIN(8,CL9)*CL8))))-MIN(IF(CL8&lt;=0,0,IF(WEEKDAY(CL$6,1)=1,0,IF(WEEKDAY(CL$6,1)=7,0,MIN(8,CL9)*CL8))),MAX(0,40*MAX(1,CL8)-(CJ10+CK10)))))</f>
        <v>20</v>
      </c>
      <c r="CM11" s="63">
        <f>IF(AND(CM8=4,CM9=13),20,IF(CM8&lt;=0,0,IF(WEEKDAY(CM$6,1)=1,0,IF(WEEKDAY(CM$6,1)=7,CM8*CM9,MAX(0,CM9-8)*CM8)))+((IF(CM8&lt;=0,0,IF(WEEKDAY(CM$6,1)=1,0,IF(WEEKDAY(CM$6,1)=7,0,MIN(8,CM9)*CM8))))-MIN(IF(CM8&lt;=0,0,IF(WEEKDAY(CM$6,1)=1,0,IF(WEEKDAY(CM$6,1)=7,0,MIN(8,CM9)*CM8))),MAX(0,40*MAX(1,CM8)-(CJ10+CK10+CL10)))))</f>
        <v>20</v>
      </c>
      <c r="CN11" s="63">
        <f>IF(AND(CN8=4,CN9=13),20,IF(CN8&lt;=0,0,IF(WEEKDAY(CN$6,1)=1,0,IF(WEEKDAY(CN$6,1)=7,CN8*CN9,MAX(0,CN9-8)*CN8)))+((IF(CN8&lt;=0,0,IF(WEEKDAY(CN$6,1)=1,0,IF(WEEKDAY(CN$6,1)=7,0,MIN(8,CN9)*CN8))))-MIN(IF(CN8&lt;=0,0,IF(WEEKDAY(CN$6,1)=1,0,IF(WEEKDAY(CN$6,1)=7,0,MIN(8,CN9)*CN8))),MAX(0,40*MAX(1,CN8)-(CJ10+CK10+CL10+CM10)))))</f>
        <v>20</v>
      </c>
      <c r="CO11" s="64">
        <f>IF(AND(CO8=4,CO9=13),52,IF(CO8&lt;=0,0,IF(WEEKDAY(CO$6,1)=1,0,IF(WEEKDAY(CO$6,1)=7,CO8*CO9,MAX(0,CO9-8)*CO8)))+((IF(CO8&lt;=0,0,IF(WEEKDAY(CO$6,1)=1,0,IF(WEEKDAY(CO$6,1)=7,0,MIN(8,CO9)*CO8))))-MIN(IF(CO8&lt;=0,0,IF(WEEKDAY(CO$6,1)=1,0,IF(WEEKDAY(CO$6,1)=7,0,MIN(8,CO9)*CO8))),MAX(0,40*MAX(1,CO8)-(CJ10+CK10+CL10+CM10+CN10)))))</f>
        <v>52</v>
      </c>
      <c r="CP11" s="64">
        <f>IF(AND(CP8=4,CP9=13),0,IF(CP8&lt;=0,0,IF(WEEKDAY(CP$6,1)=1,0,IF(WEEKDAY(CP$6,1)=7,CP8*CP9,MAX(0,CP9-8)*CP8)))+((IF(CP8&lt;=0,0,IF(WEEKDAY(CP$6,1)=1,0,IF(WEEKDAY(CP$6,1)=7,0,MIN(8,CP9)*CP8))))-MIN(IF(CP8&lt;=0,0,IF(WEEKDAY(CP$6,1)=1,0,IF(WEEKDAY(CP$6,1)=7,0,MIN(8,CP9)*CP8))),MAX(0,40*MAX(1,CP8)-(CJ10+CK10+CL10+CM10+CN10+CO10)))))</f>
        <v>0</v>
      </c>
      <c r="CQ11" s="63">
        <f>IF(AND(CQ8=4,CQ9=13),20,IF(CQ8&lt;=0,0,IF(WEEKDAY(CQ$6,1)=1,0,IF(WEEKDAY(CQ$6,1)=7,CQ8*CQ9,MAX(0,CQ9-8)*CQ8)))+((IF(CQ8&lt;=0,0,IF(WEEKDAY(CQ$6,1)=1,0,IF(WEEKDAY(CQ$6,1)=7,0,MIN(8,CQ9)*CQ8))))-MIN(IF(CQ8&lt;=0,0,IF(WEEKDAY(CQ$6,1)=1,0,IF(WEEKDAY(CQ$6,1)=7,0,MIN(8,CQ9)*CQ8))),MAX(0,40*MAX(1,CQ8)-(0)))))</f>
        <v>20</v>
      </c>
      <c r="CR11" s="63">
        <f>IF(AND(CR8=4,CR9=13),20,IF(CR8&lt;=0,0,IF(WEEKDAY(CR$6,1)=1,0,IF(WEEKDAY(CR$6,1)=7,CR8*CR9,MAX(0,CR9-8)*CR8)))+((IF(CR8&lt;=0,0,IF(WEEKDAY(CR$6,1)=1,0,IF(WEEKDAY(CR$6,1)=7,0,MIN(8,CR9)*CR8))))-MIN(IF(CR8&lt;=0,0,IF(WEEKDAY(CR$6,1)=1,0,IF(WEEKDAY(CR$6,1)=7,0,MIN(8,CR9)*CR8))),MAX(0,40*MAX(1,CR8)-(CQ10)))))</f>
        <v>20</v>
      </c>
      <c r="CS11" s="63">
        <f>IF(AND(CS8=4,CS9=13),20,IF(CS8&lt;=0,0,IF(WEEKDAY(CS$6,1)=1,0,IF(WEEKDAY(CS$6,1)=7,CS8*CS9,MAX(0,CS9-8)*CS8)))+((IF(CS8&lt;=0,0,IF(WEEKDAY(CS$6,1)=1,0,IF(WEEKDAY(CS$6,1)=7,0,MIN(8,CS9)*CS8))))-MIN(IF(CS8&lt;=0,0,IF(WEEKDAY(CS$6,1)=1,0,IF(WEEKDAY(CS$6,1)=7,0,MIN(8,CS9)*CS8))),MAX(0,40*MAX(1,CS8)-(CQ10+CR10)))))</f>
        <v>20</v>
      </c>
      <c r="CT11" s="63">
        <f>IF(AND(CT8=4,CT9=13),20,IF(CT8&lt;=0,0,IF(WEEKDAY(CT$6,1)=1,0,IF(WEEKDAY(CT$6,1)=7,CT8*CT9,MAX(0,CT9-8)*CT8)))+((IF(CT8&lt;=0,0,IF(WEEKDAY(CT$6,1)=1,0,IF(WEEKDAY(CT$6,1)=7,0,MIN(8,CT9)*CT8))))-MIN(IF(CT8&lt;=0,0,IF(WEEKDAY(CT$6,1)=1,0,IF(WEEKDAY(CT$6,1)=7,0,MIN(8,CT9)*CT8))),MAX(0,40*MAX(1,CT8)-(CQ10+CR10+CS10)))))</f>
        <v>20</v>
      </c>
      <c r="CU11" s="63">
        <f>IF(AND(CU8=4,CU9=13),20,IF(CU8&lt;=0,0,IF(WEEKDAY(CU$6,1)=1,0,IF(WEEKDAY(CU$6,1)=7,CU8*CU9,MAX(0,CU9-8)*CU8)))+((IF(CU8&lt;=0,0,IF(WEEKDAY(CU$6,1)=1,0,IF(WEEKDAY(CU$6,1)=7,0,MIN(8,CU9)*CU8))))-MIN(IF(CU8&lt;=0,0,IF(WEEKDAY(CU$6,1)=1,0,IF(WEEKDAY(CU$6,1)=7,0,MIN(8,CU9)*CU8))),MAX(0,40*MAX(1,CU8)-(CQ10+CR10+CS10+CT10)))))</f>
        <v>20</v>
      </c>
      <c r="CV11" s="64">
        <f>IF(AND(CV8=4,CV9=13),52,IF(CV8&lt;=0,0,IF(WEEKDAY(CV$6,1)=1,0,IF(WEEKDAY(CV$6,1)=7,CV8*CV9,MAX(0,CV9-8)*CV8)))+((IF(CV8&lt;=0,0,IF(WEEKDAY(CV$6,1)=1,0,IF(WEEKDAY(CV$6,1)=7,0,MIN(8,CV9)*CV8))))-MIN(IF(CV8&lt;=0,0,IF(WEEKDAY(CV$6,1)=1,0,IF(WEEKDAY(CV$6,1)=7,0,MIN(8,CV9)*CV8))),MAX(0,40*MAX(1,CV8)-(CQ10+CR10+CS10+CT10+CU10)))))</f>
        <v>52</v>
      </c>
      <c r="CW11" s="64">
        <f>IF(AND(CW8=4,CW9=13),0,IF(CW8&lt;=0,0,IF(WEEKDAY(CW$6,1)=1,0,IF(WEEKDAY(CW$6,1)=7,CW8*CW9,MAX(0,CW9-8)*CW8)))+((IF(CW8&lt;=0,0,IF(WEEKDAY(CW$6,1)=1,0,IF(WEEKDAY(CW$6,1)=7,0,MIN(8,CW9)*CW8))))-MIN(IF(CW8&lt;=0,0,IF(WEEKDAY(CW$6,1)=1,0,IF(WEEKDAY(CW$6,1)=7,0,MIN(8,CW9)*CW8))),MAX(0,40*MAX(1,CW8)-(CQ10+CR10+CS10+CT10+CU10+CV10)))))</f>
        <v>0</v>
      </c>
      <c r="CX11" s="63">
        <f>IF(AND(CX8=4,CX9=13),20,IF(CX8&lt;=0,0,IF(WEEKDAY(CX$6,1)=1,0,IF(WEEKDAY(CX$6,1)=7,CX8*CX9,MAX(0,CX9-8)*CX8)))+((IF(CX8&lt;=0,0,IF(WEEKDAY(CX$6,1)=1,0,IF(WEEKDAY(CX$6,1)=7,0,MIN(8,CX9)*CX8))))-MIN(IF(CX8&lt;=0,0,IF(WEEKDAY(CX$6,1)=1,0,IF(WEEKDAY(CX$6,1)=7,0,MIN(8,CX9)*CX8))),MAX(0,40*MAX(1,CX8)-(0)))))</f>
        <v>20</v>
      </c>
      <c r="CY11" s="63">
        <f>IF(AND(CY8=4,CY9=13),20,IF(CY8&lt;=0,0,IF(WEEKDAY(CY$6,1)=1,0,IF(WEEKDAY(CY$6,1)=7,CY8*CY9,MAX(0,CY9-8)*CY8)))+((IF(CY8&lt;=0,0,IF(WEEKDAY(CY$6,1)=1,0,IF(WEEKDAY(CY$6,1)=7,0,MIN(8,CY9)*CY8))))-MIN(IF(CY8&lt;=0,0,IF(WEEKDAY(CY$6,1)=1,0,IF(WEEKDAY(CY$6,1)=7,0,MIN(8,CY9)*CY8))),MAX(0,40*MAX(1,CY8)-(CX10)))))</f>
        <v>20</v>
      </c>
      <c r="CZ11" s="63">
        <f>IF(AND(CZ8=4,CZ9=13),20,IF(CZ8&lt;=0,0,IF(WEEKDAY(CZ$6,1)=1,0,IF(WEEKDAY(CZ$6,1)=7,CZ8*CZ9,MAX(0,CZ9-8)*CZ8)))+((IF(CZ8&lt;=0,0,IF(WEEKDAY(CZ$6,1)=1,0,IF(WEEKDAY(CZ$6,1)=7,0,MIN(8,CZ9)*CZ8))))-MIN(IF(CZ8&lt;=0,0,IF(WEEKDAY(CZ$6,1)=1,0,IF(WEEKDAY(CZ$6,1)=7,0,MIN(8,CZ9)*CZ8))),MAX(0,40*MAX(1,CZ8)-(CX10+CY10)))))</f>
        <v>20</v>
      </c>
      <c r="DA11" s="63">
        <f>IF(AND(DA8=4,DA9=13),20,IF(DA8&lt;=0,0,IF(WEEKDAY(DA$6,1)=1,0,IF(WEEKDAY(DA$6,1)=7,DA8*DA9,MAX(0,DA9-8)*DA8)))+((IF(DA8&lt;=0,0,IF(WEEKDAY(DA$6,1)=1,0,IF(WEEKDAY(DA$6,1)=7,0,MIN(8,DA9)*DA8))))-MIN(IF(DA8&lt;=0,0,IF(WEEKDAY(DA$6,1)=1,0,IF(WEEKDAY(DA$6,1)=7,0,MIN(8,DA9)*DA8))),MAX(0,40*MAX(1,DA8)-(CX10+CY10+CZ10)))))</f>
        <v>20</v>
      </c>
      <c r="DB11" s="63">
        <f>IF(AND(DB8=4,DB9=13),20,IF(DB8&lt;=0,0,IF(WEEKDAY(DB$6,1)=1,0,IF(WEEKDAY(DB$6,1)=7,DB8*DB9,MAX(0,DB9-8)*DB8)))+((IF(DB8&lt;=0,0,IF(WEEKDAY(DB$6,1)=1,0,IF(WEEKDAY(DB$6,1)=7,0,MIN(8,DB9)*DB8))))-MIN(IF(DB8&lt;=0,0,IF(WEEKDAY(DB$6,1)=1,0,IF(WEEKDAY(DB$6,1)=7,0,MIN(8,DB9)*DB8))),MAX(0,40*MAX(1,DB8)-(CX10+CY10+CZ10+DA10)))))</f>
        <v>20</v>
      </c>
      <c r="DC11" s="64">
        <f>IF(AND(DC8=4,DC9=13),52,IF(DC8&lt;=0,0,IF(WEEKDAY(DC$6,1)=1,0,IF(WEEKDAY(DC$6,1)=7,DC8*DC9,MAX(0,DC9-8)*DC8)))+((IF(DC8&lt;=0,0,IF(WEEKDAY(DC$6,1)=1,0,IF(WEEKDAY(DC$6,1)=7,0,MIN(8,DC9)*DC8))))-MIN(IF(DC8&lt;=0,0,IF(WEEKDAY(DC$6,1)=1,0,IF(WEEKDAY(DC$6,1)=7,0,MIN(8,DC9)*DC8))),MAX(0,40*MAX(1,DC8)-(CX10+CY10+CZ10+DA10+DB10)))))</f>
        <v>52</v>
      </c>
      <c r="DD11" s="64">
        <f>IF(AND(DD8=2,DD9=13),0,IF(DD8&lt;=0,0,IF(WEEKDAY(DD$6,1)=1,0,IF(WEEKDAY(DD$6,1)=7,DD8*DD9,MAX(0,DD9-8)*DD8)))+((IF(DD8&lt;=0,0,IF(WEEKDAY(DD$6,1)=1,0,IF(WEEKDAY(DD$6,1)=7,0,MIN(8,DD9)*DD8))))-MIN(IF(DD8&lt;=0,0,IF(WEEKDAY(DD$6,1)=1,0,IF(WEEKDAY(DD$6,1)=7,0,MIN(8,DD9)*DD8))),MAX(0,40*MAX(1,DD8)-(0)))))</f>
        <v>0</v>
      </c>
      <c r="DE11" s="63">
        <f>IF(AND(DE8=2,DE9=13),10,IF(DE8&lt;=0,0,IF(WEEKDAY(DE$6,1)=1,0,IF(WEEKDAY(DE$6,1)=7,DE8*DE9,MAX(0,DE9-8)*DE8)))+((IF(DE8&lt;=0,0,IF(WEEKDAY(DE$6,1)=1,0,IF(WEEKDAY(DE$6,1)=7,0,MIN(8,DE9)*DE8))))-MIN(IF(DE8&lt;=0,0,IF(WEEKDAY(DE$6,1)=1,0,IF(WEEKDAY(DE$6,1)=7,0,MIN(8,DE9)*DE8))),MAX(0,40*MAX(1,DE8)-(0)))))</f>
        <v>10</v>
      </c>
      <c r="DF11" s="63">
        <f>IF(AND(DF8=2,DF9=13),10,IF(DF8&lt;=0,0,IF(WEEKDAY(DF$6,1)=1,0,IF(WEEKDAY(DF$6,1)=7,DF8*DF9,MAX(0,DF9-8)*DF8)))+((IF(DF8&lt;=0,0,IF(WEEKDAY(DF$6,1)=1,0,IF(WEEKDAY(DF$6,1)=7,0,MIN(8,DF9)*DF8))))-MIN(IF(DF8&lt;=0,0,IF(WEEKDAY(DF$6,1)=1,0,IF(WEEKDAY(DF$6,1)=7,0,MIN(8,DF9)*DF8))),MAX(0,40*MAX(1,DF8)-(DE10)))))</f>
        <v>10</v>
      </c>
      <c r="DG11" s="63">
        <f>IF(AND(DG8=2,DG9=13),10,IF(DG8&lt;=0,0,IF(WEEKDAY(DG$6,1)=1,0,IF(WEEKDAY(DG$6,1)=7,DG8*DG9,MAX(0,DG9-8)*DG8)))+((IF(DG8&lt;=0,0,IF(WEEKDAY(DG$6,1)=1,0,IF(WEEKDAY(DG$6,1)=7,0,MIN(8,DG9)*DG8))))-MIN(IF(DG8&lt;=0,0,IF(WEEKDAY(DG$6,1)=1,0,IF(WEEKDAY(DG$6,1)=7,0,MIN(8,DG9)*DG8))),MAX(0,40*MAX(1,DG8)-(DE10+DF10)))))</f>
        <v>10</v>
      </c>
      <c r="DH11" s="63">
        <f>IF(AND(DH8=2,DH9=13),10,IF(DH8&lt;=0,0,IF(WEEKDAY(DH$6,1)=1,0,IF(WEEKDAY(DH$6,1)=7,DH8*DH9,MAX(0,DH9-8)*DH8)))+((IF(DH8&lt;=0,0,IF(WEEKDAY(DH$6,1)=1,0,IF(WEEKDAY(DH$6,1)=7,0,MIN(8,DH9)*DH8))))-MIN(IF(DH8&lt;=0,0,IF(WEEKDAY(DH$6,1)=1,0,IF(WEEKDAY(DH$6,1)=7,0,MIN(8,DH9)*DH8))),MAX(0,40*MAX(1,DH8)-(DE10+DF10+DG10)))))</f>
        <v>10</v>
      </c>
      <c r="DI11" s="63">
        <f>IF(AND(DI8=2,DI9=13),10,IF(DI8&lt;=0,0,IF(WEEKDAY(DI$6,1)=1,0,IF(WEEKDAY(DI$6,1)=7,DI8*DI9,MAX(0,DI9-8)*DI8)))+((IF(DI8&lt;=0,0,IF(WEEKDAY(DI$6,1)=1,0,IF(WEEKDAY(DI$6,1)=7,0,MIN(8,DI9)*DI8))))-MIN(IF(DI8&lt;=0,0,IF(WEEKDAY(DI$6,1)=1,0,IF(WEEKDAY(DI$6,1)=7,0,MIN(8,DI9)*DI8))),MAX(0,40*MAX(1,DI8)-(DE10+DF10+DG10+DH10)))))</f>
        <v>10</v>
      </c>
      <c r="DJ11" s="64">
        <f>IF(AND(DJ8=2,DJ9=13),26,IF(DJ8&lt;=0,0,IF(WEEKDAY(DJ$6,1)=1,0,IF(WEEKDAY(DJ$6,1)=7,DJ8*DJ9,MAX(0,DJ9-8)*DJ8)))+((IF(DJ8&lt;=0,0,IF(WEEKDAY(DJ$6,1)=1,0,IF(WEEKDAY(DJ$6,1)=7,0,MIN(8,DJ9)*DJ8))))-MIN(IF(DJ8&lt;=0,0,IF(WEEKDAY(DJ$6,1)=1,0,IF(WEEKDAY(DJ$6,1)=7,0,MIN(8,DJ9)*DJ8))),MAX(0,40*MAX(1,DJ8)-(DE10+DF10+DG10+DH10+DI10)))))</f>
        <v>26</v>
      </c>
      <c r="DK11" s="64">
        <f>IF(AND(DK8=2,DK9=13),0,IF(DK8&lt;=0,0,IF(WEEKDAY(DK$6,1)=1,0,IF(WEEKDAY(DK$6,1)=7,DK8*DK9,MAX(0,DK9-8)*DK8)))+((IF(DK8&lt;=0,0,IF(WEEKDAY(DK$6,1)=1,0,IF(WEEKDAY(DK$6,1)=7,0,MIN(8,DK9)*DK8))))-MIN(IF(DK8&lt;=0,0,IF(WEEKDAY(DK$6,1)=1,0,IF(WEEKDAY(DK$6,1)=7,0,MIN(8,DK9)*DK8))),MAX(0,40*MAX(1,DK8)-(DE10+DF10+DG10+DH10+DI10+DJ10)))))</f>
        <v>0</v>
      </c>
      <c r="DL11" s="63">
        <f>IF(AND(DL8=2,DL9=13),10,IF(DL8&lt;=0,0,IF(WEEKDAY(DL$6,1)=1,0,IF(WEEKDAY(DL$6,1)=7,DL8*DL9,MAX(0,DL9-8)*DL8)))+((IF(DL8&lt;=0,0,IF(WEEKDAY(DL$6,1)=1,0,IF(WEEKDAY(DL$6,1)=7,0,MIN(8,DL9)*DL8))))-MIN(IF(DL8&lt;=0,0,IF(WEEKDAY(DL$6,1)=1,0,IF(WEEKDAY(DL$6,1)=7,0,MIN(8,DL9)*DL8))),MAX(0,40*MAX(1,DL8)-(0)))))</f>
        <v>10</v>
      </c>
      <c r="DM11" s="63">
        <f>IF(AND(DM8=2,DM9=13),10,IF(DM8&lt;=0,0,IF(WEEKDAY(DM$6,1)=1,0,IF(WEEKDAY(DM$6,1)=7,DM8*DM9,MAX(0,DM9-8)*DM8)))+((IF(DM8&lt;=0,0,IF(WEEKDAY(DM$6,1)=1,0,IF(WEEKDAY(DM$6,1)=7,0,MIN(8,DM9)*DM8))))-MIN(IF(DM8&lt;=0,0,IF(WEEKDAY(DM$6,1)=1,0,IF(WEEKDAY(DM$6,1)=7,0,MIN(8,DM9)*DM8))),MAX(0,40*MAX(1,DM8)-(DL10)))))</f>
        <v>10</v>
      </c>
      <c r="DN11" s="63">
        <f>IF(AND(DN8=2,DN9=13),10,IF(DN8&lt;=0,0,IF(WEEKDAY(DN$6,1)=1,0,IF(WEEKDAY(DN$6,1)=7,DN8*DN9,MAX(0,DN9-8)*DN8)))+((IF(DN8&lt;=0,0,IF(WEEKDAY(DN$6,1)=1,0,IF(WEEKDAY(DN$6,1)=7,0,MIN(8,DN9)*DN8))))-MIN(IF(DN8&lt;=0,0,IF(WEEKDAY(DN$6,1)=1,0,IF(WEEKDAY(DN$6,1)=7,0,MIN(8,DN9)*DN8))),MAX(0,40*MAX(1,DN8)-(DL10+DM10)))))</f>
        <v>10</v>
      </c>
      <c r="DO11" s="63">
        <f>IF(AND(DO8=2,DO9=13),10,IF(DO8&lt;=0,0,IF(WEEKDAY(DO$6,1)=1,0,IF(WEEKDAY(DO$6,1)=7,DO8*DO9,MAX(0,DO9-8)*DO8)))+((IF(DO8&lt;=0,0,IF(WEEKDAY(DO$6,1)=1,0,IF(WEEKDAY(DO$6,1)=7,0,MIN(8,DO9)*DO8))))-MIN(IF(DO8&lt;=0,0,IF(WEEKDAY(DO$6,1)=1,0,IF(WEEKDAY(DO$6,1)=7,0,MIN(8,DO9)*DO8))),MAX(0,40*MAX(1,DO8)-(DL10+DM10+DN10)))))</f>
        <v>10</v>
      </c>
      <c r="DP11" s="63">
        <f>IF(AND(DP8=2,DP9=13),10,IF(DP8&lt;=0,0,IF(WEEKDAY(DP$6,1)=1,0,IF(WEEKDAY(DP$6,1)=7,DP8*DP9,MAX(0,DP9-8)*DP8)))+((IF(DP8&lt;=0,0,IF(WEEKDAY(DP$6,1)=1,0,IF(WEEKDAY(DP$6,1)=7,0,MIN(8,DP9)*DP8))))-MIN(IF(DP8&lt;=0,0,IF(WEEKDAY(DP$6,1)=1,0,IF(WEEKDAY(DP$6,1)=7,0,MIN(8,DP9)*DP8))),MAX(0,40*MAX(1,DP8)-(DL10+DM10+DN10+DO10)))))</f>
        <v>10</v>
      </c>
      <c r="DQ11" s="64">
        <f>IF(AND(DQ8=2,DQ9=13),26,IF(DQ8&lt;=0,0,IF(WEEKDAY(DQ$6,1)=1,0,IF(WEEKDAY(DQ$6,1)=7,DQ8*DQ9,MAX(0,DQ9-8)*DQ8)))+((IF(DQ8&lt;=0,0,IF(WEEKDAY(DQ$6,1)=1,0,IF(WEEKDAY(DQ$6,1)=7,0,MIN(8,DQ9)*DQ8))))-MIN(IF(DQ8&lt;=0,0,IF(WEEKDAY(DQ$6,1)=1,0,IF(WEEKDAY(DQ$6,1)=7,0,MIN(8,DQ9)*DQ8))),MAX(0,40*MAX(1,DQ8)-(DL10+DM10+DN10+DO10+DP10)))))</f>
        <v>26</v>
      </c>
      <c r="DR11" s="64">
        <f>IF(AND(DR8=2,DR9=13),0,IF(DR8&lt;=0,0,IF(WEEKDAY(DR$6,1)=1,0,IF(WEEKDAY(DR$6,1)=7,DR8*DR9,MAX(0,DR9-8)*DR8)))+((IF(DR8&lt;=0,0,IF(WEEKDAY(DR$6,1)=1,0,IF(WEEKDAY(DR$6,1)=7,0,MIN(8,DR9)*DR8))))-MIN(IF(DR8&lt;=0,0,IF(WEEKDAY(DR$6,1)=1,0,IF(WEEKDAY(DR$6,1)=7,0,MIN(8,DR9)*DR8))),MAX(0,40*MAX(1,DR8)-(DL10+DM10+DN10+DO10+DP10+DQ10)))))</f>
        <v>0</v>
      </c>
      <c r="DS11" s="63">
        <f>IF(AND(DS8=2,DS9=13),10,IF(DS8&lt;=0,0,IF(WEEKDAY(DS$6,1)=1,0,IF(WEEKDAY(DS$6,1)=7,DS8*DS9,MAX(0,DS9-8)*DS8)))+((IF(DS8&lt;=0,0,IF(WEEKDAY(DS$6,1)=1,0,IF(WEEKDAY(DS$6,1)=7,0,MIN(8,DS9)*DS8))))-MIN(IF(DS8&lt;=0,0,IF(WEEKDAY(DS$6,1)=1,0,IF(WEEKDAY(DS$6,1)=7,0,MIN(8,DS9)*DS8))),MAX(0,40*MAX(1,DS8)-(0)))))</f>
        <v>10</v>
      </c>
      <c r="DT11" s="63">
        <f>IF(AND(DT8=2,DT9=8),0,IF(DT8&lt;=0,0,IF(WEEKDAY(DT$6,1)=1,0,IF(WEEKDAY(DT$6,1)=7,DT8*DT9,MAX(0,DT9-8)*DT8)))+((IF(DT8&lt;=0,0,IF(WEEKDAY(DT$6,1)=1,0,IF(WEEKDAY(DT$6,1)=7,0,MIN(8,DT9)*DT8))))-MIN(IF(DT8&lt;=0,0,IF(WEEKDAY(DT$6,1)=1,0,IF(WEEKDAY(DT$6,1)=7,0,MIN(8,DT9)*DT8))),MAX(0,40*MAX(1,DT8)-(0)))))</f>
        <v>0</v>
      </c>
      <c r="DU11" s="63">
        <f>IF(AND(DU8=2,DU9=8),0,IF(DU8&lt;=0,0,IF(WEEKDAY(DU$6,1)=1,0,IF(WEEKDAY(DU$6,1)=7,DU8*DU9,MAX(0,DU9-8)*DU8)))+((IF(DU8&lt;=0,0,IF(WEEKDAY(DU$6,1)=1,0,IF(WEEKDAY(DU$6,1)=7,0,MIN(8,DU9)*DU8))))-MIN(IF(DU8&lt;=0,0,IF(WEEKDAY(DU$6,1)=1,0,IF(WEEKDAY(DU$6,1)=7,0,MIN(8,DU9)*DU8))),MAX(0,40*MAX(1,DU8)-(DT10)))))</f>
        <v>0</v>
      </c>
      <c r="DV11" s="63">
        <f>IF(AND(DV8=2,DV9=8),0,IF(DV8&lt;=0,0,IF(WEEKDAY(DV$6,1)=1,0,IF(WEEKDAY(DV$6,1)=7,DV8*DV9,MAX(0,DV9-8)*DV8)))+((IF(DV8&lt;=0,0,IF(WEEKDAY(DV$6,1)=1,0,IF(WEEKDAY(DV$6,1)=7,0,MIN(8,DV9)*DV8))))-MIN(IF(DV8&lt;=0,0,IF(WEEKDAY(DV$6,1)=1,0,IF(WEEKDAY(DV$6,1)=7,0,MIN(8,DV9)*DV8))),MAX(0,40*MAX(1,DV8)-(DT10+DU10)))))</f>
        <v>0</v>
      </c>
      <c r="DW11" s="63">
        <f>IF(AND(DW8=2,DW9=8),0,IF(DW8&lt;=0,0,IF(WEEKDAY(DW$6,1)=1,0,IF(WEEKDAY(DW$6,1)=7,DW8*DW9,MAX(0,DW9-8)*DW8)))+((IF(DW8&lt;=0,0,IF(WEEKDAY(DW$6,1)=1,0,IF(WEEKDAY(DW$6,1)=7,0,MIN(8,DW9)*DW8))))-MIN(IF(DW8&lt;=0,0,IF(WEEKDAY(DW$6,1)=1,0,IF(WEEKDAY(DW$6,1)=7,0,MIN(8,DW9)*DW8))),MAX(0,40*MAX(1,DW8)-(DT10+DU10+DV10)))))</f>
        <v>0</v>
      </c>
      <c r="DX11" s="64">
        <f>IF(AND(DX8=0,DX9=0),0,IF(DX8&lt;=0,0,IF(WEEKDAY(DX$6,1)=1,0,IF(WEEKDAY(DX$6,1)=7,DX8*DX9,MAX(0,DX9-8)*DX8)))+((IF(DX8&lt;=0,0,IF(WEEKDAY(DX$6,1)=1,0,IF(WEEKDAY(DX$6,1)=7,0,MIN(8,DX9)*DX8))))-MIN(IF(DX8&lt;=0,0,IF(WEEKDAY(DX$6,1)=1,0,IF(WEEKDAY(DX$6,1)=7,0,MIN(8,DX9)*DX8))),MAX(0,40*MAX(1,DX8)-(0)))))</f>
        <v>0</v>
      </c>
      <c r="DY11" s="64">
        <f>IF(AND(DY8=0,DY9=0),0,IF(DY8&lt;=0,0,IF(WEEKDAY(DY$6,1)=1,0,IF(WEEKDAY(DY$6,1)=7,DY8*DY9,MAX(0,DY9-8)*DY8)))+((IF(DY8&lt;=0,0,IF(WEEKDAY(DY$6,1)=1,0,IF(WEEKDAY(DY$6,1)=7,0,MIN(8,DY9)*DY8))))-MIN(IF(DY8&lt;=0,0,IF(WEEKDAY(DY$6,1)=1,0,IF(WEEKDAY(DY$6,1)=7,0,MIN(8,DY9)*DY8))),MAX(0,40*MAX(1,DY8)-(DX10)))))</f>
        <v>0</v>
      </c>
      <c r="DZ11" s="63">
        <f>IF(AND(DZ8=2,DZ9=8),0,IF(DZ8&lt;=0,0,IF(WEEKDAY(DZ$6,1)=1,0,IF(WEEKDAY(DZ$6,1)=7,DZ8*DZ9,MAX(0,DZ9-8)*DZ8)))+((IF(DZ8&lt;=0,0,IF(WEEKDAY(DZ$6,1)=1,0,IF(WEEKDAY(DZ$6,1)=7,0,MIN(8,DZ9)*DZ8))))-MIN(IF(DZ8&lt;=0,0,IF(WEEKDAY(DZ$6,1)=1,0,IF(WEEKDAY(DZ$6,1)=7,0,MIN(8,DZ9)*DZ8))),MAX(0,40*MAX(1,DZ8)-(0)))))</f>
        <v>0</v>
      </c>
      <c r="EA11" s="63">
        <f>IF(AND(EA8=2,EA9=8),0,IF(EA8&lt;=0,0,IF(WEEKDAY(EA$6,1)=1,0,IF(WEEKDAY(EA$6,1)=7,EA8*EA9,MAX(0,EA9-8)*EA8)))+((IF(EA8&lt;=0,0,IF(WEEKDAY(EA$6,1)=1,0,IF(WEEKDAY(EA$6,1)=7,0,MIN(8,EA9)*EA8))))-MIN(IF(EA8&lt;=0,0,IF(WEEKDAY(EA$6,1)=1,0,IF(WEEKDAY(EA$6,1)=7,0,MIN(8,EA9)*EA8))),MAX(0,40*MAX(1,EA8)-(DZ10)))))</f>
        <v>0</v>
      </c>
      <c r="EB11" s="63">
        <f>IF(AND(EB8=2,EB9=8),0,IF(EB8&lt;=0,0,IF(WEEKDAY(EB$6,1)=1,0,IF(WEEKDAY(EB$6,1)=7,EB8*EB9,MAX(0,EB9-8)*EB8)))+((IF(EB8&lt;=0,0,IF(WEEKDAY(EB$6,1)=1,0,IF(WEEKDAY(EB$6,1)=7,0,MIN(8,EB9)*EB8))))-MIN(IF(EB8&lt;=0,0,IF(WEEKDAY(EB$6,1)=1,0,IF(WEEKDAY(EB$6,1)=7,0,MIN(8,EB9)*EB8))),MAX(0,40*MAX(1,EB8)-(DZ10+EA10)))))</f>
        <v>0</v>
      </c>
      <c r="EC11" s="63">
        <f>IF(AND(EC8=2,EC9=8),0,IF(EC8&lt;=0,0,IF(WEEKDAY(EC$6,1)=1,0,IF(WEEKDAY(EC$6,1)=7,EC8*EC9,MAX(0,EC9-8)*EC8)))+((IF(EC8&lt;=0,0,IF(WEEKDAY(EC$6,1)=1,0,IF(WEEKDAY(EC$6,1)=7,0,MIN(8,EC9)*EC8))))-MIN(IF(EC8&lt;=0,0,IF(WEEKDAY(EC$6,1)=1,0,IF(WEEKDAY(EC$6,1)=7,0,MIN(8,EC9)*EC8))),MAX(0,40*MAX(1,EC8)-(DZ10+EA10+EB10)))))</f>
        <v>0</v>
      </c>
      <c r="ED11" s="63">
        <f>IF(AND(ED8=2,ED9=8),0,IF(ED8&lt;=0,0,IF(WEEKDAY(ED$6,1)=1,0,IF(WEEKDAY(ED$6,1)=7,ED8*ED9,MAX(0,ED9-8)*ED8)))+((IF(ED8&lt;=0,0,IF(WEEKDAY(ED$6,1)=1,0,IF(WEEKDAY(ED$6,1)=7,0,MIN(8,ED9)*ED8))))-MIN(IF(ED8&lt;=0,0,IF(WEEKDAY(ED$6,1)=1,0,IF(WEEKDAY(ED$6,1)=7,0,MIN(8,ED9)*ED8))),MAX(0,40*MAX(1,ED8)-(DZ10+EA10+EB10+EC10)))))</f>
        <v>0</v>
      </c>
      <c r="EE11" s="64">
        <f>IF(AND(EE8=0,EE9=0),0,IF(EE8&lt;=0,0,IF(WEEKDAY(EE$6,1)=1,0,IF(WEEKDAY(EE$6,1)=7,EE8*EE9,MAX(0,EE9-8)*EE8)))+((IF(EE8&lt;=0,0,IF(WEEKDAY(EE$6,1)=1,0,IF(WEEKDAY(EE$6,1)=7,0,MIN(8,EE9)*EE8))))-MIN(IF(EE8&lt;=0,0,IF(WEEKDAY(EE$6,1)=1,0,IF(WEEKDAY(EE$6,1)=7,0,MIN(8,EE9)*EE8))),MAX(0,40*MAX(1,EE8)-(0)))))</f>
        <v>0</v>
      </c>
      <c r="EF11" s="64">
        <f>IF(AND(EF8=0,EF9=0),0,IF(EF8&lt;=0,0,IF(WEEKDAY(EF$6,1)=1,0,IF(WEEKDAY(EF$6,1)=7,EF8*EF9,MAX(0,EF9-8)*EF8)))+((IF(EF8&lt;=0,0,IF(WEEKDAY(EF$6,1)=1,0,IF(WEEKDAY(EF$6,1)=7,0,MIN(8,EF9)*EF8))))-MIN(IF(EF8&lt;=0,0,IF(WEEKDAY(EF$6,1)=1,0,IF(WEEKDAY(EF$6,1)=7,0,MIN(8,EF9)*EF8))),MAX(0,40*MAX(1,EF8)-(EE10)))))</f>
        <v>0</v>
      </c>
      <c r="EG11" s="63">
        <f>IF(AND(EG8=2,EG9=8),0,IF(EG8&lt;=0,0,IF(WEEKDAY(EG$6,1)=1,0,IF(WEEKDAY(EG$6,1)=7,EG8*EG9,MAX(0,EG9-8)*EG8)))+((IF(EG8&lt;=0,0,IF(WEEKDAY(EG$6,1)=1,0,IF(WEEKDAY(EG$6,1)=7,0,MIN(8,EG9)*EG8))))-MIN(IF(EG8&lt;=0,0,IF(WEEKDAY(EG$6,1)=1,0,IF(WEEKDAY(EG$6,1)=7,0,MIN(8,EG9)*EG8))),MAX(0,40*MAX(1,EG8)-(0)))))</f>
        <v>0</v>
      </c>
      <c r="EH11" s="63">
        <f>IF(AND(EH8=2,EH9=8),0,IF(EH8&lt;=0,0,IF(WEEKDAY(EH$6,1)=1,0,IF(WEEKDAY(EH$6,1)=7,EH8*EH9,MAX(0,EH9-8)*EH8)))+((IF(EH8&lt;=0,0,IF(WEEKDAY(EH$6,1)=1,0,IF(WEEKDAY(EH$6,1)=7,0,MIN(8,EH9)*EH8))))-MIN(IF(EH8&lt;=0,0,IF(WEEKDAY(EH$6,1)=1,0,IF(WEEKDAY(EH$6,1)=7,0,MIN(8,EH9)*EH8))),MAX(0,40*MAX(1,EH8)-(EG10)))))</f>
        <v>0</v>
      </c>
      <c r="EI11" s="63">
        <f>IF(AND(EI8=2,EI9=8),0,IF(EI8&lt;=0,0,IF(WEEKDAY(EI$6,1)=1,0,IF(WEEKDAY(EI$6,1)=7,EI8*EI9,MAX(0,EI9-8)*EI8)))+((IF(EI8&lt;=0,0,IF(WEEKDAY(EI$6,1)=1,0,IF(WEEKDAY(EI$6,1)=7,0,MIN(8,EI9)*EI8))))-MIN(IF(EI8&lt;=0,0,IF(WEEKDAY(EI$6,1)=1,0,IF(WEEKDAY(EI$6,1)=7,0,MIN(8,EI9)*EI8))),MAX(0,40*MAX(1,EI8)-(EG10+EH10)))))</f>
        <v>0</v>
      </c>
      <c r="EJ11" s="63">
        <f>IF(AND(EJ8=2,EJ9=8),0,IF(EJ8&lt;=0,0,IF(WEEKDAY(EJ$6,1)=1,0,IF(WEEKDAY(EJ$6,1)=7,EJ8*EJ9,MAX(0,EJ9-8)*EJ8)))+((IF(EJ8&lt;=0,0,IF(WEEKDAY(EJ$6,1)=1,0,IF(WEEKDAY(EJ$6,1)=7,0,MIN(8,EJ9)*EJ8))))-MIN(IF(EJ8&lt;=0,0,IF(WEEKDAY(EJ$6,1)=1,0,IF(WEEKDAY(EJ$6,1)=7,0,MIN(8,EJ9)*EJ8))),MAX(0,40*MAX(1,EJ8)-(EG10+EH10+EI10)))))</f>
        <v>0</v>
      </c>
      <c r="EK11" s="65">
        <f>IF(AND(EK8=2,EK9=8),0,IF(EK8&lt;=0,0,IF(WEEKDAY(EK$6,1)=1,0,IF(WEEKDAY(EK$6,1)=7,EK8*EK9,MAX(0,EK9-8)*EK8)))+((IF(EK8&lt;=0,0,IF(WEEKDAY(EK$6,1)=1,0,IF(WEEKDAY(EK$6,1)=7,0,MIN(8,EK9)*EK8))))-MIN(IF(EK8&lt;=0,0,IF(WEEKDAY(EK$6,1)=1,0,IF(WEEKDAY(EK$6,1)=7,0,MIN(8,EK9)*EK8))),MAX(0,40*MAX(1,EK8)-(EG10+EH10+EI10+EJ10)))))</f>
        <v>0</v>
      </c>
      <c r="OU11" s="28" t="s">
        <v>106</v>
      </c>
    </row>
    <row r="12" ht="16" customHeight="1" spans="1:411" x14ac:dyDescent="0.25">
      <c r="A12" s="45"/>
      <c r="B12" s="46"/>
      <c r="C12" s="61">
        <f>H7*N(D12)</f>
        <v>80152.8</v>
      </c>
      <c r="D12" s="61">
        <f>IF(TRIM(B7)="","No rate",IFERROR(INDEX('Rate Tables'!E$7:E$158,MATCH(B7,'Rate Tables'!A$7:A$158,0)),"No rate"))</f>
        <v>205.52</v>
      </c>
      <c r="E12" s="55" t="s">
        <v>64</v>
      </c>
      <c r="F12" s="49"/>
      <c r="G12" s="49"/>
      <c r="H12" s="49"/>
      <c r="I12" s="49"/>
      <c r="J12" s="50"/>
      <c r="K12" s="62">
        <f>IF(AND(K8=0,K9=0),0,IF(K8&lt;=0,0,IF(WEEKDAY(K$6,1)=1,K8*K9,0)))</f>
        <v>0</v>
      </c>
      <c r="L12" s="63">
        <f>IF(AND(L8=0,L9=0),0,IF(L8&lt;=0,0,IF(WEEKDAY(L$6,1)=1,L8*L9,0)))</f>
        <v>0</v>
      </c>
      <c r="M12" s="63">
        <f>IF(AND(M8=0,M9=0),0,IF(M8&lt;=0,0,IF(WEEKDAY(M$6,1)=1,M8*M9,0)))</f>
        <v>0</v>
      </c>
      <c r="N12" s="63">
        <f>IF(AND(N8=2,N9=9),0,IF(N8&lt;=0,0,IF(WEEKDAY(N$6,1)=1,N8*N9,0)))</f>
        <v>0</v>
      </c>
      <c r="O12" s="63">
        <f>IF(AND(O8=2,O9=9),0,IF(O8&lt;=0,0,IF(WEEKDAY(O$6,1)=1,O8*O9,0)))</f>
        <v>0</v>
      </c>
      <c r="P12" s="64">
        <f>IF(AND(P8=0,P9=0),0,IF(P8&lt;=0,0,IF(WEEKDAY(P$6,1)=1,P8*P9,0)))</f>
        <v>0</v>
      </c>
      <c r="Q12" s="64">
        <f>IF(AND(Q8=0,Q9=0),0,IF(Q8&lt;=0,0,IF(WEEKDAY(Q$6,1)=1,Q8*Q9,0)))</f>
        <v>0</v>
      </c>
      <c r="R12" s="63">
        <f>IF(AND(R8=2,R9=9),0,IF(R8&lt;=0,0,IF(WEEKDAY(R$6,1)=1,R8*R9,0)))</f>
        <v>0</v>
      </c>
      <c r="S12" s="63">
        <f>IF(AND(S8=2,S9=9),0,IF(S8&lt;=0,0,IF(WEEKDAY(S$6,1)=1,S8*S9,0)))</f>
        <v>0</v>
      </c>
      <c r="T12" s="63">
        <f>IF(AND(T8=2,T9=9),0,IF(T8&lt;=0,0,IF(WEEKDAY(T$6,1)=1,T8*T9,0)))</f>
        <v>0</v>
      </c>
      <c r="U12" s="63">
        <f>IF(AND(U8=2,U9=9),0,IF(U8&lt;=0,0,IF(WEEKDAY(U$6,1)=1,U8*U9,0)))</f>
        <v>0</v>
      </c>
      <c r="V12" s="63">
        <f>IF(AND(V8=2,V9=9),0,IF(V8&lt;=0,0,IF(WEEKDAY(V$6,1)=1,V8*V9,0)))</f>
        <v>0</v>
      </c>
      <c r="W12" s="64">
        <f>IF(AND(W8=0,W9=0),0,IF(W8&lt;=0,0,IF(WEEKDAY(W$6,1)=1,W8*W9,0)))</f>
        <v>0</v>
      </c>
      <c r="X12" s="64">
        <f>IF(AND(X8=0,X9=0),0,IF(X8&lt;=0,0,IF(WEEKDAY(X$6,1)=1,X8*X9,0)))</f>
        <v>0</v>
      </c>
      <c r="Y12" s="63">
        <f>IF(AND(Y8=2,Y9=9),0,IF(Y8&lt;=0,0,IF(WEEKDAY(Y$6,1)=1,Y8*Y9,0)))</f>
        <v>0</v>
      </c>
      <c r="Z12" s="63">
        <f>IF(AND(Z8=2,Z9=9),0,IF(Z8&lt;=0,0,IF(WEEKDAY(Z$6,1)=1,Z8*Z9,0)))</f>
        <v>0</v>
      </c>
      <c r="AA12" s="63">
        <f>IF(AND(AA8=2,AA9=9),0,IF(AA8&lt;=0,0,IF(WEEKDAY(AA$6,1)=1,AA8*AA9,0)))</f>
        <v>0</v>
      </c>
      <c r="AB12" s="63">
        <f>IF(AND(AB8=2,AB9=9),0,IF(AB8&lt;=0,0,IF(WEEKDAY(AB$6,1)=1,AB8*AB9,0)))</f>
        <v>0</v>
      </c>
      <c r="AC12" s="63">
        <f>IF(AND(AC8=2,AC9=9),0,IF(AC8&lt;=0,0,IF(WEEKDAY(AC$6,1)=1,AC8*AC9,0)))</f>
        <v>0</v>
      </c>
      <c r="AD12" s="64">
        <f>IF(AND(AD8=0,AD9=0),0,IF(AD8&lt;=0,0,IF(WEEKDAY(AD$6,1)=1,AD8*AD9,0)))</f>
        <v>0</v>
      </c>
      <c r="AE12" s="64">
        <f>IF(AND(AE8=0,AE9=0),0,IF(AE8&lt;=0,0,IF(WEEKDAY(AE$6,1)=1,AE8*AE9,0)))</f>
        <v>0</v>
      </c>
      <c r="AF12" s="63">
        <f>IF(AND(AF8=2,AF9=9),0,IF(AF8&lt;=0,0,IF(WEEKDAY(AF$6,1)=1,AF8*AF9,0)))</f>
        <v>0</v>
      </c>
      <c r="AG12" s="63">
        <f>IF(AND(AG8=2,AG9=9),0,IF(AG8&lt;=0,0,IF(WEEKDAY(AG$6,1)=1,AG8*AG9,0)))</f>
        <v>0</v>
      </c>
      <c r="AH12" s="63">
        <f>IF(AND(AH8=2,AH9=9),0,IF(AH8&lt;=0,0,IF(WEEKDAY(AH$6,1)=1,AH8*AH9,0)))</f>
        <v>0</v>
      </c>
      <c r="AI12" s="63">
        <f>IF(AND(AI8=2,AI9=9),0,IF(AI8&lt;=0,0,IF(WEEKDAY(AI$6,1)=1,AI8*AI9,0)))</f>
        <v>0</v>
      </c>
      <c r="AJ12" s="63">
        <f>IF(AND(AJ8=2,AJ9=9),0,IF(AJ8&lt;=0,0,IF(WEEKDAY(AJ$6,1)=1,AJ8*AJ9,0)))</f>
        <v>0</v>
      </c>
      <c r="AK12" s="64">
        <f>IF(AND(AK8=0,AK9=0),0,IF(AK8&lt;=0,0,IF(WEEKDAY(AK$6,1)=1,AK8*AK9,0)))</f>
        <v>0</v>
      </c>
      <c r="AL12" s="64">
        <f>IF(AND(AL8=0,AL9=0),0,IF(AL8&lt;=0,0,IF(WEEKDAY(AL$6,1)=1,AL8*AL9,0)))</f>
        <v>0</v>
      </c>
      <c r="AM12" s="63">
        <f>IF(AND(AM8=8.25,AM9=8),0,IF(AM8&lt;=0,0,IF(WEEKDAY(AM$6,1)=1,AM8*AM9,0)))</f>
        <v>0</v>
      </c>
      <c r="AN12" s="63">
        <f>IF(AND(AN8=8.25,AN9=8),0,IF(AN8&lt;=0,0,IF(WEEKDAY(AN$6,1)=1,AN8*AN9,0)))</f>
        <v>0</v>
      </c>
      <c r="AO12" s="63">
        <f>IF(AND(AO8=8.25,AO9=8),0,IF(AO8&lt;=0,0,IF(WEEKDAY(AO$6,1)=1,AO8*AO9,0)))</f>
        <v>0</v>
      </c>
      <c r="AP12" s="63">
        <f>IF(AND(AP8=8.25,AP9=8),0,IF(AP8&lt;=0,0,IF(WEEKDAY(AP$6,1)=1,AP8*AP9,0)))</f>
        <v>0</v>
      </c>
      <c r="AQ12" s="63">
        <f>IF(AND(AQ8=8.25,AQ9=8),0,IF(AQ8&lt;=0,0,IF(WEEKDAY(AQ$6,1)=1,AQ8*AQ9,0)))</f>
        <v>0</v>
      </c>
      <c r="AR12" s="64">
        <f>IF(AND(AR8=0,AR9=0),0,IF(AR8&lt;=0,0,IF(WEEKDAY(AR$6,1)=1,AR8*AR9,0)))</f>
        <v>0</v>
      </c>
      <c r="AS12" s="64">
        <f>IF(AND(AS8=0,AS9=0),0,IF(AS8&lt;=0,0,IF(WEEKDAY(AS$6,1)=1,AS8*AS9,0)))</f>
        <v>0</v>
      </c>
      <c r="AT12" s="63">
        <f>IF(AND(AT8=8.25,AT9=8),0,IF(AT8&lt;=0,0,IF(WEEKDAY(AT$6,1)=1,AT8*AT9,0)))</f>
        <v>0</v>
      </c>
      <c r="AU12" s="63">
        <f>IF(AND(AU8=8.25,AU9=8),0,IF(AU8&lt;=0,0,IF(WEEKDAY(AU$6,1)=1,AU8*AU9,0)))</f>
        <v>0</v>
      </c>
      <c r="AV12" s="63">
        <f>IF(AND(AV8=8.25,AV9=8),0,IF(AV8&lt;=0,0,IF(WEEKDAY(AV$6,1)=1,AV8*AV9,0)))</f>
        <v>0</v>
      </c>
      <c r="AW12" s="63">
        <f>IF(AND(AW8=8.25,AW9=8),0,IF(AW8&lt;=0,0,IF(WEEKDAY(AW$6,1)=1,AW8*AW9,0)))</f>
        <v>0</v>
      </c>
      <c r="AX12" s="63">
        <f>IF(AND(AX8=8.25,AX9=8),0,IF(AX8&lt;=0,0,IF(WEEKDAY(AX$6,1)=1,AX8*AX9,0)))</f>
        <v>0</v>
      </c>
      <c r="AY12" s="64">
        <f>IF(AND(AY8=0,AY9=0),0,IF(AY8&lt;=0,0,IF(WEEKDAY(AY$6,1)=1,AY8*AY9,0)))</f>
        <v>0</v>
      </c>
      <c r="AZ12" s="64">
        <f>IF(AND(AZ8=0,AZ9=0),0,IF(AZ8&lt;=0,0,IF(WEEKDAY(AZ$6,1)=1,AZ8*AZ9,0)))</f>
        <v>0</v>
      </c>
      <c r="BA12" s="63">
        <f>IF(AND(BA8=8.25,BA9=8),0,IF(BA8&lt;=0,0,IF(WEEKDAY(BA$6,1)=1,BA8*BA9,0)))</f>
        <v>0</v>
      </c>
      <c r="BB12" s="63">
        <f>IF(AND(BB8=8.25,BB9=8),0,IF(BB8&lt;=0,0,IF(WEEKDAY(BB$6,1)=1,BB8*BB9,0)))</f>
        <v>0</v>
      </c>
      <c r="BC12" s="63">
        <f>IF(AND(BC8=8.25,BC9=8),0,IF(BC8&lt;=0,0,IF(WEEKDAY(BC$6,1)=1,BC8*BC9,0)))</f>
        <v>0</v>
      </c>
      <c r="BD12" s="63">
        <f>IF(AND(BD8=8.25,BD9=8),0,IF(BD8&lt;=0,0,IF(WEEKDAY(BD$6,1)=1,BD8*BD9,0)))</f>
        <v>0</v>
      </c>
      <c r="BE12" s="63">
        <f>IF(AND(BE8=8.25,BE9=8),0,IF(BE8&lt;=0,0,IF(WEEKDAY(BE$6,1)=1,BE8*BE9,0)))</f>
        <v>0</v>
      </c>
      <c r="BF12" s="64">
        <f>IF(AND(BF8=0,BF9=0),0,IF(BF8&lt;=0,0,IF(WEEKDAY(BF$6,1)=1,BF8*BF9,0)))</f>
        <v>0</v>
      </c>
      <c r="BG12" s="64">
        <f>IF(AND(BG8=0,BG9=0),0,IF(BG8&lt;=0,0,IF(WEEKDAY(BG$6,1)=1,BG8*BG9,0)))</f>
        <v>0</v>
      </c>
      <c r="BH12" s="63">
        <f>IF(AND(BH8=4,BH9=13),0,IF(BH8&lt;=0,0,IF(WEEKDAY(BH$6,1)=1,BH8*BH9,0)))</f>
        <v>0</v>
      </c>
      <c r="BI12" s="63">
        <f>IF(AND(BI8=4,BI9=13),0,IF(BI8&lt;=0,0,IF(WEEKDAY(BI$6,1)=1,BI8*BI9,0)))</f>
        <v>0</v>
      </c>
      <c r="BJ12" s="63">
        <f>IF(AND(BJ8=4,BJ9=13),0,IF(BJ8&lt;=0,0,IF(WEEKDAY(BJ$6,1)=1,BJ8*BJ9,0)))</f>
        <v>0</v>
      </c>
      <c r="BK12" s="63">
        <f>IF(AND(BK8=4,BK9=13),0,IF(BK8&lt;=0,0,IF(WEEKDAY(BK$6,1)=1,BK8*BK9,0)))</f>
        <v>0</v>
      </c>
      <c r="BL12" s="63">
        <f>IF(AND(BL8=4,BL9=13),0,IF(BL8&lt;=0,0,IF(WEEKDAY(BL$6,1)=1,BL8*BL9,0)))</f>
        <v>0</v>
      </c>
      <c r="BM12" s="64">
        <f>IF(AND(BM8=4,BM9=13),0,IF(BM8&lt;=0,0,IF(WEEKDAY(BM$6,1)=1,BM8*BM9,0)))</f>
        <v>0</v>
      </c>
      <c r="BN12" s="64">
        <f>IF(AND(BN8=4,BN9=13),52,IF(BN8&lt;=0,0,IF(WEEKDAY(BN$6,1)=1,BN8*BN9,0)))</f>
        <v>52</v>
      </c>
      <c r="BO12" s="63">
        <f>IF(AND(BO8=4,BO9=13),0,IF(BO8&lt;=0,0,IF(WEEKDAY(BO$6,1)=1,BO8*BO9,0)))</f>
        <v>0</v>
      </c>
      <c r="BP12" s="63">
        <f>IF(AND(BP8=4,BP9=13),0,IF(BP8&lt;=0,0,IF(WEEKDAY(BP$6,1)=1,BP8*BP9,0)))</f>
        <v>0</v>
      </c>
      <c r="BQ12" s="63">
        <f>IF(AND(BQ8=4,BQ9=13),0,IF(BQ8&lt;=0,0,IF(WEEKDAY(BQ$6,1)=1,BQ8*BQ9,0)))</f>
        <v>0</v>
      </c>
      <c r="BR12" s="63">
        <f>IF(AND(BR8=4,BR9=13),0,IF(BR8&lt;=0,0,IF(WEEKDAY(BR$6,1)=1,BR8*BR9,0)))</f>
        <v>0</v>
      </c>
      <c r="BS12" s="63">
        <f>IF(AND(BS8=4,BS9=13),0,IF(BS8&lt;=0,0,IF(WEEKDAY(BS$6,1)=1,BS8*BS9,0)))</f>
        <v>0</v>
      </c>
      <c r="BT12" s="64">
        <f>IF(AND(BT8=4,BT9=13),0,IF(BT8&lt;=0,0,IF(WEEKDAY(BT$6,1)=1,BT8*BT9,0)))</f>
        <v>0</v>
      </c>
      <c r="BU12" s="64">
        <f>IF(AND(BU8=4,BU9=13),52,IF(BU8&lt;=0,0,IF(WEEKDAY(BU$6,1)=1,BU8*BU9,0)))</f>
        <v>52</v>
      </c>
      <c r="BV12" s="63">
        <f>IF(AND(BV8=4,BV9=13),0,IF(BV8&lt;=0,0,IF(WEEKDAY(BV$6,1)=1,BV8*BV9,0)))</f>
        <v>0</v>
      </c>
      <c r="BW12" s="63">
        <f>IF(AND(BW8=4,BW9=13),0,IF(BW8&lt;=0,0,IF(WEEKDAY(BW$6,1)=1,BW8*BW9,0)))</f>
        <v>0</v>
      </c>
      <c r="BX12" s="63">
        <f>IF(AND(BX8=4,BX9=13),0,IF(BX8&lt;=0,0,IF(WEEKDAY(BX$6,1)=1,BX8*BX9,0)))</f>
        <v>0</v>
      </c>
      <c r="BY12" s="63">
        <f>IF(AND(BY8=4,BY9=13),0,IF(BY8&lt;=0,0,IF(WEEKDAY(BY$6,1)=1,BY8*BY9,0)))</f>
        <v>0</v>
      </c>
      <c r="BZ12" s="63">
        <f>IF(AND(BZ8=4,BZ9=13),0,IF(BZ8&lt;=0,0,IF(WEEKDAY(BZ$6,1)=1,BZ8*BZ9,0)))</f>
        <v>0</v>
      </c>
      <c r="CA12" s="64">
        <f>IF(AND(CA8=4,CA9=13),0,IF(CA8&lt;=0,0,IF(WEEKDAY(CA$6,1)=1,CA8*CA9,0)))</f>
        <v>0</v>
      </c>
      <c r="CB12" s="64">
        <f>IF(AND(CB8=4,CB9=13),52,IF(CB8&lt;=0,0,IF(WEEKDAY(CB$6,1)=1,CB8*CB9,0)))</f>
        <v>52</v>
      </c>
      <c r="CC12" s="63">
        <f>IF(AND(CC8=4,CC9=13),0,IF(CC8&lt;=0,0,IF(WEEKDAY(CC$6,1)=1,CC8*CC9,0)))</f>
        <v>0</v>
      </c>
      <c r="CD12" s="63">
        <f>IF(AND(CD8=4,CD9=13),0,IF(CD8&lt;=0,0,IF(WEEKDAY(CD$6,1)=1,CD8*CD9,0)))</f>
        <v>0</v>
      </c>
      <c r="CE12" s="63">
        <f>IF(AND(CE8=4,CE9=13),0,IF(CE8&lt;=0,0,IF(WEEKDAY(CE$6,1)=1,CE8*CE9,0)))</f>
        <v>0</v>
      </c>
      <c r="CF12" s="63">
        <f>IF(AND(CF8=4,CF9=13),0,IF(CF8&lt;=0,0,IF(WEEKDAY(CF$6,1)=1,CF8*CF9,0)))</f>
        <v>0</v>
      </c>
      <c r="CG12" s="63">
        <f>IF(AND(CG8=4,CG9=13),0,IF(CG8&lt;=0,0,IF(WEEKDAY(CG$6,1)=1,CG8*CG9,0)))</f>
        <v>0</v>
      </c>
      <c r="CH12" s="64">
        <f>IF(AND(CH8=4,CH9=13),0,IF(CH8&lt;=0,0,IF(WEEKDAY(CH$6,1)=1,CH8*CH9,0)))</f>
        <v>0</v>
      </c>
      <c r="CI12" s="64">
        <f>IF(AND(CI8=4,CI9=13),52,IF(CI8&lt;=0,0,IF(WEEKDAY(CI$6,1)=1,CI8*CI9,0)))</f>
        <v>52</v>
      </c>
      <c r="CJ12" s="63">
        <f>IF(AND(CJ8=4,CJ9=13),0,IF(CJ8&lt;=0,0,IF(WEEKDAY(CJ$6,1)=1,CJ8*CJ9,0)))</f>
        <v>0</v>
      </c>
      <c r="CK12" s="63">
        <f>IF(AND(CK8=4,CK9=13),0,IF(CK8&lt;=0,0,IF(WEEKDAY(CK$6,1)=1,CK8*CK9,0)))</f>
        <v>0</v>
      </c>
      <c r="CL12" s="63">
        <f>IF(AND(CL8=4,CL9=13),0,IF(CL8&lt;=0,0,IF(WEEKDAY(CL$6,1)=1,CL8*CL9,0)))</f>
        <v>0</v>
      </c>
      <c r="CM12" s="63">
        <f>IF(AND(CM8=4,CM9=13),0,IF(CM8&lt;=0,0,IF(WEEKDAY(CM$6,1)=1,CM8*CM9,0)))</f>
        <v>0</v>
      </c>
      <c r="CN12" s="63">
        <f>IF(AND(CN8=4,CN9=13),0,IF(CN8&lt;=0,0,IF(WEEKDAY(CN$6,1)=1,CN8*CN9,0)))</f>
        <v>0</v>
      </c>
      <c r="CO12" s="64">
        <f>IF(AND(CO8=4,CO9=13),0,IF(CO8&lt;=0,0,IF(WEEKDAY(CO$6,1)=1,CO8*CO9,0)))</f>
        <v>0</v>
      </c>
      <c r="CP12" s="64">
        <f>IF(AND(CP8=4,CP9=13),52,IF(CP8&lt;=0,0,IF(WEEKDAY(CP$6,1)=1,CP8*CP9,0)))</f>
        <v>52</v>
      </c>
      <c r="CQ12" s="63">
        <f>IF(AND(CQ8=4,CQ9=13),0,IF(CQ8&lt;=0,0,IF(WEEKDAY(CQ$6,1)=1,CQ8*CQ9,0)))</f>
        <v>0</v>
      </c>
      <c r="CR12" s="63">
        <f>IF(AND(CR8=4,CR9=13),0,IF(CR8&lt;=0,0,IF(WEEKDAY(CR$6,1)=1,CR8*CR9,0)))</f>
        <v>0</v>
      </c>
      <c r="CS12" s="63">
        <f>IF(AND(CS8=4,CS9=13),0,IF(CS8&lt;=0,0,IF(WEEKDAY(CS$6,1)=1,CS8*CS9,0)))</f>
        <v>0</v>
      </c>
      <c r="CT12" s="63">
        <f>IF(AND(CT8=4,CT9=13),0,IF(CT8&lt;=0,0,IF(WEEKDAY(CT$6,1)=1,CT8*CT9,0)))</f>
        <v>0</v>
      </c>
      <c r="CU12" s="63">
        <f>IF(AND(CU8=4,CU9=13),0,IF(CU8&lt;=0,0,IF(WEEKDAY(CU$6,1)=1,CU8*CU9,0)))</f>
        <v>0</v>
      </c>
      <c r="CV12" s="64">
        <f>IF(AND(CV8=4,CV9=13),0,IF(CV8&lt;=0,0,IF(WEEKDAY(CV$6,1)=1,CV8*CV9,0)))</f>
        <v>0</v>
      </c>
      <c r="CW12" s="64">
        <f>IF(AND(CW8=4,CW9=13),52,IF(CW8&lt;=0,0,IF(WEEKDAY(CW$6,1)=1,CW8*CW9,0)))</f>
        <v>52</v>
      </c>
      <c r="CX12" s="63">
        <f>IF(AND(CX8=4,CX9=13),0,IF(CX8&lt;=0,0,IF(WEEKDAY(CX$6,1)=1,CX8*CX9,0)))</f>
        <v>0</v>
      </c>
      <c r="CY12" s="63">
        <f>IF(AND(CY8=4,CY9=13),0,IF(CY8&lt;=0,0,IF(WEEKDAY(CY$6,1)=1,CY8*CY9,0)))</f>
        <v>0</v>
      </c>
      <c r="CZ12" s="63">
        <f>IF(AND(CZ8=4,CZ9=13),0,IF(CZ8&lt;=0,0,IF(WEEKDAY(CZ$6,1)=1,CZ8*CZ9,0)))</f>
        <v>0</v>
      </c>
      <c r="DA12" s="63">
        <f>IF(AND(DA8=4,DA9=13),0,IF(DA8&lt;=0,0,IF(WEEKDAY(DA$6,1)=1,DA8*DA9,0)))</f>
        <v>0</v>
      </c>
      <c r="DB12" s="63">
        <f>IF(AND(DB8=4,DB9=13),0,IF(DB8&lt;=0,0,IF(WEEKDAY(DB$6,1)=1,DB8*DB9,0)))</f>
        <v>0</v>
      </c>
      <c r="DC12" s="64">
        <f>IF(AND(DC8=4,DC9=13),0,IF(DC8&lt;=0,0,IF(WEEKDAY(DC$6,1)=1,DC8*DC9,0)))</f>
        <v>0</v>
      </c>
      <c r="DD12" s="64">
        <f>IF(AND(DD8=2,DD9=13),26,IF(DD8&lt;=0,0,IF(WEEKDAY(DD$6,1)=1,DD8*DD9,0)))</f>
        <v>26</v>
      </c>
      <c r="DE12" s="63">
        <f>IF(AND(DE8=2,DE9=13),0,IF(DE8&lt;=0,0,IF(WEEKDAY(DE$6,1)=1,DE8*DE9,0)))</f>
        <v>0</v>
      </c>
      <c r="DF12" s="63">
        <f>IF(AND(DF8=2,DF9=13),0,IF(DF8&lt;=0,0,IF(WEEKDAY(DF$6,1)=1,DF8*DF9,0)))</f>
        <v>0</v>
      </c>
      <c r="DG12" s="63">
        <f>IF(AND(DG8=2,DG9=13),0,IF(DG8&lt;=0,0,IF(WEEKDAY(DG$6,1)=1,DG8*DG9,0)))</f>
        <v>0</v>
      </c>
      <c r="DH12" s="63">
        <f>IF(AND(DH8=2,DH9=13),0,IF(DH8&lt;=0,0,IF(WEEKDAY(DH$6,1)=1,DH8*DH9,0)))</f>
        <v>0</v>
      </c>
      <c r="DI12" s="63">
        <f>IF(AND(DI8=2,DI9=13),0,IF(DI8&lt;=0,0,IF(WEEKDAY(DI$6,1)=1,DI8*DI9,0)))</f>
        <v>0</v>
      </c>
      <c r="DJ12" s="64">
        <f>IF(AND(DJ8=2,DJ9=13),0,IF(DJ8&lt;=0,0,IF(WEEKDAY(DJ$6,1)=1,DJ8*DJ9,0)))</f>
        <v>0</v>
      </c>
      <c r="DK12" s="64">
        <f>IF(AND(DK8=2,DK9=13),26,IF(DK8&lt;=0,0,IF(WEEKDAY(DK$6,1)=1,DK8*DK9,0)))</f>
        <v>26</v>
      </c>
      <c r="DL12" s="63">
        <f>IF(AND(DL8=2,DL9=13),0,IF(DL8&lt;=0,0,IF(WEEKDAY(DL$6,1)=1,DL8*DL9,0)))</f>
        <v>0</v>
      </c>
      <c r="DM12" s="63">
        <f>IF(AND(DM8=2,DM9=13),0,IF(DM8&lt;=0,0,IF(WEEKDAY(DM$6,1)=1,DM8*DM9,0)))</f>
        <v>0</v>
      </c>
      <c r="DN12" s="63">
        <f>IF(AND(DN8=2,DN9=13),0,IF(DN8&lt;=0,0,IF(WEEKDAY(DN$6,1)=1,DN8*DN9,0)))</f>
        <v>0</v>
      </c>
      <c r="DO12" s="63">
        <f>IF(AND(DO8=2,DO9=13),0,IF(DO8&lt;=0,0,IF(WEEKDAY(DO$6,1)=1,DO8*DO9,0)))</f>
        <v>0</v>
      </c>
      <c r="DP12" s="63">
        <f>IF(AND(DP8=2,DP9=13),0,IF(DP8&lt;=0,0,IF(WEEKDAY(DP$6,1)=1,DP8*DP9,0)))</f>
        <v>0</v>
      </c>
      <c r="DQ12" s="64">
        <f>IF(AND(DQ8=2,DQ9=13),0,IF(DQ8&lt;=0,0,IF(WEEKDAY(DQ$6,1)=1,DQ8*DQ9,0)))</f>
        <v>0</v>
      </c>
      <c r="DR12" s="64">
        <f>IF(AND(DR8=2,DR9=13),26,IF(DR8&lt;=0,0,IF(WEEKDAY(DR$6,1)=1,DR8*DR9,0)))</f>
        <v>26</v>
      </c>
      <c r="DS12" s="63">
        <f>IF(AND(DS8=2,DS9=13),0,IF(DS8&lt;=0,0,IF(WEEKDAY(DS$6,1)=1,DS8*DS9,0)))</f>
        <v>0</v>
      </c>
      <c r="DT12" s="63">
        <f>IF(AND(DT8=2,DT9=8),0,IF(DT8&lt;=0,0,IF(WEEKDAY(DT$6,1)=1,DT8*DT9,0)))</f>
        <v>0</v>
      </c>
      <c r="DU12" s="63">
        <f>IF(AND(DU8=2,DU9=8),0,IF(DU8&lt;=0,0,IF(WEEKDAY(DU$6,1)=1,DU8*DU9,0)))</f>
        <v>0</v>
      </c>
      <c r="DV12" s="63">
        <f>IF(AND(DV8=2,DV9=8),0,IF(DV8&lt;=0,0,IF(WEEKDAY(DV$6,1)=1,DV8*DV9,0)))</f>
        <v>0</v>
      </c>
      <c r="DW12" s="63">
        <f>IF(AND(DW8=2,DW9=8),0,IF(DW8&lt;=0,0,IF(WEEKDAY(DW$6,1)=1,DW8*DW9,0)))</f>
        <v>0</v>
      </c>
      <c r="DX12" s="64">
        <f>IF(AND(DX8=0,DX9=0),0,IF(DX8&lt;=0,0,IF(WEEKDAY(DX$6,1)=1,DX8*DX9,0)))</f>
        <v>0</v>
      </c>
      <c r="DY12" s="64">
        <f>IF(AND(DY8=0,DY9=0),0,IF(DY8&lt;=0,0,IF(WEEKDAY(DY$6,1)=1,DY8*DY9,0)))</f>
        <v>0</v>
      </c>
      <c r="DZ12" s="63">
        <f>IF(AND(DZ8=2,DZ9=8),0,IF(DZ8&lt;=0,0,IF(WEEKDAY(DZ$6,1)=1,DZ8*DZ9,0)))</f>
        <v>0</v>
      </c>
      <c r="EA12" s="63">
        <f>IF(AND(EA8=2,EA9=8),0,IF(EA8&lt;=0,0,IF(WEEKDAY(EA$6,1)=1,EA8*EA9,0)))</f>
        <v>0</v>
      </c>
      <c r="EB12" s="63">
        <f>IF(AND(EB8=2,EB9=8),0,IF(EB8&lt;=0,0,IF(WEEKDAY(EB$6,1)=1,EB8*EB9,0)))</f>
        <v>0</v>
      </c>
      <c r="EC12" s="63">
        <f>IF(AND(EC8=2,EC9=8),0,IF(EC8&lt;=0,0,IF(WEEKDAY(EC$6,1)=1,EC8*EC9,0)))</f>
        <v>0</v>
      </c>
      <c r="ED12" s="63">
        <f>IF(AND(ED8=2,ED9=8),0,IF(ED8&lt;=0,0,IF(WEEKDAY(ED$6,1)=1,ED8*ED9,0)))</f>
        <v>0</v>
      </c>
      <c r="EE12" s="64">
        <f>IF(AND(EE8=0,EE9=0),0,IF(EE8&lt;=0,0,IF(WEEKDAY(EE$6,1)=1,EE8*EE9,0)))</f>
        <v>0</v>
      </c>
      <c r="EF12" s="64">
        <f>IF(AND(EF8=0,EF9=0),0,IF(EF8&lt;=0,0,IF(WEEKDAY(EF$6,1)=1,EF8*EF9,0)))</f>
        <v>0</v>
      </c>
      <c r="EG12" s="63">
        <f>IF(AND(EG8=2,EG9=8),0,IF(EG8&lt;=0,0,IF(WEEKDAY(EG$6,1)=1,EG8*EG9,0)))</f>
        <v>0</v>
      </c>
      <c r="EH12" s="63">
        <f>IF(AND(EH8=2,EH9=8),0,IF(EH8&lt;=0,0,IF(WEEKDAY(EH$6,1)=1,EH8*EH9,0)))</f>
        <v>0</v>
      </c>
      <c r="EI12" s="63">
        <f>IF(AND(EI8=2,EI9=8),0,IF(EI8&lt;=0,0,IF(WEEKDAY(EI$6,1)=1,EI8*EI9,0)))</f>
        <v>0</v>
      </c>
      <c r="EJ12" s="63">
        <f>IF(AND(EJ8=2,EJ9=8),0,IF(EJ8&lt;=0,0,IF(WEEKDAY(EJ$6,1)=1,EJ8*EJ9,0)))</f>
        <v>0</v>
      </c>
      <c r="EK12" s="65">
        <f>IF(AND(EK8=2,EK9=8),0,IF(EK8&lt;=0,0,IF(WEEKDAY(EK$6,1)=1,EK8*EK9,0)))</f>
        <v>0</v>
      </c>
      <c r="OU12" s="28" t="s">
        <v>106</v>
      </c>
    </row>
    <row r="13" ht="16" customHeight="1" spans="1:411" x14ac:dyDescent="0.25">
      <c r="A13" s="45"/>
      <c r="B13" s="46"/>
      <c r="C13" s="67">
        <f>I7*D13</f>
        <v>52780</v>
      </c>
      <c r="D13" s="67">
        <v>130</v>
      </c>
      <c r="E13" s="68" t="s">
        <v>65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2</v>
      </c>
      <c r="O13" s="70">
        <v>2</v>
      </c>
      <c r="P13" s="71">
        <v>0</v>
      </c>
      <c r="Q13" s="71">
        <v>0</v>
      </c>
      <c r="R13" s="70">
        <v>2</v>
      </c>
      <c r="S13" s="70">
        <v>2</v>
      </c>
      <c r="T13" s="70">
        <v>2</v>
      </c>
      <c r="U13" s="70">
        <v>2</v>
      </c>
      <c r="V13" s="70">
        <v>2</v>
      </c>
      <c r="W13" s="71">
        <v>0</v>
      </c>
      <c r="X13" s="71">
        <v>0</v>
      </c>
      <c r="Y13" s="70">
        <v>2</v>
      </c>
      <c r="Z13" s="70">
        <v>2</v>
      </c>
      <c r="AA13" s="70">
        <v>2</v>
      </c>
      <c r="AB13" s="70">
        <v>2</v>
      </c>
      <c r="AC13" s="70">
        <v>2</v>
      </c>
      <c r="AD13" s="71">
        <v>0</v>
      </c>
      <c r="AE13" s="71">
        <v>0</v>
      </c>
      <c r="AF13" s="70">
        <v>2</v>
      </c>
      <c r="AG13" s="70">
        <v>2</v>
      </c>
      <c r="AH13" s="70">
        <v>2</v>
      </c>
      <c r="AI13" s="70">
        <v>2</v>
      </c>
      <c r="AJ13" s="70">
        <v>2</v>
      </c>
      <c r="AK13" s="71">
        <v>0</v>
      </c>
      <c r="AL13" s="71">
        <v>0</v>
      </c>
      <c r="AM13" s="70">
        <v>8</v>
      </c>
      <c r="AN13" s="70">
        <v>8</v>
      </c>
      <c r="AO13" s="70">
        <v>8</v>
      </c>
      <c r="AP13" s="70">
        <v>8</v>
      </c>
      <c r="AQ13" s="70">
        <v>8</v>
      </c>
      <c r="AR13" s="71">
        <v>0</v>
      </c>
      <c r="AS13" s="71">
        <v>0</v>
      </c>
      <c r="AT13" s="70">
        <v>8</v>
      </c>
      <c r="AU13" s="70">
        <v>8</v>
      </c>
      <c r="AV13" s="70">
        <v>8</v>
      </c>
      <c r="AW13" s="70">
        <v>8</v>
      </c>
      <c r="AX13" s="70">
        <v>8</v>
      </c>
      <c r="AY13" s="71">
        <v>0</v>
      </c>
      <c r="AZ13" s="71">
        <v>0</v>
      </c>
      <c r="BA13" s="70">
        <v>8</v>
      </c>
      <c r="BB13" s="70">
        <v>8</v>
      </c>
      <c r="BC13" s="70">
        <v>8</v>
      </c>
      <c r="BD13" s="70">
        <v>8</v>
      </c>
      <c r="BE13" s="70">
        <v>8</v>
      </c>
      <c r="BF13" s="71">
        <v>0</v>
      </c>
      <c r="BG13" s="71">
        <v>0</v>
      </c>
      <c r="BH13" s="70">
        <v>4</v>
      </c>
      <c r="BI13" s="70">
        <v>4</v>
      </c>
      <c r="BJ13" s="70">
        <v>4</v>
      </c>
      <c r="BK13" s="70">
        <v>4</v>
      </c>
      <c r="BL13" s="70">
        <v>4</v>
      </c>
      <c r="BM13" s="71">
        <v>4</v>
      </c>
      <c r="BN13" s="71">
        <v>4</v>
      </c>
      <c r="BO13" s="70">
        <v>4</v>
      </c>
      <c r="BP13" s="70">
        <v>4</v>
      </c>
      <c r="BQ13" s="70">
        <v>4</v>
      </c>
      <c r="BR13" s="70">
        <v>4</v>
      </c>
      <c r="BS13" s="70">
        <v>4</v>
      </c>
      <c r="BT13" s="71">
        <v>4</v>
      </c>
      <c r="BU13" s="71">
        <v>4</v>
      </c>
      <c r="BV13" s="70">
        <v>4</v>
      </c>
      <c r="BW13" s="70">
        <v>4</v>
      </c>
      <c r="BX13" s="70">
        <v>4</v>
      </c>
      <c r="BY13" s="70">
        <v>4</v>
      </c>
      <c r="BZ13" s="70">
        <v>4</v>
      </c>
      <c r="CA13" s="71">
        <v>4</v>
      </c>
      <c r="CB13" s="71">
        <v>4</v>
      </c>
      <c r="CC13" s="70">
        <v>4</v>
      </c>
      <c r="CD13" s="70">
        <v>4</v>
      </c>
      <c r="CE13" s="70">
        <v>4</v>
      </c>
      <c r="CF13" s="70">
        <v>4</v>
      </c>
      <c r="CG13" s="70">
        <v>4</v>
      </c>
      <c r="CH13" s="71">
        <v>4</v>
      </c>
      <c r="CI13" s="71">
        <v>4</v>
      </c>
      <c r="CJ13" s="70">
        <v>4</v>
      </c>
      <c r="CK13" s="70">
        <v>4</v>
      </c>
      <c r="CL13" s="70">
        <v>4</v>
      </c>
      <c r="CM13" s="70">
        <v>4</v>
      </c>
      <c r="CN13" s="70">
        <v>4</v>
      </c>
      <c r="CO13" s="71">
        <v>4</v>
      </c>
      <c r="CP13" s="71">
        <v>4</v>
      </c>
      <c r="CQ13" s="70">
        <v>4</v>
      </c>
      <c r="CR13" s="70">
        <v>4</v>
      </c>
      <c r="CS13" s="70">
        <v>4</v>
      </c>
      <c r="CT13" s="70">
        <v>4</v>
      </c>
      <c r="CU13" s="70">
        <v>4</v>
      </c>
      <c r="CV13" s="71">
        <v>4</v>
      </c>
      <c r="CW13" s="71">
        <v>4</v>
      </c>
      <c r="CX13" s="70">
        <v>4</v>
      </c>
      <c r="CY13" s="70">
        <v>4</v>
      </c>
      <c r="CZ13" s="70">
        <v>4</v>
      </c>
      <c r="DA13" s="70">
        <v>4</v>
      </c>
      <c r="DB13" s="70">
        <v>4</v>
      </c>
      <c r="DC13" s="71">
        <v>4</v>
      </c>
      <c r="DD13" s="71">
        <v>2</v>
      </c>
      <c r="DE13" s="70">
        <v>2</v>
      </c>
      <c r="DF13" s="70">
        <v>2</v>
      </c>
      <c r="DG13" s="70">
        <v>2</v>
      </c>
      <c r="DH13" s="70">
        <v>2</v>
      </c>
      <c r="DI13" s="70">
        <v>2</v>
      </c>
      <c r="DJ13" s="71">
        <v>2</v>
      </c>
      <c r="DK13" s="71">
        <v>2</v>
      </c>
      <c r="DL13" s="70">
        <v>2</v>
      </c>
      <c r="DM13" s="70">
        <v>2</v>
      </c>
      <c r="DN13" s="70">
        <v>2</v>
      </c>
      <c r="DO13" s="70">
        <v>2</v>
      </c>
      <c r="DP13" s="70">
        <v>2</v>
      </c>
      <c r="DQ13" s="71">
        <v>2</v>
      </c>
      <c r="DR13" s="71">
        <v>2</v>
      </c>
      <c r="DS13" s="70">
        <v>2</v>
      </c>
      <c r="DT13" s="70">
        <v>2</v>
      </c>
      <c r="DU13" s="70">
        <v>2</v>
      </c>
      <c r="DV13" s="70">
        <v>2</v>
      </c>
      <c r="DW13" s="70">
        <v>2</v>
      </c>
      <c r="DX13" s="71">
        <v>0</v>
      </c>
      <c r="DY13" s="71">
        <v>0</v>
      </c>
      <c r="DZ13" s="70">
        <v>2</v>
      </c>
      <c r="EA13" s="70">
        <v>2</v>
      </c>
      <c r="EB13" s="70">
        <v>2</v>
      </c>
      <c r="EC13" s="70">
        <v>2</v>
      </c>
      <c r="ED13" s="70">
        <v>2</v>
      </c>
      <c r="EE13" s="71">
        <v>0</v>
      </c>
      <c r="EF13" s="71">
        <v>0</v>
      </c>
      <c r="EG13" s="70">
        <v>2</v>
      </c>
      <c r="EH13" s="70">
        <v>2</v>
      </c>
      <c r="EI13" s="70">
        <v>2</v>
      </c>
      <c r="EJ13" s="70">
        <v>2</v>
      </c>
      <c r="EK13" s="72">
        <v>2</v>
      </c>
      <c r="OU13" s="60" t="s">
        <v>106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74" t="s">
        <v>70</v>
      </c>
      <c r="B15" s="46" t="s">
        <v>105</v>
      </c>
      <c r="C15" s="47">
        <f>J15</f>
        <v>421128.13999999996</v>
      </c>
      <c r="D15" s="48"/>
      <c r="E15" s="48"/>
      <c r="F15" s="49">
        <f>SUM(K18:EK18)</f>
        <v>1296</v>
      </c>
      <c r="G15" s="49">
        <f>SUM(K19:EK19)</f>
        <v>1226</v>
      </c>
      <c r="H15" s="49">
        <f>SUM(K20:EK20)</f>
        <v>390</v>
      </c>
      <c r="I15" s="49">
        <f>SUM(K21:EK21)</f>
        <v>224</v>
      </c>
      <c r="J15" s="50">
        <f>C18+C19+C20</f>
        <v>421128.13999999996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107</v>
      </c>
    </row>
    <row r="16" ht="16" customHeight="1" spans="1:411" x14ac:dyDescent="0.25">
      <c r="A16" s="74"/>
      <c r="B16" s="46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0</v>
      </c>
      <c r="O16" s="57">
        <v>0</v>
      </c>
      <c r="P16" s="58">
        <v>0</v>
      </c>
      <c r="Q16" s="58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8">
        <v>0</v>
      </c>
      <c r="X16" s="58">
        <v>0</v>
      </c>
      <c r="Y16" s="57">
        <v>0</v>
      </c>
      <c r="Z16" s="57">
        <v>0</v>
      </c>
      <c r="AA16" s="57">
        <v>0</v>
      </c>
      <c r="AB16" s="57">
        <v>0</v>
      </c>
      <c r="AC16" s="57">
        <v>0</v>
      </c>
      <c r="AD16" s="58">
        <v>0</v>
      </c>
      <c r="AE16" s="58">
        <v>0</v>
      </c>
      <c r="AF16" s="57">
        <v>0</v>
      </c>
      <c r="AG16" s="57">
        <v>0</v>
      </c>
      <c r="AH16" s="57">
        <v>0</v>
      </c>
      <c r="AI16" s="57">
        <v>0</v>
      </c>
      <c r="AJ16" s="57">
        <v>0</v>
      </c>
      <c r="AK16" s="58">
        <v>0</v>
      </c>
      <c r="AL16" s="58">
        <v>0</v>
      </c>
      <c r="AM16" s="57">
        <v>0</v>
      </c>
      <c r="AN16" s="57">
        <v>0</v>
      </c>
      <c r="AO16" s="57">
        <v>0</v>
      </c>
      <c r="AP16" s="57">
        <v>0</v>
      </c>
      <c r="AQ16" s="57">
        <v>0</v>
      </c>
      <c r="AR16" s="58">
        <v>0</v>
      </c>
      <c r="AS16" s="58">
        <v>0</v>
      </c>
      <c r="AT16" s="57">
        <v>0</v>
      </c>
      <c r="AU16" s="57">
        <v>0</v>
      </c>
      <c r="AV16" s="57">
        <v>0</v>
      </c>
      <c r="AW16" s="57">
        <v>0</v>
      </c>
      <c r="AX16" s="57">
        <v>0</v>
      </c>
      <c r="AY16" s="58">
        <v>0</v>
      </c>
      <c r="AZ16" s="58">
        <v>0</v>
      </c>
      <c r="BA16" s="57">
        <v>0</v>
      </c>
      <c r="BB16" s="57">
        <v>0</v>
      </c>
      <c r="BC16" s="57">
        <v>0</v>
      </c>
      <c r="BD16" s="57">
        <v>0</v>
      </c>
      <c r="BE16" s="57">
        <v>0</v>
      </c>
      <c r="BF16" s="58">
        <v>0</v>
      </c>
      <c r="BG16" s="58">
        <v>0</v>
      </c>
      <c r="BH16" s="57">
        <v>4</v>
      </c>
      <c r="BI16" s="57">
        <v>4</v>
      </c>
      <c r="BJ16" s="57">
        <v>4</v>
      </c>
      <c r="BK16" s="57">
        <v>4</v>
      </c>
      <c r="BL16" s="57">
        <v>4</v>
      </c>
      <c r="BM16" s="58">
        <v>4</v>
      </c>
      <c r="BN16" s="58">
        <v>4</v>
      </c>
      <c r="BO16" s="57">
        <v>4</v>
      </c>
      <c r="BP16" s="57">
        <v>4</v>
      </c>
      <c r="BQ16" s="57">
        <v>4</v>
      </c>
      <c r="BR16" s="57">
        <v>4</v>
      </c>
      <c r="BS16" s="57">
        <v>4</v>
      </c>
      <c r="BT16" s="58">
        <v>4</v>
      </c>
      <c r="BU16" s="58">
        <v>4</v>
      </c>
      <c r="BV16" s="57">
        <v>4</v>
      </c>
      <c r="BW16" s="57">
        <v>4</v>
      </c>
      <c r="BX16" s="57">
        <v>4</v>
      </c>
      <c r="BY16" s="57">
        <v>4</v>
      </c>
      <c r="BZ16" s="57">
        <v>4</v>
      </c>
      <c r="CA16" s="58">
        <v>4</v>
      </c>
      <c r="CB16" s="58">
        <v>4</v>
      </c>
      <c r="CC16" s="57">
        <v>4</v>
      </c>
      <c r="CD16" s="57">
        <v>4</v>
      </c>
      <c r="CE16" s="57">
        <v>4</v>
      </c>
      <c r="CF16" s="57">
        <v>4</v>
      </c>
      <c r="CG16" s="57">
        <v>4</v>
      </c>
      <c r="CH16" s="58">
        <v>4</v>
      </c>
      <c r="CI16" s="58">
        <v>4</v>
      </c>
      <c r="CJ16" s="57">
        <v>4</v>
      </c>
      <c r="CK16" s="57">
        <v>4</v>
      </c>
      <c r="CL16" s="57">
        <v>4</v>
      </c>
      <c r="CM16" s="57">
        <v>4</v>
      </c>
      <c r="CN16" s="57">
        <v>4</v>
      </c>
      <c r="CO16" s="58">
        <v>4</v>
      </c>
      <c r="CP16" s="58">
        <v>4</v>
      </c>
      <c r="CQ16" s="57">
        <v>4</v>
      </c>
      <c r="CR16" s="57">
        <v>4</v>
      </c>
      <c r="CS16" s="57">
        <v>4</v>
      </c>
      <c r="CT16" s="57">
        <v>4</v>
      </c>
      <c r="CU16" s="57">
        <v>4</v>
      </c>
      <c r="CV16" s="58">
        <v>4</v>
      </c>
      <c r="CW16" s="58">
        <v>4</v>
      </c>
      <c r="CX16" s="57">
        <v>4</v>
      </c>
      <c r="CY16" s="57">
        <v>4</v>
      </c>
      <c r="CZ16" s="57">
        <v>4</v>
      </c>
      <c r="DA16" s="57">
        <v>4</v>
      </c>
      <c r="DB16" s="57">
        <v>4</v>
      </c>
      <c r="DC16" s="58">
        <v>4</v>
      </c>
      <c r="DD16" s="58">
        <v>2</v>
      </c>
      <c r="DE16" s="57">
        <v>2</v>
      </c>
      <c r="DF16" s="57">
        <v>2</v>
      </c>
      <c r="DG16" s="57">
        <v>2</v>
      </c>
      <c r="DH16" s="57">
        <v>2</v>
      </c>
      <c r="DI16" s="57">
        <v>2</v>
      </c>
      <c r="DJ16" s="58">
        <v>2</v>
      </c>
      <c r="DK16" s="58">
        <v>2</v>
      </c>
      <c r="DL16" s="57">
        <v>2</v>
      </c>
      <c r="DM16" s="57">
        <v>2</v>
      </c>
      <c r="DN16" s="57">
        <v>2</v>
      </c>
      <c r="DO16" s="57">
        <v>2</v>
      </c>
      <c r="DP16" s="57">
        <v>2</v>
      </c>
      <c r="DQ16" s="58">
        <v>2</v>
      </c>
      <c r="DR16" s="58">
        <v>2</v>
      </c>
      <c r="DS16" s="57">
        <v>2</v>
      </c>
      <c r="DT16" s="57">
        <v>0</v>
      </c>
      <c r="DU16" s="57">
        <v>0</v>
      </c>
      <c r="DV16" s="57">
        <v>0</v>
      </c>
      <c r="DW16" s="57">
        <v>0</v>
      </c>
      <c r="DX16" s="58">
        <v>0</v>
      </c>
      <c r="DY16" s="58">
        <v>0</v>
      </c>
      <c r="DZ16" s="57">
        <v>0</v>
      </c>
      <c r="EA16" s="57">
        <v>0</v>
      </c>
      <c r="EB16" s="57">
        <v>0</v>
      </c>
      <c r="EC16" s="57">
        <v>0</v>
      </c>
      <c r="ED16" s="57">
        <v>0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107</v>
      </c>
    </row>
    <row r="17" ht="16" customHeight="1" spans="1:411" x14ac:dyDescent="0.25">
      <c r="A17" s="74"/>
      <c r="B17" s="46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8">
        <v>0</v>
      </c>
      <c r="Q17" s="58">
        <v>0</v>
      </c>
      <c r="R17" s="57">
        <v>0</v>
      </c>
      <c r="S17" s="57">
        <v>0</v>
      </c>
      <c r="T17" s="57">
        <v>0</v>
      </c>
      <c r="U17" s="57">
        <v>0</v>
      </c>
      <c r="V17" s="57">
        <v>0</v>
      </c>
      <c r="W17" s="58">
        <v>0</v>
      </c>
      <c r="X17" s="58">
        <v>0</v>
      </c>
      <c r="Y17" s="57">
        <v>0</v>
      </c>
      <c r="Z17" s="57">
        <v>0</v>
      </c>
      <c r="AA17" s="57">
        <v>0</v>
      </c>
      <c r="AB17" s="57">
        <v>0</v>
      </c>
      <c r="AC17" s="57">
        <v>0</v>
      </c>
      <c r="AD17" s="58">
        <v>0</v>
      </c>
      <c r="AE17" s="58">
        <v>0</v>
      </c>
      <c r="AF17" s="57">
        <v>0</v>
      </c>
      <c r="AG17" s="57">
        <v>0</v>
      </c>
      <c r="AH17" s="57">
        <v>0</v>
      </c>
      <c r="AI17" s="57">
        <v>0</v>
      </c>
      <c r="AJ17" s="57">
        <v>0</v>
      </c>
      <c r="AK17" s="58">
        <v>0</v>
      </c>
      <c r="AL17" s="58">
        <v>0</v>
      </c>
      <c r="AM17" s="57">
        <v>0</v>
      </c>
      <c r="AN17" s="57">
        <v>0</v>
      </c>
      <c r="AO17" s="57">
        <v>0</v>
      </c>
      <c r="AP17" s="57">
        <v>0</v>
      </c>
      <c r="AQ17" s="57">
        <v>0</v>
      </c>
      <c r="AR17" s="58">
        <v>0</v>
      </c>
      <c r="AS17" s="58">
        <v>0</v>
      </c>
      <c r="AT17" s="57">
        <v>0</v>
      </c>
      <c r="AU17" s="57">
        <v>0</v>
      </c>
      <c r="AV17" s="57">
        <v>0</v>
      </c>
      <c r="AW17" s="57">
        <v>0</v>
      </c>
      <c r="AX17" s="57">
        <v>0</v>
      </c>
      <c r="AY17" s="58">
        <v>0</v>
      </c>
      <c r="AZ17" s="58">
        <v>0</v>
      </c>
      <c r="BA17" s="57">
        <v>0</v>
      </c>
      <c r="BB17" s="57">
        <v>0</v>
      </c>
      <c r="BC17" s="57">
        <v>0</v>
      </c>
      <c r="BD17" s="57">
        <v>0</v>
      </c>
      <c r="BE17" s="57">
        <v>0</v>
      </c>
      <c r="BF17" s="58">
        <v>0</v>
      </c>
      <c r="BG17" s="58">
        <v>0</v>
      </c>
      <c r="BH17" s="57">
        <v>13</v>
      </c>
      <c r="BI17" s="57">
        <v>13</v>
      </c>
      <c r="BJ17" s="57">
        <v>13</v>
      </c>
      <c r="BK17" s="57">
        <v>13</v>
      </c>
      <c r="BL17" s="57">
        <v>13</v>
      </c>
      <c r="BM17" s="58">
        <v>13</v>
      </c>
      <c r="BN17" s="58">
        <v>13</v>
      </c>
      <c r="BO17" s="57">
        <v>13</v>
      </c>
      <c r="BP17" s="57">
        <v>13</v>
      </c>
      <c r="BQ17" s="57">
        <v>13</v>
      </c>
      <c r="BR17" s="57">
        <v>13</v>
      </c>
      <c r="BS17" s="57">
        <v>13</v>
      </c>
      <c r="BT17" s="58">
        <v>13</v>
      </c>
      <c r="BU17" s="58">
        <v>13</v>
      </c>
      <c r="BV17" s="57">
        <v>13</v>
      </c>
      <c r="BW17" s="57">
        <v>13</v>
      </c>
      <c r="BX17" s="57">
        <v>13</v>
      </c>
      <c r="BY17" s="57">
        <v>13</v>
      </c>
      <c r="BZ17" s="57">
        <v>13</v>
      </c>
      <c r="CA17" s="58">
        <v>13</v>
      </c>
      <c r="CB17" s="58">
        <v>13</v>
      </c>
      <c r="CC17" s="57">
        <v>13</v>
      </c>
      <c r="CD17" s="57">
        <v>13</v>
      </c>
      <c r="CE17" s="57">
        <v>13</v>
      </c>
      <c r="CF17" s="57">
        <v>13</v>
      </c>
      <c r="CG17" s="57">
        <v>13</v>
      </c>
      <c r="CH17" s="58">
        <v>13</v>
      </c>
      <c r="CI17" s="58">
        <v>13</v>
      </c>
      <c r="CJ17" s="57">
        <v>13</v>
      </c>
      <c r="CK17" s="57">
        <v>13</v>
      </c>
      <c r="CL17" s="57">
        <v>13</v>
      </c>
      <c r="CM17" s="57">
        <v>13</v>
      </c>
      <c r="CN17" s="57">
        <v>13</v>
      </c>
      <c r="CO17" s="58">
        <v>13</v>
      </c>
      <c r="CP17" s="58">
        <v>13</v>
      </c>
      <c r="CQ17" s="57">
        <v>13</v>
      </c>
      <c r="CR17" s="57">
        <v>13</v>
      </c>
      <c r="CS17" s="57">
        <v>13</v>
      </c>
      <c r="CT17" s="57">
        <v>13</v>
      </c>
      <c r="CU17" s="57">
        <v>13</v>
      </c>
      <c r="CV17" s="58">
        <v>13</v>
      </c>
      <c r="CW17" s="58">
        <v>13</v>
      </c>
      <c r="CX17" s="57">
        <v>13</v>
      </c>
      <c r="CY17" s="57">
        <v>13</v>
      </c>
      <c r="CZ17" s="57">
        <v>13</v>
      </c>
      <c r="DA17" s="57">
        <v>13</v>
      </c>
      <c r="DB17" s="57">
        <v>13</v>
      </c>
      <c r="DC17" s="58">
        <v>13</v>
      </c>
      <c r="DD17" s="58">
        <v>13</v>
      </c>
      <c r="DE17" s="57">
        <v>13</v>
      </c>
      <c r="DF17" s="57">
        <v>13</v>
      </c>
      <c r="DG17" s="57">
        <v>13</v>
      </c>
      <c r="DH17" s="57">
        <v>13</v>
      </c>
      <c r="DI17" s="57">
        <v>13</v>
      </c>
      <c r="DJ17" s="58">
        <v>13</v>
      </c>
      <c r="DK17" s="58">
        <v>13</v>
      </c>
      <c r="DL17" s="57">
        <v>13</v>
      </c>
      <c r="DM17" s="57">
        <v>13</v>
      </c>
      <c r="DN17" s="57">
        <v>13</v>
      </c>
      <c r="DO17" s="57">
        <v>13</v>
      </c>
      <c r="DP17" s="57">
        <v>13</v>
      </c>
      <c r="DQ17" s="58">
        <v>13</v>
      </c>
      <c r="DR17" s="58">
        <v>13</v>
      </c>
      <c r="DS17" s="57">
        <v>13</v>
      </c>
      <c r="DT17" s="57">
        <v>0</v>
      </c>
      <c r="DU17" s="57">
        <v>0</v>
      </c>
      <c r="DV17" s="57">
        <v>0</v>
      </c>
      <c r="DW17" s="57">
        <v>0</v>
      </c>
      <c r="DX17" s="58">
        <v>0</v>
      </c>
      <c r="DY17" s="58">
        <v>0</v>
      </c>
      <c r="DZ17" s="57">
        <v>0</v>
      </c>
      <c r="EA17" s="57">
        <v>0</v>
      </c>
      <c r="EB17" s="57">
        <v>0</v>
      </c>
      <c r="EC17" s="57">
        <v>0</v>
      </c>
      <c r="ED17" s="57">
        <v>0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107</v>
      </c>
    </row>
    <row r="18" ht="16" customHeight="1" spans="1:411" x14ac:dyDescent="0.25">
      <c r="A18" s="74"/>
      <c r="B18" s="46"/>
      <c r="C18" s="61">
        <f>F15*N(D18)</f>
        <v>145955.52000000002</v>
      </c>
      <c r="D18" s="61">
        <f>IF(TRIM(B15)="","No rate",IFERROR(INDEX('Rate Tables'!C$7:C$158,MATCH(B15,'Rate Tables'!A$7:A$158,0)),"No rate"))</f>
        <v>112.62</v>
      </c>
      <c r="E18" s="55" t="s">
        <v>62</v>
      </c>
      <c r="F18" s="49"/>
      <c r="G18" s="49"/>
      <c r="H18" s="49"/>
      <c r="I18" s="49"/>
      <c r="J18" s="50"/>
      <c r="K18" s="62">
        <f>IF(AND(K16=0,K17=0),0,MIN(IF(K16&lt;=0,0,IF(WEEKDAY(K$6,1)=1,0,IF(WEEKDAY(K$6,1)=7,0,MIN(8,K17)*K16))),MAX(0,40*MAX(1,K16)-(0))))</f>
        <v>0</v>
      </c>
      <c r="L18" s="63">
        <f>IF(AND(L16=0,L17=0),0,MIN(IF(L16&lt;=0,0,IF(WEEKDAY(L$6,1)=1,0,IF(WEEKDAY(L$6,1)=7,0,MIN(8,L17)*L16))),MAX(0,40*MAX(1,L16)-(K18))))</f>
        <v>0</v>
      </c>
      <c r="M18" s="63">
        <f>IF(AND(M16=0,M17=0),0,MIN(IF(M16&lt;=0,0,IF(WEEKDAY(M$6,1)=1,0,IF(WEEKDAY(M$6,1)=7,0,MIN(8,M17)*M16))),MAX(0,40*MAX(1,M16)-(K18+L18))))</f>
        <v>0</v>
      </c>
      <c r="N18" s="63">
        <f>IF(AND(N16=0,N17=0),0,MIN(IF(N16&lt;=0,0,IF(WEEKDAY(N$6,1)=1,0,IF(WEEKDAY(N$6,1)=7,0,MIN(8,N17)*N16))),MAX(0,40*MAX(1,N16)-(K18+L18+M18))))</f>
        <v>0</v>
      </c>
      <c r="O18" s="63">
        <f>IF(AND(O16=0,O17=0),0,MIN(IF(O16&lt;=0,0,IF(WEEKDAY(O$6,1)=1,0,IF(WEEKDAY(O$6,1)=7,0,MIN(8,O17)*O16))),MAX(0,40*MAX(1,O16)-(K18+L18+M18+N18))))</f>
        <v>0</v>
      </c>
      <c r="P18" s="64">
        <f>IF(AND(P16=0,P17=0),0,MIN(IF(P16&lt;=0,0,IF(WEEKDAY(P$6,1)=1,0,IF(WEEKDAY(P$6,1)=7,0,MIN(8,P17)*P16))),MAX(0,40*MAX(1,P16)-(K18+L18+M18+N18+O18))))</f>
        <v>0</v>
      </c>
      <c r="Q18" s="64">
        <f>IF(AND(Q16=0,Q17=0),0,MIN(IF(Q16&lt;=0,0,IF(WEEKDAY(Q$6,1)=1,0,IF(WEEKDAY(Q$6,1)=7,0,MIN(8,Q17)*Q16))),MAX(0,40*MAX(1,Q16)-(K18+L18+M18+N18+O18+P18))))</f>
        <v>0</v>
      </c>
      <c r="R18" s="63">
        <f>IF(AND(R16=0,R17=0),0,MIN(IF(R16&lt;=0,0,IF(WEEKDAY(R$6,1)=1,0,IF(WEEKDAY(R$6,1)=7,0,MIN(8,R17)*R16))),MAX(0,40*MAX(1,R16)-(0))))</f>
        <v>0</v>
      </c>
      <c r="S18" s="63">
        <f>IF(AND(S16=0,S17=0),0,MIN(IF(S16&lt;=0,0,IF(WEEKDAY(S$6,1)=1,0,IF(WEEKDAY(S$6,1)=7,0,MIN(8,S17)*S16))),MAX(0,40*MAX(1,S16)-(R18))))</f>
        <v>0</v>
      </c>
      <c r="T18" s="63">
        <f>IF(AND(T16=0,T17=0),0,MIN(IF(T16&lt;=0,0,IF(WEEKDAY(T$6,1)=1,0,IF(WEEKDAY(T$6,1)=7,0,MIN(8,T17)*T16))),MAX(0,40*MAX(1,T16)-(R18+S18))))</f>
        <v>0</v>
      </c>
      <c r="U18" s="63">
        <f>IF(AND(U16=0,U17=0),0,MIN(IF(U16&lt;=0,0,IF(WEEKDAY(U$6,1)=1,0,IF(WEEKDAY(U$6,1)=7,0,MIN(8,U17)*U16))),MAX(0,40*MAX(1,U16)-(R18+S18+T18))))</f>
        <v>0</v>
      </c>
      <c r="V18" s="63">
        <f>IF(AND(V16=0,V17=0),0,MIN(IF(V16&lt;=0,0,IF(WEEKDAY(V$6,1)=1,0,IF(WEEKDAY(V$6,1)=7,0,MIN(8,V17)*V16))),MAX(0,40*MAX(1,V16)-(R18+S18+T18+U18))))</f>
        <v>0</v>
      </c>
      <c r="W18" s="64">
        <f>IF(AND(W16=0,W17=0),0,MIN(IF(W16&lt;=0,0,IF(WEEKDAY(W$6,1)=1,0,IF(WEEKDAY(W$6,1)=7,0,MIN(8,W17)*W16))),MAX(0,40*MAX(1,W16)-(R18+S18+T18+U18+V18))))</f>
        <v>0</v>
      </c>
      <c r="X18" s="64">
        <f>IF(AND(X16=0,X17=0),0,MIN(IF(X16&lt;=0,0,IF(WEEKDAY(X$6,1)=1,0,IF(WEEKDAY(X$6,1)=7,0,MIN(8,X17)*X16))),MAX(0,40*MAX(1,X16)-(R18+S18+T18+U18+V18+W18))))</f>
        <v>0</v>
      </c>
      <c r="Y18" s="63">
        <f>IF(AND(Y16=0,Y17=0),0,MIN(IF(Y16&lt;=0,0,IF(WEEKDAY(Y$6,1)=1,0,IF(WEEKDAY(Y$6,1)=7,0,MIN(8,Y17)*Y16))),MAX(0,40*MAX(1,Y16)-(0))))</f>
        <v>0</v>
      </c>
      <c r="Z18" s="63">
        <f>IF(AND(Z16=0,Z17=0),0,MIN(IF(Z16&lt;=0,0,IF(WEEKDAY(Z$6,1)=1,0,IF(WEEKDAY(Z$6,1)=7,0,MIN(8,Z17)*Z16))),MAX(0,40*MAX(1,Z16)-(Y18))))</f>
        <v>0</v>
      </c>
      <c r="AA18" s="63">
        <f>IF(AND(AA16=0,AA17=0),0,MIN(IF(AA16&lt;=0,0,IF(WEEKDAY(AA$6,1)=1,0,IF(WEEKDAY(AA$6,1)=7,0,MIN(8,AA17)*AA16))),MAX(0,40*MAX(1,AA16)-(Y18+Z18))))</f>
        <v>0</v>
      </c>
      <c r="AB18" s="63">
        <f>IF(AND(AB16=0,AB17=0),0,MIN(IF(AB16&lt;=0,0,IF(WEEKDAY(AB$6,1)=1,0,IF(WEEKDAY(AB$6,1)=7,0,MIN(8,AB17)*AB16))),MAX(0,40*MAX(1,AB16)-(Y18+Z18+AA18))))</f>
        <v>0</v>
      </c>
      <c r="AC18" s="63">
        <f>IF(AND(AC16=0,AC17=0),0,MIN(IF(AC16&lt;=0,0,IF(WEEKDAY(AC$6,1)=1,0,IF(WEEKDAY(AC$6,1)=7,0,MIN(8,AC17)*AC16))),MAX(0,40*MAX(1,AC16)-(Y18+Z18+AA18+AB18))))</f>
        <v>0</v>
      </c>
      <c r="AD18" s="64">
        <f>IF(AND(AD16=0,AD17=0),0,MIN(IF(AD16&lt;=0,0,IF(WEEKDAY(AD$6,1)=1,0,IF(WEEKDAY(AD$6,1)=7,0,MIN(8,AD17)*AD16))),MAX(0,40*MAX(1,AD16)-(Y18+Z18+AA18+AB18+AC18))))</f>
        <v>0</v>
      </c>
      <c r="AE18" s="64">
        <f>IF(AND(AE16=0,AE17=0),0,MIN(IF(AE16&lt;=0,0,IF(WEEKDAY(AE$6,1)=1,0,IF(WEEKDAY(AE$6,1)=7,0,MIN(8,AE17)*AE16))),MAX(0,40*MAX(1,AE16)-(Y18+Z18+AA18+AB18+AC18+AD18))))</f>
        <v>0</v>
      </c>
      <c r="AF18" s="63">
        <f>IF(AND(AF16=0,AF17=0),0,MIN(IF(AF16&lt;=0,0,IF(WEEKDAY(AF$6,1)=1,0,IF(WEEKDAY(AF$6,1)=7,0,MIN(8,AF17)*AF16))),MAX(0,40*MAX(1,AF16)-(0))))</f>
        <v>0</v>
      </c>
      <c r="AG18" s="63">
        <f>IF(AND(AG16=0,AG17=0),0,MIN(IF(AG16&lt;=0,0,IF(WEEKDAY(AG$6,1)=1,0,IF(WEEKDAY(AG$6,1)=7,0,MIN(8,AG17)*AG16))),MAX(0,40*MAX(1,AG16)-(AF18))))</f>
        <v>0</v>
      </c>
      <c r="AH18" s="63">
        <f>IF(AND(AH16=0,AH17=0),0,MIN(IF(AH16&lt;=0,0,IF(WEEKDAY(AH$6,1)=1,0,IF(WEEKDAY(AH$6,1)=7,0,MIN(8,AH17)*AH16))),MAX(0,40*MAX(1,AH16)-(AF18+AG18))))</f>
        <v>0</v>
      </c>
      <c r="AI18" s="63">
        <f>IF(AND(AI16=0,AI17=0),0,MIN(IF(AI16&lt;=0,0,IF(WEEKDAY(AI$6,1)=1,0,IF(WEEKDAY(AI$6,1)=7,0,MIN(8,AI17)*AI16))),MAX(0,40*MAX(1,AI16)-(AF18+AG18+AH18))))</f>
        <v>0</v>
      </c>
      <c r="AJ18" s="63">
        <f>IF(AND(AJ16=0,AJ17=0),0,MIN(IF(AJ16&lt;=0,0,IF(WEEKDAY(AJ$6,1)=1,0,IF(WEEKDAY(AJ$6,1)=7,0,MIN(8,AJ17)*AJ16))),MAX(0,40*MAX(1,AJ16)-(AF18+AG18+AH18+AI18))))</f>
        <v>0</v>
      </c>
      <c r="AK18" s="64">
        <f>IF(AND(AK16=0,AK17=0),0,MIN(IF(AK16&lt;=0,0,IF(WEEKDAY(AK$6,1)=1,0,IF(WEEKDAY(AK$6,1)=7,0,MIN(8,AK17)*AK16))),MAX(0,40*MAX(1,AK16)-(AF18+AG18+AH18+AI18+AJ18))))</f>
        <v>0</v>
      </c>
      <c r="AL18" s="64">
        <f>IF(AND(AL16=0,AL17=0),0,MIN(IF(AL16&lt;=0,0,IF(WEEKDAY(AL$6,1)=1,0,IF(WEEKDAY(AL$6,1)=7,0,MIN(8,AL17)*AL16))),MAX(0,40*MAX(1,AL16)-(AF18+AG18+AH18+AI18+AJ18+AK18))))</f>
        <v>0</v>
      </c>
      <c r="AM18" s="63">
        <f>IF(AND(AM16=0,AM17=0),0,MIN(IF(AM16&lt;=0,0,IF(WEEKDAY(AM$6,1)=1,0,IF(WEEKDAY(AM$6,1)=7,0,MIN(8,AM17)*AM16))),MAX(0,40*MAX(1,AM16)-(0))))</f>
        <v>0</v>
      </c>
      <c r="AN18" s="63">
        <f>IF(AND(AN16=0,AN17=0),0,MIN(IF(AN16&lt;=0,0,IF(WEEKDAY(AN$6,1)=1,0,IF(WEEKDAY(AN$6,1)=7,0,MIN(8,AN17)*AN16))),MAX(0,40*MAX(1,AN16)-(AM18))))</f>
        <v>0</v>
      </c>
      <c r="AO18" s="63">
        <f>IF(AND(AO16=0,AO17=0),0,MIN(IF(AO16&lt;=0,0,IF(WEEKDAY(AO$6,1)=1,0,IF(WEEKDAY(AO$6,1)=7,0,MIN(8,AO17)*AO16))),MAX(0,40*MAX(1,AO16)-(AM18+AN18))))</f>
        <v>0</v>
      </c>
      <c r="AP18" s="63">
        <f>IF(AND(AP16=0,AP17=0),0,MIN(IF(AP16&lt;=0,0,IF(WEEKDAY(AP$6,1)=1,0,IF(WEEKDAY(AP$6,1)=7,0,MIN(8,AP17)*AP16))),MAX(0,40*MAX(1,AP16)-(AM18+AN18+AO18))))</f>
        <v>0</v>
      </c>
      <c r="AQ18" s="63">
        <f>IF(AND(AQ16=0,AQ17=0),0,MIN(IF(AQ16&lt;=0,0,IF(WEEKDAY(AQ$6,1)=1,0,IF(WEEKDAY(AQ$6,1)=7,0,MIN(8,AQ17)*AQ16))),MAX(0,40*MAX(1,AQ16)-(AM18+AN18+AO18+AP18))))</f>
        <v>0</v>
      </c>
      <c r="AR18" s="64">
        <f>IF(AND(AR16=0,AR17=0),0,MIN(IF(AR16&lt;=0,0,IF(WEEKDAY(AR$6,1)=1,0,IF(WEEKDAY(AR$6,1)=7,0,MIN(8,AR17)*AR16))),MAX(0,40*MAX(1,AR16)-(AM18+AN18+AO18+AP18+AQ18))))</f>
        <v>0</v>
      </c>
      <c r="AS18" s="64">
        <f>IF(AND(AS16=0,AS17=0),0,MIN(IF(AS16&lt;=0,0,IF(WEEKDAY(AS$6,1)=1,0,IF(WEEKDAY(AS$6,1)=7,0,MIN(8,AS17)*AS16))),MAX(0,40*MAX(1,AS16)-(AM18+AN18+AO18+AP18+AQ18+AR18))))</f>
        <v>0</v>
      </c>
      <c r="AT18" s="63">
        <f>IF(AND(AT16=0,AT17=0),0,MIN(IF(AT16&lt;=0,0,IF(WEEKDAY(AT$6,1)=1,0,IF(WEEKDAY(AT$6,1)=7,0,MIN(8,AT17)*AT16))),MAX(0,40*MAX(1,AT16)-(0))))</f>
        <v>0</v>
      </c>
      <c r="AU18" s="63">
        <f>IF(AND(AU16=0,AU17=0),0,MIN(IF(AU16&lt;=0,0,IF(WEEKDAY(AU$6,1)=1,0,IF(WEEKDAY(AU$6,1)=7,0,MIN(8,AU17)*AU16))),MAX(0,40*MAX(1,AU16)-(AT18))))</f>
        <v>0</v>
      </c>
      <c r="AV18" s="63">
        <f>IF(AND(AV16=0,AV17=0),0,MIN(IF(AV16&lt;=0,0,IF(WEEKDAY(AV$6,1)=1,0,IF(WEEKDAY(AV$6,1)=7,0,MIN(8,AV17)*AV16))),MAX(0,40*MAX(1,AV16)-(AT18+AU18))))</f>
        <v>0</v>
      </c>
      <c r="AW18" s="63">
        <f>IF(AND(AW16=0,AW17=0),0,MIN(IF(AW16&lt;=0,0,IF(WEEKDAY(AW$6,1)=1,0,IF(WEEKDAY(AW$6,1)=7,0,MIN(8,AW17)*AW16))),MAX(0,40*MAX(1,AW16)-(AT18+AU18+AV18))))</f>
        <v>0</v>
      </c>
      <c r="AX18" s="63">
        <f>IF(AND(AX16=0,AX17=0),0,MIN(IF(AX16&lt;=0,0,IF(WEEKDAY(AX$6,1)=1,0,IF(WEEKDAY(AX$6,1)=7,0,MIN(8,AX17)*AX16))),MAX(0,40*MAX(1,AX16)-(AT18+AU18+AV18+AW18))))</f>
        <v>0</v>
      </c>
      <c r="AY18" s="64">
        <f>IF(AND(AY16=0,AY17=0),0,MIN(IF(AY16&lt;=0,0,IF(WEEKDAY(AY$6,1)=1,0,IF(WEEKDAY(AY$6,1)=7,0,MIN(8,AY17)*AY16))),MAX(0,40*MAX(1,AY16)-(AT18+AU18+AV18+AW18+AX18))))</f>
        <v>0</v>
      </c>
      <c r="AZ18" s="64">
        <f>IF(AND(AZ16=0,AZ17=0),0,MIN(IF(AZ16&lt;=0,0,IF(WEEKDAY(AZ$6,1)=1,0,IF(WEEKDAY(AZ$6,1)=7,0,MIN(8,AZ17)*AZ16))),MAX(0,40*MAX(1,AZ16)-(AT18+AU18+AV18+AW18+AX18+AY18))))</f>
        <v>0</v>
      </c>
      <c r="BA18" s="63">
        <f>IF(AND(BA16=0,BA17=0),0,MIN(IF(BA16&lt;=0,0,IF(WEEKDAY(BA$6,1)=1,0,IF(WEEKDAY(BA$6,1)=7,0,MIN(8,BA17)*BA16))),MAX(0,40*MAX(1,BA16)-(0))))</f>
        <v>0</v>
      </c>
      <c r="BB18" s="63">
        <f>IF(AND(BB16=0,BB17=0),0,MIN(IF(BB16&lt;=0,0,IF(WEEKDAY(BB$6,1)=1,0,IF(WEEKDAY(BB$6,1)=7,0,MIN(8,BB17)*BB16))),MAX(0,40*MAX(1,BB16)-(BA18))))</f>
        <v>0</v>
      </c>
      <c r="BC18" s="63">
        <f>IF(AND(BC16=0,BC17=0),0,MIN(IF(BC16&lt;=0,0,IF(WEEKDAY(BC$6,1)=1,0,IF(WEEKDAY(BC$6,1)=7,0,MIN(8,BC17)*BC16))),MAX(0,40*MAX(1,BC16)-(BA18+BB18))))</f>
        <v>0</v>
      </c>
      <c r="BD18" s="63">
        <f>IF(AND(BD16=0,BD17=0),0,MIN(IF(BD16&lt;=0,0,IF(WEEKDAY(BD$6,1)=1,0,IF(WEEKDAY(BD$6,1)=7,0,MIN(8,BD17)*BD16))),MAX(0,40*MAX(1,BD16)-(BA18+BB18+BC18))))</f>
        <v>0</v>
      </c>
      <c r="BE18" s="63">
        <f>IF(AND(BE16=0,BE17=0),0,MIN(IF(BE16&lt;=0,0,IF(WEEKDAY(BE$6,1)=1,0,IF(WEEKDAY(BE$6,1)=7,0,MIN(8,BE17)*BE16))),MAX(0,40*MAX(1,BE16)-(BA18+BB18+BC18+BD18))))</f>
        <v>0</v>
      </c>
      <c r="BF18" s="64">
        <f>IF(AND(BF16=0,BF17=0),0,MIN(IF(BF16&lt;=0,0,IF(WEEKDAY(BF$6,1)=1,0,IF(WEEKDAY(BF$6,1)=7,0,MIN(8,BF17)*BF16))),MAX(0,40*MAX(1,BF16)-(BA18+BB18+BC18+BD18+BE18))))</f>
        <v>0</v>
      </c>
      <c r="BG18" s="64">
        <f>IF(AND(BG16=0,BG17=0),0,MIN(IF(BG16&lt;=0,0,IF(WEEKDAY(BG$6,1)=1,0,IF(WEEKDAY(BG$6,1)=7,0,MIN(8,BG17)*BG16))),MAX(0,40*MAX(1,BG16)-(BA18+BB18+BC18+BD18+BE18+BF18))))</f>
        <v>0</v>
      </c>
      <c r="BH18" s="63">
        <f>IF(AND(BH16=4,BH17=13),32,MIN(IF(BH16&lt;=0,0,IF(WEEKDAY(BH$6,1)=1,0,IF(WEEKDAY(BH$6,1)=7,0,MIN(8,BH17)*BH16))),MAX(0,40*MAX(1,BH16)-(0))))</f>
        <v>32</v>
      </c>
      <c r="BI18" s="63">
        <f>IF(AND(BI16=4,BI17=13),32,MIN(IF(BI16&lt;=0,0,IF(WEEKDAY(BI$6,1)=1,0,IF(WEEKDAY(BI$6,1)=7,0,MIN(8,BI17)*BI16))),MAX(0,40*MAX(1,BI16)-(BH18))))</f>
        <v>32</v>
      </c>
      <c r="BJ18" s="63">
        <f>IF(AND(BJ16=4,BJ17=13),32,MIN(IF(BJ16&lt;=0,0,IF(WEEKDAY(BJ$6,1)=1,0,IF(WEEKDAY(BJ$6,1)=7,0,MIN(8,BJ17)*BJ16))),MAX(0,40*MAX(1,BJ16)-(BH18+BI18))))</f>
        <v>32</v>
      </c>
      <c r="BK18" s="63">
        <f>IF(AND(BK16=4,BK17=13),32,MIN(IF(BK16&lt;=0,0,IF(WEEKDAY(BK$6,1)=1,0,IF(WEEKDAY(BK$6,1)=7,0,MIN(8,BK17)*BK16))),MAX(0,40*MAX(1,BK16)-(BH18+BI18+BJ18))))</f>
        <v>32</v>
      </c>
      <c r="BL18" s="63">
        <f>IF(AND(BL16=4,BL17=13),32,MIN(IF(BL16&lt;=0,0,IF(WEEKDAY(BL$6,1)=1,0,IF(WEEKDAY(BL$6,1)=7,0,MIN(8,BL17)*BL16))),MAX(0,40*MAX(1,BL16)-(BH18+BI18+BJ18+BK18))))</f>
        <v>32</v>
      </c>
      <c r="BM18" s="64">
        <f>IF(AND(BM16=4,BM17=13),0,MIN(IF(BM16&lt;=0,0,IF(WEEKDAY(BM$6,1)=1,0,IF(WEEKDAY(BM$6,1)=7,0,MIN(8,BM17)*BM16))),MAX(0,40*MAX(1,BM16)-(BH18+BI18+BJ18+BK18+BL18))))</f>
        <v>0</v>
      </c>
      <c r="BN18" s="64">
        <f>IF(AND(BN16=4,BN17=13),0,MIN(IF(BN16&lt;=0,0,IF(WEEKDAY(BN$6,1)=1,0,IF(WEEKDAY(BN$6,1)=7,0,MIN(8,BN17)*BN16))),MAX(0,40*MAX(1,BN16)-(BH18+BI18+BJ18+BK18+BL18+BM18))))</f>
        <v>0</v>
      </c>
      <c r="BO18" s="63">
        <f>IF(AND(BO16=4,BO17=13),32,MIN(IF(BO16&lt;=0,0,IF(WEEKDAY(BO$6,1)=1,0,IF(WEEKDAY(BO$6,1)=7,0,MIN(8,BO17)*BO16))),MAX(0,40*MAX(1,BO16)-(0))))</f>
        <v>32</v>
      </c>
      <c r="BP18" s="63">
        <f>IF(AND(BP16=4,BP17=13),32,MIN(IF(BP16&lt;=0,0,IF(WEEKDAY(BP$6,1)=1,0,IF(WEEKDAY(BP$6,1)=7,0,MIN(8,BP17)*BP16))),MAX(0,40*MAX(1,BP16)-(BO18))))</f>
        <v>32</v>
      </c>
      <c r="BQ18" s="63">
        <f>IF(AND(BQ16=4,BQ17=13),32,MIN(IF(BQ16&lt;=0,0,IF(WEEKDAY(BQ$6,1)=1,0,IF(WEEKDAY(BQ$6,1)=7,0,MIN(8,BQ17)*BQ16))),MAX(0,40*MAX(1,BQ16)-(BO18+BP18))))</f>
        <v>32</v>
      </c>
      <c r="BR18" s="63">
        <f>IF(AND(BR16=4,BR17=13),32,MIN(IF(BR16&lt;=0,0,IF(WEEKDAY(BR$6,1)=1,0,IF(WEEKDAY(BR$6,1)=7,0,MIN(8,BR17)*BR16))),MAX(0,40*MAX(1,BR16)-(0))))</f>
        <v>32</v>
      </c>
      <c r="BS18" s="63">
        <f>IF(AND(BS16=4,BS17=13),32,MIN(IF(BS16&lt;=0,0,IF(WEEKDAY(BS$6,1)=1,0,IF(WEEKDAY(BS$6,1)=7,0,MIN(8,BS17)*BS16))),MAX(0,40*MAX(1,BS16)-(BR18))))</f>
        <v>32</v>
      </c>
      <c r="BT18" s="64">
        <f>IF(AND(BT16=4,BT17=13),0,MIN(IF(BT16&lt;=0,0,IF(WEEKDAY(BT$6,1)=1,0,IF(WEEKDAY(BT$6,1)=7,0,MIN(8,BT17)*BT16))),MAX(0,40*MAX(1,BT16)-(BR18+BS18))))</f>
        <v>0</v>
      </c>
      <c r="BU18" s="64">
        <f>IF(AND(BU16=4,BU17=13),0,MIN(IF(BU16&lt;=0,0,IF(WEEKDAY(BU$6,1)=1,0,IF(WEEKDAY(BU$6,1)=7,0,MIN(8,BU17)*BU16))),MAX(0,40*MAX(1,BU16)-(BR18+BS18+BT18))))</f>
        <v>0</v>
      </c>
      <c r="BV18" s="63">
        <f>IF(AND(BV16=4,BV17=13),32,MIN(IF(BV16&lt;=0,0,IF(WEEKDAY(BV$6,1)=1,0,IF(WEEKDAY(BV$6,1)=7,0,MIN(8,BV17)*BV16))),MAX(0,40*MAX(1,BV16)-(0))))</f>
        <v>32</v>
      </c>
      <c r="BW18" s="63">
        <f>IF(AND(BW16=4,BW17=13),32,MIN(IF(BW16&lt;=0,0,IF(WEEKDAY(BW$6,1)=1,0,IF(WEEKDAY(BW$6,1)=7,0,MIN(8,BW17)*BW16))),MAX(0,40*MAX(1,BW16)-(BV18))))</f>
        <v>32</v>
      </c>
      <c r="BX18" s="63">
        <f>IF(AND(BX16=4,BX17=13),32,MIN(IF(BX16&lt;=0,0,IF(WEEKDAY(BX$6,1)=1,0,IF(WEEKDAY(BX$6,1)=7,0,MIN(8,BX17)*BX16))),MAX(0,40*MAX(1,BX16)-(BV18+BW18))))</f>
        <v>32</v>
      </c>
      <c r="BY18" s="63">
        <f>IF(AND(BY16=4,BY17=13),32,MIN(IF(BY16&lt;=0,0,IF(WEEKDAY(BY$6,1)=1,0,IF(WEEKDAY(BY$6,1)=7,0,MIN(8,BY17)*BY16))),MAX(0,40*MAX(1,BY16)-(BV18+BW18+BX18))))</f>
        <v>32</v>
      </c>
      <c r="BZ18" s="63">
        <f>IF(AND(BZ16=4,BZ17=13),32,MIN(IF(BZ16&lt;=0,0,IF(WEEKDAY(BZ$6,1)=1,0,IF(WEEKDAY(BZ$6,1)=7,0,MIN(8,BZ17)*BZ16))),MAX(0,40*MAX(1,BZ16)-(BV18+BW18+BX18+BY18))))</f>
        <v>32</v>
      </c>
      <c r="CA18" s="64">
        <f>IF(AND(CA16=4,CA17=13),0,MIN(IF(CA16&lt;=0,0,IF(WEEKDAY(CA$6,1)=1,0,IF(WEEKDAY(CA$6,1)=7,0,MIN(8,CA17)*CA16))),MAX(0,40*MAX(1,CA16)-(BV18+BW18+BX18+BY18+BZ18))))</f>
        <v>0</v>
      </c>
      <c r="CB18" s="64">
        <f>IF(AND(CB16=4,CB17=13),0,MIN(IF(CB16&lt;=0,0,IF(WEEKDAY(CB$6,1)=1,0,IF(WEEKDAY(CB$6,1)=7,0,MIN(8,CB17)*CB16))),MAX(0,40*MAX(1,CB16)-(BV18+BW18+BX18+BY18+BZ18+CA18))))</f>
        <v>0</v>
      </c>
      <c r="CC18" s="63">
        <f>IF(AND(CC16=4,CC17=13),32,MIN(IF(CC16&lt;=0,0,IF(WEEKDAY(CC$6,1)=1,0,IF(WEEKDAY(CC$6,1)=7,0,MIN(8,CC17)*CC16))),MAX(0,40*MAX(1,CC16)-(0))))</f>
        <v>32</v>
      </c>
      <c r="CD18" s="63">
        <f>IF(AND(CD16=4,CD17=13),32,MIN(IF(CD16&lt;=0,0,IF(WEEKDAY(CD$6,1)=1,0,IF(WEEKDAY(CD$6,1)=7,0,MIN(8,CD17)*CD16))),MAX(0,40*MAX(1,CD16)-(CC18))))</f>
        <v>32</v>
      </c>
      <c r="CE18" s="63">
        <f>IF(AND(CE16=4,CE17=13),32,MIN(IF(CE16&lt;=0,0,IF(WEEKDAY(CE$6,1)=1,0,IF(WEEKDAY(CE$6,1)=7,0,MIN(8,CE17)*CE16))),MAX(0,40*MAX(1,CE16)-(CC18+CD18))))</f>
        <v>32</v>
      </c>
      <c r="CF18" s="63">
        <f>IF(AND(CF16=4,CF17=13),32,MIN(IF(CF16&lt;=0,0,IF(WEEKDAY(CF$6,1)=1,0,IF(WEEKDAY(CF$6,1)=7,0,MIN(8,CF17)*CF16))),MAX(0,40*MAX(1,CF16)-(CC18+CD18+CE18))))</f>
        <v>32</v>
      </c>
      <c r="CG18" s="63">
        <f>IF(AND(CG16=4,CG17=13),32,MIN(IF(CG16&lt;=0,0,IF(WEEKDAY(CG$6,1)=1,0,IF(WEEKDAY(CG$6,1)=7,0,MIN(8,CG17)*CG16))),MAX(0,40*MAX(1,CG16)-(CC18+CD18+CE18+CF18))))</f>
        <v>32</v>
      </c>
      <c r="CH18" s="64">
        <f>IF(AND(CH16=4,CH17=13),0,MIN(IF(CH16&lt;=0,0,IF(WEEKDAY(CH$6,1)=1,0,IF(WEEKDAY(CH$6,1)=7,0,MIN(8,CH17)*CH16))),MAX(0,40*MAX(1,CH16)-(CC18+CD18+CE18+CF18+CG18))))</f>
        <v>0</v>
      </c>
      <c r="CI18" s="64">
        <f>IF(AND(CI16=4,CI17=13),0,MIN(IF(CI16&lt;=0,0,IF(WEEKDAY(CI$6,1)=1,0,IF(WEEKDAY(CI$6,1)=7,0,MIN(8,CI17)*CI16))),MAX(0,40*MAX(1,CI16)-(CC18+CD18+CE18+CF18+CG18+CH18))))</f>
        <v>0</v>
      </c>
      <c r="CJ18" s="63">
        <f>IF(AND(CJ16=4,CJ17=13),32,MIN(IF(CJ16&lt;=0,0,IF(WEEKDAY(CJ$6,1)=1,0,IF(WEEKDAY(CJ$6,1)=7,0,MIN(8,CJ17)*CJ16))),MAX(0,40*MAX(1,CJ16)-(0))))</f>
        <v>32</v>
      </c>
      <c r="CK18" s="63">
        <f>IF(AND(CK16=4,CK17=13),32,MIN(IF(CK16&lt;=0,0,IF(WEEKDAY(CK$6,1)=1,0,IF(WEEKDAY(CK$6,1)=7,0,MIN(8,CK17)*CK16))),MAX(0,40*MAX(1,CK16)-(CJ18))))</f>
        <v>32</v>
      </c>
      <c r="CL18" s="63">
        <f>IF(AND(CL16=4,CL17=13),32,MIN(IF(CL16&lt;=0,0,IF(WEEKDAY(CL$6,1)=1,0,IF(WEEKDAY(CL$6,1)=7,0,MIN(8,CL17)*CL16))),MAX(0,40*MAX(1,CL16)-(CJ18+CK18))))</f>
        <v>32</v>
      </c>
      <c r="CM18" s="63">
        <f>IF(AND(CM16=4,CM17=13),32,MIN(IF(CM16&lt;=0,0,IF(WEEKDAY(CM$6,1)=1,0,IF(WEEKDAY(CM$6,1)=7,0,MIN(8,CM17)*CM16))),MAX(0,40*MAX(1,CM16)-(CJ18+CK18+CL18))))</f>
        <v>32</v>
      </c>
      <c r="CN18" s="63">
        <f>IF(AND(CN16=4,CN17=13),32,MIN(IF(CN16&lt;=0,0,IF(WEEKDAY(CN$6,1)=1,0,IF(WEEKDAY(CN$6,1)=7,0,MIN(8,CN17)*CN16))),MAX(0,40*MAX(1,CN16)-(CJ18+CK18+CL18+CM18))))</f>
        <v>32</v>
      </c>
      <c r="CO18" s="64">
        <f>IF(AND(CO16=4,CO17=13),0,MIN(IF(CO16&lt;=0,0,IF(WEEKDAY(CO$6,1)=1,0,IF(WEEKDAY(CO$6,1)=7,0,MIN(8,CO17)*CO16))),MAX(0,40*MAX(1,CO16)-(CJ18+CK18+CL18+CM18+CN18))))</f>
        <v>0</v>
      </c>
      <c r="CP18" s="64">
        <f>IF(AND(CP16=4,CP17=13),0,MIN(IF(CP16&lt;=0,0,IF(WEEKDAY(CP$6,1)=1,0,IF(WEEKDAY(CP$6,1)=7,0,MIN(8,CP17)*CP16))),MAX(0,40*MAX(1,CP16)-(CJ18+CK18+CL18+CM18+CN18+CO18))))</f>
        <v>0</v>
      </c>
      <c r="CQ18" s="63">
        <f>IF(AND(CQ16=4,CQ17=13),32,MIN(IF(CQ16&lt;=0,0,IF(WEEKDAY(CQ$6,1)=1,0,IF(WEEKDAY(CQ$6,1)=7,0,MIN(8,CQ17)*CQ16))),MAX(0,40*MAX(1,CQ16)-(0))))</f>
        <v>32</v>
      </c>
      <c r="CR18" s="63">
        <f>IF(AND(CR16=4,CR17=13),32,MIN(IF(CR16&lt;=0,0,IF(WEEKDAY(CR$6,1)=1,0,IF(WEEKDAY(CR$6,1)=7,0,MIN(8,CR17)*CR16))),MAX(0,40*MAX(1,CR16)-(CQ18))))</f>
        <v>32</v>
      </c>
      <c r="CS18" s="63">
        <f>IF(AND(CS16=4,CS17=13),32,MIN(IF(CS16&lt;=0,0,IF(WEEKDAY(CS$6,1)=1,0,IF(WEEKDAY(CS$6,1)=7,0,MIN(8,CS17)*CS16))),MAX(0,40*MAX(1,CS16)-(CQ18+CR18))))</f>
        <v>32</v>
      </c>
      <c r="CT18" s="63">
        <f>IF(AND(CT16=4,CT17=13),32,MIN(IF(CT16&lt;=0,0,IF(WEEKDAY(CT$6,1)=1,0,IF(WEEKDAY(CT$6,1)=7,0,MIN(8,CT17)*CT16))),MAX(0,40*MAX(1,CT16)-(CQ18+CR18+CS18))))</f>
        <v>32</v>
      </c>
      <c r="CU18" s="63">
        <f>IF(AND(CU16=4,CU17=13),32,MIN(IF(CU16&lt;=0,0,IF(WEEKDAY(CU$6,1)=1,0,IF(WEEKDAY(CU$6,1)=7,0,MIN(8,CU17)*CU16))),MAX(0,40*MAX(1,CU16)-(CQ18+CR18+CS18+CT18))))</f>
        <v>32</v>
      </c>
      <c r="CV18" s="64">
        <f>IF(AND(CV16=4,CV17=13),0,MIN(IF(CV16&lt;=0,0,IF(WEEKDAY(CV$6,1)=1,0,IF(WEEKDAY(CV$6,1)=7,0,MIN(8,CV17)*CV16))),MAX(0,40*MAX(1,CV16)-(CQ18+CR18+CS18+CT18+CU18))))</f>
        <v>0</v>
      </c>
      <c r="CW18" s="64">
        <f>IF(AND(CW16=4,CW17=13),0,MIN(IF(CW16&lt;=0,0,IF(WEEKDAY(CW$6,1)=1,0,IF(WEEKDAY(CW$6,1)=7,0,MIN(8,CW17)*CW16))),MAX(0,40*MAX(1,CW16)-(CQ18+CR18+CS18+CT18+CU18+CV18))))</f>
        <v>0</v>
      </c>
      <c r="CX18" s="63">
        <f>IF(AND(CX16=4,CX17=13),32,MIN(IF(CX16&lt;=0,0,IF(WEEKDAY(CX$6,1)=1,0,IF(WEEKDAY(CX$6,1)=7,0,MIN(8,CX17)*CX16))),MAX(0,40*MAX(1,CX16)-(0))))</f>
        <v>32</v>
      </c>
      <c r="CY18" s="63">
        <f>IF(AND(CY16=4,CY17=13),32,MIN(IF(CY16&lt;=0,0,IF(WEEKDAY(CY$6,1)=1,0,IF(WEEKDAY(CY$6,1)=7,0,MIN(8,CY17)*CY16))),MAX(0,40*MAX(1,CY16)-(CX18))))</f>
        <v>32</v>
      </c>
      <c r="CZ18" s="63">
        <f>IF(AND(CZ16=4,CZ17=13),32,MIN(IF(CZ16&lt;=0,0,IF(WEEKDAY(CZ$6,1)=1,0,IF(WEEKDAY(CZ$6,1)=7,0,MIN(8,CZ17)*CZ16))),MAX(0,40*MAX(1,CZ16)-(CX18+CY18))))</f>
        <v>32</v>
      </c>
      <c r="DA18" s="63">
        <f>IF(AND(DA16=4,DA17=13),32,MIN(IF(DA16&lt;=0,0,IF(WEEKDAY(DA$6,1)=1,0,IF(WEEKDAY(DA$6,1)=7,0,MIN(8,DA17)*DA16))),MAX(0,40*MAX(1,DA16)-(CX18+CY18+CZ18))))</f>
        <v>32</v>
      </c>
      <c r="DB18" s="63">
        <f>IF(AND(DB16=4,DB17=13),32,MIN(IF(DB16&lt;=0,0,IF(WEEKDAY(DB$6,1)=1,0,IF(WEEKDAY(DB$6,1)=7,0,MIN(8,DB17)*DB16))),MAX(0,40*MAX(1,DB16)-(CX18+CY18+CZ18+DA18))))</f>
        <v>32</v>
      </c>
      <c r="DC18" s="64">
        <f>IF(AND(DC16=4,DC17=13),0,MIN(IF(DC16&lt;=0,0,IF(WEEKDAY(DC$6,1)=1,0,IF(WEEKDAY(DC$6,1)=7,0,MIN(8,DC17)*DC16))),MAX(0,40*MAX(1,DC16)-(CX18+CY18+CZ18+DA18+DB18))))</f>
        <v>0</v>
      </c>
      <c r="DD18" s="64">
        <f>IF(AND(DD16=2,DD17=13),0,MIN(IF(DD16&lt;=0,0,IF(WEEKDAY(DD$6,1)=1,0,IF(WEEKDAY(DD$6,1)=7,0,MIN(8,DD17)*DD16))),MAX(0,40*MAX(1,DD16)-(0))))</f>
        <v>0</v>
      </c>
      <c r="DE18" s="63">
        <f>IF(AND(DE16=2,DE17=13),16,MIN(IF(DE16&lt;=0,0,IF(WEEKDAY(DE$6,1)=1,0,IF(WEEKDAY(DE$6,1)=7,0,MIN(8,DE17)*DE16))),MAX(0,40*MAX(1,DE16)-(0))))</f>
        <v>16</v>
      </c>
      <c r="DF18" s="63">
        <f>IF(AND(DF16=2,DF17=13),16,MIN(IF(DF16&lt;=0,0,IF(WEEKDAY(DF$6,1)=1,0,IF(WEEKDAY(DF$6,1)=7,0,MIN(8,DF17)*DF16))),MAX(0,40*MAX(1,DF16)-(DE18))))</f>
        <v>16</v>
      </c>
      <c r="DG18" s="63">
        <f>IF(AND(DG16=2,DG17=13),16,MIN(IF(DG16&lt;=0,0,IF(WEEKDAY(DG$6,1)=1,0,IF(WEEKDAY(DG$6,1)=7,0,MIN(8,DG17)*DG16))),MAX(0,40*MAX(1,DG16)-(DE18+DF18))))</f>
        <v>16</v>
      </c>
      <c r="DH18" s="63">
        <f>IF(AND(DH16=2,DH17=13),16,MIN(IF(DH16&lt;=0,0,IF(WEEKDAY(DH$6,1)=1,0,IF(WEEKDAY(DH$6,1)=7,0,MIN(8,DH17)*DH16))),MAX(0,40*MAX(1,DH16)-(DE18+DF18+DG18))))</f>
        <v>16</v>
      </c>
      <c r="DI18" s="63">
        <f>IF(AND(DI16=2,DI17=13),16,MIN(IF(DI16&lt;=0,0,IF(WEEKDAY(DI$6,1)=1,0,IF(WEEKDAY(DI$6,1)=7,0,MIN(8,DI17)*DI16))),MAX(0,40*MAX(1,DI16)-(DE18+DF18+DG18+DH18))))</f>
        <v>16</v>
      </c>
      <c r="DJ18" s="64">
        <f>IF(AND(DJ16=2,DJ17=13),0,MIN(IF(DJ16&lt;=0,0,IF(WEEKDAY(DJ$6,1)=1,0,IF(WEEKDAY(DJ$6,1)=7,0,MIN(8,DJ17)*DJ16))),MAX(0,40*MAX(1,DJ16)-(DE18+DF18+DG18+DH18+DI18))))</f>
        <v>0</v>
      </c>
      <c r="DK18" s="64">
        <f>IF(AND(DK16=2,DK17=13),0,MIN(IF(DK16&lt;=0,0,IF(WEEKDAY(DK$6,1)=1,0,IF(WEEKDAY(DK$6,1)=7,0,MIN(8,DK17)*DK16))),MAX(0,40*MAX(1,DK16)-(DE18+DF18+DG18+DH18+DI18+DJ18))))</f>
        <v>0</v>
      </c>
      <c r="DL18" s="63">
        <f>IF(AND(DL16=2,DL17=13),16,MIN(IF(DL16&lt;=0,0,IF(WEEKDAY(DL$6,1)=1,0,IF(WEEKDAY(DL$6,1)=7,0,MIN(8,DL17)*DL16))),MAX(0,40*MAX(1,DL16)-(0))))</f>
        <v>16</v>
      </c>
      <c r="DM18" s="63">
        <f>IF(AND(DM16=2,DM17=13),16,MIN(IF(DM16&lt;=0,0,IF(WEEKDAY(DM$6,1)=1,0,IF(WEEKDAY(DM$6,1)=7,0,MIN(8,DM17)*DM16))),MAX(0,40*MAX(1,DM16)-(DL18))))</f>
        <v>16</v>
      </c>
      <c r="DN18" s="63">
        <f>IF(AND(DN16=2,DN17=13),16,MIN(IF(DN16&lt;=0,0,IF(WEEKDAY(DN$6,1)=1,0,IF(WEEKDAY(DN$6,1)=7,0,MIN(8,DN17)*DN16))),MAX(0,40*MAX(1,DN16)-(DL18+DM18))))</f>
        <v>16</v>
      </c>
      <c r="DO18" s="63">
        <f>IF(AND(DO16=2,DO17=13),16,MIN(IF(DO16&lt;=0,0,IF(WEEKDAY(DO$6,1)=1,0,IF(WEEKDAY(DO$6,1)=7,0,MIN(8,DO17)*DO16))),MAX(0,40*MAX(1,DO16)-(DL18+DM18+DN18))))</f>
        <v>16</v>
      </c>
      <c r="DP18" s="63">
        <f>IF(AND(DP16=2,DP17=13),16,MIN(IF(DP16&lt;=0,0,IF(WEEKDAY(DP$6,1)=1,0,IF(WEEKDAY(DP$6,1)=7,0,MIN(8,DP17)*DP16))),MAX(0,40*MAX(1,DP16)-(DL18+DM18+DN18+DO18))))</f>
        <v>16</v>
      </c>
      <c r="DQ18" s="64">
        <f>IF(AND(DQ16=2,DQ17=13),0,MIN(IF(DQ16&lt;=0,0,IF(WEEKDAY(DQ$6,1)=1,0,IF(WEEKDAY(DQ$6,1)=7,0,MIN(8,DQ17)*DQ16))),MAX(0,40*MAX(1,DQ16)-(DL18+DM18+DN18+DO18+DP18))))</f>
        <v>0</v>
      </c>
      <c r="DR18" s="64">
        <f>IF(AND(DR16=2,DR17=13),0,MIN(IF(DR16&lt;=0,0,IF(WEEKDAY(DR$6,1)=1,0,IF(WEEKDAY(DR$6,1)=7,0,MIN(8,DR17)*DR16))),MAX(0,40*MAX(1,DR16)-(DL18+DM18+DN18+DO18+DP18+DQ18))))</f>
        <v>0</v>
      </c>
      <c r="DS18" s="63">
        <f>IF(AND(DS16=2,DS17=13),16,MIN(IF(DS16&lt;=0,0,IF(WEEKDAY(DS$6,1)=1,0,IF(WEEKDAY(DS$6,1)=7,0,MIN(8,DS17)*DS16))),MAX(0,40*MAX(1,DS16)-(0))))</f>
        <v>16</v>
      </c>
      <c r="DT18" s="63">
        <f>IF(AND(DT16=0,DT17=0),0,MIN(IF(DT16&lt;=0,0,IF(WEEKDAY(DT$6,1)=1,0,IF(WEEKDAY(DT$6,1)=7,0,MIN(8,DT17)*DT16))),MAX(0,40*MAX(1,DT16)-(0))))</f>
        <v>0</v>
      </c>
      <c r="DU18" s="63">
        <f>IF(AND(DU16=0,DU17=0),0,MIN(IF(DU16&lt;=0,0,IF(WEEKDAY(DU$6,1)=1,0,IF(WEEKDAY(DU$6,1)=7,0,MIN(8,DU17)*DU16))),MAX(0,40*MAX(1,DU16)-(DT18))))</f>
        <v>0</v>
      </c>
      <c r="DV18" s="63">
        <f>IF(AND(DV16=0,DV17=0),0,MIN(IF(DV16&lt;=0,0,IF(WEEKDAY(DV$6,1)=1,0,IF(WEEKDAY(DV$6,1)=7,0,MIN(8,DV17)*DV16))),MAX(0,40*MAX(1,DV16)-(DT18+DU18))))</f>
        <v>0</v>
      </c>
      <c r="DW18" s="63">
        <f>IF(AND(DW16=0,DW17=0),0,MIN(IF(DW16&lt;=0,0,IF(WEEKDAY(DW$6,1)=1,0,IF(WEEKDAY(DW$6,1)=7,0,MIN(8,DW17)*DW16))),MAX(0,40*MAX(1,DW16)-(DT18+DU18+DV18))))</f>
        <v>0</v>
      </c>
      <c r="DX18" s="64">
        <f>IF(AND(DX16=0,DX17=0),0,MIN(IF(DX16&lt;=0,0,IF(WEEKDAY(DX$6,1)=1,0,IF(WEEKDAY(DX$6,1)=7,0,MIN(8,DX17)*DX16))),MAX(0,40*MAX(1,DX16)-(DT18+DU18+DV18+DW18))))</f>
        <v>0</v>
      </c>
      <c r="DY18" s="64">
        <f>IF(AND(DY16=0,DY17=0),0,MIN(IF(DY16&lt;=0,0,IF(WEEKDAY(DY$6,1)=1,0,IF(WEEKDAY(DY$6,1)=7,0,MIN(8,DY17)*DY16))),MAX(0,40*MAX(1,DY16)-(DT18+DU18+DV18+DW18+DX18))))</f>
        <v>0</v>
      </c>
      <c r="DZ18" s="63">
        <f>IF(AND(DZ16=0,DZ17=0),0,MIN(IF(DZ16&lt;=0,0,IF(WEEKDAY(DZ$6,1)=1,0,IF(WEEKDAY(DZ$6,1)=7,0,MIN(8,DZ17)*DZ16))),MAX(0,40*MAX(1,DZ16)-(0))))</f>
        <v>0</v>
      </c>
      <c r="EA18" s="63">
        <f>IF(AND(EA16=0,EA17=0),0,MIN(IF(EA16&lt;=0,0,IF(WEEKDAY(EA$6,1)=1,0,IF(WEEKDAY(EA$6,1)=7,0,MIN(8,EA17)*EA16))),MAX(0,40*MAX(1,EA16)-(DZ18))))</f>
        <v>0</v>
      </c>
      <c r="EB18" s="63">
        <f>IF(AND(EB16=0,EB17=0),0,MIN(IF(EB16&lt;=0,0,IF(WEEKDAY(EB$6,1)=1,0,IF(WEEKDAY(EB$6,1)=7,0,MIN(8,EB17)*EB16))),MAX(0,40*MAX(1,EB16)-(DZ18+EA18))))</f>
        <v>0</v>
      </c>
      <c r="EC18" s="63">
        <f>IF(AND(EC16=0,EC17=0),0,MIN(IF(EC16&lt;=0,0,IF(WEEKDAY(EC$6,1)=1,0,IF(WEEKDAY(EC$6,1)=7,0,MIN(8,EC17)*EC16))),MAX(0,40*MAX(1,EC16)-(DZ18+EA18+EB18))))</f>
        <v>0</v>
      </c>
      <c r="ED18" s="63">
        <f>IF(AND(ED16=0,ED17=0),0,MIN(IF(ED16&lt;=0,0,IF(WEEKDAY(ED$6,1)=1,0,IF(WEEKDAY(ED$6,1)=7,0,MIN(8,ED17)*ED16))),MAX(0,40*MAX(1,ED16)-(DZ18+EA18+EB18+EC18))))</f>
        <v>0</v>
      </c>
      <c r="EE18" s="64">
        <f>IF(AND(EE16=0,EE17=0),0,MIN(IF(EE16&lt;=0,0,IF(WEEKDAY(EE$6,1)=1,0,IF(WEEKDAY(EE$6,1)=7,0,MIN(8,EE17)*EE16))),MAX(0,40*MAX(1,EE16)-(DZ18+EA18+EB18+EC18+ED18))))</f>
        <v>0</v>
      </c>
      <c r="EF18" s="64">
        <f>IF(AND(EF16=0,EF17=0),0,MIN(IF(EF16&lt;=0,0,IF(WEEKDAY(EF$6,1)=1,0,IF(WEEKDAY(EF$6,1)=7,0,MIN(8,EF17)*EF16))),MAX(0,40*MAX(1,EF16)-(DZ18+EA18+EB18+EC18+ED18+EE18))))</f>
        <v>0</v>
      </c>
      <c r="EG18" s="63">
        <f>IF(AND(EG16=0,EG17=0),0,MIN(IF(EG16&lt;=0,0,IF(WEEKDAY(EG$6,1)=1,0,IF(WEEKDAY(EG$6,1)=7,0,MIN(8,EG17)*EG16))),MAX(0,40*MAX(1,EG16)-(0))))</f>
        <v>0</v>
      </c>
      <c r="EH18" s="63">
        <f>IF(AND(EH16=0,EH17=0),0,MIN(IF(EH16&lt;=0,0,IF(WEEKDAY(EH$6,1)=1,0,IF(WEEKDAY(EH$6,1)=7,0,MIN(8,EH17)*EH16))),MAX(0,40*MAX(1,EH16)-(EG18))))</f>
        <v>0</v>
      </c>
      <c r="EI18" s="63">
        <f>IF(AND(EI16=0,EI17=0),0,MIN(IF(EI16&lt;=0,0,IF(WEEKDAY(EI$6,1)=1,0,IF(WEEKDAY(EI$6,1)=7,0,MIN(8,EI17)*EI16))),MAX(0,40*MAX(1,EI16)-(EG18+EH18))))</f>
        <v>0</v>
      </c>
      <c r="EJ18" s="63">
        <f>IF(AND(EJ16=0,EJ17=0),0,MIN(IF(EJ16&lt;=0,0,IF(WEEKDAY(EJ$6,1)=1,0,IF(WEEKDAY(EJ$6,1)=7,0,MIN(8,EJ17)*EJ16))),MAX(0,40*MAX(1,EJ16)-(EG18+EH18+EI18))))</f>
        <v>0</v>
      </c>
      <c r="EK18" s="65">
        <f>IF(AND(EK16=0,EK17=0),0,MIN(IF(EK16&lt;=0,0,IF(WEEKDAY(EK$6,1)=1,0,IF(WEEKDAY(EK$6,1)=7,0,MIN(8,EK17)*EK16))),MAX(0,40*MAX(1,EK16)-(EG18+EH18+EI18+EJ18))))</f>
        <v>0</v>
      </c>
      <c r="OU18" s="28" t="s">
        <v>107</v>
      </c>
    </row>
    <row r="19" ht="16" customHeight="1" spans="1:411" x14ac:dyDescent="0.25">
      <c r="A19" s="74"/>
      <c r="B19" s="46"/>
      <c r="C19" s="66">
        <f>G15*N(D19)</f>
        <v>195019.81999999998</v>
      </c>
      <c r="D19" s="66">
        <f>IF(TRIM(B15)="","No rate",IFERROR(INDEX('Rate Tables'!D$7:D$158,MATCH(B15,'Rate Tables'!A$7:A$158,0)),"No rate"))</f>
        <v>159.07</v>
      </c>
      <c r="E19" s="55" t="s">
        <v>63</v>
      </c>
      <c r="F19" s="49"/>
      <c r="G19" s="49"/>
      <c r="H19" s="49"/>
      <c r="I19" s="49"/>
      <c r="J19" s="50"/>
      <c r="K19" s="62">
        <f>IF(AND(K16=0,K17=0),0,IF(K16&lt;=0,0,IF(WEEKDAY(K$6,1)=1,0,IF(WEEKDAY(K$6,1)=7,K16*K17,MAX(0,K17-8)*K16)))+((IF(K16&lt;=0,0,IF(WEEKDAY(K$6,1)=1,0,IF(WEEKDAY(K$6,1)=7,0,MIN(8,K17)*K16))))-MIN(IF(K16&lt;=0,0,IF(WEEKDAY(K$6,1)=1,0,IF(WEEKDAY(K$6,1)=7,0,MIN(8,K17)*K16))),MAX(0,40*MAX(1,K16)-(0)))))</f>
        <v>0</v>
      </c>
      <c r="L19" s="63">
        <f>IF(AND(L16=0,L17=0),0,IF(L16&lt;=0,0,IF(WEEKDAY(L$6,1)=1,0,IF(WEEKDAY(L$6,1)=7,L16*L17,MAX(0,L17-8)*L16)))+((IF(L16&lt;=0,0,IF(WEEKDAY(L$6,1)=1,0,IF(WEEKDAY(L$6,1)=7,0,MIN(8,L17)*L16))))-MIN(IF(L16&lt;=0,0,IF(WEEKDAY(L$6,1)=1,0,IF(WEEKDAY(L$6,1)=7,0,MIN(8,L17)*L16))),MAX(0,40*MAX(1,L16)-(K18)))))</f>
        <v>0</v>
      </c>
      <c r="M19" s="63">
        <f>IF(AND(M16=0,M17=0),0,IF(M16&lt;=0,0,IF(WEEKDAY(M$6,1)=1,0,IF(WEEKDAY(M$6,1)=7,M16*M17,MAX(0,M17-8)*M16)))+((IF(M16&lt;=0,0,IF(WEEKDAY(M$6,1)=1,0,IF(WEEKDAY(M$6,1)=7,0,MIN(8,M17)*M16))))-MIN(IF(M16&lt;=0,0,IF(WEEKDAY(M$6,1)=1,0,IF(WEEKDAY(M$6,1)=7,0,MIN(8,M17)*M16))),MAX(0,40*MAX(1,M16)-(K18+L18)))))</f>
        <v>0</v>
      </c>
      <c r="N19" s="63">
        <f>IF(AND(N16=0,N17=0),0,IF(N16&lt;=0,0,IF(WEEKDAY(N$6,1)=1,0,IF(WEEKDAY(N$6,1)=7,N16*N17,MAX(0,N17-8)*N16)))+((IF(N16&lt;=0,0,IF(WEEKDAY(N$6,1)=1,0,IF(WEEKDAY(N$6,1)=7,0,MIN(8,N17)*N16))))-MIN(IF(N16&lt;=0,0,IF(WEEKDAY(N$6,1)=1,0,IF(WEEKDAY(N$6,1)=7,0,MIN(8,N17)*N16))),MAX(0,40*MAX(1,N16)-(K18+L18+M18)))))</f>
        <v>0</v>
      </c>
      <c r="O19" s="63">
        <f>IF(AND(O16=0,O17=0),0,IF(O16&lt;=0,0,IF(WEEKDAY(O$6,1)=1,0,IF(WEEKDAY(O$6,1)=7,O16*O17,MAX(0,O17-8)*O16)))+((IF(O16&lt;=0,0,IF(WEEKDAY(O$6,1)=1,0,IF(WEEKDAY(O$6,1)=7,0,MIN(8,O17)*O16))))-MIN(IF(O16&lt;=0,0,IF(WEEKDAY(O$6,1)=1,0,IF(WEEKDAY(O$6,1)=7,0,MIN(8,O17)*O16))),MAX(0,40*MAX(1,O16)-(K18+L18+M18+N18)))))</f>
        <v>0</v>
      </c>
      <c r="P19" s="64">
        <f>IF(AND(P16=0,P17=0),0,IF(P16&lt;=0,0,IF(WEEKDAY(P$6,1)=1,0,IF(WEEKDAY(P$6,1)=7,P16*P17,MAX(0,P17-8)*P16)))+((IF(P16&lt;=0,0,IF(WEEKDAY(P$6,1)=1,0,IF(WEEKDAY(P$6,1)=7,0,MIN(8,P17)*P16))))-MIN(IF(P16&lt;=0,0,IF(WEEKDAY(P$6,1)=1,0,IF(WEEKDAY(P$6,1)=7,0,MIN(8,P17)*P16))),MAX(0,40*MAX(1,P16)-(K18+L18+M18+N18+O18)))))</f>
        <v>0</v>
      </c>
      <c r="Q19" s="64">
        <f>IF(AND(Q16=0,Q17=0),0,IF(Q16&lt;=0,0,IF(WEEKDAY(Q$6,1)=1,0,IF(WEEKDAY(Q$6,1)=7,Q16*Q17,MAX(0,Q17-8)*Q16)))+((IF(Q16&lt;=0,0,IF(WEEKDAY(Q$6,1)=1,0,IF(WEEKDAY(Q$6,1)=7,0,MIN(8,Q17)*Q16))))-MIN(IF(Q16&lt;=0,0,IF(WEEKDAY(Q$6,1)=1,0,IF(WEEKDAY(Q$6,1)=7,0,MIN(8,Q17)*Q16))),MAX(0,40*MAX(1,Q16)-(K18+L18+M18+N18+O18+P18)))))</f>
        <v>0</v>
      </c>
      <c r="R19" s="63">
        <f>IF(AND(R16=0,R17=0),0,IF(R16&lt;=0,0,IF(WEEKDAY(R$6,1)=1,0,IF(WEEKDAY(R$6,1)=7,R16*R17,MAX(0,R17-8)*R16)))+((IF(R16&lt;=0,0,IF(WEEKDAY(R$6,1)=1,0,IF(WEEKDAY(R$6,1)=7,0,MIN(8,R17)*R16))))-MIN(IF(R16&lt;=0,0,IF(WEEKDAY(R$6,1)=1,0,IF(WEEKDAY(R$6,1)=7,0,MIN(8,R17)*R16))),MAX(0,40*MAX(1,R16)-(0)))))</f>
        <v>0</v>
      </c>
      <c r="S19" s="63">
        <f>IF(AND(S16=0,S17=0),0,IF(S16&lt;=0,0,IF(WEEKDAY(S$6,1)=1,0,IF(WEEKDAY(S$6,1)=7,S16*S17,MAX(0,S17-8)*S16)))+((IF(S16&lt;=0,0,IF(WEEKDAY(S$6,1)=1,0,IF(WEEKDAY(S$6,1)=7,0,MIN(8,S17)*S16))))-MIN(IF(S16&lt;=0,0,IF(WEEKDAY(S$6,1)=1,0,IF(WEEKDAY(S$6,1)=7,0,MIN(8,S17)*S16))),MAX(0,40*MAX(1,S16)-(R18)))))</f>
        <v>0</v>
      </c>
      <c r="T19" s="63">
        <f>IF(AND(T16=0,T17=0),0,IF(T16&lt;=0,0,IF(WEEKDAY(T$6,1)=1,0,IF(WEEKDAY(T$6,1)=7,T16*T17,MAX(0,T17-8)*T16)))+((IF(T16&lt;=0,0,IF(WEEKDAY(T$6,1)=1,0,IF(WEEKDAY(T$6,1)=7,0,MIN(8,T17)*T16))))-MIN(IF(T16&lt;=0,0,IF(WEEKDAY(T$6,1)=1,0,IF(WEEKDAY(T$6,1)=7,0,MIN(8,T17)*T16))),MAX(0,40*MAX(1,T16)-(R18+S18)))))</f>
        <v>0</v>
      </c>
      <c r="U19" s="63">
        <f>IF(AND(U16=0,U17=0),0,IF(U16&lt;=0,0,IF(WEEKDAY(U$6,1)=1,0,IF(WEEKDAY(U$6,1)=7,U16*U17,MAX(0,U17-8)*U16)))+((IF(U16&lt;=0,0,IF(WEEKDAY(U$6,1)=1,0,IF(WEEKDAY(U$6,1)=7,0,MIN(8,U17)*U16))))-MIN(IF(U16&lt;=0,0,IF(WEEKDAY(U$6,1)=1,0,IF(WEEKDAY(U$6,1)=7,0,MIN(8,U17)*U16))),MAX(0,40*MAX(1,U16)-(R18+S18+T18)))))</f>
        <v>0</v>
      </c>
      <c r="V19" s="63">
        <f>IF(AND(V16=0,V17=0),0,IF(V16&lt;=0,0,IF(WEEKDAY(V$6,1)=1,0,IF(WEEKDAY(V$6,1)=7,V16*V17,MAX(0,V17-8)*V16)))+((IF(V16&lt;=0,0,IF(WEEKDAY(V$6,1)=1,0,IF(WEEKDAY(V$6,1)=7,0,MIN(8,V17)*V16))))-MIN(IF(V16&lt;=0,0,IF(WEEKDAY(V$6,1)=1,0,IF(WEEKDAY(V$6,1)=7,0,MIN(8,V17)*V16))),MAX(0,40*MAX(1,V16)-(R18+S18+T18+U18)))))</f>
        <v>0</v>
      </c>
      <c r="W19" s="64">
        <f>IF(AND(W16=0,W17=0),0,IF(W16&lt;=0,0,IF(WEEKDAY(W$6,1)=1,0,IF(WEEKDAY(W$6,1)=7,W16*W17,MAX(0,W17-8)*W16)))+((IF(W16&lt;=0,0,IF(WEEKDAY(W$6,1)=1,0,IF(WEEKDAY(W$6,1)=7,0,MIN(8,W17)*W16))))-MIN(IF(W16&lt;=0,0,IF(WEEKDAY(W$6,1)=1,0,IF(WEEKDAY(W$6,1)=7,0,MIN(8,W17)*W16))),MAX(0,40*MAX(1,W16)-(R18+S18+T18+U18+V18)))))</f>
        <v>0</v>
      </c>
      <c r="X19" s="64">
        <f>IF(AND(X16=0,X17=0),0,IF(X16&lt;=0,0,IF(WEEKDAY(X$6,1)=1,0,IF(WEEKDAY(X$6,1)=7,X16*X17,MAX(0,X17-8)*X16)))+((IF(X16&lt;=0,0,IF(WEEKDAY(X$6,1)=1,0,IF(WEEKDAY(X$6,1)=7,0,MIN(8,X17)*X16))))-MIN(IF(X16&lt;=0,0,IF(WEEKDAY(X$6,1)=1,0,IF(WEEKDAY(X$6,1)=7,0,MIN(8,X17)*X16))),MAX(0,40*MAX(1,X16)-(R18+S18+T18+U18+V18+W18)))))</f>
        <v>0</v>
      </c>
      <c r="Y19" s="63">
        <f>IF(AND(Y16=0,Y17=0),0,IF(Y16&lt;=0,0,IF(WEEKDAY(Y$6,1)=1,0,IF(WEEKDAY(Y$6,1)=7,Y16*Y17,MAX(0,Y17-8)*Y16)))+((IF(Y16&lt;=0,0,IF(WEEKDAY(Y$6,1)=1,0,IF(WEEKDAY(Y$6,1)=7,0,MIN(8,Y17)*Y16))))-MIN(IF(Y16&lt;=0,0,IF(WEEKDAY(Y$6,1)=1,0,IF(WEEKDAY(Y$6,1)=7,0,MIN(8,Y17)*Y16))),MAX(0,40*MAX(1,Y16)-(0)))))</f>
        <v>0</v>
      </c>
      <c r="Z19" s="63">
        <f>IF(AND(Z16=0,Z17=0),0,IF(Z16&lt;=0,0,IF(WEEKDAY(Z$6,1)=1,0,IF(WEEKDAY(Z$6,1)=7,Z16*Z17,MAX(0,Z17-8)*Z16)))+((IF(Z16&lt;=0,0,IF(WEEKDAY(Z$6,1)=1,0,IF(WEEKDAY(Z$6,1)=7,0,MIN(8,Z17)*Z16))))-MIN(IF(Z16&lt;=0,0,IF(WEEKDAY(Z$6,1)=1,0,IF(WEEKDAY(Z$6,1)=7,0,MIN(8,Z17)*Z16))),MAX(0,40*MAX(1,Z16)-(Y18)))))</f>
        <v>0</v>
      </c>
      <c r="AA19" s="63">
        <f>IF(AND(AA16=0,AA17=0),0,IF(AA16&lt;=0,0,IF(WEEKDAY(AA$6,1)=1,0,IF(WEEKDAY(AA$6,1)=7,AA16*AA17,MAX(0,AA17-8)*AA16)))+((IF(AA16&lt;=0,0,IF(WEEKDAY(AA$6,1)=1,0,IF(WEEKDAY(AA$6,1)=7,0,MIN(8,AA17)*AA16))))-MIN(IF(AA16&lt;=0,0,IF(WEEKDAY(AA$6,1)=1,0,IF(WEEKDAY(AA$6,1)=7,0,MIN(8,AA17)*AA16))),MAX(0,40*MAX(1,AA16)-(Y18+Z18)))))</f>
        <v>0</v>
      </c>
      <c r="AB19" s="63">
        <f>IF(AND(AB16=0,AB17=0),0,IF(AB16&lt;=0,0,IF(WEEKDAY(AB$6,1)=1,0,IF(WEEKDAY(AB$6,1)=7,AB16*AB17,MAX(0,AB17-8)*AB16)))+((IF(AB16&lt;=0,0,IF(WEEKDAY(AB$6,1)=1,0,IF(WEEKDAY(AB$6,1)=7,0,MIN(8,AB17)*AB16))))-MIN(IF(AB16&lt;=0,0,IF(WEEKDAY(AB$6,1)=1,0,IF(WEEKDAY(AB$6,1)=7,0,MIN(8,AB17)*AB16))),MAX(0,40*MAX(1,AB16)-(Y18+Z18+AA18)))))</f>
        <v>0</v>
      </c>
      <c r="AC19" s="63">
        <f>IF(AND(AC16=0,AC17=0),0,IF(AC16&lt;=0,0,IF(WEEKDAY(AC$6,1)=1,0,IF(WEEKDAY(AC$6,1)=7,AC16*AC17,MAX(0,AC17-8)*AC16)))+((IF(AC16&lt;=0,0,IF(WEEKDAY(AC$6,1)=1,0,IF(WEEKDAY(AC$6,1)=7,0,MIN(8,AC17)*AC16))))-MIN(IF(AC16&lt;=0,0,IF(WEEKDAY(AC$6,1)=1,0,IF(WEEKDAY(AC$6,1)=7,0,MIN(8,AC17)*AC16))),MAX(0,40*MAX(1,AC16)-(Y18+Z18+AA18+AB18)))))</f>
        <v>0</v>
      </c>
      <c r="AD19" s="64">
        <f>IF(AND(AD16=0,AD17=0),0,IF(AD16&lt;=0,0,IF(WEEKDAY(AD$6,1)=1,0,IF(WEEKDAY(AD$6,1)=7,AD16*AD17,MAX(0,AD17-8)*AD16)))+((IF(AD16&lt;=0,0,IF(WEEKDAY(AD$6,1)=1,0,IF(WEEKDAY(AD$6,1)=7,0,MIN(8,AD17)*AD16))))-MIN(IF(AD16&lt;=0,0,IF(WEEKDAY(AD$6,1)=1,0,IF(WEEKDAY(AD$6,1)=7,0,MIN(8,AD17)*AD16))),MAX(0,40*MAX(1,AD16)-(Y18+Z18+AA18+AB18+AC18)))))</f>
        <v>0</v>
      </c>
      <c r="AE19" s="64">
        <f>IF(AND(AE16=0,AE17=0),0,IF(AE16&lt;=0,0,IF(WEEKDAY(AE$6,1)=1,0,IF(WEEKDAY(AE$6,1)=7,AE16*AE17,MAX(0,AE17-8)*AE16)))+((IF(AE16&lt;=0,0,IF(WEEKDAY(AE$6,1)=1,0,IF(WEEKDAY(AE$6,1)=7,0,MIN(8,AE17)*AE16))))-MIN(IF(AE16&lt;=0,0,IF(WEEKDAY(AE$6,1)=1,0,IF(WEEKDAY(AE$6,1)=7,0,MIN(8,AE17)*AE16))),MAX(0,40*MAX(1,AE16)-(Y18+Z18+AA18+AB18+AC18+AD18)))))</f>
        <v>0</v>
      </c>
      <c r="AF19" s="63">
        <f>IF(AND(AF16=0,AF17=0),0,IF(AF16&lt;=0,0,IF(WEEKDAY(AF$6,1)=1,0,IF(WEEKDAY(AF$6,1)=7,AF16*AF17,MAX(0,AF17-8)*AF16)))+((IF(AF16&lt;=0,0,IF(WEEKDAY(AF$6,1)=1,0,IF(WEEKDAY(AF$6,1)=7,0,MIN(8,AF17)*AF16))))-MIN(IF(AF16&lt;=0,0,IF(WEEKDAY(AF$6,1)=1,0,IF(WEEKDAY(AF$6,1)=7,0,MIN(8,AF17)*AF16))),MAX(0,40*MAX(1,AF16)-(0)))))</f>
        <v>0</v>
      </c>
      <c r="AG19" s="63">
        <f>IF(AND(AG16=0,AG17=0),0,IF(AG16&lt;=0,0,IF(WEEKDAY(AG$6,1)=1,0,IF(WEEKDAY(AG$6,1)=7,AG16*AG17,MAX(0,AG17-8)*AG16)))+((IF(AG16&lt;=0,0,IF(WEEKDAY(AG$6,1)=1,0,IF(WEEKDAY(AG$6,1)=7,0,MIN(8,AG17)*AG16))))-MIN(IF(AG16&lt;=0,0,IF(WEEKDAY(AG$6,1)=1,0,IF(WEEKDAY(AG$6,1)=7,0,MIN(8,AG17)*AG16))),MAX(0,40*MAX(1,AG16)-(AF18)))))</f>
        <v>0</v>
      </c>
      <c r="AH19" s="63">
        <f>IF(AND(AH16=0,AH17=0),0,IF(AH16&lt;=0,0,IF(WEEKDAY(AH$6,1)=1,0,IF(WEEKDAY(AH$6,1)=7,AH16*AH17,MAX(0,AH17-8)*AH16)))+((IF(AH16&lt;=0,0,IF(WEEKDAY(AH$6,1)=1,0,IF(WEEKDAY(AH$6,1)=7,0,MIN(8,AH17)*AH16))))-MIN(IF(AH16&lt;=0,0,IF(WEEKDAY(AH$6,1)=1,0,IF(WEEKDAY(AH$6,1)=7,0,MIN(8,AH17)*AH16))),MAX(0,40*MAX(1,AH16)-(AF18+AG18)))))</f>
        <v>0</v>
      </c>
      <c r="AI19" s="63">
        <f>IF(AND(AI16=0,AI17=0),0,IF(AI16&lt;=0,0,IF(WEEKDAY(AI$6,1)=1,0,IF(WEEKDAY(AI$6,1)=7,AI16*AI17,MAX(0,AI17-8)*AI16)))+((IF(AI16&lt;=0,0,IF(WEEKDAY(AI$6,1)=1,0,IF(WEEKDAY(AI$6,1)=7,0,MIN(8,AI17)*AI16))))-MIN(IF(AI16&lt;=0,0,IF(WEEKDAY(AI$6,1)=1,0,IF(WEEKDAY(AI$6,1)=7,0,MIN(8,AI17)*AI16))),MAX(0,40*MAX(1,AI16)-(AF18+AG18+AH18)))))</f>
        <v>0</v>
      </c>
      <c r="AJ19" s="63">
        <f>IF(AND(AJ16=0,AJ17=0),0,IF(AJ16&lt;=0,0,IF(WEEKDAY(AJ$6,1)=1,0,IF(WEEKDAY(AJ$6,1)=7,AJ16*AJ17,MAX(0,AJ17-8)*AJ16)))+((IF(AJ16&lt;=0,0,IF(WEEKDAY(AJ$6,1)=1,0,IF(WEEKDAY(AJ$6,1)=7,0,MIN(8,AJ17)*AJ16))))-MIN(IF(AJ16&lt;=0,0,IF(WEEKDAY(AJ$6,1)=1,0,IF(WEEKDAY(AJ$6,1)=7,0,MIN(8,AJ17)*AJ16))),MAX(0,40*MAX(1,AJ16)-(AF18+AG18+AH18+AI18)))))</f>
        <v>0</v>
      </c>
      <c r="AK19" s="64">
        <f>IF(AND(AK16=0,AK17=0),0,IF(AK16&lt;=0,0,IF(WEEKDAY(AK$6,1)=1,0,IF(WEEKDAY(AK$6,1)=7,AK16*AK17,MAX(0,AK17-8)*AK16)))+((IF(AK16&lt;=0,0,IF(WEEKDAY(AK$6,1)=1,0,IF(WEEKDAY(AK$6,1)=7,0,MIN(8,AK17)*AK16))))-MIN(IF(AK16&lt;=0,0,IF(WEEKDAY(AK$6,1)=1,0,IF(WEEKDAY(AK$6,1)=7,0,MIN(8,AK17)*AK16))),MAX(0,40*MAX(1,AK16)-(AF18+AG18+AH18+AI18+AJ18)))))</f>
        <v>0</v>
      </c>
      <c r="AL19" s="64">
        <f>IF(AND(AL16=0,AL17=0),0,IF(AL16&lt;=0,0,IF(WEEKDAY(AL$6,1)=1,0,IF(WEEKDAY(AL$6,1)=7,AL16*AL17,MAX(0,AL17-8)*AL16)))+((IF(AL16&lt;=0,0,IF(WEEKDAY(AL$6,1)=1,0,IF(WEEKDAY(AL$6,1)=7,0,MIN(8,AL17)*AL16))))-MIN(IF(AL16&lt;=0,0,IF(WEEKDAY(AL$6,1)=1,0,IF(WEEKDAY(AL$6,1)=7,0,MIN(8,AL17)*AL16))),MAX(0,40*MAX(1,AL16)-(AF18+AG18+AH18+AI18+AJ18+AK18)))))</f>
        <v>0</v>
      </c>
      <c r="AM19" s="63">
        <f>IF(AND(AM16=0,AM17=0),0,IF(AM16&lt;=0,0,IF(WEEKDAY(AM$6,1)=1,0,IF(WEEKDAY(AM$6,1)=7,AM16*AM17,MAX(0,AM17-8)*AM16)))+((IF(AM16&lt;=0,0,IF(WEEKDAY(AM$6,1)=1,0,IF(WEEKDAY(AM$6,1)=7,0,MIN(8,AM17)*AM16))))-MIN(IF(AM16&lt;=0,0,IF(WEEKDAY(AM$6,1)=1,0,IF(WEEKDAY(AM$6,1)=7,0,MIN(8,AM17)*AM16))),MAX(0,40*MAX(1,AM16)-(0)))))</f>
        <v>0</v>
      </c>
      <c r="AN19" s="63">
        <f>IF(AND(AN16=0,AN17=0),0,IF(AN16&lt;=0,0,IF(WEEKDAY(AN$6,1)=1,0,IF(WEEKDAY(AN$6,1)=7,AN16*AN17,MAX(0,AN17-8)*AN16)))+((IF(AN16&lt;=0,0,IF(WEEKDAY(AN$6,1)=1,0,IF(WEEKDAY(AN$6,1)=7,0,MIN(8,AN17)*AN16))))-MIN(IF(AN16&lt;=0,0,IF(WEEKDAY(AN$6,1)=1,0,IF(WEEKDAY(AN$6,1)=7,0,MIN(8,AN17)*AN16))),MAX(0,40*MAX(1,AN16)-(AM18)))))</f>
        <v>0</v>
      </c>
      <c r="AO19" s="63">
        <f>IF(AND(AO16=0,AO17=0),0,IF(AO16&lt;=0,0,IF(WEEKDAY(AO$6,1)=1,0,IF(WEEKDAY(AO$6,1)=7,AO16*AO17,MAX(0,AO17-8)*AO16)))+((IF(AO16&lt;=0,0,IF(WEEKDAY(AO$6,1)=1,0,IF(WEEKDAY(AO$6,1)=7,0,MIN(8,AO17)*AO16))))-MIN(IF(AO16&lt;=0,0,IF(WEEKDAY(AO$6,1)=1,0,IF(WEEKDAY(AO$6,1)=7,0,MIN(8,AO17)*AO16))),MAX(0,40*MAX(1,AO16)-(AM18+AN18)))))</f>
        <v>0</v>
      </c>
      <c r="AP19" s="63">
        <f>IF(AND(AP16=0,AP17=0),0,IF(AP16&lt;=0,0,IF(WEEKDAY(AP$6,1)=1,0,IF(WEEKDAY(AP$6,1)=7,AP16*AP17,MAX(0,AP17-8)*AP16)))+((IF(AP16&lt;=0,0,IF(WEEKDAY(AP$6,1)=1,0,IF(WEEKDAY(AP$6,1)=7,0,MIN(8,AP17)*AP16))))-MIN(IF(AP16&lt;=0,0,IF(WEEKDAY(AP$6,1)=1,0,IF(WEEKDAY(AP$6,1)=7,0,MIN(8,AP17)*AP16))),MAX(0,40*MAX(1,AP16)-(AM18+AN18+AO18)))))</f>
        <v>0</v>
      </c>
      <c r="AQ19" s="63">
        <f>IF(AND(AQ16=0,AQ17=0),0,IF(AQ16&lt;=0,0,IF(WEEKDAY(AQ$6,1)=1,0,IF(WEEKDAY(AQ$6,1)=7,AQ16*AQ17,MAX(0,AQ17-8)*AQ16)))+((IF(AQ16&lt;=0,0,IF(WEEKDAY(AQ$6,1)=1,0,IF(WEEKDAY(AQ$6,1)=7,0,MIN(8,AQ17)*AQ16))))-MIN(IF(AQ16&lt;=0,0,IF(WEEKDAY(AQ$6,1)=1,0,IF(WEEKDAY(AQ$6,1)=7,0,MIN(8,AQ17)*AQ16))),MAX(0,40*MAX(1,AQ16)-(AM18+AN18+AO18+AP18)))))</f>
        <v>0</v>
      </c>
      <c r="AR19" s="64">
        <f>IF(AND(AR16=0,AR17=0),0,IF(AR16&lt;=0,0,IF(WEEKDAY(AR$6,1)=1,0,IF(WEEKDAY(AR$6,1)=7,AR16*AR17,MAX(0,AR17-8)*AR16)))+((IF(AR16&lt;=0,0,IF(WEEKDAY(AR$6,1)=1,0,IF(WEEKDAY(AR$6,1)=7,0,MIN(8,AR17)*AR16))))-MIN(IF(AR16&lt;=0,0,IF(WEEKDAY(AR$6,1)=1,0,IF(WEEKDAY(AR$6,1)=7,0,MIN(8,AR17)*AR16))),MAX(0,40*MAX(1,AR16)-(AM18+AN18+AO18+AP18+AQ18)))))</f>
        <v>0</v>
      </c>
      <c r="AS19" s="64">
        <f>IF(AND(AS16=0,AS17=0),0,IF(AS16&lt;=0,0,IF(WEEKDAY(AS$6,1)=1,0,IF(WEEKDAY(AS$6,1)=7,AS16*AS17,MAX(0,AS17-8)*AS16)))+((IF(AS16&lt;=0,0,IF(WEEKDAY(AS$6,1)=1,0,IF(WEEKDAY(AS$6,1)=7,0,MIN(8,AS17)*AS16))))-MIN(IF(AS16&lt;=0,0,IF(WEEKDAY(AS$6,1)=1,0,IF(WEEKDAY(AS$6,1)=7,0,MIN(8,AS17)*AS16))),MAX(0,40*MAX(1,AS16)-(AM18+AN18+AO18+AP18+AQ18+AR18)))))</f>
        <v>0</v>
      </c>
      <c r="AT19" s="63">
        <f>IF(AND(AT16=0,AT17=0),0,IF(AT16&lt;=0,0,IF(WEEKDAY(AT$6,1)=1,0,IF(WEEKDAY(AT$6,1)=7,AT16*AT17,MAX(0,AT17-8)*AT16)))+((IF(AT16&lt;=0,0,IF(WEEKDAY(AT$6,1)=1,0,IF(WEEKDAY(AT$6,1)=7,0,MIN(8,AT17)*AT16))))-MIN(IF(AT16&lt;=0,0,IF(WEEKDAY(AT$6,1)=1,0,IF(WEEKDAY(AT$6,1)=7,0,MIN(8,AT17)*AT16))),MAX(0,40*MAX(1,AT16)-(0)))))</f>
        <v>0</v>
      </c>
      <c r="AU19" s="63">
        <f>IF(AND(AU16=0,AU17=0),0,IF(AU16&lt;=0,0,IF(WEEKDAY(AU$6,1)=1,0,IF(WEEKDAY(AU$6,1)=7,AU16*AU17,MAX(0,AU17-8)*AU16)))+((IF(AU16&lt;=0,0,IF(WEEKDAY(AU$6,1)=1,0,IF(WEEKDAY(AU$6,1)=7,0,MIN(8,AU17)*AU16))))-MIN(IF(AU16&lt;=0,0,IF(WEEKDAY(AU$6,1)=1,0,IF(WEEKDAY(AU$6,1)=7,0,MIN(8,AU17)*AU16))),MAX(0,40*MAX(1,AU16)-(AT18)))))</f>
        <v>0</v>
      </c>
      <c r="AV19" s="63">
        <f>IF(AND(AV16=0,AV17=0),0,IF(AV16&lt;=0,0,IF(WEEKDAY(AV$6,1)=1,0,IF(WEEKDAY(AV$6,1)=7,AV16*AV17,MAX(0,AV17-8)*AV16)))+((IF(AV16&lt;=0,0,IF(WEEKDAY(AV$6,1)=1,0,IF(WEEKDAY(AV$6,1)=7,0,MIN(8,AV17)*AV16))))-MIN(IF(AV16&lt;=0,0,IF(WEEKDAY(AV$6,1)=1,0,IF(WEEKDAY(AV$6,1)=7,0,MIN(8,AV17)*AV16))),MAX(0,40*MAX(1,AV16)-(AT18+AU18)))))</f>
        <v>0</v>
      </c>
      <c r="AW19" s="63">
        <f>IF(AND(AW16=0,AW17=0),0,IF(AW16&lt;=0,0,IF(WEEKDAY(AW$6,1)=1,0,IF(WEEKDAY(AW$6,1)=7,AW16*AW17,MAX(0,AW17-8)*AW16)))+((IF(AW16&lt;=0,0,IF(WEEKDAY(AW$6,1)=1,0,IF(WEEKDAY(AW$6,1)=7,0,MIN(8,AW17)*AW16))))-MIN(IF(AW16&lt;=0,0,IF(WEEKDAY(AW$6,1)=1,0,IF(WEEKDAY(AW$6,1)=7,0,MIN(8,AW17)*AW16))),MAX(0,40*MAX(1,AW16)-(AT18+AU18+AV18)))))</f>
        <v>0</v>
      </c>
      <c r="AX19" s="63">
        <f>IF(AND(AX16=0,AX17=0),0,IF(AX16&lt;=0,0,IF(WEEKDAY(AX$6,1)=1,0,IF(WEEKDAY(AX$6,1)=7,AX16*AX17,MAX(0,AX17-8)*AX16)))+((IF(AX16&lt;=0,0,IF(WEEKDAY(AX$6,1)=1,0,IF(WEEKDAY(AX$6,1)=7,0,MIN(8,AX17)*AX16))))-MIN(IF(AX16&lt;=0,0,IF(WEEKDAY(AX$6,1)=1,0,IF(WEEKDAY(AX$6,1)=7,0,MIN(8,AX17)*AX16))),MAX(0,40*MAX(1,AX16)-(AT18+AU18+AV18+AW18)))))</f>
        <v>0</v>
      </c>
      <c r="AY19" s="64">
        <f>IF(AND(AY16=0,AY17=0),0,IF(AY16&lt;=0,0,IF(WEEKDAY(AY$6,1)=1,0,IF(WEEKDAY(AY$6,1)=7,AY16*AY17,MAX(0,AY17-8)*AY16)))+((IF(AY16&lt;=0,0,IF(WEEKDAY(AY$6,1)=1,0,IF(WEEKDAY(AY$6,1)=7,0,MIN(8,AY17)*AY16))))-MIN(IF(AY16&lt;=0,0,IF(WEEKDAY(AY$6,1)=1,0,IF(WEEKDAY(AY$6,1)=7,0,MIN(8,AY17)*AY16))),MAX(0,40*MAX(1,AY16)-(AT18+AU18+AV18+AW18+AX18)))))</f>
        <v>0</v>
      </c>
      <c r="AZ19" s="64">
        <f>IF(AND(AZ16=0,AZ17=0),0,IF(AZ16&lt;=0,0,IF(WEEKDAY(AZ$6,1)=1,0,IF(WEEKDAY(AZ$6,1)=7,AZ16*AZ17,MAX(0,AZ17-8)*AZ16)))+((IF(AZ16&lt;=0,0,IF(WEEKDAY(AZ$6,1)=1,0,IF(WEEKDAY(AZ$6,1)=7,0,MIN(8,AZ17)*AZ16))))-MIN(IF(AZ16&lt;=0,0,IF(WEEKDAY(AZ$6,1)=1,0,IF(WEEKDAY(AZ$6,1)=7,0,MIN(8,AZ17)*AZ16))),MAX(0,40*MAX(1,AZ16)-(AT18+AU18+AV18+AW18+AX18+AY18)))))</f>
        <v>0</v>
      </c>
      <c r="BA19" s="63">
        <f>IF(AND(BA16=0,BA17=0),0,IF(BA16&lt;=0,0,IF(WEEKDAY(BA$6,1)=1,0,IF(WEEKDAY(BA$6,1)=7,BA16*BA17,MAX(0,BA17-8)*BA16)))+((IF(BA16&lt;=0,0,IF(WEEKDAY(BA$6,1)=1,0,IF(WEEKDAY(BA$6,1)=7,0,MIN(8,BA17)*BA16))))-MIN(IF(BA16&lt;=0,0,IF(WEEKDAY(BA$6,1)=1,0,IF(WEEKDAY(BA$6,1)=7,0,MIN(8,BA17)*BA16))),MAX(0,40*MAX(1,BA16)-(0)))))</f>
        <v>0</v>
      </c>
      <c r="BB19" s="63">
        <f>IF(AND(BB16=0,BB17=0),0,IF(BB16&lt;=0,0,IF(WEEKDAY(BB$6,1)=1,0,IF(WEEKDAY(BB$6,1)=7,BB16*BB17,MAX(0,BB17-8)*BB16)))+((IF(BB16&lt;=0,0,IF(WEEKDAY(BB$6,1)=1,0,IF(WEEKDAY(BB$6,1)=7,0,MIN(8,BB17)*BB16))))-MIN(IF(BB16&lt;=0,0,IF(WEEKDAY(BB$6,1)=1,0,IF(WEEKDAY(BB$6,1)=7,0,MIN(8,BB17)*BB16))),MAX(0,40*MAX(1,BB16)-(BA18)))))</f>
        <v>0</v>
      </c>
      <c r="BC19" s="63">
        <f>IF(AND(BC16=0,BC17=0),0,IF(BC16&lt;=0,0,IF(WEEKDAY(BC$6,1)=1,0,IF(WEEKDAY(BC$6,1)=7,BC16*BC17,MAX(0,BC17-8)*BC16)))+((IF(BC16&lt;=0,0,IF(WEEKDAY(BC$6,1)=1,0,IF(WEEKDAY(BC$6,1)=7,0,MIN(8,BC17)*BC16))))-MIN(IF(BC16&lt;=0,0,IF(WEEKDAY(BC$6,1)=1,0,IF(WEEKDAY(BC$6,1)=7,0,MIN(8,BC17)*BC16))),MAX(0,40*MAX(1,BC16)-(BA18+BB18)))))</f>
        <v>0</v>
      </c>
      <c r="BD19" s="63">
        <f>IF(AND(BD16=0,BD17=0),0,IF(BD16&lt;=0,0,IF(WEEKDAY(BD$6,1)=1,0,IF(WEEKDAY(BD$6,1)=7,BD16*BD17,MAX(0,BD17-8)*BD16)))+((IF(BD16&lt;=0,0,IF(WEEKDAY(BD$6,1)=1,0,IF(WEEKDAY(BD$6,1)=7,0,MIN(8,BD17)*BD16))))-MIN(IF(BD16&lt;=0,0,IF(WEEKDAY(BD$6,1)=1,0,IF(WEEKDAY(BD$6,1)=7,0,MIN(8,BD17)*BD16))),MAX(0,40*MAX(1,BD16)-(BA18+BB18+BC18)))))</f>
        <v>0</v>
      </c>
      <c r="BE19" s="63">
        <f>IF(AND(BE16=0,BE17=0),0,IF(BE16&lt;=0,0,IF(WEEKDAY(BE$6,1)=1,0,IF(WEEKDAY(BE$6,1)=7,BE16*BE17,MAX(0,BE17-8)*BE16)))+((IF(BE16&lt;=0,0,IF(WEEKDAY(BE$6,1)=1,0,IF(WEEKDAY(BE$6,1)=7,0,MIN(8,BE17)*BE16))))-MIN(IF(BE16&lt;=0,0,IF(WEEKDAY(BE$6,1)=1,0,IF(WEEKDAY(BE$6,1)=7,0,MIN(8,BE17)*BE16))),MAX(0,40*MAX(1,BE16)-(BA18+BB18+BC18+BD18)))))</f>
        <v>0</v>
      </c>
      <c r="BF19" s="64">
        <f>IF(AND(BF16=0,BF17=0),0,IF(BF16&lt;=0,0,IF(WEEKDAY(BF$6,1)=1,0,IF(WEEKDAY(BF$6,1)=7,BF16*BF17,MAX(0,BF17-8)*BF16)))+((IF(BF16&lt;=0,0,IF(WEEKDAY(BF$6,1)=1,0,IF(WEEKDAY(BF$6,1)=7,0,MIN(8,BF17)*BF16))))-MIN(IF(BF16&lt;=0,0,IF(WEEKDAY(BF$6,1)=1,0,IF(WEEKDAY(BF$6,1)=7,0,MIN(8,BF17)*BF16))),MAX(0,40*MAX(1,BF16)-(BA18+BB18+BC18+BD18+BE18)))))</f>
        <v>0</v>
      </c>
      <c r="BG19" s="64">
        <f>IF(AND(BG16=0,BG17=0),0,IF(BG16&lt;=0,0,IF(WEEKDAY(BG$6,1)=1,0,IF(WEEKDAY(BG$6,1)=7,BG16*BG17,MAX(0,BG17-8)*BG16)))+((IF(BG16&lt;=0,0,IF(WEEKDAY(BG$6,1)=1,0,IF(WEEKDAY(BG$6,1)=7,0,MIN(8,BG17)*BG16))))-MIN(IF(BG16&lt;=0,0,IF(WEEKDAY(BG$6,1)=1,0,IF(WEEKDAY(BG$6,1)=7,0,MIN(8,BG17)*BG16))),MAX(0,40*MAX(1,BG16)-(BA18+BB18+BC18+BD18+BE18+BF18)))))</f>
        <v>0</v>
      </c>
      <c r="BH19" s="63">
        <f>IF(AND(BH16=4,BH17=13),20,IF(BH16&lt;=0,0,IF(WEEKDAY(BH$6,1)=1,0,IF(WEEKDAY(BH$6,1)=7,BH16*BH17,MAX(0,BH17-8)*BH16)))+((IF(BH16&lt;=0,0,IF(WEEKDAY(BH$6,1)=1,0,IF(WEEKDAY(BH$6,1)=7,0,MIN(8,BH17)*BH16))))-MIN(IF(BH16&lt;=0,0,IF(WEEKDAY(BH$6,1)=1,0,IF(WEEKDAY(BH$6,1)=7,0,MIN(8,BH17)*BH16))),MAX(0,40*MAX(1,BH16)-(0)))))</f>
        <v>20</v>
      </c>
      <c r="BI19" s="63">
        <f>IF(AND(BI16=4,BI17=13),20,IF(BI16&lt;=0,0,IF(WEEKDAY(BI$6,1)=1,0,IF(WEEKDAY(BI$6,1)=7,BI16*BI17,MAX(0,BI17-8)*BI16)))+((IF(BI16&lt;=0,0,IF(WEEKDAY(BI$6,1)=1,0,IF(WEEKDAY(BI$6,1)=7,0,MIN(8,BI17)*BI16))))-MIN(IF(BI16&lt;=0,0,IF(WEEKDAY(BI$6,1)=1,0,IF(WEEKDAY(BI$6,1)=7,0,MIN(8,BI17)*BI16))),MAX(0,40*MAX(1,BI16)-(BH18)))))</f>
        <v>20</v>
      </c>
      <c r="BJ19" s="63">
        <f>IF(AND(BJ16=4,BJ17=13),20,IF(BJ16&lt;=0,0,IF(WEEKDAY(BJ$6,1)=1,0,IF(WEEKDAY(BJ$6,1)=7,BJ16*BJ17,MAX(0,BJ17-8)*BJ16)))+((IF(BJ16&lt;=0,0,IF(WEEKDAY(BJ$6,1)=1,0,IF(WEEKDAY(BJ$6,1)=7,0,MIN(8,BJ17)*BJ16))))-MIN(IF(BJ16&lt;=0,0,IF(WEEKDAY(BJ$6,1)=1,0,IF(WEEKDAY(BJ$6,1)=7,0,MIN(8,BJ17)*BJ16))),MAX(0,40*MAX(1,BJ16)-(BH18+BI18)))))</f>
        <v>20</v>
      </c>
      <c r="BK19" s="63">
        <f>IF(AND(BK16=4,BK17=13),20,IF(BK16&lt;=0,0,IF(WEEKDAY(BK$6,1)=1,0,IF(WEEKDAY(BK$6,1)=7,BK16*BK17,MAX(0,BK17-8)*BK16)))+((IF(BK16&lt;=0,0,IF(WEEKDAY(BK$6,1)=1,0,IF(WEEKDAY(BK$6,1)=7,0,MIN(8,BK17)*BK16))))-MIN(IF(BK16&lt;=0,0,IF(WEEKDAY(BK$6,1)=1,0,IF(WEEKDAY(BK$6,1)=7,0,MIN(8,BK17)*BK16))),MAX(0,40*MAX(1,BK16)-(BH18+BI18+BJ18)))))</f>
        <v>20</v>
      </c>
      <c r="BL19" s="63">
        <f>IF(AND(BL16=4,BL17=13),20,IF(BL16&lt;=0,0,IF(WEEKDAY(BL$6,1)=1,0,IF(WEEKDAY(BL$6,1)=7,BL16*BL17,MAX(0,BL17-8)*BL16)))+((IF(BL16&lt;=0,0,IF(WEEKDAY(BL$6,1)=1,0,IF(WEEKDAY(BL$6,1)=7,0,MIN(8,BL17)*BL16))))-MIN(IF(BL16&lt;=0,0,IF(WEEKDAY(BL$6,1)=1,0,IF(WEEKDAY(BL$6,1)=7,0,MIN(8,BL17)*BL16))),MAX(0,40*MAX(1,BL16)-(BH18+BI18+BJ18+BK18)))))</f>
        <v>20</v>
      </c>
      <c r="BM19" s="64">
        <f>IF(AND(BM16=4,BM17=13),52,IF(BM16&lt;=0,0,IF(WEEKDAY(BM$6,1)=1,0,IF(WEEKDAY(BM$6,1)=7,BM16*BM17,MAX(0,BM17-8)*BM16)))+((IF(BM16&lt;=0,0,IF(WEEKDAY(BM$6,1)=1,0,IF(WEEKDAY(BM$6,1)=7,0,MIN(8,BM17)*BM16))))-MIN(IF(BM16&lt;=0,0,IF(WEEKDAY(BM$6,1)=1,0,IF(WEEKDAY(BM$6,1)=7,0,MIN(8,BM17)*BM16))),MAX(0,40*MAX(1,BM16)-(BH18+BI18+BJ18+BK18+BL18)))))</f>
        <v>52</v>
      </c>
      <c r="BN19" s="64">
        <f>IF(AND(BN16=4,BN17=13),0,IF(BN16&lt;=0,0,IF(WEEKDAY(BN$6,1)=1,0,IF(WEEKDAY(BN$6,1)=7,BN16*BN17,MAX(0,BN17-8)*BN16)))+((IF(BN16&lt;=0,0,IF(WEEKDAY(BN$6,1)=1,0,IF(WEEKDAY(BN$6,1)=7,0,MIN(8,BN17)*BN16))))-MIN(IF(BN16&lt;=0,0,IF(WEEKDAY(BN$6,1)=1,0,IF(WEEKDAY(BN$6,1)=7,0,MIN(8,BN17)*BN16))),MAX(0,40*MAX(1,BN16)-(BH18+BI18+BJ18+BK18+BL18+BM18)))))</f>
        <v>0</v>
      </c>
      <c r="BO19" s="63">
        <f>IF(AND(BO16=4,BO17=13),20,IF(BO16&lt;=0,0,IF(WEEKDAY(BO$6,1)=1,0,IF(WEEKDAY(BO$6,1)=7,BO16*BO17,MAX(0,BO17-8)*BO16)))+((IF(BO16&lt;=0,0,IF(WEEKDAY(BO$6,1)=1,0,IF(WEEKDAY(BO$6,1)=7,0,MIN(8,BO17)*BO16))))-MIN(IF(BO16&lt;=0,0,IF(WEEKDAY(BO$6,1)=1,0,IF(WEEKDAY(BO$6,1)=7,0,MIN(8,BO17)*BO16))),MAX(0,40*MAX(1,BO16)-(0)))))</f>
        <v>20</v>
      </c>
      <c r="BP19" s="63">
        <f>IF(AND(BP16=4,BP17=13),20,IF(BP16&lt;=0,0,IF(WEEKDAY(BP$6,1)=1,0,IF(WEEKDAY(BP$6,1)=7,BP16*BP17,MAX(0,BP17-8)*BP16)))+((IF(BP16&lt;=0,0,IF(WEEKDAY(BP$6,1)=1,0,IF(WEEKDAY(BP$6,1)=7,0,MIN(8,BP17)*BP16))))-MIN(IF(BP16&lt;=0,0,IF(WEEKDAY(BP$6,1)=1,0,IF(WEEKDAY(BP$6,1)=7,0,MIN(8,BP17)*BP16))),MAX(0,40*MAX(1,BP16)-(BO18)))))</f>
        <v>20</v>
      </c>
      <c r="BQ19" s="63">
        <f>IF(AND(BQ16=4,BQ17=13),20,IF(BQ16&lt;=0,0,IF(WEEKDAY(BQ$6,1)=1,0,IF(WEEKDAY(BQ$6,1)=7,BQ16*BQ17,MAX(0,BQ17-8)*BQ16)))+((IF(BQ16&lt;=0,0,IF(WEEKDAY(BQ$6,1)=1,0,IF(WEEKDAY(BQ$6,1)=7,0,MIN(8,BQ17)*BQ16))))-MIN(IF(BQ16&lt;=0,0,IF(WEEKDAY(BQ$6,1)=1,0,IF(WEEKDAY(BQ$6,1)=7,0,MIN(8,BQ17)*BQ16))),MAX(0,40*MAX(1,BQ16)-(BO18+BP18)))))</f>
        <v>20</v>
      </c>
      <c r="BR19" s="63">
        <f>IF(AND(BR16=4,BR17=13),20,IF(BR16&lt;=0,0,IF(WEEKDAY(BR$6,1)=1,0,IF(WEEKDAY(BR$6,1)=7,BR16*BR17,MAX(0,BR17-8)*BR16)))+((IF(BR16&lt;=0,0,IF(WEEKDAY(BR$6,1)=1,0,IF(WEEKDAY(BR$6,1)=7,0,MIN(8,BR17)*BR16))))-MIN(IF(BR16&lt;=0,0,IF(WEEKDAY(BR$6,1)=1,0,IF(WEEKDAY(BR$6,1)=7,0,MIN(8,BR17)*BR16))),MAX(0,40*MAX(1,BR16)-(0)))))</f>
        <v>20</v>
      </c>
      <c r="BS19" s="63">
        <f>IF(AND(BS16=4,BS17=13),20,IF(BS16&lt;=0,0,IF(WEEKDAY(BS$6,1)=1,0,IF(WEEKDAY(BS$6,1)=7,BS16*BS17,MAX(0,BS17-8)*BS16)))+((IF(BS16&lt;=0,0,IF(WEEKDAY(BS$6,1)=1,0,IF(WEEKDAY(BS$6,1)=7,0,MIN(8,BS17)*BS16))))-MIN(IF(BS16&lt;=0,0,IF(WEEKDAY(BS$6,1)=1,0,IF(WEEKDAY(BS$6,1)=7,0,MIN(8,BS17)*BS16))),MAX(0,40*MAX(1,BS16)-(BR18)))))</f>
        <v>20</v>
      </c>
      <c r="BT19" s="64">
        <f>IF(AND(BT16=4,BT17=13),52,IF(BT16&lt;=0,0,IF(WEEKDAY(BT$6,1)=1,0,IF(WEEKDAY(BT$6,1)=7,BT16*BT17,MAX(0,BT17-8)*BT16)))+((IF(BT16&lt;=0,0,IF(WEEKDAY(BT$6,1)=1,0,IF(WEEKDAY(BT$6,1)=7,0,MIN(8,BT17)*BT16))))-MIN(IF(BT16&lt;=0,0,IF(WEEKDAY(BT$6,1)=1,0,IF(WEEKDAY(BT$6,1)=7,0,MIN(8,BT17)*BT16))),MAX(0,40*MAX(1,BT16)-(BR18+BS18)))))</f>
        <v>52</v>
      </c>
      <c r="BU19" s="64">
        <f>IF(AND(BU16=4,BU17=13),0,IF(BU16&lt;=0,0,IF(WEEKDAY(BU$6,1)=1,0,IF(WEEKDAY(BU$6,1)=7,BU16*BU17,MAX(0,BU17-8)*BU16)))+((IF(BU16&lt;=0,0,IF(WEEKDAY(BU$6,1)=1,0,IF(WEEKDAY(BU$6,1)=7,0,MIN(8,BU17)*BU16))))-MIN(IF(BU16&lt;=0,0,IF(WEEKDAY(BU$6,1)=1,0,IF(WEEKDAY(BU$6,1)=7,0,MIN(8,BU17)*BU16))),MAX(0,40*MAX(1,BU16)-(BR18+BS18+BT18)))))</f>
        <v>0</v>
      </c>
      <c r="BV19" s="63">
        <f>IF(AND(BV16=4,BV17=13),20,IF(BV16&lt;=0,0,IF(WEEKDAY(BV$6,1)=1,0,IF(WEEKDAY(BV$6,1)=7,BV16*BV17,MAX(0,BV17-8)*BV16)))+((IF(BV16&lt;=0,0,IF(WEEKDAY(BV$6,1)=1,0,IF(WEEKDAY(BV$6,1)=7,0,MIN(8,BV17)*BV16))))-MIN(IF(BV16&lt;=0,0,IF(WEEKDAY(BV$6,1)=1,0,IF(WEEKDAY(BV$6,1)=7,0,MIN(8,BV17)*BV16))),MAX(0,40*MAX(1,BV16)-(0)))))</f>
        <v>20</v>
      </c>
      <c r="BW19" s="63">
        <f>IF(AND(BW16=4,BW17=13),20,IF(BW16&lt;=0,0,IF(WEEKDAY(BW$6,1)=1,0,IF(WEEKDAY(BW$6,1)=7,BW16*BW17,MAX(0,BW17-8)*BW16)))+((IF(BW16&lt;=0,0,IF(WEEKDAY(BW$6,1)=1,0,IF(WEEKDAY(BW$6,1)=7,0,MIN(8,BW17)*BW16))))-MIN(IF(BW16&lt;=0,0,IF(WEEKDAY(BW$6,1)=1,0,IF(WEEKDAY(BW$6,1)=7,0,MIN(8,BW17)*BW16))),MAX(0,40*MAX(1,BW16)-(BV18)))))</f>
        <v>20</v>
      </c>
      <c r="BX19" s="63">
        <f>IF(AND(BX16=4,BX17=13),20,IF(BX16&lt;=0,0,IF(WEEKDAY(BX$6,1)=1,0,IF(WEEKDAY(BX$6,1)=7,BX16*BX17,MAX(0,BX17-8)*BX16)))+((IF(BX16&lt;=0,0,IF(WEEKDAY(BX$6,1)=1,0,IF(WEEKDAY(BX$6,1)=7,0,MIN(8,BX17)*BX16))))-MIN(IF(BX16&lt;=0,0,IF(WEEKDAY(BX$6,1)=1,0,IF(WEEKDAY(BX$6,1)=7,0,MIN(8,BX17)*BX16))),MAX(0,40*MAX(1,BX16)-(BV18+BW18)))))</f>
        <v>20</v>
      </c>
      <c r="BY19" s="63">
        <f>IF(AND(BY16=4,BY17=13),20,IF(BY16&lt;=0,0,IF(WEEKDAY(BY$6,1)=1,0,IF(WEEKDAY(BY$6,1)=7,BY16*BY17,MAX(0,BY17-8)*BY16)))+((IF(BY16&lt;=0,0,IF(WEEKDAY(BY$6,1)=1,0,IF(WEEKDAY(BY$6,1)=7,0,MIN(8,BY17)*BY16))))-MIN(IF(BY16&lt;=0,0,IF(WEEKDAY(BY$6,1)=1,0,IF(WEEKDAY(BY$6,1)=7,0,MIN(8,BY17)*BY16))),MAX(0,40*MAX(1,BY16)-(BV18+BW18+BX18)))))</f>
        <v>20</v>
      </c>
      <c r="BZ19" s="63">
        <f>IF(AND(BZ16=4,BZ17=13),20,IF(BZ16&lt;=0,0,IF(WEEKDAY(BZ$6,1)=1,0,IF(WEEKDAY(BZ$6,1)=7,BZ16*BZ17,MAX(0,BZ17-8)*BZ16)))+((IF(BZ16&lt;=0,0,IF(WEEKDAY(BZ$6,1)=1,0,IF(WEEKDAY(BZ$6,1)=7,0,MIN(8,BZ17)*BZ16))))-MIN(IF(BZ16&lt;=0,0,IF(WEEKDAY(BZ$6,1)=1,0,IF(WEEKDAY(BZ$6,1)=7,0,MIN(8,BZ17)*BZ16))),MAX(0,40*MAX(1,BZ16)-(BV18+BW18+BX18+BY18)))))</f>
        <v>20</v>
      </c>
      <c r="CA19" s="64">
        <f>IF(AND(CA16=4,CA17=13),52,IF(CA16&lt;=0,0,IF(WEEKDAY(CA$6,1)=1,0,IF(WEEKDAY(CA$6,1)=7,CA16*CA17,MAX(0,CA17-8)*CA16)))+((IF(CA16&lt;=0,0,IF(WEEKDAY(CA$6,1)=1,0,IF(WEEKDAY(CA$6,1)=7,0,MIN(8,CA17)*CA16))))-MIN(IF(CA16&lt;=0,0,IF(WEEKDAY(CA$6,1)=1,0,IF(WEEKDAY(CA$6,1)=7,0,MIN(8,CA17)*CA16))),MAX(0,40*MAX(1,CA16)-(BV18+BW18+BX18+BY18+BZ18)))))</f>
        <v>52</v>
      </c>
      <c r="CB19" s="64">
        <f>IF(AND(CB16=4,CB17=13),0,IF(CB16&lt;=0,0,IF(WEEKDAY(CB$6,1)=1,0,IF(WEEKDAY(CB$6,1)=7,CB16*CB17,MAX(0,CB17-8)*CB16)))+((IF(CB16&lt;=0,0,IF(WEEKDAY(CB$6,1)=1,0,IF(WEEKDAY(CB$6,1)=7,0,MIN(8,CB17)*CB16))))-MIN(IF(CB16&lt;=0,0,IF(WEEKDAY(CB$6,1)=1,0,IF(WEEKDAY(CB$6,1)=7,0,MIN(8,CB17)*CB16))),MAX(0,40*MAX(1,CB16)-(BV18+BW18+BX18+BY18+BZ18+CA18)))))</f>
        <v>0</v>
      </c>
      <c r="CC19" s="63">
        <f>IF(AND(CC16=4,CC17=13),20,IF(CC16&lt;=0,0,IF(WEEKDAY(CC$6,1)=1,0,IF(WEEKDAY(CC$6,1)=7,CC16*CC17,MAX(0,CC17-8)*CC16)))+((IF(CC16&lt;=0,0,IF(WEEKDAY(CC$6,1)=1,0,IF(WEEKDAY(CC$6,1)=7,0,MIN(8,CC17)*CC16))))-MIN(IF(CC16&lt;=0,0,IF(WEEKDAY(CC$6,1)=1,0,IF(WEEKDAY(CC$6,1)=7,0,MIN(8,CC17)*CC16))),MAX(0,40*MAX(1,CC16)-(0)))))</f>
        <v>20</v>
      </c>
      <c r="CD19" s="63">
        <f>IF(AND(CD16=4,CD17=13),20,IF(CD16&lt;=0,0,IF(WEEKDAY(CD$6,1)=1,0,IF(WEEKDAY(CD$6,1)=7,CD16*CD17,MAX(0,CD17-8)*CD16)))+((IF(CD16&lt;=0,0,IF(WEEKDAY(CD$6,1)=1,0,IF(WEEKDAY(CD$6,1)=7,0,MIN(8,CD17)*CD16))))-MIN(IF(CD16&lt;=0,0,IF(WEEKDAY(CD$6,1)=1,0,IF(WEEKDAY(CD$6,1)=7,0,MIN(8,CD17)*CD16))),MAX(0,40*MAX(1,CD16)-(CC18)))))</f>
        <v>20</v>
      </c>
      <c r="CE19" s="63">
        <f>IF(AND(CE16=4,CE17=13),20,IF(CE16&lt;=0,0,IF(WEEKDAY(CE$6,1)=1,0,IF(WEEKDAY(CE$6,1)=7,CE16*CE17,MAX(0,CE17-8)*CE16)))+((IF(CE16&lt;=0,0,IF(WEEKDAY(CE$6,1)=1,0,IF(WEEKDAY(CE$6,1)=7,0,MIN(8,CE17)*CE16))))-MIN(IF(CE16&lt;=0,0,IF(WEEKDAY(CE$6,1)=1,0,IF(WEEKDAY(CE$6,1)=7,0,MIN(8,CE17)*CE16))),MAX(0,40*MAX(1,CE16)-(CC18+CD18)))))</f>
        <v>20</v>
      </c>
      <c r="CF19" s="63">
        <f>IF(AND(CF16=4,CF17=13),20,IF(CF16&lt;=0,0,IF(WEEKDAY(CF$6,1)=1,0,IF(WEEKDAY(CF$6,1)=7,CF16*CF17,MAX(0,CF17-8)*CF16)))+((IF(CF16&lt;=0,0,IF(WEEKDAY(CF$6,1)=1,0,IF(WEEKDAY(CF$6,1)=7,0,MIN(8,CF17)*CF16))))-MIN(IF(CF16&lt;=0,0,IF(WEEKDAY(CF$6,1)=1,0,IF(WEEKDAY(CF$6,1)=7,0,MIN(8,CF17)*CF16))),MAX(0,40*MAX(1,CF16)-(CC18+CD18+CE18)))))</f>
        <v>20</v>
      </c>
      <c r="CG19" s="63">
        <f>IF(AND(CG16=4,CG17=13),20,IF(CG16&lt;=0,0,IF(WEEKDAY(CG$6,1)=1,0,IF(WEEKDAY(CG$6,1)=7,CG16*CG17,MAX(0,CG17-8)*CG16)))+((IF(CG16&lt;=0,0,IF(WEEKDAY(CG$6,1)=1,0,IF(WEEKDAY(CG$6,1)=7,0,MIN(8,CG17)*CG16))))-MIN(IF(CG16&lt;=0,0,IF(WEEKDAY(CG$6,1)=1,0,IF(WEEKDAY(CG$6,1)=7,0,MIN(8,CG17)*CG16))),MAX(0,40*MAX(1,CG16)-(CC18+CD18+CE18+CF18)))))</f>
        <v>20</v>
      </c>
      <c r="CH19" s="64">
        <f>IF(AND(CH16=4,CH17=13),52,IF(CH16&lt;=0,0,IF(WEEKDAY(CH$6,1)=1,0,IF(WEEKDAY(CH$6,1)=7,CH16*CH17,MAX(0,CH17-8)*CH16)))+((IF(CH16&lt;=0,0,IF(WEEKDAY(CH$6,1)=1,0,IF(WEEKDAY(CH$6,1)=7,0,MIN(8,CH17)*CH16))))-MIN(IF(CH16&lt;=0,0,IF(WEEKDAY(CH$6,1)=1,0,IF(WEEKDAY(CH$6,1)=7,0,MIN(8,CH17)*CH16))),MAX(0,40*MAX(1,CH16)-(CC18+CD18+CE18+CF18+CG18)))))</f>
        <v>52</v>
      </c>
      <c r="CI19" s="64">
        <f>IF(AND(CI16=4,CI17=13),0,IF(CI16&lt;=0,0,IF(WEEKDAY(CI$6,1)=1,0,IF(WEEKDAY(CI$6,1)=7,CI16*CI17,MAX(0,CI17-8)*CI16)))+((IF(CI16&lt;=0,0,IF(WEEKDAY(CI$6,1)=1,0,IF(WEEKDAY(CI$6,1)=7,0,MIN(8,CI17)*CI16))))-MIN(IF(CI16&lt;=0,0,IF(WEEKDAY(CI$6,1)=1,0,IF(WEEKDAY(CI$6,1)=7,0,MIN(8,CI17)*CI16))),MAX(0,40*MAX(1,CI16)-(CC18+CD18+CE18+CF18+CG18+CH18)))))</f>
        <v>0</v>
      </c>
      <c r="CJ19" s="63">
        <f>IF(AND(CJ16=4,CJ17=13),20,IF(CJ16&lt;=0,0,IF(WEEKDAY(CJ$6,1)=1,0,IF(WEEKDAY(CJ$6,1)=7,CJ16*CJ17,MAX(0,CJ17-8)*CJ16)))+((IF(CJ16&lt;=0,0,IF(WEEKDAY(CJ$6,1)=1,0,IF(WEEKDAY(CJ$6,1)=7,0,MIN(8,CJ17)*CJ16))))-MIN(IF(CJ16&lt;=0,0,IF(WEEKDAY(CJ$6,1)=1,0,IF(WEEKDAY(CJ$6,1)=7,0,MIN(8,CJ17)*CJ16))),MAX(0,40*MAX(1,CJ16)-(0)))))</f>
        <v>20</v>
      </c>
      <c r="CK19" s="63">
        <f>IF(AND(CK16=4,CK17=13),20,IF(CK16&lt;=0,0,IF(WEEKDAY(CK$6,1)=1,0,IF(WEEKDAY(CK$6,1)=7,CK16*CK17,MAX(0,CK17-8)*CK16)))+((IF(CK16&lt;=0,0,IF(WEEKDAY(CK$6,1)=1,0,IF(WEEKDAY(CK$6,1)=7,0,MIN(8,CK17)*CK16))))-MIN(IF(CK16&lt;=0,0,IF(WEEKDAY(CK$6,1)=1,0,IF(WEEKDAY(CK$6,1)=7,0,MIN(8,CK17)*CK16))),MAX(0,40*MAX(1,CK16)-(CJ18)))))</f>
        <v>20</v>
      </c>
      <c r="CL19" s="63">
        <f>IF(AND(CL16=4,CL17=13),20,IF(CL16&lt;=0,0,IF(WEEKDAY(CL$6,1)=1,0,IF(WEEKDAY(CL$6,1)=7,CL16*CL17,MAX(0,CL17-8)*CL16)))+((IF(CL16&lt;=0,0,IF(WEEKDAY(CL$6,1)=1,0,IF(WEEKDAY(CL$6,1)=7,0,MIN(8,CL17)*CL16))))-MIN(IF(CL16&lt;=0,0,IF(WEEKDAY(CL$6,1)=1,0,IF(WEEKDAY(CL$6,1)=7,0,MIN(8,CL17)*CL16))),MAX(0,40*MAX(1,CL16)-(CJ18+CK18)))))</f>
        <v>20</v>
      </c>
      <c r="CM19" s="63">
        <f>IF(AND(CM16=4,CM17=13),20,IF(CM16&lt;=0,0,IF(WEEKDAY(CM$6,1)=1,0,IF(WEEKDAY(CM$6,1)=7,CM16*CM17,MAX(0,CM17-8)*CM16)))+((IF(CM16&lt;=0,0,IF(WEEKDAY(CM$6,1)=1,0,IF(WEEKDAY(CM$6,1)=7,0,MIN(8,CM17)*CM16))))-MIN(IF(CM16&lt;=0,0,IF(WEEKDAY(CM$6,1)=1,0,IF(WEEKDAY(CM$6,1)=7,0,MIN(8,CM17)*CM16))),MAX(0,40*MAX(1,CM16)-(CJ18+CK18+CL18)))))</f>
        <v>20</v>
      </c>
      <c r="CN19" s="63">
        <f>IF(AND(CN16=4,CN17=13),20,IF(CN16&lt;=0,0,IF(WEEKDAY(CN$6,1)=1,0,IF(WEEKDAY(CN$6,1)=7,CN16*CN17,MAX(0,CN17-8)*CN16)))+((IF(CN16&lt;=0,0,IF(WEEKDAY(CN$6,1)=1,0,IF(WEEKDAY(CN$6,1)=7,0,MIN(8,CN17)*CN16))))-MIN(IF(CN16&lt;=0,0,IF(WEEKDAY(CN$6,1)=1,0,IF(WEEKDAY(CN$6,1)=7,0,MIN(8,CN17)*CN16))),MAX(0,40*MAX(1,CN16)-(CJ18+CK18+CL18+CM18)))))</f>
        <v>20</v>
      </c>
      <c r="CO19" s="64">
        <f>IF(AND(CO16=4,CO17=13),52,IF(CO16&lt;=0,0,IF(WEEKDAY(CO$6,1)=1,0,IF(WEEKDAY(CO$6,1)=7,CO16*CO17,MAX(0,CO17-8)*CO16)))+((IF(CO16&lt;=0,0,IF(WEEKDAY(CO$6,1)=1,0,IF(WEEKDAY(CO$6,1)=7,0,MIN(8,CO17)*CO16))))-MIN(IF(CO16&lt;=0,0,IF(WEEKDAY(CO$6,1)=1,0,IF(WEEKDAY(CO$6,1)=7,0,MIN(8,CO17)*CO16))),MAX(0,40*MAX(1,CO16)-(CJ18+CK18+CL18+CM18+CN18)))))</f>
        <v>52</v>
      </c>
      <c r="CP19" s="64">
        <f>IF(AND(CP16=4,CP17=13),0,IF(CP16&lt;=0,0,IF(WEEKDAY(CP$6,1)=1,0,IF(WEEKDAY(CP$6,1)=7,CP16*CP17,MAX(0,CP17-8)*CP16)))+((IF(CP16&lt;=0,0,IF(WEEKDAY(CP$6,1)=1,0,IF(WEEKDAY(CP$6,1)=7,0,MIN(8,CP17)*CP16))))-MIN(IF(CP16&lt;=0,0,IF(WEEKDAY(CP$6,1)=1,0,IF(WEEKDAY(CP$6,1)=7,0,MIN(8,CP17)*CP16))),MAX(0,40*MAX(1,CP16)-(CJ18+CK18+CL18+CM18+CN18+CO18)))))</f>
        <v>0</v>
      </c>
      <c r="CQ19" s="63">
        <f>IF(AND(CQ16=4,CQ17=13),20,IF(CQ16&lt;=0,0,IF(WEEKDAY(CQ$6,1)=1,0,IF(WEEKDAY(CQ$6,1)=7,CQ16*CQ17,MAX(0,CQ17-8)*CQ16)))+((IF(CQ16&lt;=0,0,IF(WEEKDAY(CQ$6,1)=1,0,IF(WEEKDAY(CQ$6,1)=7,0,MIN(8,CQ17)*CQ16))))-MIN(IF(CQ16&lt;=0,0,IF(WEEKDAY(CQ$6,1)=1,0,IF(WEEKDAY(CQ$6,1)=7,0,MIN(8,CQ17)*CQ16))),MAX(0,40*MAX(1,CQ16)-(0)))))</f>
        <v>20</v>
      </c>
      <c r="CR19" s="63">
        <f>IF(AND(CR16=4,CR17=13),20,IF(CR16&lt;=0,0,IF(WEEKDAY(CR$6,1)=1,0,IF(WEEKDAY(CR$6,1)=7,CR16*CR17,MAX(0,CR17-8)*CR16)))+((IF(CR16&lt;=0,0,IF(WEEKDAY(CR$6,1)=1,0,IF(WEEKDAY(CR$6,1)=7,0,MIN(8,CR17)*CR16))))-MIN(IF(CR16&lt;=0,0,IF(WEEKDAY(CR$6,1)=1,0,IF(WEEKDAY(CR$6,1)=7,0,MIN(8,CR17)*CR16))),MAX(0,40*MAX(1,CR16)-(CQ18)))))</f>
        <v>20</v>
      </c>
      <c r="CS19" s="63">
        <f>IF(AND(CS16=4,CS17=13),20,IF(CS16&lt;=0,0,IF(WEEKDAY(CS$6,1)=1,0,IF(WEEKDAY(CS$6,1)=7,CS16*CS17,MAX(0,CS17-8)*CS16)))+((IF(CS16&lt;=0,0,IF(WEEKDAY(CS$6,1)=1,0,IF(WEEKDAY(CS$6,1)=7,0,MIN(8,CS17)*CS16))))-MIN(IF(CS16&lt;=0,0,IF(WEEKDAY(CS$6,1)=1,0,IF(WEEKDAY(CS$6,1)=7,0,MIN(8,CS17)*CS16))),MAX(0,40*MAX(1,CS16)-(CQ18+CR18)))))</f>
        <v>20</v>
      </c>
      <c r="CT19" s="63">
        <f>IF(AND(CT16=4,CT17=13),20,IF(CT16&lt;=0,0,IF(WEEKDAY(CT$6,1)=1,0,IF(WEEKDAY(CT$6,1)=7,CT16*CT17,MAX(0,CT17-8)*CT16)))+((IF(CT16&lt;=0,0,IF(WEEKDAY(CT$6,1)=1,0,IF(WEEKDAY(CT$6,1)=7,0,MIN(8,CT17)*CT16))))-MIN(IF(CT16&lt;=0,0,IF(WEEKDAY(CT$6,1)=1,0,IF(WEEKDAY(CT$6,1)=7,0,MIN(8,CT17)*CT16))),MAX(0,40*MAX(1,CT16)-(CQ18+CR18+CS18)))))</f>
        <v>20</v>
      </c>
      <c r="CU19" s="63">
        <f>IF(AND(CU16=4,CU17=13),20,IF(CU16&lt;=0,0,IF(WEEKDAY(CU$6,1)=1,0,IF(WEEKDAY(CU$6,1)=7,CU16*CU17,MAX(0,CU17-8)*CU16)))+((IF(CU16&lt;=0,0,IF(WEEKDAY(CU$6,1)=1,0,IF(WEEKDAY(CU$6,1)=7,0,MIN(8,CU17)*CU16))))-MIN(IF(CU16&lt;=0,0,IF(WEEKDAY(CU$6,1)=1,0,IF(WEEKDAY(CU$6,1)=7,0,MIN(8,CU17)*CU16))),MAX(0,40*MAX(1,CU16)-(CQ18+CR18+CS18+CT18)))))</f>
        <v>20</v>
      </c>
      <c r="CV19" s="64">
        <f>IF(AND(CV16=4,CV17=13),52,IF(CV16&lt;=0,0,IF(WEEKDAY(CV$6,1)=1,0,IF(WEEKDAY(CV$6,1)=7,CV16*CV17,MAX(0,CV17-8)*CV16)))+((IF(CV16&lt;=0,0,IF(WEEKDAY(CV$6,1)=1,0,IF(WEEKDAY(CV$6,1)=7,0,MIN(8,CV17)*CV16))))-MIN(IF(CV16&lt;=0,0,IF(WEEKDAY(CV$6,1)=1,0,IF(WEEKDAY(CV$6,1)=7,0,MIN(8,CV17)*CV16))),MAX(0,40*MAX(1,CV16)-(CQ18+CR18+CS18+CT18+CU18)))))</f>
        <v>52</v>
      </c>
      <c r="CW19" s="64">
        <f>IF(AND(CW16=4,CW17=13),0,IF(CW16&lt;=0,0,IF(WEEKDAY(CW$6,1)=1,0,IF(WEEKDAY(CW$6,1)=7,CW16*CW17,MAX(0,CW17-8)*CW16)))+((IF(CW16&lt;=0,0,IF(WEEKDAY(CW$6,1)=1,0,IF(WEEKDAY(CW$6,1)=7,0,MIN(8,CW17)*CW16))))-MIN(IF(CW16&lt;=0,0,IF(WEEKDAY(CW$6,1)=1,0,IF(WEEKDAY(CW$6,1)=7,0,MIN(8,CW17)*CW16))),MAX(0,40*MAX(1,CW16)-(CQ18+CR18+CS18+CT18+CU18+CV18)))))</f>
        <v>0</v>
      </c>
      <c r="CX19" s="63">
        <f>IF(AND(CX16=4,CX17=13),20,IF(CX16&lt;=0,0,IF(WEEKDAY(CX$6,1)=1,0,IF(WEEKDAY(CX$6,1)=7,CX16*CX17,MAX(0,CX17-8)*CX16)))+((IF(CX16&lt;=0,0,IF(WEEKDAY(CX$6,1)=1,0,IF(WEEKDAY(CX$6,1)=7,0,MIN(8,CX17)*CX16))))-MIN(IF(CX16&lt;=0,0,IF(WEEKDAY(CX$6,1)=1,0,IF(WEEKDAY(CX$6,1)=7,0,MIN(8,CX17)*CX16))),MAX(0,40*MAX(1,CX16)-(0)))))</f>
        <v>20</v>
      </c>
      <c r="CY19" s="63">
        <f>IF(AND(CY16=4,CY17=13),20,IF(CY16&lt;=0,0,IF(WEEKDAY(CY$6,1)=1,0,IF(WEEKDAY(CY$6,1)=7,CY16*CY17,MAX(0,CY17-8)*CY16)))+((IF(CY16&lt;=0,0,IF(WEEKDAY(CY$6,1)=1,0,IF(WEEKDAY(CY$6,1)=7,0,MIN(8,CY17)*CY16))))-MIN(IF(CY16&lt;=0,0,IF(WEEKDAY(CY$6,1)=1,0,IF(WEEKDAY(CY$6,1)=7,0,MIN(8,CY17)*CY16))),MAX(0,40*MAX(1,CY16)-(CX18)))))</f>
        <v>20</v>
      </c>
      <c r="CZ19" s="63">
        <f>IF(AND(CZ16=4,CZ17=13),20,IF(CZ16&lt;=0,0,IF(WEEKDAY(CZ$6,1)=1,0,IF(WEEKDAY(CZ$6,1)=7,CZ16*CZ17,MAX(0,CZ17-8)*CZ16)))+((IF(CZ16&lt;=0,0,IF(WEEKDAY(CZ$6,1)=1,0,IF(WEEKDAY(CZ$6,1)=7,0,MIN(8,CZ17)*CZ16))))-MIN(IF(CZ16&lt;=0,0,IF(WEEKDAY(CZ$6,1)=1,0,IF(WEEKDAY(CZ$6,1)=7,0,MIN(8,CZ17)*CZ16))),MAX(0,40*MAX(1,CZ16)-(CX18+CY18)))))</f>
        <v>20</v>
      </c>
      <c r="DA19" s="63">
        <f>IF(AND(DA16=4,DA17=13),20,IF(DA16&lt;=0,0,IF(WEEKDAY(DA$6,1)=1,0,IF(WEEKDAY(DA$6,1)=7,DA16*DA17,MAX(0,DA17-8)*DA16)))+((IF(DA16&lt;=0,0,IF(WEEKDAY(DA$6,1)=1,0,IF(WEEKDAY(DA$6,1)=7,0,MIN(8,DA17)*DA16))))-MIN(IF(DA16&lt;=0,0,IF(WEEKDAY(DA$6,1)=1,0,IF(WEEKDAY(DA$6,1)=7,0,MIN(8,DA17)*DA16))),MAX(0,40*MAX(1,DA16)-(CX18+CY18+CZ18)))))</f>
        <v>20</v>
      </c>
      <c r="DB19" s="63">
        <f>IF(AND(DB16=4,DB17=13),20,IF(DB16&lt;=0,0,IF(WEEKDAY(DB$6,1)=1,0,IF(WEEKDAY(DB$6,1)=7,DB16*DB17,MAX(0,DB17-8)*DB16)))+((IF(DB16&lt;=0,0,IF(WEEKDAY(DB$6,1)=1,0,IF(WEEKDAY(DB$6,1)=7,0,MIN(8,DB17)*DB16))))-MIN(IF(DB16&lt;=0,0,IF(WEEKDAY(DB$6,1)=1,0,IF(WEEKDAY(DB$6,1)=7,0,MIN(8,DB17)*DB16))),MAX(0,40*MAX(1,DB16)-(CX18+CY18+CZ18+DA18)))))</f>
        <v>20</v>
      </c>
      <c r="DC19" s="64">
        <f>IF(AND(DC16=4,DC17=13),52,IF(DC16&lt;=0,0,IF(WEEKDAY(DC$6,1)=1,0,IF(WEEKDAY(DC$6,1)=7,DC16*DC17,MAX(0,DC17-8)*DC16)))+((IF(DC16&lt;=0,0,IF(WEEKDAY(DC$6,1)=1,0,IF(WEEKDAY(DC$6,1)=7,0,MIN(8,DC17)*DC16))))-MIN(IF(DC16&lt;=0,0,IF(WEEKDAY(DC$6,1)=1,0,IF(WEEKDAY(DC$6,1)=7,0,MIN(8,DC17)*DC16))),MAX(0,40*MAX(1,DC16)-(CX18+CY18+CZ18+DA18+DB18)))))</f>
        <v>52</v>
      </c>
      <c r="DD19" s="64">
        <f>IF(AND(DD16=2,DD17=13),0,IF(DD16&lt;=0,0,IF(WEEKDAY(DD$6,1)=1,0,IF(WEEKDAY(DD$6,1)=7,DD16*DD17,MAX(0,DD17-8)*DD16)))+((IF(DD16&lt;=0,0,IF(WEEKDAY(DD$6,1)=1,0,IF(WEEKDAY(DD$6,1)=7,0,MIN(8,DD17)*DD16))))-MIN(IF(DD16&lt;=0,0,IF(WEEKDAY(DD$6,1)=1,0,IF(WEEKDAY(DD$6,1)=7,0,MIN(8,DD17)*DD16))),MAX(0,40*MAX(1,DD16)-(0)))))</f>
        <v>0</v>
      </c>
      <c r="DE19" s="63">
        <f>IF(AND(DE16=2,DE17=13),10,IF(DE16&lt;=0,0,IF(WEEKDAY(DE$6,1)=1,0,IF(WEEKDAY(DE$6,1)=7,DE16*DE17,MAX(0,DE17-8)*DE16)))+((IF(DE16&lt;=0,0,IF(WEEKDAY(DE$6,1)=1,0,IF(WEEKDAY(DE$6,1)=7,0,MIN(8,DE17)*DE16))))-MIN(IF(DE16&lt;=0,0,IF(WEEKDAY(DE$6,1)=1,0,IF(WEEKDAY(DE$6,1)=7,0,MIN(8,DE17)*DE16))),MAX(0,40*MAX(1,DE16)-(0)))))</f>
        <v>10</v>
      </c>
      <c r="DF19" s="63">
        <f>IF(AND(DF16=2,DF17=13),10,IF(DF16&lt;=0,0,IF(WEEKDAY(DF$6,1)=1,0,IF(WEEKDAY(DF$6,1)=7,DF16*DF17,MAX(0,DF17-8)*DF16)))+((IF(DF16&lt;=0,0,IF(WEEKDAY(DF$6,1)=1,0,IF(WEEKDAY(DF$6,1)=7,0,MIN(8,DF17)*DF16))))-MIN(IF(DF16&lt;=0,0,IF(WEEKDAY(DF$6,1)=1,0,IF(WEEKDAY(DF$6,1)=7,0,MIN(8,DF17)*DF16))),MAX(0,40*MAX(1,DF16)-(DE18)))))</f>
        <v>10</v>
      </c>
      <c r="DG19" s="63">
        <f>IF(AND(DG16=2,DG17=13),10,IF(DG16&lt;=0,0,IF(WEEKDAY(DG$6,1)=1,0,IF(WEEKDAY(DG$6,1)=7,DG16*DG17,MAX(0,DG17-8)*DG16)))+((IF(DG16&lt;=0,0,IF(WEEKDAY(DG$6,1)=1,0,IF(WEEKDAY(DG$6,1)=7,0,MIN(8,DG17)*DG16))))-MIN(IF(DG16&lt;=0,0,IF(WEEKDAY(DG$6,1)=1,0,IF(WEEKDAY(DG$6,1)=7,0,MIN(8,DG17)*DG16))),MAX(0,40*MAX(1,DG16)-(DE18+DF18)))))</f>
        <v>10</v>
      </c>
      <c r="DH19" s="63">
        <f>IF(AND(DH16=2,DH17=13),10,IF(DH16&lt;=0,0,IF(WEEKDAY(DH$6,1)=1,0,IF(WEEKDAY(DH$6,1)=7,DH16*DH17,MAX(0,DH17-8)*DH16)))+((IF(DH16&lt;=0,0,IF(WEEKDAY(DH$6,1)=1,0,IF(WEEKDAY(DH$6,1)=7,0,MIN(8,DH17)*DH16))))-MIN(IF(DH16&lt;=0,0,IF(WEEKDAY(DH$6,1)=1,0,IF(WEEKDAY(DH$6,1)=7,0,MIN(8,DH17)*DH16))),MAX(0,40*MAX(1,DH16)-(DE18+DF18+DG18)))))</f>
        <v>10</v>
      </c>
      <c r="DI19" s="63">
        <f>IF(AND(DI16=2,DI17=13),10,IF(DI16&lt;=0,0,IF(WEEKDAY(DI$6,1)=1,0,IF(WEEKDAY(DI$6,1)=7,DI16*DI17,MAX(0,DI17-8)*DI16)))+((IF(DI16&lt;=0,0,IF(WEEKDAY(DI$6,1)=1,0,IF(WEEKDAY(DI$6,1)=7,0,MIN(8,DI17)*DI16))))-MIN(IF(DI16&lt;=0,0,IF(WEEKDAY(DI$6,1)=1,0,IF(WEEKDAY(DI$6,1)=7,0,MIN(8,DI17)*DI16))),MAX(0,40*MAX(1,DI16)-(DE18+DF18+DG18+DH18)))))</f>
        <v>10</v>
      </c>
      <c r="DJ19" s="64">
        <f>IF(AND(DJ16=2,DJ17=13),26,IF(DJ16&lt;=0,0,IF(WEEKDAY(DJ$6,1)=1,0,IF(WEEKDAY(DJ$6,1)=7,DJ16*DJ17,MAX(0,DJ17-8)*DJ16)))+((IF(DJ16&lt;=0,0,IF(WEEKDAY(DJ$6,1)=1,0,IF(WEEKDAY(DJ$6,1)=7,0,MIN(8,DJ17)*DJ16))))-MIN(IF(DJ16&lt;=0,0,IF(WEEKDAY(DJ$6,1)=1,0,IF(WEEKDAY(DJ$6,1)=7,0,MIN(8,DJ17)*DJ16))),MAX(0,40*MAX(1,DJ16)-(DE18+DF18+DG18+DH18+DI18)))))</f>
        <v>26</v>
      </c>
      <c r="DK19" s="64">
        <f>IF(AND(DK16=2,DK17=13),0,IF(DK16&lt;=0,0,IF(WEEKDAY(DK$6,1)=1,0,IF(WEEKDAY(DK$6,1)=7,DK16*DK17,MAX(0,DK17-8)*DK16)))+((IF(DK16&lt;=0,0,IF(WEEKDAY(DK$6,1)=1,0,IF(WEEKDAY(DK$6,1)=7,0,MIN(8,DK17)*DK16))))-MIN(IF(DK16&lt;=0,0,IF(WEEKDAY(DK$6,1)=1,0,IF(WEEKDAY(DK$6,1)=7,0,MIN(8,DK17)*DK16))),MAX(0,40*MAX(1,DK16)-(DE18+DF18+DG18+DH18+DI18+DJ18)))))</f>
        <v>0</v>
      </c>
      <c r="DL19" s="63">
        <f>IF(AND(DL16=2,DL17=13),10,IF(DL16&lt;=0,0,IF(WEEKDAY(DL$6,1)=1,0,IF(WEEKDAY(DL$6,1)=7,DL16*DL17,MAX(0,DL17-8)*DL16)))+((IF(DL16&lt;=0,0,IF(WEEKDAY(DL$6,1)=1,0,IF(WEEKDAY(DL$6,1)=7,0,MIN(8,DL17)*DL16))))-MIN(IF(DL16&lt;=0,0,IF(WEEKDAY(DL$6,1)=1,0,IF(WEEKDAY(DL$6,1)=7,0,MIN(8,DL17)*DL16))),MAX(0,40*MAX(1,DL16)-(0)))))</f>
        <v>10</v>
      </c>
      <c r="DM19" s="63">
        <f>IF(AND(DM16=2,DM17=13),10,IF(DM16&lt;=0,0,IF(WEEKDAY(DM$6,1)=1,0,IF(WEEKDAY(DM$6,1)=7,DM16*DM17,MAX(0,DM17-8)*DM16)))+((IF(DM16&lt;=0,0,IF(WEEKDAY(DM$6,1)=1,0,IF(WEEKDAY(DM$6,1)=7,0,MIN(8,DM17)*DM16))))-MIN(IF(DM16&lt;=0,0,IF(WEEKDAY(DM$6,1)=1,0,IF(WEEKDAY(DM$6,1)=7,0,MIN(8,DM17)*DM16))),MAX(0,40*MAX(1,DM16)-(DL18)))))</f>
        <v>10</v>
      </c>
      <c r="DN19" s="63">
        <f>IF(AND(DN16=2,DN17=13),10,IF(DN16&lt;=0,0,IF(WEEKDAY(DN$6,1)=1,0,IF(WEEKDAY(DN$6,1)=7,DN16*DN17,MAX(0,DN17-8)*DN16)))+((IF(DN16&lt;=0,0,IF(WEEKDAY(DN$6,1)=1,0,IF(WEEKDAY(DN$6,1)=7,0,MIN(8,DN17)*DN16))))-MIN(IF(DN16&lt;=0,0,IF(WEEKDAY(DN$6,1)=1,0,IF(WEEKDAY(DN$6,1)=7,0,MIN(8,DN17)*DN16))),MAX(0,40*MAX(1,DN16)-(DL18+DM18)))))</f>
        <v>10</v>
      </c>
      <c r="DO19" s="63">
        <f>IF(AND(DO16=2,DO17=13),10,IF(DO16&lt;=0,0,IF(WEEKDAY(DO$6,1)=1,0,IF(WEEKDAY(DO$6,1)=7,DO16*DO17,MAX(0,DO17-8)*DO16)))+((IF(DO16&lt;=0,0,IF(WEEKDAY(DO$6,1)=1,0,IF(WEEKDAY(DO$6,1)=7,0,MIN(8,DO17)*DO16))))-MIN(IF(DO16&lt;=0,0,IF(WEEKDAY(DO$6,1)=1,0,IF(WEEKDAY(DO$6,1)=7,0,MIN(8,DO17)*DO16))),MAX(0,40*MAX(1,DO16)-(DL18+DM18+DN18)))))</f>
        <v>10</v>
      </c>
      <c r="DP19" s="63">
        <f>IF(AND(DP16=2,DP17=13),10,IF(DP16&lt;=0,0,IF(WEEKDAY(DP$6,1)=1,0,IF(WEEKDAY(DP$6,1)=7,DP16*DP17,MAX(0,DP17-8)*DP16)))+((IF(DP16&lt;=0,0,IF(WEEKDAY(DP$6,1)=1,0,IF(WEEKDAY(DP$6,1)=7,0,MIN(8,DP17)*DP16))))-MIN(IF(DP16&lt;=0,0,IF(WEEKDAY(DP$6,1)=1,0,IF(WEEKDAY(DP$6,1)=7,0,MIN(8,DP17)*DP16))),MAX(0,40*MAX(1,DP16)-(DL18+DM18+DN18+DO18)))))</f>
        <v>10</v>
      </c>
      <c r="DQ19" s="64">
        <f>IF(AND(DQ16=2,DQ17=13),26,IF(DQ16&lt;=0,0,IF(WEEKDAY(DQ$6,1)=1,0,IF(WEEKDAY(DQ$6,1)=7,DQ16*DQ17,MAX(0,DQ17-8)*DQ16)))+((IF(DQ16&lt;=0,0,IF(WEEKDAY(DQ$6,1)=1,0,IF(WEEKDAY(DQ$6,1)=7,0,MIN(8,DQ17)*DQ16))))-MIN(IF(DQ16&lt;=0,0,IF(WEEKDAY(DQ$6,1)=1,0,IF(WEEKDAY(DQ$6,1)=7,0,MIN(8,DQ17)*DQ16))),MAX(0,40*MAX(1,DQ16)-(DL18+DM18+DN18+DO18+DP18)))))</f>
        <v>26</v>
      </c>
      <c r="DR19" s="64">
        <f>IF(AND(DR16=2,DR17=13),0,IF(DR16&lt;=0,0,IF(WEEKDAY(DR$6,1)=1,0,IF(WEEKDAY(DR$6,1)=7,DR16*DR17,MAX(0,DR17-8)*DR16)))+((IF(DR16&lt;=0,0,IF(WEEKDAY(DR$6,1)=1,0,IF(WEEKDAY(DR$6,1)=7,0,MIN(8,DR17)*DR16))))-MIN(IF(DR16&lt;=0,0,IF(WEEKDAY(DR$6,1)=1,0,IF(WEEKDAY(DR$6,1)=7,0,MIN(8,DR17)*DR16))),MAX(0,40*MAX(1,DR16)-(DL18+DM18+DN18+DO18+DP18+DQ18)))))</f>
        <v>0</v>
      </c>
      <c r="DS19" s="63">
        <f>IF(AND(DS16=2,DS17=13),10,IF(DS16&lt;=0,0,IF(WEEKDAY(DS$6,1)=1,0,IF(WEEKDAY(DS$6,1)=7,DS16*DS17,MAX(0,DS17-8)*DS16)))+((IF(DS16&lt;=0,0,IF(WEEKDAY(DS$6,1)=1,0,IF(WEEKDAY(DS$6,1)=7,0,MIN(8,DS17)*DS16))))-MIN(IF(DS16&lt;=0,0,IF(WEEKDAY(DS$6,1)=1,0,IF(WEEKDAY(DS$6,1)=7,0,MIN(8,DS17)*DS16))),MAX(0,40*MAX(1,DS16)-(0)))))</f>
        <v>10</v>
      </c>
      <c r="DT19" s="63">
        <f>IF(AND(DT16=0,DT17=0),0,IF(DT16&lt;=0,0,IF(WEEKDAY(DT$6,1)=1,0,IF(WEEKDAY(DT$6,1)=7,DT16*DT17,MAX(0,DT17-8)*DT16)))+((IF(DT16&lt;=0,0,IF(WEEKDAY(DT$6,1)=1,0,IF(WEEKDAY(DT$6,1)=7,0,MIN(8,DT17)*DT16))))-MIN(IF(DT16&lt;=0,0,IF(WEEKDAY(DT$6,1)=1,0,IF(WEEKDAY(DT$6,1)=7,0,MIN(8,DT17)*DT16))),MAX(0,40*MAX(1,DT16)-(0)))))</f>
        <v>0</v>
      </c>
      <c r="DU19" s="63">
        <f>IF(AND(DU16=0,DU17=0),0,IF(DU16&lt;=0,0,IF(WEEKDAY(DU$6,1)=1,0,IF(WEEKDAY(DU$6,1)=7,DU16*DU17,MAX(0,DU17-8)*DU16)))+((IF(DU16&lt;=0,0,IF(WEEKDAY(DU$6,1)=1,0,IF(WEEKDAY(DU$6,1)=7,0,MIN(8,DU17)*DU16))))-MIN(IF(DU16&lt;=0,0,IF(WEEKDAY(DU$6,1)=1,0,IF(WEEKDAY(DU$6,1)=7,0,MIN(8,DU17)*DU16))),MAX(0,40*MAX(1,DU16)-(DT18)))))</f>
        <v>0</v>
      </c>
      <c r="DV19" s="63">
        <f>IF(AND(DV16=0,DV17=0),0,IF(DV16&lt;=0,0,IF(WEEKDAY(DV$6,1)=1,0,IF(WEEKDAY(DV$6,1)=7,DV16*DV17,MAX(0,DV17-8)*DV16)))+((IF(DV16&lt;=0,0,IF(WEEKDAY(DV$6,1)=1,0,IF(WEEKDAY(DV$6,1)=7,0,MIN(8,DV17)*DV16))))-MIN(IF(DV16&lt;=0,0,IF(WEEKDAY(DV$6,1)=1,0,IF(WEEKDAY(DV$6,1)=7,0,MIN(8,DV17)*DV16))),MAX(0,40*MAX(1,DV16)-(DT18+DU18)))))</f>
        <v>0</v>
      </c>
      <c r="DW19" s="63">
        <f>IF(AND(DW16=0,DW17=0),0,IF(DW16&lt;=0,0,IF(WEEKDAY(DW$6,1)=1,0,IF(WEEKDAY(DW$6,1)=7,DW16*DW17,MAX(0,DW17-8)*DW16)))+((IF(DW16&lt;=0,0,IF(WEEKDAY(DW$6,1)=1,0,IF(WEEKDAY(DW$6,1)=7,0,MIN(8,DW17)*DW16))))-MIN(IF(DW16&lt;=0,0,IF(WEEKDAY(DW$6,1)=1,0,IF(WEEKDAY(DW$6,1)=7,0,MIN(8,DW17)*DW16))),MAX(0,40*MAX(1,DW16)-(DT18+DU18+DV18)))))</f>
        <v>0</v>
      </c>
      <c r="DX19" s="64">
        <f>IF(AND(DX16=0,DX17=0),0,IF(DX16&lt;=0,0,IF(WEEKDAY(DX$6,1)=1,0,IF(WEEKDAY(DX$6,1)=7,DX16*DX17,MAX(0,DX17-8)*DX16)))+((IF(DX16&lt;=0,0,IF(WEEKDAY(DX$6,1)=1,0,IF(WEEKDAY(DX$6,1)=7,0,MIN(8,DX17)*DX16))))-MIN(IF(DX16&lt;=0,0,IF(WEEKDAY(DX$6,1)=1,0,IF(WEEKDAY(DX$6,1)=7,0,MIN(8,DX17)*DX16))),MAX(0,40*MAX(1,DX16)-(DT18+DU18+DV18+DW18)))))</f>
        <v>0</v>
      </c>
      <c r="DY19" s="64">
        <f>IF(AND(DY16=0,DY17=0),0,IF(DY16&lt;=0,0,IF(WEEKDAY(DY$6,1)=1,0,IF(WEEKDAY(DY$6,1)=7,DY16*DY17,MAX(0,DY17-8)*DY16)))+((IF(DY16&lt;=0,0,IF(WEEKDAY(DY$6,1)=1,0,IF(WEEKDAY(DY$6,1)=7,0,MIN(8,DY17)*DY16))))-MIN(IF(DY16&lt;=0,0,IF(WEEKDAY(DY$6,1)=1,0,IF(WEEKDAY(DY$6,1)=7,0,MIN(8,DY17)*DY16))),MAX(0,40*MAX(1,DY16)-(DT18+DU18+DV18+DW18+DX18)))))</f>
        <v>0</v>
      </c>
      <c r="DZ19" s="63">
        <f>IF(AND(DZ16=0,DZ17=0),0,IF(DZ16&lt;=0,0,IF(WEEKDAY(DZ$6,1)=1,0,IF(WEEKDAY(DZ$6,1)=7,DZ16*DZ17,MAX(0,DZ17-8)*DZ16)))+((IF(DZ16&lt;=0,0,IF(WEEKDAY(DZ$6,1)=1,0,IF(WEEKDAY(DZ$6,1)=7,0,MIN(8,DZ17)*DZ16))))-MIN(IF(DZ16&lt;=0,0,IF(WEEKDAY(DZ$6,1)=1,0,IF(WEEKDAY(DZ$6,1)=7,0,MIN(8,DZ17)*DZ16))),MAX(0,40*MAX(1,DZ16)-(0)))))</f>
        <v>0</v>
      </c>
      <c r="EA19" s="63">
        <f>IF(AND(EA16=0,EA17=0),0,IF(EA16&lt;=0,0,IF(WEEKDAY(EA$6,1)=1,0,IF(WEEKDAY(EA$6,1)=7,EA16*EA17,MAX(0,EA17-8)*EA16)))+((IF(EA16&lt;=0,0,IF(WEEKDAY(EA$6,1)=1,0,IF(WEEKDAY(EA$6,1)=7,0,MIN(8,EA17)*EA16))))-MIN(IF(EA16&lt;=0,0,IF(WEEKDAY(EA$6,1)=1,0,IF(WEEKDAY(EA$6,1)=7,0,MIN(8,EA17)*EA16))),MAX(0,40*MAX(1,EA16)-(DZ18)))))</f>
        <v>0</v>
      </c>
      <c r="EB19" s="63">
        <f>IF(AND(EB16=0,EB17=0),0,IF(EB16&lt;=0,0,IF(WEEKDAY(EB$6,1)=1,0,IF(WEEKDAY(EB$6,1)=7,EB16*EB17,MAX(0,EB17-8)*EB16)))+((IF(EB16&lt;=0,0,IF(WEEKDAY(EB$6,1)=1,0,IF(WEEKDAY(EB$6,1)=7,0,MIN(8,EB17)*EB16))))-MIN(IF(EB16&lt;=0,0,IF(WEEKDAY(EB$6,1)=1,0,IF(WEEKDAY(EB$6,1)=7,0,MIN(8,EB17)*EB16))),MAX(0,40*MAX(1,EB16)-(DZ18+EA18)))))</f>
        <v>0</v>
      </c>
      <c r="EC19" s="63">
        <f>IF(AND(EC16=0,EC17=0),0,IF(EC16&lt;=0,0,IF(WEEKDAY(EC$6,1)=1,0,IF(WEEKDAY(EC$6,1)=7,EC16*EC17,MAX(0,EC17-8)*EC16)))+((IF(EC16&lt;=0,0,IF(WEEKDAY(EC$6,1)=1,0,IF(WEEKDAY(EC$6,1)=7,0,MIN(8,EC17)*EC16))))-MIN(IF(EC16&lt;=0,0,IF(WEEKDAY(EC$6,1)=1,0,IF(WEEKDAY(EC$6,1)=7,0,MIN(8,EC17)*EC16))),MAX(0,40*MAX(1,EC16)-(DZ18+EA18+EB18)))))</f>
        <v>0</v>
      </c>
      <c r="ED19" s="63">
        <f>IF(AND(ED16=0,ED17=0),0,IF(ED16&lt;=0,0,IF(WEEKDAY(ED$6,1)=1,0,IF(WEEKDAY(ED$6,1)=7,ED16*ED17,MAX(0,ED17-8)*ED16)))+((IF(ED16&lt;=0,0,IF(WEEKDAY(ED$6,1)=1,0,IF(WEEKDAY(ED$6,1)=7,0,MIN(8,ED17)*ED16))))-MIN(IF(ED16&lt;=0,0,IF(WEEKDAY(ED$6,1)=1,0,IF(WEEKDAY(ED$6,1)=7,0,MIN(8,ED17)*ED16))),MAX(0,40*MAX(1,ED16)-(DZ18+EA18+EB18+EC18)))))</f>
        <v>0</v>
      </c>
      <c r="EE19" s="64">
        <f>IF(AND(EE16=0,EE17=0),0,IF(EE16&lt;=0,0,IF(WEEKDAY(EE$6,1)=1,0,IF(WEEKDAY(EE$6,1)=7,EE16*EE17,MAX(0,EE17-8)*EE16)))+((IF(EE16&lt;=0,0,IF(WEEKDAY(EE$6,1)=1,0,IF(WEEKDAY(EE$6,1)=7,0,MIN(8,EE17)*EE16))))-MIN(IF(EE16&lt;=0,0,IF(WEEKDAY(EE$6,1)=1,0,IF(WEEKDAY(EE$6,1)=7,0,MIN(8,EE17)*EE16))),MAX(0,40*MAX(1,EE16)-(DZ18+EA18+EB18+EC18+ED18)))))</f>
        <v>0</v>
      </c>
      <c r="EF19" s="64">
        <f>IF(AND(EF16=0,EF17=0),0,IF(EF16&lt;=0,0,IF(WEEKDAY(EF$6,1)=1,0,IF(WEEKDAY(EF$6,1)=7,EF16*EF17,MAX(0,EF17-8)*EF16)))+((IF(EF16&lt;=0,0,IF(WEEKDAY(EF$6,1)=1,0,IF(WEEKDAY(EF$6,1)=7,0,MIN(8,EF17)*EF16))))-MIN(IF(EF16&lt;=0,0,IF(WEEKDAY(EF$6,1)=1,0,IF(WEEKDAY(EF$6,1)=7,0,MIN(8,EF17)*EF16))),MAX(0,40*MAX(1,EF16)-(DZ18+EA18+EB18+EC18+ED18+EE18)))))</f>
        <v>0</v>
      </c>
      <c r="EG19" s="63">
        <f>IF(AND(EG16=0,EG17=0),0,IF(EG16&lt;=0,0,IF(WEEKDAY(EG$6,1)=1,0,IF(WEEKDAY(EG$6,1)=7,EG16*EG17,MAX(0,EG17-8)*EG16)))+((IF(EG16&lt;=0,0,IF(WEEKDAY(EG$6,1)=1,0,IF(WEEKDAY(EG$6,1)=7,0,MIN(8,EG17)*EG16))))-MIN(IF(EG16&lt;=0,0,IF(WEEKDAY(EG$6,1)=1,0,IF(WEEKDAY(EG$6,1)=7,0,MIN(8,EG17)*EG16))),MAX(0,40*MAX(1,EG16)-(0)))))</f>
        <v>0</v>
      </c>
      <c r="EH19" s="63">
        <f>IF(AND(EH16=0,EH17=0),0,IF(EH16&lt;=0,0,IF(WEEKDAY(EH$6,1)=1,0,IF(WEEKDAY(EH$6,1)=7,EH16*EH17,MAX(0,EH17-8)*EH16)))+((IF(EH16&lt;=0,0,IF(WEEKDAY(EH$6,1)=1,0,IF(WEEKDAY(EH$6,1)=7,0,MIN(8,EH17)*EH16))))-MIN(IF(EH16&lt;=0,0,IF(WEEKDAY(EH$6,1)=1,0,IF(WEEKDAY(EH$6,1)=7,0,MIN(8,EH17)*EH16))),MAX(0,40*MAX(1,EH16)-(EG18)))))</f>
        <v>0</v>
      </c>
      <c r="EI19" s="63">
        <f>IF(AND(EI16=0,EI17=0),0,IF(EI16&lt;=0,0,IF(WEEKDAY(EI$6,1)=1,0,IF(WEEKDAY(EI$6,1)=7,EI16*EI17,MAX(0,EI17-8)*EI16)))+((IF(EI16&lt;=0,0,IF(WEEKDAY(EI$6,1)=1,0,IF(WEEKDAY(EI$6,1)=7,0,MIN(8,EI17)*EI16))))-MIN(IF(EI16&lt;=0,0,IF(WEEKDAY(EI$6,1)=1,0,IF(WEEKDAY(EI$6,1)=7,0,MIN(8,EI17)*EI16))),MAX(0,40*MAX(1,EI16)-(EG18+EH18)))))</f>
        <v>0</v>
      </c>
      <c r="EJ19" s="63">
        <f>IF(AND(EJ16=0,EJ17=0),0,IF(EJ16&lt;=0,0,IF(WEEKDAY(EJ$6,1)=1,0,IF(WEEKDAY(EJ$6,1)=7,EJ16*EJ17,MAX(0,EJ17-8)*EJ16)))+((IF(EJ16&lt;=0,0,IF(WEEKDAY(EJ$6,1)=1,0,IF(WEEKDAY(EJ$6,1)=7,0,MIN(8,EJ17)*EJ16))))-MIN(IF(EJ16&lt;=0,0,IF(WEEKDAY(EJ$6,1)=1,0,IF(WEEKDAY(EJ$6,1)=7,0,MIN(8,EJ17)*EJ16))),MAX(0,40*MAX(1,EJ16)-(EG18+EH18+EI18)))))</f>
        <v>0</v>
      </c>
      <c r="EK19" s="65">
        <f>IF(AND(EK16=0,EK17=0),0,IF(EK16&lt;=0,0,IF(WEEKDAY(EK$6,1)=1,0,IF(WEEKDAY(EK$6,1)=7,EK16*EK17,MAX(0,EK17-8)*EK16)))+((IF(EK16&lt;=0,0,IF(WEEKDAY(EK$6,1)=1,0,IF(WEEKDAY(EK$6,1)=7,0,MIN(8,EK17)*EK16))))-MIN(IF(EK16&lt;=0,0,IF(WEEKDAY(EK$6,1)=1,0,IF(WEEKDAY(EK$6,1)=7,0,MIN(8,EK17)*EK16))),MAX(0,40*MAX(1,EK16)-(EG18+EH18+EI18+EJ18)))))</f>
        <v>0</v>
      </c>
      <c r="OU19" s="28" t="s">
        <v>107</v>
      </c>
    </row>
    <row r="20" ht="16" customHeight="1" spans="1:411" x14ac:dyDescent="0.25">
      <c r="A20" s="74"/>
      <c r="B20" s="46"/>
      <c r="C20" s="61">
        <f>H15*N(D20)</f>
        <v>80152.8</v>
      </c>
      <c r="D20" s="61">
        <f>IF(TRIM(B15)="","No rate",IFERROR(INDEX('Rate Tables'!E$7:E$158,MATCH(B15,'Rate Tables'!A$7:A$158,0)),"No rate"))</f>
        <v>205.52</v>
      </c>
      <c r="E20" s="55" t="s">
        <v>64</v>
      </c>
      <c r="F20" s="49"/>
      <c r="G20" s="49"/>
      <c r="H20" s="49"/>
      <c r="I20" s="49"/>
      <c r="J20" s="50"/>
      <c r="K20" s="62">
        <f>IF(AND(K16=0,K17=0),0,IF(K16&lt;=0,0,IF(WEEKDAY(K$6,1)=1,K16*K17,0)))</f>
        <v>0</v>
      </c>
      <c r="L20" s="63">
        <f>IF(AND(L16=0,L17=0),0,IF(L16&lt;=0,0,IF(WEEKDAY(L$6,1)=1,L16*L17,0)))</f>
        <v>0</v>
      </c>
      <c r="M20" s="63">
        <f>IF(AND(M16=0,M17=0),0,IF(M16&lt;=0,0,IF(WEEKDAY(M$6,1)=1,M16*M17,0)))</f>
        <v>0</v>
      </c>
      <c r="N20" s="63">
        <f>IF(AND(N16=0,N17=0),0,IF(N16&lt;=0,0,IF(WEEKDAY(N$6,1)=1,N16*N17,0)))</f>
        <v>0</v>
      </c>
      <c r="O20" s="63">
        <f>IF(AND(O16=0,O17=0),0,IF(O16&lt;=0,0,IF(WEEKDAY(O$6,1)=1,O16*O17,0)))</f>
        <v>0</v>
      </c>
      <c r="P20" s="64">
        <f>IF(AND(P16=0,P17=0),0,IF(P16&lt;=0,0,IF(WEEKDAY(P$6,1)=1,P16*P17,0)))</f>
        <v>0</v>
      </c>
      <c r="Q20" s="64">
        <f>IF(AND(Q16=0,Q17=0),0,IF(Q16&lt;=0,0,IF(WEEKDAY(Q$6,1)=1,Q16*Q17,0)))</f>
        <v>0</v>
      </c>
      <c r="R20" s="63">
        <f>IF(AND(R16=0,R17=0),0,IF(R16&lt;=0,0,IF(WEEKDAY(R$6,1)=1,R16*R17,0)))</f>
        <v>0</v>
      </c>
      <c r="S20" s="63">
        <f>IF(AND(S16=0,S17=0),0,IF(S16&lt;=0,0,IF(WEEKDAY(S$6,1)=1,S16*S17,0)))</f>
        <v>0</v>
      </c>
      <c r="T20" s="63">
        <f>IF(AND(T16=0,T17=0),0,IF(T16&lt;=0,0,IF(WEEKDAY(T$6,1)=1,T16*T17,0)))</f>
        <v>0</v>
      </c>
      <c r="U20" s="63">
        <f>IF(AND(U16=0,U17=0),0,IF(U16&lt;=0,0,IF(WEEKDAY(U$6,1)=1,U16*U17,0)))</f>
        <v>0</v>
      </c>
      <c r="V20" s="63">
        <f>IF(AND(V16=0,V17=0),0,IF(V16&lt;=0,0,IF(WEEKDAY(V$6,1)=1,V16*V17,0)))</f>
        <v>0</v>
      </c>
      <c r="W20" s="64">
        <f>IF(AND(W16=0,W17=0),0,IF(W16&lt;=0,0,IF(WEEKDAY(W$6,1)=1,W16*W17,0)))</f>
        <v>0</v>
      </c>
      <c r="X20" s="64">
        <f>IF(AND(X16=0,X17=0),0,IF(X16&lt;=0,0,IF(WEEKDAY(X$6,1)=1,X16*X17,0)))</f>
        <v>0</v>
      </c>
      <c r="Y20" s="63">
        <f>IF(AND(Y16=0,Y17=0),0,IF(Y16&lt;=0,0,IF(WEEKDAY(Y$6,1)=1,Y16*Y17,0)))</f>
        <v>0</v>
      </c>
      <c r="Z20" s="63">
        <f>IF(AND(Z16=0,Z17=0),0,IF(Z16&lt;=0,0,IF(WEEKDAY(Z$6,1)=1,Z16*Z17,0)))</f>
        <v>0</v>
      </c>
      <c r="AA20" s="63">
        <f>IF(AND(AA16=0,AA17=0),0,IF(AA16&lt;=0,0,IF(WEEKDAY(AA$6,1)=1,AA16*AA17,0)))</f>
        <v>0</v>
      </c>
      <c r="AB20" s="63">
        <f>IF(AND(AB16=0,AB17=0),0,IF(AB16&lt;=0,0,IF(WEEKDAY(AB$6,1)=1,AB16*AB17,0)))</f>
        <v>0</v>
      </c>
      <c r="AC20" s="63">
        <f>IF(AND(AC16=0,AC17=0),0,IF(AC16&lt;=0,0,IF(WEEKDAY(AC$6,1)=1,AC16*AC17,0)))</f>
        <v>0</v>
      </c>
      <c r="AD20" s="64">
        <f>IF(AND(AD16=0,AD17=0),0,IF(AD16&lt;=0,0,IF(WEEKDAY(AD$6,1)=1,AD16*AD17,0)))</f>
        <v>0</v>
      </c>
      <c r="AE20" s="64">
        <f>IF(AND(AE16=0,AE17=0),0,IF(AE16&lt;=0,0,IF(WEEKDAY(AE$6,1)=1,AE16*AE17,0)))</f>
        <v>0</v>
      </c>
      <c r="AF20" s="63">
        <f>IF(AND(AF16=0,AF17=0),0,IF(AF16&lt;=0,0,IF(WEEKDAY(AF$6,1)=1,AF16*AF17,0)))</f>
        <v>0</v>
      </c>
      <c r="AG20" s="63">
        <f>IF(AND(AG16=0,AG17=0),0,IF(AG16&lt;=0,0,IF(WEEKDAY(AG$6,1)=1,AG16*AG17,0)))</f>
        <v>0</v>
      </c>
      <c r="AH20" s="63">
        <f>IF(AND(AH16=0,AH17=0),0,IF(AH16&lt;=0,0,IF(WEEKDAY(AH$6,1)=1,AH16*AH17,0)))</f>
        <v>0</v>
      </c>
      <c r="AI20" s="63">
        <f>IF(AND(AI16=0,AI17=0),0,IF(AI16&lt;=0,0,IF(WEEKDAY(AI$6,1)=1,AI16*AI17,0)))</f>
        <v>0</v>
      </c>
      <c r="AJ20" s="63">
        <f>IF(AND(AJ16=0,AJ17=0),0,IF(AJ16&lt;=0,0,IF(WEEKDAY(AJ$6,1)=1,AJ16*AJ17,0)))</f>
        <v>0</v>
      </c>
      <c r="AK20" s="64">
        <f>IF(AND(AK16=0,AK17=0),0,IF(AK16&lt;=0,0,IF(WEEKDAY(AK$6,1)=1,AK16*AK17,0)))</f>
        <v>0</v>
      </c>
      <c r="AL20" s="64">
        <f>IF(AND(AL16=0,AL17=0),0,IF(AL16&lt;=0,0,IF(WEEKDAY(AL$6,1)=1,AL16*AL17,0)))</f>
        <v>0</v>
      </c>
      <c r="AM20" s="63">
        <f>IF(AND(AM16=0,AM17=0),0,IF(AM16&lt;=0,0,IF(WEEKDAY(AM$6,1)=1,AM16*AM17,0)))</f>
        <v>0</v>
      </c>
      <c r="AN20" s="63">
        <f>IF(AND(AN16=0,AN17=0),0,IF(AN16&lt;=0,0,IF(WEEKDAY(AN$6,1)=1,AN16*AN17,0)))</f>
        <v>0</v>
      </c>
      <c r="AO20" s="63">
        <f>IF(AND(AO16=0,AO17=0),0,IF(AO16&lt;=0,0,IF(WEEKDAY(AO$6,1)=1,AO16*AO17,0)))</f>
        <v>0</v>
      </c>
      <c r="AP20" s="63">
        <f>IF(AND(AP16=0,AP17=0),0,IF(AP16&lt;=0,0,IF(WEEKDAY(AP$6,1)=1,AP16*AP17,0)))</f>
        <v>0</v>
      </c>
      <c r="AQ20" s="63">
        <f>IF(AND(AQ16=0,AQ17=0),0,IF(AQ16&lt;=0,0,IF(WEEKDAY(AQ$6,1)=1,AQ16*AQ17,0)))</f>
        <v>0</v>
      </c>
      <c r="AR20" s="64">
        <f>IF(AND(AR16=0,AR17=0),0,IF(AR16&lt;=0,0,IF(WEEKDAY(AR$6,1)=1,AR16*AR17,0)))</f>
        <v>0</v>
      </c>
      <c r="AS20" s="64">
        <f>IF(AND(AS16=0,AS17=0),0,IF(AS16&lt;=0,0,IF(WEEKDAY(AS$6,1)=1,AS16*AS17,0)))</f>
        <v>0</v>
      </c>
      <c r="AT20" s="63">
        <f>IF(AND(AT16=0,AT17=0),0,IF(AT16&lt;=0,0,IF(WEEKDAY(AT$6,1)=1,AT16*AT17,0)))</f>
        <v>0</v>
      </c>
      <c r="AU20" s="63">
        <f>IF(AND(AU16=0,AU17=0),0,IF(AU16&lt;=0,0,IF(WEEKDAY(AU$6,1)=1,AU16*AU17,0)))</f>
        <v>0</v>
      </c>
      <c r="AV20" s="63">
        <f>IF(AND(AV16=0,AV17=0),0,IF(AV16&lt;=0,0,IF(WEEKDAY(AV$6,1)=1,AV16*AV17,0)))</f>
        <v>0</v>
      </c>
      <c r="AW20" s="63">
        <f>IF(AND(AW16=0,AW17=0),0,IF(AW16&lt;=0,0,IF(WEEKDAY(AW$6,1)=1,AW16*AW17,0)))</f>
        <v>0</v>
      </c>
      <c r="AX20" s="63">
        <f>IF(AND(AX16=0,AX17=0),0,IF(AX16&lt;=0,0,IF(WEEKDAY(AX$6,1)=1,AX16*AX17,0)))</f>
        <v>0</v>
      </c>
      <c r="AY20" s="64">
        <f>IF(AND(AY16=0,AY17=0),0,IF(AY16&lt;=0,0,IF(WEEKDAY(AY$6,1)=1,AY16*AY17,0)))</f>
        <v>0</v>
      </c>
      <c r="AZ20" s="64">
        <f>IF(AND(AZ16=0,AZ17=0),0,IF(AZ16&lt;=0,0,IF(WEEKDAY(AZ$6,1)=1,AZ16*AZ17,0)))</f>
        <v>0</v>
      </c>
      <c r="BA20" s="63">
        <f>IF(AND(BA16=0,BA17=0),0,IF(BA16&lt;=0,0,IF(WEEKDAY(BA$6,1)=1,BA16*BA17,0)))</f>
        <v>0</v>
      </c>
      <c r="BB20" s="63">
        <f>IF(AND(BB16=0,BB17=0),0,IF(BB16&lt;=0,0,IF(WEEKDAY(BB$6,1)=1,BB16*BB17,0)))</f>
        <v>0</v>
      </c>
      <c r="BC20" s="63">
        <f>IF(AND(BC16=0,BC17=0),0,IF(BC16&lt;=0,0,IF(WEEKDAY(BC$6,1)=1,BC16*BC17,0)))</f>
        <v>0</v>
      </c>
      <c r="BD20" s="63">
        <f>IF(AND(BD16=0,BD17=0),0,IF(BD16&lt;=0,0,IF(WEEKDAY(BD$6,1)=1,BD16*BD17,0)))</f>
        <v>0</v>
      </c>
      <c r="BE20" s="63">
        <f>IF(AND(BE16=0,BE17=0),0,IF(BE16&lt;=0,0,IF(WEEKDAY(BE$6,1)=1,BE16*BE17,0)))</f>
        <v>0</v>
      </c>
      <c r="BF20" s="64">
        <f>IF(AND(BF16=0,BF17=0),0,IF(BF16&lt;=0,0,IF(WEEKDAY(BF$6,1)=1,BF16*BF17,0)))</f>
        <v>0</v>
      </c>
      <c r="BG20" s="64">
        <f>IF(AND(BG16=0,BG17=0),0,IF(BG16&lt;=0,0,IF(WEEKDAY(BG$6,1)=1,BG16*BG17,0)))</f>
        <v>0</v>
      </c>
      <c r="BH20" s="63">
        <f>IF(AND(BH16=4,BH17=13),0,IF(BH16&lt;=0,0,IF(WEEKDAY(BH$6,1)=1,BH16*BH17,0)))</f>
        <v>0</v>
      </c>
      <c r="BI20" s="63">
        <f>IF(AND(BI16=4,BI17=13),0,IF(BI16&lt;=0,0,IF(WEEKDAY(BI$6,1)=1,BI16*BI17,0)))</f>
        <v>0</v>
      </c>
      <c r="BJ20" s="63">
        <f>IF(AND(BJ16=4,BJ17=13),0,IF(BJ16&lt;=0,0,IF(WEEKDAY(BJ$6,1)=1,BJ16*BJ17,0)))</f>
        <v>0</v>
      </c>
      <c r="BK20" s="63">
        <f>IF(AND(BK16=4,BK17=13),0,IF(BK16&lt;=0,0,IF(WEEKDAY(BK$6,1)=1,BK16*BK17,0)))</f>
        <v>0</v>
      </c>
      <c r="BL20" s="63">
        <f>IF(AND(BL16=4,BL17=13),0,IF(BL16&lt;=0,0,IF(WEEKDAY(BL$6,1)=1,BL16*BL17,0)))</f>
        <v>0</v>
      </c>
      <c r="BM20" s="64">
        <f>IF(AND(BM16=4,BM17=13),0,IF(BM16&lt;=0,0,IF(WEEKDAY(BM$6,1)=1,BM16*BM17,0)))</f>
        <v>0</v>
      </c>
      <c r="BN20" s="64">
        <f>IF(AND(BN16=4,BN17=13),52,IF(BN16&lt;=0,0,IF(WEEKDAY(BN$6,1)=1,BN16*BN17,0)))</f>
        <v>52</v>
      </c>
      <c r="BO20" s="63">
        <f>IF(AND(BO16=4,BO17=13),0,IF(BO16&lt;=0,0,IF(WEEKDAY(BO$6,1)=1,BO16*BO17,0)))</f>
        <v>0</v>
      </c>
      <c r="BP20" s="63">
        <f>IF(AND(BP16=4,BP17=13),0,IF(BP16&lt;=0,0,IF(WEEKDAY(BP$6,1)=1,BP16*BP17,0)))</f>
        <v>0</v>
      </c>
      <c r="BQ20" s="63">
        <f>IF(AND(BQ16=4,BQ17=13),0,IF(BQ16&lt;=0,0,IF(WEEKDAY(BQ$6,1)=1,BQ16*BQ17,0)))</f>
        <v>0</v>
      </c>
      <c r="BR20" s="63">
        <f>IF(AND(BR16=4,BR17=13),0,IF(BR16&lt;=0,0,IF(WEEKDAY(BR$6,1)=1,BR16*BR17,0)))</f>
        <v>0</v>
      </c>
      <c r="BS20" s="63">
        <f>IF(AND(BS16=4,BS17=13),0,IF(BS16&lt;=0,0,IF(WEEKDAY(BS$6,1)=1,BS16*BS17,0)))</f>
        <v>0</v>
      </c>
      <c r="BT20" s="64">
        <f>IF(AND(BT16=4,BT17=13),0,IF(BT16&lt;=0,0,IF(WEEKDAY(BT$6,1)=1,BT16*BT17,0)))</f>
        <v>0</v>
      </c>
      <c r="BU20" s="64">
        <f>IF(AND(BU16=4,BU17=13),52,IF(BU16&lt;=0,0,IF(WEEKDAY(BU$6,1)=1,BU16*BU17,0)))</f>
        <v>52</v>
      </c>
      <c r="BV20" s="63">
        <f>IF(AND(BV16=4,BV17=13),0,IF(BV16&lt;=0,0,IF(WEEKDAY(BV$6,1)=1,BV16*BV17,0)))</f>
        <v>0</v>
      </c>
      <c r="BW20" s="63">
        <f>IF(AND(BW16=4,BW17=13),0,IF(BW16&lt;=0,0,IF(WEEKDAY(BW$6,1)=1,BW16*BW17,0)))</f>
        <v>0</v>
      </c>
      <c r="BX20" s="63">
        <f>IF(AND(BX16=4,BX17=13),0,IF(BX16&lt;=0,0,IF(WEEKDAY(BX$6,1)=1,BX16*BX17,0)))</f>
        <v>0</v>
      </c>
      <c r="BY20" s="63">
        <f>IF(AND(BY16=4,BY17=13),0,IF(BY16&lt;=0,0,IF(WEEKDAY(BY$6,1)=1,BY16*BY17,0)))</f>
        <v>0</v>
      </c>
      <c r="BZ20" s="63">
        <f>IF(AND(BZ16=4,BZ17=13),0,IF(BZ16&lt;=0,0,IF(WEEKDAY(BZ$6,1)=1,BZ16*BZ17,0)))</f>
        <v>0</v>
      </c>
      <c r="CA20" s="64">
        <f>IF(AND(CA16=4,CA17=13),0,IF(CA16&lt;=0,0,IF(WEEKDAY(CA$6,1)=1,CA16*CA17,0)))</f>
        <v>0</v>
      </c>
      <c r="CB20" s="64">
        <f>IF(AND(CB16=4,CB17=13),52,IF(CB16&lt;=0,0,IF(WEEKDAY(CB$6,1)=1,CB16*CB17,0)))</f>
        <v>52</v>
      </c>
      <c r="CC20" s="63">
        <f>IF(AND(CC16=4,CC17=13),0,IF(CC16&lt;=0,0,IF(WEEKDAY(CC$6,1)=1,CC16*CC17,0)))</f>
        <v>0</v>
      </c>
      <c r="CD20" s="63">
        <f>IF(AND(CD16=4,CD17=13),0,IF(CD16&lt;=0,0,IF(WEEKDAY(CD$6,1)=1,CD16*CD17,0)))</f>
        <v>0</v>
      </c>
      <c r="CE20" s="63">
        <f>IF(AND(CE16=4,CE17=13),0,IF(CE16&lt;=0,0,IF(WEEKDAY(CE$6,1)=1,CE16*CE17,0)))</f>
        <v>0</v>
      </c>
      <c r="CF20" s="63">
        <f>IF(AND(CF16=4,CF17=13),0,IF(CF16&lt;=0,0,IF(WEEKDAY(CF$6,1)=1,CF16*CF17,0)))</f>
        <v>0</v>
      </c>
      <c r="CG20" s="63">
        <f>IF(AND(CG16=4,CG17=13),0,IF(CG16&lt;=0,0,IF(WEEKDAY(CG$6,1)=1,CG16*CG17,0)))</f>
        <v>0</v>
      </c>
      <c r="CH20" s="64">
        <f>IF(AND(CH16=4,CH17=13),0,IF(CH16&lt;=0,0,IF(WEEKDAY(CH$6,1)=1,CH16*CH17,0)))</f>
        <v>0</v>
      </c>
      <c r="CI20" s="64">
        <f>IF(AND(CI16=4,CI17=13),52,IF(CI16&lt;=0,0,IF(WEEKDAY(CI$6,1)=1,CI16*CI17,0)))</f>
        <v>52</v>
      </c>
      <c r="CJ20" s="63">
        <f>IF(AND(CJ16=4,CJ17=13),0,IF(CJ16&lt;=0,0,IF(WEEKDAY(CJ$6,1)=1,CJ16*CJ17,0)))</f>
        <v>0</v>
      </c>
      <c r="CK20" s="63">
        <f>IF(AND(CK16=4,CK17=13),0,IF(CK16&lt;=0,0,IF(WEEKDAY(CK$6,1)=1,CK16*CK17,0)))</f>
        <v>0</v>
      </c>
      <c r="CL20" s="63">
        <f>IF(AND(CL16=4,CL17=13),0,IF(CL16&lt;=0,0,IF(WEEKDAY(CL$6,1)=1,CL16*CL17,0)))</f>
        <v>0</v>
      </c>
      <c r="CM20" s="63">
        <f>IF(AND(CM16=4,CM17=13),0,IF(CM16&lt;=0,0,IF(WEEKDAY(CM$6,1)=1,CM16*CM17,0)))</f>
        <v>0</v>
      </c>
      <c r="CN20" s="63">
        <f>IF(AND(CN16=4,CN17=13),0,IF(CN16&lt;=0,0,IF(WEEKDAY(CN$6,1)=1,CN16*CN17,0)))</f>
        <v>0</v>
      </c>
      <c r="CO20" s="64">
        <f>IF(AND(CO16=4,CO17=13),0,IF(CO16&lt;=0,0,IF(WEEKDAY(CO$6,1)=1,CO16*CO17,0)))</f>
        <v>0</v>
      </c>
      <c r="CP20" s="64">
        <f>IF(AND(CP16=4,CP17=13),52,IF(CP16&lt;=0,0,IF(WEEKDAY(CP$6,1)=1,CP16*CP17,0)))</f>
        <v>52</v>
      </c>
      <c r="CQ20" s="63">
        <f>IF(AND(CQ16=4,CQ17=13),0,IF(CQ16&lt;=0,0,IF(WEEKDAY(CQ$6,1)=1,CQ16*CQ17,0)))</f>
        <v>0</v>
      </c>
      <c r="CR20" s="63">
        <f>IF(AND(CR16=4,CR17=13),0,IF(CR16&lt;=0,0,IF(WEEKDAY(CR$6,1)=1,CR16*CR17,0)))</f>
        <v>0</v>
      </c>
      <c r="CS20" s="63">
        <f>IF(AND(CS16=4,CS17=13),0,IF(CS16&lt;=0,0,IF(WEEKDAY(CS$6,1)=1,CS16*CS17,0)))</f>
        <v>0</v>
      </c>
      <c r="CT20" s="63">
        <f>IF(AND(CT16=4,CT17=13),0,IF(CT16&lt;=0,0,IF(WEEKDAY(CT$6,1)=1,CT16*CT17,0)))</f>
        <v>0</v>
      </c>
      <c r="CU20" s="63">
        <f>IF(AND(CU16=4,CU17=13),0,IF(CU16&lt;=0,0,IF(WEEKDAY(CU$6,1)=1,CU16*CU17,0)))</f>
        <v>0</v>
      </c>
      <c r="CV20" s="64">
        <f>IF(AND(CV16=4,CV17=13),0,IF(CV16&lt;=0,0,IF(WEEKDAY(CV$6,1)=1,CV16*CV17,0)))</f>
        <v>0</v>
      </c>
      <c r="CW20" s="64">
        <f>IF(AND(CW16=4,CW17=13),52,IF(CW16&lt;=0,0,IF(WEEKDAY(CW$6,1)=1,CW16*CW17,0)))</f>
        <v>52</v>
      </c>
      <c r="CX20" s="63">
        <f>IF(AND(CX16=4,CX17=13),0,IF(CX16&lt;=0,0,IF(WEEKDAY(CX$6,1)=1,CX16*CX17,0)))</f>
        <v>0</v>
      </c>
      <c r="CY20" s="63">
        <f>IF(AND(CY16=4,CY17=13),0,IF(CY16&lt;=0,0,IF(WEEKDAY(CY$6,1)=1,CY16*CY17,0)))</f>
        <v>0</v>
      </c>
      <c r="CZ20" s="63">
        <f>IF(AND(CZ16=4,CZ17=13),0,IF(CZ16&lt;=0,0,IF(WEEKDAY(CZ$6,1)=1,CZ16*CZ17,0)))</f>
        <v>0</v>
      </c>
      <c r="DA20" s="63">
        <f>IF(AND(DA16=4,DA17=13),0,IF(DA16&lt;=0,0,IF(WEEKDAY(DA$6,1)=1,DA16*DA17,0)))</f>
        <v>0</v>
      </c>
      <c r="DB20" s="63">
        <f>IF(AND(DB16=4,DB17=13),0,IF(DB16&lt;=0,0,IF(WEEKDAY(DB$6,1)=1,DB16*DB17,0)))</f>
        <v>0</v>
      </c>
      <c r="DC20" s="64">
        <f>IF(AND(DC16=4,DC17=13),0,IF(DC16&lt;=0,0,IF(WEEKDAY(DC$6,1)=1,DC16*DC17,0)))</f>
        <v>0</v>
      </c>
      <c r="DD20" s="64">
        <f>IF(AND(DD16=2,DD17=13),26,IF(DD16&lt;=0,0,IF(WEEKDAY(DD$6,1)=1,DD16*DD17,0)))</f>
        <v>26</v>
      </c>
      <c r="DE20" s="63">
        <f>IF(AND(DE16=2,DE17=13),0,IF(DE16&lt;=0,0,IF(WEEKDAY(DE$6,1)=1,DE16*DE17,0)))</f>
        <v>0</v>
      </c>
      <c r="DF20" s="63">
        <f>IF(AND(DF16=2,DF17=13),0,IF(DF16&lt;=0,0,IF(WEEKDAY(DF$6,1)=1,DF16*DF17,0)))</f>
        <v>0</v>
      </c>
      <c r="DG20" s="63">
        <f>IF(AND(DG16=2,DG17=13),0,IF(DG16&lt;=0,0,IF(WEEKDAY(DG$6,1)=1,DG16*DG17,0)))</f>
        <v>0</v>
      </c>
      <c r="DH20" s="63">
        <f>IF(AND(DH16=2,DH17=13),0,IF(DH16&lt;=0,0,IF(WEEKDAY(DH$6,1)=1,DH16*DH17,0)))</f>
        <v>0</v>
      </c>
      <c r="DI20" s="63">
        <f>IF(AND(DI16=2,DI17=13),0,IF(DI16&lt;=0,0,IF(WEEKDAY(DI$6,1)=1,DI16*DI17,0)))</f>
        <v>0</v>
      </c>
      <c r="DJ20" s="64">
        <f>IF(AND(DJ16=2,DJ17=13),0,IF(DJ16&lt;=0,0,IF(WEEKDAY(DJ$6,1)=1,DJ16*DJ17,0)))</f>
        <v>0</v>
      </c>
      <c r="DK20" s="64">
        <f>IF(AND(DK16=2,DK17=13),26,IF(DK16&lt;=0,0,IF(WEEKDAY(DK$6,1)=1,DK16*DK17,0)))</f>
        <v>26</v>
      </c>
      <c r="DL20" s="63">
        <f>IF(AND(DL16=2,DL17=13),0,IF(DL16&lt;=0,0,IF(WEEKDAY(DL$6,1)=1,DL16*DL17,0)))</f>
        <v>0</v>
      </c>
      <c r="DM20" s="63">
        <f>IF(AND(DM16=2,DM17=13),0,IF(DM16&lt;=0,0,IF(WEEKDAY(DM$6,1)=1,DM16*DM17,0)))</f>
        <v>0</v>
      </c>
      <c r="DN20" s="63">
        <f>IF(AND(DN16=2,DN17=13),0,IF(DN16&lt;=0,0,IF(WEEKDAY(DN$6,1)=1,DN16*DN17,0)))</f>
        <v>0</v>
      </c>
      <c r="DO20" s="63">
        <f>IF(AND(DO16=2,DO17=13),0,IF(DO16&lt;=0,0,IF(WEEKDAY(DO$6,1)=1,DO16*DO17,0)))</f>
        <v>0</v>
      </c>
      <c r="DP20" s="63">
        <f>IF(AND(DP16=2,DP17=13),0,IF(DP16&lt;=0,0,IF(WEEKDAY(DP$6,1)=1,DP16*DP17,0)))</f>
        <v>0</v>
      </c>
      <c r="DQ20" s="64">
        <f>IF(AND(DQ16=2,DQ17=13),0,IF(DQ16&lt;=0,0,IF(WEEKDAY(DQ$6,1)=1,DQ16*DQ17,0)))</f>
        <v>0</v>
      </c>
      <c r="DR20" s="64">
        <f>IF(AND(DR16=2,DR17=13),26,IF(DR16&lt;=0,0,IF(WEEKDAY(DR$6,1)=1,DR16*DR17,0)))</f>
        <v>26</v>
      </c>
      <c r="DS20" s="63">
        <f>IF(AND(DS16=2,DS17=13),0,IF(DS16&lt;=0,0,IF(WEEKDAY(DS$6,1)=1,DS16*DS17,0)))</f>
        <v>0</v>
      </c>
      <c r="DT20" s="63">
        <f>IF(AND(DT16=0,DT17=0),0,IF(DT16&lt;=0,0,IF(WEEKDAY(DT$6,1)=1,DT16*DT17,0)))</f>
        <v>0</v>
      </c>
      <c r="DU20" s="63">
        <f>IF(AND(DU16=0,DU17=0),0,IF(DU16&lt;=0,0,IF(WEEKDAY(DU$6,1)=1,DU16*DU17,0)))</f>
        <v>0</v>
      </c>
      <c r="DV20" s="63">
        <f>IF(AND(DV16=0,DV17=0),0,IF(DV16&lt;=0,0,IF(WEEKDAY(DV$6,1)=1,DV16*DV17,0)))</f>
        <v>0</v>
      </c>
      <c r="DW20" s="63">
        <f>IF(AND(DW16=0,DW17=0),0,IF(DW16&lt;=0,0,IF(WEEKDAY(DW$6,1)=1,DW16*DW17,0)))</f>
        <v>0</v>
      </c>
      <c r="DX20" s="64">
        <f>IF(AND(DX16=0,DX17=0),0,IF(DX16&lt;=0,0,IF(WEEKDAY(DX$6,1)=1,DX16*DX17,0)))</f>
        <v>0</v>
      </c>
      <c r="DY20" s="64">
        <f>IF(AND(DY16=0,DY17=0),0,IF(DY16&lt;=0,0,IF(WEEKDAY(DY$6,1)=1,DY16*DY17,0)))</f>
        <v>0</v>
      </c>
      <c r="DZ20" s="63">
        <f>IF(AND(DZ16=0,DZ17=0),0,IF(DZ16&lt;=0,0,IF(WEEKDAY(DZ$6,1)=1,DZ16*DZ17,0)))</f>
        <v>0</v>
      </c>
      <c r="EA20" s="63">
        <f>IF(AND(EA16=0,EA17=0),0,IF(EA16&lt;=0,0,IF(WEEKDAY(EA$6,1)=1,EA16*EA17,0)))</f>
        <v>0</v>
      </c>
      <c r="EB20" s="63">
        <f>IF(AND(EB16=0,EB17=0),0,IF(EB16&lt;=0,0,IF(WEEKDAY(EB$6,1)=1,EB16*EB17,0)))</f>
        <v>0</v>
      </c>
      <c r="EC20" s="63">
        <f>IF(AND(EC16=0,EC17=0),0,IF(EC16&lt;=0,0,IF(WEEKDAY(EC$6,1)=1,EC16*EC17,0)))</f>
        <v>0</v>
      </c>
      <c r="ED20" s="63">
        <f>IF(AND(ED16=0,ED17=0),0,IF(ED16&lt;=0,0,IF(WEEKDAY(ED$6,1)=1,ED16*ED17,0)))</f>
        <v>0</v>
      </c>
      <c r="EE20" s="64">
        <f>IF(AND(EE16=0,EE17=0),0,IF(EE16&lt;=0,0,IF(WEEKDAY(EE$6,1)=1,EE16*EE17,0)))</f>
        <v>0</v>
      </c>
      <c r="EF20" s="64">
        <f>IF(AND(EF16=0,EF17=0),0,IF(EF16&lt;=0,0,IF(WEEKDAY(EF$6,1)=1,EF16*EF17,0)))</f>
        <v>0</v>
      </c>
      <c r="EG20" s="63">
        <f>IF(AND(EG16=0,EG17=0),0,IF(EG16&lt;=0,0,IF(WEEKDAY(EG$6,1)=1,EG16*EG17,0)))</f>
        <v>0</v>
      </c>
      <c r="EH20" s="63">
        <f>IF(AND(EH16=0,EH17=0),0,IF(EH16&lt;=0,0,IF(WEEKDAY(EH$6,1)=1,EH16*EH17,0)))</f>
        <v>0</v>
      </c>
      <c r="EI20" s="63">
        <f>IF(AND(EI16=0,EI17=0),0,IF(EI16&lt;=0,0,IF(WEEKDAY(EI$6,1)=1,EI16*EI17,0)))</f>
        <v>0</v>
      </c>
      <c r="EJ20" s="63">
        <f>IF(AND(EJ16=0,EJ17=0),0,IF(EJ16&lt;=0,0,IF(WEEKDAY(EJ$6,1)=1,EJ16*EJ17,0)))</f>
        <v>0</v>
      </c>
      <c r="EK20" s="65">
        <f>IF(AND(EK16=0,EK17=0),0,IF(EK16&lt;=0,0,IF(WEEKDAY(EK$6,1)=1,EK16*EK17,0)))</f>
        <v>0</v>
      </c>
      <c r="OU20" s="28" t="s">
        <v>107</v>
      </c>
    </row>
    <row r="21" ht="16" customHeight="1" spans="1:411" x14ac:dyDescent="0.25">
      <c r="A21" s="74"/>
      <c r="B21" s="46"/>
      <c r="C21" s="67">
        <f>I15*D21</f>
        <v>29120</v>
      </c>
      <c r="D21" s="67">
        <v>130</v>
      </c>
      <c r="E21" s="68" t="s">
        <v>65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1">
        <v>0</v>
      </c>
      <c r="AS21" s="71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1">
        <v>0</v>
      </c>
      <c r="AZ21" s="71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1">
        <v>0</v>
      </c>
      <c r="BG21" s="71">
        <v>0</v>
      </c>
      <c r="BH21" s="70">
        <v>4</v>
      </c>
      <c r="BI21" s="70">
        <v>4</v>
      </c>
      <c r="BJ21" s="70">
        <v>4</v>
      </c>
      <c r="BK21" s="70">
        <v>4</v>
      </c>
      <c r="BL21" s="70">
        <v>4</v>
      </c>
      <c r="BM21" s="71">
        <v>4</v>
      </c>
      <c r="BN21" s="71">
        <v>4</v>
      </c>
      <c r="BO21" s="70">
        <v>4</v>
      </c>
      <c r="BP21" s="70">
        <v>4</v>
      </c>
      <c r="BQ21" s="70">
        <v>4</v>
      </c>
      <c r="BR21" s="70">
        <v>4</v>
      </c>
      <c r="BS21" s="70">
        <v>4</v>
      </c>
      <c r="BT21" s="71">
        <v>4</v>
      </c>
      <c r="BU21" s="71">
        <v>4</v>
      </c>
      <c r="BV21" s="70">
        <v>4</v>
      </c>
      <c r="BW21" s="70">
        <v>4</v>
      </c>
      <c r="BX21" s="70">
        <v>4</v>
      </c>
      <c r="BY21" s="70">
        <v>4</v>
      </c>
      <c r="BZ21" s="70">
        <v>4</v>
      </c>
      <c r="CA21" s="71">
        <v>4</v>
      </c>
      <c r="CB21" s="71">
        <v>4</v>
      </c>
      <c r="CC21" s="70">
        <v>4</v>
      </c>
      <c r="CD21" s="70">
        <v>4</v>
      </c>
      <c r="CE21" s="70">
        <v>4</v>
      </c>
      <c r="CF21" s="70">
        <v>4</v>
      </c>
      <c r="CG21" s="70">
        <v>4</v>
      </c>
      <c r="CH21" s="71">
        <v>4</v>
      </c>
      <c r="CI21" s="71">
        <v>4</v>
      </c>
      <c r="CJ21" s="70">
        <v>4</v>
      </c>
      <c r="CK21" s="70">
        <v>4</v>
      </c>
      <c r="CL21" s="70">
        <v>4</v>
      </c>
      <c r="CM21" s="70">
        <v>4</v>
      </c>
      <c r="CN21" s="70">
        <v>4</v>
      </c>
      <c r="CO21" s="71">
        <v>4</v>
      </c>
      <c r="CP21" s="71">
        <v>4</v>
      </c>
      <c r="CQ21" s="70">
        <v>4</v>
      </c>
      <c r="CR21" s="70">
        <v>4</v>
      </c>
      <c r="CS21" s="70">
        <v>4</v>
      </c>
      <c r="CT21" s="70">
        <v>4</v>
      </c>
      <c r="CU21" s="70">
        <v>4</v>
      </c>
      <c r="CV21" s="71">
        <v>4</v>
      </c>
      <c r="CW21" s="71">
        <v>4</v>
      </c>
      <c r="CX21" s="70">
        <v>4</v>
      </c>
      <c r="CY21" s="70">
        <v>4</v>
      </c>
      <c r="CZ21" s="70">
        <v>4</v>
      </c>
      <c r="DA21" s="70">
        <v>4</v>
      </c>
      <c r="DB21" s="70">
        <v>4</v>
      </c>
      <c r="DC21" s="71">
        <v>4</v>
      </c>
      <c r="DD21" s="71">
        <v>2</v>
      </c>
      <c r="DE21" s="70">
        <v>2</v>
      </c>
      <c r="DF21" s="70">
        <v>2</v>
      </c>
      <c r="DG21" s="70">
        <v>2</v>
      </c>
      <c r="DH21" s="70">
        <v>2</v>
      </c>
      <c r="DI21" s="70">
        <v>2</v>
      </c>
      <c r="DJ21" s="71">
        <v>2</v>
      </c>
      <c r="DK21" s="71">
        <v>2</v>
      </c>
      <c r="DL21" s="70">
        <v>2</v>
      </c>
      <c r="DM21" s="70">
        <v>2</v>
      </c>
      <c r="DN21" s="70">
        <v>2</v>
      </c>
      <c r="DO21" s="70">
        <v>2</v>
      </c>
      <c r="DP21" s="70">
        <v>2</v>
      </c>
      <c r="DQ21" s="71">
        <v>2</v>
      </c>
      <c r="DR21" s="71">
        <v>2</v>
      </c>
      <c r="DS21" s="70">
        <v>2</v>
      </c>
      <c r="DT21" s="70">
        <v>0</v>
      </c>
      <c r="DU21" s="70">
        <v>0</v>
      </c>
      <c r="DV21" s="70">
        <v>0</v>
      </c>
      <c r="DW21" s="70">
        <v>0</v>
      </c>
      <c r="DX21" s="71">
        <v>0</v>
      </c>
      <c r="DY21" s="71">
        <v>0</v>
      </c>
      <c r="DZ21" s="70">
        <v>0</v>
      </c>
      <c r="EA21" s="70">
        <v>0</v>
      </c>
      <c r="EB21" s="70">
        <v>0</v>
      </c>
      <c r="EC21" s="70">
        <v>0</v>
      </c>
      <c r="ED21" s="70">
        <v>0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107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46" t="s">
        <v>108</v>
      </c>
      <c r="C23" s="47">
        <f>J23</f>
        <v>924791.6799999999</v>
      </c>
      <c r="D23" s="48"/>
      <c r="E23" s="48"/>
      <c r="F23" s="49">
        <f>SUM(K26:EK26)</f>
        <v>4712</v>
      </c>
      <c r="G23" s="49">
        <f>SUM(K27:EK27)</f>
        <v>2320</v>
      </c>
      <c r="H23" s="49">
        <f>SUM(K28:EK28)</f>
        <v>456</v>
      </c>
      <c r="I23" s="49">
        <f>SUM(K29:EK29)</f>
        <v>493</v>
      </c>
      <c r="J23" s="50">
        <f>C26+C27+C28</f>
        <v>924791.6799999999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109</v>
      </c>
    </row>
    <row r="24" ht="16" customHeight="1" spans="1:411" x14ac:dyDescent="0.25">
      <c r="A24" s="45"/>
      <c r="B24" s="46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0</v>
      </c>
      <c r="L24" s="57">
        <v>0</v>
      </c>
      <c r="M24" s="57">
        <v>0</v>
      </c>
      <c r="N24" s="57">
        <v>3</v>
      </c>
      <c r="O24" s="57">
        <v>3</v>
      </c>
      <c r="P24" s="58">
        <v>0</v>
      </c>
      <c r="Q24" s="58">
        <v>0</v>
      </c>
      <c r="R24" s="57">
        <v>3</v>
      </c>
      <c r="S24" s="57">
        <v>3</v>
      </c>
      <c r="T24" s="57">
        <v>3</v>
      </c>
      <c r="U24" s="57">
        <v>3</v>
      </c>
      <c r="V24" s="57">
        <v>3</v>
      </c>
      <c r="W24" s="58">
        <v>0</v>
      </c>
      <c r="X24" s="58">
        <v>0</v>
      </c>
      <c r="Y24" s="57">
        <v>6</v>
      </c>
      <c r="Z24" s="57">
        <v>6</v>
      </c>
      <c r="AA24" s="57">
        <v>6</v>
      </c>
      <c r="AB24" s="57">
        <v>6</v>
      </c>
      <c r="AC24" s="57">
        <v>3</v>
      </c>
      <c r="AD24" s="58">
        <v>0</v>
      </c>
      <c r="AE24" s="58">
        <v>0</v>
      </c>
      <c r="AF24" s="57">
        <v>3</v>
      </c>
      <c r="AG24" s="57">
        <v>3</v>
      </c>
      <c r="AH24" s="57">
        <v>3</v>
      </c>
      <c r="AI24" s="57">
        <v>3</v>
      </c>
      <c r="AJ24" s="57">
        <v>3</v>
      </c>
      <c r="AK24" s="58">
        <v>0</v>
      </c>
      <c r="AL24" s="58">
        <v>0</v>
      </c>
      <c r="AM24" s="57">
        <v>14.38</v>
      </c>
      <c r="AN24" s="57">
        <v>14.38</v>
      </c>
      <c r="AO24" s="57">
        <v>14.38</v>
      </c>
      <c r="AP24" s="57">
        <v>14.38</v>
      </c>
      <c r="AQ24" s="57">
        <v>14.38</v>
      </c>
      <c r="AR24" s="58">
        <v>0</v>
      </c>
      <c r="AS24" s="58">
        <v>0</v>
      </c>
      <c r="AT24" s="57">
        <v>14.38</v>
      </c>
      <c r="AU24" s="57">
        <v>14.38</v>
      </c>
      <c r="AV24" s="57">
        <v>14.38</v>
      </c>
      <c r="AW24" s="57">
        <v>14.38</v>
      </c>
      <c r="AX24" s="57">
        <v>14.38</v>
      </c>
      <c r="AY24" s="58">
        <v>0</v>
      </c>
      <c r="AZ24" s="58">
        <v>0</v>
      </c>
      <c r="BA24" s="57">
        <v>14.38</v>
      </c>
      <c r="BB24" s="57">
        <v>14.38</v>
      </c>
      <c r="BC24" s="57">
        <v>14.38</v>
      </c>
      <c r="BD24" s="57">
        <v>14.38</v>
      </c>
      <c r="BE24" s="57">
        <v>14.38</v>
      </c>
      <c r="BF24" s="58">
        <v>0</v>
      </c>
      <c r="BG24" s="58">
        <v>0</v>
      </c>
      <c r="BH24" s="57">
        <v>8</v>
      </c>
      <c r="BI24" s="57">
        <v>8</v>
      </c>
      <c r="BJ24" s="57">
        <v>8</v>
      </c>
      <c r="BK24" s="57">
        <v>8</v>
      </c>
      <c r="BL24" s="57">
        <v>8</v>
      </c>
      <c r="BM24" s="58">
        <v>8</v>
      </c>
      <c r="BN24" s="58">
        <v>8</v>
      </c>
      <c r="BO24" s="57">
        <v>8</v>
      </c>
      <c r="BP24" s="57">
        <v>8</v>
      </c>
      <c r="BQ24" s="57">
        <v>8</v>
      </c>
      <c r="BR24" s="57">
        <v>8</v>
      </c>
      <c r="BS24" s="57">
        <v>8</v>
      </c>
      <c r="BT24" s="58">
        <v>8</v>
      </c>
      <c r="BU24" s="58">
        <v>8</v>
      </c>
      <c r="BV24" s="57">
        <v>8</v>
      </c>
      <c r="BW24" s="57">
        <v>8</v>
      </c>
      <c r="BX24" s="57">
        <v>8</v>
      </c>
      <c r="BY24" s="57">
        <v>8</v>
      </c>
      <c r="BZ24" s="57">
        <v>8</v>
      </c>
      <c r="CA24" s="58">
        <v>8</v>
      </c>
      <c r="CB24" s="58">
        <v>0</v>
      </c>
      <c r="CC24" s="57">
        <v>8</v>
      </c>
      <c r="CD24" s="57">
        <v>8</v>
      </c>
      <c r="CE24" s="57">
        <v>8</v>
      </c>
      <c r="CF24" s="57">
        <v>8</v>
      </c>
      <c r="CG24" s="57">
        <v>8</v>
      </c>
      <c r="CH24" s="58">
        <v>8</v>
      </c>
      <c r="CI24" s="58">
        <v>8</v>
      </c>
      <c r="CJ24" s="57">
        <v>8</v>
      </c>
      <c r="CK24" s="57">
        <v>8</v>
      </c>
      <c r="CL24" s="57">
        <v>8</v>
      </c>
      <c r="CM24" s="57">
        <v>8</v>
      </c>
      <c r="CN24" s="57">
        <v>8</v>
      </c>
      <c r="CO24" s="58">
        <v>8</v>
      </c>
      <c r="CP24" s="58">
        <v>0</v>
      </c>
      <c r="CQ24" s="57">
        <v>8</v>
      </c>
      <c r="CR24" s="57">
        <v>8</v>
      </c>
      <c r="CS24" s="57">
        <v>8</v>
      </c>
      <c r="CT24" s="57">
        <v>8</v>
      </c>
      <c r="CU24" s="57">
        <v>8</v>
      </c>
      <c r="CV24" s="58">
        <v>8</v>
      </c>
      <c r="CW24" s="58">
        <v>8</v>
      </c>
      <c r="CX24" s="57">
        <v>8</v>
      </c>
      <c r="CY24" s="57">
        <v>8</v>
      </c>
      <c r="CZ24" s="57">
        <v>8</v>
      </c>
      <c r="DA24" s="57">
        <v>8</v>
      </c>
      <c r="DB24" s="57">
        <v>8</v>
      </c>
      <c r="DC24" s="58">
        <v>8</v>
      </c>
      <c r="DD24" s="58">
        <v>2</v>
      </c>
      <c r="DE24" s="57">
        <v>2</v>
      </c>
      <c r="DF24" s="57">
        <v>2</v>
      </c>
      <c r="DG24" s="57">
        <v>2</v>
      </c>
      <c r="DH24" s="57">
        <v>2</v>
      </c>
      <c r="DI24" s="57">
        <v>2</v>
      </c>
      <c r="DJ24" s="58">
        <v>2</v>
      </c>
      <c r="DK24" s="58">
        <v>0</v>
      </c>
      <c r="DL24" s="57">
        <v>2</v>
      </c>
      <c r="DM24" s="57">
        <v>2</v>
      </c>
      <c r="DN24" s="57">
        <v>2</v>
      </c>
      <c r="DO24" s="57">
        <v>2</v>
      </c>
      <c r="DP24" s="57">
        <v>2</v>
      </c>
      <c r="DQ24" s="58">
        <v>2</v>
      </c>
      <c r="DR24" s="58">
        <v>2</v>
      </c>
      <c r="DS24" s="57">
        <v>2</v>
      </c>
      <c r="DT24" s="57">
        <v>1</v>
      </c>
      <c r="DU24" s="57">
        <v>1</v>
      </c>
      <c r="DV24" s="57">
        <v>1</v>
      </c>
      <c r="DW24" s="57">
        <v>1</v>
      </c>
      <c r="DX24" s="58">
        <v>0</v>
      </c>
      <c r="DY24" s="58">
        <v>0</v>
      </c>
      <c r="DZ24" s="57">
        <v>1</v>
      </c>
      <c r="EA24" s="57">
        <v>1</v>
      </c>
      <c r="EB24" s="57">
        <v>1</v>
      </c>
      <c r="EC24" s="57">
        <v>1</v>
      </c>
      <c r="ED24" s="57">
        <v>1</v>
      </c>
      <c r="EE24" s="58">
        <v>0</v>
      </c>
      <c r="EF24" s="58">
        <v>0</v>
      </c>
      <c r="EG24" s="57">
        <v>1</v>
      </c>
      <c r="EH24" s="57">
        <v>1</v>
      </c>
      <c r="EI24" s="57">
        <v>1</v>
      </c>
      <c r="EJ24" s="57">
        <v>1</v>
      </c>
      <c r="EK24" s="59">
        <v>1</v>
      </c>
      <c r="OU24" s="60" t="s">
        <v>109</v>
      </c>
    </row>
    <row r="25" ht="16" customHeight="1" spans="1:411" x14ac:dyDescent="0.25">
      <c r="A25" s="45"/>
      <c r="B25" s="46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0</v>
      </c>
      <c r="L25" s="57">
        <v>0</v>
      </c>
      <c r="M25" s="57">
        <v>0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8</v>
      </c>
      <c r="AN25" s="57">
        <v>8</v>
      </c>
      <c r="AO25" s="57">
        <v>8</v>
      </c>
      <c r="AP25" s="57">
        <v>8</v>
      </c>
      <c r="AQ25" s="57">
        <v>8</v>
      </c>
      <c r="AR25" s="58">
        <v>0</v>
      </c>
      <c r="AS25" s="58">
        <v>0</v>
      </c>
      <c r="AT25" s="57">
        <v>8</v>
      </c>
      <c r="AU25" s="57">
        <v>8</v>
      </c>
      <c r="AV25" s="57">
        <v>8</v>
      </c>
      <c r="AW25" s="57">
        <v>8</v>
      </c>
      <c r="AX25" s="57">
        <v>8</v>
      </c>
      <c r="AY25" s="58">
        <v>0</v>
      </c>
      <c r="AZ25" s="58">
        <v>0</v>
      </c>
      <c r="BA25" s="57">
        <v>8</v>
      </c>
      <c r="BB25" s="57">
        <v>8</v>
      </c>
      <c r="BC25" s="57">
        <v>8</v>
      </c>
      <c r="BD25" s="57">
        <v>8</v>
      </c>
      <c r="BE25" s="57">
        <v>8</v>
      </c>
      <c r="BF25" s="58">
        <v>0</v>
      </c>
      <c r="BG25" s="58">
        <v>0</v>
      </c>
      <c r="BH25" s="57">
        <v>13</v>
      </c>
      <c r="BI25" s="57">
        <v>13</v>
      </c>
      <c r="BJ25" s="57">
        <v>13</v>
      </c>
      <c r="BK25" s="57">
        <v>13</v>
      </c>
      <c r="BL25" s="57">
        <v>13</v>
      </c>
      <c r="BM25" s="58">
        <v>13</v>
      </c>
      <c r="BN25" s="58">
        <v>13</v>
      </c>
      <c r="BO25" s="57">
        <v>13</v>
      </c>
      <c r="BP25" s="57">
        <v>13</v>
      </c>
      <c r="BQ25" s="57">
        <v>13</v>
      </c>
      <c r="BR25" s="57">
        <v>13</v>
      </c>
      <c r="BS25" s="57">
        <v>13</v>
      </c>
      <c r="BT25" s="58">
        <v>13</v>
      </c>
      <c r="BU25" s="58">
        <v>13</v>
      </c>
      <c r="BV25" s="57">
        <v>13</v>
      </c>
      <c r="BW25" s="57">
        <v>13</v>
      </c>
      <c r="BX25" s="57">
        <v>13</v>
      </c>
      <c r="BY25" s="57">
        <v>13</v>
      </c>
      <c r="BZ25" s="57">
        <v>13</v>
      </c>
      <c r="CA25" s="58">
        <v>13</v>
      </c>
      <c r="CB25" s="58">
        <v>0</v>
      </c>
      <c r="CC25" s="57">
        <v>13</v>
      </c>
      <c r="CD25" s="57">
        <v>13</v>
      </c>
      <c r="CE25" s="57">
        <v>13</v>
      </c>
      <c r="CF25" s="57">
        <v>13</v>
      </c>
      <c r="CG25" s="57">
        <v>13</v>
      </c>
      <c r="CH25" s="58">
        <v>13</v>
      </c>
      <c r="CI25" s="58">
        <v>13</v>
      </c>
      <c r="CJ25" s="57">
        <v>13</v>
      </c>
      <c r="CK25" s="57">
        <v>13</v>
      </c>
      <c r="CL25" s="57">
        <v>13</v>
      </c>
      <c r="CM25" s="57">
        <v>13</v>
      </c>
      <c r="CN25" s="57">
        <v>13</v>
      </c>
      <c r="CO25" s="58">
        <v>13</v>
      </c>
      <c r="CP25" s="58">
        <v>0</v>
      </c>
      <c r="CQ25" s="57">
        <v>13</v>
      </c>
      <c r="CR25" s="57">
        <v>13</v>
      </c>
      <c r="CS25" s="57">
        <v>13</v>
      </c>
      <c r="CT25" s="57">
        <v>13</v>
      </c>
      <c r="CU25" s="57">
        <v>13</v>
      </c>
      <c r="CV25" s="58">
        <v>13</v>
      </c>
      <c r="CW25" s="58">
        <v>13</v>
      </c>
      <c r="CX25" s="57">
        <v>13</v>
      </c>
      <c r="CY25" s="57">
        <v>13</v>
      </c>
      <c r="CZ25" s="57">
        <v>13</v>
      </c>
      <c r="DA25" s="57">
        <v>13</v>
      </c>
      <c r="DB25" s="57">
        <v>13</v>
      </c>
      <c r="DC25" s="58">
        <v>13</v>
      </c>
      <c r="DD25" s="58">
        <v>10</v>
      </c>
      <c r="DE25" s="57">
        <v>10</v>
      </c>
      <c r="DF25" s="57">
        <v>10</v>
      </c>
      <c r="DG25" s="57">
        <v>10</v>
      </c>
      <c r="DH25" s="57">
        <v>10</v>
      </c>
      <c r="DI25" s="57">
        <v>10</v>
      </c>
      <c r="DJ25" s="58">
        <v>10</v>
      </c>
      <c r="DK25" s="58">
        <v>0</v>
      </c>
      <c r="DL25" s="57">
        <v>10</v>
      </c>
      <c r="DM25" s="57">
        <v>10</v>
      </c>
      <c r="DN25" s="57">
        <v>10</v>
      </c>
      <c r="DO25" s="57">
        <v>10</v>
      </c>
      <c r="DP25" s="57">
        <v>10</v>
      </c>
      <c r="DQ25" s="58">
        <v>10</v>
      </c>
      <c r="DR25" s="58">
        <v>10</v>
      </c>
      <c r="DS25" s="57">
        <v>10</v>
      </c>
      <c r="DT25" s="57">
        <v>8</v>
      </c>
      <c r="DU25" s="57">
        <v>8</v>
      </c>
      <c r="DV25" s="57">
        <v>8</v>
      </c>
      <c r="DW25" s="57">
        <v>8</v>
      </c>
      <c r="DX25" s="58">
        <v>0</v>
      </c>
      <c r="DY25" s="58">
        <v>0</v>
      </c>
      <c r="DZ25" s="57">
        <v>8</v>
      </c>
      <c r="EA25" s="57">
        <v>8</v>
      </c>
      <c r="EB25" s="57">
        <v>8</v>
      </c>
      <c r="EC25" s="57">
        <v>8</v>
      </c>
      <c r="ED25" s="57">
        <v>8</v>
      </c>
      <c r="EE25" s="58">
        <v>0</v>
      </c>
      <c r="EF25" s="58">
        <v>0</v>
      </c>
      <c r="EG25" s="57">
        <v>8</v>
      </c>
      <c r="EH25" s="57">
        <v>8</v>
      </c>
      <c r="EI25" s="57">
        <v>8</v>
      </c>
      <c r="EJ25" s="57">
        <v>8</v>
      </c>
      <c r="EK25" s="59">
        <v>8</v>
      </c>
      <c r="OU25" s="60" t="s">
        <v>109</v>
      </c>
    </row>
    <row r="26" ht="16" customHeight="1" spans="1:411" x14ac:dyDescent="0.25">
      <c r="A26" s="45"/>
      <c r="B26" s="46"/>
      <c r="C26" s="61">
        <f>F23*N(D26)</f>
        <v>496079.36</v>
      </c>
      <c r="D26" s="61">
        <f>IF(TRIM(B23)="","No rate",IFERROR(INDEX('Rate Tables'!C$7:C$158,MATCH(B23,'Rate Tables'!A$7:A$158,0)),"No rate"))</f>
        <v>105.28</v>
      </c>
      <c r="E26" s="55" t="s">
        <v>62</v>
      </c>
      <c r="F26" s="49"/>
      <c r="G26" s="49"/>
      <c r="H26" s="49"/>
      <c r="I26" s="49"/>
      <c r="J26" s="50"/>
      <c r="K26" s="62">
        <f>IF(AND(K24=0,K25=0),0,MIN(IF(K24&lt;=0,0,IF(WEEKDAY(K$6,1)=1,0,IF(WEEKDAY(K$6,1)=7,0,MIN(8,K25)*K24))),MAX(0,40*MAX(1,K24)-(0))))</f>
        <v>0</v>
      </c>
      <c r="L26" s="63">
        <f>IF(AND(L24=0,L25=0),0,MIN(IF(L24&lt;=0,0,IF(WEEKDAY(L$6,1)=1,0,IF(WEEKDAY(L$6,1)=7,0,MIN(8,L25)*L24))),MAX(0,40*MAX(1,L24)-(K26))))</f>
        <v>0</v>
      </c>
      <c r="M26" s="63">
        <f>IF(AND(M24=0,M25=0),0,MIN(IF(M24&lt;=0,0,IF(WEEKDAY(M$6,1)=1,0,IF(WEEKDAY(M$6,1)=7,0,MIN(8,M25)*M24))),MAX(0,40*MAX(1,M24)-(K26+L26))))</f>
        <v>0</v>
      </c>
      <c r="N26" s="63">
        <f>IF(AND(N24=3,N25=9),24,MIN(IF(N24&lt;=0,0,IF(WEEKDAY(N$6,1)=1,0,IF(WEEKDAY(N$6,1)=7,0,MIN(8,N25)*N24))),MAX(0,40*MAX(1,N24)-(0))))</f>
        <v>24</v>
      </c>
      <c r="O26" s="63">
        <f>IF(AND(O24=3,O25=9),24,MIN(IF(O24&lt;=0,0,IF(WEEKDAY(O$6,1)=1,0,IF(WEEKDAY(O$6,1)=7,0,MIN(8,O25)*O24))),MAX(0,40*MAX(1,O24)-(N26))))</f>
        <v>24</v>
      </c>
      <c r="P26" s="64">
        <f>IF(AND(P24=0,P25=0),0,MIN(IF(P24&lt;=0,0,IF(WEEKDAY(P$6,1)=1,0,IF(WEEKDAY(P$6,1)=7,0,MIN(8,P25)*P24))),MAX(0,40*MAX(1,P24)-(K26+L26+M26))))</f>
        <v>0</v>
      </c>
      <c r="Q26" s="64">
        <f>IF(AND(Q24=0,Q25=0),0,MIN(IF(Q24&lt;=0,0,IF(WEEKDAY(Q$6,1)=1,0,IF(WEEKDAY(Q$6,1)=7,0,MIN(8,Q25)*Q24))),MAX(0,40*MAX(1,Q24)-(K26+L26+M26+P26))))</f>
        <v>0</v>
      </c>
      <c r="R26" s="63">
        <f>IF(AND(R24=3,R25=9),24,MIN(IF(R24&lt;=0,0,IF(WEEKDAY(R$6,1)=1,0,IF(WEEKDAY(R$6,1)=7,0,MIN(8,R25)*R24))),MAX(0,40*MAX(1,R24)-(0))))</f>
        <v>24</v>
      </c>
      <c r="S26" s="63">
        <f>IF(AND(S24=3,S25=9),24,MIN(IF(S24&lt;=0,0,IF(WEEKDAY(S$6,1)=1,0,IF(WEEKDAY(S$6,1)=7,0,MIN(8,S25)*S24))),MAX(0,40*MAX(1,S24)-(R26))))</f>
        <v>24</v>
      </c>
      <c r="T26" s="63">
        <f>IF(AND(T24=3,T25=9),24,MIN(IF(T24&lt;=0,0,IF(WEEKDAY(T$6,1)=1,0,IF(WEEKDAY(T$6,1)=7,0,MIN(8,T25)*T24))),MAX(0,40*MAX(1,T24)-(R26+S26))))</f>
        <v>24</v>
      </c>
      <c r="U26" s="63">
        <f>IF(AND(U24=3,U25=9),24,MIN(IF(U24&lt;=0,0,IF(WEEKDAY(U$6,1)=1,0,IF(WEEKDAY(U$6,1)=7,0,MIN(8,U25)*U24))),MAX(0,40*MAX(1,U24)-(R26+S26+T26))))</f>
        <v>24</v>
      </c>
      <c r="V26" s="63">
        <f>IF(AND(V24=3,V25=9),24,MIN(IF(V24&lt;=0,0,IF(WEEKDAY(V$6,1)=1,0,IF(WEEKDAY(V$6,1)=7,0,MIN(8,V25)*V24))),MAX(0,40*MAX(1,V24)-(R26+S26+T26+U26))))</f>
        <v>24</v>
      </c>
      <c r="W26" s="64">
        <f>IF(AND(W24=0,W25=0),0,MIN(IF(W24&lt;=0,0,IF(WEEKDAY(W$6,1)=1,0,IF(WEEKDAY(W$6,1)=7,0,MIN(8,W25)*W24))),MAX(0,40*MAX(1,W24)-(0))))</f>
        <v>0</v>
      </c>
      <c r="X26" s="64">
        <f>IF(AND(X24=0,X25=0),0,MIN(IF(X24&lt;=0,0,IF(WEEKDAY(X$6,1)=1,0,IF(WEEKDAY(X$6,1)=7,0,MIN(8,X25)*X24))),MAX(0,40*MAX(1,X24)-(W26))))</f>
        <v>0</v>
      </c>
      <c r="Y26" s="63">
        <f>IF(AND(Y24=6,Y25=9),48,MIN(IF(Y24&lt;=0,0,IF(WEEKDAY(Y$6,1)=1,0,IF(WEEKDAY(Y$6,1)=7,0,MIN(8,Y25)*Y24))),MAX(0,40*MAX(1,Y24)-(0))))</f>
        <v>48</v>
      </c>
      <c r="Z26" s="63">
        <f>IF(AND(Z24=6,Z25=9),48,MIN(IF(Z24&lt;=0,0,IF(WEEKDAY(Z$6,1)=1,0,IF(WEEKDAY(Z$6,1)=7,0,MIN(8,Z25)*Z24))),MAX(0,40*MAX(1,Z24)-(Y26))))</f>
        <v>48</v>
      </c>
      <c r="AA26" s="63">
        <f>IF(AND(AA24=6,AA25=9),48,MIN(IF(AA24&lt;=0,0,IF(WEEKDAY(AA$6,1)=1,0,IF(WEEKDAY(AA$6,1)=7,0,MIN(8,AA25)*AA24))),MAX(0,40*MAX(1,AA24)-(Y26+Z26))))</f>
        <v>48</v>
      </c>
      <c r="AB26" s="63">
        <f>IF(AND(AB24=6,AB25=9),48,MIN(IF(AB24&lt;=0,0,IF(WEEKDAY(AB$6,1)=1,0,IF(WEEKDAY(AB$6,1)=7,0,MIN(8,AB25)*AB24))),MAX(0,40*MAX(1,AB24)-(Y26+Z26+AA26))))</f>
        <v>48</v>
      </c>
      <c r="AC26" s="63">
        <f>IF(AND(AC24=3,AC25=9),24,MIN(IF(AC24&lt;=0,0,IF(WEEKDAY(AC$6,1)=1,0,IF(WEEKDAY(AC$6,1)=7,0,MIN(8,AC25)*AC24))),MAX(0,40*MAX(1,AC24)-(Y26+Z26+AA26+AB26))))</f>
        <v>24</v>
      </c>
      <c r="AD26" s="64">
        <f>IF(AND(AD24=0,AD25=0),0,MIN(IF(AD24&lt;=0,0,IF(WEEKDAY(AD$6,1)=1,0,IF(WEEKDAY(AD$6,1)=7,0,MIN(8,AD25)*AD24))),MAX(0,40*MAX(1,AD24)-(0))))</f>
        <v>0</v>
      </c>
      <c r="AE26" s="64">
        <f>IF(AND(AE24=0,AE25=0),0,MIN(IF(AE24&lt;=0,0,IF(WEEKDAY(AE$6,1)=1,0,IF(WEEKDAY(AE$6,1)=7,0,MIN(8,AE25)*AE24))),MAX(0,40*MAX(1,AE24)-(AD26))))</f>
        <v>0</v>
      </c>
      <c r="AF26" s="63">
        <f>IF(AND(AF24=3,AF25=9),24,MIN(IF(AF24&lt;=0,0,IF(WEEKDAY(AF$6,1)=1,0,IF(WEEKDAY(AF$6,1)=7,0,MIN(8,AF25)*AF24))),MAX(0,40*MAX(1,AF24)-(0))))</f>
        <v>24</v>
      </c>
      <c r="AG26" s="63">
        <f>IF(AND(AG24=3,AG25=9),24,MIN(IF(AG24&lt;=0,0,IF(WEEKDAY(AG$6,1)=1,0,IF(WEEKDAY(AG$6,1)=7,0,MIN(8,AG25)*AG24))),MAX(0,40*MAX(1,AG24)-(AF26))))</f>
        <v>24</v>
      </c>
      <c r="AH26" s="63">
        <f>IF(AND(AH24=3,AH25=9),24,MIN(IF(AH24&lt;=0,0,IF(WEEKDAY(AH$6,1)=1,0,IF(WEEKDAY(AH$6,1)=7,0,MIN(8,AH25)*AH24))),MAX(0,40*MAX(1,AH24)-(AF26+AG26))))</f>
        <v>24</v>
      </c>
      <c r="AI26" s="63">
        <f>IF(AND(AI24=3,AI25=9),24,MIN(IF(AI24&lt;=0,0,IF(WEEKDAY(AI$6,1)=1,0,IF(WEEKDAY(AI$6,1)=7,0,MIN(8,AI25)*AI24))),MAX(0,40*MAX(1,AI24)-(AF26+AG26+AH26))))</f>
        <v>24</v>
      </c>
      <c r="AJ26" s="63">
        <f>IF(AND(AJ24=3,AJ25=9),24,MIN(IF(AJ24&lt;=0,0,IF(WEEKDAY(AJ$6,1)=1,0,IF(WEEKDAY(AJ$6,1)=7,0,MIN(8,AJ25)*AJ24))),MAX(0,40*MAX(1,AJ24)-(AF26+AG26+AH26+AI26))))</f>
        <v>24</v>
      </c>
      <c r="AK26" s="64">
        <f>IF(AND(AK24=0,AK25=0),0,MIN(IF(AK24&lt;=0,0,IF(WEEKDAY(AK$6,1)=1,0,IF(WEEKDAY(AK$6,1)=7,0,MIN(8,AK25)*AK24))),MAX(0,40*MAX(1,AK24)-(0))))</f>
        <v>0</v>
      </c>
      <c r="AL26" s="64">
        <f>IF(AND(AL24=0,AL25=0),0,MIN(IF(AL24&lt;=0,0,IF(WEEKDAY(AL$6,1)=1,0,IF(WEEKDAY(AL$6,1)=7,0,MIN(8,AL25)*AL24))),MAX(0,40*MAX(1,AL24)-(AK26))))</f>
        <v>0</v>
      </c>
      <c r="AM26" s="63">
        <f>IF(AND(AM24=14.38,AM25=8),112,MIN(IF(AM24&lt;=0,0,IF(WEEKDAY(AM$6,1)=1,0,IF(WEEKDAY(AM$6,1)=7,0,MIN(8,AM25)*AM24))),MAX(0,40*MAX(1,AM24)-(0))))</f>
        <v>112</v>
      </c>
      <c r="AN26" s="63">
        <f>IF(AND(AN24=14.38,AN25=8),112,MIN(IF(AN24&lt;=0,0,IF(WEEKDAY(AN$6,1)=1,0,IF(WEEKDAY(AN$6,1)=7,0,MIN(8,AN25)*AN24))),MAX(0,40*MAX(1,AN24)-(AM26))))</f>
        <v>112</v>
      </c>
      <c r="AO26" s="63">
        <f>IF(AND(AO24=14.38,AO25=8),112,MIN(IF(AO24&lt;=0,0,IF(WEEKDAY(AO$6,1)=1,0,IF(WEEKDAY(AO$6,1)=7,0,MIN(8,AO25)*AO24))),MAX(0,40*MAX(1,AO24)-(AM26+AN26))))</f>
        <v>112</v>
      </c>
      <c r="AP26" s="63">
        <f>IF(AND(AP24=14.38,AP25=8),112,MIN(IF(AP24&lt;=0,0,IF(WEEKDAY(AP$6,1)=1,0,IF(WEEKDAY(AP$6,1)=7,0,MIN(8,AP25)*AP24))),MAX(0,40*MAX(1,AP24)-(AM26+AN26+AO26))))</f>
        <v>112</v>
      </c>
      <c r="AQ26" s="63">
        <f>IF(AND(AQ24=14.38,AQ25=8),112,MIN(IF(AQ24&lt;=0,0,IF(WEEKDAY(AQ$6,1)=1,0,IF(WEEKDAY(AQ$6,1)=7,0,MIN(8,AQ25)*AQ24))),MAX(0,40*MAX(1,AQ24)-(AM26+AN26+AO26+AP26))))</f>
        <v>112</v>
      </c>
      <c r="AR26" s="64">
        <f>IF(AND(AR24=0,AR25=0),0,MIN(IF(AR24&lt;=0,0,IF(WEEKDAY(AR$6,1)=1,0,IF(WEEKDAY(AR$6,1)=7,0,MIN(8,AR25)*AR24))),MAX(0,40*MAX(1,AR24)-(0))))</f>
        <v>0</v>
      </c>
      <c r="AS26" s="64">
        <f>IF(AND(AS24=0,AS25=0),0,MIN(IF(AS24&lt;=0,0,IF(WEEKDAY(AS$6,1)=1,0,IF(WEEKDAY(AS$6,1)=7,0,MIN(8,AS25)*AS24))),MAX(0,40*MAX(1,AS24)-(AR26))))</f>
        <v>0</v>
      </c>
      <c r="AT26" s="63">
        <f>IF(AND(AT24=14.38,AT25=8),112,MIN(IF(AT24&lt;=0,0,IF(WEEKDAY(AT$6,1)=1,0,IF(WEEKDAY(AT$6,1)=7,0,MIN(8,AT25)*AT24))),MAX(0,40*MAX(1,AT24)-(0))))</f>
        <v>112</v>
      </c>
      <c r="AU26" s="63">
        <f>IF(AND(AU24=14.38,AU25=8),112,MIN(IF(AU24&lt;=0,0,IF(WEEKDAY(AU$6,1)=1,0,IF(WEEKDAY(AU$6,1)=7,0,MIN(8,AU25)*AU24))),MAX(0,40*MAX(1,AU24)-(AT26))))</f>
        <v>112</v>
      </c>
      <c r="AV26" s="63">
        <f>IF(AND(AV24=14.38,AV25=8),112,MIN(IF(AV24&lt;=0,0,IF(WEEKDAY(AV$6,1)=1,0,IF(WEEKDAY(AV$6,1)=7,0,MIN(8,AV25)*AV24))),MAX(0,40*MAX(1,AV24)-(AT26+AU26))))</f>
        <v>112</v>
      </c>
      <c r="AW26" s="63">
        <f>IF(AND(AW24=14.38,AW25=8),112,MIN(IF(AW24&lt;=0,0,IF(WEEKDAY(AW$6,1)=1,0,IF(WEEKDAY(AW$6,1)=7,0,MIN(8,AW25)*AW24))),MAX(0,40*MAX(1,AW24)-(AT26+AU26+AV26))))</f>
        <v>112</v>
      </c>
      <c r="AX26" s="63">
        <f>IF(AND(AX24=14.38,AX25=8),112,MIN(IF(AX24&lt;=0,0,IF(WEEKDAY(AX$6,1)=1,0,IF(WEEKDAY(AX$6,1)=7,0,MIN(8,AX25)*AX24))),MAX(0,40*MAX(1,AX24)-(AT26+AU26+AV26+AW26))))</f>
        <v>112</v>
      </c>
      <c r="AY26" s="64">
        <f>IF(AND(AY24=0,AY25=0),0,MIN(IF(AY24&lt;=0,0,IF(WEEKDAY(AY$6,1)=1,0,IF(WEEKDAY(AY$6,1)=7,0,MIN(8,AY25)*AY24))),MAX(0,40*MAX(1,AY24)-(0))))</f>
        <v>0</v>
      </c>
      <c r="AZ26" s="64">
        <f>IF(AND(AZ24=0,AZ25=0),0,MIN(IF(AZ24&lt;=0,0,IF(WEEKDAY(AZ$6,1)=1,0,IF(WEEKDAY(AZ$6,1)=7,0,MIN(8,AZ25)*AZ24))),MAX(0,40*MAX(1,AZ24)-(AY26))))</f>
        <v>0</v>
      </c>
      <c r="BA26" s="63">
        <f>IF(AND(BA24=14.38,BA25=8),112,MIN(IF(BA24&lt;=0,0,IF(WEEKDAY(BA$6,1)=1,0,IF(WEEKDAY(BA$6,1)=7,0,MIN(8,BA25)*BA24))),MAX(0,40*MAX(1,BA24)-(0))))</f>
        <v>112</v>
      </c>
      <c r="BB26" s="63">
        <f>IF(AND(BB24=14.38,BB25=8),112,MIN(IF(BB24&lt;=0,0,IF(WEEKDAY(BB$6,1)=1,0,IF(WEEKDAY(BB$6,1)=7,0,MIN(8,BB25)*BB24))),MAX(0,40*MAX(1,BB24)-(BA26))))</f>
        <v>112</v>
      </c>
      <c r="BC26" s="63">
        <f>IF(AND(BC24=14.38,BC25=8),112,MIN(IF(BC24&lt;=0,0,IF(WEEKDAY(BC$6,1)=1,0,IF(WEEKDAY(BC$6,1)=7,0,MIN(8,BC25)*BC24))),MAX(0,40*MAX(1,BC24)-(BA26+BB26))))</f>
        <v>112</v>
      </c>
      <c r="BD26" s="63">
        <f>IF(AND(BD24=14.38,BD25=8),112,MIN(IF(BD24&lt;=0,0,IF(WEEKDAY(BD$6,1)=1,0,IF(WEEKDAY(BD$6,1)=7,0,MIN(8,BD25)*BD24))),MAX(0,40*MAX(1,BD24)-(BA26+BB26+BC26))))</f>
        <v>112</v>
      </c>
      <c r="BE26" s="63">
        <f>IF(AND(BE24=14.38,BE25=8),112,MIN(IF(BE24&lt;=0,0,IF(WEEKDAY(BE$6,1)=1,0,IF(WEEKDAY(BE$6,1)=7,0,MIN(8,BE25)*BE24))),MAX(0,40*MAX(1,BE24)-(BA26+BB26+BC26+BD26))))</f>
        <v>112</v>
      </c>
      <c r="BF26" s="64">
        <f>IF(AND(BF24=0,BF25=0),0,MIN(IF(BF24&lt;=0,0,IF(WEEKDAY(BF$6,1)=1,0,IF(WEEKDAY(BF$6,1)=7,0,MIN(8,BF25)*BF24))),MAX(0,40*MAX(1,BF24)-(0))))</f>
        <v>0</v>
      </c>
      <c r="BG26" s="64">
        <f>IF(AND(BG24=0,BG25=0),0,MIN(IF(BG24&lt;=0,0,IF(WEEKDAY(BG$6,1)=1,0,IF(WEEKDAY(BG$6,1)=7,0,MIN(8,BG25)*BG24))),MAX(0,40*MAX(1,BG24)-(BF26))))</f>
        <v>0</v>
      </c>
      <c r="BH26" s="63">
        <f>IF(AND(BH24=8,BH25=13),64,MIN(IF(BH24&lt;=0,0,IF(WEEKDAY(BH$6,1)=1,0,IF(WEEKDAY(BH$6,1)=7,0,MIN(8,BH25)*BH24))),MAX(0,40*MAX(1,BH24)-(0))))</f>
        <v>64</v>
      </c>
      <c r="BI26" s="63">
        <f>IF(AND(BI24=8,BI25=13),64,MIN(IF(BI24&lt;=0,0,IF(WEEKDAY(BI$6,1)=1,0,IF(WEEKDAY(BI$6,1)=7,0,MIN(8,BI25)*BI24))),MAX(0,40*MAX(1,BI24)-(BH26))))</f>
        <v>64</v>
      </c>
      <c r="BJ26" s="63">
        <f>IF(AND(BJ24=8,BJ25=13),64,MIN(IF(BJ24&lt;=0,0,IF(WEEKDAY(BJ$6,1)=1,0,IF(WEEKDAY(BJ$6,1)=7,0,MIN(8,BJ25)*BJ24))),MAX(0,40*MAX(1,BJ24)-(BH26+BI26))))</f>
        <v>64</v>
      </c>
      <c r="BK26" s="63">
        <f>IF(AND(BK24=8,BK25=13),64,MIN(IF(BK24&lt;=0,0,IF(WEEKDAY(BK$6,1)=1,0,IF(WEEKDAY(BK$6,1)=7,0,MIN(8,BK25)*BK24))),MAX(0,40*MAX(1,BK24)-(BH26+BI26+BJ26))))</f>
        <v>64</v>
      </c>
      <c r="BL26" s="63">
        <f>IF(AND(BL24=8,BL25=13),64,MIN(IF(BL24&lt;=0,0,IF(WEEKDAY(BL$6,1)=1,0,IF(WEEKDAY(BL$6,1)=7,0,MIN(8,BL25)*BL24))),MAX(0,40*MAX(1,BL24)-(BH26+BI26+BJ26+BK26))))</f>
        <v>64</v>
      </c>
      <c r="BM26" s="64">
        <f>IF(AND(BM24=8,BM25=13),0,MIN(IF(BM24&lt;=0,0,IF(WEEKDAY(BM$6,1)=1,0,IF(WEEKDAY(BM$6,1)=7,0,MIN(8,BM25)*BM24))),MAX(0,40*MAX(1,BM24)-(BH26+BI26+BJ26+BK26+BL26))))</f>
        <v>0</v>
      </c>
      <c r="BN26" s="64">
        <f>IF(AND(BN24=8,BN25=13),0,MIN(IF(BN24&lt;=0,0,IF(WEEKDAY(BN$6,1)=1,0,IF(WEEKDAY(BN$6,1)=7,0,MIN(8,BN25)*BN24))),MAX(0,40*MAX(1,BN24)-(BH26+BI26+BJ26+BK26+BL26+BM26))))</f>
        <v>0</v>
      </c>
      <c r="BO26" s="63">
        <f>IF(AND(BO24=8,BO25=13),64,MIN(IF(BO24&lt;=0,0,IF(WEEKDAY(BO$6,1)=1,0,IF(WEEKDAY(BO$6,1)=7,0,MIN(8,BO25)*BO24))),MAX(0,40*MAX(1,BO24)-(0))))</f>
        <v>64</v>
      </c>
      <c r="BP26" s="63">
        <f>IF(AND(BP24=8,BP25=13),64,MIN(IF(BP24&lt;=0,0,IF(WEEKDAY(BP$6,1)=1,0,IF(WEEKDAY(BP$6,1)=7,0,MIN(8,BP25)*BP24))),MAX(0,40*MAX(1,BP24)-(BO26))))</f>
        <v>64</v>
      </c>
      <c r="BQ26" s="63">
        <f>IF(AND(BQ24=8,BQ25=13),64,MIN(IF(BQ24&lt;=0,0,IF(WEEKDAY(BQ$6,1)=1,0,IF(WEEKDAY(BQ$6,1)=7,0,MIN(8,BQ25)*BQ24))),MAX(0,40*MAX(1,BQ24)-(BO26+BP26))))</f>
        <v>64</v>
      </c>
      <c r="BR26" s="63">
        <f>IF(AND(BR24=8,BR25=13),64,MIN(IF(BR24&lt;=0,0,IF(WEEKDAY(BR$6,1)=1,0,IF(WEEKDAY(BR$6,1)=7,0,MIN(8,BR25)*BR24))),MAX(0,40*MAX(1,BR24)-(0))))</f>
        <v>64</v>
      </c>
      <c r="BS26" s="63">
        <f>IF(AND(BS24=8,BS25=13),64,MIN(IF(BS24&lt;=0,0,IF(WEEKDAY(BS$6,1)=1,0,IF(WEEKDAY(BS$6,1)=7,0,MIN(8,BS25)*BS24))),MAX(0,40*MAX(1,BS24)-(BR26))))</f>
        <v>64</v>
      </c>
      <c r="BT26" s="64">
        <f>IF(AND(BT24=8,BT25=13),0,MIN(IF(BT24&lt;=0,0,IF(WEEKDAY(BT$6,1)=1,0,IF(WEEKDAY(BT$6,1)=7,0,MIN(8,BT25)*BT24))),MAX(0,40*MAX(1,BT24)-(BR26+BS26))))</f>
        <v>0</v>
      </c>
      <c r="BU26" s="64">
        <f>IF(AND(BU24=8,BU25=13),0,MIN(IF(BU24&lt;=0,0,IF(WEEKDAY(BU$6,1)=1,0,IF(WEEKDAY(BU$6,1)=7,0,MIN(8,BU25)*BU24))),MAX(0,40*MAX(1,BU24)-(BR26+BS26+BT26))))</f>
        <v>0</v>
      </c>
      <c r="BV26" s="63">
        <f>IF(AND(BV24=8,BV25=13),64,MIN(IF(BV24&lt;=0,0,IF(WEEKDAY(BV$6,1)=1,0,IF(WEEKDAY(BV$6,1)=7,0,MIN(8,BV25)*BV24))),MAX(0,40*MAX(1,BV24)-(0))))</f>
        <v>64</v>
      </c>
      <c r="BW26" s="63">
        <f>IF(AND(BW24=8,BW25=13),64,MIN(IF(BW24&lt;=0,0,IF(WEEKDAY(BW$6,1)=1,0,IF(WEEKDAY(BW$6,1)=7,0,MIN(8,BW25)*BW24))),MAX(0,40*MAX(1,BW24)-(BV26))))</f>
        <v>64</v>
      </c>
      <c r="BX26" s="63">
        <f>IF(AND(BX24=8,BX25=13),64,MIN(IF(BX24&lt;=0,0,IF(WEEKDAY(BX$6,1)=1,0,IF(WEEKDAY(BX$6,1)=7,0,MIN(8,BX25)*BX24))),MAX(0,40*MAX(1,BX24)-(BV26+BW26))))</f>
        <v>64</v>
      </c>
      <c r="BY26" s="63">
        <f>IF(AND(BY24=8,BY25=13),64,MIN(IF(BY24&lt;=0,0,IF(WEEKDAY(BY$6,1)=1,0,IF(WEEKDAY(BY$6,1)=7,0,MIN(8,BY25)*BY24))),MAX(0,40*MAX(1,BY24)-(BV26+BW26+BX26))))</f>
        <v>64</v>
      </c>
      <c r="BZ26" s="63">
        <f>IF(AND(BZ24=8,BZ25=13),64,MIN(IF(BZ24&lt;=0,0,IF(WEEKDAY(BZ$6,1)=1,0,IF(WEEKDAY(BZ$6,1)=7,0,MIN(8,BZ25)*BZ24))),MAX(0,40*MAX(1,BZ24)-(BV26+BW26+BX26+BY26))))</f>
        <v>64</v>
      </c>
      <c r="CA26" s="64">
        <f>IF(AND(CA24=8,CA25=13),0,MIN(IF(CA24&lt;=0,0,IF(WEEKDAY(CA$6,1)=1,0,IF(WEEKDAY(CA$6,1)=7,0,MIN(8,CA25)*CA24))),MAX(0,40*MAX(1,CA24)-(BV26+BW26+BX26+BY26+BZ26))))</f>
        <v>0</v>
      </c>
      <c r="CB26" s="64">
        <f>IF(AND(CB24=0,CB25=0),0,MIN(IF(CB24&lt;=0,0,IF(WEEKDAY(CB$6,1)=1,0,IF(WEEKDAY(CB$6,1)=7,0,MIN(8,CB25)*CB24))),MAX(0,40*MAX(1,CB24)-(0))))</f>
        <v>0</v>
      </c>
      <c r="CC26" s="63">
        <f>IF(AND(CC24=8,CC25=13),64,MIN(IF(CC24&lt;=0,0,IF(WEEKDAY(CC$6,1)=1,0,IF(WEEKDAY(CC$6,1)=7,0,MIN(8,CC25)*CC24))),MAX(0,40*MAX(1,CC24)-(0))))</f>
        <v>64</v>
      </c>
      <c r="CD26" s="63">
        <f>IF(AND(CD24=8,CD25=13),64,MIN(IF(CD24&lt;=0,0,IF(WEEKDAY(CD$6,1)=1,0,IF(WEEKDAY(CD$6,1)=7,0,MIN(8,CD25)*CD24))),MAX(0,40*MAX(1,CD24)-(CC26))))</f>
        <v>64</v>
      </c>
      <c r="CE26" s="63">
        <f>IF(AND(CE24=8,CE25=13),64,MIN(IF(CE24&lt;=0,0,IF(WEEKDAY(CE$6,1)=1,0,IF(WEEKDAY(CE$6,1)=7,0,MIN(8,CE25)*CE24))),MAX(0,40*MAX(1,CE24)-(CC26+CD26))))</f>
        <v>64</v>
      </c>
      <c r="CF26" s="63">
        <f>IF(AND(CF24=8,CF25=13),64,MIN(IF(CF24&lt;=0,0,IF(WEEKDAY(CF$6,1)=1,0,IF(WEEKDAY(CF$6,1)=7,0,MIN(8,CF25)*CF24))),MAX(0,40*MAX(1,CF24)-(CC26+CD26+CE26))))</f>
        <v>64</v>
      </c>
      <c r="CG26" s="63">
        <f>IF(AND(CG24=8,CG25=13),64,MIN(IF(CG24&lt;=0,0,IF(WEEKDAY(CG$6,1)=1,0,IF(WEEKDAY(CG$6,1)=7,0,MIN(8,CG25)*CG24))),MAX(0,40*MAX(1,CG24)-(CC26+CD26+CE26+CF26))))</f>
        <v>64</v>
      </c>
      <c r="CH26" s="64">
        <f>IF(AND(CH24=8,CH25=13),0,MIN(IF(CH24&lt;=0,0,IF(WEEKDAY(CH$6,1)=1,0,IF(WEEKDAY(CH$6,1)=7,0,MIN(8,CH25)*CH24))),MAX(0,40*MAX(1,CH24)-(CC26+CD26+CE26+CF26+CG26))))</f>
        <v>0</v>
      </c>
      <c r="CI26" s="64">
        <f>IF(AND(CI24=8,CI25=13),0,MIN(IF(CI24&lt;=0,0,IF(WEEKDAY(CI$6,1)=1,0,IF(WEEKDAY(CI$6,1)=7,0,MIN(8,CI25)*CI24))),MAX(0,40*MAX(1,CI24)-(CC26+CD26+CE26+CF26+CG26+CH26))))</f>
        <v>0</v>
      </c>
      <c r="CJ26" s="63">
        <f>IF(AND(CJ24=8,CJ25=13),64,MIN(IF(CJ24&lt;=0,0,IF(WEEKDAY(CJ$6,1)=1,0,IF(WEEKDAY(CJ$6,1)=7,0,MIN(8,CJ25)*CJ24))),MAX(0,40*MAX(1,CJ24)-(0))))</f>
        <v>64</v>
      </c>
      <c r="CK26" s="63">
        <f>IF(AND(CK24=8,CK25=13),64,MIN(IF(CK24&lt;=0,0,IF(WEEKDAY(CK$6,1)=1,0,IF(WEEKDAY(CK$6,1)=7,0,MIN(8,CK25)*CK24))),MAX(0,40*MAX(1,CK24)-(CJ26))))</f>
        <v>64</v>
      </c>
      <c r="CL26" s="63">
        <f>IF(AND(CL24=8,CL25=13),64,MIN(IF(CL24&lt;=0,0,IF(WEEKDAY(CL$6,1)=1,0,IF(WEEKDAY(CL$6,1)=7,0,MIN(8,CL25)*CL24))),MAX(0,40*MAX(1,CL24)-(CJ26+CK26))))</f>
        <v>64</v>
      </c>
      <c r="CM26" s="63">
        <f>IF(AND(CM24=8,CM25=13),64,MIN(IF(CM24&lt;=0,0,IF(WEEKDAY(CM$6,1)=1,0,IF(WEEKDAY(CM$6,1)=7,0,MIN(8,CM25)*CM24))),MAX(0,40*MAX(1,CM24)-(CJ26+CK26+CL26))))</f>
        <v>64</v>
      </c>
      <c r="CN26" s="63">
        <f>IF(AND(CN24=8,CN25=13),64,MIN(IF(CN24&lt;=0,0,IF(WEEKDAY(CN$6,1)=1,0,IF(WEEKDAY(CN$6,1)=7,0,MIN(8,CN25)*CN24))),MAX(0,40*MAX(1,CN24)-(CJ26+CK26+CL26+CM26))))</f>
        <v>64</v>
      </c>
      <c r="CO26" s="64">
        <f>IF(AND(CO24=8,CO25=13),0,MIN(IF(CO24&lt;=0,0,IF(WEEKDAY(CO$6,1)=1,0,IF(WEEKDAY(CO$6,1)=7,0,MIN(8,CO25)*CO24))),MAX(0,40*MAX(1,CO24)-(CJ26+CK26+CL26+CM26+CN26))))</f>
        <v>0</v>
      </c>
      <c r="CP26" s="64">
        <f>IF(AND(CP24=0,CP25=0),0,MIN(IF(CP24&lt;=0,0,IF(WEEKDAY(CP$6,1)=1,0,IF(WEEKDAY(CP$6,1)=7,0,MIN(8,CP25)*CP24))),MAX(0,40*MAX(1,CP24)-(0))))</f>
        <v>0</v>
      </c>
      <c r="CQ26" s="63">
        <f>IF(AND(CQ24=8,CQ25=13),64,MIN(IF(CQ24&lt;=0,0,IF(WEEKDAY(CQ$6,1)=1,0,IF(WEEKDAY(CQ$6,1)=7,0,MIN(8,CQ25)*CQ24))),MAX(0,40*MAX(1,CQ24)-(0))))</f>
        <v>64</v>
      </c>
      <c r="CR26" s="63">
        <f>IF(AND(CR24=8,CR25=13),64,MIN(IF(CR24&lt;=0,0,IF(WEEKDAY(CR$6,1)=1,0,IF(WEEKDAY(CR$6,1)=7,0,MIN(8,CR25)*CR24))),MAX(0,40*MAX(1,CR24)-(CQ26))))</f>
        <v>64</v>
      </c>
      <c r="CS26" s="63">
        <f>IF(AND(CS24=8,CS25=13),64,MIN(IF(CS24&lt;=0,0,IF(WEEKDAY(CS$6,1)=1,0,IF(WEEKDAY(CS$6,1)=7,0,MIN(8,CS25)*CS24))),MAX(0,40*MAX(1,CS24)-(CQ26+CR26))))</f>
        <v>64</v>
      </c>
      <c r="CT26" s="63">
        <f>IF(AND(CT24=8,CT25=13),64,MIN(IF(CT24&lt;=0,0,IF(WEEKDAY(CT$6,1)=1,0,IF(WEEKDAY(CT$6,1)=7,0,MIN(8,CT25)*CT24))),MAX(0,40*MAX(1,CT24)-(CQ26+CR26+CS26))))</f>
        <v>64</v>
      </c>
      <c r="CU26" s="63">
        <f>IF(AND(CU24=8,CU25=13),64,MIN(IF(CU24&lt;=0,0,IF(WEEKDAY(CU$6,1)=1,0,IF(WEEKDAY(CU$6,1)=7,0,MIN(8,CU25)*CU24))),MAX(0,40*MAX(1,CU24)-(CQ26+CR26+CS26+CT26))))</f>
        <v>64</v>
      </c>
      <c r="CV26" s="64">
        <f>IF(AND(CV24=8,CV25=13),0,MIN(IF(CV24&lt;=0,0,IF(WEEKDAY(CV$6,1)=1,0,IF(WEEKDAY(CV$6,1)=7,0,MIN(8,CV25)*CV24))),MAX(0,40*MAX(1,CV24)-(CQ26+CR26+CS26+CT26+CU26))))</f>
        <v>0</v>
      </c>
      <c r="CW26" s="64">
        <f>IF(AND(CW24=8,CW25=13),0,MIN(IF(CW24&lt;=0,0,IF(WEEKDAY(CW$6,1)=1,0,IF(WEEKDAY(CW$6,1)=7,0,MIN(8,CW25)*CW24))),MAX(0,40*MAX(1,CW24)-(CQ26+CR26+CS26+CT26+CU26+CV26))))</f>
        <v>0</v>
      </c>
      <c r="CX26" s="63">
        <f>IF(AND(CX24=8,CX25=13),64,MIN(IF(CX24&lt;=0,0,IF(WEEKDAY(CX$6,1)=1,0,IF(WEEKDAY(CX$6,1)=7,0,MIN(8,CX25)*CX24))),MAX(0,40*MAX(1,CX24)-(0))))</f>
        <v>64</v>
      </c>
      <c r="CY26" s="63">
        <f>IF(AND(CY24=8,CY25=13),64,MIN(IF(CY24&lt;=0,0,IF(WEEKDAY(CY$6,1)=1,0,IF(WEEKDAY(CY$6,1)=7,0,MIN(8,CY25)*CY24))),MAX(0,40*MAX(1,CY24)-(CX26))))</f>
        <v>64</v>
      </c>
      <c r="CZ26" s="63">
        <f>IF(AND(CZ24=8,CZ25=13),64,MIN(IF(CZ24&lt;=0,0,IF(WEEKDAY(CZ$6,1)=1,0,IF(WEEKDAY(CZ$6,1)=7,0,MIN(8,CZ25)*CZ24))),MAX(0,40*MAX(1,CZ24)-(CX26+CY26))))</f>
        <v>64</v>
      </c>
      <c r="DA26" s="63">
        <f>IF(AND(DA24=8,DA25=13),64,MIN(IF(DA24&lt;=0,0,IF(WEEKDAY(DA$6,1)=1,0,IF(WEEKDAY(DA$6,1)=7,0,MIN(8,DA25)*DA24))),MAX(0,40*MAX(1,DA24)-(CX26+CY26+CZ26))))</f>
        <v>64</v>
      </c>
      <c r="DB26" s="63">
        <f>IF(AND(DB24=8,DB25=13),64,MIN(IF(DB24&lt;=0,0,IF(WEEKDAY(DB$6,1)=1,0,IF(WEEKDAY(DB$6,1)=7,0,MIN(8,DB25)*DB24))),MAX(0,40*MAX(1,DB24)-(CX26+CY26+CZ26+DA26))))</f>
        <v>64</v>
      </c>
      <c r="DC26" s="64">
        <f>IF(AND(DC24=8,DC25=13),0,MIN(IF(DC24&lt;=0,0,IF(WEEKDAY(DC$6,1)=1,0,IF(WEEKDAY(DC$6,1)=7,0,MIN(8,DC25)*DC24))),MAX(0,40*MAX(1,DC24)-(CX26+CY26+CZ26+DA26+DB26))))</f>
        <v>0</v>
      </c>
      <c r="DD26" s="64">
        <f>IF(AND(DD24=2,DD25=10),0,MIN(IF(DD24&lt;=0,0,IF(WEEKDAY(DD$6,1)=1,0,IF(WEEKDAY(DD$6,1)=7,0,MIN(8,DD25)*DD24))),MAX(0,40*MAX(1,DD24)-(0))))</f>
        <v>0</v>
      </c>
      <c r="DE26" s="63">
        <f>IF(AND(DE24=2,DE25=10),16,MIN(IF(DE24&lt;=0,0,IF(WEEKDAY(DE$6,1)=1,0,IF(WEEKDAY(DE$6,1)=7,0,MIN(8,DE25)*DE24))),MAX(0,40*MAX(1,DE24)-(0))))</f>
        <v>16</v>
      </c>
      <c r="DF26" s="63">
        <f>IF(AND(DF24=2,DF25=10),16,MIN(IF(DF24&lt;=0,0,IF(WEEKDAY(DF$6,1)=1,0,IF(WEEKDAY(DF$6,1)=7,0,MIN(8,DF25)*DF24))),MAX(0,40*MAX(1,DF24)-(DE26))))</f>
        <v>16</v>
      </c>
      <c r="DG26" s="63">
        <f>IF(AND(DG24=2,DG25=10),16,MIN(IF(DG24&lt;=0,0,IF(WEEKDAY(DG$6,1)=1,0,IF(WEEKDAY(DG$6,1)=7,0,MIN(8,DG25)*DG24))),MAX(0,40*MAX(1,DG24)-(DE26+DF26))))</f>
        <v>16</v>
      </c>
      <c r="DH26" s="63">
        <f>IF(AND(DH24=2,DH25=10),16,MIN(IF(DH24&lt;=0,0,IF(WEEKDAY(DH$6,1)=1,0,IF(WEEKDAY(DH$6,1)=7,0,MIN(8,DH25)*DH24))),MAX(0,40*MAX(1,DH24)-(DE26+DF26+DG26))))</f>
        <v>16</v>
      </c>
      <c r="DI26" s="63">
        <f>IF(AND(DI24=2,DI25=10),16,MIN(IF(DI24&lt;=0,0,IF(WEEKDAY(DI$6,1)=1,0,IF(WEEKDAY(DI$6,1)=7,0,MIN(8,DI25)*DI24))),MAX(0,40*MAX(1,DI24)-(DE26+DF26+DG26+DH26))))</f>
        <v>16</v>
      </c>
      <c r="DJ26" s="64">
        <f>IF(AND(DJ24=2,DJ25=10),0,MIN(IF(DJ24&lt;=0,0,IF(WEEKDAY(DJ$6,1)=1,0,IF(WEEKDAY(DJ$6,1)=7,0,MIN(8,DJ25)*DJ24))),MAX(0,40*MAX(1,DJ24)-(DE26+DF26+DG26+DH26+DI26))))</f>
        <v>0</v>
      </c>
      <c r="DK26" s="64">
        <f>IF(AND(DK24=0,DK25=0),0,MIN(IF(DK24&lt;=0,0,IF(WEEKDAY(DK$6,1)=1,0,IF(WEEKDAY(DK$6,1)=7,0,MIN(8,DK25)*DK24))),MAX(0,40*MAX(1,DK24)-(0))))</f>
        <v>0</v>
      </c>
      <c r="DL26" s="63">
        <f>IF(AND(DL24=2,DL25=10),16,MIN(IF(DL24&lt;=0,0,IF(WEEKDAY(DL$6,1)=1,0,IF(WEEKDAY(DL$6,1)=7,0,MIN(8,DL25)*DL24))),MAX(0,40*MAX(1,DL24)-(0))))</f>
        <v>16</v>
      </c>
      <c r="DM26" s="63">
        <f>IF(AND(DM24=2,DM25=10),16,MIN(IF(DM24&lt;=0,0,IF(WEEKDAY(DM$6,1)=1,0,IF(WEEKDAY(DM$6,1)=7,0,MIN(8,DM25)*DM24))),MAX(0,40*MAX(1,DM24)-(DL26))))</f>
        <v>16</v>
      </c>
      <c r="DN26" s="63">
        <f>IF(AND(DN24=2,DN25=10),16,MIN(IF(DN24&lt;=0,0,IF(WEEKDAY(DN$6,1)=1,0,IF(WEEKDAY(DN$6,1)=7,0,MIN(8,DN25)*DN24))),MAX(0,40*MAX(1,DN24)-(DL26+DM26))))</f>
        <v>16</v>
      </c>
      <c r="DO26" s="63">
        <f>IF(AND(DO24=2,DO25=10),16,MIN(IF(DO24&lt;=0,0,IF(WEEKDAY(DO$6,1)=1,0,IF(WEEKDAY(DO$6,1)=7,0,MIN(8,DO25)*DO24))),MAX(0,40*MAX(1,DO24)-(DL26+DM26+DN26))))</f>
        <v>16</v>
      </c>
      <c r="DP26" s="63">
        <f>IF(AND(DP24=2,DP25=10),16,MIN(IF(DP24&lt;=0,0,IF(WEEKDAY(DP$6,1)=1,0,IF(WEEKDAY(DP$6,1)=7,0,MIN(8,DP25)*DP24))),MAX(0,40*MAX(1,DP24)-(DL26+DM26+DN26+DO26))))</f>
        <v>16</v>
      </c>
      <c r="DQ26" s="64">
        <f>IF(AND(DQ24=2,DQ25=10),0,MIN(IF(DQ24&lt;=0,0,IF(WEEKDAY(DQ$6,1)=1,0,IF(WEEKDAY(DQ$6,1)=7,0,MIN(8,DQ25)*DQ24))),MAX(0,40*MAX(1,DQ24)-(DL26+DM26+DN26+DO26+DP26))))</f>
        <v>0</v>
      </c>
      <c r="DR26" s="64">
        <f>IF(AND(DR24=2,DR25=10),0,MIN(IF(DR24&lt;=0,0,IF(WEEKDAY(DR$6,1)=1,0,IF(WEEKDAY(DR$6,1)=7,0,MIN(8,DR25)*DR24))),MAX(0,40*MAX(1,DR24)-(DL26+DM26+DN26+DO26+DP26+DQ26))))</f>
        <v>0</v>
      </c>
      <c r="DS26" s="63">
        <f>IF(AND(DS24=2,DS25=10),16,MIN(IF(DS24&lt;=0,0,IF(WEEKDAY(DS$6,1)=1,0,IF(WEEKDAY(DS$6,1)=7,0,MIN(8,DS25)*DS24))),MAX(0,40*MAX(1,DS24)-(0))))</f>
        <v>16</v>
      </c>
      <c r="DT26" s="63">
        <f>IF(AND(DT24=1,DT25=8),8,MIN(IF(DT24&lt;=0,0,IF(WEEKDAY(DT$6,1)=1,0,IF(WEEKDAY(DT$6,1)=7,0,MIN(8,DT25)*DT24))),MAX(0,40*MAX(1,DT24)-(0))))</f>
        <v>8</v>
      </c>
      <c r="DU26" s="63">
        <f>IF(AND(DU24=1,DU25=8),8,MIN(IF(DU24&lt;=0,0,IF(WEEKDAY(DU$6,1)=1,0,IF(WEEKDAY(DU$6,1)=7,0,MIN(8,DU25)*DU24))),MAX(0,40*MAX(1,DU24)-(DT26))))</f>
        <v>8</v>
      </c>
      <c r="DV26" s="63">
        <f>IF(AND(DV24=1,DV25=8),8,MIN(IF(DV24&lt;=0,0,IF(WEEKDAY(DV$6,1)=1,0,IF(WEEKDAY(DV$6,1)=7,0,MIN(8,DV25)*DV24))),MAX(0,40*MAX(1,DV24)-(DT26+DU26))))</f>
        <v>8</v>
      </c>
      <c r="DW26" s="63">
        <f>IF(AND(DW24=1,DW25=8),8,MIN(IF(DW24&lt;=0,0,IF(WEEKDAY(DW$6,1)=1,0,IF(WEEKDAY(DW$6,1)=7,0,MIN(8,DW25)*DW24))),MAX(0,40*MAX(1,DW24)-(DT26+DU26+DV26))))</f>
        <v>8</v>
      </c>
      <c r="DX26" s="64">
        <f>IF(AND(DX24=0,DX25=0),0,MIN(IF(DX24&lt;=0,0,IF(WEEKDAY(DX$6,1)=1,0,IF(WEEKDAY(DX$6,1)=7,0,MIN(8,DX25)*DX24))),MAX(0,40*MAX(1,DX24)-(0))))</f>
        <v>0</v>
      </c>
      <c r="DY26" s="64">
        <f>IF(AND(DY24=0,DY25=0),0,MIN(IF(DY24&lt;=0,0,IF(WEEKDAY(DY$6,1)=1,0,IF(WEEKDAY(DY$6,1)=7,0,MIN(8,DY25)*DY24))),MAX(0,40*MAX(1,DY24)-(DX26))))</f>
        <v>0</v>
      </c>
      <c r="DZ26" s="63">
        <f>IF(AND(DZ24=1,DZ25=8),8,MIN(IF(DZ24&lt;=0,0,IF(WEEKDAY(DZ$6,1)=1,0,IF(WEEKDAY(DZ$6,1)=7,0,MIN(8,DZ25)*DZ24))),MAX(0,40*MAX(1,DZ24)-(0))))</f>
        <v>8</v>
      </c>
      <c r="EA26" s="63">
        <f>IF(AND(EA24=1,EA25=8),8,MIN(IF(EA24&lt;=0,0,IF(WEEKDAY(EA$6,1)=1,0,IF(WEEKDAY(EA$6,1)=7,0,MIN(8,EA25)*EA24))),MAX(0,40*MAX(1,EA24)-(DZ26))))</f>
        <v>8</v>
      </c>
      <c r="EB26" s="63">
        <f>IF(AND(EB24=1,EB25=8),8,MIN(IF(EB24&lt;=0,0,IF(WEEKDAY(EB$6,1)=1,0,IF(WEEKDAY(EB$6,1)=7,0,MIN(8,EB25)*EB24))),MAX(0,40*MAX(1,EB24)-(DZ26+EA26))))</f>
        <v>8</v>
      </c>
      <c r="EC26" s="63">
        <f>IF(AND(EC24=1,EC25=8),8,MIN(IF(EC24&lt;=0,0,IF(WEEKDAY(EC$6,1)=1,0,IF(WEEKDAY(EC$6,1)=7,0,MIN(8,EC25)*EC24))),MAX(0,40*MAX(1,EC24)-(DZ26+EA26+EB26))))</f>
        <v>8</v>
      </c>
      <c r="ED26" s="63">
        <f>IF(AND(ED24=1,ED25=8),8,MIN(IF(ED24&lt;=0,0,IF(WEEKDAY(ED$6,1)=1,0,IF(WEEKDAY(ED$6,1)=7,0,MIN(8,ED25)*ED24))),MAX(0,40*MAX(1,ED24)-(DZ26+EA26+EB26+EC26))))</f>
        <v>8</v>
      </c>
      <c r="EE26" s="64">
        <f>IF(AND(EE24=0,EE25=0),0,MIN(IF(EE24&lt;=0,0,IF(WEEKDAY(EE$6,1)=1,0,IF(WEEKDAY(EE$6,1)=7,0,MIN(8,EE25)*EE24))),MAX(0,40*MAX(1,EE24)-(0))))</f>
        <v>0</v>
      </c>
      <c r="EF26" s="64">
        <f>IF(AND(EF24=0,EF25=0),0,MIN(IF(EF24&lt;=0,0,IF(WEEKDAY(EF$6,1)=1,0,IF(WEEKDAY(EF$6,1)=7,0,MIN(8,EF25)*EF24))),MAX(0,40*MAX(1,EF24)-(EE26))))</f>
        <v>0</v>
      </c>
      <c r="EG26" s="63">
        <f>IF(AND(EG24=1,EG25=8),8,MIN(IF(EG24&lt;=0,0,IF(WEEKDAY(EG$6,1)=1,0,IF(WEEKDAY(EG$6,1)=7,0,MIN(8,EG25)*EG24))),MAX(0,40*MAX(1,EG24)-(0))))</f>
        <v>8</v>
      </c>
      <c r="EH26" s="63">
        <f>IF(AND(EH24=1,EH25=8),8,MIN(IF(EH24&lt;=0,0,IF(WEEKDAY(EH$6,1)=1,0,IF(WEEKDAY(EH$6,1)=7,0,MIN(8,EH25)*EH24))),MAX(0,40*MAX(1,EH24)-(EG26))))</f>
        <v>8</v>
      </c>
      <c r="EI26" s="63">
        <f>IF(AND(EI24=1,EI25=8),8,MIN(IF(EI24&lt;=0,0,IF(WEEKDAY(EI$6,1)=1,0,IF(WEEKDAY(EI$6,1)=7,0,MIN(8,EI25)*EI24))),MAX(0,40*MAX(1,EI24)-(EG26+EH26))))</f>
        <v>8</v>
      </c>
      <c r="EJ26" s="63">
        <f>IF(AND(EJ24=1,EJ25=8),8,MIN(IF(EJ24&lt;=0,0,IF(WEEKDAY(EJ$6,1)=1,0,IF(WEEKDAY(EJ$6,1)=7,0,MIN(8,EJ25)*EJ24))),MAX(0,40*MAX(1,EJ24)-(EG26+EH26+EI26))))</f>
        <v>8</v>
      </c>
      <c r="EK26" s="65">
        <f>IF(AND(EK24=1,EK25=8),8,MIN(IF(EK24&lt;=0,0,IF(WEEKDAY(EK$6,1)=1,0,IF(WEEKDAY(EK$6,1)=7,0,MIN(8,EK25)*EK24))),MAX(0,40*MAX(1,EK24)-(EG26+EH26+EI26+EJ26))))</f>
        <v>8</v>
      </c>
      <c r="OU26" s="28" t="s">
        <v>109</v>
      </c>
    </row>
    <row r="27" ht="16" customHeight="1" spans="1:411" x14ac:dyDescent="0.25">
      <c r="A27" s="45"/>
      <c r="B27" s="46"/>
      <c r="C27" s="66">
        <f>G23*N(D27)</f>
        <v>342200</v>
      </c>
      <c r="D27" s="66">
        <f>IF(TRIM(B23)="","No rate",IFERROR(INDEX('Rate Tables'!D$7:D$158,MATCH(B23,'Rate Tables'!A$7:A$158,0)),"No rate"))</f>
        <v>147.5</v>
      </c>
      <c r="E27" s="55" t="s">
        <v>63</v>
      </c>
      <c r="F27" s="49"/>
      <c r="G27" s="49"/>
      <c r="H27" s="49"/>
      <c r="I27" s="49"/>
      <c r="J27" s="50"/>
      <c r="K27" s="62">
        <f>IF(AND(K24=0,K25=0),0,IF(K24&lt;=0,0,IF(WEEKDAY(K$6,1)=1,0,IF(WEEKDAY(K$6,1)=7,K24*K25,MAX(0,K25-8)*K24)))+((IF(K24&lt;=0,0,IF(WEEKDAY(K$6,1)=1,0,IF(WEEKDAY(K$6,1)=7,0,MIN(8,K25)*K24))))-MIN(IF(K24&lt;=0,0,IF(WEEKDAY(K$6,1)=1,0,IF(WEEKDAY(K$6,1)=7,0,MIN(8,K25)*K24))),MAX(0,40*MAX(1,K24)-(0)))))</f>
        <v>0</v>
      </c>
      <c r="L27" s="63">
        <f>IF(AND(L24=0,L25=0),0,IF(L24&lt;=0,0,IF(WEEKDAY(L$6,1)=1,0,IF(WEEKDAY(L$6,1)=7,L24*L25,MAX(0,L25-8)*L24)))+((IF(L24&lt;=0,0,IF(WEEKDAY(L$6,1)=1,0,IF(WEEKDAY(L$6,1)=7,0,MIN(8,L25)*L24))))-MIN(IF(L24&lt;=0,0,IF(WEEKDAY(L$6,1)=1,0,IF(WEEKDAY(L$6,1)=7,0,MIN(8,L25)*L24))),MAX(0,40*MAX(1,L24)-(K26)))))</f>
        <v>0</v>
      </c>
      <c r="M27" s="63">
        <f>IF(AND(M24=0,M25=0),0,IF(M24&lt;=0,0,IF(WEEKDAY(M$6,1)=1,0,IF(WEEKDAY(M$6,1)=7,M24*M25,MAX(0,M25-8)*M24)))+((IF(M24&lt;=0,0,IF(WEEKDAY(M$6,1)=1,0,IF(WEEKDAY(M$6,1)=7,0,MIN(8,M25)*M24))))-MIN(IF(M24&lt;=0,0,IF(WEEKDAY(M$6,1)=1,0,IF(WEEKDAY(M$6,1)=7,0,MIN(8,M25)*M24))),MAX(0,40*MAX(1,M24)-(K26+L26)))))</f>
        <v>0</v>
      </c>
      <c r="N27" s="63">
        <f>IF(AND(N24=3,N25=9),3,IF(N24&lt;=0,0,IF(WEEKDAY(N$6,1)=1,0,IF(WEEKDAY(N$6,1)=7,N24*N25,MAX(0,N25-8)*N24)))+((IF(N24&lt;=0,0,IF(WEEKDAY(N$6,1)=1,0,IF(WEEKDAY(N$6,1)=7,0,MIN(8,N25)*N24))))-MIN(IF(N24&lt;=0,0,IF(WEEKDAY(N$6,1)=1,0,IF(WEEKDAY(N$6,1)=7,0,MIN(8,N25)*N24))),MAX(0,40*MAX(1,N24)-(0)))))</f>
        <v>3</v>
      </c>
      <c r="O27" s="63">
        <f>IF(AND(O24=3,O25=9),3,IF(O24&lt;=0,0,IF(WEEKDAY(O$6,1)=1,0,IF(WEEKDAY(O$6,1)=7,O24*O25,MAX(0,O25-8)*O24)))+((IF(O24&lt;=0,0,IF(WEEKDAY(O$6,1)=1,0,IF(WEEKDAY(O$6,1)=7,0,MIN(8,O25)*O24))))-MIN(IF(O24&lt;=0,0,IF(WEEKDAY(O$6,1)=1,0,IF(WEEKDAY(O$6,1)=7,0,MIN(8,O25)*O24))),MAX(0,40*MAX(1,O24)-(N26)))))</f>
        <v>3</v>
      </c>
      <c r="P27" s="64">
        <f>IF(AND(P24=0,P25=0),0,IF(P24&lt;=0,0,IF(WEEKDAY(P$6,1)=1,0,IF(WEEKDAY(P$6,1)=7,P24*P25,MAX(0,P25-8)*P24)))+((IF(P24&lt;=0,0,IF(WEEKDAY(P$6,1)=1,0,IF(WEEKDAY(P$6,1)=7,0,MIN(8,P25)*P24))))-MIN(IF(P24&lt;=0,0,IF(WEEKDAY(P$6,1)=1,0,IF(WEEKDAY(P$6,1)=7,0,MIN(8,P25)*P24))),MAX(0,40*MAX(1,P24)-(K26+L26+M26)))))</f>
        <v>0</v>
      </c>
      <c r="Q27" s="64">
        <f>IF(AND(Q24=0,Q25=0),0,IF(Q24&lt;=0,0,IF(WEEKDAY(Q$6,1)=1,0,IF(WEEKDAY(Q$6,1)=7,Q24*Q25,MAX(0,Q25-8)*Q24)))+((IF(Q24&lt;=0,0,IF(WEEKDAY(Q$6,1)=1,0,IF(WEEKDAY(Q$6,1)=7,0,MIN(8,Q25)*Q24))))-MIN(IF(Q24&lt;=0,0,IF(WEEKDAY(Q$6,1)=1,0,IF(WEEKDAY(Q$6,1)=7,0,MIN(8,Q25)*Q24))),MAX(0,40*MAX(1,Q24)-(K26+L26+M26+P26)))))</f>
        <v>0</v>
      </c>
      <c r="R27" s="63">
        <f>IF(AND(R24=3,R25=9),3,IF(R24&lt;=0,0,IF(WEEKDAY(R$6,1)=1,0,IF(WEEKDAY(R$6,1)=7,R24*R25,MAX(0,R25-8)*R24)))+((IF(R24&lt;=0,0,IF(WEEKDAY(R$6,1)=1,0,IF(WEEKDAY(R$6,1)=7,0,MIN(8,R25)*R24))))-MIN(IF(R24&lt;=0,0,IF(WEEKDAY(R$6,1)=1,0,IF(WEEKDAY(R$6,1)=7,0,MIN(8,R25)*R24))),MAX(0,40*MAX(1,R24)-(0)))))</f>
        <v>3</v>
      </c>
      <c r="S27" s="63">
        <f>IF(AND(S24=3,S25=9),3,IF(S24&lt;=0,0,IF(WEEKDAY(S$6,1)=1,0,IF(WEEKDAY(S$6,1)=7,S24*S25,MAX(0,S25-8)*S24)))+((IF(S24&lt;=0,0,IF(WEEKDAY(S$6,1)=1,0,IF(WEEKDAY(S$6,1)=7,0,MIN(8,S25)*S24))))-MIN(IF(S24&lt;=0,0,IF(WEEKDAY(S$6,1)=1,0,IF(WEEKDAY(S$6,1)=7,0,MIN(8,S25)*S24))),MAX(0,40*MAX(1,S24)-(R26)))))</f>
        <v>3</v>
      </c>
      <c r="T27" s="63">
        <f>IF(AND(T24=3,T25=9),3,IF(T24&lt;=0,0,IF(WEEKDAY(T$6,1)=1,0,IF(WEEKDAY(T$6,1)=7,T24*T25,MAX(0,T25-8)*T24)))+((IF(T24&lt;=0,0,IF(WEEKDAY(T$6,1)=1,0,IF(WEEKDAY(T$6,1)=7,0,MIN(8,T25)*T24))))-MIN(IF(T24&lt;=0,0,IF(WEEKDAY(T$6,1)=1,0,IF(WEEKDAY(T$6,1)=7,0,MIN(8,T25)*T24))),MAX(0,40*MAX(1,T24)-(R26+S26)))))</f>
        <v>3</v>
      </c>
      <c r="U27" s="63">
        <f>IF(AND(U24=3,U25=9),3,IF(U24&lt;=0,0,IF(WEEKDAY(U$6,1)=1,0,IF(WEEKDAY(U$6,1)=7,U24*U25,MAX(0,U25-8)*U24)))+((IF(U24&lt;=0,0,IF(WEEKDAY(U$6,1)=1,0,IF(WEEKDAY(U$6,1)=7,0,MIN(8,U25)*U24))))-MIN(IF(U24&lt;=0,0,IF(WEEKDAY(U$6,1)=1,0,IF(WEEKDAY(U$6,1)=7,0,MIN(8,U25)*U24))),MAX(0,40*MAX(1,U24)-(R26+S26+T26)))))</f>
        <v>3</v>
      </c>
      <c r="V27" s="63">
        <f>IF(AND(V24=3,V25=9),3,IF(V24&lt;=0,0,IF(WEEKDAY(V$6,1)=1,0,IF(WEEKDAY(V$6,1)=7,V24*V25,MAX(0,V25-8)*V24)))+((IF(V24&lt;=0,0,IF(WEEKDAY(V$6,1)=1,0,IF(WEEKDAY(V$6,1)=7,0,MIN(8,V25)*V24))))-MIN(IF(V24&lt;=0,0,IF(WEEKDAY(V$6,1)=1,0,IF(WEEKDAY(V$6,1)=7,0,MIN(8,V25)*V24))),MAX(0,40*MAX(1,V24)-(R26+S26+T26+U26)))))</f>
        <v>3</v>
      </c>
      <c r="W27" s="64">
        <f>IF(AND(W24=0,W25=0),0,IF(W24&lt;=0,0,IF(WEEKDAY(W$6,1)=1,0,IF(WEEKDAY(W$6,1)=7,W24*W25,MAX(0,W25-8)*W24)))+((IF(W24&lt;=0,0,IF(WEEKDAY(W$6,1)=1,0,IF(WEEKDAY(W$6,1)=7,0,MIN(8,W25)*W24))))-MIN(IF(W24&lt;=0,0,IF(WEEKDAY(W$6,1)=1,0,IF(WEEKDAY(W$6,1)=7,0,MIN(8,W25)*W24))),MAX(0,40*MAX(1,W24)-(0)))))</f>
        <v>0</v>
      </c>
      <c r="X27" s="64">
        <f>IF(AND(X24=0,X25=0),0,IF(X24&lt;=0,0,IF(WEEKDAY(X$6,1)=1,0,IF(WEEKDAY(X$6,1)=7,X24*X25,MAX(0,X25-8)*X24)))+((IF(X24&lt;=0,0,IF(WEEKDAY(X$6,1)=1,0,IF(WEEKDAY(X$6,1)=7,0,MIN(8,X25)*X24))))-MIN(IF(X24&lt;=0,0,IF(WEEKDAY(X$6,1)=1,0,IF(WEEKDAY(X$6,1)=7,0,MIN(8,X25)*X24))),MAX(0,40*MAX(1,X24)-(W26)))))</f>
        <v>0</v>
      </c>
      <c r="Y27" s="63">
        <f>IF(AND(Y24=6,Y25=9),6,IF(Y24&lt;=0,0,IF(WEEKDAY(Y$6,1)=1,0,IF(WEEKDAY(Y$6,1)=7,Y24*Y25,MAX(0,Y25-8)*Y24)))+((IF(Y24&lt;=0,0,IF(WEEKDAY(Y$6,1)=1,0,IF(WEEKDAY(Y$6,1)=7,0,MIN(8,Y25)*Y24))))-MIN(IF(Y24&lt;=0,0,IF(WEEKDAY(Y$6,1)=1,0,IF(WEEKDAY(Y$6,1)=7,0,MIN(8,Y25)*Y24))),MAX(0,40*MAX(1,Y24)-(0)))))</f>
        <v>6</v>
      </c>
      <c r="Z27" s="63">
        <f>IF(AND(Z24=6,Z25=9),6,IF(Z24&lt;=0,0,IF(WEEKDAY(Z$6,1)=1,0,IF(WEEKDAY(Z$6,1)=7,Z24*Z25,MAX(0,Z25-8)*Z24)))+((IF(Z24&lt;=0,0,IF(WEEKDAY(Z$6,1)=1,0,IF(WEEKDAY(Z$6,1)=7,0,MIN(8,Z25)*Z24))))-MIN(IF(Z24&lt;=0,0,IF(WEEKDAY(Z$6,1)=1,0,IF(WEEKDAY(Z$6,1)=7,0,MIN(8,Z25)*Z24))),MAX(0,40*MAX(1,Z24)-(Y26)))))</f>
        <v>6</v>
      </c>
      <c r="AA27" s="63">
        <f>IF(AND(AA24=6,AA25=9),6,IF(AA24&lt;=0,0,IF(WEEKDAY(AA$6,1)=1,0,IF(WEEKDAY(AA$6,1)=7,AA24*AA25,MAX(0,AA25-8)*AA24)))+((IF(AA24&lt;=0,0,IF(WEEKDAY(AA$6,1)=1,0,IF(WEEKDAY(AA$6,1)=7,0,MIN(8,AA25)*AA24))))-MIN(IF(AA24&lt;=0,0,IF(WEEKDAY(AA$6,1)=1,0,IF(WEEKDAY(AA$6,1)=7,0,MIN(8,AA25)*AA24))),MAX(0,40*MAX(1,AA24)-(Y26+Z26)))))</f>
        <v>6</v>
      </c>
      <c r="AB27" s="63">
        <f>IF(AND(AB24=6,AB25=9),6,IF(AB24&lt;=0,0,IF(WEEKDAY(AB$6,1)=1,0,IF(WEEKDAY(AB$6,1)=7,AB24*AB25,MAX(0,AB25-8)*AB24)))+((IF(AB24&lt;=0,0,IF(WEEKDAY(AB$6,1)=1,0,IF(WEEKDAY(AB$6,1)=7,0,MIN(8,AB25)*AB24))))-MIN(IF(AB24&lt;=0,0,IF(WEEKDAY(AB$6,1)=1,0,IF(WEEKDAY(AB$6,1)=7,0,MIN(8,AB25)*AB24))),MAX(0,40*MAX(1,AB24)-(Y26+Z26+AA26)))))</f>
        <v>6</v>
      </c>
      <c r="AC27" s="63">
        <f>IF(AND(AC24=3,AC25=9),3,IF(AC24&lt;=0,0,IF(WEEKDAY(AC$6,1)=1,0,IF(WEEKDAY(AC$6,1)=7,AC24*AC25,MAX(0,AC25-8)*AC24)))+((IF(AC24&lt;=0,0,IF(WEEKDAY(AC$6,1)=1,0,IF(WEEKDAY(AC$6,1)=7,0,MIN(8,AC25)*AC24))))-MIN(IF(AC24&lt;=0,0,IF(WEEKDAY(AC$6,1)=1,0,IF(WEEKDAY(AC$6,1)=7,0,MIN(8,AC25)*AC24))),MAX(0,40*MAX(1,AC24)-(Y26+Z26+AA26+AB26)))))</f>
        <v>3</v>
      </c>
      <c r="AD27" s="64">
        <f>IF(AND(AD24=0,AD25=0),0,IF(AD24&lt;=0,0,IF(WEEKDAY(AD$6,1)=1,0,IF(WEEKDAY(AD$6,1)=7,AD24*AD25,MAX(0,AD25-8)*AD24)))+((IF(AD24&lt;=0,0,IF(WEEKDAY(AD$6,1)=1,0,IF(WEEKDAY(AD$6,1)=7,0,MIN(8,AD25)*AD24))))-MIN(IF(AD24&lt;=0,0,IF(WEEKDAY(AD$6,1)=1,0,IF(WEEKDAY(AD$6,1)=7,0,MIN(8,AD25)*AD24))),MAX(0,40*MAX(1,AD24)-(0)))))</f>
        <v>0</v>
      </c>
      <c r="AE27" s="64">
        <f>IF(AND(AE24=0,AE25=0),0,IF(AE24&lt;=0,0,IF(WEEKDAY(AE$6,1)=1,0,IF(WEEKDAY(AE$6,1)=7,AE24*AE25,MAX(0,AE25-8)*AE24)))+((IF(AE24&lt;=0,0,IF(WEEKDAY(AE$6,1)=1,0,IF(WEEKDAY(AE$6,1)=7,0,MIN(8,AE25)*AE24))))-MIN(IF(AE24&lt;=0,0,IF(WEEKDAY(AE$6,1)=1,0,IF(WEEKDAY(AE$6,1)=7,0,MIN(8,AE25)*AE24))),MAX(0,40*MAX(1,AE24)-(AD26)))))</f>
        <v>0</v>
      </c>
      <c r="AF27" s="63">
        <f>IF(AND(AF24=3,AF25=9),3,IF(AF24&lt;=0,0,IF(WEEKDAY(AF$6,1)=1,0,IF(WEEKDAY(AF$6,1)=7,AF24*AF25,MAX(0,AF25-8)*AF24)))+((IF(AF24&lt;=0,0,IF(WEEKDAY(AF$6,1)=1,0,IF(WEEKDAY(AF$6,1)=7,0,MIN(8,AF25)*AF24))))-MIN(IF(AF24&lt;=0,0,IF(WEEKDAY(AF$6,1)=1,0,IF(WEEKDAY(AF$6,1)=7,0,MIN(8,AF25)*AF24))),MAX(0,40*MAX(1,AF24)-(0)))))</f>
        <v>3</v>
      </c>
      <c r="AG27" s="63">
        <f>IF(AND(AG24=3,AG25=9),3,IF(AG24&lt;=0,0,IF(WEEKDAY(AG$6,1)=1,0,IF(WEEKDAY(AG$6,1)=7,AG24*AG25,MAX(0,AG25-8)*AG24)))+((IF(AG24&lt;=0,0,IF(WEEKDAY(AG$6,1)=1,0,IF(WEEKDAY(AG$6,1)=7,0,MIN(8,AG25)*AG24))))-MIN(IF(AG24&lt;=0,0,IF(WEEKDAY(AG$6,1)=1,0,IF(WEEKDAY(AG$6,1)=7,0,MIN(8,AG25)*AG24))),MAX(0,40*MAX(1,AG24)-(AF26)))))</f>
        <v>3</v>
      </c>
      <c r="AH27" s="63">
        <f>IF(AND(AH24=3,AH25=9),3,IF(AH24&lt;=0,0,IF(WEEKDAY(AH$6,1)=1,0,IF(WEEKDAY(AH$6,1)=7,AH24*AH25,MAX(0,AH25-8)*AH24)))+((IF(AH24&lt;=0,0,IF(WEEKDAY(AH$6,1)=1,0,IF(WEEKDAY(AH$6,1)=7,0,MIN(8,AH25)*AH24))))-MIN(IF(AH24&lt;=0,0,IF(WEEKDAY(AH$6,1)=1,0,IF(WEEKDAY(AH$6,1)=7,0,MIN(8,AH25)*AH24))),MAX(0,40*MAX(1,AH24)-(AF26+AG26)))))</f>
        <v>3</v>
      </c>
      <c r="AI27" s="63">
        <f>IF(AND(AI24=3,AI25=9),3,IF(AI24&lt;=0,0,IF(WEEKDAY(AI$6,1)=1,0,IF(WEEKDAY(AI$6,1)=7,AI24*AI25,MAX(0,AI25-8)*AI24)))+((IF(AI24&lt;=0,0,IF(WEEKDAY(AI$6,1)=1,0,IF(WEEKDAY(AI$6,1)=7,0,MIN(8,AI25)*AI24))))-MIN(IF(AI24&lt;=0,0,IF(WEEKDAY(AI$6,1)=1,0,IF(WEEKDAY(AI$6,1)=7,0,MIN(8,AI25)*AI24))),MAX(0,40*MAX(1,AI24)-(AF26+AG26+AH26)))))</f>
        <v>3</v>
      </c>
      <c r="AJ27" s="63">
        <f>IF(AND(AJ24=3,AJ25=9),3,IF(AJ24&lt;=0,0,IF(WEEKDAY(AJ$6,1)=1,0,IF(WEEKDAY(AJ$6,1)=7,AJ24*AJ25,MAX(0,AJ25-8)*AJ24)))+((IF(AJ24&lt;=0,0,IF(WEEKDAY(AJ$6,1)=1,0,IF(WEEKDAY(AJ$6,1)=7,0,MIN(8,AJ25)*AJ24))))-MIN(IF(AJ24&lt;=0,0,IF(WEEKDAY(AJ$6,1)=1,0,IF(WEEKDAY(AJ$6,1)=7,0,MIN(8,AJ25)*AJ24))),MAX(0,40*MAX(1,AJ24)-(AF26+AG26+AH26+AI26)))))</f>
        <v>3</v>
      </c>
      <c r="AK27" s="64">
        <f>IF(AND(AK24=0,AK25=0),0,IF(AK24&lt;=0,0,IF(WEEKDAY(AK$6,1)=1,0,IF(WEEKDAY(AK$6,1)=7,AK24*AK25,MAX(0,AK25-8)*AK24)))+((IF(AK24&lt;=0,0,IF(WEEKDAY(AK$6,1)=1,0,IF(WEEKDAY(AK$6,1)=7,0,MIN(8,AK25)*AK24))))-MIN(IF(AK24&lt;=0,0,IF(WEEKDAY(AK$6,1)=1,0,IF(WEEKDAY(AK$6,1)=7,0,MIN(8,AK25)*AK24))),MAX(0,40*MAX(1,AK24)-(0)))))</f>
        <v>0</v>
      </c>
      <c r="AL27" s="64">
        <f>IF(AND(AL24=0,AL25=0),0,IF(AL24&lt;=0,0,IF(WEEKDAY(AL$6,1)=1,0,IF(WEEKDAY(AL$6,1)=7,AL24*AL25,MAX(0,AL25-8)*AL24)))+((IF(AL24&lt;=0,0,IF(WEEKDAY(AL$6,1)=1,0,IF(WEEKDAY(AL$6,1)=7,0,MIN(8,AL25)*AL24))))-MIN(IF(AL24&lt;=0,0,IF(WEEKDAY(AL$6,1)=1,0,IF(WEEKDAY(AL$6,1)=7,0,MIN(8,AL25)*AL24))),MAX(0,40*MAX(1,AL24)-(AK26)))))</f>
        <v>0</v>
      </c>
      <c r="AM27" s="63">
        <f>IF(AND(AM24=14.38,AM25=8),3,IF(AM24&lt;=0,0,IF(WEEKDAY(AM$6,1)=1,0,IF(WEEKDAY(AM$6,1)=7,AM24*AM25,MAX(0,AM25-8)*AM24)))+((IF(AM24&lt;=0,0,IF(WEEKDAY(AM$6,1)=1,0,IF(WEEKDAY(AM$6,1)=7,0,MIN(8,AM25)*AM24))))-MIN(IF(AM24&lt;=0,0,IF(WEEKDAY(AM$6,1)=1,0,IF(WEEKDAY(AM$6,1)=7,0,MIN(8,AM25)*AM24))),MAX(0,40*MAX(1,AM24)-(0)))))</f>
        <v>3</v>
      </c>
      <c r="AN27" s="63">
        <f>IF(AND(AN24=14.38,AN25=8),3,IF(AN24&lt;=0,0,IF(WEEKDAY(AN$6,1)=1,0,IF(WEEKDAY(AN$6,1)=7,AN24*AN25,MAX(0,AN25-8)*AN24)))+((IF(AN24&lt;=0,0,IF(WEEKDAY(AN$6,1)=1,0,IF(WEEKDAY(AN$6,1)=7,0,MIN(8,AN25)*AN24))))-MIN(IF(AN24&lt;=0,0,IF(WEEKDAY(AN$6,1)=1,0,IF(WEEKDAY(AN$6,1)=7,0,MIN(8,AN25)*AN24))),MAX(0,40*MAX(1,AN24)-(AM26)))))</f>
        <v>3</v>
      </c>
      <c r="AO27" s="63">
        <f>IF(AND(AO24=14.38,AO25=8),3,IF(AO24&lt;=0,0,IF(WEEKDAY(AO$6,1)=1,0,IF(WEEKDAY(AO$6,1)=7,AO24*AO25,MAX(0,AO25-8)*AO24)))+((IF(AO24&lt;=0,0,IF(WEEKDAY(AO$6,1)=1,0,IF(WEEKDAY(AO$6,1)=7,0,MIN(8,AO25)*AO24))))-MIN(IF(AO24&lt;=0,0,IF(WEEKDAY(AO$6,1)=1,0,IF(WEEKDAY(AO$6,1)=7,0,MIN(8,AO25)*AO24))),MAX(0,40*MAX(1,AO24)-(AM26+AN26)))))</f>
        <v>3</v>
      </c>
      <c r="AP27" s="63">
        <f>IF(AND(AP24=14.38,AP25=8),3,IF(AP24&lt;=0,0,IF(WEEKDAY(AP$6,1)=1,0,IF(WEEKDAY(AP$6,1)=7,AP24*AP25,MAX(0,AP25-8)*AP24)))+((IF(AP24&lt;=0,0,IF(WEEKDAY(AP$6,1)=1,0,IF(WEEKDAY(AP$6,1)=7,0,MIN(8,AP25)*AP24))))-MIN(IF(AP24&lt;=0,0,IF(WEEKDAY(AP$6,1)=1,0,IF(WEEKDAY(AP$6,1)=7,0,MIN(8,AP25)*AP24))),MAX(0,40*MAX(1,AP24)-(AM26+AN26+AO26)))))</f>
        <v>3</v>
      </c>
      <c r="AQ27" s="63">
        <f>IF(AND(AQ24=14.38,AQ25=8),3,IF(AQ24&lt;=0,0,IF(WEEKDAY(AQ$6,1)=1,0,IF(WEEKDAY(AQ$6,1)=7,AQ24*AQ25,MAX(0,AQ25-8)*AQ24)))+((IF(AQ24&lt;=0,0,IF(WEEKDAY(AQ$6,1)=1,0,IF(WEEKDAY(AQ$6,1)=7,0,MIN(8,AQ25)*AQ24))))-MIN(IF(AQ24&lt;=0,0,IF(WEEKDAY(AQ$6,1)=1,0,IF(WEEKDAY(AQ$6,1)=7,0,MIN(8,AQ25)*AQ24))),MAX(0,40*MAX(1,AQ24)-(AM26+AN26+AO26+AP26)))))</f>
        <v>3</v>
      </c>
      <c r="AR27" s="64">
        <f>IF(AND(AR24=0,AR25=0),0,IF(AR24&lt;=0,0,IF(WEEKDAY(AR$6,1)=1,0,IF(WEEKDAY(AR$6,1)=7,AR24*AR25,MAX(0,AR25-8)*AR24)))+((IF(AR24&lt;=0,0,IF(WEEKDAY(AR$6,1)=1,0,IF(WEEKDAY(AR$6,1)=7,0,MIN(8,AR25)*AR24))))-MIN(IF(AR24&lt;=0,0,IF(WEEKDAY(AR$6,1)=1,0,IF(WEEKDAY(AR$6,1)=7,0,MIN(8,AR25)*AR24))),MAX(0,40*MAX(1,AR24)-(0)))))</f>
        <v>0</v>
      </c>
      <c r="AS27" s="64">
        <f>IF(AND(AS24=0,AS25=0),0,IF(AS24&lt;=0,0,IF(WEEKDAY(AS$6,1)=1,0,IF(WEEKDAY(AS$6,1)=7,AS24*AS25,MAX(0,AS25-8)*AS24)))+((IF(AS24&lt;=0,0,IF(WEEKDAY(AS$6,1)=1,0,IF(WEEKDAY(AS$6,1)=7,0,MIN(8,AS25)*AS24))))-MIN(IF(AS24&lt;=0,0,IF(WEEKDAY(AS$6,1)=1,0,IF(WEEKDAY(AS$6,1)=7,0,MIN(8,AS25)*AS24))),MAX(0,40*MAX(1,AS24)-(AR26)))))</f>
        <v>0</v>
      </c>
      <c r="AT27" s="63">
        <f>IF(AND(AT24=14.38,AT25=8),3,IF(AT24&lt;=0,0,IF(WEEKDAY(AT$6,1)=1,0,IF(WEEKDAY(AT$6,1)=7,AT24*AT25,MAX(0,AT25-8)*AT24)))+((IF(AT24&lt;=0,0,IF(WEEKDAY(AT$6,1)=1,0,IF(WEEKDAY(AT$6,1)=7,0,MIN(8,AT25)*AT24))))-MIN(IF(AT24&lt;=0,0,IF(WEEKDAY(AT$6,1)=1,0,IF(WEEKDAY(AT$6,1)=7,0,MIN(8,AT25)*AT24))),MAX(0,40*MAX(1,AT24)-(0)))))</f>
        <v>3</v>
      </c>
      <c r="AU27" s="63">
        <f>IF(AND(AU24=14.38,AU25=8),3,IF(AU24&lt;=0,0,IF(WEEKDAY(AU$6,1)=1,0,IF(WEEKDAY(AU$6,1)=7,AU24*AU25,MAX(0,AU25-8)*AU24)))+((IF(AU24&lt;=0,0,IF(WEEKDAY(AU$6,1)=1,0,IF(WEEKDAY(AU$6,1)=7,0,MIN(8,AU25)*AU24))))-MIN(IF(AU24&lt;=0,0,IF(WEEKDAY(AU$6,1)=1,0,IF(WEEKDAY(AU$6,1)=7,0,MIN(8,AU25)*AU24))),MAX(0,40*MAX(1,AU24)-(AT26)))))</f>
        <v>3</v>
      </c>
      <c r="AV27" s="63">
        <f>IF(AND(AV24=14.38,AV25=8),3,IF(AV24&lt;=0,0,IF(WEEKDAY(AV$6,1)=1,0,IF(WEEKDAY(AV$6,1)=7,AV24*AV25,MAX(0,AV25-8)*AV24)))+((IF(AV24&lt;=0,0,IF(WEEKDAY(AV$6,1)=1,0,IF(WEEKDAY(AV$6,1)=7,0,MIN(8,AV25)*AV24))))-MIN(IF(AV24&lt;=0,0,IF(WEEKDAY(AV$6,1)=1,0,IF(WEEKDAY(AV$6,1)=7,0,MIN(8,AV25)*AV24))),MAX(0,40*MAX(1,AV24)-(AT26+AU26)))))</f>
        <v>3</v>
      </c>
      <c r="AW27" s="63">
        <f>IF(AND(AW24=14.38,AW25=8),3,IF(AW24&lt;=0,0,IF(WEEKDAY(AW$6,1)=1,0,IF(WEEKDAY(AW$6,1)=7,AW24*AW25,MAX(0,AW25-8)*AW24)))+((IF(AW24&lt;=0,0,IF(WEEKDAY(AW$6,1)=1,0,IF(WEEKDAY(AW$6,1)=7,0,MIN(8,AW25)*AW24))))-MIN(IF(AW24&lt;=0,0,IF(WEEKDAY(AW$6,1)=1,0,IF(WEEKDAY(AW$6,1)=7,0,MIN(8,AW25)*AW24))),MAX(0,40*MAX(1,AW24)-(AT26+AU26+AV26)))))</f>
        <v>3</v>
      </c>
      <c r="AX27" s="63">
        <f>IF(AND(AX24=14.38,AX25=8),3,IF(AX24&lt;=0,0,IF(WEEKDAY(AX$6,1)=1,0,IF(WEEKDAY(AX$6,1)=7,AX24*AX25,MAX(0,AX25-8)*AX24)))+((IF(AX24&lt;=0,0,IF(WEEKDAY(AX$6,1)=1,0,IF(WEEKDAY(AX$6,1)=7,0,MIN(8,AX25)*AX24))))-MIN(IF(AX24&lt;=0,0,IF(WEEKDAY(AX$6,1)=1,0,IF(WEEKDAY(AX$6,1)=7,0,MIN(8,AX25)*AX24))),MAX(0,40*MAX(1,AX24)-(AT26+AU26+AV26+AW26)))))</f>
        <v>3</v>
      </c>
      <c r="AY27" s="64">
        <f>IF(AND(AY24=0,AY25=0),0,IF(AY24&lt;=0,0,IF(WEEKDAY(AY$6,1)=1,0,IF(WEEKDAY(AY$6,1)=7,AY24*AY25,MAX(0,AY25-8)*AY24)))+((IF(AY24&lt;=0,0,IF(WEEKDAY(AY$6,1)=1,0,IF(WEEKDAY(AY$6,1)=7,0,MIN(8,AY25)*AY24))))-MIN(IF(AY24&lt;=0,0,IF(WEEKDAY(AY$6,1)=1,0,IF(WEEKDAY(AY$6,1)=7,0,MIN(8,AY25)*AY24))),MAX(0,40*MAX(1,AY24)-(0)))))</f>
        <v>0</v>
      </c>
      <c r="AZ27" s="64">
        <f>IF(AND(AZ24=0,AZ25=0),0,IF(AZ24&lt;=0,0,IF(WEEKDAY(AZ$6,1)=1,0,IF(WEEKDAY(AZ$6,1)=7,AZ24*AZ25,MAX(0,AZ25-8)*AZ24)))+((IF(AZ24&lt;=0,0,IF(WEEKDAY(AZ$6,1)=1,0,IF(WEEKDAY(AZ$6,1)=7,0,MIN(8,AZ25)*AZ24))))-MIN(IF(AZ24&lt;=0,0,IF(WEEKDAY(AZ$6,1)=1,0,IF(WEEKDAY(AZ$6,1)=7,0,MIN(8,AZ25)*AZ24))),MAX(0,40*MAX(1,AZ24)-(AY26)))))</f>
        <v>0</v>
      </c>
      <c r="BA27" s="63">
        <f>IF(AND(BA24=14.38,BA25=8),3,IF(BA24&lt;=0,0,IF(WEEKDAY(BA$6,1)=1,0,IF(WEEKDAY(BA$6,1)=7,BA24*BA25,MAX(0,BA25-8)*BA24)))+((IF(BA24&lt;=0,0,IF(WEEKDAY(BA$6,1)=1,0,IF(WEEKDAY(BA$6,1)=7,0,MIN(8,BA25)*BA24))))-MIN(IF(BA24&lt;=0,0,IF(WEEKDAY(BA$6,1)=1,0,IF(WEEKDAY(BA$6,1)=7,0,MIN(8,BA25)*BA24))),MAX(0,40*MAX(1,BA24)-(0)))))</f>
        <v>3</v>
      </c>
      <c r="BB27" s="63">
        <f>IF(AND(BB24=14.38,BB25=8),3,IF(BB24&lt;=0,0,IF(WEEKDAY(BB$6,1)=1,0,IF(WEEKDAY(BB$6,1)=7,BB24*BB25,MAX(0,BB25-8)*BB24)))+((IF(BB24&lt;=0,0,IF(WEEKDAY(BB$6,1)=1,0,IF(WEEKDAY(BB$6,1)=7,0,MIN(8,BB25)*BB24))))-MIN(IF(BB24&lt;=0,0,IF(WEEKDAY(BB$6,1)=1,0,IF(WEEKDAY(BB$6,1)=7,0,MIN(8,BB25)*BB24))),MAX(0,40*MAX(1,BB24)-(BA26)))))</f>
        <v>3</v>
      </c>
      <c r="BC27" s="63">
        <f>IF(AND(BC24=14.38,BC25=8),3,IF(BC24&lt;=0,0,IF(WEEKDAY(BC$6,1)=1,0,IF(WEEKDAY(BC$6,1)=7,BC24*BC25,MAX(0,BC25-8)*BC24)))+((IF(BC24&lt;=0,0,IF(WEEKDAY(BC$6,1)=1,0,IF(WEEKDAY(BC$6,1)=7,0,MIN(8,BC25)*BC24))))-MIN(IF(BC24&lt;=0,0,IF(WEEKDAY(BC$6,1)=1,0,IF(WEEKDAY(BC$6,1)=7,0,MIN(8,BC25)*BC24))),MAX(0,40*MAX(1,BC24)-(BA26+BB26)))))</f>
        <v>3</v>
      </c>
      <c r="BD27" s="63">
        <f>IF(AND(BD24=14.38,BD25=8),3,IF(BD24&lt;=0,0,IF(WEEKDAY(BD$6,1)=1,0,IF(WEEKDAY(BD$6,1)=7,BD24*BD25,MAX(0,BD25-8)*BD24)))+((IF(BD24&lt;=0,0,IF(WEEKDAY(BD$6,1)=1,0,IF(WEEKDAY(BD$6,1)=7,0,MIN(8,BD25)*BD24))))-MIN(IF(BD24&lt;=0,0,IF(WEEKDAY(BD$6,1)=1,0,IF(WEEKDAY(BD$6,1)=7,0,MIN(8,BD25)*BD24))),MAX(0,40*MAX(1,BD24)-(BA26+BB26+BC26)))))</f>
        <v>3</v>
      </c>
      <c r="BE27" s="63">
        <f>IF(AND(BE24=14.38,BE25=8),3,IF(BE24&lt;=0,0,IF(WEEKDAY(BE$6,1)=1,0,IF(WEEKDAY(BE$6,1)=7,BE24*BE25,MAX(0,BE25-8)*BE24)))+((IF(BE24&lt;=0,0,IF(WEEKDAY(BE$6,1)=1,0,IF(WEEKDAY(BE$6,1)=7,0,MIN(8,BE25)*BE24))))-MIN(IF(BE24&lt;=0,0,IF(WEEKDAY(BE$6,1)=1,0,IF(WEEKDAY(BE$6,1)=7,0,MIN(8,BE25)*BE24))),MAX(0,40*MAX(1,BE24)-(BA26+BB26+BC26+BD26)))))</f>
        <v>3</v>
      </c>
      <c r="BF27" s="64">
        <f>IF(AND(BF24=0,BF25=0),0,IF(BF24&lt;=0,0,IF(WEEKDAY(BF$6,1)=1,0,IF(WEEKDAY(BF$6,1)=7,BF24*BF25,MAX(0,BF25-8)*BF24)))+((IF(BF24&lt;=0,0,IF(WEEKDAY(BF$6,1)=1,0,IF(WEEKDAY(BF$6,1)=7,0,MIN(8,BF25)*BF24))))-MIN(IF(BF24&lt;=0,0,IF(WEEKDAY(BF$6,1)=1,0,IF(WEEKDAY(BF$6,1)=7,0,MIN(8,BF25)*BF24))),MAX(0,40*MAX(1,BF24)-(0)))))</f>
        <v>0</v>
      </c>
      <c r="BG27" s="64">
        <f>IF(AND(BG24=0,BG25=0),0,IF(BG24&lt;=0,0,IF(WEEKDAY(BG$6,1)=1,0,IF(WEEKDAY(BG$6,1)=7,BG24*BG25,MAX(0,BG25-8)*BG24)))+((IF(BG24&lt;=0,0,IF(WEEKDAY(BG$6,1)=1,0,IF(WEEKDAY(BG$6,1)=7,0,MIN(8,BG25)*BG24))))-MIN(IF(BG24&lt;=0,0,IF(WEEKDAY(BG$6,1)=1,0,IF(WEEKDAY(BG$6,1)=7,0,MIN(8,BG25)*BG24))),MAX(0,40*MAX(1,BG24)-(BF26)))))</f>
        <v>0</v>
      </c>
      <c r="BH27" s="63">
        <f>IF(AND(BH24=8,BH25=13),40,IF(BH24&lt;=0,0,IF(WEEKDAY(BH$6,1)=1,0,IF(WEEKDAY(BH$6,1)=7,BH24*BH25,MAX(0,BH25-8)*BH24)))+((IF(BH24&lt;=0,0,IF(WEEKDAY(BH$6,1)=1,0,IF(WEEKDAY(BH$6,1)=7,0,MIN(8,BH25)*BH24))))-MIN(IF(BH24&lt;=0,0,IF(WEEKDAY(BH$6,1)=1,0,IF(WEEKDAY(BH$6,1)=7,0,MIN(8,BH25)*BH24))),MAX(0,40*MAX(1,BH24)-(0)))))</f>
        <v>40</v>
      </c>
      <c r="BI27" s="63">
        <f>IF(AND(BI24=8,BI25=13),40,IF(BI24&lt;=0,0,IF(WEEKDAY(BI$6,1)=1,0,IF(WEEKDAY(BI$6,1)=7,BI24*BI25,MAX(0,BI25-8)*BI24)))+((IF(BI24&lt;=0,0,IF(WEEKDAY(BI$6,1)=1,0,IF(WEEKDAY(BI$6,1)=7,0,MIN(8,BI25)*BI24))))-MIN(IF(BI24&lt;=0,0,IF(WEEKDAY(BI$6,1)=1,0,IF(WEEKDAY(BI$6,1)=7,0,MIN(8,BI25)*BI24))),MAX(0,40*MAX(1,BI24)-(BH26)))))</f>
        <v>40</v>
      </c>
      <c r="BJ27" s="63">
        <f>IF(AND(BJ24=8,BJ25=13),40,IF(BJ24&lt;=0,0,IF(WEEKDAY(BJ$6,1)=1,0,IF(WEEKDAY(BJ$6,1)=7,BJ24*BJ25,MAX(0,BJ25-8)*BJ24)))+((IF(BJ24&lt;=0,0,IF(WEEKDAY(BJ$6,1)=1,0,IF(WEEKDAY(BJ$6,1)=7,0,MIN(8,BJ25)*BJ24))))-MIN(IF(BJ24&lt;=0,0,IF(WEEKDAY(BJ$6,1)=1,0,IF(WEEKDAY(BJ$6,1)=7,0,MIN(8,BJ25)*BJ24))),MAX(0,40*MAX(1,BJ24)-(BH26+BI26)))))</f>
        <v>40</v>
      </c>
      <c r="BK27" s="63">
        <f>IF(AND(BK24=8,BK25=13),40,IF(BK24&lt;=0,0,IF(WEEKDAY(BK$6,1)=1,0,IF(WEEKDAY(BK$6,1)=7,BK24*BK25,MAX(0,BK25-8)*BK24)))+((IF(BK24&lt;=0,0,IF(WEEKDAY(BK$6,1)=1,0,IF(WEEKDAY(BK$6,1)=7,0,MIN(8,BK25)*BK24))))-MIN(IF(BK24&lt;=0,0,IF(WEEKDAY(BK$6,1)=1,0,IF(WEEKDAY(BK$6,1)=7,0,MIN(8,BK25)*BK24))),MAX(0,40*MAX(1,BK24)-(BH26+BI26+BJ26)))))</f>
        <v>40</v>
      </c>
      <c r="BL27" s="63">
        <f>IF(AND(BL24=8,BL25=13),40,IF(BL24&lt;=0,0,IF(WEEKDAY(BL$6,1)=1,0,IF(WEEKDAY(BL$6,1)=7,BL24*BL25,MAX(0,BL25-8)*BL24)))+((IF(BL24&lt;=0,0,IF(WEEKDAY(BL$6,1)=1,0,IF(WEEKDAY(BL$6,1)=7,0,MIN(8,BL25)*BL24))))-MIN(IF(BL24&lt;=0,0,IF(WEEKDAY(BL$6,1)=1,0,IF(WEEKDAY(BL$6,1)=7,0,MIN(8,BL25)*BL24))),MAX(0,40*MAX(1,BL24)-(BH26+BI26+BJ26+BK26)))))</f>
        <v>40</v>
      </c>
      <c r="BM27" s="64">
        <f>IF(AND(BM24=8,BM25=13),104,IF(BM24&lt;=0,0,IF(WEEKDAY(BM$6,1)=1,0,IF(WEEKDAY(BM$6,1)=7,BM24*BM25,MAX(0,BM25-8)*BM24)))+((IF(BM24&lt;=0,0,IF(WEEKDAY(BM$6,1)=1,0,IF(WEEKDAY(BM$6,1)=7,0,MIN(8,BM25)*BM24))))-MIN(IF(BM24&lt;=0,0,IF(WEEKDAY(BM$6,1)=1,0,IF(WEEKDAY(BM$6,1)=7,0,MIN(8,BM25)*BM24))),MAX(0,40*MAX(1,BM24)-(BH26+BI26+BJ26+BK26+BL26)))))</f>
        <v>104</v>
      </c>
      <c r="BN27" s="64">
        <f>IF(AND(BN24=8,BN25=13),0,IF(BN24&lt;=0,0,IF(WEEKDAY(BN$6,1)=1,0,IF(WEEKDAY(BN$6,1)=7,BN24*BN25,MAX(0,BN25-8)*BN24)))+((IF(BN24&lt;=0,0,IF(WEEKDAY(BN$6,1)=1,0,IF(WEEKDAY(BN$6,1)=7,0,MIN(8,BN25)*BN24))))-MIN(IF(BN24&lt;=0,0,IF(WEEKDAY(BN$6,1)=1,0,IF(WEEKDAY(BN$6,1)=7,0,MIN(8,BN25)*BN24))),MAX(0,40*MAX(1,BN24)-(BH26+BI26+BJ26+BK26+BL26+BM26)))))</f>
        <v>0</v>
      </c>
      <c r="BO27" s="63">
        <f>IF(AND(BO24=8,BO25=13),40,IF(BO24&lt;=0,0,IF(WEEKDAY(BO$6,1)=1,0,IF(WEEKDAY(BO$6,1)=7,BO24*BO25,MAX(0,BO25-8)*BO24)))+((IF(BO24&lt;=0,0,IF(WEEKDAY(BO$6,1)=1,0,IF(WEEKDAY(BO$6,1)=7,0,MIN(8,BO25)*BO24))))-MIN(IF(BO24&lt;=0,0,IF(WEEKDAY(BO$6,1)=1,0,IF(WEEKDAY(BO$6,1)=7,0,MIN(8,BO25)*BO24))),MAX(0,40*MAX(1,BO24)-(0)))))</f>
        <v>40</v>
      </c>
      <c r="BP27" s="63">
        <f>IF(AND(BP24=8,BP25=13),40,IF(BP24&lt;=0,0,IF(WEEKDAY(BP$6,1)=1,0,IF(WEEKDAY(BP$6,1)=7,BP24*BP25,MAX(0,BP25-8)*BP24)))+((IF(BP24&lt;=0,0,IF(WEEKDAY(BP$6,1)=1,0,IF(WEEKDAY(BP$6,1)=7,0,MIN(8,BP25)*BP24))))-MIN(IF(BP24&lt;=0,0,IF(WEEKDAY(BP$6,1)=1,0,IF(WEEKDAY(BP$6,1)=7,0,MIN(8,BP25)*BP24))),MAX(0,40*MAX(1,BP24)-(BO26)))))</f>
        <v>40</v>
      </c>
      <c r="BQ27" s="63">
        <f>IF(AND(BQ24=8,BQ25=13),40,IF(BQ24&lt;=0,0,IF(WEEKDAY(BQ$6,1)=1,0,IF(WEEKDAY(BQ$6,1)=7,BQ24*BQ25,MAX(0,BQ25-8)*BQ24)))+((IF(BQ24&lt;=0,0,IF(WEEKDAY(BQ$6,1)=1,0,IF(WEEKDAY(BQ$6,1)=7,0,MIN(8,BQ25)*BQ24))))-MIN(IF(BQ24&lt;=0,0,IF(WEEKDAY(BQ$6,1)=1,0,IF(WEEKDAY(BQ$6,1)=7,0,MIN(8,BQ25)*BQ24))),MAX(0,40*MAX(1,BQ24)-(BO26+BP26)))))</f>
        <v>40</v>
      </c>
      <c r="BR27" s="63">
        <f>IF(AND(BR24=8,BR25=13),40,IF(BR24&lt;=0,0,IF(WEEKDAY(BR$6,1)=1,0,IF(WEEKDAY(BR$6,1)=7,BR24*BR25,MAX(0,BR25-8)*BR24)))+((IF(BR24&lt;=0,0,IF(WEEKDAY(BR$6,1)=1,0,IF(WEEKDAY(BR$6,1)=7,0,MIN(8,BR25)*BR24))))-MIN(IF(BR24&lt;=0,0,IF(WEEKDAY(BR$6,1)=1,0,IF(WEEKDAY(BR$6,1)=7,0,MIN(8,BR25)*BR24))),MAX(0,40*MAX(1,BR24)-(0)))))</f>
        <v>40</v>
      </c>
      <c r="BS27" s="63">
        <f>IF(AND(BS24=8,BS25=13),40,IF(BS24&lt;=0,0,IF(WEEKDAY(BS$6,1)=1,0,IF(WEEKDAY(BS$6,1)=7,BS24*BS25,MAX(0,BS25-8)*BS24)))+((IF(BS24&lt;=0,0,IF(WEEKDAY(BS$6,1)=1,0,IF(WEEKDAY(BS$6,1)=7,0,MIN(8,BS25)*BS24))))-MIN(IF(BS24&lt;=0,0,IF(WEEKDAY(BS$6,1)=1,0,IF(WEEKDAY(BS$6,1)=7,0,MIN(8,BS25)*BS24))),MAX(0,40*MAX(1,BS24)-(BR26)))))</f>
        <v>40</v>
      </c>
      <c r="BT27" s="64">
        <f>IF(AND(BT24=8,BT25=13),104,IF(BT24&lt;=0,0,IF(WEEKDAY(BT$6,1)=1,0,IF(WEEKDAY(BT$6,1)=7,BT24*BT25,MAX(0,BT25-8)*BT24)))+((IF(BT24&lt;=0,0,IF(WEEKDAY(BT$6,1)=1,0,IF(WEEKDAY(BT$6,1)=7,0,MIN(8,BT25)*BT24))))-MIN(IF(BT24&lt;=0,0,IF(WEEKDAY(BT$6,1)=1,0,IF(WEEKDAY(BT$6,1)=7,0,MIN(8,BT25)*BT24))),MAX(0,40*MAX(1,BT24)-(BR26+BS26)))))</f>
        <v>104</v>
      </c>
      <c r="BU27" s="64">
        <f>IF(AND(BU24=8,BU25=13),0,IF(BU24&lt;=0,0,IF(WEEKDAY(BU$6,1)=1,0,IF(WEEKDAY(BU$6,1)=7,BU24*BU25,MAX(0,BU25-8)*BU24)))+((IF(BU24&lt;=0,0,IF(WEEKDAY(BU$6,1)=1,0,IF(WEEKDAY(BU$6,1)=7,0,MIN(8,BU25)*BU24))))-MIN(IF(BU24&lt;=0,0,IF(WEEKDAY(BU$6,1)=1,0,IF(WEEKDAY(BU$6,1)=7,0,MIN(8,BU25)*BU24))),MAX(0,40*MAX(1,BU24)-(BR26+BS26+BT26)))))</f>
        <v>0</v>
      </c>
      <c r="BV27" s="63">
        <f>IF(AND(BV24=8,BV25=13),40,IF(BV24&lt;=0,0,IF(WEEKDAY(BV$6,1)=1,0,IF(WEEKDAY(BV$6,1)=7,BV24*BV25,MAX(0,BV25-8)*BV24)))+((IF(BV24&lt;=0,0,IF(WEEKDAY(BV$6,1)=1,0,IF(WEEKDAY(BV$6,1)=7,0,MIN(8,BV25)*BV24))))-MIN(IF(BV24&lt;=0,0,IF(WEEKDAY(BV$6,1)=1,0,IF(WEEKDAY(BV$6,1)=7,0,MIN(8,BV25)*BV24))),MAX(0,40*MAX(1,BV24)-(0)))))</f>
        <v>40</v>
      </c>
      <c r="BW27" s="63">
        <f>IF(AND(BW24=8,BW25=13),40,IF(BW24&lt;=0,0,IF(WEEKDAY(BW$6,1)=1,0,IF(WEEKDAY(BW$6,1)=7,BW24*BW25,MAX(0,BW25-8)*BW24)))+((IF(BW24&lt;=0,0,IF(WEEKDAY(BW$6,1)=1,0,IF(WEEKDAY(BW$6,1)=7,0,MIN(8,BW25)*BW24))))-MIN(IF(BW24&lt;=0,0,IF(WEEKDAY(BW$6,1)=1,0,IF(WEEKDAY(BW$6,1)=7,0,MIN(8,BW25)*BW24))),MAX(0,40*MAX(1,BW24)-(BV26)))))</f>
        <v>40</v>
      </c>
      <c r="BX27" s="63">
        <f>IF(AND(BX24=8,BX25=13),40,IF(BX24&lt;=0,0,IF(WEEKDAY(BX$6,1)=1,0,IF(WEEKDAY(BX$6,1)=7,BX24*BX25,MAX(0,BX25-8)*BX24)))+((IF(BX24&lt;=0,0,IF(WEEKDAY(BX$6,1)=1,0,IF(WEEKDAY(BX$6,1)=7,0,MIN(8,BX25)*BX24))))-MIN(IF(BX24&lt;=0,0,IF(WEEKDAY(BX$6,1)=1,0,IF(WEEKDAY(BX$6,1)=7,0,MIN(8,BX25)*BX24))),MAX(0,40*MAX(1,BX24)-(BV26+BW26)))))</f>
        <v>40</v>
      </c>
      <c r="BY27" s="63">
        <f>IF(AND(BY24=8,BY25=13),40,IF(BY24&lt;=0,0,IF(WEEKDAY(BY$6,1)=1,0,IF(WEEKDAY(BY$6,1)=7,BY24*BY25,MAX(0,BY25-8)*BY24)))+((IF(BY24&lt;=0,0,IF(WEEKDAY(BY$6,1)=1,0,IF(WEEKDAY(BY$6,1)=7,0,MIN(8,BY25)*BY24))))-MIN(IF(BY24&lt;=0,0,IF(WEEKDAY(BY$6,1)=1,0,IF(WEEKDAY(BY$6,1)=7,0,MIN(8,BY25)*BY24))),MAX(0,40*MAX(1,BY24)-(BV26+BW26+BX26)))))</f>
        <v>40</v>
      </c>
      <c r="BZ27" s="63">
        <f>IF(AND(BZ24=8,BZ25=13),40,IF(BZ24&lt;=0,0,IF(WEEKDAY(BZ$6,1)=1,0,IF(WEEKDAY(BZ$6,1)=7,BZ24*BZ25,MAX(0,BZ25-8)*BZ24)))+((IF(BZ24&lt;=0,0,IF(WEEKDAY(BZ$6,1)=1,0,IF(WEEKDAY(BZ$6,1)=7,0,MIN(8,BZ25)*BZ24))))-MIN(IF(BZ24&lt;=0,0,IF(WEEKDAY(BZ$6,1)=1,0,IF(WEEKDAY(BZ$6,1)=7,0,MIN(8,BZ25)*BZ24))),MAX(0,40*MAX(1,BZ24)-(BV26+BW26+BX26+BY26)))))</f>
        <v>40</v>
      </c>
      <c r="CA27" s="64">
        <f>IF(AND(CA24=8,CA25=13),104,IF(CA24&lt;=0,0,IF(WEEKDAY(CA$6,1)=1,0,IF(WEEKDAY(CA$6,1)=7,CA24*CA25,MAX(0,CA25-8)*CA24)))+((IF(CA24&lt;=0,0,IF(WEEKDAY(CA$6,1)=1,0,IF(WEEKDAY(CA$6,1)=7,0,MIN(8,CA25)*CA24))))-MIN(IF(CA24&lt;=0,0,IF(WEEKDAY(CA$6,1)=1,0,IF(WEEKDAY(CA$6,1)=7,0,MIN(8,CA25)*CA24))),MAX(0,40*MAX(1,CA24)-(BV26+BW26+BX26+BY26+BZ26)))))</f>
        <v>104</v>
      </c>
      <c r="CB27" s="64">
        <f>IF(AND(CB24=0,CB25=0),0,IF(CB24&lt;=0,0,IF(WEEKDAY(CB$6,1)=1,0,IF(WEEKDAY(CB$6,1)=7,CB24*CB25,MAX(0,CB25-8)*CB24)))+((IF(CB24&lt;=0,0,IF(WEEKDAY(CB$6,1)=1,0,IF(WEEKDAY(CB$6,1)=7,0,MIN(8,CB25)*CB24))))-MIN(IF(CB24&lt;=0,0,IF(WEEKDAY(CB$6,1)=1,0,IF(WEEKDAY(CB$6,1)=7,0,MIN(8,CB25)*CB24))),MAX(0,40*MAX(1,CB24)-(0)))))</f>
        <v>0</v>
      </c>
      <c r="CC27" s="63">
        <f>IF(AND(CC24=8,CC25=13),40,IF(CC24&lt;=0,0,IF(WEEKDAY(CC$6,1)=1,0,IF(WEEKDAY(CC$6,1)=7,CC24*CC25,MAX(0,CC25-8)*CC24)))+((IF(CC24&lt;=0,0,IF(WEEKDAY(CC$6,1)=1,0,IF(WEEKDAY(CC$6,1)=7,0,MIN(8,CC25)*CC24))))-MIN(IF(CC24&lt;=0,0,IF(WEEKDAY(CC$6,1)=1,0,IF(WEEKDAY(CC$6,1)=7,0,MIN(8,CC25)*CC24))),MAX(0,40*MAX(1,CC24)-(0)))))</f>
        <v>40</v>
      </c>
      <c r="CD27" s="63">
        <f>IF(AND(CD24=8,CD25=13),40,IF(CD24&lt;=0,0,IF(WEEKDAY(CD$6,1)=1,0,IF(WEEKDAY(CD$6,1)=7,CD24*CD25,MAX(0,CD25-8)*CD24)))+((IF(CD24&lt;=0,0,IF(WEEKDAY(CD$6,1)=1,0,IF(WEEKDAY(CD$6,1)=7,0,MIN(8,CD25)*CD24))))-MIN(IF(CD24&lt;=0,0,IF(WEEKDAY(CD$6,1)=1,0,IF(WEEKDAY(CD$6,1)=7,0,MIN(8,CD25)*CD24))),MAX(0,40*MAX(1,CD24)-(CC26)))))</f>
        <v>40</v>
      </c>
      <c r="CE27" s="63">
        <f>IF(AND(CE24=8,CE25=13),40,IF(CE24&lt;=0,0,IF(WEEKDAY(CE$6,1)=1,0,IF(WEEKDAY(CE$6,1)=7,CE24*CE25,MAX(0,CE25-8)*CE24)))+((IF(CE24&lt;=0,0,IF(WEEKDAY(CE$6,1)=1,0,IF(WEEKDAY(CE$6,1)=7,0,MIN(8,CE25)*CE24))))-MIN(IF(CE24&lt;=0,0,IF(WEEKDAY(CE$6,1)=1,0,IF(WEEKDAY(CE$6,1)=7,0,MIN(8,CE25)*CE24))),MAX(0,40*MAX(1,CE24)-(CC26+CD26)))))</f>
        <v>40</v>
      </c>
      <c r="CF27" s="63">
        <f>IF(AND(CF24=8,CF25=13),40,IF(CF24&lt;=0,0,IF(WEEKDAY(CF$6,1)=1,0,IF(WEEKDAY(CF$6,1)=7,CF24*CF25,MAX(0,CF25-8)*CF24)))+((IF(CF24&lt;=0,0,IF(WEEKDAY(CF$6,1)=1,0,IF(WEEKDAY(CF$6,1)=7,0,MIN(8,CF25)*CF24))))-MIN(IF(CF24&lt;=0,0,IF(WEEKDAY(CF$6,1)=1,0,IF(WEEKDAY(CF$6,1)=7,0,MIN(8,CF25)*CF24))),MAX(0,40*MAX(1,CF24)-(CC26+CD26+CE26)))))</f>
        <v>40</v>
      </c>
      <c r="CG27" s="63">
        <f>IF(AND(CG24=8,CG25=13),40,IF(CG24&lt;=0,0,IF(WEEKDAY(CG$6,1)=1,0,IF(WEEKDAY(CG$6,1)=7,CG24*CG25,MAX(0,CG25-8)*CG24)))+((IF(CG24&lt;=0,0,IF(WEEKDAY(CG$6,1)=1,0,IF(WEEKDAY(CG$6,1)=7,0,MIN(8,CG25)*CG24))))-MIN(IF(CG24&lt;=0,0,IF(WEEKDAY(CG$6,1)=1,0,IF(WEEKDAY(CG$6,1)=7,0,MIN(8,CG25)*CG24))),MAX(0,40*MAX(1,CG24)-(CC26+CD26+CE26+CF26)))))</f>
        <v>40</v>
      </c>
      <c r="CH27" s="64">
        <f>IF(AND(CH24=8,CH25=13),104,IF(CH24&lt;=0,0,IF(WEEKDAY(CH$6,1)=1,0,IF(WEEKDAY(CH$6,1)=7,CH24*CH25,MAX(0,CH25-8)*CH24)))+((IF(CH24&lt;=0,0,IF(WEEKDAY(CH$6,1)=1,0,IF(WEEKDAY(CH$6,1)=7,0,MIN(8,CH25)*CH24))))-MIN(IF(CH24&lt;=0,0,IF(WEEKDAY(CH$6,1)=1,0,IF(WEEKDAY(CH$6,1)=7,0,MIN(8,CH25)*CH24))),MAX(0,40*MAX(1,CH24)-(CC26+CD26+CE26+CF26+CG26)))))</f>
        <v>104</v>
      </c>
      <c r="CI27" s="64">
        <f>IF(AND(CI24=8,CI25=13),0,IF(CI24&lt;=0,0,IF(WEEKDAY(CI$6,1)=1,0,IF(WEEKDAY(CI$6,1)=7,CI24*CI25,MAX(0,CI25-8)*CI24)))+((IF(CI24&lt;=0,0,IF(WEEKDAY(CI$6,1)=1,0,IF(WEEKDAY(CI$6,1)=7,0,MIN(8,CI25)*CI24))))-MIN(IF(CI24&lt;=0,0,IF(WEEKDAY(CI$6,1)=1,0,IF(WEEKDAY(CI$6,1)=7,0,MIN(8,CI25)*CI24))),MAX(0,40*MAX(1,CI24)-(CC26+CD26+CE26+CF26+CG26+CH26)))))</f>
        <v>0</v>
      </c>
      <c r="CJ27" s="63">
        <f>IF(AND(CJ24=8,CJ25=13),40,IF(CJ24&lt;=0,0,IF(WEEKDAY(CJ$6,1)=1,0,IF(WEEKDAY(CJ$6,1)=7,CJ24*CJ25,MAX(0,CJ25-8)*CJ24)))+((IF(CJ24&lt;=0,0,IF(WEEKDAY(CJ$6,1)=1,0,IF(WEEKDAY(CJ$6,1)=7,0,MIN(8,CJ25)*CJ24))))-MIN(IF(CJ24&lt;=0,0,IF(WEEKDAY(CJ$6,1)=1,0,IF(WEEKDAY(CJ$6,1)=7,0,MIN(8,CJ25)*CJ24))),MAX(0,40*MAX(1,CJ24)-(0)))))</f>
        <v>40</v>
      </c>
      <c r="CK27" s="63">
        <f>IF(AND(CK24=8,CK25=13),40,IF(CK24&lt;=0,0,IF(WEEKDAY(CK$6,1)=1,0,IF(WEEKDAY(CK$6,1)=7,CK24*CK25,MAX(0,CK25-8)*CK24)))+((IF(CK24&lt;=0,0,IF(WEEKDAY(CK$6,1)=1,0,IF(WEEKDAY(CK$6,1)=7,0,MIN(8,CK25)*CK24))))-MIN(IF(CK24&lt;=0,0,IF(WEEKDAY(CK$6,1)=1,0,IF(WEEKDAY(CK$6,1)=7,0,MIN(8,CK25)*CK24))),MAX(0,40*MAX(1,CK24)-(CJ26)))))</f>
        <v>40</v>
      </c>
      <c r="CL27" s="63">
        <f>IF(AND(CL24=8,CL25=13),40,IF(CL24&lt;=0,0,IF(WEEKDAY(CL$6,1)=1,0,IF(WEEKDAY(CL$6,1)=7,CL24*CL25,MAX(0,CL25-8)*CL24)))+((IF(CL24&lt;=0,0,IF(WEEKDAY(CL$6,1)=1,0,IF(WEEKDAY(CL$6,1)=7,0,MIN(8,CL25)*CL24))))-MIN(IF(CL24&lt;=0,0,IF(WEEKDAY(CL$6,1)=1,0,IF(WEEKDAY(CL$6,1)=7,0,MIN(8,CL25)*CL24))),MAX(0,40*MAX(1,CL24)-(CJ26+CK26)))))</f>
        <v>40</v>
      </c>
      <c r="CM27" s="63">
        <f>IF(AND(CM24=8,CM25=13),40,IF(CM24&lt;=0,0,IF(WEEKDAY(CM$6,1)=1,0,IF(WEEKDAY(CM$6,1)=7,CM24*CM25,MAX(0,CM25-8)*CM24)))+((IF(CM24&lt;=0,0,IF(WEEKDAY(CM$6,1)=1,0,IF(WEEKDAY(CM$6,1)=7,0,MIN(8,CM25)*CM24))))-MIN(IF(CM24&lt;=0,0,IF(WEEKDAY(CM$6,1)=1,0,IF(WEEKDAY(CM$6,1)=7,0,MIN(8,CM25)*CM24))),MAX(0,40*MAX(1,CM24)-(CJ26+CK26+CL26)))))</f>
        <v>40</v>
      </c>
      <c r="CN27" s="63">
        <f>IF(AND(CN24=8,CN25=13),40,IF(CN24&lt;=0,0,IF(WEEKDAY(CN$6,1)=1,0,IF(WEEKDAY(CN$6,1)=7,CN24*CN25,MAX(0,CN25-8)*CN24)))+((IF(CN24&lt;=0,0,IF(WEEKDAY(CN$6,1)=1,0,IF(WEEKDAY(CN$6,1)=7,0,MIN(8,CN25)*CN24))))-MIN(IF(CN24&lt;=0,0,IF(WEEKDAY(CN$6,1)=1,0,IF(WEEKDAY(CN$6,1)=7,0,MIN(8,CN25)*CN24))),MAX(0,40*MAX(1,CN24)-(CJ26+CK26+CL26+CM26)))))</f>
        <v>40</v>
      </c>
      <c r="CO27" s="64">
        <f>IF(AND(CO24=8,CO25=13),104,IF(CO24&lt;=0,0,IF(WEEKDAY(CO$6,1)=1,0,IF(WEEKDAY(CO$6,1)=7,CO24*CO25,MAX(0,CO25-8)*CO24)))+((IF(CO24&lt;=0,0,IF(WEEKDAY(CO$6,1)=1,0,IF(WEEKDAY(CO$6,1)=7,0,MIN(8,CO25)*CO24))))-MIN(IF(CO24&lt;=0,0,IF(WEEKDAY(CO$6,1)=1,0,IF(WEEKDAY(CO$6,1)=7,0,MIN(8,CO25)*CO24))),MAX(0,40*MAX(1,CO24)-(CJ26+CK26+CL26+CM26+CN26)))))</f>
        <v>104</v>
      </c>
      <c r="CP27" s="64">
        <f>IF(AND(CP24=0,CP25=0),0,IF(CP24&lt;=0,0,IF(WEEKDAY(CP$6,1)=1,0,IF(WEEKDAY(CP$6,1)=7,CP24*CP25,MAX(0,CP25-8)*CP24)))+((IF(CP24&lt;=0,0,IF(WEEKDAY(CP$6,1)=1,0,IF(WEEKDAY(CP$6,1)=7,0,MIN(8,CP25)*CP24))))-MIN(IF(CP24&lt;=0,0,IF(WEEKDAY(CP$6,1)=1,0,IF(WEEKDAY(CP$6,1)=7,0,MIN(8,CP25)*CP24))),MAX(0,40*MAX(1,CP24)-(0)))))</f>
        <v>0</v>
      </c>
      <c r="CQ27" s="63">
        <f>IF(AND(CQ24=8,CQ25=13),40,IF(CQ24&lt;=0,0,IF(WEEKDAY(CQ$6,1)=1,0,IF(WEEKDAY(CQ$6,1)=7,CQ24*CQ25,MAX(0,CQ25-8)*CQ24)))+((IF(CQ24&lt;=0,0,IF(WEEKDAY(CQ$6,1)=1,0,IF(WEEKDAY(CQ$6,1)=7,0,MIN(8,CQ25)*CQ24))))-MIN(IF(CQ24&lt;=0,0,IF(WEEKDAY(CQ$6,1)=1,0,IF(WEEKDAY(CQ$6,1)=7,0,MIN(8,CQ25)*CQ24))),MAX(0,40*MAX(1,CQ24)-(0)))))</f>
        <v>40</v>
      </c>
      <c r="CR27" s="63">
        <f>IF(AND(CR24=8,CR25=13),40,IF(CR24&lt;=0,0,IF(WEEKDAY(CR$6,1)=1,0,IF(WEEKDAY(CR$6,1)=7,CR24*CR25,MAX(0,CR25-8)*CR24)))+((IF(CR24&lt;=0,0,IF(WEEKDAY(CR$6,1)=1,0,IF(WEEKDAY(CR$6,1)=7,0,MIN(8,CR25)*CR24))))-MIN(IF(CR24&lt;=0,0,IF(WEEKDAY(CR$6,1)=1,0,IF(WEEKDAY(CR$6,1)=7,0,MIN(8,CR25)*CR24))),MAX(0,40*MAX(1,CR24)-(CQ26)))))</f>
        <v>40</v>
      </c>
      <c r="CS27" s="63">
        <f>IF(AND(CS24=8,CS25=13),40,IF(CS24&lt;=0,0,IF(WEEKDAY(CS$6,1)=1,0,IF(WEEKDAY(CS$6,1)=7,CS24*CS25,MAX(0,CS25-8)*CS24)))+((IF(CS24&lt;=0,0,IF(WEEKDAY(CS$6,1)=1,0,IF(WEEKDAY(CS$6,1)=7,0,MIN(8,CS25)*CS24))))-MIN(IF(CS24&lt;=0,0,IF(WEEKDAY(CS$6,1)=1,0,IF(WEEKDAY(CS$6,1)=7,0,MIN(8,CS25)*CS24))),MAX(0,40*MAX(1,CS24)-(CQ26+CR26)))))</f>
        <v>40</v>
      </c>
      <c r="CT27" s="63">
        <f>IF(AND(CT24=8,CT25=13),40,IF(CT24&lt;=0,0,IF(WEEKDAY(CT$6,1)=1,0,IF(WEEKDAY(CT$6,1)=7,CT24*CT25,MAX(0,CT25-8)*CT24)))+((IF(CT24&lt;=0,0,IF(WEEKDAY(CT$6,1)=1,0,IF(WEEKDAY(CT$6,1)=7,0,MIN(8,CT25)*CT24))))-MIN(IF(CT24&lt;=0,0,IF(WEEKDAY(CT$6,1)=1,0,IF(WEEKDAY(CT$6,1)=7,0,MIN(8,CT25)*CT24))),MAX(0,40*MAX(1,CT24)-(CQ26+CR26+CS26)))))</f>
        <v>40</v>
      </c>
      <c r="CU27" s="63">
        <f>IF(AND(CU24=8,CU25=13),40,IF(CU24&lt;=0,0,IF(WEEKDAY(CU$6,1)=1,0,IF(WEEKDAY(CU$6,1)=7,CU24*CU25,MAX(0,CU25-8)*CU24)))+((IF(CU24&lt;=0,0,IF(WEEKDAY(CU$6,1)=1,0,IF(WEEKDAY(CU$6,1)=7,0,MIN(8,CU25)*CU24))))-MIN(IF(CU24&lt;=0,0,IF(WEEKDAY(CU$6,1)=1,0,IF(WEEKDAY(CU$6,1)=7,0,MIN(8,CU25)*CU24))),MAX(0,40*MAX(1,CU24)-(CQ26+CR26+CS26+CT26)))))</f>
        <v>40</v>
      </c>
      <c r="CV27" s="64">
        <f>IF(AND(CV24=8,CV25=13),104,IF(CV24&lt;=0,0,IF(WEEKDAY(CV$6,1)=1,0,IF(WEEKDAY(CV$6,1)=7,CV24*CV25,MAX(0,CV25-8)*CV24)))+((IF(CV24&lt;=0,0,IF(WEEKDAY(CV$6,1)=1,0,IF(WEEKDAY(CV$6,1)=7,0,MIN(8,CV25)*CV24))))-MIN(IF(CV24&lt;=0,0,IF(WEEKDAY(CV$6,1)=1,0,IF(WEEKDAY(CV$6,1)=7,0,MIN(8,CV25)*CV24))),MAX(0,40*MAX(1,CV24)-(CQ26+CR26+CS26+CT26+CU26)))))</f>
        <v>104</v>
      </c>
      <c r="CW27" s="64">
        <f>IF(AND(CW24=8,CW25=13),0,IF(CW24&lt;=0,0,IF(WEEKDAY(CW$6,1)=1,0,IF(WEEKDAY(CW$6,1)=7,CW24*CW25,MAX(0,CW25-8)*CW24)))+((IF(CW24&lt;=0,0,IF(WEEKDAY(CW$6,1)=1,0,IF(WEEKDAY(CW$6,1)=7,0,MIN(8,CW25)*CW24))))-MIN(IF(CW24&lt;=0,0,IF(WEEKDAY(CW$6,1)=1,0,IF(WEEKDAY(CW$6,1)=7,0,MIN(8,CW25)*CW24))),MAX(0,40*MAX(1,CW24)-(CQ26+CR26+CS26+CT26+CU26+CV26)))))</f>
        <v>0</v>
      </c>
      <c r="CX27" s="63">
        <f>IF(AND(CX24=8,CX25=13),40,IF(CX24&lt;=0,0,IF(WEEKDAY(CX$6,1)=1,0,IF(WEEKDAY(CX$6,1)=7,CX24*CX25,MAX(0,CX25-8)*CX24)))+((IF(CX24&lt;=0,0,IF(WEEKDAY(CX$6,1)=1,0,IF(WEEKDAY(CX$6,1)=7,0,MIN(8,CX25)*CX24))))-MIN(IF(CX24&lt;=0,0,IF(WEEKDAY(CX$6,1)=1,0,IF(WEEKDAY(CX$6,1)=7,0,MIN(8,CX25)*CX24))),MAX(0,40*MAX(1,CX24)-(0)))))</f>
        <v>40</v>
      </c>
      <c r="CY27" s="63">
        <f>IF(AND(CY24=8,CY25=13),40,IF(CY24&lt;=0,0,IF(WEEKDAY(CY$6,1)=1,0,IF(WEEKDAY(CY$6,1)=7,CY24*CY25,MAX(0,CY25-8)*CY24)))+((IF(CY24&lt;=0,0,IF(WEEKDAY(CY$6,1)=1,0,IF(WEEKDAY(CY$6,1)=7,0,MIN(8,CY25)*CY24))))-MIN(IF(CY24&lt;=0,0,IF(WEEKDAY(CY$6,1)=1,0,IF(WEEKDAY(CY$6,1)=7,0,MIN(8,CY25)*CY24))),MAX(0,40*MAX(1,CY24)-(CX26)))))</f>
        <v>40</v>
      </c>
      <c r="CZ27" s="63">
        <f>IF(AND(CZ24=8,CZ25=13),40,IF(CZ24&lt;=0,0,IF(WEEKDAY(CZ$6,1)=1,0,IF(WEEKDAY(CZ$6,1)=7,CZ24*CZ25,MAX(0,CZ25-8)*CZ24)))+((IF(CZ24&lt;=0,0,IF(WEEKDAY(CZ$6,1)=1,0,IF(WEEKDAY(CZ$6,1)=7,0,MIN(8,CZ25)*CZ24))))-MIN(IF(CZ24&lt;=0,0,IF(WEEKDAY(CZ$6,1)=1,0,IF(WEEKDAY(CZ$6,1)=7,0,MIN(8,CZ25)*CZ24))),MAX(0,40*MAX(1,CZ24)-(CX26+CY26)))))</f>
        <v>40</v>
      </c>
      <c r="DA27" s="63">
        <f>IF(AND(DA24=8,DA25=13),40,IF(DA24&lt;=0,0,IF(WEEKDAY(DA$6,1)=1,0,IF(WEEKDAY(DA$6,1)=7,DA24*DA25,MAX(0,DA25-8)*DA24)))+((IF(DA24&lt;=0,0,IF(WEEKDAY(DA$6,1)=1,0,IF(WEEKDAY(DA$6,1)=7,0,MIN(8,DA25)*DA24))))-MIN(IF(DA24&lt;=0,0,IF(WEEKDAY(DA$6,1)=1,0,IF(WEEKDAY(DA$6,1)=7,0,MIN(8,DA25)*DA24))),MAX(0,40*MAX(1,DA24)-(CX26+CY26+CZ26)))))</f>
        <v>40</v>
      </c>
      <c r="DB27" s="63">
        <f>IF(AND(DB24=8,DB25=13),40,IF(DB24&lt;=0,0,IF(WEEKDAY(DB$6,1)=1,0,IF(WEEKDAY(DB$6,1)=7,DB24*DB25,MAX(0,DB25-8)*DB24)))+((IF(DB24&lt;=0,0,IF(WEEKDAY(DB$6,1)=1,0,IF(WEEKDAY(DB$6,1)=7,0,MIN(8,DB25)*DB24))))-MIN(IF(DB24&lt;=0,0,IF(WEEKDAY(DB$6,1)=1,0,IF(WEEKDAY(DB$6,1)=7,0,MIN(8,DB25)*DB24))),MAX(0,40*MAX(1,DB24)-(CX26+CY26+CZ26+DA26)))))</f>
        <v>40</v>
      </c>
      <c r="DC27" s="64">
        <f>IF(AND(DC24=8,DC25=13),104,IF(DC24&lt;=0,0,IF(WEEKDAY(DC$6,1)=1,0,IF(WEEKDAY(DC$6,1)=7,DC24*DC25,MAX(0,DC25-8)*DC24)))+((IF(DC24&lt;=0,0,IF(WEEKDAY(DC$6,1)=1,0,IF(WEEKDAY(DC$6,1)=7,0,MIN(8,DC25)*DC24))))-MIN(IF(DC24&lt;=0,0,IF(WEEKDAY(DC$6,1)=1,0,IF(WEEKDAY(DC$6,1)=7,0,MIN(8,DC25)*DC24))),MAX(0,40*MAX(1,DC24)-(CX26+CY26+CZ26+DA26+DB26)))))</f>
        <v>104</v>
      </c>
      <c r="DD27" s="64">
        <f>IF(AND(DD24=2,DD25=10),0,IF(DD24&lt;=0,0,IF(WEEKDAY(DD$6,1)=1,0,IF(WEEKDAY(DD$6,1)=7,DD24*DD25,MAX(0,DD25-8)*DD24)))+((IF(DD24&lt;=0,0,IF(WEEKDAY(DD$6,1)=1,0,IF(WEEKDAY(DD$6,1)=7,0,MIN(8,DD25)*DD24))))-MIN(IF(DD24&lt;=0,0,IF(WEEKDAY(DD$6,1)=1,0,IF(WEEKDAY(DD$6,1)=7,0,MIN(8,DD25)*DD24))),MAX(0,40*MAX(1,DD24)-(0)))))</f>
        <v>0</v>
      </c>
      <c r="DE27" s="63">
        <f>IF(AND(DE24=2,DE25=10),4,IF(DE24&lt;=0,0,IF(WEEKDAY(DE$6,1)=1,0,IF(WEEKDAY(DE$6,1)=7,DE24*DE25,MAX(0,DE25-8)*DE24)))+((IF(DE24&lt;=0,0,IF(WEEKDAY(DE$6,1)=1,0,IF(WEEKDAY(DE$6,1)=7,0,MIN(8,DE25)*DE24))))-MIN(IF(DE24&lt;=0,0,IF(WEEKDAY(DE$6,1)=1,0,IF(WEEKDAY(DE$6,1)=7,0,MIN(8,DE25)*DE24))),MAX(0,40*MAX(1,DE24)-(0)))))</f>
        <v>4</v>
      </c>
      <c r="DF27" s="63">
        <f>IF(AND(DF24=2,DF25=10),4,IF(DF24&lt;=0,0,IF(WEEKDAY(DF$6,1)=1,0,IF(WEEKDAY(DF$6,1)=7,DF24*DF25,MAX(0,DF25-8)*DF24)))+((IF(DF24&lt;=0,0,IF(WEEKDAY(DF$6,1)=1,0,IF(WEEKDAY(DF$6,1)=7,0,MIN(8,DF25)*DF24))))-MIN(IF(DF24&lt;=0,0,IF(WEEKDAY(DF$6,1)=1,0,IF(WEEKDAY(DF$6,1)=7,0,MIN(8,DF25)*DF24))),MAX(0,40*MAX(1,DF24)-(DE26)))))</f>
        <v>4</v>
      </c>
      <c r="DG27" s="63">
        <f>IF(AND(DG24=2,DG25=10),4,IF(DG24&lt;=0,0,IF(WEEKDAY(DG$6,1)=1,0,IF(WEEKDAY(DG$6,1)=7,DG24*DG25,MAX(0,DG25-8)*DG24)))+((IF(DG24&lt;=0,0,IF(WEEKDAY(DG$6,1)=1,0,IF(WEEKDAY(DG$6,1)=7,0,MIN(8,DG25)*DG24))))-MIN(IF(DG24&lt;=0,0,IF(WEEKDAY(DG$6,1)=1,0,IF(WEEKDAY(DG$6,1)=7,0,MIN(8,DG25)*DG24))),MAX(0,40*MAX(1,DG24)-(DE26+DF26)))))</f>
        <v>4</v>
      </c>
      <c r="DH27" s="63">
        <f>IF(AND(DH24=2,DH25=10),4,IF(DH24&lt;=0,0,IF(WEEKDAY(DH$6,1)=1,0,IF(WEEKDAY(DH$6,1)=7,DH24*DH25,MAX(0,DH25-8)*DH24)))+((IF(DH24&lt;=0,0,IF(WEEKDAY(DH$6,1)=1,0,IF(WEEKDAY(DH$6,1)=7,0,MIN(8,DH25)*DH24))))-MIN(IF(DH24&lt;=0,0,IF(WEEKDAY(DH$6,1)=1,0,IF(WEEKDAY(DH$6,1)=7,0,MIN(8,DH25)*DH24))),MAX(0,40*MAX(1,DH24)-(DE26+DF26+DG26)))))</f>
        <v>4</v>
      </c>
      <c r="DI27" s="63">
        <f>IF(AND(DI24=2,DI25=10),4,IF(DI24&lt;=0,0,IF(WEEKDAY(DI$6,1)=1,0,IF(WEEKDAY(DI$6,1)=7,DI24*DI25,MAX(0,DI25-8)*DI24)))+((IF(DI24&lt;=0,0,IF(WEEKDAY(DI$6,1)=1,0,IF(WEEKDAY(DI$6,1)=7,0,MIN(8,DI25)*DI24))))-MIN(IF(DI24&lt;=0,0,IF(WEEKDAY(DI$6,1)=1,0,IF(WEEKDAY(DI$6,1)=7,0,MIN(8,DI25)*DI24))),MAX(0,40*MAX(1,DI24)-(DE26+DF26+DG26+DH26)))))</f>
        <v>4</v>
      </c>
      <c r="DJ27" s="64">
        <f>IF(AND(DJ24=2,DJ25=10),20,IF(DJ24&lt;=0,0,IF(WEEKDAY(DJ$6,1)=1,0,IF(WEEKDAY(DJ$6,1)=7,DJ24*DJ25,MAX(0,DJ25-8)*DJ24)))+((IF(DJ24&lt;=0,0,IF(WEEKDAY(DJ$6,1)=1,0,IF(WEEKDAY(DJ$6,1)=7,0,MIN(8,DJ25)*DJ24))))-MIN(IF(DJ24&lt;=0,0,IF(WEEKDAY(DJ$6,1)=1,0,IF(WEEKDAY(DJ$6,1)=7,0,MIN(8,DJ25)*DJ24))),MAX(0,40*MAX(1,DJ24)-(DE26+DF26+DG26+DH26+DI26)))))</f>
        <v>20</v>
      </c>
      <c r="DK27" s="64">
        <f>IF(AND(DK24=0,DK25=0),0,IF(DK24&lt;=0,0,IF(WEEKDAY(DK$6,1)=1,0,IF(WEEKDAY(DK$6,1)=7,DK24*DK25,MAX(0,DK25-8)*DK24)))+((IF(DK24&lt;=0,0,IF(WEEKDAY(DK$6,1)=1,0,IF(WEEKDAY(DK$6,1)=7,0,MIN(8,DK25)*DK24))))-MIN(IF(DK24&lt;=0,0,IF(WEEKDAY(DK$6,1)=1,0,IF(WEEKDAY(DK$6,1)=7,0,MIN(8,DK25)*DK24))),MAX(0,40*MAX(1,DK24)-(0)))))</f>
        <v>0</v>
      </c>
      <c r="DL27" s="63">
        <f>IF(AND(DL24=2,DL25=10),4,IF(DL24&lt;=0,0,IF(WEEKDAY(DL$6,1)=1,0,IF(WEEKDAY(DL$6,1)=7,DL24*DL25,MAX(0,DL25-8)*DL24)))+((IF(DL24&lt;=0,0,IF(WEEKDAY(DL$6,1)=1,0,IF(WEEKDAY(DL$6,1)=7,0,MIN(8,DL25)*DL24))))-MIN(IF(DL24&lt;=0,0,IF(WEEKDAY(DL$6,1)=1,0,IF(WEEKDAY(DL$6,1)=7,0,MIN(8,DL25)*DL24))),MAX(0,40*MAX(1,DL24)-(0)))))</f>
        <v>4</v>
      </c>
      <c r="DM27" s="63">
        <f>IF(AND(DM24=2,DM25=10),4,IF(DM24&lt;=0,0,IF(WEEKDAY(DM$6,1)=1,0,IF(WEEKDAY(DM$6,1)=7,DM24*DM25,MAX(0,DM25-8)*DM24)))+((IF(DM24&lt;=0,0,IF(WEEKDAY(DM$6,1)=1,0,IF(WEEKDAY(DM$6,1)=7,0,MIN(8,DM25)*DM24))))-MIN(IF(DM24&lt;=0,0,IF(WEEKDAY(DM$6,1)=1,0,IF(WEEKDAY(DM$6,1)=7,0,MIN(8,DM25)*DM24))),MAX(0,40*MAX(1,DM24)-(DL26)))))</f>
        <v>4</v>
      </c>
      <c r="DN27" s="63">
        <f>IF(AND(DN24=2,DN25=10),4,IF(DN24&lt;=0,0,IF(WEEKDAY(DN$6,1)=1,0,IF(WEEKDAY(DN$6,1)=7,DN24*DN25,MAX(0,DN25-8)*DN24)))+((IF(DN24&lt;=0,0,IF(WEEKDAY(DN$6,1)=1,0,IF(WEEKDAY(DN$6,1)=7,0,MIN(8,DN25)*DN24))))-MIN(IF(DN24&lt;=0,0,IF(WEEKDAY(DN$6,1)=1,0,IF(WEEKDAY(DN$6,1)=7,0,MIN(8,DN25)*DN24))),MAX(0,40*MAX(1,DN24)-(DL26+DM26)))))</f>
        <v>4</v>
      </c>
      <c r="DO27" s="63">
        <f>IF(AND(DO24=2,DO25=10),4,IF(DO24&lt;=0,0,IF(WEEKDAY(DO$6,1)=1,0,IF(WEEKDAY(DO$6,1)=7,DO24*DO25,MAX(0,DO25-8)*DO24)))+((IF(DO24&lt;=0,0,IF(WEEKDAY(DO$6,1)=1,0,IF(WEEKDAY(DO$6,1)=7,0,MIN(8,DO25)*DO24))))-MIN(IF(DO24&lt;=0,0,IF(WEEKDAY(DO$6,1)=1,0,IF(WEEKDAY(DO$6,1)=7,0,MIN(8,DO25)*DO24))),MAX(0,40*MAX(1,DO24)-(DL26+DM26+DN26)))))</f>
        <v>4</v>
      </c>
      <c r="DP27" s="63">
        <f>IF(AND(DP24=2,DP25=10),4,IF(DP24&lt;=0,0,IF(WEEKDAY(DP$6,1)=1,0,IF(WEEKDAY(DP$6,1)=7,DP24*DP25,MAX(0,DP25-8)*DP24)))+((IF(DP24&lt;=0,0,IF(WEEKDAY(DP$6,1)=1,0,IF(WEEKDAY(DP$6,1)=7,0,MIN(8,DP25)*DP24))))-MIN(IF(DP24&lt;=0,0,IF(WEEKDAY(DP$6,1)=1,0,IF(WEEKDAY(DP$6,1)=7,0,MIN(8,DP25)*DP24))),MAX(0,40*MAX(1,DP24)-(DL26+DM26+DN26+DO26)))))</f>
        <v>4</v>
      </c>
      <c r="DQ27" s="64">
        <f>IF(AND(DQ24=2,DQ25=10),20,IF(DQ24&lt;=0,0,IF(WEEKDAY(DQ$6,1)=1,0,IF(WEEKDAY(DQ$6,1)=7,DQ24*DQ25,MAX(0,DQ25-8)*DQ24)))+((IF(DQ24&lt;=0,0,IF(WEEKDAY(DQ$6,1)=1,0,IF(WEEKDAY(DQ$6,1)=7,0,MIN(8,DQ25)*DQ24))))-MIN(IF(DQ24&lt;=0,0,IF(WEEKDAY(DQ$6,1)=1,0,IF(WEEKDAY(DQ$6,1)=7,0,MIN(8,DQ25)*DQ24))),MAX(0,40*MAX(1,DQ24)-(DL26+DM26+DN26+DO26+DP26)))))</f>
        <v>20</v>
      </c>
      <c r="DR27" s="64">
        <f>IF(AND(DR24=2,DR25=10),0,IF(DR24&lt;=0,0,IF(WEEKDAY(DR$6,1)=1,0,IF(WEEKDAY(DR$6,1)=7,DR24*DR25,MAX(0,DR25-8)*DR24)))+((IF(DR24&lt;=0,0,IF(WEEKDAY(DR$6,1)=1,0,IF(WEEKDAY(DR$6,1)=7,0,MIN(8,DR25)*DR24))))-MIN(IF(DR24&lt;=0,0,IF(WEEKDAY(DR$6,1)=1,0,IF(WEEKDAY(DR$6,1)=7,0,MIN(8,DR25)*DR24))),MAX(0,40*MAX(1,DR24)-(DL26+DM26+DN26+DO26+DP26+DQ26)))))</f>
        <v>0</v>
      </c>
      <c r="DS27" s="63">
        <f>IF(AND(DS24=2,DS25=10),4,IF(DS24&lt;=0,0,IF(WEEKDAY(DS$6,1)=1,0,IF(WEEKDAY(DS$6,1)=7,DS24*DS25,MAX(0,DS25-8)*DS24)))+((IF(DS24&lt;=0,0,IF(WEEKDAY(DS$6,1)=1,0,IF(WEEKDAY(DS$6,1)=7,0,MIN(8,DS25)*DS24))))-MIN(IF(DS24&lt;=0,0,IF(WEEKDAY(DS$6,1)=1,0,IF(WEEKDAY(DS$6,1)=7,0,MIN(8,DS25)*DS24))),MAX(0,40*MAX(1,DS24)-(0)))))</f>
        <v>4</v>
      </c>
      <c r="DT27" s="63">
        <f>IF(AND(DT24=1,DT25=8),0,IF(DT24&lt;=0,0,IF(WEEKDAY(DT$6,1)=1,0,IF(WEEKDAY(DT$6,1)=7,DT24*DT25,MAX(0,DT25-8)*DT24)))+((IF(DT24&lt;=0,0,IF(WEEKDAY(DT$6,1)=1,0,IF(WEEKDAY(DT$6,1)=7,0,MIN(8,DT25)*DT24))))-MIN(IF(DT24&lt;=0,0,IF(WEEKDAY(DT$6,1)=1,0,IF(WEEKDAY(DT$6,1)=7,0,MIN(8,DT25)*DT24))),MAX(0,40*MAX(1,DT24)-(0)))))</f>
        <v>0</v>
      </c>
      <c r="DU27" s="63">
        <f>IF(AND(DU24=1,DU25=8),0,IF(DU24&lt;=0,0,IF(WEEKDAY(DU$6,1)=1,0,IF(WEEKDAY(DU$6,1)=7,DU24*DU25,MAX(0,DU25-8)*DU24)))+((IF(DU24&lt;=0,0,IF(WEEKDAY(DU$6,1)=1,0,IF(WEEKDAY(DU$6,1)=7,0,MIN(8,DU25)*DU24))))-MIN(IF(DU24&lt;=0,0,IF(WEEKDAY(DU$6,1)=1,0,IF(WEEKDAY(DU$6,1)=7,0,MIN(8,DU25)*DU24))),MAX(0,40*MAX(1,DU24)-(DT26)))))</f>
        <v>0</v>
      </c>
      <c r="DV27" s="63">
        <f>IF(AND(DV24=1,DV25=8),0,IF(DV24&lt;=0,0,IF(WEEKDAY(DV$6,1)=1,0,IF(WEEKDAY(DV$6,1)=7,DV24*DV25,MAX(0,DV25-8)*DV24)))+((IF(DV24&lt;=0,0,IF(WEEKDAY(DV$6,1)=1,0,IF(WEEKDAY(DV$6,1)=7,0,MIN(8,DV25)*DV24))))-MIN(IF(DV24&lt;=0,0,IF(WEEKDAY(DV$6,1)=1,0,IF(WEEKDAY(DV$6,1)=7,0,MIN(8,DV25)*DV24))),MAX(0,40*MAX(1,DV24)-(DT26+DU26)))))</f>
        <v>0</v>
      </c>
      <c r="DW27" s="63">
        <f>IF(AND(DW24=1,DW25=8),0,IF(DW24&lt;=0,0,IF(WEEKDAY(DW$6,1)=1,0,IF(WEEKDAY(DW$6,1)=7,DW24*DW25,MAX(0,DW25-8)*DW24)))+((IF(DW24&lt;=0,0,IF(WEEKDAY(DW$6,1)=1,0,IF(WEEKDAY(DW$6,1)=7,0,MIN(8,DW25)*DW24))))-MIN(IF(DW24&lt;=0,0,IF(WEEKDAY(DW$6,1)=1,0,IF(WEEKDAY(DW$6,1)=7,0,MIN(8,DW25)*DW24))),MAX(0,40*MAX(1,DW24)-(DT26+DU26+DV26)))))</f>
        <v>0</v>
      </c>
      <c r="DX27" s="64">
        <f>IF(AND(DX24=0,DX25=0),0,IF(DX24&lt;=0,0,IF(WEEKDAY(DX$6,1)=1,0,IF(WEEKDAY(DX$6,1)=7,DX24*DX25,MAX(0,DX25-8)*DX24)))+((IF(DX24&lt;=0,0,IF(WEEKDAY(DX$6,1)=1,0,IF(WEEKDAY(DX$6,1)=7,0,MIN(8,DX25)*DX24))))-MIN(IF(DX24&lt;=0,0,IF(WEEKDAY(DX$6,1)=1,0,IF(WEEKDAY(DX$6,1)=7,0,MIN(8,DX25)*DX24))),MAX(0,40*MAX(1,DX24)-(0)))))</f>
        <v>0</v>
      </c>
      <c r="DY27" s="64">
        <f>IF(AND(DY24=0,DY25=0),0,IF(DY24&lt;=0,0,IF(WEEKDAY(DY$6,1)=1,0,IF(WEEKDAY(DY$6,1)=7,DY24*DY25,MAX(0,DY25-8)*DY24)))+((IF(DY24&lt;=0,0,IF(WEEKDAY(DY$6,1)=1,0,IF(WEEKDAY(DY$6,1)=7,0,MIN(8,DY25)*DY24))))-MIN(IF(DY24&lt;=0,0,IF(WEEKDAY(DY$6,1)=1,0,IF(WEEKDAY(DY$6,1)=7,0,MIN(8,DY25)*DY24))),MAX(0,40*MAX(1,DY24)-(DX26)))))</f>
        <v>0</v>
      </c>
      <c r="DZ27" s="63">
        <f>IF(AND(DZ24=1,DZ25=8),0,IF(DZ24&lt;=0,0,IF(WEEKDAY(DZ$6,1)=1,0,IF(WEEKDAY(DZ$6,1)=7,DZ24*DZ25,MAX(0,DZ25-8)*DZ24)))+((IF(DZ24&lt;=0,0,IF(WEEKDAY(DZ$6,1)=1,0,IF(WEEKDAY(DZ$6,1)=7,0,MIN(8,DZ25)*DZ24))))-MIN(IF(DZ24&lt;=0,0,IF(WEEKDAY(DZ$6,1)=1,0,IF(WEEKDAY(DZ$6,1)=7,0,MIN(8,DZ25)*DZ24))),MAX(0,40*MAX(1,DZ24)-(0)))))</f>
        <v>0</v>
      </c>
      <c r="EA27" s="63">
        <f>IF(AND(EA24=1,EA25=8),0,IF(EA24&lt;=0,0,IF(WEEKDAY(EA$6,1)=1,0,IF(WEEKDAY(EA$6,1)=7,EA24*EA25,MAX(0,EA25-8)*EA24)))+((IF(EA24&lt;=0,0,IF(WEEKDAY(EA$6,1)=1,0,IF(WEEKDAY(EA$6,1)=7,0,MIN(8,EA25)*EA24))))-MIN(IF(EA24&lt;=0,0,IF(WEEKDAY(EA$6,1)=1,0,IF(WEEKDAY(EA$6,1)=7,0,MIN(8,EA25)*EA24))),MAX(0,40*MAX(1,EA24)-(DZ26)))))</f>
        <v>0</v>
      </c>
      <c r="EB27" s="63">
        <f>IF(AND(EB24=1,EB25=8),0,IF(EB24&lt;=0,0,IF(WEEKDAY(EB$6,1)=1,0,IF(WEEKDAY(EB$6,1)=7,EB24*EB25,MAX(0,EB25-8)*EB24)))+((IF(EB24&lt;=0,0,IF(WEEKDAY(EB$6,1)=1,0,IF(WEEKDAY(EB$6,1)=7,0,MIN(8,EB25)*EB24))))-MIN(IF(EB24&lt;=0,0,IF(WEEKDAY(EB$6,1)=1,0,IF(WEEKDAY(EB$6,1)=7,0,MIN(8,EB25)*EB24))),MAX(0,40*MAX(1,EB24)-(DZ26+EA26)))))</f>
        <v>0</v>
      </c>
      <c r="EC27" s="63">
        <f>IF(AND(EC24=1,EC25=8),0,IF(EC24&lt;=0,0,IF(WEEKDAY(EC$6,1)=1,0,IF(WEEKDAY(EC$6,1)=7,EC24*EC25,MAX(0,EC25-8)*EC24)))+((IF(EC24&lt;=0,0,IF(WEEKDAY(EC$6,1)=1,0,IF(WEEKDAY(EC$6,1)=7,0,MIN(8,EC25)*EC24))))-MIN(IF(EC24&lt;=0,0,IF(WEEKDAY(EC$6,1)=1,0,IF(WEEKDAY(EC$6,1)=7,0,MIN(8,EC25)*EC24))),MAX(0,40*MAX(1,EC24)-(DZ26+EA26+EB26)))))</f>
        <v>0</v>
      </c>
      <c r="ED27" s="63">
        <f>IF(AND(ED24=1,ED25=8),0,IF(ED24&lt;=0,0,IF(WEEKDAY(ED$6,1)=1,0,IF(WEEKDAY(ED$6,1)=7,ED24*ED25,MAX(0,ED25-8)*ED24)))+((IF(ED24&lt;=0,0,IF(WEEKDAY(ED$6,1)=1,0,IF(WEEKDAY(ED$6,1)=7,0,MIN(8,ED25)*ED24))))-MIN(IF(ED24&lt;=0,0,IF(WEEKDAY(ED$6,1)=1,0,IF(WEEKDAY(ED$6,1)=7,0,MIN(8,ED25)*ED24))),MAX(0,40*MAX(1,ED24)-(DZ26+EA26+EB26+EC26)))))</f>
        <v>0</v>
      </c>
      <c r="EE27" s="64">
        <f>IF(AND(EE24=0,EE25=0),0,IF(EE24&lt;=0,0,IF(WEEKDAY(EE$6,1)=1,0,IF(WEEKDAY(EE$6,1)=7,EE24*EE25,MAX(0,EE25-8)*EE24)))+((IF(EE24&lt;=0,0,IF(WEEKDAY(EE$6,1)=1,0,IF(WEEKDAY(EE$6,1)=7,0,MIN(8,EE25)*EE24))))-MIN(IF(EE24&lt;=0,0,IF(WEEKDAY(EE$6,1)=1,0,IF(WEEKDAY(EE$6,1)=7,0,MIN(8,EE25)*EE24))),MAX(0,40*MAX(1,EE24)-(0)))))</f>
        <v>0</v>
      </c>
      <c r="EF27" s="64">
        <f>IF(AND(EF24=0,EF25=0),0,IF(EF24&lt;=0,0,IF(WEEKDAY(EF$6,1)=1,0,IF(WEEKDAY(EF$6,1)=7,EF24*EF25,MAX(0,EF25-8)*EF24)))+((IF(EF24&lt;=0,0,IF(WEEKDAY(EF$6,1)=1,0,IF(WEEKDAY(EF$6,1)=7,0,MIN(8,EF25)*EF24))))-MIN(IF(EF24&lt;=0,0,IF(WEEKDAY(EF$6,1)=1,0,IF(WEEKDAY(EF$6,1)=7,0,MIN(8,EF25)*EF24))),MAX(0,40*MAX(1,EF24)-(EE26)))))</f>
        <v>0</v>
      </c>
      <c r="EG27" s="63">
        <f>IF(AND(EG24=1,EG25=8),0,IF(EG24&lt;=0,0,IF(WEEKDAY(EG$6,1)=1,0,IF(WEEKDAY(EG$6,1)=7,EG24*EG25,MAX(0,EG25-8)*EG24)))+((IF(EG24&lt;=0,0,IF(WEEKDAY(EG$6,1)=1,0,IF(WEEKDAY(EG$6,1)=7,0,MIN(8,EG25)*EG24))))-MIN(IF(EG24&lt;=0,0,IF(WEEKDAY(EG$6,1)=1,0,IF(WEEKDAY(EG$6,1)=7,0,MIN(8,EG25)*EG24))),MAX(0,40*MAX(1,EG24)-(0)))))</f>
        <v>0</v>
      </c>
      <c r="EH27" s="63">
        <f>IF(AND(EH24=1,EH25=8),0,IF(EH24&lt;=0,0,IF(WEEKDAY(EH$6,1)=1,0,IF(WEEKDAY(EH$6,1)=7,EH24*EH25,MAX(0,EH25-8)*EH24)))+((IF(EH24&lt;=0,0,IF(WEEKDAY(EH$6,1)=1,0,IF(WEEKDAY(EH$6,1)=7,0,MIN(8,EH25)*EH24))))-MIN(IF(EH24&lt;=0,0,IF(WEEKDAY(EH$6,1)=1,0,IF(WEEKDAY(EH$6,1)=7,0,MIN(8,EH25)*EH24))),MAX(0,40*MAX(1,EH24)-(EG26)))))</f>
        <v>0</v>
      </c>
      <c r="EI27" s="63">
        <f>IF(AND(EI24=1,EI25=8),0,IF(EI24&lt;=0,0,IF(WEEKDAY(EI$6,1)=1,0,IF(WEEKDAY(EI$6,1)=7,EI24*EI25,MAX(0,EI25-8)*EI24)))+((IF(EI24&lt;=0,0,IF(WEEKDAY(EI$6,1)=1,0,IF(WEEKDAY(EI$6,1)=7,0,MIN(8,EI25)*EI24))))-MIN(IF(EI24&lt;=0,0,IF(WEEKDAY(EI$6,1)=1,0,IF(WEEKDAY(EI$6,1)=7,0,MIN(8,EI25)*EI24))),MAX(0,40*MAX(1,EI24)-(EG26+EH26)))))</f>
        <v>0</v>
      </c>
      <c r="EJ27" s="63">
        <f>IF(AND(EJ24=1,EJ25=8),0,IF(EJ24&lt;=0,0,IF(WEEKDAY(EJ$6,1)=1,0,IF(WEEKDAY(EJ$6,1)=7,EJ24*EJ25,MAX(0,EJ25-8)*EJ24)))+((IF(EJ24&lt;=0,0,IF(WEEKDAY(EJ$6,1)=1,0,IF(WEEKDAY(EJ$6,1)=7,0,MIN(8,EJ25)*EJ24))))-MIN(IF(EJ24&lt;=0,0,IF(WEEKDAY(EJ$6,1)=1,0,IF(WEEKDAY(EJ$6,1)=7,0,MIN(8,EJ25)*EJ24))),MAX(0,40*MAX(1,EJ24)-(EG26+EH26+EI26)))))</f>
        <v>0</v>
      </c>
      <c r="EK27" s="65">
        <f>IF(AND(EK24=1,EK25=8),0,IF(EK24&lt;=0,0,IF(WEEKDAY(EK$6,1)=1,0,IF(WEEKDAY(EK$6,1)=7,EK24*EK25,MAX(0,EK25-8)*EK24)))+((IF(EK24&lt;=0,0,IF(WEEKDAY(EK$6,1)=1,0,IF(WEEKDAY(EK$6,1)=7,0,MIN(8,EK25)*EK24))))-MIN(IF(EK24&lt;=0,0,IF(WEEKDAY(EK$6,1)=1,0,IF(WEEKDAY(EK$6,1)=7,0,MIN(8,EK25)*EK24))),MAX(0,40*MAX(1,EK24)-(EG26+EH26+EI26+EJ26)))))</f>
        <v>0</v>
      </c>
      <c r="OU27" s="28" t="s">
        <v>109</v>
      </c>
    </row>
    <row r="28" ht="16" customHeight="1" spans="1:411" x14ac:dyDescent="0.25">
      <c r="A28" s="45"/>
      <c r="B28" s="46"/>
      <c r="C28" s="61">
        <f>H23*N(D28)</f>
        <v>86512.31999999999</v>
      </c>
      <c r="D28" s="61">
        <f>IF(TRIM(B23)="","No rate",IFERROR(INDEX('Rate Tables'!E$7:E$158,MATCH(B23,'Rate Tables'!A$7:A$158,0)),"No rate"))</f>
        <v>189.72</v>
      </c>
      <c r="E28" s="55" t="s">
        <v>64</v>
      </c>
      <c r="F28" s="49"/>
      <c r="G28" s="49"/>
      <c r="H28" s="49"/>
      <c r="I28" s="49"/>
      <c r="J28" s="50"/>
      <c r="K28" s="62">
        <f>IF(AND(K24=0,K25=0),0,IF(K24&lt;=0,0,IF(WEEKDAY(K$6,1)=1,K24*K25,0)))</f>
        <v>0</v>
      </c>
      <c r="L28" s="63">
        <f>IF(AND(L24=0,L25=0),0,IF(L24&lt;=0,0,IF(WEEKDAY(L$6,1)=1,L24*L25,0)))</f>
        <v>0</v>
      </c>
      <c r="M28" s="63">
        <f>IF(AND(M24=0,M25=0),0,IF(M24&lt;=0,0,IF(WEEKDAY(M$6,1)=1,M24*M25,0)))</f>
        <v>0</v>
      </c>
      <c r="N28" s="63">
        <f>IF(AND(N24=3,N25=9),0,IF(N24&lt;=0,0,IF(WEEKDAY(N$6,1)=1,N24*N25,0)))</f>
        <v>0</v>
      </c>
      <c r="O28" s="63">
        <f>IF(AND(O24=3,O25=9),0,IF(O24&lt;=0,0,IF(WEEKDAY(O$6,1)=1,O24*O25,0)))</f>
        <v>0</v>
      </c>
      <c r="P28" s="64">
        <f>IF(AND(P24=0,P25=0),0,IF(P24&lt;=0,0,IF(WEEKDAY(P$6,1)=1,P24*P25,0)))</f>
        <v>0</v>
      </c>
      <c r="Q28" s="64">
        <f>IF(AND(Q24=0,Q25=0),0,IF(Q24&lt;=0,0,IF(WEEKDAY(Q$6,1)=1,Q24*Q25,0)))</f>
        <v>0</v>
      </c>
      <c r="R28" s="63">
        <f>IF(AND(R24=3,R25=9),0,IF(R24&lt;=0,0,IF(WEEKDAY(R$6,1)=1,R24*R25,0)))</f>
        <v>0</v>
      </c>
      <c r="S28" s="63">
        <f>IF(AND(S24=3,S25=9),0,IF(S24&lt;=0,0,IF(WEEKDAY(S$6,1)=1,S24*S25,0)))</f>
        <v>0</v>
      </c>
      <c r="T28" s="63">
        <f>IF(AND(T24=3,T25=9),0,IF(T24&lt;=0,0,IF(WEEKDAY(T$6,1)=1,T24*T25,0)))</f>
        <v>0</v>
      </c>
      <c r="U28" s="63">
        <f>IF(AND(U24=3,U25=9),0,IF(U24&lt;=0,0,IF(WEEKDAY(U$6,1)=1,U24*U25,0)))</f>
        <v>0</v>
      </c>
      <c r="V28" s="63">
        <f>IF(AND(V24=3,V25=9),0,IF(V24&lt;=0,0,IF(WEEKDAY(V$6,1)=1,V24*V25,0)))</f>
        <v>0</v>
      </c>
      <c r="W28" s="64">
        <f>IF(AND(W24=0,W25=0),0,IF(W24&lt;=0,0,IF(WEEKDAY(W$6,1)=1,W24*W25,0)))</f>
        <v>0</v>
      </c>
      <c r="X28" s="64">
        <f>IF(AND(X24=0,X25=0),0,IF(X24&lt;=0,0,IF(WEEKDAY(X$6,1)=1,X24*X25,0)))</f>
        <v>0</v>
      </c>
      <c r="Y28" s="63">
        <f>IF(AND(Y24=6,Y25=9),0,IF(Y24&lt;=0,0,IF(WEEKDAY(Y$6,1)=1,Y24*Y25,0)))</f>
        <v>0</v>
      </c>
      <c r="Z28" s="63">
        <f>IF(AND(Z24=6,Z25=9),0,IF(Z24&lt;=0,0,IF(WEEKDAY(Z$6,1)=1,Z24*Z25,0)))</f>
        <v>0</v>
      </c>
      <c r="AA28" s="63">
        <f>IF(AND(AA24=6,AA25=9),0,IF(AA24&lt;=0,0,IF(WEEKDAY(AA$6,1)=1,AA24*AA25,0)))</f>
        <v>0</v>
      </c>
      <c r="AB28" s="63">
        <f>IF(AND(AB24=6,AB25=9),0,IF(AB24&lt;=0,0,IF(WEEKDAY(AB$6,1)=1,AB24*AB25,0)))</f>
        <v>0</v>
      </c>
      <c r="AC28" s="63">
        <f>IF(AND(AC24=3,AC25=9),0,IF(AC24&lt;=0,0,IF(WEEKDAY(AC$6,1)=1,AC24*AC25,0)))</f>
        <v>0</v>
      </c>
      <c r="AD28" s="64">
        <f>IF(AND(AD24=0,AD25=0),0,IF(AD24&lt;=0,0,IF(WEEKDAY(AD$6,1)=1,AD24*AD25,0)))</f>
        <v>0</v>
      </c>
      <c r="AE28" s="64">
        <f>IF(AND(AE24=0,AE25=0),0,IF(AE24&lt;=0,0,IF(WEEKDAY(AE$6,1)=1,AE24*AE25,0)))</f>
        <v>0</v>
      </c>
      <c r="AF28" s="63">
        <f>IF(AND(AF24=3,AF25=9),0,IF(AF24&lt;=0,0,IF(WEEKDAY(AF$6,1)=1,AF24*AF25,0)))</f>
        <v>0</v>
      </c>
      <c r="AG28" s="63">
        <f>IF(AND(AG24=3,AG25=9),0,IF(AG24&lt;=0,0,IF(WEEKDAY(AG$6,1)=1,AG24*AG25,0)))</f>
        <v>0</v>
      </c>
      <c r="AH28" s="63">
        <f>IF(AND(AH24=3,AH25=9),0,IF(AH24&lt;=0,0,IF(WEEKDAY(AH$6,1)=1,AH24*AH25,0)))</f>
        <v>0</v>
      </c>
      <c r="AI28" s="63">
        <f>IF(AND(AI24=3,AI25=9),0,IF(AI24&lt;=0,0,IF(WEEKDAY(AI$6,1)=1,AI24*AI25,0)))</f>
        <v>0</v>
      </c>
      <c r="AJ28" s="63">
        <f>IF(AND(AJ24=3,AJ25=9),0,IF(AJ24&lt;=0,0,IF(WEEKDAY(AJ$6,1)=1,AJ24*AJ25,0)))</f>
        <v>0</v>
      </c>
      <c r="AK28" s="64">
        <f>IF(AND(AK24=0,AK25=0),0,IF(AK24&lt;=0,0,IF(WEEKDAY(AK$6,1)=1,AK24*AK25,0)))</f>
        <v>0</v>
      </c>
      <c r="AL28" s="64">
        <f>IF(AND(AL24=0,AL25=0),0,IF(AL24&lt;=0,0,IF(WEEKDAY(AL$6,1)=1,AL24*AL25,0)))</f>
        <v>0</v>
      </c>
      <c r="AM28" s="63">
        <f>IF(AND(AM24=14.38,AM25=8),0,IF(AM24&lt;=0,0,IF(WEEKDAY(AM$6,1)=1,AM24*AM25,0)))</f>
        <v>0</v>
      </c>
      <c r="AN28" s="63">
        <f>IF(AND(AN24=14.38,AN25=8),0,IF(AN24&lt;=0,0,IF(WEEKDAY(AN$6,1)=1,AN24*AN25,0)))</f>
        <v>0</v>
      </c>
      <c r="AO28" s="63">
        <f>IF(AND(AO24=14.38,AO25=8),0,IF(AO24&lt;=0,0,IF(WEEKDAY(AO$6,1)=1,AO24*AO25,0)))</f>
        <v>0</v>
      </c>
      <c r="AP28" s="63">
        <f>IF(AND(AP24=14.38,AP25=8),0,IF(AP24&lt;=0,0,IF(WEEKDAY(AP$6,1)=1,AP24*AP25,0)))</f>
        <v>0</v>
      </c>
      <c r="AQ28" s="63">
        <f>IF(AND(AQ24=14.38,AQ25=8),0,IF(AQ24&lt;=0,0,IF(WEEKDAY(AQ$6,1)=1,AQ24*AQ25,0)))</f>
        <v>0</v>
      </c>
      <c r="AR28" s="64">
        <f>IF(AND(AR24=0,AR25=0),0,IF(AR24&lt;=0,0,IF(WEEKDAY(AR$6,1)=1,AR24*AR25,0)))</f>
        <v>0</v>
      </c>
      <c r="AS28" s="64">
        <f>IF(AND(AS24=0,AS25=0),0,IF(AS24&lt;=0,0,IF(WEEKDAY(AS$6,1)=1,AS24*AS25,0)))</f>
        <v>0</v>
      </c>
      <c r="AT28" s="63">
        <f>IF(AND(AT24=14.38,AT25=8),0,IF(AT24&lt;=0,0,IF(WEEKDAY(AT$6,1)=1,AT24*AT25,0)))</f>
        <v>0</v>
      </c>
      <c r="AU28" s="63">
        <f>IF(AND(AU24=14.38,AU25=8),0,IF(AU24&lt;=0,0,IF(WEEKDAY(AU$6,1)=1,AU24*AU25,0)))</f>
        <v>0</v>
      </c>
      <c r="AV28" s="63">
        <f>IF(AND(AV24=14.38,AV25=8),0,IF(AV24&lt;=0,0,IF(WEEKDAY(AV$6,1)=1,AV24*AV25,0)))</f>
        <v>0</v>
      </c>
      <c r="AW28" s="63">
        <f>IF(AND(AW24=14.38,AW25=8),0,IF(AW24&lt;=0,0,IF(WEEKDAY(AW$6,1)=1,AW24*AW25,0)))</f>
        <v>0</v>
      </c>
      <c r="AX28" s="63">
        <f>IF(AND(AX24=14.38,AX25=8),0,IF(AX24&lt;=0,0,IF(WEEKDAY(AX$6,1)=1,AX24*AX25,0)))</f>
        <v>0</v>
      </c>
      <c r="AY28" s="64">
        <f>IF(AND(AY24=0,AY25=0),0,IF(AY24&lt;=0,0,IF(WEEKDAY(AY$6,1)=1,AY24*AY25,0)))</f>
        <v>0</v>
      </c>
      <c r="AZ28" s="64">
        <f>IF(AND(AZ24=0,AZ25=0),0,IF(AZ24&lt;=0,0,IF(WEEKDAY(AZ$6,1)=1,AZ24*AZ25,0)))</f>
        <v>0</v>
      </c>
      <c r="BA28" s="63">
        <f>IF(AND(BA24=14.38,BA25=8),0,IF(BA24&lt;=0,0,IF(WEEKDAY(BA$6,1)=1,BA24*BA25,0)))</f>
        <v>0</v>
      </c>
      <c r="BB28" s="63">
        <f>IF(AND(BB24=14.38,BB25=8),0,IF(BB24&lt;=0,0,IF(WEEKDAY(BB$6,1)=1,BB24*BB25,0)))</f>
        <v>0</v>
      </c>
      <c r="BC28" s="63">
        <f>IF(AND(BC24=14.38,BC25=8),0,IF(BC24&lt;=0,0,IF(WEEKDAY(BC$6,1)=1,BC24*BC25,0)))</f>
        <v>0</v>
      </c>
      <c r="BD28" s="63">
        <f>IF(AND(BD24=14.38,BD25=8),0,IF(BD24&lt;=0,0,IF(WEEKDAY(BD$6,1)=1,BD24*BD25,0)))</f>
        <v>0</v>
      </c>
      <c r="BE28" s="63">
        <f>IF(AND(BE24=14.38,BE25=8),0,IF(BE24&lt;=0,0,IF(WEEKDAY(BE$6,1)=1,BE24*BE25,0)))</f>
        <v>0</v>
      </c>
      <c r="BF28" s="64">
        <f>IF(AND(BF24=0,BF25=0),0,IF(BF24&lt;=0,0,IF(WEEKDAY(BF$6,1)=1,BF24*BF25,0)))</f>
        <v>0</v>
      </c>
      <c r="BG28" s="64">
        <f>IF(AND(BG24=0,BG25=0),0,IF(BG24&lt;=0,0,IF(WEEKDAY(BG$6,1)=1,BG24*BG25,0)))</f>
        <v>0</v>
      </c>
      <c r="BH28" s="63">
        <f>IF(AND(BH24=8,BH25=13),0,IF(BH24&lt;=0,0,IF(WEEKDAY(BH$6,1)=1,BH24*BH25,0)))</f>
        <v>0</v>
      </c>
      <c r="BI28" s="63">
        <f>IF(AND(BI24=8,BI25=13),0,IF(BI24&lt;=0,0,IF(WEEKDAY(BI$6,1)=1,BI24*BI25,0)))</f>
        <v>0</v>
      </c>
      <c r="BJ28" s="63">
        <f>IF(AND(BJ24=8,BJ25=13),0,IF(BJ24&lt;=0,0,IF(WEEKDAY(BJ$6,1)=1,BJ24*BJ25,0)))</f>
        <v>0</v>
      </c>
      <c r="BK28" s="63">
        <f>IF(AND(BK24=8,BK25=13),0,IF(BK24&lt;=0,0,IF(WEEKDAY(BK$6,1)=1,BK24*BK25,0)))</f>
        <v>0</v>
      </c>
      <c r="BL28" s="63">
        <f>IF(AND(BL24=8,BL25=13),0,IF(BL24&lt;=0,0,IF(WEEKDAY(BL$6,1)=1,BL24*BL25,0)))</f>
        <v>0</v>
      </c>
      <c r="BM28" s="64">
        <f>IF(AND(BM24=8,BM25=13),0,IF(BM24&lt;=0,0,IF(WEEKDAY(BM$6,1)=1,BM24*BM25,0)))</f>
        <v>0</v>
      </c>
      <c r="BN28" s="64">
        <f>IF(AND(BN24=8,BN25=13),104,IF(BN24&lt;=0,0,IF(WEEKDAY(BN$6,1)=1,BN24*BN25,0)))</f>
        <v>104</v>
      </c>
      <c r="BO28" s="63">
        <f>IF(AND(BO24=8,BO25=13),0,IF(BO24&lt;=0,0,IF(WEEKDAY(BO$6,1)=1,BO24*BO25,0)))</f>
        <v>0</v>
      </c>
      <c r="BP28" s="63">
        <f>IF(AND(BP24=8,BP25=13),0,IF(BP24&lt;=0,0,IF(WEEKDAY(BP$6,1)=1,BP24*BP25,0)))</f>
        <v>0</v>
      </c>
      <c r="BQ28" s="63">
        <f>IF(AND(BQ24=8,BQ25=13),0,IF(BQ24&lt;=0,0,IF(WEEKDAY(BQ$6,1)=1,BQ24*BQ25,0)))</f>
        <v>0</v>
      </c>
      <c r="BR28" s="63">
        <f>IF(AND(BR24=8,BR25=13),0,IF(BR24&lt;=0,0,IF(WEEKDAY(BR$6,1)=1,BR24*BR25,0)))</f>
        <v>0</v>
      </c>
      <c r="BS28" s="63">
        <f>IF(AND(BS24=8,BS25=13),0,IF(BS24&lt;=0,0,IF(WEEKDAY(BS$6,1)=1,BS24*BS25,0)))</f>
        <v>0</v>
      </c>
      <c r="BT28" s="64">
        <f>IF(AND(BT24=8,BT25=13),0,IF(BT24&lt;=0,0,IF(WEEKDAY(BT$6,1)=1,BT24*BT25,0)))</f>
        <v>0</v>
      </c>
      <c r="BU28" s="64">
        <f>IF(AND(BU24=8,BU25=13),104,IF(BU24&lt;=0,0,IF(WEEKDAY(BU$6,1)=1,BU24*BU25,0)))</f>
        <v>104</v>
      </c>
      <c r="BV28" s="63">
        <f>IF(AND(BV24=8,BV25=13),0,IF(BV24&lt;=0,0,IF(WEEKDAY(BV$6,1)=1,BV24*BV25,0)))</f>
        <v>0</v>
      </c>
      <c r="BW28" s="63">
        <f>IF(AND(BW24=8,BW25=13),0,IF(BW24&lt;=0,0,IF(WEEKDAY(BW$6,1)=1,BW24*BW25,0)))</f>
        <v>0</v>
      </c>
      <c r="BX28" s="63">
        <f>IF(AND(BX24=8,BX25=13),0,IF(BX24&lt;=0,0,IF(WEEKDAY(BX$6,1)=1,BX24*BX25,0)))</f>
        <v>0</v>
      </c>
      <c r="BY28" s="63">
        <f>IF(AND(BY24=8,BY25=13),0,IF(BY24&lt;=0,0,IF(WEEKDAY(BY$6,1)=1,BY24*BY25,0)))</f>
        <v>0</v>
      </c>
      <c r="BZ28" s="63">
        <f>IF(AND(BZ24=8,BZ25=13),0,IF(BZ24&lt;=0,0,IF(WEEKDAY(BZ$6,1)=1,BZ24*BZ25,0)))</f>
        <v>0</v>
      </c>
      <c r="CA28" s="64">
        <f>IF(AND(CA24=8,CA25=13),0,IF(CA24&lt;=0,0,IF(WEEKDAY(CA$6,1)=1,CA24*CA25,0)))</f>
        <v>0</v>
      </c>
      <c r="CB28" s="64">
        <f>IF(AND(CB24=0,CB25=0),0,IF(CB24&lt;=0,0,IF(WEEKDAY(CB$6,1)=1,CB24*CB25,0)))</f>
        <v>0</v>
      </c>
      <c r="CC28" s="63">
        <f>IF(AND(CC24=8,CC25=13),0,IF(CC24&lt;=0,0,IF(WEEKDAY(CC$6,1)=1,CC24*CC25,0)))</f>
        <v>0</v>
      </c>
      <c r="CD28" s="63">
        <f>IF(AND(CD24=8,CD25=13),0,IF(CD24&lt;=0,0,IF(WEEKDAY(CD$6,1)=1,CD24*CD25,0)))</f>
        <v>0</v>
      </c>
      <c r="CE28" s="63">
        <f>IF(AND(CE24=8,CE25=13),0,IF(CE24&lt;=0,0,IF(WEEKDAY(CE$6,1)=1,CE24*CE25,0)))</f>
        <v>0</v>
      </c>
      <c r="CF28" s="63">
        <f>IF(AND(CF24=8,CF25=13),0,IF(CF24&lt;=0,0,IF(WEEKDAY(CF$6,1)=1,CF24*CF25,0)))</f>
        <v>0</v>
      </c>
      <c r="CG28" s="63">
        <f>IF(AND(CG24=8,CG25=13),0,IF(CG24&lt;=0,0,IF(WEEKDAY(CG$6,1)=1,CG24*CG25,0)))</f>
        <v>0</v>
      </c>
      <c r="CH28" s="64">
        <f>IF(AND(CH24=8,CH25=13),0,IF(CH24&lt;=0,0,IF(WEEKDAY(CH$6,1)=1,CH24*CH25,0)))</f>
        <v>0</v>
      </c>
      <c r="CI28" s="64">
        <f>IF(AND(CI24=8,CI25=13),104,IF(CI24&lt;=0,0,IF(WEEKDAY(CI$6,1)=1,CI24*CI25,0)))</f>
        <v>104</v>
      </c>
      <c r="CJ28" s="63">
        <f>IF(AND(CJ24=8,CJ25=13),0,IF(CJ24&lt;=0,0,IF(WEEKDAY(CJ$6,1)=1,CJ24*CJ25,0)))</f>
        <v>0</v>
      </c>
      <c r="CK28" s="63">
        <f>IF(AND(CK24=8,CK25=13),0,IF(CK24&lt;=0,0,IF(WEEKDAY(CK$6,1)=1,CK24*CK25,0)))</f>
        <v>0</v>
      </c>
      <c r="CL28" s="63">
        <f>IF(AND(CL24=8,CL25=13),0,IF(CL24&lt;=0,0,IF(WEEKDAY(CL$6,1)=1,CL24*CL25,0)))</f>
        <v>0</v>
      </c>
      <c r="CM28" s="63">
        <f>IF(AND(CM24=8,CM25=13),0,IF(CM24&lt;=0,0,IF(WEEKDAY(CM$6,1)=1,CM24*CM25,0)))</f>
        <v>0</v>
      </c>
      <c r="CN28" s="63">
        <f>IF(AND(CN24=8,CN25=13),0,IF(CN24&lt;=0,0,IF(WEEKDAY(CN$6,1)=1,CN24*CN25,0)))</f>
        <v>0</v>
      </c>
      <c r="CO28" s="64">
        <f>IF(AND(CO24=8,CO25=13),0,IF(CO24&lt;=0,0,IF(WEEKDAY(CO$6,1)=1,CO24*CO25,0)))</f>
        <v>0</v>
      </c>
      <c r="CP28" s="64">
        <f>IF(AND(CP24=0,CP25=0),0,IF(CP24&lt;=0,0,IF(WEEKDAY(CP$6,1)=1,CP24*CP25,0)))</f>
        <v>0</v>
      </c>
      <c r="CQ28" s="63">
        <f>IF(AND(CQ24=8,CQ25=13),0,IF(CQ24&lt;=0,0,IF(WEEKDAY(CQ$6,1)=1,CQ24*CQ25,0)))</f>
        <v>0</v>
      </c>
      <c r="CR28" s="63">
        <f>IF(AND(CR24=8,CR25=13),0,IF(CR24&lt;=0,0,IF(WEEKDAY(CR$6,1)=1,CR24*CR25,0)))</f>
        <v>0</v>
      </c>
      <c r="CS28" s="63">
        <f>IF(AND(CS24=8,CS25=13),0,IF(CS24&lt;=0,0,IF(WEEKDAY(CS$6,1)=1,CS24*CS25,0)))</f>
        <v>0</v>
      </c>
      <c r="CT28" s="63">
        <f>IF(AND(CT24=8,CT25=13),0,IF(CT24&lt;=0,0,IF(WEEKDAY(CT$6,1)=1,CT24*CT25,0)))</f>
        <v>0</v>
      </c>
      <c r="CU28" s="63">
        <f>IF(AND(CU24=8,CU25=13),0,IF(CU24&lt;=0,0,IF(WEEKDAY(CU$6,1)=1,CU24*CU25,0)))</f>
        <v>0</v>
      </c>
      <c r="CV28" s="64">
        <f>IF(AND(CV24=8,CV25=13),0,IF(CV24&lt;=0,0,IF(WEEKDAY(CV$6,1)=1,CV24*CV25,0)))</f>
        <v>0</v>
      </c>
      <c r="CW28" s="64">
        <f>IF(AND(CW24=8,CW25=13),104,IF(CW24&lt;=0,0,IF(WEEKDAY(CW$6,1)=1,CW24*CW25,0)))</f>
        <v>104</v>
      </c>
      <c r="CX28" s="63">
        <f>IF(AND(CX24=8,CX25=13),0,IF(CX24&lt;=0,0,IF(WEEKDAY(CX$6,1)=1,CX24*CX25,0)))</f>
        <v>0</v>
      </c>
      <c r="CY28" s="63">
        <f>IF(AND(CY24=8,CY25=13),0,IF(CY24&lt;=0,0,IF(WEEKDAY(CY$6,1)=1,CY24*CY25,0)))</f>
        <v>0</v>
      </c>
      <c r="CZ28" s="63">
        <f>IF(AND(CZ24=8,CZ25=13),0,IF(CZ24&lt;=0,0,IF(WEEKDAY(CZ$6,1)=1,CZ24*CZ25,0)))</f>
        <v>0</v>
      </c>
      <c r="DA28" s="63">
        <f>IF(AND(DA24=8,DA25=13),0,IF(DA24&lt;=0,0,IF(WEEKDAY(DA$6,1)=1,DA24*DA25,0)))</f>
        <v>0</v>
      </c>
      <c r="DB28" s="63">
        <f>IF(AND(DB24=8,DB25=13),0,IF(DB24&lt;=0,0,IF(WEEKDAY(DB$6,1)=1,DB24*DB25,0)))</f>
        <v>0</v>
      </c>
      <c r="DC28" s="64">
        <f>IF(AND(DC24=8,DC25=13),0,IF(DC24&lt;=0,0,IF(WEEKDAY(DC$6,1)=1,DC24*DC25,0)))</f>
        <v>0</v>
      </c>
      <c r="DD28" s="64">
        <f>IF(AND(DD24=2,DD25=10),20,IF(DD24&lt;=0,0,IF(WEEKDAY(DD$6,1)=1,DD24*DD25,0)))</f>
        <v>20</v>
      </c>
      <c r="DE28" s="63">
        <f>IF(AND(DE24=2,DE25=10),0,IF(DE24&lt;=0,0,IF(WEEKDAY(DE$6,1)=1,DE24*DE25,0)))</f>
        <v>0</v>
      </c>
      <c r="DF28" s="63">
        <f>IF(AND(DF24=2,DF25=10),0,IF(DF24&lt;=0,0,IF(WEEKDAY(DF$6,1)=1,DF24*DF25,0)))</f>
        <v>0</v>
      </c>
      <c r="DG28" s="63">
        <f>IF(AND(DG24=2,DG25=10),0,IF(DG24&lt;=0,0,IF(WEEKDAY(DG$6,1)=1,DG24*DG25,0)))</f>
        <v>0</v>
      </c>
      <c r="DH28" s="63">
        <f>IF(AND(DH24=2,DH25=10),0,IF(DH24&lt;=0,0,IF(WEEKDAY(DH$6,1)=1,DH24*DH25,0)))</f>
        <v>0</v>
      </c>
      <c r="DI28" s="63">
        <f>IF(AND(DI24=2,DI25=10),0,IF(DI24&lt;=0,0,IF(WEEKDAY(DI$6,1)=1,DI24*DI25,0)))</f>
        <v>0</v>
      </c>
      <c r="DJ28" s="64">
        <f>IF(AND(DJ24=2,DJ25=10),0,IF(DJ24&lt;=0,0,IF(WEEKDAY(DJ$6,1)=1,DJ24*DJ25,0)))</f>
        <v>0</v>
      </c>
      <c r="DK28" s="64">
        <f>IF(AND(DK24=0,DK25=0),0,IF(DK24&lt;=0,0,IF(WEEKDAY(DK$6,1)=1,DK24*DK25,0)))</f>
        <v>0</v>
      </c>
      <c r="DL28" s="63">
        <f>IF(AND(DL24=2,DL25=10),0,IF(DL24&lt;=0,0,IF(WEEKDAY(DL$6,1)=1,DL24*DL25,0)))</f>
        <v>0</v>
      </c>
      <c r="DM28" s="63">
        <f>IF(AND(DM24=2,DM25=10),0,IF(DM24&lt;=0,0,IF(WEEKDAY(DM$6,1)=1,DM24*DM25,0)))</f>
        <v>0</v>
      </c>
      <c r="DN28" s="63">
        <f>IF(AND(DN24=2,DN25=10),0,IF(DN24&lt;=0,0,IF(WEEKDAY(DN$6,1)=1,DN24*DN25,0)))</f>
        <v>0</v>
      </c>
      <c r="DO28" s="63">
        <f>IF(AND(DO24=2,DO25=10),0,IF(DO24&lt;=0,0,IF(WEEKDAY(DO$6,1)=1,DO24*DO25,0)))</f>
        <v>0</v>
      </c>
      <c r="DP28" s="63">
        <f>IF(AND(DP24=2,DP25=10),0,IF(DP24&lt;=0,0,IF(WEEKDAY(DP$6,1)=1,DP24*DP25,0)))</f>
        <v>0</v>
      </c>
      <c r="DQ28" s="64">
        <f>IF(AND(DQ24=2,DQ25=10),0,IF(DQ24&lt;=0,0,IF(WEEKDAY(DQ$6,1)=1,DQ24*DQ25,0)))</f>
        <v>0</v>
      </c>
      <c r="DR28" s="64">
        <f>IF(AND(DR24=2,DR25=10),20,IF(DR24&lt;=0,0,IF(WEEKDAY(DR$6,1)=1,DR24*DR25,0)))</f>
        <v>20</v>
      </c>
      <c r="DS28" s="63">
        <f>IF(AND(DS24=2,DS25=10),0,IF(DS24&lt;=0,0,IF(WEEKDAY(DS$6,1)=1,DS24*DS25,0)))</f>
        <v>0</v>
      </c>
      <c r="DT28" s="63">
        <f>IF(AND(DT24=1,DT25=8),0,IF(DT24&lt;=0,0,IF(WEEKDAY(DT$6,1)=1,DT24*DT25,0)))</f>
        <v>0</v>
      </c>
      <c r="DU28" s="63">
        <f>IF(AND(DU24=1,DU25=8),0,IF(DU24&lt;=0,0,IF(WEEKDAY(DU$6,1)=1,DU24*DU25,0)))</f>
        <v>0</v>
      </c>
      <c r="DV28" s="63">
        <f>IF(AND(DV24=1,DV25=8),0,IF(DV24&lt;=0,0,IF(WEEKDAY(DV$6,1)=1,DV24*DV25,0)))</f>
        <v>0</v>
      </c>
      <c r="DW28" s="63">
        <f>IF(AND(DW24=1,DW25=8),0,IF(DW24&lt;=0,0,IF(WEEKDAY(DW$6,1)=1,DW24*DW25,0)))</f>
        <v>0</v>
      </c>
      <c r="DX28" s="64">
        <f>IF(AND(DX24=0,DX25=0),0,IF(DX24&lt;=0,0,IF(WEEKDAY(DX$6,1)=1,DX24*DX25,0)))</f>
        <v>0</v>
      </c>
      <c r="DY28" s="64">
        <f>IF(AND(DY24=0,DY25=0),0,IF(DY24&lt;=0,0,IF(WEEKDAY(DY$6,1)=1,DY24*DY25,0)))</f>
        <v>0</v>
      </c>
      <c r="DZ28" s="63">
        <f>IF(AND(DZ24=1,DZ25=8),0,IF(DZ24&lt;=0,0,IF(WEEKDAY(DZ$6,1)=1,DZ24*DZ25,0)))</f>
        <v>0</v>
      </c>
      <c r="EA28" s="63">
        <f>IF(AND(EA24=1,EA25=8),0,IF(EA24&lt;=0,0,IF(WEEKDAY(EA$6,1)=1,EA24*EA25,0)))</f>
        <v>0</v>
      </c>
      <c r="EB28" s="63">
        <f>IF(AND(EB24=1,EB25=8),0,IF(EB24&lt;=0,0,IF(WEEKDAY(EB$6,1)=1,EB24*EB25,0)))</f>
        <v>0</v>
      </c>
      <c r="EC28" s="63">
        <f>IF(AND(EC24=1,EC25=8),0,IF(EC24&lt;=0,0,IF(WEEKDAY(EC$6,1)=1,EC24*EC25,0)))</f>
        <v>0</v>
      </c>
      <c r="ED28" s="63">
        <f>IF(AND(ED24=1,ED25=8),0,IF(ED24&lt;=0,0,IF(WEEKDAY(ED$6,1)=1,ED24*ED25,0)))</f>
        <v>0</v>
      </c>
      <c r="EE28" s="64">
        <f>IF(AND(EE24=0,EE25=0),0,IF(EE24&lt;=0,0,IF(WEEKDAY(EE$6,1)=1,EE24*EE25,0)))</f>
        <v>0</v>
      </c>
      <c r="EF28" s="64">
        <f>IF(AND(EF24=0,EF25=0),0,IF(EF24&lt;=0,0,IF(WEEKDAY(EF$6,1)=1,EF24*EF25,0)))</f>
        <v>0</v>
      </c>
      <c r="EG28" s="63">
        <f>IF(AND(EG24=1,EG25=8),0,IF(EG24&lt;=0,0,IF(WEEKDAY(EG$6,1)=1,EG24*EG25,0)))</f>
        <v>0</v>
      </c>
      <c r="EH28" s="63">
        <f>IF(AND(EH24=1,EH25=8),0,IF(EH24&lt;=0,0,IF(WEEKDAY(EH$6,1)=1,EH24*EH25,0)))</f>
        <v>0</v>
      </c>
      <c r="EI28" s="63">
        <f>IF(AND(EI24=1,EI25=8),0,IF(EI24&lt;=0,0,IF(WEEKDAY(EI$6,1)=1,EI24*EI25,0)))</f>
        <v>0</v>
      </c>
      <c r="EJ28" s="63">
        <f>IF(AND(EJ24=1,EJ25=8),0,IF(EJ24&lt;=0,0,IF(WEEKDAY(EJ$6,1)=1,EJ24*EJ25,0)))</f>
        <v>0</v>
      </c>
      <c r="EK28" s="65">
        <f>IF(AND(EK24=1,EK25=8),0,IF(EK24&lt;=0,0,IF(WEEKDAY(EK$6,1)=1,EK24*EK25,0)))</f>
        <v>0</v>
      </c>
      <c r="OU28" s="28" t="s">
        <v>109</v>
      </c>
    </row>
    <row r="29" ht="16" customHeight="1" spans="1:411" x14ac:dyDescent="0.25">
      <c r="A29" s="45"/>
      <c r="B29" s="46"/>
      <c r="C29" s="67">
        <f>I23*D29</f>
        <v>64090</v>
      </c>
      <c r="D29" s="67">
        <v>130</v>
      </c>
      <c r="E29" s="68" t="s">
        <v>65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0</v>
      </c>
      <c r="S29" s="70">
        <v>0</v>
      </c>
      <c r="T29" s="70">
        <v>0</v>
      </c>
      <c r="U29" s="70">
        <v>0</v>
      </c>
      <c r="V29" s="70">
        <v>0</v>
      </c>
      <c r="W29" s="71">
        <v>0</v>
      </c>
      <c r="X29" s="71">
        <v>0</v>
      </c>
      <c r="Y29" s="70">
        <v>2</v>
      </c>
      <c r="Z29" s="70">
        <v>2</v>
      </c>
      <c r="AA29" s="70">
        <v>2</v>
      </c>
      <c r="AB29" s="70">
        <v>2</v>
      </c>
      <c r="AC29" s="70">
        <v>0</v>
      </c>
      <c r="AD29" s="71">
        <v>0</v>
      </c>
      <c r="AE29" s="71">
        <v>0</v>
      </c>
      <c r="AF29" s="70">
        <v>0</v>
      </c>
      <c r="AG29" s="70">
        <v>0</v>
      </c>
      <c r="AH29" s="70">
        <v>0</v>
      </c>
      <c r="AI29" s="70">
        <v>0</v>
      </c>
      <c r="AJ29" s="70">
        <v>0</v>
      </c>
      <c r="AK29" s="71">
        <v>0</v>
      </c>
      <c r="AL29" s="71">
        <v>0</v>
      </c>
      <c r="AM29" s="70">
        <v>11</v>
      </c>
      <c r="AN29" s="70">
        <v>11</v>
      </c>
      <c r="AO29" s="70">
        <v>11</v>
      </c>
      <c r="AP29" s="70">
        <v>11</v>
      </c>
      <c r="AQ29" s="70">
        <v>11</v>
      </c>
      <c r="AR29" s="71">
        <v>0</v>
      </c>
      <c r="AS29" s="71">
        <v>0</v>
      </c>
      <c r="AT29" s="70">
        <v>11</v>
      </c>
      <c r="AU29" s="70">
        <v>11</v>
      </c>
      <c r="AV29" s="70">
        <v>11</v>
      </c>
      <c r="AW29" s="70">
        <v>11</v>
      </c>
      <c r="AX29" s="70">
        <v>11</v>
      </c>
      <c r="AY29" s="71">
        <v>0</v>
      </c>
      <c r="AZ29" s="71">
        <v>0</v>
      </c>
      <c r="BA29" s="70">
        <v>11</v>
      </c>
      <c r="BB29" s="70">
        <v>11</v>
      </c>
      <c r="BC29" s="70">
        <v>11</v>
      </c>
      <c r="BD29" s="70">
        <v>11</v>
      </c>
      <c r="BE29" s="70">
        <v>11</v>
      </c>
      <c r="BF29" s="71">
        <v>0</v>
      </c>
      <c r="BG29" s="71">
        <v>0</v>
      </c>
      <c r="BH29" s="70">
        <v>6</v>
      </c>
      <c r="BI29" s="70">
        <v>6</v>
      </c>
      <c r="BJ29" s="70">
        <v>6</v>
      </c>
      <c r="BK29" s="70">
        <v>6</v>
      </c>
      <c r="BL29" s="70">
        <v>6</v>
      </c>
      <c r="BM29" s="71">
        <v>6</v>
      </c>
      <c r="BN29" s="71">
        <v>6</v>
      </c>
      <c r="BO29" s="70">
        <v>6</v>
      </c>
      <c r="BP29" s="70">
        <v>6</v>
      </c>
      <c r="BQ29" s="70">
        <v>6</v>
      </c>
      <c r="BR29" s="70">
        <v>6</v>
      </c>
      <c r="BS29" s="70">
        <v>6</v>
      </c>
      <c r="BT29" s="71">
        <v>6</v>
      </c>
      <c r="BU29" s="71">
        <v>6</v>
      </c>
      <c r="BV29" s="70">
        <v>6</v>
      </c>
      <c r="BW29" s="70">
        <v>6</v>
      </c>
      <c r="BX29" s="70">
        <v>6</v>
      </c>
      <c r="BY29" s="70">
        <v>6</v>
      </c>
      <c r="BZ29" s="70">
        <v>6</v>
      </c>
      <c r="CA29" s="71">
        <v>6</v>
      </c>
      <c r="CB29" s="71">
        <v>0</v>
      </c>
      <c r="CC29" s="70">
        <v>6</v>
      </c>
      <c r="CD29" s="70">
        <v>6</v>
      </c>
      <c r="CE29" s="70">
        <v>6</v>
      </c>
      <c r="CF29" s="70">
        <v>6</v>
      </c>
      <c r="CG29" s="70">
        <v>6</v>
      </c>
      <c r="CH29" s="71">
        <v>6</v>
      </c>
      <c r="CI29" s="71">
        <v>6</v>
      </c>
      <c r="CJ29" s="70">
        <v>6</v>
      </c>
      <c r="CK29" s="70">
        <v>6</v>
      </c>
      <c r="CL29" s="70">
        <v>6</v>
      </c>
      <c r="CM29" s="70">
        <v>6</v>
      </c>
      <c r="CN29" s="70">
        <v>6</v>
      </c>
      <c r="CO29" s="71">
        <v>6</v>
      </c>
      <c r="CP29" s="71">
        <v>0</v>
      </c>
      <c r="CQ29" s="70">
        <v>6</v>
      </c>
      <c r="CR29" s="70">
        <v>6</v>
      </c>
      <c r="CS29" s="70">
        <v>6</v>
      </c>
      <c r="CT29" s="70">
        <v>6</v>
      </c>
      <c r="CU29" s="70">
        <v>6</v>
      </c>
      <c r="CV29" s="71">
        <v>6</v>
      </c>
      <c r="CW29" s="71">
        <v>6</v>
      </c>
      <c r="CX29" s="70">
        <v>6</v>
      </c>
      <c r="CY29" s="70">
        <v>6</v>
      </c>
      <c r="CZ29" s="70">
        <v>6</v>
      </c>
      <c r="DA29" s="70">
        <v>6</v>
      </c>
      <c r="DB29" s="70">
        <v>6</v>
      </c>
      <c r="DC29" s="71">
        <v>6</v>
      </c>
      <c r="DD29" s="71">
        <v>2</v>
      </c>
      <c r="DE29" s="70">
        <v>2</v>
      </c>
      <c r="DF29" s="70">
        <v>2</v>
      </c>
      <c r="DG29" s="70">
        <v>2</v>
      </c>
      <c r="DH29" s="70">
        <v>2</v>
      </c>
      <c r="DI29" s="70">
        <v>2</v>
      </c>
      <c r="DJ29" s="71">
        <v>2</v>
      </c>
      <c r="DK29" s="71">
        <v>0</v>
      </c>
      <c r="DL29" s="70">
        <v>2</v>
      </c>
      <c r="DM29" s="70">
        <v>2</v>
      </c>
      <c r="DN29" s="70">
        <v>2</v>
      </c>
      <c r="DO29" s="70">
        <v>2</v>
      </c>
      <c r="DP29" s="70">
        <v>2</v>
      </c>
      <c r="DQ29" s="71">
        <v>2</v>
      </c>
      <c r="DR29" s="71">
        <v>2</v>
      </c>
      <c r="DS29" s="70">
        <v>2</v>
      </c>
      <c r="DT29" s="70">
        <v>1</v>
      </c>
      <c r="DU29" s="70">
        <v>1</v>
      </c>
      <c r="DV29" s="70">
        <v>1</v>
      </c>
      <c r="DW29" s="70">
        <v>1</v>
      </c>
      <c r="DX29" s="71">
        <v>0</v>
      </c>
      <c r="DY29" s="71">
        <v>0</v>
      </c>
      <c r="DZ29" s="70">
        <v>1</v>
      </c>
      <c r="EA29" s="70">
        <v>1</v>
      </c>
      <c r="EB29" s="70">
        <v>1</v>
      </c>
      <c r="EC29" s="70">
        <v>1</v>
      </c>
      <c r="ED29" s="70">
        <v>1</v>
      </c>
      <c r="EE29" s="71">
        <v>0</v>
      </c>
      <c r="EF29" s="71">
        <v>0</v>
      </c>
      <c r="EG29" s="70">
        <v>1</v>
      </c>
      <c r="EH29" s="70">
        <v>1</v>
      </c>
      <c r="EI29" s="70">
        <v>1</v>
      </c>
      <c r="EJ29" s="70">
        <v>1</v>
      </c>
      <c r="EK29" s="72">
        <v>1</v>
      </c>
      <c r="OU29" s="60" t="s">
        <v>109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46" t="s">
        <v>108</v>
      </c>
      <c r="C31" s="47">
        <f>J31</f>
        <v>667138.7999999999</v>
      </c>
      <c r="D31" s="48"/>
      <c r="E31" s="48"/>
      <c r="F31" s="49">
        <f>SUM(K34:EK34)</f>
        <v>2416</v>
      </c>
      <c r="G31" s="49">
        <f>SUM(K35:EK35)</f>
        <v>2212</v>
      </c>
      <c r="H31" s="49">
        <f>SUM(K36:EK36)</f>
        <v>456</v>
      </c>
      <c r="I31" s="49">
        <f>SUM(K37:EK37)</f>
        <v>352</v>
      </c>
      <c r="J31" s="50">
        <f>C34+C35+C36</f>
        <v>667138.7999999999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110</v>
      </c>
    </row>
    <row r="32" ht="16" customHeight="1" spans="1:411" x14ac:dyDescent="0.25">
      <c r="A32" s="74"/>
      <c r="B32" s="46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8</v>
      </c>
      <c r="BI32" s="57">
        <v>8</v>
      </c>
      <c r="BJ32" s="57">
        <v>8</v>
      </c>
      <c r="BK32" s="57">
        <v>8</v>
      </c>
      <c r="BL32" s="57">
        <v>8</v>
      </c>
      <c r="BM32" s="58">
        <v>8</v>
      </c>
      <c r="BN32" s="58">
        <v>8</v>
      </c>
      <c r="BO32" s="57">
        <v>8</v>
      </c>
      <c r="BP32" s="57">
        <v>8</v>
      </c>
      <c r="BQ32" s="57">
        <v>8</v>
      </c>
      <c r="BR32" s="57">
        <v>8</v>
      </c>
      <c r="BS32" s="57">
        <v>8</v>
      </c>
      <c r="BT32" s="58">
        <v>8</v>
      </c>
      <c r="BU32" s="58">
        <v>8</v>
      </c>
      <c r="BV32" s="57">
        <v>8</v>
      </c>
      <c r="BW32" s="57">
        <v>8</v>
      </c>
      <c r="BX32" s="57">
        <v>8</v>
      </c>
      <c r="BY32" s="57">
        <v>8</v>
      </c>
      <c r="BZ32" s="57">
        <v>8</v>
      </c>
      <c r="CA32" s="58">
        <v>8</v>
      </c>
      <c r="CB32" s="58">
        <v>0</v>
      </c>
      <c r="CC32" s="57">
        <v>8</v>
      </c>
      <c r="CD32" s="57">
        <v>8</v>
      </c>
      <c r="CE32" s="57">
        <v>8</v>
      </c>
      <c r="CF32" s="57">
        <v>8</v>
      </c>
      <c r="CG32" s="57">
        <v>8</v>
      </c>
      <c r="CH32" s="58">
        <v>8</v>
      </c>
      <c r="CI32" s="58">
        <v>8</v>
      </c>
      <c r="CJ32" s="57">
        <v>8</v>
      </c>
      <c r="CK32" s="57">
        <v>8</v>
      </c>
      <c r="CL32" s="57">
        <v>8</v>
      </c>
      <c r="CM32" s="57">
        <v>8</v>
      </c>
      <c r="CN32" s="57">
        <v>8</v>
      </c>
      <c r="CO32" s="58">
        <v>8</v>
      </c>
      <c r="CP32" s="58">
        <v>0</v>
      </c>
      <c r="CQ32" s="57">
        <v>8</v>
      </c>
      <c r="CR32" s="57">
        <v>8</v>
      </c>
      <c r="CS32" s="57">
        <v>8</v>
      </c>
      <c r="CT32" s="57">
        <v>8</v>
      </c>
      <c r="CU32" s="57">
        <v>8</v>
      </c>
      <c r="CV32" s="58">
        <v>8</v>
      </c>
      <c r="CW32" s="58">
        <v>8</v>
      </c>
      <c r="CX32" s="57">
        <v>8</v>
      </c>
      <c r="CY32" s="57">
        <v>8</v>
      </c>
      <c r="CZ32" s="57">
        <v>8</v>
      </c>
      <c r="DA32" s="57">
        <v>8</v>
      </c>
      <c r="DB32" s="57">
        <v>8</v>
      </c>
      <c r="DC32" s="58">
        <v>8</v>
      </c>
      <c r="DD32" s="58">
        <v>2</v>
      </c>
      <c r="DE32" s="57">
        <v>2</v>
      </c>
      <c r="DF32" s="57">
        <v>2</v>
      </c>
      <c r="DG32" s="57">
        <v>2</v>
      </c>
      <c r="DH32" s="57">
        <v>2</v>
      </c>
      <c r="DI32" s="57">
        <v>2</v>
      </c>
      <c r="DJ32" s="58">
        <v>2</v>
      </c>
      <c r="DK32" s="58">
        <v>0</v>
      </c>
      <c r="DL32" s="57">
        <v>2</v>
      </c>
      <c r="DM32" s="57">
        <v>2</v>
      </c>
      <c r="DN32" s="57">
        <v>2</v>
      </c>
      <c r="DO32" s="57">
        <v>2</v>
      </c>
      <c r="DP32" s="57">
        <v>2</v>
      </c>
      <c r="DQ32" s="58">
        <v>2</v>
      </c>
      <c r="DR32" s="58">
        <v>2</v>
      </c>
      <c r="DS32" s="57">
        <v>2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110</v>
      </c>
    </row>
    <row r="33" ht="16" customHeight="1" spans="1:411" x14ac:dyDescent="0.25">
      <c r="A33" s="74"/>
      <c r="B33" s="46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13</v>
      </c>
      <c r="BI33" s="57">
        <v>13</v>
      </c>
      <c r="BJ33" s="57">
        <v>13</v>
      </c>
      <c r="BK33" s="57">
        <v>13</v>
      </c>
      <c r="BL33" s="57">
        <v>13</v>
      </c>
      <c r="BM33" s="58">
        <v>13</v>
      </c>
      <c r="BN33" s="58">
        <v>13</v>
      </c>
      <c r="BO33" s="57">
        <v>13</v>
      </c>
      <c r="BP33" s="57">
        <v>13</v>
      </c>
      <c r="BQ33" s="57">
        <v>13</v>
      </c>
      <c r="BR33" s="57">
        <v>13</v>
      </c>
      <c r="BS33" s="57">
        <v>13</v>
      </c>
      <c r="BT33" s="58">
        <v>13</v>
      </c>
      <c r="BU33" s="58">
        <v>13</v>
      </c>
      <c r="BV33" s="57">
        <v>13</v>
      </c>
      <c r="BW33" s="57">
        <v>13</v>
      </c>
      <c r="BX33" s="57">
        <v>13</v>
      </c>
      <c r="BY33" s="57">
        <v>13</v>
      </c>
      <c r="BZ33" s="57">
        <v>13</v>
      </c>
      <c r="CA33" s="58">
        <v>13</v>
      </c>
      <c r="CB33" s="58">
        <v>0</v>
      </c>
      <c r="CC33" s="57">
        <v>13</v>
      </c>
      <c r="CD33" s="57">
        <v>13</v>
      </c>
      <c r="CE33" s="57">
        <v>13</v>
      </c>
      <c r="CF33" s="57">
        <v>13</v>
      </c>
      <c r="CG33" s="57">
        <v>13</v>
      </c>
      <c r="CH33" s="58">
        <v>13</v>
      </c>
      <c r="CI33" s="58">
        <v>13</v>
      </c>
      <c r="CJ33" s="57">
        <v>13</v>
      </c>
      <c r="CK33" s="57">
        <v>13</v>
      </c>
      <c r="CL33" s="57">
        <v>13</v>
      </c>
      <c r="CM33" s="57">
        <v>13</v>
      </c>
      <c r="CN33" s="57">
        <v>13</v>
      </c>
      <c r="CO33" s="58">
        <v>13</v>
      </c>
      <c r="CP33" s="58">
        <v>0</v>
      </c>
      <c r="CQ33" s="57">
        <v>13</v>
      </c>
      <c r="CR33" s="57">
        <v>13</v>
      </c>
      <c r="CS33" s="57">
        <v>13</v>
      </c>
      <c r="CT33" s="57">
        <v>13</v>
      </c>
      <c r="CU33" s="57">
        <v>13</v>
      </c>
      <c r="CV33" s="58">
        <v>13</v>
      </c>
      <c r="CW33" s="58">
        <v>13</v>
      </c>
      <c r="CX33" s="57">
        <v>13</v>
      </c>
      <c r="CY33" s="57">
        <v>13</v>
      </c>
      <c r="CZ33" s="57">
        <v>13</v>
      </c>
      <c r="DA33" s="57">
        <v>13</v>
      </c>
      <c r="DB33" s="57">
        <v>13</v>
      </c>
      <c r="DC33" s="58">
        <v>13</v>
      </c>
      <c r="DD33" s="58">
        <v>10</v>
      </c>
      <c r="DE33" s="57">
        <v>10</v>
      </c>
      <c r="DF33" s="57">
        <v>10</v>
      </c>
      <c r="DG33" s="57">
        <v>10</v>
      </c>
      <c r="DH33" s="57">
        <v>10</v>
      </c>
      <c r="DI33" s="57">
        <v>10</v>
      </c>
      <c r="DJ33" s="58">
        <v>10</v>
      </c>
      <c r="DK33" s="58">
        <v>0</v>
      </c>
      <c r="DL33" s="57">
        <v>10</v>
      </c>
      <c r="DM33" s="57">
        <v>10</v>
      </c>
      <c r="DN33" s="57">
        <v>10</v>
      </c>
      <c r="DO33" s="57">
        <v>10</v>
      </c>
      <c r="DP33" s="57">
        <v>10</v>
      </c>
      <c r="DQ33" s="58">
        <v>10</v>
      </c>
      <c r="DR33" s="58">
        <v>10</v>
      </c>
      <c r="DS33" s="57">
        <v>10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110</v>
      </c>
    </row>
    <row r="34" ht="16" customHeight="1" spans="1:411" x14ac:dyDescent="0.25">
      <c r="A34" s="74"/>
      <c r="B34" s="46"/>
      <c r="C34" s="61">
        <f>F31*N(D34)</f>
        <v>254356.48</v>
      </c>
      <c r="D34" s="61">
        <f>IF(TRIM(B31)="","No rate",IFERROR(INDEX('Rate Tables'!C$7:C$158,MATCH(B31,'Rate Tables'!A$7:A$158,0)),"No rate"))</f>
        <v>105.28</v>
      </c>
      <c r="E34" s="55" t="s">
        <v>62</v>
      </c>
      <c r="F34" s="49"/>
      <c r="G34" s="49"/>
      <c r="H34" s="49"/>
      <c r="I34" s="49"/>
      <c r="J34" s="50"/>
      <c r="K34" s="62">
        <f>IF(AND(K32=0,K33=0),0,MIN(IF(K32&lt;=0,0,IF(WEEKDAY(K$6,1)=1,0,IF(WEEKDAY(K$6,1)=7,0,MIN(8,K33)*K32))),MAX(0,40*MAX(1,K32)-(0))))</f>
        <v>0</v>
      </c>
      <c r="L34" s="63">
        <f>IF(AND(L32=0,L33=0),0,MIN(IF(L32&lt;=0,0,IF(WEEKDAY(L$6,1)=1,0,IF(WEEKDAY(L$6,1)=7,0,MIN(8,L33)*L32))),MAX(0,40*MAX(1,L32)-(K34))))</f>
        <v>0</v>
      </c>
      <c r="M34" s="63">
        <f>IF(AND(M32=0,M33=0),0,MIN(IF(M32&lt;=0,0,IF(WEEKDAY(M$6,1)=1,0,IF(WEEKDAY(M$6,1)=7,0,MIN(8,M33)*M32))),MAX(0,40*MAX(1,M32)-(K34+L34))))</f>
        <v>0</v>
      </c>
      <c r="N34" s="63">
        <f>IF(AND(N32=0,N33=0),0,MIN(IF(N32&lt;=0,0,IF(WEEKDAY(N$6,1)=1,0,IF(WEEKDAY(N$6,1)=7,0,MIN(8,N33)*N32))),MAX(0,40*MAX(1,N32)-(K34+L34+M34))))</f>
        <v>0</v>
      </c>
      <c r="O34" s="63">
        <f>IF(AND(O32=0,O33=0),0,MIN(IF(O32&lt;=0,0,IF(WEEKDAY(O$6,1)=1,0,IF(WEEKDAY(O$6,1)=7,0,MIN(8,O33)*O32))),MAX(0,40*MAX(1,O32)-(K34+L34+M34+N34))))</f>
        <v>0</v>
      </c>
      <c r="P34" s="64">
        <f>IF(AND(P32=0,P33=0),0,MIN(IF(P32&lt;=0,0,IF(WEEKDAY(P$6,1)=1,0,IF(WEEKDAY(P$6,1)=7,0,MIN(8,P33)*P32))),MAX(0,40*MAX(1,P32)-(K34+L34+M34+N34+O34))))</f>
        <v>0</v>
      </c>
      <c r="Q34" s="64">
        <f>IF(AND(Q32=0,Q33=0),0,MIN(IF(Q32&lt;=0,0,IF(WEEKDAY(Q$6,1)=1,0,IF(WEEKDAY(Q$6,1)=7,0,MIN(8,Q33)*Q32))),MAX(0,40*MAX(1,Q32)-(K34+L34+M34+N34+O34+P34))))</f>
        <v>0</v>
      </c>
      <c r="R34" s="63">
        <f>IF(AND(R32=0,R33=0),0,MIN(IF(R32&lt;=0,0,IF(WEEKDAY(R$6,1)=1,0,IF(WEEKDAY(R$6,1)=7,0,MIN(8,R33)*R32))),MAX(0,40*MAX(1,R32)-(0))))</f>
        <v>0</v>
      </c>
      <c r="S34" s="63">
        <f>IF(AND(S32=0,S33=0),0,MIN(IF(S32&lt;=0,0,IF(WEEKDAY(S$6,1)=1,0,IF(WEEKDAY(S$6,1)=7,0,MIN(8,S33)*S32))),MAX(0,40*MAX(1,S32)-(R34))))</f>
        <v>0</v>
      </c>
      <c r="T34" s="63">
        <f>IF(AND(T32=0,T33=0),0,MIN(IF(T32&lt;=0,0,IF(WEEKDAY(T$6,1)=1,0,IF(WEEKDAY(T$6,1)=7,0,MIN(8,T33)*T32))),MAX(0,40*MAX(1,T32)-(R34+S34))))</f>
        <v>0</v>
      </c>
      <c r="U34" s="63">
        <f>IF(AND(U32=0,U33=0),0,MIN(IF(U32&lt;=0,0,IF(WEEKDAY(U$6,1)=1,0,IF(WEEKDAY(U$6,1)=7,0,MIN(8,U33)*U32))),MAX(0,40*MAX(1,U32)-(R34+S34+T34))))</f>
        <v>0</v>
      </c>
      <c r="V34" s="63">
        <f>IF(AND(V32=0,V33=0),0,MIN(IF(V32&lt;=0,0,IF(WEEKDAY(V$6,1)=1,0,IF(WEEKDAY(V$6,1)=7,0,MIN(8,V33)*V32))),MAX(0,40*MAX(1,V32)-(R34+S34+T34+U34))))</f>
        <v>0</v>
      </c>
      <c r="W34" s="64">
        <f>IF(AND(W32=0,W33=0),0,MIN(IF(W32&lt;=0,0,IF(WEEKDAY(W$6,1)=1,0,IF(WEEKDAY(W$6,1)=7,0,MIN(8,W33)*W32))),MAX(0,40*MAX(1,W32)-(R34+S34+T34+U34+V34))))</f>
        <v>0</v>
      </c>
      <c r="X34" s="64">
        <f>IF(AND(X32=0,X33=0),0,MIN(IF(X32&lt;=0,0,IF(WEEKDAY(X$6,1)=1,0,IF(WEEKDAY(X$6,1)=7,0,MIN(8,X33)*X32))),MAX(0,40*MAX(1,X32)-(R34+S34+T34+U34+V34+W34))))</f>
        <v>0</v>
      </c>
      <c r="Y34" s="63">
        <f>IF(AND(Y32=0,Y33=0),0,MIN(IF(Y32&lt;=0,0,IF(WEEKDAY(Y$6,1)=1,0,IF(WEEKDAY(Y$6,1)=7,0,MIN(8,Y33)*Y32))),MAX(0,40*MAX(1,Y32)-(0))))</f>
        <v>0</v>
      </c>
      <c r="Z34" s="63">
        <f>IF(AND(Z32=0,Z33=0),0,MIN(IF(Z32&lt;=0,0,IF(WEEKDAY(Z$6,1)=1,0,IF(WEEKDAY(Z$6,1)=7,0,MIN(8,Z33)*Z32))),MAX(0,40*MAX(1,Z32)-(Y34))))</f>
        <v>0</v>
      </c>
      <c r="AA34" s="63">
        <f>IF(AND(AA32=0,AA33=0),0,MIN(IF(AA32&lt;=0,0,IF(WEEKDAY(AA$6,1)=1,0,IF(WEEKDAY(AA$6,1)=7,0,MIN(8,AA33)*AA32))),MAX(0,40*MAX(1,AA32)-(Y34+Z34))))</f>
        <v>0</v>
      </c>
      <c r="AB34" s="63">
        <f>IF(AND(AB32=0,AB33=0),0,MIN(IF(AB32&lt;=0,0,IF(WEEKDAY(AB$6,1)=1,0,IF(WEEKDAY(AB$6,1)=7,0,MIN(8,AB33)*AB32))),MAX(0,40*MAX(1,AB32)-(Y34+Z34+AA34))))</f>
        <v>0</v>
      </c>
      <c r="AC34" s="63">
        <f>IF(AND(AC32=0,AC33=0),0,MIN(IF(AC32&lt;=0,0,IF(WEEKDAY(AC$6,1)=1,0,IF(WEEKDAY(AC$6,1)=7,0,MIN(8,AC33)*AC32))),MAX(0,40*MAX(1,AC32)-(Y34+Z34+AA34+AB34))))</f>
        <v>0</v>
      </c>
      <c r="AD34" s="64">
        <f>IF(AND(AD32=0,AD33=0),0,MIN(IF(AD32&lt;=0,0,IF(WEEKDAY(AD$6,1)=1,0,IF(WEEKDAY(AD$6,1)=7,0,MIN(8,AD33)*AD32))),MAX(0,40*MAX(1,AD32)-(Y34+Z34+AA34+AB34+AC34))))</f>
        <v>0</v>
      </c>
      <c r="AE34" s="64">
        <f>IF(AND(AE32=0,AE33=0),0,MIN(IF(AE32&lt;=0,0,IF(WEEKDAY(AE$6,1)=1,0,IF(WEEKDAY(AE$6,1)=7,0,MIN(8,AE33)*AE32))),MAX(0,40*MAX(1,AE32)-(Y34+Z34+AA34+AB34+AC34+AD34))))</f>
        <v>0</v>
      </c>
      <c r="AF34" s="63">
        <f>IF(AND(AF32=0,AF33=0),0,MIN(IF(AF32&lt;=0,0,IF(WEEKDAY(AF$6,1)=1,0,IF(WEEKDAY(AF$6,1)=7,0,MIN(8,AF33)*AF32))),MAX(0,40*MAX(1,AF32)-(0))))</f>
        <v>0</v>
      </c>
      <c r="AG34" s="63">
        <f>IF(AND(AG32=0,AG33=0),0,MIN(IF(AG32&lt;=0,0,IF(WEEKDAY(AG$6,1)=1,0,IF(WEEKDAY(AG$6,1)=7,0,MIN(8,AG33)*AG32))),MAX(0,40*MAX(1,AG32)-(AF34))))</f>
        <v>0</v>
      </c>
      <c r="AH34" s="63">
        <f>IF(AND(AH32=0,AH33=0),0,MIN(IF(AH32&lt;=0,0,IF(WEEKDAY(AH$6,1)=1,0,IF(WEEKDAY(AH$6,1)=7,0,MIN(8,AH33)*AH32))),MAX(0,40*MAX(1,AH32)-(AF34+AG34))))</f>
        <v>0</v>
      </c>
      <c r="AI34" s="63">
        <f>IF(AND(AI32=0,AI33=0),0,MIN(IF(AI32&lt;=0,0,IF(WEEKDAY(AI$6,1)=1,0,IF(WEEKDAY(AI$6,1)=7,0,MIN(8,AI33)*AI32))),MAX(0,40*MAX(1,AI32)-(AF34+AG34+AH34))))</f>
        <v>0</v>
      </c>
      <c r="AJ34" s="63">
        <f>IF(AND(AJ32=0,AJ33=0),0,MIN(IF(AJ32&lt;=0,0,IF(WEEKDAY(AJ$6,1)=1,0,IF(WEEKDAY(AJ$6,1)=7,0,MIN(8,AJ33)*AJ32))),MAX(0,40*MAX(1,AJ32)-(AF34+AG34+AH34+AI34))))</f>
        <v>0</v>
      </c>
      <c r="AK34" s="64">
        <f>IF(AND(AK32=0,AK33=0),0,MIN(IF(AK32&lt;=0,0,IF(WEEKDAY(AK$6,1)=1,0,IF(WEEKDAY(AK$6,1)=7,0,MIN(8,AK33)*AK32))),MAX(0,40*MAX(1,AK32)-(AF34+AG34+AH34+AI34+AJ34))))</f>
        <v>0</v>
      </c>
      <c r="AL34" s="64">
        <f>IF(AND(AL32=0,AL33=0),0,MIN(IF(AL32&lt;=0,0,IF(WEEKDAY(AL$6,1)=1,0,IF(WEEKDAY(AL$6,1)=7,0,MIN(8,AL33)*AL32))),MAX(0,40*MAX(1,AL32)-(AF34+AG34+AH34+AI34+AJ34+AK34))))</f>
        <v>0</v>
      </c>
      <c r="AM34" s="63">
        <f>IF(AND(AM32=0,AM33=0),0,MIN(IF(AM32&lt;=0,0,IF(WEEKDAY(AM$6,1)=1,0,IF(WEEKDAY(AM$6,1)=7,0,MIN(8,AM33)*AM32))),MAX(0,40*MAX(1,AM32)-(0))))</f>
        <v>0</v>
      </c>
      <c r="AN34" s="63">
        <f>IF(AND(AN32=0,AN33=0),0,MIN(IF(AN32&lt;=0,0,IF(WEEKDAY(AN$6,1)=1,0,IF(WEEKDAY(AN$6,1)=7,0,MIN(8,AN33)*AN32))),MAX(0,40*MAX(1,AN32)-(AM34))))</f>
        <v>0</v>
      </c>
      <c r="AO34" s="63">
        <f>IF(AND(AO32=0,AO33=0),0,MIN(IF(AO32&lt;=0,0,IF(WEEKDAY(AO$6,1)=1,0,IF(WEEKDAY(AO$6,1)=7,0,MIN(8,AO33)*AO32))),MAX(0,40*MAX(1,AO32)-(AM34+AN34))))</f>
        <v>0</v>
      </c>
      <c r="AP34" s="63">
        <f>IF(AND(AP32=0,AP33=0),0,MIN(IF(AP32&lt;=0,0,IF(WEEKDAY(AP$6,1)=1,0,IF(WEEKDAY(AP$6,1)=7,0,MIN(8,AP33)*AP32))),MAX(0,40*MAX(1,AP32)-(AM34+AN34+AO34))))</f>
        <v>0</v>
      </c>
      <c r="AQ34" s="63">
        <f>IF(AND(AQ32=0,AQ33=0),0,MIN(IF(AQ32&lt;=0,0,IF(WEEKDAY(AQ$6,1)=1,0,IF(WEEKDAY(AQ$6,1)=7,0,MIN(8,AQ33)*AQ32))),MAX(0,40*MAX(1,AQ32)-(AM34+AN34+AO34+AP34))))</f>
        <v>0</v>
      </c>
      <c r="AR34" s="64">
        <f>IF(AND(AR32=0,AR33=0),0,MIN(IF(AR32&lt;=0,0,IF(WEEKDAY(AR$6,1)=1,0,IF(WEEKDAY(AR$6,1)=7,0,MIN(8,AR33)*AR32))),MAX(0,40*MAX(1,AR32)-(AM34+AN34+AO34+AP34+AQ34))))</f>
        <v>0</v>
      </c>
      <c r="AS34" s="64">
        <f>IF(AND(AS32=0,AS33=0),0,MIN(IF(AS32&lt;=0,0,IF(WEEKDAY(AS$6,1)=1,0,IF(WEEKDAY(AS$6,1)=7,0,MIN(8,AS33)*AS32))),MAX(0,40*MAX(1,AS32)-(AM34+AN34+AO34+AP34+AQ34+AR34))))</f>
        <v>0</v>
      </c>
      <c r="AT34" s="63">
        <f>IF(AND(AT32=0,AT33=0),0,MIN(IF(AT32&lt;=0,0,IF(WEEKDAY(AT$6,1)=1,0,IF(WEEKDAY(AT$6,1)=7,0,MIN(8,AT33)*AT32))),MAX(0,40*MAX(1,AT32)-(0))))</f>
        <v>0</v>
      </c>
      <c r="AU34" s="63">
        <f>IF(AND(AU32=0,AU33=0),0,MIN(IF(AU32&lt;=0,0,IF(WEEKDAY(AU$6,1)=1,0,IF(WEEKDAY(AU$6,1)=7,0,MIN(8,AU33)*AU32))),MAX(0,40*MAX(1,AU32)-(AT34))))</f>
        <v>0</v>
      </c>
      <c r="AV34" s="63">
        <f>IF(AND(AV32=0,AV33=0),0,MIN(IF(AV32&lt;=0,0,IF(WEEKDAY(AV$6,1)=1,0,IF(WEEKDAY(AV$6,1)=7,0,MIN(8,AV33)*AV32))),MAX(0,40*MAX(1,AV32)-(AT34+AU34))))</f>
        <v>0</v>
      </c>
      <c r="AW34" s="63">
        <f>IF(AND(AW32=0,AW33=0),0,MIN(IF(AW32&lt;=0,0,IF(WEEKDAY(AW$6,1)=1,0,IF(WEEKDAY(AW$6,1)=7,0,MIN(8,AW33)*AW32))),MAX(0,40*MAX(1,AW32)-(AT34+AU34+AV34))))</f>
        <v>0</v>
      </c>
      <c r="AX34" s="63">
        <f>IF(AND(AX32=0,AX33=0),0,MIN(IF(AX32&lt;=0,0,IF(WEEKDAY(AX$6,1)=1,0,IF(WEEKDAY(AX$6,1)=7,0,MIN(8,AX33)*AX32))),MAX(0,40*MAX(1,AX32)-(AT34+AU34+AV34+AW34))))</f>
        <v>0</v>
      </c>
      <c r="AY34" s="64">
        <f>IF(AND(AY32=0,AY33=0),0,MIN(IF(AY32&lt;=0,0,IF(WEEKDAY(AY$6,1)=1,0,IF(WEEKDAY(AY$6,1)=7,0,MIN(8,AY33)*AY32))),MAX(0,40*MAX(1,AY32)-(AT34+AU34+AV34+AW34+AX34))))</f>
        <v>0</v>
      </c>
      <c r="AZ34" s="64">
        <f>IF(AND(AZ32=0,AZ33=0),0,MIN(IF(AZ32&lt;=0,0,IF(WEEKDAY(AZ$6,1)=1,0,IF(WEEKDAY(AZ$6,1)=7,0,MIN(8,AZ33)*AZ32))),MAX(0,40*MAX(1,AZ32)-(AT34+AU34+AV34+AW34+AX34+AY34))))</f>
        <v>0</v>
      </c>
      <c r="BA34" s="63">
        <f>IF(AND(BA32=0,BA33=0),0,MIN(IF(BA32&lt;=0,0,IF(WEEKDAY(BA$6,1)=1,0,IF(WEEKDAY(BA$6,1)=7,0,MIN(8,BA33)*BA32))),MAX(0,40*MAX(1,BA32)-(0))))</f>
        <v>0</v>
      </c>
      <c r="BB34" s="63">
        <f>IF(AND(BB32=0,BB33=0),0,MIN(IF(BB32&lt;=0,0,IF(WEEKDAY(BB$6,1)=1,0,IF(WEEKDAY(BB$6,1)=7,0,MIN(8,BB33)*BB32))),MAX(0,40*MAX(1,BB32)-(BA34))))</f>
        <v>0</v>
      </c>
      <c r="BC34" s="63">
        <f>IF(AND(BC32=0,BC33=0),0,MIN(IF(BC32&lt;=0,0,IF(WEEKDAY(BC$6,1)=1,0,IF(WEEKDAY(BC$6,1)=7,0,MIN(8,BC33)*BC32))),MAX(0,40*MAX(1,BC32)-(BA34+BB34))))</f>
        <v>0</v>
      </c>
      <c r="BD34" s="63">
        <f>IF(AND(BD32=0,BD33=0),0,MIN(IF(BD32&lt;=0,0,IF(WEEKDAY(BD$6,1)=1,0,IF(WEEKDAY(BD$6,1)=7,0,MIN(8,BD33)*BD32))),MAX(0,40*MAX(1,BD32)-(BA34+BB34+BC34))))</f>
        <v>0</v>
      </c>
      <c r="BE34" s="63">
        <f>IF(AND(BE32=0,BE33=0),0,MIN(IF(BE32&lt;=0,0,IF(WEEKDAY(BE$6,1)=1,0,IF(WEEKDAY(BE$6,1)=7,0,MIN(8,BE33)*BE32))),MAX(0,40*MAX(1,BE32)-(BA34+BB34+BC34+BD34))))</f>
        <v>0</v>
      </c>
      <c r="BF34" s="64">
        <f>IF(AND(BF32=0,BF33=0),0,MIN(IF(BF32&lt;=0,0,IF(WEEKDAY(BF$6,1)=1,0,IF(WEEKDAY(BF$6,1)=7,0,MIN(8,BF33)*BF32))),MAX(0,40*MAX(1,BF32)-(BA34+BB34+BC34+BD34+BE34))))</f>
        <v>0</v>
      </c>
      <c r="BG34" s="64">
        <f>IF(AND(BG32=0,BG33=0),0,MIN(IF(BG32&lt;=0,0,IF(WEEKDAY(BG$6,1)=1,0,IF(WEEKDAY(BG$6,1)=7,0,MIN(8,BG33)*BG32))),MAX(0,40*MAX(1,BG32)-(BA34+BB34+BC34+BD34+BE34+BF34))))</f>
        <v>0</v>
      </c>
      <c r="BH34" s="63">
        <f>IF(AND(BH32=8,BH33=13),64,MIN(IF(BH32&lt;=0,0,IF(WEEKDAY(BH$6,1)=1,0,IF(WEEKDAY(BH$6,1)=7,0,MIN(8,BH33)*BH32))),MAX(0,40*MAX(1,BH32)-(0))))</f>
        <v>64</v>
      </c>
      <c r="BI34" s="63">
        <f>IF(AND(BI32=8,BI33=13),64,MIN(IF(BI32&lt;=0,0,IF(WEEKDAY(BI$6,1)=1,0,IF(WEEKDAY(BI$6,1)=7,0,MIN(8,BI33)*BI32))),MAX(0,40*MAX(1,BI32)-(BH34))))</f>
        <v>64</v>
      </c>
      <c r="BJ34" s="63">
        <f>IF(AND(BJ32=8,BJ33=13),64,MIN(IF(BJ32&lt;=0,0,IF(WEEKDAY(BJ$6,1)=1,0,IF(WEEKDAY(BJ$6,1)=7,0,MIN(8,BJ33)*BJ32))),MAX(0,40*MAX(1,BJ32)-(BH34+BI34))))</f>
        <v>64</v>
      </c>
      <c r="BK34" s="63">
        <f>IF(AND(BK32=8,BK33=13),64,MIN(IF(BK32&lt;=0,0,IF(WEEKDAY(BK$6,1)=1,0,IF(WEEKDAY(BK$6,1)=7,0,MIN(8,BK33)*BK32))),MAX(0,40*MAX(1,BK32)-(BH34+BI34+BJ34))))</f>
        <v>64</v>
      </c>
      <c r="BL34" s="63">
        <f>IF(AND(BL32=8,BL33=13),64,MIN(IF(BL32&lt;=0,0,IF(WEEKDAY(BL$6,1)=1,0,IF(WEEKDAY(BL$6,1)=7,0,MIN(8,BL33)*BL32))),MAX(0,40*MAX(1,BL32)-(BH34+BI34+BJ34+BK34))))</f>
        <v>64</v>
      </c>
      <c r="BM34" s="64">
        <f>IF(AND(BM32=8,BM33=13),0,MIN(IF(BM32&lt;=0,0,IF(WEEKDAY(BM$6,1)=1,0,IF(WEEKDAY(BM$6,1)=7,0,MIN(8,BM33)*BM32))),MAX(0,40*MAX(1,BM32)-(BH34+BI34+BJ34+BK34+BL34))))</f>
        <v>0</v>
      </c>
      <c r="BN34" s="64">
        <f>IF(AND(BN32=8,BN33=13),0,MIN(IF(BN32&lt;=0,0,IF(WEEKDAY(BN$6,1)=1,0,IF(WEEKDAY(BN$6,1)=7,0,MIN(8,BN33)*BN32))),MAX(0,40*MAX(1,BN32)-(BH34+BI34+BJ34+BK34+BL34+BM34))))</f>
        <v>0</v>
      </c>
      <c r="BO34" s="63">
        <f>IF(AND(BO32=8,BO33=13),64,MIN(IF(BO32&lt;=0,0,IF(WEEKDAY(BO$6,1)=1,0,IF(WEEKDAY(BO$6,1)=7,0,MIN(8,BO33)*BO32))),MAX(0,40*MAX(1,BO32)-(0))))</f>
        <v>64</v>
      </c>
      <c r="BP34" s="63">
        <f>IF(AND(BP32=8,BP33=13),64,MIN(IF(BP32&lt;=0,0,IF(WEEKDAY(BP$6,1)=1,0,IF(WEEKDAY(BP$6,1)=7,0,MIN(8,BP33)*BP32))),MAX(0,40*MAX(1,BP32)-(BO34))))</f>
        <v>64</v>
      </c>
      <c r="BQ34" s="63">
        <f>IF(AND(BQ32=8,BQ33=13),64,MIN(IF(BQ32&lt;=0,0,IF(WEEKDAY(BQ$6,1)=1,0,IF(WEEKDAY(BQ$6,1)=7,0,MIN(8,BQ33)*BQ32))),MAX(0,40*MAX(1,BQ32)-(BO34+BP34))))</f>
        <v>64</v>
      </c>
      <c r="BR34" s="63">
        <f>IF(AND(BR32=8,BR33=13),64,MIN(IF(BR32&lt;=0,0,IF(WEEKDAY(BR$6,1)=1,0,IF(WEEKDAY(BR$6,1)=7,0,MIN(8,BR33)*BR32))),MAX(0,40*MAX(1,BR32)-(0))))</f>
        <v>64</v>
      </c>
      <c r="BS34" s="63">
        <f>IF(AND(BS32=8,BS33=13),64,MIN(IF(BS32&lt;=0,0,IF(WEEKDAY(BS$6,1)=1,0,IF(WEEKDAY(BS$6,1)=7,0,MIN(8,BS33)*BS32))),MAX(0,40*MAX(1,BS32)-(BR34))))</f>
        <v>64</v>
      </c>
      <c r="BT34" s="64">
        <f>IF(AND(BT32=8,BT33=13),0,MIN(IF(BT32&lt;=0,0,IF(WEEKDAY(BT$6,1)=1,0,IF(WEEKDAY(BT$6,1)=7,0,MIN(8,BT33)*BT32))),MAX(0,40*MAX(1,BT32)-(BR34+BS34))))</f>
        <v>0</v>
      </c>
      <c r="BU34" s="64">
        <f>IF(AND(BU32=8,BU33=13),0,MIN(IF(BU32&lt;=0,0,IF(WEEKDAY(BU$6,1)=1,0,IF(WEEKDAY(BU$6,1)=7,0,MIN(8,BU33)*BU32))),MAX(0,40*MAX(1,BU32)-(BR34+BS34+BT34))))</f>
        <v>0</v>
      </c>
      <c r="BV34" s="63">
        <f>IF(AND(BV32=8,BV33=13),64,MIN(IF(BV32&lt;=0,0,IF(WEEKDAY(BV$6,1)=1,0,IF(WEEKDAY(BV$6,1)=7,0,MIN(8,BV33)*BV32))),MAX(0,40*MAX(1,BV32)-(0))))</f>
        <v>64</v>
      </c>
      <c r="BW34" s="63">
        <f>IF(AND(BW32=8,BW33=13),64,MIN(IF(BW32&lt;=0,0,IF(WEEKDAY(BW$6,1)=1,0,IF(WEEKDAY(BW$6,1)=7,0,MIN(8,BW33)*BW32))),MAX(0,40*MAX(1,BW32)-(BV34))))</f>
        <v>64</v>
      </c>
      <c r="BX34" s="63">
        <f>IF(AND(BX32=8,BX33=13),64,MIN(IF(BX32&lt;=0,0,IF(WEEKDAY(BX$6,1)=1,0,IF(WEEKDAY(BX$6,1)=7,0,MIN(8,BX33)*BX32))),MAX(0,40*MAX(1,BX32)-(BV34+BW34))))</f>
        <v>64</v>
      </c>
      <c r="BY34" s="63">
        <f>IF(AND(BY32=8,BY33=13),64,MIN(IF(BY32&lt;=0,0,IF(WEEKDAY(BY$6,1)=1,0,IF(WEEKDAY(BY$6,1)=7,0,MIN(8,BY33)*BY32))),MAX(0,40*MAX(1,BY32)-(BV34+BW34+BX34))))</f>
        <v>64</v>
      </c>
      <c r="BZ34" s="63">
        <f>IF(AND(BZ32=8,BZ33=13),64,MIN(IF(BZ32&lt;=0,0,IF(WEEKDAY(BZ$6,1)=1,0,IF(WEEKDAY(BZ$6,1)=7,0,MIN(8,BZ33)*BZ32))),MAX(0,40*MAX(1,BZ32)-(BV34+BW34+BX34+BY34))))</f>
        <v>64</v>
      </c>
      <c r="CA34" s="64">
        <f>IF(AND(CA32=8,CA33=13),0,MIN(IF(CA32&lt;=0,0,IF(WEEKDAY(CA$6,1)=1,0,IF(WEEKDAY(CA$6,1)=7,0,MIN(8,CA33)*CA32))),MAX(0,40*MAX(1,CA32)-(BV34+BW34+BX34+BY34+BZ34))))</f>
        <v>0</v>
      </c>
      <c r="CB34" s="64">
        <f>IF(AND(CB32=0,CB33=0),0,MIN(IF(CB32&lt;=0,0,IF(WEEKDAY(CB$6,1)=1,0,IF(WEEKDAY(CB$6,1)=7,0,MIN(8,CB33)*CB32))),MAX(0,40*MAX(1,CB32)-(0))))</f>
        <v>0</v>
      </c>
      <c r="CC34" s="63">
        <f>IF(AND(CC32=8,CC33=13),64,MIN(IF(CC32&lt;=0,0,IF(WEEKDAY(CC$6,1)=1,0,IF(WEEKDAY(CC$6,1)=7,0,MIN(8,CC33)*CC32))),MAX(0,40*MAX(1,CC32)-(0))))</f>
        <v>64</v>
      </c>
      <c r="CD34" s="63">
        <f>IF(AND(CD32=8,CD33=13),64,MIN(IF(CD32&lt;=0,0,IF(WEEKDAY(CD$6,1)=1,0,IF(WEEKDAY(CD$6,1)=7,0,MIN(8,CD33)*CD32))),MAX(0,40*MAX(1,CD32)-(CC34))))</f>
        <v>64</v>
      </c>
      <c r="CE34" s="63">
        <f>IF(AND(CE32=8,CE33=13),64,MIN(IF(CE32&lt;=0,0,IF(WEEKDAY(CE$6,1)=1,0,IF(WEEKDAY(CE$6,1)=7,0,MIN(8,CE33)*CE32))),MAX(0,40*MAX(1,CE32)-(CC34+CD34))))</f>
        <v>64</v>
      </c>
      <c r="CF34" s="63">
        <f>IF(AND(CF32=8,CF33=13),64,MIN(IF(CF32&lt;=0,0,IF(WEEKDAY(CF$6,1)=1,0,IF(WEEKDAY(CF$6,1)=7,0,MIN(8,CF33)*CF32))),MAX(0,40*MAX(1,CF32)-(CC34+CD34+CE34))))</f>
        <v>64</v>
      </c>
      <c r="CG34" s="63">
        <f>IF(AND(CG32=8,CG33=13),64,MIN(IF(CG32&lt;=0,0,IF(WEEKDAY(CG$6,1)=1,0,IF(WEEKDAY(CG$6,1)=7,0,MIN(8,CG33)*CG32))),MAX(0,40*MAX(1,CG32)-(CC34+CD34+CE34+CF34))))</f>
        <v>64</v>
      </c>
      <c r="CH34" s="64">
        <f>IF(AND(CH32=8,CH33=13),0,MIN(IF(CH32&lt;=0,0,IF(WEEKDAY(CH$6,1)=1,0,IF(WEEKDAY(CH$6,1)=7,0,MIN(8,CH33)*CH32))),MAX(0,40*MAX(1,CH32)-(CC34+CD34+CE34+CF34+CG34))))</f>
        <v>0</v>
      </c>
      <c r="CI34" s="64">
        <f>IF(AND(CI32=8,CI33=13),0,MIN(IF(CI32&lt;=0,0,IF(WEEKDAY(CI$6,1)=1,0,IF(WEEKDAY(CI$6,1)=7,0,MIN(8,CI33)*CI32))),MAX(0,40*MAX(1,CI32)-(CC34+CD34+CE34+CF34+CG34+CH34))))</f>
        <v>0</v>
      </c>
      <c r="CJ34" s="63">
        <f>IF(AND(CJ32=8,CJ33=13),64,MIN(IF(CJ32&lt;=0,0,IF(WEEKDAY(CJ$6,1)=1,0,IF(WEEKDAY(CJ$6,1)=7,0,MIN(8,CJ33)*CJ32))),MAX(0,40*MAX(1,CJ32)-(0))))</f>
        <v>64</v>
      </c>
      <c r="CK34" s="63">
        <f>IF(AND(CK32=8,CK33=13),64,MIN(IF(CK32&lt;=0,0,IF(WEEKDAY(CK$6,1)=1,0,IF(WEEKDAY(CK$6,1)=7,0,MIN(8,CK33)*CK32))),MAX(0,40*MAX(1,CK32)-(CJ34))))</f>
        <v>64</v>
      </c>
      <c r="CL34" s="63">
        <f>IF(AND(CL32=8,CL33=13),64,MIN(IF(CL32&lt;=0,0,IF(WEEKDAY(CL$6,1)=1,0,IF(WEEKDAY(CL$6,1)=7,0,MIN(8,CL33)*CL32))),MAX(0,40*MAX(1,CL32)-(CJ34+CK34))))</f>
        <v>64</v>
      </c>
      <c r="CM34" s="63">
        <f>IF(AND(CM32=8,CM33=13),64,MIN(IF(CM32&lt;=0,0,IF(WEEKDAY(CM$6,1)=1,0,IF(WEEKDAY(CM$6,1)=7,0,MIN(8,CM33)*CM32))),MAX(0,40*MAX(1,CM32)-(CJ34+CK34+CL34))))</f>
        <v>64</v>
      </c>
      <c r="CN34" s="63">
        <f>IF(AND(CN32=8,CN33=13),64,MIN(IF(CN32&lt;=0,0,IF(WEEKDAY(CN$6,1)=1,0,IF(WEEKDAY(CN$6,1)=7,0,MIN(8,CN33)*CN32))),MAX(0,40*MAX(1,CN32)-(CJ34+CK34+CL34+CM34))))</f>
        <v>64</v>
      </c>
      <c r="CO34" s="64">
        <f>IF(AND(CO32=8,CO33=13),0,MIN(IF(CO32&lt;=0,0,IF(WEEKDAY(CO$6,1)=1,0,IF(WEEKDAY(CO$6,1)=7,0,MIN(8,CO33)*CO32))),MAX(0,40*MAX(1,CO32)-(CJ34+CK34+CL34+CM34+CN34))))</f>
        <v>0</v>
      </c>
      <c r="CP34" s="64">
        <f>IF(AND(CP32=0,CP33=0),0,MIN(IF(CP32&lt;=0,0,IF(WEEKDAY(CP$6,1)=1,0,IF(WEEKDAY(CP$6,1)=7,0,MIN(8,CP33)*CP32))),MAX(0,40*MAX(1,CP32)-(0))))</f>
        <v>0</v>
      </c>
      <c r="CQ34" s="63">
        <f>IF(AND(CQ32=8,CQ33=13),64,MIN(IF(CQ32&lt;=0,0,IF(WEEKDAY(CQ$6,1)=1,0,IF(WEEKDAY(CQ$6,1)=7,0,MIN(8,CQ33)*CQ32))),MAX(0,40*MAX(1,CQ32)-(0))))</f>
        <v>64</v>
      </c>
      <c r="CR34" s="63">
        <f>IF(AND(CR32=8,CR33=13),64,MIN(IF(CR32&lt;=0,0,IF(WEEKDAY(CR$6,1)=1,0,IF(WEEKDAY(CR$6,1)=7,0,MIN(8,CR33)*CR32))),MAX(0,40*MAX(1,CR32)-(CQ34))))</f>
        <v>64</v>
      </c>
      <c r="CS34" s="63">
        <f>IF(AND(CS32=8,CS33=13),64,MIN(IF(CS32&lt;=0,0,IF(WEEKDAY(CS$6,1)=1,0,IF(WEEKDAY(CS$6,1)=7,0,MIN(8,CS33)*CS32))),MAX(0,40*MAX(1,CS32)-(CQ34+CR34))))</f>
        <v>64</v>
      </c>
      <c r="CT34" s="63">
        <f>IF(AND(CT32=8,CT33=13),64,MIN(IF(CT32&lt;=0,0,IF(WEEKDAY(CT$6,1)=1,0,IF(WEEKDAY(CT$6,1)=7,0,MIN(8,CT33)*CT32))),MAX(0,40*MAX(1,CT32)-(CQ34+CR34+CS34))))</f>
        <v>64</v>
      </c>
      <c r="CU34" s="63">
        <f>IF(AND(CU32=8,CU33=13),64,MIN(IF(CU32&lt;=0,0,IF(WEEKDAY(CU$6,1)=1,0,IF(WEEKDAY(CU$6,1)=7,0,MIN(8,CU33)*CU32))),MAX(0,40*MAX(1,CU32)-(CQ34+CR34+CS34+CT34))))</f>
        <v>64</v>
      </c>
      <c r="CV34" s="64">
        <f>IF(AND(CV32=8,CV33=13),0,MIN(IF(CV32&lt;=0,0,IF(WEEKDAY(CV$6,1)=1,0,IF(WEEKDAY(CV$6,1)=7,0,MIN(8,CV33)*CV32))),MAX(0,40*MAX(1,CV32)-(CQ34+CR34+CS34+CT34+CU34))))</f>
        <v>0</v>
      </c>
      <c r="CW34" s="64">
        <f>IF(AND(CW32=8,CW33=13),0,MIN(IF(CW32&lt;=0,0,IF(WEEKDAY(CW$6,1)=1,0,IF(WEEKDAY(CW$6,1)=7,0,MIN(8,CW33)*CW32))),MAX(0,40*MAX(1,CW32)-(CQ34+CR34+CS34+CT34+CU34+CV34))))</f>
        <v>0</v>
      </c>
      <c r="CX34" s="63">
        <f>IF(AND(CX32=8,CX33=13),64,MIN(IF(CX32&lt;=0,0,IF(WEEKDAY(CX$6,1)=1,0,IF(WEEKDAY(CX$6,1)=7,0,MIN(8,CX33)*CX32))),MAX(0,40*MAX(1,CX32)-(0))))</f>
        <v>64</v>
      </c>
      <c r="CY34" s="63">
        <f>IF(AND(CY32=8,CY33=13),64,MIN(IF(CY32&lt;=0,0,IF(WEEKDAY(CY$6,1)=1,0,IF(WEEKDAY(CY$6,1)=7,0,MIN(8,CY33)*CY32))),MAX(0,40*MAX(1,CY32)-(CX34))))</f>
        <v>64</v>
      </c>
      <c r="CZ34" s="63">
        <f>IF(AND(CZ32=8,CZ33=13),64,MIN(IF(CZ32&lt;=0,0,IF(WEEKDAY(CZ$6,1)=1,0,IF(WEEKDAY(CZ$6,1)=7,0,MIN(8,CZ33)*CZ32))),MAX(0,40*MAX(1,CZ32)-(CX34+CY34))))</f>
        <v>64</v>
      </c>
      <c r="DA34" s="63">
        <f>IF(AND(DA32=8,DA33=13),64,MIN(IF(DA32&lt;=0,0,IF(WEEKDAY(DA$6,1)=1,0,IF(WEEKDAY(DA$6,1)=7,0,MIN(8,DA33)*DA32))),MAX(0,40*MAX(1,DA32)-(CX34+CY34+CZ34))))</f>
        <v>64</v>
      </c>
      <c r="DB34" s="63">
        <f>IF(AND(DB32=8,DB33=13),64,MIN(IF(DB32&lt;=0,0,IF(WEEKDAY(DB$6,1)=1,0,IF(WEEKDAY(DB$6,1)=7,0,MIN(8,DB33)*DB32))),MAX(0,40*MAX(1,DB32)-(CX34+CY34+CZ34+DA34))))</f>
        <v>64</v>
      </c>
      <c r="DC34" s="64">
        <f>IF(AND(DC32=8,DC33=13),0,MIN(IF(DC32&lt;=0,0,IF(WEEKDAY(DC$6,1)=1,0,IF(WEEKDAY(DC$6,1)=7,0,MIN(8,DC33)*DC32))),MAX(0,40*MAX(1,DC32)-(CX34+CY34+CZ34+DA34+DB34))))</f>
        <v>0</v>
      </c>
      <c r="DD34" s="64">
        <f>IF(AND(DD32=2,DD33=10),0,MIN(IF(DD32&lt;=0,0,IF(WEEKDAY(DD$6,1)=1,0,IF(WEEKDAY(DD$6,1)=7,0,MIN(8,DD33)*DD32))),MAX(0,40*MAX(1,DD32)-(0))))</f>
        <v>0</v>
      </c>
      <c r="DE34" s="63">
        <f>IF(AND(DE32=2,DE33=10),16,MIN(IF(DE32&lt;=0,0,IF(WEEKDAY(DE$6,1)=1,0,IF(WEEKDAY(DE$6,1)=7,0,MIN(8,DE33)*DE32))),MAX(0,40*MAX(1,DE32)-(0))))</f>
        <v>16</v>
      </c>
      <c r="DF34" s="63">
        <f>IF(AND(DF32=2,DF33=10),16,MIN(IF(DF32&lt;=0,0,IF(WEEKDAY(DF$6,1)=1,0,IF(WEEKDAY(DF$6,1)=7,0,MIN(8,DF33)*DF32))),MAX(0,40*MAX(1,DF32)-(DE34))))</f>
        <v>16</v>
      </c>
      <c r="DG34" s="63">
        <f>IF(AND(DG32=2,DG33=10),16,MIN(IF(DG32&lt;=0,0,IF(WEEKDAY(DG$6,1)=1,0,IF(WEEKDAY(DG$6,1)=7,0,MIN(8,DG33)*DG32))),MAX(0,40*MAX(1,DG32)-(DE34+DF34))))</f>
        <v>16</v>
      </c>
      <c r="DH34" s="63">
        <f>IF(AND(DH32=2,DH33=10),16,MIN(IF(DH32&lt;=0,0,IF(WEEKDAY(DH$6,1)=1,0,IF(WEEKDAY(DH$6,1)=7,0,MIN(8,DH33)*DH32))),MAX(0,40*MAX(1,DH32)-(DE34+DF34+DG34))))</f>
        <v>16</v>
      </c>
      <c r="DI34" s="63">
        <f>IF(AND(DI32=2,DI33=10),16,MIN(IF(DI32&lt;=0,0,IF(WEEKDAY(DI$6,1)=1,0,IF(WEEKDAY(DI$6,1)=7,0,MIN(8,DI33)*DI32))),MAX(0,40*MAX(1,DI32)-(DE34+DF34+DG34+DH34))))</f>
        <v>16</v>
      </c>
      <c r="DJ34" s="64">
        <f>IF(AND(DJ32=2,DJ33=10),0,MIN(IF(DJ32&lt;=0,0,IF(WEEKDAY(DJ$6,1)=1,0,IF(WEEKDAY(DJ$6,1)=7,0,MIN(8,DJ33)*DJ32))),MAX(0,40*MAX(1,DJ32)-(DE34+DF34+DG34+DH34+DI34))))</f>
        <v>0</v>
      </c>
      <c r="DK34" s="64">
        <f>IF(AND(DK32=0,DK33=0),0,MIN(IF(DK32&lt;=0,0,IF(WEEKDAY(DK$6,1)=1,0,IF(WEEKDAY(DK$6,1)=7,0,MIN(8,DK33)*DK32))),MAX(0,40*MAX(1,DK32)-(0))))</f>
        <v>0</v>
      </c>
      <c r="DL34" s="63">
        <f>IF(AND(DL32=2,DL33=10),16,MIN(IF(DL32&lt;=0,0,IF(WEEKDAY(DL$6,1)=1,0,IF(WEEKDAY(DL$6,1)=7,0,MIN(8,DL33)*DL32))),MAX(0,40*MAX(1,DL32)-(0))))</f>
        <v>16</v>
      </c>
      <c r="DM34" s="63">
        <f>IF(AND(DM32=2,DM33=10),16,MIN(IF(DM32&lt;=0,0,IF(WEEKDAY(DM$6,1)=1,0,IF(WEEKDAY(DM$6,1)=7,0,MIN(8,DM33)*DM32))),MAX(0,40*MAX(1,DM32)-(DL34))))</f>
        <v>16</v>
      </c>
      <c r="DN34" s="63">
        <f>IF(AND(DN32=2,DN33=10),16,MIN(IF(DN32&lt;=0,0,IF(WEEKDAY(DN$6,1)=1,0,IF(WEEKDAY(DN$6,1)=7,0,MIN(8,DN33)*DN32))),MAX(0,40*MAX(1,DN32)-(DL34+DM34))))</f>
        <v>16</v>
      </c>
      <c r="DO34" s="63">
        <f>IF(AND(DO32=2,DO33=10),16,MIN(IF(DO32&lt;=0,0,IF(WEEKDAY(DO$6,1)=1,0,IF(WEEKDAY(DO$6,1)=7,0,MIN(8,DO33)*DO32))),MAX(0,40*MAX(1,DO32)-(DL34+DM34+DN34))))</f>
        <v>16</v>
      </c>
      <c r="DP34" s="63">
        <f>IF(AND(DP32=2,DP33=10),16,MIN(IF(DP32&lt;=0,0,IF(WEEKDAY(DP$6,1)=1,0,IF(WEEKDAY(DP$6,1)=7,0,MIN(8,DP33)*DP32))),MAX(0,40*MAX(1,DP32)-(DL34+DM34+DN34+DO34))))</f>
        <v>16</v>
      </c>
      <c r="DQ34" s="64">
        <f>IF(AND(DQ32=2,DQ33=10),0,MIN(IF(DQ32&lt;=0,0,IF(WEEKDAY(DQ$6,1)=1,0,IF(WEEKDAY(DQ$6,1)=7,0,MIN(8,DQ33)*DQ32))),MAX(0,40*MAX(1,DQ32)-(DL34+DM34+DN34+DO34+DP34))))</f>
        <v>0</v>
      </c>
      <c r="DR34" s="64">
        <f>IF(AND(DR32=2,DR33=10),0,MIN(IF(DR32&lt;=0,0,IF(WEEKDAY(DR$6,1)=1,0,IF(WEEKDAY(DR$6,1)=7,0,MIN(8,DR33)*DR32))),MAX(0,40*MAX(1,DR32)-(DL34+DM34+DN34+DO34+DP34+DQ34))))</f>
        <v>0</v>
      </c>
      <c r="DS34" s="63">
        <f>IF(AND(DS32=2,DS33=10),16,MIN(IF(DS32&lt;=0,0,IF(WEEKDAY(DS$6,1)=1,0,IF(WEEKDAY(DS$6,1)=7,0,MIN(8,DS33)*DS32))),MAX(0,40*MAX(1,DS32)-(0))))</f>
        <v>16</v>
      </c>
      <c r="DT34" s="63">
        <f>IF(AND(DT32=0,DT33=0),0,MIN(IF(DT32&lt;=0,0,IF(WEEKDAY(DT$6,1)=1,0,IF(WEEKDAY(DT$6,1)=7,0,MIN(8,DT33)*DT32))),MAX(0,40*MAX(1,DT32)-(0))))</f>
        <v>0</v>
      </c>
      <c r="DU34" s="63">
        <f>IF(AND(DU32=0,DU33=0),0,MIN(IF(DU32&lt;=0,0,IF(WEEKDAY(DU$6,1)=1,0,IF(WEEKDAY(DU$6,1)=7,0,MIN(8,DU33)*DU32))),MAX(0,40*MAX(1,DU32)-(DT34))))</f>
        <v>0</v>
      </c>
      <c r="DV34" s="63">
        <f>IF(AND(DV32=0,DV33=0),0,MIN(IF(DV32&lt;=0,0,IF(WEEKDAY(DV$6,1)=1,0,IF(WEEKDAY(DV$6,1)=7,0,MIN(8,DV33)*DV32))),MAX(0,40*MAX(1,DV32)-(DT34+DU34))))</f>
        <v>0</v>
      </c>
      <c r="DW34" s="63">
        <f>IF(AND(DW32=0,DW33=0),0,MIN(IF(DW32&lt;=0,0,IF(WEEKDAY(DW$6,1)=1,0,IF(WEEKDAY(DW$6,1)=7,0,MIN(8,DW33)*DW32))),MAX(0,40*MAX(1,DW32)-(DT34+DU34+DV34))))</f>
        <v>0</v>
      </c>
      <c r="DX34" s="64">
        <f>IF(AND(DX32=0,DX33=0),0,MIN(IF(DX32&lt;=0,0,IF(WEEKDAY(DX$6,1)=1,0,IF(WEEKDAY(DX$6,1)=7,0,MIN(8,DX33)*DX32))),MAX(0,40*MAX(1,DX32)-(DT34+DU34+DV34+DW34))))</f>
        <v>0</v>
      </c>
      <c r="DY34" s="64">
        <f>IF(AND(DY32=0,DY33=0),0,MIN(IF(DY32&lt;=0,0,IF(WEEKDAY(DY$6,1)=1,0,IF(WEEKDAY(DY$6,1)=7,0,MIN(8,DY33)*DY32))),MAX(0,40*MAX(1,DY32)-(DT34+DU34+DV34+DW34+DX34))))</f>
        <v>0</v>
      </c>
      <c r="DZ34" s="63">
        <f>IF(AND(DZ32=0,DZ33=0),0,MIN(IF(DZ32&lt;=0,0,IF(WEEKDAY(DZ$6,1)=1,0,IF(WEEKDAY(DZ$6,1)=7,0,MIN(8,DZ33)*DZ32))),MAX(0,40*MAX(1,DZ32)-(0))))</f>
        <v>0</v>
      </c>
      <c r="EA34" s="63">
        <f>IF(AND(EA32=0,EA33=0),0,MIN(IF(EA32&lt;=0,0,IF(WEEKDAY(EA$6,1)=1,0,IF(WEEKDAY(EA$6,1)=7,0,MIN(8,EA33)*EA32))),MAX(0,40*MAX(1,EA32)-(DZ34))))</f>
        <v>0</v>
      </c>
      <c r="EB34" s="63">
        <f>IF(AND(EB32=0,EB33=0),0,MIN(IF(EB32&lt;=0,0,IF(WEEKDAY(EB$6,1)=1,0,IF(WEEKDAY(EB$6,1)=7,0,MIN(8,EB33)*EB32))),MAX(0,40*MAX(1,EB32)-(DZ34+EA34))))</f>
        <v>0</v>
      </c>
      <c r="EC34" s="63">
        <f>IF(AND(EC32=0,EC33=0),0,MIN(IF(EC32&lt;=0,0,IF(WEEKDAY(EC$6,1)=1,0,IF(WEEKDAY(EC$6,1)=7,0,MIN(8,EC33)*EC32))),MAX(0,40*MAX(1,EC32)-(DZ34+EA34+EB34))))</f>
        <v>0</v>
      </c>
      <c r="ED34" s="63">
        <f>IF(AND(ED32=0,ED33=0),0,MIN(IF(ED32&lt;=0,0,IF(WEEKDAY(ED$6,1)=1,0,IF(WEEKDAY(ED$6,1)=7,0,MIN(8,ED33)*ED32))),MAX(0,40*MAX(1,ED32)-(DZ34+EA34+EB34+EC34))))</f>
        <v>0</v>
      </c>
      <c r="EE34" s="64">
        <f>IF(AND(EE32=0,EE33=0),0,MIN(IF(EE32&lt;=0,0,IF(WEEKDAY(EE$6,1)=1,0,IF(WEEKDAY(EE$6,1)=7,0,MIN(8,EE33)*EE32))),MAX(0,40*MAX(1,EE32)-(DZ34+EA34+EB34+EC34+ED34))))</f>
        <v>0</v>
      </c>
      <c r="EF34" s="64">
        <f>IF(AND(EF32=0,EF33=0),0,MIN(IF(EF32&lt;=0,0,IF(WEEKDAY(EF$6,1)=1,0,IF(WEEKDAY(EF$6,1)=7,0,MIN(8,EF33)*EF32))),MAX(0,40*MAX(1,EF32)-(DZ34+EA34+EB34+EC34+ED34+EE34))))</f>
        <v>0</v>
      </c>
      <c r="EG34" s="63">
        <f>IF(AND(EG32=0,EG33=0),0,MIN(IF(EG32&lt;=0,0,IF(WEEKDAY(EG$6,1)=1,0,IF(WEEKDAY(EG$6,1)=7,0,MIN(8,EG33)*EG32))),MAX(0,40*MAX(1,EG32)-(0))))</f>
        <v>0</v>
      </c>
      <c r="EH34" s="63">
        <f>IF(AND(EH32=0,EH33=0),0,MIN(IF(EH32&lt;=0,0,IF(WEEKDAY(EH$6,1)=1,0,IF(WEEKDAY(EH$6,1)=7,0,MIN(8,EH33)*EH32))),MAX(0,40*MAX(1,EH32)-(EG34))))</f>
        <v>0</v>
      </c>
      <c r="EI34" s="63">
        <f>IF(AND(EI32=0,EI33=0),0,MIN(IF(EI32&lt;=0,0,IF(WEEKDAY(EI$6,1)=1,0,IF(WEEKDAY(EI$6,1)=7,0,MIN(8,EI33)*EI32))),MAX(0,40*MAX(1,EI32)-(EG34+EH34))))</f>
        <v>0</v>
      </c>
      <c r="EJ34" s="63">
        <f>IF(AND(EJ32=0,EJ33=0),0,MIN(IF(EJ32&lt;=0,0,IF(WEEKDAY(EJ$6,1)=1,0,IF(WEEKDAY(EJ$6,1)=7,0,MIN(8,EJ33)*EJ32))),MAX(0,40*MAX(1,EJ32)-(EG34+EH34+EI34))))</f>
        <v>0</v>
      </c>
      <c r="EK34" s="65">
        <f>IF(AND(EK32=0,EK33=0),0,MIN(IF(EK32&lt;=0,0,IF(WEEKDAY(EK$6,1)=1,0,IF(WEEKDAY(EK$6,1)=7,0,MIN(8,EK33)*EK32))),MAX(0,40*MAX(1,EK32)-(EG34+EH34+EI34+EJ34))))</f>
        <v>0</v>
      </c>
      <c r="OU34" s="28" t="s">
        <v>110</v>
      </c>
    </row>
    <row r="35" ht="16" customHeight="1" spans="1:411" x14ac:dyDescent="0.25">
      <c r="A35" s="74"/>
      <c r="B35" s="46"/>
      <c r="C35" s="66">
        <f>G31*N(D35)</f>
        <v>326270</v>
      </c>
      <c r="D35" s="66">
        <f>IF(TRIM(B31)="","No rate",IFERROR(INDEX('Rate Tables'!D$7:D$158,MATCH(B31,'Rate Tables'!A$7:A$158,0)),"No rate"))</f>
        <v>147.5</v>
      </c>
      <c r="E35" s="55" t="s">
        <v>63</v>
      </c>
      <c r="F35" s="49"/>
      <c r="G35" s="49"/>
      <c r="H35" s="49"/>
      <c r="I35" s="49"/>
      <c r="J35" s="50"/>
      <c r="K35" s="62">
        <f>IF(AND(K32=0,K33=0),0,IF(K32&lt;=0,0,IF(WEEKDAY(K$6,1)=1,0,IF(WEEKDAY(K$6,1)=7,K32*K33,MAX(0,K33-8)*K32)))+((IF(K32&lt;=0,0,IF(WEEKDAY(K$6,1)=1,0,IF(WEEKDAY(K$6,1)=7,0,MIN(8,K33)*K32))))-MIN(IF(K32&lt;=0,0,IF(WEEKDAY(K$6,1)=1,0,IF(WEEKDAY(K$6,1)=7,0,MIN(8,K33)*K32))),MAX(0,40*MAX(1,K32)-(0)))))</f>
        <v>0</v>
      </c>
      <c r="L35" s="63">
        <f>IF(AND(L32=0,L33=0),0,IF(L32&lt;=0,0,IF(WEEKDAY(L$6,1)=1,0,IF(WEEKDAY(L$6,1)=7,L32*L33,MAX(0,L33-8)*L32)))+((IF(L32&lt;=0,0,IF(WEEKDAY(L$6,1)=1,0,IF(WEEKDAY(L$6,1)=7,0,MIN(8,L33)*L32))))-MIN(IF(L32&lt;=0,0,IF(WEEKDAY(L$6,1)=1,0,IF(WEEKDAY(L$6,1)=7,0,MIN(8,L33)*L32))),MAX(0,40*MAX(1,L32)-(K34)))))</f>
        <v>0</v>
      </c>
      <c r="M35" s="63">
        <f>IF(AND(M32=0,M33=0),0,IF(M32&lt;=0,0,IF(WEEKDAY(M$6,1)=1,0,IF(WEEKDAY(M$6,1)=7,M32*M33,MAX(0,M33-8)*M32)))+((IF(M32&lt;=0,0,IF(WEEKDAY(M$6,1)=1,0,IF(WEEKDAY(M$6,1)=7,0,MIN(8,M33)*M32))))-MIN(IF(M32&lt;=0,0,IF(WEEKDAY(M$6,1)=1,0,IF(WEEKDAY(M$6,1)=7,0,MIN(8,M33)*M32))),MAX(0,40*MAX(1,M32)-(K34+L34)))))</f>
        <v>0</v>
      </c>
      <c r="N35" s="63">
        <f>IF(AND(N32=0,N33=0),0,IF(N32&lt;=0,0,IF(WEEKDAY(N$6,1)=1,0,IF(WEEKDAY(N$6,1)=7,N32*N33,MAX(0,N33-8)*N32)))+((IF(N32&lt;=0,0,IF(WEEKDAY(N$6,1)=1,0,IF(WEEKDAY(N$6,1)=7,0,MIN(8,N33)*N32))))-MIN(IF(N32&lt;=0,0,IF(WEEKDAY(N$6,1)=1,0,IF(WEEKDAY(N$6,1)=7,0,MIN(8,N33)*N32))),MAX(0,40*MAX(1,N32)-(K34+L34+M34)))))</f>
        <v>0</v>
      </c>
      <c r="O35" s="63">
        <f>IF(AND(O32=0,O33=0),0,IF(O32&lt;=0,0,IF(WEEKDAY(O$6,1)=1,0,IF(WEEKDAY(O$6,1)=7,O32*O33,MAX(0,O33-8)*O32)))+((IF(O32&lt;=0,0,IF(WEEKDAY(O$6,1)=1,0,IF(WEEKDAY(O$6,1)=7,0,MIN(8,O33)*O32))))-MIN(IF(O32&lt;=0,0,IF(WEEKDAY(O$6,1)=1,0,IF(WEEKDAY(O$6,1)=7,0,MIN(8,O33)*O32))),MAX(0,40*MAX(1,O32)-(K34+L34+M34+N34)))))</f>
        <v>0</v>
      </c>
      <c r="P35" s="64">
        <f>IF(AND(P32=0,P33=0),0,IF(P32&lt;=0,0,IF(WEEKDAY(P$6,1)=1,0,IF(WEEKDAY(P$6,1)=7,P32*P33,MAX(0,P33-8)*P32)))+((IF(P32&lt;=0,0,IF(WEEKDAY(P$6,1)=1,0,IF(WEEKDAY(P$6,1)=7,0,MIN(8,P33)*P32))))-MIN(IF(P32&lt;=0,0,IF(WEEKDAY(P$6,1)=1,0,IF(WEEKDAY(P$6,1)=7,0,MIN(8,P33)*P32))),MAX(0,40*MAX(1,P32)-(K34+L34+M34+N34+O34)))))</f>
        <v>0</v>
      </c>
      <c r="Q35" s="64">
        <f>IF(AND(Q32=0,Q33=0),0,IF(Q32&lt;=0,0,IF(WEEKDAY(Q$6,1)=1,0,IF(WEEKDAY(Q$6,1)=7,Q32*Q33,MAX(0,Q33-8)*Q32)))+((IF(Q32&lt;=0,0,IF(WEEKDAY(Q$6,1)=1,0,IF(WEEKDAY(Q$6,1)=7,0,MIN(8,Q33)*Q32))))-MIN(IF(Q32&lt;=0,0,IF(WEEKDAY(Q$6,1)=1,0,IF(WEEKDAY(Q$6,1)=7,0,MIN(8,Q33)*Q32))),MAX(0,40*MAX(1,Q32)-(K34+L34+M34+N34+O34+P34)))))</f>
        <v>0</v>
      </c>
      <c r="R35" s="63">
        <f>IF(AND(R32=0,R33=0),0,IF(R32&lt;=0,0,IF(WEEKDAY(R$6,1)=1,0,IF(WEEKDAY(R$6,1)=7,R32*R33,MAX(0,R33-8)*R32)))+((IF(R32&lt;=0,0,IF(WEEKDAY(R$6,1)=1,0,IF(WEEKDAY(R$6,1)=7,0,MIN(8,R33)*R32))))-MIN(IF(R32&lt;=0,0,IF(WEEKDAY(R$6,1)=1,0,IF(WEEKDAY(R$6,1)=7,0,MIN(8,R33)*R32))),MAX(0,40*MAX(1,R32)-(0)))))</f>
        <v>0</v>
      </c>
      <c r="S35" s="63">
        <f>IF(AND(S32=0,S33=0),0,IF(S32&lt;=0,0,IF(WEEKDAY(S$6,1)=1,0,IF(WEEKDAY(S$6,1)=7,S32*S33,MAX(0,S33-8)*S32)))+((IF(S32&lt;=0,0,IF(WEEKDAY(S$6,1)=1,0,IF(WEEKDAY(S$6,1)=7,0,MIN(8,S33)*S32))))-MIN(IF(S32&lt;=0,0,IF(WEEKDAY(S$6,1)=1,0,IF(WEEKDAY(S$6,1)=7,0,MIN(8,S33)*S32))),MAX(0,40*MAX(1,S32)-(R34)))))</f>
        <v>0</v>
      </c>
      <c r="T35" s="63">
        <f>IF(AND(T32=0,T33=0),0,IF(T32&lt;=0,0,IF(WEEKDAY(T$6,1)=1,0,IF(WEEKDAY(T$6,1)=7,T32*T33,MAX(0,T33-8)*T32)))+((IF(T32&lt;=0,0,IF(WEEKDAY(T$6,1)=1,0,IF(WEEKDAY(T$6,1)=7,0,MIN(8,T33)*T32))))-MIN(IF(T32&lt;=0,0,IF(WEEKDAY(T$6,1)=1,0,IF(WEEKDAY(T$6,1)=7,0,MIN(8,T33)*T32))),MAX(0,40*MAX(1,T32)-(R34+S34)))))</f>
        <v>0</v>
      </c>
      <c r="U35" s="63">
        <f>IF(AND(U32=0,U33=0),0,IF(U32&lt;=0,0,IF(WEEKDAY(U$6,1)=1,0,IF(WEEKDAY(U$6,1)=7,U32*U33,MAX(0,U33-8)*U32)))+((IF(U32&lt;=0,0,IF(WEEKDAY(U$6,1)=1,0,IF(WEEKDAY(U$6,1)=7,0,MIN(8,U33)*U32))))-MIN(IF(U32&lt;=0,0,IF(WEEKDAY(U$6,1)=1,0,IF(WEEKDAY(U$6,1)=7,0,MIN(8,U33)*U32))),MAX(0,40*MAX(1,U32)-(R34+S34+T34)))))</f>
        <v>0</v>
      </c>
      <c r="V35" s="63">
        <f>IF(AND(V32=0,V33=0),0,IF(V32&lt;=0,0,IF(WEEKDAY(V$6,1)=1,0,IF(WEEKDAY(V$6,1)=7,V32*V33,MAX(0,V33-8)*V32)))+((IF(V32&lt;=0,0,IF(WEEKDAY(V$6,1)=1,0,IF(WEEKDAY(V$6,1)=7,0,MIN(8,V33)*V32))))-MIN(IF(V32&lt;=0,0,IF(WEEKDAY(V$6,1)=1,0,IF(WEEKDAY(V$6,1)=7,0,MIN(8,V33)*V32))),MAX(0,40*MAX(1,V32)-(R34+S34+T34+U34)))))</f>
        <v>0</v>
      </c>
      <c r="W35" s="64">
        <f>IF(AND(W32=0,W33=0),0,IF(W32&lt;=0,0,IF(WEEKDAY(W$6,1)=1,0,IF(WEEKDAY(W$6,1)=7,W32*W33,MAX(0,W33-8)*W32)))+((IF(W32&lt;=0,0,IF(WEEKDAY(W$6,1)=1,0,IF(WEEKDAY(W$6,1)=7,0,MIN(8,W33)*W32))))-MIN(IF(W32&lt;=0,0,IF(WEEKDAY(W$6,1)=1,0,IF(WEEKDAY(W$6,1)=7,0,MIN(8,W33)*W32))),MAX(0,40*MAX(1,W32)-(R34+S34+T34+U34+V34)))))</f>
        <v>0</v>
      </c>
      <c r="X35" s="64">
        <f>IF(AND(X32=0,X33=0),0,IF(X32&lt;=0,0,IF(WEEKDAY(X$6,1)=1,0,IF(WEEKDAY(X$6,1)=7,X32*X33,MAX(0,X33-8)*X32)))+((IF(X32&lt;=0,0,IF(WEEKDAY(X$6,1)=1,0,IF(WEEKDAY(X$6,1)=7,0,MIN(8,X33)*X32))))-MIN(IF(X32&lt;=0,0,IF(WEEKDAY(X$6,1)=1,0,IF(WEEKDAY(X$6,1)=7,0,MIN(8,X33)*X32))),MAX(0,40*MAX(1,X32)-(R34+S34+T34+U34+V34+W34)))))</f>
        <v>0</v>
      </c>
      <c r="Y35" s="63">
        <f>IF(AND(Y32=0,Y33=0),0,IF(Y32&lt;=0,0,IF(WEEKDAY(Y$6,1)=1,0,IF(WEEKDAY(Y$6,1)=7,Y32*Y33,MAX(0,Y33-8)*Y32)))+((IF(Y32&lt;=0,0,IF(WEEKDAY(Y$6,1)=1,0,IF(WEEKDAY(Y$6,1)=7,0,MIN(8,Y33)*Y32))))-MIN(IF(Y32&lt;=0,0,IF(WEEKDAY(Y$6,1)=1,0,IF(WEEKDAY(Y$6,1)=7,0,MIN(8,Y33)*Y32))),MAX(0,40*MAX(1,Y32)-(0)))))</f>
        <v>0</v>
      </c>
      <c r="Z35" s="63">
        <f>IF(AND(Z32=0,Z33=0),0,IF(Z32&lt;=0,0,IF(WEEKDAY(Z$6,1)=1,0,IF(WEEKDAY(Z$6,1)=7,Z32*Z33,MAX(0,Z33-8)*Z32)))+((IF(Z32&lt;=0,0,IF(WEEKDAY(Z$6,1)=1,0,IF(WEEKDAY(Z$6,1)=7,0,MIN(8,Z33)*Z32))))-MIN(IF(Z32&lt;=0,0,IF(WEEKDAY(Z$6,1)=1,0,IF(WEEKDAY(Z$6,1)=7,0,MIN(8,Z33)*Z32))),MAX(0,40*MAX(1,Z32)-(Y34)))))</f>
        <v>0</v>
      </c>
      <c r="AA35" s="63">
        <f>IF(AND(AA32=0,AA33=0),0,IF(AA32&lt;=0,0,IF(WEEKDAY(AA$6,1)=1,0,IF(WEEKDAY(AA$6,1)=7,AA32*AA33,MAX(0,AA33-8)*AA32)))+((IF(AA32&lt;=0,0,IF(WEEKDAY(AA$6,1)=1,0,IF(WEEKDAY(AA$6,1)=7,0,MIN(8,AA33)*AA32))))-MIN(IF(AA32&lt;=0,0,IF(WEEKDAY(AA$6,1)=1,0,IF(WEEKDAY(AA$6,1)=7,0,MIN(8,AA33)*AA32))),MAX(0,40*MAX(1,AA32)-(Y34+Z34)))))</f>
        <v>0</v>
      </c>
      <c r="AB35" s="63">
        <f>IF(AND(AB32=0,AB33=0),0,IF(AB32&lt;=0,0,IF(WEEKDAY(AB$6,1)=1,0,IF(WEEKDAY(AB$6,1)=7,AB32*AB33,MAX(0,AB33-8)*AB32)))+((IF(AB32&lt;=0,0,IF(WEEKDAY(AB$6,1)=1,0,IF(WEEKDAY(AB$6,1)=7,0,MIN(8,AB33)*AB32))))-MIN(IF(AB32&lt;=0,0,IF(WEEKDAY(AB$6,1)=1,0,IF(WEEKDAY(AB$6,1)=7,0,MIN(8,AB33)*AB32))),MAX(0,40*MAX(1,AB32)-(Y34+Z34+AA34)))))</f>
        <v>0</v>
      </c>
      <c r="AC35" s="63">
        <f>IF(AND(AC32=0,AC33=0),0,IF(AC32&lt;=0,0,IF(WEEKDAY(AC$6,1)=1,0,IF(WEEKDAY(AC$6,1)=7,AC32*AC33,MAX(0,AC33-8)*AC32)))+((IF(AC32&lt;=0,0,IF(WEEKDAY(AC$6,1)=1,0,IF(WEEKDAY(AC$6,1)=7,0,MIN(8,AC33)*AC32))))-MIN(IF(AC32&lt;=0,0,IF(WEEKDAY(AC$6,1)=1,0,IF(WEEKDAY(AC$6,1)=7,0,MIN(8,AC33)*AC32))),MAX(0,40*MAX(1,AC32)-(Y34+Z34+AA34+AB34)))))</f>
        <v>0</v>
      </c>
      <c r="AD35" s="64">
        <f>IF(AND(AD32=0,AD33=0),0,IF(AD32&lt;=0,0,IF(WEEKDAY(AD$6,1)=1,0,IF(WEEKDAY(AD$6,1)=7,AD32*AD33,MAX(0,AD33-8)*AD32)))+((IF(AD32&lt;=0,0,IF(WEEKDAY(AD$6,1)=1,0,IF(WEEKDAY(AD$6,1)=7,0,MIN(8,AD33)*AD32))))-MIN(IF(AD32&lt;=0,0,IF(WEEKDAY(AD$6,1)=1,0,IF(WEEKDAY(AD$6,1)=7,0,MIN(8,AD33)*AD32))),MAX(0,40*MAX(1,AD32)-(Y34+Z34+AA34+AB34+AC34)))))</f>
        <v>0</v>
      </c>
      <c r="AE35" s="64">
        <f>IF(AND(AE32=0,AE33=0),0,IF(AE32&lt;=0,0,IF(WEEKDAY(AE$6,1)=1,0,IF(WEEKDAY(AE$6,1)=7,AE32*AE33,MAX(0,AE33-8)*AE32)))+((IF(AE32&lt;=0,0,IF(WEEKDAY(AE$6,1)=1,0,IF(WEEKDAY(AE$6,1)=7,0,MIN(8,AE33)*AE32))))-MIN(IF(AE32&lt;=0,0,IF(WEEKDAY(AE$6,1)=1,0,IF(WEEKDAY(AE$6,1)=7,0,MIN(8,AE33)*AE32))),MAX(0,40*MAX(1,AE32)-(Y34+Z34+AA34+AB34+AC34+AD34)))))</f>
        <v>0</v>
      </c>
      <c r="AF35" s="63">
        <f>IF(AND(AF32=0,AF33=0),0,IF(AF32&lt;=0,0,IF(WEEKDAY(AF$6,1)=1,0,IF(WEEKDAY(AF$6,1)=7,AF32*AF33,MAX(0,AF33-8)*AF32)))+((IF(AF32&lt;=0,0,IF(WEEKDAY(AF$6,1)=1,0,IF(WEEKDAY(AF$6,1)=7,0,MIN(8,AF33)*AF32))))-MIN(IF(AF32&lt;=0,0,IF(WEEKDAY(AF$6,1)=1,0,IF(WEEKDAY(AF$6,1)=7,0,MIN(8,AF33)*AF32))),MAX(0,40*MAX(1,AF32)-(0)))))</f>
        <v>0</v>
      </c>
      <c r="AG35" s="63">
        <f>IF(AND(AG32=0,AG33=0),0,IF(AG32&lt;=0,0,IF(WEEKDAY(AG$6,1)=1,0,IF(WEEKDAY(AG$6,1)=7,AG32*AG33,MAX(0,AG33-8)*AG32)))+((IF(AG32&lt;=0,0,IF(WEEKDAY(AG$6,1)=1,0,IF(WEEKDAY(AG$6,1)=7,0,MIN(8,AG33)*AG32))))-MIN(IF(AG32&lt;=0,0,IF(WEEKDAY(AG$6,1)=1,0,IF(WEEKDAY(AG$6,1)=7,0,MIN(8,AG33)*AG32))),MAX(0,40*MAX(1,AG32)-(AF34)))))</f>
        <v>0</v>
      </c>
      <c r="AH35" s="63">
        <f>IF(AND(AH32=0,AH33=0),0,IF(AH32&lt;=0,0,IF(WEEKDAY(AH$6,1)=1,0,IF(WEEKDAY(AH$6,1)=7,AH32*AH33,MAX(0,AH33-8)*AH32)))+((IF(AH32&lt;=0,0,IF(WEEKDAY(AH$6,1)=1,0,IF(WEEKDAY(AH$6,1)=7,0,MIN(8,AH33)*AH32))))-MIN(IF(AH32&lt;=0,0,IF(WEEKDAY(AH$6,1)=1,0,IF(WEEKDAY(AH$6,1)=7,0,MIN(8,AH33)*AH32))),MAX(0,40*MAX(1,AH32)-(AF34+AG34)))))</f>
        <v>0</v>
      </c>
      <c r="AI35" s="63">
        <f>IF(AND(AI32=0,AI33=0),0,IF(AI32&lt;=0,0,IF(WEEKDAY(AI$6,1)=1,0,IF(WEEKDAY(AI$6,1)=7,AI32*AI33,MAX(0,AI33-8)*AI32)))+((IF(AI32&lt;=0,0,IF(WEEKDAY(AI$6,1)=1,0,IF(WEEKDAY(AI$6,1)=7,0,MIN(8,AI33)*AI32))))-MIN(IF(AI32&lt;=0,0,IF(WEEKDAY(AI$6,1)=1,0,IF(WEEKDAY(AI$6,1)=7,0,MIN(8,AI33)*AI32))),MAX(0,40*MAX(1,AI32)-(AF34+AG34+AH34)))))</f>
        <v>0</v>
      </c>
      <c r="AJ35" s="63">
        <f>IF(AND(AJ32=0,AJ33=0),0,IF(AJ32&lt;=0,0,IF(WEEKDAY(AJ$6,1)=1,0,IF(WEEKDAY(AJ$6,1)=7,AJ32*AJ33,MAX(0,AJ33-8)*AJ32)))+((IF(AJ32&lt;=0,0,IF(WEEKDAY(AJ$6,1)=1,0,IF(WEEKDAY(AJ$6,1)=7,0,MIN(8,AJ33)*AJ32))))-MIN(IF(AJ32&lt;=0,0,IF(WEEKDAY(AJ$6,1)=1,0,IF(WEEKDAY(AJ$6,1)=7,0,MIN(8,AJ33)*AJ32))),MAX(0,40*MAX(1,AJ32)-(AF34+AG34+AH34+AI34)))))</f>
        <v>0</v>
      </c>
      <c r="AK35" s="64">
        <f>IF(AND(AK32=0,AK33=0),0,IF(AK32&lt;=0,0,IF(WEEKDAY(AK$6,1)=1,0,IF(WEEKDAY(AK$6,1)=7,AK32*AK33,MAX(0,AK33-8)*AK32)))+((IF(AK32&lt;=0,0,IF(WEEKDAY(AK$6,1)=1,0,IF(WEEKDAY(AK$6,1)=7,0,MIN(8,AK33)*AK32))))-MIN(IF(AK32&lt;=0,0,IF(WEEKDAY(AK$6,1)=1,0,IF(WEEKDAY(AK$6,1)=7,0,MIN(8,AK33)*AK32))),MAX(0,40*MAX(1,AK32)-(AF34+AG34+AH34+AI34+AJ34)))))</f>
        <v>0</v>
      </c>
      <c r="AL35" s="64">
        <f>IF(AND(AL32=0,AL33=0),0,IF(AL32&lt;=0,0,IF(WEEKDAY(AL$6,1)=1,0,IF(WEEKDAY(AL$6,1)=7,AL32*AL33,MAX(0,AL33-8)*AL32)))+((IF(AL32&lt;=0,0,IF(WEEKDAY(AL$6,1)=1,0,IF(WEEKDAY(AL$6,1)=7,0,MIN(8,AL33)*AL32))))-MIN(IF(AL32&lt;=0,0,IF(WEEKDAY(AL$6,1)=1,0,IF(WEEKDAY(AL$6,1)=7,0,MIN(8,AL33)*AL32))),MAX(0,40*MAX(1,AL32)-(AF34+AG34+AH34+AI34+AJ34+AK34)))))</f>
        <v>0</v>
      </c>
      <c r="AM35" s="63">
        <f>IF(AND(AM32=0,AM33=0),0,IF(AM32&lt;=0,0,IF(WEEKDAY(AM$6,1)=1,0,IF(WEEKDAY(AM$6,1)=7,AM32*AM33,MAX(0,AM33-8)*AM32)))+((IF(AM32&lt;=0,0,IF(WEEKDAY(AM$6,1)=1,0,IF(WEEKDAY(AM$6,1)=7,0,MIN(8,AM33)*AM32))))-MIN(IF(AM32&lt;=0,0,IF(WEEKDAY(AM$6,1)=1,0,IF(WEEKDAY(AM$6,1)=7,0,MIN(8,AM33)*AM32))),MAX(0,40*MAX(1,AM32)-(0)))))</f>
        <v>0</v>
      </c>
      <c r="AN35" s="63">
        <f>IF(AND(AN32=0,AN33=0),0,IF(AN32&lt;=0,0,IF(WEEKDAY(AN$6,1)=1,0,IF(WEEKDAY(AN$6,1)=7,AN32*AN33,MAX(0,AN33-8)*AN32)))+((IF(AN32&lt;=0,0,IF(WEEKDAY(AN$6,1)=1,0,IF(WEEKDAY(AN$6,1)=7,0,MIN(8,AN33)*AN32))))-MIN(IF(AN32&lt;=0,0,IF(WEEKDAY(AN$6,1)=1,0,IF(WEEKDAY(AN$6,1)=7,0,MIN(8,AN33)*AN32))),MAX(0,40*MAX(1,AN32)-(AM34)))))</f>
        <v>0</v>
      </c>
      <c r="AO35" s="63">
        <f>IF(AND(AO32=0,AO33=0),0,IF(AO32&lt;=0,0,IF(WEEKDAY(AO$6,1)=1,0,IF(WEEKDAY(AO$6,1)=7,AO32*AO33,MAX(0,AO33-8)*AO32)))+((IF(AO32&lt;=0,0,IF(WEEKDAY(AO$6,1)=1,0,IF(WEEKDAY(AO$6,1)=7,0,MIN(8,AO33)*AO32))))-MIN(IF(AO32&lt;=0,0,IF(WEEKDAY(AO$6,1)=1,0,IF(WEEKDAY(AO$6,1)=7,0,MIN(8,AO33)*AO32))),MAX(0,40*MAX(1,AO32)-(AM34+AN34)))))</f>
        <v>0</v>
      </c>
      <c r="AP35" s="63">
        <f>IF(AND(AP32=0,AP33=0),0,IF(AP32&lt;=0,0,IF(WEEKDAY(AP$6,1)=1,0,IF(WEEKDAY(AP$6,1)=7,AP32*AP33,MAX(0,AP33-8)*AP32)))+((IF(AP32&lt;=0,0,IF(WEEKDAY(AP$6,1)=1,0,IF(WEEKDAY(AP$6,1)=7,0,MIN(8,AP33)*AP32))))-MIN(IF(AP32&lt;=0,0,IF(WEEKDAY(AP$6,1)=1,0,IF(WEEKDAY(AP$6,1)=7,0,MIN(8,AP33)*AP32))),MAX(0,40*MAX(1,AP32)-(AM34+AN34+AO34)))))</f>
        <v>0</v>
      </c>
      <c r="AQ35" s="63">
        <f>IF(AND(AQ32=0,AQ33=0),0,IF(AQ32&lt;=0,0,IF(WEEKDAY(AQ$6,1)=1,0,IF(WEEKDAY(AQ$6,1)=7,AQ32*AQ33,MAX(0,AQ33-8)*AQ32)))+((IF(AQ32&lt;=0,0,IF(WEEKDAY(AQ$6,1)=1,0,IF(WEEKDAY(AQ$6,1)=7,0,MIN(8,AQ33)*AQ32))))-MIN(IF(AQ32&lt;=0,0,IF(WEEKDAY(AQ$6,1)=1,0,IF(WEEKDAY(AQ$6,1)=7,0,MIN(8,AQ33)*AQ32))),MAX(0,40*MAX(1,AQ32)-(AM34+AN34+AO34+AP34)))))</f>
        <v>0</v>
      </c>
      <c r="AR35" s="64">
        <f>IF(AND(AR32=0,AR33=0),0,IF(AR32&lt;=0,0,IF(WEEKDAY(AR$6,1)=1,0,IF(WEEKDAY(AR$6,1)=7,AR32*AR33,MAX(0,AR33-8)*AR32)))+((IF(AR32&lt;=0,0,IF(WEEKDAY(AR$6,1)=1,0,IF(WEEKDAY(AR$6,1)=7,0,MIN(8,AR33)*AR32))))-MIN(IF(AR32&lt;=0,0,IF(WEEKDAY(AR$6,1)=1,0,IF(WEEKDAY(AR$6,1)=7,0,MIN(8,AR33)*AR32))),MAX(0,40*MAX(1,AR32)-(AM34+AN34+AO34+AP34+AQ34)))))</f>
        <v>0</v>
      </c>
      <c r="AS35" s="64">
        <f>IF(AND(AS32=0,AS33=0),0,IF(AS32&lt;=0,0,IF(WEEKDAY(AS$6,1)=1,0,IF(WEEKDAY(AS$6,1)=7,AS32*AS33,MAX(0,AS33-8)*AS32)))+((IF(AS32&lt;=0,0,IF(WEEKDAY(AS$6,1)=1,0,IF(WEEKDAY(AS$6,1)=7,0,MIN(8,AS33)*AS32))))-MIN(IF(AS32&lt;=0,0,IF(WEEKDAY(AS$6,1)=1,0,IF(WEEKDAY(AS$6,1)=7,0,MIN(8,AS33)*AS32))),MAX(0,40*MAX(1,AS32)-(AM34+AN34+AO34+AP34+AQ34+AR34)))))</f>
        <v>0</v>
      </c>
      <c r="AT35" s="63">
        <f>IF(AND(AT32=0,AT33=0),0,IF(AT32&lt;=0,0,IF(WEEKDAY(AT$6,1)=1,0,IF(WEEKDAY(AT$6,1)=7,AT32*AT33,MAX(0,AT33-8)*AT32)))+((IF(AT32&lt;=0,0,IF(WEEKDAY(AT$6,1)=1,0,IF(WEEKDAY(AT$6,1)=7,0,MIN(8,AT33)*AT32))))-MIN(IF(AT32&lt;=0,0,IF(WEEKDAY(AT$6,1)=1,0,IF(WEEKDAY(AT$6,1)=7,0,MIN(8,AT33)*AT32))),MAX(0,40*MAX(1,AT32)-(0)))))</f>
        <v>0</v>
      </c>
      <c r="AU35" s="63">
        <f>IF(AND(AU32=0,AU33=0),0,IF(AU32&lt;=0,0,IF(WEEKDAY(AU$6,1)=1,0,IF(WEEKDAY(AU$6,1)=7,AU32*AU33,MAX(0,AU33-8)*AU32)))+((IF(AU32&lt;=0,0,IF(WEEKDAY(AU$6,1)=1,0,IF(WEEKDAY(AU$6,1)=7,0,MIN(8,AU33)*AU32))))-MIN(IF(AU32&lt;=0,0,IF(WEEKDAY(AU$6,1)=1,0,IF(WEEKDAY(AU$6,1)=7,0,MIN(8,AU33)*AU32))),MAX(0,40*MAX(1,AU32)-(AT34)))))</f>
        <v>0</v>
      </c>
      <c r="AV35" s="63">
        <f>IF(AND(AV32=0,AV33=0),0,IF(AV32&lt;=0,0,IF(WEEKDAY(AV$6,1)=1,0,IF(WEEKDAY(AV$6,1)=7,AV32*AV33,MAX(0,AV33-8)*AV32)))+((IF(AV32&lt;=0,0,IF(WEEKDAY(AV$6,1)=1,0,IF(WEEKDAY(AV$6,1)=7,0,MIN(8,AV33)*AV32))))-MIN(IF(AV32&lt;=0,0,IF(WEEKDAY(AV$6,1)=1,0,IF(WEEKDAY(AV$6,1)=7,0,MIN(8,AV33)*AV32))),MAX(0,40*MAX(1,AV32)-(AT34+AU34)))))</f>
        <v>0</v>
      </c>
      <c r="AW35" s="63">
        <f>IF(AND(AW32=0,AW33=0),0,IF(AW32&lt;=0,0,IF(WEEKDAY(AW$6,1)=1,0,IF(WEEKDAY(AW$6,1)=7,AW32*AW33,MAX(0,AW33-8)*AW32)))+((IF(AW32&lt;=0,0,IF(WEEKDAY(AW$6,1)=1,0,IF(WEEKDAY(AW$6,1)=7,0,MIN(8,AW33)*AW32))))-MIN(IF(AW32&lt;=0,0,IF(WEEKDAY(AW$6,1)=1,0,IF(WEEKDAY(AW$6,1)=7,0,MIN(8,AW33)*AW32))),MAX(0,40*MAX(1,AW32)-(AT34+AU34+AV34)))))</f>
        <v>0</v>
      </c>
      <c r="AX35" s="63">
        <f>IF(AND(AX32=0,AX33=0),0,IF(AX32&lt;=0,0,IF(WEEKDAY(AX$6,1)=1,0,IF(WEEKDAY(AX$6,1)=7,AX32*AX33,MAX(0,AX33-8)*AX32)))+((IF(AX32&lt;=0,0,IF(WEEKDAY(AX$6,1)=1,0,IF(WEEKDAY(AX$6,1)=7,0,MIN(8,AX33)*AX32))))-MIN(IF(AX32&lt;=0,0,IF(WEEKDAY(AX$6,1)=1,0,IF(WEEKDAY(AX$6,1)=7,0,MIN(8,AX33)*AX32))),MAX(0,40*MAX(1,AX32)-(AT34+AU34+AV34+AW34)))))</f>
        <v>0</v>
      </c>
      <c r="AY35" s="64">
        <f>IF(AND(AY32=0,AY33=0),0,IF(AY32&lt;=0,0,IF(WEEKDAY(AY$6,1)=1,0,IF(WEEKDAY(AY$6,1)=7,AY32*AY33,MAX(0,AY33-8)*AY32)))+((IF(AY32&lt;=0,0,IF(WEEKDAY(AY$6,1)=1,0,IF(WEEKDAY(AY$6,1)=7,0,MIN(8,AY33)*AY32))))-MIN(IF(AY32&lt;=0,0,IF(WEEKDAY(AY$6,1)=1,0,IF(WEEKDAY(AY$6,1)=7,0,MIN(8,AY33)*AY32))),MAX(0,40*MAX(1,AY32)-(AT34+AU34+AV34+AW34+AX34)))))</f>
        <v>0</v>
      </c>
      <c r="AZ35" s="64">
        <f>IF(AND(AZ32=0,AZ33=0),0,IF(AZ32&lt;=0,0,IF(WEEKDAY(AZ$6,1)=1,0,IF(WEEKDAY(AZ$6,1)=7,AZ32*AZ33,MAX(0,AZ33-8)*AZ32)))+((IF(AZ32&lt;=0,0,IF(WEEKDAY(AZ$6,1)=1,0,IF(WEEKDAY(AZ$6,1)=7,0,MIN(8,AZ33)*AZ32))))-MIN(IF(AZ32&lt;=0,0,IF(WEEKDAY(AZ$6,1)=1,0,IF(WEEKDAY(AZ$6,1)=7,0,MIN(8,AZ33)*AZ32))),MAX(0,40*MAX(1,AZ32)-(AT34+AU34+AV34+AW34+AX34+AY34)))))</f>
        <v>0</v>
      </c>
      <c r="BA35" s="63">
        <f>IF(AND(BA32=0,BA33=0),0,IF(BA32&lt;=0,0,IF(WEEKDAY(BA$6,1)=1,0,IF(WEEKDAY(BA$6,1)=7,BA32*BA33,MAX(0,BA33-8)*BA32)))+((IF(BA32&lt;=0,0,IF(WEEKDAY(BA$6,1)=1,0,IF(WEEKDAY(BA$6,1)=7,0,MIN(8,BA33)*BA32))))-MIN(IF(BA32&lt;=0,0,IF(WEEKDAY(BA$6,1)=1,0,IF(WEEKDAY(BA$6,1)=7,0,MIN(8,BA33)*BA32))),MAX(0,40*MAX(1,BA32)-(0)))))</f>
        <v>0</v>
      </c>
      <c r="BB35" s="63">
        <f>IF(AND(BB32=0,BB33=0),0,IF(BB32&lt;=0,0,IF(WEEKDAY(BB$6,1)=1,0,IF(WEEKDAY(BB$6,1)=7,BB32*BB33,MAX(0,BB33-8)*BB32)))+((IF(BB32&lt;=0,0,IF(WEEKDAY(BB$6,1)=1,0,IF(WEEKDAY(BB$6,1)=7,0,MIN(8,BB33)*BB32))))-MIN(IF(BB32&lt;=0,0,IF(WEEKDAY(BB$6,1)=1,0,IF(WEEKDAY(BB$6,1)=7,0,MIN(8,BB33)*BB32))),MAX(0,40*MAX(1,BB32)-(BA34)))))</f>
        <v>0</v>
      </c>
      <c r="BC35" s="63">
        <f>IF(AND(BC32=0,BC33=0),0,IF(BC32&lt;=0,0,IF(WEEKDAY(BC$6,1)=1,0,IF(WEEKDAY(BC$6,1)=7,BC32*BC33,MAX(0,BC33-8)*BC32)))+((IF(BC32&lt;=0,0,IF(WEEKDAY(BC$6,1)=1,0,IF(WEEKDAY(BC$6,1)=7,0,MIN(8,BC33)*BC32))))-MIN(IF(BC32&lt;=0,0,IF(WEEKDAY(BC$6,1)=1,0,IF(WEEKDAY(BC$6,1)=7,0,MIN(8,BC33)*BC32))),MAX(0,40*MAX(1,BC32)-(BA34+BB34)))))</f>
        <v>0</v>
      </c>
      <c r="BD35" s="63">
        <f>IF(AND(BD32=0,BD33=0),0,IF(BD32&lt;=0,0,IF(WEEKDAY(BD$6,1)=1,0,IF(WEEKDAY(BD$6,1)=7,BD32*BD33,MAX(0,BD33-8)*BD32)))+((IF(BD32&lt;=0,0,IF(WEEKDAY(BD$6,1)=1,0,IF(WEEKDAY(BD$6,1)=7,0,MIN(8,BD33)*BD32))))-MIN(IF(BD32&lt;=0,0,IF(WEEKDAY(BD$6,1)=1,0,IF(WEEKDAY(BD$6,1)=7,0,MIN(8,BD33)*BD32))),MAX(0,40*MAX(1,BD32)-(BA34+BB34+BC34)))))</f>
        <v>0</v>
      </c>
      <c r="BE35" s="63">
        <f>IF(AND(BE32=0,BE33=0),0,IF(BE32&lt;=0,0,IF(WEEKDAY(BE$6,1)=1,0,IF(WEEKDAY(BE$6,1)=7,BE32*BE33,MAX(0,BE33-8)*BE32)))+((IF(BE32&lt;=0,0,IF(WEEKDAY(BE$6,1)=1,0,IF(WEEKDAY(BE$6,1)=7,0,MIN(8,BE33)*BE32))))-MIN(IF(BE32&lt;=0,0,IF(WEEKDAY(BE$6,1)=1,0,IF(WEEKDAY(BE$6,1)=7,0,MIN(8,BE33)*BE32))),MAX(0,40*MAX(1,BE32)-(BA34+BB34+BC34+BD34)))))</f>
        <v>0</v>
      </c>
      <c r="BF35" s="64">
        <f>IF(AND(BF32=0,BF33=0),0,IF(BF32&lt;=0,0,IF(WEEKDAY(BF$6,1)=1,0,IF(WEEKDAY(BF$6,1)=7,BF32*BF33,MAX(0,BF33-8)*BF32)))+((IF(BF32&lt;=0,0,IF(WEEKDAY(BF$6,1)=1,0,IF(WEEKDAY(BF$6,1)=7,0,MIN(8,BF33)*BF32))))-MIN(IF(BF32&lt;=0,0,IF(WEEKDAY(BF$6,1)=1,0,IF(WEEKDAY(BF$6,1)=7,0,MIN(8,BF33)*BF32))),MAX(0,40*MAX(1,BF32)-(BA34+BB34+BC34+BD34+BE34)))))</f>
        <v>0</v>
      </c>
      <c r="BG35" s="64">
        <f>IF(AND(BG32=0,BG33=0),0,IF(BG32&lt;=0,0,IF(WEEKDAY(BG$6,1)=1,0,IF(WEEKDAY(BG$6,1)=7,BG32*BG33,MAX(0,BG33-8)*BG32)))+((IF(BG32&lt;=0,0,IF(WEEKDAY(BG$6,1)=1,0,IF(WEEKDAY(BG$6,1)=7,0,MIN(8,BG33)*BG32))))-MIN(IF(BG32&lt;=0,0,IF(WEEKDAY(BG$6,1)=1,0,IF(WEEKDAY(BG$6,1)=7,0,MIN(8,BG33)*BG32))),MAX(0,40*MAX(1,BG32)-(BA34+BB34+BC34+BD34+BE34+BF34)))))</f>
        <v>0</v>
      </c>
      <c r="BH35" s="63">
        <f>IF(AND(BH32=8,BH33=13),40,IF(BH32&lt;=0,0,IF(WEEKDAY(BH$6,1)=1,0,IF(WEEKDAY(BH$6,1)=7,BH32*BH33,MAX(0,BH33-8)*BH32)))+((IF(BH32&lt;=0,0,IF(WEEKDAY(BH$6,1)=1,0,IF(WEEKDAY(BH$6,1)=7,0,MIN(8,BH33)*BH32))))-MIN(IF(BH32&lt;=0,0,IF(WEEKDAY(BH$6,1)=1,0,IF(WEEKDAY(BH$6,1)=7,0,MIN(8,BH33)*BH32))),MAX(0,40*MAX(1,BH32)-(0)))))</f>
        <v>40</v>
      </c>
      <c r="BI35" s="63">
        <f>IF(AND(BI32=8,BI33=13),40,IF(BI32&lt;=0,0,IF(WEEKDAY(BI$6,1)=1,0,IF(WEEKDAY(BI$6,1)=7,BI32*BI33,MAX(0,BI33-8)*BI32)))+((IF(BI32&lt;=0,0,IF(WEEKDAY(BI$6,1)=1,0,IF(WEEKDAY(BI$6,1)=7,0,MIN(8,BI33)*BI32))))-MIN(IF(BI32&lt;=0,0,IF(WEEKDAY(BI$6,1)=1,0,IF(WEEKDAY(BI$6,1)=7,0,MIN(8,BI33)*BI32))),MAX(0,40*MAX(1,BI32)-(BH34)))))</f>
        <v>40</v>
      </c>
      <c r="BJ35" s="63">
        <f>IF(AND(BJ32=8,BJ33=13),40,IF(BJ32&lt;=0,0,IF(WEEKDAY(BJ$6,1)=1,0,IF(WEEKDAY(BJ$6,1)=7,BJ32*BJ33,MAX(0,BJ33-8)*BJ32)))+((IF(BJ32&lt;=0,0,IF(WEEKDAY(BJ$6,1)=1,0,IF(WEEKDAY(BJ$6,1)=7,0,MIN(8,BJ33)*BJ32))))-MIN(IF(BJ32&lt;=0,0,IF(WEEKDAY(BJ$6,1)=1,0,IF(WEEKDAY(BJ$6,1)=7,0,MIN(8,BJ33)*BJ32))),MAX(0,40*MAX(1,BJ32)-(BH34+BI34)))))</f>
        <v>40</v>
      </c>
      <c r="BK35" s="63">
        <f>IF(AND(BK32=8,BK33=13),40,IF(BK32&lt;=0,0,IF(WEEKDAY(BK$6,1)=1,0,IF(WEEKDAY(BK$6,1)=7,BK32*BK33,MAX(0,BK33-8)*BK32)))+((IF(BK32&lt;=0,0,IF(WEEKDAY(BK$6,1)=1,0,IF(WEEKDAY(BK$6,1)=7,0,MIN(8,BK33)*BK32))))-MIN(IF(BK32&lt;=0,0,IF(WEEKDAY(BK$6,1)=1,0,IF(WEEKDAY(BK$6,1)=7,0,MIN(8,BK33)*BK32))),MAX(0,40*MAX(1,BK32)-(BH34+BI34+BJ34)))))</f>
        <v>40</v>
      </c>
      <c r="BL35" s="63">
        <f>IF(AND(BL32=8,BL33=13),40,IF(BL32&lt;=0,0,IF(WEEKDAY(BL$6,1)=1,0,IF(WEEKDAY(BL$6,1)=7,BL32*BL33,MAX(0,BL33-8)*BL32)))+((IF(BL32&lt;=0,0,IF(WEEKDAY(BL$6,1)=1,0,IF(WEEKDAY(BL$6,1)=7,0,MIN(8,BL33)*BL32))))-MIN(IF(BL32&lt;=0,0,IF(WEEKDAY(BL$6,1)=1,0,IF(WEEKDAY(BL$6,1)=7,0,MIN(8,BL33)*BL32))),MAX(0,40*MAX(1,BL32)-(BH34+BI34+BJ34+BK34)))))</f>
        <v>40</v>
      </c>
      <c r="BM35" s="64">
        <f>IF(AND(BM32=8,BM33=13),104,IF(BM32&lt;=0,0,IF(WEEKDAY(BM$6,1)=1,0,IF(WEEKDAY(BM$6,1)=7,BM32*BM33,MAX(0,BM33-8)*BM32)))+((IF(BM32&lt;=0,0,IF(WEEKDAY(BM$6,1)=1,0,IF(WEEKDAY(BM$6,1)=7,0,MIN(8,BM33)*BM32))))-MIN(IF(BM32&lt;=0,0,IF(WEEKDAY(BM$6,1)=1,0,IF(WEEKDAY(BM$6,1)=7,0,MIN(8,BM33)*BM32))),MAX(0,40*MAX(1,BM32)-(BH34+BI34+BJ34+BK34+BL34)))))</f>
        <v>104</v>
      </c>
      <c r="BN35" s="64">
        <f>IF(AND(BN32=8,BN33=13),0,IF(BN32&lt;=0,0,IF(WEEKDAY(BN$6,1)=1,0,IF(WEEKDAY(BN$6,1)=7,BN32*BN33,MAX(0,BN33-8)*BN32)))+((IF(BN32&lt;=0,0,IF(WEEKDAY(BN$6,1)=1,0,IF(WEEKDAY(BN$6,1)=7,0,MIN(8,BN33)*BN32))))-MIN(IF(BN32&lt;=0,0,IF(WEEKDAY(BN$6,1)=1,0,IF(WEEKDAY(BN$6,1)=7,0,MIN(8,BN33)*BN32))),MAX(0,40*MAX(1,BN32)-(BH34+BI34+BJ34+BK34+BL34+BM34)))))</f>
        <v>0</v>
      </c>
      <c r="BO35" s="63">
        <f>IF(AND(BO32=8,BO33=13),40,IF(BO32&lt;=0,0,IF(WEEKDAY(BO$6,1)=1,0,IF(WEEKDAY(BO$6,1)=7,BO32*BO33,MAX(0,BO33-8)*BO32)))+((IF(BO32&lt;=0,0,IF(WEEKDAY(BO$6,1)=1,0,IF(WEEKDAY(BO$6,1)=7,0,MIN(8,BO33)*BO32))))-MIN(IF(BO32&lt;=0,0,IF(WEEKDAY(BO$6,1)=1,0,IF(WEEKDAY(BO$6,1)=7,0,MIN(8,BO33)*BO32))),MAX(0,40*MAX(1,BO32)-(0)))))</f>
        <v>40</v>
      </c>
      <c r="BP35" s="63">
        <f>IF(AND(BP32=8,BP33=13),40,IF(BP32&lt;=0,0,IF(WEEKDAY(BP$6,1)=1,0,IF(WEEKDAY(BP$6,1)=7,BP32*BP33,MAX(0,BP33-8)*BP32)))+((IF(BP32&lt;=0,0,IF(WEEKDAY(BP$6,1)=1,0,IF(WEEKDAY(BP$6,1)=7,0,MIN(8,BP33)*BP32))))-MIN(IF(BP32&lt;=0,0,IF(WEEKDAY(BP$6,1)=1,0,IF(WEEKDAY(BP$6,1)=7,0,MIN(8,BP33)*BP32))),MAX(0,40*MAX(1,BP32)-(BO34)))))</f>
        <v>40</v>
      </c>
      <c r="BQ35" s="63">
        <f>IF(AND(BQ32=8,BQ33=13),40,IF(BQ32&lt;=0,0,IF(WEEKDAY(BQ$6,1)=1,0,IF(WEEKDAY(BQ$6,1)=7,BQ32*BQ33,MAX(0,BQ33-8)*BQ32)))+((IF(BQ32&lt;=0,0,IF(WEEKDAY(BQ$6,1)=1,0,IF(WEEKDAY(BQ$6,1)=7,0,MIN(8,BQ33)*BQ32))))-MIN(IF(BQ32&lt;=0,0,IF(WEEKDAY(BQ$6,1)=1,0,IF(WEEKDAY(BQ$6,1)=7,0,MIN(8,BQ33)*BQ32))),MAX(0,40*MAX(1,BQ32)-(BO34+BP34)))))</f>
        <v>40</v>
      </c>
      <c r="BR35" s="63">
        <f>IF(AND(BR32=8,BR33=13),40,IF(BR32&lt;=0,0,IF(WEEKDAY(BR$6,1)=1,0,IF(WEEKDAY(BR$6,1)=7,BR32*BR33,MAX(0,BR33-8)*BR32)))+((IF(BR32&lt;=0,0,IF(WEEKDAY(BR$6,1)=1,0,IF(WEEKDAY(BR$6,1)=7,0,MIN(8,BR33)*BR32))))-MIN(IF(BR32&lt;=0,0,IF(WEEKDAY(BR$6,1)=1,0,IF(WEEKDAY(BR$6,1)=7,0,MIN(8,BR33)*BR32))),MAX(0,40*MAX(1,BR32)-(0)))))</f>
        <v>40</v>
      </c>
      <c r="BS35" s="63">
        <f>IF(AND(BS32=8,BS33=13),40,IF(BS32&lt;=0,0,IF(WEEKDAY(BS$6,1)=1,0,IF(WEEKDAY(BS$6,1)=7,BS32*BS33,MAX(0,BS33-8)*BS32)))+((IF(BS32&lt;=0,0,IF(WEEKDAY(BS$6,1)=1,0,IF(WEEKDAY(BS$6,1)=7,0,MIN(8,BS33)*BS32))))-MIN(IF(BS32&lt;=0,0,IF(WEEKDAY(BS$6,1)=1,0,IF(WEEKDAY(BS$6,1)=7,0,MIN(8,BS33)*BS32))),MAX(0,40*MAX(1,BS32)-(BR34)))))</f>
        <v>40</v>
      </c>
      <c r="BT35" s="64">
        <f>IF(AND(BT32=8,BT33=13),104,IF(BT32&lt;=0,0,IF(WEEKDAY(BT$6,1)=1,0,IF(WEEKDAY(BT$6,1)=7,BT32*BT33,MAX(0,BT33-8)*BT32)))+((IF(BT32&lt;=0,0,IF(WEEKDAY(BT$6,1)=1,0,IF(WEEKDAY(BT$6,1)=7,0,MIN(8,BT33)*BT32))))-MIN(IF(BT32&lt;=0,0,IF(WEEKDAY(BT$6,1)=1,0,IF(WEEKDAY(BT$6,1)=7,0,MIN(8,BT33)*BT32))),MAX(0,40*MAX(1,BT32)-(BR34+BS34)))))</f>
        <v>104</v>
      </c>
      <c r="BU35" s="64">
        <f>IF(AND(BU32=8,BU33=13),0,IF(BU32&lt;=0,0,IF(WEEKDAY(BU$6,1)=1,0,IF(WEEKDAY(BU$6,1)=7,BU32*BU33,MAX(0,BU33-8)*BU32)))+((IF(BU32&lt;=0,0,IF(WEEKDAY(BU$6,1)=1,0,IF(WEEKDAY(BU$6,1)=7,0,MIN(8,BU33)*BU32))))-MIN(IF(BU32&lt;=0,0,IF(WEEKDAY(BU$6,1)=1,0,IF(WEEKDAY(BU$6,1)=7,0,MIN(8,BU33)*BU32))),MAX(0,40*MAX(1,BU32)-(BR34+BS34+BT34)))))</f>
        <v>0</v>
      </c>
      <c r="BV35" s="63">
        <f>IF(AND(BV32=8,BV33=13),40,IF(BV32&lt;=0,0,IF(WEEKDAY(BV$6,1)=1,0,IF(WEEKDAY(BV$6,1)=7,BV32*BV33,MAX(0,BV33-8)*BV32)))+((IF(BV32&lt;=0,0,IF(WEEKDAY(BV$6,1)=1,0,IF(WEEKDAY(BV$6,1)=7,0,MIN(8,BV33)*BV32))))-MIN(IF(BV32&lt;=0,0,IF(WEEKDAY(BV$6,1)=1,0,IF(WEEKDAY(BV$6,1)=7,0,MIN(8,BV33)*BV32))),MAX(0,40*MAX(1,BV32)-(0)))))</f>
        <v>40</v>
      </c>
      <c r="BW35" s="63">
        <f>IF(AND(BW32=8,BW33=13),40,IF(BW32&lt;=0,0,IF(WEEKDAY(BW$6,1)=1,0,IF(WEEKDAY(BW$6,1)=7,BW32*BW33,MAX(0,BW33-8)*BW32)))+((IF(BW32&lt;=0,0,IF(WEEKDAY(BW$6,1)=1,0,IF(WEEKDAY(BW$6,1)=7,0,MIN(8,BW33)*BW32))))-MIN(IF(BW32&lt;=0,0,IF(WEEKDAY(BW$6,1)=1,0,IF(WEEKDAY(BW$6,1)=7,0,MIN(8,BW33)*BW32))),MAX(0,40*MAX(1,BW32)-(BV34)))))</f>
        <v>40</v>
      </c>
      <c r="BX35" s="63">
        <f>IF(AND(BX32=8,BX33=13),40,IF(BX32&lt;=0,0,IF(WEEKDAY(BX$6,1)=1,0,IF(WEEKDAY(BX$6,1)=7,BX32*BX33,MAX(0,BX33-8)*BX32)))+((IF(BX32&lt;=0,0,IF(WEEKDAY(BX$6,1)=1,0,IF(WEEKDAY(BX$6,1)=7,0,MIN(8,BX33)*BX32))))-MIN(IF(BX32&lt;=0,0,IF(WEEKDAY(BX$6,1)=1,0,IF(WEEKDAY(BX$6,1)=7,0,MIN(8,BX33)*BX32))),MAX(0,40*MAX(1,BX32)-(BV34+BW34)))))</f>
        <v>40</v>
      </c>
      <c r="BY35" s="63">
        <f>IF(AND(BY32=8,BY33=13),40,IF(BY32&lt;=0,0,IF(WEEKDAY(BY$6,1)=1,0,IF(WEEKDAY(BY$6,1)=7,BY32*BY33,MAX(0,BY33-8)*BY32)))+((IF(BY32&lt;=0,0,IF(WEEKDAY(BY$6,1)=1,0,IF(WEEKDAY(BY$6,1)=7,0,MIN(8,BY33)*BY32))))-MIN(IF(BY32&lt;=0,0,IF(WEEKDAY(BY$6,1)=1,0,IF(WEEKDAY(BY$6,1)=7,0,MIN(8,BY33)*BY32))),MAX(0,40*MAX(1,BY32)-(BV34+BW34+BX34)))))</f>
        <v>40</v>
      </c>
      <c r="BZ35" s="63">
        <f>IF(AND(BZ32=8,BZ33=13),40,IF(BZ32&lt;=0,0,IF(WEEKDAY(BZ$6,1)=1,0,IF(WEEKDAY(BZ$6,1)=7,BZ32*BZ33,MAX(0,BZ33-8)*BZ32)))+((IF(BZ32&lt;=0,0,IF(WEEKDAY(BZ$6,1)=1,0,IF(WEEKDAY(BZ$6,1)=7,0,MIN(8,BZ33)*BZ32))))-MIN(IF(BZ32&lt;=0,0,IF(WEEKDAY(BZ$6,1)=1,0,IF(WEEKDAY(BZ$6,1)=7,0,MIN(8,BZ33)*BZ32))),MAX(0,40*MAX(1,BZ32)-(BV34+BW34+BX34+BY34)))))</f>
        <v>40</v>
      </c>
      <c r="CA35" s="64">
        <f>IF(AND(CA32=8,CA33=13),104,IF(CA32&lt;=0,0,IF(WEEKDAY(CA$6,1)=1,0,IF(WEEKDAY(CA$6,1)=7,CA32*CA33,MAX(0,CA33-8)*CA32)))+((IF(CA32&lt;=0,0,IF(WEEKDAY(CA$6,1)=1,0,IF(WEEKDAY(CA$6,1)=7,0,MIN(8,CA33)*CA32))))-MIN(IF(CA32&lt;=0,0,IF(WEEKDAY(CA$6,1)=1,0,IF(WEEKDAY(CA$6,1)=7,0,MIN(8,CA33)*CA32))),MAX(0,40*MAX(1,CA32)-(BV34+BW34+BX34+BY34+BZ34)))))</f>
        <v>104</v>
      </c>
      <c r="CB35" s="64">
        <f>IF(AND(CB32=0,CB33=0),0,IF(CB32&lt;=0,0,IF(WEEKDAY(CB$6,1)=1,0,IF(WEEKDAY(CB$6,1)=7,CB32*CB33,MAX(0,CB33-8)*CB32)))+((IF(CB32&lt;=0,0,IF(WEEKDAY(CB$6,1)=1,0,IF(WEEKDAY(CB$6,1)=7,0,MIN(8,CB33)*CB32))))-MIN(IF(CB32&lt;=0,0,IF(WEEKDAY(CB$6,1)=1,0,IF(WEEKDAY(CB$6,1)=7,0,MIN(8,CB33)*CB32))),MAX(0,40*MAX(1,CB32)-(0)))))</f>
        <v>0</v>
      </c>
      <c r="CC35" s="63">
        <f>IF(AND(CC32=8,CC33=13),40,IF(CC32&lt;=0,0,IF(WEEKDAY(CC$6,1)=1,0,IF(WEEKDAY(CC$6,1)=7,CC32*CC33,MAX(0,CC33-8)*CC32)))+((IF(CC32&lt;=0,0,IF(WEEKDAY(CC$6,1)=1,0,IF(WEEKDAY(CC$6,1)=7,0,MIN(8,CC33)*CC32))))-MIN(IF(CC32&lt;=0,0,IF(WEEKDAY(CC$6,1)=1,0,IF(WEEKDAY(CC$6,1)=7,0,MIN(8,CC33)*CC32))),MAX(0,40*MAX(1,CC32)-(0)))))</f>
        <v>40</v>
      </c>
      <c r="CD35" s="63">
        <f>IF(AND(CD32=8,CD33=13),40,IF(CD32&lt;=0,0,IF(WEEKDAY(CD$6,1)=1,0,IF(WEEKDAY(CD$6,1)=7,CD32*CD33,MAX(0,CD33-8)*CD32)))+((IF(CD32&lt;=0,0,IF(WEEKDAY(CD$6,1)=1,0,IF(WEEKDAY(CD$6,1)=7,0,MIN(8,CD33)*CD32))))-MIN(IF(CD32&lt;=0,0,IF(WEEKDAY(CD$6,1)=1,0,IF(WEEKDAY(CD$6,1)=7,0,MIN(8,CD33)*CD32))),MAX(0,40*MAX(1,CD32)-(CC34)))))</f>
        <v>40</v>
      </c>
      <c r="CE35" s="63">
        <f>IF(AND(CE32=8,CE33=13),40,IF(CE32&lt;=0,0,IF(WEEKDAY(CE$6,1)=1,0,IF(WEEKDAY(CE$6,1)=7,CE32*CE33,MAX(0,CE33-8)*CE32)))+((IF(CE32&lt;=0,0,IF(WEEKDAY(CE$6,1)=1,0,IF(WEEKDAY(CE$6,1)=7,0,MIN(8,CE33)*CE32))))-MIN(IF(CE32&lt;=0,0,IF(WEEKDAY(CE$6,1)=1,0,IF(WEEKDAY(CE$6,1)=7,0,MIN(8,CE33)*CE32))),MAX(0,40*MAX(1,CE32)-(CC34+CD34)))))</f>
        <v>40</v>
      </c>
      <c r="CF35" s="63">
        <f>IF(AND(CF32=8,CF33=13),40,IF(CF32&lt;=0,0,IF(WEEKDAY(CF$6,1)=1,0,IF(WEEKDAY(CF$6,1)=7,CF32*CF33,MAX(0,CF33-8)*CF32)))+((IF(CF32&lt;=0,0,IF(WEEKDAY(CF$6,1)=1,0,IF(WEEKDAY(CF$6,1)=7,0,MIN(8,CF33)*CF32))))-MIN(IF(CF32&lt;=0,0,IF(WEEKDAY(CF$6,1)=1,0,IF(WEEKDAY(CF$6,1)=7,0,MIN(8,CF33)*CF32))),MAX(0,40*MAX(1,CF32)-(CC34+CD34+CE34)))))</f>
        <v>40</v>
      </c>
      <c r="CG35" s="63">
        <f>IF(AND(CG32=8,CG33=13),40,IF(CG32&lt;=0,0,IF(WEEKDAY(CG$6,1)=1,0,IF(WEEKDAY(CG$6,1)=7,CG32*CG33,MAX(0,CG33-8)*CG32)))+((IF(CG32&lt;=0,0,IF(WEEKDAY(CG$6,1)=1,0,IF(WEEKDAY(CG$6,1)=7,0,MIN(8,CG33)*CG32))))-MIN(IF(CG32&lt;=0,0,IF(WEEKDAY(CG$6,1)=1,0,IF(WEEKDAY(CG$6,1)=7,0,MIN(8,CG33)*CG32))),MAX(0,40*MAX(1,CG32)-(CC34+CD34+CE34+CF34)))))</f>
        <v>40</v>
      </c>
      <c r="CH35" s="64">
        <f>IF(AND(CH32=8,CH33=13),104,IF(CH32&lt;=0,0,IF(WEEKDAY(CH$6,1)=1,0,IF(WEEKDAY(CH$6,1)=7,CH32*CH33,MAX(0,CH33-8)*CH32)))+((IF(CH32&lt;=0,0,IF(WEEKDAY(CH$6,1)=1,0,IF(WEEKDAY(CH$6,1)=7,0,MIN(8,CH33)*CH32))))-MIN(IF(CH32&lt;=0,0,IF(WEEKDAY(CH$6,1)=1,0,IF(WEEKDAY(CH$6,1)=7,0,MIN(8,CH33)*CH32))),MAX(0,40*MAX(1,CH32)-(CC34+CD34+CE34+CF34+CG34)))))</f>
        <v>104</v>
      </c>
      <c r="CI35" s="64">
        <f>IF(AND(CI32=8,CI33=13),0,IF(CI32&lt;=0,0,IF(WEEKDAY(CI$6,1)=1,0,IF(WEEKDAY(CI$6,1)=7,CI32*CI33,MAX(0,CI33-8)*CI32)))+((IF(CI32&lt;=0,0,IF(WEEKDAY(CI$6,1)=1,0,IF(WEEKDAY(CI$6,1)=7,0,MIN(8,CI33)*CI32))))-MIN(IF(CI32&lt;=0,0,IF(WEEKDAY(CI$6,1)=1,0,IF(WEEKDAY(CI$6,1)=7,0,MIN(8,CI33)*CI32))),MAX(0,40*MAX(1,CI32)-(CC34+CD34+CE34+CF34+CG34+CH34)))))</f>
        <v>0</v>
      </c>
      <c r="CJ35" s="63">
        <f>IF(AND(CJ32=8,CJ33=13),40,IF(CJ32&lt;=0,0,IF(WEEKDAY(CJ$6,1)=1,0,IF(WEEKDAY(CJ$6,1)=7,CJ32*CJ33,MAX(0,CJ33-8)*CJ32)))+((IF(CJ32&lt;=0,0,IF(WEEKDAY(CJ$6,1)=1,0,IF(WEEKDAY(CJ$6,1)=7,0,MIN(8,CJ33)*CJ32))))-MIN(IF(CJ32&lt;=0,0,IF(WEEKDAY(CJ$6,1)=1,0,IF(WEEKDAY(CJ$6,1)=7,0,MIN(8,CJ33)*CJ32))),MAX(0,40*MAX(1,CJ32)-(0)))))</f>
        <v>40</v>
      </c>
      <c r="CK35" s="63">
        <f>IF(AND(CK32=8,CK33=13),40,IF(CK32&lt;=0,0,IF(WEEKDAY(CK$6,1)=1,0,IF(WEEKDAY(CK$6,1)=7,CK32*CK33,MAX(0,CK33-8)*CK32)))+((IF(CK32&lt;=0,0,IF(WEEKDAY(CK$6,1)=1,0,IF(WEEKDAY(CK$6,1)=7,0,MIN(8,CK33)*CK32))))-MIN(IF(CK32&lt;=0,0,IF(WEEKDAY(CK$6,1)=1,0,IF(WEEKDAY(CK$6,1)=7,0,MIN(8,CK33)*CK32))),MAX(0,40*MAX(1,CK32)-(CJ34)))))</f>
        <v>40</v>
      </c>
      <c r="CL35" s="63">
        <f>IF(AND(CL32=8,CL33=13),40,IF(CL32&lt;=0,0,IF(WEEKDAY(CL$6,1)=1,0,IF(WEEKDAY(CL$6,1)=7,CL32*CL33,MAX(0,CL33-8)*CL32)))+((IF(CL32&lt;=0,0,IF(WEEKDAY(CL$6,1)=1,0,IF(WEEKDAY(CL$6,1)=7,0,MIN(8,CL33)*CL32))))-MIN(IF(CL32&lt;=0,0,IF(WEEKDAY(CL$6,1)=1,0,IF(WEEKDAY(CL$6,1)=7,0,MIN(8,CL33)*CL32))),MAX(0,40*MAX(1,CL32)-(CJ34+CK34)))))</f>
        <v>40</v>
      </c>
      <c r="CM35" s="63">
        <f>IF(AND(CM32=8,CM33=13),40,IF(CM32&lt;=0,0,IF(WEEKDAY(CM$6,1)=1,0,IF(WEEKDAY(CM$6,1)=7,CM32*CM33,MAX(0,CM33-8)*CM32)))+((IF(CM32&lt;=0,0,IF(WEEKDAY(CM$6,1)=1,0,IF(WEEKDAY(CM$6,1)=7,0,MIN(8,CM33)*CM32))))-MIN(IF(CM32&lt;=0,0,IF(WEEKDAY(CM$6,1)=1,0,IF(WEEKDAY(CM$6,1)=7,0,MIN(8,CM33)*CM32))),MAX(0,40*MAX(1,CM32)-(CJ34+CK34+CL34)))))</f>
        <v>40</v>
      </c>
      <c r="CN35" s="63">
        <f>IF(AND(CN32=8,CN33=13),40,IF(CN32&lt;=0,0,IF(WEEKDAY(CN$6,1)=1,0,IF(WEEKDAY(CN$6,1)=7,CN32*CN33,MAX(0,CN33-8)*CN32)))+((IF(CN32&lt;=0,0,IF(WEEKDAY(CN$6,1)=1,0,IF(WEEKDAY(CN$6,1)=7,0,MIN(8,CN33)*CN32))))-MIN(IF(CN32&lt;=0,0,IF(WEEKDAY(CN$6,1)=1,0,IF(WEEKDAY(CN$6,1)=7,0,MIN(8,CN33)*CN32))),MAX(0,40*MAX(1,CN32)-(CJ34+CK34+CL34+CM34)))))</f>
        <v>40</v>
      </c>
      <c r="CO35" s="64">
        <f>IF(AND(CO32=8,CO33=13),104,IF(CO32&lt;=0,0,IF(WEEKDAY(CO$6,1)=1,0,IF(WEEKDAY(CO$6,1)=7,CO32*CO33,MAX(0,CO33-8)*CO32)))+((IF(CO32&lt;=0,0,IF(WEEKDAY(CO$6,1)=1,0,IF(WEEKDAY(CO$6,1)=7,0,MIN(8,CO33)*CO32))))-MIN(IF(CO32&lt;=0,0,IF(WEEKDAY(CO$6,1)=1,0,IF(WEEKDAY(CO$6,1)=7,0,MIN(8,CO33)*CO32))),MAX(0,40*MAX(1,CO32)-(CJ34+CK34+CL34+CM34+CN34)))))</f>
        <v>104</v>
      </c>
      <c r="CP35" s="64">
        <f>IF(AND(CP32=0,CP33=0),0,IF(CP32&lt;=0,0,IF(WEEKDAY(CP$6,1)=1,0,IF(WEEKDAY(CP$6,1)=7,CP32*CP33,MAX(0,CP33-8)*CP32)))+((IF(CP32&lt;=0,0,IF(WEEKDAY(CP$6,1)=1,0,IF(WEEKDAY(CP$6,1)=7,0,MIN(8,CP33)*CP32))))-MIN(IF(CP32&lt;=0,0,IF(WEEKDAY(CP$6,1)=1,0,IF(WEEKDAY(CP$6,1)=7,0,MIN(8,CP33)*CP32))),MAX(0,40*MAX(1,CP32)-(0)))))</f>
        <v>0</v>
      </c>
      <c r="CQ35" s="63">
        <f>IF(AND(CQ32=8,CQ33=13),40,IF(CQ32&lt;=0,0,IF(WEEKDAY(CQ$6,1)=1,0,IF(WEEKDAY(CQ$6,1)=7,CQ32*CQ33,MAX(0,CQ33-8)*CQ32)))+((IF(CQ32&lt;=0,0,IF(WEEKDAY(CQ$6,1)=1,0,IF(WEEKDAY(CQ$6,1)=7,0,MIN(8,CQ33)*CQ32))))-MIN(IF(CQ32&lt;=0,0,IF(WEEKDAY(CQ$6,1)=1,0,IF(WEEKDAY(CQ$6,1)=7,0,MIN(8,CQ33)*CQ32))),MAX(0,40*MAX(1,CQ32)-(0)))))</f>
        <v>40</v>
      </c>
      <c r="CR35" s="63">
        <f>IF(AND(CR32=8,CR33=13),40,IF(CR32&lt;=0,0,IF(WEEKDAY(CR$6,1)=1,0,IF(WEEKDAY(CR$6,1)=7,CR32*CR33,MAX(0,CR33-8)*CR32)))+((IF(CR32&lt;=0,0,IF(WEEKDAY(CR$6,1)=1,0,IF(WEEKDAY(CR$6,1)=7,0,MIN(8,CR33)*CR32))))-MIN(IF(CR32&lt;=0,0,IF(WEEKDAY(CR$6,1)=1,0,IF(WEEKDAY(CR$6,1)=7,0,MIN(8,CR33)*CR32))),MAX(0,40*MAX(1,CR32)-(CQ34)))))</f>
        <v>40</v>
      </c>
      <c r="CS35" s="63">
        <f>IF(AND(CS32=8,CS33=13),40,IF(CS32&lt;=0,0,IF(WEEKDAY(CS$6,1)=1,0,IF(WEEKDAY(CS$6,1)=7,CS32*CS33,MAX(0,CS33-8)*CS32)))+((IF(CS32&lt;=0,0,IF(WEEKDAY(CS$6,1)=1,0,IF(WEEKDAY(CS$6,1)=7,0,MIN(8,CS33)*CS32))))-MIN(IF(CS32&lt;=0,0,IF(WEEKDAY(CS$6,1)=1,0,IF(WEEKDAY(CS$6,1)=7,0,MIN(8,CS33)*CS32))),MAX(0,40*MAX(1,CS32)-(CQ34+CR34)))))</f>
        <v>40</v>
      </c>
      <c r="CT35" s="63">
        <f>IF(AND(CT32=8,CT33=13),40,IF(CT32&lt;=0,0,IF(WEEKDAY(CT$6,1)=1,0,IF(WEEKDAY(CT$6,1)=7,CT32*CT33,MAX(0,CT33-8)*CT32)))+((IF(CT32&lt;=0,0,IF(WEEKDAY(CT$6,1)=1,0,IF(WEEKDAY(CT$6,1)=7,0,MIN(8,CT33)*CT32))))-MIN(IF(CT32&lt;=0,0,IF(WEEKDAY(CT$6,1)=1,0,IF(WEEKDAY(CT$6,1)=7,0,MIN(8,CT33)*CT32))),MAX(0,40*MAX(1,CT32)-(CQ34+CR34+CS34)))))</f>
        <v>40</v>
      </c>
      <c r="CU35" s="63">
        <f>IF(AND(CU32=8,CU33=13),40,IF(CU32&lt;=0,0,IF(WEEKDAY(CU$6,1)=1,0,IF(WEEKDAY(CU$6,1)=7,CU32*CU33,MAX(0,CU33-8)*CU32)))+((IF(CU32&lt;=0,0,IF(WEEKDAY(CU$6,1)=1,0,IF(WEEKDAY(CU$6,1)=7,0,MIN(8,CU33)*CU32))))-MIN(IF(CU32&lt;=0,0,IF(WEEKDAY(CU$6,1)=1,0,IF(WEEKDAY(CU$6,1)=7,0,MIN(8,CU33)*CU32))),MAX(0,40*MAX(1,CU32)-(CQ34+CR34+CS34+CT34)))))</f>
        <v>40</v>
      </c>
      <c r="CV35" s="64">
        <f>IF(AND(CV32=8,CV33=13),104,IF(CV32&lt;=0,0,IF(WEEKDAY(CV$6,1)=1,0,IF(WEEKDAY(CV$6,1)=7,CV32*CV33,MAX(0,CV33-8)*CV32)))+((IF(CV32&lt;=0,0,IF(WEEKDAY(CV$6,1)=1,0,IF(WEEKDAY(CV$6,1)=7,0,MIN(8,CV33)*CV32))))-MIN(IF(CV32&lt;=0,0,IF(WEEKDAY(CV$6,1)=1,0,IF(WEEKDAY(CV$6,1)=7,0,MIN(8,CV33)*CV32))),MAX(0,40*MAX(1,CV32)-(CQ34+CR34+CS34+CT34+CU34)))))</f>
        <v>104</v>
      </c>
      <c r="CW35" s="64">
        <f>IF(AND(CW32=8,CW33=13),0,IF(CW32&lt;=0,0,IF(WEEKDAY(CW$6,1)=1,0,IF(WEEKDAY(CW$6,1)=7,CW32*CW33,MAX(0,CW33-8)*CW32)))+((IF(CW32&lt;=0,0,IF(WEEKDAY(CW$6,1)=1,0,IF(WEEKDAY(CW$6,1)=7,0,MIN(8,CW33)*CW32))))-MIN(IF(CW32&lt;=0,0,IF(WEEKDAY(CW$6,1)=1,0,IF(WEEKDAY(CW$6,1)=7,0,MIN(8,CW33)*CW32))),MAX(0,40*MAX(1,CW32)-(CQ34+CR34+CS34+CT34+CU34+CV34)))))</f>
        <v>0</v>
      </c>
      <c r="CX35" s="63">
        <f>IF(AND(CX32=8,CX33=13),40,IF(CX32&lt;=0,0,IF(WEEKDAY(CX$6,1)=1,0,IF(WEEKDAY(CX$6,1)=7,CX32*CX33,MAX(0,CX33-8)*CX32)))+((IF(CX32&lt;=0,0,IF(WEEKDAY(CX$6,1)=1,0,IF(WEEKDAY(CX$6,1)=7,0,MIN(8,CX33)*CX32))))-MIN(IF(CX32&lt;=0,0,IF(WEEKDAY(CX$6,1)=1,0,IF(WEEKDAY(CX$6,1)=7,0,MIN(8,CX33)*CX32))),MAX(0,40*MAX(1,CX32)-(0)))))</f>
        <v>40</v>
      </c>
      <c r="CY35" s="63">
        <f>IF(AND(CY32=8,CY33=13),40,IF(CY32&lt;=0,0,IF(WEEKDAY(CY$6,1)=1,0,IF(WEEKDAY(CY$6,1)=7,CY32*CY33,MAX(0,CY33-8)*CY32)))+((IF(CY32&lt;=0,0,IF(WEEKDAY(CY$6,1)=1,0,IF(WEEKDAY(CY$6,1)=7,0,MIN(8,CY33)*CY32))))-MIN(IF(CY32&lt;=0,0,IF(WEEKDAY(CY$6,1)=1,0,IF(WEEKDAY(CY$6,1)=7,0,MIN(8,CY33)*CY32))),MAX(0,40*MAX(1,CY32)-(CX34)))))</f>
        <v>40</v>
      </c>
      <c r="CZ35" s="63">
        <f>IF(AND(CZ32=8,CZ33=13),40,IF(CZ32&lt;=0,0,IF(WEEKDAY(CZ$6,1)=1,0,IF(WEEKDAY(CZ$6,1)=7,CZ32*CZ33,MAX(0,CZ33-8)*CZ32)))+((IF(CZ32&lt;=0,0,IF(WEEKDAY(CZ$6,1)=1,0,IF(WEEKDAY(CZ$6,1)=7,0,MIN(8,CZ33)*CZ32))))-MIN(IF(CZ32&lt;=0,0,IF(WEEKDAY(CZ$6,1)=1,0,IF(WEEKDAY(CZ$6,1)=7,0,MIN(8,CZ33)*CZ32))),MAX(0,40*MAX(1,CZ32)-(CX34+CY34)))))</f>
        <v>40</v>
      </c>
      <c r="DA35" s="63">
        <f>IF(AND(DA32=8,DA33=13),40,IF(DA32&lt;=0,0,IF(WEEKDAY(DA$6,1)=1,0,IF(WEEKDAY(DA$6,1)=7,DA32*DA33,MAX(0,DA33-8)*DA32)))+((IF(DA32&lt;=0,0,IF(WEEKDAY(DA$6,1)=1,0,IF(WEEKDAY(DA$6,1)=7,0,MIN(8,DA33)*DA32))))-MIN(IF(DA32&lt;=0,0,IF(WEEKDAY(DA$6,1)=1,0,IF(WEEKDAY(DA$6,1)=7,0,MIN(8,DA33)*DA32))),MAX(0,40*MAX(1,DA32)-(CX34+CY34+CZ34)))))</f>
        <v>40</v>
      </c>
      <c r="DB35" s="63">
        <f>IF(AND(DB32=8,DB33=13),40,IF(DB32&lt;=0,0,IF(WEEKDAY(DB$6,1)=1,0,IF(WEEKDAY(DB$6,1)=7,DB32*DB33,MAX(0,DB33-8)*DB32)))+((IF(DB32&lt;=0,0,IF(WEEKDAY(DB$6,1)=1,0,IF(WEEKDAY(DB$6,1)=7,0,MIN(8,DB33)*DB32))))-MIN(IF(DB32&lt;=0,0,IF(WEEKDAY(DB$6,1)=1,0,IF(WEEKDAY(DB$6,1)=7,0,MIN(8,DB33)*DB32))),MAX(0,40*MAX(1,DB32)-(CX34+CY34+CZ34+DA34)))))</f>
        <v>40</v>
      </c>
      <c r="DC35" s="64">
        <f>IF(AND(DC32=8,DC33=13),104,IF(DC32&lt;=0,0,IF(WEEKDAY(DC$6,1)=1,0,IF(WEEKDAY(DC$6,1)=7,DC32*DC33,MAX(0,DC33-8)*DC32)))+((IF(DC32&lt;=0,0,IF(WEEKDAY(DC$6,1)=1,0,IF(WEEKDAY(DC$6,1)=7,0,MIN(8,DC33)*DC32))))-MIN(IF(DC32&lt;=0,0,IF(WEEKDAY(DC$6,1)=1,0,IF(WEEKDAY(DC$6,1)=7,0,MIN(8,DC33)*DC32))),MAX(0,40*MAX(1,DC32)-(CX34+CY34+CZ34+DA34+DB34)))))</f>
        <v>104</v>
      </c>
      <c r="DD35" s="64">
        <f>IF(AND(DD32=2,DD33=10),0,IF(DD32&lt;=0,0,IF(WEEKDAY(DD$6,1)=1,0,IF(WEEKDAY(DD$6,1)=7,DD32*DD33,MAX(0,DD33-8)*DD32)))+((IF(DD32&lt;=0,0,IF(WEEKDAY(DD$6,1)=1,0,IF(WEEKDAY(DD$6,1)=7,0,MIN(8,DD33)*DD32))))-MIN(IF(DD32&lt;=0,0,IF(WEEKDAY(DD$6,1)=1,0,IF(WEEKDAY(DD$6,1)=7,0,MIN(8,DD33)*DD32))),MAX(0,40*MAX(1,DD32)-(0)))))</f>
        <v>0</v>
      </c>
      <c r="DE35" s="63">
        <f>IF(AND(DE32=2,DE33=10),4,IF(DE32&lt;=0,0,IF(WEEKDAY(DE$6,1)=1,0,IF(WEEKDAY(DE$6,1)=7,DE32*DE33,MAX(0,DE33-8)*DE32)))+((IF(DE32&lt;=0,0,IF(WEEKDAY(DE$6,1)=1,0,IF(WEEKDAY(DE$6,1)=7,0,MIN(8,DE33)*DE32))))-MIN(IF(DE32&lt;=0,0,IF(WEEKDAY(DE$6,1)=1,0,IF(WEEKDAY(DE$6,1)=7,0,MIN(8,DE33)*DE32))),MAX(0,40*MAX(1,DE32)-(0)))))</f>
        <v>4</v>
      </c>
      <c r="DF35" s="63">
        <f>IF(AND(DF32=2,DF33=10),4,IF(DF32&lt;=0,0,IF(WEEKDAY(DF$6,1)=1,0,IF(WEEKDAY(DF$6,1)=7,DF32*DF33,MAX(0,DF33-8)*DF32)))+((IF(DF32&lt;=0,0,IF(WEEKDAY(DF$6,1)=1,0,IF(WEEKDAY(DF$6,1)=7,0,MIN(8,DF33)*DF32))))-MIN(IF(DF32&lt;=0,0,IF(WEEKDAY(DF$6,1)=1,0,IF(WEEKDAY(DF$6,1)=7,0,MIN(8,DF33)*DF32))),MAX(0,40*MAX(1,DF32)-(DE34)))))</f>
        <v>4</v>
      </c>
      <c r="DG35" s="63">
        <f>IF(AND(DG32=2,DG33=10),4,IF(DG32&lt;=0,0,IF(WEEKDAY(DG$6,1)=1,0,IF(WEEKDAY(DG$6,1)=7,DG32*DG33,MAX(0,DG33-8)*DG32)))+((IF(DG32&lt;=0,0,IF(WEEKDAY(DG$6,1)=1,0,IF(WEEKDAY(DG$6,1)=7,0,MIN(8,DG33)*DG32))))-MIN(IF(DG32&lt;=0,0,IF(WEEKDAY(DG$6,1)=1,0,IF(WEEKDAY(DG$6,1)=7,0,MIN(8,DG33)*DG32))),MAX(0,40*MAX(1,DG32)-(DE34+DF34)))))</f>
        <v>4</v>
      </c>
      <c r="DH35" s="63">
        <f>IF(AND(DH32=2,DH33=10),4,IF(DH32&lt;=0,0,IF(WEEKDAY(DH$6,1)=1,0,IF(WEEKDAY(DH$6,1)=7,DH32*DH33,MAX(0,DH33-8)*DH32)))+((IF(DH32&lt;=0,0,IF(WEEKDAY(DH$6,1)=1,0,IF(WEEKDAY(DH$6,1)=7,0,MIN(8,DH33)*DH32))))-MIN(IF(DH32&lt;=0,0,IF(WEEKDAY(DH$6,1)=1,0,IF(WEEKDAY(DH$6,1)=7,0,MIN(8,DH33)*DH32))),MAX(0,40*MAX(1,DH32)-(DE34+DF34+DG34)))))</f>
        <v>4</v>
      </c>
      <c r="DI35" s="63">
        <f>IF(AND(DI32=2,DI33=10),4,IF(DI32&lt;=0,0,IF(WEEKDAY(DI$6,1)=1,0,IF(WEEKDAY(DI$6,1)=7,DI32*DI33,MAX(0,DI33-8)*DI32)))+((IF(DI32&lt;=0,0,IF(WEEKDAY(DI$6,1)=1,0,IF(WEEKDAY(DI$6,1)=7,0,MIN(8,DI33)*DI32))))-MIN(IF(DI32&lt;=0,0,IF(WEEKDAY(DI$6,1)=1,0,IF(WEEKDAY(DI$6,1)=7,0,MIN(8,DI33)*DI32))),MAX(0,40*MAX(1,DI32)-(DE34+DF34+DG34+DH34)))))</f>
        <v>4</v>
      </c>
      <c r="DJ35" s="64">
        <f>IF(AND(DJ32=2,DJ33=10),20,IF(DJ32&lt;=0,0,IF(WEEKDAY(DJ$6,1)=1,0,IF(WEEKDAY(DJ$6,1)=7,DJ32*DJ33,MAX(0,DJ33-8)*DJ32)))+((IF(DJ32&lt;=0,0,IF(WEEKDAY(DJ$6,1)=1,0,IF(WEEKDAY(DJ$6,1)=7,0,MIN(8,DJ33)*DJ32))))-MIN(IF(DJ32&lt;=0,0,IF(WEEKDAY(DJ$6,1)=1,0,IF(WEEKDAY(DJ$6,1)=7,0,MIN(8,DJ33)*DJ32))),MAX(0,40*MAX(1,DJ32)-(DE34+DF34+DG34+DH34+DI34)))))</f>
        <v>20</v>
      </c>
      <c r="DK35" s="64">
        <f>IF(AND(DK32=0,DK33=0),0,IF(DK32&lt;=0,0,IF(WEEKDAY(DK$6,1)=1,0,IF(WEEKDAY(DK$6,1)=7,DK32*DK33,MAX(0,DK33-8)*DK32)))+((IF(DK32&lt;=0,0,IF(WEEKDAY(DK$6,1)=1,0,IF(WEEKDAY(DK$6,1)=7,0,MIN(8,DK33)*DK32))))-MIN(IF(DK32&lt;=0,0,IF(WEEKDAY(DK$6,1)=1,0,IF(WEEKDAY(DK$6,1)=7,0,MIN(8,DK33)*DK32))),MAX(0,40*MAX(1,DK32)-(0)))))</f>
        <v>0</v>
      </c>
      <c r="DL35" s="63">
        <f>IF(AND(DL32=2,DL33=10),4,IF(DL32&lt;=0,0,IF(WEEKDAY(DL$6,1)=1,0,IF(WEEKDAY(DL$6,1)=7,DL32*DL33,MAX(0,DL33-8)*DL32)))+((IF(DL32&lt;=0,0,IF(WEEKDAY(DL$6,1)=1,0,IF(WEEKDAY(DL$6,1)=7,0,MIN(8,DL33)*DL32))))-MIN(IF(DL32&lt;=0,0,IF(WEEKDAY(DL$6,1)=1,0,IF(WEEKDAY(DL$6,1)=7,0,MIN(8,DL33)*DL32))),MAX(0,40*MAX(1,DL32)-(0)))))</f>
        <v>4</v>
      </c>
      <c r="DM35" s="63">
        <f>IF(AND(DM32=2,DM33=10),4,IF(DM32&lt;=0,0,IF(WEEKDAY(DM$6,1)=1,0,IF(WEEKDAY(DM$6,1)=7,DM32*DM33,MAX(0,DM33-8)*DM32)))+((IF(DM32&lt;=0,0,IF(WEEKDAY(DM$6,1)=1,0,IF(WEEKDAY(DM$6,1)=7,0,MIN(8,DM33)*DM32))))-MIN(IF(DM32&lt;=0,0,IF(WEEKDAY(DM$6,1)=1,0,IF(WEEKDAY(DM$6,1)=7,0,MIN(8,DM33)*DM32))),MAX(0,40*MAX(1,DM32)-(DL34)))))</f>
        <v>4</v>
      </c>
      <c r="DN35" s="63">
        <f>IF(AND(DN32=2,DN33=10),4,IF(DN32&lt;=0,0,IF(WEEKDAY(DN$6,1)=1,0,IF(WEEKDAY(DN$6,1)=7,DN32*DN33,MAX(0,DN33-8)*DN32)))+((IF(DN32&lt;=0,0,IF(WEEKDAY(DN$6,1)=1,0,IF(WEEKDAY(DN$6,1)=7,0,MIN(8,DN33)*DN32))))-MIN(IF(DN32&lt;=0,0,IF(WEEKDAY(DN$6,1)=1,0,IF(WEEKDAY(DN$6,1)=7,0,MIN(8,DN33)*DN32))),MAX(0,40*MAX(1,DN32)-(DL34+DM34)))))</f>
        <v>4</v>
      </c>
      <c r="DO35" s="63">
        <f>IF(AND(DO32=2,DO33=10),4,IF(DO32&lt;=0,0,IF(WEEKDAY(DO$6,1)=1,0,IF(WEEKDAY(DO$6,1)=7,DO32*DO33,MAX(0,DO33-8)*DO32)))+((IF(DO32&lt;=0,0,IF(WEEKDAY(DO$6,1)=1,0,IF(WEEKDAY(DO$6,1)=7,0,MIN(8,DO33)*DO32))))-MIN(IF(DO32&lt;=0,0,IF(WEEKDAY(DO$6,1)=1,0,IF(WEEKDAY(DO$6,1)=7,0,MIN(8,DO33)*DO32))),MAX(0,40*MAX(1,DO32)-(DL34+DM34+DN34)))))</f>
        <v>4</v>
      </c>
      <c r="DP35" s="63">
        <f>IF(AND(DP32=2,DP33=10),4,IF(DP32&lt;=0,0,IF(WEEKDAY(DP$6,1)=1,0,IF(WEEKDAY(DP$6,1)=7,DP32*DP33,MAX(0,DP33-8)*DP32)))+((IF(DP32&lt;=0,0,IF(WEEKDAY(DP$6,1)=1,0,IF(WEEKDAY(DP$6,1)=7,0,MIN(8,DP33)*DP32))))-MIN(IF(DP32&lt;=0,0,IF(WEEKDAY(DP$6,1)=1,0,IF(WEEKDAY(DP$6,1)=7,0,MIN(8,DP33)*DP32))),MAX(0,40*MAX(1,DP32)-(DL34+DM34+DN34+DO34)))))</f>
        <v>4</v>
      </c>
      <c r="DQ35" s="64">
        <f>IF(AND(DQ32=2,DQ33=10),20,IF(DQ32&lt;=0,0,IF(WEEKDAY(DQ$6,1)=1,0,IF(WEEKDAY(DQ$6,1)=7,DQ32*DQ33,MAX(0,DQ33-8)*DQ32)))+((IF(DQ32&lt;=0,0,IF(WEEKDAY(DQ$6,1)=1,0,IF(WEEKDAY(DQ$6,1)=7,0,MIN(8,DQ33)*DQ32))))-MIN(IF(DQ32&lt;=0,0,IF(WEEKDAY(DQ$6,1)=1,0,IF(WEEKDAY(DQ$6,1)=7,0,MIN(8,DQ33)*DQ32))),MAX(0,40*MAX(1,DQ32)-(DL34+DM34+DN34+DO34+DP34)))))</f>
        <v>20</v>
      </c>
      <c r="DR35" s="64">
        <f>IF(AND(DR32=2,DR33=10),0,IF(DR32&lt;=0,0,IF(WEEKDAY(DR$6,1)=1,0,IF(WEEKDAY(DR$6,1)=7,DR32*DR33,MAX(0,DR33-8)*DR32)))+((IF(DR32&lt;=0,0,IF(WEEKDAY(DR$6,1)=1,0,IF(WEEKDAY(DR$6,1)=7,0,MIN(8,DR33)*DR32))))-MIN(IF(DR32&lt;=0,0,IF(WEEKDAY(DR$6,1)=1,0,IF(WEEKDAY(DR$6,1)=7,0,MIN(8,DR33)*DR32))),MAX(0,40*MAX(1,DR32)-(DL34+DM34+DN34+DO34+DP34+DQ34)))))</f>
        <v>0</v>
      </c>
      <c r="DS35" s="63">
        <f>IF(AND(DS32=2,DS33=10),4,IF(DS32&lt;=0,0,IF(WEEKDAY(DS$6,1)=1,0,IF(WEEKDAY(DS$6,1)=7,DS32*DS33,MAX(0,DS33-8)*DS32)))+((IF(DS32&lt;=0,0,IF(WEEKDAY(DS$6,1)=1,0,IF(WEEKDAY(DS$6,1)=7,0,MIN(8,DS33)*DS32))))-MIN(IF(DS32&lt;=0,0,IF(WEEKDAY(DS$6,1)=1,0,IF(WEEKDAY(DS$6,1)=7,0,MIN(8,DS33)*DS32))),MAX(0,40*MAX(1,DS32)-(0)))))</f>
        <v>4</v>
      </c>
      <c r="DT35" s="63">
        <f>IF(AND(DT32=0,DT33=0),0,IF(DT32&lt;=0,0,IF(WEEKDAY(DT$6,1)=1,0,IF(WEEKDAY(DT$6,1)=7,DT32*DT33,MAX(0,DT33-8)*DT32)))+((IF(DT32&lt;=0,0,IF(WEEKDAY(DT$6,1)=1,0,IF(WEEKDAY(DT$6,1)=7,0,MIN(8,DT33)*DT32))))-MIN(IF(DT32&lt;=0,0,IF(WEEKDAY(DT$6,1)=1,0,IF(WEEKDAY(DT$6,1)=7,0,MIN(8,DT33)*DT32))),MAX(0,40*MAX(1,DT32)-(0)))))</f>
        <v>0</v>
      </c>
      <c r="DU35" s="63">
        <f>IF(AND(DU32=0,DU33=0),0,IF(DU32&lt;=0,0,IF(WEEKDAY(DU$6,1)=1,0,IF(WEEKDAY(DU$6,1)=7,DU32*DU33,MAX(0,DU33-8)*DU32)))+((IF(DU32&lt;=0,0,IF(WEEKDAY(DU$6,1)=1,0,IF(WEEKDAY(DU$6,1)=7,0,MIN(8,DU33)*DU32))))-MIN(IF(DU32&lt;=0,0,IF(WEEKDAY(DU$6,1)=1,0,IF(WEEKDAY(DU$6,1)=7,0,MIN(8,DU33)*DU32))),MAX(0,40*MAX(1,DU32)-(DT34)))))</f>
        <v>0</v>
      </c>
      <c r="DV35" s="63">
        <f>IF(AND(DV32=0,DV33=0),0,IF(DV32&lt;=0,0,IF(WEEKDAY(DV$6,1)=1,0,IF(WEEKDAY(DV$6,1)=7,DV32*DV33,MAX(0,DV33-8)*DV32)))+((IF(DV32&lt;=0,0,IF(WEEKDAY(DV$6,1)=1,0,IF(WEEKDAY(DV$6,1)=7,0,MIN(8,DV33)*DV32))))-MIN(IF(DV32&lt;=0,0,IF(WEEKDAY(DV$6,1)=1,0,IF(WEEKDAY(DV$6,1)=7,0,MIN(8,DV33)*DV32))),MAX(0,40*MAX(1,DV32)-(DT34+DU34)))))</f>
        <v>0</v>
      </c>
      <c r="DW35" s="63">
        <f>IF(AND(DW32=0,DW33=0),0,IF(DW32&lt;=0,0,IF(WEEKDAY(DW$6,1)=1,0,IF(WEEKDAY(DW$6,1)=7,DW32*DW33,MAX(0,DW33-8)*DW32)))+((IF(DW32&lt;=0,0,IF(WEEKDAY(DW$6,1)=1,0,IF(WEEKDAY(DW$6,1)=7,0,MIN(8,DW33)*DW32))))-MIN(IF(DW32&lt;=0,0,IF(WEEKDAY(DW$6,1)=1,0,IF(WEEKDAY(DW$6,1)=7,0,MIN(8,DW33)*DW32))),MAX(0,40*MAX(1,DW32)-(DT34+DU34+DV34)))))</f>
        <v>0</v>
      </c>
      <c r="DX35" s="64">
        <f>IF(AND(DX32=0,DX33=0),0,IF(DX32&lt;=0,0,IF(WEEKDAY(DX$6,1)=1,0,IF(WEEKDAY(DX$6,1)=7,DX32*DX33,MAX(0,DX33-8)*DX32)))+((IF(DX32&lt;=0,0,IF(WEEKDAY(DX$6,1)=1,0,IF(WEEKDAY(DX$6,1)=7,0,MIN(8,DX33)*DX32))))-MIN(IF(DX32&lt;=0,0,IF(WEEKDAY(DX$6,1)=1,0,IF(WEEKDAY(DX$6,1)=7,0,MIN(8,DX33)*DX32))),MAX(0,40*MAX(1,DX32)-(DT34+DU34+DV34+DW34)))))</f>
        <v>0</v>
      </c>
      <c r="DY35" s="64">
        <f>IF(AND(DY32=0,DY33=0),0,IF(DY32&lt;=0,0,IF(WEEKDAY(DY$6,1)=1,0,IF(WEEKDAY(DY$6,1)=7,DY32*DY33,MAX(0,DY33-8)*DY32)))+((IF(DY32&lt;=0,0,IF(WEEKDAY(DY$6,1)=1,0,IF(WEEKDAY(DY$6,1)=7,0,MIN(8,DY33)*DY32))))-MIN(IF(DY32&lt;=0,0,IF(WEEKDAY(DY$6,1)=1,0,IF(WEEKDAY(DY$6,1)=7,0,MIN(8,DY33)*DY32))),MAX(0,40*MAX(1,DY32)-(DT34+DU34+DV34+DW34+DX34)))))</f>
        <v>0</v>
      </c>
      <c r="DZ35" s="63">
        <f>IF(AND(DZ32=0,DZ33=0),0,IF(DZ32&lt;=0,0,IF(WEEKDAY(DZ$6,1)=1,0,IF(WEEKDAY(DZ$6,1)=7,DZ32*DZ33,MAX(0,DZ33-8)*DZ32)))+((IF(DZ32&lt;=0,0,IF(WEEKDAY(DZ$6,1)=1,0,IF(WEEKDAY(DZ$6,1)=7,0,MIN(8,DZ33)*DZ32))))-MIN(IF(DZ32&lt;=0,0,IF(WEEKDAY(DZ$6,1)=1,0,IF(WEEKDAY(DZ$6,1)=7,0,MIN(8,DZ33)*DZ32))),MAX(0,40*MAX(1,DZ32)-(0)))))</f>
        <v>0</v>
      </c>
      <c r="EA35" s="63">
        <f>IF(AND(EA32=0,EA33=0),0,IF(EA32&lt;=0,0,IF(WEEKDAY(EA$6,1)=1,0,IF(WEEKDAY(EA$6,1)=7,EA32*EA33,MAX(0,EA33-8)*EA32)))+((IF(EA32&lt;=0,0,IF(WEEKDAY(EA$6,1)=1,0,IF(WEEKDAY(EA$6,1)=7,0,MIN(8,EA33)*EA32))))-MIN(IF(EA32&lt;=0,0,IF(WEEKDAY(EA$6,1)=1,0,IF(WEEKDAY(EA$6,1)=7,0,MIN(8,EA33)*EA32))),MAX(0,40*MAX(1,EA32)-(DZ34)))))</f>
        <v>0</v>
      </c>
      <c r="EB35" s="63">
        <f>IF(AND(EB32=0,EB33=0),0,IF(EB32&lt;=0,0,IF(WEEKDAY(EB$6,1)=1,0,IF(WEEKDAY(EB$6,1)=7,EB32*EB33,MAX(0,EB33-8)*EB32)))+((IF(EB32&lt;=0,0,IF(WEEKDAY(EB$6,1)=1,0,IF(WEEKDAY(EB$6,1)=7,0,MIN(8,EB33)*EB32))))-MIN(IF(EB32&lt;=0,0,IF(WEEKDAY(EB$6,1)=1,0,IF(WEEKDAY(EB$6,1)=7,0,MIN(8,EB33)*EB32))),MAX(0,40*MAX(1,EB32)-(DZ34+EA34)))))</f>
        <v>0</v>
      </c>
      <c r="EC35" s="63">
        <f>IF(AND(EC32=0,EC33=0),0,IF(EC32&lt;=0,0,IF(WEEKDAY(EC$6,1)=1,0,IF(WEEKDAY(EC$6,1)=7,EC32*EC33,MAX(0,EC33-8)*EC32)))+((IF(EC32&lt;=0,0,IF(WEEKDAY(EC$6,1)=1,0,IF(WEEKDAY(EC$6,1)=7,0,MIN(8,EC33)*EC32))))-MIN(IF(EC32&lt;=0,0,IF(WEEKDAY(EC$6,1)=1,0,IF(WEEKDAY(EC$6,1)=7,0,MIN(8,EC33)*EC32))),MAX(0,40*MAX(1,EC32)-(DZ34+EA34+EB34)))))</f>
        <v>0</v>
      </c>
      <c r="ED35" s="63">
        <f>IF(AND(ED32=0,ED33=0),0,IF(ED32&lt;=0,0,IF(WEEKDAY(ED$6,1)=1,0,IF(WEEKDAY(ED$6,1)=7,ED32*ED33,MAX(0,ED33-8)*ED32)))+((IF(ED32&lt;=0,0,IF(WEEKDAY(ED$6,1)=1,0,IF(WEEKDAY(ED$6,1)=7,0,MIN(8,ED33)*ED32))))-MIN(IF(ED32&lt;=0,0,IF(WEEKDAY(ED$6,1)=1,0,IF(WEEKDAY(ED$6,1)=7,0,MIN(8,ED33)*ED32))),MAX(0,40*MAX(1,ED32)-(DZ34+EA34+EB34+EC34)))))</f>
        <v>0</v>
      </c>
      <c r="EE35" s="64">
        <f>IF(AND(EE32=0,EE33=0),0,IF(EE32&lt;=0,0,IF(WEEKDAY(EE$6,1)=1,0,IF(WEEKDAY(EE$6,1)=7,EE32*EE33,MAX(0,EE33-8)*EE32)))+((IF(EE32&lt;=0,0,IF(WEEKDAY(EE$6,1)=1,0,IF(WEEKDAY(EE$6,1)=7,0,MIN(8,EE33)*EE32))))-MIN(IF(EE32&lt;=0,0,IF(WEEKDAY(EE$6,1)=1,0,IF(WEEKDAY(EE$6,1)=7,0,MIN(8,EE33)*EE32))),MAX(0,40*MAX(1,EE32)-(DZ34+EA34+EB34+EC34+ED34)))))</f>
        <v>0</v>
      </c>
      <c r="EF35" s="64">
        <f>IF(AND(EF32=0,EF33=0),0,IF(EF32&lt;=0,0,IF(WEEKDAY(EF$6,1)=1,0,IF(WEEKDAY(EF$6,1)=7,EF32*EF33,MAX(0,EF33-8)*EF32)))+((IF(EF32&lt;=0,0,IF(WEEKDAY(EF$6,1)=1,0,IF(WEEKDAY(EF$6,1)=7,0,MIN(8,EF33)*EF32))))-MIN(IF(EF32&lt;=0,0,IF(WEEKDAY(EF$6,1)=1,0,IF(WEEKDAY(EF$6,1)=7,0,MIN(8,EF33)*EF32))),MAX(0,40*MAX(1,EF32)-(DZ34+EA34+EB34+EC34+ED34+EE34)))))</f>
        <v>0</v>
      </c>
      <c r="EG35" s="63">
        <f>IF(AND(EG32=0,EG33=0),0,IF(EG32&lt;=0,0,IF(WEEKDAY(EG$6,1)=1,0,IF(WEEKDAY(EG$6,1)=7,EG32*EG33,MAX(0,EG33-8)*EG32)))+((IF(EG32&lt;=0,0,IF(WEEKDAY(EG$6,1)=1,0,IF(WEEKDAY(EG$6,1)=7,0,MIN(8,EG33)*EG32))))-MIN(IF(EG32&lt;=0,0,IF(WEEKDAY(EG$6,1)=1,0,IF(WEEKDAY(EG$6,1)=7,0,MIN(8,EG33)*EG32))),MAX(0,40*MAX(1,EG32)-(0)))))</f>
        <v>0</v>
      </c>
      <c r="EH35" s="63">
        <f>IF(AND(EH32=0,EH33=0),0,IF(EH32&lt;=0,0,IF(WEEKDAY(EH$6,1)=1,0,IF(WEEKDAY(EH$6,1)=7,EH32*EH33,MAX(0,EH33-8)*EH32)))+((IF(EH32&lt;=0,0,IF(WEEKDAY(EH$6,1)=1,0,IF(WEEKDAY(EH$6,1)=7,0,MIN(8,EH33)*EH32))))-MIN(IF(EH32&lt;=0,0,IF(WEEKDAY(EH$6,1)=1,0,IF(WEEKDAY(EH$6,1)=7,0,MIN(8,EH33)*EH32))),MAX(0,40*MAX(1,EH32)-(EG34)))))</f>
        <v>0</v>
      </c>
      <c r="EI35" s="63">
        <f>IF(AND(EI32=0,EI33=0),0,IF(EI32&lt;=0,0,IF(WEEKDAY(EI$6,1)=1,0,IF(WEEKDAY(EI$6,1)=7,EI32*EI33,MAX(0,EI33-8)*EI32)))+((IF(EI32&lt;=0,0,IF(WEEKDAY(EI$6,1)=1,0,IF(WEEKDAY(EI$6,1)=7,0,MIN(8,EI33)*EI32))))-MIN(IF(EI32&lt;=0,0,IF(WEEKDAY(EI$6,1)=1,0,IF(WEEKDAY(EI$6,1)=7,0,MIN(8,EI33)*EI32))),MAX(0,40*MAX(1,EI32)-(EG34+EH34)))))</f>
        <v>0</v>
      </c>
      <c r="EJ35" s="63">
        <f>IF(AND(EJ32=0,EJ33=0),0,IF(EJ32&lt;=0,0,IF(WEEKDAY(EJ$6,1)=1,0,IF(WEEKDAY(EJ$6,1)=7,EJ32*EJ33,MAX(0,EJ33-8)*EJ32)))+((IF(EJ32&lt;=0,0,IF(WEEKDAY(EJ$6,1)=1,0,IF(WEEKDAY(EJ$6,1)=7,0,MIN(8,EJ33)*EJ32))))-MIN(IF(EJ32&lt;=0,0,IF(WEEKDAY(EJ$6,1)=1,0,IF(WEEKDAY(EJ$6,1)=7,0,MIN(8,EJ33)*EJ32))),MAX(0,40*MAX(1,EJ32)-(EG34+EH34+EI34)))))</f>
        <v>0</v>
      </c>
      <c r="EK35" s="65">
        <f>IF(AND(EK32=0,EK33=0),0,IF(EK32&lt;=0,0,IF(WEEKDAY(EK$6,1)=1,0,IF(WEEKDAY(EK$6,1)=7,EK32*EK33,MAX(0,EK33-8)*EK32)))+((IF(EK32&lt;=0,0,IF(WEEKDAY(EK$6,1)=1,0,IF(WEEKDAY(EK$6,1)=7,0,MIN(8,EK33)*EK32))))-MIN(IF(EK32&lt;=0,0,IF(WEEKDAY(EK$6,1)=1,0,IF(WEEKDAY(EK$6,1)=7,0,MIN(8,EK33)*EK32))),MAX(0,40*MAX(1,EK32)-(EG34+EH34+EI34+EJ34)))))</f>
        <v>0</v>
      </c>
      <c r="OU35" s="28" t="s">
        <v>110</v>
      </c>
    </row>
    <row r="36" ht="16" customHeight="1" spans="1:411" x14ac:dyDescent="0.25">
      <c r="A36" s="74"/>
      <c r="B36" s="46"/>
      <c r="C36" s="61">
        <f>H31*N(D36)</f>
        <v>86512.31999999999</v>
      </c>
      <c r="D36" s="61">
        <f>IF(TRIM(B31)="","No rate",IFERROR(INDEX('Rate Tables'!E$7:E$158,MATCH(B31,'Rate Tables'!A$7:A$158,0)),"No rate"))</f>
        <v>189.72</v>
      </c>
      <c r="E36" s="55" t="s">
        <v>64</v>
      </c>
      <c r="F36" s="49"/>
      <c r="G36" s="49"/>
      <c r="H36" s="49"/>
      <c r="I36" s="49"/>
      <c r="J36" s="50"/>
      <c r="K36" s="62">
        <f>IF(AND(K32=0,K33=0),0,IF(K32&lt;=0,0,IF(WEEKDAY(K$6,1)=1,K32*K33,0)))</f>
        <v>0</v>
      </c>
      <c r="L36" s="63">
        <f>IF(AND(L32=0,L33=0),0,IF(L32&lt;=0,0,IF(WEEKDAY(L$6,1)=1,L32*L33,0)))</f>
        <v>0</v>
      </c>
      <c r="M36" s="63">
        <f>IF(AND(M32=0,M33=0),0,IF(M32&lt;=0,0,IF(WEEKDAY(M$6,1)=1,M32*M33,0)))</f>
        <v>0</v>
      </c>
      <c r="N36" s="63">
        <f>IF(AND(N32=0,N33=0),0,IF(N32&lt;=0,0,IF(WEEKDAY(N$6,1)=1,N32*N33,0)))</f>
        <v>0</v>
      </c>
      <c r="O36" s="63">
        <f>IF(AND(O32=0,O33=0),0,IF(O32&lt;=0,0,IF(WEEKDAY(O$6,1)=1,O32*O33,0)))</f>
        <v>0</v>
      </c>
      <c r="P36" s="64">
        <f>IF(AND(P32=0,P33=0),0,IF(P32&lt;=0,0,IF(WEEKDAY(P$6,1)=1,P32*P33,0)))</f>
        <v>0</v>
      </c>
      <c r="Q36" s="64">
        <f>IF(AND(Q32=0,Q33=0),0,IF(Q32&lt;=0,0,IF(WEEKDAY(Q$6,1)=1,Q32*Q33,0)))</f>
        <v>0</v>
      </c>
      <c r="R36" s="63">
        <f>IF(AND(R32=0,R33=0),0,IF(R32&lt;=0,0,IF(WEEKDAY(R$6,1)=1,R32*R33,0)))</f>
        <v>0</v>
      </c>
      <c r="S36" s="63">
        <f>IF(AND(S32=0,S33=0),0,IF(S32&lt;=0,0,IF(WEEKDAY(S$6,1)=1,S32*S33,0)))</f>
        <v>0</v>
      </c>
      <c r="T36" s="63">
        <f>IF(AND(T32=0,T33=0),0,IF(T32&lt;=0,0,IF(WEEKDAY(T$6,1)=1,T32*T33,0)))</f>
        <v>0</v>
      </c>
      <c r="U36" s="63">
        <f>IF(AND(U32=0,U33=0),0,IF(U32&lt;=0,0,IF(WEEKDAY(U$6,1)=1,U32*U33,0)))</f>
        <v>0</v>
      </c>
      <c r="V36" s="63">
        <f>IF(AND(V32=0,V33=0),0,IF(V32&lt;=0,0,IF(WEEKDAY(V$6,1)=1,V32*V33,0)))</f>
        <v>0</v>
      </c>
      <c r="W36" s="64">
        <f>IF(AND(W32=0,W33=0),0,IF(W32&lt;=0,0,IF(WEEKDAY(W$6,1)=1,W32*W33,0)))</f>
        <v>0</v>
      </c>
      <c r="X36" s="64">
        <f>IF(AND(X32=0,X33=0),0,IF(X32&lt;=0,0,IF(WEEKDAY(X$6,1)=1,X32*X33,0)))</f>
        <v>0</v>
      </c>
      <c r="Y36" s="63">
        <f>IF(AND(Y32=0,Y33=0),0,IF(Y32&lt;=0,0,IF(WEEKDAY(Y$6,1)=1,Y32*Y33,0)))</f>
        <v>0</v>
      </c>
      <c r="Z36" s="63">
        <f>IF(AND(Z32=0,Z33=0),0,IF(Z32&lt;=0,0,IF(WEEKDAY(Z$6,1)=1,Z32*Z33,0)))</f>
        <v>0</v>
      </c>
      <c r="AA36" s="63">
        <f>IF(AND(AA32=0,AA33=0),0,IF(AA32&lt;=0,0,IF(WEEKDAY(AA$6,1)=1,AA32*AA33,0)))</f>
        <v>0</v>
      </c>
      <c r="AB36" s="63">
        <f>IF(AND(AB32=0,AB33=0),0,IF(AB32&lt;=0,0,IF(WEEKDAY(AB$6,1)=1,AB32*AB33,0)))</f>
        <v>0</v>
      </c>
      <c r="AC36" s="63">
        <f>IF(AND(AC32=0,AC33=0),0,IF(AC32&lt;=0,0,IF(WEEKDAY(AC$6,1)=1,AC32*AC33,0)))</f>
        <v>0</v>
      </c>
      <c r="AD36" s="64">
        <f>IF(AND(AD32=0,AD33=0),0,IF(AD32&lt;=0,0,IF(WEEKDAY(AD$6,1)=1,AD32*AD33,0)))</f>
        <v>0</v>
      </c>
      <c r="AE36" s="64">
        <f>IF(AND(AE32=0,AE33=0),0,IF(AE32&lt;=0,0,IF(WEEKDAY(AE$6,1)=1,AE32*AE33,0)))</f>
        <v>0</v>
      </c>
      <c r="AF36" s="63">
        <f>IF(AND(AF32=0,AF33=0),0,IF(AF32&lt;=0,0,IF(WEEKDAY(AF$6,1)=1,AF32*AF33,0)))</f>
        <v>0</v>
      </c>
      <c r="AG36" s="63">
        <f>IF(AND(AG32=0,AG33=0),0,IF(AG32&lt;=0,0,IF(WEEKDAY(AG$6,1)=1,AG32*AG33,0)))</f>
        <v>0</v>
      </c>
      <c r="AH36" s="63">
        <f>IF(AND(AH32=0,AH33=0),0,IF(AH32&lt;=0,0,IF(WEEKDAY(AH$6,1)=1,AH32*AH33,0)))</f>
        <v>0</v>
      </c>
      <c r="AI36" s="63">
        <f>IF(AND(AI32=0,AI33=0),0,IF(AI32&lt;=0,0,IF(WEEKDAY(AI$6,1)=1,AI32*AI33,0)))</f>
        <v>0</v>
      </c>
      <c r="AJ36" s="63">
        <f>IF(AND(AJ32=0,AJ33=0),0,IF(AJ32&lt;=0,0,IF(WEEKDAY(AJ$6,1)=1,AJ32*AJ33,0)))</f>
        <v>0</v>
      </c>
      <c r="AK36" s="64">
        <f>IF(AND(AK32=0,AK33=0),0,IF(AK32&lt;=0,0,IF(WEEKDAY(AK$6,1)=1,AK32*AK33,0)))</f>
        <v>0</v>
      </c>
      <c r="AL36" s="64">
        <f>IF(AND(AL32=0,AL33=0),0,IF(AL32&lt;=0,0,IF(WEEKDAY(AL$6,1)=1,AL32*AL33,0)))</f>
        <v>0</v>
      </c>
      <c r="AM36" s="63">
        <f>IF(AND(AM32=0,AM33=0),0,IF(AM32&lt;=0,0,IF(WEEKDAY(AM$6,1)=1,AM32*AM33,0)))</f>
        <v>0</v>
      </c>
      <c r="AN36" s="63">
        <f>IF(AND(AN32=0,AN33=0),0,IF(AN32&lt;=0,0,IF(WEEKDAY(AN$6,1)=1,AN32*AN33,0)))</f>
        <v>0</v>
      </c>
      <c r="AO36" s="63">
        <f>IF(AND(AO32=0,AO33=0),0,IF(AO32&lt;=0,0,IF(WEEKDAY(AO$6,1)=1,AO32*AO33,0)))</f>
        <v>0</v>
      </c>
      <c r="AP36" s="63">
        <f>IF(AND(AP32=0,AP33=0),0,IF(AP32&lt;=0,0,IF(WEEKDAY(AP$6,1)=1,AP32*AP33,0)))</f>
        <v>0</v>
      </c>
      <c r="AQ36" s="63">
        <f>IF(AND(AQ32=0,AQ33=0),0,IF(AQ32&lt;=0,0,IF(WEEKDAY(AQ$6,1)=1,AQ32*AQ33,0)))</f>
        <v>0</v>
      </c>
      <c r="AR36" s="64">
        <f>IF(AND(AR32=0,AR33=0),0,IF(AR32&lt;=0,0,IF(WEEKDAY(AR$6,1)=1,AR32*AR33,0)))</f>
        <v>0</v>
      </c>
      <c r="AS36" s="64">
        <f>IF(AND(AS32=0,AS33=0),0,IF(AS32&lt;=0,0,IF(WEEKDAY(AS$6,1)=1,AS32*AS33,0)))</f>
        <v>0</v>
      </c>
      <c r="AT36" s="63">
        <f>IF(AND(AT32=0,AT33=0),0,IF(AT32&lt;=0,0,IF(WEEKDAY(AT$6,1)=1,AT32*AT33,0)))</f>
        <v>0</v>
      </c>
      <c r="AU36" s="63">
        <f>IF(AND(AU32=0,AU33=0),0,IF(AU32&lt;=0,0,IF(WEEKDAY(AU$6,1)=1,AU32*AU33,0)))</f>
        <v>0</v>
      </c>
      <c r="AV36" s="63">
        <f>IF(AND(AV32=0,AV33=0),0,IF(AV32&lt;=0,0,IF(WEEKDAY(AV$6,1)=1,AV32*AV33,0)))</f>
        <v>0</v>
      </c>
      <c r="AW36" s="63">
        <f>IF(AND(AW32=0,AW33=0),0,IF(AW32&lt;=0,0,IF(WEEKDAY(AW$6,1)=1,AW32*AW33,0)))</f>
        <v>0</v>
      </c>
      <c r="AX36" s="63">
        <f>IF(AND(AX32=0,AX33=0),0,IF(AX32&lt;=0,0,IF(WEEKDAY(AX$6,1)=1,AX32*AX33,0)))</f>
        <v>0</v>
      </c>
      <c r="AY36" s="64">
        <f>IF(AND(AY32=0,AY33=0),0,IF(AY32&lt;=0,0,IF(WEEKDAY(AY$6,1)=1,AY32*AY33,0)))</f>
        <v>0</v>
      </c>
      <c r="AZ36" s="64">
        <f>IF(AND(AZ32=0,AZ33=0),0,IF(AZ32&lt;=0,0,IF(WEEKDAY(AZ$6,1)=1,AZ32*AZ33,0)))</f>
        <v>0</v>
      </c>
      <c r="BA36" s="63">
        <f>IF(AND(BA32=0,BA33=0),0,IF(BA32&lt;=0,0,IF(WEEKDAY(BA$6,1)=1,BA32*BA33,0)))</f>
        <v>0</v>
      </c>
      <c r="BB36" s="63">
        <f>IF(AND(BB32=0,BB33=0),0,IF(BB32&lt;=0,0,IF(WEEKDAY(BB$6,1)=1,BB32*BB33,0)))</f>
        <v>0</v>
      </c>
      <c r="BC36" s="63">
        <f>IF(AND(BC32=0,BC33=0),0,IF(BC32&lt;=0,0,IF(WEEKDAY(BC$6,1)=1,BC32*BC33,0)))</f>
        <v>0</v>
      </c>
      <c r="BD36" s="63">
        <f>IF(AND(BD32=0,BD33=0),0,IF(BD32&lt;=0,0,IF(WEEKDAY(BD$6,1)=1,BD32*BD33,0)))</f>
        <v>0</v>
      </c>
      <c r="BE36" s="63">
        <f>IF(AND(BE32=0,BE33=0),0,IF(BE32&lt;=0,0,IF(WEEKDAY(BE$6,1)=1,BE32*BE33,0)))</f>
        <v>0</v>
      </c>
      <c r="BF36" s="64">
        <f>IF(AND(BF32=0,BF33=0),0,IF(BF32&lt;=0,0,IF(WEEKDAY(BF$6,1)=1,BF32*BF33,0)))</f>
        <v>0</v>
      </c>
      <c r="BG36" s="64">
        <f>IF(AND(BG32=0,BG33=0),0,IF(BG32&lt;=0,0,IF(WEEKDAY(BG$6,1)=1,BG32*BG33,0)))</f>
        <v>0</v>
      </c>
      <c r="BH36" s="63">
        <f>IF(AND(BH32=8,BH33=13),0,IF(BH32&lt;=0,0,IF(WEEKDAY(BH$6,1)=1,BH32*BH33,0)))</f>
        <v>0</v>
      </c>
      <c r="BI36" s="63">
        <f>IF(AND(BI32=8,BI33=13),0,IF(BI32&lt;=0,0,IF(WEEKDAY(BI$6,1)=1,BI32*BI33,0)))</f>
        <v>0</v>
      </c>
      <c r="BJ36" s="63">
        <f>IF(AND(BJ32=8,BJ33=13),0,IF(BJ32&lt;=0,0,IF(WEEKDAY(BJ$6,1)=1,BJ32*BJ33,0)))</f>
        <v>0</v>
      </c>
      <c r="BK36" s="63">
        <f>IF(AND(BK32=8,BK33=13),0,IF(BK32&lt;=0,0,IF(WEEKDAY(BK$6,1)=1,BK32*BK33,0)))</f>
        <v>0</v>
      </c>
      <c r="BL36" s="63">
        <f>IF(AND(BL32=8,BL33=13),0,IF(BL32&lt;=0,0,IF(WEEKDAY(BL$6,1)=1,BL32*BL33,0)))</f>
        <v>0</v>
      </c>
      <c r="BM36" s="64">
        <f>IF(AND(BM32=8,BM33=13),0,IF(BM32&lt;=0,0,IF(WEEKDAY(BM$6,1)=1,BM32*BM33,0)))</f>
        <v>0</v>
      </c>
      <c r="BN36" s="64">
        <f>IF(AND(BN32=8,BN33=13),104,IF(BN32&lt;=0,0,IF(WEEKDAY(BN$6,1)=1,BN32*BN33,0)))</f>
        <v>104</v>
      </c>
      <c r="BO36" s="63">
        <f>IF(AND(BO32=8,BO33=13),0,IF(BO32&lt;=0,0,IF(WEEKDAY(BO$6,1)=1,BO32*BO33,0)))</f>
        <v>0</v>
      </c>
      <c r="BP36" s="63">
        <f>IF(AND(BP32=8,BP33=13),0,IF(BP32&lt;=0,0,IF(WEEKDAY(BP$6,1)=1,BP32*BP33,0)))</f>
        <v>0</v>
      </c>
      <c r="BQ36" s="63">
        <f>IF(AND(BQ32=8,BQ33=13),0,IF(BQ32&lt;=0,0,IF(WEEKDAY(BQ$6,1)=1,BQ32*BQ33,0)))</f>
        <v>0</v>
      </c>
      <c r="BR36" s="63">
        <f>IF(AND(BR32=8,BR33=13),0,IF(BR32&lt;=0,0,IF(WEEKDAY(BR$6,1)=1,BR32*BR33,0)))</f>
        <v>0</v>
      </c>
      <c r="BS36" s="63">
        <f>IF(AND(BS32=8,BS33=13),0,IF(BS32&lt;=0,0,IF(WEEKDAY(BS$6,1)=1,BS32*BS33,0)))</f>
        <v>0</v>
      </c>
      <c r="BT36" s="64">
        <f>IF(AND(BT32=8,BT33=13),0,IF(BT32&lt;=0,0,IF(WEEKDAY(BT$6,1)=1,BT32*BT33,0)))</f>
        <v>0</v>
      </c>
      <c r="BU36" s="64">
        <f>IF(AND(BU32=8,BU33=13),104,IF(BU32&lt;=0,0,IF(WEEKDAY(BU$6,1)=1,BU32*BU33,0)))</f>
        <v>104</v>
      </c>
      <c r="BV36" s="63">
        <f>IF(AND(BV32=8,BV33=13),0,IF(BV32&lt;=0,0,IF(WEEKDAY(BV$6,1)=1,BV32*BV33,0)))</f>
        <v>0</v>
      </c>
      <c r="BW36" s="63">
        <f>IF(AND(BW32=8,BW33=13),0,IF(BW32&lt;=0,0,IF(WEEKDAY(BW$6,1)=1,BW32*BW33,0)))</f>
        <v>0</v>
      </c>
      <c r="BX36" s="63">
        <f>IF(AND(BX32=8,BX33=13),0,IF(BX32&lt;=0,0,IF(WEEKDAY(BX$6,1)=1,BX32*BX33,0)))</f>
        <v>0</v>
      </c>
      <c r="BY36" s="63">
        <f>IF(AND(BY32=8,BY33=13),0,IF(BY32&lt;=0,0,IF(WEEKDAY(BY$6,1)=1,BY32*BY33,0)))</f>
        <v>0</v>
      </c>
      <c r="BZ36" s="63">
        <f>IF(AND(BZ32=8,BZ33=13),0,IF(BZ32&lt;=0,0,IF(WEEKDAY(BZ$6,1)=1,BZ32*BZ33,0)))</f>
        <v>0</v>
      </c>
      <c r="CA36" s="64">
        <f>IF(AND(CA32=8,CA33=13),0,IF(CA32&lt;=0,0,IF(WEEKDAY(CA$6,1)=1,CA32*CA33,0)))</f>
        <v>0</v>
      </c>
      <c r="CB36" s="64">
        <f>IF(AND(CB32=0,CB33=0),0,IF(CB32&lt;=0,0,IF(WEEKDAY(CB$6,1)=1,CB32*CB33,0)))</f>
        <v>0</v>
      </c>
      <c r="CC36" s="63">
        <f>IF(AND(CC32=8,CC33=13),0,IF(CC32&lt;=0,0,IF(WEEKDAY(CC$6,1)=1,CC32*CC33,0)))</f>
        <v>0</v>
      </c>
      <c r="CD36" s="63">
        <f>IF(AND(CD32=8,CD33=13),0,IF(CD32&lt;=0,0,IF(WEEKDAY(CD$6,1)=1,CD32*CD33,0)))</f>
        <v>0</v>
      </c>
      <c r="CE36" s="63">
        <f>IF(AND(CE32=8,CE33=13),0,IF(CE32&lt;=0,0,IF(WEEKDAY(CE$6,1)=1,CE32*CE33,0)))</f>
        <v>0</v>
      </c>
      <c r="CF36" s="63">
        <f>IF(AND(CF32=8,CF33=13),0,IF(CF32&lt;=0,0,IF(WEEKDAY(CF$6,1)=1,CF32*CF33,0)))</f>
        <v>0</v>
      </c>
      <c r="CG36" s="63">
        <f>IF(AND(CG32=8,CG33=13),0,IF(CG32&lt;=0,0,IF(WEEKDAY(CG$6,1)=1,CG32*CG33,0)))</f>
        <v>0</v>
      </c>
      <c r="CH36" s="64">
        <f>IF(AND(CH32=8,CH33=13),0,IF(CH32&lt;=0,0,IF(WEEKDAY(CH$6,1)=1,CH32*CH33,0)))</f>
        <v>0</v>
      </c>
      <c r="CI36" s="64">
        <f>IF(AND(CI32=8,CI33=13),104,IF(CI32&lt;=0,0,IF(WEEKDAY(CI$6,1)=1,CI32*CI33,0)))</f>
        <v>104</v>
      </c>
      <c r="CJ36" s="63">
        <f>IF(AND(CJ32=8,CJ33=13),0,IF(CJ32&lt;=0,0,IF(WEEKDAY(CJ$6,1)=1,CJ32*CJ33,0)))</f>
        <v>0</v>
      </c>
      <c r="CK36" s="63">
        <f>IF(AND(CK32=8,CK33=13),0,IF(CK32&lt;=0,0,IF(WEEKDAY(CK$6,1)=1,CK32*CK33,0)))</f>
        <v>0</v>
      </c>
      <c r="CL36" s="63">
        <f>IF(AND(CL32=8,CL33=13),0,IF(CL32&lt;=0,0,IF(WEEKDAY(CL$6,1)=1,CL32*CL33,0)))</f>
        <v>0</v>
      </c>
      <c r="CM36" s="63">
        <f>IF(AND(CM32=8,CM33=13),0,IF(CM32&lt;=0,0,IF(WEEKDAY(CM$6,1)=1,CM32*CM33,0)))</f>
        <v>0</v>
      </c>
      <c r="CN36" s="63">
        <f>IF(AND(CN32=8,CN33=13),0,IF(CN32&lt;=0,0,IF(WEEKDAY(CN$6,1)=1,CN32*CN33,0)))</f>
        <v>0</v>
      </c>
      <c r="CO36" s="64">
        <f>IF(AND(CO32=8,CO33=13),0,IF(CO32&lt;=0,0,IF(WEEKDAY(CO$6,1)=1,CO32*CO33,0)))</f>
        <v>0</v>
      </c>
      <c r="CP36" s="64">
        <f>IF(AND(CP32=0,CP33=0),0,IF(CP32&lt;=0,0,IF(WEEKDAY(CP$6,1)=1,CP32*CP33,0)))</f>
        <v>0</v>
      </c>
      <c r="CQ36" s="63">
        <f>IF(AND(CQ32=8,CQ33=13),0,IF(CQ32&lt;=0,0,IF(WEEKDAY(CQ$6,1)=1,CQ32*CQ33,0)))</f>
        <v>0</v>
      </c>
      <c r="CR36" s="63">
        <f>IF(AND(CR32=8,CR33=13),0,IF(CR32&lt;=0,0,IF(WEEKDAY(CR$6,1)=1,CR32*CR33,0)))</f>
        <v>0</v>
      </c>
      <c r="CS36" s="63">
        <f>IF(AND(CS32=8,CS33=13),0,IF(CS32&lt;=0,0,IF(WEEKDAY(CS$6,1)=1,CS32*CS33,0)))</f>
        <v>0</v>
      </c>
      <c r="CT36" s="63">
        <f>IF(AND(CT32=8,CT33=13),0,IF(CT32&lt;=0,0,IF(WEEKDAY(CT$6,1)=1,CT32*CT33,0)))</f>
        <v>0</v>
      </c>
      <c r="CU36" s="63">
        <f>IF(AND(CU32=8,CU33=13),0,IF(CU32&lt;=0,0,IF(WEEKDAY(CU$6,1)=1,CU32*CU33,0)))</f>
        <v>0</v>
      </c>
      <c r="CV36" s="64">
        <f>IF(AND(CV32=8,CV33=13),0,IF(CV32&lt;=0,0,IF(WEEKDAY(CV$6,1)=1,CV32*CV33,0)))</f>
        <v>0</v>
      </c>
      <c r="CW36" s="64">
        <f>IF(AND(CW32=8,CW33=13),104,IF(CW32&lt;=0,0,IF(WEEKDAY(CW$6,1)=1,CW32*CW33,0)))</f>
        <v>104</v>
      </c>
      <c r="CX36" s="63">
        <f>IF(AND(CX32=8,CX33=13),0,IF(CX32&lt;=0,0,IF(WEEKDAY(CX$6,1)=1,CX32*CX33,0)))</f>
        <v>0</v>
      </c>
      <c r="CY36" s="63">
        <f>IF(AND(CY32=8,CY33=13),0,IF(CY32&lt;=0,0,IF(WEEKDAY(CY$6,1)=1,CY32*CY33,0)))</f>
        <v>0</v>
      </c>
      <c r="CZ36" s="63">
        <f>IF(AND(CZ32=8,CZ33=13),0,IF(CZ32&lt;=0,0,IF(WEEKDAY(CZ$6,1)=1,CZ32*CZ33,0)))</f>
        <v>0</v>
      </c>
      <c r="DA36" s="63">
        <f>IF(AND(DA32=8,DA33=13),0,IF(DA32&lt;=0,0,IF(WEEKDAY(DA$6,1)=1,DA32*DA33,0)))</f>
        <v>0</v>
      </c>
      <c r="DB36" s="63">
        <f>IF(AND(DB32=8,DB33=13),0,IF(DB32&lt;=0,0,IF(WEEKDAY(DB$6,1)=1,DB32*DB33,0)))</f>
        <v>0</v>
      </c>
      <c r="DC36" s="64">
        <f>IF(AND(DC32=8,DC33=13),0,IF(DC32&lt;=0,0,IF(WEEKDAY(DC$6,1)=1,DC32*DC33,0)))</f>
        <v>0</v>
      </c>
      <c r="DD36" s="64">
        <f>IF(AND(DD32=2,DD33=10),20,IF(DD32&lt;=0,0,IF(WEEKDAY(DD$6,1)=1,DD32*DD33,0)))</f>
        <v>20</v>
      </c>
      <c r="DE36" s="63">
        <f>IF(AND(DE32=2,DE33=10),0,IF(DE32&lt;=0,0,IF(WEEKDAY(DE$6,1)=1,DE32*DE33,0)))</f>
        <v>0</v>
      </c>
      <c r="DF36" s="63">
        <f>IF(AND(DF32=2,DF33=10),0,IF(DF32&lt;=0,0,IF(WEEKDAY(DF$6,1)=1,DF32*DF33,0)))</f>
        <v>0</v>
      </c>
      <c r="DG36" s="63">
        <f>IF(AND(DG32=2,DG33=10),0,IF(DG32&lt;=0,0,IF(WEEKDAY(DG$6,1)=1,DG32*DG33,0)))</f>
        <v>0</v>
      </c>
      <c r="DH36" s="63">
        <f>IF(AND(DH32=2,DH33=10),0,IF(DH32&lt;=0,0,IF(WEEKDAY(DH$6,1)=1,DH32*DH33,0)))</f>
        <v>0</v>
      </c>
      <c r="DI36" s="63">
        <f>IF(AND(DI32=2,DI33=10),0,IF(DI32&lt;=0,0,IF(WEEKDAY(DI$6,1)=1,DI32*DI33,0)))</f>
        <v>0</v>
      </c>
      <c r="DJ36" s="64">
        <f>IF(AND(DJ32=2,DJ33=10),0,IF(DJ32&lt;=0,0,IF(WEEKDAY(DJ$6,1)=1,DJ32*DJ33,0)))</f>
        <v>0</v>
      </c>
      <c r="DK36" s="64">
        <f>IF(AND(DK32=0,DK33=0),0,IF(DK32&lt;=0,0,IF(WEEKDAY(DK$6,1)=1,DK32*DK33,0)))</f>
        <v>0</v>
      </c>
      <c r="DL36" s="63">
        <f>IF(AND(DL32=2,DL33=10),0,IF(DL32&lt;=0,0,IF(WEEKDAY(DL$6,1)=1,DL32*DL33,0)))</f>
        <v>0</v>
      </c>
      <c r="DM36" s="63">
        <f>IF(AND(DM32=2,DM33=10),0,IF(DM32&lt;=0,0,IF(WEEKDAY(DM$6,1)=1,DM32*DM33,0)))</f>
        <v>0</v>
      </c>
      <c r="DN36" s="63">
        <f>IF(AND(DN32=2,DN33=10),0,IF(DN32&lt;=0,0,IF(WEEKDAY(DN$6,1)=1,DN32*DN33,0)))</f>
        <v>0</v>
      </c>
      <c r="DO36" s="63">
        <f>IF(AND(DO32=2,DO33=10),0,IF(DO32&lt;=0,0,IF(WEEKDAY(DO$6,1)=1,DO32*DO33,0)))</f>
        <v>0</v>
      </c>
      <c r="DP36" s="63">
        <f>IF(AND(DP32=2,DP33=10),0,IF(DP32&lt;=0,0,IF(WEEKDAY(DP$6,1)=1,DP32*DP33,0)))</f>
        <v>0</v>
      </c>
      <c r="DQ36" s="64">
        <f>IF(AND(DQ32=2,DQ33=10),0,IF(DQ32&lt;=0,0,IF(WEEKDAY(DQ$6,1)=1,DQ32*DQ33,0)))</f>
        <v>0</v>
      </c>
      <c r="DR36" s="64">
        <f>IF(AND(DR32=2,DR33=10),20,IF(DR32&lt;=0,0,IF(WEEKDAY(DR$6,1)=1,DR32*DR33,0)))</f>
        <v>20</v>
      </c>
      <c r="DS36" s="63">
        <f>IF(AND(DS32=2,DS33=10),0,IF(DS32&lt;=0,0,IF(WEEKDAY(DS$6,1)=1,DS32*DS33,0)))</f>
        <v>0</v>
      </c>
      <c r="DT36" s="63">
        <f>IF(AND(DT32=0,DT33=0),0,IF(DT32&lt;=0,0,IF(WEEKDAY(DT$6,1)=1,DT32*DT33,0)))</f>
        <v>0</v>
      </c>
      <c r="DU36" s="63">
        <f>IF(AND(DU32=0,DU33=0),0,IF(DU32&lt;=0,0,IF(WEEKDAY(DU$6,1)=1,DU32*DU33,0)))</f>
        <v>0</v>
      </c>
      <c r="DV36" s="63">
        <f>IF(AND(DV32=0,DV33=0),0,IF(DV32&lt;=0,0,IF(WEEKDAY(DV$6,1)=1,DV32*DV33,0)))</f>
        <v>0</v>
      </c>
      <c r="DW36" s="63">
        <f>IF(AND(DW32=0,DW33=0),0,IF(DW32&lt;=0,0,IF(WEEKDAY(DW$6,1)=1,DW32*DW33,0)))</f>
        <v>0</v>
      </c>
      <c r="DX36" s="64">
        <f>IF(AND(DX32=0,DX33=0),0,IF(DX32&lt;=0,0,IF(WEEKDAY(DX$6,1)=1,DX32*DX33,0)))</f>
        <v>0</v>
      </c>
      <c r="DY36" s="64">
        <f>IF(AND(DY32=0,DY33=0),0,IF(DY32&lt;=0,0,IF(WEEKDAY(DY$6,1)=1,DY32*DY33,0)))</f>
        <v>0</v>
      </c>
      <c r="DZ36" s="63">
        <f>IF(AND(DZ32=0,DZ33=0),0,IF(DZ32&lt;=0,0,IF(WEEKDAY(DZ$6,1)=1,DZ32*DZ33,0)))</f>
        <v>0</v>
      </c>
      <c r="EA36" s="63">
        <f>IF(AND(EA32=0,EA33=0),0,IF(EA32&lt;=0,0,IF(WEEKDAY(EA$6,1)=1,EA32*EA33,0)))</f>
        <v>0</v>
      </c>
      <c r="EB36" s="63">
        <f>IF(AND(EB32=0,EB33=0),0,IF(EB32&lt;=0,0,IF(WEEKDAY(EB$6,1)=1,EB32*EB33,0)))</f>
        <v>0</v>
      </c>
      <c r="EC36" s="63">
        <f>IF(AND(EC32=0,EC33=0),0,IF(EC32&lt;=0,0,IF(WEEKDAY(EC$6,1)=1,EC32*EC33,0)))</f>
        <v>0</v>
      </c>
      <c r="ED36" s="63">
        <f>IF(AND(ED32=0,ED33=0),0,IF(ED32&lt;=0,0,IF(WEEKDAY(ED$6,1)=1,ED32*ED33,0)))</f>
        <v>0</v>
      </c>
      <c r="EE36" s="64">
        <f>IF(AND(EE32=0,EE33=0),0,IF(EE32&lt;=0,0,IF(WEEKDAY(EE$6,1)=1,EE32*EE33,0)))</f>
        <v>0</v>
      </c>
      <c r="EF36" s="64">
        <f>IF(AND(EF32=0,EF33=0),0,IF(EF32&lt;=0,0,IF(WEEKDAY(EF$6,1)=1,EF32*EF33,0)))</f>
        <v>0</v>
      </c>
      <c r="EG36" s="63">
        <f>IF(AND(EG32=0,EG33=0),0,IF(EG32&lt;=0,0,IF(WEEKDAY(EG$6,1)=1,EG32*EG33,0)))</f>
        <v>0</v>
      </c>
      <c r="EH36" s="63">
        <f>IF(AND(EH32=0,EH33=0),0,IF(EH32&lt;=0,0,IF(WEEKDAY(EH$6,1)=1,EH32*EH33,0)))</f>
        <v>0</v>
      </c>
      <c r="EI36" s="63">
        <f>IF(AND(EI32=0,EI33=0),0,IF(EI32&lt;=0,0,IF(WEEKDAY(EI$6,1)=1,EI32*EI33,0)))</f>
        <v>0</v>
      </c>
      <c r="EJ36" s="63">
        <f>IF(AND(EJ32=0,EJ33=0),0,IF(EJ32&lt;=0,0,IF(WEEKDAY(EJ$6,1)=1,EJ32*EJ33,0)))</f>
        <v>0</v>
      </c>
      <c r="EK36" s="65">
        <f>IF(AND(EK32=0,EK33=0),0,IF(EK32&lt;=0,0,IF(WEEKDAY(EK$6,1)=1,EK32*EK33,0)))</f>
        <v>0</v>
      </c>
      <c r="OU36" s="28" t="s">
        <v>110</v>
      </c>
    </row>
    <row r="37" ht="16" customHeight="1" spans="1:411" x14ac:dyDescent="0.25">
      <c r="A37" s="74"/>
      <c r="B37" s="46"/>
      <c r="C37" s="67">
        <f>I31*D37</f>
        <v>45760</v>
      </c>
      <c r="D37" s="67">
        <v>130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7</v>
      </c>
      <c r="BI37" s="70">
        <v>7</v>
      </c>
      <c r="BJ37" s="70">
        <v>7</v>
      </c>
      <c r="BK37" s="70">
        <v>7</v>
      </c>
      <c r="BL37" s="70">
        <v>7</v>
      </c>
      <c r="BM37" s="71">
        <v>7</v>
      </c>
      <c r="BN37" s="71">
        <v>7</v>
      </c>
      <c r="BO37" s="70">
        <v>7</v>
      </c>
      <c r="BP37" s="70">
        <v>7</v>
      </c>
      <c r="BQ37" s="70">
        <v>7</v>
      </c>
      <c r="BR37" s="70">
        <v>7</v>
      </c>
      <c r="BS37" s="70">
        <v>7</v>
      </c>
      <c r="BT37" s="71">
        <v>7</v>
      </c>
      <c r="BU37" s="71">
        <v>7</v>
      </c>
      <c r="BV37" s="70">
        <v>7</v>
      </c>
      <c r="BW37" s="70">
        <v>7</v>
      </c>
      <c r="BX37" s="70">
        <v>7</v>
      </c>
      <c r="BY37" s="70">
        <v>7</v>
      </c>
      <c r="BZ37" s="70">
        <v>7</v>
      </c>
      <c r="CA37" s="71">
        <v>7</v>
      </c>
      <c r="CB37" s="71">
        <v>0</v>
      </c>
      <c r="CC37" s="70">
        <v>7</v>
      </c>
      <c r="CD37" s="70">
        <v>7</v>
      </c>
      <c r="CE37" s="70">
        <v>7</v>
      </c>
      <c r="CF37" s="70">
        <v>7</v>
      </c>
      <c r="CG37" s="70">
        <v>7</v>
      </c>
      <c r="CH37" s="71">
        <v>7</v>
      </c>
      <c r="CI37" s="71">
        <v>7</v>
      </c>
      <c r="CJ37" s="70">
        <v>7</v>
      </c>
      <c r="CK37" s="70">
        <v>7</v>
      </c>
      <c r="CL37" s="70">
        <v>7</v>
      </c>
      <c r="CM37" s="70">
        <v>7</v>
      </c>
      <c r="CN37" s="70">
        <v>7</v>
      </c>
      <c r="CO37" s="71">
        <v>7</v>
      </c>
      <c r="CP37" s="71">
        <v>0</v>
      </c>
      <c r="CQ37" s="70">
        <v>7</v>
      </c>
      <c r="CR37" s="70">
        <v>7</v>
      </c>
      <c r="CS37" s="70">
        <v>7</v>
      </c>
      <c r="CT37" s="70">
        <v>7</v>
      </c>
      <c r="CU37" s="70">
        <v>7</v>
      </c>
      <c r="CV37" s="71">
        <v>7</v>
      </c>
      <c r="CW37" s="71">
        <v>7</v>
      </c>
      <c r="CX37" s="70">
        <v>7</v>
      </c>
      <c r="CY37" s="70">
        <v>7</v>
      </c>
      <c r="CZ37" s="70">
        <v>7</v>
      </c>
      <c r="DA37" s="70">
        <v>7</v>
      </c>
      <c r="DB37" s="70">
        <v>7</v>
      </c>
      <c r="DC37" s="71">
        <v>7</v>
      </c>
      <c r="DD37" s="71">
        <v>2</v>
      </c>
      <c r="DE37" s="70">
        <v>2</v>
      </c>
      <c r="DF37" s="70">
        <v>2</v>
      </c>
      <c r="DG37" s="70">
        <v>2</v>
      </c>
      <c r="DH37" s="70">
        <v>2</v>
      </c>
      <c r="DI37" s="70">
        <v>2</v>
      </c>
      <c r="DJ37" s="71">
        <v>2</v>
      </c>
      <c r="DK37" s="71">
        <v>0</v>
      </c>
      <c r="DL37" s="70">
        <v>2</v>
      </c>
      <c r="DM37" s="70">
        <v>2</v>
      </c>
      <c r="DN37" s="70">
        <v>2</v>
      </c>
      <c r="DO37" s="70">
        <v>2</v>
      </c>
      <c r="DP37" s="70">
        <v>2</v>
      </c>
      <c r="DQ37" s="71">
        <v>2</v>
      </c>
      <c r="DR37" s="71">
        <v>2</v>
      </c>
      <c r="DS37" s="70">
        <v>2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110</v>
      </c>
    </row>
    <row r="38" ht="16" customHeight="1" spans="1:411" x14ac:dyDescent="0.25">
      <c r="A38" s="16" t="s">
        <v>104</v>
      </c>
      <c r="B38" s="17"/>
      <c r="C38" s="75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5">
        <f>SUM(J7,J15,J23,J31)</f>
        <v>2608341.96</v>
      </c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dataValidations count="4">
    <dataValidation type="list" allowBlank="1" sqref="B15">
      <formula1>=_Lists!$B$1:$B$7</formula1>
    </dataValidation>
    <dataValidation type="list" allowBlank="1" sqref="B23">
      <formula1>=_Lists!$B$1:$B$7</formula1>
    </dataValidation>
    <dataValidation type="list" allowBlank="1" sqref="B31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46" t="s">
        <v>111</v>
      </c>
      <c r="C7" s="47">
        <f>J7</f>
        <v>1940748.6</v>
      </c>
      <c r="D7" s="48"/>
      <c r="E7" s="48"/>
      <c r="F7" s="49">
        <f>SUM(K10:EK10)</f>
        <v>9952</v>
      </c>
      <c r="G7" s="49">
        <f>SUM(K11:EK11)</f>
        <v>3578</v>
      </c>
      <c r="H7" s="49">
        <f>SUM(K12:EK12)</f>
        <v>1600</v>
      </c>
      <c r="I7" s="49">
        <f>SUM(K13:EK13)</f>
        <v>1373</v>
      </c>
      <c r="J7" s="50">
        <f>C10+C11+C12</f>
        <v>1940748.6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112</v>
      </c>
    </row>
    <row r="8" ht="16" customHeight="1" spans="1:411" x14ac:dyDescent="0.25">
      <c r="A8" s="45"/>
      <c r="B8" s="46"/>
      <c r="C8" s="47"/>
      <c r="D8" s="48"/>
      <c r="E8" s="55" t="s">
        <v>60</v>
      </c>
      <c r="F8" s="49"/>
      <c r="G8" s="49"/>
      <c r="H8" s="49"/>
      <c r="I8" s="49"/>
      <c r="J8" s="50"/>
      <c r="K8" s="56">
        <v>0</v>
      </c>
      <c r="L8" s="57">
        <v>0</v>
      </c>
      <c r="M8" s="57">
        <v>0</v>
      </c>
      <c r="N8" s="57">
        <v>0</v>
      </c>
      <c r="O8" s="57">
        <v>0</v>
      </c>
      <c r="P8" s="58">
        <v>0</v>
      </c>
      <c r="Q8" s="58">
        <v>0</v>
      </c>
      <c r="R8" s="57">
        <v>8</v>
      </c>
      <c r="S8" s="57">
        <v>8</v>
      </c>
      <c r="T8" s="57">
        <v>8</v>
      </c>
      <c r="U8" s="57">
        <v>8</v>
      </c>
      <c r="V8" s="57">
        <v>8</v>
      </c>
      <c r="W8" s="58">
        <v>0</v>
      </c>
      <c r="X8" s="58">
        <v>0</v>
      </c>
      <c r="Y8" s="57">
        <v>8</v>
      </c>
      <c r="Z8" s="57">
        <v>8</v>
      </c>
      <c r="AA8" s="57">
        <v>8</v>
      </c>
      <c r="AB8" s="57">
        <v>8</v>
      </c>
      <c r="AC8" s="57">
        <v>8</v>
      </c>
      <c r="AD8" s="58">
        <v>0</v>
      </c>
      <c r="AE8" s="58">
        <v>0</v>
      </c>
      <c r="AF8" s="57">
        <v>8</v>
      </c>
      <c r="AG8" s="57">
        <v>8</v>
      </c>
      <c r="AH8" s="57">
        <v>8</v>
      </c>
      <c r="AI8" s="57">
        <v>8</v>
      </c>
      <c r="AJ8" s="57">
        <v>8</v>
      </c>
      <c r="AK8" s="58">
        <v>0</v>
      </c>
      <c r="AL8" s="58">
        <v>0</v>
      </c>
      <c r="AM8" s="57">
        <v>8</v>
      </c>
      <c r="AN8" s="57">
        <v>8</v>
      </c>
      <c r="AO8" s="57">
        <v>8</v>
      </c>
      <c r="AP8" s="57">
        <v>8</v>
      </c>
      <c r="AQ8" s="57">
        <v>11</v>
      </c>
      <c r="AR8" s="58">
        <v>0</v>
      </c>
      <c r="AS8" s="58">
        <v>0</v>
      </c>
      <c r="AT8" s="57">
        <v>8</v>
      </c>
      <c r="AU8" s="57">
        <v>8</v>
      </c>
      <c r="AV8" s="57">
        <v>8</v>
      </c>
      <c r="AW8" s="57">
        <v>8</v>
      </c>
      <c r="AX8" s="57">
        <v>8</v>
      </c>
      <c r="AY8" s="58">
        <v>0</v>
      </c>
      <c r="AZ8" s="58">
        <v>0</v>
      </c>
      <c r="BA8" s="57">
        <v>8</v>
      </c>
      <c r="BB8" s="57">
        <v>8</v>
      </c>
      <c r="BC8" s="57">
        <v>8</v>
      </c>
      <c r="BD8" s="57">
        <v>8</v>
      </c>
      <c r="BE8" s="57">
        <v>8</v>
      </c>
      <c r="BF8" s="58">
        <v>0</v>
      </c>
      <c r="BG8" s="58">
        <v>0</v>
      </c>
      <c r="BH8" s="57">
        <v>15</v>
      </c>
      <c r="BI8" s="57">
        <v>18</v>
      </c>
      <c r="BJ8" s="57">
        <v>20</v>
      </c>
      <c r="BK8" s="57">
        <v>20</v>
      </c>
      <c r="BL8" s="57">
        <v>20</v>
      </c>
      <c r="BM8" s="58">
        <v>20</v>
      </c>
      <c r="BN8" s="58">
        <v>20</v>
      </c>
      <c r="BO8" s="57">
        <v>20</v>
      </c>
      <c r="BP8" s="57">
        <v>20</v>
      </c>
      <c r="BQ8" s="57">
        <v>20</v>
      </c>
      <c r="BR8" s="57">
        <v>30</v>
      </c>
      <c r="BS8" s="57">
        <v>30</v>
      </c>
      <c r="BT8" s="58">
        <v>30</v>
      </c>
      <c r="BU8" s="58">
        <v>30</v>
      </c>
      <c r="BV8" s="57">
        <v>30</v>
      </c>
      <c r="BW8" s="57">
        <v>30</v>
      </c>
      <c r="BX8" s="57">
        <v>30</v>
      </c>
      <c r="BY8" s="57">
        <v>30</v>
      </c>
      <c r="BZ8" s="57">
        <v>30</v>
      </c>
      <c r="CA8" s="58">
        <v>30</v>
      </c>
      <c r="CB8" s="58">
        <v>30</v>
      </c>
      <c r="CC8" s="57">
        <v>30</v>
      </c>
      <c r="CD8" s="57">
        <v>30</v>
      </c>
      <c r="CE8" s="57">
        <v>30</v>
      </c>
      <c r="CF8" s="57">
        <v>30</v>
      </c>
      <c r="CG8" s="57">
        <v>30</v>
      </c>
      <c r="CH8" s="58">
        <v>30</v>
      </c>
      <c r="CI8" s="58">
        <v>30</v>
      </c>
      <c r="CJ8" s="57">
        <v>30</v>
      </c>
      <c r="CK8" s="57">
        <v>30</v>
      </c>
      <c r="CL8" s="57">
        <v>25</v>
      </c>
      <c r="CM8" s="57">
        <v>25</v>
      </c>
      <c r="CN8" s="57">
        <v>25</v>
      </c>
      <c r="CO8" s="58">
        <v>25</v>
      </c>
      <c r="CP8" s="58">
        <v>25</v>
      </c>
      <c r="CQ8" s="57">
        <v>25</v>
      </c>
      <c r="CR8" s="57">
        <v>25</v>
      </c>
      <c r="CS8" s="57">
        <v>25</v>
      </c>
      <c r="CT8" s="57">
        <v>25</v>
      </c>
      <c r="CU8" s="57">
        <v>25</v>
      </c>
      <c r="CV8" s="58">
        <v>25</v>
      </c>
      <c r="CW8" s="58">
        <v>25</v>
      </c>
      <c r="CX8" s="57">
        <v>25</v>
      </c>
      <c r="CY8" s="57">
        <v>25</v>
      </c>
      <c r="CZ8" s="57">
        <v>20</v>
      </c>
      <c r="DA8" s="57">
        <v>20</v>
      </c>
      <c r="DB8" s="57">
        <v>20</v>
      </c>
      <c r="DC8" s="58">
        <v>20</v>
      </c>
      <c r="DD8" s="58">
        <v>0</v>
      </c>
      <c r="DE8" s="57">
        <v>6</v>
      </c>
      <c r="DF8" s="57">
        <v>0</v>
      </c>
      <c r="DG8" s="57">
        <v>0</v>
      </c>
      <c r="DH8" s="57">
        <v>0</v>
      </c>
      <c r="DI8" s="57">
        <v>0</v>
      </c>
      <c r="DJ8" s="58">
        <v>0</v>
      </c>
      <c r="DK8" s="58">
        <v>0</v>
      </c>
      <c r="DL8" s="57">
        <v>0</v>
      </c>
      <c r="DM8" s="57">
        <v>0</v>
      </c>
      <c r="DN8" s="57">
        <v>0</v>
      </c>
      <c r="DO8" s="57">
        <v>0</v>
      </c>
      <c r="DP8" s="57">
        <v>0</v>
      </c>
      <c r="DQ8" s="58">
        <v>0</v>
      </c>
      <c r="DR8" s="58">
        <v>0</v>
      </c>
      <c r="DS8" s="57">
        <v>0</v>
      </c>
      <c r="DT8" s="57">
        <v>8</v>
      </c>
      <c r="DU8" s="57">
        <v>8</v>
      </c>
      <c r="DV8" s="57">
        <v>8</v>
      </c>
      <c r="DW8" s="57">
        <v>8</v>
      </c>
      <c r="DX8" s="58">
        <v>0</v>
      </c>
      <c r="DY8" s="58">
        <v>0</v>
      </c>
      <c r="DZ8" s="57">
        <v>8</v>
      </c>
      <c r="EA8" s="57">
        <v>8</v>
      </c>
      <c r="EB8" s="57">
        <v>8</v>
      </c>
      <c r="EC8" s="57">
        <v>8</v>
      </c>
      <c r="ED8" s="57">
        <v>8</v>
      </c>
      <c r="EE8" s="58">
        <v>0</v>
      </c>
      <c r="EF8" s="58">
        <v>0</v>
      </c>
      <c r="EG8" s="57">
        <v>8</v>
      </c>
      <c r="EH8" s="57">
        <v>8</v>
      </c>
      <c r="EI8" s="57">
        <v>8</v>
      </c>
      <c r="EJ8" s="57">
        <v>8</v>
      </c>
      <c r="EK8" s="59">
        <v>8</v>
      </c>
      <c r="OU8" s="60" t="s">
        <v>112</v>
      </c>
    </row>
    <row r="9" ht="16" customHeight="1" spans="1:411" x14ac:dyDescent="0.25">
      <c r="A9" s="45"/>
      <c r="B9" s="46"/>
      <c r="C9" s="47"/>
      <c r="D9" s="48"/>
      <c r="E9" s="55" t="s">
        <v>61</v>
      </c>
      <c r="F9" s="49"/>
      <c r="G9" s="49"/>
      <c r="H9" s="49"/>
      <c r="I9" s="49"/>
      <c r="J9" s="50"/>
      <c r="K9" s="56">
        <v>0</v>
      </c>
      <c r="L9" s="57">
        <v>0</v>
      </c>
      <c r="M9" s="57">
        <v>0</v>
      </c>
      <c r="N9" s="57">
        <v>0</v>
      </c>
      <c r="O9" s="57">
        <v>0</v>
      </c>
      <c r="P9" s="58">
        <v>0</v>
      </c>
      <c r="Q9" s="58">
        <v>0</v>
      </c>
      <c r="R9" s="57">
        <v>8</v>
      </c>
      <c r="S9" s="57">
        <v>8</v>
      </c>
      <c r="T9" s="57">
        <v>8</v>
      </c>
      <c r="U9" s="57">
        <v>8</v>
      </c>
      <c r="V9" s="57">
        <v>8</v>
      </c>
      <c r="W9" s="58">
        <v>0</v>
      </c>
      <c r="X9" s="58">
        <v>0</v>
      </c>
      <c r="Y9" s="57">
        <v>8</v>
      </c>
      <c r="Z9" s="57">
        <v>8</v>
      </c>
      <c r="AA9" s="57">
        <v>8</v>
      </c>
      <c r="AB9" s="57">
        <v>8</v>
      </c>
      <c r="AC9" s="57">
        <v>8</v>
      </c>
      <c r="AD9" s="58">
        <v>0</v>
      </c>
      <c r="AE9" s="58">
        <v>0</v>
      </c>
      <c r="AF9" s="57">
        <v>8</v>
      </c>
      <c r="AG9" s="57">
        <v>8</v>
      </c>
      <c r="AH9" s="57">
        <v>8</v>
      </c>
      <c r="AI9" s="57">
        <v>8</v>
      </c>
      <c r="AJ9" s="57">
        <v>8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10</v>
      </c>
      <c r="BI9" s="57">
        <v>10</v>
      </c>
      <c r="BJ9" s="57">
        <v>10</v>
      </c>
      <c r="BK9" s="57">
        <v>10</v>
      </c>
      <c r="BL9" s="57">
        <v>10</v>
      </c>
      <c r="BM9" s="58">
        <v>10</v>
      </c>
      <c r="BN9" s="58">
        <v>10</v>
      </c>
      <c r="BO9" s="57">
        <v>10</v>
      </c>
      <c r="BP9" s="57">
        <v>10</v>
      </c>
      <c r="BQ9" s="57">
        <v>10</v>
      </c>
      <c r="BR9" s="57">
        <v>10</v>
      </c>
      <c r="BS9" s="57">
        <v>10</v>
      </c>
      <c r="BT9" s="58">
        <v>10</v>
      </c>
      <c r="BU9" s="58">
        <v>10</v>
      </c>
      <c r="BV9" s="57">
        <v>10</v>
      </c>
      <c r="BW9" s="57">
        <v>10</v>
      </c>
      <c r="BX9" s="57">
        <v>10</v>
      </c>
      <c r="BY9" s="57">
        <v>10</v>
      </c>
      <c r="BZ9" s="57">
        <v>10</v>
      </c>
      <c r="CA9" s="58">
        <v>10</v>
      </c>
      <c r="CB9" s="58">
        <v>10</v>
      </c>
      <c r="CC9" s="57">
        <v>10</v>
      </c>
      <c r="CD9" s="57">
        <v>10</v>
      </c>
      <c r="CE9" s="57">
        <v>10</v>
      </c>
      <c r="CF9" s="57">
        <v>10</v>
      </c>
      <c r="CG9" s="57">
        <v>10</v>
      </c>
      <c r="CH9" s="58">
        <v>10</v>
      </c>
      <c r="CI9" s="58">
        <v>10</v>
      </c>
      <c r="CJ9" s="57">
        <v>10</v>
      </c>
      <c r="CK9" s="57">
        <v>10</v>
      </c>
      <c r="CL9" s="57">
        <v>10</v>
      </c>
      <c r="CM9" s="57">
        <v>10</v>
      </c>
      <c r="CN9" s="57">
        <v>10</v>
      </c>
      <c r="CO9" s="58">
        <v>10</v>
      </c>
      <c r="CP9" s="58">
        <v>10</v>
      </c>
      <c r="CQ9" s="57">
        <v>10</v>
      </c>
      <c r="CR9" s="57">
        <v>10</v>
      </c>
      <c r="CS9" s="57">
        <v>10</v>
      </c>
      <c r="CT9" s="57">
        <v>10</v>
      </c>
      <c r="CU9" s="57">
        <v>10</v>
      </c>
      <c r="CV9" s="58">
        <v>10</v>
      </c>
      <c r="CW9" s="58">
        <v>10</v>
      </c>
      <c r="CX9" s="57">
        <v>10</v>
      </c>
      <c r="CY9" s="57">
        <v>10</v>
      </c>
      <c r="CZ9" s="57">
        <v>10</v>
      </c>
      <c r="DA9" s="57">
        <v>10</v>
      </c>
      <c r="DB9" s="57">
        <v>10</v>
      </c>
      <c r="DC9" s="58">
        <v>10</v>
      </c>
      <c r="DD9" s="58">
        <v>0</v>
      </c>
      <c r="DE9" s="57">
        <v>10</v>
      </c>
      <c r="DF9" s="57">
        <v>0</v>
      </c>
      <c r="DG9" s="57">
        <v>0</v>
      </c>
      <c r="DH9" s="57">
        <v>0</v>
      </c>
      <c r="DI9" s="57">
        <v>0</v>
      </c>
      <c r="DJ9" s="58">
        <v>0</v>
      </c>
      <c r="DK9" s="58">
        <v>0</v>
      </c>
      <c r="DL9" s="57">
        <v>0</v>
      </c>
      <c r="DM9" s="57">
        <v>0</v>
      </c>
      <c r="DN9" s="57">
        <v>0</v>
      </c>
      <c r="DO9" s="57">
        <v>0</v>
      </c>
      <c r="DP9" s="57">
        <v>0</v>
      </c>
      <c r="DQ9" s="58">
        <v>0</v>
      </c>
      <c r="DR9" s="58">
        <v>0</v>
      </c>
      <c r="DS9" s="57">
        <v>0</v>
      </c>
      <c r="DT9" s="57">
        <v>8</v>
      </c>
      <c r="DU9" s="57">
        <v>8</v>
      </c>
      <c r="DV9" s="57">
        <v>8</v>
      </c>
      <c r="DW9" s="57">
        <v>8</v>
      </c>
      <c r="DX9" s="58">
        <v>0</v>
      </c>
      <c r="DY9" s="58">
        <v>0</v>
      </c>
      <c r="DZ9" s="57">
        <v>8</v>
      </c>
      <c r="EA9" s="57">
        <v>8</v>
      </c>
      <c r="EB9" s="57">
        <v>8</v>
      </c>
      <c r="EC9" s="57">
        <v>8</v>
      </c>
      <c r="ED9" s="57">
        <v>8</v>
      </c>
      <c r="EE9" s="58">
        <v>0</v>
      </c>
      <c r="EF9" s="58">
        <v>0</v>
      </c>
      <c r="EG9" s="57">
        <v>8</v>
      </c>
      <c r="EH9" s="57">
        <v>8</v>
      </c>
      <c r="EI9" s="57">
        <v>8</v>
      </c>
      <c r="EJ9" s="57">
        <v>8</v>
      </c>
      <c r="EK9" s="59">
        <v>8</v>
      </c>
      <c r="OU9" s="60" t="s">
        <v>112</v>
      </c>
    </row>
    <row r="10" ht="16" customHeight="1" spans="1:411" x14ac:dyDescent="0.25">
      <c r="A10" s="45"/>
      <c r="B10" s="46"/>
      <c r="C10" s="61">
        <f>F7*N(D10)</f>
        <v>1078597.76</v>
      </c>
      <c r="D10" s="61">
        <f>IF(TRIM(B7)="","No rate",IFERROR(INDEX('Rate Tables'!C$7:C$158,MATCH(B7,'Rate Tables'!A$7:A$158,0)),"No rate"))</f>
        <v>108.38</v>
      </c>
      <c r="E10" s="55" t="s">
        <v>62</v>
      </c>
      <c r="F10" s="49"/>
      <c r="G10" s="49"/>
      <c r="H10" s="49"/>
      <c r="I10" s="49"/>
      <c r="J10" s="50"/>
      <c r="K10" s="62">
        <f>IF(AND(K8=0,K9=0),0,MIN(IF(K8&lt;=0,0,IF(WEEKDAY(K$6,1)=1,0,IF(WEEKDAY(K$6,1)=7,0,MIN(8,K9)*K8))),MAX(0,40*MAX(1,K8)-(0))))</f>
        <v>0</v>
      </c>
      <c r="L10" s="63">
        <f>IF(AND(L8=0,L9=0),0,MIN(IF(L8&lt;=0,0,IF(WEEKDAY(L$6,1)=1,0,IF(WEEKDAY(L$6,1)=7,0,MIN(8,L9)*L8))),MAX(0,40*MAX(1,L8)-(K10))))</f>
        <v>0</v>
      </c>
      <c r="M10" s="63">
        <f>IF(AND(M8=0,M9=0),0,MIN(IF(M8&lt;=0,0,IF(WEEKDAY(M$6,1)=1,0,IF(WEEKDAY(M$6,1)=7,0,MIN(8,M9)*M8))),MAX(0,40*MAX(1,M8)-(K10+L10))))</f>
        <v>0</v>
      </c>
      <c r="N10" s="63">
        <f>IF(AND(N8=0,N9=0),0,MIN(IF(N8&lt;=0,0,IF(WEEKDAY(N$6,1)=1,0,IF(WEEKDAY(N$6,1)=7,0,MIN(8,N9)*N8))),MAX(0,40*MAX(1,N8)-(K10+L10+M10))))</f>
        <v>0</v>
      </c>
      <c r="O10" s="63">
        <f>IF(AND(O8=0,O9=0),0,MIN(IF(O8&lt;=0,0,IF(WEEKDAY(O$6,1)=1,0,IF(WEEKDAY(O$6,1)=7,0,MIN(8,O9)*O8))),MAX(0,40*MAX(1,O8)-(K10+L10+M10+N10))))</f>
        <v>0</v>
      </c>
      <c r="P10" s="64">
        <f>IF(AND(P8=0,P9=0),0,MIN(IF(P8&lt;=0,0,IF(WEEKDAY(P$6,1)=1,0,IF(WEEKDAY(P$6,1)=7,0,MIN(8,P9)*P8))),MAX(0,40*MAX(1,P8)-(K10+L10+M10+N10+O10))))</f>
        <v>0</v>
      </c>
      <c r="Q10" s="64">
        <f>IF(AND(Q8=0,Q9=0),0,MIN(IF(Q8&lt;=0,0,IF(WEEKDAY(Q$6,1)=1,0,IF(WEEKDAY(Q$6,1)=7,0,MIN(8,Q9)*Q8))),MAX(0,40*MAX(1,Q8)-(K10+L10+M10+N10+O10+P10))))</f>
        <v>0</v>
      </c>
      <c r="R10" s="63">
        <f>IF(AND(R8=8,R9=8),64,MIN(IF(R8&lt;=0,0,IF(WEEKDAY(R$6,1)=1,0,IF(WEEKDAY(R$6,1)=7,0,MIN(8,R9)*R8))),MAX(0,40*MAX(1,R8)-(0))))</f>
        <v>64</v>
      </c>
      <c r="S10" s="63">
        <f>IF(AND(S8=8,S9=8),64,MIN(IF(S8&lt;=0,0,IF(WEEKDAY(S$6,1)=1,0,IF(WEEKDAY(S$6,1)=7,0,MIN(8,S9)*S8))),MAX(0,40*MAX(1,S8)-(R10))))</f>
        <v>64</v>
      </c>
      <c r="T10" s="63">
        <f>IF(AND(T8=8,T9=8),64,MIN(IF(T8&lt;=0,0,IF(WEEKDAY(T$6,1)=1,0,IF(WEEKDAY(T$6,1)=7,0,MIN(8,T9)*T8))),MAX(0,40*MAX(1,T8)-(R10+S10))))</f>
        <v>64</v>
      </c>
      <c r="U10" s="63">
        <f>IF(AND(U8=8,U9=8),64,MIN(IF(U8&lt;=0,0,IF(WEEKDAY(U$6,1)=1,0,IF(WEEKDAY(U$6,1)=7,0,MIN(8,U9)*U8))),MAX(0,40*MAX(1,U8)-(R10+S10+T10))))</f>
        <v>64</v>
      </c>
      <c r="V10" s="63">
        <f>IF(AND(V8=8,V9=8),64,MIN(IF(V8&lt;=0,0,IF(WEEKDAY(V$6,1)=1,0,IF(WEEKDAY(V$6,1)=7,0,MIN(8,V9)*V8))),MAX(0,40*MAX(1,V8)-(R10+S10+T10+U10))))</f>
        <v>64</v>
      </c>
      <c r="W10" s="64">
        <f>IF(AND(W8=0,W9=0),0,MIN(IF(W8&lt;=0,0,IF(WEEKDAY(W$6,1)=1,0,IF(WEEKDAY(W$6,1)=7,0,MIN(8,W9)*W8))),MAX(0,40*MAX(1,W8)-(0))))</f>
        <v>0</v>
      </c>
      <c r="X10" s="64">
        <f>IF(AND(X8=0,X9=0),0,MIN(IF(X8&lt;=0,0,IF(WEEKDAY(X$6,1)=1,0,IF(WEEKDAY(X$6,1)=7,0,MIN(8,X9)*X8))),MAX(0,40*MAX(1,X8)-(W10))))</f>
        <v>0</v>
      </c>
      <c r="Y10" s="63">
        <f>IF(AND(Y8=8,Y9=8),64,MIN(IF(Y8&lt;=0,0,IF(WEEKDAY(Y$6,1)=1,0,IF(WEEKDAY(Y$6,1)=7,0,MIN(8,Y9)*Y8))),MAX(0,40*MAX(1,Y8)-(0))))</f>
        <v>64</v>
      </c>
      <c r="Z10" s="63">
        <f>IF(AND(Z8=8,Z9=8),64,MIN(IF(Z8&lt;=0,0,IF(WEEKDAY(Z$6,1)=1,0,IF(WEEKDAY(Z$6,1)=7,0,MIN(8,Z9)*Z8))),MAX(0,40*MAX(1,Z8)-(Y10))))</f>
        <v>64</v>
      </c>
      <c r="AA10" s="63">
        <f>IF(AND(AA8=8,AA9=8),64,MIN(IF(AA8&lt;=0,0,IF(WEEKDAY(AA$6,1)=1,0,IF(WEEKDAY(AA$6,1)=7,0,MIN(8,AA9)*AA8))),MAX(0,40*MAX(1,AA8)-(Y10+Z10))))</f>
        <v>64</v>
      </c>
      <c r="AB10" s="63">
        <f>IF(AND(AB8=8,AB9=8),64,MIN(IF(AB8&lt;=0,0,IF(WEEKDAY(AB$6,1)=1,0,IF(WEEKDAY(AB$6,1)=7,0,MIN(8,AB9)*AB8))),MAX(0,40*MAX(1,AB8)-(Y10+Z10+AA10))))</f>
        <v>64</v>
      </c>
      <c r="AC10" s="63">
        <f>IF(AND(AC8=8,AC9=8),64,MIN(IF(AC8&lt;=0,0,IF(WEEKDAY(AC$6,1)=1,0,IF(WEEKDAY(AC$6,1)=7,0,MIN(8,AC9)*AC8))),MAX(0,40*MAX(1,AC8)-(Y10+Z10+AA10+AB10))))</f>
        <v>64</v>
      </c>
      <c r="AD10" s="64">
        <f>IF(AND(AD8=0,AD9=0),0,MIN(IF(AD8&lt;=0,0,IF(WEEKDAY(AD$6,1)=1,0,IF(WEEKDAY(AD$6,1)=7,0,MIN(8,AD9)*AD8))),MAX(0,40*MAX(1,AD8)-(0))))</f>
        <v>0</v>
      </c>
      <c r="AE10" s="64">
        <f>IF(AND(AE8=0,AE9=0),0,MIN(IF(AE8&lt;=0,0,IF(WEEKDAY(AE$6,1)=1,0,IF(WEEKDAY(AE$6,1)=7,0,MIN(8,AE9)*AE8))),MAX(0,40*MAX(1,AE8)-(AD10))))</f>
        <v>0</v>
      </c>
      <c r="AF10" s="63">
        <f>IF(AND(AF8=8,AF9=8),64,MIN(IF(AF8&lt;=0,0,IF(WEEKDAY(AF$6,1)=1,0,IF(WEEKDAY(AF$6,1)=7,0,MIN(8,AF9)*AF8))),MAX(0,40*MAX(1,AF8)-(0))))</f>
        <v>64</v>
      </c>
      <c r="AG10" s="63">
        <f>IF(AND(AG8=8,AG9=8),64,MIN(IF(AG8&lt;=0,0,IF(WEEKDAY(AG$6,1)=1,0,IF(WEEKDAY(AG$6,1)=7,0,MIN(8,AG9)*AG8))),MAX(0,40*MAX(1,AG8)-(AF10))))</f>
        <v>64</v>
      </c>
      <c r="AH10" s="63">
        <f>IF(AND(AH8=8,AH9=8),64,MIN(IF(AH8&lt;=0,0,IF(WEEKDAY(AH$6,1)=1,0,IF(WEEKDAY(AH$6,1)=7,0,MIN(8,AH9)*AH8))),MAX(0,40*MAX(1,AH8)-(AF10+AG10))))</f>
        <v>64</v>
      </c>
      <c r="AI10" s="63">
        <f>IF(AND(AI8=8,AI9=8),64,MIN(IF(AI8&lt;=0,0,IF(WEEKDAY(AI$6,1)=1,0,IF(WEEKDAY(AI$6,1)=7,0,MIN(8,AI9)*AI8))),MAX(0,40*MAX(1,AI8)-(AF10+AG10+AH10))))</f>
        <v>64</v>
      </c>
      <c r="AJ10" s="63">
        <f>IF(AND(AJ8=8,AJ9=8),64,MIN(IF(AJ8&lt;=0,0,IF(WEEKDAY(AJ$6,1)=1,0,IF(WEEKDAY(AJ$6,1)=7,0,MIN(8,AJ9)*AJ8))),MAX(0,40*MAX(1,AJ8)-(AF10+AG10+AH10+AI10))))</f>
        <v>64</v>
      </c>
      <c r="AK10" s="64">
        <f>IF(AND(AK8=0,AK9=0),0,MIN(IF(AK8&lt;=0,0,IF(WEEKDAY(AK$6,1)=1,0,IF(WEEKDAY(AK$6,1)=7,0,MIN(8,AK9)*AK8))),MAX(0,40*MAX(1,AK8)-(0))))</f>
        <v>0</v>
      </c>
      <c r="AL10" s="64">
        <f>IF(AND(AL8=0,AL9=0),0,MIN(IF(AL8&lt;=0,0,IF(WEEKDAY(AL$6,1)=1,0,IF(WEEKDAY(AL$6,1)=7,0,MIN(8,AL9)*AL8))),MAX(0,40*MAX(1,AL8)-(AK10))))</f>
        <v>0</v>
      </c>
      <c r="AM10" s="63">
        <f>IF(AND(AM8=8,AM9=8),64,MIN(IF(AM8&lt;=0,0,IF(WEEKDAY(AM$6,1)=1,0,IF(WEEKDAY(AM$6,1)=7,0,MIN(8,AM9)*AM8))),MAX(0,40*MAX(1,AM8)-(0))))</f>
        <v>64</v>
      </c>
      <c r="AN10" s="63">
        <f>IF(AND(AN8=8,AN9=8),64,MIN(IF(AN8&lt;=0,0,IF(WEEKDAY(AN$6,1)=1,0,IF(WEEKDAY(AN$6,1)=7,0,MIN(8,AN9)*AN8))),MAX(0,40*MAX(1,AN8)-(AM10))))</f>
        <v>64</v>
      </c>
      <c r="AO10" s="63">
        <f>IF(AND(AO8=8,AO9=8),64,MIN(IF(AO8&lt;=0,0,IF(WEEKDAY(AO$6,1)=1,0,IF(WEEKDAY(AO$6,1)=7,0,MIN(8,AO9)*AO8))),MAX(0,40*MAX(1,AO8)-(AM10+AN10))))</f>
        <v>64</v>
      </c>
      <c r="AP10" s="63">
        <f>IF(AND(AP8=8,AP9=8),64,MIN(IF(AP8&lt;=0,0,IF(WEEKDAY(AP$6,1)=1,0,IF(WEEKDAY(AP$6,1)=7,0,MIN(8,AP9)*AP8))),MAX(0,40*MAX(1,AP8)-(AM10+AN10+AO10))))</f>
        <v>64</v>
      </c>
      <c r="AQ10" s="63">
        <f>IF(AND(AQ8=11,AQ9=8),88,MIN(IF(AQ8&lt;=0,0,IF(WEEKDAY(AQ$6,1)=1,0,IF(WEEKDAY(AQ$6,1)=7,0,MIN(8,AQ9)*AQ8))),MAX(0,40*MAX(1,AQ8)-(AM10+AN10+AO10+AP10))))</f>
        <v>88</v>
      </c>
      <c r="AR10" s="64">
        <f>IF(AND(AR8=0,AR9=0),0,MIN(IF(AR8&lt;=0,0,IF(WEEKDAY(AR$6,1)=1,0,IF(WEEKDAY(AR$6,1)=7,0,MIN(8,AR9)*AR8))),MAX(0,40*MAX(1,AR8)-(0))))</f>
        <v>0</v>
      </c>
      <c r="AS10" s="64">
        <f>IF(AND(AS8=0,AS9=0),0,MIN(IF(AS8&lt;=0,0,IF(WEEKDAY(AS$6,1)=1,0,IF(WEEKDAY(AS$6,1)=7,0,MIN(8,AS9)*AS8))),MAX(0,40*MAX(1,AS8)-(AR10))))</f>
        <v>0</v>
      </c>
      <c r="AT10" s="63">
        <f>IF(AND(AT8=8,AT9=8),64,MIN(IF(AT8&lt;=0,0,IF(WEEKDAY(AT$6,1)=1,0,IF(WEEKDAY(AT$6,1)=7,0,MIN(8,AT9)*AT8))),MAX(0,40*MAX(1,AT8)-(0))))</f>
        <v>64</v>
      </c>
      <c r="AU10" s="63">
        <f>IF(AND(AU8=8,AU9=8),64,MIN(IF(AU8&lt;=0,0,IF(WEEKDAY(AU$6,1)=1,0,IF(WEEKDAY(AU$6,1)=7,0,MIN(8,AU9)*AU8))),MAX(0,40*MAX(1,AU8)-(AT10))))</f>
        <v>64</v>
      </c>
      <c r="AV10" s="63">
        <f>IF(AND(AV8=8,AV9=8),64,MIN(IF(AV8&lt;=0,0,IF(WEEKDAY(AV$6,1)=1,0,IF(WEEKDAY(AV$6,1)=7,0,MIN(8,AV9)*AV8))),MAX(0,40*MAX(1,AV8)-(AT10+AU10))))</f>
        <v>64</v>
      </c>
      <c r="AW10" s="63">
        <f>IF(AND(AW8=8,AW9=8),64,MIN(IF(AW8&lt;=0,0,IF(WEEKDAY(AW$6,1)=1,0,IF(WEEKDAY(AW$6,1)=7,0,MIN(8,AW9)*AW8))),MAX(0,40*MAX(1,AW8)-(AT10+AU10+AV10))))</f>
        <v>64</v>
      </c>
      <c r="AX10" s="63">
        <f>IF(AND(AX8=8,AX9=8),64,MIN(IF(AX8&lt;=0,0,IF(WEEKDAY(AX$6,1)=1,0,IF(WEEKDAY(AX$6,1)=7,0,MIN(8,AX9)*AX8))),MAX(0,40*MAX(1,AX8)-(AT10+AU10+AV10+AW10))))</f>
        <v>64</v>
      </c>
      <c r="AY10" s="64">
        <f>IF(AND(AY8=0,AY9=0),0,MIN(IF(AY8&lt;=0,0,IF(WEEKDAY(AY$6,1)=1,0,IF(WEEKDAY(AY$6,1)=7,0,MIN(8,AY9)*AY8))),MAX(0,40*MAX(1,AY8)-(0))))</f>
        <v>0</v>
      </c>
      <c r="AZ10" s="64">
        <f>IF(AND(AZ8=0,AZ9=0),0,MIN(IF(AZ8&lt;=0,0,IF(WEEKDAY(AZ$6,1)=1,0,IF(WEEKDAY(AZ$6,1)=7,0,MIN(8,AZ9)*AZ8))),MAX(0,40*MAX(1,AZ8)-(AY10))))</f>
        <v>0</v>
      </c>
      <c r="BA10" s="63">
        <f>IF(AND(BA8=8,BA9=8),64,MIN(IF(BA8&lt;=0,0,IF(WEEKDAY(BA$6,1)=1,0,IF(WEEKDAY(BA$6,1)=7,0,MIN(8,BA9)*BA8))),MAX(0,40*MAX(1,BA8)-(0))))</f>
        <v>64</v>
      </c>
      <c r="BB10" s="63">
        <f>IF(AND(BB8=8,BB9=8),64,MIN(IF(BB8&lt;=0,0,IF(WEEKDAY(BB$6,1)=1,0,IF(WEEKDAY(BB$6,1)=7,0,MIN(8,BB9)*BB8))),MAX(0,40*MAX(1,BB8)-(BA10))))</f>
        <v>64</v>
      </c>
      <c r="BC10" s="63">
        <f>IF(AND(BC8=8,BC9=8),64,MIN(IF(BC8&lt;=0,0,IF(WEEKDAY(BC$6,1)=1,0,IF(WEEKDAY(BC$6,1)=7,0,MIN(8,BC9)*BC8))),MAX(0,40*MAX(1,BC8)-(BA10+BB10))))</f>
        <v>64</v>
      </c>
      <c r="BD10" s="63">
        <f>IF(AND(BD8=8,BD9=8),64,MIN(IF(BD8&lt;=0,0,IF(WEEKDAY(BD$6,1)=1,0,IF(WEEKDAY(BD$6,1)=7,0,MIN(8,BD9)*BD8))),MAX(0,40*MAX(1,BD8)-(BA10+BB10+BC10))))</f>
        <v>64</v>
      </c>
      <c r="BE10" s="63">
        <f>IF(AND(BE8=8,BE9=8),64,MIN(IF(BE8&lt;=0,0,IF(WEEKDAY(BE$6,1)=1,0,IF(WEEKDAY(BE$6,1)=7,0,MIN(8,BE9)*BE8))),MAX(0,40*MAX(1,BE8)-(BA10+BB10+BC10+BD10))))</f>
        <v>64</v>
      </c>
      <c r="BF10" s="64">
        <f>IF(AND(BF8=0,BF9=0),0,MIN(IF(BF8&lt;=0,0,IF(WEEKDAY(BF$6,1)=1,0,IF(WEEKDAY(BF$6,1)=7,0,MIN(8,BF9)*BF8))),MAX(0,40*MAX(1,BF8)-(0))))</f>
        <v>0</v>
      </c>
      <c r="BG10" s="64">
        <f>IF(AND(BG8=0,BG9=0),0,MIN(IF(BG8&lt;=0,0,IF(WEEKDAY(BG$6,1)=1,0,IF(WEEKDAY(BG$6,1)=7,0,MIN(8,BG9)*BG8))),MAX(0,40*MAX(1,BG8)-(BF10))))</f>
        <v>0</v>
      </c>
      <c r="BH10" s="63">
        <f>IF(AND(BH8=15,BH9=10),120,MIN(IF(BH8&lt;=0,0,IF(WEEKDAY(BH$6,1)=1,0,IF(WEEKDAY(BH$6,1)=7,0,MIN(8,BH9)*BH8))),MAX(0,40*MAX(1,BH8)-(0))))</f>
        <v>120</v>
      </c>
      <c r="BI10" s="63">
        <f>IF(AND(BI8=18,BI9=10),144,MIN(IF(BI8&lt;=0,0,IF(WEEKDAY(BI$6,1)=1,0,IF(WEEKDAY(BI$6,1)=7,0,MIN(8,BI9)*BI8))),MAX(0,40*MAX(1,BI8)-(BH10))))</f>
        <v>144</v>
      </c>
      <c r="BJ10" s="63">
        <f>IF(AND(BJ8=20,BJ9=10),160,MIN(IF(BJ8&lt;=0,0,IF(WEEKDAY(BJ$6,1)=1,0,IF(WEEKDAY(BJ$6,1)=7,0,MIN(8,BJ9)*BJ8))),MAX(0,40*MAX(1,BJ8)-(BH10+BI10))))</f>
        <v>160</v>
      </c>
      <c r="BK10" s="63">
        <f>IF(AND(BK8=20,BK9=10),160,MIN(IF(BK8&lt;=0,0,IF(WEEKDAY(BK$6,1)=1,0,IF(WEEKDAY(BK$6,1)=7,0,MIN(8,BK9)*BK8))),MAX(0,40*MAX(1,BK8)-(BH10+BI10+BJ10))))</f>
        <v>160</v>
      </c>
      <c r="BL10" s="63">
        <f>IF(AND(BL8=20,BL9=10),160,MIN(IF(BL8&lt;=0,0,IF(WEEKDAY(BL$6,1)=1,0,IF(WEEKDAY(BL$6,1)=7,0,MIN(8,BL9)*BL8))),MAX(0,40*MAX(1,BL8)-(BH10+BI10+BJ10+BK10))))</f>
        <v>160</v>
      </c>
      <c r="BM10" s="64">
        <f>IF(AND(BM8=20,BM9=10),0,MIN(IF(BM8&lt;=0,0,IF(WEEKDAY(BM$6,1)=1,0,IF(WEEKDAY(BM$6,1)=7,0,MIN(8,BM9)*BM8))),MAX(0,40*MAX(1,BM8)-(BH10+BI10+BJ10+BK10+BL10))))</f>
        <v>0</v>
      </c>
      <c r="BN10" s="64">
        <f>IF(AND(BN8=20,BN9=10),0,MIN(IF(BN8&lt;=0,0,IF(WEEKDAY(BN$6,1)=1,0,IF(WEEKDAY(BN$6,1)=7,0,MIN(8,BN9)*BN8))),MAX(0,40*MAX(1,BN8)-(BH10+BI10+BJ10+BK10+BL10+BM10))))</f>
        <v>0</v>
      </c>
      <c r="BO10" s="63">
        <f>IF(AND(BO8=20,BO9=10),160,MIN(IF(BO8&lt;=0,0,IF(WEEKDAY(BO$6,1)=1,0,IF(WEEKDAY(BO$6,1)=7,0,MIN(8,BO9)*BO8))),MAX(0,40*MAX(1,BO8)-(0))))</f>
        <v>160</v>
      </c>
      <c r="BP10" s="63">
        <f>IF(AND(BP8=20,BP9=10),160,MIN(IF(BP8&lt;=0,0,IF(WEEKDAY(BP$6,1)=1,0,IF(WEEKDAY(BP$6,1)=7,0,MIN(8,BP9)*BP8))),MAX(0,40*MAX(1,BP8)-(BO10))))</f>
        <v>160</v>
      </c>
      <c r="BQ10" s="63">
        <f>IF(AND(BQ8=20,BQ9=10),160,MIN(IF(BQ8&lt;=0,0,IF(WEEKDAY(BQ$6,1)=1,0,IF(WEEKDAY(BQ$6,1)=7,0,MIN(8,BQ9)*BQ8))),MAX(0,40*MAX(1,BQ8)-(BO10+BP10))))</f>
        <v>160</v>
      </c>
      <c r="BR10" s="63">
        <f>IF(AND(BR8=30,BR9=10),240,MIN(IF(BR8&lt;=0,0,IF(WEEKDAY(BR$6,1)=1,0,IF(WEEKDAY(BR$6,1)=7,0,MIN(8,BR9)*BR8))),MAX(0,40*MAX(1,BR8)-(0))))</f>
        <v>240</v>
      </c>
      <c r="BS10" s="63">
        <f>IF(AND(BS8=30,BS9=10),240,MIN(IF(BS8&lt;=0,0,IF(WEEKDAY(BS$6,1)=1,0,IF(WEEKDAY(BS$6,1)=7,0,MIN(8,BS9)*BS8))),MAX(0,40*MAX(1,BS8)-(BR10))))</f>
        <v>240</v>
      </c>
      <c r="BT10" s="64">
        <f>IF(AND(BT8=30,BT9=10),0,MIN(IF(BT8&lt;=0,0,IF(WEEKDAY(BT$6,1)=1,0,IF(WEEKDAY(BT$6,1)=7,0,MIN(8,BT9)*BT8))),MAX(0,40*MAX(1,BT8)-(BR10+BS10))))</f>
        <v>0</v>
      </c>
      <c r="BU10" s="64">
        <f>IF(AND(BU8=30,BU9=10),0,MIN(IF(BU8&lt;=0,0,IF(WEEKDAY(BU$6,1)=1,0,IF(WEEKDAY(BU$6,1)=7,0,MIN(8,BU9)*BU8))),MAX(0,40*MAX(1,BU8)-(BR10+BS10+BT10))))</f>
        <v>0</v>
      </c>
      <c r="BV10" s="63">
        <f>IF(AND(BV8=30,BV9=10),240,MIN(IF(BV8&lt;=0,0,IF(WEEKDAY(BV$6,1)=1,0,IF(WEEKDAY(BV$6,1)=7,0,MIN(8,BV9)*BV8))),MAX(0,40*MAX(1,BV8)-(0))))</f>
        <v>240</v>
      </c>
      <c r="BW10" s="63">
        <f>IF(AND(BW8=30,BW9=10),240,MIN(IF(BW8&lt;=0,0,IF(WEEKDAY(BW$6,1)=1,0,IF(WEEKDAY(BW$6,1)=7,0,MIN(8,BW9)*BW8))),MAX(0,40*MAX(1,BW8)-(BV10))))</f>
        <v>240</v>
      </c>
      <c r="BX10" s="63">
        <f>IF(AND(BX8=30,BX9=10),240,MIN(IF(BX8&lt;=0,0,IF(WEEKDAY(BX$6,1)=1,0,IF(WEEKDAY(BX$6,1)=7,0,MIN(8,BX9)*BX8))),MAX(0,40*MAX(1,BX8)-(BV10+BW10))))</f>
        <v>240</v>
      </c>
      <c r="BY10" s="63">
        <f>IF(AND(BY8=30,BY9=10),240,MIN(IF(BY8&lt;=0,0,IF(WEEKDAY(BY$6,1)=1,0,IF(WEEKDAY(BY$6,1)=7,0,MIN(8,BY9)*BY8))),MAX(0,40*MAX(1,BY8)-(BV10+BW10+BX10))))</f>
        <v>240</v>
      </c>
      <c r="BZ10" s="63">
        <f>IF(AND(BZ8=30,BZ9=10),240,MIN(IF(BZ8&lt;=0,0,IF(WEEKDAY(BZ$6,1)=1,0,IF(WEEKDAY(BZ$6,1)=7,0,MIN(8,BZ9)*BZ8))),MAX(0,40*MAX(1,BZ8)-(BV10+BW10+BX10+BY10))))</f>
        <v>240</v>
      </c>
      <c r="CA10" s="64">
        <f>IF(AND(CA8=30,CA9=10),0,MIN(IF(CA8&lt;=0,0,IF(WEEKDAY(CA$6,1)=1,0,IF(WEEKDAY(CA$6,1)=7,0,MIN(8,CA9)*CA8))),MAX(0,40*MAX(1,CA8)-(BV10+BW10+BX10+BY10+BZ10))))</f>
        <v>0</v>
      </c>
      <c r="CB10" s="64">
        <f>IF(AND(CB8=30,CB9=10),0,MIN(IF(CB8&lt;=0,0,IF(WEEKDAY(CB$6,1)=1,0,IF(WEEKDAY(CB$6,1)=7,0,MIN(8,CB9)*CB8))),MAX(0,40*MAX(1,CB8)-(BV10+BW10+BX10+BY10+BZ10+CA10))))</f>
        <v>0</v>
      </c>
      <c r="CC10" s="63">
        <f>IF(AND(CC8=30,CC9=10),240,MIN(IF(CC8&lt;=0,0,IF(WEEKDAY(CC$6,1)=1,0,IF(WEEKDAY(CC$6,1)=7,0,MIN(8,CC9)*CC8))),MAX(0,40*MAX(1,CC8)-(0))))</f>
        <v>240</v>
      </c>
      <c r="CD10" s="63">
        <f>IF(AND(CD8=30,CD9=10),240,MIN(IF(CD8&lt;=0,0,IF(WEEKDAY(CD$6,1)=1,0,IF(WEEKDAY(CD$6,1)=7,0,MIN(8,CD9)*CD8))),MAX(0,40*MAX(1,CD8)-(CC10))))</f>
        <v>240</v>
      </c>
      <c r="CE10" s="63">
        <f>IF(AND(CE8=30,CE9=10),240,MIN(IF(CE8&lt;=0,0,IF(WEEKDAY(CE$6,1)=1,0,IF(WEEKDAY(CE$6,1)=7,0,MIN(8,CE9)*CE8))),MAX(0,40*MAX(1,CE8)-(CC10+CD10))))</f>
        <v>240</v>
      </c>
      <c r="CF10" s="63">
        <f>IF(AND(CF8=30,CF9=10),240,MIN(IF(CF8&lt;=0,0,IF(WEEKDAY(CF$6,1)=1,0,IF(WEEKDAY(CF$6,1)=7,0,MIN(8,CF9)*CF8))),MAX(0,40*MAX(1,CF8)-(CC10+CD10+CE10))))</f>
        <v>240</v>
      </c>
      <c r="CG10" s="63">
        <f>IF(AND(CG8=30,CG9=10),240,MIN(IF(CG8&lt;=0,0,IF(WEEKDAY(CG$6,1)=1,0,IF(WEEKDAY(CG$6,1)=7,0,MIN(8,CG9)*CG8))),MAX(0,40*MAX(1,CG8)-(CC10+CD10+CE10+CF10))))</f>
        <v>240</v>
      </c>
      <c r="CH10" s="64">
        <f>IF(AND(CH8=30,CH9=10),0,MIN(IF(CH8&lt;=0,0,IF(WEEKDAY(CH$6,1)=1,0,IF(WEEKDAY(CH$6,1)=7,0,MIN(8,CH9)*CH8))),MAX(0,40*MAX(1,CH8)-(CC10+CD10+CE10+CF10+CG10))))</f>
        <v>0</v>
      </c>
      <c r="CI10" s="64">
        <f>IF(AND(CI8=30,CI9=10),0,MIN(IF(CI8&lt;=0,0,IF(WEEKDAY(CI$6,1)=1,0,IF(WEEKDAY(CI$6,1)=7,0,MIN(8,CI9)*CI8))),MAX(0,40*MAX(1,CI8)-(CC10+CD10+CE10+CF10+CG10+CH10))))</f>
        <v>0</v>
      </c>
      <c r="CJ10" s="63">
        <f>IF(AND(CJ8=30,CJ9=10),240,MIN(IF(CJ8&lt;=0,0,IF(WEEKDAY(CJ$6,1)=1,0,IF(WEEKDAY(CJ$6,1)=7,0,MIN(8,CJ9)*CJ8))),MAX(0,40*MAX(1,CJ8)-(0))))</f>
        <v>240</v>
      </c>
      <c r="CK10" s="63">
        <f>IF(AND(CK8=30,CK9=10),240,MIN(IF(CK8&lt;=0,0,IF(WEEKDAY(CK$6,1)=1,0,IF(WEEKDAY(CK$6,1)=7,0,MIN(8,CK9)*CK8))),MAX(0,40*MAX(1,CK8)-(CJ10))))</f>
        <v>240</v>
      </c>
      <c r="CL10" s="63">
        <f>IF(AND(CL8=25,CL9=10),200,MIN(IF(CL8&lt;=0,0,IF(WEEKDAY(CL$6,1)=1,0,IF(WEEKDAY(CL$6,1)=7,0,MIN(8,CL9)*CL8))),MAX(0,40*MAX(1,CL8)-(0))))</f>
        <v>200</v>
      </c>
      <c r="CM10" s="63">
        <f>IF(AND(CM8=25,CM9=10),200,MIN(IF(CM8&lt;=0,0,IF(WEEKDAY(CM$6,1)=1,0,IF(WEEKDAY(CM$6,1)=7,0,MIN(8,CM9)*CM8))),MAX(0,40*MAX(1,CM8)-(CL10))))</f>
        <v>200</v>
      </c>
      <c r="CN10" s="63">
        <f>IF(AND(CN8=25,CN9=10),200,MIN(IF(CN8&lt;=0,0,IF(WEEKDAY(CN$6,1)=1,0,IF(WEEKDAY(CN$6,1)=7,0,MIN(8,CN9)*CN8))),MAX(0,40*MAX(1,CN8)-(CL10+CM10))))</f>
        <v>200</v>
      </c>
      <c r="CO10" s="64">
        <f>IF(AND(CO8=25,CO9=10),0,MIN(IF(CO8&lt;=0,0,IF(WEEKDAY(CO$6,1)=1,0,IF(WEEKDAY(CO$6,1)=7,0,MIN(8,CO9)*CO8))),MAX(0,40*MAX(1,CO8)-(CL10+CM10+CN10))))</f>
        <v>0</v>
      </c>
      <c r="CP10" s="64">
        <f>IF(AND(CP8=25,CP9=10),0,MIN(IF(CP8&lt;=0,0,IF(WEEKDAY(CP$6,1)=1,0,IF(WEEKDAY(CP$6,1)=7,0,MIN(8,CP9)*CP8))),MAX(0,40*MAX(1,CP8)-(CL10+CM10+CN10+CO10))))</f>
        <v>0</v>
      </c>
      <c r="CQ10" s="63">
        <f>IF(AND(CQ8=25,CQ9=10),200,MIN(IF(CQ8&lt;=0,0,IF(WEEKDAY(CQ$6,1)=1,0,IF(WEEKDAY(CQ$6,1)=7,0,MIN(8,CQ9)*CQ8))),MAX(0,40*MAX(1,CQ8)-(0))))</f>
        <v>200</v>
      </c>
      <c r="CR10" s="63">
        <f>IF(AND(CR8=25,CR9=10),200,MIN(IF(CR8&lt;=0,0,IF(WEEKDAY(CR$6,1)=1,0,IF(WEEKDAY(CR$6,1)=7,0,MIN(8,CR9)*CR8))),MAX(0,40*MAX(1,CR8)-(CQ10))))</f>
        <v>200</v>
      </c>
      <c r="CS10" s="63">
        <f>IF(AND(CS8=25,CS9=10),200,MIN(IF(CS8&lt;=0,0,IF(WEEKDAY(CS$6,1)=1,0,IF(WEEKDAY(CS$6,1)=7,0,MIN(8,CS9)*CS8))),MAX(0,40*MAX(1,CS8)-(CQ10+CR10))))</f>
        <v>200</v>
      </c>
      <c r="CT10" s="63">
        <f>IF(AND(CT8=25,CT9=10),200,MIN(IF(CT8&lt;=0,0,IF(WEEKDAY(CT$6,1)=1,0,IF(WEEKDAY(CT$6,1)=7,0,MIN(8,CT9)*CT8))),MAX(0,40*MAX(1,CT8)-(CQ10+CR10+CS10))))</f>
        <v>200</v>
      </c>
      <c r="CU10" s="63">
        <f>IF(AND(CU8=25,CU9=10),200,MIN(IF(CU8&lt;=0,0,IF(WEEKDAY(CU$6,1)=1,0,IF(WEEKDAY(CU$6,1)=7,0,MIN(8,CU9)*CU8))),MAX(0,40*MAX(1,CU8)-(CQ10+CR10+CS10+CT10))))</f>
        <v>200</v>
      </c>
      <c r="CV10" s="64">
        <f>IF(AND(CV8=25,CV9=10),0,MIN(IF(CV8&lt;=0,0,IF(WEEKDAY(CV$6,1)=1,0,IF(WEEKDAY(CV$6,1)=7,0,MIN(8,CV9)*CV8))),MAX(0,40*MAX(1,CV8)-(CQ10+CR10+CS10+CT10+CU10))))</f>
        <v>0</v>
      </c>
      <c r="CW10" s="64">
        <f>IF(AND(CW8=25,CW9=10),0,MIN(IF(CW8&lt;=0,0,IF(WEEKDAY(CW$6,1)=1,0,IF(WEEKDAY(CW$6,1)=7,0,MIN(8,CW9)*CW8))),MAX(0,40*MAX(1,CW8)-(CQ10+CR10+CS10+CT10+CU10+CV10))))</f>
        <v>0</v>
      </c>
      <c r="CX10" s="63">
        <f>IF(AND(CX8=25,CX9=10),200,MIN(IF(CX8&lt;=0,0,IF(WEEKDAY(CX$6,1)=1,0,IF(WEEKDAY(CX$6,1)=7,0,MIN(8,CX9)*CX8))),MAX(0,40*MAX(1,CX8)-(0))))</f>
        <v>200</v>
      </c>
      <c r="CY10" s="63">
        <f>IF(AND(CY8=25,CY9=10),200,MIN(IF(CY8&lt;=0,0,IF(WEEKDAY(CY$6,1)=1,0,IF(WEEKDAY(CY$6,1)=7,0,MIN(8,CY9)*CY8))),MAX(0,40*MAX(1,CY8)-(CX10))))</f>
        <v>200</v>
      </c>
      <c r="CZ10" s="63">
        <f>IF(AND(CZ8=20,CZ9=10),160,MIN(IF(CZ8&lt;=0,0,IF(WEEKDAY(CZ$6,1)=1,0,IF(WEEKDAY(CZ$6,1)=7,0,MIN(8,CZ9)*CZ8))),MAX(0,40*MAX(1,CZ8)-(0))))</f>
        <v>160</v>
      </c>
      <c r="DA10" s="63">
        <f>IF(AND(DA8=20,DA9=10),160,MIN(IF(DA8&lt;=0,0,IF(WEEKDAY(DA$6,1)=1,0,IF(WEEKDAY(DA$6,1)=7,0,MIN(8,DA9)*DA8))),MAX(0,40*MAX(1,DA8)-(CZ10))))</f>
        <v>160</v>
      </c>
      <c r="DB10" s="63">
        <f>IF(AND(DB8=20,DB9=10),160,MIN(IF(DB8&lt;=0,0,IF(WEEKDAY(DB$6,1)=1,0,IF(WEEKDAY(DB$6,1)=7,0,MIN(8,DB9)*DB8))),MAX(0,40*MAX(1,DB8)-(CZ10+DA10))))</f>
        <v>160</v>
      </c>
      <c r="DC10" s="64">
        <f>IF(AND(DC8=20,DC9=10),0,MIN(IF(DC8&lt;=0,0,IF(WEEKDAY(DC$6,1)=1,0,IF(WEEKDAY(DC$6,1)=7,0,MIN(8,DC9)*DC8))),MAX(0,40*MAX(1,DC8)-(CZ10+DA10+DB10))))</f>
        <v>0</v>
      </c>
      <c r="DD10" s="64">
        <f>IF(AND(DD8=0,DD9=0),0,MIN(IF(DD8&lt;=0,0,IF(WEEKDAY(DD$6,1)=1,0,IF(WEEKDAY(DD$6,1)=7,0,MIN(8,DD9)*DD8))),MAX(0,40*MAX(1,DD8)-(0))))</f>
        <v>0</v>
      </c>
      <c r="DE10" s="63">
        <f>IF(AND(DE8=6,DE9=10),48,MIN(IF(DE8&lt;=0,0,IF(WEEKDAY(DE$6,1)=1,0,IF(WEEKDAY(DE$6,1)=7,0,MIN(8,DE9)*DE8))),MAX(0,40*MAX(1,DE8)-(0))))</f>
        <v>48</v>
      </c>
      <c r="DF10" s="63">
        <f>IF(AND(DF8=0,DF9=0),0,MIN(IF(DF8&lt;=0,0,IF(WEEKDAY(DF$6,1)=1,0,IF(WEEKDAY(DF$6,1)=7,0,MIN(8,DF9)*DF8))),MAX(0,40*MAX(1,DF8)-(0))))</f>
        <v>0</v>
      </c>
      <c r="DG10" s="63">
        <f>IF(AND(DG8=0,DG9=0),0,MIN(IF(DG8&lt;=0,0,IF(WEEKDAY(DG$6,1)=1,0,IF(WEEKDAY(DG$6,1)=7,0,MIN(8,DG9)*DG8))),MAX(0,40*MAX(1,DG8)-(DF10))))</f>
        <v>0</v>
      </c>
      <c r="DH10" s="63">
        <f>IF(AND(DH8=0,DH9=0),0,MIN(IF(DH8&lt;=0,0,IF(WEEKDAY(DH$6,1)=1,0,IF(WEEKDAY(DH$6,1)=7,0,MIN(8,DH9)*DH8))),MAX(0,40*MAX(1,DH8)-(DF10+DG10))))</f>
        <v>0</v>
      </c>
      <c r="DI10" s="63">
        <f>IF(AND(DI8=0,DI9=0),0,MIN(IF(DI8&lt;=0,0,IF(WEEKDAY(DI$6,1)=1,0,IF(WEEKDAY(DI$6,1)=7,0,MIN(8,DI9)*DI8))),MAX(0,40*MAX(1,DI8)-(DF10+DG10+DH10))))</f>
        <v>0</v>
      </c>
      <c r="DJ10" s="64">
        <f>IF(AND(DJ8=0,DJ9=0),0,MIN(IF(DJ8&lt;=0,0,IF(WEEKDAY(DJ$6,1)=1,0,IF(WEEKDAY(DJ$6,1)=7,0,MIN(8,DJ9)*DJ8))),MAX(0,40*MAX(1,DJ8)-(DF10+DG10+DH10+DI10))))</f>
        <v>0</v>
      </c>
      <c r="DK10" s="64">
        <f>IF(AND(DK8=0,DK9=0),0,MIN(IF(DK8&lt;=0,0,IF(WEEKDAY(DK$6,1)=1,0,IF(WEEKDAY(DK$6,1)=7,0,MIN(8,DK9)*DK8))),MAX(0,40*MAX(1,DK8)-(DF10+DG10+DH10+DI10+DJ10))))</f>
        <v>0</v>
      </c>
      <c r="DL10" s="63">
        <f>IF(AND(DL8=0,DL9=0),0,MIN(IF(DL8&lt;=0,0,IF(WEEKDAY(DL$6,1)=1,0,IF(WEEKDAY(DL$6,1)=7,0,MIN(8,DL9)*DL8))),MAX(0,40*MAX(1,DL8)-(0))))</f>
        <v>0</v>
      </c>
      <c r="DM10" s="63">
        <f>IF(AND(DM8=0,DM9=0),0,MIN(IF(DM8&lt;=0,0,IF(WEEKDAY(DM$6,1)=1,0,IF(WEEKDAY(DM$6,1)=7,0,MIN(8,DM9)*DM8))),MAX(0,40*MAX(1,DM8)-(DL10))))</f>
        <v>0</v>
      </c>
      <c r="DN10" s="63">
        <f>IF(AND(DN8=0,DN9=0),0,MIN(IF(DN8&lt;=0,0,IF(WEEKDAY(DN$6,1)=1,0,IF(WEEKDAY(DN$6,1)=7,0,MIN(8,DN9)*DN8))),MAX(0,40*MAX(1,DN8)-(DL10+DM10))))</f>
        <v>0</v>
      </c>
      <c r="DO10" s="63">
        <f>IF(AND(DO8=0,DO9=0),0,MIN(IF(DO8&lt;=0,0,IF(WEEKDAY(DO$6,1)=1,0,IF(WEEKDAY(DO$6,1)=7,0,MIN(8,DO9)*DO8))),MAX(0,40*MAX(1,DO8)-(DL10+DM10+DN10))))</f>
        <v>0</v>
      </c>
      <c r="DP10" s="63">
        <f>IF(AND(DP8=0,DP9=0),0,MIN(IF(DP8&lt;=0,0,IF(WEEKDAY(DP$6,1)=1,0,IF(WEEKDAY(DP$6,1)=7,0,MIN(8,DP9)*DP8))),MAX(0,40*MAX(1,DP8)-(DL10+DM10+DN10+DO10))))</f>
        <v>0</v>
      </c>
      <c r="DQ10" s="64">
        <f>IF(AND(DQ8=0,DQ9=0),0,MIN(IF(DQ8&lt;=0,0,IF(WEEKDAY(DQ$6,1)=1,0,IF(WEEKDAY(DQ$6,1)=7,0,MIN(8,DQ9)*DQ8))),MAX(0,40*MAX(1,DQ8)-(DL10+DM10+DN10+DO10+DP10))))</f>
        <v>0</v>
      </c>
      <c r="DR10" s="64">
        <f>IF(AND(DR8=0,DR9=0),0,MIN(IF(DR8&lt;=0,0,IF(WEEKDAY(DR$6,1)=1,0,IF(WEEKDAY(DR$6,1)=7,0,MIN(8,DR9)*DR8))),MAX(0,40*MAX(1,DR8)-(DL10+DM10+DN10+DO10+DP10+DQ10))))</f>
        <v>0</v>
      </c>
      <c r="DS10" s="63">
        <f>IF(AND(DS8=0,DS9=0),0,MIN(IF(DS8&lt;=0,0,IF(WEEKDAY(DS$6,1)=1,0,IF(WEEKDAY(DS$6,1)=7,0,MIN(8,DS9)*DS8))),MAX(0,40*MAX(1,DS8)-(0))))</f>
        <v>0</v>
      </c>
      <c r="DT10" s="63">
        <f>IF(AND(DT8=8,DT9=8),64,MIN(IF(DT8&lt;=0,0,IF(WEEKDAY(DT$6,1)=1,0,IF(WEEKDAY(DT$6,1)=7,0,MIN(8,DT9)*DT8))),MAX(0,40*MAX(1,DT8)-(0))))</f>
        <v>64</v>
      </c>
      <c r="DU10" s="63">
        <f>IF(AND(DU8=8,DU9=8),64,MIN(IF(DU8&lt;=0,0,IF(WEEKDAY(DU$6,1)=1,0,IF(WEEKDAY(DU$6,1)=7,0,MIN(8,DU9)*DU8))),MAX(0,40*MAX(1,DU8)-(DT10))))</f>
        <v>64</v>
      </c>
      <c r="DV10" s="63">
        <f>IF(AND(DV8=8,DV9=8),64,MIN(IF(DV8&lt;=0,0,IF(WEEKDAY(DV$6,1)=1,0,IF(WEEKDAY(DV$6,1)=7,0,MIN(8,DV9)*DV8))),MAX(0,40*MAX(1,DV8)-(DT10+DU10))))</f>
        <v>64</v>
      </c>
      <c r="DW10" s="63">
        <f>IF(AND(DW8=8,DW9=8),64,MIN(IF(DW8&lt;=0,0,IF(WEEKDAY(DW$6,1)=1,0,IF(WEEKDAY(DW$6,1)=7,0,MIN(8,DW9)*DW8))),MAX(0,40*MAX(1,DW8)-(DT10+DU10+DV10))))</f>
        <v>64</v>
      </c>
      <c r="DX10" s="64">
        <f>IF(AND(DX8=0,DX9=0),0,MIN(IF(DX8&lt;=0,0,IF(WEEKDAY(DX$6,1)=1,0,IF(WEEKDAY(DX$6,1)=7,0,MIN(8,DX9)*DX8))),MAX(0,40*MAX(1,DX8)-(DS10))))</f>
        <v>0</v>
      </c>
      <c r="DY10" s="64">
        <f>IF(AND(DY8=0,DY9=0),0,MIN(IF(DY8&lt;=0,0,IF(WEEKDAY(DY$6,1)=1,0,IF(WEEKDAY(DY$6,1)=7,0,MIN(8,DY9)*DY8))),MAX(0,40*MAX(1,DY8)-(DS10+DX10))))</f>
        <v>0</v>
      </c>
      <c r="DZ10" s="63">
        <f>IF(AND(DZ8=8,DZ9=8),64,MIN(IF(DZ8&lt;=0,0,IF(WEEKDAY(DZ$6,1)=1,0,IF(WEEKDAY(DZ$6,1)=7,0,MIN(8,DZ9)*DZ8))),MAX(0,40*MAX(1,DZ8)-(0))))</f>
        <v>64</v>
      </c>
      <c r="EA10" s="63">
        <f>IF(AND(EA8=8,EA9=8),64,MIN(IF(EA8&lt;=0,0,IF(WEEKDAY(EA$6,1)=1,0,IF(WEEKDAY(EA$6,1)=7,0,MIN(8,EA9)*EA8))),MAX(0,40*MAX(1,EA8)-(DZ10))))</f>
        <v>64</v>
      </c>
      <c r="EB10" s="63">
        <f>IF(AND(EB8=8,EB9=8),64,MIN(IF(EB8&lt;=0,0,IF(WEEKDAY(EB$6,1)=1,0,IF(WEEKDAY(EB$6,1)=7,0,MIN(8,EB9)*EB8))),MAX(0,40*MAX(1,EB8)-(DZ10+EA10))))</f>
        <v>64</v>
      </c>
      <c r="EC10" s="63">
        <f>IF(AND(EC8=8,EC9=8),64,MIN(IF(EC8&lt;=0,0,IF(WEEKDAY(EC$6,1)=1,0,IF(WEEKDAY(EC$6,1)=7,0,MIN(8,EC9)*EC8))),MAX(0,40*MAX(1,EC8)-(DZ10+EA10+EB10))))</f>
        <v>64</v>
      </c>
      <c r="ED10" s="63">
        <f>IF(AND(ED8=8,ED9=8),64,MIN(IF(ED8&lt;=0,0,IF(WEEKDAY(ED$6,1)=1,0,IF(WEEKDAY(ED$6,1)=7,0,MIN(8,ED9)*ED8))),MAX(0,40*MAX(1,ED8)-(DZ10+EA10+EB10+EC10))))</f>
        <v>64</v>
      </c>
      <c r="EE10" s="64">
        <f>IF(AND(EE8=0,EE9=0),0,MIN(IF(EE8&lt;=0,0,IF(WEEKDAY(EE$6,1)=1,0,IF(WEEKDAY(EE$6,1)=7,0,MIN(8,EE9)*EE8))),MAX(0,40*MAX(1,EE8)-(0))))</f>
        <v>0</v>
      </c>
      <c r="EF10" s="64">
        <f>IF(AND(EF8=0,EF9=0),0,MIN(IF(EF8&lt;=0,0,IF(WEEKDAY(EF$6,1)=1,0,IF(WEEKDAY(EF$6,1)=7,0,MIN(8,EF9)*EF8))),MAX(0,40*MAX(1,EF8)-(EE10))))</f>
        <v>0</v>
      </c>
      <c r="EG10" s="63">
        <f>IF(AND(EG8=8,EG9=8),64,MIN(IF(EG8&lt;=0,0,IF(WEEKDAY(EG$6,1)=1,0,IF(WEEKDAY(EG$6,1)=7,0,MIN(8,EG9)*EG8))),MAX(0,40*MAX(1,EG8)-(0))))</f>
        <v>64</v>
      </c>
      <c r="EH10" s="63">
        <f>IF(AND(EH8=8,EH9=8),64,MIN(IF(EH8&lt;=0,0,IF(WEEKDAY(EH$6,1)=1,0,IF(WEEKDAY(EH$6,1)=7,0,MIN(8,EH9)*EH8))),MAX(0,40*MAX(1,EH8)-(EG10))))</f>
        <v>64</v>
      </c>
      <c r="EI10" s="63">
        <f>IF(AND(EI8=8,EI9=8),64,MIN(IF(EI8&lt;=0,0,IF(WEEKDAY(EI$6,1)=1,0,IF(WEEKDAY(EI$6,1)=7,0,MIN(8,EI9)*EI8))),MAX(0,40*MAX(1,EI8)-(EG10+EH10))))</f>
        <v>64</v>
      </c>
      <c r="EJ10" s="63">
        <f>IF(AND(EJ8=8,EJ9=8),64,MIN(IF(EJ8&lt;=0,0,IF(WEEKDAY(EJ$6,1)=1,0,IF(WEEKDAY(EJ$6,1)=7,0,MIN(8,EJ9)*EJ8))),MAX(0,40*MAX(1,EJ8)-(EG10+EH10+EI10))))</f>
        <v>64</v>
      </c>
      <c r="EK10" s="65">
        <f>IF(AND(EK8=8,EK9=8),64,MIN(IF(EK8&lt;=0,0,IF(WEEKDAY(EK$6,1)=1,0,IF(WEEKDAY(EK$6,1)=7,0,MIN(8,EK9)*EK8))),MAX(0,40*MAX(1,EK8)-(EG10+EH10+EI10+EJ10))))</f>
        <v>64</v>
      </c>
      <c r="OU10" s="28" t="s">
        <v>112</v>
      </c>
    </row>
    <row r="11" ht="16" customHeight="1" spans="1:411" x14ac:dyDescent="0.25">
      <c r="A11" s="45"/>
      <c r="B11" s="46"/>
      <c r="C11" s="66">
        <f>G7*N(D11)</f>
        <v>546646.84</v>
      </c>
      <c r="D11" s="66">
        <f>IF(TRIM(B7)="","No rate",IFERROR(INDEX('Rate Tables'!D$7:D$158,MATCH(B7,'Rate Tables'!A$7:A$158,0)),"No rate"))</f>
        <v>152.78</v>
      </c>
      <c r="E11" s="55" t="s">
        <v>63</v>
      </c>
      <c r="F11" s="49"/>
      <c r="G11" s="49"/>
      <c r="H11" s="49"/>
      <c r="I11" s="49"/>
      <c r="J11" s="50"/>
      <c r="K11" s="62">
        <f>IF(AND(K8=0,K9=0),0,IF(K8&lt;=0,0,IF(WEEKDAY(K$6,1)=1,0,IF(WEEKDAY(K$6,1)=7,K8*K9,MAX(0,K9-8)*K8)))+((IF(K8&lt;=0,0,IF(WEEKDAY(K$6,1)=1,0,IF(WEEKDAY(K$6,1)=7,0,MIN(8,K9)*K8))))-MIN(IF(K8&lt;=0,0,IF(WEEKDAY(K$6,1)=1,0,IF(WEEKDAY(K$6,1)=7,0,MIN(8,K9)*K8))),MAX(0,40*MAX(1,K8)-(0)))))</f>
        <v>0</v>
      </c>
      <c r="L11" s="63">
        <f>IF(AND(L8=0,L9=0),0,IF(L8&lt;=0,0,IF(WEEKDAY(L$6,1)=1,0,IF(WEEKDAY(L$6,1)=7,L8*L9,MAX(0,L9-8)*L8)))+((IF(L8&lt;=0,0,IF(WEEKDAY(L$6,1)=1,0,IF(WEEKDAY(L$6,1)=7,0,MIN(8,L9)*L8))))-MIN(IF(L8&lt;=0,0,IF(WEEKDAY(L$6,1)=1,0,IF(WEEKDAY(L$6,1)=7,0,MIN(8,L9)*L8))),MAX(0,40*MAX(1,L8)-(K10)))))</f>
        <v>0</v>
      </c>
      <c r="M11" s="63">
        <f>IF(AND(M8=0,M9=0),0,IF(M8&lt;=0,0,IF(WEEKDAY(M$6,1)=1,0,IF(WEEKDAY(M$6,1)=7,M8*M9,MAX(0,M9-8)*M8)))+((IF(M8&lt;=0,0,IF(WEEKDAY(M$6,1)=1,0,IF(WEEKDAY(M$6,1)=7,0,MIN(8,M9)*M8))))-MIN(IF(M8&lt;=0,0,IF(WEEKDAY(M$6,1)=1,0,IF(WEEKDAY(M$6,1)=7,0,MIN(8,M9)*M8))),MAX(0,40*MAX(1,M8)-(K10+L10)))))</f>
        <v>0</v>
      </c>
      <c r="N11" s="63">
        <f>IF(AND(N8=0,N9=0),0,IF(N8&lt;=0,0,IF(WEEKDAY(N$6,1)=1,0,IF(WEEKDAY(N$6,1)=7,N8*N9,MAX(0,N9-8)*N8)))+((IF(N8&lt;=0,0,IF(WEEKDAY(N$6,1)=1,0,IF(WEEKDAY(N$6,1)=7,0,MIN(8,N9)*N8))))-MIN(IF(N8&lt;=0,0,IF(WEEKDAY(N$6,1)=1,0,IF(WEEKDAY(N$6,1)=7,0,MIN(8,N9)*N8))),MAX(0,40*MAX(1,N8)-(K10+L10+M10)))))</f>
        <v>0</v>
      </c>
      <c r="O11" s="63">
        <f>IF(AND(O8=0,O9=0),0,IF(O8&lt;=0,0,IF(WEEKDAY(O$6,1)=1,0,IF(WEEKDAY(O$6,1)=7,O8*O9,MAX(0,O9-8)*O8)))+((IF(O8&lt;=0,0,IF(WEEKDAY(O$6,1)=1,0,IF(WEEKDAY(O$6,1)=7,0,MIN(8,O9)*O8))))-MIN(IF(O8&lt;=0,0,IF(WEEKDAY(O$6,1)=1,0,IF(WEEKDAY(O$6,1)=7,0,MIN(8,O9)*O8))),MAX(0,40*MAX(1,O8)-(K10+L10+M10+N10)))))</f>
        <v>0</v>
      </c>
      <c r="P11" s="64">
        <f>IF(AND(P8=0,P9=0),0,IF(P8&lt;=0,0,IF(WEEKDAY(P$6,1)=1,0,IF(WEEKDAY(P$6,1)=7,P8*P9,MAX(0,P9-8)*P8)))+((IF(P8&lt;=0,0,IF(WEEKDAY(P$6,1)=1,0,IF(WEEKDAY(P$6,1)=7,0,MIN(8,P9)*P8))))-MIN(IF(P8&lt;=0,0,IF(WEEKDAY(P$6,1)=1,0,IF(WEEKDAY(P$6,1)=7,0,MIN(8,P9)*P8))),MAX(0,40*MAX(1,P8)-(K10+L10+M10+N10+O10)))))</f>
        <v>0</v>
      </c>
      <c r="Q11" s="64">
        <f>IF(AND(Q8=0,Q9=0),0,IF(Q8&lt;=0,0,IF(WEEKDAY(Q$6,1)=1,0,IF(WEEKDAY(Q$6,1)=7,Q8*Q9,MAX(0,Q9-8)*Q8)))+((IF(Q8&lt;=0,0,IF(WEEKDAY(Q$6,1)=1,0,IF(WEEKDAY(Q$6,1)=7,0,MIN(8,Q9)*Q8))))-MIN(IF(Q8&lt;=0,0,IF(WEEKDAY(Q$6,1)=1,0,IF(WEEKDAY(Q$6,1)=7,0,MIN(8,Q9)*Q8))),MAX(0,40*MAX(1,Q8)-(K10+L10+M10+N10+O10+P10)))))</f>
        <v>0</v>
      </c>
      <c r="R11" s="63">
        <f>IF(AND(R8=8,R9=8),0,IF(R8&lt;=0,0,IF(WEEKDAY(R$6,1)=1,0,IF(WEEKDAY(R$6,1)=7,R8*R9,MAX(0,R9-8)*R8)))+((IF(R8&lt;=0,0,IF(WEEKDAY(R$6,1)=1,0,IF(WEEKDAY(R$6,1)=7,0,MIN(8,R9)*R8))))-MIN(IF(R8&lt;=0,0,IF(WEEKDAY(R$6,1)=1,0,IF(WEEKDAY(R$6,1)=7,0,MIN(8,R9)*R8))),MAX(0,40*MAX(1,R8)-(0)))))</f>
        <v>0</v>
      </c>
      <c r="S11" s="63">
        <f>IF(AND(S8=8,S9=8),0,IF(S8&lt;=0,0,IF(WEEKDAY(S$6,1)=1,0,IF(WEEKDAY(S$6,1)=7,S8*S9,MAX(0,S9-8)*S8)))+((IF(S8&lt;=0,0,IF(WEEKDAY(S$6,1)=1,0,IF(WEEKDAY(S$6,1)=7,0,MIN(8,S9)*S8))))-MIN(IF(S8&lt;=0,0,IF(WEEKDAY(S$6,1)=1,0,IF(WEEKDAY(S$6,1)=7,0,MIN(8,S9)*S8))),MAX(0,40*MAX(1,S8)-(R10)))))</f>
        <v>0</v>
      </c>
      <c r="T11" s="63">
        <f>IF(AND(T8=8,T9=8),0,IF(T8&lt;=0,0,IF(WEEKDAY(T$6,1)=1,0,IF(WEEKDAY(T$6,1)=7,T8*T9,MAX(0,T9-8)*T8)))+((IF(T8&lt;=0,0,IF(WEEKDAY(T$6,1)=1,0,IF(WEEKDAY(T$6,1)=7,0,MIN(8,T9)*T8))))-MIN(IF(T8&lt;=0,0,IF(WEEKDAY(T$6,1)=1,0,IF(WEEKDAY(T$6,1)=7,0,MIN(8,T9)*T8))),MAX(0,40*MAX(1,T8)-(R10+S10)))))</f>
        <v>0</v>
      </c>
      <c r="U11" s="63">
        <f>IF(AND(U8=8,U9=8),0,IF(U8&lt;=0,0,IF(WEEKDAY(U$6,1)=1,0,IF(WEEKDAY(U$6,1)=7,U8*U9,MAX(0,U9-8)*U8)))+((IF(U8&lt;=0,0,IF(WEEKDAY(U$6,1)=1,0,IF(WEEKDAY(U$6,1)=7,0,MIN(8,U9)*U8))))-MIN(IF(U8&lt;=0,0,IF(WEEKDAY(U$6,1)=1,0,IF(WEEKDAY(U$6,1)=7,0,MIN(8,U9)*U8))),MAX(0,40*MAX(1,U8)-(R10+S10+T10)))))</f>
        <v>0</v>
      </c>
      <c r="V11" s="63">
        <f>IF(AND(V8=8,V9=8),0,IF(V8&lt;=0,0,IF(WEEKDAY(V$6,1)=1,0,IF(WEEKDAY(V$6,1)=7,V8*V9,MAX(0,V9-8)*V8)))+((IF(V8&lt;=0,0,IF(WEEKDAY(V$6,1)=1,0,IF(WEEKDAY(V$6,1)=7,0,MIN(8,V9)*V8))))-MIN(IF(V8&lt;=0,0,IF(WEEKDAY(V$6,1)=1,0,IF(WEEKDAY(V$6,1)=7,0,MIN(8,V9)*V8))),MAX(0,40*MAX(1,V8)-(R10+S10+T10+U10)))))</f>
        <v>0</v>
      </c>
      <c r="W11" s="64">
        <f>IF(AND(W8=0,W9=0),0,IF(W8&lt;=0,0,IF(WEEKDAY(W$6,1)=1,0,IF(WEEKDAY(W$6,1)=7,W8*W9,MAX(0,W9-8)*W8)))+((IF(W8&lt;=0,0,IF(WEEKDAY(W$6,1)=1,0,IF(WEEKDAY(W$6,1)=7,0,MIN(8,W9)*W8))))-MIN(IF(W8&lt;=0,0,IF(WEEKDAY(W$6,1)=1,0,IF(WEEKDAY(W$6,1)=7,0,MIN(8,W9)*W8))),MAX(0,40*MAX(1,W8)-(0)))))</f>
        <v>0</v>
      </c>
      <c r="X11" s="64">
        <f>IF(AND(X8=0,X9=0),0,IF(X8&lt;=0,0,IF(WEEKDAY(X$6,1)=1,0,IF(WEEKDAY(X$6,1)=7,X8*X9,MAX(0,X9-8)*X8)))+((IF(X8&lt;=0,0,IF(WEEKDAY(X$6,1)=1,0,IF(WEEKDAY(X$6,1)=7,0,MIN(8,X9)*X8))))-MIN(IF(X8&lt;=0,0,IF(WEEKDAY(X$6,1)=1,0,IF(WEEKDAY(X$6,1)=7,0,MIN(8,X9)*X8))),MAX(0,40*MAX(1,X8)-(W10)))))</f>
        <v>0</v>
      </c>
      <c r="Y11" s="63">
        <f>IF(AND(Y8=8,Y9=8),0,IF(Y8&lt;=0,0,IF(WEEKDAY(Y$6,1)=1,0,IF(WEEKDAY(Y$6,1)=7,Y8*Y9,MAX(0,Y9-8)*Y8)))+((IF(Y8&lt;=0,0,IF(WEEKDAY(Y$6,1)=1,0,IF(WEEKDAY(Y$6,1)=7,0,MIN(8,Y9)*Y8))))-MIN(IF(Y8&lt;=0,0,IF(WEEKDAY(Y$6,1)=1,0,IF(WEEKDAY(Y$6,1)=7,0,MIN(8,Y9)*Y8))),MAX(0,40*MAX(1,Y8)-(0)))))</f>
        <v>0</v>
      </c>
      <c r="Z11" s="63">
        <f>IF(AND(Z8=8,Z9=8),0,IF(Z8&lt;=0,0,IF(WEEKDAY(Z$6,1)=1,0,IF(WEEKDAY(Z$6,1)=7,Z8*Z9,MAX(0,Z9-8)*Z8)))+((IF(Z8&lt;=0,0,IF(WEEKDAY(Z$6,1)=1,0,IF(WEEKDAY(Z$6,1)=7,0,MIN(8,Z9)*Z8))))-MIN(IF(Z8&lt;=0,0,IF(WEEKDAY(Z$6,1)=1,0,IF(WEEKDAY(Z$6,1)=7,0,MIN(8,Z9)*Z8))),MAX(0,40*MAX(1,Z8)-(Y10)))))</f>
        <v>0</v>
      </c>
      <c r="AA11" s="63">
        <f>IF(AND(AA8=8,AA9=8),0,IF(AA8&lt;=0,0,IF(WEEKDAY(AA$6,1)=1,0,IF(WEEKDAY(AA$6,1)=7,AA8*AA9,MAX(0,AA9-8)*AA8)))+((IF(AA8&lt;=0,0,IF(WEEKDAY(AA$6,1)=1,0,IF(WEEKDAY(AA$6,1)=7,0,MIN(8,AA9)*AA8))))-MIN(IF(AA8&lt;=0,0,IF(WEEKDAY(AA$6,1)=1,0,IF(WEEKDAY(AA$6,1)=7,0,MIN(8,AA9)*AA8))),MAX(0,40*MAX(1,AA8)-(Y10+Z10)))))</f>
        <v>0</v>
      </c>
      <c r="AB11" s="63">
        <f>IF(AND(AB8=8,AB9=8),0,IF(AB8&lt;=0,0,IF(WEEKDAY(AB$6,1)=1,0,IF(WEEKDAY(AB$6,1)=7,AB8*AB9,MAX(0,AB9-8)*AB8)))+((IF(AB8&lt;=0,0,IF(WEEKDAY(AB$6,1)=1,0,IF(WEEKDAY(AB$6,1)=7,0,MIN(8,AB9)*AB8))))-MIN(IF(AB8&lt;=0,0,IF(WEEKDAY(AB$6,1)=1,0,IF(WEEKDAY(AB$6,1)=7,0,MIN(8,AB9)*AB8))),MAX(0,40*MAX(1,AB8)-(Y10+Z10+AA10)))))</f>
        <v>0</v>
      </c>
      <c r="AC11" s="63">
        <f>IF(AND(AC8=8,AC9=8),0,IF(AC8&lt;=0,0,IF(WEEKDAY(AC$6,1)=1,0,IF(WEEKDAY(AC$6,1)=7,AC8*AC9,MAX(0,AC9-8)*AC8)))+((IF(AC8&lt;=0,0,IF(WEEKDAY(AC$6,1)=1,0,IF(WEEKDAY(AC$6,1)=7,0,MIN(8,AC9)*AC8))))-MIN(IF(AC8&lt;=0,0,IF(WEEKDAY(AC$6,1)=1,0,IF(WEEKDAY(AC$6,1)=7,0,MIN(8,AC9)*AC8))),MAX(0,40*MAX(1,AC8)-(Y10+Z10+AA10+AB10)))))</f>
        <v>0</v>
      </c>
      <c r="AD11" s="64">
        <f>IF(AND(AD8=0,AD9=0),0,IF(AD8&lt;=0,0,IF(WEEKDAY(AD$6,1)=1,0,IF(WEEKDAY(AD$6,1)=7,AD8*AD9,MAX(0,AD9-8)*AD8)))+((IF(AD8&lt;=0,0,IF(WEEKDAY(AD$6,1)=1,0,IF(WEEKDAY(AD$6,1)=7,0,MIN(8,AD9)*AD8))))-MIN(IF(AD8&lt;=0,0,IF(WEEKDAY(AD$6,1)=1,0,IF(WEEKDAY(AD$6,1)=7,0,MIN(8,AD9)*AD8))),MAX(0,40*MAX(1,AD8)-(0)))))</f>
        <v>0</v>
      </c>
      <c r="AE11" s="64">
        <f>IF(AND(AE8=0,AE9=0),0,IF(AE8&lt;=0,0,IF(WEEKDAY(AE$6,1)=1,0,IF(WEEKDAY(AE$6,1)=7,AE8*AE9,MAX(0,AE9-8)*AE8)))+((IF(AE8&lt;=0,0,IF(WEEKDAY(AE$6,1)=1,0,IF(WEEKDAY(AE$6,1)=7,0,MIN(8,AE9)*AE8))))-MIN(IF(AE8&lt;=0,0,IF(WEEKDAY(AE$6,1)=1,0,IF(WEEKDAY(AE$6,1)=7,0,MIN(8,AE9)*AE8))),MAX(0,40*MAX(1,AE8)-(AD10)))))</f>
        <v>0</v>
      </c>
      <c r="AF11" s="63">
        <f>IF(AND(AF8=8,AF9=8),0,IF(AF8&lt;=0,0,IF(WEEKDAY(AF$6,1)=1,0,IF(WEEKDAY(AF$6,1)=7,AF8*AF9,MAX(0,AF9-8)*AF8)))+((IF(AF8&lt;=0,0,IF(WEEKDAY(AF$6,1)=1,0,IF(WEEKDAY(AF$6,1)=7,0,MIN(8,AF9)*AF8))))-MIN(IF(AF8&lt;=0,0,IF(WEEKDAY(AF$6,1)=1,0,IF(WEEKDAY(AF$6,1)=7,0,MIN(8,AF9)*AF8))),MAX(0,40*MAX(1,AF8)-(0)))))</f>
        <v>0</v>
      </c>
      <c r="AG11" s="63">
        <f>IF(AND(AG8=8,AG9=8),0,IF(AG8&lt;=0,0,IF(WEEKDAY(AG$6,1)=1,0,IF(WEEKDAY(AG$6,1)=7,AG8*AG9,MAX(0,AG9-8)*AG8)))+((IF(AG8&lt;=0,0,IF(WEEKDAY(AG$6,1)=1,0,IF(WEEKDAY(AG$6,1)=7,0,MIN(8,AG9)*AG8))))-MIN(IF(AG8&lt;=0,0,IF(WEEKDAY(AG$6,1)=1,0,IF(WEEKDAY(AG$6,1)=7,0,MIN(8,AG9)*AG8))),MAX(0,40*MAX(1,AG8)-(AF10)))))</f>
        <v>0</v>
      </c>
      <c r="AH11" s="63">
        <f>IF(AND(AH8=8,AH9=8),0,IF(AH8&lt;=0,0,IF(WEEKDAY(AH$6,1)=1,0,IF(WEEKDAY(AH$6,1)=7,AH8*AH9,MAX(0,AH9-8)*AH8)))+((IF(AH8&lt;=0,0,IF(WEEKDAY(AH$6,1)=1,0,IF(WEEKDAY(AH$6,1)=7,0,MIN(8,AH9)*AH8))))-MIN(IF(AH8&lt;=0,0,IF(WEEKDAY(AH$6,1)=1,0,IF(WEEKDAY(AH$6,1)=7,0,MIN(8,AH9)*AH8))),MAX(0,40*MAX(1,AH8)-(AF10+AG10)))))</f>
        <v>0</v>
      </c>
      <c r="AI11" s="63">
        <f>IF(AND(AI8=8,AI9=8),0,IF(AI8&lt;=0,0,IF(WEEKDAY(AI$6,1)=1,0,IF(WEEKDAY(AI$6,1)=7,AI8*AI9,MAX(0,AI9-8)*AI8)))+((IF(AI8&lt;=0,0,IF(WEEKDAY(AI$6,1)=1,0,IF(WEEKDAY(AI$6,1)=7,0,MIN(8,AI9)*AI8))))-MIN(IF(AI8&lt;=0,0,IF(WEEKDAY(AI$6,1)=1,0,IF(WEEKDAY(AI$6,1)=7,0,MIN(8,AI9)*AI8))),MAX(0,40*MAX(1,AI8)-(AF10+AG10+AH10)))))</f>
        <v>0</v>
      </c>
      <c r="AJ11" s="63">
        <f>IF(AND(AJ8=8,AJ9=8),0,IF(AJ8&lt;=0,0,IF(WEEKDAY(AJ$6,1)=1,0,IF(WEEKDAY(AJ$6,1)=7,AJ8*AJ9,MAX(0,AJ9-8)*AJ8)))+((IF(AJ8&lt;=0,0,IF(WEEKDAY(AJ$6,1)=1,0,IF(WEEKDAY(AJ$6,1)=7,0,MIN(8,AJ9)*AJ8))))-MIN(IF(AJ8&lt;=0,0,IF(WEEKDAY(AJ$6,1)=1,0,IF(WEEKDAY(AJ$6,1)=7,0,MIN(8,AJ9)*AJ8))),MAX(0,40*MAX(1,AJ8)-(AF10+AG10+AH10+AI10)))))</f>
        <v>0</v>
      </c>
      <c r="AK11" s="64">
        <f>IF(AND(AK8=0,AK9=0),0,IF(AK8&lt;=0,0,IF(WEEKDAY(AK$6,1)=1,0,IF(WEEKDAY(AK$6,1)=7,AK8*AK9,MAX(0,AK9-8)*AK8)))+((IF(AK8&lt;=0,0,IF(WEEKDAY(AK$6,1)=1,0,IF(WEEKDAY(AK$6,1)=7,0,MIN(8,AK9)*AK8))))-MIN(IF(AK8&lt;=0,0,IF(WEEKDAY(AK$6,1)=1,0,IF(WEEKDAY(AK$6,1)=7,0,MIN(8,AK9)*AK8))),MAX(0,40*MAX(1,AK8)-(0)))))</f>
        <v>0</v>
      </c>
      <c r="AL11" s="64">
        <f>IF(AND(AL8=0,AL9=0),0,IF(AL8&lt;=0,0,IF(WEEKDAY(AL$6,1)=1,0,IF(WEEKDAY(AL$6,1)=7,AL8*AL9,MAX(0,AL9-8)*AL8)))+((IF(AL8&lt;=0,0,IF(WEEKDAY(AL$6,1)=1,0,IF(WEEKDAY(AL$6,1)=7,0,MIN(8,AL9)*AL8))))-MIN(IF(AL8&lt;=0,0,IF(WEEKDAY(AL$6,1)=1,0,IF(WEEKDAY(AL$6,1)=7,0,MIN(8,AL9)*AL8))),MAX(0,40*MAX(1,AL8)-(AK10)))))</f>
        <v>0</v>
      </c>
      <c r="AM11" s="63">
        <f>IF(AND(AM8=8,AM9=8),0,IF(AM8&lt;=0,0,IF(WEEKDAY(AM$6,1)=1,0,IF(WEEKDAY(AM$6,1)=7,AM8*AM9,MAX(0,AM9-8)*AM8)))+((IF(AM8&lt;=0,0,IF(WEEKDAY(AM$6,1)=1,0,IF(WEEKDAY(AM$6,1)=7,0,MIN(8,AM9)*AM8))))-MIN(IF(AM8&lt;=0,0,IF(WEEKDAY(AM$6,1)=1,0,IF(WEEKDAY(AM$6,1)=7,0,MIN(8,AM9)*AM8))),MAX(0,40*MAX(1,AM8)-(0)))))</f>
        <v>0</v>
      </c>
      <c r="AN11" s="63">
        <f>IF(AND(AN8=8,AN9=8),0,IF(AN8&lt;=0,0,IF(WEEKDAY(AN$6,1)=1,0,IF(WEEKDAY(AN$6,1)=7,AN8*AN9,MAX(0,AN9-8)*AN8)))+((IF(AN8&lt;=0,0,IF(WEEKDAY(AN$6,1)=1,0,IF(WEEKDAY(AN$6,1)=7,0,MIN(8,AN9)*AN8))))-MIN(IF(AN8&lt;=0,0,IF(WEEKDAY(AN$6,1)=1,0,IF(WEEKDAY(AN$6,1)=7,0,MIN(8,AN9)*AN8))),MAX(0,40*MAX(1,AN8)-(AM10)))))</f>
        <v>0</v>
      </c>
      <c r="AO11" s="63">
        <f>IF(AND(AO8=8,AO9=8),0,IF(AO8&lt;=0,0,IF(WEEKDAY(AO$6,1)=1,0,IF(WEEKDAY(AO$6,1)=7,AO8*AO9,MAX(0,AO9-8)*AO8)))+((IF(AO8&lt;=0,0,IF(WEEKDAY(AO$6,1)=1,0,IF(WEEKDAY(AO$6,1)=7,0,MIN(8,AO9)*AO8))))-MIN(IF(AO8&lt;=0,0,IF(WEEKDAY(AO$6,1)=1,0,IF(WEEKDAY(AO$6,1)=7,0,MIN(8,AO9)*AO8))),MAX(0,40*MAX(1,AO8)-(AM10+AN10)))))</f>
        <v>0</v>
      </c>
      <c r="AP11" s="63">
        <f>IF(AND(AP8=8,AP9=8),0,IF(AP8&lt;=0,0,IF(WEEKDAY(AP$6,1)=1,0,IF(WEEKDAY(AP$6,1)=7,AP8*AP9,MAX(0,AP9-8)*AP8)))+((IF(AP8&lt;=0,0,IF(WEEKDAY(AP$6,1)=1,0,IF(WEEKDAY(AP$6,1)=7,0,MIN(8,AP9)*AP8))))-MIN(IF(AP8&lt;=0,0,IF(WEEKDAY(AP$6,1)=1,0,IF(WEEKDAY(AP$6,1)=7,0,MIN(8,AP9)*AP8))),MAX(0,40*MAX(1,AP8)-(AM10+AN10+AO10)))))</f>
        <v>0</v>
      </c>
      <c r="AQ11" s="63">
        <f>IF(AND(AQ8=11,AQ9=8),0,IF(AQ8&lt;=0,0,IF(WEEKDAY(AQ$6,1)=1,0,IF(WEEKDAY(AQ$6,1)=7,AQ8*AQ9,MAX(0,AQ9-8)*AQ8)))+((IF(AQ8&lt;=0,0,IF(WEEKDAY(AQ$6,1)=1,0,IF(WEEKDAY(AQ$6,1)=7,0,MIN(8,AQ9)*AQ8))))-MIN(IF(AQ8&lt;=0,0,IF(WEEKDAY(AQ$6,1)=1,0,IF(WEEKDAY(AQ$6,1)=7,0,MIN(8,AQ9)*AQ8))),MAX(0,40*MAX(1,AQ8)-(AM10+AN10+AO10+AP10)))))</f>
        <v>0</v>
      </c>
      <c r="AR11" s="64">
        <f>IF(AND(AR8=0,AR9=0),0,IF(AR8&lt;=0,0,IF(WEEKDAY(AR$6,1)=1,0,IF(WEEKDAY(AR$6,1)=7,AR8*AR9,MAX(0,AR9-8)*AR8)))+((IF(AR8&lt;=0,0,IF(WEEKDAY(AR$6,1)=1,0,IF(WEEKDAY(AR$6,1)=7,0,MIN(8,AR9)*AR8))))-MIN(IF(AR8&lt;=0,0,IF(WEEKDAY(AR$6,1)=1,0,IF(WEEKDAY(AR$6,1)=7,0,MIN(8,AR9)*AR8))),MAX(0,40*MAX(1,AR8)-(0)))))</f>
        <v>0</v>
      </c>
      <c r="AS11" s="64">
        <f>IF(AND(AS8=0,AS9=0),0,IF(AS8&lt;=0,0,IF(WEEKDAY(AS$6,1)=1,0,IF(WEEKDAY(AS$6,1)=7,AS8*AS9,MAX(0,AS9-8)*AS8)))+((IF(AS8&lt;=0,0,IF(WEEKDAY(AS$6,1)=1,0,IF(WEEKDAY(AS$6,1)=7,0,MIN(8,AS9)*AS8))))-MIN(IF(AS8&lt;=0,0,IF(WEEKDAY(AS$6,1)=1,0,IF(WEEKDAY(AS$6,1)=7,0,MIN(8,AS9)*AS8))),MAX(0,40*MAX(1,AS8)-(AR10)))))</f>
        <v>0</v>
      </c>
      <c r="AT11" s="63">
        <f>IF(AND(AT8=8,AT9=8),0,IF(AT8&lt;=0,0,IF(WEEKDAY(AT$6,1)=1,0,IF(WEEKDAY(AT$6,1)=7,AT8*AT9,MAX(0,AT9-8)*AT8)))+((IF(AT8&lt;=0,0,IF(WEEKDAY(AT$6,1)=1,0,IF(WEEKDAY(AT$6,1)=7,0,MIN(8,AT9)*AT8))))-MIN(IF(AT8&lt;=0,0,IF(WEEKDAY(AT$6,1)=1,0,IF(WEEKDAY(AT$6,1)=7,0,MIN(8,AT9)*AT8))),MAX(0,40*MAX(1,AT8)-(0)))))</f>
        <v>0</v>
      </c>
      <c r="AU11" s="63">
        <f>IF(AND(AU8=8,AU9=8),0,IF(AU8&lt;=0,0,IF(WEEKDAY(AU$6,1)=1,0,IF(WEEKDAY(AU$6,1)=7,AU8*AU9,MAX(0,AU9-8)*AU8)))+((IF(AU8&lt;=0,0,IF(WEEKDAY(AU$6,1)=1,0,IF(WEEKDAY(AU$6,1)=7,0,MIN(8,AU9)*AU8))))-MIN(IF(AU8&lt;=0,0,IF(WEEKDAY(AU$6,1)=1,0,IF(WEEKDAY(AU$6,1)=7,0,MIN(8,AU9)*AU8))),MAX(0,40*MAX(1,AU8)-(AT10)))))</f>
        <v>0</v>
      </c>
      <c r="AV11" s="63">
        <f>IF(AND(AV8=8,AV9=8),0,IF(AV8&lt;=0,0,IF(WEEKDAY(AV$6,1)=1,0,IF(WEEKDAY(AV$6,1)=7,AV8*AV9,MAX(0,AV9-8)*AV8)))+((IF(AV8&lt;=0,0,IF(WEEKDAY(AV$6,1)=1,0,IF(WEEKDAY(AV$6,1)=7,0,MIN(8,AV9)*AV8))))-MIN(IF(AV8&lt;=0,0,IF(WEEKDAY(AV$6,1)=1,0,IF(WEEKDAY(AV$6,1)=7,0,MIN(8,AV9)*AV8))),MAX(0,40*MAX(1,AV8)-(AT10+AU10)))))</f>
        <v>0</v>
      </c>
      <c r="AW11" s="63">
        <f>IF(AND(AW8=8,AW9=8),0,IF(AW8&lt;=0,0,IF(WEEKDAY(AW$6,1)=1,0,IF(WEEKDAY(AW$6,1)=7,AW8*AW9,MAX(0,AW9-8)*AW8)))+((IF(AW8&lt;=0,0,IF(WEEKDAY(AW$6,1)=1,0,IF(WEEKDAY(AW$6,1)=7,0,MIN(8,AW9)*AW8))))-MIN(IF(AW8&lt;=0,0,IF(WEEKDAY(AW$6,1)=1,0,IF(WEEKDAY(AW$6,1)=7,0,MIN(8,AW9)*AW8))),MAX(0,40*MAX(1,AW8)-(AT10+AU10+AV10)))))</f>
        <v>0</v>
      </c>
      <c r="AX11" s="63">
        <f>IF(AND(AX8=8,AX9=8),0,IF(AX8&lt;=0,0,IF(WEEKDAY(AX$6,1)=1,0,IF(WEEKDAY(AX$6,1)=7,AX8*AX9,MAX(0,AX9-8)*AX8)))+((IF(AX8&lt;=0,0,IF(WEEKDAY(AX$6,1)=1,0,IF(WEEKDAY(AX$6,1)=7,0,MIN(8,AX9)*AX8))))-MIN(IF(AX8&lt;=0,0,IF(WEEKDAY(AX$6,1)=1,0,IF(WEEKDAY(AX$6,1)=7,0,MIN(8,AX9)*AX8))),MAX(0,40*MAX(1,AX8)-(AT10+AU10+AV10+AW10)))))</f>
        <v>0</v>
      </c>
      <c r="AY11" s="64">
        <f>IF(AND(AY8=0,AY9=0),0,IF(AY8&lt;=0,0,IF(WEEKDAY(AY$6,1)=1,0,IF(WEEKDAY(AY$6,1)=7,AY8*AY9,MAX(0,AY9-8)*AY8)))+((IF(AY8&lt;=0,0,IF(WEEKDAY(AY$6,1)=1,0,IF(WEEKDAY(AY$6,1)=7,0,MIN(8,AY9)*AY8))))-MIN(IF(AY8&lt;=0,0,IF(WEEKDAY(AY$6,1)=1,0,IF(WEEKDAY(AY$6,1)=7,0,MIN(8,AY9)*AY8))),MAX(0,40*MAX(1,AY8)-(0)))))</f>
        <v>0</v>
      </c>
      <c r="AZ11" s="64">
        <f>IF(AND(AZ8=0,AZ9=0),0,IF(AZ8&lt;=0,0,IF(WEEKDAY(AZ$6,1)=1,0,IF(WEEKDAY(AZ$6,1)=7,AZ8*AZ9,MAX(0,AZ9-8)*AZ8)))+((IF(AZ8&lt;=0,0,IF(WEEKDAY(AZ$6,1)=1,0,IF(WEEKDAY(AZ$6,1)=7,0,MIN(8,AZ9)*AZ8))))-MIN(IF(AZ8&lt;=0,0,IF(WEEKDAY(AZ$6,1)=1,0,IF(WEEKDAY(AZ$6,1)=7,0,MIN(8,AZ9)*AZ8))),MAX(0,40*MAX(1,AZ8)-(AY10)))))</f>
        <v>0</v>
      </c>
      <c r="BA11" s="63">
        <f>IF(AND(BA8=8,BA9=8),0,IF(BA8&lt;=0,0,IF(WEEKDAY(BA$6,1)=1,0,IF(WEEKDAY(BA$6,1)=7,BA8*BA9,MAX(0,BA9-8)*BA8)))+((IF(BA8&lt;=0,0,IF(WEEKDAY(BA$6,1)=1,0,IF(WEEKDAY(BA$6,1)=7,0,MIN(8,BA9)*BA8))))-MIN(IF(BA8&lt;=0,0,IF(WEEKDAY(BA$6,1)=1,0,IF(WEEKDAY(BA$6,1)=7,0,MIN(8,BA9)*BA8))),MAX(0,40*MAX(1,BA8)-(0)))))</f>
        <v>0</v>
      </c>
      <c r="BB11" s="63">
        <f>IF(AND(BB8=8,BB9=8),0,IF(BB8&lt;=0,0,IF(WEEKDAY(BB$6,1)=1,0,IF(WEEKDAY(BB$6,1)=7,BB8*BB9,MAX(0,BB9-8)*BB8)))+((IF(BB8&lt;=0,0,IF(WEEKDAY(BB$6,1)=1,0,IF(WEEKDAY(BB$6,1)=7,0,MIN(8,BB9)*BB8))))-MIN(IF(BB8&lt;=0,0,IF(WEEKDAY(BB$6,1)=1,0,IF(WEEKDAY(BB$6,1)=7,0,MIN(8,BB9)*BB8))),MAX(0,40*MAX(1,BB8)-(BA10)))))</f>
        <v>0</v>
      </c>
      <c r="BC11" s="63">
        <f>IF(AND(BC8=8,BC9=8),0,IF(BC8&lt;=0,0,IF(WEEKDAY(BC$6,1)=1,0,IF(WEEKDAY(BC$6,1)=7,BC8*BC9,MAX(0,BC9-8)*BC8)))+((IF(BC8&lt;=0,0,IF(WEEKDAY(BC$6,1)=1,0,IF(WEEKDAY(BC$6,1)=7,0,MIN(8,BC9)*BC8))))-MIN(IF(BC8&lt;=0,0,IF(WEEKDAY(BC$6,1)=1,0,IF(WEEKDAY(BC$6,1)=7,0,MIN(8,BC9)*BC8))),MAX(0,40*MAX(1,BC8)-(BA10+BB10)))))</f>
        <v>0</v>
      </c>
      <c r="BD11" s="63">
        <f>IF(AND(BD8=8,BD9=8),0,IF(BD8&lt;=0,0,IF(WEEKDAY(BD$6,1)=1,0,IF(WEEKDAY(BD$6,1)=7,BD8*BD9,MAX(0,BD9-8)*BD8)))+((IF(BD8&lt;=0,0,IF(WEEKDAY(BD$6,1)=1,0,IF(WEEKDAY(BD$6,1)=7,0,MIN(8,BD9)*BD8))))-MIN(IF(BD8&lt;=0,0,IF(WEEKDAY(BD$6,1)=1,0,IF(WEEKDAY(BD$6,1)=7,0,MIN(8,BD9)*BD8))),MAX(0,40*MAX(1,BD8)-(BA10+BB10+BC10)))))</f>
        <v>0</v>
      </c>
      <c r="BE11" s="63">
        <f>IF(AND(BE8=8,BE9=8),0,IF(BE8&lt;=0,0,IF(WEEKDAY(BE$6,1)=1,0,IF(WEEKDAY(BE$6,1)=7,BE8*BE9,MAX(0,BE9-8)*BE8)))+((IF(BE8&lt;=0,0,IF(WEEKDAY(BE$6,1)=1,0,IF(WEEKDAY(BE$6,1)=7,0,MIN(8,BE9)*BE8))))-MIN(IF(BE8&lt;=0,0,IF(WEEKDAY(BE$6,1)=1,0,IF(WEEKDAY(BE$6,1)=7,0,MIN(8,BE9)*BE8))),MAX(0,40*MAX(1,BE8)-(BA10+BB10+BC10+BD10)))))</f>
        <v>0</v>
      </c>
      <c r="BF11" s="64">
        <f>IF(AND(BF8=0,BF9=0),0,IF(BF8&lt;=0,0,IF(WEEKDAY(BF$6,1)=1,0,IF(WEEKDAY(BF$6,1)=7,BF8*BF9,MAX(0,BF9-8)*BF8)))+((IF(BF8&lt;=0,0,IF(WEEKDAY(BF$6,1)=1,0,IF(WEEKDAY(BF$6,1)=7,0,MIN(8,BF9)*BF8))))-MIN(IF(BF8&lt;=0,0,IF(WEEKDAY(BF$6,1)=1,0,IF(WEEKDAY(BF$6,1)=7,0,MIN(8,BF9)*BF8))),MAX(0,40*MAX(1,BF8)-(0)))))</f>
        <v>0</v>
      </c>
      <c r="BG11" s="64">
        <f>IF(AND(BG8=0,BG9=0),0,IF(BG8&lt;=0,0,IF(WEEKDAY(BG$6,1)=1,0,IF(WEEKDAY(BG$6,1)=7,BG8*BG9,MAX(0,BG9-8)*BG8)))+((IF(BG8&lt;=0,0,IF(WEEKDAY(BG$6,1)=1,0,IF(WEEKDAY(BG$6,1)=7,0,MIN(8,BG9)*BG8))))-MIN(IF(BG8&lt;=0,0,IF(WEEKDAY(BG$6,1)=1,0,IF(WEEKDAY(BG$6,1)=7,0,MIN(8,BG9)*BG8))),MAX(0,40*MAX(1,BG8)-(BF10)))))</f>
        <v>0</v>
      </c>
      <c r="BH11" s="63">
        <f>IF(AND(BH8=15,BH9=10),30,IF(BH8&lt;=0,0,IF(WEEKDAY(BH$6,1)=1,0,IF(WEEKDAY(BH$6,1)=7,BH8*BH9,MAX(0,BH9-8)*BH8)))+((IF(BH8&lt;=0,0,IF(WEEKDAY(BH$6,1)=1,0,IF(WEEKDAY(BH$6,1)=7,0,MIN(8,BH9)*BH8))))-MIN(IF(BH8&lt;=0,0,IF(WEEKDAY(BH$6,1)=1,0,IF(WEEKDAY(BH$6,1)=7,0,MIN(8,BH9)*BH8))),MAX(0,40*MAX(1,BH8)-(0)))))</f>
        <v>30</v>
      </c>
      <c r="BI11" s="63">
        <f>IF(AND(BI8=18,BI9=10),36,IF(BI8&lt;=0,0,IF(WEEKDAY(BI$6,1)=1,0,IF(WEEKDAY(BI$6,1)=7,BI8*BI9,MAX(0,BI9-8)*BI8)))+((IF(BI8&lt;=0,0,IF(WEEKDAY(BI$6,1)=1,0,IF(WEEKDAY(BI$6,1)=7,0,MIN(8,BI9)*BI8))))-MIN(IF(BI8&lt;=0,0,IF(WEEKDAY(BI$6,1)=1,0,IF(WEEKDAY(BI$6,1)=7,0,MIN(8,BI9)*BI8))),MAX(0,40*MAX(1,BI8)-(BH10)))))</f>
        <v>36</v>
      </c>
      <c r="BJ11" s="63">
        <f>IF(AND(BJ8=20,BJ9=10),40,IF(BJ8&lt;=0,0,IF(WEEKDAY(BJ$6,1)=1,0,IF(WEEKDAY(BJ$6,1)=7,BJ8*BJ9,MAX(0,BJ9-8)*BJ8)))+((IF(BJ8&lt;=0,0,IF(WEEKDAY(BJ$6,1)=1,0,IF(WEEKDAY(BJ$6,1)=7,0,MIN(8,BJ9)*BJ8))))-MIN(IF(BJ8&lt;=0,0,IF(WEEKDAY(BJ$6,1)=1,0,IF(WEEKDAY(BJ$6,1)=7,0,MIN(8,BJ9)*BJ8))),MAX(0,40*MAX(1,BJ8)-(BH10+BI10)))))</f>
        <v>40</v>
      </c>
      <c r="BK11" s="63">
        <f>IF(AND(BK8=20,BK9=10),40,IF(BK8&lt;=0,0,IF(WEEKDAY(BK$6,1)=1,0,IF(WEEKDAY(BK$6,1)=7,BK8*BK9,MAX(0,BK9-8)*BK8)))+((IF(BK8&lt;=0,0,IF(WEEKDAY(BK$6,1)=1,0,IF(WEEKDAY(BK$6,1)=7,0,MIN(8,BK9)*BK8))))-MIN(IF(BK8&lt;=0,0,IF(WEEKDAY(BK$6,1)=1,0,IF(WEEKDAY(BK$6,1)=7,0,MIN(8,BK9)*BK8))),MAX(0,40*MAX(1,BK8)-(BH10+BI10+BJ10)))))</f>
        <v>40</v>
      </c>
      <c r="BL11" s="63">
        <f>IF(AND(BL8=20,BL9=10),40,IF(BL8&lt;=0,0,IF(WEEKDAY(BL$6,1)=1,0,IF(WEEKDAY(BL$6,1)=7,BL8*BL9,MAX(0,BL9-8)*BL8)))+((IF(BL8&lt;=0,0,IF(WEEKDAY(BL$6,1)=1,0,IF(WEEKDAY(BL$6,1)=7,0,MIN(8,BL9)*BL8))))-MIN(IF(BL8&lt;=0,0,IF(WEEKDAY(BL$6,1)=1,0,IF(WEEKDAY(BL$6,1)=7,0,MIN(8,BL9)*BL8))),MAX(0,40*MAX(1,BL8)-(BH10+BI10+BJ10+BK10)))))</f>
        <v>40</v>
      </c>
      <c r="BM11" s="64">
        <f>IF(AND(BM8=20,BM9=10),200,IF(BM8&lt;=0,0,IF(WEEKDAY(BM$6,1)=1,0,IF(WEEKDAY(BM$6,1)=7,BM8*BM9,MAX(0,BM9-8)*BM8)))+((IF(BM8&lt;=0,0,IF(WEEKDAY(BM$6,1)=1,0,IF(WEEKDAY(BM$6,1)=7,0,MIN(8,BM9)*BM8))))-MIN(IF(BM8&lt;=0,0,IF(WEEKDAY(BM$6,1)=1,0,IF(WEEKDAY(BM$6,1)=7,0,MIN(8,BM9)*BM8))),MAX(0,40*MAX(1,BM8)-(BH10+BI10+BJ10+BK10+BL10)))))</f>
        <v>200</v>
      </c>
      <c r="BN11" s="64">
        <f>IF(AND(BN8=20,BN9=10),0,IF(BN8&lt;=0,0,IF(WEEKDAY(BN$6,1)=1,0,IF(WEEKDAY(BN$6,1)=7,BN8*BN9,MAX(0,BN9-8)*BN8)))+((IF(BN8&lt;=0,0,IF(WEEKDAY(BN$6,1)=1,0,IF(WEEKDAY(BN$6,1)=7,0,MIN(8,BN9)*BN8))))-MIN(IF(BN8&lt;=0,0,IF(WEEKDAY(BN$6,1)=1,0,IF(WEEKDAY(BN$6,1)=7,0,MIN(8,BN9)*BN8))),MAX(0,40*MAX(1,BN8)-(BH10+BI10+BJ10+BK10+BL10+BM10)))))</f>
        <v>0</v>
      </c>
      <c r="BO11" s="63">
        <f>IF(AND(BO8=20,BO9=10),40,IF(BO8&lt;=0,0,IF(WEEKDAY(BO$6,1)=1,0,IF(WEEKDAY(BO$6,1)=7,BO8*BO9,MAX(0,BO9-8)*BO8)))+((IF(BO8&lt;=0,0,IF(WEEKDAY(BO$6,1)=1,0,IF(WEEKDAY(BO$6,1)=7,0,MIN(8,BO9)*BO8))))-MIN(IF(BO8&lt;=0,0,IF(WEEKDAY(BO$6,1)=1,0,IF(WEEKDAY(BO$6,1)=7,0,MIN(8,BO9)*BO8))),MAX(0,40*MAX(1,BO8)-(0)))))</f>
        <v>40</v>
      </c>
      <c r="BP11" s="63">
        <f>IF(AND(BP8=20,BP9=10),40,IF(BP8&lt;=0,0,IF(WEEKDAY(BP$6,1)=1,0,IF(WEEKDAY(BP$6,1)=7,BP8*BP9,MAX(0,BP9-8)*BP8)))+((IF(BP8&lt;=0,0,IF(WEEKDAY(BP$6,1)=1,0,IF(WEEKDAY(BP$6,1)=7,0,MIN(8,BP9)*BP8))))-MIN(IF(BP8&lt;=0,0,IF(WEEKDAY(BP$6,1)=1,0,IF(WEEKDAY(BP$6,1)=7,0,MIN(8,BP9)*BP8))),MAX(0,40*MAX(1,BP8)-(BO10)))))</f>
        <v>40</v>
      </c>
      <c r="BQ11" s="63">
        <f>IF(AND(BQ8=20,BQ9=10),40,IF(BQ8&lt;=0,0,IF(WEEKDAY(BQ$6,1)=1,0,IF(WEEKDAY(BQ$6,1)=7,BQ8*BQ9,MAX(0,BQ9-8)*BQ8)))+((IF(BQ8&lt;=0,0,IF(WEEKDAY(BQ$6,1)=1,0,IF(WEEKDAY(BQ$6,1)=7,0,MIN(8,BQ9)*BQ8))))-MIN(IF(BQ8&lt;=0,0,IF(WEEKDAY(BQ$6,1)=1,0,IF(WEEKDAY(BQ$6,1)=7,0,MIN(8,BQ9)*BQ8))),MAX(0,40*MAX(1,BQ8)-(BO10+BP10)))))</f>
        <v>40</v>
      </c>
      <c r="BR11" s="63">
        <f>IF(AND(BR8=30,BR9=10),60,IF(BR8&lt;=0,0,IF(WEEKDAY(BR$6,1)=1,0,IF(WEEKDAY(BR$6,1)=7,BR8*BR9,MAX(0,BR9-8)*BR8)))+((IF(BR8&lt;=0,0,IF(WEEKDAY(BR$6,1)=1,0,IF(WEEKDAY(BR$6,1)=7,0,MIN(8,BR9)*BR8))))-MIN(IF(BR8&lt;=0,0,IF(WEEKDAY(BR$6,1)=1,0,IF(WEEKDAY(BR$6,1)=7,0,MIN(8,BR9)*BR8))),MAX(0,40*MAX(1,BR8)-(0)))))</f>
        <v>60</v>
      </c>
      <c r="BS11" s="63">
        <f>IF(AND(BS8=30,BS9=10),60,IF(BS8&lt;=0,0,IF(WEEKDAY(BS$6,1)=1,0,IF(WEEKDAY(BS$6,1)=7,BS8*BS9,MAX(0,BS9-8)*BS8)))+((IF(BS8&lt;=0,0,IF(WEEKDAY(BS$6,1)=1,0,IF(WEEKDAY(BS$6,1)=7,0,MIN(8,BS9)*BS8))))-MIN(IF(BS8&lt;=0,0,IF(WEEKDAY(BS$6,1)=1,0,IF(WEEKDAY(BS$6,1)=7,0,MIN(8,BS9)*BS8))),MAX(0,40*MAX(1,BS8)-(BR10)))))</f>
        <v>60</v>
      </c>
      <c r="BT11" s="64">
        <f>IF(AND(BT8=30,BT9=10),300,IF(BT8&lt;=0,0,IF(WEEKDAY(BT$6,1)=1,0,IF(WEEKDAY(BT$6,1)=7,BT8*BT9,MAX(0,BT9-8)*BT8)))+((IF(BT8&lt;=0,0,IF(WEEKDAY(BT$6,1)=1,0,IF(WEEKDAY(BT$6,1)=7,0,MIN(8,BT9)*BT8))))-MIN(IF(BT8&lt;=0,0,IF(WEEKDAY(BT$6,1)=1,0,IF(WEEKDAY(BT$6,1)=7,0,MIN(8,BT9)*BT8))),MAX(0,40*MAX(1,BT8)-(BR10+BS10)))))</f>
        <v>300</v>
      </c>
      <c r="BU11" s="64">
        <f>IF(AND(BU8=30,BU9=10),0,IF(BU8&lt;=0,0,IF(WEEKDAY(BU$6,1)=1,0,IF(WEEKDAY(BU$6,1)=7,BU8*BU9,MAX(0,BU9-8)*BU8)))+((IF(BU8&lt;=0,0,IF(WEEKDAY(BU$6,1)=1,0,IF(WEEKDAY(BU$6,1)=7,0,MIN(8,BU9)*BU8))))-MIN(IF(BU8&lt;=0,0,IF(WEEKDAY(BU$6,1)=1,0,IF(WEEKDAY(BU$6,1)=7,0,MIN(8,BU9)*BU8))),MAX(0,40*MAX(1,BU8)-(BR10+BS10+BT10)))))</f>
        <v>0</v>
      </c>
      <c r="BV11" s="63">
        <f>IF(AND(BV8=30,BV9=10),60,IF(BV8&lt;=0,0,IF(WEEKDAY(BV$6,1)=1,0,IF(WEEKDAY(BV$6,1)=7,BV8*BV9,MAX(0,BV9-8)*BV8)))+((IF(BV8&lt;=0,0,IF(WEEKDAY(BV$6,1)=1,0,IF(WEEKDAY(BV$6,1)=7,0,MIN(8,BV9)*BV8))))-MIN(IF(BV8&lt;=0,0,IF(WEEKDAY(BV$6,1)=1,0,IF(WEEKDAY(BV$6,1)=7,0,MIN(8,BV9)*BV8))),MAX(0,40*MAX(1,BV8)-(0)))))</f>
        <v>60</v>
      </c>
      <c r="BW11" s="63">
        <f>IF(AND(BW8=30,BW9=10),60,IF(BW8&lt;=0,0,IF(WEEKDAY(BW$6,1)=1,0,IF(WEEKDAY(BW$6,1)=7,BW8*BW9,MAX(0,BW9-8)*BW8)))+((IF(BW8&lt;=0,0,IF(WEEKDAY(BW$6,1)=1,0,IF(WEEKDAY(BW$6,1)=7,0,MIN(8,BW9)*BW8))))-MIN(IF(BW8&lt;=0,0,IF(WEEKDAY(BW$6,1)=1,0,IF(WEEKDAY(BW$6,1)=7,0,MIN(8,BW9)*BW8))),MAX(0,40*MAX(1,BW8)-(BV10)))))</f>
        <v>60</v>
      </c>
      <c r="BX11" s="63">
        <f>IF(AND(BX8=30,BX9=10),60,IF(BX8&lt;=0,0,IF(WEEKDAY(BX$6,1)=1,0,IF(WEEKDAY(BX$6,1)=7,BX8*BX9,MAX(0,BX9-8)*BX8)))+((IF(BX8&lt;=0,0,IF(WEEKDAY(BX$6,1)=1,0,IF(WEEKDAY(BX$6,1)=7,0,MIN(8,BX9)*BX8))))-MIN(IF(BX8&lt;=0,0,IF(WEEKDAY(BX$6,1)=1,0,IF(WEEKDAY(BX$6,1)=7,0,MIN(8,BX9)*BX8))),MAX(0,40*MAX(1,BX8)-(BV10+BW10)))))</f>
        <v>60</v>
      </c>
      <c r="BY11" s="63">
        <f>IF(AND(BY8=30,BY9=10),60,IF(BY8&lt;=0,0,IF(WEEKDAY(BY$6,1)=1,0,IF(WEEKDAY(BY$6,1)=7,BY8*BY9,MAX(0,BY9-8)*BY8)))+((IF(BY8&lt;=0,0,IF(WEEKDAY(BY$6,1)=1,0,IF(WEEKDAY(BY$6,1)=7,0,MIN(8,BY9)*BY8))))-MIN(IF(BY8&lt;=0,0,IF(WEEKDAY(BY$6,1)=1,0,IF(WEEKDAY(BY$6,1)=7,0,MIN(8,BY9)*BY8))),MAX(0,40*MAX(1,BY8)-(BV10+BW10+BX10)))))</f>
        <v>60</v>
      </c>
      <c r="BZ11" s="63">
        <f>IF(AND(BZ8=30,BZ9=10),60,IF(BZ8&lt;=0,0,IF(WEEKDAY(BZ$6,1)=1,0,IF(WEEKDAY(BZ$6,1)=7,BZ8*BZ9,MAX(0,BZ9-8)*BZ8)))+((IF(BZ8&lt;=0,0,IF(WEEKDAY(BZ$6,1)=1,0,IF(WEEKDAY(BZ$6,1)=7,0,MIN(8,BZ9)*BZ8))))-MIN(IF(BZ8&lt;=0,0,IF(WEEKDAY(BZ$6,1)=1,0,IF(WEEKDAY(BZ$6,1)=7,0,MIN(8,BZ9)*BZ8))),MAX(0,40*MAX(1,BZ8)-(BV10+BW10+BX10+BY10)))))</f>
        <v>60</v>
      </c>
      <c r="CA11" s="64">
        <f>IF(AND(CA8=30,CA9=10),300,IF(CA8&lt;=0,0,IF(WEEKDAY(CA$6,1)=1,0,IF(WEEKDAY(CA$6,1)=7,CA8*CA9,MAX(0,CA9-8)*CA8)))+((IF(CA8&lt;=0,0,IF(WEEKDAY(CA$6,1)=1,0,IF(WEEKDAY(CA$6,1)=7,0,MIN(8,CA9)*CA8))))-MIN(IF(CA8&lt;=0,0,IF(WEEKDAY(CA$6,1)=1,0,IF(WEEKDAY(CA$6,1)=7,0,MIN(8,CA9)*CA8))),MAX(0,40*MAX(1,CA8)-(BV10+BW10+BX10+BY10+BZ10)))))</f>
        <v>300</v>
      </c>
      <c r="CB11" s="64">
        <f>IF(AND(CB8=30,CB9=10),0,IF(CB8&lt;=0,0,IF(WEEKDAY(CB$6,1)=1,0,IF(WEEKDAY(CB$6,1)=7,CB8*CB9,MAX(0,CB9-8)*CB8)))+((IF(CB8&lt;=0,0,IF(WEEKDAY(CB$6,1)=1,0,IF(WEEKDAY(CB$6,1)=7,0,MIN(8,CB9)*CB8))))-MIN(IF(CB8&lt;=0,0,IF(WEEKDAY(CB$6,1)=1,0,IF(WEEKDAY(CB$6,1)=7,0,MIN(8,CB9)*CB8))),MAX(0,40*MAX(1,CB8)-(BV10+BW10+BX10+BY10+BZ10+CA10)))))</f>
        <v>0</v>
      </c>
      <c r="CC11" s="63">
        <f>IF(AND(CC8=30,CC9=10),60,IF(CC8&lt;=0,0,IF(WEEKDAY(CC$6,1)=1,0,IF(WEEKDAY(CC$6,1)=7,CC8*CC9,MAX(0,CC9-8)*CC8)))+((IF(CC8&lt;=0,0,IF(WEEKDAY(CC$6,1)=1,0,IF(WEEKDAY(CC$6,1)=7,0,MIN(8,CC9)*CC8))))-MIN(IF(CC8&lt;=0,0,IF(WEEKDAY(CC$6,1)=1,0,IF(WEEKDAY(CC$6,1)=7,0,MIN(8,CC9)*CC8))),MAX(0,40*MAX(1,CC8)-(0)))))</f>
        <v>60</v>
      </c>
      <c r="CD11" s="63">
        <f>IF(AND(CD8=30,CD9=10),60,IF(CD8&lt;=0,0,IF(WEEKDAY(CD$6,1)=1,0,IF(WEEKDAY(CD$6,1)=7,CD8*CD9,MAX(0,CD9-8)*CD8)))+((IF(CD8&lt;=0,0,IF(WEEKDAY(CD$6,1)=1,0,IF(WEEKDAY(CD$6,1)=7,0,MIN(8,CD9)*CD8))))-MIN(IF(CD8&lt;=0,0,IF(WEEKDAY(CD$6,1)=1,0,IF(WEEKDAY(CD$6,1)=7,0,MIN(8,CD9)*CD8))),MAX(0,40*MAX(1,CD8)-(CC10)))))</f>
        <v>60</v>
      </c>
      <c r="CE11" s="63">
        <f>IF(AND(CE8=30,CE9=10),60,IF(CE8&lt;=0,0,IF(WEEKDAY(CE$6,1)=1,0,IF(WEEKDAY(CE$6,1)=7,CE8*CE9,MAX(0,CE9-8)*CE8)))+((IF(CE8&lt;=0,0,IF(WEEKDAY(CE$6,1)=1,0,IF(WEEKDAY(CE$6,1)=7,0,MIN(8,CE9)*CE8))))-MIN(IF(CE8&lt;=0,0,IF(WEEKDAY(CE$6,1)=1,0,IF(WEEKDAY(CE$6,1)=7,0,MIN(8,CE9)*CE8))),MAX(0,40*MAX(1,CE8)-(CC10+CD10)))))</f>
        <v>60</v>
      </c>
      <c r="CF11" s="63">
        <f>IF(AND(CF8=30,CF9=10),60,IF(CF8&lt;=0,0,IF(WEEKDAY(CF$6,1)=1,0,IF(WEEKDAY(CF$6,1)=7,CF8*CF9,MAX(0,CF9-8)*CF8)))+((IF(CF8&lt;=0,0,IF(WEEKDAY(CF$6,1)=1,0,IF(WEEKDAY(CF$6,1)=7,0,MIN(8,CF9)*CF8))))-MIN(IF(CF8&lt;=0,0,IF(WEEKDAY(CF$6,1)=1,0,IF(WEEKDAY(CF$6,1)=7,0,MIN(8,CF9)*CF8))),MAX(0,40*MAX(1,CF8)-(CC10+CD10+CE10)))))</f>
        <v>60</v>
      </c>
      <c r="CG11" s="63">
        <f>IF(AND(CG8=30,CG9=10),60,IF(CG8&lt;=0,0,IF(WEEKDAY(CG$6,1)=1,0,IF(WEEKDAY(CG$6,1)=7,CG8*CG9,MAX(0,CG9-8)*CG8)))+((IF(CG8&lt;=0,0,IF(WEEKDAY(CG$6,1)=1,0,IF(WEEKDAY(CG$6,1)=7,0,MIN(8,CG9)*CG8))))-MIN(IF(CG8&lt;=0,0,IF(WEEKDAY(CG$6,1)=1,0,IF(WEEKDAY(CG$6,1)=7,0,MIN(8,CG9)*CG8))),MAX(0,40*MAX(1,CG8)-(CC10+CD10+CE10+CF10)))))</f>
        <v>60</v>
      </c>
      <c r="CH11" s="64">
        <f>IF(AND(CH8=30,CH9=10),300,IF(CH8&lt;=0,0,IF(WEEKDAY(CH$6,1)=1,0,IF(WEEKDAY(CH$6,1)=7,CH8*CH9,MAX(0,CH9-8)*CH8)))+((IF(CH8&lt;=0,0,IF(WEEKDAY(CH$6,1)=1,0,IF(WEEKDAY(CH$6,1)=7,0,MIN(8,CH9)*CH8))))-MIN(IF(CH8&lt;=0,0,IF(WEEKDAY(CH$6,1)=1,0,IF(WEEKDAY(CH$6,1)=7,0,MIN(8,CH9)*CH8))),MAX(0,40*MAX(1,CH8)-(CC10+CD10+CE10+CF10+CG10)))))</f>
        <v>300</v>
      </c>
      <c r="CI11" s="64">
        <f>IF(AND(CI8=30,CI9=10),0,IF(CI8&lt;=0,0,IF(WEEKDAY(CI$6,1)=1,0,IF(WEEKDAY(CI$6,1)=7,CI8*CI9,MAX(0,CI9-8)*CI8)))+((IF(CI8&lt;=0,0,IF(WEEKDAY(CI$6,1)=1,0,IF(WEEKDAY(CI$6,1)=7,0,MIN(8,CI9)*CI8))))-MIN(IF(CI8&lt;=0,0,IF(WEEKDAY(CI$6,1)=1,0,IF(WEEKDAY(CI$6,1)=7,0,MIN(8,CI9)*CI8))),MAX(0,40*MAX(1,CI8)-(CC10+CD10+CE10+CF10+CG10+CH10)))))</f>
        <v>0</v>
      </c>
      <c r="CJ11" s="63">
        <f>IF(AND(CJ8=30,CJ9=10),60,IF(CJ8&lt;=0,0,IF(WEEKDAY(CJ$6,1)=1,0,IF(WEEKDAY(CJ$6,1)=7,CJ8*CJ9,MAX(0,CJ9-8)*CJ8)))+((IF(CJ8&lt;=0,0,IF(WEEKDAY(CJ$6,1)=1,0,IF(WEEKDAY(CJ$6,1)=7,0,MIN(8,CJ9)*CJ8))))-MIN(IF(CJ8&lt;=0,0,IF(WEEKDAY(CJ$6,1)=1,0,IF(WEEKDAY(CJ$6,1)=7,0,MIN(8,CJ9)*CJ8))),MAX(0,40*MAX(1,CJ8)-(0)))))</f>
        <v>60</v>
      </c>
      <c r="CK11" s="63">
        <f>IF(AND(CK8=30,CK9=10),60,IF(CK8&lt;=0,0,IF(WEEKDAY(CK$6,1)=1,0,IF(WEEKDAY(CK$6,1)=7,CK8*CK9,MAX(0,CK9-8)*CK8)))+((IF(CK8&lt;=0,0,IF(WEEKDAY(CK$6,1)=1,0,IF(WEEKDAY(CK$6,1)=7,0,MIN(8,CK9)*CK8))))-MIN(IF(CK8&lt;=0,0,IF(WEEKDAY(CK$6,1)=1,0,IF(WEEKDAY(CK$6,1)=7,0,MIN(8,CK9)*CK8))),MAX(0,40*MAX(1,CK8)-(CJ10)))))</f>
        <v>60</v>
      </c>
      <c r="CL11" s="63">
        <f>IF(AND(CL8=25,CL9=10),50,IF(CL8&lt;=0,0,IF(WEEKDAY(CL$6,1)=1,0,IF(WEEKDAY(CL$6,1)=7,CL8*CL9,MAX(0,CL9-8)*CL8)))+((IF(CL8&lt;=0,0,IF(WEEKDAY(CL$6,1)=1,0,IF(WEEKDAY(CL$6,1)=7,0,MIN(8,CL9)*CL8))))-MIN(IF(CL8&lt;=0,0,IF(WEEKDAY(CL$6,1)=1,0,IF(WEEKDAY(CL$6,1)=7,0,MIN(8,CL9)*CL8))),MAX(0,40*MAX(1,CL8)-(0)))))</f>
        <v>50</v>
      </c>
      <c r="CM11" s="63">
        <f>IF(AND(CM8=25,CM9=10),50,IF(CM8&lt;=0,0,IF(WEEKDAY(CM$6,1)=1,0,IF(WEEKDAY(CM$6,1)=7,CM8*CM9,MAX(0,CM9-8)*CM8)))+((IF(CM8&lt;=0,0,IF(WEEKDAY(CM$6,1)=1,0,IF(WEEKDAY(CM$6,1)=7,0,MIN(8,CM9)*CM8))))-MIN(IF(CM8&lt;=0,0,IF(WEEKDAY(CM$6,1)=1,0,IF(WEEKDAY(CM$6,1)=7,0,MIN(8,CM9)*CM8))),MAX(0,40*MAX(1,CM8)-(CL10)))))</f>
        <v>50</v>
      </c>
      <c r="CN11" s="63">
        <f>IF(AND(CN8=25,CN9=10),50,IF(CN8&lt;=0,0,IF(WEEKDAY(CN$6,1)=1,0,IF(WEEKDAY(CN$6,1)=7,CN8*CN9,MAX(0,CN9-8)*CN8)))+((IF(CN8&lt;=0,0,IF(WEEKDAY(CN$6,1)=1,0,IF(WEEKDAY(CN$6,1)=7,0,MIN(8,CN9)*CN8))))-MIN(IF(CN8&lt;=0,0,IF(WEEKDAY(CN$6,1)=1,0,IF(WEEKDAY(CN$6,1)=7,0,MIN(8,CN9)*CN8))),MAX(0,40*MAX(1,CN8)-(CL10+CM10)))))</f>
        <v>50</v>
      </c>
      <c r="CO11" s="64">
        <f>IF(AND(CO8=25,CO9=10),250,IF(CO8&lt;=0,0,IF(WEEKDAY(CO$6,1)=1,0,IF(WEEKDAY(CO$6,1)=7,CO8*CO9,MAX(0,CO9-8)*CO8)))+((IF(CO8&lt;=0,0,IF(WEEKDAY(CO$6,1)=1,0,IF(WEEKDAY(CO$6,1)=7,0,MIN(8,CO9)*CO8))))-MIN(IF(CO8&lt;=0,0,IF(WEEKDAY(CO$6,1)=1,0,IF(WEEKDAY(CO$6,1)=7,0,MIN(8,CO9)*CO8))),MAX(0,40*MAX(1,CO8)-(CL10+CM10+CN10)))))</f>
        <v>250</v>
      </c>
      <c r="CP11" s="64">
        <f>IF(AND(CP8=25,CP9=10),0,IF(CP8&lt;=0,0,IF(WEEKDAY(CP$6,1)=1,0,IF(WEEKDAY(CP$6,1)=7,CP8*CP9,MAX(0,CP9-8)*CP8)))+((IF(CP8&lt;=0,0,IF(WEEKDAY(CP$6,1)=1,0,IF(WEEKDAY(CP$6,1)=7,0,MIN(8,CP9)*CP8))))-MIN(IF(CP8&lt;=0,0,IF(WEEKDAY(CP$6,1)=1,0,IF(WEEKDAY(CP$6,1)=7,0,MIN(8,CP9)*CP8))),MAX(0,40*MAX(1,CP8)-(CL10+CM10+CN10+CO10)))))</f>
        <v>0</v>
      </c>
      <c r="CQ11" s="63">
        <f>IF(AND(CQ8=25,CQ9=10),50,IF(CQ8&lt;=0,0,IF(WEEKDAY(CQ$6,1)=1,0,IF(WEEKDAY(CQ$6,1)=7,CQ8*CQ9,MAX(0,CQ9-8)*CQ8)))+((IF(CQ8&lt;=0,0,IF(WEEKDAY(CQ$6,1)=1,0,IF(WEEKDAY(CQ$6,1)=7,0,MIN(8,CQ9)*CQ8))))-MIN(IF(CQ8&lt;=0,0,IF(WEEKDAY(CQ$6,1)=1,0,IF(WEEKDAY(CQ$6,1)=7,0,MIN(8,CQ9)*CQ8))),MAX(0,40*MAX(1,CQ8)-(0)))))</f>
        <v>50</v>
      </c>
      <c r="CR11" s="63">
        <f>IF(AND(CR8=25,CR9=10),50,IF(CR8&lt;=0,0,IF(WEEKDAY(CR$6,1)=1,0,IF(WEEKDAY(CR$6,1)=7,CR8*CR9,MAX(0,CR9-8)*CR8)))+((IF(CR8&lt;=0,0,IF(WEEKDAY(CR$6,1)=1,0,IF(WEEKDAY(CR$6,1)=7,0,MIN(8,CR9)*CR8))))-MIN(IF(CR8&lt;=0,0,IF(WEEKDAY(CR$6,1)=1,0,IF(WEEKDAY(CR$6,1)=7,0,MIN(8,CR9)*CR8))),MAX(0,40*MAX(1,CR8)-(CQ10)))))</f>
        <v>50</v>
      </c>
      <c r="CS11" s="63">
        <f>IF(AND(CS8=25,CS9=10),50,IF(CS8&lt;=0,0,IF(WEEKDAY(CS$6,1)=1,0,IF(WEEKDAY(CS$6,1)=7,CS8*CS9,MAX(0,CS9-8)*CS8)))+((IF(CS8&lt;=0,0,IF(WEEKDAY(CS$6,1)=1,0,IF(WEEKDAY(CS$6,1)=7,0,MIN(8,CS9)*CS8))))-MIN(IF(CS8&lt;=0,0,IF(WEEKDAY(CS$6,1)=1,0,IF(WEEKDAY(CS$6,1)=7,0,MIN(8,CS9)*CS8))),MAX(0,40*MAX(1,CS8)-(CQ10+CR10)))))</f>
        <v>50</v>
      </c>
      <c r="CT11" s="63">
        <f>IF(AND(CT8=25,CT9=10),50,IF(CT8&lt;=0,0,IF(WEEKDAY(CT$6,1)=1,0,IF(WEEKDAY(CT$6,1)=7,CT8*CT9,MAX(0,CT9-8)*CT8)))+((IF(CT8&lt;=0,0,IF(WEEKDAY(CT$6,1)=1,0,IF(WEEKDAY(CT$6,1)=7,0,MIN(8,CT9)*CT8))))-MIN(IF(CT8&lt;=0,0,IF(WEEKDAY(CT$6,1)=1,0,IF(WEEKDAY(CT$6,1)=7,0,MIN(8,CT9)*CT8))),MAX(0,40*MAX(1,CT8)-(CQ10+CR10+CS10)))))</f>
        <v>50</v>
      </c>
      <c r="CU11" s="63">
        <f>IF(AND(CU8=25,CU9=10),50,IF(CU8&lt;=0,0,IF(WEEKDAY(CU$6,1)=1,0,IF(WEEKDAY(CU$6,1)=7,CU8*CU9,MAX(0,CU9-8)*CU8)))+((IF(CU8&lt;=0,0,IF(WEEKDAY(CU$6,1)=1,0,IF(WEEKDAY(CU$6,1)=7,0,MIN(8,CU9)*CU8))))-MIN(IF(CU8&lt;=0,0,IF(WEEKDAY(CU$6,1)=1,0,IF(WEEKDAY(CU$6,1)=7,0,MIN(8,CU9)*CU8))),MAX(0,40*MAX(1,CU8)-(CQ10+CR10+CS10+CT10)))))</f>
        <v>50</v>
      </c>
      <c r="CV11" s="64">
        <f>IF(AND(CV8=25,CV9=10),250,IF(CV8&lt;=0,0,IF(WEEKDAY(CV$6,1)=1,0,IF(WEEKDAY(CV$6,1)=7,CV8*CV9,MAX(0,CV9-8)*CV8)))+((IF(CV8&lt;=0,0,IF(WEEKDAY(CV$6,1)=1,0,IF(WEEKDAY(CV$6,1)=7,0,MIN(8,CV9)*CV8))))-MIN(IF(CV8&lt;=0,0,IF(WEEKDAY(CV$6,1)=1,0,IF(WEEKDAY(CV$6,1)=7,0,MIN(8,CV9)*CV8))),MAX(0,40*MAX(1,CV8)-(CQ10+CR10+CS10+CT10+CU10)))))</f>
        <v>250</v>
      </c>
      <c r="CW11" s="64">
        <f>IF(AND(CW8=25,CW9=10),0,IF(CW8&lt;=0,0,IF(WEEKDAY(CW$6,1)=1,0,IF(WEEKDAY(CW$6,1)=7,CW8*CW9,MAX(0,CW9-8)*CW8)))+((IF(CW8&lt;=0,0,IF(WEEKDAY(CW$6,1)=1,0,IF(WEEKDAY(CW$6,1)=7,0,MIN(8,CW9)*CW8))))-MIN(IF(CW8&lt;=0,0,IF(WEEKDAY(CW$6,1)=1,0,IF(WEEKDAY(CW$6,1)=7,0,MIN(8,CW9)*CW8))),MAX(0,40*MAX(1,CW8)-(CQ10+CR10+CS10+CT10+CU10+CV10)))))</f>
        <v>0</v>
      </c>
      <c r="CX11" s="63">
        <f>IF(AND(CX8=25,CX9=10),50,IF(CX8&lt;=0,0,IF(WEEKDAY(CX$6,1)=1,0,IF(WEEKDAY(CX$6,1)=7,CX8*CX9,MAX(0,CX9-8)*CX8)))+((IF(CX8&lt;=0,0,IF(WEEKDAY(CX$6,1)=1,0,IF(WEEKDAY(CX$6,1)=7,0,MIN(8,CX9)*CX8))))-MIN(IF(CX8&lt;=0,0,IF(WEEKDAY(CX$6,1)=1,0,IF(WEEKDAY(CX$6,1)=7,0,MIN(8,CX9)*CX8))),MAX(0,40*MAX(1,CX8)-(0)))))</f>
        <v>50</v>
      </c>
      <c r="CY11" s="63">
        <f>IF(AND(CY8=25,CY9=10),50,IF(CY8&lt;=0,0,IF(WEEKDAY(CY$6,1)=1,0,IF(WEEKDAY(CY$6,1)=7,CY8*CY9,MAX(0,CY9-8)*CY8)))+((IF(CY8&lt;=0,0,IF(WEEKDAY(CY$6,1)=1,0,IF(WEEKDAY(CY$6,1)=7,0,MIN(8,CY9)*CY8))))-MIN(IF(CY8&lt;=0,0,IF(WEEKDAY(CY$6,1)=1,0,IF(WEEKDAY(CY$6,1)=7,0,MIN(8,CY9)*CY8))),MAX(0,40*MAX(1,CY8)-(CX10)))))</f>
        <v>50</v>
      </c>
      <c r="CZ11" s="63">
        <f>IF(AND(CZ8=20,CZ9=10),40,IF(CZ8&lt;=0,0,IF(WEEKDAY(CZ$6,1)=1,0,IF(WEEKDAY(CZ$6,1)=7,CZ8*CZ9,MAX(0,CZ9-8)*CZ8)))+((IF(CZ8&lt;=0,0,IF(WEEKDAY(CZ$6,1)=1,0,IF(WEEKDAY(CZ$6,1)=7,0,MIN(8,CZ9)*CZ8))))-MIN(IF(CZ8&lt;=0,0,IF(WEEKDAY(CZ$6,1)=1,0,IF(WEEKDAY(CZ$6,1)=7,0,MIN(8,CZ9)*CZ8))),MAX(0,40*MAX(1,CZ8)-(0)))))</f>
        <v>40</v>
      </c>
      <c r="DA11" s="63">
        <f>IF(AND(DA8=20,DA9=10),40,IF(DA8&lt;=0,0,IF(WEEKDAY(DA$6,1)=1,0,IF(WEEKDAY(DA$6,1)=7,DA8*DA9,MAX(0,DA9-8)*DA8)))+((IF(DA8&lt;=0,0,IF(WEEKDAY(DA$6,1)=1,0,IF(WEEKDAY(DA$6,1)=7,0,MIN(8,DA9)*DA8))))-MIN(IF(DA8&lt;=0,0,IF(WEEKDAY(DA$6,1)=1,0,IF(WEEKDAY(DA$6,1)=7,0,MIN(8,DA9)*DA8))),MAX(0,40*MAX(1,DA8)-(CZ10)))))</f>
        <v>40</v>
      </c>
      <c r="DB11" s="63">
        <f>IF(AND(DB8=20,DB9=10),40,IF(DB8&lt;=0,0,IF(WEEKDAY(DB$6,1)=1,0,IF(WEEKDAY(DB$6,1)=7,DB8*DB9,MAX(0,DB9-8)*DB8)))+((IF(DB8&lt;=0,0,IF(WEEKDAY(DB$6,1)=1,0,IF(WEEKDAY(DB$6,1)=7,0,MIN(8,DB9)*DB8))))-MIN(IF(DB8&lt;=0,0,IF(WEEKDAY(DB$6,1)=1,0,IF(WEEKDAY(DB$6,1)=7,0,MIN(8,DB9)*DB8))),MAX(0,40*MAX(1,DB8)-(CZ10+DA10)))))</f>
        <v>40</v>
      </c>
      <c r="DC11" s="64">
        <f>IF(AND(DC8=20,DC9=10),200,IF(DC8&lt;=0,0,IF(WEEKDAY(DC$6,1)=1,0,IF(WEEKDAY(DC$6,1)=7,DC8*DC9,MAX(0,DC9-8)*DC8)))+((IF(DC8&lt;=0,0,IF(WEEKDAY(DC$6,1)=1,0,IF(WEEKDAY(DC$6,1)=7,0,MIN(8,DC9)*DC8))))-MIN(IF(DC8&lt;=0,0,IF(WEEKDAY(DC$6,1)=1,0,IF(WEEKDAY(DC$6,1)=7,0,MIN(8,DC9)*DC8))),MAX(0,40*MAX(1,DC8)-(CZ10+DA10+DB10)))))</f>
        <v>200</v>
      </c>
      <c r="DD11" s="64">
        <f>IF(AND(DD8=0,DD9=0),0,IF(DD8&lt;=0,0,IF(WEEKDAY(DD$6,1)=1,0,IF(WEEKDAY(DD$6,1)=7,DD8*DD9,MAX(0,DD9-8)*DD8)))+((IF(DD8&lt;=0,0,IF(WEEKDAY(DD$6,1)=1,0,IF(WEEKDAY(DD$6,1)=7,0,MIN(8,DD9)*DD8))))-MIN(IF(DD8&lt;=0,0,IF(WEEKDAY(DD$6,1)=1,0,IF(WEEKDAY(DD$6,1)=7,0,MIN(8,DD9)*DD8))),MAX(0,40*MAX(1,DD8)-(0)))))</f>
        <v>0</v>
      </c>
      <c r="DE11" s="63">
        <f>IF(AND(DE8=6,DE9=10),12,IF(DE8&lt;=0,0,IF(WEEKDAY(DE$6,1)=1,0,IF(WEEKDAY(DE$6,1)=7,DE8*DE9,MAX(0,DE9-8)*DE8)))+((IF(DE8&lt;=0,0,IF(WEEKDAY(DE$6,1)=1,0,IF(WEEKDAY(DE$6,1)=7,0,MIN(8,DE9)*DE8))))-MIN(IF(DE8&lt;=0,0,IF(WEEKDAY(DE$6,1)=1,0,IF(WEEKDAY(DE$6,1)=7,0,MIN(8,DE9)*DE8))),MAX(0,40*MAX(1,DE8)-(0)))))</f>
        <v>12</v>
      </c>
      <c r="DF11" s="63">
        <f>IF(AND(DF8=0,DF9=0),0,IF(DF8&lt;=0,0,IF(WEEKDAY(DF$6,1)=1,0,IF(WEEKDAY(DF$6,1)=7,DF8*DF9,MAX(0,DF9-8)*DF8)))+((IF(DF8&lt;=0,0,IF(WEEKDAY(DF$6,1)=1,0,IF(WEEKDAY(DF$6,1)=7,0,MIN(8,DF9)*DF8))))-MIN(IF(DF8&lt;=0,0,IF(WEEKDAY(DF$6,1)=1,0,IF(WEEKDAY(DF$6,1)=7,0,MIN(8,DF9)*DF8))),MAX(0,40*MAX(1,DF8)-(0)))))</f>
        <v>0</v>
      </c>
      <c r="DG11" s="63">
        <f>IF(AND(DG8=0,DG9=0),0,IF(DG8&lt;=0,0,IF(WEEKDAY(DG$6,1)=1,0,IF(WEEKDAY(DG$6,1)=7,DG8*DG9,MAX(0,DG9-8)*DG8)))+((IF(DG8&lt;=0,0,IF(WEEKDAY(DG$6,1)=1,0,IF(WEEKDAY(DG$6,1)=7,0,MIN(8,DG9)*DG8))))-MIN(IF(DG8&lt;=0,0,IF(WEEKDAY(DG$6,1)=1,0,IF(WEEKDAY(DG$6,1)=7,0,MIN(8,DG9)*DG8))),MAX(0,40*MAX(1,DG8)-(DF10)))))</f>
        <v>0</v>
      </c>
      <c r="DH11" s="63">
        <f>IF(AND(DH8=0,DH9=0),0,IF(DH8&lt;=0,0,IF(WEEKDAY(DH$6,1)=1,0,IF(WEEKDAY(DH$6,1)=7,DH8*DH9,MAX(0,DH9-8)*DH8)))+((IF(DH8&lt;=0,0,IF(WEEKDAY(DH$6,1)=1,0,IF(WEEKDAY(DH$6,1)=7,0,MIN(8,DH9)*DH8))))-MIN(IF(DH8&lt;=0,0,IF(WEEKDAY(DH$6,1)=1,0,IF(WEEKDAY(DH$6,1)=7,0,MIN(8,DH9)*DH8))),MAX(0,40*MAX(1,DH8)-(DF10+DG10)))))</f>
        <v>0</v>
      </c>
      <c r="DI11" s="63">
        <f>IF(AND(DI8=0,DI9=0),0,IF(DI8&lt;=0,0,IF(WEEKDAY(DI$6,1)=1,0,IF(WEEKDAY(DI$6,1)=7,DI8*DI9,MAX(0,DI9-8)*DI8)))+((IF(DI8&lt;=0,0,IF(WEEKDAY(DI$6,1)=1,0,IF(WEEKDAY(DI$6,1)=7,0,MIN(8,DI9)*DI8))))-MIN(IF(DI8&lt;=0,0,IF(WEEKDAY(DI$6,1)=1,0,IF(WEEKDAY(DI$6,1)=7,0,MIN(8,DI9)*DI8))),MAX(0,40*MAX(1,DI8)-(DF10+DG10+DH10)))))</f>
        <v>0</v>
      </c>
      <c r="DJ11" s="64">
        <f>IF(AND(DJ8=0,DJ9=0),0,IF(DJ8&lt;=0,0,IF(WEEKDAY(DJ$6,1)=1,0,IF(WEEKDAY(DJ$6,1)=7,DJ8*DJ9,MAX(0,DJ9-8)*DJ8)))+((IF(DJ8&lt;=0,0,IF(WEEKDAY(DJ$6,1)=1,0,IF(WEEKDAY(DJ$6,1)=7,0,MIN(8,DJ9)*DJ8))))-MIN(IF(DJ8&lt;=0,0,IF(WEEKDAY(DJ$6,1)=1,0,IF(WEEKDAY(DJ$6,1)=7,0,MIN(8,DJ9)*DJ8))),MAX(0,40*MAX(1,DJ8)-(DF10+DG10+DH10+DI10)))))</f>
        <v>0</v>
      </c>
      <c r="DK11" s="64">
        <f>IF(AND(DK8=0,DK9=0),0,IF(DK8&lt;=0,0,IF(WEEKDAY(DK$6,1)=1,0,IF(WEEKDAY(DK$6,1)=7,DK8*DK9,MAX(0,DK9-8)*DK8)))+((IF(DK8&lt;=0,0,IF(WEEKDAY(DK$6,1)=1,0,IF(WEEKDAY(DK$6,1)=7,0,MIN(8,DK9)*DK8))))-MIN(IF(DK8&lt;=0,0,IF(WEEKDAY(DK$6,1)=1,0,IF(WEEKDAY(DK$6,1)=7,0,MIN(8,DK9)*DK8))),MAX(0,40*MAX(1,DK8)-(DF10+DG10+DH10+DI10+DJ10)))))</f>
        <v>0</v>
      </c>
      <c r="DL11" s="63">
        <f>IF(AND(DL8=0,DL9=0),0,IF(DL8&lt;=0,0,IF(WEEKDAY(DL$6,1)=1,0,IF(WEEKDAY(DL$6,1)=7,DL8*DL9,MAX(0,DL9-8)*DL8)))+((IF(DL8&lt;=0,0,IF(WEEKDAY(DL$6,1)=1,0,IF(WEEKDAY(DL$6,1)=7,0,MIN(8,DL9)*DL8))))-MIN(IF(DL8&lt;=0,0,IF(WEEKDAY(DL$6,1)=1,0,IF(WEEKDAY(DL$6,1)=7,0,MIN(8,DL9)*DL8))),MAX(0,40*MAX(1,DL8)-(0)))))</f>
        <v>0</v>
      </c>
      <c r="DM11" s="63">
        <f>IF(AND(DM8=0,DM9=0),0,IF(DM8&lt;=0,0,IF(WEEKDAY(DM$6,1)=1,0,IF(WEEKDAY(DM$6,1)=7,DM8*DM9,MAX(0,DM9-8)*DM8)))+((IF(DM8&lt;=0,0,IF(WEEKDAY(DM$6,1)=1,0,IF(WEEKDAY(DM$6,1)=7,0,MIN(8,DM9)*DM8))))-MIN(IF(DM8&lt;=0,0,IF(WEEKDAY(DM$6,1)=1,0,IF(WEEKDAY(DM$6,1)=7,0,MIN(8,DM9)*DM8))),MAX(0,40*MAX(1,DM8)-(DL10)))))</f>
        <v>0</v>
      </c>
      <c r="DN11" s="63">
        <f>IF(AND(DN8=0,DN9=0),0,IF(DN8&lt;=0,0,IF(WEEKDAY(DN$6,1)=1,0,IF(WEEKDAY(DN$6,1)=7,DN8*DN9,MAX(0,DN9-8)*DN8)))+((IF(DN8&lt;=0,0,IF(WEEKDAY(DN$6,1)=1,0,IF(WEEKDAY(DN$6,1)=7,0,MIN(8,DN9)*DN8))))-MIN(IF(DN8&lt;=0,0,IF(WEEKDAY(DN$6,1)=1,0,IF(WEEKDAY(DN$6,1)=7,0,MIN(8,DN9)*DN8))),MAX(0,40*MAX(1,DN8)-(DL10+DM10)))))</f>
        <v>0</v>
      </c>
      <c r="DO11" s="63">
        <f>IF(AND(DO8=0,DO9=0),0,IF(DO8&lt;=0,0,IF(WEEKDAY(DO$6,1)=1,0,IF(WEEKDAY(DO$6,1)=7,DO8*DO9,MAX(0,DO9-8)*DO8)))+((IF(DO8&lt;=0,0,IF(WEEKDAY(DO$6,1)=1,0,IF(WEEKDAY(DO$6,1)=7,0,MIN(8,DO9)*DO8))))-MIN(IF(DO8&lt;=0,0,IF(WEEKDAY(DO$6,1)=1,0,IF(WEEKDAY(DO$6,1)=7,0,MIN(8,DO9)*DO8))),MAX(0,40*MAX(1,DO8)-(DL10+DM10+DN10)))))</f>
        <v>0</v>
      </c>
      <c r="DP11" s="63">
        <f>IF(AND(DP8=0,DP9=0),0,IF(DP8&lt;=0,0,IF(WEEKDAY(DP$6,1)=1,0,IF(WEEKDAY(DP$6,1)=7,DP8*DP9,MAX(0,DP9-8)*DP8)))+((IF(DP8&lt;=0,0,IF(WEEKDAY(DP$6,1)=1,0,IF(WEEKDAY(DP$6,1)=7,0,MIN(8,DP9)*DP8))))-MIN(IF(DP8&lt;=0,0,IF(WEEKDAY(DP$6,1)=1,0,IF(WEEKDAY(DP$6,1)=7,0,MIN(8,DP9)*DP8))),MAX(0,40*MAX(1,DP8)-(DL10+DM10+DN10+DO10)))))</f>
        <v>0</v>
      </c>
      <c r="DQ11" s="64">
        <f>IF(AND(DQ8=0,DQ9=0),0,IF(DQ8&lt;=0,0,IF(WEEKDAY(DQ$6,1)=1,0,IF(WEEKDAY(DQ$6,1)=7,DQ8*DQ9,MAX(0,DQ9-8)*DQ8)))+((IF(DQ8&lt;=0,0,IF(WEEKDAY(DQ$6,1)=1,0,IF(WEEKDAY(DQ$6,1)=7,0,MIN(8,DQ9)*DQ8))))-MIN(IF(DQ8&lt;=0,0,IF(WEEKDAY(DQ$6,1)=1,0,IF(WEEKDAY(DQ$6,1)=7,0,MIN(8,DQ9)*DQ8))),MAX(0,40*MAX(1,DQ8)-(DL10+DM10+DN10+DO10+DP10)))))</f>
        <v>0</v>
      </c>
      <c r="DR11" s="64">
        <f>IF(AND(DR8=0,DR9=0),0,IF(DR8&lt;=0,0,IF(WEEKDAY(DR$6,1)=1,0,IF(WEEKDAY(DR$6,1)=7,DR8*DR9,MAX(0,DR9-8)*DR8)))+((IF(DR8&lt;=0,0,IF(WEEKDAY(DR$6,1)=1,0,IF(WEEKDAY(DR$6,1)=7,0,MIN(8,DR9)*DR8))))-MIN(IF(DR8&lt;=0,0,IF(WEEKDAY(DR$6,1)=1,0,IF(WEEKDAY(DR$6,1)=7,0,MIN(8,DR9)*DR8))),MAX(0,40*MAX(1,DR8)-(DL10+DM10+DN10+DO10+DP10+DQ10)))))</f>
        <v>0</v>
      </c>
      <c r="DS11" s="63">
        <f>IF(AND(DS8=0,DS9=0),0,IF(DS8&lt;=0,0,IF(WEEKDAY(DS$6,1)=1,0,IF(WEEKDAY(DS$6,1)=7,DS8*DS9,MAX(0,DS9-8)*DS8)))+((IF(DS8&lt;=0,0,IF(WEEKDAY(DS$6,1)=1,0,IF(WEEKDAY(DS$6,1)=7,0,MIN(8,DS9)*DS8))))-MIN(IF(DS8&lt;=0,0,IF(WEEKDAY(DS$6,1)=1,0,IF(WEEKDAY(DS$6,1)=7,0,MIN(8,DS9)*DS8))),MAX(0,40*MAX(1,DS8)-(0)))))</f>
        <v>0</v>
      </c>
      <c r="DT11" s="63">
        <f>IF(AND(DT8=8,DT9=8),0,IF(DT8&lt;=0,0,IF(WEEKDAY(DT$6,1)=1,0,IF(WEEKDAY(DT$6,1)=7,DT8*DT9,MAX(0,DT9-8)*DT8)))+((IF(DT8&lt;=0,0,IF(WEEKDAY(DT$6,1)=1,0,IF(WEEKDAY(DT$6,1)=7,0,MIN(8,DT9)*DT8))))-MIN(IF(DT8&lt;=0,0,IF(WEEKDAY(DT$6,1)=1,0,IF(WEEKDAY(DT$6,1)=7,0,MIN(8,DT9)*DT8))),MAX(0,40*MAX(1,DT8)-(0)))))</f>
        <v>0</v>
      </c>
      <c r="DU11" s="63">
        <f>IF(AND(DU8=8,DU9=8),0,IF(DU8&lt;=0,0,IF(WEEKDAY(DU$6,1)=1,0,IF(WEEKDAY(DU$6,1)=7,DU8*DU9,MAX(0,DU9-8)*DU8)))+((IF(DU8&lt;=0,0,IF(WEEKDAY(DU$6,1)=1,0,IF(WEEKDAY(DU$6,1)=7,0,MIN(8,DU9)*DU8))))-MIN(IF(DU8&lt;=0,0,IF(WEEKDAY(DU$6,1)=1,0,IF(WEEKDAY(DU$6,1)=7,0,MIN(8,DU9)*DU8))),MAX(0,40*MAX(1,DU8)-(DT10)))))</f>
        <v>0</v>
      </c>
      <c r="DV11" s="63">
        <f>IF(AND(DV8=8,DV9=8),0,IF(DV8&lt;=0,0,IF(WEEKDAY(DV$6,1)=1,0,IF(WEEKDAY(DV$6,1)=7,DV8*DV9,MAX(0,DV9-8)*DV8)))+((IF(DV8&lt;=0,0,IF(WEEKDAY(DV$6,1)=1,0,IF(WEEKDAY(DV$6,1)=7,0,MIN(8,DV9)*DV8))))-MIN(IF(DV8&lt;=0,0,IF(WEEKDAY(DV$6,1)=1,0,IF(WEEKDAY(DV$6,1)=7,0,MIN(8,DV9)*DV8))),MAX(0,40*MAX(1,DV8)-(DT10+DU10)))))</f>
        <v>0</v>
      </c>
      <c r="DW11" s="63">
        <f>IF(AND(DW8=8,DW9=8),0,IF(DW8&lt;=0,0,IF(WEEKDAY(DW$6,1)=1,0,IF(WEEKDAY(DW$6,1)=7,DW8*DW9,MAX(0,DW9-8)*DW8)))+((IF(DW8&lt;=0,0,IF(WEEKDAY(DW$6,1)=1,0,IF(WEEKDAY(DW$6,1)=7,0,MIN(8,DW9)*DW8))))-MIN(IF(DW8&lt;=0,0,IF(WEEKDAY(DW$6,1)=1,0,IF(WEEKDAY(DW$6,1)=7,0,MIN(8,DW9)*DW8))),MAX(0,40*MAX(1,DW8)-(DT10+DU10+DV10)))))</f>
        <v>0</v>
      </c>
      <c r="DX11" s="64">
        <f>IF(AND(DX8=0,DX9=0),0,IF(DX8&lt;=0,0,IF(WEEKDAY(DX$6,1)=1,0,IF(WEEKDAY(DX$6,1)=7,DX8*DX9,MAX(0,DX9-8)*DX8)))+((IF(DX8&lt;=0,0,IF(WEEKDAY(DX$6,1)=1,0,IF(WEEKDAY(DX$6,1)=7,0,MIN(8,DX9)*DX8))))-MIN(IF(DX8&lt;=0,0,IF(WEEKDAY(DX$6,1)=1,0,IF(WEEKDAY(DX$6,1)=7,0,MIN(8,DX9)*DX8))),MAX(0,40*MAX(1,DX8)-(DS10)))))</f>
        <v>0</v>
      </c>
      <c r="DY11" s="64">
        <f>IF(AND(DY8=0,DY9=0),0,IF(DY8&lt;=0,0,IF(WEEKDAY(DY$6,1)=1,0,IF(WEEKDAY(DY$6,1)=7,DY8*DY9,MAX(0,DY9-8)*DY8)))+((IF(DY8&lt;=0,0,IF(WEEKDAY(DY$6,1)=1,0,IF(WEEKDAY(DY$6,1)=7,0,MIN(8,DY9)*DY8))))-MIN(IF(DY8&lt;=0,0,IF(WEEKDAY(DY$6,1)=1,0,IF(WEEKDAY(DY$6,1)=7,0,MIN(8,DY9)*DY8))),MAX(0,40*MAX(1,DY8)-(DS10+DX10)))))</f>
        <v>0</v>
      </c>
      <c r="DZ11" s="63">
        <f>IF(AND(DZ8=8,DZ9=8),0,IF(DZ8&lt;=0,0,IF(WEEKDAY(DZ$6,1)=1,0,IF(WEEKDAY(DZ$6,1)=7,DZ8*DZ9,MAX(0,DZ9-8)*DZ8)))+((IF(DZ8&lt;=0,0,IF(WEEKDAY(DZ$6,1)=1,0,IF(WEEKDAY(DZ$6,1)=7,0,MIN(8,DZ9)*DZ8))))-MIN(IF(DZ8&lt;=0,0,IF(WEEKDAY(DZ$6,1)=1,0,IF(WEEKDAY(DZ$6,1)=7,0,MIN(8,DZ9)*DZ8))),MAX(0,40*MAX(1,DZ8)-(0)))))</f>
        <v>0</v>
      </c>
      <c r="EA11" s="63">
        <f>IF(AND(EA8=8,EA9=8),0,IF(EA8&lt;=0,0,IF(WEEKDAY(EA$6,1)=1,0,IF(WEEKDAY(EA$6,1)=7,EA8*EA9,MAX(0,EA9-8)*EA8)))+((IF(EA8&lt;=0,0,IF(WEEKDAY(EA$6,1)=1,0,IF(WEEKDAY(EA$6,1)=7,0,MIN(8,EA9)*EA8))))-MIN(IF(EA8&lt;=0,0,IF(WEEKDAY(EA$6,1)=1,0,IF(WEEKDAY(EA$6,1)=7,0,MIN(8,EA9)*EA8))),MAX(0,40*MAX(1,EA8)-(DZ10)))))</f>
        <v>0</v>
      </c>
      <c r="EB11" s="63">
        <f>IF(AND(EB8=8,EB9=8),0,IF(EB8&lt;=0,0,IF(WEEKDAY(EB$6,1)=1,0,IF(WEEKDAY(EB$6,1)=7,EB8*EB9,MAX(0,EB9-8)*EB8)))+((IF(EB8&lt;=0,0,IF(WEEKDAY(EB$6,1)=1,0,IF(WEEKDAY(EB$6,1)=7,0,MIN(8,EB9)*EB8))))-MIN(IF(EB8&lt;=0,0,IF(WEEKDAY(EB$6,1)=1,0,IF(WEEKDAY(EB$6,1)=7,0,MIN(8,EB9)*EB8))),MAX(0,40*MAX(1,EB8)-(DZ10+EA10)))))</f>
        <v>0</v>
      </c>
      <c r="EC11" s="63">
        <f>IF(AND(EC8=8,EC9=8),0,IF(EC8&lt;=0,0,IF(WEEKDAY(EC$6,1)=1,0,IF(WEEKDAY(EC$6,1)=7,EC8*EC9,MAX(0,EC9-8)*EC8)))+((IF(EC8&lt;=0,0,IF(WEEKDAY(EC$6,1)=1,0,IF(WEEKDAY(EC$6,1)=7,0,MIN(8,EC9)*EC8))))-MIN(IF(EC8&lt;=0,0,IF(WEEKDAY(EC$6,1)=1,0,IF(WEEKDAY(EC$6,1)=7,0,MIN(8,EC9)*EC8))),MAX(0,40*MAX(1,EC8)-(DZ10+EA10+EB10)))))</f>
        <v>0</v>
      </c>
      <c r="ED11" s="63">
        <f>IF(AND(ED8=8,ED9=8),0,IF(ED8&lt;=0,0,IF(WEEKDAY(ED$6,1)=1,0,IF(WEEKDAY(ED$6,1)=7,ED8*ED9,MAX(0,ED9-8)*ED8)))+((IF(ED8&lt;=0,0,IF(WEEKDAY(ED$6,1)=1,0,IF(WEEKDAY(ED$6,1)=7,0,MIN(8,ED9)*ED8))))-MIN(IF(ED8&lt;=0,0,IF(WEEKDAY(ED$6,1)=1,0,IF(WEEKDAY(ED$6,1)=7,0,MIN(8,ED9)*ED8))),MAX(0,40*MAX(1,ED8)-(DZ10+EA10+EB10+EC10)))))</f>
        <v>0</v>
      </c>
      <c r="EE11" s="64">
        <f>IF(AND(EE8=0,EE9=0),0,IF(EE8&lt;=0,0,IF(WEEKDAY(EE$6,1)=1,0,IF(WEEKDAY(EE$6,1)=7,EE8*EE9,MAX(0,EE9-8)*EE8)))+((IF(EE8&lt;=0,0,IF(WEEKDAY(EE$6,1)=1,0,IF(WEEKDAY(EE$6,1)=7,0,MIN(8,EE9)*EE8))))-MIN(IF(EE8&lt;=0,0,IF(WEEKDAY(EE$6,1)=1,0,IF(WEEKDAY(EE$6,1)=7,0,MIN(8,EE9)*EE8))),MAX(0,40*MAX(1,EE8)-(0)))))</f>
        <v>0</v>
      </c>
      <c r="EF11" s="64">
        <f>IF(AND(EF8=0,EF9=0),0,IF(EF8&lt;=0,0,IF(WEEKDAY(EF$6,1)=1,0,IF(WEEKDAY(EF$6,1)=7,EF8*EF9,MAX(0,EF9-8)*EF8)))+((IF(EF8&lt;=0,0,IF(WEEKDAY(EF$6,1)=1,0,IF(WEEKDAY(EF$6,1)=7,0,MIN(8,EF9)*EF8))))-MIN(IF(EF8&lt;=0,0,IF(WEEKDAY(EF$6,1)=1,0,IF(WEEKDAY(EF$6,1)=7,0,MIN(8,EF9)*EF8))),MAX(0,40*MAX(1,EF8)-(EE10)))))</f>
        <v>0</v>
      </c>
      <c r="EG11" s="63">
        <f>IF(AND(EG8=8,EG9=8),0,IF(EG8&lt;=0,0,IF(WEEKDAY(EG$6,1)=1,0,IF(WEEKDAY(EG$6,1)=7,EG8*EG9,MAX(0,EG9-8)*EG8)))+((IF(EG8&lt;=0,0,IF(WEEKDAY(EG$6,1)=1,0,IF(WEEKDAY(EG$6,1)=7,0,MIN(8,EG9)*EG8))))-MIN(IF(EG8&lt;=0,0,IF(WEEKDAY(EG$6,1)=1,0,IF(WEEKDAY(EG$6,1)=7,0,MIN(8,EG9)*EG8))),MAX(0,40*MAX(1,EG8)-(0)))))</f>
        <v>0</v>
      </c>
      <c r="EH11" s="63">
        <f>IF(AND(EH8=8,EH9=8),0,IF(EH8&lt;=0,0,IF(WEEKDAY(EH$6,1)=1,0,IF(WEEKDAY(EH$6,1)=7,EH8*EH9,MAX(0,EH9-8)*EH8)))+((IF(EH8&lt;=0,0,IF(WEEKDAY(EH$6,1)=1,0,IF(WEEKDAY(EH$6,1)=7,0,MIN(8,EH9)*EH8))))-MIN(IF(EH8&lt;=0,0,IF(WEEKDAY(EH$6,1)=1,0,IF(WEEKDAY(EH$6,1)=7,0,MIN(8,EH9)*EH8))),MAX(0,40*MAX(1,EH8)-(EG10)))))</f>
        <v>0</v>
      </c>
      <c r="EI11" s="63">
        <f>IF(AND(EI8=8,EI9=8),0,IF(EI8&lt;=0,0,IF(WEEKDAY(EI$6,1)=1,0,IF(WEEKDAY(EI$6,1)=7,EI8*EI9,MAX(0,EI9-8)*EI8)))+((IF(EI8&lt;=0,0,IF(WEEKDAY(EI$6,1)=1,0,IF(WEEKDAY(EI$6,1)=7,0,MIN(8,EI9)*EI8))))-MIN(IF(EI8&lt;=0,0,IF(WEEKDAY(EI$6,1)=1,0,IF(WEEKDAY(EI$6,1)=7,0,MIN(8,EI9)*EI8))),MAX(0,40*MAX(1,EI8)-(EG10+EH10)))))</f>
        <v>0</v>
      </c>
      <c r="EJ11" s="63">
        <f>IF(AND(EJ8=8,EJ9=8),0,IF(EJ8&lt;=0,0,IF(WEEKDAY(EJ$6,1)=1,0,IF(WEEKDAY(EJ$6,1)=7,EJ8*EJ9,MAX(0,EJ9-8)*EJ8)))+((IF(EJ8&lt;=0,0,IF(WEEKDAY(EJ$6,1)=1,0,IF(WEEKDAY(EJ$6,1)=7,0,MIN(8,EJ9)*EJ8))))-MIN(IF(EJ8&lt;=0,0,IF(WEEKDAY(EJ$6,1)=1,0,IF(WEEKDAY(EJ$6,1)=7,0,MIN(8,EJ9)*EJ8))),MAX(0,40*MAX(1,EJ8)-(EG10+EH10+EI10)))))</f>
        <v>0</v>
      </c>
      <c r="EK11" s="65">
        <f>IF(AND(EK8=8,EK9=8),0,IF(EK8&lt;=0,0,IF(WEEKDAY(EK$6,1)=1,0,IF(WEEKDAY(EK$6,1)=7,EK8*EK9,MAX(0,EK9-8)*EK8)))+((IF(EK8&lt;=0,0,IF(WEEKDAY(EK$6,1)=1,0,IF(WEEKDAY(EK$6,1)=7,0,MIN(8,EK9)*EK8))))-MIN(IF(EK8&lt;=0,0,IF(WEEKDAY(EK$6,1)=1,0,IF(WEEKDAY(EK$6,1)=7,0,MIN(8,EK9)*EK8))),MAX(0,40*MAX(1,EK8)-(EG10+EH10+EI10+EJ10)))))</f>
        <v>0</v>
      </c>
      <c r="OU11" s="28" t="s">
        <v>112</v>
      </c>
    </row>
    <row r="12" ht="16" customHeight="1" spans="1:411" x14ac:dyDescent="0.25">
      <c r="A12" s="45"/>
      <c r="B12" s="46"/>
      <c r="C12" s="61">
        <f>H7*N(D12)</f>
        <v>315504</v>
      </c>
      <c r="D12" s="61">
        <f>IF(TRIM(B7)="","No rate",IFERROR(INDEX('Rate Tables'!E$7:E$158,MATCH(B7,'Rate Tables'!A$7:A$158,0)),"No rate"))</f>
        <v>197.19</v>
      </c>
      <c r="E12" s="55" t="s">
        <v>64</v>
      </c>
      <c r="F12" s="49"/>
      <c r="G12" s="49"/>
      <c r="H12" s="49"/>
      <c r="I12" s="49"/>
      <c r="J12" s="50"/>
      <c r="K12" s="62">
        <f>IF(AND(K8=0,K9=0),0,IF(K8&lt;=0,0,IF(WEEKDAY(K$6,1)=1,K8*K9,0)))</f>
        <v>0</v>
      </c>
      <c r="L12" s="63">
        <f>IF(AND(L8=0,L9=0),0,IF(L8&lt;=0,0,IF(WEEKDAY(L$6,1)=1,L8*L9,0)))</f>
        <v>0</v>
      </c>
      <c r="M12" s="63">
        <f>IF(AND(M8=0,M9=0),0,IF(M8&lt;=0,0,IF(WEEKDAY(M$6,1)=1,M8*M9,0)))</f>
        <v>0</v>
      </c>
      <c r="N12" s="63">
        <f>IF(AND(N8=0,N9=0),0,IF(N8&lt;=0,0,IF(WEEKDAY(N$6,1)=1,N8*N9,0)))</f>
        <v>0</v>
      </c>
      <c r="O12" s="63">
        <f>IF(AND(O8=0,O9=0),0,IF(O8&lt;=0,0,IF(WEEKDAY(O$6,1)=1,O8*O9,0)))</f>
        <v>0</v>
      </c>
      <c r="P12" s="64">
        <f>IF(AND(P8=0,P9=0),0,IF(P8&lt;=0,0,IF(WEEKDAY(P$6,1)=1,P8*P9,0)))</f>
        <v>0</v>
      </c>
      <c r="Q12" s="64">
        <f>IF(AND(Q8=0,Q9=0),0,IF(Q8&lt;=0,0,IF(WEEKDAY(Q$6,1)=1,Q8*Q9,0)))</f>
        <v>0</v>
      </c>
      <c r="R12" s="63">
        <f>IF(AND(R8=8,R9=8),0,IF(R8&lt;=0,0,IF(WEEKDAY(R$6,1)=1,R8*R9,0)))</f>
        <v>0</v>
      </c>
      <c r="S12" s="63">
        <f>IF(AND(S8=8,S9=8),0,IF(S8&lt;=0,0,IF(WEEKDAY(S$6,1)=1,S8*S9,0)))</f>
        <v>0</v>
      </c>
      <c r="T12" s="63">
        <f>IF(AND(T8=8,T9=8),0,IF(T8&lt;=0,0,IF(WEEKDAY(T$6,1)=1,T8*T9,0)))</f>
        <v>0</v>
      </c>
      <c r="U12" s="63">
        <f>IF(AND(U8=8,U9=8),0,IF(U8&lt;=0,0,IF(WEEKDAY(U$6,1)=1,U8*U9,0)))</f>
        <v>0</v>
      </c>
      <c r="V12" s="63">
        <f>IF(AND(V8=8,V9=8),0,IF(V8&lt;=0,0,IF(WEEKDAY(V$6,1)=1,V8*V9,0)))</f>
        <v>0</v>
      </c>
      <c r="W12" s="64">
        <f>IF(AND(W8=0,W9=0),0,IF(W8&lt;=0,0,IF(WEEKDAY(W$6,1)=1,W8*W9,0)))</f>
        <v>0</v>
      </c>
      <c r="X12" s="64">
        <f>IF(AND(X8=0,X9=0),0,IF(X8&lt;=0,0,IF(WEEKDAY(X$6,1)=1,X8*X9,0)))</f>
        <v>0</v>
      </c>
      <c r="Y12" s="63">
        <f>IF(AND(Y8=8,Y9=8),0,IF(Y8&lt;=0,0,IF(WEEKDAY(Y$6,1)=1,Y8*Y9,0)))</f>
        <v>0</v>
      </c>
      <c r="Z12" s="63">
        <f>IF(AND(Z8=8,Z9=8),0,IF(Z8&lt;=0,0,IF(WEEKDAY(Z$6,1)=1,Z8*Z9,0)))</f>
        <v>0</v>
      </c>
      <c r="AA12" s="63">
        <f>IF(AND(AA8=8,AA9=8),0,IF(AA8&lt;=0,0,IF(WEEKDAY(AA$6,1)=1,AA8*AA9,0)))</f>
        <v>0</v>
      </c>
      <c r="AB12" s="63">
        <f>IF(AND(AB8=8,AB9=8),0,IF(AB8&lt;=0,0,IF(WEEKDAY(AB$6,1)=1,AB8*AB9,0)))</f>
        <v>0</v>
      </c>
      <c r="AC12" s="63">
        <f>IF(AND(AC8=8,AC9=8),0,IF(AC8&lt;=0,0,IF(WEEKDAY(AC$6,1)=1,AC8*AC9,0)))</f>
        <v>0</v>
      </c>
      <c r="AD12" s="64">
        <f>IF(AND(AD8=0,AD9=0),0,IF(AD8&lt;=0,0,IF(WEEKDAY(AD$6,1)=1,AD8*AD9,0)))</f>
        <v>0</v>
      </c>
      <c r="AE12" s="64">
        <f>IF(AND(AE8=0,AE9=0),0,IF(AE8&lt;=0,0,IF(WEEKDAY(AE$6,1)=1,AE8*AE9,0)))</f>
        <v>0</v>
      </c>
      <c r="AF12" s="63">
        <f>IF(AND(AF8=8,AF9=8),0,IF(AF8&lt;=0,0,IF(WEEKDAY(AF$6,1)=1,AF8*AF9,0)))</f>
        <v>0</v>
      </c>
      <c r="AG12" s="63">
        <f>IF(AND(AG8=8,AG9=8),0,IF(AG8&lt;=0,0,IF(WEEKDAY(AG$6,1)=1,AG8*AG9,0)))</f>
        <v>0</v>
      </c>
      <c r="AH12" s="63">
        <f>IF(AND(AH8=8,AH9=8),0,IF(AH8&lt;=0,0,IF(WEEKDAY(AH$6,1)=1,AH8*AH9,0)))</f>
        <v>0</v>
      </c>
      <c r="AI12" s="63">
        <f>IF(AND(AI8=8,AI9=8),0,IF(AI8&lt;=0,0,IF(WEEKDAY(AI$6,1)=1,AI8*AI9,0)))</f>
        <v>0</v>
      </c>
      <c r="AJ12" s="63">
        <f>IF(AND(AJ8=8,AJ9=8),0,IF(AJ8&lt;=0,0,IF(WEEKDAY(AJ$6,1)=1,AJ8*AJ9,0)))</f>
        <v>0</v>
      </c>
      <c r="AK12" s="64">
        <f>IF(AND(AK8=0,AK9=0),0,IF(AK8&lt;=0,0,IF(WEEKDAY(AK$6,1)=1,AK8*AK9,0)))</f>
        <v>0</v>
      </c>
      <c r="AL12" s="64">
        <f>IF(AND(AL8=0,AL9=0),0,IF(AL8&lt;=0,0,IF(WEEKDAY(AL$6,1)=1,AL8*AL9,0)))</f>
        <v>0</v>
      </c>
      <c r="AM12" s="63">
        <f>IF(AND(AM8=8,AM9=8),0,IF(AM8&lt;=0,0,IF(WEEKDAY(AM$6,1)=1,AM8*AM9,0)))</f>
        <v>0</v>
      </c>
      <c r="AN12" s="63">
        <f>IF(AND(AN8=8,AN9=8),0,IF(AN8&lt;=0,0,IF(WEEKDAY(AN$6,1)=1,AN8*AN9,0)))</f>
        <v>0</v>
      </c>
      <c r="AO12" s="63">
        <f>IF(AND(AO8=8,AO9=8),0,IF(AO8&lt;=0,0,IF(WEEKDAY(AO$6,1)=1,AO8*AO9,0)))</f>
        <v>0</v>
      </c>
      <c r="AP12" s="63">
        <f>IF(AND(AP8=8,AP9=8),0,IF(AP8&lt;=0,0,IF(WEEKDAY(AP$6,1)=1,AP8*AP9,0)))</f>
        <v>0</v>
      </c>
      <c r="AQ12" s="63">
        <f>IF(AND(AQ8=11,AQ9=8),0,IF(AQ8&lt;=0,0,IF(WEEKDAY(AQ$6,1)=1,AQ8*AQ9,0)))</f>
        <v>0</v>
      </c>
      <c r="AR12" s="64">
        <f>IF(AND(AR8=0,AR9=0),0,IF(AR8&lt;=0,0,IF(WEEKDAY(AR$6,1)=1,AR8*AR9,0)))</f>
        <v>0</v>
      </c>
      <c r="AS12" s="64">
        <f>IF(AND(AS8=0,AS9=0),0,IF(AS8&lt;=0,0,IF(WEEKDAY(AS$6,1)=1,AS8*AS9,0)))</f>
        <v>0</v>
      </c>
      <c r="AT12" s="63">
        <f>IF(AND(AT8=8,AT9=8),0,IF(AT8&lt;=0,0,IF(WEEKDAY(AT$6,1)=1,AT8*AT9,0)))</f>
        <v>0</v>
      </c>
      <c r="AU12" s="63">
        <f>IF(AND(AU8=8,AU9=8),0,IF(AU8&lt;=0,0,IF(WEEKDAY(AU$6,1)=1,AU8*AU9,0)))</f>
        <v>0</v>
      </c>
      <c r="AV12" s="63">
        <f>IF(AND(AV8=8,AV9=8),0,IF(AV8&lt;=0,0,IF(WEEKDAY(AV$6,1)=1,AV8*AV9,0)))</f>
        <v>0</v>
      </c>
      <c r="AW12" s="63">
        <f>IF(AND(AW8=8,AW9=8),0,IF(AW8&lt;=0,0,IF(WEEKDAY(AW$6,1)=1,AW8*AW9,0)))</f>
        <v>0</v>
      </c>
      <c r="AX12" s="63">
        <f>IF(AND(AX8=8,AX9=8),0,IF(AX8&lt;=0,0,IF(WEEKDAY(AX$6,1)=1,AX8*AX9,0)))</f>
        <v>0</v>
      </c>
      <c r="AY12" s="64">
        <f>IF(AND(AY8=0,AY9=0),0,IF(AY8&lt;=0,0,IF(WEEKDAY(AY$6,1)=1,AY8*AY9,0)))</f>
        <v>0</v>
      </c>
      <c r="AZ12" s="64">
        <f>IF(AND(AZ8=0,AZ9=0),0,IF(AZ8&lt;=0,0,IF(WEEKDAY(AZ$6,1)=1,AZ8*AZ9,0)))</f>
        <v>0</v>
      </c>
      <c r="BA12" s="63">
        <f>IF(AND(BA8=8,BA9=8),0,IF(BA8&lt;=0,0,IF(WEEKDAY(BA$6,1)=1,BA8*BA9,0)))</f>
        <v>0</v>
      </c>
      <c r="BB12" s="63">
        <f>IF(AND(BB8=8,BB9=8),0,IF(BB8&lt;=0,0,IF(WEEKDAY(BB$6,1)=1,BB8*BB9,0)))</f>
        <v>0</v>
      </c>
      <c r="BC12" s="63">
        <f>IF(AND(BC8=8,BC9=8),0,IF(BC8&lt;=0,0,IF(WEEKDAY(BC$6,1)=1,BC8*BC9,0)))</f>
        <v>0</v>
      </c>
      <c r="BD12" s="63">
        <f>IF(AND(BD8=8,BD9=8),0,IF(BD8&lt;=0,0,IF(WEEKDAY(BD$6,1)=1,BD8*BD9,0)))</f>
        <v>0</v>
      </c>
      <c r="BE12" s="63">
        <f>IF(AND(BE8=8,BE9=8),0,IF(BE8&lt;=0,0,IF(WEEKDAY(BE$6,1)=1,BE8*BE9,0)))</f>
        <v>0</v>
      </c>
      <c r="BF12" s="64">
        <f>IF(AND(BF8=0,BF9=0),0,IF(BF8&lt;=0,0,IF(WEEKDAY(BF$6,1)=1,BF8*BF9,0)))</f>
        <v>0</v>
      </c>
      <c r="BG12" s="64">
        <f>IF(AND(BG8=0,BG9=0),0,IF(BG8&lt;=0,0,IF(WEEKDAY(BG$6,1)=1,BG8*BG9,0)))</f>
        <v>0</v>
      </c>
      <c r="BH12" s="63">
        <f>IF(AND(BH8=15,BH9=10),0,IF(BH8&lt;=0,0,IF(WEEKDAY(BH$6,1)=1,BH8*BH9,0)))</f>
        <v>0</v>
      </c>
      <c r="BI12" s="63">
        <f>IF(AND(BI8=18,BI9=10),0,IF(BI8&lt;=0,0,IF(WEEKDAY(BI$6,1)=1,BI8*BI9,0)))</f>
        <v>0</v>
      </c>
      <c r="BJ12" s="63">
        <f>IF(AND(BJ8=20,BJ9=10),0,IF(BJ8&lt;=0,0,IF(WEEKDAY(BJ$6,1)=1,BJ8*BJ9,0)))</f>
        <v>0</v>
      </c>
      <c r="BK12" s="63">
        <f>IF(AND(BK8=20,BK9=10),0,IF(BK8&lt;=0,0,IF(WEEKDAY(BK$6,1)=1,BK8*BK9,0)))</f>
        <v>0</v>
      </c>
      <c r="BL12" s="63">
        <f>IF(AND(BL8=20,BL9=10),0,IF(BL8&lt;=0,0,IF(WEEKDAY(BL$6,1)=1,BL8*BL9,0)))</f>
        <v>0</v>
      </c>
      <c r="BM12" s="64">
        <f>IF(AND(BM8=20,BM9=10),0,IF(BM8&lt;=0,0,IF(WEEKDAY(BM$6,1)=1,BM8*BM9,0)))</f>
        <v>0</v>
      </c>
      <c r="BN12" s="64">
        <f>IF(AND(BN8=20,BN9=10),200,IF(BN8&lt;=0,0,IF(WEEKDAY(BN$6,1)=1,BN8*BN9,0)))</f>
        <v>200</v>
      </c>
      <c r="BO12" s="63">
        <f>IF(AND(BO8=20,BO9=10),0,IF(BO8&lt;=0,0,IF(WEEKDAY(BO$6,1)=1,BO8*BO9,0)))</f>
        <v>0</v>
      </c>
      <c r="BP12" s="63">
        <f>IF(AND(BP8=20,BP9=10),0,IF(BP8&lt;=0,0,IF(WEEKDAY(BP$6,1)=1,BP8*BP9,0)))</f>
        <v>0</v>
      </c>
      <c r="BQ12" s="63">
        <f>IF(AND(BQ8=20,BQ9=10),0,IF(BQ8&lt;=0,0,IF(WEEKDAY(BQ$6,1)=1,BQ8*BQ9,0)))</f>
        <v>0</v>
      </c>
      <c r="BR12" s="63">
        <f>IF(AND(BR8=30,BR9=10),0,IF(BR8&lt;=0,0,IF(WEEKDAY(BR$6,1)=1,BR8*BR9,0)))</f>
        <v>0</v>
      </c>
      <c r="BS12" s="63">
        <f>IF(AND(BS8=30,BS9=10),0,IF(BS8&lt;=0,0,IF(WEEKDAY(BS$6,1)=1,BS8*BS9,0)))</f>
        <v>0</v>
      </c>
      <c r="BT12" s="64">
        <f>IF(AND(BT8=30,BT9=10),0,IF(BT8&lt;=0,0,IF(WEEKDAY(BT$6,1)=1,BT8*BT9,0)))</f>
        <v>0</v>
      </c>
      <c r="BU12" s="64">
        <f>IF(AND(BU8=30,BU9=10),300,IF(BU8&lt;=0,0,IF(WEEKDAY(BU$6,1)=1,BU8*BU9,0)))</f>
        <v>300</v>
      </c>
      <c r="BV12" s="63">
        <f>IF(AND(BV8=30,BV9=10),0,IF(BV8&lt;=0,0,IF(WEEKDAY(BV$6,1)=1,BV8*BV9,0)))</f>
        <v>0</v>
      </c>
      <c r="BW12" s="63">
        <f>IF(AND(BW8=30,BW9=10),0,IF(BW8&lt;=0,0,IF(WEEKDAY(BW$6,1)=1,BW8*BW9,0)))</f>
        <v>0</v>
      </c>
      <c r="BX12" s="63">
        <f>IF(AND(BX8=30,BX9=10),0,IF(BX8&lt;=0,0,IF(WEEKDAY(BX$6,1)=1,BX8*BX9,0)))</f>
        <v>0</v>
      </c>
      <c r="BY12" s="63">
        <f>IF(AND(BY8=30,BY9=10),0,IF(BY8&lt;=0,0,IF(WEEKDAY(BY$6,1)=1,BY8*BY9,0)))</f>
        <v>0</v>
      </c>
      <c r="BZ12" s="63">
        <f>IF(AND(BZ8=30,BZ9=10),0,IF(BZ8&lt;=0,0,IF(WEEKDAY(BZ$6,1)=1,BZ8*BZ9,0)))</f>
        <v>0</v>
      </c>
      <c r="CA12" s="64">
        <f>IF(AND(CA8=30,CA9=10),0,IF(CA8&lt;=0,0,IF(WEEKDAY(CA$6,1)=1,CA8*CA9,0)))</f>
        <v>0</v>
      </c>
      <c r="CB12" s="64">
        <f>IF(AND(CB8=30,CB9=10),300,IF(CB8&lt;=0,0,IF(WEEKDAY(CB$6,1)=1,CB8*CB9,0)))</f>
        <v>300</v>
      </c>
      <c r="CC12" s="63">
        <f>IF(AND(CC8=30,CC9=10),0,IF(CC8&lt;=0,0,IF(WEEKDAY(CC$6,1)=1,CC8*CC9,0)))</f>
        <v>0</v>
      </c>
      <c r="CD12" s="63">
        <f>IF(AND(CD8=30,CD9=10),0,IF(CD8&lt;=0,0,IF(WEEKDAY(CD$6,1)=1,CD8*CD9,0)))</f>
        <v>0</v>
      </c>
      <c r="CE12" s="63">
        <f>IF(AND(CE8=30,CE9=10),0,IF(CE8&lt;=0,0,IF(WEEKDAY(CE$6,1)=1,CE8*CE9,0)))</f>
        <v>0</v>
      </c>
      <c r="CF12" s="63">
        <f>IF(AND(CF8=30,CF9=10),0,IF(CF8&lt;=0,0,IF(WEEKDAY(CF$6,1)=1,CF8*CF9,0)))</f>
        <v>0</v>
      </c>
      <c r="CG12" s="63">
        <f>IF(AND(CG8=30,CG9=10),0,IF(CG8&lt;=0,0,IF(WEEKDAY(CG$6,1)=1,CG8*CG9,0)))</f>
        <v>0</v>
      </c>
      <c r="CH12" s="64">
        <f>IF(AND(CH8=30,CH9=10),0,IF(CH8&lt;=0,0,IF(WEEKDAY(CH$6,1)=1,CH8*CH9,0)))</f>
        <v>0</v>
      </c>
      <c r="CI12" s="64">
        <f>IF(AND(CI8=30,CI9=10),300,IF(CI8&lt;=0,0,IF(WEEKDAY(CI$6,1)=1,CI8*CI9,0)))</f>
        <v>300</v>
      </c>
      <c r="CJ12" s="63">
        <f>IF(AND(CJ8=30,CJ9=10),0,IF(CJ8&lt;=0,0,IF(WEEKDAY(CJ$6,1)=1,CJ8*CJ9,0)))</f>
        <v>0</v>
      </c>
      <c r="CK12" s="63">
        <f>IF(AND(CK8=30,CK9=10),0,IF(CK8&lt;=0,0,IF(WEEKDAY(CK$6,1)=1,CK8*CK9,0)))</f>
        <v>0</v>
      </c>
      <c r="CL12" s="63">
        <f>IF(AND(CL8=25,CL9=10),0,IF(CL8&lt;=0,0,IF(WEEKDAY(CL$6,1)=1,CL8*CL9,0)))</f>
        <v>0</v>
      </c>
      <c r="CM12" s="63">
        <f>IF(AND(CM8=25,CM9=10),0,IF(CM8&lt;=0,0,IF(WEEKDAY(CM$6,1)=1,CM8*CM9,0)))</f>
        <v>0</v>
      </c>
      <c r="CN12" s="63">
        <f>IF(AND(CN8=25,CN9=10),0,IF(CN8&lt;=0,0,IF(WEEKDAY(CN$6,1)=1,CN8*CN9,0)))</f>
        <v>0</v>
      </c>
      <c r="CO12" s="64">
        <f>IF(AND(CO8=25,CO9=10),0,IF(CO8&lt;=0,0,IF(WEEKDAY(CO$6,1)=1,CO8*CO9,0)))</f>
        <v>0</v>
      </c>
      <c r="CP12" s="64">
        <f>IF(AND(CP8=25,CP9=10),250,IF(CP8&lt;=0,0,IF(WEEKDAY(CP$6,1)=1,CP8*CP9,0)))</f>
        <v>250</v>
      </c>
      <c r="CQ12" s="63">
        <f>IF(AND(CQ8=25,CQ9=10),0,IF(CQ8&lt;=0,0,IF(WEEKDAY(CQ$6,1)=1,CQ8*CQ9,0)))</f>
        <v>0</v>
      </c>
      <c r="CR12" s="63">
        <f>IF(AND(CR8=25,CR9=10),0,IF(CR8&lt;=0,0,IF(WEEKDAY(CR$6,1)=1,CR8*CR9,0)))</f>
        <v>0</v>
      </c>
      <c r="CS12" s="63">
        <f>IF(AND(CS8=25,CS9=10),0,IF(CS8&lt;=0,0,IF(WEEKDAY(CS$6,1)=1,CS8*CS9,0)))</f>
        <v>0</v>
      </c>
      <c r="CT12" s="63">
        <f>IF(AND(CT8=25,CT9=10),0,IF(CT8&lt;=0,0,IF(WEEKDAY(CT$6,1)=1,CT8*CT9,0)))</f>
        <v>0</v>
      </c>
      <c r="CU12" s="63">
        <f>IF(AND(CU8=25,CU9=10),0,IF(CU8&lt;=0,0,IF(WEEKDAY(CU$6,1)=1,CU8*CU9,0)))</f>
        <v>0</v>
      </c>
      <c r="CV12" s="64">
        <f>IF(AND(CV8=25,CV9=10),0,IF(CV8&lt;=0,0,IF(WEEKDAY(CV$6,1)=1,CV8*CV9,0)))</f>
        <v>0</v>
      </c>
      <c r="CW12" s="64">
        <f>IF(AND(CW8=25,CW9=10),250,IF(CW8&lt;=0,0,IF(WEEKDAY(CW$6,1)=1,CW8*CW9,0)))</f>
        <v>250</v>
      </c>
      <c r="CX12" s="63">
        <f>IF(AND(CX8=25,CX9=10),0,IF(CX8&lt;=0,0,IF(WEEKDAY(CX$6,1)=1,CX8*CX9,0)))</f>
        <v>0</v>
      </c>
      <c r="CY12" s="63">
        <f>IF(AND(CY8=25,CY9=10),0,IF(CY8&lt;=0,0,IF(WEEKDAY(CY$6,1)=1,CY8*CY9,0)))</f>
        <v>0</v>
      </c>
      <c r="CZ12" s="63">
        <f>IF(AND(CZ8=20,CZ9=10),0,IF(CZ8&lt;=0,0,IF(WEEKDAY(CZ$6,1)=1,CZ8*CZ9,0)))</f>
        <v>0</v>
      </c>
      <c r="DA12" s="63">
        <f>IF(AND(DA8=20,DA9=10),0,IF(DA8&lt;=0,0,IF(WEEKDAY(DA$6,1)=1,DA8*DA9,0)))</f>
        <v>0</v>
      </c>
      <c r="DB12" s="63">
        <f>IF(AND(DB8=20,DB9=10),0,IF(DB8&lt;=0,0,IF(WEEKDAY(DB$6,1)=1,DB8*DB9,0)))</f>
        <v>0</v>
      </c>
      <c r="DC12" s="64">
        <f>IF(AND(DC8=20,DC9=10),0,IF(DC8&lt;=0,0,IF(WEEKDAY(DC$6,1)=1,DC8*DC9,0)))</f>
        <v>0</v>
      </c>
      <c r="DD12" s="64">
        <f>IF(AND(DD8=0,DD9=0),0,IF(DD8&lt;=0,0,IF(WEEKDAY(DD$6,1)=1,DD8*DD9,0)))</f>
        <v>0</v>
      </c>
      <c r="DE12" s="63">
        <f>IF(AND(DE8=6,DE9=10),0,IF(DE8&lt;=0,0,IF(WEEKDAY(DE$6,1)=1,DE8*DE9,0)))</f>
        <v>0</v>
      </c>
      <c r="DF12" s="63">
        <f>IF(AND(DF8=0,DF9=0),0,IF(DF8&lt;=0,0,IF(WEEKDAY(DF$6,1)=1,DF8*DF9,0)))</f>
        <v>0</v>
      </c>
      <c r="DG12" s="63">
        <f>IF(AND(DG8=0,DG9=0),0,IF(DG8&lt;=0,0,IF(WEEKDAY(DG$6,1)=1,DG8*DG9,0)))</f>
        <v>0</v>
      </c>
      <c r="DH12" s="63">
        <f>IF(AND(DH8=0,DH9=0),0,IF(DH8&lt;=0,0,IF(WEEKDAY(DH$6,1)=1,DH8*DH9,0)))</f>
        <v>0</v>
      </c>
      <c r="DI12" s="63">
        <f>IF(AND(DI8=0,DI9=0),0,IF(DI8&lt;=0,0,IF(WEEKDAY(DI$6,1)=1,DI8*DI9,0)))</f>
        <v>0</v>
      </c>
      <c r="DJ12" s="64">
        <f>IF(AND(DJ8=0,DJ9=0),0,IF(DJ8&lt;=0,0,IF(WEEKDAY(DJ$6,1)=1,DJ8*DJ9,0)))</f>
        <v>0</v>
      </c>
      <c r="DK12" s="64">
        <f>IF(AND(DK8=0,DK9=0),0,IF(DK8&lt;=0,0,IF(WEEKDAY(DK$6,1)=1,DK8*DK9,0)))</f>
        <v>0</v>
      </c>
      <c r="DL12" s="63">
        <f>IF(AND(DL8=0,DL9=0),0,IF(DL8&lt;=0,0,IF(WEEKDAY(DL$6,1)=1,DL8*DL9,0)))</f>
        <v>0</v>
      </c>
      <c r="DM12" s="63">
        <f>IF(AND(DM8=0,DM9=0),0,IF(DM8&lt;=0,0,IF(WEEKDAY(DM$6,1)=1,DM8*DM9,0)))</f>
        <v>0</v>
      </c>
      <c r="DN12" s="63">
        <f>IF(AND(DN8=0,DN9=0),0,IF(DN8&lt;=0,0,IF(WEEKDAY(DN$6,1)=1,DN8*DN9,0)))</f>
        <v>0</v>
      </c>
      <c r="DO12" s="63">
        <f>IF(AND(DO8=0,DO9=0),0,IF(DO8&lt;=0,0,IF(WEEKDAY(DO$6,1)=1,DO8*DO9,0)))</f>
        <v>0</v>
      </c>
      <c r="DP12" s="63">
        <f>IF(AND(DP8=0,DP9=0),0,IF(DP8&lt;=0,0,IF(WEEKDAY(DP$6,1)=1,DP8*DP9,0)))</f>
        <v>0</v>
      </c>
      <c r="DQ12" s="64">
        <f>IF(AND(DQ8=0,DQ9=0),0,IF(DQ8&lt;=0,0,IF(WEEKDAY(DQ$6,1)=1,DQ8*DQ9,0)))</f>
        <v>0</v>
      </c>
      <c r="DR12" s="64">
        <f>IF(AND(DR8=0,DR9=0),0,IF(DR8&lt;=0,0,IF(WEEKDAY(DR$6,1)=1,DR8*DR9,0)))</f>
        <v>0</v>
      </c>
      <c r="DS12" s="63">
        <f>IF(AND(DS8=0,DS9=0),0,IF(DS8&lt;=0,0,IF(WEEKDAY(DS$6,1)=1,DS8*DS9,0)))</f>
        <v>0</v>
      </c>
      <c r="DT12" s="63">
        <f>IF(AND(DT8=8,DT9=8),0,IF(DT8&lt;=0,0,IF(WEEKDAY(DT$6,1)=1,DT8*DT9,0)))</f>
        <v>0</v>
      </c>
      <c r="DU12" s="63">
        <f>IF(AND(DU8=8,DU9=8),0,IF(DU8&lt;=0,0,IF(WEEKDAY(DU$6,1)=1,DU8*DU9,0)))</f>
        <v>0</v>
      </c>
      <c r="DV12" s="63">
        <f>IF(AND(DV8=8,DV9=8),0,IF(DV8&lt;=0,0,IF(WEEKDAY(DV$6,1)=1,DV8*DV9,0)))</f>
        <v>0</v>
      </c>
      <c r="DW12" s="63">
        <f>IF(AND(DW8=8,DW9=8),0,IF(DW8&lt;=0,0,IF(WEEKDAY(DW$6,1)=1,DW8*DW9,0)))</f>
        <v>0</v>
      </c>
      <c r="DX12" s="64">
        <f>IF(AND(DX8=0,DX9=0),0,IF(DX8&lt;=0,0,IF(WEEKDAY(DX$6,1)=1,DX8*DX9,0)))</f>
        <v>0</v>
      </c>
      <c r="DY12" s="64">
        <f>IF(AND(DY8=0,DY9=0),0,IF(DY8&lt;=0,0,IF(WEEKDAY(DY$6,1)=1,DY8*DY9,0)))</f>
        <v>0</v>
      </c>
      <c r="DZ12" s="63">
        <f>IF(AND(DZ8=8,DZ9=8),0,IF(DZ8&lt;=0,0,IF(WEEKDAY(DZ$6,1)=1,DZ8*DZ9,0)))</f>
        <v>0</v>
      </c>
      <c r="EA12" s="63">
        <f>IF(AND(EA8=8,EA9=8),0,IF(EA8&lt;=0,0,IF(WEEKDAY(EA$6,1)=1,EA8*EA9,0)))</f>
        <v>0</v>
      </c>
      <c r="EB12" s="63">
        <f>IF(AND(EB8=8,EB9=8),0,IF(EB8&lt;=0,0,IF(WEEKDAY(EB$6,1)=1,EB8*EB9,0)))</f>
        <v>0</v>
      </c>
      <c r="EC12" s="63">
        <f>IF(AND(EC8=8,EC9=8),0,IF(EC8&lt;=0,0,IF(WEEKDAY(EC$6,1)=1,EC8*EC9,0)))</f>
        <v>0</v>
      </c>
      <c r="ED12" s="63">
        <f>IF(AND(ED8=8,ED9=8),0,IF(ED8&lt;=0,0,IF(WEEKDAY(ED$6,1)=1,ED8*ED9,0)))</f>
        <v>0</v>
      </c>
      <c r="EE12" s="64">
        <f>IF(AND(EE8=0,EE9=0),0,IF(EE8&lt;=0,0,IF(WEEKDAY(EE$6,1)=1,EE8*EE9,0)))</f>
        <v>0</v>
      </c>
      <c r="EF12" s="64">
        <f>IF(AND(EF8=0,EF9=0),0,IF(EF8&lt;=0,0,IF(WEEKDAY(EF$6,1)=1,EF8*EF9,0)))</f>
        <v>0</v>
      </c>
      <c r="EG12" s="63">
        <f>IF(AND(EG8=8,EG9=8),0,IF(EG8&lt;=0,0,IF(WEEKDAY(EG$6,1)=1,EG8*EG9,0)))</f>
        <v>0</v>
      </c>
      <c r="EH12" s="63">
        <f>IF(AND(EH8=8,EH9=8),0,IF(EH8&lt;=0,0,IF(WEEKDAY(EH$6,1)=1,EH8*EH9,0)))</f>
        <v>0</v>
      </c>
      <c r="EI12" s="63">
        <f>IF(AND(EI8=8,EI9=8),0,IF(EI8&lt;=0,0,IF(WEEKDAY(EI$6,1)=1,EI8*EI9,0)))</f>
        <v>0</v>
      </c>
      <c r="EJ12" s="63">
        <f>IF(AND(EJ8=8,EJ9=8),0,IF(EJ8&lt;=0,0,IF(WEEKDAY(EJ$6,1)=1,EJ8*EJ9,0)))</f>
        <v>0</v>
      </c>
      <c r="EK12" s="65">
        <f>IF(AND(EK8=8,EK9=8),0,IF(EK8&lt;=0,0,IF(WEEKDAY(EK$6,1)=1,EK8*EK9,0)))</f>
        <v>0</v>
      </c>
      <c r="OU12" s="28" t="s">
        <v>112</v>
      </c>
    </row>
    <row r="13" ht="16" customHeight="1" spans="1:411" x14ac:dyDescent="0.25">
      <c r="A13" s="45"/>
      <c r="B13" s="46"/>
      <c r="C13" s="67">
        <f>I7*D13</f>
        <v>178490</v>
      </c>
      <c r="D13" s="67">
        <v>130</v>
      </c>
      <c r="E13" s="68" t="s">
        <v>65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0</v>
      </c>
      <c r="O13" s="70">
        <v>0</v>
      </c>
      <c r="P13" s="71">
        <v>0</v>
      </c>
      <c r="Q13" s="71">
        <v>0</v>
      </c>
      <c r="R13" s="70">
        <v>6</v>
      </c>
      <c r="S13" s="70">
        <v>6</v>
      </c>
      <c r="T13" s="70">
        <v>6</v>
      </c>
      <c r="U13" s="70">
        <v>6</v>
      </c>
      <c r="V13" s="70">
        <v>6</v>
      </c>
      <c r="W13" s="71">
        <v>0</v>
      </c>
      <c r="X13" s="71">
        <v>0</v>
      </c>
      <c r="Y13" s="70">
        <v>6</v>
      </c>
      <c r="Z13" s="70">
        <v>6</v>
      </c>
      <c r="AA13" s="70">
        <v>6</v>
      </c>
      <c r="AB13" s="70">
        <v>6</v>
      </c>
      <c r="AC13" s="70">
        <v>6</v>
      </c>
      <c r="AD13" s="71">
        <v>0</v>
      </c>
      <c r="AE13" s="71">
        <v>0</v>
      </c>
      <c r="AF13" s="70">
        <v>6</v>
      </c>
      <c r="AG13" s="70">
        <v>6</v>
      </c>
      <c r="AH13" s="70">
        <v>6</v>
      </c>
      <c r="AI13" s="70">
        <v>6</v>
      </c>
      <c r="AJ13" s="70">
        <v>6</v>
      </c>
      <c r="AK13" s="71">
        <v>0</v>
      </c>
      <c r="AL13" s="71">
        <v>0</v>
      </c>
      <c r="AM13" s="70">
        <v>6</v>
      </c>
      <c r="AN13" s="70">
        <v>6</v>
      </c>
      <c r="AO13" s="70">
        <v>6</v>
      </c>
      <c r="AP13" s="70">
        <v>6</v>
      </c>
      <c r="AQ13" s="70">
        <v>6</v>
      </c>
      <c r="AR13" s="71">
        <v>0</v>
      </c>
      <c r="AS13" s="71">
        <v>0</v>
      </c>
      <c r="AT13" s="70">
        <v>6</v>
      </c>
      <c r="AU13" s="70">
        <v>6</v>
      </c>
      <c r="AV13" s="70">
        <v>6</v>
      </c>
      <c r="AW13" s="70">
        <v>6</v>
      </c>
      <c r="AX13" s="70">
        <v>6</v>
      </c>
      <c r="AY13" s="71">
        <v>0</v>
      </c>
      <c r="AZ13" s="71">
        <v>0</v>
      </c>
      <c r="BA13" s="70">
        <v>6</v>
      </c>
      <c r="BB13" s="70">
        <v>6</v>
      </c>
      <c r="BC13" s="70">
        <v>6</v>
      </c>
      <c r="BD13" s="70">
        <v>6</v>
      </c>
      <c r="BE13" s="70">
        <v>6</v>
      </c>
      <c r="BF13" s="71">
        <v>0</v>
      </c>
      <c r="BG13" s="71">
        <v>0</v>
      </c>
      <c r="BH13" s="70">
        <v>11</v>
      </c>
      <c r="BI13" s="70">
        <v>12</v>
      </c>
      <c r="BJ13" s="70">
        <v>14</v>
      </c>
      <c r="BK13" s="70">
        <v>14</v>
      </c>
      <c r="BL13" s="70">
        <v>14</v>
      </c>
      <c r="BM13" s="71">
        <v>14</v>
      </c>
      <c r="BN13" s="71">
        <v>14</v>
      </c>
      <c r="BO13" s="70">
        <v>14</v>
      </c>
      <c r="BP13" s="70">
        <v>14</v>
      </c>
      <c r="BQ13" s="70">
        <v>14</v>
      </c>
      <c r="BR13" s="70">
        <v>30</v>
      </c>
      <c r="BS13" s="70">
        <v>30</v>
      </c>
      <c r="BT13" s="71">
        <v>30</v>
      </c>
      <c r="BU13" s="71">
        <v>30</v>
      </c>
      <c r="BV13" s="70">
        <v>30</v>
      </c>
      <c r="BW13" s="70">
        <v>30</v>
      </c>
      <c r="BX13" s="70">
        <v>30</v>
      </c>
      <c r="BY13" s="70">
        <v>30</v>
      </c>
      <c r="BZ13" s="70">
        <v>30</v>
      </c>
      <c r="CA13" s="71">
        <v>30</v>
      </c>
      <c r="CB13" s="71">
        <v>30</v>
      </c>
      <c r="CC13" s="70">
        <v>30</v>
      </c>
      <c r="CD13" s="70">
        <v>30</v>
      </c>
      <c r="CE13" s="70">
        <v>30</v>
      </c>
      <c r="CF13" s="70">
        <v>30</v>
      </c>
      <c r="CG13" s="70">
        <v>30</v>
      </c>
      <c r="CH13" s="71">
        <v>30</v>
      </c>
      <c r="CI13" s="71">
        <v>30</v>
      </c>
      <c r="CJ13" s="70">
        <v>30</v>
      </c>
      <c r="CK13" s="70">
        <v>30</v>
      </c>
      <c r="CL13" s="70">
        <v>22</v>
      </c>
      <c r="CM13" s="70">
        <v>22</v>
      </c>
      <c r="CN13" s="70">
        <v>22</v>
      </c>
      <c r="CO13" s="71">
        <v>22</v>
      </c>
      <c r="CP13" s="71">
        <v>22</v>
      </c>
      <c r="CQ13" s="70">
        <v>22</v>
      </c>
      <c r="CR13" s="70">
        <v>22</v>
      </c>
      <c r="CS13" s="70">
        <v>22</v>
      </c>
      <c r="CT13" s="70">
        <v>22</v>
      </c>
      <c r="CU13" s="70">
        <v>22</v>
      </c>
      <c r="CV13" s="71">
        <v>22</v>
      </c>
      <c r="CW13" s="71">
        <v>22</v>
      </c>
      <c r="CX13" s="70">
        <v>22</v>
      </c>
      <c r="CY13" s="70">
        <v>22</v>
      </c>
      <c r="CZ13" s="70">
        <v>15</v>
      </c>
      <c r="DA13" s="70">
        <v>15</v>
      </c>
      <c r="DB13" s="70">
        <v>15</v>
      </c>
      <c r="DC13" s="71">
        <v>15</v>
      </c>
      <c r="DD13" s="71">
        <v>0</v>
      </c>
      <c r="DE13" s="70">
        <v>6</v>
      </c>
      <c r="DF13" s="70">
        <v>0</v>
      </c>
      <c r="DG13" s="70">
        <v>0</v>
      </c>
      <c r="DH13" s="70">
        <v>0</v>
      </c>
      <c r="DI13" s="70">
        <v>0</v>
      </c>
      <c r="DJ13" s="71">
        <v>0</v>
      </c>
      <c r="DK13" s="71">
        <v>0</v>
      </c>
      <c r="DL13" s="70">
        <v>0</v>
      </c>
      <c r="DM13" s="70">
        <v>0</v>
      </c>
      <c r="DN13" s="70">
        <v>0</v>
      </c>
      <c r="DO13" s="70">
        <v>0</v>
      </c>
      <c r="DP13" s="70">
        <v>0</v>
      </c>
      <c r="DQ13" s="71">
        <v>0</v>
      </c>
      <c r="DR13" s="71">
        <v>0</v>
      </c>
      <c r="DS13" s="70">
        <v>0</v>
      </c>
      <c r="DT13" s="70">
        <v>6</v>
      </c>
      <c r="DU13" s="70">
        <v>6</v>
      </c>
      <c r="DV13" s="70">
        <v>6</v>
      </c>
      <c r="DW13" s="70">
        <v>6</v>
      </c>
      <c r="DX13" s="71">
        <v>0</v>
      </c>
      <c r="DY13" s="71">
        <v>0</v>
      </c>
      <c r="DZ13" s="70">
        <v>6</v>
      </c>
      <c r="EA13" s="70">
        <v>6</v>
      </c>
      <c r="EB13" s="70">
        <v>6</v>
      </c>
      <c r="EC13" s="70">
        <v>6</v>
      </c>
      <c r="ED13" s="70">
        <v>6</v>
      </c>
      <c r="EE13" s="71">
        <v>0</v>
      </c>
      <c r="EF13" s="71">
        <v>0</v>
      </c>
      <c r="EG13" s="70">
        <v>6</v>
      </c>
      <c r="EH13" s="70">
        <v>6</v>
      </c>
      <c r="EI13" s="70">
        <v>6</v>
      </c>
      <c r="EJ13" s="70">
        <v>6</v>
      </c>
      <c r="EK13" s="72">
        <v>6</v>
      </c>
      <c r="OU13" s="60" t="s">
        <v>112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74" t="s">
        <v>70</v>
      </c>
      <c r="B15" s="46" t="s">
        <v>111</v>
      </c>
      <c r="C15" s="47">
        <f>J15</f>
        <v>1360807.6</v>
      </c>
      <c r="D15" s="48"/>
      <c r="E15" s="48"/>
      <c r="F15" s="49">
        <f>SUM(K18:EK18)</f>
        <v>5824</v>
      </c>
      <c r="G15" s="49">
        <f>SUM(K19:EK19)</f>
        <v>3046</v>
      </c>
      <c r="H15" s="49">
        <f>SUM(K20:EK20)</f>
        <v>1340</v>
      </c>
      <c r="I15" s="49">
        <f>SUM(K21:EK21)</f>
        <v>970</v>
      </c>
      <c r="J15" s="50">
        <f>C18+C19+C20</f>
        <v>1360807.6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113</v>
      </c>
    </row>
    <row r="16" ht="16" customHeight="1" spans="1:411" x14ac:dyDescent="0.25">
      <c r="A16" s="74"/>
      <c r="B16" s="46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0</v>
      </c>
      <c r="O16" s="57">
        <v>0</v>
      </c>
      <c r="P16" s="58">
        <v>0</v>
      </c>
      <c r="Q16" s="58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8">
        <v>0</v>
      </c>
      <c r="X16" s="58">
        <v>0</v>
      </c>
      <c r="Y16" s="57">
        <v>0</v>
      </c>
      <c r="Z16" s="57">
        <v>0</v>
      </c>
      <c r="AA16" s="57">
        <v>0</v>
      </c>
      <c r="AB16" s="57">
        <v>0</v>
      </c>
      <c r="AC16" s="57">
        <v>0</v>
      </c>
      <c r="AD16" s="58">
        <v>0</v>
      </c>
      <c r="AE16" s="58">
        <v>0</v>
      </c>
      <c r="AF16" s="57">
        <v>0</v>
      </c>
      <c r="AG16" s="57">
        <v>0</v>
      </c>
      <c r="AH16" s="57">
        <v>0</v>
      </c>
      <c r="AI16" s="57">
        <v>0</v>
      </c>
      <c r="AJ16" s="57">
        <v>0</v>
      </c>
      <c r="AK16" s="58">
        <v>0</v>
      </c>
      <c r="AL16" s="58">
        <v>0</v>
      </c>
      <c r="AM16" s="57">
        <v>0</v>
      </c>
      <c r="AN16" s="57">
        <v>0</v>
      </c>
      <c r="AO16" s="57">
        <v>0</v>
      </c>
      <c r="AP16" s="57">
        <v>0</v>
      </c>
      <c r="AQ16" s="57">
        <v>0</v>
      </c>
      <c r="AR16" s="58">
        <v>0</v>
      </c>
      <c r="AS16" s="58">
        <v>0</v>
      </c>
      <c r="AT16" s="57">
        <v>0</v>
      </c>
      <c r="AU16" s="57">
        <v>0</v>
      </c>
      <c r="AV16" s="57">
        <v>0</v>
      </c>
      <c r="AW16" s="57">
        <v>0</v>
      </c>
      <c r="AX16" s="57">
        <v>0</v>
      </c>
      <c r="AY16" s="58">
        <v>0</v>
      </c>
      <c r="AZ16" s="58">
        <v>0</v>
      </c>
      <c r="BA16" s="57">
        <v>0</v>
      </c>
      <c r="BB16" s="57">
        <v>0</v>
      </c>
      <c r="BC16" s="57">
        <v>0</v>
      </c>
      <c r="BD16" s="57">
        <v>0</v>
      </c>
      <c r="BE16" s="57">
        <v>0</v>
      </c>
      <c r="BF16" s="58">
        <v>0</v>
      </c>
      <c r="BG16" s="58">
        <v>0</v>
      </c>
      <c r="BH16" s="57">
        <v>1</v>
      </c>
      <c r="BI16" s="57">
        <v>2</v>
      </c>
      <c r="BJ16" s="57">
        <v>3</v>
      </c>
      <c r="BK16" s="57">
        <v>3</v>
      </c>
      <c r="BL16" s="57">
        <v>3</v>
      </c>
      <c r="BM16" s="58">
        <v>3</v>
      </c>
      <c r="BN16" s="58">
        <v>3</v>
      </c>
      <c r="BO16" s="57">
        <v>3</v>
      </c>
      <c r="BP16" s="57">
        <v>3</v>
      </c>
      <c r="BQ16" s="57">
        <v>3</v>
      </c>
      <c r="BR16" s="57">
        <v>27</v>
      </c>
      <c r="BS16" s="57">
        <v>27</v>
      </c>
      <c r="BT16" s="58">
        <v>27</v>
      </c>
      <c r="BU16" s="58">
        <v>27</v>
      </c>
      <c r="BV16" s="57">
        <v>27</v>
      </c>
      <c r="BW16" s="57">
        <v>27</v>
      </c>
      <c r="BX16" s="57">
        <v>27</v>
      </c>
      <c r="BY16" s="57">
        <v>27</v>
      </c>
      <c r="BZ16" s="57">
        <v>27</v>
      </c>
      <c r="CA16" s="58">
        <v>27</v>
      </c>
      <c r="CB16" s="58">
        <v>27</v>
      </c>
      <c r="CC16" s="57">
        <v>27</v>
      </c>
      <c r="CD16" s="57">
        <v>27</v>
      </c>
      <c r="CE16" s="57">
        <v>27</v>
      </c>
      <c r="CF16" s="57">
        <v>27</v>
      </c>
      <c r="CG16" s="57">
        <v>27</v>
      </c>
      <c r="CH16" s="58">
        <v>27</v>
      </c>
      <c r="CI16" s="58">
        <v>27</v>
      </c>
      <c r="CJ16" s="57">
        <v>27</v>
      </c>
      <c r="CK16" s="57">
        <v>27</v>
      </c>
      <c r="CL16" s="57">
        <v>25</v>
      </c>
      <c r="CM16" s="57">
        <v>25</v>
      </c>
      <c r="CN16" s="57">
        <v>25</v>
      </c>
      <c r="CO16" s="58">
        <v>25</v>
      </c>
      <c r="CP16" s="58">
        <v>25</v>
      </c>
      <c r="CQ16" s="57">
        <v>25</v>
      </c>
      <c r="CR16" s="57">
        <v>25</v>
      </c>
      <c r="CS16" s="57">
        <v>25</v>
      </c>
      <c r="CT16" s="57">
        <v>25</v>
      </c>
      <c r="CU16" s="57">
        <v>25</v>
      </c>
      <c r="CV16" s="58">
        <v>25</v>
      </c>
      <c r="CW16" s="58">
        <v>25</v>
      </c>
      <c r="CX16" s="57">
        <v>25</v>
      </c>
      <c r="CY16" s="57">
        <v>25</v>
      </c>
      <c r="CZ16" s="57">
        <v>25</v>
      </c>
      <c r="DA16" s="57">
        <v>25</v>
      </c>
      <c r="DB16" s="57">
        <v>25</v>
      </c>
      <c r="DC16" s="58">
        <v>25</v>
      </c>
      <c r="DD16" s="58">
        <v>0</v>
      </c>
      <c r="DE16" s="57">
        <v>4</v>
      </c>
      <c r="DF16" s="57">
        <v>0</v>
      </c>
      <c r="DG16" s="57">
        <v>0</v>
      </c>
      <c r="DH16" s="57">
        <v>0</v>
      </c>
      <c r="DI16" s="57">
        <v>0</v>
      </c>
      <c r="DJ16" s="58">
        <v>0</v>
      </c>
      <c r="DK16" s="58">
        <v>0</v>
      </c>
      <c r="DL16" s="57">
        <v>0</v>
      </c>
      <c r="DM16" s="57">
        <v>0</v>
      </c>
      <c r="DN16" s="57">
        <v>0</v>
      </c>
      <c r="DO16" s="57">
        <v>0</v>
      </c>
      <c r="DP16" s="57">
        <v>0</v>
      </c>
      <c r="DQ16" s="58">
        <v>0</v>
      </c>
      <c r="DR16" s="58">
        <v>0</v>
      </c>
      <c r="DS16" s="57">
        <v>0</v>
      </c>
      <c r="DT16" s="57">
        <v>0</v>
      </c>
      <c r="DU16" s="57">
        <v>0</v>
      </c>
      <c r="DV16" s="57">
        <v>0</v>
      </c>
      <c r="DW16" s="57">
        <v>0</v>
      </c>
      <c r="DX16" s="58">
        <v>0</v>
      </c>
      <c r="DY16" s="58">
        <v>0</v>
      </c>
      <c r="DZ16" s="57">
        <v>0</v>
      </c>
      <c r="EA16" s="57">
        <v>0</v>
      </c>
      <c r="EB16" s="57">
        <v>0</v>
      </c>
      <c r="EC16" s="57">
        <v>0</v>
      </c>
      <c r="ED16" s="57">
        <v>0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113</v>
      </c>
    </row>
    <row r="17" ht="16" customHeight="1" spans="1:411" x14ac:dyDescent="0.25">
      <c r="A17" s="74"/>
      <c r="B17" s="46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8">
        <v>0</v>
      </c>
      <c r="Q17" s="58">
        <v>0</v>
      </c>
      <c r="R17" s="57">
        <v>0</v>
      </c>
      <c r="S17" s="57">
        <v>0</v>
      </c>
      <c r="T17" s="57">
        <v>0</v>
      </c>
      <c r="U17" s="57">
        <v>0</v>
      </c>
      <c r="V17" s="57">
        <v>0</v>
      </c>
      <c r="W17" s="58">
        <v>0</v>
      </c>
      <c r="X17" s="58">
        <v>0</v>
      </c>
      <c r="Y17" s="57">
        <v>0</v>
      </c>
      <c r="Z17" s="57">
        <v>0</v>
      </c>
      <c r="AA17" s="57">
        <v>0</v>
      </c>
      <c r="AB17" s="57">
        <v>0</v>
      </c>
      <c r="AC17" s="57">
        <v>0</v>
      </c>
      <c r="AD17" s="58">
        <v>0</v>
      </c>
      <c r="AE17" s="58">
        <v>0</v>
      </c>
      <c r="AF17" s="57">
        <v>0</v>
      </c>
      <c r="AG17" s="57">
        <v>0</v>
      </c>
      <c r="AH17" s="57">
        <v>0</v>
      </c>
      <c r="AI17" s="57">
        <v>0</v>
      </c>
      <c r="AJ17" s="57">
        <v>0</v>
      </c>
      <c r="AK17" s="58">
        <v>0</v>
      </c>
      <c r="AL17" s="58">
        <v>0</v>
      </c>
      <c r="AM17" s="57">
        <v>0</v>
      </c>
      <c r="AN17" s="57">
        <v>0</v>
      </c>
      <c r="AO17" s="57">
        <v>0</v>
      </c>
      <c r="AP17" s="57">
        <v>0</v>
      </c>
      <c r="AQ17" s="57">
        <v>0</v>
      </c>
      <c r="AR17" s="58">
        <v>0</v>
      </c>
      <c r="AS17" s="58">
        <v>0</v>
      </c>
      <c r="AT17" s="57">
        <v>0</v>
      </c>
      <c r="AU17" s="57">
        <v>0</v>
      </c>
      <c r="AV17" s="57">
        <v>0</v>
      </c>
      <c r="AW17" s="57">
        <v>0</v>
      </c>
      <c r="AX17" s="57">
        <v>0</v>
      </c>
      <c r="AY17" s="58">
        <v>0</v>
      </c>
      <c r="AZ17" s="58">
        <v>0</v>
      </c>
      <c r="BA17" s="57">
        <v>0</v>
      </c>
      <c r="BB17" s="57">
        <v>0</v>
      </c>
      <c r="BC17" s="57">
        <v>0</v>
      </c>
      <c r="BD17" s="57">
        <v>0</v>
      </c>
      <c r="BE17" s="57">
        <v>0</v>
      </c>
      <c r="BF17" s="58">
        <v>0</v>
      </c>
      <c r="BG17" s="58">
        <v>0</v>
      </c>
      <c r="BH17" s="57">
        <v>10</v>
      </c>
      <c r="BI17" s="57">
        <v>10</v>
      </c>
      <c r="BJ17" s="57">
        <v>10</v>
      </c>
      <c r="BK17" s="57">
        <v>10</v>
      </c>
      <c r="BL17" s="57">
        <v>10</v>
      </c>
      <c r="BM17" s="58">
        <v>10</v>
      </c>
      <c r="BN17" s="58">
        <v>10</v>
      </c>
      <c r="BO17" s="57">
        <v>10</v>
      </c>
      <c r="BP17" s="57">
        <v>10</v>
      </c>
      <c r="BQ17" s="57">
        <v>10</v>
      </c>
      <c r="BR17" s="57">
        <v>10</v>
      </c>
      <c r="BS17" s="57">
        <v>10</v>
      </c>
      <c r="BT17" s="58">
        <v>10</v>
      </c>
      <c r="BU17" s="58">
        <v>10</v>
      </c>
      <c r="BV17" s="57">
        <v>10</v>
      </c>
      <c r="BW17" s="57">
        <v>10</v>
      </c>
      <c r="BX17" s="57">
        <v>10</v>
      </c>
      <c r="BY17" s="57">
        <v>10</v>
      </c>
      <c r="BZ17" s="57">
        <v>10</v>
      </c>
      <c r="CA17" s="58">
        <v>10</v>
      </c>
      <c r="CB17" s="58">
        <v>10</v>
      </c>
      <c r="CC17" s="57">
        <v>10</v>
      </c>
      <c r="CD17" s="57">
        <v>10</v>
      </c>
      <c r="CE17" s="57">
        <v>10</v>
      </c>
      <c r="CF17" s="57">
        <v>10</v>
      </c>
      <c r="CG17" s="57">
        <v>10</v>
      </c>
      <c r="CH17" s="58">
        <v>10</v>
      </c>
      <c r="CI17" s="58">
        <v>10</v>
      </c>
      <c r="CJ17" s="57">
        <v>10</v>
      </c>
      <c r="CK17" s="57">
        <v>10</v>
      </c>
      <c r="CL17" s="57">
        <v>10</v>
      </c>
      <c r="CM17" s="57">
        <v>10</v>
      </c>
      <c r="CN17" s="57">
        <v>10</v>
      </c>
      <c r="CO17" s="58">
        <v>10</v>
      </c>
      <c r="CP17" s="58">
        <v>10</v>
      </c>
      <c r="CQ17" s="57">
        <v>10</v>
      </c>
      <c r="CR17" s="57">
        <v>10</v>
      </c>
      <c r="CS17" s="57">
        <v>10</v>
      </c>
      <c r="CT17" s="57">
        <v>10</v>
      </c>
      <c r="CU17" s="57">
        <v>10</v>
      </c>
      <c r="CV17" s="58">
        <v>10</v>
      </c>
      <c r="CW17" s="58">
        <v>10</v>
      </c>
      <c r="CX17" s="57">
        <v>10</v>
      </c>
      <c r="CY17" s="57">
        <v>10</v>
      </c>
      <c r="CZ17" s="57">
        <v>10</v>
      </c>
      <c r="DA17" s="57">
        <v>10</v>
      </c>
      <c r="DB17" s="57">
        <v>10</v>
      </c>
      <c r="DC17" s="58">
        <v>10</v>
      </c>
      <c r="DD17" s="58">
        <v>0</v>
      </c>
      <c r="DE17" s="57">
        <v>10</v>
      </c>
      <c r="DF17" s="57">
        <v>0</v>
      </c>
      <c r="DG17" s="57">
        <v>0</v>
      </c>
      <c r="DH17" s="57">
        <v>0</v>
      </c>
      <c r="DI17" s="57">
        <v>0</v>
      </c>
      <c r="DJ17" s="58">
        <v>0</v>
      </c>
      <c r="DK17" s="58">
        <v>0</v>
      </c>
      <c r="DL17" s="57">
        <v>0</v>
      </c>
      <c r="DM17" s="57">
        <v>0</v>
      </c>
      <c r="DN17" s="57">
        <v>0</v>
      </c>
      <c r="DO17" s="57">
        <v>0</v>
      </c>
      <c r="DP17" s="57">
        <v>0</v>
      </c>
      <c r="DQ17" s="58">
        <v>0</v>
      </c>
      <c r="DR17" s="58">
        <v>0</v>
      </c>
      <c r="DS17" s="57">
        <v>0</v>
      </c>
      <c r="DT17" s="57">
        <v>0</v>
      </c>
      <c r="DU17" s="57">
        <v>0</v>
      </c>
      <c r="DV17" s="57">
        <v>0</v>
      </c>
      <c r="DW17" s="57">
        <v>0</v>
      </c>
      <c r="DX17" s="58">
        <v>0</v>
      </c>
      <c r="DY17" s="58">
        <v>0</v>
      </c>
      <c r="DZ17" s="57">
        <v>0</v>
      </c>
      <c r="EA17" s="57">
        <v>0</v>
      </c>
      <c r="EB17" s="57">
        <v>0</v>
      </c>
      <c r="EC17" s="57">
        <v>0</v>
      </c>
      <c r="ED17" s="57">
        <v>0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113</v>
      </c>
    </row>
    <row r="18" ht="16" customHeight="1" spans="1:411" x14ac:dyDescent="0.25">
      <c r="A18" s="74"/>
      <c r="B18" s="46"/>
      <c r="C18" s="61">
        <f>F15*N(D18)</f>
        <v>631205.12</v>
      </c>
      <c r="D18" s="61">
        <f>IF(TRIM(B15)="","No rate",IFERROR(INDEX('Rate Tables'!C$7:C$158,MATCH(B15,'Rate Tables'!A$7:A$158,0)),"No rate"))</f>
        <v>108.38</v>
      </c>
      <c r="E18" s="55" t="s">
        <v>62</v>
      </c>
      <c r="F18" s="49"/>
      <c r="G18" s="49"/>
      <c r="H18" s="49"/>
      <c r="I18" s="49"/>
      <c r="J18" s="50"/>
      <c r="K18" s="62">
        <f>IF(AND(K16=0,K17=0),0,MIN(IF(K16&lt;=0,0,IF(WEEKDAY(K$6,1)=1,0,IF(WEEKDAY(K$6,1)=7,0,MIN(8,K17)*K16))),MAX(0,40*MAX(1,K16)-(0))))</f>
        <v>0</v>
      </c>
      <c r="L18" s="63">
        <f>IF(AND(L16=0,L17=0),0,MIN(IF(L16&lt;=0,0,IF(WEEKDAY(L$6,1)=1,0,IF(WEEKDAY(L$6,1)=7,0,MIN(8,L17)*L16))),MAX(0,40*MAX(1,L16)-(K18))))</f>
        <v>0</v>
      </c>
      <c r="M18" s="63">
        <f>IF(AND(M16=0,M17=0),0,MIN(IF(M16&lt;=0,0,IF(WEEKDAY(M$6,1)=1,0,IF(WEEKDAY(M$6,1)=7,0,MIN(8,M17)*M16))),MAX(0,40*MAX(1,M16)-(K18+L18))))</f>
        <v>0</v>
      </c>
      <c r="N18" s="63">
        <f>IF(AND(N16=0,N17=0),0,MIN(IF(N16&lt;=0,0,IF(WEEKDAY(N$6,1)=1,0,IF(WEEKDAY(N$6,1)=7,0,MIN(8,N17)*N16))),MAX(0,40*MAX(1,N16)-(K18+L18+M18))))</f>
        <v>0</v>
      </c>
      <c r="O18" s="63">
        <f>IF(AND(O16=0,O17=0),0,MIN(IF(O16&lt;=0,0,IF(WEEKDAY(O$6,1)=1,0,IF(WEEKDAY(O$6,1)=7,0,MIN(8,O17)*O16))),MAX(0,40*MAX(1,O16)-(K18+L18+M18+N18))))</f>
        <v>0</v>
      </c>
      <c r="P18" s="64">
        <f>IF(AND(P16=0,P17=0),0,MIN(IF(P16&lt;=0,0,IF(WEEKDAY(P$6,1)=1,0,IF(WEEKDAY(P$6,1)=7,0,MIN(8,P17)*P16))),MAX(0,40*MAX(1,P16)-(K18+L18+M18+N18+O18))))</f>
        <v>0</v>
      </c>
      <c r="Q18" s="64">
        <f>IF(AND(Q16=0,Q17=0),0,MIN(IF(Q16&lt;=0,0,IF(WEEKDAY(Q$6,1)=1,0,IF(WEEKDAY(Q$6,1)=7,0,MIN(8,Q17)*Q16))),MAX(0,40*MAX(1,Q16)-(K18+L18+M18+N18+O18+P18))))</f>
        <v>0</v>
      </c>
      <c r="R18" s="63">
        <f>IF(AND(R16=0,R17=0),0,MIN(IF(R16&lt;=0,0,IF(WEEKDAY(R$6,1)=1,0,IF(WEEKDAY(R$6,1)=7,0,MIN(8,R17)*R16))),MAX(0,40*MAX(1,R16)-(0))))</f>
        <v>0</v>
      </c>
      <c r="S18" s="63">
        <f>IF(AND(S16=0,S17=0),0,MIN(IF(S16&lt;=0,0,IF(WEEKDAY(S$6,1)=1,0,IF(WEEKDAY(S$6,1)=7,0,MIN(8,S17)*S16))),MAX(0,40*MAX(1,S16)-(R18))))</f>
        <v>0</v>
      </c>
      <c r="T18" s="63">
        <f>IF(AND(T16=0,T17=0),0,MIN(IF(T16&lt;=0,0,IF(WEEKDAY(T$6,1)=1,0,IF(WEEKDAY(T$6,1)=7,0,MIN(8,T17)*T16))),MAX(0,40*MAX(1,T16)-(R18+S18))))</f>
        <v>0</v>
      </c>
      <c r="U18" s="63">
        <f>IF(AND(U16=0,U17=0),0,MIN(IF(U16&lt;=0,0,IF(WEEKDAY(U$6,1)=1,0,IF(WEEKDAY(U$6,1)=7,0,MIN(8,U17)*U16))),MAX(0,40*MAX(1,U16)-(R18+S18+T18))))</f>
        <v>0</v>
      </c>
      <c r="V18" s="63">
        <f>IF(AND(V16=0,V17=0),0,MIN(IF(V16&lt;=0,0,IF(WEEKDAY(V$6,1)=1,0,IF(WEEKDAY(V$6,1)=7,0,MIN(8,V17)*V16))),MAX(0,40*MAX(1,V16)-(R18+S18+T18+U18))))</f>
        <v>0</v>
      </c>
      <c r="W18" s="64">
        <f>IF(AND(W16=0,W17=0),0,MIN(IF(W16&lt;=0,0,IF(WEEKDAY(W$6,1)=1,0,IF(WEEKDAY(W$6,1)=7,0,MIN(8,W17)*W16))),MAX(0,40*MAX(1,W16)-(R18+S18+T18+U18+V18))))</f>
        <v>0</v>
      </c>
      <c r="X18" s="64">
        <f>IF(AND(X16=0,X17=0),0,MIN(IF(X16&lt;=0,0,IF(WEEKDAY(X$6,1)=1,0,IF(WEEKDAY(X$6,1)=7,0,MIN(8,X17)*X16))),MAX(0,40*MAX(1,X16)-(R18+S18+T18+U18+V18+W18))))</f>
        <v>0</v>
      </c>
      <c r="Y18" s="63">
        <f>IF(AND(Y16=0,Y17=0),0,MIN(IF(Y16&lt;=0,0,IF(WEEKDAY(Y$6,1)=1,0,IF(WEEKDAY(Y$6,1)=7,0,MIN(8,Y17)*Y16))),MAX(0,40*MAX(1,Y16)-(0))))</f>
        <v>0</v>
      </c>
      <c r="Z18" s="63">
        <f>IF(AND(Z16=0,Z17=0),0,MIN(IF(Z16&lt;=0,0,IF(WEEKDAY(Z$6,1)=1,0,IF(WEEKDAY(Z$6,1)=7,0,MIN(8,Z17)*Z16))),MAX(0,40*MAX(1,Z16)-(Y18))))</f>
        <v>0</v>
      </c>
      <c r="AA18" s="63">
        <f>IF(AND(AA16=0,AA17=0),0,MIN(IF(AA16&lt;=0,0,IF(WEEKDAY(AA$6,1)=1,0,IF(WEEKDAY(AA$6,1)=7,0,MIN(8,AA17)*AA16))),MAX(0,40*MAX(1,AA16)-(Y18+Z18))))</f>
        <v>0</v>
      </c>
      <c r="AB18" s="63">
        <f>IF(AND(AB16=0,AB17=0),0,MIN(IF(AB16&lt;=0,0,IF(WEEKDAY(AB$6,1)=1,0,IF(WEEKDAY(AB$6,1)=7,0,MIN(8,AB17)*AB16))),MAX(0,40*MAX(1,AB16)-(Y18+Z18+AA18))))</f>
        <v>0</v>
      </c>
      <c r="AC18" s="63">
        <f>IF(AND(AC16=0,AC17=0),0,MIN(IF(AC16&lt;=0,0,IF(WEEKDAY(AC$6,1)=1,0,IF(WEEKDAY(AC$6,1)=7,0,MIN(8,AC17)*AC16))),MAX(0,40*MAX(1,AC16)-(Y18+Z18+AA18+AB18))))</f>
        <v>0</v>
      </c>
      <c r="AD18" s="64">
        <f>IF(AND(AD16=0,AD17=0),0,MIN(IF(AD16&lt;=0,0,IF(WEEKDAY(AD$6,1)=1,0,IF(WEEKDAY(AD$6,1)=7,0,MIN(8,AD17)*AD16))),MAX(0,40*MAX(1,AD16)-(Y18+Z18+AA18+AB18+AC18))))</f>
        <v>0</v>
      </c>
      <c r="AE18" s="64">
        <f>IF(AND(AE16=0,AE17=0),0,MIN(IF(AE16&lt;=0,0,IF(WEEKDAY(AE$6,1)=1,0,IF(WEEKDAY(AE$6,1)=7,0,MIN(8,AE17)*AE16))),MAX(0,40*MAX(1,AE16)-(Y18+Z18+AA18+AB18+AC18+AD18))))</f>
        <v>0</v>
      </c>
      <c r="AF18" s="63">
        <f>IF(AND(AF16=0,AF17=0),0,MIN(IF(AF16&lt;=0,0,IF(WEEKDAY(AF$6,1)=1,0,IF(WEEKDAY(AF$6,1)=7,0,MIN(8,AF17)*AF16))),MAX(0,40*MAX(1,AF16)-(0))))</f>
        <v>0</v>
      </c>
      <c r="AG18" s="63">
        <f>IF(AND(AG16=0,AG17=0),0,MIN(IF(AG16&lt;=0,0,IF(WEEKDAY(AG$6,1)=1,0,IF(WEEKDAY(AG$6,1)=7,0,MIN(8,AG17)*AG16))),MAX(0,40*MAX(1,AG16)-(AF18))))</f>
        <v>0</v>
      </c>
      <c r="AH18" s="63">
        <f>IF(AND(AH16=0,AH17=0),0,MIN(IF(AH16&lt;=0,0,IF(WEEKDAY(AH$6,1)=1,0,IF(WEEKDAY(AH$6,1)=7,0,MIN(8,AH17)*AH16))),MAX(0,40*MAX(1,AH16)-(AF18+AG18))))</f>
        <v>0</v>
      </c>
      <c r="AI18" s="63">
        <f>IF(AND(AI16=0,AI17=0),0,MIN(IF(AI16&lt;=0,0,IF(WEEKDAY(AI$6,1)=1,0,IF(WEEKDAY(AI$6,1)=7,0,MIN(8,AI17)*AI16))),MAX(0,40*MAX(1,AI16)-(AF18+AG18+AH18))))</f>
        <v>0</v>
      </c>
      <c r="AJ18" s="63">
        <f>IF(AND(AJ16=0,AJ17=0),0,MIN(IF(AJ16&lt;=0,0,IF(WEEKDAY(AJ$6,1)=1,0,IF(WEEKDAY(AJ$6,1)=7,0,MIN(8,AJ17)*AJ16))),MAX(0,40*MAX(1,AJ16)-(AF18+AG18+AH18+AI18))))</f>
        <v>0</v>
      </c>
      <c r="AK18" s="64">
        <f>IF(AND(AK16=0,AK17=0),0,MIN(IF(AK16&lt;=0,0,IF(WEEKDAY(AK$6,1)=1,0,IF(WEEKDAY(AK$6,1)=7,0,MIN(8,AK17)*AK16))),MAX(0,40*MAX(1,AK16)-(AF18+AG18+AH18+AI18+AJ18))))</f>
        <v>0</v>
      </c>
      <c r="AL18" s="64">
        <f>IF(AND(AL16=0,AL17=0),0,MIN(IF(AL16&lt;=0,0,IF(WEEKDAY(AL$6,1)=1,0,IF(WEEKDAY(AL$6,1)=7,0,MIN(8,AL17)*AL16))),MAX(0,40*MAX(1,AL16)-(AF18+AG18+AH18+AI18+AJ18+AK18))))</f>
        <v>0</v>
      </c>
      <c r="AM18" s="63">
        <f>IF(AND(AM16=0,AM17=0),0,MIN(IF(AM16&lt;=0,0,IF(WEEKDAY(AM$6,1)=1,0,IF(WEEKDAY(AM$6,1)=7,0,MIN(8,AM17)*AM16))),MAX(0,40*MAX(1,AM16)-(0))))</f>
        <v>0</v>
      </c>
      <c r="AN18" s="63">
        <f>IF(AND(AN16=0,AN17=0),0,MIN(IF(AN16&lt;=0,0,IF(WEEKDAY(AN$6,1)=1,0,IF(WEEKDAY(AN$6,1)=7,0,MIN(8,AN17)*AN16))),MAX(0,40*MAX(1,AN16)-(AM18))))</f>
        <v>0</v>
      </c>
      <c r="AO18" s="63">
        <f>IF(AND(AO16=0,AO17=0),0,MIN(IF(AO16&lt;=0,0,IF(WEEKDAY(AO$6,1)=1,0,IF(WEEKDAY(AO$6,1)=7,0,MIN(8,AO17)*AO16))),MAX(0,40*MAX(1,AO16)-(AM18+AN18))))</f>
        <v>0</v>
      </c>
      <c r="AP18" s="63">
        <f>IF(AND(AP16=0,AP17=0),0,MIN(IF(AP16&lt;=0,0,IF(WEEKDAY(AP$6,1)=1,0,IF(WEEKDAY(AP$6,1)=7,0,MIN(8,AP17)*AP16))),MAX(0,40*MAX(1,AP16)-(AM18+AN18+AO18))))</f>
        <v>0</v>
      </c>
      <c r="AQ18" s="63">
        <f>IF(AND(AQ16=0,AQ17=0),0,MIN(IF(AQ16&lt;=0,0,IF(WEEKDAY(AQ$6,1)=1,0,IF(WEEKDAY(AQ$6,1)=7,0,MIN(8,AQ17)*AQ16))),MAX(0,40*MAX(1,AQ16)-(AM18+AN18+AO18+AP18))))</f>
        <v>0</v>
      </c>
      <c r="AR18" s="64">
        <f>IF(AND(AR16=0,AR17=0),0,MIN(IF(AR16&lt;=0,0,IF(WEEKDAY(AR$6,1)=1,0,IF(WEEKDAY(AR$6,1)=7,0,MIN(8,AR17)*AR16))),MAX(0,40*MAX(1,AR16)-(AM18+AN18+AO18+AP18+AQ18))))</f>
        <v>0</v>
      </c>
      <c r="AS18" s="64">
        <f>IF(AND(AS16=0,AS17=0),0,MIN(IF(AS16&lt;=0,0,IF(WEEKDAY(AS$6,1)=1,0,IF(WEEKDAY(AS$6,1)=7,0,MIN(8,AS17)*AS16))),MAX(0,40*MAX(1,AS16)-(AM18+AN18+AO18+AP18+AQ18+AR18))))</f>
        <v>0</v>
      </c>
      <c r="AT18" s="63">
        <f>IF(AND(AT16=0,AT17=0),0,MIN(IF(AT16&lt;=0,0,IF(WEEKDAY(AT$6,1)=1,0,IF(WEEKDAY(AT$6,1)=7,0,MIN(8,AT17)*AT16))),MAX(0,40*MAX(1,AT16)-(0))))</f>
        <v>0</v>
      </c>
      <c r="AU18" s="63">
        <f>IF(AND(AU16=0,AU17=0),0,MIN(IF(AU16&lt;=0,0,IF(WEEKDAY(AU$6,1)=1,0,IF(WEEKDAY(AU$6,1)=7,0,MIN(8,AU17)*AU16))),MAX(0,40*MAX(1,AU16)-(AT18))))</f>
        <v>0</v>
      </c>
      <c r="AV18" s="63">
        <f>IF(AND(AV16=0,AV17=0),0,MIN(IF(AV16&lt;=0,0,IF(WEEKDAY(AV$6,1)=1,0,IF(WEEKDAY(AV$6,1)=7,0,MIN(8,AV17)*AV16))),MAX(0,40*MAX(1,AV16)-(AT18+AU18))))</f>
        <v>0</v>
      </c>
      <c r="AW18" s="63">
        <f>IF(AND(AW16=0,AW17=0),0,MIN(IF(AW16&lt;=0,0,IF(WEEKDAY(AW$6,1)=1,0,IF(WEEKDAY(AW$6,1)=7,0,MIN(8,AW17)*AW16))),MAX(0,40*MAX(1,AW16)-(AT18+AU18+AV18))))</f>
        <v>0</v>
      </c>
      <c r="AX18" s="63">
        <f>IF(AND(AX16=0,AX17=0),0,MIN(IF(AX16&lt;=0,0,IF(WEEKDAY(AX$6,1)=1,0,IF(WEEKDAY(AX$6,1)=7,0,MIN(8,AX17)*AX16))),MAX(0,40*MAX(1,AX16)-(AT18+AU18+AV18+AW18))))</f>
        <v>0</v>
      </c>
      <c r="AY18" s="64">
        <f>IF(AND(AY16=0,AY17=0),0,MIN(IF(AY16&lt;=0,0,IF(WEEKDAY(AY$6,1)=1,0,IF(WEEKDAY(AY$6,1)=7,0,MIN(8,AY17)*AY16))),MAX(0,40*MAX(1,AY16)-(AT18+AU18+AV18+AW18+AX18))))</f>
        <v>0</v>
      </c>
      <c r="AZ18" s="64">
        <f>IF(AND(AZ16=0,AZ17=0),0,MIN(IF(AZ16&lt;=0,0,IF(WEEKDAY(AZ$6,1)=1,0,IF(WEEKDAY(AZ$6,1)=7,0,MIN(8,AZ17)*AZ16))),MAX(0,40*MAX(1,AZ16)-(AT18+AU18+AV18+AW18+AX18+AY18))))</f>
        <v>0</v>
      </c>
      <c r="BA18" s="63">
        <f>IF(AND(BA16=0,BA17=0),0,MIN(IF(BA16&lt;=0,0,IF(WEEKDAY(BA$6,1)=1,0,IF(WEEKDAY(BA$6,1)=7,0,MIN(8,BA17)*BA16))),MAX(0,40*MAX(1,BA16)-(0))))</f>
        <v>0</v>
      </c>
      <c r="BB18" s="63">
        <f>IF(AND(BB16=0,BB17=0),0,MIN(IF(BB16&lt;=0,0,IF(WEEKDAY(BB$6,1)=1,0,IF(WEEKDAY(BB$6,1)=7,0,MIN(8,BB17)*BB16))),MAX(0,40*MAX(1,BB16)-(BA18))))</f>
        <v>0</v>
      </c>
      <c r="BC18" s="63">
        <f>IF(AND(BC16=0,BC17=0),0,MIN(IF(BC16&lt;=0,0,IF(WEEKDAY(BC$6,1)=1,0,IF(WEEKDAY(BC$6,1)=7,0,MIN(8,BC17)*BC16))),MAX(0,40*MAX(1,BC16)-(BA18+BB18))))</f>
        <v>0</v>
      </c>
      <c r="BD18" s="63">
        <f>IF(AND(BD16=0,BD17=0),0,MIN(IF(BD16&lt;=0,0,IF(WEEKDAY(BD$6,1)=1,0,IF(WEEKDAY(BD$6,1)=7,0,MIN(8,BD17)*BD16))),MAX(0,40*MAX(1,BD16)-(BA18+BB18+BC18))))</f>
        <v>0</v>
      </c>
      <c r="BE18" s="63">
        <f>IF(AND(BE16=0,BE17=0),0,MIN(IF(BE16&lt;=0,0,IF(WEEKDAY(BE$6,1)=1,0,IF(WEEKDAY(BE$6,1)=7,0,MIN(8,BE17)*BE16))),MAX(0,40*MAX(1,BE16)-(BA18+BB18+BC18+BD18))))</f>
        <v>0</v>
      </c>
      <c r="BF18" s="64">
        <f>IF(AND(BF16=0,BF17=0),0,MIN(IF(BF16&lt;=0,0,IF(WEEKDAY(BF$6,1)=1,0,IF(WEEKDAY(BF$6,1)=7,0,MIN(8,BF17)*BF16))),MAX(0,40*MAX(1,BF16)-(BA18+BB18+BC18+BD18+BE18))))</f>
        <v>0</v>
      </c>
      <c r="BG18" s="64">
        <f>IF(AND(BG16=0,BG17=0),0,MIN(IF(BG16&lt;=0,0,IF(WEEKDAY(BG$6,1)=1,0,IF(WEEKDAY(BG$6,1)=7,0,MIN(8,BG17)*BG16))),MAX(0,40*MAX(1,BG16)-(BA18+BB18+BC18+BD18+BE18+BF18))))</f>
        <v>0</v>
      </c>
      <c r="BH18" s="63">
        <f>IF(AND(BH16=1,BH17=10),8,MIN(IF(BH16&lt;=0,0,IF(WEEKDAY(BH$6,1)=1,0,IF(WEEKDAY(BH$6,1)=7,0,MIN(8,BH17)*BH16))),MAX(0,40*MAX(1,BH16)-(0))))</f>
        <v>8</v>
      </c>
      <c r="BI18" s="63">
        <f>IF(AND(BI16=2,BI17=10),16,MIN(IF(BI16&lt;=0,0,IF(WEEKDAY(BI$6,1)=1,0,IF(WEEKDAY(BI$6,1)=7,0,MIN(8,BI17)*BI16))),MAX(0,40*MAX(1,BI16)-(BH18))))</f>
        <v>16</v>
      </c>
      <c r="BJ18" s="63">
        <f>IF(AND(BJ16=3,BJ17=10),24,MIN(IF(BJ16&lt;=0,0,IF(WEEKDAY(BJ$6,1)=1,0,IF(WEEKDAY(BJ$6,1)=7,0,MIN(8,BJ17)*BJ16))),MAX(0,40*MAX(1,BJ16)-(BH18+BI18))))</f>
        <v>24</v>
      </c>
      <c r="BK18" s="63">
        <f>IF(AND(BK16=3,BK17=10),24,MIN(IF(BK16&lt;=0,0,IF(WEEKDAY(BK$6,1)=1,0,IF(WEEKDAY(BK$6,1)=7,0,MIN(8,BK17)*BK16))),MAX(0,40*MAX(1,BK16)-(BH18+BI18+BJ18))))</f>
        <v>24</v>
      </c>
      <c r="BL18" s="63">
        <f>IF(AND(BL16=3,BL17=10),24,MIN(IF(BL16&lt;=0,0,IF(WEEKDAY(BL$6,1)=1,0,IF(WEEKDAY(BL$6,1)=7,0,MIN(8,BL17)*BL16))),MAX(0,40*MAX(1,BL16)-(BH18+BI18+BJ18+BK18))))</f>
        <v>24</v>
      </c>
      <c r="BM18" s="64">
        <f>IF(AND(BM16=3,BM17=10),0,MIN(IF(BM16&lt;=0,0,IF(WEEKDAY(BM$6,1)=1,0,IF(WEEKDAY(BM$6,1)=7,0,MIN(8,BM17)*BM16))),MAX(0,40*MAX(1,BM16)-(BH18+BI18+BJ18+BK18+BL18))))</f>
        <v>0</v>
      </c>
      <c r="BN18" s="64">
        <f>IF(AND(BN16=3,BN17=10),0,MIN(IF(BN16&lt;=0,0,IF(WEEKDAY(BN$6,1)=1,0,IF(WEEKDAY(BN$6,1)=7,0,MIN(8,BN17)*BN16))),MAX(0,40*MAX(1,BN16)-(BH18+BI18+BJ18+BK18+BL18+BM18))))</f>
        <v>0</v>
      </c>
      <c r="BO18" s="63">
        <f>IF(AND(BO16=3,BO17=10),24,MIN(IF(BO16&lt;=0,0,IF(WEEKDAY(BO$6,1)=1,0,IF(WEEKDAY(BO$6,1)=7,0,MIN(8,BO17)*BO16))),MAX(0,40*MAX(1,BO16)-(0))))</f>
        <v>24</v>
      </c>
      <c r="BP18" s="63">
        <f>IF(AND(BP16=3,BP17=10),24,MIN(IF(BP16&lt;=0,0,IF(WEEKDAY(BP$6,1)=1,0,IF(WEEKDAY(BP$6,1)=7,0,MIN(8,BP17)*BP16))),MAX(0,40*MAX(1,BP16)-(BO18))))</f>
        <v>24</v>
      </c>
      <c r="BQ18" s="63">
        <f>IF(AND(BQ16=3,BQ17=10),24,MIN(IF(BQ16&lt;=0,0,IF(WEEKDAY(BQ$6,1)=1,0,IF(WEEKDAY(BQ$6,1)=7,0,MIN(8,BQ17)*BQ16))),MAX(0,40*MAX(1,BQ16)-(BO18+BP18))))</f>
        <v>24</v>
      </c>
      <c r="BR18" s="63">
        <f>IF(AND(BR16=27,BR17=10),216,MIN(IF(BR16&lt;=0,0,IF(WEEKDAY(BR$6,1)=1,0,IF(WEEKDAY(BR$6,1)=7,0,MIN(8,BR17)*BR16))),MAX(0,40*MAX(1,BR16)-(0))))</f>
        <v>216</v>
      </c>
      <c r="BS18" s="63">
        <f>IF(AND(BS16=27,BS17=10),216,MIN(IF(BS16&lt;=0,0,IF(WEEKDAY(BS$6,1)=1,0,IF(WEEKDAY(BS$6,1)=7,0,MIN(8,BS17)*BS16))),MAX(0,40*MAX(1,BS16)-(BR18))))</f>
        <v>216</v>
      </c>
      <c r="BT18" s="64">
        <f>IF(AND(BT16=27,BT17=10),0,MIN(IF(BT16&lt;=0,0,IF(WEEKDAY(BT$6,1)=1,0,IF(WEEKDAY(BT$6,1)=7,0,MIN(8,BT17)*BT16))),MAX(0,40*MAX(1,BT16)-(BR18+BS18))))</f>
        <v>0</v>
      </c>
      <c r="BU18" s="64">
        <f>IF(AND(BU16=27,BU17=10),0,MIN(IF(BU16&lt;=0,0,IF(WEEKDAY(BU$6,1)=1,0,IF(WEEKDAY(BU$6,1)=7,0,MIN(8,BU17)*BU16))),MAX(0,40*MAX(1,BU16)-(BR18+BS18+BT18))))</f>
        <v>0</v>
      </c>
      <c r="BV18" s="63">
        <f>IF(AND(BV16=27,BV17=10),216,MIN(IF(BV16&lt;=0,0,IF(WEEKDAY(BV$6,1)=1,0,IF(WEEKDAY(BV$6,1)=7,0,MIN(8,BV17)*BV16))),MAX(0,40*MAX(1,BV16)-(0))))</f>
        <v>216</v>
      </c>
      <c r="BW18" s="63">
        <f>IF(AND(BW16=27,BW17=10),216,MIN(IF(BW16&lt;=0,0,IF(WEEKDAY(BW$6,1)=1,0,IF(WEEKDAY(BW$6,1)=7,0,MIN(8,BW17)*BW16))),MAX(0,40*MAX(1,BW16)-(BV18))))</f>
        <v>216</v>
      </c>
      <c r="BX18" s="63">
        <f>IF(AND(BX16=27,BX17=10),216,MIN(IF(BX16&lt;=0,0,IF(WEEKDAY(BX$6,1)=1,0,IF(WEEKDAY(BX$6,1)=7,0,MIN(8,BX17)*BX16))),MAX(0,40*MAX(1,BX16)-(BV18+BW18))))</f>
        <v>216</v>
      </c>
      <c r="BY18" s="63">
        <f>IF(AND(BY16=27,BY17=10),216,MIN(IF(BY16&lt;=0,0,IF(WEEKDAY(BY$6,1)=1,0,IF(WEEKDAY(BY$6,1)=7,0,MIN(8,BY17)*BY16))),MAX(0,40*MAX(1,BY16)-(BV18+BW18+BX18))))</f>
        <v>216</v>
      </c>
      <c r="BZ18" s="63">
        <f>IF(AND(BZ16=27,BZ17=10),216,MIN(IF(BZ16&lt;=0,0,IF(WEEKDAY(BZ$6,1)=1,0,IF(WEEKDAY(BZ$6,1)=7,0,MIN(8,BZ17)*BZ16))),MAX(0,40*MAX(1,BZ16)-(BV18+BW18+BX18+BY18))))</f>
        <v>216</v>
      </c>
      <c r="CA18" s="64">
        <f>IF(AND(CA16=27,CA17=10),0,MIN(IF(CA16&lt;=0,0,IF(WEEKDAY(CA$6,1)=1,0,IF(WEEKDAY(CA$6,1)=7,0,MIN(8,CA17)*CA16))),MAX(0,40*MAX(1,CA16)-(BV18+BW18+BX18+BY18+BZ18))))</f>
        <v>0</v>
      </c>
      <c r="CB18" s="64">
        <f>IF(AND(CB16=27,CB17=10),0,MIN(IF(CB16&lt;=0,0,IF(WEEKDAY(CB$6,1)=1,0,IF(WEEKDAY(CB$6,1)=7,0,MIN(8,CB17)*CB16))),MAX(0,40*MAX(1,CB16)-(BV18+BW18+BX18+BY18+BZ18+CA18))))</f>
        <v>0</v>
      </c>
      <c r="CC18" s="63">
        <f>IF(AND(CC16=27,CC17=10),216,MIN(IF(CC16&lt;=0,0,IF(WEEKDAY(CC$6,1)=1,0,IF(WEEKDAY(CC$6,1)=7,0,MIN(8,CC17)*CC16))),MAX(0,40*MAX(1,CC16)-(0))))</f>
        <v>216</v>
      </c>
      <c r="CD18" s="63">
        <f>IF(AND(CD16=27,CD17=10),216,MIN(IF(CD16&lt;=0,0,IF(WEEKDAY(CD$6,1)=1,0,IF(WEEKDAY(CD$6,1)=7,0,MIN(8,CD17)*CD16))),MAX(0,40*MAX(1,CD16)-(CC18))))</f>
        <v>216</v>
      </c>
      <c r="CE18" s="63">
        <f>IF(AND(CE16=27,CE17=10),216,MIN(IF(CE16&lt;=0,0,IF(WEEKDAY(CE$6,1)=1,0,IF(WEEKDAY(CE$6,1)=7,0,MIN(8,CE17)*CE16))),MAX(0,40*MAX(1,CE16)-(CC18+CD18))))</f>
        <v>216</v>
      </c>
      <c r="CF18" s="63">
        <f>IF(AND(CF16=27,CF17=10),216,MIN(IF(CF16&lt;=0,0,IF(WEEKDAY(CF$6,1)=1,0,IF(WEEKDAY(CF$6,1)=7,0,MIN(8,CF17)*CF16))),MAX(0,40*MAX(1,CF16)-(CC18+CD18+CE18))))</f>
        <v>216</v>
      </c>
      <c r="CG18" s="63">
        <f>IF(AND(CG16=27,CG17=10),216,MIN(IF(CG16&lt;=0,0,IF(WEEKDAY(CG$6,1)=1,0,IF(WEEKDAY(CG$6,1)=7,0,MIN(8,CG17)*CG16))),MAX(0,40*MAX(1,CG16)-(CC18+CD18+CE18+CF18))))</f>
        <v>216</v>
      </c>
      <c r="CH18" s="64">
        <f>IF(AND(CH16=27,CH17=10),0,MIN(IF(CH16&lt;=0,0,IF(WEEKDAY(CH$6,1)=1,0,IF(WEEKDAY(CH$6,1)=7,0,MIN(8,CH17)*CH16))),MAX(0,40*MAX(1,CH16)-(CC18+CD18+CE18+CF18+CG18))))</f>
        <v>0</v>
      </c>
      <c r="CI18" s="64">
        <f>IF(AND(CI16=27,CI17=10),0,MIN(IF(CI16&lt;=0,0,IF(WEEKDAY(CI$6,1)=1,0,IF(WEEKDAY(CI$6,1)=7,0,MIN(8,CI17)*CI16))),MAX(0,40*MAX(1,CI16)-(CC18+CD18+CE18+CF18+CG18+CH18))))</f>
        <v>0</v>
      </c>
      <c r="CJ18" s="63">
        <f>IF(AND(CJ16=27,CJ17=10),216,MIN(IF(CJ16&lt;=0,0,IF(WEEKDAY(CJ$6,1)=1,0,IF(WEEKDAY(CJ$6,1)=7,0,MIN(8,CJ17)*CJ16))),MAX(0,40*MAX(1,CJ16)-(0))))</f>
        <v>216</v>
      </c>
      <c r="CK18" s="63">
        <f>IF(AND(CK16=27,CK17=10),216,MIN(IF(CK16&lt;=0,0,IF(WEEKDAY(CK$6,1)=1,0,IF(WEEKDAY(CK$6,1)=7,0,MIN(8,CK17)*CK16))),MAX(0,40*MAX(1,CK16)-(CJ18))))</f>
        <v>216</v>
      </c>
      <c r="CL18" s="63">
        <f>IF(AND(CL16=25,CL17=10),200,MIN(IF(CL16&lt;=0,0,IF(WEEKDAY(CL$6,1)=1,0,IF(WEEKDAY(CL$6,1)=7,0,MIN(8,CL17)*CL16))),MAX(0,40*MAX(1,CL16)-(0))))</f>
        <v>200</v>
      </c>
      <c r="CM18" s="63">
        <f>IF(AND(CM16=25,CM17=10),200,MIN(IF(CM16&lt;=0,0,IF(WEEKDAY(CM$6,1)=1,0,IF(WEEKDAY(CM$6,1)=7,0,MIN(8,CM17)*CM16))),MAX(0,40*MAX(1,CM16)-(CL18))))</f>
        <v>200</v>
      </c>
      <c r="CN18" s="63">
        <f>IF(AND(CN16=25,CN17=10),200,MIN(IF(CN16&lt;=0,0,IF(WEEKDAY(CN$6,1)=1,0,IF(WEEKDAY(CN$6,1)=7,0,MIN(8,CN17)*CN16))),MAX(0,40*MAX(1,CN16)-(CL18+CM18))))</f>
        <v>200</v>
      </c>
      <c r="CO18" s="64">
        <f>IF(AND(CO16=25,CO17=10),0,MIN(IF(CO16&lt;=0,0,IF(WEEKDAY(CO$6,1)=1,0,IF(WEEKDAY(CO$6,1)=7,0,MIN(8,CO17)*CO16))),MAX(0,40*MAX(1,CO16)-(CL18+CM18+CN18))))</f>
        <v>0</v>
      </c>
      <c r="CP18" s="64">
        <f>IF(AND(CP16=25,CP17=10),0,MIN(IF(CP16&lt;=0,0,IF(WEEKDAY(CP$6,1)=1,0,IF(WEEKDAY(CP$6,1)=7,0,MIN(8,CP17)*CP16))),MAX(0,40*MAX(1,CP16)-(CL18+CM18+CN18+CO18))))</f>
        <v>0</v>
      </c>
      <c r="CQ18" s="63">
        <f>IF(AND(CQ16=25,CQ17=10),200,MIN(IF(CQ16&lt;=0,0,IF(WEEKDAY(CQ$6,1)=1,0,IF(WEEKDAY(CQ$6,1)=7,0,MIN(8,CQ17)*CQ16))),MAX(0,40*MAX(1,CQ16)-(0))))</f>
        <v>200</v>
      </c>
      <c r="CR18" s="63">
        <f>IF(AND(CR16=25,CR17=10),200,MIN(IF(CR16&lt;=0,0,IF(WEEKDAY(CR$6,1)=1,0,IF(WEEKDAY(CR$6,1)=7,0,MIN(8,CR17)*CR16))),MAX(0,40*MAX(1,CR16)-(CQ18))))</f>
        <v>200</v>
      </c>
      <c r="CS18" s="63">
        <f>IF(AND(CS16=25,CS17=10),200,MIN(IF(CS16&lt;=0,0,IF(WEEKDAY(CS$6,1)=1,0,IF(WEEKDAY(CS$6,1)=7,0,MIN(8,CS17)*CS16))),MAX(0,40*MAX(1,CS16)-(CQ18+CR18))))</f>
        <v>200</v>
      </c>
      <c r="CT18" s="63">
        <f>IF(AND(CT16=25,CT17=10),200,MIN(IF(CT16&lt;=0,0,IF(WEEKDAY(CT$6,1)=1,0,IF(WEEKDAY(CT$6,1)=7,0,MIN(8,CT17)*CT16))),MAX(0,40*MAX(1,CT16)-(CQ18+CR18+CS18))))</f>
        <v>200</v>
      </c>
      <c r="CU18" s="63">
        <f>IF(AND(CU16=25,CU17=10),200,MIN(IF(CU16&lt;=0,0,IF(WEEKDAY(CU$6,1)=1,0,IF(WEEKDAY(CU$6,1)=7,0,MIN(8,CU17)*CU16))),MAX(0,40*MAX(1,CU16)-(CQ18+CR18+CS18+CT18))))</f>
        <v>200</v>
      </c>
      <c r="CV18" s="64">
        <f>IF(AND(CV16=25,CV17=10),0,MIN(IF(CV16&lt;=0,0,IF(WEEKDAY(CV$6,1)=1,0,IF(WEEKDAY(CV$6,1)=7,0,MIN(8,CV17)*CV16))),MAX(0,40*MAX(1,CV16)-(CQ18+CR18+CS18+CT18+CU18))))</f>
        <v>0</v>
      </c>
      <c r="CW18" s="64">
        <f>IF(AND(CW16=25,CW17=10),0,MIN(IF(CW16&lt;=0,0,IF(WEEKDAY(CW$6,1)=1,0,IF(WEEKDAY(CW$6,1)=7,0,MIN(8,CW17)*CW16))),MAX(0,40*MAX(1,CW16)-(CQ18+CR18+CS18+CT18+CU18+CV18))))</f>
        <v>0</v>
      </c>
      <c r="CX18" s="63">
        <f>IF(AND(CX16=25,CX17=10),200,MIN(IF(CX16&lt;=0,0,IF(WEEKDAY(CX$6,1)=1,0,IF(WEEKDAY(CX$6,1)=7,0,MIN(8,CX17)*CX16))),MAX(0,40*MAX(1,CX16)-(0))))</f>
        <v>200</v>
      </c>
      <c r="CY18" s="63">
        <f>IF(AND(CY16=25,CY17=10),200,MIN(IF(CY16&lt;=0,0,IF(WEEKDAY(CY$6,1)=1,0,IF(WEEKDAY(CY$6,1)=7,0,MIN(8,CY17)*CY16))),MAX(0,40*MAX(1,CY16)-(CX18))))</f>
        <v>200</v>
      </c>
      <c r="CZ18" s="63">
        <f>IF(AND(CZ16=25,CZ17=10),200,MIN(IF(CZ16&lt;=0,0,IF(WEEKDAY(CZ$6,1)=1,0,IF(WEEKDAY(CZ$6,1)=7,0,MIN(8,CZ17)*CZ16))),MAX(0,40*MAX(1,CZ16)-(0))))</f>
        <v>200</v>
      </c>
      <c r="DA18" s="63">
        <f>IF(AND(DA16=25,DA17=10),200,MIN(IF(DA16&lt;=0,0,IF(WEEKDAY(DA$6,1)=1,0,IF(WEEKDAY(DA$6,1)=7,0,MIN(8,DA17)*DA16))),MAX(0,40*MAX(1,DA16)-(CZ18))))</f>
        <v>200</v>
      </c>
      <c r="DB18" s="63">
        <f>IF(AND(DB16=25,DB17=10),200,MIN(IF(DB16&lt;=0,0,IF(WEEKDAY(DB$6,1)=1,0,IF(WEEKDAY(DB$6,1)=7,0,MIN(8,DB17)*DB16))),MAX(0,40*MAX(1,DB16)-(CZ18+DA18))))</f>
        <v>200</v>
      </c>
      <c r="DC18" s="64">
        <f>IF(AND(DC16=25,DC17=10),0,MIN(IF(DC16&lt;=0,0,IF(WEEKDAY(DC$6,1)=1,0,IF(WEEKDAY(DC$6,1)=7,0,MIN(8,DC17)*DC16))),MAX(0,40*MAX(1,DC16)-(CZ18+DA18+DB18))))</f>
        <v>0</v>
      </c>
      <c r="DD18" s="64">
        <f>IF(AND(DD16=0,DD17=0),0,MIN(IF(DD16&lt;=0,0,IF(WEEKDAY(DD$6,1)=1,0,IF(WEEKDAY(DD$6,1)=7,0,MIN(8,DD17)*DD16))),MAX(0,40*MAX(1,DD16)-(0))))</f>
        <v>0</v>
      </c>
      <c r="DE18" s="63">
        <f>IF(AND(DE16=4,DE17=10),32,MIN(IF(DE16&lt;=0,0,IF(WEEKDAY(DE$6,1)=1,0,IF(WEEKDAY(DE$6,1)=7,0,MIN(8,DE17)*DE16))),MAX(0,40*MAX(1,DE16)-(0))))</f>
        <v>32</v>
      </c>
      <c r="DF18" s="63">
        <f>IF(AND(DF16=0,DF17=0),0,MIN(IF(DF16&lt;=0,0,IF(WEEKDAY(DF$6,1)=1,0,IF(WEEKDAY(DF$6,1)=7,0,MIN(8,DF17)*DF16))),MAX(0,40*MAX(1,DF16)-(0))))</f>
        <v>0</v>
      </c>
      <c r="DG18" s="63">
        <f>IF(AND(DG16=0,DG17=0),0,MIN(IF(DG16&lt;=0,0,IF(WEEKDAY(DG$6,1)=1,0,IF(WEEKDAY(DG$6,1)=7,0,MIN(8,DG17)*DG16))),MAX(0,40*MAX(1,DG16)-(DF18))))</f>
        <v>0</v>
      </c>
      <c r="DH18" s="63">
        <f>IF(AND(DH16=0,DH17=0),0,MIN(IF(DH16&lt;=0,0,IF(WEEKDAY(DH$6,1)=1,0,IF(WEEKDAY(DH$6,1)=7,0,MIN(8,DH17)*DH16))),MAX(0,40*MAX(1,DH16)-(DF18+DG18))))</f>
        <v>0</v>
      </c>
      <c r="DI18" s="63">
        <f>IF(AND(DI16=0,DI17=0),0,MIN(IF(DI16&lt;=0,0,IF(WEEKDAY(DI$6,1)=1,0,IF(WEEKDAY(DI$6,1)=7,0,MIN(8,DI17)*DI16))),MAX(0,40*MAX(1,DI16)-(DF18+DG18+DH18))))</f>
        <v>0</v>
      </c>
      <c r="DJ18" s="64">
        <f>IF(AND(DJ16=0,DJ17=0),0,MIN(IF(DJ16&lt;=0,0,IF(WEEKDAY(DJ$6,1)=1,0,IF(WEEKDAY(DJ$6,1)=7,0,MIN(8,DJ17)*DJ16))),MAX(0,40*MAX(1,DJ16)-(DF18+DG18+DH18+DI18))))</f>
        <v>0</v>
      </c>
      <c r="DK18" s="64">
        <f>IF(AND(DK16=0,DK17=0),0,MIN(IF(DK16&lt;=0,0,IF(WEEKDAY(DK$6,1)=1,0,IF(WEEKDAY(DK$6,1)=7,0,MIN(8,DK17)*DK16))),MAX(0,40*MAX(1,DK16)-(DF18+DG18+DH18+DI18+DJ18))))</f>
        <v>0</v>
      </c>
      <c r="DL18" s="63">
        <f>IF(AND(DL16=0,DL17=0),0,MIN(IF(DL16&lt;=0,0,IF(WEEKDAY(DL$6,1)=1,0,IF(WEEKDAY(DL$6,1)=7,0,MIN(8,DL17)*DL16))),MAX(0,40*MAX(1,DL16)-(0))))</f>
        <v>0</v>
      </c>
      <c r="DM18" s="63">
        <f>IF(AND(DM16=0,DM17=0),0,MIN(IF(DM16&lt;=0,0,IF(WEEKDAY(DM$6,1)=1,0,IF(WEEKDAY(DM$6,1)=7,0,MIN(8,DM17)*DM16))),MAX(0,40*MAX(1,DM16)-(DL18))))</f>
        <v>0</v>
      </c>
      <c r="DN18" s="63">
        <f>IF(AND(DN16=0,DN17=0),0,MIN(IF(DN16&lt;=0,0,IF(WEEKDAY(DN$6,1)=1,0,IF(WEEKDAY(DN$6,1)=7,0,MIN(8,DN17)*DN16))),MAX(0,40*MAX(1,DN16)-(DL18+DM18))))</f>
        <v>0</v>
      </c>
      <c r="DO18" s="63">
        <f>IF(AND(DO16=0,DO17=0),0,MIN(IF(DO16&lt;=0,0,IF(WEEKDAY(DO$6,1)=1,0,IF(WEEKDAY(DO$6,1)=7,0,MIN(8,DO17)*DO16))),MAX(0,40*MAX(1,DO16)-(DL18+DM18+DN18))))</f>
        <v>0</v>
      </c>
      <c r="DP18" s="63">
        <f>IF(AND(DP16=0,DP17=0),0,MIN(IF(DP16&lt;=0,0,IF(WEEKDAY(DP$6,1)=1,0,IF(WEEKDAY(DP$6,1)=7,0,MIN(8,DP17)*DP16))),MAX(0,40*MAX(1,DP16)-(DL18+DM18+DN18+DO18))))</f>
        <v>0</v>
      </c>
      <c r="DQ18" s="64">
        <f>IF(AND(DQ16=0,DQ17=0),0,MIN(IF(DQ16&lt;=0,0,IF(WEEKDAY(DQ$6,1)=1,0,IF(WEEKDAY(DQ$6,1)=7,0,MIN(8,DQ17)*DQ16))),MAX(0,40*MAX(1,DQ16)-(DL18+DM18+DN18+DO18+DP18))))</f>
        <v>0</v>
      </c>
      <c r="DR18" s="64">
        <f>IF(AND(DR16=0,DR17=0),0,MIN(IF(DR16&lt;=0,0,IF(WEEKDAY(DR$6,1)=1,0,IF(WEEKDAY(DR$6,1)=7,0,MIN(8,DR17)*DR16))),MAX(0,40*MAX(1,DR16)-(DL18+DM18+DN18+DO18+DP18+DQ18))))</f>
        <v>0</v>
      </c>
      <c r="DS18" s="63">
        <f>IF(AND(DS16=0,DS17=0),0,MIN(IF(DS16&lt;=0,0,IF(WEEKDAY(DS$6,1)=1,0,IF(WEEKDAY(DS$6,1)=7,0,MIN(8,DS17)*DS16))),MAX(0,40*MAX(1,DS16)-(0))))</f>
        <v>0</v>
      </c>
      <c r="DT18" s="63">
        <f>IF(AND(DT16=0,DT17=0),0,MIN(IF(DT16&lt;=0,0,IF(WEEKDAY(DT$6,1)=1,0,IF(WEEKDAY(DT$6,1)=7,0,MIN(8,DT17)*DT16))),MAX(0,40*MAX(1,DT16)-(DS18))))</f>
        <v>0</v>
      </c>
      <c r="DU18" s="63">
        <f>IF(AND(DU16=0,DU17=0),0,MIN(IF(DU16&lt;=0,0,IF(WEEKDAY(DU$6,1)=1,0,IF(WEEKDAY(DU$6,1)=7,0,MIN(8,DU17)*DU16))),MAX(0,40*MAX(1,DU16)-(DS18+DT18))))</f>
        <v>0</v>
      </c>
      <c r="DV18" s="63">
        <f>IF(AND(DV16=0,DV17=0),0,MIN(IF(DV16&lt;=0,0,IF(WEEKDAY(DV$6,1)=1,0,IF(WEEKDAY(DV$6,1)=7,0,MIN(8,DV17)*DV16))),MAX(0,40*MAX(1,DV16)-(DS18+DT18+DU18))))</f>
        <v>0</v>
      </c>
      <c r="DW18" s="63">
        <f>IF(AND(DW16=0,DW17=0),0,MIN(IF(DW16&lt;=0,0,IF(WEEKDAY(DW$6,1)=1,0,IF(WEEKDAY(DW$6,1)=7,0,MIN(8,DW17)*DW16))),MAX(0,40*MAX(1,DW16)-(DS18+DT18+DU18+DV18))))</f>
        <v>0</v>
      </c>
      <c r="DX18" s="64">
        <f>IF(AND(DX16=0,DX17=0),0,MIN(IF(DX16&lt;=0,0,IF(WEEKDAY(DX$6,1)=1,0,IF(WEEKDAY(DX$6,1)=7,0,MIN(8,DX17)*DX16))),MAX(0,40*MAX(1,DX16)-(DS18+DT18+DU18+DV18+DW18))))</f>
        <v>0</v>
      </c>
      <c r="DY18" s="64">
        <f>IF(AND(DY16=0,DY17=0),0,MIN(IF(DY16&lt;=0,0,IF(WEEKDAY(DY$6,1)=1,0,IF(WEEKDAY(DY$6,1)=7,0,MIN(8,DY17)*DY16))),MAX(0,40*MAX(1,DY16)-(DS18+DT18+DU18+DV18+DW18+DX18))))</f>
        <v>0</v>
      </c>
      <c r="DZ18" s="63">
        <f>IF(AND(DZ16=0,DZ17=0),0,MIN(IF(DZ16&lt;=0,0,IF(WEEKDAY(DZ$6,1)=1,0,IF(WEEKDAY(DZ$6,1)=7,0,MIN(8,DZ17)*DZ16))),MAX(0,40*MAX(1,DZ16)-(0))))</f>
        <v>0</v>
      </c>
      <c r="EA18" s="63">
        <f>IF(AND(EA16=0,EA17=0),0,MIN(IF(EA16&lt;=0,0,IF(WEEKDAY(EA$6,1)=1,0,IF(WEEKDAY(EA$6,1)=7,0,MIN(8,EA17)*EA16))),MAX(0,40*MAX(1,EA16)-(DZ18))))</f>
        <v>0</v>
      </c>
      <c r="EB18" s="63">
        <f>IF(AND(EB16=0,EB17=0),0,MIN(IF(EB16&lt;=0,0,IF(WEEKDAY(EB$6,1)=1,0,IF(WEEKDAY(EB$6,1)=7,0,MIN(8,EB17)*EB16))),MAX(0,40*MAX(1,EB16)-(DZ18+EA18))))</f>
        <v>0</v>
      </c>
      <c r="EC18" s="63">
        <f>IF(AND(EC16=0,EC17=0),0,MIN(IF(EC16&lt;=0,0,IF(WEEKDAY(EC$6,1)=1,0,IF(WEEKDAY(EC$6,1)=7,0,MIN(8,EC17)*EC16))),MAX(0,40*MAX(1,EC16)-(DZ18+EA18+EB18))))</f>
        <v>0</v>
      </c>
      <c r="ED18" s="63">
        <f>IF(AND(ED16=0,ED17=0),0,MIN(IF(ED16&lt;=0,0,IF(WEEKDAY(ED$6,1)=1,0,IF(WEEKDAY(ED$6,1)=7,0,MIN(8,ED17)*ED16))),MAX(0,40*MAX(1,ED16)-(DZ18+EA18+EB18+EC18))))</f>
        <v>0</v>
      </c>
      <c r="EE18" s="64">
        <f>IF(AND(EE16=0,EE17=0),0,MIN(IF(EE16&lt;=0,0,IF(WEEKDAY(EE$6,1)=1,0,IF(WEEKDAY(EE$6,1)=7,0,MIN(8,EE17)*EE16))),MAX(0,40*MAX(1,EE16)-(DZ18+EA18+EB18+EC18+ED18))))</f>
        <v>0</v>
      </c>
      <c r="EF18" s="64">
        <f>IF(AND(EF16=0,EF17=0),0,MIN(IF(EF16&lt;=0,0,IF(WEEKDAY(EF$6,1)=1,0,IF(WEEKDAY(EF$6,1)=7,0,MIN(8,EF17)*EF16))),MAX(0,40*MAX(1,EF16)-(DZ18+EA18+EB18+EC18+ED18+EE18))))</f>
        <v>0</v>
      </c>
      <c r="EG18" s="63">
        <f>IF(AND(EG16=0,EG17=0),0,MIN(IF(EG16&lt;=0,0,IF(WEEKDAY(EG$6,1)=1,0,IF(WEEKDAY(EG$6,1)=7,0,MIN(8,EG17)*EG16))),MAX(0,40*MAX(1,EG16)-(0))))</f>
        <v>0</v>
      </c>
      <c r="EH18" s="63">
        <f>IF(AND(EH16=0,EH17=0),0,MIN(IF(EH16&lt;=0,0,IF(WEEKDAY(EH$6,1)=1,0,IF(WEEKDAY(EH$6,1)=7,0,MIN(8,EH17)*EH16))),MAX(0,40*MAX(1,EH16)-(EG18))))</f>
        <v>0</v>
      </c>
      <c r="EI18" s="63">
        <f>IF(AND(EI16=0,EI17=0),0,MIN(IF(EI16&lt;=0,0,IF(WEEKDAY(EI$6,1)=1,0,IF(WEEKDAY(EI$6,1)=7,0,MIN(8,EI17)*EI16))),MAX(0,40*MAX(1,EI16)-(EG18+EH18))))</f>
        <v>0</v>
      </c>
      <c r="EJ18" s="63">
        <f>IF(AND(EJ16=0,EJ17=0),0,MIN(IF(EJ16&lt;=0,0,IF(WEEKDAY(EJ$6,1)=1,0,IF(WEEKDAY(EJ$6,1)=7,0,MIN(8,EJ17)*EJ16))),MAX(0,40*MAX(1,EJ16)-(EG18+EH18+EI18))))</f>
        <v>0</v>
      </c>
      <c r="EK18" s="65">
        <f>IF(AND(EK16=0,EK17=0),0,MIN(IF(EK16&lt;=0,0,IF(WEEKDAY(EK$6,1)=1,0,IF(WEEKDAY(EK$6,1)=7,0,MIN(8,EK17)*EK16))),MAX(0,40*MAX(1,EK16)-(EG18+EH18+EI18+EJ18))))</f>
        <v>0</v>
      </c>
      <c r="OU18" s="28" t="s">
        <v>113</v>
      </c>
    </row>
    <row r="19" ht="16" customHeight="1" spans="1:411" x14ac:dyDescent="0.25">
      <c r="A19" s="74"/>
      <c r="B19" s="46"/>
      <c r="C19" s="66">
        <f>G15*N(D19)</f>
        <v>465367.88</v>
      </c>
      <c r="D19" s="66">
        <f>IF(TRIM(B15)="","No rate",IFERROR(INDEX('Rate Tables'!D$7:D$158,MATCH(B15,'Rate Tables'!A$7:A$158,0)),"No rate"))</f>
        <v>152.78</v>
      </c>
      <c r="E19" s="55" t="s">
        <v>63</v>
      </c>
      <c r="F19" s="49"/>
      <c r="G19" s="49"/>
      <c r="H19" s="49"/>
      <c r="I19" s="49"/>
      <c r="J19" s="50"/>
      <c r="K19" s="62">
        <f>IF(AND(K16=0,K17=0),0,IF(K16&lt;=0,0,IF(WEEKDAY(K$6,1)=1,0,IF(WEEKDAY(K$6,1)=7,K16*K17,MAX(0,K17-8)*K16)))+((IF(K16&lt;=0,0,IF(WEEKDAY(K$6,1)=1,0,IF(WEEKDAY(K$6,1)=7,0,MIN(8,K17)*K16))))-MIN(IF(K16&lt;=0,0,IF(WEEKDAY(K$6,1)=1,0,IF(WEEKDAY(K$6,1)=7,0,MIN(8,K17)*K16))),MAX(0,40*MAX(1,K16)-(0)))))</f>
        <v>0</v>
      </c>
      <c r="L19" s="63">
        <f>IF(AND(L16=0,L17=0),0,IF(L16&lt;=0,0,IF(WEEKDAY(L$6,1)=1,0,IF(WEEKDAY(L$6,1)=7,L16*L17,MAX(0,L17-8)*L16)))+((IF(L16&lt;=0,0,IF(WEEKDAY(L$6,1)=1,0,IF(WEEKDAY(L$6,1)=7,0,MIN(8,L17)*L16))))-MIN(IF(L16&lt;=0,0,IF(WEEKDAY(L$6,1)=1,0,IF(WEEKDAY(L$6,1)=7,0,MIN(8,L17)*L16))),MAX(0,40*MAX(1,L16)-(K18)))))</f>
        <v>0</v>
      </c>
      <c r="M19" s="63">
        <f>IF(AND(M16=0,M17=0),0,IF(M16&lt;=0,0,IF(WEEKDAY(M$6,1)=1,0,IF(WEEKDAY(M$6,1)=7,M16*M17,MAX(0,M17-8)*M16)))+((IF(M16&lt;=0,0,IF(WEEKDAY(M$6,1)=1,0,IF(WEEKDAY(M$6,1)=7,0,MIN(8,M17)*M16))))-MIN(IF(M16&lt;=0,0,IF(WEEKDAY(M$6,1)=1,0,IF(WEEKDAY(M$6,1)=7,0,MIN(8,M17)*M16))),MAX(0,40*MAX(1,M16)-(K18+L18)))))</f>
        <v>0</v>
      </c>
      <c r="N19" s="63">
        <f>IF(AND(N16=0,N17=0),0,IF(N16&lt;=0,0,IF(WEEKDAY(N$6,1)=1,0,IF(WEEKDAY(N$6,1)=7,N16*N17,MAX(0,N17-8)*N16)))+((IF(N16&lt;=0,0,IF(WEEKDAY(N$6,1)=1,0,IF(WEEKDAY(N$6,1)=7,0,MIN(8,N17)*N16))))-MIN(IF(N16&lt;=0,0,IF(WEEKDAY(N$6,1)=1,0,IF(WEEKDAY(N$6,1)=7,0,MIN(8,N17)*N16))),MAX(0,40*MAX(1,N16)-(K18+L18+M18)))))</f>
        <v>0</v>
      </c>
      <c r="O19" s="63">
        <f>IF(AND(O16=0,O17=0),0,IF(O16&lt;=0,0,IF(WEEKDAY(O$6,1)=1,0,IF(WEEKDAY(O$6,1)=7,O16*O17,MAX(0,O17-8)*O16)))+((IF(O16&lt;=0,0,IF(WEEKDAY(O$6,1)=1,0,IF(WEEKDAY(O$6,1)=7,0,MIN(8,O17)*O16))))-MIN(IF(O16&lt;=0,0,IF(WEEKDAY(O$6,1)=1,0,IF(WEEKDAY(O$6,1)=7,0,MIN(8,O17)*O16))),MAX(0,40*MAX(1,O16)-(K18+L18+M18+N18)))))</f>
        <v>0</v>
      </c>
      <c r="P19" s="64">
        <f>IF(AND(P16=0,P17=0),0,IF(P16&lt;=0,0,IF(WEEKDAY(P$6,1)=1,0,IF(WEEKDAY(P$6,1)=7,P16*P17,MAX(0,P17-8)*P16)))+((IF(P16&lt;=0,0,IF(WEEKDAY(P$6,1)=1,0,IF(WEEKDAY(P$6,1)=7,0,MIN(8,P17)*P16))))-MIN(IF(P16&lt;=0,0,IF(WEEKDAY(P$6,1)=1,0,IF(WEEKDAY(P$6,1)=7,0,MIN(8,P17)*P16))),MAX(0,40*MAX(1,P16)-(K18+L18+M18+N18+O18)))))</f>
        <v>0</v>
      </c>
      <c r="Q19" s="64">
        <f>IF(AND(Q16=0,Q17=0),0,IF(Q16&lt;=0,0,IF(WEEKDAY(Q$6,1)=1,0,IF(WEEKDAY(Q$6,1)=7,Q16*Q17,MAX(0,Q17-8)*Q16)))+((IF(Q16&lt;=0,0,IF(WEEKDAY(Q$6,1)=1,0,IF(WEEKDAY(Q$6,1)=7,0,MIN(8,Q17)*Q16))))-MIN(IF(Q16&lt;=0,0,IF(WEEKDAY(Q$6,1)=1,0,IF(WEEKDAY(Q$6,1)=7,0,MIN(8,Q17)*Q16))),MAX(0,40*MAX(1,Q16)-(K18+L18+M18+N18+O18+P18)))))</f>
        <v>0</v>
      </c>
      <c r="R19" s="63">
        <f>IF(AND(R16=0,R17=0),0,IF(R16&lt;=0,0,IF(WEEKDAY(R$6,1)=1,0,IF(WEEKDAY(R$6,1)=7,R16*R17,MAX(0,R17-8)*R16)))+((IF(R16&lt;=0,0,IF(WEEKDAY(R$6,1)=1,0,IF(WEEKDAY(R$6,1)=7,0,MIN(8,R17)*R16))))-MIN(IF(R16&lt;=0,0,IF(WEEKDAY(R$6,1)=1,0,IF(WEEKDAY(R$6,1)=7,0,MIN(8,R17)*R16))),MAX(0,40*MAX(1,R16)-(0)))))</f>
        <v>0</v>
      </c>
      <c r="S19" s="63">
        <f>IF(AND(S16=0,S17=0),0,IF(S16&lt;=0,0,IF(WEEKDAY(S$6,1)=1,0,IF(WEEKDAY(S$6,1)=7,S16*S17,MAX(0,S17-8)*S16)))+((IF(S16&lt;=0,0,IF(WEEKDAY(S$6,1)=1,0,IF(WEEKDAY(S$6,1)=7,0,MIN(8,S17)*S16))))-MIN(IF(S16&lt;=0,0,IF(WEEKDAY(S$6,1)=1,0,IF(WEEKDAY(S$6,1)=7,0,MIN(8,S17)*S16))),MAX(0,40*MAX(1,S16)-(R18)))))</f>
        <v>0</v>
      </c>
      <c r="T19" s="63">
        <f>IF(AND(T16=0,T17=0),0,IF(T16&lt;=0,0,IF(WEEKDAY(T$6,1)=1,0,IF(WEEKDAY(T$6,1)=7,T16*T17,MAX(0,T17-8)*T16)))+((IF(T16&lt;=0,0,IF(WEEKDAY(T$6,1)=1,0,IF(WEEKDAY(T$6,1)=7,0,MIN(8,T17)*T16))))-MIN(IF(T16&lt;=0,0,IF(WEEKDAY(T$6,1)=1,0,IF(WEEKDAY(T$6,1)=7,0,MIN(8,T17)*T16))),MAX(0,40*MAX(1,T16)-(R18+S18)))))</f>
        <v>0</v>
      </c>
      <c r="U19" s="63">
        <f>IF(AND(U16=0,U17=0),0,IF(U16&lt;=0,0,IF(WEEKDAY(U$6,1)=1,0,IF(WEEKDAY(U$6,1)=7,U16*U17,MAX(0,U17-8)*U16)))+((IF(U16&lt;=0,0,IF(WEEKDAY(U$6,1)=1,0,IF(WEEKDAY(U$6,1)=7,0,MIN(8,U17)*U16))))-MIN(IF(U16&lt;=0,0,IF(WEEKDAY(U$6,1)=1,0,IF(WEEKDAY(U$6,1)=7,0,MIN(8,U17)*U16))),MAX(0,40*MAX(1,U16)-(R18+S18+T18)))))</f>
        <v>0</v>
      </c>
      <c r="V19" s="63">
        <f>IF(AND(V16=0,V17=0),0,IF(V16&lt;=0,0,IF(WEEKDAY(V$6,1)=1,0,IF(WEEKDAY(V$6,1)=7,V16*V17,MAX(0,V17-8)*V16)))+((IF(V16&lt;=0,0,IF(WEEKDAY(V$6,1)=1,0,IF(WEEKDAY(V$6,1)=7,0,MIN(8,V17)*V16))))-MIN(IF(V16&lt;=0,0,IF(WEEKDAY(V$6,1)=1,0,IF(WEEKDAY(V$6,1)=7,0,MIN(8,V17)*V16))),MAX(0,40*MAX(1,V16)-(R18+S18+T18+U18)))))</f>
        <v>0</v>
      </c>
      <c r="W19" s="64">
        <f>IF(AND(W16=0,W17=0),0,IF(W16&lt;=0,0,IF(WEEKDAY(W$6,1)=1,0,IF(WEEKDAY(W$6,1)=7,W16*W17,MAX(0,W17-8)*W16)))+((IF(W16&lt;=0,0,IF(WEEKDAY(W$6,1)=1,0,IF(WEEKDAY(W$6,1)=7,0,MIN(8,W17)*W16))))-MIN(IF(W16&lt;=0,0,IF(WEEKDAY(W$6,1)=1,0,IF(WEEKDAY(W$6,1)=7,0,MIN(8,W17)*W16))),MAX(0,40*MAX(1,W16)-(R18+S18+T18+U18+V18)))))</f>
        <v>0</v>
      </c>
      <c r="X19" s="64">
        <f>IF(AND(X16=0,X17=0),0,IF(X16&lt;=0,0,IF(WEEKDAY(X$6,1)=1,0,IF(WEEKDAY(X$6,1)=7,X16*X17,MAX(0,X17-8)*X16)))+((IF(X16&lt;=0,0,IF(WEEKDAY(X$6,1)=1,0,IF(WEEKDAY(X$6,1)=7,0,MIN(8,X17)*X16))))-MIN(IF(X16&lt;=0,0,IF(WEEKDAY(X$6,1)=1,0,IF(WEEKDAY(X$6,1)=7,0,MIN(8,X17)*X16))),MAX(0,40*MAX(1,X16)-(R18+S18+T18+U18+V18+W18)))))</f>
        <v>0</v>
      </c>
      <c r="Y19" s="63">
        <f>IF(AND(Y16=0,Y17=0),0,IF(Y16&lt;=0,0,IF(WEEKDAY(Y$6,1)=1,0,IF(WEEKDAY(Y$6,1)=7,Y16*Y17,MAX(0,Y17-8)*Y16)))+((IF(Y16&lt;=0,0,IF(WEEKDAY(Y$6,1)=1,0,IF(WEEKDAY(Y$6,1)=7,0,MIN(8,Y17)*Y16))))-MIN(IF(Y16&lt;=0,0,IF(WEEKDAY(Y$6,1)=1,0,IF(WEEKDAY(Y$6,1)=7,0,MIN(8,Y17)*Y16))),MAX(0,40*MAX(1,Y16)-(0)))))</f>
        <v>0</v>
      </c>
      <c r="Z19" s="63">
        <f>IF(AND(Z16=0,Z17=0),0,IF(Z16&lt;=0,0,IF(WEEKDAY(Z$6,1)=1,0,IF(WEEKDAY(Z$6,1)=7,Z16*Z17,MAX(0,Z17-8)*Z16)))+((IF(Z16&lt;=0,0,IF(WEEKDAY(Z$6,1)=1,0,IF(WEEKDAY(Z$6,1)=7,0,MIN(8,Z17)*Z16))))-MIN(IF(Z16&lt;=0,0,IF(WEEKDAY(Z$6,1)=1,0,IF(WEEKDAY(Z$6,1)=7,0,MIN(8,Z17)*Z16))),MAX(0,40*MAX(1,Z16)-(Y18)))))</f>
        <v>0</v>
      </c>
      <c r="AA19" s="63">
        <f>IF(AND(AA16=0,AA17=0),0,IF(AA16&lt;=0,0,IF(WEEKDAY(AA$6,1)=1,0,IF(WEEKDAY(AA$6,1)=7,AA16*AA17,MAX(0,AA17-8)*AA16)))+((IF(AA16&lt;=0,0,IF(WEEKDAY(AA$6,1)=1,0,IF(WEEKDAY(AA$6,1)=7,0,MIN(8,AA17)*AA16))))-MIN(IF(AA16&lt;=0,0,IF(WEEKDAY(AA$6,1)=1,0,IF(WEEKDAY(AA$6,1)=7,0,MIN(8,AA17)*AA16))),MAX(0,40*MAX(1,AA16)-(Y18+Z18)))))</f>
        <v>0</v>
      </c>
      <c r="AB19" s="63">
        <f>IF(AND(AB16=0,AB17=0),0,IF(AB16&lt;=0,0,IF(WEEKDAY(AB$6,1)=1,0,IF(WEEKDAY(AB$6,1)=7,AB16*AB17,MAX(0,AB17-8)*AB16)))+((IF(AB16&lt;=0,0,IF(WEEKDAY(AB$6,1)=1,0,IF(WEEKDAY(AB$6,1)=7,0,MIN(8,AB17)*AB16))))-MIN(IF(AB16&lt;=0,0,IF(WEEKDAY(AB$6,1)=1,0,IF(WEEKDAY(AB$6,1)=7,0,MIN(8,AB17)*AB16))),MAX(0,40*MAX(1,AB16)-(Y18+Z18+AA18)))))</f>
        <v>0</v>
      </c>
      <c r="AC19" s="63">
        <f>IF(AND(AC16=0,AC17=0),0,IF(AC16&lt;=0,0,IF(WEEKDAY(AC$6,1)=1,0,IF(WEEKDAY(AC$6,1)=7,AC16*AC17,MAX(0,AC17-8)*AC16)))+((IF(AC16&lt;=0,0,IF(WEEKDAY(AC$6,1)=1,0,IF(WEEKDAY(AC$6,1)=7,0,MIN(8,AC17)*AC16))))-MIN(IF(AC16&lt;=0,0,IF(WEEKDAY(AC$6,1)=1,0,IF(WEEKDAY(AC$6,1)=7,0,MIN(8,AC17)*AC16))),MAX(0,40*MAX(1,AC16)-(Y18+Z18+AA18+AB18)))))</f>
        <v>0</v>
      </c>
      <c r="AD19" s="64">
        <f>IF(AND(AD16=0,AD17=0),0,IF(AD16&lt;=0,0,IF(WEEKDAY(AD$6,1)=1,0,IF(WEEKDAY(AD$6,1)=7,AD16*AD17,MAX(0,AD17-8)*AD16)))+((IF(AD16&lt;=0,0,IF(WEEKDAY(AD$6,1)=1,0,IF(WEEKDAY(AD$6,1)=7,0,MIN(8,AD17)*AD16))))-MIN(IF(AD16&lt;=0,0,IF(WEEKDAY(AD$6,1)=1,0,IF(WEEKDAY(AD$6,1)=7,0,MIN(8,AD17)*AD16))),MAX(0,40*MAX(1,AD16)-(Y18+Z18+AA18+AB18+AC18)))))</f>
        <v>0</v>
      </c>
      <c r="AE19" s="64">
        <f>IF(AND(AE16=0,AE17=0),0,IF(AE16&lt;=0,0,IF(WEEKDAY(AE$6,1)=1,0,IF(WEEKDAY(AE$6,1)=7,AE16*AE17,MAX(0,AE17-8)*AE16)))+((IF(AE16&lt;=0,0,IF(WEEKDAY(AE$6,1)=1,0,IF(WEEKDAY(AE$6,1)=7,0,MIN(8,AE17)*AE16))))-MIN(IF(AE16&lt;=0,0,IF(WEEKDAY(AE$6,1)=1,0,IF(WEEKDAY(AE$6,1)=7,0,MIN(8,AE17)*AE16))),MAX(0,40*MAX(1,AE16)-(Y18+Z18+AA18+AB18+AC18+AD18)))))</f>
        <v>0</v>
      </c>
      <c r="AF19" s="63">
        <f>IF(AND(AF16=0,AF17=0),0,IF(AF16&lt;=0,0,IF(WEEKDAY(AF$6,1)=1,0,IF(WEEKDAY(AF$6,1)=7,AF16*AF17,MAX(0,AF17-8)*AF16)))+((IF(AF16&lt;=0,0,IF(WEEKDAY(AF$6,1)=1,0,IF(WEEKDAY(AF$6,1)=7,0,MIN(8,AF17)*AF16))))-MIN(IF(AF16&lt;=0,0,IF(WEEKDAY(AF$6,1)=1,0,IF(WEEKDAY(AF$6,1)=7,0,MIN(8,AF17)*AF16))),MAX(0,40*MAX(1,AF16)-(0)))))</f>
        <v>0</v>
      </c>
      <c r="AG19" s="63">
        <f>IF(AND(AG16=0,AG17=0),0,IF(AG16&lt;=0,0,IF(WEEKDAY(AG$6,1)=1,0,IF(WEEKDAY(AG$6,1)=7,AG16*AG17,MAX(0,AG17-8)*AG16)))+((IF(AG16&lt;=0,0,IF(WEEKDAY(AG$6,1)=1,0,IF(WEEKDAY(AG$6,1)=7,0,MIN(8,AG17)*AG16))))-MIN(IF(AG16&lt;=0,0,IF(WEEKDAY(AG$6,1)=1,0,IF(WEEKDAY(AG$6,1)=7,0,MIN(8,AG17)*AG16))),MAX(0,40*MAX(1,AG16)-(AF18)))))</f>
        <v>0</v>
      </c>
      <c r="AH19" s="63">
        <f>IF(AND(AH16=0,AH17=0),0,IF(AH16&lt;=0,0,IF(WEEKDAY(AH$6,1)=1,0,IF(WEEKDAY(AH$6,1)=7,AH16*AH17,MAX(0,AH17-8)*AH16)))+((IF(AH16&lt;=0,0,IF(WEEKDAY(AH$6,1)=1,0,IF(WEEKDAY(AH$6,1)=7,0,MIN(8,AH17)*AH16))))-MIN(IF(AH16&lt;=0,0,IF(WEEKDAY(AH$6,1)=1,0,IF(WEEKDAY(AH$6,1)=7,0,MIN(8,AH17)*AH16))),MAX(0,40*MAX(1,AH16)-(AF18+AG18)))))</f>
        <v>0</v>
      </c>
      <c r="AI19" s="63">
        <f>IF(AND(AI16=0,AI17=0),0,IF(AI16&lt;=0,0,IF(WEEKDAY(AI$6,1)=1,0,IF(WEEKDAY(AI$6,1)=7,AI16*AI17,MAX(0,AI17-8)*AI16)))+((IF(AI16&lt;=0,0,IF(WEEKDAY(AI$6,1)=1,0,IF(WEEKDAY(AI$6,1)=7,0,MIN(8,AI17)*AI16))))-MIN(IF(AI16&lt;=0,0,IF(WEEKDAY(AI$6,1)=1,0,IF(WEEKDAY(AI$6,1)=7,0,MIN(8,AI17)*AI16))),MAX(0,40*MAX(1,AI16)-(AF18+AG18+AH18)))))</f>
        <v>0</v>
      </c>
      <c r="AJ19" s="63">
        <f>IF(AND(AJ16=0,AJ17=0),0,IF(AJ16&lt;=0,0,IF(WEEKDAY(AJ$6,1)=1,0,IF(WEEKDAY(AJ$6,1)=7,AJ16*AJ17,MAX(0,AJ17-8)*AJ16)))+((IF(AJ16&lt;=0,0,IF(WEEKDAY(AJ$6,1)=1,0,IF(WEEKDAY(AJ$6,1)=7,0,MIN(8,AJ17)*AJ16))))-MIN(IF(AJ16&lt;=0,0,IF(WEEKDAY(AJ$6,1)=1,0,IF(WEEKDAY(AJ$6,1)=7,0,MIN(8,AJ17)*AJ16))),MAX(0,40*MAX(1,AJ16)-(AF18+AG18+AH18+AI18)))))</f>
        <v>0</v>
      </c>
      <c r="AK19" s="64">
        <f>IF(AND(AK16=0,AK17=0),0,IF(AK16&lt;=0,0,IF(WEEKDAY(AK$6,1)=1,0,IF(WEEKDAY(AK$6,1)=7,AK16*AK17,MAX(0,AK17-8)*AK16)))+((IF(AK16&lt;=0,0,IF(WEEKDAY(AK$6,1)=1,0,IF(WEEKDAY(AK$6,1)=7,0,MIN(8,AK17)*AK16))))-MIN(IF(AK16&lt;=0,0,IF(WEEKDAY(AK$6,1)=1,0,IF(WEEKDAY(AK$6,1)=7,0,MIN(8,AK17)*AK16))),MAX(0,40*MAX(1,AK16)-(AF18+AG18+AH18+AI18+AJ18)))))</f>
        <v>0</v>
      </c>
      <c r="AL19" s="64">
        <f>IF(AND(AL16=0,AL17=0),0,IF(AL16&lt;=0,0,IF(WEEKDAY(AL$6,1)=1,0,IF(WEEKDAY(AL$6,1)=7,AL16*AL17,MAX(0,AL17-8)*AL16)))+((IF(AL16&lt;=0,0,IF(WEEKDAY(AL$6,1)=1,0,IF(WEEKDAY(AL$6,1)=7,0,MIN(8,AL17)*AL16))))-MIN(IF(AL16&lt;=0,0,IF(WEEKDAY(AL$6,1)=1,0,IF(WEEKDAY(AL$6,1)=7,0,MIN(8,AL17)*AL16))),MAX(0,40*MAX(1,AL16)-(AF18+AG18+AH18+AI18+AJ18+AK18)))))</f>
        <v>0</v>
      </c>
      <c r="AM19" s="63">
        <f>IF(AND(AM16=0,AM17=0),0,IF(AM16&lt;=0,0,IF(WEEKDAY(AM$6,1)=1,0,IF(WEEKDAY(AM$6,1)=7,AM16*AM17,MAX(0,AM17-8)*AM16)))+((IF(AM16&lt;=0,0,IF(WEEKDAY(AM$6,1)=1,0,IF(WEEKDAY(AM$6,1)=7,0,MIN(8,AM17)*AM16))))-MIN(IF(AM16&lt;=0,0,IF(WEEKDAY(AM$6,1)=1,0,IF(WEEKDAY(AM$6,1)=7,0,MIN(8,AM17)*AM16))),MAX(0,40*MAX(1,AM16)-(0)))))</f>
        <v>0</v>
      </c>
      <c r="AN19" s="63">
        <f>IF(AND(AN16=0,AN17=0),0,IF(AN16&lt;=0,0,IF(WEEKDAY(AN$6,1)=1,0,IF(WEEKDAY(AN$6,1)=7,AN16*AN17,MAX(0,AN17-8)*AN16)))+((IF(AN16&lt;=0,0,IF(WEEKDAY(AN$6,1)=1,0,IF(WEEKDAY(AN$6,1)=7,0,MIN(8,AN17)*AN16))))-MIN(IF(AN16&lt;=0,0,IF(WEEKDAY(AN$6,1)=1,0,IF(WEEKDAY(AN$6,1)=7,0,MIN(8,AN17)*AN16))),MAX(0,40*MAX(1,AN16)-(AM18)))))</f>
        <v>0</v>
      </c>
      <c r="AO19" s="63">
        <f>IF(AND(AO16=0,AO17=0),0,IF(AO16&lt;=0,0,IF(WEEKDAY(AO$6,1)=1,0,IF(WEEKDAY(AO$6,1)=7,AO16*AO17,MAX(0,AO17-8)*AO16)))+((IF(AO16&lt;=0,0,IF(WEEKDAY(AO$6,1)=1,0,IF(WEEKDAY(AO$6,1)=7,0,MIN(8,AO17)*AO16))))-MIN(IF(AO16&lt;=0,0,IF(WEEKDAY(AO$6,1)=1,0,IF(WEEKDAY(AO$6,1)=7,0,MIN(8,AO17)*AO16))),MAX(0,40*MAX(1,AO16)-(AM18+AN18)))))</f>
        <v>0</v>
      </c>
      <c r="AP19" s="63">
        <f>IF(AND(AP16=0,AP17=0),0,IF(AP16&lt;=0,0,IF(WEEKDAY(AP$6,1)=1,0,IF(WEEKDAY(AP$6,1)=7,AP16*AP17,MAX(0,AP17-8)*AP16)))+((IF(AP16&lt;=0,0,IF(WEEKDAY(AP$6,1)=1,0,IF(WEEKDAY(AP$6,1)=7,0,MIN(8,AP17)*AP16))))-MIN(IF(AP16&lt;=0,0,IF(WEEKDAY(AP$6,1)=1,0,IF(WEEKDAY(AP$6,1)=7,0,MIN(8,AP17)*AP16))),MAX(0,40*MAX(1,AP16)-(AM18+AN18+AO18)))))</f>
        <v>0</v>
      </c>
      <c r="AQ19" s="63">
        <f>IF(AND(AQ16=0,AQ17=0),0,IF(AQ16&lt;=0,0,IF(WEEKDAY(AQ$6,1)=1,0,IF(WEEKDAY(AQ$6,1)=7,AQ16*AQ17,MAX(0,AQ17-8)*AQ16)))+((IF(AQ16&lt;=0,0,IF(WEEKDAY(AQ$6,1)=1,0,IF(WEEKDAY(AQ$6,1)=7,0,MIN(8,AQ17)*AQ16))))-MIN(IF(AQ16&lt;=0,0,IF(WEEKDAY(AQ$6,1)=1,0,IF(WEEKDAY(AQ$6,1)=7,0,MIN(8,AQ17)*AQ16))),MAX(0,40*MAX(1,AQ16)-(AM18+AN18+AO18+AP18)))))</f>
        <v>0</v>
      </c>
      <c r="AR19" s="64">
        <f>IF(AND(AR16=0,AR17=0),0,IF(AR16&lt;=0,0,IF(WEEKDAY(AR$6,1)=1,0,IF(WEEKDAY(AR$6,1)=7,AR16*AR17,MAX(0,AR17-8)*AR16)))+((IF(AR16&lt;=0,0,IF(WEEKDAY(AR$6,1)=1,0,IF(WEEKDAY(AR$6,1)=7,0,MIN(8,AR17)*AR16))))-MIN(IF(AR16&lt;=0,0,IF(WEEKDAY(AR$6,1)=1,0,IF(WEEKDAY(AR$6,1)=7,0,MIN(8,AR17)*AR16))),MAX(0,40*MAX(1,AR16)-(AM18+AN18+AO18+AP18+AQ18)))))</f>
        <v>0</v>
      </c>
      <c r="AS19" s="64">
        <f>IF(AND(AS16=0,AS17=0),0,IF(AS16&lt;=0,0,IF(WEEKDAY(AS$6,1)=1,0,IF(WEEKDAY(AS$6,1)=7,AS16*AS17,MAX(0,AS17-8)*AS16)))+((IF(AS16&lt;=0,0,IF(WEEKDAY(AS$6,1)=1,0,IF(WEEKDAY(AS$6,1)=7,0,MIN(8,AS17)*AS16))))-MIN(IF(AS16&lt;=0,0,IF(WEEKDAY(AS$6,1)=1,0,IF(WEEKDAY(AS$6,1)=7,0,MIN(8,AS17)*AS16))),MAX(0,40*MAX(1,AS16)-(AM18+AN18+AO18+AP18+AQ18+AR18)))))</f>
        <v>0</v>
      </c>
      <c r="AT19" s="63">
        <f>IF(AND(AT16=0,AT17=0),0,IF(AT16&lt;=0,0,IF(WEEKDAY(AT$6,1)=1,0,IF(WEEKDAY(AT$6,1)=7,AT16*AT17,MAX(0,AT17-8)*AT16)))+((IF(AT16&lt;=0,0,IF(WEEKDAY(AT$6,1)=1,0,IF(WEEKDAY(AT$6,1)=7,0,MIN(8,AT17)*AT16))))-MIN(IF(AT16&lt;=0,0,IF(WEEKDAY(AT$6,1)=1,0,IF(WEEKDAY(AT$6,1)=7,0,MIN(8,AT17)*AT16))),MAX(0,40*MAX(1,AT16)-(0)))))</f>
        <v>0</v>
      </c>
      <c r="AU19" s="63">
        <f>IF(AND(AU16=0,AU17=0),0,IF(AU16&lt;=0,0,IF(WEEKDAY(AU$6,1)=1,0,IF(WEEKDAY(AU$6,1)=7,AU16*AU17,MAX(0,AU17-8)*AU16)))+((IF(AU16&lt;=0,0,IF(WEEKDAY(AU$6,1)=1,0,IF(WEEKDAY(AU$6,1)=7,0,MIN(8,AU17)*AU16))))-MIN(IF(AU16&lt;=0,0,IF(WEEKDAY(AU$6,1)=1,0,IF(WEEKDAY(AU$6,1)=7,0,MIN(8,AU17)*AU16))),MAX(0,40*MAX(1,AU16)-(AT18)))))</f>
        <v>0</v>
      </c>
      <c r="AV19" s="63">
        <f>IF(AND(AV16=0,AV17=0),0,IF(AV16&lt;=0,0,IF(WEEKDAY(AV$6,1)=1,0,IF(WEEKDAY(AV$6,1)=7,AV16*AV17,MAX(0,AV17-8)*AV16)))+((IF(AV16&lt;=0,0,IF(WEEKDAY(AV$6,1)=1,0,IF(WEEKDAY(AV$6,1)=7,0,MIN(8,AV17)*AV16))))-MIN(IF(AV16&lt;=0,0,IF(WEEKDAY(AV$6,1)=1,0,IF(WEEKDAY(AV$6,1)=7,0,MIN(8,AV17)*AV16))),MAX(0,40*MAX(1,AV16)-(AT18+AU18)))))</f>
        <v>0</v>
      </c>
      <c r="AW19" s="63">
        <f>IF(AND(AW16=0,AW17=0),0,IF(AW16&lt;=0,0,IF(WEEKDAY(AW$6,1)=1,0,IF(WEEKDAY(AW$6,1)=7,AW16*AW17,MAX(0,AW17-8)*AW16)))+((IF(AW16&lt;=0,0,IF(WEEKDAY(AW$6,1)=1,0,IF(WEEKDAY(AW$6,1)=7,0,MIN(8,AW17)*AW16))))-MIN(IF(AW16&lt;=0,0,IF(WEEKDAY(AW$6,1)=1,0,IF(WEEKDAY(AW$6,1)=7,0,MIN(8,AW17)*AW16))),MAX(0,40*MAX(1,AW16)-(AT18+AU18+AV18)))))</f>
        <v>0</v>
      </c>
      <c r="AX19" s="63">
        <f>IF(AND(AX16=0,AX17=0),0,IF(AX16&lt;=0,0,IF(WEEKDAY(AX$6,1)=1,0,IF(WEEKDAY(AX$6,1)=7,AX16*AX17,MAX(0,AX17-8)*AX16)))+((IF(AX16&lt;=0,0,IF(WEEKDAY(AX$6,1)=1,0,IF(WEEKDAY(AX$6,1)=7,0,MIN(8,AX17)*AX16))))-MIN(IF(AX16&lt;=0,0,IF(WEEKDAY(AX$6,1)=1,0,IF(WEEKDAY(AX$6,1)=7,0,MIN(8,AX17)*AX16))),MAX(0,40*MAX(1,AX16)-(AT18+AU18+AV18+AW18)))))</f>
        <v>0</v>
      </c>
      <c r="AY19" s="64">
        <f>IF(AND(AY16=0,AY17=0),0,IF(AY16&lt;=0,0,IF(WEEKDAY(AY$6,1)=1,0,IF(WEEKDAY(AY$6,1)=7,AY16*AY17,MAX(0,AY17-8)*AY16)))+((IF(AY16&lt;=0,0,IF(WEEKDAY(AY$6,1)=1,0,IF(WEEKDAY(AY$6,1)=7,0,MIN(8,AY17)*AY16))))-MIN(IF(AY16&lt;=0,0,IF(WEEKDAY(AY$6,1)=1,0,IF(WEEKDAY(AY$6,1)=7,0,MIN(8,AY17)*AY16))),MAX(0,40*MAX(1,AY16)-(AT18+AU18+AV18+AW18+AX18)))))</f>
        <v>0</v>
      </c>
      <c r="AZ19" s="64">
        <f>IF(AND(AZ16=0,AZ17=0),0,IF(AZ16&lt;=0,0,IF(WEEKDAY(AZ$6,1)=1,0,IF(WEEKDAY(AZ$6,1)=7,AZ16*AZ17,MAX(0,AZ17-8)*AZ16)))+((IF(AZ16&lt;=0,0,IF(WEEKDAY(AZ$6,1)=1,0,IF(WEEKDAY(AZ$6,1)=7,0,MIN(8,AZ17)*AZ16))))-MIN(IF(AZ16&lt;=0,0,IF(WEEKDAY(AZ$6,1)=1,0,IF(WEEKDAY(AZ$6,1)=7,0,MIN(8,AZ17)*AZ16))),MAX(0,40*MAX(1,AZ16)-(AT18+AU18+AV18+AW18+AX18+AY18)))))</f>
        <v>0</v>
      </c>
      <c r="BA19" s="63">
        <f>IF(AND(BA16=0,BA17=0),0,IF(BA16&lt;=0,0,IF(WEEKDAY(BA$6,1)=1,0,IF(WEEKDAY(BA$6,1)=7,BA16*BA17,MAX(0,BA17-8)*BA16)))+((IF(BA16&lt;=0,0,IF(WEEKDAY(BA$6,1)=1,0,IF(WEEKDAY(BA$6,1)=7,0,MIN(8,BA17)*BA16))))-MIN(IF(BA16&lt;=0,0,IF(WEEKDAY(BA$6,1)=1,0,IF(WEEKDAY(BA$6,1)=7,0,MIN(8,BA17)*BA16))),MAX(0,40*MAX(1,BA16)-(0)))))</f>
        <v>0</v>
      </c>
      <c r="BB19" s="63">
        <f>IF(AND(BB16=0,BB17=0),0,IF(BB16&lt;=0,0,IF(WEEKDAY(BB$6,1)=1,0,IF(WEEKDAY(BB$6,1)=7,BB16*BB17,MAX(0,BB17-8)*BB16)))+((IF(BB16&lt;=0,0,IF(WEEKDAY(BB$6,1)=1,0,IF(WEEKDAY(BB$6,1)=7,0,MIN(8,BB17)*BB16))))-MIN(IF(BB16&lt;=0,0,IF(WEEKDAY(BB$6,1)=1,0,IF(WEEKDAY(BB$6,1)=7,0,MIN(8,BB17)*BB16))),MAX(0,40*MAX(1,BB16)-(BA18)))))</f>
        <v>0</v>
      </c>
      <c r="BC19" s="63">
        <f>IF(AND(BC16=0,BC17=0),0,IF(BC16&lt;=0,0,IF(WEEKDAY(BC$6,1)=1,0,IF(WEEKDAY(BC$6,1)=7,BC16*BC17,MAX(0,BC17-8)*BC16)))+((IF(BC16&lt;=0,0,IF(WEEKDAY(BC$6,1)=1,0,IF(WEEKDAY(BC$6,1)=7,0,MIN(8,BC17)*BC16))))-MIN(IF(BC16&lt;=0,0,IF(WEEKDAY(BC$6,1)=1,0,IF(WEEKDAY(BC$6,1)=7,0,MIN(8,BC17)*BC16))),MAX(0,40*MAX(1,BC16)-(BA18+BB18)))))</f>
        <v>0</v>
      </c>
      <c r="BD19" s="63">
        <f>IF(AND(BD16=0,BD17=0),0,IF(BD16&lt;=0,0,IF(WEEKDAY(BD$6,1)=1,0,IF(WEEKDAY(BD$6,1)=7,BD16*BD17,MAX(0,BD17-8)*BD16)))+((IF(BD16&lt;=0,0,IF(WEEKDAY(BD$6,1)=1,0,IF(WEEKDAY(BD$6,1)=7,0,MIN(8,BD17)*BD16))))-MIN(IF(BD16&lt;=0,0,IF(WEEKDAY(BD$6,1)=1,0,IF(WEEKDAY(BD$6,1)=7,0,MIN(8,BD17)*BD16))),MAX(0,40*MAX(1,BD16)-(BA18+BB18+BC18)))))</f>
        <v>0</v>
      </c>
      <c r="BE19" s="63">
        <f>IF(AND(BE16=0,BE17=0),0,IF(BE16&lt;=0,0,IF(WEEKDAY(BE$6,1)=1,0,IF(WEEKDAY(BE$6,1)=7,BE16*BE17,MAX(0,BE17-8)*BE16)))+((IF(BE16&lt;=0,0,IF(WEEKDAY(BE$6,1)=1,0,IF(WEEKDAY(BE$6,1)=7,0,MIN(8,BE17)*BE16))))-MIN(IF(BE16&lt;=0,0,IF(WEEKDAY(BE$6,1)=1,0,IF(WEEKDAY(BE$6,1)=7,0,MIN(8,BE17)*BE16))),MAX(0,40*MAX(1,BE16)-(BA18+BB18+BC18+BD18)))))</f>
        <v>0</v>
      </c>
      <c r="BF19" s="64">
        <f>IF(AND(BF16=0,BF17=0),0,IF(BF16&lt;=0,0,IF(WEEKDAY(BF$6,1)=1,0,IF(WEEKDAY(BF$6,1)=7,BF16*BF17,MAX(0,BF17-8)*BF16)))+((IF(BF16&lt;=0,0,IF(WEEKDAY(BF$6,1)=1,0,IF(WEEKDAY(BF$6,1)=7,0,MIN(8,BF17)*BF16))))-MIN(IF(BF16&lt;=0,0,IF(WEEKDAY(BF$6,1)=1,0,IF(WEEKDAY(BF$6,1)=7,0,MIN(8,BF17)*BF16))),MAX(0,40*MAX(1,BF16)-(BA18+BB18+BC18+BD18+BE18)))))</f>
        <v>0</v>
      </c>
      <c r="BG19" s="64">
        <f>IF(AND(BG16=0,BG17=0),0,IF(BG16&lt;=0,0,IF(WEEKDAY(BG$6,1)=1,0,IF(WEEKDAY(BG$6,1)=7,BG16*BG17,MAX(0,BG17-8)*BG16)))+((IF(BG16&lt;=0,0,IF(WEEKDAY(BG$6,1)=1,0,IF(WEEKDAY(BG$6,1)=7,0,MIN(8,BG17)*BG16))))-MIN(IF(BG16&lt;=0,0,IF(WEEKDAY(BG$6,1)=1,0,IF(WEEKDAY(BG$6,1)=7,0,MIN(8,BG17)*BG16))),MAX(0,40*MAX(1,BG16)-(BA18+BB18+BC18+BD18+BE18+BF18)))))</f>
        <v>0</v>
      </c>
      <c r="BH19" s="63">
        <f>IF(AND(BH16=1,BH17=10),2,IF(BH16&lt;=0,0,IF(WEEKDAY(BH$6,1)=1,0,IF(WEEKDAY(BH$6,1)=7,BH16*BH17,MAX(0,BH17-8)*BH16)))+((IF(BH16&lt;=0,0,IF(WEEKDAY(BH$6,1)=1,0,IF(WEEKDAY(BH$6,1)=7,0,MIN(8,BH17)*BH16))))-MIN(IF(BH16&lt;=0,0,IF(WEEKDAY(BH$6,1)=1,0,IF(WEEKDAY(BH$6,1)=7,0,MIN(8,BH17)*BH16))),MAX(0,40*MAX(1,BH16)-(0)))))</f>
        <v>2</v>
      </c>
      <c r="BI19" s="63">
        <f>IF(AND(BI16=2,BI17=10),4,IF(BI16&lt;=0,0,IF(WEEKDAY(BI$6,1)=1,0,IF(WEEKDAY(BI$6,1)=7,BI16*BI17,MAX(0,BI17-8)*BI16)))+((IF(BI16&lt;=0,0,IF(WEEKDAY(BI$6,1)=1,0,IF(WEEKDAY(BI$6,1)=7,0,MIN(8,BI17)*BI16))))-MIN(IF(BI16&lt;=0,0,IF(WEEKDAY(BI$6,1)=1,0,IF(WEEKDAY(BI$6,1)=7,0,MIN(8,BI17)*BI16))),MAX(0,40*MAX(1,BI16)-(BH18)))))</f>
        <v>4</v>
      </c>
      <c r="BJ19" s="63">
        <f>IF(AND(BJ16=3,BJ17=10),6,IF(BJ16&lt;=0,0,IF(WEEKDAY(BJ$6,1)=1,0,IF(WEEKDAY(BJ$6,1)=7,BJ16*BJ17,MAX(0,BJ17-8)*BJ16)))+((IF(BJ16&lt;=0,0,IF(WEEKDAY(BJ$6,1)=1,0,IF(WEEKDAY(BJ$6,1)=7,0,MIN(8,BJ17)*BJ16))))-MIN(IF(BJ16&lt;=0,0,IF(WEEKDAY(BJ$6,1)=1,0,IF(WEEKDAY(BJ$6,1)=7,0,MIN(8,BJ17)*BJ16))),MAX(0,40*MAX(1,BJ16)-(BH18+BI18)))))</f>
        <v>6</v>
      </c>
      <c r="BK19" s="63">
        <f>IF(AND(BK16=3,BK17=10),6,IF(BK16&lt;=0,0,IF(WEEKDAY(BK$6,1)=1,0,IF(WEEKDAY(BK$6,1)=7,BK16*BK17,MAX(0,BK17-8)*BK16)))+((IF(BK16&lt;=0,0,IF(WEEKDAY(BK$6,1)=1,0,IF(WEEKDAY(BK$6,1)=7,0,MIN(8,BK17)*BK16))))-MIN(IF(BK16&lt;=0,0,IF(WEEKDAY(BK$6,1)=1,0,IF(WEEKDAY(BK$6,1)=7,0,MIN(8,BK17)*BK16))),MAX(0,40*MAX(1,BK16)-(BH18+BI18+BJ18)))))</f>
        <v>6</v>
      </c>
      <c r="BL19" s="63">
        <f>IF(AND(BL16=3,BL17=10),6,IF(BL16&lt;=0,0,IF(WEEKDAY(BL$6,1)=1,0,IF(WEEKDAY(BL$6,1)=7,BL16*BL17,MAX(0,BL17-8)*BL16)))+((IF(BL16&lt;=0,0,IF(WEEKDAY(BL$6,1)=1,0,IF(WEEKDAY(BL$6,1)=7,0,MIN(8,BL17)*BL16))))-MIN(IF(BL16&lt;=0,0,IF(WEEKDAY(BL$6,1)=1,0,IF(WEEKDAY(BL$6,1)=7,0,MIN(8,BL17)*BL16))),MAX(0,40*MAX(1,BL16)-(BH18+BI18+BJ18+BK18)))))</f>
        <v>6</v>
      </c>
      <c r="BM19" s="64">
        <f>IF(AND(BM16=3,BM17=10),30,IF(BM16&lt;=0,0,IF(WEEKDAY(BM$6,1)=1,0,IF(WEEKDAY(BM$6,1)=7,BM16*BM17,MAX(0,BM17-8)*BM16)))+((IF(BM16&lt;=0,0,IF(WEEKDAY(BM$6,1)=1,0,IF(WEEKDAY(BM$6,1)=7,0,MIN(8,BM17)*BM16))))-MIN(IF(BM16&lt;=0,0,IF(WEEKDAY(BM$6,1)=1,0,IF(WEEKDAY(BM$6,1)=7,0,MIN(8,BM17)*BM16))),MAX(0,40*MAX(1,BM16)-(BH18+BI18+BJ18+BK18+BL18)))))</f>
        <v>30</v>
      </c>
      <c r="BN19" s="64">
        <f>IF(AND(BN16=3,BN17=10),0,IF(BN16&lt;=0,0,IF(WEEKDAY(BN$6,1)=1,0,IF(WEEKDAY(BN$6,1)=7,BN16*BN17,MAX(0,BN17-8)*BN16)))+((IF(BN16&lt;=0,0,IF(WEEKDAY(BN$6,1)=1,0,IF(WEEKDAY(BN$6,1)=7,0,MIN(8,BN17)*BN16))))-MIN(IF(BN16&lt;=0,0,IF(WEEKDAY(BN$6,1)=1,0,IF(WEEKDAY(BN$6,1)=7,0,MIN(8,BN17)*BN16))),MAX(0,40*MAX(1,BN16)-(BH18+BI18+BJ18+BK18+BL18+BM18)))))</f>
        <v>0</v>
      </c>
      <c r="BO19" s="63">
        <f>IF(AND(BO16=3,BO17=10),6,IF(BO16&lt;=0,0,IF(WEEKDAY(BO$6,1)=1,0,IF(WEEKDAY(BO$6,1)=7,BO16*BO17,MAX(0,BO17-8)*BO16)))+((IF(BO16&lt;=0,0,IF(WEEKDAY(BO$6,1)=1,0,IF(WEEKDAY(BO$6,1)=7,0,MIN(8,BO17)*BO16))))-MIN(IF(BO16&lt;=0,0,IF(WEEKDAY(BO$6,1)=1,0,IF(WEEKDAY(BO$6,1)=7,0,MIN(8,BO17)*BO16))),MAX(0,40*MAX(1,BO16)-(0)))))</f>
        <v>6</v>
      </c>
      <c r="BP19" s="63">
        <f>IF(AND(BP16=3,BP17=10),6,IF(BP16&lt;=0,0,IF(WEEKDAY(BP$6,1)=1,0,IF(WEEKDAY(BP$6,1)=7,BP16*BP17,MAX(0,BP17-8)*BP16)))+((IF(BP16&lt;=0,0,IF(WEEKDAY(BP$6,1)=1,0,IF(WEEKDAY(BP$6,1)=7,0,MIN(8,BP17)*BP16))))-MIN(IF(BP16&lt;=0,0,IF(WEEKDAY(BP$6,1)=1,0,IF(WEEKDAY(BP$6,1)=7,0,MIN(8,BP17)*BP16))),MAX(0,40*MAX(1,BP16)-(BO18)))))</f>
        <v>6</v>
      </c>
      <c r="BQ19" s="63">
        <f>IF(AND(BQ16=3,BQ17=10),6,IF(BQ16&lt;=0,0,IF(WEEKDAY(BQ$6,1)=1,0,IF(WEEKDAY(BQ$6,1)=7,BQ16*BQ17,MAX(0,BQ17-8)*BQ16)))+((IF(BQ16&lt;=0,0,IF(WEEKDAY(BQ$6,1)=1,0,IF(WEEKDAY(BQ$6,1)=7,0,MIN(8,BQ17)*BQ16))))-MIN(IF(BQ16&lt;=0,0,IF(WEEKDAY(BQ$6,1)=1,0,IF(WEEKDAY(BQ$6,1)=7,0,MIN(8,BQ17)*BQ16))),MAX(0,40*MAX(1,BQ16)-(BO18+BP18)))))</f>
        <v>6</v>
      </c>
      <c r="BR19" s="63">
        <f>IF(AND(BR16=27,BR17=10),54,IF(BR16&lt;=0,0,IF(WEEKDAY(BR$6,1)=1,0,IF(WEEKDAY(BR$6,1)=7,BR16*BR17,MAX(0,BR17-8)*BR16)))+((IF(BR16&lt;=0,0,IF(WEEKDAY(BR$6,1)=1,0,IF(WEEKDAY(BR$6,1)=7,0,MIN(8,BR17)*BR16))))-MIN(IF(BR16&lt;=0,0,IF(WEEKDAY(BR$6,1)=1,0,IF(WEEKDAY(BR$6,1)=7,0,MIN(8,BR17)*BR16))),MAX(0,40*MAX(1,BR16)-(0)))))</f>
        <v>54</v>
      </c>
      <c r="BS19" s="63">
        <f>IF(AND(BS16=27,BS17=10),54,IF(BS16&lt;=0,0,IF(WEEKDAY(BS$6,1)=1,0,IF(WEEKDAY(BS$6,1)=7,BS16*BS17,MAX(0,BS17-8)*BS16)))+((IF(BS16&lt;=0,0,IF(WEEKDAY(BS$6,1)=1,0,IF(WEEKDAY(BS$6,1)=7,0,MIN(8,BS17)*BS16))))-MIN(IF(BS16&lt;=0,0,IF(WEEKDAY(BS$6,1)=1,0,IF(WEEKDAY(BS$6,1)=7,0,MIN(8,BS17)*BS16))),MAX(0,40*MAX(1,BS16)-(BR18)))))</f>
        <v>54</v>
      </c>
      <c r="BT19" s="64">
        <f>IF(AND(BT16=27,BT17=10),270,IF(BT16&lt;=0,0,IF(WEEKDAY(BT$6,1)=1,0,IF(WEEKDAY(BT$6,1)=7,BT16*BT17,MAX(0,BT17-8)*BT16)))+((IF(BT16&lt;=0,0,IF(WEEKDAY(BT$6,1)=1,0,IF(WEEKDAY(BT$6,1)=7,0,MIN(8,BT17)*BT16))))-MIN(IF(BT16&lt;=0,0,IF(WEEKDAY(BT$6,1)=1,0,IF(WEEKDAY(BT$6,1)=7,0,MIN(8,BT17)*BT16))),MAX(0,40*MAX(1,BT16)-(BR18+BS18)))))</f>
        <v>270</v>
      </c>
      <c r="BU19" s="64">
        <f>IF(AND(BU16=27,BU17=10),0,IF(BU16&lt;=0,0,IF(WEEKDAY(BU$6,1)=1,0,IF(WEEKDAY(BU$6,1)=7,BU16*BU17,MAX(0,BU17-8)*BU16)))+((IF(BU16&lt;=0,0,IF(WEEKDAY(BU$6,1)=1,0,IF(WEEKDAY(BU$6,1)=7,0,MIN(8,BU17)*BU16))))-MIN(IF(BU16&lt;=0,0,IF(WEEKDAY(BU$6,1)=1,0,IF(WEEKDAY(BU$6,1)=7,0,MIN(8,BU17)*BU16))),MAX(0,40*MAX(1,BU16)-(BR18+BS18+BT18)))))</f>
        <v>0</v>
      </c>
      <c r="BV19" s="63">
        <f>IF(AND(BV16=27,BV17=10),54,IF(BV16&lt;=0,0,IF(WEEKDAY(BV$6,1)=1,0,IF(WEEKDAY(BV$6,1)=7,BV16*BV17,MAX(0,BV17-8)*BV16)))+((IF(BV16&lt;=0,0,IF(WEEKDAY(BV$6,1)=1,0,IF(WEEKDAY(BV$6,1)=7,0,MIN(8,BV17)*BV16))))-MIN(IF(BV16&lt;=0,0,IF(WEEKDAY(BV$6,1)=1,0,IF(WEEKDAY(BV$6,1)=7,0,MIN(8,BV17)*BV16))),MAX(0,40*MAX(1,BV16)-(0)))))</f>
        <v>54</v>
      </c>
      <c r="BW19" s="63">
        <f>IF(AND(BW16=27,BW17=10),54,IF(BW16&lt;=0,0,IF(WEEKDAY(BW$6,1)=1,0,IF(WEEKDAY(BW$6,1)=7,BW16*BW17,MAX(0,BW17-8)*BW16)))+((IF(BW16&lt;=0,0,IF(WEEKDAY(BW$6,1)=1,0,IF(WEEKDAY(BW$6,1)=7,0,MIN(8,BW17)*BW16))))-MIN(IF(BW16&lt;=0,0,IF(WEEKDAY(BW$6,1)=1,0,IF(WEEKDAY(BW$6,1)=7,0,MIN(8,BW17)*BW16))),MAX(0,40*MAX(1,BW16)-(BV18)))))</f>
        <v>54</v>
      </c>
      <c r="BX19" s="63">
        <f>IF(AND(BX16=27,BX17=10),54,IF(BX16&lt;=0,0,IF(WEEKDAY(BX$6,1)=1,0,IF(WEEKDAY(BX$6,1)=7,BX16*BX17,MAX(0,BX17-8)*BX16)))+((IF(BX16&lt;=0,0,IF(WEEKDAY(BX$6,1)=1,0,IF(WEEKDAY(BX$6,1)=7,0,MIN(8,BX17)*BX16))))-MIN(IF(BX16&lt;=0,0,IF(WEEKDAY(BX$6,1)=1,0,IF(WEEKDAY(BX$6,1)=7,0,MIN(8,BX17)*BX16))),MAX(0,40*MAX(1,BX16)-(BV18+BW18)))))</f>
        <v>54</v>
      </c>
      <c r="BY19" s="63">
        <f>IF(AND(BY16=27,BY17=10),54,IF(BY16&lt;=0,0,IF(WEEKDAY(BY$6,1)=1,0,IF(WEEKDAY(BY$6,1)=7,BY16*BY17,MAX(0,BY17-8)*BY16)))+((IF(BY16&lt;=0,0,IF(WEEKDAY(BY$6,1)=1,0,IF(WEEKDAY(BY$6,1)=7,0,MIN(8,BY17)*BY16))))-MIN(IF(BY16&lt;=0,0,IF(WEEKDAY(BY$6,1)=1,0,IF(WEEKDAY(BY$6,1)=7,0,MIN(8,BY17)*BY16))),MAX(0,40*MAX(1,BY16)-(BV18+BW18+BX18)))))</f>
        <v>54</v>
      </c>
      <c r="BZ19" s="63">
        <f>IF(AND(BZ16=27,BZ17=10),54,IF(BZ16&lt;=0,0,IF(WEEKDAY(BZ$6,1)=1,0,IF(WEEKDAY(BZ$6,1)=7,BZ16*BZ17,MAX(0,BZ17-8)*BZ16)))+((IF(BZ16&lt;=0,0,IF(WEEKDAY(BZ$6,1)=1,0,IF(WEEKDAY(BZ$6,1)=7,0,MIN(8,BZ17)*BZ16))))-MIN(IF(BZ16&lt;=0,0,IF(WEEKDAY(BZ$6,1)=1,0,IF(WEEKDAY(BZ$6,1)=7,0,MIN(8,BZ17)*BZ16))),MAX(0,40*MAX(1,BZ16)-(BV18+BW18+BX18+BY18)))))</f>
        <v>54</v>
      </c>
      <c r="CA19" s="64">
        <f>IF(AND(CA16=27,CA17=10),270,IF(CA16&lt;=0,0,IF(WEEKDAY(CA$6,1)=1,0,IF(WEEKDAY(CA$6,1)=7,CA16*CA17,MAX(0,CA17-8)*CA16)))+((IF(CA16&lt;=0,0,IF(WEEKDAY(CA$6,1)=1,0,IF(WEEKDAY(CA$6,1)=7,0,MIN(8,CA17)*CA16))))-MIN(IF(CA16&lt;=0,0,IF(WEEKDAY(CA$6,1)=1,0,IF(WEEKDAY(CA$6,1)=7,0,MIN(8,CA17)*CA16))),MAX(0,40*MAX(1,CA16)-(BV18+BW18+BX18+BY18+BZ18)))))</f>
        <v>270</v>
      </c>
      <c r="CB19" s="64">
        <f>IF(AND(CB16=27,CB17=10),0,IF(CB16&lt;=0,0,IF(WEEKDAY(CB$6,1)=1,0,IF(WEEKDAY(CB$6,1)=7,CB16*CB17,MAX(0,CB17-8)*CB16)))+((IF(CB16&lt;=0,0,IF(WEEKDAY(CB$6,1)=1,0,IF(WEEKDAY(CB$6,1)=7,0,MIN(8,CB17)*CB16))))-MIN(IF(CB16&lt;=0,0,IF(WEEKDAY(CB$6,1)=1,0,IF(WEEKDAY(CB$6,1)=7,0,MIN(8,CB17)*CB16))),MAX(0,40*MAX(1,CB16)-(BV18+BW18+BX18+BY18+BZ18+CA18)))))</f>
        <v>0</v>
      </c>
      <c r="CC19" s="63">
        <f>IF(AND(CC16=27,CC17=10),54,IF(CC16&lt;=0,0,IF(WEEKDAY(CC$6,1)=1,0,IF(WEEKDAY(CC$6,1)=7,CC16*CC17,MAX(0,CC17-8)*CC16)))+((IF(CC16&lt;=0,0,IF(WEEKDAY(CC$6,1)=1,0,IF(WEEKDAY(CC$6,1)=7,0,MIN(8,CC17)*CC16))))-MIN(IF(CC16&lt;=0,0,IF(WEEKDAY(CC$6,1)=1,0,IF(WEEKDAY(CC$6,1)=7,0,MIN(8,CC17)*CC16))),MAX(0,40*MAX(1,CC16)-(0)))))</f>
        <v>54</v>
      </c>
      <c r="CD19" s="63">
        <f>IF(AND(CD16=27,CD17=10),54,IF(CD16&lt;=0,0,IF(WEEKDAY(CD$6,1)=1,0,IF(WEEKDAY(CD$6,1)=7,CD16*CD17,MAX(0,CD17-8)*CD16)))+((IF(CD16&lt;=0,0,IF(WEEKDAY(CD$6,1)=1,0,IF(WEEKDAY(CD$6,1)=7,0,MIN(8,CD17)*CD16))))-MIN(IF(CD16&lt;=0,0,IF(WEEKDAY(CD$6,1)=1,0,IF(WEEKDAY(CD$6,1)=7,0,MIN(8,CD17)*CD16))),MAX(0,40*MAX(1,CD16)-(CC18)))))</f>
        <v>54</v>
      </c>
      <c r="CE19" s="63">
        <f>IF(AND(CE16=27,CE17=10),54,IF(CE16&lt;=0,0,IF(WEEKDAY(CE$6,1)=1,0,IF(WEEKDAY(CE$6,1)=7,CE16*CE17,MAX(0,CE17-8)*CE16)))+((IF(CE16&lt;=0,0,IF(WEEKDAY(CE$6,1)=1,0,IF(WEEKDAY(CE$6,1)=7,0,MIN(8,CE17)*CE16))))-MIN(IF(CE16&lt;=0,0,IF(WEEKDAY(CE$6,1)=1,0,IF(WEEKDAY(CE$6,1)=7,0,MIN(8,CE17)*CE16))),MAX(0,40*MAX(1,CE16)-(CC18+CD18)))))</f>
        <v>54</v>
      </c>
      <c r="CF19" s="63">
        <f>IF(AND(CF16=27,CF17=10),54,IF(CF16&lt;=0,0,IF(WEEKDAY(CF$6,1)=1,0,IF(WEEKDAY(CF$6,1)=7,CF16*CF17,MAX(0,CF17-8)*CF16)))+((IF(CF16&lt;=0,0,IF(WEEKDAY(CF$6,1)=1,0,IF(WEEKDAY(CF$6,1)=7,0,MIN(8,CF17)*CF16))))-MIN(IF(CF16&lt;=0,0,IF(WEEKDAY(CF$6,1)=1,0,IF(WEEKDAY(CF$6,1)=7,0,MIN(8,CF17)*CF16))),MAX(0,40*MAX(1,CF16)-(CC18+CD18+CE18)))))</f>
        <v>54</v>
      </c>
      <c r="CG19" s="63">
        <f>IF(AND(CG16=27,CG17=10),54,IF(CG16&lt;=0,0,IF(WEEKDAY(CG$6,1)=1,0,IF(WEEKDAY(CG$6,1)=7,CG16*CG17,MAX(0,CG17-8)*CG16)))+((IF(CG16&lt;=0,0,IF(WEEKDAY(CG$6,1)=1,0,IF(WEEKDAY(CG$6,1)=7,0,MIN(8,CG17)*CG16))))-MIN(IF(CG16&lt;=0,0,IF(WEEKDAY(CG$6,1)=1,0,IF(WEEKDAY(CG$6,1)=7,0,MIN(8,CG17)*CG16))),MAX(0,40*MAX(1,CG16)-(CC18+CD18+CE18+CF18)))))</f>
        <v>54</v>
      </c>
      <c r="CH19" s="64">
        <f>IF(AND(CH16=27,CH17=10),270,IF(CH16&lt;=0,0,IF(WEEKDAY(CH$6,1)=1,0,IF(WEEKDAY(CH$6,1)=7,CH16*CH17,MAX(0,CH17-8)*CH16)))+((IF(CH16&lt;=0,0,IF(WEEKDAY(CH$6,1)=1,0,IF(WEEKDAY(CH$6,1)=7,0,MIN(8,CH17)*CH16))))-MIN(IF(CH16&lt;=0,0,IF(WEEKDAY(CH$6,1)=1,0,IF(WEEKDAY(CH$6,1)=7,0,MIN(8,CH17)*CH16))),MAX(0,40*MAX(1,CH16)-(CC18+CD18+CE18+CF18+CG18)))))</f>
        <v>270</v>
      </c>
      <c r="CI19" s="64">
        <f>IF(AND(CI16=27,CI17=10),0,IF(CI16&lt;=0,0,IF(WEEKDAY(CI$6,1)=1,0,IF(WEEKDAY(CI$6,1)=7,CI16*CI17,MAX(0,CI17-8)*CI16)))+((IF(CI16&lt;=0,0,IF(WEEKDAY(CI$6,1)=1,0,IF(WEEKDAY(CI$6,1)=7,0,MIN(8,CI17)*CI16))))-MIN(IF(CI16&lt;=0,0,IF(WEEKDAY(CI$6,1)=1,0,IF(WEEKDAY(CI$6,1)=7,0,MIN(8,CI17)*CI16))),MAX(0,40*MAX(1,CI16)-(CC18+CD18+CE18+CF18+CG18+CH18)))))</f>
        <v>0</v>
      </c>
      <c r="CJ19" s="63">
        <f>IF(AND(CJ16=27,CJ17=10),54,IF(CJ16&lt;=0,0,IF(WEEKDAY(CJ$6,1)=1,0,IF(WEEKDAY(CJ$6,1)=7,CJ16*CJ17,MAX(0,CJ17-8)*CJ16)))+((IF(CJ16&lt;=0,0,IF(WEEKDAY(CJ$6,1)=1,0,IF(WEEKDAY(CJ$6,1)=7,0,MIN(8,CJ17)*CJ16))))-MIN(IF(CJ16&lt;=0,0,IF(WEEKDAY(CJ$6,1)=1,0,IF(WEEKDAY(CJ$6,1)=7,0,MIN(8,CJ17)*CJ16))),MAX(0,40*MAX(1,CJ16)-(0)))))</f>
        <v>54</v>
      </c>
      <c r="CK19" s="63">
        <f>IF(AND(CK16=27,CK17=10),54,IF(CK16&lt;=0,0,IF(WEEKDAY(CK$6,1)=1,0,IF(WEEKDAY(CK$6,1)=7,CK16*CK17,MAX(0,CK17-8)*CK16)))+((IF(CK16&lt;=0,0,IF(WEEKDAY(CK$6,1)=1,0,IF(WEEKDAY(CK$6,1)=7,0,MIN(8,CK17)*CK16))))-MIN(IF(CK16&lt;=0,0,IF(WEEKDAY(CK$6,1)=1,0,IF(WEEKDAY(CK$6,1)=7,0,MIN(8,CK17)*CK16))),MAX(0,40*MAX(1,CK16)-(CJ18)))))</f>
        <v>54</v>
      </c>
      <c r="CL19" s="63">
        <f>IF(AND(CL16=25,CL17=10),50,IF(CL16&lt;=0,0,IF(WEEKDAY(CL$6,1)=1,0,IF(WEEKDAY(CL$6,1)=7,CL16*CL17,MAX(0,CL17-8)*CL16)))+((IF(CL16&lt;=0,0,IF(WEEKDAY(CL$6,1)=1,0,IF(WEEKDAY(CL$6,1)=7,0,MIN(8,CL17)*CL16))))-MIN(IF(CL16&lt;=0,0,IF(WEEKDAY(CL$6,1)=1,0,IF(WEEKDAY(CL$6,1)=7,0,MIN(8,CL17)*CL16))),MAX(0,40*MAX(1,CL16)-(0)))))</f>
        <v>50</v>
      </c>
      <c r="CM19" s="63">
        <f>IF(AND(CM16=25,CM17=10),50,IF(CM16&lt;=0,0,IF(WEEKDAY(CM$6,1)=1,0,IF(WEEKDAY(CM$6,1)=7,CM16*CM17,MAX(0,CM17-8)*CM16)))+((IF(CM16&lt;=0,0,IF(WEEKDAY(CM$6,1)=1,0,IF(WEEKDAY(CM$6,1)=7,0,MIN(8,CM17)*CM16))))-MIN(IF(CM16&lt;=0,0,IF(WEEKDAY(CM$6,1)=1,0,IF(WEEKDAY(CM$6,1)=7,0,MIN(8,CM17)*CM16))),MAX(0,40*MAX(1,CM16)-(CL18)))))</f>
        <v>50</v>
      </c>
      <c r="CN19" s="63">
        <f>IF(AND(CN16=25,CN17=10),50,IF(CN16&lt;=0,0,IF(WEEKDAY(CN$6,1)=1,0,IF(WEEKDAY(CN$6,1)=7,CN16*CN17,MAX(0,CN17-8)*CN16)))+((IF(CN16&lt;=0,0,IF(WEEKDAY(CN$6,1)=1,0,IF(WEEKDAY(CN$6,1)=7,0,MIN(8,CN17)*CN16))))-MIN(IF(CN16&lt;=0,0,IF(WEEKDAY(CN$6,1)=1,0,IF(WEEKDAY(CN$6,1)=7,0,MIN(8,CN17)*CN16))),MAX(0,40*MAX(1,CN16)-(CL18+CM18)))))</f>
        <v>50</v>
      </c>
      <c r="CO19" s="64">
        <f>IF(AND(CO16=25,CO17=10),250,IF(CO16&lt;=0,0,IF(WEEKDAY(CO$6,1)=1,0,IF(WEEKDAY(CO$6,1)=7,CO16*CO17,MAX(0,CO17-8)*CO16)))+((IF(CO16&lt;=0,0,IF(WEEKDAY(CO$6,1)=1,0,IF(WEEKDAY(CO$6,1)=7,0,MIN(8,CO17)*CO16))))-MIN(IF(CO16&lt;=0,0,IF(WEEKDAY(CO$6,1)=1,0,IF(WEEKDAY(CO$6,1)=7,0,MIN(8,CO17)*CO16))),MAX(0,40*MAX(1,CO16)-(CL18+CM18+CN18)))))</f>
        <v>250</v>
      </c>
      <c r="CP19" s="64">
        <f>IF(AND(CP16=25,CP17=10),0,IF(CP16&lt;=0,0,IF(WEEKDAY(CP$6,1)=1,0,IF(WEEKDAY(CP$6,1)=7,CP16*CP17,MAX(0,CP17-8)*CP16)))+((IF(CP16&lt;=0,0,IF(WEEKDAY(CP$6,1)=1,0,IF(WEEKDAY(CP$6,1)=7,0,MIN(8,CP17)*CP16))))-MIN(IF(CP16&lt;=0,0,IF(WEEKDAY(CP$6,1)=1,0,IF(WEEKDAY(CP$6,1)=7,0,MIN(8,CP17)*CP16))),MAX(0,40*MAX(1,CP16)-(CL18+CM18+CN18+CO18)))))</f>
        <v>0</v>
      </c>
      <c r="CQ19" s="63">
        <f>IF(AND(CQ16=25,CQ17=10),50,IF(CQ16&lt;=0,0,IF(WEEKDAY(CQ$6,1)=1,0,IF(WEEKDAY(CQ$6,1)=7,CQ16*CQ17,MAX(0,CQ17-8)*CQ16)))+((IF(CQ16&lt;=0,0,IF(WEEKDAY(CQ$6,1)=1,0,IF(WEEKDAY(CQ$6,1)=7,0,MIN(8,CQ17)*CQ16))))-MIN(IF(CQ16&lt;=0,0,IF(WEEKDAY(CQ$6,1)=1,0,IF(WEEKDAY(CQ$6,1)=7,0,MIN(8,CQ17)*CQ16))),MAX(0,40*MAX(1,CQ16)-(0)))))</f>
        <v>50</v>
      </c>
      <c r="CR19" s="63">
        <f>IF(AND(CR16=25,CR17=10),50,IF(CR16&lt;=0,0,IF(WEEKDAY(CR$6,1)=1,0,IF(WEEKDAY(CR$6,1)=7,CR16*CR17,MAX(0,CR17-8)*CR16)))+((IF(CR16&lt;=0,0,IF(WEEKDAY(CR$6,1)=1,0,IF(WEEKDAY(CR$6,1)=7,0,MIN(8,CR17)*CR16))))-MIN(IF(CR16&lt;=0,0,IF(WEEKDAY(CR$6,1)=1,0,IF(WEEKDAY(CR$6,1)=7,0,MIN(8,CR17)*CR16))),MAX(0,40*MAX(1,CR16)-(CQ18)))))</f>
        <v>50</v>
      </c>
      <c r="CS19" s="63">
        <f>IF(AND(CS16=25,CS17=10),50,IF(CS16&lt;=0,0,IF(WEEKDAY(CS$6,1)=1,0,IF(WEEKDAY(CS$6,1)=7,CS16*CS17,MAX(0,CS17-8)*CS16)))+((IF(CS16&lt;=0,0,IF(WEEKDAY(CS$6,1)=1,0,IF(WEEKDAY(CS$6,1)=7,0,MIN(8,CS17)*CS16))))-MIN(IF(CS16&lt;=0,0,IF(WEEKDAY(CS$6,1)=1,0,IF(WEEKDAY(CS$6,1)=7,0,MIN(8,CS17)*CS16))),MAX(0,40*MAX(1,CS16)-(CQ18+CR18)))))</f>
        <v>50</v>
      </c>
      <c r="CT19" s="63">
        <f>IF(AND(CT16=25,CT17=10),50,IF(CT16&lt;=0,0,IF(WEEKDAY(CT$6,1)=1,0,IF(WEEKDAY(CT$6,1)=7,CT16*CT17,MAX(0,CT17-8)*CT16)))+((IF(CT16&lt;=0,0,IF(WEEKDAY(CT$6,1)=1,0,IF(WEEKDAY(CT$6,1)=7,0,MIN(8,CT17)*CT16))))-MIN(IF(CT16&lt;=0,0,IF(WEEKDAY(CT$6,1)=1,0,IF(WEEKDAY(CT$6,1)=7,0,MIN(8,CT17)*CT16))),MAX(0,40*MAX(1,CT16)-(CQ18+CR18+CS18)))))</f>
        <v>50</v>
      </c>
      <c r="CU19" s="63">
        <f>IF(AND(CU16=25,CU17=10),50,IF(CU16&lt;=0,0,IF(WEEKDAY(CU$6,1)=1,0,IF(WEEKDAY(CU$6,1)=7,CU16*CU17,MAX(0,CU17-8)*CU16)))+((IF(CU16&lt;=0,0,IF(WEEKDAY(CU$6,1)=1,0,IF(WEEKDAY(CU$6,1)=7,0,MIN(8,CU17)*CU16))))-MIN(IF(CU16&lt;=0,0,IF(WEEKDAY(CU$6,1)=1,0,IF(WEEKDAY(CU$6,1)=7,0,MIN(8,CU17)*CU16))),MAX(0,40*MAX(1,CU16)-(CQ18+CR18+CS18+CT18)))))</f>
        <v>50</v>
      </c>
      <c r="CV19" s="64">
        <f>IF(AND(CV16=25,CV17=10),250,IF(CV16&lt;=0,0,IF(WEEKDAY(CV$6,1)=1,0,IF(WEEKDAY(CV$6,1)=7,CV16*CV17,MAX(0,CV17-8)*CV16)))+((IF(CV16&lt;=0,0,IF(WEEKDAY(CV$6,1)=1,0,IF(WEEKDAY(CV$6,1)=7,0,MIN(8,CV17)*CV16))))-MIN(IF(CV16&lt;=0,0,IF(WEEKDAY(CV$6,1)=1,0,IF(WEEKDAY(CV$6,1)=7,0,MIN(8,CV17)*CV16))),MAX(0,40*MAX(1,CV16)-(CQ18+CR18+CS18+CT18+CU18)))))</f>
        <v>250</v>
      </c>
      <c r="CW19" s="64">
        <f>IF(AND(CW16=25,CW17=10),0,IF(CW16&lt;=0,0,IF(WEEKDAY(CW$6,1)=1,0,IF(WEEKDAY(CW$6,1)=7,CW16*CW17,MAX(0,CW17-8)*CW16)))+((IF(CW16&lt;=0,0,IF(WEEKDAY(CW$6,1)=1,0,IF(WEEKDAY(CW$6,1)=7,0,MIN(8,CW17)*CW16))))-MIN(IF(CW16&lt;=0,0,IF(WEEKDAY(CW$6,1)=1,0,IF(WEEKDAY(CW$6,1)=7,0,MIN(8,CW17)*CW16))),MAX(0,40*MAX(1,CW16)-(CQ18+CR18+CS18+CT18+CU18+CV18)))))</f>
        <v>0</v>
      </c>
      <c r="CX19" s="63">
        <f>IF(AND(CX16=25,CX17=10),50,IF(CX16&lt;=0,0,IF(WEEKDAY(CX$6,1)=1,0,IF(WEEKDAY(CX$6,1)=7,CX16*CX17,MAX(0,CX17-8)*CX16)))+((IF(CX16&lt;=0,0,IF(WEEKDAY(CX$6,1)=1,0,IF(WEEKDAY(CX$6,1)=7,0,MIN(8,CX17)*CX16))))-MIN(IF(CX16&lt;=0,0,IF(WEEKDAY(CX$6,1)=1,0,IF(WEEKDAY(CX$6,1)=7,0,MIN(8,CX17)*CX16))),MAX(0,40*MAX(1,CX16)-(0)))))</f>
        <v>50</v>
      </c>
      <c r="CY19" s="63">
        <f>IF(AND(CY16=25,CY17=10),50,IF(CY16&lt;=0,0,IF(WEEKDAY(CY$6,1)=1,0,IF(WEEKDAY(CY$6,1)=7,CY16*CY17,MAX(0,CY17-8)*CY16)))+((IF(CY16&lt;=0,0,IF(WEEKDAY(CY$6,1)=1,0,IF(WEEKDAY(CY$6,1)=7,0,MIN(8,CY17)*CY16))))-MIN(IF(CY16&lt;=0,0,IF(WEEKDAY(CY$6,1)=1,0,IF(WEEKDAY(CY$6,1)=7,0,MIN(8,CY17)*CY16))),MAX(0,40*MAX(1,CY16)-(CX18)))))</f>
        <v>50</v>
      </c>
      <c r="CZ19" s="63">
        <f>IF(AND(CZ16=25,CZ17=10),50,IF(CZ16&lt;=0,0,IF(WEEKDAY(CZ$6,1)=1,0,IF(WEEKDAY(CZ$6,1)=7,CZ16*CZ17,MAX(0,CZ17-8)*CZ16)))+((IF(CZ16&lt;=0,0,IF(WEEKDAY(CZ$6,1)=1,0,IF(WEEKDAY(CZ$6,1)=7,0,MIN(8,CZ17)*CZ16))))-MIN(IF(CZ16&lt;=0,0,IF(WEEKDAY(CZ$6,1)=1,0,IF(WEEKDAY(CZ$6,1)=7,0,MIN(8,CZ17)*CZ16))),MAX(0,40*MAX(1,CZ16)-(0)))))</f>
        <v>50</v>
      </c>
      <c r="DA19" s="63">
        <f>IF(AND(DA16=25,DA17=10),50,IF(DA16&lt;=0,0,IF(WEEKDAY(DA$6,1)=1,0,IF(WEEKDAY(DA$6,1)=7,DA16*DA17,MAX(0,DA17-8)*DA16)))+((IF(DA16&lt;=0,0,IF(WEEKDAY(DA$6,1)=1,0,IF(WEEKDAY(DA$6,1)=7,0,MIN(8,DA17)*DA16))))-MIN(IF(DA16&lt;=0,0,IF(WEEKDAY(DA$6,1)=1,0,IF(WEEKDAY(DA$6,1)=7,0,MIN(8,DA17)*DA16))),MAX(0,40*MAX(1,DA16)-(CZ18)))))</f>
        <v>50</v>
      </c>
      <c r="DB19" s="63">
        <f>IF(AND(DB16=25,DB17=10),50,IF(DB16&lt;=0,0,IF(WEEKDAY(DB$6,1)=1,0,IF(WEEKDAY(DB$6,1)=7,DB16*DB17,MAX(0,DB17-8)*DB16)))+((IF(DB16&lt;=0,0,IF(WEEKDAY(DB$6,1)=1,0,IF(WEEKDAY(DB$6,1)=7,0,MIN(8,DB17)*DB16))))-MIN(IF(DB16&lt;=0,0,IF(WEEKDAY(DB$6,1)=1,0,IF(WEEKDAY(DB$6,1)=7,0,MIN(8,DB17)*DB16))),MAX(0,40*MAX(1,DB16)-(CZ18+DA18)))))</f>
        <v>50</v>
      </c>
      <c r="DC19" s="64">
        <f>IF(AND(DC16=25,DC17=10),250,IF(DC16&lt;=0,0,IF(WEEKDAY(DC$6,1)=1,0,IF(WEEKDAY(DC$6,1)=7,DC16*DC17,MAX(0,DC17-8)*DC16)))+((IF(DC16&lt;=0,0,IF(WEEKDAY(DC$6,1)=1,0,IF(WEEKDAY(DC$6,1)=7,0,MIN(8,DC17)*DC16))))-MIN(IF(DC16&lt;=0,0,IF(WEEKDAY(DC$6,1)=1,0,IF(WEEKDAY(DC$6,1)=7,0,MIN(8,DC17)*DC16))),MAX(0,40*MAX(1,DC16)-(CZ18+DA18+DB18)))))</f>
        <v>250</v>
      </c>
      <c r="DD19" s="64">
        <f>IF(AND(DD16=0,DD17=0),0,IF(DD16&lt;=0,0,IF(WEEKDAY(DD$6,1)=1,0,IF(WEEKDAY(DD$6,1)=7,DD16*DD17,MAX(0,DD17-8)*DD16)))+((IF(DD16&lt;=0,0,IF(WEEKDAY(DD$6,1)=1,0,IF(WEEKDAY(DD$6,1)=7,0,MIN(8,DD17)*DD16))))-MIN(IF(DD16&lt;=0,0,IF(WEEKDAY(DD$6,1)=1,0,IF(WEEKDAY(DD$6,1)=7,0,MIN(8,DD17)*DD16))),MAX(0,40*MAX(1,DD16)-(0)))))</f>
        <v>0</v>
      </c>
      <c r="DE19" s="63">
        <f>IF(AND(DE16=4,DE17=10),8,IF(DE16&lt;=0,0,IF(WEEKDAY(DE$6,1)=1,0,IF(WEEKDAY(DE$6,1)=7,DE16*DE17,MAX(0,DE17-8)*DE16)))+((IF(DE16&lt;=0,0,IF(WEEKDAY(DE$6,1)=1,0,IF(WEEKDAY(DE$6,1)=7,0,MIN(8,DE17)*DE16))))-MIN(IF(DE16&lt;=0,0,IF(WEEKDAY(DE$6,1)=1,0,IF(WEEKDAY(DE$6,1)=7,0,MIN(8,DE17)*DE16))),MAX(0,40*MAX(1,DE16)-(0)))))</f>
        <v>8</v>
      </c>
      <c r="DF19" s="63">
        <f>IF(AND(DF16=0,DF17=0),0,IF(DF16&lt;=0,0,IF(WEEKDAY(DF$6,1)=1,0,IF(WEEKDAY(DF$6,1)=7,DF16*DF17,MAX(0,DF17-8)*DF16)))+((IF(DF16&lt;=0,0,IF(WEEKDAY(DF$6,1)=1,0,IF(WEEKDAY(DF$6,1)=7,0,MIN(8,DF17)*DF16))))-MIN(IF(DF16&lt;=0,0,IF(WEEKDAY(DF$6,1)=1,0,IF(WEEKDAY(DF$6,1)=7,0,MIN(8,DF17)*DF16))),MAX(0,40*MAX(1,DF16)-(0)))))</f>
        <v>0</v>
      </c>
      <c r="DG19" s="63">
        <f>IF(AND(DG16=0,DG17=0),0,IF(DG16&lt;=0,0,IF(WEEKDAY(DG$6,1)=1,0,IF(WEEKDAY(DG$6,1)=7,DG16*DG17,MAX(0,DG17-8)*DG16)))+((IF(DG16&lt;=0,0,IF(WEEKDAY(DG$6,1)=1,0,IF(WEEKDAY(DG$6,1)=7,0,MIN(8,DG17)*DG16))))-MIN(IF(DG16&lt;=0,0,IF(WEEKDAY(DG$6,1)=1,0,IF(WEEKDAY(DG$6,1)=7,0,MIN(8,DG17)*DG16))),MAX(0,40*MAX(1,DG16)-(DF18)))))</f>
        <v>0</v>
      </c>
      <c r="DH19" s="63">
        <f>IF(AND(DH16=0,DH17=0),0,IF(DH16&lt;=0,0,IF(WEEKDAY(DH$6,1)=1,0,IF(WEEKDAY(DH$6,1)=7,DH16*DH17,MAX(0,DH17-8)*DH16)))+((IF(DH16&lt;=0,0,IF(WEEKDAY(DH$6,1)=1,0,IF(WEEKDAY(DH$6,1)=7,0,MIN(8,DH17)*DH16))))-MIN(IF(DH16&lt;=0,0,IF(WEEKDAY(DH$6,1)=1,0,IF(WEEKDAY(DH$6,1)=7,0,MIN(8,DH17)*DH16))),MAX(0,40*MAX(1,DH16)-(DF18+DG18)))))</f>
        <v>0</v>
      </c>
      <c r="DI19" s="63">
        <f>IF(AND(DI16=0,DI17=0),0,IF(DI16&lt;=0,0,IF(WEEKDAY(DI$6,1)=1,0,IF(WEEKDAY(DI$6,1)=7,DI16*DI17,MAX(0,DI17-8)*DI16)))+((IF(DI16&lt;=0,0,IF(WEEKDAY(DI$6,1)=1,0,IF(WEEKDAY(DI$6,1)=7,0,MIN(8,DI17)*DI16))))-MIN(IF(DI16&lt;=0,0,IF(WEEKDAY(DI$6,1)=1,0,IF(WEEKDAY(DI$6,1)=7,0,MIN(8,DI17)*DI16))),MAX(0,40*MAX(1,DI16)-(DF18+DG18+DH18)))))</f>
        <v>0</v>
      </c>
      <c r="DJ19" s="64">
        <f>IF(AND(DJ16=0,DJ17=0),0,IF(DJ16&lt;=0,0,IF(WEEKDAY(DJ$6,1)=1,0,IF(WEEKDAY(DJ$6,1)=7,DJ16*DJ17,MAX(0,DJ17-8)*DJ16)))+((IF(DJ16&lt;=0,0,IF(WEEKDAY(DJ$6,1)=1,0,IF(WEEKDAY(DJ$6,1)=7,0,MIN(8,DJ17)*DJ16))))-MIN(IF(DJ16&lt;=0,0,IF(WEEKDAY(DJ$6,1)=1,0,IF(WEEKDAY(DJ$6,1)=7,0,MIN(8,DJ17)*DJ16))),MAX(0,40*MAX(1,DJ16)-(DF18+DG18+DH18+DI18)))))</f>
        <v>0</v>
      </c>
      <c r="DK19" s="64">
        <f>IF(AND(DK16=0,DK17=0),0,IF(DK16&lt;=0,0,IF(WEEKDAY(DK$6,1)=1,0,IF(WEEKDAY(DK$6,1)=7,DK16*DK17,MAX(0,DK17-8)*DK16)))+((IF(DK16&lt;=0,0,IF(WEEKDAY(DK$6,1)=1,0,IF(WEEKDAY(DK$6,1)=7,0,MIN(8,DK17)*DK16))))-MIN(IF(DK16&lt;=0,0,IF(WEEKDAY(DK$6,1)=1,0,IF(WEEKDAY(DK$6,1)=7,0,MIN(8,DK17)*DK16))),MAX(0,40*MAX(1,DK16)-(DF18+DG18+DH18+DI18+DJ18)))))</f>
        <v>0</v>
      </c>
      <c r="DL19" s="63">
        <f>IF(AND(DL16=0,DL17=0),0,IF(DL16&lt;=0,0,IF(WEEKDAY(DL$6,1)=1,0,IF(WEEKDAY(DL$6,1)=7,DL16*DL17,MAX(0,DL17-8)*DL16)))+((IF(DL16&lt;=0,0,IF(WEEKDAY(DL$6,1)=1,0,IF(WEEKDAY(DL$6,1)=7,0,MIN(8,DL17)*DL16))))-MIN(IF(DL16&lt;=0,0,IF(WEEKDAY(DL$6,1)=1,0,IF(WEEKDAY(DL$6,1)=7,0,MIN(8,DL17)*DL16))),MAX(0,40*MAX(1,DL16)-(0)))))</f>
        <v>0</v>
      </c>
      <c r="DM19" s="63">
        <f>IF(AND(DM16=0,DM17=0),0,IF(DM16&lt;=0,0,IF(WEEKDAY(DM$6,1)=1,0,IF(WEEKDAY(DM$6,1)=7,DM16*DM17,MAX(0,DM17-8)*DM16)))+((IF(DM16&lt;=0,0,IF(WEEKDAY(DM$6,1)=1,0,IF(WEEKDAY(DM$6,1)=7,0,MIN(8,DM17)*DM16))))-MIN(IF(DM16&lt;=0,0,IF(WEEKDAY(DM$6,1)=1,0,IF(WEEKDAY(DM$6,1)=7,0,MIN(8,DM17)*DM16))),MAX(0,40*MAX(1,DM16)-(DL18)))))</f>
        <v>0</v>
      </c>
      <c r="DN19" s="63">
        <f>IF(AND(DN16=0,DN17=0),0,IF(DN16&lt;=0,0,IF(WEEKDAY(DN$6,1)=1,0,IF(WEEKDAY(DN$6,1)=7,DN16*DN17,MAX(0,DN17-8)*DN16)))+((IF(DN16&lt;=0,0,IF(WEEKDAY(DN$6,1)=1,0,IF(WEEKDAY(DN$6,1)=7,0,MIN(8,DN17)*DN16))))-MIN(IF(DN16&lt;=0,0,IF(WEEKDAY(DN$6,1)=1,0,IF(WEEKDAY(DN$6,1)=7,0,MIN(8,DN17)*DN16))),MAX(0,40*MAX(1,DN16)-(DL18+DM18)))))</f>
        <v>0</v>
      </c>
      <c r="DO19" s="63">
        <f>IF(AND(DO16=0,DO17=0),0,IF(DO16&lt;=0,0,IF(WEEKDAY(DO$6,1)=1,0,IF(WEEKDAY(DO$6,1)=7,DO16*DO17,MAX(0,DO17-8)*DO16)))+((IF(DO16&lt;=0,0,IF(WEEKDAY(DO$6,1)=1,0,IF(WEEKDAY(DO$6,1)=7,0,MIN(8,DO17)*DO16))))-MIN(IF(DO16&lt;=0,0,IF(WEEKDAY(DO$6,1)=1,0,IF(WEEKDAY(DO$6,1)=7,0,MIN(8,DO17)*DO16))),MAX(0,40*MAX(1,DO16)-(DL18+DM18+DN18)))))</f>
        <v>0</v>
      </c>
      <c r="DP19" s="63">
        <f>IF(AND(DP16=0,DP17=0),0,IF(DP16&lt;=0,0,IF(WEEKDAY(DP$6,1)=1,0,IF(WEEKDAY(DP$6,1)=7,DP16*DP17,MAX(0,DP17-8)*DP16)))+((IF(DP16&lt;=0,0,IF(WEEKDAY(DP$6,1)=1,0,IF(WEEKDAY(DP$6,1)=7,0,MIN(8,DP17)*DP16))))-MIN(IF(DP16&lt;=0,0,IF(WEEKDAY(DP$6,1)=1,0,IF(WEEKDAY(DP$6,1)=7,0,MIN(8,DP17)*DP16))),MAX(0,40*MAX(1,DP16)-(DL18+DM18+DN18+DO18)))))</f>
        <v>0</v>
      </c>
      <c r="DQ19" s="64">
        <f>IF(AND(DQ16=0,DQ17=0),0,IF(DQ16&lt;=0,0,IF(WEEKDAY(DQ$6,1)=1,0,IF(WEEKDAY(DQ$6,1)=7,DQ16*DQ17,MAX(0,DQ17-8)*DQ16)))+((IF(DQ16&lt;=0,0,IF(WEEKDAY(DQ$6,1)=1,0,IF(WEEKDAY(DQ$6,1)=7,0,MIN(8,DQ17)*DQ16))))-MIN(IF(DQ16&lt;=0,0,IF(WEEKDAY(DQ$6,1)=1,0,IF(WEEKDAY(DQ$6,1)=7,0,MIN(8,DQ17)*DQ16))),MAX(0,40*MAX(1,DQ16)-(DL18+DM18+DN18+DO18+DP18)))))</f>
        <v>0</v>
      </c>
      <c r="DR19" s="64">
        <f>IF(AND(DR16=0,DR17=0),0,IF(DR16&lt;=0,0,IF(WEEKDAY(DR$6,1)=1,0,IF(WEEKDAY(DR$6,1)=7,DR16*DR17,MAX(0,DR17-8)*DR16)))+((IF(DR16&lt;=0,0,IF(WEEKDAY(DR$6,1)=1,0,IF(WEEKDAY(DR$6,1)=7,0,MIN(8,DR17)*DR16))))-MIN(IF(DR16&lt;=0,0,IF(WEEKDAY(DR$6,1)=1,0,IF(WEEKDAY(DR$6,1)=7,0,MIN(8,DR17)*DR16))),MAX(0,40*MAX(1,DR16)-(DL18+DM18+DN18+DO18+DP18+DQ18)))))</f>
        <v>0</v>
      </c>
      <c r="DS19" s="63">
        <f>IF(AND(DS16=0,DS17=0),0,IF(DS16&lt;=0,0,IF(WEEKDAY(DS$6,1)=1,0,IF(WEEKDAY(DS$6,1)=7,DS16*DS17,MAX(0,DS17-8)*DS16)))+((IF(DS16&lt;=0,0,IF(WEEKDAY(DS$6,1)=1,0,IF(WEEKDAY(DS$6,1)=7,0,MIN(8,DS17)*DS16))))-MIN(IF(DS16&lt;=0,0,IF(WEEKDAY(DS$6,1)=1,0,IF(WEEKDAY(DS$6,1)=7,0,MIN(8,DS17)*DS16))),MAX(0,40*MAX(1,DS16)-(0)))))</f>
        <v>0</v>
      </c>
      <c r="DT19" s="63">
        <f>IF(AND(DT16=0,DT17=0),0,IF(DT16&lt;=0,0,IF(WEEKDAY(DT$6,1)=1,0,IF(WEEKDAY(DT$6,1)=7,DT16*DT17,MAX(0,DT17-8)*DT16)))+((IF(DT16&lt;=0,0,IF(WEEKDAY(DT$6,1)=1,0,IF(WEEKDAY(DT$6,1)=7,0,MIN(8,DT17)*DT16))))-MIN(IF(DT16&lt;=0,0,IF(WEEKDAY(DT$6,1)=1,0,IF(WEEKDAY(DT$6,1)=7,0,MIN(8,DT17)*DT16))),MAX(0,40*MAX(1,DT16)-(DS18)))))</f>
        <v>0</v>
      </c>
      <c r="DU19" s="63">
        <f>IF(AND(DU16=0,DU17=0),0,IF(DU16&lt;=0,0,IF(WEEKDAY(DU$6,1)=1,0,IF(WEEKDAY(DU$6,1)=7,DU16*DU17,MAX(0,DU17-8)*DU16)))+((IF(DU16&lt;=0,0,IF(WEEKDAY(DU$6,1)=1,0,IF(WEEKDAY(DU$6,1)=7,0,MIN(8,DU17)*DU16))))-MIN(IF(DU16&lt;=0,0,IF(WEEKDAY(DU$6,1)=1,0,IF(WEEKDAY(DU$6,1)=7,0,MIN(8,DU17)*DU16))),MAX(0,40*MAX(1,DU16)-(DS18+DT18)))))</f>
        <v>0</v>
      </c>
      <c r="DV19" s="63">
        <f>IF(AND(DV16=0,DV17=0),0,IF(DV16&lt;=0,0,IF(WEEKDAY(DV$6,1)=1,0,IF(WEEKDAY(DV$6,1)=7,DV16*DV17,MAX(0,DV17-8)*DV16)))+((IF(DV16&lt;=0,0,IF(WEEKDAY(DV$6,1)=1,0,IF(WEEKDAY(DV$6,1)=7,0,MIN(8,DV17)*DV16))))-MIN(IF(DV16&lt;=0,0,IF(WEEKDAY(DV$6,1)=1,0,IF(WEEKDAY(DV$6,1)=7,0,MIN(8,DV17)*DV16))),MAX(0,40*MAX(1,DV16)-(DS18+DT18+DU18)))))</f>
        <v>0</v>
      </c>
      <c r="DW19" s="63">
        <f>IF(AND(DW16=0,DW17=0),0,IF(DW16&lt;=0,0,IF(WEEKDAY(DW$6,1)=1,0,IF(WEEKDAY(DW$6,1)=7,DW16*DW17,MAX(0,DW17-8)*DW16)))+((IF(DW16&lt;=0,0,IF(WEEKDAY(DW$6,1)=1,0,IF(WEEKDAY(DW$6,1)=7,0,MIN(8,DW17)*DW16))))-MIN(IF(DW16&lt;=0,0,IF(WEEKDAY(DW$6,1)=1,0,IF(WEEKDAY(DW$6,1)=7,0,MIN(8,DW17)*DW16))),MAX(0,40*MAX(1,DW16)-(DS18+DT18+DU18+DV18)))))</f>
        <v>0</v>
      </c>
      <c r="DX19" s="64">
        <f>IF(AND(DX16=0,DX17=0),0,IF(DX16&lt;=0,0,IF(WEEKDAY(DX$6,1)=1,0,IF(WEEKDAY(DX$6,1)=7,DX16*DX17,MAX(0,DX17-8)*DX16)))+((IF(DX16&lt;=0,0,IF(WEEKDAY(DX$6,1)=1,0,IF(WEEKDAY(DX$6,1)=7,0,MIN(8,DX17)*DX16))))-MIN(IF(DX16&lt;=0,0,IF(WEEKDAY(DX$6,1)=1,0,IF(WEEKDAY(DX$6,1)=7,0,MIN(8,DX17)*DX16))),MAX(0,40*MAX(1,DX16)-(DS18+DT18+DU18+DV18+DW18)))))</f>
        <v>0</v>
      </c>
      <c r="DY19" s="64">
        <f>IF(AND(DY16=0,DY17=0),0,IF(DY16&lt;=0,0,IF(WEEKDAY(DY$6,1)=1,0,IF(WEEKDAY(DY$6,1)=7,DY16*DY17,MAX(0,DY17-8)*DY16)))+((IF(DY16&lt;=0,0,IF(WEEKDAY(DY$6,1)=1,0,IF(WEEKDAY(DY$6,1)=7,0,MIN(8,DY17)*DY16))))-MIN(IF(DY16&lt;=0,0,IF(WEEKDAY(DY$6,1)=1,0,IF(WEEKDAY(DY$6,1)=7,0,MIN(8,DY17)*DY16))),MAX(0,40*MAX(1,DY16)-(DS18+DT18+DU18+DV18+DW18+DX18)))))</f>
        <v>0</v>
      </c>
      <c r="DZ19" s="63">
        <f>IF(AND(DZ16=0,DZ17=0),0,IF(DZ16&lt;=0,0,IF(WEEKDAY(DZ$6,1)=1,0,IF(WEEKDAY(DZ$6,1)=7,DZ16*DZ17,MAX(0,DZ17-8)*DZ16)))+((IF(DZ16&lt;=0,0,IF(WEEKDAY(DZ$6,1)=1,0,IF(WEEKDAY(DZ$6,1)=7,0,MIN(8,DZ17)*DZ16))))-MIN(IF(DZ16&lt;=0,0,IF(WEEKDAY(DZ$6,1)=1,0,IF(WEEKDAY(DZ$6,1)=7,0,MIN(8,DZ17)*DZ16))),MAX(0,40*MAX(1,DZ16)-(0)))))</f>
        <v>0</v>
      </c>
      <c r="EA19" s="63">
        <f>IF(AND(EA16=0,EA17=0),0,IF(EA16&lt;=0,0,IF(WEEKDAY(EA$6,1)=1,0,IF(WEEKDAY(EA$6,1)=7,EA16*EA17,MAX(0,EA17-8)*EA16)))+((IF(EA16&lt;=0,0,IF(WEEKDAY(EA$6,1)=1,0,IF(WEEKDAY(EA$6,1)=7,0,MIN(8,EA17)*EA16))))-MIN(IF(EA16&lt;=0,0,IF(WEEKDAY(EA$6,1)=1,0,IF(WEEKDAY(EA$6,1)=7,0,MIN(8,EA17)*EA16))),MAX(0,40*MAX(1,EA16)-(DZ18)))))</f>
        <v>0</v>
      </c>
      <c r="EB19" s="63">
        <f>IF(AND(EB16=0,EB17=0),0,IF(EB16&lt;=0,0,IF(WEEKDAY(EB$6,1)=1,0,IF(WEEKDAY(EB$6,1)=7,EB16*EB17,MAX(0,EB17-8)*EB16)))+((IF(EB16&lt;=0,0,IF(WEEKDAY(EB$6,1)=1,0,IF(WEEKDAY(EB$6,1)=7,0,MIN(8,EB17)*EB16))))-MIN(IF(EB16&lt;=0,0,IF(WEEKDAY(EB$6,1)=1,0,IF(WEEKDAY(EB$6,1)=7,0,MIN(8,EB17)*EB16))),MAX(0,40*MAX(1,EB16)-(DZ18+EA18)))))</f>
        <v>0</v>
      </c>
      <c r="EC19" s="63">
        <f>IF(AND(EC16=0,EC17=0),0,IF(EC16&lt;=0,0,IF(WEEKDAY(EC$6,1)=1,0,IF(WEEKDAY(EC$6,1)=7,EC16*EC17,MAX(0,EC17-8)*EC16)))+((IF(EC16&lt;=0,0,IF(WEEKDAY(EC$6,1)=1,0,IF(WEEKDAY(EC$6,1)=7,0,MIN(8,EC17)*EC16))))-MIN(IF(EC16&lt;=0,0,IF(WEEKDAY(EC$6,1)=1,0,IF(WEEKDAY(EC$6,1)=7,0,MIN(8,EC17)*EC16))),MAX(0,40*MAX(1,EC16)-(DZ18+EA18+EB18)))))</f>
        <v>0</v>
      </c>
      <c r="ED19" s="63">
        <f>IF(AND(ED16=0,ED17=0),0,IF(ED16&lt;=0,0,IF(WEEKDAY(ED$6,1)=1,0,IF(WEEKDAY(ED$6,1)=7,ED16*ED17,MAX(0,ED17-8)*ED16)))+((IF(ED16&lt;=0,0,IF(WEEKDAY(ED$6,1)=1,0,IF(WEEKDAY(ED$6,1)=7,0,MIN(8,ED17)*ED16))))-MIN(IF(ED16&lt;=0,0,IF(WEEKDAY(ED$6,1)=1,0,IF(WEEKDAY(ED$6,1)=7,0,MIN(8,ED17)*ED16))),MAX(0,40*MAX(1,ED16)-(DZ18+EA18+EB18+EC18)))))</f>
        <v>0</v>
      </c>
      <c r="EE19" s="64">
        <f>IF(AND(EE16=0,EE17=0),0,IF(EE16&lt;=0,0,IF(WEEKDAY(EE$6,1)=1,0,IF(WEEKDAY(EE$6,1)=7,EE16*EE17,MAX(0,EE17-8)*EE16)))+((IF(EE16&lt;=0,0,IF(WEEKDAY(EE$6,1)=1,0,IF(WEEKDAY(EE$6,1)=7,0,MIN(8,EE17)*EE16))))-MIN(IF(EE16&lt;=0,0,IF(WEEKDAY(EE$6,1)=1,0,IF(WEEKDAY(EE$6,1)=7,0,MIN(8,EE17)*EE16))),MAX(0,40*MAX(1,EE16)-(DZ18+EA18+EB18+EC18+ED18)))))</f>
        <v>0</v>
      </c>
      <c r="EF19" s="64">
        <f>IF(AND(EF16=0,EF17=0),0,IF(EF16&lt;=0,0,IF(WEEKDAY(EF$6,1)=1,0,IF(WEEKDAY(EF$6,1)=7,EF16*EF17,MAX(0,EF17-8)*EF16)))+((IF(EF16&lt;=0,0,IF(WEEKDAY(EF$6,1)=1,0,IF(WEEKDAY(EF$6,1)=7,0,MIN(8,EF17)*EF16))))-MIN(IF(EF16&lt;=0,0,IF(WEEKDAY(EF$6,1)=1,0,IF(WEEKDAY(EF$6,1)=7,0,MIN(8,EF17)*EF16))),MAX(0,40*MAX(1,EF16)-(DZ18+EA18+EB18+EC18+ED18+EE18)))))</f>
        <v>0</v>
      </c>
      <c r="EG19" s="63">
        <f>IF(AND(EG16=0,EG17=0),0,IF(EG16&lt;=0,0,IF(WEEKDAY(EG$6,1)=1,0,IF(WEEKDAY(EG$6,1)=7,EG16*EG17,MAX(0,EG17-8)*EG16)))+((IF(EG16&lt;=0,0,IF(WEEKDAY(EG$6,1)=1,0,IF(WEEKDAY(EG$6,1)=7,0,MIN(8,EG17)*EG16))))-MIN(IF(EG16&lt;=0,0,IF(WEEKDAY(EG$6,1)=1,0,IF(WEEKDAY(EG$6,1)=7,0,MIN(8,EG17)*EG16))),MAX(0,40*MAX(1,EG16)-(0)))))</f>
        <v>0</v>
      </c>
      <c r="EH19" s="63">
        <f>IF(AND(EH16=0,EH17=0),0,IF(EH16&lt;=0,0,IF(WEEKDAY(EH$6,1)=1,0,IF(WEEKDAY(EH$6,1)=7,EH16*EH17,MAX(0,EH17-8)*EH16)))+((IF(EH16&lt;=0,0,IF(WEEKDAY(EH$6,1)=1,0,IF(WEEKDAY(EH$6,1)=7,0,MIN(8,EH17)*EH16))))-MIN(IF(EH16&lt;=0,0,IF(WEEKDAY(EH$6,1)=1,0,IF(WEEKDAY(EH$6,1)=7,0,MIN(8,EH17)*EH16))),MAX(0,40*MAX(1,EH16)-(EG18)))))</f>
        <v>0</v>
      </c>
      <c r="EI19" s="63">
        <f>IF(AND(EI16=0,EI17=0),0,IF(EI16&lt;=0,0,IF(WEEKDAY(EI$6,1)=1,0,IF(WEEKDAY(EI$6,1)=7,EI16*EI17,MAX(0,EI17-8)*EI16)))+((IF(EI16&lt;=0,0,IF(WEEKDAY(EI$6,1)=1,0,IF(WEEKDAY(EI$6,1)=7,0,MIN(8,EI17)*EI16))))-MIN(IF(EI16&lt;=0,0,IF(WEEKDAY(EI$6,1)=1,0,IF(WEEKDAY(EI$6,1)=7,0,MIN(8,EI17)*EI16))),MAX(0,40*MAX(1,EI16)-(EG18+EH18)))))</f>
        <v>0</v>
      </c>
      <c r="EJ19" s="63">
        <f>IF(AND(EJ16=0,EJ17=0),0,IF(EJ16&lt;=0,0,IF(WEEKDAY(EJ$6,1)=1,0,IF(WEEKDAY(EJ$6,1)=7,EJ16*EJ17,MAX(0,EJ17-8)*EJ16)))+((IF(EJ16&lt;=0,0,IF(WEEKDAY(EJ$6,1)=1,0,IF(WEEKDAY(EJ$6,1)=7,0,MIN(8,EJ17)*EJ16))))-MIN(IF(EJ16&lt;=0,0,IF(WEEKDAY(EJ$6,1)=1,0,IF(WEEKDAY(EJ$6,1)=7,0,MIN(8,EJ17)*EJ16))),MAX(0,40*MAX(1,EJ16)-(EG18+EH18+EI18)))))</f>
        <v>0</v>
      </c>
      <c r="EK19" s="65">
        <f>IF(AND(EK16=0,EK17=0),0,IF(EK16&lt;=0,0,IF(WEEKDAY(EK$6,1)=1,0,IF(WEEKDAY(EK$6,1)=7,EK16*EK17,MAX(0,EK17-8)*EK16)))+((IF(EK16&lt;=0,0,IF(WEEKDAY(EK$6,1)=1,0,IF(WEEKDAY(EK$6,1)=7,0,MIN(8,EK17)*EK16))))-MIN(IF(EK16&lt;=0,0,IF(WEEKDAY(EK$6,1)=1,0,IF(WEEKDAY(EK$6,1)=7,0,MIN(8,EK17)*EK16))),MAX(0,40*MAX(1,EK16)-(EG18+EH18+EI18+EJ18)))))</f>
        <v>0</v>
      </c>
      <c r="OU19" s="28" t="s">
        <v>113</v>
      </c>
    </row>
    <row r="20" ht="16" customHeight="1" spans="1:411" x14ac:dyDescent="0.25">
      <c r="A20" s="74"/>
      <c r="B20" s="46"/>
      <c r="C20" s="61">
        <f>H15*N(D20)</f>
        <v>264234.6</v>
      </c>
      <c r="D20" s="61">
        <f>IF(TRIM(B15)="","No rate",IFERROR(INDEX('Rate Tables'!E$7:E$158,MATCH(B15,'Rate Tables'!A$7:A$158,0)),"No rate"))</f>
        <v>197.19</v>
      </c>
      <c r="E20" s="55" t="s">
        <v>64</v>
      </c>
      <c r="F20" s="49"/>
      <c r="G20" s="49"/>
      <c r="H20" s="49"/>
      <c r="I20" s="49"/>
      <c r="J20" s="50"/>
      <c r="K20" s="62">
        <f>IF(AND(K16=0,K17=0),0,IF(K16&lt;=0,0,IF(WEEKDAY(K$6,1)=1,K16*K17,0)))</f>
        <v>0</v>
      </c>
      <c r="L20" s="63">
        <f>IF(AND(L16=0,L17=0),0,IF(L16&lt;=0,0,IF(WEEKDAY(L$6,1)=1,L16*L17,0)))</f>
        <v>0</v>
      </c>
      <c r="M20" s="63">
        <f>IF(AND(M16=0,M17=0),0,IF(M16&lt;=0,0,IF(WEEKDAY(M$6,1)=1,M16*M17,0)))</f>
        <v>0</v>
      </c>
      <c r="N20" s="63">
        <f>IF(AND(N16=0,N17=0),0,IF(N16&lt;=0,0,IF(WEEKDAY(N$6,1)=1,N16*N17,0)))</f>
        <v>0</v>
      </c>
      <c r="O20" s="63">
        <f>IF(AND(O16=0,O17=0),0,IF(O16&lt;=0,0,IF(WEEKDAY(O$6,1)=1,O16*O17,0)))</f>
        <v>0</v>
      </c>
      <c r="P20" s="64">
        <f>IF(AND(P16=0,P17=0),0,IF(P16&lt;=0,0,IF(WEEKDAY(P$6,1)=1,P16*P17,0)))</f>
        <v>0</v>
      </c>
      <c r="Q20" s="64">
        <f>IF(AND(Q16=0,Q17=0),0,IF(Q16&lt;=0,0,IF(WEEKDAY(Q$6,1)=1,Q16*Q17,0)))</f>
        <v>0</v>
      </c>
      <c r="R20" s="63">
        <f>IF(AND(R16=0,R17=0),0,IF(R16&lt;=0,0,IF(WEEKDAY(R$6,1)=1,R16*R17,0)))</f>
        <v>0</v>
      </c>
      <c r="S20" s="63">
        <f>IF(AND(S16=0,S17=0),0,IF(S16&lt;=0,0,IF(WEEKDAY(S$6,1)=1,S16*S17,0)))</f>
        <v>0</v>
      </c>
      <c r="T20" s="63">
        <f>IF(AND(T16=0,T17=0),0,IF(T16&lt;=0,0,IF(WEEKDAY(T$6,1)=1,T16*T17,0)))</f>
        <v>0</v>
      </c>
      <c r="U20" s="63">
        <f>IF(AND(U16=0,U17=0),0,IF(U16&lt;=0,0,IF(WEEKDAY(U$6,1)=1,U16*U17,0)))</f>
        <v>0</v>
      </c>
      <c r="V20" s="63">
        <f>IF(AND(V16=0,V17=0),0,IF(V16&lt;=0,0,IF(WEEKDAY(V$6,1)=1,V16*V17,0)))</f>
        <v>0</v>
      </c>
      <c r="W20" s="64">
        <f>IF(AND(W16=0,W17=0),0,IF(W16&lt;=0,0,IF(WEEKDAY(W$6,1)=1,W16*W17,0)))</f>
        <v>0</v>
      </c>
      <c r="X20" s="64">
        <f>IF(AND(X16=0,X17=0),0,IF(X16&lt;=0,0,IF(WEEKDAY(X$6,1)=1,X16*X17,0)))</f>
        <v>0</v>
      </c>
      <c r="Y20" s="63">
        <f>IF(AND(Y16=0,Y17=0),0,IF(Y16&lt;=0,0,IF(WEEKDAY(Y$6,1)=1,Y16*Y17,0)))</f>
        <v>0</v>
      </c>
      <c r="Z20" s="63">
        <f>IF(AND(Z16=0,Z17=0),0,IF(Z16&lt;=0,0,IF(WEEKDAY(Z$6,1)=1,Z16*Z17,0)))</f>
        <v>0</v>
      </c>
      <c r="AA20" s="63">
        <f>IF(AND(AA16=0,AA17=0),0,IF(AA16&lt;=0,0,IF(WEEKDAY(AA$6,1)=1,AA16*AA17,0)))</f>
        <v>0</v>
      </c>
      <c r="AB20" s="63">
        <f>IF(AND(AB16=0,AB17=0),0,IF(AB16&lt;=0,0,IF(WEEKDAY(AB$6,1)=1,AB16*AB17,0)))</f>
        <v>0</v>
      </c>
      <c r="AC20" s="63">
        <f>IF(AND(AC16=0,AC17=0),0,IF(AC16&lt;=0,0,IF(WEEKDAY(AC$6,1)=1,AC16*AC17,0)))</f>
        <v>0</v>
      </c>
      <c r="AD20" s="64">
        <f>IF(AND(AD16=0,AD17=0),0,IF(AD16&lt;=0,0,IF(WEEKDAY(AD$6,1)=1,AD16*AD17,0)))</f>
        <v>0</v>
      </c>
      <c r="AE20" s="64">
        <f>IF(AND(AE16=0,AE17=0),0,IF(AE16&lt;=0,0,IF(WEEKDAY(AE$6,1)=1,AE16*AE17,0)))</f>
        <v>0</v>
      </c>
      <c r="AF20" s="63">
        <f>IF(AND(AF16=0,AF17=0),0,IF(AF16&lt;=0,0,IF(WEEKDAY(AF$6,1)=1,AF16*AF17,0)))</f>
        <v>0</v>
      </c>
      <c r="AG20" s="63">
        <f>IF(AND(AG16=0,AG17=0),0,IF(AG16&lt;=0,0,IF(WEEKDAY(AG$6,1)=1,AG16*AG17,0)))</f>
        <v>0</v>
      </c>
      <c r="AH20" s="63">
        <f>IF(AND(AH16=0,AH17=0),0,IF(AH16&lt;=0,0,IF(WEEKDAY(AH$6,1)=1,AH16*AH17,0)))</f>
        <v>0</v>
      </c>
      <c r="AI20" s="63">
        <f>IF(AND(AI16=0,AI17=0),0,IF(AI16&lt;=0,0,IF(WEEKDAY(AI$6,1)=1,AI16*AI17,0)))</f>
        <v>0</v>
      </c>
      <c r="AJ20" s="63">
        <f>IF(AND(AJ16=0,AJ17=0),0,IF(AJ16&lt;=0,0,IF(WEEKDAY(AJ$6,1)=1,AJ16*AJ17,0)))</f>
        <v>0</v>
      </c>
      <c r="AK20" s="64">
        <f>IF(AND(AK16=0,AK17=0),0,IF(AK16&lt;=0,0,IF(WEEKDAY(AK$6,1)=1,AK16*AK17,0)))</f>
        <v>0</v>
      </c>
      <c r="AL20" s="64">
        <f>IF(AND(AL16=0,AL17=0),0,IF(AL16&lt;=0,0,IF(WEEKDAY(AL$6,1)=1,AL16*AL17,0)))</f>
        <v>0</v>
      </c>
      <c r="AM20" s="63">
        <f>IF(AND(AM16=0,AM17=0),0,IF(AM16&lt;=0,0,IF(WEEKDAY(AM$6,1)=1,AM16*AM17,0)))</f>
        <v>0</v>
      </c>
      <c r="AN20" s="63">
        <f>IF(AND(AN16=0,AN17=0),0,IF(AN16&lt;=0,0,IF(WEEKDAY(AN$6,1)=1,AN16*AN17,0)))</f>
        <v>0</v>
      </c>
      <c r="AO20" s="63">
        <f>IF(AND(AO16=0,AO17=0),0,IF(AO16&lt;=0,0,IF(WEEKDAY(AO$6,1)=1,AO16*AO17,0)))</f>
        <v>0</v>
      </c>
      <c r="AP20" s="63">
        <f>IF(AND(AP16=0,AP17=0),0,IF(AP16&lt;=0,0,IF(WEEKDAY(AP$6,1)=1,AP16*AP17,0)))</f>
        <v>0</v>
      </c>
      <c r="AQ20" s="63">
        <f>IF(AND(AQ16=0,AQ17=0),0,IF(AQ16&lt;=0,0,IF(WEEKDAY(AQ$6,1)=1,AQ16*AQ17,0)))</f>
        <v>0</v>
      </c>
      <c r="AR20" s="64">
        <f>IF(AND(AR16=0,AR17=0),0,IF(AR16&lt;=0,0,IF(WEEKDAY(AR$6,1)=1,AR16*AR17,0)))</f>
        <v>0</v>
      </c>
      <c r="AS20" s="64">
        <f>IF(AND(AS16=0,AS17=0),0,IF(AS16&lt;=0,0,IF(WEEKDAY(AS$6,1)=1,AS16*AS17,0)))</f>
        <v>0</v>
      </c>
      <c r="AT20" s="63">
        <f>IF(AND(AT16=0,AT17=0),0,IF(AT16&lt;=0,0,IF(WEEKDAY(AT$6,1)=1,AT16*AT17,0)))</f>
        <v>0</v>
      </c>
      <c r="AU20" s="63">
        <f>IF(AND(AU16=0,AU17=0),0,IF(AU16&lt;=0,0,IF(WEEKDAY(AU$6,1)=1,AU16*AU17,0)))</f>
        <v>0</v>
      </c>
      <c r="AV20" s="63">
        <f>IF(AND(AV16=0,AV17=0),0,IF(AV16&lt;=0,0,IF(WEEKDAY(AV$6,1)=1,AV16*AV17,0)))</f>
        <v>0</v>
      </c>
      <c r="AW20" s="63">
        <f>IF(AND(AW16=0,AW17=0),0,IF(AW16&lt;=0,0,IF(WEEKDAY(AW$6,1)=1,AW16*AW17,0)))</f>
        <v>0</v>
      </c>
      <c r="AX20" s="63">
        <f>IF(AND(AX16=0,AX17=0),0,IF(AX16&lt;=0,0,IF(WEEKDAY(AX$6,1)=1,AX16*AX17,0)))</f>
        <v>0</v>
      </c>
      <c r="AY20" s="64">
        <f>IF(AND(AY16=0,AY17=0),0,IF(AY16&lt;=0,0,IF(WEEKDAY(AY$6,1)=1,AY16*AY17,0)))</f>
        <v>0</v>
      </c>
      <c r="AZ20" s="64">
        <f>IF(AND(AZ16=0,AZ17=0),0,IF(AZ16&lt;=0,0,IF(WEEKDAY(AZ$6,1)=1,AZ16*AZ17,0)))</f>
        <v>0</v>
      </c>
      <c r="BA20" s="63">
        <f>IF(AND(BA16=0,BA17=0),0,IF(BA16&lt;=0,0,IF(WEEKDAY(BA$6,1)=1,BA16*BA17,0)))</f>
        <v>0</v>
      </c>
      <c r="BB20" s="63">
        <f>IF(AND(BB16=0,BB17=0),0,IF(BB16&lt;=0,0,IF(WEEKDAY(BB$6,1)=1,BB16*BB17,0)))</f>
        <v>0</v>
      </c>
      <c r="BC20" s="63">
        <f>IF(AND(BC16=0,BC17=0),0,IF(BC16&lt;=0,0,IF(WEEKDAY(BC$6,1)=1,BC16*BC17,0)))</f>
        <v>0</v>
      </c>
      <c r="BD20" s="63">
        <f>IF(AND(BD16=0,BD17=0),0,IF(BD16&lt;=0,0,IF(WEEKDAY(BD$6,1)=1,BD16*BD17,0)))</f>
        <v>0</v>
      </c>
      <c r="BE20" s="63">
        <f>IF(AND(BE16=0,BE17=0),0,IF(BE16&lt;=0,0,IF(WEEKDAY(BE$6,1)=1,BE16*BE17,0)))</f>
        <v>0</v>
      </c>
      <c r="BF20" s="64">
        <f>IF(AND(BF16=0,BF17=0),0,IF(BF16&lt;=0,0,IF(WEEKDAY(BF$6,1)=1,BF16*BF17,0)))</f>
        <v>0</v>
      </c>
      <c r="BG20" s="64">
        <f>IF(AND(BG16=0,BG17=0),0,IF(BG16&lt;=0,0,IF(WEEKDAY(BG$6,1)=1,BG16*BG17,0)))</f>
        <v>0</v>
      </c>
      <c r="BH20" s="63">
        <f>IF(AND(BH16=1,BH17=10),0,IF(BH16&lt;=0,0,IF(WEEKDAY(BH$6,1)=1,BH16*BH17,0)))</f>
        <v>0</v>
      </c>
      <c r="BI20" s="63">
        <f>IF(AND(BI16=2,BI17=10),0,IF(BI16&lt;=0,0,IF(WEEKDAY(BI$6,1)=1,BI16*BI17,0)))</f>
        <v>0</v>
      </c>
      <c r="BJ20" s="63">
        <f>IF(AND(BJ16=3,BJ17=10),0,IF(BJ16&lt;=0,0,IF(WEEKDAY(BJ$6,1)=1,BJ16*BJ17,0)))</f>
        <v>0</v>
      </c>
      <c r="BK20" s="63">
        <f>IF(AND(BK16=3,BK17=10),0,IF(BK16&lt;=0,0,IF(WEEKDAY(BK$6,1)=1,BK16*BK17,0)))</f>
        <v>0</v>
      </c>
      <c r="BL20" s="63">
        <f>IF(AND(BL16=3,BL17=10),0,IF(BL16&lt;=0,0,IF(WEEKDAY(BL$6,1)=1,BL16*BL17,0)))</f>
        <v>0</v>
      </c>
      <c r="BM20" s="64">
        <f>IF(AND(BM16=3,BM17=10),0,IF(BM16&lt;=0,0,IF(WEEKDAY(BM$6,1)=1,BM16*BM17,0)))</f>
        <v>0</v>
      </c>
      <c r="BN20" s="64">
        <f>IF(AND(BN16=3,BN17=10),30,IF(BN16&lt;=0,0,IF(WEEKDAY(BN$6,1)=1,BN16*BN17,0)))</f>
        <v>30</v>
      </c>
      <c r="BO20" s="63">
        <f>IF(AND(BO16=3,BO17=10),0,IF(BO16&lt;=0,0,IF(WEEKDAY(BO$6,1)=1,BO16*BO17,0)))</f>
        <v>0</v>
      </c>
      <c r="BP20" s="63">
        <f>IF(AND(BP16=3,BP17=10),0,IF(BP16&lt;=0,0,IF(WEEKDAY(BP$6,1)=1,BP16*BP17,0)))</f>
        <v>0</v>
      </c>
      <c r="BQ20" s="63">
        <f>IF(AND(BQ16=3,BQ17=10),0,IF(BQ16&lt;=0,0,IF(WEEKDAY(BQ$6,1)=1,BQ16*BQ17,0)))</f>
        <v>0</v>
      </c>
      <c r="BR20" s="63">
        <f>IF(AND(BR16=27,BR17=10),0,IF(BR16&lt;=0,0,IF(WEEKDAY(BR$6,1)=1,BR16*BR17,0)))</f>
        <v>0</v>
      </c>
      <c r="BS20" s="63">
        <f>IF(AND(BS16=27,BS17=10),0,IF(BS16&lt;=0,0,IF(WEEKDAY(BS$6,1)=1,BS16*BS17,0)))</f>
        <v>0</v>
      </c>
      <c r="BT20" s="64">
        <f>IF(AND(BT16=27,BT17=10),0,IF(BT16&lt;=0,0,IF(WEEKDAY(BT$6,1)=1,BT16*BT17,0)))</f>
        <v>0</v>
      </c>
      <c r="BU20" s="64">
        <f>IF(AND(BU16=27,BU17=10),270,IF(BU16&lt;=0,0,IF(WEEKDAY(BU$6,1)=1,BU16*BU17,0)))</f>
        <v>270</v>
      </c>
      <c r="BV20" s="63">
        <f>IF(AND(BV16=27,BV17=10),0,IF(BV16&lt;=0,0,IF(WEEKDAY(BV$6,1)=1,BV16*BV17,0)))</f>
        <v>0</v>
      </c>
      <c r="BW20" s="63">
        <f>IF(AND(BW16=27,BW17=10),0,IF(BW16&lt;=0,0,IF(WEEKDAY(BW$6,1)=1,BW16*BW17,0)))</f>
        <v>0</v>
      </c>
      <c r="BX20" s="63">
        <f>IF(AND(BX16=27,BX17=10),0,IF(BX16&lt;=0,0,IF(WEEKDAY(BX$6,1)=1,BX16*BX17,0)))</f>
        <v>0</v>
      </c>
      <c r="BY20" s="63">
        <f>IF(AND(BY16=27,BY17=10),0,IF(BY16&lt;=0,0,IF(WEEKDAY(BY$6,1)=1,BY16*BY17,0)))</f>
        <v>0</v>
      </c>
      <c r="BZ20" s="63">
        <f>IF(AND(BZ16=27,BZ17=10),0,IF(BZ16&lt;=0,0,IF(WEEKDAY(BZ$6,1)=1,BZ16*BZ17,0)))</f>
        <v>0</v>
      </c>
      <c r="CA20" s="64">
        <f>IF(AND(CA16=27,CA17=10),0,IF(CA16&lt;=0,0,IF(WEEKDAY(CA$6,1)=1,CA16*CA17,0)))</f>
        <v>0</v>
      </c>
      <c r="CB20" s="64">
        <f>IF(AND(CB16=27,CB17=10),270,IF(CB16&lt;=0,0,IF(WEEKDAY(CB$6,1)=1,CB16*CB17,0)))</f>
        <v>270</v>
      </c>
      <c r="CC20" s="63">
        <f>IF(AND(CC16=27,CC17=10),0,IF(CC16&lt;=0,0,IF(WEEKDAY(CC$6,1)=1,CC16*CC17,0)))</f>
        <v>0</v>
      </c>
      <c r="CD20" s="63">
        <f>IF(AND(CD16=27,CD17=10),0,IF(CD16&lt;=0,0,IF(WEEKDAY(CD$6,1)=1,CD16*CD17,0)))</f>
        <v>0</v>
      </c>
      <c r="CE20" s="63">
        <f>IF(AND(CE16=27,CE17=10),0,IF(CE16&lt;=0,0,IF(WEEKDAY(CE$6,1)=1,CE16*CE17,0)))</f>
        <v>0</v>
      </c>
      <c r="CF20" s="63">
        <f>IF(AND(CF16=27,CF17=10),0,IF(CF16&lt;=0,0,IF(WEEKDAY(CF$6,1)=1,CF16*CF17,0)))</f>
        <v>0</v>
      </c>
      <c r="CG20" s="63">
        <f>IF(AND(CG16=27,CG17=10),0,IF(CG16&lt;=0,0,IF(WEEKDAY(CG$6,1)=1,CG16*CG17,0)))</f>
        <v>0</v>
      </c>
      <c r="CH20" s="64">
        <f>IF(AND(CH16=27,CH17=10),0,IF(CH16&lt;=0,0,IF(WEEKDAY(CH$6,1)=1,CH16*CH17,0)))</f>
        <v>0</v>
      </c>
      <c r="CI20" s="64">
        <f>IF(AND(CI16=27,CI17=10),270,IF(CI16&lt;=0,0,IF(WEEKDAY(CI$6,1)=1,CI16*CI17,0)))</f>
        <v>270</v>
      </c>
      <c r="CJ20" s="63">
        <f>IF(AND(CJ16=27,CJ17=10),0,IF(CJ16&lt;=0,0,IF(WEEKDAY(CJ$6,1)=1,CJ16*CJ17,0)))</f>
        <v>0</v>
      </c>
      <c r="CK20" s="63">
        <f>IF(AND(CK16=27,CK17=10),0,IF(CK16&lt;=0,0,IF(WEEKDAY(CK$6,1)=1,CK16*CK17,0)))</f>
        <v>0</v>
      </c>
      <c r="CL20" s="63">
        <f>IF(AND(CL16=25,CL17=10),0,IF(CL16&lt;=0,0,IF(WEEKDAY(CL$6,1)=1,CL16*CL17,0)))</f>
        <v>0</v>
      </c>
      <c r="CM20" s="63">
        <f>IF(AND(CM16=25,CM17=10),0,IF(CM16&lt;=0,0,IF(WEEKDAY(CM$6,1)=1,CM16*CM17,0)))</f>
        <v>0</v>
      </c>
      <c r="CN20" s="63">
        <f>IF(AND(CN16=25,CN17=10),0,IF(CN16&lt;=0,0,IF(WEEKDAY(CN$6,1)=1,CN16*CN17,0)))</f>
        <v>0</v>
      </c>
      <c r="CO20" s="64">
        <f>IF(AND(CO16=25,CO17=10),0,IF(CO16&lt;=0,0,IF(WEEKDAY(CO$6,1)=1,CO16*CO17,0)))</f>
        <v>0</v>
      </c>
      <c r="CP20" s="64">
        <f>IF(AND(CP16=25,CP17=10),250,IF(CP16&lt;=0,0,IF(WEEKDAY(CP$6,1)=1,CP16*CP17,0)))</f>
        <v>250</v>
      </c>
      <c r="CQ20" s="63">
        <f>IF(AND(CQ16=25,CQ17=10),0,IF(CQ16&lt;=0,0,IF(WEEKDAY(CQ$6,1)=1,CQ16*CQ17,0)))</f>
        <v>0</v>
      </c>
      <c r="CR20" s="63">
        <f>IF(AND(CR16=25,CR17=10),0,IF(CR16&lt;=0,0,IF(WEEKDAY(CR$6,1)=1,CR16*CR17,0)))</f>
        <v>0</v>
      </c>
      <c r="CS20" s="63">
        <f>IF(AND(CS16=25,CS17=10),0,IF(CS16&lt;=0,0,IF(WEEKDAY(CS$6,1)=1,CS16*CS17,0)))</f>
        <v>0</v>
      </c>
      <c r="CT20" s="63">
        <f>IF(AND(CT16=25,CT17=10),0,IF(CT16&lt;=0,0,IF(WEEKDAY(CT$6,1)=1,CT16*CT17,0)))</f>
        <v>0</v>
      </c>
      <c r="CU20" s="63">
        <f>IF(AND(CU16=25,CU17=10),0,IF(CU16&lt;=0,0,IF(WEEKDAY(CU$6,1)=1,CU16*CU17,0)))</f>
        <v>0</v>
      </c>
      <c r="CV20" s="64">
        <f>IF(AND(CV16=25,CV17=10),0,IF(CV16&lt;=0,0,IF(WEEKDAY(CV$6,1)=1,CV16*CV17,0)))</f>
        <v>0</v>
      </c>
      <c r="CW20" s="64">
        <f>IF(AND(CW16=25,CW17=10),250,IF(CW16&lt;=0,0,IF(WEEKDAY(CW$6,1)=1,CW16*CW17,0)))</f>
        <v>250</v>
      </c>
      <c r="CX20" s="63">
        <f>IF(AND(CX16=25,CX17=10),0,IF(CX16&lt;=0,0,IF(WEEKDAY(CX$6,1)=1,CX16*CX17,0)))</f>
        <v>0</v>
      </c>
      <c r="CY20" s="63">
        <f>IF(AND(CY16=25,CY17=10),0,IF(CY16&lt;=0,0,IF(WEEKDAY(CY$6,1)=1,CY16*CY17,0)))</f>
        <v>0</v>
      </c>
      <c r="CZ20" s="63">
        <f>IF(AND(CZ16=25,CZ17=10),0,IF(CZ16&lt;=0,0,IF(WEEKDAY(CZ$6,1)=1,CZ16*CZ17,0)))</f>
        <v>0</v>
      </c>
      <c r="DA20" s="63">
        <f>IF(AND(DA16=25,DA17=10),0,IF(DA16&lt;=0,0,IF(WEEKDAY(DA$6,1)=1,DA16*DA17,0)))</f>
        <v>0</v>
      </c>
      <c r="DB20" s="63">
        <f>IF(AND(DB16=25,DB17=10),0,IF(DB16&lt;=0,0,IF(WEEKDAY(DB$6,1)=1,DB16*DB17,0)))</f>
        <v>0</v>
      </c>
      <c r="DC20" s="64">
        <f>IF(AND(DC16=25,DC17=10),0,IF(DC16&lt;=0,0,IF(WEEKDAY(DC$6,1)=1,DC16*DC17,0)))</f>
        <v>0</v>
      </c>
      <c r="DD20" s="64">
        <f>IF(AND(DD16=0,DD17=0),0,IF(DD16&lt;=0,0,IF(WEEKDAY(DD$6,1)=1,DD16*DD17,0)))</f>
        <v>0</v>
      </c>
      <c r="DE20" s="63">
        <f>IF(AND(DE16=4,DE17=10),0,IF(DE16&lt;=0,0,IF(WEEKDAY(DE$6,1)=1,DE16*DE17,0)))</f>
        <v>0</v>
      </c>
      <c r="DF20" s="63">
        <f>IF(AND(DF16=0,DF17=0),0,IF(DF16&lt;=0,0,IF(WEEKDAY(DF$6,1)=1,DF16*DF17,0)))</f>
        <v>0</v>
      </c>
      <c r="DG20" s="63">
        <f>IF(AND(DG16=0,DG17=0),0,IF(DG16&lt;=0,0,IF(WEEKDAY(DG$6,1)=1,DG16*DG17,0)))</f>
        <v>0</v>
      </c>
      <c r="DH20" s="63">
        <f>IF(AND(DH16=0,DH17=0),0,IF(DH16&lt;=0,0,IF(WEEKDAY(DH$6,1)=1,DH16*DH17,0)))</f>
        <v>0</v>
      </c>
      <c r="DI20" s="63">
        <f>IF(AND(DI16=0,DI17=0),0,IF(DI16&lt;=0,0,IF(WEEKDAY(DI$6,1)=1,DI16*DI17,0)))</f>
        <v>0</v>
      </c>
      <c r="DJ20" s="64">
        <f>IF(AND(DJ16=0,DJ17=0),0,IF(DJ16&lt;=0,0,IF(WEEKDAY(DJ$6,1)=1,DJ16*DJ17,0)))</f>
        <v>0</v>
      </c>
      <c r="DK20" s="64">
        <f>IF(AND(DK16=0,DK17=0),0,IF(DK16&lt;=0,0,IF(WEEKDAY(DK$6,1)=1,DK16*DK17,0)))</f>
        <v>0</v>
      </c>
      <c r="DL20" s="63">
        <f>IF(AND(DL16=0,DL17=0),0,IF(DL16&lt;=0,0,IF(WEEKDAY(DL$6,1)=1,DL16*DL17,0)))</f>
        <v>0</v>
      </c>
      <c r="DM20" s="63">
        <f>IF(AND(DM16=0,DM17=0),0,IF(DM16&lt;=0,0,IF(WEEKDAY(DM$6,1)=1,DM16*DM17,0)))</f>
        <v>0</v>
      </c>
      <c r="DN20" s="63">
        <f>IF(AND(DN16=0,DN17=0),0,IF(DN16&lt;=0,0,IF(WEEKDAY(DN$6,1)=1,DN16*DN17,0)))</f>
        <v>0</v>
      </c>
      <c r="DO20" s="63">
        <f>IF(AND(DO16=0,DO17=0),0,IF(DO16&lt;=0,0,IF(WEEKDAY(DO$6,1)=1,DO16*DO17,0)))</f>
        <v>0</v>
      </c>
      <c r="DP20" s="63">
        <f>IF(AND(DP16=0,DP17=0),0,IF(DP16&lt;=0,0,IF(WEEKDAY(DP$6,1)=1,DP16*DP17,0)))</f>
        <v>0</v>
      </c>
      <c r="DQ20" s="64">
        <f>IF(AND(DQ16=0,DQ17=0),0,IF(DQ16&lt;=0,0,IF(WEEKDAY(DQ$6,1)=1,DQ16*DQ17,0)))</f>
        <v>0</v>
      </c>
      <c r="DR20" s="64">
        <f>IF(AND(DR16=0,DR17=0),0,IF(DR16&lt;=0,0,IF(WEEKDAY(DR$6,1)=1,DR16*DR17,0)))</f>
        <v>0</v>
      </c>
      <c r="DS20" s="63">
        <f>IF(AND(DS16=0,DS17=0),0,IF(DS16&lt;=0,0,IF(WEEKDAY(DS$6,1)=1,DS16*DS17,0)))</f>
        <v>0</v>
      </c>
      <c r="DT20" s="63">
        <f>IF(AND(DT16=0,DT17=0),0,IF(DT16&lt;=0,0,IF(WEEKDAY(DT$6,1)=1,DT16*DT17,0)))</f>
        <v>0</v>
      </c>
      <c r="DU20" s="63">
        <f>IF(AND(DU16=0,DU17=0),0,IF(DU16&lt;=0,0,IF(WEEKDAY(DU$6,1)=1,DU16*DU17,0)))</f>
        <v>0</v>
      </c>
      <c r="DV20" s="63">
        <f>IF(AND(DV16=0,DV17=0),0,IF(DV16&lt;=0,0,IF(WEEKDAY(DV$6,1)=1,DV16*DV17,0)))</f>
        <v>0</v>
      </c>
      <c r="DW20" s="63">
        <f>IF(AND(DW16=0,DW17=0),0,IF(DW16&lt;=0,0,IF(WEEKDAY(DW$6,1)=1,DW16*DW17,0)))</f>
        <v>0</v>
      </c>
      <c r="DX20" s="64">
        <f>IF(AND(DX16=0,DX17=0),0,IF(DX16&lt;=0,0,IF(WEEKDAY(DX$6,1)=1,DX16*DX17,0)))</f>
        <v>0</v>
      </c>
      <c r="DY20" s="64">
        <f>IF(AND(DY16=0,DY17=0),0,IF(DY16&lt;=0,0,IF(WEEKDAY(DY$6,1)=1,DY16*DY17,0)))</f>
        <v>0</v>
      </c>
      <c r="DZ20" s="63">
        <f>IF(AND(DZ16=0,DZ17=0),0,IF(DZ16&lt;=0,0,IF(WEEKDAY(DZ$6,1)=1,DZ16*DZ17,0)))</f>
        <v>0</v>
      </c>
      <c r="EA20" s="63">
        <f>IF(AND(EA16=0,EA17=0),0,IF(EA16&lt;=0,0,IF(WEEKDAY(EA$6,1)=1,EA16*EA17,0)))</f>
        <v>0</v>
      </c>
      <c r="EB20" s="63">
        <f>IF(AND(EB16=0,EB17=0),0,IF(EB16&lt;=0,0,IF(WEEKDAY(EB$6,1)=1,EB16*EB17,0)))</f>
        <v>0</v>
      </c>
      <c r="EC20" s="63">
        <f>IF(AND(EC16=0,EC17=0),0,IF(EC16&lt;=0,0,IF(WEEKDAY(EC$6,1)=1,EC16*EC17,0)))</f>
        <v>0</v>
      </c>
      <c r="ED20" s="63">
        <f>IF(AND(ED16=0,ED17=0),0,IF(ED16&lt;=0,0,IF(WEEKDAY(ED$6,1)=1,ED16*ED17,0)))</f>
        <v>0</v>
      </c>
      <c r="EE20" s="64">
        <f>IF(AND(EE16=0,EE17=0),0,IF(EE16&lt;=0,0,IF(WEEKDAY(EE$6,1)=1,EE16*EE17,0)))</f>
        <v>0</v>
      </c>
      <c r="EF20" s="64">
        <f>IF(AND(EF16=0,EF17=0),0,IF(EF16&lt;=0,0,IF(WEEKDAY(EF$6,1)=1,EF16*EF17,0)))</f>
        <v>0</v>
      </c>
      <c r="EG20" s="63">
        <f>IF(AND(EG16=0,EG17=0),0,IF(EG16&lt;=0,0,IF(WEEKDAY(EG$6,1)=1,EG16*EG17,0)))</f>
        <v>0</v>
      </c>
      <c r="EH20" s="63">
        <f>IF(AND(EH16=0,EH17=0),0,IF(EH16&lt;=0,0,IF(WEEKDAY(EH$6,1)=1,EH16*EH17,0)))</f>
        <v>0</v>
      </c>
      <c r="EI20" s="63">
        <f>IF(AND(EI16=0,EI17=0),0,IF(EI16&lt;=0,0,IF(WEEKDAY(EI$6,1)=1,EI16*EI17,0)))</f>
        <v>0</v>
      </c>
      <c r="EJ20" s="63">
        <f>IF(AND(EJ16=0,EJ17=0),0,IF(EJ16&lt;=0,0,IF(WEEKDAY(EJ$6,1)=1,EJ16*EJ17,0)))</f>
        <v>0</v>
      </c>
      <c r="EK20" s="65">
        <f>IF(AND(EK16=0,EK17=0),0,IF(EK16&lt;=0,0,IF(WEEKDAY(EK$6,1)=1,EK16*EK17,0)))</f>
        <v>0</v>
      </c>
      <c r="OU20" s="28" t="s">
        <v>113</v>
      </c>
    </row>
    <row r="21" ht="16" customHeight="1" spans="1:411" x14ac:dyDescent="0.25">
      <c r="A21" s="74"/>
      <c r="B21" s="46"/>
      <c r="C21" s="67">
        <f>I15*D21</f>
        <v>126100</v>
      </c>
      <c r="D21" s="67">
        <v>130</v>
      </c>
      <c r="E21" s="68" t="s">
        <v>65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1">
        <v>0</v>
      </c>
      <c r="AS21" s="71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1">
        <v>0</v>
      </c>
      <c r="AZ21" s="71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1">
        <v>0</v>
      </c>
      <c r="BG21" s="71">
        <v>0</v>
      </c>
      <c r="BH21" s="70">
        <v>7</v>
      </c>
      <c r="BI21" s="70">
        <v>7</v>
      </c>
      <c r="BJ21" s="70">
        <v>7</v>
      </c>
      <c r="BK21" s="70">
        <v>7</v>
      </c>
      <c r="BL21" s="70">
        <v>7</v>
      </c>
      <c r="BM21" s="71">
        <v>7</v>
      </c>
      <c r="BN21" s="71">
        <v>7</v>
      </c>
      <c r="BO21" s="70">
        <v>7</v>
      </c>
      <c r="BP21" s="70">
        <v>7</v>
      </c>
      <c r="BQ21" s="70">
        <v>7</v>
      </c>
      <c r="BR21" s="70">
        <v>25</v>
      </c>
      <c r="BS21" s="70">
        <v>25</v>
      </c>
      <c r="BT21" s="71">
        <v>25</v>
      </c>
      <c r="BU21" s="71">
        <v>25</v>
      </c>
      <c r="BV21" s="70">
        <v>25</v>
      </c>
      <c r="BW21" s="70">
        <v>25</v>
      </c>
      <c r="BX21" s="70">
        <v>25</v>
      </c>
      <c r="BY21" s="70">
        <v>25</v>
      </c>
      <c r="BZ21" s="70">
        <v>25</v>
      </c>
      <c r="CA21" s="71">
        <v>25</v>
      </c>
      <c r="CB21" s="71">
        <v>25</v>
      </c>
      <c r="CC21" s="70">
        <v>25</v>
      </c>
      <c r="CD21" s="70">
        <v>25</v>
      </c>
      <c r="CE21" s="70">
        <v>25</v>
      </c>
      <c r="CF21" s="70">
        <v>25</v>
      </c>
      <c r="CG21" s="70">
        <v>25</v>
      </c>
      <c r="CH21" s="71">
        <v>25</v>
      </c>
      <c r="CI21" s="71">
        <v>25</v>
      </c>
      <c r="CJ21" s="70">
        <v>25</v>
      </c>
      <c r="CK21" s="70">
        <v>25</v>
      </c>
      <c r="CL21" s="70">
        <v>22</v>
      </c>
      <c r="CM21" s="70">
        <v>22</v>
      </c>
      <c r="CN21" s="70">
        <v>22</v>
      </c>
      <c r="CO21" s="71">
        <v>22</v>
      </c>
      <c r="CP21" s="71">
        <v>22</v>
      </c>
      <c r="CQ21" s="70">
        <v>22</v>
      </c>
      <c r="CR21" s="70">
        <v>22</v>
      </c>
      <c r="CS21" s="70">
        <v>22</v>
      </c>
      <c r="CT21" s="70">
        <v>22</v>
      </c>
      <c r="CU21" s="70">
        <v>22</v>
      </c>
      <c r="CV21" s="71">
        <v>22</v>
      </c>
      <c r="CW21" s="71">
        <v>22</v>
      </c>
      <c r="CX21" s="70">
        <v>22</v>
      </c>
      <c r="CY21" s="70">
        <v>22</v>
      </c>
      <c r="CZ21" s="70">
        <v>22</v>
      </c>
      <c r="DA21" s="70">
        <v>22</v>
      </c>
      <c r="DB21" s="70">
        <v>22</v>
      </c>
      <c r="DC21" s="71">
        <v>22</v>
      </c>
      <c r="DD21" s="71">
        <v>0</v>
      </c>
      <c r="DE21" s="70">
        <v>4</v>
      </c>
      <c r="DF21" s="70">
        <v>0</v>
      </c>
      <c r="DG21" s="70">
        <v>0</v>
      </c>
      <c r="DH21" s="70">
        <v>0</v>
      </c>
      <c r="DI21" s="70">
        <v>0</v>
      </c>
      <c r="DJ21" s="71">
        <v>0</v>
      </c>
      <c r="DK21" s="71">
        <v>0</v>
      </c>
      <c r="DL21" s="70">
        <v>0</v>
      </c>
      <c r="DM21" s="70">
        <v>0</v>
      </c>
      <c r="DN21" s="70">
        <v>0</v>
      </c>
      <c r="DO21" s="70">
        <v>0</v>
      </c>
      <c r="DP21" s="70">
        <v>0</v>
      </c>
      <c r="DQ21" s="71">
        <v>0</v>
      </c>
      <c r="DR21" s="71">
        <v>0</v>
      </c>
      <c r="DS21" s="70">
        <v>0</v>
      </c>
      <c r="DT21" s="70">
        <v>0</v>
      </c>
      <c r="DU21" s="70">
        <v>0</v>
      </c>
      <c r="DV21" s="70">
        <v>0</v>
      </c>
      <c r="DW21" s="70">
        <v>0</v>
      </c>
      <c r="DX21" s="71">
        <v>0</v>
      </c>
      <c r="DY21" s="71">
        <v>0</v>
      </c>
      <c r="DZ21" s="70">
        <v>0</v>
      </c>
      <c r="EA21" s="70">
        <v>0</v>
      </c>
      <c r="EB21" s="70">
        <v>0</v>
      </c>
      <c r="EC21" s="70">
        <v>0</v>
      </c>
      <c r="ED21" s="70">
        <v>0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113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46" t="s">
        <v>114</v>
      </c>
      <c r="C23" s="47">
        <f>J23</f>
        <v>3990609.48</v>
      </c>
      <c r="D23" s="48"/>
      <c r="E23" s="48"/>
      <c r="F23" s="49">
        <f>SUM(K26:EK26)</f>
        <v>23856</v>
      </c>
      <c r="G23" s="49">
        <f>SUM(K27:EK27)</f>
        <v>7400</v>
      </c>
      <c r="H23" s="49">
        <f>SUM(K28:EK28)</f>
        <v>3340</v>
      </c>
      <c r="I23" s="49">
        <f>SUM(K29:EK29)</f>
        <v>2664</v>
      </c>
      <c r="J23" s="50">
        <f>C26+C27+C28</f>
        <v>3990609.48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115</v>
      </c>
    </row>
    <row r="24" ht="16" customHeight="1" spans="1:411" x14ac:dyDescent="0.25">
      <c r="A24" s="45"/>
      <c r="B24" s="46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0</v>
      </c>
      <c r="L24" s="57">
        <v>0</v>
      </c>
      <c r="M24" s="57">
        <v>0</v>
      </c>
      <c r="N24" s="57">
        <v>0</v>
      </c>
      <c r="O24" s="57">
        <v>0</v>
      </c>
      <c r="P24" s="58">
        <v>0</v>
      </c>
      <c r="Q24" s="58">
        <v>0</v>
      </c>
      <c r="R24" s="57">
        <v>20</v>
      </c>
      <c r="S24" s="57">
        <v>20</v>
      </c>
      <c r="T24" s="57">
        <v>20</v>
      </c>
      <c r="U24" s="57">
        <v>20</v>
      </c>
      <c r="V24" s="57">
        <v>20</v>
      </c>
      <c r="W24" s="58">
        <v>0</v>
      </c>
      <c r="X24" s="58">
        <v>0</v>
      </c>
      <c r="Y24" s="57">
        <v>30</v>
      </c>
      <c r="Z24" s="57">
        <v>30</v>
      </c>
      <c r="AA24" s="57">
        <v>30</v>
      </c>
      <c r="AB24" s="57">
        <v>30</v>
      </c>
      <c r="AC24" s="57">
        <v>30</v>
      </c>
      <c r="AD24" s="58">
        <v>0</v>
      </c>
      <c r="AE24" s="58">
        <v>0</v>
      </c>
      <c r="AF24" s="57">
        <v>35</v>
      </c>
      <c r="AG24" s="57">
        <v>35</v>
      </c>
      <c r="AH24" s="57">
        <v>35</v>
      </c>
      <c r="AI24" s="57">
        <v>35</v>
      </c>
      <c r="AJ24" s="57">
        <v>35</v>
      </c>
      <c r="AK24" s="58">
        <v>0</v>
      </c>
      <c r="AL24" s="58">
        <v>0</v>
      </c>
      <c r="AM24" s="57">
        <v>35</v>
      </c>
      <c r="AN24" s="57">
        <v>35</v>
      </c>
      <c r="AO24" s="57">
        <v>35</v>
      </c>
      <c r="AP24" s="57">
        <v>35</v>
      </c>
      <c r="AQ24" s="57">
        <v>35</v>
      </c>
      <c r="AR24" s="58">
        <v>0</v>
      </c>
      <c r="AS24" s="58">
        <v>0</v>
      </c>
      <c r="AT24" s="57">
        <v>38</v>
      </c>
      <c r="AU24" s="57">
        <v>38</v>
      </c>
      <c r="AV24" s="57">
        <v>38</v>
      </c>
      <c r="AW24" s="57">
        <v>38</v>
      </c>
      <c r="AX24" s="57">
        <v>38</v>
      </c>
      <c r="AY24" s="58">
        <v>0</v>
      </c>
      <c r="AZ24" s="58">
        <v>0</v>
      </c>
      <c r="BA24" s="57">
        <v>38</v>
      </c>
      <c r="BB24" s="57">
        <v>38</v>
      </c>
      <c r="BC24" s="57">
        <v>38</v>
      </c>
      <c r="BD24" s="57">
        <v>38</v>
      </c>
      <c r="BE24" s="57">
        <v>38</v>
      </c>
      <c r="BF24" s="58">
        <v>0</v>
      </c>
      <c r="BG24" s="58">
        <v>0</v>
      </c>
      <c r="BH24" s="57">
        <v>30</v>
      </c>
      <c r="BI24" s="57">
        <v>30</v>
      </c>
      <c r="BJ24" s="57">
        <v>30</v>
      </c>
      <c r="BK24" s="57">
        <v>30</v>
      </c>
      <c r="BL24" s="57">
        <v>30</v>
      </c>
      <c r="BM24" s="58">
        <v>30</v>
      </c>
      <c r="BN24" s="58">
        <v>30</v>
      </c>
      <c r="BO24" s="57">
        <v>30</v>
      </c>
      <c r="BP24" s="57">
        <v>30</v>
      </c>
      <c r="BQ24" s="57">
        <v>30</v>
      </c>
      <c r="BR24" s="57">
        <v>57</v>
      </c>
      <c r="BS24" s="57">
        <v>57</v>
      </c>
      <c r="BT24" s="58">
        <v>57</v>
      </c>
      <c r="BU24" s="58">
        <v>57</v>
      </c>
      <c r="BV24" s="57">
        <v>57</v>
      </c>
      <c r="BW24" s="57">
        <v>57</v>
      </c>
      <c r="BX24" s="57">
        <v>57</v>
      </c>
      <c r="BY24" s="57">
        <v>57</v>
      </c>
      <c r="BZ24" s="57">
        <v>57</v>
      </c>
      <c r="CA24" s="58">
        <v>57</v>
      </c>
      <c r="CB24" s="58">
        <v>57</v>
      </c>
      <c r="CC24" s="57">
        <v>57</v>
      </c>
      <c r="CD24" s="57">
        <v>57</v>
      </c>
      <c r="CE24" s="57">
        <v>57</v>
      </c>
      <c r="CF24" s="57">
        <v>57</v>
      </c>
      <c r="CG24" s="57">
        <v>57</v>
      </c>
      <c r="CH24" s="58">
        <v>57</v>
      </c>
      <c r="CI24" s="58">
        <v>57</v>
      </c>
      <c r="CJ24" s="57">
        <v>57</v>
      </c>
      <c r="CK24" s="57">
        <v>57</v>
      </c>
      <c r="CL24" s="57">
        <v>57</v>
      </c>
      <c r="CM24" s="57">
        <v>57</v>
      </c>
      <c r="CN24" s="57">
        <v>57</v>
      </c>
      <c r="CO24" s="58">
        <v>57</v>
      </c>
      <c r="CP24" s="58">
        <v>57</v>
      </c>
      <c r="CQ24" s="57">
        <v>57</v>
      </c>
      <c r="CR24" s="57">
        <v>57</v>
      </c>
      <c r="CS24" s="57">
        <v>57</v>
      </c>
      <c r="CT24" s="57">
        <v>57</v>
      </c>
      <c r="CU24" s="57">
        <v>57</v>
      </c>
      <c r="CV24" s="58">
        <v>50</v>
      </c>
      <c r="CW24" s="58">
        <v>50</v>
      </c>
      <c r="CX24" s="57">
        <v>50</v>
      </c>
      <c r="CY24" s="57">
        <v>50</v>
      </c>
      <c r="CZ24" s="57">
        <v>50</v>
      </c>
      <c r="DA24" s="57">
        <v>50</v>
      </c>
      <c r="DB24" s="57">
        <v>50</v>
      </c>
      <c r="DC24" s="58">
        <v>50</v>
      </c>
      <c r="DD24" s="58">
        <v>10</v>
      </c>
      <c r="DE24" s="57">
        <v>10</v>
      </c>
      <c r="DF24" s="57">
        <v>10</v>
      </c>
      <c r="DG24" s="57">
        <v>10</v>
      </c>
      <c r="DH24" s="57">
        <v>10</v>
      </c>
      <c r="DI24" s="57">
        <v>10</v>
      </c>
      <c r="DJ24" s="58">
        <v>10</v>
      </c>
      <c r="DK24" s="58">
        <v>10</v>
      </c>
      <c r="DL24" s="57">
        <v>6</v>
      </c>
      <c r="DM24" s="57">
        <v>6</v>
      </c>
      <c r="DN24" s="57">
        <v>6</v>
      </c>
      <c r="DO24" s="57">
        <v>6</v>
      </c>
      <c r="DP24" s="57">
        <v>6</v>
      </c>
      <c r="DQ24" s="58">
        <v>6</v>
      </c>
      <c r="DR24" s="58">
        <v>6</v>
      </c>
      <c r="DS24" s="57">
        <v>6</v>
      </c>
      <c r="DT24" s="57">
        <v>20</v>
      </c>
      <c r="DU24" s="57">
        <v>20</v>
      </c>
      <c r="DV24" s="57">
        <v>20</v>
      </c>
      <c r="DW24" s="57">
        <v>20</v>
      </c>
      <c r="DX24" s="58">
        <v>0</v>
      </c>
      <c r="DY24" s="58">
        <v>0</v>
      </c>
      <c r="DZ24" s="57">
        <v>20</v>
      </c>
      <c r="EA24" s="57">
        <v>18</v>
      </c>
      <c r="EB24" s="57">
        <v>18</v>
      </c>
      <c r="EC24" s="57">
        <v>18</v>
      </c>
      <c r="ED24" s="57">
        <v>18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115</v>
      </c>
    </row>
    <row r="25" ht="16" customHeight="1" spans="1:411" x14ac:dyDescent="0.25">
      <c r="A25" s="45"/>
      <c r="B25" s="46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0</v>
      </c>
      <c r="L25" s="57">
        <v>0</v>
      </c>
      <c r="M25" s="57">
        <v>0</v>
      </c>
      <c r="N25" s="57">
        <v>0</v>
      </c>
      <c r="O25" s="57">
        <v>0</v>
      </c>
      <c r="P25" s="58">
        <v>0</v>
      </c>
      <c r="Q25" s="58">
        <v>0</v>
      </c>
      <c r="R25" s="57">
        <v>8</v>
      </c>
      <c r="S25" s="57">
        <v>8</v>
      </c>
      <c r="T25" s="57">
        <v>8</v>
      </c>
      <c r="U25" s="57">
        <v>8</v>
      </c>
      <c r="V25" s="57">
        <v>8</v>
      </c>
      <c r="W25" s="58">
        <v>0</v>
      </c>
      <c r="X25" s="58">
        <v>0</v>
      </c>
      <c r="Y25" s="57">
        <v>8</v>
      </c>
      <c r="Z25" s="57">
        <v>8</v>
      </c>
      <c r="AA25" s="57">
        <v>8</v>
      </c>
      <c r="AB25" s="57">
        <v>8</v>
      </c>
      <c r="AC25" s="57">
        <v>8</v>
      </c>
      <c r="AD25" s="58">
        <v>0</v>
      </c>
      <c r="AE25" s="58">
        <v>0</v>
      </c>
      <c r="AF25" s="57">
        <v>8</v>
      </c>
      <c r="AG25" s="57">
        <v>8</v>
      </c>
      <c r="AH25" s="57">
        <v>8</v>
      </c>
      <c r="AI25" s="57">
        <v>8</v>
      </c>
      <c r="AJ25" s="57">
        <v>8</v>
      </c>
      <c r="AK25" s="58">
        <v>0</v>
      </c>
      <c r="AL25" s="58">
        <v>0</v>
      </c>
      <c r="AM25" s="57">
        <v>8</v>
      </c>
      <c r="AN25" s="57">
        <v>8</v>
      </c>
      <c r="AO25" s="57">
        <v>8</v>
      </c>
      <c r="AP25" s="57">
        <v>8</v>
      </c>
      <c r="AQ25" s="57">
        <v>8</v>
      </c>
      <c r="AR25" s="58">
        <v>0</v>
      </c>
      <c r="AS25" s="58">
        <v>0</v>
      </c>
      <c r="AT25" s="57">
        <v>8</v>
      </c>
      <c r="AU25" s="57">
        <v>8</v>
      </c>
      <c r="AV25" s="57">
        <v>8</v>
      </c>
      <c r="AW25" s="57">
        <v>8</v>
      </c>
      <c r="AX25" s="57">
        <v>8</v>
      </c>
      <c r="AY25" s="58">
        <v>0</v>
      </c>
      <c r="AZ25" s="58">
        <v>0</v>
      </c>
      <c r="BA25" s="57">
        <v>8</v>
      </c>
      <c r="BB25" s="57">
        <v>8</v>
      </c>
      <c r="BC25" s="57">
        <v>8</v>
      </c>
      <c r="BD25" s="57">
        <v>8</v>
      </c>
      <c r="BE25" s="57">
        <v>8</v>
      </c>
      <c r="BF25" s="58">
        <v>0</v>
      </c>
      <c r="BG25" s="58">
        <v>0</v>
      </c>
      <c r="BH25" s="57">
        <v>10</v>
      </c>
      <c r="BI25" s="57">
        <v>10</v>
      </c>
      <c r="BJ25" s="57">
        <v>10</v>
      </c>
      <c r="BK25" s="57">
        <v>10</v>
      </c>
      <c r="BL25" s="57">
        <v>10</v>
      </c>
      <c r="BM25" s="58">
        <v>10</v>
      </c>
      <c r="BN25" s="58">
        <v>10</v>
      </c>
      <c r="BO25" s="57">
        <v>10</v>
      </c>
      <c r="BP25" s="57">
        <v>10</v>
      </c>
      <c r="BQ25" s="57">
        <v>10</v>
      </c>
      <c r="BR25" s="57">
        <v>10</v>
      </c>
      <c r="BS25" s="57">
        <v>10</v>
      </c>
      <c r="BT25" s="58">
        <v>10</v>
      </c>
      <c r="BU25" s="58">
        <v>10</v>
      </c>
      <c r="BV25" s="57">
        <v>10</v>
      </c>
      <c r="BW25" s="57">
        <v>10</v>
      </c>
      <c r="BX25" s="57">
        <v>10</v>
      </c>
      <c r="BY25" s="57">
        <v>10</v>
      </c>
      <c r="BZ25" s="57">
        <v>10</v>
      </c>
      <c r="CA25" s="58">
        <v>10</v>
      </c>
      <c r="CB25" s="58">
        <v>10</v>
      </c>
      <c r="CC25" s="57">
        <v>10</v>
      </c>
      <c r="CD25" s="57">
        <v>10</v>
      </c>
      <c r="CE25" s="57">
        <v>10</v>
      </c>
      <c r="CF25" s="57">
        <v>10</v>
      </c>
      <c r="CG25" s="57">
        <v>10</v>
      </c>
      <c r="CH25" s="58">
        <v>10</v>
      </c>
      <c r="CI25" s="58">
        <v>10</v>
      </c>
      <c r="CJ25" s="57">
        <v>10</v>
      </c>
      <c r="CK25" s="57">
        <v>10</v>
      </c>
      <c r="CL25" s="57">
        <v>10</v>
      </c>
      <c r="CM25" s="57">
        <v>10</v>
      </c>
      <c r="CN25" s="57">
        <v>10</v>
      </c>
      <c r="CO25" s="58">
        <v>10</v>
      </c>
      <c r="CP25" s="58">
        <v>10</v>
      </c>
      <c r="CQ25" s="57">
        <v>10</v>
      </c>
      <c r="CR25" s="57">
        <v>10</v>
      </c>
      <c r="CS25" s="57">
        <v>10</v>
      </c>
      <c r="CT25" s="57">
        <v>10</v>
      </c>
      <c r="CU25" s="57">
        <v>10</v>
      </c>
      <c r="CV25" s="58">
        <v>10</v>
      </c>
      <c r="CW25" s="58">
        <v>10</v>
      </c>
      <c r="CX25" s="57">
        <v>10</v>
      </c>
      <c r="CY25" s="57">
        <v>10</v>
      </c>
      <c r="CZ25" s="57">
        <v>10</v>
      </c>
      <c r="DA25" s="57">
        <v>10</v>
      </c>
      <c r="DB25" s="57">
        <v>10</v>
      </c>
      <c r="DC25" s="58">
        <v>10</v>
      </c>
      <c r="DD25" s="58">
        <v>10</v>
      </c>
      <c r="DE25" s="57">
        <v>10</v>
      </c>
      <c r="DF25" s="57">
        <v>10</v>
      </c>
      <c r="DG25" s="57">
        <v>10</v>
      </c>
      <c r="DH25" s="57">
        <v>10</v>
      </c>
      <c r="DI25" s="57">
        <v>10</v>
      </c>
      <c r="DJ25" s="58">
        <v>10</v>
      </c>
      <c r="DK25" s="58">
        <v>10</v>
      </c>
      <c r="DL25" s="57">
        <v>10</v>
      </c>
      <c r="DM25" s="57">
        <v>10</v>
      </c>
      <c r="DN25" s="57">
        <v>10</v>
      </c>
      <c r="DO25" s="57">
        <v>10</v>
      </c>
      <c r="DP25" s="57">
        <v>10</v>
      </c>
      <c r="DQ25" s="58">
        <v>10</v>
      </c>
      <c r="DR25" s="58">
        <v>10</v>
      </c>
      <c r="DS25" s="57">
        <v>10</v>
      </c>
      <c r="DT25" s="57">
        <v>8</v>
      </c>
      <c r="DU25" s="57">
        <v>8</v>
      </c>
      <c r="DV25" s="57">
        <v>8</v>
      </c>
      <c r="DW25" s="57">
        <v>8</v>
      </c>
      <c r="DX25" s="58">
        <v>0</v>
      </c>
      <c r="DY25" s="58">
        <v>0</v>
      </c>
      <c r="DZ25" s="57">
        <v>8</v>
      </c>
      <c r="EA25" s="57">
        <v>8</v>
      </c>
      <c r="EB25" s="57">
        <v>8</v>
      </c>
      <c r="EC25" s="57">
        <v>8</v>
      </c>
      <c r="ED25" s="57">
        <v>8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115</v>
      </c>
    </row>
    <row r="26" ht="16" customHeight="1" spans="1:411" x14ac:dyDescent="0.25">
      <c r="A26" s="45"/>
      <c r="B26" s="46"/>
      <c r="C26" s="61">
        <f>F23*N(D26)</f>
        <v>2369616.48</v>
      </c>
      <c r="D26" s="61">
        <f>IF(TRIM(B23)="","No rate",IFERROR(INDEX('Rate Tables'!C$7:C$158,MATCH(B23,'Rate Tables'!A$7:A$158,0)),"No rate"))</f>
        <v>99.33</v>
      </c>
      <c r="E26" s="55" t="s">
        <v>62</v>
      </c>
      <c r="F26" s="49"/>
      <c r="G26" s="49"/>
      <c r="H26" s="49"/>
      <c r="I26" s="49"/>
      <c r="J26" s="50"/>
      <c r="K26" s="62">
        <f>IF(AND(K24=0,K25=0),0,MIN(IF(K24&lt;=0,0,IF(WEEKDAY(K$6,1)=1,0,IF(WEEKDAY(K$6,1)=7,0,MIN(8,K25)*K24))),MAX(0,40*MAX(1,K24)-(0))))</f>
        <v>0</v>
      </c>
      <c r="L26" s="63">
        <f>IF(AND(L24=0,L25=0),0,MIN(IF(L24&lt;=0,0,IF(WEEKDAY(L$6,1)=1,0,IF(WEEKDAY(L$6,1)=7,0,MIN(8,L25)*L24))),MAX(0,40*MAX(1,L24)-(K26))))</f>
        <v>0</v>
      </c>
      <c r="M26" s="63">
        <f>IF(AND(M24=0,M25=0),0,MIN(IF(M24&lt;=0,0,IF(WEEKDAY(M$6,1)=1,0,IF(WEEKDAY(M$6,1)=7,0,MIN(8,M25)*M24))),MAX(0,40*MAX(1,M24)-(K26+L26))))</f>
        <v>0</v>
      </c>
      <c r="N26" s="63">
        <f>IF(AND(N24=0,N25=0),0,MIN(IF(N24&lt;=0,0,IF(WEEKDAY(N$6,1)=1,0,IF(WEEKDAY(N$6,1)=7,0,MIN(8,N25)*N24))),MAX(0,40*MAX(1,N24)-(K26+L26+M26))))</f>
        <v>0</v>
      </c>
      <c r="O26" s="63">
        <f>IF(AND(O24=0,O25=0),0,MIN(IF(O24&lt;=0,0,IF(WEEKDAY(O$6,1)=1,0,IF(WEEKDAY(O$6,1)=7,0,MIN(8,O25)*O24))),MAX(0,40*MAX(1,O24)-(K26+L26+M26+N26))))</f>
        <v>0</v>
      </c>
      <c r="P26" s="64">
        <f>IF(AND(P24=0,P25=0),0,MIN(IF(P24&lt;=0,0,IF(WEEKDAY(P$6,1)=1,0,IF(WEEKDAY(P$6,1)=7,0,MIN(8,P25)*P24))),MAX(0,40*MAX(1,P24)-(K26+L26+M26+N26+O26))))</f>
        <v>0</v>
      </c>
      <c r="Q26" s="64">
        <f>IF(AND(Q24=0,Q25=0),0,MIN(IF(Q24&lt;=0,0,IF(WEEKDAY(Q$6,1)=1,0,IF(WEEKDAY(Q$6,1)=7,0,MIN(8,Q25)*Q24))),MAX(0,40*MAX(1,Q24)-(K26+L26+M26+N26+O26+P26))))</f>
        <v>0</v>
      </c>
      <c r="R26" s="63">
        <f>IF(AND(R24=20,R25=8),160,MIN(IF(R24&lt;=0,0,IF(WEEKDAY(R$6,1)=1,0,IF(WEEKDAY(R$6,1)=7,0,MIN(8,R25)*R24))),MAX(0,40*MAX(1,R24)-(0))))</f>
        <v>160</v>
      </c>
      <c r="S26" s="63">
        <f>IF(AND(S24=20,S25=8),160,MIN(IF(S24&lt;=0,0,IF(WEEKDAY(S$6,1)=1,0,IF(WEEKDAY(S$6,1)=7,0,MIN(8,S25)*S24))),MAX(0,40*MAX(1,S24)-(R26))))</f>
        <v>160</v>
      </c>
      <c r="T26" s="63">
        <f>IF(AND(T24=20,T25=8),160,MIN(IF(T24&lt;=0,0,IF(WEEKDAY(T$6,1)=1,0,IF(WEEKDAY(T$6,1)=7,0,MIN(8,T25)*T24))),MAX(0,40*MAX(1,T24)-(R26+S26))))</f>
        <v>160</v>
      </c>
      <c r="U26" s="63">
        <f>IF(AND(U24=20,U25=8),160,MIN(IF(U24&lt;=0,0,IF(WEEKDAY(U$6,1)=1,0,IF(WEEKDAY(U$6,1)=7,0,MIN(8,U25)*U24))),MAX(0,40*MAX(1,U24)-(R26+S26+T26))))</f>
        <v>160</v>
      </c>
      <c r="V26" s="63">
        <f>IF(AND(V24=20,V25=8),160,MIN(IF(V24&lt;=0,0,IF(WEEKDAY(V$6,1)=1,0,IF(WEEKDAY(V$6,1)=7,0,MIN(8,V25)*V24))),MAX(0,40*MAX(1,V24)-(R26+S26+T26+U26))))</f>
        <v>160</v>
      </c>
      <c r="W26" s="64">
        <f>IF(AND(W24=0,W25=0),0,MIN(IF(W24&lt;=0,0,IF(WEEKDAY(W$6,1)=1,0,IF(WEEKDAY(W$6,1)=7,0,MIN(8,W25)*W24))),MAX(0,40*MAX(1,W24)-(0))))</f>
        <v>0</v>
      </c>
      <c r="X26" s="64">
        <f>IF(AND(X24=0,X25=0),0,MIN(IF(X24&lt;=0,0,IF(WEEKDAY(X$6,1)=1,0,IF(WEEKDAY(X$6,1)=7,0,MIN(8,X25)*X24))),MAX(0,40*MAX(1,X24)-(W26))))</f>
        <v>0</v>
      </c>
      <c r="Y26" s="63">
        <f>IF(AND(Y24=30,Y25=8),240,MIN(IF(Y24&lt;=0,0,IF(WEEKDAY(Y$6,1)=1,0,IF(WEEKDAY(Y$6,1)=7,0,MIN(8,Y25)*Y24))),MAX(0,40*MAX(1,Y24)-(0))))</f>
        <v>240</v>
      </c>
      <c r="Z26" s="63">
        <f>IF(AND(Z24=30,Z25=8),240,MIN(IF(Z24&lt;=0,0,IF(WEEKDAY(Z$6,1)=1,0,IF(WEEKDAY(Z$6,1)=7,0,MIN(8,Z25)*Z24))),MAX(0,40*MAX(1,Z24)-(Y26))))</f>
        <v>240</v>
      </c>
      <c r="AA26" s="63">
        <f>IF(AND(AA24=30,AA25=8),240,MIN(IF(AA24&lt;=0,0,IF(WEEKDAY(AA$6,1)=1,0,IF(WEEKDAY(AA$6,1)=7,0,MIN(8,AA25)*AA24))),MAX(0,40*MAX(1,AA24)-(Y26+Z26))))</f>
        <v>240</v>
      </c>
      <c r="AB26" s="63">
        <f>IF(AND(AB24=30,AB25=8),240,MIN(IF(AB24&lt;=0,0,IF(WEEKDAY(AB$6,1)=1,0,IF(WEEKDAY(AB$6,1)=7,0,MIN(8,AB25)*AB24))),MAX(0,40*MAX(1,AB24)-(Y26+Z26+AA26))))</f>
        <v>240</v>
      </c>
      <c r="AC26" s="63">
        <f>IF(AND(AC24=30,AC25=8),240,MIN(IF(AC24&lt;=0,0,IF(WEEKDAY(AC$6,1)=1,0,IF(WEEKDAY(AC$6,1)=7,0,MIN(8,AC25)*AC24))),MAX(0,40*MAX(1,AC24)-(Y26+Z26+AA26+AB26))))</f>
        <v>240</v>
      </c>
      <c r="AD26" s="64">
        <f>IF(AND(AD24=0,AD25=0),0,MIN(IF(AD24&lt;=0,0,IF(WEEKDAY(AD$6,1)=1,0,IF(WEEKDAY(AD$6,1)=7,0,MIN(8,AD25)*AD24))),MAX(0,40*MAX(1,AD24)-(0))))</f>
        <v>0</v>
      </c>
      <c r="AE26" s="64">
        <f>IF(AND(AE24=0,AE25=0),0,MIN(IF(AE24&lt;=0,0,IF(WEEKDAY(AE$6,1)=1,0,IF(WEEKDAY(AE$6,1)=7,0,MIN(8,AE25)*AE24))),MAX(0,40*MAX(1,AE24)-(AD26))))</f>
        <v>0</v>
      </c>
      <c r="AF26" s="63">
        <f>IF(AND(AF24=35,AF25=8),280,MIN(IF(AF24&lt;=0,0,IF(WEEKDAY(AF$6,1)=1,0,IF(WEEKDAY(AF$6,1)=7,0,MIN(8,AF25)*AF24))),MAX(0,40*MAX(1,AF24)-(0))))</f>
        <v>280</v>
      </c>
      <c r="AG26" s="63">
        <f>IF(AND(AG24=35,AG25=8),280,MIN(IF(AG24&lt;=0,0,IF(WEEKDAY(AG$6,1)=1,0,IF(WEEKDAY(AG$6,1)=7,0,MIN(8,AG25)*AG24))),MAX(0,40*MAX(1,AG24)-(AF26))))</f>
        <v>280</v>
      </c>
      <c r="AH26" s="63">
        <f>IF(AND(AH24=35,AH25=8),280,MIN(IF(AH24&lt;=0,0,IF(WEEKDAY(AH$6,1)=1,0,IF(WEEKDAY(AH$6,1)=7,0,MIN(8,AH25)*AH24))),MAX(0,40*MAX(1,AH24)-(AF26+AG26))))</f>
        <v>280</v>
      </c>
      <c r="AI26" s="63">
        <f>IF(AND(AI24=35,AI25=8),280,MIN(IF(AI24&lt;=0,0,IF(WEEKDAY(AI$6,1)=1,0,IF(WEEKDAY(AI$6,1)=7,0,MIN(8,AI25)*AI24))),MAX(0,40*MAX(1,AI24)-(AF26+AG26+AH26))))</f>
        <v>280</v>
      </c>
      <c r="AJ26" s="63">
        <f>IF(AND(AJ24=35,AJ25=8),280,MIN(IF(AJ24&lt;=0,0,IF(WEEKDAY(AJ$6,1)=1,0,IF(WEEKDAY(AJ$6,1)=7,0,MIN(8,AJ25)*AJ24))),MAX(0,40*MAX(1,AJ24)-(AF26+AG26+AH26+AI26))))</f>
        <v>280</v>
      </c>
      <c r="AK26" s="64">
        <f>IF(AND(AK24=0,AK25=0),0,MIN(IF(AK24&lt;=0,0,IF(WEEKDAY(AK$6,1)=1,0,IF(WEEKDAY(AK$6,1)=7,0,MIN(8,AK25)*AK24))),MAX(0,40*MAX(1,AK24)-(0))))</f>
        <v>0</v>
      </c>
      <c r="AL26" s="64">
        <f>IF(AND(AL24=0,AL25=0),0,MIN(IF(AL24&lt;=0,0,IF(WEEKDAY(AL$6,1)=1,0,IF(WEEKDAY(AL$6,1)=7,0,MIN(8,AL25)*AL24))),MAX(0,40*MAX(1,AL24)-(AK26))))</f>
        <v>0</v>
      </c>
      <c r="AM26" s="63">
        <f>IF(AND(AM24=35,AM25=8),280,MIN(IF(AM24&lt;=0,0,IF(WEEKDAY(AM$6,1)=1,0,IF(WEEKDAY(AM$6,1)=7,0,MIN(8,AM25)*AM24))),MAX(0,40*MAX(1,AM24)-(0))))</f>
        <v>280</v>
      </c>
      <c r="AN26" s="63">
        <f>IF(AND(AN24=35,AN25=8),280,MIN(IF(AN24&lt;=0,0,IF(WEEKDAY(AN$6,1)=1,0,IF(WEEKDAY(AN$6,1)=7,0,MIN(8,AN25)*AN24))),MAX(0,40*MAX(1,AN24)-(AM26))))</f>
        <v>280</v>
      </c>
      <c r="AO26" s="63">
        <f>IF(AND(AO24=35,AO25=8),280,MIN(IF(AO24&lt;=0,0,IF(WEEKDAY(AO$6,1)=1,0,IF(WEEKDAY(AO$6,1)=7,0,MIN(8,AO25)*AO24))),MAX(0,40*MAX(1,AO24)-(AM26+AN26))))</f>
        <v>280</v>
      </c>
      <c r="AP26" s="63">
        <f>IF(AND(AP24=35,AP25=8),280,MIN(IF(AP24&lt;=0,0,IF(WEEKDAY(AP$6,1)=1,0,IF(WEEKDAY(AP$6,1)=7,0,MIN(8,AP25)*AP24))),MAX(0,40*MAX(1,AP24)-(AM26+AN26+AO26))))</f>
        <v>280</v>
      </c>
      <c r="AQ26" s="63">
        <f>IF(AND(AQ24=35,AQ25=8),280,MIN(IF(AQ24&lt;=0,0,IF(WEEKDAY(AQ$6,1)=1,0,IF(WEEKDAY(AQ$6,1)=7,0,MIN(8,AQ25)*AQ24))),MAX(0,40*MAX(1,AQ24)-(AM26+AN26+AO26+AP26))))</f>
        <v>280</v>
      </c>
      <c r="AR26" s="64">
        <f>IF(AND(AR24=0,AR25=0),0,MIN(IF(AR24&lt;=0,0,IF(WEEKDAY(AR$6,1)=1,0,IF(WEEKDAY(AR$6,1)=7,0,MIN(8,AR25)*AR24))),MAX(0,40*MAX(1,AR24)-(0))))</f>
        <v>0</v>
      </c>
      <c r="AS26" s="64">
        <f>IF(AND(AS24=0,AS25=0),0,MIN(IF(AS24&lt;=0,0,IF(WEEKDAY(AS$6,1)=1,0,IF(WEEKDAY(AS$6,1)=7,0,MIN(8,AS25)*AS24))),MAX(0,40*MAX(1,AS24)-(AR26))))</f>
        <v>0</v>
      </c>
      <c r="AT26" s="63">
        <f>IF(AND(AT24=38,AT25=8),304,MIN(IF(AT24&lt;=0,0,IF(WEEKDAY(AT$6,1)=1,0,IF(WEEKDAY(AT$6,1)=7,0,MIN(8,AT25)*AT24))),MAX(0,40*MAX(1,AT24)-(0))))</f>
        <v>304</v>
      </c>
      <c r="AU26" s="63">
        <f>IF(AND(AU24=38,AU25=8),304,MIN(IF(AU24&lt;=0,0,IF(WEEKDAY(AU$6,1)=1,0,IF(WEEKDAY(AU$6,1)=7,0,MIN(8,AU25)*AU24))),MAX(0,40*MAX(1,AU24)-(AT26))))</f>
        <v>304</v>
      </c>
      <c r="AV26" s="63">
        <f>IF(AND(AV24=38,AV25=8),304,MIN(IF(AV24&lt;=0,0,IF(WEEKDAY(AV$6,1)=1,0,IF(WEEKDAY(AV$6,1)=7,0,MIN(8,AV25)*AV24))),MAX(0,40*MAX(1,AV24)-(AT26+AU26))))</f>
        <v>304</v>
      </c>
      <c r="AW26" s="63">
        <f>IF(AND(AW24=38,AW25=8),304,MIN(IF(AW24&lt;=0,0,IF(WEEKDAY(AW$6,1)=1,0,IF(WEEKDAY(AW$6,1)=7,0,MIN(8,AW25)*AW24))),MAX(0,40*MAX(1,AW24)-(AT26+AU26+AV26))))</f>
        <v>304</v>
      </c>
      <c r="AX26" s="63">
        <f>IF(AND(AX24=38,AX25=8),304,MIN(IF(AX24&lt;=0,0,IF(WEEKDAY(AX$6,1)=1,0,IF(WEEKDAY(AX$6,1)=7,0,MIN(8,AX25)*AX24))),MAX(0,40*MAX(1,AX24)-(AT26+AU26+AV26+AW26))))</f>
        <v>304</v>
      </c>
      <c r="AY26" s="64">
        <f>IF(AND(AY24=0,AY25=0),0,MIN(IF(AY24&lt;=0,0,IF(WEEKDAY(AY$6,1)=1,0,IF(WEEKDAY(AY$6,1)=7,0,MIN(8,AY25)*AY24))),MAX(0,40*MAX(1,AY24)-(0))))</f>
        <v>0</v>
      </c>
      <c r="AZ26" s="64">
        <f>IF(AND(AZ24=0,AZ25=0),0,MIN(IF(AZ24&lt;=0,0,IF(WEEKDAY(AZ$6,1)=1,0,IF(WEEKDAY(AZ$6,1)=7,0,MIN(8,AZ25)*AZ24))),MAX(0,40*MAX(1,AZ24)-(AY26))))</f>
        <v>0</v>
      </c>
      <c r="BA26" s="63">
        <f>IF(AND(BA24=38,BA25=8),304,MIN(IF(BA24&lt;=0,0,IF(WEEKDAY(BA$6,1)=1,0,IF(WEEKDAY(BA$6,1)=7,0,MIN(8,BA25)*BA24))),MAX(0,40*MAX(1,BA24)-(0))))</f>
        <v>304</v>
      </c>
      <c r="BB26" s="63">
        <f>IF(AND(BB24=38,BB25=8),304,MIN(IF(BB24&lt;=0,0,IF(WEEKDAY(BB$6,1)=1,0,IF(WEEKDAY(BB$6,1)=7,0,MIN(8,BB25)*BB24))),MAX(0,40*MAX(1,BB24)-(BA26))))</f>
        <v>304</v>
      </c>
      <c r="BC26" s="63">
        <f>IF(AND(BC24=38,BC25=8),304,MIN(IF(BC24&lt;=0,0,IF(WEEKDAY(BC$6,1)=1,0,IF(WEEKDAY(BC$6,1)=7,0,MIN(8,BC25)*BC24))),MAX(0,40*MAX(1,BC24)-(BA26+BB26))))</f>
        <v>304</v>
      </c>
      <c r="BD26" s="63">
        <f>IF(AND(BD24=38,BD25=8),304,MIN(IF(BD24&lt;=0,0,IF(WEEKDAY(BD$6,1)=1,0,IF(WEEKDAY(BD$6,1)=7,0,MIN(8,BD25)*BD24))),MAX(0,40*MAX(1,BD24)-(BA26+BB26+BC26))))</f>
        <v>304</v>
      </c>
      <c r="BE26" s="63">
        <f>IF(AND(BE24=38,BE25=8),304,MIN(IF(BE24&lt;=0,0,IF(WEEKDAY(BE$6,1)=1,0,IF(WEEKDAY(BE$6,1)=7,0,MIN(8,BE25)*BE24))),MAX(0,40*MAX(1,BE24)-(BA26+BB26+BC26+BD26))))</f>
        <v>304</v>
      </c>
      <c r="BF26" s="64">
        <f>IF(AND(BF24=0,BF25=0),0,MIN(IF(BF24&lt;=0,0,IF(WEEKDAY(BF$6,1)=1,0,IF(WEEKDAY(BF$6,1)=7,0,MIN(8,BF25)*BF24))),MAX(0,40*MAX(1,BF24)-(0))))</f>
        <v>0</v>
      </c>
      <c r="BG26" s="64">
        <f>IF(AND(BG24=0,BG25=0),0,MIN(IF(BG24&lt;=0,0,IF(WEEKDAY(BG$6,1)=1,0,IF(WEEKDAY(BG$6,1)=7,0,MIN(8,BG25)*BG24))),MAX(0,40*MAX(1,BG24)-(BF26))))</f>
        <v>0</v>
      </c>
      <c r="BH26" s="63">
        <f>IF(AND(BH24=30,BH25=10),240,MIN(IF(BH24&lt;=0,0,IF(WEEKDAY(BH$6,1)=1,0,IF(WEEKDAY(BH$6,1)=7,0,MIN(8,BH25)*BH24))),MAX(0,40*MAX(1,BH24)-(0))))</f>
        <v>240</v>
      </c>
      <c r="BI26" s="63">
        <f>IF(AND(BI24=30,BI25=10),240,MIN(IF(BI24&lt;=0,0,IF(WEEKDAY(BI$6,1)=1,0,IF(WEEKDAY(BI$6,1)=7,0,MIN(8,BI25)*BI24))),MAX(0,40*MAX(1,BI24)-(BH26))))</f>
        <v>240</v>
      </c>
      <c r="BJ26" s="63">
        <f>IF(AND(BJ24=30,BJ25=10),240,MIN(IF(BJ24&lt;=0,0,IF(WEEKDAY(BJ$6,1)=1,0,IF(WEEKDAY(BJ$6,1)=7,0,MIN(8,BJ25)*BJ24))),MAX(0,40*MAX(1,BJ24)-(BH26+BI26))))</f>
        <v>240</v>
      </c>
      <c r="BK26" s="63">
        <f>IF(AND(BK24=30,BK25=10),240,MIN(IF(BK24&lt;=0,0,IF(WEEKDAY(BK$6,1)=1,0,IF(WEEKDAY(BK$6,1)=7,0,MIN(8,BK25)*BK24))),MAX(0,40*MAX(1,BK24)-(BH26+BI26+BJ26))))</f>
        <v>240</v>
      </c>
      <c r="BL26" s="63">
        <f>IF(AND(BL24=30,BL25=10),240,MIN(IF(BL24&lt;=0,0,IF(WEEKDAY(BL$6,1)=1,0,IF(WEEKDAY(BL$6,1)=7,0,MIN(8,BL25)*BL24))),MAX(0,40*MAX(1,BL24)-(BH26+BI26+BJ26+BK26))))</f>
        <v>240</v>
      </c>
      <c r="BM26" s="64">
        <f>IF(AND(BM24=30,BM25=10),0,MIN(IF(BM24&lt;=0,0,IF(WEEKDAY(BM$6,1)=1,0,IF(WEEKDAY(BM$6,1)=7,0,MIN(8,BM25)*BM24))),MAX(0,40*MAX(1,BM24)-(BH26+BI26+BJ26+BK26+BL26))))</f>
        <v>0</v>
      </c>
      <c r="BN26" s="64">
        <f>IF(AND(BN24=30,BN25=10),0,MIN(IF(BN24&lt;=0,0,IF(WEEKDAY(BN$6,1)=1,0,IF(WEEKDAY(BN$6,1)=7,0,MIN(8,BN25)*BN24))),MAX(0,40*MAX(1,BN24)-(BH26+BI26+BJ26+BK26+BL26+BM26))))</f>
        <v>0</v>
      </c>
      <c r="BO26" s="63">
        <f>IF(AND(BO24=30,BO25=10),240,MIN(IF(BO24&lt;=0,0,IF(WEEKDAY(BO$6,1)=1,0,IF(WEEKDAY(BO$6,1)=7,0,MIN(8,BO25)*BO24))),MAX(0,40*MAX(1,BO24)-(0))))</f>
        <v>240</v>
      </c>
      <c r="BP26" s="63">
        <f>IF(AND(BP24=30,BP25=10),240,MIN(IF(BP24&lt;=0,0,IF(WEEKDAY(BP$6,1)=1,0,IF(WEEKDAY(BP$6,1)=7,0,MIN(8,BP25)*BP24))),MAX(0,40*MAX(1,BP24)-(BO26))))</f>
        <v>240</v>
      </c>
      <c r="BQ26" s="63">
        <f>IF(AND(BQ24=30,BQ25=10),240,MIN(IF(BQ24&lt;=0,0,IF(WEEKDAY(BQ$6,1)=1,0,IF(WEEKDAY(BQ$6,1)=7,0,MIN(8,BQ25)*BQ24))),MAX(0,40*MAX(1,BQ24)-(BO26+BP26))))</f>
        <v>240</v>
      </c>
      <c r="BR26" s="63">
        <f>IF(AND(BR24=57,BR25=10),456,MIN(IF(BR24&lt;=0,0,IF(WEEKDAY(BR$6,1)=1,0,IF(WEEKDAY(BR$6,1)=7,0,MIN(8,BR25)*BR24))),MAX(0,40*MAX(1,BR24)-(0))))</f>
        <v>456</v>
      </c>
      <c r="BS26" s="63">
        <f>IF(AND(BS24=57,BS25=10),456,MIN(IF(BS24&lt;=0,0,IF(WEEKDAY(BS$6,1)=1,0,IF(WEEKDAY(BS$6,1)=7,0,MIN(8,BS25)*BS24))),MAX(0,40*MAX(1,BS24)-(BR26))))</f>
        <v>456</v>
      </c>
      <c r="BT26" s="64">
        <f>IF(AND(BT24=57,BT25=10),0,MIN(IF(BT24&lt;=0,0,IF(WEEKDAY(BT$6,1)=1,0,IF(WEEKDAY(BT$6,1)=7,0,MIN(8,BT25)*BT24))),MAX(0,40*MAX(1,BT24)-(BR26+BS26))))</f>
        <v>0</v>
      </c>
      <c r="BU26" s="64">
        <f>IF(AND(BU24=57,BU25=10),0,MIN(IF(BU24&lt;=0,0,IF(WEEKDAY(BU$6,1)=1,0,IF(WEEKDAY(BU$6,1)=7,0,MIN(8,BU25)*BU24))),MAX(0,40*MAX(1,BU24)-(BR26+BS26+BT26))))</f>
        <v>0</v>
      </c>
      <c r="BV26" s="63">
        <f>IF(AND(BV24=57,BV25=10),456,MIN(IF(BV24&lt;=0,0,IF(WEEKDAY(BV$6,1)=1,0,IF(WEEKDAY(BV$6,1)=7,0,MIN(8,BV25)*BV24))),MAX(0,40*MAX(1,BV24)-(0))))</f>
        <v>456</v>
      </c>
      <c r="BW26" s="63">
        <f>IF(AND(BW24=57,BW25=10),456,MIN(IF(BW24&lt;=0,0,IF(WEEKDAY(BW$6,1)=1,0,IF(WEEKDAY(BW$6,1)=7,0,MIN(8,BW25)*BW24))),MAX(0,40*MAX(1,BW24)-(BV26))))</f>
        <v>456</v>
      </c>
      <c r="BX26" s="63">
        <f>IF(AND(BX24=57,BX25=10),456,MIN(IF(BX24&lt;=0,0,IF(WEEKDAY(BX$6,1)=1,0,IF(WEEKDAY(BX$6,1)=7,0,MIN(8,BX25)*BX24))),MAX(0,40*MAX(1,BX24)-(BV26+BW26))))</f>
        <v>456</v>
      </c>
      <c r="BY26" s="63">
        <f>IF(AND(BY24=57,BY25=10),456,MIN(IF(BY24&lt;=0,0,IF(WEEKDAY(BY$6,1)=1,0,IF(WEEKDAY(BY$6,1)=7,0,MIN(8,BY25)*BY24))),MAX(0,40*MAX(1,BY24)-(BV26+BW26+BX26))))</f>
        <v>456</v>
      </c>
      <c r="BZ26" s="63">
        <f>IF(AND(BZ24=57,BZ25=10),456,MIN(IF(BZ24&lt;=0,0,IF(WEEKDAY(BZ$6,1)=1,0,IF(WEEKDAY(BZ$6,1)=7,0,MIN(8,BZ25)*BZ24))),MAX(0,40*MAX(1,BZ24)-(BV26+BW26+BX26+BY26))))</f>
        <v>456</v>
      </c>
      <c r="CA26" s="64">
        <f>IF(AND(CA24=57,CA25=10),0,MIN(IF(CA24&lt;=0,0,IF(WEEKDAY(CA$6,1)=1,0,IF(WEEKDAY(CA$6,1)=7,0,MIN(8,CA25)*CA24))),MAX(0,40*MAX(1,CA24)-(BV26+BW26+BX26+BY26+BZ26))))</f>
        <v>0</v>
      </c>
      <c r="CB26" s="64">
        <f>IF(AND(CB24=57,CB25=10),0,MIN(IF(CB24&lt;=0,0,IF(WEEKDAY(CB$6,1)=1,0,IF(WEEKDAY(CB$6,1)=7,0,MIN(8,CB25)*CB24))),MAX(0,40*MAX(1,CB24)-(BV26+BW26+BX26+BY26+BZ26+CA26))))</f>
        <v>0</v>
      </c>
      <c r="CC26" s="63">
        <f>IF(AND(CC24=57,CC25=10),456,MIN(IF(CC24&lt;=0,0,IF(WEEKDAY(CC$6,1)=1,0,IF(WEEKDAY(CC$6,1)=7,0,MIN(8,CC25)*CC24))),MAX(0,40*MAX(1,CC24)-(0))))</f>
        <v>456</v>
      </c>
      <c r="CD26" s="63">
        <f>IF(AND(CD24=57,CD25=10),456,MIN(IF(CD24&lt;=0,0,IF(WEEKDAY(CD$6,1)=1,0,IF(WEEKDAY(CD$6,1)=7,0,MIN(8,CD25)*CD24))),MAX(0,40*MAX(1,CD24)-(CC26))))</f>
        <v>456</v>
      </c>
      <c r="CE26" s="63">
        <f>IF(AND(CE24=57,CE25=10),456,MIN(IF(CE24&lt;=0,0,IF(WEEKDAY(CE$6,1)=1,0,IF(WEEKDAY(CE$6,1)=7,0,MIN(8,CE25)*CE24))),MAX(0,40*MAX(1,CE24)-(CC26+CD26))))</f>
        <v>456</v>
      </c>
      <c r="CF26" s="63">
        <f>IF(AND(CF24=57,CF25=10),456,MIN(IF(CF24&lt;=0,0,IF(WEEKDAY(CF$6,1)=1,0,IF(WEEKDAY(CF$6,1)=7,0,MIN(8,CF25)*CF24))),MAX(0,40*MAX(1,CF24)-(CC26+CD26+CE26))))</f>
        <v>456</v>
      </c>
      <c r="CG26" s="63">
        <f>IF(AND(CG24=57,CG25=10),456,MIN(IF(CG24&lt;=0,0,IF(WEEKDAY(CG$6,1)=1,0,IF(WEEKDAY(CG$6,1)=7,0,MIN(8,CG25)*CG24))),MAX(0,40*MAX(1,CG24)-(CC26+CD26+CE26+CF26))))</f>
        <v>456</v>
      </c>
      <c r="CH26" s="64">
        <f>IF(AND(CH24=57,CH25=10),0,MIN(IF(CH24&lt;=0,0,IF(WEEKDAY(CH$6,1)=1,0,IF(WEEKDAY(CH$6,1)=7,0,MIN(8,CH25)*CH24))),MAX(0,40*MAX(1,CH24)-(CC26+CD26+CE26+CF26+CG26))))</f>
        <v>0</v>
      </c>
      <c r="CI26" s="64">
        <f>IF(AND(CI24=57,CI25=10),0,MIN(IF(CI24&lt;=0,0,IF(WEEKDAY(CI$6,1)=1,0,IF(WEEKDAY(CI$6,1)=7,0,MIN(8,CI25)*CI24))),MAX(0,40*MAX(1,CI24)-(CC26+CD26+CE26+CF26+CG26+CH26))))</f>
        <v>0</v>
      </c>
      <c r="CJ26" s="63">
        <f>IF(AND(CJ24=57,CJ25=10),456,MIN(IF(CJ24&lt;=0,0,IF(WEEKDAY(CJ$6,1)=1,0,IF(WEEKDAY(CJ$6,1)=7,0,MIN(8,CJ25)*CJ24))),MAX(0,40*MAX(1,CJ24)-(0))))</f>
        <v>456</v>
      </c>
      <c r="CK26" s="63">
        <f>IF(AND(CK24=57,CK25=10),456,MIN(IF(CK24&lt;=0,0,IF(WEEKDAY(CK$6,1)=1,0,IF(WEEKDAY(CK$6,1)=7,0,MIN(8,CK25)*CK24))),MAX(0,40*MAX(1,CK24)-(CJ26))))</f>
        <v>456</v>
      </c>
      <c r="CL26" s="63">
        <f>IF(AND(CL24=57,CL25=10),456,MIN(IF(CL24&lt;=0,0,IF(WEEKDAY(CL$6,1)=1,0,IF(WEEKDAY(CL$6,1)=7,0,MIN(8,CL25)*CL24))),MAX(0,40*MAX(1,CL24)-(CJ26+CK26))))</f>
        <v>456</v>
      </c>
      <c r="CM26" s="63">
        <f>IF(AND(CM24=57,CM25=10),456,MIN(IF(CM24&lt;=0,0,IF(WEEKDAY(CM$6,1)=1,0,IF(WEEKDAY(CM$6,1)=7,0,MIN(8,CM25)*CM24))),MAX(0,40*MAX(1,CM24)-(CJ26+CK26+CL26))))</f>
        <v>456</v>
      </c>
      <c r="CN26" s="63">
        <f>IF(AND(CN24=57,CN25=10),456,MIN(IF(CN24&lt;=0,0,IF(WEEKDAY(CN$6,1)=1,0,IF(WEEKDAY(CN$6,1)=7,0,MIN(8,CN25)*CN24))),MAX(0,40*MAX(1,CN24)-(CJ26+CK26+CL26+CM26))))</f>
        <v>456</v>
      </c>
      <c r="CO26" s="64">
        <f>IF(AND(CO24=57,CO25=10),0,MIN(IF(CO24&lt;=0,0,IF(WEEKDAY(CO$6,1)=1,0,IF(WEEKDAY(CO$6,1)=7,0,MIN(8,CO25)*CO24))),MAX(0,40*MAX(1,CO24)-(CJ26+CK26+CL26+CM26+CN26))))</f>
        <v>0</v>
      </c>
      <c r="CP26" s="64">
        <f>IF(AND(CP24=57,CP25=10),0,MIN(IF(CP24&lt;=0,0,IF(WEEKDAY(CP$6,1)=1,0,IF(WEEKDAY(CP$6,1)=7,0,MIN(8,CP25)*CP24))),MAX(0,40*MAX(1,CP24)-(CJ26+CK26+CL26+CM26+CN26+CO26))))</f>
        <v>0</v>
      </c>
      <c r="CQ26" s="63">
        <f>IF(AND(CQ24=57,CQ25=10),456,MIN(IF(CQ24&lt;=0,0,IF(WEEKDAY(CQ$6,1)=1,0,IF(WEEKDAY(CQ$6,1)=7,0,MIN(8,CQ25)*CQ24))),MAX(0,40*MAX(1,CQ24)-(0))))</f>
        <v>456</v>
      </c>
      <c r="CR26" s="63">
        <f>IF(AND(CR24=57,CR25=10),456,MIN(IF(CR24&lt;=0,0,IF(WEEKDAY(CR$6,1)=1,0,IF(WEEKDAY(CR$6,1)=7,0,MIN(8,CR25)*CR24))),MAX(0,40*MAX(1,CR24)-(CQ26))))</f>
        <v>456</v>
      </c>
      <c r="CS26" s="63">
        <f>IF(AND(CS24=57,CS25=10),456,MIN(IF(CS24&lt;=0,0,IF(WEEKDAY(CS$6,1)=1,0,IF(WEEKDAY(CS$6,1)=7,0,MIN(8,CS25)*CS24))),MAX(0,40*MAX(1,CS24)-(CQ26+CR26))))</f>
        <v>456</v>
      </c>
      <c r="CT26" s="63">
        <f>IF(AND(CT24=57,CT25=10),456,MIN(IF(CT24&lt;=0,0,IF(WEEKDAY(CT$6,1)=1,0,IF(WEEKDAY(CT$6,1)=7,0,MIN(8,CT25)*CT24))),MAX(0,40*MAX(1,CT24)-(CQ26+CR26+CS26))))</f>
        <v>456</v>
      </c>
      <c r="CU26" s="63">
        <f>IF(AND(CU24=57,CU25=10),456,MIN(IF(CU24&lt;=0,0,IF(WEEKDAY(CU$6,1)=1,0,IF(WEEKDAY(CU$6,1)=7,0,MIN(8,CU25)*CU24))),MAX(0,40*MAX(1,CU24)-(CQ26+CR26+CS26+CT26))))</f>
        <v>456</v>
      </c>
      <c r="CV26" s="64">
        <f>IF(AND(CV24=50,CV25=10),0,MIN(IF(CV24&lt;=0,0,IF(WEEKDAY(CV$6,1)=1,0,IF(WEEKDAY(CV$6,1)=7,0,MIN(8,CV25)*CV24))),MAX(0,40*MAX(1,CV24)-(0))))</f>
        <v>0</v>
      </c>
      <c r="CW26" s="64">
        <f>IF(AND(CW24=50,CW25=10),0,MIN(IF(CW24&lt;=0,0,IF(WEEKDAY(CW$6,1)=1,0,IF(WEEKDAY(CW$6,1)=7,0,MIN(8,CW25)*CW24))),MAX(0,40*MAX(1,CW24)-(0))))</f>
        <v>0</v>
      </c>
      <c r="CX26" s="63">
        <f>IF(AND(CX24=50,CX25=10),400,MIN(IF(CX24&lt;=0,0,IF(WEEKDAY(CX$6,1)=1,0,IF(WEEKDAY(CX$6,1)=7,0,MIN(8,CX25)*CX24))),MAX(0,40*MAX(1,CX24)-(0))))</f>
        <v>400</v>
      </c>
      <c r="CY26" s="63">
        <f>IF(AND(CY24=50,CY25=10),400,MIN(IF(CY24&lt;=0,0,IF(WEEKDAY(CY$6,1)=1,0,IF(WEEKDAY(CY$6,1)=7,0,MIN(8,CY25)*CY24))),MAX(0,40*MAX(1,CY24)-(CX26))))</f>
        <v>400</v>
      </c>
      <c r="CZ26" s="63">
        <f>IF(AND(CZ24=50,CZ25=10),400,MIN(IF(CZ24&lt;=0,0,IF(WEEKDAY(CZ$6,1)=1,0,IF(WEEKDAY(CZ$6,1)=7,0,MIN(8,CZ25)*CZ24))),MAX(0,40*MAX(1,CZ24)-(CX26+CY26))))</f>
        <v>400</v>
      </c>
      <c r="DA26" s="63">
        <f>IF(AND(DA24=50,DA25=10),400,MIN(IF(DA24&lt;=0,0,IF(WEEKDAY(DA$6,1)=1,0,IF(WEEKDAY(DA$6,1)=7,0,MIN(8,DA25)*DA24))),MAX(0,40*MAX(1,DA24)-(CX26+CY26+CZ26))))</f>
        <v>400</v>
      </c>
      <c r="DB26" s="63">
        <f>IF(AND(DB24=50,DB25=10),400,MIN(IF(DB24&lt;=0,0,IF(WEEKDAY(DB$6,1)=1,0,IF(WEEKDAY(DB$6,1)=7,0,MIN(8,DB25)*DB24))),MAX(0,40*MAX(1,DB24)-(CX26+CY26+CZ26+DA26))))</f>
        <v>400</v>
      </c>
      <c r="DC26" s="64">
        <f>IF(AND(DC24=50,DC25=10),0,MIN(IF(DC24&lt;=0,0,IF(WEEKDAY(DC$6,1)=1,0,IF(WEEKDAY(DC$6,1)=7,0,MIN(8,DC25)*DC24))),MAX(0,40*MAX(1,DC24)-(CX26+CY26+CZ26+DA26+DB26))))</f>
        <v>0</v>
      </c>
      <c r="DD26" s="64">
        <f>IF(AND(DD24=10,DD25=10),0,MIN(IF(DD24&lt;=0,0,IF(WEEKDAY(DD$6,1)=1,0,IF(WEEKDAY(DD$6,1)=7,0,MIN(8,DD25)*DD24))),MAX(0,40*MAX(1,DD24)-(0))))</f>
        <v>0</v>
      </c>
      <c r="DE26" s="63">
        <f>IF(AND(DE24=10,DE25=10),80,MIN(IF(DE24&lt;=0,0,IF(WEEKDAY(DE$6,1)=1,0,IF(WEEKDAY(DE$6,1)=7,0,MIN(8,DE25)*DE24))),MAX(0,40*MAX(1,DE24)-(0))))</f>
        <v>80</v>
      </c>
      <c r="DF26" s="63">
        <f>IF(AND(DF24=10,DF25=10),80,MIN(IF(DF24&lt;=0,0,IF(WEEKDAY(DF$6,1)=1,0,IF(WEEKDAY(DF$6,1)=7,0,MIN(8,DF25)*DF24))),MAX(0,40*MAX(1,DF24)-(DE26))))</f>
        <v>80</v>
      </c>
      <c r="DG26" s="63">
        <f>IF(AND(DG24=10,DG25=10),80,MIN(IF(DG24&lt;=0,0,IF(WEEKDAY(DG$6,1)=1,0,IF(WEEKDAY(DG$6,1)=7,0,MIN(8,DG25)*DG24))),MAX(0,40*MAX(1,DG24)-(DE26+DF26))))</f>
        <v>80</v>
      </c>
      <c r="DH26" s="63">
        <f>IF(AND(DH24=10,DH25=10),80,MIN(IF(DH24&lt;=0,0,IF(WEEKDAY(DH$6,1)=1,0,IF(WEEKDAY(DH$6,1)=7,0,MIN(8,DH25)*DH24))),MAX(0,40*MAX(1,DH24)-(DE26+DF26+DG26))))</f>
        <v>80</v>
      </c>
      <c r="DI26" s="63">
        <f>IF(AND(DI24=10,DI25=10),80,MIN(IF(DI24&lt;=0,0,IF(WEEKDAY(DI$6,1)=1,0,IF(WEEKDAY(DI$6,1)=7,0,MIN(8,DI25)*DI24))),MAX(0,40*MAX(1,DI24)-(DE26+DF26+DG26+DH26))))</f>
        <v>80</v>
      </c>
      <c r="DJ26" s="64">
        <f>IF(AND(DJ24=10,DJ25=10),0,MIN(IF(DJ24&lt;=0,0,IF(WEEKDAY(DJ$6,1)=1,0,IF(WEEKDAY(DJ$6,1)=7,0,MIN(8,DJ25)*DJ24))),MAX(0,40*MAX(1,DJ24)-(DE26+DF26+DG26+DH26+DI26))))</f>
        <v>0</v>
      </c>
      <c r="DK26" s="64">
        <f>IF(AND(DK24=10,DK25=10),0,MIN(IF(DK24&lt;=0,0,IF(WEEKDAY(DK$6,1)=1,0,IF(WEEKDAY(DK$6,1)=7,0,MIN(8,DK25)*DK24))),MAX(0,40*MAX(1,DK24)-(DE26+DF26+DG26+DH26+DI26+DJ26))))</f>
        <v>0</v>
      </c>
      <c r="DL26" s="63">
        <f>IF(AND(DL24=6,DL25=10),48,MIN(IF(DL24&lt;=0,0,IF(WEEKDAY(DL$6,1)=1,0,IF(WEEKDAY(DL$6,1)=7,0,MIN(8,DL25)*DL24))),MAX(0,40*MAX(1,DL24)-(0))))</f>
        <v>48</v>
      </c>
      <c r="DM26" s="63">
        <f>IF(AND(DM24=6,DM25=10),48,MIN(IF(DM24&lt;=0,0,IF(WEEKDAY(DM$6,1)=1,0,IF(WEEKDAY(DM$6,1)=7,0,MIN(8,DM25)*DM24))),MAX(0,40*MAX(1,DM24)-(DL26))))</f>
        <v>48</v>
      </c>
      <c r="DN26" s="63">
        <f>IF(AND(DN24=6,DN25=10),48,MIN(IF(DN24&lt;=0,0,IF(WEEKDAY(DN$6,1)=1,0,IF(WEEKDAY(DN$6,1)=7,0,MIN(8,DN25)*DN24))),MAX(0,40*MAX(1,DN24)-(DL26+DM26))))</f>
        <v>48</v>
      </c>
      <c r="DO26" s="63">
        <f>IF(AND(DO24=6,DO25=10),48,MIN(IF(DO24&lt;=0,0,IF(WEEKDAY(DO$6,1)=1,0,IF(WEEKDAY(DO$6,1)=7,0,MIN(8,DO25)*DO24))),MAX(0,40*MAX(1,DO24)-(DL26+DM26+DN26))))</f>
        <v>48</v>
      </c>
      <c r="DP26" s="63">
        <f>IF(AND(DP24=6,DP25=10),48,MIN(IF(DP24&lt;=0,0,IF(WEEKDAY(DP$6,1)=1,0,IF(WEEKDAY(DP$6,1)=7,0,MIN(8,DP25)*DP24))),MAX(0,40*MAX(1,DP24)-(DL26+DM26+DN26+DO26))))</f>
        <v>48</v>
      </c>
      <c r="DQ26" s="64">
        <f>IF(AND(DQ24=6,DQ25=10),0,MIN(IF(DQ24&lt;=0,0,IF(WEEKDAY(DQ$6,1)=1,0,IF(WEEKDAY(DQ$6,1)=7,0,MIN(8,DQ25)*DQ24))),MAX(0,40*MAX(1,DQ24)-(DL26+DM26+DN26+DO26+DP26))))</f>
        <v>0</v>
      </c>
      <c r="DR26" s="64">
        <f>IF(AND(DR24=6,DR25=10),0,MIN(IF(DR24&lt;=0,0,IF(WEEKDAY(DR$6,1)=1,0,IF(WEEKDAY(DR$6,1)=7,0,MIN(8,DR25)*DR24))),MAX(0,40*MAX(1,DR24)-(DL26+DM26+DN26+DO26+DP26+DQ26))))</f>
        <v>0</v>
      </c>
      <c r="DS26" s="63">
        <f>IF(AND(DS24=6,DS25=10),48,MIN(IF(DS24&lt;=0,0,IF(WEEKDAY(DS$6,1)=1,0,IF(WEEKDAY(DS$6,1)=7,0,MIN(8,DS25)*DS24))),MAX(0,40*MAX(1,DS24)-(0))))</f>
        <v>48</v>
      </c>
      <c r="DT26" s="63">
        <f>IF(AND(DT24=20,DT25=8),160,MIN(IF(DT24&lt;=0,0,IF(WEEKDAY(DT$6,1)=1,0,IF(WEEKDAY(DT$6,1)=7,0,MIN(8,DT25)*DT24))),MAX(0,40*MAX(1,DT24)-(0))))</f>
        <v>160</v>
      </c>
      <c r="DU26" s="63">
        <f>IF(AND(DU24=20,DU25=8),160,MIN(IF(DU24&lt;=0,0,IF(WEEKDAY(DU$6,1)=1,0,IF(WEEKDAY(DU$6,1)=7,0,MIN(8,DU25)*DU24))),MAX(0,40*MAX(1,DU24)-(DT26))))</f>
        <v>160</v>
      </c>
      <c r="DV26" s="63">
        <f>IF(AND(DV24=20,DV25=8),160,MIN(IF(DV24&lt;=0,0,IF(WEEKDAY(DV$6,1)=1,0,IF(WEEKDAY(DV$6,1)=7,0,MIN(8,DV25)*DV24))),MAX(0,40*MAX(1,DV24)-(DT26+DU26))))</f>
        <v>160</v>
      </c>
      <c r="DW26" s="63">
        <f>IF(AND(DW24=20,DW25=8),160,MIN(IF(DW24&lt;=0,0,IF(WEEKDAY(DW$6,1)=1,0,IF(WEEKDAY(DW$6,1)=7,0,MIN(8,DW25)*DW24))),MAX(0,40*MAX(1,DW24)-(DT26+DU26+DV26))))</f>
        <v>160</v>
      </c>
      <c r="DX26" s="64">
        <f>IF(AND(DX24=0,DX25=0),0,MIN(IF(DX24&lt;=0,0,IF(WEEKDAY(DX$6,1)=1,0,IF(WEEKDAY(DX$6,1)=7,0,MIN(8,DX25)*DX24))),MAX(0,40*MAX(1,DX24)-(0))))</f>
        <v>0</v>
      </c>
      <c r="DY26" s="64">
        <f>IF(AND(DY24=0,DY25=0),0,MIN(IF(DY24&lt;=0,0,IF(WEEKDAY(DY$6,1)=1,0,IF(WEEKDAY(DY$6,1)=7,0,MIN(8,DY25)*DY24))),MAX(0,40*MAX(1,DY24)-(DX26))))</f>
        <v>0</v>
      </c>
      <c r="DZ26" s="63">
        <f>IF(AND(DZ24=20,DZ25=8),160,MIN(IF(DZ24&lt;=0,0,IF(WEEKDAY(DZ$6,1)=1,0,IF(WEEKDAY(DZ$6,1)=7,0,MIN(8,DZ25)*DZ24))),MAX(0,40*MAX(1,DZ24)-(0))))</f>
        <v>160</v>
      </c>
      <c r="EA26" s="63">
        <f>IF(AND(EA24=18,EA25=8),144,MIN(IF(EA24&lt;=0,0,IF(WEEKDAY(EA$6,1)=1,0,IF(WEEKDAY(EA$6,1)=7,0,MIN(8,EA25)*EA24))),MAX(0,40*MAX(1,EA24)-(0))))</f>
        <v>144</v>
      </c>
      <c r="EB26" s="63">
        <f>IF(AND(EB24=18,EB25=8),144,MIN(IF(EB24&lt;=0,0,IF(WEEKDAY(EB$6,1)=1,0,IF(WEEKDAY(EB$6,1)=7,0,MIN(8,EB25)*EB24))),MAX(0,40*MAX(1,EB24)-(EA26))))</f>
        <v>144</v>
      </c>
      <c r="EC26" s="63">
        <f>IF(AND(EC24=18,EC25=8),144,MIN(IF(EC24&lt;=0,0,IF(WEEKDAY(EC$6,1)=1,0,IF(WEEKDAY(EC$6,1)=7,0,MIN(8,EC25)*EC24))),MAX(0,40*MAX(1,EC24)-(EA26+EB26))))</f>
        <v>144</v>
      </c>
      <c r="ED26" s="63">
        <f>IF(AND(ED24=18,ED25=8),144,MIN(IF(ED24&lt;=0,0,IF(WEEKDAY(ED$6,1)=1,0,IF(WEEKDAY(ED$6,1)=7,0,MIN(8,ED25)*ED24))),MAX(0,40*MAX(1,ED24)-(EA26+EB26+EC26))))</f>
        <v>144</v>
      </c>
      <c r="EE26" s="64">
        <f>IF(AND(EE24=0,EE25=0),0,MIN(IF(EE24&lt;=0,0,IF(WEEKDAY(EE$6,1)=1,0,IF(WEEKDAY(EE$6,1)=7,0,MIN(8,EE25)*EE24))),MAX(0,40*MAX(1,EE24)-(0))))</f>
        <v>0</v>
      </c>
      <c r="EF26" s="64">
        <f>IF(AND(EF24=0,EF25=0),0,MIN(IF(EF24&lt;=0,0,IF(WEEKDAY(EF$6,1)=1,0,IF(WEEKDAY(EF$6,1)=7,0,MIN(8,EF25)*EF24))),MAX(0,40*MAX(1,EF24)-(EE26))))</f>
        <v>0</v>
      </c>
      <c r="EG26" s="63">
        <f>IF(AND(EG24=0,EG25=0),0,MIN(IF(EG24&lt;=0,0,IF(WEEKDAY(EG$6,1)=1,0,IF(WEEKDAY(EG$6,1)=7,0,MIN(8,EG25)*EG24))),MAX(0,40*MAX(1,EG24)-(0))))</f>
        <v>0</v>
      </c>
      <c r="EH26" s="63">
        <f>IF(AND(EH24=0,EH25=0),0,MIN(IF(EH24&lt;=0,0,IF(WEEKDAY(EH$6,1)=1,0,IF(WEEKDAY(EH$6,1)=7,0,MIN(8,EH25)*EH24))),MAX(0,40*MAX(1,EH24)-(EG26))))</f>
        <v>0</v>
      </c>
      <c r="EI26" s="63">
        <f>IF(AND(EI24=0,EI25=0),0,MIN(IF(EI24&lt;=0,0,IF(WEEKDAY(EI$6,1)=1,0,IF(WEEKDAY(EI$6,1)=7,0,MIN(8,EI25)*EI24))),MAX(0,40*MAX(1,EI24)-(EG26+EH26))))</f>
        <v>0</v>
      </c>
      <c r="EJ26" s="63">
        <f>IF(AND(EJ24=0,EJ25=0),0,MIN(IF(EJ24&lt;=0,0,IF(WEEKDAY(EJ$6,1)=1,0,IF(WEEKDAY(EJ$6,1)=7,0,MIN(8,EJ25)*EJ24))),MAX(0,40*MAX(1,EJ24)-(EG26+EH26+EI26))))</f>
        <v>0</v>
      </c>
      <c r="EK26" s="65">
        <f>IF(AND(EK24=0,EK25=0),0,MIN(IF(EK24&lt;=0,0,IF(WEEKDAY(EK$6,1)=1,0,IF(WEEKDAY(EK$6,1)=7,0,MIN(8,EK25)*EK24))),MAX(0,40*MAX(1,EK24)-(EG26+EH26+EI26+EJ26))))</f>
        <v>0</v>
      </c>
      <c r="OU26" s="28" t="s">
        <v>115</v>
      </c>
    </row>
    <row r="27" ht="16" customHeight="1" spans="1:411" x14ac:dyDescent="0.25">
      <c r="A27" s="45"/>
      <c r="B27" s="46"/>
      <c r="C27" s="66">
        <f>G23*N(D27)</f>
        <v>1026306</v>
      </c>
      <c r="D27" s="66">
        <f>IF(TRIM(B23)="","No rate",IFERROR(INDEX('Rate Tables'!D$7:D$158,MATCH(B23,'Rate Tables'!A$7:A$158,0)),"No rate"))</f>
        <v>138.69</v>
      </c>
      <c r="E27" s="55" t="s">
        <v>63</v>
      </c>
      <c r="F27" s="49"/>
      <c r="G27" s="49"/>
      <c r="H27" s="49"/>
      <c r="I27" s="49"/>
      <c r="J27" s="50"/>
      <c r="K27" s="62">
        <f>IF(AND(K24=0,K25=0),0,IF(K24&lt;=0,0,IF(WEEKDAY(K$6,1)=1,0,IF(WEEKDAY(K$6,1)=7,K24*K25,MAX(0,K25-8)*K24)))+((IF(K24&lt;=0,0,IF(WEEKDAY(K$6,1)=1,0,IF(WEEKDAY(K$6,1)=7,0,MIN(8,K25)*K24))))-MIN(IF(K24&lt;=0,0,IF(WEEKDAY(K$6,1)=1,0,IF(WEEKDAY(K$6,1)=7,0,MIN(8,K25)*K24))),MAX(0,40*MAX(1,K24)-(0)))))</f>
        <v>0</v>
      </c>
      <c r="L27" s="63">
        <f>IF(AND(L24=0,L25=0),0,IF(L24&lt;=0,0,IF(WEEKDAY(L$6,1)=1,0,IF(WEEKDAY(L$6,1)=7,L24*L25,MAX(0,L25-8)*L24)))+((IF(L24&lt;=0,0,IF(WEEKDAY(L$6,1)=1,0,IF(WEEKDAY(L$6,1)=7,0,MIN(8,L25)*L24))))-MIN(IF(L24&lt;=0,0,IF(WEEKDAY(L$6,1)=1,0,IF(WEEKDAY(L$6,1)=7,0,MIN(8,L25)*L24))),MAX(0,40*MAX(1,L24)-(K26)))))</f>
        <v>0</v>
      </c>
      <c r="M27" s="63">
        <f>IF(AND(M24=0,M25=0),0,IF(M24&lt;=0,0,IF(WEEKDAY(M$6,1)=1,0,IF(WEEKDAY(M$6,1)=7,M24*M25,MAX(0,M25-8)*M24)))+((IF(M24&lt;=0,0,IF(WEEKDAY(M$6,1)=1,0,IF(WEEKDAY(M$6,1)=7,0,MIN(8,M25)*M24))))-MIN(IF(M24&lt;=0,0,IF(WEEKDAY(M$6,1)=1,0,IF(WEEKDAY(M$6,1)=7,0,MIN(8,M25)*M24))),MAX(0,40*MAX(1,M24)-(K26+L26)))))</f>
        <v>0</v>
      </c>
      <c r="N27" s="63">
        <f>IF(AND(N24=0,N25=0),0,IF(N24&lt;=0,0,IF(WEEKDAY(N$6,1)=1,0,IF(WEEKDAY(N$6,1)=7,N24*N25,MAX(0,N25-8)*N24)))+((IF(N24&lt;=0,0,IF(WEEKDAY(N$6,1)=1,0,IF(WEEKDAY(N$6,1)=7,0,MIN(8,N25)*N24))))-MIN(IF(N24&lt;=0,0,IF(WEEKDAY(N$6,1)=1,0,IF(WEEKDAY(N$6,1)=7,0,MIN(8,N25)*N24))),MAX(0,40*MAX(1,N24)-(K26+L26+M26)))))</f>
        <v>0</v>
      </c>
      <c r="O27" s="63">
        <f>IF(AND(O24=0,O25=0),0,IF(O24&lt;=0,0,IF(WEEKDAY(O$6,1)=1,0,IF(WEEKDAY(O$6,1)=7,O24*O25,MAX(0,O25-8)*O24)))+((IF(O24&lt;=0,0,IF(WEEKDAY(O$6,1)=1,0,IF(WEEKDAY(O$6,1)=7,0,MIN(8,O25)*O24))))-MIN(IF(O24&lt;=0,0,IF(WEEKDAY(O$6,1)=1,0,IF(WEEKDAY(O$6,1)=7,0,MIN(8,O25)*O24))),MAX(0,40*MAX(1,O24)-(K26+L26+M26+N26)))))</f>
        <v>0</v>
      </c>
      <c r="P27" s="64">
        <f>IF(AND(P24=0,P25=0),0,IF(P24&lt;=0,0,IF(WEEKDAY(P$6,1)=1,0,IF(WEEKDAY(P$6,1)=7,P24*P25,MAX(0,P25-8)*P24)))+((IF(P24&lt;=0,0,IF(WEEKDAY(P$6,1)=1,0,IF(WEEKDAY(P$6,1)=7,0,MIN(8,P25)*P24))))-MIN(IF(P24&lt;=0,0,IF(WEEKDAY(P$6,1)=1,0,IF(WEEKDAY(P$6,1)=7,0,MIN(8,P25)*P24))),MAX(0,40*MAX(1,P24)-(K26+L26+M26+N26+O26)))))</f>
        <v>0</v>
      </c>
      <c r="Q27" s="64">
        <f>IF(AND(Q24=0,Q25=0),0,IF(Q24&lt;=0,0,IF(WEEKDAY(Q$6,1)=1,0,IF(WEEKDAY(Q$6,1)=7,Q24*Q25,MAX(0,Q25-8)*Q24)))+((IF(Q24&lt;=0,0,IF(WEEKDAY(Q$6,1)=1,0,IF(WEEKDAY(Q$6,1)=7,0,MIN(8,Q25)*Q24))))-MIN(IF(Q24&lt;=0,0,IF(WEEKDAY(Q$6,1)=1,0,IF(WEEKDAY(Q$6,1)=7,0,MIN(8,Q25)*Q24))),MAX(0,40*MAX(1,Q24)-(K26+L26+M26+N26+O26+P26)))))</f>
        <v>0</v>
      </c>
      <c r="R27" s="63">
        <f>IF(AND(R24=20,R25=8),0,IF(R24&lt;=0,0,IF(WEEKDAY(R$6,1)=1,0,IF(WEEKDAY(R$6,1)=7,R24*R25,MAX(0,R25-8)*R24)))+((IF(R24&lt;=0,0,IF(WEEKDAY(R$6,1)=1,0,IF(WEEKDAY(R$6,1)=7,0,MIN(8,R25)*R24))))-MIN(IF(R24&lt;=0,0,IF(WEEKDAY(R$6,1)=1,0,IF(WEEKDAY(R$6,1)=7,0,MIN(8,R25)*R24))),MAX(0,40*MAX(1,R24)-(0)))))</f>
        <v>0</v>
      </c>
      <c r="S27" s="63">
        <f>IF(AND(S24=20,S25=8),0,IF(S24&lt;=0,0,IF(WEEKDAY(S$6,1)=1,0,IF(WEEKDAY(S$6,1)=7,S24*S25,MAX(0,S25-8)*S24)))+((IF(S24&lt;=0,0,IF(WEEKDAY(S$6,1)=1,0,IF(WEEKDAY(S$6,1)=7,0,MIN(8,S25)*S24))))-MIN(IF(S24&lt;=0,0,IF(WEEKDAY(S$6,1)=1,0,IF(WEEKDAY(S$6,1)=7,0,MIN(8,S25)*S24))),MAX(0,40*MAX(1,S24)-(R26)))))</f>
        <v>0</v>
      </c>
      <c r="T27" s="63">
        <f>IF(AND(T24=20,T25=8),0,IF(T24&lt;=0,0,IF(WEEKDAY(T$6,1)=1,0,IF(WEEKDAY(T$6,1)=7,T24*T25,MAX(0,T25-8)*T24)))+((IF(T24&lt;=0,0,IF(WEEKDAY(T$6,1)=1,0,IF(WEEKDAY(T$6,1)=7,0,MIN(8,T25)*T24))))-MIN(IF(T24&lt;=0,0,IF(WEEKDAY(T$6,1)=1,0,IF(WEEKDAY(T$6,1)=7,0,MIN(8,T25)*T24))),MAX(0,40*MAX(1,T24)-(R26+S26)))))</f>
        <v>0</v>
      </c>
      <c r="U27" s="63">
        <f>IF(AND(U24=20,U25=8),0,IF(U24&lt;=0,0,IF(WEEKDAY(U$6,1)=1,0,IF(WEEKDAY(U$6,1)=7,U24*U25,MAX(0,U25-8)*U24)))+((IF(U24&lt;=0,0,IF(WEEKDAY(U$6,1)=1,0,IF(WEEKDAY(U$6,1)=7,0,MIN(8,U25)*U24))))-MIN(IF(U24&lt;=0,0,IF(WEEKDAY(U$6,1)=1,0,IF(WEEKDAY(U$6,1)=7,0,MIN(8,U25)*U24))),MAX(0,40*MAX(1,U24)-(R26+S26+T26)))))</f>
        <v>0</v>
      </c>
      <c r="V27" s="63">
        <f>IF(AND(V24=20,V25=8),0,IF(V24&lt;=0,0,IF(WEEKDAY(V$6,1)=1,0,IF(WEEKDAY(V$6,1)=7,V24*V25,MAX(0,V25-8)*V24)))+((IF(V24&lt;=0,0,IF(WEEKDAY(V$6,1)=1,0,IF(WEEKDAY(V$6,1)=7,0,MIN(8,V25)*V24))))-MIN(IF(V24&lt;=0,0,IF(WEEKDAY(V$6,1)=1,0,IF(WEEKDAY(V$6,1)=7,0,MIN(8,V25)*V24))),MAX(0,40*MAX(1,V24)-(R26+S26+T26+U26)))))</f>
        <v>0</v>
      </c>
      <c r="W27" s="64">
        <f>IF(AND(W24=0,W25=0),0,IF(W24&lt;=0,0,IF(WEEKDAY(W$6,1)=1,0,IF(WEEKDAY(W$6,1)=7,W24*W25,MAX(0,W25-8)*W24)))+((IF(W24&lt;=0,0,IF(WEEKDAY(W$6,1)=1,0,IF(WEEKDAY(W$6,1)=7,0,MIN(8,W25)*W24))))-MIN(IF(W24&lt;=0,0,IF(WEEKDAY(W$6,1)=1,0,IF(WEEKDAY(W$6,1)=7,0,MIN(8,W25)*W24))),MAX(0,40*MAX(1,W24)-(0)))))</f>
        <v>0</v>
      </c>
      <c r="X27" s="64">
        <f>IF(AND(X24=0,X25=0),0,IF(X24&lt;=0,0,IF(WEEKDAY(X$6,1)=1,0,IF(WEEKDAY(X$6,1)=7,X24*X25,MAX(0,X25-8)*X24)))+((IF(X24&lt;=0,0,IF(WEEKDAY(X$6,1)=1,0,IF(WEEKDAY(X$6,1)=7,0,MIN(8,X25)*X24))))-MIN(IF(X24&lt;=0,0,IF(WEEKDAY(X$6,1)=1,0,IF(WEEKDAY(X$6,1)=7,0,MIN(8,X25)*X24))),MAX(0,40*MAX(1,X24)-(W26)))))</f>
        <v>0</v>
      </c>
      <c r="Y27" s="63">
        <f>IF(AND(Y24=30,Y25=8),0,IF(Y24&lt;=0,0,IF(WEEKDAY(Y$6,1)=1,0,IF(WEEKDAY(Y$6,1)=7,Y24*Y25,MAX(0,Y25-8)*Y24)))+((IF(Y24&lt;=0,0,IF(WEEKDAY(Y$6,1)=1,0,IF(WEEKDAY(Y$6,1)=7,0,MIN(8,Y25)*Y24))))-MIN(IF(Y24&lt;=0,0,IF(WEEKDAY(Y$6,1)=1,0,IF(WEEKDAY(Y$6,1)=7,0,MIN(8,Y25)*Y24))),MAX(0,40*MAX(1,Y24)-(0)))))</f>
        <v>0</v>
      </c>
      <c r="Z27" s="63">
        <f>IF(AND(Z24=30,Z25=8),0,IF(Z24&lt;=0,0,IF(WEEKDAY(Z$6,1)=1,0,IF(WEEKDAY(Z$6,1)=7,Z24*Z25,MAX(0,Z25-8)*Z24)))+((IF(Z24&lt;=0,0,IF(WEEKDAY(Z$6,1)=1,0,IF(WEEKDAY(Z$6,1)=7,0,MIN(8,Z25)*Z24))))-MIN(IF(Z24&lt;=0,0,IF(WEEKDAY(Z$6,1)=1,0,IF(WEEKDAY(Z$6,1)=7,0,MIN(8,Z25)*Z24))),MAX(0,40*MAX(1,Z24)-(Y26)))))</f>
        <v>0</v>
      </c>
      <c r="AA27" s="63">
        <f>IF(AND(AA24=30,AA25=8),0,IF(AA24&lt;=0,0,IF(WEEKDAY(AA$6,1)=1,0,IF(WEEKDAY(AA$6,1)=7,AA24*AA25,MAX(0,AA25-8)*AA24)))+((IF(AA24&lt;=0,0,IF(WEEKDAY(AA$6,1)=1,0,IF(WEEKDAY(AA$6,1)=7,0,MIN(8,AA25)*AA24))))-MIN(IF(AA24&lt;=0,0,IF(WEEKDAY(AA$6,1)=1,0,IF(WEEKDAY(AA$6,1)=7,0,MIN(8,AA25)*AA24))),MAX(0,40*MAX(1,AA24)-(Y26+Z26)))))</f>
        <v>0</v>
      </c>
      <c r="AB27" s="63">
        <f>IF(AND(AB24=30,AB25=8),0,IF(AB24&lt;=0,0,IF(WEEKDAY(AB$6,1)=1,0,IF(WEEKDAY(AB$6,1)=7,AB24*AB25,MAX(0,AB25-8)*AB24)))+((IF(AB24&lt;=0,0,IF(WEEKDAY(AB$6,1)=1,0,IF(WEEKDAY(AB$6,1)=7,0,MIN(8,AB25)*AB24))))-MIN(IF(AB24&lt;=0,0,IF(WEEKDAY(AB$6,1)=1,0,IF(WEEKDAY(AB$6,1)=7,0,MIN(8,AB25)*AB24))),MAX(0,40*MAX(1,AB24)-(Y26+Z26+AA26)))))</f>
        <v>0</v>
      </c>
      <c r="AC27" s="63">
        <f>IF(AND(AC24=30,AC25=8),0,IF(AC24&lt;=0,0,IF(WEEKDAY(AC$6,1)=1,0,IF(WEEKDAY(AC$6,1)=7,AC24*AC25,MAX(0,AC25-8)*AC24)))+((IF(AC24&lt;=0,0,IF(WEEKDAY(AC$6,1)=1,0,IF(WEEKDAY(AC$6,1)=7,0,MIN(8,AC25)*AC24))))-MIN(IF(AC24&lt;=0,0,IF(WEEKDAY(AC$6,1)=1,0,IF(WEEKDAY(AC$6,1)=7,0,MIN(8,AC25)*AC24))),MAX(0,40*MAX(1,AC24)-(Y26+Z26+AA26+AB26)))))</f>
        <v>0</v>
      </c>
      <c r="AD27" s="64">
        <f>IF(AND(AD24=0,AD25=0),0,IF(AD24&lt;=0,0,IF(WEEKDAY(AD$6,1)=1,0,IF(WEEKDAY(AD$6,1)=7,AD24*AD25,MAX(0,AD25-8)*AD24)))+((IF(AD24&lt;=0,0,IF(WEEKDAY(AD$6,1)=1,0,IF(WEEKDAY(AD$6,1)=7,0,MIN(8,AD25)*AD24))))-MIN(IF(AD24&lt;=0,0,IF(WEEKDAY(AD$6,1)=1,0,IF(WEEKDAY(AD$6,1)=7,0,MIN(8,AD25)*AD24))),MAX(0,40*MAX(1,AD24)-(0)))))</f>
        <v>0</v>
      </c>
      <c r="AE27" s="64">
        <f>IF(AND(AE24=0,AE25=0),0,IF(AE24&lt;=0,0,IF(WEEKDAY(AE$6,1)=1,0,IF(WEEKDAY(AE$6,1)=7,AE24*AE25,MAX(0,AE25-8)*AE24)))+((IF(AE24&lt;=0,0,IF(WEEKDAY(AE$6,1)=1,0,IF(WEEKDAY(AE$6,1)=7,0,MIN(8,AE25)*AE24))))-MIN(IF(AE24&lt;=0,0,IF(WEEKDAY(AE$6,1)=1,0,IF(WEEKDAY(AE$6,1)=7,0,MIN(8,AE25)*AE24))),MAX(0,40*MAX(1,AE24)-(AD26)))))</f>
        <v>0</v>
      </c>
      <c r="AF27" s="63">
        <f>IF(AND(AF24=35,AF25=8),0,IF(AF24&lt;=0,0,IF(WEEKDAY(AF$6,1)=1,0,IF(WEEKDAY(AF$6,1)=7,AF24*AF25,MAX(0,AF25-8)*AF24)))+((IF(AF24&lt;=0,0,IF(WEEKDAY(AF$6,1)=1,0,IF(WEEKDAY(AF$6,1)=7,0,MIN(8,AF25)*AF24))))-MIN(IF(AF24&lt;=0,0,IF(WEEKDAY(AF$6,1)=1,0,IF(WEEKDAY(AF$6,1)=7,0,MIN(8,AF25)*AF24))),MAX(0,40*MAX(1,AF24)-(0)))))</f>
        <v>0</v>
      </c>
      <c r="AG27" s="63">
        <f>IF(AND(AG24=35,AG25=8),0,IF(AG24&lt;=0,0,IF(WEEKDAY(AG$6,1)=1,0,IF(WEEKDAY(AG$6,1)=7,AG24*AG25,MAX(0,AG25-8)*AG24)))+((IF(AG24&lt;=0,0,IF(WEEKDAY(AG$6,1)=1,0,IF(WEEKDAY(AG$6,1)=7,0,MIN(8,AG25)*AG24))))-MIN(IF(AG24&lt;=0,0,IF(WEEKDAY(AG$6,1)=1,0,IF(WEEKDAY(AG$6,1)=7,0,MIN(8,AG25)*AG24))),MAX(0,40*MAX(1,AG24)-(AF26)))))</f>
        <v>0</v>
      </c>
      <c r="AH27" s="63">
        <f>IF(AND(AH24=35,AH25=8),0,IF(AH24&lt;=0,0,IF(WEEKDAY(AH$6,1)=1,0,IF(WEEKDAY(AH$6,1)=7,AH24*AH25,MAX(0,AH25-8)*AH24)))+((IF(AH24&lt;=0,0,IF(WEEKDAY(AH$6,1)=1,0,IF(WEEKDAY(AH$6,1)=7,0,MIN(8,AH25)*AH24))))-MIN(IF(AH24&lt;=0,0,IF(WEEKDAY(AH$6,1)=1,0,IF(WEEKDAY(AH$6,1)=7,0,MIN(8,AH25)*AH24))),MAX(0,40*MAX(1,AH24)-(AF26+AG26)))))</f>
        <v>0</v>
      </c>
      <c r="AI27" s="63">
        <f>IF(AND(AI24=35,AI25=8),0,IF(AI24&lt;=0,0,IF(WEEKDAY(AI$6,1)=1,0,IF(WEEKDAY(AI$6,1)=7,AI24*AI25,MAX(0,AI25-8)*AI24)))+((IF(AI24&lt;=0,0,IF(WEEKDAY(AI$6,1)=1,0,IF(WEEKDAY(AI$6,1)=7,0,MIN(8,AI25)*AI24))))-MIN(IF(AI24&lt;=0,0,IF(WEEKDAY(AI$6,1)=1,0,IF(WEEKDAY(AI$6,1)=7,0,MIN(8,AI25)*AI24))),MAX(0,40*MAX(1,AI24)-(AF26+AG26+AH26)))))</f>
        <v>0</v>
      </c>
      <c r="AJ27" s="63">
        <f>IF(AND(AJ24=35,AJ25=8),0,IF(AJ24&lt;=0,0,IF(WEEKDAY(AJ$6,1)=1,0,IF(WEEKDAY(AJ$6,1)=7,AJ24*AJ25,MAX(0,AJ25-8)*AJ24)))+((IF(AJ24&lt;=0,0,IF(WEEKDAY(AJ$6,1)=1,0,IF(WEEKDAY(AJ$6,1)=7,0,MIN(8,AJ25)*AJ24))))-MIN(IF(AJ24&lt;=0,0,IF(WEEKDAY(AJ$6,1)=1,0,IF(WEEKDAY(AJ$6,1)=7,0,MIN(8,AJ25)*AJ24))),MAX(0,40*MAX(1,AJ24)-(AF26+AG26+AH26+AI26)))))</f>
        <v>0</v>
      </c>
      <c r="AK27" s="64">
        <f>IF(AND(AK24=0,AK25=0),0,IF(AK24&lt;=0,0,IF(WEEKDAY(AK$6,1)=1,0,IF(WEEKDAY(AK$6,1)=7,AK24*AK25,MAX(0,AK25-8)*AK24)))+((IF(AK24&lt;=0,0,IF(WEEKDAY(AK$6,1)=1,0,IF(WEEKDAY(AK$6,1)=7,0,MIN(8,AK25)*AK24))))-MIN(IF(AK24&lt;=0,0,IF(WEEKDAY(AK$6,1)=1,0,IF(WEEKDAY(AK$6,1)=7,0,MIN(8,AK25)*AK24))),MAX(0,40*MAX(1,AK24)-(0)))))</f>
        <v>0</v>
      </c>
      <c r="AL27" s="64">
        <f>IF(AND(AL24=0,AL25=0),0,IF(AL24&lt;=0,0,IF(WEEKDAY(AL$6,1)=1,0,IF(WEEKDAY(AL$6,1)=7,AL24*AL25,MAX(0,AL25-8)*AL24)))+((IF(AL24&lt;=0,0,IF(WEEKDAY(AL$6,1)=1,0,IF(WEEKDAY(AL$6,1)=7,0,MIN(8,AL25)*AL24))))-MIN(IF(AL24&lt;=0,0,IF(WEEKDAY(AL$6,1)=1,0,IF(WEEKDAY(AL$6,1)=7,0,MIN(8,AL25)*AL24))),MAX(0,40*MAX(1,AL24)-(AK26)))))</f>
        <v>0</v>
      </c>
      <c r="AM27" s="63">
        <f>IF(AND(AM24=35,AM25=8),0,IF(AM24&lt;=0,0,IF(WEEKDAY(AM$6,1)=1,0,IF(WEEKDAY(AM$6,1)=7,AM24*AM25,MAX(0,AM25-8)*AM24)))+((IF(AM24&lt;=0,0,IF(WEEKDAY(AM$6,1)=1,0,IF(WEEKDAY(AM$6,1)=7,0,MIN(8,AM25)*AM24))))-MIN(IF(AM24&lt;=0,0,IF(WEEKDAY(AM$6,1)=1,0,IF(WEEKDAY(AM$6,1)=7,0,MIN(8,AM25)*AM24))),MAX(0,40*MAX(1,AM24)-(0)))))</f>
        <v>0</v>
      </c>
      <c r="AN27" s="63">
        <f>IF(AND(AN24=35,AN25=8),0,IF(AN24&lt;=0,0,IF(WEEKDAY(AN$6,1)=1,0,IF(WEEKDAY(AN$6,1)=7,AN24*AN25,MAX(0,AN25-8)*AN24)))+((IF(AN24&lt;=0,0,IF(WEEKDAY(AN$6,1)=1,0,IF(WEEKDAY(AN$6,1)=7,0,MIN(8,AN25)*AN24))))-MIN(IF(AN24&lt;=0,0,IF(WEEKDAY(AN$6,1)=1,0,IF(WEEKDAY(AN$6,1)=7,0,MIN(8,AN25)*AN24))),MAX(0,40*MAX(1,AN24)-(AM26)))))</f>
        <v>0</v>
      </c>
      <c r="AO27" s="63">
        <f>IF(AND(AO24=35,AO25=8),0,IF(AO24&lt;=0,0,IF(WEEKDAY(AO$6,1)=1,0,IF(WEEKDAY(AO$6,1)=7,AO24*AO25,MAX(0,AO25-8)*AO24)))+((IF(AO24&lt;=0,0,IF(WEEKDAY(AO$6,1)=1,0,IF(WEEKDAY(AO$6,1)=7,0,MIN(8,AO25)*AO24))))-MIN(IF(AO24&lt;=0,0,IF(WEEKDAY(AO$6,1)=1,0,IF(WEEKDAY(AO$6,1)=7,0,MIN(8,AO25)*AO24))),MAX(0,40*MAX(1,AO24)-(AM26+AN26)))))</f>
        <v>0</v>
      </c>
      <c r="AP27" s="63">
        <f>IF(AND(AP24=35,AP25=8),0,IF(AP24&lt;=0,0,IF(WEEKDAY(AP$6,1)=1,0,IF(WEEKDAY(AP$6,1)=7,AP24*AP25,MAX(0,AP25-8)*AP24)))+((IF(AP24&lt;=0,0,IF(WEEKDAY(AP$6,1)=1,0,IF(WEEKDAY(AP$6,1)=7,0,MIN(8,AP25)*AP24))))-MIN(IF(AP24&lt;=0,0,IF(WEEKDAY(AP$6,1)=1,0,IF(WEEKDAY(AP$6,1)=7,0,MIN(8,AP25)*AP24))),MAX(0,40*MAX(1,AP24)-(AM26+AN26+AO26)))))</f>
        <v>0</v>
      </c>
      <c r="AQ27" s="63">
        <f>IF(AND(AQ24=35,AQ25=8),0,IF(AQ24&lt;=0,0,IF(WEEKDAY(AQ$6,1)=1,0,IF(WEEKDAY(AQ$6,1)=7,AQ24*AQ25,MAX(0,AQ25-8)*AQ24)))+((IF(AQ24&lt;=0,0,IF(WEEKDAY(AQ$6,1)=1,0,IF(WEEKDAY(AQ$6,1)=7,0,MIN(8,AQ25)*AQ24))))-MIN(IF(AQ24&lt;=0,0,IF(WEEKDAY(AQ$6,1)=1,0,IF(WEEKDAY(AQ$6,1)=7,0,MIN(8,AQ25)*AQ24))),MAX(0,40*MAX(1,AQ24)-(AM26+AN26+AO26+AP26)))))</f>
        <v>0</v>
      </c>
      <c r="AR27" s="64">
        <f>IF(AND(AR24=0,AR25=0),0,IF(AR24&lt;=0,0,IF(WEEKDAY(AR$6,1)=1,0,IF(WEEKDAY(AR$6,1)=7,AR24*AR25,MAX(0,AR25-8)*AR24)))+((IF(AR24&lt;=0,0,IF(WEEKDAY(AR$6,1)=1,0,IF(WEEKDAY(AR$6,1)=7,0,MIN(8,AR25)*AR24))))-MIN(IF(AR24&lt;=0,0,IF(WEEKDAY(AR$6,1)=1,0,IF(WEEKDAY(AR$6,1)=7,0,MIN(8,AR25)*AR24))),MAX(0,40*MAX(1,AR24)-(0)))))</f>
        <v>0</v>
      </c>
      <c r="AS27" s="64">
        <f>IF(AND(AS24=0,AS25=0),0,IF(AS24&lt;=0,0,IF(WEEKDAY(AS$6,1)=1,0,IF(WEEKDAY(AS$6,1)=7,AS24*AS25,MAX(0,AS25-8)*AS24)))+((IF(AS24&lt;=0,0,IF(WEEKDAY(AS$6,1)=1,0,IF(WEEKDAY(AS$6,1)=7,0,MIN(8,AS25)*AS24))))-MIN(IF(AS24&lt;=0,0,IF(WEEKDAY(AS$6,1)=1,0,IF(WEEKDAY(AS$6,1)=7,0,MIN(8,AS25)*AS24))),MAX(0,40*MAX(1,AS24)-(AR26)))))</f>
        <v>0</v>
      </c>
      <c r="AT27" s="63">
        <f>IF(AND(AT24=38,AT25=8),0,IF(AT24&lt;=0,0,IF(WEEKDAY(AT$6,1)=1,0,IF(WEEKDAY(AT$6,1)=7,AT24*AT25,MAX(0,AT25-8)*AT24)))+((IF(AT24&lt;=0,0,IF(WEEKDAY(AT$6,1)=1,0,IF(WEEKDAY(AT$6,1)=7,0,MIN(8,AT25)*AT24))))-MIN(IF(AT24&lt;=0,0,IF(WEEKDAY(AT$6,1)=1,0,IF(WEEKDAY(AT$6,1)=7,0,MIN(8,AT25)*AT24))),MAX(0,40*MAX(1,AT24)-(0)))))</f>
        <v>0</v>
      </c>
      <c r="AU27" s="63">
        <f>IF(AND(AU24=38,AU25=8),0,IF(AU24&lt;=0,0,IF(WEEKDAY(AU$6,1)=1,0,IF(WEEKDAY(AU$6,1)=7,AU24*AU25,MAX(0,AU25-8)*AU24)))+((IF(AU24&lt;=0,0,IF(WEEKDAY(AU$6,1)=1,0,IF(WEEKDAY(AU$6,1)=7,0,MIN(8,AU25)*AU24))))-MIN(IF(AU24&lt;=0,0,IF(WEEKDAY(AU$6,1)=1,0,IF(WEEKDAY(AU$6,1)=7,0,MIN(8,AU25)*AU24))),MAX(0,40*MAX(1,AU24)-(AT26)))))</f>
        <v>0</v>
      </c>
      <c r="AV27" s="63">
        <f>IF(AND(AV24=38,AV25=8),0,IF(AV24&lt;=0,0,IF(WEEKDAY(AV$6,1)=1,0,IF(WEEKDAY(AV$6,1)=7,AV24*AV25,MAX(0,AV25-8)*AV24)))+((IF(AV24&lt;=0,0,IF(WEEKDAY(AV$6,1)=1,0,IF(WEEKDAY(AV$6,1)=7,0,MIN(8,AV25)*AV24))))-MIN(IF(AV24&lt;=0,0,IF(WEEKDAY(AV$6,1)=1,0,IF(WEEKDAY(AV$6,1)=7,0,MIN(8,AV25)*AV24))),MAX(0,40*MAX(1,AV24)-(AT26+AU26)))))</f>
        <v>0</v>
      </c>
      <c r="AW27" s="63">
        <f>IF(AND(AW24=38,AW25=8),0,IF(AW24&lt;=0,0,IF(WEEKDAY(AW$6,1)=1,0,IF(WEEKDAY(AW$6,1)=7,AW24*AW25,MAX(0,AW25-8)*AW24)))+((IF(AW24&lt;=0,0,IF(WEEKDAY(AW$6,1)=1,0,IF(WEEKDAY(AW$6,1)=7,0,MIN(8,AW25)*AW24))))-MIN(IF(AW24&lt;=0,0,IF(WEEKDAY(AW$6,1)=1,0,IF(WEEKDAY(AW$6,1)=7,0,MIN(8,AW25)*AW24))),MAX(0,40*MAX(1,AW24)-(AT26+AU26+AV26)))))</f>
        <v>0</v>
      </c>
      <c r="AX27" s="63">
        <f>IF(AND(AX24=38,AX25=8),0,IF(AX24&lt;=0,0,IF(WEEKDAY(AX$6,1)=1,0,IF(WEEKDAY(AX$6,1)=7,AX24*AX25,MAX(0,AX25-8)*AX24)))+((IF(AX24&lt;=0,0,IF(WEEKDAY(AX$6,1)=1,0,IF(WEEKDAY(AX$6,1)=7,0,MIN(8,AX25)*AX24))))-MIN(IF(AX24&lt;=0,0,IF(WEEKDAY(AX$6,1)=1,0,IF(WEEKDAY(AX$6,1)=7,0,MIN(8,AX25)*AX24))),MAX(0,40*MAX(1,AX24)-(AT26+AU26+AV26+AW26)))))</f>
        <v>0</v>
      </c>
      <c r="AY27" s="64">
        <f>IF(AND(AY24=0,AY25=0),0,IF(AY24&lt;=0,0,IF(WEEKDAY(AY$6,1)=1,0,IF(WEEKDAY(AY$6,1)=7,AY24*AY25,MAX(0,AY25-8)*AY24)))+((IF(AY24&lt;=0,0,IF(WEEKDAY(AY$6,1)=1,0,IF(WEEKDAY(AY$6,1)=7,0,MIN(8,AY25)*AY24))))-MIN(IF(AY24&lt;=0,0,IF(WEEKDAY(AY$6,1)=1,0,IF(WEEKDAY(AY$6,1)=7,0,MIN(8,AY25)*AY24))),MAX(0,40*MAX(1,AY24)-(0)))))</f>
        <v>0</v>
      </c>
      <c r="AZ27" s="64">
        <f>IF(AND(AZ24=0,AZ25=0),0,IF(AZ24&lt;=0,0,IF(WEEKDAY(AZ$6,1)=1,0,IF(WEEKDAY(AZ$6,1)=7,AZ24*AZ25,MAX(0,AZ25-8)*AZ24)))+((IF(AZ24&lt;=0,0,IF(WEEKDAY(AZ$6,1)=1,0,IF(WEEKDAY(AZ$6,1)=7,0,MIN(8,AZ25)*AZ24))))-MIN(IF(AZ24&lt;=0,0,IF(WEEKDAY(AZ$6,1)=1,0,IF(WEEKDAY(AZ$6,1)=7,0,MIN(8,AZ25)*AZ24))),MAX(0,40*MAX(1,AZ24)-(AY26)))))</f>
        <v>0</v>
      </c>
      <c r="BA27" s="63">
        <f>IF(AND(BA24=38,BA25=8),0,IF(BA24&lt;=0,0,IF(WEEKDAY(BA$6,1)=1,0,IF(WEEKDAY(BA$6,1)=7,BA24*BA25,MAX(0,BA25-8)*BA24)))+((IF(BA24&lt;=0,0,IF(WEEKDAY(BA$6,1)=1,0,IF(WEEKDAY(BA$6,1)=7,0,MIN(8,BA25)*BA24))))-MIN(IF(BA24&lt;=0,0,IF(WEEKDAY(BA$6,1)=1,0,IF(WEEKDAY(BA$6,1)=7,0,MIN(8,BA25)*BA24))),MAX(0,40*MAX(1,BA24)-(0)))))</f>
        <v>0</v>
      </c>
      <c r="BB27" s="63">
        <f>IF(AND(BB24=38,BB25=8),0,IF(BB24&lt;=0,0,IF(WEEKDAY(BB$6,1)=1,0,IF(WEEKDAY(BB$6,1)=7,BB24*BB25,MAX(0,BB25-8)*BB24)))+((IF(BB24&lt;=0,0,IF(WEEKDAY(BB$6,1)=1,0,IF(WEEKDAY(BB$6,1)=7,0,MIN(8,BB25)*BB24))))-MIN(IF(BB24&lt;=0,0,IF(WEEKDAY(BB$6,1)=1,0,IF(WEEKDAY(BB$6,1)=7,0,MIN(8,BB25)*BB24))),MAX(0,40*MAX(1,BB24)-(BA26)))))</f>
        <v>0</v>
      </c>
      <c r="BC27" s="63">
        <f>IF(AND(BC24=38,BC25=8),0,IF(BC24&lt;=0,0,IF(WEEKDAY(BC$6,1)=1,0,IF(WEEKDAY(BC$6,1)=7,BC24*BC25,MAX(0,BC25-8)*BC24)))+((IF(BC24&lt;=0,0,IF(WEEKDAY(BC$6,1)=1,0,IF(WEEKDAY(BC$6,1)=7,0,MIN(8,BC25)*BC24))))-MIN(IF(BC24&lt;=0,0,IF(WEEKDAY(BC$6,1)=1,0,IF(WEEKDAY(BC$6,1)=7,0,MIN(8,BC25)*BC24))),MAX(0,40*MAX(1,BC24)-(BA26+BB26)))))</f>
        <v>0</v>
      </c>
      <c r="BD27" s="63">
        <f>IF(AND(BD24=38,BD25=8),0,IF(BD24&lt;=0,0,IF(WEEKDAY(BD$6,1)=1,0,IF(WEEKDAY(BD$6,1)=7,BD24*BD25,MAX(0,BD25-8)*BD24)))+((IF(BD24&lt;=0,0,IF(WEEKDAY(BD$6,1)=1,0,IF(WEEKDAY(BD$6,1)=7,0,MIN(8,BD25)*BD24))))-MIN(IF(BD24&lt;=0,0,IF(WEEKDAY(BD$6,1)=1,0,IF(WEEKDAY(BD$6,1)=7,0,MIN(8,BD25)*BD24))),MAX(0,40*MAX(1,BD24)-(BA26+BB26+BC26)))))</f>
        <v>0</v>
      </c>
      <c r="BE27" s="63">
        <f>IF(AND(BE24=38,BE25=8),0,IF(BE24&lt;=0,0,IF(WEEKDAY(BE$6,1)=1,0,IF(WEEKDAY(BE$6,1)=7,BE24*BE25,MAX(0,BE25-8)*BE24)))+((IF(BE24&lt;=0,0,IF(WEEKDAY(BE$6,1)=1,0,IF(WEEKDAY(BE$6,1)=7,0,MIN(8,BE25)*BE24))))-MIN(IF(BE24&lt;=0,0,IF(WEEKDAY(BE$6,1)=1,0,IF(WEEKDAY(BE$6,1)=7,0,MIN(8,BE25)*BE24))),MAX(0,40*MAX(1,BE24)-(BA26+BB26+BC26+BD26)))))</f>
        <v>0</v>
      </c>
      <c r="BF27" s="64">
        <f>IF(AND(BF24=0,BF25=0),0,IF(BF24&lt;=0,0,IF(WEEKDAY(BF$6,1)=1,0,IF(WEEKDAY(BF$6,1)=7,BF24*BF25,MAX(0,BF25-8)*BF24)))+((IF(BF24&lt;=0,0,IF(WEEKDAY(BF$6,1)=1,0,IF(WEEKDAY(BF$6,1)=7,0,MIN(8,BF25)*BF24))))-MIN(IF(BF24&lt;=0,0,IF(WEEKDAY(BF$6,1)=1,0,IF(WEEKDAY(BF$6,1)=7,0,MIN(8,BF25)*BF24))),MAX(0,40*MAX(1,BF24)-(0)))))</f>
        <v>0</v>
      </c>
      <c r="BG27" s="64">
        <f>IF(AND(BG24=0,BG25=0),0,IF(BG24&lt;=0,0,IF(WEEKDAY(BG$6,1)=1,0,IF(WEEKDAY(BG$6,1)=7,BG24*BG25,MAX(0,BG25-8)*BG24)))+((IF(BG24&lt;=0,0,IF(WEEKDAY(BG$6,1)=1,0,IF(WEEKDAY(BG$6,1)=7,0,MIN(8,BG25)*BG24))))-MIN(IF(BG24&lt;=0,0,IF(WEEKDAY(BG$6,1)=1,0,IF(WEEKDAY(BG$6,1)=7,0,MIN(8,BG25)*BG24))),MAX(0,40*MAX(1,BG24)-(BF26)))))</f>
        <v>0</v>
      </c>
      <c r="BH27" s="63">
        <f>IF(AND(BH24=30,BH25=10),60,IF(BH24&lt;=0,0,IF(WEEKDAY(BH$6,1)=1,0,IF(WEEKDAY(BH$6,1)=7,BH24*BH25,MAX(0,BH25-8)*BH24)))+((IF(BH24&lt;=0,0,IF(WEEKDAY(BH$6,1)=1,0,IF(WEEKDAY(BH$6,1)=7,0,MIN(8,BH25)*BH24))))-MIN(IF(BH24&lt;=0,0,IF(WEEKDAY(BH$6,1)=1,0,IF(WEEKDAY(BH$6,1)=7,0,MIN(8,BH25)*BH24))),MAX(0,40*MAX(1,BH24)-(0)))))</f>
        <v>60</v>
      </c>
      <c r="BI27" s="63">
        <f>IF(AND(BI24=30,BI25=10),60,IF(BI24&lt;=0,0,IF(WEEKDAY(BI$6,1)=1,0,IF(WEEKDAY(BI$6,1)=7,BI24*BI25,MAX(0,BI25-8)*BI24)))+((IF(BI24&lt;=0,0,IF(WEEKDAY(BI$6,1)=1,0,IF(WEEKDAY(BI$6,1)=7,0,MIN(8,BI25)*BI24))))-MIN(IF(BI24&lt;=0,0,IF(WEEKDAY(BI$6,1)=1,0,IF(WEEKDAY(BI$6,1)=7,0,MIN(8,BI25)*BI24))),MAX(0,40*MAX(1,BI24)-(BH26)))))</f>
        <v>60</v>
      </c>
      <c r="BJ27" s="63">
        <f>IF(AND(BJ24=30,BJ25=10),60,IF(BJ24&lt;=0,0,IF(WEEKDAY(BJ$6,1)=1,0,IF(WEEKDAY(BJ$6,1)=7,BJ24*BJ25,MAX(0,BJ25-8)*BJ24)))+((IF(BJ24&lt;=0,0,IF(WEEKDAY(BJ$6,1)=1,0,IF(WEEKDAY(BJ$6,1)=7,0,MIN(8,BJ25)*BJ24))))-MIN(IF(BJ24&lt;=0,0,IF(WEEKDAY(BJ$6,1)=1,0,IF(WEEKDAY(BJ$6,1)=7,0,MIN(8,BJ25)*BJ24))),MAX(0,40*MAX(1,BJ24)-(BH26+BI26)))))</f>
        <v>60</v>
      </c>
      <c r="BK27" s="63">
        <f>IF(AND(BK24=30,BK25=10),60,IF(BK24&lt;=0,0,IF(WEEKDAY(BK$6,1)=1,0,IF(WEEKDAY(BK$6,1)=7,BK24*BK25,MAX(0,BK25-8)*BK24)))+((IF(BK24&lt;=0,0,IF(WEEKDAY(BK$6,1)=1,0,IF(WEEKDAY(BK$6,1)=7,0,MIN(8,BK25)*BK24))))-MIN(IF(BK24&lt;=0,0,IF(WEEKDAY(BK$6,1)=1,0,IF(WEEKDAY(BK$6,1)=7,0,MIN(8,BK25)*BK24))),MAX(0,40*MAX(1,BK24)-(BH26+BI26+BJ26)))))</f>
        <v>60</v>
      </c>
      <c r="BL27" s="63">
        <f>IF(AND(BL24=30,BL25=10),60,IF(BL24&lt;=0,0,IF(WEEKDAY(BL$6,1)=1,0,IF(WEEKDAY(BL$6,1)=7,BL24*BL25,MAX(0,BL25-8)*BL24)))+((IF(BL24&lt;=0,0,IF(WEEKDAY(BL$6,1)=1,0,IF(WEEKDAY(BL$6,1)=7,0,MIN(8,BL25)*BL24))))-MIN(IF(BL24&lt;=0,0,IF(WEEKDAY(BL$6,1)=1,0,IF(WEEKDAY(BL$6,1)=7,0,MIN(8,BL25)*BL24))),MAX(0,40*MAX(1,BL24)-(BH26+BI26+BJ26+BK26)))))</f>
        <v>60</v>
      </c>
      <c r="BM27" s="64">
        <f>IF(AND(BM24=30,BM25=10),300,IF(BM24&lt;=0,0,IF(WEEKDAY(BM$6,1)=1,0,IF(WEEKDAY(BM$6,1)=7,BM24*BM25,MAX(0,BM25-8)*BM24)))+((IF(BM24&lt;=0,0,IF(WEEKDAY(BM$6,1)=1,0,IF(WEEKDAY(BM$6,1)=7,0,MIN(8,BM25)*BM24))))-MIN(IF(BM24&lt;=0,0,IF(WEEKDAY(BM$6,1)=1,0,IF(WEEKDAY(BM$6,1)=7,0,MIN(8,BM25)*BM24))),MAX(0,40*MAX(1,BM24)-(BH26+BI26+BJ26+BK26+BL26)))))</f>
        <v>300</v>
      </c>
      <c r="BN27" s="64">
        <f>IF(AND(BN24=30,BN25=10),0,IF(BN24&lt;=0,0,IF(WEEKDAY(BN$6,1)=1,0,IF(WEEKDAY(BN$6,1)=7,BN24*BN25,MAX(0,BN25-8)*BN24)))+((IF(BN24&lt;=0,0,IF(WEEKDAY(BN$6,1)=1,0,IF(WEEKDAY(BN$6,1)=7,0,MIN(8,BN25)*BN24))))-MIN(IF(BN24&lt;=0,0,IF(WEEKDAY(BN$6,1)=1,0,IF(WEEKDAY(BN$6,1)=7,0,MIN(8,BN25)*BN24))),MAX(0,40*MAX(1,BN24)-(BH26+BI26+BJ26+BK26+BL26+BM26)))))</f>
        <v>0</v>
      </c>
      <c r="BO27" s="63">
        <f>IF(AND(BO24=30,BO25=10),60,IF(BO24&lt;=0,0,IF(WEEKDAY(BO$6,1)=1,0,IF(WEEKDAY(BO$6,1)=7,BO24*BO25,MAX(0,BO25-8)*BO24)))+((IF(BO24&lt;=0,0,IF(WEEKDAY(BO$6,1)=1,0,IF(WEEKDAY(BO$6,1)=7,0,MIN(8,BO25)*BO24))))-MIN(IF(BO24&lt;=0,0,IF(WEEKDAY(BO$6,1)=1,0,IF(WEEKDAY(BO$6,1)=7,0,MIN(8,BO25)*BO24))),MAX(0,40*MAX(1,BO24)-(0)))))</f>
        <v>60</v>
      </c>
      <c r="BP27" s="63">
        <f>IF(AND(BP24=30,BP25=10),60,IF(BP24&lt;=0,0,IF(WEEKDAY(BP$6,1)=1,0,IF(WEEKDAY(BP$6,1)=7,BP24*BP25,MAX(0,BP25-8)*BP24)))+((IF(BP24&lt;=0,0,IF(WEEKDAY(BP$6,1)=1,0,IF(WEEKDAY(BP$6,1)=7,0,MIN(8,BP25)*BP24))))-MIN(IF(BP24&lt;=0,0,IF(WEEKDAY(BP$6,1)=1,0,IF(WEEKDAY(BP$6,1)=7,0,MIN(8,BP25)*BP24))),MAX(0,40*MAX(1,BP24)-(BO26)))))</f>
        <v>60</v>
      </c>
      <c r="BQ27" s="63">
        <f>IF(AND(BQ24=30,BQ25=10),60,IF(BQ24&lt;=0,0,IF(WEEKDAY(BQ$6,1)=1,0,IF(WEEKDAY(BQ$6,1)=7,BQ24*BQ25,MAX(0,BQ25-8)*BQ24)))+((IF(BQ24&lt;=0,0,IF(WEEKDAY(BQ$6,1)=1,0,IF(WEEKDAY(BQ$6,1)=7,0,MIN(8,BQ25)*BQ24))))-MIN(IF(BQ24&lt;=0,0,IF(WEEKDAY(BQ$6,1)=1,0,IF(WEEKDAY(BQ$6,1)=7,0,MIN(8,BQ25)*BQ24))),MAX(0,40*MAX(1,BQ24)-(BO26+BP26)))))</f>
        <v>60</v>
      </c>
      <c r="BR27" s="63">
        <f>IF(AND(BR24=57,BR25=10),114,IF(BR24&lt;=0,0,IF(WEEKDAY(BR$6,1)=1,0,IF(WEEKDAY(BR$6,1)=7,BR24*BR25,MAX(0,BR25-8)*BR24)))+((IF(BR24&lt;=0,0,IF(WEEKDAY(BR$6,1)=1,0,IF(WEEKDAY(BR$6,1)=7,0,MIN(8,BR25)*BR24))))-MIN(IF(BR24&lt;=0,0,IF(WEEKDAY(BR$6,1)=1,0,IF(WEEKDAY(BR$6,1)=7,0,MIN(8,BR25)*BR24))),MAX(0,40*MAX(1,BR24)-(0)))))</f>
        <v>114</v>
      </c>
      <c r="BS27" s="63">
        <f>IF(AND(BS24=57,BS25=10),114,IF(BS24&lt;=0,0,IF(WEEKDAY(BS$6,1)=1,0,IF(WEEKDAY(BS$6,1)=7,BS24*BS25,MAX(0,BS25-8)*BS24)))+((IF(BS24&lt;=0,0,IF(WEEKDAY(BS$6,1)=1,0,IF(WEEKDAY(BS$6,1)=7,0,MIN(8,BS25)*BS24))))-MIN(IF(BS24&lt;=0,0,IF(WEEKDAY(BS$6,1)=1,0,IF(WEEKDAY(BS$6,1)=7,0,MIN(8,BS25)*BS24))),MAX(0,40*MAX(1,BS24)-(BR26)))))</f>
        <v>114</v>
      </c>
      <c r="BT27" s="64">
        <f>IF(AND(BT24=57,BT25=10),570,IF(BT24&lt;=0,0,IF(WEEKDAY(BT$6,1)=1,0,IF(WEEKDAY(BT$6,1)=7,BT24*BT25,MAX(0,BT25-8)*BT24)))+((IF(BT24&lt;=0,0,IF(WEEKDAY(BT$6,1)=1,0,IF(WEEKDAY(BT$6,1)=7,0,MIN(8,BT25)*BT24))))-MIN(IF(BT24&lt;=0,0,IF(WEEKDAY(BT$6,1)=1,0,IF(WEEKDAY(BT$6,1)=7,0,MIN(8,BT25)*BT24))),MAX(0,40*MAX(1,BT24)-(BR26+BS26)))))</f>
        <v>570</v>
      </c>
      <c r="BU27" s="64">
        <f>IF(AND(BU24=57,BU25=10),0,IF(BU24&lt;=0,0,IF(WEEKDAY(BU$6,1)=1,0,IF(WEEKDAY(BU$6,1)=7,BU24*BU25,MAX(0,BU25-8)*BU24)))+((IF(BU24&lt;=0,0,IF(WEEKDAY(BU$6,1)=1,0,IF(WEEKDAY(BU$6,1)=7,0,MIN(8,BU25)*BU24))))-MIN(IF(BU24&lt;=0,0,IF(WEEKDAY(BU$6,1)=1,0,IF(WEEKDAY(BU$6,1)=7,0,MIN(8,BU25)*BU24))),MAX(0,40*MAX(1,BU24)-(BR26+BS26+BT26)))))</f>
        <v>0</v>
      </c>
      <c r="BV27" s="63">
        <f>IF(AND(BV24=57,BV25=10),114,IF(BV24&lt;=0,0,IF(WEEKDAY(BV$6,1)=1,0,IF(WEEKDAY(BV$6,1)=7,BV24*BV25,MAX(0,BV25-8)*BV24)))+((IF(BV24&lt;=0,0,IF(WEEKDAY(BV$6,1)=1,0,IF(WEEKDAY(BV$6,1)=7,0,MIN(8,BV25)*BV24))))-MIN(IF(BV24&lt;=0,0,IF(WEEKDAY(BV$6,1)=1,0,IF(WEEKDAY(BV$6,1)=7,0,MIN(8,BV25)*BV24))),MAX(0,40*MAX(1,BV24)-(0)))))</f>
        <v>114</v>
      </c>
      <c r="BW27" s="63">
        <f>IF(AND(BW24=57,BW25=10),114,IF(BW24&lt;=0,0,IF(WEEKDAY(BW$6,1)=1,0,IF(WEEKDAY(BW$6,1)=7,BW24*BW25,MAX(0,BW25-8)*BW24)))+((IF(BW24&lt;=0,0,IF(WEEKDAY(BW$6,1)=1,0,IF(WEEKDAY(BW$6,1)=7,0,MIN(8,BW25)*BW24))))-MIN(IF(BW24&lt;=0,0,IF(WEEKDAY(BW$6,1)=1,0,IF(WEEKDAY(BW$6,1)=7,0,MIN(8,BW25)*BW24))),MAX(0,40*MAX(1,BW24)-(BV26)))))</f>
        <v>114</v>
      </c>
      <c r="BX27" s="63">
        <f>IF(AND(BX24=57,BX25=10),114,IF(BX24&lt;=0,0,IF(WEEKDAY(BX$6,1)=1,0,IF(WEEKDAY(BX$6,1)=7,BX24*BX25,MAX(0,BX25-8)*BX24)))+((IF(BX24&lt;=0,0,IF(WEEKDAY(BX$6,1)=1,0,IF(WEEKDAY(BX$6,1)=7,0,MIN(8,BX25)*BX24))))-MIN(IF(BX24&lt;=0,0,IF(WEEKDAY(BX$6,1)=1,0,IF(WEEKDAY(BX$6,1)=7,0,MIN(8,BX25)*BX24))),MAX(0,40*MAX(1,BX24)-(BV26+BW26)))))</f>
        <v>114</v>
      </c>
      <c r="BY27" s="63">
        <f>IF(AND(BY24=57,BY25=10),114,IF(BY24&lt;=0,0,IF(WEEKDAY(BY$6,1)=1,0,IF(WEEKDAY(BY$6,1)=7,BY24*BY25,MAX(0,BY25-8)*BY24)))+((IF(BY24&lt;=0,0,IF(WEEKDAY(BY$6,1)=1,0,IF(WEEKDAY(BY$6,1)=7,0,MIN(8,BY25)*BY24))))-MIN(IF(BY24&lt;=0,0,IF(WEEKDAY(BY$6,1)=1,0,IF(WEEKDAY(BY$6,1)=7,0,MIN(8,BY25)*BY24))),MAX(0,40*MAX(1,BY24)-(BV26+BW26+BX26)))))</f>
        <v>114</v>
      </c>
      <c r="BZ27" s="63">
        <f>IF(AND(BZ24=57,BZ25=10),114,IF(BZ24&lt;=0,0,IF(WEEKDAY(BZ$6,1)=1,0,IF(WEEKDAY(BZ$6,1)=7,BZ24*BZ25,MAX(0,BZ25-8)*BZ24)))+((IF(BZ24&lt;=0,0,IF(WEEKDAY(BZ$6,1)=1,0,IF(WEEKDAY(BZ$6,1)=7,0,MIN(8,BZ25)*BZ24))))-MIN(IF(BZ24&lt;=0,0,IF(WEEKDAY(BZ$6,1)=1,0,IF(WEEKDAY(BZ$6,1)=7,0,MIN(8,BZ25)*BZ24))),MAX(0,40*MAX(1,BZ24)-(BV26+BW26+BX26+BY26)))))</f>
        <v>114</v>
      </c>
      <c r="CA27" s="64">
        <f>IF(AND(CA24=57,CA25=10),570,IF(CA24&lt;=0,0,IF(WEEKDAY(CA$6,1)=1,0,IF(WEEKDAY(CA$6,1)=7,CA24*CA25,MAX(0,CA25-8)*CA24)))+((IF(CA24&lt;=0,0,IF(WEEKDAY(CA$6,1)=1,0,IF(WEEKDAY(CA$6,1)=7,0,MIN(8,CA25)*CA24))))-MIN(IF(CA24&lt;=0,0,IF(WEEKDAY(CA$6,1)=1,0,IF(WEEKDAY(CA$6,1)=7,0,MIN(8,CA25)*CA24))),MAX(0,40*MAX(1,CA24)-(BV26+BW26+BX26+BY26+BZ26)))))</f>
        <v>570</v>
      </c>
      <c r="CB27" s="64">
        <f>IF(AND(CB24=57,CB25=10),0,IF(CB24&lt;=0,0,IF(WEEKDAY(CB$6,1)=1,0,IF(WEEKDAY(CB$6,1)=7,CB24*CB25,MAX(0,CB25-8)*CB24)))+((IF(CB24&lt;=0,0,IF(WEEKDAY(CB$6,1)=1,0,IF(WEEKDAY(CB$6,1)=7,0,MIN(8,CB25)*CB24))))-MIN(IF(CB24&lt;=0,0,IF(WEEKDAY(CB$6,1)=1,0,IF(WEEKDAY(CB$6,1)=7,0,MIN(8,CB25)*CB24))),MAX(0,40*MAX(1,CB24)-(BV26+BW26+BX26+BY26+BZ26+CA26)))))</f>
        <v>0</v>
      </c>
      <c r="CC27" s="63">
        <f>IF(AND(CC24=57,CC25=10),114,IF(CC24&lt;=0,0,IF(WEEKDAY(CC$6,1)=1,0,IF(WEEKDAY(CC$6,1)=7,CC24*CC25,MAX(0,CC25-8)*CC24)))+((IF(CC24&lt;=0,0,IF(WEEKDAY(CC$6,1)=1,0,IF(WEEKDAY(CC$6,1)=7,0,MIN(8,CC25)*CC24))))-MIN(IF(CC24&lt;=0,0,IF(WEEKDAY(CC$6,1)=1,0,IF(WEEKDAY(CC$6,1)=7,0,MIN(8,CC25)*CC24))),MAX(0,40*MAX(1,CC24)-(0)))))</f>
        <v>114</v>
      </c>
      <c r="CD27" s="63">
        <f>IF(AND(CD24=57,CD25=10),114,IF(CD24&lt;=0,0,IF(WEEKDAY(CD$6,1)=1,0,IF(WEEKDAY(CD$6,1)=7,CD24*CD25,MAX(0,CD25-8)*CD24)))+((IF(CD24&lt;=0,0,IF(WEEKDAY(CD$6,1)=1,0,IF(WEEKDAY(CD$6,1)=7,0,MIN(8,CD25)*CD24))))-MIN(IF(CD24&lt;=0,0,IF(WEEKDAY(CD$6,1)=1,0,IF(WEEKDAY(CD$6,1)=7,0,MIN(8,CD25)*CD24))),MAX(0,40*MAX(1,CD24)-(CC26)))))</f>
        <v>114</v>
      </c>
      <c r="CE27" s="63">
        <f>IF(AND(CE24=57,CE25=10),114,IF(CE24&lt;=0,0,IF(WEEKDAY(CE$6,1)=1,0,IF(WEEKDAY(CE$6,1)=7,CE24*CE25,MAX(0,CE25-8)*CE24)))+((IF(CE24&lt;=0,0,IF(WEEKDAY(CE$6,1)=1,0,IF(WEEKDAY(CE$6,1)=7,0,MIN(8,CE25)*CE24))))-MIN(IF(CE24&lt;=0,0,IF(WEEKDAY(CE$6,1)=1,0,IF(WEEKDAY(CE$6,1)=7,0,MIN(8,CE25)*CE24))),MAX(0,40*MAX(1,CE24)-(CC26+CD26)))))</f>
        <v>114</v>
      </c>
      <c r="CF27" s="63">
        <f>IF(AND(CF24=57,CF25=10),114,IF(CF24&lt;=0,0,IF(WEEKDAY(CF$6,1)=1,0,IF(WEEKDAY(CF$6,1)=7,CF24*CF25,MAX(0,CF25-8)*CF24)))+((IF(CF24&lt;=0,0,IF(WEEKDAY(CF$6,1)=1,0,IF(WEEKDAY(CF$6,1)=7,0,MIN(8,CF25)*CF24))))-MIN(IF(CF24&lt;=0,0,IF(WEEKDAY(CF$6,1)=1,0,IF(WEEKDAY(CF$6,1)=7,0,MIN(8,CF25)*CF24))),MAX(0,40*MAX(1,CF24)-(CC26+CD26+CE26)))))</f>
        <v>114</v>
      </c>
      <c r="CG27" s="63">
        <f>IF(AND(CG24=57,CG25=10),114,IF(CG24&lt;=0,0,IF(WEEKDAY(CG$6,1)=1,0,IF(WEEKDAY(CG$6,1)=7,CG24*CG25,MAX(0,CG25-8)*CG24)))+((IF(CG24&lt;=0,0,IF(WEEKDAY(CG$6,1)=1,0,IF(WEEKDAY(CG$6,1)=7,0,MIN(8,CG25)*CG24))))-MIN(IF(CG24&lt;=0,0,IF(WEEKDAY(CG$6,1)=1,0,IF(WEEKDAY(CG$6,1)=7,0,MIN(8,CG25)*CG24))),MAX(0,40*MAX(1,CG24)-(CC26+CD26+CE26+CF26)))))</f>
        <v>114</v>
      </c>
      <c r="CH27" s="64">
        <f>IF(AND(CH24=57,CH25=10),570,IF(CH24&lt;=0,0,IF(WEEKDAY(CH$6,1)=1,0,IF(WEEKDAY(CH$6,1)=7,CH24*CH25,MAX(0,CH25-8)*CH24)))+((IF(CH24&lt;=0,0,IF(WEEKDAY(CH$6,1)=1,0,IF(WEEKDAY(CH$6,1)=7,0,MIN(8,CH25)*CH24))))-MIN(IF(CH24&lt;=0,0,IF(WEEKDAY(CH$6,1)=1,0,IF(WEEKDAY(CH$6,1)=7,0,MIN(8,CH25)*CH24))),MAX(0,40*MAX(1,CH24)-(CC26+CD26+CE26+CF26+CG26)))))</f>
        <v>570</v>
      </c>
      <c r="CI27" s="64">
        <f>IF(AND(CI24=57,CI25=10),0,IF(CI24&lt;=0,0,IF(WEEKDAY(CI$6,1)=1,0,IF(WEEKDAY(CI$6,1)=7,CI24*CI25,MAX(0,CI25-8)*CI24)))+((IF(CI24&lt;=0,0,IF(WEEKDAY(CI$6,1)=1,0,IF(WEEKDAY(CI$6,1)=7,0,MIN(8,CI25)*CI24))))-MIN(IF(CI24&lt;=0,0,IF(WEEKDAY(CI$6,1)=1,0,IF(WEEKDAY(CI$6,1)=7,0,MIN(8,CI25)*CI24))),MAX(0,40*MAX(1,CI24)-(CC26+CD26+CE26+CF26+CG26+CH26)))))</f>
        <v>0</v>
      </c>
      <c r="CJ27" s="63">
        <f>IF(AND(CJ24=57,CJ25=10),114,IF(CJ24&lt;=0,0,IF(WEEKDAY(CJ$6,1)=1,0,IF(WEEKDAY(CJ$6,1)=7,CJ24*CJ25,MAX(0,CJ25-8)*CJ24)))+((IF(CJ24&lt;=0,0,IF(WEEKDAY(CJ$6,1)=1,0,IF(WEEKDAY(CJ$6,1)=7,0,MIN(8,CJ25)*CJ24))))-MIN(IF(CJ24&lt;=0,0,IF(WEEKDAY(CJ$6,1)=1,0,IF(WEEKDAY(CJ$6,1)=7,0,MIN(8,CJ25)*CJ24))),MAX(0,40*MAX(1,CJ24)-(0)))))</f>
        <v>114</v>
      </c>
      <c r="CK27" s="63">
        <f>IF(AND(CK24=57,CK25=10),114,IF(CK24&lt;=0,0,IF(WEEKDAY(CK$6,1)=1,0,IF(WEEKDAY(CK$6,1)=7,CK24*CK25,MAX(0,CK25-8)*CK24)))+((IF(CK24&lt;=0,0,IF(WEEKDAY(CK$6,1)=1,0,IF(WEEKDAY(CK$6,1)=7,0,MIN(8,CK25)*CK24))))-MIN(IF(CK24&lt;=0,0,IF(WEEKDAY(CK$6,1)=1,0,IF(WEEKDAY(CK$6,1)=7,0,MIN(8,CK25)*CK24))),MAX(0,40*MAX(1,CK24)-(CJ26)))))</f>
        <v>114</v>
      </c>
      <c r="CL27" s="63">
        <f>IF(AND(CL24=57,CL25=10),114,IF(CL24&lt;=0,0,IF(WEEKDAY(CL$6,1)=1,0,IF(WEEKDAY(CL$6,1)=7,CL24*CL25,MAX(0,CL25-8)*CL24)))+((IF(CL24&lt;=0,0,IF(WEEKDAY(CL$6,1)=1,0,IF(WEEKDAY(CL$6,1)=7,0,MIN(8,CL25)*CL24))))-MIN(IF(CL24&lt;=0,0,IF(WEEKDAY(CL$6,1)=1,0,IF(WEEKDAY(CL$6,1)=7,0,MIN(8,CL25)*CL24))),MAX(0,40*MAX(1,CL24)-(CJ26+CK26)))))</f>
        <v>114</v>
      </c>
      <c r="CM27" s="63">
        <f>IF(AND(CM24=57,CM25=10),114,IF(CM24&lt;=0,0,IF(WEEKDAY(CM$6,1)=1,0,IF(WEEKDAY(CM$6,1)=7,CM24*CM25,MAX(0,CM25-8)*CM24)))+((IF(CM24&lt;=0,0,IF(WEEKDAY(CM$6,1)=1,0,IF(WEEKDAY(CM$6,1)=7,0,MIN(8,CM25)*CM24))))-MIN(IF(CM24&lt;=0,0,IF(WEEKDAY(CM$6,1)=1,0,IF(WEEKDAY(CM$6,1)=7,0,MIN(8,CM25)*CM24))),MAX(0,40*MAX(1,CM24)-(CJ26+CK26+CL26)))))</f>
        <v>114</v>
      </c>
      <c r="CN27" s="63">
        <f>IF(AND(CN24=57,CN25=10),114,IF(CN24&lt;=0,0,IF(WEEKDAY(CN$6,1)=1,0,IF(WEEKDAY(CN$6,1)=7,CN24*CN25,MAX(0,CN25-8)*CN24)))+((IF(CN24&lt;=0,0,IF(WEEKDAY(CN$6,1)=1,0,IF(WEEKDAY(CN$6,1)=7,0,MIN(8,CN25)*CN24))))-MIN(IF(CN24&lt;=0,0,IF(WEEKDAY(CN$6,1)=1,0,IF(WEEKDAY(CN$6,1)=7,0,MIN(8,CN25)*CN24))),MAX(0,40*MAX(1,CN24)-(CJ26+CK26+CL26+CM26)))))</f>
        <v>114</v>
      </c>
      <c r="CO27" s="64">
        <f>IF(AND(CO24=57,CO25=10),570,IF(CO24&lt;=0,0,IF(WEEKDAY(CO$6,1)=1,0,IF(WEEKDAY(CO$6,1)=7,CO24*CO25,MAX(0,CO25-8)*CO24)))+((IF(CO24&lt;=0,0,IF(WEEKDAY(CO$6,1)=1,0,IF(WEEKDAY(CO$6,1)=7,0,MIN(8,CO25)*CO24))))-MIN(IF(CO24&lt;=0,0,IF(WEEKDAY(CO$6,1)=1,0,IF(WEEKDAY(CO$6,1)=7,0,MIN(8,CO25)*CO24))),MAX(0,40*MAX(1,CO24)-(CJ26+CK26+CL26+CM26+CN26)))))</f>
        <v>570</v>
      </c>
      <c r="CP27" s="64">
        <f>IF(AND(CP24=57,CP25=10),0,IF(CP24&lt;=0,0,IF(WEEKDAY(CP$6,1)=1,0,IF(WEEKDAY(CP$6,1)=7,CP24*CP25,MAX(0,CP25-8)*CP24)))+((IF(CP24&lt;=0,0,IF(WEEKDAY(CP$6,1)=1,0,IF(WEEKDAY(CP$6,1)=7,0,MIN(8,CP25)*CP24))))-MIN(IF(CP24&lt;=0,0,IF(WEEKDAY(CP$6,1)=1,0,IF(WEEKDAY(CP$6,1)=7,0,MIN(8,CP25)*CP24))),MAX(0,40*MAX(1,CP24)-(CJ26+CK26+CL26+CM26+CN26+CO26)))))</f>
        <v>0</v>
      </c>
      <c r="CQ27" s="63">
        <f>IF(AND(CQ24=57,CQ25=10),114,IF(CQ24&lt;=0,0,IF(WEEKDAY(CQ$6,1)=1,0,IF(WEEKDAY(CQ$6,1)=7,CQ24*CQ25,MAX(0,CQ25-8)*CQ24)))+((IF(CQ24&lt;=0,0,IF(WEEKDAY(CQ$6,1)=1,0,IF(WEEKDAY(CQ$6,1)=7,0,MIN(8,CQ25)*CQ24))))-MIN(IF(CQ24&lt;=0,0,IF(WEEKDAY(CQ$6,1)=1,0,IF(WEEKDAY(CQ$6,1)=7,0,MIN(8,CQ25)*CQ24))),MAX(0,40*MAX(1,CQ24)-(0)))))</f>
        <v>114</v>
      </c>
      <c r="CR27" s="63">
        <f>IF(AND(CR24=57,CR25=10),114,IF(CR24&lt;=0,0,IF(WEEKDAY(CR$6,1)=1,0,IF(WEEKDAY(CR$6,1)=7,CR24*CR25,MAX(0,CR25-8)*CR24)))+((IF(CR24&lt;=0,0,IF(WEEKDAY(CR$6,1)=1,0,IF(WEEKDAY(CR$6,1)=7,0,MIN(8,CR25)*CR24))))-MIN(IF(CR24&lt;=0,0,IF(WEEKDAY(CR$6,1)=1,0,IF(WEEKDAY(CR$6,1)=7,0,MIN(8,CR25)*CR24))),MAX(0,40*MAX(1,CR24)-(CQ26)))))</f>
        <v>114</v>
      </c>
      <c r="CS27" s="63">
        <f>IF(AND(CS24=57,CS25=10),114,IF(CS24&lt;=0,0,IF(WEEKDAY(CS$6,1)=1,0,IF(WEEKDAY(CS$6,1)=7,CS24*CS25,MAX(0,CS25-8)*CS24)))+((IF(CS24&lt;=0,0,IF(WEEKDAY(CS$6,1)=1,0,IF(WEEKDAY(CS$6,1)=7,0,MIN(8,CS25)*CS24))))-MIN(IF(CS24&lt;=0,0,IF(WEEKDAY(CS$6,1)=1,0,IF(WEEKDAY(CS$6,1)=7,0,MIN(8,CS25)*CS24))),MAX(0,40*MAX(1,CS24)-(CQ26+CR26)))))</f>
        <v>114</v>
      </c>
      <c r="CT27" s="63">
        <f>IF(AND(CT24=57,CT25=10),114,IF(CT24&lt;=0,0,IF(WEEKDAY(CT$6,1)=1,0,IF(WEEKDAY(CT$6,1)=7,CT24*CT25,MAX(0,CT25-8)*CT24)))+((IF(CT24&lt;=0,0,IF(WEEKDAY(CT$6,1)=1,0,IF(WEEKDAY(CT$6,1)=7,0,MIN(8,CT25)*CT24))))-MIN(IF(CT24&lt;=0,0,IF(WEEKDAY(CT$6,1)=1,0,IF(WEEKDAY(CT$6,1)=7,0,MIN(8,CT25)*CT24))),MAX(0,40*MAX(1,CT24)-(CQ26+CR26+CS26)))))</f>
        <v>114</v>
      </c>
      <c r="CU27" s="63">
        <f>IF(AND(CU24=57,CU25=10),114,IF(CU24&lt;=0,0,IF(WEEKDAY(CU$6,1)=1,0,IF(WEEKDAY(CU$6,1)=7,CU24*CU25,MAX(0,CU25-8)*CU24)))+((IF(CU24&lt;=0,0,IF(WEEKDAY(CU$6,1)=1,0,IF(WEEKDAY(CU$6,1)=7,0,MIN(8,CU25)*CU24))))-MIN(IF(CU24&lt;=0,0,IF(WEEKDAY(CU$6,1)=1,0,IF(WEEKDAY(CU$6,1)=7,0,MIN(8,CU25)*CU24))),MAX(0,40*MAX(1,CU24)-(CQ26+CR26+CS26+CT26)))))</f>
        <v>114</v>
      </c>
      <c r="CV27" s="64">
        <f>IF(AND(CV24=50,CV25=10),500,IF(CV24&lt;=0,0,IF(WEEKDAY(CV$6,1)=1,0,IF(WEEKDAY(CV$6,1)=7,CV24*CV25,MAX(0,CV25-8)*CV24)))+((IF(CV24&lt;=0,0,IF(WEEKDAY(CV$6,1)=1,0,IF(WEEKDAY(CV$6,1)=7,0,MIN(8,CV25)*CV24))))-MIN(IF(CV24&lt;=0,0,IF(WEEKDAY(CV$6,1)=1,0,IF(WEEKDAY(CV$6,1)=7,0,MIN(8,CV25)*CV24))),MAX(0,40*MAX(1,CV24)-(0)))))</f>
        <v>500</v>
      </c>
      <c r="CW27" s="64">
        <f>IF(AND(CW24=50,CW25=10),0,IF(CW24&lt;=0,0,IF(WEEKDAY(CW$6,1)=1,0,IF(WEEKDAY(CW$6,1)=7,CW24*CW25,MAX(0,CW25-8)*CW24)))+((IF(CW24&lt;=0,0,IF(WEEKDAY(CW$6,1)=1,0,IF(WEEKDAY(CW$6,1)=7,0,MIN(8,CW25)*CW24))))-MIN(IF(CW24&lt;=0,0,IF(WEEKDAY(CW$6,1)=1,0,IF(WEEKDAY(CW$6,1)=7,0,MIN(8,CW25)*CW24))),MAX(0,40*MAX(1,CW24)-(0)))))</f>
        <v>0</v>
      </c>
      <c r="CX27" s="63">
        <f>IF(AND(CX24=50,CX25=10),100,IF(CX24&lt;=0,0,IF(WEEKDAY(CX$6,1)=1,0,IF(WEEKDAY(CX$6,1)=7,CX24*CX25,MAX(0,CX25-8)*CX24)))+((IF(CX24&lt;=0,0,IF(WEEKDAY(CX$6,1)=1,0,IF(WEEKDAY(CX$6,1)=7,0,MIN(8,CX25)*CX24))))-MIN(IF(CX24&lt;=0,0,IF(WEEKDAY(CX$6,1)=1,0,IF(WEEKDAY(CX$6,1)=7,0,MIN(8,CX25)*CX24))),MAX(0,40*MAX(1,CX24)-(0)))))</f>
        <v>100</v>
      </c>
      <c r="CY27" s="63">
        <f>IF(AND(CY24=50,CY25=10),100,IF(CY24&lt;=0,0,IF(WEEKDAY(CY$6,1)=1,0,IF(WEEKDAY(CY$6,1)=7,CY24*CY25,MAX(0,CY25-8)*CY24)))+((IF(CY24&lt;=0,0,IF(WEEKDAY(CY$6,1)=1,0,IF(WEEKDAY(CY$6,1)=7,0,MIN(8,CY25)*CY24))))-MIN(IF(CY24&lt;=0,0,IF(WEEKDAY(CY$6,1)=1,0,IF(WEEKDAY(CY$6,1)=7,0,MIN(8,CY25)*CY24))),MAX(0,40*MAX(1,CY24)-(CX26)))))</f>
        <v>100</v>
      </c>
      <c r="CZ27" s="63">
        <f>IF(AND(CZ24=50,CZ25=10),100,IF(CZ24&lt;=0,0,IF(WEEKDAY(CZ$6,1)=1,0,IF(WEEKDAY(CZ$6,1)=7,CZ24*CZ25,MAX(0,CZ25-8)*CZ24)))+((IF(CZ24&lt;=0,0,IF(WEEKDAY(CZ$6,1)=1,0,IF(WEEKDAY(CZ$6,1)=7,0,MIN(8,CZ25)*CZ24))))-MIN(IF(CZ24&lt;=0,0,IF(WEEKDAY(CZ$6,1)=1,0,IF(WEEKDAY(CZ$6,1)=7,0,MIN(8,CZ25)*CZ24))),MAX(0,40*MAX(1,CZ24)-(CX26+CY26)))))</f>
        <v>100</v>
      </c>
      <c r="DA27" s="63">
        <f>IF(AND(DA24=50,DA25=10),100,IF(DA24&lt;=0,0,IF(WEEKDAY(DA$6,1)=1,0,IF(WEEKDAY(DA$6,1)=7,DA24*DA25,MAX(0,DA25-8)*DA24)))+((IF(DA24&lt;=0,0,IF(WEEKDAY(DA$6,1)=1,0,IF(WEEKDAY(DA$6,1)=7,0,MIN(8,DA25)*DA24))))-MIN(IF(DA24&lt;=0,0,IF(WEEKDAY(DA$6,1)=1,0,IF(WEEKDAY(DA$6,1)=7,0,MIN(8,DA25)*DA24))),MAX(0,40*MAX(1,DA24)-(CX26+CY26+CZ26)))))</f>
        <v>100</v>
      </c>
      <c r="DB27" s="63">
        <f>IF(AND(DB24=50,DB25=10),100,IF(DB24&lt;=0,0,IF(WEEKDAY(DB$6,1)=1,0,IF(WEEKDAY(DB$6,1)=7,DB24*DB25,MAX(0,DB25-8)*DB24)))+((IF(DB24&lt;=0,0,IF(WEEKDAY(DB$6,1)=1,0,IF(WEEKDAY(DB$6,1)=7,0,MIN(8,DB25)*DB24))))-MIN(IF(DB24&lt;=0,0,IF(WEEKDAY(DB$6,1)=1,0,IF(WEEKDAY(DB$6,1)=7,0,MIN(8,DB25)*DB24))),MAX(0,40*MAX(1,DB24)-(CX26+CY26+CZ26+DA26)))))</f>
        <v>100</v>
      </c>
      <c r="DC27" s="64">
        <f>IF(AND(DC24=50,DC25=10),500,IF(DC24&lt;=0,0,IF(WEEKDAY(DC$6,1)=1,0,IF(WEEKDAY(DC$6,1)=7,DC24*DC25,MAX(0,DC25-8)*DC24)))+((IF(DC24&lt;=0,0,IF(WEEKDAY(DC$6,1)=1,0,IF(WEEKDAY(DC$6,1)=7,0,MIN(8,DC25)*DC24))))-MIN(IF(DC24&lt;=0,0,IF(WEEKDAY(DC$6,1)=1,0,IF(WEEKDAY(DC$6,1)=7,0,MIN(8,DC25)*DC24))),MAX(0,40*MAX(1,DC24)-(CX26+CY26+CZ26+DA26+DB26)))))</f>
        <v>500</v>
      </c>
      <c r="DD27" s="64">
        <f>IF(AND(DD24=10,DD25=10),0,IF(DD24&lt;=0,0,IF(WEEKDAY(DD$6,1)=1,0,IF(WEEKDAY(DD$6,1)=7,DD24*DD25,MAX(0,DD25-8)*DD24)))+((IF(DD24&lt;=0,0,IF(WEEKDAY(DD$6,1)=1,0,IF(WEEKDAY(DD$6,1)=7,0,MIN(8,DD25)*DD24))))-MIN(IF(DD24&lt;=0,0,IF(WEEKDAY(DD$6,1)=1,0,IF(WEEKDAY(DD$6,1)=7,0,MIN(8,DD25)*DD24))),MAX(0,40*MAX(1,DD24)-(0)))))</f>
        <v>0</v>
      </c>
      <c r="DE27" s="63">
        <f>IF(AND(DE24=10,DE25=10),20,IF(DE24&lt;=0,0,IF(WEEKDAY(DE$6,1)=1,0,IF(WEEKDAY(DE$6,1)=7,DE24*DE25,MAX(0,DE25-8)*DE24)))+((IF(DE24&lt;=0,0,IF(WEEKDAY(DE$6,1)=1,0,IF(WEEKDAY(DE$6,1)=7,0,MIN(8,DE25)*DE24))))-MIN(IF(DE24&lt;=0,0,IF(WEEKDAY(DE$6,1)=1,0,IF(WEEKDAY(DE$6,1)=7,0,MIN(8,DE25)*DE24))),MAX(0,40*MAX(1,DE24)-(0)))))</f>
        <v>20</v>
      </c>
      <c r="DF27" s="63">
        <f>IF(AND(DF24=10,DF25=10),20,IF(DF24&lt;=0,0,IF(WEEKDAY(DF$6,1)=1,0,IF(WEEKDAY(DF$6,1)=7,DF24*DF25,MAX(0,DF25-8)*DF24)))+((IF(DF24&lt;=0,0,IF(WEEKDAY(DF$6,1)=1,0,IF(WEEKDAY(DF$6,1)=7,0,MIN(8,DF25)*DF24))))-MIN(IF(DF24&lt;=0,0,IF(WEEKDAY(DF$6,1)=1,0,IF(WEEKDAY(DF$6,1)=7,0,MIN(8,DF25)*DF24))),MAX(0,40*MAX(1,DF24)-(DE26)))))</f>
        <v>20</v>
      </c>
      <c r="DG27" s="63">
        <f>IF(AND(DG24=10,DG25=10),20,IF(DG24&lt;=0,0,IF(WEEKDAY(DG$6,1)=1,0,IF(WEEKDAY(DG$6,1)=7,DG24*DG25,MAX(0,DG25-8)*DG24)))+((IF(DG24&lt;=0,0,IF(WEEKDAY(DG$6,1)=1,0,IF(WEEKDAY(DG$6,1)=7,0,MIN(8,DG25)*DG24))))-MIN(IF(DG24&lt;=0,0,IF(WEEKDAY(DG$6,1)=1,0,IF(WEEKDAY(DG$6,1)=7,0,MIN(8,DG25)*DG24))),MAX(0,40*MAX(1,DG24)-(DE26+DF26)))))</f>
        <v>20</v>
      </c>
      <c r="DH27" s="63">
        <f>IF(AND(DH24=10,DH25=10),20,IF(DH24&lt;=0,0,IF(WEEKDAY(DH$6,1)=1,0,IF(WEEKDAY(DH$6,1)=7,DH24*DH25,MAX(0,DH25-8)*DH24)))+((IF(DH24&lt;=0,0,IF(WEEKDAY(DH$6,1)=1,0,IF(WEEKDAY(DH$6,1)=7,0,MIN(8,DH25)*DH24))))-MIN(IF(DH24&lt;=0,0,IF(WEEKDAY(DH$6,1)=1,0,IF(WEEKDAY(DH$6,1)=7,0,MIN(8,DH25)*DH24))),MAX(0,40*MAX(1,DH24)-(DE26+DF26+DG26)))))</f>
        <v>20</v>
      </c>
      <c r="DI27" s="63">
        <f>IF(AND(DI24=10,DI25=10),20,IF(DI24&lt;=0,0,IF(WEEKDAY(DI$6,1)=1,0,IF(WEEKDAY(DI$6,1)=7,DI24*DI25,MAX(0,DI25-8)*DI24)))+((IF(DI24&lt;=0,0,IF(WEEKDAY(DI$6,1)=1,0,IF(WEEKDAY(DI$6,1)=7,0,MIN(8,DI25)*DI24))))-MIN(IF(DI24&lt;=0,0,IF(WEEKDAY(DI$6,1)=1,0,IF(WEEKDAY(DI$6,1)=7,0,MIN(8,DI25)*DI24))),MAX(0,40*MAX(1,DI24)-(DE26+DF26+DG26+DH26)))))</f>
        <v>20</v>
      </c>
      <c r="DJ27" s="64">
        <f>IF(AND(DJ24=10,DJ25=10),100,IF(DJ24&lt;=0,0,IF(WEEKDAY(DJ$6,1)=1,0,IF(WEEKDAY(DJ$6,1)=7,DJ24*DJ25,MAX(0,DJ25-8)*DJ24)))+((IF(DJ24&lt;=0,0,IF(WEEKDAY(DJ$6,1)=1,0,IF(WEEKDAY(DJ$6,1)=7,0,MIN(8,DJ25)*DJ24))))-MIN(IF(DJ24&lt;=0,0,IF(WEEKDAY(DJ$6,1)=1,0,IF(WEEKDAY(DJ$6,1)=7,0,MIN(8,DJ25)*DJ24))),MAX(0,40*MAX(1,DJ24)-(DE26+DF26+DG26+DH26+DI26)))))</f>
        <v>100</v>
      </c>
      <c r="DK27" s="64">
        <f>IF(AND(DK24=10,DK25=10),0,IF(DK24&lt;=0,0,IF(WEEKDAY(DK$6,1)=1,0,IF(WEEKDAY(DK$6,1)=7,DK24*DK25,MAX(0,DK25-8)*DK24)))+((IF(DK24&lt;=0,0,IF(WEEKDAY(DK$6,1)=1,0,IF(WEEKDAY(DK$6,1)=7,0,MIN(8,DK25)*DK24))))-MIN(IF(DK24&lt;=0,0,IF(WEEKDAY(DK$6,1)=1,0,IF(WEEKDAY(DK$6,1)=7,0,MIN(8,DK25)*DK24))),MAX(0,40*MAX(1,DK24)-(DE26+DF26+DG26+DH26+DI26+DJ26)))))</f>
        <v>0</v>
      </c>
      <c r="DL27" s="63">
        <f>IF(AND(DL24=6,DL25=10),12,IF(DL24&lt;=0,0,IF(WEEKDAY(DL$6,1)=1,0,IF(WEEKDAY(DL$6,1)=7,DL24*DL25,MAX(0,DL25-8)*DL24)))+((IF(DL24&lt;=0,0,IF(WEEKDAY(DL$6,1)=1,0,IF(WEEKDAY(DL$6,1)=7,0,MIN(8,DL25)*DL24))))-MIN(IF(DL24&lt;=0,0,IF(WEEKDAY(DL$6,1)=1,0,IF(WEEKDAY(DL$6,1)=7,0,MIN(8,DL25)*DL24))),MAX(0,40*MAX(1,DL24)-(0)))))</f>
        <v>12</v>
      </c>
      <c r="DM27" s="63">
        <f>IF(AND(DM24=6,DM25=10),12,IF(DM24&lt;=0,0,IF(WEEKDAY(DM$6,1)=1,0,IF(WEEKDAY(DM$6,1)=7,DM24*DM25,MAX(0,DM25-8)*DM24)))+((IF(DM24&lt;=0,0,IF(WEEKDAY(DM$6,1)=1,0,IF(WEEKDAY(DM$6,1)=7,0,MIN(8,DM25)*DM24))))-MIN(IF(DM24&lt;=0,0,IF(WEEKDAY(DM$6,1)=1,0,IF(WEEKDAY(DM$6,1)=7,0,MIN(8,DM25)*DM24))),MAX(0,40*MAX(1,DM24)-(DL26)))))</f>
        <v>12</v>
      </c>
      <c r="DN27" s="63">
        <f>IF(AND(DN24=6,DN25=10),12,IF(DN24&lt;=0,0,IF(WEEKDAY(DN$6,1)=1,0,IF(WEEKDAY(DN$6,1)=7,DN24*DN25,MAX(0,DN25-8)*DN24)))+((IF(DN24&lt;=0,0,IF(WEEKDAY(DN$6,1)=1,0,IF(WEEKDAY(DN$6,1)=7,0,MIN(8,DN25)*DN24))))-MIN(IF(DN24&lt;=0,0,IF(WEEKDAY(DN$6,1)=1,0,IF(WEEKDAY(DN$6,1)=7,0,MIN(8,DN25)*DN24))),MAX(0,40*MAX(1,DN24)-(DL26+DM26)))))</f>
        <v>12</v>
      </c>
      <c r="DO27" s="63">
        <f>IF(AND(DO24=6,DO25=10),12,IF(DO24&lt;=0,0,IF(WEEKDAY(DO$6,1)=1,0,IF(WEEKDAY(DO$6,1)=7,DO24*DO25,MAX(0,DO25-8)*DO24)))+((IF(DO24&lt;=0,0,IF(WEEKDAY(DO$6,1)=1,0,IF(WEEKDAY(DO$6,1)=7,0,MIN(8,DO25)*DO24))))-MIN(IF(DO24&lt;=0,0,IF(WEEKDAY(DO$6,1)=1,0,IF(WEEKDAY(DO$6,1)=7,0,MIN(8,DO25)*DO24))),MAX(0,40*MAX(1,DO24)-(DL26+DM26+DN26)))))</f>
        <v>12</v>
      </c>
      <c r="DP27" s="63">
        <f>IF(AND(DP24=6,DP25=10),12,IF(DP24&lt;=0,0,IF(WEEKDAY(DP$6,1)=1,0,IF(WEEKDAY(DP$6,1)=7,DP24*DP25,MAX(0,DP25-8)*DP24)))+((IF(DP24&lt;=0,0,IF(WEEKDAY(DP$6,1)=1,0,IF(WEEKDAY(DP$6,1)=7,0,MIN(8,DP25)*DP24))))-MIN(IF(DP24&lt;=0,0,IF(WEEKDAY(DP$6,1)=1,0,IF(WEEKDAY(DP$6,1)=7,0,MIN(8,DP25)*DP24))),MAX(0,40*MAX(1,DP24)-(DL26+DM26+DN26+DO26)))))</f>
        <v>12</v>
      </c>
      <c r="DQ27" s="64">
        <f>IF(AND(DQ24=6,DQ25=10),60,IF(DQ24&lt;=0,0,IF(WEEKDAY(DQ$6,1)=1,0,IF(WEEKDAY(DQ$6,1)=7,DQ24*DQ25,MAX(0,DQ25-8)*DQ24)))+((IF(DQ24&lt;=0,0,IF(WEEKDAY(DQ$6,1)=1,0,IF(WEEKDAY(DQ$6,1)=7,0,MIN(8,DQ25)*DQ24))))-MIN(IF(DQ24&lt;=0,0,IF(WEEKDAY(DQ$6,1)=1,0,IF(WEEKDAY(DQ$6,1)=7,0,MIN(8,DQ25)*DQ24))),MAX(0,40*MAX(1,DQ24)-(DL26+DM26+DN26+DO26+DP26)))))</f>
        <v>60</v>
      </c>
      <c r="DR27" s="64">
        <f>IF(AND(DR24=6,DR25=10),0,IF(DR24&lt;=0,0,IF(WEEKDAY(DR$6,1)=1,0,IF(WEEKDAY(DR$6,1)=7,DR24*DR25,MAX(0,DR25-8)*DR24)))+((IF(DR24&lt;=0,0,IF(WEEKDAY(DR$6,1)=1,0,IF(WEEKDAY(DR$6,1)=7,0,MIN(8,DR25)*DR24))))-MIN(IF(DR24&lt;=0,0,IF(WEEKDAY(DR$6,1)=1,0,IF(WEEKDAY(DR$6,1)=7,0,MIN(8,DR25)*DR24))),MAX(0,40*MAX(1,DR24)-(DL26+DM26+DN26+DO26+DP26+DQ26)))))</f>
        <v>0</v>
      </c>
      <c r="DS27" s="63">
        <f>IF(AND(DS24=6,DS25=10),12,IF(DS24&lt;=0,0,IF(WEEKDAY(DS$6,1)=1,0,IF(WEEKDAY(DS$6,1)=7,DS24*DS25,MAX(0,DS25-8)*DS24)))+((IF(DS24&lt;=0,0,IF(WEEKDAY(DS$6,1)=1,0,IF(WEEKDAY(DS$6,1)=7,0,MIN(8,DS25)*DS24))))-MIN(IF(DS24&lt;=0,0,IF(WEEKDAY(DS$6,1)=1,0,IF(WEEKDAY(DS$6,1)=7,0,MIN(8,DS25)*DS24))),MAX(0,40*MAX(1,DS24)-(0)))))</f>
        <v>12</v>
      </c>
      <c r="DT27" s="63">
        <f>IF(AND(DT24=20,DT25=8),0,IF(DT24&lt;=0,0,IF(WEEKDAY(DT$6,1)=1,0,IF(WEEKDAY(DT$6,1)=7,DT24*DT25,MAX(0,DT25-8)*DT24)))+((IF(DT24&lt;=0,0,IF(WEEKDAY(DT$6,1)=1,0,IF(WEEKDAY(DT$6,1)=7,0,MIN(8,DT25)*DT24))))-MIN(IF(DT24&lt;=0,0,IF(WEEKDAY(DT$6,1)=1,0,IF(WEEKDAY(DT$6,1)=7,0,MIN(8,DT25)*DT24))),MAX(0,40*MAX(1,DT24)-(0)))))</f>
        <v>0</v>
      </c>
      <c r="DU27" s="63">
        <f>IF(AND(DU24=20,DU25=8),0,IF(DU24&lt;=0,0,IF(WEEKDAY(DU$6,1)=1,0,IF(WEEKDAY(DU$6,1)=7,DU24*DU25,MAX(0,DU25-8)*DU24)))+((IF(DU24&lt;=0,0,IF(WEEKDAY(DU$6,1)=1,0,IF(WEEKDAY(DU$6,1)=7,0,MIN(8,DU25)*DU24))))-MIN(IF(DU24&lt;=0,0,IF(WEEKDAY(DU$6,1)=1,0,IF(WEEKDAY(DU$6,1)=7,0,MIN(8,DU25)*DU24))),MAX(0,40*MAX(1,DU24)-(DT26)))))</f>
        <v>0</v>
      </c>
      <c r="DV27" s="63">
        <f>IF(AND(DV24=20,DV25=8),0,IF(DV24&lt;=0,0,IF(WEEKDAY(DV$6,1)=1,0,IF(WEEKDAY(DV$6,1)=7,DV24*DV25,MAX(0,DV25-8)*DV24)))+((IF(DV24&lt;=0,0,IF(WEEKDAY(DV$6,1)=1,0,IF(WEEKDAY(DV$6,1)=7,0,MIN(8,DV25)*DV24))))-MIN(IF(DV24&lt;=0,0,IF(WEEKDAY(DV$6,1)=1,0,IF(WEEKDAY(DV$6,1)=7,0,MIN(8,DV25)*DV24))),MAX(0,40*MAX(1,DV24)-(DT26+DU26)))))</f>
        <v>0</v>
      </c>
      <c r="DW27" s="63">
        <f>IF(AND(DW24=20,DW25=8),0,IF(DW24&lt;=0,0,IF(WEEKDAY(DW$6,1)=1,0,IF(WEEKDAY(DW$6,1)=7,DW24*DW25,MAX(0,DW25-8)*DW24)))+((IF(DW24&lt;=0,0,IF(WEEKDAY(DW$6,1)=1,0,IF(WEEKDAY(DW$6,1)=7,0,MIN(8,DW25)*DW24))))-MIN(IF(DW24&lt;=0,0,IF(WEEKDAY(DW$6,1)=1,0,IF(WEEKDAY(DW$6,1)=7,0,MIN(8,DW25)*DW24))),MAX(0,40*MAX(1,DW24)-(DT26+DU26+DV26)))))</f>
        <v>0</v>
      </c>
      <c r="DX27" s="64">
        <f>IF(AND(DX24=0,DX25=0),0,IF(DX24&lt;=0,0,IF(WEEKDAY(DX$6,1)=1,0,IF(WEEKDAY(DX$6,1)=7,DX24*DX25,MAX(0,DX25-8)*DX24)))+((IF(DX24&lt;=0,0,IF(WEEKDAY(DX$6,1)=1,0,IF(WEEKDAY(DX$6,1)=7,0,MIN(8,DX25)*DX24))))-MIN(IF(DX24&lt;=0,0,IF(WEEKDAY(DX$6,1)=1,0,IF(WEEKDAY(DX$6,1)=7,0,MIN(8,DX25)*DX24))),MAX(0,40*MAX(1,DX24)-(0)))))</f>
        <v>0</v>
      </c>
      <c r="DY27" s="64">
        <f>IF(AND(DY24=0,DY25=0),0,IF(DY24&lt;=0,0,IF(WEEKDAY(DY$6,1)=1,0,IF(WEEKDAY(DY$6,1)=7,DY24*DY25,MAX(0,DY25-8)*DY24)))+((IF(DY24&lt;=0,0,IF(WEEKDAY(DY$6,1)=1,0,IF(WEEKDAY(DY$6,1)=7,0,MIN(8,DY25)*DY24))))-MIN(IF(DY24&lt;=0,0,IF(WEEKDAY(DY$6,1)=1,0,IF(WEEKDAY(DY$6,1)=7,0,MIN(8,DY25)*DY24))),MAX(0,40*MAX(1,DY24)-(DX26)))))</f>
        <v>0</v>
      </c>
      <c r="DZ27" s="63">
        <f>IF(AND(DZ24=20,DZ25=8),0,IF(DZ24&lt;=0,0,IF(WEEKDAY(DZ$6,1)=1,0,IF(WEEKDAY(DZ$6,1)=7,DZ24*DZ25,MAX(0,DZ25-8)*DZ24)))+((IF(DZ24&lt;=0,0,IF(WEEKDAY(DZ$6,1)=1,0,IF(WEEKDAY(DZ$6,1)=7,0,MIN(8,DZ25)*DZ24))))-MIN(IF(DZ24&lt;=0,0,IF(WEEKDAY(DZ$6,1)=1,0,IF(WEEKDAY(DZ$6,1)=7,0,MIN(8,DZ25)*DZ24))),MAX(0,40*MAX(1,DZ24)-(0)))))</f>
        <v>0</v>
      </c>
      <c r="EA27" s="63">
        <f>IF(AND(EA24=18,EA25=8),0,IF(EA24&lt;=0,0,IF(WEEKDAY(EA$6,1)=1,0,IF(WEEKDAY(EA$6,1)=7,EA24*EA25,MAX(0,EA25-8)*EA24)))+((IF(EA24&lt;=0,0,IF(WEEKDAY(EA$6,1)=1,0,IF(WEEKDAY(EA$6,1)=7,0,MIN(8,EA25)*EA24))))-MIN(IF(EA24&lt;=0,0,IF(WEEKDAY(EA$6,1)=1,0,IF(WEEKDAY(EA$6,1)=7,0,MIN(8,EA25)*EA24))),MAX(0,40*MAX(1,EA24)-(0)))))</f>
        <v>0</v>
      </c>
      <c r="EB27" s="63">
        <f>IF(AND(EB24=18,EB25=8),0,IF(EB24&lt;=0,0,IF(WEEKDAY(EB$6,1)=1,0,IF(WEEKDAY(EB$6,1)=7,EB24*EB25,MAX(0,EB25-8)*EB24)))+((IF(EB24&lt;=0,0,IF(WEEKDAY(EB$6,1)=1,0,IF(WEEKDAY(EB$6,1)=7,0,MIN(8,EB25)*EB24))))-MIN(IF(EB24&lt;=0,0,IF(WEEKDAY(EB$6,1)=1,0,IF(WEEKDAY(EB$6,1)=7,0,MIN(8,EB25)*EB24))),MAX(0,40*MAX(1,EB24)-(EA26)))))</f>
        <v>0</v>
      </c>
      <c r="EC27" s="63">
        <f>IF(AND(EC24=18,EC25=8),0,IF(EC24&lt;=0,0,IF(WEEKDAY(EC$6,1)=1,0,IF(WEEKDAY(EC$6,1)=7,EC24*EC25,MAX(0,EC25-8)*EC24)))+((IF(EC24&lt;=0,0,IF(WEEKDAY(EC$6,1)=1,0,IF(WEEKDAY(EC$6,1)=7,0,MIN(8,EC25)*EC24))))-MIN(IF(EC24&lt;=0,0,IF(WEEKDAY(EC$6,1)=1,0,IF(WEEKDAY(EC$6,1)=7,0,MIN(8,EC25)*EC24))),MAX(0,40*MAX(1,EC24)-(EA26+EB26)))))</f>
        <v>0</v>
      </c>
      <c r="ED27" s="63">
        <f>IF(AND(ED24=18,ED25=8),0,IF(ED24&lt;=0,0,IF(WEEKDAY(ED$6,1)=1,0,IF(WEEKDAY(ED$6,1)=7,ED24*ED25,MAX(0,ED25-8)*ED24)))+((IF(ED24&lt;=0,0,IF(WEEKDAY(ED$6,1)=1,0,IF(WEEKDAY(ED$6,1)=7,0,MIN(8,ED25)*ED24))))-MIN(IF(ED24&lt;=0,0,IF(WEEKDAY(ED$6,1)=1,0,IF(WEEKDAY(ED$6,1)=7,0,MIN(8,ED25)*ED24))),MAX(0,40*MAX(1,ED24)-(EA26+EB26+EC26)))))</f>
        <v>0</v>
      </c>
      <c r="EE27" s="64">
        <f>IF(AND(EE24=0,EE25=0),0,IF(EE24&lt;=0,0,IF(WEEKDAY(EE$6,1)=1,0,IF(WEEKDAY(EE$6,1)=7,EE24*EE25,MAX(0,EE25-8)*EE24)))+((IF(EE24&lt;=0,0,IF(WEEKDAY(EE$6,1)=1,0,IF(WEEKDAY(EE$6,1)=7,0,MIN(8,EE25)*EE24))))-MIN(IF(EE24&lt;=0,0,IF(WEEKDAY(EE$6,1)=1,0,IF(WEEKDAY(EE$6,1)=7,0,MIN(8,EE25)*EE24))),MAX(0,40*MAX(1,EE24)-(0)))))</f>
        <v>0</v>
      </c>
      <c r="EF27" s="64">
        <f>IF(AND(EF24=0,EF25=0),0,IF(EF24&lt;=0,0,IF(WEEKDAY(EF$6,1)=1,0,IF(WEEKDAY(EF$6,1)=7,EF24*EF25,MAX(0,EF25-8)*EF24)))+((IF(EF24&lt;=0,0,IF(WEEKDAY(EF$6,1)=1,0,IF(WEEKDAY(EF$6,1)=7,0,MIN(8,EF25)*EF24))))-MIN(IF(EF24&lt;=0,0,IF(WEEKDAY(EF$6,1)=1,0,IF(WEEKDAY(EF$6,1)=7,0,MIN(8,EF25)*EF24))),MAX(0,40*MAX(1,EF24)-(EE26)))))</f>
        <v>0</v>
      </c>
      <c r="EG27" s="63">
        <f>IF(AND(EG24=0,EG25=0),0,IF(EG24&lt;=0,0,IF(WEEKDAY(EG$6,1)=1,0,IF(WEEKDAY(EG$6,1)=7,EG24*EG25,MAX(0,EG25-8)*EG24)))+((IF(EG24&lt;=0,0,IF(WEEKDAY(EG$6,1)=1,0,IF(WEEKDAY(EG$6,1)=7,0,MIN(8,EG25)*EG24))))-MIN(IF(EG24&lt;=0,0,IF(WEEKDAY(EG$6,1)=1,0,IF(WEEKDAY(EG$6,1)=7,0,MIN(8,EG25)*EG24))),MAX(0,40*MAX(1,EG24)-(0)))))</f>
        <v>0</v>
      </c>
      <c r="EH27" s="63">
        <f>IF(AND(EH24=0,EH25=0),0,IF(EH24&lt;=0,0,IF(WEEKDAY(EH$6,1)=1,0,IF(WEEKDAY(EH$6,1)=7,EH24*EH25,MAX(0,EH25-8)*EH24)))+((IF(EH24&lt;=0,0,IF(WEEKDAY(EH$6,1)=1,0,IF(WEEKDAY(EH$6,1)=7,0,MIN(8,EH25)*EH24))))-MIN(IF(EH24&lt;=0,0,IF(WEEKDAY(EH$6,1)=1,0,IF(WEEKDAY(EH$6,1)=7,0,MIN(8,EH25)*EH24))),MAX(0,40*MAX(1,EH24)-(EG26)))))</f>
        <v>0</v>
      </c>
      <c r="EI27" s="63">
        <f>IF(AND(EI24=0,EI25=0),0,IF(EI24&lt;=0,0,IF(WEEKDAY(EI$6,1)=1,0,IF(WEEKDAY(EI$6,1)=7,EI24*EI25,MAX(0,EI25-8)*EI24)))+((IF(EI24&lt;=0,0,IF(WEEKDAY(EI$6,1)=1,0,IF(WEEKDAY(EI$6,1)=7,0,MIN(8,EI25)*EI24))))-MIN(IF(EI24&lt;=0,0,IF(WEEKDAY(EI$6,1)=1,0,IF(WEEKDAY(EI$6,1)=7,0,MIN(8,EI25)*EI24))),MAX(0,40*MAX(1,EI24)-(EG26+EH26)))))</f>
        <v>0</v>
      </c>
      <c r="EJ27" s="63">
        <f>IF(AND(EJ24=0,EJ25=0),0,IF(EJ24&lt;=0,0,IF(WEEKDAY(EJ$6,1)=1,0,IF(WEEKDAY(EJ$6,1)=7,EJ24*EJ25,MAX(0,EJ25-8)*EJ24)))+((IF(EJ24&lt;=0,0,IF(WEEKDAY(EJ$6,1)=1,0,IF(WEEKDAY(EJ$6,1)=7,0,MIN(8,EJ25)*EJ24))))-MIN(IF(EJ24&lt;=0,0,IF(WEEKDAY(EJ$6,1)=1,0,IF(WEEKDAY(EJ$6,1)=7,0,MIN(8,EJ25)*EJ24))),MAX(0,40*MAX(1,EJ24)-(EG26+EH26+EI26)))))</f>
        <v>0</v>
      </c>
      <c r="EK27" s="65">
        <f>IF(AND(EK24=0,EK25=0),0,IF(EK24&lt;=0,0,IF(WEEKDAY(EK$6,1)=1,0,IF(WEEKDAY(EK$6,1)=7,EK24*EK25,MAX(0,EK25-8)*EK24)))+((IF(EK24&lt;=0,0,IF(WEEKDAY(EK$6,1)=1,0,IF(WEEKDAY(EK$6,1)=7,0,MIN(8,EK25)*EK24))))-MIN(IF(EK24&lt;=0,0,IF(WEEKDAY(EK$6,1)=1,0,IF(WEEKDAY(EK$6,1)=7,0,MIN(8,EK25)*EK24))),MAX(0,40*MAX(1,EK24)-(EG26+EH26+EI26+EJ26)))))</f>
        <v>0</v>
      </c>
      <c r="OU27" s="28" t="s">
        <v>115</v>
      </c>
    </row>
    <row r="28" ht="16" customHeight="1" spans="1:411" x14ac:dyDescent="0.25">
      <c r="A28" s="45"/>
      <c r="B28" s="46"/>
      <c r="C28" s="61">
        <f>H23*N(D28)</f>
        <v>594687</v>
      </c>
      <c r="D28" s="61">
        <f>IF(TRIM(B23)="","No rate",IFERROR(INDEX('Rate Tables'!E$7:E$158,MATCH(B23,'Rate Tables'!A$7:A$158,0)),"No rate"))</f>
        <v>178.05</v>
      </c>
      <c r="E28" s="55" t="s">
        <v>64</v>
      </c>
      <c r="F28" s="49"/>
      <c r="G28" s="49"/>
      <c r="H28" s="49"/>
      <c r="I28" s="49"/>
      <c r="J28" s="50"/>
      <c r="K28" s="62">
        <f>IF(AND(K24=0,K25=0),0,IF(K24&lt;=0,0,IF(WEEKDAY(K$6,1)=1,K24*K25,0)))</f>
        <v>0</v>
      </c>
      <c r="L28" s="63">
        <f>IF(AND(L24=0,L25=0),0,IF(L24&lt;=0,0,IF(WEEKDAY(L$6,1)=1,L24*L25,0)))</f>
        <v>0</v>
      </c>
      <c r="M28" s="63">
        <f>IF(AND(M24=0,M25=0),0,IF(M24&lt;=0,0,IF(WEEKDAY(M$6,1)=1,M24*M25,0)))</f>
        <v>0</v>
      </c>
      <c r="N28" s="63">
        <f>IF(AND(N24=0,N25=0),0,IF(N24&lt;=0,0,IF(WEEKDAY(N$6,1)=1,N24*N25,0)))</f>
        <v>0</v>
      </c>
      <c r="O28" s="63">
        <f>IF(AND(O24=0,O25=0),0,IF(O24&lt;=0,0,IF(WEEKDAY(O$6,1)=1,O24*O25,0)))</f>
        <v>0</v>
      </c>
      <c r="P28" s="64">
        <f>IF(AND(P24=0,P25=0),0,IF(P24&lt;=0,0,IF(WEEKDAY(P$6,1)=1,P24*P25,0)))</f>
        <v>0</v>
      </c>
      <c r="Q28" s="64">
        <f>IF(AND(Q24=0,Q25=0),0,IF(Q24&lt;=0,0,IF(WEEKDAY(Q$6,1)=1,Q24*Q25,0)))</f>
        <v>0</v>
      </c>
      <c r="R28" s="63">
        <f>IF(AND(R24=20,R25=8),0,IF(R24&lt;=0,0,IF(WEEKDAY(R$6,1)=1,R24*R25,0)))</f>
        <v>0</v>
      </c>
      <c r="S28" s="63">
        <f>IF(AND(S24=20,S25=8),0,IF(S24&lt;=0,0,IF(WEEKDAY(S$6,1)=1,S24*S25,0)))</f>
        <v>0</v>
      </c>
      <c r="T28" s="63">
        <f>IF(AND(T24=20,T25=8),0,IF(T24&lt;=0,0,IF(WEEKDAY(T$6,1)=1,T24*T25,0)))</f>
        <v>0</v>
      </c>
      <c r="U28" s="63">
        <f>IF(AND(U24=20,U25=8),0,IF(U24&lt;=0,0,IF(WEEKDAY(U$6,1)=1,U24*U25,0)))</f>
        <v>0</v>
      </c>
      <c r="V28" s="63">
        <f>IF(AND(V24=20,V25=8),0,IF(V24&lt;=0,0,IF(WEEKDAY(V$6,1)=1,V24*V25,0)))</f>
        <v>0</v>
      </c>
      <c r="W28" s="64">
        <f>IF(AND(W24=0,W25=0),0,IF(W24&lt;=0,0,IF(WEEKDAY(W$6,1)=1,W24*W25,0)))</f>
        <v>0</v>
      </c>
      <c r="X28" s="64">
        <f>IF(AND(X24=0,X25=0),0,IF(X24&lt;=0,0,IF(WEEKDAY(X$6,1)=1,X24*X25,0)))</f>
        <v>0</v>
      </c>
      <c r="Y28" s="63">
        <f>IF(AND(Y24=30,Y25=8),0,IF(Y24&lt;=0,0,IF(WEEKDAY(Y$6,1)=1,Y24*Y25,0)))</f>
        <v>0</v>
      </c>
      <c r="Z28" s="63">
        <f>IF(AND(Z24=30,Z25=8),0,IF(Z24&lt;=0,0,IF(WEEKDAY(Z$6,1)=1,Z24*Z25,0)))</f>
        <v>0</v>
      </c>
      <c r="AA28" s="63">
        <f>IF(AND(AA24=30,AA25=8),0,IF(AA24&lt;=0,0,IF(WEEKDAY(AA$6,1)=1,AA24*AA25,0)))</f>
        <v>0</v>
      </c>
      <c r="AB28" s="63">
        <f>IF(AND(AB24=30,AB25=8),0,IF(AB24&lt;=0,0,IF(WEEKDAY(AB$6,1)=1,AB24*AB25,0)))</f>
        <v>0</v>
      </c>
      <c r="AC28" s="63">
        <f>IF(AND(AC24=30,AC25=8),0,IF(AC24&lt;=0,0,IF(WEEKDAY(AC$6,1)=1,AC24*AC25,0)))</f>
        <v>0</v>
      </c>
      <c r="AD28" s="64">
        <f>IF(AND(AD24=0,AD25=0),0,IF(AD24&lt;=0,0,IF(WEEKDAY(AD$6,1)=1,AD24*AD25,0)))</f>
        <v>0</v>
      </c>
      <c r="AE28" s="64">
        <f>IF(AND(AE24=0,AE25=0),0,IF(AE24&lt;=0,0,IF(WEEKDAY(AE$6,1)=1,AE24*AE25,0)))</f>
        <v>0</v>
      </c>
      <c r="AF28" s="63">
        <f>IF(AND(AF24=35,AF25=8),0,IF(AF24&lt;=0,0,IF(WEEKDAY(AF$6,1)=1,AF24*AF25,0)))</f>
        <v>0</v>
      </c>
      <c r="AG28" s="63">
        <f>IF(AND(AG24=35,AG25=8),0,IF(AG24&lt;=0,0,IF(WEEKDAY(AG$6,1)=1,AG24*AG25,0)))</f>
        <v>0</v>
      </c>
      <c r="AH28" s="63">
        <f>IF(AND(AH24=35,AH25=8),0,IF(AH24&lt;=0,0,IF(WEEKDAY(AH$6,1)=1,AH24*AH25,0)))</f>
        <v>0</v>
      </c>
      <c r="AI28" s="63">
        <f>IF(AND(AI24=35,AI25=8),0,IF(AI24&lt;=0,0,IF(WEEKDAY(AI$6,1)=1,AI24*AI25,0)))</f>
        <v>0</v>
      </c>
      <c r="AJ28" s="63">
        <f>IF(AND(AJ24=35,AJ25=8),0,IF(AJ24&lt;=0,0,IF(WEEKDAY(AJ$6,1)=1,AJ24*AJ25,0)))</f>
        <v>0</v>
      </c>
      <c r="AK28" s="64">
        <f>IF(AND(AK24=0,AK25=0),0,IF(AK24&lt;=0,0,IF(WEEKDAY(AK$6,1)=1,AK24*AK25,0)))</f>
        <v>0</v>
      </c>
      <c r="AL28" s="64">
        <f>IF(AND(AL24=0,AL25=0),0,IF(AL24&lt;=0,0,IF(WEEKDAY(AL$6,1)=1,AL24*AL25,0)))</f>
        <v>0</v>
      </c>
      <c r="AM28" s="63">
        <f>IF(AND(AM24=35,AM25=8),0,IF(AM24&lt;=0,0,IF(WEEKDAY(AM$6,1)=1,AM24*AM25,0)))</f>
        <v>0</v>
      </c>
      <c r="AN28" s="63">
        <f>IF(AND(AN24=35,AN25=8),0,IF(AN24&lt;=0,0,IF(WEEKDAY(AN$6,1)=1,AN24*AN25,0)))</f>
        <v>0</v>
      </c>
      <c r="AO28" s="63">
        <f>IF(AND(AO24=35,AO25=8),0,IF(AO24&lt;=0,0,IF(WEEKDAY(AO$6,1)=1,AO24*AO25,0)))</f>
        <v>0</v>
      </c>
      <c r="AP28" s="63">
        <f>IF(AND(AP24=35,AP25=8),0,IF(AP24&lt;=0,0,IF(WEEKDAY(AP$6,1)=1,AP24*AP25,0)))</f>
        <v>0</v>
      </c>
      <c r="AQ28" s="63">
        <f>IF(AND(AQ24=35,AQ25=8),0,IF(AQ24&lt;=0,0,IF(WEEKDAY(AQ$6,1)=1,AQ24*AQ25,0)))</f>
        <v>0</v>
      </c>
      <c r="AR28" s="64">
        <f>IF(AND(AR24=0,AR25=0),0,IF(AR24&lt;=0,0,IF(WEEKDAY(AR$6,1)=1,AR24*AR25,0)))</f>
        <v>0</v>
      </c>
      <c r="AS28" s="64">
        <f>IF(AND(AS24=0,AS25=0),0,IF(AS24&lt;=0,0,IF(WEEKDAY(AS$6,1)=1,AS24*AS25,0)))</f>
        <v>0</v>
      </c>
      <c r="AT28" s="63">
        <f>IF(AND(AT24=38,AT25=8),0,IF(AT24&lt;=0,0,IF(WEEKDAY(AT$6,1)=1,AT24*AT25,0)))</f>
        <v>0</v>
      </c>
      <c r="AU28" s="63">
        <f>IF(AND(AU24=38,AU25=8),0,IF(AU24&lt;=0,0,IF(WEEKDAY(AU$6,1)=1,AU24*AU25,0)))</f>
        <v>0</v>
      </c>
      <c r="AV28" s="63">
        <f>IF(AND(AV24=38,AV25=8),0,IF(AV24&lt;=0,0,IF(WEEKDAY(AV$6,1)=1,AV24*AV25,0)))</f>
        <v>0</v>
      </c>
      <c r="AW28" s="63">
        <f>IF(AND(AW24=38,AW25=8),0,IF(AW24&lt;=0,0,IF(WEEKDAY(AW$6,1)=1,AW24*AW25,0)))</f>
        <v>0</v>
      </c>
      <c r="AX28" s="63">
        <f>IF(AND(AX24=38,AX25=8),0,IF(AX24&lt;=0,0,IF(WEEKDAY(AX$6,1)=1,AX24*AX25,0)))</f>
        <v>0</v>
      </c>
      <c r="AY28" s="64">
        <f>IF(AND(AY24=0,AY25=0),0,IF(AY24&lt;=0,0,IF(WEEKDAY(AY$6,1)=1,AY24*AY25,0)))</f>
        <v>0</v>
      </c>
      <c r="AZ28" s="64">
        <f>IF(AND(AZ24=0,AZ25=0),0,IF(AZ24&lt;=0,0,IF(WEEKDAY(AZ$6,1)=1,AZ24*AZ25,0)))</f>
        <v>0</v>
      </c>
      <c r="BA28" s="63">
        <f>IF(AND(BA24=38,BA25=8),0,IF(BA24&lt;=0,0,IF(WEEKDAY(BA$6,1)=1,BA24*BA25,0)))</f>
        <v>0</v>
      </c>
      <c r="BB28" s="63">
        <f>IF(AND(BB24=38,BB25=8),0,IF(BB24&lt;=0,0,IF(WEEKDAY(BB$6,1)=1,BB24*BB25,0)))</f>
        <v>0</v>
      </c>
      <c r="BC28" s="63">
        <f>IF(AND(BC24=38,BC25=8),0,IF(BC24&lt;=0,0,IF(WEEKDAY(BC$6,1)=1,BC24*BC25,0)))</f>
        <v>0</v>
      </c>
      <c r="BD28" s="63">
        <f>IF(AND(BD24=38,BD25=8),0,IF(BD24&lt;=0,0,IF(WEEKDAY(BD$6,1)=1,BD24*BD25,0)))</f>
        <v>0</v>
      </c>
      <c r="BE28" s="63">
        <f>IF(AND(BE24=38,BE25=8),0,IF(BE24&lt;=0,0,IF(WEEKDAY(BE$6,1)=1,BE24*BE25,0)))</f>
        <v>0</v>
      </c>
      <c r="BF28" s="64">
        <f>IF(AND(BF24=0,BF25=0),0,IF(BF24&lt;=0,0,IF(WEEKDAY(BF$6,1)=1,BF24*BF25,0)))</f>
        <v>0</v>
      </c>
      <c r="BG28" s="64">
        <f>IF(AND(BG24=0,BG25=0),0,IF(BG24&lt;=0,0,IF(WEEKDAY(BG$6,1)=1,BG24*BG25,0)))</f>
        <v>0</v>
      </c>
      <c r="BH28" s="63">
        <f>IF(AND(BH24=30,BH25=10),0,IF(BH24&lt;=0,0,IF(WEEKDAY(BH$6,1)=1,BH24*BH25,0)))</f>
        <v>0</v>
      </c>
      <c r="BI28" s="63">
        <f>IF(AND(BI24=30,BI25=10),0,IF(BI24&lt;=0,0,IF(WEEKDAY(BI$6,1)=1,BI24*BI25,0)))</f>
        <v>0</v>
      </c>
      <c r="BJ28" s="63">
        <f>IF(AND(BJ24=30,BJ25=10),0,IF(BJ24&lt;=0,0,IF(WEEKDAY(BJ$6,1)=1,BJ24*BJ25,0)))</f>
        <v>0</v>
      </c>
      <c r="BK28" s="63">
        <f>IF(AND(BK24=30,BK25=10),0,IF(BK24&lt;=0,0,IF(WEEKDAY(BK$6,1)=1,BK24*BK25,0)))</f>
        <v>0</v>
      </c>
      <c r="BL28" s="63">
        <f>IF(AND(BL24=30,BL25=10),0,IF(BL24&lt;=0,0,IF(WEEKDAY(BL$6,1)=1,BL24*BL25,0)))</f>
        <v>0</v>
      </c>
      <c r="BM28" s="64">
        <f>IF(AND(BM24=30,BM25=10),0,IF(BM24&lt;=0,0,IF(WEEKDAY(BM$6,1)=1,BM24*BM25,0)))</f>
        <v>0</v>
      </c>
      <c r="BN28" s="64">
        <f>IF(AND(BN24=30,BN25=10),300,IF(BN24&lt;=0,0,IF(WEEKDAY(BN$6,1)=1,BN24*BN25,0)))</f>
        <v>300</v>
      </c>
      <c r="BO28" s="63">
        <f>IF(AND(BO24=30,BO25=10),0,IF(BO24&lt;=0,0,IF(WEEKDAY(BO$6,1)=1,BO24*BO25,0)))</f>
        <v>0</v>
      </c>
      <c r="BP28" s="63">
        <f>IF(AND(BP24=30,BP25=10),0,IF(BP24&lt;=0,0,IF(WEEKDAY(BP$6,1)=1,BP24*BP25,0)))</f>
        <v>0</v>
      </c>
      <c r="BQ28" s="63">
        <f>IF(AND(BQ24=30,BQ25=10),0,IF(BQ24&lt;=0,0,IF(WEEKDAY(BQ$6,1)=1,BQ24*BQ25,0)))</f>
        <v>0</v>
      </c>
      <c r="BR28" s="63">
        <f>IF(AND(BR24=57,BR25=10),0,IF(BR24&lt;=0,0,IF(WEEKDAY(BR$6,1)=1,BR24*BR25,0)))</f>
        <v>0</v>
      </c>
      <c r="BS28" s="63">
        <f>IF(AND(BS24=57,BS25=10),0,IF(BS24&lt;=0,0,IF(WEEKDAY(BS$6,1)=1,BS24*BS25,0)))</f>
        <v>0</v>
      </c>
      <c r="BT28" s="64">
        <f>IF(AND(BT24=57,BT25=10),0,IF(BT24&lt;=0,0,IF(WEEKDAY(BT$6,1)=1,BT24*BT25,0)))</f>
        <v>0</v>
      </c>
      <c r="BU28" s="64">
        <f>IF(AND(BU24=57,BU25=10),570,IF(BU24&lt;=0,0,IF(WEEKDAY(BU$6,1)=1,BU24*BU25,0)))</f>
        <v>570</v>
      </c>
      <c r="BV28" s="63">
        <f>IF(AND(BV24=57,BV25=10),0,IF(BV24&lt;=0,0,IF(WEEKDAY(BV$6,1)=1,BV24*BV25,0)))</f>
        <v>0</v>
      </c>
      <c r="BW28" s="63">
        <f>IF(AND(BW24=57,BW25=10),0,IF(BW24&lt;=0,0,IF(WEEKDAY(BW$6,1)=1,BW24*BW25,0)))</f>
        <v>0</v>
      </c>
      <c r="BX28" s="63">
        <f>IF(AND(BX24=57,BX25=10),0,IF(BX24&lt;=0,0,IF(WEEKDAY(BX$6,1)=1,BX24*BX25,0)))</f>
        <v>0</v>
      </c>
      <c r="BY28" s="63">
        <f>IF(AND(BY24=57,BY25=10),0,IF(BY24&lt;=0,0,IF(WEEKDAY(BY$6,1)=1,BY24*BY25,0)))</f>
        <v>0</v>
      </c>
      <c r="BZ28" s="63">
        <f>IF(AND(BZ24=57,BZ25=10),0,IF(BZ24&lt;=0,0,IF(WEEKDAY(BZ$6,1)=1,BZ24*BZ25,0)))</f>
        <v>0</v>
      </c>
      <c r="CA28" s="64">
        <f>IF(AND(CA24=57,CA25=10),0,IF(CA24&lt;=0,0,IF(WEEKDAY(CA$6,1)=1,CA24*CA25,0)))</f>
        <v>0</v>
      </c>
      <c r="CB28" s="64">
        <f>IF(AND(CB24=57,CB25=10),570,IF(CB24&lt;=0,0,IF(WEEKDAY(CB$6,1)=1,CB24*CB25,0)))</f>
        <v>570</v>
      </c>
      <c r="CC28" s="63">
        <f>IF(AND(CC24=57,CC25=10),0,IF(CC24&lt;=0,0,IF(WEEKDAY(CC$6,1)=1,CC24*CC25,0)))</f>
        <v>0</v>
      </c>
      <c r="CD28" s="63">
        <f>IF(AND(CD24=57,CD25=10),0,IF(CD24&lt;=0,0,IF(WEEKDAY(CD$6,1)=1,CD24*CD25,0)))</f>
        <v>0</v>
      </c>
      <c r="CE28" s="63">
        <f>IF(AND(CE24=57,CE25=10),0,IF(CE24&lt;=0,0,IF(WEEKDAY(CE$6,1)=1,CE24*CE25,0)))</f>
        <v>0</v>
      </c>
      <c r="CF28" s="63">
        <f>IF(AND(CF24=57,CF25=10),0,IF(CF24&lt;=0,0,IF(WEEKDAY(CF$6,1)=1,CF24*CF25,0)))</f>
        <v>0</v>
      </c>
      <c r="CG28" s="63">
        <f>IF(AND(CG24=57,CG25=10),0,IF(CG24&lt;=0,0,IF(WEEKDAY(CG$6,1)=1,CG24*CG25,0)))</f>
        <v>0</v>
      </c>
      <c r="CH28" s="64">
        <f>IF(AND(CH24=57,CH25=10),0,IF(CH24&lt;=0,0,IF(WEEKDAY(CH$6,1)=1,CH24*CH25,0)))</f>
        <v>0</v>
      </c>
      <c r="CI28" s="64">
        <f>IF(AND(CI24=57,CI25=10),570,IF(CI24&lt;=0,0,IF(WEEKDAY(CI$6,1)=1,CI24*CI25,0)))</f>
        <v>570</v>
      </c>
      <c r="CJ28" s="63">
        <f>IF(AND(CJ24=57,CJ25=10),0,IF(CJ24&lt;=0,0,IF(WEEKDAY(CJ$6,1)=1,CJ24*CJ25,0)))</f>
        <v>0</v>
      </c>
      <c r="CK28" s="63">
        <f>IF(AND(CK24=57,CK25=10),0,IF(CK24&lt;=0,0,IF(WEEKDAY(CK$6,1)=1,CK24*CK25,0)))</f>
        <v>0</v>
      </c>
      <c r="CL28" s="63">
        <f>IF(AND(CL24=57,CL25=10),0,IF(CL24&lt;=0,0,IF(WEEKDAY(CL$6,1)=1,CL24*CL25,0)))</f>
        <v>0</v>
      </c>
      <c r="CM28" s="63">
        <f>IF(AND(CM24=57,CM25=10),0,IF(CM24&lt;=0,0,IF(WEEKDAY(CM$6,1)=1,CM24*CM25,0)))</f>
        <v>0</v>
      </c>
      <c r="CN28" s="63">
        <f>IF(AND(CN24=57,CN25=10),0,IF(CN24&lt;=0,0,IF(WEEKDAY(CN$6,1)=1,CN24*CN25,0)))</f>
        <v>0</v>
      </c>
      <c r="CO28" s="64">
        <f>IF(AND(CO24=57,CO25=10),0,IF(CO24&lt;=0,0,IF(WEEKDAY(CO$6,1)=1,CO24*CO25,0)))</f>
        <v>0</v>
      </c>
      <c r="CP28" s="64">
        <f>IF(AND(CP24=57,CP25=10),570,IF(CP24&lt;=0,0,IF(WEEKDAY(CP$6,1)=1,CP24*CP25,0)))</f>
        <v>570</v>
      </c>
      <c r="CQ28" s="63">
        <f>IF(AND(CQ24=57,CQ25=10),0,IF(CQ24&lt;=0,0,IF(WEEKDAY(CQ$6,1)=1,CQ24*CQ25,0)))</f>
        <v>0</v>
      </c>
      <c r="CR28" s="63">
        <f>IF(AND(CR24=57,CR25=10),0,IF(CR24&lt;=0,0,IF(WEEKDAY(CR$6,1)=1,CR24*CR25,0)))</f>
        <v>0</v>
      </c>
      <c r="CS28" s="63">
        <f>IF(AND(CS24=57,CS25=10),0,IF(CS24&lt;=0,0,IF(WEEKDAY(CS$6,1)=1,CS24*CS25,0)))</f>
        <v>0</v>
      </c>
      <c r="CT28" s="63">
        <f>IF(AND(CT24=57,CT25=10),0,IF(CT24&lt;=0,0,IF(WEEKDAY(CT$6,1)=1,CT24*CT25,0)))</f>
        <v>0</v>
      </c>
      <c r="CU28" s="63">
        <f>IF(AND(CU24=57,CU25=10),0,IF(CU24&lt;=0,0,IF(WEEKDAY(CU$6,1)=1,CU24*CU25,0)))</f>
        <v>0</v>
      </c>
      <c r="CV28" s="64">
        <f>IF(AND(CV24=50,CV25=10),0,IF(CV24&lt;=0,0,IF(WEEKDAY(CV$6,1)=1,CV24*CV25,0)))</f>
        <v>0</v>
      </c>
      <c r="CW28" s="64">
        <f>IF(AND(CW24=50,CW25=10),500,IF(CW24&lt;=0,0,IF(WEEKDAY(CW$6,1)=1,CW24*CW25,0)))</f>
        <v>500</v>
      </c>
      <c r="CX28" s="63">
        <f>IF(AND(CX24=50,CX25=10),0,IF(CX24&lt;=0,0,IF(WEEKDAY(CX$6,1)=1,CX24*CX25,0)))</f>
        <v>0</v>
      </c>
      <c r="CY28" s="63">
        <f>IF(AND(CY24=50,CY25=10),0,IF(CY24&lt;=0,0,IF(WEEKDAY(CY$6,1)=1,CY24*CY25,0)))</f>
        <v>0</v>
      </c>
      <c r="CZ28" s="63">
        <f>IF(AND(CZ24=50,CZ25=10),0,IF(CZ24&lt;=0,0,IF(WEEKDAY(CZ$6,1)=1,CZ24*CZ25,0)))</f>
        <v>0</v>
      </c>
      <c r="DA28" s="63">
        <f>IF(AND(DA24=50,DA25=10),0,IF(DA24&lt;=0,0,IF(WEEKDAY(DA$6,1)=1,DA24*DA25,0)))</f>
        <v>0</v>
      </c>
      <c r="DB28" s="63">
        <f>IF(AND(DB24=50,DB25=10),0,IF(DB24&lt;=0,0,IF(WEEKDAY(DB$6,1)=1,DB24*DB25,0)))</f>
        <v>0</v>
      </c>
      <c r="DC28" s="64">
        <f>IF(AND(DC24=50,DC25=10),0,IF(DC24&lt;=0,0,IF(WEEKDAY(DC$6,1)=1,DC24*DC25,0)))</f>
        <v>0</v>
      </c>
      <c r="DD28" s="64">
        <f>IF(AND(DD24=10,DD25=10),100,IF(DD24&lt;=0,0,IF(WEEKDAY(DD$6,1)=1,DD24*DD25,0)))</f>
        <v>100</v>
      </c>
      <c r="DE28" s="63">
        <f>IF(AND(DE24=10,DE25=10),0,IF(DE24&lt;=0,0,IF(WEEKDAY(DE$6,1)=1,DE24*DE25,0)))</f>
        <v>0</v>
      </c>
      <c r="DF28" s="63">
        <f>IF(AND(DF24=10,DF25=10),0,IF(DF24&lt;=0,0,IF(WEEKDAY(DF$6,1)=1,DF24*DF25,0)))</f>
        <v>0</v>
      </c>
      <c r="DG28" s="63">
        <f>IF(AND(DG24=10,DG25=10),0,IF(DG24&lt;=0,0,IF(WEEKDAY(DG$6,1)=1,DG24*DG25,0)))</f>
        <v>0</v>
      </c>
      <c r="DH28" s="63">
        <f>IF(AND(DH24=10,DH25=10),0,IF(DH24&lt;=0,0,IF(WEEKDAY(DH$6,1)=1,DH24*DH25,0)))</f>
        <v>0</v>
      </c>
      <c r="DI28" s="63">
        <f>IF(AND(DI24=10,DI25=10),0,IF(DI24&lt;=0,0,IF(WEEKDAY(DI$6,1)=1,DI24*DI25,0)))</f>
        <v>0</v>
      </c>
      <c r="DJ28" s="64">
        <f>IF(AND(DJ24=10,DJ25=10),0,IF(DJ24&lt;=0,0,IF(WEEKDAY(DJ$6,1)=1,DJ24*DJ25,0)))</f>
        <v>0</v>
      </c>
      <c r="DK28" s="64">
        <f>IF(AND(DK24=10,DK25=10),100,IF(DK24&lt;=0,0,IF(WEEKDAY(DK$6,1)=1,DK24*DK25,0)))</f>
        <v>100</v>
      </c>
      <c r="DL28" s="63">
        <f>IF(AND(DL24=6,DL25=10),0,IF(DL24&lt;=0,0,IF(WEEKDAY(DL$6,1)=1,DL24*DL25,0)))</f>
        <v>0</v>
      </c>
      <c r="DM28" s="63">
        <f>IF(AND(DM24=6,DM25=10),0,IF(DM24&lt;=0,0,IF(WEEKDAY(DM$6,1)=1,DM24*DM25,0)))</f>
        <v>0</v>
      </c>
      <c r="DN28" s="63">
        <f>IF(AND(DN24=6,DN25=10),0,IF(DN24&lt;=0,0,IF(WEEKDAY(DN$6,1)=1,DN24*DN25,0)))</f>
        <v>0</v>
      </c>
      <c r="DO28" s="63">
        <f>IF(AND(DO24=6,DO25=10),0,IF(DO24&lt;=0,0,IF(WEEKDAY(DO$6,1)=1,DO24*DO25,0)))</f>
        <v>0</v>
      </c>
      <c r="DP28" s="63">
        <f>IF(AND(DP24=6,DP25=10),0,IF(DP24&lt;=0,0,IF(WEEKDAY(DP$6,1)=1,DP24*DP25,0)))</f>
        <v>0</v>
      </c>
      <c r="DQ28" s="64">
        <f>IF(AND(DQ24=6,DQ25=10),0,IF(DQ24&lt;=0,0,IF(WEEKDAY(DQ$6,1)=1,DQ24*DQ25,0)))</f>
        <v>0</v>
      </c>
      <c r="DR28" s="64">
        <f>IF(AND(DR24=6,DR25=10),60,IF(DR24&lt;=0,0,IF(WEEKDAY(DR$6,1)=1,DR24*DR25,0)))</f>
        <v>60</v>
      </c>
      <c r="DS28" s="63">
        <f>IF(AND(DS24=6,DS25=10),0,IF(DS24&lt;=0,0,IF(WEEKDAY(DS$6,1)=1,DS24*DS25,0)))</f>
        <v>0</v>
      </c>
      <c r="DT28" s="63">
        <f>IF(AND(DT24=20,DT25=8),0,IF(DT24&lt;=0,0,IF(WEEKDAY(DT$6,1)=1,DT24*DT25,0)))</f>
        <v>0</v>
      </c>
      <c r="DU28" s="63">
        <f>IF(AND(DU24=20,DU25=8),0,IF(DU24&lt;=0,0,IF(WEEKDAY(DU$6,1)=1,DU24*DU25,0)))</f>
        <v>0</v>
      </c>
      <c r="DV28" s="63">
        <f>IF(AND(DV24=20,DV25=8),0,IF(DV24&lt;=0,0,IF(WEEKDAY(DV$6,1)=1,DV24*DV25,0)))</f>
        <v>0</v>
      </c>
      <c r="DW28" s="63">
        <f>IF(AND(DW24=20,DW25=8),0,IF(DW24&lt;=0,0,IF(WEEKDAY(DW$6,1)=1,DW24*DW25,0)))</f>
        <v>0</v>
      </c>
      <c r="DX28" s="64">
        <f>IF(AND(DX24=0,DX25=0),0,IF(DX24&lt;=0,0,IF(WEEKDAY(DX$6,1)=1,DX24*DX25,0)))</f>
        <v>0</v>
      </c>
      <c r="DY28" s="64">
        <f>IF(AND(DY24=0,DY25=0),0,IF(DY24&lt;=0,0,IF(WEEKDAY(DY$6,1)=1,DY24*DY25,0)))</f>
        <v>0</v>
      </c>
      <c r="DZ28" s="63">
        <f>IF(AND(DZ24=20,DZ25=8),0,IF(DZ24&lt;=0,0,IF(WEEKDAY(DZ$6,1)=1,DZ24*DZ25,0)))</f>
        <v>0</v>
      </c>
      <c r="EA28" s="63">
        <f>IF(AND(EA24=18,EA25=8),0,IF(EA24&lt;=0,0,IF(WEEKDAY(EA$6,1)=1,EA24*EA25,0)))</f>
        <v>0</v>
      </c>
      <c r="EB28" s="63">
        <f>IF(AND(EB24=18,EB25=8),0,IF(EB24&lt;=0,0,IF(WEEKDAY(EB$6,1)=1,EB24*EB25,0)))</f>
        <v>0</v>
      </c>
      <c r="EC28" s="63">
        <f>IF(AND(EC24=18,EC25=8),0,IF(EC24&lt;=0,0,IF(WEEKDAY(EC$6,1)=1,EC24*EC25,0)))</f>
        <v>0</v>
      </c>
      <c r="ED28" s="63">
        <f>IF(AND(ED24=18,ED25=8),0,IF(ED24&lt;=0,0,IF(WEEKDAY(ED$6,1)=1,ED24*ED25,0)))</f>
        <v>0</v>
      </c>
      <c r="EE28" s="64">
        <f>IF(AND(EE24=0,EE25=0),0,IF(EE24&lt;=0,0,IF(WEEKDAY(EE$6,1)=1,EE24*EE25,0)))</f>
        <v>0</v>
      </c>
      <c r="EF28" s="64">
        <f>IF(AND(EF24=0,EF25=0),0,IF(EF24&lt;=0,0,IF(WEEKDAY(EF$6,1)=1,EF24*EF25,0)))</f>
        <v>0</v>
      </c>
      <c r="EG28" s="63">
        <f>IF(AND(EG24=0,EG25=0),0,IF(EG24&lt;=0,0,IF(WEEKDAY(EG$6,1)=1,EG24*EG25,0)))</f>
        <v>0</v>
      </c>
      <c r="EH28" s="63">
        <f>IF(AND(EH24=0,EH25=0),0,IF(EH24&lt;=0,0,IF(WEEKDAY(EH$6,1)=1,EH24*EH25,0)))</f>
        <v>0</v>
      </c>
      <c r="EI28" s="63">
        <f>IF(AND(EI24=0,EI25=0),0,IF(EI24&lt;=0,0,IF(WEEKDAY(EI$6,1)=1,EI24*EI25,0)))</f>
        <v>0</v>
      </c>
      <c r="EJ28" s="63">
        <f>IF(AND(EJ24=0,EJ25=0),0,IF(EJ24&lt;=0,0,IF(WEEKDAY(EJ$6,1)=1,EJ24*EJ25,0)))</f>
        <v>0</v>
      </c>
      <c r="EK28" s="65">
        <f>IF(AND(EK24=0,EK25=0),0,IF(EK24&lt;=0,0,IF(WEEKDAY(EK$6,1)=1,EK24*EK25,0)))</f>
        <v>0</v>
      </c>
      <c r="OU28" s="28" t="s">
        <v>115</v>
      </c>
    </row>
    <row r="29" ht="16" customHeight="1" spans="1:411" x14ac:dyDescent="0.25">
      <c r="A29" s="45"/>
      <c r="B29" s="46"/>
      <c r="C29" s="67">
        <f>I23*D29</f>
        <v>346320</v>
      </c>
      <c r="D29" s="67">
        <v>130</v>
      </c>
      <c r="E29" s="68" t="s">
        <v>65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12</v>
      </c>
      <c r="S29" s="70">
        <v>12</v>
      </c>
      <c r="T29" s="70">
        <v>12</v>
      </c>
      <c r="U29" s="70">
        <v>12</v>
      </c>
      <c r="V29" s="70">
        <v>12</v>
      </c>
      <c r="W29" s="71">
        <v>0</v>
      </c>
      <c r="X29" s="71">
        <v>0</v>
      </c>
      <c r="Y29" s="70">
        <v>20</v>
      </c>
      <c r="Z29" s="70">
        <v>20</v>
      </c>
      <c r="AA29" s="70">
        <v>20</v>
      </c>
      <c r="AB29" s="70">
        <v>20</v>
      </c>
      <c r="AC29" s="70">
        <v>20</v>
      </c>
      <c r="AD29" s="71">
        <v>0</v>
      </c>
      <c r="AE29" s="71">
        <v>0</v>
      </c>
      <c r="AF29" s="70">
        <v>20</v>
      </c>
      <c r="AG29" s="70">
        <v>20</v>
      </c>
      <c r="AH29" s="70">
        <v>20</v>
      </c>
      <c r="AI29" s="70">
        <v>20</v>
      </c>
      <c r="AJ29" s="70">
        <v>20</v>
      </c>
      <c r="AK29" s="71">
        <v>0</v>
      </c>
      <c r="AL29" s="71">
        <v>0</v>
      </c>
      <c r="AM29" s="70">
        <v>20</v>
      </c>
      <c r="AN29" s="70">
        <v>20</v>
      </c>
      <c r="AO29" s="70">
        <v>20</v>
      </c>
      <c r="AP29" s="70">
        <v>20</v>
      </c>
      <c r="AQ29" s="70">
        <v>20</v>
      </c>
      <c r="AR29" s="71">
        <v>0</v>
      </c>
      <c r="AS29" s="71">
        <v>0</v>
      </c>
      <c r="AT29" s="70">
        <v>22</v>
      </c>
      <c r="AU29" s="70">
        <v>22</v>
      </c>
      <c r="AV29" s="70">
        <v>22</v>
      </c>
      <c r="AW29" s="70">
        <v>22</v>
      </c>
      <c r="AX29" s="70">
        <v>22</v>
      </c>
      <c r="AY29" s="71">
        <v>0</v>
      </c>
      <c r="AZ29" s="71">
        <v>0</v>
      </c>
      <c r="BA29" s="70">
        <v>22</v>
      </c>
      <c r="BB29" s="70">
        <v>22</v>
      </c>
      <c r="BC29" s="70">
        <v>22</v>
      </c>
      <c r="BD29" s="70">
        <v>22</v>
      </c>
      <c r="BE29" s="70">
        <v>22</v>
      </c>
      <c r="BF29" s="71">
        <v>0</v>
      </c>
      <c r="BG29" s="71">
        <v>0</v>
      </c>
      <c r="BH29" s="70">
        <v>20</v>
      </c>
      <c r="BI29" s="70">
        <v>20</v>
      </c>
      <c r="BJ29" s="70">
        <v>20</v>
      </c>
      <c r="BK29" s="70">
        <v>20</v>
      </c>
      <c r="BL29" s="70">
        <v>20</v>
      </c>
      <c r="BM29" s="71">
        <v>20</v>
      </c>
      <c r="BN29" s="71">
        <v>20</v>
      </c>
      <c r="BO29" s="70">
        <v>20</v>
      </c>
      <c r="BP29" s="70">
        <v>20</v>
      </c>
      <c r="BQ29" s="70">
        <v>20</v>
      </c>
      <c r="BR29" s="70">
        <v>45</v>
      </c>
      <c r="BS29" s="70">
        <v>45</v>
      </c>
      <c r="BT29" s="71">
        <v>45</v>
      </c>
      <c r="BU29" s="71">
        <v>45</v>
      </c>
      <c r="BV29" s="70">
        <v>45</v>
      </c>
      <c r="BW29" s="70">
        <v>45</v>
      </c>
      <c r="BX29" s="70">
        <v>45</v>
      </c>
      <c r="BY29" s="70">
        <v>45</v>
      </c>
      <c r="BZ29" s="70">
        <v>45</v>
      </c>
      <c r="CA29" s="71">
        <v>45</v>
      </c>
      <c r="CB29" s="71">
        <v>45</v>
      </c>
      <c r="CC29" s="70">
        <v>45</v>
      </c>
      <c r="CD29" s="70">
        <v>45</v>
      </c>
      <c r="CE29" s="70">
        <v>45</v>
      </c>
      <c r="CF29" s="70">
        <v>45</v>
      </c>
      <c r="CG29" s="70">
        <v>45</v>
      </c>
      <c r="CH29" s="71">
        <v>45</v>
      </c>
      <c r="CI29" s="71">
        <v>45</v>
      </c>
      <c r="CJ29" s="70">
        <v>45</v>
      </c>
      <c r="CK29" s="70">
        <v>45</v>
      </c>
      <c r="CL29" s="70">
        <v>45</v>
      </c>
      <c r="CM29" s="70">
        <v>45</v>
      </c>
      <c r="CN29" s="70">
        <v>45</v>
      </c>
      <c r="CO29" s="71">
        <v>45</v>
      </c>
      <c r="CP29" s="71">
        <v>45</v>
      </c>
      <c r="CQ29" s="70">
        <v>45</v>
      </c>
      <c r="CR29" s="70">
        <v>45</v>
      </c>
      <c r="CS29" s="70">
        <v>45</v>
      </c>
      <c r="CT29" s="70">
        <v>45</v>
      </c>
      <c r="CU29" s="70">
        <v>45</v>
      </c>
      <c r="CV29" s="71">
        <v>45</v>
      </c>
      <c r="CW29" s="71">
        <v>45</v>
      </c>
      <c r="CX29" s="70">
        <v>45</v>
      </c>
      <c r="CY29" s="70">
        <v>45</v>
      </c>
      <c r="CZ29" s="70">
        <v>45</v>
      </c>
      <c r="DA29" s="70">
        <v>45</v>
      </c>
      <c r="DB29" s="70">
        <v>45</v>
      </c>
      <c r="DC29" s="71">
        <v>45</v>
      </c>
      <c r="DD29" s="71">
        <v>8</v>
      </c>
      <c r="DE29" s="70">
        <v>8</v>
      </c>
      <c r="DF29" s="70">
        <v>8</v>
      </c>
      <c r="DG29" s="70">
        <v>8</v>
      </c>
      <c r="DH29" s="70">
        <v>8</v>
      </c>
      <c r="DI29" s="70">
        <v>8</v>
      </c>
      <c r="DJ29" s="71">
        <v>8</v>
      </c>
      <c r="DK29" s="71">
        <v>8</v>
      </c>
      <c r="DL29" s="70">
        <v>6</v>
      </c>
      <c r="DM29" s="70">
        <v>6</v>
      </c>
      <c r="DN29" s="70">
        <v>6</v>
      </c>
      <c r="DO29" s="70">
        <v>6</v>
      </c>
      <c r="DP29" s="70">
        <v>6</v>
      </c>
      <c r="DQ29" s="71">
        <v>6</v>
      </c>
      <c r="DR29" s="71">
        <v>6</v>
      </c>
      <c r="DS29" s="70">
        <v>6</v>
      </c>
      <c r="DT29" s="70">
        <v>6</v>
      </c>
      <c r="DU29" s="70">
        <v>6</v>
      </c>
      <c r="DV29" s="70">
        <v>6</v>
      </c>
      <c r="DW29" s="70">
        <v>6</v>
      </c>
      <c r="DX29" s="71">
        <v>0</v>
      </c>
      <c r="DY29" s="71">
        <v>0</v>
      </c>
      <c r="DZ29" s="70">
        <v>6</v>
      </c>
      <c r="EA29" s="70">
        <v>8</v>
      </c>
      <c r="EB29" s="70">
        <v>8</v>
      </c>
      <c r="EC29" s="70">
        <v>8</v>
      </c>
      <c r="ED29" s="70">
        <v>8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115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46" t="s">
        <v>114</v>
      </c>
      <c r="C31" s="47">
        <f>J31</f>
        <v>3051599.76</v>
      </c>
      <c r="D31" s="48"/>
      <c r="E31" s="48"/>
      <c r="F31" s="49">
        <f>SUM(K34:EK34)</f>
        <v>14464</v>
      </c>
      <c r="G31" s="49">
        <f>SUM(K35:EK35)</f>
        <v>7356</v>
      </c>
      <c r="H31" s="49">
        <f>SUM(K36:EK36)</f>
        <v>3340</v>
      </c>
      <c r="I31" s="49">
        <f>SUM(K37:EK37)</f>
        <v>2014</v>
      </c>
      <c r="J31" s="50">
        <f>C34+C35+C36</f>
        <v>3051599.76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116</v>
      </c>
    </row>
    <row r="32" ht="16" customHeight="1" spans="1:411" x14ac:dyDescent="0.25">
      <c r="A32" s="74"/>
      <c r="B32" s="46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20</v>
      </c>
      <c r="BI32" s="57">
        <v>20</v>
      </c>
      <c r="BJ32" s="57">
        <v>28</v>
      </c>
      <c r="BK32" s="57">
        <v>30</v>
      </c>
      <c r="BL32" s="57">
        <v>30</v>
      </c>
      <c r="BM32" s="58">
        <v>30</v>
      </c>
      <c r="BN32" s="58">
        <v>30</v>
      </c>
      <c r="BO32" s="57">
        <v>30</v>
      </c>
      <c r="BP32" s="57">
        <v>30</v>
      </c>
      <c r="BQ32" s="57">
        <v>30</v>
      </c>
      <c r="BR32" s="57">
        <v>57</v>
      </c>
      <c r="BS32" s="57">
        <v>57</v>
      </c>
      <c r="BT32" s="58">
        <v>57</v>
      </c>
      <c r="BU32" s="58">
        <v>57</v>
      </c>
      <c r="BV32" s="57">
        <v>57</v>
      </c>
      <c r="BW32" s="57">
        <v>57</v>
      </c>
      <c r="BX32" s="57">
        <v>57</v>
      </c>
      <c r="BY32" s="57">
        <v>57</v>
      </c>
      <c r="BZ32" s="57">
        <v>57</v>
      </c>
      <c r="CA32" s="58">
        <v>57</v>
      </c>
      <c r="CB32" s="58">
        <v>57</v>
      </c>
      <c r="CC32" s="57">
        <v>57</v>
      </c>
      <c r="CD32" s="57">
        <v>57</v>
      </c>
      <c r="CE32" s="57">
        <v>57</v>
      </c>
      <c r="CF32" s="57">
        <v>57</v>
      </c>
      <c r="CG32" s="57">
        <v>57</v>
      </c>
      <c r="CH32" s="58">
        <v>57</v>
      </c>
      <c r="CI32" s="58">
        <v>57</v>
      </c>
      <c r="CJ32" s="57">
        <v>57</v>
      </c>
      <c r="CK32" s="57">
        <v>57</v>
      </c>
      <c r="CL32" s="57">
        <v>57</v>
      </c>
      <c r="CM32" s="57">
        <v>57</v>
      </c>
      <c r="CN32" s="57">
        <v>57</v>
      </c>
      <c r="CO32" s="58">
        <v>57</v>
      </c>
      <c r="CP32" s="58">
        <v>57</v>
      </c>
      <c r="CQ32" s="57">
        <v>57</v>
      </c>
      <c r="CR32" s="57">
        <v>57</v>
      </c>
      <c r="CS32" s="57">
        <v>57</v>
      </c>
      <c r="CT32" s="57">
        <v>57</v>
      </c>
      <c r="CU32" s="57">
        <v>57</v>
      </c>
      <c r="CV32" s="58">
        <v>50</v>
      </c>
      <c r="CW32" s="58">
        <v>50</v>
      </c>
      <c r="CX32" s="57">
        <v>50</v>
      </c>
      <c r="CY32" s="57">
        <v>50</v>
      </c>
      <c r="CZ32" s="57">
        <v>50</v>
      </c>
      <c r="DA32" s="57">
        <v>50</v>
      </c>
      <c r="DB32" s="57">
        <v>50</v>
      </c>
      <c r="DC32" s="58">
        <v>50</v>
      </c>
      <c r="DD32" s="58">
        <v>10</v>
      </c>
      <c r="DE32" s="57">
        <v>10</v>
      </c>
      <c r="DF32" s="57">
        <v>10</v>
      </c>
      <c r="DG32" s="57">
        <v>10</v>
      </c>
      <c r="DH32" s="57">
        <v>10</v>
      </c>
      <c r="DI32" s="57">
        <v>10</v>
      </c>
      <c r="DJ32" s="58">
        <v>10</v>
      </c>
      <c r="DK32" s="58">
        <v>10</v>
      </c>
      <c r="DL32" s="57">
        <v>6</v>
      </c>
      <c r="DM32" s="57">
        <v>6</v>
      </c>
      <c r="DN32" s="57">
        <v>6</v>
      </c>
      <c r="DO32" s="57">
        <v>6</v>
      </c>
      <c r="DP32" s="57">
        <v>6</v>
      </c>
      <c r="DQ32" s="58">
        <v>6</v>
      </c>
      <c r="DR32" s="58">
        <v>6</v>
      </c>
      <c r="DS32" s="57">
        <v>6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116</v>
      </c>
    </row>
    <row r="33" ht="16" customHeight="1" spans="1:411" x14ac:dyDescent="0.25">
      <c r="A33" s="74"/>
      <c r="B33" s="46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10</v>
      </c>
      <c r="BI33" s="57">
        <v>10</v>
      </c>
      <c r="BJ33" s="57">
        <v>10</v>
      </c>
      <c r="BK33" s="57">
        <v>10</v>
      </c>
      <c r="BL33" s="57">
        <v>10</v>
      </c>
      <c r="BM33" s="58">
        <v>10</v>
      </c>
      <c r="BN33" s="58">
        <v>10</v>
      </c>
      <c r="BO33" s="57">
        <v>10</v>
      </c>
      <c r="BP33" s="57">
        <v>10</v>
      </c>
      <c r="BQ33" s="57">
        <v>10</v>
      </c>
      <c r="BR33" s="57">
        <v>10</v>
      </c>
      <c r="BS33" s="57">
        <v>10</v>
      </c>
      <c r="BT33" s="58">
        <v>10</v>
      </c>
      <c r="BU33" s="58">
        <v>10</v>
      </c>
      <c r="BV33" s="57">
        <v>10</v>
      </c>
      <c r="BW33" s="57">
        <v>10</v>
      </c>
      <c r="BX33" s="57">
        <v>10</v>
      </c>
      <c r="BY33" s="57">
        <v>10</v>
      </c>
      <c r="BZ33" s="57">
        <v>10</v>
      </c>
      <c r="CA33" s="58">
        <v>10</v>
      </c>
      <c r="CB33" s="58">
        <v>10</v>
      </c>
      <c r="CC33" s="57">
        <v>10</v>
      </c>
      <c r="CD33" s="57">
        <v>10</v>
      </c>
      <c r="CE33" s="57">
        <v>10</v>
      </c>
      <c r="CF33" s="57">
        <v>10</v>
      </c>
      <c r="CG33" s="57">
        <v>10</v>
      </c>
      <c r="CH33" s="58">
        <v>10</v>
      </c>
      <c r="CI33" s="58">
        <v>10</v>
      </c>
      <c r="CJ33" s="57">
        <v>10</v>
      </c>
      <c r="CK33" s="57">
        <v>10</v>
      </c>
      <c r="CL33" s="57">
        <v>10</v>
      </c>
      <c r="CM33" s="57">
        <v>10</v>
      </c>
      <c r="CN33" s="57">
        <v>10</v>
      </c>
      <c r="CO33" s="58">
        <v>10</v>
      </c>
      <c r="CP33" s="58">
        <v>10</v>
      </c>
      <c r="CQ33" s="57">
        <v>10</v>
      </c>
      <c r="CR33" s="57">
        <v>10</v>
      </c>
      <c r="CS33" s="57">
        <v>10</v>
      </c>
      <c r="CT33" s="57">
        <v>10</v>
      </c>
      <c r="CU33" s="57">
        <v>10</v>
      </c>
      <c r="CV33" s="58">
        <v>10</v>
      </c>
      <c r="CW33" s="58">
        <v>10</v>
      </c>
      <c r="CX33" s="57">
        <v>10</v>
      </c>
      <c r="CY33" s="57">
        <v>10</v>
      </c>
      <c r="CZ33" s="57">
        <v>10</v>
      </c>
      <c r="DA33" s="57">
        <v>10</v>
      </c>
      <c r="DB33" s="57">
        <v>10</v>
      </c>
      <c r="DC33" s="58">
        <v>10</v>
      </c>
      <c r="DD33" s="58">
        <v>10</v>
      </c>
      <c r="DE33" s="57">
        <v>10</v>
      </c>
      <c r="DF33" s="57">
        <v>10</v>
      </c>
      <c r="DG33" s="57">
        <v>10</v>
      </c>
      <c r="DH33" s="57">
        <v>10</v>
      </c>
      <c r="DI33" s="57">
        <v>10</v>
      </c>
      <c r="DJ33" s="58">
        <v>10</v>
      </c>
      <c r="DK33" s="58">
        <v>10</v>
      </c>
      <c r="DL33" s="57">
        <v>10</v>
      </c>
      <c r="DM33" s="57">
        <v>10</v>
      </c>
      <c r="DN33" s="57">
        <v>10</v>
      </c>
      <c r="DO33" s="57">
        <v>10</v>
      </c>
      <c r="DP33" s="57">
        <v>10</v>
      </c>
      <c r="DQ33" s="58">
        <v>10</v>
      </c>
      <c r="DR33" s="58">
        <v>10</v>
      </c>
      <c r="DS33" s="57">
        <v>10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116</v>
      </c>
    </row>
    <row r="34" ht="16" customHeight="1" spans="1:411" x14ac:dyDescent="0.25">
      <c r="A34" s="74"/>
      <c r="B34" s="46"/>
      <c r="C34" s="61">
        <f>F31*N(D34)</f>
        <v>1436709.1199999999</v>
      </c>
      <c r="D34" s="61">
        <f>IF(TRIM(B31)="","No rate",IFERROR(INDEX('Rate Tables'!C$7:C$158,MATCH(B31,'Rate Tables'!A$7:A$158,0)),"No rate"))</f>
        <v>99.33</v>
      </c>
      <c r="E34" s="55" t="s">
        <v>62</v>
      </c>
      <c r="F34" s="49"/>
      <c r="G34" s="49"/>
      <c r="H34" s="49"/>
      <c r="I34" s="49"/>
      <c r="J34" s="50"/>
      <c r="K34" s="62">
        <f>IF(AND(K32=0,K33=0),0,MIN(IF(K32&lt;=0,0,IF(WEEKDAY(K$6,1)=1,0,IF(WEEKDAY(K$6,1)=7,0,MIN(8,K33)*K32))),MAX(0,40*MAX(1,K32)-(0))))</f>
        <v>0</v>
      </c>
      <c r="L34" s="63">
        <f>IF(AND(L32=0,L33=0),0,MIN(IF(L32&lt;=0,0,IF(WEEKDAY(L$6,1)=1,0,IF(WEEKDAY(L$6,1)=7,0,MIN(8,L33)*L32))),MAX(0,40*MAX(1,L32)-(K34))))</f>
        <v>0</v>
      </c>
      <c r="M34" s="63">
        <f>IF(AND(M32=0,M33=0),0,MIN(IF(M32&lt;=0,0,IF(WEEKDAY(M$6,1)=1,0,IF(WEEKDAY(M$6,1)=7,0,MIN(8,M33)*M32))),MAX(0,40*MAX(1,M32)-(K34+L34))))</f>
        <v>0</v>
      </c>
      <c r="N34" s="63">
        <f>IF(AND(N32=0,N33=0),0,MIN(IF(N32&lt;=0,0,IF(WEEKDAY(N$6,1)=1,0,IF(WEEKDAY(N$6,1)=7,0,MIN(8,N33)*N32))),MAX(0,40*MAX(1,N32)-(K34+L34+M34))))</f>
        <v>0</v>
      </c>
      <c r="O34" s="63">
        <f>IF(AND(O32=0,O33=0),0,MIN(IF(O32&lt;=0,0,IF(WEEKDAY(O$6,1)=1,0,IF(WEEKDAY(O$6,1)=7,0,MIN(8,O33)*O32))),MAX(0,40*MAX(1,O32)-(K34+L34+M34+N34))))</f>
        <v>0</v>
      </c>
      <c r="P34" s="64">
        <f>IF(AND(P32=0,P33=0),0,MIN(IF(P32&lt;=0,0,IF(WEEKDAY(P$6,1)=1,0,IF(WEEKDAY(P$6,1)=7,0,MIN(8,P33)*P32))),MAX(0,40*MAX(1,P32)-(K34+L34+M34+N34+O34))))</f>
        <v>0</v>
      </c>
      <c r="Q34" s="64">
        <f>IF(AND(Q32=0,Q33=0),0,MIN(IF(Q32&lt;=0,0,IF(WEEKDAY(Q$6,1)=1,0,IF(WEEKDAY(Q$6,1)=7,0,MIN(8,Q33)*Q32))),MAX(0,40*MAX(1,Q32)-(K34+L34+M34+N34+O34+P34))))</f>
        <v>0</v>
      </c>
      <c r="R34" s="63">
        <f>IF(AND(R32=0,R33=0),0,MIN(IF(R32&lt;=0,0,IF(WEEKDAY(R$6,1)=1,0,IF(WEEKDAY(R$6,1)=7,0,MIN(8,R33)*R32))),MAX(0,40*MAX(1,R32)-(0))))</f>
        <v>0</v>
      </c>
      <c r="S34" s="63">
        <f>IF(AND(S32=0,S33=0),0,MIN(IF(S32&lt;=0,0,IF(WEEKDAY(S$6,1)=1,0,IF(WEEKDAY(S$6,1)=7,0,MIN(8,S33)*S32))),MAX(0,40*MAX(1,S32)-(R34))))</f>
        <v>0</v>
      </c>
      <c r="T34" s="63">
        <f>IF(AND(T32=0,T33=0),0,MIN(IF(T32&lt;=0,0,IF(WEEKDAY(T$6,1)=1,0,IF(WEEKDAY(T$6,1)=7,0,MIN(8,T33)*T32))),MAX(0,40*MAX(1,T32)-(R34+S34))))</f>
        <v>0</v>
      </c>
      <c r="U34" s="63">
        <f>IF(AND(U32=0,U33=0),0,MIN(IF(U32&lt;=0,0,IF(WEEKDAY(U$6,1)=1,0,IF(WEEKDAY(U$6,1)=7,0,MIN(8,U33)*U32))),MAX(0,40*MAX(1,U32)-(R34+S34+T34))))</f>
        <v>0</v>
      </c>
      <c r="V34" s="63">
        <f>IF(AND(V32=0,V33=0),0,MIN(IF(V32&lt;=0,0,IF(WEEKDAY(V$6,1)=1,0,IF(WEEKDAY(V$6,1)=7,0,MIN(8,V33)*V32))),MAX(0,40*MAX(1,V32)-(R34+S34+T34+U34))))</f>
        <v>0</v>
      </c>
      <c r="W34" s="64">
        <f>IF(AND(W32=0,W33=0),0,MIN(IF(W32&lt;=0,0,IF(WEEKDAY(W$6,1)=1,0,IF(WEEKDAY(W$6,1)=7,0,MIN(8,W33)*W32))),MAX(0,40*MAX(1,W32)-(R34+S34+T34+U34+V34))))</f>
        <v>0</v>
      </c>
      <c r="X34" s="64">
        <f>IF(AND(X32=0,X33=0),0,MIN(IF(X32&lt;=0,0,IF(WEEKDAY(X$6,1)=1,0,IF(WEEKDAY(X$6,1)=7,0,MIN(8,X33)*X32))),MAX(0,40*MAX(1,X32)-(R34+S34+T34+U34+V34+W34))))</f>
        <v>0</v>
      </c>
      <c r="Y34" s="63">
        <f>IF(AND(Y32=0,Y33=0),0,MIN(IF(Y32&lt;=0,0,IF(WEEKDAY(Y$6,1)=1,0,IF(WEEKDAY(Y$6,1)=7,0,MIN(8,Y33)*Y32))),MAX(0,40*MAX(1,Y32)-(0))))</f>
        <v>0</v>
      </c>
      <c r="Z34" s="63">
        <f>IF(AND(Z32=0,Z33=0),0,MIN(IF(Z32&lt;=0,0,IF(WEEKDAY(Z$6,1)=1,0,IF(WEEKDAY(Z$6,1)=7,0,MIN(8,Z33)*Z32))),MAX(0,40*MAX(1,Z32)-(Y34))))</f>
        <v>0</v>
      </c>
      <c r="AA34" s="63">
        <f>IF(AND(AA32=0,AA33=0),0,MIN(IF(AA32&lt;=0,0,IF(WEEKDAY(AA$6,1)=1,0,IF(WEEKDAY(AA$6,1)=7,0,MIN(8,AA33)*AA32))),MAX(0,40*MAX(1,AA32)-(Y34+Z34))))</f>
        <v>0</v>
      </c>
      <c r="AB34" s="63">
        <f>IF(AND(AB32=0,AB33=0),0,MIN(IF(AB32&lt;=0,0,IF(WEEKDAY(AB$6,1)=1,0,IF(WEEKDAY(AB$6,1)=7,0,MIN(8,AB33)*AB32))),MAX(0,40*MAX(1,AB32)-(Y34+Z34+AA34))))</f>
        <v>0</v>
      </c>
      <c r="AC34" s="63">
        <f>IF(AND(AC32=0,AC33=0),0,MIN(IF(AC32&lt;=0,0,IF(WEEKDAY(AC$6,1)=1,0,IF(WEEKDAY(AC$6,1)=7,0,MIN(8,AC33)*AC32))),MAX(0,40*MAX(1,AC32)-(Y34+Z34+AA34+AB34))))</f>
        <v>0</v>
      </c>
      <c r="AD34" s="64">
        <f>IF(AND(AD32=0,AD33=0),0,MIN(IF(AD32&lt;=0,0,IF(WEEKDAY(AD$6,1)=1,0,IF(WEEKDAY(AD$6,1)=7,0,MIN(8,AD33)*AD32))),MAX(0,40*MAX(1,AD32)-(Y34+Z34+AA34+AB34+AC34))))</f>
        <v>0</v>
      </c>
      <c r="AE34" s="64">
        <f>IF(AND(AE32=0,AE33=0),0,MIN(IF(AE32&lt;=0,0,IF(WEEKDAY(AE$6,1)=1,0,IF(WEEKDAY(AE$6,1)=7,0,MIN(8,AE33)*AE32))),MAX(0,40*MAX(1,AE32)-(Y34+Z34+AA34+AB34+AC34+AD34))))</f>
        <v>0</v>
      </c>
      <c r="AF34" s="63">
        <f>IF(AND(AF32=0,AF33=0),0,MIN(IF(AF32&lt;=0,0,IF(WEEKDAY(AF$6,1)=1,0,IF(WEEKDAY(AF$6,1)=7,0,MIN(8,AF33)*AF32))),MAX(0,40*MAX(1,AF32)-(0))))</f>
        <v>0</v>
      </c>
      <c r="AG34" s="63">
        <f>IF(AND(AG32=0,AG33=0),0,MIN(IF(AG32&lt;=0,0,IF(WEEKDAY(AG$6,1)=1,0,IF(WEEKDAY(AG$6,1)=7,0,MIN(8,AG33)*AG32))),MAX(0,40*MAX(1,AG32)-(AF34))))</f>
        <v>0</v>
      </c>
      <c r="AH34" s="63">
        <f>IF(AND(AH32=0,AH33=0),0,MIN(IF(AH32&lt;=0,0,IF(WEEKDAY(AH$6,1)=1,0,IF(WEEKDAY(AH$6,1)=7,0,MIN(8,AH33)*AH32))),MAX(0,40*MAX(1,AH32)-(AF34+AG34))))</f>
        <v>0</v>
      </c>
      <c r="AI34" s="63">
        <f>IF(AND(AI32=0,AI33=0),0,MIN(IF(AI32&lt;=0,0,IF(WEEKDAY(AI$6,1)=1,0,IF(WEEKDAY(AI$6,1)=7,0,MIN(8,AI33)*AI32))),MAX(0,40*MAX(1,AI32)-(AF34+AG34+AH34))))</f>
        <v>0</v>
      </c>
      <c r="AJ34" s="63">
        <f>IF(AND(AJ32=0,AJ33=0),0,MIN(IF(AJ32&lt;=0,0,IF(WEEKDAY(AJ$6,1)=1,0,IF(WEEKDAY(AJ$6,1)=7,0,MIN(8,AJ33)*AJ32))),MAX(0,40*MAX(1,AJ32)-(AF34+AG34+AH34+AI34))))</f>
        <v>0</v>
      </c>
      <c r="AK34" s="64">
        <f>IF(AND(AK32=0,AK33=0),0,MIN(IF(AK32&lt;=0,0,IF(WEEKDAY(AK$6,1)=1,0,IF(WEEKDAY(AK$6,1)=7,0,MIN(8,AK33)*AK32))),MAX(0,40*MAX(1,AK32)-(AF34+AG34+AH34+AI34+AJ34))))</f>
        <v>0</v>
      </c>
      <c r="AL34" s="64">
        <f>IF(AND(AL32=0,AL33=0),0,MIN(IF(AL32&lt;=0,0,IF(WEEKDAY(AL$6,1)=1,0,IF(WEEKDAY(AL$6,1)=7,0,MIN(8,AL33)*AL32))),MAX(0,40*MAX(1,AL32)-(AF34+AG34+AH34+AI34+AJ34+AK34))))</f>
        <v>0</v>
      </c>
      <c r="AM34" s="63">
        <f>IF(AND(AM32=0,AM33=0),0,MIN(IF(AM32&lt;=0,0,IF(WEEKDAY(AM$6,1)=1,0,IF(WEEKDAY(AM$6,1)=7,0,MIN(8,AM33)*AM32))),MAX(0,40*MAX(1,AM32)-(0))))</f>
        <v>0</v>
      </c>
      <c r="AN34" s="63">
        <f>IF(AND(AN32=0,AN33=0),0,MIN(IF(AN32&lt;=0,0,IF(WEEKDAY(AN$6,1)=1,0,IF(WEEKDAY(AN$6,1)=7,0,MIN(8,AN33)*AN32))),MAX(0,40*MAX(1,AN32)-(AM34))))</f>
        <v>0</v>
      </c>
      <c r="AO34" s="63">
        <f>IF(AND(AO32=0,AO33=0),0,MIN(IF(AO32&lt;=0,0,IF(WEEKDAY(AO$6,1)=1,0,IF(WEEKDAY(AO$6,1)=7,0,MIN(8,AO33)*AO32))),MAX(0,40*MAX(1,AO32)-(AM34+AN34))))</f>
        <v>0</v>
      </c>
      <c r="AP34" s="63">
        <f>IF(AND(AP32=0,AP33=0),0,MIN(IF(AP32&lt;=0,0,IF(WEEKDAY(AP$6,1)=1,0,IF(WEEKDAY(AP$6,1)=7,0,MIN(8,AP33)*AP32))),MAX(0,40*MAX(1,AP32)-(AM34+AN34+AO34))))</f>
        <v>0</v>
      </c>
      <c r="AQ34" s="63">
        <f>IF(AND(AQ32=0,AQ33=0),0,MIN(IF(AQ32&lt;=0,0,IF(WEEKDAY(AQ$6,1)=1,0,IF(WEEKDAY(AQ$6,1)=7,0,MIN(8,AQ33)*AQ32))),MAX(0,40*MAX(1,AQ32)-(AM34+AN34+AO34+AP34))))</f>
        <v>0</v>
      </c>
      <c r="AR34" s="64">
        <f>IF(AND(AR32=0,AR33=0),0,MIN(IF(AR32&lt;=0,0,IF(WEEKDAY(AR$6,1)=1,0,IF(WEEKDAY(AR$6,1)=7,0,MIN(8,AR33)*AR32))),MAX(0,40*MAX(1,AR32)-(AM34+AN34+AO34+AP34+AQ34))))</f>
        <v>0</v>
      </c>
      <c r="AS34" s="64">
        <f>IF(AND(AS32=0,AS33=0),0,MIN(IF(AS32&lt;=0,0,IF(WEEKDAY(AS$6,1)=1,0,IF(WEEKDAY(AS$6,1)=7,0,MIN(8,AS33)*AS32))),MAX(0,40*MAX(1,AS32)-(AM34+AN34+AO34+AP34+AQ34+AR34))))</f>
        <v>0</v>
      </c>
      <c r="AT34" s="63">
        <f>IF(AND(AT32=0,AT33=0),0,MIN(IF(AT32&lt;=0,0,IF(WEEKDAY(AT$6,1)=1,0,IF(WEEKDAY(AT$6,1)=7,0,MIN(8,AT33)*AT32))),MAX(0,40*MAX(1,AT32)-(0))))</f>
        <v>0</v>
      </c>
      <c r="AU34" s="63">
        <f>IF(AND(AU32=0,AU33=0),0,MIN(IF(AU32&lt;=0,0,IF(WEEKDAY(AU$6,1)=1,0,IF(WEEKDAY(AU$6,1)=7,0,MIN(8,AU33)*AU32))),MAX(0,40*MAX(1,AU32)-(AT34))))</f>
        <v>0</v>
      </c>
      <c r="AV34" s="63">
        <f>IF(AND(AV32=0,AV33=0),0,MIN(IF(AV32&lt;=0,0,IF(WEEKDAY(AV$6,1)=1,0,IF(WEEKDAY(AV$6,1)=7,0,MIN(8,AV33)*AV32))),MAX(0,40*MAX(1,AV32)-(AT34+AU34))))</f>
        <v>0</v>
      </c>
      <c r="AW34" s="63">
        <f>IF(AND(AW32=0,AW33=0),0,MIN(IF(AW32&lt;=0,0,IF(WEEKDAY(AW$6,1)=1,0,IF(WEEKDAY(AW$6,1)=7,0,MIN(8,AW33)*AW32))),MAX(0,40*MAX(1,AW32)-(AT34+AU34+AV34))))</f>
        <v>0</v>
      </c>
      <c r="AX34" s="63">
        <f>IF(AND(AX32=0,AX33=0),0,MIN(IF(AX32&lt;=0,0,IF(WEEKDAY(AX$6,1)=1,0,IF(WEEKDAY(AX$6,1)=7,0,MIN(8,AX33)*AX32))),MAX(0,40*MAX(1,AX32)-(AT34+AU34+AV34+AW34))))</f>
        <v>0</v>
      </c>
      <c r="AY34" s="64">
        <f>IF(AND(AY32=0,AY33=0),0,MIN(IF(AY32&lt;=0,0,IF(WEEKDAY(AY$6,1)=1,0,IF(WEEKDAY(AY$6,1)=7,0,MIN(8,AY33)*AY32))),MAX(0,40*MAX(1,AY32)-(AT34+AU34+AV34+AW34+AX34))))</f>
        <v>0</v>
      </c>
      <c r="AZ34" s="64">
        <f>IF(AND(AZ32=0,AZ33=0),0,MIN(IF(AZ32&lt;=0,0,IF(WEEKDAY(AZ$6,1)=1,0,IF(WEEKDAY(AZ$6,1)=7,0,MIN(8,AZ33)*AZ32))),MAX(0,40*MAX(1,AZ32)-(AT34+AU34+AV34+AW34+AX34+AY34))))</f>
        <v>0</v>
      </c>
      <c r="BA34" s="63">
        <f>IF(AND(BA32=0,BA33=0),0,MIN(IF(BA32&lt;=0,0,IF(WEEKDAY(BA$6,1)=1,0,IF(WEEKDAY(BA$6,1)=7,0,MIN(8,BA33)*BA32))),MAX(0,40*MAX(1,BA32)-(0))))</f>
        <v>0</v>
      </c>
      <c r="BB34" s="63">
        <f>IF(AND(BB32=0,BB33=0),0,MIN(IF(BB32&lt;=0,0,IF(WEEKDAY(BB$6,1)=1,0,IF(WEEKDAY(BB$6,1)=7,0,MIN(8,BB33)*BB32))),MAX(0,40*MAX(1,BB32)-(BA34))))</f>
        <v>0</v>
      </c>
      <c r="BC34" s="63">
        <f>IF(AND(BC32=0,BC33=0),0,MIN(IF(BC32&lt;=0,0,IF(WEEKDAY(BC$6,1)=1,0,IF(WEEKDAY(BC$6,1)=7,0,MIN(8,BC33)*BC32))),MAX(0,40*MAX(1,BC32)-(BA34+BB34))))</f>
        <v>0</v>
      </c>
      <c r="BD34" s="63">
        <f>IF(AND(BD32=0,BD33=0),0,MIN(IF(BD32&lt;=0,0,IF(WEEKDAY(BD$6,1)=1,0,IF(WEEKDAY(BD$6,1)=7,0,MIN(8,BD33)*BD32))),MAX(0,40*MAX(1,BD32)-(BA34+BB34+BC34))))</f>
        <v>0</v>
      </c>
      <c r="BE34" s="63">
        <f>IF(AND(BE32=0,BE33=0),0,MIN(IF(BE32&lt;=0,0,IF(WEEKDAY(BE$6,1)=1,0,IF(WEEKDAY(BE$6,1)=7,0,MIN(8,BE33)*BE32))),MAX(0,40*MAX(1,BE32)-(BA34+BB34+BC34+BD34))))</f>
        <v>0</v>
      </c>
      <c r="BF34" s="64">
        <f>IF(AND(BF32=0,BF33=0),0,MIN(IF(BF32&lt;=0,0,IF(WEEKDAY(BF$6,1)=1,0,IF(WEEKDAY(BF$6,1)=7,0,MIN(8,BF33)*BF32))),MAX(0,40*MAX(1,BF32)-(BA34+BB34+BC34+BD34+BE34))))</f>
        <v>0</v>
      </c>
      <c r="BG34" s="64">
        <f>IF(AND(BG32=0,BG33=0),0,MIN(IF(BG32&lt;=0,0,IF(WEEKDAY(BG$6,1)=1,0,IF(WEEKDAY(BG$6,1)=7,0,MIN(8,BG33)*BG32))),MAX(0,40*MAX(1,BG32)-(BA34+BB34+BC34+BD34+BE34+BF34))))</f>
        <v>0</v>
      </c>
      <c r="BH34" s="63">
        <f>IF(AND(BH32=20,BH33=10),160,MIN(IF(BH32&lt;=0,0,IF(WEEKDAY(BH$6,1)=1,0,IF(WEEKDAY(BH$6,1)=7,0,MIN(8,BH33)*BH32))),MAX(0,40*MAX(1,BH32)-(0))))</f>
        <v>160</v>
      </c>
      <c r="BI34" s="63">
        <f>IF(AND(BI32=20,BI33=10),160,MIN(IF(BI32&lt;=0,0,IF(WEEKDAY(BI$6,1)=1,0,IF(WEEKDAY(BI$6,1)=7,0,MIN(8,BI33)*BI32))),MAX(0,40*MAX(1,BI32)-(BH34))))</f>
        <v>160</v>
      </c>
      <c r="BJ34" s="63">
        <f>IF(AND(BJ32=28,BJ33=10),224,MIN(IF(BJ32&lt;=0,0,IF(WEEKDAY(BJ$6,1)=1,0,IF(WEEKDAY(BJ$6,1)=7,0,MIN(8,BJ33)*BJ32))),MAX(0,40*MAX(1,BJ32)-(BH34+BI34))))</f>
        <v>224</v>
      </c>
      <c r="BK34" s="63">
        <f>IF(AND(BK32=30,BK33=10),240,MIN(IF(BK32&lt;=0,0,IF(WEEKDAY(BK$6,1)=1,0,IF(WEEKDAY(BK$6,1)=7,0,MIN(8,BK33)*BK32))),MAX(0,40*MAX(1,BK32)-(BH34+BI34+BJ34))))</f>
        <v>240</v>
      </c>
      <c r="BL34" s="63">
        <f>IF(AND(BL32=30,BL33=10),240,MIN(IF(BL32&lt;=0,0,IF(WEEKDAY(BL$6,1)=1,0,IF(WEEKDAY(BL$6,1)=7,0,MIN(8,BL33)*BL32))),MAX(0,40*MAX(1,BL32)-(BH34+BI34+BJ34+BK34))))</f>
        <v>240</v>
      </c>
      <c r="BM34" s="64">
        <f>IF(AND(BM32=30,BM33=10),0,MIN(IF(BM32&lt;=0,0,IF(WEEKDAY(BM$6,1)=1,0,IF(WEEKDAY(BM$6,1)=7,0,MIN(8,BM33)*BM32))),MAX(0,40*MAX(1,BM32)-(BH34+BI34+BJ34+BK34+BL34))))</f>
        <v>0</v>
      </c>
      <c r="BN34" s="64">
        <f>IF(AND(BN32=30,BN33=10),0,MIN(IF(BN32&lt;=0,0,IF(WEEKDAY(BN$6,1)=1,0,IF(WEEKDAY(BN$6,1)=7,0,MIN(8,BN33)*BN32))),MAX(0,40*MAX(1,BN32)-(BH34+BI34+BJ34+BK34+BL34+BM34))))</f>
        <v>0</v>
      </c>
      <c r="BO34" s="63">
        <f>IF(AND(BO32=30,BO33=10),240,MIN(IF(BO32&lt;=0,0,IF(WEEKDAY(BO$6,1)=1,0,IF(WEEKDAY(BO$6,1)=7,0,MIN(8,BO33)*BO32))),MAX(0,40*MAX(1,BO32)-(0))))</f>
        <v>240</v>
      </c>
      <c r="BP34" s="63">
        <f>IF(AND(BP32=30,BP33=10),240,MIN(IF(BP32&lt;=0,0,IF(WEEKDAY(BP$6,1)=1,0,IF(WEEKDAY(BP$6,1)=7,0,MIN(8,BP33)*BP32))),MAX(0,40*MAX(1,BP32)-(BO34))))</f>
        <v>240</v>
      </c>
      <c r="BQ34" s="63">
        <f>IF(AND(BQ32=30,BQ33=10),240,MIN(IF(BQ32&lt;=0,0,IF(WEEKDAY(BQ$6,1)=1,0,IF(WEEKDAY(BQ$6,1)=7,0,MIN(8,BQ33)*BQ32))),MAX(0,40*MAX(1,BQ32)-(BO34+BP34))))</f>
        <v>240</v>
      </c>
      <c r="BR34" s="63">
        <f>IF(AND(BR32=57,BR33=10),456,MIN(IF(BR32&lt;=0,0,IF(WEEKDAY(BR$6,1)=1,0,IF(WEEKDAY(BR$6,1)=7,0,MIN(8,BR33)*BR32))),MAX(0,40*MAX(1,BR32)-(0))))</f>
        <v>456</v>
      </c>
      <c r="BS34" s="63">
        <f>IF(AND(BS32=57,BS33=10),456,MIN(IF(BS32&lt;=0,0,IF(WEEKDAY(BS$6,1)=1,0,IF(WEEKDAY(BS$6,1)=7,0,MIN(8,BS33)*BS32))),MAX(0,40*MAX(1,BS32)-(BR34))))</f>
        <v>456</v>
      </c>
      <c r="BT34" s="64">
        <f>IF(AND(BT32=57,BT33=10),0,MIN(IF(BT32&lt;=0,0,IF(WEEKDAY(BT$6,1)=1,0,IF(WEEKDAY(BT$6,1)=7,0,MIN(8,BT33)*BT32))),MAX(0,40*MAX(1,BT32)-(BR34+BS34))))</f>
        <v>0</v>
      </c>
      <c r="BU34" s="64">
        <f>IF(AND(BU32=57,BU33=10),0,MIN(IF(BU32&lt;=0,0,IF(WEEKDAY(BU$6,1)=1,0,IF(WEEKDAY(BU$6,1)=7,0,MIN(8,BU33)*BU32))),MAX(0,40*MAX(1,BU32)-(BR34+BS34+BT34))))</f>
        <v>0</v>
      </c>
      <c r="BV34" s="63">
        <f>IF(AND(BV32=57,BV33=10),456,MIN(IF(BV32&lt;=0,0,IF(WEEKDAY(BV$6,1)=1,0,IF(WEEKDAY(BV$6,1)=7,0,MIN(8,BV33)*BV32))),MAX(0,40*MAX(1,BV32)-(0))))</f>
        <v>456</v>
      </c>
      <c r="BW34" s="63">
        <f>IF(AND(BW32=57,BW33=10),456,MIN(IF(BW32&lt;=0,0,IF(WEEKDAY(BW$6,1)=1,0,IF(WEEKDAY(BW$6,1)=7,0,MIN(8,BW33)*BW32))),MAX(0,40*MAX(1,BW32)-(BV34))))</f>
        <v>456</v>
      </c>
      <c r="BX34" s="63">
        <f>IF(AND(BX32=57,BX33=10),456,MIN(IF(BX32&lt;=0,0,IF(WEEKDAY(BX$6,1)=1,0,IF(WEEKDAY(BX$6,1)=7,0,MIN(8,BX33)*BX32))),MAX(0,40*MAX(1,BX32)-(BV34+BW34))))</f>
        <v>456</v>
      </c>
      <c r="BY34" s="63">
        <f>IF(AND(BY32=57,BY33=10),456,MIN(IF(BY32&lt;=0,0,IF(WEEKDAY(BY$6,1)=1,0,IF(WEEKDAY(BY$6,1)=7,0,MIN(8,BY33)*BY32))),MAX(0,40*MAX(1,BY32)-(BV34+BW34+BX34))))</f>
        <v>456</v>
      </c>
      <c r="BZ34" s="63">
        <f>IF(AND(BZ32=57,BZ33=10),456,MIN(IF(BZ32&lt;=0,0,IF(WEEKDAY(BZ$6,1)=1,0,IF(WEEKDAY(BZ$6,1)=7,0,MIN(8,BZ33)*BZ32))),MAX(0,40*MAX(1,BZ32)-(BV34+BW34+BX34+BY34))))</f>
        <v>456</v>
      </c>
      <c r="CA34" s="64">
        <f>IF(AND(CA32=57,CA33=10),0,MIN(IF(CA32&lt;=0,0,IF(WEEKDAY(CA$6,1)=1,0,IF(WEEKDAY(CA$6,1)=7,0,MIN(8,CA33)*CA32))),MAX(0,40*MAX(1,CA32)-(BV34+BW34+BX34+BY34+BZ34))))</f>
        <v>0</v>
      </c>
      <c r="CB34" s="64">
        <f>IF(AND(CB32=57,CB33=10),0,MIN(IF(CB32&lt;=0,0,IF(WEEKDAY(CB$6,1)=1,0,IF(WEEKDAY(CB$6,1)=7,0,MIN(8,CB33)*CB32))),MAX(0,40*MAX(1,CB32)-(BV34+BW34+BX34+BY34+BZ34+CA34))))</f>
        <v>0</v>
      </c>
      <c r="CC34" s="63">
        <f>IF(AND(CC32=57,CC33=10),456,MIN(IF(CC32&lt;=0,0,IF(WEEKDAY(CC$6,1)=1,0,IF(WEEKDAY(CC$6,1)=7,0,MIN(8,CC33)*CC32))),MAX(0,40*MAX(1,CC32)-(0))))</f>
        <v>456</v>
      </c>
      <c r="CD34" s="63">
        <f>IF(AND(CD32=57,CD33=10),456,MIN(IF(CD32&lt;=0,0,IF(WEEKDAY(CD$6,1)=1,0,IF(WEEKDAY(CD$6,1)=7,0,MIN(8,CD33)*CD32))),MAX(0,40*MAX(1,CD32)-(CC34))))</f>
        <v>456</v>
      </c>
      <c r="CE34" s="63">
        <f>IF(AND(CE32=57,CE33=10),456,MIN(IF(CE32&lt;=0,0,IF(WEEKDAY(CE$6,1)=1,0,IF(WEEKDAY(CE$6,1)=7,0,MIN(8,CE33)*CE32))),MAX(0,40*MAX(1,CE32)-(CC34+CD34))))</f>
        <v>456</v>
      </c>
      <c r="CF34" s="63">
        <f>IF(AND(CF32=57,CF33=10),456,MIN(IF(CF32&lt;=0,0,IF(WEEKDAY(CF$6,1)=1,0,IF(WEEKDAY(CF$6,1)=7,0,MIN(8,CF33)*CF32))),MAX(0,40*MAX(1,CF32)-(CC34+CD34+CE34))))</f>
        <v>456</v>
      </c>
      <c r="CG34" s="63">
        <f>IF(AND(CG32=57,CG33=10),456,MIN(IF(CG32&lt;=0,0,IF(WEEKDAY(CG$6,1)=1,0,IF(WEEKDAY(CG$6,1)=7,0,MIN(8,CG33)*CG32))),MAX(0,40*MAX(1,CG32)-(CC34+CD34+CE34+CF34))))</f>
        <v>456</v>
      </c>
      <c r="CH34" s="64">
        <f>IF(AND(CH32=57,CH33=10),0,MIN(IF(CH32&lt;=0,0,IF(WEEKDAY(CH$6,1)=1,0,IF(WEEKDAY(CH$6,1)=7,0,MIN(8,CH33)*CH32))),MAX(0,40*MAX(1,CH32)-(CC34+CD34+CE34+CF34+CG34))))</f>
        <v>0</v>
      </c>
      <c r="CI34" s="64">
        <f>IF(AND(CI32=57,CI33=10),0,MIN(IF(CI32&lt;=0,0,IF(WEEKDAY(CI$6,1)=1,0,IF(WEEKDAY(CI$6,1)=7,0,MIN(8,CI33)*CI32))),MAX(0,40*MAX(1,CI32)-(CC34+CD34+CE34+CF34+CG34+CH34))))</f>
        <v>0</v>
      </c>
      <c r="CJ34" s="63">
        <f>IF(AND(CJ32=57,CJ33=10),456,MIN(IF(CJ32&lt;=0,0,IF(WEEKDAY(CJ$6,1)=1,0,IF(WEEKDAY(CJ$6,1)=7,0,MIN(8,CJ33)*CJ32))),MAX(0,40*MAX(1,CJ32)-(0))))</f>
        <v>456</v>
      </c>
      <c r="CK34" s="63">
        <f>IF(AND(CK32=57,CK33=10),456,MIN(IF(CK32&lt;=0,0,IF(WEEKDAY(CK$6,1)=1,0,IF(WEEKDAY(CK$6,1)=7,0,MIN(8,CK33)*CK32))),MAX(0,40*MAX(1,CK32)-(CJ34))))</f>
        <v>456</v>
      </c>
      <c r="CL34" s="63">
        <f>IF(AND(CL32=57,CL33=10),456,MIN(IF(CL32&lt;=0,0,IF(WEEKDAY(CL$6,1)=1,0,IF(WEEKDAY(CL$6,1)=7,0,MIN(8,CL33)*CL32))),MAX(0,40*MAX(1,CL32)-(CJ34+CK34))))</f>
        <v>456</v>
      </c>
      <c r="CM34" s="63">
        <f>IF(AND(CM32=57,CM33=10),456,MIN(IF(CM32&lt;=0,0,IF(WEEKDAY(CM$6,1)=1,0,IF(WEEKDAY(CM$6,1)=7,0,MIN(8,CM33)*CM32))),MAX(0,40*MAX(1,CM32)-(CJ34+CK34+CL34))))</f>
        <v>456</v>
      </c>
      <c r="CN34" s="63">
        <f>IF(AND(CN32=57,CN33=10),456,MIN(IF(CN32&lt;=0,0,IF(WEEKDAY(CN$6,1)=1,0,IF(WEEKDAY(CN$6,1)=7,0,MIN(8,CN33)*CN32))),MAX(0,40*MAX(1,CN32)-(CJ34+CK34+CL34+CM34))))</f>
        <v>456</v>
      </c>
      <c r="CO34" s="64">
        <f>IF(AND(CO32=57,CO33=10),0,MIN(IF(CO32&lt;=0,0,IF(WEEKDAY(CO$6,1)=1,0,IF(WEEKDAY(CO$6,1)=7,0,MIN(8,CO33)*CO32))),MAX(0,40*MAX(1,CO32)-(CJ34+CK34+CL34+CM34+CN34))))</f>
        <v>0</v>
      </c>
      <c r="CP34" s="64">
        <f>IF(AND(CP32=57,CP33=10),0,MIN(IF(CP32&lt;=0,0,IF(WEEKDAY(CP$6,1)=1,0,IF(WEEKDAY(CP$6,1)=7,0,MIN(8,CP33)*CP32))),MAX(0,40*MAX(1,CP32)-(CJ34+CK34+CL34+CM34+CN34+CO34))))</f>
        <v>0</v>
      </c>
      <c r="CQ34" s="63">
        <f>IF(AND(CQ32=57,CQ33=10),456,MIN(IF(CQ32&lt;=0,0,IF(WEEKDAY(CQ$6,1)=1,0,IF(WEEKDAY(CQ$6,1)=7,0,MIN(8,CQ33)*CQ32))),MAX(0,40*MAX(1,CQ32)-(0))))</f>
        <v>456</v>
      </c>
      <c r="CR34" s="63">
        <f>IF(AND(CR32=57,CR33=10),456,MIN(IF(CR32&lt;=0,0,IF(WEEKDAY(CR$6,1)=1,0,IF(WEEKDAY(CR$6,1)=7,0,MIN(8,CR33)*CR32))),MAX(0,40*MAX(1,CR32)-(CQ34))))</f>
        <v>456</v>
      </c>
      <c r="CS34" s="63">
        <f>IF(AND(CS32=57,CS33=10),456,MIN(IF(CS32&lt;=0,0,IF(WEEKDAY(CS$6,1)=1,0,IF(WEEKDAY(CS$6,1)=7,0,MIN(8,CS33)*CS32))),MAX(0,40*MAX(1,CS32)-(CQ34+CR34))))</f>
        <v>456</v>
      </c>
      <c r="CT34" s="63">
        <f>IF(AND(CT32=57,CT33=10),456,MIN(IF(CT32&lt;=0,0,IF(WEEKDAY(CT$6,1)=1,0,IF(WEEKDAY(CT$6,1)=7,0,MIN(8,CT33)*CT32))),MAX(0,40*MAX(1,CT32)-(CQ34+CR34+CS34))))</f>
        <v>456</v>
      </c>
      <c r="CU34" s="63">
        <f>IF(AND(CU32=57,CU33=10),456,MIN(IF(CU32&lt;=0,0,IF(WEEKDAY(CU$6,1)=1,0,IF(WEEKDAY(CU$6,1)=7,0,MIN(8,CU33)*CU32))),MAX(0,40*MAX(1,CU32)-(CQ34+CR34+CS34+CT34))))</f>
        <v>456</v>
      </c>
      <c r="CV34" s="64">
        <f>IF(AND(CV32=50,CV33=10),0,MIN(IF(CV32&lt;=0,0,IF(WEEKDAY(CV$6,1)=1,0,IF(WEEKDAY(CV$6,1)=7,0,MIN(8,CV33)*CV32))),MAX(0,40*MAX(1,CV32)-(0))))</f>
        <v>0</v>
      </c>
      <c r="CW34" s="64">
        <f>IF(AND(CW32=50,CW33=10),0,MIN(IF(CW32&lt;=0,0,IF(WEEKDAY(CW$6,1)=1,0,IF(WEEKDAY(CW$6,1)=7,0,MIN(8,CW33)*CW32))),MAX(0,40*MAX(1,CW32)-(0))))</f>
        <v>0</v>
      </c>
      <c r="CX34" s="63">
        <f>IF(AND(CX32=50,CX33=10),400,MIN(IF(CX32&lt;=0,0,IF(WEEKDAY(CX$6,1)=1,0,IF(WEEKDAY(CX$6,1)=7,0,MIN(8,CX33)*CX32))),MAX(0,40*MAX(1,CX32)-(0))))</f>
        <v>400</v>
      </c>
      <c r="CY34" s="63">
        <f>IF(AND(CY32=50,CY33=10),400,MIN(IF(CY32&lt;=0,0,IF(WEEKDAY(CY$6,1)=1,0,IF(WEEKDAY(CY$6,1)=7,0,MIN(8,CY33)*CY32))),MAX(0,40*MAX(1,CY32)-(CX34))))</f>
        <v>400</v>
      </c>
      <c r="CZ34" s="63">
        <f>IF(AND(CZ32=50,CZ33=10),400,MIN(IF(CZ32&lt;=0,0,IF(WEEKDAY(CZ$6,1)=1,0,IF(WEEKDAY(CZ$6,1)=7,0,MIN(8,CZ33)*CZ32))),MAX(0,40*MAX(1,CZ32)-(CX34+CY34))))</f>
        <v>400</v>
      </c>
      <c r="DA34" s="63">
        <f>IF(AND(DA32=50,DA33=10),400,MIN(IF(DA32&lt;=0,0,IF(WEEKDAY(DA$6,1)=1,0,IF(WEEKDAY(DA$6,1)=7,0,MIN(8,DA33)*DA32))),MAX(0,40*MAX(1,DA32)-(CX34+CY34+CZ34))))</f>
        <v>400</v>
      </c>
      <c r="DB34" s="63">
        <f>IF(AND(DB32=50,DB33=10),400,MIN(IF(DB32&lt;=0,0,IF(WEEKDAY(DB$6,1)=1,0,IF(WEEKDAY(DB$6,1)=7,0,MIN(8,DB33)*DB32))),MAX(0,40*MAX(1,DB32)-(CX34+CY34+CZ34+DA34))))</f>
        <v>400</v>
      </c>
      <c r="DC34" s="64">
        <f>IF(AND(DC32=50,DC33=10),0,MIN(IF(DC32&lt;=0,0,IF(WEEKDAY(DC$6,1)=1,0,IF(WEEKDAY(DC$6,1)=7,0,MIN(8,DC33)*DC32))),MAX(0,40*MAX(1,DC32)-(CX34+CY34+CZ34+DA34+DB34))))</f>
        <v>0</v>
      </c>
      <c r="DD34" s="64">
        <f>IF(AND(DD32=10,DD33=10),0,MIN(IF(DD32&lt;=0,0,IF(WEEKDAY(DD$6,1)=1,0,IF(WEEKDAY(DD$6,1)=7,0,MIN(8,DD33)*DD32))),MAX(0,40*MAX(1,DD32)-(0))))</f>
        <v>0</v>
      </c>
      <c r="DE34" s="63">
        <f>IF(AND(DE32=10,DE33=10),80,MIN(IF(DE32&lt;=0,0,IF(WEEKDAY(DE$6,1)=1,0,IF(WEEKDAY(DE$6,1)=7,0,MIN(8,DE33)*DE32))),MAX(0,40*MAX(1,DE32)-(0))))</f>
        <v>80</v>
      </c>
      <c r="DF34" s="63">
        <f>IF(AND(DF32=10,DF33=10),80,MIN(IF(DF32&lt;=0,0,IF(WEEKDAY(DF$6,1)=1,0,IF(WEEKDAY(DF$6,1)=7,0,MIN(8,DF33)*DF32))),MAX(0,40*MAX(1,DF32)-(DE34))))</f>
        <v>80</v>
      </c>
      <c r="DG34" s="63">
        <f>IF(AND(DG32=10,DG33=10),80,MIN(IF(DG32&lt;=0,0,IF(WEEKDAY(DG$6,1)=1,0,IF(WEEKDAY(DG$6,1)=7,0,MIN(8,DG33)*DG32))),MAX(0,40*MAX(1,DG32)-(DE34+DF34))))</f>
        <v>80</v>
      </c>
      <c r="DH34" s="63">
        <f>IF(AND(DH32=10,DH33=10),80,MIN(IF(DH32&lt;=0,0,IF(WEEKDAY(DH$6,1)=1,0,IF(WEEKDAY(DH$6,1)=7,0,MIN(8,DH33)*DH32))),MAX(0,40*MAX(1,DH32)-(DE34+DF34+DG34))))</f>
        <v>80</v>
      </c>
      <c r="DI34" s="63">
        <f>IF(AND(DI32=10,DI33=10),80,MIN(IF(DI32&lt;=0,0,IF(WEEKDAY(DI$6,1)=1,0,IF(WEEKDAY(DI$6,1)=7,0,MIN(8,DI33)*DI32))),MAX(0,40*MAX(1,DI32)-(DE34+DF34+DG34+DH34))))</f>
        <v>80</v>
      </c>
      <c r="DJ34" s="64">
        <f>IF(AND(DJ32=10,DJ33=10),0,MIN(IF(DJ32&lt;=0,0,IF(WEEKDAY(DJ$6,1)=1,0,IF(WEEKDAY(DJ$6,1)=7,0,MIN(8,DJ33)*DJ32))),MAX(0,40*MAX(1,DJ32)-(DE34+DF34+DG34+DH34+DI34))))</f>
        <v>0</v>
      </c>
      <c r="DK34" s="64">
        <f>IF(AND(DK32=10,DK33=10),0,MIN(IF(DK32&lt;=0,0,IF(WEEKDAY(DK$6,1)=1,0,IF(WEEKDAY(DK$6,1)=7,0,MIN(8,DK33)*DK32))),MAX(0,40*MAX(1,DK32)-(DE34+DF34+DG34+DH34+DI34+DJ34))))</f>
        <v>0</v>
      </c>
      <c r="DL34" s="63">
        <f>IF(AND(DL32=6,DL33=10),48,MIN(IF(DL32&lt;=0,0,IF(WEEKDAY(DL$6,1)=1,0,IF(WEEKDAY(DL$6,1)=7,0,MIN(8,DL33)*DL32))),MAX(0,40*MAX(1,DL32)-(0))))</f>
        <v>48</v>
      </c>
      <c r="DM34" s="63">
        <f>IF(AND(DM32=6,DM33=10),48,MIN(IF(DM32&lt;=0,0,IF(WEEKDAY(DM$6,1)=1,0,IF(WEEKDAY(DM$6,1)=7,0,MIN(8,DM33)*DM32))),MAX(0,40*MAX(1,DM32)-(DL34))))</f>
        <v>48</v>
      </c>
      <c r="DN34" s="63">
        <f>IF(AND(DN32=6,DN33=10),48,MIN(IF(DN32&lt;=0,0,IF(WEEKDAY(DN$6,1)=1,0,IF(WEEKDAY(DN$6,1)=7,0,MIN(8,DN33)*DN32))),MAX(0,40*MAX(1,DN32)-(DL34+DM34))))</f>
        <v>48</v>
      </c>
      <c r="DO34" s="63">
        <f>IF(AND(DO32=6,DO33=10),48,MIN(IF(DO32&lt;=0,0,IF(WEEKDAY(DO$6,1)=1,0,IF(WEEKDAY(DO$6,1)=7,0,MIN(8,DO33)*DO32))),MAX(0,40*MAX(1,DO32)-(DL34+DM34+DN34))))</f>
        <v>48</v>
      </c>
      <c r="DP34" s="63">
        <f>IF(AND(DP32=6,DP33=10),48,MIN(IF(DP32&lt;=0,0,IF(WEEKDAY(DP$6,1)=1,0,IF(WEEKDAY(DP$6,1)=7,0,MIN(8,DP33)*DP32))),MAX(0,40*MAX(1,DP32)-(DL34+DM34+DN34+DO34))))</f>
        <v>48</v>
      </c>
      <c r="DQ34" s="64">
        <f>IF(AND(DQ32=6,DQ33=10),0,MIN(IF(DQ32&lt;=0,0,IF(WEEKDAY(DQ$6,1)=1,0,IF(WEEKDAY(DQ$6,1)=7,0,MIN(8,DQ33)*DQ32))),MAX(0,40*MAX(1,DQ32)-(DL34+DM34+DN34+DO34+DP34))))</f>
        <v>0</v>
      </c>
      <c r="DR34" s="64">
        <f>IF(AND(DR32=6,DR33=10),0,MIN(IF(DR32&lt;=0,0,IF(WEEKDAY(DR$6,1)=1,0,IF(WEEKDAY(DR$6,1)=7,0,MIN(8,DR33)*DR32))),MAX(0,40*MAX(1,DR32)-(DL34+DM34+DN34+DO34+DP34+DQ34))))</f>
        <v>0</v>
      </c>
      <c r="DS34" s="63">
        <f>IF(AND(DS32=6,DS33=10),48,MIN(IF(DS32&lt;=0,0,IF(WEEKDAY(DS$6,1)=1,0,IF(WEEKDAY(DS$6,1)=7,0,MIN(8,DS33)*DS32))),MAX(0,40*MAX(1,DS32)-(0))))</f>
        <v>48</v>
      </c>
      <c r="DT34" s="63">
        <f>IF(AND(DT32=0,DT33=0),0,MIN(IF(DT32&lt;=0,0,IF(WEEKDAY(DT$6,1)=1,0,IF(WEEKDAY(DT$6,1)=7,0,MIN(8,DT33)*DT32))),MAX(0,40*MAX(1,DT32)-(0))))</f>
        <v>0</v>
      </c>
      <c r="DU34" s="63">
        <f>IF(AND(DU32=0,DU33=0),0,MIN(IF(DU32&lt;=0,0,IF(WEEKDAY(DU$6,1)=1,0,IF(WEEKDAY(DU$6,1)=7,0,MIN(8,DU33)*DU32))),MAX(0,40*MAX(1,DU32)-(DT34))))</f>
        <v>0</v>
      </c>
      <c r="DV34" s="63">
        <f>IF(AND(DV32=0,DV33=0),0,MIN(IF(DV32&lt;=0,0,IF(WEEKDAY(DV$6,1)=1,0,IF(WEEKDAY(DV$6,1)=7,0,MIN(8,DV33)*DV32))),MAX(0,40*MAX(1,DV32)-(DT34+DU34))))</f>
        <v>0</v>
      </c>
      <c r="DW34" s="63">
        <f>IF(AND(DW32=0,DW33=0),0,MIN(IF(DW32&lt;=0,0,IF(WEEKDAY(DW$6,1)=1,0,IF(WEEKDAY(DW$6,1)=7,0,MIN(8,DW33)*DW32))),MAX(0,40*MAX(1,DW32)-(DT34+DU34+DV34))))</f>
        <v>0</v>
      </c>
      <c r="DX34" s="64">
        <f>IF(AND(DX32=0,DX33=0),0,MIN(IF(DX32&lt;=0,0,IF(WEEKDAY(DX$6,1)=1,0,IF(WEEKDAY(DX$6,1)=7,0,MIN(8,DX33)*DX32))),MAX(0,40*MAX(1,DX32)-(DT34+DU34+DV34+DW34))))</f>
        <v>0</v>
      </c>
      <c r="DY34" s="64">
        <f>IF(AND(DY32=0,DY33=0),0,MIN(IF(DY32&lt;=0,0,IF(WEEKDAY(DY$6,1)=1,0,IF(WEEKDAY(DY$6,1)=7,0,MIN(8,DY33)*DY32))),MAX(0,40*MAX(1,DY32)-(DT34+DU34+DV34+DW34+DX34))))</f>
        <v>0</v>
      </c>
      <c r="DZ34" s="63">
        <f>IF(AND(DZ32=0,DZ33=0),0,MIN(IF(DZ32&lt;=0,0,IF(WEEKDAY(DZ$6,1)=1,0,IF(WEEKDAY(DZ$6,1)=7,0,MIN(8,DZ33)*DZ32))),MAX(0,40*MAX(1,DZ32)-(0))))</f>
        <v>0</v>
      </c>
      <c r="EA34" s="63">
        <f>IF(AND(EA32=0,EA33=0),0,MIN(IF(EA32&lt;=0,0,IF(WEEKDAY(EA$6,1)=1,0,IF(WEEKDAY(EA$6,1)=7,0,MIN(8,EA33)*EA32))),MAX(0,40*MAX(1,EA32)-(DZ34))))</f>
        <v>0</v>
      </c>
      <c r="EB34" s="63">
        <f>IF(AND(EB32=0,EB33=0),0,MIN(IF(EB32&lt;=0,0,IF(WEEKDAY(EB$6,1)=1,0,IF(WEEKDAY(EB$6,1)=7,0,MIN(8,EB33)*EB32))),MAX(0,40*MAX(1,EB32)-(DZ34+EA34))))</f>
        <v>0</v>
      </c>
      <c r="EC34" s="63">
        <f>IF(AND(EC32=0,EC33=0),0,MIN(IF(EC32&lt;=0,0,IF(WEEKDAY(EC$6,1)=1,0,IF(WEEKDAY(EC$6,1)=7,0,MIN(8,EC33)*EC32))),MAX(0,40*MAX(1,EC32)-(DZ34+EA34+EB34))))</f>
        <v>0</v>
      </c>
      <c r="ED34" s="63">
        <f>IF(AND(ED32=0,ED33=0),0,MIN(IF(ED32&lt;=0,0,IF(WEEKDAY(ED$6,1)=1,0,IF(WEEKDAY(ED$6,1)=7,0,MIN(8,ED33)*ED32))),MAX(0,40*MAX(1,ED32)-(DZ34+EA34+EB34+EC34))))</f>
        <v>0</v>
      </c>
      <c r="EE34" s="64">
        <f>IF(AND(EE32=0,EE33=0),0,MIN(IF(EE32&lt;=0,0,IF(WEEKDAY(EE$6,1)=1,0,IF(WEEKDAY(EE$6,1)=7,0,MIN(8,EE33)*EE32))),MAX(0,40*MAX(1,EE32)-(DZ34+EA34+EB34+EC34+ED34))))</f>
        <v>0</v>
      </c>
      <c r="EF34" s="64">
        <f>IF(AND(EF32=0,EF33=0),0,MIN(IF(EF32&lt;=0,0,IF(WEEKDAY(EF$6,1)=1,0,IF(WEEKDAY(EF$6,1)=7,0,MIN(8,EF33)*EF32))),MAX(0,40*MAX(1,EF32)-(DZ34+EA34+EB34+EC34+ED34+EE34))))</f>
        <v>0</v>
      </c>
      <c r="EG34" s="63">
        <f>IF(AND(EG32=0,EG33=0),0,MIN(IF(EG32&lt;=0,0,IF(WEEKDAY(EG$6,1)=1,0,IF(WEEKDAY(EG$6,1)=7,0,MIN(8,EG33)*EG32))),MAX(0,40*MAX(1,EG32)-(0))))</f>
        <v>0</v>
      </c>
      <c r="EH34" s="63">
        <f>IF(AND(EH32=0,EH33=0),0,MIN(IF(EH32&lt;=0,0,IF(WEEKDAY(EH$6,1)=1,0,IF(WEEKDAY(EH$6,1)=7,0,MIN(8,EH33)*EH32))),MAX(0,40*MAX(1,EH32)-(EG34))))</f>
        <v>0</v>
      </c>
      <c r="EI34" s="63">
        <f>IF(AND(EI32=0,EI33=0),0,MIN(IF(EI32&lt;=0,0,IF(WEEKDAY(EI$6,1)=1,0,IF(WEEKDAY(EI$6,1)=7,0,MIN(8,EI33)*EI32))),MAX(0,40*MAX(1,EI32)-(EG34+EH34))))</f>
        <v>0</v>
      </c>
      <c r="EJ34" s="63">
        <f>IF(AND(EJ32=0,EJ33=0),0,MIN(IF(EJ32&lt;=0,0,IF(WEEKDAY(EJ$6,1)=1,0,IF(WEEKDAY(EJ$6,1)=7,0,MIN(8,EJ33)*EJ32))),MAX(0,40*MAX(1,EJ32)-(EG34+EH34+EI34))))</f>
        <v>0</v>
      </c>
      <c r="EK34" s="65">
        <f>IF(AND(EK32=0,EK33=0),0,MIN(IF(EK32&lt;=0,0,IF(WEEKDAY(EK$6,1)=1,0,IF(WEEKDAY(EK$6,1)=7,0,MIN(8,EK33)*EK32))),MAX(0,40*MAX(1,EK32)-(EG34+EH34+EI34+EJ34))))</f>
        <v>0</v>
      </c>
      <c r="OU34" s="28" t="s">
        <v>116</v>
      </c>
    </row>
    <row r="35" ht="16" customHeight="1" spans="1:411" x14ac:dyDescent="0.25">
      <c r="A35" s="74"/>
      <c r="B35" s="46"/>
      <c r="C35" s="66">
        <f>G31*N(D35)</f>
        <v>1020203.64</v>
      </c>
      <c r="D35" s="66">
        <f>IF(TRIM(B31)="","No rate",IFERROR(INDEX('Rate Tables'!D$7:D$158,MATCH(B31,'Rate Tables'!A$7:A$158,0)),"No rate"))</f>
        <v>138.69</v>
      </c>
      <c r="E35" s="55" t="s">
        <v>63</v>
      </c>
      <c r="F35" s="49"/>
      <c r="G35" s="49"/>
      <c r="H35" s="49"/>
      <c r="I35" s="49"/>
      <c r="J35" s="50"/>
      <c r="K35" s="62">
        <f>IF(AND(K32=0,K33=0),0,IF(K32&lt;=0,0,IF(WEEKDAY(K$6,1)=1,0,IF(WEEKDAY(K$6,1)=7,K32*K33,MAX(0,K33-8)*K32)))+((IF(K32&lt;=0,0,IF(WEEKDAY(K$6,1)=1,0,IF(WEEKDAY(K$6,1)=7,0,MIN(8,K33)*K32))))-MIN(IF(K32&lt;=0,0,IF(WEEKDAY(K$6,1)=1,0,IF(WEEKDAY(K$6,1)=7,0,MIN(8,K33)*K32))),MAX(0,40*MAX(1,K32)-(0)))))</f>
        <v>0</v>
      </c>
      <c r="L35" s="63">
        <f>IF(AND(L32=0,L33=0),0,IF(L32&lt;=0,0,IF(WEEKDAY(L$6,1)=1,0,IF(WEEKDAY(L$6,1)=7,L32*L33,MAX(0,L33-8)*L32)))+((IF(L32&lt;=0,0,IF(WEEKDAY(L$6,1)=1,0,IF(WEEKDAY(L$6,1)=7,0,MIN(8,L33)*L32))))-MIN(IF(L32&lt;=0,0,IF(WEEKDAY(L$6,1)=1,0,IF(WEEKDAY(L$6,1)=7,0,MIN(8,L33)*L32))),MAX(0,40*MAX(1,L32)-(K34)))))</f>
        <v>0</v>
      </c>
      <c r="M35" s="63">
        <f>IF(AND(M32=0,M33=0),0,IF(M32&lt;=0,0,IF(WEEKDAY(M$6,1)=1,0,IF(WEEKDAY(M$6,1)=7,M32*M33,MAX(0,M33-8)*M32)))+((IF(M32&lt;=0,0,IF(WEEKDAY(M$6,1)=1,0,IF(WEEKDAY(M$6,1)=7,0,MIN(8,M33)*M32))))-MIN(IF(M32&lt;=0,0,IF(WEEKDAY(M$6,1)=1,0,IF(WEEKDAY(M$6,1)=7,0,MIN(8,M33)*M32))),MAX(0,40*MAX(1,M32)-(K34+L34)))))</f>
        <v>0</v>
      </c>
      <c r="N35" s="63">
        <f>IF(AND(N32=0,N33=0),0,IF(N32&lt;=0,0,IF(WEEKDAY(N$6,1)=1,0,IF(WEEKDAY(N$6,1)=7,N32*N33,MAX(0,N33-8)*N32)))+((IF(N32&lt;=0,0,IF(WEEKDAY(N$6,1)=1,0,IF(WEEKDAY(N$6,1)=7,0,MIN(8,N33)*N32))))-MIN(IF(N32&lt;=0,0,IF(WEEKDAY(N$6,1)=1,0,IF(WEEKDAY(N$6,1)=7,0,MIN(8,N33)*N32))),MAX(0,40*MAX(1,N32)-(K34+L34+M34)))))</f>
        <v>0</v>
      </c>
      <c r="O35" s="63">
        <f>IF(AND(O32=0,O33=0),0,IF(O32&lt;=0,0,IF(WEEKDAY(O$6,1)=1,0,IF(WEEKDAY(O$6,1)=7,O32*O33,MAX(0,O33-8)*O32)))+((IF(O32&lt;=0,0,IF(WEEKDAY(O$6,1)=1,0,IF(WEEKDAY(O$6,1)=7,0,MIN(8,O33)*O32))))-MIN(IF(O32&lt;=0,0,IF(WEEKDAY(O$6,1)=1,0,IF(WEEKDAY(O$6,1)=7,0,MIN(8,O33)*O32))),MAX(0,40*MAX(1,O32)-(K34+L34+M34+N34)))))</f>
        <v>0</v>
      </c>
      <c r="P35" s="64">
        <f>IF(AND(P32=0,P33=0),0,IF(P32&lt;=0,0,IF(WEEKDAY(P$6,1)=1,0,IF(WEEKDAY(P$6,1)=7,P32*P33,MAX(0,P33-8)*P32)))+((IF(P32&lt;=0,0,IF(WEEKDAY(P$6,1)=1,0,IF(WEEKDAY(P$6,1)=7,0,MIN(8,P33)*P32))))-MIN(IF(P32&lt;=0,0,IF(WEEKDAY(P$6,1)=1,0,IF(WEEKDAY(P$6,1)=7,0,MIN(8,P33)*P32))),MAX(0,40*MAX(1,P32)-(K34+L34+M34+N34+O34)))))</f>
        <v>0</v>
      </c>
      <c r="Q35" s="64">
        <f>IF(AND(Q32=0,Q33=0),0,IF(Q32&lt;=0,0,IF(WEEKDAY(Q$6,1)=1,0,IF(WEEKDAY(Q$6,1)=7,Q32*Q33,MAX(0,Q33-8)*Q32)))+((IF(Q32&lt;=0,0,IF(WEEKDAY(Q$6,1)=1,0,IF(WEEKDAY(Q$6,1)=7,0,MIN(8,Q33)*Q32))))-MIN(IF(Q32&lt;=0,0,IF(WEEKDAY(Q$6,1)=1,0,IF(WEEKDAY(Q$6,1)=7,0,MIN(8,Q33)*Q32))),MAX(0,40*MAX(1,Q32)-(K34+L34+M34+N34+O34+P34)))))</f>
        <v>0</v>
      </c>
      <c r="R35" s="63">
        <f>IF(AND(R32=0,R33=0),0,IF(R32&lt;=0,0,IF(WEEKDAY(R$6,1)=1,0,IF(WEEKDAY(R$6,1)=7,R32*R33,MAX(0,R33-8)*R32)))+((IF(R32&lt;=0,0,IF(WEEKDAY(R$6,1)=1,0,IF(WEEKDAY(R$6,1)=7,0,MIN(8,R33)*R32))))-MIN(IF(R32&lt;=0,0,IF(WEEKDAY(R$6,1)=1,0,IF(WEEKDAY(R$6,1)=7,0,MIN(8,R33)*R32))),MAX(0,40*MAX(1,R32)-(0)))))</f>
        <v>0</v>
      </c>
      <c r="S35" s="63">
        <f>IF(AND(S32=0,S33=0),0,IF(S32&lt;=0,0,IF(WEEKDAY(S$6,1)=1,0,IF(WEEKDAY(S$6,1)=7,S32*S33,MAX(0,S33-8)*S32)))+((IF(S32&lt;=0,0,IF(WEEKDAY(S$6,1)=1,0,IF(WEEKDAY(S$6,1)=7,0,MIN(8,S33)*S32))))-MIN(IF(S32&lt;=0,0,IF(WEEKDAY(S$6,1)=1,0,IF(WEEKDAY(S$6,1)=7,0,MIN(8,S33)*S32))),MAX(0,40*MAX(1,S32)-(R34)))))</f>
        <v>0</v>
      </c>
      <c r="T35" s="63">
        <f>IF(AND(T32=0,T33=0),0,IF(T32&lt;=0,0,IF(WEEKDAY(T$6,1)=1,0,IF(WEEKDAY(T$6,1)=7,T32*T33,MAX(0,T33-8)*T32)))+((IF(T32&lt;=0,0,IF(WEEKDAY(T$6,1)=1,0,IF(WEEKDAY(T$6,1)=7,0,MIN(8,T33)*T32))))-MIN(IF(T32&lt;=0,0,IF(WEEKDAY(T$6,1)=1,0,IF(WEEKDAY(T$6,1)=7,0,MIN(8,T33)*T32))),MAX(0,40*MAX(1,T32)-(R34+S34)))))</f>
        <v>0</v>
      </c>
      <c r="U35" s="63">
        <f>IF(AND(U32=0,U33=0),0,IF(U32&lt;=0,0,IF(WEEKDAY(U$6,1)=1,0,IF(WEEKDAY(U$6,1)=7,U32*U33,MAX(0,U33-8)*U32)))+((IF(U32&lt;=0,0,IF(WEEKDAY(U$6,1)=1,0,IF(WEEKDAY(U$6,1)=7,0,MIN(8,U33)*U32))))-MIN(IF(U32&lt;=0,0,IF(WEEKDAY(U$6,1)=1,0,IF(WEEKDAY(U$6,1)=7,0,MIN(8,U33)*U32))),MAX(0,40*MAX(1,U32)-(R34+S34+T34)))))</f>
        <v>0</v>
      </c>
      <c r="V35" s="63">
        <f>IF(AND(V32=0,V33=0),0,IF(V32&lt;=0,0,IF(WEEKDAY(V$6,1)=1,0,IF(WEEKDAY(V$6,1)=7,V32*V33,MAX(0,V33-8)*V32)))+((IF(V32&lt;=0,0,IF(WEEKDAY(V$6,1)=1,0,IF(WEEKDAY(V$6,1)=7,0,MIN(8,V33)*V32))))-MIN(IF(V32&lt;=0,0,IF(WEEKDAY(V$6,1)=1,0,IF(WEEKDAY(V$6,1)=7,0,MIN(8,V33)*V32))),MAX(0,40*MAX(1,V32)-(R34+S34+T34+U34)))))</f>
        <v>0</v>
      </c>
      <c r="W35" s="64">
        <f>IF(AND(W32=0,W33=0),0,IF(W32&lt;=0,0,IF(WEEKDAY(W$6,1)=1,0,IF(WEEKDAY(W$6,1)=7,W32*W33,MAX(0,W33-8)*W32)))+((IF(W32&lt;=0,0,IF(WEEKDAY(W$6,1)=1,0,IF(WEEKDAY(W$6,1)=7,0,MIN(8,W33)*W32))))-MIN(IF(W32&lt;=0,0,IF(WEEKDAY(W$6,1)=1,0,IF(WEEKDAY(W$6,1)=7,0,MIN(8,W33)*W32))),MAX(0,40*MAX(1,W32)-(R34+S34+T34+U34+V34)))))</f>
        <v>0</v>
      </c>
      <c r="X35" s="64">
        <f>IF(AND(X32=0,X33=0),0,IF(X32&lt;=0,0,IF(WEEKDAY(X$6,1)=1,0,IF(WEEKDAY(X$6,1)=7,X32*X33,MAX(0,X33-8)*X32)))+((IF(X32&lt;=0,0,IF(WEEKDAY(X$6,1)=1,0,IF(WEEKDAY(X$6,1)=7,0,MIN(8,X33)*X32))))-MIN(IF(X32&lt;=0,0,IF(WEEKDAY(X$6,1)=1,0,IF(WEEKDAY(X$6,1)=7,0,MIN(8,X33)*X32))),MAX(0,40*MAX(1,X32)-(R34+S34+T34+U34+V34+W34)))))</f>
        <v>0</v>
      </c>
      <c r="Y35" s="63">
        <f>IF(AND(Y32=0,Y33=0),0,IF(Y32&lt;=0,0,IF(WEEKDAY(Y$6,1)=1,0,IF(WEEKDAY(Y$6,1)=7,Y32*Y33,MAX(0,Y33-8)*Y32)))+((IF(Y32&lt;=0,0,IF(WEEKDAY(Y$6,1)=1,0,IF(WEEKDAY(Y$6,1)=7,0,MIN(8,Y33)*Y32))))-MIN(IF(Y32&lt;=0,0,IF(WEEKDAY(Y$6,1)=1,0,IF(WEEKDAY(Y$6,1)=7,0,MIN(8,Y33)*Y32))),MAX(0,40*MAX(1,Y32)-(0)))))</f>
        <v>0</v>
      </c>
      <c r="Z35" s="63">
        <f>IF(AND(Z32=0,Z33=0),0,IF(Z32&lt;=0,0,IF(WEEKDAY(Z$6,1)=1,0,IF(WEEKDAY(Z$6,1)=7,Z32*Z33,MAX(0,Z33-8)*Z32)))+((IF(Z32&lt;=0,0,IF(WEEKDAY(Z$6,1)=1,0,IF(WEEKDAY(Z$6,1)=7,0,MIN(8,Z33)*Z32))))-MIN(IF(Z32&lt;=0,0,IF(WEEKDAY(Z$6,1)=1,0,IF(WEEKDAY(Z$6,1)=7,0,MIN(8,Z33)*Z32))),MAX(0,40*MAX(1,Z32)-(Y34)))))</f>
        <v>0</v>
      </c>
      <c r="AA35" s="63">
        <f>IF(AND(AA32=0,AA33=0),0,IF(AA32&lt;=0,0,IF(WEEKDAY(AA$6,1)=1,0,IF(WEEKDAY(AA$6,1)=7,AA32*AA33,MAX(0,AA33-8)*AA32)))+((IF(AA32&lt;=0,0,IF(WEEKDAY(AA$6,1)=1,0,IF(WEEKDAY(AA$6,1)=7,0,MIN(8,AA33)*AA32))))-MIN(IF(AA32&lt;=0,0,IF(WEEKDAY(AA$6,1)=1,0,IF(WEEKDAY(AA$6,1)=7,0,MIN(8,AA33)*AA32))),MAX(0,40*MAX(1,AA32)-(Y34+Z34)))))</f>
        <v>0</v>
      </c>
      <c r="AB35" s="63">
        <f>IF(AND(AB32=0,AB33=0),0,IF(AB32&lt;=0,0,IF(WEEKDAY(AB$6,1)=1,0,IF(WEEKDAY(AB$6,1)=7,AB32*AB33,MAX(0,AB33-8)*AB32)))+((IF(AB32&lt;=0,0,IF(WEEKDAY(AB$6,1)=1,0,IF(WEEKDAY(AB$6,1)=7,0,MIN(8,AB33)*AB32))))-MIN(IF(AB32&lt;=0,0,IF(WEEKDAY(AB$6,1)=1,0,IF(WEEKDAY(AB$6,1)=7,0,MIN(8,AB33)*AB32))),MAX(0,40*MAX(1,AB32)-(Y34+Z34+AA34)))))</f>
        <v>0</v>
      </c>
      <c r="AC35" s="63">
        <f>IF(AND(AC32=0,AC33=0),0,IF(AC32&lt;=0,0,IF(WEEKDAY(AC$6,1)=1,0,IF(WEEKDAY(AC$6,1)=7,AC32*AC33,MAX(0,AC33-8)*AC32)))+((IF(AC32&lt;=0,0,IF(WEEKDAY(AC$6,1)=1,0,IF(WEEKDAY(AC$6,1)=7,0,MIN(8,AC33)*AC32))))-MIN(IF(AC32&lt;=0,0,IF(WEEKDAY(AC$6,1)=1,0,IF(WEEKDAY(AC$6,1)=7,0,MIN(8,AC33)*AC32))),MAX(0,40*MAX(1,AC32)-(Y34+Z34+AA34+AB34)))))</f>
        <v>0</v>
      </c>
      <c r="AD35" s="64">
        <f>IF(AND(AD32=0,AD33=0),0,IF(AD32&lt;=0,0,IF(WEEKDAY(AD$6,1)=1,0,IF(WEEKDAY(AD$6,1)=7,AD32*AD33,MAX(0,AD33-8)*AD32)))+((IF(AD32&lt;=0,0,IF(WEEKDAY(AD$6,1)=1,0,IF(WEEKDAY(AD$6,1)=7,0,MIN(8,AD33)*AD32))))-MIN(IF(AD32&lt;=0,0,IF(WEEKDAY(AD$6,1)=1,0,IF(WEEKDAY(AD$6,1)=7,0,MIN(8,AD33)*AD32))),MAX(0,40*MAX(1,AD32)-(Y34+Z34+AA34+AB34+AC34)))))</f>
        <v>0</v>
      </c>
      <c r="AE35" s="64">
        <f>IF(AND(AE32=0,AE33=0),0,IF(AE32&lt;=0,0,IF(WEEKDAY(AE$6,1)=1,0,IF(WEEKDAY(AE$6,1)=7,AE32*AE33,MAX(0,AE33-8)*AE32)))+((IF(AE32&lt;=0,0,IF(WEEKDAY(AE$6,1)=1,0,IF(WEEKDAY(AE$6,1)=7,0,MIN(8,AE33)*AE32))))-MIN(IF(AE32&lt;=0,0,IF(WEEKDAY(AE$6,1)=1,0,IF(WEEKDAY(AE$6,1)=7,0,MIN(8,AE33)*AE32))),MAX(0,40*MAX(1,AE32)-(Y34+Z34+AA34+AB34+AC34+AD34)))))</f>
        <v>0</v>
      </c>
      <c r="AF35" s="63">
        <f>IF(AND(AF32=0,AF33=0),0,IF(AF32&lt;=0,0,IF(WEEKDAY(AF$6,1)=1,0,IF(WEEKDAY(AF$6,1)=7,AF32*AF33,MAX(0,AF33-8)*AF32)))+((IF(AF32&lt;=0,0,IF(WEEKDAY(AF$6,1)=1,0,IF(WEEKDAY(AF$6,1)=7,0,MIN(8,AF33)*AF32))))-MIN(IF(AF32&lt;=0,0,IF(WEEKDAY(AF$6,1)=1,0,IF(WEEKDAY(AF$6,1)=7,0,MIN(8,AF33)*AF32))),MAX(0,40*MAX(1,AF32)-(0)))))</f>
        <v>0</v>
      </c>
      <c r="AG35" s="63">
        <f>IF(AND(AG32=0,AG33=0),0,IF(AG32&lt;=0,0,IF(WEEKDAY(AG$6,1)=1,0,IF(WEEKDAY(AG$6,1)=7,AG32*AG33,MAX(0,AG33-8)*AG32)))+((IF(AG32&lt;=0,0,IF(WEEKDAY(AG$6,1)=1,0,IF(WEEKDAY(AG$6,1)=7,0,MIN(8,AG33)*AG32))))-MIN(IF(AG32&lt;=0,0,IF(WEEKDAY(AG$6,1)=1,0,IF(WEEKDAY(AG$6,1)=7,0,MIN(8,AG33)*AG32))),MAX(0,40*MAX(1,AG32)-(AF34)))))</f>
        <v>0</v>
      </c>
      <c r="AH35" s="63">
        <f>IF(AND(AH32=0,AH33=0),0,IF(AH32&lt;=0,0,IF(WEEKDAY(AH$6,1)=1,0,IF(WEEKDAY(AH$6,1)=7,AH32*AH33,MAX(0,AH33-8)*AH32)))+((IF(AH32&lt;=0,0,IF(WEEKDAY(AH$6,1)=1,0,IF(WEEKDAY(AH$6,1)=7,0,MIN(8,AH33)*AH32))))-MIN(IF(AH32&lt;=0,0,IF(WEEKDAY(AH$6,1)=1,0,IF(WEEKDAY(AH$6,1)=7,0,MIN(8,AH33)*AH32))),MAX(0,40*MAX(1,AH32)-(AF34+AG34)))))</f>
        <v>0</v>
      </c>
      <c r="AI35" s="63">
        <f>IF(AND(AI32=0,AI33=0),0,IF(AI32&lt;=0,0,IF(WEEKDAY(AI$6,1)=1,0,IF(WEEKDAY(AI$6,1)=7,AI32*AI33,MAX(0,AI33-8)*AI32)))+((IF(AI32&lt;=0,0,IF(WEEKDAY(AI$6,1)=1,0,IF(WEEKDAY(AI$6,1)=7,0,MIN(8,AI33)*AI32))))-MIN(IF(AI32&lt;=0,0,IF(WEEKDAY(AI$6,1)=1,0,IF(WEEKDAY(AI$6,1)=7,0,MIN(8,AI33)*AI32))),MAX(0,40*MAX(1,AI32)-(AF34+AG34+AH34)))))</f>
        <v>0</v>
      </c>
      <c r="AJ35" s="63">
        <f>IF(AND(AJ32=0,AJ33=0),0,IF(AJ32&lt;=0,0,IF(WEEKDAY(AJ$6,1)=1,0,IF(WEEKDAY(AJ$6,1)=7,AJ32*AJ33,MAX(0,AJ33-8)*AJ32)))+((IF(AJ32&lt;=0,0,IF(WEEKDAY(AJ$6,1)=1,0,IF(WEEKDAY(AJ$6,1)=7,0,MIN(8,AJ33)*AJ32))))-MIN(IF(AJ32&lt;=0,0,IF(WEEKDAY(AJ$6,1)=1,0,IF(WEEKDAY(AJ$6,1)=7,0,MIN(8,AJ33)*AJ32))),MAX(0,40*MAX(1,AJ32)-(AF34+AG34+AH34+AI34)))))</f>
        <v>0</v>
      </c>
      <c r="AK35" s="64">
        <f>IF(AND(AK32=0,AK33=0),0,IF(AK32&lt;=0,0,IF(WEEKDAY(AK$6,1)=1,0,IF(WEEKDAY(AK$6,1)=7,AK32*AK33,MAX(0,AK33-8)*AK32)))+((IF(AK32&lt;=0,0,IF(WEEKDAY(AK$6,1)=1,0,IF(WEEKDAY(AK$6,1)=7,0,MIN(8,AK33)*AK32))))-MIN(IF(AK32&lt;=0,0,IF(WEEKDAY(AK$6,1)=1,0,IF(WEEKDAY(AK$6,1)=7,0,MIN(8,AK33)*AK32))),MAX(0,40*MAX(1,AK32)-(AF34+AG34+AH34+AI34+AJ34)))))</f>
        <v>0</v>
      </c>
      <c r="AL35" s="64">
        <f>IF(AND(AL32=0,AL33=0),0,IF(AL32&lt;=0,0,IF(WEEKDAY(AL$6,1)=1,0,IF(WEEKDAY(AL$6,1)=7,AL32*AL33,MAX(0,AL33-8)*AL32)))+((IF(AL32&lt;=0,0,IF(WEEKDAY(AL$6,1)=1,0,IF(WEEKDAY(AL$6,1)=7,0,MIN(8,AL33)*AL32))))-MIN(IF(AL32&lt;=0,0,IF(WEEKDAY(AL$6,1)=1,0,IF(WEEKDAY(AL$6,1)=7,0,MIN(8,AL33)*AL32))),MAX(0,40*MAX(1,AL32)-(AF34+AG34+AH34+AI34+AJ34+AK34)))))</f>
        <v>0</v>
      </c>
      <c r="AM35" s="63">
        <f>IF(AND(AM32=0,AM33=0),0,IF(AM32&lt;=0,0,IF(WEEKDAY(AM$6,1)=1,0,IF(WEEKDAY(AM$6,1)=7,AM32*AM33,MAX(0,AM33-8)*AM32)))+((IF(AM32&lt;=0,0,IF(WEEKDAY(AM$6,1)=1,0,IF(WEEKDAY(AM$6,1)=7,0,MIN(8,AM33)*AM32))))-MIN(IF(AM32&lt;=0,0,IF(WEEKDAY(AM$6,1)=1,0,IF(WEEKDAY(AM$6,1)=7,0,MIN(8,AM33)*AM32))),MAX(0,40*MAX(1,AM32)-(0)))))</f>
        <v>0</v>
      </c>
      <c r="AN35" s="63">
        <f>IF(AND(AN32=0,AN33=0),0,IF(AN32&lt;=0,0,IF(WEEKDAY(AN$6,1)=1,0,IF(WEEKDAY(AN$6,1)=7,AN32*AN33,MAX(0,AN33-8)*AN32)))+((IF(AN32&lt;=0,0,IF(WEEKDAY(AN$6,1)=1,0,IF(WEEKDAY(AN$6,1)=7,0,MIN(8,AN33)*AN32))))-MIN(IF(AN32&lt;=0,0,IF(WEEKDAY(AN$6,1)=1,0,IF(WEEKDAY(AN$6,1)=7,0,MIN(8,AN33)*AN32))),MAX(0,40*MAX(1,AN32)-(AM34)))))</f>
        <v>0</v>
      </c>
      <c r="AO35" s="63">
        <f>IF(AND(AO32=0,AO33=0),0,IF(AO32&lt;=0,0,IF(WEEKDAY(AO$6,1)=1,0,IF(WEEKDAY(AO$6,1)=7,AO32*AO33,MAX(0,AO33-8)*AO32)))+((IF(AO32&lt;=0,0,IF(WEEKDAY(AO$6,1)=1,0,IF(WEEKDAY(AO$6,1)=7,0,MIN(8,AO33)*AO32))))-MIN(IF(AO32&lt;=0,0,IF(WEEKDAY(AO$6,1)=1,0,IF(WEEKDAY(AO$6,1)=7,0,MIN(8,AO33)*AO32))),MAX(0,40*MAX(1,AO32)-(AM34+AN34)))))</f>
        <v>0</v>
      </c>
      <c r="AP35" s="63">
        <f>IF(AND(AP32=0,AP33=0),0,IF(AP32&lt;=0,0,IF(WEEKDAY(AP$6,1)=1,0,IF(WEEKDAY(AP$6,1)=7,AP32*AP33,MAX(0,AP33-8)*AP32)))+((IF(AP32&lt;=0,0,IF(WEEKDAY(AP$6,1)=1,0,IF(WEEKDAY(AP$6,1)=7,0,MIN(8,AP33)*AP32))))-MIN(IF(AP32&lt;=0,0,IF(WEEKDAY(AP$6,1)=1,0,IF(WEEKDAY(AP$6,1)=7,0,MIN(8,AP33)*AP32))),MAX(0,40*MAX(1,AP32)-(AM34+AN34+AO34)))))</f>
        <v>0</v>
      </c>
      <c r="AQ35" s="63">
        <f>IF(AND(AQ32=0,AQ33=0),0,IF(AQ32&lt;=0,0,IF(WEEKDAY(AQ$6,1)=1,0,IF(WEEKDAY(AQ$6,1)=7,AQ32*AQ33,MAX(0,AQ33-8)*AQ32)))+((IF(AQ32&lt;=0,0,IF(WEEKDAY(AQ$6,1)=1,0,IF(WEEKDAY(AQ$6,1)=7,0,MIN(8,AQ33)*AQ32))))-MIN(IF(AQ32&lt;=0,0,IF(WEEKDAY(AQ$6,1)=1,0,IF(WEEKDAY(AQ$6,1)=7,0,MIN(8,AQ33)*AQ32))),MAX(0,40*MAX(1,AQ32)-(AM34+AN34+AO34+AP34)))))</f>
        <v>0</v>
      </c>
      <c r="AR35" s="64">
        <f>IF(AND(AR32=0,AR33=0),0,IF(AR32&lt;=0,0,IF(WEEKDAY(AR$6,1)=1,0,IF(WEEKDAY(AR$6,1)=7,AR32*AR33,MAX(0,AR33-8)*AR32)))+((IF(AR32&lt;=0,0,IF(WEEKDAY(AR$6,1)=1,0,IF(WEEKDAY(AR$6,1)=7,0,MIN(8,AR33)*AR32))))-MIN(IF(AR32&lt;=0,0,IF(WEEKDAY(AR$6,1)=1,0,IF(WEEKDAY(AR$6,1)=7,0,MIN(8,AR33)*AR32))),MAX(0,40*MAX(1,AR32)-(AM34+AN34+AO34+AP34+AQ34)))))</f>
        <v>0</v>
      </c>
      <c r="AS35" s="64">
        <f>IF(AND(AS32=0,AS33=0),0,IF(AS32&lt;=0,0,IF(WEEKDAY(AS$6,1)=1,0,IF(WEEKDAY(AS$6,1)=7,AS32*AS33,MAX(0,AS33-8)*AS32)))+((IF(AS32&lt;=0,0,IF(WEEKDAY(AS$6,1)=1,0,IF(WEEKDAY(AS$6,1)=7,0,MIN(8,AS33)*AS32))))-MIN(IF(AS32&lt;=0,0,IF(WEEKDAY(AS$6,1)=1,0,IF(WEEKDAY(AS$6,1)=7,0,MIN(8,AS33)*AS32))),MAX(0,40*MAX(1,AS32)-(AM34+AN34+AO34+AP34+AQ34+AR34)))))</f>
        <v>0</v>
      </c>
      <c r="AT35" s="63">
        <f>IF(AND(AT32=0,AT33=0),0,IF(AT32&lt;=0,0,IF(WEEKDAY(AT$6,1)=1,0,IF(WEEKDAY(AT$6,1)=7,AT32*AT33,MAX(0,AT33-8)*AT32)))+((IF(AT32&lt;=0,0,IF(WEEKDAY(AT$6,1)=1,0,IF(WEEKDAY(AT$6,1)=7,0,MIN(8,AT33)*AT32))))-MIN(IF(AT32&lt;=0,0,IF(WEEKDAY(AT$6,1)=1,0,IF(WEEKDAY(AT$6,1)=7,0,MIN(8,AT33)*AT32))),MAX(0,40*MAX(1,AT32)-(0)))))</f>
        <v>0</v>
      </c>
      <c r="AU35" s="63">
        <f>IF(AND(AU32=0,AU33=0),0,IF(AU32&lt;=0,0,IF(WEEKDAY(AU$6,1)=1,0,IF(WEEKDAY(AU$6,1)=7,AU32*AU33,MAX(0,AU33-8)*AU32)))+((IF(AU32&lt;=0,0,IF(WEEKDAY(AU$6,1)=1,0,IF(WEEKDAY(AU$6,1)=7,0,MIN(8,AU33)*AU32))))-MIN(IF(AU32&lt;=0,0,IF(WEEKDAY(AU$6,1)=1,0,IF(WEEKDAY(AU$6,1)=7,0,MIN(8,AU33)*AU32))),MAX(0,40*MAX(1,AU32)-(AT34)))))</f>
        <v>0</v>
      </c>
      <c r="AV35" s="63">
        <f>IF(AND(AV32=0,AV33=0),0,IF(AV32&lt;=0,0,IF(WEEKDAY(AV$6,1)=1,0,IF(WEEKDAY(AV$6,1)=7,AV32*AV33,MAX(0,AV33-8)*AV32)))+((IF(AV32&lt;=0,0,IF(WEEKDAY(AV$6,1)=1,0,IF(WEEKDAY(AV$6,1)=7,0,MIN(8,AV33)*AV32))))-MIN(IF(AV32&lt;=0,0,IF(WEEKDAY(AV$6,1)=1,0,IF(WEEKDAY(AV$6,1)=7,0,MIN(8,AV33)*AV32))),MAX(0,40*MAX(1,AV32)-(AT34+AU34)))))</f>
        <v>0</v>
      </c>
      <c r="AW35" s="63">
        <f>IF(AND(AW32=0,AW33=0),0,IF(AW32&lt;=0,0,IF(WEEKDAY(AW$6,1)=1,0,IF(WEEKDAY(AW$6,1)=7,AW32*AW33,MAX(0,AW33-8)*AW32)))+((IF(AW32&lt;=0,0,IF(WEEKDAY(AW$6,1)=1,0,IF(WEEKDAY(AW$6,1)=7,0,MIN(8,AW33)*AW32))))-MIN(IF(AW32&lt;=0,0,IF(WEEKDAY(AW$6,1)=1,0,IF(WEEKDAY(AW$6,1)=7,0,MIN(8,AW33)*AW32))),MAX(0,40*MAX(1,AW32)-(AT34+AU34+AV34)))))</f>
        <v>0</v>
      </c>
      <c r="AX35" s="63">
        <f>IF(AND(AX32=0,AX33=0),0,IF(AX32&lt;=0,0,IF(WEEKDAY(AX$6,1)=1,0,IF(WEEKDAY(AX$6,1)=7,AX32*AX33,MAX(0,AX33-8)*AX32)))+((IF(AX32&lt;=0,0,IF(WEEKDAY(AX$6,1)=1,0,IF(WEEKDAY(AX$6,1)=7,0,MIN(8,AX33)*AX32))))-MIN(IF(AX32&lt;=0,0,IF(WEEKDAY(AX$6,1)=1,0,IF(WEEKDAY(AX$6,1)=7,0,MIN(8,AX33)*AX32))),MAX(0,40*MAX(1,AX32)-(AT34+AU34+AV34+AW34)))))</f>
        <v>0</v>
      </c>
      <c r="AY35" s="64">
        <f>IF(AND(AY32=0,AY33=0),0,IF(AY32&lt;=0,0,IF(WEEKDAY(AY$6,1)=1,0,IF(WEEKDAY(AY$6,1)=7,AY32*AY33,MAX(0,AY33-8)*AY32)))+((IF(AY32&lt;=0,0,IF(WEEKDAY(AY$6,1)=1,0,IF(WEEKDAY(AY$6,1)=7,0,MIN(8,AY33)*AY32))))-MIN(IF(AY32&lt;=0,0,IF(WEEKDAY(AY$6,1)=1,0,IF(WEEKDAY(AY$6,1)=7,0,MIN(8,AY33)*AY32))),MAX(0,40*MAX(1,AY32)-(AT34+AU34+AV34+AW34+AX34)))))</f>
        <v>0</v>
      </c>
      <c r="AZ35" s="64">
        <f>IF(AND(AZ32=0,AZ33=0),0,IF(AZ32&lt;=0,0,IF(WEEKDAY(AZ$6,1)=1,0,IF(WEEKDAY(AZ$6,1)=7,AZ32*AZ33,MAX(0,AZ33-8)*AZ32)))+((IF(AZ32&lt;=0,0,IF(WEEKDAY(AZ$6,1)=1,0,IF(WEEKDAY(AZ$6,1)=7,0,MIN(8,AZ33)*AZ32))))-MIN(IF(AZ32&lt;=0,0,IF(WEEKDAY(AZ$6,1)=1,0,IF(WEEKDAY(AZ$6,1)=7,0,MIN(8,AZ33)*AZ32))),MAX(0,40*MAX(1,AZ32)-(AT34+AU34+AV34+AW34+AX34+AY34)))))</f>
        <v>0</v>
      </c>
      <c r="BA35" s="63">
        <f>IF(AND(BA32=0,BA33=0),0,IF(BA32&lt;=0,0,IF(WEEKDAY(BA$6,1)=1,0,IF(WEEKDAY(BA$6,1)=7,BA32*BA33,MAX(0,BA33-8)*BA32)))+((IF(BA32&lt;=0,0,IF(WEEKDAY(BA$6,1)=1,0,IF(WEEKDAY(BA$6,1)=7,0,MIN(8,BA33)*BA32))))-MIN(IF(BA32&lt;=0,0,IF(WEEKDAY(BA$6,1)=1,0,IF(WEEKDAY(BA$6,1)=7,0,MIN(8,BA33)*BA32))),MAX(0,40*MAX(1,BA32)-(0)))))</f>
        <v>0</v>
      </c>
      <c r="BB35" s="63">
        <f>IF(AND(BB32=0,BB33=0),0,IF(BB32&lt;=0,0,IF(WEEKDAY(BB$6,1)=1,0,IF(WEEKDAY(BB$6,1)=7,BB32*BB33,MAX(0,BB33-8)*BB32)))+((IF(BB32&lt;=0,0,IF(WEEKDAY(BB$6,1)=1,0,IF(WEEKDAY(BB$6,1)=7,0,MIN(8,BB33)*BB32))))-MIN(IF(BB32&lt;=0,0,IF(WEEKDAY(BB$6,1)=1,0,IF(WEEKDAY(BB$6,1)=7,0,MIN(8,BB33)*BB32))),MAX(0,40*MAX(1,BB32)-(BA34)))))</f>
        <v>0</v>
      </c>
      <c r="BC35" s="63">
        <f>IF(AND(BC32=0,BC33=0),0,IF(BC32&lt;=0,0,IF(WEEKDAY(BC$6,1)=1,0,IF(WEEKDAY(BC$6,1)=7,BC32*BC33,MAX(0,BC33-8)*BC32)))+((IF(BC32&lt;=0,0,IF(WEEKDAY(BC$6,1)=1,0,IF(WEEKDAY(BC$6,1)=7,0,MIN(8,BC33)*BC32))))-MIN(IF(BC32&lt;=0,0,IF(WEEKDAY(BC$6,1)=1,0,IF(WEEKDAY(BC$6,1)=7,0,MIN(8,BC33)*BC32))),MAX(0,40*MAX(1,BC32)-(BA34+BB34)))))</f>
        <v>0</v>
      </c>
      <c r="BD35" s="63">
        <f>IF(AND(BD32=0,BD33=0),0,IF(BD32&lt;=0,0,IF(WEEKDAY(BD$6,1)=1,0,IF(WEEKDAY(BD$6,1)=7,BD32*BD33,MAX(0,BD33-8)*BD32)))+((IF(BD32&lt;=0,0,IF(WEEKDAY(BD$6,1)=1,0,IF(WEEKDAY(BD$6,1)=7,0,MIN(8,BD33)*BD32))))-MIN(IF(BD32&lt;=0,0,IF(WEEKDAY(BD$6,1)=1,0,IF(WEEKDAY(BD$6,1)=7,0,MIN(8,BD33)*BD32))),MAX(0,40*MAX(1,BD32)-(BA34+BB34+BC34)))))</f>
        <v>0</v>
      </c>
      <c r="BE35" s="63">
        <f>IF(AND(BE32=0,BE33=0),0,IF(BE32&lt;=0,0,IF(WEEKDAY(BE$6,1)=1,0,IF(WEEKDAY(BE$6,1)=7,BE32*BE33,MAX(0,BE33-8)*BE32)))+((IF(BE32&lt;=0,0,IF(WEEKDAY(BE$6,1)=1,0,IF(WEEKDAY(BE$6,1)=7,0,MIN(8,BE33)*BE32))))-MIN(IF(BE32&lt;=0,0,IF(WEEKDAY(BE$6,1)=1,0,IF(WEEKDAY(BE$6,1)=7,0,MIN(8,BE33)*BE32))),MAX(0,40*MAX(1,BE32)-(BA34+BB34+BC34+BD34)))))</f>
        <v>0</v>
      </c>
      <c r="BF35" s="64">
        <f>IF(AND(BF32=0,BF33=0),0,IF(BF32&lt;=0,0,IF(WEEKDAY(BF$6,1)=1,0,IF(WEEKDAY(BF$6,1)=7,BF32*BF33,MAX(0,BF33-8)*BF32)))+((IF(BF32&lt;=0,0,IF(WEEKDAY(BF$6,1)=1,0,IF(WEEKDAY(BF$6,1)=7,0,MIN(8,BF33)*BF32))))-MIN(IF(BF32&lt;=0,0,IF(WEEKDAY(BF$6,1)=1,0,IF(WEEKDAY(BF$6,1)=7,0,MIN(8,BF33)*BF32))),MAX(0,40*MAX(1,BF32)-(BA34+BB34+BC34+BD34+BE34)))))</f>
        <v>0</v>
      </c>
      <c r="BG35" s="64">
        <f>IF(AND(BG32=0,BG33=0),0,IF(BG32&lt;=0,0,IF(WEEKDAY(BG$6,1)=1,0,IF(WEEKDAY(BG$6,1)=7,BG32*BG33,MAX(0,BG33-8)*BG32)))+((IF(BG32&lt;=0,0,IF(WEEKDAY(BG$6,1)=1,0,IF(WEEKDAY(BG$6,1)=7,0,MIN(8,BG33)*BG32))))-MIN(IF(BG32&lt;=0,0,IF(WEEKDAY(BG$6,1)=1,0,IF(WEEKDAY(BG$6,1)=7,0,MIN(8,BG33)*BG32))),MAX(0,40*MAX(1,BG32)-(BA34+BB34+BC34+BD34+BE34+BF34)))))</f>
        <v>0</v>
      </c>
      <c r="BH35" s="63">
        <f>IF(AND(BH32=20,BH33=10),40,IF(BH32&lt;=0,0,IF(WEEKDAY(BH$6,1)=1,0,IF(WEEKDAY(BH$6,1)=7,BH32*BH33,MAX(0,BH33-8)*BH32)))+((IF(BH32&lt;=0,0,IF(WEEKDAY(BH$6,1)=1,0,IF(WEEKDAY(BH$6,1)=7,0,MIN(8,BH33)*BH32))))-MIN(IF(BH32&lt;=0,0,IF(WEEKDAY(BH$6,1)=1,0,IF(WEEKDAY(BH$6,1)=7,0,MIN(8,BH33)*BH32))),MAX(0,40*MAX(1,BH32)-(0)))))</f>
        <v>40</v>
      </c>
      <c r="BI35" s="63">
        <f>IF(AND(BI32=20,BI33=10),40,IF(BI32&lt;=0,0,IF(WEEKDAY(BI$6,1)=1,0,IF(WEEKDAY(BI$6,1)=7,BI32*BI33,MAX(0,BI33-8)*BI32)))+((IF(BI32&lt;=0,0,IF(WEEKDAY(BI$6,1)=1,0,IF(WEEKDAY(BI$6,1)=7,0,MIN(8,BI33)*BI32))))-MIN(IF(BI32&lt;=0,0,IF(WEEKDAY(BI$6,1)=1,0,IF(WEEKDAY(BI$6,1)=7,0,MIN(8,BI33)*BI32))),MAX(0,40*MAX(1,BI32)-(BH34)))))</f>
        <v>40</v>
      </c>
      <c r="BJ35" s="63">
        <f>IF(AND(BJ32=28,BJ33=10),56,IF(BJ32&lt;=0,0,IF(WEEKDAY(BJ$6,1)=1,0,IF(WEEKDAY(BJ$6,1)=7,BJ32*BJ33,MAX(0,BJ33-8)*BJ32)))+((IF(BJ32&lt;=0,0,IF(WEEKDAY(BJ$6,1)=1,0,IF(WEEKDAY(BJ$6,1)=7,0,MIN(8,BJ33)*BJ32))))-MIN(IF(BJ32&lt;=0,0,IF(WEEKDAY(BJ$6,1)=1,0,IF(WEEKDAY(BJ$6,1)=7,0,MIN(8,BJ33)*BJ32))),MAX(0,40*MAX(1,BJ32)-(BH34+BI34)))))</f>
        <v>56</v>
      </c>
      <c r="BK35" s="63">
        <f>IF(AND(BK32=30,BK33=10),60,IF(BK32&lt;=0,0,IF(WEEKDAY(BK$6,1)=1,0,IF(WEEKDAY(BK$6,1)=7,BK32*BK33,MAX(0,BK33-8)*BK32)))+((IF(BK32&lt;=0,0,IF(WEEKDAY(BK$6,1)=1,0,IF(WEEKDAY(BK$6,1)=7,0,MIN(8,BK33)*BK32))))-MIN(IF(BK32&lt;=0,0,IF(WEEKDAY(BK$6,1)=1,0,IF(WEEKDAY(BK$6,1)=7,0,MIN(8,BK33)*BK32))),MAX(0,40*MAX(1,BK32)-(BH34+BI34+BJ34)))))</f>
        <v>60</v>
      </c>
      <c r="BL35" s="63">
        <f>IF(AND(BL32=30,BL33=10),60,IF(BL32&lt;=0,0,IF(WEEKDAY(BL$6,1)=1,0,IF(WEEKDAY(BL$6,1)=7,BL32*BL33,MAX(0,BL33-8)*BL32)))+((IF(BL32&lt;=0,0,IF(WEEKDAY(BL$6,1)=1,0,IF(WEEKDAY(BL$6,1)=7,0,MIN(8,BL33)*BL32))))-MIN(IF(BL32&lt;=0,0,IF(WEEKDAY(BL$6,1)=1,0,IF(WEEKDAY(BL$6,1)=7,0,MIN(8,BL33)*BL32))),MAX(0,40*MAX(1,BL32)-(BH34+BI34+BJ34+BK34)))))</f>
        <v>60</v>
      </c>
      <c r="BM35" s="64">
        <f>IF(AND(BM32=30,BM33=10),300,IF(BM32&lt;=0,0,IF(WEEKDAY(BM$6,1)=1,0,IF(WEEKDAY(BM$6,1)=7,BM32*BM33,MAX(0,BM33-8)*BM32)))+((IF(BM32&lt;=0,0,IF(WEEKDAY(BM$6,1)=1,0,IF(WEEKDAY(BM$6,1)=7,0,MIN(8,BM33)*BM32))))-MIN(IF(BM32&lt;=0,0,IF(WEEKDAY(BM$6,1)=1,0,IF(WEEKDAY(BM$6,1)=7,0,MIN(8,BM33)*BM32))),MAX(0,40*MAX(1,BM32)-(BH34+BI34+BJ34+BK34+BL34)))))</f>
        <v>300</v>
      </c>
      <c r="BN35" s="64">
        <f>IF(AND(BN32=30,BN33=10),0,IF(BN32&lt;=0,0,IF(WEEKDAY(BN$6,1)=1,0,IF(WEEKDAY(BN$6,1)=7,BN32*BN33,MAX(0,BN33-8)*BN32)))+((IF(BN32&lt;=0,0,IF(WEEKDAY(BN$6,1)=1,0,IF(WEEKDAY(BN$6,1)=7,0,MIN(8,BN33)*BN32))))-MIN(IF(BN32&lt;=0,0,IF(WEEKDAY(BN$6,1)=1,0,IF(WEEKDAY(BN$6,1)=7,0,MIN(8,BN33)*BN32))),MAX(0,40*MAX(1,BN32)-(BH34+BI34+BJ34+BK34+BL34+BM34)))))</f>
        <v>0</v>
      </c>
      <c r="BO35" s="63">
        <f>IF(AND(BO32=30,BO33=10),60,IF(BO32&lt;=0,0,IF(WEEKDAY(BO$6,1)=1,0,IF(WEEKDAY(BO$6,1)=7,BO32*BO33,MAX(0,BO33-8)*BO32)))+((IF(BO32&lt;=0,0,IF(WEEKDAY(BO$6,1)=1,0,IF(WEEKDAY(BO$6,1)=7,0,MIN(8,BO33)*BO32))))-MIN(IF(BO32&lt;=0,0,IF(WEEKDAY(BO$6,1)=1,0,IF(WEEKDAY(BO$6,1)=7,0,MIN(8,BO33)*BO32))),MAX(0,40*MAX(1,BO32)-(0)))))</f>
        <v>60</v>
      </c>
      <c r="BP35" s="63">
        <f>IF(AND(BP32=30,BP33=10),60,IF(BP32&lt;=0,0,IF(WEEKDAY(BP$6,1)=1,0,IF(WEEKDAY(BP$6,1)=7,BP32*BP33,MAX(0,BP33-8)*BP32)))+((IF(BP32&lt;=0,0,IF(WEEKDAY(BP$6,1)=1,0,IF(WEEKDAY(BP$6,1)=7,0,MIN(8,BP33)*BP32))))-MIN(IF(BP32&lt;=0,0,IF(WEEKDAY(BP$6,1)=1,0,IF(WEEKDAY(BP$6,1)=7,0,MIN(8,BP33)*BP32))),MAX(0,40*MAX(1,BP32)-(BO34)))))</f>
        <v>60</v>
      </c>
      <c r="BQ35" s="63">
        <f>IF(AND(BQ32=30,BQ33=10),60,IF(BQ32&lt;=0,0,IF(WEEKDAY(BQ$6,1)=1,0,IF(WEEKDAY(BQ$6,1)=7,BQ32*BQ33,MAX(0,BQ33-8)*BQ32)))+((IF(BQ32&lt;=0,0,IF(WEEKDAY(BQ$6,1)=1,0,IF(WEEKDAY(BQ$6,1)=7,0,MIN(8,BQ33)*BQ32))))-MIN(IF(BQ32&lt;=0,0,IF(WEEKDAY(BQ$6,1)=1,0,IF(WEEKDAY(BQ$6,1)=7,0,MIN(8,BQ33)*BQ32))),MAX(0,40*MAX(1,BQ32)-(BO34+BP34)))))</f>
        <v>60</v>
      </c>
      <c r="BR35" s="63">
        <f>IF(AND(BR32=57,BR33=10),114,IF(BR32&lt;=0,0,IF(WEEKDAY(BR$6,1)=1,0,IF(WEEKDAY(BR$6,1)=7,BR32*BR33,MAX(0,BR33-8)*BR32)))+((IF(BR32&lt;=0,0,IF(WEEKDAY(BR$6,1)=1,0,IF(WEEKDAY(BR$6,1)=7,0,MIN(8,BR33)*BR32))))-MIN(IF(BR32&lt;=0,0,IF(WEEKDAY(BR$6,1)=1,0,IF(WEEKDAY(BR$6,1)=7,0,MIN(8,BR33)*BR32))),MAX(0,40*MAX(1,BR32)-(0)))))</f>
        <v>114</v>
      </c>
      <c r="BS35" s="63">
        <f>IF(AND(BS32=57,BS33=10),114,IF(BS32&lt;=0,0,IF(WEEKDAY(BS$6,1)=1,0,IF(WEEKDAY(BS$6,1)=7,BS32*BS33,MAX(0,BS33-8)*BS32)))+((IF(BS32&lt;=0,0,IF(WEEKDAY(BS$6,1)=1,0,IF(WEEKDAY(BS$6,1)=7,0,MIN(8,BS33)*BS32))))-MIN(IF(BS32&lt;=0,0,IF(WEEKDAY(BS$6,1)=1,0,IF(WEEKDAY(BS$6,1)=7,0,MIN(8,BS33)*BS32))),MAX(0,40*MAX(1,BS32)-(BR34)))))</f>
        <v>114</v>
      </c>
      <c r="BT35" s="64">
        <f>IF(AND(BT32=57,BT33=10),570,IF(BT32&lt;=0,0,IF(WEEKDAY(BT$6,1)=1,0,IF(WEEKDAY(BT$6,1)=7,BT32*BT33,MAX(0,BT33-8)*BT32)))+((IF(BT32&lt;=0,0,IF(WEEKDAY(BT$6,1)=1,0,IF(WEEKDAY(BT$6,1)=7,0,MIN(8,BT33)*BT32))))-MIN(IF(BT32&lt;=0,0,IF(WEEKDAY(BT$6,1)=1,0,IF(WEEKDAY(BT$6,1)=7,0,MIN(8,BT33)*BT32))),MAX(0,40*MAX(1,BT32)-(BR34+BS34)))))</f>
        <v>570</v>
      </c>
      <c r="BU35" s="64">
        <f>IF(AND(BU32=57,BU33=10),0,IF(BU32&lt;=0,0,IF(WEEKDAY(BU$6,1)=1,0,IF(WEEKDAY(BU$6,1)=7,BU32*BU33,MAX(0,BU33-8)*BU32)))+((IF(BU32&lt;=0,0,IF(WEEKDAY(BU$6,1)=1,0,IF(WEEKDAY(BU$6,1)=7,0,MIN(8,BU33)*BU32))))-MIN(IF(BU32&lt;=0,0,IF(WEEKDAY(BU$6,1)=1,0,IF(WEEKDAY(BU$6,1)=7,0,MIN(8,BU33)*BU32))),MAX(0,40*MAX(1,BU32)-(BR34+BS34+BT34)))))</f>
        <v>0</v>
      </c>
      <c r="BV35" s="63">
        <f>IF(AND(BV32=57,BV33=10),114,IF(BV32&lt;=0,0,IF(WEEKDAY(BV$6,1)=1,0,IF(WEEKDAY(BV$6,1)=7,BV32*BV33,MAX(0,BV33-8)*BV32)))+((IF(BV32&lt;=0,0,IF(WEEKDAY(BV$6,1)=1,0,IF(WEEKDAY(BV$6,1)=7,0,MIN(8,BV33)*BV32))))-MIN(IF(BV32&lt;=0,0,IF(WEEKDAY(BV$6,1)=1,0,IF(WEEKDAY(BV$6,1)=7,0,MIN(8,BV33)*BV32))),MAX(0,40*MAX(1,BV32)-(0)))))</f>
        <v>114</v>
      </c>
      <c r="BW35" s="63">
        <f>IF(AND(BW32=57,BW33=10),114,IF(BW32&lt;=0,0,IF(WEEKDAY(BW$6,1)=1,0,IF(WEEKDAY(BW$6,1)=7,BW32*BW33,MAX(0,BW33-8)*BW32)))+((IF(BW32&lt;=0,0,IF(WEEKDAY(BW$6,1)=1,0,IF(WEEKDAY(BW$6,1)=7,0,MIN(8,BW33)*BW32))))-MIN(IF(BW32&lt;=0,0,IF(WEEKDAY(BW$6,1)=1,0,IF(WEEKDAY(BW$6,1)=7,0,MIN(8,BW33)*BW32))),MAX(0,40*MAX(1,BW32)-(BV34)))))</f>
        <v>114</v>
      </c>
      <c r="BX35" s="63">
        <f>IF(AND(BX32=57,BX33=10),114,IF(BX32&lt;=0,0,IF(WEEKDAY(BX$6,1)=1,0,IF(WEEKDAY(BX$6,1)=7,BX32*BX33,MAX(0,BX33-8)*BX32)))+((IF(BX32&lt;=0,0,IF(WEEKDAY(BX$6,1)=1,0,IF(WEEKDAY(BX$6,1)=7,0,MIN(8,BX33)*BX32))))-MIN(IF(BX32&lt;=0,0,IF(WEEKDAY(BX$6,1)=1,0,IF(WEEKDAY(BX$6,1)=7,0,MIN(8,BX33)*BX32))),MAX(0,40*MAX(1,BX32)-(BV34+BW34)))))</f>
        <v>114</v>
      </c>
      <c r="BY35" s="63">
        <f>IF(AND(BY32=57,BY33=10),114,IF(BY32&lt;=0,0,IF(WEEKDAY(BY$6,1)=1,0,IF(WEEKDAY(BY$6,1)=7,BY32*BY33,MAX(0,BY33-8)*BY32)))+((IF(BY32&lt;=0,0,IF(WEEKDAY(BY$6,1)=1,0,IF(WEEKDAY(BY$6,1)=7,0,MIN(8,BY33)*BY32))))-MIN(IF(BY32&lt;=0,0,IF(WEEKDAY(BY$6,1)=1,0,IF(WEEKDAY(BY$6,1)=7,0,MIN(8,BY33)*BY32))),MAX(0,40*MAX(1,BY32)-(BV34+BW34+BX34)))))</f>
        <v>114</v>
      </c>
      <c r="BZ35" s="63">
        <f>IF(AND(BZ32=57,BZ33=10),114,IF(BZ32&lt;=0,0,IF(WEEKDAY(BZ$6,1)=1,0,IF(WEEKDAY(BZ$6,1)=7,BZ32*BZ33,MAX(0,BZ33-8)*BZ32)))+((IF(BZ32&lt;=0,0,IF(WEEKDAY(BZ$6,1)=1,0,IF(WEEKDAY(BZ$6,1)=7,0,MIN(8,BZ33)*BZ32))))-MIN(IF(BZ32&lt;=0,0,IF(WEEKDAY(BZ$6,1)=1,0,IF(WEEKDAY(BZ$6,1)=7,0,MIN(8,BZ33)*BZ32))),MAX(0,40*MAX(1,BZ32)-(BV34+BW34+BX34+BY34)))))</f>
        <v>114</v>
      </c>
      <c r="CA35" s="64">
        <f>IF(AND(CA32=57,CA33=10),570,IF(CA32&lt;=0,0,IF(WEEKDAY(CA$6,1)=1,0,IF(WEEKDAY(CA$6,1)=7,CA32*CA33,MAX(0,CA33-8)*CA32)))+((IF(CA32&lt;=0,0,IF(WEEKDAY(CA$6,1)=1,0,IF(WEEKDAY(CA$6,1)=7,0,MIN(8,CA33)*CA32))))-MIN(IF(CA32&lt;=0,0,IF(WEEKDAY(CA$6,1)=1,0,IF(WEEKDAY(CA$6,1)=7,0,MIN(8,CA33)*CA32))),MAX(0,40*MAX(1,CA32)-(BV34+BW34+BX34+BY34+BZ34)))))</f>
        <v>570</v>
      </c>
      <c r="CB35" s="64">
        <f>IF(AND(CB32=57,CB33=10),0,IF(CB32&lt;=0,0,IF(WEEKDAY(CB$6,1)=1,0,IF(WEEKDAY(CB$6,1)=7,CB32*CB33,MAX(0,CB33-8)*CB32)))+((IF(CB32&lt;=0,0,IF(WEEKDAY(CB$6,1)=1,0,IF(WEEKDAY(CB$6,1)=7,0,MIN(8,CB33)*CB32))))-MIN(IF(CB32&lt;=0,0,IF(WEEKDAY(CB$6,1)=1,0,IF(WEEKDAY(CB$6,1)=7,0,MIN(8,CB33)*CB32))),MAX(0,40*MAX(1,CB32)-(BV34+BW34+BX34+BY34+BZ34+CA34)))))</f>
        <v>0</v>
      </c>
      <c r="CC35" s="63">
        <f>IF(AND(CC32=57,CC33=10),114,IF(CC32&lt;=0,0,IF(WEEKDAY(CC$6,1)=1,0,IF(WEEKDAY(CC$6,1)=7,CC32*CC33,MAX(0,CC33-8)*CC32)))+((IF(CC32&lt;=0,0,IF(WEEKDAY(CC$6,1)=1,0,IF(WEEKDAY(CC$6,1)=7,0,MIN(8,CC33)*CC32))))-MIN(IF(CC32&lt;=0,0,IF(WEEKDAY(CC$6,1)=1,0,IF(WEEKDAY(CC$6,1)=7,0,MIN(8,CC33)*CC32))),MAX(0,40*MAX(1,CC32)-(0)))))</f>
        <v>114</v>
      </c>
      <c r="CD35" s="63">
        <f>IF(AND(CD32=57,CD33=10),114,IF(CD32&lt;=0,0,IF(WEEKDAY(CD$6,1)=1,0,IF(WEEKDAY(CD$6,1)=7,CD32*CD33,MAX(0,CD33-8)*CD32)))+((IF(CD32&lt;=0,0,IF(WEEKDAY(CD$6,1)=1,0,IF(WEEKDAY(CD$6,1)=7,0,MIN(8,CD33)*CD32))))-MIN(IF(CD32&lt;=0,0,IF(WEEKDAY(CD$6,1)=1,0,IF(WEEKDAY(CD$6,1)=7,0,MIN(8,CD33)*CD32))),MAX(0,40*MAX(1,CD32)-(CC34)))))</f>
        <v>114</v>
      </c>
      <c r="CE35" s="63">
        <f>IF(AND(CE32=57,CE33=10),114,IF(CE32&lt;=0,0,IF(WEEKDAY(CE$6,1)=1,0,IF(WEEKDAY(CE$6,1)=7,CE32*CE33,MAX(0,CE33-8)*CE32)))+((IF(CE32&lt;=0,0,IF(WEEKDAY(CE$6,1)=1,0,IF(WEEKDAY(CE$6,1)=7,0,MIN(8,CE33)*CE32))))-MIN(IF(CE32&lt;=0,0,IF(WEEKDAY(CE$6,1)=1,0,IF(WEEKDAY(CE$6,1)=7,0,MIN(8,CE33)*CE32))),MAX(0,40*MAX(1,CE32)-(CC34+CD34)))))</f>
        <v>114</v>
      </c>
      <c r="CF35" s="63">
        <f>IF(AND(CF32=57,CF33=10),114,IF(CF32&lt;=0,0,IF(WEEKDAY(CF$6,1)=1,0,IF(WEEKDAY(CF$6,1)=7,CF32*CF33,MAX(0,CF33-8)*CF32)))+((IF(CF32&lt;=0,0,IF(WEEKDAY(CF$6,1)=1,0,IF(WEEKDAY(CF$6,1)=7,0,MIN(8,CF33)*CF32))))-MIN(IF(CF32&lt;=0,0,IF(WEEKDAY(CF$6,1)=1,0,IF(WEEKDAY(CF$6,1)=7,0,MIN(8,CF33)*CF32))),MAX(0,40*MAX(1,CF32)-(CC34+CD34+CE34)))))</f>
        <v>114</v>
      </c>
      <c r="CG35" s="63">
        <f>IF(AND(CG32=57,CG33=10),114,IF(CG32&lt;=0,0,IF(WEEKDAY(CG$6,1)=1,0,IF(WEEKDAY(CG$6,1)=7,CG32*CG33,MAX(0,CG33-8)*CG32)))+((IF(CG32&lt;=0,0,IF(WEEKDAY(CG$6,1)=1,0,IF(WEEKDAY(CG$6,1)=7,0,MIN(8,CG33)*CG32))))-MIN(IF(CG32&lt;=0,0,IF(WEEKDAY(CG$6,1)=1,0,IF(WEEKDAY(CG$6,1)=7,0,MIN(8,CG33)*CG32))),MAX(0,40*MAX(1,CG32)-(CC34+CD34+CE34+CF34)))))</f>
        <v>114</v>
      </c>
      <c r="CH35" s="64">
        <f>IF(AND(CH32=57,CH33=10),570,IF(CH32&lt;=0,0,IF(WEEKDAY(CH$6,1)=1,0,IF(WEEKDAY(CH$6,1)=7,CH32*CH33,MAX(0,CH33-8)*CH32)))+((IF(CH32&lt;=0,0,IF(WEEKDAY(CH$6,1)=1,0,IF(WEEKDAY(CH$6,1)=7,0,MIN(8,CH33)*CH32))))-MIN(IF(CH32&lt;=0,0,IF(WEEKDAY(CH$6,1)=1,0,IF(WEEKDAY(CH$6,1)=7,0,MIN(8,CH33)*CH32))),MAX(0,40*MAX(1,CH32)-(CC34+CD34+CE34+CF34+CG34)))))</f>
        <v>570</v>
      </c>
      <c r="CI35" s="64">
        <f>IF(AND(CI32=57,CI33=10),0,IF(CI32&lt;=0,0,IF(WEEKDAY(CI$6,1)=1,0,IF(WEEKDAY(CI$6,1)=7,CI32*CI33,MAX(0,CI33-8)*CI32)))+((IF(CI32&lt;=0,0,IF(WEEKDAY(CI$6,1)=1,0,IF(WEEKDAY(CI$6,1)=7,0,MIN(8,CI33)*CI32))))-MIN(IF(CI32&lt;=0,0,IF(WEEKDAY(CI$6,1)=1,0,IF(WEEKDAY(CI$6,1)=7,0,MIN(8,CI33)*CI32))),MAX(0,40*MAX(1,CI32)-(CC34+CD34+CE34+CF34+CG34+CH34)))))</f>
        <v>0</v>
      </c>
      <c r="CJ35" s="63">
        <f>IF(AND(CJ32=57,CJ33=10),114,IF(CJ32&lt;=0,0,IF(WEEKDAY(CJ$6,1)=1,0,IF(WEEKDAY(CJ$6,1)=7,CJ32*CJ33,MAX(0,CJ33-8)*CJ32)))+((IF(CJ32&lt;=0,0,IF(WEEKDAY(CJ$6,1)=1,0,IF(WEEKDAY(CJ$6,1)=7,0,MIN(8,CJ33)*CJ32))))-MIN(IF(CJ32&lt;=0,0,IF(WEEKDAY(CJ$6,1)=1,0,IF(WEEKDAY(CJ$6,1)=7,0,MIN(8,CJ33)*CJ32))),MAX(0,40*MAX(1,CJ32)-(0)))))</f>
        <v>114</v>
      </c>
      <c r="CK35" s="63">
        <f>IF(AND(CK32=57,CK33=10),114,IF(CK32&lt;=0,0,IF(WEEKDAY(CK$6,1)=1,0,IF(WEEKDAY(CK$6,1)=7,CK32*CK33,MAX(0,CK33-8)*CK32)))+((IF(CK32&lt;=0,0,IF(WEEKDAY(CK$6,1)=1,0,IF(WEEKDAY(CK$6,1)=7,0,MIN(8,CK33)*CK32))))-MIN(IF(CK32&lt;=0,0,IF(WEEKDAY(CK$6,1)=1,0,IF(WEEKDAY(CK$6,1)=7,0,MIN(8,CK33)*CK32))),MAX(0,40*MAX(1,CK32)-(CJ34)))))</f>
        <v>114</v>
      </c>
      <c r="CL35" s="63">
        <f>IF(AND(CL32=57,CL33=10),114,IF(CL32&lt;=0,0,IF(WEEKDAY(CL$6,1)=1,0,IF(WEEKDAY(CL$6,1)=7,CL32*CL33,MAX(0,CL33-8)*CL32)))+((IF(CL32&lt;=0,0,IF(WEEKDAY(CL$6,1)=1,0,IF(WEEKDAY(CL$6,1)=7,0,MIN(8,CL33)*CL32))))-MIN(IF(CL32&lt;=0,0,IF(WEEKDAY(CL$6,1)=1,0,IF(WEEKDAY(CL$6,1)=7,0,MIN(8,CL33)*CL32))),MAX(0,40*MAX(1,CL32)-(CJ34+CK34)))))</f>
        <v>114</v>
      </c>
      <c r="CM35" s="63">
        <f>IF(AND(CM32=57,CM33=10),114,IF(CM32&lt;=0,0,IF(WEEKDAY(CM$6,1)=1,0,IF(WEEKDAY(CM$6,1)=7,CM32*CM33,MAX(0,CM33-8)*CM32)))+((IF(CM32&lt;=0,0,IF(WEEKDAY(CM$6,1)=1,0,IF(WEEKDAY(CM$6,1)=7,0,MIN(8,CM33)*CM32))))-MIN(IF(CM32&lt;=0,0,IF(WEEKDAY(CM$6,1)=1,0,IF(WEEKDAY(CM$6,1)=7,0,MIN(8,CM33)*CM32))),MAX(0,40*MAX(1,CM32)-(CJ34+CK34+CL34)))))</f>
        <v>114</v>
      </c>
      <c r="CN35" s="63">
        <f>IF(AND(CN32=57,CN33=10),114,IF(CN32&lt;=0,0,IF(WEEKDAY(CN$6,1)=1,0,IF(WEEKDAY(CN$6,1)=7,CN32*CN33,MAX(0,CN33-8)*CN32)))+((IF(CN32&lt;=0,0,IF(WEEKDAY(CN$6,1)=1,0,IF(WEEKDAY(CN$6,1)=7,0,MIN(8,CN33)*CN32))))-MIN(IF(CN32&lt;=0,0,IF(WEEKDAY(CN$6,1)=1,0,IF(WEEKDAY(CN$6,1)=7,0,MIN(8,CN33)*CN32))),MAX(0,40*MAX(1,CN32)-(CJ34+CK34+CL34+CM34)))))</f>
        <v>114</v>
      </c>
      <c r="CO35" s="64">
        <f>IF(AND(CO32=57,CO33=10),570,IF(CO32&lt;=0,0,IF(WEEKDAY(CO$6,1)=1,0,IF(WEEKDAY(CO$6,1)=7,CO32*CO33,MAX(0,CO33-8)*CO32)))+((IF(CO32&lt;=0,0,IF(WEEKDAY(CO$6,1)=1,0,IF(WEEKDAY(CO$6,1)=7,0,MIN(8,CO33)*CO32))))-MIN(IF(CO32&lt;=0,0,IF(WEEKDAY(CO$6,1)=1,0,IF(WEEKDAY(CO$6,1)=7,0,MIN(8,CO33)*CO32))),MAX(0,40*MAX(1,CO32)-(CJ34+CK34+CL34+CM34+CN34)))))</f>
        <v>570</v>
      </c>
      <c r="CP35" s="64">
        <f>IF(AND(CP32=57,CP33=10),0,IF(CP32&lt;=0,0,IF(WEEKDAY(CP$6,1)=1,0,IF(WEEKDAY(CP$6,1)=7,CP32*CP33,MAX(0,CP33-8)*CP32)))+((IF(CP32&lt;=0,0,IF(WEEKDAY(CP$6,1)=1,0,IF(WEEKDAY(CP$6,1)=7,0,MIN(8,CP33)*CP32))))-MIN(IF(CP32&lt;=0,0,IF(WEEKDAY(CP$6,1)=1,0,IF(WEEKDAY(CP$6,1)=7,0,MIN(8,CP33)*CP32))),MAX(0,40*MAX(1,CP32)-(CJ34+CK34+CL34+CM34+CN34+CO34)))))</f>
        <v>0</v>
      </c>
      <c r="CQ35" s="63">
        <f>IF(AND(CQ32=57,CQ33=10),114,IF(CQ32&lt;=0,0,IF(WEEKDAY(CQ$6,1)=1,0,IF(WEEKDAY(CQ$6,1)=7,CQ32*CQ33,MAX(0,CQ33-8)*CQ32)))+((IF(CQ32&lt;=0,0,IF(WEEKDAY(CQ$6,1)=1,0,IF(WEEKDAY(CQ$6,1)=7,0,MIN(8,CQ33)*CQ32))))-MIN(IF(CQ32&lt;=0,0,IF(WEEKDAY(CQ$6,1)=1,0,IF(WEEKDAY(CQ$6,1)=7,0,MIN(8,CQ33)*CQ32))),MAX(0,40*MAX(1,CQ32)-(0)))))</f>
        <v>114</v>
      </c>
      <c r="CR35" s="63">
        <f>IF(AND(CR32=57,CR33=10),114,IF(CR32&lt;=0,0,IF(WEEKDAY(CR$6,1)=1,0,IF(WEEKDAY(CR$6,1)=7,CR32*CR33,MAX(0,CR33-8)*CR32)))+((IF(CR32&lt;=0,0,IF(WEEKDAY(CR$6,1)=1,0,IF(WEEKDAY(CR$6,1)=7,0,MIN(8,CR33)*CR32))))-MIN(IF(CR32&lt;=0,0,IF(WEEKDAY(CR$6,1)=1,0,IF(WEEKDAY(CR$6,1)=7,0,MIN(8,CR33)*CR32))),MAX(0,40*MAX(1,CR32)-(CQ34)))))</f>
        <v>114</v>
      </c>
      <c r="CS35" s="63">
        <f>IF(AND(CS32=57,CS33=10),114,IF(CS32&lt;=0,0,IF(WEEKDAY(CS$6,1)=1,0,IF(WEEKDAY(CS$6,1)=7,CS32*CS33,MAX(0,CS33-8)*CS32)))+((IF(CS32&lt;=0,0,IF(WEEKDAY(CS$6,1)=1,0,IF(WEEKDAY(CS$6,1)=7,0,MIN(8,CS33)*CS32))))-MIN(IF(CS32&lt;=0,0,IF(WEEKDAY(CS$6,1)=1,0,IF(WEEKDAY(CS$6,1)=7,0,MIN(8,CS33)*CS32))),MAX(0,40*MAX(1,CS32)-(CQ34+CR34)))))</f>
        <v>114</v>
      </c>
      <c r="CT35" s="63">
        <f>IF(AND(CT32=57,CT33=10),114,IF(CT32&lt;=0,0,IF(WEEKDAY(CT$6,1)=1,0,IF(WEEKDAY(CT$6,1)=7,CT32*CT33,MAX(0,CT33-8)*CT32)))+((IF(CT32&lt;=0,0,IF(WEEKDAY(CT$6,1)=1,0,IF(WEEKDAY(CT$6,1)=7,0,MIN(8,CT33)*CT32))))-MIN(IF(CT32&lt;=0,0,IF(WEEKDAY(CT$6,1)=1,0,IF(WEEKDAY(CT$6,1)=7,0,MIN(8,CT33)*CT32))),MAX(0,40*MAX(1,CT32)-(CQ34+CR34+CS34)))))</f>
        <v>114</v>
      </c>
      <c r="CU35" s="63">
        <f>IF(AND(CU32=57,CU33=10),114,IF(CU32&lt;=0,0,IF(WEEKDAY(CU$6,1)=1,0,IF(WEEKDAY(CU$6,1)=7,CU32*CU33,MAX(0,CU33-8)*CU32)))+((IF(CU32&lt;=0,0,IF(WEEKDAY(CU$6,1)=1,0,IF(WEEKDAY(CU$6,1)=7,0,MIN(8,CU33)*CU32))))-MIN(IF(CU32&lt;=0,0,IF(WEEKDAY(CU$6,1)=1,0,IF(WEEKDAY(CU$6,1)=7,0,MIN(8,CU33)*CU32))),MAX(0,40*MAX(1,CU32)-(CQ34+CR34+CS34+CT34)))))</f>
        <v>114</v>
      </c>
      <c r="CV35" s="64">
        <f>IF(AND(CV32=50,CV33=10),500,IF(CV32&lt;=0,0,IF(WEEKDAY(CV$6,1)=1,0,IF(WEEKDAY(CV$6,1)=7,CV32*CV33,MAX(0,CV33-8)*CV32)))+((IF(CV32&lt;=0,0,IF(WEEKDAY(CV$6,1)=1,0,IF(WEEKDAY(CV$6,1)=7,0,MIN(8,CV33)*CV32))))-MIN(IF(CV32&lt;=0,0,IF(WEEKDAY(CV$6,1)=1,0,IF(WEEKDAY(CV$6,1)=7,0,MIN(8,CV33)*CV32))),MAX(0,40*MAX(1,CV32)-(0)))))</f>
        <v>500</v>
      </c>
      <c r="CW35" s="64">
        <f>IF(AND(CW32=50,CW33=10),0,IF(CW32&lt;=0,0,IF(WEEKDAY(CW$6,1)=1,0,IF(WEEKDAY(CW$6,1)=7,CW32*CW33,MAX(0,CW33-8)*CW32)))+((IF(CW32&lt;=0,0,IF(WEEKDAY(CW$6,1)=1,0,IF(WEEKDAY(CW$6,1)=7,0,MIN(8,CW33)*CW32))))-MIN(IF(CW32&lt;=0,0,IF(WEEKDAY(CW$6,1)=1,0,IF(WEEKDAY(CW$6,1)=7,0,MIN(8,CW33)*CW32))),MAX(0,40*MAX(1,CW32)-(0)))))</f>
        <v>0</v>
      </c>
      <c r="CX35" s="63">
        <f>IF(AND(CX32=50,CX33=10),100,IF(CX32&lt;=0,0,IF(WEEKDAY(CX$6,1)=1,0,IF(WEEKDAY(CX$6,1)=7,CX32*CX33,MAX(0,CX33-8)*CX32)))+((IF(CX32&lt;=0,0,IF(WEEKDAY(CX$6,1)=1,0,IF(WEEKDAY(CX$6,1)=7,0,MIN(8,CX33)*CX32))))-MIN(IF(CX32&lt;=0,0,IF(WEEKDAY(CX$6,1)=1,0,IF(WEEKDAY(CX$6,1)=7,0,MIN(8,CX33)*CX32))),MAX(0,40*MAX(1,CX32)-(0)))))</f>
        <v>100</v>
      </c>
      <c r="CY35" s="63">
        <f>IF(AND(CY32=50,CY33=10),100,IF(CY32&lt;=0,0,IF(WEEKDAY(CY$6,1)=1,0,IF(WEEKDAY(CY$6,1)=7,CY32*CY33,MAX(0,CY33-8)*CY32)))+((IF(CY32&lt;=0,0,IF(WEEKDAY(CY$6,1)=1,0,IF(WEEKDAY(CY$6,1)=7,0,MIN(8,CY33)*CY32))))-MIN(IF(CY32&lt;=0,0,IF(WEEKDAY(CY$6,1)=1,0,IF(WEEKDAY(CY$6,1)=7,0,MIN(8,CY33)*CY32))),MAX(0,40*MAX(1,CY32)-(CX34)))))</f>
        <v>100</v>
      </c>
      <c r="CZ35" s="63">
        <f>IF(AND(CZ32=50,CZ33=10),100,IF(CZ32&lt;=0,0,IF(WEEKDAY(CZ$6,1)=1,0,IF(WEEKDAY(CZ$6,1)=7,CZ32*CZ33,MAX(0,CZ33-8)*CZ32)))+((IF(CZ32&lt;=0,0,IF(WEEKDAY(CZ$6,1)=1,0,IF(WEEKDAY(CZ$6,1)=7,0,MIN(8,CZ33)*CZ32))))-MIN(IF(CZ32&lt;=0,0,IF(WEEKDAY(CZ$6,1)=1,0,IF(WEEKDAY(CZ$6,1)=7,0,MIN(8,CZ33)*CZ32))),MAX(0,40*MAX(1,CZ32)-(CX34+CY34)))))</f>
        <v>100</v>
      </c>
      <c r="DA35" s="63">
        <f>IF(AND(DA32=50,DA33=10),100,IF(DA32&lt;=0,0,IF(WEEKDAY(DA$6,1)=1,0,IF(WEEKDAY(DA$6,1)=7,DA32*DA33,MAX(0,DA33-8)*DA32)))+((IF(DA32&lt;=0,0,IF(WEEKDAY(DA$6,1)=1,0,IF(WEEKDAY(DA$6,1)=7,0,MIN(8,DA33)*DA32))))-MIN(IF(DA32&lt;=0,0,IF(WEEKDAY(DA$6,1)=1,0,IF(WEEKDAY(DA$6,1)=7,0,MIN(8,DA33)*DA32))),MAX(0,40*MAX(1,DA32)-(CX34+CY34+CZ34)))))</f>
        <v>100</v>
      </c>
      <c r="DB35" s="63">
        <f>IF(AND(DB32=50,DB33=10),100,IF(DB32&lt;=0,0,IF(WEEKDAY(DB$6,1)=1,0,IF(WEEKDAY(DB$6,1)=7,DB32*DB33,MAX(0,DB33-8)*DB32)))+((IF(DB32&lt;=0,0,IF(WEEKDAY(DB$6,1)=1,0,IF(WEEKDAY(DB$6,1)=7,0,MIN(8,DB33)*DB32))))-MIN(IF(DB32&lt;=0,0,IF(WEEKDAY(DB$6,1)=1,0,IF(WEEKDAY(DB$6,1)=7,0,MIN(8,DB33)*DB32))),MAX(0,40*MAX(1,DB32)-(CX34+CY34+CZ34+DA34)))))</f>
        <v>100</v>
      </c>
      <c r="DC35" s="64">
        <f>IF(AND(DC32=50,DC33=10),500,IF(DC32&lt;=0,0,IF(WEEKDAY(DC$6,1)=1,0,IF(WEEKDAY(DC$6,1)=7,DC32*DC33,MAX(0,DC33-8)*DC32)))+((IF(DC32&lt;=0,0,IF(WEEKDAY(DC$6,1)=1,0,IF(WEEKDAY(DC$6,1)=7,0,MIN(8,DC33)*DC32))))-MIN(IF(DC32&lt;=0,0,IF(WEEKDAY(DC$6,1)=1,0,IF(WEEKDAY(DC$6,1)=7,0,MIN(8,DC33)*DC32))),MAX(0,40*MAX(1,DC32)-(CX34+CY34+CZ34+DA34+DB34)))))</f>
        <v>500</v>
      </c>
      <c r="DD35" s="64">
        <f>IF(AND(DD32=10,DD33=10),0,IF(DD32&lt;=0,0,IF(WEEKDAY(DD$6,1)=1,0,IF(WEEKDAY(DD$6,1)=7,DD32*DD33,MAX(0,DD33-8)*DD32)))+((IF(DD32&lt;=0,0,IF(WEEKDAY(DD$6,1)=1,0,IF(WEEKDAY(DD$6,1)=7,0,MIN(8,DD33)*DD32))))-MIN(IF(DD32&lt;=0,0,IF(WEEKDAY(DD$6,1)=1,0,IF(WEEKDAY(DD$6,1)=7,0,MIN(8,DD33)*DD32))),MAX(0,40*MAX(1,DD32)-(0)))))</f>
        <v>0</v>
      </c>
      <c r="DE35" s="63">
        <f>IF(AND(DE32=10,DE33=10),20,IF(DE32&lt;=0,0,IF(WEEKDAY(DE$6,1)=1,0,IF(WEEKDAY(DE$6,1)=7,DE32*DE33,MAX(0,DE33-8)*DE32)))+((IF(DE32&lt;=0,0,IF(WEEKDAY(DE$6,1)=1,0,IF(WEEKDAY(DE$6,1)=7,0,MIN(8,DE33)*DE32))))-MIN(IF(DE32&lt;=0,0,IF(WEEKDAY(DE$6,1)=1,0,IF(WEEKDAY(DE$6,1)=7,0,MIN(8,DE33)*DE32))),MAX(0,40*MAX(1,DE32)-(0)))))</f>
        <v>20</v>
      </c>
      <c r="DF35" s="63">
        <f>IF(AND(DF32=10,DF33=10),20,IF(DF32&lt;=0,0,IF(WEEKDAY(DF$6,1)=1,0,IF(WEEKDAY(DF$6,1)=7,DF32*DF33,MAX(0,DF33-8)*DF32)))+((IF(DF32&lt;=0,0,IF(WEEKDAY(DF$6,1)=1,0,IF(WEEKDAY(DF$6,1)=7,0,MIN(8,DF33)*DF32))))-MIN(IF(DF32&lt;=0,0,IF(WEEKDAY(DF$6,1)=1,0,IF(WEEKDAY(DF$6,1)=7,0,MIN(8,DF33)*DF32))),MAX(0,40*MAX(1,DF32)-(DE34)))))</f>
        <v>20</v>
      </c>
      <c r="DG35" s="63">
        <f>IF(AND(DG32=10,DG33=10),20,IF(DG32&lt;=0,0,IF(WEEKDAY(DG$6,1)=1,0,IF(WEEKDAY(DG$6,1)=7,DG32*DG33,MAX(0,DG33-8)*DG32)))+((IF(DG32&lt;=0,0,IF(WEEKDAY(DG$6,1)=1,0,IF(WEEKDAY(DG$6,1)=7,0,MIN(8,DG33)*DG32))))-MIN(IF(DG32&lt;=0,0,IF(WEEKDAY(DG$6,1)=1,0,IF(WEEKDAY(DG$6,1)=7,0,MIN(8,DG33)*DG32))),MAX(0,40*MAX(1,DG32)-(DE34+DF34)))))</f>
        <v>20</v>
      </c>
      <c r="DH35" s="63">
        <f>IF(AND(DH32=10,DH33=10),20,IF(DH32&lt;=0,0,IF(WEEKDAY(DH$6,1)=1,0,IF(WEEKDAY(DH$6,1)=7,DH32*DH33,MAX(0,DH33-8)*DH32)))+((IF(DH32&lt;=0,0,IF(WEEKDAY(DH$6,1)=1,0,IF(WEEKDAY(DH$6,1)=7,0,MIN(8,DH33)*DH32))))-MIN(IF(DH32&lt;=0,0,IF(WEEKDAY(DH$6,1)=1,0,IF(WEEKDAY(DH$6,1)=7,0,MIN(8,DH33)*DH32))),MAX(0,40*MAX(1,DH32)-(DE34+DF34+DG34)))))</f>
        <v>20</v>
      </c>
      <c r="DI35" s="63">
        <f>IF(AND(DI32=10,DI33=10),20,IF(DI32&lt;=0,0,IF(WEEKDAY(DI$6,1)=1,0,IF(WEEKDAY(DI$6,1)=7,DI32*DI33,MAX(0,DI33-8)*DI32)))+((IF(DI32&lt;=0,0,IF(WEEKDAY(DI$6,1)=1,0,IF(WEEKDAY(DI$6,1)=7,0,MIN(8,DI33)*DI32))))-MIN(IF(DI32&lt;=0,0,IF(WEEKDAY(DI$6,1)=1,0,IF(WEEKDAY(DI$6,1)=7,0,MIN(8,DI33)*DI32))),MAX(0,40*MAX(1,DI32)-(DE34+DF34+DG34+DH34)))))</f>
        <v>20</v>
      </c>
      <c r="DJ35" s="64">
        <f>IF(AND(DJ32=10,DJ33=10),100,IF(DJ32&lt;=0,0,IF(WEEKDAY(DJ$6,1)=1,0,IF(WEEKDAY(DJ$6,1)=7,DJ32*DJ33,MAX(0,DJ33-8)*DJ32)))+((IF(DJ32&lt;=0,0,IF(WEEKDAY(DJ$6,1)=1,0,IF(WEEKDAY(DJ$6,1)=7,0,MIN(8,DJ33)*DJ32))))-MIN(IF(DJ32&lt;=0,0,IF(WEEKDAY(DJ$6,1)=1,0,IF(WEEKDAY(DJ$6,1)=7,0,MIN(8,DJ33)*DJ32))),MAX(0,40*MAX(1,DJ32)-(DE34+DF34+DG34+DH34+DI34)))))</f>
        <v>100</v>
      </c>
      <c r="DK35" s="64">
        <f>IF(AND(DK32=10,DK33=10),0,IF(DK32&lt;=0,0,IF(WEEKDAY(DK$6,1)=1,0,IF(WEEKDAY(DK$6,1)=7,DK32*DK33,MAX(0,DK33-8)*DK32)))+((IF(DK32&lt;=0,0,IF(WEEKDAY(DK$6,1)=1,0,IF(WEEKDAY(DK$6,1)=7,0,MIN(8,DK33)*DK32))))-MIN(IF(DK32&lt;=0,0,IF(WEEKDAY(DK$6,1)=1,0,IF(WEEKDAY(DK$6,1)=7,0,MIN(8,DK33)*DK32))),MAX(0,40*MAX(1,DK32)-(DE34+DF34+DG34+DH34+DI34+DJ34)))))</f>
        <v>0</v>
      </c>
      <c r="DL35" s="63">
        <f>IF(AND(DL32=6,DL33=10),12,IF(DL32&lt;=0,0,IF(WEEKDAY(DL$6,1)=1,0,IF(WEEKDAY(DL$6,1)=7,DL32*DL33,MAX(0,DL33-8)*DL32)))+((IF(DL32&lt;=0,0,IF(WEEKDAY(DL$6,1)=1,0,IF(WEEKDAY(DL$6,1)=7,0,MIN(8,DL33)*DL32))))-MIN(IF(DL32&lt;=0,0,IF(WEEKDAY(DL$6,1)=1,0,IF(WEEKDAY(DL$6,1)=7,0,MIN(8,DL33)*DL32))),MAX(0,40*MAX(1,DL32)-(0)))))</f>
        <v>12</v>
      </c>
      <c r="DM35" s="63">
        <f>IF(AND(DM32=6,DM33=10),12,IF(DM32&lt;=0,0,IF(WEEKDAY(DM$6,1)=1,0,IF(WEEKDAY(DM$6,1)=7,DM32*DM33,MAX(0,DM33-8)*DM32)))+((IF(DM32&lt;=0,0,IF(WEEKDAY(DM$6,1)=1,0,IF(WEEKDAY(DM$6,1)=7,0,MIN(8,DM33)*DM32))))-MIN(IF(DM32&lt;=0,0,IF(WEEKDAY(DM$6,1)=1,0,IF(WEEKDAY(DM$6,1)=7,0,MIN(8,DM33)*DM32))),MAX(0,40*MAX(1,DM32)-(DL34)))))</f>
        <v>12</v>
      </c>
      <c r="DN35" s="63">
        <f>IF(AND(DN32=6,DN33=10),12,IF(DN32&lt;=0,0,IF(WEEKDAY(DN$6,1)=1,0,IF(WEEKDAY(DN$6,1)=7,DN32*DN33,MAX(0,DN33-8)*DN32)))+((IF(DN32&lt;=0,0,IF(WEEKDAY(DN$6,1)=1,0,IF(WEEKDAY(DN$6,1)=7,0,MIN(8,DN33)*DN32))))-MIN(IF(DN32&lt;=0,0,IF(WEEKDAY(DN$6,1)=1,0,IF(WEEKDAY(DN$6,1)=7,0,MIN(8,DN33)*DN32))),MAX(0,40*MAX(1,DN32)-(DL34+DM34)))))</f>
        <v>12</v>
      </c>
      <c r="DO35" s="63">
        <f>IF(AND(DO32=6,DO33=10),12,IF(DO32&lt;=0,0,IF(WEEKDAY(DO$6,1)=1,0,IF(WEEKDAY(DO$6,1)=7,DO32*DO33,MAX(0,DO33-8)*DO32)))+((IF(DO32&lt;=0,0,IF(WEEKDAY(DO$6,1)=1,0,IF(WEEKDAY(DO$6,1)=7,0,MIN(8,DO33)*DO32))))-MIN(IF(DO32&lt;=0,0,IF(WEEKDAY(DO$6,1)=1,0,IF(WEEKDAY(DO$6,1)=7,0,MIN(8,DO33)*DO32))),MAX(0,40*MAX(1,DO32)-(DL34+DM34+DN34)))))</f>
        <v>12</v>
      </c>
      <c r="DP35" s="63">
        <f>IF(AND(DP32=6,DP33=10),12,IF(DP32&lt;=0,0,IF(WEEKDAY(DP$6,1)=1,0,IF(WEEKDAY(DP$6,1)=7,DP32*DP33,MAX(0,DP33-8)*DP32)))+((IF(DP32&lt;=0,0,IF(WEEKDAY(DP$6,1)=1,0,IF(WEEKDAY(DP$6,1)=7,0,MIN(8,DP33)*DP32))))-MIN(IF(DP32&lt;=0,0,IF(WEEKDAY(DP$6,1)=1,0,IF(WEEKDAY(DP$6,1)=7,0,MIN(8,DP33)*DP32))),MAX(0,40*MAX(1,DP32)-(DL34+DM34+DN34+DO34)))))</f>
        <v>12</v>
      </c>
      <c r="DQ35" s="64">
        <f>IF(AND(DQ32=6,DQ33=10),60,IF(DQ32&lt;=0,0,IF(WEEKDAY(DQ$6,1)=1,0,IF(WEEKDAY(DQ$6,1)=7,DQ32*DQ33,MAX(0,DQ33-8)*DQ32)))+((IF(DQ32&lt;=0,0,IF(WEEKDAY(DQ$6,1)=1,0,IF(WEEKDAY(DQ$6,1)=7,0,MIN(8,DQ33)*DQ32))))-MIN(IF(DQ32&lt;=0,0,IF(WEEKDAY(DQ$6,1)=1,0,IF(WEEKDAY(DQ$6,1)=7,0,MIN(8,DQ33)*DQ32))),MAX(0,40*MAX(1,DQ32)-(DL34+DM34+DN34+DO34+DP34)))))</f>
        <v>60</v>
      </c>
      <c r="DR35" s="64">
        <f>IF(AND(DR32=6,DR33=10),0,IF(DR32&lt;=0,0,IF(WEEKDAY(DR$6,1)=1,0,IF(WEEKDAY(DR$6,1)=7,DR32*DR33,MAX(0,DR33-8)*DR32)))+((IF(DR32&lt;=0,0,IF(WEEKDAY(DR$6,1)=1,0,IF(WEEKDAY(DR$6,1)=7,0,MIN(8,DR33)*DR32))))-MIN(IF(DR32&lt;=0,0,IF(WEEKDAY(DR$6,1)=1,0,IF(WEEKDAY(DR$6,1)=7,0,MIN(8,DR33)*DR32))),MAX(0,40*MAX(1,DR32)-(DL34+DM34+DN34+DO34+DP34+DQ34)))))</f>
        <v>0</v>
      </c>
      <c r="DS35" s="63">
        <f>IF(AND(DS32=6,DS33=10),12,IF(DS32&lt;=0,0,IF(WEEKDAY(DS$6,1)=1,0,IF(WEEKDAY(DS$6,1)=7,DS32*DS33,MAX(0,DS33-8)*DS32)))+((IF(DS32&lt;=0,0,IF(WEEKDAY(DS$6,1)=1,0,IF(WEEKDAY(DS$6,1)=7,0,MIN(8,DS33)*DS32))))-MIN(IF(DS32&lt;=0,0,IF(WEEKDAY(DS$6,1)=1,0,IF(WEEKDAY(DS$6,1)=7,0,MIN(8,DS33)*DS32))),MAX(0,40*MAX(1,DS32)-(0)))))</f>
        <v>12</v>
      </c>
      <c r="DT35" s="63">
        <f>IF(AND(DT32=0,DT33=0),0,IF(DT32&lt;=0,0,IF(WEEKDAY(DT$6,1)=1,0,IF(WEEKDAY(DT$6,1)=7,DT32*DT33,MAX(0,DT33-8)*DT32)))+((IF(DT32&lt;=0,0,IF(WEEKDAY(DT$6,1)=1,0,IF(WEEKDAY(DT$6,1)=7,0,MIN(8,DT33)*DT32))))-MIN(IF(DT32&lt;=0,0,IF(WEEKDAY(DT$6,1)=1,0,IF(WEEKDAY(DT$6,1)=7,0,MIN(8,DT33)*DT32))),MAX(0,40*MAX(1,DT32)-(0)))))</f>
        <v>0</v>
      </c>
      <c r="DU35" s="63">
        <f>IF(AND(DU32=0,DU33=0),0,IF(DU32&lt;=0,0,IF(WEEKDAY(DU$6,1)=1,0,IF(WEEKDAY(DU$6,1)=7,DU32*DU33,MAX(0,DU33-8)*DU32)))+((IF(DU32&lt;=0,0,IF(WEEKDAY(DU$6,1)=1,0,IF(WEEKDAY(DU$6,1)=7,0,MIN(8,DU33)*DU32))))-MIN(IF(DU32&lt;=0,0,IF(WEEKDAY(DU$6,1)=1,0,IF(WEEKDAY(DU$6,1)=7,0,MIN(8,DU33)*DU32))),MAX(0,40*MAX(1,DU32)-(DT34)))))</f>
        <v>0</v>
      </c>
      <c r="DV35" s="63">
        <f>IF(AND(DV32=0,DV33=0),0,IF(DV32&lt;=0,0,IF(WEEKDAY(DV$6,1)=1,0,IF(WEEKDAY(DV$6,1)=7,DV32*DV33,MAX(0,DV33-8)*DV32)))+((IF(DV32&lt;=0,0,IF(WEEKDAY(DV$6,1)=1,0,IF(WEEKDAY(DV$6,1)=7,0,MIN(8,DV33)*DV32))))-MIN(IF(DV32&lt;=0,0,IF(WEEKDAY(DV$6,1)=1,0,IF(WEEKDAY(DV$6,1)=7,0,MIN(8,DV33)*DV32))),MAX(0,40*MAX(1,DV32)-(DT34+DU34)))))</f>
        <v>0</v>
      </c>
      <c r="DW35" s="63">
        <f>IF(AND(DW32=0,DW33=0),0,IF(DW32&lt;=0,0,IF(WEEKDAY(DW$6,1)=1,0,IF(WEEKDAY(DW$6,1)=7,DW32*DW33,MAX(0,DW33-8)*DW32)))+((IF(DW32&lt;=0,0,IF(WEEKDAY(DW$6,1)=1,0,IF(WEEKDAY(DW$6,1)=7,0,MIN(8,DW33)*DW32))))-MIN(IF(DW32&lt;=0,0,IF(WEEKDAY(DW$6,1)=1,0,IF(WEEKDAY(DW$6,1)=7,0,MIN(8,DW33)*DW32))),MAX(0,40*MAX(1,DW32)-(DT34+DU34+DV34)))))</f>
        <v>0</v>
      </c>
      <c r="DX35" s="64">
        <f>IF(AND(DX32=0,DX33=0),0,IF(DX32&lt;=0,0,IF(WEEKDAY(DX$6,1)=1,0,IF(WEEKDAY(DX$6,1)=7,DX32*DX33,MAX(0,DX33-8)*DX32)))+((IF(DX32&lt;=0,0,IF(WEEKDAY(DX$6,1)=1,0,IF(WEEKDAY(DX$6,1)=7,0,MIN(8,DX33)*DX32))))-MIN(IF(DX32&lt;=0,0,IF(WEEKDAY(DX$6,1)=1,0,IF(WEEKDAY(DX$6,1)=7,0,MIN(8,DX33)*DX32))),MAX(0,40*MAX(1,DX32)-(DT34+DU34+DV34+DW34)))))</f>
        <v>0</v>
      </c>
      <c r="DY35" s="64">
        <f>IF(AND(DY32=0,DY33=0),0,IF(DY32&lt;=0,0,IF(WEEKDAY(DY$6,1)=1,0,IF(WEEKDAY(DY$6,1)=7,DY32*DY33,MAX(0,DY33-8)*DY32)))+((IF(DY32&lt;=0,0,IF(WEEKDAY(DY$6,1)=1,0,IF(WEEKDAY(DY$6,1)=7,0,MIN(8,DY33)*DY32))))-MIN(IF(DY32&lt;=0,0,IF(WEEKDAY(DY$6,1)=1,0,IF(WEEKDAY(DY$6,1)=7,0,MIN(8,DY33)*DY32))),MAX(0,40*MAX(1,DY32)-(DT34+DU34+DV34+DW34+DX34)))))</f>
        <v>0</v>
      </c>
      <c r="DZ35" s="63">
        <f>IF(AND(DZ32=0,DZ33=0),0,IF(DZ32&lt;=0,0,IF(WEEKDAY(DZ$6,1)=1,0,IF(WEEKDAY(DZ$6,1)=7,DZ32*DZ33,MAX(0,DZ33-8)*DZ32)))+((IF(DZ32&lt;=0,0,IF(WEEKDAY(DZ$6,1)=1,0,IF(WEEKDAY(DZ$6,1)=7,0,MIN(8,DZ33)*DZ32))))-MIN(IF(DZ32&lt;=0,0,IF(WEEKDAY(DZ$6,1)=1,0,IF(WEEKDAY(DZ$6,1)=7,0,MIN(8,DZ33)*DZ32))),MAX(0,40*MAX(1,DZ32)-(0)))))</f>
        <v>0</v>
      </c>
      <c r="EA35" s="63">
        <f>IF(AND(EA32=0,EA33=0),0,IF(EA32&lt;=0,0,IF(WEEKDAY(EA$6,1)=1,0,IF(WEEKDAY(EA$6,1)=7,EA32*EA33,MAX(0,EA33-8)*EA32)))+((IF(EA32&lt;=0,0,IF(WEEKDAY(EA$6,1)=1,0,IF(WEEKDAY(EA$6,1)=7,0,MIN(8,EA33)*EA32))))-MIN(IF(EA32&lt;=0,0,IF(WEEKDAY(EA$6,1)=1,0,IF(WEEKDAY(EA$6,1)=7,0,MIN(8,EA33)*EA32))),MAX(0,40*MAX(1,EA32)-(DZ34)))))</f>
        <v>0</v>
      </c>
      <c r="EB35" s="63">
        <f>IF(AND(EB32=0,EB33=0),0,IF(EB32&lt;=0,0,IF(WEEKDAY(EB$6,1)=1,0,IF(WEEKDAY(EB$6,1)=7,EB32*EB33,MAX(0,EB33-8)*EB32)))+((IF(EB32&lt;=0,0,IF(WEEKDAY(EB$6,1)=1,0,IF(WEEKDAY(EB$6,1)=7,0,MIN(8,EB33)*EB32))))-MIN(IF(EB32&lt;=0,0,IF(WEEKDAY(EB$6,1)=1,0,IF(WEEKDAY(EB$6,1)=7,0,MIN(8,EB33)*EB32))),MAX(0,40*MAX(1,EB32)-(DZ34+EA34)))))</f>
        <v>0</v>
      </c>
      <c r="EC35" s="63">
        <f>IF(AND(EC32=0,EC33=0),0,IF(EC32&lt;=0,0,IF(WEEKDAY(EC$6,1)=1,0,IF(WEEKDAY(EC$6,1)=7,EC32*EC33,MAX(0,EC33-8)*EC32)))+((IF(EC32&lt;=0,0,IF(WEEKDAY(EC$6,1)=1,0,IF(WEEKDAY(EC$6,1)=7,0,MIN(8,EC33)*EC32))))-MIN(IF(EC32&lt;=0,0,IF(WEEKDAY(EC$6,1)=1,0,IF(WEEKDAY(EC$6,1)=7,0,MIN(8,EC33)*EC32))),MAX(0,40*MAX(1,EC32)-(DZ34+EA34+EB34)))))</f>
        <v>0</v>
      </c>
      <c r="ED35" s="63">
        <f>IF(AND(ED32=0,ED33=0),0,IF(ED32&lt;=0,0,IF(WEEKDAY(ED$6,1)=1,0,IF(WEEKDAY(ED$6,1)=7,ED32*ED33,MAX(0,ED33-8)*ED32)))+((IF(ED32&lt;=0,0,IF(WEEKDAY(ED$6,1)=1,0,IF(WEEKDAY(ED$6,1)=7,0,MIN(8,ED33)*ED32))))-MIN(IF(ED32&lt;=0,0,IF(WEEKDAY(ED$6,1)=1,0,IF(WEEKDAY(ED$6,1)=7,0,MIN(8,ED33)*ED32))),MAX(0,40*MAX(1,ED32)-(DZ34+EA34+EB34+EC34)))))</f>
        <v>0</v>
      </c>
      <c r="EE35" s="64">
        <f>IF(AND(EE32=0,EE33=0),0,IF(EE32&lt;=0,0,IF(WEEKDAY(EE$6,1)=1,0,IF(WEEKDAY(EE$6,1)=7,EE32*EE33,MAX(0,EE33-8)*EE32)))+((IF(EE32&lt;=0,0,IF(WEEKDAY(EE$6,1)=1,0,IF(WEEKDAY(EE$6,1)=7,0,MIN(8,EE33)*EE32))))-MIN(IF(EE32&lt;=0,0,IF(WEEKDAY(EE$6,1)=1,0,IF(WEEKDAY(EE$6,1)=7,0,MIN(8,EE33)*EE32))),MAX(0,40*MAX(1,EE32)-(DZ34+EA34+EB34+EC34+ED34)))))</f>
        <v>0</v>
      </c>
      <c r="EF35" s="64">
        <f>IF(AND(EF32=0,EF33=0),0,IF(EF32&lt;=0,0,IF(WEEKDAY(EF$6,1)=1,0,IF(WEEKDAY(EF$6,1)=7,EF32*EF33,MAX(0,EF33-8)*EF32)))+((IF(EF32&lt;=0,0,IF(WEEKDAY(EF$6,1)=1,0,IF(WEEKDAY(EF$6,1)=7,0,MIN(8,EF33)*EF32))))-MIN(IF(EF32&lt;=0,0,IF(WEEKDAY(EF$6,1)=1,0,IF(WEEKDAY(EF$6,1)=7,0,MIN(8,EF33)*EF32))),MAX(0,40*MAX(1,EF32)-(DZ34+EA34+EB34+EC34+ED34+EE34)))))</f>
        <v>0</v>
      </c>
      <c r="EG35" s="63">
        <f>IF(AND(EG32=0,EG33=0),0,IF(EG32&lt;=0,0,IF(WEEKDAY(EG$6,1)=1,0,IF(WEEKDAY(EG$6,1)=7,EG32*EG33,MAX(0,EG33-8)*EG32)))+((IF(EG32&lt;=0,0,IF(WEEKDAY(EG$6,1)=1,0,IF(WEEKDAY(EG$6,1)=7,0,MIN(8,EG33)*EG32))))-MIN(IF(EG32&lt;=0,0,IF(WEEKDAY(EG$6,1)=1,0,IF(WEEKDAY(EG$6,1)=7,0,MIN(8,EG33)*EG32))),MAX(0,40*MAX(1,EG32)-(0)))))</f>
        <v>0</v>
      </c>
      <c r="EH35" s="63">
        <f>IF(AND(EH32=0,EH33=0),0,IF(EH32&lt;=0,0,IF(WEEKDAY(EH$6,1)=1,0,IF(WEEKDAY(EH$6,1)=7,EH32*EH33,MAX(0,EH33-8)*EH32)))+((IF(EH32&lt;=0,0,IF(WEEKDAY(EH$6,1)=1,0,IF(WEEKDAY(EH$6,1)=7,0,MIN(8,EH33)*EH32))))-MIN(IF(EH32&lt;=0,0,IF(WEEKDAY(EH$6,1)=1,0,IF(WEEKDAY(EH$6,1)=7,0,MIN(8,EH33)*EH32))),MAX(0,40*MAX(1,EH32)-(EG34)))))</f>
        <v>0</v>
      </c>
      <c r="EI35" s="63">
        <f>IF(AND(EI32=0,EI33=0),0,IF(EI32&lt;=0,0,IF(WEEKDAY(EI$6,1)=1,0,IF(WEEKDAY(EI$6,1)=7,EI32*EI33,MAX(0,EI33-8)*EI32)))+((IF(EI32&lt;=0,0,IF(WEEKDAY(EI$6,1)=1,0,IF(WEEKDAY(EI$6,1)=7,0,MIN(8,EI33)*EI32))))-MIN(IF(EI32&lt;=0,0,IF(WEEKDAY(EI$6,1)=1,0,IF(WEEKDAY(EI$6,1)=7,0,MIN(8,EI33)*EI32))),MAX(0,40*MAX(1,EI32)-(EG34+EH34)))))</f>
        <v>0</v>
      </c>
      <c r="EJ35" s="63">
        <f>IF(AND(EJ32=0,EJ33=0),0,IF(EJ32&lt;=0,0,IF(WEEKDAY(EJ$6,1)=1,0,IF(WEEKDAY(EJ$6,1)=7,EJ32*EJ33,MAX(0,EJ33-8)*EJ32)))+((IF(EJ32&lt;=0,0,IF(WEEKDAY(EJ$6,1)=1,0,IF(WEEKDAY(EJ$6,1)=7,0,MIN(8,EJ33)*EJ32))))-MIN(IF(EJ32&lt;=0,0,IF(WEEKDAY(EJ$6,1)=1,0,IF(WEEKDAY(EJ$6,1)=7,0,MIN(8,EJ33)*EJ32))),MAX(0,40*MAX(1,EJ32)-(EG34+EH34+EI34)))))</f>
        <v>0</v>
      </c>
      <c r="EK35" s="65">
        <f>IF(AND(EK32=0,EK33=0),0,IF(EK32&lt;=0,0,IF(WEEKDAY(EK$6,1)=1,0,IF(WEEKDAY(EK$6,1)=7,EK32*EK33,MAX(0,EK33-8)*EK32)))+((IF(EK32&lt;=0,0,IF(WEEKDAY(EK$6,1)=1,0,IF(WEEKDAY(EK$6,1)=7,0,MIN(8,EK33)*EK32))))-MIN(IF(EK32&lt;=0,0,IF(WEEKDAY(EK$6,1)=1,0,IF(WEEKDAY(EK$6,1)=7,0,MIN(8,EK33)*EK32))),MAX(0,40*MAX(1,EK32)-(EG34+EH34+EI34+EJ34)))))</f>
        <v>0</v>
      </c>
      <c r="OU35" s="28" t="s">
        <v>116</v>
      </c>
    </row>
    <row r="36" ht="16" customHeight="1" spans="1:411" x14ac:dyDescent="0.25">
      <c r="A36" s="74"/>
      <c r="B36" s="46"/>
      <c r="C36" s="61">
        <f>H31*N(D36)</f>
        <v>594687</v>
      </c>
      <c r="D36" s="61">
        <f>IF(TRIM(B31)="","No rate",IFERROR(INDEX('Rate Tables'!E$7:E$158,MATCH(B31,'Rate Tables'!A$7:A$158,0)),"No rate"))</f>
        <v>178.05</v>
      </c>
      <c r="E36" s="55" t="s">
        <v>64</v>
      </c>
      <c r="F36" s="49"/>
      <c r="G36" s="49"/>
      <c r="H36" s="49"/>
      <c r="I36" s="49"/>
      <c r="J36" s="50"/>
      <c r="K36" s="62">
        <f>IF(AND(K32=0,K33=0),0,IF(K32&lt;=0,0,IF(WEEKDAY(K$6,1)=1,K32*K33,0)))</f>
        <v>0</v>
      </c>
      <c r="L36" s="63">
        <f>IF(AND(L32=0,L33=0),0,IF(L32&lt;=0,0,IF(WEEKDAY(L$6,1)=1,L32*L33,0)))</f>
        <v>0</v>
      </c>
      <c r="M36" s="63">
        <f>IF(AND(M32=0,M33=0),0,IF(M32&lt;=0,0,IF(WEEKDAY(M$6,1)=1,M32*M33,0)))</f>
        <v>0</v>
      </c>
      <c r="N36" s="63">
        <f>IF(AND(N32=0,N33=0),0,IF(N32&lt;=0,0,IF(WEEKDAY(N$6,1)=1,N32*N33,0)))</f>
        <v>0</v>
      </c>
      <c r="O36" s="63">
        <f>IF(AND(O32=0,O33=0),0,IF(O32&lt;=0,0,IF(WEEKDAY(O$6,1)=1,O32*O33,0)))</f>
        <v>0</v>
      </c>
      <c r="P36" s="64">
        <f>IF(AND(P32=0,P33=0),0,IF(P32&lt;=0,0,IF(WEEKDAY(P$6,1)=1,P32*P33,0)))</f>
        <v>0</v>
      </c>
      <c r="Q36" s="64">
        <f>IF(AND(Q32=0,Q33=0),0,IF(Q32&lt;=0,0,IF(WEEKDAY(Q$6,1)=1,Q32*Q33,0)))</f>
        <v>0</v>
      </c>
      <c r="R36" s="63">
        <f>IF(AND(R32=0,R33=0),0,IF(R32&lt;=0,0,IF(WEEKDAY(R$6,1)=1,R32*R33,0)))</f>
        <v>0</v>
      </c>
      <c r="S36" s="63">
        <f>IF(AND(S32=0,S33=0),0,IF(S32&lt;=0,0,IF(WEEKDAY(S$6,1)=1,S32*S33,0)))</f>
        <v>0</v>
      </c>
      <c r="T36" s="63">
        <f>IF(AND(T32=0,T33=0),0,IF(T32&lt;=0,0,IF(WEEKDAY(T$6,1)=1,T32*T33,0)))</f>
        <v>0</v>
      </c>
      <c r="U36" s="63">
        <f>IF(AND(U32=0,U33=0),0,IF(U32&lt;=0,0,IF(WEEKDAY(U$6,1)=1,U32*U33,0)))</f>
        <v>0</v>
      </c>
      <c r="V36" s="63">
        <f>IF(AND(V32=0,V33=0),0,IF(V32&lt;=0,0,IF(WEEKDAY(V$6,1)=1,V32*V33,0)))</f>
        <v>0</v>
      </c>
      <c r="W36" s="64">
        <f>IF(AND(W32=0,W33=0),0,IF(W32&lt;=0,0,IF(WEEKDAY(W$6,1)=1,W32*W33,0)))</f>
        <v>0</v>
      </c>
      <c r="X36" s="64">
        <f>IF(AND(X32=0,X33=0),0,IF(X32&lt;=0,0,IF(WEEKDAY(X$6,1)=1,X32*X33,0)))</f>
        <v>0</v>
      </c>
      <c r="Y36" s="63">
        <f>IF(AND(Y32=0,Y33=0),0,IF(Y32&lt;=0,0,IF(WEEKDAY(Y$6,1)=1,Y32*Y33,0)))</f>
        <v>0</v>
      </c>
      <c r="Z36" s="63">
        <f>IF(AND(Z32=0,Z33=0),0,IF(Z32&lt;=0,0,IF(WEEKDAY(Z$6,1)=1,Z32*Z33,0)))</f>
        <v>0</v>
      </c>
      <c r="AA36" s="63">
        <f>IF(AND(AA32=0,AA33=0),0,IF(AA32&lt;=0,0,IF(WEEKDAY(AA$6,1)=1,AA32*AA33,0)))</f>
        <v>0</v>
      </c>
      <c r="AB36" s="63">
        <f>IF(AND(AB32=0,AB33=0),0,IF(AB32&lt;=0,0,IF(WEEKDAY(AB$6,1)=1,AB32*AB33,0)))</f>
        <v>0</v>
      </c>
      <c r="AC36" s="63">
        <f>IF(AND(AC32=0,AC33=0),0,IF(AC32&lt;=0,0,IF(WEEKDAY(AC$6,1)=1,AC32*AC33,0)))</f>
        <v>0</v>
      </c>
      <c r="AD36" s="64">
        <f>IF(AND(AD32=0,AD33=0),0,IF(AD32&lt;=0,0,IF(WEEKDAY(AD$6,1)=1,AD32*AD33,0)))</f>
        <v>0</v>
      </c>
      <c r="AE36" s="64">
        <f>IF(AND(AE32=0,AE33=0),0,IF(AE32&lt;=0,0,IF(WEEKDAY(AE$6,1)=1,AE32*AE33,0)))</f>
        <v>0</v>
      </c>
      <c r="AF36" s="63">
        <f>IF(AND(AF32=0,AF33=0),0,IF(AF32&lt;=0,0,IF(WEEKDAY(AF$6,1)=1,AF32*AF33,0)))</f>
        <v>0</v>
      </c>
      <c r="AG36" s="63">
        <f>IF(AND(AG32=0,AG33=0),0,IF(AG32&lt;=0,0,IF(WEEKDAY(AG$6,1)=1,AG32*AG33,0)))</f>
        <v>0</v>
      </c>
      <c r="AH36" s="63">
        <f>IF(AND(AH32=0,AH33=0),0,IF(AH32&lt;=0,0,IF(WEEKDAY(AH$6,1)=1,AH32*AH33,0)))</f>
        <v>0</v>
      </c>
      <c r="AI36" s="63">
        <f>IF(AND(AI32=0,AI33=0),0,IF(AI32&lt;=0,0,IF(WEEKDAY(AI$6,1)=1,AI32*AI33,0)))</f>
        <v>0</v>
      </c>
      <c r="AJ36" s="63">
        <f>IF(AND(AJ32=0,AJ33=0),0,IF(AJ32&lt;=0,0,IF(WEEKDAY(AJ$6,1)=1,AJ32*AJ33,0)))</f>
        <v>0</v>
      </c>
      <c r="AK36" s="64">
        <f>IF(AND(AK32=0,AK33=0),0,IF(AK32&lt;=0,0,IF(WEEKDAY(AK$6,1)=1,AK32*AK33,0)))</f>
        <v>0</v>
      </c>
      <c r="AL36" s="64">
        <f>IF(AND(AL32=0,AL33=0),0,IF(AL32&lt;=0,0,IF(WEEKDAY(AL$6,1)=1,AL32*AL33,0)))</f>
        <v>0</v>
      </c>
      <c r="AM36" s="63">
        <f>IF(AND(AM32=0,AM33=0),0,IF(AM32&lt;=0,0,IF(WEEKDAY(AM$6,1)=1,AM32*AM33,0)))</f>
        <v>0</v>
      </c>
      <c r="AN36" s="63">
        <f>IF(AND(AN32=0,AN33=0),0,IF(AN32&lt;=0,0,IF(WEEKDAY(AN$6,1)=1,AN32*AN33,0)))</f>
        <v>0</v>
      </c>
      <c r="AO36" s="63">
        <f>IF(AND(AO32=0,AO33=0),0,IF(AO32&lt;=0,0,IF(WEEKDAY(AO$6,1)=1,AO32*AO33,0)))</f>
        <v>0</v>
      </c>
      <c r="AP36" s="63">
        <f>IF(AND(AP32=0,AP33=0),0,IF(AP32&lt;=0,0,IF(WEEKDAY(AP$6,1)=1,AP32*AP33,0)))</f>
        <v>0</v>
      </c>
      <c r="AQ36" s="63">
        <f>IF(AND(AQ32=0,AQ33=0),0,IF(AQ32&lt;=0,0,IF(WEEKDAY(AQ$6,1)=1,AQ32*AQ33,0)))</f>
        <v>0</v>
      </c>
      <c r="AR36" s="64">
        <f>IF(AND(AR32=0,AR33=0),0,IF(AR32&lt;=0,0,IF(WEEKDAY(AR$6,1)=1,AR32*AR33,0)))</f>
        <v>0</v>
      </c>
      <c r="AS36" s="64">
        <f>IF(AND(AS32=0,AS33=0),0,IF(AS32&lt;=0,0,IF(WEEKDAY(AS$6,1)=1,AS32*AS33,0)))</f>
        <v>0</v>
      </c>
      <c r="AT36" s="63">
        <f>IF(AND(AT32=0,AT33=0),0,IF(AT32&lt;=0,0,IF(WEEKDAY(AT$6,1)=1,AT32*AT33,0)))</f>
        <v>0</v>
      </c>
      <c r="AU36" s="63">
        <f>IF(AND(AU32=0,AU33=0),0,IF(AU32&lt;=0,0,IF(WEEKDAY(AU$6,1)=1,AU32*AU33,0)))</f>
        <v>0</v>
      </c>
      <c r="AV36" s="63">
        <f>IF(AND(AV32=0,AV33=0),0,IF(AV32&lt;=0,0,IF(WEEKDAY(AV$6,1)=1,AV32*AV33,0)))</f>
        <v>0</v>
      </c>
      <c r="AW36" s="63">
        <f>IF(AND(AW32=0,AW33=0),0,IF(AW32&lt;=0,0,IF(WEEKDAY(AW$6,1)=1,AW32*AW33,0)))</f>
        <v>0</v>
      </c>
      <c r="AX36" s="63">
        <f>IF(AND(AX32=0,AX33=0),0,IF(AX32&lt;=0,0,IF(WEEKDAY(AX$6,1)=1,AX32*AX33,0)))</f>
        <v>0</v>
      </c>
      <c r="AY36" s="64">
        <f>IF(AND(AY32=0,AY33=0),0,IF(AY32&lt;=0,0,IF(WEEKDAY(AY$6,1)=1,AY32*AY33,0)))</f>
        <v>0</v>
      </c>
      <c r="AZ36" s="64">
        <f>IF(AND(AZ32=0,AZ33=0),0,IF(AZ32&lt;=0,0,IF(WEEKDAY(AZ$6,1)=1,AZ32*AZ33,0)))</f>
        <v>0</v>
      </c>
      <c r="BA36" s="63">
        <f>IF(AND(BA32=0,BA33=0),0,IF(BA32&lt;=0,0,IF(WEEKDAY(BA$6,1)=1,BA32*BA33,0)))</f>
        <v>0</v>
      </c>
      <c r="BB36" s="63">
        <f>IF(AND(BB32=0,BB33=0),0,IF(BB32&lt;=0,0,IF(WEEKDAY(BB$6,1)=1,BB32*BB33,0)))</f>
        <v>0</v>
      </c>
      <c r="BC36" s="63">
        <f>IF(AND(BC32=0,BC33=0),0,IF(BC32&lt;=0,0,IF(WEEKDAY(BC$6,1)=1,BC32*BC33,0)))</f>
        <v>0</v>
      </c>
      <c r="BD36" s="63">
        <f>IF(AND(BD32=0,BD33=0),0,IF(BD32&lt;=0,0,IF(WEEKDAY(BD$6,1)=1,BD32*BD33,0)))</f>
        <v>0</v>
      </c>
      <c r="BE36" s="63">
        <f>IF(AND(BE32=0,BE33=0),0,IF(BE32&lt;=0,0,IF(WEEKDAY(BE$6,1)=1,BE32*BE33,0)))</f>
        <v>0</v>
      </c>
      <c r="BF36" s="64">
        <f>IF(AND(BF32=0,BF33=0),0,IF(BF32&lt;=0,0,IF(WEEKDAY(BF$6,1)=1,BF32*BF33,0)))</f>
        <v>0</v>
      </c>
      <c r="BG36" s="64">
        <f>IF(AND(BG32=0,BG33=0),0,IF(BG32&lt;=0,0,IF(WEEKDAY(BG$6,1)=1,BG32*BG33,0)))</f>
        <v>0</v>
      </c>
      <c r="BH36" s="63">
        <f>IF(AND(BH32=20,BH33=10),0,IF(BH32&lt;=0,0,IF(WEEKDAY(BH$6,1)=1,BH32*BH33,0)))</f>
        <v>0</v>
      </c>
      <c r="BI36" s="63">
        <f>IF(AND(BI32=20,BI33=10),0,IF(BI32&lt;=0,0,IF(WEEKDAY(BI$6,1)=1,BI32*BI33,0)))</f>
        <v>0</v>
      </c>
      <c r="BJ36" s="63">
        <f>IF(AND(BJ32=28,BJ33=10),0,IF(BJ32&lt;=0,0,IF(WEEKDAY(BJ$6,1)=1,BJ32*BJ33,0)))</f>
        <v>0</v>
      </c>
      <c r="BK36" s="63">
        <f>IF(AND(BK32=30,BK33=10),0,IF(BK32&lt;=0,0,IF(WEEKDAY(BK$6,1)=1,BK32*BK33,0)))</f>
        <v>0</v>
      </c>
      <c r="BL36" s="63">
        <f>IF(AND(BL32=30,BL33=10),0,IF(BL32&lt;=0,0,IF(WEEKDAY(BL$6,1)=1,BL32*BL33,0)))</f>
        <v>0</v>
      </c>
      <c r="BM36" s="64">
        <f>IF(AND(BM32=30,BM33=10),0,IF(BM32&lt;=0,0,IF(WEEKDAY(BM$6,1)=1,BM32*BM33,0)))</f>
        <v>0</v>
      </c>
      <c r="BN36" s="64">
        <f>IF(AND(BN32=30,BN33=10),300,IF(BN32&lt;=0,0,IF(WEEKDAY(BN$6,1)=1,BN32*BN33,0)))</f>
        <v>300</v>
      </c>
      <c r="BO36" s="63">
        <f>IF(AND(BO32=30,BO33=10),0,IF(BO32&lt;=0,0,IF(WEEKDAY(BO$6,1)=1,BO32*BO33,0)))</f>
        <v>0</v>
      </c>
      <c r="BP36" s="63">
        <f>IF(AND(BP32=30,BP33=10),0,IF(BP32&lt;=0,0,IF(WEEKDAY(BP$6,1)=1,BP32*BP33,0)))</f>
        <v>0</v>
      </c>
      <c r="BQ36" s="63">
        <f>IF(AND(BQ32=30,BQ33=10),0,IF(BQ32&lt;=0,0,IF(WEEKDAY(BQ$6,1)=1,BQ32*BQ33,0)))</f>
        <v>0</v>
      </c>
      <c r="BR36" s="63">
        <f>IF(AND(BR32=57,BR33=10),0,IF(BR32&lt;=0,0,IF(WEEKDAY(BR$6,1)=1,BR32*BR33,0)))</f>
        <v>0</v>
      </c>
      <c r="BS36" s="63">
        <f>IF(AND(BS32=57,BS33=10),0,IF(BS32&lt;=0,0,IF(WEEKDAY(BS$6,1)=1,BS32*BS33,0)))</f>
        <v>0</v>
      </c>
      <c r="BT36" s="64">
        <f>IF(AND(BT32=57,BT33=10),0,IF(BT32&lt;=0,0,IF(WEEKDAY(BT$6,1)=1,BT32*BT33,0)))</f>
        <v>0</v>
      </c>
      <c r="BU36" s="64">
        <f>IF(AND(BU32=57,BU33=10),570,IF(BU32&lt;=0,0,IF(WEEKDAY(BU$6,1)=1,BU32*BU33,0)))</f>
        <v>570</v>
      </c>
      <c r="BV36" s="63">
        <f>IF(AND(BV32=57,BV33=10),0,IF(BV32&lt;=0,0,IF(WEEKDAY(BV$6,1)=1,BV32*BV33,0)))</f>
        <v>0</v>
      </c>
      <c r="BW36" s="63">
        <f>IF(AND(BW32=57,BW33=10),0,IF(BW32&lt;=0,0,IF(WEEKDAY(BW$6,1)=1,BW32*BW33,0)))</f>
        <v>0</v>
      </c>
      <c r="BX36" s="63">
        <f>IF(AND(BX32=57,BX33=10),0,IF(BX32&lt;=0,0,IF(WEEKDAY(BX$6,1)=1,BX32*BX33,0)))</f>
        <v>0</v>
      </c>
      <c r="BY36" s="63">
        <f>IF(AND(BY32=57,BY33=10),0,IF(BY32&lt;=0,0,IF(WEEKDAY(BY$6,1)=1,BY32*BY33,0)))</f>
        <v>0</v>
      </c>
      <c r="BZ36" s="63">
        <f>IF(AND(BZ32=57,BZ33=10),0,IF(BZ32&lt;=0,0,IF(WEEKDAY(BZ$6,1)=1,BZ32*BZ33,0)))</f>
        <v>0</v>
      </c>
      <c r="CA36" s="64">
        <f>IF(AND(CA32=57,CA33=10),0,IF(CA32&lt;=0,0,IF(WEEKDAY(CA$6,1)=1,CA32*CA33,0)))</f>
        <v>0</v>
      </c>
      <c r="CB36" s="64">
        <f>IF(AND(CB32=57,CB33=10),570,IF(CB32&lt;=0,0,IF(WEEKDAY(CB$6,1)=1,CB32*CB33,0)))</f>
        <v>570</v>
      </c>
      <c r="CC36" s="63">
        <f>IF(AND(CC32=57,CC33=10),0,IF(CC32&lt;=0,0,IF(WEEKDAY(CC$6,1)=1,CC32*CC33,0)))</f>
        <v>0</v>
      </c>
      <c r="CD36" s="63">
        <f>IF(AND(CD32=57,CD33=10),0,IF(CD32&lt;=0,0,IF(WEEKDAY(CD$6,1)=1,CD32*CD33,0)))</f>
        <v>0</v>
      </c>
      <c r="CE36" s="63">
        <f>IF(AND(CE32=57,CE33=10),0,IF(CE32&lt;=0,0,IF(WEEKDAY(CE$6,1)=1,CE32*CE33,0)))</f>
        <v>0</v>
      </c>
      <c r="CF36" s="63">
        <f>IF(AND(CF32=57,CF33=10),0,IF(CF32&lt;=0,0,IF(WEEKDAY(CF$6,1)=1,CF32*CF33,0)))</f>
        <v>0</v>
      </c>
      <c r="CG36" s="63">
        <f>IF(AND(CG32=57,CG33=10),0,IF(CG32&lt;=0,0,IF(WEEKDAY(CG$6,1)=1,CG32*CG33,0)))</f>
        <v>0</v>
      </c>
      <c r="CH36" s="64">
        <f>IF(AND(CH32=57,CH33=10),0,IF(CH32&lt;=0,0,IF(WEEKDAY(CH$6,1)=1,CH32*CH33,0)))</f>
        <v>0</v>
      </c>
      <c r="CI36" s="64">
        <f>IF(AND(CI32=57,CI33=10),570,IF(CI32&lt;=0,0,IF(WEEKDAY(CI$6,1)=1,CI32*CI33,0)))</f>
        <v>570</v>
      </c>
      <c r="CJ36" s="63">
        <f>IF(AND(CJ32=57,CJ33=10),0,IF(CJ32&lt;=0,0,IF(WEEKDAY(CJ$6,1)=1,CJ32*CJ33,0)))</f>
        <v>0</v>
      </c>
      <c r="CK36" s="63">
        <f>IF(AND(CK32=57,CK33=10),0,IF(CK32&lt;=0,0,IF(WEEKDAY(CK$6,1)=1,CK32*CK33,0)))</f>
        <v>0</v>
      </c>
      <c r="CL36" s="63">
        <f>IF(AND(CL32=57,CL33=10),0,IF(CL32&lt;=0,0,IF(WEEKDAY(CL$6,1)=1,CL32*CL33,0)))</f>
        <v>0</v>
      </c>
      <c r="CM36" s="63">
        <f>IF(AND(CM32=57,CM33=10),0,IF(CM32&lt;=0,0,IF(WEEKDAY(CM$6,1)=1,CM32*CM33,0)))</f>
        <v>0</v>
      </c>
      <c r="CN36" s="63">
        <f>IF(AND(CN32=57,CN33=10),0,IF(CN32&lt;=0,0,IF(WEEKDAY(CN$6,1)=1,CN32*CN33,0)))</f>
        <v>0</v>
      </c>
      <c r="CO36" s="64">
        <f>IF(AND(CO32=57,CO33=10),0,IF(CO32&lt;=0,0,IF(WEEKDAY(CO$6,1)=1,CO32*CO33,0)))</f>
        <v>0</v>
      </c>
      <c r="CP36" s="64">
        <f>IF(AND(CP32=57,CP33=10),570,IF(CP32&lt;=0,0,IF(WEEKDAY(CP$6,1)=1,CP32*CP33,0)))</f>
        <v>570</v>
      </c>
      <c r="CQ36" s="63">
        <f>IF(AND(CQ32=57,CQ33=10),0,IF(CQ32&lt;=0,0,IF(WEEKDAY(CQ$6,1)=1,CQ32*CQ33,0)))</f>
        <v>0</v>
      </c>
      <c r="CR36" s="63">
        <f>IF(AND(CR32=57,CR33=10),0,IF(CR32&lt;=0,0,IF(WEEKDAY(CR$6,1)=1,CR32*CR33,0)))</f>
        <v>0</v>
      </c>
      <c r="CS36" s="63">
        <f>IF(AND(CS32=57,CS33=10),0,IF(CS32&lt;=0,0,IF(WEEKDAY(CS$6,1)=1,CS32*CS33,0)))</f>
        <v>0</v>
      </c>
      <c r="CT36" s="63">
        <f>IF(AND(CT32=57,CT33=10),0,IF(CT32&lt;=0,0,IF(WEEKDAY(CT$6,1)=1,CT32*CT33,0)))</f>
        <v>0</v>
      </c>
      <c r="CU36" s="63">
        <f>IF(AND(CU32=57,CU33=10),0,IF(CU32&lt;=0,0,IF(WEEKDAY(CU$6,1)=1,CU32*CU33,0)))</f>
        <v>0</v>
      </c>
      <c r="CV36" s="64">
        <f>IF(AND(CV32=50,CV33=10),0,IF(CV32&lt;=0,0,IF(WEEKDAY(CV$6,1)=1,CV32*CV33,0)))</f>
        <v>0</v>
      </c>
      <c r="CW36" s="64">
        <f>IF(AND(CW32=50,CW33=10),500,IF(CW32&lt;=0,0,IF(WEEKDAY(CW$6,1)=1,CW32*CW33,0)))</f>
        <v>500</v>
      </c>
      <c r="CX36" s="63">
        <f>IF(AND(CX32=50,CX33=10),0,IF(CX32&lt;=0,0,IF(WEEKDAY(CX$6,1)=1,CX32*CX33,0)))</f>
        <v>0</v>
      </c>
      <c r="CY36" s="63">
        <f>IF(AND(CY32=50,CY33=10),0,IF(CY32&lt;=0,0,IF(WEEKDAY(CY$6,1)=1,CY32*CY33,0)))</f>
        <v>0</v>
      </c>
      <c r="CZ36" s="63">
        <f>IF(AND(CZ32=50,CZ33=10),0,IF(CZ32&lt;=0,0,IF(WEEKDAY(CZ$6,1)=1,CZ32*CZ33,0)))</f>
        <v>0</v>
      </c>
      <c r="DA36" s="63">
        <f>IF(AND(DA32=50,DA33=10),0,IF(DA32&lt;=0,0,IF(WEEKDAY(DA$6,1)=1,DA32*DA33,0)))</f>
        <v>0</v>
      </c>
      <c r="DB36" s="63">
        <f>IF(AND(DB32=50,DB33=10),0,IF(DB32&lt;=0,0,IF(WEEKDAY(DB$6,1)=1,DB32*DB33,0)))</f>
        <v>0</v>
      </c>
      <c r="DC36" s="64">
        <f>IF(AND(DC32=50,DC33=10),0,IF(DC32&lt;=0,0,IF(WEEKDAY(DC$6,1)=1,DC32*DC33,0)))</f>
        <v>0</v>
      </c>
      <c r="DD36" s="64">
        <f>IF(AND(DD32=10,DD33=10),100,IF(DD32&lt;=0,0,IF(WEEKDAY(DD$6,1)=1,DD32*DD33,0)))</f>
        <v>100</v>
      </c>
      <c r="DE36" s="63">
        <f>IF(AND(DE32=10,DE33=10),0,IF(DE32&lt;=0,0,IF(WEEKDAY(DE$6,1)=1,DE32*DE33,0)))</f>
        <v>0</v>
      </c>
      <c r="DF36" s="63">
        <f>IF(AND(DF32=10,DF33=10),0,IF(DF32&lt;=0,0,IF(WEEKDAY(DF$6,1)=1,DF32*DF33,0)))</f>
        <v>0</v>
      </c>
      <c r="DG36" s="63">
        <f>IF(AND(DG32=10,DG33=10),0,IF(DG32&lt;=0,0,IF(WEEKDAY(DG$6,1)=1,DG32*DG33,0)))</f>
        <v>0</v>
      </c>
      <c r="DH36" s="63">
        <f>IF(AND(DH32=10,DH33=10),0,IF(DH32&lt;=0,0,IF(WEEKDAY(DH$6,1)=1,DH32*DH33,0)))</f>
        <v>0</v>
      </c>
      <c r="DI36" s="63">
        <f>IF(AND(DI32=10,DI33=10),0,IF(DI32&lt;=0,0,IF(WEEKDAY(DI$6,1)=1,DI32*DI33,0)))</f>
        <v>0</v>
      </c>
      <c r="DJ36" s="64">
        <f>IF(AND(DJ32=10,DJ33=10),0,IF(DJ32&lt;=0,0,IF(WEEKDAY(DJ$6,1)=1,DJ32*DJ33,0)))</f>
        <v>0</v>
      </c>
      <c r="DK36" s="64">
        <f>IF(AND(DK32=10,DK33=10),100,IF(DK32&lt;=0,0,IF(WEEKDAY(DK$6,1)=1,DK32*DK33,0)))</f>
        <v>100</v>
      </c>
      <c r="DL36" s="63">
        <f>IF(AND(DL32=6,DL33=10),0,IF(DL32&lt;=0,0,IF(WEEKDAY(DL$6,1)=1,DL32*DL33,0)))</f>
        <v>0</v>
      </c>
      <c r="DM36" s="63">
        <f>IF(AND(DM32=6,DM33=10),0,IF(DM32&lt;=0,0,IF(WEEKDAY(DM$6,1)=1,DM32*DM33,0)))</f>
        <v>0</v>
      </c>
      <c r="DN36" s="63">
        <f>IF(AND(DN32=6,DN33=10),0,IF(DN32&lt;=0,0,IF(WEEKDAY(DN$6,1)=1,DN32*DN33,0)))</f>
        <v>0</v>
      </c>
      <c r="DO36" s="63">
        <f>IF(AND(DO32=6,DO33=10),0,IF(DO32&lt;=0,0,IF(WEEKDAY(DO$6,1)=1,DO32*DO33,0)))</f>
        <v>0</v>
      </c>
      <c r="DP36" s="63">
        <f>IF(AND(DP32=6,DP33=10),0,IF(DP32&lt;=0,0,IF(WEEKDAY(DP$6,1)=1,DP32*DP33,0)))</f>
        <v>0</v>
      </c>
      <c r="DQ36" s="64">
        <f>IF(AND(DQ32=6,DQ33=10),0,IF(DQ32&lt;=0,0,IF(WEEKDAY(DQ$6,1)=1,DQ32*DQ33,0)))</f>
        <v>0</v>
      </c>
      <c r="DR36" s="64">
        <f>IF(AND(DR32=6,DR33=10),60,IF(DR32&lt;=0,0,IF(WEEKDAY(DR$6,1)=1,DR32*DR33,0)))</f>
        <v>60</v>
      </c>
      <c r="DS36" s="63">
        <f>IF(AND(DS32=6,DS33=10),0,IF(DS32&lt;=0,0,IF(WEEKDAY(DS$6,1)=1,DS32*DS33,0)))</f>
        <v>0</v>
      </c>
      <c r="DT36" s="63">
        <f>IF(AND(DT32=0,DT33=0),0,IF(DT32&lt;=0,0,IF(WEEKDAY(DT$6,1)=1,DT32*DT33,0)))</f>
        <v>0</v>
      </c>
      <c r="DU36" s="63">
        <f>IF(AND(DU32=0,DU33=0),0,IF(DU32&lt;=0,0,IF(WEEKDAY(DU$6,1)=1,DU32*DU33,0)))</f>
        <v>0</v>
      </c>
      <c r="DV36" s="63">
        <f>IF(AND(DV32=0,DV33=0),0,IF(DV32&lt;=0,0,IF(WEEKDAY(DV$6,1)=1,DV32*DV33,0)))</f>
        <v>0</v>
      </c>
      <c r="DW36" s="63">
        <f>IF(AND(DW32=0,DW33=0),0,IF(DW32&lt;=0,0,IF(WEEKDAY(DW$6,1)=1,DW32*DW33,0)))</f>
        <v>0</v>
      </c>
      <c r="DX36" s="64">
        <f>IF(AND(DX32=0,DX33=0),0,IF(DX32&lt;=0,0,IF(WEEKDAY(DX$6,1)=1,DX32*DX33,0)))</f>
        <v>0</v>
      </c>
      <c r="DY36" s="64">
        <f>IF(AND(DY32=0,DY33=0),0,IF(DY32&lt;=0,0,IF(WEEKDAY(DY$6,1)=1,DY32*DY33,0)))</f>
        <v>0</v>
      </c>
      <c r="DZ36" s="63">
        <f>IF(AND(DZ32=0,DZ33=0),0,IF(DZ32&lt;=0,0,IF(WEEKDAY(DZ$6,1)=1,DZ32*DZ33,0)))</f>
        <v>0</v>
      </c>
      <c r="EA36" s="63">
        <f>IF(AND(EA32=0,EA33=0),0,IF(EA32&lt;=0,0,IF(WEEKDAY(EA$6,1)=1,EA32*EA33,0)))</f>
        <v>0</v>
      </c>
      <c r="EB36" s="63">
        <f>IF(AND(EB32=0,EB33=0),0,IF(EB32&lt;=0,0,IF(WEEKDAY(EB$6,1)=1,EB32*EB33,0)))</f>
        <v>0</v>
      </c>
      <c r="EC36" s="63">
        <f>IF(AND(EC32=0,EC33=0),0,IF(EC32&lt;=0,0,IF(WEEKDAY(EC$6,1)=1,EC32*EC33,0)))</f>
        <v>0</v>
      </c>
      <c r="ED36" s="63">
        <f>IF(AND(ED32=0,ED33=0),0,IF(ED32&lt;=0,0,IF(WEEKDAY(ED$6,1)=1,ED32*ED33,0)))</f>
        <v>0</v>
      </c>
      <c r="EE36" s="64">
        <f>IF(AND(EE32=0,EE33=0),0,IF(EE32&lt;=0,0,IF(WEEKDAY(EE$6,1)=1,EE32*EE33,0)))</f>
        <v>0</v>
      </c>
      <c r="EF36" s="64">
        <f>IF(AND(EF32=0,EF33=0),0,IF(EF32&lt;=0,0,IF(WEEKDAY(EF$6,1)=1,EF32*EF33,0)))</f>
        <v>0</v>
      </c>
      <c r="EG36" s="63">
        <f>IF(AND(EG32=0,EG33=0),0,IF(EG32&lt;=0,0,IF(WEEKDAY(EG$6,1)=1,EG32*EG33,0)))</f>
        <v>0</v>
      </c>
      <c r="EH36" s="63">
        <f>IF(AND(EH32=0,EH33=0),0,IF(EH32&lt;=0,0,IF(WEEKDAY(EH$6,1)=1,EH32*EH33,0)))</f>
        <v>0</v>
      </c>
      <c r="EI36" s="63">
        <f>IF(AND(EI32=0,EI33=0),0,IF(EI32&lt;=0,0,IF(WEEKDAY(EI$6,1)=1,EI32*EI33,0)))</f>
        <v>0</v>
      </c>
      <c r="EJ36" s="63">
        <f>IF(AND(EJ32=0,EJ33=0),0,IF(EJ32&lt;=0,0,IF(WEEKDAY(EJ$6,1)=1,EJ32*EJ33,0)))</f>
        <v>0</v>
      </c>
      <c r="EK36" s="65">
        <f>IF(AND(EK32=0,EK33=0),0,IF(EK32&lt;=0,0,IF(WEEKDAY(EK$6,1)=1,EK32*EK33,0)))</f>
        <v>0</v>
      </c>
      <c r="OU36" s="28" t="s">
        <v>116</v>
      </c>
    </row>
    <row r="37" ht="16" customHeight="1" spans="1:411" x14ac:dyDescent="0.25">
      <c r="A37" s="74"/>
      <c r="B37" s="46"/>
      <c r="C37" s="67">
        <f>I31*D37</f>
        <v>261820</v>
      </c>
      <c r="D37" s="67">
        <v>130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20</v>
      </c>
      <c r="BI37" s="70">
        <v>20</v>
      </c>
      <c r="BJ37" s="70">
        <v>20</v>
      </c>
      <c r="BK37" s="70">
        <v>20</v>
      </c>
      <c r="BL37" s="70">
        <v>20</v>
      </c>
      <c r="BM37" s="71">
        <v>20</v>
      </c>
      <c r="BN37" s="71">
        <v>20</v>
      </c>
      <c r="BO37" s="70">
        <v>20</v>
      </c>
      <c r="BP37" s="70">
        <v>20</v>
      </c>
      <c r="BQ37" s="70">
        <v>20</v>
      </c>
      <c r="BR37" s="70">
        <v>45</v>
      </c>
      <c r="BS37" s="70">
        <v>45</v>
      </c>
      <c r="BT37" s="71">
        <v>45</v>
      </c>
      <c r="BU37" s="71">
        <v>45</v>
      </c>
      <c r="BV37" s="70">
        <v>45</v>
      </c>
      <c r="BW37" s="70">
        <v>45</v>
      </c>
      <c r="BX37" s="70">
        <v>45</v>
      </c>
      <c r="BY37" s="70">
        <v>45</v>
      </c>
      <c r="BZ37" s="70">
        <v>45</v>
      </c>
      <c r="CA37" s="71">
        <v>45</v>
      </c>
      <c r="CB37" s="71">
        <v>45</v>
      </c>
      <c r="CC37" s="70">
        <v>45</v>
      </c>
      <c r="CD37" s="70">
        <v>45</v>
      </c>
      <c r="CE37" s="70">
        <v>45</v>
      </c>
      <c r="CF37" s="70">
        <v>45</v>
      </c>
      <c r="CG37" s="70">
        <v>45</v>
      </c>
      <c r="CH37" s="71">
        <v>45</v>
      </c>
      <c r="CI37" s="71">
        <v>45</v>
      </c>
      <c r="CJ37" s="70">
        <v>45</v>
      </c>
      <c r="CK37" s="70">
        <v>45</v>
      </c>
      <c r="CL37" s="70">
        <v>45</v>
      </c>
      <c r="CM37" s="70">
        <v>45</v>
      </c>
      <c r="CN37" s="70">
        <v>45</v>
      </c>
      <c r="CO37" s="71">
        <v>45</v>
      </c>
      <c r="CP37" s="71">
        <v>45</v>
      </c>
      <c r="CQ37" s="70">
        <v>45</v>
      </c>
      <c r="CR37" s="70">
        <v>45</v>
      </c>
      <c r="CS37" s="70">
        <v>45</v>
      </c>
      <c r="CT37" s="70">
        <v>45</v>
      </c>
      <c r="CU37" s="70">
        <v>45</v>
      </c>
      <c r="CV37" s="71">
        <v>45</v>
      </c>
      <c r="CW37" s="71">
        <v>45</v>
      </c>
      <c r="CX37" s="70">
        <v>45</v>
      </c>
      <c r="CY37" s="70">
        <v>45</v>
      </c>
      <c r="CZ37" s="70">
        <v>45</v>
      </c>
      <c r="DA37" s="70">
        <v>45</v>
      </c>
      <c r="DB37" s="70">
        <v>45</v>
      </c>
      <c r="DC37" s="71">
        <v>45</v>
      </c>
      <c r="DD37" s="71">
        <v>7</v>
      </c>
      <c r="DE37" s="70">
        <v>7</v>
      </c>
      <c r="DF37" s="70">
        <v>7</v>
      </c>
      <c r="DG37" s="70">
        <v>7</v>
      </c>
      <c r="DH37" s="70">
        <v>7</v>
      </c>
      <c r="DI37" s="70">
        <v>7</v>
      </c>
      <c r="DJ37" s="71">
        <v>7</v>
      </c>
      <c r="DK37" s="71">
        <v>7</v>
      </c>
      <c r="DL37" s="70">
        <v>6</v>
      </c>
      <c r="DM37" s="70">
        <v>6</v>
      </c>
      <c r="DN37" s="70">
        <v>6</v>
      </c>
      <c r="DO37" s="70">
        <v>6</v>
      </c>
      <c r="DP37" s="70">
        <v>6</v>
      </c>
      <c r="DQ37" s="71">
        <v>6</v>
      </c>
      <c r="DR37" s="71">
        <v>6</v>
      </c>
      <c r="DS37" s="70">
        <v>6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116</v>
      </c>
    </row>
    <row r="38" ht="16" customHeight="1" spans="1:411" x14ac:dyDescent="0.25">
      <c r="A38" s="16" t="s">
        <v>104</v>
      </c>
      <c r="B38" s="17"/>
      <c r="C38" s="75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5">
        <f>SUM(J7,J15,J23,J31)</f>
        <v>10343765.44</v>
      </c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dataValidations count="4">
    <dataValidation type="list" allowBlank="1" sqref="B15">
      <formula1>=_Lists!$C$1:$C$51</formula1>
    </dataValidation>
    <dataValidation type="list" allowBlank="1" sqref="B23">
      <formula1>=_Lists!$C$1:$C$51</formula1>
    </dataValidation>
    <dataValidation type="list" allowBlank="1" sqref="B31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77" t="s">
        <v>117</v>
      </c>
      <c r="C7" s="47">
        <f>J7</f>
        <v>124092.72</v>
      </c>
      <c r="D7" s="48"/>
      <c r="E7" s="48"/>
      <c r="F7" s="49">
        <f>SUM(K10:EK10)</f>
        <v>648</v>
      </c>
      <c r="G7" s="49">
        <f>SUM(K11:EK11)</f>
        <v>292</v>
      </c>
      <c r="H7" s="49">
        <f>SUM(K12:EK12)</f>
        <v>108</v>
      </c>
      <c r="I7" s="49">
        <f>SUM(K13:EK13)</f>
        <v>0</v>
      </c>
      <c r="J7" s="50">
        <f>C10+C11+C12</f>
        <v>124092.72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118</v>
      </c>
    </row>
    <row r="8" ht="16" customHeight="1" spans="1:411" x14ac:dyDescent="0.25">
      <c r="A8" s="45"/>
      <c r="B8" s="77"/>
      <c r="C8" s="47"/>
      <c r="D8" s="48"/>
      <c r="E8" s="55" t="s">
        <v>60</v>
      </c>
      <c r="F8" s="49"/>
      <c r="G8" s="49"/>
      <c r="H8" s="49"/>
      <c r="I8" s="49"/>
      <c r="J8" s="50"/>
      <c r="K8" s="56">
        <v>1</v>
      </c>
      <c r="L8" s="57">
        <v>1</v>
      </c>
      <c r="M8" s="57">
        <v>1</v>
      </c>
      <c r="N8" s="57">
        <v>1</v>
      </c>
      <c r="O8" s="57">
        <v>1</v>
      </c>
      <c r="P8" s="58">
        <v>0</v>
      </c>
      <c r="Q8" s="58">
        <v>0</v>
      </c>
      <c r="R8" s="57">
        <v>1</v>
      </c>
      <c r="S8" s="57">
        <v>1</v>
      </c>
      <c r="T8" s="57">
        <v>1</v>
      </c>
      <c r="U8" s="57">
        <v>1</v>
      </c>
      <c r="V8" s="57">
        <v>1</v>
      </c>
      <c r="W8" s="58">
        <v>0</v>
      </c>
      <c r="X8" s="58">
        <v>0</v>
      </c>
      <c r="Y8" s="57">
        <v>1</v>
      </c>
      <c r="Z8" s="57">
        <v>1</v>
      </c>
      <c r="AA8" s="57">
        <v>1</v>
      </c>
      <c r="AB8" s="57">
        <v>1</v>
      </c>
      <c r="AC8" s="57">
        <v>1</v>
      </c>
      <c r="AD8" s="58">
        <v>0</v>
      </c>
      <c r="AE8" s="58">
        <v>0</v>
      </c>
      <c r="AF8" s="57">
        <v>1</v>
      </c>
      <c r="AG8" s="57">
        <v>1</v>
      </c>
      <c r="AH8" s="57">
        <v>1</v>
      </c>
      <c r="AI8" s="57">
        <v>1</v>
      </c>
      <c r="AJ8" s="57">
        <v>1</v>
      </c>
      <c r="AK8" s="58">
        <v>0</v>
      </c>
      <c r="AL8" s="58">
        <v>0</v>
      </c>
      <c r="AM8" s="57">
        <v>1</v>
      </c>
      <c r="AN8" s="57">
        <v>1</v>
      </c>
      <c r="AO8" s="57">
        <v>1</v>
      </c>
      <c r="AP8" s="57">
        <v>1</v>
      </c>
      <c r="AQ8" s="57">
        <v>1</v>
      </c>
      <c r="AR8" s="58">
        <v>0</v>
      </c>
      <c r="AS8" s="58">
        <v>0</v>
      </c>
      <c r="AT8" s="57">
        <v>1</v>
      </c>
      <c r="AU8" s="57">
        <v>1</v>
      </c>
      <c r="AV8" s="57">
        <v>1</v>
      </c>
      <c r="AW8" s="57">
        <v>1</v>
      </c>
      <c r="AX8" s="57">
        <v>1</v>
      </c>
      <c r="AY8" s="58">
        <v>0</v>
      </c>
      <c r="AZ8" s="58">
        <v>0</v>
      </c>
      <c r="BA8" s="57">
        <v>1</v>
      </c>
      <c r="BB8" s="57">
        <v>1</v>
      </c>
      <c r="BC8" s="57">
        <v>1</v>
      </c>
      <c r="BD8" s="57">
        <v>1</v>
      </c>
      <c r="BE8" s="57">
        <v>1</v>
      </c>
      <c r="BF8" s="58">
        <v>0</v>
      </c>
      <c r="BG8" s="58">
        <v>0</v>
      </c>
      <c r="BH8" s="57">
        <v>1</v>
      </c>
      <c r="BI8" s="57">
        <v>1</v>
      </c>
      <c r="BJ8" s="57">
        <v>1</v>
      </c>
      <c r="BK8" s="57">
        <v>1</v>
      </c>
      <c r="BL8" s="57">
        <v>1</v>
      </c>
      <c r="BM8" s="58">
        <v>1</v>
      </c>
      <c r="BN8" s="58">
        <v>1</v>
      </c>
      <c r="BO8" s="57">
        <v>1</v>
      </c>
      <c r="BP8" s="57">
        <v>1</v>
      </c>
      <c r="BQ8" s="57">
        <v>1</v>
      </c>
      <c r="BR8" s="57">
        <v>1</v>
      </c>
      <c r="BS8" s="57">
        <v>1</v>
      </c>
      <c r="BT8" s="58">
        <v>1</v>
      </c>
      <c r="BU8" s="58">
        <v>1</v>
      </c>
      <c r="BV8" s="57">
        <v>1</v>
      </c>
      <c r="BW8" s="57">
        <v>1</v>
      </c>
      <c r="BX8" s="57">
        <v>1</v>
      </c>
      <c r="BY8" s="57">
        <v>1</v>
      </c>
      <c r="BZ8" s="57">
        <v>1</v>
      </c>
      <c r="CA8" s="58">
        <v>1</v>
      </c>
      <c r="CB8" s="58">
        <v>1</v>
      </c>
      <c r="CC8" s="57">
        <v>1</v>
      </c>
      <c r="CD8" s="57">
        <v>1</v>
      </c>
      <c r="CE8" s="57">
        <v>1</v>
      </c>
      <c r="CF8" s="57">
        <v>1</v>
      </c>
      <c r="CG8" s="57">
        <v>1</v>
      </c>
      <c r="CH8" s="58">
        <v>1</v>
      </c>
      <c r="CI8" s="58">
        <v>1</v>
      </c>
      <c r="CJ8" s="57">
        <v>1</v>
      </c>
      <c r="CK8" s="57">
        <v>1</v>
      </c>
      <c r="CL8" s="57">
        <v>1</v>
      </c>
      <c r="CM8" s="57">
        <v>1</v>
      </c>
      <c r="CN8" s="57">
        <v>1</v>
      </c>
      <c r="CO8" s="58">
        <v>1</v>
      </c>
      <c r="CP8" s="58">
        <v>1</v>
      </c>
      <c r="CQ8" s="57">
        <v>1</v>
      </c>
      <c r="CR8" s="57">
        <v>1</v>
      </c>
      <c r="CS8" s="57">
        <v>1</v>
      </c>
      <c r="CT8" s="57">
        <v>1</v>
      </c>
      <c r="CU8" s="57">
        <v>1</v>
      </c>
      <c r="CV8" s="58">
        <v>1</v>
      </c>
      <c r="CW8" s="58">
        <v>1</v>
      </c>
      <c r="CX8" s="57">
        <v>1</v>
      </c>
      <c r="CY8" s="57">
        <v>1</v>
      </c>
      <c r="CZ8" s="57">
        <v>1</v>
      </c>
      <c r="DA8" s="57">
        <v>1</v>
      </c>
      <c r="DB8" s="57">
        <v>1</v>
      </c>
      <c r="DC8" s="58">
        <v>1</v>
      </c>
      <c r="DD8" s="58">
        <v>1</v>
      </c>
      <c r="DE8" s="57">
        <v>1</v>
      </c>
      <c r="DF8" s="57">
        <v>1</v>
      </c>
      <c r="DG8" s="57">
        <v>1</v>
      </c>
      <c r="DH8" s="57">
        <v>1</v>
      </c>
      <c r="DI8" s="57">
        <v>1</v>
      </c>
      <c r="DJ8" s="58">
        <v>1</v>
      </c>
      <c r="DK8" s="58">
        <v>1</v>
      </c>
      <c r="DL8" s="57">
        <v>1</v>
      </c>
      <c r="DM8" s="57">
        <v>1</v>
      </c>
      <c r="DN8" s="57">
        <v>1</v>
      </c>
      <c r="DO8" s="57">
        <v>1</v>
      </c>
      <c r="DP8" s="57">
        <v>1</v>
      </c>
      <c r="DQ8" s="58">
        <v>1</v>
      </c>
      <c r="DR8" s="58">
        <v>1</v>
      </c>
      <c r="DS8" s="57">
        <v>1</v>
      </c>
      <c r="DT8" s="57">
        <v>0</v>
      </c>
      <c r="DU8" s="57">
        <v>0</v>
      </c>
      <c r="DV8" s="57">
        <v>0</v>
      </c>
      <c r="DW8" s="57">
        <v>0</v>
      </c>
      <c r="DX8" s="58">
        <v>0</v>
      </c>
      <c r="DY8" s="58">
        <v>0</v>
      </c>
      <c r="DZ8" s="57">
        <v>0</v>
      </c>
      <c r="EA8" s="57">
        <v>0</v>
      </c>
      <c r="EB8" s="57">
        <v>0</v>
      </c>
      <c r="EC8" s="57">
        <v>0</v>
      </c>
      <c r="ED8" s="57">
        <v>0</v>
      </c>
      <c r="EE8" s="58">
        <v>0</v>
      </c>
      <c r="EF8" s="58">
        <v>0</v>
      </c>
      <c r="EG8" s="57">
        <v>0</v>
      </c>
      <c r="EH8" s="57">
        <v>0</v>
      </c>
      <c r="EI8" s="57">
        <v>0</v>
      </c>
      <c r="EJ8" s="57">
        <v>0</v>
      </c>
      <c r="EK8" s="59">
        <v>0</v>
      </c>
      <c r="OU8" s="60" t="s">
        <v>118</v>
      </c>
    </row>
    <row r="9" ht="16" customHeight="1" spans="1:411" x14ac:dyDescent="0.25">
      <c r="A9" s="45"/>
      <c r="B9" s="77"/>
      <c r="C9" s="47"/>
      <c r="D9" s="48"/>
      <c r="E9" s="55" t="s">
        <v>61</v>
      </c>
      <c r="F9" s="49"/>
      <c r="G9" s="49"/>
      <c r="H9" s="49"/>
      <c r="I9" s="49"/>
      <c r="J9" s="50"/>
      <c r="K9" s="56">
        <v>8</v>
      </c>
      <c r="L9" s="57">
        <v>8</v>
      </c>
      <c r="M9" s="57">
        <v>8</v>
      </c>
      <c r="N9" s="57">
        <v>8</v>
      </c>
      <c r="O9" s="57">
        <v>8</v>
      </c>
      <c r="P9" s="58">
        <v>0</v>
      </c>
      <c r="Q9" s="58">
        <v>0</v>
      </c>
      <c r="R9" s="57">
        <v>8</v>
      </c>
      <c r="S9" s="57">
        <v>8</v>
      </c>
      <c r="T9" s="57">
        <v>8</v>
      </c>
      <c r="U9" s="57">
        <v>8</v>
      </c>
      <c r="V9" s="57">
        <v>8</v>
      </c>
      <c r="W9" s="58">
        <v>0</v>
      </c>
      <c r="X9" s="58">
        <v>0</v>
      </c>
      <c r="Y9" s="57">
        <v>8</v>
      </c>
      <c r="Z9" s="57">
        <v>8</v>
      </c>
      <c r="AA9" s="57">
        <v>8</v>
      </c>
      <c r="AB9" s="57">
        <v>8</v>
      </c>
      <c r="AC9" s="57">
        <v>8</v>
      </c>
      <c r="AD9" s="58">
        <v>0</v>
      </c>
      <c r="AE9" s="58">
        <v>0</v>
      </c>
      <c r="AF9" s="57">
        <v>8</v>
      </c>
      <c r="AG9" s="57">
        <v>8</v>
      </c>
      <c r="AH9" s="57">
        <v>8</v>
      </c>
      <c r="AI9" s="57">
        <v>8</v>
      </c>
      <c r="AJ9" s="57">
        <v>8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12</v>
      </c>
      <c r="BI9" s="57">
        <v>12</v>
      </c>
      <c r="BJ9" s="57">
        <v>12</v>
      </c>
      <c r="BK9" s="57">
        <v>12</v>
      </c>
      <c r="BL9" s="57">
        <v>12</v>
      </c>
      <c r="BM9" s="58">
        <v>12</v>
      </c>
      <c r="BN9" s="58">
        <v>12</v>
      </c>
      <c r="BO9" s="57">
        <v>12</v>
      </c>
      <c r="BP9" s="57">
        <v>12</v>
      </c>
      <c r="BQ9" s="57">
        <v>12</v>
      </c>
      <c r="BR9" s="57">
        <v>12</v>
      </c>
      <c r="BS9" s="57">
        <v>12</v>
      </c>
      <c r="BT9" s="58">
        <v>12</v>
      </c>
      <c r="BU9" s="58">
        <v>12</v>
      </c>
      <c r="BV9" s="57">
        <v>12</v>
      </c>
      <c r="BW9" s="57">
        <v>12</v>
      </c>
      <c r="BX9" s="57">
        <v>12</v>
      </c>
      <c r="BY9" s="57">
        <v>12</v>
      </c>
      <c r="BZ9" s="57">
        <v>12</v>
      </c>
      <c r="CA9" s="58">
        <v>12</v>
      </c>
      <c r="CB9" s="58">
        <v>12</v>
      </c>
      <c r="CC9" s="57">
        <v>12</v>
      </c>
      <c r="CD9" s="57">
        <v>12</v>
      </c>
      <c r="CE9" s="57">
        <v>12</v>
      </c>
      <c r="CF9" s="57">
        <v>12</v>
      </c>
      <c r="CG9" s="57">
        <v>12</v>
      </c>
      <c r="CH9" s="58">
        <v>12</v>
      </c>
      <c r="CI9" s="58">
        <v>12</v>
      </c>
      <c r="CJ9" s="57">
        <v>12</v>
      </c>
      <c r="CK9" s="57">
        <v>12</v>
      </c>
      <c r="CL9" s="57">
        <v>12</v>
      </c>
      <c r="CM9" s="57">
        <v>12</v>
      </c>
      <c r="CN9" s="57">
        <v>12</v>
      </c>
      <c r="CO9" s="58">
        <v>12</v>
      </c>
      <c r="CP9" s="58">
        <v>12</v>
      </c>
      <c r="CQ9" s="57">
        <v>12</v>
      </c>
      <c r="CR9" s="57">
        <v>12</v>
      </c>
      <c r="CS9" s="57">
        <v>12</v>
      </c>
      <c r="CT9" s="57">
        <v>12</v>
      </c>
      <c r="CU9" s="57">
        <v>12</v>
      </c>
      <c r="CV9" s="58">
        <v>12</v>
      </c>
      <c r="CW9" s="58">
        <v>12</v>
      </c>
      <c r="CX9" s="57">
        <v>12</v>
      </c>
      <c r="CY9" s="57">
        <v>12</v>
      </c>
      <c r="CZ9" s="57">
        <v>12</v>
      </c>
      <c r="DA9" s="57">
        <v>12</v>
      </c>
      <c r="DB9" s="57">
        <v>12</v>
      </c>
      <c r="DC9" s="58">
        <v>12</v>
      </c>
      <c r="DD9" s="58">
        <v>12</v>
      </c>
      <c r="DE9" s="57">
        <v>12</v>
      </c>
      <c r="DF9" s="57">
        <v>12</v>
      </c>
      <c r="DG9" s="57">
        <v>12</v>
      </c>
      <c r="DH9" s="57">
        <v>12</v>
      </c>
      <c r="DI9" s="57">
        <v>12</v>
      </c>
      <c r="DJ9" s="58">
        <v>12</v>
      </c>
      <c r="DK9" s="58">
        <v>12</v>
      </c>
      <c r="DL9" s="57">
        <v>12</v>
      </c>
      <c r="DM9" s="57">
        <v>12</v>
      </c>
      <c r="DN9" s="57">
        <v>12</v>
      </c>
      <c r="DO9" s="57">
        <v>12</v>
      </c>
      <c r="DP9" s="57">
        <v>12</v>
      </c>
      <c r="DQ9" s="58">
        <v>12</v>
      </c>
      <c r="DR9" s="58">
        <v>12</v>
      </c>
      <c r="DS9" s="57">
        <v>12</v>
      </c>
      <c r="DT9" s="57">
        <v>0</v>
      </c>
      <c r="DU9" s="57">
        <v>0</v>
      </c>
      <c r="DV9" s="57">
        <v>0</v>
      </c>
      <c r="DW9" s="57">
        <v>0</v>
      </c>
      <c r="DX9" s="58">
        <v>0</v>
      </c>
      <c r="DY9" s="58">
        <v>0</v>
      </c>
      <c r="DZ9" s="57">
        <v>0</v>
      </c>
      <c r="EA9" s="57">
        <v>0</v>
      </c>
      <c r="EB9" s="57">
        <v>0</v>
      </c>
      <c r="EC9" s="57">
        <v>0</v>
      </c>
      <c r="ED9" s="57">
        <v>0</v>
      </c>
      <c r="EE9" s="58">
        <v>0</v>
      </c>
      <c r="EF9" s="58">
        <v>0</v>
      </c>
      <c r="EG9" s="57">
        <v>0</v>
      </c>
      <c r="EH9" s="57">
        <v>0</v>
      </c>
      <c r="EI9" s="57">
        <v>0</v>
      </c>
      <c r="EJ9" s="57">
        <v>0</v>
      </c>
      <c r="EK9" s="59">
        <v>0</v>
      </c>
      <c r="OU9" s="60" t="s">
        <v>118</v>
      </c>
    </row>
    <row r="10" ht="16" customHeight="1" spans="1:411" x14ac:dyDescent="0.25">
      <c r="A10" s="45"/>
      <c r="B10" s="78" t="s">
        <v>119</v>
      </c>
      <c r="C10" s="61">
        <f>F7*N(D10)</f>
        <v>64365.84</v>
      </c>
      <c r="D10" s="61">
        <f>IF(TRIM(IF(TRIM(B11)&lt;&gt;"",B11,B7))="","No rate",IFERROR(INDEX('Rate Tables'!C$7:C$158,MATCH(IF(TRIM(B11)&lt;&gt;"",B11,B7),'Rate Tables'!A$7:A$158,0)),"No rate"))</f>
        <v>99.33</v>
      </c>
      <c r="E10" s="55" t="s">
        <v>62</v>
      </c>
      <c r="F10" s="49"/>
      <c r="G10" s="49"/>
      <c r="H10" s="49"/>
      <c r="I10" s="49"/>
      <c r="J10" s="50"/>
      <c r="K10" s="62">
        <f>IF(AND(K8=1,K9=8),8,MIN(IF(K8&lt;=0,0,IF(WEEKDAY(K$6,1)=1,0,IF(WEEKDAY(K$6,1)=7,0,MIN(8,K9)*K8))),MAX(0,40*MAX(1,K8)-(0))))</f>
        <v>8</v>
      </c>
      <c r="L10" s="63">
        <f>IF(AND(L8=1,L9=8),8,MIN(IF(L8&lt;=0,0,IF(WEEKDAY(L$6,1)=1,0,IF(WEEKDAY(L$6,1)=7,0,MIN(8,L9)*L8))),MAX(0,40*MAX(1,L8)-(K10))))</f>
        <v>8</v>
      </c>
      <c r="M10" s="63">
        <f>IF(AND(M8=1,M9=8),8,MIN(IF(M8&lt;=0,0,IF(WEEKDAY(M$6,1)=1,0,IF(WEEKDAY(M$6,1)=7,0,MIN(8,M9)*M8))),MAX(0,40*MAX(1,M8)-(K10+L10))))</f>
        <v>8</v>
      </c>
      <c r="N10" s="63">
        <f>IF(AND(N8=1,N9=8),8,MIN(IF(N8&lt;=0,0,IF(WEEKDAY(N$6,1)=1,0,IF(WEEKDAY(N$6,1)=7,0,MIN(8,N9)*N8))),MAX(0,40*MAX(1,N8)-(K10+L10+M10))))</f>
        <v>8</v>
      </c>
      <c r="O10" s="63">
        <f>IF(AND(O8=1,O9=8),8,MIN(IF(O8&lt;=0,0,IF(WEEKDAY(O$6,1)=1,0,IF(WEEKDAY(O$6,1)=7,0,MIN(8,O9)*O8))),MAX(0,40*MAX(1,O8)-(K10+L10+M10+N10))))</f>
        <v>8</v>
      </c>
      <c r="P10" s="64">
        <f>IF(AND(P8=0,P9=0),0,MIN(IF(P8&lt;=0,0,IF(WEEKDAY(P$6,1)=1,0,IF(WEEKDAY(P$6,1)=7,0,MIN(8,P9)*P8))),MAX(0,40*MAX(1,P8)-(0))))</f>
        <v>0</v>
      </c>
      <c r="Q10" s="64">
        <f>IF(AND(Q8=0,Q9=0),0,MIN(IF(Q8&lt;=0,0,IF(WEEKDAY(Q$6,1)=1,0,IF(WEEKDAY(Q$6,1)=7,0,MIN(8,Q9)*Q8))),MAX(0,40*MAX(1,Q8)-(P10))))</f>
        <v>0</v>
      </c>
      <c r="R10" s="63">
        <f>IF(AND(R8=1,R9=8),8,MIN(IF(R8&lt;=0,0,IF(WEEKDAY(R$6,1)=1,0,IF(WEEKDAY(R$6,1)=7,0,MIN(8,R9)*R8))),MAX(0,40*MAX(1,R8)-(0))))</f>
        <v>8</v>
      </c>
      <c r="S10" s="63">
        <f>IF(AND(S8=1,S9=8),8,MIN(IF(S8&lt;=0,0,IF(WEEKDAY(S$6,1)=1,0,IF(WEEKDAY(S$6,1)=7,0,MIN(8,S9)*S8))),MAX(0,40*MAX(1,S8)-(R10))))</f>
        <v>8</v>
      </c>
      <c r="T10" s="63">
        <f>IF(AND(T8=1,T9=8),8,MIN(IF(T8&lt;=0,0,IF(WEEKDAY(T$6,1)=1,0,IF(WEEKDAY(T$6,1)=7,0,MIN(8,T9)*T8))),MAX(0,40*MAX(1,T8)-(R10+S10))))</f>
        <v>8</v>
      </c>
      <c r="U10" s="63">
        <f>IF(AND(U8=1,U9=8),8,MIN(IF(U8&lt;=0,0,IF(WEEKDAY(U$6,1)=1,0,IF(WEEKDAY(U$6,1)=7,0,MIN(8,U9)*U8))),MAX(0,40*MAX(1,U8)-(R10+S10+T10))))</f>
        <v>8</v>
      </c>
      <c r="V10" s="63">
        <f>IF(AND(V8=1,V9=8),8,MIN(IF(V8&lt;=0,0,IF(WEEKDAY(V$6,1)=1,0,IF(WEEKDAY(V$6,1)=7,0,MIN(8,V9)*V8))),MAX(0,40*MAX(1,V8)-(R10+S10+T10+U10))))</f>
        <v>8</v>
      </c>
      <c r="W10" s="64">
        <f>IF(AND(W8=0,W9=0),0,MIN(IF(W8&lt;=0,0,IF(WEEKDAY(W$6,1)=1,0,IF(WEEKDAY(W$6,1)=7,0,MIN(8,W9)*W8))),MAX(0,40*MAX(1,W8)-(0))))</f>
        <v>0</v>
      </c>
      <c r="X10" s="64">
        <f>IF(AND(X8=0,X9=0),0,MIN(IF(X8&lt;=0,0,IF(WEEKDAY(X$6,1)=1,0,IF(WEEKDAY(X$6,1)=7,0,MIN(8,X9)*X8))),MAX(0,40*MAX(1,X8)-(W10))))</f>
        <v>0</v>
      </c>
      <c r="Y10" s="63">
        <f>IF(AND(Y8=1,Y9=8),8,MIN(IF(Y8&lt;=0,0,IF(WEEKDAY(Y$6,1)=1,0,IF(WEEKDAY(Y$6,1)=7,0,MIN(8,Y9)*Y8))),MAX(0,40*MAX(1,Y8)-(0))))</f>
        <v>8</v>
      </c>
      <c r="Z10" s="63">
        <f>IF(AND(Z8=1,Z9=8),8,MIN(IF(Z8&lt;=0,0,IF(WEEKDAY(Z$6,1)=1,0,IF(WEEKDAY(Z$6,1)=7,0,MIN(8,Z9)*Z8))),MAX(0,40*MAX(1,Z8)-(Y10))))</f>
        <v>8</v>
      </c>
      <c r="AA10" s="63">
        <f>IF(AND(AA8=1,AA9=8),8,MIN(IF(AA8&lt;=0,0,IF(WEEKDAY(AA$6,1)=1,0,IF(WEEKDAY(AA$6,1)=7,0,MIN(8,AA9)*AA8))),MAX(0,40*MAX(1,AA8)-(Y10+Z10))))</f>
        <v>8</v>
      </c>
      <c r="AB10" s="63">
        <f>IF(AND(AB8=1,AB9=8),8,MIN(IF(AB8&lt;=0,0,IF(WEEKDAY(AB$6,1)=1,0,IF(WEEKDAY(AB$6,1)=7,0,MIN(8,AB9)*AB8))),MAX(0,40*MAX(1,AB8)-(Y10+Z10+AA10))))</f>
        <v>8</v>
      </c>
      <c r="AC10" s="63">
        <f>IF(AND(AC8=1,AC9=8),8,MIN(IF(AC8&lt;=0,0,IF(WEEKDAY(AC$6,1)=1,0,IF(WEEKDAY(AC$6,1)=7,0,MIN(8,AC9)*AC8))),MAX(0,40*MAX(1,AC8)-(Y10+Z10+AA10+AB10))))</f>
        <v>8</v>
      </c>
      <c r="AD10" s="64">
        <f>IF(AND(AD8=0,AD9=0),0,MIN(IF(AD8&lt;=0,0,IF(WEEKDAY(AD$6,1)=1,0,IF(WEEKDAY(AD$6,1)=7,0,MIN(8,AD9)*AD8))),MAX(0,40*MAX(1,AD8)-(0))))</f>
        <v>0</v>
      </c>
      <c r="AE10" s="64">
        <f>IF(AND(AE8=0,AE9=0),0,MIN(IF(AE8&lt;=0,0,IF(WEEKDAY(AE$6,1)=1,0,IF(WEEKDAY(AE$6,1)=7,0,MIN(8,AE9)*AE8))),MAX(0,40*MAX(1,AE8)-(AD10))))</f>
        <v>0</v>
      </c>
      <c r="AF10" s="63">
        <f>IF(AND(AF8=1,AF9=8),8,MIN(IF(AF8&lt;=0,0,IF(WEEKDAY(AF$6,1)=1,0,IF(WEEKDAY(AF$6,1)=7,0,MIN(8,AF9)*AF8))),MAX(0,40*MAX(1,AF8)-(0))))</f>
        <v>8</v>
      </c>
      <c r="AG10" s="63">
        <f>IF(AND(AG8=1,AG9=8),8,MIN(IF(AG8&lt;=0,0,IF(WEEKDAY(AG$6,1)=1,0,IF(WEEKDAY(AG$6,1)=7,0,MIN(8,AG9)*AG8))),MAX(0,40*MAX(1,AG8)-(AF10))))</f>
        <v>8</v>
      </c>
      <c r="AH10" s="63">
        <f>IF(AND(AH8=1,AH9=8),8,MIN(IF(AH8&lt;=0,0,IF(WEEKDAY(AH$6,1)=1,0,IF(WEEKDAY(AH$6,1)=7,0,MIN(8,AH9)*AH8))),MAX(0,40*MAX(1,AH8)-(AF10+AG10))))</f>
        <v>8</v>
      </c>
      <c r="AI10" s="63">
        <f>IF(AND(AI8=1,AI9=8),8,MIN(IF(AI8&lt;=0,0,IF(WEEKDAY(AI$6,1)=1,0,IF(WEEKDAY(AI$6,1)=7,0,MIN(8,AI9)*AI8))),MAX(0,40*MAX(1,AI8)-(AF10+AG10+AH10))))</f>
        <v>8</v>
      </c>
      <c r="AJ10" s="63">
        <f>IF(AND(AJ8=1,AJ9=8),8,MIN(IF(AJ8&lt;=0,0,IF(WEEKDAY(AJ$6,1)=1,0,IF(WEEKDAY(AJ$6,1)=7,0,MIN(8,AJ9)*AJ8))),MAX(0,40*MAX(1,AJ8)-(AF10+AG10+AH10+AI10))))</f>
        <v>8</v>
      </c>
      <c r="AK10" s="64">
        <f>IF(AND(AK8=0,AK9=0),0,MIN(IF(AK8&lt;=0,0,IF(WEEKDAY(AK$6,1)=1,0,IF(WEEKDAY(AK$6,1)=7,0,MIN(8,AK9)*AK8))),MAX(0,40*MAX(1,AK8)-(0))))</f>
        <v>0</v>
      </c>
      <c r="AL10" s="64">
        <f>IF(AND(AL8=0,AL9=0),0,MIN(IF(AL8&lt;=0,0,IF(WEEKDAY(AL$6,1)=1,0,IF(WEEKDAY(AL$6,1)=7,0,MIN(8,AL9)*AL8))),MAX(0,40*MAX(1,AL8)-(AK10))))</f>
        <v>0</v>
      </c>
      <c r="AM10" s="63">
        <f>IF(AND(AM8=1,AM9=8),8,MIN(IF(AM8&lt;=0,0,IF(WEEKDAY(AM$6,1)=1,0,IF(WEEKDAY(AM$6,1)=7,0,MIN(8,AM9)*AM8))),MAX(0,40*MAX(1,AM8)-(0))))</f>
        <v>8</v>
      </c>
      <c r="AN10" s="63">
        <f>IF(AND(AN8=1,AN9=8),8,MIN(IF(AN8&lt;=0,0,IF(WEEKDAY(AN$6,1)=1,0,IF(WEEKDAY(AN$6,1)=7,0,MIN(8,AN9)*AN8))),MAX(0,40*MAX(1,AN8)-(AM10))))</f>
        <v>8</v>
      </c>
      <c r="AO10" s="63">
        <f>IF(AND(AO8=1,AO9=8),8,MIN(IF(AO8&lt;=0,0,IF(WEEKDAY(AO$6,1)=1,0,IF(WEEKDAY(AO$6,1)=7,0,MIN(8,AO9)*AO8))),MAX(0,40*MAX(1,AO8)-(AM10+AN10))))</f>
        <v>8</v>
      </c>
      <c r="AP10" s="63">
        <f>IF(AND(AP8=1,AP9=8),8,MIN(IF(AP8&lt;=0,0,IF(WEEKDAY(AP$6,1)=1,0,IF(WEEKDAY(AP$6,1)=7,0,MIN(8,AP9)*AP8))),MAX(0,40*MAX(1,AP8)-(AM10+AN10+AO10))))</f>
        <v>8</v>
      </c>
      <c r="AQ10" s="63">
        <f>IF(AND(AQ8=1,AQ9=8),8,MIN(IF(AQ8&lt;=0,0,IF(WEEKDAY(AQ$6,1)=1,0,IF(WEEKDAY(AQ$6,1)=7,0,MIN(8,AQ9)*AQ8))),MAX(0,40*MAX(1,AQ8)-(AM10+AN10+AO10+AP10))))</f>
        <v>8</v>
      </c>
      <c r="AR10" s="64">
        <f>IF(AND(AR8=0,AR9=0),0,MIN(IF(AR8&lt;=0,0,IF(WEEKDAY(AR$6,1)=1,0,IF(WEEKDAY(AR$6,1)=7,0,MIN(8,AR9)*AR8))),MAX(0,40*MAX(1,AR8)-(0))))</f>
        <v>0</v>
      </c>
      <c r="AS10" s="64">
        <f>IF(AND(AS8=0,AS9=0),0,MIN(IF(AS8&lt;=0,0,IF(WEEKDAY(AS$6,1)=1,0,IF(WEEKDAY(AS$6,1)=7,0,MIN(8,AS9)*AS8))),MAX(0,40*MAX(1,AS8)-(AR10))))</f>
        <v>0</v>
      </c>
      <c r="AT10" s="63">
        <f>IF(AND(AT8=1,AT9=8),8,MIN(IF(AT8&lt;=0,0,IF(WEEKDAY(AT$6,1)=1,0,IF(WEEKDAY(AT$6,1)=7,0,MIN(8,AT9)*AT8))),MAX(0,40*MAX(1,AT8)-(0))))</f>
        <v>8</v>
      </c>
      <c r="AU10" s="63">
        <f>IF(AND(AU8=1,AU9=8),8,MIN(IF(AU8&lt;=0,0,IF(WEEKDAY(AU$6,1)=1,0,IF(WEEKDAY(AU$6,1)=7,0,MIN(8,AU9)*AU8))),MAX(0,40*MAX(1,AU8)-(AT10))))</f>
        <v>8</v>
      </c>
      <c r="AV10" s="63">
        <f>IF(AND(AV8=1,AV9=8),8,MIN(IF(AV8&lt;=0,0,IF(WEEKDAY(AV$6,1)=1,0,IF(WEEKDAY(AV$6,1)=7,0,MIN(8,AV9)*AV8))),MAX(0,40*MAX(1,AV8)-(AT10+AU10))))</f>
        <v>8</v>
      </c>
      <c r="AW10" s="63">
        <f>IF(AND(AW8=1,AW9=8),8,MIN(IF(AW8&lt;=0,0,IF(WEEKDAY(AW$6,1)=1,0,IF(WEEKDAY(AW$6,1)=7,0,MIN(8,AW9)*AW8))),MAX(0,40*MAX(1,AW8)-(AT10+AU10+AV10))))</f>
        <v>8</v>
      </c>
      <c r="AX10" s="63">
        <f>IF(AND(AX8=1,AX9=8),8,MIN(IF(AX8&lt;=0,0,IF(WEEKDAY(AX$6,1)=1,0,IF(WEEKDAY(AX$6,1)=7,0,MIN(8,AX9)*AX8))),MAX(0,40*MAX(1,AX8)-(AT10+AU10+AV10+AW10))))</f>
        <v>8</v>
      </c>
      <c r="AY10" s="64">
        <f>IF(AND(AY8=0,AY9=0),0,MIN(IF(AY8&lt;=0,0,IF(WEEKDAY(AY$6,1)=1,0,IF(WEEKDAY(AY$6,1)=7,0,MIN(8,AY9)*AY8))),MAX(0,40*MAX(1,AY8)-(0))))</f>
        <v>0</v>
      </c>
      <c r="AZ10" s="64">
        <f>IF(AND(AZ8=0,AZ9=0),0,MIN(IF(AZ8&lt;=0,0,IF(WEEKDAY(AZ$6,1)=1,0,IF(WEEKDAY(AZ$6,1)=7,0,MIN(8,AZ9)*AZ8))),MAX(0,40*MAX(1,AZ8)-(AY10))))</f>
        <v>0</v>
      </c>
      <c r="BA10" s="63">
        <f>IF(AND(BA8=1,BA9=8),8,MIN(IF(BA8&lt;=0,0,IF(WEEKDAY(BA$6,1)=1,0,IF(WEEKDAY(BA$6,1)=7,0,MIN(8,BA9)*BA8))),MAX(0,40*MAX(1,BA8)-(0))))</f>
        <v>8</v>
      </c>
      <c r="BB10" s="63">
        <f>IF(AND(BB8=1,BB9=8),8,MIN(IF(BB8&lt;=0,0,IF(WEEKDAY(BB$6,1)=1,0,IF(WEEKDAY(BB$6,1)=7,0,MIN(8,BB9)*BB8))),MAX(0,40*MAX(1,BB8)-(BA10))))</f>
        <v>8</v>
      </c>
      <c r="BC10" s="63">
        <f>IF(AND(BC8=1,BC9=8),8,MIN(IF(BC8&lt;=0,0,IF(WEEKDAY(BC$6,1)=1,0,IF(WEEKDAY(BC$6,1)=7,0,MIN(8,BC9)*BC8))),MAX(0,40*MAX(1,BC8)-(BA10+BB10))))</f>
        <v>8</v>
      </c>
      <c r="BD10" s="63">
        <f>IF(AND(BD8=1,BD9=8),8,MIN(IF(BD8&lt;=0,0,IF(WEEKDAY(BD$6,1)=1,0,IF(WEEKDAY(BD$6,1)=7,0,MIN(8,BD9)*BD8))),MAX(0,40*MAX(1,BD8)-(BA10+BB10+BC10))))</f>
        <v>8</v>
      </c>
      <c r="BE10" s="63">
        <f>IF(AND(BE8=1,BE9=8),8,MIN(IF(BE8&lt;=0,0,IF(WEEKDAY(BE$6,1)=1,0,IF(WEEKDAY(BE$6,1)=7,0,MIN(8,BE9)*BE8))),MAX(0,40*MAX(1,BE8)-(BA10+BB10+BC10+BD10))))</f>
        <v>8</v>
      </c>
      <c r="BF10" s="64">
        <f>IF(AND(BF8=0,BF9=0),0,MIN(IF(BF8&lt;=0,0,IF(WEEKDAY(BF$6,1)=1,0,IF(WEEKDAY(BF$6,1)=7,0,MIN(8,BF9)*BF8))),MAX(0,40*MAX(1,BF8)-(0))))</f>
        <v>0</v>
      </c>
      <c r="BG10" s="64">
        <f>IF(AND(BG8=0,BG9=0),0,MIN(IF(BG8&lt;=0,0,IF(WEEKDAY(BG$6,1)=1,0,IF(WEEKDAY(BG$6,1)=7,0,MIN(8,BG9)*BG8))),MAX(0,40*MAX(1,BG8)-(BF10))))</f>
        <v>0</v>
      </c>
      <c r="BH10" s="63">
        <f>IF(AND(BH8=1,BH9=12),8,MIN(IF(BH8&lt;=0,0,IF(WEEKDAY(BH$6,1)=1,0,IF(WEEKDAY(BH$6,1)=7,0,MIN(8,BH9)*BH8))),MAX(0,40*MAX(1,BH8)-(0))))</f>
        <v>8</v>
      </c>
      <c r="BI10" s="63">
        <f>IF(AND(BI8=1,BI9=12),8,MIN(IF(BI8&lt;=0,0,IF(WEEKDAY(BI$6,1)=1,0,IF(WEEKDAY(BI$6,1)=7,0,MIN(8,BI9)*BI8))),MAX(0,40*MAX(1,BI8)-(BH10))))</f>
        <v>8</v>
      </c>
      <c r="BJ10" s="63">
        <f>IF(AND(BJ8=1,BJ9=12),8,MIN(IF(BJ8&lt;=0,0,IF(WEEKDAY(BJ$6,1)=1,0,IF(WEEKDAY(BJ$6,1)=7,0,MIN(8,BJ9)*BJ8))),MAX(0,40*MAX(1,BJ8)-(BH10+BI10))))</f>
        <v>8</v>
      </c>
      <c r="BK10" s="63">
        <f>IF(AND(BK8=1,BK9=12),8,MIN(IF(BK8&lt;=0,0,IF(WEEKDAY(BK$6,1)=1,0,IF(WEEKDAY(BK$6,1)=7,0,MIN(8,BK9)*BK8))),MAX(0,40*MAX(1,BK8)-(BH10+BI10+BJ10))))</f>
        <v>8</v>
      </c>
      <c r="BL10" s="63">
        <f>IF(AND(BL8=1,BL9=12),8,MIN(IF(BL8&lt;=0,0,IF(WEEKDAY(BL$6,1)=1,0,IF(WEEKDAY(BL$6,1)=7,0,MIN(8,BL9)*BL8))),MAX(0,40*MAX(1,BL8)-(BH10+BI10+BJ10+BK10))))</f>
        <v>8</v>
      </c>
      <c r="BM10" s="64">
        <f>IF(AND(BM8=1,BM9=12),0,MIN(IF(BM8&lt;=0,0,IF(WEEKDAY(BM$6,1)=1,0,IF(WEEKDAY(BM$6,1)=7,0,MIN(8,BM9)*BM8))),MAX(0,40*MAX(1,BM8)-(BH10+BI10+BJ10+BK10+BL10))))</f>
        <v>0</v>
      </c>
      <c r="BN10" s="64">
        <f>IF(AND(BN8=1,BN9=12),0,MIN(IF(BN8&lt;=0,0,IF(WEEKDAY(BN$6,1)=1,0,IF(WEEKDAY(BN$6,1)=7,0,MIN(8,BN9)*BN8))),MAX(0,40*MAX(1,BN8)-(BH10+BI10+BJ10+BK10+BL10+BM10))))</f>
        <v>0</v>
      </c>
      <c r="BO10" s="63">
        <f>IF(AND(BO8=1,BO9=12),8,MIN(IF(BO8&lt;=0,0,IF(WEEKDAY(BO$6,1)=1,0,IF(WEEKDAY(BO$6,1)=7,0,MIN(8,BO9)*BO8))),MAX(0,40*MAX(1,BO8)-(0))))</f>
        <v>8</v>
      </c>
      <c r="BP10" s="63">
        <f>IF(AND(BP8=1,BP9=12),8,MIN(IF(BP8&lt;=0,0,IF(WEEKDAY(BP$6,1)=1,0,IF(WEEKDAY(BP$6,1)=7,0,MIN(8,BP9)*BP8))),MAX(0,40*MAX(1,BP8)-(BO10))))</f>
        <v>8</v>
      </c>
      <c r="BQ10" s="63">
        <f>IF(AND(BQ8=1,BQ9=12),8,MIN(IF(BQ8&lt;=0,0,IF(WEEKDAY(BQ$6,1)=1,0,IF(WEEKDAY(BQ$6,1)=7,0,MIN(8,BQ9)*BQ8))),MAX(0,40*MAX(1,BQ8)-(BO10+BP10))))</f>
        <v>8</v>
      </c>
      <c r="BR10" s="63">
        <f>IF(AND(BR8=1,BR9=12),8,MIN(IF(BR8&lt;=0,0,IF(WEEKDAY(BR$6,1)=1,0,IF(WEEKDAY(BR$6,1)=7,0,MIN(8,BR9)*BR8))),MAX(0,40*MAX(1,BR8)-(0))))</f>
        <v>8</v>
      </c>
      <c r="BS10" s="63">
        <f>IF(AND(BS8=1,BS9=12),8,MIN(IF(BS8&lt;=0,0,IF(WEEKDAY(BS$6,1)=1,0,IF(WEEKDAY(BS$6,1)=7,0,MIN(8,BS9)*BS8))),MAX(0,40*MAX(1,BS8)-(BR10))))</f>
        <v>8</v>
      </c>
      <c r="BT10" s="64">
        <f>IF(AND(BT8=1,BT9=12),0,MIN(IF(BT8&lt;=0,0,IF(WEEKDAY(BT$6,1)=1,0,IF(WEEKDAY(BT$6,1)=7,0,MIN(8,BT9)*BT8))),MAX(0,40*MAX(1,BT8)-(BR10+BS10))))</f>
        <v>0</v>
      </c>
      <c r="BU10" s="64">
        <f>IF(AND(BU8=1,BU9=12),0,MIN(IF(BU8&lt;=0,0,IF(WEEKDAY(BU$6,1)=1,0,IF(WEEKDAY(BU$6,1)=7,0,MIN(8,BU9)*BU8))),MAX(0,40*MAX(1,BU8)-(BR10+BS10+BT10))))</f>
        <v>0</v>
      </c>
      <c r="BV10" s="63">
        <f>IF(AND(BV8=1,BV9=12),8,MIN(IF(BV8&lt;=0,0,IF(WEEKDAY(BV$6,1)=1,0,IF(WEEKDAY(BV$6,1)=7,0,MIN(8,BV9)*BV8))),MAX(0,40*MAX(1,BV8)-(0))))</f>
        <v>8</v>
      </c>
      <c r="BW10" s="63">
        <f>IF(AND(BW8=1,BW9=12),8,MIN(IF(BW8&lt;=0,0,IF(WEEKDAY(BW$6,1)=1,0,IF(WEEKDAY(BW$6,1)=7,0,MIN(8,BW9)*BW8))),MAX(0,40*MAX(1,BW8)-(BV10))))</f>
        <v>8</v>
      </c>
      <c r="BX10" s="63">
        <f>IF(AND(BX8=1,BX9=12),8,MIN(IF(BX8&lt;=0,0,IF(WEEKDAY(BX$6,1)=1,0,IF(WEEKDAY(BX$6,1)=7,0,MIN(8,BX9)*BX8))),MAX(0,40*MAX(1,BX8)-(BV10+BW10))))</f>
        <v>8</v>
      </c>
      <c r="BY10" s="63">
        <f>IF(AND(BY8=1,BY9=12),8,MIN(IF(BY8&lt;=0,0,IF(WEEKDAY(BY$6,1)=1,0,IF(WEEKDAY(BY$6,1)=7,0,MIN(8,BY9)*BY8))),MAX(0,40*MAX(1,BY8)-(BV10+BW10+BX10))))</f>
        <v>8</v>
      </c>
      <c r="BZ10" s="63">
        <f>IF(AND(BZ8=1,BZ9=12),8,MIN(IF(BZ8&lt;=0,0,IF(WEEKDAY(BZ$6,1)=1,0,IF(WEEKDAY(BZ$6,1)=7,0,MIN(8,BZ9)*BZ8))),MAX(0,40*MAX(1,BZ8)-(BV10+BW10+BX10+BY10))))</f>
        <v>8</v>
      </c>
      <c r="CA10" s="64">
        <f>IF(AND(CA8=1,CA9=12),0,MIN(IF(CA8&lt;=0,0,IF(WEEKDAY(CA$6,1)=1,0,IF(WEEKDAY(CA$6,1)=7,0,MIN(8,CA9)*CA8))),MAX(0,40*MAX(1,CA8)-(BV10+BW10+BX10+BY10+BZ10))))</f>
        <v>0</v>
      </c>
      <c r="CB10" s="64">
        <f>IF(AND(CB8=1,CB9=12),0,MIN(IF(CB8&lt;=0,0,IF(WEEKDAY(CB$6,1)=1,0,IF(WEEKDAY(CB$6,1)=7,0,MIN(8,CB9)*CB8))),MAX(0,40*MAX(1,CB8)-(BV10+BW10+BX10+BY10+BZ10+CA10))))</f>
        <v>0</v>
      </c>
      <c r="CC10" s="63">
        <f>IF(AND(CC8=1,CC9=12),8,MIN(IF(CC8&lt;=0,0,IF(WEEKDAY(CC$6,1)=1,0,IF(WEEKDAY(CC$6,1)=7,0,MIN(8,CC9)*CC8))),MAX(0,40*MAX(1,CC8)-(0))))</f>
        <v>8</v>
      </c>
      <c r="CD10" s="63">
        <f>IF(AND(CD8=1,CD9=12),8,MIN(IF(CD8&lt;=0,0,IF(WEEKDAY(CD$6,1)=1,0,IF(WEEKDAY(CD$6,1)=7,0,MIN(8,CD9)*CD8))),MAX(0,40*MAX(1,CD8)-(CC10))))</f>
        <v>8</v>
      </c>
      <c r="CE10" s="63">
        <f>IF(AND(CE8=1,CE9=12),8,MIN(IF(CE8&lt;=0,0,IF(WEEKDAY(CE$6,1)=1,0,IF(WEEKDAY(CE$6,1)=7,0,MIN(8,CE9)*CE8))),MAX(0,40*MAX(1,CE8)-(CC10+CD10))))</f>
        <v>8</v>
      </c>
      <c r="CF10" s="63">
        <f>IF(AND(CF8=1,CF9=12),8,MIN(IF(CF8&lt;=0,0,IF(WEEKDAY(CF$6,1)=1,0,IF(WEEKDAY(CF$6,1)=7,0,MIN(8,CF9)*CF8))),MAX(0,40*MAX(1,CF8)-(CC10+CD10+CE10))))</f>
        <v>8</v>
      </c>
      <c r="CG10" s="63">
        <f>IF(AND(CG8=1,CG9=12),8,MIN(IF(CG8&lt;=0,0,IF(WEEKDAY(CG$6,1)=1,0,IF(WEEKDAY(CG$6,1)=7,0,MIN(8,CG9)*CG8))),MAX(0,40*MAX(1,CG8)-(CC10+CD10+CE10+CF10))))</f>
        <v>8</v>
      </c>
      <c r="CH10" s="64">
        <f>IF(AND(CH8=1,CH9=12),0,MIN(IF(CH8&lt;=0,0,IF(WEEKDAY(CH$6,1)=1,0,IF(WEEKDAY(CH$6,1)=7,0,MIN(8,CH9)*CH8))),MAX(0,40*MAX(1,CH8)-(CC10+CD10+CE10+CF10+CG10))))</f>
        <v>0</v>
      </c>
      <c r="CI10" s="64">
        <f>IF(AND(CI8=1,CI9=12),0,MIN(IF(CI8&lt;=0,0,IF(WEEKDAY(CI$6,1)=1,0,IF(WEEKDAY(CI$6,1)=7,0,MIN(8,CI9)*CI8))),MAX(0,40*MAX(1,CI8)-(CC10+CD10+CE10+CF10+CG10+CH10))))</f>
        <v>0</v>
      </c>
      <c r="CJ10" s="63">
        <f>IF(AND(CJ8=1,CJ9=12),8,MIN(IF(CJ8&lt;=0,0,IF(WEEKDAY(CJ$6,1)=1,0,IF(WEEKDAY(CJ$6,1)=7,0,MIN(8,CJ9)*CJ8))),MAX(0,40*MAX(1,CJ8)-(0))))</f>
        <v>8</v>
      </c>
      <c r="CK10" s="63">
        <f>IF(AND(CK8=1,CK9=12),8,MIN(IF(CK8&lt;=0,0,IF(WEEKDAY(CK$6,1)=1,0,IF(WEEKDAY(CK$6,1)=7,0,MIN(8,CK9)*CK8))),MAX(0,40*MAX(1,CK8)-(CJ10))))</f>
        <v>8</v>
      </c>
      <c r="CL10" s="63">
        <f>IF(AND(CL8=1,CL9=12),8,MIN(IF(CL8&lt;=0,0,IF(WEEKDAY(CL$6,1)=1,0,IF(WEEKDAY(CL$6,1)=7,0,MIN(8,CL9)*CL8))),MAX(0,40*MAX(1,CL8)-(CJ10+CK10))))</f>
        <v>8</v>
      </c>
      <c r="CM10" s="63">
        <f>IF(AND(CM8=1,CM9=12),8,MIN(IF(CM8&lt;=0,0,IF(WEEKDAY(CM$6,1)=1,0,IF(WEEKDAY(CM$6,1)=7,0,MIN(8,CM9)*CM8))),MAX(0,40*MAX(1,CM8)-(CJ10+CK10+CL10))))</f>
        <v>8</v>
      </c>
      <c r="CN10" s="63">
        <f>IF(AND(CN8=1,CN9=12),8,MIN(IF(CN8&lt;=0,0,IF(WEEKDAY(CN$6,1)=1,0,IF(WEEKDAY(CN$6,1)=7,0,MIN(8,CN9)*CN8))),MAX(0,40*MAX(1,CN8)-(CJ10+CK10+CL10+CM10))))</f>
        <v>8</v>
      </c>
      <c r="CO10" s="64">
        <f>IF(AND(CO8=1,CO9=12),0,MIN(IF(CO8&lt;=0,0,IF(WEEKDAY(CO$6,1)=1,0,IF(WEEKDAY(CO$6,1)=7,0,MIN(8,CO9)*CO8))),MAX(0,40*MAX(1,CO8)-(CJ10+CK10+CL10+CM10+CN10))))</f>
        <v>0</v>
      </c>
      <c r="CP10" s="64">
        <f>IF(AND(CP8=1,CP9=12),0,MIN(IF(CP8&lt;=0,0,IF(WEEKDAY(CP$6,1)=1,0,IF(WEEKDAY(CP$6,1)=7,0,MIN(8,CP9)*CP8))),MAX(0,40*MAX(1,CP8)-(CJ10+CK10+CL10+CM10+CN10+CO10))))</f>
        <v>0</v>
      </c>
      <c r="CQ10" s="63">
        <f>IF(AND(CQ8=1,CQ9=12),8,MIN(IF(CQ8&lt;=0,0,IF(WEEKDAY(CQ$6,1)=1,0,IF(WEEKDAY(CQ$6,1)=7,0,MIN(8,CQ9)*CQ8))),MAX(0,40*MAX(1,CQ8)-(0))))</f>
        <v>8</v>
      </c>
      <c r="CR10" s="63">
        <f>IF(AND(CR8=1,CR9=12),8,MIN(IF(CR8&lt;=0,0,IF(WEEKDAY(CR$6,1)=1,0,IF(WEEKDAY(CR$6,1)=7,0,MIN(8,CR9)*CR8))),MAX(0,40*MAX(1,CR8)-(CQ10))))</f>
        <v>8</v>
      </c>
      <c r="CS10" s="63">
        <f>IF(AND(CS8=1,CS9=12),8,MIN(IF(CS8&lt;=0,0,IF(WEEKDAY(CS$6,1)=1,0,IF(WEEKDAY(CS$6,1)=7,0,MIN(8,CS9)*CS8))),MAX(0,40*MAX(1,CS8)-(CQ10+CR10))))</f>
        <v>8</v>
      </c>
      <c r="CT10" s="63">
        <f>IF(AND(CT8=1,CT9=12),8,MIN(IF(CT8&lt;=0,0,IF(WEEKDAY(CT$6,1)=1,0,IF(WEEKDAY(CT$6,1)=7,0,MIN(8,CT9)*CT8))),MAX(0,40*MAX(1,CT8)-(CQ10+CR10+CS10))))</f>
        <v>8</v>
      </c>
      <c r="CU10" s="63">
        <f>IF(AND(CU8=1,CU9=12),8,MIN(IF(CU8&lt;=0,0,IF(WEEKDAY(CU$6,1)=1,0,IF(WEEKDAY(CU$6,1)=7,0,MIN(8,CU9)*CU8))),MAX(0,40*MAX(1,CU8)-(CQ10+CR10+CS10+CT10))))</f>
        <v>8</v>
      </c>
      <c r="CV10" s="64">
        <f>IF(AND(CV8=1,CV9=12),0,MIN(IF(CV8&lt;=0,0,IF(WEEKDAY(CV$6,1)=1,0,IF(WEEKDAY(CV$6,1)=7,0,MIN(8,CV9)*CV8))),MAX(0,40*MAX(1,CV8)-(CQ10+CR10+CS10+CT10+CU10))))</f>
        <v>0</v>
      </c>
      <c r="CW10" s="64">
        <f>IF(AND(CW8=1,CW9=12),0,MIN(IF(CW8&lt;=0,0,IF(WEEKDAY(CW$6,1)=1,0,IF(WEEKDAY(CW$6,1)=7,0,MIN(8,CW9)*CW8))),MAX(0,40*MAX(1,CW8)-(CQ10+CR10+CS10+CT10+CU10+CV10))))</f>
        <v>0</v>
      </c>
      <c r="CX10" s="63">
        <f>IF(AND(CX8=1,CX9=12),8,MIN(IF(CX8&lt;=0,0,IF(WEEKDAY(CX$6,1)=1,0,IF(WEEKDAY(CX$6,1)=7,0,MIN(8,CX9)*CX8))),MAX(0,40*MAX(1,CX8)-(0))))</f>
        <v>8</v>
      </c>
      <c r="CY10" s="63">
        <f>IF(AND(CY8=1,CY9=12),8,MIN(IF(CY8&lt;=0,0,IF(WEEKDAY(CY$6,1)=1,0,IF(WEEKDAY(CY$6,1)=7,0,MIN(8,CY9)*CY8))),MAX(0,40*MAX(1,CY8)-(CX10))))</f>
        <v>8</v>
      </c>
      <c r="CZ10" s="63">
        <f>IF(AND(CZ8=1,CZ9=12),8,MIN(IF(CZ8&lt;=0,0,IF(WEEKDAY(CZ$6,1)=1,0,IF(WEEKDAY(CZ$6,1)=7,0,MIN(8,CZ9)*CZ8))),MAX(0,40*MAX(1,CZ8)-(CX10+CY10))))</f>
        <v>8</v>
      </c>
      <c r="DA10" s="63">
        <f>IF(AND(DA8=1,DA9=12),8,MIN(IF(DA8&lt;=0,0,IF(WEEKDAY(DA$6,1)=1,0,IF(WEEKDAY(DA$6,1)=7,0,MIN(8,DA9)*DA8))),MAX(0,40*MAX(1,DA8)-(CX10+CY10+CZ10))))</f>
        <v>8</v>
      </c>
      <c r="DB10" s="63">
        <f>IF(AND(DB8=1,DB9=12),8,MIN(IF(DB8&lt;=0,0,IF(WEEKDAY(DB$6,1)=1,0,IF(WEEKDAY(DB$6,1)=7,0,MIN(8,DB9)*DB8))),MAX(0,40*MAX(1,DB8)-(CX10+CY10+CZ10+DA10))))</f>
        <v>8</v>
      </c>
      <c r="DC10" s="64">
        <f>IF(AND(DC8=1,DC9=12),0,MIN(IF(DC8&lt;=0,0,IF(WEEKDAY(DC$6,1)=1,0,IF(WEEKDAY(DC$6,1)=7,0,MIN(8,DC9)*DC8))),MAX(0,40*MAX(1,DC8)-(CX10+CY10+CZ10+DA10+DB10))))</f>
        <v>0</v>
      </c>
      <c r="DD10" s="64">
        <f>IF(AND(DD8=1,DD9=12),0,MIN(IF(DD8&lt;=0,0,IF(WEEKDAY(DD$6,1)=1,0,IF(WEEKDAY(DD$6,1)=7,0,MIN(8,DD9)*DD8))),MAX(0,40*MAX(1,DD8)-(0))))</f>
        <v>0</v>
      </c>
      <c r="DE10" s="63">
        <f>IF(AND(DE8=1,DE9=12),8,MIN(IF(DE8&lt;=0,0,IF(WEEKDAY(DE$6,1)=1,0,IF(WEEKDAY(DE$6,1)=7,0,MIN(8,DE9)*DE8))),MAX(0,40*MAX(1,DE8)-(0))))</f>
        <v>8</v>
      </c>
      <c r="DF10" s="63">
        <f>IF(AND(DF8=1,DF9=12),8,MIN(IF(DF8&lt;=0,0,IF(WEEKDAY(DF$6,1)=1,0,IF(WEEKDAY(DF$6,1)=7,0,MIN(8,DF9)*DF8))),MAX(0,40*MAX(1,DF8)-(DE10))))</f>
        <v>8</v>
      </c>
      <c r="DG10" s="63">
        <f>IF(AND(DG8=1,DG9=12),8,MIN(IF(DG8&lt;=0,0,IF(WEEKDAY(DG$6,1)=1,0,IF(WEEKDAY(DG$6,1)=7,0,MIN(8,DG9)*DG8))),MAX(0,40*MAX(1,DG8)-(DE10+DF10))))</f>
        <v>8</v>
      </c>
      <c r="DH10" s="63">
        <f>IF(AND(DH8=1,DH9=12),8,MIN(IF(DH8&lt;=0,0,IF(WEEKDAY(DH$6,1)=1,0,IF(WEEKDAY(DH$6,1)=7,0,MIN(8,DH9)*DH8))),MAX(0,40*MAX(1,DH8)-(DE10+DF10+DG10))))</f>
        <v>8</v>
      </c>
      <c r="DI10" s="63">
        <f>IF(AND(DI8=1,DI9=12),8,MIN(IF(DI8&lt;=0,0,IF(WEEKDAY(DI$6,1)=1,0,IF(WEEKDAY(DI$6,1)=7,0,MIN(8,DI9)*DI8))),MAX(0,40*MAX(1,DI8)-(DE10+DF10+DG10+DH10))))</f>
        <v>8</v>
      </c>
      <c r="DJ10" s="64">
        <f>IF(AND(DJ8=1,DJ9=12),0,MIN(IF(DJ8&lt;=0,0,IF(WEEKDAY(DJ$6,1)=1,0,IF(WEEKDAY(DJ$6,1)=7,0,MIN(8,DJ9)*DJ8))),MAX(0,40*MAX(1,DJ8)-(DE10+DF10+DG10+DH10+DI10))))</f>
        <v>0</v>
      </c>
      <c r="DK10" s="64">
        <f>IF(AND(DK8=1,DK9=12),0,MIN(IF(DK8&lt;=0,0,IF(WEEKDAY(DK$6,1)=1,0,IF(WEEKDAY(DK$6,1)=7,0,MIN(8,DK9)*DK8))),MAX(0,40*MAX(1,DK8)-(DE10+DF10+DG10+DH10+DI10+DJ10))))</f>
        <v>0</v>
      </c>
      <c r="DL10" s="63">
        <f>IF(AND(DL8=1,DL9=12),8,MIN(IF(DL8&lt;=0,0,IF(WEEKDAY(DL$6,1)=1,0,IF(WEEKDAY(DL$6,1)=7,0,MIN(8,DL9)*DL8))),MAX(0,40*MAX(1,DL8)-(0))))</f>
        <v>8</v>
      </c>
      <c r="DM10" s="63">
        <f>IF(AND(DM8=1,DM9=12),8,MIN(IF(DM8&lt;=0,0,IF(WEEKDAY(DM$6,1)=1,0,IF(WEEKDAY(DM$6,1)=7,0,MIN(8,DM9)*DM8))),MAX(0,40*MAX(1,DM8)-(DL10))))</f>
        <v>8</v>
      </c>
      <c r="DN10" s="63">
        <f>IF(AND(DN8=1,DN9=12),8,MIN(IF(DN8&lt;=0,0,IF(WEEKDAY(DN$6,1)=1,0,IF(WEEKDAY(DN$6,1)=7,0,MIN(8,DN9)*DN8))),MAX(0,40*MAX(1,DN8)-(DL10+DM10))))</f>
        <v>8</v>
      </c>
      <c r="DO10" s="63">
        <f>IF(AND(DO8=1,DO9=12),8,MIN(IF(DO8&lt;=0,0,IF(WEEKDAY(DO$6,1)=1,0,IF(WEEKDAY(DO$6,1)=7,0,MIN(8,DO9)*DO8))),MAX(0,40*MAX(1,DO8)-(DL10+DM10+DN10))))</f>
        <v>8</v>
      </c>
      <c r="DP10" s="63">
        <f>IF(AND(DP8=1,DP9=12),8,MIN(IF(DP8&lt;=0,0,IF(WEEKDAY(DP$6,1)=1,0,IF(WEEKDAY(DP$6,1)=7,0,MIN(8,DP9)*DP8))),MAX(0,40*MAX(1,DP8)-(DL10+DM10+DN10+DO10))))</f>
        <v>8</v>
      </c>
      <c r="DQ10" s="64">
        <f>IF(AND(DQ8=1,DQ9=12),0,MIN(IF(DQ8&lt;=0,0,IF(WEEKDAY(DQ$6,1)=1,0,IF(WEEKDAY(DQ$6,1)=7,0,MIN(8,DQ9)*DQ8))),MAX(0,40*MAX(1,DQ8)-(DL10+DM10+DN10+DO10+DP10))))</f>
        <v>0</v>
      </c>
      <c r="DR10" s="64">
        <f>IF(AND(DR8=1,DR9=12),0,MIN(IF(DR8&lt;=0,0,IF(WEEKDAY(DR$6,1)=1,0,IF(WEEKDAY(DR$6,1)=7,0,MIN(8,DR9)*DR8))),MAX(0,40*MAX(1,DR8)-(DL10+DM10+DN10+DO10+DP10+DQ10))))</f>
        <v>0</v>
      </c>
      <c r="DS10" s="63">
        <f>IF(AND(DS8=1,DS9=12),8,MIN(IF(DS8&lt;=0,0,IF(WEEKDAY(DS$6,1)=1,0,IF(WEEKDAY(DS$6,1)=7,0,MIN(8,DS9)*DS8))),MAX(0,40*MAX(1,DS8)-(0))))</f>
        <v>8</v>
      </c>
      <c r="DT10" s="63">
        <f>IF(AND(DT8=0,DT9=0),0,MIN(IF(DT8&lt;=0,0,IF(WEEKDAY(DT$6,1)=1,0,IF(WEEKDAY(DT$6,1)=7,0,MIN(8,DT9)*DT8))),MAX(0,40*MAX(1,DT8)-(0))))</f>
        <v>0</v>
      </c>
      <c r="DU10" s="63">
        <f>IF(AND(DU8=0,DU9=0),0,MIN(IF(DU8&lt;=0,0,IF(WEEKDAY(DU$6,1)=1,0,IF(WEEKDAY(DU$6,1)=7,0,MIN(8,DU9)*DU8))),MAX(0,40*MAX(1,DU8)-(DT10))))</f>
        <v>0</v>
      </c>
      <c r="DV10" s="63">
        <f>IF(AND(DV8=0,DV9=0),0,MIN(IF(DV8&lt;=0,0,IF(WEEKDAY(DV$6,1)=1,0,IF(WEEKDAY(DV$6,1)=7,0,MIN(8,DV9)*DV8))),MAX(0,40*MAX(1,DV8)-(DT10+DU10))))</f>
        <v>0</v>
      </c>
      <c r="DW10" s="63">
        <f>IF(AND(DW8=0,DW9=0),0,MIN(IF(DW8&lt;=0,0,IF(WEEKDAY(DW$6,1)=1,0,IF(WEEKDAY(DW$6,1)=7,0,MIN(8,DW9)*DW8))),MAX(0,40*MAX(1,DW8)-(DT10+DU10+DV10))))</f>
        <v>0</v>
      </c>
      <c r="DX10" s="64">
        <f>IF(AND(DX8=0,DX9=0),0,MIN(IF(DX8&lt;=0,0,IF(WEEKDAY(DX$6,1)=1,0,IF(WEEKDAY(DX$6,1)=7,0,MIN(8,DX9)*DX8))),MAX(0,40*MAX(1,DX8)-(DT10+DU10+DV10+DW10))))</f>
        <v>0</v>
      </c>
      <c r="DY10" s="64">
        <f>IF(AND(DY8=0,DY9=0),0,MIN(IF(DY8&lt;=0,0,IF(WEEKDAY(DY$6,1)=1,0,IF(WEEKDAY(DY$6,1)=7,0,MIN(8,DY9)*DY8))),MAX(0,40*MAX(1,DY8)-(DT10+DU10+DV10+DW10+DX10))))</f>
        <v>0</v>
      </c>
      <c r="DZ10" s="63">
        <f>IF(AND(DZ8=0,DZ9=0),0,MIN(IF(DZ8&lt;=0,0,IF(WEEKDAY(DZ$6,1)=1,0,IF(WEEKDAY(DZ$6,1)=7,0,MIN(8,DZ9)*DZ8))),MAX(0,40*MAX(1,DZ8)-(0))))</f>
        <v>0</v>
      </c>
      <c r="EA10" s="63">
        <f>IF(AND(EA8=0,EA9=0),0,MIN(IF(EA8&lt;=0,0,IF(WEEKDAY(EA$6,1)=1,0,IF(WEEKDAY(EA$6,1)=7,0,MIN(8,EA9)*EA8))),MAX(0,40*MAX(1,EA8)-(DZ10))))</f>
        <v>0</v>
      </c>
      <c r="EB10" s="63">
        <f>IF(AND(EB8=0,EB9=0),0,MIN(IF(EB8&lt;=0,0,IF(WEEKDAY(EB$6,1)=1,0,IF(WEEKDAY(EB$6,1)=7,0,MIN(8,EB9)*EB8))),MAX(0,40*MAX(1,EB8)-(DZ10+EA10))))</f>
        <v>0</v>
      </c>
      <c r="EC10" s="63">
        <f>IF(AND(EC8=0,EC9=0),0,MIN(IF(EC8&lt;=0,0,IF(WEEKDAY(EC$6,1)=1,0,IF(WEEKDAY(EC$6,1)=7,0,MIN(8,EC9)*EC8))),MAX(0,40*MAX(1,EC8)-(DZ10+EA10+EB10))))</f>
        <v>0</v>
      </c>
      <c r="ED10" s="63">
        <f>IF(AND(ED8=0,ED9=0),0,MIN(IF(ED8&lt;=0,0,IF(WEEKDAY(ED$6,1)=1,0,IF(WEEKDAY(ED$6,1)=7,0,MIN(8,ED9)*ED8))),MAX(0,40*MAX(1,ED8)-(DZ10+EA10+EB10+EC10))))</f>
        <v>0</v>
      </c>
      <c r="EE10" s="64">
        <f>IF(AND(EE8=0,EE9=0),0,MIN(IF(EE8&lt;=0,0,IF(WEEKDAY(EE$6,1)=1,0,IF(WEEKDAY(EE$6,1)=7,0,MIN(8,EE9)*EE8))),MAX(0,40*MAX(1,EE8)-(DZ10+EA10+EB10+EC10+ED10))))</f>
        <v>0</v>
      </c>
      <c r="EF10" s="64">
        <f>IF(AND(EF8=0,EF9=0),0,MIN(IF(EF8&lt;=0,0,IF(WEEKDAY(EF$6,1)=1,0,IF(WEEKDAY(EF$6,1)=7,0,MIN(8,EF9)*EF8))),MAX(0,40*MAX(1,EF8)-(DZ10+EA10+EB10+EC10+ED10+EE10))))</f>
        <v>0</v>
      </c>
      <c r="EG10" s="63">
        <f>IF(AND(EG8=0,EG9=0),0,MIN(IF(EG8&lt;=0,0,IF(WEEKDAY(EG$6,1)=1,0,IF(WEEKDAY(EG$6,1)=7,0,MIN(8,EG9)*EG8))),MAX(0,40*MAX(1,EG8)-(0))))</f>
        <v>0</v>
      </c>
      <c r="EH10" s="63">
        <f>IF(AND(EH8=0,EH9=0),0,MIN(IF(EH8&lt;=0,0,IF(WEEKDAY(EH$6,1)=1,0,IF(WEEKDAY(EH$6,1)=7,0,MIN(8,EH9)*EH8))),MAX(0,40*MAX(1,EH8)-(EG10))))</f>
        <v>0</v>
      </c>
      <c r="EI10" s="63">
        <f>IF(AND(EI8=0,EI9=0),0,MIN(IF(EI8&lt;=0,0,IF(WEEKDAY(EI$6,1)=1,0,IF(WEEKDAY(EI$6,1)=7,0,MIN(8,EI9)*EI8))),MAX(0,40*MAX(1,EI8)-(EG10+EH10))))</f>
        <v>0</v>
      </c>
      <c r="EJ10" s="63">
        <f>IF(AND(EJ8=0,EJ9=0),0,MIN(IF(EJ8&lt;=0,0,IF(WEEKDAY(EJ$6,1)=1,0,IF(WEEKDAY(EJ$6,1)=7,0,MIN(8,EJ9)*EJ8))),MAX(0,40*MAX(1,EJ8)-(EG10+EH10+EI10))))</f>
        <v>0</v>
      </c>
      <c r="EK10" s="65">
        <f>IF(AND(EK8=0,EK9=0),0,MIN(IF(EK8&lt;=0,0,IF(WEEKDAY(EK$6,1)=1,0,IF(WEEKDAY(EK$6,1)=7,0,MIN(8,EK9)*EK8))),MAX(0,40*MAX(1,EK8)-(EG10+EH10+EI10+EJ10))))</f>
        <v>0</v>
      </c>
      <c r="OU10" s="28" t="s">
        <v>118</v>
      </c>
    </row>
    <row r="11" ht="16" customHeight="1" spans="1:411" x14ac:dyDescent="0.25">
      <c r="A11" s="45"/>
      <c r="B11" s="79" t="s">
        <v>114</v>
      </c>
      <c r="C11" s="66">
        <f>G7*N(D11)</f>
        <v>40497.479999999996</v>
      </c>
      <c r="D11" s="66">
        <f>IF(TRIM(IF(TRIM(B11)&lt;&gt;"",B11,B7))="","No rate",IFERROR(INDEX('Rate Tables'!D$7:D$158,MATCH(IF(TRIM(B11)&lt;&gt;"",B11,B7),'Rate Tables'!A$7:A$158,0)),"No rate"))</f>
        <v>138.69</v>
      </c>
      <c r="E11" s="55" t="s">
        <v>63</v>
      </c>
      <c r="F11" s="49"/>
      <c r="G11" s="49"/>
      <c r="H11" s="49"/>
      <c r="I11" s="49"/>
      <c r="J11" s="50"/>
      <c r="K11" s="62">
        <f>IF(AND(K8=1,K9=8),0,IF(K8&lt;=0,0,IF(WEEKDAY(K$6,1)=1,0,IF(WEEKDAY(K$6,1)=7,K8*K9,MAX(0,K9-8)*K8)))+((IF(K8&lt;=0,0,IF(WEEKDAY(K$6,1)=1,0,IF(WEEKDAY(K$6,1)=7,0,MIN(8,K9)*K8))))-MIN(IF(K8&lt;=0,0,IF(WEEKDAY(K$6,1)=1,0,IF(WEEKDAY(K$6,1)=7,0,MIN(8,K9)*K8))),MAX(0,40*MAX(1,K8)-(0)))))</f>
        <v>0</v>
      </c>
      <c r="L11" s="63">
        <f>IF(AND(L8=1,L9=8),0,IF(L8&lt;=0,0,IF(WEEKDAY(L$6,1)=1,0,IF(WEEKDAY(L$6,1)=7,L8*L9,MAX(0,L9-8)*L8)))+((IF(L8&lt;=0,0,IF(WEEKDAY(L$6,1)=1,0,IF(WEEKDAY(L$6,1)=7,0,MIN(8,L9)*L8))))-MIN(IF(L8&lt;=0,0,IF(WEEKDAY(L$6,1)=1,0,IF(WEEKDAY(L$6,1)=7,0,MIN(8,L9)*L8))),MAX(0,40*MAX(1,L8)-(K10)))))</f>
        <v>0</v>
      </c>
      <c r="M11" s="63">
        <f>IF(AND(M8=1,M9=8),0,IF(M8&lt;=0,0,IF(WEEKDAY(M$6,1)=1,0,IF(WEEKDAY(M$6,1)=7,M8*M9,MAX(0,M9-8)*M8)))+((IF(M8&lt;=0,0,IF(WEEKDAY(M$6,1)=1,0,IF(WEEKDAY(M$6,1)=7,0,MIN(8,M9)*M8))))-MIN(IF(M8&lt;=0,0,IF(WEEKDAY(M$6,1)=1,0,IF(WEEKDAY(M$6,1)=7,0,MIN(8,M9)*M8))),MAX(0,40*MAX(1,M8)-(K10+L10)))))</f>
        <v>0</v>
      </c>
      <c r="N11" s="63">
        <f>IF(AND(N8=1,N9=8),0,IF(N8&lt;=0,0,IF(WEEKDAY(N$6,1)=1,0,IF(WEEKDAY(N$6,1)=7,N8*N9,MAX(0,N9-8)*N8)))+((IF(N8&lt;=0,0,IF(WEEKDAY(N$6,1)=1,0,IF(WEEKDAY(N$6,1)=7,0,MIN(8,N9)*N8))))-MIN(IF(N8&lt;=0,0,IF(WEEKDAY(N$6,1)=1,0,IF(WEEKDAY(N$6,1)=7,0,MIN(8,N9)*N8))),MAX(0,40*MAX(1,N8)-(K10+L10+M10)))))</f>
        <v>0</v>
      </c>
      <c r="O11" s="63">
        <f>IF(AND(O8=1,O9=8),0,IF(O8&lt;=0,0,IF(WEEKDAY(O$6,1)=1,0,IF(WEEKDAY(O$6,1)=7,O8*O9,MAX(0,O9-8)*O8)))+((IF(O8&lt;=0,0,IF(WEEKDAY(O$6,1)=1,0,IF(WEEKDAY(O$6,1)=7,0,MIN(8,O9)*O8))))-MIN(IF(O8&lt;=0,0,IF(WEEKDAY(O$6,1)=1,0,IF(WEEKDAY(O$6,1)=7,0,MIN(8,O9)*O8))),MAX(0,40*MAX(1,O8)-(K10+L10+M10+N10)))))</f>
        <v>0</v>
      </c>
      <c r="P11" s="64">
        <f>IF(AND(P8=0,P9=0),0,IF(P8&lt;=0,0,IF(WEEKDAY(P$6,1)=1,0,IF(WEEKDAY(P$6,1)=7,P8*P9,MAX(0,P9-8)*P8)))+((IF(P8&lt;=0,0,IF(WEEKDAY(P$6,1)=1,0,IF(WEEKDAY(P$6,1)=7,0,MIN(8,P9)*P8))))-MIN(IF(P8&lt;=0,0,IF(WEEKDAY(P$6,1)=1,0,IF(WEEKDAY(P$6,1)=7,0,MIN(8,P9)*P8))),MAX(0,40*MAX(1,P8)-(0)))))</f>
        <v>0</v>
      </c>
      <c r="Q11" s="64">
        <f>IF(AND(Q8=0,Q9=0),0,IF(Q8&lt;=0,0,IF(WEEKDAY(Q$6,1)=1,0,IF(WEEKDAY(Q$6,1)=7,Q8*Q9,MAX(0,Q9-8)*Q8)))+((IF(Q8&lt;=0,0,IF(WEEKDAY(Q$6,1)=1,0,IF(WEEKDAY(Q$6,1)=7,0,MIN(8,Q9)*Q8))))-MIN(IF(Q8&lt;=0,0,IF(WEEKDAY(Q$6,1)=1,0,IF(WEEKDAY(Q$6,1)=7,0,MIN(8,Q9)*Q8))),MAX(0,40*MAX(1,Q8)-(P10)))))</f>
        <v>0</v>
      </c>
      <c r="R11" s="63">
        <f>IF(AND(R8=1,R9=8),0,IF(R8&lt;=0,0,IF(WEEKDAY(R$6,1)=1,0,IF(WEEKDAY(R$6,1)=7,R8*R9,MAX(0,R9-8)*R8)))+((IF(R8&lt;=0,0,IF(WEEKDAY(R$6,1)=1,0,IF(WEEKDAY(R$6,1)=7,0,MIN(8,R9)*R8))))-MIN(IF(R8&lt;=0,0,IF(WEEKDAY(R$6,1)=1,0,IF(WEEKDAY(R$6,1)=7,0,MIN(8,R9)*R8))),MAX(0,40*MAX(1,R8)-(0)))))</f>
        <v>0</v>
      </c>
      <c r="S11" s="63">
        <f>IF(AND(S8=1,S9=8),0,IF(S8&lt;=0,0,IF(WEEKDAY(S$6,1)=1,0,IF(WEEKDAY(S$6,1)=7,S8*S9,MAX(0,S9-8)*S8)))+((IF(S8&lt;=0,0,IF(WEEKDAY(S$6,1)=1,0,IF(WEEKDAY(S$6,1)=7,0,MIN(8,S9)*S8))))-MIN(IF(S8&lt;=0,0,IF(WEEKDAY(S$6,1)=1,0,IF(WEEKDAY(S$6,1)=7,0,MIN(8,S9)*S8))),MAX(0,40*MAX(1,S8)-(R10)))))</f>
        <v>0</v>
      </c>
      <c r="T11" s="63">
        <f>IF(AND(T8=1,T9=8),0,IF(T8&lt;=0,0,IF(WEEKDAY(T$6,1)=1,0,IF(WEEKDAY(T$6,1)=7,T8*T9,MAX(0,T9-8)*T8)))+((IF(T8&lt;=0,0,IF(WEEKDAY(T$6,1)=1,0,IF(WEEKDAY(T$6,1)=7,0,MIN(8,T9)*T8))))-MIN(IF(T8&lt;=0,0,IF(WEEKDAY(T$6,1)=1,0,IF(WEEKDAY(T$6,1)=7,0,MIN(8,T9)*T8))),MAX(0,40*MAX(1,T8)-(R10+S10)))))</f>
        <v>0</v>
      </c>
      <c r="U11" s="63">
        <f>IF(AND(U8=1,U9=8),0,IF(U8&lt;=0,0,IF(WEEKDAY(U$6,1)=1,0,IF(WEEKDAY(U$6,1)=7,U8*U9,MAX(0,U9-8)*U8)))+((IF(U8&lt;=0,0,IF(WEEKDAY(U$6,1)=1,0,IF(WEEKDAY(U$6,1)=7,0,MIN(8,U9)*U8))))-MIN(IF(U8&lt;=0,0,IF(WEEKDAY(U$6,1)=1,0,IF(WEEKDAY(U$6,1)=7,0,MIN(8,U9)*U8))),MAX(0,40*MAX(1,U8)-(R10+S10+T10)))))</f>
        <v>0</v>
      </c>
      <c r="V11" s="63">
        <f>IF(AND(V8=1,V9=8),0,IF(V8&lt;=0,0,IF(WEEKDAY(V$6,1)=1,0,IF(WEEKDAY(V$6,1)=7,V8*V9,MAX(0,V9-8)*V8)))+((IF(V8&lt;=0,0,IF(WEEKDAY(V$6,1)=1,0,IF(WEEKDAY(V$6,1)=7,0,MIN(8,V9)*V8))))-MIN(IF(V8&lt;=0,0,IF(WEEKDAY(V$6,1)=1,0,IF(WEEKDAY(V$6,1)=7,0,MIN(8,V9)*V8))),MAX(0,40*MAX(1,V8)-(R10+S10+T10+U10)))))</f>
        <v>0</v>
      </c>
      <c r="W11" s="64">
        <f>IF(AND(W8=0,W9=0),0,IF(W8&lt;=0,0,IF(WEEKDAY(W$6,1)=1,0,IF(WEEKDAY(W$6,1)=7,W8*W9,MAX(0,W9-8)*W8)))+((IF(W8&lt;=0,0,IF(WEEKDAY(W$6,1)=1,0,IF(WEEKDAY(W$6,1)=7,0,MIN(8,W9)*W8))))-MIN(IF(W8&lt;=0,0,IF(WEEKDAY(W$6,1)=1,0,IF(WEEKDAY(W$6,1)=7,0,MIN(8,W9)*W8))),MAX(0,40*MAX(1,W8)-(0)))))</f>
        <v>0</v>
      </c>
      <c r="X11" s="64">
        <f>IF(AND(X8=0,X9=0),0,IF(X8&lt;=0,0,IF(WEEKDAY(X$6,1)=1,0,IF(WEEKDAY(X$6,1)=7,X8*X9,MAX(0,X9-8)*X8)))+((IF(X8&lt;=0,0,IF(WEEKDAY(X$6,1)=1,0,IF(WEEKDAY(X$6,1)=7,0,MIN(8,X9)*X8))))-MIN(IF(X8&lt;=0,0,IF(WEEKDAY(X$6,1)=1,0,IF(WEEKDAY(X$6,1)=7,0,MIN(8,X9)*X8))),MAX(0,40*MAX(1,X8)-(W10)))))</f>
        <v>0</v>
      </c>
      <c r="Y11" s="63">
        <f>IF(AND(Y8=1,Y9=8),0,IF(Y8&lt;=0,0,IF(WEEKDAY(Y$6,1)=1,0,IF(WEEKDAY(Y$6,1)=7,Y8*Y9,MAX(0,Y9-8)*Y8)))+((IF(Y8&lt;=0,0,IF(WEEKDAY(Y$6,1)=1,0,IF(WEEKDAY(Y$6,1)=7,0,MIN(8,Y9)*Y8))))-MIN(IF(Y8&lt;=0,0,IF(WEEKDAY(Y$6,1)=1,0,IF(WEEKDAY(Y$6,1)=7,0,MIN(8,Y9)*Y8))),MAX(0,40*MAX(1,Y8)-(0)))))</f>
        <v>0</v>
      </c>
      <c r="Z11" s="63">
        <f>IF(AND(Z8=1,Z9=8),0,IF(Z8&lt;=0,0,IF(WEEKDAY(Z$6,1)=1,0,IF(WEEKDAY(Z$6,1)=7,Z8*Z9,MAX(0,Z9-8)*Z8)))+((IF(Z8&lt;=0,0,IF(WEEKDAY(Z$6,1)=1,0,IF(WEEKDAY(Z$6,1)=7,0,MIN(8,Z9)*Z8))))-MIN(IF(Z8&lt;=0,0,IF(WEEKDAY(Z$6,1)=1,0,IF(WEEKDAY(Z$6,1)=7,0,MIN(8,Z9)*Z8))),MAX(0,40*MAX(1,Z8)-(Y10)))))</f>
        <v>0</v>
      </c>
      <c r="AA11" s="63">
        <f>IF(AND(AA8=1,AA9=8),0,IF(AA8&lt;=0,0,IF(WEEKDAY(AA$6,1)=1,0,IF(WEEKDAY(AA$6,1)=7,AA8*AA9,MAX(0,AA9-8)*AA8)))+((IF(AA8&lt;=0,0,IF(WEEKDAY(AA$6,1)=1,0,IF(WEEKDAY(AA$6,1)=7,0,MIN(8,AA9)*AA8))))-MIN(IF(AA8&lt;=0,0,IF(WEEKDAY(AA$6,1)=1,0,IF(WEEKDAY(AA$6,1)=7,0,MIN(8,AA9)*AA8))),MAX(0,40*MAX(1,AA8)-(Y10+Z10)))))</f>
        <v>0</v>
      </c>
      <c r="AB11" s="63">
        <f>IF(AND(AB8=1,AB9=8),0,IF(AB8&lt;=0,0,IF(WEEKDAY(AB$6,1)=1,0,IF(WEEKDAY(AB$6,1)=7,AB8*AB9,MAX(0,AB9-8)*AB8)))+((IF(AB8&lt;=0,0,IF(WEEKDAY(AB$6,1)=1,0,IF(WEEKDAY(AB$6,1)=7,0,MIN(8,AB9)*AB8))))-MIN(IF(AB8&lt;=0,0,IF(WEEKDAY(AB$6,1)=1,0,IF(WEEKDAY(AB$6,1)=7,0,MIN(8,AB9)*AB8))),MAX(0,40*MAX(1,AB8)-(Y10+Z10+AA10)))))</f>
        <v>0</v>
      </c>
      <c r="AC11" s="63">
        <f>IF(AND(AC8=1,AC9=8),0,IF(AC8&lt;=0,0,IF(WEEKDAY(AC$6,1)=1,0,IF(WEEKDAY(AC$6,1)=7,AC8*AC9,MAX(0,AC9-8)*AC8)))+((IF(AC8&lt;=0,0,IF(WEEKDAY(AC$6,1)=1,0,IF(WEEKDAY(AC$6,1)=7,0,MIN(8,AC9)*AC8))))-MIN(IF(AC8&lt;=0,0,IF(WEEKDAY(AC$6,1)=1,0,IF(WEEKDAY(AC$6,1)=7,0,MIN(8,AC9)*AC8))),MAX(0,40*MAX(1,AC8)-(Y10+Z10+AA10+AB10)))))</f>
        <v>0</v>
      </c>
      <c r="AD11" s="64">
        <f>IF(AND(AD8=0,AD9=0),0,IF(AD8&lt;=0,0,IF(WEEKDAY(AD$6,1)=1,0,IF(WEEKDAY(AD$6,1)=7,AD8*AD9,MAX(0,AD9-8)*AD8)))+((IF(AD8&lt;=0,0,IF(WEEKDAY(AD$6,1)=1,0,IF(WEEKDAY(AD$6,1)=7,0,MIN(8,AD9)*AD8))))-MIN(IF(AD8&lt;=0,0,IF(WEEKDAY(AD$6,1)=1,0,IF(WEEKDAY(AD$6,1)=7,0,MIN(8,AD9)*AD8))),MAX(0,40*MAX(1,AD8)-(0)))))</f>
        <v>0</v>
      </c>
      <c r="AE11" s="64">
        <f>IF(AND(AE8=0,AE9=0),0,IF(AE8&lt;=0,0,IF(WEEKDAY(AE$6,1)=1,0,IF(WEEKDAY(AE$6,1)=7,AE8*AE9,MAX(0,AE9-8)*AE8)))+((IF(AE8&lt;=0,0,IF(WEEKDAY(AE$6,1)=1,0,IF(WEEKDAY(AE$6,1)=7,0,MIN(8,AE9)*AE8))))-MIN(IF(AE8&lt;=0,0,IF(WEEKDAY(AE$6,1)=1,0,IF(WEEKDAY(AE$6,1)=7,0,MIN(8,AE9)*AE8))),MAX(0,40*MAX(1,AE8)-(AD10)))))</f>
        <v>0</v>
      </c>
      <c r="AF11" s="63">
        <f>IF(AND(AF8=1,AF9=8),0,IF(AF8&lt;=0,0,IF(WEEKDAY(AF$6,1)=1,0,IF(WEEKDAY(AF$6,1)=7,AF8*AF9,MAX(0,AF9-8)*AF8)))+((IF(AF8&lt;=0,0,IF(WEEKDAY(AF$6,1)=1,0,IF(WEEKDAY(AF$6,1)=7,0,MIN(8,AF9)*AF8))))-MIN(IF(AF8&lt;=0,0,IF(WEEKDAY(AF$6,1)=1,0,IF(WEEKDAY(AF$6,1)=7,0,MIN(8,AF9)*AF8))),MAX(0,40*MAX(1,AF8)-(0)))))</f>
        <v>0</v>
      </c>
      <c r="AG11" s="63">
        <f>IF(AND(AG8=1,AG9=8),0,IF(AG8&lt;=0,0,IF(WEEKDAY(AG$6,1)=1,0,IF(WEEKDAY(AG$6,1)=7,AG8*AG9,MAX(0,AG9-8)*AG8)))+((IF(AG8&lt;=0,0,IF(WEEKDAY(AG$6,1)=1,0,IF(WEEKDAY(AG$6,1)=7,0,MIN(8,AG9)*AG8))))-MIN(IF(AG8&lt;=0,0,IF(WEEKDAY(AG$6,1)=1,0,IF(WEEKDAY(AG$6,1)=7,0,MIN(8,AG9)*AG8))),MAX(0,40*MAX(1,AG8)-(AF10)))))</f>
        <v>0</v>
      </c>
      <c r="AH11" s="63">
        <f>IF(AND(AH8=1,AH9=8),0,IF(AH8&lt;=0,0,IF(WEEKDAY(AH$6,1)=1,0,IF(WEEKDAY(AH$6,1)=7,AH8*AH9,MAX(0,AH9-8)*AH8)))+((IF(AH8&lt;=0,0,IF(WEEKDAY(AH$6,1)=1,0,IF(WEEKDAY(AH$6,1)=7,0,MIN(8,AH9)*AH8))))-MIN(IF(AH8&lt;=0,0,IF(WEEKDAY(AH$6,1)=1,0,IF(WEEKDAY(AH$6,1)=7,0,MIN(8,AH9)*AH8))),MAX(0,40*MAX(1,AH8)-(AF10+AG10)))))</f>
        <v>0</v>
      </c>
      <c r="AI11" s="63">
        <f>IF(AND(AI8=1,AI9=8),0,IF(AI8&lt;=0,0,IF(WEEKDAY(AI$6,1)=1,0,IF(WEEKDAY(AI$6,1)=7,AI8*AI9,MAX(0,AI9-8)*AI8)))+((IF(AI8&lt;=0,0,IF(WEEKDAY(AI$6,1)=1,0,IF(WEEKDAY(AI$6,1)=7,0,MIN(8,AI9)*AI8))))-MIN(IF(AI8&lt;=0,0,IF(WEEKDAY(AI$6,1)=1,0,IF(WEEKDAY(AI$6,1)=7,0,MIN(8,AI9)*AI8))),MAX(0,40*MAX(1,AI8)-(AF10+AG10+AH10)))))</f>
        <v>0</v>
      </c>
      <c r="AJ11" s="63">
        <f>IF(AND(AJ8=1,AJ9=8),0,IF(AJ8&lt;=0,0,IF(WEEKDAY(AJ$6,1)=1,0,IF(WEEKDAY(AJ$6,1)=7,AJ8*AJ9,MAX(0,AJ9-8)*AJ8)))+((IF(AJ8&lt;=0,0,IF(WEEKDAY(AJ$6,1)=1,0,IF(WEEKDAY(AJ$6,1)=7,0,MIN(8,AJ9)*AJ8))))-MIN(IF(AJ8&lt;=0,0,IF(WEEKDAY(AJ$6,1)=1,0,IF(WEEKDAY(AJ$6,1)=7,0,MIN(8,AJ9)*AJ8))),MAX(0,40*MAX(1,AJ8)-(AF10+AG10+AH10+AI10)))))</f>
        <v>0</v>
      </c>
      <c r="AK11" s="64">
        <f>IF(AND(AK8=0,AK9=0),0,IF(AK8&lt;=0,0,IF(WEEKDAY(AK$6,1)=1,0,IF(WEEKDAY(AK$6,1)=7,AK8*AK9,MAX(0,AK9-8)*AK8)))+((IF(AK8&lt;=0,0,IF(WEEKDAY(AK$6,1)=1,0,IF(WEEKDAY(AK$6,1)=7,0,MIN(8,AK9)*AK8))))-MIN(IF(AK8&lt;=0,0,IF(WEEKDAY(AK$6,1)=1,0,IF(WEEKDAY(AK$6,1)=7,0,MIN(8,AK9)*AK8))),MAX(0,40*MAX(1,AK8)-(0)))))</f>
        <v>0</v>
      </c>
      <c r="AL11" s="64">
        <f>IF(AND(AL8=0,AL9=0),0,IF(AL8&lt;=0,0,IF(WEEKDAY(AL$6,1)=1,0,IF(WEEKDAY(AL$6,1)=7,AL8*AL9,MAX(0,AL9-8)*AL8)))+((IF(AL8&lt;=0,0,IF(WEEKDAY(AL$6,1)=1,0,IF(WEEKDAY(AL$6,1)=7,0,MIN(8,AL9)*AL8))))-MIN(IF(AL8&lt;=0,0,IF(WEEKDAY(AL$6,1)=1,0,IF(WEEKDAY(AL$6,1)=7,0,MIN(8,AL9)*AL8))),MAX(0,40*MAX(1,AL8)-(AK10)))))</f>
        <v>0</v>
      </c>
      <c r="AM11" s="63">
        <f>IF(AND(AM8=1,AM9=8),0,IF(AM8&lt;=0,0,IF(WEEKDAY(AM$6,1)=1,0,IF(WEEKDAY(AM$6,1)=7,AM8*AM9,MAX(0,AM9-8)*AM8)))+((IF(AM8&lt;=0,0,IF(WEEKDAY(AM$6,1)=1,0,IF(WEEKDAY(AM$6,1)=7,0,MIN(8,AM9)*AM8))))-MIN(IF(AM8&lt;=0,0,IF(WEEKDAY(AM$6,1)=1,0,IF(WEEKDAY(AM$6,1)=7,0,MIN(8,AM9)*AM8))),MAX(0,40*MAX(1,AM8)-(0)))))</f>
        <v>0</v>
      </c>
      <c r="AN11" s="63">
        <f>IF(AND(AN8=1,AN9=8),0,IF(AN8&lt;=0,0,IF(WEEKDAY(AN$6,1)=1,0,IF(WEEKDAY(AN$6,1)=7,AN8*AN9,MAX(0,AN9-8)*AN8)))+((IF(AN8&lt;=0,0,IF(WEEKDAY(AN$6,1)=1,0,IF(WEEKDAY(AN$6,1)=7,0,MIN(8,AN9)*AN8))))-MIN(IF(AN8&lt;=0,0,IF(WEEKDAY(AN$6,1)=1,0,IF(WEEKDAY(AN$6,1)=7,0,MIN(8,AN9)*AN8))),MAX(0,40*MAX(1,AN8)-(AM10)))))</f>
        <v>0</v>
      </c>
      <c r="AO11" s="63">
        <f>IF(AND(AO8=1,AO9=8),0,IF(AO8&lt;=0,0,IF(WEEKDAY(AO$6,1)=1,0,IF(WEEKDAY(AO$6,1)=7,AO8*AO9,MAX(0,AO9-8)*AO8)))+((IF(AO8&lt;=0,0,IF(WEEKDAY(AO$6,1)=1,0,IF(WEEKDAY(AO$6,1)=7,0,MIN(8,AO9)*AO8))))-MIN(IF(AO8&lt;=0,0,IF(WEEKDAY(AO$6,1)=1,0,IF(WEEKDAY(AO$6,1)=7,0,MIN(8,AO9)*AO8))),MAX(0,40*MAX(1,AO8)-(AM10+AN10)))))</f>
        <v>0</v>
      </c>
      <c r="AP11" s="63">
        <f>IF(AND(AP8=1,AP9=8),0,IF(AP8&lt;=0,0,IF(WEEKDAY(AP$6,1)=1,0,IF(WEEKDAY(AP$6,1)=7,AP8*AP9,MAX(0,AP9-8)*AP8)))+((IF(AP8&lt;=0,0,IF(WEEKDAY(AP$6,1)=1,0,IF(WEEKDAY(AP$6,1)=7,0,MIN(8,AP9)*AP8))))-MIN(IF(AP8&lt;=0,0,IF(WEEKDAY(AP$6,1)=1,0,IF(WEEKDAY(AP$6,1)=7,0,MIN(8,AP9)*AP8))),MAX(0,40*MAX(1,AP8)-(AM10+AN10+AO10)))))</f>
        <v>0</v>
      </c>
      <c r="AQ11" s="63">
        <f>IF(AND(AQ8=1,AQ9=8),0,IF(AQ8&lt;=0,0,IF(WEEKDAY(AQ$6,1)=1,0,IF(WEEKDAY(AQ$6,1)=7,AQ8*AQ9,MAX(0,AQ9-8)*AQ8)))+((IF(AQ8&lt;=0,0,IF(WEEKDAY(AQ$6,1)=1,0,IF(WEEKDAY(AQ$6,1)=7,0,MIN(8,AQ9)*AQ8))))-MIN(IF(AQ8&lt;=0,0,IF(WEEKDAY(AQ$6,1)=1,0,IF(WEEKDAY(AQ$6,1)=7,0,MIN(8,AQ9)*AQ8))),MAX(0,40*MAX(1,AQ8)-(AM10+AN10+AO10+AP10)))))</f>
        <v>0</v>
      </c>
      <c r="AR11" s="64">
        <f>IF(AND(AR8=0,AR9=0),0,IF(AR8&lt;=0,0,IF(WEEKDAY(AR$6,1)=1,0,IF(WEEKDAY(AR$6,1)=7,AR8*AR9,MAX(0,AR9-8)*AR8)))+((IF(AR8&lt;=0,0,IF(WEEKDAY(AR$6,1)=1,0,IF(WEEKDAY(AR$6,1)=7,0,MIN(8,AR9)*AR8))))-MIN(IF(AR8&lt;=0,0,IF(WEEKDAY(AR$6,1)=1,0,IF(WEEKDAY(AR$6,1)=7,0,MIN(8,AR9)*AR8))),MAX(0,40*MAX(1,AR8)-(0)))))</f>
        <v>0</v>
      </c>
      <c r="AS11" s="64">
        <f>IF(AND(AS8=0,AS9=0),0,IF(AS8&lt;=0,0,IF(WEEKDAY(AS$6,1)=1,0,IF(WEEKDAY(AS$6,1)=7,AS8*AS9,MAX(0,AS9-8)*AS8)))+((IF(AS8&lt;=0,0,IF(WEEKDAY(AS$6,1)=1,0,IF(WEEKDAY(AS$6,1)=7,0,MIN(8,AS9)*AS8))))-MIN(IF(AS8&lt;=0,0,IF(WEEKDAY(AS$6,1)=1,0,IF(WEEKDAY(AS$6,1)=7,0,MIN(8,AS9)*AS8))),MAX(0,40*MAX(1,AS8)-(AR10)))))</f>
        <v>0</v>
      </c>
      <c r="AT11" s="63">
        <f>IF(AND(AT8=1,AT9=8),0,IF(AT8&lt;=0,0,IF(WEEKDAY(AT$6,1)=1,0,IF(WEEKDAY(AT$6,1)=7,AT8*AT9,MAX(0,AT9-8)*AT8)))+((IF(AT8&lt;=0,0,IF(WEEKDAY(AT$6,1)=1,0,IF(WEEKDAY(AT$6,1)=7,0,MIN(8,AT9)*AT8))))-MIN(IF(AT8&lt;=0,0,IF(WEEKDAY(AT$6,1)=1,0,IF(WEEKDAY(AT$6,1)=7,0,MIN(8,AT9)*AT8))),MAX(0,40*MAX(1,AT8)-(0)))))</f>
        <v>0</v>
      </c>
      <c r="AU11" s="63">
        <f>IF(AND(AU8=1,AU9=8),0,IF(AU8&lt;=0,0,IF(WEEKDAY(AU$6,1)=1,0,IF(WEEKDAY(AU$6,1)=7,AU8*AU9,MAX(0,AU9-8)*AU8)))+((IF(AU8&lt;=0,0,IF(WEEKDAY(AU$6,1)=1,0,IF(WEEKDAY(AU$6,1)=7,0,MIN(8,AU9)*AU8))))-MIN(IF(AU8&lt;=0,0,IF(WEEKDAY(AU$6,1)=1,0,IF(WEEKDAY(AU$6,1)=7,0,MIN(8,AU9)*AU8))),MAX(0,40*MAX(1,AU8)-(AT10)))))</f>
        <v>0</v>
      </c>
      <c r="AV11" s="63">
        <f>IF(AND(AV8=1,AV9=8),0,IF(AV8&lt;=0,0,IF(WEEKDAY(AV$6,1)=1,0,IF(WEEKDAY(AV$6,1)=7,AV8*AV9,MAX(0,AV9-8)*AV8)))+((IF(AV8&lt;=0,0,IF(WEEKDAY(AV$6,1)=1,0,IF(WEEKDAY(AV$6,1)=7,0,MIN(8,AV9)*AV8))))-MIN(IF(AV8&lt;=0,0,IF(WEEKDAY(AV$6,1)=1,0,IF(WEEKDAY(AV$6,1)=7,0,MIN(8,AV9)*AV8))),MAX(0,40*MAX(1,AV8)-(AT10+AU10)))))</f>
        <v>0</v>
      </c>
      <c r="AW11" s="63">
        <f>IF(AND(AW8=1,AW9=8),0,IF(AW8&lt;=0,0,IF(WEEKDAY(AW$6,1)=1,0,IF(WEEKDAY(AW$6,1)=7,AW8*AW9,MAX(0,AW9-8)*AW8)))+((IF(AW8&lt;=0,0,IF(WEEKDAY(AW$6,1)=1,0,IF(WEEKDAY(AW$6,1)=7,0,MIN(8,AW9)*AW8))))-MIN(IF(AW8&lt;=0,0,IF(WEEKDAY(AW$6,1)=1,0,IF(WEEKDAY(AW$6,1)=7,0,MIN(8,AW9)*AW8))),MAX(0,40*MAX(1,AW8)-(AT10+AU10+AV10)))))</f>
        <v>0</v>
      </c>
      <c r="AX11" s="63">
        <f>IF(AND(AX8=1,AX9=8),0,IF(AX8&lt;=0,0,IF(WEEKDAY(AX$6,1)=1,0,IF(WEEKDAY(AX$6,1)=7,AX8*AX9,MAX(0,AX9-8)*AX8)))+((IF(AX8&lt;=0,0,IF(WEEKDAY(AX$6,1)=1,0,IF(WEEKDAY(AX$6,1)=7,0,MIN(8,AX9)*AX8))))-MIN(IF(AX8&lt;=0,0,IF(WEEKDAY(AX$6,1)=1,0,IF(WEEKDAY(AX$6,1)=7,0,MIN(8,AX9)*AX8))),MAX(0,40*MAX(1,AX8)-(AT10+AU10+AV10+AW10)))))</f>
        <v>0</v>
      </c>
      <c r="AY11" s="64">
        <f>IF(AND(AY8=0,AY9=0),0,IF(AY8&lt;=0,0,IF(WEEKDAY(AY$6,1)=1,0,IF(WEEKDAY(AY$6,1)=7,AY8*AY9,MAX(0,AY9-8)*AY8)))+((IF(AY8&lt;=0,0,IF(WEEKDAY(AY$6,1)=1,0,IF(WEEKDAY(AY$6,1)=7,0,MIN(8,AY9)*AY8))))-MIN(IF(AY8&lt;=0,0,IF(WEEKDAY(AY$6,1)=1,0,IF(WEEKDAY(AY$6,1)=7,0,MIN(8,AY9)*AY8))),MAX(0,40*MAX(1,AY8)-(0)))))</f>
        <v>0</v>
      </c>
      <c r="AZ11" s="64">
        <f>IF(AND(AZ8=0,AZ9=0),0,IF(AZ8&lt;=0,0,IF(WEEKDAY(AZ$6,1)=1,0,IF(WEEKDAY(AZ$6,1)=7,AZ8*AZ9,MAX(0,AZ9-8)*AZ8)))+((IF(AZ8&lt;=0,0,IF(WEEKDAY(AZ$6,1)=1,0,IF(WEEKDAY(AZ$6,1)=7,0,MIN(8,AZ9)*AZ8))))-MIN(IF(AZ8&lt;=0,0,IF(WEEKDAY(AZ$6,1)=1,0,IF(WEEKDAY(AZ$6,1)=7,0,MIN(8,AZ9)*AZ8))),MAX(0,40*MAX(1,AZ8)-(AY10)))))</f>
        <v>0</v>
      </c>
      <c r="BA11" s="63">
        <f>IF(AND(BA8=1,BA9=8),0,IF(BA8&lt;=0,0,IF(WEEKDAY(BA$6,1)=1,0,IF(WEEKDAY(BA$6,1)=7,BA8*BA9,MAX(0,BA9-8)*BA8)))+((IF(BA8&lt;=0,0,IF(WEEKDAY(BA$6,1)=1,0,IF(WEEKDAY(BA$6,1)=7,0,MIN(8,BA9)*BA8))))-MIN(IF(BA8&lt;=0,0,IF(WEEKDAY(BA$6,1)=1,0,IF(WEEKDAY(BA$6,1)=7,0,MIN(8,BA9)*BA8))),MAX(0,40*MAX(1,BA8)-(0)))))</f>
        <v>0</v>
      </c>
      <c r="BB11" s="63">
        <f>IF(AND(BB8=1,BB9=8),0,IF(BB8&lt;=0,0,IF(WEEKDAY(BB$6,1)=1,0,IF(WEEKDAY(BB$6,1)=7,BB8*BB9,MAX(0,BB9-8)*BB8)))+((IF(BB8&lt;=0,0,IF(WEEKDAY(BB$6,1)=1,0,IF(WEEKDAY(BB$6,1)=7,0,MIN(8,BB9)*BB8))))-MIN(IF(BB8&lt;=0,0,IF(WEEKDAY(BB$6,1)=1,0,IF(WEEKDAY(BB$6,1)=7,0,MIN(8,BB9)*BB8))),MAX(0,40*MAX(1,BB8)-(BA10)))))</f>
        <v>0</v>
      </c>
      <c r="BC11" s="63">
        <f>IF(AND(BC8=1,BC9=8),0,IF(BC8&lt;=0,0,IF(WEEKDAY(BC$6,1)=1,0,IF(WEEKDAY(BC$6,1)=7,BC8*BC9,MAX(0,BC9-8)*BC8)))+((IF(BC8&lt;=0,0,IF(WEEKDAY(BC$6,1)=1,0,IF(WEEKDAY(BC$6,1)=7,0,MIN(8,BC9)*BC8))))-MIN(IF(BC8&lt;=0,0,IF(WEEKDAY(BC$6,1)=1,0,IF(WEEKDAY(BC$6,1)=7,0,MIN(8,BC9)*BC8))),MAX(0,40*MAX(1,BC8)-(BA10+BB10)))))</f>
        <v>0</v>
      </c>
      <c r="BD11" s="63">
        <f>IF(AND(BD8=1,BD9=8),0,IF(BD8&lt;=0,0,IF(WEEKDAY(BD$6,1)=1,0,IF(WEEKDAY(BD$6,1)=7,BD8*BD9,MAX(0,BD9-8)*BD8)))+((IF(BD8&lt;=0,0,IF(WEEKDAY(BD$6,1)=1,0,IF(WEEKDAY(BD$6,1)=7,0,MIN(8,BD9)*BD8))))-MIN(IF(BD8&lt;=0,0,IF(WEEKDAY(BD$6,1)=1,0,IF(WEEKDAY(BD$6,1)=7,0,MIN(8,BD9)*BD8))),MAX(0,40*MAX(1,BD8)-(BA10+BB10+BC10)))))</f>
        <v>0</v>
      </c>
      <c r="BE11" s="63">
        <f>IF(AND(BE8=1,BE9=8),0,IF(BE8&lt;=0,0,IF(WEEKDAY(BE$6,1)=1,0,IF(WEEKDAY(BE$6,1)=7,BE8*BE9,MAX(0,BE9-8)*BE8)))+((IF(BE8&lt;=0,0,IF(WEEKDAY(BE$6,1)=1,0,IF(WEEKDAY(BE$6,1)=7,0,MIN(8,BE9)*BE8))))-MIN(IF(BE8&lt;=0,0,IF(WEEKDAY(BE$6,1)=1,0,IF(WEEKDAY(BE$6,1)=7,0,MIN(8,BE9)*BE8))),MAX(0,40*MAX(1,BE8)-(BA10+BB10+BC10+BD10)))))</f>
        <v>0</v>
      </c>
      <c r="BF11" s="64">
        <f>IF(AND(BF8=0,BF9=0),0,IF(BF8&lt;=0,0,IF(WEEKDAY(BF$6,1)=1,0,IF(WEEKDAY(BF$6,1)=7,BF8*BF9,MAX(0,BF9-8)*BF8)))+((IF(BF8&lt;=0,0,IF(WEEKDAY(BF$6,1)=1,0,IF(WEEKDAY(BF$6,1)=7,0,MIN(8,BF9)*BF8))))-MIN(IF(BF8&lt;=0,0,IF(WEEKDAY(BF$6,1)=1,0,IF(WEEKDAY(BF$6,1)=7,0,MIN(8,BF9)*BF8))),MAX(0,40*MAX(1,BF8)-(0)))))</f>
        <v>0</v>
      </c>
      <c r="BG11" s="64">
        <f>IF(AND(BG8=0,BG9=0),0,IF(BG8&lt;=0,0,IF(WEEKDAY(BG$6,1)=1,0,IF(WEEKDAY(BG$6,1)=7,BG8*BG9,MAX(0,BG9-8)*BG8)))+((IF(BG8&lt;=0,0,IF(WEEKDAY(BG$6,1)=1,0,IF(WEEKDAY(BG$6,1)=7,0,MIN(8,BG9)*BG8))))-MIN(IF(BG8&lt;=0,0,IF(WEEKDAY(BG$6,1)=1,0,IF(WEEKDAY(BG$6,1)=7,0,MIN(8,BG9)*BG8))),MAX(0,40*MAX(1,BG8)-(BF10)))))</f>
        <v>0</v>
      </c>
      <c r="BH11" s="63">
        <f>IF(AND(BH8=1,BH9=12),4,IF(BH8&lt;=0,0,IF(WEEKDAY(BH$6,1)=1,0,IF(WEEKDAY(BH$6,1)=7,BH8*BH9,MAX(0,BH9-8)*BH8)))+((IF(BH8&lt;=0,0,IF(WEEKDAY(BH$6,1)=1,0,IF(WEEKDAY(BH$6,1)=7,0,MIN(8,BH9)*BH8))))-MIN(IF(BH8&lt;=0,0,IF(WEEKDAY(BH$6,1)=1,0,IF(WEEKDAY(BH$6,1)=7,0,MIN(8,BH9)*BH8))),MAX(0,40*MAX(1,BH8)-(0)))))</f>
        <v>4</v>
      </c>
      <c r="BI11" s="63">
        <f>IF(AND(BI8=1,BI9=12),4,IF(BI8&lt;=0,0,IF(WEEKDAY(BI$6,1)=1,0,IF(WEEKDAY(BI$6,1)=7,BI8*BI9,MAX(0,BI9-8)*BI8)))+((IF(BI8&lt;=0,0,IF(WEEKDAY(BI$6,1)=1,0,IF(WEEKDAY(BI$6,1)=7,0,MIN(8,BI9)*BI8))))-MIN(IF(BI8&lt;=0,0,IF(WEEKDAY(BI$6,1)=1,0,IF(WEEKDAY(BI$6,1)=7,0,MIN(8,BI9)*BI8))),MAX(0,40*MAX(1,BI8)-(BH10)))))</f>
        <v>4</v>
      </c>
      <c r="BJ11" s="63">
        <f>IF(AND(BJ8=1,BJ9=12),4,IF(BJ8&lt;=0,0,IF(WEEKDAY(BJ$6,1)=1,0,IF(WEEKDAY(BJ$6,1)=7,BJ8*BJ9,MAX(0,BJ9-8)*BJ8)))+((IF(BJ8&lt;=0,0,IF(WEEKDAY(BJ$6,1)=1,0,IF(WEEKDAY(BJ$6,1)=7,0,MIN(8,BJ9)*BJ8))))-MIN(IF(BJ8&lt;=0,0,IF(WEEKDAY(BJ$6,1)=1,0,IF(WEEKDAY(BJ$6,1)=7,0,MIN(8,BJ9)*BJ8))),MAX(0,40*MAX(1,BJ8)-(BH10+BI10)))))</f>
        <v>4</v>
      </c>
      <c r="BK11" s="63">
        <f>IF(AND(BK8=1,BK9=12),4,IF(BK8&lt;=0,0,IF(WEEKDAY(BK$6,1)=1,0,IF(WEEKDAY(BK$6,1)=7,BK8*BK9,MAX(0,BK9-8)*BK8)))+((IF(BK8&lt;=0,0,IF(WEEKDAY(BK$6,1)=1,0,IF(WEEKDAY(BK$6,1)=7,0,MIN(8,BK9)*BK8))))-MIN(IF(BK8&lt;=0,0,IF(WEEKDAY(BK$6,1)=1,0,IF(WEEKDAY(BK$6,1)=7,0,MIN(8,BK9)*BK8))),MAX(0,40*MAX(1,BK8)-(BH10+BI10+BJ10)))))</f>
        <v>4</v>
      </c>
      <c r="BL11" s="63">
        <f>IF(AND(BL8=1,BL9=12),4,IF(BL8&lt;=0,0,IF(WEEKDAY(BL$6,1)=1,0,IF(WEEKDAY(BL$6,1)=7,BL8*BL9,MAX(0,BL9-8)*BL8)))+((IF(BL8&lt;=0,0,IF(WEEKDAY(BL$6,1)=1,0,IF(WEEKDAY(BL$6,1)=7,0,MIN(8,BL9)*BL8))))-MIN(IF(BL8&lt;=0,0,IF(WEEKDAY(BL$6,1)=1,0,IF(WEEKDAY(BL$6,1)=7,0,MIN(8,BL9)*BL8))),MAX(0,40*MAX(1,BL8)-(BH10+BI10+BJ10+BK10)))))</f>
        <v>4</v>
      </c>
      <c r="BM11" s="64">
        <f>IF(AND(BM8=1,BM9=12),12,IF(BM8&lt;=0,0,IF(WEEKDAY(BM$6,1)=1,0,IF(WEEKDAY(BM$6,1)=7,BM8*BM9,MAX(0,BM9-8)*BM8)))+((IF(BM8&lt;=0,0,IF(WEEKDAY(BM$6,1)=1,0,IF(WEEKDAY(BM$6,1)=7,0,MIN(8,BM9)*BM8))))-MIN(IF(BM8&lt;=0,0,IF(WEEKDAY(BM$6,1)=1,0,IF(WEEKDAY(BM$6,1)=7,0,MIN(8,BM9)*BM8))),MAX(0,40*MAX(1,BM8)-(BH10+BI10+BJ10+BK10+BL10)))))</f>
        <v>12</v>
      </c>
      <c r="BN11" s="64">
        <f>IF(AND(BN8=1,BN9=12),0,IF(BN8&lt;=0,0,IF(WEEKDAY(BN$6,1)=1,0,IF(WEEKDAY(BN$6,1)=7,BN8*BN9,MAX(0,BN9-8)*BN8)))+((IF(BN8&lt;=0,0,IF(WEEKDAY(BN$6,1)=1,0,IF(WEEKDAY(BN$6,1)=7,0,MIN(8,BN9)*BN8))))-MIN(IF(BN8&lt;=0,0,IF(WEEKDAY(BN$6,1)=1,0,IF(WEEKDAY(BN$6,1)=7,0,MIN(8,BN9)*BN8))),MAX(0,40*MAX(1,BN8)-(BH10+BI10+BJ10+BK10+BL10+BM10)))))</f>
        <v>0</v>
      </c>
      <c r="BO11" s="63">
        <f>IF(AND(BO8=1,BO9=12),4,IF(BO8&lt;=0,0,IF(WEEKDAY(BO$6,1)=1,0,IF(WEEKDAY(BO$6,1)=7,BO8*BO9,MAX(0,BO9-8)*BO8)))+((IF(BO8&lt;=0,0,IF(WEEKDAY(BO$6,1)=1,0,IF(WEEKDAY(BO$6,1)=7,0,MIN(8,BO9)*BO8))))-MIN(IF(BO8&lt;=0,0,IF(WEEKDAY(BO$6,1)=1,0,IF(WEEKDAY(BO$6,1)=7,0,MIN(8,BO9)*BO8))),MAX(0,40*MAX(1,BO8)-(0)))))</f>
        <v>4</v>
      </c>
      <c r="BP11" s="63">
        <f>IF(AND(BP8=1,BP9=12),4,IF(BP8&lt;=0,0,IF(WEEKDAY(BP$6,1)=1,0,IF(WEEKDAY(BP$6,1)=7,BP8*BP9,MAX(0,BP9-8)*BP8)))+((IF(BP8&lt;=0,0,IF(WEEKDAY(BP$6,1)=1,0,IF(WEEKDAY(BP$6,1)=7,0,MIN(8,BP9)*BP8))))-MIN(IF(BP8&lt;=0,0,IF(WEEKDAY(BP$6,1)=1,0,IF(WEEKDAY(BP$6,1)=7,0,MIN(8,BP9)*BP8))),MAX(0,40*MAX(1,BP8)-(BO10)))))</f>
        <v>4</v>
      </c>
      <c r="BQ11" s="63">
        <f>IF(AND(BQ8=1,BQ9=12),4,IF(BQ8&lt;=0,0,IF(WEEKDAY(BQ$6,1)=1,0,IF(WEEKDAY(BQ$6,1)=7,BQ8*BQ9,MAX(0,BQ9-8)*BQ8)))+((IF(BQ8&lt;=0,0,IF(WEEKDAY(BQ$6,1)=1,0,IF(WEEKDAY(BQ$6,1)=7,0,MIN(8,BQ9)*BQ8))))-MIN(IF(BQ8&lt;=0,0,IF(WEEKDAY(BQ$6,1)=1,0,IF(WEEKDAY(BQ$6,1)=7,0,MIN(8,BQ9)*BQ8))),MAX(0,40*MAX(1,BQ8)-(BO10+BP10)))))</f>
        <v>4</v>
      </c>
      <c r="BR11" s="63">
        <f>IF(AND(BR8=1,BR9=12),4,IF(BR8&lt;=0,0,IF(WEEKDAY(BR$6,1)=1,0,IF(WEEKDAY(BR$6,1)=7,BR8*BR9,MAX(0,BR9-8)*BR8)))+((IF(BR8&lt;=0,0,IF(WEEKDAY(BR$6,1)=1,0,IF(WEEKDAY(BR$6,1)=7,0,MIN(8,BR9)*BR8))))-MIN(IF(BR8&lt;=0,0,IF(WEEKDAY(BR$6,1)=1,0,IF(WEEKDAY(BR$6,1)=7,0,MIN(8,BR9)*BR8))),MAX(0,40*MAX(1,BR8)-(0)))))</f>
        <v>4</v>
      </c>
      <c r="BS11" s="63">
        <f>IF(AND(BS8=1,BS9=12),4,IF(BS8&lt;=0,0,IF(WEEKDAY(BS$6,1)=1,0,IF(WEEKDAY(BS$6,1)=7,BS8*BS9,MAX(0,BS9-8)*BS8)))+((IF(BS8&lt;=0,0,IF(WEEKDAY(BS$6,1)=1,0,IF(WEEKDAY(BS$6,1)=7,0,MIN(8,BS9)*BS8))))-MIN(IF(BS8&lt;=0,0,IF(WEEKDAY(BS$6,1)=1,0,IF(WEEKDAY(BS$6,1)=7,0,MIN(8,BS9)*BS8))),MAX(0,40*MAX(1,BS8)-(BR10)))))</f>
        <v>4</v>
      </c>
      <c r="BT11" s="64">
        <f>IF(AND(BT8=1,BT9=12),12,IF(BT8&lt;=0,0,IF(WEEKDAY(BT$6,1)=1,0,IF(WEEKDAY(BT$6,1)=7,BT8*BT9,MAX(0,BT9-8)*BT8)))+((IF(BT8&lt;=0,0,IF(WEEKDAY(BT$6,1)=1,0,IF(WEEKDAY(BT$6,1)=7,0,MIN(8,BT9)*BT8))))-MIN(IF(BT8&lt;=0,0,IF(WEEKDAY(BT$6,1)=1,0,IF(WEEKDAY(BT$6,1)=7,0,MIN(8,BT9)*BT8))),MAX(0,40*MAX(1,BT8)-(BR10+BS10)))))</f>
        <v>12</v>
      </c>
      <c r="BU11" s="64">
        <f>IF(AND(BU8=1,BU9=12),0,IF(BU8&lt;=0,0,IF(WEEKDAY(BU$6,1)=1,0,IF(WEEKDAY(BU$6,1)=7,BU8*BU9,MAX(0,BU9-8)*BU8)))+((IF(BU8&lt;=0,0,IF(WEEKDAY(BU$6,1)=1,0,IF(WEEKDAY(BU$6,1)=7,0,MIN(8,BU9)*BU8))))-MIN(IF(BU8&lt;=0,0,IF(WEEKDAY(BU$6,1)=1,0,IF(WEEKDAY(BU$6,1)=7,0,MIN(8,BU9)*BU8))),MAX(0,40*MAX(1,BU8)-(BR10+BS10+BT10)))))</f>
        <v>0</v>
      </c>
      <c r="BV11" s="63">
        <f>IF(AND(BV8=1,BV9=12),4,IF(BV8&lt;=0,0,IF(WEEKDAY(BV$6,1)=1,0,IF(WEEKDAY(BV$6,1)=7,BV8*BV9,MAX(0,BV9-8)*BV8)))+((IF(BV8&lt;=0,0,IF(WEEKDAY(BV$6,1)=1,0,IF(WEEKDAY(BV$6,1)=7,0,MIN(8,BV9)*BV8))))-MIN(IF(BV8&lt;=0,0,IF(WEEKDAY(BV$6,1)=1,0,IF(WEEKDAY(BV$6,1)=7,0,MIN(8,BV9)*BV8))),MAX(0,40*MAX(1,BV8)-(0)))))</f>
        <v>4</v>
      </c>
      <c r="BW11" s="63">
        <f>IF(AND(BW8=1,BW9=12),4,IF(BW8&lt;=0,0,IF(WEEKDAY(BW$6,1)=1,0,IF(WEEKDAY(BW$6,1)=7,BW8*BW9,MAX(0,BW9-8)*BW8)))+((IF(BW8&lt;=0,0,IF(WEEKDAY(BW$6,1)=1,0,IF(WEEKDAY(BW$6,1)=7,0,MIN(8,BW9)*BW8))))-MIN(IF(BW8&lt;=0,0,IF(WEEKDAY(BW$6,1)=1,0,IF(WEEKDAY(BW$6,1)=7,0,MIN(8,BW9)*BW8))),MAX(0,40*MAX(1,BW8)-(BV10)))))</f>
        <v>4</v>
      </c>
      <c r="BX11" s="63">
        <f>IF(AND(BX8=1,BX9=12),4,IF(BX8&lt;=0,0,IF(WEEKDAY(BX$6,1)=1,0,IF(WEEKDAY(BX$6,1)=7,BX8*BX9,MAX(0,BX9-8)*BX8)))+((IF(BX8&lt;=0,0,IF(WEEKDAY(BX$6,1)=1,0,IF(WEEKDAY(BX$6,1)=7,0,MIN(8,BX9)*BX8))))-MIN(IF(BX8&lt;=0,0,IF(WEEKDAY(BX$6,1)=1,0,IF(WEEKDAY(BX$6,1)=7,0,MIN(8,BX9)*BX8))),MAX(0,40*MAX(1,BX8)-(BV10+BW10)))))</f>
        <v>4</v>
      </c>
      <c r="BY11" s="63">
        <f>IF(AND(BY8=1,BY9=12),4,IF(BY8&lt;=0,0,IF(WEEKDAY(BY$6,1)=1,0,IF(WEEKDAY(BY$6,1)=7,BY8*BY9,MAX(0,BY9-8)*BY8)))+((IF(BY8&lt;=0,0,IF(WEEKDAY(BY$6,1)=1,0,IF(WEEKDAY(BY$6,1)=7,0,MIN(8,BY9)*BY8))))-MIN(IF(BY8&lt;=0,0,IF(WEEKDAY(BY$6,1)=1,0,IF(WEEKDAY(BY$6,1)=7,0,MIN(8,BY9)*BY8))),MAX(0,40*MAX(1,BY8)-(BV10+BW10+BX10)))))</f>
        <v>4</v>
      </c>
      <c r="BZ11" s="63">
        <f>IF(AND(BZ8=1,BZ9=12),4,IF(BZ8&lt;=0,0,IF(WEEKDAY(BZ$6,1)=1,0,IF(WEEKDAY(BZ$6,1)=7,BZ8*BZ9,MAX(0,BZ9-8)*BZ8)))+((IF(BZ8&lt;=0,0,IF(WEEKDAY(BZ$6,1)=1,0,IF(WEEKDAY(BZ$6,1)=7,0,MIN(8,BZ9)*BZ8))))-MIN(IF(BZ8&lt;=0,0,IF(WEEKDAY(BZ$6,1)=1,0,IF(WEEKDAY(BZ$6,1)=7,0,MIN(8,BZ9)*BZ8))),MAX(0,40*MAX(1,BZ8)-(BV10+BW10+BX10+BY10)))))</f>
        <v>4</v>
      </c>
      <c r="CA11" s="64">
        <f>IF(AND(CA8=1,CA9=12),12,IF(CA8&lt;=0,0,IF(WEEKDAY(CA$6,1)=1,0,IF(WEEKDAY(CA$6,1)=7,CA8*CA9,MAX(0,CA9-8)*CA8)))+((IF(CA8&lt;=0,0,IF(WEEKDAY(CA$6,1)=1,0,IF(WEEKDAY(CA$6,1)=7,0,MIN(8,CA9)*CA8))))-MIN(IF(CA8&lt;=0,0,IF(WEEKDAY(CA$6,1)=1,0,IF(WEEKDAY(CA$6,1)=7,0,MIN(8,CA9)*CA8))),MAX(0,40*MAX(1,CA8)-(BV10+BW10+BX10+BY10+BZ10)))))</f>
        <v>12</v>
      </c>
      <c r="CB11" s="64">
        <f>IF(AND(CB8=1,CB9=12),0,IF(CB8&lt;=0,0,IF(WEEKDAY(CB$6,1)=1,0,IF(WEEKDAY(CB$6,1)=7,CB8*CB9,MAX(0,CB9-8)*CB8)))+((IF(CB8&lt;=0,0,IF(WEEKDAY(CB$6,1)=1,0,IF(WEEKDAY(CB$6,1)=7,0,MIN(8,CB9)*CB8))))-MIN(IF(CB8&lt;=0,0,IF(WEEKDAY(CB$6,1)=1,0,IF(WEEKDAY(CB$6,1)=7,0,MIN(8,CB9)*CB8))),MAX(0,40*MAX(1,CB8)-(BV10+BW10+BX10+BY10+BZ10+CA10)))))</f>
        <v>0</v>
      </c>
      <c r="CC11" s="63">
        <f>IF(AND(CC8=1,CC9=12),4,IF(CC8&lt;=0,0,IF(WEEKDAY(CC$6,1)=1,0,IF(WEEKDAY(CC$6,1)=7,CC8*CC9,MAX(0,CC9-8)*CC8)))+((IF(CC8&lt;=0,0,IF(WEEKDAY(CC$6,1)=1,0,IF(WEEKDAY(CC$6,1)=7,0,MIN(8,CC9)*CC8))))-MIN(IF(CC8&lt;=0,0,IF(WEEKDAY(CC$6,1)=1,0,IF(WEEKDAY(CC$6,1)=7,0,MIN(8,CC9)*CC8))),MAX(0,40*MAX(1,CC8)-(0)))))</f>
        <v>4</v>
      </c>
      <c r="CD11" s="63">
        <f>IF(AND(CD8=1,CD9=12),4,IF(CD8&lt;=0,0,IF(WEEKDAY(CD$6,1)=1,0,IF(WEEKDAY(CD$6,1)=7,CD8*CD9,MAX(0,CD9-8)*CD8)))+((IF(CD8&lt;=0,0,IF(WEEKDAY(CD$6,1)=1,0,IF(WEEKDAY(CD$6,1)=7,0,MIN(8,CD9)*CD8))))-MIN(IF(CD8&lt;=0,0,IF(WEEKDAY(CD$6,1)=1,0,IF(WEEKDAY(CD$6,1)=7,0,MIN(8,CD9)*CD8))),MAX(0,40*MAX(1,CD8)-(CC10)))))</f>
        <v>4</v>
      </c>
      <c r="CE11" s="63">
        <f>IF(AND(CE8=1,CE9=12),4,IF(CE8&lt;=0,0,IF(WEEKDAY(CE$6,1)=1,0,IF(WEEKDAY(CE$6,1)=7,CE8*CE9,MAX(0,CE9-8)*CE8)))+((IF(CE8&lt;=0,0,IF(WEEKDAY(CE$6,1)=1,0,IF(WEEKDAY(CE$6,1)=7,0,MIN(8,CE9)*CE8))))-MIN(IF(CE8&lt;=0,0,IF(WEEKDAY(CE$6,1)=1,0,IF(WEEKDAY(CE$6,1)=7,0,MIN(8,CE9)*CE8))),MAX(0,40*MAX(1,CE8)-(CC10+CD10)))))</f>
        <v>4</v>
      </c>
      <c r="CF11" s="63">
        <f>IF(AND(CF8=1,CF9=12),4,IF(CF8&lt;=0,0,IF(WEEKDAY(CF$6,1)=1,0,IF(WEEKDAY(CF$6,1)=7,CF8*CF9,MAX(0,CF9-8)*CF8)))+((IF(CF8&lt;=0,0,IF(WEEKDAY(CF$6,1)=1,0,IF(WEEKDAY(CF$6,1)=7,0,MIN(8,CF9)*CF8))))-MIN(IF(CF8&lt;=0,0,IF(WEEKDAY(CF$6,1)=1,0,IF(WEEKDAY(CF$6,1)=7,0,MIN(8,CF9)*CF8))),MAX(0,40*MAX(1,CF8)-(CC10+CD10+CE10)))))</f>
        <v>4</v>
      </c>
      <c r="CG11" s="63">
        <f>IF(AND(CG8=1,CG9=12),4,IF(CG8&lt;=0,0,IF(WEEKDAY(CG$6,1)=1,0,IF(WEEKDAY(CG$6,1)=7,CG8*CG9,MAX(0,CG9-8)*CG8)))+((IF(CG8&lt;=0,0,IF(WEEKDAY(CG$6,1)=1,0,IF(WEEKDAY(CG$6,1)=7,0,MIN(8,CG9)*CG8))))-MIN(IF(CG8&lt;=0,0,IF(WEEKDAY(CG$6,1)=1,0,IF(WEEKDAY(CG$6,1)=7,0,MIN(8,CG9)*CG8))),MAX(0,40*MAX(1,CG8)-(CC10+CD10+CE10+CF10)))))</f>
        <v>4</v>
      </c>
      <c r="CH11" s="64">
        <f>IF(AND(CH8=1,CH9=12),12,IF(CH8&lt;=0,0,IF(WEEKDAY(CH$6,1)=1,0,IF(WEEKDAY(CH$6,1)=7,CH8*CH9,MAX(0,CH9-8)*CH8)))+((IF(CH8&lt;=0,0,IF(WEEKDAY(CH$6,1)=1,0,IF(WEEKDAY(CH$6,1)=7,0,MIN(8,CH9)*CH8))))-MIN(IF(CH8&lt;=0,0,IF(WEEKDAY(CH$6,1)=1,0,IF(WEEKDAY(CH$6,1)=7,0,MIN(8,CH9)*CH8))),MAX(0,40*MAX(1,CH8)-(CC10+CD10+CE10+CF10+CG10)))))</f>
        <v>12</v>
      </c>
      <c r="CI11" s="64">
        <f>IF(AND(CI8=1,CI9=12),0,IF(CI8&lt;=0,0,IF(WEEKDAY(CI$6,1)=1,0,IF(WEEKDAY(CI$6,1)=7,CI8*CI9,MAX(0,CI9-8)*CI8)))+((IF(CI8&lt;=0,0,IF(WEEKDAY(CI$6,1)=1,0,IF(WEEKDAY(CI$6,1)=7,0,MIN(8,CI9)*CI8))))-MIN(IF(CI8&lt;=0,0,IF(WEEKDAY(CI$6,1)=1,0,IF(WEEKDAY(CI$6,1)=7,0,MIN(8,CI9)*CI8))),MAX(0,40*MAX(1,CI8)-(CC10+CD10+CE10+CF10+CG10+CH10)))))</f>
        <v>0</v>
      </c>
      <c r="CJ11" s="63">
        <f>IF(AND(CJ8=1,CJ9=12),4,IF(CJ8&lt;=0,0,IF(WEEKDAY(CJ$6,1)=1,0,IF(WEEKDAY(CJ$6,1)=7,CJ8*CJ9,MAX(0,CJ9-8)*CJ8)))+((IF(CJ8&lt;=0,0,IF(WEEKDAY(CJ$6,1)=1,0,IF(WEEKDAY(CJ$6,1)=7,0,MIN(8,CJ9)*CJ8))))-MIN(IF(CJ8&lt;=0,0,IF(WEEKDAY(CJ$6,1)=1,0,IF(WEEKDAY(CJ$6,1)=7,0,MIN(8,CJ9)*CJ8))),MAX(0,40*MAX(1,CJ8)-(0)))))</f>
        <v>4</v>
      </c>
      <c r="CK11" s="63">
        <f>IF(AND(CK8=1,CK9=12),4,IF(CK8&lt;=0,0,IF(WEEKDAY(CK$6,1)=1,0,IF(WEEKDAY(CK$6,1)=7,CK8*CK9,MAX(0,CK9-8)*CK8)))+((IF(CK8&lt;=0,0,IF(WEEKDAY(CK$6,1)=1,0,IF(WEEKDAY(CK$6,1)=7,0,MIN(8,CK9)*CK8))))-MIN(IF(CK8&lt;=0,0,IF(WEEKDAY(CK$6,1)=1,0,IF(WEEKDAY(CK$6,1)=7,0,MIN(8,CK9)*CK8))),MAX(0,40*MAX(1,CK8)-(CJ10)))))</f>
        <v>4</v>
      </c>
      <c r="CL11" s="63">
        <f>IF(AND(CL8=1,CL9=12),4,IF(CL8&lt;=0,0,IF(WEEKDAY(CL$6,1)=1,0,IF(WEEKDAY(CL$6,1)=7,CL8*CL9,MAX(0,CL9-8)*CL8)))+((IF(CL8&lt;=0,0,IF(WEEKDAY(CL$6,1)=1,0,IF(WEEKDAY(CL$6,1)=7,0,MIN(8,CL9)*CL8))))-MIN(IF(CL8&lt;=0,0,IF(WEEKDAY(CL$6,1)=1,0,IF(WEEKDAY(CL$6,1)=7,0,MIN(8,CL9)*CL8))),MAX(0,40*MAX(1,CL8)-(CJ10+CK10)))))</f>
        <v>4</v>
      </c>
      <c r="CM11" s="63">
        <f>IF(AND(CM8=1,CM9=12),4,IF(CM8&lt;=0,0,IF(WEEKDAY(CM$6,1)=1,0,IF(WEEKDAY(CM$6,1)=7,CM8*CM9,MAX(0,CM9-8)*CM8)))+((IF(CM8&lt;=0,0,IF(WEEKDAY(CM$6,1)=1,0,IF(WEEKDAY(CM$6,1)=7,0,MIN(8,CM9)*CM8))))-MIN(IF(CM8&lt;=0,0,IF(WEEKDAY(CM$6,1)=1,0,IF(WEEKDAY(CM$6,1)=7,0,MIN(8,CM9)*CM8))),MAX(0,40*MAX(1,CM8)-(CJ10+CK10+CL10)))))</f>
        <v>4</v>
      </c>
      <c r="CN11" s="63">
        <f>IF(AND(CN8=1,CN9=12),4,IF(CN8&lt;=0,0,IF(WEEKDAY(CN$6,1)=1,0,IF(WEEKDAY(CN$6,1)=7,CN8*CN9,MAX(0,CN9-8)*CN8)))+((IF(CN8&lt;=0,0,IF(WEEKDAY(CN$6,1)=1,0,IF(WEEKDAY(CN$6,1)=7,0,MIN(8,CN9)*CN8))))-MIN(IF(CN8&lt;=0,0,IF(WEEKDAY(CN$6,1)=1,0,IF(WEEKDAY(CN$6,1)=7,0,MIN(8,CN9)*CN8))),MAX(0,40*MAX(1,CN8)-(CJ10+CK10+CL10+CM10)))))</f>
        <v>4</v>
      </c>
      <c r="CO11" s="64">
        <f>IF(AND(CO8=1,CO9=12),12,IF(CO8&lt;=0,0,IF(WEEKDAY(CO$6,1)=1,0,IF(WEEKDAY(CO$6,1)=7,CO8*CO9,MAX(0,CO9-8)*CO8)))+((IF(CO8&lt;=0,0,IF(WEEKDAY(CO$6,1)=1,0,IF(WEEKDAY(CO$6,1)=7,0,MIN(8,CO9)*CO8))))-MIN(IF(CO8&lt;=0,0,IF(WEEKDAY(CO$6,1)=1,0,IF(WEEKDAY(CO$6,1)=7,0,MIN(8,CO9)*CO8))),MAX(0,40*MAX(1,CO8)-(CJ10+CK10+CL10+CM10+CN10)))))</f>
        <v>12</v>
      </c>
      <c r="CP11" s="64">
        <f>IF(AND(CP8=1,CP9=12),0,IF(CP8&lt;=0,0,IF(WEEKDAY(CP$6,1)=1,0,IF(WEEKDAY(CP$6,1)=7,CP8*CP9,MAX(0,CP9-8)*CP8)))+((IF(CP8&lt;=0,0,IF(WEEKDAY(CP$6,1)=1,0,IF(WEEKDAY(CP$6,1)=7,0,MIN(8,CP9)*CP8))))-MIN(IF(CP8&lt;=0,0,IF(WEEKDAY(CP$6,1)=1,0,IF(WEEKDAY(CP$6,1)=7,0,MIN(8,CP9)*CP8))),MAX(0,40*MAX(1,CP8)-(CJ10+CK10+CL10+CM10+CN10+CO10)))))</f>
        <v>0</v>
      </c>
      <c r="CQ11" s="63">
        <f>IF(AND(CQ8=1,CQ9=12),4,IF(CQ8&lt;=0,0,IF(WEEKDAY(CQ$6,1)=1,0,IF(WEEKDAY(CQ$6,1)=7,CQ8*CQ9,MAX(0,CQ9-8)*CQ8)))+((IF(CQ8&lt;=0,0,IF(WEEKDAY(CQ$6,1)=1,0,IF(WEEKDAY(CQ$6,1)=7,0,MIN(8,CQ9)*CQ8))))-MIN(IF(CQ8&lt;=0,0,IF(WEEKDAY(CQ$6,1)=1,0,IF(WEEKDAY(CQ$6,1)=7,0,MIN(8,CQ9)*CQ8))),MAX(0,40*MAX(1,CQ8)-(0)))))</f>
        <v>4</v>
      </c>
      <c r="CR11" s="63">
        <f>IF(AND(CR8=1,CR9=12),4,IF(CR8&lt;=0,0,IF(WEEKDAY(CR$6,1)=1,0,IF(WEEKDAY(CR$6,1)=7,CR8*CR9,MAX(0,CR9-8)*CR8)))+((IF(CR8&lt;=0,0,IF(WEEKDAY(CR$6,1)=1,0,IF(WEEKDAY(CR$6,1)=7,0,MIN(8,CR9)*CR8))))-MIN(IF(CR8&lt;=0,0,IF(WEEKDAY(CR$6,1)=1,0,IF(WEEKDAY(CR$6,1)=7,0,MIN(8,CR9)*CR8))),MAX(0,40*MAX(1,CR8)-(CQ10)))))</f>
        <v>4</v>
      </c>
      <c r="CS11" s="63">
        <f>IF(AND(CS8=1,CS9=12),4,IF(CS8&lt;=0,0,IF(WEEKDAY(CS$6,1)=1,0,IF(WEEKDAY(CS$6,1)=7,CS8*CS9,MAX(0,CS9-8)*CS8)))+((IF(CS8&lt;=0,0,IF(WEEKDAY(CS$6,1)=1,0,IF(WEEKDAY(CS$6,1)=7,0,MIN(8,CS9)*CS8))))-MIN(IF(CS8&lt;=0,0,IF(WEEKDAY(CS$6,1)=1,0,IF(WEEKDAY(CS$6,1)=7,0,MIN(8,CS9)*CS8))),MAX(0,40*MAX(1,CS8)-(CQ10+CR10)))))</f>
        <v>4</v>
      </c>
      <c r="CT11" s="63">
        <f>IF(AND(CT8=1,CT9=12),4,IF(CT8&lt;=0,0,IF(WEEKDAY(CT$6,1)=1,0,IF(WEEKDAY(CT$6,1)=7,CT8*CT9,MAX(0,CT9-8)*CT8)))+((IF(CT8&lt;=0,0,IF(WEEKDAY(CT$6,1)=1,0,IF(WEEKDAY(CT$6,1)=7,0,MIN(8,CT9)*CT8))))-MIN(IF(CT8&lt;=0,0,IF(WEEKDAY(CT$6,1)=1,0,IF(WEEKDAY(CT$6,1)=7,0,MIN(8,CT9)*CT8))),MAX(0,40*MAX(1,CT8)-(CQ10+CR10+CS10)))))</f>
        <v>4</v>
      </c>
      <c r="CU11" s="63">
        <f>IF(AND(CU8=1,CU9=12),4,IF(CU8&lt;=0,0,IF(WEEKDAY(CU$6,1)=1,0,IF(WEEKDAY(CU$6,1)=7,CU8*CU9,MAX(0,CU9-8)*CU8)))+((IF(CU8&lt;=0,0,IF(WEEKDAY(CU$6,1)=1,0,IF(WEEKDAY(CU$6,1)=7,0,MIN(8,CU9)*CU8))))-MIN(IF(CU8&lt;=0,0,IF(WEEKDAY(CU$6,1)=1,0,IF(WEEKDAY(CU$6,1)=7,0,MIN(8,CU9)*CU8))),MAX(0,40*MAX(1,CU8)-(CQ10+CR10+CS10+CT10)))))</f>
        <v>4</v>
      </c>
      <c r="CV11" s="64">
        <f>IF(AND(CV8=1,CV9=12),12,IF(CV8&lt;=0,0,IF(WEEKDAY(CV$6,1)=1,0,IF(WEEKDAY(CV$6,1)=7,CV8*CV9,MAX(0,CV9-8)*CV8)))+((IF(CV8&lt;=0,0,IF(WEEKDAY(CV$6,1)=1,0,IF(WEEKDAY(CV$6,1)=7,0,MIN(8,CV9)*CV8))))-MIN(IF(CV8&lt;=0,0,IF(WEEKDAY(CV$6,1)=1,0,IF(WEEKDAY(CV$6,1)=7,0,MIN(8,CV9)*CV8))),MAX(0,40*MAX(1,CV8)-(CQ10+CR10+CS10+CT10+CU10)))))</f>
        <v>12</v>
      </c>
      <c r="CW11" s="64">
        <f>IF(AND(CW8=1,CW9=12),0,IF(CW8&lt;=0,0,IF(WEEKDAY(CW$6,1)=1,0,IF(WEEKDAY(CW$6,1)=7,CW8*CW9,MAX(0,CW9-8)*CW8)))+((IF(CW8&lt;=0,0,IF(WEEKDAY(CW$6,1)=1,0,IF(WEEKDAY(CW$6,1)=7,0,MIN(8,CW9)*CW8))))-MIN(IF(CW8&lt;=0,0,IF(WEEKDAY(CW$6,1)=1,0,IF(WEEKDAY(CW$6,1)=7,0,MIN(8,CW9)*CW8))),MAX(0,40*MAX(1,CW8)-(CQ10+CR10+CS10+CT10+CU10+CV10)))))</f>
        <v>0</v>
      </c>
      <c r="CX11" s="63">
        <f>IF(AND(CX8=1,CX9=12),4,IF(CX8&lt;=0,0,IF(WEEKDAY(CX$6,1)=1,0,IF(WEEKDAY(CX$6,1)=7,CX8*CX9,MAX(0,CX9-8)*CX8)))+((IF(CX8&lt;=0,0,IF(WEEKDAY(CX$6,1)=1,0,IF(WEEKDAY(CX$6,1)=7,0,MIN(8,CX9)*CX8))))-MIN(IF(CX8&lt;=0,0,IF(WEEKDAY(CX$6,1)=1,0,IF(WEEKDAY(CX$6,1)=7,0,MIN(8,CX9)*CX8))),MAX(0,40*MAX(1,CX8)-(0)))))</f>
        <v>4</v>
      </c>
      <c r="CY11" s="63">
        <f>IF(AND(CY8=1,CY9=12),4,IF(CY8&lt;=0,0,IF(WEEKDAY(CY$6,1)=1,0,IF(WEEKDAY(CY$6,1)=7,CY8*CY9,MAX(0,CY9-8)*CY8)))+((IF(CY8&lt;=0,0,IF(WEEKDAY(CY$6,1)=1,0,IF(WEEKDAY(CY$6,1)=7,0,MIN(8,CY9)*CY8))))-MIN(IF(CY8&lt;=0,0,IF(WEEKDAY(CY$6,1)=1,0,IF(WEEKDAY(CY$6,1)=7,0,MIN(8,CY9)*CY8))),MAX(0,40*MAX(1,CY8)-(CX10)))))</f>
        <v>4</v>
      </c>
      <c r="CZ11" s="63">
        <f>IF(AND(CZ8=1,CZ9=12),4,IF(CZ8&lt;=0,0,IF(WEEKDAY(CZ$6,1)=1,0,IF(WEEKDAY(CZ$6,1)=7,CZ8*CZ9,MAX(0,CZ9-8)*CZ8)))+((IF(CZ8&lt;=0,0,IF(WEEKDAY(CZ$6,1)=1,0,IF(WEEKDAY(CZ$6,1)=7,0,MIN(8,CZ9)*CZ8))))-MIN(IF(CZ8&lt;=0,0,IF(WEEKDAY(CZ$6,1)=1,0,IF(WEEKDAY(CZ$6,1)=7,0,MIN(8,CZ9)*CZ8))),MAX(0,40*MAX(1,CZ8)-(CX10+CY10)))))</f>
        <v>4</v>
      </c>
      <c r="DA11" s="63">
        <f>IF(AND(DA8=1,DA9=12),4,IF(DA8&lt;=0,0,IF(WEEKDAY(DA$6,1)=1,0,IF(WEEKDAY(DA$6,1)=7,DA8*DA9,MAX(0,DA9-8)*DA8)))+((IF(DA8&lt;=0,0,IF(WEEKDAY(DA$6,1)=1,0,IF(WEEKDAY(DA$6,1)=7,0,MIN(8,DA9)*DA8))))-MIN(IF(DA8&lt;=0,0,IF(WEEKDAY(DA$6,1)=1,0,IF(WEEKDAY(DA$6,1)=7,0,MIN(8,DA9)*DA8))),MAX(0,40*MAX(1,DA8)-(CX10+CY10+CZ10)))))</f>
        <v>4</v>
      </c>
      <c r="DB11" s="63">
        <f>IF(AND(DB8=1,DB9=12),4,IF(DB8&lt;=0,0,IF(WEEKDAY(DB$6,1)=1,0,IF(WEEKDAY(DB$6,1)=7,DB8*DB9,MAX(0,DB9-8)*DB8)))+((IF(DB8&lt;=0,0,IF(WEEKDAY(DB$6,1)=1,0,IF(WEEKDAY(DB$6,1)=7,0,MIN(8,DB9)*DB8))))-MIN(IF(DB8&lt;=0,0,IF(WEEKDAY(DB$6,1)=1,0,IF(WEEKDAY(DB$6,1)=7,0,MIN(8,DB9)*DB8))),MAX(0,40*MAX(1,DB8)-(CX10+CY10+CZ10+DA10)))))</f>
        <v>4</v>
      </c>
      <c r="DC11" s="64">
        <f>IF(AND(DC8=1,DC9=12),12,IF(DC8&lt;=0,0,IF(WEEKDAY(DC$6,1)=1,0,IF(WEEKDAY(DC$6,1)=7,DC8*DC9,MAX(0,DC9-8)*DC8)))+((IF(DC8&lt;=0,0,IF(WEEKDAY(DC$6,1)=1,0,IF(WEEKDAY(DC$6,1)=7,0,MIN(8,DC9)*DC8))))-MIN(IF(DC8&lt;=0,0,IF(WEEKDAY(DC$6,1)=1,0,IF(WEEKDAY(DC$6,1)=7,0,MIN(8,DC9)*DC8))),MAX(0,40*MAX(1,DC8)-(CX10+CY10+CZ10+DA10+DB10)))))</f>
        <v>12</v>
      </c>
      <c r="DD11" s="64">
        <f>IF(AND(DD8=1,DD9=12),0,IF(DD8&lt;=0,0,IF(WEEKDAY(DD$6,1)=1,0,IF(WEEKDAY(DD$6,1)=7,DD8*DD9,MAX(0,DD9-8)*DD8)))+((IF(DD8&lt;=0,0,IF(WEEKDAY(DD$6,1)=1,0,IF(WEEKDAY(DD$6,1)=7,0,MIN(8,DD9)*DD8))))-MIN(IF(DD8&lt;=0,0,IF(WEEKDAY(DD$6,1)=1,0,IF(WEEKDAY(DD$6,1)=7,0,MIN(8,DD9)*DD8))),MAX(0,40*MAX(1,DD8)-(0)))))</f>
        <v>0</v>
      </c>
      <c r="DE11" s="63">
        <f>IF(AND(DE8=1,DE9=12),4,IF(DE8&lt;=0,0,IF(WEEKDAY(DE$6,1)=1,0,IF(WEEKDAY(DE$6,1)=7,DE8*DE9,MAX(0,DE9-8)*DE8)))+((IF(DE8&lt;=0,0,IF(WEEKDAY(DE$6,1)=1,0,IF(WEEKDAY(DE$6,1)=7,0,MIN(8,DE9)*DE8))))-MIN(IF(DE8&lt;=0,0,IF(WEEKDAY(DE$6,1)=1,0,IF(WEEKDAY(DE$6,1)=7,0,MIN(8,DE9)*DE8))),MAX(0,40*MAX(1,DE8)-(0)))))</f>
        <v>4</v>
      </c>
      <c r="DF11" s="63">
        <f>IF(AND(DF8=1,DF9=12),4,IF(DF8&lt;=0,0,IF(WEEKDAY(DF$6,1)=1,0,IF(WEEKDAY(DF$6,1)=7,DF8*DF9,MAX(0,DF9-8)*DF8)))+((IF(DF8&lt;=0,0,IF(WEEKDAY(DF$6,1)=1,0,IF(WEEKDAY(DF$6,1)=7,0,MIN(8,DF9)*DF8))))-MIN(IF(DF8&lt;=0,0,IF(WEEKDAY(DF$6,1)=1,0,IF(WEEKDAY(DF$6,1)=7,0,MIN(8,DF9)*DF8))),MAX(0,40*MAX(1,DF8)-(DE10)))))</f>
        <v>4</v>
      </c>
      <c r="DG11" s="63">
        <f>IF(AND(DG8=1,DG9=12),4,IF(DG8&lt;=0,0,IF(WEEKDAY(DG$6,1)=1,0,IF(WEEKDAY(DG$6,1)=7,DG8*DG9,MAX(0,DG9-8)*DG8)))+((IF(DG8&lt;=0,0,IF(WEEKDAY(DG$6,1)=1,0,IF(WEEKDAY(DG$6,1)=7,0,MIN(8,DG9)*DG8))))-MIN(IF(DG8&lt;=0,0,IF(WEEKDAY(DG$6,1)=1,0,IF(WEEKDAY(DG$6,1)=7,0,MIN(8,DG9)*DG8))),MAX(0,40*MAX(1,DG8)-(DE10+DF10)))))</f>
        <v>4</v>
      </c>
      <c r="DH11" s="63">
        <f>IF(AND(DH8=1,DH9=12),4,IF(DH8&lt;=0,0,IF(WEEKDAY(DH$6,1)=1,0,IF(WEEKDAY(DH$6,1)=7,DH8*DH9,MAX(0,DH9-8)*DH8)))+((IF(DH8&lt;=0,0,IF(WEEKDAY(DH$6,1)=1,0,IF(WEEKDAY(DH$6,1)=7,0,MIN(8,DH9)*DH8))))-MIN(IF(DH8&lt;=0,0,IF(WEEKDAY(DH$6,1)=1,0,IF(WEEKDAY(DH$6,1)=7,0,MIN(8,DH9)*DH8))),MAX(0,40*MAX(1,DH8)-(DE10+DF10+DG10)))))</f>
        <v>4</v>
      </c>
      <c r="DI11" s="63">
        <f>IF(AND(DI8=1,DI9=12),4,IF(DI8&lt;=0,0,IF(WEEKDAY(DI$6,1)=1,0,IF(WEEKDAY(DI$6,1)=7,DI8*DI9,MAX(0,DI9-8)*DI8)))+((IF(DI8&lt;=0,0,IF(WEEKDAY(DI$6,1)=1,0,IF(WEEKDAY(DI$6,1)=7,0,MIN(8,DI9)*DI8))))-MIN(IF(DI8&lt;=0,0,IF(WEEKDAY(DI$6,1)=1,0,IF(WEEKDAY(DI$6,1)=7,0,MIN(8,DI9)*DI8))),MAX(0,40*MAX(1,DI8)-(DE10+DF10+DG10+DH10)))))</f>
        <v>4</v>
      </c>
      <c r="DJ11" s="64">
        <f>IF(AND(DJ8=1,DJ9=12),12,IF(DJ8&lt;=0,0,IF(WEEKDAY(DJ$6,1)=1,0,IF(WEEKDAY(DJ$6,1)=7,DJ8*DJ9,MAX(0,DJ9-8)*DJ8)))+((IF(DJ8&lt;=0,0,IF(WEEKDAY(DJ$6,1)=1,0,IF(WEEKDAY(DJ$6,1)=7,0,MIN(8,DJ9)*DJ8))))-MIN(IF(DJ8&lt;=0,0,IF(WEEKDAY(DJ$6,1)=1,0,IF(WEEKDAY(DJ$6,1)=7,0,MIN(8,DJ9)*DJ8))),MAX(0,40*MAX(1,DJ8)-(DE10+DF10+DG10+DH10+DI10)))))</f>
        <v>12</v>
      </c>
      <c r="DK11" s="64">
        <f>IF(AND(DK8=1,DK9=12),0,IF(DK8&lt;=0,0,IF(WEEKDAY(DK$6,1)=1,0,IF(WEEKDAY(DK$6,1)=7,DK8*DK9,MAX(0,DK9-8)*DK8)))+((IF(DK8&lt;=0,0,IF(WEEKDAY(DK$6,1)=1,0,IF(WEEKDAY(DK$6,1)=7,0,MIN(8,DK9)*DK8))))-MIN(IF(DK8&lt;=0,0,IF(WEEKDAY(DK$6,1)=1,0,IF(WEEKDAY(DK$6,1)=7,0,MIN(8,DK9)*DK8))),MAX(0,40*MAX(1,DK8)-(DE10+DF10+DG10+DH10+DI10+DJ10)))))</f>
        <v>0</v>
      </c>
      <c r="DL11" s="63">
        <f>IF(AND(DL8=1,DL9=12),4,IF(DL8&lt;=0,0,IF(WEEKDAY(DL$6,1)=1,0,IF(WEEKDAY(DL$6,1)=7,DL8*DL9,MAX(0,DL9-8)*DL8)))+((IF(DL8&lt;=0,0,IF(WEEKDAY(DL$6,1)=1,0,IF(WEEKDAY(DL$6,1)=7,0,MIN(8,DL9)*DL8))))-MIN(IF(DL8&lt;=0,0,IF(WEEKDAY(DL$6,1)=1,0,IF(WEEKDAY(DL$6,1)=7,0,MIN(8,DL9)*DL8))),MAX(0,40*MAX(1,DL8)-(0)))))</f>
        <v>4</v>
      </c>
      <c r="DM11" s="63">
        <f>IF(AND(DM8=1,DM9=12),4,IF(DM8&lt;=0,0,IF(WEEKDAY(DM$6,1)=1,0,IF(WEEKDAY(DM$6,1)=7,DM8*DM9,MAX(0,DM9-8)*DM8)))+((IF(DM8&lt;=0,0,IF(WEEKDAY(DM$6,1)=1,0,IF(WEEKDAY(DM$6,1)=7,0,MIN(8,DM9)*DM8))))-MIN(IF(DM8&lt;=0,0,IF(WEEKDAY(DM$6,1)=1,0,IF(WEEKDAY(DM$6,1)=7,0,MIN(8,DM9)*DM8))),MAX(0,40*MAX(1,DM8)-(DL10)))))</f>
        <v>4</v>
      </c>
      <c r="DN11" s="63">
        <f>IF(AND(DN8=1,DN9=12),4,IF(DN8&lt;=0,0,IF(WEEKDAY(DN$6,1)=1,0,IF(WEEKDAY(DN$6,1)=7,DN8*DN9,MAX(0,DN9-8)*DN8)))+((IF(DN8&lt;=0,0,IF(WEEKDAY(DN$6,1)=1,0,IF(WEEKDAY(DN$6,1)=7,0,MIN(8,DN9)*DN8))))-MIN(IF(DN8&lt;=0,0,IF(WEEKDAY(DN$6,1)=1,0,IF(WEEKDAY(DN$6,1)=7,0,MIN(8,DN9)*DN8))),MAX(0,40*MAX(1,DN8)-(DL10+DM10)))))</f>
        <v>4</v>
      </c>
      <c r="DO11" s="63">
        <f>IF(AND(DO8=1,DO9=12),4,IF(DO8&lt;=0,0,IF(WEEKDAY(DO$6,1)=1,0,IF(WEEKDAY(DO$6,1)=7,DO8*DO9,MAX(0,DO9-8)*DO8)))+((IF(DO8&lt;=0,0,IF(WEEKDAY(DO$6,1)=1,0,IF(WEEKDAY(DO$6,1)=7,0,MIN(8,DO9)*DO8))))-MIN(IF(DO8&lt;=0,0,IF(WEEKDAY(DO$6,1)=1,0,IF(WEEKDAY(DO$6,1)=7,0,MIN(8,DO9)*DO8))),MAX(0,40*MAX(1,DO8)-(DL10+DM10+DN10)))))</f>
        <v>4</v>
      </c>
      <c r="DP11" s="63">
        <f>IF(AND(DP8=1,DP9=12),4,IF(DP8&lt;=0,0,IF(WEEKDAY(DP$6,1)=1,0,IF(WEEKDAY(DP$6,1)=7,DP8*DP9,MAX(0,DP9-8)*DP8)))+((IF(DP8&lt;=0,0,IF(WEEKDAY(DP$6,1)=1,0,IF(WEEKDAY(DP$6,1)=7,0,MIN(8,DP9)*DP8))))-MIN(IF(DP8&lt;=0,0,IF(WEEKDAY(DP$6,1)=1,0,IF(WEEKDAY(DP$6,1)=7,0,MIN(8,DP9)*DP8))),MAX(0,40*MAX(1,DP8)-(DL10+DM10+DN10+DO10)))))</f>
        <v>4</v>
      </c>
      <c r="DQ11" s="64">
        <f>IF(AND(DQ8=1,DQ9=12),12,IF(DQ8&lt;=0,0,IF(WEEKDAY(DQ$6,1)=1,0,IF(WEEKDAY(DQ$6,1)=7,DQ8*DQ9,MAX(0,DQ9-8)*DQ8)))+((IF(DQ8&lt;=0,0,IF(WEEKDAY(DQ$6,1)=1,0,IF(WEEKDAY(DQ$6,1)=7,0,MIN(8,DQ9)*DQ8))))-MIN(IF(DQ8&lt;=0,0,IF(WEEKDAY(DQ$6,1)=1,0,IF(WEEKDAY(DQ$6,1)=7,0,MIN(8,DQ9)*DQ8))),MAX(0,40*MAX(1,DQ8)-(DL10+DM10+DN10+DO10+DP10)))))</f>
        <v>12</v>
      </c>
      <c r="DR11" s="64">
        <f>IF(AND(DR8=1,DR9=12),0,IF(DR8&lt;=0,0,IF(WEEKDAY(DR$6,1)=1,0,IF(WEEKDAY(DR$6,1)=7,DR8*DR9,MAX(0,DR9-8)*DR8)))+((IF(DR8&lt;=0,0,IF(WEEKDAY(DR$6,1)=1,0,IF(WEEKDAY(DR$6,1)=7,0,MIN(8,DR9)*DR8))))-MIN(IF(DR8&lt;=0,0,IF(WEEKDAY(DR$6,1)=1,0,IF(WEEKDAY(DR$6,1)=7,0,MIN(8,DR9)*DR8))),MAX(0,40*MAX(1,DR8)-(DL10+DM10+DN10+DO10+DP10+DQ10)))))</f>
        <v>0</v>
      </c>
      <c r="DS11" s="63">
        <f>IF(AND(DS8=1,DS9=12),4,IF(DS8&lt;=0,0,IF(WEEKDAY(DS$6,1)=1,0,IF(WEEKDAY(DS$6,1)=7,DS8*DS9,MAX(0,DS9-8)*DS8)))+((IF(DS8&lt;=0,0,IF(WEEKDAY(DS$6,1)=1,0,IF(WEEKDAY(DS$6,1)=7,0,MIN(8,DS9)*DS8))))-MIN(IF(DS8&lt;=0,0,IF(WEEKDAY(DS$6,1)=1,0,IF(WEEKDAY(DS$6,1)=7,0,MIN(8,DS9)*DS8))),MAX(0,40*MAX(1,DS8)-(0)))))</f>
        <v>4</v>
      </c>
      <c r="DT11" s="63">
        <f>IF(AND(DT8=0,DT9=0),0,IF(DT8&lt;=0,0,IF(WEEKDAY(DT$6,1)=1,0,IF(WEEKDAY(DT$6,1)=7,DT8*DT9,MAX(0,DT9-8)*DT8)))+((IF(DT8&lt;=0,0,IF(WEEKDAY(DT$6,1)=1,0,IF(WEEKDAY(DT$6,1)=7,0,MIN(8,DT9)*DT8))))-MIN(IF(DT8&lt;=0,0,IF(WEEKDAY(DT$6,1)=1,0,IF(WEEKDAY(DT$6,1)=7,0,MIN(8,DT9)*DT8))),MAX(0,40*MAX(1,DT8)-(0)))))</f>
        <v>0</v>
      </c>
      <c r="DU11" s="63">
        <f>IF(AND(DU8=0,DU9=0),0,IF(DU8&lt;=0,0,IF(WEEKDAY(DU$6,1)=1,0,IF(WEEKDAY(DU$6,1)=7,DU8*DU9,MAX(0,DU9-8)*DU8)))+((IF(DU8&lt;=0,0,IF(WEEKDAY(DU$6,1)=1,0,IF(WEEKDAY(DU$6,1)=7,0,MIN(8,DU9)*DU8))))-MIN(IF(DU8&lt;=0,0,IF(WEEKDAY(DU$6,1)=1,0,IF(WEEKDAY(DU$6,1)=7,0,MIN(8,DU9)*DU8))),MAX(0,40*MAX(1,DU8)-(DT10)))))</f>
        <v>0</v>
      </c>
      <c r="DV11" s="63">
        <f>IF(AND(DV8=0,DV9=0),0,IF(DV8&lt;=0,0,IF(WEEKDAY(DV$6,1)=1,0,IF(WEEKDAY(DV$6,1)=7,DV8*DV9,MAX(0,DV9-8)*DV8)))+((IF(DV8&lt;=0,0,IF(WEEKDAY(DV$6,1)=1,0,IF(WEEKDAY(DV$6,1)=7,0,MIN(8,DV9)*DV8))))-MIN(IF(DV8&lt;=0,0,IF(WEEKDAY(DV$6,1)=1,0,IF(WEEKDAY(DV$6,1)=7,0,MIN(8,DV9)*DV8))),MAX(0,40*MAX(1,DV8)-(DT10+DU10)))))</f>
        <v>0</v>
      </c>
      <c r="DW11" s="63">
        <f>IF(AND(DW8=0,DW9=0),0,IF(DW8&lt;=0,0,IF(WEEKDAY(DW$6,1)=1,0,IF(WEEKDAY(DW$6,1)=7,DW8*DW9,MAX(0,DW9-8)*DW8)))+((IF(DW8&lt;=0,0,IF(WEEKDAY(DW$6,1)=1,0,IF(WEEKDAY(DW$6,1)=7,0,MIN(8,DW9)*DW8))))-MIN(IF(DW8&lt;=0,0,IF(WEEKDAY(DW$6,1)=1,0,IF(WEEKDAY(DW$6,1)=7,0,MIN(8,DW9)*DW8))),MAX(0,40*MAX(1,DW8)-(DT10+DU10+DV10)))))</f>
        <v>0</v>
      </c>
      <c r="DX11" s="64">
        <f>IF(AND(DX8=0,DX9=0),0,IF(DX8&lt;=0,0,IF(WEEKDAY(DX$6,1)=1,0,IF(WEEKDAY(DX$6,1)=7,DX8*DX9,MAX(0,DX9-8)*DX8)))+((IF(DX8&lt;=0,0,IF(WEEKDAY(DX$6,1)=1,0,IF(WEEKDAY(DX$6,1)=7,0,MIN(8,DX9)*DX8))))-MIN(IF(DX8&lt;=0,0,IF(WEEKDAY(DX$6,1)=1,0,IF(WEEKDAY(DX$6,1)=7,0,MIN(8,DX9)*DX8))),MAX(0,40*MAX(1,DX8)-(DT10+DU10+DV10+DW10)))))</f>
        <v>0</v>
      </c>
      <c r="DY11" s="64">
        <f>IF(AND(DY8=0,DY9=0),0,IF(DY8&lt;=0,0,IF(WEEKDAY(DY$6,1)=1,0,IF(WEEKDAY(DY$6,1)=7,DY8*DY9,MAX(0,DY9-8)*DY8)))+((IF(DY8&lt;=0,0,IF(WEEKDAY(DY$6,1)=1,0,IF(WEEKDAY(DY$6,1)=7,0,MIN(8,DY9)*DY8))))-MIN(IF(DY8&lt;=0,0,IF(WEEKDAY(DY$6,1)=1,0,IF(WEEKDAY(DY$6,1)=7,0,MIN(8,DY9)*DY8))),MAX(0,40*MAX(1,DY8)-(DT10+DU10+DV10+DW10+DX10)))))</f>
        <v>0</v>
      </c>
      <c r="DZ11" s="63">
        <f>IF(AND(DZ8=0,DZ9=0),0,IF(DZ8&lt;=0,0,IF(WEEKDAY(DZ$6,1)=1,0,IF(WEEKDAY(DZ$6,1)=7,DZ8*DZ9,MAX(0,DZ9-8)*DZ8)))+((IF(DZ8&lt;=0,0,IF(WEEKDAY(DZ$6,1)=1,0,IF(WEEKDAY(DZ$6,1)=7,0,MIN(8,DZ9)*DZ8))))-MIN(IF(DZ8&lt;=0,0,IF(WEEKDAY(DZ$6,1)=1,0,IF(WEEKDAY(DZ$6,1)=7,0,MIN(8,DZ9)*DZ8))),MAX(0,40*MAX(1,DZ8)-(0)))))</f>
        <v>0</v>
      </c>
      <c r="EA11" s="63">
        <f>IF(AND(EA8=0,EA9=0),0,IF(EA8&lt;=0,0,IF(WEEKDAY(EA$6,1)=1,0,IF(WEEKDAY(EA$6,1)=7,EA8*EA9,MAX(0,EA9-8)*EA8)))+((IF(EA8&lt;=0,0,IF(WEEKDAY(EA$6,1)=1,0,IF(WEEKDAY(EA$6,1)=7,0,MIN(8,EA9)*EA8))))-MIN(IF(EA8&lt;=0,0,IF(WEEKDAY(EA$6,1)=1,0,IF(WEEKDAY(EA$6,1)=7,0,MIN(8,EA9)*EA8))),MAX(0,40*MAX(1,EA8)-(DZ10)))))</f>
        <v>0</v>
      </c>
      <c r="EB11" s="63">
        <f>IF(AND(EB8=0,EB9=0),0,IF(EB8&lt;=0,0,IF(WEEKDAY(EB$6,1)=1,0,IF(WEEKDAY(EB$6,1)=7,EB8*EB9,MAX(0,EB9-8)*EB8)))+((IF(EB8&lt;=0,0,IF(WEEKDAY(EB$6,1)=1,0,IF(WEEKDAY(EB$6,1)=7,0,MIN(8,EB9)*EB8))))-MIN(IF(EB8&lt;=0,0,IF(WEEKDAY(EB$6,1)=1,0,IF(WEEKDAY(EB$6,1)=7,0,MIN(8,EB9)*EB8))),MAX(0,40*MAX(1,EB8)-(DZ10+EA10)))))</f>
        <v>0</v>
      </c>
      <c r="EC11" s="63">
        <f>IF(AND(EC8=0,EC9=0),0,IF(EC8&lt;=0,0,IF(WEEKDAY(EC$6,1)=1,0,IF(WEEKDAY(EC$6,1)=7,EC8*EC9,MAX(0,EC9-8)*EC8)))+((IF(EC8&lt;=0,0,IF(WEEKDAY(EC$6,1)=1,0,IF(WEEKDAY(EC$6,1)=7,0,MIN(8,EC9)*EC8))))-MIN(IF(EC8&lt;=0,0,IF(WEEKDAY(EC$6,1)=1,0,IF(WEEKDAY(EC$6,1)=7,0,MIN(8,EC9)*EC8))),MAX(0,40*MAX(1,EC8)-(DZ10+EA10+EB10)))))</f>
        <v>0</v>
      </c>
      <c r="ED11" s="63">
        <f>IF(AND(ED8=0,ED9=0),0,IF(ED8&lt;=0,0,IF(WEEKDAY(ED$6,1)=1,0,IF(WEEKDAY(ED$6,1)=7,ED8*ED9,MAX(0,ED9-8)*ED8)))+((IF(ED8&lt;=0,0,IF(WEEKDAY(ED$6,1)=1,0,IF(WEEKDAY(ED$6,1)=7,0,MIN(8,ED9)*ED8))))-MIN(IF(ED8&lt;=0,0,IF(WEEKDAY(ED$6,1)=1,0,IF(WEEKDAY(ED$6,1)=7,0,MIN(8,ED9)*ED8))),MAX(0,40*MAX(1,ED8)-(DZ10+EA10+EB10+EC10)))))</f>
        <v>0</v>
      </c>
      <c r="EE11" s="64">
        <f>IF(AND(EE8=0,EE9=0),0,IF(EE8&lt;=0,0,IF(WEEKDAY(EE$6,1)=1,0,IF(WEEKDAY(EE$6,1)=7,EE8*EE9,MAX(0,EE9-8)*EE8)))+((IF(EE8&lt;=0,0,IF(WEEKDAY(EE$6,1)=1,0,IF(WEEKDAY(EE$6,1)=7,0,MIN(8,EE9)*EE8))))-MIN(IF(EE8&lt;=0,0,IF(WEEKDAY(EE$6,1)=1,0,IF(WEEKDAY(EE$6,1)=7,0,MIN(8,EE9)*EE8))),MAX(0,40*MAX(1,EE8)-(DZ10+EA10+EB10+EC10+ED10)))))</f>
        <v>0</v>
      </c>
      <c r="EF11" s="64">
        <f>IF(AND(EF8=0,EF9=0),0,IF(EF8&lt;=0,0,IF(WEEKDAY(EF$6,1)=1,0,IF(WEEKDAY(EF$6,1)=7,EF8*EF9,MAX(0,EF9-8)*EF8)))+((IF(EF8&lt;=0,0,IF(WEEKDAY(EF$6,1)=1,0,IF(WEEKDAY(EF$6,1)=7,0,MIN(8,EF9)*EF8))))-MIN(IF(EF8&lt;=0,0,IF(WEEKDAY(EF$6,1)=1,0,IF(WEEKDAY(EF$6,1)=7,0,MIN(8,EF9)*EF8))),MAX(0,40*MAX(1,EF8)-(DZ10+EA10+EB10+EC10+ED10+EE10)))))</f>
        <v>0</v>
      </c>
      <c r="EG11" s="63">
        <f>IF(AND(EG8=0,EG9=0),0,IF(EG8&lt;=0,0,IF(WEEKDAY(EG$6,1)=1,0,IF(WEEKDAY(EG$6,1)=7,EG8*EG9,MAX(0,EG9-8)*EG8)))+((IF(EG8&lt;=0,0,IF(WEEKDAY(EG$6,1)=1,0,IF(WEEKDAY(EG$6,1)=7,0,MIN(8,EG9)*EG8))))-MIN(IF(EG8&lt;=0,0,IF(WEEKDAY(EG$6,1)=1,0,IF(WEEKDAY(EG$6,1)=7,0,MIN(8,EG9)*EG8))),MAX(0,40*MAX(1,EG8)-(0)))))</f>
        <v>0</v>
      </c>
      <c r="EH11" s="63">
        <f>IF(AND(EH8=0,EH9=0),0,IF(EH8&lt;=0,0,IF(WEEKDAY(EH$6,1)=1,0,IF(WEEKDAY(EH$6,1)=7,EH8*EH9,MAX(0,EH9-8)*EH8)))+((IF(EH8&lt;=0,0,IF(WEEKDAY(EH$6,1)=1,0,IF(WEEKDAY(EH$6,1)=7,0,MIN(8,EH9)*EH8))))-MIN(IF(EH8&lt;=0,0,IF(WEEKDAY(EH$6,1)=1,0,IF(WEEKDAY(EH$6,1)=7,0,MIN(8,EH9)*EH8))),MAX(0,40*MAX(1,EH8)-(EG10)))))</f>
        <v>0</v>
      </c>
      <c r="EI11" s="63">
        <f>IF(AND(EI8=0,EI9=0),0,IF(EI8&lt;=0,0,IF(WEEKDAY(EI$6,1)=1,0,IF(WEEKDAY(EI$6,1)=7,EI8*EI9,MAX(0,EI9-8)*EI8)))+((IF(EI8&lt;=0,0,IF(WEEKDAY(EI$6,1)=1,0,IF(WEEKDAY(EI$6,1)=7,0,MIN(8,EI9)*EI8))))-MIN(IF(EI8&lt;=0,0,IF(WEEKDAY(EI$6,1)=1,0,IF(WEEKDAY(EI$6,1)=7,0,MIN(8,EI9)*EI8))),MAX(0,40*MAX(1,EI8)-(EG10+EH10)))))</f>
        <v>0</v>
      </c>
      <c r="EJ11" s="63">
        <f>IF(AND(EJ8=0,EJ9=0),0,IF(EJ8&lt;=0,0,IF(WEEKDAY(EJ$6,1)=1,0,IF(WEEKDAY(EJ$6,1)=7,EJ8*EJ9,MAX(0,EJ9-8)*EJ8)))+((IF(EJ8&lt;=0,0,IF(WEEKDAY(EJ$6,1)=1,0,IF(WEEKDAY(EJ$6,1)=7,0,MIN(8,EJ9)*EJ8))))-MIN(IF(EJ8&lt;=0,0,IF(WEEKDAY(EJ$6,1)=1,0,IF(WEEKDAY(EJ$6,1)=7,0,MIN(8,EJ9)*EJ8))),MAX(0,40*MAX(1,EJ8)-(EG10+EH10+EI10)))))</f>
        <v>0</v>
      </c>
      <c r="EK11" s="65">
        <f>IF(AND(EK8=0,EK9=0),0,IF(EK8&lt;=0,0,IF(WEEKDAY(EK$6,1)=1,0,IF(WEEKDAY(EK$6,1)=7,EK8*EK9,MAX(0,EK9-8)*EK8)))+((IF(EK8&lt;=0,0,IF(WEEKDAY(EK$6,1)=1,0,IF(WEEKDAY(EK$6,1)=7,0,MIN(8,EK9)*EK8))))-MIN(IF(EK8&lt;=0,0,IF(WEEKDAY(EK$6,1)=1,0,IF(WEEKDAY(EK$6,1)=7,0,MIN(8,EK9)*EK8))),MAX(0,40*MAX(1,EK8)-(EG10+EH10+EI10+EJ10)))))</f>
        <v>0</v>
      </c>
      <c r="OU11" s="28" t="s">
        <v>118</v>
      </c>
    </row>
    <row r="12" ht="16" customHeight="1" spans="1:411" x14ac:dyDescent="0.25">
      <c r="A12" s="45"/>
      <c r="B12" s="79"/>
      <c r="C12" s="61">
        <f>H7*N(D12)</f>
        <v>19229.4</v>
      </c>
      <c r="D12" s="61">
        <f>IF(TRIM(IF(TRIM(B11)&lt;&gt;"",B11,B7))="","No rate",IFERROR(INDEX('Rate Tables'!E$7:E$158,MATCH(IF(TRIM(B11)&lt;&gt;"",B11,B7),'Rate Tables'!A$7:A$158,0)),"No rate"))</f>
        <v>178.05</v>
      </c>
      <c r="E12" s="55" t="s">
        <v>64</v>
      </c>
      <c r="F12" s="49"/>
      <c r="G12" s="49"/>
      <c r="H12" s="49"/>
      <c r="I12" s="49"/>
      <c r="J12" s="50"/>
      <c r="K12" s="62">
        <f>IF(AND(K8=1,K9=8),0,IF(K8&lt;=0,0,IF(WEEKDAY(K$6,1)=1,K8*K9,0)))</f>
        <v>0</v>
      </c>
      <c r="L12" s="63">
        <f>IF(AND(L8=1,L9=8),0,IF(L8&lt;=0,0,IF(WEEKDAY(L$6,1)=1,L8*L9,0)))</f>
        <v>0</v>
      </c>
      <c r="M12" s="63">
        <f>IF(AND(M8=1,M9=8),0,IF(M8&lt;=0,0,IF(WEEKDAY(M$6,1)=1,M8*M9,0)))</f>
        <v>0</v>
      </c>
      <c r="N12" s="63">
        <f>IF(AND(N8=1,N9=8),0,IF(N8&lt;=0,0,IF(WEEKDAY(N$6,1)=1,N8*N9,0)))</f>
        <v>0</v>
      </c>
      <c r="O12" s="63">
        <f>IF(AND(O8=1,O9=8),0,IF(O8&lt;=0,0,IF(WEEKDAY(O$6,1)=1,O8*O9,0)))</f>
        <v>0</v>
      </c>
      <c r="P12" s="64">
        <f>IF(AND(P8=0,P9=0),0,IF(P8&lt;=0,0,IF(WEEKDAY(P$6,1)=1,P8*P9,0)))</f>
        <v>0</v>
      </c>
      <c r="Q12" s="64">
        <f>IF(AND(Q8=0,Q9=0),0,IF(Q8&lt;=0,0,IF(WEEKDAY(Q$6,1)=1,Q8*Q9,0)))</f>
        <v>0</v>
      </c>
      <c r="R12" s="63">
        <f>IF(AND(R8=1,R9=8),0,IF(R8&lt;=0,0,IF(WEEKDAY(R$6,1)=1,R8*R9,0)))</f>
        <v>0</v>
      </c>
      <c r="S12" s="63">
        <f>IF(AND(S8=1,S9=8),0,IF(S8&lt;=0,0,IF(WEEKDAY(S$6,1)=1,S8*S9,0)))</f>
        <v>0</v>
      </c>
      <c r="T12" s="63">
        <f>IF(AND(T8=1,T9=8),0,IF(T8&lt;=0,0,IF(WEEKDAY(T$6,1)=1,T8*T9,0)))</f>
        <v>0</v>
      </c>
      <c r="U12" s="63">
        <f>IF(AND(U8=1,U9=8),0,IF(U8&lt;=0,0,IF(WEEKDAY(U$6,1)=1,U8*U9,0)))</f>
        <v>0</v>
      </c>
      <c r="V12" s="63">
        <f>IF(AND(V8=1,V9=8),0,IF(V8&lt;=0,0,IF(WEEKDAY(V$6,1)=1,V8*V9,0)))</f>
        <v>0</v>
      </c>
      <c r="W12" s="64">
        <f>IF(AND(W8=0,W9=0),0,IF(W8&lt;=0,0,IF(WEEKDAY(W$6,1)=1,W8*W9,0)))</f>
        <v>0</v>
      </c>
      <c r="X12" s="64">
        <f>IF(AND(X8=0,X9=0),0,IF(X8&lt;=0,0,IF(WEEKDAY(X$6,1)=1,X8*X9,0)))</f>
        <v>0</v>
      </c>
      <c r="Y12" s="63">
        <f>IF(AND(Y8=1,Y9=8),0,IF(Y8&lt;=0,0,IF(WEEKDAY(Y$6,1)=1,Y8*Y9,0)))</f>
        <v>0</v>
      </c>
      <c r="Z12" s="63">
        <f>IF(AND(Z8=1,Z9=8),0,IF(Z8&lt;=0,0,IF(WEEKDAY(Z$6,1)=1,Z8*Z9,0)))</f>
        <v>0</v>
      </c>
      <c r="AA12" s="63">
        <f>IF(AND(AA8=1,AA9=8),0,IF(AA8&lt;=0,0,IF(WEEKDAY(AA$6,1)=1,AA8*AA9,0)))</f>
        <v>0</v>
      </c>
      <c r="AB12" s="63">
        <f>IF(AND(AB8=1,AB9=8),0,IF(AB8&lt;=0,0,IF(WEEKDAY(AB$6,1)=1,AB8*AB9,0)))</f>
        <v>0</v>
      </c>
      <c r="AC12" s="63">
        <f>IF(AND(AC8=1,AC9=8),0,IF(AC8&lt;=0,0,IF(WEEKDAY(AC$6,1)=1,AC8*AC9,0)))</f>
        <v>0</v>
      </c>
      <c r="AD12" s="64">
        <f>IF(AND(AD8=0,AD9=0),0,IF(AD8&lt;=0,0,IF(WEEKDAY(AD$6,1)=1,AD8*AD9,0)))</f>
        <v>0</v>
      </c>
      <c r="AE12" s="64">
        <f>IF(AND(AE8=0,AE9=0),0,IF(AE8&lt;=0,0,IF(WEEKDAY(AE$6,1)=1,AE8*AE9,0)))</f>
        <v>0</v>
      </c>
      <c r="AF12" s="63">
        <f>IF(AND(AF8=1,AF9=8),0,IF(AF8&lt;=0,0,IF(WEEKDAY(AF$6,1)=1,AF8*AF9,0)))</f>
        <v>0</v>
      </c>
      <c r="AG12" s="63">
        <f>IF(AND(AG8=1,AG9=8),0,IF(AG8&lt;=0,0,IF(WEEKDAY(AG$6,1)=1,AG8*AG9,0)))</f>
        <v>0</v>
      </c>
      <c r="AH12" s="63">
        <f>IF(AND(AH8=1,AH9=8),0,IF(AH8&lt;=0,0,IF(WEEKDAY(AH$6,1)=1,AH8*AH9,0)))</f>
        <v>0</v>
      </c>
      <c r="AI12" s="63">
        <f>IF(AND(AI8=1,AI9=8),0,IF(AI8&lt;=0,0,IF(WEEKDAY(AI$6,1)=1,AI8*AI9,0)))</f>
        <v>0</v>
      </c>
      <c r="AJ12" s="63">
        <f>IF(AND(AJ8=1,AJ9=8),0,IF(AJ8&lt;=0,0,IF(WEEKDAY(AJ$6,1)=1,AJ8*AJ9,0)))</f>
        <v>0</v>
      </c>
      <c r="AK12" s="64">
        <f>IF(AND(AK8=0,AK9=0),0,IF(AK8&lt;=0,0,IF(WEEKDAY(AK$6,1)=1,AK8*AK9,0)))</f>
        <v>0</v>
      </c>
      <c r="AL12" s="64">
        <f>IF(AND(AL8=0,AL9=0),0,IF(AL8&lt;=0,0,IF(WEEKDAY(AL$6,1)=1,AL8*AL9,0)))</f>
        <v>0</v>
      </c>
      <c r="AM12" s="63">
        <f>IF(AND(AM8=1,AM9=8),0,IF(AM8&lt;=0,0,IF(WEEKDAY(AM$6,1)=1,AM8*AM9,0)))</f>
        <v>0</v>
      </c>
      <c r="AN12" s="63">
        <f>IF(AND(AN8=1,AN9=8),0,IF(AN8&lt;=0,0,IF(WEEKDAY(AN$6,1)=1,AN8*AN9,0)))</f>
        <v>0</v>
      </c>
      <c r="AO12" s="63">
        <f>IF(AND(AO8=1,AO9=8),0,IF(AO8&lt;=0,0,IF(WEEKDAY(AO$6,1)=1,AO8*AO9,0)))</f>
        <v>0</v>
      </c>
      <c r="AP12" s="63">
        <f>IF(AND(AP8=1,AP9=8),0,IF(AP8&lt;=0,0,IF(WEEKDAY(AP$6,1)=1,AP8*AP9,0)))</f>
        <v>0</v>
      </c>
      <c r="AQ12" s="63">
        <f>IF(AND(AQ8=1,AQ9=8),0,IF(AQ8&lt;=0,0,IF(WEEKDAY(AQ$6,1)=1,AQ8*AQ9,0)))</f>
        <v>0</v>
      </c>
      <c r="AR12" s="64">
        <f>IF(AND(AR8=0,AR9=0),0,IF(AR8&lt;=0,0,IF(WEEKDAY(AR$6,1)=1,AR8*AR9,0)))</f>
        <v>0</v>
      </c>
      <c r="AS12" s="64">
        <f>IF(AND(AS8=0,AS9=0),0,IF(AS8&lt;=0,0,IF(WEEKDAY(AS$6,1)=1,AS8*AS9,0)))</f>
        <v>0</v>
      </c>
      <c r="AT12" s="63">
        <f>IF(AND(AT8=1,AT9=8),0,IF(AT8&lt;=0,0,IF(WEEKDAY(AT$6,1)=1,AT8*AT9,0)))</f>
        <v>0</v>
      </c>
      <c r="AU12" s="63">
        <f>IF(AND(AU8=1,AU9=8),0,IF(AU8&lt;=0,0,IF(WEEKDAY(AU$6,1)=1,AU8*AU9,0)))</f>
        <v>0</v>
      </c>
      <c r="AV12" s="63">
        <f>IF(AND(AV8=1,AV9=8),0,IF(AV8&lt;=0,0,IF(WEEKDAY(AV$6,1)=1,AV8*AV9,0)))</f>
        <v>0</v>
      </c>
      <c r="AW12" s="63">
        <f>IF(AND(AW8=1,AW9=8),0,IF(AW8&lt;=0,0,IF(WEEKDAY(AW$6,1)=1,AW8*AW9,0)))</f>
        <v>0</v>
      </c>
      <c r="AX12" s="63">
        <f>IF(AND(AX8=1,AX9=8),0,IF(AX8&lt;=0,0,IF(WEEKDAY(AX$6,1)=1,AX8*AX9,0)))</f>
        <v>0</v>
      </c>
      <c r="AY12" s="64">
        <f>IF(AND(AY8=0,AY9=0),0,IF(AY8&lt;=0,0,IF(WEEKDAY(AY$6,1)=1,AY8*AY9,0)))</f>
        <v>0</v>
      </c>
      <c r="AZ12" s="64">
        <f>IF(AND(AZ8=0,AZ9=0),0,IF(AZ8&lt;=0,0,IF(WEEKDAY(AZ$6,1)=1,AZ8*AZ9,0)))</f>
        <v>0</v>
      </c>
      <c r="BA12" s="63">
        <f>IF(AND(BA8=1,BA9=8),0,IF(BA8&lt;=0,0,IF(WEEKDAY(BA$6,1)=1,BA8*BA9,0)))</f>
        <v>0</v>
      </c>
      <c r="BB12" s="63">
        <f>IF(AND(BB8=1,BB9=8),0,IF(BB8&lt;=0,0,IF(WEEKDAY(BB$6,1)=1,BB8*BB9,0)))</f>
        <v>0</v>
      </c>
      <c r="BC12" s="63">
        <f>IF(AND(BC8=1,BC9=8),0,IF(BC8&lt;=0,0,IF(WEEKDAY(BC$6,1)=1,BC8*BC9,0)))</f>
        <v>0</v>
      </c>
      <c r="BD12" s="63">
        <f>IF(AND(BD8=1,BD9=8),0,IF(BD8&lt;=0,0,IF(WEEKDAY(BD$6,1)=1,BD8*BD9,0)))</f>
        <v>0</v>
      </c>
      <c r="BE12" s="63">
        <f>IF(AND(BE8=1,BE9=8),0,IF(BE8&lt;=0,0,IF(WEEKDAY(BE$6,1)=1,BE8*BE9,0)))</f>
        <v>0</v>
      </c>
      <c r="BF12" s="64">
        <f>IF(AND(BF8=0,BF9=0),0,IF(BF8&lt;=0,0,IF(WEEKDAY(BF$6,1)=1,BF8*BF9,0)))</f>
        <v>0</v>
      </c>
      <c r="BG12" s="64">
        <f>IF(AND(BG8=0,BG9=0),0,IF(BG8&lt;=0,0,IF(WEEKDAY(BG$6,1)=1,BG8*BG9,0)))</f>
        <v>0</v>
      </c>
      <c r="BH12" s="63">
        <f>IF(AND(BH8=1,BH9=12),0,IF(BH8&lt;=0,0,IF(WEEKDAY(BH$6,1)=1,BH8*BH9,0)))</f>
        <v>0</v>
      </c>
      <c r="BI12" s="63">
        <f>IF(AND(BI8=1,BI9=12),0,IF(BI8&lt;=0,0,IF(WEEKDAY(BI$6,1)=1,BI8*BI9,0)))</f>
        <v>0</v>
      </c>
      <c r="BJ12" s="63">
        <f>IF(AND(BJ8=1,BJ9=12),0,IF(BJ8&lt;=0,0,IF(WEEKDAY(BJ$6,1)=1,BJ8*BJ9,0)))</f>
        <v>0</v>
      </c>
      <c r="BK12" s="63">
        <f>IF(AND(BK8=1,BK9=12),0,IF(BK8&lt;=0,0,IF(WEEKDAY(BK$6,1)=1,BK8*BK9,0)))</f>
        <v>0</v>
      </c>
      <c r="BL12" s="63">
        <f>IF(AND(BL8=1,BL9=12),0,IF(BL8&lt;=0,0,IF(WEEKDAY(BL$6,1)=1,BL8*BL9,0)))</f>
        <v>0</v>
      </c>
      <c r="BM12" s="64">
        <f>IF(AND(BM8=1,BM9=12),0,IF(BM8&lt;=0,0,IF(WEEKDAY(BM$6,1)=1,BM8*BM9,0)))</f>
        <v>0</v>
      </c>
      <c r="BN12" s="64">
        <f>IF(AND(BN8=1,BN9=12),12,IF(BN8&lt;=0,0,IF(WEEKDAY(BN$6,1)=1,BN8*BN9,0)))</f>
        <v>12</v>
      </c>
      <c r="BO12" s="63">
        <f>IF(AND(BO8=1,BO9=12),0,IF(BO8&lt;=0,0,IF(WEEKDAY(BO$6,1)=1,BO8*BO9,0)))</f>
        <v>0</v>
      </c>
      <c r="BP12" s="63">
        <f>IF(AND(BP8=1,BP9=12),0,IF(BP8&lt;=0,0,IF(WEEKDAY(BP$6,1)=1,BP8*BP9,0)))</f>
        <v>0</v>
      </c>
      <c r="BQ12" s="63">
        <f>IF(AND(BQ8=1,BQ9=12),0,IF(BQ8&lt;=0,0,IF(WEEKDAY(BQ$6,1)=1,BQ8*BQ9,0)))</f>
        <v>0</v>
      </c>
      <c r="BR12" s="63">
        <f>IF(AND(BR8=1,BR9=12),0,IF(BR8&lt;=0,0,IF(WEEKDAY(BR$6,1)=1,BR8*BR9,0)))</f>
        <v>0</v>
      </c>
      <c r="BS12" s="63">
        <f>IF(AND(BS8=1,BS9=12),0,IF(BS8&lt;=0,0,IF(WEEKDAY(BS$6,1)=1,BS8*BS9,0)))</f>
        <v>0</v>
      </c>
      <c r="BT12" s="64">
        <f>IF(AND(BT8=1,BT9=12),0,IF(BT8&lt;=0,0,IF(WEEKDAY(BT$6,1)=1,BT8*BT9,0)))</f>
        <v>0</v>
      </c>
      <c r="BU12" s="64">
        <f>IF(AND(BU8=1,BU9=12),12,IF(BU8&lt;=0,0,IF(WEEKDAY(BU$6,1)=1,BU8*BU9,0)))</f>
        <v>12</v>
      </c>
      <c r="BV12" s="63">
        <f>IF(AND(BV8=1,BV9=12),0,IF(BV8&lt;=0,0,IF(WEEKDAY(BV$6,1)=1,BV8*BV9,0)))</f>
        <v>0</v>
      </c>
      <c r="BW12" s="63">
        <f>IF(AND(BW8=1,BW9=12),0,IF(BW8&lt;=0,0,IF(WEEKDAY(BW$6,1)=1,BW8*BW9,0)))</f>
        <v>0</v>
      </c>
      <c r="BX12" s="63">
        <f>IF(AND(BX8=1,BX9=12),0,IF(BX8&lt;=0,0,IF(WEEKDAY(BX$6,1)=1,BX8*BX9,0)))</f>
        <v>0</v>
      </c>
      <c r="BY12" s="63">
        <f>IF(AND(BY8=1,BY9=12),0,IF(BY8&lt;=0,0,IF(WEEKDAY(BY$6,1)=1,BY8*BY9,0)))</f>
        <v>0</v>
      </c>
      <c r="BZ12" s="63">
        <f>IF(AND(BZ8=1,BZ9=12),0,IF(BZ8&lt;=0,0,IF(WEEKDAY(BZ$6,1)=1,BZ8*BZ9,0)))</f>
        <v>0</v>
      </c>
      <c r="CA12" s="64">
        <f>IF(AND(CA8=1,CA9=12),0,IF(CA8&lt;=0,0,IF(WEEKDAY(CA$6,1)=1,CA8*CA9,0)))</f>
        <v>0</v>
      </c>
      <c r="CB12" s="64">
        <f>IF(AND(CB8=1,CB9=12),12,IF(CB8&lt;=0,0,IF(WEEKDAY(CB$6,1)=1,CB8*CB9,0)))</f>
        <v>12</v>
      </c>
      <c r="CC12" s="63">
        <f>IF(AND(CC8=1,CC9=12),0,IF(CC8&lt;=0,0,IF(WEEKDAY(CC$6,1)=1,CC8*CC9,0)))</f>
        <v>0</v>
      </c>
      <c r="CD12" s="63">
        <f>IF(AND(CD8=1,CD9=12),0,IF(CD8&lt;=0,0,IF(WEEKDAY(CD$6,1)=1,CD8*CD9,0)))</f>
        <v>0</v>
      </c>
      <c r="CE12" s="63">
        <f>IF(AND(CE8=1,CE9=12),0,IF(CE8&lt;=0,0,IF(WEEKDAY(CE$6,1)=1,CE8*CE9,0)))</f>
        <v>0</v>
      </c>
      <c r="CF12" s="63">
        <f>IF(AND(CF8=1,CF9=12),0,IF(CF8&lt;=0,0,IF(WEEKDAY(CF$6,1)=1,CF8*CF9,0)))</f>
        <v>0</v>
      </c>
      <c r="CG12" s="63">
        <f>IF(AND(CG8=1,CG9=12),0,IF(CG8&lt;=0,0,IF(WEEKDAY(CG$6,1)=1,CG8*CG9,0)))</f>
        <v>0</v>
      </c>
      <c r="CH12" s="64">
        <f>IF(AND(CH8=1,CH9=12),0,IF(CH8&lt;=0,0,IF(WEEKDAY(CH$6,1)=1,CH8*CH9,0)))</f>
        <v>0</v>
      </c>
      <c r="CI12" s="64">
        <f>IF(AND(CI8=1,CI9=12),12,IF(CI8&lt;=0,0,IF(WEEKDAY(CI$6,1)=1,CI8*CI9,0)))</f>
        <v>12</v>
      </c>
      <c r="CJ12" s="63">
        <f>IF(AND(CJ8=1,CJ9=12),0,IF(CJ8&lt;=0,0,IF(WEEKDAY(CJ$6,1)=1,CJ8*CJ9,0)))</f>
        <v>0</v>
      </c>
      <c r="CK12" s="63">
        <f>IF(AND(CK8=1,CK9=12),0,IF(CK8&lt;=0,0,IF(WEEKDAY(CK$6,1)=1,CK8*CK9,0)))</f>
        <v>0</v>
      </c>
      <c r="CL12" s="63">
        <f>IF(AND(CL8=1,CL9=12),0,IF(CL8&lt;=0,0,IF(WEEKDAY(CL$6,1)=1,CL8*CL9,0)))</f>
        <v>0</v>
      </c>
      <c r="CM12" s="63">
        <f>IF(AND(CM8=1,CM9=12),0,IF(CM8&lt;=0,0,IF(WEEKDAY(CM$6,1)=1,CM8*CM9,0)))</f>
        <v>0</v>
      </c>
      <c r="CN12" s="63">
        <f>IF(AND(CN8=1,CN9=12),0,IF(CN8&lt;=0,0,IF(WEEKDAY(CN$6,1)=1,CN8*CN9,0)))</f>
        <v>0</v>
      </c>
      <c r="CO12" s="64">
        <f>IF(AND(CO8=1,CO9=12),0,IF(CO8&lt;=0,0,IF(WEEKDAY(CO$6,1)=1,CO8*CO9,0)))</f>
        <v>0</v>
      </c>
      <c r="CP12" s="64">
        <f>IF(AND(CP8=1,CP9=12),12,IF(CP8&lt;=0,0,IF(WEEKDAY(CP$6,1)=1,CP8*CP9,0)))</f>
        <v>12</v>
      </c>
      <c r="CQ12" s="63">
        <f>IF(AND(CQ8=1,CQ9=12),0,IF(CQ8&lt;=0,0,IF(WEEKDAY(CQ$6,1)=1,CQ8*CQ9,0)))</f>
        <v>0</v>
      </c>
      <c r="CR12" s="63">
        <f>IF(AND(CR8=1,CR9=12),0,IF(CR8&lt;=0,0,IF(WEEKDAY(CR$6,1)=1,CR8*CR9,0)))</f>
        <v>0</v>
      </c>
      <c r="CS12" s="63">
        <f>IF(AND(CS8=1,CS9=12),0,IF(CS8&lt;=0,0,IF(WEEKDAY(CS$6,1)=1,CS8*CS9,0)))</f>
        <v>0</v>
      </c>
      <c r="CT12" s="63">
        <f>IF(AND(CT8=1,CT9=12),0,IF(CT8&lt;=0,0,IF(WEEKDAY(CT$6,1)=1,CT8*CT9,0)))</f>
        <v>0</v>
      </c>
      <c r="CU12" s="63">
        <f>IF(AND(CU8=1,CU9=12),0,IF(CU8&lt;=0,0,IF(WEEKDAY(CU$6,1)=1,CU8*CU9,0)))</f>
        <v>0</v>
      </c>
      <c r="CV12" s="64">
        <f>IF(AND(CV8=1,CV9=12),0,IF(CV8&lt;=0,0,IF(WEEKDAY(CV$6,1)=1,CV8*CV9,0)))</f>
        <v>0</v>
      </c>
      <c r="CW12" s="64">
        <f>IF(AND(CW8=1,CW9=12),12,IF(CW8&lt;=0,0,IF(WEEKDAY(CW$6,1)=1,CW8*CW9,0)))</f>
        <v>12</v>
      </c>
      <c r="CX12" s="63">
        <f>IF(AND(CX8=1,CX9=12),0,IF(CX8&lt;=0,0,IF(WEEKDAY(CX$6,1)=1,CX8*CX9,0)))</f>
        <v>0</v>
      </c>
      <c r="CY12" s="63">
        <f>IF(AND(CY8=1,CY9=12),0,IF(CY8&lt;=0,0,IF(WEEKDAY(CY$6,1)=1,CY8*CY9,0)))</f>
        <v>0</v>
      </c>
      <c r="CZ12" s="63">
        <f>IF(AND(CZ8=1,CZ9=12),0,IF(CZ8&lt;=0,0,IF(WEEKDAY(CZ$6,1)=1,CZ8*CZ9,0)))</f>
        <v>0</v>
      </c>
      <c r="DA12" s="63">
        <f>IF(AND(DA8=1,DA9=12),0,IF(DA8&lt;=0,0,IF(WEEKDAY(DA$6,1)=1,DA8*DA9,0)))</f>
        <v>0</v>
      </c>
      <c r="DB12" s="63">
        <f>IF(AND(DB8=1,DB9=12),0,IF(DB8&lt;=0,0,IF(WEEKDAY(DB$6,1)=1,DB8*DB9,0)))</f>
        <v>0</v>
      </c>
      <c r="DC12" s="64">
        <f>IF(AND(DC8=1,DC9=12),0,IF(DC8&lt;=0,0,IF(WEEKDAY(DC$6,1)=1,DC8*DC9,0)))</f>
        <v>0</v>
      </c>
      <c r="DD12" s="64">
        <f>IF(AND(DD8=1,DD9=12),12,IF(DD8&lt;=0,0,IF(WEEKDAY(DD$6,1)=1,DD8*DD9,0)))</f>
        <v>12</v>
      </c>
      <c r="DE12" s="63">
        <f>IF(AND(DE8=1,DE9=12),0,IF(DE8&lt;=0,0,IF(WEEKDAY(DE$6,1)=1,DE8*DE9,0)))</f>
        <v>0</v>
      </c>
      <c r="DF12" s="63">
        <f>IF(AND(DF8=1,DF9=12),0,IF(DF8&lt;=0,0,IF(WEEKDAY(DF$6,1)=1,DF8*DF9,0)))</f>
        <v>0</v>
      </c>
      <c r="DG12" s="63">
        <f>IF(AND(DG8=1,DG9=12),0,IF(DG8&lt;=0,0,IF(WEEKDAY(DG$6,1)=1,DG8*DG9,0)))</f>
        <v>0</v>
      </c>
      <c r="DH12" s="63">
        <f>IF(AND(DH8=1,DH9=12),0,IF(DH8&lt;=0,0,IF(WEEKDAY(DH$6,1)=1,DH8*DH9,0)))</f>
        <v>0</v>
      </c>
      <c r="DI12" s="63">
        <f>IF(AND(DI8=1,DI9=12),0,IF(DI8&lt;=0,0,IF(WEEKDAY(DI$6,1)=1,DI8*DI9,0)))</f>
        <v>0</v>
      </c>
      <c r="DJ12" s="64">
        <f>IF(AND(DJ8=1,DJ9=12),0,IF(DJ8&lt;=0,0,IF(WEEKDAY(DJ$6,1)=1,DJ8*DJ9,0)))</f>
        <v>0</v>
      </c>
      <c r="DK12" s="64">
        <f>IF(AND(DK8=1,DK9=12),12,IF(DK8&lt;=0,0,IF(WEEKDAY(DK$6,1)=1,DK8*DK9,0)))</f>
        <v>12</v>
      </c>
      <c r="DL12" s="63">
        <f>IF(AND(DL8=1,DL9=12),0,IF(DL8&lt;=0,0,IF(WEEKDAY(DL$6,1)=1,DL8*DL9,0)))</f>
        <v>0</v>
      </c>
      <c r="DM12" s="63">
        <f>IF(AND(DM8=1,DM9=12),0,IF(DM8&lt;=0,0,IF(WEEKDAY(DM$6,1)=1,DM8*DM9,0)))</f>
        <v>0</v>
      </c>
      <c r="DN12" s="63">
        <f>IF(AND(DN8=1,DN9=12),0,IF(DN8&lt;=0,0,IF(WEEKDAY(DN$6,1)=1,DN8*DN9,0)))</f>
        <v>0</v>
      </c>
      <c r="DO12" s="63">
        <f>IF(AND(DO8=1,DO9=12),0,IF(DO8&lt;=0,0,IF(WEEKDAY(DO$6,1)=1,DO8*DO9,0)))</f>
        <v>0</v>
      </c>
      <c r="DP12" s="63">
        <f>IF(AND(DP8=1,DP9=12),0,IF(DP8&lt;=0,0,IF(WEEKDAY(DP$6,1)=1,DP8*DP9,0)))</f>
        <v>0</v>
      </c>
      <c r="DQ12" s="64">
        <f>IF(AND(DQ8=1,DQ9=12),0,IF(DQ8&lt;=0,0,IF(WEEKDAY(DQ$6,1)=1,DQ8*DQ9,0)))</f>
        <v>0</v>
      </c>
      <c r="DR12" s="64">
        <f>IF(AND(DR8=1,DR9=12),12,IF(DR8&lt;=0,0,IF(WEEKDAY(DR$6,1)=1,DR8*DR9,0)))</f>
        <v>12</v>
      </c>
      <c r="DS12" s="63">
        <f>IF(AND(DS8=1,DS9=12),0,IF(DS8&lt;=0,0,IF(WEEKDAY(DS$6,1)=1,DS8*DS9,0)))</f>
        <v>0</v>
      </c>
      <c r="DT12" s="63">
        <f>IF(AND(DT8=0,DT9=0),0,IF(DT8&lt;=0,0,IF(WEEKDAY(DT$6,1)=1,DT8*DT9,0)))</f>
        <v>0</v>
      </c>
      <c r="DU12" s="63">
        <f>IF(AND(DU8=0,DU9=0),0,IF(DU8&lt;=0,0,IF(WEEKDAY(DU$6,1)=1,DU8*DU9,0)))</f>
        <v>0</v>
      </c>
      <c r="DV12" s="63">
        <f>IF(AND(DV8=0,DV9=0),0,IF(DV8&lt;=0,0,IF(WEEKDAY(DV$6,1)=1,DV8*DV9,0)))</f>
        <v>0</v>
      </c>
      <c r="DW12" s="63">
        <f>IF(AND(DW8=0,DW9=0),0,IF(DW8&lt;=0,0,IF(WEEKDAY(DW$6,1)=1,DW8*DW9,0)))</f>
        <v>0</v>
      </c>
      <c r="DX12" s="64">
        <f>IF(AND(DX8=0,DX9=0),0,IF(DX8&lt;=0,0,IF(WEEKDAY(DX$6,1)=1,DX8*DX9,0)))</f>
        <v>0</v>
      </c>
      <c r="DY12" s="64">
        <f>IF(AND(DY8=0,DY9=0),0,IF(DY8&lt;=0,0,IF(WEEKDAY(DY$6,1)=1,DY8*DY9,0)))</f>
        <v>0</v>
      </c>
      <c r="DZ12" s="63">
        <f>IF(AND(DZ8=0,DZ9=0),0,IF(DZ8&lt;=0,0,IF(WEEKDAY(DZ$6,1)=1,DZ8*DZ9,0)))</f>
        <v>0</v>
      </c>
      <c r="EA12" s="63">
        <f>IF(AND(EA8=0,EA9=0),0,IF(EA8&lt;=0,0,IF(WEEKDAY(EA$6,1)=1,EA8*EA9,0)))</f>
        <v>0</v>
      </c>
      <c r="EB12" s="63">
        <f>IF(AND(EB8=0,EB9=0),0,IF(EB8&lt;=0,0,IF(WEEKDAY(EB$6,1)=1,EB8*EB9,0)))</f>
        <v>0</v>
      </c>
      <c r="EC12" s="63">
        <f>IF(AND(EC8=0,EC9=0),0,IF(EC8&lt;=0,0,IF(WEEKDAY(EC$6,1)=1,EC8*EC9,0)))</f>
        <v>0</v>
      </c>
      <c r="ED12" s="63">
        <f>IF(AND(ED8=0,ED9=0),0,IF(ED8&lt;=0,0,IF(WEEKDAY(ED$6,1)=1,ED8*ED9,0)))</f>
        <v>0</v>
      </c>
      <c r="EE12" s="64">
        <f>IF(AND(EE8=0,EE9=0),0,IF(EE8&lt;=0,0,IF(WEEKDAY(EE$6,1)=1,EE8*EE9,0)))</f>
        <v>0</v>
      </c>
      <c r="EF12" s="64">
        <f>IF(AND(EF8=0,EF9=0),0,IF(EF8&lt;=0,0,IF(WEEKDAY(EF$6,1)=1,EF8*EF9,0)))</f>
        <v>0</v>
      </c>
      <c r="EG12" s="63">
        <f>IF(AND(EG8=0,EG9=0),0,IF(EG8&lt;=0,0,IF(WEEKDAY(EG$6,1)=1,EG8*EG9,0)))</f>
        <v>0</v>
      </c>
      <c r="EH12" s="63">
        <f>IF(AND(EH8=0,EH9=0),0,IF(EH8&lt;=0,0,IF(WEEKDAY(EH$6,1)=1,EH8*EH9,0)))</f>
        <v>0</v>
      </c>
      <c r="EI12" s="63">
        <f>IF(AND(EI8=0,EI9=0),0,IF(EI8&lt;=0,0,IF(WEEKDAY(EI$6,1)=1,EI8*EI9,0)))</f>
        <v>0</v>
      </c>
      <c r="EJ12" s="63">
        <f>IF(AND(EJ8=0,EJ9=0),0,IF(EJ8&lt;=0,0,IF(WEEKDAY(EJ$6,1)=1,EJ8*EJ9,0)))</f>
        <v>0</v>
      </c>
      <c r="EK12" s="65">
        <f>IF(AND(EK8=0,EK9=0),0,IF(EK8&lt;=0,0,IF(WEEKDAY(EK$6,1)=1,EK8*EK9,0)))</f>
        <v>0</v>
      </c>
      <c r="OU12" s="28" t="s">
        <v>118</v>
      </c>
    </row>
    <row r="13" ht="16" customHeight="1" spans="1:411" x14ac:dyDescent="0.25">
      <c r="A13" s="45"/>
      <c r="B13" s="79"/>
      <c r="C13" s="67">
        <f>I7*D13</f>
        <v>0</v>
      </c>
      <c r="D13" s="67">
        <v>130</v>
      </c>
      <c r="E13" s="68" t="s">
        <v>65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0</v>
      </c>
      <c r="O13" s="70">
        <v>0</v>
      </c>
      <c r="P13" s="71">
        <v>0</v>
      </c>
      <c r="Q13" s="71">
        <v>0</v>
      </c>
      <c r="R13" s="70">
        <v>0</v>
      </c>
      <c r="S13" s="70">
        <v>0</v>
      </c>
      <c r="T13" s="70">
        <v>0</v>
      </c>
      <c r="U13" s="70">
        <v>0</v>
      </c>
      <c r="V13" s="70">
        <v>0</v>
      </c>
      <c r="W13" s="71">
        <v>0</v>
      </c>
      <c r="X13" s="71">
        <v>0</v>
      </c>
      <c r="Y13" s="70">
        <v>0</v>
      </c>
      <c r="Z13" s="70">
        <v>0</v>
      </c>
      <c r="AA13" s="70">
        <v>0</v>
      </c>
      <c r="AB13" s="70">
        <v>0</v>
      </c>
      <c r="AC13" s="70">
        <v>0</v>
      </c>
      <c r="AD13" s="71">
        <v>0</v>
      </c>
      <c r="AE13" s="71">
        <v>0</v>
      </c>
      <c r="AF13" s="70">
        <v>0</v>
      </c>
      <c r="AG13" s="70">
        <v>0</v>
      </c>
      <c r="AH13" s="70">
        <v>0</v>
      </c>
      <c r="AI13" s="70">
        <v>0</v>
      </c>
      <c r="AJ13" s="70">
        <v>0</v>
      </c>
      <c r="AK13" s="71">
        <v>0</v>
      </c>
      <c r="AL13" s="71">
        <v>0</v>
      </c>
      <c r="AM13" s="70">
        <v>0</v>
      </c>
      <c r="AN13" s="70">
        <v>0</v>
      </c>
      <c r="AO13" s="70">
        <v>0</v>
      </c>
      <c r="AP13" s="70">
        <v>0</v>
      </c>
      <c r="AQ13" s="70">
        <v>0</v>
      </c>
      <c r="AR13" s="71">
        <v>0</v>
      </c>
      <c r="AS13" s="71">
        <v>0</v>
      </c>
      <c r="AT13" s="70">
        <v>0</v>
      </c>
      <c r="AU13" s="70">
        <v>0</v>
      </c>
      <c r="AV13" s="70">
        <v>0</v>
      </c>
      <c r="AW13" s="70">
        <v>0</v>
      </c>
      <c r="AX13" s="70">
        <v>0</v>
      </c>
      <c r="AY13" s="71">
        <v>0</v>
      </c>
      <c r="AZ13" s="71">
        <v>0</v>
      </c>
      <c r="BA13" s="70">
        <v>0</v>
      </c>
      <c r="BB13" s="70">
        <v>0</v>
      </c>
      <c r="BC13" s="70">
        <v>0</v>
      </c>
      <c r="BD13" s="70">
        <v>0</v>
      </c>
      <c r="BE13" s="70">
        <v>0</v>
      </c>
      <c r="BF13" s="71">
        <v>0</v>
      </c>
      <c r="BG13" s="71">
        <v>0</v>
      </c>
      <c r="BH13" s="70">
        <v>0</v>
      </c>
      <c r="BI13" s="70">
        <v>0</v>
      </c>
      <c r="BJ13" s="70">
        <v>0</v>
      </c>
      <c r="BK13" s="70">
        <v>0</v>
      </c>
      <c r="BL13" s="70">
        <v>0</v>
      </c>
      <c r="BM13" s="71">
        <v>0</v>
      </c>
      <c r="BN13" s="71">
        <v>0</v>
      </c>
      <c r="BO13" s="70">
        <v>0</v>
      </c>
      <c r="BP13" s="70">
        <v>0</v>
      </c>
      <c r="BQ13" s="70">
        <v>0</v>
      </c>
      <c r="BR13" s="70">
        <v>0</v>
      </c>
      <c r="BS13" s="70">
        <v>0</v>
      </c>
      <c r="BT13" s="71">
        <v>0</v>
      </c>
      <c r="BU13" s="71">
        <v>0</v>
      </c>
      <c r="BV13" s="70">
        <v>0</v>
      </c>
      <c r="BW13" s="70">
        <v>0</v>
      </c>
      <c r="BX13" s="70">
        <v>0</v>
      </c>
      <c r="BY13" s="70">
        <v>0</v>
      </c>
      <c r="BZ13" s="70">
        <v>0</v>
      </c>
      <c r="CA13" s="71">
        <v>0</v>
      </c>
      <c r="CB13" s="71">
        <v>0</v>
      </c>
      <c r="CC13" s="70">
        <v>0</v>
      </c>
      <c r="CD13" s="70">
        <v>0</v>
      </c>
      <c r="CE13" s="70">
        <v>0</v>
      </c>
      <c r="CF13" s="70">
        <v>0</v>
      </c>
      <c r="CG13" s="70">
        <v>0</v>
      </c>
      <c r="CH13" s="71">
        <v>0</v>
      </c>
      <c r="CI13" s="71">
        <v>0</v>
      </c>
      <c r="CJ13" s="70">
        <v>0</v>
      </c>
      <c r="CK13" s="70">
        <v>0</v>
      </c>
      <c r="CL13" s="70">
        <v>0</v>
      </c>
      <c r="CM13" s="70">
        <v>0</v>
      </c>
      <c r="CN13" s="70">
        <v>0</v>
      </c>
      <c r="CO13" s="71">
        <v>0</v>
      </c>
      <c r="CP13" s="71">
        <v>0</v>
      </c>
      <c r="CQ13" s="70">
        <v>0</v>
      </c>
      <c r="CR13" s="70">
        <v>0</v>
      </c>
      <c r="CS13" s="70">
        <v>0</v>
      </c>
      <c r="CT13" s="70">
        <v>0</v>
      </c>
      <c r="CU13" s="70">
        <v>0</v>
      </c>
      <c r="CV13" s="71">
        <v>0</v>
      </c>
      <c r="CW13" s="71">
        <v>0</v>
      </c>
      <c r="CX13" s="70">
        <v>0</v>
      </c>
      <c r="CY13" s="70">
        <v>0</v>
      </c>
      <c r="CZ13" s="70">
        <v>0</v>
      </c>
      <c r="DA13" s="70">
        <v>0</v>
      </c>
      <c r="DB13" s="70">
        <v>0</v>
      </c>
      <c r="DC13" s="71">
        <v>0</v>
      </c>
      <c r="DD13" s="71">
        <v>0</v>
      </c>
      <c r="DE13" s="70">
        <v>0</v>
      </c>
      <c r="DF13" s="70">
        <v>0</v>
      </c>
      <c r="DG13" s="70">
        <v>0</v>
      </c>
      <c r="DH13" s="70">
        <v>0</v>
      </c>
      <c r="DI13" s="70">
        <v>0</v>
      </c>
      <c r="DJ13" s="71">
        <v>0</v>
      </c>
      <c r="DK13" s="71">
        <v>0</v>
      </c>
      <c r="DL13" s="70">
        <v>0</v>
      </c>
      <c r="DM13" s="70">
        <v>0</v>
      </c>
      <c r="DN13" s="70">
        <v>0</v>
      </c>
      <c r="DO13" s="70">
        <v>0</v>
      </c>
      <c r="DP13" s="70">
        <v>0</v>
      </c>
      <c r="DQ13" s="71">
        <v>0</v>
      </c>
      <c r="DR13" s="71">
        <v>0</v>
      </c>
      <c r="DS13" s="70">
        <v>0</v>
      </c>
      <c r="DT13" s="70">
        <v>0</v>
      </c>
      <c r="DU13" s="70">
        <v>0</v>
      </c>
      <c r="DV13" s="70">
        <v>0</v>
      </c>
      <c r="DW13" s="70">
        <v>0</v>
      </c>
      <c r="DX13" s="71">
        <v>0</v>
      </c>
      <c r="DY13" s="71">
        <v>0</v>
      </c>
      <c r="DZ13" s="70">
        <v>0</v>
      </c>
      <c r="EA13" s="70">
        <v>0</v>
      </c>
      <c r="EB13" s="70">
        <v>0</v>
      </c>
      <c r="EC13" s="70">
        <v>0</v>
      </c>
      <c r="ED13" s="70">
        <v>0</v>
      </c>
      <c r="EE13" s="71">
        <v>0</v>
      </c>
      <c r="EF13" s="71">
        <v>0</v>
      </c>
      <c r="EG13" s="70">
        <v>0</v>
      </c>
      <c r="EH13" s="70">
        <v>0</v>
      </c>
      <c r="EI13" s="70">
        <v>0</v>
      </c>
      <c r="EJ13" s="70">
        <v>0</v>
      </c>
      <c r="EK13" s="72">
        <v>0</v>
      </c>
      <c r="OU13" s="60" t="s">
        <v>118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74" t="s">
        <v>70</v>
      </c>
      <c r="B15" s="77" t="s">
        <v>117</v>
      </c>
      <c r="C15" s="47">
        <f>J15</f>
        <v>96280.32</v>
      </c>
      <c r="D15" s="48"/>
      <c r="E15" s="48"/>
      <c r="F15" s="49">
        <f>SUM(K18:EK18)</f>
        <v>368</v>
      </c>
      <c r="G15" s="49">
        <f>SUM(K19:EK19)</f>
        <v>292</v>
      </c>
      <c r="H15" s="49">
        <f>SUM(K20:EK20)</f>
        <v>108</v>
      </c>
      <c r="I15" s="49">
        <f>SUM(K21:EK21)</f>
        <v>38</v>
      </c>
      <c r="J15" s="50">
        <f>C18+C19+C20</f>
        <v>96280.32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120</v>
      </c>
    </row>
    <row r="16" ht="16" customHeight="1" spans="1:411" x14ac:dyDescent="0.25">
      <c r="A16" s="74"/>
      <c r="B16" s="77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0</v>
      </c>
      <c r="O16" s="57">
        <v>0</v>
      </c>
      <c r="P16" s="58">
        <v>0</v>
      </c>
      <c r="Q16" s="58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8">
        <v>0</v>
      </c>
      <c r="X16" s="58">
        <v>0</v>
      </c>
      <c r="Y16" s="57">
        <v>0</v>
      </c>
      <c r="Z16" s="57">
        <v>0</v>
      </c>
      <c r="AA16" s="57">
        <v>0</v>
      </c>
      <c r="AB16" s="57">
        <v>0</v>
      </c>
      <c r="AC16" s="57">
        <v>0</v>
      </c>
      <c r="AD16" s="58">
        <v>0</v>
      </c>
      <c r="AE16" s="58">
        <v>0</v>
      </c>
      <c r="AF16" s="57">
        <v>0</v>
      </c>
      <c r="AG16" s="57">
        <v>0</v>
      </c>
      <c r="AH16" s="57">
        <v>0</v>
      </c>
      <c r="AI16" s="57">
        <v>0</v>
      </c>
      <c r="AJ16" s="57">
        <v>0</v>
      </c>
      <c r="AK16" s="58">
        <v>0</v>
      </c>
      <c r="AL16" s="58">
        <v>0</v>
      </c>
      <c r="AM16" s="57">
        <v>0</v>
      </c>
      <c r="AN16" s="57">
        <v>0</v>
      </c>
      <c r="AO16" s="57">
        <v>0</v>
      </c>
      <c r="AP16" s="57">
        <v>0</v>
      </c>
      <c r="AQ16" s="57">
        <v>0</v>
      </c>
      <c r="AR16" s="58">
        <v>0</v>
      </c>
      <c r="AS16" s="58">
        <v>0</v>
      </c>
      <c r="AT16" s="57">
        <v>0</v>
      </c>
      <c r="AU16" s="57">
        <v>0</v>
      </c>
      <c r="AV16" s="57">
        <v>0</v>
      </c>
      <c r="AW16" s="57">
        <v>0</v>
      </c>
      <c r="AX16" s="57">
        <v>0</v>
      </c>
      <c r="AY16" s="58">
        <v>0</v>
      </c>
      <c r="AZ16" s="58">
        <v>0</v>
      </c>
      <c r="BA16" s="57">
        <v>0</v>
      </c>
      <c r="BB16" s="57">
        <v>0</v>
      </c>
      <c r="BC16" s="57">
        <v>0</v>
      </c>
      <c r="BD16" s="57">
        <v>0</v>
      </c>
      <c r="BE16" s="57">
        <v>0</v>
      </c>
      <c r="BF16" s="58">
        <v>0</v>
      </c>
      <c r="BG16" s="58">
        <v>0</v>
      </c>
      <c r="BH16" s="57">
        <v>1</v>
      </c>
      <c r="BI16" s="57">
        <v>1</v>
      </c>
      <c r="BJ16" s="57">
        <v>1</v>
      </c>
      <c r="BK16" s="57">
        <v>1</v>
      </c>
      <c r="BL16" s="57">
        <v>1</v>
      </c>
      <c r="BM16" s="58">
        <v>1</v>
      </c>
      <c r="BN16" s="58">
        <v>1</v>
      </c>
      <c r="BO16" s="57">
        <v>1</v>
      </c>
      <c r="BP16" s="57">
        <v>1</v>
      </c>
      <c r="BQ16" s="57">
        <v>1</v>
      </c>
      <c r="BR16" s="57">
        <v>1</v>
      </c>
      <c r="BS16" s="57">
        <v>1</v>
      </c>
      <c r="BT16" s="58">
        <v>1</v>
      </c>
      <c r="BU16" s="58">
        <v>1</v>
      </c>
      <c r="BV16" s="57">
        <v>1</v>
      </c>
      <c r="BW16" s="57">
        <v>1</v>
      </c>
      <c r="BX16" s="57">
        <v>1</v>
      </c>
      <c r="BY16" s="57">
        <v>1</v>
      </c>
      <c r="BZ16" s="57">
        <v>1</v>
      </c>
      <c r="CA16" s="58">
        <v>1</v>
      </c>
      <c r="CB16" s="58">
        <v>1</v>
      </c>
      <c r="CC16" s="57">
        <v>1</v>
      </c>
      <c r="CD16" s="57">
        <v>1</v>
      </c>
      <c r="CE16" s="57">
        <v>1</v>
      </c>
      <c r="CF16" s="57">
        <v>1</v>
      </c>
      <c r="CG16" s="57">
        <v>1</v>
      </c>
      <c r="CH16" s="58">
        <v>1</v>
      </c>
      <c r="CI16" s="58">
        <v>1</v>
      </c>
      <c r="CJ16" s="57">
        <v>1</v>
      </c>
      <c r="CK16" s="57">
        <v>1</v>
      </c>
      <c r="CL16" s="57">
        <v>1</v>
      </c>
      <c r="CM16" s="57">
        <v>1</v>
      </c>
      <c r="CN16" s="57">
        <v>1</v>
      </c>
      <c r="CO16" s="58">
        <v>1</v>
      </c>
      <c r="CP16" s="58">
        <v>1</v>
      </c>
      <c r="CQ16" s="57">
        <v>1</v>
      </c>
      <c r="CR16" s="57">
        <v>1</v>
      </c>
      <c r="CS16" s="57">
        <v>1</v>
      </c>
      <c r="CT16" s="57">
        <v>1</v>
      </c>
      <c r="CU16" s="57">
        <v>1</v>
      </c>
      <c r="CV16" s="58">
        <v>1</v>
      </c>
      <c r="CW16" s="58">
        <v>1</v>
      </c>
      <c r="CX16" s="57">
        <v>1</v>
      </c>
      <c r="CY16" s="57">
        <v>1</v>
      </c>
      <c r="CZ16" s="57">
        <v>1</v>
      </c>
      <c r="DA16" s="57">
        <v>1</v>
      </c>
      <c r="DB16" s="57">
        <v>1</v>
      </c>
      <c r="DC16" s="58">
        <v>1</v>
      </c>
      <c r="DD16" s="58">
        <v>1</v>
      </c>
      <c r="DE16" s="57">
        <v>1</v>
      </c>
      <c r="DF16" s="57">
        <v>1</v>
      </c>
      <c r="DG16" s="57">
        <v>1</v>
      </c>
      <c r="DH16" s="57">
        <v>1</v>
      </c>
      <c r="DI16" s="57">
        <v>1</v>
      </c>
      <c r="DJ16" s="58">
        <v>1</v>
      </c>
      <c r="DK16" s="58">
        <v>1</v>
      </c>
      <c r="DL16" s="57">
        <v>1</v>
      </c>
      <c r="DM16" s="57">
        <v>1</v>
      </c>
      <c r="DN16" s="57">
        <v>1</v>
      </c>
      <c r="DO16" s="57">
        <v>1</v>
      </c>
      <c r="DP16" s="57">
        <v>1</v>
      </c>
      <c r="DQ16" s="58">
        <v>1</v>
      </c>
      <c r="DR16" s="58">
        <v>1</v>
      </c>
      <c r="DS16" s="57">
        <v>1</v>
      </c>
      <c r="DT16" s="57">
        <v>0</v>
      </c>
      <c r="DU16" s="57">
        <v>0</v>
      </c>
      <c r="DV16" s="57">
        <v>0</v>
      </c>
      <c r="DW16" s="57">
        <v>0</v>
      </c>
      <c r="DX16" s="58">
        <v>0</v>
      </c>
      <c r="DY16" s="58">
        <v>0</v>
      </c>
      <c r="DZ16" s="57">
        <v>0</v>
      </c>
      <c r="EA16" s="57">
        <v>0</v>
      </c>
      <c r="EB16" s="57">
        <v>0</v>
      </c>
      <c r="EC16" s="57">
        <v>0</v>
      </c>
      <c r="ED16" s="57">
        <v>0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120</v>
      </c>
    </row>
    <row r="17" ht="16" customHeight="1" spans="1:411" x14ac:dyDescent="0.25">
      <c r="A17" s="74"/>
      <c r="B17" s="77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8">
        <v>0</v>
      </c>
      <c r="Q17" s="58">
        <v>0</v>
      </c>
      <c r="R17" s="57">
        <v>0</v>
      </c>
      <c r="S17" s="57">
        <v>0</v>
      </c>
      <c r="T17" s="57">
        <v>0</v>
      </c>
      <c r="U17" s="57">
        <v>0</v>
      </c>
      <c r="V17" s="57">
        <v>0</v>
      </c>
      <c r="W17" s="58">
        <v>0</v>
      </c>
      <c r="X17" s="58">
        <v>0</v>
      </c>
      <c r="Y17" s="57">
        <v>0</v>
      </c>
      <c r="Z17" s="57">
        <v>0</v>
      </c>
      <c r="AA17" s="57">
        <v>0</v>
      </c>
      <c r="AB17" s="57">
        <v>0</v>
      </c>
      <c r="AC17" s="57">
        <v>0</v>
      </c>
      <c r="AD17" s="58">
        <v>0</v>
      </c>
      <c r="AE17" s="58">
        <v>0</v>
      </c>
      <c r="AF17" s="57">
        <v>0</v>
      </c>
      <c r="AG17" s="57">
        <v>0</v>
      </c>
      <c r="AH17" s="57">
        <v>0</v>
      </c>
      <c r="AI17" s="57">
        <v>0</v>
      </c>
      <c r="AJ17" s="57">
        <v>0</v>
      </c>
      <c r="AK17" s="58">
        <v>0</v>
      </c>
      <c r="AL17" s="58">
        <v>0</v>
      </c>
      <c r="AM17" s="57">
        <v>0</v>
      </c>
      <c r="AN17" s="57">
        <v>0</v>
      </c>
      <c r="AO17" s="57">
        <v>0</v>
      </c>
      <c r="AP17" s="57">
        <v>0</v>
      </c>
      <c r="AQ17" s="57">
        <v>0</v>
      </c>
      <c r="AR17" s="58">
        <v>0</v>
      </c>
      <c r="AS17" s="58">
        <v>0</v>
      </c>
      <c r="AT17" s="57">
        <v>0</v>
      </c>
      <c r="AU17" s="57">
        <v>0</v>
      </c>
      <c r="AV17" s="57">
        <v>0</v>
      </c>
      <c r="AW17" s="57">
        <v>0</v>
      </c>
      <c r="AX17" s="57">
        <v>0</v>
      </c>
      <c r="AY17" s="58">
        <v>0</v>
      </c>
      <c r="AZ17" s="58">
        <v>0</v>
      </c>
      <c r="BA17" s="57">
        <v>0</v>
      </c>
      <c r="BB17" s="57">
        <v>0</v>
      </c>
      <c r="BC17" s="57">
        <v>0</v>
      </c>
      <c r="BD17" s="57">
        <v>0</v>
      </c>
      <c r="BE17" s="57">
        <v>0</v>
      </c>
      <c r="BF17" s="58">
        <v>0</v>
      </c>
      <c r="BG17" s="58">
        <v>0</v>
      </c>
      <c r="BH17" s="57">
        <v>12</v>
      </c>
      <c r="BI17" s="57">
        <v>12</v>
      </c>
      <c r="BJ17" s="57">
        <v>12</v>
      </c>
      <c r="BK17" s="57">
        <v>12</v>
      </c>
      <c r="BL17" s="57">
        <v>12</v>
      </c>
      <c r="BM17" s="58">
        <v>12</v>
      </c>
      <c r="BN17" s="58">
        <v>12</v>
      </c>
      <c r="BO17" s="57">
        <v>12</v>
      </c>
      <c r="BP17" s="57">
        <v>12</v>
      </c>
      <c r="BQ17" s="57">
        <v>12</v>
      </c>
      <c r="BR17" s="57">
        <v>12</v>
      </c>
      <c r="BS17" s="57">
        <v>12</v>
      </c>
      <c r="BT17" s="58">
        <v>12</v>
      </c>
      <c r="BU17" s="58">
        <v>12</v>
      </c>
      <c r="BV17" s="57">
        <v>12</v>
      </c>
      <c r="BW17" s="57">
        <v>12</v>
      </c>
      <c r="BX17" s="57">
        <v>12</v>
      </c>
      <c r="BY17" s="57">
        <v>12</v>
      </c>
      <c r="BZ17" s="57">
        <v>12</v>
      </c>
      <c r="CA17" s="58">
        <v>12</v>
      </c>
      <c r="CB17" s="58">
        <v>12</v>
      </c>
      <c r="CC17" s="57">
        <v>12</v>
      </c>
      <c r="CD17" s="57">
        <v>12</v>
      </c>
      <c r="CE17" s="57">
        <v>12</v>
      </c>
      <c r="CF17" s="57">
        <v>12</v>
      </c>
      <c r="CG17" s="57">
        <v>12</v>
      </c>
      <c r="CH17" s="58">
        <v>12</v>
      </c>
      <c r="CI17" s="58">
        <v>12</v>
      </c>
      <c r="CJ17" s="57">
        <v>12</v>
      </c>
      <c r="CK17" s="57">
        <v>12</v>
      </c>
      <c r="CL17" s="57">
        <v>12</v>
      </c>
      <c r="CM17" s="57">
        <v>12</v>
      </c>
      <c r="CN17" s="57">
        <v>12</v>
      </c>
      <c r="CO17" s="58">
        <v>12</v>
      </c>
      <c r="CP17" s="58">
        <v>12</v>
      </c>
      <c r="CQ17" s="57">
        <v>12</v>
      </c>
      <c r="CR17" s="57">
        <v>12</v>
      </c>
      <c r="CS17" s="57">
        <v>12</v>
      </c>
      <c r="CT17" s="57">
        <v>12</v>
      </c>
      <c r="CU17" s="57">
        <v>12</v>
      </c>
      <c r="CV17" s="58">
        <v>12</v>
      </c>
      <c r="CW17" s="58">
        <v>12</v>
      </c>
      <c r="CX17" s="57">
        <v>12</v>
      </c>
      <c r="CY17" s="57">
        <v>12</v>
      </c>
      <c r="CZ17" s="57">
        <v>12</v>
      </c>
      <c r="DA17" s="57">
        <v>12</v>
      </c>
      <c r="DB17" s="57">
        <v>12</v>
      </c>
      <c r="DC17" s="58">
        <v>12</v>
      </c>
      <c r="DD17" s="58">
        <v>12</v>
      </c>
      <c r="DE17" s="57">
        <v>12</v>
      </c>
      <c r="DF17" s="57">
        <v>12</v>
      </c>
      <c r="DG17" s="57">
        <v>12</v>
      </c>
      <c r="DH17" s="57">
        <v>12</v>
      </c>
      <c r="DI17" s="57">
        <v>12</v>
      </c>
      <c r="DJ17" s="58">
        <v>12</v>
      </c>
      <c r="DK17" s="58">
        <v>12</v>
      </c>
      <c r="DL17" s="57">
        <v>12</v>
      </c>
      <c r="DM17" s="57">
        <v>12</v>
      </c>
      <c r="DN17" s="57">
        <v>12</v>
      </c>
      <c r="DO17" s="57">
        <v>12</v>
      </c>
      <c r="DP17" s="57">
        <v>12</v>
      </c>
      <c r="DQ17" s="58">
        <v>12</v>
      </c>
      <c r="DR17" s="58">
        <v>12</v>
      </c>
      <c r="DS17" s="57">
        <v>12</v>
      </c>
      <c r="DT17" s="57">
        <v>0</v>
      </c>
      <c r="DU17" s="57">
        <v>0</v>
      </c>
      <c r="DV17" s="57">
        <v>0</v>
      </c>
      <c r="DW17" s="57">
        <v>0</v>
      </c>
      <c r="DX17" s="58">
        <v>0</v>
      </c>
      <c r="DY17" s="58">
        <v>0</v>
      </c>
      <c r="DZ17" s="57">
        <v>0</v>
      </c>
      <c r="EA17" s="57">
        <v>0</v>
      </c>
      <c r="EB17" s="57">
        <v>0</v>
      </c>
      <c r="EC17" s="57">
        <v>0</v>
      </c>
      <c r="ED17" s="57">
        <v>0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120</v>
      </c>
    </row>
    <row r="18" ht="16" customHeight="1" spans="1:411" x14ac:dyDescent="0.25">
      <c r="A18" s="74"/>
      <c r="B18" s="78" t="s">
        <v>119</v>
      </c>
      <c r="C18" s="61">
        <f>F15*N(D18)</f>
        <v>36553.44</v>
      </c>
      <c r="D18" s="61">
        <f>IF(TRIM(IF(TRIM(B19)&lt;&gt;"",B19,B15))="","No rate",IFERROR(INDEX('Rate Tables'!C$7:C$158,MATCH(IF(TRIM(B19)&lt;&gt;"",B19,B15),'Rate Tables'!A$7:A$158,0)),"No rate"))</f>
        <v>99.33</v>
      </c>
      <c r="E18" s="55" t="s">
        <v>62</v>
      </c>
      <c r="F18" s="49"/>
      <c r="G18" s="49"/>
      <c r="H18" s="49"/>
      <c r="I18" s="49"/>
      <c r="J18" s="50"/>
      <c r="K18" s="62">
        <f>IF(AND(K16=0,K17=0),0,MIN(IF(K16&lt;=0,0,IF(WEEKDAY(K$6,1)=1,0,IF(WEEKDAY(K$6,1)=7,0,MIN(8,K17)*K16))),MAX(0,40*MAX(1,K16)-(0))))</f>
        <v>0</v>
      </c>
      <c r="L18" s="63">
        <f>IF(AND(L16=0,L17=0),0,MIN(IF(L16&lt;=0,0,IF(WEEKDAY(L$6,1)=1,0,IF(WEEKDAY(L$6,1)=7,0,MIN(8,L17)*L16))),MAX(0,40*MAX(1,L16)-(K18))))</f>
        <v>0</v>
      </c>
      <c r="M18" s="63">
        <f>IF(AND(M16=0,M17=0),0,MIN(IF(M16&lt;=0,0,IF(WEEKDAY(M$6,1)=1,0,IF(WEEKDAY(M$6,1)=7,0,MIN(8,M17)*M16))),MAX(0,40*MAX(1,M16)-(K18+L18))))</f>
        <v>0</v>
      </c>
      <c r="N18" s="63">
        <f>IF(AND(N16=0,N17=0),0,MIN(IF(N16&lt;=0,0,IF(WEEKDAY(N$6,1)=1,0,IF(WEEKDAY(N$6,1)=7,0,MIN(8,N17)*N16))),MAX(0,40*MAX(1,N16)-(K18+L18+M18))))</f>
        <v>0</v>
      </c>
      <c r="O18" s="63">
        <f>IF(AND(O16=0,O17=0),0,MIN(IF(O16&lt;=0,0,IF(WEEKDAY(O$6,1)=1,0,IF(WEEKDAY(O$6,1)=7,0,MIN(8,O17)*O16))),MAX(0,40*MAX(1,O16)-(K18+L18+M18+N18))))</f>
        <v>0</v>
      </c>
      <c r="P18" s="64">
        <f>IF(AND(P16=0,P17=0),0,MIN(IF(P16&lt;=0,0,IF(WEEKDAY(P$6,1)=1,0,IF(WEEKDAY(P$6,1)=7,0,MIN(8,P17)*P16))),MAX(0,40*MAX(1,P16)-(K18+L18+M18+N18+O18))))</f>
        <v>0</v>
      </c>
      <c r="Q18" s="64">
        <f>IF(AND(Q16=0,Q17=0),0,MIN(IF(Q16&lt;=0,0,IF(WEEKDAY(Q$6,1)=1,0,IF(WEEKDAY(Q$6,1)=7,0,MIN(8,Q17)*Q16))),MAX(0,40*MAX(1,Q16)-(K18+L18+M18+N18+O18+P18))))</f>
        <v>0</v>
      </c>
      <c r="R18" s="63">
        <f>IF(AND(R16=0,R17=0),0,MIN(IF(R16&lt;=0,0,IF(WEEKDAY(R$6,1)=1,0,IF(WEEKDAY(R$6,1)=7,0,MIN(8,R17)*R16))),MAX(0,40*MAX(1,R16)-(0))))</f>
        <v>0</v>
      </c>
      <c r="S18" s="63">
        <f>IF(AND(S16=0,S17=0),0,MIN(IF(S16&lt;=0,0,IF(WEEKDAY(S$6,1)=1,0,IF(WEEKDAY(S$6,1)=7,0,MIN(8,S17)*S16))),MAX(0,40*MAX(1,S16)-(R18))))</f>
        <v>0</v>
      </c>
      <c r="T18" s="63">
        <f>IF(AND(T16=0,T17=0),0,MIN(IF(T16&lt;=0,0,IF(WEEKDAY(T$6,1)=1,0,IF(WEEKDAY(T$6,1)=7,0,MIN(8,T17)*T16))),MAX(0,40*MAX(1,T16)-(R18+S18))))</f>
        <v>0</v>
      </c>
      <c r="U18" s="63">
        <f>IF(AND(U16=0,U17=0),0,MIN(IF(U16&lt;=0,0,IF(WEEKDAY(U$6,1)=1,0,IF(WEEKDAY(U$6,1)=7,0,MIN(8,U17)*U16))),MAX(0,40*MAX(1,U16)-(R18+S18+T18))))</f>
        <v>0</v>
      </c>
      <c r="V18" s="63">
        <f>IF(AND(V16=0,V17=0),0,MIN(IF(V16&lt;=0,0,IF(WEEKDAY(V$6,1)=1,0,IF(WEEKDAY(V$6,1)=7,0,MIN(8,V17)*V16))),MAX(0,40*MAX(1,V16)-(R18+S18+T18+U18))))</f>
        <v>0</v>
      </c>
      <c r="W18" s="64">
        <f>IF(AND(W16=0,W17=0),0,MIN(IF(W16&lt;=0,0,IF(WEEKDAY(W$6,1)=1,0,IF(WEEKDAY(W$6,1)=7,0,MIN(8,W17)*W16))),MAX(0,40*MAX(1,W16)-(R18+S18+T18+U18+V18))))</f>
        <v>0</v>
      </c>
      <c r="X18" s="64">
        <f>IF(AND(X16=0,X17=0),0,MIN(IF(X16&lt;=0,0,IF(WEEKDAY(X$6,1)=1,0,IF(WEEKDAY(X$6,1)=7,0,MIN(8,X17)*X16))),MAX(0,40*MAX(1,X16)-(R18+S18+T18+U18+V18+W18))))</f>
        <v>0</v>
      </c>
      <c r="Y18" s="63">
        <f>IF(AND(Y16=0,Y17=0),0,MIN(IF(Y16&lt;=0,0,IF(WEEKDAY(Y$6,1)=1,0,IF(WEEKDAY(Y$6,1)=7,0,MIN(8,Y17)*Y16))),MAX(0,40*MAX(1,Y16)-(0))))</f>
        <v>0</v>
      </c>
      <c r="Z18" s="63">
        <f>IF(AND(Z16=0,Z17=0),0,MIN(IF(Z16&lt;=0,0,IF(WEEKDAY(Z$6,1)=1,0,IF(WEEKDAY(Z$6,1)=7,0,MIN(8,Z17)*Z16))),MAX(0,40*MAX(1,Z16)-(Y18))))</f>
        <v>0</v>
      </c>
      <c r="AA18" s="63">
        <f>IF(AND(AA16=0,AA17=0),0,MIN(IF(AA16&lt;=0,0,IF(WEEKDAY(AA$6,1)=1,0,IF(WEEKDAY(AA$6,1)=7,0,MIN(8,AA17)*AA16))),MAX(0,40*MAX(1,AA16)-(Y18+Z18))))</f>
        <v>0</v>
      </c>
      <c r="AB18" s="63">
        <f>IF(AND(AB16=0,AB17=0),0,MIN(IF(AB16&lt;=0,0,IF(WEEKDAY(AB$6,1)=1,0,IF(WEEKDAY(AB$6,1)=7,0,MIN(8,AB17)*AB16))),MAX(0,40*MAX(1,AB16)-(Y18+Z18+AA18))))</f>
        <v>0</v>
      </c>
      <c r="AC18" s="63">
        <f>IF(AND(AC16=0,AC17=0),0,MIN(IF(AC16&lt;=0,0,IF(WEEKDAY(AC$6,1)=1,0,IF(WEEKDAY(AC$6,1)=7,0,MIN(8,AC17)*AC16))),MAX(0,40*MAX(1,AC16)-(Y18+Z18+AA18+AB18))))</f>
        <v>0</v>
      </c>
      <c r="AD18" s="64">
        <f>IF(AND(AD16=0,AD17=0),0,MIN(IF(AD16&lt;=0,0,IF(WEEKDAY(AD$6,1)=1,0,IF(WEEKDAY(AD$6,1)=7,0,MIN(8,AD17)*AD16))),MAX(0,40*MAX(1,AD16)-(Y18+Z18+AA18+AB18+AC18))))</f>
        <v>0</v>
      </c>
      <c r="AE18" s="64">
        <f>IF(AND(AE16=0,AE17=0),0,MIN(IF(AE16&lt;=0,0,IF(WEEKDAY(AE$6,1)=1,0,IF(WEEKDAY(AE$6,1)=7,0,MIN(8,AE17)*AE16))),MAX(0,40*MAX(1,AE16)-(Y18+Z18+AA18+AB18+AC18+AD18))))</f>
        <v>0</v>
      </c>
      <c r="AF18" s="63">
        <f>IF(AND(AF16=0,AF17=0),0,MIN(IF(AF16&lt;=0,0,IF(WEEKDAY(AF$6,1)=1,0,IF(WEEKDAY(AF$6,1)=7,0,MIN(8,AF17)*AF16))),MAX(0,40*MAX(1,AF16)-(0))))</f>
        <v>0</v>
      </c>
      <c r="AG18" s="63">
        <f>IF(AND(AG16=0,AG17=0),0,MIN(IF(AG16&lt;=0,0,IF(WEEKDAY(AG$6,1)=1,0,IF(WEEKDAY(AG$6,1)=7,0,MIN(8,AG17)*AG16))),MAX(0,40*MAX(1,AG16)-(AF18))))</f>
        <v>0</v>
      </c>
      <c r="AH18" s="63">
        <f>IF(AND(AH16=0,AH17=0),0,MIN(IF(AH16&lt;=0,0,IF(WEEKDAY(AH$6,1)=1,0,IF(WEEKDAY(AH$6,1)=7,0,MIN(8,AH17)*AH16))),MAX(0,40*MAX(1,AH16)-(AF18+AG18))))</f>
        <v>0</v>
      </c>
      <c r="AI18" s="63">
        <f>IF(AND(AI16=0,AI17=0),0,MIN(IF(AI16&lt;=0,0,IF(WEEKDAY(AI$6,1)=1,0,IF(WEEKDAY(AI$6,1)=7,0,MIN(8,AI17)*AI16))),MAX(0,40*MAX(1,AI16)-(AF18+AG18+AH18))))</f>
        <v>0</v>
      </c>
      <c r="AJ18" s="63">
        <f>IF(AND(AJ16=0,AJ17=0),0,MIN(IF(AJ16&lt;=0,0,IF(WEEKDAY(AJ$6,1)=1,0,IF(WEEKDAY(AJ$6,1)=7,0,MIN(8,AJ17)*AJ16))),MAX(0,40*MAX(1,AJ16)-(AF18+AG18+AH18+AI18))))</f>
        <v>0</v>
      </c>
      <c r="AK18" s="64">
        <f>IF(AND(AK16=0,AK17=0),0,MIN(IF(AK16&lt;=0,0,IF(WEEKDAY(AK$6,1)=1,0,IF(WEEKDAY(AK$6,1)=7,0,MIN(8,AK17)*AK16))),MAX(0,40*MAX(1,AK16)-(AF18+AG18+AH18+AI18+AJ18))))</f>
        <v>0</v>
      </c>
      <c r="AL18" s="64">
        <f>IF(AND(AL16=0,AL17=0),0,MIN(IF(AL16&lt;=0,0,IF(WEEKDAY(AL$6,1)=1,0,IF(WEEKDAY(AL$6,1)=7,0,MIN(8,AL17)*AL16))),MAX(0,40*MAX(1,AL16)-(AF18+AG18+AH18+AI18+AJ18+AK18))))</f>
        <v>0</v>
      </c>
      <c r="AM18" s="63">
        <f>IF(AND(AM16=0,AM17=0),0,MIN(IF(AM16&lt;=0,0,IF(WEEKDAY(AM$6,1)=1,0,IF(WEEKDAY(AM$6,1)=7,0,MIN(8,AM17)*AM16))),MAX(0,40*MAX(1,AM16)-(0))))</f>
        <v>0</v>
      </c>
      <c r="AN18" s="63">
        <f>IF(AND(AN16=0,AN17=0),0,MIN(IF(AN16&lt;=0,0,IF(WEEKDAY(AN$6,1)=1,0,IF(WEEKDAY(AN$6,1)=7,0,MIN(8,AN17)*AN16))),MAX(0,40*MAX(1,AN16)-(AM18))))</f>
        <v>0</v>
      </c>
      <c r="AO18" s="63">
        <f>IF(AND(AO16=0,AO17=0),0,MIN(IF(AO16&lt;=0,0,IF(WEEKDAY(AO$6,1)=1,0,IF(WEEKDAY(AO$6,1)=7,0,MIN(8,AO17)*AO16))),MAX(0,40*MAX(1,AO16)-(AM18+AN18))))</f>
        <v>0</v>
      </c>
      <c r="AP18" s="63">
        <f>IF(AND(AP16=0,AP17=0),0,MIN(IF(AP16&lt;=0,0,IF(WEEKDAY(AP$6,1)=1,0,IF(WEEKDAY(AP$6,1)=7,0,MIN(8,AP17)*AP16))),MAX(0,40*MAX(1,AP16)-(AM18+AN18+AO18))))</f>
        <v>0</v>
      </c>
      <c r="AQ18" s="63">
        <f>IF(AND(AQ16=0,AQ17=0),0,MIN(IF(AQ16&lt;=0,0,IF(WEEKDAY(AQ$6,1)=1,0,IF(WEEKDAY(AQ$6,1)=7,0,MIN(8,AQ17)*AQ16))),MAX(0,40*MAX(1,AQ16)-(AM18+AN18+AO18+AP18))))</f>
        <v>0</v>
      </c>
      <c r="AR18" s="64">
        <f>IF(AND(AR16=0,AR17=0),0,MIN(IF(AR16&lt;=0,0,IF(WEEKDAY(AR$6,1)=1,0,IF(WEEKDAY(AR$6,1)=7,0,MIN(8,AR17)*AR16))),MAX(0,40*MAX(1,AR16)-(AM18+AN18+AO18+AP18+AQ18))))</f>
        <v>0</v>
      </c>
      <c r="AS18" s="64">
        <f>IF(AND(AS16=0,AS17=0),0,MIN(IF(AS16&lt;=0,0,IF(WEEKDAY(AS$6,1)=1,0,IF(WEEKDAY(AS$6,1)=7,0,MIN(8,AS17)*AS16))),MAX(0,40*MAX(1,AS16)-(AM18+AN18+AO18+AP18+AQ18+AR18))))</f>
        <v>0</v>
      </c>
      <c r="AT18" s="63">
        <f>IF(AND(AT16=0,AT17=0),0,MIN(IF(AT16&lt;=0,0,IF(WEEKDAY(AT$6,1)=1,0,IF(WEEKDAY(AT$6,1)=7,0,MIN(8,AT17)*AT16))),MAX(0,40*MAX(1,AT16)-(0))))</f>
        <v>0</v>
      </c>
      <c r="AU18" s="63">
        <f>IF(AND(AU16=0,AU17=0),0,MIN(IF(AU16&lt;=0,0,IF(WEEKDAY(AU$6,1)=1,0,IF(WEEKDAY(AU$6,1)=7,0,MIN(8,AU17)*AU16))),MAX(0,40*MAX(1,AU16)-(AT18))))</f>
        <v>0</v>
      </c>
      <c r="AV18" s="63">
        <f>IF(AND(AV16=0,AV17=0),0,MIN(IF(AV16&lt;=0,0,IF(WEEKDAY(AV$6,1)=1,0,IF(WEEKDAY(AV$6,1)=7,0,MIN(8,AV17)*AV16))),MAX(0,40*MAX(1,AV16)-(AT18+AU18))))</f>
        <v>0</v>
      </c>
      <c r="AW18" s="63">
        <f>IF(AND(AW16=0,AW17=0),0,MIN(IF(AW16&lt;=0,0,IF(WEEKDAY(AW$6,1)=1,0,IF(WEEKDAY(AW$6,1)=7,0,MIN(8,AW17)*AW16))),MAX(0,40*MAX(1,AW16)-(AT18+AU18+AV18))))</f>
        <v>0</v>
      </c>
      <c r="AX18" s="63">
        <f>IF(AND(AX16=0,AX17=0),0,MIN(IF(AX16&lt;=0,0,IF(WEEKDAY(AX$6,1)=1,0,IF(WEEKDAY(AX$6,1)=7,0,MIN(8,AX17)*AX16))),MAX(0,40*MAX(1,AX16)-(AT18+AU18+AV18+AW18))))</f>
        <v>0</v>
      </c>
      <c r="AY18" s="64">
        <f>IF(AND(AY16=0,AY17=0),0,MIN(IF(AY16&lt;=0,0,IF(WEEKDAY(AY$6,1)=1,0,IF(WEEKDAY(AY$6,1)=7,0,MIN(8,AY17)*AY16))),MAX(0,40*MAX(1,AY16)-(AT18+AU18+AV18+AW18+AX18))))</f>
        <v>0</v>
      </c>
      <c r="AZ18" s="64">
        <f>IF(AND(AZ16=0,AZ17=0),0,MIN(IF(AZ16&lt;=0,0,IF(WEEKDAY(AZ$6,1)=1,0,IF(WEEKDAY(AZ$6,1)=7,0,MIN(8,AZ17)*AZ16))),MAX(0,40*MAX(1,AZ16)-(AT18+AU18+AV18+AW18+AX18+AY18))))</f>
        <v>0</v>
      </c>
      <c r="BA18" s="63">
        <f>IF(AND(BA16=0,BA17=0),0,MIN(IF(BA16&lt;=0,0,IF(WEEKDAY(BA$6,1)=1,0,IF(WEEKDAY(BA$6,1)=7,0,MIN(8,BA17)*BA16))),MAX(0,40*MAX(1,BA16)-(0))))</f>
        <v>0</v>
      </c>
      <c r="BB18" s="63">
        <f>IF(AND(BB16=0,BB17=0),0,MIN(IF(BB16&lt;=0,0,IF(WEEKDAY(BB$6,1)=1,0,IF(WEEKDAY(BB$6,1)=7,0,MIN(8,BB17)*BB16))),MAX(0,40*MAX(1,BB16)-(BA18))))</f>
        <v>0</v>
      </c>
      <c r="BC18" s="63">
        <f>IF(AND(BC16=0,BC17=0),0,MIN(IF(BC16&lt;=0,0,IF(WEEKDAY(BC$6,1)=1,0,IF(WEEKDAY(BC$6,1)=7,0,MIN(8,BC17)*BC16))),MAX(0,40*MAX(1,BC16)-(BA18+BB18))))</f>
        <v>0</v>
      </c>
      <c r="BD18" s="63">
        <f>IF(AND(BD16=0,BD17=0),0,MIN(IF(BD16&lt;=0,0,IF(WEEKDAY(BD$6,1)=1,0,IF(WEEKDAY(BD$6,1)=7,0,MIN(8,BD17)*BD16))),MAX(0,40*MAX(1,BD16)-(BA18+BB18+BC18))))</f>
        <v>0</v>
      </c>
      <c r="BE18" s="63">
        <f>IF(AND(BE16=0,BE17=0),0,MIN(IF(BE16&lt;=0,0,IF(WEEKDAY(BE$6,1)=1,0,IF(WEEKDAY(BE$6,1)=7,0,MIN(8,BE17)*BE16))),MAX(0,40*MAX(1,BE16)-(BA18+BB18+BC18+BD18))))</f>
        <v>0</v>
      </c>
      <c r="BF18" s="64">
        <f>IF(AND(BF16=0,BF17=0),0,MIN(IF(BF16&lt;=0,0,IF(WEEKDAY(BF$6,1)=1,0,IF(WEEKDAY(BF$6,1)=7,0,MIN(8,BF17)*BF16))),MAX(0,40*MAX(1,BF16)-(BA18+BB18+BC18+BD18+BE18))))</f>
        <v>0</v>
      </c>
      <c r="BG18" s="64">
        <f>IF(AND(BG16=0,BG17=0),0,MIN(IF(BG16&lt;=0,0,IF(WEEKDAY(BG$6,1)=1,0,IF(WEEKDAY(BG$6,1)=7,0,MIN(8,BG17)*BG16))),MAX(0,40*MAX(1,BG16)-(BA18+BB18+BC18+BD18+BE18+BF18))))</f>
        <v>0</v>
      </c>
      <c r="BH18" s="63">
        <f>IF(AND(BH16=1,BH17=12),8,MIN(IF(BH16&lt;=0,0,IF(WEEKDAY(BH$6,1)=1,0,IF(WEEKDAY(BH$6,1)=7,0,MIN(8,BH17)*BH16))),MAX(0,40*MAX(1,BH16)-(0))))</f>
        <v>8</v>
      </c>
      <c r="BI18" s="63">
        <f>IF(AND(BI16=1,BI17=12),8,MIN(IF(BI16&lt;=0,0,IF(WEEKDAY(BI$6,1)=1,0,IF(WEEKDAY(BI$6,1)=7,0,MIN(8,BI17)*BI16))),MAX(0,40*MAX(1,BI16)-(BH18))))</f>
        <v>8</v>
      </c>
      <c r="BJ18" s="63">
        <f>IF(AND(BJ16=1,BJ17=12),8,MIN(IF(BJ16&lt;=0,0,IF(WEEKDAY(BJ$6,1)=1,0,IF(WEEKDAY(BJ$6,1)=7,0,MIN(8,BJ17)*BJ16))),MAX(0,40*MAX(1,BJ16)-(BH18+BI18))))</f>
        <v>8</v>
      </c>
      <c r="BK18" s="63">
        <f>IF(AND(BK16=1,BK17=12),8,MIN(IF(BK16&lt;=0,0,IF(WEEKDAY(BK$6,1)=1,0,IF(WEEKDAY(BK$6,1)=7,0,MIN(8,BK17)*BK16))),MAX(0,40*MAX(1,BK16)-(BH18+BI18+BJ18))))</f>
        <v>8</v>
      </c>
      <c r="BL18" s="63">
        <f>IF(AND(BL16=1,BL17=12),8,MIN(IF(BL16&lt;=0,0,IF(WEEKDAY(BL$6,1)=1,0,IF(WEEKDAY(BL$6,1)=7,0,MIN(8,BL17)*BL16))),MAX(0,40*MAX(1,BL16)-(BH18+BI18+BJ18+BK18))))</f>
        <v>8</v>
      </c>
      <c r="BM18" s="64">
        <f>IF(AND(BM16=1,BM17=12),0,MIN(IF(BM16&lt;=0,0,IF(WEEKDAY(BM$6,1)=1,0,IF(WEEKDAY(BM$6,1)=7,0,MIN(8,BM17)*BM16))),MAX(0,40*MAX(1,BM16)-(BH18+BI18+BJ18+BK18+BL18))))</f>
        <v>0</v>
      </c>
      <c r="BN18" s="64">
        <f>IF(AND(BN16=1,BN17=12),0,MIN(IF(BN16&lt;=0,0,IF(WEEKDAY(BN$6,1)=1,0,IF(WEEKDAY(BN$6,1)=7,0,MIN(8,BN17)*BN16))),MAX(0,40*MAX(1,BN16)-(BH18+BI18+BJ18+BK18+BL18+BM18))))</f>
        <v>0</v>
      </c>
      <c r="BO18" s="63">
        <f>IF(AND(BO16=1,BO17=12),8,MIN(IF(BO16&lt;=0,0,IF(WEEKDAY(BO$6,1)=1,0,IF(WEEKDAY(BO$6,1)=7,0,MIN(8,BO17)*BO16))),MAX(0,40*MAX(1,BO16)-(0))))</f>
        <v>8</v>
      </c>
      <c r="BP18" s="63">
        <f>IF(AND(BP16=1,BP17=12),8,MIN(IF(BP16&lt;=0,0,IF(WEEKDAY(BP$6,1)=1,0,IF(WEEKDAY(BP$6,1)=7,0,MIN(8,BP17)*BP16))),MAX(0,40*MAX(1,BP16)-(BO18))))</f>
        <v>8</v>
      </c>
      <c r="BQ18" s="63">
        <f>IF(AND(BQ16=1,BQ17=12),8,MIN(IF(BQ16&lt;=0,0,IF(WEEKDAY(BQ$6,1)=1,0,IF(WEEKDAY(BQ$6,1)=7,0,MIN(8,BQ17)*BQ16))),MAX(0,40*MAX(1,BQ16)-(BO18+BP18))))</f>
        <v>8</v>
      </c>
      <c r="BR18" s="63">
        <f>IF(AND(BR16=1,BR17=12),8,MIN(IF(BR16&lt;=0,0,IF(WEEKDAY(BR$6,1)=1,0,IF(WEEKDAY(BR$6,1)=7,0,MIN(8,BR17)*BR16))),MAX(0,40*MAX(1,BR16)-(0))))</f>
        <v>8</v>
      </c>
      <c r="BS18" s="63">
        <f>IF(AND(BS16=1,BS17=12),8,MIN(IF(BS16&lt;=0,0,IF(WEEKDAY(BS$6,1)=1,0,IF(WEEKDAY(BS$6,1)=7,0,MIN(8,BS17)*BS16))),MAX(0,40*MAX(1,BS16)-(BR18))))</f>
        <v>8</v>
      </c>
      <c r="BT18" s="64">
        <f>IF(AND(BT16=1,BT17=12),0,MIN(IF(BT16&lt;=0,0,IF(WEEKDAY(BT$6,1)=1,0,IF(WEEKDAY(BT$6,1)=7,0,MIN(8,BT17)*BT16))),MAX(0,40*MAX(1,BT16)-(BR18+BS18))))</f>
        <v>0</v>
      </c>
      <c r="BU18" s="64">
        <f>IF(AND(BU16=1,BU17=12),0,MIN(IF(BU16&lt;=0,0,IF(WEEKDAY(BU$6,1)=1,0,IF(WEEKDAY(BU$6,1)=7,0,MIN(8,BU17)*BU16))),MAX(0,40*MAX(1,BU16)-(BR18+BS18+BT18))))</f>
        <v>0</v>
      </c>
      <c r="BV18" s="63">
        <f>IF(AND(BV16=1,BV17=12),8,MIN(IF(BV16&lt;=0,0,IF(WEEKDAY(BV$6,1)=1,0,IF(WEEKDAY(BV$6,1)=7,0,MIN(8,BV17)*BV16))),MAX(0,40*MAX(1,BV16)-(0))))</f>
        <v>8</v>
      </c>
      <c r="BW18" s="63">
        <f>IF(AND(BW16=1,BW17=12),8,MIN(IF(BW16&lt;=0,0,IF(WEEKDAY(BW$6,1)=1,0,IF(WEEKDAY(BW$6,1)=7,0,MIN(8,BW17)*BW16))),MAX(0,40*MAX(1,BW16)-(BV18))))</f>
        <v>8</v>
      </c>
      <c r="BX18" s="63">
        <f>IF(AND(BX16=1,BX17=12),8,MIN(IF(BX16&lt;=0,0,IF(WEEKDAY(BX$6,1)=1,0,IF(WEEKDAY(BX$6,1)=7,0,MIN(8,BX17)*BX16))),MAX(0,40*MAX(1,BX16)-(BV18+BW18))))</f>
        <v>8</v>
      </c>
      <c r="BY18" s="63">
        <f>IF(AND(BY16=1,BY17=12),8,MIN(IF(BY16&lt;=0,0,IF(WEEKDAY(BY$6,1)=1,0,IF(WEEKDAY(BY$6,1)=7,0,MIN(8,BY17)*BY16))),MAX(0,40*MAX(1,BY16)-(BV18+BW18+BX18))))</f>
        <v>8</v>
      </c>
      <c r="BZ18" s="63">
        <f>IF(AND(BZ16=1,BZ17=12),8,MIN(IF(BZ16&lt;=0,0,IF(WEEKDAY(BZ$6,1)=1,0,IF(WEEKDAY(BZ$6,1)=7,0,MIN(8,BZ17)*BZ16))),MAX(0,40*MAX(1,BZ16)-(BV18+BW18+BX18+BY18))))</f>
        <v>8</v>
      </c>
      <c r="CA18" s="64">
        <f>IF(AND(CA16=1,CA17=12),0,MIN(IF(CA16&lt;=0,0,IF(WEEKDAY(CA$6,1)=1,0,IF(WEEKDAY(CA$6,1)=7,0,MIN(8,CA17)*CA16))),MAX(0,40*MAX(1,CA16)-(BV18+BW18+BX18+BY18+BZ18))))</f>
        <v>0</v>
      </c>
      <c r="CB18" s="64">
        <f>IF(AND(CB16=1,CB17=12),0,MIN(IF(CB16&lt;=0,0,IF(WEEKDAY(CB$6,1)=1,0,IF(WEEKDAY(CB$6,1)=7,0,MIN(8,CB17)*CB16))),MAX(0,40*MAX(1,CB16)-(BV18+BW18+BX18+BY18+BZ18+CA18))))</f>
        <v>0</v>
      </c>
      <c r="CC18" s="63">
        <f>IF(AND(CC16=1,CC17=12),8,MIN(IF(CC16&lt;=0,0,IF(WEEKDAY(CC$6,1)=1,0,IF(WEEKDAY(CC$6,1)=7,0,MIN(8,CC17)*CC16))),MAX(0,40*MAX(1,CC16)-(0))))</f>
        <v>8</v>
      </c>
      <c r="CD18" s="63">
        <f>IF(AND(CD16=1,CD17=12),8,MIN(IF(CD16&lt;=0,0,IF(WEEKDAY(CD$6,1)=1,0,IF(WEEKDAY(CD$6,1)=7,0,MIN(8,CD17)*CD16))),MAX(0,40*MAX(1,CD16)-(CC18))))</f>
        <v>8</v>
      </c>
      <c r="CE18" s="63">
        <f>IF(AND(CE16=1,CE17=12),8,MIN(IF(CE16&lt;=0,0,IF(WEEKDAY(CE$6,1)=1,0,IF(WEEKDAY(CE$6,1)=7,0,MIN(8,CE17)*CE16))),MAX(0,40*MAX(1,CE16)-(CC18+CD18))))</f>
        <v>8</v>
      </c>
      <c r="CF18" s="63">
        <f>IF(AND(CF16=1,CF17=12),8,MIN(IF(CF16&lt;=0,0,IF(WEEKDAY(CF$6,1)=1,0,IF(WEEKDAY(CF$6,1)=7,0,MIN(8,CF17)*CF16))),MAX(0,40*MAX(1,CF16)-(CC18+CD18+CE18))))</f>
        <v>8</v>
      </c>
      <c r="CG18" s="63">
        <f>IF(AND(CG16=1,CG17=12),8,MIN(IF(CG16&lt;=0,0,IF(WEEKDAY(CG$6,1)=1,0,IF(WEEKDAY(CG$6,1)=7,0,MIN(8,CG17)*CG16))),MAX(0,40*MAX(1,CG16)-(CC18+CD18+CE18+CF18))))</f>
        <v>8</v>
      </c>
      <c r="CH18" s="64">
        <f>IF(AND(CH16=1,CH17=12),0,MIN(IF(CH16&lt;=0,0,IF(WEEKDAY(CH$6,1)=1,0,IF(WEEKDAY(CH$6,1)=7,0,MIN(8,CH17)*CH16))),MAX(0,40*MAX(1,CH16)-(CC18+CD18+CE18+CF18+CG18))))</f>
        <v>0</v>
      </c>
      <c r="CI18" s="64">
        <f>IF(AND(CI16=1,CI17=12),0,MIN(IF(CI16&lt;=0,0,IF(WEEKDAY(CI$6,1)=1,0,IF(WEEKDAY(CI$6,1)=7,0,MIN(8,CI17)*CI16))),MAX(0,40*MAX(1,CI16)-(CC18+CD18+CE18+CF18+CG18+CH18))))</f>
        <v>0</v>
      </c>
      <c r="CJ18" s="63">
        <f>IF(AND(CJ16=1,CJ17=12),8,MIN(IF(CJ16&lt;=0,0,IF(WEEKDAY(CJ$6,1)=1,0,IF(WEEKDAY(CJ$6,1)=7,0,MIN(8,CJ17)*CJ16))),MAX(0,40*MAX(1,CJ16)-(0))))</f>
        <v>8</v>
      </c>
      <c r="CK18" s="63">
        <f>IF(AND(CK16=1,CK17=12),8,MIN(IF(CK16&lt;=0,0,IF(WEEKDAY(CK$6,1)=1,0,IF(WEEKDAY(CK$6,1)=7,0,MIN(8,CK17)*CK16))),MAX(0,40*MAX(1,CK16)-(CJ18))))</f>
        <v>8</v>
      </c>
      <c r="CL18" s="63">
        <f>IF(AND(CL16=1,CL17=12),8,MIN(IF(CL16&lt;=0,0,IF(WEEKDAY(CL$6,1)=1,0,IF(WEEKDAY(CL$6,1)=7,0,MIN(8,CL17)*CL16))),MAX(0,40*MAX(1,CL16)-(CJ18+CK18))))</f>
        <v>8</v>
      </c>
      <c r="CM18" s="63">
        <f>IF(AND(CM16=1,CM17=12),8,MIN(IF(CM16&lt;=0,0,IF(WEEKDAY(CM$6,1)=1,0,IF(WEEKDAY(CM$6,1)=7,0,MIN(8,CM17)*CM16))),MAX(0,40*MAX(1,CM16)-(CJ18+CK18+CL18))))</f>
        <v>8</v>
      </c>
      <c r="CN18" s="63">
        <f>IF(AND(CN16=1,CN17=12),8,MIN(IF(CN16&lt;=0,0,IF(WEEKDAY(CN$6,1)=1,0,IF(WEEKDAY(CN$6,1)=7,0,MIN(8,CN17)*CN16))),MAX(0,40*MAX(1,CN16)-(CJ18+CK18+CL18+CM18))))</f>
        <v>8</v>
      </c>
      <c r="CO18" s="64">
        <f>IF(AND(CO16=1,CO17=12),0,MIN(IF(CO16&lt;=0,0,IF(WEEKDAY(CO$6,1)=1,0,IF(WEEKDAY(CO$6,1)=7,0,MIN(8,CO17)*CO16))),MAX(0,40*MAX(1,CO16)-(CJ18+CK18+CL18+CM18+CN18))))</f>
        <v>0</v>
      </c>
      <c r="CP18" s="64">
        <f>IF(AND(CP16=1,CP17=12),0,MIN(IF(CP16&lt;=0,0,IF(WEEKDAY(CP$6,1)=1,0,IF(WEEKDAY(CP$6,1)=7,0,MIN(8,CP17)*CP16))),MAX(0,40*MAX(1,CP16)-(CJ18+CK18+CL18+CM18+CN18+CO18))))</f>
        <v>0</v>
      </c>
      <c r="CQ18" s="63">
        <f>IF(AND(CQ16=1,CQ17=12),8,MIN(IF(CQ16&lt;=0,0,IF(WEEKDAY(CQ$6,1)=1,0,IF(WEEKDAY(CQ$6,1)=7,0,MIN(8,CQ17)*CQ16))),MAX(0,40*MAX(1,CQ16)-(0))))</f>
        <v>8</v>
      </c>
      <c r="CR18" s="63">
        <f>IF(AND(CR16=1,CR17=12),8,MIN(IF(CR16&lt;=0,0,IF(WEEKDAY(CR$6,1)=1,0,IF(WEEKDAY(CR$6,1)=7,0,MIN(8,CR17)*CR16))),MAX(0,40*MAX(1,CR16)-(CQ18))))</f>
        <v>8</v>
      </c>
      <c r="CS18" s="63">
        <f>IF(AND(CS16=1,CS17=12),8,MIN(IF(CS16&lt;=0,0,IF(WEEKDAY(CS$6,1)=1,0,IF(WEEKDAY(CS$6,1)=7,0,MIN(8,CS17)*CS16))),MAX(0,40*MAX(1,CS16)-(CQ18+CR18))))</f>
        <v>8</v>
      </c>
      <c r="CT18" s="63">
        <f>IF(AND(CT16=1,CT17=12),8,MIN(IF(CT16&lt;=0,0,IF(WEEKDAY(CT$6,1)=1,0,IF(WEEKDAY(CT$6,1)=7,0,MIN(8,CT17)*CT16))),MAX(0,40*MAX(1,CT16)-(CQ18+CR18+CS18))))</f>
        <v>8</v>
      </c>
      <c r="CU18" s="63">
        <f>IF(AND(CU16=1,CU17=12),8,MIN(IF(CU16&lt;=0,0,IF(WEEKDAY(CU$6,1)=1,0,IF(WEEKDAY(CU$6,1)=7,0,MIN(8,CU17)*CU16))),MAX(0,40*MAX(1,CU16)-(CQ18+CR18+CS18+CT18))))</f>
        <v>8</v>
      </c>
      <c r="CV18" s="64">
        <f>IF(AND(CV16=1,CV17=12),0,MIN(IF(CV16&lt;=0,0,IF(WEEKDAY(CV$6,1)=1,0,IF(WEEKDAY(CV$6,1)=7,0,MIN(8,CV17)*CV16))),MAX(0,40*MAX(1,CV16)-(CQ18+CR18+CS18+CT18+CU18))))</f>
        <v>0</v>
      </c>
      <c r="CW18" s="64">
        <f>IF(AND(CW16=1,CW17=12),0,MIN(IF(CW16&lt;=0,0,IF(WEEKDAY(CW$6,1)=1,0,IF(WEEKDAY(CW$6,1)=7,0,MIN(8,CW17)*CW16))),MAX(0,40*MAX(1,CW16)-(CQ18+CR18+CS18+CT18+CU18+CV18))))</f>
        <v>0</v>
      </c>
      <c r="CX18" s="63">
        <f>IF(AND(CX16=1,CX17=12),8,MIN(IF(CX16&lt;=0,0,IF(WEEKDAY(CX$6,1)=1,0,IF(WEEKDAY(CX$6,1)=7,0,MIN(8,CX17)*CX16))),MAX(0,40*MAX(1,CX16)-(0))))</f>
        <v>8</v>
      </c>
      <c r="CY18" s="63">
        <f>IF(AND(CY16=1,CY17=12),8,MIN(IF(CY16&lt;=0,0,IF(WEEKDAY(CY$6,1)=1,0,IF(WEEKDAY(CY$6,1)=7,0,MIN(8,CY17)*CY16))),MAX(0,40*MAX(1,CY16)-(CX18))))</f>
        <v>8</v>
      </c>
      <c r="CZ18" s="63">
        <f>IF(AND(CZ16=1,CZ17=12),8,MIN(IF(CZ16&lt;=0,0,IF(WEEKDAY(CZ$6,1)=1,0,IF(WEEKDAY(CZ$6,1)=7,0,MIN(8,CZ17)*CZ16))),MAX(0,40*MAX(1,CZ16)-(CX18+CY18))))</f>
        <v>8</v>
      </c>
      <c r="DA18" s="63">
        <f>IF(AND(DA16=1,DA17=12),8,MIN(IF(DA16&lt;=0,0,IF(WEEKDAY(DA$6,1)=1,0,IF(WEEKDAY(DA$6,1)=7,0,MIN(8,DA17)*DA16))),MAX(0,40*MAX(1,DA16)-(CX18+CY18+CZ18))))</f>
        <v>8</v>
      </c>
      <c r="DB18" s="63">
        <f>IF(AND(DB16=1,DB17=12),8,MIN(IF(DB16&lt;=0,0,IF(WEEKDAY(DB$6,1)=1,0,IF(WEEKDAY(DB$6,1)=7,0,MIN(8,DB17)*DB16))),MAX(0,40*MAX(1,DB16)-(CX18+CY18+CZ18+DA18))))</f>
        <v>8</v>
      </c>
      <c r="DC18" s="64">
        <f>IF(AND(DC16=1,DC17=12),0,MIN(IF(DC16&lt;=0,0,IF(WEEKDAY(DC$6,1)=1,0,IF(WEEKDAY(DC$6,1)=7,0,MIN(8,DC17)*DC16))),MAX(0,40*MAX(1,DC16)-(CX18+CY18+CZ18+DA18+DB18))))</f>
        <v>0</v>
      </c>
      <c r="DD18" s="64">
        <f>IF(AND(DD16=1,DD17=12),0,MIN(IF(DD16&lt;=0,0,IF(WEEKDAY(DD$6,1)=1,0,IF(WEEKDAY(DD$6,1)=7,0,MIN(8,DD17)*DD16))),MAX(0,40*MAX(1,DD16)-(0))))</f>
        <v>0</v>
      </c>
      <c r="DE18" s="63">
        <f>IF(AND(DE16=1,DE17=12),8,MIN(IF(DE16&lt;=0,0,IF(WEEKDAY(DE$6,1)=1,0,IF(WEEKDAY(DE$6,1)=7,0,MIN(8,DE17)*DE16))),MAX(0,40*MAX(1,DE16)-(0))))</f>
        <v>8</v>
      </c>
      <c r="DF18" s="63">
        <f>IF(AND(DF16=1,DF17=12),8,MIN(IF(DF16&lt;=0,0,IF(WEEKDAY(DF$6,1)=1,0,IF(WEEKDAY(DF$6,1)=7,0,MIN(8,DF17)*DF16))),MAX(0,40*MAX(1,DF16)-(DE18))))</f>
        <v>8</v>
      </c>
      <c r="DG18" s="63">
        <f>IF(AND(DG16=1,DG17=12),8,MIN(IF(DG16&lt;=0,0,IF(WEEKDAY(DG$6,1)=1,0,IF(WEEKDAY(DG$6,1)=7,0,MIN(8,DG17)*DG16))),MAX(0,40*MAX(1,DG16)-(DE18+DF18))))</f>
        <v>8</v>
      </c>
      <c r="DH18" s="63">
        <f>IF(AND(DH16=1,DH17=12),8,MIN(IF(DH16&lt;=0,0,IF(WEEKDAY(DH$6,1)=1,0,IF(WEEKDAY(DH$6,1)=7,0,MIN(8,DH17)*DH16))),MAX(0,40*MAX(1,DH16)-(DE18+DF18+DG18))))</f>
        <v>8</v>
      </c>
      <c r="DI18" s="63">
        <f>IF(AND(DI16=1,DI17=12),8,MIN(IF(DI16&lt;=0,0,IF(WEEKDAY(DI$6,1)=1,0,IF(WEEKDAY(DI$6,1)=7,0,MIN(8,DI17)*DI16))),MAX(0,40*MAX(1,DI16)-(DE18+DF18+DG18+DH18))))</f>
        <v>8</v>
      </c>
      <c r="DJ18" s="64">
        <f>IF(AND(DJ16=1,DJ17=12),0,MIN(IF(DJ16&lt;=0,0,IF(WEEKDAY(DJ$6,1)=1,0,IF(WEEKDAY(DJ$6,1)=7,0,MIN(8,DJ17)*DJ16))),MAX(0,40*MAX(1,DJ16)-(DE18+DF18+DG18+DH18+DI18))))</f>
        <v>0</v>
      </c>
      <c r="DK18" s="64">
        <f>IF(AND(DK16=1,DK17=12),0,MIN(IF(DK16&lt;=0,0,IF(WEEKDAY(DK$6,1)=1,0,IF(WEEKDAY(DK$6,1)=7,0,MIN(8,DK17)*DK16))),MAX(0,40*MAX(1,DK16)-(DE18+DF18+DG18+DH18+DI18+DJ18))))</f>
        <v>0</v>
      </c>
      <c r="DL18" s="63">
        <f>IF(AND(DL16=1,DL17=12),8,MIN(IF(DL16&lt;=0,0,IF(WEEKDAY(DL$6,1)=1,0,IF(WEEKDAY(DL$6,1)=7,0,MIN(8,DL17)*DL16))),MAX(0,40*MAX(1,DL16)-(0))))</f>
        <v>8</v>
      </c>
      <c r="DM18" s="63">
        <f>IF(AND(DM16=1,DM17=12),8,MIN(IF(DM16&lt;=0,0,IF(WEEKDAY(DM$6,1)=1,0,IF(WEEKDAY(DM$6,1)=7,0,MIN(8,DM17)*DM16))),MAX(0,40*MAX(1,DM16)-(DL18))))</f>
        <v>8</v>
      </c>
      <c r="DN18" s="63">
        <f>IF(AND(DN16=1,DN17=12),8,MIN(IF(DN16&lt;=0,0,IF(WEEKDAY(DN$6,1)=1,0,IF(WEEKDAY(DN$6,1)=7,0,MIN(8,DN17)*DN16))),MAX(0,40*MAX(1,DN16)-(DL18+DM18))))</f>
        <v>8</v>
      </c>
      <c r="DO18" s="63">
        <f>IF(AND(DO16=1,DO17=12),8,MIN(IF(DO16&lt;=0,0,IF(WEEKDAY(DO$6,1)=1,0,IF(WEEKDAY(DO$6,1)=7,0,MIN(8,DO17)*DO16))),MAX(0,40*MAX(1,DO16)-(DL18+DM18+DN18))))</f>
        <v>8</v>
      </c>
      <c r="DP18" s="63">
        <f>IF(AND(DP16=1,DP17=12),8,MIN(IF(DP16&lt;=0,0,IF(WEEKDAY(DP$6,1)=1,0,IF(WEEKDAY(DP$6,1)=7,0,MIN(8,DP17)*DP16))),MAX(0,40*MAX(1,DP16)-(DL18+DM18+DN18+DO18))))</f>
        <v>8</v>
      </c>
      <c r="DQ18" s="64">
        <f>IF(AND(DQ16=1,DQ17=12),0,MIN(IF(DQ16&lt;=0,0,IF(WEEKDAY(DQ$6,1)=1,0,IF(WEEKDAY(DQ$6,1)=7,0,MIN(8,DQ17)*DQ16))),MAX(0,40*MAX(1,DQ16)-(DL18+DM18+DN18+DO18+DP18))))</f>
        <v>0</v>
      </c>
      <c r="DR18" s="64">
        <f>IF(AND(DR16=1,DR17=12),0,MIN(IF(DR16&lt;=0,0,IF(WEEKDAY(DR$6,1)=1,0,IF(WEEKDAY(DR$6,1)=7,0,MIN(8,DR17)*DR16))),MAX(0,40*MAX(1,DR16)-(DL18+DM18+DN18+DO18+DP18+DQ18))))</f>
        <v>0</v>
      </c>
      <c r="DS18" s="63">
        <f>IF(AND(DS16=1,DS17=12),8,MIN(IF(DS16&lt;=0,0,IF(WEEKDAY(DS$6,1)=1,0,IF(WEEKDAY(DS$6,1)=7,0,MIN(8,DS17)*DS16))),MAX(0,40*MAX(1,DS16)-(0))))</f>
        <v>8</v>
      </c>
      <c r="DT18" s="63">
        <f>IF(AND(DT16=0,DT17=0),0,MIN(IF(DT16&lt;=0,0,IF(WEEKDAY(DT$6,1)=1,0,IF(WEEKDAY(DT$6,1)=7,0,MIN(8,DT17)*DT16))),MAX(0,40*MAX(1,DT16)-(0))))</f>
        <v>0</v>
      </c>
      <c r="DU18" s="63">
        <f>IF(AND(DU16=0,DU17=0),0,MIN(IF(DU16&lt;=0,0,IF(WEEKDAY(DU$6,1)=1,0,IF(WEEKDAY(DU$6,1)=7,0,MIN(8,DU17)*DU16))),MAX(0,40*MAX(1,DU16)-(DT18))))</f>
        <v>0</v>
      </c>
      <c r="DV18" s="63">
        <f>IF(AND(DV16=0,DV17=0),0,MIN(IF(DV16&lt;=0,0,IF(WEEKDAY(DV$6,1)=1,0,IF(WEEKDAY(DV$6,1)=7,0,MIN(8,DV17)*DV16))),MAX(0,40*MAX(1,DV16)-(DT18+DU18))))</f>
        <v>0</v>
      </c>
      <c r="DW18" s="63">
        <f>IF(AND(DW16=0,DW17=0),0,MIN(IF(DW16&lt;=0,0,IF(WEEKDAY(DW$6,1)=1,0,IF(WEEKDAY(DW$6,1)=7,0,MIN(8,DW17)*DW16))),MAX(0,40*MAX(1,DW16)-(DT18+DU18+DV18))))</f>
        <v>0</v>
      </c>
      <c r="DX18" s="64">
        <f>IF(AND(DX16=0,DX17=0),0,MIN(IF(DX16&lt;=0,0,IF(WEEKDAY(DX$6,1)=1,0,IF(WEEKDAY(DX$6,1)=7,0,MIN(8,DX17)*DX16))),MAX(0,40*MAX(1,DX16)-(DT18+DU18+DV18+DW18))))</f>
        <v>0</v>
      </c>
      <c r="DY18" s="64">
        <f>IF(AND(DY16=0,DY17=0),0,MIN(IF(DY16&lt;=0,0,IF(WEEKDAY(DY$6,1)=1,0,IF(WEEKDAY(DY$6,1)=7,0,MIN(8,DY17)*DY16))),MAX(0,40*MAX(1,DY16)-(DT18+DU18+DV18+DW18+DX18))))</f>
        <v>0</v>
      </c>
      <c r="DZ18" s="63">
        <f>IF(AND(DZ16=0,DZ17=0),0,MIN(IF(DZ16&lt;=0,0,IF(WEEKDAY(DZ$6,1)=1,0,IF(WEEKDAY(DZ$6,1)=7,0,MIN(8,DZ17)*DZ16))),MAX(0,40*MAX(1,DZ16)-(0))))</f>
        <v>0</v>
      </c>
      <c r="EA18" s="63">
        <f>IF(AND(EA16=0,EA17=0),0,MIN(IF(EA16&lt;=0,0,IF(WEEKDAY(EA$6,1)=1,0,IF(WEEKDAY(EA$6,1)=7,0,MIN(8,EA17)*EA16))),MAX(0,40*MAX(1,EA16)-(DZ18))))</f>
        <v>0</v>
      </c>
      <c r="EB18" s="63">
        <f>IF(AND(EB16=0,EB17=0),0,MIN(IF(EB16&lt;=0,0,IF(WEEKDAY(EB$6,1)=1,0,IF(WEEKDAY(EB$6,1)=7,0,MIN(8,EB17)*EB16))),MAX(0,40*MAX(1,EB16)-(DZ18+EA18))))</f>
        <v>0</v>
      </c>
      <c r="EC18" s="63">
        <f>IF(AND(EC16=0,EC17=0),0,MIN(IF(EC16&lt;=0,0,IF(WEEKDAY(EC$6,1)=1,0,IF(WEEKDAY(EC$6,1)=7,0,MIN(8,EC17)*EC16))),MAX(0,40*MAX(1,EC16)-(DZ18+EA18+EB18))))</f>
        <v>0</v>
      </c>
      <c r="ED18" s="63">
        <f>IF(AND(ED16=0,ED17=0),0,MIN(IF(ED16&lt;=0,0,IF(WEEKDAY(ED$6,1)=1,0,IF(WEEKDAY(ED$6,1)=7,0,MIN(8,ED17)*ED16))),MAX(0,40*MAX(1,ED16)-(DZ18+EA18+EB18+EC18))))</f>
        <v>0</v>
      </c>
      <c r="EE18" s="64">
        <f>IF(AND(EE16=0,EE17=0),0,MIN(IF(EE16&lt;=0,0,IF(WEEKDAY(EE$6,1)=1,0,IF(WEEKDAY(EE$6,1)=7,0,MIN(8,EE17)*EE16))),MAX(0,40*MAX(1,EE16)-(DZ18+EA18+EB18+EC18+ED18))))</f>
        <v>0</v>
      </c>
      <c r="EF18" s="64">
        <f>IF(AND(EF16=0,EF17=0),0,MIN(IF(EF16&lt;=0,0,IF(WEEKDAY(EF$6,1)=1,0,IF(WEEKDAY(EF$6,1)=7,0,MIN(8,EF17)*EF16))),MAX(0,40*MAX(1,EF16)-(DZ18+EA18+EB18+EC18+ED18+EE18))))</f>
        <v>0</v>
      </c>
      <c r="EG18" s="63">
        <f>IF(AND(EG16=0,EG17=0),0,MIN(IF(EG16&lt;=0,0,IF(WEEKDAY(EG$6,1)=1,0,IF(WEEKDAY(EG$6,1)=7,0,MIN(8,EG17)*EG16))),MAX(0,40*MAX(1,EG16)-(0))))</f>
        <v>0</v>
      </c>
      <c r="EH18" s="63">
        <f>IF(AND(EH16=0,EH17=0),0,MIN(IF(EH16&lt;=0,0,IF(WEEKDAY(EH$6,1)=1,0,IF(WEEKDAY(EH$6,1)=7,0,MIN(8,EH17)*EH16))),MAX(0,40*MAX(1,EH16)-(EG18))))</f>
        <v>0</v>
      </c>
      <c r="EI18" s="63">
        <f>IF(AND(EI16=0,EI17=0),0,MIN(IF(EI16&lt;=0,0,IF(WEEKDAY(EI$6,1)=1,0,IF(WEEKDAY(EI$6,1)=7,0,MIN(8,EI17)*EI16))),MAX(0,40*MAX(1,EI16)-(EG18+EH18))))</f>
        <v>0</v>
      </c>
      <c r="EJ18" s="63">
        <f>IF(AND(EJ16=0,EJ17=0),0,MIN(IF(EJ16&lt;=0,0,IF(WEEKDAY(EJ$6,1)=1,0,IF(WEEKDAY(EJ$6,1)=7,0,MIN(8,EJ17)*EJ16))),MAX(0,40*MAX(1,EJ16)-(EG18+EH18+EI18))))</f>
        <v>0</v>
      </c>
      <c r="EK18" s="65">
        <f>IF(AND(EK16=0,EK17=0),0,MIN(IF(EK16&lt;=0,0,IF(WEEKDAY(EK$6,1)=1,0,IF(WEEKDAY(EK$6,1)=7,0,MIN(8,EK17)*EK16))),MAX(0,40*MAX(1,EK16)-(EG18+EH18+EI18+EJ18))))</f>
        <v>0</v>
      </c>
      <c r="OU18" s="28" t="s">
        <v>120</v>
      </c>
    </row>
    <row r="19" ht="16" customHeight="1" spans="1:411" x14ac:dyDescent="0.25">
      <c r="A19" s="74"/>
      <c r="B19" s="79" t="s">
        <v>114</v>
      </c>
      <c r="C19" s="66">
        <f>G15*N(D19)</f>
        <v>40497.479999999996</v>
      </c>
      <c r="D19" s="66">
        <f>IF(TRIM(IF(TRIM(B19)&lt;&gt;"",B19,B15))="","No rate",IFERROR(INDEX('Rate Tables'!D$7:D$158,MATCH(IF(TRIM(B19)&lt;&gt;"",B19,B15),'Rate Tables'!A$7:A$158,0)),"No rate"))</f>
        <v>138.69</v>
      </c>
      <c r="E19" s="55" t="s">
        <v>63</v>
      </c>
      <c r="F19" s="49"/>
      <c r="G19" s="49"/>
      <c r="H19" s="49"/>
      <c r="I19" s="49"/>
      <c r="J19" s="50"/>
      <c r="K19" s="62">
        <f>IF(AND(K16=0,K17=0),0,IF(K16&lt;=0,0,IF(WEEKDAY(K$6,1)=1,0,IF(WEEKDAY(K$6,1)=7,K16*K17,MAX(0,K17-8)*K16)))+((IF(K16&lt;=0,0,IF(WEEKDAY(K$6,1)=1,0,IF(WEEKDAY(K$6,1)=7,0,MIN(8,K17)*K16))))-MIN(IF(K16&lt;=0,0,IF(WEEKDAY(K$6,1)=1,0,IF(WEEKDAY(K$6,1)=7,0,MIN(8,K17)*K16))),MAX(0,40*MAX(1,K16)-(0)))))</f>
        <v>0</v>
      </c>
      <c r="L19" s="63">
        <f>IF(AND(L16=0,L17=0),0,IF(L16&lt;=0,0,IF(WEEKDAY(L$6,1)=1,0,IF(WEEKDAY(L$6,1)=7,L16*L17,MAX(0,L17-8)*L16)))+((IF(L16&lt;=0,0,IF(WEEKDAY(L$6,1)=1,0,IF(WEEKDAY(L$6,1)=7,0,MIN(8,L17)*L16))))-MIN(IF(L16&lt;=0,0,IF(WEEKDAY(L$6,1)=1,0,IF(WEEKDAY(L$6,1)=7,0,MIN(8,L17)*L16))),MAX(0,40*MAX(1,L16)-(K18)))))</f>
        <v>0</v>
      </c>
      <c r="M19" s="63">
        <f>IF(AND(M16=0,M17=0),0,IF(M16&lt;=0,0,IF(WEEKDAY(M$6,1)=1,0,IF(WEEKDAY(M$6,1)=7,M16*M17,MAX(0,M17-8)*M16)))+((IF(M16&lt;=0,0,IF(WEEKDAY(M$6,1)=1,0,IF(WEEKDAY(M$6,1)=7,0,MIN(8,M17)*M16))))-MIN(IF(M16&lt;=0,0,IF(WEEKDAY(M$6,1)=1,0,IF(WEEKDAY(M$6,1)=7,0,MIN(8,M17)*M16))),MAX(0,40*MAX(1,M16)-(K18+L18)))))</f>
        <v>0</v>
      </c>
      <c r="N19" s="63">
        <f>IF(AND(N16=0,N17=0),0,IF(N16&lt;=0,0,IF(WEEKDAY(N$6,1)=1,0,IF(WEEKDAY(N$6,1)=7,N16*N17,MAX(0,N17-8)*N16)))+((IF(N16&lt;=0,0,IF(WEEKDAY(N$6,1)=1,0,IF(WEEKDAY(N$6,1)=7,0,MIN(8,N17)*N16))))-MIN(IF(N16&lt;=0,0,IF(WEEKDAY(N$6,1)=1,0,IF(WEEKDAY(N$6,1)=7,0,MIN(8,N17)*N16))),MAX(0,40*MAX(1,N16)-(K18+L18+M18)))))</f>
        <v>0</v>
      </c>
      <c r="O19" s="63">
        <f>IF(AND(O16=0,O17=0),0,IF(O16&lt;=0,0,IF(WEEKDAY(O$6,1)=1,0,IF(WEEKDAY(O$6,1)=7,O16*O17,MAX(0,O17-8)*O16)))+((IF(O16&lt;=0,0,IF(WEEKDAY(O$6,1)=1,0,IF(WEEKDAY(O$6,1)=7,0,MIN(8,O17)*O16))))-MIN(IF(O16&lt;=0,0,IF(WEEKDAY(O$6,1)=1,0,IF(WEEKDAY(O$6,1)=7,0,MIN(8,O17)*O16))),MAX(0,40*MAX(1,O16)-(K18+L18+M18+N18)))))</f>
        <v>0</v>
      </c>
      <c r="P19" s="64">
        <f>IF(AND(P16=0,P17=0),0,IF(P16&lt;=0,0,IF(WEEKDAY(P$6,1)=1,0,IF(WEEKDAY(P$6,1)=7,P16*P17,MAX(0,P17-8)*P16)))+((IF(P16&lt;=0,0,IF(WEEKDAY(P$6,1)=1,0,IF(WEEKDAY(P$6,1)=7,0,MIN(8,P17)*P16))))-MIN(IF(P16&lt;=0,0,IF(WEEKDAY(P$6,1)=1,0,IF(WEEKDAY(P$6,1)=7,0,MIN(8,P17)*P16))),MAX(0,40*MAX(1,P16)-(K18+L18+M18+N18+O18)))))</f>
        <v>0</v>
      </c>
      <c r="Q19" s="64">
        <f>IF(AND(Q16=0,Q17=0),0,IF(Q16&lt;=0,0,IF(WEEKDAY(Q$6,1)=1,0,IF(WEEKDAY(Q$6,1)=7,Q16*Q17,MAX(0,Q17-8)*Q16)))+((IF(Q16&lt;=0,0,IF(WEEKDAY(Q$6,1)=1,0,IF(WEEKDAY(Q$6,1)=7,0,MIN(8,Q17)*Q16))))-MIN(IF(Q16&lt;=0,0,IF(WEEKDAY(Q$6,1)=1,0,IF(WEEKDAY(Q$6,1)=7,0,MIN(8,Q17)*Q16))),MAX(0,40*MAX(1,Q16)-(K18+L18+M18+N18+O18+P18)))))</f>
        <v>0</v>
      </c>
      <c r="R19" s="63">
        <f>IF(AND(R16=0,R17=0),0,IF(R16&lt;=0,0,IF(WEEKDAY(R$6,1)=1,0,IF(WEEKDAY(R$6,1)=7,R16*R17,MAX(0,R17-8)*R16)))+((IF(R16&lt;=0,0,IF(WEEKDAY(R$6,1)=1,0,IF(WEEKDAY(R$6,1)=7,0,MIN(8,R17)*R16))))-MIN(IF(R16&lt;=0,0,IF(WEEKDAY(R$6,1)=1,0,IF(WEEKDAY(R$6,1)=7,0,MIN(8,R17)*R16))),MAX(0,40*MAX(1,R16)-(0)))))</f>
        <v>0</v>
      </c>
      <c r="S19" s="63">
        <f>IF(AND(S16=0,S17=0),0,IF(S16&lt;=0,0,IF(WEEKDAY(S$6,1)=1,0,IF(WEEKDAY(S$6,1)=7,S16*S17,MAX(0,S17-8)*S16)))+((IF(S16&lt;=0,0,IF(WEEKDAY(S$6,1)=1,0,IF(WEEKDAY(S$6,1)=7,0,MIN(8,S17)*S16))))-MIN(IF(S16&lt;=0,0,IF(WEEKDAY(S$6,1)=1,0,IF(WEEKDAY(S$6,1)=7,0,MIN(8,S17)*S16))),MAX(0,40*MAX(1,S16)-(R18)))))</f>
        <v>0</v>
      </c>
      <c r="T19" s="63">
        <f>IF(AND(T16=0,T17=0),0,IF(T16&lt;=0,0,IF(WEEKDAY(T$6,1)=1,0,IF(WEEKDAY(T$6,1)=7,T16*T17,MAX(0,T17-8)*T16)))+((IF(T16&lt;=0,0,IF(WEEKDAY(T$6,1)=1,0,IF(WEEKDAY(T$6,1)=7,0,MIN(8,T17)*T16))))-MIN(IF(T16&lt;=0,0,IF(WEEKDAY(T$6,1)=1,0,IF(WEEKDAY(T$6,1)=7,0,MIN(8,T17)*T16))),MAX(0,40*MAX(1,T16)-(R18+S18)))))</f>
        <v>0</v>
      </c>
      <c r="U19" s="63">
        <f>IF(AND(U16=0,U17=0),0,IF(U16&lt;=0,0,IF(WEEKDAY(U$6,1)=1,0,IF(WEEKDAY(U$6,1)=7,U16*U17,MAX(0,U17-8)*U16)))+((IF(U16&lt;=0,0,IF(WEEKDAY(U$6,1)=1,0,IF(WEEKDAY(U$6,1)=7,0,MIN(8,U17)*U16))))-MIN(IF(U16&lt;=0,0,IF(WEEKDAY(U$6,1)=1,0,IF(WEEKDAY(U$6,1)=7,0,MIN(8,U17)*U16))),MAX(0,40*MAX(1,U16)-(R18+S18+T18)))))</f>
        <v>0</v>
      </c>
      <c r="V19" s="63">
        <f>IF(AND(V16=0,V17=0),0,IF(V16&lt;=0,0,IF(WEEKDAY(V$6,1)=1,0,IF(WEEKDAY(V$6,1)=7,V16*V17,MAX(0,V17-8)*V16)))+((IF(V16&lt;=0,0,IF(WEEKDAY(V$6,1)=1,0,IF(WEEKDAY(V$6,1)=7,0,MIN(8,V17)*V16))))-MIN(IF(V16&lt;=0,0,IF(WEEKDAY(V$6,1)=1,0,IF(WEEKDAY(V$6,1)=7,0,MIN(8,V17)*V16))),MAX(0,40*MAX(1,V16)-(R18+S18+T18+U18)))))</f>
        <v>0</v>
      </c>
      <c r="W19" s="64">
        <f>IF(AND(W16=0,W17=0),0,IF(W16&lt;=0,0,IF(WEEKDAY(W$6,1)=1,0,IF(WEEKDAY(W$6,1)=7,W16*W17,MAX(0,W17-8)*W16)))+((IF(W16&lt;=0,0,IF(WEEKDAY(W$6,1)=1,0,IF(WEEKDAY(W$6,1)=7,0,MIN(8,W17)*W16))))-MIN(IF(W16&lt;=0,0,IF(WEEKDAY(W$6,1)=1,0,IF(WEEKDAY(W$6,1)=7,0,MIN(8,W17)*W16))),MAX(0,40*MAX(1,W16)-(R18+S18+T18+U18+V18)))))</f>
        <v>0</v>
      </c>
      <c r="X19" s="64">
        <f>IF(AND(X16=0,X17=0),0,IF(X16&lt;=0,0,IF(WEEKDAY(X$6,1)=1,0,IF(WEEKDAY(X$6,1)=7,X16*X17,MAX(0,X17-8)*X16)))+((IF(X16&lt;=0,0,IF(WEEKDAY(X$6,1)=1,0,IF(WEEKDAY(X$6,1)=7,0,MIN(8,X17)*X16))))-MIN(IF(X16&lt;=0,0,IF(WEEKDAY(X$6,1)=1,0,IF(WEEKDAY(X$6,1)=7,0,MIN(8,X17)*X16))),MAX(0,40*MAX(1,X16)-(R18+S18+T18+U18+V18+W18)))))</f>
        <v>0</v>
      </c>
      <c r="Y19" s="63">
        <f>IF(AND(Y16=0,Y17=0),0,IF(Y16&lt;=0,0,IF(WEEKDAY(Y$6,1)=1,0,IF(WEEKDAY(Y$6,1)=7,Y16*Y17,MAX(0,Y17-8)*Y16)))+((IF(Y16&lt;=0,0,IF(WEEKDAY(Y$6,1)=1,0,IF(WEEKDAY(Y$6,1)=7,0,MIN(8,Y17)*Y16))))-MIN(IF(Y16&lt;=0,0,IF(WEEKDAY(Y$6,1)=1,0,IF(WEEKDAY(Y$6,1)=7,0,MIN(8,Y17)*Y16))),MAX(0,40*MAX(1,Y16)-(0)))))</f>
        <v>0</v>
      </c>
      <c r="Z19" s="63">
        <f>IF(AND(Z16=0,Z17=0),0,IF(Z16&lt;=0,0,IF(WEEKDAY(Z$6,1)=1,0,IF(WEEKDAY(Z$6,1)=7,Z16*Z17,MAX(0,Z17-8)*Z16)))+((IF(Z16&lt;=0,0,IF(WEEKDAY(Z$6,1)=1,0,IF(WEEKDAY(Z$6,1)=7,0,MIN(8,Z17)*Z16))))-MIN(IF(Z16&lt;=0,0,IF(WEEKDAY(Z$6,1)=1,0,IF(WEEKDAY(Z$6,1)=7,0,MIN(8,Z17)*Z16))),MAX(0,40*MAX(1,Z16)-(Y18)))))</f>
        <v>0</v>
      </c>
      <c r="AA19" s="63">
        <f>IF(AND(AA16=0,AA17=0),0,IF(AA16&lt;=0,0,IF(WEEKDAY(AA$6,1)=1,0,IF(WEEKDAY(AA$6,1)=7,AA16*AA17,MAX(0,AA17-8)*AA16)))+((IF(AA16&lt;=0,0,IF(WEEKDAY(AA$6,1)=1,0,IF(WEEKDAY(AA$6,1)=7,0,MIN(8,AA17)*AA16))))-MIN(IF(AA16&lt;=0,0,IF(WEEKDAY(AA$6,1)=1,0,IF(WEEKDAY(AA$6,1)=7,0,MIN(8,AA17)*AA16))),MAX(0,40*MAX(1,AA16)-(Y18+Z18)))))</f>
        <v>0</v>
      </c>
      <c r="AB19" s="63">
        <f>IF(AND(AB16=0,AB17=0),0,IF(AB16&lt;=0,0,IF(WEEKDAY(AB$6,1)=1,0,IF(WEEKDAY(AB$6,1)=7,AB16*AB17,MAX(0,AB17-8)*AB16)))+((IF(AB16&lt;=0,0,IF(WEEKDAY(AB$6,1)=1,0,IF(WEEKDAY(AB$6,1)=7,0,MIN(8,AB17)*AB16))))-MIN(IF(AB16&lt;=0,0,IF(WEEKDAY(AB$6,1)=1,0,IF(WEEKDAY(AB$6,1)=7,0,MIN(8,AB17)*AB16))),MAX(0,40*MAX(1,AB16)-(Y18+Z18+AA18)))))</f>
        <v>0</v>
      </c>
      <c r="AC19" s="63">
        <f>IF(AND(AC16=0,AC17=0),0,IF(AC16&lt;=0,0,IF(WEEKDAY(AC$6,1)=1,0,IF(WEEKDAY(AC$6,1)=7,AC16*AC17,MAX(0,AC17-8)*AC16)))+((IF(AC16&lt;=0,0,IF(WEEKDAY(AC$6,1)=1,0,IF(WEEKDAY(AC$6,1)=7,0,MIN(8,AC17)*AC16))))-MIN(IF(AC16&lt;=0,0,IF(WEEKDAY(AC$6,1)=1,0,IF(WEEKDAY(AC$6,1)=7,0,MIN(8,AC17)*AC16))),MAX(0,40*MAX(1,AC16)-(Y18+Z18+AA18+AB18)))))</f>
        <v>0</v>
      </c>
      <c r="AD19" s="64">
        <f>IF(AND(AD16=0,AD17=0),0,IF(AD16&lt;=0,0,IF(WEEKDAY(AD$6,1)=1,0,IF(WEEKDAY(AD$6,1)=7,AD16*AD17,MAX(0,AD17-8)*AD16)))+((IF(AD16&lt;=0,0,IF(WEEKDAY(AD$6,1)=1,0,IF(WEEKDAY(AD$6,1)=7,0,MIN(8,AD17)*AD16))))-MIN(IF(AD16&lt;=0,0,IF(WEEKDAY(AD$6,1)=1,0,IF(WEEKDAY(AD$6,1)=7,0,MIN(8,AD17)*AD16))),MAX(0,40*MAX(1,AD16)-(Y18+Z18+AA18+AB18+AC18)))))</f>
        <v>0</v>
      </c>
      <c r="AE19" s="64">
        <f>IF(AND(AE16=0,AE17=0),0,IF(AE16&lt;=0,0,IF(WEEKDAY(AE$6,1)=1,0,IF(WEEKDAY(AE$6,1)=7,AE16*AE17,MAX(0,AE17-8)*AE16)))+((IF(AE16&lt;=0,0,IF(WEEKDAY(AE$6,1)=1,0,IF(WEEKDAY(AE$6,1)=7,0,MIN(8,AE17)*AE16))))-MIN(IF(AE16&lt;=0,0,IF(WEEKDAY(AE$6,1)=1,0,IF(WEEKDAY(AE$6,1)=7,0,MIN(8,AE17)*AE16))),MAX(0,40*MAX(1,AE16)-(Y18+Z18+AA18+AB18+AC18+AD18)))))</f>
        <v>0</v>
      </c>
      <c r="AF19" s="63">
        <f>IF(AND(AF16=0,AF17=0),0,IF(AF16&lt;=0,0,IF(WEEKDAY(AF$6,1)=1,0,IF(WEEKDAY(AF$6,1)=7,AF16*AF17,MAX(0,AF17-8)*AF16)))+((IF(AF16&lt;=0,0,IF(WEEKDAY(AF$6,1)=1,0,IF(WEEKDAY(AF$6,1)=7,0,MIN(8,AF17)*AF16))))-MIN(IF(AF16&lt;=0,0,IF(WEEKDAY(AF$6,1)=1,0,IF(WEEKDAY(AF$6,1)=7,0,MIN(8,AF17)*AF16))),MAX(0,40*MAX(1,AF16)-(0)))))</f>
        <v>0</v>
      </c>
      <c r="AG19" s="63">
        <f>IF(AND(AG16=0,AG17=0),0,IF(AG16&lt;=0,0,IF(WEEKDAY(AG$6,1)=1,0,IF(WEEKDAY(AG$6,1)=7,AG16*AG17,MAX(0,AG17-8)*AG16)))+((IF(AG16&lt;=0,0,IF(WEEKDAY(AG$6,1)=1,0,IF(WEEKDAY(AG$6,1)=7,0,MIN(8,AG17)*AG16))))-MIN(IF(AG16&lt;=0,0,IF(WEEKDAY(AG$6,1)=1,0,IF(WEEKDAY(AG$6,1)=7,0,MIN(8,AG17)*AG16))),MAX(0,40*MAX(1,AG16)-(AF18)))))</f>
        <v>0</v>
      </c>
      <c r="AH19" s="63">
        <f>IF(AND(AH16=0,AH17=0),0,IF(AH16&lt;=0,0,IF(WEEKDAY(AH$6,1)=1,0,IF(WEEKDAY(AH$6,1)=7,AH16*AH17,MAX(0,AH17-8)*AH16)))+((IF(AH16&lt;=0,0,IF(WEEKDAY(AH$6,1)=1,0,IF(WEEKDAY(AH$6,1)=7,0,MIN(8,AH17)*AH16))))-MIN(IF(AH16&lt;=0,0,IF(WEEKDAY(AH$6,1)=1,0,IF(WEEKDAY(AH$6,1)=7,0,MIN(8,AH17)*AH16))),MAX(0,40*MAX(1,AH16)-(AF18+AG18)))))</f>
        <v>0</v>
      </c>
      <c r="AI19" s="63">
        <f>IF(AND(AI16=0,AI17=0),0,IF(AI16&lt;=0,0,IF(WEEKDAY(AI$6,1)=1,0,IF(WEEKDAY(AI$6,1)=7,AI16*AI17,MAX(0,AI17-8)*AI16)))+((IF(AI16&lt;=0,0,IF(WEEKDAY(AI$6,1)=1,0,IF(WEEKDAY(AI$6,1)=7,0,MIN(8,AI17)*AI16))))-MIN(IF(AI16&lt;=0,0,IF(WEEKDAY(AI$6,1)=1,0,IF(WEEKDAY(AI$6,1)=7,0,MIN(8,AI17)*AI16))),MAX(0,40*MAX(1,AI16)-(AF18+AG18+AH18)))))</f>
        <v>0</v>
      </c>
      <c r="AJ19" s="63">
        <f>IF(AND(AJ16=0,AJ17=0),0,IF(AJ16&lt;=0,0,IF(WEEKDAY(AJ$6,1)=1,0,IF(WEEKDAY(AJ$6,1)=7,AJ16*AJ17,MAX(0,AJ17-8)*AJ16)))+((IF(AJ16&lt;=0,0,IF(WEEKDAY(AJ$6,1)=1,0,IF(WEEKDAY(AJ$6,1)=7,0,MIN(8,AJ17)*AJ16))))-MIN(IF(AJ16&lt;=0,0,IF(WEEKDAY(AJ$6,1)=1,0,IF(WEEKDAY(AJ$6,1)=7,0,MIN(8,AJ17)*AJ16))),MAX(0,40*MAX(1,AJ16)-(AF18+AG18+AH18+AI18)))))</f>
        <v>0</v>
      </c>
      <c r="AK19" s="64">
        <f>IF(AND(AK16=0,AK17=0),0,IF(AK16&lt;=0,0,IF(WEEKDAY(AK$6,1)=1,0,IF(WEEKDAY(AK$6,1)=7,AK16*AK17,MAX(0,AK17-8)*AK16)))+((IF(AK16&lt;=0,0,IF(WEEKDAY(AK$6,1)=1,0,IF(WEEKDAY(AK$6,1)=7,0,MIN(8,AK17)*AK16))))-MIN(IF(AK16&lt;=0,0,IF(WEEKDAY(AK$6,1)=1,0,IF(WEEKDAY(AK$6,1)=7,0,MIN(8,AK17)*AK16))),MAX(0,40*MAX(1,AK16)-(AF18+AG18+AH18+AI18+AJ18)))))</f>
        <v>0</v>
      </c>
      <c r="AL19" s="64">
        <f>IF(AND(AL16=0,AL17=0),0,IF(AL16&lt;=0,0,IF(WEEKDAY(AL$6,1)=1,0,IF(WEEKDAY(AL$6,1)=7,AL16*AL17,MAX(0,AL17-8)*AL16)))+((IF(AL16&lt;=0,0,IF(WEEKDAY(AL$6,1)=1,0,IF(WEEKDAY(AL$6,1)=7,0,MIN(8,AL17)*AL16))))-MIN(IF(AL16&lt;=0,0,IF(WEEKDAY(AL$6,1)=1,0,IF(WEEKDAY(AL$6,1)=7,0,MIN(8,AL17)*AL16))),MAX(0,40*MAX(1,AL16)-(AF18+AG18+AH18+AI18+AJ18+AK18)))))</f>
        <v>0</v>
      </c>
      <c r="AM19" s="63">
        <f>IF(AND(AM16=0,AM17=0),0,IF(AM16&lt;=0,0,IF(WEEKDAY(AM$6,1)=1,0,IF(WEEKDAY(AM$6,1)=7,AM16*AM17,MAX(0,AM17-8)*AM16)))+((IF(AM16&lt;=0,0,IF(WEEKDAY(AM$6,1)=1,0,IF(WEEKDAY(AM$6,1)=7,0,MIN(8,AM17)*AM16))))-MIN(IF(AM16&lt;=0,0,IF(WEEKDAY(AM$6,1)=1,0,IF(WEEKDAY(AM$6,1)=7,0,MIN(8,AM17)*AM16))),MAX(0,40*MAX(1,AM16)-(0)))))</f>
        <v>0</v>
      </c>
      <c r="AN19" s="63">
        <f>IF(AND(AN16=0,AN17=0),0,IF(AN16&lt;=0,0,IF(WEEKDAY(AN$6,1)=1,0,IF(WEEKDAY(AN$6,1)=7,AN16*AN17,MAX(0,AN17-8)*AN16)))+((IF(AN16&lt;=0,0,IF(WEEKDAY(AN$6,1)=1,0,IF(WEEKDAY(AN$6,1)=7,0,MIN(8,AN17)*AN16))))-MIN(IF(AN16&lt;=0,0,IF(WEEKDAY(AN$6,1)=1,0,IF(WEEKDAY(AN$6,1)=7,0,MIN(8,AN17)*AN16))),MAX(0,40*MAX(1,AN16)-(AM18)))))</f>
        <v>0</v>
      </c>
      <c r="AO19" s="63">
        <f>IF(AND(AO16=0,AO17=0),0,IF(AO16&lt;=0,0,IF(WEEKDAY(AO$6,1)=1,0,IF(WEEKDAY(AO$6,1)=7,AO16*AO17,MAX(0,AO17-8)*AO16)))+((IF(AO16&lt;=0,0,IF(WEEKDAY(AO$6,1)=1,0,IF(WEEKDAY(AO$6,1)=7,0,MIN(8,AO17)*AO16))))-MIN(IF(AO16&lt;=0,0,IF(WEEKDAY(AO$6,1)=1,0,IF(WEEKDAY(AO$6,1)=7,0,MIN(8,AO17)*AO16))),MAX(0,40*MAX(1,AO16)-(AM18+AN18)))))</f>
        <v>0</v>
      </c>
      <c r="AP19" s="63">
        <f>IF(AND(AP16=0,AP17=0),0,IF(AP16&lt;=0,0,IF(WEEKDAY(AP$6,1)=1,0,IF(WEEKDAY(AP$6,1)=7,AP16*AP17,MAX(0,AP17-8)*AP16)))+((IF(AP16&lt;=0,0,IF(WEEKDAY(AP$6,1)=1,0,IF(WEEKDAY(AP$6,1)=7,0,MIN(8,AP17)*AP16))))-MIN(IF(AP16&lt;=0,0,IF(WEEKDAY(AP$6,1)=1,0,IF(WEEKDAY(AP$6,1)=7,0,MIN(8,AP17)*AP16))),MAX(0,40*MAX(1,AP16)-(AM18+AN18+AO18)))))</f>
        <v>0</v>
      </c>
      <c r="AQ19" s="63">
        <f>IF(AND(AQ16=0,AQ17=0),0,IF(AQ16&lt;=0,0,IF(WEEKDAY(AQ$6,1)=1,0,IF(WEEKDAY(AQ$6,1)=7,AQ16*AQ17,MAX(0,AQ17-8)*AQ16)))+((IF(AQ16&lt;=0,0,IF(WEEKDAY(AQ$6,1)=1,0,IF(WEEKDAY(AQ$6,1)=7,0,MIN(8,AQ17)*AQ16))))-MIN(IF(AQ16&lt;=0,0,IF(WEEKDAY(AQ$6,1)=1,0,IF(WEEKDAY(AQ$6,1)=7,0,MIN(8,AQ17)*AQ16))),MAX(0,40*MAX(1,AQ16)-(AM18+AN18+AO18+AP18)))))</f>
        <v>0</v>
      </c>
      <c r="AR19" s="64">
        <f>IF(AND(AR16=0,AR17=0),0,IF(AR16&lt;=0,0,IF(WEEKDAY(AR$6,1)=1,0,IF(WEEKDAY(AR$6,1)=7,AR16*AR17,MAX(0,AR17-8)*AR16)))+((IF(AR16&lt;=0,0,IF(WEEKDAY(AR$6,1)=1,0,IF(WEEKDAY(AR$6,1)=7,0,MIN(8,AR17)*AR16))))-MIN(IF(AR16&lt;=0,0,IF(WEEKDAY(AR$6,1)=1,0,IF(WEEKDAY(AR$6,1)=7,0,MIN(8,AR17)*AR16))),MAX(0,40*MAX(1,AR16)-(AM18+AN18+AO18+AP18+AQ18)))))</f>
        <v>0</v>
      </c>
      <c r="AS19" s="64">
        <f>IF(AND(AS16=0,AS17=0),0,IF(AS16&lt;=0,0,IF(WEEKDAY(AS$6,1)=1,0,IF(WEEKDAY(AS$6,1)=7,AS16*AS17,MAX(0,AS17-8)*AS16)))+((IF(AS16&lt;=0,0,IF(WEEKDAY(AS$6,1)=1,0,IF(WEEKDAY(AS$6,1)=7,0,MIN(8,AS17)*AS16))))-MIN(IF(AS16&lt;=0,0,IF(WEEKDAY(AS$6,1)=1,0,IF(WEEKDAY(AS$6,1)=7,0,MIN(8,AS17)*AS16))),MAX(0,40*MAX(1,AS16)-(AM18+AN18+AO18+AP18+AQ18+AR18)))))</f>
        <v>0</v>
      </c>
      <c r="AT19" s="63">
        <f>IF(AND(AT16=0,AT17=0),0,IF(AT16&lt;=0,0,IF(WEEKDAY(AT$6,1)=1,0,IF(WEEKDAY(AT$6,1)=7,AT16*AT17,MAX(0,AT17-8)*AT16)))+((IF(AT16&lt;=0,0,IF(WEEKDAY(AT$6,1)=1,0,IF(WEEKDAY(AT$6,1)=7,0,MIN(8,AT17)*AT16))))-MIN(IF(AT16&lt;=0,0,IF(WEEKDAY(AT$6,1)=1,0,IF(WEEKDAY(AT$6,1)=7,0,MIN(8,AT17)*AT16))),MAX(0,40*MAX(1,AT16)-(0)))))</f>
        <v>0</v>
      </c>
      <c r="AU19" s="63">
        <f>IF(AND(AU16=0,AU17=0),0,IF(AU16&lt;=0,0,IF(WEEKDAY(AU$6,1)=1,0,IF(WEEKDAY(AU$6,1)=7,AU16*AU17,MAX(0,AU17-8)*AU16)))+((IF(AU16&lt;=0,0,IF(WEEKDAY(AU$6,1)=1,0,IF(WEEKDAY(AU$6,1)=7,0,MIN(8,AU17)*AU16))))-MIN(IF(AU16&lt;=0,0,IF(WEEKDAY(AU$6,1)=1,0,IF(WEEKDAY(AU$6,1)=7,0,MIN(8,AU17)*AU16))),MAX(0,40*MAX(1,AU16)-(AT18)))))</f>
        <v>0</v>
      </c>
      <c r="AV19" s="63">
        <f>IF(AND(AV16=0,AV17=0),0,IF(AV16&lt;=0,0,IF(WEEKDAY(AV$6,1)=1,0,IF(WEEKDAY(AV$6,1)=7,AV16*AV17,MAX(0,AV17-8)*AV16)))+((IF(AV16&lt;=0,0,IF(WEEKDAY(AV$6,1)=1,0,IF(WEEKDAY(AV$6,1)=7,0,MIN(8,AV17)*AV16))))-MIN(IF(AV16&lt;=0,0,IF(WEEKDAY(AV$6,1)=1,0,IF(WEEKDAY(AV$6,1)=7,0,MIN(8,AV17)*AV16))),MAX(0,40*MAX(1,AV16)-(AT18+AU18)))))</f>
        <v>0</v>
      </c>
      <c r="AW19" s="63">
        <f>IF(AND(AW16=0,AW17=0),0,IF(AW16&lt;=0,0,IF(WEEKDAY(AW$6,1)=1,0,IF(WEEKDAY(AW$6,1)=7,AW16*AW17,MAX(0,AW17-8)*AW16)))+((IF(AW16&lt;=0,0,IF(WEEKDAY(AW$6,1)=1,0,IF(WEEKDAY(AW$6,1)=7,0,MIN(8,AW17)*AW16))))-MIN(IF(AW16&lt;=0,0,IF(WEEKDAY(AW$6,1)=1,0,IF(WEEKDAY(AW$6,1)=7,0,MIN(8,AW17)*AW16))),MAX(0,40*MAX(1,AW16)-(AT18+AU18+AV18)))))</f>
        <v>0</v>
      </c>
      <c r="AX19" s="63">
        <f>IF(AND(AX16=0,AX17=0),0,IF(AX16&lt;=0,0,IF(WEEKDAY(AX$6,1)=1,0,IF(WEEKDAY(AX$6,1)=7,AX16*AX17,MAX(0,AX17-8)*AX16)))+((IF(AX16&lt;=0,0,IF(WEEKDAY(AX$6,1)=1,0,IF(WEEKDAY(AX$6,1)=7,0,MIN(8,AX17)*AX16))))-MIN(IF(AX16&lt;=0,0,IF(WEEKDAY(AX$6,1)=1,0,IF(WEEKDAY(AX$6,1)=7,0,MIN(8,AX17)*AX16))),MAX(0,40*MAX(1,AX16)-(AT18+AU18+AV18+AW18)))))</f>
        <v>0</v>
      </c>
      <c r="AY19" s="64">
        <f>IF(AND(AY16=0,AY17=0),0,IF(AY16&lt;=0,0,IF(WEEKDAY(AY$6,1)=1,0,IF(WEEKDAY(AY$6,1)=7,AY16*AY17,MAX(0,AY17-8)*AY16)))+((IF(AY16&lt;=0,0,IF(WEEKDAY(AY$6,1)=1,0,IF(WEEKDAY(AY$6,1)=7,0,MIN(8,AY17)*AY16))))-MIN(IF(AY16&lt;=0,0,IF(WEEKDAY(AY$6,1)=1,0,IF(WEEKDAY(AY$6,1)=7,0,MIN(8,AY17)*AY16))),MAX(0,40*MAX(1,AY16)-(AT18+AU18+AV18+AW18+AX18)))))</f>
        <v>0</v>
      </c>
      <c r="AZ19" s="64">
        <f>IF(AND(AZ16=0,AZ17=0),0,IF(AZ16&lt;=0,0,IF(WEEKDAY(AZ$6,1)=1,0,IF(WEEKDAY(AZ$6,1)=7,AZ16*AZ17,MAX(0,AZ17-8)*AZ16)))+((IF(AZ16&lt;=0,0,IF(WEEKDAY(AZ$6,1)=1,0,IF(WEEKDAY(AZ$6,1)=7,0,MIN(8,AZ17)*AZ16))))-MIN(IF(AZ16&lt;=0,0,IF(WEEKDAY(AZ$6,1)=1,0,IF(WEEKDAY(AZ$6,1)=7,0,MIN(8,AZ17)*AZ16))),MAX(0,40*MAX(1,AZ16)-(AT18+AU18+AV18+AW18+AX18+AY18)))))</f>
        <v>0</v>
      </c>
      <c r="BA19" s="63">
        <f>IF(AND(BA16=0,BA17=0),0,IF(BA16&lt;=0,0,IF(WEEKDAY(BA$6,1)=1,0,IF(WEEKDAY(BA$6,1)=7,BA16*BA17,MAX(0,BA17-8)*BA16)))+((IF(BA16&lt;=0,0,IF(WEEKDAY(BA$6,1)=1,0,IF(WEEKDAY(BA$6,1)=7,0,MIN(8,BA17)*BA16))))-MIN(IF(BA16&lt;=0,0,IF(WEEKDAY(BA$6,1)=1,0,IF(WEEKDAY(BA$6,1)=7,0,MIN(8,BA17)*BA16))),MAX(0,40*MAX(1,BA16)-(0)))))</f>
        <v>0</v>
      </c>
      <c r="BB19" s="63">
        <f>IF(AND(BB16=0,BB17=0),0,IF(BB16&lt;=0,0,IF(WEEKDAY(BB$6,1)=1,0,IF(WEEKDAY(BB$6,1)=7,BB16*BB17,MAX(0,BB17-8)*BB16)))+((IF(BB16&lt;=0,0,IF(WEEKDAY(BB$6,1)=1,0,IF(WEEKDAY(BB$6,1)=7,0,MIN(8,BB17)*BB16))))-MIN(IF(BB16&lt;=0,0,IF(WEEKDAY(BB$6,1)=1,0,IF(WEEKDAY(BB$6,1)=7,0,MIN(8,BB17)*BB16))),MAX(0,40*MAX(1,BB16)-(BA18)))))</f>
        <v>0</v>
      </c>
      <c r="BC19" s="63">
        <f>IF(AND(BC16=0,BC17=0),0,IF(BC16&lt;=0,0,IF(WEEKDAY(BC$6,1)=1,0,IF(WEEKDAY(BC$6,1)=7,BC16*BC17,MAX(0,BC17-8)*BC16)))+((IF(BC16&lt;=0,0,IF(WEEKDAY(BC$6,1)=1,0,IF(WEEKDAY(BC$6,1)=7,0,MIN(8,BC17)*BC16))))-MIN(IF(BC16&lt;=0,0,IF(WEEKDAY(BC$6,1)=1,0,IF(WEEKDAY(BC$6,1)=7,0,MIN(8,BC17)*BC16))),MAX(0,40*MAX(1,BC16)-(BA18+BB18)))))</f>
        <v>0</v>
      </c>
      <c r="BD19" s="63">
        <f>IF(AND(BD16=0,BD17=0),0,IF(BD16&lt;=0,0,IF(WEEKDAY(BD$6,1)=1,0,IF(WEEKDAY(BD$6,1)=7,BD16*BD17,MAX(0,BD17-8)*BD16)))+((IF(BD16&lt;=0,0,IF(WEEKDAY(BD$6,1)=1,0,IF(WEEKDAY(BD$6,1)=7,0,MIN(8,BD17)*BD16))))-MIN(IF(BD16&lt;=0,0,IF(WEEKDAY(BD$6,1)=1,0,IF(WEEKDAY(BD$6,1)=7,0,MIN(8,BD17)*BD16))),MAX(0,40*MAX(1,BD16)-(BA18+BB18+BC18)))))</f>
        <v>0</v>
      </c>
      <c r="BE19" s="63">
        <f>IF(AND(BE16=0,BE17=0),0,IF(BE16&lt;=0,0,IF(WEEKDAY(BE$6,1)=1,0,IF(WEEKDAY(BE$6,1)=7,BE16*BE17,MAX(0,BE17-8)*BE16)))+((IF(BE16&lt;=0,0,IF(WEEKDAY(BE$6,1)=1,0,IF(WEEKDAY(BE$6,1)=7,0,MIN(8,BE17)*BE16))))-MIN(IF(BE16&lt;=0,0,IF(WEEKDAY(BE$6,1)=1,0,IF(WEEKDAY(BE$6,1)=7,0,MIN(8,BE17)*BE16))),MAX(0,40*MAX(1,BE16)-(BA18+BB18+BC18+BD18)))))</f>
        <v>0</v>
      </c>
      <c r="BF19" s="64">
        <f>IF(AND(BF16=0,BF17=0),0,IF(BF16&lt;=0,0,IF(WEEKDAY(BF$6,1)=1,0,IF(WEEKDAY(BF$6,1)=7,BF16*BF17,MAX(0,BF17-8)*BF16)))+((IF(BF16&lt;=0,0,IF(WEEKDAY(BF$6,1)=1,0,IF(WEEKDAY(BF$6,1)=7,0,MIN(8,BF17)*BF16))))-MIN(IF(BF16&lt;=0,0,IF(WEEKDAY(BF$6,1)=1,0,IF(WEEKDAY(BF$6,1)=7,0,MIN(8,BF17)*BF16))),MAX(0,40*MAX(1,BF16)-(BA18+BB18+BC18+BD18+BE18)))))</f>
        <v>0</v>
      </c>
      <c r="BG19" s="64">
        <f>IF(AND(BG16=0,BG17=0),0,IF(BG16&lt;=0,0,IF(WEEKDAY(BG$6,1)=1,0,IF(WEEKDAY(BG$6,1)=7,BG16*BG17,MAX(0,BG17-8)*BG16)))+((IF(BG16&lt;=0,0,IF(WEEKDAY(BG$6,1)=1,0,IF(WEEKDAY(BG$6,1)=7,0,MIN(8,BG17)*BG16))))-MIN(IF(BG16&lt;=0,0,IF(WEEKDAY(BG$6,1)=1,0,IF(WEEKDAY(BG$6,1)=7,0,MIN(8,BG17)*BG16))),MAX(0,40*MAX(1,BG16)-(BA18+BB18+BC18+BD18+BE18+BF18)))))</f>
        <v>0</v>
      </c>
      <c r="BH19" s="63">
        <f>IF(AND(BH16=1,BH17=12),4,IF(BH16&lt;=0,0,IF(WEEKDAY(BH$6,1)=1,0,IF(WEEKDAY(BH$6,1)=7,BH16*BH17,MAX(0,BH17-8)*BH16)))+((IF(BH16&lt;=0,0,IF(WEEKDAY(BH$6,1)=1,0,IF(WEEKDAY(BH$6,1)=7,0,MIN(8,BH17)*BH16))))-MIN(IF(BH16&lt;=0,0,IF(WEEKDAY(BH$6,1)=1,0,IF(WEEKDAY(BH$6,1)=7,0,MIN(8,BH17)*BH16))),MAX(0,40*MAX(1,BH16)-(0)))))</f>
        <v>4</v>
      </c>
      <c r="BI19" s="63">
        <f>IF(AND(BI16=1,BI17=12),4,IF(BI16&lt;=0,0,IF(WEEKDAY(BI$6,1)=1,0,IF(WEEKDAY(BI$6,1)=7,BI16*BI17,MAX(0,BI17-8)*BI16)))+((IF(BI16&lt;=0,0,IF(WEEKDAY(BI$6,1)=1,0,IF(WEEKDAY(BI$6,1)=7,0,MIN(8,BI17)*BI16))))-MIN(IF(BI16&lt;=0,0,IF(WEEKDAY(BI$6,1)=1,0,IF(WEEKDAY(BI$6,1)=7,0,MIN(8,BI17)*BI16))),MAX(0,40*MAX(1,BI16)-(BH18)))))</f>
        <v>4</v>
      </c>
      <c r="BJ19" s="63">
        <f>IF(AND(BJ16=1,BJ17=12),4,IF(BJ16&lt;=0,0,IF(WEEKDAY(BJ$6,1)=1,0,IF(WEEKDAY(BJ$6,1)=7,BJ16*BJ17,MAX(0,BJ17-8)*BJ16)))+((IF(BJ16&lt;=0,0,IF(WEEKDAY(BJ$6,1)=1,0,IF(WEEKDAY(BJ$6,1)=7,0,MIN(8,BJ17)*BJ16))))-MIN(IF(BJ16&lt;=0,0,IF(WEEKDAY(BJ$6,1)=1,0,IF(WEEKDAY(BJ$6,1)=7,0,MIN(8,BJ17)*BJ16))),MAX(0,40*MAX(1,BJ16)-(BH18+BI18)))))</f>
        <v>4</v>
      </c>
      <c r="BK19" s="63">
        <f>IF(AND(BK16=1,BK17=12),4,IF(BK16&lt;=0,0,IF(WEEKDAY(BK$6,1)=1,0,IF(WEEKDAY(BK$6,1)=7,BK16*BK17,MAX(0,BK17-8)*BK16)))+((IF(BK16&lt;=0,0,IF(WEEKDAY(BK$6,1)=1,0,IF(WEEKDAY(BK$6,1)=7,0,MIN(8,BK17)*BK16))))-MIN(IF(BK16&lt;=0,0,IF(WEEKDAY(BK$6,1)=1,0,IF(WEEKDAY(BK$6,1)=7,0,MIN(8,BK17)*BK16))),MAX(0,40*MAX(1,BK16)-(BH18+BI18+BJ18)))))</f>
        <v>4</v>
      </c>
      <c r="BL19" s="63">
        <f>IF(AND(BL16=1,BL17=12),4,IF(BL16&lt;=0,0,IF(WEEKDAY(BL$6,1)=1,0,IF(WEEKDAY(BL$6,1)=7,BL16*BL17,MAX(0,BL17-8)*BL16)))+((IF(BL16&lt;=0,0,IF(WEEKDAY(BL$6,1)=1,0,IF(WEEKDAY(BL$6,1)=7,0,MIN(8,BL17)*BL16))))-MIN(IF(BL16&lt;=0,0,IF(WEEKDAY(BL$6,1)=1,0,IF(WEEKDAY(BL$6,1)=7,0,MIN(8,BL17)*BL16))),MAX(0,40*MAX(1,BL16)-(BH18+BI18+BJ18+BK18)))))</f>
        <v>4</v>
      </c>
      <c r="BM19" s="64">
        <f>IF(AND(BM16=1,BM17=12),12,IF(BM16&lt;=0,0,IF(WEEKDAY(BM$6,1)=1,0,IF(WEEKDAY(BM$6,1)=7,BM16*BM17,MAX(0,BM17-8)*BM16)))+((IF(BM16&lt;=0,0,IF(WEEKDAY(BM$6,1)=1,0,IF(WEEKDAY(BM$6,1)=7,0,MIN(8,BM17)*BM16))))-MIN(IF(BM16&lt;=0,0,IF(WEEKDAY(BM$6,1)=1,0,IF(WEEKDAY(BM$6,1)=7,0,MIN(8,BM17)*BM16))),MAX(0,40*MAX(1,BM16)-(BH18+BI18+BJ18+BK18+BL18)))))</f>
        <v>12</v>
      </c>
      <c r="BN19" s="64">
        <f>IF(AND(BN16=1,BN17=12),0,IF(BN16&lt;=0,0,IF(WEEKDAY(BN$6,1)=1,0,IF(WEEKDAY(BN$6,1)=7,BN16*BN17,MAX(0,BN17-8)*BN16)))+((IF(BN16&lt;=0,0,IF(WEEKDAY(BN$6,1)=1,0,IF(WEEKDAY(BN$6,1)=7,0,MIN(8,BN17)*BN16))))-MIN(IF(BN16&lt;=0,0,IF(WEEKDAY(BN$6,1)=1,0,IF(WEEKDAY(BN$6,1)=7,0,MIN(8,BN17)*BN16))),MAX(0,40*MAX(1,BN16)-(BH18+BI18+BJ18+BK18+BL18+BM18)))))</f>
        <v>0</v>
      </c>
      <c r="BO19" s="63">
        <f>IF(AND(BO16=1,BO17=12),4,IF(BO16&lt;=0,0,IF(WEEKDAY(BO$6,1)=1,0,IF(WEEKDAY(BO$6,1)=7,BO16*BO17,MAX(0,BO17-8)*BO16)))+((IF(BO16&lt;=0,0,IF(WEEKDAY(BO$6,1)=1,0,IF(WEEKDAY(BO$6,1)=7,0,MIN(8,BO17)*BO16))))-MIN(IF(BO16&lt;=0,0,IF(WEEKDAY(BO$6,1)=1,0,IF(WEEKDAY(BO$6,1)=7,0,MIN(8,BO17)*BO16))),MAX(0,40*MAX(1,BO16)-(0)))))</f>
        <v>4</v>
      </c>
      <c r="BP19" s="63">
        <f>IF(AND(BP16=1,BP17=12),4,IF(BP16&lt;=0,0,IF(WEEKDAY(BP$6,1)=1,0,IF(WEEKDAY(BP$6,1)=7,BP16*BP17,MAX(0,BP17-8)*BP16)))+((IF(BP16&lt;=0,0,IF(WEEKDAY(BP$6,1)=1,0,IF(WEEKDAY(BP$6,1)=7,0,MIN(8,BP17)*BP16))))-MIN(IF(BP16&lt;=0,0,IF(WEEKDAY(BP$6,1)=1,0,IF(WEEKDAY(BP$6,1)=7,0,MIN(8,BP17)*BP16))),MAX(0,40*MAX(1,BP16)-(BO18)))))</f>
        <v>4</v>
      </c>
      <c r="BQ19" s="63">
        <f>IF(AND(BQ16=1,BQ17=12),4,IF(BQ16&lt;=0,0,IF(WEEKDAY(BQ$6,1)=1,0,IF(WEEKDAY(BQ$6,1)=7,BQ16*BQ17,MAX(0,BQ17-8)*BQ16)))+((IF(BQ16&lt;=0,0,IF(WEEKDAY(BQ$6,1)=1,0,IF(WEEKDAY(BQ$6,1)=7,0,MIN(8,BQ17)*BQ16))))-MIN(IF(BQ16&lt;=0,0,IF(WEEKDAY(BQ$6,1)=1,0,IF(WEEKDAY(BQ$6,1)=7,0,MIN(8,BQ17)*BQ16))),MAX(0,40*MAX(1,BQ16)-(BO18+BP18)))))</f>
        <v>4</v>
      </c>
      <c r="BR19" s="63">
        <f>IF(AND(BR16=1,BR17=12),4,IF(BR16&lt;=0,0,IF(WEEKDAY(BR$6,1)=1,0,IF(WEEKDAY(BR$6,1)=7,BR16*BR17,MAX(0,BR17-8)*BR16)))+((IF(BR16&lt;=0,0,IF(WEEKDAY(BR$6,1)=1,0,IF(WEEKDAY(BR$6,1)=7,0,MIN(8,BR17)*BR16))))-MIN(IF(BR16&lt;=0,0,IF(WEEKDAY(BR$6,1)=1,0,IF(WEEKDAY(BR$6,1)=7,0,MIN(8,BR17)*BR16))),MAX(0,40*MAX(1,BR16)-(0)))))</f>
        <v>4</v>
      </c>
      <c r="BS19" s="63">
        <f>IF(AND(BS16=1,BS17=12),4,IF(BS16&lt;=0,0,IF(WEEKDAY(BS$6,1)=1,0,IF(WEEKDAY(BS$6,1)=7,BS16*BS17,MAX(0,BS17-8)*BS16)))+((IF(BS16&lt;=0,0,IF(WEEKDAY(BS$6,1)=1,0,IF(WEEKDAY(BS$6,1)=7,0,MIN(8,BS17)*BS16))))-MIN(IF(BS16&lt;=0,0,IF(WEEKDAY(BS$6,1)=1,0,IF(WEEKDAY(BS$6,1)=7,0,MIN(8,BS17)*BS16))),MAX(0,40*MAX(1,BS16)-(BR18)))))</f>
        <v>4</v>
      </c>
      <c r="BT19" s="64">
        <f>IF(AND(BT16=1,BT17=12),12,IF(BT16&lt;=0,0,IF(WEEKDAY(BT$6,1)=1,0,IF(WEEKDAY(BT$6,1)=7,BT16*BT17,MAX(0,BT17-8)*BT16)))+((IF(BT16&lt;=0,0,IF(WEEKDAY(BT$6,1)=1,0,IF(WEEKDAY(BT$6,1)=7,0,MIN(8,BT17)*BT16))))-MIN(IF(BT16&lt;=0,0,IF(WEEKDAY(BT$6,1)=1,0,IF(WEEKDAY(BT$6,1)=7,0,MIN(8,BT17)*BT16))),MAX(0,40*MAX(1,BT16)-(BR18+BS18)))))</f>
        <v>12</v>
      </c>
      <c r="BU19" s="64">
        <f>IF(AND(BU16=1,BU17=12),0,IF(BU16&lt;=0,0,IF(WEEKDAY(BU$6,1)=1,0,IF(WEEKDAY(BU$6,1)=7,BU16*BU17,MAX(0,BU17-8)*BU16)))+((IF(BU16&lt;=0,0,IF(WEEKDAY(BU$6,1)=1,0,IF(WEEKDAY(BU$6,1)=7,0,MIN(8,BU17)*BU16))))-MIN(IF(BU16&lt;=0,0,IF(WEEKDAY(BU$6,1)=1,0,IF(WEEKDAY(BU$6,1)=7,0,MIN(8,BU17)*BU16))),MAX(0,40*MAX(1,BU16)-(BR18+BS18+BT18)))))</f>
        <v>0</v>
      </c>
      <c r="BV19" s="63">
        <f>IF(AND(BV16=1,BV17=12),4,IF(BV16&lt;=0,0,IF(WEEKDAY(BV$6,1)=1,0,IF(WEEKDAY(BV$6,1)=7,BV16*BV17,MAX(0,BV17-8)*BV16)))+((IF(BV16&lt;=0,0,IF(WEEKDAY(BV$6,1)=1,0,IF(WEEKDAY(BV$6,1)=7,0,MIN(8,BV17)*BV16))))-MIN(IF(BV16&lt;=0,0,IF(WEEKDAY(BV$6,1)=1,0,IF(WEEKDAY(BV$6,1)=7,0,MIN(8,BV17)*BV16))),MAX(0,40*MAX(1,BV16)-(0)))))</f>
        <v>4</v>
      </c>
      <c r="BW19" s="63">
        <f>IF(AND(BW16=1,BW17=12),4,IF(BW16&lt;=0,0,IF(WEEKDAY(BW$6,1)=1,0,IF(WEEKDAY(BW$6,1)=7,BW16*BW17,MAX(0,BW17-8)*BW16)))+((IF(BW16&lt;=0,0,IF(WEEKDAY(BW$6,1)=1,0,IF(WEEKDAY(BW$6,1)=7,0,MIN(8,BW17)*BW16))))-MIN(IF(BW16&lt;=0,0,IF(WEEKDAY(BW$6,1)=1,0,IF(WEEKDAY(BW$6,1)=7,0,MIN(8,BW17)*BW16))),MAX(0,40*MAX(1,BW16)-(BV18)))))</f>
        <v>4</v>
      </c>
      <c r="BX19" s="63">
        <f>IF(AND(BX16=1,BX17=12),4,IF(BX16&lt;=0,0,IF(WEEKDAY(BX$6,1)=1,0,IF(WEEKDAY(BX$6,1)=7,BX16*BX17,MAX(0,BX17-8)*BX16)))+((IF(BX16&lt;=0,0,IF(WEEKDAY(BX$6,1)=1,0,IF(WEEKDAY(BX$6,1)=7,0,MIN(8,BX17)*BX16))))-MIN(IF(BX16&lt;=0,0,IF(WEEKDAY(BX$6,1)=1,0,IF(WEEKDAY(BX$6,1)=7,0,MIN(8,BX17)*BX16))),MAX(0,40*MAX(1,BX16)-(BV18+BW18)))))</f>
        <v>4</v>
      </c>
      <c r="BY19" s="63">
        <f>IF(AND(BY16=1,BY17=12),4,IF(BY16&lt;=0,0,IF(WEEKDAY(BY$6,1)=1,0,IF(WEEKDAY(BY$6,1)=7,BY16*BY17,MAX(0,BY17-8)*BY16)))+((IF(BY16&lt;=0,0,IF(WEEKDAY(BY$6,1)=1,0,IF(WEEKDAY(BY$6,1)=7,0,MIN(8,BY17)*BY16))))-MIN(IF(BY16&lt;=0,0,IF(WEEKDAY(BY$6,1)=1,0,IF(WEEKDAY(BY$6,1)=7,0,MIN(8,BY17)*BY16))),MAX(0,40*MAX(1,BY16)-(BV18+BW18+BX18)))))</f>
        <v>4</v>
      </c>
      <c r="BZ19" s="63">
        <f>IF(AND(BZ16=1,BZ17=12),4,IF(BZ16&lt;=0,0,IF(WEEKDAY(BZ$6,1)=1,0,IF(WEEKDAY(BZ$6,1)=7,BZ16*BZ17,MAX(0,BZ17-8)*BZ16)))+((IF(BZ16&lt;=0,0,IF(WEEKDAY(BZ$6,1)=1,0,IF(WEEKDAY(BZ$6,1)=7,0,MIN(8,BZ17)*BZ16))))-MIN(IF(BZ16&lt;=0,0,IF(WEEKDAY(BZ$6,1)=1,0,IF(WEEKDAY(BZ$6,1)=7,0,MIN(8,BZ17)*BZ16))),MAX(0,40*MAX(1,BZ16)-(BV18+BW18+BX18+BY18)))))</f>
        <v>4</v>
      </c>
      <c r="CA19" s="64">
        <f>IF(AND(CA16=1,CA17=12),12,IF(CA16&lt;=0,0,IF(WEEKDAY(CA$6,1)=1,0,IF(WEEKDAY(CA$6,1)=7,CA16*CA17,MAX(0,CA17-8)*CA16)))+((IF(CA16&lt;=0,0,IF(WEEKDAY(CA$6,1)=1,0,IF(WEEKDAY(CA$6,1)=7,0,MIN(8,CA17)*CA16))))-MIN(IF(CA16&lt;=0,0,IF(WEEKDAY(CA$6,1)=1,0,IF(WEEKDAY(CA$6,1)=7,0,MIN(8,CA17)*CA16))),MAX(0,40*MAX(1,CA16)-(BV18+BW18+BX18+BY18+BZ18)))))</f>
        <v>12</v>
      </c>
      <c r="CB19" s="64">
        <f>IF(AND(CB16=1,CB17=12),0,IF(CB16&lt;=0,0,IF(WEEKDAY(CB$6,1)=1,0,IF(WEEKDAY(CB$6,1)=7,CB16*CB17,MAX(0,CB17-8)*CB16)))+((IF(CB16&lt;=0,0,IF(WEEKDAY(CB$6,1)=1,0,IF(WEEKDAY(CB$6,1)=7,0,MIN(8,CB17)*CB16))))-MIN(IF(CB16&lt;=0,0,IF(WEEKDAY(CB$6,1)=1,0,IF(WEEKDAY(CB$6,1)=7,0,MIN(8,CB17)*CB16))),MAX(0,40*MAX(1,CB16)-(BV18+BW18+BX18+BY18+BZ18+CA18)))))</f>
        <v>0</v>
      </c>
      <c r="CC19" s="63">
        <f>IF(AND(CC16=1,CC17=12),4,IF(CC16&lt;=0,0,IF(WEEKDAY(CC$6,1)=1,0,IF(WEEKDAY(CC$6,1)=7,CC16*CC17,MAX(0,CC17-8)*CC16)))+((IF(CC16&lt;=0,0,IF(WEEKDAY(CC$6,1)=1,0,IF(WEEKDAY(CC$6,1)=7,0,MIN(8,CC17)*CC16))))-MIN(IF(CC16&lt;=0,0,IF(WEEKDAY(CC$6,1)=1,0,IF(WEEKDAY(CC$6,1)=7,0,MIN(8,CC17)*CC16))),MAX(0,40*MAX(1,CC16)-(0)))))</f>
        <v>4</v>
      </c>
      <c r="CD19" s="63">
        <f>IF(AND(CD16=1,CD17=12),4,IF(CD16&lt;=0,0,IF(WEEKDAY(CD$6,1)=1,0,IF(WEEKDAY(CD$6,1)=7,CD16*CD17,MAX(0,CD17-8)*CD16)))+((IF(CD16&lt;=0,0,IF(WEEKDAY(CD$6,1)=1,0,IF(WEEKDAY(CD$6,1)=7,0,MIN(8,CD17)*CD16))))-MIN(IF(CD16&lt;=0,0,IF(WEEKDAY(CD$6,1)=1,0,IF(WEEKDAY(CD$6,1)=7,0,MIN(8,CD17)*CD16))),MAX(0,40*MAX(1,CD16)-(CC18)))))</f>
        <v>4</v>
      </c>
      <c r="CE19" s="63">
        <f>IF(AND(CE16=1,CE17=12),4,IF(CE16&lt;=0,0,IF(WEEKDAY(CE$6,1)=1,0,IF(WEEKDAY(CE$6,1)=7,CE16*CE17,MAX(0,CE17-8)*CE16)))+((IF(CE16&lt;=0,0,IF(WEEKDAY(CE$6,1)=1,0,IF(WEEKDAY(CE$6,1)=7,0,MIN(8,CE17)*CE16))))-MIN(IF(CE16&lt;=0,0,IF(WEEKDAY(CE$6,1)=1,0,IF(WEEKDAY(CE$6,1)=7,0,MIN(8,CE17)*CE16))),MAX(0,40*MAX(1,CE16)-(CC18+CD18)))))</f>
        <v>4</v>
      </c>
      <c r="CF19" s="63">
        <f>IF(AND(CF16=1,CF17=12),4,IF(CF16&lt;=0,0,IF(WEEKDAY(CF$6,1)=1,0,IF(WEEKDAY(CF$6,1)=7,CF16*CF17,MAX(0,CF17-8)*CF16)))+((IF(CF16&lt;=0,0,IF(WEEKDAY(CF$6,1)=1,0,IF(WEEKDAY(CF$6,1)=7,0,MIN(8,CF17)*CF16))))-MIN(IF(CF16&lt;=0,0,IF(WEEKDAY(CF$6,1)=1,0,IF(WEEKDAY(CF$6,1)=7,0,MIN(8,CF17)*CF16))),MAX(0,40*MAX(1,CF16)-(CC18+CD18+CE18)))))</f>
        <v>4</v>
      </c>
      <c r="CG19" s="63">
        <f>IF(AND(CG16=1,CG17=12),4,IF(CG16&lt;=0,0,IF(WEEKDAY(CG$6,1)=1,0,IF(WEEKDAY(CG$6,1)=7,CG16*CG17,MAX(0,CG17-8)*CG16)))+((IF(CG16&lt;=0,0,IF(WEEKDAY(CG$6,1)=1,0,IF(WEEKDAY(CG$6,1)=7,0,MIN(8,CG17)*CG16))))-MIN(IF(CG16&lt;=0,0,IF(WEEKDAY(CG$6,1)=1,0,IF(WEEKDAY(CG$6,1)=7,0,MIN(8,CG17)*CG16))),MAX(0,40*MAX(1,CG16)-(CC18+CD18+CE18+CF18)))))</f>
        <v>4</v>
      </c>
      <c r="CH19" s="64">
        <f>IF(AND(CH16=1,CH17=12),12,IF(CH16&lt;=0,0,IF(WEEKDAY(CH$6,1)=1,0,IF(WEEKDAY(CH$6,1)=7,CH16*CH17,MAX(0,CH17-8)*CH16)))+((IF(CH16&lt;=0,0,IF(WEEKDAY(CH$6,1)=1,0,IF(WEEKDAY(CH$6,1)=7,0,MIN(8,CH17)*CH16))))-MIN(IF(CH16&lt;=0,0,IF(WEEKDAY(CH$6,1)=1,0,IF(WEEKDAY(CH$6,1)=7,0,MIN(8,CH17)*CH16))),MAX(0,40*MAX(1,CH16)-(CC18+CD18+CE18+CF18+CG18)))))</f>
        <v>12</v>
      </c>
      <c r="CI19" s="64">
        <f>IF(AND(CI16=1,CI17=12),0,IF(CI16&lt;=0,0,IF(WEEKDAY(CI$6,1)=1,0,IF(WEEKDAY(CI$6,1)=7,CI16*CI17,MAX(0,CI17-8)*CI16)))+((IF(CI16&lt;=0,0,IF(WEEKDAY(CI$6,1)=1,0,IF(WEEKDAY(CI$6,1)=7,0,MIN(8,CI17)*CI16))))-MIN(IF(CI16&lt;=0,0,IF(WEEKDAY(CI$6,1)=1,0,IF(WEEKDAY(CI$6,1)=7,0,MIN(8,CI17)*CI16))),MAX(0,40*MAX(1,CI16)-(CC18+CD18+CE18+CF18+CG18+CH18)))))</f>
        <v>0</v>
      </c>
      <c r="CJ19" s="63">
        <f>IF(AND(CJ16=1,CJ17=12),4,IF(CJ16&lt;=0,0,IF(WEEKDAY(CJ$6,1)=1,0,IF(WEEKDAY(CJ$6,1)=7,CJ16*CJ17,MAX(0,CJ17-8)*CJ16)))+((IF(CJ16&lt;=0,0,IF(WEEKDAY(CJ$6,1)=1,0,IF(WEEKDAY(CJ$6,1)=7,0,MIN(8,CJ17)*CJ16))))-MIN(IF(CJ16&lt;=0,0,IF(WEEKDAY(CJ$6,1)=1,0,IF(WEEKDAY(CJ$6,1)=7,0,MIN(8,CJ17)*CJ16))),MAX(0,40*MAX(1,CJ16)-(0)))))</f>
        <v>4</v>
      </c>
      <c r="CK19" s="63">
        <f>IF(AND(CK16=1,CK17=12),4,IF(CK16&lt;=0,0,IF(WEEKDAY(CK$6,1)=1,0,IF(WEEKDAY(CK$6,1)=7,CK16*CK17,MAX(0,CK17-8)*CK16)))+((IF(CK16&lt;=0,0,IF(WEEKDAY(CK$6,1)=1,0,IF(WEEKDAY(CK$6,1)=7,0,MIN(8,CK17)*CK16))))-MIN(IF(CK16&lt;=0,0,IF(WEEKDAY(CK$6,1)=1,0,IF(WEEKDAY(CK$6,1)=7,0,MIN(8,CK17)*CK16))),MAX(0,40*MAX(1,CK16)-(CJ18)))))</f>
        <v>4</v>
      </c>
      <c r="CL19" s="63">
        <f>IF(AND(CL16=1,CL17=12),4,IF(CL16&lt;=0,0,IF(WEEKDAY(CL$6,1)=1,0,IF(WEEKDAY(CL$6,1)=7,CL16*CL17,MAX(0,CL17-8)*CL16)))+((IF(CL16&lt;=0,0,IF(WEEKDAY(CL$6,1)=1,0,IF(WEEKDAY(CL$6,1)=7,0,MIN(8,CL17)*CL16))))-MIN(IF(CL16&lt;=0,0,IF(WEEKDAY(CL$6,1)=1,0,IF(WEEKDAY(CL$6,1)=7,0,MIN(8,CL17)*CL16))),MAX(0,40*MAX(1,CL16)-(CJ18+CK18)))))</f>
        <v>4</v>
      </c>
      <c r="CM19" s="63">
        <f>IF(AND(CM16=1,CM17=12),4,IF(CM16&lt;=0,0,IF(WEEKDAY(CM$6,1)=1,0,IF(WEEKDAY(CM$6,1)=7,CM16*CM17,MAX(0,CM17-8)*CM16)))+((IF(CM16&lt;=0,0,IF(WEEKDAY(CM$6,1)=1,0,IF(WEEKDAY(CM$6,1)=7,0,MIN(8,CM17)*CM16))))-MIN(IF(CM16&lt;=0,0,IF(WEEKDAY(CM$6,1)=1,0,IF(WEEKDAY(CM$6,1)=7,0,MIN(8,CM17)*CM16))),MAX(0,40*MAX(1,CM16)-(CJ18+CK18+CL18)))))</f>
        <v>4</v>
      </c>
      <c r="CN19" s="63">
        <f>IF(AND(CN16=1,CN17=12),4,IF(CN16&lt;=0,0,IF(WEEKDAY(CN$6,1)=1,0,IF(WEEKDAY(CN$6,1)=7,CN16*CN17,MAX(0,CN17-8)*CN16)))+((IF(CN16&lt;=0,0,IF(WEEKDAY(CN$6,1)=1,0,IF(WEEKDAY(CN$6,1)=7,0,MIN(8,CN17)*CN16))))-MIN(IF(CN16&lt;=0,0,IF(WEEKDAY(CN$6,1)=1,0,IF(WEEKDAY(CN$6,1)=7,0,MIN(8,CN17)*CN16))),MAX(0,40*MAX(1,CN16)-(CJ18+CK18+CL18+CM18)))))</f>
        <v>4</v>
      </c>
      <c r="CO19" s="64">
        <f>IF(AND(CO16=1,CO17=12),12,IF(CO16&lt;=0,0,IF(WEEKDAY(CO$6,1)=1,0,IF(WEEKDAY(CO$6,1)=7,CO16*CO17,MAX(0,CO17-8)*CO16)))+((IF(CO16&lt;=0,0,IF(WEEKDAY(CO$6,1)=1,0,IF(WEEKDAY(CO$6,1)=7,0,MIN(8,CO17)*CO16))))-MIN(IF(CO16&lt;=0,0,IF(WEEKDAY(CO$6,1)=1,0,IF(WEEKDAY(CO$6,1)=7,0,MIN(8,CO17)*CO16))),MAX(0,40*MAX(1,CO16)-(CJ18+CK18+CL18+CM18+CN18)))))</f>
        <v>12</v>
      </c>
      <c r="CP19" s="64">
        <f>IF(AND(CP16=1,CP17=12),0,IF(CP16&lt;=0,0,IF(WEEKDAY(CP$6,1)=1,0,IF(WEEKDAY(CP$6,1)=7,CP16*CP17,MAX(0,CP17-8)*CP16)))+((IF(CP16&lt;=0,0,IF(WEEKDAY(CP$6,1)=1,0,IF(WEEKDAY(CP$6,1)=7,0,MIN(8,CP17)*CP16))))-MIN(IF(CP16&lt;=0,0,IF(WEEKDAY(CP$6,1)=1,0,IF(WEEKDAY(CP$6,1)=7,0,MIN(8,CP17)*CP16))),MAX(0,40*MAX(1,CP16)-(CJ18+CK18+CL18+CM18+CN18+CO18)))))</f>
        <v>0</v>
      </c>
      <c r="CQ19" s="63">
        <f>IF(AND(CQ16=1,CQ17=12),4,IF(CQ16&lt;=0,0,IF(WEEKDAY(CQ$6,1)=1,0,IF(WEEKDAY(CQ$6,1)=7,CQ16*CQ17,MAX(0,CQ17-8)*CQ16)))+((IF(CQ16&lt;=0,0,IF(WEEKDAY(CQ$6,1)=1,0,IF(WEEKDAY(CQ$6,1)=7,0,MIN(8,CQ17)*CQ16))))-MIN(IF(CQ16&lt;=0,0,IF(WEEKDAY(CQ$6,1)=1,0,IF(WEEKDAY(CQ$6,1)=7,0,MIN(8,CQ17)*CQ16))),MAX(0,40*MAX(1,CQ16)-(0)))))</f>
        <v>4</v>
      </c>
      <c r="CR19" s="63">
        <f>IF(AND(CR16=1,CR17=12),4,IF(CR16&lt;=0,0,IF(WEEKDAY(CR$6,1)=1,0,IF(WEEKDAY(CR$6,1)=7,CR16*CR17,MAX(0,CR17-8)*CR16)))+((IF(CR16&lt;=0,0,IF(WEEKDAY(CR$6,1)=1,0,IF(WEEKDAY(CR$6,1)=7,0,MIN(8,CR17)*CR16))))-MIN(IF(CR16&lt;=0,0,IF(WEEKDAY(CR$6,1)=1,0,IF(WEEKDAY(CR$6,1)=7,0,MIN(8,CR17)*CR16))),MAX(0,40*MAX(1,CR16)-(CQ18)))))</f>
        <v>4</v>
      </c>
      <c r="CS19" s="63">
        <f>IF(AND(CS16=1,CS17=12),4,IF(CS16&lt;=0,0,IF(WEEKDAY(CS$6,1)=1,0,IF(WEEKDAY(CS$6,1)=7,CS16*CS17,MAX(0,CS17-8)*CS16)))+((IF(CS16&lt;=0,0,IF(WEEKDAY(CS$6,1)=1,0,IF(WEEKDAY(CS$6,1)=7,0,MIN(8,CS17)*CS16))))-MIN(IF(CS16&lt;=0,0,IF(WEEKDAY(CS$6,1)=1,0,IF(WEEKDAY(CS$6,1)=7,0,MIN(8,CS17)*CS16))),MAX(0,40*MAX(1,CS16)-(CQ18+CR18)))))</f>
        <v>4</v>
      </c>
      <c r="CT19" s="63">
        <f>IF(AND(CT16=1,CT17=12),4,IF(CT16&lt;=0,0,IF(WEEKDAY(CT$6,1)=1,0,IF(WEEKDAY(CT$6,1)=7,CT16*CT17,MAX(0,CT17-8)*CT16)))+((IF(CT16&lt;=0,0,IF(WEEKDAY(CT$6,1)=1,0,IF(WEEKDAY(CT$6,1)=7,0,MIN(8,CT17)*CT16))))-MIN(IF(CT16&lt;=0,0,IF(WEEKDAY(CT$6,1)=1,0,IF(WEEKDAY(CT$6,1)=7,0,MIN(8,CT17)*CT16))),MAX(0,40*MAX(1,CT16)-(CQ18+CR18+CS18)))))</f>
        <v>4</v>
      </c>
      <c r="CU19" s="63">
        <f>IF(AND(CU16=1,CU17=12),4,IF(CU16&lt;=0,0,IF(WEEKDAY(CU$6,1)=1,0,IF(WEEKDAY(CU$6,1)=7,CU16*CU17,MAX(0,CU17-8)*CU16)))+((IF(CU16&lt;=0,0,IF(WEEKDAY(CU$6,1)=1,0,IF(WEEKDAY(CU$6,1)=7,0,MIN(8,CU17)*CU16))))-MIN(IF(CU16&lt;=0,0,IF(WEEKDAY(CU$6,1)=1,0,IF(WEEKDAY(CU$6,1)=7,0,MIN(8,CU17)*CU16))),MAX(0,40*MAX(1,CU16)-(CQ18+CR18+CS18+CT18)))))</f>
        <v>4</v>
      </c>
      <c r="CV19" s="64">
        <f>IF(AND(CV16=1,CV17=12),12,IF(CV16&lt;=0,0,IF(WEEKDAY(CV$6,1)=1,0,IF(WEEKDAY(CV$6,1)=7,CV16*CV17,MAX(0,CV17-8)*CV16)))+((IF(CV16&lt;=0,0,IF(WEEKDAY(CV$6,1)=1,0,IF(WEEKDAY(CV$6,1)=7,0,MIN(8,CV17)*CV16))))-MIN(IF(CV16&lt;=0,0,IF(WEEKDAY(CV$6,1)=1,0,IF(WEEKDAY(CV$6,1)=7,0,MIN(8,CV17)*CV16))),MAX(0,40*MAX(1,CV16)-(CQ18+CR18+CS18+CT18+CU18)))))</f>
        <v>12</v>
      </c>
      <c r="CW19" s="64">
        <f>IF(AND(CW16=1,CW17=12),0,IF(CW16&lt;=0,0,IF(WEEKDAY(CW$6,1)=1,0,IF(WEEKDAY(CW$6,1)=7,CW16*CW17,MAX(0,CW17-8)*CW16)))+((IF(CW16&lt;=0,0,IF(WEEKDAY(CW$6,1)=1,0,IF(WEEKDAY(CW$6,1)=7,0,MIN(8,CW17)*CW16))))-MIN(IF(CW16&lt;=0,0,IF(WEEKDAY(CW$6,1)=1,0,IF(WEEKDAY(CW$6,1)=7,0,MIN(8,CW17)*CW16))),MAX(0,40*MAX(1,CW16)-(CQ18+CR18+CS18+CT18+CU18+CV18)))))</f>
        <v>0</v>
      </c>
      <c r="CX19" s="63">
        <f>IF(AND(CX16=1,CX17=12),4,IF(CX16&lt;=0,0,IF(WEEKDAY(CX$6,1)=1,0,IF(WEEKDAY(CX$6,1)=7,CX16*CX17,MAX(0,CX17-8)*CX16)))+((IF(CX16&lt;=0,0,IF(WEEKDAY(CX$6,1)=1,0,IF(WEEKDAY(CX$6,1)=7,0,MIN(8,CX17)*CX16))))-MIN(IF(CX16&lt;=0,0,IF(WEEKDAY(CX$6,1)=1,0,IF(WEEKDAY(CX$6,1)=7,0,MIN(8,CX17)*CX16))),MAX(0,40*MAX(1,CX16)-(0)))))</f>
        <v>4</v>
      </c>
      <c r="CY19" s="63">
        <f>IF(AND(CY16=1,CY17=12),4,IF(CY16&lt;=0,0,IF(WEEKDAY(CY$6,1)=1,0,IF(WEEKDAY(CY$6,1)=7,CY16*CY17,MAX(0,CY17-8)*CY16)))+((IF(CY16&lt;=0,0,IF(WEEKDAY(CY$6,1)=1,0,IF(WEEKDAY(CY$6,1)=7,0,MIN(8,CY17)*CY16))))-MIN(IF(CY16&lt;=0,0,IF(WEEKDAY(CY$6,1)=1,0,IF(WEEKDAY(CY$6,1)=7,0,MIN(8,CY17)*CY16))),MAX(0,40*MAX(1,CY16)-(CX18)))))</f>
        <v>4</v>
      </c>
      <c r="CZ19" s="63">
        <f>IF(AND(CZ16=1,CZ17=12),4,IF(CZ16&lt;=0,0,IF(WEEKDAY(CZ$6,1)=1,0,IF(WEEKDAY(CZ$6,1)=7,CZ16*CZ17,MAX(0,CZ17-8)*CZ16)))+((IF(CZ16&lt;=0,0,IF(WEEKDAY(CZ$6,1)=1,0,IF(WEEKDAY(CZ$6,1)=7,0,MIN(8,CZ17)*CZ16))))-MIN(IF(CZ16&lt;=0,0,IF(WEEKDAY(CZ$6,1)=1,0,IF(WEEKDAY(CZ$6,1)=7,0,MIN(8,CZ17)*CZ16))),MAX(0,40*MAX(1,CZ16)-(CX18+CY18)))))</f>
        <v>4</v>
      </c>
      <c r="DA19" s="63">
        <f>IF(AND(DA16=1,DA17=12),4,IF(DA16&lt;=0,0,IF(WEEKDAY(DA$6,1)=1,0,IF(WEEKDAY(DA$6,1)=7,DA16*DA17,MAX(0,DA17-8)*DA16)))+((IF(DA16&lt;=0,0,IF(WEEKDAY(DA$6,1)=1,0,IF(WEEKDAY(DA$6,1)=7,0,MIN(8,DA17)*DA16))))-MIN(IF(DA16&lt;=0,0,IF(WEEKDAY(DA$6,1)=1,0,IF(WEEKDAY(DA$6,1)=7,0,MIN(8,DA17)*DA16))),MAX(0,40*MAX(1,DA16)-(CX18+CY18+CZ18)))))</f>
        <v>4</v>
      </c>
      <c r="DB19" s="63">
        <f>IF(AND(DB16=1,DB17=12),4,IF(DB16&lt;=0,0,IF(WEEKDAY(DB$6,1)=1,0,IF(WEEKDAY(DB$6,1)=7,DB16*DB17,MAX(0,DB17-8)*DB16)))+((IF(DB16&lt;=0,0,IF(WEEKDAY(DB$6,1)=1,0,IF(WEEKDAY(DB$6,1)=7,0,MIN(8,DB17)*DB16))))-MIN(IF(DB16&lt;=0,0,IF(WEEKDAY(DB$6,1)=1,0,IF(WEEKDAY(DB$6,1)=7,0,MIN(8,DB17)*DB16))),MAX(0,40*MAX(1,DB16)-(CX18+CY18+CZ18+DA18)))))</f>
        <v>4</v>
      </c>
      <c r="DC19" s="64">
        <f>IF(AND(DC16=1,DC17=12),12,IF(DC16&lt;=0,0,IF(WEEKDAY(DC$6,1)=1,0,IF(WEEKDAY(DC$6,1)=7,DC16*DC17,MAX(0,DC17-8)*DC16)))+((IF(DC16&lt;=0,0,IF(WEEKDAY(DC$6,1)=1,0,IF(WEEKDAY(DC$6,1)=7,0,MIN(8,DC17)*DC16))))-MIN(IF(DC16&lt;=0,0,IF(WEEKDAY(DC$6,1)=1,0,IF(WEEKDAY(DC$6,1)=7,0,MIN(8,DC17)*DC16))),MAX(0,40*MAX(1,DC16)-(CX18+CY18+CZ18+DA18+DB18)))))</f>
        <v>12</v>
      </c>
      <c r="DD19" s="64">
        <f>IF(AND(DD16=1,DD17=12),0,IF(DD16&lt;=0,0,IF(WEEKDAY(DD$6,1)=1,0,IF(WEEKDAY(DD$6,1)=7,DD16*DD17,MAX(0,DD17-8)*DD16)))+((IF(DD16&lt;=0,0,IF(WEEKDAY(DD$6,1)=1,0,IF(WEEKDAY(DD$6,1)=7,0,MIN(8,DD17)*DD16))))-MIN(IF(DD16&lt;=0,0,IF(WEEKDAY(DD$6,1)=1,0,IF(WEEKDAY(DD$6,1)=7,0,MIN(8,DD17)*DD16))),MAX(0,40*MAX(1,DD16)-(0)))))</f>
        <v>0</v>
      </c>
      <c r="DE19" s="63">
        <f>IF(AND(DE16=1,DE17=12),4,IF(DE16&lt;=0,0,IF(WEEKDAY(DE$6,1)=1,0,IF(WEEKDAY(DE$6,1)=7,DE16*DE17,MAX(0,DE17-8)*DE16)))+((IF(DE16&lt;=0,0,IF(WEEKDAY(DE$6,1)=1,0,IF(WEEKDAY(DE$6,1)=7,0,MIN(8,DE17)*DE16))))-MIN(IF(DE16&lt;=0,0,IF(WEEKDAY(DE$6,1)=1,0,IF(WEEKDAY(DE$6,1)=7,0,MIN(8,DE17)*DE16))),MAX(0,40*MAX(1,DE16)-(0)))))</f>
        <v>4</v>
      </c>
      <c r="DF19" s="63">
        <f>IF(AND(DF16=1,DF17=12),4,IF(DF16&lt;=0,0,IF(WEEKDAY(DF$6,1)=1,0,IF(WEEKDAY(DF$6,1)=7,DF16*DF17,MAX(0,DF17-8)*DF16)))+((IF(DF16&lt;=0,0,IF(WEEKDAY(DF$6,1)=1,0,IF(WEEKDAY(DF$6,1)=7,0,MIN(8,DF17)*DF16))))-MIN(IF(DF16&lt;=0,0,IF(WEEKDAY(DF$6,1)=1,0,IF(WEEKDAY(DF$6,1)=7,0,MIN(8,DF17)*DF16))),MAX(0,40*MAX(1,DF16)-(DE18)))))</f>
        <v>4</v>
      </c>
      <c r="DG19" s="63">
        <f>IF(AND(DG16=1,DG17=12),4,IF(DG16&lt;=0,0,IF(WEEKDAY(DG$6,1)=1,0,IF(WEEKDAY(DG$6,1)=7,DG16*DG17,MAX(0,DG17-8)*DG16)))+((IF(DG16&lt;=0,0,IF(WEEKDAY(DG$6,1)=1,0,IF(WEEKDAY(DG$6,1)=7,0,MIN(8,DG17)*DG16))))-MIN(IF(DG16&lt;=0,0,IF(WEEKDAY(DG$6,1)=1,0,IF(WEEKDAY(DG$6,1)=7,0,MIN(8,DG17)*DG16))),MAX(0,40*MAX(1,DG16)-(DE18+DF18)))))</f>
        <v>4</v>
      </c>
      <c r="DH19" s="63">
        <f>IF(AND(DH16=1,DH17=12),4,IF(DH16&lt;=0,0,IF(WEEKDAY(DH$6,1)=1,0,IF(WEEKDAY(DH$6,1)=7,DH16*DH17,MAX(0,DH17-8)*DH16)))+((IF(DH16&lt;=0,0,IF(WEEKDAY(DH$6,1)=1,0,IF(WEEKDAY(DH$6,1)=7,0,MIN(8,DH17)*DH16))))-MIN(IF(DH16&lt;=0,0,IF(WEEKDAY(DH$6,1)=1,0,IF(WEEKDAY(DH$6,1)=7,0,MIN(8,DH17)*DH16))),MAX(0,40*MAX(1,DH16)-(DE18+DF18+DG18)))))</f>
        <v>4</v>
      </c>
      <c r="DI19" s="63">
        <f>IF(AND(DI16=1,DI17=12),4,IF(DI16&lt;=0,0,IF(WEEKDAY(DI$6,1)=1,0,IF(WEEKDAY(DI$6,1)=7,DI16*DI17,MAX(0,DI17-8)*DI16)))+((IF(DI16&lt;=0,0,IF(WEEKDAY(DI$6,1)=1,0,IF(WEEKDAY(DI$6,1)=7,0,MIN(8,DI17)*DI16))))-MIN(IF(DI16&lt;=0,0,IF(WEEKDAY(DI$6,1)=1,0,IF(WEEKDAY(DI$6,1)=7,0,MIN(8,DI17)*DI16))),MAX(0,40*MAX(1,DI16)-(DE18+DF18+DG18+DH18)))))</f>
        <v>4</v>
      </c>
      <c r="DJ19" s="64">
        <f>IF(AND(DJ16=1,DJ17=12),12,IF(DJ16&lt;=0,0,IF(WEEKDAY(DJ$6,1)=1,0,IF(WEEKDAY(DJ$6,1)=7,DJ16*DJ17,MAX(0,DJ17-8)*DJ16)))+((IF(DJ16&lt;=0,0,IF(WEEKDAY(DJ$6,1)=1,0,IF(WEEKDAY(DJ$6,1)=7,0,MIN(8,DJ17)*DJ16))))-MIN(IF(DJ16&lt;=0,0,IF(WEEKDAY(DJ$6,1)=1,0,IF(WEEKDAY(DJ$6,1)=7,0,MIN(8,DJ17)*DJ16))),MAX(0,40*MAX(1,DJ16)-(DE18+DF18+DG18+DH18+DI18)))))</f>
        <v>12</v>
      </c>
      <c r="DK19" s="64">
        <f>IF(AND(DK16=1,DK17=12),0,IF(DK16&lt;=0,0,IF(WEEKDAY(DK$6,1)=1,0,IF(WEEKDAY(DK$6,1)=7,DK16*DK17,MAX(0,DK17-8)*DK16)))+((IF(DK16&lt;=0,0,IF(WEEKDAY(DK$6,1)=1,0,IF(WEEKDAY(DK$6,1)=7,0,MIN(8,DK17)*DK16))))-MIN(IF(DK16&lt;=0,0,IF(WEEKDAY(DK$6,1)=1,0,IF(WEEKDAY(DK$6,1)=7,0,MIN(8,DK17)*DK16))),MAX(0,40*MAX(1,DK16)-(DE18+DF18+DG18+DH18+DI18+DJ18)))))</f>
        <v>0</v>
      </c>
      <c r="DL19" s="63">
        <f>IF(AND(DL16=1,DL17=12),4,IF(DL16&lt;=0,0,IF(WEEKDAY(DL$6,1)=1,0,IF(WEEKDAY(DL$6,1)=7,DL16*DL17,MAX(0,DL17-8)*DL16)))+((IF(DL16&lt;=0,0,IF(WEEKDAY(DL$6,1)=1,0,IF(WEEKDAY(DL$6,1)=7,0,MIN(8,DL17)*DL16))))-MIN(IF(DL16&lt;=0,0,IF(WEEKDAY(DL$6,1)=1,0,IF(WEEKDAY(DL$6,1)=7,0,MIN(8,DL17)*DL16))),MAX(0,40*MAX(1,DL16)-(0)))))</f>
        <v>4</v>
      </c>
      <c r="DM19" s="63">
        <f>IF(AND(DM16=1,DM17=12),4,IF(DM16&lt;=0,0,IF(WEEKDAY(DM$6,1)=1,0,IF(WEEKDAY(DM$6,1)=7,DM16*DM17,MAX(0,DM17-8)*DM16)))+((IF(DM16&lt;=0,0,IF(WEEKDAY(DM$6,1)=1,0,IF(WEEKDAY(DM$6,1)=7,0,MIN(8,DM17)*DM16))))-MIN(IF(DM16&lt;=0,0,IF(WEEKDAY(DM$6,1)=1,0,IF(WEEKDAY(DM$6,1)=7,0,MIN(8,DM17)*DM16))),MAX(0,40*MAX(1,DM16)-(DL18)))))</f>
        <v>4</v>
      </c>
      <c r="DN19" s="63">
        <f>IF(AND(DN16=1,DN17=12),4,IF(DN16&lt;=0,0,IF(WEEKDAY(DN$6,1)=1,0,IF(WEEKDAY(DN$6,1)=7,DN16*DN17,MAX(0,DN17-8)*DN16)))+((IF(DN16&lt;=0,0,IF(WEEKDAY(DN$6,1)=1,0,IF(WEEKDAY(DN$6,1)=7,0,MIN(8,DN17)*DN16))))-MIN(IF(DN16&lt;=0,0,IF(WEEKDAY(DN$6,1)=1,0,IF(WEEKDAY(DN$6,1)=7,0,MIN(8,DN17)*DN16))),MAX(0,40*MAX(1,DN16)-(DL18+DM18)))))</f>
        <v>4</v>
      </c>
      <c r="DO19" s="63">
        <f>IF(AND(DO16=1,DO17=12),4,IF(DO16&lt;=0,0,IF(WEEKDAY(DO$6,1)=1,0,IF(WEEKDAY(DO$6,1)=7,DO16*DO17,MAX(0,DO17-8)*DO16)))+((IF(DO16&lt;=0,0,IF(WEEKDAY(DO$6,1)=1,0,IF(WEEKDAY(DO$6,1)=7,0,MIN(8,DO17)*DO16))))-MIN(IF(DO16&lt;=0,0,IF(WEEKDAY(DO$6,1)=1,0,IF(WEEKDAY(DO$6,1)=7,0,MIN(8,DO17)*DO16))),MAX(0,40*MAX(1,DO16)-(DL18+DM18+DN18)))))</f>
        <v>4</v>
      </c>
      <c r="DP19" s="63">
        <f>IF(AND(DP16=1,DP17=12),4,IF(DP16&lt;=0,0,IF(WEEKDAY(DP$6,1)=1,0,IF(WEEKDAY(DP$6,1)=7,DP16*DP17,MAX(0,DP17-8)*DP16)))+((IF(DP16&lt;=0,0,IF(WEEKDAY(DP$6,1)=1,0,IF(WEEKDAY(DP$6,1)=7,0,MIN(8,DP17)*DP16))))-MIN(IF(DP16&lt;=0,0,IF(WEEKDAY(DP$6,1)=1,0,IF(WEEKDAY(DP$6,1)=7,0,MIN(8,DP17)*DP16))),MAX(0,40*MAX(1,DP16)-(DL18+DM18+DN18+DO18)))))</f>
        <v>4</v>
      </c>
      <c r="DQ19" s="64">
        <f>IF(AND(DQ16=1,DQ17=12),12,IF(DQ16&lt;=0,0,IF(WEEKDAY(DQ$6,1)=1,0,IF(WEEKDAY(DQ$6,1)=7,DQ16*DQ17,MAX(0,DQ17-8)*DQ16)))+((IF(DQ16&lt;=0,0,IF(WEEKDAY(DQ$6,1)=1,0,IF(WEEKDAY(DQ$6,1)=7,0,MIN(8,DQ17)*DQ16))))-MIN(IF(DQ16&lt;=0,0,IF(WEEKDAY(DQ$6,1)=1,0,IF(WEEKDAY(DQ$6,1)=7,0,MIN(8,DQ17)*DQ16))),MAX(0,40*MAX(1,DQ16)-(DL18+DM18+DN18+DO18+DP18)))))</f>
        <v>12</v>
      </c>
      <c r="DR19" s="64">
        <f>IF(AND(DR16=1,DR17=12),0,IF(DR16&lt;=0,0,IF(WEEKDAY(DR$6,1)=1,0,IF(WEEKDAY(DR$6,1)=7,DR16*DR17,MAX(0,DR17-8)*DR16)))+((IF(DR16&lt;=0,0,IF(WEEKDAY(DR$6,1)=1,0,IF(WEEKDAY(DR$6,1)=7,0,MIN(8,DR17)*DR16))))-MIN(IF(DR16&lt;=0,0,IF(WEEKDAY(DR$6,1)=1,0,IF(WEEKDAY(DR$6,1)=7,0,MIN(8,DR17)*DR16))),MAX(0,40*MAX(1,DR16)-(DL18+DM18+DN18+DO18+DP18+DQ18)))))</f>
        <v>0</v>
      </c>
      <c r="DS19" s="63">
        <f>IF(AND(DS16=1,DS17=12),4,IF(DS16&lt;=0,0,IF(WEEKDAY(DS$6,1)=1,0,IF(WEEKDAY(DS$6,1)=7,DS16*DS17,MAX(0,DS17-8)*DS16)))+((IF(DS16&lt;=0,0,IF(WEEKDAY(DS$6,1)=1,0,IF(WEEKDAY(DS$6,1)=7,0,MIN(8,DS17)*DS16))))-MIN(IF(DS16&lt;=0,0,IF(WEEKDAY(DS$6,1)=1,0,IF(WEEKDAY(DS$6,1)=7,0,MIN(8,DS17)*DS16))),MAX(0,40*MAX(1,DS16)-(0)))))</f>
        <v>4</v>
      </c>
      <c r="DT19" s="63">
        <f>IF(AND(DT16=0,DT17=0),0,IF(DT16&lt;=0,0,IF(WEEKDAY(DT$6,1)=1,0,IF(WEEKDAY(DT$6,1)=7,DT16*DT17,MAX(0,DT17-8)*DT16)))+((IF(DT16&lt;=0,0,IF(WEEKDAY(DT$6,1)=1,0,IF(WEEKDAY(DT$6,1)=7,0,MIN(8,DT17)*DT16))))-MIN(IF(DT16&lt;=0,0,IF(WEEKDAY(DT$6,1)=1,0,IF(WEEKDAY(DT$6,1)=7,0,MIN(8,DT17)*DT16))),MAX(0,40*MAX(1,DT16)-(0)))))</f>
        <v>0</v>
      </c>
      <c r="DU19" s="63">
        <f>IF(AND(DU16=0,DU17=0),0,IF(DU16&lt;=0,0,IF(WEEKDAY(DU$6,1)=1,0,IF(WEEKDAY(DU$6,1)=7,DU16*DU17,MAX(0,DU17-8)*DU16)))+((IF(DU16&lt;=0,0,IF(WEEKDAY(DU$6,1)=1,0,IF(WEEKDAY(DU$6,1)=7,0,MIN(8,DU17)*DU16))))-MIN(IF(DU16&lt;=0,0,IF(WEEKDAY(DU$6,1)=1,0,IF(WEEKDAY(DU$6,1)=7,0,MIN(8,DU17)*DU16))),MAX(0,40*MAX(1,DU16)-(DT18)))))</f>
        <v>0</v>
      </c>
      <c r="DV19" s="63">
        <f>IF(AND(DV16=0,DV17=0),0,IF(DV16&lt;=0,0,IF(WEEKDAY(DV$6,1)=1,0,IF(WEEKDAY(DV$6,1)=7,DV16*DV17,MAX(0,DV17-8)*DV16)))+((IF(DV16&lt;=0,0,IF(WEEKDAY(DV$6,1)=1,0,IF(WEEKDAY(DV$6,1)=7,0,MIN(8,DV17)*DV16))))-MIN(IF(DV16&lt;=0,0,IF(WEEKDAY(DV$6,1)=1,0,IF(WEEKDAY(DV$6,1)=7,0,MIN(8,DV17)*DV16))),MAX(0,40*MAX(1,DV16)-(DT18+DU18)))))</f>
        <v>0</v>
      </c>
      <c r="DW19" s="63">
        <f>IF(AND(DW16=0,DW17=0),0,IF(DW16&lt;=0,0,IF(WEEKDAY(DW$6,1)=1,0,IF(WEEKDAY(DW$6,1)=7,DW16*DW17,MAX(0,DW17-8)*DW16)))+((IF(DW16&lt;=0,0,IF(WEEKDAY(DW$6,1)=1,0,IF(WEEKDAY(DW$6,1)=7,0,MIN(8,DW17)*DW16))))-MIN(IF(DW16&lt;=0,0,IF(WEEKDAY(DW$6,1)=1,0,IF(WEEKDAY(DW$6,1)=7,0,MIN(8,DW17)*DW16))),MAX(0,40*MAX(1,DW16)-(DT18+DU18+DV18)))))</f>
        <v>0</v>
      </c>
      <c r="DX19" s="64">
        <f>IF(AND(DX16=0,DX17=0),0,IF(DX16&lt;=0,0,IF(WEEKDAY(DX$6,1)=1,0,IF(WEEKDAY(DX$6,1)=7,DX16*DX17,MAX(0,DX17-8)*DX16)))+((IF(DX16&lt;=0,0,IF(WEEKDAY(DX$6,1)=1,0,IF(WEEKDAY(DX$6,1)=7,0,MIN(8,DX17)*DX16))))-MIN(IF(DX16&lt;=0,0,IF(WEEKDAY(DX$6,1)=1,0,IF(WEEKDAY(DX$6,1)=7,0,MIN(8,DX17)*DX16))),MAX(0,40*MAX(1,DX16)-(DT18+DU18+DV18+DW18)))))</f>
        <v>0</v>
      </c>
      <c r="DY19" s="64">
        <f>IF(AND(DY16=0,DY17=0),0,IF(DY16&lt;=0,0,IF(WEEKDAY(DY$6,1)=1,0,IF(WEEKDAY(DY$6,1)=7,DY16*DY17,MAX(0,DY17-8)*DY16)))+((IF(DY16&lt;=0,0,IF(WEEKDAY(DY$6,1)=1,0,IF(WEEKDAY(DY$6,1)=7,0,MIN(8,DY17)*DY16))))-MIN(IF(DY16&lt;=0,0,IF(WEEKDAY(DY$6,1)=1,0,IF(WEEKDAY(DY$6,1)=7,0,MIN(8,DY17)*DY16))),MAX(0,40*MAX(1,DY16)-(DT18+DU18+DV18+DW18+DX18)))))</f>
        <v>0</v>
      </c>
      <c r="DZ19" s="63">
        <f>IF(AND(DZ16=0,DZ17=0),0,IF(DZ16&lt;=0,0,IF(WEEKDAY(DZ$6,1)=1,0,IF(WEEKDAY(DZ$6,1)=7,DZ16*DZ17,MAX(0,DZ17-8)*DZ16)))+((IF(DZ16&lt;=0,0,IF(WEEKDAY(DZ$6,1)=1,0,IF(WEEKDAY(DZ$6,1)=7,0,MIN(8,DZ17)*DZ16))))-MIN(IF(DZ16&lt;=0,0,IF(WEEKDAY(DZ$6,1)=1,0,IF(WEEKDAY(DZ$6,1)=7,0,MIN(8,DZ17)*DZ16))),MAX(0,40*MAX(1,DZ16)-(0)))))</f>
        <v>0</v>
      </c>
      <c r="EA19" s="63">
        <f>IF(AND(EA16=0,EA17=0),0,IF(EA16&lt;=0,0,IF(WEEKDAY(EA$6,1)=1,0,IF(WEEKDAY(EA$6,1)=7,EA16*EA17,MAX(0,EA17-8)*EA16)))+((IF(EA16&lt;=0,0,IF(WEEKDAY(EA$6,1)=1,0,IF(WEEKDAY(EA$6,1)=7,0,MIN(8,EA17)*EA16))))-MIN(IF(EA16&lt;=0,0,IF(WEEKDAY(EA$6,1)=1,0,IF(WEEKDAY(EA$6,1)=7,0,MIN(8,EA17)*EA16))),MAX(0,40*MAX(1,EA16)-(DZ18)))))</f>
        <v>0</v>
      </c>
      <c r="EB19" s="63">
        <f>IF(AND(EB16=0,EB17=0),0,IF(EB16&lt;=0,0,IF(WEEKDAY(EB$6,1)=1,0,IF(WEEKDAY(EB$6,1)=7,EB16*EB17,MAX(0,EB17-8)*EB16)))+((IF(EB16&lt;=0,0,IF(WEEKDAY(EB$6,1)=1,0,IF(WEEKDAY(EB$6,1)=7,0,MIN(8,EB17)*EB16))))-MIN(IF(EB16&lt;=0,0,IF(WEEKDAY(EB$6,1)=1,0,IF(WEEKDAY(EB$6,1)=7,0,MIN(8,EB17)*EB16))),MAX(0,40*MAX(1,EB16)-(DZ18+EA18)))))</f>
        <v>0</v>
      </c>
      <c r="EC19" s="63">
        <f>IF(AND(EC16=0,EC17=0),0,IF(EC16&lt;=0,0,IF(WEEKDAY(EC$6,1)=1,0,IF(WEEKDAY(EC$6,1)=7,EC16*EC17,MAX(0,EC17-8)*EC16)))+((IF(EC16&lt;=0,0,IF(WEEKDAY(EC$6,1)=1,0,IF(WEEKDAY(EC$6,1)=7,0,MIN(8,EC17)*EC16))))-MIN(IF(EC16&lt;=0,0,IF(WEEKDAY(EC$6,1)=1,0,IF(WEEKDAY(EC$6,1)=7,0,MIN(8,EC17)*EC16))),MAX(0,40*MAX(1,EC16)-(DZ18+EA18+EB18)))))</f>
        <v>0</v>
      </c>
      <c r="ED19" s="63">
        <f>IF(AND(ED16=0,ED17=0),0,IF(ED16&lt;=0,0,IF(WEEKDAY(ED$6,1)=1,0,IF(WEEKDAY(ED$6,1)=7,ED16*ED17,MAX(0,ED17-8)*ED16)))+((IF(ED16&lt;=0,0,IF(WEEKDAY(ED$6,1)=1,0,IF(WEEKDAY(ED$6,1)=7,0,MIN(8,ED17)*ED16))))-MIN(IF(ED16&lt;=0,0,IF(WEEKDAY(ED$6,1)=1,0,IF(WEEKDAY(ED$6,1)=7,0,MIN(8,ED17)*ED16))),MAX(0,40*MAX(1,ED16)-(DZ18+EA18+EB18+EC18)))))</f>
        <v>0</v>
      </c>
      <c r="EE19" s="64">
        <f>IF(AND(EE16=0,EE17=0),0,IF(EE16&lt;=0,0,IF(WEEKDAY(EE$6,1)=1,0,IF(WEEKDAY(EE$6,1)=7,EE16*EE17,MAX(0,EE17-8)*EE16)))+((IF(EE16&lt;=0,0,IF(WEEKDAY(EE$6,1)=1,0,IF(WEEKDAY(EE$6,1)=7,0,MIN(8,EE17)*EE16))))-MIN(IF(EE16&lt;=0,0,IF(WEEKDAY(EE$6,1)=1,0,IF(WEEKDAY(EE$6,1)=7,0,MIN(8,EE17)*EE16))),MAX(0,40*MAX(1,EE16)-(DZ18+EA18+EB18+EC18+ED18)))))</f>
        <v>0</v>
      </c>
      <c r="EF19" s="64">
        <f>IF(AND(EF16=0,EF17=0),0,IF(EF16&lt;=0,0,IF(WEEKDAY(EF$6,1)=1,0,IF(WEEKDAY(EF$6,1)=7,EF16*EF17,MAX(0,EF17-8)*EF16)))+((IF(EF16&lt;=0,0,IF(WEEKDAY(EF$6,1)=1,0,IF(WEEKDAY(EF$6,1)=7,0,MIN(8,EF17)*EF16))))-MIN(IF(EF16&lt;=0,0,IF(WEEKDAY(EF$6,1)=1,0,IF(WEEKDAY(EF$6,1)=7,0,MIN(8,EF17)*EF16))),MAX(0,40*MAX(1,EF16)-(DZ18+EA18+EB18+EC18+ED18+EE18)))))</f>
        <v>0</v>
      </c>
      <c r="EG19" s="63">
        <f>IF(AND(EG16=0,EG17=0),0,IF(EG16&lt;=0,0,IF(WEEKDAY(EG$6,1)=1,0,IF(WEEKDAY(EG$6,1)=7,EG16*EG17,MAX(0,EG17-8)*EG16)))+((IF(EG16&lt;=0,0,IF(WEEKDAY(EG$6,1)=1,0,IF(WEEKDAY(EG$6,1)=7,0,MIN(8,EG17)*EG16))))-MIN(IF(EG16&lt;=0,0,IF(WEEKDAY(EG$6,1)=1,0,IF(WEEKDAY(EG$6,1)=7,0,MIN(8,EG17)*EG16))),MAX(0,40*MAX(1,EG16)-(0)))))</f>
        <v>0</v>
      </c>
      <c r="EH19" s="63">
        <f>IF(AND(EH16=0,EH17=0),0,IF(EH16&lt;=0,0,IF(WEEKDAY(EH$6,1)=1,0,IF(WEEKDAY(EH$6,1)=7,EH16*EH17,MAX(0,EH17-8)*EH16)))+((IF(EH16&lt;=0,0,IF(WEEKDAY(EH$6,1)=1,0,IF(WEEKDAY(EH$6,1)=7,0,MIN(8,EH17)*EH16))))-MIN(IF(EH16&lt;=0,0,IF(WEEKDAY(EH$6,1)=1,0,IF(WEEKDAY(EH$6,1)=7,0,MIN(8,EH17)*EH16))),MAX(0,40*MAX(1,EH16)-(EG18)))))</f>
        <v>0</v>
      </c>
      <c r="EI19" s="63">
        <f>IF(AND(EI16=0,EI17=0),0,IF(EI16&lt;=0,0,IF(WEEKDAY(EI$6,1)=1,0,IF(WEEKDAY(EI$6,1)=7,EI16*EI17,MAX(0,EI17-8)*EI16)))+((IF(EI16&lt;=0,0,IF(WEEKDAY(EI$6,1)=1,0,IF(WEEKDAY(EI$6,1)=7,0,MIN(8,EI17)*EI16))))-MIN(IF(EI16&lt;=0,0,IF(WEEKDAY(EI$6,1)=1,0,IF(WEEKDAY(EI$6,1)=7,0,MIN(8,EI17)*EI16))),MAX(0,40*MAX(1,EI16)-(EG18+EH18)))))</f>
        <v>0</v>
      </c>
      <c r="EJ19" s="63">
        <f>IF(AND(EJ16=0,EJ17=0),0,IF(EJ16&lt;=0,0,IF(WEEKDAY(EJ$6,1)=1,0,IF(WEEKDAY(EJ$6,1)=7,EJ16*EJ17,MAX(0,EJ17-8)*EJ16)))+((IF(EJ16&lt;=0,0,IF(WEEKDAY(EJ$6,1)=1,0,IF(WEEKDAY(EJ$6,1)=7,0,MIN(8,EJ17)*EJ16))))-MIN(IF(EJ16&lt;=0,0,IF(WEEKDAY(EJ$6,1)=1,0,IF(WEEKDAY(EJ$6,1)=7,0,MIN(8,EJ17)*EJ16))),MAX(0,40*MAX(1,EJ16)-(EG18+EH18+EI18)))))</f>
        <v>0</v>
      </c>
      <c r="EK19" s="65">
        <f>IF(AND(EK16=0,EK17=0),0,IF(EK16&lt;=0,0,IF(WEEKDAY(EK$6,1)=1,0,IF(WEEKDAY(EK$6,1)=7,EK16*EK17,MAX(0,EK17-8)*EK16)))+((IF(EK16&lt;=0,0,IF(WEEKDAY(EK$6,1)=1,0,IF(WEEKDAY(EK$6,1)=7,0,MIN(8,EK17)*EK16))))-MIN(IF(EK16&lt;=0,0,IF(WEEKDAY(EK$6,1)=1,0,IF(WEEKDAY(EK$6,1)=7,0,MIN(8,EK17)*EK16))),MAX(0,40*MAX(1,EK16)-(EG18+EH18+EI18+EJ18)))))</f>
        <v>0</v>
      </c>
      <c r="OU19" s="28" t="s">
        <v>120</v>
      </c>
    </row>
    <row r="20" ht="16" customHeight="1" spans="1:411" x14ac:dyDescent="0.25">
      <c r="A20" s="74"/>
      <c r="B20" s="79"/>
      <c r="C20" s="61">
        <f>H15*N(D20)</f>
        <v>19229.4</v>
      </c>
      <c r="D20" s="61">
        <f>IF(TRIM(IF(TRIM(B19)&lt;&gt;"",B19,B15))="","No rate",IFERROR(INDEX('Rate Tables'!E$7:E$158,MATCH(IF(TRIM(B19)&lt;&gt;"",B19,B15),'Rate Tables'!A$7:A$158,0)),"No rate"))</f>
        <v>178.05</v>
      </c>
      <c r="E20" s="55" t="s">
        <v>64</v>
      </c>
      <c r="F20" s="49"/>
      <c r="G20" s="49"/>
      <c r="H20" s="49"/>
      <c r="I20" s="49"/>
      <c r="J20" s="50"/>
      <c r="K20" s="62">
        <f>IF(AND(K16=0,K17=0),0,IF(K16&lt;=0,0,IF(WEEKDAY(K$6,1)=1,K16*K17,0)))</f>
        <v>0</v>
      </c>
      <c r="L20" s="63">
        <f>IF(AND(L16=0,L17=0),0,IF(L16&lt;=0,0,IF(WEEKDAY(L$6,1)=1,L16*L17,0)))</f>
        <v>0</v>
      </c>
      <c r="M20" s="63">
        <f>IF(AND(M16=0,M17=0),0,IF(M16&lt;=0,0,IF(WEEKDAY(M$6,1)=1,M16*M17,0)))</f>
        <v>0</v>
      </c>
      <c r="N20" s="63">
        <f>IF(AND(N16=0,N17=0),0,IF(N16&lt;=0,0,IF(WEEKDAY(N$6,1)=1,N16*N17,0)))</f>
        <v>0</v>
      </c>
      <c r="O20" s="63">
        <f>IF(AND(O16=0,O17=0),0,IF(O16&lt;=0,0,IF(WEEKDAY(O$6,1)=1,O16*O17,0)))</f>
        <v>0</v>
      </c>
      <c r="P20" s="64">
        <f>IF(AND(P16=0,P17=0),0,IF(P16&lt;=0,0,IF(WEEKDAY(P$6,1)=1,P16*P17,0)))</f>
        <v>0</v>
      </c>
      <c r="Q20" s="64">
        <f>IF(AND(Q16=0,Q17=0),0,IF(Q16&lt;=0,0,IF(WEEKDAY(Q$6,1)=1,Q16*Q17,0)))</f>
        <v>0</v>
      </c>
      <c r="R20" s="63">
        <f>IF(AND(R16=0,R17=0),0,IF(R16&lt;=0,0,IF(WEEKDAY(R$6,1)=1,R16*R17,0)))</f>
        <v>0</v>
      </c>
      <c r="S20" s="63">
        <f>IF(AND(S16=0,S17=0),0,IF(S16&lt;=0,0,IF(WEEKDAY(S$6,1)=1,S16*S17,0)))</f>
        <v>0</v>
      </c>
      <c r="T20" s="63">
        <f>IF(AND(T16=0,T17=0),0,IF(T16&lt;=0,0,IF(WEEKDAY(T$6,1)=1,T16*T17,0)))</f>
        <v>0</v>
      </c>
      <c r="U20" s="63">
        <f>IF(AND(U16=0,U17=0),0,IF(U16&lt;=0,0,IF(WEEKDAY(U$6,1)=1,U16*U17,0)))</f>
        <v>0</v>
      </c>
      <c r="V20" s="63">
        <f>IF(AND(V16=0,V17=0),0,IF(V16&lt;=0,0,IF(WEEKDAY(V$6,1)=1,V16*V17,0)))</f>
        <v>0</v>
      </c>
      <c r="W20" s="64">
        <f>IF(AND(W16=0,W17=0),0,IF(W16&lt;=0,0,IF(WEEKDAY(W$6,1)=1,W16*W17,0)))</f>
        <v>0</v>
      </c>
      <c r="X20" s="64">
        <f>IF(AND(X16=0,X17=0),0,IF(X16&lt;=0,0,IF(WEEKDAY(X$6,1)=1,X16*X17,0)))</f>
        <v>0</v>
      </c>
      <c r="Y20" s="63">
        <f>IF(AND(Y16=0,Y17=0),0,IF(Y16&lt;=0,0,IF(WEEKDAY(Y$6,1)=1,Y16*Y17,0)))</f>
        <v>0</v>
      </c>
      <c r="Z20" s="63">
        <f>IF(AND(Z16=0,Z17=0),0,IF(Z16&lt;=0,0,IF(WEEKDAY(Z$6,1)=1,Z16*Z17,0)))</f>
        <v>0</v>
      </c>
      <c r="AA20" s="63">
        <f>IF(AND(AA16=0,AA17=0),0,IF(AA16&lt;=0,0,IF(WEEKDAY(AA$6,1)=1,AA16*AA17,0)))</f>
        <v>0</v>
      </c>
      <c r="AB20" s="63">
        <f>IF(AND(AB16=0,AB17=0),0,IF(AB16&lt;=0,0,IF(WEEKDAY(AB$6,1)=1,AB16*AB17,0)))</f>
        <v>0</v>
      </c>
      <c r="AC20" s="63">
        <f>IF(AND(AC16=0,AC17=0),0,IF(AC16&lt;=0,0,IF(WEEKDAY(AC$6,1)=1,AC16*AC17,0)))</f>
        <v>0</v>
      </c>
      <c r="AD20" s="64">
        <f>IF(AND(AD16=0,AD17=0),0,IF(AD16&lt;=0,0,IF(WEEKDAY(AD$6,1)=1,AD16*AD17,0)))</f>
        <v>0</v>
      </c>
      <c r="AE20" s="64">
        <f>IF(AND(AE16=0,AE17=0),0,IF(AE16&lt;=0,0,IF(WEEKDAY(AE$6,1)=1,AE16*AE17,0)))</f>
        <v>0</v>
      </c>
      <c r="AF20" s="63">
        <f>IF(AND(AF16=0,AF17=0),0,IF(AF16&lt;=0,0,IF(WEEKDAY(AF$6,1)=1,AF16*AF17,0)))</f>
        <v>0</v>
      </c>
      <c r="AG20" s="63">
        <f>IF(AND(AG16=0,AG17=0),0,IF(AG16&lt;=0,0,IF(WEEKDAY(AG$6,1)=1,AG16*AG17,0)))</f>
        <v>0</v>
      </c>
      <c r="AH20" s="63">
        <f>IF(AND(AH16=0,AH17=0),0,IF(AH16&lt;=0,0,IF(WEEKDAY(AH$6,1)=1,AH16*AH17,0)))</f>
        <v>0</v>
      </c>
      <c r="AI20" s="63">
        <f>IF(AND(AI16=0,AI17=0),0,IF(AI16&lt;=0,0,IF(WEEKDAY(AI$6,1)=1,AI16*AI17,0)))</f>
        <v>0</v>
      </c>
      <c r="AJ20" s="63">
        <f>IF(AND(AJ16=0,AJ17=0),0,IF(AJ16&lt;=0,0,IF(WEEKDAY(AJ$6,1)=1,AJ16*AJ17,0)))</f>
        <v>0</v>
      </c>
      <c r="AK20" s="64">
        <f>IF(AND(AK16=0,AK17=0),0,IF(AK16&lt;=0,0,IF(WEEKDAY(AK$6,1)=1,AK16*AK17,0)))</f>
        <v>0</v>
      </c>
      <c r="AL20" s="64">
        <f>IF(AND(AL16=0,AL17=0),0,IF(AL16&lt;=0,0,IF(WEEKDAY(AL$6,1)=1,AL16*AL17,0)))</f>
        <v>0</v>
      </c>
      <c r="AM20" s="63">
        <f>IF(AND(AM16=0,AM17=0),0,IF(AM16&lt;=0,0,IF(WEEKDAY(AM$6,1)=1,AM16*AM17,0)))</f>
        <v>0</v>
      </c>
      <c r="AN20" s="63">
        <f>IF(AND(AN16=0,AN17=0),0,IF(AN16&lt;=0,0,IF(WEEKDAY(AN$6,1)=1,AN16*AN17,0)))</f>
        <v>0</v>
      </c>
      <c r="AO20" s="63">
        <f>IF(AND(AO16=0,AO17=0),0,IF(AO16&lt;=0,0,IF(WEEKDAY(AO$6,1)=1,AO16*AO17,0)))</f>
        <v>0</v>
      </c>
      <c r="AP20" s="63">
        <f>IF(AND(AP16=0,AP17=0),0,IF(AP16&lt;=0,0,IF(WEEKDAY(AP$6,1)=1,AP16*AP17,0)))</f>
        <v>0</v>
      </c>
      <c r="AQ20" s="63">
        <f>IF(AND(AQ16=0,AQ17=0),0,IF(AQ16&lt;=0,0,IF(WEEKDAY(AQ$6,1)=1,AQ16*AQ17,0)))</f>
        <v>0</v>
      </c>
      <c r="AR20" s="64">
        <f>IF(AND(AR16=0,AR17=0),0,IF(AR16&lt;=0,0,IF(WEEKDAY(AR$6,1)=1,AR16*AR17,0)))</f>
        <v>0</v>
      </c>
      <c r="AS20" s="64">
        <f>IF(AND(AS16=0,AS17=0),0,IF(AS16&lt;=0,0,IF(WEEKDAY(AS$6,1)=1,AS16*AS17,0)))</f>
        <v>0</v>
      </c>
      <c r="AT20" s="63">
        <f>IF(AND(AT16=0,AT17=0),0,IF(AT16&lt;=0,0,IF(WEEKDAY(AT$6,1)=1,AT16*AT17,0)))</f>
        <v>0</v>
      </c>
      <c r="AU20" s="63">
        <f>IF(AND(AU16=0,AU17=0),0,IF(AU16&lt;=0,0,IF(WEEKDAY(AU$6,1)=1,AU16*AU17,0)))</f>
        <v>0</v>
      </c>
      <c r="AV20" s="63">
        <f>IF(AND(AV16=0,AV17=0),0,IF(AV16&lt;=0,0,IF(WEEKDAY(AV$6,1)=1,AV16*AV17,0)))</f>
        <v>0</v>
      </c>
      <c r="AW20" s="63">
        <f>IF(AND(AW16=0,AW17=0),0,IF(AW16&lt;=0,0,IF(WEEKDAY(AW$6,1)=1,AW16*AW17,0)))</f>
        <v>0</v>
      </c>
      <c r="AX20" s="63">
        <f>IF(AND(AX16=0,AX17=0),0,IF(AX16&lt;=0,0,IF(WEEKDAY(AX$6,1)=1,AX16*AX17,0)))</f>
        <v>0</v>
      </c>
      <c r="AY20" s="64">
        <f>IF(AND(AY16=0,AY17=0),0,IF(AY16&lt;=0,0,IF(WEEKDAY(AY$6,1)=1,AY16*AY17,0)))</f>
        <v>0</v>
      </c>
      <c r="AZ20" s="64">
        <f>IF(AND(AZ16=0,AZ17=0),0,IF(AZ16&lt;=0,0,IF(WEEKDAY(AZ$6,1)=1,AZ16*AZ17,0)))</f>
        <v>0</v>
      </c>
      <c r="BA20" s="63">
        <f>IF(AND(BA16=0,BA17=0),0,IF(BA16&lt;=0,0,IF(WEEKDAY(BA$6,1)=1,BA16*BA17,0)))</f>
        <v>0</v>
      </c>
      <c r="BB20" s="63">
        <f>IF(AND(BB16=0,BB17=0),0,IF(BB16&lt;=0,0,IF(WEEKDAY(BB$6,1)=1,BB16*BB17,0)))</f>
        <v>0</v>
      </c>
      <c r="BC20" s="63">
        <f>IF(AND(BC16=0,BC17=0),0,IF(BC16&lt;=0,0,IF(WEEKDAY(BC$6,1)=1,BC16*BC17,0)))</f>
        <v>0</v>
      </c>
      <c r="BD20" s="63">
        <f>IF(AND(BD16=0,BD17=0),0,IF(BD16&lt;=0,0,IF(WEEKDAY(BD$6,1)=1,BD16*BD17,0)))</f>
        <v>0</v>
      </c>
      <c r="BE20" s="63">
        <f>IF(AND(BE16=0,BE17=0),0,IF(BE16&lt;=0,0,IF(WEEKDAY(BE$6,1)=1,BE16*BE17,0)))</f>
        <v>0</v>
      </c>
      <c r="BF20" s="64">
        <f>IF(AND(BF16=0,BF17=0),0,IF(BF16&lt;=0,0,IF(WEEKDAY(BF$6,1)=1,BF16*BF17,0)))</f>
        <v>0</v>
      </c>
      <c r="BG20" s="64">
        <f>IF(AND(BG16=0,BG17=0),0,IF(BG16&lt;=0,0,IF(WEEKDAY(BG$6,1)=1,BG16*BG17,0)))</f>
        <v>0</v>
      </c>
      <c r="BH20" s="63">
        <f>IF(AND(BH16=1,BH17=12),0,IF(BH16&lt;=0,0,IF(WEEKDAY(BH$6,1)=1,BH16*BH17,0)))</f>
        <v>0</v>
      </c>
      <c r="BI20" s="63">
        <f>IF(AND(BI16=1,BI17=12),0,IF(BI16&lt;=0,0,IF(WEEKDAY(BI$6,1)=1,BI16*BI17,0)))</f>
        <v>0</v>
      </c>
      <c r="BJ20" s="63">
        <f>IF(AND(BJ16=1,BJ17=12),0,IF(BJ16&lt;=0,0,IF(WEEKDAY(BJ$6,1)=1,BJ16*BJ17,0)))</f>
        <v>0</v>
      </c>
      <c r="BK20" s="63">
        <f>IF(AND(BK16=1,BK17=12),0,IF(BK16&lt;=0,0,IF(WEEKDAY(BK$6,1)=1,BK16*BK17,0)))</f>
        <v>0</v>
      </c>
      <c r="BL20" s="63">
        <f>IF(AND(BL16=1,BL17=12),0,IF(BL16&lt;=0,0,IF(WEEKDAY(BL$6,1)=1,BL16*BL17,0)))</f>
        <v>0</v>
      </c>
      <c r="BM20" s="64">
        <f>IF(AND(BM16=1,BM17=12),0,IF(BM16&lt;=0,0,IF(WEEKDAY(BM$6,1)=1,BM16*BM17,0)))</f>
        <v>0</v>
      </c>
      <c r="BN20" s="64">
        <f>IF(AND(BN16=1,BN17=12),12,IF(BN16&lt;=0,0,IF(WEEKDAY(BN$6,1)=1,BN16*BN17,0)))</f>
        <v>12</v>
      </c>
      <c r="BO20" s="63">
        <f>IF(AND(BO16=1,BO17=12),0,IF(BO16&lt;=0,0,IF(WEEKDAY(BO$6,1)=1,BO16*BO17,0)))</f>
        <v>0</v>
      </c>
      <c r="BP20" s="63">
        <f>IF(AND(BP16=1,BP17=12),0,IF(BP16&lt;=0,0,IF(WEEKDAY(BP$6,1)=1,BP16*BP17,0)))</f>
        <v>0</v>
      </c>
      <c r="BQ20" s="63">
        <f>IF(AND(BQ16=1,BQ17=12),0,IF(BQ16&lt;=0,0,IF(WEEKDAY(BQ$6,1)=1,BQ16*BQ17,0)))</f>
        <v>0</v>
      </c>
      <c r="BR20" s="63">
        <f>IF(AND(BR16=1,BR17=12),0,IF(BR16&lt;=0,0,IF(WEEKDAY(BR$6,1)=1,BR16*BR17,0)))</f>
        <v>0</v>
      </c>
      <c r="BS20" s="63">
        <f>IF(AND(BS16=1,BS17=12),0,IF(BS16&lt;=0,0,IF(WEEKDAY(BS$6,1)=1,BS16*BS17,0)))</f>
        <v>0</v>
      </c>
      <c r="BT20" s="64">
        <f>IF(AND(BT16=1,BT17=12),0,IF(BT16&lt;=0,0,IF(WEEKDAY(BT$6,1)=1,BT16*BT17,0)))</f>
        <v>0</v>
      </c>
      <c r="BU20" s="64">
        <f>IF(AND(BU16=1,BU17=12),12,IF(BU16&lt;=0,0,IF(WEEKDAY(BU$6,1)=1,BU16*BU17,0)))</f>
        <v>12</v>
      </c>
      <c r="BV20" s="63">
        <f>IF(AND(BV16=1,BV17=12),0,IF(BV16&lt;=0,0,IF(WEEKDAY(BV$6,1)=1,BV16*BV17,0)))</f>
        <v>0</v>
      </c>
      <c r="BW20" s="63">
        <f>IF(AND(BW16=1,BW17=12),0,IF(BW16&lt;=0,0,IF(WEEKDAY(BW$6,1)=1,BW16*BW17,0)))</f>
        <v>0</v>
      </c>
      <c r="BX20" s="63">
        <f>IF(AND(BX16=1,BX17=12),0,IF(BX16&lt;=0,0,IF(WEEKDAY(BX$6,1)=1,BX16*BX17,0)))</f>
        <v>0</v>
      </c>
      <c r="BY20" s="63">
        <f>IF(AND(BY16=1,BY17=12),0,IF(BY16&lt;=0,0,IF(WEEKDAY(BY$6,1)=1,BY16*BY17,0)))</f>
        <v>0</v>
      </c>
      <c r="BZ20" s="63">
        <f>IF(AND(BZ16=1,BZ17=12),0,IF(BZ16&lt;=0,0,IF(WEEKDAY(BZ$6,1)=1,BZ16*BZ17,0)))</f>
        <v>0</v>
      </c>
      <c r="CA20" s="64">
        <f>IF(AND(CA16=1,CA17=12),0,IF(CA16&lt;=0,0,IF(WEEKDAY(CA$6,1)=1,CA16*CA17,0)))</f>
        <v>0</v>
      </c>
      <c r="CB20" s="64">
        <f>IF(AND(CB16=1,CB17=12),12,IF(CB16&lt;=0,0,IF(WEEKDAY(CB$6,1)=1,CB16*CB17,0)))</f>
        <v>12</v>
      </c>
      <c r="CC20" s="63">
        <f>IF(AND(CC16=1,CC17=12),0,IF(CC16&lt;=0,0,IF(WEEKDAY(CC$6,1)=1,CC16*CC17,0)))</f>
        <v>0</v>
      </c>
      <c r="CD20" s="63">
        <f>IF(AND(CD16=1,CD17=12),0,IF(CD16&lt;=0,0,IF(WEEKDAY(CD$6,1)=1,CD16*CD17,0)))</f>
        <v>0</v>
      </c>
      <c r="CE20" s="63">
        <f>IF(AND(CE16=1,CE17=12),0,IF(CE16&lt;=0,0,IF(WEEKDAY(CE$6,1)=1,CE16*CE17,0)))</f>
        <v>0</v>
      </c>
      <c r="CF20" s="63">
        <f>IF(AND(CF16=1,CF17=12),0,IF(CF16&lt;=0,0,IF(WEEKDAY(CF$6,1)=1,CF16*CF17,0)))</f>
        <v>0</v>
      </c>
      <c r="CG20" s="63">
        <f>IF(AND(CG16=1,CG17=12),0,IF(CG16&lt;=0,0,IF(WEEKDAY(CG$6,1)=1,CG16*CG17,0)))</f>
        <v>0</v>
      </c>
      <c r="CH20" s="64">
        <f>IF(AND(CH16=1,CH17=12),0,IF(CH16&lt;=0,0,IF(WEEKDAY(CH$6,1)=1,CH16*CH17,0)))</f>
        <v>0</v>
      </c>
      <c r="CI20" s="64">
        <f>IF(AND(CI16=1,CI17=12),12,IF(CI16&lt;=0,0,IF(WEEKDAY(CI$6,1)=1,CI16*CI17,0)))</f>
        <v>12</v>
      </c>
      <c r="CJ20" s="63">
        <f>IF(AND(CJ16=1,CJ17=12),0,IF(CJ16&lt;=0,0,IF(WEEKDAY(CJ$6,1)=1,CJ16*CJ17,0)))</f>
        <v>0</v>
      </c>
      <c r="CK20" s="63">
        <f>IF(AND(CK16=1,CK17=12),0,IF(CK16&lt;=0,0,IF(WEEKDAY(CK$6,1)=1,CK16*CK17,0)))</f>
        <v>0</v>
      </c>
      <c r="CL20" s="63">
        <f>IF(AND(CL16=1,CL17=12),0,IF(CL16&lt;=0,0,IF(WEEKDAY(CL$6,1)=1,CL16*CL17,0)))</f>
        <v>0</v>
      </c>
      <c r="CM20" s="63">
        <f>IF(AND(CM16=1,CM17=12),0,IF(CM16&lt;=0,0,IF(WEEKDAY(CM$6,1)=1,CM16*CM17,0)))</f>
        <v>0</v>
      </c>
      <c r="CN20" s="63">
        <f>IF(AND(CN16=1,CN17=12),0,IF(CN16&lt;=0,0,IF(WEEKDAY(CN$6,1)=1,CN16*CN17,0)))</f>
        <v>0</v>
      </c>
      <c r="CO20" s="64">
        <f>IF(AND(CO16=1,CO17=12),0,IF(CO16&lt;=0,0,IF(WEEKDAY(CO$6,1)=1,CO16*CO17,0)))</f>
        <v>0</v>
      </c>
      <c r="CP20" s="64">
        <f>IF(AND(CP16=1,CP17=12),12,IF(CP16&lt;=0,0,IF(WEEKDAY(CP$6,1)=1,CP16*CP17,0)))</f>
        <v>12</v>
      </c>
      <c r="CQ20" s="63">
        <f>IF(AND(CQ16=1,CQ17=12),0,IF(CQ16&lt;=0,0,IF(WEEKDAY(CQ$6,1)=1,CQ16*CQ17,0)))</f>
        <v>0</v>
      </c>
      <c r="CR20" s="63">
        <f>IF(AND(CR16=1,CR17=12),0,IF(CR16&lt;=0,0,IF(WEEKDAY(CR$6,1)=1,CR16*CR17,0)))</f>
        <v>0</v>
      </c>
      <c r="CS20" s="63">
        <f>IF(AND(CS16=1,CS17=12),0,IF(CS16&lt;=0,0,IF(WEEKDAY(CS$6,1)=1,CS16*CS17,0)))</f>
        <v>0</v>
      </c>
      <c r="CT20" s="63">
        <f>IF(AND(CT16=1,CT17=12),0,IF(CT16&lt;=0,0,IF(WEEKDAY(CT$6,1)=1,CT16*CT17,0)))</f>
        <v>0</v>
      </c>
      <c r="CU20" s="63">
        <f>IF(AND(CU16=1,CU17=12),0,IF(CU16&lt;=0,0,IF(WEEKDAY(CU$6,1)=1,CU16*CU17,0)))</f>
        <v>0</v>
      </c>
      <c r="CV20" s="64">
        <f>IF(AND(CV16=1,CV17=12),0,IF(CV16&lt;=0,0,IF(WEEKDAY(CV$6,1)=1,CV16*CV17,0)))</f>
        <v>0</v>
      </c>
      <c r="CW20" s="64">
        <f>IF(AND(CW16=1,CW17=12),12,IF(CW16&lt;=0,0,IF(WEEKDAY(CW$6,1)=1,CW16*CW17,0)))</f>
        <v>12</v>
      </c>
      <c r="CX20" s="63">
        <f>IF(AND(CX16=1,CX17=12),0,IF(CX16&lt;=0,0,IF(WEEKDAY(CX$6,1)=1,CX16*CX17,0)))</f>
        <v>0</v>
      </c>
      <c r="CY20" s="63">
        <f>IF(AND(CY16=1,CY17=12),0,IF(CY16&lt;=0,0,IF(WEEKDAY(CY$6,1)=1,CY16*CY17,0)))</f>
        <v>0</v>
      </c>
      <c r="CZ20" s="63">
        <f>IF(AND(CZ16=1,CZ17=12),0,IF(CZ16&lt;=0,0,IF(WEEKDAY(CZ$6,1)=1,CZ16*CZ17,0)))</f>
        <v>0</v>
      </c>
      <c r="DA20" s="63">
        <f>IF(AND(DA16=1,DA17=12),0,IF(DA16&lt;=0,0,IF(WEEKDAY(DA$6,1)=1,DA16*DA17,0)))</f>
        <v>0</v>
      </c>
      <c r="DB20" s="63">
        <f>IF(AND(DB16=1,DB17=12),0,IF(DB16&lt;=0,0,IF(WEEKDAY(DB$6,1)=1,DB16*DB17,0)))</f>
        <v>0</v>
      </c>
      <c r="DC20" s="64">
        <f>IF(AND(DC16=1,DC17=12),0,IF(DC16&lt;=0,0,IF(WEEKDAY(DC$6,1)=1,DC16*DC17,0)))</f>
        <v>0</v>
      </c>
      <c r="DD20" s="64">
        <f>IF(AND(DD16=1,DD17=12),12,IF(DD16&lt;=0,0,IF(WEEKDAY(DD$6,1)=1,DD16*DD17,0)))</f>
        <v>12</v>
      </c>
      <c r="DE20" s="63">
        <f>IF(AND(DE16=1,DE17=12),0,IF(DE16&lt;=0,0,IF(WEEKDAY(DE$6,1)=1,DE16*DE17,0)))</f>
        <v>0</v>
      </c>
      <c r="DF20" s="63">
        <f>IF(AND(DF16=1,DF17=12),0,IF(DF16&lt;=0,0,IF(WEEKDAY(DF$6,1)=1,DF16*DF17,0)))</f>
        <v>0</v>
      </c>
      <c r="DG20" s="63">
        <f>IF(AND(DG16=1,DG17=12),0,IF(DG16&lt;=0,0,IF(WEEKDAY(DG$6,1)=1,DG16*DG17,0)))</f>
        <v>0</v>
      </c>
      <c r="DH20" s="63">
        <f>IF(AND(DH16=1,DH17=12),0,IF(DH16&lt;=0,0,IF(WEEKDAY(DH$6,1)=1,DH16*DH17,0)))</f>
        <v>0</v>
      </c>
      <c r="DI20" s="63">
        <f>IF(AND(DI16=1,DI17=12),0,IF(DI16&lt;=0,0,IF(WEEKDAY(DI$6,1)=1,DI16*DI17,0)))</f>
        <v>0</v>
      </c>
      <c r="DJ20" s="64">
        <f>IF(AND(DJ16=1,DJ17=12),0,IF(DJ16&lt;=0,0,IF(WEEKDAY(DJ$6,1)=1,DJ16*DJ17,0)))</f>
        <v>0</v>
      </c>
      <c r="DK20" s="64">
        <f>IF(AND(DK16=1,DK17=12),12,IF(DK16&lt;=0,0,IF(WEEKDAY(DK$6,1)=1,DK16*DK17,0)))</f>
        <v>12</v>
      </c>
      <c r="DL20" s="63">
        <f>IF(AND(DL16=1,DL17=12),0,IF(DL16&lt;=0,0,IF(WEEKDAY(DL$6,1)=1,DL16*DL17,0)))</f>
        <v>0</v>
      </c>
      <c r="DM20" s="63">
        <f>IF(AND(DM16=1,DM17=12),0,IF(DM16&lt;=0,0,IF(WEEKDAY(DM$6,1)=1,DM16*DM17,0)))</f>
        <v>0</v>
      </c>
      <c r="DN20" s="63">
        <f>IF(AND(DN16=1,DN17=12),0,IF(DN16&lt;=0,0,IF(WEEKDAY(DN$6,1)=1,DN16*DN17,0)))</f>
        <v>0</v>
      </c>
      <c r="DO20" s="63">
        <f>IF(AND(DO16=1,DO17=12),0,IF(DO16&lt;=0,0,IF(WEEKDAY(DO$6,1)=1,DO16*DO17,0)))</f>
        <v>0</v>
      </c>
      <c r="DP20" s="63">
        <f>IF(AND(DP16=1,DP17=12),0,IF(DP16&lt;=0,0,IF(WEEKDAY(DP$6,1)=1,DP16*DP17,0)))</f>
        <v>0</v>
      </c>
      <c r="DQ20" s="64">
        <f>IF(AND(DQ16=1,DQ17=12),0,IF(DQ16&lt;=0,0,IF(WEEKDAY(DQ$6,1)=1,DQ16*DQ17,0)))</f>
        <v>0</v>
      </c>
      <c r="DR20" s="64">
        <f>IF(AND(DR16=1,DR17=12),12,IF(DR16&lt;=0,0,IF(WEEKDAY(DR$6,1)=1,DR16*DR17,0)))</f>
        <v>12</v>
      </c>
      <c r="DS20" s="63">
        <f>IF(AND(DS16=1,DS17=12),0,IF(DS16&lt;=0,0,IF(WEEKDAY(DS$6,1)=1,DS16*DS17,0)))</f>
        <v>0</v>
      </c>
      <c r="DT20" s="63">
        <f>IF(AND(DT16=0,DT17=0),0,IF(DT16&lt;=0,0,IF(WEEKDAY(DT$6,1)=1,DT16*DT17,0)))</f>
        <v>0</v>
      </c>
      <c r="DU20" s="63">
        <f>IF(AND(DU16=0,DU17=0),0,IF(DU16&lt;=0,0,IF(WEEKDAY(DU$6,1)=1,DU16*DU17,0)))</f>
        <v>0</v>
      </c>
      <c r="DV20" s="63">
        <f>IF(AND(DV16=0,DV17=0),0,IF(DV16&lt;=0,0,IF(WEEKDAY(DV$6,1)=1,DV16*DV17,0)))</f>
        <v>0</v>
      </c>
      <c r="DW20" s="63">
        <f>IF(AND(DW16=0,DW17=0),0,IF(DW16&lt;=0,0,IF(WEEKDAY(DW$6,1)=1,DW16*DW17,0)))</f>
        <v>0</v>
      </c>
      <c r="DX20" s="64">
        <f>IF(AND(DX16=0,DX17=0),0,IF(DX16&lt;=0,0,IF(WEEKDAY(DX$6,1)=1,DX16*DX17,0)))</f>
        <v>0</v>
      </c>
      <c r="DY20" s="64">
        <f>IF(AND(DY16=0,DY17=0),0,IF(DY16&lt;=0,0,IF(WEEKDAY(DY$6,1)=1,DY16*DY17,0)))</f>
        <v>0</v>
      </c>
      <c r="DZ20" s="63">
        <f>IF(AND(DZ16=0,DZ17=0),0,IF(DZ16&lt;=0,0,IF(WEEKDAY(DZ$6,1)=1,DZ16*DZ17,0)))</f>
        <v>0</v>
      </c>
      <c r="EA20" s="63">
        <f>IF(AND(EA16=0,EA17=0),0,IF(EA16&lt;=0,0,IF(WEEKDAY(EA$6,1)=1,EA16*EA17,0)))</f>
        <v>0</v>
      </c>
      <c r="EB20" s="63">
        <f>IF(AND(EB16=0,EB17=0),0,IF(EB16&lt;=0,0,IF(WEEKDAY(EB$6,1)=1,EB16*EB17,0)))</f>
        <v>0</v>
      </c>
      <c r="EC20" s="63">
        <f>IF(AND(EC16=0,EC17=0),0,IF(EC16&lt;=0,0,IF(WEEKDAY(EC$6,1)=1,EC16*EC17,0)))</f>
        <v>0</v>
      </c>
      <c r="ED20" s="63">
        <f>IF(AND(ED16=0,ED17=0),0,IF(ED16&lt;=0,0,IF(WEEKDAY(ED$6,1)=1,ED16*ED17,0)))</f>
        <v>0</v>
      </c>
      <c r="EE20" s="64">
        <f>IF(AND(EE16=0,EE17=0),0,IF(EE16&lt;=0,0,IF(WEEKDAY(EE$6,1)=1,EE16*EE17,0)))</f>
        <v>0</v>
      </c>
      <c r="EF20" s="64">
        <f>IF(AND(EF16=0,EF17=0),0,IF(EF16&lt;=0,0,IF(WEEKDAY(EF$6,1)=1,EF16*EF17,0)))</f>
        <v>0</v>
      </c>
      <c r="EG20" s="63">
        <f>IF(AND(EG16=0,EG17=0),0,IF(EG16&lt;=0,0,IF(WEEKDAY(EG$6,1)=1,EG16*EG17,0)))</f>
        <v>0</v>
      </c>
      <c r="EH20" s="63">
        <f>IF(AND(EH16=0,EH17=0),0,IF(EH16&lt;=0,0,IF(WEEKDAY(EH$6,1)=1,EH16*EH17,0)))</f>
        <v>0</v>
      </c>
      <c r="EI20" s="63">
        <f>IF(AND(EI16=0,EI17=0),0,IF(EI16&lt;=0,0,IF(WEEKDAY(EI$6,1)=1,EI16*EI17,0)))</f>
        <v>0</v>
      </c>
      <c r="EJ20" s="63">
        <f>IF(AND(EJ16=0,EJ17=0),0,IF(EJ16&lt;=0,0,IF(WEEKDAY(EJ$6,1)=1,EJ16*EJ17,0)))</f>
        <v>0</v>
      </c>
      <c r="EK20" s="65">
        <f>IF(AND(EK16=0,EK17=0),0,IF(EK16&lt;=0,0,IF(WEEKDAY(EK$6,1)=1,EK16*EK17,0)))</f>
        <v>0</v>
      </c>
      <c r="OU20" s="28" t="s">
        <v>120</v>
      </c>
    </row>
    <row r="21" ht="16" customHeight="1" spans="1:411" x14ac:dyDescent="0.25">
      <c r="A21" s="74"/>
      <c r="B21" s="79"/>
      <c r="C21" s="67">
        <f>I15*D21</f>
        <v>4940</v>
      </c>
      <c r="D21" s="67">
        <v>130</v>
      </c>
      <c r="E21" s="68" t="s">
        <v>65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1">
        <v>0</v>
      </c>
      <c r="AS21" s="71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1">
        <v>0</v>
      </c>
      <c r="AZ21" s="71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1">
        <v>0</v>
      </c>
      <c r="BG21" s="71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1">
        <v>0</v>
      </c>
      <c r="BN21" s="71">
        <v>0</v>
      </c>
      <c r="BO21" s="70">
        <v>0</v>
      </c>
      <c r="BP21" s="70">
        <v>0</v>
      </c>
      <c r="BQ21" s="70">
        <v>0</v>
      </c>
      <c r="BR21" s="70">
        <v>1</v>
      </c>
      <c r="BS21" s="70">
        <v>1</v>
      </c>
      <c r="BT21" s="71">
        <v>1</v>
      </c>
      <c r="BU21" s="71">
        <v>1</v>
      </c>
      <c r="BV21" s="70">
        <v>1</v>
      </c>
      <c r="BW21" s="70">
        <v>1</v>
      </c>
      <c r="BX21" s="70">
        <v>1</v>
      </c>
      <c r="BY21" s="70">
        <v>1</v>
      </c>
      <c r="BZ21" s="70">
        <v>1</v>
      </c>
      <c r="CA21" s="71">
        <v>1</v>
      </c>
      <c r="CB21" s="71">
        <v>1</v>
      </c>
      <c r="CC21" s="70">
        <v>1</v>
      </c>
      <c r="CD21" s="70">
        <v>1</v>
      </c>
      <c r="CE21" s="70">
        <v>1</v>
      </c>
      <c r="CF21" s="70">
        <v>1</v>
      </c>
      <c r="CG21" s="70">
        <v>1</v>
      </c>
      <c r="CH21" s="71">
        <v>1</v>
      </c>
      <c r="CI21" s="71">
        <v>1</v>
      </c>
      <c r="CJ21" s="70">
        <v>1</v>
      </c>
      <c r="CK21" s="70">
        <v>1</v>
      </c>
      <c r="CL21" s="70">
        <v>1</v>
      </c>
      <c r="CM21" s="70">
        <v>1</v>
      </c>
      <c r="CN21" s="70">
        <v>1</v>
      </c>
      <c r="CO21" s="71">
        <v>1</v>
      </c>
      <c r="CP21" s="71">
        <v>1</v>
      </c>
      <c r="CQ21" s="70">
        <v>1</v>
      </c>
      <c r="CR21" s="70">
        <v>1</v>
      </c>
      <c r="CS21" s="70">
        <v>1</v>
      </c>
      <c r="CT21" s="70">
        <v>1</v>
      </c>
      <c r="CU21" s="70">
        <v>1</v>
      </c>
      <c r="CV21" s="71">
        <v>1</v>
      </c>
      <c r="CW21" s="71">
        <v>1</v>
      </c>
      <c r="CX21" s="70">
        <v>1</v>
      </c>
      <c r="CY21" s="70">
        <v>1</v>
      </c>
      <c r="CZ21" s="70">
        <v>1</v>
      </c>
      <c r="DA21" s="70">
        <v>1</v>
      </c>
      <c r="DB21" s="70">
        <v>1</v>
      </c>
      <c r="DC21" s="71">
        <v>1</v>
      </c>
      <c r="DD21" s="71">
        <v>0</v>
      </c>
      <c r="DE21" s="70">
        <v>0</v>
      </c>
      <c r="DF21" s="70">
        <v>0</v>
      </c>
      <c r="DG21" s="70">
        <v>0</v>
      </c>
      <c r="DH21" s="70">
        <v>0</v>
      </c>
      <c r="DI21" s="70">
        <v>0</v>
      </c>
      <c r="DJ21" s="71">
        <v>0</v>
      </c>
      <c r="DK21" s="71">
        <v>0</v>
      </c>
      <c r="DL21" s="70">
        <v>0</v>
      </c>
      <c r="DM21" s="70">
        <v>0</v>
      </c>
      <c r="DN21" s="70">
        <v>0</v>
      </c>
      <c r="DO21" s="70">
        <v>0</v>
      </c>
      <c r="DP21" s="70">
        <v>0</v>
      </c>
      <c r="DQ21" s="71">
        <v>0</v>
      </c>
      <c r="DR21" s="71">
        <v>0</v>
      </c>
      <c r="DS21" s="70">
        <v>0</v>
      </c>
      <c r="DT21" s="70">
        <v>0</v>
      </c>
      <c r="DU21" s="70">
        <v>0</v>
      </c>
      <c r="DV21" s="70">
        <v>0</v>
      </c>
      <c r="DW21" s="70">
        <v>0</v>
      </c>
      <c r="DX21" s="71">
        <v>0</v>
      </c>
      <c r="DY21" s="71">
        <v>0</v>
      </c>
      <c r="DZ21" s="70">
        <v>0</v>
      </c>
      <c r="EA21" s="70">
        <v>0</v>
      </c>
      <c r="EB21" s="70">
        <v>0</v>
      </c>
      <c r="EC21" s="70">
        <v>0</v>
      </c>
      <c r="ED21" s="70">
        <v>0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120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77" t="s">
        <v>121</v>
      </c>
      <c r="C23" s="47">
        <f>J23</f>
        <v>123467.67</v>
      </c>
      <c r="D23" s="48"/>
      <c r="E23" s="48"/>
      <c r="F23" s="49">
        <f>SUM(K26:EK26)</f>
        <v>720</v>
      </c>
      <c r="G23" s="49">
        <f>SUM(K27:EK27)</f>
        <v>327</v>
      </c>
      <c r="H23" s="49">
        <f>SUM(K28:EK28)</f>
        <v>108</v>
      </c>
      <c r="I23" s="49">
        <f>SUM(K29:EK29)</f>
        <v>9</v>
      </c>
      <c r="J23" s="50">
        <f>C26+C27+C28</f>
        <v>123467.67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122</v>
      </c>
    </row>
    <row r="24" ht="16" customHeight="1" spans="1:411" x14ac:dyDescent="0.25">
      <c r="A24" s="45"/>
      <c r="B24" s="77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1</v>
      </c>
      <c r="L24" s="57">
        <v>1</v>
      </c>
      <c r="M24" s="57">
        <v>1</v>
      </c>
      <c r="N24" s="57">
        <v>1</v>
      </c>
      <c r="O24" s="57">
        <v>1</v>
      </c>
      <c r="P24" s="58">
        <v>0</v>
      </c>
      <c r="Q24" s="58">
        <v>0</v>
      </c>
      <c r="R24" s="57">
        <v>1</v>
      </c>
      <c r="S24" s="57">
        <v>1</v>
      </c>
      <c r="T24" s="57">
        <v>1</v>
      </c>
      <c r="U24" s="57">
        <v>1</v>
      </c>
      <c r="V24" s="57">
        <v>1</v>
      </c>
      <c r="W24" s="58">
        <v>0</v>
      </c>
      <c r="X24" s="58">
        <v>0</v>
      </c>
      <c r="Y24" s="57">
        <v>1</v>
      </c>
      <c r="Z24" s="57">
        <v>1</v>
      </c>
      <c r="AA24" s="57">
        <v>1</v>
      </c>
      <c r="AB24" s="57">
        <v>1</v>
      </c>
      <c r="AC24" s="57">
        <v>1</v>
      </c>
      <c r="AD24" s="58">
        <v>0</v>
      </c>
      <c r="AE24" s="58">
        <v>0</v>
      </c>
      <c r="AF24" s="57">
        <v>1</v>
      </c>
      <c r="AG24" s="57">
        <v>1</v>
      </c>
      <c r="AH24" s="57">
        <v>1</v>
      </c>
      <c r="AI24" s="57">
        <v>1</v>
      </c>
      <c r="AJ24" s="57">
        <v>1</v>
      </c>
      <c r="AK24" s="58">
        <v>0</v>
      </c>
      <c r="AL24" s="58">
        <v>0</v>
      </c>
      <c r="AM24" s="57">
        <v>1</v>
      </c>
      <c r="AN24" s="57">
        <v>1</v>
      </c>
      <c r="AO24" s="57">
        <v>1</v>
      </c>
      <c r="AP24" s="57">
        <v>1</v>
      </c>
      <c r="AQ24" s="57">
        <v>1</v>
      </c>
      <c r="AR24" s="58">
        <v>0</v>
      </c>
      <c r="AS24" s="58">
        <v>0</v>
      </c>
      <c r="AT24" s="57">
        <v>1</v>
      </c>
      <c r="AU24" s="57">
        <v>1</v>
      </c>
      <c r="AV24" s="57">
        <v>1</v>
      </c>
      <c r="AW24" s="57">
        <v>1</v>
      </c>
      <c r="AX24" s="57">
        <v>1</v>
      </c>
      <c r="AY24" s="58">
        <v>0</v>
      </c>
      <c r="AZ24" s="58">
        <v>0</v>
      </c>
      <c r="BA24" s="57">
        <v>1</v>
      </c>
      <c r="BB24" s="57">
        <v>1</v>
      </c>
      <c r="BC24" s="57">
        <v>1</v>
      </c>
      <c r="BD24" s="57">
        <v>1</v>
      </c>
      <c r="BE24" s="57">
        <v>1</v>
      </c>
      <c r="BF24" s="58">
        <v>0</v>
      </c>
      <c r="BG24" s="58">
        <v>0</v>
      </c>
      <c r="BH24" s="57">
        <v>1</v>
      </c>
      <c r="BI24" s="57">
        <v>1</v>
      </c>
      <c r="BJ24" s="57">
        <v>1</v>
      </c>
      <c r="BK24" s="57">
        <v>1</v>
      </c>
      <c r="BL24" s="57">
        <v>1</v>
      </c>
      <c r="BM24" s="58">
        <v>1</v>
      </c>
      <c r="BN24" s="58">
        <v>1</v>
      </c>
      <c r="BO24" s="57">
        <v>1</v>
      </c>
      <c r="BP24" s="57">
        <v>1</v>
      </c>
      <c r="BQ24" s="57">
        <v>1</v>
      </c>
      <c r="BR24" s="57">
        <v>1</v>
      </c>
      <c r="BS24" s="57">
        <v>1</v>
      </c>
      <c r="BT24" s="58">
        <v>1</v>
      </c>
      <c r="BU24" s="58">
        <v>1</v>
      </c>
      <c r="BV24" s="57">
        <v>1</v>
      </c>
      <c r="BW24" s="57">
        <v>1</v>
      </c>
      <c r="BX24" s="57">
        <v>1</v>
      </c>
      <c r="BY24" s="57">
        <v>1</v>
      </c>
      <c r="BZ24" s="57">
        <v>1</v>
      </c>
      <c r="CA24" s="58">
        <v>1</v>
      </c>
      <c r="CB24" s="58">
        <v>1</v>
      </c>
      <c r="CC24" s="57">
        <v>1</v>
      </c>
      <c r="CD24" s="57">
        <v>1</v>
      </c>
      <c r="CE24" s="57">
        <v>1</v>
      </c>
      <c r="CF24" s="57">
        <v>1</v>
      </c>
      <c r="CG24" s="57">
        <v>1</v>
      </c>
      <c r="CH24" s="58">
        <v>1</v>
      </c>
      <c r="CI24" s="58">
        <v>1</v>
      </c>
      <c r="CJ24" s="57">
        <v>1</v>
      </c>
      <c r="CK24" s="57">
        <v>1</v>
      </c>
      <c r="CL24" s="57">
        <v>1</v>
      </c>
      <c r="CM24" s="57">
        <v>1</v>
      </c>
      <c r="CN24" s="57">
        <v>1</v>
      </c>
      <c r="CO24" s="58">
        <v>1</v>
      </c>
      <c r="CP24" s="58">
        <v>1</v>
      </c>
      <c r="CQ24" s="57">
        <v>1</v>
      </c>
      <c r="CR24" s="57">
        <v>1</v>
      </c>
      <c r="CS24" s="57">
        <v>1</v>
      </c>
      <c r="CT24" s="57">
        <v>1</v>
      </c>
      <c r="CU24" s="57">
        <v>1</v>
      </c>
      <c r="CV24" s="58">
        <v>1</v>
      </c>
      <c r="CW24" s="58">
        <v>1</v>
      </c>
      <c r="CX24" s="57">
        <v>1</v>
      </c>
      <c r="CY24" s="57">
        <v>1</v>
      </c>
      <c r="CZ24" s="57">
        <v>1</v>
      </c>
      <c r="DA24" s="57">
        <v>1</v>
      </c>
      <c r="DB24" s="57">
        <v>1</v>
      </c>
      <c r="DC24" s="58">
        <v>1</v>
      </c>
      <c r="DD24" s="58">
        <v>1</v>
      </c>
      <c r="DE24" s="57">
        <v>1</v>
      </c>
      <c r="DF24" s="57">
        <v>1</v>
      </c>
      <c r="DG24" s="57">
        <v>1</v>
      </c>
      <c r="DH24" s="57">
        <v>1</v>
      </c>
      <c r="DI24" s="57">
        <v>1</v>
      </c>
      <c r="DJ24" s="58">
        <v>1</v>
      </c>
      <c r="DK24" s="58">
        <v>1</v>
      </c>
      <c r="DL24" s="57">
        <v>1</v>
      </c>
      <c r="DM24" s="57">
        <v>1</v>
      </c>
      <c r="DN24" s="57">
        <v>1</v>
      </c>
      <c r="DO24" s="57">
        <v>1</v>
      </c>
      <c r="DP24" s="57">
        <v>1</v>
      </c>
      <c r="DQ24" s="58">
        <v>1</v>
      </c>
      <c r="DR24" s="58">
        <v>1</v>
      </c>
      <c r="DS24" s="57">
        <v>1</v>
      </c>
      <c r="DT24" s="57">
        <v>1</v>
      </c>
      <c r="DU24" s="57">
        <v>1</v>
      </c>
      <c r="DV24" s="57">
        <v>1</v>
      </c>
      <c r="DW24" s="57">
        <v>1</v>
      </c>
      <c r="DX24" s="58">
        <v>0</v>
      </c>
      <c r="DY24" s="58">
        <v>0</v>
      </c>
      <c r="DZ24" s="57">
        <v>1</v>
      </c>
      <c r="EA24" s="57">
        <v>1</v>
      </c>
      <c r="EB24" s="57">
        <v>1</v>
      </c>
      <c r="EC24" s="57">
        <v>1</v>
      </c>
      <c r="ED24" s="57">
        <v>1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122</v>
      </c>
    </row>
    <row r="25" ht="16" customHeight="1" spans="1:411" x14ac:dyDescent="0.25">
      <c r="A25" s="45"/>
      <c r="B25" s="77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9</v>
      </c>
      <c r="L25" s="57">
        <v>9</v>
      </c>
      <c r="M25" s="57">
        <v>9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9</v>
      </c>
      <c r="AN25" s="57">
        <v>9</v>
      </c>
      <c r="AO25" s="57">
        <v>9</v>
      </c>
      <c r="AP25" s="57">
        <v>9</v>
      </c>
      <c r="AQ25" s="57">
        <v>9</v>
      </c>
      <c r="AR25" s="58">
        <v>0</v>
      </c>
      <c r="AS25" s="58">
        <v>0</v>
      </c>
      <c r="AT25" s="57">
        <v>9</v>
      </c>
      <c r="AU25" s="57">
        <v>9</v>
      </c>
      <c r="AV25" s="57">
        <v>9</v>
      </c>
      <c r="AW25" s="57">
        <v>9</v>
      </c>
      <c r="AX25" s="57">
        <v>9</v>
      </c>
      <c r="AY25" s="58">
        <v>0</v>
      </c>
      <c r="AZ25" s="58">
        <v>0</v>
      </c>
      <c r="BA25" s="57">
        <v>9</v>
      </c>
      <c r="BB25" s="57">
        <v>9</v>
      </c>
      <c r="BC25" s="57">
        <v>9</v>
      </c>
      <c r="BD25" s="57">
        <v>9</v>
      </c>
      <c r="BE25" s="57">
        <v>9</v>
      </c>
      <c r="BF25" s="58">
        <v>0</v>
      </c>
      <c r="BG25" s="58">
        <v>0</v>
      </c>
      <c r="BH25" s="57">
        <v>12</v>
      </c>
      <c r="BI25" s="57">
        <v>12</v>
      </c>
      <c r="BJ25" s="57">
        <v>12</v>
      </c>
      <c r="BK25" s="57">
        <v>12</v>
      </c>
      <c r="BL25" s="57">
        <v>12</v>
      </c>
      <c r="BM25" s="58">
        <v>12</v>
      </c>
      <c r="BN25" s="58">
        <v>12</v>
      </c>
      <c r="BO25" s="57">
        <v>12</v>
      </c>
      <c r="BP25" s="57">
        <v>12</v>
      </c>
      <c r="BQ25" s="57">
        <v>12</v>
      </c>
      <c r="BR25" s="57">
        <v>12</v>
      </c>
      <c r="BS25" s="57">
        <v>12</v>
      </c>
      <c r="BT25" s="58">
        <v>12</v>
      </c>
      <c r="BU25" s="58">
        <v>12</v>
      </c>
      <c r="BV25" s="57">
        <v>12</v>
      </c>
      <c r="BW25" s="57">
        <v>12</v>
      </c>
      <c r="BX25" s="57">
        <v>12</v>
      </c>
      <c r="BY25" s="57">
        <v>12</v>
      </c>
      <c r="BZ25" s="57">
        <v>12</v>
      </c>
      <c r="CA25" s="58">
        <v>12</v>
      </c>
      <c r="CB25" s="58">
        <v>12</v>
      </c>
      <c r="CC25" s="57">
        <v>12</v>
      </c>
      <c r="CD25" s="57">
        <v>12</v>
      </c>
      <c r="CE25" s="57">
        <v>12</v>
      </c>
      <c r="CF25" s="57">
        <v>12</v>
      </c>
      <c r="CG25" s="57">
        <v>12</v>
      </c>
      <c r="CH25" s="58">
        <v>12</v>
      </c>
      <c r="CI25" s="58">
        <v>12</v>
      </c>
      <c r="CJ25" s="57">
        <v>12</v>
      </c>
      <c r="CK25" s="57">
        <v>12</v>
      </c>
      <c r="CL25" s="57">
        <v>12</v>
      </c>
      <c r="CM25" s="57">
        <v>12</v>
      </c>
      <c r="CN25" s="57">
        <v>12</v>
      </c>
      <c r="CO25" s="58">
        <v>12</v>
      </c>
      <c r="CP25" s="58">
        <v>12</v>
      </c>
      <c r="CQ25" s="57">
        <v>12</v>
      </c>
      <c r="CR25" s="57">
        <v>12</v>
      </c>
      <c r="CS25" s="57">
        <v>12</v>
      </c>
      <c r="CT25" s="57">
        <v>12</v>
      </c>
      <c r="CU25" s="57">
        <v>12</v>
      </c>
      <c r="CV25" s="58">
        <v>12</v>
      </c>
      <c r="CW25" s="58">
        <v>12</v>
      </c>
      <c r="CX25" s="57">
        <v>12</v>
      </c>
      <c r="CY25" s="57">
        <v>12</v>
      </c>
      <c r="CZ25" s="57">
        <v>12</v>
      </c>
      <c r="DA25" s="57">
        <v>12</v>
      </c>
      <c r="DB25" s="57">
        <v>12</v>
      </c>
      <c r="DC25" s="58">
        <v>12</v>
      </c>
      <c r="DD25" s="58">
        <v>12</v>
      </c>
      <c r="DE25" s="57">
        <v>12</v>
      </c>
      <c r="DF25" s="57">
        <v>12</v>
      </c>
      <c r="DG25" s="57">
        <v>12</v>
      </c>
      <c r="DH25" s="57">
        <v>12</v>
      </c>
      <c r="DI25" s="57">
        <v>12</v>
      </c>
      <c r="DJ25" s="58">
        <v>12</v>
      </c>
      <c r="DK25" s="58">
        <v>12</v>
      </c>
      <c r="DL25" s="57">
        <v>12</v>
      </c>
      <c r="DM25" s="57">
        <v>12</v>
      </c>
      <c r="DN25" s="57">
        <v>12</v>
      </c>
      <c r="DO25" s="57">
        <v>12</v>
      </c>
      <c r="DP25" s="57">
        <v>12</v>
      </c>
      <c r="DQ25" s="58">
        <v>12</v>
      </c>
      <c r="DR25" s="58">
        <v>12</v>
      </c>
      <c r="DS25" s="57">
        <v>12</v>
      </c>
      <c r="DT25" s="57">
        <v>8</v>
      </c>
      <c r="DU25" s="57">
        <v>8</v>
      </c>
      <c r="DV25" s="57">
        <v>8</v>
      </c>
      <c r="DW25" s="57">
        <v>8</v>
      </c>
      <c r="DX25" s="58">
        <v>0</v>
      </c>
      <c r="DY25" s="58">
        <v>0</v>
      </c>
      <c r="DZ25" s="57">
        <v>8</v>
      </c>
      <c r="EA25" s="57">
        <v>8</v>
      </c>
      <c r="EB25" s="57">
        <v>8</v>
      </c>
      <c r="EC25" s="57">
        <v>8</v>
      </c>
      <c r="ED25" s="57">
        <v>8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122</v>
      </c>
    </row>
    <row r="26" ht="16" customHeight="1" spans="1:411" x14ac:dyDescent="0.25">
      <c r="A26" s="45"/>
      <c r="B26" s="78" t="s">
        <v>119</v>
      </c>
      <c r="C26" s="61">
        <f>F23*N(D26)</f>
        <v>70272</v>
      </c>
      <c r="D26" s="61">
        <f>IF(TRIM(IF(TRIM(B27)&lt;&gt;"",B27,B23))="","No rate",IFERROR(INDEX('Rate Tables'!C$7:C$158,MATCH(IF(TRIM(B27)&lt;&gt;"",B27,B23),'Rate Tables'!A$7:A$158,0)),"No rate"))</f>
        <v>97.6</v>
      </c>
      <c r="E26" s="55" t="s">
        <v>62</v>
      </c>
      <c r="F26" s="49"/>
      <c r="G26" s="49"/>
      <c r="H26" s="49"/>
      <c r="I26" s="49"/>
      <c r="J26" s="50"/>
      <c r="K26" s="62">
        <f>IF(AND(K24=1,K25=9),8,MIN(IF(K24&lt;=0,0,IF(WEEKDAY(K$6,1)=1,0,IF(WEEKDAY(K$6,1)=7,0,MIN(8,K25)*K24))),MAX(0,40*MAX(1,K24)-(0))))</f>
        <v>8</v>
      </c>
      <c r="L26" s="63">
        <f>IF(AND(L24=1,L25=9),8,MIN(IF(L24&lt;=0,0,IF(WEEKDAY(L$6,1)=1,0,IF(WEEKDAY(L$6,1)=7,0,MIN(8,L25)*L24))),MAX(0,40*MAX(1,L24)-(K26))))</f>
        <v>8</v>
      </c>
      <c r="M26" s="63">
        <f>IF(AND(M24=1,M25=9),8,MIN(IF(M24&lt;=0,0,IF(WEEKDAY(M$6,1)=1,0,IF(WEEKDAY(M$6,1)=7,0,MIN(8,M25)*M24))),MAX(0,40*MAX(1,M24)-(K26+L26))))</f>
        <v>8</v>
      </c>
      <c r="N26" s="63">
        <f>IF(AND(N24=1,N25=9),8,MIN(IF(N24&lt;=0,0,IF(WEEKDAY(N$6,1)=1,0,IF(WEEKDAY(N$6,1)=7,0,MIN(8,N25)*N24))),MAX(0,40*MAX(1,N24)-(K26+L26+M26))))</f>
        <v>8</v>
      </c>
      <c r="O26" s="63">
        <f>IF(AND(O24=1,O25=9),8,MIN(IF(O24&lt;=0,0,IF(WEEKDAY(O$6,1)=1,0,IF(WEEKDAY(O$6,1)=7,0,MIN(8,O25)*O24))),MAX(0,40*MAX(1,O24)-(K26+L26+M26+N26))))</f>
        <v>8</v>
      </c>
      <c r="P26" s="64">
        <f>IF(AND(P24=0,P25=0),0,MIN(IF(P24&lt;=0,0,IF(WEEKDAY(P$6,1)=1,0,IF(WEEKDAY(P$6,1)=7,0,MIN(8,P25)*P24))),MAX(0,40*MAX(1,P24)-(0))))</f>
        <v>0</v>
      </c>
      <c r="Q26" s="64">
        <f>IF(AND(Q24=0,Q25=0),0,MIN(IF(Q24&lt;=0,0,IF(WEEKDAY(Q$6,1)=1,0,IF(WEEKDAY(Q$6,1)=7,0,MIN(8,Q25)*Q24))),MAX(0,40*MAX(1,Q24)-(P26))))</f>
        <v>0</v>
      </c>
      <c r="R26" s="63">
        <f>IF(AND(R24=1,R25=9),8,MIN(IF(R24&lt;=0,0,IF(WEEKDAY(R$6,1)=1,0,IF(WEEKDAY(R$6,1)=7,0,MIN(8,R25)*R24))),MAX(0,40*MAX(1,R24)-(0))))</f>
        <v>8</v>
      </c>
      <c r="S26" s="63">
        <f>IF(AND(S24=1,S25=9),8,MIN(IF(S24&lt;=0,0,IF(WEEKDAY(S$6,1)=1,0,IF(WEEKDAY(S$6,1)=7,0,MIN(8,S25)*S24))),MAX(0,40*MAX(1,S24)-(R26))))</f>
        <v>8</v>
      </c>
      <c r="T26" s="63">
        <f>IF(AND(T24=1,T25=9),8,MIN(IF(T24&lt;=0,0,IF(WEEKDAY(T$6,1)=1,0,IF(WEEKDAY(T$6,1)=7,0,MIN(8,T25)*T24))),MAX(0,40*MAX(1,T24)-(R26+S26))))</f>
        <v>8</v>
      </c>
      <c r="U26" s="63">
        <f>IF(AND(U24=1,U25=9),8,MIN(IF(U24&lt;=0,0,IF(WEEKDAY(U$6,1)=1,0,IF(WEEKDAY(U$6,1)=7,0,MIN(8,U25)*U24))),MAX(0,40*MAX(1,U24)-(R26+S26+T26))))</f>
        <v>8</v>
      </c>
      <c r="V26" s="63">
        <f>IF(AND(V24=1,V25=9),8,MIN(IF(V24&lt;=0,0,IF(WEEKDAY(V$6,1)=1,0,IF(WEEKDAY(V$6,1)=7,0,MIN(8,V25)*V24))),MAX(0,40*MAX(1,V24)-(R26+S26+T26+U26))))</f>
        <v>8</v>
      </c>
      <c r="W26" s="64">
        <f>IF(AND(W24=0,W25=0),0,MIN(IF(W24&lt;=0,0,IF(WEEKDAY(W$6,1)=1,0,IF(WEEKDAY(W$6,1)=7,0,MIN(8,W25)*W24))),MAX(0,40*MAX(1,W24)-(0))))</f>
        <v>0</v>
      </c>
      <c r="X26" s="64">
        <f>IF(AND(X24=0,X25=0),0,MIN(IF(X24&lt;=0,0,IF(WEEKDAY(X$6,1)=1,0,IF(WEEKDAY(X$6,1)=7,0,MIN(8,X25)*X24))),MAX(0,40*MAX(1,X24)-(W26))))</f>
        <v>0</v>
      </c>
      <c r="Y26" s="63">
        <f>IF(AND(Y24=1,Y25=9),8,MIN(IF(Y24&lt;=0,0,IF(WEEKDAY(Y$6,1)=1,0,IF(WEEKDAY(Y$6,1)=7,0,MIN(8,Y25)*Y24))),MAX(0,40*MAX(1,Y24)-(0))))</f>
        <v>8</v>
      </c>
      <c r="Z26" s="63">
        <f>IF(AND(Z24=1,Z25=9),8,MIN(IF(Z24&lt;=0,0,IF(WEEKDAY(Z$6,1)=1,0,IF(WEEKDAY(Z$6,1)=7,0,MIN(8,Z25)*Z24))),MAX(0,40*MAX(1,Z24)-(Y26))))</f>
        <v>8</v>
      </c>
      <c r="AA26" s="63">
        <f>IF(AND(AA24=1,AA25=9),8,MIN(IF(AA24&lt;=0,0,IF(WEEKDAY(AA$6,1)=1,0,IF(WEEKDAY(AA$6,1)=7,0,MIN(8,AA25)*AA24))),MAX(0,40*MAX(1,AA24)-(Y26+Z26))))</f>
        <v>8</v>
      </c>
      <c r="AB26" s="63">
        <f>IF(AND(AB24=1,AB25=9),8,MIN(IF(AB24&lt;=0,0,IF(WEEKDAY(AB$6,1)=1,0,IF(WEEKDAY(AB$6,1)=7,0,MIN(8,AB25)*AB24))),MAX(0,40*MAX(1,AB24)-(Y26+Z26+AA26))))</f>
        <v>8</v>
      </c>
      <c r="AC26" s="63">
        <f>IF(AND(AC24=1,AC25=9),8,MIN(IF(AC24&lt;=0,0,IF(WEEKDAY(AC$6,1)=1,0,IF(WEEKDAY(AC$6,1)=7,0,MIN(8,AC25)*AC24))),MAX(0,40*MAX(1,AC24)-(Y26+Z26+AA26+AB26))))</f>
        <v>8</v>
      </c>
      <c r="AD26" s="64">
        <f>IF(AND(AD24=0,AD25=0),0,MIN(IF(AD24&lt;=0,0,IF(WEEKDAY(AD$6,1)=1,0,IF(WEEKDAY(AD$6,1)=7,0,MIN(8,AD25)*AD24))),MAX(0,40*MAX(1,AD24)-(0))))</f>
        <v>0</v>
      </c>
      <c r="AE26" s="64">
        <f>IF(AND(AE24=0,AE25=0),0,MIN(IF(AE24&lt;=0,0,IF(WEEKDAY(AE$6,1)=1,0,IF(WEEKDAY(AE$6,1)=7,0,MIN(8,AE25)*AE24))),MAX(0,40*MAX(1,AE24)-(AD26))))</f>
        <v>0</v>
      </c>
      <c r="AF26" s="63">
        <f>IF(AND(AF24=1,AF25=9),8,MIN(IF(AF24&lt;=0,0,IF(WEEKDAY(AF$6,1)=1,0,IF(WEEKDAY(AF$6,1)=7,0,MIN(8,AF25)*AF24))),MAX(0,40*MAX(1,AF24)-(0))))</f>
        <v>8</v>
      </c>
      <c r="AG26" s="63">
        <f>IF(AND(AG24=1,AG25=9),8,MIN(IF(AG24&lt;=0,0,IF(WEEKDAY(AG$6,1)=1,0,IF(WEEKDAY(AG$6,1)=7,0,MIN(8,AG25)*AG24))),MAX(0,40*MAX(1,AG24)-(AF26))))</f>
        <v>8</v>
      </c>
      <c r="AH26" s="63">
        <f>IF(AND(AH24=1,AH25=9),8,MIN(IF(AH24&lt;=0,0,IF(WEEKDAY(AH$6,1)=1,0,IF(WEEKDAY(AH$6,1)=7,0,MIN(8,AH25)*AH24))),MAX(0,40*MAX(1,AH24)-(AF26+AG26))))</f>
        <v>8</v>
      </c>
      <c r="AI26" s="63">
        <f>IF(AND(AI24=1,AI25=9),8,MIN(IF(AI24&lt;=0,0,IF(WEEKDAY(AI$6,1)=1,0,IF(WEEKDAY(AI$6,1)=7,0,MIN(8,AI25)*AI24))),MAX(0,40*MAX(1,AI24)-(AF26+AG26+AH26))))</f>
        <v>8</v>
      </c>
      <c r="AJ26" s="63">
        <f>IF(AND(AJ24=1,AJ25=9),8,MIN(IF(AJ24&lt;=0,0,IF(WEEKDAY(AJ$6,1)=1,0,IF(WEEKDAY(AJ$6,1)=7,0,MIN(8,AJ25)*AJ24))),MAX(0,40*MAX(1,AJ24)-(AF26+AG26+AH26+AI26))))</f>
        <v>8</v>
      </c>
      <c r="AK26" s="64">
        <f>IF(AND(AK24=0,AK25=0),0,MIN(IF(AK24&lt;=0,0,IF(WEEKDAY(AK$6,1)=1,0,IF(WEEKDAY(AK$6,1)=7,0,MIN(8,AK25)*AK24))),MAX(0,40*MAX(1,AK24)-(0))))</f>
        <v>0</v>
      </c>
      <c r="AL26" s="64">
        <f>IF(AND(AL24=0,AL25=0),0,MIN(IF(AL24&lt;=0,0,IF(WEEKDAY(AL$6,1)=1,0,IF(WEEKDAY(AL$6,1)=7,0,MIN(8,AL25)*AL24))),MAX(0,40*MAX(1,AL24)-(AK26))))</f>
        <v>0</v>
      </c>
      <c r="AM26" s="63">
        <f>IF(AND(AM24=1,AM25=9),8,MIN(IF(AM24&lt;=0,0,IF(WEEKDAY(AM$6,1)=1,0,IF(WEEKDAY(AM$6,1)=7,0,MIN(8,AM25)*AM24))),MAX(0,40*MAX(1,AM24)-(0))))</f>
        <v>8</v>
      </c>
      <c r="AN26" s="63">
        <f>IF(AND(AN24=1,AN25=9),8,MIN(IF(AN24&lt;=0,0,IF(WEEKDAY(AN$6,1)=1,0,IF(WEEKDAY(AN$6,1)=7,0,MIN(8,AN25)*AN24))),MAX(0,40*MAX(1,AN24)-(AM26))))</f>
        <v>8</v>
      </c>
      <c r="AO26" s="63">
        <f>IF(AND(AO24=1,AO25=9),8,MIN(IF(AO24&lt;=0,0,IF(WEEKDAY(AO$6,1)=1,0,IF(WEEKDAY(AO$6,1)=7,0,MIN(8,AO25)*AO24))),MAX(0,40*MAX(1,AO24)-(AM26+AN26))))</f>
        <v>8</v>
      </c>
      <c r="AP26" s="63">
        <f>IF(AND(AP24=1,AP25=9),8,MIN(IF(AP24&lt;=0,0,IF(WEEKDAY(AP$6,1)=1,0,IF(WEEKDAY(AP$6,1)=7,0,MIN(8,AP25)*AP24))),MAX(0,40*MAX(1,AP24)-(AM26+AN26+AO26))))</f>
        <v>8</v>
      </c>
      <c r="AQ26" s="63">
        <f>IF(AND(AQ24=1,AQ25=9),8,MIN(IF(AQ24&lt;=0,0,IF(WEEKDAY(AQ$6,1)=1,0,IF(WEEKDAY(AQ$6,1)=7,0,MIN(8,AQ25)*AQ24))),MAX(0,40*MAX(1,AQ24)-(AM26+AN26+AO26+AP26))))</f>
        <v>8</v>
      </c>
      <c r="AR26" s="64">
        <f>IF(AND(AR24=0,AR25=0),0,MIN(IF(AR24&lt;=0,0,IF(WEEKDAY(AR$6,1)=1,0,IF(WEEKDAY(AR$6,1)=7,0,MIN(8,AR25)*AR24))),MAX(0,40*MAX(1,AR24)-(0))))</f>
        <v>0</v>
      </c>
      <c r="AS26" s="64">
        <f>IF(AND(AS24=0,AS25=0),0,MIN(IF(AS24&lt;=0,0,IF(WEEKDAY(AS$6,1)=1,0,IF(WEEKDAY(AS$6,1)=7,0,MIN(8,AS25)*AS24))),MAX(0,40*MAX(1,AS24)-(AR26))))</f>
        <v>0</v>
      </c>
      <c r="AT26" s="63">
        <f>IF(AND(AT24=1,AT25=9),8,MIN(IF(AT24&lt;=0,0,IF(WEEKDAY(AT$6,1)=1,0,IF(WEEKDAY(AT$6,1)=7,0,MIN(8,AT25)*AT24))),MAX(0,40*MAX(1,AT24)-(0))))</f>
        <v>8</v>
      </c>
      <c r="AU26" s="63">
        <f>IF(AND(AU24=1,AU25=9),8,MIN(IF(AU24&lt;=0,0,IF(WEEKDAY(AU$6,1)=1,0,IF(WEEKDAY(AU$6,1)=7,0,MIN(8,AU25)*AU24))),MAX(0,40*MAX(1,AU24)-(AT26))))</f>
        <v>8</v>
      </c>
      <c r="AV26" s="63">
        <f>IF(AND(AV24=1,AV25=9),8,MIN(IF(AV24&lt;=0,0,IF(WEEKDAY(AV$6,1)=1,0,IF(WEEKDAY(AV$6,1)=7,0,MIN(8,AV25)*AV24))),MAX(0,40*MAX(1,AV24)-(AT26+AU26))))</f>
        <v>8</v>
      </c>
      <c r="AW26" s="63">
        <f>IF(AND(AW24=1,AW25=9),8,MIN(IF(AW24&lt;=0,0,IF(WEEKDAY(AW$6,1)=1,0,IF(WEEKDAY(AW$6,1)=7,0,MIN(8,AW25)*AW24))),MAX(0,40*MAX(1,AW24)-(AT26+AU26+AV26))))</f>
        <v>8</v>
      </c>
      <c r="AX26" s="63">
        <f>IF(AND(AX24=1,AX25=9),8,MIN(IF(AX24&lt;=0,0,IF(WEEKDAY(AX$6,1)=1,0,IF(WEEKDAY(AX$6,1)=7,0,MIN(8,AX25)*AX24))),MAX(0,40*MAX(1,AX24)-(AT26+AU26+AV26+AW26))))</f>
        <v>8</v>
      </c>
      <c r="AY26" s="64">
        <f>IF(AND(AY24=0,AY25=0),0,MIN(IF(AY24&lt;=0,0,IF(WEEKDAY(AY$6,1)=1,0,IF(WEEKDAY(AY$6,1)=7,0,MIN(8,AY25)*AY24))),MAX(0,40*MAX(1,AY24)-(0))))</f>
        <v>0</v>
      </c>
      <c r="AZ26" s="64">
        <f>IF(AND(AZ24=0,AZ25=0),0,MIN(IF(AZ24&lt;=0,0,IF(WEEKDAY(AZ$6,1)=1,0,IF(WEEKDAY(AZ$6,1)=7,0,MIN(8,AZ25)*AZ24))),MAX(0,40*MAX(1,AZ24)-(AY26))))</f>
        <v>0</v>
      </c>
      <c r="BA26" s="63">
        <f>IF(AND(BA24=1,BA25=9),8,MIN(IF(BA24&lt;=0,0,IF(WEEKDAY(BA$6,1)=1,0,IF(WEEKDAY(BA$6,1)=7,0,MIN(8,BA25)*BA24))),MAX(0,40*MAX(1,BA24)-(0))))</f>
        <v>8</v>
      </c>
      <c r="BB26" s="63">
        <f>IF(AND(BB24=1,BB25=9),8,MIN(IF(BB24&lt;=0,0,IF(WEEKDAY(BB$6,1)=1,0,IF(WEEKDAY(BB$6,1)=7,0,MIN(8,BB25)*BB24))),MAX(0,40*MAX(1,BB24)-(BA26))))</f>
        <v>8</v>
      </c>
      <c r="BC26" s="63">
        <f>IF(AND(BC24=1,BC25=9),8,MIN(IF(BC24&lt;=0,0,IF(WEEKDAY(BC$6,1)=1,0,IF(WEEKDAY(BC$6,1)=7,0,MIN(8,BC25)*BC24))),MAX(0,40*MAX(1,BC24)-(BA26+BB26))))</f>
        <v>8</v>
      </c>
      <c r="BD26" s="63">
        <f>IF(AND(BD24=1,BD25=9),8,MIN(IF(BD24&lt;=0,0,IF(WEEKDAY(BD$6,1)=1,0,IF(WEEKDAY(BD$6,1)=7,0,MIN(8,BD25)*BD24))),MAX(0,40*MAX(1,BD24)-(BA26+BB26+BC26))))</f>
        <v>8</v>
      </c>
      <c r="BE26" s="63">
        <f>IF(AND(BE24=1,BE25=9),8,MIN(IF(BE24&lt;=0,0,IF(WEEKDAY(BE$6,1)=1,0,IF(WEEKDAY(BE$6,1)=7,0,MIN(8,BE25)*BE24))),MAX(0,40*MAX(1,BE24)-(BA26+BB26+BC26+BD26))))</f>
        <v>8</v>
      </c>
      <c r="BF26" s="64">
        <f>IF(AND(BF24=0,BF25=0),0,MIN(IF(BF24&lt;=0,0,IF(WEEKDAY(BF$6,1)=1,0,IF(WEEKDAY(BF$6,1)=7,0,MIN(8,BF25)*BF24))),MAX(0,40*MAX(1,BF24)-(0))))</f>
        <v>0</v>
      </c>
      <c r="BG26" s="64">
        <f>IF(AND(BG24=0,BG25=0),0,MIN(IF(BG24&lt;=0,0,IF(WEEKDAY(BG$6,1)=1,0,IF(WEEKDAY(BG$6,1)=7,0,MIN(8,BG25)*BG24))),MAX(0,40*MAX(1,BG24)-(BF26))))</f>
        <v>0</v>
      </c>
      <c r="BH26" s="63">
        <f>IF(AND(BH24=1,BH25=12),8,MIN(IF(BH24&lt;=0,0,IF(WEEKDAY(BH$6,1)=1,0,IF(WEEKDAY(BH$6,1)=7,0,MIN(8,BH25)*BH24))),MAX(0,40*MAX(1,BH24)-(0))))</f>
        <v>8</v>
      </c>
      <c r="BI26" s="63">
        <f>IF(AND(BI24=1,BI25=12),8,MIN(IF(BI24&lt;=0,0,IF(WEEKDAY(BI$6,1)=1,0,IF(WEEKDAY(BI$6,1)=7,0,MIN(8,BI25)*BI24))),MAX(0,40*MAX(1,BI24)-(BH26))))</f>
        <v>8</v>
      </c>
      <c r="BJ26" s="63">
        <f>IF(AND(BJ24=1,BJ25=12),8,MIN(IF(BJ24&lt;=0,0,IF(WEEKDAY(BJ$6,1)=1,0,IF(WEEKDAY(BJ$6,1)=7,0,MIN(8,BJ25)*BJ24))),MAX(0,40*MAX(1,BJ24)-(BH26+BI26))))</f>
        <v>8</v>
      </c>
      <c r="BK26" s="63">
        <f>IF(AND(BK24=1,BK25=12),8,MIN(IF(BK24&lt;=0,0,IF(WEEKDAY(BK$6,1)=1,0,IF(WEEKDAY(BK$6,1)=7,0,MIN(8,BK25)*BK24))),MAX(0,40*MAX(1,BK24)-(BH26+BI26+BJ26))))</f>
        <v>8</v>
      </c>
      <c r="BL26" s="63">
        <f>IF(AND(BL24=1,BL25=12),8,MIN(IF(BL24&lt;=0,0,IF(WEEKDAY(BL$6,1)=1,0,IF(WEEKDAY(BL$6,1)=7,0,MIN(8,BL25)*BL24))),MAX(0,40*MAX(1,BL24)-(BH26+BI26+BJ26+BK26))))</f>
        <v>8</v>
      </c>
      <c r="BM26" s="64">
        <f>IF(AND(BM24=1,BM25=12),0,MIN(IF(BM24&lt;=0,0,IF(WEEKDAY(BM$6,1)=1,0,IF(WEEKDAY(BM$6,1)=7,0,MIN(8,BM25)*BM24))),MAX(0,40*MAX(1,BM24)-(BH26+BI26+BJ26+BK26+BL26))))</f>
        <v>0</v>
      </c>
      <c r="BN26" s="64">
        <f>IF(AND(BN24=1,BN25=12),0,MIN(IF(BN24&lt;=0,0,IF(WEEKDAY(BN$6,1)=1,0,IF(WEEKDAY(BN$6,1)=7,0,MIN(8,BN25)*BN24))),MAX(0,40*MAX(1,BN24)-(BH26+BI26+BJ26+BK26+BL26+BM26))))</f>
        <v>0</v>
      </c>
      <c r="BO26" s="63">
        <f>IF(AND(BO24=1,BO25=12),8,MIN(IF(BO24&lt;=0,0,IF(WEEKDAY(BO$6,1)=1,0,IF(WEEKDAY(BO$6,1)=7,0,MIN(8,BO25)*BO24))),MAX(0,40*MAX(1,BO24)-(0))))</f>
        <v>8</v>
      </c>
      <c r="BP26" s="63">
        <f>IF(AND(BP24=1,BP25=12),8,MIN(IF(BP24&lt;=0,0,IF(WEEKDAY(BP$6,1)=1,0,IF(WEEKDAY(BP$6,1)=7,0,MIN(8,BP25)*BP24))),MAX(0,40*MAX(1,BP24)-(BO26))))</f>
        <v>8</v>
      </c>
      <c r="BQ26" s="63">
        <f>IF(AND(BQ24=1,BQ25=12),8,MIN(IF(BQ24&lt;=0,0,IF(WEEKDAY(BQ$6,1)=1,0,IF(WEEKDAY(BQ$6,1)=7,0,MIN(8,BQ25)*BQ24))),MAX(0,40*MAX(1,BQ24)-(BO26+BP26))))</f>
        <v>8</v>
      </c>
      <c r="BR26" s="63">
        <f>IF(AND(BR24=1,BR25=12),8,MIN(IF(BR24&lt;=0,0,IF(WEEKDAY(BR$6,1)=1,0,IF(WEEKDAY(BR$6,1)=7,0,MIN(8,BR25)*BR24))),MAX(0,40*MAX(1,BR24)-(0))))</f>
        <v>8</v>
      </c>
      <c r="BS26" s="63">
        <f>IF(AND(BS24=1,BS25=12),8,MIN(IF(BS24&lt;=0,0,IF(WEEKDAY(BS$6,1)=1,0,IF(WEEKDAY(BS$6,1)=7,0,MIN(8,BS25)*BS24))),MAX(0,40*MAX(1,BS24)-(BR26))))</f>
        <v>8</v>
      </c>
      <c r="BT26" s="64">
        <f>IF(AND(BT24=1,BT25=12),0,MIN(IF(BT24&lt;=0,0,IF(WEEKDAY(BT$6,1)=1,0,IF(WEEKDAY(BT$6,1)=7,0,MIN(8,BT25)*BT24))),MAX(0,40*MAX(1,BT24)-(BR26+BS26))))</f>
        <v>0</v>
      </c>
      <c r="BU26" s="64">
        <f>IF(AND(BU24=1,BU25=12),0,MIN(IF(BU24&lt;=0,0,IF(WEEKDAY(BU$6,1)=1,0,IF(WEEKDAY(BU$6,1)=7,0,MIN(8,BU25)*BU24))),MAX(0,40*MAX(1,BU24)-(BR26+BS26+BT26))))</f>
        <v>0</v>
      </c>
      <c r="BV26" s="63">
        <f>IF(AND(BV24=1,BV25=12),8,MIN(IF(BV24&lt;=0,0,IF(WEEKDAY(BV$6,1)=1,0,IF(WEEKDAY(BV$6,1)=7,0,MIN(8,BV25)*BV24))),MAX(0,40*MAX(1,BV24)-(0))))</f>
        <v>8</v>
      </c>
      <c r="BW26" s="63">
        <f>IF(AND(BW24=1,BW25=12),8,MIN(IF(BW24&lt;=0,0,IF(WEEKDAY(BW$6,1)=1,0,IF(WEEKDAY(BW$6,1)=7,0,MIN(8,BW25)*BW24))),MAX(0,40*MAX(1,BW24)-(BV26))))</f>
        <v>8</v>
      </c>
      <c r="BX26" s="63">
        <f>IF(AND(BX24=1,BX25=12),8,MIN(IF(BX24&lt;=0,0,IF(WEEKDAY(BX$6,1)=1,0,IF(WEEKDAY(BX$6,1)=7,0,MIN(8,BX25)*BX24))),MAX(0,40*MAX(1,BX24)-(BV26+BW26))))</f>
        <v>8</v>
      </c>
      <c r="BY26" s="63">
        <f>IF(AND(BY24=1,BY25=12),8,MIN(IF(BY24&lt;=0,0,IF(WEEKDAY(BY$6,1)=1,0,IF(WEEKDAY(BY$6,1)=7,0,MIN(8,BY25)*BY24))),MAX(0,40*MAX(1,BY24)-(BV26+BW26+BX26))))</f>
        <v>8</v>
      </c>
      <c r="BZ26" s="63">
        <f>IF(AND(BZ24=1,BZ25=12),8,MIN(IF(BZ24&lt;=0,0,IF(WEEKDAY(BZ$6,1)=1,0,IF(WEEKDAY(BZ$6,1)=7,0,MIN(8,BZ25)*BZ24))),MAX(0,40*MAX(1,BZ24)-(BV26+BW26+BX26+BY26))))</f>
        <v>8</v>
      </c>
      <c r="CA26" s="64">
        <f>IF(AND(CA24=1,CA25=12),0,MIN(IF(CA24&lt;=0,0,IF(WEEKDAY(CA$6,1)=1,0,IF(WEEKDAY(CA$6,1)=7,0,MIN(8,CA25)*CA24))),MAX(0,40*MAX(1,CA24)-(BV26+BW26+BX26+BY26+BZ26))))</f>
        <v>0</v>
      </c>
      <c r="CB26" s="64">
        <f>IF(AND(CB24=1,CB25=12),0,MIN(IF(CB24&lt;=0,0,IF(WEEKDAY(CB$6,1)=1,0,IF(WEEKDAY(CB$6,1)=7,0,MIN(8,CB25)*CB24))),MAX(0,40*MAX(1,CB24)-(BV26+BW26+BX26+BY26+BZ26+CA26))))</f>
        <v>0</v>
      </c>
      <c r="CC26" s="63">
        <f>IF(AND(CC24=1,CC25=12),8,MIN(IF(CC24&lt;=0,0,IF(WEEKDAY(CC$6,1)=1,0,IF(WEEKDAY(CC$6,1)=7,0,MIN(8,CC25)*CC24))),MAX(0,40*MAX(1,CC24)-(0))))</f>
        <v>8</v>
      </c>
      <c r="CD26" s="63">
        <f>IF(AND(CD24=1,CD25=12),8,MIN(IF(CD24&lt;=0,0,IF(WEEKDAY(CD$6,1)=1,0,IF(WEEKDAY(CD$6,1)=7,0,MIN(8,CD25)*CD24))),MAX(0,40*MAX(1,CD24)-(CC26))))</f>
        <v>8</v>
      </c>
      <c r="CE26" s="63">
        <f>IF(AND(CE24=1,CE25=12),8,MIN(IF(CE24&lt;=0,0,IF(WEEKDAY(CE$6,1)=1,0,IF(WEEKDAY(CE$6,1)=7,0,MIN(8,CE25)*CE24))),MAX(0,40*MAX(1,CE24)-(CC26+CD26))))</f>
        <v>8</v>
      </c>
      <c r="CF26" s="63">
        <f>IF(AND(CF24=1,CF25=12),8,MIN(IF(CF24&lt;=0,0,IF(WEEKDAY(CF$6,1)=1,0,IF(WEEKDAY(CF$6,1)=7,0,MIN(8,CF25)*CF24))),MAX(0,40*MAX(1,CF24)-(CC26+CD26+CE26))))</f>
        <v>8</v>
      </c>
      <c r="CG26" s="63">
        <f>IF(AND(CG24=1,CG25=12),8,MIN(IF(CG24&lt;=0,0,IF(WEEKDAY(CG$6,1)=1,0,IF(WEEKDAY(CG$6,1)=7,0,MIN(8,CG25)*CG24))),MAX(0,40*MAX(1,CG24)-(CC26+CD26+CE26+CF26))))</f>
        <v>8</v>
      </c>
      <c r="CH26" s="64">
        <f>IF(AND(CH24=1,CH25=12),0,MIN(IF(CH24&lt;=0,0,IF(WEEKDAY(CH$6,1)=1,0,IF(WEEKDAY(CH$6,1)=7,0,MIN(8,CH25)*CH24))),MAX(0,40*MAX(1,CH24)-(CC26+CD26+CE26+CF26+CG26))))</f>
        <v>0</v>
      </c>
      <c r="CI26" s="64">
        <f>IF(AND(CI24=1,CI25=12),0,MIN(IF(CI24&lt;=0,0,IF(WEEKDAY(CI$6,1)=1,0,IF(WEEKDAY(CI$6,1)=7,0,MIN(8,CI25)*CI24))),MAX(0,40*MAX(1,CI24)-(CC26+CD26+CE26+CF26+CG26+CH26))))</f>
        <v>0</v>
      </c>
      <c r="CJ26" s="63">
        <f>IF(AND(CJ24=1,CJ25=12),8,MIN(IF(CJ24&lt;=0,0,IF(WEEKDAY(CJ$6,1)=1,0,IF(WEEKDAY(CJ$6,1)=7,0,MIN(8,CJ25)*CJ24))),MAX(0,40*MAX(1,CJ24)-(0))))</f>
        <v>8</v>
      </c>
      <c r="CK26" s="63">
        <f>IF(AND(CK24=1,CK25=12),8,MIN(IF(CK24&lt;=0,0,IF(WEEKDAY(CK$6,1)=1,0,IF(WEEKDAY(CK$6,1)=7,0,MIN(8,CK25)*CK24))),MAX(0,40*MAX(1,CK24)-(CJ26))))</f>
        <v>8</v>
      </c>
      <c r="CL26" s="63">
        <f>IF(AND(CL24=1,CL25=12),8,MIN(IF(CL24&lt;=0,0,IF(WEEKDAY(CL$6,1)=1,0,IF(WEEKDAY(CL$6,1)=7,0,MIN(8,CL25)*CL24))),MAX(0,40*MAX(1,CL24)-(CJ26+CK26))))</f>
        <v>8</v>
      </c>
      <c r="CM26" s="63">
        <f>IF(AND(CM24=1,CM25=12),8,MIN(IF(CM24&lt;=0,0,IF(WEEKDAY(CM$6,1)=1,0,IF(WEEKDAY(CM$6,1)=7,0,MIN(8,CM25)*CM24))),MAX(0,40*MAX(1,CM24)-(CJ26+CK26+CL26))))</f>
        <v>8</v>
      </c>
      <c r="CN26" s="63">
        <f>IF(AND(CN24=1,CN25=12),8,MIN(IF(CN24&lt;=0,0,IF(WEEKDAY(CN$6,1)=1,0,IF(WEEKDAY(CN$6,1)=7,0,MIN(8,CN25)*CN24))),MAX(0,40*MAX(1,CN24)-(CJ26+CK26+CL26+CM26))))</f>
        <v>8</v>
      </c>
      <c r="CO26" s="64">
        <f>IF(AND(CO24=1,CO25=12),0,MIN(IF(CO24&lt;=0,0,IF(WEEKDAY(CO$6,1)=1,0,IF(WEEKDAY(CO$6,1)=7,0,MIN(8,CO25)*CO24))),MAX(0,40*MAX(1,CO24)-(CJ26+CK26+CL26+CM26+CN26))))</f>
        <v>0</v>
      </c>
      <c r="CP26" s="64">
        <f>IF(AND(CP24=1,CP25=12),0,MIN(IF(CP24&lt;=0,0,IF(WEEKDAY(CP$6,1)=1,0,IF(WEEKDAY(CP$6,1)=7,0,MIN(8,CP25)*CP24))),MAX(0,40*MAX(1,CP24)-(CJ26+CK26+CL26+CM26+CN26+CO26))))</f>
        <v>0</v>
      </c>
      <c r="CQ26" s="63">
        <f>IF(AND(CQ24=1,CQ25=12),8,MIN(IF(CQ24&lt;=0,0,IF(WEEKDAY(CQ$6,1)=1,0,IF(WEEKDAY(CQ$6,1)=7,0,MIN(8,CQ25)*CQ24))),MAX(0,40*MAX(1,CQ24)-(0))))</f>
        <v>8</v>
      </c>
      <c r="CR26" s="63">
        <f>IF(AND(CR24=1,CR25=12),8,MIN(IF(CR24&lt;=0,0,IF(WEEKDAY(CR$6,1)=1,0,IF(WEEKDAY(CR$6,1)=7,0,MIN(8,CR25)*CR24))),MAX(0,40*MAX(1,CR24)-(CQ26))))</f>
        <v>8</v>
      </c>
      <c r="CS26" s="63">
        <f>IF(AND(CS24=1,CS25=12),8,MIN(IF(CS24&lt;=0,0,IF(WEEKDAY(CS$6,1)=1,0,IF(WEEKDAY(CS$6,1)=7,0,MIN(8,CS25)*CS24))),MAX(0,40*MAX(1,CS24)-(CQ26+CR26))))</f>
        <v>8</v>
      </c>
      <c r="CT26" s="63">
        <f>IF(AND(CT24=1,CT25=12),8,MIN(IF(CT24&lt;=0,0,IF(WEEKDAY(CT$6,1)=1,0,IF(WEEKDAY(CT$6,1)=7,0,MIN(8,CT25)*CT24))),MAX(0,40*MAX(1,CT24)-(CQ26+CR26+CS26))))</f>
        <v>8</v>
      </c>
      <c r="CU26" s="63">
        <f>IF(AND(CU24=1,CU25=12),8,MIN(IF(CU24&lt;=0,0,IF(WEEKDAY(CU$6,1)=1,0,IF(WEEKDAY(CU$6,1)=7,0,MIN(8,CU25)*CU24))),MAX(0,40*MAX(1,CU24)-(CQ26+CR26+CS26+CT26))))</f>
        <v>8</v>
      </c>
      <c r="CV26" s="64">
        <f>IF(AND(CV24=1,CV25=12),0,MIN(IF(CV24&lt;=0,0,IF(WEEKDAY(CV$6,1)=1,0,IF(WEEKDAY(CV$6,1)=7,0,MIN(8,CV25)*CV24))),MAX(0,40*MAX(1,CV24)-(CQ26+CR26+CS26+CT26+CU26))))</f>
        <v>0</v>
      </c>
      <c r="CW26" s="64">
        <f>IF(AND(CW24=1,CW25=12),0,MIN(IF(CW24&lt;=0,0,IF(WEEKDAY(CW$6,1)=1,0,IF(WEEKDAY(CW$6,1)=7,0,MIN(8,CW25)*CW24))),MAX(0,40*MAX(1,CW24)-(CQ26+CR26+CS26+CT26+CU26+CV26))))</f>
        <v>0</v>
      </c>
      <c r="CX26" s="63">
        <f>IF(AND(CX24=1,CX25=12),8,MIN(IF(CX24&lt;=0,0,IF(WEEKDAY(CX$6,1)=1,0,IF(WEEKDAY(CX$6,1)=7,0,MIN(8,CX25)*CX24))),MAX(0,40*MAX(1,CX24)-(0))))</f>
        <v>8</v>
      </c>
      <c r="CY26" s="63">
        <f>IF(AND(CY24=1,CY25=12),8,MIN(IF(CY24&lt;=0,0,IF(WEEKDAY(CY$6,1)=1,0,IF(WEEKDAY(CY$6,1)=7,0,MIN(8,CY25)*CY24))),MAX(0,40*MAX(1,CY24)-(CX26))))</f>
        <v>8</v>
      </c>
      <c r="CZ26" s="63">
        <f>IF(AND(CZ24=1,CZ25=12),8,MIN(IF(CZ24&lt;=0,0,IF(WEEKDAY(CZ$6,1)=1,0,IF(WEEKDAY(CZ$6,1)=7,0,MIN(8,CZ25)*CZ24))),MAX(0,40*MAX(1,CZ24)-(CX26+CY26))))</f>
        <v>8</v>
      </c>
      <c r="DA26" s="63">
        <f>IF(AND(DA24=1,DA25=12),8,MIN(IF(DA24&lt;=0,0,IF(WEEKDAY(DA$6,1)=1,0,IF(WEEKDAY(DA$6,1)=7,0,MIN(8,DA25)*DA24))),MAX(0,40*MAX(1,DA24)-(CX26+CY26+CZ26))))</f>
        <v>8</v>
      </c>
      <c r="DB26" s="63">
        <f>IF(AND(DB24=1,DB25=12),8,MIN(IF(DB24&lt;=0,0,IF(WEEKDAY(DB$6,1)=1,0,IF(WEEKDAY(DB$6,1)=7,0,MIN(8,DB25)*DB24))),MAX(0,40*MAX(1,DB24)-(CX26+CY26+CZ26+DA26))))</f>
        <v>8</v>
      </c>
      <c r="DC26" s="64">
        <f>IF(AND(DC24=1,DC25=12),0,MIN(IF(DC24&lt;=0,0,IF(WEEKDAY(DC$6,1)=1,0,IF(WEEKDAY(DC$6,1)=7,0,MIN(8,DC25)*DC24))),MAX(0,40*MAX(1,DC24)-(CX26+CY26+CZ26+DA26+DB26))))</f>
        <v>0</v>
      </c>
      <c r="DD26" s="64">
        <f>IF(AND(DD24=1,DD25=12),0,MIN(IF(DD24&lt;=0,0,IF(WEEKDAY(DD$6,1)=1,0,IF(WEEKDAY(DD$6,1)=7,0,MIN(8,DD25)*DD24))),MAX(0,40*MAX(1,DD24)-(0))))</f>
        <v>0</v>
      </c>
      <c r="DE26" s="63">
        <f>IF(AND(DE24=1,DE25=12),8,MIN(IF(DE24&lt;=0,0,IF(WEEKDAY(DE$6,1)=1,0,IF(WEEKDAY(DE$6,1)=7,0,MIN(8,DE25)*DE24))),MAX(0,40*MAX(1,DE24)-(0))))</f>
        <v>8</v>
      </c>
      <c r="DF26" s="63">
        <f>IF(AND(DF24=1,DF25=12),8,MIN(IF(DF24&lt;=0,0,IF(WEEKDAY(DF$6,1)=1,0,IF(WEEKDAY(DF$6,1)=7,0,MIN(8,DF25)*DF24))),MAX(0,40*MAX(1,DF24)-(DE26))))</f>
        <v>8</v>
      </c>
      <c r="DG26" s="63">
        <f>IF(AND(DG24=1,DG25=12),8,MIN(IF(DG24&lt;=0,0,IF(WEEKDAY(DG$6,1)=1,0,IF(WEEKDAY(DG$6,1)=7,0,MIN(8,DG25)*DG24))),MAX(0,40*MAX(1,DG24)-(DE26+DF26))))</f>
        <v>8</v>
      </c>
      <c r="DH26" s="63">
        <f>IF(AND(DH24=1,DH25=12),8,MIN(IF(DH24&lt;=0,0,IF(WEEKDAY(DH$6,1)=1,0,IF(WEEKDAY(DH$6,1)=7,0,MIN(8,DH25)*DH24))),MAX(0,40*MAX(1,DH24)-(DE26+DF26+DG26))))</f>
        <v>8</v>
      </c>
      <c r="DI26" s="63">
        <f>IF(AND(DI24=1,DI25=12),8,MIN(IF(DI24&lt;=0,0,IF(WEEKDAY(DI$6,1)=1,0,IF(WEEKDAY(DI$6,1)=7,0,MIN(8,DI25)*DI24))),MAX(0,40*MAX(1,DI24)-(DE26+DF26+DG26+DH26))))</f>
        <v>8</v>
      </c>
      <c r="DJ26" s="64">
        <f>IF(AND(DJ24=1,DJ25=12),0,MIN(IF(DJ24&lt;=0,0,IF(WEEKDAY(DJ$6,1)=1,0,IF(WEEKDAY(DJ$6,1)=7,0,MIN(8,DJ25)*DJ24))),MAX(0,40*MAX(1,DJ24)-(DE26+DF26+DG26+DH26+DI26))))</f>
        <v>0</v>
      </c>
      <c r="DK26" s="64">
        <f>IF(AND(DK24=1,DK25=12),0,MIN(IF(DK24&lt;=0,0,IF(WEEKDAY(DK$6,1)=1,0,IF(WEEKDAY(DK$6,1)=7,0,MIN(8,DK25)*DK24))),MAX(0,40*MAX(1,DK24)-(DE26+DF26+DG26+DH26+DI26+DJ26))))</f>
        <v>0</v>
      </c>
      <c r="DL26" s="63">
        <f>IF(AND(DL24=1,DL25=12),8,MIN(IF(DL24&lt;=0,0,IF(WEEKDAY(DL$6,1)=1,0,IF(WEEKDAY(DL$6,1)=7,0,MIN(8,DL25)*DL24))),MAX(0,40*MAX(1,DL24)-(0))))</f>
        <v>8</v>
      </c>
      <c r="DM26" s="63">
        <f>IF(AND(DM24=1,DM25=12),8,MIN(IF(DM24&lt;=0,0,IF(WEEKDAY(DM$6,1)=1,0,IF(WEEKDAY(DM$6,1)=7,0,MIN(8,DM25)*DM24))),MAX(0,40*MAX(1,DM24)-(DL26))))</f>
        <v>8</v>
      </c>
      <c r="DN26" s="63">
        <f>IF(AND(DN24=1,DN25=12),8,MIN(IF(DN24&lt;=0,0,IF(WEEKDAY(DN$6,1)=1,0,IF(WEEKDAY(DN$6,1)=7,0,MIN(8,DN25)*DN24))),MAX(0,40*MAX(1,DN24)-(DL26+DM26))))</f>
        <v>8</v>
      </c>
      <c r="DO26" s="63">
        <f>IF(AND(DO24=1,DO25=12),8,MIN(IF(DO24&lt;=0,0,IF(WEEKDAY(DO$6,1)=1,0,IF(WEEKDAY(DO$6,1)=7,0,MIN(8,DO25)*DO24))),MAX(0,40*MAX(1,DO24)-(DL26+DM26+DN26))))</f>
        <v>8</v>
      </c>
      <c r="DP26" s="63">
        <f>IF(AND(DP24=1,DP25=12),8,MIN(IF(DP24&lt;=0,0,IF(WEEKDAY(DP$6,1)=1,0,IF(WEEKDAY(DP$6,1)=7,0,MIN(8,DP25)*DP24))),MAX(0,40*MAX(1,DP24)-(DL26+DM26+DN26+DO26))))</f>
        <v>8</v>
      </c>
      <c r="DQ26" s="64">
        <f>IF(AND(DQ24=1,DQ25=12),0,MIN(IF(DQ24&lt;=0,0,IF(WEEKDAY(DQ$6,1)=1,0,IF(WEEKDAY(DQ$6,1)=7,0,MIN(8,DQ25)*DQ24))),MAX(0,40*MAX(1,DQ24)-(DL26+DM26+DN26+DO26+DP26))))</f>
        <v>0</v>
      </c>
      <c r="DR26" s="64">
        <f>IF(AND(DR24=1,DR25=12),0,MIN(IF(DR24&lt;=0,0,IF(WEEKDAY(DR$6,1)=1,0,IF(WEEKDAY(DR$6,1)=7,0,MIN(8,DR25)*DR24))),MAX(0,40*MAX(1,DR24)-(DL26+DM26+DN26+DO26+DP26+DQ26))))</f>
        <v>0</v>
      </c>
      <c r="DS26" s="63">
        <f>IF(AND(DS24=1,DS25=12),8,MIN(IF(DS24&lt;=0,0,IF(WEEKDAY(DS$6,1)=1,0,IF(WEEKDAY(DS$6,1)=7,0,MIN(8,DS25)*DS24))),MAX(0,40*MAX(1,DS24)-(0))))</f>
        <v>8</v>
      </c>
      <c r="DT26" s="63">
        <f>IF(AND(DT24=1,DT25=8),8,MIN(IF(DT24&lt;=0,0,IF(WEEKDAY(DT$6,1)=1,0,IF(WEEKDAY(DT$6,1)=7,0,MIN(8,DT25)*DT24))),MAX(0,40*MAX(1,DT24)-(0))))</f>
        <v>8</v>
      </c>
      <c r="DU26" s="63">
        <f>IF(AND(DU24=1,DU25=8),8,MIN(IF(DU24&lt;=0,0,IF(WEEKDAY(DU$6,1)=1,0,IF(WEEKDAY(DU$6,1)=7,0,MIN(8,DU25)*DU24))),MAX(0,40*MAX(1,DU24)-(DT26))))</f>
        <v>8</v>
      </c>
      <c r="DV26" s="63">
        <f>IF(AND(DV24=1,DV25=8),8,MIN(IF(DV24&lt;=0,0,IF(WEEKDAY(DV$6,1)=1,0,IF(WEEKDAY(DV$6,1)=7,0,MIN(8,DV25)*DV24))),MAX(0,40*MAX(1,DV24)-(DT26+DU26))))</f>
        <v>8</v>
      </c>
      <c r="DW26" s="63">
        <f>IF(AND(DW24=1,DW25=8),8,MIN(IF(DW24&lt;=0,0,IF(WEEKDAY(DW$6,1)=1,0,IF(WEEKDAY(DW$6,1)=7,0,MIN(8,DW25)*DW24))),MAX(0,40*MAX(1,DW24)-(DT26+DU26+DV26))))</f>
        <v>8</v>
      </c>
      <c r="DX26" s="64">
        <f>IF(AND(DX24=0,DX25=0),0,MIN(IF(DX24&lt;=0,0,IF(WEEKDAY(DX$6,1)=1,0,IF(WEEKDAY(DX$6,1)=7,0,MIN(8,DX25)*DX24))),MAX(0,40*MAX(1,DX24)-(0))))</f>
        <v>0</v>
      </c>
      <c r="DY26" s="64">
        <f>IF(AND(DY24=0,DY25=0),0,MIN(IF(DY24&lt;=0,0,IF(WEEKDAY(DY$6,1)=1,0,IF(WEEKDAY(DY$6,1)=7,0,MIN(8,DY25)*DY24))),MAX(0,40*MAX(1,DY24)-(DX26))))</f>
        <v>0</v>
      </c>
      <c r="DZ26" s="63">
        <f>IF(AND(DZ24=1,DZ25=8),8,MIN(IF(DZ24&lt;=0,0,IF(WEEKDAY(DZ$6,1)=1,0,IF(WEEKDAY(DZ$6,1)=7,0,MIN(8,DZ25)*DZ24))),MAX(0,40*MAX(1,DZ24)-(0))))</f>
        <v>8</v>
      </c>
      <c r="EA26" s="63">
        <f>IF(AND(EA24=1,EA25=8),8,MIN(IF(EA24&lt;=0,0,IF(WEEKDAY(EA$6,1)=1,0,IF(WEEKDAY(EA$6,1)=7,0,MIN(8,EA25)*EA24))),MAX(0,40*MAX(1,EA24)-(DZ26))))</f>
        <v>8</v>
      </c>
      <c r="EB26" s="63">
        <f>IF(AND(EB24=1,EB25=8),8,MIN(IF(EB24&lt;=0,0,IF(WEEKDAY(EB$6,1)=1,0,IF(WEEKDAY(EB$6,1)=7,0,MIN(8,EB25)*EB24))),MAX(0,40*MAX(1,EB24)-(DZ26+EA26))))</f>
        <v>8</v>
      </c>
      <c r="EC26" s="63">
        <f>IF(AND(EC24=1,EC25=8),8,MIN(IF(EC24&lt;=0,0,IF(WEEKDAY(EC$6,1)=1,0,IF(WEEKDAY(EC$6,1)=7,0,MIN(8,EC25)*EC24))),MAX(0,40*MAX(1,EC24)-(DZ26+EA26+EB26))))</f>
        <v>8</v>
      </c>
      <c r="ED26" s="63">
        <f>IF(AND(ED24=1,ED25=8),8,MIN(IF(ED24&lt;=0,0,IF(WEEKDAY(ED$6,1)=1,0,IF(WEEKDAY(ED$6,1)=7,0,MIN(8,ED25)*ED24))),MAX(0,40*MAX(1,ED24)-(DZ26+EA26+EB26+EC26))))</f>
        <v>8</v>
      </c>
      <c r="EE26" s="64">
        <f>IF(AND(EE24=0,EE25=0),0,MIN(IF(EE24&lt;=0,0,IF(WEEKDAY(EE$6,1)=1,0,IF(WEEKDAY(EE$6,1)=7,0,MIN(8,EE25)*EE24))),MAX(0,40*MAX(1,EE24)-(0))))</f>
        <v>0</v>
      </c>
      <c r="EF26" s="64">
        <f>IF(AND(EF24=0,EF25=0),0,MIN(IF(EF24&lt;=0,0,IF(WEEKDAY(EF$6,1)=1,0,IF(WEEKDAY(EF$6,1)=7,0,MIN(8,EF25)*EF24))),MAX(0,40*MAX(1,EF24)-(EE26))))</f>
        <v>0</v>
      </c>
      <c r="EG26" s="63">
        <f>IF(AND(EG24=0,EG25=0),0,MIN(IF(EG24&lt;=0,0,IF(WEEKDAY(EG$6,1)=1,0,IF(WEEKDAY(EG$6,1)=7,0,MIN(8,EG25)*EG24))),MAX(0,40*MAX(1,EG24)-(0))))</f>
        <v>0</v>
      </c>
      <c r="EH26" s="63">
        <f>IF(AND(EH24=0,EH25=0),0,MIN(IF(EH24&lt;=0,0,IF(WEEKDAY(EH$6,1)=1,0,IF(WEEKDAY(EH$6,1)=7,0,MIN(8,EH25)*EH24))),MAX(0,40*MAX(1,EH24)-(EG26))))</f>
        <v>0</v>
      </c>
      <c r="EI26" s="63">
        <f>IF(AND(EI24=0,EI25=0),0,MIN(IF(EI24&lt;=0,0,IF(WEEKDAY(EI$6,1)=1,0,IF(WEEKDAY(EI$6,1)=7,0,MIN(8,EI25)*EI24))),MAX(0,40*MAX(1,EI24)-(EG26+EH26))))</f>
        <v>0</v>
      </c>
      <c r="EJ26" s="63">
        <f>IF(AND(EJ24=0,EJ25=0),0,MIN(IF(EJ24&lt;=0,0,IF(WEEKDAY(EJ$6,1)=1,0,IF(WEEKDAY(EJ$6,1)=7,0,MIN(8,EJ25)*EJ24))),MAX(0,40*MAX(1,EJ24)-(EG26+EH26+EI26))))</f>
        <v>0</v>
      </c>
      <c r="EK26" s="65">
        <f>IF(AND(EK24=0,EK25=0),0,MIN(IF(EK24&lt;=0,0,IF(WEEKDAY(EK$6,1)=1,0,IF(WEEKDAY(EK$6,1)=7,0,MIN(8,EK25)*EK24))),MAX(0,40*MAX(1,EK24)-(EG26+EH26+EI26+EJ26))))</f>
        <v>0</v>
      </c>
      <c r="OU26" s="28" t="s">
        <v>122</v>
      </c>
    </row>
    <row r="27" ht="16" customHeight="1" spans="1:411" x14ac:dyDescent="0.25">
      <c r="A27" s="45"/>
      <c r="B27" s="79" t="s">
        <v>123</v>
      </c>
      <c r="C27" s="66">
        <f>G23*N(D27)</f>
        <v>37817.55</v>
      </c>
      <c r="D27" s="66">
        <f>IF(TRIM(IF(TRIM(B27)&lt;&gt;"",B27,B23))="","No rate",IFERROR(INDEX('Rate Tables'!D$7:D$158,MATCH(IF(TRIM(B27)&lt;&gt;"",B27,B23),'Rate Tables'!A$7:A$158,0)),"No rate"))</f>
        <v>115.65</v>
      </c>
      <c r="E27" s="55" t="s">
        <v>63</v>
      </c>
      <c r="F27" s="49"/>
      <c r="G27" s="49"/>
      <c r="H27" s="49"/>
      <c r="I27" s="49"/>
      <c r="J27" s="50"/>
      <c r="K27" s="62">
        <f>IF(AND(K24=1,K25=9),1,IF(K24&lt;=0,0,IF(WEEKDAY(K$6,1)=1,0,IF(WEEKDAY(K$6,1)=7,K24*K25,MAX(0,K25-8)*K24)))+((IF(K24&lt;=0,0,IF(WEEKDAY(K$6,1)=1,0,IF(WEEKDAY(K$6,1)=7,0,MIN(8,K25)*K24))))-MIN(IF(K24&lt;=0,0,IF(WEEKDAY(K$6,1)=1,0,IF(WEEKDAY(K$6,1)=7,0,MIN(8,K25)*K24))),MAX(0,40*MAX(1,K24)-(0)))))</f>
        <v>1</v>
      </c>
      <c r="L27" s="63">
        <f>IF(AND(L24=1,L25=9),1,IF(L24&lt;=0,0,IF(WEEKDAY(L$6,1)=1,0,IF(WEEKDAY(L$6,1)=7,L24*L25,MAX(0,L25-8)*L24)))+((IF(L24&lt;=0,0,IF(WEEKDAY(L$6,1)=1,0,IF(WEEKDAY(L$6,1)=7,0,MIN(8,L25)*L24))))-MIN(IF(L24&lt;=0,0,IF(WEEKDAY(L$6,1)=1,0,IF(WEEKDAY(L$6,1)=7,0,MIN(8,L25)*L24))),MAX(0,40*MAX(1,L24)-(K26)))))</f>
        <v>1</v>
      </c>
      <c r="M27" s="63">
        <f>IF(AND(M24=1,M25=9),1,IF(M24&lt;=0,0,IF(WEEKDAY(M$6,1)=1,0,IF(WEEKDAY(M$6,1)=7,M24*M25,MAX(0,M25-8)*M24)))+((IF(M24&lt;=0,0,IF(WEEKDAY(M$6,1)=1,0,IF(WEEKDAY(M$6,1)=7,0,MIN(8,M25)*M24))))-MIN(IF(M24&lt;=0,0,IF(WEEKDAY(M$6,1)=1,0,IF(WEEKDAY(M$6,1)=7,0,MIN(8,M25)*M24))),MAX(0,40*MAX(1,M24)-(K26+L26)))))</f>
        <v>1</v>
      </c>
      <c r="N27" s="63">
        <f>IF(AND(N24=1,N25=9),1,IF(N24&lt;=0,0,IF(WEEKDAY(N$6,1)=1,0,IF(WEEKDAY(N$6,1)=7,N24*N25,MAX(0,N25-8)*N24)))+((IF(N24&lt;=0,0,IF(WEEKDAY(N$6,1)=1,0,IF(WEEKDAY(N$6,1)=7,0,MIN(8,N25)*N24))))-MIN(IF(N24&lt;=0,0,IF(WEEKDAY(N$6,1)=1,0,IF(WEEKDAY(N$6,1)=7,0,MIN(8,N25)*N24))),MAX(0,40*MAX(1,N24)-(K26+L26+M26)))))</f>
        <v>1</v>
      </c>
      <c r="O27" s="63">
        <f>IF(AND(O24=1,O25=9),1,IF(O24&lt;=0,0,IF(WEEKDAY(O$6,1)=1,0,IF(WEEKDAY(O$6,1)=7,O24*O25,MAX(0,O25-8)*O24)))+((IF(O24&lt;=0,0,IF(WEEKDAY(O$6,1)=1,0,IF(WEEKDAY(O$6,1)=7,0,MIN(8,O25)*O24))))-MIN(IF(O24&lt;=0,0,IF(WEEKDAY(O$6,1)=1,0,IF(WEEKDAY(O$6,1)=7,0,MIN(8,O25)*O24))),MAX(0,40*MAX(1,O24)-(K26+L26+M26+N26)))))</f>
        <v>1</v>
      </c>
      <c r="P27" s="64">
        <f>IF(AND(P24=0,P25=0),0,IF(P24&lt;=0,0,IF(WEEKDAY(P$6,1)=1,0,IF(WEEKDAY(P$6,1)=7,P24*P25,MAX(0,P25-8)*P24)))+((IF(P24&lt;=0,0,IF(WEEKDAY(P$6,1)=1,0,IF(WEEKDAY(P$6,1)=7,0,MIN(8,P25)*P24))))-MIN(IF(P24&lt;=0,0,IF(WEEKDAY(P$6,1)=1,0,IF(WEEKDAY(P$6,1)=7,0,MIN(8,P25)*P24))),MAX(0,40*MAX(1,P24)-(0)))))</f>
        <v>0</v>
      </c>
      <c r="Q27" s="64">
        <f>IF(AND(Q24=0,Q25=0),0,IF(Q24&lt;=0,0,IF(WEEKDAY(Q$6,1)=1,0,IF(WEEKDAY(Q$6,1)=7,Q24*Q25,MAX(0,Q25-8)*Q24)))+((IF(Q24&lt;=0,0,IF(WEEKDAY(Q$6,1)=1,0,IF(WEEKDAY(Q$6,1)=7,0,MIN(8,Q25)*Q24))))-MIN(IF(Q24&lt;=0,0,IF(WEEKDAY(Q$6,1)=1,0,IF(WEEKDAY(Q$6,1)=7,0,MIN(8,Q25)*Q24))),MAX(0,40*MAX(1,Q24)-(P26)))))</f>
        <v>0</v>
      </c>
      <c r="R27" s="63">
        <f>IF(AND(R24=1,R25=9),1,IF(R24&lt;=0,0,IF(WEEKDAY(R$6,1)=1,0,IF(WEEKDAY(R$6,1)=7,R24*R25,MAX(0,R25-8)*R24)))+((IF(R24&lt;=0,0,IF(WEEKDAY(R$6,1)=1,0,IF(WEEKDAY(R$6,1)=7,0,MIN(8,R25)*R24))))-MIN(IF(R24&lt;=0,0,IF(WEEKDAY(R$6,1)=1,0,IF(WEEKDAY(R$6,1)=7,0,MIN(8,R25)*R24))),MAX(0,40*MAX(1,R24)-(0)))))</f>
        <v>1</v>
      </c>
      <c r="S27" s="63">
        <f>IF(AND(S24=1,S25=9),1,IF(S24&lt;=0,0,IF(WEEKDAY(S$6,1)=1,0,IF(WEEKDAY(S$6,1)=7,S24*S25,MAX(0,S25-8)*S24)))+((IF(S24&lt;=0,0,IF(WEEKDAY(S$6,1)=1,0,IF(WEEKDAY(S$6,1)=7,0,MIN(8,S25)*S24))))-MIN(IF(S24&lt;=0,0,IF(WEEKDAY(S$6,1)=1,0,IF(WEEKDAY(S$6,1)=7,0,MIN(8,S25)*S24))),MAX(0,40*MAX(1,S24)-(R26)))))</f>
        <v>1</v>
      </c>
      <c r="T27" s="63">
        <f>IF(AND(T24=1,T25=9),1,IF(T24&lt;=0,0,IF(WEEKDAY(T$6,1)=1,0,IF(WEEKDAY(T$6,1)=7,T24*T25,MAX(0,T25-8)*T24)))+((IF(T24&lt;=0,0,IF(WEEKDAY(T$6,1)=1,0,IF(WEEKDAY(T$6,1)=7,0,MIN(8,T25)*T24))))-MIN(IF(T24&lt;=0,0,IF(WEEKDAY(T$6,1)=1,0,IF(WEEKDAY(T$6,1)=7,0,MIN(8,T25)*T24))),MAX(0,40*MAX(1,T24)-(R26+S26)))))</f>
        <v>1</v>
      </c>
      <c r="U27" s="63">
        <f>IF(AND(U24=1,U25=9),1,IF(U24&lt;=0,0,IF(WEEKDAY(U$6,1)=1,0,IF(WEEKDAY(U$6,1)=7,U24*U25,MAX(0,U25-8)*U24)))+((IF(U24&lt;=0,0,IF(WEEKDAY(U$6,1)=1,0,IF(WEEKDAY(U$6,1)=7,0,MIN(8,U25)*U24))))-MIN(IF(U24&lt;=0,0,IF(WEEKDAY(U$6,1)=1,0,IF(WEEKDAY(U$6,1)=7,0,MIN(8,U25)*U24))),MAX(0,40*MAX(1,U24)-(R26+S26+T26)))))</f>
        <v>1</v>
      </c>
      <c r="V27" s="63">
        <f>IF(AND(V24=1,V25=9),1,IF(V24&lt;=0,0,IF(WEEKDAY(V$6,1)=1,0,IF(WEEKDAY(V$6,1)=7,V24*V25,MAX(0,V25-8)*V24)))+((IF(V24&lt;=0,0,IF(WEEKDAY(V$6,1)=1,0,IF(WEEKDAY(V$6,1)=7,0,MIN(8,V25)*V24))))-MIN(IF(V24&lt;=0,0,IF(WEEKDAY(V$6,1)=1,0,IF(WEEKDAY(V$6,1)=7,0,MIN(8,V25)*V24))),MAX(0,40*MAX(1,V24)-(R26+S26+T26+U26)))))</f>
        <v>1</v>
      </c>
      <c r="W27" s="64">
        <f>IF(AND(W24=0,W25=0),0,IF(W24&lt;=0,0,IF(WEEKDAY(W$6,1)=1,0,IF(WEEKDAY(W$6,1)=7,W24*W25,MAX(0,W25-8)*W24)))+((IF(W24&lt;=0,0,IF(WEEKDAY(W$6,1)=1,0,IF(WEEKDAY(W$6,1)=7,0,MIN(8,W25)*W24))))-MIN(IF(W24&lt;=0,0,IF(WEEKDAY(W$6,1)=1,0,IF(WEEKDAY(W$6,1)=7,0,MIN(8,W25)*W24))),MAX(0,40*MAX(1,W24)-(0)))))</f>
        <v>0</v>
      </c>
      <c r="X27" s="64">
        <f>IF(AND(X24=0,X25=0),0,IF(X24&lt;=0,0,IF(WEEKDAY(X$6,1)=1,0,IF(WEEKDAY(X$6,1)=7,X24*X25,MAX(0,X25-8)*X24)))+((IF(X24&lt;=0,0,IF(WEEKDAY(X$6,1)=1,0,IF(WEEKDAY(X$6,1)=7,0,MIN(8,X25)*X24))))-MIN(IF(X24&lt;=0,0,IF(WEEKDAY(X$6,1)=1,0,IF(WEEKDAY(X$6,1)=7,0,MIN(8,X25)*X24))),MAX(0,40*MAX(1,X24)-(W26)))))</f>
        <v>0</v>
      </c>
      <c r="Y27" s="63">
        <f>IF(AND(Y24=1,Y25=9),1,IF(Y24&lt;=0,0,IF(WEEKDAY(Y$6,1)=1,0,IF(WEEKDAY(Y$6,1)=7,Y24*Y25,MAX(0,Y25-8)*Y24)))+((IF(Y24&lt;=0,0,IF(WEEKDAY(Y$6,1)=1,0,IF(WEEKDAY(Y$6,1)=7,0,MIN(8,Y25)*Y24))))-MIN(IF(Y24&lt;=0,0,IF(WEEKDAY(Y$6,1)=1,0,IF(WEEKDAY(Y$6,1)=7,0,MIN(8,Y25)*Y24))),MAX(0,40*MAX(1,Y24)-(0)))))</f>
        <v>1</v>
      </c>
      <c r="Z27" s="63">
        <f>IF(AND(Z24=1,Z25=9),1,IF(Z24&lt;=0,0,IF(WEEKDAY(Z$6,1)=1,0,IF(WEEKDAY(Z$6,1)=7,Z24*Z25,MAX(0,Z25-8)*Z24)))+((IF(Z24&lt;=0,0,IF(WEEKDAY(Z$6,1)=1,0,IF(WEEKDAY(Z$6,1)=7,0,MIN(8,Z25)*Z24))))-MIN(IF(Z24&lt;=0,0,IF(WEEKDAY(Z$6,1)=1,0,IF(WEEKDAY(Z$6,1)=7,0,MIN(8,Z25)*Z24))),MAX(0,40*MAX(1,Z24)-(Y26)))))</f>
        <v>1</v>
      </c>
      <c r="AA27" s="63">
        <f>IF(AND(AA24=1,AA25=9),1,IF(AA24&lt;=0,0,IF(WEEKDAY(AA$6,1)=1,0,IF(WEEKDAY(AA$6,1)=7,AA24*AA25,MAX(0,AA25-8)*AA24)))+((IF(AA24&lt;=0,0,IF(WEEKDAY(AA$6,1)=1,0,IF(WEEKDAY(AA$6,1)=7,0,MIN(8,AA25)*AA24))))-MIN(IF(AA24&lt;=0,0,IF(WEEKDAY(AA$6,1)=1,0,IF(WEEKDAY(AA$6,1)=7,0,MIN(8,AA25)*AA24))),MAX(0,40*MAX(1,AA24)-(Y26+Z26)))))</f>
        <v>1</v>
      </c>
      <c r="AB27" s="63">
        <f>IF(AND(AB24=1,AB25=9),1,IF(AB24&lt;=0,0,IF(WEEKDAY(AB$6,1)=1,0,IF(WEEKDAY(AB$6,1)=7,AB24*AB25,MAX(0,AB25-8)*AB24)))+((IF(AB24&lt;=0,0,IF(WEEKDAY(AB$6,1)=1,0,IF(WEEKDAY(AB$6,1)=7,0,MIN(8,AB25)*AB24))))-MIN(IF(AB24&lt;=0,0,IF(WEEKDAY(AB$6,1)=1,0,IF(WEEKDAY(AB$6,1)=7,0,MIN(8,AB25)*AB24))),MAX(0,40*MAX(1,AB24)-(Y26+Z26+AA26)))))</f>
        <v>1</v>
      </c>
      <c r="AC27" s="63">
        <f>IF(AND(AC24=1,AC25=9),1,IF(AC24&lt;=0,0,IF(WEEKDAY(AC$6,1)=1,0,IF(WEEKDAY(AC$6,1)=7,AC24*AC25,MAX(0,AC25-8)*AC24)))+((IF(AC24&lt;=0,0,IF(WEEKDAY(AC$6,1)=1,0,IF(WEEKDAY(AC$6,1)=7,0,MIN(8,AC25)*AC24))))-MIN(IF(AC24&lt;=0,0,IF(WEEKDAY(AC$6,1)=1,0,IF(WEEKDAY(AC$6,1)=7,0,MIN(8,AC25)*AC24))),MAX(0,40*MAX(1,AC24)-(Y26+Z26+AA26+AB26)))))</f>
        <v>1</v>
      </c>
      <c r="AD27" s="64">
        <f>IF(AND(AD24=0,AD25=0),0,IF(AD24&lt;=0,0,IF(WEEKDAY(AD$6,1)=1,0,IF(WEEKDAY(AD$6,1)=7,AD24*AD25,MAX(0,AD25-8)*AD24)))+((IF(AD24&lt;=0,0,IF(WEEKDAY(AD$6,1)=1,0,IF(WEEKDAY(AD$6,1)=7,0,MIN(8,AD25)*AD24))))-MIN(IF(AD24&lt;=0,0,IF(WEEKDAY(AD$6,1)=1,0,IF(WEEKDAY(AD$6,1)=7,0,MIN(8,AD25)*AD24))),MAX(0,40*MAX(1,AD24)-(0)))))</f>
        <v>0</v>
      </c>
      <c r="AE27" s="64">
        <f>IF(AND(AE24=0,AE25=0),0,IF(AE24&lt;=0,0,IF(WEEKDAY(AE$6,1)=1,0,IF(WEEKDAY(AE$6,1)=7,AE24*AE25,MAX(0,AE25-8)*AE24)))+((IF(AE24&lt;=0,0,IF(WEEKDAY(AE$6,1)=1,0,IF(WEEKDAY(AE$6,1)=7,0,MIN(8,AE25)*AE24))))-MIN(IF(AE24&lt;=0,0,IF(WEEKDAY(AE$6,1)=1,0,IF(WEEKDAY(AE$6,1)=7,0,MIN(8,AE25)*AE24))),MAX(0,40*MAX(1,AE24)-(AD26)))))</f>
        <v>0</v>
      </c>
      <c r="AF27" s="63">
        <f>IF(AND(AF24=1,AF25=9),1,IF(AF24&lt;=0,0,IF(WEEKDAY(AF$6,1)=1,0,IF(WEEKDAY(AF$6,1)=7,AF24*AF25,MAX(0,AF25-8)*AF24)))+((IF(AF24&lt;=0,0,IF(WEEKDAY(AF$6,1)=1,0,IF(WEEKDAY(AF$6,1)=7,0,MIN(8,AF25)*AF24))))-MIN(IF(AF24&lt;=0,0,IF(WEEKDAY(AF$6,1)=1,0,IF(WEEKDAY(AF$6,1)=7,0,MIN(8,AF25)*AF24))),MAX(0,40*MAX(1,AF24)-(0)))))</f>
        <v>1</v>
      </c>
      <c r="AG27" s="63">
        <f>IF(AND(AG24=1,AG25=9),1,IF(AG24&lt;=0,0,IF(WEEKDAY(AG$6,1)=1,0,IF(WEEKDAY(AG$6,1)=7,AG24*AG25,MAX(0,AG25-8)*AG24)))+((IF(AG24&lt;=0,0,IF(WEEKDAY(AG$6,1)=1,0,IF(WEEKDAY(AG$6,1)=7,0,MIN(8,AG25)*AG24))))-MIN(IF(AG24&lt;=0,0,IF(WEEKDAY(AG$6,1)=1,0,IF(WEEKDAY(AG$6,1)=7,0,MIN(8,AG25)*AG24))),MAX(0,40*MAX(1,AG24)-(AF26)))))</f>
        <v>1</v>
      </c>
      <c r="AH27" s="63">
        <f>IF(AND(AH24=1,AH25=9),1,IF(AH24&lt;=0,0,IF(WEEKDAY(AH$6,1)=1,0,IF(WEEKDAY(AH$6,1)=7,AH24*AH25,MAX(0,AH25-8)*AH24)))+((IF(AH24&lt;=0,0,IF(WEEKDAY(AH$6,1)=1,0,IF(WEEKDAY(AH$6,1)=7,0,MIN(8,AH25)*AH24))))-MIN(IF(AH24&lt;=0,0,IF(WEEKDAY(AH$6,1)=1,0,IF(WEEKDAY(AH$6,1)=7,0,MIN(8,AH25)*AH24))),MAX(0,40*MAX(1,AH24)-(AF26+AG26)))))</f>
        <v>1</v>
      </c>
      <c r="AI27" s="63">
        <f>IF(AND(AI24=1,AI25=9),1,IF(AI24&lt;=0,0,IF(WEEKDAY(AI$6,1)=1,0,IF(WEEKDAY(AI$6,1)=7,AI24*AI25,MAX(0,AI25-8)*AI24)))+((IF(AI24&lt;=0,0,IF(WEEKDAY(AI$6,1)=1,0,IF(WEEKDAY(AI$6,1)=7,0,MIN(8,AI25)*AI24))))-MIN(IF(AI24&lt;=0,0,IF(WEEKDAY(AI$6,1)=1,0,IF(WEEKDAY(AI$6,1)=7,0,MIN(8,AI25)*AI24))),MAX(0,40*MAX(1,AI24)-(AF26+AG26+AH26)))))</f>
        <v>1</v>
      </c>
      <c r="AJ27" s="63">
        <f>IF(AND(AJ24=1,AJ25=9),1,IF(AJ24&lt;=0,0,IF(WEEKDAY(AJ$6,1)=1,0,IF(WEEKDAY(AJ$6,1)=7,AJ24*AJ25,MAX(0,AJ25-8)*AJ24)))+((IF(AJ24&lt;=0,0,IF(WEEKDAY(AJ$6,1)=1,0,IF(WEEKDAY(AJ$6,1)=7,0,MIN(8,AJ25)*AJ24))))-MIN(IF(AJ24&lt;=0,0,IF(WEEKDAY(AJ$6,1)=1,0,IF(WEEKDAY(AJ$6,1)=7,0,MIN(8,AJ25)*AJ24))),MAX(0,40*MAX(1,AJ24)-(AF26+AG26+AH26+AI26)))))</f>
        <v>1</v>
      </c>
      <c r="AK27" s="64">
        <f>IF(AND(AK24=0,AK25=0),0,IF(AK24&lt;=0,0,IF(WEEKDAY(AK$6,1)=1,0,IF(WEEKDAY(AK$6,1)=7,AK24*AK25,MAX(0,AK25-8)*AK24)))+((IF(AK24&lt;=0,0,IF(WEEKDAY(AK$6,1)=1,0,IF(WEEKDAY(AK$6,1)=7,0,MIN(8,AK25)*AK24))))-MIN(IF(AK24&lt;=0,0,IF(WEEKDAY(AK$6,1)=1,0,IF(WEEKDAY(AK$6,1)=7,0,MIN(8,AK25)*AK24))),MAX(0,40*MAX(1,AK24)-(0)))))</f>
        <v>0</v>
      </c>
      <c r="AL27" s="64">
        <f>IF(AND(AL24=0,AL25=0),0,IF(AL24&lt;=0,0,IF(WEEKDAY(AL$6,1)=1,0,IF(WEEKDAY(AL$6,1)=7,AL24*AL25,MAX(0,AL25-8)*AL24)))+((IF(AL24&lt;=0,0,IF(WEEKDAY(AL$6,1)=1,0,IF(WEEKDAY(AL$6,1)=7,0,MIN(8,AL25)*AL24))))-MIN(IF(AL24&lt;=0,0,IF(WEEKDAY(AL$6,1)=1,0,IF(WEEKDAY(AL$6,1)=7,0,MIN(8,AL25)*AL24))),MAX(0,40*MAX(1,AL24)-(AK26)))))</f>
        <v>0</v>
      </c>
      <c r="AM27" s="63">
        <f>IF(AND(AM24=1,AM25=9),1,IF(AM24&lt;=0,0,IF(WEEKDAY(AM$6,1)=1,0,IF(WEEKDAY(AM$6,1)=7,AM24*AM25,MAX(0,AM25-8)*AM24)))+((IF(AM24&lt;=0,0,IF(WEEKDAY(AM$6,1)=1,0,IF(WEEKDAY(AM$6,1)=7,0,MIN(8,AM25)*AM24))))-MIN(IF(AM24&lt;=0,0,IF(WEEKDAY(AM$6,1)=1,0,IF(WEEKDAY(AM$6,1)=7,0,MIN(8,AM25)*AM24))),MAX(0,40*MAX(1,AM24)-(0)))))</f>
        <v>1</v>
      </c>
      <c r="AN27" s="63">
        <f>IF(AND(AN24=1,AN25=9),1,IF(AN24&lt;=0,0,IF(WEEKDAY(AN$6,1)=1,0,IF(WEEKDAY(AN$6,1)=7,AN24*AN25,MAX(0,AN25-8)*AN24)))+((IF(AN24&lt;=0,0,IF(WEEKDAY(AN$6,1)=1,0,IF(WEEKDAY(AN$6,1)=7,0,MIN(8,AN25)*AN24))))-MIN(IF(AN24&lt;=0,0,IF(WEEKDAY(AN$6,1)=1,0,IF(WEEKDAY(AN$6,1)=7,0,MIN(8,AN25)*AN24))),MAX(0,40*MAX(1,AN24)-(AM26)))))</f>
        <v>1</v>
      </c>
      <c r="AO27" s="63">
        <f>IF(AND(AO24=1,AO25=9),1,IF(AO24&lt;=0,0,IF(WEEKDAY(AO$6,1)=1,0,IF(WEEKDAY(AO$6,1)=7,AO24*AO25,MAX(0,AO25-8)*AO24)))+((IF(AO24&lt;=0,0,IF(WEEKDAY(AO$6,1)=1,0,IF(WEEKDAY(AO$6,1)=7,0,MIN(8,AO25)*AO24))))-MIN(IF(AO24&lt;=0,0,IF(WEEKDAY(AO$6,1)=1,0,IF(WEEKDAY(AO$6,1)=7,0,MIN(8,AO25)*AO24))),MAX(0,40*MAX(1,AO24)-(AM26+AN26)))))</f>
        <v>1</v>
      </c>
      <c r="AP27" s="63">
        <f>IF(AND(AP24=1,AP25=9),1,IF(AP24&lt;=0,0,IF(WEEKDAY(AP$6,1)=1,0,IF(WEEKDAY(AP$6,1)=7,AP24*AP25,MAX(0,AP25-8)*AP24)))+((IF(AP24&lt;=0,0,IF(WEEKDAY(AP$6,1)=1,0,IF(WEEKDAY(AP$6,1)=7,0,MIN(8,AP25)*AP24))))-MIN(IF(AP24&lt;=0,0,IF(WEEKDAY(AP$6,1)=1,0,IF(WEEKDAY(AP$6,1)=7,0,MIN(8,AP25)*AP24))),MAX(0,40*MAX(1,AP24)-(AM26+AN26+AO26)))))</f>
        <v>1</v>
      </c>
      <c r="AQ27" s="63">
        <f>IF(AND(AQ24=1,AQ25=9),1,IF(AQ24&lt;=0,0,IF(WEEKDAY(AQ$6,1)=1,0,IF(WEEKDAY(AQ$6,1)=7,AQ24*AQ25,MAX(0,AQ25-8)*AQ24)))+((IF(AQ24&lt;=0,0,IF(WEEKDAY(AQ$6,1)=1,0,IF(WEEKDAY(AQ$6,1)=7,0,MIN(8,AQ25)*AQ24))))-MIN(IF(AQ24&lt;=0,0,IF(WEEKDAY(AQ$6,1)=1,0,IF(WEEKDAY(AQ$6,1)=7,0,MIN(8,AQ25)*AQ24))),MAX(0,40*MAX(1,AQ24)-(AM26+AN26+AO26+AP26)))))</f>
        <v>1</v>
      </c>
      <c r="AR27" s="64">
        <f>IF(AND(AR24=0,AR25=0),0,IF(AR24&lt;=0,0,IF(WEEKDAY(AR$6,1)=1,0,IF(WEEKDAY(AR$6,1)=7,AR24*AR25,MAX(0,AR25-8)*AR24)))+((IF(AR24&lt;=0,0,IF(WEEKDAY(AR$6,1)=1,0,IF(WEEKDAY(AR$6,1)=7,0,MIN(8,AR25)*AR24))))-MIN(IF(AR24&lt;=0,0,IF(WEEKDAY(AR$6,1)=1,0,IF(WEEKDAY(AR$6,1)=7,0,MIN(8,AR25)*AR24))),MAX(0,40*MAX(1,AR24)-(0)))))</f>
        <v>0</v>
      </c>
      <c r="AS27" s="64">
        <f>IF(AND(AS24=0,AS25=0),0,IF(AS24&lt;=0,0,IF(WEEKDAY(AS$6,1)=1,0,IF(WEEKDAY(AS$6,1)=7,AS24*AS25,MAX(0,AS25-8)*AS24)))+((IF(AS24&lt;=0,0,IF(WEEKDAY(AS$6,1)=1,0,IF(WEEKDAY(AS$6,1)=7,0,MIN(8,AS25)*AS24))))-MIN(IF(AS24&lt;=0,0,IF(WEEKDAY(AS$6,1)=1,0,IF(WEEKDAY(AS$6,1)=7,0,MIN(8,AS25)*AS24))),MAX(0,40*MAX(1,AS24)-(AR26)))))</f>
        <v>0</v>
      </c>
      <c r="AT27" s="63">
        <f>IF(AND(AT24=1,AT25=9),1,IF(AT24&lt;=0,0,IF(WEEKDAY(AT$6,1)=1,0,IF(WEEKDAY(AT$6,1)=7,AT24*AT25,MAX(0,AT25-8)*AT24)))+((IF(AT24&lt;=0,0,IF(WEEKDAY(AT$6,1)=1,0,IF(WEEKDAY(AT$6,1)=7,0,MIN(8,AT25)*AT24))))-MIN(IF(AT24&lt;=0,0,IF(WEEKDAY(AT$6,1)=1,0,IF(WEEKDAY(AT$6,1)=7,0,MIN(8,AT25)*AT24))),MAX(0,40*MAX(1,AT24)-(0)))))</f>
        <v>1</v>
      </c>
      <c r="AU27" s="63">
        <f>IF(AND(AU24=1,AU25=9),1,IF(AU24&lt;=0,0,IF(WEEKDAY(AU$6,1)=1,0,IF(WEEKDAY(AU$6,1)=7,AU24*AU25,MAX(0,AU25-8)*AU24)))+((IF(AU24&lt;=0,0,IF(WEEKDAY(AU$6,1)=1,0,IF(WEEKDAY(AU$6,1)=7,0,MIN(8,AU25)*AU24))))-MIN(IF(AU24&lt;=0,0,IF(WEEKDAY(AU$6,1)=1,0,IF(WEEKDAY(AU$6,1)=7,0,MIN(8,AU25)*AU24))),MAX(0,40*MAX(1,AU24)-(AT26)))))</f>
        <v>1</v>
      </c>
      <c r="AV27" s="63">
        <f>IF(AND(AV24=1,AV25=9),1,IF(AV24&lt;=0,0,IF(WEEKDAY(AV$6,1)=1,0,IF(WEEKDAY(AV$6,1)=7,AV24*AV25,MAX(0,AV25-8)*AV24)))+((IF(AV24&lt;=0,0,IF(WEEKDAY(AV$6,1)=1,0,IF(WEEKDAY(AV$6,1)=7,0,MIN(8,AV25)*AV24))))-MIN(IF(AV24&lt;=0,0,IF(WEEKDAY(AV$6,1)=1,0,IF(WEEKDAY(AV$6,1)=7,0,MIN(8,AV25)*AV24))),MAX(0,40*MAX(1,AV24)-(AT26+AU26)))))</f>
        <v>1</v>
      </c>
      <c r="AW27" s="63">
        <f>IF(AND(AW24=1,AW25=9),1,IF(AW24&lt;=0,0,IF(WEEKDAY(AW$6,1)=1,0,IF(WEEKDAY(AW$6,1)=7,AW24*AW25,MAX(0,AW25-8)*AW24)))+((IF(AW24&lt;=0,0,IF(WEEKDAY(AW$6,1)=1,0,IF(WEEKDAY(AW$6,1)=7,0,MIN(8,AW25)*AW24))))-MIN(IF(AW24&lt;=0,0,IF(WEEKDAY(AW$6,1)=1,0,IF(WEEKDAY(AW$6,1)=7,0,MIN(8,AW25)*AW24))),MAX(0,40*MAX(1,AW24)-(AT26+AU26+AV26)))))</f>
        <v>1</v>
      </c>
      <c r="AX27" s="63">
        <f>IF(AND(AX24=1,AX25=9),1,IF(AX24&lt;=0,0,IF(WEEKDAY(AX$6,1)=1,0,IF(WEEKDAY(AX$6,1)=7,AX24*AX25,MAX(0,AX25-8)*AX24)))+((IF(AX24&lt;=0,0,IF(WEEKDAY(AX$6,1)=1,0,IF(WEEKDAY(AX$6,1)=7,0,MIN(8,AX25)*AX24))))-MIN(IF(AX24&lt;=0,0,IF(WEEKDAY(AX$6,1)=1,0,IF(WEEKDAY(AX$6,1)=7,0,MIN(8,AX25)*AX24))),MAX(0,40*MAX(1,AX24)-(AT26+AU26+AV26+AW26)))))</f>
        <v>1</v>
      </c>
      <c r="AY27" s="64">
        <f>IF(AND(AY24=0,AY25=0),0,IF(AY24&lt;=0,0,IF(WEEKDAY(AY$6,1)=1,0,IF(WEEKDAY(AY$6,1)=7,AY24*AY25,MAX(0,AY25-8)*AY24)))+((IF(AY24&lt;=0,0,IF(WEEKDAY(AY$6,1)=1,0,IF(WEEKDAY(AY$6,1)=7,0,MIN(8,AY25)*AY24))))-MIN(IF(AY24&lt;=0,0,IF(WEEKDAY(AY$6,1)=1,0,IF(WEEKDAY(AY$6,1)=7,0,MIN(8,AY25)*AY24))),MAX(0,40*MAX(1,AY24)-(0)))))</f>
        <v>0</v>
      </c>
      <c r="AZ27" s="64">
        <f>IF(AND(AZ24=0,AZ25=0),0,IF(AZ24&lt;=0,0,IF(WEEKDAY(AZ$6,1)=1,0,IF(WEEKDAY(AZ$6,1)=7,AZ24*AZ25,MAX(0,AZ25-8)*AZ24)))+((IF(AZ24&lt;=0,0,IF(WEEKDAY(AZ$6,1)=1,0,IF(WEEKDAY(AZ$6,1)=7,0,MIN(8,AZ25)*AZ24))))-MIN(IF(AZ24&lt;=0,0,IF(WEEKDAY(AZ$6,1)=1,0,IF(WEEKDAY(AZ$6,1)=7,0,MIN(8,AZ25)*AZ24))),MAX(0,40*MAX(1,AZ24)-(AY26)))))</f>
        <v>0</v>
      </c>
      <c r="BA27" s="63">
        <f>IF(AND(BA24=1,BA25=9),1,IF(BA24&lt;=0,0,IF(WEEKDAY(BA$6,1)=1,0,IF(WEEKDAY(BA$6,1)=7,BA24*BA25,MAX(0,BA25-8)*BA24)))+((IF(BA24&lt;=0,0,IF(WEEKDAY(BA$6,1)=1,0,IF(WEEKDAY(BA$6,1)=7,0,MIN(8,BA25)*BA24))))-MIN(IF(BA24&lt;=0,0,IF(WEEKDAY(BA$6,1)=1,0,IF(WEEKDAY(BA$6,1)=7,0,MIN(8,BA25)*BA24))),MAX(0,40*MAX(1,BA24)-(0)))))</f>
        <v>1</v>
      </c>
      <c r="BB27" s="63">
        <f>IF(AND(BB24=1,BB25=9),1,IF(BB24&lt;=0,0,IF(WEEKDAY(BB$6,1)=1,0,IF(WEEKDAY(BB$6,1)=7,BB24*BB25,MAX(0,BB25-8)*BB24)))+((IF(BB24&lt;=0,0,IF(WEEKDAY(BB$6,1)=1,0,IF(WEEKDAY(BB$6,1)=7,0,MIN(8,BB25)*BB24))))-MIN(IF(BB24&lt;=0,0,IF(WEEKDAY(BB$6,1)=1,0,IF(WEEKDAY(BB$6,1)=7,0,MIN(8,BB25)*BB24))),MAX(0,40*MAX(1,BB24)-(BA26)))))</f>
        <v>1</v>
      </c>
      <c r="BC27" s="63">
        <f>IF(AND(BC24=1,BC25=9),1,IF(BC24&lt;=0,0,IF(WEEKDAY(BC$6,1)=1,0,IF(WEEKDAY(BC$6,1)=7,BC24*BC25,MAX(0,BC25-8)*BC24)))+((IF(BC24&lt;=0,0,IF(WEEKDAY(BC$6,1)=1,0,IF(WEEKDAY(BC$6,1)=7,0,MIN(8,BC25)*BC24))))-MIN(IF(BC24&lt;=0,0,IF(WEEKDAY(BC$6,1)=1,0,IF(WEEKDAY(BC$6,1)=7,0,MIN(8,BC25)*BC24))),MAX(0,40*MAX(1,BC24)-(BA26+BB26)))))</f>
        <v>1</v>
      </c>
      <c r="BD27" s="63">
        <f>IF(AND(BD24=1,BD25=9),1,IF(BD24&lt;=0,0,IF(WEEKDAY(BD$6,1)=1,0,IF(WEEKDAY(BD$6,1)=7,BD24*BD25,MAX(0,BD25-8)*BD24)))+((IF(BD24&lt;=0,0,IF(WEEKDAY(BD$6,1)=1,0,IF(WEEKDAY(BD$6,1)=7,0,MIN(8,BD25)*BD24))))-MIN(IF(BD24&lt;=0,0,IF(WEEKDAY(BD$6,1)=1,0,IF(WEEKDAY(BD$6,1)=7,0,MIN(8,BD25)*BD24))),MAX(0,40*MAX(1,BD24)-(BA26+BB26+BC26)))))</f>
        <v>1</v>
      </c>
      <c r="BE27" s="63">
        <f>IF(AND(BE24=1,BE25=9),1,IF(BE24&lt;=0,0,IF(WEEKDAY(BE$6,1)=1,0,IF(WEEKDAY(BE$6,1)=7,BE24*BE25,MAX(0,BE25-8)*BE24)))+((IF(BE24&lt;=0,0,IF(WEEKDAY(BE$6,1)=1,0,IF(WEEKDAY(BE$6,1)=7,0,MIN(8,BE25)*BE24))))-MIN(IF(BE24&lt;=0,0,IF(WEEKDAY(BE$6,1)=1,0,IF(WEEKDAY(BE$6,1)=7,0,MIN(8,BE25)*BE24))),MAX(0,40*MAX(1,BE24)-(BA26+BB26+BC26+BD26)))))</f>
        <v>1</v>
      </c>
      <c r="BF27" s="64">
        <f>IF(AND(BF24=0,BF25=0),0,IF(BF24&lt;=0,0,IF(WEEKDAY(BF$6,1)=1,0,IF(WEEKDAY(BF$6,1)=7,BF24*BF25,MAX(0,BF25-8)*BF24)))+((IF(BF24&lt;=0,0,IF(WEEKDAY(BF$6,1)=1,0,IF(WEEKDAY(BF$6,1)=7,0,MIN(8,BF25)*BF24))))-MIN(IF(BF24&lt;=0,0,IF(WEEKDAY(BF$6,1)=1,0,IF(WEEKDAY(BF$6,1)=7,0,MIN(8,BF25)*BF24))),MAX(0,40*MAX(1,BF24)-(0)))))</f>
        <v>0</v>
      </c>
      <c r="BG27" s="64">
        <f>IF(AND(BG24=0,BG25=0),0,IF(BG24&lt;=0,0,IF(WEEKDAY(BG$6,1)=1,0,IF(WEEKDAY(BG$6,1)=7,BG24*BG25,MAX(0,BG25-8)*BG24)))+((IF(BG24&lt;=0,0,IF(WEEKDAY(BG$6,1)=1,0,IF(WEEKDAY(BG$6,1)=7,0,MIN(8,BG25)*BG24))))-MIN(IF(BG24&lt;=0,0,IF(WEEKDAY(BG$6,1)=1,0,IF(WEEKDAY(BG$6,1)=7,0,MIN(8,BG25)*BG24))),MAX(0,40*MAX(1,BG24)-(BF26)))))</f>
        <v>0</v>
      </c>
      <c r="BH27" s="63">
        <f>IF(AND(BH24=1,BH25=12),4,IF(BH24&lt;=0,0,IF(WEEKDAY(BH$6,1)=1,0,IF(WEEKDAY(BH$6,1)=7,BH24*BH25,MAX(0,BH25-8)*BH24)))+((IF(BH24&lt;=0,0,IF(WEEKDAY(BH$6,1)=1,0,IF(WEEKDAY(BH$6,1)=7,0,MIN(8,BH25)*BH24))))-MIN(IF(BH24&lt;=0,0,IF(WEEKDAY(BH$6,1)=1,0,IF(WEEKDAY(BH$6,1)=7,0,MIN(8,BH25)*BH24))),MAX(0,40*MAX(1,BH24)-(0)))))</f>
        <v>4</v>
      </c>
      <c r="BI27" s="63">
        <f>IF(AND(BI24=1,BI25=12),4,IF(BI24&lt;=0,0,IF(WEEKDAY(BI$6,1)=1,0,IF(WEEKDAY(BI$6,1)=7,BI24*BI25,MAX(0,BI25-8)*BI24)))+((IF(BI24&lt;=0,0,IF(WEEKDAY(BI$6,1)=1,0,IF(WEEKDAY(BI$6,1)=7,0,MIN(8,BI25)*BI24))))-MIN(IF(BI24&lt;=0,0,IF(WEEKDAY(BI$6,1)=1,0,IF(WEEKDAY(BI$6,1)=7,0,MIN(8,BI25)*BI24))),MAX(0,40*MAX(1,BI24)-(BH26)))))</f>
        <v>4</v>
      </c>
      <c r="BJ27" s="63">
        <f>IF(AND(BJ24=1,BJ25=12),4,IF(BJ24&lt;=0,0,IF(WEEKDAY(BJ$6,1)=1,0,IF(WEEKDAY(BJ$6,1)=7,BJ24*BJ25,MAX(0,BJ25-8)*BJ24)))+((IF(BJ24&lt;=0,0,IF(WEEKDAY(BJ$6,1)=1,0,IF(WEEKDAY(BJ$6,1)=7,0,MIN(8,BJ25)*BJ24))))-MIN(IF(BJ24&lt;=0,0,IF(WEEKDAY(BJ$6,1)=1,0,IF(WEEKDAY(BJ$6,1)=7,0,MIN(8,BJ25)*BJ24))),MAX(0,40*MAX(1,BJ24)-(BH26+BI26)))))</f>
        <v>4</v>
      </c>
      <c r="BK27" s="63">
        <f>IF(AND(BK24=1,BK25=12),4,IF(BK24&lt;=0,0,IF(WEEKDAY(BK$6,1)=1,0,IF(WEEKDAY(BK$6,1)=7,BK24*BK25,MAX(0,BK25-8)*BK24)))+((IF(BK24&lt;=0,0,IF(WEEKDAY(BK$6,1)=1,0,IF(WEEKDAY(BK$6,1)=7,0,MIN(8,BK25)*BK24))))-MIN(IF(BK24&lt;=0,0,IF(WEEKDAY(BK$6,1)=1,0,IF(WEEKDAY(BK$6,1)=7,0,MIN(8,BK25)*BK24))),MAX(0,40*MAX(1,BK24)-(BH26+BI26+BJ26)))))</f>
        <v>4</v>
      </c>
      <c r="BL27" s="63">
        <f>IF(AND(BL24=1,BL25=12),4,IF(BL24&lt;=0,0,IF(WEEKDAY(BL$6,1)=1,0,IF(WEEKDAY(BL$6,1)=7,BL24*BL25,MAX(0,BL25-8)*BL24)))+((IF(BL24&lt;=0,0,IF(WEEKDAY(BL$6,1)=1,0,IF(WEEKDAY(BL$6,1)=7,0,MIN(8,BL25)*BL24))))-MIN(IF(BL24&lt;=0,0,IF(WEEKDAY(BL$6,1)=1,0,IF(WEEKDAY(BL$6,1)=7,0,MIN(8,BL25)*BL24))),MAX(0,40*MAX(1,BL24)-(BH26+BI26+BJ26+BK26)))))</f>
        <v>4</v>
      </c>
      <c r="BM27" s="64">
        <f>IF(AND(BM24=1,BM25=12),12,IF(BM24&lt;=0,0,IF(WEEKDAY(BM$6,1)=1,0,IF(WEEKDAY(BM$6,1)=7,BM24*BM25,MAX(0,BM25-8)*BM24)))+((IF(BM24&lt;=0,0,IF(WEEKDAY(BM$6,1)=1,0,IF(WEEKDAY(BM$6,1)=7,0,MIN(8,BM25)*BM24))))-MIN(IF(BM24&lt;=0,0,IF(WEEKDAY(BM$6,1)=1,0,IF(WEEKDAY(BM$6,1)=7,0,MIN(8,BM25)*BM24))),MAX(0,40*MAX(1,BM24)-(BH26+BI26+BJ26+BK26+BL26)))))</f>
        <v>12</v>
      </c>
      <c r="BN27" s="64">
        <f>IF(AND(BN24=1,BN25=12),0,IF(BN24&lt;=0,0,IF(WEEKDAY(BN$6,1)=1,0,IF(WEEKDAY(BN$6,1)=7,BN24*BN25,MAX(0,BN25-8)*BN24)))+((IF(BN24&lt;=0,0,IF(WEEKDAY(BN$6,1)=1,0,IF(WEEKDAY(BN$6,1)=7,0,MIN(8,BN25)*BN24))))-MIN(IF(BN24&lt;=0,0,IF(WEEKDAY(BN$6,1)=1,0,IF(WEEKDAY(BN$6,1)=7,0,MIN(8,BN25)*BN24))),MAX(0,40*MAX(1,BN24)-(BH26+BI26+BJ26+BK26+BL26+BM26)))))</f>
        <v>0</v>
      </c>
      <c r="BO27" s="63">
        <f>IF(AND(BO24=1,BO25=12),4,IF(BO24&lt;=0,0,IF(WEEKDAY(BO$6,1)=1,0,IF(WEEKDAY(BO$6,1)=7,BO24*BO25,MAX(0,BO25-8)*BO24)))+((IF(BO24&lt;=0,0,IF(WEEKDAY(BO$6,1)=1,0,IF(WEEKDAY(BO$6,1)=7,0,MIN(8,BO25)*BO24))))-MIN(IF(BO24&lt;=0,0,IF(WEEKDAY(BO$6,1)=1,0,IF(WEEKDAY(BO$6,1)=7,0,MIN(8,BO25)*BO24))),MAX(0,40*MAX(1,BO24)-(0)))))</f>
        <v>4</v>
      </c>
      <c r="BP27" s="63">
        <f>IF(AND(BP24=1,BP25=12),4,IF(BP24&lt;=0,0,IF(WEEKDAY(BP$6,1)=1,0,IF(WEEKDAY(BP$6,1)=7,BP24*BP25,MAX(0,BP25-8)*BP24)))+((IF(BP24&lt;=0,0,IF(WEEKDAY(BP$6,1)=1,0,IF(WEEKDAY(BP$6,1)=7,0,MIN(8,BP25)*BP24))))-MIN(IF(BP24&lt;=0,0,IF(WEEKDAY(BP$6,1)=1,0,IF(WEEKDAY(BP$6,1)=7,0,MIN(8,BP25)*BP24))),MAX(0,40*MAX(1,BP24)-(BO26)))))</f>
        <v>4</v>
      </c>
      <c r="BQ27" s="63">
        <f>IF(AND(BQ24=1,BQ25=12),4,IF(BQ24&lt;=0,0,IF(WEEKDAY(BQ$6,1)=1,0,IF(WEEKDAY(BQ$6,1)=7,BQ24*BQ25,MAX(0,BQ25-8)*BQ24)))+((IF(BQ24&lt;=0,0,IF(WEEKDAY(BQ$6,1)=1,0,IF(WEEKDAY(BQ$6,1)=7,0,MIN(8,BQ25)*BQ24))))-MIN(IF(BQ24&lt;=0,0,IF(WEEKDAY(BQ$6,1)=1,0,IF(WEEKDAY(BQ$6,1)=7,0,MIN(8,BQ25)*BQ24))),MAX(0,40*MAX(1,BQ24)-(BO26+BP26)))))</f>
        <v>4</v>
      </c>
      <c r="BR27" s="63">
        <f>IF(AND(BR24=1,BR25=12),4,IF(BR24&lt;=0,0,IF(WEEKDAY(BR$6,1)=1,0,IF(WEEKDAY(BR$6,1)=7,BR24*BR25,MAX(0,BR25-8)*BR24)))+((IF(BR24&lt;=0,0,IF(WEEKDAY(BR$6,1)=1,0,IF(WEEKDAY(BR$6,1)=7,0,MIN(8,BR25)*BR24))))-MIN(IF(BR24&lt;=0,0,IF(WEEKDAY(BR$6,1)=1,0,IF(WEEKDAY(BR$6,1)=7,0,MIN(8,BR25)*BR24))),MAX(0,40*MAX(1,BR24)-(0)))))</f>
        <v>4</v>
      </c>
      <c r="BS27" s="63">
        <f>IF(AND(BS24=1,BS25=12),4,IF(BS24&lt;=0,0,IF(WEEKDAY(BS$6,1)=1,0,IF(WEEKDAY(BS$6,1)=7,BS24*BS25,MAX(0,BS25-8)*BS24)))+((IF(BS24&lt;=0,0,IF(WEEKDAY(BS$6,1)=1,0,IF(WEEKDAY(BS$6,1)=7,0,MIN(8,BS25)*BS24))))-MIN(IF(BS24&lt;=0,0,IF(WEEKDAY(BS$6,1)=1,0,IF(WEEKDAY(BS$6,1)=7,0,MIN(8,BS25)*BS24))),MAX(0,40*MAX(1,BS24)-(BR26)))))</f>
        <v>4</v>
      </c>
      <c r="BT27" s="64">
        <f>IF(AND(BT24=1,BT25=12),12,IF(BT24&lt;=0,0,IF(WEEKDAY(BT$6,1)=1,0,IF(WEEKDAY(BT$6,1)=7,BT24*BT25,MAX(0,BT25-8)*BT24)))+((IF(BT24&lt;=0,0,IF(WEEKDAY(BT$6,1)=1,0,IF(WEEKDAY(BT$6,1)=7,0,MIN(8,BT25)*BT24))))-MIN(IF(BT24&lt;=0,0,IF(WEEKDAY(BT$6,1)=1,0,IF(WEEKDAY(BT$6,1)=7,0,MIN(8,BT25)*BT24))),MAX(0,40*MAX(1,BT24)-(BR26+BS26)))))</f>
        <v>12</v>
      </c>
      <c r="BU27" s="64">
        <f>IF(AND(BU24=1,BU25=12),0,IF(BU24&lt;=0,0,IF(WEEKDAY(BU$6,1)=1,0,IF(WEEKDAY(BU$6,1)=7,BU24*BU25,MAX(0,BU25-8)*BU24)))+((IF(BU24&lt;=0,0,IF(WEEKDAY(BU$6,1)=1,0,IF(WEEKDAY(BU$6,1)=7,0,MIN(8,BU25)*BU24))))-MIN(IF(BU24&lt;=0,0,IF(WEEKDAY(BU$6,1)=1,0,IF(WEEKDAY(BU$6,1)=7,0,MIN(8,BU25)*BU24))),MAX(0,40*MAX(1,BU24)-(BR26+BS26+BT26)))))</f>
        <v>0</v>
      </c>
      <c r="BV27" s="63">
        <f>IF(AND(BV24=1,BV25=12),4,IF(BV24&lt;=0,0,IF(WEEKDAY(BV$6,1)=1,0,IF(WEEKDAY(BV$6,1)=7,BV24*BV25,MAX(0,BV25-8)*BV24)))+((IF(BV24&lt;=0,0,IF(WEEKDAY(BV$6,1)=1,0,IF(WEEKDAY(BV$6,1)=7,0,MIN(8,BV25)*BV24))))-MIN(IF(BV24&lt;=0,0,IF(WEEKDAY(BV$6,1)=1,0,IF(WEEKDAY(BV$6,1)=7,0,MIN(8,BV25)*BV24))),MAX(0,40*MAX(1,BV24)-(0)))))</f>
        <v>4</v>
      </c>
      <c r="BW27" s="63">
        <f>IF(AND(BW24=1,BW25=12),4,IF(BW24&lt;=0,0,IF(WEEKDAY(BW$6,1)=1,0,IF(WEEKDAY(BW$6,1)=7,BW24*BW25,MAX(0,BW25-8)*BW24)))+((IF(BW24&lt;=0,0,IF(WEEKDAY(BW$6,1)=1,0,IF(WEEKDAY(BW$6,1)=7,0,MIN(8,BW25)*BW24))))-MIN(IF(BW24&lt;=0,0,IF(WEEKDAY(BW$6,1)=1,0,IF(WEEKDAY(BW$6,1)=7,0,MIN(8,BW25)*BW24))),MAX(0,40*MAX(1,BW24)-(BV26)))))</f>
        <v>4</v>
      </c>
      <c r="BX27" s="63">
        <f>IF(AND(BX24=1,BX25=12),4,IF(BX24&lt;=0,0,IF(WEEKDAY(BX$6,1)=1,0,IF(WEEKDAY(BX$6,1)=7,BX24*BX25,MAX(0,BX25-8)*BX24)))+((IF(BX24&lt;=0,0,IF(WEEKDAY(BX$6,1)=1,0,IF(WEEKDAY(BX$6,1)=7,0,MIN(8,BX25)*BX24))))-MIN(IF(BX24&lt;=0,0,IF(WEEKDAY(BX$6,1)=1,0,IF(WEEKDAY(BX$6,1)=7,0,MIN(8,BX25)*BX24))),MAX(0,40*MAX(1,BX24)-(BV26+BW26)))))</f>
        <v>4</v>
      </c>
      <c r="BY27" s="63">
        <f>IF(AND(BY24=1,BY25=12),4,IF(BY24&lt;=0,0,IF(WEEKDAY(BY$6,1)=1,0,IF(WEEKDAY(BY$6,1)=7,BY24*BY25,MAX(0,BY25-8)*BY24)))+((IF(BY24&lt;=0,0,IF(WEEKDAY(BY$6,1)=1,0,IF(WEEKDAY(BY$6,1)=7,0,MIN(8,BY25)*BY24))))-MIN(IF(BY24&lt;=0,0,IF(WEEKDAY(BY$6,1)=1,0,IF(WEEKDAY(BY$6,1)=7,0,MIN(8,BY25)*BY24))),MAX(0,40*MAX(1,BY24)-(BV26+BW26+BX26)))))</f>
        <v>4</v>
      </c>
      <c r="BZ27" s="63">
        <f>IF(AND(BZ24=1,BZ25=12),4,IF(BZ24&lt;=0,0,IF(WEEKDAY(BZ$6,1)=1,0,IF(WEEKDAY(BZ$6,1)=7,BZ24*BZ25,MAX(0,BZ25-8)*BZ24)))+((IF(BZ24&lt;=0,0,IF(WEEKDAY(BZ$6,1)=1,0,IF(WEEKDAY(BZ$6,1)=7,0,MIN(8,BZ25)*BZ24))))-MIN(IF(BZ24&lt;=0,0,IF(WEEKDAY(BZ$6,1)=1,0,IF(WEEKDAY(BZ$6,1)=7,0,MIN(8,BZ25)*BZ24))),MAX(0,40*MAX(1,BZ24)-(BV26+BW26+BX26+BY26)))))</f>
        <v>4</v>
      </c>
      <c r="CA27" s="64">
        <f>IF(AND(CA24=1,CA25=12),12,IF(CA24&lt;=0,0,IF(WEEKDAY(CA$6,1)=1,0,IF(WEEKDAY(CA$6,1)=7,CA24*CA25,MAX(0,CA25-8)*CA24)))+((IF(CA24&lt;=0,0,IF(WEEKDAY(CA$6,1)=1,0,IF(WEEKDAY(CA$6,1)=7,0,MIN(8,CA25)*CA24))))-MIN(IF(CA24&lt;=0,0,IF(WEEKDAY(CA$6,1)=1,0,IF(WEEKDAY(CA$6,1)=7,0,MIN(8,CA25)*CA24))),MAX(0,40*MAX(1,CA24)-(BV26+BW26+BX26+BY26+BZ26)))))</f>
        <v>12</v>
      </c>
      <c r="CB27" s="64">
        <f>IF(AND(CB24=1,CB25=12),0,IF(CB24&lt;=0,0,IF(WEEKDAY(CB$6,1)=1,0,IF(WEEKDAY(CB$6,1)=7,CB24*CB25,MAX(0,CB25-8)*CB24)))+((IF(CB24&lt;=0,0,IF(WEEKDAY(CB$6,1)=1,0,IF(WEEKDAY(CB$6,1)=7,0,MIN(8,CB25)*CB24))))-MIN(IF(CB24&lt;=0,0,IF(WEEKDAY(CB$6,1)=1,0,IF(WEEKDAY(CB$6,1)=7,0,MIN(8,CB25)*CB24))),MAX(0,40*MAX(1,CB24)-(BV26+BW26+BX26+BY26+BZ26+CA26)))))</f>
        <v>0</v>
      </c>
      <c r="CC27" s="63">
        <f>IF(AND(CC24=1,CC25=12),4,IF(CC24&lt;=0,0,IF(WEEKDAY(CC$6,1)=1,0,IF(WEEKDAY(CC$6,1)=7,CC24*CC25,MAX(0,CC25-8)*CC24)))+((IF(CC24&lt;=0,0,IF(WEEKDAY(CC$6,1)=1,0,IF(WEEKDAY(CC$6,1)=7,0,MIN(8,CC25)*CC24))))-MIN(IF(CC24&lt;=0,0,IF(WEEKDAY(CC$6,1)=1,0,IF(WEEKDAY(CC$6,1)=7,0,MIN(8,CC25)*CC24))),MAX(0,40*MAX(1,CC24)-(0)))))</f>
        <v>4</v>
      </c>
      <c r="CD27" s="63">
        <f>IF(AND(CD24=1,CD25=12),4,IF(CD24&lt;=0,0,IF(WEEKDAY(CD$6,1)=1,0,IF(WEEKDAY(CD$6,1)=7,CD24*CD25,MAX(0,CD25-8)*CD24)))+((IF(CD24&lt;=0,0,IF(WEEKDAY(CD$6,1)=1,0,IF(WEEKDAY(CD$6,1)=7,0,MIN(8,CD25)*CD24))))-MIN(IF(CD24&lt;=0,0,IF(WEEKDAY(CD$6,1)=1,0,IF(WEEKDAY(CD$6,1)=7,0,MIN(8,CD25)*CD24))),MAX(0,40*MAX(1,CD24)-(CC26)))))</f>
        <v>4</v>
      </c>
      <c r="CE27" s="63">
        <f>IF(AND(CE24=1,CE25=12),4,IF(CE24&lt;=0,0,IF(WEEKDAY(CE$6,1)=1,0,IF(WEEKDAY(CE$6,1)=7,CE24*CE25,MAX(0,CE25-8)*CE24)))+((IF(CE24&lt;=0,0,IF(WEEKDAY(CE$6,1)=1,0,IF(WEEKDAY(CE$6,1)=7,0,MIN(8,CE25)*CE24))))-MIN(IF(CE24&lt;=0,0,IF(WEEKDAY(CE$6,1)=1,0,IF(WEEKDAY(CE$6,1)=7,0,MIN(8,CE25)*CE24))),MAX(0,40*MAX(1,CE24)-(CC26+CD26)))))</f>
        <v>4</v>
      </c>
      <c r="CF27" s="63">
        <f>IF(AND(CF24=1,CF25=12),4,IF(CF24&lt;=0,0,IF(WEEKDAY(CF$6,1)=1,0,IF(WEEKDAY(CF$6,1)=7,CF24*CF25,MAX(0,CF25-8)*CF24)))+((IF(CF24&lt;=0,0,IF(WEEKDAY(CF$6,1)=1,0,IF(WEEKDAY(CF$6,1)=7,0,MIN(8,CF25)*CF24))))-MIN(IF(CF24&lt;=0,0,IF(WEEKDAY(CF$6,1)=1,0,IF(WEEKDAY(CF$6,1)=7,0,MIN(8,CF25)*CF24))),MAX(0,40*MAX(1,CF24)-(CC26+CD26+CE26)))))</f>
        <v>4</v>
      </c>
      <c r="CG27" s="63">
        <f>IF(AND(CG24=1,CG25=12),4,IF(CG24&lt;=0,0,IF(WEEKDAY(CG$6,1)=1,0,IF(WEEKDAY(CG$6,1)=7,CG24*CG25,MAX(0,CG25-8)*CG24)))+((IF(CG24&lt;=0,0,IF(WEEKDAY(CG$6,1)=1,0,IF(WEEKDAY(CG$6,1)=7,0,MIN(8,CG25)*CG24))))-MIN(IF(CG24&lt;=0,0,IF(WEEKDAY(CG$6,1)=1,0,IF(WEEKDAY(CG$6,1)=7,0,MIN(8,CG25)*CG24))),MAX(0,40*MAX(1,CG24)-(CC26+CD26+CE26+CF26)))))</f>
        <v>4</v>
      </c>
      <c r="CH27" s="64">
        <f>IF(AND(CH24=1,CH25=12),12,IF(CH24&lt;=0,0,IF(WEEKDAY(CH$6,1)=1,0,IF(WEEKDAY(CH$6,1)=7,CH24*CH25,MAX(0,CH25-8)*CH24)))+((IF(CH24&lt;=0,0,IF(WEEKDAY(CH$6,1)=1,0,IF(WEEKDAY(CH$6,1)=7,0,MIN(8,CH25)*CH24))))-MIN(IF(CH24&lt;=0,0,IF(WEEKDAY(CH$6,1)=1,0,IF(WEEKDAY(CH$6,1)=7,0,MIN(8,CH25)*CH24))),MAX(0,40*MAX(1,CH24)-(CC26+CD26+CE26+CF26+CG26)))))</f>
        <v>12</v>
      </c>
      <c r="CI27" s="64">
        <f>IF(AND(CI24=1,CI25=12),0,IF(CI24&lt;=0,0,IF(WEEKDAY(CI$6,1)=1,0,IF(WEEKDAY(CI$6,1)=7,CI24*CI25,MAX(0,CI25-8)*CI24)))+((IF(CI24&lt;=0,0,IF(WEEKDAY(CI$6,1)=1,0,IF(WEEKDAY(CI$6,1)=7,0,MIN(8,CI25)*CI24))))-MIN(IF(CI24&lt;=0,0,IF(WEEKDAY(CI$6,1)=1,0,IF(WEEKDAY(CI$6,1)=7,0,MIN(8,CI25)*CI24))),MAX(0,40*MAX(1,CI24)-(CC26+CD26+CE26+CF26+CG26+CH26)))))</f>
        <v>0</v>
      </c>
      <c r="CJ27" s="63">
        <f>IF(AND(CJ24=1,CJ25=12),4,IF(CJ24&lt;=0,0,IF(WEEKDAY(CJ$6,1)=1,0,IF(WEEKDAY(CJ$6,1)=7,CJ24*CJ25,MAX(0,CJ25-8)*CJ24)))+((IF(CJ24&lt;=0,0,IF(WEEKDAY(CJ$6,1)=1,0,IF(WEEKDAY(CJ$6,1)=7,0,MIN(8,CJ25)*CJ24))))-MIN(IF(CJ24&lt;=0,0,IF(WEEKDAY(CJ$6,1)=1,0,IF(WEEKDAY(CJ$6,1)=7,0,MIN(8,CJ25)*CJ24))),MAX(0,40*MAX(1,CJ24)-(0)))))</f>
        <v>4</v>
      </c>
      <c r="CK27" s="63">
        <f>IF(AND(CK24=1,CK25=12),4,IF(CK24&lt;=0,0,IF(WEEKDAY(CK$6,1)=1,0,IF(WEEKDAY(CK$6,1)=7,CK24*CK25,MAX(0,CK25-8)*CK24)))+((IF(CK24&lt;=0,0,IF(WEEKDAY(CK$6,1)=1,0,IF(WEEKDAY(CK$6,1)=7,0,MIN(8,CK25)*CK24))))-MIN(IF(CK24&lt;=0,0,IF(WEEKDAY(CK$6,1)=1,0,IF(WEEKDAY(CK$6,1)=7,0,MIN(8,CK25)*CK24))),MAX(0,40*MAX(1,CK24)-(CJ26)))))</f>
        <v>4</v>
      </c>
      <c r="CL27" s="63">
        <f>IF(AND(CL24=1,CL25=12),4,IF(CL24&lt;=0,0,IF(WEEKDAY(CL$6,1)=1,0,IF(WEEKDAY(CL$6,1)=7,CL24*CL25,MAX(0,CL25-8)*CL24)))+((IF(CL24&lt;=0,0,IF(WEEKDAY(CL$6,1)=1,0,IF(WEEKDAY(CL$6,1)=7,0,MIN(8,CL25)*CL24))))-MIN(IF(CL24&lt;=0,0,IF(WEEKDAY(CL$6,1)=1,0,IF(WEEKDAY(CL$6,1)=7,0,MIN(8,CL25)*CL24))),MAX(0,40*MAX(1,CL24)-(CJ26+CK26)))))</f>
        <v>4</v>
      </c>
      <c r="CM27" s="63">
        <f>IF(AND(CM24=1,CM25=12),4,IF(CM24&lt;=0,0,IF(WEEKDAY(CM$6,1)=1,0,IF(WEEKDAY(CM$6,1)=7,CM24*CM25,MAX(0,CM25-8)*CM24)))+((IF(CM24&lt;=0,0,IF(WEEKDAY(CM$6,1)=1,0,IF(WEEKDAY(CM$6,1)=7,0,MIN(8,CM25)*CM24))))-MIN(IF(CM24&lt;=0,0,IF(WEEKDAY(CM$6,1)=1,0,IF(WEEKDAY(CM$6,1)=7,0,MIN(8,CM25)*CM24))),MAX(0,40*MAX(1,CM24)-(CJ26+CK26+CL26)))))</f>
        <v>4</v>
      </c>
      <c r="CN27" s="63">
        <f>IF(AND(CN24=1,CN25=12),4,IF(CN24&lt;=0,0,IF(WEEKDAY(CN$6,1)=1,0,IF(WEEKDAY(CN$6,1)=7,CN24*CN25,MAX(0,CN25-8)*CN24)))+((IF(CN24&lt;=0,0,IF(WEEKDAY(CN$6,1)=1,0,IF(WEEKDAY(CN$6,1)=7,0,MIN(8,CN25)*CN24))))-MIN(IF(CN24&lt;=0,0,IF(WEEKDAY(CN$6,1)=1,0,IF(WEEKDAY(CN$6,1)=7,0,MIN(8,CN25)*CN24))),MAX(0,40*MAX(1,CN24)-(CJ26+CK26+CL26+CM26)))))</f>
        <v>4</v>
      </c>
      <c r="CO27" s="64">
        <f>IF(AND(CO24=1,CO25=12),12,IF(CO24&lt;=0,0,IF(WEEKDAY(CO$6,1)=1,0,IF(WEEKDAY(CO$6,1)=7,CO24*CO25,MAX(0,CO25-8)*CO24)))+((IF(CO24&lt;=0,0,IF(WEEKDAY(CO$6,1)=1,0,IF(WEEKDAY(CO$6,1)=7,0,MIN(8,CO25)*CO24))))-MIN(IF(CO24&lt;=0,0,IF(WEEKDAY(CO$6,1)=1,0,IF(WEEKDAY(CO$6,1)=7,0,MIN(8,CO25)*CO24))),MAX(0,40*MAX(1,CO24)-(CJ26+CK26+CL26+CM26+CN26)))))</f>
        <v>12</v>
      </c>
      <c r="CP27" s="64">
        <f>IF(AND(CP24=1,CP25=12),0,IF(CP24&lt;=0,0,IF(WEEKDAY(CP$6,1)=1,0,IF(WEEKDAY(CP$6,1)=7,CP24*CP25,MAX(0,CP25-8)*CP24)))+((IF(CP24&lt;=0,0,IF(WEEKDAY(CP$6,1)=1,0,IF(WEEKDAY(CP$6,1)=7,0,MIN(8,CP25)*CP24))))-MIN(IF(CP24&lt;=0,0,IF(WEEKDAY(CP$6,1)=1,0,IF(WEEKDAY(CP$6,1)=7,0,MIN(8,CP25)*CP24))),MAX(0,40*MAX(1,CP24)-(CJ26+CK26+CL26+CM26+CN26+CO26)))))</f>
        <v>0</v>
      </c>
      <c r="CQ27" s="63">
        <f>IF(AND(CQ24=1,CQ25=12),4,IF(CQ24&lt;=0,0,IF(WEEKDAY(CQ$6,1)=1,0,IF(WEEKDAY(CQ$6,1)=7,CQ24*CQ25,MAX(0,CQ25-8)*CQ24)))+((IF(CQ24&lt;=0,0,IF(WEEKDAY(CQ$6,1)=1,0,IF(WEEKDAY(CQ$6,1)=7,0,MIN(8,CQ25)*CQ24))))-MIN(IF(CQ24&lt;=0,0,IF(WEEKDAY(CQ$6,1)=1,0,IF(WEEKDAY(CQ$6,1)=7,0,MIN(8,CQ25)*CQ24))),MAX(0,40*MAX(1,CQ24)-(0)))))</f>
        <v>4</v>
      </c>
      <c r="CR27" s="63">
        <f>IF(AND(CR24=1,CR25=12),4,IF(CR24&lt;=0,0,IF(WEEKDAY(CR$6,1)=1,0,IF(WEEKDAY(CR$6,1)=7,CR24*CR25,MAX(0,CR25-8)*CR24)))+((IF(CR24&lt;=0,0,IF(WEEKDAY(CR$6,1)=1,0,IF(WEEKDAY(CR$6,1)=7,0,MIN(8,CR25)*CR24))))-MIN(IF(CR24&lt;=0,0,IF(WEEKDAY(CR$6,1)=1,0,IF(WEEKDAY(CR$6,1)=7,0,MIN(8,CR25)*CR24))),MAX(0,40*MAX(1,CR24)-(CQ26)))))</f>
        <v>4</v>
      </c>
      <c r="CS27" s="63">
        <f>IF(AND(CS24=1,CS25=12),4,IF(CS24&lt;=0,0,IF(WEEKDAY(CS$6,1)=1,0,IF(WEEKDAY(CS$6,1)=7,CS24*CS25,MAX(0,CS25-8)*CS24)))+((IF(CS24&lt;=0,0,IF(WEEKDAY(CS$6,1)=1,0,IF(WEEKDAY(CS$6,1)=7,0,MIN(8,CS25)*CS24))))-MIN(IF(CS24&lt;=0,0,IF(WEEKDAY(CS$6,1)=1,0,IF(WEEKDAY(CS$6,1)=7,0,MIN(8,CS25)*CS24))),MAX(0,40*MAX(1,CS24)-(CQ26+CR26)))))</f>
        <v>4</v>
      </c>
      <c r="CT27" s="63">
        <f>IF(AND(CT24=1,CT25=12),4,IF(CT24&lt;=0,0,IF(WEEKDAY(CT$6,1)=1,0,IF(WEEKDAY(CT$6,1)=7,CT24*CT25,MAX(0,CT25-8)*CT24)))+((IF(CT24&lt;=0,0,IF(WEEKDAY(CT$6,1)=1,0,IF(WEEKDAY(CT$6,1)=7,0,MIN(8,CT25)*CT24))))-MIN(IF(CT24&lt;=0,0,IF(WEEKDAY(CT$6,1)=1,0,IF(WEEKDAY(CT$6,1)=7,0,MIN(8,CT25)*CT24))),MAX(0,40*MAX(1,CT24)-(CQ26+CR26+CS26)))))</f>
        <v>4</v>
      </c>
      <c r="CU27" s="63">
        <f>IF(AND(CU24=1,CU25=12),4,IF(CU24&lt;=0,0,IF(WEEKDAY(CU$6,1)=1,0,IF(WEEKDAY(CU$6,1)=7,CU24*CU25,MAX(0,CU25-8)*CU24)))+((IF(CU24&lt;=0,0,IF(WEEKDAY(CU$6,1)=1,0,IF(WEEKDAY(CU$6,1)=7,0,MIN(8,CU25)*CU24))))-MIN(IF(CU24&lt;=0,0,IF(WEEKDAY(CU$6,1)=1,0,IF(WEEKDAY(CU$6,1)=7,0,MIN(8,CU25)*CU24))),MAX(0,40*MAX(1,CU24)-(CQ26+CR26+CS26+CT26)))))</f>
        <v>4</v>
      </c>
      <c r="CV27" s="64">
        <f>IF(AND(CV24=1,CV25=12),12,IF(CV24&lt;=0,0,IF(WEEKDAY(CV$6,1)=1,0,IF(WEEKDAY(CV$6,1)=7,CV24*CV25,MAX(0,CV25-8)*CV24)))+((IF(CV24&lt;=0,0,IF(WEEKDAY(CV$6,1)=1,0,IF(WEEKDAY(CV$6,1)=7,0,MIN(8,CV25)*CV24))))-MIN(IF(CV24&lt;=0,0,IF(WEEKDAY(CV$6,1)=1,0,IF(WEEKDAY(CV$6,1)=7,0,MIN(8,CV25)*CV24))),MAX(0,40*MAX(1,CV24)-(CQ26+CR26+CS26+CT26+CU26)))))</f>
        <v>12</v>
      </c>
      <c r="CW27" s="64">
        <f>IF(AND(CW24=1,CW25=12),0,IF(CW24&lt;=0,0,IF(WEEKDAY(CW$6,1)=1,0,IF(WEEKDAY(CW$6,1)=7,CW24*CW25,MAX(0,CW25-8)*CW24)))+((IF(CW24&lt;=0,0,IF(WEEKDAY(CW$6,1)=1,0,IF(WEEKDAY(CW$6,1)=7,0,MIN(8,CW25)*CW24))))-MIN(IF(CW24&lt;=0,0,IF(WEEKDAY(CW$6,1)=1,0,IF(WEEKDAY(CW$6,1)=7,0,MIN(8,CW25)*CW24))),MAX(0,40*MAX(1,CW24)-(CQ26+CR26+CS26+CT26+CU26+CV26)))))</f>
        <v>0</v>
      </c>
      <c r="CX27" s="63">
        <f>IF(AND(CX24=1,CX25=12),4,IF(CX24&lt;=0,0,IF(WEEKDAY(CX$6,1)=1,0,IF(WEEKDAY(CX$6,1)=7,CX24*CX25,MAX(0,CX25-8)*CX24)))+((IF(CX24&lt;=0,0,IF(WEEKDAY(CX$6,1)=1,0,IF(WEEKDAY(CX$6,1)=7,0,MIN(8,CX25)*CX24))))-MIN(IF(CX24&lt;=0,0,IF(WEEKDAY(CX$6,1)=1,0,IF(WEEKDAY(CX$6,1)=7,0,MIN(8,CX25)*CX24))),MAX(0,40*MAX(1,CX24)-(0)))))</f>
        <v>4</v>
      </c>
      <c r="CY27" s="63">
        <f>IF(AND(CY24=1,CY25=12),4,IF(CY24&lt;=0,0,IF(WEEKDAY(CY$6,1)=1,0,IF(WEEKDAY(CY$6,1)=7,CY24*CY25,MAX(0,CY25-8)*CY24)))+((IF(CY24&lt;=0,0,IF(WEEKDAY(CY$6,1)=1,0,IF(WEEKDAY(CY$6,1)=7,0,MIN(8,CY25)*CY24))))-MIN(IF(CY24&lt;=0,0,IF(WEEKDAY(CY$6,1)=1,0,IF(WEEKDAY(CY$6,1)=7,0,MIN(8,CY25)*CY24))),MAX(0,40*MAX(1,CY24)-(CX26)))))</f>
        <v>4</v>
      </c>
      <c r="CZ27" s="63">
        <f>IF(AND(CZ24=1,CZ25=12),4,IF(CZ24&lt;=0,0,IF(WEEKDAY(CZ$6,1)=1,0,IF(WEEKDAY(CZ$6,1)=7,CZ24*CZ25,MAX(0,CZ25-8)*CZ24)))+((IF(CZ24&lt;=0,0,IF(WEEKDAY(CZ$6,1)=1,0,IF(WEEKDAY(CZ$6,1)=7,0,MIN(8,CZ25)*CZ24))))-MIN(IF(CZ24&lt;=0,0,IF(WEEKDAY(CZ$6,1)=1,0,IF(WEEKDAY(CZ$6,1)=7,0,MIN(8,CZ25)*CZ24))),MAX(0,40*MAX(1,CZ24)-(CX26+CY26)))))</f>
        <v>4</v>
      </c>
      <c r="DA27" s="63">
        <f>IF(AND(DA24=1,DA25=12),4,IF(DA24&lt;=0,0,IF(WEEKDAY(DA$6,1)=1,0,IF(WEEKDAY(DA$6,1)=7,DA24*DA25,MAX(0,DA25-8)*DA24)))+((IF(DA24&lt;=0,0,IF(WEEKDAY(DA$6,1)=1,0,IF(WEEKDAY(DA$6,1)=7,0,MIN(8,DA25)*DA24))))-MIN(IF(DA24&lt;=0,0,IF(WEEKDAY(DA$6,1)=1,0,IF(WEEKDAY(DA$6,1)=7,0,MIN(8,DA25)*DA24))),MAX(0,40*MAX(1,DA24)-(CX26+CY26+CZ26)))))</f>
        <v>4</v>
      </c>
      <c r="DB27" s="63">
        <f>IF(AND(DB24=1,DB25=12),4,IF(DB24&lt;=0,0,IF(WEEKDAY(DB$6,1)=1,0,IF(WEEKDAY(DB$6,1)=7,DB24*DB25,MAX(0,DB25-8)*DB24)))+((IF(DB24&lt;=0,0,IF(WEEKDAY(DB$6,1)=1,0,IF(WEEKDAY(DB$6,1)=7,0,MIN(8,DB25)*DB24))))-MIN(IF(DB24&lt;=0,0,IF(WEEKDAY(DB$6,1)=1,0,IF(WEEKDAY(DB$6,1)=7,0,MIN(8,DB25)*DB24))),MAX(0,40*MAX(1,DB24)-(CX26+CY26+CZ26+DA26)))))</f>
        <v>4</v>
      </c>
      <c r="DC27" s="64">
        <f>IF(AND(DC24=1,DC25=12),12,IF(DC24&lt;=0,0,IF(WEEKDAY(DC$6,1)=1,0,IF(WEEKDAY(DC$6,1)=7,DC24*DC25,MAX(0,DC25-8)*DC24)))+((IF(DC24&lt;=0,0,IF(WEEKDAY(DC$6,1)=1,0,IF(WEEKDAY(DC$6,1)=7,0,MIN(8,DC25)*DC24))))-MIN(IF(DC24&lt;=0,0,IF(WEEKDAY(DC$6,1)=1,0,IF(WEEKDAY(DC$6,1)=7,0,MIN(8,DC25)*DC24))),MAX(0,40*MAX(1,DC24)-(CX26+CY26+CZ26+DA26+DB26)))))</f>
        <v>12</v>
      </c>
      <c r="DD27" s="64">
        <f>IF(AND(DD24=1,DD25=12),0,IF(DD24&lt;=0,0,IF(WEEKDAY(DD$6,1)=1,0,IF(WEEKDAY(DD$6,1)=7,DD24*DD25,MAX(0,DD25-8)*DD24)))+((IF(DD24&lt;=0,0,IF(WEEKDAY(DD$6,1)=1,0,IF(WEEKDAY(DD$6,1)=7,0,MIN(8,DD25)*DD24))))-MIN(IF(DD24&lt;=0,0,IF(WEEKDAY(DD$6,1)=1,0,IF(WEEKDAY(DD$6,1)=7,0,MIN(8,DD25)*DD24))),MAX(0,40*MAX(1,DD24)-(0)))))</f>
        <v>0</v>
      </c>
      <c r="DE27" s="63">
        <f>IF(AND(DE24=1,DE25=12),4,IF(DE24&lt;=0,0,IF(WEEKDAY(DE$6,1)=1,0,IF(WEEKDAY(DE$6,1)=7,DE24*DE25,MAX(0,DE25-8)*DE24)))+((IF(DE24&lt;=0,0,IF(WEEKDAY(DE$6,1)=1,0,IF(WEEKDAY(DE$6,1)=7,0,MIN(8,DE25)*DE24))))-MIN(IF(DE24&lt;=0,0,IF(WEEKDAY(DE$6,1)=1,0,IF(WEEKDAY(DE$6,1)=7,0,MIN(8,DE25)*DE24))),MAX(0,40*MAX(1,DE24)-(0)))))</f>
        <v>4</v>
      </c>
      <c r="DF27" s="63">
        <f>IF(AND(DF24=1,DF25=12),4,IF(DF24&lt;=0,0,IF(WEEKDAY(DF$6,1)=1,0,IF(WEEKDAY(DF$6,1)=7,DF24*DF25,MAX(0,DF25-8)*DF24)))+((IF(DF24&lt;=0,0,IF(WEEKDAY(DF$6,1)=1,0,IF(WEEKDAY(DF$6,1)=7,0,MIN(8,DF25)*DF24))))-MIN(IF(DF24&lt;=0,0,IF(WEEKDAY(DF$6,1)=1,0,IF(WEEKDAY(DF$6,1)=7,0,MIN(8,DF25)*DF24))),MAX(0,40*MAX(1,DF24)-(DE26)))))</f>
        <v>4</v>
      </c>
      <c r="DG27" s="63">
        <f>IF(AND(DG24=1,DG25=12),4,IF(DG24&lt;=0,0,IF(WEEKDAY(DG$6,1)=1,0,IF(WEEKDAY(DG$6,1)=7,DG24*DG25,MAX(0,DG25-8)*DG24)))+((IF(DG24&lt;=0,0,IF(WEEKDAY(DG$6,1)=1,0,IF(WEEKDAY(DG$6,1)=7,0,MIN(8,DG25)*DG24))))-MIN(IF(DG24&lt;=0,0,IF(WEEKDAY(DG$6,1)=1,0,IF(WEEKDAY(DG$6,1)=7,0,MIN(8,DG25)*DG24))),MAX(0,40*MAX(1,DG24)-(DE26+DF26)))))</f>
        <v>4</v>
      </c>
      <c r="DH27" s="63">
        <f>IF(AND(DH24=1,DH25=12),4,IF(DH24&lt;=0,0,IF(WEEKDAY(DH$6,1)=1,0,IF(WEEKDAY(DH$6,1)=7,DH24*DH25,MAX(0,DH25-8)*DH24)))+((IF(DH24&lt;=0,0,IF(WEEKDAY(DH$6,1)=1,0,IF(WEEKDAY(DH$6,1)=7,0,MIN(8,DH25)*DH24))))-MIN(IF(DH24&lt;=0,0,IF(WEEKDAY(DH$6,1)=1,0,IF(WEEKDAY(DH$6,1)=7,0,MIN(8,DH25)*DH24))),MAX(0,40*MAX(1,DH24)-(DE26+DF26+DG26)))))</f>
        <v>4</v>
      </c>
      <c r="DI27" s="63">
        <f>IF(AND(DI24=1,DI25=12),4,IF(DI24&lt;=0,0,IF(WEEKDAY(DI$6,1)=1,0,IF(WEEKDAY(DI$6,1)=7,DI24*DI25,MAX(0,DI25-8)*DI24)))+((IF(DI24&lt;=0,0,IF(WEEKDAY(DI$6,1)=1,0,IF(WEEKDAY(DI$6,1)=7,0,MIN(8,DI25)*DI24))))-MIN(IF(DI24&lt;=0,0,IF(WEEKDAY(DI$6,1)=1,0,IF(WEEKDAY(DI$6,1)=7,0,MIN(8,DI25)*DI24))),MAX(0,40*MAX(1,DI24)-(DE26+DF26+DG26+DH26)))))</f>
        <v>4</v>
      </c>
      <c r="DJ27" s="64">
        <f>IF(AND(DJ24=1,DJ25=12),12,IF(DJ24&lt;=0,0,IF(WEEKDAY(DJ$6,1)=1,0,IF(WEEKDAY(DJ$6,1)=7,DJ24*DJ25,MAX(0,DJ25-8)*DJ24)))+((IF(DJ24&lt;=0,0,IF(WEEKDAY(DJ$6,1)=1,0,IF(WEEKDAY(DJ$6,1)=7,0,MIN(8,DJ25)*DJ24))))-MIN(IF(DJ24&lt;=0,0,IF(WEEKDAY(DJ$6,1)=1,0,IF(WEEKDAY(DJ$6,1)=7,0,MIN(8,DJ25)*DJ24))),MAX(0,40*MAX(1,DJ24)-(DE26+DF26+DG26+DH26+DI26)))))</f>
        <v>12</v>
      </c>
      <c r="DK27" s="64">
        <f>IF(AND(DK24=1,DK25=12),0,IF(DK24&lt;=0,0,IF(WEEKDAY(DK$6,1)=1,0,IF(WEEKDAY(DK$6,1)=7,DK24*DK25,MAX(0,DK25-8)*DK24)))+((IF(DK24&lt;=0,0,IF(WEEKDAY(DK$6,1)=1,0,IF(WEEKDAY(DK$6,1)=7,0,MIN(8,DK25)*DK24))))-MIN(IF(DK24&lt;=0,0,IF(WEEKDAY(DK$6,1)=1,0,IF(WEEKDAY(DK$6,1)=7,0,MIN(8,DK25)*DK24))),MAX(0,40*MAX(1,DK24)-(DE26+DF26+DG26+DH26+DI26+DJ26)))))</f>
        <v>0</v>
      </c>
      <c r="DL27" s="63">
        <f>IF(AND(DL24=1,DL25=12),4,IF(DL24&lt;=0,0,IF(WEEKDAY(DL$6,1)=1,0,IF(WEEKDAY(DL$6,1)=7,DL24*DL25,MAX(0,DL25-8)*DL24)))+((IF(DL24&lt;=0,0,IF(WEEKDAY(DL$6,1)=1,0,IF(WEEKDAY(DL$6,1)=7,0,MIN(8,DL25)*DL24))))-MIN(IF(DL24&lt;=0,0,IF(WEEKDAY(DL$6,1)=1,0,IF(WEEKDAY(DL$6,1)=7,0,MIN(8,DL25)*DL24))),MAX(0,40*MAX(1,DL24)-(0)))))</f>
        <v>4</v>
      </c>
      <c r="DM27" s="63">
        <f>IF(AND(DM24=1,DM25=12),4,IF(DM24&lt;=0,0,IF(WEEKDAY(DM$6,1)=1,0,IF(WEEKDAY(DM$6,1)=7,DM24*DM25,MAX(0,DM25-8)*DM24)))+((IF(DM24&lt;=0,0,IF(WEEKDAY(DM$6,1)=1,0,IF(WEEKDAY(DM$6,1)=7,0,MIN(8,DM25)*DM24))))-MIN(IF(DM24&lt;=0,0,IF(WEEKDAY(DM$6,1)=1,0,IF(WEEKDAY(DM$6,1)=7,0,MIN(8,DM25)*DM24))),MAX(0,40*MAX(1,DM24)-(DL26)))))</f>
        <v>4</v>
      </c>
      <c r="DN27" s="63">
        <f>IF(AND(DN24=1,DN25=12),4,IF(DN24&lt;=0,0,IF(WEEKDAY(DN$6,1)=1,0,IF(WEEKDAY(DN$6,1)=7,DN24*DN25,MAX(0,DN25-8)*DN24)))+((IF(DN24&lt;=0,0,IF(WEEKDAY(DN$6,1)=1,0,IF(WEEKDAY(DN$6,1)=7,0,MIN(8,DN25)*DN24))))-MIN(IF(DN24&lt;=0,0,IF(WEEKDAY(DN$6,1)=1,0,IF(WEEKDAY(DN$6,1)=7,0,MIN(8,DN25)*DN24))),MAX(0,40*MAX(1,DN24)-(DL26+DM26)))))</f>
        <v>4</v>
      </c>
      <c r="DO27" s="63">
        <f>IF(AND(DO24=1,DO25=12),4,IF(DO24&lt;=0,0,IF(WEEKDAY(DO$6,1)=1,0,IF(WEEKDAY(DO$6,1)=7,DO24*DO25,MAX(0,DO25-8)*DO24)))+((IF(DO24&lt;=0,0,IF(WEEKDAY(DO$6,1)=1,0,IF(WEEKDAY(DO$6,1)=7,0,MIN(8,DO25)*DO24))))-MIN(IF(DO24&lt;=0,0,IF(WEEKDAY(DO$6,1)=1,0,IF(WEEKDAY(DO$6,1)=7,0,MIN(8,DO25)*DO24))),MAX(0,40*MAX(1,DO24)-(DL26+DM26+DN26)))))</f>
        <v>4</v>
      </c>
      <c r="DP27" s="63">
        <f>IF(AND(DP24=1,DP25=12),4,IF(DP24&lt;=0,0,IF(WEEKDAY(DP$6,1)=1,0,IF(WEEKDAY(DP$6,1)=7,DP24*DP25,MAX(0,DP25-8)*DP24)))+((IF(DP24&lt;=0,0,IF(WEEKDAY(DP$6,1)=1,0,IF(WEEKDAY(DP$6,1)=7,0,MIN(8,DP25)*DP24))))-MIN(IF(DP24&lt;=0,0,IF(WEEKDAY(DP$6,1)=1,0,IF(WEEKDAY(DP$6,1)=7,0,MIN(8,DP25)*DP24))),MAX(0,40*MAX(1,DP24)-(DL26+DM26+DN26+DO26)))))</f>
        <v>4</v>
      </c>
      <c r="DQ27" s="64">
        <f>IF(AND(DQ24=1,DQ25=12),12,IF(DQ24&lt;=0,0,IF(WEEKDAY(DQ$6,1)=1,0,IF(WEEKDAY(DQ$6,1)=7,DQ24*DQ25,MAX(0,DQ25-8)*DQ24)))+((IF(DQ24&lt;=0,0,IF(WEEKDAY(DQ$6,1)=1,0,IF(WEEKDAY(DQ$6,1)=7,0,MIN(8,DQ25)*DQ24))))-MIN(IF(DQ24&lt;=0,0,IF(WEEKDAY(DQ$6,1)=1,0,IF(WEEKDAY(DQ$6,1)=7,0,MIN(8,DQ25)*DQ24))),MAX(0,40*MAX(1,DQ24)-(DL26+DM26+DN26+DO26+DP26)))))</f>
        <v>12</v>
      </c>
      <c r="DR27" s="64">
        <f>IF(AND(DR24=1,DR25=12),0,IF(DR24&lt;=0,0,IF(WEEKDAY(DR$6,1)=1,0,IF(WEEKDAY(DR$6,1)=7,DR24*DR25,MAX(0,DR25-8)*DR24)))+((IF(DR24&lt;=0,0,IF(WEEKDAY(DR$6,1)=1,0,IF(WEEKDAY(DR$6,1)=7,0,MIN(8,DR25)*DR24))))-MIN(IF(DR24&lt;=0,0,IF(WEEKDAY(DR$6,1)=1,0,IF(WEEKDAY(DR$6,1)=7,0,MIN(8,DR25)*DR24))),MAX(0,40*MAX(1,DR24)-(DL26+DM26+DN26+DO26+DP26+DQ26)))))</f>
        <v>0</v>
      </c>
      <c r="DS27" s="63">
        <f>IF(AND(DS24=1,DS25=12),4,IF(DS24&lt;=0,0,IF(WEEKDAY(DS$6,1)=1,0,IF(WEEKDAY(DS$6,1)=7,DS24*DS25,MAX(0,DS25-8)*DS24)))+((IF(DS24&lt;=0,0,IF(WEEKDAY(DS$6,1)=1,0,IF(WEEKDAY(DS$6,1)=7,0,MIN(8,DS25)*DS24))))-MIN(IF(DS24&lt;=0,0,IF(WEEKDAY(DS$6,1)=1,0,IF(WEEKDAY(DS$6,1)=7,0,MIN(8,DS25)*DS24))),MAX(0,40*MAX(1,DS24)-(0)))))</f>
        <v>4</v>
      </c>
      <c r="DT27" s="63">
        <f>IF(AND(DT24=1,DT25=8),0,IF(DT24&lt;=0,0,IF(WEEKDAY(DT$6,1)=1,0,IF(WEEKDAY(DT$6,1)=7,DT24*DT25,MAX(0,DT25-8)*DT24)))+((IF(DT24&lt;=0,0,IF(WEEKDAY(DT$6,1)=1,0,IF(WEEKDAY(DT$6,1)=7,0,MIN(8,DT25)*DT24))))-MIN(IF(DT24&lt;=0,0,IF(WEEKDAY(DT$6,1)=1,0,IF(WEEKDAY(DT$6,1)=7,0,MIN(8,DT25)*DT24))),MAX(0,40*MAX(1,DT24)-(0)))))</f>
        <v>0</v>
      </c>
      <c r="DU27" s="63">
        <f>IF(AND(DU24=1,DU25=8),0,IF(DU24&lt;=0,0,IF(WEEKDAY(DU$6,1)=1,0,IF(WEEKDAY(DU$6,1)=7,DU24*DU25,MAX(0,DU25-8)*DU24)))+((IF(DU24&lt;=0,0,IF(WEEKDAY(DU$6,1)=1,0,IF(WEEKDAY(DU$6,1)=7,0,MIN(8,DU25)*DU24))))-MIN(IF(DU24&lt;=0,0,IF(WEEKDAY(DU$6,1)=1,0,IF(WEEKDAY(DU$6,1)=7,0,MIN(8,DU25)*DU24))),MAX(0,40*MAX(1,DU24)-(DT26)))))</f>
        <v>0</v>
      </c>
      <c r="DV27" s="63">
        <f>IF(AND(DV24=1,DV25=8),0,IF(DV24&lt;=0,0,IF(WEEKDAY(DV$6,1)=1,0,IF(WEEKDAY(DV$6,1)=7,DV24*DV25,MAX(0,DV25-8)*DV24)))+((IF(DV24&lt;=0,0,IF(WEEKDAY(DV$6,1)=1,0,IF(WEEKDAY(DV$6,1)=7,0,MIN(8,DV25)*DV24))))-MIN(IF(DV24&lt;=0,0,IF(WEEKDAY(DV$6,1)=1,0,IF(WEEKDAY(DV$6,1)=7,0,MIN(8,DV25)*DV24))),MAX(0,40*MAX(1,DV24)-(DT26+DU26)))))</f>
        <v>0</v>
      </c>
      <c r="DW27" s="63">
        <f>IF(AND(DW24=1,DW25=8),0,IF(DW24&lt;=0,0,IF(WEEKDAY(DW$6,1)=1,0,IF(WEEKDAY(DW$6,1)=7,DW24*DW25,MAX(0,DW25-8)*DW24)))+((IF(DW24&lt;=0,0,IF(WEEKDAY(DW$6,1)=1,0,IF(WEEKDAY(DW$6,1)=7,0,MIN(8,DW25)*DW24))))-MIN(IF(DW24&lt;=0,0,IF(WEEKDAY(DW$6,1)=1,0,IF(WEEKDAY(DW$6,1)=7,0,MIN(8,DW25)*DW24))),MAX(0,40*MAX(1,DW24)-(DT26+DU26+DV26)))))</f>
        <v>0</v>
      </c>
      <c r="DX27" s="64">
        <f>IF(AND(DX24=0,DX25=0),0,IF(DX24&lt;=0,0,IF(WEEKDAY(DX$6,1)=1,0,IF(WEEKDAY(DX$6,1)=7,DX24*DX25,MAX(0,DX25-8)*DX24)))+((IF(DX24&lt;=0,0,IF(WEEKDAY(DX$6,1)=1,0,IF(WEEKDAY(DX$6,1)=7,0,MIN(8,DX25)*DX24))))-MIN(IF(DX24&lt;=0,0,IF(WEEKDAY(DX$6,1)=1,0,IF(WEEKDAY(DX$6,1)=7,0,MIN(8,DX25)*DX24))),MAX(0,40*MAX(1,DX24)-(0)))))</f>
        <v>0</v>
      </c>
      <c r="DY27" s="64">
        <f>IF(AND(DY24=0,DY25=0),0,IF(DY24&lt;=0,0,IF(WEEKDAY(DY$6,1)=1,0,IF(WEEKDAY(DY$6,1)=7,DY24*DY25,MAX(0,DY25-8)*DY24)))+((IF(DY24&lt;=0,0,IF(WEEKDAY(DY$6,1)=1,0,IF(WEEKDAY(DY$6,1)=7,0,MIN(8,DY25)*DY24))))-MIN(IF(DY24&lt;=0,0,IF(WEEKDAY(DY$6,1)=1,0,IF(WEEKDAY(DY$6,1)=7,0,MIN(8,DY25)*DY24))),MAX(0,40*MAX(1,DY24)-(DX26)))))</f>
        <v>0</v>
      </c>
      <c r="DZ27" s="63">
        <f>IF(AND(DZ24=1,DZ25=8),0,IF(DZ24&lt;=0,0,IF(WEEKDAY(DZ$6,1)=1,0,IF(WEEKDAY(DZ$6,1)=7,DZ24*DZ25,MAX(0,DZ25-8)*DZ24)))+((IF(DZ24&lt;=0,0,IF(WEEKDAY(DZ$6,1)=1,0,IF(WEEKDAY(DZ$6,1)=7,0,MIN(8,DZ25)*DZ24))))-MIN(IF(DZ24&lt;=0,0,IF(WEEKDAY(DZ$6,1)=1,0,IF(WEEKDAY(DZ$6,1)=7,0,MIN(8,DZ25)*DZ24))),MAX(0,40*MAX(1,DZ24)-(0)))))</f>
        <v>0</v>
      </c>
      <c r="EA27" s="63">
        <f>IF(AND(EA24=1,EA25=8),0,IF(EA24&lt;=0,0,IF(WEEKDAY(EA$6,1)=1,0,IF(WEEKDAY(EA$6,1)=7,EA24*EA25,MAX(0,EA25-8)*EA24)))+((IF(EA24&lt;=0,0,IF(WEEKDAY(EA$6,1)=1,0,IF(WEEKDAY(EA$6,1)=7,0,MIN(8,EA25)*EA24))))-MIN(IF(EA24&lt;=0,0,IF(WEEKDAY(EA$6,1)=1,0,IF(WEEKDAY(EA$6,1)=7,0,MIN(8,EA25)*EA24))),MAX(0,40*MAX(1,EA24)-(DZ26)))))</f>
        <v>0</v>
      </c>
      <c r="EB27" s="63">
        <f>IF(AND(EB24=1,EB25=8),0,IF(EB24&lt;=0,0,IF(WEEKDAY(EB$6,1)=1,0,IF(WEEKDAY(EB$6,1)=7,EB24*EB25,MAX(0,EB25-8)*EB24)))+((IF(EB24&lt;=0,0,IF(WEEKDAY(EB$6,1)=1,0,IF(WEEKDAY(EB$6,1)=7,0,MIN(8,EB25)*EB24))))-MIN(IF(EB24&lt;=0,0,IF(WEEKDAY(EB$6,1)=1,0,IF(WEEKDAY(EB$6,1)=7,0,MIN(8,EB25)*EB24))),MAX(0,40*MAX(1,EB24)-(DZ26+EA26)))))</f>
        <v>0</v>
      </c>
      <c r="EC27" s="63">
        <f>IF(AND(EC24=1,EC25=8),0,IF(EC24&lt;=0,0,IF(WEEKDAY(EC$6,1)=1,0,IF(WEEKDAY(EC$6,1)=7,EC24*EC25,MAX(0,EC25-8)*EC24)))+((IF(EC24&lt;=0,0,IF(WEEKDAY(EC$6,1)=1,0,IF(WEEKDAY(EC$6,1)=7,0,MIN(8,EC25)*EC24))))-MIN(IF(EC24&lt;=0,0,IF(WEEKDAY(EC$6,1)=1,0,IF(WEEKDAY(EC$6,1)=7,0,MIN(8,EC25)*EC24))),MAX(0,40*MAX(1,EC24)-(DZ26+EA26+EB26)))))</f>
        <v>0</v>
      </c>
      <c r="ED27" s="63">
        <f>IF(AND(ED24=1,ED25=8),0,IF(ED24&lt;=0,0,IF(WEEKDAY(ED$6,1)=1,0,IF(WEEKDAY(ED$6,1)=7,ED24*ED25,MAX(0,ED25-8)*ED24)))+((IF(ED24&lt;=0,0,IF(WEEKDAY(ED$6,1)=1,0,IF(WEEKDAY(ED$6,1)=7,0,MIN(8,ED25)*ED24))))-MIN(IF(ED24&lt;=0,0,IF(WEEKDAY(ED$6,1)=1,0,IF(WEEKDAY(ED$6,1)=7,0,MIN(8,ED25)*ED24))),MAX(0,40*MAX(1,ED24)-(DZ26+EA26+EB26+EC26)))))</f>
        <v>0</v>
      </c>
      <c r="EE27" s="64">
        <f>IF(AND(EE24=0,EE25=0),0,IF(EE24&lt;=0,0,IF(WEEKDAY(EE$6,1)=1,0,IF(WEEKDAY(EE$6,1)=7,EE24*EE25,MAX(0,EE25-8)*EE24)))+((IF(EE24&lt;=0,0,IF(WEEKDAY(EE$6,1)=1,0,IF(WEEKDAY(EE$6,1)=7,0,MIN(8,EE25)*EE24))))-MIN(IF(EE24&lt;=0,0,IF(WEEKDAY(EE$6,1)=1,0,IF(WEEKDAY(EE$6,1)=7,0,MIN(8,EE25)*EE24))),MAX(0,40*MAX(1,EE24)-(0)))))</f>
        <v>0</v>
      </c>
      <c r="EF27" s="64">
        <f>IF(AND(EF24=0,EF25=0),0,IF(EF24&lt;=0,0,IF(WEEKDAY(EF$6,1)=1,0,IF(WEEKDAY(EF$6,1)=7,EF24*EF25,MAX(0,EF25-8)*EF24)))+((IF(EF24&lt;=0,0,IF(WEEKDAY(EF$6,1)=1,0,IF(WEEKDAY(EF$6,1)=7,0,MIN(8,EF25)*EF24))))-MIN(IF(EF24&lt;=0,0,IF(WEEKDAY(EF$6,1)=1,0,IF(WEEKDAY(EF$6,1)=7,0,MIN(8,EF25)*EF24))),MAX(0,40*MAX(1,EF24)-(EE26)))))</f>
        <v>0</v>
      </c>
      <c r="EG27" s="63">
        <f>IF(AND(EG24=0,EG25=0),0,IF(EG24&lt;=0,0,IF(WEEKDAY(EG$6,1)=1,0,IF(WEEKDAY(EG$6,1)=7,EG24*EG25,MAX(0,EG25-8)*EG24)))+((IF(EG24&lt;=0,0,IF(WEEKDAY(EG$6,1)=1,0,IF(WEEKDAY(EG$6,1)=7,0,MIN(8,EG25)*EG24))))-MIN(IF(EG24&lt;=0,0,IF(WEEKDAY(EG$6,1)=1,0,IF(WEEKDAY(EG$6,1)=7,0,MIN(8,EG25)*EG24))),MAX(0,40*MAX(1,EG24)-(0)))))</f>
        <v>0</v>
      </c>
      <c r="EH27" s="63">
        <f>IF(AND(EH24=0,EH25=0),0,IF(EH24&lt;=0,0,IF(WEEKDAY(EH$6,1)=1,0,IF(WEEKDAY(EH$6,1)=7,EH24*EH25,MAX(0,EH25-8)*EH24)))+((IF(EH24&lt;=0,0,IF(WEEKDAY(EH$6,1)=1,0,IF(WEEKDAY(EH$6,1)=7,0,MIN(8,EH25)*EH24))))-MIN(IF(EH24&lt;=0,0,IF(WEEKDAY(EH$6,1)=1,0,IF(WEEKDAY(EH$6,1)=7,0,MIN(8,EH25)*EH24))),MAX(0,40*MAX(1,EH24)-(EG26)))))</f>
        <v>0</v>
      </c>
      <c r="EI27" s="63">
        <f>IF(AND(EI24=0,EI25=0),0,IF(EI24&lt;=0,0,IF(WEEKDAY(EI$6,1)=1,0,IF(WEEKDAY(EI$6,1)=7,EI24*EI25,MAX(0,EI25-8)*EI24)))+((IF(EI24&lt;=0,0,IF(WEEKDAY(EI$6,1)=1,0,IF(WEEKDAY(EI$6,1)=7,0,MIN(8,EI25)*EI24))))-MIN(IF(EI24&lt;=0,0,IF(WEEKDAY(EI$6,1)=1,0,IF(WEEKDAY(EI$6,1)=7,0,MIN(8,EI25)*EI24))),MAX(0,40*MAX(1,EI24)-(EG26+EH26)))))</f>
        <v>0</v>
      </c>
      <c r="EJ27" s="63">
        <f>IF(AND(EJ24=0,EJ25=0),0,IF(EJ24&lt;=0,0,IF(WEEKDAY(EJ$6,1)=1,0,IF(WEEKDAY(EJ$6,1)=7,EJ24*EJ25,MAX(0,EJ25-8)*EJ24)))+((IF(EJ24&lt;=0,0,IF(WEEKDAY(EJ$6,1)=1,0,IF(WEEKDAY(EJ$6,1)=7,0,MIN(8,EJ25)*EJ24))))-MIN(IF(EJ24&lt;=0,0,IF(WEEKDAY(EJ$6,1)=1,0,IF(WEEKDAY(EJ$6,1)=7,0,MIN(8,EJ25)*EJ24))),MAX(0,40*MAX(1,EJ24)-(EG26+EH26+EI26)))))</f>
        <v>0</v>
      </c>
      <c r="EK27" s="65">
        <f>IF(AND(EK24=0,EK25=0),0,IF(EK24&lt;=0,0,IF(WEEKDAY(EK$6,1)=1,0,IF(WEEKDAY(EK$6,1)=7,EK24*EK25,MAX(0,EK25-8)*EK24)))+((IF(EK24&lt;=0,0,IF(WEEKDAY(EK$6,1)=1,0,IF(WEEKDAY(EK$6,1)=7,0,MIN(8,EK25)*EK24))))-MIN(IF(EK24&lt;=0,0,IF(WEEKDAY(EK$6,1)=1,0,IF(WEEKDAY(EK$6,1)=7,0,MIN(8,EK25)*EK24))),MAX(0,40*MAX(1,EK24)-(EG26+EH26+EI26+EJ26)))))</f>
        <v>0</v>
      </c>
      <c r="OU27" s="28" t="s">
        <v>122</v>
      </c>
    </row>
    <row r="28" ht="16" customHeight="1" spans="1:411" x14ac:dyDescent="0.25">
      <c r="A28" s="45"/>
      <c r="B28" s="79"/>
      <c r="C28" s="61">
        <f>H23*N(D28)</f>
        <v>15378.119999999999</v>
      </c>
      <c r="D28" s="61">
        <f>IF(TRIM(IF(TRIM(B27)&lt;&gt;"",B27,B23))="","No rate",IFERROR(INDEX('Rate Tables'!E$7:E$158,MATCH(IF(TRIM(B27)&lt;&gt;"",B27,B23),'Rate Tables'!A$7:A$158,0)),"No rate"))</f>
        <v>142.39</v>
      </c>
      <c r="E28" s="55" t="s">
        <v>64</v>
      </c>
      <c r="F28" s="49"/>
      <c r="G28" s="49"/>
      <c r="H28" s="49"/>
      <c r="I28" s="49"/>
      <c r="J28" s="50"/>
      <c r="K28" s="62">
        <f>IF(AND(K24=1,K25=9),0,IF(K24&lt;=0,0,IF(WEEKDAY(K$6,1)=1,K24*K25,0)))</f>
        <v>0</v>
      </c>
      <c r="L28" s="63">
        <f>IF(AND(L24=1,L25=9),0,IF(L24&lt;=0,0,IF(WEEKDAY(L$6,1)=1,L24*L25,0)))</f>
        <v>0</v>
      </c>
      <c r="M28" s="63">
        <f>IF(AND(M24=1,M25=9),0,IF(M24&lt;=0,0,IF(WEEKDAY(M$6,1)=1,M24*M25,0)))</f>
        <v>0</v>
      </c>
      <c r="N28" s="63">
        <f>IF(AND(N24=1,N25=9),0,IF(N24&lt;=0,0,IF(WEEKDAY(N$6,1)=1,N24*N25,0)))</f>
        <v>0</v>
      </c>
      <c r="O28" s="63">
        <f>IF(AND(O24=1,O25=9),0,IF(O24&lt;=0,0,IF(WEEKDAY(O$6,1)=1,O24*O25,0)))</f>
        <v>0</v>
      </c>
      <c r="P28" s="64">
        <f>IF(AND(P24=0,P25=0),0,IF(P24&lt;=0,0,IF(WEEKDAY(P$6,1)=1,P24*P25,0)))</f>
        <v>0</v>
      </c>
      <c r="Q28" s="64">
        <f>IF(AND(Q24=0,Q25=0),0,IF(Q24&lt;=0,0,IF(WEEKDAY(Q$6,1)=1,Q24*Q25,0)))</f>
        <v>0</v>
      </c>
      <c r="R28" s="63">
        <f>IF(AND(R24=1,R25=9),0,IF(R24&lt;=0,0,IF(WEEKDAY(R$6,1)=1,R24*R25,0)))</f>
        <v>0</v>
      </c>
      <c r="S28" s="63">
        <f>IF(AND(S24=1,S25=9),0,IF(S24&lt;=0,0,IF(WEEKDAY(S$6,1)=1,S24*S25,0)))</f>
        <v>0</v>
      </c>
      <c r="T28" s="63">
        <f>IF(AND(T24=1,T25=9),0,IF(T24&lt;=0,0,IF(WEEKDAY(T$6,1)=1,T24*T25,0)))</f>
        <v>0</v>
      </c>
      <c r="U28" s="63">
        <f>IF(AND(U24=1,U25=9),0,IF(U24&lt;=0,0,IF(WEEKDAY(U$6,1)=1,U24*U25,0)))</f>
        <v>0</v>
      </c>
      <c r="V28" s="63">
        <f>IF(AND(V24=1,V25=9),0,IF(V24&lt;=0,0,IF(WEEKDAY(V$6,1)=1,V24*V25,0)))</f>
        <v>0</v>
      </c>
      <c r="W28" s="64">
        <f>IF(AND(W24=0,W25=0),0,IF(W24&lt;=0,0,IF(WEEKDAY(W$6,1)=1,W24*W25,0)))</f>
        <v>0</v>
      </c>
      <c r="X28" s="64">
        <f>IF(AND(X24=0,X25=0),0,IF(X24&lt;=0,0,IF(WEEKDAY(X$6,1)=1,X24*X25,0)))</f>
        <v>0</v>
      </c>
      <c r="Y28" s="63">
        <f>IF(AND(Y24=1,Y25=9),0,IF(Y24&lt;=0,0,IF(WEEKDAY(Y$6,1)=1,Y24*Y25,0)))</f>
        <v>0</v>
      </c>
      <c r="Z28" s="63">
        <f>IF(AND(Z24=1,Z25=9),0,IF(Z24&lt;=0,0,IF(WEEKDAY(Z$6,1)=1,Z24*Z25,0)))</f>
        <v>0</v>
      </c>
      <c r="AA28" s="63">
        <f>IF(AND(AA24=1,AA25=9),0,IF(AA24&lt;=0,0,IF(WEEKDAY(AA$6,1)=1,AA24*AA25,0)))</f>
        <v>0</v>
      </c>
      <c r="AB28" s="63">
        <f>IF(AND(AB24=1,AB25=9),0,IF(AB24&lt;=0,0,IF(WEEKDAY(AB$6,1)=1,AB24*AB25,0)))</f>
        <v>0</v>
      </c>
      <c r="AC28" s="63">
        <f>IF(AND(AC24=1,AC25=9),0,IF(AC24&lt;=0,0,IF(WEEKDAY(AC$6,1)=1,AC24*AC25,0)))</f>
        <v>0</v>
      </c>
      <c r="AD28" s="64">
        <f>IF(AND(AD24=0,AD25=0),0,IF(AD24&lt;=0,0,IF(WEEKDAY(AD$6,1)=1,AD24*AD25,0)))</f>
        <v>0</v>
      </c>
      <c r="AE28" s="64">
        <f>IF(AND(AE24=0,AE25=0),0,IF(AE24&lt;=0,0,IF(WEEKDAY(AE$6,1)=1,AE24*AE25,0)))</f>
        <v>0</v>
      </c>
      <c r="AF28" s="63">
        <f>IF(AND(AF24=1,AF25=9),0,IF(AF24&lt;=0,0,IF(WEEKDAY(AF$6,1)=1,AF24*AF25,0)))</f>
        <v>0</v>
      </c>
      <c r="AG28" s="63">
        <f>IF(AND(AG24=1,AG25=9),0,IF(AG24&lt;=0,0,IF(WEEKDAY(AG$6,1)=1,AG24*AG25,0)))</f>
        <v>0</v>
      </c>
      <c r="AH28" s="63">
        <f>IF(AND(AH24=1,AH25=9),0,IF(AH24&lt;=0,0,IF(WEEKDAY(AH$6,1)=1,AH24*AH25,0)))</f>
        <v>0</v>
      </c>
      <c r="AI28" s="63">
        <f>IF(AND(AI24=1,AI25=9),0,IF(AI24&lt;=0,0,IF(WEEKDAY(AI$6,1)=1,AI24*AI25,0)))</f>
        <v>0</v>
      </c>
      <c r="AJ28" s="63">
        <f>IF(AND(AJ24=1,AJ25=9),0,IF(AJ24&lt;=0,0,IF(WEEKDAY(AJ$6,1)=1,AJ24*AJ25,0)))</f>
        <v>0</v>
      </c>
      <c r="AK28" s="64">
        <f>IF(AND(AK24=0,AK25=0),0,IF(AK24&lt;=0,0,IF(WEEKDAY(AK$6,1)=1,AK24*AK25,0)))</f>
        <v>0</v>
      </c>
      <c r="AL28" s="64">
        <f>IF(AND(AL24=0,AL25=0),0,IF(AL24&lt;=0,0,IF(WEEKDAY(AL$6,1)=1,AL24*AL25,0)))</f>
        <v>0</v>
      </c>
      <c r="AM28" s="63">
        <f>IF(AND(AM24=1,AM25=9),0,IF(AM24&lt;=0,0,IF(WEEKDAY(AM$6,1)=1,AM24*AM25,0)))</f>
        <v>0</v>
      </c>
      <c r="AN28" s="63">
        <f>IF(AND(AN24=1,AN25=9),0,IF(AN24&lt;=0,0,IF(WEEKDAY(AN$6,1)=1,AN24*AN25,0)))</f>
        <v>0</v>
      </c>
      <c r="AO28" s="63">
        <f>IF(AND(AO24=1,AO25=9),0,IF(AO24&lt;=0,0,IF(WEEKDAY(AO$6,1)=1,AO24*AO25,0)))</f>
        <v>0</v>
      </c>
      <c r="AP28" s="63">
        <f>IF(AND(AP24=1,AP25=9),0,IF(AP24&lt;=0,0,IF(WEEKDAY(AP$6,1)=1,AP24*AP25,0)))</f>
        <v>0</v>
      </c>
      <c r="AQ28" s="63">
        <f>IF(AND(AQ24=1,AQ25=9),0,IF(AQ24&lt;=0,0,IF(WEEKDAY(AQ$6,1)=1,AQ24*AQ25,0)))</f>
        <v>0</v>
      </c>
      <c r="AR28" s="64">
        <f>IF(AND(AR24=0,AR25=0),0,IF(AR24&lt;=0,0,IF(WEEKDAY(AR$6,1)=1,AR24*AR25,0)))</f>
        <v>0</v>
      </c>
      <c r="AS28" s="64">
        <f>IF(AND(AS24=0,AS25=0),0,IF(AS24&lt;=0,0,IF(WEEKDAY(AS$6,1)=1,AS24*AS25,0)))</f>
        <v>0</v>
      </c>
      <c r="AT28" s="63">
        <f>IF(AND(AT24=1,AT25=9),0,IF(AT24&lt;=0,0,IF(WEEKDAY(AT$6,1)=1,AT24*AT25,0)))</f>
        <v>0</v>
      </c>
      <c r="AU28" s="63">
        <f>IF(AND(AU24=1,AU25=9),0,IF(AU24&lt;=0,0,IF(WEEKDAY(AU$6,1)=1,AU24*AU25,0)))</f>
        <v>0</v>
      </c>
      <c r="AV28" s="63">
        <f>IF(AND(AV24=1,AV25=9),0,IF(AV24&lt;=0,0,IF(WEEKDAY(AV$6,1)=1,AV24*AV25,0)))</f>
        <v>0</v>
      </c>
      <c r="AW28" s="63">
        <f>IF(AND(AW24=1,AW25=9),0,IF(AW24&lt;=0,0,IF(WEEKDAY(AW$6,1)=1,AW24*AW25,0)))</f>
        <v>0</v>
      </c>
      <c r="AX28" s="63">
        <f>IF(AND(AX24=1,AX25=9),0,IF(AX24&lt;=0,0,IF(WEEKDAY(AX$6,1)=1,AX24*AX25,0)))</f>
        <v>0</v>
      </c>
      <c r="AY28" s="64">
        <f>IF(AND(AY24=0,AY25=0),0,IF(AY24&lt;=0,0,IF(WEEKDAY(AY$6,1)=1,AY24*AY25,0)))</f>
        <v>0</v>
      </c>
      <c r="AZ28" s="64">
        <f>IF(AND(AZ24=0,AZ25=0),0,IF(AZ24&lt;=0,0,IF(WEEKDAY(AZ$6,1)=1,AZ24*AZ25,0)))</f>
        <v>0</v>
      </c>
      <c r="BA28" s="63">
        <f>IF(AND(BA24=1,BA25=9),0,IF(BA24&lt;=0,0,IF(WEEKDAY(BA$6,1)=1,BA24*BA25,0)))</f>
        <v>0</v>
      </c>
      <c r="BB28" s="63">
        <f>IF(AND(BB24=1,BB25=9),0,IF(BB24&lt;=0,0,IF(WEEKDAY(BB$6,1)=1,BB24*BB25,0)))</f>
        <v>0</v>
      </c>
      <c r="BC28" s="63">
        <f>IF(AND(BC24=1,BC25=9),0,IF(BC24&lt;=0,0,IF(WEEKDAY(BC$6,1)=1,BC24*BC25,0)))</f>
        <v>0</v>
      </c>
      <c r="BD28" s="63">
        <f>IF(AND(BD24=1,BD25=9),0,IF(BD24&lt;=0,0,IF(WEEKDAY(BD$6,1)=1,BD24*BD25,0)))</f>
        <v>0</v>
      </c>
      <c r="BE28" s="63">
        <f>IF(AND(BE24=1,BE25=9),0,IF(BE24&lt;=0,0,IF(WEEKDAY(BE$6,1)=1,BE24*BE25,0)))</f>
        <v>0</v>
      </c>
      <c r="BF28" s="64">
        <f>IF(AND(BF24=0,BF25=0),0,IF(BF24&lt;=0,0,IF(WEEKDAY(BF$6,1)=1,BF24*BF25,0)))</f>
        <v>0</v>
      </c>
      <c r="BG28" s="64">
        <f>IF(AND(BG24=0,BG25=0),0,IF(BG24&lt;=0,0,IF(WEEKDAY(BG$6,1)=1,BG24*BG25,0)))</f>
        <v>0</v>
      </c>
      <c r="BH28" s="63">
        <f>IF(AND(BH24=1,BH25=12),0,IF(BH24&lt;=0,0,IF(WEEKDAY(BH$6,1)=1,BH24*BH25,0)))</f>
        <v>0</v>
      </c>
      <c r="BI28" s="63">
        <f>IF(AND(BI24=1,BI25=12),0,IF(BI24&lt;=0,0,IF(WEEKDAY(BI$6,1)=1,BI24*BI25,0)))</f>
        <v>0</v>
      </c>
      <c r="BJ28" s="63">
        <f>IF(AND(BJ24=1,BJ25=12),0,IF(BJ24&lt;=0,0,IF(WEEKDAY(BJ$6,1)=1,BJ24*BJ25,0)))</f>
        <v>0</v>
      </c>
      <c r="BK28" s="63">
        <f>IF(AND(BK24=1,BK25=12),0,IF(BK24&lt;=0,0,IF(WEEKDAY(BK$6,1)=1,BK24*BK25,0)))</f>
        <v>0</v>
      </c>
      <c r="BL28" s="63">
        <f>IF(AND(BL24=1,BL25=12),0,IF(BL24&lt;=0,0,IF(WEEKDAY(BL$6,1)=1,BL24*BL25,0)))</f>
        <v>0</v>
      </c>
      <c r="BM28" s="64">
        <f>IF(AND(BM24=1,BM25=12),0,IF(BM24&lt;=0,0,IF(WEEKDAY(BM$6,1)=1,BM24*BM25,0)))</f>
        <v>0</v>
      </c>
      <c r="BN28" s="64">
        <f>IF(AND(BN24=1,BN25=12),12,IF(BN24&lt;=0,0,IF(WEEKDAY(BN$6,1)=1,BN24*BN25,0)))</f>
        <v>12</v>
      </c>
      <c r="BO28" s="63">
        <f>IF(AND(BO24=1,BO25=12),0,IF(BO24&lt;=0,0,IF(WEEKDAY(BO$6,1)=1,BO24*BO25,0)))</f>
        <v>0</v>
      </c>
      <c r="BP28" s="63">
        <f>IF(AND(BP24=1,BP25=12),0,IF(BP24&lt;=0,0,IF(WEEKDAY(BP$6,1)=1,BP24*BP25,0)))</f>
        <v>0</v>
      </c>
      <c r="BQ28" s="63">
        <f>IF(AND(BQ24=1,BQ25=12),0,IF(BQ24&lt;=0,0,IF(WEEKDAY(BQ$6,1)=1,BQ24*BQ25,0)))</f>
        <v>0</v>
      </c>
      <c r="BR28" s="63">
        <f>IF(AND(BR24=1,BR25=12),0,IF(BR24&lt;=0,0,IF(WEEKDAY(BR$6,1)=1,BR24*BR25,0)))</f>
        <v>0</v>
      </c>
      <c r="BS28" s="63">
        <f>IF(AND(BS24=1,BS25=12),0,IF(BS24&lt;=0,0,IF(WEEKDAY(BS$6,1)=1,BS24*BS25,0)))</f>
        <v>0</v>
      </c>
      <c r="BT28" s="64">
        <f>IF(AND(BT24=1,BT25=12),0,IF(BT24&lt;=0,0,IF(WEEKDAY(BT$6,1)=1,BT24*BT25,0)))</f>
        <v>0</v>
      </c>
      <c r="BU28" s="64">
        <f>IF(AND(BU24=1,BU25=12),12,IF(BU24&lt;=0,0,IF(WEEKDAY(BU$6,1)=1,BU24*BU25,0)))</f>
        <v>12</v>
      </c>
      <c r="BV28" s="63">
        <f>IF(AND(BV24=1,BV25=12),0,IF(BV24&lt;=0,0,IF(WEEKDAY(BV$6,1)=1,BV24*BV25,0)))</f>
        <v>0</v>
      </c>
      <c r="BW28" s="63">
        <f>IF(AND(BW24=1,BW25=12),0,IF(BW24&lt;=0,0,IF(WEEKDAY(BW$6,1)=1,BW24*BW25,0)))</f>
        <v>0</v>
      </c>
      <c r="BX28" s="63">
        <f>IF(AND(BX24=1,BX25=12),0,IF(BX24&lt;=0,0,IF(WEEKDAY(BX$6,1)=1,BX24*BX25,0)))</f>
        <v>0</v>
      </c>
      <c r="BY28" s="63">
        <f>IF(AND(BY24=1,BY25=12),0,IF(BY24&lt;=0,0,IF(WEEKDAY(BY$6,1)=1,BY24*BY25,0)))</f>
        <v>0</v>
      </c>
      <c r="BZ28" s="63">
        <f>IF(AND(BZ24=1,BZ25=12),0,IF(BZ24&lt;=0,0,IF(WEEKDAY(BZ$6,1)=1,BZ24*BZ25,0)))</f>
        <v>0</v>
      </c>
      <c r="CA28" s="64">
        <f>IF(AND(CA24=1,CA25=12),0,IF(CA24&lt;=0,0,IF(WEEKDAY(CA$6,1)=1,CA24*CA25,0)))</f>
        <v>0</v>
      </c>
      <c r="CB28" s="64">
        <f>IF(AND(CB24=1,CB25=12),12,IF(CB24&lt;=0,0,IF(WEEKDAY(CB$6,1)=1,CB24*CB25,0)))</f>
        <v>12</v>
      </c>
      <c r="CC28" s="63">
        <f>IF(AND(CC24=1,CC25=12),0,IF(CC24&lt;=0,0,IF(WEEKDAY(CC$6,1)=1,CC24*CC25,0)))</f>
        <v>0</v>
      </c>
      <c r="CD28" s="63">
        <f>IF(AND(CD24=1,CD25=12),0,IF(CD24&lt;=0,0,IF(WEEKDAY(CD$6,1)=1,CD24*CD25,0)))</f>
        <v>0</v>
      </c>
      <c r="CE28" s="63">
        <f>IF(AND(CE24=1,CE25=12),0,IF(CE24&lt;=0,0,IF(WEEKDAY(CE$6,1)=1,CE24*CE25,0)))</f>
        <v>0</v>
      </c>
      <c r="CF28" s="63">
        <f>IF(AND(CF24=1,CF25=12),0,IF(CF24&lt;=0,0,IF(WEEKDAY(CF$6,1)=1,CF24*CF25,0)))</f>
        <v>0</v>
      </c>
      <c r="CG28" s="63">
        <f>IF(AND(CG24=1,CG25=12),0,IF(CG24&lt;=0,0,IF(WEEKDAY(CG$6,1)=1,CG24*CG25,0)))</f>
        <v>0</v>
      </c>
      <c r="CH28" s="64">
        <f>IF(AND(CH24=1,CH25=12),0,IF(CH24&lt;=0,0,IF(WEEKDAY(CH$6,1)=1,CH24*CH25,0)))</f>
        <v>0</v>
      </c>
      <c r="CI28" s="64">
        <f>IF(AND(CI24=1,CI25=12),12,IF(CI24&lt;=0,0,IF(WEEKDAY(CI$6,1)=1,CI24*CI25,0)))</f>
        <v>12</v>
      </c>
      <c r="CJ28" s="63">
        <f>IF(AND(CJ24=1,CJ25=12),0,IF(CJ24&lt;=0,0,IF(WEEKDAY(CJ$6,1)=1,CJ24*CJ25,0)))</f>
        <v>0</v>
      </c>
      <c r="CK28" s="63">
        <f>IF(AND(CK24=1,CK25=12),0,IF(CK24&lt;=0,0,IF(WEEKDAY(CK$6,1)=1,CK24*CK25,0)))</f>
        <v>0</v>
      </c>
      <c r="CL28" s="63">
        <f>IF(AND(CL24=1,CL25=12),0,IF(CL24&lt;=0,0,IF(WEEKDAY(CL$6,1)=1,CL24*CL25,0)))</f>
        <v>0</v>
      </c>
      <c r="CM28" s="63">
        <f>IF(AND(CM24=1,CM25=12),0,IF(CM24&lt;=0,0,IF(WEEKDAY(CM$6,1)=1,CM24*CM25,0)))</f>
        <v>0</v>
      </c>
      <c r="CN28" s="63">
        <f>IF(AND(CN24=1,CN25=12),0,IF(CN24&lt;=0,0,IF(WEEKDAY(CN$6,1)=1,CN24*CN25,0)))</f>
        <v>0</v>
      </c>
      <c r="CO28" s="64">
        <f>IF(AND(CO24=1,CO25=12),0,IF(CO24&lt;=0,0,IF(WEEKDAY(CO$6,1)=1,CO24*CO25,0)))</f>
        <v>0</v>
      </c>
      <c r="CP28" s="64">
        <f>IF(AND(CP24=1,CP25=12),12,IF(CP24&lt;=0,0,IF(WEEKDAY(CP$6,1)=1,CP24*CP25,0)))</f>
        <v>12</v>
      </c>
      <c r="CQ28" s="63">
        <f>IF(AND(CQ24=1,CQ25=12),0,IF(CQ24&lt;=0,0,IF(WEEKDAY(CQ$6,1)=1,CQ24*CQ25,0)))</f>
        <v>0</v>
      </c>
      <c r="CR28" s="63">
        <f>IF(AND(CR24=1,CR25=12),0,IF(CR24&lt;=0,0,IF(WEEKDAY(CR$6,1)=1,CR24*CR25,0)))</f>
        <v>0</v>
      </c>
      <c r="CS28" s="63">
        <f>IF(AND(CS24=1,CS25=12),0,IF(CS24&lt;=0,0,IF(WEEKDAY(CS$6,1)=1,CS24*CS25,0)))</f>
        <v>0</v>
      </c>
      <c r="CT28" s="63">
        <f>IF(AND(CT24=1,CT25=12),0,IF(CT24&lt;=0,0,IF(WEEKDAY(CT$6,1)=1,CT24*CT25,0)))</f>
        <v>0</v>
      </c>
      <c r="CU28" s="63">
        <f>IF(AND(CU24=1,CU25=12),0,IF(CU24&lt;=0,0,IF(WEEKDAY(CU$6,1)=1,CU24*CU25,0)))</f>
        <v>0</v>
      </c>
      <c r="CV28" s="64">
        <f>IF(AND(CV24=1,CV25=12),0,IF(CV24&lt;=0,0,IF(WEEKDAY(CV$6,1)=1,CV24*CV25,0)))</f>
        <v>0</v>
      </c>
      <c r="CW28" s="64">
        <f>IF(AND(CW24=1,CW25=12),12,IF(CW24&lt;=0,0,IF(WEEKDAY(CW$6,1)=1,CW24*CW25,0)))</f>
        <v>12</v>
      </c>
      <c r="CX28" s="63">
        <f>IF(AND(CX24=1,CX25=12),0,IF(CX24&lt;=0,0,IF(WEEKDAY(CX$6,1)=1,CX24*CX25,0)))</f>
        <v>0</v>
      </c>
      <c r="CY28" s="63">
        <f>IF(AND(CY24=1,CY25=12),0,IF(CY24&lt;=0,0,IF(WEEKDAY(CY$6,1)=1,CY24*CY25,0)))</f>
        <v>0</v>
      </c>
      <c r="CZ28" s="63">
        <f>IF(AND(CZ24=1,CZ25=12),0,IF(CZ24&lt;=0,0,IF(WEEKDAY(CZ$6,1)=1,CZ24*CZ25,0)))</f>
        <v>0</v>
      </c>
      <c r="DA28" s="63">
        <f>IF(AND(DA24=1,DA25=12),0,IF(DA24&lt;=0,0,IF(WEEKDAY(DA$6,1)=1,DA24*DA25,0)))</f>
        <v>0</v>
      </c>
      <c r="DB28" s="63">
        <f>IF(AND(DB24=1,DB25=12),0,IF(DB24&lt;=0,0,IF(WEEKDAY(DB$6,1)=1,DB24*DB25,0)))</f>
        <v>0</v>
      </c>
      <c r="DC28" s="64">
        <f>IF(AND(DC24=1,DC25=12),0,IF(DC24&lt;=0,0,IF(WEEKDAY(DC$6,1)=1,DC24*DC25,0)))</f>
        <v>0</v>
      </c>
      <c r="DD28" s="64">
        <f>IF(AND(DD24=1,DD25=12),12,IF(DD24&lt;=0,0,IF(WEEKDAY(DD$6,1)=1,DD24*DD25,0)))</f>
        <v>12</v>
      </c>
      <c r="DE28" s="63">
        <f>IF(AND(DE24=1,DE25=12),0,IF(DE24&lt;=0,0,IF(WEEKDAY(DE$6,1)=1,DE24*DE25,0)))</f>
        <v>0</v>
      </c>
      <c r="DF28" s="63">
        <f>IF(AND(DF24=1,DF25=12),0,IF(DF24&lt;=0,0,IF(WEEKDAY(DF$6,1)=1,DF24*DF25,0)))</f>
        <v>0</v>
      </c>
      <c r="DG28" s="63">
        <f>IF(AND(DG24=1,DG25=12),0,IF(DG24&lt;=0,0,IF(WEEKDAY(DG$6,1)=1,DG24*DG25,0)))</f>
        <v>0</v>
      </c>
      <c r="DH28" s="63">
        <f>IF(AND(DH24=1,DH25=12),0,IF(DH24&lt;=0,0,IF(WEEKDAY(DH$6,1)=1,DH24*DH25,0)))</f>
        <v>0</v>
      </c>
      <c r="DI28" s="63">
        <f>IF(AND(DI24=1,DI25=12),0,IF(DI24&lt;=0,0,IF(WEEKDAY(DI$6,1)=1,DI24*DI25,0)))</f>
        <v>0</v>
      </c>
      <c r="DJ28" s="64">
        <f>IF(AND(DJ24=1,DJ25=12),0,IF(DJ24&lt;=0,0,IF(WEEKDAY(DJ$6,1)=1,DJ24*DJ25,0)))</f>
        <v>0</v>
      </c>
      <c r="DK28" s="64">
        <f>IF(AND(DK24=1,DK25=12),12,IF(DK24&lt;=0,0,IF(WEEKDAY(DK$6,1)=1,DK24*DK25,0)))</f>
        <v>12</v>
      </c>
      <c r="DL28" s="63">
        <f>IF(AND(DL24=1,DL25=12),0,IF(DL24&lt;=0,0,IF(WEEKDAY(DL$6,1)=1,DL24*DL25,0)))</f>
        <v>0</v>
      </c>
      <c r="DM28" s="63">
        <f>IF(AND(DM24=1,DM25=12),0,IF(DM24&lt;=0,0,IF(WEEKDAY(DM$6,1)=1,DM24*DM25,0)))</f>
        <v>0</v>
      </c>
      <c r="DN28" s="63">
        <f>IF(AND(DN24=1,DN25=12),0,IF(DN24&lt;=0,0,IF(WEEKDAY(DN$6,1)=1,DN24*DN25,0)))</f>
        <v>0</v>
      </c>
      <c r="DO28" s="63">
        <f>IF(AND(DO24=1,DO25=12),0,IF(DO24&lt;=0,0,IF(WEEKDAY(DO$6,1)=1,DO24*DO25,0)))</f>
        <v>0</v>
      </c>
      <c r="DP28" s="63">
        <f>IF(AND(DP24=1,DP25=12),0,IF(DP24&lt;=0,0,IF(WEEKDAY(DP$6,1)=1,DP24*DP25,0)))</f>
        <v>0</v>
      </c>
      <c r="DQ28" s="64">
        <f>IF(AND(DQ24=1,DQ25=12),0,IF(DQ24&lt;=0,0,IF(WEEKDAY(DQ$6,1)=1,DQ24*DQ25,0)))</f>
        <v>0</v>
      </c>
      <c r="DR28" s="64">
        <f>IF(AND(DR24=1,DR25=12),12,IF(DR24&lt;=0,0,IF(WEEKDAY(DR$6,1)=1,DR24*DR25,0)))</f>
        <v>12</v>
      </c>
      <c r="DS28" s="63">
        <f>IF(AND(DS24=1,DS25=12),0,IF(DS24&lt;=0,0,IF(WEEKDAY(DS$6,1)=1,DS24*DS25,0)))</f>
        <v>0</v>
      </c>
      <c r="DT28" s="63">
        <f>IF(AND(DT24=1,DT25=8),0,IF(DT24&lt;=0,0,IF(WEEKDAY(DT$6,1)=1,DT24*DT25,0)))</f>
        <v>0</v>
      </c>
      <c r="DU28" s="63">
        <f>IF(AND(DU24=1,DU25=8),0,IF(DU24&lt;=0,0,IF(WEEKDAY(DU$6,1)=1,DU24*DU25,0)))</f>
        <v>0</v>
      </c>
      <c r="DV28" s="63">
        <f>IF(AND(DV24=1,DV25=8),0,IF(DV24&lt;=0,0,IF(WEEKDAY(DV$6,1)=1,DV24*DV25,0)))</f>
        <v>0</v>
      </c>
      <c r="DW28" s="63">
        <f>IF(AND(DW24=1,DW25=8),0,IF(DW24&lt;=0,0,IF(WEEKDAY(DW$6,1)=1,DW24*DW25,0)))</f>
        <v>0</v>
      </c>
      <c r="DX28" s="64">
        <f>IF(AND(DX24=0,DX25=0),0,IF(DX24&lt;=0,0,IF(WEEKDAY(DX$6,1)=1,DX24*DX25,0)))</f>
        <v>0</v>
      </c>
      <c r="DY28" s="64">
        <f>IF(AND(DY24=0,DY25=0),0,IF(DY24&lt;=0,0,IF(WEEKDAY(DY$6,1)=1,DY24*DY25,0)))</f>
        <v>0</v>
      </c>
      <c r="DZ28" s="63">
        <f>IF(AND(DZ24=1,DZ25=8),0,IF(DZ24&lt;=0,0,IF(WEEKDAY(DZ$6,1)=1,DZ24*DZ25,0)))</f>
        <v>0</v>
      </c>
      <c r="EA28" s="63">
        <f>IF(AND(EA24=1,EA25=8),0,IF(EA24&lt;=0,0,IF(WEEKDAY(EA$6,1)=1,EA24*EA25,0)))</f>
        <v>0</v>
      </c>
      <c r="EB28" s="63">
        <f>IF(AND(EB24=1,EB25=8),0,IF(EB24&lt;=0,0,IF(WEEKDAY(EB$6,1)=1,EB24*EB25,0)))</f>
        <v>0</v>
      </c>
      <c r="EC28" s="63">
        <f>IF(AND(EC24=1,EC25=8),0,IF(EC24&lt;=0,0,IF(WEEKDAY(EC$6,1)=1,EC24*EC25,0)))</f>
        <v>0</v>
      </c>
      <c r="ED28" s="63">
        <f>IF(AND(ED24=1,ED25=8),0,IF(ED24&lt;=0,0,IF(WEEKDAY(ED$6,1)=1,ED24*ED25,0)))</f>
        <v>0</v>
      </c>
      <c r="EE28" s="64">
        <f>IF(AND(EE24=0,EE25=0),0,IF(EE24&lt;=0,0,IF(WEEKDAY(EE$6,1)=1,EE24*EE25,0)))</f>
        <v>0</v>
      </c>
      <c r="EF28" s="64">
        <f>IF(AND(EF24=0,EF25=0),0,IF(EF24&lt;=0,0,IF(WEEKDAY(EF$6,1)=1,EF24*EF25,0)))</f>
        <v>0</v>
      </c>
      <c r="EG28" s="63">
        <f>IF(AND(EG24=0,EG25=0),0,IF(EG24&lt;=0,0,IF(WEEKDAY(EG$6,1)=1,EG24*EG25,0)))</f>
        <v>0</v>
      </c>
      <c r="EH28" s="63">
        <f>IF(AND(EH24=0,EH25=0),0,IF(EH24&lt;=0,0,IF(WEEKDAY(EH$6,1)=1,EH24*EH25,0)))</f>
        <v>0</v>
      </c>
      <c r="EI28" s="63">
        <f>IF(AND(EI24=0,EI25=0),0,IF(EI24&lt;=0,0,IF(WEEKDAY(EI$6,1)=1,EI24*EI25,0)))</f>
        <v>0</v>
      </c>
      <c r="EJ28" s="63">
        <f>IF(AND(EJ24=0,EJ25=0),0,IF(EJ24&lt;=0,0,IF(WEEKDAY(EJ$6,1)=1,EJ24*EJ25,0)))</f>
        <v>0</v>
      </c>
      <c r="EK28" s="65">
        <f>IF(AND(EK24=0,EK25=0),0,IF(EK24&lt;=0,0,IF(WEEKDAY(EK$6,1)=1,EK24*EK25,0)))</f>
        <v>0</v>
      </c>
      <c r="OU28" s="28" t="s">
        <v>122</v>
      </c>
    </row>
    <row r="29" ht="16" customHeight="1" spans="1:411" x14ac:dyDescent="0.25">
      <c r="A29" s="45"/>
      <c r="B29" s="79"/>
      <c r="C29" s="67">
        <f>I23*D29</f>
        <v>1170</v>
      </c>
      <c r="D29" s="67">
        <v>130</v>
      </c>
      <c r="E29" s="68" t="s">
        <v>65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0</v>
      </c>
      <c r="S29" s="70">
        <v>0</v>
      </c>
      <c r="T29" s="70">
        <v>0</v>
      </c>
      <c r="U29" s="70">
        <v>0</v>
      </c>
      <c r="V29" s="70">
        <v>0</v>
      </c>
      <c r="W29" s="71">
        <v>0</v>
      </c>
      <c r="X29" s="71">
        <v>0</v>
      </c>
      <c r="Y29" s="70">
        <v>0</v>
      </c>
      <c r="Z29" s="70">
        <v>0</v>
      </c>
      <c r="AA29" s="70">
        <v>0</v>
      </c>
      <c r="AB29" s="70">
        <v>0</v>
      </c>
      <c r="AC29" s="70">
        <v>0</v>
      </c>
      <c r="AD29" s="71">
        <v>0</v>
      </c>
      <c r="AE29" s="71">
        <v>0</v>
      </c>
      <c r="AF29" s="70">
        <v>0</v>
      </c>
      <c r="AG29" s="70">
        <v>0</v>
      </c>
      <c r="AH29" s="70">
        <v>0</v>
      </c>
      <c r="AI29" s="70">
        <v>0</v>
      </c>
      <c r="AJ29" s="70">
        <v>0</v>
      </c>
      <c r="AK29" s="71">
        <v>0</v>
      </c>
      <c r="AL29" s="71">
        <v>0</v>
      </c>
      <c r="AM29" s="70">
        <v>0</v>
      </c>
      <c r="AN29" s="70">
        <v>0</v>
      </c>
      <c r="AO29" s="70">
        <v>0</v>
      </c>
      <c r="AP29" s="70">
        <v>0</v>
      </c>
      <c r="AQ29" s="70">
        <v>0</v>
      </c>
      <c r="AR29" s="71">
        <v>0</v>
      </c>
      <c r="AS29" s="71">
        <v>0</v>
      </c>
      <c r="AT29" s="70">
        <v>0</v>
      </c>
      <c r="AU29" s="70">
        <v>0</v>
      </c>
      <c r="AV29" s="70">
        <v>0</v>
      </c>
      <c r="AW29" s="70">
        <v>0</v>
      </c>
      <c r="AX29" s="70">
        <v>0</v>
      </c>
      <c r="AY29" s="71">
        <v>0</v>
      </c>
      <c r="AZ29" s="71">
        <v>0</v>
      </c>
      <c r="BA29" s="70">
        <v>0</v>
      </c>
      <c r="BB29" s="70">
        <v>0</v>
      </c>
      <c r="BC29" s="70">
        <v>0</v>
      </c>
      <c r="BD29" s="70">
        <v>0</v>
      </c>
      <c r="BE29" s="70">
        <v>0</v>
      </c>
      <c r="BF29" s="71">
        <v>0</v>
      </c>
      <c r="BG29" s="71">
        <v>0</v>
      </c>
      <c r="BH29" s="70">
        <v>0</v>
      </c>
      <c r="BI29" s="70">
        <v>0</v>
      </c>
      <c r="BJ29" s="70">
        <v>0</v>
      </c>
      <c r="BK29" s="70">
        <v>0</v>
      </c>
      <c r="BL29" s="70">
        <v>0</v>
      </c>
      <c r="BM29" s="71">
        <v>0</v>
      </c>
      <c r="BN29" s="71">
        <v>0</v>
      </c>
      <c r="BO29" s="70">
        <v>0</v>
      </c>
      <c r="BP29" s="70">
        <v>0</v>
      </c>
      <c r="BQ29" s="70">
        <v>0</v>
      </c>
      <c r="BR29" s="70">
        <v>0</v>
      </c>
      <c r="BS29" s="70">
        <v>0</v>
      </c>
      <c r="BT29" s="71">
        <v>0</v>
      </c>
      <c r="BU29" s="71">
        <v>0</v>
      </c>
      <c r="BV29" s="70">
        <v>0</v>
      </c>
      <c r="BW29" s="70">
        <v>0</v>
      </c>
      <c r="BX29" s="70">
        <v>0</v>
      </c>
      <c r="BY29" s="70">
        <v>0</v>
      </c>
      <c r="BZ29" s="70">
        <v>0</v>
      </c>
      <c r="CA29" s="71">
        <v>0</v>
      </c>
      <c r="CB29" s="71">
        <v>0</v>
      </c>
      <c r="CC29" s="70">
        <v>0</v>
      </c>
      <c r="CD29" s="70">
        <v>0</v>
      </c>
      <c r="CE29" s="70">
        <v>0</v>
      </c>
      <c r="CF29" s="70">
        <v>0</v>
      </c>
      <c r="CG29" s="70">
        <v>0</v>
      </c>
      <c r="CH29" s="71">
        <v>0</v>
      </c>
      <c r="CI29" s="71">
        <v>0</v>
      </c>
      <c r="CJ29" s="70">
        <v>0</v>
      </c>
      <c r="CK29" s="70">
        <v>0</v>
      </c>
      <c r="CL29" s="70">
        <v>0</v>
      </c>
      <c r="CM29" s="70">
        <v>0</v>
      </c>
      <c r="CN29" s="70">
        <v>0</v>
      </c>
      <c r="CO29" s="71">
        <v>0</v>
      </c>
      <c r="CP29" s="71">
        <v>0</v>
      </c>
      <c r="CQ29" s="70">
        <v>0</v>
      </c>
      <c r="CR29" s="70">
        <v>0</v>
      </c>
      <c r="CS29" s="70">
        <v>0</v>
      </c>
      <c r="CT29" s="70">
        <v>0</v>
      </c>
      <c r="CU29" s="70">
        <v>0</v>
      </c>
      <c r="CV29" s="71">
        <v>0</v>
      </c>
      <c r="CW29" s="71">
        <v>0</v>
      </c>
      <c r="CX29" s="70">
        <v>0</v>
      </c>
      <c r="CY29" s="70">
        <v>0</v>
      </c>
      <c r="CZ29" s="70">
        <v>0</v>
      </c>
      <c r="DA29" s="70">
        <v>0</v>
      </c>
      <c r="DB29" s="70">
        <v>0</v>
      </c>
      <c r="DC29" s="71">
        <v>0</v>
      </c>
      <c r="DD29" s="71">
        <v>0</v>
      </c>
      <c r="DE29" s="70">
        <v>0</v>
      </c>
      <c r="DF29" s="70">
        <v>0</v>
      </c>
      <c r="DG29" s="70">
        <v>0</v>
      </c>
      <c r="DH29" s="70">
        <v>0</v>
      </c>
      <c r="DI29" s="70">
        <v>0</v>
      </c>
      <c r="DJ29" s="71">
        <v>0</v>
      </c>
      <c r="DK29" s="71">
        <v>0</v>
      </c>
      <c r="DL29" s="70">
        <v>0</v>
      </c>
      <c r="DM29" s="70">
        <v>0</v>
      </c>
      <c r="DN29" s="70">
        <v>0</v>
      </c>
      <c r="DO29" s="70">
        <v>0</v>
      </c>
      <c r="DP29" s="70">
        <v>0</v>
      </c>
      <c r="DQ29" s="71">
        <v>0</v>
      </c>
      <c r="DR29" s="71">
        <v>0</v>
      </c>
      <c r="DS29" s="70">
        <v>0</v>
      </c>
      <c r="DT29" s="70">
        <v>1</v>
      </c>
      <c r="DU29" s="70">
        <v>1</v>
      </c>
      <c r="DV29" s="70">
        <v>1</v>
      </c>
      <c r="DW29" s="70">
        <v>1</v>
      </c>
      <c r="DX29" s="71">
        <v>0</v>
      </c>
      <c r="DY29" s="71">
        <v>0</v>
      </c>
      <c r="DZ29" s="70">
        <v>1</v>
      </c>
      <c r="EA29" s="70">
        <v>1</v>
      </c>
      <c r="EB29" s="70">
        <v>1</v>
      </c>
      <c r="EC29" s="70">
        <v>1</v>
      </c>
      <c r="ED29" s="70">
        <v>1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122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77" t="s">
        <v>121</v>
      </c>
      <c r="C31" s="47">
        <f>J31</f>
        <v>85064.72</v>
      </c>
      <c r="D31" s="48"/>
      <c r="E31" s="48"/>
      <c r="F31" s="49">
        <f>SUM(K34:EK34)</f>
        <v>368</v>
      </c>
      <c r="G31" s="49">
        <f>SUM(K35:EK35)</f>
        <v>292</v>
      </c>
      <c r="H31" s="49">
        <f>SUM(K36:EK36)</f>
        <v>108</v>
      </c>
      <c r="I31" s="49">
        <f>SUM(K37:EK37)</f>
        <v>0</v>
      </c>
      <c r="J31" s="50">
        <f>C34+C35+C36</f>
        <v>85064.72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124</v>
      </c>
    </row>
    <row r="32" ht="16" customHeight="1" spans="1:411" x14ac:dyDescent="0.25">
      <c r="A32" s="74"/>
      <c r="B32" s="77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1</v>
      </c>
      <c r="BI32" s="57">
        <v>1</v>
      </c>
      <c r="BJ32" s="57">
        <v>1</v>
      </c>
      <c r="BK32" s="57">
        <v>1</v>
      </c>
      <c r="BL32" s="57">
        <v>1</v>
      </c>
      <c r="BM32" s="58">
        <v>1</v>
      </c>
      <c r="BN32" s="58">
        <v>1</v>
      </c>
      <c r="BO32" s="57">
        <v>1</v>
      </c>
      <c r="BP32" s="57">
        <v>1</v>
      </c>
      <c r="BQ32" s="57">
        <v>1</v>
      </c>
      <c r="BR32" s="57">
        <v>1</v>
      </c>
      <c r="BS32" s="57">
        <v>1</v>
      </c>
      <c r="BT32" s="58">
        <v>1</v>
      </c>
      <c r="BU32" s="58">
        <v>1</v>
      </c>
      <c r="BV32" s="57">
        <v>1</v>
      </c>
      <c r="BW32" s="57">
        <v>1</v>
      </c>
      <c r="BX32" s="57">
        <v>1</v>
      </c>
      <c r="BY32" s="57">
        <v>1</v>
      </c>
      <c r="BZ32" s="57">
        <v>1</v>
      </c>
      <c r="CA32" s="58">
        <v>1</v>
      </c>
      <c r="CB32" s="58">
        <v>1</v>
      </c>
      <c r="CC32" s="57">
        <v>1</v>
      </c>
      <c r="CD32" s="57">
        <v>1</v>
      </c>
      <c r="CE32" s="57">
        <v>1</v>
      </c>
      <c r="CF32" s="57">
        <v>1</v>
      </c>
      <c r="CG32" s="57">
        <v>1</v>
      </c>
      <c r="CH32" s="58">
        <v>1</v>
      </c>
      <c r="CI32" s="58">
        <v>1</v>
      </c>
      <c r="CJ32" s="57">
        <v>1</v>
      </c>
      <c r="CK32" s="57">
        <v>1</v>
      </c>
      <c r="CL32" s="57">
        <v>1</v>
      </c>
      <c r="CM32" s="57">
        <v>1</v>
      </c>
      <c r="CN32" s="57">
        <v>1</v>
      </c>
      <c r="CO32" s="58">
        <v>1</v>
      </c>
      <c r="CP32" s="58">
        <v>1</v>
      </c>
      <c r="CQ32" s="57">
        <v>1</v>
      </c>
      <c r="CR32" s="57">
        <v>1</v>
      </c>
      <c r="CS32" s="57">
        <v>1</v>
      </c>
      <c r="CT32" s="57">
        <v>1</v>
      </c>
      <c r="CU32" s="57">
        <v>1</v>
      </c>
      <c r="CV32" s="58">
        <v>1</v>
      </c>
      <c r="CW32" s="58">
        <v>1</v>
      </c>
      <c r="CX32" s="57">
        <v>1</v>
      </c>
      <c r="CY32" s="57">
        <v>1</v>
      </c>
      <c r="CZ32" s="57">
        <v>1</v>
      </c>
      <c r="DA32" s="57">
        <v>1</v>
      </c>
      <c r="DB32" s="57">
        <v>1</v>
      </c>
      <c r="DC32" s="58">
        <v>1</v>
      </c>
      <c r="DD32" s="58">
        <v>1</v>
      </c>
      <c r="DE32" s="57">
        <v>1</v>
      </c>
      <c r="DF32" s="57">
        <v>1</v>
      </c>
      <c r="DG32" s="57">
        <v>1</v>
      </c>
      <c r="DH32" s="57">
        <v>1</v>
      </c>
      <c r="DI32" s="57">
        <v>1</v>
      </c>
      <c r="DJ32" s="58">
        <v>1</v>
      </c>
      <c r="DK32" s="58">
        <v>1</v>
      </c>
      <c r="DL32" s="57">
        <v>1</v>
      </c>
      <c r="DM32" s="57">
        <v>1</v>
      </c>
      <c r="DN32" s="57">
        <v>1</v>
      </c>
      <c r="DO32" s="57">
        <v>1</v>
      </c>
      <c r="DP32" s="57">
        <v>1</v>
      </c>
      <c r="DQ32" s="58">
        <v>1</v>
      </c>
      <c r="DR32" s="58">
        <v>1</v>
      </c>
      <c r="DS32" s="57">
        <v>1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124</v>
      </c>
    </row>
    <row r="33" ht="16" customHeight="1" spans="1:411" x14ac:dyDescent="0.25">
      <c r="A33" s="74"/>
      <c r="B33" s="77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12</v>
      </c>
      <c r="BI33" s="57">
        <v>12</v>
      </c>
      <c r="BJ33" s="57">
        <v>12</v>
      </c>
      <c r="BK33" s="57">
        <v>12</v>
      </c>
      <c r="BL33" s="57">
        <v>12</v>
      </c>
      <c r="BM33" s="58">
        <v>12</v>
      </c>
      <c r="BN33" s="58">
        <v>12</v>
      </c>
      <c r="BO33" s="57">
        <v>12</v>
      </c>
      <c r="BP33" s="57">
        <v>12</v>
      </c>
      <c r="BQ33" s="57">
        <v>12</v>
      </c>
      <c r="BR33" s="57">
        <v>12</v>
      </c>
      <c r="BS33" s="57">
        <v>12</v>
      </c>
      <c r="BT33" s="58">
        <v>12</v>
      </c>
      <c r="BU33" s="58">
        <v>12</v>
      </c>
      <c r="BV33" s="57">
        <v>12</v>
      </c>
      <c r="BW33" s="57">
        <v>12</v>
      </c>
      <c r="BX33" s="57">
        <v>12</v>
      </c>
      <c r="BY33" s="57">
        <v>12</v>
      </c>
      <c r="BZ33" s="57">
        <v>12</v>
      </c>
      <c r="CA33" s="58">
        <v>12</v>
      </c>
      <c r="CB33" s="58">
        <v>12</v>
      </c>
      <c r="CC33" s="57">
        <v>12</v>
      </c>
      <c r="CD33" s="57">
        <v>12</v>
      </c>
      <c r="CE33" s="57">
        <v>12</v>
      </c>
      <c r="CF33" s="57">
        <v>12</v>
      </c>
      <c r="CG33" s="57">
        <v>12</v>
      </c>
      <c r="CH33" s="58">
        <v>12</v>
      </c>
      <c r="CI33" s="58">
        <v>12</v>
      </c>
      <c r="CJ33" s="57">
        <v>12</v>
      </c>
      <c r="CK33" s="57">
        <v>12</v>
      </c>
      <c r="CL33" s="57">
        <v>12</v>
      </c>
      <c r="CM33" s="57">
        <v>12</v>
      </c>
      <c r="CN33" s="57">
        <v>12</v>
      </c>
      <c r="CO33" s="58">
        <v>12</v>
      </c>
      <c r="CP33" s="58">
        <v>12</v>
      </c>
      <c r="CQ33" s="57">
        <v>12</v>
      </c>
      <c r="CR33" s="57">
        <v>12</v>
      </c>
      <c r="CS33" s="57">
        <v>12</v>
      </c>
      <c r="CT33" s="57">
        <v>12</v>
      </c>
      <c r="CU33" s="57">
        <v>12</v>
      </c>
      <c r="CV33" s="58">
        <v>12</v>
      </c>
      <c r="CW33" s="58">
        <v>12</v>
      </c>
      <c r="CX33" s="57">
        <v>12</v>
      </c>
      <c r="CY33" s="57">
        <v>12</v>
      </c>
      <c r="CZ33" s="57">
        <v>12</v>
      </c>
      <c r="DA33" s="57">
        <v>12</v>
      </c>
      <c r="DB33" s="57">
        <v>12</v>
      </c>
      <c r="DC33" s="58">
        <v>12</v>
      </c>
      <c r="DD33" s="58">
        <v>12</v>
      </c>
      <c r="DE33" s="57">
        <v>12</v>
      </c>
      <c r="DF33" s="57">
        <v>12</v>
      </c>
      <c r="DG33" s="57">
        <v>12</v>
      </c>
      <c r="DH33" s="57">
        <v>12</v>
      </c>
      <c r="DI33" s="57">
        <v>12</v>
      </c>
      <c r="DJ33" s="58">
        <v>12</v>
      </c>
      <c r="DK33" s="58">
        <v>12</v>
      </c>
      <c r="DL33" s="57">
        <v>12</v>
      </c>
      <c r="DM33" s="57">
        <v>12</v>
      </c>
      <c r="DN33" s="57">
        <v>12</v>
      </c>
      <c r="DO33" s="57">
        <v>12</v>
      </c>
      <c r="DP33" s="57">
        <v>12</v>
      </c>
      <c r="DQ33" s="58">
        <v>12</v>
      </c>
      <c r="DR33" s="58">
        <v>12</v>
      </c>
      <c r="DS33" s="57">
        <v>12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124</v>
      </c>
    </row>
    <row r="34" ht="16" customHeight="1" spans="1:411" x14ac:dyDescent="0.25">
      <c r="A34" s="74"/>
      <c r="B34" s="78" t="s">
        <v>119</v>
      </c>
      <c r="C34" s="61">
        <f>F31*N(D34)</f>
        <v>35916.799999999996</v>
      </c>
      <c r="D34" s="61">
        <f>IF(TRIM(IF(TRIM(B35)&lt;&gt;"",B35,B31))="","No rate",IFERROR(INDEX('Rate Tables'!C$7:C$158,MATCH(IF(TRIM(B35)&lt;&gt;"",B35,B31),'Rate Tables'!A$7:A$158,0)),"No rate"))</f>
        <v>97.6</v>
      </c>
      <c r="E34" s="55" t="s">
        <v>62</v>
      </c>
      <c r="F34" s="49"/>
      <c r="G34" s="49"/>
      <c r="H34" s="49"/>
      <c r="I34" s="49"/>
      <c r="J34" s="50"/>
      <c r="K34" s="62">
        <f>IF(AND(K32=0,K33=0),0,MIN(IF(K32&lt;=0,0,IF(WEEKDAY(K$6,1)=1,0,IF(WEEKDAY(K$6,1)=7,0,MIN(8,K33)*K32))),MAX(0,40*MAX(1,K32)-(0))))</f>
        <v>0</v>
      </c>
      <c r="L34" s="63">
        <f>IF(AND(L32=0,L33=0),0,MIN(IF(L32&lt;=0,0,IF(WEEKDAY(L$6,1)=1,0,IF(WEEKDAY(L$6,1)=7,0,MIN(8,L33)*L32))),MAX(0,40*MAX(1,L32)-(K34))))</f>
        <v>0</v>
      </c>
      <c r="M34" s="63">
        <f>IF(AND(M32=0,M33=0),0,MIN(IF(M32&lt;=0,0,IF(WEEKDAY(M$6,1)=1,0,IF(WEEKDAY(M$6,1)=7,0,MIN(8,M33)*M32))),MAX(0,40*MAX(1,M32)-(K34+L34))))</f>
        <v>0</v>
      </c>
      <c r="N34" s="63">
        <f>IF(AND(N32=0,N33=0),0,MIN(IF(N32&lt;=0,0,IF(WEEKDAY(N$6,1)=1,0,IF(WEEKDAY(N$6,1)=7,0,MIN(8,N33)*N32))),MAX(0,40*MAX(1,N32)-(K34+L34+M34))))</f>
        <v>0</v>
      </c>
      <c r="O34" s="63">
        <f>IF(AND(O32=0,O33=0),0,MIN(IF(O32&lt;=0,0,IF(WEEKDAY(O$6,1)=1,0,IF(WEEKDAY(O$6,1)=7,0,MIN(8,O33)*O32))),MAX(0,40*MAX(1,O32)-(K34+L34+M34+N34))))</f>
        <v>0</v>
      </c>
      <c r="P34" s="64">
        <f>IF(AND(P32=0,P33=0),0,MIN(IF(P32&lt;=0,0,IF(WEEKDAY(P$6,1)=1,0,IF(WEEKDAY(P$6,1)=7,0,MIN(8,P33)*P32))),MAX(0,40*MAX(1,P32)-(K34+L34+M34+N34+O34))))</f>
        <v>0</v>
      </c>
      <c r="Q34" s="64">
        <f>IF(AND(Q32=0,Q33=0),0,MIN(IF(Q32&lt;=0,0,IF(WEEKDAY(Q$6,1)=1,0,IF(WEEKDAY(Q$6,1)=7,0,MIN(8,Q33)*Q32))),MAX(0,40*MAX(1,Q32)-(K34+L34+M34+N34+O34+P34))))</f>
        <v>0</v>
      </c>
      <c r="R34" s="63">
        <f>IF(AND(R32=0,R33=0),0,MIN(IF(R32&lt;=0,0,IF(WEEKDAY(R$6,1)=1,0,IF(WEEKDAY(R$6,1)=7,0,MIN(8,R33)*R32))),MAX(0,40*MAX(1,R32)-(0))))</f>
        <v>0</v>
      </c>
      <c r="S34" s="63">
        <f>IF(AND(S32=0,S33=0),0,MIN(IF(S32&lt;=0,0,IF(WEEKDAY(S$6,1)=1,0,IF(WEEKDAY(S$6,1)=7,0,MIN(8,S33)*S32))),MAX(0,40*MAX(1,S32)-(R34))))</f>
        <v>0</v>
      </c>
      <c r="T34" s="63">
        <f>IF(AND(T32=0,T33=0),0,MIN(IF(T32&lt;=0,0,IF(WEEKDAY(T$6,1)=1,0,IF(WEEKDAY(T$6,1)=7,0,MIN(8,T33)*T32))),MAX(0,40*MAX(1,T32)-(R34+S34))))</f>
        <v>0</v>
      </c>
      <c r="U34" s="63">
        <f>IF(AND(U32=0,U33=0),0,MIN(IF(U32&lt;=0,0,IF(WEEKDAY(U$6,1)=1,0,IF(WEEKDAY(U$6,1)=7,0,MIN(8,U33)*U32))),MAX(0,40*MAX(1,U32)-(R34+S34+T34))))</f>
        <v>0</v>
      </c>
      <c r="V34" s="63">
        <f>IF(AND(V32=0,V33=0),0,MIN(IF(V32&lt;=0,0,IF(WEEKDAY(V$6,1)=1,0,IF(WEEKDAY(V$6,1)=7,0,MIN(8,V33)*V32))),MAX(0,40*MAX(1,V32)-(R34+S34+T34+U34))))</f>
        <v>0</v>
      </c>
      <c r="W34" s="64">
        <f>IF(AND(W32=0,W33=0),0,MIN(IF(W32&lt;=0,0,IF(WEEKDAY(W$6,1)=1,0,IF(WEEKDAY(W$6,1)=7,0,MIN(8,W33)*W32))),MAX(0,40*MAX(1,W32)-(R34+S34+T34+U34+V34))))</f>
        <v>0</v>
      </c>
      <c r="X34" s="64">
        <f>IF(AND(X32=0,X33=0),0,MIN(IF(X32&lt;=0,0,IF(WEEKDAY(X$6,1)=1,0,IF(WEEKDAY(X$6,1)=7,0,MIN(8,X33)*X32))),MAX(0,40*MAX(1,X32)-(R34+S34+T34+U34+V34+W34))))</f>
        <v>0</v>
      </c>
      <c r="Y34" s="63">
        <f>IF(AND(Y32=0,Y33=0),0,MIN(IF(Y32&lt;=0,0,IF(WEEKDAY(Y$6,1)=1,0,IF(WEEKDAY(Y$6,1)=7,0,MIN(8,Y33)*Y32))),MAX(0,40*MAX(1,Y32)-(0))))</f>
        <v>0</v>
      </c>
      <c r="Z34" s="63">
        <f>IF(AND(Z32=0,Z33=0),0,MIN(IF(Z32&lt;=0,0,IF(WEEKDAY(Z$6,1)=1,0,IF(WEEKDAY(Z$6,1)=7,0,MIN(8,Z33)*Z32))),MAX(0,40*MAX(1,Z32)-(Y34))))</f>
        <v>0</v>
      </c>
      <c r="AA34" s="63">
        <f>IF(AND(AA32=0,AA33=0),0,MIN(IF(AA32&lt;=0,0,IF(WEEKDAY(AA$6,1)=1,0,IF(WEEKDAY(AA$6,1)=7,0,MIN(8,AA33)*AA32))),MAX(0,40*MAX(1,AA32)-(Y34+Z34))))</f>
        <v>0</v>
      </c>
      <c r="AB34" s="63">
        <f>IF(AND(AB32=0,AB33=0),0,MIN(IF(AB32&lt;=0,0,IF(WEEKDAY(AB$6,1)=1,0,IF(WEEKDAY(AB$6,1)=7,0,MIN(8,AB33)*AB32))),MAX(0,40*MAX(1,AB32)-(Y34+Z34+AA34))))</f>
        <v>0</v>
      </c>
      <c r="AC34" s="63">
        <f>IF(AND(AC32=0,AC33=0),0,MIN(IF(AC32&lt;=0,0,IF(WEEKDAY(AC$6,1)=1,0,IF(WEEKDAY(AC$6,1)=7,0,MIN(8,AC33)*AC32))),MAX(0,40*MAX(1,AC32)-(Y34+Z34+AA34+AB34))))</f>
        <v>0</v>
      </c>
      <c r="AD34" s="64">
        <f>IF(AND(AD32=0,AD33=0),0,MIN(IF(AD32&lt;=0,0,IF(WEEKDAY(AD$6,1)=1,0,IF(WEEKDAY(AD$6,1)=7,0,MIN(8,AD33)*AD32))),MAX(0,40*MAX(1,AD32)-(Y34+Z34+AA34+AB34+AC34))))</f>
        <v>0</v>
      </c>
      <c r="AE34" s="64">
        <f>IF(AND(AE32=0,AE33=0),0,MIN(IF(AE32&lt;=0,0,IF(WEEKDAY(AE$6,1)=1,0,IF(WEEKDAY(AE$6,1)=7,0,MIN(8,AE33)*AE32))),MAX(0,40*MAX(1,AE32)-(Y34+Z34+AA34+AB34+AC34+AD34))))</f>
        <v>0</v>
      </c>
      <c r="AF34" s="63">
        <f>IF(AND(AF32=0,AF33=0),0,MIN(IF(AF32&lt;=0,0,IF(WEEKDAY(AF$6,1)=1,0,IF(WEEKDAY(AF$6,1)=7,0,MIN(8,AF33)*AF32))),MAX(0,40*MAX(1,AF32)-(0))))</f>
        <v>0</v>
      </c>
      <c r="AG34" s="63">
        <f>IF(AND(AG32=0,AG33=0),0,MIN(IF(AG32&lt;=0,0,IF(WEEKDAY(AG$6,1)=1,0,IF(WEEKDAY(AG$6,1)=7,0,MIN(8,AG33)*AG32))),MAX(0,40*MAX(1,AG32)-(AF34))))</f>
        <v>0</v>
      </c>
      <c r="AH34" s="63">
        <f>IF(AND(AH32=0,AH33=0),0,MIN(IF(AH32&lt;=0,0,IF(WEEKDAY(AH$6,1)=1,0,IF(WEEKDAY(AH$6,1)=7,0,MIN(8,AH33)*AH32))),MAX(0,40*MAX(1,AH32)-(AF34+AG34))))</f>
        <v>0</v>
      </c>
      <c r="AI34" s="63">
        <f>IF(AND(AI32=0,AI33=0),0,MIN(IF(AI32&lt;=0,0,IF(WEEKDAY(AI$6,1)=1,0,IF(WEEKDAY(AI$6,1)=7,0,MIN(8,AI33)*AI32))),MAX(0,40*MAX(1,AI32)-(AF34+AG34+AH34))))</f>
        <v>0</v>
      </c>
      <c r="AJ34" s="63">
        <f>IF(AND(AJ32=0,AJ33=0),0,MIN(IF(AJ32&lt;=0,0,IF(WEEKDAY(AJ$6,1)=1,0,IF(WEEKDAY(AJ$6,1)=7,0,MIN(8,AJ33)*AJ32))),MAX(0,40*MAX(1,AJ32)-(AF34+AG34+AH34+AI34))))</f>
        <v>0</v>
      </c>
      <c r="AK34" s="64">
        <f>IF(AND(AK32=0,AK33=0),0,MIN(IF(AK32&lt;=0,0,IF(WEEKDAY(AK$6,1)=1,0,IF(WEEKDAY(AK$6,1)=7,0,MIN(8,AK33)*AK32))),MAX(0,40*MAX(1,AK32)-(AF34+AG34+AH34+AI34+AJ34))))</f>
        <v>0</v>
      </c>
      <c r="AL34" s="64">
        <f>IF(AND(AL32=0,AL33=0),0,MIN(IF(AL32&lt;=0,0,IF(WEEKDAY(AL$6,1)=1,0,IF(WEEKDAY(AL$6,1)=7,0,MIN(8,AL33)*AL32))),MAX(0,40*MAX(1,AL32)-(AF34+AG34+AH34+AI34+AJ34+AK34))))</f>
        <v>0</v>
      </c>
      <c r="AM34" s="63">
        <f>IF(AND(AM32=0,AM33=0),0,MIN(IF(AM32&lt;=0,0,IF(WEEKDAY(AM$6,1)=1,0,IF(WEEKDAY(AM$6,1)=7,0,MIN(8,AM33)*AM32))),MAX(0,40*MAX(1,AM32)-(0))))</f>
        <v>0</v>
      </c>
      <c r="AN34" s="63">
        <f>IF(AND(AN32=0,AN33=0),0,MIN(IF(AN32&lt;=0,0,IF(WEEKDAY(AN$6,1)=1,0,IF(WEEKDAY(AN$6,1)=7,0,MIN(8,AN33)*AN32))),MAX(0,40*MAX(1,AN32)-(AM34))))</f>
        <v>0</v>
      </c>
      <c r="AO34" s="63">
        <f>IF(AND(AO32=0,AO33=0),0,MIN(IF(AO32&lt;=0,0,IF(WEEKDAY(AO$6,1)=1,0,IF(WEEKDAY(AO$6,1)=7,0,MIN(8,AO33)*AO32))),MAX(0,40*MAX(1,AO32)-(AM34+AN34))))</f>
        <v>0</v>
      </c>
      <c r="AP34" s="63">
        <f>IF(AND(AP32=0,AP33=0),0,MIN(IF(AP32&lt;=0,0,IF(WEEKDAY(AP$6,1)=1,0,IF(WEEKDAY(AP$6,1)=7,0,MIN(8,AP33)*AP32))),MAX(0,40*MAX(1,AP32)-(AM34+AN34+AO34))))</f>
        <v>0</v>
      </c>
      <c r="AQ34" s="63">
        <f>IF(AND(AQ32=0,AQ33=0),0,MIN(IF(AQ32&lt;=0,0,IF(WEEKDAY(AQ$6,1)=1,0,IF(WEEKDAY(AQ$6,1)=7,0,MIN(8,AQ33)*AQ32))),MAX(0,40*MAX(1,AQ32)-(AM34+AN34+AO34+AP34))))</f>
        <v>0</v>
      </c>
      <c r="AR34" s="64">
        <f>IF(AND(AR32=0,AR33=0),0,MIN(IF(AR32&lt;=0,0,IF(WEEKDAY(AR$6,1)=1,0,IF(WEEKDAY(AR$6,1)=7,0,MIN(8,AR33)*AR32))),MAX(0,40*MAX(1,AR32)-(AM34+AN34+AO34+AP34+AQ34))))</f>
        <v>0</v>
      </c>
      <c r="AS34" s="64">
        <f>IF(AND(AS32=0,AS33=0),0,MIN(IF(AS32&lt;=0,0,IF(WEEKDAY(AS$6,1)=1,0,IF(WEEKDAY(AS$6,1)=7,0,MIN(8,AS33)*AS32))),MAX(0,40*MAX(1,AS32)-(AM34+AN34+AO34+AP34+AQ34+AR34))))</f>
        <v>0</v>
      </c>
      <c r="AT34" s="63">
        <f>IF(AND(AT32=0,AT33=0),0,MIN(IF(AT32&lt;=0,0,IF(WEEKDAY(AT$6,1)=1,0,IF(WEEKDAY(AT$6,1)=7,0,MIN(8,AT33)*AT32))),MAX(0,40*MAX(1,AT32)-(0))))</f>
        <v>0</v>
      </c>
      <c r="AU34" s="63">
        <f>IF(AND(AU32=0,AU33=0),0,MIN(IF(AU32&lt;=0,0,IF(WEEKDAY(AU$6,1)=1,0,IF(WEEKDAY(AU$6,1)=7,0,MIN(8,AU33)*AU32))),MAX(0,40*MAX(1,AU32)-(AT34))))</f>
        <v>0</v>
      </c>
      <c r="AV34" s="63">
        <f>IF(AND(AV32=0,AV33=0),0,MIN(IF(AV32&lt;=0,0,IF(WEEKDAY(AV$6,1)=1,0,IF(WEEKDAY(AV$6,1)=7,0,MIN(8,AV33)*AV32))),MAX(0,40*MAX(1,AV32)-(AT34+AU34))))</f>
        <v>0</v>
      </c>
      <c r="AW34" s="63">
        <f>IF(AND(AW32=0,AW33=0),0,MIN(IF(AW32&lt;=0,0,IF(WEEKDAY(AW$6,1)=1,0,IF(WEEKDAY(AW$6,1)=7,0,MIN(8,AW33)*AW32))),MAX(0,40*MAX(1,AW32)-(AT34+AU34+AV34))))</f>
        <v>0</v>
      </c>
      <c r="AX34" s="63">
        <f>IF(AND(AX32=0,AX33=0),0,MIN(IF(AX32&lt;=0,0,IF(WEEKDAY(AX$6,1)=1,0,IF(WEEKDAY(AX$6,1)=7,0,MIN(8,AX33)*AX32))),MAX(0,40*MAX(1,AX32)-(AT34+AU34+AV34+AW34))))</f>
        <v>0</v>
      </c>
      <c r="AY34" s="64">
        <f>IF(AND(AY32=0,AY33=0),0,MIN(IF(AY32&lt;=0,0,IF(WEEKDAY(AY$6,1)=1,0,IF(WEEKDAY(AY$6,1)=7,0,MIN(8,AY33)*AY32))),MAX(0,40*MAX(1,AY32)-(AT34+AU34+AV34+AW34+AX34))))</f>
        <v>0</v>
      </c>
      <c r="AZ34" s="64">
        <f>IF(AND(AZ32=0,AZ33=0),0,MIN(IF(AZ32&lt;=0,0,IF(WEEKDAY(AZ$6,1)=1,0,IF(WEEKDAY(AZ$6,1)=7,0,MIN(8,AZ33)*AZ32))),MAX(0,40*MAX(1,AZ32)-(AT34+AU34+AV34+AW34+AX34+AY34))))</f>
        <v>0</v>
      </c>
      <c r="BA34" s="63">
        <f>IF(AND(BA32=0,BA33=0),0,MIN(IF(BA32&lt;=0,0,IF(WEEKDAY(BA$6,1)=1,0,IF(WEEKDAY(BA$6,1)=7,0,MIN(8,BA33)*BA32))),MAX(0,40*MAX(1,BA32)-(0))))</f>
        <v>0</v>
      </c>
      <c r="BB34" s="63">
        <f>IF(AND(BB32=0,BB33=0),0,MIN(IF(BB32&lt;=0,0,IF(WEEKDAY(BB$6,1)=1,0,IF(WEEKDAY(BB$6,1)=7,0,MIN(8,BB33)*BB32))),MAX(0,40*MAX(1,BB32)-(BA34))))</f>
        <v>0</v>
      </c>
      <c r="BC34" s="63">
        <f>IF(AND(BC32=0,BC33=0),0,MIN(IF(BC32&lt;=0,0,IF(WEEKDAY(BC$6,1)=1,0,IF(WEEKDAY(BC$6,1)=7,0,MIN(8,BC33)*BC32))),MAX(0,40*MAX(1,BC32)-(BA34+BB34))))</f>
        <v>0</v>
      </c>
      <c r="BD34" s="63">
        <f>IF(AND(BD32=0,BD33=0),0,MIN(IF(BD32&lt;=0,0,IF(WEEKDAY(BD$6,1)=1,0,IF(WEEKDAY(BD$6,1)=7,0,MIN(8,BD33)*BD32))),MAX(0,40*MAX(1,BD32)-(BA34+BB34+BC34))))</f>
        <v>0</v>
      </c>
      <c r="BE34" s="63">
        <f>IF(AND(BE32=0,BE33=0),0,MIN(IF(BE32&lt;=0,0,IF(WEEKDAY(BE$6,1)=1,0,IF(WEEKDAY(BE$6,1)=7,0,MIN(8,BE33)*BE32))),MAX(0,40*MAX(1,BE32)-(BA34+BB34+BC34+BD34))))</f>
        <v>0</v>
      </c>
      <c r="BF34" s="64">
        <f>IF(AND(BF32=0,BF33=0),0,MIN(IF(BF32&lt;=0,0,IF(WEEKDAY(BF$6,1)=1,0,IF(WEEKDAY(BF$6,1)=7,0,MIN(8,BF33)*BF32))),MAX(0,40*MAX(1,BF32)-(BA34+BB34+BC34+BD34+BE34))))</f>
        <v>0</v>
      </c>
      <c r="BG34" s="64">
        <f>IF(AND(BG32=0,BG33=0),0,MIN(IF(BG32&lt;=0,0,IF(WEEKDAY(BG$6,1)=1,0,IF(WEEKDAY(BG$6,1)=7,0,MIN(8,BG33)*BG32))),MAX(0,40*MAX(1,BG32)-(BA34+BB34+BC34+BD34+BE34+BF34))))</f>
        <v>0</v>
      </c>
      <c r="BH34" s="63">
        <f>IF(AND(BH32=1,BH33=12),8,MIN(IF(BH32&lt;=0,0,IF(WEEKDAY(BH$6,1)=1,0,IF(WEEKDAY(BH$6,1)=7,0,MIN(8,BH33)*BH32))),MAX(0,40*MAX(1,BH32)-(0))))</f>
        <v>8</v>
      </c>
      <c r="BI34" s="63">
        <f>IF(AND(BI32=1,BI33=12),8,MIN(IF(BI32&lt;=0,0,IF(WEEKDAY(BI$6,1)=1,0,IF(WEEKDAY(BI$6,1)=7,0,MIN(8,BI33)*BI32))),MAX(0,40*MAX(1,BI32)-(BH34))))</f>
        <v>8</v>
      </c>
      <c r="BJ34" s="63">
        <f>IF(AND(BJ32=1,BJ33=12),8,MIN(IF(BJ32&lt;=0,0,IF(WEEKDAY(BJ$6,1)=1,0,IF(WEEKDAY(BJ$6,1)=7,0,MIN(8,BJ33)*BJ32))),MAX(0,40*MAX(1,BJ32)-(BH34+BI34))))</f>
        <v>8</v>
      </c>
      <c r="BK34" s="63">
        <f>IF(AND(BK32=1,BK33=12),8,MIN(IF(BK32&lt;=0,0,IF(WEEKDAY(BK$6,1)=1,0,IF(WEEKDAY(BK$6,1)=7,0,MIN(8,BK33)*BK32))),MAX(0,40*MAX(1,BK32)-(BH34+BI34+BJ34))))</f>
        <v>8</v>
      </c>
      <c r="BL34" s="63">
        <f>IF(AND(BL32=1,BL33=12),8,MIN(IF(BL32&lt;=0,0,IF(WEEKDAY(BL$6,1)=1,0,IF(WEEKDAY(BL$6,1)=7,0,MIN(8,BL33)*BL32))),MAX(0,40*MAX(1,BL32)-(BH34+BI34+BJ34+BK34))))</f>
        <v>8</v>
      </c>
      <c r="BM34" s="64">
        <f>IF(AND(BM32=1,BM33=12),0,MIN(IF(BM32&lt;=0,0,IF(WEEKDAY(BM$6,1)=1,0,IF(WEEKDAY(BM$6,1)=7,0,MIN(8,BM33)*BM32))),MAX(0,40*MAX(1,BM32)-(BH34+BI34+BJ34+BK34+BL34))))</f>
        <v>0</v>
      </c>
      <c r="BN34" s="64">
        <f>IF(AND(BN32=1,BN33=12),0,MIN(IF(BN32&lt;=0,0,IF(WEEKDAY(BN$6,1)=1,0,IF(WEEKDAY(BN$6,1)=7,0,MIN(8,BN33)*BN32))),MAX(0,40*MAX(1,BN32)-(BH34+BI34+BJ34+BK34+BL34+BM34))))</f>
        <v>0</v>
      </c>
      <c r="BO34" s="63">
        <f>IF(AND(BO32=1,BO33=12),8,MIN(IF(BO32&lt;=0,0,IF(WEEKDAY(BO$6,1)=1,0,IF(WEEKDAY(BO$6,1)=7,0,MIN(8,BO33)*BO32))),MAX(0,40*MAX(1,BO32)-(0))))</f>
        <v>8</v>
      </c>
      <c r="BP34" s="63">
        <f>IF(AND(BP32=1,BP33=12),8,MIN(IF(BP32&lt;=0,0,IF(WEEKDAY(BP$6,1)=1,0,IF(WEEKDAY(BP$6,1)=7,0,MIN(8,BP33)*BP32))),MAX(0,40*MAX(1,BP32)-(BO34))))</f>
        <v>8</v>
      </c>
      <c r="BQ34" s="63">
        <f>IF(AND(BQ32=1,BQ33=12),8,MIN(IF(BQ32&lt;=0,0,IF(WEEKDAY(BQ$6,1)=1,0,IF(WEEKDAY(BQ$6,1)=7,0,MIN(8,BQ33)*BQ32))),MAX(0,40*MAX(1,BQ32)-(BO34+BP34))))</f>
        <v>8</v>
      </c>
      <c r="BR34" s="63">
        <f>IF(AND(BR32=1,BR33=12),8,MIN(IF(BR32&lt;=0,0,IF(WEEKDAY(BR$6,1)=1,0,IF(WEEKDAY(BR$6,1)=7,0,MIN(8,BR33)*BR32))),MAX(0,40*MAX(1,BR32)-(0))))</f>
        <v>8</v>
      </c>
      <c r="BS34" s="63">
        <f>IF(AND(BS32=1,BS33=12),8,MIN(IF(BS32&lt;=0,0,IF(WEEKDAY(BS$6,1)=1,0,IF(WEEKDAY(BS$6,1)=7,0,MIN(8,BS33)*BS32))),MAX(0,40*MAX(1,BS32)-(BR34))))</f>
        <v>8</v>
      </c>
      <c r="BT34" s="64">
        <f>IF(AND(BT32=1,BT33=12),0,MIN(IF(BT32&lt;=0,0,IF(WEEKDAY(BT$6,1)=1,0,IF(WEEKDAY(BT$6,1)=7,0,MIN(8,BT33)*BT32))),MAX(0,40*MAX(1,BT32)-(BR34+BS34))))</f>
        <v>0</v>
      </c>
      <c r="BU34" s="64">
        <f>IF(AND(BU32=1,BU33=12),0,MIN(IF(BU32&lt;=0,0,IF(WEEKDAY(BU$6,1)=1,0,IF(WEEKDAY(BU$6,1)=7,0,MIN(8,BU33)*BU32))),MAX(0,40*MAX(1,BU32)-(BR34+BS34+BT34))))</f>
        <v>0</v>
      </c>
      <c r="BV34" s="63">
        <f>IF(AND(BV32=1,BV33=12),8,MIN(IF(BV32&lt;=0,0,IF(WEEKDAY(BV$6,1)=1,0,IF(WEEKDAY(BV$6,1)=7,0,MIN(8,BV33)*BV32))),MAX(0,40*MAX(1,BV32)-(0))))</f>
        <v>8</v>
      </c>
      <c r="BW34" s="63">
        <f>IF(AND(BW32=1,BW33=12),8,MIN(IF(BW32&lt;=0,0,IF(WEEKDAY(BW$6,1)=1,0,IF(WEEKDAY(BW$6,1)=7,0,MIN(8,BW33)*BW32))),MAX(0,40*MAX(1,BW32)-(BV34))))</f>
        <v>8</v>
      </c>
      <c r="BX34" s="63">
        <f>IF(AND(BX32=1,BX33=12),8,MIN(IF(BX32&lt;=0,0,IF(WEEKDAY(BX$6,1)=1,0,IF(WEEKDAY(BX$6,1)=7,0,MIN(8,BX33)*BX32))),MAX(0,40*MAX(1,BX32)-(BV34+BW34))))</f>
        <v>8</v>
      </c>
      <c r="BY34" s="63">
        <f>IF(AND(BY32=1,BY33=12),8,MIN(IF(BY32&lt;=0,0,IF(WEEKDAY(BY$6,1)=1,0,IF(WEEKDAY(BY$6,1)=7,0,MIN(8,BY33)*BY32))),MAX(0,40*MAX(1,BY32)-(BV34+BW34+BX34))))</f>
        <v>8</v>
      </c>
      <c r="BZ34" s="63">
        <f>IF(AND(BZ32=1,BZ33=12),8,MIN(IF(BZ32&lt;=0,0,IF(WEEKDAY(BZ$6,1)=1,0,IF(WEEKDAY(BZ$6,1)=7,0,MIN(8,BZ33)*BZ32))),MAX(0,40*MAX(1,BZ32)-(BV34+BW34+BX34+BY34))))</f>
        <v>8</v>
      </c>
      <c r="CA34" s="64">
        <f>IF(AND(CA32=1,CA33=12),0,MIN(IF(CA32&lt;=0,0,IF(WEEKDAY(CA$6,1)=1,0,IF(WEEKDAY(CA$6,1)=7,0,MIN(8,CA33)*CA32))),MAX(0,40*MAX(1,CA32)-(BV34+BW34+BX34+BY34+BZ34))))</f>
        <v>0</v>
      </c>
      <c r="CB34" s="64">
        <f>IF(AND(CB32=1,CB33=12),0,MIN(IF(CB32&lt;=0,0,IF(WEEKDAY(CB$6,1)=1,0,IF(WEEKDAY(CB$6,1)=7,0,MIN(8,CB33)*CB32))),MAX(0,40*MAX(1,CB32)-(BV34+BW34+BX34+BY34+BZ34+CA34))))</f>
        <v>0</v>
      </c>
      <c r="CC34" s="63">
        <f>IF(AND(CC32=1,CC33=12),8,MIN(IF(CC32&lt;=0,0,IF(WEEKDAY(CC$6,1)=1,0,IF(WEEKDAY(CC$6,1)=7,0,MIN(8,CC33)*CC32))),MAX(0,40*MAX(1,CC32)-(0))))</f>
        <v>8</v>
      </c>
      <c r="CD34" s="63">
        <f>IF(AND(CD32=1,CD33=12),8,MIN(IF(CD32&lt;=0,0,IF(WEEKDAY(CD$6,1)=1,0,IF(WEEKDAY(CD$6,1)=7,0,MIN(8,CD33)*CD32))),MAX(0,40*MAX(1,CD32)-(CC34))))</f>
        <v>8</v>
      </c>
      <c r="CE34" s="63">
        <f>IF(AND(CE32=1,CE33=12),8,MIN(IF(CE32&lt;=0,0,IF(WEEKDAY(CE$6,1)=1,0,IF(WEEKDAY(CE$6,1)=7,0,MIN(8,CE33)*CE32))),MAX(0,40*MAX(1,CE32)-(CC34+CD34))))</f>
        <v>8</v>
      </c>
      <c r="CF34" s="63">
        <f>IF(AND(CF32=1,CF33=12),8,MIN(IF(CF32&lt;=0,0,IF(WEEKDAY(CF$6,1)=1,0,IF(WEEKDAY(CF$6,1)=7,0,MIN(8,CF33)*CF32))),MAX(0,40*MAX(1,CF32)-(CC34+CD34+CE34))))</f>
        <v>8</v>
      </c>
      <c r="CG34" s="63">
        <f>IF(AND(CG32=1,CG33=12),8,MIN(IF(CG32&lt;=0,0,IF(WEEKDAY(CG$6,1)=1,0,IF(WEEKDAY(CG$6,1)=7,0,MIN(8,CG33)*CG32))),MAX(0,40*MAX(1,CG32)-(CC34+CD34+CE34+CF34))))</f>
        <v>8</v>
      </c>
      <c r="CH34" s="64">
        <f>IF(AND(CH32=1,CH33=12),0,MIN(IF(CH32&lt;=0,0,IF(WEEKDAY(CH$6,1)=1,0,IF(WEEKDAY(CH$6,1)=7,0,MIN(8,CH33)*CH32))),MAX(0,40*MAX(1,CH32)-(CC34+CD34+CE34+CF34+CG34))))</f>
        <v>0</v>
      </c>
      <c r="CI34" s="64">
        <f>IF(AND(CI32=1,CI33=12),0,MIN(IF(CI32&lt;=0,0,IF(WEEKDAY(CI$6,1)=1,0,IF(WEEKDAY(CI$6,1)=7,0,MIN(8,CI33)*CI32))),MAX(0,40*MAX(1,CI32)-(CC34+CD34+CE34+CF34+CG34+CH34))))</f>
        <v>0</v>
      </c>
      <c r="CJ34" s="63">
        <f>IF(AND(CJ32=1,CJ33=12),8,MIN(IF(CJ32&lt;=0,0,IF(WEEKDAY(CJ$6,1)=1,0,IF(WEEKDAY(CJ$6,1)=7,0,MIN(8,CJ33)*CJ32))),MAX(0,40*MAX(1,CJ32)-(0))))</f>
        <v>8</v>
      </c>
      <c r="CK34" s="63">
        <f>IF(AND(CK32=1,CK33=12),8,MIN(IF(CK32&lt;=0,0,IF(WEEKDAY(CK$6,1)=1,0,IF(WEEKDAY(CK$6,1)=7,0,MIN(8,CK33)*CK32))),MAX(0,40*MAX(1,CK32)-(CJ34))))</f>
        <v>8</v>
      </c>
      <c r="CL34" s="63">
        <f>IF(AND(CL32=1,CL33=12),8,MIN(IF(CL32&lt;=0,0,IF(WEEKDAY(CL$6,1)=1,0,IF(WEEKDAY(CL$6,1)=7,0,MIN(8,CL33)*CL32))),MAX(0,40*MAX(1,CL32)-(CJ34+CK34))))</f>
        <v>8</v>
      </c>
      <c r="CM34" s="63">
        <f>IF(AND(CM32=1,CM33=12),8,MIN(IF(CM32&lt;=0,0,IF(WEEKDAY(CM$6,1)=1,0,IF(WEEKDAY(CM$6,1)=7,0,MIN(8,CM33)*CM32))),MAX(0,40*MAX(1,CM32)-(CJ34+CK34+CL34))))</f>
        <v>8</v>
      </c>
      <c r="CN34" s="63">
        <f>IF(AND(CN32=1,CN33=12),8,MIN(IF(CN32&lt;=0,0,IF(WEEKDAY(CN$6,1)=1,0,IF(WEEKDAY(CN$6,1)=7,0,MIN(8,CN33)*CN32))),MAX(0,40*MAX(1,CN32)-(CJ34+CK34+CL34+CM34))))</f>
        <v>8</v>
      </c>
      <c r="CO34" s="64">
        <f>IF(AND(CO32=1,CO33=12),0,MIN(IF(CO32&lt;=0,0,IF(WEEKDAY(CO$6,1)=1,0,IF(WEEKDAY(CO$6,1)=7,0,MIN(8,CO33)*CO32))),MAX(0,40*MAX(1,CO32)-(CJ34+CK34+CL34+CM34+CN34))))</f>
        <v>0</v>
      </c>
      <c r="CP34" s="64">
        <f>IF(AND(CP32=1,CP33=12),0,MIN(IF(CP32&lt;=0,0,IF(WEEKDAY(CP$6,1)=1,0,IF(WEEKDAY(CP$6,1)=7,0,MIN(8,CP33)*CP32))),MAX(0,40*MAX(1,CP32)-(CJ34+CK34+CL34+CM34+CN34+CO34))))</f>
        <v>0</v>
      </c>
      <c r="CQ34" s="63">
        <f>IF(AND(CQ32=1,CQ33=12),8,MIN(IF(CQ32&lt;=0,0,IF(WEEKDAY(CQ$6,1)=1,0,IF(WEEKDAY(CQ$6,1)=7,0,MIN(8,CQ33)*CQ32))),MAX(0,40*MAX(1,CQ32)-(0))))</f>
        <v>8</v>
      </c>
      <c r="CR34" s="63">
        <f>IF(AND(CR32=1,CR33=12),8,MIN(IF(CR32&lt;=0,0,IF(WEEKDAY(CR$6,1)=1,0,IF(WEEKDAY(CR$6,1)=7,0,MIN(8,CR33)*CR32))),MAX(0,40*MAX(1,CR32)-(CQ34))))</f>
        <v>8</v>
      </c>
      <c r="CS34" s="63">
        <f>IF(AND(CS32=1,CS33=12),8,MIN(IF(CS32&lt;=0,0,IF(WEEKDAY(CS$6,1)=1,0,IF(WEEKDAY(CS$6,1)=7,0,MIN(8,CS33)*CS32))),MAX(0,40*MAX(1,CS32)-(CQ34+CR34))))</f>
        <v>8</v>
      </c>
      <c r="CT34" s="63">
        <f>IF(AND(CT32=1,CT33=12),8,MIN(IF(CT32&lt;=0,0,IF(WEEKDAY(CT$6,1)=1,0,IF(WEEKDAY(CT$6,1)=7,0,MIN(8,CT33)*CT32))),MAX(0,40*MAX(1,CT32)-(CQ34+CR34+CS34))))</f>
        <v>8</v>
      </c>
      <c r="CU34" s="63">
        <f>IF(AND(CU32=1,CU33=12),8,MIN(IF(CU32&lt;=0,0,IF(WEEKDAY(CU$6,1)=1,0,IF(WEEKDAY(CU$6,1)=7,0,MIN(8,CU33)*CU32))),MAX(0,40*MAX(1,CU32)-(CQ34+CR34+CS34+CT34))))</f>
        <v>8</v>
      </c>
      <c r="CV34" s="64">
        <f>IF(AND(CV32=1,CV33=12),0,MIN(IF(CV32&lt;=0,0,IF(WEEKDAY(CV$6,1)=1,0,IF(WEEKDAY(CV$6,1)=7,0,MIN(8,CV33)*CV32))),MAX(0,40*MAX(1,CV32)-(CQ34+CR34+CS34+CT34+CU34))))</f>
        <v>0</v>
      </c>
      <c r="CW34" s="64">
        <f>IF(AND(CW32=1,CW33=12),0,MIN(IF(CW32&lt;=0,0,IF(WEEKDAY(CW$6,1)=1,0,IF(WEEKDAY(CW$6,1)=7,0,MIN(8,CW33)*CW32))),MAX(0,40*MAX(1,CW32)-(CQ34+CR34+CS34+CT34+CU34+CV34))))</f>
        <v>0</v>
      </c>
      <c r="CX34" s="63">
        <f>IF(AND(CX32=1,CX33=12),8,MIN(IF(CX32&lt;=0,0,IF(WEEKDAY(CX$6,1)=1,0,IF(WEEKDAY(CX$6,1)=7,0,MIN(8,CX33)*CX32))),MAX(0,40*MAX(1,CX32)-(0))))</f>
        <v>8</v>
      </c>
      <c r="CY34" s="63">
        <f>IF(AND(CY32=1,CY33=12),8,MIN(IF(CY32&lt;=0,0,IF(WEEKDAY(CY$6,1)=1,0,IF(WEEKDAY(CY$6,1)=7,0,MIN(8,CY33)*CY32))),MAX(0,40*MAX(1,CY32)-(CX34))))</f>
        <v>8</v>
      </c>
      <c r="CZ34" s="63">
        <f>IF(AND(CZ32=1,CZ33=12),8,MIN(IF(CZ32&lt;=0,0,IF(WEEKDAY(CZ$6,1)=1,0,IF(WEEKDAY(CZ$6,1)=7,0,MIN(8,CZ33)*CZ32))),MAX(0,40*MAX(1,CZ32)-(CX34+CY34))))</f>
        <v>8</v>
      </c>
      <c r="DA34" s="63">
        <f>IF(AND(DA32=1,DA33=12),8,MIN(IF(DA32&lt;=0,0,IF(WEEKDAY(DA$6,1)=1,0,IF(WEEKDAY(DA$6,1)=7,0,MIN(8,DA33)*DA32))),MAX(0,40*MAX(1,DA32)-(CX34+CY34+CZ34))))</f>
        <v>8</v>
      </c>
      <c r="DB34" s="63">
        <f>IF(AND(DB32=1,DB33=12),8,MIN(IF(DB32&lt;=0,0,IF(WEEKDAY(DB$6,1)=1,0,IF(WEEKDAY(DB$6,1)=7,0,MIN(8,DB33)*DB32))),MAX(0,40*MAX(1,DB32)-(CX34+CY34+CZ34+DA34))))</f>
        <v>8</v>
      </c>
      <c r="DC34" s="64">
        <f>IF(AND(DC32=1,DC33=12),0,MIN(IF(DC32&lt;=0,0,IF(WEEKDAY(DC$6,1)=1,0,IF(WEEKDAY(DC$6,1)=7,0,MIN(8,DC33)*DC32))),MAX(0,40*MAX(1,DC32)-(CX34+CY34+CZ34+DA34+DB34))))</f>
        <v>0</v>
      </c>
      <c r="DD34" s="64">
        <f>IF(AND(DD32=1,DD33=12),0,MIN(IF(DD32&lt;=0,0,IF(WEEKDAY(DD$6,1)=1,0,IF(WEEKDAY(DD$6,1)=7,0,MIN(8,DD33)*DD32))),MAX(0,40*MAX(1,DD32)-(0))))</f>
        <v>0</v>
      </c>
      <c r="DE34" s="63">
        <f>IF(AND(DE32=1,DE33=12),8,MIN(IF(DE32&lt;=0,0,IF(WEEKDAY(DE$6,1)=1,0,IF(WEEKDAY(DE$6,1)=7,0,MIN(8,DE33)*DE32))),MAX(0,40*MAX(1,DE32)-(0))))</f>
        <v>8</v>
      </c>
      <c r="DF34" s="63">
        <f>IF(AND(DF32=1,DF33=12),8,MIN(IF(DF32&lt;=0,0,IF(WEEKDAY(DF$6,1)=1,0,IF(WEEKDAY(DF$6,1)=7,0,MIN(8,DF33)*DF32))),MAX(0,40*MAX(1,DF32)-(DE34))))</f>
        <v>8</v>
      </c>
      <c r="DG34" s="63">
        <f>IF(AND(DG32=1,DG33=12),8,MIN(IF(DG32&lt;=0,0,IF(WEEKDAY(DG$6,1)=1,0,IF(WEEKDAY(DG$6,1)=7,0,MIN(8,DG33)*DG32))),MAX(0,40*MAX(1,DG32)-(DE34+DF34))))</f>
        <v>8</v>
      </c>
      <c r="DH34" s="63">
        <f>IF(AND(DH32=1,DH33=12),8,MIN(IF(DH32&lt;=0,0,IF(WEEKDAY(DH$6,1)=1,0,IF(WEEKDAY(DH$6,1)=7,0,MIN(8,DH33)*DH32))),MAX(0,40*MAX(1,DH32)-(DE34+DF34+DG34))))</f>
        <v>8</v>
      </c>
      <c r="DI34" s="63">
        <f>IF(AND(DI32=1,DI33=12),8,MIN(IF(DI32&lt;=0,0,IF(WEEKDAY(DI$6,1)=1,0,IF(WEEKDAY(DI$6,1)=7,0,MIN(8,DI33)*DI32))),MAX(0,40*MAX(1,DI32)-(DE34+DF34+DG34+DH34))))</f>
        <v>8</v>
      </c>
      <c r="DJ34" s="64">
        <f>IF(AND(DJ32=1,DJ33=12),0,MIN(IF(DJ32&lt;=0,0,IF(WEEKDAY(DJ$6,1)=1,0,IF(WEEKDAY(DJ$6,1)=7,0,MIN(8,DJ33)*DJ32))),MAX(0,40*MAX(1,DJ32)-(DE34+DF34+DG34+DH34+DI34))))</f>
        <v>0</v>
      </c>
      <c r="DK34" s="64">
        <f>IF(AND(DK32=1,DK33=12),0,MIN(IF(DK32&lt;=0,0,IF(WEEKDAY(DK$6,1)=1,0,IF(WEEKDAY(DK$6,1)=7,0,MIN(8,DK33)*DK32))),MAX(0,40*MAX(1,DK32)-(DE34+DF34+DG34+DH34+DI34+DJ34))))</f>
        <v>0</v>
      </c>
      <c r="DL34" s="63">
        <f>IF(AND(DL32=1,DL33=12),8,MIN(IF(DL32&lt;=0,0,IF(WEEKDAY(DL$6,1)=1,0,IF(WEEKDAY(DL$6,1)=7,0,MIN(8,DL33)*DL32))),MAX(0,40*MAX(1,DL32)-(0))))</f>
        <v>8</v>
      </c>
      <c r="DM34" s="63">
        <f>IF(AND(DM32=1,DM33=12),8,MIN(IF(DM32&lt;=0,0,IF(WEEKDAY(DM$6,1)=1,0,IF(WEEKDAY(DM$6,1)=7,0,MIN(8,DM33)*DM32))),MAX(0,40*MAX(1,DM32)-(DL34))))</f>
        <v>8</v>
      </c>
      <c r="DN34" s="63">
        <f>IF(AND(DN32=1,DN33=12),8,MIN(IF(DN32&lt;=0,0,IF(WEEKDAY(DN$6,1)=1,0,IF(WEEKDAY(DN$6,1)=7,0,MIN(8,DN33)*DN32))),MAX(0,40*MAX(1,DN32)-(DL34+DM34))))</f>
        <v>8</v>
      </c>
      <c r="DO34" s="63">
        <f>IF(AND(DO32=1,DO33=12),8,MIN(IF(DO32&lt;=0,0,IF(WEEKDAY(DO$6,1)=1,0,IF(WEEKDAY(DO$6,1)=7,0,MIN(8,DO33)*DO32))),MAX(0,40*MAX(1,DO32)-(DL34+DM34+DN34))))</f>
        <v>8</v>
      </c>
      <c r="DP34" s="63">
        <f>IF(AND(DP32=1,DP33=12),8,MIN(IF(DP32&lt;=0,0,IF(WEEKDAY(DP$6,1)=1,0,IF(WEEKDAY(DP$6,1)=7,0,MIN(8,DP33)*DP32))),MAX(0,40*MAX(1,DP32)-(DL34+DM34+DN34+DO34))))</f>
        <v>8</v>
      </c>
      <c r="DQ34" s="64">
        <f>IF(AND(DQ32=1,DQ33=12),0,MIN(IF(DQ32&lt;=0,0,IF(WEEKDAY(DQ$6,1)=1,0,IF(WEEKDAY(DQ$6,1)=7,0,MIN(8,DQ33)*DQ32))),MAX(0,40*MAX(1,DQ32)-(DL34+DM34+DN34+DO34+DP34))))</f>
        <v>0</v>
      </c>
      <c r="DR34" s="64">
        <f>IF(AND(DR32=1,DR33=12),0,MIN(IF(DR32&lt;=0,0,IF(WEEKDAY(DR$6,1)=1,0,IF(WEEKDAY(DR$6,1)=7,0,MIN(8,DR33)*DR32))),MAX(0,40*MAX(1,DR32)-(DL34+DM34+DN34+DO34+DP34+DQ34))))</f>
        <v>0</v>
      </c>
      <c r="DS34" s="63">
        <f>IF(AND(DS32=1,DS33=12),8,MIN(IF(DS32&lt;=0,0,IF(WEEKDAY(DS$6,1)=1,0,IF(WEEKDAY(DS$6,1)=7,0,MIN(8,DS33)*DS32))),MAX(0,40*MAX(1,DS32)-(0))))</f>
        <v>8</v>
      </c>
      <c r="DT34" s="63">
        <f>IF(AND(DT32=0,DT33=0),0,MIN(IF(DT32&lt;=0,0,IF(WEEKDAY(DT$6,1)=1,0,IF(WEEKDAY(DT$6,1)=7,0,MIN(8,DT33)*DT32))),MAX(0,40*MAX(1,DT32)-(0))))</f>
        <v>0</v>
      </c>
      <c r="DU34" s="63">
        <f>IF(AND(DU32=0,DU33=0),0,MIN(IF(DU32&lt;=0,0,IF(WEEKDAY(DU$6,1)=1,0,IF(WEEKDAY(DU$6,1)=7,0,MIN(8,DU33)*DU32))),MAX(0,40*MAX(1,DU32)-(DT34))))</f>
        <v>0</v>
      </c>
      <c r="DV34" s="63">
        <f>IF(AND(DV32=0,DV33=0),0,MIN(IF(DV32&lt;=0,0,IF(WEEKDAY(DV$6,1)=1,0,IF(WEEKDAY(DV$6,1)=7,0,MIN(8,DV33)*DV32))),MAX(0,40*MAX(1,DV32)-(DT34+DU34))))</f>
        <v>0</v>
      </c>
      <c r="DW34" s="63">
        <f>IF(AND(DW32=0,DW33=0),0,MIN(IF(DW32&lt;=0,0,IF(WEEKDAY(DW$6,1)=1,0,IF(WEEKDAY(DW$6,1)=7,0,MIN(8,DW33)*DW32))),MAX(0,40*MAX(1,DW32)-(DT34+DU34+DV34))))</f>
        <v>0</v>
      </c>
      <c r="DX34" s="64">
        <f>IF(AND(DX32=0,DX33=0),0,MIN(IF(DX32&lt;=0,0,IF(WEEKDAY(DX$6,1)=1,0,IF(WEEKDAY(DX$6,1)=7,0,MIN(8,DX33)*DX32))),MAX(0,40*MAX(1,DX32)-(DT34+DU34+DV34+DW34))))</f>
        <v>0</v>
      </c>
      <c r="DY34" s="64">
        <f>IF(AND(DY32=0,DY33=0),0,MIN(IF(DY32&lt;=0,0,IF(WEEKDAY(DY$6,1)=1,0,IF(WEEKDAY(DY$6,1)=7,0,MIN(8,DY33)*DY32))),MAX(0,40*MAX(1,DY32)-(DT34+DU34+DV34+DW34+DX34))))</f>
        <v>0</v>
      </c>
      <c r="DZ34" s="63">
        <f>IF(AND(DZ32=0,DZ33=0),0,MIN(IF(DZ32&lt;=0,0,IF(WEEKDAY(DZ$6,1)=1,0,IF(WEEKDAY(DZ$6,1)=7,0,MIN(8,DZ33)*DZ32))),MAX(0,40*MAX(1,DZ32)-(0))))</f>
        <v>0</v>
      </c>
      <c r="EA34" s="63">
        <f>IF(AND(EA32=0,EA33=0),0,MIN(IF(EA32&lt;=0,0,IF(WEEKDAY(EA$6,1)=1,0,IF(WEEKDAY(EA$6,1)=7,0,MIN(8,EA33)*EA32))),MAX(0,40*MAX(1,EA32)-(DZ34))))</f>
        <v>0</v>
      </c>
      <c r="EB34" s="63">
        <f>IF(AND(EB32=0,EB33=0),0,MIN(IF(EB32&lt;=0,0,IF(WEEKDAY(EB$6,1)=1,0,IF(WEEKDAY(EB$6,1)=7,0,MIN(8,EB33)*EB32))),MAX(0,40*MAX(1,EB32)-(DZ34+EA34))))</f>
        <v>0</v>
      </c>
      <c r="EC34" s="63">
        <f>IF(AND(EC32=0,EC33=0),0,MIN(IF(EC32&lt;=0,0,IF(WEEKDAY(EC$6,1)=1,0,IF(WEEKDAY(EC$6,1)=7,0,MIN(8,EC33)*EC32))),MAX(0,40*MAX(1,EC32)-(DZ34+EA34+EB34))))</f>
        <v>0</v>
      </c>
      <c r="ED34" s="63">
        <f>IF(AND(ED32=0,ED33=0),0,MIN(IF(ED32&lt;=0,0,IF(WEEKDAY(ED$6,1)=1,0,IF(WEEKDAY(ED$6,1)=7,0,MIN(8,ED33)*ED32))),MAX(0,40*MAX(1,ED32)-(DZ34+EA34+EB34+EC34))))</f>
        <v>0</v>
      </c>
      <c r="EE34" s="64">
        <f>IF(AND(EE32=0,EE33=0),0,MIN(IF(EE32&lt;=0,0,IF(WEEKDAY(EE$6,1)=1,0,IF(WEEKDAY(EE$6,1)=7,0,MIN(8,EE33)*EE32))),MAX(0,40*MAX(1,EE32)-(DZ34+EA34+EB34+EC34+ED34))))</f>
        <v>0</v>
      </c>
      <c r="EF34" s="64">
        <f>IF(AND(EF32=0,EF33=0),0,MIN(IF(EF32&lt;=0,0,IF(WEEKDAY(EF$6,1)=1,0,IF(WEEKDAY(EF$6,1)=7,0,MIN(8,EF33)*EF32))),MAX(0,40*MAX(1,EF32)-(DZ34+EA34+EB34+EC34+ED34+EE34))))</f>
        <v>0</v>
      </c>
      <c r="EG34" s="63">
        <f>IF(AND(EG32=0,EG33=0),0,MIN(IF(EG32&lt;=0,0,IF(WEEKDAY(EG$6,1)=1,0,IF(WEEKDAY(EG$6,1)=7,0,MIN(8,EG33)*EG32))),MAX(0,40*MAX(1,EG32)-(0))))</f>
        <v>0</v>
      </c>
      <c r="EH34" s="63">
        <f>IF(AND(EH32=0,EH33=0),0,MIN(IF(EH32&lt;=0,0,IF(WEEKDAY(EH$6,1)=1,0,IF(WEEKDAY(EH$6,1)=7,0,MIN(8,EH33)*EH32))),MAX(0,40*MAX(1,EH32)-(EG34))))</f>
        <v>0</v>
      </c>
      <c r="EI34" s="63">
        <f>IF(AND(EI32=0,EI33=0),0,MIN(IF(EI32&lt;=0,0,IF(WEEKDAY(EI$6,1)=1,0,IF(WEEKDAY(EI$6,1)=7,0,MIN(8,EI33)*EI32))),MAX(0,40*MAX(1,EI32)-(EG34+EH34))))</f>
        <v>0</v>
      </c>
      <c r="EJ34" s="63">
        <f>IF(AND(EJ32=0,EJ33=0),0,MIN(IF(EJ32&lt;=0,0,IF(WEEKDAY(EJ$6,1)=1,0,IF(WEEKDAY(EJ$6,1)=7,0,MIN(8,EJ33)*EJ32))),MAX(0,40*MAX(1,EJ32)-(EG34+EH34+EI34))))</f>
        <v>0</v>
      </c>
      <c r="EK34" s="65">
        <f>IF(AND(EK32=0,EK33=0),0,MIN(IF(EK32&lt;=0,0,IF(WEEKDAY(EK$6,1)=1,0,IF(WEEKDAY(EK$6,1)=7,0,MIN(8,EK33)*EK32))),MAX(0,40*MAX(1,EK32)-(EG34+EH34+EI34+EJ34))))</f>
        <v>0</v>
      </c>
      <c r="OU34" s="28" t="s">
        <v>124</v>
      </c>
    </row>
    <row r="35" ht="16" customHeight="1" spans="1:411" x14ac:dyDescent="0.25">
      <c r="A35" s="74"/>
      <c r="B35" s="79" t="s">
        <v>123</v>
      </c>
      <c r="C35" s="66">
        <f>G31*N(D35)</f>
        <v>33769.8</v>
      </c>
      <c r="D35" s="66">
        <f>IF(TRIM(IF(TRIM(B35)&lt;&gt;"",B35,B31))="","No rate",IFERROR(INDEX('Rate Tables'!D$7:D$158,MATCH(IF(TRIM(B35)&lt;&gt;"",B35,B31),'Rate Tables'!A$7:A$158,0)),"No rate"))</f>
        <v>115.65</v>
      </c>
      <c r="E35" s="55" t="s">
        <v>63</v>
      </c>
      <c r="F35" s="49"/>
      <c r="G35" s="49"/>
      <c r="H35" s="49"/>
      <c r="I35" s="49"/>
      <c r="J35" s="50"/>
      <c r="K35" s="62">
        <f>IF(AND(K32=0,K33=0),0,IF(K32&lt;=0,0,IF(WEEKDAY(K$6,1)=1,0,IF(WEEKDAY(K$6,1)=7,K32*K33,MAX(0,K33-8)*K32)))+((IF(K32&lt;=0,0,IF(WEEKDAY(K$6,1)=1,0,IF(WEEKDAY(K$6,1)=7,0,MIN(8,K33)*K32))))-MIN(IF(K32&lt;=0,0,IF(WEEKDAY(K$6,1)=1,0,IF(WEEKDAY(K$6,1)=7,0,MIN(8,K33)*K32))),MAX(0,40*MAX(1,K32)-(0)))))</f>
        <v>0</v>
      </c>
      <c r="L35" s="63">
        <f>IF(AND(L32=0,L33=0),0,IF(L32&lt;=0,0,IF(WEEKDAY(L$6,1)=1,0,IF(WEEKDAY(L$6,1)=7,L32*L33,MAX(0,L33-8)*L32)))+((IF(L32&lt;=0,0,IF(WEEKDAY(L$6,1)=1,0,IF(WEEKDAY(L$6,1)=7,0,MIN(8,L33)*L32))))-MIN(IF(L32&lt;=0,0,IF(WEEKDAY(L$6,1)=1,0,IF(WEEKDAY(L$6,1)=7,0,MIN(8,L33)*L32))),MAX(0,40*MAX(1,L32)-(K34)))))</f>
        <v>0</v>
      </c>
      <c r="M35" s="63">
        <f>IF(AND(M32=0,M33=0),0,IF(M32&lt;=0,0,IF(WEEKDAY(M$6,1)=1,0,IF(WEEKDAY(M$6,1)=7,M32*M33,MAX(0,M33-8)*M32)))+((IF(M32&lt;=0,0,IF(WEEKDAY(M$6,1)=1,0,IF(WEEKDAY(M$6,1)=7,0,MIN(8,M33)*M32))))-MIN(IF(M32&lt;=0,0,IF(WEEKDAY(M$6,1)=1,0,IF(WEEKDAY(M$6,1)=7,0,MIN(8,M33)*M32))),MAX(0,40*MAX(1,M32)-(K34+L34)))))</f>
        <v>0</v>
      </c>
      <c r="N35" s="63">
        <f>IF(AND(N32=0,N33=0),0,IF(N32&lt;=0,0,IF(WEEKDAY(N$6,1)=1,0,IF(WEEKDAY(N$6,1)=7,N32*N33,MAX(0,N33-8)*N32)))+((IF(N32&lt;=0,0,IF(WEEKDAY(N$6,1)=1,0,IF(WEEKDAY(N$6,1)=7,0,MIN(8,N33)*N32))))-MIN(IF(N32&lt;=0,0,IF(WEEKDAY(N$6,1)=1,0,IF(WEEKDAY(N$6,1)=7,0,MIN(8,N33)*N32))),MAX(0,40*MAX(1,N32)-(K34+L34+M34)))))</f>
        <v>0</v>
      </c>
      <c r="O35" s="63">
        <f>IF(AND(O32=0,O33=0),0,IF(O32&lt;=0,0,IF(WEEKDAY(O$6,1)=1,0,IF(WEEKDAY(O$6,1)=7,O32*O33,MAX(0,O33-8)*O32)))+((IF(O32&lt;=0,0,IF(WEEKDAY(O$6,1)=1,0,IF(WEEKDAY(O$6,1)=7,0,MIN(8,O33)*O32))))-MIN(IF(O32&lt;=0,0,IF(WEEKDAY(O$6,1)=1,0,IF(WEEKDAY(O$6,1)=7,0,MIN(8,O33)*O32))),MAX(0,40*MAX(1,O32)-(K34+L34+M34+N34)))))</f>
        <v>0</v>
      </c>
      <c r="P35" s="64">
        <f>IF(AND(P32=0,P33=0),0,IF(P32&lt;=0,0,IF(WEEKDAY(P$6,1)=1,0,IF(WEEKDAY(P$6,1)=7,P32*P33,MAX(0,P33-8)*P32)))+((IF(P32&lt;=0,0,IF(WEEKDAY(P$6,1)=1,0,IF(WEEKDAY(P$6,1)=7,0,MIN(8,P33)*P32))))-MIN(IF(P32&lt;=0,0,IF(WEEKDAY(P$6,1)=1,0,IF(WEEKDAY(P$6,1)=7,0,MIN(8,P33)*P32))),MAX(0,40*MAX(1,P32)-(K34+L34+M34+N34+O34)))))</f>
        <v>0</v>
      </c>
      <c r="Q35" s="64">
        <f>IF(AND(Q32=0,Q33=0),0,IF(Q32&lt;=0,0,IF(WEEKDAY(Q$6,1)=1,0,IF(WEEKDAY(Q$6,1)=7,Q32*Q33,MAX(0,Q33-8)*Q32)))+((IF(Q32&lt;=0,0,IF(WEEKDAY(Q$6,1)=1,0,IF(WEEKDAY(Q$6,1)=7,0,MIN(8,Q33)*Q32))))-MIN(IF(Q32&lt;=0,0,IF(WEEKDAY(Q$6,1)=1,0,IF(WEEKDAY(Q$6,1)=7,0,MIN(8,Q33)*Q32))),MAX(0,40*MAX(1,Q32)-(K34+L34+M34+N34+O34+P34)))))</f>
        <v>0</v>
      </c>
      <c r="R35" s="63">
        <f>IF(AND(R32=0,R33=0),0,IF(R32&lt;=0,0,IF(WEEKDAY(R$6,1)=1,0,IF(WEEKDAY(R$6,1)=7,R32*R33,MAX(0,R33-8)*R32)))+((IF(R32&lt;=0,0,IF(WEEKDAY(R$6,1)=1,0,IF(WEEKDAY(R$6,1)=7,0,MIN(8,R33)*R32))))-MIN(IF(R32&lt;=0,0,IF(WEEKDAY(R$6,1)=1,0,IF(WEEKDAY(R$6,1)=7,0,MIN(8,R33)*R32))),MAX(0,40*MAX(1,R32)-(0)))))</f>
        <v>0</v>
      </c>
      <c r="S35" s="63">
        <f>IF(AND(S32=0,S33=0),0,IF(S32&lt;=0,0,IF(WEEKDAY(S$6,1)=1,0,IF(WEEKDAY(S$6,1)=7,S32*S33,MAX(0,S33-8)*S32)))+((IF(S32&lt;=0,0,IF(WEEKDAY(S$6,1)=1,0,IF(WEEKDAY(S$6,1)=7,0,MIN(8,S33)*S32))))-MIN(IF(S32&lt;=0,0,IF(WEEKDAY(S$6,1)=1,0,IF(WEEKDAY(S$6,1)=7,0,MIN(8,S33)*S32))),MAX(0,40*MAX(1,S32)-(R34)))))</f>
        <v>0</v>
      </c>
      <c r="T35" s="63">
        <f>IF(AND(T32=0,T33=0),0,IF(T32&lt;=0,0,IF(WEEKDAY(T$6,1)=1,0,IF(WEEKDAY(T$6,1)=7,T32*T33,MAX(0,T33-8)*T32)))+((IF(T32&lt;=0,0,IF(WEEKDAY(T$6,1)=1,0,IF(WEEKDAY(T$6,1)=7,0,MIN(8,T33)*T32))))-MIN(IF(T32&lt;=0,0,IF(WEEKDAY(T$6,1)=1,0,IF(WEEKDAY(T$6,1)=7,0,MIN(8,T33)*T32))),MAX(0,40*MAX(1,T32)-(R34+S34)))))</f>
        <v>0</v>
      </c>
      <c r="U35" s="63">
        <f>IF(AND(U32=0,U33=0),0,IF(U32&lt;=0,0,IF(WEEKDAY(U$6,1)=1,0,IF(WEEKDAY(U$6,1)=7,U32*U33,MAX(0,U33-8)*U32)))+((IF(U32&lt;=0,0,IF(WEEKDAY(U$6,1)=1,0,IF(WEEKDAY(U$6,1)=7,0,MIN(8,U33)*U32))))-MIN(IF(U32&lt;=0,0,IF(WEEKDAY(U$6,1)=1,0,IF(WEEKDAY(U$6,1)=7,0,MIN(8,U33)*U32))),MAX(0,40*MAX(1,U32)-(R34+S34+T34)))))</f>
        <v>0</v>
      </c>
      <c r="V35" s="63">
        <f>IF(AND(V32=0,V33=0),0,IF(V32&lt;=0,0,IF(WEEKDAY(V$6,1)=1,0,IF(WEEKDAY(V$6,1)=7,V32*V33,MAX(0,V33-8)*V32)))+((IF(V32&lt;=0,0,IF(WEEKDAY(V$6,1)=1,0,IF(WEEKDAY(V$6,1)=7,0,MIN(8,V33)*V32))))-MIN(IF(V32&lt;=0,0,IF(WEEKDAY(V$6,1)=1,0,IF(WEEKDAY(V$6,1)=7,0,MIN(8,V33)*V32))),MAX(0,40*MAX(1,V32)-(R34+S34+T34+U34)))))</f>
        <v>0</v>
      </c>
      <c r="W35" s="64">
        <f>IF(AND(W32=0,W33=0),0,IF(W32&lt;=0,0,IF(WEEKDAY(W$6,1)=1,0,IF(WEEKDAY(W$6,1)=7,W32*W33,MAX(0,W33-8)*W32)))+((IF(W32&lt;=0,0,IF(WEEKDAY(W$6,1)=1,0,IF(WEEKDAY(W$6,1)=7,0,MIN(8,W33)*W32))))-MIN(IF(W32&lt;=0,0,IF(WEEKDAY(W$6,1)=1,0,IF(WEEKDAY(W$6,1)=7,0,MIN(8,W33)*W32))),MAX(0,40*MAX(1,W32)-(R34+S34+T34+U34+V34)))))</f>
        <v>0</v>
      </c>
      <c r="X35" s="64">
        <f>IF(AND(X32=0,X33=0),0,IF(X32&lt;=0,0,IF(WEEKDAY(X$6,1)=1,0,IF(WEEKDAY(X$6,1)=7,X32*X33,MAX(0,X33-8)*X32)))+((IF(X32&lt;=0,0,IF(WEEKDAY(X$6,1)=1,0,IF(WEEKDAY(X$6,1)=7,0,MIN(8,X33)*X32))))-MIN(IF(X32&lt;=0,0,IF(WEEKDAY(X$6,1)=1,0,IF(WEEKDAY(X$6,1)=7,0,MIN(8,X33)*X32))),MAX(0,40*MAX(1,X32)-(R34+S34+T34+U34+V34+W34)))))</f>
        <v>0</v>
      </c>
      <c r="Y35" s="63">
        <f>IF(AND(Y32=0,Y33=0),0,IF(Y32&lt;=0,0,IF(WEEKDAY(Y$6,1)=1,0,IF(WEEKDAY(Y$6,1)=7,Y32*Y33,MAX(0,Y33-8)*Y32)))+((IF(Y32&lt;=0,0,IF(WEEKDAY(Y$6,1)=1,0,IF(WEEKDAY(Y$6,1)=7,0,MIN(8,Y33)*Y32))))-MIN(IF(Y32&lt;=0,0,IF(WEEKDAY(Y$6,1)=1,0,IF(WEEKDAY(Y$6,1)=7,0,MIN(8,Y33)*Y32))),MAX(0,40*MAX(1,Y32)-(0)))))</f>
        <v>0</v>
      </c>
      <c r="Z35" s="63">
        <f>IF(AND(Z32=0,Z33=0),0,IF(Z32&lt;=0,0,IF(WEEKDAY(Z$6,1)=1,0,IF(WEEKDAY(Z$6,1)=7,Z32*Z33,MAX(0,Z33-8)*Z32)))+((IF(Z32&lt;=0,0,IF(WEEKDAY(Z$6,1)=1,0,IF(WEEKDAY(Z$6,1)=7,0,MIN(8,Z33)*Z32))))-MIN(IF(Z32&lt;=0,0,IF(WEEKDAY(Z$6,1)=1,0,IF(WEEKDAY(Z$6,1)=7,0,MIN(8,Z33)*Z32))),MAX(0,40*MAX(1,Z32)-(Y34)))))</f>
        <v>0</v>
      </c>
      <c r="AA35" s="63">
        <f>IF(AND(AA32=0,AA33=0),0,IF(AA32&lt;=0,0,IF(WEEKDAY(AA$6,1)=1,0,IF(WEEKDAY(AA$6,1)=7,AA32*AA33,MAX(0,AA33-8)*AA32)))+((IF(AA32&lt;=0,0,IF(WEEKDAY(AA$6,1)=1,0,IF(WEEKDAY(AA$6,1)=7,0,MIN(8,AA33)*AA32))))-MIN(IF(AA32&lt;=0,0,IF(WEEKDAY(AA$6,1)=1,0,IF(WEEKDAY(AA$6,1)=7,0,MIN(8,AA33)*AA32))),MAX(0,40*MAX(1,AA32)-(Y34+Z34)))))</f>
        <v>0</v>
      </c>
      <c r="AB35" s="63">
        <f>IF(AND(AB32=0,AB33=0),0,IF(AB32&lt;=0,0,IF(WEEKDAY(AB$6,1)=1,0,IF(WEEKDAY(AB$6,1)=7,AB32*AB33,MAX(0,AB33-8)*AB32)))+((IF(AB32&lt;=0,0,IF(WEEKDAY(AB$6,1)=1,0,IF(WEEKDAY(AB$6,1)=7,0,MIN(8,AB33)*AB32))))-MIN(IF(AB32&lt;=0,0,IF(WEEKDAY(AB$6,1)=1,0,IF(WEEKDAY(AB$6,1)=7,0,MIN(8,AB33)*AB32))),MAX(0,40*MAX(1,AB32)-(Y34+Z34+AA34)))))</f>
        <v>0</v>
      </c>
      <c r="AC35" s="63">
        <f>IF(AND(AC32=0,AC33=0),0,IF(AC32&lt;=0,0,IF(WEEKDAY(AC$6,1)=1,0,IF(WEEKDAY(AC$6,1)=7,AC32*AC33,MAX(0,AC33-8)*AC32)))+((IF(AC32&lt;=0,0,IF(WEEKDAY(AC$6,1)=1,0,IF(WEEKDAY(AC$6,1)=7,0,MIN(8,AC33)*AC32))))-MIN(IF(AC32&lt;=0,0,IF(WEEKDAY(AC$6,1)=1,0,IF(WEEKDAY(AC$6,1)=7,0,MIN(8,AC33)*AC32))),MAX(0,40*MAX(1,AC32)-(Y34+Z34+AA34+AB34)))))</f>
        <v>0</v>
      </c>
      <c r="AD35" s="64">
        <f>IF(AND(AD32=0,AD33=0),0,IF(AD32&lt;=0,0,IF(WEEKDAY(AD$6,1)=1,0,IF(WEEKDAY(AD$6,1)=7,AD32*AD33,MAX(0,AD33-8)*AD32)))+((IF(AD32&lt;=0,0,IF(WEEKDAY(AD$6,1)=1,0,IF(WEEKDAY(AD$6,1)=7,0,MIN(8,AD33)*AD32))))-MIN(IF(AD32&lt;=0,0,IF(WEEKDAY(AD$6,1)=1,0,IF(WEEKDAY(AD$6,1)=7,0,MIN(8,AD33)*AD32))),MAX(0,40*MAX(1,AD32)-(Y34+Z34+AA34+AB34+AC34)))))</f>
        <v>0</v>
      </c>
      <c r="AE35" s="64">
        <f>IF(AND(AE32=0,AE33=0),0,IF(AE32&lt;=0,0,IF(WEEKDAY(AE$6,1)=1,0,IF(WEEKDAY(AE$6,1)=7,AE32*AE33,MAX(0,AE33-8)*AE32)))+((IF(AE32&lt;=0,0,IF(WEEKDAY(AE$6,1)=1,0,IF(WEEKDAY(AE$6,1)=7,0,MIN(8,AE33)*AE32))))-MIN(IF(AE32&lt;=0,0,IF(WEEKDAY(AE$6,1)=1,0,IF(WEEKDAY(AE$6,1)=7,0,MIN(8,AE33)*AE32))),MAX(0,40*MAX(1,AE32)-(Y34+Z34+AA34+AB34+AC34+AD34)))))</f>
        <v>0</v>
      </c>
      <c r="AF35" s="63">
        <f>IF(AND(AF32=0,AF33=0),0,IF(AF32&lt;=0,0,IF(WEEKDAY(AF$6,1)=1,0,IF(WEEKDAY(AF$6,1)=7,AF32*AF33,MAX(0,AF33-8)*AF32)))+((IF(AF32&lt;=0,0,IF(WEEKDAY(AF$6,1)=1,0,IF(WEEKDAY(AF$6,1)=7,0,MIN(8,AF33)*AF32))))-MIN(IF(AF32&lt;=0,0,IF(WEEKDAY(AF$6,1)=1,0,IF(WEEKDAY(AF$6,1)=7,0,MIN(8,AF33)*AF32))),MAX(0,40*MAX(1,AF32)-(0)))))</f>
        <v>0</v>
      </c>
      <c r="AG35" s="63">
        <f>IF(AND(AG32=0,AG33=0),0,IF(AG32&lt;=0,0,IF(WEEKDAY(AG$6,1)=1,0,IF(WEEKDAY(AG$6,1)=7,AG32*AG33,MAX(0,AG33-8)*AG32)))+((IF(AG32&lt;=0,0,IF(WEEKDAY(AG$6,1)=1,0,IF(WEEKDAY(AG$6,1)=7,0,MIN(8,AG33)*AG32))))-MIN(IF(AG32&lt;=0,0,IF(WEEKDAY(AG$6,1)=1,0,IF(WEEKDAY(AG$6,1)=7,0,MIN(8,AG33)*AG32))),MAX(0,40*MAX(1,AG32)-(AF34)))))</f>
        <v>0</v>
      </c>
      <c r="AH35" s="63">
        <f>IF(AND(AH32=0,AH33=0),0,IF(AH32&lt;=0,0,IF(WEEKDAY(AH$6,1)=1,0,IF(WEEKDAY(AH$6,1)=7,AH32*AH33,MAX(0,AH33-8)*AH32)))+((IF(AH32&lt;=0,0,IF(WEEKDAY(AH$6,1)=1,0,IF(WEEKDAY(AH$6,1)=7,0,MIN(8,AH33)*AH32))))-MIN(IF(AH32&lt;=0,0,IF(WEEKDAY(AH$6,1)=1,0,IF(WEEKDAY(AH$6,1)=7,0,MIN(8,AH33)*AH32))),MAX(0,40*MAX(1,AH32)-(AF34+AG34)))))</f>
        <v>0</v>
      </c>
      <c r="AI35" s="63">
        <f>IF(AND(AI32=0,AI33=0),0,IF(AI32&lt;=0,0,IF(WEEKDAY(AI$6,1)=1,0,IF(WEEKDAY(AI$6,1)=7,AI32*AI33,MAX(0,AI33-8)*AI32)))+((IF(AI32&lt;=0,0,IF(WEEKDAY(AI$6,1)=1,0,IF(WEEKDAY(AI$6,1)=7,0,MIN(8,AI33)*AI32))))-MIN(IF(AI32&lt;=0,0,IF(WEEKDAY(AI$6,1)=1,0,IF(WEEKDAY(AI$6,1)=7,0,MIN(8,AI33)*AI32))),MAX(0,40*MAX(1,AI32)-(AF34+AG34+AH34)))))</f>
        <v>0</v>
      </c>
      <c r="AJ35" s="63">
        <f>IF(AND(AJ32=0,AJ33=0),0,IF(AJ32&lt;=0,0,IF(WEEKDAY(AJ$6,1)=1,0,IF(WEEKDAY(AJ$6,1)=7,AJ32*AJ33,MAX(0,AJ33-8)*AJ32)))+((IF(AJ32&lt;=0,0,IF(WEEKDAY(AJ$6,1)=1,0,IF(WEEKDAY(AJ$6,1)=7,0,MIN(8,AJ33)*AJ32))))-MIN(IF(AJ32&lt;=0,0,IF(WEEKDAY(AJ$6,1)=1,0,IF(WEEKDAY(AJ$6,1)=7,0,MIN(8,AJ33)*AJ32))),MAX(0,40*MAX(1,AJ32)-(AF34+AG34+AH34+AI34)))))</f>
        <v>0</v>
      </c>
      <c r="AK35" s="64">
        <f>IF(AND(AK32=0,AK33=0),0,IF(AK32&lt;=0,0,IF(WEEKDAY(AK$6,1)=1,0,IF(WEEKDAY(AK$6,1)=7,AK32*AK33,MAX(0,AK33-8)*AK32)))+((IF(AK32&lt;=0,0,IF(WEEKDAY(AK$6,1)=1,0,IF(WEEKDAY(AK$6,1)=7,0,MIN(8,AK33)*AK32))))-MIN(IF(AK32&lt;=0,0,IF(WEEKDAY(AK$6,1)=1,0,IF(WEEKDAY(AK$6,1)=7,0,MIN(8,AK33)*AK32))),MAX(0,40*MAX(1,AK32)-(AF34+AG34+AH34+AI34+AJ34)))))</f>
        <v>0</v>
      </c>
      <c r="AL35" s="64">
        <f>IF(AND(AL32=0,AL33=0),0,IF(AL32&lt;=0,0,IF(WEEKDAY(AL$6,1)=1,0,IF(WEEKDAY(AL$6,1)=7,AL32*AL33,MAX(0,AL33-8)*AL32)))+((IF(AL32&lt;=0,0,IF(WEEKDAY(AL$6,1)=1,0,IF(WEEKDAY(AL$6,1)=7,0,MIN(8,AL33)*AL32))))-MIN(IF(AL32&lt;=0,0,IF(WEEKDAY(AL$6,1)=1,0,IF(WEEKDAY(AL$6,1)=7,0,MIN(8,AL33)*AL32))),MAX(0,40*MAX(1,AL32)-(AF34+AG34+AH34+AI34+AJ34+AK34)))))</f>
        <v>0</v>
      </c>
      <c r="AM35" s="63">
        <f>IF(AND(AM32=0,AM33=0),0,IF(AM32&lt;=0,0,IF(WEEKDAY(AM$6,1)=1,0,IF(WEEKDAY(AM$6,1)=7,AM32*AM33,MAX(0,AM33-8)*AM32)))+((IF(AM32&lt;=0,0,IF(WEEKDAY(AM$6,1)=1,0,IF(WEEKDAY(AM$6,1)=7,0,MIN(8,AM33)*AM32))))-MIN(IF(AM32&lt;=0,0,IF(WEEKDAY(AM$6,1)=1,0,IF(WEEKDAY(AM$6,1)=7,0,MIN(8,AM33)*AM32))),MAX(0,40*MAX(1,AM32)-(0)))))</f>
        <v>0</v>
      </c>
      <c r="AN35" s="63">
        <f>IF(AND(AN32=0,AN33=0),0,IF(AN32&lt;=0,0,IF(WEEKDAY(AN$6,1)=1,0,IF(WEEKDAY(AN$6,1)=7,AN32*AN33,MAX(0,AN33-8)*AN32)))+((IF(AN32&lt;=0,0,IF(WEEKDAY(AN$6,1)=1,0,IF(WEEKDAY(AN$6,1)=7,0,MIN(8,AN33)*AN32))))-MIN(IF(AN32&lt;=0,0,IF(WEEKDAY(AN$6,1)=1,0,IF(WEEKDAY(AN$6,1)=7,0,MIN(8,AN33)*AN32))),MAX(0,40*MAX(1,AN32)-(AM34)))))</f>
        <v>0</v>
      </c>
      <c r="AO35" s="63">
        <f>IF(AND(AO32=0,AO33=0),0,IF(AO32&lt;=0,0,IF(WEEKDAY(AO$6,1)=1,0,IF(WEEKDAY(AO$6,1)=7,AO32*AO33,MAX(0,AO33-8)*AO32)))+((IF(AO32&lt;=0,0,IF(WEEKDAY(AO$6,1)=1,0,IF(WEEKDAY(AO$6,1)=7,0,MIN(8,AO33)*AO32))))-MIN(IF(AO32&lt;=0,0,IF(WEEKDAY(AO$6,1)=1,0,IF(WEEKDAY(AO$6,1)=7,0,MIN(8,AO33)*AO32))),MAX(0,40*MAX(1,AO32)-(AM34+AN34)))))</f>
        <v>0</v>
      </c>
      <c r="AP35" s="63">
        <f>IF(AND(AP32=0,AP33=0),0,IF(AP32&lt;=0,0,IF(WEEKDAY(AP$6,1)=1,0,IF(WEEKDAY(AP$6,1)=7,AP32*AP33,MAX(0,AP33-8)*AP32)))+((IF(AP32&lt;=0,0,IF(WEEKDAY(AP$6,1)=1,0,IF(WEEKDAY(AP$6,1)=7,0,MIN(8,AP33)*AP32))))-MIN(IF(AP32&lt;=0,0,IF(WEEKDAY(AP$6,1)=1,0,IF(WEEKDAY(AP$6,1)=7,0,MIN(8,AP33)*AP32))),MAX(0,40*MAX(1,AP32)-(AM34+AN34+AO34)))))</f>
        <v>0</v>
      </c>
      <c r="AQ35" s="63">
        <f>IF(AND(AQ32=0,AQ33=0),0,IF(AQ32&lt;=0,0,IF(WEEKDAY(AQ$6,1)=1,0,IF(WEEKDAY(AQ$6,1)=7,AQ32*AQ33,MAX(0,AQ33-8)*AQ32)))+((IF(AQ32&lt;=0,0,IF(WEEKDAY(AQ$6,1)=1,0,IF(WEEKDAY(AQ$6,1)=7,0,MIN(8,AQ33)*AQ32))))-MIN(IF(AQ32&lt;=0,0,IF(WEEKDAY(AQ$6,1)=1,0,IF(WEEKDAY(AQ$6,1)=7,0,MIN(8,AQ33)*AQ32))),MAX(0,40*MAX(1,AQ32)-(AM34+AN34+AO34+AP34)))))</f>
        <v>0</v>
      </c>
      <c r="AR35" s="64">
        <f>IF(AND(AR32=0,AR33=0),0,IF(AR32&lt;=0,0,IF(WEEKDAY(AR$6,1)=1,0,IF(WEEKDAY(AR$6,1)=7,AR32*AR33,MAX(0,AR33-8)*AR32)))+((IF(AR32&lt;=0,0,IF(WEEKDAY(AR$6,1)=1,0,IF(WEEKDAY(AR$6,1)=7,0,MIN(8,AR33)*AR32))))-MIN(IF(AR32&lt;=0,0,IF(WEEKDAY(AR$6,1)=1,0,IF(WEEKDAY(AR$6,1)=7,0,MIN(8,AR33)*AR32))),MAX(0,40*MAX(1,AR32)-(AM34+AN34+AO34+AP34+AQ34)))))</f>
        <v>0</v>
      </c>
      <c r="AS35" s="64">
        <f>IF(AND(AS32=0,AS33=0),0,IF(AS32&lt;=0,0,IF(WEEKDAY(AS$6,1)=1,0,IF(WEEKDAY(AS$6,1)=7,AS32*AS33,MAX(0,AS33-8)*AS32)))+((IF(AS32&lt;=0,0,IF(WEEKDAY(AS$6,1)=1,0,IF(WEEKDAY(AS$6,1)=7,0,MIN(8,AS33)*AS32))))-MIN(IF(AS32&lt;=0,0,IF(WEEKDAY(AS$6,1)=1,0,IF(WEEKDAY(AS$6,1)=7,0,MIN(8,AS33)*AS32))),MAX(0,40*MAX(1,AS32)-(AM34+AN34+AO34+AP34+AQ34+AR34)))))</f>
        <v>0</v>
      </c>
      <c r="AT35" s="63">
        <f>IF(AND(AT32=0,AT33=0),0,IF(AT32&lt;=0,0,IF(WEEKDAY(AT$6,1)=1,0,IF(WEEKDAY(AT$6,1)=7,AT32*AT33,MAX(0,AT33-8)*AT32)))+((IF(AT32&lt;=0,0,IF(WEEKDAY(AT$6,1)=1,0,IF(WEEKDAY(AT$6,1)=7,0,MIN(8,AT33)*AT32))))-MIN(IF(AT32&lt;=0,0,IF(WEEKDAY(AT$6,1)=1,0,IF(WEEKDAY(AT$6,1)=7,0,MIN(8,AT33)*AT32))),MAX(0,40*MAX(1,AT32)-(0)))))</f>
        <v>0</v>
      </c>
      <c r="AU35" s="63">
        <f>IF(AND(AU32=0,AU33=0),0,IF(AU32&lt;=0,0,IF(WEEKDAY(AU$6,1)=1,0,IF(WEEKDAY(AU$6,1)=7,AU32*AU33,MAX(0,AU33-8)*AU32)))+((IF(AU32&lt;=0,0,IF(WEEKDAY(AU$6,1)=1,0,IF(WEEKDAY(AU$6,1)=7,0,MIN(8,AU33)*AU32))))-MIN(IF(AU32&lt;=0,0,IF(WEEKDAY(AU$6,1)=1,0,IF(WEEKDAY(AU$6,1)=7,0,MIN(8,AU33)*AU32))),MAX(0,40*MAX(1,AU32)-(AT34)))))</f>
        <v>0</v>
      </c>
      <c r="AV35" s="63">
        <f>IF(AND(AV32=0,AV33=0),0,IF(AV32&lt;=0,0,IF(WEEKDAY(AV$6,1)=1,0,IF(WEEKDAY(AV$6,1)=7,AV32*AV33,MAX(0,AV33-8)*AV32)))+((IF(AV32&lt;=0,0,IF(WEEKDAY(AV$6,1)=1,0,IF(WEEKDAY(AV$6,1)=7,0,MIN(8,AV33)*AV32))))-MIN(IF(AV32&lt;=0,0,IF(WEEKDAY(AV$6,1)=1,0,IF(WEEKDAY(AV$6,1)=7,0,MIN(8,AV33)*AV32))),MAX(0,40*MAX(1,AV32)-(AT34+AU34)))))</f>
        <v>0</v>
      </c>
      <c r="AW35" s="63">
        <f>IF(AND(AW32=0,AW33=0),0,IF(AW32&lt;=0,0,IF(WEEKDAY(AW$6,1)=1,0,IF(WEEKDAY(AW$6,1)=7,AW32*AW33,MAX(0,AW33-8)*AW32)))+((IF(AW32&lt;=0,0,IF(WEEKDAY(AW$6,1)=1,0,IF(WEEKDAY(AW$6,1)=7,0,MIN(8,AW33)*AW32))))-MIN(IF(AW32&lt;=0,0,IF(WEEKDAY(AW$6,1)=1,0,IF(WEEKDAY(AW$6,1)=7,0,MIN(8,AW33)*AW32))),MAX(0,40*MAX(1,AW32)-(AT34+AU34+AV34)))))</f>
        <v>0</v>
      </c>
      <c r="AX35" s="63">
        <f>IF(AND(AX32=0,AX33=0),0,IF(AX32&lt;=0,0,IF(WEEKDAY(AX$6,1)=1,0,IF(WEEKDAY(AX$6,1)=7,AX32*AX33,MAX(0,AX33-8)*AX32)))+((IF(AX32&lt;=0,0,IF(WEEKDAY(AX$6,1)=1,0,IF(WEEKDAY(AX$6,1)=7,0,MIN(8,AX33)*AX32))))-MIN(IF(AX32&lt;=0,0,IF(WEEKDAY(AX$6,1)=1,0,IF(WEEKDAY(AX$6,1)=7,0,MIN(8,AX33)*AX32))),MAX(0,40*MAX(1,AX32)-(AT34+AU34+AV34+AW34)))))</f>
        <v>0</v>
      </c>
      <c r="AY35" s="64">
        <f>IF(AND(AY32=0,AY33=0),0,IF(AY32&lt;=0,0,IF(WEEKDAY(AY$6,1)=1,0,IF(WEEKDAY(AY$6,1)=7,AY32*AY33,MAX(0,AY33-8)*AY32)))+((IF(AY32&lt;=0,0,IF(WEEKDAY(AY$6,1)=1,0,IF(WEEKDAY(AY$6,1)=7,0,MIN(8,AY33)*AY32))))-MIN(IF(AY32&lt;=0,0,IF(WEEKDAY(AY$6,1)=1,0,IF(WEEKDAY(AY$6,1)=7,0,MIN(8,AY33)*AY32))),MAX(0,40*MAX(1,AY32)-(AT34+AU34+AV34+AW34+AX34)))))</f>
        <v>0</v>
      </c>
      <c r="AZ35" s="64">
        <f>IF(AND(AZ32=0,AZ33=0),0,IF(AZ32&lt;=0,0,IF(WEEKDAY(AZ$6,1)=1,0,IF(WEEKDAY(AZ$6,1)=7,AZ32*AZ33,MAX(0,AZ33-8)*AZ32)))+((IF(AZ32&lt;=0,0,IF(WEEKDAY(AZ$6,1)=1,0,IF(WEEKDAY(AZ$6,1)=7,0,MIN(8,AZ33)*AZ32))))-MIN(IF(AZ32&lt;=0,0,IF(WEEKDAY(AZ$6,1)=1,0,IF(WEEKDAY(AZ$6,1)=7,0,MIN(8,AZ33)*AZ32))),MAX(0,40*MAX(1,AZ32)-(AT34+AU34+AV34+AW34+AX34+AY34)))))</f>
        <v>0</v>
      </c>
      <c r="BA35" s="63">
        <f>IF(AND(BA32=0,BA33=0),0,IF(BA32&lt;=0,0,IF(WEEKDAY(BA$6,1)=1,0,IF(WEEKDAY(BA$6,1)=7,BA32*BA33,MAX(0,BA33-8)*BA32)))+((IF(BA32&lt;=0,0,IF(WEEKDAY(BA$6,1)=1,0,IF(WEEKDAY(BA$6,1)=7,0,MIN(8,BA33)*BA32))))-MIN(IF(BA32&lt;=0,0,IF(WEEKDAY(BA$6,1)=1,0,IF(WEEKDAY(BA$6,1)=7,0,MIN(8,BA33)*BA32))),MAX(0,40*MAX(1,BA32)-(0)))))</f>
        <v>0</v>
      </c>
      <c r="BB35" s="63">
        <f>IF(AND(BB32=0,BB33=0),0,IF(BB32&lt;=0,0,IF(WEEKDAY(BB$6,1)=1,0,IF(WEEKDAY(BB$6,1)=7,BB32*BB33,MAX(0,BB33-8)*BB32)))+((IF(BB32&lt;=0,0,IF(WEEKDAY(BB$6,1)=1,0,IF(WEEKDAY(BB$6,1)=7,0,MIN(8,BB33)*BB32))))-MIN(IF(BB32&lt;=0,0,IF(WEEKDAY(BB$6,1)=1,0,IF(WEEKDAY(BB$6,1)=7,0,MIN(8,BB33)*BB32))),MAX(0,40*MAX(1,BB32)-(BA34)))))</f>
        <v>0</v>
      </c>
      <c r="BC35" s="63">
        <f>IF(AND(BC32=0,BC33=0),0,IF(BC32&lt;=0,0,IF(WEEKDAY(BC$6,1)=1,0,IF(WEEKDAY(BC$6,1)=7,BC32*BC33,MAX(0,BC33-8)*BC32)))+((IF(BC32&lt;=0,0,IF(WEEKDAY(BC$6,1)=1,0,IF(WEEKDAY(BC$6,1)=7,0,MIN(8,BC33)*BC32))))-MIN(IF(BC32&lt;=0,0,IF(WEEKDAY(BC$6,1)=1,0,IF(WEEKDAY(BC$6,1)=7,0,MIN(8,BC33)*BC32))),MAX(0,40*MAX(1,BC32)-(BA34+BB34)))))</f>
        <v>0</v>
      </c>
      <c r="BD35" s="63">
        <f>IF(AND(BD32=0,BD33=0),0,IF(BD32&lt;=0,0,IF(WEEKDAY(BD$6,1)=1,0,IF(WEEKDAY(BD$6,1)=7,BD32*BD33,MAX(0,BD33-8)*BD32)))+((IF(BD32&lt;=0,0,IF(WEEKDAY(BD$6,1)=1,0,IF(WEEKDAY(BD$6,1)=7,0,MIN(8,BD33)*BD32))))-MIN(IF(BD32&lt;=0,0,IF(WEEKDAY(BD$6,1)=1,0,IF(WEEKDAY(BD$6,1)=7,0,MIN(8,BD33)*BD32))),MAX(0,40*MAX(1,BD32)-(BA34+BB34+BC34)))))</f>
        <v>0</v>
      </c>
      <c r="BE35" s="63">
        <f>IF(AND(BE32=0,BE33=0),0,IF(BE32&lt;=0,0,IF(WEEKDAY(BE$6,1)=1,0,IF(WEEKDAY(BE$6,1)=7,BE32*BE33,MAX(0,BE33-8)*BE32)))+((IF(BE32&lt;=0,0,IF(WEEKDAY(BE$6,1)=1,0,IF(WEEKDAY(BE$6,1)=7,0,MIN(8,BE33)*BE32))))-MIN(IF(BE32&lt;=0,0,IF(WEEKDAY(BE$6,1)=1,0,IF(WEEKDAY(BE$6,1)=7,0,MIN(8,BE33)*BE32))),MAX(0,40*MAX(1,BE32)-(BA34+BB34+BC34+BD34)))))</f>
        <v>0</v>
      </c>
      <c r="BF35" s="64">
        <f>IF(AND(BF32=0,BF33=0),0,IF(BF32&lt;=0,0,IF(WEEKDAY(BF$6,1)=1,0,IF(WEEKDAY(BF$6,1)=7,BF32*BF33,MAX(0,BF33-8)*BF32)))+((IF(BF32&lt;=0,0,IF(WEEKDAY(BF$6,1)=1,0,IF(WEEKDAY(BF$6,1)=7,0,MIN(8,BF33)*BF32))))-MIN(IF(BF32&lt;=0,0,IF(WEEKDAY(BF$6,1)=1,0,IF(WEEKDAY(BF$6,1)=7,0,MIN(8,BF33)*BF32))),MAX(0,40*MAX(1,BF32)-(BA34+BB34+BC34+BD34+BE34)))))</f>
        <v>0</v>
      </c>
      <c r="BG35" s="64">
        <f>IF(AND(BG32=0,BG33=0),0,IF(BG32&lt;=0,0,IF(WEEKDAY(BG$6,1)=1,0,IF(WEEKDAY(BG$6,1)=7,BG32*BG33,MAX(0,BG33-8)*BG32)))+((IF(BG32&lt;=0,0,IF(WEEKDAY(BG$6,1)=1,0,IF(WEEKDAY(BG$6,1)=7,0,MIN(8,BG33)*BG32))))-MIN(IF(BG32&lt;=0,0,IF(WEEKDAY(BG$6,1)=1,0,IF(WEEKDAY(BG$6,1)=7,0,MIN(8,BG33)*BG32))),MAX(0,40*MAX(1,BG32)-(BA34+BB34+BC34+BD34+BE34+BF34)))))</f>
        <v>0</v>
      </c>
      <c r="BH35" s="63">
        <f>IF(AND(BH32=1,BH33=12),4,IF(BH32&lt;=0,0,IF(WEEKDAY(BH$6,1)=1,0,IF(WEEKDAY(BH$6,1)=7,BH32*BH33,MAX(0,BH33-8)*BH32)))+((IF(BH32&lt;=0,0,IF(WEEKDAY(BH$6,1)=1,0,IF(WEEKDAY(BH$6,1)=7,0,MIN(8,BH33)*BH32))))-MIN(IF(BH32&lt;=0,0,IF(WEEKDAY(BH$6,1)=1,0,IF(WEEKDAY(BH$6,1)=7,0,MIN(8,BH33)*BH32))),MAX(0,40*MAX(1,BH32)-(0)))))</f>
        <v>4</v>
      </c>
      <c r="BI35" s="63">
        <f>IF(AND(BI32=1,BI33=12),4,IF(BI32&lt;=0,0,IF(WEEKDAY(BI$6,1)=1,0,IF(WEEKDAY(BI$6,1)=7,BI32*BI33,MAX(0,BI33-8)*BI32)))+((IF(BI32&lt;=0,0,IF(WEEKDAY(BI$6,1)=1,0,IF(WEEKDAY(BI$6,1)=7,0,MIN(8,BI33)*BI32))))-MIN(IF(BI32&lt;=0,0,IF(WEEKDAY(BI$6,1)=1,0,IF(WEEKDAY(BI$6,1)=7,0,MIN(8,BI33)*BI32))),MAX(0,40*MAX(1,BI32)-(BH34)))))</f>
        <v>4</v>
      </c>
      <c r="BJ35" s="63">
        <f>IF(AND(BJ32=1,BJ33=12),4,IF(BJ32&lt;=0,0,IF(WEEKDAY(BJ$6,1)=1,0,IF(WEEKDAY(BJ$6,1)=7,BJ32*BJ33,MAX(0,BJ33-8)*BJ32)))+((IF(BJ32&lt;=0,0,IF(WEEKDAY(BJ$6,1)=1,0,IF(WEEKDAY(BJ$6,1)=7,0,MIN(8,BJ33)*BJ32))))-MIN(IF(BJ32&lt;=0,0,IF(WEEKDAY(BJ$6,1)=1,0,IF(WEEKDAY(BJ$6,1)=7,0,MIN(8,BJ33)*BJ32))),MAX(0,40*MAX(1,BJ32)-(BH34+BI34)))))</f>
        <v>4</v>
      </c>
      <c r="BK35" s="63">
        <f>IF(AND(BK32=1,BK33=12),4,IF(BK32&lt;=0,0,IF(WEEKDAY(BK$6,1)=1,0,IF(WEEKDAY(BK$6,1)=7,BK32*BK33,MAX(0,BK33-8)*BK32)))+((IF(BK32&lt;=0,0,IF(WEEKDAY(BK$6,1)=1,0,IF(WEEKDAY(BK$6,1)=7,0,MIN(8,BK33)*BK32))))-MIN(IF(BK32&lt;=0,0,IF(WEEKDAY(BK$6,1)=1,0,IF(WEEKDAY(BK$6,1)=7,0,MIN(8,BK33)*BK32))),MAX(0,40*MAX(1,BK32)-(BH34+BI34+BJ34)))))</f>
        <v>4</v>
      </c>
      <c r="BL35" s="63">
        <f>IF(AND(BL32=1,BL33=12),4,IF(BL32&lt;=0,0,IF(WEEKDAY(BL$6,1)=1,0,IF(WEEKDAY(BL$6,1)=7,BL32*BL33,MAX(0,BL33-8)*BL32)))+((IF(BL32&lt;=0,0,IF(WEEKDAY(BL$6,1)=1,0,IF(WEEKDAY(BL$6,1)=7,0,MIN(8,BL33)*BL32))))-MIN(IF(BL32&lt;=0,0,IF(WEEKDAY(BL$6,1)=1,0,IF(WEEKDAY(BL$6,1)=7,0,MIN(8,BL33)*BL32))),MAX(0,40*MAX(1,BL32)-(BH34+BI34+BJ34+BK34)))))</f>
        <v>4</v>
      </c>
      <c r="BM35" s="64">
        <f>IF(AND(BM32=1,BM33=12),12,IF(BM32&lt;=0,0,IF(WEEKDAY(BM$6,1)=1,0,IF(WEEKDAY(BM$6,1)=7,BM32*BM33,MAX(0,BM33-8)*BM32)))+((IF(BM32&lt;=0,0,IF(WEEKDAY(BM$6,1)=1,0,IF(WEEKDAY(BM$6,1)=7,0,MIN(8,BM33)*BM32))))-MIN(IF(BM32&lt;=0,0,IF(WEEKDAY(BM$6,1)=1,0,IF(WEEKDAY(BM$6,1)=7,0,MIN(8,BM33)*BM32))),MAX(0,40*MAX(1,BM32)-(BH34+BI34+BJ34+BK34+BL34)))))</f>
        <v>12</v>
      </c>
      <c r="BN35" s="64">
        <f>IF(AND(BN32=1,BN33=12),0,IF(BN32&lt;=0,0,IF(WEEKDAY(BN$6,1)=1,0,IF(WEEKDAY(BN$6,1)=7,BN32*BN33,MAX(0,BN33-8)*BN32)))+((IF(BN32&lt;=0,0,IF(WEEKDAY(BN$6,1)=1,0,IF(WEEKDAY(BN$6,1)=7,0,MIN(8,BN33)*BN32))))-MIN(IF(BN32&lt;=0,0,IF(WEEKDAY(BN$6,1)=1,0,IF(WEEKDAY(BN$6,1)=7,0,MIN(8,BN33)*BN32))),MAX(0,40*MAX(1,BN32)-(BH34+BI34+BJ34+BK34+BL34+BM34)))))</f>
        <v>0</v>
      </c>
      <c r="BO35" s="63">
        <f>IF(AND(BO32=1,BO33=12),4,IF(BO32&lt;=0,0,IF(WEEKDAY(BO$6,1)=1,0,IF(WEEKDAY(BO$6,1)=7,BO32*BO33,MAX(0,BO33-8)*BO32)))+((IF(BO32&lt;=0,0,IF(WEEKDAY(BO$6,1)=1,0,IF(WEEKDAY(BO$6,1)=7,0,MIN(8,BO33)*BO32))))-MIN(IF(BO32&lt;=0,0,IF(WEEKDAY(BO$6,1)=1,0,IF(WEEKDAY(BO$6,1)=7,0,MIN(8,BO33)*BO32))),MAX(0,40*MAX(1,BO32)-(0)))))</f>
        <v>4</v>
      </c>
      <c r="BP35" s="63">
        <f>IF(AND(BP32=1,BP33=12),4,IF(BP32&lt;=0,0,IF(WEEKDAY(BP$6,1)=1,0,IF(WEEKDAY(BP$6,1)=7,BP32*BP33,MAX(0,BP33-8)*BP32)))+((IF(BP32&lt;=0,0,IF(WEEKDAY(BP$6,1)=1,0,IF(WEEKDAY(BP$6,1)=7,0,MIN(8,BP33)*BP32))))-MIN(IF(BP32&lt;=0,0,IF(WEEKDAY(BP$6,1)=1,0,IF(WEEKDAY(BP$6,1)=7,0,MIN(8,BP33)*BP32))),MAX(0,40*MAX(1,BP32)-(BO34)))))</f>
        <v>4</v>
      </c>
      <c r="BQ35" s="63">
        <f>IF(AND(BQ32=1,BQ33=12),4,IF(BQ32&lt;=0,0,IF(WEEKDAY(BQ$6,1)=1,0,IF(WEEKDAY(BQ$6,1)=7,BQ32*BQ33,MAX(0,BQ33-8)*BQ32)))+((IF(BQ32&lt;=0,0,IF(WEEKDAY(BQ$6,1)=1,0,IF(WEEKDAY(BQ$6,1)=7,0,MIN(8,BQ33)*BQ32))))-MIN(IF(BQ32&lt;=0,0,IF(WEEKDAY(BQ$6,1)=1,0,IF(WEEKDAY(BQ$6,1)=7,0,MIN(8,BQ33)*BQ32))),MAX(0,40*MAX(1,BQ32)-(BO34+BP34)))))</f>
        <v>4</v>
      </c>
      <c r="BR35" s="63">
        <f>IF(AND(BR32=1,BR33=12),4,IF(BR32&lt;=0,0,IF(WEEKDAY(BR$6,1)=1,0,IF(WEEKDAY(BR$6,1)=7,BR32*BR33,MAX(0,BR33-8)*BR32)))+((IF(BR32&lt;=0,0,IF(WEEKDAY(BR$6,1)=1,0,IF(WEEKDAY(BR$6,1)=7,0,MIN(8,BR33)*BR32))))-MIN(IF(BR32&lt;=0,0,IF(WEEKDAY(BR$6,1)=1,0,IF(WEEKDAY(BR$6,1)=7,0,MIN(8,BR33)*BR32))),MAX(0,40*MAX(1,BR32)-(0)))))</f>
        <v>4</v>
      </c>
      <c r="BS35" s="63">
        <f>IF(AND(BS32=1,BS33=12),4,IF(BS32&lt;=0,0,IF(WEEKDAY(BS$6,1)=1,0,IF(WEEKDAY(BS$6,1)=7,BS32*BS33,MAX(0,BS33-8)*BS32)))+((IF(BS32&lt;=0,0,IF(WEEKDAY(BS$6,1)=1,0,IF(WEEKDAY(BS$6,1)=7,0,MIN(8,BS33)*BS32))))-MIN(IF(BS32&lt;=0,0,IF(WEEKDAY(BS$6,1)=1,0,IF(WEEKDAY(BS$6,1)=7,0,MIN(8,BS33)*BS32))),MAX(0,40*MAX(1,BS32)-(BR34)))))</f>
        <v>4</v>
      </c>
      <c r="BT35" s="64">
        <f>IF(AND(BT32=1,BT33=12),12,IF(BT32&lt;=0,0,IF(WEEKDAY(BT$6,1)=1,0,IF(WEEKDAY(BT$6,1)=7,BT32*BT33,MAX(0,BT33-8)*BT32)))+((IF(BT32&lt;=0,0,IF(WEEKDAY(BT$6,1)=1,0,IF(WEEKDAY(BT$6,1)=7,0,MIN(8,BT33)*BT32))))-MIN(IF(BT32&lt;=0,0,IF(WEEKDAY(BT$6,1)=1,0,IF(WEEKDAY(BT$6,1)=7,0,MIN(8,BT33)*BT32))),MAX(0,40*MAX(1,BT32)-(BR34+BS34)))))</f>
        <v>12</v>
      </c>
      <c r="BU35" s="64">
        <f>IF(AND(BU32=1,BU33=12),0,IF(BU32&lt;=0,0,IF(WEEKDAY(BU$6,1)=1,0,IF(WEEKDAY(BU$6,1)=7,BU32*BU33,MAX(0,BU33-8)*BU32)))+((IF(BU32&lt;=0,0,IF(WEEKDAY(BU$6,1)=1,0,IF(WEEKDAY(BU$6,1)=7,0,MIN(8,BU33)*BU32))))-MIN(IF(BU32&lt;=0,0,IF(WEEKDAY(BU$6,1)=1,0,IF(WEEKDAY(BU$6,1)=7,0,MIN(8,BU33)*BU32))),MAX(0,40*MAX(1,BU32)-(BR34+BS34+BT34)))))</f>
        <v>0</v>
      </c>
      <c r="BV35" s="63">
        <f>IF(AND(BV32=1,BV33=12),4,IF(BV32&lt;=0,0,IF(WEEKDAY(BV$6,1)=1,0,IF(WEEKDAY(BV$6,1)=7,BV32*BV33,MAX(0,BV33-8)*BV32)))+((IF(BV32&lt;=0,0,IF(WEEKDAY(BV$6,1)=1,0,IF(WEEKDAY(BV$6,1)=7,0,MIN(8,BV33)*BV32))))-MIN(IF(BV32&lt;=0,0,IF(WEEKDAY(BV$6,1)=1,0,IF(WEEKDAY(BV$6,1)=7,0,MIN(8,BV33)*BV32))),MAX(0,40*MAX(1,BV32)-(0)))))</f>
        <v>4</v>
      </c>
      <c r="BW35" s="63">
        <f>IF(AND(BW32=1,BW33=12),4,IF(BW32&lt;=0,0,IF(WEEKDAY(BW$6,1)=1,0,IF(WEEKDAY(BW$6,1)=7,BW32*BW33,MAX(0,BW33-8)*BW32)))+((IF(BW32&lt;=0,0,IF(WEEKDAY(BW$6,1)=1,0,IF(WEEKDAY(BW$6,1)=7,0,MIN(8,BW33)*BW32))))-MIN(IF(BW32&lt;=0,0,IF(WEEKDAY(BW$6,1)=1,0,IF(WEEKDAY(BW$6,1)=7,0,MIN(8,BW33)*BW32))),MAX(0,40*MAX(1,BW32)-(BV34)))))</f>
        <v>4</v>
      </c>
      <c r="BX35" s="63">
        <f>IF(AND(BX32=1,BX33=12),4,IF(BX32&lt;=0,0,IF(WEEKDAY(BX$6,1)=1,0,IF(WEEKDAY(BX$6,1)=7,BX32*BX33,MAX(0,BX33-8)*BX32)))+((IF(BX32&lt;=0,0,IF(WEEKDAY(BX$6,1)=1,0,IF(WEEKDAY(BX$6,1)=7,0,MIN(8,BX33)*BX32))))-MIN(IF(BX32&lt;=0,0,IF(WEEKDAY(BX$6,1)=1,0,IF(WEEKDAY(BX$6,1)=7,0,MIN(8,BX33)*BX32))),MAX(0,40*MAX(1,BX32)-(BV34+BW34)))))</f>
        <v>4</v>
      </c>
      <c r="BY35" s="63">
        <f>IF(AND(BY32=1,BY33=12),4,IF(BY32&lt;=0,0,IF(WEEKDAY(BY$6,1)=1,0,IF(WEEKDAY(BY$6,1)=7,BY32*BY33,MAX(0,BY33-8)*BY32)))+((IF(BY32&lt;=0,0,IF(WEEKDAY(BY$6,1)=1,0,IF(WEEKDAY(BY$6,1)=7,0,MIN(8,BY33)*BY32))))-MIN(IF(BY32&lt;=0,0,IF(WEEKDAY(BY$6,1)=1,0,IF(WEEKDAY(BY$6,1)=7,0,MIN(8,BY33)*BY32))),MAX(0,40*MAX(1,BY32)-(BV34+BW34+BX34)))))</f>
        <v>4</v>
      </c>
      <c r="BZ35" s="63">
        <f>IF(AND(BZ32=1,BZ33=12),4,IF(BZ32&lt;=0,0,IF(WEEKDAY(BZ$6,1)=1,0,IF(WEEKDAY(BZ$6,1)=7,BZ32*BZ33,MAX(0,BZ33-8)*BZ32)))+((IF(BZ32&lt;=0,0,IF(WEEKDAY(BZ$6,1)=1,0,IF(WEEKDAY(BZ$6,1)=7,0,MIN(8,BZ33)*BZ32))))-MIN(IF(BZ32&lt;=0,0,IF(WEEKDAY(BZ$6,1)=1,0,IF(WEEKDAY(BZ$6,1)=7,0,MIN(8,BZ33)*BZ32))),MAX(0,40*MAX(1,BZ32)-(BV34+BW34+BX34+BY34)))))</f>
        <v>4</v>
      </c>
      <c r="CA35" s="64">
        <f>IF(AND(CA32=1,CA33=12),12,IF(CA32&lt;=0,0,IF(WEEKDAY(CA$6,1)=1,0,IF(WEEKDAY(CA$6,1)=7,CA32*CA33,MAX(0,CA33-8)*CA32)))+((IF(CA32&lt;=0,0,IF(WEEKDAY(CA$6,1)=1,0,IF(WEEKDAY(CA$6,1)=7,0,MIN(8,CA33)*CA32))))-MIN(IF(CA32&lt;=0,0,IF(WEEKDAY(CA$6,1)=1,0,IF(WEEKDAY(CA$6,1)=7,0,MIN(8,CA33)*CA32))),MAX(0,40*MAX(1,CA32)-(BV34+BW34+BX34+BY34+BZ34)))))</f>
        <v>12</v>
      </c>
      <c r="CB35" s="64">
        <f>IF(AND(CB32=1,CB33=12),0,IF(CB32&lt;=0,0,IF(WEEKDAY(CB$6,1)=1,0,IF(WEEKDAY(CB$6,1)=7,CB32*CB33,MAX(0,CB33-8)*CB32)))+((IF(CB32&lt;=0,0,IF(WEEKDAY(CB$6,1)=1,0,IF(WEEKDAY(CB$6,1)=7,0,MIN(8,CB33)*CB32))))-MIN(IF(CB32&lt;=0,0,IF(WEEKDAY(CB$6,1)=1,0,IF(WEEKDAY(CB$6,1)=7,0,MIN(8,CB33)*CB32))),MAX(0,40*MAX(1,CB32)-(BV34+BW34+BX34+BY34+BZ34+CA34)))))</f>
        <v>0</v>
      </c>
      <c r="CC35" s="63">
        <f>IF(AND(CC32=1,CC33=12),4,IF(CC32&lt;=0,0,IF(WEEKDAY(CC$6,1)=1,0,IF(WEEKDAY(CC$6,1)=7,CC32*CC33,MAX(0,CC33-8)*CC32)))+((IF(CC32&lt;=0,0,IF(WEEKDAY(CC$6,1)=1,0,IF(WEEKDAY(CC$6,1)=7,0,MIN(8,CC33)*CC32))))-MIN(IF(CC32&lt;=0,0,IF(WEEKDAY(CC$6,1)=1,0,IF(WEEKDAY(CC$6,1)=7,0,MIN(8,CC33)*CC32))),MAX(0,40*MAX(1,CC32)-(0)))))</f>
        <v>4</v>
      </c>
      <c r="CD35" s="63">
        <f>IF(AND(CD32=1,CD33=12),4,IF(CD32&lt;=0,0,IF(WEEKDAY(CD$6,1)=1,0,IF(WEEKDAY(CD$6,1)=7,CD32*CD33,MAX(0,CD33-8)*CD32)))+((IF(CD32&lt;=0,0,IF(WEEKDAY(CD$6,1)=1,0,IF(WEEKDAY(CD$6,1)=7,0,MIN(8,CD33)*CD32))))-MIN(IF(CD32&lt;=0,0,IF(WEEKDAY(CD$6,1)=1,0,IF(WEEKDAY(CD$6,1)=7,0,MIN(8,CD33)*CD32))),MAX(0,40*MAX(1,CD32)-(CC34)))))</f>
        <v>4</v>
      </c>
      <c r="CE35" s="63">
        <f>IF(AND(CE32=1,CE33=12),4,IF(CE32&lt;=0,0,IF(WEEKDAY(CE$6,1)=1,0,IF(WEEKDAY(CE$6,1)=7,CE32*CE33,MAX(0,CE33-8)*CE32)))+((IF(CE32&lt;=0,0,IF(WEEKDAY(CE$6,1)=1,0,IF(WEEKDAY(CE$6,1)=7,0,MIN(8,CE33)*CE32))))-MIN(IF(CE32&lt;=0,0,IF(WEEKDAY(CE$6,1)=1,0,IF(WEEKDAY(CE$6,1)=7,0,MIN(8,CE33)*CE32))),MAX(0,40*MAX(1,CE32)-(CC34+CD34)))))</f>
        <v>4</v>
      </c>
      <c r="CF35" s="63">
        <f>IF(AND(CF32=1,CF33=12),4,IF(CF32&lt;=0,0,IF(WEEKDAY(CF$6,1)=1,0,IF(WEEKDAY(CF$6,1)=7,CF32*CF33,MAX(0,CF33-8)*CF32)))+((IF(CF32&lt;=0,0,IF(WEEKDAY(CF$6,1)=1,0,IF(WEEKDAY(CF$6,1)=7,0,MIN(8,CF33)*CF32))))-MIN(IF(CF32&lt;=0,0,IF(WEEKDAY(CF$6,1)=1,0,IF(WEEKDAY(CF$6,1)=7,0,MIN(8,CF33)*CF32))),MAX(0,40*MAX(1,CF32)-(CC34+CD34+CE34)))))</f>
        <v>4</v>
      </c>
      <c r="CG35" s="63">
        <f>IF(AND(CG32=1,CG33=12),4,IF(CG32&lt;=0,0,IF(WEEKDAY(CG$6,1)=1,0,IF(WEEKDAY(CG$6,1)=7,CG32*CG33,MAX(0,CG33-8)*CG32)))+((IF(CG32&lt;=0,0,IF(WEEKDAY(CG$6,1)=1,0,IF(WEEKDAY(CG$6,1)=7,0,MIN(8,CG33)*CG32))))-MIN(IF(CG32&lt;=0,0,IF(WEEKDAY(CG$6,1)=1,0,IF(WEEKDAY(CG$6,1)=7,0,MIN(8,CG33)*CG32))),MAX(0,40*MAX(1,CG32)-(CC34+CD34+CE34+CF34)))))</f>
        <v>4</v>
      </c>
      <c r="CH35" s="64">
        <f>IF(AND(CH32=1,CH33=12),12,IF(CH32&lt;=0,0,IF(WEEKDAY(CH$6,1)=1,0,IF(WEEKDAY(CH$6,1)=7,CH32*CH33,MAX(0,CH33-8)*CH32)))+((IF(CH32&lt;=0,0,IF(WEEKDAY(CH$6,1)=1,0,IF(WEEKDAY(CH$6,1)=7,0,MIN(8,CH33)*CH32))))-MIN(IF(CH32&lt;=0,0,IF(WEEKDAY(CH$6,1)=1,0,IF(WEEKDAY(CH$6,1)=7,0,MIN(8,CH33)*CH32))),MAX(0,40*MAX(1,CH32)-(CC34+CD34+CE34+CF34+CG34)))))</f>
        <v>12</v>
      </c>
      <c r="CI35" s="64">
        <f>IF(AND(CI32=1,CI33=12),0,IF(CI32&lt;=0,0,IF(WEEKDAY(CI$6,1)=1,0,IF(WEEKDAY(CI$6,1)=7,CI32*CI33,MAX(0,CI33-8)*CI32)))+((IF(CI32&lt;=0,0,IF(WEEKDAY(CI$6,1)=1,0,IF(WEEKDAY(CI$6,1)=7,0,MIN(8,CI33)*CI32))))-MIN(IF(CI32&lt;=0,0,IF(WEEKDAY(CI$6,1)=1,0,IF(WEEKDAY(CI$6,1)=7,0,MIN(8,CI33)*CI32))),MAX(0,40*MAX(1,CI32)-(CC34+CD34+CE34+CF34+CG34+CH34)))))</f>
        <v>0</v>
      </c>
      <c r="CJ35" s="63">
        <f>IF(AND(CJ32=1,CJ33=12),4,IF(CJ32&lt;=0,0,IF(WEEKDAY(CJ$6,1)=1,0,IF(WEEKDAY(CJ$6,1)=7,CJ32*CJ33,MAX(0,CJ33-8)*CJ32)))+((IF(CJ32&lt;=0,0,IF(WEEKDAY(CJ$6,1)=1,0,IF(WEEKDAY(CJ$6,1)=7,0,MIN(8,CJ33)*CJ32))))-MIN(IF(CJ32&lt;=0,0,IF(WEEKDAY(CJ$6,1)=1,0,IF(WEEKDAY(CJ$6,1)=7,0,MIN(8,CJ33)*CJ32))),MAX(0,40*MAX(1,CJ32)-(0)))))</f>
        <v>4</v>
      </c>
      <c r="CK35" s="63">
        <f>IF(AND(CK32=1,CK33=12),4,IF(CK32&lt;=0,0,IF(WEEKDAY(CK$6,1)=1,0,IF(WEEKDAY(CK$6,1)=7,CK32*CK33,MAX(0,CK33-8)*CK32)))+((IF(CK32&lt;=0,0,IF(WEEKDAY(CK$6,1)=1,0,IF(WEEKDAY(CK$6,1)=7,0,MIN(8,CK33)*CK32))))-MIN(IF(CK32&lt;=0,0,IF(WEEKDAY(CK$6,1)=1,0,IF(WEEKDAY(CK$6,1)=7,0,MIN(8,CK33)*CK32))),MAX(0,40*MAX(1,CK32)-(CJ34)))))</f>
        <v>4</v>
      </c>
      <c r="CL35" s="63">
        <f>IF(AND(CL32=1,CL33=12),4,IF(CL32&lt;=0,0,IF(WEEKDAY(CL$6,1)=1,0,IF(WEEKDAY(CL$6,1)=7,CL32*CL33,MAX(0,CL33-8)*CL32)))+((IF(CL32&lt;=0,0,IF(WEEKDAY(CL$6,1)=1,0,IF(WEEKDAY(CL$6,1)=7,0,MIN(8,CL33)*CL32))))-MIN(IF(CL32&lt;=0,0,IF(WEEKDAY(CL$6,1)=1,0,IF(WEEKDAY(CL$6,1)=7,0,MIN(8,CL33)*CL32))),MAX(0,40*MAX(1,CL32)-(CJ34+CK34)))))</f>
        <v>4</v>
      </c>
      <c r="CM35" s="63">
        <f>IF(AND(CM32=1,CM33=12),4,IF(CM32&lt;=0,0,IF(WEEKDAY(CM$6,1)=1,0,IF(WEEKDAY(CM$6,1)=7,CM32*CM33,MAX(0,CM33-8)*CM32)))+((IF(CM32&lt;=0,0,IF(WEEKDAY(CM$6,1)=1,0,IF(WEEKDAY(CM$6,1)=7,0,MIN(8,CM33)*CM32))))-MIN(IF(CM32&lt;=0,0,IF(WEEKDAY(CM$6,1)=1,0,IF(WEEKDAY(CM$6,1)=7,0,MIN(8,CM33)*CM32))),MAX(0,40*MAX(1,CM32)-(CJ34+CK34+CL34)))))</f>
        <v>4</v>
      </c>
      <c r="CN35" s="63">
        <f>IF(AND(CN32=1,CN33=12),4,IF(CN32&lt;=0,0,IF(WEEKDAY(CN$6,1)=1,0,IF(WEEKDAY(CN$6,1)=7,CN32*CN33,MAX(0,CN33-8)*CN32)))+((IF(CN32&lt;=0,0,IF(WEEKDAY(CN$6,1)=1,0,IF(WEEKDAY(CN$6,1)=7,0,MIN(8,CN33)*CN32))))-MIN(IF(CN32&lt;=0,0,IF(WEEKDAY(CN$6,1)=1,0,IF(WEEKDAY(CN$6,1)=7,0,MIN(8,CN33)*CN32))),MAX(0,40*MAX(1,CN32)-(CJ34+CK34+CL34+CM34)))))</f>
        <v>4</v>
      </c>
      <c r="CO35" s="64">
        <f>IF(AND(CO32=1,CO33=12),12,IF(CO32&lt;=0,0,IF(WEEKDAY(CO$6,1)=1,0,IF(WEEKDAY(CO$6,1)=7,CO32*CO33,MAX(0,CO33-8)*CO32)))+((IF(CO32&lt;=0,0,IF(WEEKDAY(CO$6,1)=1,0,IF(WEEKDAY(CO$6,1)=7,0,MIN(8,CO33)*CO32))))-MIN(IF(CO32&lt;=0,0,IF(WEEKDAY(CO$6,1)=1,0,IF(WEEKDAY(CO$6,1)=7,0,MIN(8,CO33)*CO32))),MAX(0,40*MAX(1,CO32)-(CJ34+CK34+CL34+CM34+CN34)))))</f>
        <v>12</v>
      </c>
      <c r="CP35" s="64">
        <f>IF(AND(CP32=1,CP33=12),0,IF(CP32&lt;=0,0,IF(WEEKDAY(CP$6,1)=1,0,IF(WEEKDAY(CP$6,1)=7,CP32*CP33,MAX(0,CP33-8)*CP32)))+((IF(CP32&lt;=0,0,IF(WEEKDAY(CP$6,1)=1,0,IF(WEEKDAY(CP$6,1)=7,0,MIN(8,CP33)*CP32))))-MIN(IF(CP32&lt;=0,0,IF(WEEKDAY(CP$6,1)=1,0,IF(WEEKDAY(CP$6,1)=7,0,MIN(8,CP33)*CP32))),MAX(0,40*MAX(1,CP32)-(CJ34+CK34+CL34+CM34+CN34+CO34)))))</f>
        <v>0</v>
      </c>
      <c r="CQ35" s="63">
        <f>IF(AND(CQ32=1,CQ33=12),4,IF(CQ32&lt;=0,0,IF(WEEKDAY(CQ$6,1)=1,0,IF(WEEKDAY(CQ$6,1)=7,CQ32*CQ33,MAX(0,CQ33-8)*CQ32)))+((IF(CQ32&lt;=0,0,IF(WEEKDAY(CQ$6,1)=1,0,IF(WEEKDAY(CQ$6,1)=7,0,MIN(8,CQ33)*CQ32))))-MIN(IF(CQ32&lt;=0,0,IF(WEEKDAY(CQ$6,1)=1,0,IF(WEEKDAY(CQ$6,1)=7,0,MIN(8,CQ33)*CQ32))),MAX(0,40*MAX(1,CQ32)-(0)))))</f>
        <v>4</v>
      </c>
      <c r="CR35" s="63">
        <f>IF(AND(CR32=1,CR33=12),4,IF(CR32&lt;=0,0,IF(WEEKDAY(CR$6,1)=1,0,IF(WEEKDAY(CR$6,1)=7,CR32*CR33,MAX(0,CR33-8)*CR32)))+((IF(CR32&lt;=0,0,IF(WEEKDAY(CR$6,1)=1,0,IF(WEEKDAY(CR$6,1)=7,0,MIN(8,CR33)*CR32))))-MIN(IF(CR32&lt;=0,0,IF(WEEKDAY(CR$6,1)=1,0,IF(WEEKDAY(CR$6,1)=7,0,MIN(8,CR33)*CR32))),MAX(0,40*MAX(1,CR32)-(CQ34)))))</f>
        <v>4</v>
      </c>
      <c r="CS35" s="63">
        <f>IF(AND(CS32=1,CS33=12),4,IF(CS32&lt;=0,0,IF(WEEKDAY(CS$6,1)=1,0,IF(WEEKDAY(CS$6,1)=7,CS32*CS33,MAX(0,CS33-8)*CS32)))+((IF(CS32&lt;=0,0,IF(WEEKDAY(CS$6,1)=1,0,IF(WEEKDAY(CS$6,1)=7,0,MIN(8,CS33)*CS32))))-MIN(IF(CS32&lt;=0,0,IF(WEEKDAY(CS$6,1)=1,0,IF(WEEKDAY(CS$6,1)=7,0,MIN(8,CS33)*CS32))),MAX(0,40*MAX(1,CS32)-(CQ34+CR34)))))</f>
        <v>4</v>
      </c>
      <c r="CT35" s="63">
        <f>IF(AND(CT32=1,CT33=12),4,IF(CT32&lt;=0,0,IF(WEEKDAY(CT$6,1)=1,0,IF(WEEKDAY(CT$6,1)=7,CT32*CT33,MAX(0,CT33-8)*CT32)))+((IF(CT32&lt;=0,0,IF(WEEKDAY(CT$6,1)=1,0,IF(WEEKDAY(CT$6,1)=7,0,MIN(8,CT33)*CT32))))-MIN(IF(CT32&lt;=0,0,IF(WEEKDAY(CT$6,1)=1,0,IF(WEEKDAY(CT$6,1)=7,0,MIN(8,CT33)*CT32))),MAX(0,40*MAX(1,CT32)-(CQ34+CR34+CS34)))))</f>
        <v>4</v>
      </c>
      <c r="CU35" s="63">
        <f>IF(AND(CU32=1,CU33=12),4,IF(CU32&lt;=0,0,IF(WEEKDAY(CU$6,1)=1,0,IF(WEEKDAY(CU$6,1)=7,CU32*CU33,MAX(0,CU33-8)*CU32)))+((IF(CU32&lt;=0,0,IF(WEEKDAY(CU$6,1)=1,0,IF(WEEKDAY(CU$6,1)=7,0,MIN(8,CU33)*CU32))))-MIN(IF(CU32&lt;=0,0,IF(WEEKDAY(CU$6,1)=1,0,IF(WEEKDAY(CU$6,1)=7,0,MIN(8,CU33)*CU32))),MAX(0,40*MAX(1,CU32)-(CQ34+CR34+CS34+CT34)))))</f>
        <v>4</v>
      </c>
      <c r="CV35" s="64">
        <f>IF(AND(CV32=1,CV33=12),12,IF(CV32&lt;=0,0,IF(WEEKDAY(CV$6,1)=1,0,IF(WEEKDAY(CV$6,1)=7,CV32*CV33,MAX(0,CV33-8)*CV32)))+((IF(CV32&lt;=0,0,IF(WEEKDAY(CV$6,1)=1,0,IF(WEEKDAY(CV$6,1)=7,0,MIN(8,CV33)*CV32))))-MIN(IF(CV32&lt;=0,0,IF(WEEKDAY(CV$6,1)=1,0,IF(WEEKDAY(CV$6,1)=7,0,MIN(8,CV33)*CV32))),MAX(0,40*MAX(1,CV32)-(CQ34+CR34+CS34+CT34+CU34)))))</f>
        <v>12</v>
      </c>
      <c r="CW35" s="64">
        <f>IF(AND(CW32=1,CW33=12),0,IF(CW32&lt;=0,0,IF(WEEKDAY(CW$6,1)=1,0,IF(WEEKDAY(CW$6,1)=7,CW32*CW33,MAX(0,CW33-8)*CW32)))+((IF(CW32&lt;=0,0,IF(WEEKDAY(CW$6,1)=1,0,IF(WEEKDAY(CW$6,1)=7,0,MIN(8,CW33)*CW32))))-MIN(IF(CW32&lt;=0,0,IF(WEEKDAY(CW$6,1)=1,0,IF(WEEKDAY(CW$6,1)=7,0,MIN(8,CW33)*CW32))),MAX(0,40*MAX(1,CW32)-(CQ34+CR34+CS34+CT34+CU34+CV34)))))</f>
        <v>0</v>
      </c>
      <c r="CX35" s="63">
        <f>IF(AND(CX32=1,CX33=12),4,IF(CX32&lt;=0,0,IF(WEEKDAY(CX$6,1)=1,0,IF(WEEKDAY(CX$6,1)=7,CX32*CX33,MAX(0,CX33-8)*CX32)))+((IF(CX32&lt;=0,0,IF(WEEKDAY(CX$6,1)=1,0,IF(WEEKDAY(CX$6,1)=7,0,MIN(8,CX33)*CX32))))-MIN(IF(CX32&lt;=0,0,IF(WEEKDAY(CX$6,1)=1,0,IF(WEEKDAY(CX$6,1)=7,0,MIN(8,CX33)*CX32))),MAX(0,40*MAX(1,CX32)-(0)))))</f>
        <v>4</v>
      </c>
      <c r="CY35" s="63">
        <f>IF(AND(CY32=1,CY33=12),4,IF(CY32&lt;=0,0,IF(WEEKDAY(CY$6,1)=1,0,IF(WEEKDAY(CY$6,1)=7,CY32*CY33,MAX(0,CY33-8)*CY32)))+((IF(CY32&lt;=0,0,IF(WEEKDAY(CY$6,1)=1,0,IF(WEEKDAY(CY$6,1)=7,0,MIN(8,CY33)*CY32))))-MIN(IF(CY32&lt;=0,0,IF(WEEKDAY(CY$6,1)=1,0,IF(WEEKDAY(CY$6,1)=7,0,MIN(8,CY33)*CY32))),MAX(0,40*MAX(1,CY32)-(CX34)))))</f>
        <v>4</v>
      </c>
      <c r="CZ35" s="63">
        <f>IF(AND(CZ32=1,CZ33=12),4,IF(CZ32&lt;=0,0,IF(WEEKDAY(CZ$6,1)=1,0,IF(WEEKDAY(CZ$6,1)=7,CZ32*CZ33,MAX(0,CZ33-8)*CZ32)))+((IF(CZ32&lt;=0,0,IF(WEEKDAY(CZ$6,1)=1,0,IF(WEEKDAY(CZ$6,1)=7,0,MIN(8,CZ33)*CZ32))))-MIN(IF(CZ32&lt;=0,0,IF(WEEKDAY(CZ$6,1)=1,0,IF(WEEKDAY(CZ$6,1)=7,0,MIN(8,CZ33)*CZ32))),MAX(0,40*MAX(1,CZ32)-(CX34+CY34)))))</f>
        <v>4</v>
      </c>
      <c r="DA35" s="63">
        <f>IF(AND(DA32=1,DA33=12),4,IF(DA32&lt;=0,0,IF(WEEKDAY(DA$6,1)=1,0,IF(WEEKDAY(DA$6,1)=7,DA32*DA33,MAX(0,DA33-8)*DA32)))+((IF(DA32&lt;=0,0,IF(WEEKDAY(DA$6,1)=1,0,IF(WEEKDAY(DA$6,1)=7,0,MIN(8,DA33)*DA32))))-MIN(IF(DA32&lt;=0,0,IF(WEEKDAY(DA$6,1)=1,0,IF(WEEKDAY(DA$6,1)=7,0,MIN(8,DA33)*DA32))),MAX(0,40*MAX(1,DA32)-(CX34+CY34+CZ34)))))</f>
        <v>4</v>
      </c>
      <c r="DB35" s="63">
        <f>IF(AND(DB32=1,DB33=12),4,IF(DB32&lt;=0,0,IF(WEEKDAY(DB$6,1)=1,0,IF(WEEKDAY(DB$6,1)=7,DB32*DB33,MAX(0,DB33-8)*DB32)))+((IF(DB32&lt;=0,0,IF(WEEKDAY(DB$6,1)=1,0,IF(WEEKDAY(DB$6,1)=7,0,MIN(8,DB33)*DB32))))-MIN(IF(DB32&lt;=0,0,IF(WEEKDAY(DB$6,1)=1,0,IF(WEEKDAY(DB$6,1)=7,0,MIN(8,DB33)*DB32))),MAX(0,40*MAX(1,DB32)-(CX34+CY34+CZ34+DA34)))))</f>
        <v>4</v>
      </c>
      <c r="DC35" s="64">
        <f>IF(AND(DC32=1,DC33=12),12,IF(DC32&lt;=0,0,IF(WEEKDAY(DC$6,1)=1,0,IF(WEEKDAY(DC$6,1)=7,DC32*DC33,MAX(0,DC33-8)*DC32)))+((IF(DC32&lt;=0,0,IF(WEEKDAY(DC$6,1)=1,0,IF(WEEKDAY(DC$6,1)=7,0,MIN(8,DC33)*DC32))))-MIN(IF(DC32&lt;=0,0,IF(WEEKDAY(DC$6,1)=1,0,IF(WEEKDAY(DC$6,1)=7,0,MIN(8,DC33)*DC32))),MAX(0,40*MAX(1,DC32)-(CX34+CY34+CZ34+DA34+DB34)))))</f>
        <v>12</v>
      </c>
      <c r="DD35" s="64">
        <f>IF(AND(DD32=1,DD33=12),0,IF(DD32&lt;=0,0,IF(WEEKDAY(DD$6,1)=1,0,IF(WEEKDAY(DD$6,1)=7,DD32*DD33,MAX(0,DD33-8)*DD32)))+((IF(DD32&lt;=0,0,IF(WEEKDAY(DD$6,1)=1,0,IF(WEEKDAY(DD$6,1)=7,0,MIN(8,DD33)*DD32))))-MIN(IF(DD32&lt;=0,0,IF(WEEKDAY(DD$6,1)=1,0,IF(WEEKDAY(DD$6,1)=7,0,MIN(8,DD33)*DD32))),MAX(0,40*MAX(1,DD32)-(0)))))</f>
        <v>0</v>
      </c>
      <c r="DE35" s="63">
        <f>IF(AND(DE32=1,DE33=12),4,IF(DE32&lt;=0,0,IF(WEEKDAY(DE$6,1)=1,0,IF(WEEKDAY(DE$6,1)=7,DE32*DE33,MAX(0,DE33-8)*DE32)))+((IF(DE32&lt;=0,0,IF(WEEKDAY(DE$6,1)=1,0,IF(WEEKDAY(DE$6,1)=7,0,MIN(8,DE33)*DE32))))-MIN(IF(DE32&lt;=0,0,IF(WEEKDAY(DE$6,1)=1,0,IF(WEEKDAY(DE$6,1)=7,0,MIN(8,DE33)*DE32))),MAX(0,40*MAX(1,DE32)-(0)))))</f>
        <v>4</v>
      </c>
      <c r="DF35" s="63">
        <f>IF(AND(DF32=1,DF33=12),4,IF(DF32&lt;=0,0,IF(WEEKDAY(DF$6,1)=1,0,IF(WEEKDAY(DF$6,1)=7,DF32*DF33,MAX(0,DF33-8)*DF32)))+((IF(DF32&lt;=0,0,IF(WEEKDAY(DF$6,1)=1,0,IF(WEEKDAY(DF$6,1)=7,0,MIN(8,DF33)*DF32))))-MIN(IF(DF32&lt;=0,0,IF(WEEKDAY(DF$6,1)=1,0,IF(WEEKDAY(DF$6,1)=7,0,MIN(8,DF33)*DF32))),MAX(0,40*MAX(1,DF32)-(DE34)))))</f>
        <v>4</v>
      </c>
      <c r="DG35" s="63">
        <f>IF(AND(DG32=1,DG33=12),4,IF(DG32&lt;=0,0,IF(WEEKDAY(DG$6,1)=1,0,IF(WEEKDAY(DG$6,1)=7,DG32*DG33,MAX(0,DG33-8)*DG32)))+((IF(DG32&lt;=0,0,IF(WEEKDAY(DG$6,1)=1,0,IF(WEEKDAY(DG$6,1)=7,0,MIN(8,DG33)*DG32))))-MIN(IF(DG32&lt;=0,0,IF(WEEKDAY(DG$6,1)=1,0,IF(WEEKDAY(DG$6,1)=7,0,MIN(8,DG33)*DG32))),MAX(0,40*MAX(1,DG32)-(DE34+DF34)))))</f>
        <v>4</v>
      </c>
      <c r="DH35" s="63">
        <f>IF(AND(DH32=1,DH33=12),4,IF(DH32&lt;=0,0,IF(WEEKDAY(DH$6,1)=1,0,IF(WEEKDAY(DH$6,1)=7,DH32*DH33,MAX(0,DH33-8)*DH32)))+((IF(DH32&lt;=0,0,IF(WEEKDAY(DH$6,1)=1,0,IF(WEEKDAY(DH$6,1)=7,0,MIN(8,DH33)*DH32))))-MIN(IF(DH32&lt;=0,0,IF(WEEKDAY(DH$6,1)=1,0,IF(WEEKDAY(DH$6,1)=7,0,MIN(8,DH33)*DH32))),MAX(0,40*MAX(1,DH32)-(DE34+DF34+DG34)))))</f>
        <v>4</v>
      </c>
      <c r="DI35" s="63">
        <f>IF(AND(DI32=1,DI33=12),4,IF(DI32&lt;=0,0,IF(WEEKDAY(DI$6,1)=1,0,IF(WEEKDAY(DI$6,1)=7,DI32*DI33,MAX(0,DI33-8)*DI32)))+((IF(DI32&lt;=0,0,IF(WEEKDAY(DI$6,1)=1,0,IF(WEEKDAY(DI$6,1)=7,0,MIN(8,DI33)*DI32))))-MIN(IF(DI32&lt;=0,0,IF(WEEKDAY(DI$6,1)=1,0,IF(WEEKDAY(DI$6,1)=7,0,MIN(8,DI33)*DI32))),MAX(0,40*MAX(1,DI32)-(DE34+DF34+DG34+DH34)))))</f>
        <v>4</v>
      </c>
      <c r="DJ35" s="64">
        <f>IF(AND(DJ32=1,DJ33=12),12,IF(DJ32&lt;=0,0,IF(WEEKDAY(DJ$6,1)=1,0,IF(WEEKDAY(DJ$6,1)=7,DJ32*DJ33,MAX(0,DJ33-8)*DJ32)))+((IF(DJ32&lt;=0,0,IF(WEEKDAY(DJ$6,1)=1,0,IF(WEEKDAY(DJ$6,1)=7,0,MIN(8,DJ33)*DJ32))))-MIN(IF(DJ32&lt;=0,0,IF(WEEKDAY(DJ$6,1)=1,0,IF(WEEKDAY(DJ$6,1)=7,0,MIN(8,DJ33)*DJ32))),MAX(0,40*MAX(1,DJ32)-(DE34+DF34+DG34+DH34+DI34)))))</f>
        <v>12</v>
      </c>
      <c r="DK35" s="64">
        <f>IF(AND(DK32=1,DK33=12),0,IF(DK32&lt;=0,0,IF(WEEKDAY(DK$6,1)=1,0,IF(WEEKDAY(DK$6,1)=7,DK32*DK33,MAX(0,DK33-8)*DK32)))+((IF(DK32&lt;=0,0,IF(WEEKDAY(DK$6,1)=1,0,IF(WEEKDAY(DK$6,1)=7,0,MIN(8,DK33)*DK32))))-MIN(IF(DK32&lt;=0,0,IF(WEEKDAY(DK$6,1)=1,0,IF(WEEKDAY(DK$6,1)=7,0,MIN(8,DK33)*DK32))),MAX(0,40*MAX(1,DK32)-(DE34+DF34+DG34+DH34+DI34+DJ34)))))</f>
        <v>0</v>
      </c>
      <c r="DL35" s="63">
        <f>IF(AND(DL32=1,DL33=12),4,IF(DL32&lt;=0,0,IF(WEEKDAY(DL$6,1)=1,0,IF(WEEKDAY(DL$6,1)=7,DL32*DL33,MAX(0,DL33-8)*DL32)))+((IF(DL32&lt;=0,0,IF(WEEKDAY(DL$6,1)=1,0,IF(WEEKDAY(DL$6,1)=7,0,MIN(8,DL33)*DL32))))-MIN(IF(DL32&lt;=0,0,IF(WEEKDAY(DL$6,1)=1,0,IF(WEEKDAY(DL$6,1)=7,0,MIN(8,DL33)*DL32))),MAX(0,40*MAX(1,DL32)-(0)))))</f>
        <v>4</v>
      </c>
      <c r="DM35" s="63">
        <f>IF(AND(DM32=1,DM33=12),4,IF(DM32&lt;=0,0,IF(WEEKDAY(DM$6,1)=1,0,IF(WEEKDAY(DM$6,1)=7,DM32*DM33,MAX(0,DM33-8)*DM32)))+((IF(DM32&lt;=0,0,IF(WEEKDAY(DM$6,1)=1,0,IF(WEEKDAY(DM$6,1)=7,0,MIN(8,DM33)*DM32))))-MIN(IF(DM32&lt;=0,0,IF(WEEKDAY(DM$6,1)=1,0,IF(WEEKDAY(DM$6,1)=7,0,MIN(8,DM33)*DM32))),MAX(0,40*MAX(1,DM32)-(DL34)))))</f>
        <v>4</v>
      </c>
      <c r="DN35" s="63">
        <f>IF(AND(DN32=1,DN33=12),4,IF(DN32&lt;=0,0,IF(WEEKDAY(DN$6,1)=1,0,IF(WEEKDAY(DN$6,1)=7,DN32*DN33,MAX(0,DN33-8)*DN32)))+((IF(DN32&lt;=0,0,IF(WEEKDAY(DN$6,1)=1,0,IF(WEEKDAY(DN$6,1)=7,0,MIN(8,DN33)*DN32))))-MIN(IF(DN32&lt;=0,0,IF(WEEKDAY(DN$6,1)=1,0,IF(WEEKDAY(DN$6,1)=7,0,MIN(8,DN33)*DN32))),MAX(0,40*MAX(1,DN32)-(DL34+DM34)))))</f>
        <v>4</v>
      </c>
      <c r="DO35" s="63">
        <f>IF(AND(DO32=1,DO33=12),4,IF(DO32&lt;=0,0,IF(WEEKDAY(DO$6,1)=1,0,IF(WEEKDAY(DO$6,1)=7,DO32*DO33,MAX(0,DO33-8)*DO32)))+((IF(DO32&lt;=0,0,IF(WEEKDAY(DO$6,1)=1,0,IF(WEEKDAY(DO$6,1)=7,0,MIN(8,DO33)*DO32))))-MIN(IF(DO32&lt;=0,0,IF(WEEKDAY(DO$6,1)=1,0,IF(WEEKDAY(DO$6,1)=7,0,MIN(8,DO33)*DO32))),MAX(0,40*MAX(1,DO32)-(DL34+DM34+DN34)))))</f>
        <v>4</v>
      </c>
      <c r="DP35" s="63">
        <f>IF(AND(DP32=1,DP33=12),4,IF(DP32&lt;=0,0,IF(WEEKDAY(DP$6,1)=1,0,IF(WEEKDAY(DP$6,1)=7,DP32*DP33,MAX(0,DP33-8)*DP32)))+((IF(DP32&lt;=0,0,IF(WEEKDAY(DP$6,1)=1,0,IF(WEEKDAY(DP$6,1)=7,0,MIN(8,DP33)*DP32))))-MIN(IF(DP32&lt;=0,0,IF(WEEKDAY(DP$6,1)=1,0,IF(WEEKDAY(DP$6,1)=7,0,MIN(8,DP33)*DP32))),MAX(0,40*MAX(1,DP32)-(DL34+DM34+DN34+DO34)))))</f>
        <v>4</v>
      </c>
      <c r="DQ35" s="64">
        <f>IF(AND(DQ32=1,DQ33=12),12,IF(DQ32&lt;=0,0,IF(WEEKDAY(DQ$6,1)=1,0,IF(WEEKDAY(DQ$6,1)=7,DQ32*DQ33,MAX(0,DQ33-8)*DQ32)))+((IF(DQ32&lt;=0,0,IF(WEEKDAY(DQ$6,1)=1,0,IF(WEEKDAY(DQ$6,1)=7,0,MIN(8,DQ33)*DQ32))))-MIN(IF(DQ32&lt;=0,0,IF(WEEKDAY(DQ$6,1)=1,0,IF(WEEKDAY(DQ$6,1)=7,0,MIN(8,DQ33)*DQ32))),MAX(0,40*MAX(1,DQ32)-(DL34+DM34+DN34+DO34+DP34)))))</f>
        <v>12</v>
      </c>
      <c r="DR35" s="64">
        <f>IF(AND(DR32=1,DR33=12),0,IF(DR32&lt;=0,0,IF(WEEKDAY(DR$6,1)=1,0,IF(WEEKDAY(DR$6,1)=7,DR32*DR33,MAX(0,DR33-8)*DR32)))+((IF(DR32&lt;=0,0,IF(WEEKDAY(DR$6,1)=1,0,IF(WEEKDAY(DR$6,1)=7,0,MIN(8,DR33)*DR32))))-MIN(IF(DR32&lt;=0,0,IF(WEEKDAY(DR$6,1)=1,0,IF(WEEKDAY(DR$6,1)=7,0,MIN(8,DR33)*DR32))),MAX(0,40*MAX(1,DR32)-(DL34+DM34+DN34+DO34+DP34+DQ34)))))</f>
        <v>0</v>
      </c>
      <c r="DS35" s="63">
        <f>IF(AND(DS32=1,DS33=12),4,IF(DS32&lt;=0,0,IF(WEEKDAY(DS$6,1)=1,0,IF(WEEKDAY(DS$6,1)=7,DS32*DS33,MAX(0,DS33-8)*DS32)))+((IF(DS32&lt;=0,0,IF(WEEKDAY(DS$6,1)=1,0,IF(WEEKDAY(DS$6,1)=7,0,MIN(8,DS33)*DS32))))-MIN(IF(DS32&lt;=0,0,IF(WEEKDAY(DS$6,1)=1,0,IF(WEEKDAY(DS$6,1)=7,0,MIN(8,DS33)*DS32))),MAX(0,40*MAX(1,DS32)-(0)))))</f>
        <v>4</v>
      </c>
      <c r="DT35" s="63">
        <f>IF(AND(DT32=0,DT33=0),0,IF(DT32&lt;=0,0,IF(WEEKDAY(DT$6,1)=1,0,IF(WEEKDAY(DT$6,1)=7,DT32*DT33,MAX(0,DT33-8)*DT32)))+((IF(DT32&lt;=0,0,IF(WEEKDAY(DT$6,1)=1,0,IF(WEEKDAY(DT$6,1)=7,0,MIN(8,DT33)*DT32))))-MIN(IF(DT32&lt;=0,0,IF(WEEKDAY(DT$6,1)=1,0,IF(WEEKDAY(DT$6,1)=7,0,MIN(8,DT33)*DT32))),MAX(0,40*MAX(1,DT32)-(0)))))</f>
        <v>0</v>
      </c>
      <c r="DU35" s="63">
        <f>IF(AND(DU32=0,DU33=0),0,IF(DU32&lt;=0,0,IF(WEEKDAY(DU$6,1)=1,0,IF(WEEKDAY(DU$6,1)=7,DU32*DU33,MAX(0,DU33-8)*DU32)))+((IF(DU32&lt;=0,0,IF(WEEKDAY(DU$6,1)=1,0,IF(WEEKDAY(DU$6,1)=7,0,MIN(8,DU33)*DU32))))-MIN(IF(DU32&lt;=0,0,IF(WEEKDAY(DU$6,1)=1,0,IF(WEEKDAY(DU$6,1)=7,0,MIN(8,DU33)*DU32))),MAX(0,40*MAX(1,DU32)-(DT34)))))</f>
        <v>0</v>
      </c>
      <c r="DV35" s="63">
        <f>IF(AND(DV32=0,DV33=0),0,IF(DV32&lt;=0,0,IF(WEEKDAY(DV$6,1)=1,0,IF(WEEKDAY(DV$6,1)=7,DV32*DV33,MAX(0,DV33-8)*DV32)))+((IF(DV32&lt;=0,0,IF(WEEKDAY(DV$6,1)=1,0,IF(WEEKDAY(DV$6,1)=7,0,MIN(8,DV33)*DV32))))-MIN(IF(DV32&lt;=0,0,IF(WEEKDAY(DV$6,1)=1,0,IF(WEEKDAY(DV$6,1)=7,0,MIN(8,DV33)*DV32))),MAX(0,40*MAX(1,DV32)-(DT34+DU34)))))</f>
        <v>0</v>
      </c>
      <c r="DW35" s="63">
        <f>IF(AND(DW32=0,DW33=0),0,IF(DW32&lt;=0,0,IF(WEEKDAY(DW$6,1)=1,0,IF(WEEKDAY(DW$6,1)=7,DW32*DW33,MAX(0,DW33-8)*DW32)))+((IF(DW32&lt;=0,0,IF(WEEKDAY(DW$6,1)=1,0,IF(WEEKDAY(DW$6,1)=7,0,MIN(8,DW33)*DW32))))-MIN(IF(DW32&lt;=0,0,IF(WEEKDAY(DW$6,1)=1,0,IF(WEEKDAY(DW$6,1)=7,0,MIN(8,DW33)*DW32))),MAX(0,40*MAX(1,DW32)-(DT34+DU34+DV34)))))</f>
        <v>0</v>
      </c>
      <c r="DX35" s="64">
        <f>IF(AND(DX32=0,DX33=0),0,IF(DX32&lt;=0,0,IF(WEEKDAY(DX$6,1)=1,0,IF(WEEKDAY(DX$6,1)=7,DX32*DX33,MAX(0,DX33-8)*DX32)))+((IF(DX32&lt;=0,0,IF(WEEKDAY(DX$6,1)=1,0,IF(WEEKDAY(DX$6,1)=7,0,MIN(8,DX33)*DX32))))-MIN(IF(DX32&lt;=0,0,IF(WEEKDAY(DX$6,1)=1,0,IF(WEEKDAY(DX$6,1)=7,0,MIN(8,DX33)*DX32))),MAX(0,40*MAX(1,DX32)-(DT34+DU34+DV34+DW34)))))</f>
        <v>0</v>
      </c>
      <c r="DY35" s="64">
        <f>IF(AND(DY32=0,DY33=0),0,IF(DY32&lt;=0,0,IF(WEEKDAY(DY$6,1)=1,0,IF(WEEKDAY(DY$6,1)=7,DY32*DY33,MAX(0,DY33-8)*DY32)))+((IF(DY32&lt;=0,0,IF(WEEKDAY(DY$6,1)=1,0,IF(WEEKDAY(DY$6,1)=7,0,MIN(8,DY33)*DY32))))-MIN(IF(DY32&lt;=0,0,IF(WEEKDAY(DY$6,1)=1,0,IF(WEEKDAY(DY$6,1)=7,0,MIN(8,DY33)*DY32))),MAX(0,40*MAX(1,DY32)-(DT34+DU34+DV34+DW34+DX34)))))</f>
        <v>0</v>
      </c>
      <c r="DZ35" s="63">
        <f>IF(AND(DZ32=0,DZ33=0),0,IF(DZ32&lt;=0,0,IF(WEEKDAY(DZ$6,1)=1,0,IF(WEEKDAY(DZ$6,1)=7,DZ32*DZ33,MAX(0,DZ33-8)*DZ32)))+((IF(DZ32&lt;=0,0,IF(WEEKDAY(DZ$6,1)=1,0,IF(WEEKDAY(DZ$6,1)=7,0,MIN(8,DZ33)*DZ32))))-MIN(IF(DZ32&lt;=0,0,IF(WEEKDAY(DZ$6,1)=1,0,IF(WEEKDAY(DZ$6,1)=7,0,MIN(8,DZ33)*DZ32))),MAX(0,40*MAX(1,DZ32)-(0)))))</f>
        <v>0</v>
      </c>
      <c r="EA35" s="63">
        <f>IF(AND(EA32=0,EA33=0),0,IF(EA32&lt;=0,0,IF(WEEKDAY(EA$6,1)=1,0,IF(WEEKDAY(EA$6,1)=7,EA32*EA33,MAX(0,EA33-8)*EA32)))+((IF(EA32&lt;=0,0,IF(WEEKDAY(EA$6,1)=1,0,IF(WEEKDAY(EA$6,1)=7,0,MIN(8,EA33)*EA32))))-MIN(IF(EA32&lt;=0,0,IF(WEEKDAY(EA$6,1)=1,0,IF(WEEKDAY(EA$6,1)=7,0,MIN(8,EA33)*EA32))),MAX(0,40*MAX(1,EA32)-(DZ34)))))</f>
        <v>0</v>
      </c>
      <c r="EB35" s="63">
        <f>IF(AND(EB32=0,EB33=0),0,IF(EB32&lt;=0,0,IF(WEEKDAY(EB$6,1)=1,0,IF(WEEKDAY(EB$6,1)=7,EB32*EB33,MAX(0,EB33-8)*EB32)))+((IF(EB32&lt;=0,0,IF(WEEKDAY(EB$6,1)=1,0,IF(WEEKDAY(EB$6,1)=7,0,MIN(8,EB33)*EB32))))-MIN(IF(EB32&lt;=0,0,IF(WEEKDAY(EB$6,1)=1,0,IF(WEEKDAY(EB$6,1)=7,0,MIN(8,EB33)*EB32))),MAX(0,40*MAX(1,EB32)-(DZ34+EA34)))))</f>
        <v>0</v>
      </c>
      <c r="EC35" s="63">
        <f>IF(AND(EC32=0,EC33=0),0,IF(EC32&lt;=0,0,IF(WEEKDAY(EC$6,1)=1,0,IF(WEEKDAY(EC$6,1)=7,EC32*EC33,MAX(0,EC33-8)*EC32)))+((IF(EC32&lt;=0,0,IF(WEEKDAY(EC$6,1)=1,0,IF(WEEKDAY(EC$6,1)=7,0,MIN(8,EC33)*EC32))))-MIN(IF(EC32&lt;=0,0,IF(WEEKDAY(EC$6,1)=1,0,IF(WEEKDAY(EC$6,1)=7,0,MIN(8,EC33)*EC32))),MAX(0,40*MAX(1,EC32)-(DZ34+EA34+EB34)))))</f>
        <v>0</v>
      </c>
      <c r="ED35" s="63">
        <f>IF(AND(ED32=0,ED33=0),0,IF(ED32&lt;=0,0,IF(WEEKDAY(ED$6,1)=1,0,IF(WEEKDAY(ED$6,1)=7,ED32*ED33,MAX(0,ED33-8)*ED32)))+((IF(ED32&lt;=0,0,IF(WEEKDAY(ED$6,1)=1,0,IF(WEEKDAY(ED$6,1)=7,0,MIN(8,ED33)*ED32))))-MIN(IF(ED32&lt;=0,0,IF(WEEKDAY(ED$6,1)=1,0,IF(WEEKDAY(ED$6,1)=7,0,MIN(8,ED33)*ED32))),MAX(0,40*MAX(1,ED32)-(DZ34+EA34+EB34+EC34)))))</f>
        <v>0</v>
      </c>
      <c r="EE35" s="64">
        <f>IF(AND(EE32=0,EE33=0),0,IF(EE32&lt;=0,0,IF(WEEKDAY(EE$6,1)=1,0,IF(WEEKDAY(EE$6,1)=7,EE32*EE33,MAX(0,EE33-8)*EE32)))+((IF(EE32&lt;=0,0,IF(WEEKDAY(EE$6,1)=1,0,IF(WEEKDAY(EE$6,1)=7,0,MIN(8,EE33)*EE32))))-MIN(IF(EE32&lt;=0,0,IF(WEEKDAY(EE$6,1)=1,0,IF(WEEKDAY(EE$6,1)=7,0,MIN(8,EE33)*EE32))),MAX(0,40*MAX(1,EE32)-(DZ34+EA34+EB34+EC34+ED34)))))</f>
        <v>0</v>
      </c>
      <c r="EF35" s="64">
        <f>IF(AND(EF32=0,EF33=0),0,IF(EF32&lt;=0,0,IF(WEEKDAY(EF$6,1)=1,0,IF(WEEKDAY(EF$6,1)=7,EF32*EF33,MAX(0,EF33-8)*EF32)))+((IF(EF32&lt;=0,0,IF(WEEKDAY(EF$6,1)=1,0,IF(WEEKDAY(EF$6,1)=7,0,MIN(8,EF33)*EF32))))-MIN(IF(EF32&lt;=0,0,IF(WEEKDAY(EF$6,1)=1,0,IF(WEEKDAY(EF$6,1)=7,0,MIN(8,EF33)*EF32))),MAX(0,40*MAX(1,EF32)-(DZ34+EA34+EB34+EC34+ED34+EE34)))))</f>
        <v>0</v>
      </c>
      <c r="EG35" s="63">
        <f>IF(AND(EG32=0,EG33=0),0,IF(EG32&lt;=0,0,IF(WEEKDAY(EG$6,1)=1,0,IF(WEEKDAY(EG$6,1)=7,EG32*EG33,MAX(0,EG33-8)*EG32)))+((IF(EG32&lt;=0,0,IF(WEEKDAY(EG$6,1)=1,0,IF(WEEKDAY(EG$6,1)=7,0,MIN(8,EG33)*EG32))))-MIN(IF(EG32&lt;=0,0,IF(WEEKDAY(EG$6,1)=1,0,IF(WEEKDAY(EG$6,1)=7,0,MIN(8,EG33)*EG32))),MAX(0,40*MAX(1,EG32)-(0)))))</f>
        <v>0</v>
      </c>
      <c r="EH35" s="63">
        <f>IF(AND(EH32=0,EH33=0),0,IF(EH32&lt;=0,0,IF(WEEKDAY(EH$6,1)=1,0,IF(WEEKDAY(EH$6,1)=7,EH32*EH33,MAX(0,EH33-8)*EH32)))+((IF(EH32&lt;=0,0,IF(WEEKDAY(EH$6,1)=1,0,IF(WEEKDAY(EH$6,1)=7,0,MIN(8,EH33)*EH32))))-MIN(IF(EH32&lt;=0,0,IF(WEEKDAY(EH$6,1)=1,0,IF(WEEKDAY(EH$6,1)=7,0,MIN(8,EH33)*EH32))),MAX(0,40*MAX(1,EH32)-(EG34)))))</f>
        <v>0</v>
      </c>
      <c r="EI35" s="63">
        <f>IF(AND(EI32=0,EI33=0),0,IF(EI32&lt;=0,0,IF(WEEKDAY(EI$6,1)=1,0,IF(WEEKDAY(EI$6,1)=7,EI32*EI33,MAX(0,EI33-8)*EI32)))+((IF(EI32&lt;=0,0,IF(WEEKDAY(EI$6,1)=1,0,IF(WEEKDAY(EI$6,1)=7,0,MIN(8,EI33)*EI32))))-MIN(IF(EI32&lt;=0,0,IF(WEEKDAY(EI$6,1)=1,0,IF(WEEKDAY(EI$6,1)=7,0,MIN(8,EI33)*EI32))),MAX(0,40*MAX(1,EI32)-(EG34+EH34)))))</f>
        <v>0</v>
      </c>
      <c r="EJ35" s="63">
        <f>IF(AND(EJ32=0,EJ33=0),0,IF(EJ32&lt;=0,0,IF(WEEKDAY(EJ$6,1)=1,0,IF(WEEKDAY(EJ$6,1)=7,EJ32*EJ33,MAX(0,EJ33-8)*EJ32)))+((IF(EJ32&lt;=0,0,IF(WEEKDAY(EJ$6,1)=1,0,IF(WEEKDAY(EJ$6,1)=7,0,MIN(8,EJ33)*EJ32))))-MIN(IF(EJ32&lt;=0,0,IF(WEEKDAY(EJ$6,1)=1,0,IF(WEEKDAY(EJ$6,1)=7,0,MIN(8,EJ33)*EJ32))),MAX(0,40*MAX(1,EJ32)-(EG34+EH34+EI34)))))</f>
        <v>0</v>
      </c>
      <c r="EK35" s="65">
        <f>IF(AND(EK32=0,EK33=0),0,IF(EK32&lt;=0,0,IF(WEEKDAY(EK$6,1)=1,0,IF(WEEKDAY(EK$6,1)=7,EK32*EK33,MAX(0,EK33-8)*EK32)))+((IF(EK32&lt;=0,0,IF(WEEKDAY(EK$6,1)=1,0,IF(WEEKDAY(EK$6,1)=7,0,MIN(8,EK33)*EK32))))-MIN(IF(EK32&lt;=0,0,IF(WEEKDAY(EK$6,1)=1,0,IF(WEEKDAY(EK$6,1)=7,0,MIN(8,EK33)*EK32))),MAX(0,40*MAX(1,EK32)-(EG34+EH34+EI34+EJ34)))))</f>
        <v>0</v>
      </c>
      <c r="OU35" s="28" t="s">
        <v>124</v>
      </c>
    </row>
    <row r="36" ht="16" customHeight="1" spans="1:411" x14ac:dyDescent="0.25">
      <c r="A36" s="74"/>
      <c r="B36" s="79"/>
      <c r="C36" s="61">
        <f>H31*N(D36)</f>
        <v>15378.119999999999</v>
      </c>
      <c r="D36" s="61">
        <f>IF(TRIM(IF(TRIM(B35)&lt;&gt;"",B35,B31))="","No rate",IFERROR(INDEX('Rate Tables'!E$7:E$158,MATCH(IF(TRIM(B35)&lt;&gt;"",B35,B31),'Rate Tables'!A$7:A$158,0)),"No rate"))</f>
        <v>142.39</v>
      </c>
      <c r="E36" s="55" t="s">
        <v>64</v>
      </c>
      <c r="F36" s="49"/>
      <c r="G36" s="49"/>
      <c r="H36" s="49"/>
      <c r="I36" s="49"/>
      <c r="J36" s="50"/>
      <c r="K36" s="62">
        <f>IF(AND(K32=0,K33=0),0,IF(K32&lt;=0,0,IF(WEEKDAY(K$6,1)=1,K32*K33,0)))</f>
        <v>0</v>
      </c>
      <c r="L36" s="63">
        <f>IF(AND(L32=0,L33=0),0,IF(L32&lt;=0,0,IF(WEEKDAY(L$6,1)=1,L32*L33,0)))</f>
        <v>0</v>
      </c>
      <c r="M36" s="63">
        <f>IF(AND(M32=0,M33=0),0,IF(M32&lt;=0,0,IF(WEEKDAY(M$6,1)=1,M32*M33,0)))</f>
        <v>0</v>
      </c>
      <c r="N36" s="63">
        <f>IF(AND(N32=0,N33=0),0,IF(N32&lt;=0,0,IF(WEEKDAY(N$6,1)=1,N32*N33,0)))</f>
        <v>0</v>
      </c>
      <c r="O36" s="63">
        <f>IF(AND(O32=0,O33=0),0,IF(O32&lt;=0,0,IF(WEEKDAY(O$6,1)=1,O32*O33,0)))</f>
        <v>0</v>
      </c>
      <c r="P36" s="64">
        <f>IF(AND(P32=0,P33=0),0,IF(P32&lt;=0,0,IF(WEEKDAY(P$6,1)=1,P32*P33,0)))</f>
        <v>0</v>
      </c>
      <c r="Q36" s="64">
        <f>IF(AND(Q32=0,Q33=0),0,IF(Q32&lt;=0,0,IF(WEEKDAY(Q$6,1)=1,Q32*Q33,0)))</f>
        <v>0</v>
      </c>
      <c r="R36" s="63">
        <f>IF(AND(R32=0,R33=0),0,IF(R32&lt;=0,0,IF(WEEKDAY(R$6,1)=1,R32*R33,0)))</f>
        <v>0</v>
      </c>
      <c r="S36" s="63">
        <f>IF(AND(S32=0,S33=0),0,IF(S32&lt;=0,0,IF(WEEKDAY(S$6,1)=1,S32*S33,0)))</f>
        <v>0</v>
      </c>
      <c r="T36" s="63">
        <f>IF(AND(T32=0,T33=0),0,IF(T32&lt;=0,0,IF(WEEKDAY(T$6,1)=1,T32*T33,0)))</f>
        <v>0</v>
      </c>
      <c r="U36" s="63">
        <f>IF(AND(U32=0,U33=0),0,IF(U32&lt;=0,0,IF(WEEKDAY(U$6,1)=1,U32*U33,0)))</f>
        <v>0</v>
      </c>
      <c r="V36" s="63">
        <f>IF(AND(V32=0,V33=0),0,IF(V32&lt;=0,0,IF(WEEKDAY(V$6,1)=1,V32*V33,0)))</f>
        <v>0</v>
      </c>
      <c r="W36" s="64">
        <f>IF(AND(W32=0,W33=0),0,IF(W32&lt;=0,0,IF(WEEKDAY(W$6,1)=1,W32*W33,0)))</f>
        <v>0</v>
      </c>
      <c r="X36" s="64">
        <f>IF(AND(X32=0,X33=0),0,IF(X32&lt;=0,0,IF(WEEKDAY(X$6,1)=1,X32*X33,0)))</f>
        <v>0</v>
      </c>
      <c r="Y36" s="63">
        <f>IF(AND(Y32=0,Y33=0),0,IF(Y32&lt;=0,0,IF(WEEKDAY(Y$6,1)=1,Y32*Y33,0)))</f>
        <v>0</v>
      </c>
      <c r="Z36" s="63">
        <f>IF(AND(Z32=0,Z33=0),0,IF(Z32&lt;=0,0,IF(WEEKDAY(Z$6,1)=1,Z32*Z33,0)))</f>
        <v>0</v>
      </c>
      <c r="AA36" s="63">
        <f>IF(AND(AA32=0,AA33=0),0,IF(AA32&lt;=0,0,IF(WEEKDAY(AA$6,1)=1,AA32*AA33,0)))</f>
        <v>0</v>
      </c>
      <c r="AB36" s="63">
        <f>IF(AND(AB32=0,AB33=0),0,IF(AB32&lt;=0,0,IF(WEEKDAY(AB$6,1)=1,AB32*AB33,0)))</f>
        <v>0</v>
      </c>
      <c r="AC36" s="63">
        <f>IF(AND(AC32=0,AC33=0),0,IF(AC32&lt;=0,0,IF(WEEKDAY(AC$6,1)=1,AC32*AC33,0)))</f>
        <v>0</v>
      </c>
      <c r="AD36" s="64">
        <f>IF(AND(AD32=0,AD33=0),0,IF(AD32&lt;=0,0,IF(WEEKDAY(AD$6,1)=1,AD32*AD33,0)))</f>
        <v>0</v>
      </c>
      <c r="AE36" s="64">
        <f>IF(AND(AE32=0,AE33=0),0,IF(AE32&lt;=0,0,IF(WEEKDAY(AE$6,1)=1,AE32*AE33,0)))</f>
        <v>0</v>
      </c>
      <c r="AF36" s="63">
        <f>IF(AND(AF32=0,AF33=0),0,IF(AF32&lt;=0,0,IF(WEEKDAY(AF$6,1)=1,AF32*AF33,0)))</f>
        <v>0</v>
      </c>
      <c r="AG36" s="63">
        <f>IF(AND(AG32=0,AG33=0),0,IF(AG32&lt;=0,0,IF(WEEKDAY(AG$6,1)=1,AG32*AG33,0)))</f>
        <v>0</v>
      </c>
      <c r="AH36" s="63">
        <f>IF(AND(AH32=0,AH33=0),0,IF(AH32&lt;=0,0,IF(WEEKDAY(AH$6,1)=1,AH32*AH33,0)))</f>
        <v>0</v>
      </c>
      <c r="AI36" s="63">
        <f>IF(AND(AI32=0,AI33=0),0,IF(AI32&lt;=0,0,IF(WEEKDAY(AI$6,1)=1,AI32*AI33,0)))</f>
        <v>0</v>
      </c>
      <c r="AJ36" s="63">
        <f>IF(AND(AJ32=0,AJ33=0),0,IF(AJ32&lt;=0,0,IF(WEEKDAY(AJ$6,1)=1,AJ32*AJ33,0)))</f>
        <v>0</v>
      </c>
      <c r="AK36" s="64">
        <f>IF(AND(AK32=0,AK33=0),0,IF(AK32&lt;=0,0,IF(WEEKDAY(AK$6,1)=1,AK32*AK33,0)))</f>
        <v>0</v>
      </c>
      <c r="AL36" s="64">
        <f>IF(AND(AL32=0,AL33=0),0,IF(AL32&lt;=0,0,IF(WEEKDAY(AL$6,1)=1,AL32*AL33,0)))</f>
        <v>0</v>
      </c>
      <c r="AM36" s="63">
        <f>IF(AND(AM32=0,AM33=0),0,IF(AM32&lt;=0,0,IF(WEEKDAY(AM$6,1)=1,AM32*AM33,0)))</f>
        <v>0</v>
      </c>
      <c r="AN36" s="63">
        <f>IF(AND(AN32=0,AN33=0),0,IF(AN32&lt;=0,0,IF(WEEKDAY(AN$6,1)=1,AN32*AN33,0)))</f>
        <v>0</v>
      </c>
      <c r="AO36" s="63">
        <f>IF(AND(AO32=0,AO33=0),0,IF(AO32&lt;=0,0,IF(WEEKDAY(AO$6,1)=1,AO32*AO33,0)))</f>
        <v>0</v>
      </c>
      <c r="AP36" s="63">
        <f>IF(AND(AP32=0,AP33=0),0,IF(AP32&lt;=0,0,IF(WEEKDAY(AP$6,1)=1,AP32*AP33,0)))</f>
        <v>0</v>
      </c>
      <c r="AQ36" s="63">
        <f>IF(AND(AQ32=0,AQ33=0),0,IF(AQ32&lt;=0,0,IF(WEEKDAY(AQ$6,1)=1,AQ32*AQ33,0)))</f>
        <v>0</v>
      </c>
      <c r="AR36" s="64">
        <f>IF(AND(AR32=0,AR33=0),0,IF(AR32&lt;=0,0,IF(WEEKDAY(AR$6,1)=1,AR32*AR33,0)))</f>
        <v>0</v>
      </c>
      <c r="AS36" s="64">
        <f>IF(AND(AS32=0,AS33=0),0,IF(AS32&lt;=0,0,IF(WEEKDAY(AS$6,1)=1,AS32*AS33,0)))</f>
        <v>0</v>
      </c>
      <c r="AT36" s="63">
        <f>IF(AND(AT32=0,AT33=0),0,IF(AT32&lt;=0,0,IF(WEEKDAY(AT$6,1)=1,AT32*AT33,0)))</f>
        <v>0</v>
      </c>
      <c r="AU36" s="63">
        <f>IF(AND(AU32=0,AU33=0),0,IF(AU32&lt;=0,0,IF(WEEKDAY(AU$6,1)=1,AU32*AU33,0)))</f>
        <v>0</v>
      </c>
      <c r="AV36" s="63">
        <f>IF(AND(AV32=0,AV33=0),0,IF(AV32&lt;=0,0,IF(WEEKDAY(AV$6,1)=1,AV32*AV33,0)))</f>
        <v>0</v>
      </c>
      <c r="AW36" s="63">
        <f>IF(AND(AW32=0,AW33=0),0,IF(AW32&lt;=0,0,IF(WEEKDAY(AW$6,1)=1,AW32*AW33,0)))</f>
        <v>0</v>
      </c>
      <c r="AX36" s="63">
        <f>IF(AND(AX32=0,AX33=0),0,IF(AX32&lt;=0,0,IF(WEEKDAY(AX$6,1)=1,AX32*AX33,0)))</f>
        <v>0</v>
      </c>
      <c r="AY36" s="64">
        <f>IF(AND(AY32=0,AY33=0),0,IF(AY32&lt;=0,0,IF(WEEKDAY(AY$6,1)=1,AY32*AY33,0)))</f>
        <v>0</v>
      </c>
      <c r="AZ36" s="64">
        <f>IF(AND(AZ32=0,AZ33=0),0,IF(AZ32&lt;=0,0,IF(WEEKDAY(AZ$6,1)=1,AZ32*AZ33,0)))</f>
        <v>0</v>
      </c>
      <c r="BA36" s="63">
        <f>IF(AND(BA32=0,BA33=0),0,IF(BA32&lt;=0,0,IF(WEEKDAY(BA$6,1)=1,BA32*BA33,0)))</f>
        <v>0</v>
      </c>
      <c r="BB36" s="63">
        <f>IF(AND(BB32=0,BB33=0),0,IF(BB32&lt;=0,0,IF(WEEKDAY(BB$6,1)=1,BB32*BB33,0)))</f>
        <v>0</v>
      </c>
      <c r="BC36" s="63">
        <f>IF(AND(BC32=0,BC33=0),0,IF(BC32&lt;=0,0,IF(WEEKDAY(BC$6,1)=1,BC32*BC33,0)))</f>
        <v>0</v>
      </c>
      <c r="BD36" s="63">
        <f>IF(AND(BD32=0,BD33=0),0,IF(BD32&lt;=0,0,IF(WEEKDAY(BD$6,1)=1,BD32*BD33,0)))</f>
        <v>0</v>
      </c>
      <c r="BE36" s="63">
        <f>IF(AND(BE32=0,BE33=0),0,IF(BE32&lt;=0,0,IF(WEEKDAY(BE$6,1)=1,BE32*BE33,0)))</f>
        <v>0</v>
      </c>
      <c r="BF36" s="64">
        <f>IF(AND(BF32=0,BF33=0),0,IF(BF32&lt;=0,0,IF(WEEKDAY(BF$6,1)=1,BF32*BF33,0)))</f>
        <v>0</v>
      </c>
      <c r="BG36" s="64">
        <f>IF(AND(BG32=0,BG33=0),0,IF(BG32&lt;=0,0,IF(WEEKDAY(BG$6,1)=1,BG32*BG33,0)))</f>
        <v>0</v>
      </c>
      <c r="BH36" s="63">
        <f>IF(AND(BH32=1,BH33=12),0,IF(BH32&lt;=0,0,IF(WEEKDAY(BH$6,1)=1,BH32*BH33,0)))</f>
        <v>0</v>
      </c>
      <c r="BI36" s="63">
        <f>IF(AND(BI32=1,BI33=12),0,IF(BI32&lt;=0,0,IF(WEEKDAY(BI$6,1)=1,BI32*BI33,0)))</f>
        <v>0</v>
      </c>
      <c r="BJ36" s="63">
        <f>IF(AND(BJ32=1,BJ33=12),0,IF(BJ32&lt;=0,0,IF(WEEKDAY(BJ$6,1)=1,BJ32*BJ33,0)))</f>
        <v>0</v>
      </c>
      <c r="BK36" s="63">
        <f>IF(AND(BK32=1,BK33=12),0,IF(BK32&lt;=0,0,IF(WEEKDAY(BK$6,1)=1,BK32*BK33,0)))</f>
        <v>0</v>
      </c>
      <c r="BL36" s="63">
        <f>IF(AND(BL32=1,BL33=12),0,IF(BL32&lt;=0,0,IF(WEEKDAY(BL$6,1)=1,BL32*BL33,0)))</f>
        <v>0</v>
      </c>
      <c r="BM36" s="64">
        <f>IF(AND(BM32=1,BM33=12),0,IF(BM32&lt;=0,0,IF(WEEKDAY(BM$6,1)=1,BM32*BM33,0)))</f>
        <v>0</v>
      </c>
      <c r="BN36" s="64">
        <f>IF(AND(BN32=1,BN33=12),12,IF(BN32&lt;=0,0,IF(WEEKDAY(BN$6,1)=1,BN32*BN33,0)))</f>
        <v>12</v>
      </c>
      <c r="BO36" s="63">
        <f>IF(AND(BO32=1,BO33=12),0,IF(BO32&lt;=0,0,IF(WEEKDAY(BO$6,1)=1,BO32*BO33,0)))</f>
        <v>0</v>
      </c>
      <c r="BP36" s="63">
        <f>IF(AND(BP32=1,BP33=12),0,IF(BP32&lt;=0,0,IF(WEEKDAY(BP$6,1)=1,BP32*BP33,0)))</f>
        <v>0</v>
      </c>
      <c r="BQ36" s="63">
        <f>IF(AND(BQ32=1,BQ33=12),0,IF(BQ32&lt;=0,0,IF(WEEKDAY(BQ$6,1)=1,BQ32*BQ33,0)))</f>
        <v>0</v>
      </c>
      <c r="BR36" s="63">
        <f>IF(AND(BR32=1,BR33=12),0,IF(BR32&lt;=0,0,IF(WEEKDAY(BR$6,1)=1,BR32*BR33,0)))</f>
        <v>0</v>
      </c>
      <c r="BS36" s="63">
        <f>IF(AND(BS32=1,BS33=12),0,IF(BS32&lt;=0,0,IF(WEEKDAY(BS$6,1)=1,BS32*BS33,0)))</f>
        <v>0</v>
      </c>
      <c r="BT36" s="64">
        <f>IF(AND(BT32=1,BT33=12),0,IF(BT32&lt;=0,0,IF(WEEKDAY(BT$6,1)=1,BT32*BT33,0)))</f>
        <v>0</v>
      </c>
      <c r="BU36" s="64">
        <f>IF(AND(BU32=1,BU33=12),12,IF(BU32&lt;=0,0,IF(WEEKDAY(BU$6,1)=1,BU32*BU33,0)))</f>
        <v>12</v>
      </c>
      <c r="BV36" s="63">
        <f>IF(AND(BV32=1,BV33=12),0,IF(BV32&lt;=0,0,IF(WEEKDAY(BV$6,1)=1,BV32*BV33,0)))</f>
        <v>0</v>
      </c>
      <c r="BW36" s="63">
        <f>IF(AND(BW32=1,BW33=12),0,IF(BW32&lt;=0,0,IF(WEEKDAY(BW$6,1)=1,BW32*BW33,0)))</f>
        <v>0</v>
      </c>
      <c r="BX36" s="63">
        <f>IF(AND(BX32=1,BX33=12),0,IF(BX32&lt;=0,0,IF(WEEKDAY(BX$6,1)=1,BX32*BX33,0)))</f>
        <v>0</v>
      </c>
      <c r="BY36" s="63">
        <f>IF(AND(BY32=1,BY33=12),0,IF(BY32&lt;=0,0,IF(WEEKDAY(BY$6,1)=1,BY32*BY33,0)))</f>
        <v>0</v>
      </c>
      <c r="BZ36" s="63">
        <f>IF(AND(BZ32=1,BZ33=12),0,IF(BZ32&lt;=0,0,IF(WEEKDAY(BZ$6,1)=1,BZ32*BZ33,0)))</f>
        <v>0</v>
      </c>
      <c r="CA36" s="64">
        <f>IF(AND(CA32=1,CA33=12),0,IF(CA32&lt;=0,0,IF(WEEKDAY(CA$6,1)=1,CA32*CA33,0)))</f>
        <v>0</v>
      </c>
      <c r="CB36" s="64">
        <f>IF(AND(CB32=1,CB33=12),12,IF(CB32&lt;=0,0,IF(WEEKDAY(CB$6,1)=1,CB32*CB33,0)))</f>
        <v>12</v>
      </c>
      <c r="CC36" s="63">
        <f>IF(AND(CC32=1,CC33=12),0,IF(CC32&lt;=0,0,IF(WEEKDAY(CC$6,1)=1,CC32*CC33,0)))</f>
        <v>0</v>
      </c>
      <c r="CD36" s="63">
        <f>IF(AND(CD32=1,CD33=12),0,IF(CD32&lt;=0,0,IF(WEEKDAY(CD$6,1)=1,CD32*CD33,0)))</f>
        <v>0</v>
      </c>
      <c r="CE36" s="63">
        <f>IF(AND(CE32=1,CE33=12),0,IF(CE32&lt;=0,0,IF(WEEKDAY(CE$6,1)=1,CE32*CE33,0)))</f>
        <v>0</v>
      </c>
      <c r="CF36" s="63">
        <f>IF(AND(CF32=1,CF33=12),0,IF(CF32&lt;=0,0,IF(WEEKDAY(CF$6,1)=1,CF32*CF33,0)))</f>
        <v>0</v>
      </c>
      <c r="CG36" s="63">
        <f>IF(AND(CG32=1,CG33=12),0,IF(CG32&lt;=0,0,IF(WEEKDAY(CG$6,1)=1,CG32*CG33,0)))</f>
        <v>0</v>
      </c>
      <c r="CH36" s="64">
        <f>IF(AND(CH32=1,CH33=12),0,IF(CH32&lt;=0,0,IF(WEEKDAY(CH$6,1)=1,CH32*CH33,0)))</f>
        <v>0</v>
      </c>
      <c r="CI36" s="64">
        <f>IF(AND(CI32=1,CI33=12),12,IF(CI32&lt;=0,0,IF(WEEKDAY(CI$6,1)=1,CI32*CI33,0)))</f>
        <v>12</v>
      </c>
      <c r="CJ36" s="63">
        <f>IF(AND(CJ32=1,CJ33=12),0,IF(CJ32&lt;=0,0,IF(WEEKDAY(CJ$6,1)=1,CJ32*CJ33,0)))</f>
        <v>0</v>
      </c>
      <c r="CK36" s="63">
        <f>IF(AND(CK32=1,CK33=12),0,IF(CK32&lt;=0,0,IF(WEEKDAY(CK$6,1)=1,CK32*CK33,0)))</f>
        <v>0</v>
      </c>
      <c r="CL36" s="63">
        <f>IF(AND(CL32=1,CL33=12),0,IF(CL32&lt;=0,0,IF(WEEKDAY(CL$6,1)=1,CL32*CL33,0)))</f>
        <v>0</v>
      </c>
      <c r="CM36" s="63">
        <f>IF(AND(CM32=1,CM33=12),0,IF(CM32&lt;=0,0,IF(WEEKDAY(CM$6,1)=1,CM32*CM33,0)))</f>
        <v>0</v>
      </c>
      <c r="CN36" s="63">
        <f>IF(AND(CN32=1,CN33=12),0,IF(CN32&lt;=0,0,IF(WEEKDAY(CN$6,1)=1,CN32*CN33,0)))</f>
        <v>0</v>
      </c>
      <c r="CO36" s="64">
        <f>IF(AND(CO32=1,CO33=12),0,IF(CO32&lt;=0,0,IF(WEEKDAY(CO$6,1)=1,CO32*CO33,0)))</f>
        <v>0</v>
      </c>
      <c r="CP36" s="64">
        <f>IF(AND(CP32=1,CP33=12),12,IF(CP32&lt;=0,0,IF(WEEKDAY(CP$6,1)=1,CP32*CP33,0)))</f>
        <v>12</v>
      </c>
      <c r="CQ36" s="63">
        <f>IF(AND(CQ32=1,CQ33=12),0,IF(CQ32&lt;=0,0,IF(WEEKDAY(CQ$6,1)=1,CQ32*CQ33,0)))</f>
        <v>0</v>
      </c>
      <c r="CR36" s="63">
        <f>IF(AND(CR32=1,CR33=12),0,IF(CR32&lt;=0,0,IF(WEEKDAY(CR$6,1)=1,CR32*CR33,0)))</f>
        <v>0</v>
      </c>
      <c r="CS36" s="63">
        <f>IF(AND(CS32=1,CS33=12),0,IF(CS32&lt;=0,0,IF(WEEKDAY(CS$6,1)=1,CS32*CS33,0)))</f>
        <v>0</v>
      </c>
      <c r="CT36" s="63">
        <f>IF(AND(CT32=1,CT33=12),0,IF(CT32&lt;=0,0,IF(WEEKDAY(CT$6,1)=1,CT32*CT33,0)))</f>
        <v>0</v>
      </c>
      <c r="CU36" s="63">
        <f>IF(AND(CU32=1,CU33=12),0,IF(CU32&lt;=0,0,IF(WEEKDAY(CU$6,1)=1,CU32*CU33,0)))</f>
        <v>0</v>
      </c>
      <c r="CV36" s="64">
        <f>IF(AND(CV32=1,CV33=12),0,IF(CV32&lt;=0,0,IF(WEEKDAY(CV$6,1)=1,CV32*CV33,0)))</f>
        <v>0</v>
      </c>
      <c r="CW36" s="64">
        <f>IF(AND(CW32=1,CW33=12),12,IF(CW32&lt;=0,0,IF(WEEKDAY(CW$6,1)=1,CW32*CW33,0)))</f>
        <v>12</v>
      </c>
      <c r="CX36" s="63">
        <f>IF(AND(CX32=1,CX33=12),0,IF(CX32&lt;=0,0,IF(WEEKDAY(CX$6,1)=1,CX32*CX33,0)))</f>
        <v>0</v>
      </c>
      <c r="CY36" s="63">
        <f>IF(AND(CY32=1,CY33=12),0,IF(CY32&lt;=0,0,IF(WEEKDAY(CY$6,1)=1,CY32*CY33,0)))</f>
        <v>0</v>
      </c>
      <c r="CZ36" s="63">
        <f>IF(AND(CZ32=1,CZ33=12),0,IF(CZ32&lt;=0,0,IF(WEEKDAY(CZ$6,1)=1,CZ32*CZ33,0)))</f>
        <v>0</v>
      </c>
      <c r="DA36" s="63">
        <f>IF(AND(DA32=1,DA33=12),0,IF(DA32&lt;=0,0,IF(WEEKDAY(DA$6,1)=1,DA32*DA33,0)))</f>
        <v>0</v>
      </c>
      <c r="DB36" s="63">
        <f>IF(AND(DB32=1,DB33=12),0,IF(DB32&lt;=0,0,IF(WEEKDAY(DB$6,1)=1,DB32*DB33,0)))</f>
        <v>0</v>
      </c>
      <c r="DC36" s="64">
        <f>IF(AND(DC32=1,DC33=12),0,IF(DC32&lt;=0,0,IF(WEEKDAY(DC$6,1)=1,DC32*DC33,0)))</f>
        <v>0</v>
      </c>
      <c r="DD36" s="64">
        <f>IF(AND(DD32=1,DD33=12),12,IF(DD32&lt;=0,0,IF(WEEKDAY(DD$6,1)=1,DD32*DD33,0)))</f>
        <v>12</v>
      </c>
      <c r="DE36" s="63">
        <f>IF(AND(DE32=1,DE33=12),0,IF(DE32&lt;=0,0,IF(WEEKDAY(DE$6,1)=1,DE32*DE33,0)))</f>
        <v>0</v>
      </c>
      <c r="DF36" s="63">
        <f>IF(AND(DF32=1,DF33=12),0,IF(DF32&lt;=0,0,IF(WEEKDAY(DF$6,1)=1,DF32*DF33,0)))</f>
        <v>0</v>
      </c>
      <c r="DG36" s="63">
        <f>IF(AND(DG32=1,DG33=12),0,IF(DG32&lt;=0,0,IF(WEEKDAY(DG$6,1)=1,DG32*DG33,0)))</f>
        <v>0</v>
      </c>
      <c r="DH36" s="63">
        <f>IF(AND(DH32=1,DH33=12),0,IF(DH32&lt;=0,0,IF(WEEKDAY(DH$6,1)=1,DH32*DH33,0)))</f>
        <v>0</v>
      </c>
      <c r="DI36" s="63">
        <f>IF(AND(DI32=1,DI33=12),0,IF(DI32&lt;=0,0,IF(WEEKDAY(DI$6,1)=1,DI32*DI33,0)))</f>
        <v>0</v>
      </c>
      <c r="DJ36" s="64">
        <f>IF(AND(DJ32=1,DJ33=12),0,IF(DJ32&lt;=0,0,IF(WEEKDAY(DJ$6,1)=1,DJ32*DJ33,0)))</f>
        <v>0</v>
      </c>
      <c r="DK36" s="64">
        <f>IF(AND(DK32=1,DK33=12),12,IF(DK32&lt;=0,0,IF(WEEKDAY(DK$6,1)=1,DK32*DK33,0)))</f>
        <v>12</v>
      </c>
      <c r="DL36" s="63">
        <f>IF(AND(DL32=1,DL33=12),0,IF(DL32&lt;=0,0,IF(WEEKDAY(DL$6,1)=1,DL32*DL33,0)))</f>
        <v>0</v>
      </c>
      <c r="DM36" s="63">
        <f>IF(AND(DM32=1,DM33=12),0,IF(DM32&lt;=0,0,IF(WEEKDAY(DM$6,1)=1,DM32*DM33,0)))</f>
        <v>0</v>
      </c>
      <c r="DN36" s="63">
        <f>IF(AND(DN32=1,DN33=12),0,IF(DN32&lt;=0,0,IF(WEEKDAY(DN$6,1)=1,DN32*DN33,0)))</f>
        <v>0</v>
      </c>
      <c r="DO36" s="63">
        <f>IF(AND(DO32=1,DO33=12),0,IF(DO32&lt;=0,0,IF(WEEKDAY(DO$6,1)=1,DO32*DO33,0)))</f>
        <v>0</v>
      </c>
      <c r="DP36" s="63">
        <f>IF(AND(DP32=1,DP33=12),0,IF(DP32&lt;=0,0,IF(WEEKDAY(DP$6,1)=1,DP32*DP33,0)))</f>
        <v>0</v>
      </c>
      <c r="DQ36" s="64">
        <f>IF(AND(DQ32=1,DQ33=12),0,IF(DQ32&lt;=0,0,IF(WEEKDAY(DQ$6,1)=1,DQ32*DQ33,0)))</f>
        <v>0</v>
      </c>
      <c r="DR36" s="64">
        <f>IF(AND(DR32=1,DR33=12),12,IF(DR32&lt;=0,0,IF(WEEKDAY(DR$6,1)=1,DR32*DR33,0)))</f>
        <v>12</v>
      </c>
      <c r="DS36" s="63">
        <f>IF(AND(DS32=1,DS33=12),0,IF(DS32&lt;=0,0,IF(WEEKDAY(DS$6,1)=1,DS32*DS33,0)))</f>
        <v>0</v>
      </c>
      <c r="DT36" s="63">
        <f>IF(AND(DT32=0,DT33=0),0,IF(DT32&lt;=0,0,IF(WEEKDAY(DT$6,1)=1,DT32*DT33,0)))</f>
        <v>0</v>
      </c>
      <c r="DU36" s="63">
        <f>IF(AND(DU32=0,DU33=0),0,IF(DU32&lt;=0,0,IF(WEEKDAY(DU$6,1)=1,DU32*DU33,0)))</f>
        <v>0</v>
      </c>
      <c r="DV36" s="63">
        <f>IF(AND(DV32=0,DV33=0),0,IF(DV32&lt;=0,0,IF(WEEKDAY(DV$6,1)=1,DV32*DV33,0)))</f>
        <v>0</v>
      </c>
      <c r="DW36" s="63">
        <f>IF(AND(DW32=0,DW33=0),0,IF(DW32&lt;=0,0,IF(WEEKDAY(DW$6,1)=1,DW32*DW33,0)))</f>
        <v>0</v>
      </c>
      <c r="DX36" s="64">
        <f>IF(AND(DX32=0,DX33=0),0,IF(DX32&lt;=0,0,IF(WEEKDAY(DX$6,1)=1,DX32*DX33,0)))</f>
        <v>0</v>
      </c>
      <c r="DY36" s="64">
        <f>IF(AND(DY32=0,DY33=0),0,IF(DY32&lt;=0,0,IF(WEEKDAY(DY$6,1)=1,DY32*DY33,0)))</f>
        <v>0</v>
      </c>
      <c r="DZ36" s="63">
        <f>IF(AND(DZ32=0,DZ33=0),0,IF(DZ32&lt;=0,0,IF(WEEKDAY(DZ$6,1)=1,DZ32*DZ33,0)))</f>
        <v>0</v>
      </c>
      <c r="EA36" s="63">
        <f>IF(AND(EA32=0,EA33=0),0,IF(EA32&lt;=0,0,IF(WEEKDAY(EA$6,1)=1,EA32*EA33,0)))</f>
        <v>0</v>
      </c>
      <c r="EB36" s="63">
        <f>IF(AND(EB32=0,EB33=0),0,IF(EB32&lt;=0,0,IF(WEEKDAY(EB$6,1)=1,EB32*EB33,0)))</f>
        <v>0</v>
      </c>
      <c r="EC36" s="63">
        <f>IF(AND(EC32=0,EC33=0),0,IF(EC32&lt;=0,0,IF(WEEKDAY(EC$6,1)=1,EC32*EC33,0)))</f>
        <v>0</v>
      </c>
      <c r="ED36" s="63">
        <f>IF(AND(ED32=0,ED33=0),0,IF(ED32&lt;=0,0,IF(WEEKDAY(ED$6,1)=1,ED32*ED33,0)))</f>
        <v>0</v>
      </c>
      <c r="EE36" s="64">
        <f>IF(AND(EE32=0,EE33=0),0,IF(EE32&lt;=0,0,IF(WEEKDAY(EE$6,1)=1,EE32*EE33,0)))</f>
        <v>0</v>
      </c>
      <c r="EF36" s="64">
        <f>IF(AND(EF32=0,EF33=0),0,IF(EF32&lt;=0,0,IF(WEEKDAY(EF$6,1)=1,EF32*EF33,0)))</f>
        <v>0</v>
      </c>
      <c r="EG36" s="63">
        <f>IF(AND(EG32=0,EG33=0),0,IF(EG32&lt;=0,0,IF(WEEKDAY(EG$6,1)=1,EG32*EG33,0)))</f>
        <v>0</v>
      </c>
      <c r="EH36" s="63">
        <f>IF(AND(EH32=0,EH33=0),0,IF(EH32&lt;=0,0,IF(WEEKDAY(EH$6,1)=1,EH32*EH33,0)))</f>
        <v>0</v>
      </c>
      <c r="EI36" s="63">
        <f>IF(AND(EI32=0,EI33=0),0,IF(EI32&lt;=0,0,IF(WEEKDAY(EI$6,1)=1,EI32*EI33,0)))</f>
        <v>0</v>
      </c>
      <c r="EJ36" s="63">
        <f>IF(AND(EJ32=0,EJ33=0),0,IF(EJ32&lt;=0,0,IF(WEEKDAY(EJ$6,1)=1,EJ32*EJ33,0)))</f>
        <v>0</v>
      </c>
      <c r="EK36" s="65">
        <f>IF(AND(EK32=0,EK33=0),0,IF(EK32&lt;=0,0,IF(WEEKDAY(EK$6,1)=1,EK32*EK33,0)))</f>
        <v>0</v>
      </c>
      <c r="OU36" s="28" t="s">
        <v>124</v>
      </c>
    </row>
    <row r="37" ht="16" customHeight="1" spans="1:411" x14ac:dyDescent="0.25">
      <c r="A37" s="74"/>
      <c r="B37" s="79"/>
      <c r="C37" s="67">
        <f>I31*D37</f>
        <v>0</v>
      </c>
      <c r="D37" s="67">
        <v>130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0</v>
      </c>
      <c r="BI37" s="70">
        <v>0</v>
      </c>
      <c r="BJ37" s="70">
        <v>0</v>
      </c>
      <c r="BK37" s="70">
        <v>0</v>
      </c>
      <c r="BL37" s="70">
        <v>0</v>
      </c>
      <c r="BM37" s="71">
        <v>0</v>
      </c>
      <c r="BN37" s="71">
        <v>0</v>
      </c>
      <c r="BO37" s="70">
        <v>0</v>
      </c>
      <c r="BP37" s="70">
        <v>0</v>
      </c>
      <c r="BQ37" s="70">
        <v>0</v>
      </c>
      <c r="BR37" s="70">
        <v>0</v>
      </c>
      <c r="BS37" s="70">
        <v>0</v>
      </c>
      <c r="BT37" s="71">
        <v>0</v>
      </c>
      <c r="BU37" s="71">
        <v>0</v>
      </c>
      <c r="BV37" s="70">
        <v>0</v>
      </c>
      <c r="BW37" s="70">
        <v>0</v>
      </c>
      <c r="BX37" s="70">
        <v>0</v>
      </c>
      <c r="BY37" s="70">
        <v>0</v>
      </c>
      <c r="BZ37" s="70">
        <v>0</v>
      </c>
      <c r="CA37" s="71">
        <v>0</v>
      </c>
      <c r="CB37" s="71">
        <v>0</v>
      </c>
      <c r="CC37" s="70">
        <v>0</v>
      </c>
      <c r="CD37" s="70">
        <v>0</v>
      </c>
      <c r="CE37" s="70">
        <v>0</v>
      </c>
      <c r="CF37" s="70">
        <v>0</v>
      </c>
      <c r="CG37" s="70">
        <v>0</v>
      </c>
      <c r="CH37" s="71">
        <v>0</v>
      </c>
      <c r="CI37" s="71">
        <v>0</v>
      </c>
      <c r="CJ37" s="70">
        <v>0</v>
      </c>
      <c r="CK37" s="70">
        <v>0</v>
      </c>
      <c r="CL37" s="70">
        <v>0</v>
      </c>
      <c r="CM37" s="70">
        <v>0</v>
      </c>
      <c r="CN37" s="70">
        <v>0</v>
      </c>
      <c r="CO37" s="71">
        <v>0</v>
      </c>
      <c r="CP37" s="71">
        <v>0</v>
      </c>
      <c r="CQ37" s="70">
        <v>0</v>
      </c>
      <c r="CR37" s="70">
        <v>0</v>
      </c>
      <c r="CS37" s="70">
        <v>0</v>
      </c>
      <c r="CT37" s="70">
        <v>0</v>
      </c>
      <c r="CU37" s="70">
        <v>0</v>
      </c>
      <c r="CV37" s="71">
        <v>0</v>
      </c>
      <c r="CW37" s="71">
        <v>0</v>
      </c>
      <c r="CX37" s="70">
        <v>0</v>
      </c>
      <c r="CY37" s="70">
        <v>0</v>
      </c>
      <c r="CZ37" s="70">
        <v>0</v>
      </c>
      <c r="DA37" s="70">
        <v>0</v>
      </c>
      <c r="DB37" s="70">
        <v>0</v>
      </c>
      <c r="DC37" s="71">
        <v>0</v>
      </c>
      <c r="DD37" s="71">
        <v>0</v>
      </c>
      <c r="DE37" s="70">
        <v>0</v>
      </c>
      <c r="DF37" s="70">
        <v>0</v>
      </c>
      <c r="DG37" s="70">
        <v>0</v>
      </c>
      <c r="DH37" s="70">
        <v>0</v>
      </c>
      <c r="DI37" s="70">
        <v>0</v>
      </c>
      <c r="DJ37" s="71">
        <v>0</v>
      </c>
      <c r="DK37" s="71">
        <v>0</v>
      </c>
      <c r="DL37" s="70">
        <v>0</v>
      </c>
      <c r="DM37" s="70">
        <v>0</v>
      </c>
      <c r="DN37" s="70">
        <v>0</v>
      </c>
      <c r="DO37" s="70">
        <v>0</v>
      </c>
      <c r="DP37" s="70">
        <v>0</v>
      </c>
      <c r="DQ37" s="71">
        <v>0</v>
      </c>
      <c r="DR37" s="71">
        <v>0</v>
      </c>
      <c r="DS37" s="70">
        <v>0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124</v>
      </c>
    </row>
    <row r="38" ht="8" customHeight="1" spans="1:14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</row>
    <row r="39" ht="16" customHeight="1" spans="1:411" x14ac:dyDescent="0.25">
      <c r="A39" s="45" t="s">
        <v>57</v>
      </c>
      <c r="B39" s="77" t="s">
        <v>125</v>
      </c>
      <c r="C39" s="47">
        <f>J39</f>
        <v>134773.38999999998</v>
      </c>
      <c r="D39" s="48"/>
      <c r="E39" s="48"/>
      <c r="F39" s="49">
        <f>SUM(K42:EK42)</f>
        <v>720</v>
      </c>
      <c r="G39" s="49">
        <f>SUM(K43:EK43)</f>
        <v>272</v>
      </c>
      <c r="H39" s="49">
        <f>SUM(K44:EK44)</f>
        <v>77</v>
      </c>
      <c r="I39" s="49">
        <f>SUM(K45:EK45)</f>
        <v>106</v>
      </c>
      <c r="J39" s="50">
        <f>C42+C43+C44</f>
        <v>134773.38999999998</v>
      </c>
      <c r="K39" s="51"/>
      <c r="L39" s="52"/>
      <c r="M39" s="52"/>
      <c r="N39" s="52"/>
      <c r="O39" s="52"/>
      <c r="P39" s="53"/>
      <c r="Q39" s="53"/>
      <c r="R39" s="52"/>
      <c r="S39" s="52"/>
      <c r="T39" s="52"/>
      <c r="U39" s="52"/>
      <c r="V39" s="52"/>
      <c r="W39" s="53"/>
      <c r="X39" s="53"/>
      <c r="Y39" s="52"/>
      <c r="Z39" s="52"/>
      <c r="AA39" s="52"/>
      <c r="AB39" s="52"/>
      <c r="AC39" s="52"/>
      <c r="AD39" s="53"/>
      <c r="AE39" s="53"/>
      <c r="AF39" s="52"/>
      <c r="AG39" s="52"/>
      <c r="AH39" s="52"/>
      <c r="AI39" s="52"/>
      <c r="AJ39" s="52"/>
      <c r="AK39" s="53"/>
      <c r="AL39" s="53"/>
      <c r="AM39" s="52"/>
      <c r="AN39" s="52"/>
      <c r="AO39" s="52"/>
      <c r="AP39" s="52"/>
      <c r="AQ39" s="52"/>
      <c r="AR39" s="53"/>
      <c r="AS39" s="53"/>
      <c r="AT39" s="52"/>
      <c r="AU39" s="52"/>
      <c r="AV39" s="52"/>
      <c r="AW39" s="52"/>
      <c r="AX39" s="52"/>
      <c r="AY39" s="53"/>
      <c r="AZ39" s="53"/>
      <c r="BA39" s="52"/>
      <c r="BB39" s="52"/>
      <c r="BC39" s="52"/>
      <c r="BD39" s="52"/>
      <c r="BE39" s="52"/>
      <c r="BF39" s="53"/>
      <c r="BG39" s="53"/>
      <c r="BH39" s="52"/>
      <c r="BI39" s="52"/>
      <c r="BJ39" s="52"/>
      <c r="BK39" s="52"/>
      <c r="BL39" s="52"/>
      <c r="BM39" s="53"/>
      <c r="BN39" s="53"/>
      <c r="BO39" s="52"/>
      <c r="BP39" s="52"/>
      <c r="BQ39" s="52"/>
      <c r="BR39" s="52"/>
      <c r="BS39" s="52"/>
      <c r="BT39" s="53"/>
      <c r="BU39" s="53"/>
      <c r="BV39" s="52"/>
      <c r="BW39" s="52"/>
      <c r="BX39" s="52"/>
      <c r="BY39" s="52"/>
      <c r="BZ39" s="52"/>
      <c r="CA39" s="53"/>
      <c r="CB39" s="53"/>
      <c r="CC39" s="52"/>
      <c r="CD39" s="52"/>
      <c r="CE39" s="52"/>
      <c r="CF39" s="52"/>
      <c r="CG39" s="52"/>
      <c r="CH39" s="53"/>
      <c r="CI39" s="53"/>
      <c r="CJ39" s="52"/>
      <c r="CK39" s="52"/>
      <c r="CL39" s="52"/>
      <c r="CM39" s="52"/>
      <c r="CN39" s="52"/>
      <c r="CO39" s="53"/>
      <c r="CP39" s="53"/>
      <c r="CQ39" s="52"/>
      <c r="CR39" s="52"/>
      <c r="CS39" s="52"/>
      <c r="CT39" s="52"/>
      <c r="CU39" s="52"/>
      <c r="CV39" s="53"/>
      <c r="CW39" s="53"/>
      <c r="CX39" s="52"/>
      <c r="CY39" s="52"/>
      <c r="CZ39" s="52"/>
      <c r="DA39" s="52"/>
      <c r="DB39" s="52"/>
      <c r="DC39" s="53"/>
      <c r="DD39" s="53"/>
      <c r="DE39" s="52"/>
      <c r="DF39" s="52"/>
      <c r="DG39" s="52"/>
      <c r="DH39" s="52"/>
      <c r="DI39" s="52"/>
      <c r="DJ39" s="53"/>
      <c r="DK39" s="53"/>
      <c r="DL39" s="52"/>
      <c r="DM39" s="52"/>
      <c r="DN39" s="52"/>
      <c r="DO39" s="52"/>
      <c r="DP39" s="52"/>
      <c r="DQ39" s="53"/>
      <c r="DR39" s="53"/>
      <c r="DS39" s="52"/>
      <c r="DT39" s="52"/>
      <c r="DU39" s="52"/>
      <c r="DV39" s="52"/>
      <c r="DW39" s="52"/>
      <c r="DX39" s="53"/>
      <c r="DY39" s="53"/>
      <c r="DZ39" s="52"/>
      <c r="EA39" s="52"/>
      <c r="EB39" s="52"/>
      <c r="EC39" s="52"/>
      <c r="ED39" s="52"/>
      <c r="EE39" s="53"/>
      <c r="EF39" s="53"/>
      <c r="EG39" s="52"/>
      <c r="EH39" s="52"/>
      <c r="EI39" s="52"/>
      <c r="EJ39" s="52"/>
      <c r="EK39" s="54"/>
      <c r="OU39" s="28" t="s">
        <v>126</v>
      </c>
    </row>
    <row r="40" ht="16" customHeight="1" spans="1:411" x14ac:dyDescent="0.25">
      <c r="A40" s="45"/>
      <c r="B40" s="77"/>
      <c r="C40" s="47"/>
      <c r="D40" s="48"/>
      <c r="E40" s="55" t="s">
        <v>60</v>
      </c>
      <c r="F40" s="49"/>
      <c r="G40" s="49"/>
      <c r="H40" s="49"/>
      <c r="I40" s="49"/>
      <c r="J40" s="50"/>
      <c r="K40" s="56">
        <v>1</v>
      </c>
      <c r="L40" s="57">
        <v>1</v>
      </c>
      <c r="M40" s="57">
        <v>1</v>
      </c>
      <c r="N40" s="57">
        <v>1</v>
      </c>
      <c r="O40" s="57">
        <v>1</v>
      </c>
      <c r="P40" s="58">
        <v>0</v>
      </c>
      <c r="Q40" s="58">
        <v>0</v>
      </c>
      <c r="R40" s="57">
        <v>1</v>
      </c>
      <c r="S40" s="57">
        <v>1</v>
      </c>
      <c r="T40" s="57">
        <v>1</v>
      </c>
      <c r="U40" s="57">
        <v>1</v>
      </c>
      <c r="V40" s="57">
        <v>1</v>
      </c>
      <c r="W40" s="58">
        <v>0</v>
      </c>
      <c r="X40" s="58">
        <v>0</v>
      </c>
      <c r="Y40" s="57">
        <v>1</v>
      </c>
      <c r="Z40" s="57">
        <v>1</v>
      </c>
      <c r="AA40" s="57">
        <v>1</v>
      </c>
      <c r="AB40" s="57">
        <v>1</v>
      </c>
      <c r="AC40" s="57">
        <v>1</v>
      </c>
      <c r="AD40" s="58">
        <v>0</v>
      </c>
      <c r="AE40" s="58">
        <v>0</v>
      </c>
      <c r="AF40" s="57">
        <v>1</v>
      </c>
      <c r="AG40" s="57">
        <v>1</v>
      </c>
      <c r="AH40" s="57">
        <v>1</v>
      </c>
      <c r="AI40" s="57">
        <v>1</v>
      </c>
      <c r="AJ40" s="57">
        <v>1</v>
      </c>
      <c r="AK40" s="58">
        <v>0</v>
      </c>
      <c r="AL40" s="58">
        <v>0</v>
      </c>
      <c r="AM40" s="57">
        <v>1</v>
      </c>
      <c r="AN40" s="57">
        <v>1</v>
      </c>
      <c r="AO40" s="57">
        <v>1</v>
      </c>
      <c r="AP40" s="57">
        <v>1</v>
      </c>
      <c r="AQ40" s="57">
        <v>1</v>
      </c>
      <c r="AR40" s="58">
        <v>0</v>
      </c>
      <c r="AS40" s="58">
        <v>0</v>
      </c>
      <c r="AT40" s="57">
        <v>1</v>
      </c>
      <c r="AU40" s="57">
        <v>1</v>
      </c>
      <c r="AV40" s="57">
        <v>1</v>
      </c>
      <c r="AW40" s="57">
        <v>1</v>
      </c>
      <c r="AX40" s="57">
        <v>1</v>
      </c>
      <c r="AY40" s="58">
        <v>0</v>
      </c>
      <c r="AZ40" s="58">
        <v>0</v>
      </c>
      <c r="BA40" s="57">
        <v>1</v>
      </c>
      <c r="BB40" s="57">
        <v>1</v>
      </c>
      <c r="BC40" s="57">
        <v>1</v>
      </c>
      <c r="BD40" s="57">
        <v>1</v>
      </c>
      <c r="BE40" s="57">
        <v>1</v>
      </c>
      <c r="BF40" s="58">
        <v>0</v>
      </c>
      <c r="BG40" s="58">
        <v>0</v>
      </c>
      <c r="BH40" s="57">
        <v>1</v>
      </c>
      <c r="BI40" s="57">
        <v>1</v>
      </c>
      <c r="BJ40" s="57">
        <v>1</v>
      </c>
      <c r="BK40" s="57">
        <v>1</v>
      </c>
      <c r="BL40" s="57">
        <v>1</v>
      </c>
      <c r="BM40" s="58">
        <v>1</v>
      </c>
      <c r="BN40" s="58">
        <v>1</v>
      </c>
      <c r="BO40" s="57">
        <v>1</v>
      </c>
      <c r="BP40" s="57">
        <v>1</v>
      </c>
      <c r="BQ40" s="57">
        <v>1</v>
      </c>
      <c r="BR40" s="57">
        <v>1</v>
      </c>
      <c r="BS40" s="57">
        <v>1</v>
      </c>
      <c r="BT40" s="58">
        <v>1</v>
      </c>
      <c r="BU40" s="58">
        <v>1</v>
      </c>
      <c r="BV40" s="57">
        <v>1</v>
      </c>
      <c r="BW40" s="57">
        <v>1</v>
      </c>
      <c r="BX40" s="57">
        <v>1</v>
      </c>
      <c r="BY40" s="57">
        <v>1</v>
      </c>
      <c r="BZ40" s="57">
        <v>1</v>
      </c>
      <c r="CA40" s="58">
        <v>1</v>
      </c>
      <c r="CB40" s="58">
        <v>0</v>
      </c>
      <c r="CC40" s="57">
        <v>1</v>
      </c>
      <c r="CD40" s="57">
        <v>1</v>
      </c>
      <c r="CE40" s="57">
        <v>1</v>
      </c>
      <c r="CF40" s="57">
        <v>1</v>
      </c>
      <c r="CG40" s="57">
        <v>1</v>
      </c>
      <c r="CH40" s="58">
        <v>1</v>
      </c>
      <c r="CI40" s="58">
        <v>1</v>
      </c>
      <c r="CJ40" s="57">
        <v>1</v>
      </c>
      <c r="CK40" s="57">
        <v>1</v>
      </c>
      <c r="CL40" s="57">
        <v>1</v>
      </c>
      <c r="CM40" s="57">
        <v>1</v>
      </c>
      <c r="CN40" s="57">
        <v>1</v>
      </c>
      <c r="CO40" s="58">
        <v>1</v>
      </c>
      <c r="CP40" s="58">
        <v>0</v>
      </c>
      <c r="CQ40" s="57">
        <v>1</v>
      </c>
      <c r="CR40" s="57">
        <v>1</v>
      </c>
      <c r="CS40" s="57">
        <v>1</v>
      </c>
      <c r="CT40" s="57">
        <v>1</v>
      </c>
      <c r="CU40" s="57">
        <v>1</v>
      </c>
      <c r="CV40" s="58">
        <v>1</v>
      </c>
      <c r="CW40" s="58">
        <v>1</v>
      </c>
      <c r="CX40" s="57">
        <v>1</v>
      </c>
      <c r="CY40" s="57">
        <v>1</v>
      </c>
      <c r="CZ40" s="57">
        <v>1</v>
      </c>
      <c r="DA40" s="57">
        <v>1</v>
      </c>
      <c r="DB40" s="57">
        <v>1</v>
      </c>
      <c r="DC40" s="58">
        <v>1</v>
      </c>
      <c r="DD40" s="58">
        <v>1</v>
      </c>
      <c r="DE40" s="57">
        <v>1</v>
      </c>
      <c r="DF40" s="57">
        <v>1</v>
      </c>
      <c r="DG40" s="57">
        <v>1</v>
      </c>
      <c r="DH40" s="57">
        <v>1</v>
      </c>
      <c r="DI40" s="57">
        <v>1</v>
      </c>
      <c r="DJ40" s="58">
        <v>1</v>
      </c>
      <c r="DK40" s="58">
        <v>1</v>
      </c>
      <c r="DL40" s="57">
        <v>1</v>
      </c>
      <c r="DM40" s="57">
        <v>1</v>
      </c>
      <c r="DN40" s="57">
        <v>1</v>
      </c>
      <c r="DO40" s="57">
        <v>1</v>
      </c>
      <c r="DP40" s="57">
        <v>1</v>
      </c>
      <c r="DQ40" s="58">
        <v>1</v>
      </c>
      <c r="DR40" s="58">
        <v>1</v>
      </c>
      <c r="DS40" s="57">
        <v>1</v>
      </c>
      <c r="DT40" s="57">
        <v>1</v>
      </c>
      <c r="DU40" s="57">
        <v>1</v>
      </c>
      <c r="DV40" s="57">
        <v>1</v>
      </c>
      <c r="DW40" s="57">
        <v>1</v>
      </c>
      <c r="DX40" s="58">
        <v>0</v>
      </c>
      <c r="DY40" s="58">
        <v>0</v>
      </c>
      <c r="DZ40" s="57">
        <v>1</v>
      </c>
      <c r="EA40" s="57">
        <v>1</v>
      </c>
      <c r="EB40" s="57">
        <v>1</v>
      </c>
      <c r="EC40" s="57">
        <v>1</v>
      </c>
      <c r="ED40" s="57">
        <v>1</v>
      </c>
      <c r="EE40" s="58">
        <v>0</v>
      </c>
      <c r="EF40" s="58">
        <v>0</v>
      </c>
      <c r="EG40" s="57">
        <v>0</v>
      </c>
      <c r="EH40" s="57">
        <v>0</v>
      </c>
      <c r="EI40" s="57">
        <v>0</v>
      </c>
      <c r="EJ40" s="57">
        <v>0</v>
      </c>
      <c r="EK40" s="59">
        <v>0</v>
      </c>
      <c r="OU40" s="60" t="s">
        <v>126</v>
      </c>
    </row>
    <row r="41" ht="16" customHeight="1" spans="1:411" x14ac:dyDescent="0.25">
      <c r="A41" s="45"/>
      <c r="B41" s="77"/>
      <c r="C41" s="47"/>
      <c r="D41" s="48"/>
      <c r="E41" s="55" t="s">
        <v>61</v>
      </c>
      <c r="F41" s="49"/>
      <c r="G41" s="49"/>
      <c r="H41" s="49"/>
      <c r="I41" s="49"/>
      <c r="J41" s="50"/>
      <c r="K41" s="56">
        <v>9</v>
      </c>
      <c r="L41" s="57">
        <v>9</v>
      </c>
      <c r="M41" s="57">
        <v>9</v>
      </c>
      <c r="N41" s="57">
        <v>9</v>
      </c>
      <c r="O41" s="57">
        <v>9</v>
      </c>
      <c r="P41" s="58">
        <v>0</v>
      </c>
      <c r="Q41" s="58">
        <v>0</v>
      </c>
      <c r="R41" s="57">
        <v>9</v>
      </c>
      <c r="S41" s="57">
        <v>9</v>
      </c>
      <c r="T41" s="57">
        <v>9</v>
      </c>
      <c r="U41" s="57">
        <v>9</v>
      </c>
      <c r="V41" s="57">
        <v>9</v>
      </c>
      <c r="W41" s="58">
        <v>0</v>
      </c>
      <c r="X41" s="58">
        <v>0</v>
      </c>
      <c r="Y41" s="57">
        <v>9</v>
      </c>
      <c r="Z41" s="57">
        <v>9</v>
      </c>
      <c r="AA41" s="57">
        <v>9</v>
      </c>
      <c r="AB41" s="57">
        <v>9</v>
      </c>
      <c r="AC41" s="57">
        <v>9</v>
      </c>
      <c r="AD41" s="58">
        <v>0</v>
      </c>
      <c r="AE41" s="58">
        <v>0</v>
      </c>
      <c r="AF41" s="57">
        <v>9</v>
      </c>
      <c r="AG41" s="57">
        <v>9</v>
      </c>
      <c r="AH41" s="57">
        <v>9</v>
      </c>
      <c r="AI41" s="57">
        <v>9</v>
      </c>
      <c r="AJ41" s="57">
        <v>9</v>
      </c>
      <c r="AK41" s="58">
        <v>0</v>
      </c>
      <c r="AL41" s="58">
        <v>0</v>
      </c>
      <c r="AM41" s="57">
        <v>9</v>
      </c>
      <c r="AN41" s="57">
        <v>9</v>
      </c>
      <c r="AO41" s="57">
        <v>9</v>
      </c>
      <c r="AP41" s="57">
        <v>9</v>
      </c>
      <c r="AQ41" s="57">
        <v>9</v>
      </c>
      <c r="AR41" s="58">
        <v>0</v>
      </c>
      <c r="AS41" s="58">
        <v>0</v>
      </c>
      <c r="AT41" s="57">
        <v>9</v>
      </c>
      <c r="AU41" s="57">
        <v>9</v>
      </c>
      <c r="AV41" s="57">
        <v>9</v>
      </c>
      <c r="AW41" s="57">
        <v>9</v>
      </c>
      <c r="AX41" s="57">
        <v>9</v>
      </c>
      <c r="AY41" s="58">
        <v>0</v>
      </c>
      <c r="AZ41" s="58">
        <v>0</v>
      </c>
      <c r="BA41" s="57">
        <v>9</v>
      </c>
      <c r="BB41" s="57">
        <v>9</v>
      </c>
      <c r="BC41" s="57">
        <v>9</v>
      </c>
      <c r="BD41" s="57">
        <v>9</v>
      </c>
      <c r="BE41" s="57">
        <v>9</v>
      </c>
      <c r="BF41" s="58">
        <v>0</v>
      </c>
      <c r="BG41" s="58">
        <v>0</v>
      </c>
      <c r="BH41" s="57">
        <v>11</v>
      </c>
      <c r="BI41" s="57">
        <v>11</v>
      </c>
      <c r="BJ41" s="57">
        <v>11</v>
      </c>
      <c r="BK41" s="57">
        <v>11</v>
      </c>
      <c r="BL41" s="57">
        <v>11</v>
      </c>
      <c r="BM41" s="58">
        <v>11</v>
      </c>
      <c r="BN41" s="58">
        <v>11</v>
      </c>
      <c r="BO41" s="57">
        <v>11</v>
      </c>
      <c r="BP41" s="57">
        <v>11</v>
      </c>
      <c r="BQ41" s="57">
        <v>11</v>
      </c>
      <c r="BR41" s="57">
        <v>11</v>
      </c>
      <c r="BS41" s="57">
        <v>11</v>
      </c>
      <c r="BT41" s="58">
        <v>11</v>
      </c>
      <c r="BU41" s="58">
        <v>11</v>
      </c>
      <c r="BV41" s="57">
        <v>11</v>
      </c>
      <c r="BW41" s="57">
        <v>11</v>
      </c>
      <c r="BX41" s="57">
        <v>11</v>
      </c>
      <c r="BY41" s="57">
        <v>11</v>
      </c>
      <c r="BZ41" s="57">
        <v>11</v>
      </c>
      <c r="CA41" s="58">
        <v>11</v>
      </c>
      <c r="CB41" s="58">
        <v>0</v>
      </c>
      <c r="CC41" s="57">
        <v>11</v>
      </c>
      <c r="CD41" s="57">
        <v>11</v>
      </c>
      <c r="CE41" s="57">
        <v>11</v>
      </c>
      <c r="CF41" s="57">
        <v>11</v>
      </c>
      <c r="CG41" s="57">
        <v>11</v>
      </c>
      <c r="CH41" s="58">
        <v>11</v>
      </c>
      <c r="CI41" s="58">
        <v>11</v>
      </c>
      <c r="CJ41" s="57">
        <v>11</v>
      </c>
      <c r="CK41" s="57">
        <v>11</v>
      </c>
      <c r="CL41" s="57">
        <v>11</v>
      </c>
      <c r="CM41" s="57">
        <v>11</v>
      </c>
      <c r="CN41" s="57">
        <v>11</v>
      </c>
      <c r="CO41" s="58">
        <v>11</v>
      </c>
      <c r="CP41" s="58">
        <v>0</v>
      </c>
      <c r="CQ41" s="57">
        <v>11</v>
      </c>
      <c r="CR41" s="57">
        <v>11</v>
      </c>
      <c r="CS41" s="57">
        <v>11</v>
      </c>
      <c r="CT41" s="57">
        <v>11</v>
      </c>
      <c r="CU41" s="57">
        <v>11</v>
      </c>
      <c r="CV41" s="58">
        <v>11</v>
      </c>
      <c r="CW41" s="58">
        <v>11</v>
      </c>
      <c r="CX41" s="57">
        <v>11</v>
      </c>
      <c r="CY41" s="57">
        <v>11</v>
      </c>
      <c r="CZ41" s="57">
        <v>11</v>
      </c>
      <c r="DA41" s="57">
        <v>11</v>
      </c>
      <c r="DB41" s="57">
        <v>11</v>
      </c>
      <c r="DC41" s="58">
        <v>11</v>
      </c>
      <c r="DD41" s="58">
        <v>11</v>
      </c>
      <c r="DE41" s="57">
        <v>11</v>
      </c>
      <c r="DF41" s="57">
        <v>11</v>
      </c>
      <c r="DG41" s="57">
        <v>11</v>
      </c>
      <c r="DH41" s="57">
        <v>11</v>
      </c>
      <c r="DI41" s="57">
        <v>11</v>
      </c>
      <c r="DJ41" s="58">
        <v>11</v>
      </c>
      <c r="DK41" s="58">
        <v>11</v>
      </c>
      <c r="DL41" s="57">
        <v>11</v>
      </c>
      <c r="DM41" s="57">
        <v>11</v>
      </c>
      <c r="DN41" s="57">
        <v>11</v>
      </c>
      <c r="DO41" s="57">
        <v>11</v>
      </c>
      <c r="DP41" s="57">
        <v>11</v>
      </c>
      <c r="DQ41" s="58">
        <v>11</v>
      </c>
      <c r="DR41" s="58">
        <v>11</v>
      </c>
      <c r="DS41" s="57">
        <v>11</v>
      </c>
      <c r="DT41" s="57">
        <v>8</v>
      </c>
      <c r="DU41" s="57">
        <v>8</v>
      </c>
      <c r="DV41" s="57">
        <v>8</v>
      </c>
      <c r="DW41" s="57">
        <v>8</v>
      </c>
      <c r="DX41" s="58">
        <v>0</v>
      </c>
      <c r="DY41" s="58">
        <v>0</v>
      </c>
      <c r="DZ41" s="57">
        <v>8</v>
      </c>
      <c r="EA41" s="57">
        <v>8</v>
      </c>
      <c r="EB41" s="57">
        <v>8</v>
      </c>
      <c r="EC41" s="57">
        <v>8</v>
      </c>
      <c r="ED41" s="57">
        <v>8</v>
      </c>
      <c r="EE41" s="58">
        <v>0</v>
      </c>
      <c r="EF41" s="58">
        <v>0</v>
      </c>
      <c r="EG41" s="57">
        <v>0</v>
      </c>
      <c r="EH41" s="57">
        <v>0</v>
      </c>
      <c r="EI41" s="57">
        <v>0</v>
      </c>
      <c r="EJ41" s="57">
        <v>0</v>
      </c>
      <c r="EK41" s="59">
        <v>0</v>
      </c>
      <c r="OU41" s="60" t="s">
        <v>126</v>
      </c>
    </row>
    <row r="42" ht="16" customHeight="1" spans="1:411" x14ac:dyDescent="0.25">
      <c r="A42" s="45"/>
      <c r="B42" s="78" t="s">
        <v>119</v>
      </c>
      <c r="C42" s="61">
        <f>F39*N(D42)</f>
        <v>78033.59999999999</v>
      </c>
      <c r="D42" s="61">
        <f>IF(TRIM(IF(TRIM(B43)&lt;&gt;"",B43,B39))="","No rate",IFERROR(INDEX('Rate Tables'!C$7:C$158,MATCH(IF(TRIM(B43)&lt;&gt;"",B43,B39),'Rate Tables'!A$7:A$158,0)),"No rate"))</f>
        <v>108.38</v>
      </c>
      <c r="E42" s="55" t="s">
        <v>62</v>
      </c>
      <c r="F42" s="49"/>
      <c r="G42" s="49"/>
      <c r="H42" s="49"/>
      <c r="I42" s="49"/>
      <c r="J42" s="50"/>
      <c r="K42" s="62">
        <f>IF(AND(K40=1,K41=9),8,MIN(IF(K40&lt;=0,0,IF(WEEKDAY(K$6,1)=1,0,IF(WEEKDAY(K$6,1)=7,0,MIN(8,K41)*K40))),MAX(0,40*MAX(1,K40)-(0))))</f>
        <v>8</v>
      </c>
      <c r="L42" s="63">
        <f>IF(AND(L40=1,L41=9),8,MIN(IF(L40&lt;=0,0,IF(WEEKDAY(L$6,1)=1,0,IF(WEEKDAY(L$6,1)=7,0,MIN(8,L41)*L40))),MAX(0,40*MAX(1,L40)-(K42))))</f>
        <v>8</v>
      </c>
      <c r="M42" s="63">
        <f>IF(AND(M40=1,M41=9),8,MIN(IF(M40&lt;=0,0,IF(WEEKDAY(M$6,1)=1,0,IF(WEEKDAY(M$6,1)=7,0,MIN(8,M41)*M40))),MAX(0,40*MAX(1,M40)-(K42+L42))))</f>
        <v>8</v>
      </c>
      <c r="N42" s="63">
        <f>IF(AND(N40=1,N41=9),8,MIN(IF(N40&lt;=0,0,IF(WEEKDAY(N$6,1)=1,0,IF(WEEKDAY(N$6,1)=7,0,MIN(8,N41)*N40))),MAX(0,40*MAX(1,N40)-(K42+L42+M42))))</f>
        <v>8</v>
      </c>
      <c r="O42" s="63">
        <f>IF(AND(O40=1,O41=9),8,MIN(IF(O40&lt;=0,0,IF(WEEKDAY(O$6,1)=1,0,IF(WEEKDAY(O$6,1)=7,0,MIN(8,O41)*O40))),MAX(0,40*MAX(1,O40)-(K42+L42+M42+N42))))</f>
        <v>8</v>
      </c>
      <c r="P42" s="64">
        <f>IF(AND(P40=0,P41=0),0,MIN(IF(P40&lt;=0,0,IF(WEEKDAY(P$6,1)=1,0,IF(WEEKDAY(P$6,1)=7,0,MIN(8,P41)*P40))),MAX(0,40*MAX(1,P40)-(0))))</f>
        <v>0</v>
      </c>
      <c r="Q42" s="64">
        <f>IF(AND(Q40=0,Q41=0),0,MIN(IF(Q40&lt;=0,0,IF(WEEKDAY(Q$6,1)=1,0,IF(WEEKDAY(Q$6,1)=7,0,MIN(8,Q41)*Q40))),MAX(0,40*MAX(1,Q40)-(P42))))</f>
        <v>0</v>
      </c>
      <c r="R42" s="63">
        <f>IF(AND(R40=1,R41=9),8,MIN(IF(R40&lt;=0,0,IF(WEEKDAY(R$6,1)=1,0,IF(WEEKDAY(R$6,1)=7,0,MIN(8,R41)*R40))),MAX(0,40*MAX(1,R40)-(0))))</f>
        <v>8</v>
      </c>
      <c r="S42" s="63">
        <f>IF(AND(S40=1,S41=9),8,MIN(IF(S40&lt;=0,0,IF(WEEKDAY(S$6,1)=1,0,IF(WEEKDAY(S$6,1)=7,0,MIN(8,S41)*S40))),MAX(0,40*MAX(1,S40)-(R42))))</f>
        <v>8</v>
      </c>
      <c r="T42" s="63">
        <f>IF(AND(T40=1,T41=9),8,MIN(IF(T40&lt;=0,0,IF(WEEKDAY(T$6,1)=1,0,IF(WEEKDAY(T$6,1)=7,0,MIN(8,T41)*T40))),MAX(0,40*MAX(1,T40)-(R42+S42))))</f>
        <v>8</v>
      </c>
      <c r="U42" s="63">
        <f>IF(AND(U40=1,U41=9),8,MIN(IF(U40&lt;=0,0,IF(WEEKDAY(U$6,1)=1,0,IF(WEEKDAY(U$6,1)=7,0,MIN(8,U41)*U40))),MAX(0,40*MAX(1,U40)-(R42+S42+T42))))</f>
        <v>8</v>
      </c>
      <c r="V42" s="63">
        <f>IF(AND(V40=1,V41=9),8,MIN(IF(V40&lt;=0,0,IF(WEEKDAY(V$6,1)=1,0,IF(WEEKDAY(V$6,1)=7,0,MIN(8,V41)*V40))),MAX(0,40*MAX(1,V40)-(R42+S42+T42+U42))))</f>
        <v>8</v>
      </c>
      <c r="W42" s="64">
        <f>IF(AND(W40=0,W41=0),0,MIN(IF(W40&lt;=0,0,IF(WEEKDAY(W$6,1)=1,0,IF(WEEKDAY(W$6,1)=7,0,MIN(8,W41)*W40))),MAX(0,40*MAX(1,W40)-(0))))</f>
        <v>0</v>
      </c>
      <c r="X42" s="64">
        <f>IF(AND(X40=0,X41=0),0,MIN(IF(X40&lt;=0,0,IF(WEEKDAY(X$6,1)=1,0,IF(WEEKDAY(X$6,1)=7,0,MIN(8,X41)*X40))),MAX(0,40*MAX(1,X40)-(W42))))</f>
        <v>0</v>
      </c>
      <c r="Y42" s="63">
        <f>IF(AND(Y40=1,Y41=9),8,MIN(IF(Y40&lt;=0,0,IF(WEEKDAY(Y$6,1)=1,0,IF(WEEKDAY(Y$6,1)=7,0,MIN(8,Y41)*Y40))),MAX(0,40*MAX(1,Y40)-(0))))</f>
        <v>8</v>
      </c>
      <c r="Z42" s="63">
        <f>IF(AND(Z40=1,Z41=9),8,MIN(IF(Z40&lt;=0,0,IF(WEEKDAY(Z$6,1)=1,0,IF(WEEKDAY(Z$6,1)=7,0,MIN(8,Z41)*Z40))),MAX(0,40*MAX(1,Z40)-(Y42))))</f>
        <v>8</v>
      </c>
      <c r="AA42" s="63">
        <f>IF(AND(AA40=1,AA41=9),8,MIN(IF(AA40&lt;=0,0,IF(WEEKDAY(AA$6,1)=1,0,IF(WEEKDAY(AA$6,1)=7,0,MIN(8,AA41)*AA40))),MAX(0,40*MAX(1,AA40)-(Y42+Z42))))</f>
        <v>8</v>
      </c>
      <c r="AB42" s="63">
        <f>IF(AND(AB40=1,AB41=9),8,MIN(IF(AB40&lt;=0,0,IF(WEEKDAY(AB$6,1)=1,0,IF(WEEKDAY(AB$6,1)=7,0,MIN(8,AB41)*AB40))),MAX(0,40*MAX(1,AB40)-(Y42+Z42+AA42))))</f>
        <v>8</v>
      </c>
      <c r="AC42" s="63">
        <f>IF(AND(AC40=1,AC41=9),8,MIN(IF(AC40&lt;=0,0,IF(WEEKDAY(AC$6,1)=1,0,IF(WEEKDAY(AC$6,1)=7,0,MIN(8,AC41)*AC40))),MAX(0,40*MAX(1,AC40)-(Y42+Z42+AA42+AB42))))</f>
        <v>8</v>
      </c>
      <c r="AD42" s="64">
        <f>IF(AND(AD40=0,AD41=0),0,MIN(IF(AD40&lt;=0,0,IF(WEEKDAY(AD$6,1)=1,0,IF(WEEKDAY(AD$6,1)=7,0,MIN(8,AD41)*AD40))),MAX(0,40*MAX(1,AD40)-(0))))</f>
        <v>0</v>
      </c>
      <c r="AE42" s="64">
        <f>IF(AND(AE40=0,AE41=0),0,MIN(IF(AE40&lt;=0,0,IF(WEEKDAY(AE$6,1)=1,0,IF(WEEKDAY(AE$6,1)=7,0,MIN(8,AE41)*AE40))),MAX(0,40*MAX(1,AE40)-(AD42))))</f>
        <v>0</v>
      </c>
      <c r="AF42" s="63">
        <f>IF(AND(AF40=1,AF41=9),8,MIN(IF(AF40&lt;=0,0,IF(WEEKDAY(AF$6,1)=1,0,IF(WEEKDAY(AF$6,1)=7,0,MIN(8,AF41)*AF40))),MAX(0,40*MAX(1,AF40)-(0))))</f>
        <v>8</v>
      </c>
      <c r="AG42" s="63">
        <f>IF(AND(AG40=1,AG41=9),8,MIN(IF(AG40&lt;=0,0,IF(WEEKDAY(AG$6,1)=1,0,IF(WEEKDAY(AG$6,1)=7,0,MIN(8,AG41)*AG40))),MAX(0,40*MAX(1,AG40)-(AF42))))</f>
        <v>8</v>
      </c>
      <c r="AH42" s="63">
        <f>IF(AND(AH40=1,AH41=9),8,MIN(IF(AH40&lt;=0,0,IF(WEEKDAY(AH$6,1)=1,0,IF(WEEKDAY(AH$6,1)=7,0,MIN(8,AH41)*AH40))),MAX(0,40*MAX(1,AH40)-(AF42+AG42))))</f>
        <v>8</v>
      </c>
      <c r="AI42" s="63">
        <f>IF(AND(AI40=1,AI41=9),8,MIN(IF(AI40&lt;=0,0,IF(WEEKDAY(AI$6,1)=1,0,IF(WEEKDAY(AI$6,1)=7,0,MIN(8,AI41)*AI40))),MAX(0,40*MAX(1,AI40)-(AF42+AG42+AH42))))</f>
        <v>8</v>
      </c>
      <c r="AJ42" s="63">
        <f>IF(AND(AJ40=1,AJ41=9),8,MIN(IF(AJ40&lt;=0,0,IF(WEEKDAY(AJ$6,1)=1,0,IF(WEEKDAY(AJ$6,1)=7,0,MIN(8,AJ41)*AJ40))),MAX(0,40*MAX(1,AJ40)-(AF42+AG42+AH42+AI42))))</f>
        <v>8</v>
      </c>
      <c r="AK42" s="64">
        <f>IF(AND(AK40=0,AK41=0),0,MIN(IF(AK40&lt;=0,0,IF(WEEKDAY(AK$6,1)=1,0,IF(WEEKDAY(AK$6,1)=7,0,MIN(8,AK41)*AK40))),MAX(0,40*MAX(1,AK40)-(0))))</f>
        <v>0</v>
      </c>
      <c r="AL42" s="64">
        <f>IF(AND(AL40=0,AL41=0),0,MIN(IF(AL40&lt;=0,0,IF(WEEKDAY(AL$6,1)=1,0,IF(WEEKDAY(AL$6,1)=7,0,MIN(8,AL41)*AL40))),MAX(0,40*MAX(1,AL40)-(AK42))))</f>
        <v>0</v>
      </c>
      <c r="AM42" s="63">
        <f>IF(AND(AM40=1,AM41=9),8,MIN(IF(AM40&lt;=0,0,IF(WEEKDAY(AM$6,1)=1,0,IF(WEEKDAY(AM$6,1)=7,0,MIN(8,AM41)*AM40))),MAX(0,40*MAX(1,AM40)-(0))))</f>
        <v>8</v>
      </c>
      <c r="AN42" s="63">
        <f>IF(AND(AN40=1,AN41=9),8,MIN(IF(AN40&lt;=0,0,IF(WEEKDAY(AN$6,1)=1,0,IF(WEEKDAY(AN$6,1)=7,0,MIN(8,AN41)*AN40))),MAX(0,40*MAX(1,AN40)-(AM42))))</f>
        <v>8</v>
      </c>
      <c r="AO42" s="63">
        <f>IF(AND(AO40=1,AO41=9),8,MIN(IF(AO40&lt;=0,0,IF(WEEKDAY(AO$6,1)=1,0,IF(WEEKDAY(AO$6,1)=7,0,MIN(8,AO41)*AO40))),MAX(0,40*MAX(1,AO40)-(AM42+AN42))))</f>
        <v>8</v>
      </c>
      <c r="AP42" s="63">
        <f>IF(AND(AP40=1,AP41=9),8,MIN(IF(AP40&lt;=0,0,IF(WEEKDAY(AP$6,1)=1,0,IF(WEEKDAY(AP$6,1)=7,0,MIN(8,AP41)*AP40))),MAX(0,40*MAX(1,AP40)-(AM42+AN42+AO42))))</f>
        <v>8</v>
      </c>
      <c r="AQ42" s="63">
        <f>IF(AND(AQ40=1,AQ41=9),8,MIN(IF(AQ40&lt;=0,0,IF(WEEKDAY(AQ$6,1)=1,0,IF(WEEKDAY(AQ$6,1)=7,0,MIN(8,AQ41)*AQ40))),MAX(0,40*MAX(1,AQ40)-(AM42+AN42+AO42+AP42))))</f>
        <v>8</v>
      </c>
      <c r="AR42" s="64">
        <f>IF(AND(AR40=0,AR41=0),0,MIN(IF(AR40&lt;=0,0,IF(WEEKDAY(AR$6,1)=1,0,IF(WEEKDAY(AR$6,1)=7,0,MIN(8,AR41)*AR40))),MAX(0,40*MAX(1,AR40)-(0))))</f>
        <v>0</v>
      </c>
      <c r="AS42" s="64">
        <f>IF(AND(AS40=0,AS41=0),0,MIN(IF(AS40&lt;=0,0,IF(WEEKDAY(AS$6,1)=1,0,IF(WEEKDAY(AS$6,1)=7,0,MIN(8,AS41)*AS40))),MAX(0,40*MAX(1,AS40)-(AR42))))</f>
        <v>0</v>
      </c>
      <c r="AT42" s="63">
        <f>IF(AND(AT40=1,AT41=9),8,MIN(IF(AT40&lt;=0,0,IF(WEEKDAY(AT$6,1)=1,0,IF(WEEKDAY(AT$6,1)=7,0,MIN(8,AT41)*AT40))),MAX(0,40*MAX(1,AT40)-(0))))</f>
        <v>8</v>
      </c>
      <c r="AU42" s="63">
        <f>IF(AND(AU40=1,AU41=9),8,MIN(IF(AU40&lt;=0,0,IF(WEEKDAY(AU$6,1)=1,0,IF(WEEKDAY(AU$6,1)=7,0,MIN(8,AU41)*AU40))),MAX(0,40*MAX(1,AU40)-(AT42))))</f>
        <v>8</v>
      </c>
      <c r="AV42" s="63">
        <f>IF(AND(AV40=1,AV41=9),8,MIN(IF(AV40&lt;=0,0,IF(WEEKDAY(AV$6,1)=1,0,IF(WEEKDAY(AV$6,1)=7,0,MIN(8,AV41)*AV40))),MAX(0,40*MAX(1,AV40)-(AT42+AU42))))</f>
        <v>8</v>
      </c>
      <c r="AW42" s="63">
        <f>IF(AND(AW40=1,AW41=9),8,MIN(IF(AW40&lt;=0,0,IF(WEEKDAY(AW$6,1)=1,0,IF(WEEKDAY(AW$6,1)=7,0,MIN(8,AW41)*AW40))),MAX(0,40*MAX(1,AW40)-(AT42+AU42+AV42))))</f>
        <v>8</v>
      </c>
      <c r="AX42" s="63">
        <f>IF(AND(AX40=1,AX41=9),8,MIN(IF(AX40&lt;=0,0,IF(WEEKDAY(AX$6,1)=1,0,IF(WEEKDAY(AX$6,1)=7,0,MIN(8,AX41)*AX40))),MAX(0,40*MAX(1,AX40)-(AT42+AU42+AV42+AW42))))</f>
        <v>8</v>
      </c>
      <c r="AY42" s="64">
        <f>IF(AND(AY40=0,AY41=0),0,MIN(IF(AY40&lt;=0,0,IF(WEEKDAY(AY$6,1)=1,0,IF(WEEKDAY(AY$6,1)=7,0,MIN(8,AY41)*AY40))),MAX(0,40*MAX(1,AY40)-(0))))</f>
        <v>0</v>
      </c>
      <c r="AZ42" s="64">
        <f>IF(AND(AZ40=0,AZ41=0),0,MIN(IF(AZ40&lt;=0,0,IF(WEEKDAY(AZ$6,1)=1,0,IF(WEEKDAY(AZ$6,1)=7,0,MIN(8,AZ41)*AZ40))),MAX(0,40*MAX(1,AZ40)-(AY42))))</f>
        <v>0</v>
      </c>
      <c r="BA42" s="63">
        <f>IF(AND(BA40=1,BA41=9),8,MIN(IF(BA40&lt;=0,0,IF(WEEKDAY(BA$6,1)=1,0,IF(WEEKDAY(BA$6,1)=7,0,MIN(8,BA41)*BA40))),MAX(0,40*MAX(1,BA40)-(0))))</f>
        <v>8</v>
      </c>
      <c r="BB42" s="63">
        <f>IF(AND(BB40=1,BB41=9),8,MIN(IF(BB40&lt;=0,0,IF(WEEKDAY(BB$6,1)=1,0,IF(WEEKDAY(BB$6,1)=7,0,MIN(8,BB41)*BB40))),MAX(0,40*MAX(1,BB40)-(BA42))))</f>
        <v>8</v>
      </c>
      <c r="BC42" s="63">
        <f>IF(AND(BC40=1,BC41=9),8,MIN(IF(BC40&lt;=0,0,IF(WEEKDAY(BC$6,1)=1,0,IF(WEEKDAY(BC$6,1)=7,0,MIN(8,BC41)*BC40))),MAX(0,40*MAX(1,BC40)-(BA42+BB42))))</f>
        <v>8</v>
      </c>
      <c r="BD42" s="63">
        <f>IF(AND(BD40=1,BD41=9),8,MIN(IF(BD40&lt;=0,0,IF(WEEKDAY(BD$6,1)=1,0,IF(WEEKDAY(BD$6,1)=7,0,MIN(8,BD41)*BD40))),MAX(0,40*MAX(1,BD40)-(BA42+BB42+BC42))))</f>
        <v>8</v>
      </c>
      <c r="BE42" s="63">
        <f>IF(AND(BE40=1,BE41=9),8,MIN(IF(BE40&lt;=0,0,IF(WEEKDAY(BE$6,1)=1,0,IF(WEEKDAY(BE$6,1)=7,0,MIN(8,BE41)*BE40))),MAX(0,40*MAX(1,BE40)-(BA42+BB42+BC42+BD42))))</f>
        <v>8</v>
      </c>
      <c r="BF42" s="64">
        <f>IF(AND(BF40=0,BF41=0),0,MIN(IF(BF40&lt;=0,0,IF(WEEKDAY(BF$6,1)=1,0,IF(WEEKDAY(BF$6,1)=7,0,MIN(8,BF41)*BF40))),MAX(0,40*MAX(1,BF40)-(0))))</f>
        <v>0</v>
      </c>
      <c r="BG42" s="64">
        <f>IF(AND(BG40=0,BG41=0),0,MIN(IF(BG40&lt;=0,0,IF(WEEKDAY(BG$6,1)=1,0,IF(WEEKDAY(BG$6,1)=7,0,MIN(8,BG41)*BG40))),MAX(0,40*MAX(1,BG40)-(BF42))))</f>
        <v>0</v>
      </c>
      <c r="BH42" s="63">
        <f>IF(AND(BH40=1,BH41=11),8,MIN(IF(BH40&lt;=0,0,IF(WEEKDAY(BH$6,1)=1,0,IF(WEEKDAY(BH$6,1)=7,0,MIN(8,BH41)*BH40))),MAX(0,40*MAX(1,BH40)-(0))))</f>
        <v>8</v>
      </c>
      <c r="BI42" s="63">
        <f>IF(AND(BI40=1,BI41=11),8,MIN(IF(BI40&lt;=0,0,IF(WEEKDAY(BI$6,1)=1,0,IF(WEEKDAY(BI$6,1)=7,0,MIN(8,BI41)*BI40))),MAX(0,40*MAX(1,BI40)-(BH42))))</f>
        <v>8</v>
      </c>
      <c r="BJ42" s="63">
        <f>IF(AND(BJ40=1,BJ41=11),8,MIN(IF(BJ40&lt;=0,0,IF(WEEKDAY(BJ$6,1)=1,0,IF(WEEKDAY(BJ$6,1)=7,0,MIN(8,BJ41)*BJ40))),MAX(0,40*MAX(1,BJ40)-(BH42+BI42))))</f>
        <v>8</v>
      </c>
      <c r="BK42" s="63">
        <f>IF(AND(BK40=1,BK41=11),8,MIN(IF(BK40&lt;=0,0,IF(WEEKDAY(BK$6,1)=1,0,IF(WEEKDAY(BK$6,1)=7,0,MIN(8,BK41)*BK40))),MAX(0,40*MAX(1,BK40)-(BH42+BI42+BJ42))))</f>
        <v>8</v>
      </c>
      <c r="BL42" s="63">
        <f>IF(AND(BL40=1,BL41=11),8,MIN(IF(BL40&lt;=0,0,IF(WEEKDAY(BL$6,1)=1,0,IF(WEEKDAY(BL$6,1)=7,0,MIN(8,BL41)*BL40))),MAX(0,40*MAX(1,BL40)-(BH42+BI42+BJ42+BK42))))</f>
        <v>8</v>
      </c>
      <c r="BM42" s="64">
        <f>IF(AND(BM40=1,BM41=11),0,MIN(IF(BM40&lt;=0,0,IF(WEEKDAY(BM$6,1)=1,0,IF(WEEKDAY(BM$6,1)=7,0,MIN(8,BM41)*BM40))),MAX(0,40*MAX(1,BM40)-(BH42+BI42+BJ42+BK42+BL42))))</f>
        <v>0</v>
      </c>
      <c r="BN42" s="64">
        <f>IF(AND(BN40=1,BN41=11),0,MIN(IF(BN40&lt;=0,0,IF(WEEKDAY(BN$6,1)=1,0,IF(WEEKDAY(BN$6,1)=7,0,MIN(8,BN41)*BN40))),MAX(0,40*MAX(1,BN40)-(BH42+BI42+BJ42+BK42+BL42+BM42))))</f>
        <v>0</v>
      </c>
      <c r="BO42" s="63">
        <f>IF(AND(BO40=1,BO41=11),8,MIN(IF(BO40&lt;=0,0,IF(WEEKDAY(BO$6,1)=1,0,IF(WEEKDAY(BO$6,1)=7,0,MIN(8,BO41)*BO40))),MAX(0,40*MAX(1,BO40)-(0))))</f>
        <v>8</v>
      </c>
      <c r="BP42" s="63">
        <f>IF(AND(BP40=1,BP41=11),8,MIN(IF(BP40&lt;=0,0,IF(WEEKDAY(BP$6,1)=1,0,IF(WEEKDAY(BP$6,1)=7,0,MIN(8,BP41)*BP40))),MAX(0,40*MAX(1,BP40)-(BO42))))</f>
        <v>8</v>
      </c>
      <c r="BQ42" s="63">
        <f>IF(AND(BQ40=1,BQ41=11),8,MIN(IF(BQ40&lt;=0,0,IF(WEEKDAY(BQ$6,1)=1,0,IF(WEEKDAY(BQ$6,1)=7,0,MIN(8,BQ41)*BQ40))),MAX(0,40*MAX(1,BQ40)-(BO42+BP42))))</f>
        <v>8</v>
      </c>
      <c r="BR42" s="63">
        <f>IF(AND(BR40=1,BR41=11),8,MIN(IF(BR40&lt;=0,0,IF(WEEKDAY(BR$6,1)=1,0,IF(WEEKDAY(BR$6,1)=7,0,MIN(8,BR41)*BR40))),MAX(0,40*MAX(1,BR40)-(0))))</f>
        <v>8</v>
      </c>
      <c r="BS42" s="63">
        <f>IF(AND(BS40=1,BS41=11),8,MIN(IF(BS40&lt;=0,0,IF(WEEKDAY(BS$6,1)=1,0,IF(WEEKDAY(BS$6,1)=7,0,MIN(8,BS41)*BS40))),MAX(0,40*MAX(1,BS40)-(BR42))))</f>
        <v>8</v>
      </c>
      <c r="BT42" s="64">
        <f>IF(AND(BT40=1,BT41=11),0,MIN(IF(BT40&lt;=0,0,IF(WEEKDAY(BT$6,1)=1,0,IF(WEEKDAY(BT$6,1)=7,0,MIN(8,BT41)*BT40))),MAX(0,40*MAX(1,BT40)-(BR42+BS42))))</f>
        <v>0</v>
      </c>
      <c r="BU42" s="64">
        <f>IF(AND(BU40=1,BU41=11),0,MIN(IF(BU40&lt;=0,0,IF(WEEKDAY(BU$6,1)=1,0,IF(WEEKDAY(BU$6,1)=7,0,MIN(8,BU41)*BU40))),MAX(0,40*MAX(1,BU40)-(BR42+BS42+BT42))))</f>
        <v>0</v>
      </c>
      <c r="BV42" s="63">
        <f>IF(AND(BV40=1,BV41=11),8,MIN(IF(BV40&lt;=0,0,IF(WEEKDAY(BV$6,1)=1,0,IF(WEEKDAY(BV$6,1)=7,0,MIN(8,BV41)*BV40))),MAX(0,40*MAX(1,BV40)-(0))))</f>
        <v>8</v>
      </c>
      <c r="BW42" s="63">
        <f>IF(AND(BW40=1,BW41=11),8,MIN(IF(BW40&lt;=0,0,IF(WEEKDAY(BW$6,1)=1,0,IF(WEEKDAY(BW$6,1)=7,0,MIN(8,BW41)*BW40))),MAX(0,40*MAX(1,BW40)-(BV42))))</f>
        <v>8</v>
      </c>
      <c r="BX42" s="63">
        <f>IF(AND(BX40=1,BX41=11),8,MIN(IF(BX40&lt;=0,0,IF(WEEKDAY(BX$6,1)=1,0,IF(WEEKDAY(BX$6,1)=7,0,MIN(8,BX41)*BX40))),MAX(0,40*MAX(1,BX40)-(BV42+BW42))))</f>
        <v>8</v>
      </c>
      <c r="BY42" s="63">
        <f>IF(AND(BY40=1,BY41=11),8,MIN(IF(BY40&lt;=0,0,IF(WEEKDAY(BY$6,1)=1,0,IF(WEEKDAY(BY$6,1)=7,0,MIN(8,BY41)*BY40))),MAX(0,40*MAX(1,BY40)-(BV42+BW42+BX42))))</f>
        <v>8</v>
      </c>
      <c r="BZ42" s="63">
        <f>IF(AND(BZ40=1,BZ41=11),8,MIN(IF(BZ40&lt;=0,0,IF(WEEKDAY(BZ$6,1)=1,0,IF(WEEKDAY(BZ$6,1)=7,0,MIN(8,BZ41)*BZ40))),MAX(0,40*MAX(1,BZ40)-(BV42+BW42+BX42+BY42))))</f>
        <v>8</v>
      </c>
      <c r="CA42" s="64">
        <f>IF(AND(CA40=1,CA41=11),0,MIN(IF(CA40&lt;=0,0,IF(WEEKDAY(CA$6,1)=1,0,IF(WEEKDAY(CA$6,1)=7,0,MIN(8,CA41)*CA40))),MAX(0,40*MAX(1,CA40)-(BV42+BW42+BX42+BY42+BZ42))))</f>
        <v>0</v>
      </c>
      <c r="CB42" s="64">
        <f>IF(AND(CB40=0,CB41=0),0,MIN(IF(CB40&lt;=0,0,IF(WEEKDAY(CB$6,1)=1,0,IF(WEEKDAY(CB$6,1)=7,0,MIN(8,CB41)*CB40))),MAX(0,40*MAX(1,CB40)-(0))))</f>
        <v>0</v>
      </c>
      <c r="CC42" s="63">
        <f>IF(AND(CC40=1,CC41=11),8,MIN(IF(CC40&lt;=0,0,IF(WEEKDAY(CC$6,1)=1,0,IF(WEEKDAY(CC$6,1)=7,0,MIN(8,CC41)*CC40))),MAX(0,40*MAX(1,CC40)-(0))))</f>
        <v>8</v>
      </c>
      <c r="CD42" s="63">
        <f>IF(AND(CD40=1,CD41=11),8,MIN(IF(CD40&lt;=0,0,IF(WEEKDAY(CD$6,1)=1,0,IF(WEEKDAY(CD$6,1)=7,0,MIN(8,CD41)*CD40))),MAX(0,40*MAX(1,CD40)-(CC42))))</f>
        <v>8</v>
      </c>
      <c r="CE42" s="63">
        <f>IF(AND(CE40=1,CE41=11),8,MIN(IF(CE40&lt;=0,0,IF(WEEKDAY(CE$6,1)=1,0,IF(WEEKDAY(CE$6,1)=7,0,MIN(8,CE41)*CE40))),MAX(0,40*MAX(1,CE40)-(CC42+CD42))))</f>
        <v>8</v>
      </c>
      <c r="CF42" s="63">
        <f>IF(AND(CF40=1,CF41=11),8,MIN(IF(CF40&lt;=0,0,IF(WEEKDAY(CF$6,1)=1,0,IF(WEEKDAY(CF$6,1)=7,0,MIN(8,CF41)*CF40))),MAX(0,40*MAX(1,CF40)-(CC42+CD42+CE42))))</f>
        <v>8</v>
      </c>
      <c r="CG42" s="63">
        <f>IF(AND(CG40=1,CG41=11),8,MIN(IF(CG40&lt;=0,0,IF(WEEKDAY(CG$6,1)=1,0,IF(WEEKDAY(CG$6,1)=7,0,MIN(8,CG41)*CG40))),MAX(0,40*MAX(1,CG40)-(CC42+CD42+CE42+CF42))))</f>
        <v>8</v>
      </c>
      <c r="CH42" s="64">
        <f>IF(AND(CH40=1,CH41=11),0,MIN(IF(CH40&lt;=0,0,IF(WEEKDAY(CH$6,1)=1,0,IF(WEEKDAY(CH$6,1)=7,0,MIN(8,CH41)*CH40))),MAX(0,40*MAX(1,CH40)-(CC42+CD42+CE42+CF42+CG42))))</f>
        <v>0</v>
      </c>
      <c r="CI42" s="64">
        <f>IF(AND(CI40=1,CI41=11),0,MIN(IF(CI40&lt;=0,0,IF(WEEKDAY(CI$6,1)=1,0,IF(WEEKDAY(CI$6,1)=7,0,MIN(8,CI41)*CI40))),MAX(0,40*MAX(1,CI40)-(CC42+CD42+CE42+CF42+CG42+CH42))))</f>
        <v>0</v>
      </c>
      <c r="CJ42" s="63">
        <f>IF(AND(CJ40=1,CJ41=11),8,MIN(IF(CJ40&lt;=0,0,IF(WEEKDAY(CJ$6,1)=1,0,IF(WEEKDAY(CJ$6,1)=7,0,MIN(8,CJ41)*CJ40))),MAX(0,40*MAX(1,CJ40)-(0))))</f>
        <v>8</v>
      </c>
      <c r="CK42" s="63">
        <f>IF(AND(CK40=1,CK41=11),8,MIN(IF(CK40&lt;=0,0,IF(WEEKDAY(CK$6,1)=1,0,IF(WEEKDAY(CK$6,1)=7,0,MIN(8,CK41)*CK40))),MAX(0,40*MAX(1,CK40)-(CJ42))))</f>
        <v>8</v>
      </c>
      <c r="CL42" s="63">
        <f>IF(AND(CL40=1,CL41=11),8,MIN(IF(CL40&lt;=0,0,IF(WEEKDAY(CL$6,1)=1,0,IF(WEEKDAY(CL$6,1)=7,0,MIN(8,CL41)*CL40))),MAX(0,40*MAX(1,CL40)-(CJ42+CK42))))</f>
        <v>8</v>
      </c>
      <c r="CM42" s="63">
        <f>IF(AND(CM40=1,CM41=11),8,MIN(IF(CM40&lt;=0,0,IF(WEEKDAY(CM$6,1)=1,0,IF(WEEKDAY(CM$6,1)=7,0,MIN(8,CM41)*CM40))),MAX(0,40*MAX(1,CM40)-(CJ42+CK42+CL42))))</f>
        <v>8</v>
      </c>
      <c r="CN42" s="63">
        <f>IF(AND(CN40=1,CN41=11),8,MIN(IF(CN40&lt;=0,0,IF(WEEKDAY(CN$6,1)=1,0,IF(WEEKDAY(CN$6,1)=7,0,MIN(8,CN41)*CN40))),MAX(0,40*MAX(1,CN40)-(CJ42+CK42+CL42+CM42))))</f>
        <v>8</v>
      </c>
      <c r="CO42" s="64">
        <f>IF(AND(CO40=1,CO41=11),0,MIN(IF(CO40&lt;=0,0,IF(WEEKDAY(CO$6,1)=1,0,IF(WEEKDAY(CO$6,1)=7,0,MIN(8,CO41)*CO40))),MAX(0,40*MAX(1,CO40)-(CJ42+CK42+CL42+CM42+CN42))))</f>
        <v>0</v>
      </c>
      <c r="CP42" s="64">
        <f>IF(AND(CP40=0,CP41=0),0,MIN(IF(CP40&lt;=0,0,IF(WEEKDAY(CP$6,1)=1,0,IF(WEEKDAY(CP$6,1)=7,0,MIN(8,CP41)*CP40))),MAX(0,40*MAX(1,CP40)-(0))))</f>
        <v>0</v>
      </c>
      <c r="CQ42" s="63">
        <f>IF(AND(CQ40=1,CQ41=11),8,MIN(IF(CQ40&lt;=0,0,IF(WEEKDAY(CQ$6,1)=1,0,IF(WEEKDAY(CQ$6,1)=7,0,MIN(8,CQ41)*CQ40))),MAX(0,40*MAX(1,CQ40)-(0))))</f>
        <v>8</v>
      </c>
      <c r="CR42" s="63">
        <f>IF(AND(CR40=1,CR41=11),8,MIN(IF(CR40&lt;=0,0,IF(WEEKDAY(CR$6,1)=1,0,IF(WEEKDAY(CR$6,1)=7,0,MIN(8,CR41)*CR40))),MAX(0,40*MAX(1,CR40)-(CQ42))))</f>
        <v>8</v>
      </c>
      <c r="CS42" s="63">
        <f>IF(AND(CS40=1,CS41=11),8,MIN(IF(CS40&lt;=0,0,IF(WEEKDAY(CS$6,1)=1,0,IF(WEEKDAY(CS$6,1)=7,0,MIN(8,CS41)*CS40))),MAX(0,40*MAX(1,CS40)-(CQ42+CR42))))</f>
        <v>8</v>
      </c>
      <c r="CT42" s="63">
        <f>IF(AND(CT40=1,CT41=11),8,MIN(IF(CT40&lt;=0,0,IF(WEEKDAY(CT$6,1)=1,0,IF(WEEKDAY(CT$6,1)=7,0,MIN(8,CT41)*CT40))),MAX(0,40*MAX(1,CT40)-(CQ42+CR42+CS42))))</f>
        <v>8</v>
      </c>
      <c r="CU42" s="63">
        <f>IF(AND(CU40=1,CU41=11),8,MIN(IF(CU40&lt;=0,0,IF(WEEKDAY(CU$6,1)=1,0,IF(WEEKDAY(CU$6,1)=7,0,MIN(8,CU41)*CU40))),MAX(0,40*MAX(1,CU40)-(CQ42+CR42+CS42+CT42))))</f>
        <v>8</v>
      </c>
      <c r="CV42" s="64">
        <f>IF(AND(CV40=1,CV41=11),0,MIN(IF(CV40&lt;=0,0,IF(WEEKDAY(CV$6,1)=1,0,IF(WEEKDAY(CV$6,1)=7,0,MIN(8,CV41)*CV40))),MAX(0,40*MAX(1,CV40)-(CQ42+CR42+CS42+CT42+CU42))))</f>
        <v>0</v>
      </c>
      <c r="CW42" s="64">
        <f>IF(AND(CW40=1,CW41=11),0,MIN(IF(CW40&lt;=0,0,IF(WEEKDAY(CW$6,1)=1,0,IF(WEEKDAY(CW$6,1)=7,0,MIN(8,CW41)*CW40))),MAX(0,40*MAX(1,CW40)-(CQ42+CR42+CS42+CT42+CU42+CV42))))</f>
        <v>0</v>
      </c>
      <c r="CX42" s="63">
        <f>IF(AND(CX40=1,CX41=11),8,MIN(IF(CX40&lt;=0,0,IF(WEEKDAY(CX$6,1)=1,0,IF(WEEKDAY(CX$6,1)=7,0,MIN(8,CX41)*CX40))),MAX(0,40*MAX(1,CX40)-(0))))</f>
        <v>8</v>
      </c>
      <c r="CY42" s="63">
        <f>IF(AND(CY40=1,CY41=11),8,MIN(IF(CY40&lt;=0,0,IF(WEEKDAY(CY$6,1)=1,0,IF(WEEKDAY(CY$6,1)=7,0,MIN(8,CY41)*CY40))),MAX(0,40*MAX(1,CY40)-(CX42))))</f>
        <v>8</v>
      </c>
      <c r="CZ42" s="63">
        <f>IF(AND(CZ40=1,CZ41=11),8,MIN(IF(CZ40&lt;=0,0,IF(WEEKDAY(CZ$6,1)=1,0,IF(WEEKDAY(CZ$6,1)=7,0,MIN(8,CZ41)*CZ40))),MAX(0,40*MAX(1,CZ40)-(CX42+CY42))))</f>
        <v>8</v>
      </c>
      <c r="DA42" s="63">
        <f>IF(AND(DA40=1,DA41=11),8,MIN(IF(DA40&lt;=0,0,IF(WEEKDAY(DA$6,1)=1,0,IF(WEEKDAY(DA$6,1)=7,0,MIN(8,DA41)*DA40))),MAX(0,40*MAX(1,DA40)-(CX42+CY42+CZ42))))</f>
        <v>8</v>
      </c>
      <c r="DB42" s="63">
        <f>IF(AND(DB40=1,DB41=11),8,MIN(IF(DB40&lt;=0,0,IF(WEEKDAY(DB$6,1)=1,0,IF(WEEKDAY(DB$6,1)=7,0,MIN(8,DB41)*DB40))),MAX(0,40*MAX(1,DB40)-(CX42+CY42+CZ42+DA42))))</f>
        <v>8</v>
      </c>
      <c r="DC42" s="64">
        <f>IF(AND(DC40=1,DC41=11),0,MIN(IF(DC40&lt;=0,0,IF(WEEKDAY(DC$6,1)=1,0,IF(WEEKDAY(DC$6,1)=7,0,MIN(8,DC41)*DC40))),MAX(0,40*MAX(1,DC40)-(CX42+CY42+CZ42+DA42+DB42))))</f>
        <v>0</v>
      </c>
      <c r="DD42" s="64">
        <f>IF(AND(DD40=1,DD41=11),0,MIN(IF(DD40&lt;=0,0,IF(WEEKDAY(DD$6,1)=1,0,IF(WEEKDAY(DD$6,1)=7,0,MIN(8,DD41)*DD40))),MAX(0,40*MAX(1,DD40)-(0))))</f>
        <v>0</v>
      </c>
      <c r="DE42" s="63">
        <f>IF(AND(DE40=1,DE41=11),8,MIN(IF(DE40&lt;=0,0,IF(WEEKDAY(DE$6,1)=1,0,IF(WEEKDAY(DE$6,1)=7,0,MIN(8,DE41)*DE40))),MAX(0,40*MAX(1,DE40)-(0))))</f>
        <v>8</v>
      </c>
      <c r="DF42" s="63">
        <f>IF(AND(DF40=1,DF41=11),8,MIN(IF(DF40&lt;=0,0,IF(WEEKDAY(DF$6,1)=1,0,IF(WEEKDAY(DF$6,1)=7,0,MIN(8,DF41)*DF40))),MAX(0,40*MAX(1,DF40)-(DE42))))</f>
        <v>8</v>
      </c>
      <c r="DG42" s="63">
        <f>IF(AND(DG40=1,DG41=11),8,MIN(IF(DG40&lt;=0,0,IF(WEEKDAY(DG$6,1)=1,0,IF(WEEKDAY(DG$6,1)=7,0,MIN(8,DG41)*DG40))),MAX(0,40*MAX(1,DG40)-(DE42+DF42))))</f>
        <v>8</v>
      </c>
      <c r="DH42" s="63">
        <f>IF(AND(DH40=1,DH41=11),8,MIN(IF(DH40&lt;=0,0,IF(WEEKDAY(DH$6,1)=1,0,IF(WEEKDAY(DH$6,1)=7,0,MIN(8,DH41)*DH40))),MAX(0,40*MAX(1,DH40)-(DE42+DF42+DG42))))</f>
        <v>8</v>
      </c>
      <c r="DI42" s="63">
        <f>IF(AND(DI40=1,DI41=11),8,MIN(IF(DI40&lt;=0,0,IF(WEEKDAY(DI$6,1)=1,0,IF(WEEKDAY(DI$6,1)=7,0,MIN(8,DI41)*DI40))),MAX(0,40*MAX(1,DI40)-(DE42+DF42+DG42+DH42))))</f>
        <v>8</v>
      </c>
      <c r="DJ42" s="64">
        <f>IF(AND(DJ40=1,DJ41=11),0,MIN(IF(DJ40&lt;=0,0,IF(WEEKDAY(DJ$6,1)=1,0,IF(WEEKDAY(DJ$6,1)=7,0,MIN(8,DJ41)*DJ40))),MAX(0,40*MAX(1,DJ40)-(DE42+DF42+DG42+DH42+DI42))))</f>
        <v>0</v>
      </c>
      <c r="DK42" s="64">
        <f>IF(AND(DK40=1,DK41=11),0,MIN(IF(DK40&lt;=0,0,IF(WEEKDAY(DK$6,1)=1,0,IF(WEEKDAY(DK$6,1)=7,0,MIN(8,DK41)*DK40))),MAX(0,40*MAX(1,DK40)-(DE42+DF42+DG42+DH42+DI42+DJ42))))</f>
        <v>0</v>
      </c>
      <c r="DL42" s="63">
        <f>IF(AND(DL40=1,DL41=11),8,MIN(IF(DL40&lt;=0,0,IF(WEEKDAY(DL$6,1)=1,0,IF(WEEKDAY(DL$6,1)=7,0,MIN(8,DL41)*DL40))),MAX(0,40*MAX(1,DL40)-(0))))</f>
        <v>8</v>
      </c>
      <c r="DM42" s="63">
        <f>IF(AND(DM40=1,DM41=11),8,MIN(IF(DM40&lt;=0,0,IF(WEEKDAY(DM$6,1)=1,0,IF(WEEKDAY(DM$6,1)=7,0,MIN(8,DM41)*DM40))),MAX(0,40*MAX(1,DM40)-(DL42))))</f>
        <v>8</v>
      </c>
      <c r="DN42" s="63">
        <f>IF(AND(DN40=1,DN41=11),8,MIN(IF(DN40&lt;=0,0,IF(WEEKDAY(DN$6,1)=1,0,IF(WEEKDAY(DN$6,1)=7,0,MIN(8,DN41)*DN40))),MAX(0,40*MAX(1,DN40)-(DL42+DM42))))</f>
        <v>8</v>
      </c>
      <c r="DO42" s="63">
        <f>IF(AND(DO40=1,DO41=11),8,MIN(IF(DO40&lt;=0,0,IF(WEEKDAY(DO$6,1)=1,0,IF(WEEKDAY(DO$6,1)=7,0,MIN(8,DO41)*DO40))),MAX(0,40*MAX(1,DO40)-(DL42+DM42+DN42))))</f>
        <v>8</v>
      </c>
      <c r="DP42" s="63">
        <f>IF(AND(DP40=1,DP41=11),8,MIN(IF(DP40&lt;=0,0,IF(WEEKDAY(DP$6,1)=1,0,IF(WEEKDAY(DP$6,1)=7,0,MIN(8,DP41)*DP40))),MAX(0,40*MAX(1,DP40)-(DL42+DM42+DN42+DO42))))</f>
        <v>8</v>
      </c>
      <c r="DQ42" s="64">
        <f>IF(AND(DQ40=1,DQ41=11),0,MIN(IF(DQ40&lt;=0,0,IF(WEEKDAY(DQ$6,1)=1,0,IF(WEEKDAY(DQ$6,1)=7,0,MIN(8,DQ41)*DQ40))),MAX(0,40*MAX(1,DQ40)-(DL42+DM42+DN42+DO42+DP42))))</f>
        <v>0</v>
      </c>
      <c r="DR42" s="64">
        <f>IF(AND(DR40=1,DR41=11),0,MIN(IF(DR40&lt;=0,0,IF(WEEKDAY(DR$6,1)=1,0,IF(WEEKDAY(DR$6,1)=7,0,MIN(8,DR41)*DR40))),MAX(0,40*MAX(1,DR40)-(DL42+DM42+DN42+DO42+DP42+DQ42))))</f>
        <v>0</v>
      </c>
      <c r="DS42" s="63">
        <f>IF(AND(DS40=1,DS41=11),8,MIN(IF(DS40&lt;=0,0,IF(WEEKDAY(DS$6,1)=1,0,IF(WEEKDAY(DS$6,1)=7,0,MIN(8,DS41)*DS40))),MAX(0,40*MAX(1,DS40)-(0))))</f>
        <v>8</v>
      </c>
      <c r="DT42" s="63">
        <f>IF(AND(DT40=1,DT41=8),8,MIN(IF(DT40&lt;=0,0,IF(WEEKDAY(DT$6,1)=1,0,IF(WEEKDAY(DT$6,1)=7,0,MIN(8,DT41)*DT40))),MAX(0,40*MAX(1,DT40)-(0))))</f>
        <v>8</v>
      </c>
      <c r="DU42" s="63">
        <f>IF(AND(DU40=1,DU41=8),8,MIN(IF(DU40&lt;=0,0,IF(WEEKDAY(DU$6,1)=1,0,IF(WEEKDAY(DU$6,1)=7,0,MIN(8,DU41)*DU40))),MAX(0,40*MAX(1,DU40)-(DT42))))</f>
        <v>8</v>
      </c>
      <c r="DV42" s="63">
        <f>IF(AND(DV40=1,DV41=8),8,MIN(IF(DV40&lt;=0,0,IF(WEEKDAY(DV$6,1)=1,0,IF(WEEKDAY(DV$6,1)=7,0,MIN(8,DV41)*DV40))),MAX(0,40*MAX(1,DV40)-(DT42+DU42))))</f>
        <v>8</v>
      </c>
      <c r="DW42" s="63">
        <f>IF(AND(DW40=1,DW41=8),8,MIN(IF(DW40&lt;=0,0,IF(WEEKDAY(DW$6,1)=1,0,IF(WEEKDAY(DW$6,1)=7,0,MIN(8,DW41)*DW40))),MAX(0,40*MAX(1,DW40)-(DT42+DU42+DV42))))</f>
        <v>8</v>
      </c>
      <c r="DX42" s="64">
        <f>IF(AND(DX40=0,DX41=0),0,MIN(IF(DX40&lt;=0,0,IF(WEEKDAY(DX$6,1)=1,0,IF(WEEKDAY(DX$6,1)=7,0,MIN(8,DX41)*DX40))),MAX(0,40*MAX(1,DX40)-(0))))</f>
        <v>0</v>
      </c>
      <c r="DY42" s="64">
        <f>IF(AND(DY40=0,DY41=0),0,MIN(IF(DY40&lt;=0,0,IF(WEEKDAY(DY$6,1)=1,0,IF(WEEKDAY(DY$6,1)=7,0,MIN(8,DY41)*DY40))),MAX(0,40*MAX(1,DY40)-(DX42))))</f>
        <v>0</v>
      </c>
      <c r="DZ42" s="63">
        <f>IF(AND(DZ40=1,DZ41=8),8,MIN(IF(DZ40&lt;=0,0,IF(WEEKDAY(DZ$6,1)=1,0,IF(WEEKDAY(DZ$6,1)=7,0,MIN(8,DZ41)*DZ40))),MAX(0,40*MAX(1,DZ40)-(0))))</f>
        <v>8</v>
      </c>
      <c r="EA42" s="63">
        <f>IF(AND(EA40=1,EA41=8),8,MIN(IF(EA40&lt;=0,0,IF(WEEKDAY(EA$6,1)=1,0,IF(WEEKDAY(EA$6,1)=7,0,MIN(8,EA41)*EA40))),MAX(0,40*MAX(1,EA40)-(DZ42))))</f>
        <v>8</v>
      </c>
      <c r="EB42" s="63">
        <f>IF(AND(EB40=1,EB41=8),8,MIN(IF(EB40&lt;=0,0,IF(WEEKDAY(EB$6,1)=1,0,IF(WEEKDAY(EB$6,1)=7,0,MIN(8,EB41)*EB40))),MAX(0,40*MAX(1,EB40)-(DZ42+EA42))))</f>
        <v>8</v>
      </c>
      <c r="EC42" s="63">
        <f>IF(AND(EC40=1,EC41=8),8,MIN(IF(EC40&lt;=0,0,IF(WEEKDAY(EC$6,1)=1,0,IF(WEEKDAY(EC$6,1)=7,0,MIN(8,EC41)*EC40))),MAX(0,40*MAX(1,EC40)-(DZ42+EA42+EB42))))</f>
        <v>8</v>
      </c>
      <c r="ED42" s="63">
        <f>IF(AND(ED40=1,ED41=8),8,MIN(IF(ED40&lt;=0,0,IF(WEEKDAY(ED$6,1)=1,0,IF(WEEKDAY(ED$6,1)=7,0,MIN(8,ED41)*ED40))),MAX(0,40*MAX(1,ED40)-(DZ42+EA42+EB42+EC42))))</f>
        <v>8</v>
      </c>
      <c r="EE42" s="64">
        <f>IF(AND(EE40=0,EE41=0),0,MIN(IF(EE40&lt;=0,0,IF(WEEKDAY(EE$6,1)=1,0,IF(WEEKDAY(EE$6,1)=7,0,MIN(8,EE41)*EE40))),MAX(0,40*MAX(1,EE40)-(0))))</f>
        <v>0</v>
      </c>
      <c r="EF42" s="64">
        <f>IF(AND(EF40=0,EF41=0),0,MIN(IF(EF40&lt;=0,0,IF(WEEKDAY(EF$6,1)=1,0,IF(WEEKDAY(EF$6,1)=7,0,MIN(8,EF41)*EF40))),MAX(0,40*MAX(1,EF40)-(EE42))))</f>
        <v>0</v>
      </c>
      <c r="EG42" s="63">
        <f>IF(AND(EG40=0,EG41=0),0,MIN(IF(EG40&lt;=0,0,IF(WEEKDAY(EG$6,1)=1,0,IF(WEEKDAY(EG$6,1)=7,0,MIN(8,EG41)*EG40))),MAX(0,40*MAX(1,EG40)-(0))))</f>
        <v>0</v>
      </c>
      <c r="EH42" s="63">
        <f>IF(AND(EH40=0,EH41=0),0,MIN(IF(EH40&lt;=0,0,IF(WEEKDAY(EH$6,1)=1,0,IF(WEEKDAY(EH$6,1)=7,0,MIN(8,EH41)*EH40))),MAX(0,40*MAX(1,EH40)-(EG42))))</f>
        <v>0</v>
      </c>
      <c r="EI42" s="63">
        <f>IF(AND(EI40=0,EI41=0),0,MIN(IF(EI40&lt;=0,0,IF(WEEKDAY(EI$6,1)=1,0,IF(WEEKDAY(EI$6,1)=7,0,MIN(8,EI41)*EI40))),MAX(0,40*MAX(1,EI40)-(EG42+EH42))))</f>
        <v>0</v>
      </c>
      <c r="EJ42" s="63">
        <f>IF(AND(EJ40=0,EJ41=0),0,MIN(IF(EJ40&lt;=0,0,IF(WEEKDAY(EJ$6,1)=1,0,IF(WEEKDAY(EJ$6,1)=7,0,MIN(8,EJ41)*EJ40))),MAX(0,40*MAX(1,EJ40)-(EG42+EH42+EI42))))</f>
        <v>0</v>
      </c>
      <c r="EK42" s="65">
        <f>IF(AND(EK40=0,EK41=0),0,MIN(IF(EK40&lt;=0,0,IF(WEEKDAY(EK$6,1)=1,0,IF(WEEKDAY(EK$6,1)=7,0,MIN(8,EK41)*EK40))),MAX(0,40*MAX(1,EK40)-(EG42+EH42+EI42+EJ42))))</f>
        <v>0</v>
      </c>
      <c r="OU42" s="28" t="s">
        <v>126</v>
      </c>
    </row>
    <row r="43" ht="16" customHeight="1" spans="1:411" x14ac:dyDescent="0.25">
      <c r="A43" s="45"/>
      <c r="B43" s="79" t="s">
        <v>111</v>
      </c>
      <c r="C43" s="66">
        <f>G39*N(D43)</f>
        <v>41556.16</v>
      </c>
      <c r="D43" s="66">
        <f>IF(TRIM(IF(TRIM(B43)&lt;&gt;"",B43,B39))="","No rate",IFERROR(INDEX('Rate Tables'!D$7:D$158,MATCH(IF(TRIM(B43)&lt;&gt;"",B43,B39),'Rate Tables'!A$7:A$158,0)),"No rate"))</f>
        <v>152.78</v>
      </c>
      <c r="E43" s="55" t="s">
        <v>63</v>
      </c>
      <c r="F43" s="49"/>
      <c r="G43" s="49"/>
      <c r="H43" s="49"/>
      <c r="I43" s="49"/>
      <c r="J43" s="50"/>
      <c r="K43" s="62">
        <f>IF(AND(K40=1,K41=9),1,IF(K40&lt;=0,0,IF(WEEKDAY(K$6,1)=1,0,IF(WEEKDAY(K$6,1)=7,K40*K41,MAX(0,K41-8)*K40)))+((IF(K40&lt;=0,0,IF(WEEKDAY(K$6,1)=1,0,IF(WEEKDAY(K$6,1)=7,0,MIN(8,K41)*K40))))-MIN(IF(K40&lt;=0,0,IF(WEEKDAY(K$6,1)=1,0,IF(WEEKDAY(K$6,1)=7,0,MIN(8,K41)*K40))),MAX(0,40*MAX(1,K40)-(0)))))</f>
        <v>1</v>
      </c>
      <c r="L43" s="63">
        <f>IF(AND(L40=1,L41=9),1,IF(L40&lt;=0,0,IF(WEEKDAY(L$6,1)=1,0,IF(WEEKDAY(L$6,1)=7,L40*L41,MAX(0,L41-8)*L40)))+((IF(L40&lt;=0,0,IF(WEEKDAY(L$6,1)=1,0,IF(WEEKDAY(L$6,1)=7,0,MIN(8,L41)*L40))))-MIN(IF(L40&lt;=0,0,IF(WEEKDAY(L$6,1)=1,0,IF(WEEKDAY(L$6,1)=7,0,MIN(8,L41)*L40))),MAX(0,40*MAX(1,L40)-(K42)))))</f>
        <v>1</v>
      </c>
      <c r="M43" s="63">
        <f>IF(AND(M40=1,M41=9),1,IF(M40&lt;=0,0,IF(WEEKDAY(M$6,1)=1,0,IF(WEEKDAY(M$6,1)=7,M40*M41,MAX(0,M41-8)*M40)))+((IF(M40&lt;=0,0,IF(WEEKDAY(M$6,1)=1,0,IF(WEEKDAY(M$6,1)=7,0,MIN(8,M41)*M40))))-MIN(IF(M40&lt;=0,0,IF(WEEKDAY(M$6,1)=1,0,IF(WEEKDAY(M$6,1)=7,0,MIN(8,M41)*M40))),MAX(0,40*MAX(1,M40)-(K42+L42)))))</f>
        <v>1</v>
      </c>
      <c r="N43" s="63">
        <f>IF(AND(N40=1,N41=9),1,IF(N40&lt;=0,0,IF(WEEKDAY(N$6,1)=1,0,IF(WEEKDAY(N$6,1)=7,N40*N41,MAX(0,N41-8)*N40)))+((IF(N40&lt;=0,0,IF(WEEKDAY(N$6,1)=1,0,IF(WEEKDAY(N$6,1)=7,0,MIN(8,N41)*N40))))-MIN(IF(N40&lt;=0,0,IF(WEEKDAY(N$6,1)=1,0,IF(WEEKDAY(N$6,1)=7,0,MIN(8,N41)*N40))),MAX(0,40*MAX(1,N40)-(K42+L42+M42)))))</f>
        <v>1</v>
      </c>
      <c r="O43" s="63">
        <f>IF(AND(O40=1,O41=9),1,IF(O40&lt;=0,0,IF(WEEKDAY(O$6,1)=1,0,IF(WEEKDAY(O$6,1)=7,O40*O41,MAX(0,O41-8)*O40)))+((IF(O40&lt;=0,0,IF(WEEKDAY(O$6,1)=1,0,IF(WEEKDAY(O$6,1)=7,0,MIN(8,O41)*O40))))-MIN(IF(O40&lt;=0,0,IF(WEEKDAY(O$6,1)=1,0,IF(WEEKDAY(O$6,1)=7,0,MIN(8,O41)*O40))),MAX(0,40*MAX(1,O40)-(K42+L42+M42+N42)))))</f>
        <v>1</v>
      </c>
      <c r="P43" s="64">
        <f>IF(AND(P40=0,P41=0),0,IF(P40&lt;=0,0,IF(WEEKDAY(P$6,1)=1,0,IF(WEEKDAY(P$6,1)=7,P40*P41,MAX(0,P41-8)*P40)))+((IF(P40&lt;=0,0,IF(WEEKDAY(P$6,1)=1,0,IF(WEEKDAY(P$6,1)=7,0,MIN(8,P41)*P40))))-MIN(IF(P40&lt;=0,0,IF(WEEKDAY(P$6,1)=1,0,IF(WEEKDAY(P$6,1)=7,0,MIN(8,P41)*P40))),MAX(0,40*MAX(1,P40)-(0)))))</f>
        <v>0</v>
      </c>
      <c r="Q43" s="64">
        <f>IF(AND(Q40=0,Q41=0),0,IF(Q40&lt;=0,0,IF(WEEKDAY(Q$6,1)=1,0,IF(WEEKDAY(Q$6,1)=7,Q40*Q41,MAX(0,Q41-8)*Q40)))+((IF(Q40&lt;=0,0,IF(WEEKDAY(Q$6,1)=1,0,IF(WEEKDAY(Q$6,1)=7,0,MIN(8,Q41)*Q40))))-MIN(IF(Q40&lt;=0,0,IF(WEEKDAY(Q$6,1)=1,0,IF(WEEKDAY(Q$6,1)=7,0,MIN(8,Q41)*Q40))),MAX(0,40*MAX(1,Q40)-(P42)))))</f>
        <v>0</v>
      </c>
      <c r="R43" s="63">
        <f>IF(AND(R40=1,R41=9),1,IF(R40&lt;=0,0,IF(WEEKDAY(R$6,1)=1,0,IF(WEEKDAY(R$6,1)=7,R40*R41,MAX(0,R41-8)*R40)))+((IF(R40&lt;=0,0,IF(WEEKDAY(R$6,1)=1,0,IF(WEEKDAY(R$6,1)=7,0,MIN(8,R41)*R40))))-MIN(IF(R40&lt;=0,0,IF(WEEKDAY(R$6,1)=1,0,IF(WEEKDAY(R$6,1)=7,0,MIN(8,R41)*R40))),MAX(0,40*MAX(1,R40)-(0)))))</f>
        <v>1</v>
      </c>
      <c r="S43" s="63">
        <f>IF(AND(S40=1,S41=9),1,IF(S40&lt;=0,0,IF(WEEKDAY(S$6,1)=1,0,IF(WEEKDAY(S$6,1)=7,S40*S41,MAX(0,S41-8)*S40)))+((IF(S40&lt;=0,0,IF(WEEKDAY(S$6,1)=1,0,IF(WEEKDAY(S$6,1)=7,0,MIN(8,S41)*S40))))-MIN(IF(S40&lt;=0,0,IF(WEEKDAY(S$6,1)=1,0,IF(WEEKDAY(S$6,1)=7,0,MIN(8,S41)*S40))),MAX(0,40*MAX(1,S40)-(R42)))))</f>
        <v>1</v>
      </c>
      <c r="T43" s="63">
        <f>IF(AND(T40=1,T41=9),1,IF(T40&lt;=0,0,IF(WEEKDAY(T$6,1)=1,0,IF(WEEKDAY(T$6,1)=7,T40*T41,MAX(0,T41-8)*T40)))+((IF(T40&lt;=0,0,IF(WEEKDAY(T$6,1)=1,0,IF(WEEKDAY(T$6,1)=7,0,MIN(8,T41)*T40))))-MIN(IF(T40&lt;=0,0,IF(WEEKDAY(T$6,1)=1,0,IF(WEEKDAY(T$6,1)=7,0,MIN(8,T41)*T40))),MAX(0,40*MAX(1,T40)-(R42+S42)))))</f>
        <v>1</v>
      </c>
      <c r="U43" s="63">
        <f>IF(AND(U40=1,U41=9),1,IF(U40&lt;=0,0,IF(WEEKDAY(U$6,1)=1,0,IF(WEEKDAY(U$6,1)=7,U40*U41,MAX(0,U41-8)*U40)))+((IF(U40&lt;=0,0,IF(WEEKDAY(U$6,1)=1,0,IF(WEEKDAY(U$6,1)=7,0,MIN(8,U41)*U40))))-MIN(IF(U40&lt;=0,0,IF(WEEKDAY(U$6,1)=1,0,IF(WEEKDAY(U$6,1)=7,0,MIN(8,U41)*U40))),MAX(0,40*MAX(1,U40)-(R42+S42+T42)))))</f>
        <v>1</v>
      </c>
      <c r="V43" s="63">
        <f>IF(AND(V40=1,V41=9),1,IF(V40&lt;=0,0,IF(WEEKDAY(V$6,1)=1,0,IF(WEEKDAY(V$6,1)=7,V40*V41,MAX(0,V41-8)*V40)))+((IF(V40&lt;=0,0,IF(WEEKDAY(V$6,1)=1,0,IF(WEEKDAY(V$6,1)=7,0,MIN(8,V41)*V40))))-MIN(IF(V40&lt;=0,0,IF(WEEKDAY(V$6,1)=1,0,IF(WEEKDAY(V$6,1)=7,0,MIN(8,V41)*V40))),MAX(0,40*MAX(1,V40)-(R42+S42+T42+U42)))))</f>
        <v>1</v>
      </c>
      <c r="W43" s="64">
        <f>IF(AND(W40=0,W41=0),0,IF(W40&lt;=0,0,IF(WEEKDAY(W$6,1)=1,0,IF(WEEKDAY(W$6,1)=7,W40*W41,MAX(0,W41-8)*W40)))+((IF(W40&lt;=0,0,IF(WEEKDAY(W$6,1)=1,0,IF(WEEKDAY(W$6,1)=7,0,MIN(8,W41)*W40))))-MIN(IF(W40&lt;=0,0,IF(WEEKDAY(W$6,1)=1,0,IF(WEEKDAY(W$6,1)=7,0,MIN(8,W41)*W40))),MAX(0,40*MAX(1,W40)-(0)))))</f>
        <v>0</v>
      </c>
      <c r="X43" s="64">
        <f>IF(AND(X40=0,X41=0),0,IF(X40&lt;=0,0,IF(WEEKDAY(X$6,1)=1,0,IF(WEEKDAY(X$6,1)=7,X40*X41,MAX(0,X41-8)*X40)))+((IF(X40&lt;=0,0,IF(WEEKDAY(X$6,1)=1,0,IF(WEEKDAY(X$6,1)=7,0,MIN(8,X41)*X40))))-MIN(IF(X40&lt;=0,0,IF(WEEKDAY(X$6,1)=1,0,IF(WEEKDAY(X$6,1)=7,0,MIN(8,X41)*X40))),MAX(0,40*MAX(1,X40)-(W42)))))</f>
        <v>0</v>
      </c>
      <c r="Y43" s="63">
        <f>IF(AND(Y40=1,Y41=9),1,IF(Y40&lt;=0,0,IF(WEEKDAY(Y$6,1)=1,0,IF(WEEKDAY(Y$6,1)=7,Y40*Y41,MAX(0,Y41-8)*Y40)))+((IF(Y40&lt;=0,0,IF(WEEKDAY(Y$6,1)=1,0,IF(WEEKDAY(Y$6,1)=7,0,MIN(8,Y41)*Y40))))-MIN(IF(Y40&lt;=0,0,IF(WEEKDAY(Y$6,1)=1,0,IF(WEEKDAY(Y$6,1)=7,0,MIN(8,Y41)*Y40))),MAX(0,40*MAX(1,Y40)-(0)))))</f>
        <v>1</v>
      </c>
      <c r="Z43" s="63">
        <f>IF(AND(Z40=1,Z41=9),1,IF(Z40&lt;=0,0,IF(WEEKDAY(Z$6,1)=1,0,IF(WEEKDAY(Z$6,1)=7,Z40*Z41,MAX(0,Z41-8)*Z40)))+((IF(Z40&lt;=0,0,IF(WEEKDAY(Z$6,1)=1,0,IF(WEEKDAY(Z$6,1)=7,0,MIN(8,Z41)*Z40))))-MIN(IF(Z40&lt;=0,0,IF(WEEKDAY(Z$6,1)=1,0,IF(WEEKDAY(Z$6,1)=7,0,MIN(8,Z41)*Z40))),MAX(0,40*MAX(1,Z40)-(Y42)))))</f>
        <v>1</v>
      </c>
      <c r="AA43" s="63">
        <f>IF(AND(AA40=1,AA41=9),1,IF(AA40&lt;=0,0,IF(WEEKDAY(AA$6,1)=1,0,IF(WEEKDAY(AA$6,1)=7,AA40*AA41,MAX(0,AA41-8)*AA40)))+((IF(AA40&lt;=0,0,IF(WEEKDAY(AA$6,1)=1,0,IF(WEEKDAY(AA$6,1)=7,0,MIN(8,AA41)*AA40))))-MIN(IF(AA40&lt;=0,0,IF(WEEKDAY(AA$6,1)=1,0,IF(WEEKDAY(AA$6,1)=7,0,MIN(8,AA41)*AA40))),MAX(0,40*MAX(1,AA40)-(Y42+Z42)))))</f>
        <v>1</v>
      </c>
      <c r="AB43" s="63">
        <f>IF(AND(AB40=1,AB41=9),1,IF(AB40&lt;=0,0,IF(WEEKDAY(AB$6,1)=1,0,IF(WEEKDAY(AB$6,1)=7,AB40*AB41,MAX(0,AB41-8)*AB40)))+((IF(AB40&lt;=0,0,IF(WEEKDAY(AB$6,1)=1,0,IF(WEEKDAY(AB$6,1)=7,0,MIN(8,AB41)*AB40))))-MIN(IF(AB40&lt;=0,0,IF(WEEKDAY(AB$6,1)=1,0,IF(WEEKDAY(AB$6,1)=7,0,MIN(8,AB41)*AB40))),MAX(0,40*MAX(1,AB40)-(Y42+Z42+AA42)))))</f>
        <v>1</v>
      </c>
      <c r="AC43" s="63">
        <f>IF(AND(AC40=1,AC41=9),1,IF(AC40&lt;=0,0,IF(WEEKDAY(AC$6,1)=1,0,IF(WEEKDAY(AC$6,1)=7,AC40*AC41,MAX(0,AC41-8)*AC40)))+((IF(AC40&lt;=0,0,IF(WEEKDAY(AC$6,1)=1,0,IF(WEEKDAY(AC$6,1)=7,0,MIN(8,AC41)*AC40))))-MIN(IF(AC40&lt;=0,0,IF(WEEKDAY(AC$6,1)=1,0,IF(WEEKDAY(AC$6,1)=7,0,MIN(8,AC41)*AC40))),MAX(0,40*MAX(1,AC40)-(Y42+Z42+AA42+AB42)))))</f>
        <v>1</v>
      </c>
      <c r="AD43" s="64">
        <f>IF(AND(AD40=0,AD41=0),0,IF(AD40&lt;=0,0,IF(WEEKDAY(AD$6,1)=1,0,IF(WEEKDAY(AD$6,1)=7,AD40*AD41,MAX(0,AD41-8)*AD40)))+((IF(AD40&lt;=0,0,IF(WEEKDAY(AD$6,1)=1,0,IF(WEEKDAY(AD$6,1)=7,0,MIN(8,AD41)*AD40))))-MIN(IF(AD40&lt;=0,0,IF(WEEKDAY(AD$6,1)=1,0,IF(WEEKDAY(AD$6,1)=7,0,MIN(8,AD41)*AD40))),MAX(0,40*MAX(1,AD40)-(0)))))</f>
        <v>0</v>
      </c>
      <c r="AE43" s="64">
        <f>IF(AND(AE40=0,AE41=0),0,IF(AE40&lt;=0,0,IF(WEEKDAY(AE$6,1)=1,0,IF(WEEKDAY(AE$6,1)=7,AE40*AE41,MAX(0,AE41-8)*AE40)))+((IF(AE40&lt;=0,0,IF(WEEKDAY(AE$6,1)=1,0,IF(WEEKDAY(AE$6,1)=7,0,MIN(8,AE41)*AE40))))-MIN(IF(AE40&lt;=0,0,IF(WEEKDAY(AE$6,1)=1,0,IF(WEEKDAY(AE$6,1)=7,0,MIN(8,AE41)*AE40))),MAX(0,40*MAX(1,AE40)-(AD42)))))</f>
        <v>0</v>
      </c>
      <c r="AF43" s="63">
        <f>IF(AND(AF40=1,AF41=9),1,IF(AF40&lt;=0,0,IF(WEEKDAY(AF$6,1)=1,0,IF(WEEKDAY(AF$6,1)=7,AF40*AF41,MAX(0,AF41-8)*AF40)))+((IF(AF40&lt;=0,0,IF(WEEKDAY(AF$6,1)=1,0,IF(WEEKDAY(AF$6,1)=7,0,MIN(8,AF41)*AF40))))-MIN(IF(AF40&lt;=0,0,IF(WEEKDAY(AF$6,1)=1,0,IF(WEEKDAY(AF$6,1)=7,0,MIN(8,AF41)*AF40))),MAX(0,40*MAX(1,AF40)-(0)))))</f>
        <v>1</v>
      </c>
      <c r="AG43" s="63">
        <f>IF(AND(AG40=1,AG41=9),1,IF(AG40&lt;=0,0,IF(WEEKDAY(AG$6,1)=1,0,IF(WEEKDAY(AG$6,1)=7,AG40*AG41,MAX(0,AG41-8)*AG40)))+((IF(AG40&lt;=0,0,IF(WEEKDAY(AG$6,1)=1,0,IF(WEEKDAY(AG$6,1)=7,0,MIN(8,AG41)*AG40))))-MIN(IF(AG40&lt;=0,0,IF(WEEKDAY(AG$6,1)=1,0,IF(WEEKDAY(AG$6,1)=7,0,MIN(8,AG41)*AG40))),MAX(0,40*MAX(1,AG40)-(AF42)))))</f>
        <v>1</v>
      </c>
      <c r="AH43" s="63">
        <f>IF(AND(AH40=1,AH41=9),1,IF(AH40&lt;=0,0,IF(WEEKDAY(AH$6,1)=1,0,IF(WEEKDAY(AH$6,1)=7,AH40*AH41,MAX(0,AH41-8)*AH40)))+((IF(AH40&lt;=0,0,IF(WEEKDAY(AH$6,1)=1,0,IF(WEEKDAY(AH$6,1)=7,0,MIN(8,AH41)*AH40))))-MIN(IF(AH40&lt;=0,0,IF(WEEKDAY(AH$6,1)=1,0,IF(WEEKDAY(AH$6,1)=7,0,MIN(8,AH41)*AH40))),MAX(0,40*MAX(1,AH40)-(AF42+AG42)))))</f>
        <v>1</v>
      </c>
      <c r="AI43" s="63">
        <f>IF(AND(AI40=1,AI41=9),1,IF(AI40&lt;=0,0,IF(WEEKDAY(AI$6,1)=1,0,IF(WEEKDAY(AI$6,1)=7,AI40*AI41,MAX(0,AI41-8)*AI40)))+((IF(AI40&lt;=0,0,IF(WEEKDAY(AI$6,1)=1,0,IF(WEEKDAY(AI$6,1)=7,0,MIN(8,AI41)*AI40))))-MIN(IF(AI40&lt;=0,0,IF(WEEKDAY(AI$6,1)=1,0,IF(WEEKDAY(AI$6,1)=7,0,MIN(8,AI41)*AI40))),MAX(0,40*MAX(1,AI40)-(AF42+AG42+AH42)))))</f>
        <v>1</v>
      </c>
      <c r="AJ43" s="63">
        <f>IF(AND(AJ40=1,AJ41=9),1,IF(AJ40&lt;=0,0,IF(WEEKDAY(AJ$6,1)=1,0,IF(WEEKDAY(AJ$6,1)=7,AJ40*AJ41,MAX(0,AJ41-8)*AJ40)))+((IF(AJ40&lt;=0,0,IF(WEEKDAY(AJ$6,1)=1,0,IF(WEEKDAY(AJ$6,1)=7,0,MIN(8,AJ41)*AJ40))))-MIN(IF(AJ40&lt;=0,0,IF(WEEKDAY(AJ$6,1)=1,0,IF(WEEKDAY(AJ$6,1)=7,0,MIN(8,AJ41)*AJ40))),MAX(0,40*MAX(1,AJ40)-(AF42+AG42+AH42+AI42)))))</f>
        <v>1</v>
      </c>
      <c r="AK43" s="64">
        <f>IF(AND(AK40=0,AK41=0),0,IF(AK40&lt;=0,0,IF(WEEKDAY(AK$6,1)=1,0,IF(WEEKDAY(AK$6,1)=7,AK40*AK41,MAX(0,AK41-8)*AK40)))+((IF(AK40&lt;=0,0,IF(WEEKDAY(AK$6,1)=1,0,IF(WEEKDAY(AK$6,1)=7,0,MIN(8,AK41)*AK40))))-MIN(IF(AK40&lt;=0,0,IF(WEEKDAY(AK$6,1)=1,0,IF(WEEKDAY(AK$6,1)=7,0,MIN(8,AK41)*AK40))),MAX(0,40*MAX(1,AK40)-(0)))))</f>
        <v>0</v>
      </c>
      <c r="AL43" s="64">
        <f>IF(AND(AL40=0,AL41=0),0,IF(AL40&lt;=0,0,IF(WEEKDAY(AL$6,1)=1,0,IF(WEEKDAY(AL$6,1)=7,AL40*AL41,MAX(0,AL41-8)*AL40)))+((IF(AL40&lt;=0,0,IF(WEEKDAY(AL$6,1)=1,0,IF(WEEKDAY(AL$6,1)=7,0,MIN(8,AL41)*AL40))))-MIN(IF(AL40&lt;=0,0,IF(WEEKDAY(AL$6,1)=1,0,IF(WEEKDAY(AL$6,1)=7,0,MIN(8,AL41)*AL40))),MAX(0,40*MAX(1,AL40)-(AK42)))))</f>
        <v>0</v>
      </c>
      <c r="AM43" s="63">
        <f>IF(AND(AM40=1,AM41=9),1,IF(AM40&lt;=0,0,IF(WEEKDAY(AM$6,1)=1,0,IF(WEEKDAY(AM$6,1)=7,AM40*AM41,MAX(0,AM41-8)*AM40)))+((IF(AM40&lt;=0,0,IF(WEEKDAY(AM$6,1)=1,0,IF(WEEKDAY(AM$6,1)=7,0,MIN(8,AM41)*AM40))))-MIN(IF(AM40&lt;=0,0,IF(WEEKDAY(AM$6,1)=1,0,IF(WEEKDAY(AM$6,1)=7,0,MIN(8,AM41)*AM40))),MAX(0,40*MAX(1,AM40)-(0)))))</f>
        <v>1</v>
      </c>
      <c r="AN43" s="63">
        <f>IF(AND(AN40=1,AN41=9),1,IF(AN40&lt;=0,0,IF(WEEKDAY(AN$6,1)=1,0,IF(WEEKDAY(AN$6,1)=7,AN40*AN41,MAX(0,AN41-8)*AN40)))+((IF(AN40&lt;=0,0,IF(WEEKDAY(AN$6,1)=1,0,IF(WEEKDAY(AN$6,1)=7,0,MIN(8,AN41)*AN40))))-MIN(IF(AN40&lt;=0,0,IF(WEEKDAY(AN$6,1)=1,0,IF(WEEKDAY(AN$6,1)=7,0,MIN(8,AN41)*AN40))),MAX(0,40*MAX(1,AN40)-(AM42)))))</f>
        <v>1</v>
      </c>
      <c r="AO43" s="63">
        <f>IF(AND(AO40=1,AO41=9),1,IF(AO40&lt;=0,0,IF(WEEKDAY(AO$6,1)=1,0,IF(WEEKDAY(AO$6,1)=7,AO40*AO41,MAX(0,AO41-8)*AO40)))+((IF(AO40&lt;=0,0,IF(WEEKDAY(AO$6,1)=1,0,IF(WEEKDAY(AO$6,1)=7,0,MIN(8,AO41)*AO40))))-MIN(IF(AO40&lt;=0,0,IF(WEEKDAY(AO$6,1)=1,0,IF(WEEKDAY(AO$6,1)=7,0,MIN(8,AO41)*AO40))),MAX(0,40*MAX(1,AO40)-(AM42+AN42)))))</f>
        <v>1</v>
      </c>
      <c r="AP43" s="63">
        <f>IF(AND(AP40=1,AP41=9),1,IF(AP40&lt;=0,0,IF(WEEKDAY(AP$6,1)=1,0,IF(WEEKDAY(AP$6,1)=7,AP40*AP41,MAX(0,AP41-8)*AP40)))+((IF(AP40&lt;=0,0,IF(WEEKDAY(AP$6,1)=1,0,IF(WEEKDAY(AP$6,1)=7,0,MIN(8,AP41)*AP40))))-MIN(IF(AP40&lt;=0,0,IF(WEEKDAY(AP$6,1)=1,0,IF(WEEKDAY(AP$6,1)=7,0,MIN(8,AP41)*AP40))),MAX(0,40*MAX(1,AP40)-(AM42+AN42+AO42)))))</f>
        <v>1</v>
      </c>
      <c r="AQ43" s="63">
        <f>IF(AND(AQ40=1,AQ41=9),1,IF(AQ40&lt;=0,0,IF(WEEKDAY(AQ$6,1)=1,0,IF(WEEKDAY(AQ$6,1)=7,AQ40*AQ41,MAX(0,AQ41-8)*AQ40)))+((IF(AQ40&lt;=0,0,IF(WEEKDAY(AQ$6,1)=1,0,IF(WEEKDAY(AQ$6,1)=7,0,MIN(8,AQ41)*AQ40))))-MIN(IF(AQ40&lt;=0,0,IF(WEEKDAY(AQ$6,1)=1,0,IF(WEEKDAY(AQ$6,1)=7,0,MIN(8,AQ41)*AQ40))),MAX(0,40*MAX(1,AQ40)-(AM42+AN42+AO42+AP42)))))</f>
        <v>1</v>
      </c>
      <c r="AR43" s="64">
        <f>IF(AND(AR40=0,AR41=0),0,IF(AR40&lt;=0,0,IF(WEEKDAY(AR$6,1)=1,0,IF(WEEKDAY(AR$6,1)=7,AR40*AR41,MAX(0,AR41-8)*AR40)))+((IF(AR40&lt;=0,0,IF(WEEKDAY(AR$6,1)=1,0,IF(WEEKDAY(AR$6,1)=7,0,MIN(8,AR41)*AR40))))-MIN(IF(AR40&lt;=0,0,IF(WEEKDAY(AR$6,1)=1,0,IF(WEEKDAY(AR$6,1)=7,0,MIN(8,AR41)*AR40))),MAX(0,40*MAX(1,AR40)-(0)))))</f>
        <v>0</v>
      </c>
      <c r="AS43" s="64">
        <f>IF(AND(AS40=0,AS41=0),0,IF(AS40&lt;=0,0,IF(WEEKDAY(AS$6,1)=1,0,IF(WEEKDAY(AS$6,1)=7,AS40*AS41,MAX(0,AS41-8)*AS40)))+((IF(AS40&lt;=0,0,IF(WEEKDAY(AS$6,1)=1,0,IF(WEEKDAY(AS$6,1)=7,0,MIN(8,AS41)*AS40))))-MIN(IF(AS40&lt;=0,0,IF(WEEKDAY(AS$6,1)=1,0,IF(WEEKDAY(AS$6,1)=7,0,MIN(8,AS41)*AS40))),MAX(0,40*MAX(1,AS40)-(AR42)))))</f>
        <v>0</v>
      </c>
      <c r="AT43" s="63">
        <f>IF(AND(AT40=1,AT41=9),1,IF(AT40&lt;=0,0,IF(WEEKDAY(AT$6,1)=1,0,IF(WEEKDAY(AT$6,1)=7,AT40*AT41,MAX(0,AT41-8)*AT40)))+((IF(AT40&lt;=0,0,IF(WEEKDAY(AT$6,1)=1,0,IF(WEEKDAY(AT$6,1)=7,0,MIN(8,AT41)*AT40))))-MIN(IF(AT40&lt;=0,0,IF(WEEKDAY(AT$6,1)=1,0,IF(WEEKDAY(AT$6,1)=7,0,MIN(8,AT41)*AT40))),MAX(0,40*MAX(1,AT40)-(0)))))</f>
        <v>1</v>
      </c>
      <c r="AU43" s="63">
        <f>IF(AND(AU40=1,AU41=9),1,IF(AU40&lt;=0,0,IF(WEEKDAY(AU$6,1)=1,0,IF(WEEKDAY(AU$6,1)=7,AU40*AU41,MAX(0,AU41-8)*AU40)))+((IF(AU40&lt;=0,0,IF(WEEKDAY(AU$6,1)=1,0,IF(WEEKDAY(AU$6,1)=7,0,MIN(8,AU41)*AU40))))-MIN(IF(AU40&lt;=0,0,IF(WEEKDAY(AU$6,1)=1,0,IF(WEEKDAY(AU$6,1)=7,0,MIN(8,AU41)*AU40))),MAX(0,40*MAX(1,AU40)-(AT42)))))</f>
        <v>1</v>
      </c>
      <c r="AV43" s="63">
        <f>IF(AND(AV40=1,AV41=9),1,IF(AV40&lt;=0,0,IF(WEEKDAY(AV$6,1)=1,0,IF(WEEKDAY(AV$6,1)=7,AV40*AV41,MAX(0,AV41-8)*AV40)))+((IF(AV40&lt;=0,0,IF(WEEKDAY(AV$6,1)=1,0,IF(WEEKDAY(AV$6,1)=7,0,MIN(8,AV41)*AV40))))-MIN(IF(AV40&lt;=0,0,IF(WEEKDAY(AV$6,1)=1,0,IF(WEEKDAY(AV$6,1)=7,0,MIN(8,AV41)*AV40))),MAX(0,40*MAX(1,AV40)-(AT42+AU42)))))</f>
        <v>1</v>
      </c>
      <c r="AW43" s="63">
        <f>IF(AND(AW40=1,AW41=9),1,IF(AW40&lt;=0,0,IF(WEEKDAY(AW$6,1)=1,0,IF(WEEKDAY(AW$6,1)=7,AW40*AW41,MAX(0,AW41-8)*AW40)))+((IF(AW40&lt;=0,0,IF(WEEKDAY(AW$6,1)=1,0,IF(WEEKDAY(AW$6,1)=7,0,MIN(8,AW41)*AW40))))-MIN(IF(AW40&lt;=0,0,IF(WEEKDAY(AW$6,1)=1,0,IF(WEEKDAY(AW$6,1)=7,0,MIN(8,AW41)*AW40))),MAX(0,40*MAX(1,AW40)-(AT42+AU42+AV42)))))</f>
        <v>1</v>
      </c>
      <c r="AX43" s="63">
        <f>IF(AND(AX40=1,AX41=9),1,IF(AX40&lt;=0,0,IF(WEEKDAY(AX$6,1)=1,0,IF(WEEKDAY(AX$6,1)=7,AX40*AX41,MAX(0,AX41-8)*AX40)))+((IF(AX40&lt;=0,0,IF(WEEKDAY(AX$6,1)=1,0,IF(WEEKDAY(AX$6,1)=7,0,MIN(8,AX41)*AX40))))-MIN(IF(AX40&lt;=0,0,IF(WEEKDAY(AX$6,1)=1,0,IF(WEEKDAY(AX$6,1)=7,0,MIN(8,AX41)*AX40))),MAX(0,40*MAX(1,AX40)-(AT42+AU42+AV42+AW42)))))</f>
        <v>1</v>
      </c>
      <c r="AY43" s="64">
        <f>IF(AND(AY40=0,AY41=0),0,IF(AY40&lt;=0,0,IF(WEEKDAY(AY$6,1)=1,0,IF(WEEKDAY(AY$6,1)=7,AY40*AY41,MAX(0,AY41-8)*AY40)))+((IF(AY40&lt;=0,0,IF(WEEKDAY(AY$6,1)=1,0,IF(WEEKDAY(AY$6,1)=7,0,MIN(8,AY41)*AY40))))-MIN(IF(AY40&lt;=0,0,IF(WEEKDAY(AY$6,1)=1,0,IF(WEEKDAY(AY$6,1)=7,0,MIN(8,AY41)*AY40))),MAX(0,40*MAX(1,AY40)-(0)))))</f>
        <v>0</v>
      </c>
      <c r="AZ43" s="64">
        <f>IF(AND(AZ40=0,AZ41=0),0,IF(AZ40&lt;=0,0,IF(WEEKDAY(AZ$6,1)=1,0,IF(WEEKDAY(AZ$6,1)=7,AZ40*AZ41,MAX(0,AZ41-8)*AZ40)))+((IF(AZ40&lt;=0,0,IF(WEEKDAY(AZ$6,1)=1,0,IF(WEEKDAY(AZ$6,1)=7,0,MIN(8,AZ41)*AZ40))))-MIN(IF(AZ40&lt;=0,0,IF(WEEKDAY(AZ$6,1)=1,0,IF(WEEKDAY(AZ$6,1)=7,0,MIN(8,AZ41)*AZ40))),MAX(0,40*MAX(1,AZ40)-(AY42)))))</f>
        <v>0</v>
      </c>
      <c r="BA43" s="63">
        <f>IF(AND(BA40=1,BA41=9),1,IF(BA40&lt;=0,0,IF(WEEKDAY(BA$6,1)=1,0,IF(WEEKDAY(BA$6,1)=7,BA40*BA41,MAX(0,BA41-8)*BA40)))+((IF(BA40&lt;=0,0,IF(WEEKDAY(BA$6,1)=1,0,IF(WEEKDAY(BA$6,1)=7,0,MIN(8,BA41)*BA40))))-MIN(IF(BA40&lt;=0,0,IF(WEEKDAY(BA$6,1)=1,0,IF(WEEKDAY(BA$6,1)=7,0,MIN(8,BA41)*BA40))),MAX(0,40*MAX(1,BA40)-(0)))))</f>
        <v>1</v>
      </c>
      <c r="BB43" s="63">
        <f>IF(AND(BB40=1,BB41=9),1,IF(BB40&lt;=0,0,IF(WEEKDAY(BB$6,1)=1,0,IF(WEEKDAY(BB$6,1)=7,BB40*BB41,MAX(0,BB41-8)*BB40)))+((IF(BB40&lt;=0,0,IF(WEEKDAY(BB$6,1)=1,0,IF(WEEKDAY(BB$6,1)=7,0,MIN(8,BB41)*BB40))))-MIN(IF(BB40&lt;=0,0,IF(WEEKDAY(BB$6,1)=1,0,IF(WEEKDAY(BB$6,1)=7,0,MIN(8,BB41)*BB40))),MAX(0,40*MAX(1,BB40)-(BA42)))))</f>
        <v>1</v>
      </c>
      <c r="BC43" s="63">
        <f>IF(AND(BC40=1,BC41=9),1,IF(BC40&lt;=0,0,IF(WEEKDAY(BC$6,1)=1,0,IF(WEEKDAY(BC$6,1)=7,BC40*BC41,MAX(0,BC41-8)*BC40)))+((IF(BC40&lt;=0,0,IF(WEEKDAY(BC$6,1)=1,0,IF(WEEKDAY(BC$6,1)=7,0,MIN(8,BC41)*BC40))))-MIN(IF(BC40&lt;=0,0,IF(WEEKDAY(BC$6,1)=1,0,IF(WEEKDAY(BC$6,1)=7,0,MIN(8,BC41)*BC40))),MAX(0,40*MAX(1,BC40)-(BA42+BB42)))))</f>
        <v>1</v>
      </c>
      <c r="BD43" s="63">
        <f>IF(AND(BD40=1,BD41=9),1,IF(BD40&lt;=0,0,IF(WEEKDAY(BD$6,1)=1,0,IF(WEEKDAY(BD$6,1)=7,BD40*BD41,MAX(0,BD41-8)*BD40)))+((IF(BD40&lt;=0,0,IF(WEEKDAY(BD$6,1)=1,0,IF(WEEKDAY(BD$6,1)=7,0,MIN(8,BD41)*BD40))))-MIN(IF(BD40&lt;=0,0,IF(WEEKDAY(BD$6,1)=1,0,IF(WEEKDAY(BD$6,1)=7,0,MIN(8,BD41)*BD40))),MAX(0,40*MAX(1,BD40)-(BA42+BB42+BC42)))))</f>
        <v>1</v>
      </c>
      <c r="BE43" s="63">
        <f>IF(AND(BE40=1,BE41=9),1,IF(BE40&lt;=0,0,IF(WEEKDAY(BE$6,1)=1,0,IF(WEEKDAY(BE$6,1)=7,BE40*BE41,MAX(0,BE41-8)*BE40)))+((IF(BE40&lt;=0,0,IF(WEEKDAY(BE$6,1)=1,0,IF(WEEKDAY(BE$6,1)=7,0,MIN(8,BE41)*BE40))))-MIN(IF(BE40&lt;=0,0,IF(WEEKDAY(BE$6,1)=1,0,IF(WEEKDAY(BE$6,1)=7,0,MIN(8,BE41)*BE40))),MAX(0,40*MAX(1,BE40)-(BA42+BB42+BC42+BD42)))))</f>
        <v>1</v>
      </c>
      <c r="BF43" s="64">
        <f>IF(AND(BF40=0,BF41=0),0,IF(BF40&lt;=0,0,IF(WEEKDAY(BF$6,1)=1,0,IF(WEEKDAY(BF$6,1)=7,BF40*BF41,MAX(0,BF41-8)*BF40)))+((IF(BF40&lt;=0,0,IF(WEEKDAY(BF$6,1)=1,0,IF(WEEKDAY(BF$6,1)=7,0,MIN(8,BF41)*BF40))))-MIN(IF(BF40&lt;=0,0,IF(WEEKDAY(BF$6,1)=1,0,IF(WEEKDAY(BF$6,1)=7,0,MIN(8,BF41)*BF40))),MAX(0,40*MAX(1,BF40)-(0)))))</f>
        <v>0</v>
      </c>
      <c r="BG43" s="64">
        <f>IF(AND(BG40=0,BG41=0),0,IF(BG40&lt;=0,0,IF(WEEKDAY(BG$6,1)=1,0,IF(WEEKDAY(BG$6,1)=7,BG40*BG41,MAX(0,BG41-8)*BG40)))+((IF(BG40&lt;=0,0,IF(WEEKDAY(BG$6,1)=1,0,IF(WEEKDAY(BG$6,1)=7,0,MIN(8,BG41)*BG40))))-MIN(IF(BG40&lt;=0,0,IF(WEEKDAY(BG$6,1)=1,0,IF(WEEKDAY(BG$6,1)=7,0,MIN(8,BG41)*BG40))),MAX(0,40*MAX(1,BG40)-(BF42)))))</f>
        <v>0</v>
      </c>
      <c r="BH43" s="63">
        <f>IF(AND(BH40=1,BH41=11),3,IF(BH40&lt;=0,0,IF(WEEKDAY(BH$6,1)=1,0,IF(WEEKDAY(BH$6,1)=7,BH40*BH41,MAX(0,BH41-8)*BH40)))+((IF(BH40&lt;=0,0,IF(WEEKDAY(BH$6,1)=1,0,IF(WEEKDAY(BH$6,1)=7,0,MIN(8,BH41)*BH40))))-MIN(IF(BH40&lt;=0,0,IF(WEEKDAY(BH$6,1)=1,0,IF(WEEKDAY(BH$6,1)=7,0,MIN(8,BH41)*BH40))),MAX(0,40*MAX(1,BH40)-(0)))))</f>
        <v>3</v>
      </c>
      <c r="BI43" s="63">
        <f>IF(AND(BI40=1,BI41=11),3,IF(BI40&lt;=0,0,IF(WEEKDAY(BI$6,1)=1,0,IF(WEEKDAY(BI$6,1)=7,BI40*BI41,MAX(0,BI41-8)*BI40)))+((IF(BI40&lt;=0,0,IF(WEEKDAY(BI$6,1)=1,0,IF(WEEKDAY(BI$6,1)=7,0,MIN(8,BI41)*BI40))))-MIN(IF(BI40&lt;=0,0,IF(WEEKDAY(BI$6,1)=1,0,IF(WEEKDAY(BI$6,1)=7,0,MIN(8,BI41)*BI40))),MAX(0,40*MAX(1,BI40)-(BH42)))))</f>
        <v>3</v>
      </c>
      <c r="BJ43" s="63">
        <f>IF(AND(BJ40=1,BJ41=11),3,IF(BJ40&lt;=0,0,IF(WEEKDAY(BJ$6,1)=1,0,IF(WEEKDAY(BJ$6,1)=7,BJ40*BJ41,MAX(0,BJ41-8)*BJ40)))+((IF(BJ40&lt;=0,0,IF(WEEKDAY(BJ$6,1)=1,0,IF(WEEKDAY(BJ$6,1)=7,0,MIN(8,BJ41)*BJ40))))-MIN(IF(BJ40&lt;=0,0,IF(WEEKDAY(BJ$6,1)=1,0,IF(WEEKDAY(BJ$6,1)=7,0,MIN(8,BJ41)*BJ40))),MAX(0,40*MAX(1,BJ40)-(BH42+BI42)))))</f>
        <v>3</v>
      </c>
      <c r="BK43" s="63">
        <f>IF(AND(BK40=1,BK41=11),3,IF(BK40&lt;=0,0,IF(WEEKDAY(BK$6,1)=1,0,IF(WEEKDAY(BK$6,1)=7,BK40*BK41,MAX(0,BK41-8)*BK40)))+((IF(BK40&lt;=0,0,IF(WEEKDAY(BK$6,1)=1,0,IF(WEEKDAY(BK$6,1)=7,0,MIN(8,BK41)*BK40))))-MIN(IF(BK40&lt;=0,0,IF(WEEKDAY(BK$6,1)=1,0,IF(WEEKDAY(BK$6,1)=7,0,MIN(8,BK41)*BK40))),MAX(0,40*MAX(1,BK40)-(BH42+BI42+BJ42)))))</f>
        <v>3</v>
      </c>
      <c r="BL43" s="63">
        <f>IF(AND(BL40=1,BL41=11),3,IF(BL40&lt;=0,0,IF(WEEKDAY(BL$6,1)=1,0,IF(WEEKDAY(BL$6,1)=7,BL40*BL41,MAX(0,BL41-8)*BL40)))+((IF(BL40&lt;=0,0,IF(WEEKDAY(BL$6,1)=1,0,IF(WEEKDAY(BL$6,1)=7,0,MIN(8,BL41)*BL40))))-MIN(IF(BL40&lt;=0,0,IF(WEEKDAY(BL$6,1)=1,0,IF(WEEKDAY(BL$6,1)=7,0,MIN(8,BL41)*BL40))),MAX(0,40*MAX(1,BL40)-(BH42+BI42+BJ42+BK42)))))</f>
        <v>3</v>
      </c>
      <c r="BM43" s="64">
        <f>IF(AND(BM40=1,BM41=11),11,IF(BM40&lt;=0,0,IF(WEEKDAY(BM$6,1)=1,0,IF(WEEKDAY(BM$6,1)=7,BM40*BM41,MAX(0,BM41-8)*BM40)))+((IF(BM40&lt;=0,0,IF(WEEKDAY(BM$6,1)=1,0,IF(WEEKDAY(BM$6,1)=7,0,MIN(8,BM41)*BM40))))-MIN(IF(BM40&lt;=0,0,IF(WEEKDAY(BM$6,1)=1,0,IF(WEEKDAY(BM$6,1)=7,0,MIN(8,BM41)*BM40))),MAX(0,40*MAX(1,BM40)-(BH42+BI42+BJ42+BK42+BL42)))))</f>
        <v>11</v>
      </c>
      <c r="BN43" s="64">
        <f>IF(AND(BN40=1,BN41=11),0,IF(BN40&lt;=0,0,IF(WEEKDAY(BN$6,1)=1,0,IF(WEEKDAY(BN$6,1)=7,BN40*BN41,MAX(0,BN41-8)*BN40)))+((IF(BN40&lt;=0,0,IF(WEEKDAY(BN$6,1)=1,0,IF(WEEKDAY(BN$6,1)=7,0,MIN(8,BN41)*BN40))))-MIN(IF(BN40&lt;=0,0,IF(WEEKDAY(BN$6,1)=1,0,IF(WEEKDAY(BN$6,1)=7,0,MIN(8,BN41)*BN40))),MAX(0,40*MAX(1,BN40)-(BH42+BI42+BJ42+BK42+BL42+BM42)))))</f>
        <v>0</v>
      </c>
      <c r="BO43" s="63">
        <f>IF(AND(BO40=1,BO41=11),3,IF(BO40&lt;=0,0,IF(WEEKDAY(BO$6,1)=1,0,IF(WEEKDAY(BO$6,1)=7,BO40*BO41,MAX(0,BO41-8)*BO40)))+((IF(BO40&lt;=0,0,IF(WEEKDAY(BO$6,1)=1,0,IF(WEEKDAY(BO$6,1)=7,0,MIN(8,BO41)*BO40))))-MIN(IF(BO40&lt;=0,0,IF(WEEKDAY(BO$6,1)=1,0,IF(WEEKDAY(BO$6,1)=7,0,MIN(8,BO41)*BO40))),MAX(0,40*MAX(1,BO40)-(0)))))</f>
        <v>3</v>
      </c>
      <c r="BP43" s="63">
        <f>IF(AND(BP40=1,BP41=11),3,IF(BP40&lt;=0,0,IF(WEEKDAY(BP$6,1)=1,0,IF(WEEKDAY(BP$6,1)=7,BP40*BP41,MAX(0,BP41-8)*BP40)))+((IF(BP40&lt;=0,0,IF(WEEKDAY(BP$6,1)=1,0,IF(WEEKDAY(BP$6,1)=7,0,MIN(8,BP41)*BP40))))-MIN(IF(BP40&lt;=0,0,IF(WEEKDAY(BP$6,1)=1,0,IF(WEEKDAY(BP$6,1)=7,0,MIN(8,BP41)*BP40))),MAX(0,40*MAX(1,BP40)-(BO42)))))</f>
        <v>3</v>
      </c>
      <c r="BQ43" s="63">
        <f>IF(AND(BQ40=1,BQ41=11),3,IF(BQ40&lt;=0,0,IF(WEEKDAY(BQ$6,1)=1,0,IF(WEEKDAY(BQ$6,1)=7,BQ40*BQ41,MAX(0,BQ41-8)*BQ40)))+((IF(BQ40&lt;=0,0,IF(WEEKDAY(BQ$6,1)=1,0,IF(WEEKDAY(BQ$6,1)=7,0,MIN(8,BQ41)*BQ40))))-MIN(IF(BQ40&lt;=0,0,IF(WEEKDAY(BQ$6,1)=1,0,IF(WEEKDAY(BQ$6,1)=7,0,MIN(8,BQ41)*BQ40))),MAX(0,40*MAX(1,BQ40)-(BO42+BP42)))))</f>
        <v>3</v>
      </c>
      <c r="BR43" s="63">
        <f>IF(AND(BR40=1,BR41=11),3,IF(BR40&lt;=0,0,IF(WEEKDAY(BR$6,1)=1,0,IF(WEEKDAY(BR$6,1)=7,BR40*BR41,MAX(0,BR41-8)*BR40)))+((IF(BR40&lt;=0,0,IF(WEEKDAY(BR$6,1)=1,0,IF(WEEKDAY(BR$6,1)=7,0,MIN(8,BR41)*BR40))))-MIN(IF(BR40&lt;=0,0,IF(WEEKDAY(BR$6,1)=1,0,IF(WEEKDAY(BR$6,1)=7,0,MIN(8,BR41)*BR40))),MAX(0,40*MAX(1,BR40)-(0)))))</f>
        <v>3</v>
      </c>
      <c r="BS43" s="63">
        <f>IF(AND(BS40=1,BS41=11),3,IF(BS40&lt;=0,0,IF(WEEKDAY(BS$6,1)=1,0,IF(WEEKDAY(BS$6,1)=7,BS40*BS41,MAX(0,BS41-8)*BS40)))+((IF(BS40&lt;=0,0,IF(WEEKDAY(BS$6,1)=1,0,IF(WEEKDAY(BS$6,1)=7,0,MIN(8,BS41)*BS40))))-MIN(IF(BS40&lt;=0,0,IF(WEEKDAY(BS$6,1)=1,0,IF(WEEKDAY(BS$6,1)=7,0,MIN(8,BS41)*BS40))),MAX(0,40*MAX(1,BS40)-(BR42)))))</f>
        <v>3</v>
      </c>
      <c r="BT43" s="64">
        <f>IF(AND(BT40=1,BT41=11),11,IF(BT40&lt;=0,0,IF(WEEKDAY(BT$6,1)=1,0,IF(WEEKDAY(BT$6,1)=7,BT40*BT41,MAX(0,BT41-8)*BT40)))+((IF(BT40&lt;=0,0,IF(WEEKDAY(BT$6,1)=1,0,IF(WEEKDAY(BT$6,1)=7,0,MIN(8,BT41)*BT40))))-MIN(IF(BT40&lt;=0,0,IF(WEEKDAY(BT$6,1)=1,0,IF(WEEKDAY(BT$6,1)=7,0,MIN(8,BT41)*BT40))),MAX(0,40*MAX(1,BT40)-(BR42+BS42)))))</f>
        <v>11</v>
      </c>
      <c r="BU43" s="64">
        <f>IF(AND(BU40=1,BU41=11),0,IF(BU40&lt;=0,0,IF(WEEKDAY(BU$6,1)=1,0,IF(WEEKDAY(BU$6,1)=7,BU40*BU41,MAX(0,BU41-8)*BU40)))+((IF(BU40&lt;=0,0,IF(WEEKDAY(BU$6,1)=1,0,IF(WEEKDAY(BU$6,1)=7,0,MIN(8,BU41)*BU40))))-MIN(IF(BU40&lt;=0,0,IF(WEEKDAY(BU$6,1)=1,0,IF(WEEKDAY(BU$6,1)=7,0,MIN(8,BU41)*BU40))),MAX(0,40*MAX(1,BU40)-(BR42+BS42+BT42)))))</f>
        <v>0</v>
      </c>
      <c r="BV43" s="63">
        <f>IF(AND(BV40=1,BV41=11),3,IF(BV40&lt;=0,0,IF(WEEKDAY(BV$6,1)=1,0,IF(WEEKDAY(BV$6,1)=7,BV40*BV41,MAX(0,BV41-8)*BV40)))+((IF(BV40&lt;=0,0,IF(WEEKDAY(BV$6,1)=1,0,IF(WEEKDAY(BV$6,1)=7,0,MIN(8,BV41)*BV40))))-MIN(IF(BV40&lt;=0,0,IF(WEEKDAY(BV$6,1)=1,0,IF(WEEKDAY(BV$6,1)=7,0,MIN(8,BV41)*BV40))),MAX(0,40*MAX(1,BV40)-(0)))))</f>
        <v>3</v>
      </c>
      <c r="BW43" s="63">
        <f>IF(AND(BW40=1,BW41=11),3,IF(BW40&lt;=0,0,IF(WEEKDAY(BW$6,1)=1,0,IF(WEEKDAY(BW$6,1)=7,BW40*BW41,MAX(0,BW41-8)*BW40)))+((IF(BW40&lt;=0,0,IF(WEEKDAY(BW$6,1)=1,0,IF(WEEKDAY(BW$6,1)=7,0,MIN(8,BW41)*BW40))))-MIN(IF(BW40&lt;=0,0,IF(WEEKDAY(BW$6,1)=1,0,IF(WEEKDAY(BW$6,1)=7,0,MIN(8,BW41)*BW40))),MAX(0,40*MAX(1,BW40)-(BV42)))))</f>
        <v>3</v>
      </c>
      <c r="BX43" s="63">
        <f>IF(AND(BX40=1,BX41=11),3,IF(BX40&lt;=0,0,IF(WEEKDAY(BX$6,1)=1,0,IF(WEEKDAY(BX$6,1)=7,BX40*BX41,MAX(0,BX41-8)*BX40)))+((IF(BX40&lt;=0,0,IF(WEEKDAY(BX$6,1)=1,0,IF(WEEKDAY(BX$6,1)=7,0,MIN(8,BX41)*BX40))))-MIN(IF(BX40&lt;=0,0,IF(WEEKDAY(BX$6,1)=1,0,IF(WEEKDAY(BX$6,1)=7,0,MIN(8,BX41)*BX40))),MAX(0,40*MAX(1,BX40)-(BV42+BW42)))))</f>
        <v>3</v>
      </c>
      <c r="BY43" s="63">
        <f>IF(AND(BY40=1,BY41=11),3,IF(BY40&lt;=0,0,IF(WEEKDAY(BY$6,1)=1,0,IF(WEEKDAY(BY$6,1)=7,BY40*BY41,MAX(0,BY41-8)*BY40)))+((IF(BY40&lt;=0,0,IF(WEEKDAY(BY$6,1)=1,0,IF(WEEKDAY(BY$6,1)=7,0,MIN(8,BY41)*BY40))))-MIN(IF(BY40&lt;=0,0,IF(WEEKDAY(BY$6,1)=1,0,IF(WEEKDAY(BY$6,1)=7,0,MIN(8,BY41)*BY40))),MAX(0,40*MAX(1,BY40)-(BV42+BW42+BX42)))))</f>
        <v>3</v>
      </c>
      <c r="BZ43" s="63">
        <f>IF(AND(BZ40=1,BZ41=11),3,IF(BZ40&lt;=0,0,IF(WEEKDAY(BZ$6,1)=1,0,IF(WEEKDAY(BZ$6,1)=7,BZ40*BZ41,MAX(0,BZ41-8)*BZ40)))+((IF(BZ40&lt;=0,0,IF(WEEKDAY(BZ$6,1)=1,0,IF(WEEKDAY(BZ$6,1)=7,0,MIN(8,BZ41)*BZ40))))-MIN(IF(BZ40&lt;=0,0,IF(WEEKDAY(BZ$6,1)=1,0,IF(WEEKDAY(BZ$6,1)=7,0,MIN(8,BZ41)*BZ40))),MAX(0,40*MAX(1,BZ40)-(BV42+BW42+BX42+BY42)))))</f>
        <v>3</v>
      </c>
      <c r="CA43" s="64">
        <f>IF(AND(CA40=1,CA41=11),11,IF(CA40&lt;=0,0,IF(WEEKDAY(CA$6,1)=1,0,IF(WEEKDAY(CA$6,1)=7,CA40*CA41,MAX(0,CA41-8)*CA40)))+((IF(CA40&lt;=0,0,IF(WEEKDAY(CA$6,1)=1,0,IF(WEEKDAY(CA$6,1)=7,0,MIN(8,CA41)*CA40))))-MIN(IF(CA40&lt;=0,0,IF(WEEKDAY(CA$6,1)=1,0,IF(WEEKDAY(CA$6,1)=7,0,MIN(8,CA41)*CA40))),MAX(0,40*MAX(1,CA40)-(BV42+BW42+BX42+BY42+BZ42)))))</f>
        <v>11</v>
      </c>
      <c r="CB43" s="64">
        <f>IF(AND(CB40=0,CB41=0),0,IF(CB40&lt;=0,0,IF(WEEKDAY(CB$6,1)=1,0,IF(WEEKDAY(CB$6,1)=7,CB40*CB41,MAX(0,CB41-8)*CB40)))+((IF(CB40&lt;=0,0,IF(WEEKDAY(CB$6,1)=1,0,IF(WEEKDAY(CB$6,1)=7,0,MIN(8,CB41)*CB40))))-MIN(IF(CB40&lt;=0,0,IF(WEEKDAY(CB$6,1)=1,0,IF(WEEKDAY(CB$6,1)=7,0,MIN(8,CB41)*CB40))),MAX(0,40*MAX(1,CB40)-(0)))))</f>
        <v>0</v>
      </c>
      <c r="CC43" s="63">
        <f>IF(AND(CC40=1,CC41=11),3,IF(CC40&lt;=0,0,IF(WEEKDAY(CC$6,1)=1,0,IF(WEEKDAY(CC$6,1)=7,CC40*CC41,MAX(0,CC41-8)*CC40)))+((IF(CC40&lt;=0,0,IF(WEEKDAY(CC$6,1)=1,0,IF(WEEKDAY(CC$6,1)=7,0,MIN(8,CC41)*CC40))))-MIN(IF(CC40&lt;=0,0,IF(WEEKDAY(CC$6,1)=1,0,IF(WEEKDAY(CC$6,1)=7,0,MIN(8,CC41)*CC40))),MAX(0,40*MAX(1,CC40)-(0)))))</f>
        <v>3</v>
      </c>
      <c r="CD43" s="63">
        <f>IF(AND(CD40=1,CD41=11),3,IF(CD40&lt;=0,0,IF(WEEKDAY(CD$6,1)=1,0,IF(WEEKDAY(CD$6,1)=7,CD40*CD41,MAX(0,CD41-8)*CD40)))+((IF(CD40&lt;=0,0,IF(WEEKDAY(CD$6,1)=1,0,IF(WEEKDAY(CD$6,1)=7,0,MIN(8,CD41)*CD40))))-MIN(IF(CD40&lt;=0,0,IF(WEEKDAY(CD$6,1)=1,0,IF(WEEKDAY(CD$6,1)=7,0,MIN(8,CD41)*CD40))),MAX(0,40*MAX(1,CD40)-(CC42)))))</f>
        <v>3</v>
      </c>
      <c r="CE43" s="63">
        <f>IF(AND(CE40=1,CE41=11),3,IF(CE40&lt;=0,0,IF(WEEKDAY(CE$6,1)=1,0,IF(WEEKDAY(CE$6,1)=7,CE40*CE41,MAX(0,CE41-8)*CE40)))+((IF(CE40&lt;=0,0,IF(WEEKDAY(CE$6,1)=1,0,IF(WEEKDAY(CE$6,1)=7,0,MIN(8,CE41)*CE40))))-MIN(IF(CE40&lt;=0,0,IF(WEEKDAY(CE$6,1)=1,0,IF(WEEKDAY(CE$6,1)=7,0,MIN(8,CE41)*CE40))),MAX(0,40*MAX(1,CE40)-(CC42+CD42)))))</f>
        <v>3</v>
      </c>
      <c r="CF43" s="63">
        <f>IF(AND(CF40=1,CF41=11),3,IF(CF40&lt;=0,0,IF(WEEKDAY(CF$6,1)=1,0,IF(WEEKDAY(CF$6,1)=7,CF40*CF41,MAX(0,CF41-8)*CF40)))+((IF(CF40&lt;=0,0,IF(WEEKDAY(CF$6,1)=1,0,IF(WEEKDAY(CF$6,1)=7,0,MIN(8,CF41)*CF40))))-MIN(IF(CF40&lt;=0,0,IF(WEEKDAY(CF$6,1)=1,0,IF(WEEKDAY(CF$6,1)=7,0,MIN(8,CF41)*CF40))),MAX(0,40*MAX(1,CF40)-(CC42+CD42+CE42)))))</f>
        <v>3</v>
      </c>
      <c r="CG43" s="63">
        <f>IF(AND(CG40=1,CG41=11),3,IF(CG40&lt;=0,0,IF(WEEKDAY(CG$6,1)=1,0,IF(WEEKDAY(CG$6,1)=7,CG40*CG41,MAX(0,CG41-8)*CG40)))+((IF(CG40&lt;=0,0,IF(WEEKDAY(CG$6,1)=1,0,IF(WEEKDAY(CG$6,1)=7,0,MIN(8,CG41)*CG40))))-MIN(IF(CG40&lt;=0,0,IF(WEEKDAY(CG$6,1)=1,0,IF(WEEKDAY(CG$6,1)=7,0,MIN(8,CG41)*CG40))),MAX(0,40*MAX(1,CG40)-(CC42+CD42+CE42+CF42)))))</f>
        <v>3</v>
      </c>
      <c r="CH43" s="64">
        <f>IF(AND(CH40=1,CH41=11),11,IF(CH40&lt;=0,0,IF(WEEKDAY(CH$6,1)=1,0,IF(WEEKDAY(CH$6,1)=7,CH40*CH41,MAX(0,CH41-8)*CH40)))+((IF(CH40&lt;=0,0,IF(WEEKDAY(CH$6,1)=1,0,IF(WEEKDAY(CH$6,1)=7,0,MIN(8,CH41)*CH40))))-MIN(IF(CH40&lt;=0,0,IF(WEEKDAY(CH$6,1)=1,0,IF(WEEKDAY(CH$6,1)=7,0,MIN(8,CH41)*CH40))),MAX(0,40*MAX(1,CH40)-(CC42+CD42+CE42+CF42+CG42)))))</f>
        <v>11</v>
      </c>
      <c r="CI43" s="64">
        <f>IF(AND(CI40=1,CI41=11),0,IF(CI40&lt;=0,0,IF(WEEKDAY(CI$6,1)=1,0,IF(WEEKDAY(CI$6,1)=7,CI40*CI41,MAX(0,CI41-8)*CI40)))+((IF(CI40&lt;=0,0,IF(WEEKDAY(CI$6,1)=1,0,IF(WEEKDAY(CI$6,1)=7,0,MIN(8,CI41)*CI40))))-MIN(IF(CI40&lt;=0,0,IF(WEEKDAY(CI$6,1)=1,0,IF(WEEKDAY(CI$6,1)=7,0,MIN(8,CI41)*CI40))),MAX(0,40*MAX(1,CI40)-(CC42+CD42+CE42+CF42+CG42+CH42)))))</f>
        <v>0</v>
      </c>
      <c r="CJ43" s="63">
        <f>IF(AND(CJ40=1,CJ41=11),3,IF(CJ40&lt;=0,0,IF(WEEKDAY(CJ$6,1)=1,0,IF(WEEKDAY(CJ$6,1)=7,CJ40*CJ41,MAX(0,CJ41-8)*CJ40)))+((IF(CJ40&lt;=0,0,IF(WEEKDAY(CJ$6,1)=1,0,IF(WEEKDAY(CJ$6,1)=7,0,MIN(8,CJ41)*CJ40))))-MIN(IF(CJ40&lt;=0,0,IF(WEEKDAY(CJ$6,1)=1,0,IF(WEEKDAY(CJ$6,1)=7,0,MIN(8,CJ41)*CJ40))),MAX(0,40*MAX(1,CJ40)-(0)))))</f>
        <v>3</v>
      </c>
      <c r="CK43" s="63">
        <f>IF(AND(CK40=1,CK41=11),3,IF(CK40&lt;=0,0,IF(WEEKDAY(CK$6,1)=1,0,IF(WEEKDAY(CK$6,1)=7,CK40*CK41,MAX(0,CK41-8)*CK40)))+((IF(CK40&lt;=0,0,IF(WEEKDAY(CK$6,1)=1,0,IF(WEEKDAY(CK$6,1)=7,0,MIN(8,CK41)*CK40))))-MIN(IF(CK40&lt;=0,0,IF(WEEKDAY(CK$6,1)=1,0,IF(WEEKDAY(CK$6,1)=7,0,MIN(8,CK41)*CK40))),MAX(0,40*MAX(1,CK40)-(CJ42)))))</f>
        <v>3</v>
      </c>
      <c r="CL43" s="63">
        <f>IF(AND(CL40=1,CL41=11),3,IF(CL40&lt;=0,0,IF(WEEKDAY(CL$6,1)=1,0,IF(WEEKDAY(CL$6,1)=7,CL40*CL41,MAX(0,CL41-8)*CL40)))+((IF(CL40&lt;=0,0,IF(WEEKDAY(CL$6,1)=1,0,IF(WEEKDAY(CL$6,1)=7,0,MIN(8,CL41)*CL40))))-MIN(IF(CL40&lt;=0,0,IF(WEEKDAY(CL$6,1)=1,0,IF(WEEKDAY(CL$6,1)=7,0,MIN(8,CL41)*CL40))),MAX(0,40*MAX(1,CL40)-(CJ42+CK42)))))</f>
        <v>3</v>
      </c>
      <c r="CM43" s="63">
        <f>IF(AND(CM40=1,CM41=11),3,IF(CM40&lt;=0,0,IF(WEEKDAY(CM$6,1)=1,0,IF(WEEKDAY(CM$6,1)=7,CM40*CM41,MAX(0,CM41-8)*CM40)))+((IF(CM40&lt;=0,0,IF(WEEKDAY(CM$6,1)=1,0,IF(WEEKDAY(CM$6,1)=7,0,MIN(8,CM41)*CM40))))-MIN(IF(CM40&lt;=0,0,IF(WEEKDAY(CM$6,1)=1,0,IF(WEEKDAY(CM$6,1)=7,0,MIN(8,CM41)*CM40))),MAX(0,40*MAX(1,CM40)-(CJ42+CK42+CL42)))))</f>
        <v>3</v>
      </c>
      <c r="CN43" s="63">
        <f>IF(AND(CN40=1,CN41=11),3,IF(CN40&lt;=0,0,IF(WEEKDAY(CN$6,1)=1,0,IF(WEEKDAY(CN$6,1)=7,CN40*CN41,MAX(0,CN41-8)*CN40)))+((IF(CN40&lt;=0,0,IF(WEEKDAY(CN$6,1)=1,0,IF(WEEKDAY(CN$6,1)=7,0,MIN(8,CN41)*CN40))))-MIN(IF(CN40&lt;=0,0,IF(WEEKDAY(CN$6,1)=1,0,IF(WEEKDAY(CN$6,1)=7,0,MIN(8,CN41)*CN40))),MAX(0,40*MAX(1,CN40)-(CJ42+CK42+CL42+CM42)))))</f>
        <v>3</v>
      </c>
      <c r="CO43" s="64">
        <f>IF(AND(CO40=1,CO41=11),11,IF(CO40&lt;=0,0,IF(WEEKDAY(CO$6,1)=1,0,IF(WEEKDAY(CO$6,1)=7,CO40*CO41,MAX(0,CO41-8)*CO40)))+((IF(CO40&lt;=0,0,IF(WEEKDAY(CO$6,1)=1,0,IF(WEEKDAY(CO$6,1)=7,0,MIN(8,CO41)*CO40))))-MIN(IF(CO40&lt;=0,0,IF(WEEKDAY(CO$6,1)=1,0,IF(WEEKDAY(CO$6,1)=7,0,MIN(8,CO41)*CO40))),MAX(0,40*MAX(1,CO40)-(CJ42+CK42+CL42+CM42+CN42)))))</f>
        <v>11</v>
      </c>
      <c r="CP43" s="64">
        <f>IF(AND(CP40=0,CP41=0),0,IF(CP40&lt;=0,0,IF(WEEKDAY(CP$6,1)=1,0,IF(WEEKDAY(CP$6,1)=7,CP40*CP41,MAX(0,CP41-8)*CP40)))+((IF(CP40&lt;=0,0,IF(WEEKDAY(CP$6,1)=1,0,IF(WEEKDAY(CP$6,1)=7,0,MIN(8,CP41)*CP40))))-MIN(IF(CP40&lt;=0,0,IF(WEEKDAY(CP$6,1)=1,0,IF(WEEKDAY(CP$6,1)=7,0,MIN(8,CP41)*CP40))),MAX(0,40*MAX(1,CP40)-(0)))))</f>
        <v>0</v>
      </c>
      <c r="CQ43" s="63">
        <f>IF(AND(CQ40=1,CQ41=11),3,IF(CQ40&lt;=0,0,IF(WEEKDAY(CQ$6,1)=1,0,IF(WEEKDAY(CQ$6,1)=7,CQ40*CQ41,MAX(0,CQ41-8)*CQ40)))+((IF(CQ40&lt;=0,0,IF(WEEKDAY(CQ$6,1)=1,0,IF(WEEKDAY(CQ$6,1)=7,0,MIN(8,CQ41)*CQ40))))-MIN(IF(CQ40&lt;=0,0,IF(WEEKDAY(CQ$6,1)=1,0,IF(WEEKDAY(CQ$6,1)=7,0,MIN(8,CQ41)*CQ40))),MAX(0,40*MAX(1,CQ40)-(0)))))</f>
        <v>3</v>
      </c>
      <c r="CR43" s="63">
        <f>IF(AND(CR40=1,CR41=11),3,IF(CR40&lt;=0,0,IF(WEEKDAY(CR$6,1)=1,0,IF(WEEKDAY(CR$6,1)=7,CR40*CR41,MAX(0,CR41-8)*CR40)))+((IF(CR40&lt;=0,0,IF(WEEKDAY(CR$6,1)=1,0,IF(WEEKDAY(CR$6,1)=7,0,MIN(8,CR41)*CR40))))-MIN(IF(CR40&lt;=0,0,IF(WEEKDAY(CR$6,1)=1,0,IF(WEEKDAY(CR$6,1)=7,0,MIN(8,CR41)*CR40))),MAX(0,40*MAX(1,CR40)-(CQ42)))))</f>
        <v>3</v>
      </c>
      <c r="CS43" s="63">
        <f>IF(AND(CS40=1,CS41=11),3,IF(CS40&lt;=0,0,IF(WEEKDAY(CS$6,1)=1,0,IF(WEEKDAY(CS$6,1)=7,CS40*CS41,MAX(0,CS41-8)*CS40)))+((IF(CS40&lt;=0,0,IF(WEEKDAY(CS$6,1)=1,0,IF(WEEKDAY(CS$6,1)=7,0,MIN(8,CS41)*CS40))))-MIN(IF(CS40&lt;=0,0,IF(WEEKDAY(CS$6,1)=1,0,IF(WEEKDAY(CS$6,1)=7,0,MIN(8,CS41)*CS40))),MAX(0,40*MAX(1,CS40)-(CQ42+CR42)))))</f>
        <v>3</v>
      </c>
      <c r="CT43" s="63">
        <f>IF(AND(CT40=1,CT41=11),3,IF(CT40&lt;=0,0,IF(WEEKDAY(CT$6,1)=1,0,IF(WEEKDAY(CT$6,1)=7,CT40*CT41,MAX(0,CT41-8)*CT40)))+((IF(CT40&lt;=0,0,IF(WEEKDAY(CT$6,1)=1,0,IF(WEEKDAY(CT$6,1)=7,0,MIN(8,CT41)*CT40))))-MIN(IF(CT40&lt;=0,0,IF(WEEKDAY(CT$6,1)=1,0,IF(WEEKDAY(CT$6,1)=7,0,MIN(8,CT41)*CT40))),MAX(0,40*MAX(1,CT40)-(CQ42+CR42+CS42)))))</f>
        <v>3</v>
      </c>
      <c r="CU43" s="63">
        <f>IF(AND(CU40=1,CU41=11),3,IF(CU40&lt;=0,0,IF(WEEKDAY(CU$6,1)=1,0,IF(WEEKDAY(CU$6,1)=7,CU40*CU41,MAX(0,CU41-8)*CU40)))+((IF(CU40&lt;=0,0,IF(WEEKDAY(CU$6,1)=1,0,IF(WEEKDAY(CU$6,1)=7,0,MIN(8,CU41)*CU40))))-MIN(IF(CU40&lt;=0,0,IF(WEEKDAY(CU$6,1)=1,0,IF(WEEKDAY(CU$6,1)=7,0,MIN(8,CU41)*CU40))),MAX(0,40*MAX(1,CU40)-(CQ42+CR42+CS42+CT42)))))</f>
        <v>3</v>
      </c>
      <c r="CV43" s="64">
        <f>IF(AND(CV40=1,CV41=11),11,IF(CV40&lt;=0,0,IF(WEEKDAY(CV$6,1)=1,0,IF(WEEKDAY(CV$6,1)=7,CV40*CV41,MAX(0,CV41-8)*CV40)))+((IF(CV40&lt;=0,0,IF(WEEKDAY(CV$6,1)=1,0,IF(WEEKDAY(CV$6,1)=7,0,MIN(8,CV41)*CV40))))-MIN(IF(CV40&lt;=0,0,IF(WEEKDAY(CV$6,1)=1,0,IF(WEEKDAY(CV$6,1)=7,0,MIN(8,CV41)*CV40))),MAX(0,40*MAX(1,CV40)-(CQ42+CR42+CS42+CT42+CU42)))))</f>
        <v>11</v>
      </c>
      <c r="CW43" s="64">
        <f>IF(AND(CW40=1,CW41=11),0,IF(CW40&lt;=0,0,IF(WEEKDAY(CW$6,1)=1,0,IF(WEEKDAY(CW$6,1)=7,CW40*CW41,MAX(0,CW41-8)*CW40)))+((IF(CW40&lt;=0,0,IF(WEEKDAY(CW$6,1)=1,0,IF(WEEKDAY(CW$6,1)=7,0,MIN(8,CW41)*CW40))))-MIN(IF(CW40&lt;=0,0,IF(WEEKDAY(CW$6,1)=1,0,IF(WEEKDAY(CW$6,1)=7,0,MIN(8,CW41)*CW40))),MAX(0,40*MAX(1,CW40)-(CQ42+CR42+CS42+CT42+CU42+CV42)))))</f>
        <v>0</v>
      </c>
      <c r="CX43" s="63">
        <f>IF(AND(CX40=1,CX41=11),3,IF(CX40&lt;=0,0,IF(WEEKDAY(CX$6,1)=1,0,IF(WEEKDAY(CX$6,1)=7,CX40*CX41,MAX(0,CX41-8)*CX40)))+((IF(CX40&lt;=0,0,IF(WEEKDAY(CX$6,1)=1,0,IF(WEEKDAY(CX$6,1)=7,0,MIN(8,CX41)*CX40))))-MIN(IF(CX40&lt;=0,0,IF(WEEKDAY(CX$6,1)=1,0,IF(WEEKDAY(CX$6,1)=7,0,MIN(8,CX41)*CX40))),MAX(0,40*MAX(1,CX40)-(0)))))</f>
        <v>3</v>
      </c>
      <c r="CY43" s="63">
        <f>IF(AND(CY40=1,CY41=11),3,IF(CY40&lt;=0,0,IF(WEEKDAY(CY$6,1)=1,0,IF(WEEKDAY(CY$6,1)=7,CY40*CY41,MAX(0,CY41-8)*CY40)))+((IF(CY40&lt;=0,0,IF(WEEKDAY(CY$6,1)=1,0,IF(WEEKDAY(CY$6,1)=7,0,MIN(8,CY41)*CY40))))-MIN(IF(CY40&lt;=0,0,IF(WEEKDAY(CY$6,1)=1,0,IF(WEEKDAY(CY$6,1)=7,0,MIN(8,CY41)*CY40))),MAX(0,40*MAX(1,CY40)-(CX42)))))</f>
        <v>3</v>
      </c>
      <c r="CZ43" s="63">
        <f>IF(AND(CZ40=1,CZ41=11),3,IF(CZ40&lt;=0,0,IF(WEEKDAY(CZ$6,1)=1,0,IF(WEEKDAY(CZ$6,1)=7,CZ40*CZ41,MAX(0,CZ41-8)*CZ40)))+((IF(CZ40&lt;=0,0,IF(WEEKDAY(CZ$6,1)=1,0,IF(WEEKDAY(CZ$6,1)=7,0,MIN(8,CZ41)*CZ40))))-MIN(IF(CZ40&lt;=0,0,IF(WEEKDAY(CZ$6,1)=1,0,IF(WEEKDAY(CZ$6,1)=7,0,MIN(8,CZ41)*CZ40))),MAX(0,40*MAX(1,CZ40)-(CX42+CY42)))))</f>
        <v>3</v>
      </c>
      <c r="DA43" s="63">
        <f>IF(AND(DA40=1,DA41=11),3,IF(DA40&lt;=0,0,IF(WEEKDAY(DA$6,1)=1,0,IF(WEEKDAY(DA$6,1)=7,DA40*DA41,MAX(0,DA41-8)*DA40)))+((IF(DA40&lt;=0,0,IF(WEEKDAY(DA$6,1)=1,0,IF(WEEKDAY(DA$6,1)=7,0,MIN(8,DA41)*DA40))))-MIN(IF(DA40&lt;=0,0,IF(WEEKDAY(DA$6,1)=1,0,IF(WEEKDAY(DA$6,1)=7,0,MIN(8,DA41)*DA40))),MAX(0,40*MAX(1,DA40)-(CX42+CY42+CZ42)))))</f>
        <v>3</v>
      </c>
      <c r="DB43" s="63">
        <f>IF(AND(DB40=1,DB41=11),3,IF(DB40&lt;=0,0,IF(WEEKDAY(DB$6,1)=1,0,IF(WEEKDAY(DB$6,1)=7,DB40*DB41,MAX(0,DB41-8)*DB40)))+((IF(DB40&lt;=0,0,IF(WEEKDAY(DB$6,1)=1,0,IF(WEEKDAY(DB$6,1)=7,0,MIN(8,DB41)*DB40))))-MIN(IF(DB40&lt;=0,0,IF(WEEKDAY(DB$6,1)=1,0,IF(WEEKDAY(DB$6,1)=7,0,MIN(8,DB41)*DB40))),MAX(0,40*MAX(1,DB40)-(CX42+CY42+CZ42+DA42)))))</f>
        <v>3</v>
      </c>
      <c r="DC43" s="64">
        <f>IF(AND(DC40=1,DC41=11),11,IF(DC40&lt;=0,0,IF(WEEKDAY(DC$6,1)=1,0,IF(WEEKDAY(DC$6,1)=7,DC40*DC41,MAX(0,DC41-8)*DC40)))+((IF(DC40&lt;=0,0,IF(WEEKDAY(DC$6,1)=1,0,IF(WEEKDAY(DC$6,1)=7,0,MIN(8,DC41)*DC40))))-MIN(IF(DC40&lt;=0,0,IF(WEEKDAY(DC$6,1)=1,0,IF(WEEKDAY(DC$6,1)=7,0,MIN(8,DC41)*DC40))),MAX(0,40*MAX(1,DC40)-(CX42+CY42+CZ42+DA42+DB42)))))</f>
        <v>11</v>
      </c>
      <c r="DD43" s="64">
        <f>IF(AND(DD40=1,DD41=11),0,IF(DD40&lt;=0,0,IF(WEEKDAY(DD$6,1)=1,0,IF(WEEKDAY(DD$6,1)=7,DD40*DD41,MAX(0,DD41-8)*DD40)))+((IF(DD40&lt;=0,0,IF(WEEKDAY(DD$6,1)=1,0,IF(WEEKDAY(DD$6,1)=7,0,MIN(8,DD41)*DD40))))-MIN(IF(DD40&lt;=0,0,IF(WEEKDAY(DD$6,1)=1,0,IF(WEEKDAY(DD$6,1)=7,0,MIN(8,DD41)*DD40))),MAX(0,40*MAX(1,DD40)-(0)))))</f>
        <v>0</v>
      </c>
      <c r="DE43" s="63">
        <f>IF(AND(DE40=1,DE41=11),3,IF(DE40&lt;=0,0,IF(WEEKDAY(DE$6,1)=1,0,IF(WEEKDAY(DE$6,1)=7,DE40*DE41,MAX(0,DE41-8)*DE40)))+((IF(DE40&lt;=0,0,IF(WEEKDAY(DE$6,1)=1,0,IF(WEEKDAY(DE$6,1)=7,0,MIN(8,DE41)*DE40))))-MIN(IF(DE40&lt;=0,0,IF(WEEKDAY(DE$6,1)=1,0,IF(WEEKDAY(DE$6,1)=7,0,MIN(8,DE41)*DE40))),MAX(0,40*MAX(1,DE40)-(0)))))</f>
        <v>3</v>
      </c>
      <c r="DF43" s="63">
        <f>IF(AND(DF40=1,DF41=11),3,IF(DF40&lt;=0,0,IF(WEEKDAY(DF$6,1)=1,0,IF(WEEKDAY(DF$6,1)=7,DF40*DF41,MAX(0,DF41-8)*DF40)))+((IF(DF40&lt;=0,0,IF(WEEKDAY(DF$6,1)=1,0,IF(WEEKDAY(DF$6,1)=7,0,MIN(8,DF41)*DF40))))-MIN(IF(DF40&lt;=0,0,IF(WEEKDAY(DF$6,1)=1,0,IF(WEEKDAY(DF$6,1)=7,0,MIN(8,DF41)*DF40))),MAX(0,40*MAX(1,DF40)-(DE42)))))</f>
        <v>3</v>
      </c>
      <c r="DG43" s="63">
        <f>IF(AND(DG40=1,DG41=11),3,IF(DG40&lt;=0,0,IF(WEEKDAY(DG$6,1)=1,0,IF(WEEKDAY(DG$6,1)=7,DG40*DG41,MAX(0,DG41-8)*DG40)))+((IF(DG40&lt;=0,0,IF(WEEKDAY(DG$6,1)=1,0,IF(WEEKDAY(DG$6,1)=7,0,MIN(8,DG41)*DG40))))-MIN(IF(DG40&lt;=0,0,IF(WEEKDAY(DG$6,1)=1,0,IF(WEEKDAY(DG$6,1)=7,0,MIN(8,DG41)*DG40))),MAX(0,40*MAX(1,DG40)-(DE42+DF42)))))</f>
        <v>3</v>
      </c>
      <c r="DH43" s="63">
        <f>IF(AND(DH40=1,DH41=11),3,IF(DH40&lt;=0,0,IF(WEEKDAY(DH$6,1)=1,0,IF(WEEKDAY(DH$6,1)=7,DH40*DH41,MAX(0,DH41-8)*DH40)))+((IF(DH40&lt;=0,0,IF(WEEKDAY(DH$6,1)=1,0,IF(WEEKDAY(DH$6,1)=7,0,MIN(8,DH41)*DH40))))-MIN(IF(DH40&lt;=0,0,IF(WEEKDAY(DH$6,1)=1,0,IF(WEEKDAY(DH$6,1)=7,0,MIN(8,DH41)*DH40))),MAX(0,40*MAX(1,DH40)-(DE42+DF42+DG42)))))</f>
        <v>3</v>
      </c>
      <c r="DI43" s="63">
        <f>IF(AND(DI40=1,DI41=11),3,IF(DI40&lt;=0,0,IF(WEEKDAY(DI$6,1)=1,0,IF(WEEKDAY(DI$6,1)=7,DI40*DI41,MAX(0,DI41-8)*DI40)))+((IF(DI40&lt;=0,0,IF(WEEKDAY(DI$6,1)=1,0,IF(WEEKDAY(DI$6,1)=7,0,MIN(8,DI41)*DI40))))-MIN(IF(DI40&lt;=0,0,IF(WEEKDAY(DI$6,1)=1,0,IF(WEEKDAY(DI$6,1)=7,0,MIN(8,DI41)*DI40))),MAX(0,40*MAX(1,DI40)-(DE42+DF42+DG42+DH42)))))</f>
        <v>3</v>
      </c>
      <c r="DJ43" s="64">
        <f>IF(AND(DJ40=1,DJ41=11),11,IF(DJ40&lt;=0,0,IF(WEEKDAY(DJ$6,1)=1,0,IF(WEEKDAY(DJ$6,1)=7,DJ40*DJ41,MAX(0,DJ41-8)*DJ40)))+((IF(DJ40&lt;=0,0,IF(WEEKDAY(DJ$6,1)=1,0,IF(WEEKDAY(DJ$6,1)=7,0,MIN(8,DJ41)*DJ40))))-MIN(IF(DJ40&lt;=0,0,IF(WEEKDAY(DJ$6,1)=1,0,IF(WEEKDAY(DJ$6,1)=7,0,MIN(8,DJ41)*DJ40))),MAX(0,40*MAX(1,DJ40)-(DE42+DF42+DG42+DH42+DI42)))))</f>
        <v>11</v>
      </c>
      <c r="DK43" s="64">
        <f>IF(AND(DK40=1,DK41=11),0,IF(DK40&lt;=0,0,IF(WEEKDAY(DK$6,1)=1,0,IF(WEEKDAY(DK$6,1)=7,DK40*DK41,MAX(0,DK41-8)*DK40)))+((IF(DK40&lt;=0,0,IF(WEEKDAY(DK$6,1)=1,0,IF(WEEKDAY(DK$6,1)=7,0,MIN(8,DK41)*DK40))))-MIN(IF(DK40&lt;=0,0,IF(WEEKDAY(DK$6,1)=1,0,IF(WEEKDAY(DK$6,1)=7,0,MIN(8,DK41)*DK40))),MAX(0,40*MAX(1,DK40)-(DE42+DF42+DG42+DH42+DI42+DJ42)))))</f>
        <v>0</v>
      </c>
      <c r="DL43" s="63">
        <f>IF(AND(DL40=1,DL41=11),3,IF(DL40&lt;=0,0,IF(WEEKDAY(DL$6,1)=1,0,IF(WEEKDAY(DL$6,1)=7,DL40*DL41,MAX(0,DL41-8)*DL40)))+((IF(DL40&lt;=0,0,IF(WEEKDAY(DL$6,1)=1,0,IF(WEEKDAY(DL$6,1)=7,0,MIN(8,DL41)*DL40))))-MIN(IF(DL40&lt;=0,0,IF(WEEKDAY(DL$6,1)=1,0,IF(WEEKDAY(DL$6,1)=7,0,MIN(8,DL41)*DL40))),MAX(0,40*MAX(1,DL40)-(0)))))</f>
        <v>3</v>
      </c>
      <c r="DM43" s="63">
        <f>IF(AND(DM40=1,DM41=11),3,IF(DM40&lt;=0,0,IF(WEEKDAY(DM$6,1)=1,0,IF(WEEKDAY(DM$6,1)=7,DM40*DM41,MAX(0,DM41-8)*DM40)))+((IF(DM40&lt;=0,0,IF(WEEKDAY(DM$6,1)=1,0,IF(WEEKDAY(DM$6,1)=7,0,MIN(8,DM41)*DM40))))-MIN(IF(DM40&lt;=0,0,IF(WEEKDAY(DM$6,1)=1,0,IF(WEEKDAY(DM$6,1)=7,0,MIN(8,DM41)*DM40))),MAX(0,40*MAX(1,DM40)-(DL42)))))</f>
        <v>3</v>
      </c>
      <c r="DN43" s="63">
        <f>IF(AND(DN40=1,DN41=11),3,IF(DN40&lt;=0,0,IF(WEEKDAY(DN$6,1)=1,0,IF(WEEKDAY(DN$6,1)=7,DN40*DN41,MAX(0,DN41-8)*DN40)))+((IF(DN40&lt;=0,0,IF(WEEKDAY(DN$6,1)=1,0,IF(WEEKDAY(DN$6,1)=7,0,MIN(8,DN41)*DN40))))-MIN(IF(DN40&lt;=0,0,IF(WEEKDAY(DN$6,1)=1,0,IF(WEEKDAY(DN$6,1)=7,0,MIN(8,DN41)*DN40))),MAX(0,40*MAX(1,DN40)-(DL42+DM42)))))</f>
        <v>3</v>
      </c>
      <c r="DO43" s="63">
        <f>IF(AND(DO40=1,DO41=11),3,IF(DO40&lt;=0,0,IF(WEEKDAY(DO$6,1)=1,0,IF(WEEKDAY(DO$6,1)=7,DO40*DO41,MAX(0,DO41-8)*DO40)))+((IF(DO40&lt;=0,0,IF(WEEKDAY(DO$6,1)=1,0,IF(WEEKDAY(DO$6,1)=7,0,MIN(8,DO41)*DO40))))-MIN(IF(DO40&lt;=0,0,IF(WEEKDAY(DO$6,1)=1,0,IF(WEEKDAY(DO$6,1)=7,0,MIN(8,DO41)*DO40))),MAX(0,40*MAX(1,DO40)-(DL42+DM42+DN42)))))</f>
        <v>3</v>
      </c>
      <c r="DP43" s="63">
        <f>IF(AND(DP40=1,DP41=11),3,IF(DP40&lt;=0,0,IF(WEEKDAY(DP$6,1)=1,0,IF(WEEKDAY(DP$6,1)=7,DP40*DP41,MAX(0,DP41-8)*DP40)))+((IF(DP40&lt;=0,0,IF(WEEKDAY(DP$6,1)=1,0,IF(WEEKDAY(DP$6,1)=7,0,MIN(8,DP41)*DP40))))-MIN(IF(DP40&lt;=0,0,IF(WEEKDAY(DP$6,1)=1,0,IF(WEEKDAY(DP$6,1)=7,0,MIN(8,DP41)*DP40))),MAX(0,40*MAX(1,DP40)-(DL42+DM42+DN42+DO42)))))</f>
        <v>3</v>
      </c>
      <c r="DQ43" s="64">
        <f>IF(AND(DQ40=1,DQ41=11),11,IF(DQ40&lt;=0,0,IF(WEEKDAY(DQ$6,1)=1,0,IF(WEEKDAY(DQ$6,1)=7,DQ40*DQ41,MAX(0,DQ41-8)*DQ40)))+((IF(DQ40&lt;=0,0,IF(WEEKDAY(DQ$6,1)=1,0,IF(WEEKDAY(DQ$6,1)=7,0,MIN(8,DQ41)*DQ40))))-MIN(IF(DQ40&lt;=0,0,IF(WEEKDAY(DQ$6,1)=1,0,IF(WEEKDAY(DQ$6,1)=7,0,MIN(8,DQ41)*DQ40))),MAX(0,40*MAX(1,DQ40)-(DL42+DM42+DN42+DO42+DP42)))))</f>
        <v>11</v>
      </c>
      <c r="DR43" s="64">
        <f>IF(AND(DR40=1,DR41=11),0,IF(DR40&lt;=0,0,IF(WEEKDAY(DR$6,1)=1,0,IF(WEEKDAY(DR$6,1)=7,DR40*DR41,MAX(0,DR41-8)*DR40)))+((IF(DR40&lt;=0,0,IF(WEEKDAY(DR$6,1)=1,0,IF(WEEKDAY(DR$6,1)=7,0,MIN(8,DR41)*DR40))))-MIN(IF(DR40&lt;=0,0,IF(WEEKDAY(DR$6,1)=1,0,IF(WEEKDAY(DR$6,1)=7,0,MIN(8,DR41)*DR40))),MAX(0,40*MAX(1,DR40)-(DL42+DM42+DN42+DO42+DP42+DQ42)))))</f>
        <v>0</v>
      </c>
      <c r="DS43" s="63">
        <f>IF(AND(DS40=1,DS41=11),3,IF(DS40&lt;=0,0,IF(WEEKDAY(DS$6,1)=1,0,IF(WEEKDAY(DS$6,1)=7,DS40*DS41,MAX(0,DS41-8)*DS40)))+((IF(DS40&lt;=0,0,IF(WEEKDAY(DS$6,1)=1,0,IF(WEEKDAY(DS$6,1)=7,0,MIN(8,DS41)*DS40))))-MIN(IF(DS40&lt;=0,0,IF(WEEKDAY(DS$6,1)=1,0,IF(WEEKDAY(DS$6,1)=7,0,MIN(8,DS41)*DS40))),MAX(0,40*MAX(1,DS40)-(0)))))</f>
        <v>3</v>
      </c>
      <c r="DT43" s="63">
        <f>IF(AND(DT40=1,DT41=8),0,IF(DT40&lt;=0,0,IF(WEEKDAY(DT$6,1)=1,0,IF(WEEKDAY(DT$6,1)=7,DT40*DT41,MAX(0,DT41-8)*DT40)))+((IF(DT40&lt;=0,0,IF(WEEKDAY(DT$6,1)=1,0,IF(WEEKDAY(DT$6,1)=7,0,MIN(8,DT41)*DT40))))-MIN(IF(DT40&lt;=0,0,IF(WEEKDAY(DT$6,1)=1,0,IF(WEEKDAY(DT$6,1)=7,0,MIN(8,DT41)*DT40))),MAX(0,40*MAX(1,DT40)-(0)))))</f>
        <v>0</v>
      </c>
      <c r="DU43" s="63">
        <f>IF(AND(DU40=1,DU41=8),0,IF(DU40&lt;=0,0,IF(WEEKDAY(DU$6,1)=1,0,IF(WEEKDAY(DU$6,1)=7,DU40*DU41,MAX(0,DU41-8)*DU40)))+((IF(DU40&lt;=0,0,IF(WEEKDAY(DU$6,1)=1,0,IF(WEEKDAY(DU$6,1)=7,0,MIN(8,DU41)*DU40))))-MIN(IF(DU40&lt;=0,0,IF(WEEKDAY(DU$6,1)=1,0,IF(WEEKDAY(DU$6,1)=7,0,MIN(8,DU41)*DU40))),MAX(0,40*MAX(1,DU40)-(DT42)))))</f>
        <v>0</v>
      </c>
      <c r="DV43" s="63">
        <f>IF(AND(DV40=1,DV41=8),0,IF(DV40&lt;=0,0,IF(WEEKDAY(DV$6,1)=1,0,IF(WEEKDAY(DV$6,1)=7,DV40*DV41,MAX(0,DV41-8)*DV40)))+((IF(DV40&lt;=0,0,IF(WEEKDAY(DV$6,1)=1,0,IF(WEEKDAY(DV$6,1)=7,0,MIN(8,DV41)*DV40))))-MIN(IF(DV40&lt;=0,0,IF(WEEKDAY(DV$6,1)=1,0,IF(WEEKDAY(DV$6,1)=7,0,MIN(8,DV41)*DV40))),MAX(0,40*MAX(1,DV40)-(DT42+DU42)))))</f>
        <v>0</v>
      </c>
      <c r="DW43" s="63">
        <f>IF(AND(DW40=1,DW41=8),0,IF(DW40&lt;=0,0,IF(WEEKDAY(DW$6,1)=1,0,IF(WEEKDAY(DW$6,1)=7,DW40*DW41,MAX(0,DW41-8)*DW40)))+((IF(DW40&lt;=0,0,IF(WEEKDAY(DW$6,1)=1,0,IF(WEEKDAY(DW$6,1)=7,0,MIN(8,DW41)*DW40))))-MIN(IF(DW40&lt;=0,0,IF(WEEKDAY(DW$6,1)=1,0,IF(WEEKDAY(DW$6,1)=7,0,MIN(8,DW41)*DW40))),MAX(0,40*MAX(1,DW40)-(DT42+DU42+DV42)))))</f>
        <v>0</v>
      </c>
      <c r="DX43" s="64">
        <f>IF(AND(DX40=0,DX41=0),0,IF(DX40&lt;=0,0,IF(WEEKDAY(DX$6,1)=1,0,IF(WEEKDAY(DX$6,1)=7,DX40*DX41,MAX(0,DX41-8)*DX40)))+((IF(DX40&lt;=0,0,IF(WEEKDAY(DX$6,1)=1,0,IF(WEEKDAY(DX$6,1)=7,0,MIN(8,DX41)*DX40))))-MIN(IF(DX40&lt;=0,0,IF(WEEKDAY(DX$6,1)=1,0,IF(WEEKDAY(DX$6,1)=7,0,MIN(8,DX41)*DX40))),MAX(0,40*MAX(1,DX40)-(0)))))</f>
        <v>0</v>
      </c>
      <c r="DY43" s="64">
        <f>IF(AND(DY40=0,DY41=0),0,IF(DY40&lt;=0,0,IF(WEEKDAY(DY$6,1)=1,0,IF(WEEKDAY(DY$6,1)=7,DY40*DY41,MAX(0,DY41-8)*DY40)))+((IF(DY40&lt;=0,0,IF(WEEKDAY(DY$6,1)=1,0,IF(WEEKDAY(DY$6,1)=7,0,MIN(8,DY41)*DY40))))-MIN(IF(DY40&lt;=0,0,IF(WEEKDAY(DY$6,1)=1,0,IF(WEEKDAY(DY$6,1)=7,0,MIN(8,DY41)*DY40))),MAX(0,40*MAX(1,DY40)-(DX42)))))</f>
        <v>0</v>
      </c>
      <c r="DZ43" s="63">
        <f>IF(AND(DZ40=1,DZ41=8),0,IF(DZ40&lt;=0,0,IF(WEEKDAY(DZ$6,1)=1,0,IF(WEEKDAY(DZ$6,1)=7,DZ40*DZ41,MAX(0,DZ41-8)*DZ40)))+((IF(DZ40&lt;=0,0,IF(WEEKDAY(DZ$6,1)=1,0,IF(WEEKDAY(DZ$6,1)=7,0,MIN(8,DZ41)*DZ40))))-MIN(IF(DZ40&lt;=0,0,IF(WEEKDAY(DZ$6,1)=1,0,IF(WEEKDAY(DZ$6,1)=7,0,MIN(8,DZ41)*DZ40))),MAX(0,40*MAX(1,DZ40)-(0)))))</f>
        <v>0</v>
      </c>
      <c r="EA43" s="63">
        <f>IF(AND(EA40=1,EA41=8),0,IF(EA40&lt;=0,0,IF(WEEKDAY(EA$6,1)=1,0,IF(WEEKDAY(EA$6,1)=7,EA40*EA41,MAX(0,EA41-8)*EA40)))+((IF(EA40&lt;=0,0,IF(WEEKDAY(EA$6,1)=1,0,IF(WEEKDAY(EA$6,1)=7,0,MIN(8,EA41)*EA40))))-MIN(IF(EA40&lt;=0,0,IF(WEEKDAY(EA$6,1)=1,0,IF(WEEKDAY(EA$6,1)=7,0,MIN(8,EA41)*EA40))),MAX(0,40*MAX(1,EA40)-(DZ42)))))</f>
        <v>0</v>
      </c>
      <c r="EB43" s="63">
        <f>IF(AND(EB40=1,EB41=8),0,IF(EB40&lt;=0,0,IF(WEEKDAY(EB$6,1)=1,0,IF(WEEKDAY(EB$6,1)=7,EB40*EB41,MAX(0,EB41-8)*EB40)))+((IF(EB40&lt;=0,0,IF(WEEKDAY(EB$6,1)=1,0,IF(WEEKDAY(EB$6,1)=7,0,MIN(8,EB41)*EB40))))-MIN(IF(EB40&lt;=0,0,IF(WEEKDAY(EB$6,1)=1,0,IF(WEEKDAY(EB$6,1)=7,0,MIN(8,EB41)*EB40))),MAX(0,40*MAX(1,EB40)-(DZ42+EA42)))))</f>
        <v>0</v>
      </c>
      <c r="EC43" s="63">
        <f>IF(AND(EC40=1,EC41=8),0,IF(EC40&lt;=0,0,IF(WEEKDAY(EC$6,1)=1,0,IF(WEEKDAY(EC$6,1)=7,EC40*EC41,MAX(0,EC41-8)*EC40)))+((IF(EC40&lt;=0,0,IF(WEEKDAY(EC$6,1)=1,0,IF(WEEKDAY(EC$6,1)=7,0,MIN(8,EC41)*EC40))))-MIN(IF(EC40&lt;=0,0,IF(WEEKDAY(EC$6,1)=1,0,IF(WEEKDAY(EC$6,1)=7,0,MIN(8,EC41)*EC40))),MAX(0,40*MAX(1,EC40)-(DZ42+EA42+EB42)))))</f>
        <v>0</v>
      </c>
      <c r="ED43" s="63">
        <f>IF(AND(ED40=1,ED41=8),0,IF(ED40&lt;=0,0,IF(WEEKDAY(ED$6,1)=1,0,IF(WEEKDAY(ED$6,1)=7,ED40*ED41,MAX(0,ED41-8)*ED40)))+((IF(ED40&lt;=0,0,IF(WEEKDAY(ED$6,1)=1,0,IF(WEEKDAY(ED$6,1)=7,0,MIN(8,ED41)*ED40))))-MIN(IF(ED40&lt;=0,0,IF(WEEKDAY(ED$6,1)=1,0,IF(WEEKDAY(ED$6,1)=7,0,MIN(8,ED41)*ED40))),MAX(0,40*MAX(1,ED40)-(DZ42+EA42+EB42+EC42)))))</f>
        <v>0</v>
      </c>
      <c r="EE43" s="64">
        <f>IF(AND(EE40=0,EE41=0),0,IF(EE40&lt;=0,0,IF(WEEKDAY(EE$6,1)=1,0,IF(WEEKDAY(EE$6,1)=7,EE40*EE41,MAX(0,EE41-8)*EE40)))+((IF(EE40&lt;=0,0,IF(WEEKDAY(EE$6,1)=1,0,IF(WEEKDAY(EE$6,1)=7,0,MIN(8,EE41)*EE40))))-MIN(IF(EE40&lt;=0,0,IF(WEEKDAY(EE$6,1)=1,0,IF(WEEKDAY(EE$6,1)=7,0,MIN(8,EE41)*EE40))),MAX(0,40*MAX(1,EE40)-(0)))))</f>
        <v>0</v>
      </c>
      <c r="EF43" s="64">
        <f>IF(AND(EF40=0,EF41=0),0,IF(EF40&lt;=0,0,IF(WEEKDAY(EF$6,1)=1,0,IF(WEEKDAY(EF$6,1)=7,EF40*EF41,MAX(0,EF41-8)*EF40)))+((IF(EF40&lt;=0,0,IF(WEEKDAY(EF$6,1)=1,0,IF(WEEKDAY(EF$6,1)=7,0,MIN(8,EF41)*EF40))))-MIN(IF(EF40&lt;=0,0,IF(WEEKDAY(EF$6,1)=1,0,IF(WEEKDAY(EF$6,1)=7,0,MIN(8,EF41)*EF40))),MAX(0,40*MAX(1,EF40)-(EE42)))))</f>
        <v>0</v>
      </c>
      <c r="EG43" s="63">
        <f>IF(AND(EG40=0,EG41=0),0,IF(EG40&lt;=0,0,IF(WEEKDAY(EG$6,1)=1,0,IF(WEEKDAY(EG$6,1)=7,EG40*EG41,MAX(0,EG41-8)*EG40)))+((IF(EG40&lt;=0,0,IF(WEEKDAY(EG$6,1)=1,0,IF(WEEKDAY(EG$6,1)=7,0,MIN(8,EG41)*EG40))))-MIN(IF(EG40&lt;=0,0,IF(WEEKDAY(EG$6,1)=1,0,IF(WEEKDAY(EG$6,1)=7,0,MIN(8,EG41)*EG40))),MAX(0,40*MAX(1,EG40)-(0)))))</f>
        <v>0</v>
      </c>
      <c r="EH43" s="63">
        <f>IF(AND(EH40=0,EH41=0),0,IF(EH40&lt;=0,0,IF(WEEKDAY(EH$6,1)=1,0,IF(WEEKDAY(EH$6,1)=7,EH40*EH41,MAX(0,EH41-8)*EH40)))+((IF(EH40&lt;=0,0,IF(WEEKDAY(EH$6,1)=1,0,IF(WEEKDAY(EH$6,1)=7,0,MIN(8,EH41)*EH40))))-MIN(IF(EH40&lt;=0,0,IF(WEEKDAY(EH$6,1)=1,0,IF(WEEKDAY(EH$6,1)=7,0,MIN(8,EH41)*EH40))),MAX(0,40*MAX(1,EH40)-(EG42)))))</f>
        <v>0</v>
      </c>
      <c r="EI43" s="63">
        <f>IF(AND(EI40=0,EI41=0),0,IF(EI40&lt;=0,0,IF(WEEKDAY(EI$6,1)=1,0,IF(WEEKDAY(EI$6,1)=7,EI40*EI41,MAX(0,EI41-8)*EI40)))+((IF(EI40&lt;=0,0,IF(WEEKDAY(EI$6,1)=1,0,IF(WEEKDAY(EI$6,1)=7,0,MIN(8,EI41)*EI40))))-MIN(IF(EI40&lt;=0,0,IF(WEEKDAY(EI$6,1)=1,0,IF(WEEKDAY(EI$6,1)=7,0,MIN(8,EI41)*EI40))),MAX(0,40*MAX(1,EI40)-(EG42+EH42)))))</f>
        <v>0</v>
      </c>
      <c r="EJ43" s="63">
        <f>IF(AND(EJ40=0,EJ41=0),0,IF(EJ40&lt;=0,0,IF(WEEKDAY(EJ$6,1)=1,0,IF(WEEKDAY(EJ$6,1)=7,EJ40*EJ41,MAX(0,EJ41-8)*EJ40)))+((IF(EJ40&lt;=0,0,IF(WEEKDAY(EJ$6,1)=1,0,IF(WEEKDAY(EJ$6,1)=7,0,MIN(8,EJ41)*EJ40))))-MIN(IF(EJ40&lt;=0,0,IF(WEEKDAY(EJ$6,1)=1,0,IF(WEEKDAY(EJ$6,1)=7,0,MIN(8,EJ41)*EJ40))),MAX(0,40*MAX(1,EJ40)-(EG42+EH42+EI42)))))</f>
        <v>0</v>
      </c>
      <c r="EK43" s="65">
        <f>IF(AND(EK40=0,EK41=0),0,IF(EK40&lt;=0,0,IF(WEEKDAY(EK$6,1)=1,0,IF(WEEKDAY(EK$6,1)=7,EK40*EK41,MAX(0,EK41-8)*EK40)))+((IF(EK40&lt;=0,0,IF(WEEKDAY(EK$6,1)=1,0,IF(WEEKDAY(EK$6,1)=7,0,MIN(8,EK41)*EK40))))-MIN(IF(EK40&lt;=0,0,IF(WEEKDAY(EK$6,1)=1,0,IF(WEEKDAY(EK$6,1)=7,0,MIN(8,EK41)*EK40))),MAX(0,40*MAX(1,EK40)-(EG42+EH42+EI42+EJ42)))))</f>
        <v>0</v>
      </c>
      <c r="OU43" s="28" t="s">
        <v>126</v>
      </c>
    </row>
    <row r="44" ht="16" customHeight="1" spans="1:411" x14ac:dyDescent="0.25">
      <c r="A44" s="45"/>
      <c r="B44" s="79"/>
      <c r="C44" s="61">
        <f>H39*N(D44)</f>
        <v>15183.63</v>
      </c>
      <c r="D44" s="61">
        <f>IF(TRIM(IF(TRIM(B43)&lt;&gt;"",B43,B39))="","No rate",IFERROR(INDEX('Rate Tables'!E$7:E$158,MATCH(IF(TRIM(B43)&lt;&gt;"",B43,B39),'Rate Tables'!A$7:A$158,0)),"No rate"))</f>
        <v>197.19</v>
      </c>
      <c r="E44" s="55" t="s">
        <v>64</v>
      </c>
      <c r="F44" s="49"/>
      <c r="G44" s="49"/>
      <c r="H44" s="49"/>
      <c r="I44" s="49"/>
      <c r="J44" s="50"/>
      <c r="K44" s="62">
        <f>IF(AND(K40=1,K41=9),0,IF(K40&lt;=0,0,IF(WEEKDAY(K$6,1)=1,K40*K41,0)))</f>
        <v>0</v>
      </c>
      <c r="L44" s="63">
        <f>IF(AND(L40=1,L41=9),0,IF(L40&lt;=0,0,IF(WEEKDAY(L$6,1)=1,L40*L41,0)))</f>
        <v>0</v>
      </c>
      <c r="M44" s="63">
        <f>IF(AND(M40=1,M41=9),0,IF(M40&lt;=0,0,IF(WEEKDAY(M$6,1)=1,M40*M41,0)))</f>
        <v>0</v>
      </c>
      <c r="N44" s="63">
        <f>IF(AND(N40=1,N41=9),0,IF(N40&lt;=0,0,IF(WEEKDAY(N$6,1)=1,N40*N41,0)))</f>
        <v>0</v>
      </c>
      <c r="O44" s="63">
        <f>IF(AND(O40=1,O41=9),0,IF(O40&lt;=0,0,IF(WEEKDAY(O$6,1)=1,O40*O41,0)))</f>
        <v>0</v>
      </c>
      <c r="P44" s="64">
        <f>IF(AND(P40=0,P41=0),0,IF(P40&lt;=0,0,IF(WEEKDAY(P$6,1)=1,P40*P41,0)))</f>
        <v>0</v>
      </c>
      <c r="Q44" s="64">
        <f>IF(AND(Q40=0,Q41=0),0,IF(Q40&lt;=0,0,IF(WEEKDAY(Q$6,1)=1,Q40*Q41,0)))</f>
        <v>0</v>
      </c>
      <c r="R44" s="63">
        <f>IF(AND(R40=1,R41=9),0,IF(R40&lt;=0,0,IF(WEEKDAY(R$6,1)=1,R40*R41,0)))</f>
        <v>0</v>
      </c>
      <c r="S44" s="63">
        <f>IF(AND(S40=1,S41=9),0,IF(S40&lt;=0,0,IF(WEEKDAY(S$6,1)=1,S40*S41,0)))</f>
        <v>0</v>
      </c>
      <c r="T44" s="63">
        <f>IF(AND(T40=1,T41=9),0,IF(T40&lt;=0,0,IF(WEEKDAY(T$6,1)=1,T40*T41,0)))</f>
        <v>0</v>
      </c>
      <c r="U44" s="63">
        <f>IF(AND(U40=1,U41=9),0,IF(U40&lt;=0,0,IF(WEEKDAY(U$6,1)=1,U40*U41,0)))</f>
        <v>0</v>
      </c>
      <c r="V44" s="63">
        <f>IF(AND(V40=1,V41=9),0,IF(V40&lt;=0,0,IF(WEEKDAY(V$6,1)=1,V40*V41,0)))</f>
        <v>0</v>
      </c>
      <c r="W44" s="64">
        <f>IF(AND(W40=0,W41=0),0,IF(W40&lt;=0,0,IF(WEEKDAY(W$6,1)=1,W40*W41,0)))</f>
        <v>0</v>
      </c>
      <c r="X44" s="64">
        <f>IF(AND(X40=0,X41=0),0,IF(X40&lt;=0,0,IF(WEEKDAY(X$6,1)=1,X40*X41,0)))</f>
        <v>0</v>
      </c>
      <c r="Y44" s="63">
        <f>IF(AND(Y40=1,Y41=9),0,IF(Y40&lt;=0,0,IF(WEEKDAY(Y$6,1)=1,Y40*Y41,0)))</f>
        <v>0</v>
      </c>
      <c r="Z44" s="63">
        <f>IF(AND(Z40=1,Z41=9),0,IF(Z40&lt;=0,0,IF(WEEKDAY(Z$6,1)=1,Z40*Z41,0)))</f>
        <v>0</v>
      </c>
      <c r="AA44" s="63">
        <f>IF(AND(AA40=1,AA41=9),0,IF(AA40&lt;=0,0,IF(WEEKDAY(AA$6,1)=1,AA40*AA41,0)))</f>
        <v>0</v>
      </c>
      <c r="AB44" s="63">
        <f>IF(AND(AB40=1,AB41=9),0,IF(AB40&lt;=0,0,IF(WEEKDAY(AB$6,1)=1,AB40*AB41,0)))</f>
        <v>0</v>
      </c>
      <c r="AC44" s="63">
        <f>IF(AND(AC40=1,AC41=9),0,IF(AC40&lt;=0,0,IF(WEEKDAY(AC$6,1)=1,AC40*AC41,0)))</f>
        <v>0</v>
      </c>
      <c r="AD44" s="64">
        <f>IF(AND(AD40=0,AD41=0),0,IF(AD40&lt;=0,0,IF(WEEKDAY(AD$6,1)=1,AD40*AD41,0)))</f>
        <v>0</v>
      </c>
      <c r="AE44" s="64">
        <f>IF(AND(AE40=0,AE41=0),0,IF(AE40&lt;=0,0,IF(WEEKDAY(AE$6,1)=1,AE40*AE41,0)))</f>
        <v>0</v>
      </c>
      <c r="AF44" s="63">
        <f>IF(AND(AF40=1,AF41=9),0,IF(AF40&lt;=0,0,IF(WEEKDAY(AF$6,1)=1,AF40*AF41,0)))</f>
        <v>0</v>
      </c>
      <c r="AG44" s="63">
        <f>IF(AND(AG40=1,AG41=9),0,IF(AG40&lt;=0,0,IF(WEEKDAY(AG$6,1)=1,AG40*AG41,0)))</f>
        <v>0</v>
      </c>
      <c r="AH44" s="63">
        <f>IF(AND(AH40=1,AH41=9),0,IF(AH40&lt;=0,0,IF(WEEKDAY(AH$6,1)=1,AH40*AH41,0)))</f>
        <v>0</v>
      </c>
      <c r="AI44" s="63">
        <f>IF(AND(AI40=1,AI41=9),0,IF(AI40&lt;=0,0,IF(WEEKDAY(AI$6,1)=1,AI40*AI41,0)))</f>
        <v>0</v>
      </c>
      <c r="AJ44" s="63">
        <f>IF(AND(AJ40=1,AJ41=9),0,IF(AJ40&lt;=0,0,IF(WEEKDAY(AJ$6,1)=1,AJ40*AJ41,0)))</f>
        <v>0</v>
      </c>
      <c r="AK44" s="64">
        <f>IF(AND(AK40=0,AK41=0),0,IF(AK40&lt;=0,0,IF(WEEKDAY(AK$6,1)=1,AK40*AK41,0)))</f>
        <v>0</v>
      </c>
      <c r="AL44" s="64">
        <f>IF(AND(AL40=0,AL41=0),0,IF(AL40&lt;=0,0,IF(WEEKDAY(AL$6,1)=1,AL40*AL41,0)))</f>
        <v>0</v>
      </c>
      <c r="AM44" s="63">
        <f>IF(AND(AM40=1,AM41=9),0,IF(AM40&lt;=0,0,IF(WEEKDAY(AM$6,1)=1,AM40*AM41,0)))</f>
        <v>0</v>
      </c>
      <c r="AN44" s="63">
        <f>IF(AND(AN40=1,AN41=9),0,IF(AN40&lt;=0,0,IF(WEEKDAY(AN$6,1)=1,AN40*AN41,0)))</f>
        <v>0</v>
      </c>
      <c r="AO44" s="63">
        <f>IF(AND(AO40=1,AO41=9),0,IF(AO40&lt;=0,0,IF(WEEKDAY(AO$6,1)=1,AO40*AO41,0)))</f>
        <v>0</v>
      </c>
      <c r="AP44" s="63">
        <f>IF(AND(AP40=1,AP41=9),0,IF(AP40&lt;=0,0,IF(WEEKDAY(AP$6,1)=1,AP40*AP41,0)))</f>
        <v>0</v>
      </c>
      <c r="AQ44" s="63">
        <f>IF(AND(AQ40=1,AQ41=9),0,IF(AQ40&lt;=0,0,IF(WEEKDAY(AQ$6,1)=1,AQ40*AQ41,0)))</f>
        <v>0</v>
      </c>
      <c r="AR44" s="64">
        <f>IF(AND(AR40=0,AR41=0),0,IF(AR40&lt;=0,0,IF(WEEKDAY(AR$6,1)=1,AR40*AR41,0)))</f>
        <v>0</v>
      </c>
      <c r="AS44" s="64">
        <f>IF(AND(AS40=0,AS41=0),0,IF(AS40&lt;=0,0,IF(WEEKDAY(AS$6,1)=1,AS40*AS41,0)))</f>
        <v>0</v>
      </c>
      <c r="AT44" s="63">
        <f>IF(AND(AT40=1,AT41=9),0,IF(AT40&lt;=0,0,IF(WEEKDAY(AT$6,1)=1,AT40*AT41,0)))</f>
        <v>0</v>
      </c>
      <c r="AU44" s="63">
        <f>IF(AND(AU40=1,AU41=9),0,IF(AU40&lt;=0,0,IF(WEEKDAY(AU$6,1)=1,AU40*AU41,0)))</f>
        <v>0</v>
      </c>
      <c r="AV44" s="63">
        <f>IF(AND(AV40=1,AV41=9),0,IF(AV40&lt;=0,0,IF(WEEKDAY(AV$6,1)=1,AV40*AV41,0)))</f>
        <v>0</v>
      </c>
      <c r="AW44" s="63">
        <f>IF(AND(AW40=1,AW41=9),0,IF(AW40&lt;=0,0,IF(WEEKDAY(AW$6,1)=1,AW40*AW41,0)))</f>
        <v>0</v>
      </c>
      <c r="AX44" s="63">
        <f>IF(AND(AX40=1,AX41=9),0,IF(AX40&lt;=0,0,IF(WEEKDAY(AX$6,1)=1,AX40*AX41,0)))</f>
        <v>0</v>
      </c>
      <c r="AY44" s="64">
        <f>IF(AND(AY40=0,AY41=0),0,IF(AY40&lt;=0,0,IF(WEEKDAY(AY$6,1)=1,AY40*AY41,0)))</f>
        <v>0</v>
      </c>
      <c r="AZ44" s="64">
        <f>IF(AND(AZ40=0,AZ41=0),0,IF(AZ40&lt;=0,0,IF(WEEKDAY(AZ$6,1)=1,AZ40*AZ41,0)))</f>
        <v>0</v>
      </c>
      <c r="BA44" s="63">
        <f>IF(AND(BA40=1,BA41=9),0,IF(BA40&lt;=0,0,IF(WEEKDAY(BA$6,1)=1,BA40*BA41,0)))</f>
        <v>0</v>
      </c>
      <c r="BB44" s="63">
        <f>IF(AND(BB40=1,BB41=9),0,IF(BB40&lt;=0,0,IF(WEEKDAY(BB$6,1)=1,BB40*BB41,0)))</f>
        <v>0</v>
      </c>
      <c r="BC44" s="63">
        <f>IF(AND(BC40=1,BC41=9),0,IF(BC40&lt;=0,0,IF(WEEKDAY(BC$6,1)=1,BC40*BC41,0)))</f>
        <v>0</v>
      </c>
      <c r="BD44" s="63">
        <f>IF(AND(BD40=1,BD41=9),0,IF(BD40&lt;=0,0,IF(WEEKDAY(BD$6,1)=1,BD40*BD41,0)))</f>
        <v>0</v>
      </c>
      <c r="BE44" s="63">
        <f>IF(AND(BE40=1,BE41=9),0,IF(BE40&lt;=0,0,IF(WEEKDAY(BE$6,1)=1,BE40*BE41,0)))</f>
        <v>0</v>
      </c>
      <c r="BF44" s="64">
        <f>IF(AND(BF40=0,BF41=0),0,IF(BF40&lt;=0,0,IF(WEEKDAY(BF$6,1)=1,BF40*BF41,0)))</f>
        <v>0</v>
      </c>
      <c r="BG44" s="64">
        <f>IF(AND(BG40=0,BG41=0),0,IF(BG40&lt;=0,0,IF(WEEKDAY(BG$6,1)=1,BG40*BG41,0)))</f>
        <v>0</v>
      </c>
      <c r="BH44" s="63">
        <f>IF(AND(BH40=1,BH41=11),0,IF(BH40&lt;=0,0,IF(WEEKDAY(BH$6,1)=1,BH40*BH41,0)))</f>
        <v>0</v>
      </c>
      <c r="BI44" s="63">
        <f>IF(AND(BI40=1,BI41=11),0,IF(BI40&lt;=0,0,IF(WEEKDAY(BI$6,1)=1,BI40*BI41,0)))</f>
        <v>0</v>
      </c>
      <c r="BJ44" s="63">
        <f>IF(AND(BJ40=1,BJ41=11),0,IF(BJ40&lt;=0,0,IF(WEEKDAY(BJ$6,1)=1,BJ40*BJ41,0)))</f>
        <v>0</v>
      </c>
      <c r="BK44" s="63">
        <f>IF(AND(BK40=1,BK41=11),0,IF(BK40&lt;=0,0,IF(WEEKDAY(BK$6,1)=1,BK40*BK41,0)))</f>
        <v>0</v>
      </c>
      <c r="BL44" s="63">
        <f>IF(AND(BL40=1,BL41=11),0,IF(BL40&lt;=0,0,IF(WEEKDAY(BL$6,1)=1,BL40*BL41,0)))</f>
        <v>0</v>
      </c>
      <c r="BM44" s="64">
        <f>IF(AND(BM40=1,BM41=11),0,IF(BM40&lt;=0,0,IF(WEEKDAY(BM$6,1)=1,BM40*BM41,0)))</f>
        <v>0</v>
      </c>
      <c r="BN44" s="64">
        <f>IF(AND(BN40=1,BN41=11),11,IF(BN40&lt;=0,0,IF(WEEKDAY(BN$6,1)=1,BN40*BN41,0)))</f>
        <v>11</v>
      </c>
      <c r="BO44" s="63">
        <f>IF(AND(BO40=1,BO41=11),0,IF(BO40&lt;=0,0,IF(WEEKDAY(BO$6,1)=1,BO40*BO41,0)))</f>
        <v>0</v>
      </c>
      <c r="BP44" s="63">
        <f>IF(AND(BP40=1,BP41=11),0,IF(BP40&lt;=0,0,IF(WEEKDAY(BP$6,1)=1,BP40*BP41,0)))</f>
        <v>0</v>
      </c>
      <c r="BQ44" s="63">
        <f>IF(AND(BQ40=1,BQ41=11),0,IF(BQ40&lt;=0,0,IF(WEEKDAY(BQ$6,1)=1,BQ40*BQ41,0)))</f>
        <v>0</v>
      </c>
      <c r="BR44" s="63">
        <f>IF(AND(BR40=1,BR41=11),0,IF(BR40&lt;=0,0,IF(WEEKDAY(BR$6,1)=1,BR40*BR41,0)))</f>
        <v>0</v>
      </c>
      <c r="BS44" s="63">
        <f>IF(AND(BS40=1,BS41=11),0,IF(BS40&lt;=0,0,IF(WEEKDAY(BS$6,1)=1,BS40*BS41,0)))</f>
        <v>0</v>
      </c>
      <c r="BT44" s="64">
        <f>IF(AND(BT40=1,BT41=11),0,IF(BT40&lt;=0,0,IF(WEEKDAY(BT$6,1)=1,BT40*BT41,0)))</f>
        <v>0</v>
      </c>
      <c r="BU44" s="64">
        <f>IF(AND(BU40=1,BU41=11),11,IF(BU40&lt;=0,0,IF(WEEKDAY(BU$6,1)=1,BU40*BU41,0)))</f>
        <v>11</v>
      </c>
      <c r="BV44" s="63">
        <f>IF(AND(BV40=1,BV41=11),0,IF(BV40&lt;=0,0,IF(WEEKDAY(BV$6,1)=1,BV40*BV41,0)))</f>
        <v>0</v>
      </c>
      <c r="BW44" s="63">
        <f>IF(AND(BW40=1,BW41=11),0,IF(BW40&lt;=0,0,IF(WEEKDAY(BW$6,1)=1,BW40*BW41,0)))</f>
        <v>0</v>
      </c>
      <c r="BX44" s="63">
        <f>IF(AND(BX40=1,BX41=11),0,IF(BX40&lt;=0,0,IF(WEEKDAY(BX$6,1)=1,BX40*BX41,0)))</f>
        <v>0</v>
      </c>
      <c r="BY44" s="63">
        <f>IF(AND(BY40=1,BY41=11),0,IF(BY40&lt;=0,0,IF(WEEKDAY(BY$6,1)=1,BY40*BY41,0)))</f>
        <v>0</v>
      </c>
      <c r="BZ44" s="63">
        <f>IF(AND(BZ40=1,BZ41=11),0,IF(BZ40&lt;=0,0,IF(WEEKDAY(BZ$6,1)=1,BZ40*BZ41,0)))</f>
        <v>0</v>
      </c>
      <c r="CA44" s="64">
        <f>IF(AND(CA40=1,CA41=11),0,IF(CA40&lt;=0,0,IF(WEEKDAY(CA$6,1)=1,CA40*CA41,0)))</f>
        <v>0</v>
      </c>
      <c r="CB44" s="64">
        <f>IF(AND(CB40=0,CB41=0),0,IF(CB40&lt;=0,0,IF(WEEKDAY(CB$6,1)=1,CB40*CB41,0)))</f>
        <v>0</v>
      </c>
      <c r="CC44" s="63">
        <f>IF(AND(CC40=1,CC41=11),0,IF(CC40&lt;=0,0,IF(WEEKDAY(CC$6,1)=1,CC40*CC41,0)))</f>
        <v>0</v>
      </c>
      <c r="CD44" s="63">
        <f>IF(AND(CD40=1,CD41=11),0,IF(CD40&lt;=0,0,IF(WEEKDAY(CD$6,1)=1,CD40*CD41,0)))</f>
        <v>0</v>
      </c>
      <c r="CE44" s="63">
        <f>IF(AND(CE40=1,CE41=11),0,IF(CE40&lt;=0,0,IF(WEEKDAY(CE$6,1)=1,CE40*CE41,0)))</f>
        <v>0</v>
      </c>
      <c r="CF44" s="63">
        <f>IF(AND(CF40=1,CF41=11),0,IF(CF40&lt;=0,0,IF(WEEKDAY(CF$6,1)=1,CF40*CF41,0)))</f>
        <v>0</v>
      </c>
      <c r="CG44" s="63">
        <f>IF(AND(CG40=1,CG41=11),0,IF(CG40&lt;=0,0,IF(WEEKDAY(CG$6,1)=1,CG40*CG41,0)))</f>
        <v>0</v>
      </c>
      <c r="CH44" s="64">
        <f>IF(AND(CH40=1,CH41=11),0,IF(CH40&lt;=0,0,IF(WEEKDAY(CH$6,1)=1,CH40*CH41,0)))</f>
        <v>0</v>
      </c>
      <c r="CI44" s="64">
        <f>IF(AND(CI40=1,CI41=11),11,IF(CI40&lt;=0,0,IF(WEEKDAY(CI$6,1)=1,CI40*CI41,0)))</f>
        <v>11</v>
      </c>
      <c r="CJ44" s="63">
        <f>IF(AND(CJ40=1,CJ41=11),0,IF(CJ40&lt;=0,0,IF(WEEKDAY(CJ$6,1)=1,CJ40*CJ41,0)))</f>
        <v>0</v>
      </c>
      <c r="CK44" s="63">
        <f>IF(AND(CK40=1,CK41=11),0,IF(CK40&lt;=0,0,IF(WEEKDAY(CK$6,1)=1,CK40*CK41,0)))</f>
        <v>0</v>
      </c>
      <c r="CL44" s="63">
        <f>IF(AND(CL40=1,CL41=11),0,IF(CL40&lt;=0,0,IF(WEEKDAY(CL$6,1)=1,CL40*CL41,0)))</f>
        <v>0</v>
      </c>
      <c r="CM44" s="63">
        <f>IF(AND(CM40=1,CM41=11),0,IF(CM40&lt;=0,0,IF(WEEKDAY(CM$6,1)=1,CM40*CM41,0)))</f>
        <v>0</v>
      </c>
      <c r="CN44" s="63">
        <f>IF(AND(CN40=1,CN41=11),0,IF(CN40&lt;=0,0,IF(WEEKDAY(CN$6,1)=1,CN40*CN41,0)))</f>
        <v>0</v>
      </c>
      <c r="CO44" s="64">
        <f>IF(AND(CO40=1,CO41=11),0,IF(CO40&lt;=0,0,IF(WEEKDAY(CO$6,1)=1,CO40*CO41,0)))</f>
        <v>0</v>
      </c>
      <c r="CP44" s="64">
        <f>IF(AND(CP40=0,CP41=0),0,IF(CP40&lt;=0,0,IF(WEEKDAY(CP$6,1)=1,CP40*CP41,0)))</f>
        <v>0</v>
      </c>
      <c r="CQ44" s="63">
        <f>IF(AND(CQ40=1,CQ41=11),0,IF(CQ40&lt;=0,0,IF(WEEKDAY(CQ$6,1)=1,CQ40*CQ41,0)))</f>
        <v>0</v>
      </c>
      <c r="CR44" s="63">
        <f>IF(AND(CR40=1,CR41=11),0,IF(CR40&lt;=0,0,IF(WEEKDAY(CR$6,1)=1,CR40*CR41,0)))</f>
        <v>0</v>
      </c>
      <c r="CS44" s="63">
        <f>IF(AND(CS40=1,CS41=11),0,IF(CS40&lt;=0,0,IF(WEEKDAY(CS$6,1)=1,CS40*CS41,0)))</f>
        <v>0</v>
      </c>
      <c r="CT44" s="63">
        <f>IF(AND(CT40=1,CT41=11),0,IF(CT40&lt;=0,0,IF(WEEKDAY(CT$6,1)=1,CT40*CT41,0)))</f>
        <v>0</v>
      </c>
      <c r="CU44" s="63">
        <f>IF(AND(CU40=1,CU41=11),0,IF(CU40&lt;=0,0,IF(WEEKDAY(CU$6,1)=1,CU40*CU41,0)))</f>
        <v>0</v>
      </c>
      <c r="CV44" s="64">
        <f>IF(AND(CV40=1,CV41=11),0,IF(CV40&lt;=0,0,IF(WEEKDAY(CV$6,1)=1,CV40*CV41,0)))</f>
        <v>0</v>
      </c>
      <c r="CW44" s="64">
        <f>IF(AND(CW40=1,CW41=11),11,IF(CW40&lt;=0,0,IF(WEEKDAY(CW$6,1)=1,CW40*CW41,0)))</f>
        <v>11</v>
      </c>
      <c r="CX44" s="63">
        <f>IF(AND(CX40=1,CX41=11),0,IF(CX40&lt;=0,0,IF(WEEKDAY(CX$6,1)=1,CX40*CX41,0)))</f>
        <v>0</v>
      </c>
      <c r="CY44" s="63">
        <f>IF(AND(CY40=1,CY41=11),0,IF(CY40&lt;=0,0,IF(WEEKDAY(CY$6,1)=1,CY40*CY41,0)))</f>
        <v>0</v>
      </c>
      <c r="CZ44" s="63">
        <f>IF(AND(CZ40=1,CZ41=11),0,IF(CZ40&lt;=0,0,IF(WEEKDAY(CZ$6,1)=1,CZ40*CZ41,0)))</f>
        <v>0</v>
      </c>
      <c r="DA44" s="63">
        <f>IF(AND(DA40=1,DA41=11),0,IF(DA40&lt;=0,0,IF(WEEKDAY(DA$6,1)=1,DA40*DA41,0)))</f>
        <v>0</v>
      </c>
      <c r="DB44" s="63">
        <f>IF(AND(DB40=1,DB41=11),0,IF(DB40&lt;=0,0,IF(WEEKDAY(DB$6,1)=1,DB40*DB41,0)))</f>
        <v>0</v>
      </c>
      <c r="DC44" s="64">
        <f>IF(AND(DC40=1,DC41=11),0,IF(DC40&lt;=0,0,IF(WEEKDAY(DC$6,1)=1,DC40*DC41,0)))</f>
        <v>0</v>
      </c>
      <c r="DD44" s="64">
        <f>IF(AND(DD40=1,DD41=11),11,IF(DD40&lt;=0,0,IF(WEEKDAY(DD$6,1)=1,DD40*DD41,0)))</f>
        <v>11</v>
      </c>
      <c r="DE44" s="63">
        <f>IF(AND(DE40=1,DE41=11),0,IF(DE40&lt;=0,0,IF(WEEKDAY(DE$6,1)=1,DE40*DE41,0)))</f>
        <v>0</v>
      </c>
      <c r="DF44" s="63">
        <f>IF(AND(DF40=1,DF41=11),0,IF(DF40&lt;=0,0,IF(WEEKDAY(DF$6,1)=1,DF40*DF41,0)))</f>
        <v>0</v>
      </c>
      <c r="DG44" s="63">
        <f>IF(AND(DG40=1,DG41=11),0,IF(DG40&lt;=0,0,IF(WEEKDAY(DG$6,1)=1,DG40*DG41,0)))</f>
        <v>0</v>
      </c>
      <c r="DH44" s="63">
        <f>IF(AND(DH40=1,DH41=11),0,IF(DH40&lt;=0,0,IF(WEEKDAY(DH$6,1)=1,DH40*DH41,0)))</f>
        <v>0</v>
      </c>
      <c r="DI44" s="63">
        <f>IF(AND(DI40=1,DI41=11),0,IF(DI40&lt;=0,0,IF(WEEKDAY(DI$6,1)=1,DI40*DI41,0)))</f>
        <v>0</v>
      </c>
      <c r="DJ44" s="64">
        <f>IF(AND(DJ40=1,DJ41=11),0,IF(DJ40&lt;=0,0,IF(WEEKDAY(DJ$6,1)=1,DJ40*DJ41,0)))</f>
        <v>0</v>
      </c>
      <c r="DK44" s="64">
        <f>IF(AND(DK40=1,DK41=11),11,IF(DK40&lt;=0,0,IF(WEEKDAY(DK$6,1)=1,DK40*DK41,0)))</f>
        <v>11</v>
      </c>
      <c r="DL44" s="63">
        <f>IF(AND(DL40=1,DL41=11),0,IF(DL40&lt;=0,0,IF(WEEKDAY(DL$6,1)=1,DL40*DL41,0)))</f>
        <v>0</v>
      </c>
      <c r="DM44" s="63">
        <f>IF(AND(DM40=1,DM41=11),0,IF(DM40&lt;=0,0,IF(WEEKDAY(DM$6,1)=1,DM40*DM41,0)))</f>
        <v>0</v>
      </c>
      <c r="DN44" s="63">
        <f>IF(AND(DN40=1,DN41=11),0,IF(DN40&lt;=0,0,IF(WEEKDAY(DN$6,1)=1,DN40*DN41,0)))</f>
        <v>0</v>
      </c>
      <c r="DO44" s="63">
        <f>IF(AND(DO40=1,DO41=11),0,IF(DO40&lt;=0,0,IF(WEEKDAY(DO$6,1)=1,DO40*DO41,0)))</f>
        <v>0</v>
      </c>
      <c r="DP44" s="63">
        <f>IF(AND(DP40=1,DP41=11),0,IF(DP40&lt;=0,0,IF(WEEKDAY(DP$6,1)=1,DP40*DP41,0)))</f>
        <v>0</v>
      </c>
      <c r="DQ44" s="64">
        <f>IF(AND(DQ40=1,DQ41=11),0,IF(DQ40&lt;=0,0,IF(WEEKDAY(DQ$6,1)=1,DQ40*DQ41,0)))</f>
        <v>0</v>
      </c>
      <c r="DR44" s="64">
        <f>IF(AND(DR40=1,DR41=11),11,IF(DR40&lt;=0,0,IF(WEEKDAY(DR$6,1)=1,DR40*DR41,0)))</f>
        <v>11</v>
      </c>
      <c r="DS44" s="63">
        <f>IF(AND(DS40=1,DS41=11),0,IF(DS40&lt;=0,0,IF(WEEKDAY(DS$6,1)=1,DS40*DS41,0)))</f>
        <v>0</v>
      </c>
      <c r="DT44" s="63">
        <f>IF(AND(DT40=1,DT41=8),0,IF(DT40&lt;=0,0,IF(WEEKDAY(DT$6,1)=1,DT40*DT41,0)))</f>
        <v>0</v>
      </c>
      <c r="DU44" s="63">
        <f>IF(AND(DU40=1,DU41=8),0,IF(DU40&lt;=0,0,IF(WEEKDAY(DU$6,1)=1,DU40*DU41,0)))</f>
        <v>0</v>
      </c>
      <c r="DV44" s="63">
        <f>IF(AND(DV40=1,DV41=8),0,IF(DV40&lt;=0,0,IF(WEEKDAY(DV$6,1)=1,DV40*DV41,0)))</f>
        <v>0</v>
      </c>
      <c r="DW44" s="63">
        <f>IF(AND(DW40=1,DW41=8),0,IF(DW40&lt;=0,0,IF(WEEKDAY(DW$6,1)=1,DW40*DW41,0)))</f>
        <v>0</v>
      </c>
      <c r="DX44" s="64">
        <f>IF(AND(DX40=0,DX41=0),0,IF(DX40&lt;=0,0,IF(WEEKDAY(DX$6,1)=1,DX40*DX41,0)))</f>
        <v>0</v>
      </c>
      <c r="DY44" s="64">
        <f>IF(AND(DY40=0,DY41=0),0,IF(DY40&lt;=0,0,IF(WEEKDAY(DY$6,1)=1,DY40*DY41,0)))</f>
        <v>0</v>
      </c>
      <c r="DZ44" s="63">
        <f>IF(AND(DZ40=1,DZ41=8),0,IF(DZ40&lt;=0,0,IF(WEEKDAY(DZ$6,1)=1,DZ40*DZ41,0)))</f>
        <v>0</v>
      </c>
      <c r="EA44" s="63">
        <f>IF(AND(EA40=1,EA41=8),0,IF(EA40&lt;=0,0,IF(WEEKDAY(EA$6,1)=1,EA40*EA41,0)))</f>
        <v>0</v>
      </c>
      <c r="EB44" s="63">
        <f>IF(AND(EB40=1,EB41=8),0,IF(EB40&lt;=0,0,IF(WEEKDAY(EB$6,1)=1,EB40*EB41,0)))</f>
        <v>0</v>
      </c>
      <c r="EC44" s="63">
        <f>IF(AND(EC40=1,EC41=8),0,IF(EC40&lt;=0,0,IF(WEEKDAY(EC$6,1)=1,EC40*EC41,0)))</f>
        <v>0</v>
      </c>
      <c r="ED44" s="63">
        <f>IF(AND(ED40=1,ED41=8),0,IF(ED40&lt;=0,0,IF(WEEKDAY(ED$6,1)=1,ED40*ED41,0)))</f>
        <v>0</v>
      </c>
      <c r="EE44" s="64">
        <f>IF(AND(EE40=0,EE41=0),0,IF(EE40&lt;=0,0,IF(WEEKDAY(EE$6,1)=1,EE40*EE41,0)))</f>
        <v>0</v>
      </c>
      <c r="EF44" s="64">
        <f>IF(AND(EF40=0,EF41=0),0,IF(EF40&lt;=0,0,IF(WEEKDAY(EF$6,1)=1,EF40*EF41,0)))</f>
        <v>0</v>
      </c>
      <c r="EG44" s="63">
        <f>IF(AND(EG40=0,EG41=0),0,IF(EG40&lt;=0,0,IF(WEEKDAY(EG$6,1)=1,EG40*EG41,0)))</f>
        <v>0</v>
      </c>
      <c r="EH44" s="63">
        <f>IF(AND(EH40=0,EH41=0),0,IF(EH40&lt;=0,0,IF(WEEKDAY(EH$6,1)=1,EH40*EH41,0)))</f>
        <v>0</v>
      </c>
      <c r="EI44" s="63">
        <f>IF(AND(EI40=0,EI41=0),0,IF(EI40&lt;=0,0,IF(WEEKDAY(EI$6,1)=1,EI40*EI41,0)))</f>
        <v>0</v>
      </c>
      <c r="EJ44" s="63">
        <f>IF(AND(EJ40=0,EJ41=0),0,IF(EJ40&lt;=0,0,IF(WEEKDAY(EJ$6,1)=1,EJ40*EJ41,0)))</f>
        <v>0</v>
      </c>
      <c r="EK44" s="65">
        <f>IF(AND(EK40=0,EK41=0),0,IF(EK40&lt;=0,0,IF(WEEKDAY(EK$6,1)=1,EK40*EK41,0)))</f>
        <v>0</v>
      </c>
      <c r="OU44" s="28" t="s">
        <v>126</v>
      </c>
    </row>
    <row r="45" ht="16" customHeight="1" spans="1:411" x14ac:dyDescent="0.25">
      <c r="A45" s="45"/>
      <c r="B45" s="79"/>
      <c r="C45" s="67">
        <f>I39*D45</f>
        <v>13780</v>
      </c>
      <c r="D45" s="67">
        <v>130</v>
      </c>
      <c r="E45" s="68" t="s">
        <v>65</v>
      </c>
      <c r="F45" s="49"/>
      <c r="G45" s="49"/>
      <c r="H45" s="49"/>
      <c r="I45" s="49"/>
      <c r="J45" s="50"/>
      <c r="K45" s="69">
        <v>1</v>
      </c>
      <c r="L45" s="70">
        <v>1</v>
      </c>
      <c r="M45" s="70">
        <v>1</v>
      </c>
      <c r="N45" s="70">
        <v>1</v>
      </c>
      <c r="O45" s="70">
        <v>1</v>
      </c>
      <c r="P45" s="71">
        <v>0</v>
      </c>
      <c r="Q45" s="71">
        <v>0</v>
      </c>
      <c r="R45" s="70">
        <v>1</v>
      </c>
      <c r="S45" s="70">
        <v>1</v>
      </c>
      <c r="T45" s="70">
        <v>1</v>
      </c>
      <c r="U45" s="70">
        <v>1</v>
      </c>
      <c r="V45" s="70">
        <v>1</v>
      </c>
      <c r="W45" s="71">
        <v>0</v>
      </c>
      <c r="X45" s="71">
        <v>0</v>
      </c>
      <c r="Y45" s="70">
        <v>1</v>
      </c>
      <c r="Z45" s="70">
        <v>1</v>
      </c>
      <c r="AA45" s="70">
        <v>1</v>
      </c>
      <c r="AB45" s="70">
        <v>1</v>
      </c>
      <c r="AC45" s="70">
        <v>1</v>
      </c>
      <c r="AD45" s="71">
        <v>0</v>
      </c>
      <c r="AE45" s="71">
        <v>0</v>
      </c>
      <c r="AF45" s="70">
        <v>1</v>
      </c>
      <c r="AG45" s="70">
        <v>1</v>
      </c>
      <c r="AH45" s="70">
        <v>1</v>
      </c>
      <c r="AI45" s="70">
        <v>1</v>
      </c>
      <c r="AJ45" s="70">
        <v>1</v>
      </c>
      <c r="AK45" s="71">
        <v>0</v>
      </c>
      <c r="AL45" s="71">
        <v>0</v>
      </c>
      <c r="AM45" s="70">
        <v>1</v>
      </c>
      <c r="AN45" s="70">
        <v>1</v>
      </c>
      <c r="AO45" s="70">
        <v>1</v>
      </c>
      <c r="AP45" s="70">
        <v>1</v>
      </c>
      <c r="AQ45" s="70">
        <v>1</v>
      </c>
      <c r="AR45" s="71">
        <v>0</v>
      </c>
      <c r="AS45" s="71">
        <v>0</v>
      </c>
      <c r="AT45" s="70">
        <v>1</v>
      </c>
      <c r="AU45" s="70">
        <v>1</v>
      </c>
      <c r="AV45" s="70">
        <v>1</v>
      </c>
      <c r="AW45" s="70">
        <v>1</v>
      </c>
      <c r="AX45" s="70">
        <v>1</v>
      </c>
      <c r="AY45" s="71">
        <v>0</v>
      </c>
      <c r="AZ45" s="71">
        <v>0</v>
      </c>
      <c r="BA45" s="70">
        <v>1</v>
      </c>
      <c r="BB45" s="70">
        <v>1</v>
      </c>
      <c r="BC45" s="70">
        <v>1</v>
      </c>
      <c r="BD45" s="70">
        <v>1</v>
      </c>
      <c r="BE45" s="70">
        <v>1</v>
      </c>
      <c r="BF45" s="71">
        <v>0</v>
      </c>
      <c r="BG45" s="71">
        <v>0</v>
      </c>
      <c r="BH45" s="70">
        <v>1</v>
      </c>
      <c r="BI45" s="70">
        <v>1</v>
      </c>
      <c r="BJ45" s="70">
        <v>1</v>
      </c>
      <c r="BK45" s="70">
        <v>1</v>
      </c>
      <c r="BL45" s="70">
        <v>1</v>
      </c>
      <c r="BM45" s="71">
        <v>1</v>
      </c>
      <c r="BN45" s="71">
        <v>1</v>
      </c>
      <c r="BO45" s="70">
        <v>1</v>
      </c>
      <c r="BP45" s="70">
        <v>1</v>
      </c>
      <c r="BQ45" s="70">
        <v>1</v>
      </c>
      <c r="BR45" s="70">
        <v>1</v>
      </c>
      <c r="BS45" s="70">
        <v>1</v>
      </c>
      <c r="BT45" s="71">
        <v>1</v>
      </c>
      <c r="BU45" s="71">
        <v>1</v>
      </c>
      <c r="BV45" s="70">
        <v>1</v>
      </c>
      <c r="BW45" s="70">
        <v>1</v>
      </c>
      <c r="BX45" s="70">
        <v>1</v>
      </c>
      <c r="BY45" s="70">
        <v>1</v>
      </c>
      <c r="BZ45" s="70">
        <v>1</v>
      </c>
      <c r="CA45" s="71">
        <v>1</v>
      </c>
      <c r="CB45" s="71">
        <v>0</v>
      </c>
      <c r="CC45" s="70">
        <v>1</v>
      </c>
      <c r="CD45" s="70">
        <v>1</v>
      </c>
      <c r="CE45" s="70">
        <v>1</v>
      </c>
      <c r="CF45" s="70">
        <v>1</v>
      </c>
      <c r="CG45" s="70">
        <v>1</v>
      </c>
      <c r="CH45" s="71">
        <v>1</v>
      </c>
      <c r="CI45" s="71">
        <v>1</v>
      </c>
      <c r="CJ45" s="70">
        <v>1</v>
      </c>
      <c r="CK45" s="70">
        <v>1</v>
      </c>
      <c r="CL45" s="70">
        <v>1</v>
      </c>
      <c r="CM45" s="70">
        <v>1</v>
      </c>
      <c r="CN45" s="70">
        <v>1</v>
      </c>
      <c r="CO45" s="71">
        <v>1</v>
      </c>
      <c r="CP45" s="71">
        <v>0</v>
      </c>
      <c r="CQ45" s="70">
        <v>1</v>
      </c>
      <c r="CR45" s="70">
        <v>1</v>
      </c>
      <c r="CS45" s="70">
        <v>1</v>
      </c>
      <c r="CT45" s="70">
        <v>1</v>
      </c>
      <c r="CU45" s="70">
        <v>1</v>
      </c>
      <c r="CV45" s="71">
        <v>1</v>
      </c>
      <c r="CW45" s="71">
        <v>1</v>
      </c>
      <c r="CX45" s="70">
        <v>1</v>
      </c>
      <c r="CY45" s="70">
        <v>1</v>
      </c>
      <c r="CZ45" s="70">
        <v>1</v>
      </c>
      <c r="DA45" s="70">
        <v>1</v>
      </c>
      <c r="DB45" s="70">
        <v>1</v>
      </c>
      <c r="DC45" s="71">
        <v>1</v>
      </c>
      <c r="DD45" s="71">
        <v>1</v>
      </c>
      <c r="DE45" s="70">
        <v>1</v>
      </c>
      <c r="DF45" s="70">
        <v>1</v>
      </c>
      <c r="DG45" s="70">
        <v>1</v>
      </c>
      <c r="DH45" s="70">
        <v>1</v>
      </c>
      <c r="DI45" s="70">
        <v>1</v>
      </c>
      <c r="DJ45" s="71">
        <v>1</v>
      </c>
      <c r="DK45" s="71">
        <v>1</v>
      </c>
      <c r="DL45" s="70">
        <v>1</v>
      </c>
      <c r="DM45" s="70">
        <v>1</v>
      </c>
      <c r="DN45" s="70">
        <v>1</v>
      </c>
      <c r="DO45" s="70">
        <v>1</v>
      </c>
      <c r="DP45" s="70">
        <v>1</v>
      </c>
      <c r="DQ45" s="71">
        <v>1</v>
      </c>
      <c r="DR45" s="71">
        <v>1</v>
      </c>
      <c r="DS45" s="70">
        <v>1</v>
      </c>
      <c r="DT45" s="70">
        <v>1</v>
      </c>
      <c r="DU45" s="70">
        <v>1</v>
      </c>
      <c r="DV45" s="70">
        <v>1</v>
      </c>
      <c r="DW45" s="70">
        <v>1</v>
      </c>
      <c r="DX45" s="71">
        <v>0</v>
      </c>
      <c r="DY45" s="71">
        <v>0</v>
      </c>
      <c r="DZ45" s="70">
        <v>1</v>
      </c>
      <c r="EA45" s="70">
        <v>1</v>
      </c>
      <c r="EB45" s="70">
        <v>1</v>
      </c>
      <c r="EC45" s="70">
        <v>1</v>
      </c>
      <c r="ED45" s="70">
        <v>1</v>
      </c>
      <c r="EE45" s="71">
        <v>0</v>
      </c>
      <c r="EF45" s="71">
        <v>0</v>
      </c>
      <c r="EG45" s="70">
        <v>0</v>
      </c>
      <c r="EH45" s="70">
        <v>0</v>
      </c>
      <c r="EI45" s="70">
        <v>0</v>
      </c>
      <c r="EJ45" s="70">
        <v>0</v>
      </c>
      <c r="EK45" s="72">
        <v>0</v>
      </c>
      <c r="OU45" s="60" t="s">
        <v>126</v>
      </c>
    </row>
    <row r="46" ht="8" customHeight="1" spans="1:14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  <c r="EK46" s="73"/>
    </row>
    <row r="47" ht="16" customHeight="1" spans="1:411" x14ac:dyDescent="0.25">
      <c r="A47" s="74" t="s">
        <v>70</v>
      </c>
      <c r="B47" s="77" t="s">
        <v>125</v>
      </c>
      <c r="C47" s="47">
        <f>J47</f>
        <v>91276.33</v>
      </c>
      <c r="D47" s="48"/>
      <c r="E47" s="48"/>
      <c r="F47" s="49">
        <f>SUM(K50:EK50)</f>
        <v>368</v>
      </c>
      <c r="G47" s="49">
        <f>SUM(K51:EK51)</f>
        <v>237</v>
      </c>
      <c r="H47" s="49">
        <f>SUM(K52:EK52)</f>
        <v>77</v>
      </c>
      <c r="I47" s="49">
        <f>SUM(K53:EK53)</f>
        <v>62</v>
      </c>
      <c r="J47" s="50">
        <f>C50+C51+C52</f>
        <v>91276.33</v>
      </c>
      <c r="K47" s="51"/>
      <c r="L47" s="52"/>
      <c r="M47" s="52"/>
      <c r="N47" s="52"/>
      <c r="O47" s="52"/>
      <c r="P47" s="53"/>
      <c r="Q47" s="53"/>
      <c r="R47" s="52"/>
      <c r="S47" s="52"/>
      <c r="T47" s="52"/>
      <c r="U47" s="52"/>
      <c r="V47" s="52"/>
      <c r="W47" s="53"/>
      <c r="X47" s="53"/>
      <c r="Y47" s="52"/>
      <c r="Z47" s="52"/>
      <c r="AA47" s="52"/>
      <c r="AB47" s="52"/>
      <c r="AC47" s="52"/>
      <c r="AD47" s="53"/>
      <c r="AE47" s="53"/>
      <c r="AF47" s="52"/>
      <c r="AG47" s="52"/>
      <c r="AH47" s="52"/>
      <c r="AI47" s="52"/>
      <c r="AJ47" s="52"/>
      <c r="AK47" s="53"/>
      <c r="AL47" s="53"/>
      <c r="AM47" s="52"/>
      <c r="AN47" s="52"/>
      <c r="AO47" s="52"/>
      <c r="AP47" s="52"/>
      <c r="AQ47" s="52"/>
      <c r="AR47" s="53"/>
      <c r="AS47" s="53"/>
      <c r="AT47" s="52"/>
      <c r="AU47" s="52"/>
      <c r="AV47" s="52"/>
      <c r="AW47" s="52"/>
      <c r="AX47" s="52"/>
      <c r="AY47" s="53"/>
      <c r="AZ47" s="53"/>
      <c r="BA47" s="52"/>
      <c r="BB47" s="52"/>
      <c r="BC47" s="52"/>
      <c r="BD47" s="52"/>
      <c r="BE47" s="52"/>
      <c r="BF47" s="53"/>
      <c r="BG47" s="53"/>
      <c r="BH47" s="52"/>
      <c r="BI47" s="52"/>
      <c r="BJ47" s="52"/>
      <c r="BK47" s="52"/>
      <c r="BL47" s="52"/>
      <c r="BM47" s="53"/>
      <c r="BN47" s="53"/>
      <c r="BO47" s="52"/>
      <c r="BP47" s="52"/>
      <c r="BQ47" s="52"/>
      <c r="BR47" s="52"/>
      <c r="BS47" s="52"/>
      <c r="BT47" s="53"/>
      <c r="BU47" s="53"/>
      <c r="BV47" s="52"/>
      <c r="BW47" s="52"/>
      <c r="BX47" s="52"/>
      <c r="BY47" s="52"/>
      <c r="BZ47" s="52"/>
      <c r="CA47" s="53"/>
      <c r="CB47" s="53"/>
      <c r="CC47" s="52"/>
      <c r="CD47" s="52"/>
      <c r="CE47" s="52"/>
      <c r="CF47" s="52"/>
      <c r="CG47" s="52"/>
      <c r="CH47" s="53"/>
      <c r="CI47" s="53"/>
      <c r="CJ47" s="52"/>
      <c r="CK47" s="52"/>
      <c r="CL47" s="52"/>
      <c r="CM47" s="52"/>
      <c r="CN47" s="52"/>
      <c r="CO47" s="53"/>
      <c r="CP47" s="53"/>
      <c r="CQ47" s="52"/>
      <c r="CR47" s="52"/>
      <c r="CS47" s="52"/>
      <c r="CT47" s="52"/>
      <c r="CU47" s="52"/>
      <c r="CV47" s="53"/>
      <c r="CW47" s="53"/>
      <c r="CX47" s="52"/>
      <c r="CY47" s="52"/>
      <c r="CZ47" s="52"/>
      <c r="DA47" s="52"/>
      <c r="DB47" s="52"/>
      <c r="DC47" s="53"/>
      <c r="DD47" s="53"/>
      <c r="DE47" s="52"/>
      <c r="DF47" s="52"/>
      <c r="DG47" s="52"/>
      <c r="DH47" s="52"/>
      <c r="DI47" s="52"/>
      <c r="DJ47" s="53"/>
      <c r="DK47" s="53"/>
      <c r="DL47" s="52"/>
      <c r="DM47" s="52"/>
      <c r="DN47" s="52"/>
      <c r="DO47" s="52"/>
      <c r="DP47" s="52"/>
      <c r="DQ47" s="53"/>
      <c r="DR47" s="53"/>
      <c r="DS47" s="52"/>
      <c r="DT47" s="52"/>
      <c r="DU47" s="52"/>
      <c r="DV47" s="52"/>
      <c r="DW47" s="52"/>
      <c r="DX47" s="53"/>
      <c r="DY47" s="53"/>
      <c r="DZ47" s="52"/>
      <c r="EA47" s="52"/>
      <c r="EB47" s="52"/>
      <c r="EC47" s="52"/>
      <c r="ED47" s="52"/>
      <c r="EE47" s="53"/>
      <c r="EF47" s="53"/>
      <c r="EG47" s="52"/>
      <c r="EH47" s="52"/>
      <c r="EI47" s="52"/>
      <c r="EJ47" s="52"/>
      <c r="EK47" s="54"/>
      <c r="OU47" s="28" t="s">
        <v>127</v>
      </c>
    </row>
    <row r="48" ht="16" customHeight="1" spans="1:411" x14ac:dyDescent="0.25">
      <c r="A48" s="74"/>
      <c r="B48" s="77"/>
      <c r="C48" s="47"/>
      <c r="D48" s="48"/>
      <c r="E48" s="55" t="s">
        <v>60</v>
      </c>
      <c r="F48" s="49"/>
      <c r="G48" s="49"/>
      <c r="H48" s="49"/>
      <c r="I48" s="49"/>
      <c r="J48" s="50"/>
      <c r="K48" s="56">
        <v>0</v>
      </c>
      <c r="L48" s="57">
        <v>0</v>
      </c>
      <c r="M48" s="57">
        <v>0</v>
      </c>
      <c r="N48" s="57">
        <v>0</v>
      </c>
      <c r="O48" s="57">
        <v>0</v>
      </c>
      <c r="P48" s="58">
        <v>0</v>
      </c>
      <c r="Q48" s="58">
        <v>0</v>
      </c>
      <c r="R48" s="57">
        <v>0</v>
      </c>
      <c r="S48" s="57">
        <v>0</v>
      </c>
      <c r="T48" s="57">
        <v>0</v>
      </c>
      <c r="U48" s="57">
        <v>0</v>
      </c>
      <c r="V48" s="57">
        <v>0</v>
      </c>
      <c r="W48" s="58">
        <v>0</v>
      </c>
      <c r="X48" s="58">
        <v>0</v>
      </c>
      <c r="Y48" s="57">
        <v>0</v>
      </c>
      <c r="Z48" s="57">
        <v>0</v>
      </c>
      <c r="AA48" s="57">
        <v>0</v>
      </c>
      <c r="AB48" s="57">
        <v>0</v>
      </c>
      <c r="AC48" s="57">
        <v>0</v>
      </c>
      <c r="AD48" s="58">
        <v>0</v>
      </c>
      <c r="AE48" s="58">
        <v>0</v>
      </c>
      <c r="AF48" s="57">
        <v>0</v>
      </c>
      <c r="AG48" s="57">
        <v>0</v>
      </c>
      <c r="AH48" s="57">
        <v>0</v>
      </c>
      <c r="AI48" s="57">
        <v>0</v>
      </c>
      <c r="AJ48" s="57">
        <v>0</v>
      </c>
      <c r="AK48" s="58">
        <v>0</v>
      </c>
      <c r="AL48" s="58">
        <v>0</v>
      </c>
      <c r="AM48" s="57">
        <v>0</v>
      </c>
      <c r="AN48" s="57">
        <v>0</v>
      </c>
      <c r="AO48" s="57">
        <v>0</v>
      </c>
      <c r="AP48" s="57">
        <v>0</v>
      </c>
      <c r="AQ48" s="57">
        <v>0</v>
      </c>
      <c r="AR48" s="58">
        <v>0</v>
      </c>
      <c r="AS48" s="58">
        <v>0</v>
      </c>
      <c r="AT48" s="57">
        <v>0</v>
      </c>
      <c r="AU48" s="57">
        <v>0</v>
      </c>
      <c r="AV48" s="57">
        <v>0</v>
      </c>
      <c r="AW48" s="57">
        <v>0</v>
      </c>
      <c r="AX48" s="57">
        <v>0</v>
      </c>
      <c r="AY48" s="58">
        <v>0</v>
      </c>
      <c r="AZ48" s="58">
        <v>0</v>
      </c>
      <c r="BA48" s="57">
        <v>0</v>
      </c>
      <c r="BB48" s="57">
        <v>0</v>
      </c>
      <c r="BC48" s="57">
        <v>0</v>
      </c>
      <c r="BD48" s="57">
        <v>0</v>
      </c>
      <c r="BE48" s="57">
        <v>0</v>
      </c>
      <c r="BF48" s="58">
        <v>0</v>
      </c>
      <c r="BG48" s="58">
        <v>0</v>
      </c>
      <c r="BH48" s="57">
        <v>1</v>
      </c>
      <c r="BI48" s="57">
        <v>1</v>
      </c>
      <c r="BJ48" s="57">
        <v>1</v>
      </c>
      <c r="BK48" s="57">
        <v>1</v>
      </c>
      <c r="BL48" s="57">
        <v>1</v>
      </c>
      <c r="BM48" s="58">
        <v>1</v>
      </c>
      <c r="BN48" s="58">
        <v>1</v>
      </c>
      <c r="BO48" s="57">
        <v>1</v>
      </c>
      <c r="BP48" s="57">
        <v>1</v>
      </c>
      <c r="BQ48" s="57">
        <v>1</v>
      </c>
      <c r="BR48" s="57">
        <v>1</v>
      </c>
      <c r="BS48" s="57">
        <v>1</v>
      </c>
      <c r="BT48" s="58">
        <v>1</v>
      </c>
      <c r="BU48" s="58">
        <v>1</v>
      </c>
      <c r="BV48" s="57">
        <v>1</v>
      </c>
      <c r="BW48" s="57">
        <v>1</v>
      </c>
      <c r="BX48" s="57">
        <v>1</v>
      </c>
      <c r="BY48" s="57">
        <v>1</v>
      </c>
      <c r="BZ48" s="57">
        <v>1</v>
      </c>
      <c r="CA48" s="58">
        <v>1</v>
      </c>
      <c r="CB48" s="58">
        <v>0</v>
      </c>
      <c r="CC48" s="57">
        <v>1</v>
      </c>
      <c r="CD48" s="57">
        <v>1</v>
      </c>
      <c r="CE48" s="57">
        <v>1</v>
      </c>
      <c r="CF48" s="57">
        <v>1</v>
      </c>
      <c r="CG48" s="57">
        <v>1</v>
      </c>
      <c r="CH48" s="58">
        <v>1</v>
      </c>
      <c r="CI48" s="58">
        <v>1</v>
      </c>
      <c r="CJ48" s="57">
        <v>1</v>
      </c>
      <c r="CK48" s="57">
        <v>1</v>
      </c>
      <c r="CL48" s="57">
        <v>1</v>
      </c>
      <c r="CM48" s="57">
        <v>1</v>
      </c>
      <c r="CN48" s="57">
        <v>1</v>
      </c>
      <c r="CO48" s="58">
        <v>1</v>
      </c>
      <c r="CP48" s="58">
        <v>0</v>
      </c>
      <c r="CQ48" s="57">
        <v>1</v>
      </c>
      <c r="CR48" s="57">
        <v>1</v>
      </c>
      <c r="CS48" s="57">
        <v>1</v>
      </c>
      <c r="CT48" s="57">
        <v>1</v>
      </c>
      <c r="CU48" s="57">
        <v>1</v>
      </c>
      <c r="CV48" s="58">
        <v>1</v>
      </c>
      <c r="CW48" s="58">
        <v>1</v>
      </c>
      <c r="CX48" s="57">
        <v>1</v>
      </c>
      <c r="CY48" s="57">
        <v>1</v>
      </c>
      <c r="CZ48" s="57">
        <v>1</v>
      </c>
      <c r="DA48" s="57">
        <v>1</v>
      </c>
      <c r="DB48" s="57">
        <v>1</v>
      </c>
      <c r="DC48" s="58">
        <v>1</v>
      </c>
      <c r="DD48" s="58">
        <v>1</v>
      </c>
      <c r="DE48" s="57">
        <v>1</v>
      </c>
      <c r="DF48" s="57">
        <v>1</v>
      </c>
      <c r="DG48" s="57">
        <v>1</v>
      </c>
      <c r="DH48" s="57">
        <v>1</v>
      </c>
      <c r="DI48" s="57">
        <v>1</v>
      </c>
      <c r="DJ48" s="58">
        <v>1</v>
      </c>
      <c r="DK48" s="58">
        <v>1</v>
      </c>
      <c r="DL48" s="57">
        <v>1</v>
      </c>
      <c r="DM48" s="57">
        <v>1</v>
      </c>
      <c r="DN48" s="57">
        <v>1</v>
      </c>
      <c r="DO48" s="57">
        <v>1</v>
      </c>
      <c r="DP48" s="57">
        <v>1</v>
      </c>
      <c r="DQ48" s="58">
        <v>1</v>
      </c>
      <c r="DR48" s="58">
        <v>1</v>
      </c>
      <c r="DS48" s="57">
        <v>1</v>
      </c>
      <c r="DT48" s="57">
        <v>0</v>
      </c>
      <c r="DU48" s="57">
        <v>0</v>
      </c>
      <c r="DV48" s="57">
        <v>0</v>
      </c>
      <c r="DW48" s="57">
        <v>0</v>
      </c>
      <c r="DX48" s="58">
        <v>0</v>
      </c>
      <c r="DY48" s="58">
        <v>0</v>
      </c>
      <c r="DZ48" s="57">
        <v>0</v>
      </c>
      <c r="EA48" s="57">
        <v>0</v>
      </c>
      <c r="EB48" s="57">
        <v>0</v>
      </c>
      <c r="EC48" s="57">
        <v>0</v>
      </c>
      <c r="ED48" s="57">
        <v>0</v>
      </c>
      <c r="EE48" s="58">
        <v>0</v>
      </c>
      <c r="EF48" s="58">
        <v>0</v>
      </c>
      <c r="EG48" s="57">
        <v>0</v>
      </c>
      <c r="EH48" s="57">
        <v>0</v>
      </c>
      <c r="EI48" s="57">
        <v>0</v>
      </c>
      <c r="EJ48" s="57">
        <v>0</v>
      </c>
      <c r="EK48" s="59">
        <v>0</v>
      </c>
      <c r="OU48" s="60" t="s">
        <v>127</v>
      </c>
    </row>
    <row r="49" ht="16" customHeight="1" spans="1:411" x14ac:dyDescent="0.25">
      <c r="A49" s="74"/>
      <c r="B49" s="77"/>
      <c r="C49" s="47"/>
      <c r="D49" s="48"/>
      <c r="E49" s="55" t="s">
        <v>61</v>
      </c>
      <c r="F49" s="49"/>
      <c r="G49" s="49"/>
      <c r="H49" s="49"/>
      <c r="I49" s="49"/>
      <c r="J49" s="50"/>
      <c r="K49" s="56">
        <v>0</v>
      </c>
      <c r="L49" s="57">
        <v>0</v>
      </c>
      <c r="M49" s="57">
        <v>0</v>
      </c>
      <c r="N49" s="57">
        <v>0</v>
      </c>
      <c r="O49" s="57">
        <v>0</v>
      </c>
      <c r="P49" s="58">
        <v>0</v>
      </c>
      <c r="Q49" s="58">
        <v>0</v>
      </c>
      <c r="R49" s="57">
        <v>0</v>
      </c>
      <c r="S49" s="57">
        <v>0</v>
      </c>
      <c r="T49" s="57">
        <v>0</v>
      </c>
      <c r="U49" s="57">
        <v>0</v>
      </c>
      <c r="V49" s="57">
        <v>0</v>
      </c>
      <c r="W49" s="58">
        <v>0</v>
      </c>
      <c r="X49" s="58">
        <v>0</v>
      </c>
      <c r="Y49" s="57">
        <v>0</v>
      </c>
      <c r="Z49" s="57">
        <v>0</v>
      </c>
      <c r="AA49" s="57">
        <v>0</v>
      </c>
      <c r="AB49" s="57">
        <v>0</v>
      </c>
      <c r="AC49" s="57">
        <v>0</v>
      </c>
      <c r="AD49" s="58">
        <v>0</v>
      </c>
      <c r="AE49" s="58">
        <v>0</v>
      </c>
      <c r="AF49" s="57">
        <v>0</v>
      </c>
      <c r="AG49" s="57">
        <v>0</v>
      </c>
      <c r="AH49" s="57">
        <v>0</v>
      </c>
      <c r="AI49" s="57">
        <v>0</v>
      </c>
      <c r="AJ49" s="57">
        <v>0</v>
      </c>
      <c r="AK49" s="58">
        <v>0</v>
      </c>
      <c r="AL49" s="58">
        <v>0</v>
      </c>
      <c r="AM49" s="57">
        <v>0</v>
      </c>
      <c r="AN49" s="57">
        <v>0</v>
      </c>
      <c r="AO49" s="57">
        <v>0</v>
      </c>
      <c r="AP49" s="57">
        <v>0</v>
      </c>
      <c r="AQ49" s="57">
        <v>0</v>
      </c>
      <c r="AR49" s="58">
        <v>0</v>
      </c>
      <c r="AS49" s="58">
        <v>0</v>
      </c>
      <c r="AT49" s="57">
        <v>0</v>
      </c>
      <c r="AU49" s="57">
        <v>0</v>
      </c>
      <c r="AV49" s="57">
        <v>0</v>
      </c>
      <c r="AW49" s="57">
        <v>0</v>
      </c>
      <c r="AX49" s="57">
        <v>0</v>
      </c>
      <c r="AY49" s="58">
        <v>0</v>
      </c>
      <c r="AZ49" s="58">
        <v>0</v>
      </c>
      <c r="BA49" s="57">
        <v>0</v>
      </c>
      <c r="BB49" s="57">
        <v>0</v>
      </c>
      <c r="BC49" s="57">
        <v>0</v>
      </c>
      <c r="BD49" s="57">
        <v>0</v>
      </c>
      <c r="BE49" s="57">
        <v>0</v>
      </c>
      <c r="BF49" s="58">
        <v>0</v>
      </c>
      <c r="BG49" s="58">
        <v>0</v>
      </c>
      <c r="BH49" s="57">
        <v>11</v>
      </c>
      <c r="BI49" s="57">
        <v>11</v>
      </c>
      <c r="BJ49" s="57">
        <v>11</v>
      </c>
      <c r="BK49" s="57">
        <v>11</v>
      </c>
      <c r="BL49" s="57">
        <v>11</v>
      </c>
      <c r="BM49" s="58">
        <v>11</v>
      </c>
      <c r="BN49" s="58">
        <v>11</v>
      </c>
      <c r="BO49" s="57">
        <v>11</v>
      </c>
      <c r="BP49" s="57">
        <v>11</v>
      </c>
      <c r="BQ49" s="57">
        <v>11</v>
      </c>
      <c r="BR49" s="57">
        <v>11</v>
      </c>
      <c r="BS49" s="57">
        <v>11</v>
      </c>
      <c r="BT49" s="58">
        <v>11</v>
      </c>
      <c r="BU49" s="58">
        <v>11</v>
      </c>
      <c r="BV49" s="57">
        <v>11</v>
      </c>
      <c r="BW49" s="57">
        <v>11</v>
      </c>
      <c r="BX49" s="57">
        <v>11</v>
      </c>
      <c r="BY49" s="57">
        <v>11</v>
      </c>
      <c r="BZ49" s="57">
        <v>11</v>
      </c>
      <c r="CA49" s="58">
        <v>11</v>
      </c>
      <c r="CB49" s="58">
        <v>0</v>
      </c>
      <c r="CC49" s="57">
        <v>11</v>
      </c>
      <c r="CD49" s="57">
        <v>11</v>
      </c>
      <c r="CE49" s="57">
        <v>11</v>
      </c>
      <c r="CF49" s="57">
        <v>11</v>
      </c>
      <c r="CG49" s="57">
        <v>11</v>
      </c>
      <c r="CH49" s="58">
        <v>11</v>
      </c>
      <c r="CI49" s="58">
        <v>11</v>
      </c>
      <c r="CJ49" s="57">
        <v>11</v>
      </c>
      <c r="CK49" s="57">
        <v>11</v>
      </c>
      <c r="CL49" s="57">
        <v>11</v>
      </c>
      <c r="CM49" s="57">
        <v>11</v>
      </c>
      <c r="CN49" s="57">
        <v>11</v>
      </c>
      <c r="CO49" s="58">
        <v>11</v>
      </c>
      <c r="CP49" s="58">
        <v>0</v>
      </c>
      <c r="CQ49" s="57">
        <v>11</v>
      </c>
      <c r="CR49" s="57">
        <v>11</v>
      </c>
      <c r="CS49" s="57">
        <v>11</v>
      </c>
      <c r="CT49" s="57">
        <v>11</v>
      </c>
      <c r="CU49" s="57">
        <v>11</v>
      </c>
      <c r="CV49" s="58">
        <v>11</v>
      </c>
      <c r="CW49" s="58">
        <v>11</v>
      </c>
      <c r="CX49" s="57">
        <v>11</v>
      </c>
      <c r="CY49" s="57">
        <v>11</v>
      </c>
      <c r="CZ49" s="57">
        <v>11</v>
      </c>
      <c r="DA49" s="57">
        <v>11</v>
      </c>
      <c r="DB49" s="57">
        <v>11</v>
      </c>
      <c r="DC49" s="58">
        <v>11</v>
      </c>
      <c r="DD49" s="58">
        <v>11</v>
      </c>
      <c r="DE49" s="57">
        <v>11</v>
      </c>
      <c r="DF49" s="57">
        <v>11</v>
      </c>
      <c r="DG49" s="57">
        <v>11</v>
      </c>
      <c r="DH49" s="57">
        <v>11</v>
      </c>
      <c r="DI49" s="57">
        <v>11</v>
      </c>
      <c r="DJ49" s="58">
        <v>11</v>
      </c>
      <c r="DK49" s="58">
        <v>11</v>
      </c>
      <c r="DL49" s="57">
        <v>11</v>
      </c>
      <c r="DM49" s="57">
        <v>11</v>
      </c>
      <c r="DN49" s="57">
        <v>11</v>
      </c>
      <c r="DO49" s="57">
        <v>11</v>
      </c>
      <c r="DP49" s="57">
        <v>11</v>
      </c>
      <c r="DQ49" s="58">
        <v>11</v>
      </c>
      <c r="DR49" s="58">
        <v>11</v>
      </c>
      <c r="DS49" s="57">
        <v>11</v>
      </c>
      <c r="DT49" s="57">
        <v>0</v>
      </c>
      <c r="DU49" s="57">
        <v>0</v>
      </c>
      <c r="DV49" s="57">
        <v>0</v>
      </c>
      <c r="DW49" s="57">
        <v>0</v>
      </c>
      <c r="DX49" s="58">
        <v>0</v>
      </c>
      <c r="DY49" s="58">
        <v>0</v>
      </c>
      <c r="DZ49" s="57">
        <v>0</v>
      </c>
      <c r="EA49" s="57">
        <v>0</v>
      </c>
      <c r="EB49" s="57">
        <v>0</v>
      </c>
      <c r="EC49" s="57">
        <v>0</v>
      </c>
      <c r="ED49" s="57">
        <v>0</v>
      </c>
      <c r="EE49" s="58">
        <v>0</v>
      </c>
      <c r="EF49" s="58">
        <v>0</v>
      </c>
      <c r="EG49" s="57">
        <v>0</v>
      </c>
      <c r="EH49" s="57">
        <v>0</v>
      </c>
      <c r="EI49" s="57">
        <v>0</v>
      </c>
      <c r="EJ49" s="57">
        <v>0</v>
      </c>
      <c r="EK49" s="59">
        <v>0</v>
      </c>
      <c r="OU49" s="60" t="s">
        <v>127</v>
      </c>
    </row>
    <row r="50" ht="16" customHeight="1" spans="1:411" x14ac:dyDescent="0.25">
      <c r="A50" s="74"/>
      <c r="B50" s="78" t="s">
        <v>119</v>
      </c>
      <c r="C50" s="61">
        <f>F47*N(D50)</f>
        <v>39883.84</v>
      </c>
      <c r="D50" s="61">
        <f>IF(TRIM(IF(TRIM(B51)&lt;&gt;"",B51,B47))="","No rate",IFERROR(INDEX('Rate Tables'!C$7:C$158,MATCH(IF(TRIM(B51)&lt;&gt;"",B51,B47),'Rate Tables'!A$7:A$158,0)),"No rate"))</f>
        <v>108.38</v>
      </c>
      <c r="E50" s="55" t="s">
        <v>62</v>
      </c>
      <c r="F50" s="49"/>
      <c r="G50" s="49"/>
      <c r="H50" s="49"/>
      <c r="I50" s="49"/>
      <c r="J50" s="50"/>
      <c r="K50" s="62">
        <f>IF(AND(K48=0,K49=0),0,MIN(IF(K48&lt;=0,0,IF(WEEKDAY(K$6,1)=1,0,IF(WEEKDAY(K$6,1)=7,0,MIN(8,K49)*K48))),MAX(0,40*MAX(1,K48)-(0))))</f>
        <v>0</v>
      </c>
      <c r="L50" s="63">
        <f>IF(AND(L48=0,L49=0),0,MIN(IF(L48&lt;=0,0,IF(WEEKDAY(L$6,1)=1,0,IF(WEEKDAY(L$6,1)=7,0,MIN(8,L49)*L48))),MAX(0,40*MAX(1,L48)-(K50))))</f>
        <v>0</v>
      </c>
      <c r="M50" s="63">
        <f>IF(AND(M48=0,M49=0),0,MIN(IF(M48&lt;=0,0,IF(WEEKDAY(M$6,1)=1,0,IF(WEEKDAY(M$6,1)=7,0,MIN(8,M49)*M48))),MAX(0,40*MAX(1,M48)-(K50+L50))))</f>
        <v>0</v>
      </c>
      <c r="N50" s="63">
        <f>IF(AND(N48=0,N49=0),0,MIN(IF(N48&lt;=0,0,IF(WEEKDAY(N$6,1)=1,0,IF(WEEKDAY(N$6,1)=7,0,MIN(8,N49)*N48))),MAX(0,40*MAX(1,N48)-(K50+L50+M50))))</f>
        <v>0</v>
      </c>
      <c r="O50" s="63">
        <f>IF(AND(O48=0,O49=0),0,MIN(IF(O48&lt;=0,0,IF(WEEKDAY(O$6,1)=1,0,IF(WEEKDAY(O$6,1)=7,0,MIN(8,O49)*O48))),MAX(0,40*MAX(1,O48)-(K50+L50+M50+N50))))</f>
        <v>0</v>
      </c>
      <c r="P50" s="64">
        <f>IF(AND(P48=0,P49=0),0,MIN(IF(P48&lt;=0,0,IF(WEEKDAY(P$6,1)=1,0,IF(WEEKDAY(P$6,1)=7,0,MIN(8,P49)*P48))),MAX(0,40*MAX(1,P48)-(K50+L50+M50+N50+O50))))</f>
        <v>0</v>
      </c>
      <c r="Q50" s="64">
        <f>IF(AND(Q48=0,Q49=0),0,MIN(IF(Q48&lt;=0,0,IF(WEEKDAY(Q$6,1)=1,0,IF(WEEKDAY(Q$6,1)=7,0,MIN(8,Q49)*Q48))),MAX(0,40*MAX(1,Q48)-(K50+L50+M50+N50+O50+P50))))</f>
        <v>0</v>
      </c>
      <c r="R50" s="63">
        <f>IF(AND(R48=0,R49=0),0,MIN(IF(R48&lt;=0,0,IF(WEEKDAY(R$6,1)=1,0,IF(WEEKDAY(R$6,1)=7,0,MIN(8,R49)*R48))),MAX(0,40*MAX(1,R48)-(0))))</f>
        <v>0</v>
      </c>
      <c r="S50" s="63">
        <f>IF(AND(S48=0,S49=0),0,MIN(IF(S48&lt;=0,0,IF(WEEKDAY(S$6,1)=1,0,IF(WEEKDAY(S$6,1)=7,0,MIN(8,S49)*S48))),MAX(0,40*MAX(1,S48)-(R50))))</f>
        <v>0</v>
      </c>
      <c r="T50" s="63">
        <f>IF(AND(T48=0,T49=0),0,MIN(IF(T48&lt;=0,0,IF(WEEKDAY(T$6,1)=1,0,IF(WEEKDAY(T$6,1)=7,0,MIN(8,T49)*T48))),MAX(0,40*MAX(1,T48)-(R50+S50))))</f>
        <v>0</v>
      </c>
      <c r="U50" s="63">
        <f>IF(AND(U48=0,U49=0),0,MIN(IF(U48&lt;=0,0,IF(WEEKDAY(U$6,1)=1,0,IF(WEEKDAY(U$6,1)=7,0,MIN(8,U49)*U48))),MAX(0,40*MAX(1,U48)-(R50+S50+T50))))</f>
        <v>0</v>
      </c>
      <c r="V50" s="63">
        <f>IF(AND(V48=0,V49=0),0,MIN(IF(V48&lt;=0,0,IF(WEEKDAY(V$6,1)=1,0,IF(WEEKDAY(V$6,1)=7,0,MIN(8,V49)*V48))),MAX(0,40*MAX(1,V48)-(R50+S50+T50+U50))))</f>
        <v>0</v>
      </c>
      <c r="W50" s="64">
        <f>IF(AND(W48=0,W49=0),0,MIN(IF(W48&lt;=0,0,IF(WEEKDAY(W$6,1)=1,0,IF(WEEKDAY(W$6,1)=7,0,MIN(8,W49)*W48))),MAX(0,40*MAX(1,W48)-(R50+S50+T50+U50+V50))))</f>
        <v>0</v>
      </c>
      <c r="X50" s="64">
        <f>IF(AND(X48=0,X49=0),0,MIN(IF(X48&lt;=0,0,IF(WEEKDAY(X$6,1)=1,0,IF(WEEKDAY(X$6,1)=7,0,MIN(8,X49)*X48))),MAX(0,40*MAX(1,X48)-(R50+S50+T50+U50+V50+W50))))</f>
        <v>0</v>
      </c>
      <c r="Y50" s="63">
        <f>IF(AND(Y48=0,Y49=0),0,MIN(IF(Y48&lt;=0,0,IF(WEEKDAY(Y$6,1)=1,0,IF(WEEKDAY(Y$6,1)=7,0,MIN(8,Y49)*Y48))),MAX(0,40*MAX(1,Y48)-(0))))</f>
        <v>0</v>
      </c>
      <c r="Z50" s="63">
        <f>IF(AND(Z48=0,Z49=0),0,MIN(IF(Z48&lt;=0,0,IF(WEEKDAY(Z$6,1)=1,0,IF(WEEKDAY(Z$6,1)=7,0,MIN(8,Z49)*Z48))),MAX(0,40*MAX(1,Z48)-(Y50))))</f>
        <v>0</v>
      </c>
      <c r="AA50" s="63">
        <f>IF(AND(AA48=0,AA49=0),0,MIN(IF(AA48&lt;=0,0,IF(WEEKDAY(AA$6,1)=1,0,IF(WEEKDAY(AA$6,1)=7,0,MIN(8,AA49)*AA48))),MAX(0,40*MAX(1,AA48)-(Y50+Z50))))</f>
        <v>0</v>
      </c>
      <c r="AB50" s="63">
        <f>IF(AND(AB48=0,AB49=0),0,MIN(IF(AB48&lt;=0,0,IF(WEEKDAY(AB$6,1)=1,0,IF(WEEKDAY(AB$6,1)=7,0,MIN(8,AB49)*AB48))),MAX(0,40*MAX(1,AB48)-(Y50+Z50+AA50))))</f>
        <v>0</v>
      </c>
      <c r="AC50" s="63">
        <f>IF(AND(AC48=0,AC49=0),0,MIN(IF(AC48&lt;=0,0,IF(WEEKDAY(AC$6,1)=1,0,IF(WEEKDAY(AC$6,1)=7,0,MIN(8,AC49)*AC48))),MAX(0,40*MAX(1,AC48)-(Y50+Z50+AA50+AB50))))</f>
        <v>0</v>
      </c>
      <c r="AD50" s="64">
        <f>IF(AND(AD48=0,AD49=0),0,MIN(IF(AD48&lt;=0,0,IF(WEEKDAY(AD$6,1)=1,0,IF(WEEKDAY(AD$6,1)=7,0,MIN(8,AD49)*AD48))),MAX(0,40*MAX(1,AD48)-(Y50+Z50+AA50+AB50+AC50))))</f>
        <v>0</v>
      </c>
      <c r="AE50" s="64">
        <f>IF(AND(AE48=0,AE49=0),0,MIN(IF(AE48&lt;=0,0,IF(WEEKDAY(AE$6,1)=1,0,IF(WEEKDAY(AE$6,1)=7,0,MIN(8,AE49)*AE48))),MAX(0,40*MAX(1,AE48)-(Y50+Z50+AA50+AB50+AC50+AD50))))</f>
        <v>0</v>
      </c>
      <c r="AF50" s="63">
        <f>IF(AND(AF48=0,AF49=0),0,MIN(IF(AF48&lt;=0,0,IF(WEEKDAY(AF$6,1)=1,0,IF(WEEKDAY(AF$6,1)=7,0,MIN(8,AF49)*AF48))),MAX(0,40*MAX(1,AF48)-(0))))</f>
        <v>0</v>
      </c>
      <c r="AG50" s="63">
        <f>IF(AND(AG48=0,AG49=0),0,MIN(IF(AG48&lt;=0,0,IF(WEEKDAY(AG$6,1)=1,0,IF(WEEKDAY(AG$6,1)=7,0,MIN(8,AG49)*AG48))),MAX(0,40*MAX(1,AG48)-(AF50))))</f>
        <v>0</v>
      </c>
      <c r="AH50" s="63">
        <f>IF(AND(AH48=0,AH49=0),0,MIN(IF(AH48&lt;=0,0,IF(WEEKDAY(AH$6,1)=1,0,IF(WEEKDAY(AH$6,1)=7,0,MIN(8,AH49)*AH48))),MAX(0,40*MAX(1,AH48)-(AF50+AG50))))</f>
        <v>0</v>
      </c>
      <c r="AI50" s="63">
        <f>IF(AND(AI48=0,AI49=0),0,MIN(IF(AI48&lt;=0,0,IF(WEEKDAY(AI$6,1)=1,0,IF(WEEKDAY(AI$6,1)=7,0,MIN(8,AI49)*AI48))),MAX(0,40*MAX(1,AI48)-(AF50+AG50+AH50))))</f>
        <v>0</v>
      </c>
      <c r="AJ50" s="63">
        <f>IF(AND(AJ48=0,AJ49=0),0,MIN(IF(AJ48&lt;=0,0,IF(WEEKDAY(AJ$6,1)=1,0,IF(WEEKDAY(AJ$6,1)=7,0,MIN(8,AJ49)*AJ48))),MAX(0,40*MAX(1,AJ48)-(AF50+AG50+AH50+AI50))))</f>
        <v>0</v>
      </c>
      <c r="AK50" s="64">
        <f>IF(AND(AK48=0,AK49=0),0,MIN(IF(AK48&lt;=0,0,IF(WEEKDAY(AK$6,1)=1,0,IF(WEEKDAY(AK$6,1)=7,0,MIN(8,AK49)*AK48))),MAX(0,40*MAX(1,AK48)-(AF50+AG50+AH50+AI50+AJ50))))</f>
        <v>0</v>
      </c>
      <c r="AL50" s="64">
        <f>IF(AND(AL48=0,AL49=0),0,MIN(IF(AL48&lt;=0,0,IF(WEEKDAY(AL$6,1)=1,0,IF(WEEKDAY(AL$6,1)=7,0,MIN(8,AL49)*AL48))),MAX(0,40*MAX(1,AL48)-(AF50+AG50+AH50+AI50+AJ50+AK50))))</f>
        <v>0</v>
      </c>
      <c r="AM50" s="63">
        <f>IF(AND(AM48=0,AM49=0),0,MIN(IF(AM48&lt;=0,0,IF(WEEKDAY(AM$6,1)=1,0,IF(WEEKDAY(AM$6,1)=7,0,MIN(8,AM49)*AM48))),MAX(0,40*MAX(1,AM48)-(0))))</f>
        <v>0</v>
      </c>
      <c r="AN50" s="63">
        <f>IF(AND(AN48=0,AN49=0),0,MIN(IF(AN48&lt;=0,0,IF(WEEKDAY(AN$6,1)=1,0,IF(WEEKDAY(AN$6,1)=7,0,MIN(8,AN49)*AN48))),MAX(0,40*MAX(1,AN48)-(AM50))))</f>
        <v>0</v>
      </c>
      <c r="AO50" s="63">
        <f>IF(AND(AO48=0,AO49=0),0,MIN(IF(AO48&lt;=0,0,IF(WEEKDAY(AO$6,1)=1,0,IF(WEEKDAY(AO$6,1)=7,0,MIN(8,AO49)*AO48))),MAX(0,40*MAX(1,AO48)-(AM50+AN50))))</f>
        <v>0</v>
      </c>
      <c r="AP50" s="63">
        <f>IF(AND(AP48=0,AP49=0),0,MIN(IF(AP48&lt;=0,0,IF(WEEKDAY(AP$6,1)=1,0,IF(WEEKDAY(AP$6,1)=7,0,MIN(8,AP49)*AP48))),MAX(0,40*MAX(1,AP48)-(AM50+AN50+AO50))))</f>
        <v>0</v>
      </c>
      <c r="AQ50" s="63">
        <f>IF(AND(AQ48=0,AQ49=0),0,MIN(IF(AQ48&lt;=0,0,IF(WEEKDAY(AQ$6,1)=1,0,IF(WEEKDAY(AQ$6,1)=7,0,MIN(8,AQ49)*AQ48))),MAX(0,40*MAX(1,AQ48)-(AM50+AN50+AO50+AP50))))</f>
        <v>0</v>
      </c>
      <c r="AR50" s="64">
        <f>IF(AND(AR48=0,AR49=0),0,MIN(IF(AR48&lt;=0,0,IF(WEEKDAY(AR$6,1)=1,0,IF(WEEKDAY(AR$6,1)=7,0,MIN(8,AR49)*AR48))),MAX(0,40*MAX(1,AR48)-(AM50+AN50+AO50+AP50+AQ50))))</f>
        <v>0</v>
      </c>
      <c r="AS50" s="64">
        <f>IF(AND(AS48=0,AS49=0),0,MIN(IF(AS48&lt;=0,0,IF(WEEKDAY(AS$6,1)=1,0,IF(WEEKDAY(AS$6,1)=7,0,MIN(8,AS49)*AS48))),MAX(0,40*MAX(1,AS48)-(AM50+AN50+AO50+AP50+AQ50+AR50))))</f>
        <v>0</v>
      </c>
      <c r="AT50" s="63">
        <f>IF(AND(AT48=0,AT49=0),0,MIN(IF(AT48&lt;=0,0,IF(WEEKDAY(AT$6,1)=1,0,IF(WEEKDAY(AT$6,1)=7,0,MIN(8,AT49)*AT48))),MAX(0,40*MAX(1,AT48)-(0))))</f>
        <v>0</v>
      </c>
      <c r="AU50" s="63">
        <f>IF(AND(AU48=0,AU49=0),0,MIN(IF(AU48&lt;=0,0,IF(WEEKDAY(AU$6,1)=1,0,IF(WEEKDAY(AU$6,1)=7,0,MIN(8,AU49)*AU48))),MAX(0,40*MAX(1,AU48)-(AT50))))</f>
        <v>0</v>
      </c>
      <c r="AV50" s="63">
        <f>IF(AND(AV48=0,AV49=0),0,MIN(IF(AV48&lt;=0,0,IF(WEEKDAY(AV$6,1)=1,0,IF(WEEKDAY(AV$6,1)=7,0,MIN(8,AV49)*AV48))),MAX(0,40*MAX(1,AV48)-(AT50+AU50))))</f>
        <v>0</v>
      </c>
      <c r="AW50" s="63">
        <f>IF(AND(AW48=0,AW49=0),0,MIN(IF(AW48&lt;=0,0,IF(WEEKDAY(AW$6,1)=1,0,IF(WEEKDAY(AW$6,1)=7,0,MIN(8,AW49)*AW48))),MAX(0,40*MAX(1,AW48)-(AT50+AU50+AV50))))</f>
        <v>0</v>
      </c>
      <c r="AX50" s="63">
        <f>IF(AND(AX48=0,AX49=0),0,MIN(IF(AX48&lt;=0,0,IF(WEEKDAY(AX$6,1)=1,0,IF(WEEKDAY(AX$6,1)=7,0,MIN(8,AX49)*AX48))),MAX(0,40*MAX(1,AX48)-(AT50+AU50+AV50+AW50))))</f>
        <v>0</v>
      </c>
      <c r="AY50" s="64">
        <f>IF(AND(AY48=0,AY49=0),0,MIN(IF(AY48&lt;=0,0,IF(WEEKDAY(AY$6,1)=1,0,IF(WEEKDAY(AY$6,1)=7,0,MIN(8,AY49)*AY48))),MAX(0,40*MAX(1,AY48)-(AT50+AU50+AV50+AW50+AX50))))</f>
        <v>0</v>
      </c>
      <c r="AZ50" s="64">
        <f>IF(AND(AZ48=0,AZ49=0),0,MIN(IF(AZ48&lt;=0,0,IF(WEEKDAY(AZ$6,1)=1,0,IF(WEEKDAY(AZ$6,1)=7,0,MIN(8,AZ49)*AZ48))),MAX(0,40*MAX(1,AZ48)-(AT50+AU50+AV50+AW50+AX50+AY50))))</f>
        <v>0</v>
      </c>
      <c r="BA50" s="63">
        <f>IF(AND(BA48=0,BA49=0),0,MIN(IF(BA48&lt;=0,0,IF(WEEKDAY(BA$6,1)=1,0,IF(WEEKDAY(BA$6,1)=7,0,MIN(8,BA49)*BA48))),MAX(0,40*MAX(1,BA48)-(0))))</f>
        <v>0</v>
      </c>
      <c r="BB50" s="63">
        <f>IF(AND(BB48=0,BB49=0),0,MIN(IF(BB48&lt;=0,0,IF(WEEKDAY(BB$6,1)=1,0,IF(WEEKDAY(BB$6,1)=7,0,MIN(8,BB49)*BB48))),MAX(0,40*MAX(1,BB48)-(BA50))))</f>
        <v>0</v>
      </c>
      <c r="BC50" s="63">
        <f>IF(AND(BC48=0,BC49=0),0,MIN(IF(BC48&lt;=0,0,IF(WEEKDAY(BC$6,1)=1,0,IF(WEEKDAY(BC$6,1)=7,0,MIN(8,BC49)*BC48))),MAX(0,40*MAX(1,BC48)-(BA50+BB50))))</f>
        <v>0</v>
      </c>
      <c r="BD50" s="63">
        <f>IF(AND(BD48=0,BD49=0),0,MIN(IF(BD48&lt;=0,0,IF(WEEKDAY(BD$6,1)=1,0,IF(WEEKDAY(BD$6,1)=7,0,MIN(8,BD49)*BD48))),MAX(0,40*MAX(1,BD48)-(BA50+BB50+BC50))))</f>
        <v>0</v>
      </c>
      <c r="BE50" s="63">
        <f>IF(AND(BE48=0,BE49=0),0,MIN(IF(BE48&lt;=0,0,IF(WEEKDAY(BE$6,1)=1,0,IF(WEEKDAY(BE$6,1)=7,0,MIN(8,BE49)*BE48))),MAX(0,40*MAX(1,BE48)-(BA50+BB50+BC50+BD50))))</f>
        <v>0</v>
      </c>
      <c r="BF50" s="64">
        <f>IF(AND(BF48=0,BF49=0),0,MIN(IF(BF48&lt;=0,0,IF(WEEKDAY(BF$6,1)=1,0,IF(WEEKDAY(BF$6,1)=7,0,MIN(8,BF49)*BF48))),MAX(0,40*MAX(1,BF48)-(BA50+BB50+BC50+BD50+BE50))))</f>
        <v>0</v>
      </c>
      <c r="BG50" s="64">
        <f>IF(AND(BG48=0,BG49=0),0,MIN(IF(BG48&lt;=0,0,IF(WEEKDAY(BG$6,1)=1,0,IF(WEEKDAY(BG$6,1)=7,0,MIN(8,BG49)*BG48))),MAX(0,40*MAX(1,BG48)-(BA50+BB50+BC50+BD50+BE50+BF50))))</f>
        <v>0</v>
      </c>
      <c r="BH50" s="63">
        <f>IF(AND(BH48=1,BH49=11),8,MIN(IF(BH48&lt;=0,0,IF(WEEKDAY(BH$6,1)=1,0,IF(WEEKDAY(BH$6,1)=7,0,MIN(8,BH49)*BH48))),MAX(0,40*MAX(1,BH48)-(0))))</f>
        <v>8</v>
      </c>
      <c r="BI50" s="63">
        <f>IF(AND(BI48=1,BI49=11),8,MIN(IF(BI48&lt;=0,0,IF(WEEKDAY(BI$6,1)=1,0,IF(WEEKDAY(BI$6,1)=7,0,MIN(8,BI49)*BI48))),MAX(0,40*MAX(1,BI48)-(BH50))))</f>
        <v>8</v>
      </c>
      <c r="BJ50" s="63">
        <f>IF(AND(BJ48=1,BJ49=11),8,MIN(IF(BJ48&lt;=0,0,IF(WEEKDAY(BJ$6,1)=1,0,IF(WEEKDAY(BJ$6,1)=7,0,MIN(8,BJ49)*BJ48))),MAX(0,40*MAX(1,BJ48)-(BH50+BI50))))</f>
        <v>8</v>
      </c>
      <c r="BK50" s="63">
        <f>IF(AND(BK48=1,BK49=11),8,MIN(IF(BK48&lt;=0,0,IF(WEEKDAY(BK$6,1)=1,0,IF(WEEKDAY(BK$6,1)=7,0,MIN(8,BK49)*BK48))),MAX(0,40*MAX(1,BK48)-(BH50+BI50+BJ50))))</f>
        <v>8</v>
      </c>
      <c r="BL50" s="63">
        <f>IF(AND(BL48=1,BL49=11),8,MIN(IF(BL48&lt;=0,0,IF(WEEKDAY(BL$6,1)=1,0,IF(WEEKDAY(BL$6,1)=7,0,MIN(8,BL49)*BL48))),MAX(0,40*MAX(1,BL48)-(BH50+BI50+BJ50+BK50))))</f>
        <v>8</v>
      </c>
      <c r="BM50" s="64">
        <f>IF(AND(BM48=1,BM49=11),0,MIN(IF(BM48&lt;=0,0,IF(WEEKDAY(BM$6,1)=1,0,IF(WEEKDAY(BM$6,1)=7,0,MIN(8,BM49)*BM48))),MAX(0,40*MAX(1,BM48)-(BH50+BI50+BJ50+BK50+BL50))))</f>
        <v>0</v>
      </c>
      <c r="BN50" s="64">
        <f>IF(AND(BN48=1,BN49=11),0,MIN(IF(BN48&lt;=0,0,IF(WEEKDAY(BN$6,1)=1,0,IF(WEEKDAY(BN$6,1)=7,0,MIN(8,BN49)*BN48))),MAX(0,40*MAX(1,BN48)-(BH50+BI50+BJ50+BK50+BL50+BM50))))</f>
        <v>0</v>
      </c>
      <c r="BO50" s="63">
        <f>IF(AND(BO48=1,BO49=11),8,MIN(IF(BO48&lt;=0,0,IF(WEEKDAY(BO$6,1)=1,0,IF(WEEKDAY(BO$6,1)=7,0,MIN(8,BO49)*BO48))),MAX(0,40*MAX(1,BO48)-(0))))</f>
        <v>8</v>
      </c>
      <c r="BP50" s="63">
        <f>IF(AND(BP48=1,BP49=11),8,MIN(IF(BP48&lt;=0,0,IF(WEEKDAY(BP$6,1)=1,0,IF(WEEKDAY(BP$6,1)=7,0,MIN(8,BP49)*BP48))),MAX(0,40*MAX(1,BP48)-(BO50))))</f>
        <v>8</v>
      </c>
      <c r="BQ50" s="63">
        <f>IF(AND(BQ48=1,BQ49=11),8,MIN(IF(BQ48&lt;=0,0,IF(WEEKDAY(BQ$6,1)=1,0,IF(WEEKDAY(BQ$6,1)=7,0,MIN(8,BQ49)*BQ48))),MAX(0,40*MAX(1,BQ48)-(BO50+BP50))))</f>
        <v>8</v>
      </c>
      <c r="BR50" s="63">
        <f>IF(AND(BR48=1,BR49=11),8,MIN(IF(BR48&lt;=0,0,IF(WEEKDAY(BR$6,1)=1,0,IF(WEEKDAY(BR$6,1)=7,0,MIN(8,BR49)*BR48))),MAX(0,40*MAX(1,BR48)-(0))))</f>
        <v>8</v>
      </c>
      <c r="BS50" s="63">
        <f>IF(AND(BS48=1,BS49=11),8,MIN(IF(BS48&lt;=0,0,IF(WEEKDAY(BS$6,1)=1,0,IF(WEEKDAY(BS$6,1)=7,0,MIN(8,BS49)*BS48))),MAX(0,40*MAX(1,BS48)-(BR50))))</f>
        <v>8</v>
      </c>
      <c r="BT50" s="64">
        <f>IF(AND(BT48=1,BT49=11),0,MIN(IF(BT48&lt;=0,0,IF(WEEKDAY(BT$6,1)=1,0,IF(WEEKDAY(BT$6,1)=7,0,MIN(8,BT49)*BT48))),MAX(0,40*MAX(1,BT48)-(BR50+BS50))))</f>
        <v>0</v>
      </c>
      <c r="BU50" s="64">
        <f>IF(AND(BU48=1,BU49=11),0,MIN(IF(BU48&lt;=0,0,IF(WEEKDAY(BU$6,1)=1,0,IF(WEEKDAY(BU$6,1)=7,0,MIN(8,BU49)*BU48))),MAX(0,40*MAX(1,BU48)-(BR50+BS50+BT50))))</f>
        <v>0</v>
      </c>
      <c r="BV50" s="63">
        <f>IF(AND(BV48=1,BV49=11),8,MIN(IF(BV48&lt;=0,0,IF(WEEKDAY(BV$6,1)=1,0,IF(WEEKDAY(BV$6,1)=7,0,MIN(8,BV49)*BV48))),MAX(0,40*MAX(1,BV48)-(0))))</f>
        <v>8</v>
      </c>
      <c r="BW50" s="63">
        <f>IF(AND(BW48=1,BW49=11),8,MIN(IF(BW48&lt;=0,0,IF(WEEKDAY(BW$6,1)=1,0,IF(WEEKDAY(BW$6,1)=7,0,MIN(8,BW49)*BW48))),MAX(0,40*MAX(1,BW48)-(BV50))))</f>
        <v>8</v>
      </c>
      <c r="BX50" s="63">
        <f>IF(AND(BX48=1,BX49=11),8,MIN(IF(BX48&lt;=0,0,IF(WEEKDAY(BX$6,1)=1,0,IF(WEEKDAY(BX$6,1)=7,0,MIN(8,BX49)*BX48))),MAX(0,40*MAX(1,BX48)-(BV50+BW50))))</f>
        <v>8</v>
      </c>
      <c r="BY50" s="63">
        <f>IF(AND(BY48=1,BY49=11),8,MIN(IF(BY48&lt;=0,0,IF(WEEKDAY(BY$6,1)=1,0,IF(WEEKDAY(BY$6,1)=7,0,MIN(8,BY49)*BY48))),MAX(0,40*MAX(1,BY48)-(BV50+BW50+BX50))))</f>
        <v>8</v>
      </c>
      <c r="BZ50" s="63">
        <f>IF(AND(BZ48=1,BZ49=11),8,MIN(IF(BZ48&lt;=0,0,IF(WEEKDAY(BZ$6,1)=1,0,IF(WEEKDAY(BZ$6,1)=7,0,MIN(8,BZ49)*BZ48))),MAX(0,40*MAX(1,BZ48)-(BV50+BW50+BX50+BY50))))</f>
        <v>8</v>
      </c>
      <c r="CA50" s="64">
        <f>IF(AND(CA48=1,CA49=11),0,MIN(IF(CA48&lt;=0,0,IF(WEEKDAY(CA$6,1)=1,0,IF(WEEKDAY(CA$6,1)=7,0,MIN(8,CA49)*CA48))),MAX(0,40*MAX(1,CA48)-(BV50+BW50+BX50+BY50+BZ50))))</f>
        <v>0</v>
      </c>
      <c r="CB50" s="64">
        <f>IF(AND(CB48=0,CB49=0),0,MIN(IF(CB48&lt;=0,0,IF(WEEKDAY(CB$6,1)=1,0,IF(WEEKDAY(CB$6,1)=7,0,MIN(8,CB49)*CB48))),MAX(0,40*MAX(1,CB48)-(0))))</f>
        <v>0</v>
      </c>
      <c r="CC50" s="63">
        <f>IF(AND(CC48=1,CC49=11),8,MIN(IF(CC48&lt;=0,0,IF(WEEKDAY(CC$6,1)=1,0,IF(WEEKDAY(CC$6,1)=7,0,MIN(8,CC49)*CC48))),MAX(0,40*MAX(1,CC48)-(0))))</f>
        <v>8</v>
      </c>
      <c r="CD50" s="63">
        <f>IF(AND(CD48=1,CD49=11),8,MIN(IF(CD48&lt;=0,0,IF(WEEKDAY(CD$6,1)=1,0,IF(WEEKDAY(CD$6,1)=7,0,MIN(8,CD49)*CD48))),MAX(0,40*MAX(1,CD48)-(CC50))))</f>
        <v>8</v>
      </c>
      <c r="CE50" s="63">
        <f>IF(AND(CE48=1,CE49=11),8,MIN(IF(CE48&lt;=0,0,IF(WEEKDAY(CE$6,1)=1,0,IF(WEEKDAY(CE$6,1)=7,0,MIN(8,CE49)*CE48))),MAX(0,40*MAX(1,CE48)-(CC50+CD50))))</f>
        <v>8</v>
      </c>
      <c r="CF50" s="63">
        <f>IF(AND(CF48=1,CF49=11),8,MIN(IF(CF48&lt;=0,0,IF(WEEKDAY(CF$6,1)=1,0,IF(WEEKDAY(CF$6,1)=7,0,MIN(8,CF49)*CF48))),MAX(0,40*MAX(1,CF48)-(CC50+CD50+CE50))))</f>
        <v>8</v>
      </c>
      <c r="CG50" s="63">
        <f>IF(AND(CG48=1,CG49=11),8,MIN(IF(CG48&lt;=0,0,IF(WEEKDAY(CG$6,1)=1,0,IF(WEEKDAY(CG$6,1)=7,0,MIN(8,CG49)*CG48))),MAX(0,40*MAX(1,CG48)-(CC50+CD50+CE50+CF50))))</f>
        <v>8</v>
      </c>
      <c r="CH50" s="64">
        <f>IF(AND(CH48=1,CH49=11),0,MIN(IF(CH48&lt;=0,0,IF(WEEKDAY(CH$6,1)=1,0,IF(WEEKDAY(CH$6,1)=7,0,MIN(8,CH49)*CH48))),MAX(0,40*MAX(1,CH48)-(CC50+CD50+CE50+CF50+CG50))))</f>
        <v>0</v>
      </c>
      <c r="CI50" s="64">
        <f>IF(AND(CI48=1,CI49=11),0,MIN(IF(CI48&lt;=0,0,IF(WEEKDAY(CI$6,1)=1,0,IF(WEEKDAY(CI$6,1)=7,0,MIN(8,CI49)*CI48))),MAX(0,40*MAX(1,CI48)-(CC50+CD50+CE50+CF50+CG50+CH50))))</f>
        <v>0</v>
      </c>
      <c r="CJ50" s="63">
        <f>IF(AND(CJ48=1,CJ49=11),8,MIN(IF(CJ48&lt;=0,0,IF(WEEKDAY(CJ$6,1)=1,0,IF(WEEKDAY(CJ$6,1)=7,0,MIN(8,CJ49)*CJ48))),MAX(0,40*MAX(1,CJ48)-(0))))</f>
        <v>8</v>
      </c>
      <c r="CK50" s="63">
        <f>IF(AND(CK48=1,CK49=11),8,MIN(IF(CK48&lt;=0,0,IF(WEEKDAY(CK$6,1)=1,0,IF(WEEKDAY(CK$6,1)=7,0,MIN(8,CK49)*CK48))),MAX(0,40*MAX(1,CK48)-(CJ50))))</f>
        <v>8</v>
      </c>
      <c r="CL50" s="63">
        <f>IF(AND(CL48=1,CL49=11),8,MIN(IF(CL48&lt;=0,0,IF(WEEKDAY(CL$6,1)=1,0,IF(WEEKDAY(CL$6,1)=7,0,MIN(8,CL49)*CL48))),MAX(0,40*MAX(1,CL48)-(CJ50+CK50))))</f>
        <v>8</v>
      </c>
      <c r="CM50" s="63">
        <f>IF(AND(CM48=1,CM49=11),8,MIN(IF(CM48&lt;=0,0,IF(WEEKDAY(CM$6,1)=1,0,IF(WEEKDAY(CM$6,1)=7,0,MIN(8,CM49)*CM48))),MAX(0,40*MAX(1,CM48)-(CJ50+CK50+CL50))))</f>
        <v>8</v>
      </c>
      <c r="CN50" s="63">
        <f>IF(AND(CN48=1,CN49=11),8,MIN(IF(CN48&lt;=0,0,IF(WEEKDAY(CN$6,1)=1,0,IF(WEEKDAY(CN$6,1)=7,0,MIN(8,CN49)*CN48))),MAX(0,40*MAX(1,CN48)-(CJ50+CK50+CL50+CM50))))</f>
        <v>8</v>
      </c>
      <c r="CO50" s="64">
        <f>IF(AND(CO48=1,CO49=11),0,MIN(IF(CO48&lt;=0,0,IF(WEEKDAY(CO$6,1)=1,0,IF(WEEKDAY(CO$6,1)=7,0,MIN(8,CO49)*CO48))),MAX(0,40*MAX(1,CO48)-(CJ50+CK50+CL50+CM50+CN50))))</f>
        <v>0</v>
      </c>
      <c r="CP50" s="64">
        <f>IF(AND(CP48=0,CP49=0),0,MIN(IF(CP48&lt;=0,0,IF(WEEKDAY(CP$6,1)=1,0,IF(WEEKDAY(CP$6,1)=7,0,MIN(8,CP49)*CP48))),MAX(0,40*MAX(1,CP48)-(0))))</f>
        <v>0</v>
      </c>
      <c r="CQ50" s="63">
        <f>IF(AND(CQ48=1,CQ49=11),8,MIN(IF(CQ48&lt;=0,0,IF(WEEKDAY(CQ$6,1)=1,0,IF(WEEKDAY(CQ$6,1)=7,0,MIN(8,CQ49)*CQ48))),MAX(0,40*MAX(1,CQ48)-(0))))</f>
        <v>8</v>
      </c>
      <c r="CR50" s="63">
        <f>IF(AND(CR48=1,CR49=11),8,MIN(IF(CR48&lt;=0,0,IF(WEEKDAY(CR$6,1)=1,0,IF(WEEKDAY(CR$6,1)=7,0,MIN(8,CR49)*CR48))),MAX(0,40*MAX(1,CR48)-(CQ50))))</f>
        <v>8</v>
      </c>
      <c r="CS50" s="63">
        <f>IF(AND(CS48=1,CS49=11),8,MIN(IF(CS48&lt;=0,0,IF(WEEKDAY(CS$6,1)=1,0,IF(WEEKDAY(CS$6,1)=7,0,MIN(8,CS49)*CS48))),MAX(0,40*MAX(1,CS48)-(CQ50+CR50))))</f>
        <v>8</v>
      </c>
      <c r="CT50" s="63">
        <f>IF(AND(CT48=1,CT49=11),8,MIN(IF(CT48&lt;=0,0,IF(WEEKDAY(CT$6,1)=1,0,IF(WEEKDAY(CT$6,1)=7,0,MIN(8,CT49)*CT48))),MAX(0,40*MAX(1,CT48)-(CQ50+CR50+CS50))))</f>
        <v>8</v>
      </c>
      <c r="CU50" s="63">
        <f>IF(AND(CU48=1,CU49=11),8,MIN(IF(CU48&lt;=0,0,IF(WEEKDAY(CU$6,1)=1,0,IF(WEEKDAY(CU$6,1)=7,0,MIN(8,CU49)*CU48))),MAX(0,40*MAX(1,CU48)-(CQ50+CR50+CS50+CT50))))</f>
        <v>8</v>
      </c>
      <c r="CV50" s="64">
        <f>IF(AND(CV48=1,CV49=11),0,MIN(IF(CV48&lt;=0,0,IF(WEEKDAY(CV$6,1)=1,0,IF(WEEKDAY(CV$6,1)=7,0,MIN(8,CV49)*CV48))),MAX(0,40*MAX(1,CV48)-(CQ50+CR50+CS50+CT50+CU50))))</f>
        <v>0</v>
      </c>
      <c r="CW50" s="64">
        <f>IF(AND(CW48=1,CW49=11),0,MIN(IF(CW48&lt;=0,0,IF(WEEKDAY(CW$6,1)=1,0,IF(WEEKDAY(CW$6,1)=7,0,MIN(8,CW49)*CW48))),MAX(0,40*MAX(1,CW48)-(CQ50+CR50+CS50+CT50+CU50+CV50))))</f>
        <v>0</v>
      </c>
      <c r="CX50" s="63">
        <f>IF(AND(CX48=1,CX49=11),8,MIN(IF(CX48&lt;=0,0,IF(WEEKDAY(CX$6,1)=1,0,IF(WEEKDAY(CX$6,1)=7,0,MIN(8,CX49)*CX48))),MAX(0,40*MAX(1,CX48)-(0))))</f>
        <v>8</v>
      </c>
      <c r="CY50" s="63">
        <f>IF(AND(CY48=1,CY49=11),8,MIN(IF(CY48&lt;=0,0,IF(WEEKDAY(CY$6,1)=1,0,IF(WEEKDAY(CY$6,1)=7,0,MIN(8,CY49)*CY48))),MAX(0,40*MAX(1,CY48)-(CX50))))</f>
        <v>8</v>
      </c>
      <c r="CZ50" s="63">
        <f>IF(AND(CZ48=1,CZ49=11),8,MIN(IF(CZ48&lt;=0,0,IF(WEEKDAY(CZ$6,1)=1,0,IF(WEEKDAY(CZ$6,1)=7,0,MIN(8,CZ49)*CZ48))),MAX(0,40*MAX(1,CZ48)-(CX50+CY50))))</f>
        <v>8</v>
      </c>
      <c r="DA50" s="63">
        <f>IF(AND(DA48=1,DA49=11),8,MIN(IF(DA48&lt;=0,0,IF(WEEKDAY(DA$6,1)=1,0,IF(WEEKDAY(DA$6,1)=7,0,MIN(8,DA49)*DA48))),MAX(0,40*MAX(1,DA48)-(CX50+CY50+CZ50))))</f>
        <v>8</v>
      </c>
      <c r="DB50" s="63">
        <f>IF(AND(DB48=1,DB49=11),8,MIN(IF(DB48&lt;=0,0,IF(WEEKDAY(DB$6,1)=1,0,IF(WEEKDAY(DB$6,1)=7,0,MIN(8,DB49)*DB48))),MAX(0,40*MAX(1,DB48)-(CX50+CY50+CZ50+DA50))))</f>
        <v>8</v>
      </c>
      <c r="DC50" s="64">
        <f>IF(AND(DC48=1,DC49=11),0,MIN(IF(DC48&lt;=0,0,IF(WEEKDAY(DC$6,1)=1,0,IF(WEEKDAY(DC$6,1)=7,0,MIN(8,DC49)*DC48))),MAX(0,40*MAX(1,DC48)-(CX50+CY50+CZ50+DA50+DB50))))</f>
        <v>0</v>
      </c>
      <c r="DD50" s="64">
        <f>IF(AND(DD48=1,DD49=11),0,MIN(IF(DD48&lt;=0,0,IF(WEEKDAY(DD$6,1)=1,0,IF(WEEKDAY(DD$6,1)=7,0,MIN(8,DD49)*DD48))),MAX(0,40*MAX(1,DD48)-(0))))</f>
        <v>0</v>
      </c>
      <c r="DE50" s="63">
        <f>IF(AND(DE48=1,DE49=11),8,MIN(IF(DE48&lt;=0,0,IF(WEEKDAY(DE$6,1)=1,0,IF(WEEKDAY(DE$6,1)=7,0,MIN(8,DE49)*DE48))),MAX(0,40*MAX(1,DE48)-(0))))</f>
        <v>8</v>
      </c>
      <c r="DF50" s="63">
        <f>IF(AND(DF48=1,DF49=11),8,MIN(IF(DF48&lt;=0,0,IF(WEEKDAY(DF$6,1)=1,0,IF(WEEKDAY(DF$6,1)=7,0,MIN(8,DF49)*DF48))),MAX(0,40*MAX(1,DF48)-(DE50))))</f>
        <v>8</v>
      </c>
      <c r="DG50" s="63">
        <f>IF(AND(DG48=1,DG49=11),8,MIN(IF(DG48&lt;=0,0,IF(WEEKDAY(DG$6,1)=1,0,IF(WEEKDAY(DG$6,1)=7,0,MIN(8,DG49)*DG48))),MAX(0,40*MAX(1,DG48)-(DE50+DF50))))</f>
        <v>8</v>
      </c>
      <c r="DH50" s="63">
        <f>IF(AND(DH48=1,DH49=11),8,MIN(IF(DH48&lt;=0,0,IF(WEEKDAY(DH$6,1)=1,0,IF(WEEKDAY(DH$6,1)=7,0,MIN(8,DH49)*DH48))),MAX(0,40*MAX(1,DH48)-(DE50+DF50+DG50))))</f>
        <v>8</v>
      </c>
      <c r="DI50" s="63">
        <f>IF(AND(DI48=1,DI49=11),8,MIN(IF(DI48&lt;=0,0,IF(WEEKDAY(DI$6,1)=1,0,IF(WEEKDAY(DI$6,1)=7,0,MIN(8,DI49)*DI48))),MAX(0,40*MAX(1,DI48)-(DE50+DF50+DG50+DH50))))</f>
        <v>8</v>
      </c>
      <c r="DJ50" s="64">
        <f>IF(AND(DJ48=1,DJ49=11),0,MIN(IF(DJ48&lt;=0,0,IF(WEEKDAY(DJ$6,1)=1,0,IF(WEEKDAY(DJ$6,1)=7,0,MIN(8,DJ49)*DJ48))),MAX(0,40*MAX(1,DJ48)-(DE50+DF50+DG50+DH50+DI50))))</f>
        <v>0</v>
      </c>
      <c r="DK50" s="64">
        <f>IF(AND(DK48=1,DK49=11),0,MIN(IF(DK48&lt;=0,0,IF(WEEKDAY(DK$6,1)=1,0,IF(WEEKDAY(DK$6,1)=7,0,MIN(8,DK49)*DK48))),MAX(0,40*MAX(1,DK48)-(DE50+DF50+DG50+DH50+DI50+DJ50))))</f>
        <v>0</v>
      </c>
      <c r="DL50" s="63">
        <f>IF(AND(DL48=1,DL49=11),8,MIN(IF(DL48&lt;=0,0,IF(WEEKDAY(DL$6,1)=1,0,IF(WEEKDAY(DL$6,1)=7,0,MIN(8,DL49)*DL48))),MAX(0,40*MAX(1,DL48)-(0))))</f>
        <v>8</v>
      </c>
      <c r="DM50" s="63">
        <f>IF(AND(DM48=1,DM49=11),8,MIN(IF(DM48&lt;=0,0,IF(WEEKDAY(DM$6,1)=1,0,IF(WEEKDAY(DM$6,1)=7,0,MIN(8,DM49)*DM48))),MAX(0,40*MAX(1,DM48)-(DL50))))</f>
        <v>8</v>
      </c>
      <c r="DN50" s="63">
        <f>IF(AND(DN48=1,DN49=11),8,MIN(IF(DN48&lt;=0,0,IF(WEEKDAY(DN$6,1)=1,0,IF(WEEKDAY(DN$6,1)=7,0,MIN(8,DN49)*DN48))),MAX(0,40*MAX(1,DN48)-(DL50+DM50))))</f>
        <v>8</v>
      </c>
      <c r="DO50" s="63">
        <f>IF(AND(DO48=1,DO49=11),8,MIN(IF(DO48&lt;=0,0,IF(WEEKDAY(DO$6,1)=1,0,IF(WEEKDAY(DO$6,1)=7,0,MIN(8,DO49)*DO48))),MAX(0,40*MAX(1,DO48)-(DL50+DM50+DN50))))</f>
        <v>8</v>
      </c>
      <c r="DP50" s="63">
        <f>IF(AND(DP48=1,DP49=11),8,MIN(IF(DP48&lt;=0,0,IF(WEEKDAY(DP$6,1)=1,0,IF(WEEKDAY(DP$6,1)=7,0,MIN(8,DP49)*DP48))),MAX(0,40*MAX(1,DP48)-(DL50+DM50+DN50+DO50))))</f>
        <v>8</v>
      </c>
      <c r="DQ50" s="64">
        <f>IF(AND(DQ48=1,DQ49=11),0,MIN(IF(DQ48&lt;=0,0,IF(WEEKDAY(DQ$6,1)=1,0,IF(WEEKDAY(DQ$6,1)=7,0,MIN(8,DQ49)*DQ48))),MAX(0,40*MAX(1,DQ48)-(DL50+DM50+DN50+DO50+DP50))))</f>
        <v>0</v>
      </c>
      <c r="DR50" s="64">
        <f>IF(AND(DR48=1,DR49=11),0,MIN(IF(DR48&lt;=0,0,IF(WEEKDAY(DR$6,1)=1,0,IF(WEEKDAY(DR$6,1)=7,0,MIN(8,DR49)*DR48))),MAX(0,40*MAX(1,DR48)-(DL50+DM50+DN50+DO50+DP50+DQ50))))</f>
        <v>0</v>
      </c>
      <c r="DS50" s="63">
        <f>IF(AND(DS48=1,DS49=11),8,MIN(IF(DS48&lt;=0,0,IF(WEEKDAY(DS$6,1)=1,0,IF(WEEKDAY(DS$6,1)=7,0,MIN(8,DS49)*DS48))),MAX(0,40*MAX(1,DS48)-(0))))</f>
        <v>8</v>
      </c>
      <c r="DT50" s="63">
        <f>IF(AND(DT48=0,DT49=0),0,MIN(IF(DT48&lt;=0,0,IF(WEEKDAY(DT$6,1)=1,0,IF(WEEKDAY(DT$6,1)=7,0,MIN(8,DT49)*DT48))),MAX(0,40*MAX(1,DT48)-(0))))</f>
        <v>0</v>
      </c>
      <c r="DU50" s="63">
        <f>IF(AND(DU48=0,DU49=0),0,MIN(IF(DU48&lt;=0,0,IF(WEEKDAY(DU$6,1)=1,0,IF(WEEKDAY(DU$6,1)=7,0,MIN(8,DU49)*DU48))),MAX(0,40*MAX(1,DU48)-(DT50))))</f>
        <v>0</v>
      </c>
      <c r="DV50" s="63">
        <f>IF(AND(DV48=0,DV49=0),0,MIN(IF(DV48&lt;=0,0,IF(WEEKDAY(DV$6,1)=1,0,IF(WEEKDAY(DV$6,1)=7,0,MIN(8,DV49)*DV48))),MAX(0,40*MAX(1,DV48)-(DT50+DU50))))</f>
        <v>0</v>
      </c>
      <c r="DW50" s="63">
        <f>IF(AND(DW48=0,DW49=0),0,MIN(IF(DW48&lt;=0,0,IF(WEEKDAY(DW$6,1)=1,0,IF(WEEKDAY(DW$6,1)=7,0,MIN(8,DW49)*DW48))),MAX(0,40*MAX(1,DW48)-(DT50+DU50+DV50))))</f>
        <v>0</v>
      </c>
      <c r="DX50" s="64">
        <f>IF(AND(DX48=0,DX49=0),0,MIN(IF(DX48&lt;=0,0,IF(WEEKDAY(DX$6,1)=1,0,IF(WEEKDAY(DX$6,1)=7,0,MIN(8,DX49)*DX48))),MAX(0,40*MAX(1,DX48)-(DT50+DU50+DV50+DW50))))</f>
        <v>0</v>
      </c>
      <c r="DY50" s="64">
        <f>IF(AND(DY48=0,DY49=0),0,MIN(IF(DY48&lt;=0,0,IF(WEEKDAY(DY$6,1)=1,0,IF(WEEKDAY(DY$6,1)=7,0,MIN(8,DY49)*DY48))),MAX(0,40*MAX(1,DY48)-(DT50+DU50+DV50+DW50+DX50))))</f>
        <v>0</v>
      </c>
      <c r="DZ50" s="63">
        <f>IF(AND(DZ48=0,DZ49=0),0,MIN(IF(DZ48&lt;=0,0,IF(WEEKDAY(DZ$6,1)=1,0,IF(WEEKDAY(DZ$6,1)=7,0,MIN(8,DZ49)*DZ48))),MAX(0,40*MAX(1,DZ48)-(0))))</f>
        <v>0</v>
      </c>
      <c r="EA50" s="63">
        <f>IF(AND(EA48=0,EA49=0),0,MIN(IF(EA48&lt;=0,0,IF(WEEKDAY(EA$6,1)=1,0,IF(WEEKDAY(EA$6,1)=7,0,MIN(8,EA49)*EA48))),MAX(0,40*MAX(1,EA48)-(DZ50))))</f>
        <v>0</v>
      </c>
      <c r="EB50" s="63">
        <f>IF(AND(EB48=0,EB49=0),0,MIN(IF(EB48&lt;=0,0,IF(WEEKDAY(EB$6,1)=1,0,IF(WEEKDAY(EB$6,1)=7,0,MIN(8,EB49)*EB48))),MAX(0,40*MAX(1,EB48)-(DZ50+EA50))))</f>
        <v>0</v>
      </c>
      <c r="EC50" s="63">
        <f>IF(AND(EC48=0,EC49=0),0,MIN(IF(EC48&lt;=0,0,IF(WEEKDAY(EC$6,1)=1,0,IF(WEEKDAY(EC$6,1)=7,0,MIN(8,EC49)*EC48))),MAX(0,40*MAX(1,EC48)-(DZ50+EA50+EB50))))</f>
        <v>0</v>
      </c>
      <c r="ED50" s="63">
        <f>IF(AND(ED48=0,ED49=0),0,MIN(IF(ED48&lt;=0,0,IF(WEEKDAY(ED$6,1)=1,0,IF(WEEKDAY(ED$6,1)=7,0,MIN(8,ED49)*ED48))),MAX(0,40*MAX(1,ED48)-(DZ50+EA50+EB50+EC50))))</f>
        <v>0</v>
      </c>
      <c r="EE50" s="64">
        <f>IF(AND(EE48=0,EE49=0),0,MIN(IF(EE48&lt;=0,0,IF(WEEKDAY(EE$6,1)=1,0,IF(WEEKDAY(EE$6,1)=7,0,MIN(8,EE49)*EE48))),MAX(0,40*MAX(1,EE48)-(DZ50+EA50+EB50+EC50+ED50))))</f>
        <v>0</v>
      </c>
      <c r="EF50" s="64">
        <f>IF(AND(EF48=0,EF49=0),0,MIN(IF(EF48&lt;=0,0,IF(WEEKDAY(EF$6,1)=1,0,IF(WEEKDAY(EF$6,1)=7,0,MIN(8,EF49)*EF48))),MAX(0,40*MAX(1,EF48)-(DZ50+EA50+EB50+EC50+ED50+EE50))))</f>
        <v>0</v>
      </c>
      <c r="EG50" s="63">
        <f>IF(AND(EG48=0,EG49=0),0,MIN(IF(EG48&lt;=0,0,IF(WEEKDAY(EG$6,1)=1,0,IF(WEEKDAY(EG$6,1)=7,0,MIN(8,EG49)*EG48))),MAX(0,40*MAX(1,EG48)-(0))))</f>
        <v>0</v>
      </c>
      <c r="EH50" s="63">
        <f>IF(AND(EH48=0,EH49=0),0,MIN(IF(EH48&lt;=0,0,IF(WEEKDAY(EH$6,1)=1,0,IF(WEEKDAY(EH$6,1)=7,0,MIN(8,EH49)*EH48))),MAX(0,40*MAX(1,EH48)-(EG50))))</f>
        <v>0</v>
      </c>
      <c r="EI50" s="63">
        <f>IF(AND(EI48=0,EI49=0),0,MIN(IF(EI48&lt;=0,0,IF(WEEKDAY(EI$6,1)=1,0,IF(WEEKDAY(EI$6,1)=7,0,MIN(8,EI49)*EI48))),MAX(0,40*MAX(1,EI48)-(EG50+EH50))))</f>
        <v>0</v>
      </c>
      <c r="EJ50" s="63">
        <f>IF(AND(EJ48=0,EJ49=0),0,MIN(IF(EJ48&lt;=0,0,IF(WEEKDAY(EJ$6,1)=1,0,IF(WEEKDAY(EJ$6,1)=7,0,MIN(8,EJ49)*EJ48))),MAX(0,40*MAX(1,EJ48)-(EG50+EH50+EI50))))</f>
        <v>0</v>
      </c>
      <c r="EK50" s="65">
        <f>IF(AND(EK48=0,EK49=0),0,MIN(IF(EK48&lt;=0,0,IF(WEEKDAY(EK$6,1)=1,0,IF(WEEKDAY(EK$6,1)=7,0,MIN(8,EK49)*EK48))),MAX(0,40*MAX(1,EK48)-(EG50+EH50+EI50+EJ50))))</f>
        <v>0</v>
      </c>
      <c r="OU50" s="28" t="s">
        <v>127</v>
      </c>
    </row>
    <row r="51" ht="16" customHeight="1" spans="1:411" x14ac:dyDescent="0.25">
      <c r="A51" s="74"/>
      <c r="B51" s="79" t="s">
        <v>111</v>
      </c>
      <c r="C51" s="66">
        <f>G47*N(D51)</f>
        <v>36208.86</v>
      </c>
      <c r="D51" s="66">
        <f>IF(TRIM(IF(TRIM(B51)&lt;&gt;"",B51,B47))="","No rate",IFERROR(INDEX('Rate Tables'!D$7:D$158,MATCH(IF(TRIM(B51)&lt;&gt;"",B51,B47),'Rate Tables'!A$7:A$158,0)),"No rate"))</f>
        <v>152.78</v>
      </c>
      <c r="E51" s="55" t="s">
        <v>63</v>
      </c>
      <c r="F51" s="49"/>
      <c r="G51" s="49"/>
      <c r="H51" s="49"/>
      <c r="I51" s="49"/>
      <c r="J51" s="50"/>
      <c r="K51" s="62">
        <f>IF(AND(K48=0,K49=0),0,IF(K48&lt;=0,0,IF(WEEKDAY(K$6,1)=1,0,IF(WEEKDAY(K$6,1)=7,K48*K49,MAX(0,K49-8)*K48)))+((IF(K48&lt;=0,0,IF(WEEKDAY(K$6,1)=1,0,IF(WEEKDAY(K$6,1)=7,0,MIN(8,K49)*K48))))-MIN(IF(K48&lt;=0,0,IF(WEEKDAY(K$6,1)=1,0,IF(WEEKDAY(K$6,1)=7,0,MIN(8,K49)*K48))),MAX(0,40*MAX(1,K48)-(0)))))</f>
        <v>0</v>
      </c>
      <c r="L51" s="63">
        <f>IF(AND(L48=0,L49=0),0,IF(L48&lt;=0,0,IF(WEEKDAY(L$6,1)=1,0,IF(WEEKDAY(L$6,1)=7,L48*L49,MAX(0,L49-8)*L48)))+((IF(L48&lt;=0,0,IF(WEEKDAY(L$6,1)=1,0,IF(WEEKDAY(L$6,1)=7,0,MIN(8,L49)*L48))))-MIN(IF(L48&lt;=0,0,IF(WEEKDAY(L$6,1)=1,0,IF(WEEKDAY(L$6,1)=7,0,MIN(8,L49)*L48))),MAX(0,40*MAX(1,L48)-(K50)))))</f>
        <v>0</v>
      </c>
      <c r="M51" s="63">
        <f>IF(AND(M48=0,M49=0),0,IF(M48&lt;=0,0,IF(WEEKDAY(M$6,1)=1,0,IF(WEEKDAY(M$6,1)=7,M48*M49,MAX(0,M49-8)*M48)))+((IF(M48&lt;=0,0,IF(WEEKDAY(M$6,1)=1,0,IF(WEEKDAY(M$6,1)=7,0,MIN(8,M49)*M48))))-MIN(IF(M48&lt;=0,0,IF(WEEKDAY(M$6,1)=1,0,IF(WEEKDAY(M$6,1)=7,0,MIN(8,M49)*M48))),MAX(0,40*MAX(1,M48)-(K50+L50)))))</f>
        <v>0</v>
      </c>
      <c r="N51" s="63">
        <f>IF(AND(N48=0,N49=0),0,IF(N48&lt;=0,0,IF(WEEKDAY(N$6,1)=1,0,IF(WEEKDAY(N$6,1)=7,N48*N49,MAX(0,N49-8)*N48)))+((IF(N48&lt;=0,0,IF(WEEKDAY(N$6,1)=1,0,IF(WEEKDAY(N$6,1)=7,0,MIN(8,N49)*N48))))-MIN(IF(N48&lt;=0,0,IF(WEEKDAY(N$6,1)=1,0,IF(WEEKDAY(N$6,1)=7,0,MIN(8,N49)*N48))),MAX(0,40*MAX(1,N48)-(K50+L50+M50)))))</f>
        <v>0</v>
      </c>
      <c r="O51" s="63">
        <f>IF(AND(O48=0,O49=0),0,IF(O48&lt;=0,0,IF(WEEKDAY(O$6,1)=1,0,IF(WEEKDAY(O$6,1)=7,O48*O49,MAX(0,O49-8)*O48)))+((IF(O48&lt;=0,0,IF(WEEKDAY(O$6,1)=1,0,IF(WEEKDAY(O$6,1)=7,0,MIN(8,O49)*O48))))-MIN(IF(O48&lt;=0,0,IF(WEEKDAY(O$6,1)=1,0,IF(WEEKDAY(O$6,1)=7,0,MIN(8,O49)*O48))),MAX(0,40*MAX(1,O48)-(K50+L50+M50+N50)))))</f>
        <v>0</v>
      </c>
      <c r="P51" s="64">
        <f>IF(AND(P48=0,P49=0),0,IF(P48&lt;=0,0,IF(WEEKDAY(P$6,1)=1,0,IF(WEEKDAY(P$6,1)=7,P48*P49,MAX(0,P49-8)*P48)))+((IF(P48&lt;=0,0,IF(WEEKDAY(P$6,1)=1,0,IF(WEEKDAY(P$6,1)=7,0,MIN(8,P49)*P48))))-MIN(IF(P48&lt;=0,0,IF(WEEKDAY(P$6,1)=1,0,IF(WEEKDAY(P$6,1)=7,0,MIN(8,P49)*P48))),MAX(0,40*MAX(1,P48)-(K50+L50+M50+N50+O50)))))</f>
        <v>0</v>
      </c>
      <c r="Q51" s="64">
        <f>IF(AND(Q48=0,Q49=0),0,IF(Q48&lt;=0,0,IF(WEEKDAY(Q$6,1)=1,0,IF(WEEKDAY(Q$6,1)=7,Q48*Q49,MAX(0,Q49-8)*Q48)))+((IF(Q48&lt;=0,0,IF(WEEKDAY(Q$6,1)=1,0,IF(WEEKDAY(Q$6,1)=7,0,MIN(8,Q49)*Q48))))-MIN(IF(Q48&lt;=0,0,IF(WEEKDAY(Q$6,1)=1,0,IF(WEEKDAY(Q$6,1)=7,0,MIN(8,Q49)*Q48))),MAX(0,40*MAX(1,Q48)-(K50+L50+M50+N50+O50+P50)))))</f>
        <v>0</v>
      </c>
      <c r="R51" s="63">
        <f>IF(AND(R48=0,R49=0),0,IF(R48&lt;=0,0,IF(WEEKDAY(R$6,1)=1,0,IF(WEEKDAY(R$6,1)=7,R48*R49,MAX(0,R49-8)*R48)))+((IF(R48&lt;=0,0,IF(WEEKDAY(R$6,1)=1,0,IF(WEEKDAY(R$6,1)=7,0,MIN(8,R49)*R48))))-MIN(IF(R48&lt;=0,0,IF(WEEKDAY(R$6,1)=1,0,IF(WEEKDAY(R$6,1)=7,0,MIN(8,R49)*R48))),MAX(0,40*MAX(1,R48)-(0)))))</f>
        <v>0</v>
      </c>
      <c r="S51" s="63">
        <f>IF(AND(S48=0,S49=0),0,IF(S48&lt;=0,0,IF(WEEKDAY(S$6,1)=1,0,IF(WEEKDAY(S$6,1)=7,S48*S49,MAX(0,S49-8)*S48)))+((IF(S48&lt;=0,0,IF(WEEKDAY(S$6,1)=1,0,IF(WEEKDAY(S$6,1)=7,0,MIN(8,S49)*S48))))-MIN(IF(S48&lt;=0,0,IF(WEEKDAY(S$6,1)=1,0,IF(WEEKDAY(S$6,1)=7,0,MIN(8,S49)*S48))),MAX(0,40*MAX(1,S48)-(R50)))))</f>
        <v>0</v>
      </c>
      <c r="T51" s="63">
        <f>IF(AND(T48=0,T49=0),0,IF(T48&lt;=0,0,IF(WEEKDAY(T$6,1)=1,0,IF(WEEKDAY(T$6,1)=7,T48*T49,MAX(0,T49-8)*T48)))+((IF(T48&lt;=0,0,IF(WEEKDAY(T$6,1)=1,0,IF(WEEKDAY(T$6,1)=7,0,MIN(8,T49)*T48))))-MIN(IF(T48&lt;=0,0,IF(WEEKDAY(T$6,1)=1,0,IF(WEEKDAY(T$6,1)=7,0,MIN(8,T49)*T48))),MAX(0,40*MAX(1,T48)-(R50+S50)))))</f>
        <v>0</v>
      </c>
      <c r="U51" s="63">
        <f>IF(AND(U48=0,U49=0),0,IF(U48&lt;=0,0,IF(WEEKDAY(U$6,1)=1,0,IF(WEEKDAY(U$6,1)=7,U48*U49,MAX(0,U49-8)*U48)))+((IF(U48&lt;=0,0,IF(WEEKDAY(U$6,1)=1,0,IF(WEEKDAY(U$6,1)=7,0,MIN(8,U49)*U48))))-MIN(IF(U48&lt;=0,0,IF(WEEKDAY(U$6,1)=1,0,IF(WEEKDAY(U$6,1)=7,0,MIN(8,U49)*U48))),MAX(0,40*MAX(1,U48)-(R50+S50+T50)))))</f>
        <v>0</v>
      </c>
      <c r="V51" s="63">
        <f>IF(AND(V48=0,V49=0),0,IF(V48&lt;=0,0,IF(WEEKDAY(V$6,1)=1,0,IF(WEEKDAY(V$6,1)=7,V48*V49,MAX(0,V49-8)*V48)))+((IF(V48&lt;=0,0,IF(WEEKDAY(V$6,1)=1,0,IF(WEEKDAY(V$6,1)=7,0,MIN(8,V49)*V48))))-MIN(IF(V48&lt;=0,0,IF(WEEKDAY(V$6,1)=1,0,IF(WEEKDAY(V$6,1)=7,0,MIN(8,V49)*V48))),MAX(0,40*MAX(1,V48)-(R50+S50+T50+U50)))))</f>
        <v>0</v>
      </c>
      <c r="W51" s="64">
        <f>IF(AND(W48=0,W49=0),0,IF(W48&lt;=0,0,IF(WEEKDAY(W$6,1)=1,0,IF(WEEKDAY(W$6,1)=7,W48*W49,MAX(0,W49-8)*W48)))+((IF(W48&lt;=0,0,IF(WEEKDAY(W$6,1)=1,0,IF(WEEKDAY(W$6,1)=7,0,MIN(8,W49)*W48))))-MIN(IF(W48&lt;=0,0,IF(WEEKDAY(W$6,1)=1,0,IF(WEEKDAY(W$6,1)=7,0,MIN(8,W49)*W48))),MAX(0,40*MAX(1,W48)-(R50+S50+T50+U50+V50)))))</f>
        <v>0</v>
      </c>
      <c r="X51" s="64">
        <f>IF(AND(X48=0,X49=0),0,IF(X48&lt;=0,0,IF(WEEKDAY(X$6,1)=1,0,IF(WEEKDAY(X$6,1)=7,X48*X49,MAX(0,X49-8)*X48)))+((IF(X48&lt;=0,0,IF(WEEKDAY(X$6,1)=1,0,IF(WEEKDAY(X$6,1)=7,0,MIN(8,X49)*X48))))-MIN(IF(X48&lt;=0,0,IF(WEEKDAY(X$6,1)=1,0,IF(WEEKDAY(X$6,1)=7,0,MIN(8,X49)*X48))),MAX(0,40*MAX(1,X48)-(R50+S50+T50+U50+V50+W50)))))</f>
        <v>0</v>
      </c>
      <c r="Y51" s="63">
        <f>IF(AND(Y48=0,Y49=0),0,IF(Y48&lt;=0,0,IF(WEEKDAY(Y$6,1)=1,0,IF(WEEKDAY(Y$6,1)=7,Y48*Y49,MAX(0,Y49-8)*Y48)))+((IF(Y48&lt;=0,0,IF(WEEKDAY(Y$6,1)=1,0,IF(WEEKDAY(Y$6,1)=7,0,MIN(8,Y49)*Y48))))-MIN(IF(Y48&lt;=0,0,IF(WEEKDAY(Y$6,1)=1,0,IF(WEEKDAY(Y$6,1)=7,0,MIN(8,Y49)*Y48))),MAX(0,40*MAX(1,Y48)-(0)))))</f>
        <v>0</v>
      </c>
      <c r="Z51" s="63">
        <f>IF(AND(Z48=0,Z49=0),0,IF(Z48&lt;=0,0,IF(WEEKDAY(Z$6,1)=1,0,IF(WEEKDAY(Z$6,1)=7,Z48*Z49,MAX(0,Z49-8)*Z48)))+((IF(Z48&lt;=0,0,IF(WEEKDAY(Z$6,1)=1,0,IF(WEEKDAY(Z$6,1)=7,0,MIN(8,Z49)*Z48))))-MIN(IF(Z48&lt;=0,0,IF(WEEKDAY(Z$6,1)=1,0,IF(WEEKDAY(Z$6,1)=7,0,MIN(8,Z49)*Z48))),MAX(0,40*MAX(1,Z48)-(Y50)))))</f>
        <v>0</v>
      </c>
      <c r="AA51" s="63">
        <f>IF(AND(AA48=0,AA49=0),0,IF(AA48&lt;=0,0,IF(WEEKDAY(AA$6,1)=1,0,IF(WEEKDAY(AA$6,1)=7,AA48*AA49,MAX(0,AA49-8)*AA48)))+((IF(AA48&lt;=0,0,IF(WEEKDAY(AA$6,1)=1,0,IF(WEEKDAY(AA$6,1)=7,0,MIN(8,AA49)*AA48))))-MIN(IF(AA48&lt;=0,0,IF(WEEKDAY(AA$6,1)=1,0,IF(WEEKDAY(AA$6,1)=7,0,MIN(8,AA49)*AA48))),MAX(0,40*MAX(1,AA48)-(Y50+Z50)))))</f>
        <v>0</v>
      </c>
      <c r="AB51" s="63">
        <f>IF(AND(AB48=0,AB49=0),0,IF(AB48&lt;=0,0,IF(WEEKDAY(AB$6,1)=1,0,IF(WEEKDAY(AB$6,1)=7,AB48*AB49,MAX(0,AB49-8)*AB48)))+((IF(AB48&lt;=0,0,IF(WEEKDAY(AB$6,1)=1,0,IF(WEEKDAY(AB$6,1)=7,0,MIN(8,AB49)*AB48))))-MIN(IF(AB48&lt;=0,0,IF(WEEKDAY(AB$6,1)=1,0,IF(WEEKDAY(AB$6,1)=7,0,MIN(8,AB49)*AB48))),MAX(0,40*MAX(1,AB48)-(Y50+Z50+AA50)))))</f>
        <v>0</v>
      </c>
      <c r="AC51" s="63">
        <f>IF(AND(AC48=0,AC49=0),0,IF(AC48&lt;=0,0,IF(WEEKDAY(AC$6,1)=1,0,IF(WEEKDAY(AC$6,1)=7,AC48*AC49,MAX(0,AC49-8)*AC48)))+((IF(AC48&lt;=0,0,IF(WEEKDAY(AC$6,1)=1,0,IF(WEEKDAY(AC$6,1)=7,0,MIN(8,AC49)*AC48))))-MIN(IF(AC48&lt;=0,0,IF(WEEKDAY(AC$6,1)=1,0,IF(WEEKDAY(AC$6,1)=7,0,MIN(8,AC49)*AC48))),MAX(0,40*MAX(1,AC48)-(Y50+Z50+AA50+AB50)))))</f>
        <v>0</v>
      </c>
      <c r="AD51" s="64">
        <f>IF(AND(AD48=0,AD49=0),0,IF(AD48&lt;=0,0,IF(WEEKDAY(AD$6,1)=1,0,IF(WEEKDAY(AD$6,1)=7,AD48*AD49,MAX(0,AD49-8)*AD48)))+((IF(AD48&lt;=0,0,IF(WEEKDAY(AD$6,1)=1,0,IF(WEEKDAY(AD$6,1)=7,0,MIN(8,AD49)*AD48))))-MIN(IF(AD48&lt;=0,0,IF(WEEKDAY(AD$6,1)=1,0,IF(WEEKDAY(AD$6,1)=7,0,MIN(8,AD49)*AD48))),MAX(0,40*MAX(1,AD48)-(Y50+Z50+AA50+AB50+AC50)))))</f>
        <v>0</v>
      </c>
      <c r="AE51" s="64">
        <f>IF(AND(AE48=0,AE49=0),0,IF(AE48&lt;=0,0,IF(WEEKDAY(AE$6,1)=1,0,IF(WEEKDAY(AE$6,1)=7,AE48*AE49,MAX(0,AE49-8)*AE48)))+((IF(AE48&lt;=0,0,IF(WEEKDAY(AE$6,1)=1,0,IF(WEEKDAY(AE$6,1)=7,0,MIN(8,AE49)*AE48))))-MIN(IF(AE48&lt;=0,0,IF(WEEKDAY(AE$6,1)=1,0,IF(WEEKDAY(AE$6,1)=7,0,MIN(8,AE49)*AE48))),MAX(0,40*MAX(1,AE48)-(Y50+Z50+AA50+AB50+AC50+AD50)))))</f>
        <v>0</v>
      </c>
      <c r="AF51" s="63">
        <f>IF(AND(AF48=0,AF49=0),0,IF(AF48&lt;=0,0,IF(WEEKDAY(AF$6,1)=1,0,IF(WEEKDAY(AF$6,1)=7,AF48*AF49,MAX(0,AF49-8)*AF48)))+((IF(AF48&lt;=0,0,IF(WEEKDAY(AF$6,1)=1,0,IF(WEEKDAY(AF$6,1)=7,0,MIN(8,AF49)*AF48))))-MIN(IF(AF48&lt;=0,0,IF(WEEKDAY(AF$6,1)=1,0,IF(WEEKDAY(AF$6,1)=7,0,MIN(8,AF49)*AF48))),MAX(0,40*MAX(1,AF48)-(0)))))</f>
        <v>0</v>
      </c>
      <c r="AG51" s="63">
        <f>IF(AND(AG48=0,AG49=0),0,IF(AG48&lt;=0,0,IF(WEEKDAY(AG$6,1)=1,0,IF(WEEKDAY(AG$6,1)=7,AG48*AG49,MAX(0,AG49-8)*AG48)))+((IF(AG48&lt;=0,0,IF(WEEKDAY(AG$6,1)=1,0,IF(WEEKDAY(AG$6,1)=7,0,MIN(8,AG49)*AG48))))-MIN(IF(AG48&lt;=0,0,IF(WEEKDAY(AG$6,1)=1,0,IF(WEEKDAY(AG$6,1)=7,0,MIN(8,AG49)*AG48))),MAX(0,40*MAX(1,AG48)-(AF50)))))</f>
        <v>0</v>
      </c>
      <c r="AH51" s="63">
        <f>IF(AND(AH48=0,AH49=0),0,IF(AH48&lt;=0,0,IF(WEEKDAY(AH$6,1)=1,0,IF(WEEKDAY(AH$6,1)=7,AH48*AH49,MAX(0,AH49-8)*AH48)))+((IF(AH48&lt;=0,0,IF(WEEKDAY(AH$6,1)=1,0,IF(WEEKDAY(AH$6,1)=7,0,MIN(8,AH49)*AH48))))-MIN(IF(AH48&lt;=0,0,IF(WEEKDAY(AH$6,1)=1,0,IF(WEEKDAY(AH$6,1)=7,0,MIN(8,AH49)*AH48))),MAX(0,40*MAX(1,AH48)-(AF50+AG50)))))</f>
        <v>0</v>
      </c>
      <c r="AI51" s="63">
        <f>IF(AND(AI48=0,AI49=0),0,IF(AI48&lt;=0,0,IF(WEEKDAY(AI$6,1)=1,0,IF(WEEKDAY(AI$6,1)=7,AI48*AI49,MAX(0,AI49-8)*AI48)))+((IF(AI48&lt;=0,0,IF(WEEKDAY(AI$6,1)=1,0,IF(WEEKDAY(AI$6,1)=7,0,MIN(8,AI49)*AI48))))-MIN(IF(AI48&lt;=0,0,IF(WEEKDAY(AI$6,1)=1,0,IF(WEEKDAY(AI$6,1)=7,0,MIN(8,AI49)*AI48))),MAX(0,40*MAX(1,AI48)-(AF50+AG50+AH50)))))</f>
        <v>0</v>
      </c>
      <c r="AJ51" s="63">
        <f>IF(AND(AJ48=0,AJ49=0),0,IF(AJ48&lt;=0,0,IF(WEEKDAY(AJ$6,1)=1,0,IF(WEEKDAY(AJ$6,1)=7,AJ48*AJ49,MAX(0,AJ49-8)*AJ48)))+((IF(AJ48&lt;=0,0,IF(WEEKDAY(AJ$6,1)=1,0,IF(WEEKDAY(AJ$6,1)=7,0,MIN(8,AJ49)*AJ48))))-MIN(IF(AJ48&lt;=0,0,IF(WEEKDAY(AJ$6,1)=1,0,IF(WEEKDAY(AJ$6,1)=7,0,MIN(8,AJ49)*AJ48))),MAX(0,40*MAX(1,AJ48)-(AF50+AG50+AH50+AI50)))))</f>
        <v>0</v>
      </c>
      <c r="AK51" s="64">
        <f>IF(AND(AK48=0,AK49=0),0,IF(AK48&lt;=0,0,IF(WEEKDAY(AK$6,1)=1,0,IF(WEEKDAY(AK$6,1)=7,AK48*AK49,MAX(0,AK49-8)*AK48)))+((IF(AK48&lt;=0,0,IF(WEEKDAY(AK$6,1)=1,0,IF(WEEKDAY(AK$6,1)=7,0,MIN(8,AK49)*AK48))))-MIN(IF(AK48&lt;=0,0,IF(WEEKDAY(AK$6,1)=1,0,IF(WEEKDAY(AK$6,1)=7,0,MIN(8,AK49)*AK48))),MAX(0,40*MAX(1,AK48)-(AF50+AG50+AH50+AI50+AJ50)))))</f>
        <v>0</v>
      </c>
      <c r="AL51" s="64">
        <f>IF(AND(AL48=0,AL49=0),0,IF(AL48&lt;=0,0,IF(WEEKDAY(AL$6,1)=1,0,IF(WEEKDAY(AL$6,1)=7,AL48*AL49,MAX(0,AL49-8)*AL48)))+((IF(AL48&lt;=0,0,IF(WEEKDAY(AL$6,1)=1,0,IF(WEEKDAY(AL$6,1)=7,0,MIN(8,AL49)*AL48))))-MIN(IF(AL48&lt;=0,0,IF(WEEKDAY(AL$6,1)=1,0,IF(WEEKDAY(AL$6,1)=7,0,MIN(8,AL49)*AL48))),MAX(0,40*MAX(1,AL48)-(AF50+AG50+AH50+AI50+AJ50+AK50)))))</f>
        <v>0</v>
      </c>
      <c r="AM51" s="63">
        <f>IF(AND(AM48=0,AM49=0),0,IF(AM48&lt;=0,0,IF(WEEKDAY(AM$6,1)=1,0,IF(WEEKDAY(AM$6,1)=7,AM48*AM49,MAX(0,AM49-8)*AM48)))+((IF(AM48&lt;=0,0,IF(WEEKDAY(AM$6,1)=1,0,IF(WEEKDAY(AM$6,1)=7,0,MIN(8,AM49)*AM48))))-MIN(IF(AM48&lt;=0,0,IF(WEEKDAY(AM$6,1)=1,0,IF(WEEKDAY(AM$6,1)=7,0,MIN(8,AM49)*AM48))),MAX(0,40*MAX(1,AM48)-(0)))))</f>
        <v>0</v>
      </c>
      <c r="AN51" s="63">
        <f>IF(AND(AN48=0,AN49=0),0,IF(AN48&lt;=0,0,IF(WEEKDAY(AN$6,1)=1,0,IF(WEEKDAY(AN$6,1)=7,AN48*AN49,MAX(0,AN49-8)*AN48)))+((IF(AN48&lt;=0,0,IF(WEEKDAY(AN$6,1)=1,0,IF(WEEKDAY(AN$6,1)=7,0,MIN(8,AN49)*AN48))))-MIN(IF(AN48&lt;=0,0,IF(WEEKDAY(AN$6,1)=1,0,IF(WEEKDAY(AN$6,1)=7,0,MIN(8,AN49)*AN48))),MAX(0,40*MAX(1,AN48)-(AM50)))))</f>
        <v>0</v>
      </c>
      <c r="AO51" s="63">
        <f>IF(AND(AO48=0,AO49=0),0,IF(AO48&lt;=0,0,IF(WEEKDAY(AO$6,1)=1,0,IF(WEEKDAY(AO$6,1)=7,AO48*AO49,MAX(0,AO49-8)*AO48)))+((IF(AO48&lt;=0,0,IF(WEEKDAY(AO$6,1)=1,0,IF(WEEKDAY(AO$6,1)=7,0,MIN(8,AO49)*AO48))))-MIN(IF(AO48&lt;=0,0,IF(WEEKDAY(AO$6,1)=1,0,IF(WEEKDAY(AO$6,1)=7,0,MIN(8,AO49)*AO48))),MAX(0,40*MAX(1,AO48)-(AM50+AN50)))))</f>
        <v>0</v>
      </c>
      <c r="AP51" s="63">
        <f>IF(AND(AP48=0,AP49=0),0,IF(AP48&lt;=0,0,IF(WEEKDAY(AP$6,1)=1,0,IF(WEEKDAY(AP$6,1)=7,AP48*AP49,MAX(0,AP49-8)*AP48)))+((IF(AP48&lt;=0,0,IF(WEEKDAY(AP$6,1)=1,0,IF(WEEKDAY(AP$6,1)=7,0,MIN(8,AP49)*AP48))))-MIN(IF(AP48&lt;=0,0,IF(WEEKDAY(AP$6,1)=1,0,IF(WEEKDAY(AP$6,1)=7,0,MIN(8,AP49)*AP48))),MAX(0,40*MAX(1,AP48)-(AM50+AN50+AO50)))))</f>
        <v>0</v>
      </c>
      <c r="AQ51" s="63">
        <f>IF(AND(AQ48=0,AQ49=0),0,IF(AQ48&lt;=0,0,IF(WEEKDAY(AQ$6,1)=1,0,IF(WEEKDAY(AQ$6,1)=7,AQ48*AQ49,MAX(0,AQ49-8)*AQ48)))+((IF(AQ48&lt;=0,0,IF(WEEKDAY(AQ$6,1)=1,0,IF(WEEKDAY(AQ$6,1)=7,0,MIN(8,AQ49)*AQ48))))-MIN(IF(AQ48&lt;=0,0,IF(WEEKDAY(AQ$6,1)=1,0,IF(WEEKDAY(AQ$6,1)=7,0,MIN(8,AQ49)*AQ48))),MAX(0,40*MAX(1,AQ48)-(AM50+AN50+AO50+AP50)))))</f>
        <v>0</v>
      </c>
      <c r="AR51" s="64">
        <f>IF(AND(AR48=0,AR49=0),0,IF(AR48&lt;=0,0,IF(WEEKDAY(AR$6,1)=1,0,IF(WEEKDAY(AR$6,1)=7,AR48*AR49,MAX(0,AR49-8)*AR48)))+((IF(AR48&lt;=0,0,IF(WEEKDAY(AR$6,1)=1,0,IF(WEEKDAY(AR$6,1)=7,0,MIN(8,AR49)*AR48))))-MIN(IF(AR48&lt;=0,0,IF(WEEKDAY(AR$6,1)=1,0,IF(WEEKDAY(AR$6,1)=7,0,MIN(8,AR49)*AR48))),MAX(0,40*MAX(1,AR48)-(AM50+AN50+AO50+AP50+AQ50)))))</f>
        <v>0</v>
      </c>
      <c r="AS51" s="64">
        <f>IF(AND(AS48=0,AS49=0),0,IF(AS48&lt;=0,0,IF(WEEKDAY(AS$6,1)=1,0,IF(WEEKDAY(AS$6,1)=7,AS48*AS49,MAX(0,AS49-8)*AS48)))+((IF(AS48&lt;=0,0,IF(WEEKDAY(AS$6,1)=1,0,IF(WEEKDAY(AS$6,1)=7,0,MIN(8,AS49)*AS48))))-MIN(IF(AS48&lt;=0,0,IF(WEEKDAY(AS$6,1)=1,0,IF(WEEKDAY(AS$6,1)=7,0,MIN(8,AS49)*AS48))),MAX(0,40*MAX(1,AS48)-(AM50+AN50+AO50+AP50+AQ50+AR50)))))</f>
        <v>0</v>
      </c>
      <c r="AT51" s="63">
        <f>IF(AND(AT48=0,AT49=0),0,IF(AT48&lt;=0,0,IF(WEEKDAY(AT$6,1)=1,0,IF(WEEKDAY(AT$6,1)=7,AT48*AT49,MAX(0,AT49-8)*AT48)))+((IF(AT48&lt;=0,0,IF(WEEKDAY(AT$6,1)=1,0,IF(WEEKDAY(AT$6,1)=7,0,MIN(8,AT49)*AT48))))-MIN(IF(AT48&lt;=0,0,IF(WEEKDAY(AT$6,1)=1,0,IF(WEEKDAY(AT$6,1)=7,0,MIN(8,AT49)*AT48))),MAX(0,40*MAX(1,AT48)-(0)))))</f>
        <v>0</v>
      </c>
      <c r="AU51" s="63">
        <f>IF(AND(AU48=0,AU49=0),0,IF(AU48&lt;=0,0,IF(WEEKDAY(AU$6,1)=1,0,IF(WEEKDAY(AU$6,1)=7,AU48*AU49,MAX(0,AU49-8)*AU48)))+((IF(AU48&lt;=0,0,IF(WEEKDAY(AU$6,1)=1,0,IF(WEEKDAY(AU$6,1)=7,0,MIN(8,AU49)*AU48))))-MIN(IF(AU48&lt;=0,0,IF(WEEKDAY(AU$6,1)=1,0,IF(WEEKDAY(AU$6,1)=7,0,MIN(8,AU49)*AU48))),MAX(0,40*MAX(1,AU48)-(AT50)))))</f>
        <v>0</v>
      </c>
      <c r="AV51" s="63">
        <f>IF(AND(AV48=0,AV49=0),0,IF(AV48&lt;=0,0,IF(WEEKDAY(AV$6,1)=1,0,IF(WEEKDAY(AV$6,1)=7,AV48*AV49,MAX(0,AV49-8)*AV48)))+((IF(AV48&lt;=0,0,IF(WEEKDAY(AV$6,1)=1,0,IF(WEEKDAY(AV$6,1)=7,0,MIN(8,AV49)*AV48))))-MIN(IF(AV48&lt;=0,0,IF(WEEKDAY(AV$6,1)=1,0,IF(WEEKDAY(AV$6,1)=7,0,MIN(8,AV49)*AV48))),MAX(0,40*MAX(1,AV48)-(AT50+AU50)))))</f>
        <v>0</v>
      </c>
      <c r="AW51" s="63">
        <f>IF(AND(AW48=0,AW49=0),0,IF(AW48&lt;=0,0,IF(WEEKDAY(AW$6,1)=1,0,IF(WEEKDAY(AW$6,1)=7,AW48*AW49,MAX(0,AW49-8)*AW48)))+((IF(AW48&lt;=0,0,IF(WEEKDAY(AW$6,1)=1,0,IF(WEEKDAY(AW$6,1)=7,0,MIN(8,AW49)*AW48))))-MIN(IF(AW48&lt;=0,0,IF(WEEKDAY(AW$6,1)=1,0,IF(WEEKDAY(AW$6,1)=7,0,MIN(8,AW49)*AW48))),MAX(0,40*MAX(1,AW48)-(AT50+AU50+AV50)))))</f>
        <v>0</v>
      </c>
      <c r="AX51" s="63">
        <f>IF(AND(AX48=0,AX49=0),0,IF(AX48&lt;=0,0,IF(WEEKDAY(AX$6,1)=1,0,IF(WEEKDAY(AX$6,1)=7,AX48*AX49,MAX(0,AX49-8)*AX48)))+((IF(AX48&lt;=0,0,IF(WEEKDAY(AX$6,1)=1,0,IF(WEEKDAY(AX$6,1)=7,0,MIN(8,AX49)*AX48))))-MIN(IF(AX48&lt;=0,0,IF(WEEKDAY(AX$6,1)=1,0,IF(WEEKDAY(AX$6,1)=7,0,MIN(8,AX49)*AX48))),MAX(0,40*MAX(1,AX48)-(AT50+AU50+AV50+AW50)))))</f>
        <v>0</v>
      </c>
      <c r="AY51" s="64">
        <f>IF(AND(AY48=0,AY49=0),0,IF(AY48&lt;=0,0,IF(WEEKDAY(AY$6,1)=1,0,IF(WEEKDAY(AY$6,1)=7,AY48*AY49,MAX(0,AY49-8)*AY48)))+((IF(AY48&lt;=0,0,IF(WEEKDAY(AY$6,1)=1,0,IF(WEEKDAY(AY$6,1)=7,0,MIN(8,AY49)*AY48))))-MIN(IF(AY48&lt;=0,0,IF(WEEKDAY(AY$6,1)=1,0,IF(WEEKDAY(AY$6,1)=7,0,MIN(8,AY49)*AY48))),MAX(0,40*MAX(1,AY48)-(AT50+AU50+AV50+AW50+AX50)))))</f>
        <v>0</v>
      </c>
      <c r="AZ51" s="64">
        <f>IF(AND(AZ48=0,AZ49=0),0,IF(AZ48&lt;=0,0,IF(WEEKDAY(AZ$6,1)=1,0,IF(WEEKDAY(AZ$6,1)=7,AZ48*AZ49,MAX(0,AZ49-8)*AZ48)))+((IF(AZ48&lt;=0,0,IF(WEEKDAY(AZ$6,1)=1,0,IF(WEEKDAY(AZ$6,1)=7,0,MIN(8,AZ49)*AZ48))))-MIN(IF(AZ48&lt;=0,0,IF(WEEKDAY(AZ$6,1)=1,0,IF(WEEKDAY(AZ$6,1)=7,0,MIN(8,AZ49)*AZ48))),MAX(0,40*MAX(1,AZ48)-(AT50+AU50+AV50+AW50+AX50+AY50)))))</f>
        <v>0</v>
      </c>
      <c r="BA51" s="63">
        <f>IF(AND(BA48=0,BA49=0),0,IF(BA48&lt;=0,0,IF(WEEKDAY(BA$6,1)=1,0,IF(WEEKDAY(BA$6,1)=7,BA48*BA49,MAX(0,BA49-8)*BA48)))+((IF(BA48&lt;=0,0,IF(WEEKDAY(BA$6,1)=1,0,IF(WEEKDAY(BA$6,1)=7,0,MIN(8,BA49)*BA48))))-MIN(IF(BA48&lt;=0,0,IF(WEEKDAY(BA$6,1)=1,0,IF(WEEKDAY(BA$6,1)=7,0,MIN(8,BA49)*BA48))),MAX(0,40*MAX(1,BA48)-(0)))))</f>
        <v>0</v>
      </c>
      <c r="BB51" s="63">
        <f>IF(AND(BB48=0,BB49=0),0,IF(BB48&lt;=0,0,IF(WEEKDAY(BB$6,1)=1,0,IF(WEEKDAY(BB$6,1)=7,BB48*BB49,MAX(0,BB49-8)*BB48)))+((IF(BB48&lt;=0,0,IF(WEEKDAY(BB$6,1)=1,0,IF(WEEKDAY(BB$6,1)=7,0,MIN(8,BB49)*BB48))))-MIN(IF(BB48&lt;=0,0,IF(WEEKDAY(BB$6,1)=1,0,IF(WEEKDAY(BB$6,1)=7,0,MIN(8,BB49)*BB48))),MAX(0,40*MAX(1,BB48)-(BA50)))))</f>
        <v>0</v>
      </c>
      <c r="BC51" s="63">
        <f>IF(AND(BC48=0,BC49=0),0,IF(BC48&lt;=0,0,IF(WEEKDAY(BC$6,1)=1,0,IF(WEEKDAY(BC$6,1)=7,BC48*BC49,MAX(0,BC49-8)*BC48)))+((IF(BC48&lt;=0,0,IF(WEEKDAY(BC$6,1)=1,0,IF(WEEKDAY(BC$6,1)=7,0,MIN(8,BC49)*BC48))))-MIN(IF(BC48&lt;=0,0,IF(WEEKDAY(BC$6,1)=1,0,IF(WEEKDAY(BC$6,1)=7,0,MIN(8,BC49)*BC48))),MAX(0,40*MAX(1,BC48)-(BA50+BB50)))))</f>
        <v>0</v>
      </c>
      <c r="BD51" s="63">
        <f>IF(AND(BD48=0,BD49=0),0,IF(BD48&lt;=0,0,IF(WEEKDAY(BD$6,1)=1,0,IF(WEEKDAY(BD$6,1)=7,BD48*BD49,MAX(0,BD49-8)*BD48)))+((IF(BD48&lt;=0,0,IF(WEEKDAY(BD$6,1)=1,0,IF(WEEKDAY(BD$6,1)=7,0,MIN(8,BD49)*BD48))))-MIN(IF(BD48&lt;=0,0,IF(WEEKDAY(BD$6,1)=1,0,IF(WEEKDAY(BD$6,1)=7,0,MIN(8,BD49)*BD48))),MAX(0,40*MAX(1,BD48)-(BA50+BB50+BC50)))))</f>
        <v>0</v>
      </c>
      <c r="BE51" s="63">
        <f>IF(AND(BE48=0,BE49=0),0,IF(BE48&lt;=0,0,IF(WEEKDAY(BE$6,1)=1,0,IF(WEEKDAY(BE$6,1)=7,BE48*BE49,MAX(0,BE49-8)*BE48)))+((IF(BE48&lt;=0,0,IF(WEEKDAY(BE$6,1)=1,0,IF(WEEKDAY(BE$6,1)=7,0,MIN(8,BE49)*BE48))))-MIN(IF(BE48&lt;=0,0,IF(WEEKDAY(BE$6,1)=1,0,IF(WEEKDAY(BE$6,1)=7,0,MIN(8,BE49)*BE48))),MAX(0,40*MAX(1,BE48)-(BA50+BB50+BC50+BD50)))))</f>
        <v>0</v>
      </c>
      <c r="BF51" s="64">
        <f>IF(AND(BF48=0,BF49=0),0,IF(BF48&lt;=0,0,IF(WEEKDAY(BF$6,1)=1,0,IF(WEEKDAY(BF$6,1)=7,BF48*BF49,MAX(0,BF49-8)*BF48)))+((IF(BF48&lt;=0,0,IF(WEEKDAY(BF$6,1)=1,0,IF(WEEKDAY(BF$6,1)=7,0,MIN(8,BF49)*BF48))))-MIN(IF(BF48&lt;=0,0,IF(WEEKDAY(BF$6,1)=1,0,IF(WEEKDAY(BF$6,1)=7,0,MIN(8,BF49)*BF48))),MAX(0,40*MAX(1,BF48)-(BA50+BB50+BC50+BD50+BE50)))))</f>
        <v>0</v>
      </c>
      <c r="BG51" s="64">
        <f>IF(AND(BG48=0,BG49=0),0,IF(BG48&lt;=0,0,IF(WEEKDAY(BG$6,1)=1,0,IF(WEEKDAY(BG$6,1)=7,BG48*BG49,MAX(0,BG49-8)*BG48)))+((IF(BG48&lt;=0,0,IF(WEEKDAY(BG$6,1)=1,0,IF(WEEKDAY(BG$6,1)=7,0,MIN(8,BG49)*BG48))))-MIN(IF(BG48&lt;=0,0,IF(WEEKDAY(BG$6,1)=1,0,IF(WEEKDAY(BG$6,1)=7,0,MIN(8,BG49)*BG48))),MAX(0,40*MAX(1,BG48)-(BA50+BB50+BC50+BD50+BE50+BF50)))))</f>
        <v>0</v>
      </c>
      <c r="BH51" s="63">
        <f>IF(AND(BH48=1,BH49=11),3,IF(BH48&lt;=0,0,IF(WEEKDAY(BH$6,1)=1,0,IF(WEEKDAY(BH$6,1)=7,BH48*BH49,MAX(0,BH49-8)*BH48)))+((IF(BH48&lt;=0,0,IF(WEEKDAY(BH$6,1)=1,0,IF(WEEKDAY(BH$6,1)=7,0,MIN(8,BH49)*BH48))))-MIN(IF(BH48&lt;=0,0,IF(WEEKDAY(BH$6,1)=1,0,IF(WEEKDAY(BH$6,1)=7,0,MIN(8,BH49)*BH48))),MAX(0,40*MAX(1,BH48)-(0)))))</f>
        <v>3</v>
      </c>
      <c r="BI51" s="63">
        <f>IF(AND(BI48=1,BI49=11),3,IF(BI48&lt;=0,0,IF(WEEKDAY(BI$6,1)=1,0,IF(WEEKDAY(BI$6,1)=7,BI48*BI49,MAX(0,BI49-8)*BI48)))+((IF(BI48&lt;=0,0,IF(WEEKDAY(BI$6,1)=1,0,IF(WEEKDAY(BI$6,1)=7,0,MIN(8,BI49)*BI48))))-MIN(IF(BI48&lt;=0,0,IF(WEEKDAY(BI$6,1)=1,0,IF(WEEKDAY(BI$6,1)=7,0,MIN(8,BI49)*BI48))),MAX(0,40*MAX(1,BI48)-(BH50)))))</f>
        <v>3</v>
      </c>
      <c r="BJ51" s="63">
        <f>IF(AND(BJ48=1,BJ49=11),3,IF(BJ48&lt;=0,0,IF(WEEKDAY(BJ$6,1)=1,0,IF(WEEKDAY(BJ$6,1)=7,BJ48*BJ49,MAX(0,BJ49-8)*BJ48)))+((IF(BJ48&lt;=0,0,IF(WEEKDAY(BJ$6,1)=1,0,IF(WEEKDAY(BJ$6,1)=7,0,MIN(8,BJ49)*BJ48))))-MIN(IF(BJ48&lt;=0,0,IF(WEEKDAY(BJ$6,1)=1,0,IF(WEEKDAY(BJ$6,1)=7,0,MIN(8,BJ49)*BJ48))),MAX(0,40*MAX(1,BJ48)-(BH50+BI50)))))</f>
        <v>3</v>
      </c>
      <c r="BK51" s="63">
        <f>IF(AND(BK48=1,BK49=11),3,IF(BK48&lt;=0,0,IF(WEEKDAY(BK$6,1)=1,0,IF(WEEKDAY(BK$6,1)=7,BK48*BK49,MAX(0,BK49-8)*BK48)))+((IF(BK48&lt;=0,0,IF(WEEKDAY(BK$6,1)=1,0,IF(WEEKDAY(BK$6,1)=7,0,MIN(8,BK49)*BK48))))-MIN(IF(BK48&lt;=0,0,IF(WEEKDAY(BK$6,1)=1,0,IF(WEEKDAY(BK$6,1)=7,0,MIN(8,BK49)*BK48))),MAX(0,40*MAX(1,BK48)-(BH50+BI50+BJ50)))))</f>
        <v>3</v>
      </c>
      <c r="BL51" s="63">
        <f>IF(AND(BL48=1,BL49=11),3,IF(BL48&lt;=0,0,IF(WEEKDAY(BL$6,1)=1,0,IF(WEEKDAY(BL$6,1)=7,BL48*BL49,MAX(0,BL49-8)*BL48)))+((IF(BL48&lt;=0,0,IF(WEEKDAY(BL$6,1)=1,0,IF(WEEKDAY(BL$6,1)=7,0,MIN(8,BL49)*BL48))))-MIN(IF(BL48&lt;=0,0,IF(WEEKDAY(BL$6,1)=1,0,IF(WEEKDAY(BL$6,1)=7,0,MIN(8,BL49)*BL48))),MAX(0,40*MAX(1,BL48)-(BH50+BI50+BJ50+BK50)))))</f>
        <v>3</v>
      </c>
      <c r="BM51" s="64">
        <f>IF(AND(BM48=1,BM49=11),11,IF(BM48&lt;=0,0,IF(WEEKDAY(BM$6,1)=1,0,IF(WEEKDAY(BM$6,1)=7,BM48*BM49,MAX(0,BM49-8)*BM48)))+((IF(BM48&lt;=0,0,IF(WEEKDAY(BM$6,1)=1,0,IF(WEEKDAY(BM$6,1)=7,0,MIN(8,BM49)*BM48))))-MIN(IF(BM48&lt;=0,0,IF(WEEKDAY(BM$6,1)=1,0,IF(WEEKDAY(BM$6,1)=7,0,MIN(8,BM49)*BM48))),MAX(0,40*MAX(1,BM48)-(BH50+BI50+BJ50+BK50+BL50)))))</f>
        <v>11</v>
      </c>
      <c r="BN51" s="64">
        <f>IF(AND(BN48=1,BN49=11),0,IF(BN48&lt;=0,0,IF(WEEKDAY(BN$6,1)=1,0,IF(WEEKDAY(BN$6,1)=7,BN48*BN49,MAX(0,BN49-8)*BN48)))+((IF(BN48&lt;=0,0,IF(WEEKDAY(BN$6,1)=1,0,IF(WEEKDAY(BN$6,1)=7,0,MIN(8,BN49)*BN48))))-MIN(IF(BN48&lt;=0,0,IF(WEEKDAY(BN$6,1)=1,0,IF(WEEKDAY(BN$6,1)=7,0,MIN(8,BN49)*BN48))),MAX(0,40*MAX(1,BN48)-(BH50+BI50+BJ50+BK50+BL50+BM50)))))</f>
        <v>0</v>
      </c>
      <c r="BO51" s="63">
        <f>IF(AND(BO48=1,BO49=11),3,IF(BO48&lt;=0,0,IF(WEEKDAY(BO$6,1)=1,0,IF(WEEKDAY(BO$6,1)=7,BO48*BO49,MAX(0,BO49-8)*BO48)))+((IF(BO48&lt;=0,0,IF(WEEKDAY(BO$6,1)=1,0,IF(WEEKDAY(BO$6,1)=7,0,MIN(8,BO49)*BO48))))-MIN(IF(BO48&lt;=0,0,IF(WEEKDAY(BO$6,1)=1,0,IF(WEEKDAY(BO$6,1)=7,0,MIN(8,BO49)*BO48))),MAX(0,40*MAX(1,BO48)-(0)))))</f>
        <v>3</v>
      </c>
      <c r="BP51" s="63">
        <f>IF(AND(BP48=1,BP49=11),3,IF(BP48&lt;=0,0,IF(WEEKDAY(BP$6,1)=1,0,IF(WEEKDAY(BP$6,1)=7,BP48*BP49,MAX(0,BP49-8)*BP48)))+((IF(BP48&lt;=0,0,IF(WEEKDAY(BP$6,1)=1,0,IF(WEEKDAY(BP$6,1)=7,0,MIN(8,BP49)*BP48))))-MIN(IF(BP48&lt;=0,0,IF(WEEKDAY(BP$6,1)=1,0,IF(WEEKDAY(BP$6,1)=7,0,MIN(8,BP49)*BP48))),MAX(0,40*MAX(1,BP48)-(BO50)))))</f>
        <v>3</v>
      </c>
      <c r="BQ51" s="63">
        <f>IF(AND(BQ48=1,BQ49=11),3,IF(BQ48&lt;=0,0,IF(WEEKDAY(BQ$6,1)=1,0,IF(WEEKDAY(BQ$6,1)=7,BQ48*BQ49,MAX(0,BQ49-8)*BQ48)))+((IF(BQ48&lt;=0,0,IF(WEEKDAY(BQ$6,1)=1,0,IF(WEEKDAY(BQ$6,1)=7,0,MIN(8,BQ49)*BQ48))))-MIN(IF(BQ48&lt;=0,0,IF(WEEKDAY(BQ$6,1)=1,0,IF(WEEKDAY(BQ$6,1)=7,0,MIN(8,BQ49)*BQ48))),MAX(0,40*MAX(1,BQ48)-(BO50+BP50)))))</f>
        <v>3</v>
      </c>
      <c r="BR51" s="63">
        <f>IF(AND(BR48=1,BR49=11),3,IF(BR48&lt;=0,0,IF(WEEKDAY(BR$6,1)=1,0,IF(WEEKDAY(BR$6,1)=7,BR48*BR49,MAX(0,BR49-8)*BR48)))+((IF(BR48&lt;=0,0,IF(WEEKDAY(BR$6,1)=1,0,IF(WEEKDAY(BR$6,1)=7,0,MIN(8,BR49)*BR48))))-MIN(IF(BR48&lt;=0,0,IF(WEEKDAY(BR$6,1)=1,0,IF(WEEKDAY(BR$6,1)=7,0,MIN(8,BR49)*BR48))),MAX(0,40*MAX(1,BR48)-(0)))))</f>
        <v>3</v>
      </c>
      <c r="BS51" s="63">
        <f>IF(AND(BS48=1,BS49=11),3,IF(BS48&lt;=0,0,IF(WEEKDAY(BS$6,1)=1,0,IF(WEEKDAY(BS$6,1)=7,BS48*BS49,MAX(0,BS49-8)*BS48)))+((IF(BS48&lt;=0,0,IF(WEEKDAY(BS$6,1)=1,0,IF(WEEKDAY(BS$6,1)=7,0,MIN(8,BS49)*BS48))))-MIN(IF(BS48&lt;=0,0,IF(WEEKDAY(BS$6,1)=1,0,IF(WEEKDAY(BS$6,1)=7,0,MIN(8,BS49)*BS48))),MAX(0,40*MAX(1,BS48)-(BR50)))))</f>
        <v>3</v>
      </c>
      <c r="BT51" s="64">
        <f>IF(AND(BT48=1,BT49=11),11,IF(BT48&lt;=0,0,IF(WEEKDAY(BT$6,1)=1,0,IF(WEEKDAY(BT$6,1)=7,BT48*BT49,MAX(0,BT49-8)*BT48)))+((IF(BT48&lt;=0,0,IF(WEEKDAY(BT$6,1)=1,0,IF(WEEKDAY(BT$6,1)=7,0,MIN(8,BT49)*BT48))))-MIN(IF(BT48&lt;=0,0,IF(WEEKDAY(BT$6,1)=1,0,IF(WEEKDAY(BT$6,1)=7,0,MIN(8,BT49)*BT48))),MAX(0,40*MAX(1,BT48)-(BR50+BS50)))))</f>
        <v>11</v>
      </c>
      <c r="BU51" s="64">
        <f>IF(AND(BU48=1,BU49=11),0,IF(BU48&lt;=0,0,IF(WEEKDAY(BU$6,1)=1,0,IF(WEEKDAY(BU$6,1)=7,BU48*BU49,MAX(0,BU49-8)*BU48)))+((IF(BU48&lt;=0,0,IF(WEEKDAY(BU$6,1)=1,0,IF(WEEKDAY(BU$6,1)=7,0,MIN(8,BU49)*BU48))))-MIN(IF(BU48&lt;=0,0,IF(WEEKDAY(BU$6,1)=1,0,IF(WEEKDAY(BU$6,1)=7,0,MIN(8,BU49)*BU48))),MAX(0,40*MAX(1,BU48)-(BR50+BS50+BT50)))))</f>
        <v>0</v>
      </c>
      <c r="BV51" s="63">
        <f>IF(AND(BV48=1,BV49=11),3,IF(BV48&lt;=0,0,IF(WEEKDAY(BV$6,1)=1,0,IF(WEEKDAY(BV$6,1)=7,BV48*BV49,MAX(0,BV49-8)*BV48)))+((IF(BV48&lt;=0,0,IF(WEEKDAY(BV$6,1)=1,0,IF(WEEKDAY(BV$6,1)=7,0,MIN(8,BV49)*BV48))))-MIN(IF(BV48&lt;=0,0,IF(WEEKDAY(BV$6,1)=1,0,IF(WEEKDAY(BV$6,1)=7,0,MIN(8,BV49)*BV48))),MAX(0,40*MAX(1,BV48)-(0)))))</f>
        <v>3</v>
      </c>
      <c r="BW51" s="63">
        <f>IF(AND(BW48=1,BW49=11),3,IF(BW48&lt;=0,0,IF(WEEKDAY(BW$6,1)=1,0,IF(WEEKDAY(BW$6,1)=7,BW48*BW49,MAX(0,BW49-8)*BW48)))+((IF(BW48&lt;=0,0,IF(WEEKDAY(BW$6,1)=1,0,IF(WEEKDAY(BW$6,1)=7,0,MIN(8,BW49)*BW48))))-MIN(IF(BW48&lt;=0,0,IF(WEEKDAY(BW$6,1)=1,0,IF(WEEKDAY(BW$6,1)=7,0,MIN(8,BW49)*BW48))),MAX(0,40*MAX(1,BW48)-(BV50)))))</f>
        <v>3</v>
      </c>
      <c r="BX51" s="63">
        <f>IF(AND(BX48=1,BX49=11),3,IF(BX48&lt;=0,0,IF(WEEKDAY(BX$6,1)=1,0,IF(WEEKDAY(BX$6,1)=7,BX48*BX49,MAX(0,BX49-8)*BX48)))+((IF(BX48&lt;=0,0,IF(WEEKDAY(BX$6,1)=1,0,IF(WEEKDAY(BX$6,1)=7,0,MIN(8,BX49)*BX48))))-MIN(IF(BX48&lt;=0,0,IF(WEEKDAY(BX$6,1)=1,0,IF(WEEKDAY(BX$6,1)=7,0,MIN(8,BX49)*BX48))),MAX(0,40*MAX(1,BX48)-(BV50+BW50)))))</f>
        <v>3</v>
      </c>
      <c r="BY51" s="63">
        <f>IF(AND(BY48=1,BY49=11),3,IF(BY48&lt;=0,0,IF(WEEKDAY(BY$6,1)=1,0,IF(WEEKDAY(BY$6,1)=7,BY48*BY49,MAX(0,BY49-8)*BY48)))+((IF(BY48&lt;=0,0,IF(WEEKDAY(BY$6,1)=1,0,IF(WEEKDAY(BY$6,1)=7,0,MIN(8,BY49)*BY48))))-MIN(IF(BY48&lt;=0,0,IF(WEEKDAY(BY$6,1)=1,0,IF(WEEKDAY(BY$6,1)=7,0,MIN(8,BY49)*BY48))),MAX(0,40*MAX(1,BY48)-(BV50+BW50+BX50)))))</f>
        <v>3</v>
      </c>
      <c r="BZ51" s="63">
        <f>IF(AND(BZ48=1,BZ49=11),3,IF(BZ48&lt;=0,0,IF(WEEKDAY(BZ$6,1)=1,0,IF(WEEKDAY(BZ$6,1)=7,BZ48*BZ49,MAX(0,BZ49-8)*BZ48)))+((IF(BZ48&lt;=0,0,IF(WEEKDAY(BZ$6,1)=1,0,IF(WEEKDAY(BZ$6,1)=7,0,MIN(8,BZ49)*BZ48))))-MIN(IF(BZ48&lt;=0,0,IF(WEEKDAY(BZ$6,1)=1,0,IF(WEEKDAY(BZ$6,1)=7,0,MIN(8,BZ49)*BZ48))),MAX(0,40*MAX(1,BZ48)-(BV50+BW50+BX50+BY50)))))</f>
        <v>3</v>
      </c>
      <c r="CA51" s="64">
        <f>IF(AND(CA48=1,CA49=11),11,IF(CA48&lt;=0,0,IF(WEEKDAY(CA$6,1)=1,0,IF(WEEKDAY(CA$6,1)=7,CA48*CA49,MAX(0,CA49-8)*CA48)))+((IF(CA48&lt;=0,0,IF(WEEKDAY(CA$6,1)=1,0,IF(WEEKDAY(CA$6,1)=7,0,MIN(8,CA49)*CA48))))-MIN(IF(CA48&lt;=0,0,IF(WEEKDAY(CA$6,1)=1,0,IF(WEEKDAY(CA$6,1)=7,0,MIN(8,CA49)*CA48))),MAX(0,40*MAX(1,CA48)-(BV50+BW50+BX50+BY50+BZ50)))))</f>
        <v>11</v>
      </c>
      <c r="CB51" s="64">
        <f>IF(AND(CB48=0,CB49=0),0,IF(CB48&lt;=0,0,IF(WEEKDAY(CB$6,1)=1,0,IF(WEEKDAY(CB$6,1)=7,CB48*CB49,MAX(0,CB49-8)*CB48)))+((IF(CB48&lt;=0,0,IF(WEEKDAY(CB$6,1)=1,0,IF(WEEKDAY(CB$6,1)=7,0,MIN(8,CB49)*CB48))))-MIN(IF(CB48&lt;=0,0,IF(WEEKDAY(CB$6,1)=1,0,IF(WEEKDAY(CB$6,1)=7,0,MIN(8,CB49)*CB48))),MAX(0,40*MAX(1,CB48)-(0)))))</f>
        <v>0</v>
      </c>
      <c r="CC51" s="63">
        <f>IF(AND(CC48=1,CC49=11),3,IF(CC48&lt;=0,0,IF(WEEKDAY(CC$6,1)=1,0,IF(WEEKDAY(CC$6,1)=7,CC48*CC49,MAX(0,CC49-8)*CC48)))+((IF(CC48&lt;=0,0,IF(WEEKDAY(CC$6,1)=1,0,IF(WEEKDAY(CC$6,1)=7,0,MIN(8,CC49)*CC48))))-MIN(IF(CC48&lt;=0,0,IF(WEEKDAY(CC$6,1)=1,0,IF(WEEKDAY(CC$6,1)=7,0,MIN(8,CC49)*CC48))),MAX(0,40*MAX(1,CC48)-(0)))))</f>
        <v>3</v>
      </c>
      <c r="CD51" s="63">
        <f>IF(AND(CD48=1,CD49=11),3,IF(CD48&lt;=0,0,IF(WEEKDAY(CD$6,1)=1,0,IF(WEEKDAY(CD$6,1)=7,CD48*CD49,MAX(0,CD49-8)*CD48)))+((IF(CD48&lt;=0,0,IF(WEEKDAY(CD$6,1)=1,0,IF(WEEKDAY(CD$6,1)=7,0,MIN(8,CD49)*CD48))))-MIN(IF(CD48&lt;=0,0,IF(WEEKDAY(CD$6,1)=1,0,IF(WEEKDAY(CD$6,1)=7,0,MIN(8,CD49)*CD48))),MAX(0,40*MAX(1,CD48)-(CC50)))))</f>
        <v>3</v>
      </c>
      <c r="CE51" s="63">
        <f>IF(AND(CE48=1,CE49=11),3,IF(CE48&lt;=0,0,IF(WEEKDAY(CE$6,1)=1,0,IF(WEEKDAY(CE$6,1)=7,CE48*CE49,MAX(0,CE49-8)*CE48)))+((IF(CE48&lt;=0,0,IF(WEEKDAY(CE$6,1)=1,0,IF(WEEKDAY(CE$6,1)=7,0,MIN(8,CE49)*CE48))))-MIN(IF(CE48&lt;=0,0,IF(WEEKDAY(CE$6,1)=1,0,IF(WEEKDAY(CE$6,1)=7,0,MIN(8,CE49)*CE48))),MAX(0,40*MAX(1,CE48)-(CC50+CD50)))))</f>
        <v>3</v>
      </c>
      <c r="CF51" s="63">
        <f>IF(AND(CF48=1,CF49=11),3,IF(CF48&lt;=0,0,IF(WEEKDAY(CF$6,1)=1,0,IF(WEEKDAY(CF$6,1)=7,CF48*CF49,MAX(0,CF49-8)*CF48)))+((IF(CF48&lt;=0,0,IF(WEEKDAY(CF$6,1)=1,0,IF(WEEKDAY(CF$6,1)=7,0,MIN(8,CF49)*CF48))))-MIN(IF(CF48&lt;=0,0,IF(WEEKDAY(CF$6,1)=1,0,IF(WEEKDAY(CF$6,1)=7,0,MIN(8,CF49)*CF48))),MAX(0,40*MAX(1,CF48)-(CC50+CD50+CE50)))))</f>
        <v>3</v>
      </c>
      <c r="CG51" s="63">
        <f>IF(AND(CG48=1,CG49=11),3,IF(CG48&lt;=0,0,IF(WEEKDAY(CG$6,1)=1,0,IF(WEEKDAY(CG$6,1)=7,CG48*CG49,MAX(0,CG49-8)*CG48)))+((IF(CG48&lt;=0,0,IF(WEEKDAY(CG$6,1)=1,0,IF(WEEKDAY(CG$6,1)=7,0,MIN(8,CG49)*CG48))))-MIN(IF(CG48&lt;=0,0,IF(WEEKDAY(CG$6,1)=1,0,IF(WEEKDAY(CG$6,1)=7,0,MIN(8,CG49)*CG48))),MAX(0,40*MAX(1,CG48)-(CC50+CD50+CE50+CF50)))))</f>
        <v>3</v>
      </c>
      <c r="CH51" s="64">
        <f>IF(AND(CH48=1,CH49=11),11,IF(CH48&lt;=0,0,IF(WEEKDAY(CH$6,1)=1,0,IF(WEEKDAY(CH$6,1)=7,CH48*CH49,MAX(0,CH49-8)*CH48)))+((IF(CH48&lt;=0,0,IF(WEEKDAY(CH$6,1)=1,0,IF(WEEKDAY(CH$6,1)=7,0,MIN(8,CH49)*CH48))))-MIN(IF(CH48&lt;=0,0,IF(WEEKDAY(CH$6,1)=1,0,IF(WEEKDAY(CH$6,1)=7,0,MIN(8,CH49)*CH48))),MAX(0,40*MAX(1,CH48)-(CC50+CD50+CE50+CF50+CG50)))))</f>
        <v>11</v>
      </c>
      <c r="CI51" s="64">
        <f>IF(AND(CI48=1,CI49=11),0,IF(CI48&lt;=0,0,IF(WEEKDAY(CI$6,1)=1,0,IF(WEEKDAY(CI$6,1)=7,CI48*CI49,MAX(0,CI49-8)*CI48)))+((IF(CI48&lt;=0,0,IF(WEEKDAY(CI$6,1)=1,0,IF(WEEKDAY(CI$6,1)=7,0,MIN(8,CI49)*CI48))))-MIN(IF(CI48&lt;=0,0,IF(WEEKDAY(CI$6,1)=1,0,IF(WEEKDAY(CI$6,1)=7,0,MIN(8,CI49)*CI48))),MAX(0,40*MAX(1,CI48)-(CC50+CD50+CE50+CF50+CG50+CH50)))))</f>
        <v>0</v>
      </c>
      <c r="CJ51" s="63">
        <f>IF(AND(CJ48=1,CJ49=11),3,IF(CJ48&lt;=0,0,IF(WEEKDAY(CJ$6,1)=1,0,IF(WEEKDAY(CJ$6,1)=7,CJ48*CJ49,MAX(0,CJ49-8)*CJ48)))+((IF(CJ48&lt;=0,0,IF(WEEKDAY(CJ$6,1)=1,0,IF(WEEKDAY(CJ$6,1)=7,0,MIN(8,CJ49)*CJ48))))-MIN(IF(CJ48&lt;=0,0,IF(WEEKDAY(CJ$6,1)=1,0,IF(WEEKDAY(CJ$6,1)=7,0,MIN(8,CJ49)*CJ48))),MAX(0,40*MAX(1,CJ48)-(0)))))</f>
        <v>3</v>
      </c>
      <c r="CK51" s="63">
        <f>IF(AND(CK48=1,CK49=11),3,IF(CK48&lt;=0,0,IF(WEEKDAY(CK$6,1)=1,0,IF(WEEKDAY(CK$6,1)=7,CK48*CK49,MAX(0,CK49-8)*CK48)))+((IF(CK48&lt;=0,0,IF(WEEKDAY(CK$6,1)=1,0,IF(WEEKDAY(CK$6,1)=7,0,MIN(8,CK49)*CK48))))-MIN(IF(CK48&lt;=0,0,IF(WEEKDAY(CK$6,1)=1,0,IF(WEEKDAY(CK$6,1)=7,0,MIN(8,CK49)*CK48))),MAX(0,40*MAX(1,CK48)-(CJ50)))))</f>
        <v>3</v>
      </c>
      <c r="CL51" s="63">
        <f>IF(AND(CL48=1,CL49=11),3,IF(CL48&lt;=0,0,IF(WEEKDAY(CL$6,1)=1,0,IF(WEEKDAY(CL$6,1)=7,CL48*CL49,MAX(0,CL49-8)*CL48)))+((IF(CL48&lt;=0,0,IF(WEEKDAY(CL$6,1)=1,0,IF(WEEKDAY(CL$6,1)=7,0,MIN(8,CL49)*CL48))))-MIN(IF(CL48&lt;=0,0,IF(WEEKDAY(CL$6,1)=1,0,IF(WEEKDAY(CL$6,1)=7,0,MIN(8,CL49)*CL48))),MAX(0,40*MAX(1,CL48)-(CJ50+CK50)))))</f>
        <v>3</v>
      </c>
      <c r="CM51" s="63">
        <f>IF(AND(CM48=1,CM49=11),3,IF(CM48&lt;=0,0,IF(WEEKDAY(CM$6,1)=1,0,IF(WEEKDAY(CM$6,1)=7,CM48*CM49,MAX(0,CM49-8)*CM48)))+((IF(CM48&lt;=0,0,IF(WEEKDAY(CM$6,1)=1,0,IF(WEEKDAY(CM$6,1)=7,0,MIN(8,CM49)*CM48))))-MIN(IF(CM48&lt;=0,0,IF(WEEKDAY(CM$6,1)=1,0,IF(WEEKDAY(CM$6,1)=7,0,MIN(8,CM49)*CM48))),MAX(0,40*MAX(1,CM48)-(CJ50+CK50+CL50)))))</f>
        <v>3</v>
      </c>
      <c r="CN51" s="63">
        <f>IF(AND(CN48=1,CN49=11),3,IF(CN48&lt;=0,0,IF(WEEKDAY(CN$6,1)=1,0,IF(WEEKDAY(CN$6,1)=7,CN48*CN49,MAX(0,CN49-8)*CN48)))+((IF(CN48&lt;=0,0,IF(WEEKDAY(CN$6,1)=1,0,IF(WEEKDAY(CN$6,1)=7,0,MIN(8,CN49)*CN48))))-MIN(IF(CN48&lt;=0,0,IF(WEEKDAY(CN$6,1)=1,0,IF(WEEKDAY(CN$6,1)=7,0,MIN(8,CN49)*CN48))),MAX(0,40*MAX(1,CN48)-(CJ50+CK50+CL50+CM50)))))</f>
        <v>3</v>
      </c>
      <c r="CO51" s="64">
        <f>IF(AND(CO48=1,CO49=11),11,IF(CO48&lt;=0,0,IF(WEEKDAY(CO$6,1)=1,0,IF(WEEKDAY(CO$6,1)=7,CO48*CO49,MAX(0,CO49-8)*CO48)))+((IF(CO48&lt;=0,0,IF(WEEKDAY(CO$6,1)=1,0,IF(WEEKDAY(CO$6,1)=7,0,MIN(8,CO49)*CO48))))-MIN(IF(CO48&lt;=0,0,IF(WEEKDAY(CO$6,1)=1,0,IF(WEEKDAY(CO$6,1)=7,0,MIN(8,CO49)*CO48))),MAX(0,40*MAX(1,CO48)-(CJ50+CK50+CL50+CM50+CN50)))))</f>
        <v>11</v>
      </c>
      <c r="CP51" s="64">
        <f>IF(AND(CP48=0,CP49=0),0,IF(CP48&lt;=0,0,IF(WEEKDAY(CP$6,1)=1,0,IF(WEEKDAY(CP$6,1)=7,CP48*CP49,MAX(0,CP49-8)*CP48)))+((IF(CP48&lt;=0,0,IF(WEEKDAY(CP$6,1)=1,0,IF(WEEKDAY(CP$6,1)=7,0,MIN(8,CP49)*CP48))))-MIN(IF(CP48&lt;=0,0,IF(WEEKDAY(CP$6,1)=1,0,IF(WEEKDAY(CP$6,1)=7,0,MIN(8,CP49)*CP48))),MAX(0,40*MAX(1,CP48)-(0)))))</f>
        <v>0</v>
      </c>
      <c r="CQ51" s="63">
        <f>IF(AND(CQ48=1,CQ49=11),3,IF(CQ48&lt;=0,0,IF(WEEKDAY(CQ$6,1)=1,0,IF(WEEKDAY(CQ$6,1)=7,CQ48*CQ49,MAX(0,CQ49-8)*CQ48)))+((IF(CQ48&lt;=0,0,IF(WEEKDAY(CQ$6,1)=1,0,IF(WEEKDAY(CQ$6,1)=7,0,MIN(8,CQ49)*CQ48))))-MIN(IF(CQ48&lt;=0,0,IF(WEEKDAY(CQ$6,1)=1,0,IF(WEEKDAY(CQ$6,1)=7,0,MIN(8,CQ49)*CQ48))),MAX(0,40*MAX(1,CQ48)-(0)))))</f>
        <v>3</v>
      </c>
      <c r="CR51" s="63">
        <f>IF(AND(CR48=1,CR49=11),3,IF(CR48&lt;=0,0,IF(WEEKDAY(CR$6,1)=1,0,IF(WEEKDAY(CR$6,1)=7,CR48*CR49,MAX(0,CR49-8)*CR48)))+((IF(CR48&lt;=0,0,IF(WEEKDAY(CR$6,1)=1,0,IF(WEEKDAY(CR$6,1)=7,0,MIN(8,CR49)*CR48))))-MIN(IF(CR48&lt;=0,0,IF(WEEKDAY(CR$6,1)=1,0,IF(WEEKDAY(CR$6,1)=7,0,MIN(8,CR49)*CR48))),MAX(0,40*MAX(1,CR48)-(CQ50)))))</f>
        <v>3</v>
      </c>
      <c r="CS51" s="63">
        <f>IF(AND(CS48=1,CS49=11),3,IF(CS48&lt;=0,0,IF(WEEKDAY(CS$6,1)=1,0,IF(WEEKDAY(CS$6,1)=7,CS48*CS49,MAX(0,CS49-8)*CS48)))+((IF(CS48&lt;=0,0,IF(WEEKDAY(CS$6,1)=1,0,IF(WEEKDAY(CS$6,1)=7,0,MIN(8,CS49)*CS48))))-MIN(IF(CS48&lt;=0,0,IF(WEEKDAY(CS$6,1)=1,0,IF(WEEKDAY(CS$6,1)=7,0,MIN(8,CS49)*CS48))),MAX(0,40*MAX(1,CS48)-(CQ50+CR50)))))</f>
        <v>3</v>
      </c>
      <c r="CT51" s="63">
        <f>IF(AND(CT48=1,CT49=11),3,IF(CT48&lt;=0,0,IF(WEEKDAY(CT$6,1)=1,0,IF(WEEKDAY(CT$6,1)=7,CT48*CT49,MAX(0,CT49-8)*CT48)))+((IF(CT48&lt;=0,0,IF(WEEKDAY(CT$6,1)=1,0,IF(WEEKDAY(CT$6,1)=7,0,MIN(8,CT49)*CT48))))-MIN(IF(CT48&lt;=0,0,IF(WEEKDAY(CT$6,1)=1,0,IF(WEEKDAY(CT$6,1)=7,0,MIN(8,CT49)*CT48))),MAX(0,40*MAX(1,CT48)-(CQ50+CR50+CS50)))))</f>
        <v>3</v>
      </c>
      <c r="CU51" s="63">
        <f>IF(AND(CU48=1,CU49=11),3,IF(CU48&lt;=0,0,IF(WEEKDAY(CU$6,1)=1,0,IF(WEEKDAY(CU$6,1)=7,CU48*CU49,MAX(0,CU49-8)*CU48)))+((IF(CU48&lt;=0,0,IF(WEEKDAY(CU$6,1)=1,0,IF(WEEKDAY(CU$6,1)=7,0,MIN(8,CU49)*CU48))))-MIN(IF(CU48&lt;=0,0,IF(WEEKDAY(CU$6,1)=1,0,IF(WEEKDAY(CU$6,1)=7,0,MIN(8,CU49)*CU48))),MAX(0,40*MAX(1,CU48)-(CQ50+CR50+CS50+CT50)))))</f>
        <v>3</v>
      </c>
      <c r="CV51" s="64">
        <f>IF(AND(CV48=1,CV49=11),11,IF(CV48&lt;=0,0,IF(WEEKDAY(CV$6,1)=1,0,IF(WEEKDAY(CV$6,1)=7,CV48*CV49,MAX(0,CV49-8)*CV48)))+((IF(CV48&lt;=0,0,IF(WEEKDAY(CV$6,1)=1,0,IF(WEEKDAY(CV$6,1)=7,0,MIN(8,CV49)*CV48))))-MIN(IF(CV48&lt;=0,0,IF(WEEKDAY(CV$6,1)=1,0,IF(WEEKDAY(CV$6,1)=7,0,MIN(8,CV49)*CV48))),MAX(0,40*MAX(1,CV48)-(CQ50+CR50+CS50+CT50+CU50)))))</f>
        <v>11</v>
      </c>
      <c r="CW51" s="64">
        <f>IF(AND(CW48=1,CW49=11),0,IF(CW48&lt;=0,0,IF(WEEKDAY(CW$6,1)=1,0,IF(WEEKDAY(CW$6,1)=7,CW48*CW49,MAX(0,CW49-8)*CW48)))+((IF(CW48&lt;=0,0,IF(WEEKDAY(CW$6,1)=1,0,IF(WEEKDAY(CW$6,1)=7,0,MIN(8,CW49)*CW48))))-MIN(IF(CW48&lt;=0,0,IF(WEEKDAY(CW$6,1)=1,0,IF(WEEKDAY(CW$6,1)=7,0,MIN(8,CW49)*CW48))),MAX(0,40*MAX(1,CW48)-(CQ50+CR50+CS50+CT50+CU50+CV50)))))</f>
        <v>0</v>
      </c>
      <c r="CX51" s="63">
        <f>IF(AND(CX48=1,CX49=11),3,IF(CX48&lt;=0,0,IF(WEEKDAY(CX$6,1)=1,0,IF(WEEKDAY(CX$6,1)=7,CX48*CX49,MAX(0,CX49-8)*CX48)))+((IF(CX48&lt;=0,0,IF(WEEKDAY(CX$6,1)=1,0,IF(WEEKDAY(CX$6,1)=7,0,MIN(8,CX49)*CX48))))-MIN(IF(CX48&lt;=0,0,IF(WEEKDAY(CX$6,1)=1,0,IF(WEEKDAY(CX$6,1)=7,0,MIN(8,CX49)*CX48))),MAX(0,40*MAX(1,CX48)-(0)))))</f>
        <v>3</v>
      </c>
      <c r="CY51" s="63">
        <f>IF(AND(CY48=1,CY49=11),3,IF(CY48&lt;=0,0,IF(WEEKDAY(CY$6,1)=1,0,IF(WEEKDAY(CY$6,1)=7,CY48*CY49,MAX(0,CY49-8)*CY48)))+((IF(CY48&lt;=0,0,IF(WEEKDAY(CY$6,1)=1,0,IF(WEEKDAY(CY$6,1)=7,0,MIN(8,CY49)*CY48))))-MIN(IF(CY48&lt;=0,0,IF(WEEKDAY(CY$6,1)=1,0,IF(WEEKDAY(CY$6,1)=7,0,MIN(8,CY49)*CY48))),MAX(0,40*MAX(1,CY48)-(CX50)))))</f>
        <v>3</v>
      </c>
      <c r="CZ51" s="63">
        <f>IF(AND(CZ48=1,CZ49=11),3,IF(CZ48&lt;=0,0,IF(WEEKDAY(CZ$6,1)=1,0,IF(WEEKDAY(CZ$6,1)=7,CZ48*CZ49,MAX(0,CZ49-8)*CZ48)))+((IF(CZ48&lt;=0,0,IF(WEEKDAY(CZ$6,1)=1,0,IF(WEEKDAY(CZ$6,1)=7,0,MIN(8,CZ49)*CZ48))))-MIN(IF(CZ48&lt;=0,0,IF(WEEKDAY(CZ$6,1)=1,0,IF(WEEKDAY(CZ$6,1)=7,0,MIN(8,CZ49)*CZ48))),MAX(0,40*MAX(1,CZ48)-(CX50+CY50)))))</f>
        <v>3</v>
      </c>
      <c r="DA51" s="63">
        <f>IF(AND(DA48=1,DA49=11),3,IF(DA48&lt;=0,0,IF(WEEKDAY(DA$6,1)=1,0,IF(WEEKDAY(DA$6,1)=7,DA48*DA49,MAX(0,DA49-8)*DA48)))+((IF(DA48&lt;=0,0,IF(WEEKDAY(DA$6,1)=1,0,IF(WEEKDAY(DA$6,1)=7,0,MIN(8,DA49)*DA48))))-MIN(IF(DA48&lt;=0,0,IF(WEEKDAY(DA$6,1)=1,0,IF(WEEKDAY(DA$6,1)=7,0,MIN(8,DA49)*DA48))),MAX(0,40*MAX(1,DA48)-(CX50+CY50+CZ50)))))</f>
        <v>3</v>
      </c>
      <c r="DB51" s="63">
        <f>IF(AND(DB48=1,DB49=11),3,IF(DB48&lt;=0,0,IF(WEEKDAY(DB$6,1)=1,0,IF(WEEKDAY(DB$6,1)=7,DB48*DB49,MAX(0,DB49-8)*DB48)))+((IF(DB48&lt;=0,0,IF(WEEKDAY(DB$6,1)=1,0,IF(WEEKDAY(DB$6,1)=7,0,MIN(8,DB49)*DB48))))-MIN(IF(DB48&lt;=0,0,IF(WEEKDAY(DB$6,1)=1,0,IF(WEEKDAY(DB$6,1)=7,0,MIN(8,DB49)*DB48))),MAX(0,40*MAX(1,DB48)-(CX50+CY50+CZ50+DA50)))))</f>
        <v>3</v>
      </c>
      <c r="DC51" s="64">
        <f>IF(AND(DC48=1,DC49=11),11,IF(DC48&lt;=0,0,IF(WEEKDAY(DC$6,1)=1,0,IF(WEEKDAY(DC$6,1)=7,DC48*DC49,MAX(0,DC49-8)*DC48)))+((IF(DC48&lt;=0,0,IF(WEEKDAY(DC$6,1)=1,0,IF(WEEKDAY(DC$6,1)=7,0,MIN(8,DC49)*DC48))))-MIN(IF(DC48&lt;=0,0,IF(WEEKDAY(DC$6,1)=1,0,IF(WEEKDAY(DC$6,1)=7,0,MIN(8,DC49)*DC48))),MAX(0,40*MAX(1,DC48)-(CX50+CY50+CZ50+DA50+DB50)))))</f>
        <v>11</v>
      </c>
      <c r="DD51" s="64">
        <f>IF(AND(DD48=1,DD49=11),0,IF(DD48&lt;=0,0,IF(WEEKDAY(DD$6,1)=1,0,IF(WEEKDAY(DD$6,1)=7,DD48*DD49,MAX(0,DD49-8)*DD48)))+((IF(DD48&lt;=0,0,IF(WEEKDAY(DD$6,1)=1,0,IF(WEEKDAY(DD$6,1)=7,0,MIN(8,DD49)*DD48))))-MIN(IF(DD48&lt;=0,0,IF(WEEKDAY(DD$6,1)=1,0,IF(WEEKDAY(DD$6,1)=7,0,MIN(8,DD49)*DD48))),MAX(0,40*MAX(1,DD48)-(0)))))</f>
        <v>0</v>
      </c>
      <c r="DE51" s="63">
        <f>IF(AND(DE48=1,DE49=11),3,IF(DE48&lt;=0,0,IF(WEEKDAY(DE$6,1)=1,0,IF(WEEKDAY(DE$6,1)=7,DE48*DE49,MAX(0,DE49-8)*DE48)))+((IF(DE48&lt;=0,0,IF(WEEKDAY(DE$6,1)=1,0,IF(WEEKDAY(DE$6,1)=7,0,MIN(8,DE49)*DE48))))-MIN(IF(DE48&lt;=0,0,IF(WEEKDAY(DE$6,1)=1,0,IF(WEEKDAY(DE$6,1)=7,0,MIN(8,DE49)*DE48))),MAX(0,40*MAX(1,DE48)-(0)))))</f>
        <v>3</v>
      </c>
      <c r="DF51" s="63">
        <f>IF(AND(DF48=1,DF49=11),3,IF(DF48&lt;=0,0,IF(WEEKDAY(DF$6,1)=1,0,IF(WEEKDAY(DF$6,1)=7,DF48*DF49,MAX(0,DF49-8)*DF48)))+((IF(DF48&lt;=0,0,IF(WEEKDAY(DF$6,1)=1,0,IF(WEEKDAY(DF$6,1)=7,0,MIN(8,DF49)*DF48))))-MIN(IF(DF48&lt;=0,0,IF(WEEKDAY(DF$6,1)=1,0,IF(WEEKDAY(DF$6,1)=7,0,MIN(8,DF49)*DF48))),MAX(0,40*MAX(1,DF48)-(DE50)))))</f>
        <v>3</v>
      </c>
      <c r="DG51" s="63">
        <f>IF(AND(DG48=1,DG49=11),3,IF(DG48&lt;=0,0,IF(WEEKDAY(DG$6,1)=1,0,IF(WEEKDAY(DG$6,1)=7,DG48*DG49,MAX(0,DG49-8)*DG48)))+((IF(DG48&lt;=0,0,IF(WEEKDAY(DG$6,1)=1,0,IF(WEEKDAY(DG$6,1)=7,0,MIN(8,DG49)*DG48))))-MIN(IF(DG48&lt;=0,0,IF(WEEKDAY(DG$6,1)=1,0,IF(WEEKDAY(DG$6,1)=7,0,MIN(8,DG49)*DG48))),MAX(0,40*MAX(1,DG48)-(DE50+DF50)))))</f>
        <v>3</v>
      </c>
      <c r="DH51" s="63">
        <f>IF(AND(DH48=1,DH49=11),3,IF(DH48&lt;=0,0,IF(WEEKDAY(DH$6,1)=1,0,IF(WEEKDAY(DH$6,1)=7,DH48*DH49,MAX(0,DH49-8)*DH48)))+((IF(DH48&lt;=0,0,IF(WEEKDAY(DH$6,1)=1,0,IF(WEEKDAY(DH$6,1)=7,0,MIN(8,DH49)*DH48))))-MIN(IF(DH48&lt;=0,0,IF(WEEKDAY(DH$6,1)=1,0,IF(WEEKDAY(DH$6,1)=7,0,MIN(8,DH49)*DH48))),MAX(0,40*MAX(1,DH48)-(DE50+DF50+DG50)))))</f>
        <v>3</v>
      </c>
      <c r="DI51" s="63">
        <f>IF(AND(DI48=1,DI49=11),3,IF(DI48&lt;=0,0,IF(WEEKDAY(DI$6,1)=1,0,IF(WEEKDAY(DI$6,1)=7,DI48*DI49,MAX(0,DI49-8)*DI48)))+((IF(DI48&lt;=0,0,IF(WEEKDAY(DI$6,1)=1,0,IF(WEEKDAY(DI$6,1)=7,0,MIN(8,DI49)*DI48))))-MIN(IF(DI48&lt;=0,0,IF(WEEKDAY(DI$6,1)=1,0,IF(WEEKDAY(DI$6,1)=7,0,MIN(8,DI49)*DI48))),MAX(0,40*MAX(1,DI48)-(DE50+DF50+DG50+DH50)))))</f>
        <v>3</v>
      </c>
      <c r="DJ51" s="64">
        <f>IF(AND(DJ48=1,DJ49=11),11,IF(DJ48&lt;=0,0,IF(WEEKDAY(DJ$6,1)=1,0,IF(WEEKDAY(DJ$6,1)=7,DJ48*DJ49,MAX(0,DJ49-8)*DJ48)))+((IF(DJ48&lt;=0,0,IF(WEEKDAY(DJ$6,1)=1,0,IF(WEEKDAY(DJ$6,1)=7,0,MIN(8,DJ49)*DJ48))))-MIN(IF(DJ48&lt;=0,0,IF(WEEKDAY(DJ$6,1)=1,0,IF(WEEKDAY(DJ$6,1)=7,0,MIN(8,DJ49)*DJ48))),MAX(0,40*MAX(1,DJ48)-(DE50+DF50+DG50+DH50+DI50)))))</f>
        <v>11</v>
      </c>
      <c r="DK51" s="64">
        <f>IF(AND(DK48=1,DK49=11),0,IF(DK48&lt;=0,0,IF(WEEKDAY(DK$6,1)=1,0,IF(WEEKDAY(DK$6,1)=7,DK48*DK49,MAX(0,DK49-8)*DK48)))+((IF(DK48&lt;=0,0,IF(WEEKDAY(DK$6,1)=1,0,IF(WEEKDAY(DK$6,1)=7,0,MIN(8,DK49)*DK48))))-MIN(IF(DK48&lt;=0,0,IF(WEEKDAY(DK$6,1)=1,0,IF(WEEKDAY(DK$6,1)=7,0,MIN(8,DK49)*DK48))),MAX(0,40*MAX(1,DK48)-(DE50+DF50+DG50+DH50+DI50+DJ50)))))</f>
        <v>0</v>
      </c>
      <c r="DL51" s="63">
        <f>IF(AND(DL48=1,DL49=11),3,IF(DL48&lt;=0,0,IF(WEEKDAY(DL$6,1)=1,0,IF(WEEKDAY(DL$6,1)=7,DL48*DL49,MAX(0,DL49-8)*DL48)))+((IF(DL48&lt;=0,0,IF(WEEKDAY(DL$6,1)=1,0,IF(WEEKDAY(DL$6,1)=7,0,MIN(8,DL49)*DL48))))-MIN(IF(DL48&lt;=0,0,IF(WEEKDAY(DL$6,1)=1,0,IF(WEEKDAY(DL$6,1)=7,0,MIN(8,DL49)*DL48))),MAX(0,40*MAX(1,DL48)-(0)))))</f>
        <v>3</v>
      </c>
      <c r="DM51" s="63">
        <f>IF(AND(DM48=1,DM49=11),3,IF(DM48&lt;=0,0,IF(WEEKDAY(DM$6,1)=1,0,IF(WEEKDAY(DM$6,1)=7,DM48*DM49,MAX(0,DM49-8)*DM48)))+((IF(DM48&lt;=0,0,IF(WEEKDAY(DM$6,1)=1,0,IF(WEEKDAY(DM$6,1)=7,0,MIN(8,DM49)*DM48))))-MIN(IF(DM48&lt;=0,0,IF(WEEKDAY(DM$6,1)=1,0,IF(WEEKDAY(DM$6,1)=7,0,MIN(8,DM49)*DM48))),MAX(0,40*MAX(1,DM48)-(DL50)))))</f>
        <v>3</v>
      </c>
      <c r="DN51" s="63">
        <f>IF(AND(DN48=1,DN49=11),3,IF(DN48&lt;=0,0,IF(WEEKDAY(DN$6,1)=1,0,IF(WEEKDAY(DN$6,1)=7,DN48*DN49,MAX(0,DN49-8)*DN48)))+((IF(DN48&lt;=0,0,IF(WEEKDAY(DN$6,1)=1,0,IF(WEEKDAY(DN$6,1)=7,0,MIN(8,DN49)*DN48))))-MIN(IF(DN48&lt;=0,0,IF(WEEKDAY(DN$6,1)=1,0,IF(WEEKDAY(DN$6,1)=7,0,MIN(8,DN49)*DN48))),MAX(0,40*MAX(1,DN48)-(DL50+DM50)))))</f>
        <v>3</v>
      </c>
      <c r="DO51" s="63">
        <f>IF(AND(DO48=1,DO49=11),3,IF(DO48&lt;=0,0,IF(WEEKDAY(DO$6,1)=1,0,IF(WEEKDAY(DO$6,1)=7,DO48*DO49,MAX(0,DO49-8)*DO48)))+((IF(DO48&lt;=0,0,IF(WEEKDAY(DO$6,1)=1,0,IF(WEEKDAY(DO$6,1)=7,0,MIN(8,DO49)*DO48))))-MIN(IF(DO48&lt;=0,0,IF(WEEKDAY(DO$6,1)=1,0,IF(WEEKDAY(DO$6,1)=7,0,MIN(8,DO49)*DO48))),MAX(0,40*MAX(1,DO48)-(DL50+DM50+DN50)))))</f>
        <v>3</v>
      </c>
      <c r="DP51" s="63">
        <f>IF(AND(DP48=1,DP49=11),3,IF(DP48&lt;=0,0,IF(WEEKDAY(DP$6,1)=1,0,IF(WEEKDAY(DP$6,1)=7,DP48*DP49,MAX(0,DP49-8)*DP48)))+((IF(DP48&lt;=0,0,IF(WEEKDAY(DP$6,1)=1,0,IF(WEEKDAY(DP$6,1)=7,0,MIN(8,DP49)*DP48))))-MIN(IF(DP48&lt;=0,0,IF(WEEKDAY(DP$6,1)=1,0,IF(WEEKDAY(DP$6,1)=7,0,MIN(8,DP49)*DP48))),MAX(0,40*MAX(1,DP48)-(DL50+DM50+DN50+DO50)))))</f>
        <v>3</v>
      </c>
      <c r="DQ51" s="64">
        <f>IF(AND(DQ48=1,DQ49=11),11,IF(DQ48&lt;=0,0,IF(WEEKDAY(DQ$6,1)=1,0,IF(WEEKDAY(DQ$6,1)=7,DQ48*DQ49,MAX(0,DQ49-8)*DQ48)))+((IF(DQ48&lt;=0,0,IF(WEEKDAY(DQ$6,1)=1,0,IF(WEEKDAY(DQ$6,1)=7,0,MIN(8,DQ49)*DQ48))))-MIN(IF(DQ48&lt;=0,0,IF(WEEKDAY(DQ$6,1)=1,0,IF(WEEKDAY(DQ$6,1)=7,0,MIN(8,DQ49)*DQ48))),MAX(0,40*MAX(1,DQ48)-(DL50+DM50+DN50+DO50+DP50)))))</f>
        <v>11</v>
      </c>
      <c r="DR51" s="64">
        <f>IF(AND(DR48=1,DR49=11),0,IF(DR48&lt;=0,0,IF(WEEKDAY(DR$6,1)=1,0,IF(WEEKDAY(DR$6,1)=7,DR48*DR49,MAX(0,DR49-8)*DR48)))+((IF(DR48&lt;=0,0,IF(WEEKDAY(DR$6,1)=1,0,IF(WEEKDAY(DR$6,1)=7,0,MIN(8,DR49)*DR48))))-MIN(IF(DR48&lt;=0,0,IF(WEEKDAY(DR$6,1)=1,0,IF(WEEKDAY(DR$6,1)=7,0,MIN(8,DR49)*DR48))),MAX(0,40*MAX(1,DR48)-(DL50+DM50+DN50+DO50+DP50+DQ50)))))</f>
        <v>0</v>
      </c>
      <c r="DS51" s="63">
        <f>IF(AND(DS48=1,DS49=11),3,IF(DS48&lt;=0,0,IF(WEEKDAY(DS$6,1)=1,0,IF(WEEKDAY(DS$6,1)=7,DS48*DS49,MAX(0,DS49-8)*DS48)))+((IF(DS48&lt;=0,0,IF(WEEKDAY(DS$6,1)=1,0,IF(WEEKDAY(DS$6,1)=7,0,MIN(8,DS49)*DS48))))-MIN(IF(DS48&lt;=0,0,IF(WEEKDAY(DS$6,1)=1,0,IF(WEEKDAY(DS$6,1)=7,0,MIN(8,DS49)*DS48))),MAX(0,40*MAX(1,DS48)-(0)))))</f>
        <v>3</v>
      </c>
      <c r="DT51" s="63">
        <f>IF(AND(DT48=0,DT49=0),0,IF(DT48&lt;=0,0,IF(WEEKDAY(DT$6,1)=1,0,IF(WEEKDAY(DT$6,1)=7,DT48*DT49,MAX(0,DT49-8)*DT48)))+((IF(DT48&lt;=0,0,IF(WEEKDAY(DT$6,1)=1,0,IF(WEEKDAY(DT$6,1)=7,0,MIN(8,DT49)*DT48))))-MIN(IF(DT48&lt;=0,0,IF(WEEKDAY(DT$6,1)=1,0,IF(WEEKDAY(DT$6,1)=7,0,MIN(8,DT49)*DT48))),MAX(0,40*MAX(1,DT48)-(0)))))</f>
        <v>0</v>
      </c>
      <c r="DU51" s="63">
        <f>IF(AND(DU48=0,DU49=0),0,IF(DU48&lt;=0,0,IF(WEEKDAY(DU$6,1)=1,0,IF(WEEKDAY(DU$6,1)=7,DU48*DU49,MAX(0,DU49-8)*DU48)))+((IF(DU48&lt;=0,0,IF(WEEKDAY(DU$6,1)=1,0,IF(WEEKDAY(DU$6,1)=7,0,MIN(8,DU49)*DU48))))-MIN(IF(DU48&lt;=0,0,IF(WEEKDAY(DU$6,1)=1,0,IF(WEEKDAY(DU$6,1)=7,0,MIN(8,DU49)*DU48))),MAX(0,40*MAX(1,DU48)-(DT50)))))</f>
        <v>0</v>
      </c>
      <c r="DV51" s="63">
        <f>IF(AND(DV48=0,DV49=0),0,IF(DV48&lt;=0,0,IF(WEEKDAY(DV$6,1)=1,0,IF(WEEKDAY(DV$6,1)=7,DV48*DV49,MAX(0,DV49-8)*DV48)))+((IF(DV48&lt;=0,0,IF(WEEKDAY(DV$6,1)=1,0,IF(WEEKDAY(DV$6,1)=7,0,MIN(8,DV49)*DV48))))-MIN(IF(DV48&lt;=0,0,IF(WEEKDAY(DV$6,1)=1,0,IF(WEEKDAY(DV$6,1)=7,0,MIN(8,DV49)*DV48))),MAX(0,40*MAX(1,DV48)-(DT50+DU50)))))</f>
        <v>0</v>
      </c>
      <c r="DW51" s="63">
        <f>IF(AND(DW48=0,DW49=0),0,IF(DW48&lt;=0,0,IF(WEEKDAY(DW$6,1)=1,0,IF(WEEKDAY(DW$6,1)=7,DW48*DW49,MAX(0,DW49-8)*DW48)))+((IF(DW48&lt;=0,0,IF(WEEKDAY(DW$6,1)=1,0,IF(WEEKDAY(DW$6,1)=7,0,MIN(8,DW49)*DW48))))-MIN(IF(DW48&lt;=0,0,IF(WEEKDAY(DW$6,1)=1,0,IF(WEEKDAY(DW$6,1)=7,0,MIN(8,DW49)*DW48))),MAX(0,40*MAX(1,DW48)-(DT50+DU50+DV50)))))</f>
        <v>0</v>
      </c>
      <c r="DX51" s="64">
        <f>IF(AND(DX48=0,DX49=0),0,IF(DX48&lt;=0,0,IF(WEEKDAY(DX$6,1)=1,0,IF(WEEKDAY(DX$6,1)=7,DX48*DX49,MAX(0,DX49-8)*DX48)))+((IF(DX48&lt;=0,0,IF(WEEKDAY(DX$6,1)=1,0,IF(WEEKDAY(DX$6,1)=7,0,MIN(8,DX49)*DX48))))-MIN(IF(DX48&lt;=0,0,IF(WEEKDAY(DX$6,1)=1,0,IF(WEEKDAY(DX$6,1)=7,0,MIN(8,DX49)*DX48))),MAX(0,40*MAX(1,DX48)-(DT50+DU50+DV50+DW50)))))</f>
        <v>0</v>
      </c>
      <c r="DY51" s="64">
        <f>IF(AND(DY48=0,DY49=0),0,IF(DY48&lt;=0,0,IF(WEEKDAY(DY$6,1)=1,0,IF(WEEKDAY(DY$6,1)=7,DY48*DY49,MAX(0,DY49-8)*DY48)))+((IF(DY48&lt;=0,0,IF(WEEKDAY(DY$6,1)=1,0,IF(WEEKDAY(DY$6,1)=7,0,MIN(8,DY49)*DY48))))-MIN(IF(DY48&lt;=0,0,IF(WEEKDAY(DY$6,1)=1,0,IF(WEEKDAY(DY$6,1)=7,0,MIN(8,DY49)*DY48))),MAX(0,40*MAX(1,DY48)-(DT50+DU50+DV50+DW50+DX50)))))</f>
        <v>0</v>
      </c>
      <c r="DZ51" s="63">
        <f>IF(AND(DZ48=0,DZ49=0),0,IF(DZ48&lt;=0,0,IF(WEEKDAY(DZ$6,1)=1,0,IF(WEEKDAY(DZ$6,1)=7,DZ48*DZ49,MAX(0,DZ49-8)*DZ48)))+((IF(DZ48&lt;=0,0,IF(WEEKDAY(DZ$6,1)=1,0,IF(WEEKDAY(DZ$6,1)=7,0,MIN(8,DZ49)*DZ48))))-MIN(IF(DZ48&lt;=0,0,IF(WEEKDAY(DZ$6,1)=1,0,IF(WEEKDAY(DZ$6,1)=7,0,MIN(8,DZ49)*DZ48))),MAX(0,40*MAX(1,DZ48)-(0)))))</f>
        <v>0</v>
      </c>
      <c r="EA51" s="63">
        <f>IF(AND(EA48=0,EA49=0),0,IF(EA48&lt;=0,0,IF(WEEKDAY(EA$6,1)=1,0,IF(WEEKDAY(EA$6,1)=7,EA48*EA49,MAX(0,EA49-8)*EA48)))+((IF(EA48&lt;=0,0,IF(WEEKDAY(EA$6,1)=1,0,IF(WEEKDAY(EA$6,1)=7,0,MIN(8,EA49)*EA48))))-MIN(IF(EA48&lt;=0,0,IF(WEEKDAY(EA$6,1)=1,0,IF(WEEKDAY(EA$6,1)=7,0,MIN(8,EA49)*EA48))),MAX(0,40*MAX(1,EA48)-(DZ50)))))</f>
        <v>0</v>
      </c>
      <c r="EB51" s="63">
        <f>IF(AND(EB48=0,EB49=0),0,IF(EB48&lt;=0,0,IF(WEEKDAY(EB$6,1)=1,0,IF(WEEKDAY(EB$6,1)=7,EB48*EB49,MAX(0,EB49-8)*EB48)))+((IF(EB48&lt;=0,0,IF(WEEKDAY(EB$6,1)=1,0,IF(WEEKDAY(EB$6,1)=7,0,MIN(8,EB49)*EB48))))-MIN(IF(EB48&lt;=0,0,IF(WEEKDAY(EB$6,1)=1,0,IF(WEEKDAY(EB$6,1)=7,0,MIN(8,EB49)*EB48))),MAX(0,40*MAX(1,EB48)-(DZ50+EA50)))))</f>
        <v>0</v>
      </c>
      <c r="EC51" s="63">
        <f>IF(AND(EC48=0,EC49=0),0,IF(EC48&lt;=0,0,IF(WEEKDAY(EC$6,1)=1,0,IF(WEEKDAY(EC$6,1)=7,EC48*EC49,MAX(0,EC49-8)*EC48)))+((IF(EC48&lt;=0,0,IF(WEEKDAY(EC$6,1)=1,0,IF(WEEKDAY(EC$6,1)=7,0,MIN(8,EC49)*EC48))))-MIN(IF(EC48&lt;=0,0,IF(WEEKDAY(EC$6,1)=1,0,IF(WEEKDAY(EC$6,1)=7,0,MIN(8,EC49)*EC48))),MAX(0,40*MAX(1,EC48)-(DZ50+EA50+EB50)))))</f>
        <v>0</v>
      </c>
      <c r="ED51" s="63">
        <f>IF(AND(ED48=0,ED49=0),0,IF(ED48&lt;=0,0,IF(WEEKDAY(ED$6,1)=1,0,IF(WEEKDAY(ED$6,1)=7,ED48*ED49,MAX(0,ED49-8)*ED48)))+((IF(ED48&lt;=0,0,IF(WEEKDAY(ED$6,1)=1,0,IF(WEEKDAY(ED$6,1)=7,0,MIN(8,ED49)*ED48))))-MIN(IF(ED48&lt;=0,0,IF(WEEKDAY(ED$6,1)=1,0,IF(WEEKDAY(ED$6,1)=7,0,MIN(8,ED49)*ED48))),MAX(0,40*MAX(1,ED48)-(DZ50+EA50+EB50+EC50)))))</f>
        <v>0</v>
      </c>
      <c r="EE51" s="64">
        <f>IF(AND(EE48=0,EE49=0),0,IF(EE48&lt;=0,0,IF(WEEKDAY(EE$6,1)=1,0,IF(WEEKDAY(EE$6,1)=7,EE48*EE49,MAX(0,EE49-8)*EE48)))+((IF(EE48&lt;=0,0,IF(WEEKDAY(EE$6,1)=1,0,IF(WEEKDAY(EE$6,1)=7,0,MIN(8,EE49)*EE48))))-MIN(IF(EE48&lt;=0,0,IF(WEEKDAY(EE$6,1)=1,0,IF(WEEKDAY(EE$6,1)=7,0,MIN(8,EE49)*EE48))),MAX(0,40*MAX(1,EE48)-(DZ50+EA50+EB50+EC50+ED50)))))</f>
        <v>0</v>
      </c>
      <c r="EF51" s="64">
        <f>IF(AND(EF48=0,EF49=0),0,IF(EF48&lt;=0,0,IF(WEEKDAY(EF$6,1)=1,0,IF(WEEKDAY(EF$6,1)=7,EF48*EF49,MAX(0,EF49-8)*EF48)))+((IF(EF48&lt;=0,0,IF(WEEKDAY(EF$6,1)=1,0,IF(WEEKDAY(EF$6,1)=7,0,MIN(8,EF49)*EF48))))-MIN(IF(EF48&lt;=0,0,IF(WEEKDAY(EF$6,1)=1,0,IF(WEEKDAY(EF$6,1)=7,0,MIN(8,EF49)*EF48))),MAX(0,40*MAX(1,EF48)-(DZ50+EA50+EB50+EC50+ED50+EE50)))))</f>
        <v>0</v>
      </c>
      <c r="EG51" s="63">
        <f>IF(AND(EG48=0,EG49=0),0,IF(EG48&lt;=0,0,IF(WEEKDAY(EG$6,1)=1,0,IF(WEEKDAY(EG$6,1)=7,EG48*EG49,MAX(0,EG49-8)*EG48)))+((IF(EG48&lt;=0,0,IF(WEEKDAY(EG$6,1)=1,0,IF(WEEKDAY(EG$6,1)=7,0,MIN(8,EG49)*EG48))))-MIN(IF(EG48&lt;=0,0,IF(WEEKDAY(EG$6,1)=1,0,IF(WEEKDAY(EG$6,1)=7,0,MIN(8,EG49)*EG48))),MAX(0,40*MAX(1,EG48)-(0)))))</f>
        <v>0</v>
      </c>
      <c r="EH51" s="63">
        <f>IF(AND(EH48=0,EH49=0),0,IF(EH48&lt;=0,0,IF(WEEKDAY(EH$6,1)=1,0,IF(WEEKDAY(EH$6,1)=7,EH48*EH49,MAX(0,EH49-8)*EH48)))+((IF(EH48&lt;=0,0,IF(WEEKDAY(EH$6,1)=1,0,IF(WEEKDAY(EH$6,1)=7,0,MIN(8,EH49)*EH48))))-MIN(IF(EH48&lt;=0,0,IF(WEEKDAY(EH$6,1)=1,0,IF(WEEKDAY(EH$6,1)=7,0,MIN(8,EH49)*EH48))),MAX(0,40*MAX(1,EH48)-(EG50)))))</f>
        <v>0</v>
      </c>
      <c r="EI51" s="63">
        <f>IF(AND(EI48=0,EI49=0),0,IF(EI48&lt;=0,0,IF(WEEKDAY(EI$6,1)=1,0,IF(WEEKDAY(EI$6,1)=7,EI48*EI49,MAX(0,EI49-8)*EI48)))+((IF(EI48&lt;=0,0,IF(WEEKDAY(EI$6,1)=1,0,IF(WEEKDAY(EI$6,1)=7,0,MIN(8,EI49)*EI48))))-MIN(IF(EI48&lt;=0,0,IF(WEEKDAY(EI$6,1)=1,0,IF(WEEKDAY(EI$6,1)=7,0,MIN(8,EI49)*EI48))),MAX(0,40*MAX(1,EI48)-(EG50+EH50)))))</f>
        <v>0</v>
      </c>
      <c r="EJ51" s="63">
        <f>IF(AND(EJ48=0,EJ49=0),0,IF(EJ48&lt;=0,0,IF(WEEKDAY(EJ$6,1)=1,0,IF(WEEKDAY(EJ$6,1)=7,EJ48*EJ49,MAX(0,EJ49-8)*EJ48)))+((IF(EJ48&lt;=0,0,IF(WEEKDAY(EJ$6,1)=1,0,IF(WEEKDAY(EJ$6,1)=7,0,MIN(8,EJ49)*EJ48))))-MIN(IF(EJ48&lt;=0,0,IF(WEEKDAY(EJ$6,1)=1,0,IF(WEEKDAY(EJ$6,1)=7,0,MIN(8,EJ49)*EJ48))),MAX(0,40*MAX(1,EJ48)-(EG50+EH50+EI50)))))</f>
        <v>0</v>
      </c>
      <c r="EK51" s="65">
        <f>IF(AND(EK48=0,EK49=0),0,IF(EK48&lt;=0,0,IF(WEEKDAY(EK$6,1)=1,0,IF(WEEKDAY(EK$6,1)=7,EK48*EK49,MAX(0,EK49-8)*EK48)))+((IF(EK48&lt;=0,0,IF(WEEKDAY(EK$6,1)=1,0,IF(WEEKDAY(EK$6,1)=7,0,MIN(8,EK49)*EK48))))-MIN(IF(EK48&lt;=0,0,IF(WEEKDAY(EK$6,1)=1,0,IF(WEEKDAY(EK$6,1)=7,0,MIN(8,EK49)*EK48))),MAX(0,40*MAX(1,EK48)-(EG50+EH50+EI50+EJ50)))))</f>
        <v>0</v>
      </c>
      <c r="OU51" s="28" t="s">
        <v>127</v>
      </c>
    </row>
    <row r="52" ht="16" customHeight="1" spans="1:411" x14ac:dyDescent="0.25">
      <c r="A52" s="74"/>
      <c r="B52" s="79"/>
      <c r="C52" s="61">
        <f>H47*N(D52)</f>
        <v>15183.63</v>
      </c>
      <c r="D52" s="61">
        <f>IF(TRIM(IF(TRIM(B51)&lt;&gt;"",B51,B47))="","No rate",IFERROR(INDEX('Rate Tables'!E$7:E$158,MATCH(IF(TRIM(B51)&lt;&gt;"",B51,B47),'Rate Tables'!A$7:A$158,0)),"No rate"))</f>
        <v>197.19</v>
      </c>
      <c r="E52" s="55" t="s">
        <v>64</v>
      </c>
      <c r="F52" s="49"/>
      <c r="G52" s="49"/>
      <c r="H52" s="49"/>
      <c r="I52" s="49"/>
      <c r="J52" s="50"/>
      <c r="K52" s="62">
        <f>IF(AND(K48=0,K49=0),0,IF(K48&lt;=0,0,IF(WEEKDAY(K$6,1)=1,K48*K49,0)))</f>
        <v>0</v>
      </c>
      <c r="L52" s="63">
        <f>IF(AND(L48=0,L49=0),0,IF(L48&lt;=0,0,IF(WEEKDAY(L$6,1)=1,L48*L49,0)))</f>
        <v>0</v>
      </c>
      <c r="M52" s="63">
        <f>IF(AND(M48=0,M49=0),0,IF(M48&lt;=0,0,IF(WEEKDAY(M$6,1)=1,M48*M49,0)))</f>
        <v>0</v>
      </c>
      <c r="N52" s="63">
        <f>IF(AND(N48=0,N49=0),0,IF(N48&lt;=0,0,IF(WEEKDAY(N$6,1)=1,N48*N49,0)))</f>
        <v>0</v>
      </c>
      <c r="O52" s="63">
        <f>IF(AND(O48=0,O49=0),0,IF(O48&lt;=0,0,IF(WEEKDAY(O$6,1)=1,O48*O49,0)))</f>
        <v>0</v>
      </c>
      <c r="P52" s="64">
        <f>IF(AND(P48=0,P49=0),0,IF(P48&lt;=0,0,IF(WEEKDAY(P$6,1)=1,P48*P49,0)))</f>
        <v>0</v>
      </c>
      <c r="Q52" s="64">
        <f>IF(AND(Q48=0,Q49=0),0,IF(Q48&lt;=0,0,IF(WEEKDAY(Q$6,1)=1,Q48*Q49,0)))</f>
        <v>0</v>
      </c>
      <c r="R52" s="63">
        <f>IF(AND(R48=0,R49=0),0,IF(R48&lt;=0,0,IF(WEEKDAY(R$6,1)=1,R48*R49,0)))</f>
        <v>0</v>
      </c>
      <c r="S52" s="63">
        <f>IF(AND(S48=0,S49=0),0,IF(S48&lt;=0,0,IF(WEEKDAY(S$6,1)=1,S48*S49,0)))</f>
        <v>0</v>
      </c>
      <c r="T52" s="63">
        <f>IF(AND(T48=0,T49=0),0,IF(T48&lt;=0,0,IF(WEEKDAY(T$6,1)=1,T48*T49,0)))</f>
        <v>0</v>
      </c>
      <c r="U52" s="63">
        <f>IF(AND(U48=0,U49=0),0,IF(U48&lt;=0,0,IF(WEEKDAY(U$6,1)=1,U48*U49,0)))</f>
        <v>0</v>
      </c>
      <c r="V52" s="63">
        <f>IF(AND(V48=0,V49=0),0,IF(V48&lt;=0,0,IF(WEEKDAY(V$6,1)=1,V48*V49,0)))</f>
        <v>0</v>
      </c>
      <c r="W52" s="64">
        <f>IF(AND(W48=0,W49=0),0,IF(W48&lt;=0,0,IF(WEEKDAY(W$6,1)=1,W48*W49,0)))</f>
        <v>0</v>
      </c>
      <c r="X52" s="64">
        <f>IF(AND(X48=0,X49=0),0,IF(X48&lt;=0,0,IF(WEEKDAY(X$6,1)=1,X48*X49,0)))</f>
        <v>0</v>
      </c>
      <c r="Y52" s="63">
        <f>IF(AND(Y48=0,Y49=0),0,IF(Y48&lt;=0,0,IF(WEEKDAY(Y$6,1)=1,Y48*Y49,0)))</f>
        <v>0</v>
      </c>
      <c r="Z52" s="63">
        <f>IF(AND(Z48=0,Z49=0),0,IF(Z48&lt;=0,0,IF(WEEKDAY(Z$6,1)=1,Z48*Z49,0)))</f>
        <v>0</v>
      </c>
      <c r="AA52" s="63">
        <f>IF(AND(AA48=0,AA49=0),0,IF(AA48&lt;=0,0,IF(WEEKDAY(AA$6,1)=1,AA48*AA49,0)))</f>
        <v>0</v>
      </c>
      <c r="AB52" s="63">
        <f>IF(AND(AB48=0,AB49=0),0,IF(AB48&lt;=0,0,IF(WEEKDAY(AB$6,1)=1,AB48*AB49,0)))</f>
        <v>0</v>
      </c>
      <c r="AC52" s="63">
        <f>IF(AND(AC48=0,AC49=0),0,IF(AC48&lt;=0,0,IF(WEEKDAY(AC$6,1)=1,AC48*AC49,0)))</f>
        <v>0</v>
      </c>
      <c r="AD52" s="64">
        <f>IF(AND(AD48=0,AD49=0),0,IF(AD48&lt;=0,0,IF(WEEKDAY(AD$6,1)=1,AD48*AD49,0)))</f>
        <v>0</v>
      </c>
      <c r="AE52" s="64">
        <f>IF(AND(AE48=0,AE49=0),0,IF(AE48&lt;=0,0,IF(WEEKDAY(AE$6,1)=1,AE48*AE49,0)))</f>
        <v>0</v>
      </c>
      <c r="AF52" s="63">
        <f>IF(AND(AF48=0,AF49=0),0,IF(AF48&lt;=0,0,IF(WEEKDAY(AF$6,1)=1,AF48*AF49,0)))</f>
        <v>0</v>
      </c>
      <c r="AG52" s="63">
        <f>IF(AND(AG48=0,AG49=0),0,IF(AG48&lt;=0,0,IF(WEEKDAY(AG$6,1)=1,AG48*AG49,0)))</f>
        <v>0</v>
      </c>
      <c r="AH52" s="63">
        <f>IF(AND(AH48=0,AH49=0),0,IF(AH48&lt;=0,0,IF(WEEKDAY(AH$6,1)=1,AH48*AH49,0)))</f>
        <v>0</v>
      </c>
      <c r="AI52" s="63">
        <f>IF(AND(AI48=0,AI49=0),0,IF(AI48&lt;=0,0,IF(WEEKDAY(AI$6,1)=1,AI48*AI49,0)))</f>
        <v>0</v>
      </c>
      <c r="AJ52" s="63">
        <f>IF(AND(AJ48=0,AJ49=0),0,IF(AJ48&lt;=0,0,IF(WEEKDAY(AJ$6,1)=1,AJ48*AJ49,0)))</f>
        <v>0</v>
      </c>
      <c r="AK52" s="64">
        <f>IF(AND(AK48=0,AK49=0),0,IF(AK48&lt;=0,0,IF(WEEKDAY(AK$6,1)=1,AK48*AK49,0)))</f>
        <v>0</v>
      </c>
      <c r="AL52" s="64">
        <f>IF(AND(AL48=0,AL49=0),0,IF(AL48&lt;=0,0,IF(WEEKDAY(AL$6,1)=1,AL48*AL49,0)))</f>
        <v>0</v>
      </c>
      <c r="AM52" s="63">
        <f>IF(AND(AM48=0,AM49=0),0,IF(AM48&lt;=0,0,IF(WEEKDAY(AM$6,1)=1,AM48*AM49,0)))</f>
        <v>0</v>
      </c>
      <c r="AN52" s="63">
        <f>IF(AND(AN48=0,AN49=0),0,IF(AN48&lt;=0,0,IF(WEEKDAY(AN$6,1)=1,AN48*AN49,0)))</f>
        <v>0</v>
      </c>
      <c r="AO52" s="63">
        <f>IF(AND(AO48=0,AO49=0),0,IF(AO48&lt;=0,0,IF(WEEKDAY(AO$6,1)=1,AO48*AO49,0)))</f>
        <v>0</v>
      </c>
      <c r="AP52" s="63">
        <f>IF(AND(AP48=0,AP49=0),0,IF(AP48&lt;=0,0,IF(WEEKDAY(AP$6,1)=1,AP48*AP49,0)))</f>
        <v>0</v>
      </c>
      <c r="AQ52" s="63">
        <f>IF(AND(AQ48=0,AQ49=0),0,IF(AQ48&lt;=0,0,IF(WEEKDAY(AQ$6,1)=1,AQ48*AQ49,0)))</f>
        <v>0</v>
      </c>
      <c r="AR52" s="64">
        <f>IF(AND(AR48=0,AR49=0),0,IF(AR48&lt;=0,0,IF(WEEKDAY(AR$6,1)=1,AR48*AR49,0)))</f>
        <v>0</v>
      </c>
      <c r="AS52" s="64">
        <f>IF(AND(AS48=0,AS49=0),0,IF(AS48&lt;=0,0,IF(WEEKDAY(AS$6,1)=1,AS48*AS49,0)))</f>
        <v>0</v>
      </c>
      <c r="AT52" s="63">
        <f>IF(AND(AT48=0,AT49=0),0,IF(AT48&lt;=0,0,IF(WEEKDAY(AT$6,1)=1,AT48*AT49,0)))</f>
        <v>0</v>
      </c>
      <c r="AU52" s="63">
        <f>IF(AND(AU48=0,AU49=0),0,IF(AU48&lt;=0,0,IF(WEEKDAY(AU$6,1)=1,AU48*AU49,0)))</f>
        <v>0</v>
      </c>
      <c r="AV52" s="63">
        <f>IF(AND(AV48=0,AV49=0),0,IF(AV48&lt;=0,0,IF(WEEKDAY(AV$6,1)=1,AV48*AV49,0)))</f>
        <v>0</v>
      </c>
      <c r="AW52" s="63">
        <f>IF(AND(AW48=0,AW49=0),0,IF(AW48&lt;=0,0,IF(WEEKDAY(AW$6,1)=1,AW48*AW49,0)))</f>
        <v>0</v>
      </c>
      <c r="AX52" s="63">
        <f>IF(AND(AX48=0,AX49=0),0,IF(AX48&lt;=0,0,IF(WEEKDAY(AX$6,1)=1,AX48*AX49,0)))</f>
        <v>0</v>
      </c>
      <c r="AY52" s="64">
        <f>IF(AND(AY48=0,AY49=0),0,IF(AY48&lt;=0,0,IF(WEEKDAY(AY$6,1)=1,AY48*AY49,0)))</f>
        <v>0</v>
      </c>
      <c r="AZ52" s="64">
        <f>IF(AND(AZ48=0,AZ49=0),0,IF(AZ48&lt;=0,0,IF(WEEKDAY(AZ$6,1)=1,AZ48*AZ49,0)))</f>
        <v>0</v>
      </c>
      <c r="BA52" s="63">
        <f>IF(AND(BA48=0,BA49=0),0,IF(BA48&lt;=0,0,IF(WEEKDAY(BA$6,1)=1,BA48*BA49,0)))</f>
        <v>0</v>
      </c>
      <c r="BB52" s="63">
        <f>IF(AND(BB48=0,BB49=0),0,IF(BB48&lt;=0,0,IF(WEEKDAY(BB$6,1)=1,BB48*BB49,0)))</f>
        <v>0</v>
      </c>
      <c r="BC52" s="63">
        <f>IF(AND(BC48=0,BC49=0),0,IF(BC48&lt;=0,0,IF(WEEKDAY(BC$6,1)=1,BC48*BC49,0)))</f>
        <v>0</v>
      </c>
      <c r="BD52" s="63">
        <f>IF(AND(BD48=0,BD49=0),0,IF(BD48&lt;=0,0,IF(WEEKDAY(BD$6,1)=1,BD48*BD49,0)))</f>
        <v>0</v>
      </c>
      <c r="BE52" s="63">
        <f>IF(AND(BE48=0,BE49=0),0,IF(BE48&lt;=0,0,IF(WEEKDAY(BE$6,1)=1,BE48*BE49,0)))</f>
        <v>0</v>
      </c>
      <c r="BF52" s="64">
        <f>IF(AND(BF48=0,BF49=0),0,IF(BF48&lt;=0,0,IF(WEEKDAY(BF$6,1)=1,BF48*BF49,0)))</f>
        <v>0</v>
      </c>
      <c r="BG52" s="64">
        <f>IF(AND(BG48=0,BG49=0),0,IF(BG48&lt;=0,0,IF(WEEKDAY(BG$6,1)=1,BG48*BG49,0)))</f>
        <v>0</v>
      </c>
      <c r="BH52" s="63">
        <f>IF(AND(BH48=1,BH49=11),0,IF(BH48&lt;=0,0,IF(WEEKDAY(BH$6,1)=1,BH48*BH49,0)))</f>
        <v>0</v>
      </c>
      <c r="BI52" s="63">
        <f>IF(AND(BI48=1,BI49=11),0,IF(BI48&lt;=0,0,IF(WEEKDAY(BI$6,1)=1,BI48*BI49,0)))</f>
        <v>0</v>
      </c>
      <c r="BJ52" s="63">
        <f>IF(AND(BJ48=1,BJ49=11),0,IF(BJ48&lt;=0,0,IF(WEEKDAY(BJ$6,1)=1,BJ48*BJ49,0)))</f>
        <v>0</v>
      </c>
      <c r="BK52" s="63">
        <f>IF(AND(BK48=1,BK49=11),0,IF(BK48&lt;=0,0,IF(WEEKDAY(BK$6,1)=1,BK48*BK49,0)))</f>
        <v>0</v>
      </c>
      <c r="BL52" s="63">
        <f>IF(AND(BL48=1,BL49=11),0,IF(BL48&lt;=0,0,IF(WEEKDAY(BL$6,1)=1,BL48*BL49,0)))</f>
        <v>0</v>
      </c>
      <c r="BM52" s="64">
        <f>IF(AND(BM48=1,BM49=11),0,IF(BM48&lt;=0,0,IF(WEEKDAY(BM$6,1)=1,BM48*BM49,0)))</f>
        <v>0</v>
      </c>
      <c r="BN52" s="64">
        <f>IF(AND(BN48=1,BN49=11),11,IF(BN48&lt;=0,0,IF(WEEKDAY(BN$6,1)=1,BN48*BN49,0)))</f>
        <v>11</v>
      </c>
      <c r="BO52" s="63">
        <f>IF(AND(BO48=1,BO49=11),0,IF(BO48&lt;=0,0,IF(WEEKDAY(BO$6,1)=1,BO48*BO49,0)))</f>
        <v>0</v>
      </c>
      <c r="BP52" s="63">
        <f>IF(AND(BP48=1,BP49=11),0,IF(BP48&lt;=0,0,IF(WEEKDAY(BP$6,1)=1,BP48*BP49,0)))</f>
        <v>0</v>
      </c>
      <c r="BQ52" s="63">
        <f>IF(AND(BQ48=1,BQ49=11),0,IF(BQ48&lt;=0,0,IF(WEEKDAY(BQ$6,1)=1,BQ48*BQ49,0)))</f>
        <v>0</v>
      </c>
      <c r="BR52" s="63">
        <f>IF(AND(BR48=1,BR49=11),0,IF(BR48&lt;=0,0,IF(WEEKDAY(BR$6,1)=1,BR48*BR49,0)))</f>
        <v>0</v>
      </c>
      <c r="BS52" s="63">
        <f>IF(AND(BS48=1,BS49=11),0,IF(BS48&lt;=0,0,IF(WEEKDAY(BS$6,1)=1,BS48*BS49,0)))</f>
        <v>0</v>
      </c>
      <c r="BT52" s="64">
        <f>IF(AND(BT48=1,BT49=11),0,IF(BT48&lt;=0,0,IF(WEEKDAY(BT$6,1)=1,BT48*BT49,0)))</f>
        <v>0</v>
      </c>
      <c r="BU52" s="64">
        <f>IF(AND(BU48=1,BU49=11),11,IF(BU48&lt;=0,0,IF(WEEKDAY(BU$6,1)=1,BU48*BU49,0)))</f>
        <v>11</v>
      </c>
      <c r="BV52" s="63">
        <f>IF(AND(BV48=1,BV49=11),0,IF(BV48&lt;=0,0,IF(WEEKDAY(BV$6,1)=1,BV48*BV49,0)))</f>
        <v>0</v>
      </c>
      <c r="BW52" s="63">
        <f>IF(AND(BW48=1,BW49=11),0,IF(BW48&lt;=0,0,IF(WEEKDAY(BW$6,1)=1,BW48*BW49,0)))</f>
        <v>0</v>
      </c>
      <c r="BX52" s="63">
        <f>IF(AND(BX48=1,BX49=11),0,IF(BX48&lt;=0,0,IF(WEEKDAY(BX$6,1)=1,BX48*BX49,0)))</f>
        <v>0</v>
      </c>
      <c r="BY52" s="63">
        <f>IF(AND(BY48=1,BY49=11),0,IF(BY48&lt;=0,0,IF(WEEKDAY(BY$6,1)=1,BY48*BY49,0)))</f>
        <v>0</v>
      </c>
      <c r="BZ52" s="63">
        <f>IF(AND(BZ48=1,BZ49=11),0,IF(BZ48&lt;=0,0,IF(WEEKDAY(BZ$6,1)=1,BZ48*BZ49,0)))</f>
        <v>0</v>
      </c>
      <c r="CA52" s="64">
        <f>IF(AND(CA48=1,CA49=11),0,IF(CA48&lt;=0,0,IF(WEEKDAY(CA$6,1)=1,CA48*CA49,0)))</f>
        <v>0</v>
      </c>
      <c r="CB52" s="64">
        <f>IF(AND(CB48=0,CB49=0),0,IF(CB48&lt;=0,0,IF(WEEKDAY(CB$6,1)=1,CB48*CB49,0)))</f>
        <v>0</v>
      </c>
      <c r="CC52" s="63">
        <f>IF(AND(CC48=1,CC49=11),0,IF(CC48&lt;=0,0,IF(WEEKDAY(CC$6,1)=1,CC48*CC49,0)))</f>
        <v>0</v>
      </c>
      <c r="CD52" s="63">
        <f>IF(AND(CD48=1,CD49=11),0,IF(CD48&lt;=0,0,IF(WEEKDAY(CD$6,1)=1,CD48*CD49,0)))</f>
        <v>0</v>
      </c>
      <c r="CE52" s="63">
        <f>IF(AND(CE48=1,CE49=11),0,IF(CE48&lt;=0,0,IF(WEEKDAY(CE$6,1)=1,CE48*CE49,0)))</f>
        <v>0</v>
      </c>
      <c r="CF52" s="63">
        <f>IF(AND(CF48=1,CF49=11),0,IF(CF48&lt;=0,0,IF(WEEKDAY(CF$6,1)=1,CF48*CF49,0)))</f>
        <v>0</v>
      </c>
      <c r="CG52" s="63">
        <f>IF(AND(CG48=1,CG49=11),0,IF(CG48&lt;=0,0,IF(WEEKDAY(CG$6,1)=1,CG48*CG49,0)))</f>
        <v>0</v>
      </c>
      <c r="CH52" s="64">
        <f>IF(AND(CH48=1,CH49=11),0,IF(CH48&lt;=0,0,IF(WEEKDAY(CH$6,1)=1,CH48*CH49,0)))</f>
        <v>0</v>
      </c>
      <c r="CI52" s="64">
        <f>IF(AND(CI48=1,CI49=11),11,IF(CI48&lt;=0,0,IF(WEEKDAY(CI$6,1)=1,CI48*CI49,0)))</f>
        <v>11</v>
      </c>
      <c r="CJ52" s="63">
        <f>IF(AND(CJ48=1,CJ49=11),0,IF(CJ48&lt;=0,0,IF(WEEKDAY(CJ$6,1)=1,CJ48*CJ49,0)))</f>
        <v>0</v>
      </c>
      <c r="CK52" s="63">
        <f>IF(AND(CK48=1,CK49=11),0,IF(CK48&lt;=0,0,IF(WEEKDAY(CK$6,1)=1,CK48*CK49,0)))</f>
        <v>0</v>
      </c>
      <c r="CL52" s="63">
        <f>IF(AND(CL48=1,CL49=11),0,IF(CL48&lt;=0,0,IF(WEEKDAY(CL$6,1)=1,CL48*CL49,0)))</f>
        <v>0</v>
      </c>
      <c r="CM52" s="63">
        <f>IF(AND(CM48=1,CM49=11),0,IF(CM48&lt;=0,0,IF(WEEKDAY(CM$6,1)=1,CM48*CM49,0)))</f>
        <v>0</v>
      </c>
      <c r="CN52" s="63">
        <f>IF(AND(CN48=1,CN49=11),0,IF(CN48&lt;=0,0,IF(WEEKDAY(CN$6,1)=1,CN48*CN49,0)))</f>
        <v>0</v>
      </c>
      <c r="CO52" s="64">
        <f>IF(AND(CO48=1,CO49=11),0,IF(CO48&lt;=0,0,IF(WEEKDAY(CO$6,1)=1,CO48*CO49,0)))</f>
        <v>0</v>
      </c>
      <c r="CP52" s="64">
        <f>IF(AND(CP48=0,CP49=0),0,IF(CP48&lt;=0,0,IF(WEEKDAY(CP$6,1)=1,CP48*CP49,0)))</f>
        <v>0</v>
      </c>
      <c r="CQ52" s="63">
        <f>IF(AND(CQ48=1,CQ49=11),0,IF(CQ48&lt;=0,0,IF(WEEKDAY(CQ$6,1)=1,CQ48*CQ49,0)))</f>
        <v>0</v>
      </c>
      <c r="CR52" s="63">
        <f>IF(AND(CR48=1,CR49=11),0,IF(CR48&lt;=0,0,IF(WEEKDAY(CR$6,1)=1,CR48*CR49,0)))</f>
        <v>0</v>
      </c>
      <c r="CS52" s="63">
        <f>IF(AND(CS48=1,CS49=11),0,IF(CS48&lt;=0,0,IF(WEEKDAY(CS$6,1)=1,CS48*CS49,0)))</f>
        <v>0</v>
      </c>
      <c r="CT52" s="63">
        <f>IF(AND(CT48=1,CT49=11),0,IF(CT48&lt;=0,0,IF(WEEKDAY(CT$6,1)=1,CT48*CT49,0)))</f>
        <v>0</v>
      </c>
      <c r="CU52" s="63">
        <f>IF(AND(CU48=1,CU49=11),0,IF(CU48&lt;=0,0,IF(WEEKDAY(CU$6,1)=1,CU48*CU49,0)))</f>
        <v>0</v>
      </c>
      <c r="CV52" s="64">
        <f>IF(AND(CV48=1,CV49=11),0,IF(CV48&lt;=0,0,IF(WEEKDAY(CV$6,1)=1,CV48*CV49,0)))</f>
        <v>0</v>
      </c>
      <c r="CW52" s="64">
        <f>IF(AND(CW48=1,CW49=11),11,IF(CW48&lt;=0,0,IF(WEEKDAY(CW$6,1)=1,CW48*CW49,0)))</f>
        <v>11</v>
      </c>
      <c r="CX52" s="63">
        <f>IF(AND(CX48=1,CX49=11),0,IF(CX48&lt;=0,0,IF(WEEKDAY(CX$6,1)=1,CX48*CX49,0)))</f>
        <v>0</v>
      </c>
      <c r="CY52" s="63">
        <f>IF(AND(CY48=1,CY49=11),0,IF(CY48&lt;=0,0,IF(WEEKDAY(CY$6,1)=1,CY48*CY49,0)))</f>
        <v>0</v>
      </c>
      <c r="CZ52" s="63">
        <f>IF(AND(CZ48=1,CZ49=11),0,IF(CZ48&lt;=0,0,IF(WEEKDAY(CZ$6,1)=1,CZ48*CZ49,0)))</f>
        <v>0</v>
      </c>
      <c r="DA52" s="63">
        <f>IF(AND(DA48=1,DA49=11),0,IF(DA48&lt;=0,0,IF(WEEKDAY(DA$6,1)=1,DA48*DA49,0)))</f>
        <v>0</v>
      </c>
      <c r="DB52" s="63">
        <f>IF(AND(DB48=1,DB49=11),0,IF(DB48&lt;=0,0,IF(WEEKDAY(DB$6,1)=1,DB48*DB49,0)))</f>
        <v>0</v>
      </c>
      <c r="DC52" s="64">
        <f>IF(AND(DC48=1,DC49=11),0,IF(DC48&lt;=0,0,IF(WEEKDAY(DC$6,1)=1,DC48*DC49,0)))</f>
        <v>0</v>
      </c>
      <c r="DD52" s="64">
        <f>IF(AND(DD48=1,DD49=11),11,IF(DD48&lt;=0,0,IF(WEEKDAY(DD$6,1)=1,DD48*DD49,0)))</f>
        <v>11</v>
      </c>
      <c r="DE52" s="63">
        <f>IF(AND(DE48=1,DE49=11),0,IF(DE48&lt;=0,0,IF(WEEKDAY(DE$6,1)=1,DE48*DE49,0)))</f>
        <v>0</v>
      </c>
      <c r="DF52" s="63">
        <f>IF(AND(DF48=1,DF49=11),0,IF(DF48&lt;=0,0,IF(WEEKDAY(DF$6,1)=1,DF48*DF49,0)))</f>
        <v>0</v>
      </c>
      <c r="DG52" s="63">
        <f>IF(AND(DG48=1,DG49=11),0,IF(DG48&lt;=0,0,IF(WEEKDAY(DG$6,1)=1,DG48*DG49,0)))</f>
        <v>0</v>
      </c>
      <c r="DH52" s="63">
        <f>IF(AND(DH48=1,DH49=11),0,IF(DH48&lt;=0,0,IF(WEEKDAY(DH$6,1)=1,DH48*DH49,0)))</f>
        <v>0</v>
      </c>
      <c r="DI52" s="63">
        <f>IF(AND(DI48=1,DI49=11),0,IF(DI48&lt;=0,0,IF(WEEKDAY(DI$6,1)=1,DI48*DI49,0)))</f>
        <v>0</v>
      </c>
      <c r="DJ52" s="64">
        <f>IF(AND(DJ48=1,DJ49=11),0,IF(DJ48&lt;=0,0,IF(WEEKDAY(DJ$6,1)=1,DJ48*DJ49,0)))</f>
        <v>0</v>
      </c>
      <c r="DK52" s="64">
        <f>IF(AND(DK48=1,DK49=11),11,IF(DK48&lt;=0,0,IF(WEEKDAY(DK$6,1)=1,DK48*DK49,0)))</f>
        <v>11</v>
      </c>
      <c r="DL52" s="63">
        <f>IF(AND(DL48=1,DL49=11),0,IF(DL48&lt;=0,0,IF(WEEKDAY(DL$6,1)=1,DL48*DL49,0)))</f>
        <v>0</v>
      </c>
      <c r="DM52" s="63">
        <f>IF(AND(DM48=1,DM49=11),0,IF(DM48&lt;=0,0,IF(WEEKDAY(DM$6,1)=1,DM48*DM49,0)))</f>
        <v>0</v>
      </c>
      <c r="DN52" s="63">
        <f>IF(AND(DN48=1,DN49=11),0,IF(DN48&lt;=0,0,IF(WEEKDAY(DN$6,1)=1,DN48*DN49,0)))</f>
        <v>0</v>
      </c>
      <c r="DO52" s="63">
        <f>IF(AND(DO48=1,DO49=11),0,IF(DO48&lt;=0,0,IF(WEEKDAY(DO$6,1)=1,DO48*DO49,0)))</f>
        <v>0</v>
      </c>
      <c r="DP52" s="63">
        <f>IF(AND(DP48=1,DP49=11),0,IF(DP48&lt;=0,0,IF(WEEKDAY(DP$6,1)=1,DP48*DP49,0)))</f>
        <v>0</v>
      </c>
      <c r="DQ52" s="64">
        <f>IF(AND(DQ48=1,DQ49=11),0,IF(DQ48&lt;=0,0,IF(WEEKDAY(DQ$6,1)=1,DQ48*DQ49,0)))</f>
        <v>0</v>
      </c>
      <c r="DR52" s="64">
        <f>IF(AND(DR48=1,DR49=11),11,IF(DR48&lt;=0,0,IF(WEEKDAY(DR$6,1)=1,DR48*DR49,0)))</f>
        <v>11</v>
      </c>
      <c r="DS52" s="63">
        <f>IF(AND(DS48=1,DS49=11),0,IF(DS48&lt;=0,0,IF(WEEKDAY(DS$6,1)=1,DS48*DS49,0)))</f>
        <v>0</v>
      </c>
      <c r="DT52" s="63">
        <f>IF(AND(DT48=0,DT49=0),0,IF(DT48&lt;=0,0,IF(WEEKDAY(DT$6,1)=1,DT48*DT49,0)))</f>
        <v>0</v>
      </c>
      <c r="DU52" s="63">
        <f>IF(AND(DU48=0,DU49=0),0,IF(DU48&lt;=0,0,IF(WEEKDAY(DU$6,1)=1,DU48*DU49,0)))</f>
        <v>0</v>
      </c>
      <c r="DV52" s="63">
        <f>IF(AND(DV48=0,DV49=0),0,IF(DV48&lt;=0,0,IF(WEEKDAY(DV$6,1)=1,DV48*DV49,0)))</f>
        <v>0</v>
      </c>
      <c r="DW52" s="63">
        <f>IF(AND(DW48=0,DW49=0),0,IF(DW48&lt;=0,0,IF(WEEKDAY(DW$6,1)=1,DW48*DW49,0)))</f>
        <v>0</v>
      </c>
      <c r="DX52" s="64">
        <f>IF(AND(DX48=0,DX49=0),0,IF(DX48&lt;=0,0,IF(WEEKDAY(DX$6,1)=1,DX48*DX49,0)))</f>
        <v>0</v>
      </c>
      <c r="DY52" s="64">
        <f>IF(AND(DY48=0,DY49=0),0,IF(DY48&lt;=0,0,IF(WEEKDAY(DY$6,1)=1,DY48*DY49,0)))</f>
        <v>0</v>
      </c>
      <c r="DZ52" s="63">
        <f>IF(AND(DZ48=0,DZ49=0),0,IF(DZ48&lt;=0,0,IF(WEEKDAY(DZ$6,1)=1,DZ48*DZ49,0)))</f>
        <v>0</v>
      </c>
      <c r="EA52" s="63">
        <f>IF(AND(EA48=0,EA49=0),0,IF(EA48&lt;=0,0,IF(WEEKDAY(EA$6,1)=1,EA48*EA49,0)))</f>
        <v>0</v>
      </c>
      <c r="EB52" s="63">
        <f>IF(AND(EB48=0,EB49=0),0,IF(EB48&lt;=0,0,IF(WEEKDAY(EB$6,1)=1,EB48*EB49,0)))</f>
        <v>0</v>
      </c>
      <c r="EC52" s="63">
        <f>IF(AND(EC48=0,EC49=0),0,IF(EC48&lt;=0,0,IF(WEEKDAY(EC$6,1)=1,EC48*EC49,0)))</f>
        <v>0</v>
      </c>
      <c r="ED52" s="63">
        <f>IF(AND(ED48=0,ED49=0),0,IF(ED48&lt;=0,0,IF(WEEKDAY(ED$6,1)=1,ED48*ED49,0)))</f>
        <v>0</v>
      </c>
      <c r="EE52" s="64">
        <f>IF(AND(EE48=0,EE49=0),0,IF(EE48&lt;=0,0,IF(WEEKDAY(EE$6,1)=1,EE48*EE49,0)))</f>
        <v>0</v>
      </c>
      <c r="EF52" s="64">
        <f>IF(AND(EF48=0,EF49=0),0,IF(EF48&lt;=0,0,IF(WEEKDAY(EF$6,1)=1,EF48*EF49,0)))</f>
        <v>0</v>
      </c>
      <c r="EG52" s="63">
        <f>IF(AND(EG48=0,EG49=0),0,IF(EG48&lt;=0,0,IF(WEEKDAY(EG$6,1)=1,EG48*EG49,0)))</f>
        <v>0</v>
      </c>
      <c r="EH52" s="63">
        <f>IF(AND(EH48=0,EH49=0),0,IF(EH48&lt;=0,0,IF(WEEKDAY(EH$6,1)=1,EH48*EH49,0)))</f>
        <v>0</v>
      </c>
      <c r="EI52" s="63">
        <f>IF(AND(EI48=0,EI49=0),0,IF(EI48&lt;=0,0,IF(WEEKDAY(EI$6,1)=1,EI48*EI49,0)))</f>
        <v>0</v>
      </c>
      <c r="EJ52" s="63">
        <f>IF(AND(EJ48=0,EJ49=0),0,IF(EJ48&lt;=0,0,IF(WEEKDAY(EJ$6,1)=1,EJ48*EJ49,0)))</f>
        <v>0</v>
      </c>
      <c r="EK52" s="65">
        <f>IF(AND(EK48=0,EK49=0),0,IF(EK48&lt;=0,0,IF(WEEKDAY(EK$6,1)=1,EK48*EK49,0)))</f>
        <v>0</v>
      </c>
      <c r="OU52" s="28" t="s">
        <v>127</v>
      </c>
    </row>
    <row r="53" ht="16" customHeight="1" spans="1:411" x14ac:dyDescent="0.25">
      <c r="A53" s="74"/>
      <c r="B53" s="79"/>
      <c r="C53" s="67">
        <f>I47*D53</f>
        <v>8060</v>
      </c>
      <c r="D53" s="67">
        <v>130</v>
      </c>
      <c r="E53" s="68" t="s">
        <v>65</v>
      </c>
      <c r="F53" s="49"/>
      <c r="G53" s="49"/>
      <c r="H53" s="49"/>
      <c r="I53" s="49"/>
      <c r="J53" s="50"/>
      <c r="K53" s="69">
        <v>0</v>
      </c>
      <c r="L53" s="70">
        <v>0</v>
      </c>
      <c r="M53" s="70">
        <v>0</v>
      </c>
      <c r="N53" s="70">
        <v>0</v>
      </c>
      <c r="O53" s="70">
        <v>0</v>
      </c>
      <c r="P53" s="71">
        <v>0</v>
      </c>
      <c r="Q53" s="71">
        <v>0</v>
      </c>
      <c r="R53" s="70">
        <v>0</v>
      </c>
      <c r="S53" s="70">
        <v>0</v>
      </c>
      <c r="T53" s="70">
        <v>0</v>
      </c>
      <c r="U53" s="70">
        <v>0</v>
      </c>
      <c r="V53" s="70">
        <v>0</v>
      </c>
      <c r="W53" s="71">
        <v>0</v>
      </c>
      <c r="X53" s="71">
        <v>0</v>
      </c>
      <c r="Y53" s="70">
        <v>0</v>
      </c>
      <c r="Z53" s="70">
        <v>0</v>
      </c>
      <c r="AA53" s="70">
        <v>0</v>
      </c>
      <c r="AB53" s="70">
        <v>0</v>
      </c>
      <c r="AC53" s="70">
        <v>0</v>
      </c>
      <c r="AD53" s="71">
        <v>0</v>
      </c>
      <c r="AE53" s="71">
        <v>0</v>
      </c>
      <c r="AF53" s="70">
        <v>0</v>
      </c>
      <c r="AG53" s="70">
        <v>0</v>
      </c>
      <c r="AH53" s="70">
        <v>0</v>
      </c>
      <c r="AI53" s="70">
        <v>0</v>
      </c>
      <c r="AJ53" s="70">
        <v>0</v>
      </c>
      <c r="AK53" s="71">
        <v>0</v>
      </c>
      <c r="AL53" s="71">
        <v>0</v>
      </c>
      <c r="AM53" s="70">
        <v>0</v>
      </c>
      <c r="AN53" s="70">
        <v>0</v>
      </c>
      <c r="AO53" s="70">
        <v>0</v>
      </c>
      <c r="AP53" s="70">
        <v>0</v>
      </c>
      <c r="AQ53" s="70">
        <v>0</v>
      </c>
      <c r="AR53" s="71">
        <v>0</v>
      </c>
      <c r="AS53" s="71">
        <v>0</v>
      </c>
      <c r="AT53" s="70">
        <v>0</v>
      </c>
      <c r="AU53" s="70">
        <v>0</v>
      </c>
      <c r="AV53" s="70">
        <v>0</v>
      </c>
      <c r="AW53" s="70">
        <v>0</v>
      </c>
      <c r="AX53" s="70">
        <v>0</v>
      </c>
      <c r="AY53" s="71">
        <v>0</v>
      </c>
      <c r="AZ53" s="71">
        <v>0</v>
      </c>
      <c r="BA53" s="70">
        <v>0</v>
      </c>
      <c r="BB53" s="70">
        <v>0</v>
      </c>
      <c r="BC53" s="70">
        <v>0</v>
      </c>
      <c r="BD53" s="70">
        <v>0</v>
      </c>
      <c r="BE53" s="70">
        <v>0</v>
      </c>
      <c r="BF53" s="71">
        <v>0</v>
      </c>
      <c r="BG53" s="71">
        <v>0</v>
      </c>
      <c r="BH53" s="70">
        <v>1</v>
      </c>
      <c r="BI53" s="70">
        <v>1</v>
      </c>
      <c r="BJ53" s="70">
        <v>1</v>
      </c>
      <c r="BK53" s="70">
        <v>1</v>
      </c>
      <c r="BL53" s="70">
        <v>1</v>
      </c>
      <c r="BM53" s="71">
        <v>1</v>
      </c>
      <c r="BN53" s="71">
        <v>1</v>
      </c>
      <c r="BO53" s="70">
        <v>1</v>
      </c>
      <c r="BP53" s="70">
        <v>1</v>
      </c>
      <c r="BQ53" s="70">
        <v>1</v>
      </c>
      <c r="BR53" s="70">
        <v>1</v>
      </c>
      <c r="BS53" s="70">
        <v>1</v>
      </c>
      <c r="BT53" s="71">
        <v>1</v>
      </c>
      <c r="BU53" s="71">
        <v>1</v>
      </c>
      <c r="BV53" s="70">
        <v>1</v>
      </c>
      <c r="BW53" s="70">
        <v>1</v>
      </c>
      <c r="BX53" s="70">
        <v>1</v>
      </c>
      <c r="BY53" s="70">
        <v>1</v>
      </c>
      <c r="BZ53" s="70">
        <v>1</v>
      </c>
      <c r="CA53" s="71">
        <v>1</v>
      </c>
      <c r="CB53" s="71">
        <v>0</v>
      </c>
      <c r="CC53" s="70">
        <v>1</v>
      </c>
      <c r="CD53" s="70">
        <v>1</v>
      </c>
      <c r="CE53" s="70">
        <v>1</v>
      </c>
      <c r="CF53" s="70">
        <v>1</v>
      </c>
      <c r="CG53" s="70">
        <v>1</v>
      </c>
      <c r="CH53" s="71">
        <v>1</v>
      </c>
      <c r="CI53" s="71">
        <v>1</v>
      </c>
      <c r="CJ53" s="70">
        <v>1</v>
      </c>
      <c r="CK53" s="70">
        <v>1</v>
      </c>
      <c r="CL53" s="70">
        <v>1</v>
      </c>
      <c r="CM53" s="70">
        <v>1</v>
      </c>
      <c r="CN53" s="70">
        <v>1</v>
      </c>
      <c r="CO53" s="71">
        <v>1</v>
      </c>
      <c r="CP53" s="71">
        <v>0</v>
      </c>
      <c r="CQ53" s="70">
        <v>1</v>
      </c>
      <c r="CR53" s="70">
        <v>1</v>
      </c>
      <c r="CS53" s="70">
        <v>1</v>
      </c>
      <c r="CT53" s="70">
        <v>1</v>
      </c>
      <c r="CU53" s="70">
        <v>1</v>
      </c>
      <c r="CV53" s="71">
        <v>1</v>
      </c>
      <c r="CW53" s="71">
        <v>1</v>
      </c>
      <c r="CX53" s="70">
        <v>1</v>
      </c>
      <c r="CY53" s="70">
        <v>1</v>
      </c>
      <c r="CZ53" s="70">
        <v>1</v>
      </c>
      <c r="DA53" s="70">
        <v>1</v>
      </c>
      <c r="DB53" s="70">
        <v>1</v>
      </c>
      <c r="DC53" s="71">
        <v>1</v>
      </c>
      <c r="DD53" s="71">
        <v>1</v>
      </c>
      <c r="DE53" s="70">
        <v>1</v>
      </c>
      <c r="DF53" s="70">
        <v>1</v>
      </c>
      <c r="DG53" s="70">
        <v>1</v>
      </c>
      <c r="DH53" s="70">
        <v>1</v>
      </c>
      <c r="DI53" s="70">
        <v>1</v>
      </c>
      <c r="DJ53" s="71">
        <v>1</v>
      </c>
      <c r="DK53" s="71">
        <v>1</v>
      </c>
      <c r="DL53" s="70">
        <v>1</v>
      </c>
      <c r="DM53" s="70">
        <v>1</v>
      </c>
      <c r="DN53" s="70">
        <v>1</v>
      </c>
      <c r="DO53" s="70">
        <v>1</v>
      </c>
      <c r="DP53" s="70">
        <v>1</v>
      </c>
      <c r="DQ53" s="71">
        <v>1</v>
      </c>
      <c r="DR53" s="71">
        <v>1</v>
      </c>
      <c r="DS53" s="70">
        <v>1</v>
      </c>
      <c r="DT53" s="70">
        <v>0</v>
      </c>
      <c r="DU53" s="70">
        <v>0</v>
      </c>
      <c r="DV53" s="70">
        <v>0</v>
      </c>
      <c r="DW53" s="70">
        <v>0</v>
      </c>
      <c r="DX53" s="71">
        <v>0</v>
      </c>
      <c r="DY53" s="71">
        <v>0</v>
      </c>
      <c r="DZ53" s="70">
        <v>0</v>
      </c>
      <c r="EA53" s="70">
        <v>0</v>
      </c>
      <c r="EB53" s="70">
        <v>0</v>
      </c>
      <c r="EC53" s="70">
        <v>0</v>
      </c>
      <c r="ED53" s="70">
        <v>0</v>
      </c>
      <c r="EE53" s="71">
        <v>0</v>
      </c>
      <c r="EF53" s="71">
        <v>0</v>
      </c>
      <c r="EG53" s="70">
        <v>0</v>
      </c>
      <c r="EH53" s="70">
        <v>0</v>
      </c>
      <c r="EI53" s="70">
        <v>0</v>
      </c>
      <c r="EJ53" s="70">
        <v>0</v>
      </c>
      <c r="EK53" s="72">
        <v>0</v>
      </c>
      <c r="OU53" s="60" t="s">
        <v>127</v>
      </c>
    </row>
    <row r="54" ht="8" customHeight="1" spans="1:14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  <c r="EK54" s="73"/>
    </row>
    <row r="55" ht="16" customHeight="1" spans="1:411" x14ac:dyDescent="0.25">
      <c r="A55" s="45" t="s">
        <v>57</v>
      </c>
      <c r="B55" s="77" t="s">
        <v>125</v>
      </c>
      <c r="C55" s="47">
        <f>J55</f>
        <v>225497.32</v>
      </c>
      <c r="D55" s="48"/>
      <c r="E55" s="48"/>
      <c r="F55" s="49">
        <f>SUM(K58:EK58)</f>
        <v>1240</v>
      </c>
      <c r="G55" s="49">
        <f>SUM(K59:EK59)</f>
        <v>364</v>
      </c>
      <c r="H55" s="49">
        <f>SUM(K60:EK60)</f>
        <v>180</v>
      </c>
      <c r="I55" s="49">
        <f>SUM(K61:EK61)</f>
        <v>191</v>
      </c>
      <c r="J55" s="50">
        <f>C58+C59+C60</f>
        <v>225497.32</v>
      </c>
      <c r="K55" s="51"/>
      <c r="L55" s="52"/>
      <c r="M55" s="52"/>
      <c r="N55" s="52"/>
      <c r="O55" s="52"/>
      <c r="P55" s="53"/>
      <c r="Q55" s="53"/>
      <c r="R55" s="52"/>
      <c r="S55" s="52"/>
      <c r="T55" s="52"/>
      <c r="U55" s="52"/>
      <c r="V55" s="52"/>
      <c r="W55" s="53"/>
      <c r="X55" s="53"/>
      <c r="Y55" s="52"/>
      <c r="Z55" s="52"/>
      <c r="AA55" s="52"/>
      <c r="AB55" s="52"/>
      <c r="AC55" s="52"/>
      <c r="AD55" s="53"/>
      <c r="AE55" s="53"/>
      <c r="AF55" s="52"/>
      <c r="AG55" s="52"/>
      <c r="AH55" s="52"/>
      <c r="AI55" s="52"/>
      <c r="AJ55" s="52"/>
      <c r="AK55" s="53"/>
      <c r="AL55" s="53"/>
      <c r="AM55" s="52"/>
      <c r="AN55" s="52"/>
      <c r="AO55" s="52"/>
      <c r="AP55" s="52"/>
      <c r="AQ55" s="52"/>
      <c r="AR55" s="53"/>
      <c r="AS55" s="53"/>
      <c r="AT55" s="52"/>
      <c r="AU55" s="52"/>
      <c r="AV55" s="52"/>
      <c r="AW55" s="52"/>
      <c r="AX55" s="52"/>
      <c r="AY55" s="53"/>
      <c r="AZ55" s="53"/>
      <c r="BA55" s="52"/>
      <c r="BB55" s="52"/>
      <c r="BC55" s="52"/>
      <c r="BD55" s="52"/>
      <c r="BE55" s="52"/>
      <c r="BF55" s="53"/>
      <c r="BG55" s="53"/>
      <c r="BH55" s="52"/>
      <c r="BI55" s="52"/>
      <c r="BJ55" s="52"/>
      <c r="BK55" s="52"/>
      <c r="BL55" s="52"/>
      <c r="BM55" s="53"/>
      <c r="BN55" s="53"/>
      <c r="BO55" s="52"/>
      <c r="BP55" s="52"/>
      <c r="BQ55" s="52"/>
      <c r="BR55" s="52"/>
      <c r="BS55" s="52"/>
      <c r="BT55" s="53"/>
      <c r="BU55" s="53"/>
      <c r="BV55" s="52"/>
      <c r="BW55" s="52"/>
      <c r="BX55" s="52"/>
      <c r="BY55" s="52"/>
      <c r="BZ55" s="52"/>
      <c r="CA55" s="53"/>
      <c r="CB55" s="53"/>
      <c r="CC55" s="52"/>
      <c r="CD55" s="52"/>
      <c r="CE55" s="52"/>
      <c r="CF55" s="52"/>
      <c r="CG55" s="52"/>
      <c r="CH55" s="53"/>
      <c r="CI55" s="53"/>
      <c r="CJ55" s="52"/>
      <c r="CK55" s="52"/>
      <c r="CL55" s="52"/>
      <c r="CM55" s="52"/>
      <c r="CN55" s="52"/>
      <c r="CO55" s="53"/>
      <c r="CP55" s="53"/>
      <c r="CQ55" s="52"/>
      <c r="CR55" s="52"/>
      <c r="CS55" s="52"/>
      <c r="CT55" s="52"/>
      <c r="CU55" s="52"/>
      <c r="CV55" s="53"/>
      <c r="CW55" s="53"/>
      <c r="CX55" s="52"/>
      <c r="CY55" s="52"/>
      <c r="CZ55" s="52"/>
      <c r="DA55" s="52"/>
      <c r="DB55" s="52"/>
      <c r="DC55" s="53"/>
      <c r="DD55" s="53"/>
      <c r="DE55" s="52"/>
      <c r="DF55" s="52"/>
      <c r="DG55" s="52"/>
      <c r="DH55" s="52"/>
      <c r="DI55" s="52"/>
      <c r="DJ55" s="53"/>
      <c r="DK55" s="53"/>
      <c r="DL55" s="52"/>
      <c r="DM55" s="52"/>
      <c r="DN55" s="52"/>
      <c r="DO55" s="52"/>
      <c r="DP55" s="52"/>
      <c r="DQ55" s="53"/>
      <c r="DR55" s="53"/>
      <c r="DS55" s="52"/>
      <c r="DT55" s="52"/>
      <c r="DU55" s="52"/>
      <c r="DV55" s="52"/>
      <c r="DW55" s="52"/>
      <c r="DX55" s="53"/>
      <c r="DY55" s="53"/>
      <c r="DZ55" s="52"/>
      <c r="EA55" s="52"/>
      <c r="EB55" s="52"/>
      <c r="EC55" s="52"/>
      <c r="ED55" s="52"/>
      <c r="EE55" s="53"/>
      <c r="EF55" s="53"/>
      <c r="EG55" s="52"/>
      <c r="EH55" s="52"/>
      <c r="EI55" s="52"/>
      <c r="EJ55" s="52"/>
      <c r="EK55" s="54"/>
      <c r="OU55" s="28" t="s">
        <v>128</v>
      </c>
    </row>
    <row r="56" ht="16" customHeight="1" spans="1:411" x14ac:dyDescent="0.25">
      <c r="A56" s="45"/>
      <c r="B56" s="77"/>
      <c r="C56" s="47"/>
      <c r="D56" s="48"/>
      <c r="E56" s="55" t="s">
        <v>60</v>
      </c>
      <c r="F56" s="49"/>
      <c r="G56" s="49"/>
      <c r="H56" s="49"/>
      <c r="I56" s="49"/>
      <c r="J56" s="50"/>
      <c r="K56" s="56">
        <v>1</v>
      </c>
      <c r="L56" s="57">
        <v>1</v>
      </c>
      <c r="M56" s="57">
        <v>1</v>
      </c>
      <c r="N56" s="57">
        <v>1</v>
      </c>
      <c r="O56" s="57">
        <v>1</v>
      </c>
      <c r="P56" s="58">
        <v>0</v>
      </c>
      <c r="Q56" s="58">
        <v>0</v>
      </c>
      <c r="R56" s="57">
        <v>1</v>
      </c>
      <c r="S56" s="57">
        <v>1</v>
      </c>
      <c r="T56" s="57">
        <v>1</v>
      </c>
      <c r="U56" s="57">
        <v>1</v>
      </c>
      <c r="V56" s="57">
        <v>1</v>
      </c>
      <c r="W56" s="58">
        <v>0</v>
      </c>
      <c r="X56" s="58">
        <v>0</v>
      </c>
      <c r="Y56" s="57">
        <v>1</v>
      </c>
      <c r="Z56" s="57">
        <v>1</v>
      </c>
      <c r="AA56" s="57">
        <v>1</v>
      </c>
      <c r="AB56" s="57">
        <v>1</v>
      </c>
      <c r="AC56" s="57">
        <v>1</v>
      </c>
      <c r="AD56" s="58">
        <v>0</v>
      </c>
      <c r="AE56" s="58">
        <v>0</v>
      </c>
      <c r="AF56" s="57">
        <v>1</v>
      </c>
      <c r="AG56" s="57">
        <v>1</v>
      </c>
      <c r="AH56" s="57">
        <v>1</v>
      </c>
      <c r="AI56" s="57">
        <v>1</v>
      </c>
      <c r="AJ56" s="57">
        <v>1</v>
      </c>
      <c r="AK56" s="58">
        <v>0</v>
      </c>
      <c r="AL56" s="58">
        <v>0</v>
      </c>
      <c r="AM56" s="57">
        <v>1</v>
      </c>
      <c r="AN56" s="57">
        <v>1</v>
      </c>
      <c r="AO56" s="57">
        <v>1</v>
      </c>
      <c r="AP56" s="57">
        <v>1</v>
      </c>
      <c r="AQ56" s="57">
        <v>1</v>
      </c>
      <c r="AR56" s="58">
        <v>0</v>
      </c>
      <c r="AS56" s="58">
        <v>0</v>
      </c>
      <c r="AT56" s="57">
        <v>1</v>
      </c>
      <c r="AU56" s="57">
        <v>1</v>
      </c>
      <c r="AV56" s="57">
        <v>1</v>
      </c>
      <c r="AW56" s="57">
        <v>1</v>
      </c>
      <c r="AX56" s="57">
        <v>1</v>
      </c>
      <c r="AY56" s="58">
        <v>0</v>
      </c>
      <c r="AZ56" s="58">
        <v>0</v>
      </c>
      <c r="BA56" s="57">
        <v>1</v>
      </c>
      <c r="BB56" s="57">
        <v>1</v>
      </c>
      <c r="BC56" s="57">
        <v>1</v>
      </c>
      <c r="BD56" s="57">
        <v>1</v>
      </c>
      <c r="BE56" s="57">
        <v>1</v>
      </c>
      <c r="BF56" s="58">
        <v>0</v>
      </c>
      <c r="BG56" s="58">
        <v>0</v>
      </c>
      <c r="BH56" s="57">
        <v>2</v>
      </c>
      <c r="BI56" s="57">
        <v>2</v>
      </c>
      <c r="BJ56" s="57">
        <v>2</v>
      </c>
      <c r="BK56" s="57">
        <v>2</v>
      </c>
      <c r="BL56" s="57">
        <v>2</v>
      </c>
      <c r="BM56" s="58">
        <v>2</v>
      </c>
      <c r="BN56" s="58">
        <v>2</v>
      </c>
      <c r="BO56" s="57">
        <v>2</v>
      </c>
      <c r="BP56" s="57">
        <v>2</v>
      </c>
      <c r="BQ56" s="57">
        <v>2</v>
      </c>
      <c r="BR56" s="57">
        <v>2</v>
      </c>
      <c r="BS56" s="57">
        <v>2</v>
      </c>
      <c r="BT56" s="58">
        <v>2</v>
      </c>
      <c r="BU56" s="58">
        <v>2</v>
      </c>
      <c r="BV56" s="57">
        <v>2</v>
      </c>
      <c r="BW56" s="57">
        <v>2</v>
      </c>
      <c r="BX56" s="57">
        <v>2</v>
      </c>
      <c r="BY56" s="57">
        <v>2</v>
      </c>
      <c r="BZ56" s="57">
        <v>2</v>
      </c>
      <c r="CA56" s="58">
        <v>2</v>
      </c>
      <c r="CB56" s="58">
        <v>2</v>
      </c>
      <c r="CC56" s="57">
        <v>2</v>
      </c>
      <c r="CD56" s="57">
        <v>2</v>
      </c>
      <c r="CE56" s="57">
        <v>2</v>
      </c>
      <c r="CF56" s="57">
        <v>2</v>
      </c>
      <c r="CG56" s="57">
        <v>2</v>
      </c>
      <c r="CH56" s="58">
        <v>2</v>
      </c>
      <c r="CI56" s="58">
        <v>2</v>
      </c>
      <c r="CJ56" s="57">
        <v>2</v>
      </c>
      <c r="CK56" s="57">
        <v>2</v>
      </c>
      <c r="CL56" s="57">
        <v>2</v>
      </c>
      <c r="CM56" s="57">
        <v>2</v>
      </c>
      <c r="CN56" s="57">
        <v>2</v>
      </c>
      <c r="CO56" s="58">
        <v>2</v>
      </c>
      <c r="CP56" s="58">
        <v>2</v>
      </c>
      <c r="CQ56" s="57">
        <v>2</v>
      </c>
      <c r="CR56" s="57">
        <v>2</v>
      </c>
      <c r="CS56" s="57">
        <v>2</v>
      </c>
      <c r="CT56" s="57">
        <v>2</v>
      </c>
      <c r="CU56" s="57">
        <v>2</v>
      </c>
      <c r="CV56" s="58">
        <v>2</v>
      </c>
      <c r="CW56" s="58">
        <v>2</v>
      </c>
      <c r="CX56" s="57">
        <v>2</v>
      </c>
      <c r="CY56" s="57">
        <v>2</v>
      </c>
      <c r="CZ56" s="57">
        <v>2</v>
      </c>
      <c r="DA56" s="57">
        <v>2</v>
      </c>
      <c r="DB56" s="57">
        <v>2</v>
      </c>
      <c r="DC56" s="58">
        <v>2</v>
      </c>
      <c r="DD56" s="58">
        <v>2</v>
      </c>
      <c r="DE56" s="57">
        <v>2</v>
      </c>
      <c r="DF56" s="57">
        <v>2</v>
      </c>
      <c r="DG56" s="57">
        <v>2</v>
      </c>
      <c r="DH56" s="57">
        <v>2</v>
      </c>
      <c r="DI56" s="57">
        <v>2</v>
      </c>
      <c r="DJ56" s="58">
        <v>2</v>
      </c>
      <c r="DK56" s="58">
        <v>2</v>
      </c>
      <c r="DL56" s="57">
        <v>2</v>
      </c>
      <c r="DM56" s="57">
        <v>2</v>
      </c>
      <c r="DN56" s="57">
        <v>2</v>
      </c>
      <c r="DO56" s="57">
        <v>2</v>
      </c>
      <c r="DP56" s="57">
        <v>2</v>
      </c>
      <c r="DQ56" s="58">
        <v>2</v>
      </c>
      <c r="DR56" s="58">
        <v>2</v>
      </c>
      <c r="DS56" s="57">
        <v>2</v>
      </c>
      <c r="DT56" s="57">
        <v>2</v>
      </c>
      <c r="DU56" s="57">
        <v>2</v>
      </c>
      <c r="DV56" s="57">
        <v>2</v>
      </c>
      <c r="DW56" s="57">
        <v>2</v>
      </c>
      <c r="DX56" s="58">
        <v>0</v>
      </c>
      <c r="DY56" s="58">
        <v>0</v>
      </c>
      <c r="DZ56" s="57">
        <v>2</v>
      </c>
      <c r="EA56" s="57">
        <v>2</v>
      </c>
      <c r="EB56" s="57">
        <v>2</v>
      </c>
      <c r="EC56" s="57">
        <v>2</v>
      </c>
      <c r="ED56" s="57">
        <v>2</v>
      </c>
      <c r="EE56" s="58">
        <v>0</v>
      </c>
      <c r="EF56" s="58">
        <v>0</v>
      </c>
      <c r="EG56" s="57">
        <v>2</v>
      </c>
      <c r="EH56" s="57">
        <v>2</v>
      </c>
      <c r="EI56" s="57">
        <v>2</v>
      </c>
      <c r="EJ56" s="57">
        <v>2</v>
      </c>
      <c r="EK56" s="59">
        <v>2</v>
      </c>
      <c r="OU56" s="60" t="s">
        <v>128</v>
      </c>
    </row>
    <row r="57" ht="16" customHeight="1" spans="1:411" x14ac:dyDescent="0.25">
      <c r="A57" s="45"/>
      <c r="B57" s="77"/>
      <c r="C57" s="47"/>
      <c r="D57" s="48"/>
      <c r="E57" s="55" t="s">
        <v>61</v>
      </c>
      <c r="F57" s="49"/>
      <c r="G57" s="49"/>
      <c r="H57" s="49"/>
      <c r="I57" s="49"/>
      <c r="J57" s="50"/>
      <c r="K57" s="56">
        <v>8</v>
      </c>
      <c r="L57" s="57">
        <v>8</v>
      </c>
      <c r="M57" s="57">
        <v>8</v>
      </c>
      <c r="N57" s="57">
        <v>8</v>
      </c>
      <c r="O57" s="57">
        <v>8</v>
      </c>
      <c r="P57" s="58">
        <v>0</v>
      </c>
      <c r="Q57" s="58">
        <v>0</v>
      </c>
      <c r="R57" s="57">
        <v>8</v>
      </c>
      <c r="S57" s="57">
        <v>8</v>
      </c>
      <c r="T57" s="57">
        <v>8</v>
      </c>
      <c r="U57" s="57">
        <v>8</v>
      </c>
      <c r="V57" s="57">
        <v>8</v>
      </c>
      <c r="W57" s="58">
        <v>0</v>
      </c>
      <c r="X57" s="58">
        <v>0</v>
      </c>
      <c r="Y57" s="57">
        <v>8</v>
      </c>
      <c r="Z57" s="57">
        <v>8</v>
      </c>
      <c r="AA57" s="57">
        <v>8</v>
      </c>
      <c r="AB57" s="57">
        <v>8</v>
      </c>
      <c r="AC57" s="57">
        <v>8</v>
      </c>
      <c r="AD57" s="58">
        <v>0</v>
      </c>
      <c r="AE57" s="58">
        <v>0</v>
      </c>
      <c r="AF57" s="57">
        <v>8</v>
      </c>
      <c r="AG57" s="57">
        <v>8</v>
      </c>
      <c r="AH57" s="57">
        <v>8</v>
      </c>
      <c r="AI57" s="57">
        <v>8</v>
      </c>
      <c r="AJ57" s="57">
        <v>8</v>
      </c>
      <c r="AK57" s="58">
        <v>0</v>
      </c>
      <c r="AL57" s="58">
        <v>0</v>
      </c>
      <c r="AM57" s="57">
        <v>8</v>
      </c>
      <c r="AN57" s="57">
        <v>8</v>
      </c>
      <c r="AO57" s="57">
        <v>8</v>
      </c>
      <c r="AP57" s="57">
        <v>8</v>
      </c>
      <c r="AQ57" s="57">
        <v>8</v>
      </c>
      <c r="AR57" s="58">
        <v>0</v>
      </c>
      <c r="AS57" s="58">
        <v>0</v>
      </c>
      <c r="AT57" s="57">
        <v>8</v>
      </c>
      <c r="AU57" s="57">
        <v>8</v>
      </c>
      <c r="AV57" s="57">
        <v>8</v>
      </c>
      <c r="AW57" s="57">
        <v>8</v>
      </c>
      <c r="AX57" s="57">
        <v>8</v>
      </c>
      <c r="AY57" s="58">
        <v>0</v>
      </c>
      <c r="AZ57" s="58">
        <v>0</v>
      </c>
      <c r="BA57" s="57">
        <v>8</v>
      </c>
      <c r="BB57" s="57">
        <v>8</v>
      </c>
      <c r="BC57" s="57">
        <v>8</v>
      </c>
      <c r="BD57" s="57">
        <v>8</v>
      </c>
      <c r="BE57" s="57">
        <v>8</v>
      </c>
      <c r="BF57" s="58">
        <v>0</v>
      </c>
      <c r="BG57" s="58">
        <v>0</v>
      </c>
      <c r="BH57" s="57">
        <v>10</v>
      </c>
      <c r="BI57" s="57">
        <v>10</v>
      </c>
      <c r="BJ57" s="57">
        <v>10</v>
      </c>
      <c r="BK57" s="57">
        <v>10</v>
      </c>
      <c r="BL57" s="57">
        <v>10</v>
      </c>
      <c r="BM57" s="58">
        <v>10</v>
      </c>
      <c r="BN57" s="58">
        <v>10</v>
      </c>
      <c r="BO57" s="57">
        <v>10</v>
      </c>
      <c r="BP57" s="57">
        <v>10</v>
      </c>
      <c r="BQ57" s="57">
        <v>10</v>
      </c>
      <c r="BR57" s="57">
        <v>10</v>
      </c>
      <c r="BS57" s="57">
        <v>10</v>
      </c>
      <c r="BT57" s="58">
        <v>10</v>
      </c>
      <c r="BU57" s="58">
        <v>10</v>
      </c>
      <c r="BV57" s="57">
        <v>10</v>
      </c>
      <c r="BW57" s="57">
        <v>10</v>
      </c>
      <c r="BX57" s="57">
        <v>10</v>
      </c>
      <c r="BY57" s="57">
        <v>10</v>
      </c>
      <c r="BZ57" s="57">
        <v>10</v>
      </c>
      <c r="CA57" s="58">
        <v>10</v>
      </c>
      <c r="CB57" s="58">
        <v>10</v>
      </c>
      <c r="CC57" s="57">
        <v>10</v>
      </c>
      <c r="CD57" s="57">
        <v>10</v>
      </c>
      <c r="CE57" s="57">
        <v>10</v>
      </c>
      <c r="CF57" s="57">
        <v>10</v>
      </c>
      <c r="CG57" s="57">
        <v>10</v>
      </c>
      <c r="CH57" s="58">
        <v>10</v>
      </c>
      <c r="CI57" s="58">
        <v>10</v>
      </c>
      <c r="CJ57" s="57">
        <v>10</v>
      </c>
      <c r="CK57" s="57">
        <v>10</v>
      </c>
      <c r="CL57" s="57">
        <v>10</v>
      </c>
      <c r="CM57" s="57">
        <v>10</v>
      </c>
      <c r="CN57" s="57">
        <v>10</v>
      </c>
      <c r="CO57" s="58">
        <v>10</v>
      </c>
      <c r="CP57" s="58">
        <v>10</v>
      </c>
      <c r="CQ57" s="57">
        <v>10</v>
      </c>
      <c r="CR57" s="57">
        <v>10</v>
      </c>
      <c r="CS57" s="57">
        <v>10</v>
      </c>
      <c r="CT57" s="57">
        <v>10</v>
      </c>
      <c r="CU57" s="57">
        <v>10</v>
      </c>
      <c r="CV57" s="58">
        <v>10</v>
      </c>
      <c r="CW57" s="58">
        <v>10</v>
      </c>
      <c r="CX57" s="57">
        <v>10</v>
      </c>
      <c r="CY57" s="57">
        <v>10</v>
      </c>
      <c r="CZ57" s="57">
        <v>10</v>
      </c>
      <c r="DA57" s="57">
        <v>10</v>
      </c>
      <c r="DB57" s="57">
        <v>10</v>
      </c>
      <c r="DC57" s="58">
        <v>10</v>
      </c>
      <c r="DD57" s="58">
        <v>10</v>
      </c>
      <c r="DE57" s="57">
        <v>10</v>
      </c>
      <c r="DF57" s="57">
        <v>10</v>
      </c>
      <c r="DG57" s="57">
        <v>10</v>
      </c>
      <c r="DH57" s="57">
        <v>10</v>
      </c>
      <c r="DI57" s="57">
        <v>10</v>
      </c>
      <c r="DJ57" s="58">
        <v>10</v>
      </c>
      <c r="DK57" s="58">
        <v>10</v>
      </c>
      <c r="DL57" s="57">
        <v>10</v>
      </c>
      <c r="DM57" s="57">
        <v>10</v>
      </c>
      <c r="DN57" s="57">
        <v>10</v>
      </c>
      <c r="DO57" s="57">
        <v>10</v>
      </c>
      <c r="DP57" s="57">
        <v>10</v>
      </c>
      <c r="DQ57" s="58">
        <v>10</v>
      </c>
      <c r="DR57" s="58">
        <v>10</v>
      </c>
      <c r="DS57" s="57">
        <v>10</v>
      </c>
      <c r="DT57" s="57">
        <v>8</v>
      </c>
      <c r="DU57" s="57">
        <v>8</v>
      </c>
      <c r="DV57" s="57">
        <v>8</v>
      </c>
      <c r="DW57" s="57">
        <v>8</v>
      </c>
      <c r="DX57" s="58">
        <v>0</v>
      </c>
      <c r="DY57" s="58">
        <v>0</v>
      </c>
      <c r="DZ57" s="57">
        <v>8</v>
      </c>
      <c r="EA57" s="57">
        <v>8</v>
      </c>
      <c r="EB57" s="57">
        <v>8</v>
      </c>
      <c r="EC57" s="57">
        <v>8</v>
      </c>
      <c r="ED57" s="57">
        <v>8</v>
      </c>
      <c r="EE57" s="58">
        <v>0</v>
      </c>
      <c r="EF57" s="58">
        <v>0</v>
      </c>
      <c r="EG57" s="57">
        <v>8</v>
      </c>
      <c r="EH57" s="57">
        <v>8</v>
      </c>
      <c r="EI57" s="57">
        <v>8</v>
      </c>
      <c r="EJ57" s="57">
        <v>8</v>
      </c>
      <c r="EK57" s="59">
        <v>8</v>
      </c>
      <c r="OU57" s="60" t="s">
        <v>128</v>
      </c>
    </row>
    <row r="58" ht="16" customHeight="1" spans="1:411" x14ac:dyDescent="0.25">
      <c r="A58" s="45"/>
      <c r="B58" s="78" t="s">
        <v>119</v>
      </c>
      <c r="C58" s="61">
        <f>F55*N(D58)</f>
        <v>134391.19999999998</v>
      </c>
      <c r="D58" s="61">
        <f>IF(TRIM(IF(TRIM(B59)&lt;&gt;"",B59,B55))="","No rate",IFERROR(INDEX('Rate Tables'!C$7:C$158,MATCH(IF(TRIM(B59)&lt;&gt;"",B59,B55),'Rate Tables'!A$7:A$158,0)),"No rate"))</f>
        <v>108.38</v>
      </c>
      <c r="E58" s="55" t="s">
        <v>62</v>
      </c>
      <c r="F58" s="49"/>
      <c r="G58" s="49"/>
      <c r="H58" s="49"/>
      <c r="I58" s="49"/>
      <c r="J58" s="50"/>
      <c r="K58" s="62">
        <f>IF(AND(K56=1,K57=8),8,MIN(IF(K56&lt;=0,0,IF(WEEKDAY(K$6,1)=1,0,IF(WEEKDAY(K$6,1)=7,0,MIN(8,K57)*K56))),MAX(0,40*MAX(1,K56)-(0))))</f>
        <v>8</v>
      </c>
      <c r="L58" s="63">
        <f>IF(AND(L56=1,L57=8),8,MIN(IF(L56&lt;=0,0,IF(WEEKDAY(L$6,1)=1,0,IF(WEEKDAY(L$6,1)=7,0,MIN(8,L57)*L56))),MAX(0,40*MAX(1,L56)-(K58))))</f>
        <v>8</v>
      </c>
      <c r="M58" s="63">
        <f>IF(AND(M56=1,M57=8),8,MIN(IF(M56&lt;=0,0,IF(WEEKDAY(M$6,1)=1,0,IF(WEEKDAY(M$6,1)=7,0,MIN(8,M57)*M56))),MAX(0,40*MAX(1,M56)-(K58+L58))))</f>
        <v>8</v>
      </c>
      <c r="N58" s="63">
        <f>IF(AND(N56=1,N57=8),8,MIN(IF(N56&lt;=0,0,IF(WEEKDAY(N$6,1)=1,0,IF(WEEKDAY(N$6,1)=7,0,MIN(8,N57)*N56))),MAX(0,40*MAX(1,N56)-(K58+L58+M58))))</f>
        <v>8</v>
      </c>
      <c r="O58" s="63">
        <f>IF(AND(O56=1,O57=8),8,MIN(IF(O56&lt;=0,0,IF(WEEKDAY(O$6,1)=1,0,IF(WEEKDAY(O$6,1)=7,0,MIN(8,O57)*O56))),MAX(0,40*MAX(1,O56)-(K58+L58+M58+N58))))</f>
        <v>8</v>
      </c>
      <c r="P58" s="64">
        <f>IF(AND(P56=0,P57=0),0,MIN(IF(P56&lt;=0,0,IF(WEEKDAY(P$6,1)=1,0,IF(WEEKDAY(P$6,1)=7,0,MIN(8,P57)*P56))),MAX(0,40*MAX(1,P56)-(0))))</f>
        <v>0</v>
      </c>
      <c r="Q58" s="64">
        <f>IF(AND(Q56=0,Q57=0),0,MIN(IF(Q56&lt;=0,0,IF(WEEKDAY(Q$6,1)=1,0,IF(WEEKDAY(Q$6,1)=7,0,MIN(8,Q57)*Q56))),MAX(0,40*MAX(1,Q56)-(P58))))</f>
        <v>0</v>
      </c>
      <c r="R58" s="63">
        <f>IF(AND(R56=1,R57=8),8,MIN(IF(R56&lt;=0,0,IF(WEEKDAY(R$6,1)=1,0,IF(WEEKDAY(R$6,1)=7,0,MIN(8,R57)*R56))),MAX(0,40*MAX(1,R56)-(0))))</f>
        <v>8</v>
      </c>
      <c r="S58" s="63">
        <f>IF(AND(S56=1,S57=8),8,MIN(IF(S56&lt;=0,0,IF(WEEKDAY(S$6,1)=1,0,IF(WEEKDAY(S$6,1)=7,0,MIN(8,S57)*S56))),MAX(0,40*MAX(1,S56)-(R58))))</f>
        <v>8</v>
      </c>
      <c r="T58" s="63">
        <f>IF(AND(T56=1,T57=8),8,MIN(IF(T56&lt;=0,0,IF(WEEKDAY(T$6,1)=1,0,IF(WEEKDAY(T$6,1)=7,0,MIN(8,T57)*T56))),MAX(0,40*MAX(1,T56)-(R58+S58))))</f>
        <v>8</v>
      </c>
      <c r="U58" s="63">
        <f>IF(AND(U56=1,U57=8),8,MIN(IF(U56&lt;=0,0,IF(WEEKDAY(U$6,1)=1,0,IF(WEEKDAY(U$6,1)=7,0,MIN(8,U57)*U56))),MAX(0,40*MAX(1,U56)-(R58+S58+T58))))</f>
        <v>8</v>
      </c>
      <c r="V58" s="63">
        <f>IF(AND(V56=1,V57=8),8,MIN(IF(V56&lt;=0,0,IF(WEEKDAY(V$6,1)=1,0,IF(WEEKDAY(V$6,1)=7,0,MIN(8,V57)*V56))),MAX(0,40*MAX(1,V56)-(R58+S58+T58+U58))))</f>
        <v>8</v>
      </c>
      <c r="W58" s="64">
        <f>IF(AND(W56=0,W57=0),0,MIN(IF(W56&lt;=0,0,IF(WEEKDAY(W$6,1)=1,0,IF(WEEKDAY(W$6,1)=7,0,MIN(8,W57)*W56))),MAX(0,40*MAX(1,W56)-(0))))</f>
        <v>0</v>
      </c>
      <c r="X58" s="64">
        <f>IF(AND(X56=0,X57=0),0,MIN(IF(X56&lt;=0,0,IF(WEEKDAY(X$6,1)=1,0,IF(WEEKDAY(X$6,1)=7,0,MIN(8,X57)*X56))),MAX(0,40*MAX(1,X56)-(W58))))</f>
        <v>0</v>
      </c>
      <c r="Y58" s="63">
        <f>IF(AND(Y56=1,Y57=8),8,MIN(IF(Y56&lt;=0,0,IF(WEEKDAY(Y$6,1)=1,0,IF(WEEKDAY(Y$6,1)=7,0,MIN(8,Y57)*Y56))),MAX(0,40*MAX(1,Y56)-(0))))</f>
        <v>8</v>
      </c>
      <c r="Z58" s="63">
        <f>IF(AND(Z56=1,Z57=8),8,MIN(IF(Z56&lt;=0,0,IF(WEEKDAY(Z$6,1)=1,0,IF(WEEKDAY(Z$6,1)=7,0,MIN(8,Z57)*Z56))),MAX(0,40*MAX(1,Z56)-(Y58))))</f>
        <v>8</v>
      </c>
      <c r="AA58" s="63">
        <f>IF(AND(AA56=1,AA57=8),8,MIN(IF(AA56&lt;=0,0,IF(WEEKDAY(AA$6,1)=1,0,IF(WEEKDAY(AA$6,1)=7,0,MIN(8,AA57)*AA56))),MAX(0,40*MAX(1,AA56)-(Y58+Z58))))</f>
        <v>8</v>
      </c>
      <c r="AB58" s="63">
        <f>IF(AND(AB56=1,AB57=8),8,MIN(IF(AB56&lt;=0,0,IF(WEEKDAY(AB$6,1)=1,0,IF(WEEKDAY(AB$6,1)=7,0,MIN(8,AB57)*AB56))),MAX(0,40*MAX(1,AB56)-(Y58+Z58+AA58))))</f>
        <v>8</v>
      </c>
      <c r="AC58" s="63">
        <f>IF(AND(AC56=1,AC57=8),8,MIN(IF(AC56&lt;=0,0,IF(WEEKDAY(AC$6,1)=1,0,IF(WEEKDAY(AC$6,1)=7,0,MIN(8,AC57)*AC56))),MAX(0,40*MAX(1,AC56)-(Y58+Z58+AA58+AB58))))</f>
        <v>8</v>
      </c>
      <c r="AD58" s="64">
        <f>IF(AND(AD56=0,AD57=0),0,MIN(IF(AD56&lt;=0,0,IF(WEEKDAY(AD$6,1)=1,0,IF(WEEKDAY(AD$6,1)=7,0,MIN(8,AD57)*AD56))),MAX(0,40*MAX(1,AD56)-(0))))</f>
        <v>0</v>
      </c>
      <c r="AE58" s="64">
        <f>IF(AND(AE56=0,AE57=0),0,MIN(IF(AE56&lt;=0,0,IF(WEEKDAY(AE$6,1)=1,0,IF(WEEKDAY(AE$6,1)=7,0,MIN(8,AE57)*AE56))),MAX(0,40*MAX(1,AE56)-(AD58))))</f>
        <v>0</v>
      </c>
      <c r="AF58" s="63">
        <f>IF(AND(AF56=1,AF57=8),8,MIN(IF(AF56&lt;=0,0,IF(WEEKDAY(AF$6,1)=1,0,IF(WEEKDAY(AF$6,1)=7,0,MIN(8,AF57)*AF56))),MAX(0,40*MAX(1,AF56)-(0))))</f>
        <v>8</v>
      </c>
      <c r="AG58" s="63">
        <f>IF(AND(AG56=1,AG57=8),8,MIN(IF(AG56&lt;=0,0,IF(WEEKDAY(AG$6,1)=1,0,IF(WEEKDAY(AG$6,1)=7,0,MIN(8,AG57)*AG56))),MAX(0,40*MAX(1,AG56)-(AF58))))</f>
        <v>8</v>
      </c>
      <c r="AH58" s="63">
        <f>IF(AND(AH56=1,AH57=8),8,MIN(IF(AH56&lt;=0,0,IF(WEEKDAY(AH$6,1)=1,0,IF(WEEKDAY(AH$6,1)=7,0,MIN(8,AH57)*AH56))),MAX(0,40*MAX(1,AH56)-(AF58+AG58))))</f>
        <v>8</v>
      </c>
      <c r="AI58" s="63">
        <f>IF(AND(AI56=1,AI57=8),8,MIN(IF(AI56&lt;=0,0,IF(WEEKDAY(AI$6,1)=1,0,IF(WEEKDAY(AI$6,1)=7,0,MIN(8,AI57)*AI56))),MAX(0,40*MAX(1,AI56)-(AF58+AG58+AH58))))</f>
        <v>8</v>
      </c>
      <c r="AJ58" s="63">
        <f>IF(AND(AJ56=1,AJ57=8),8,MIN(IF(AJ56&lt;=0,0,IF(WEEKDAY(AJ$6,1)=1,0,IF(WEEKDAY(AJ$6,1)=7,0,MIN(8,AJ57)*AJ56))),MAX(0,40*MAX(1,AJ56)-(AF58+AG58+AH58+AI58))))</f>
        <v>8</v>
      </c>
      <c r="AK58" s="64">
        <f>IF(AND(AK56=0,AK57=0),0,MIN(IF(AK56&lt;=0,0,IF(WEEKDAY(AK$6,1)=1,0,IF(WEEKDAY(AK$6,1)=7,0,MIN(8,AK57)*AK56))),MAX(0,40*MAX(1,AK56)-(0))))</f>
        <v>0</v>
      </c>
      <c r="AL58" s="64">
        <f>IF(AND(AL56=0,AL57=0),0,MIN(IF(AL56&lt;=0,0,IF(WEEKDAY(AL$6,1)=1,0,IF(WEEKDAY(AL$6,1)=7,0,MIN(8,AL57)*AL56))),MAX(0,40*MAX(1,AL56)-(AK58))))</f>
        <v>0</v>
      </c>
      <c r="AM58" s="63">
        <f>IF(AND(AM56=1,AM57=8),8,MIN(IF(AM56&lt;=0,0,IF(WEEKDAY(AM$6,1)=1,0,IF(WEEKDAY(AM$6,1)=7,0,MIN(8,AM57)*AM56))),MAX(0,40*MAX(1,AM56)-(0))))</f>
        <v>8</v>
      </c>
      <c r="AN58" s="63">
        <f>IF(AND(AN56=1,AN57=8),8,MIN(IF(AN56&lt;=0,0,IF(WEEKDAY(AN$6,1)=1,0,IF(WEEKDAY(AN$6,1)=7,0,MIN(8,AN57)*AN56))),MAX(0,40*MAX(1,AN56)-(AM58))))</f>
        <v>8</v>
      </c>
      <c r="AO58" s="63">
        <f>IF(AND(AO56=1,AO57=8),8,MIN(IF(AO56&lt;=0,0,IF(WEEKDAY(AO$6,1)=1,0,IF(WEEKDAY(AO$6,1)=7,0,MIN(8,AO57)*AO56))),MAX(0,40*MAX(1,AO56)-(AM58+AN58))))</f>
        <v>8</v>
      </c>
      <c r="AP58" s="63">
        <f>IF(AND(AP56=1,AP57=8),8,MIN(IF(AP56&lt;=0,0,IF(WEEKDAY(AP$6,1)=1,0,IF(WEEKDAY(AP$6,1)=7,0,MIN(8,AP57)*AP56))),MAX(0,40*MAX(1,AP56)-(AM58+AN58+AO58))))</f>
        <v>8</v>
      </c>
      <c r="AQ58" s="63">
        <f>IF(AND(AQ56=1,AQ57=8),8,MIN(IF(AQ56&lt;=0,0,IF(WEEKDAY(AQ$6,1)=1,0,IF(WEEKDAY(AQ$6,1)=7,0,MIN(8,AQ57)*AQ56))),MAX(0,40*MAX(1,AQ56)-(AM58+AN58+AO58+AP58))))</f>
        <v>8</v>
      </c>
      <c r="AR58" s="64">
        <f>IF(AND(AR56=0,AR57=0),0,MIN(IF(AR56&lt;=0,0,IF(WEEKDAY(AR$6,1)=1,0,IF(WEEKDAY(AR$6,1)=7,0,MIN(8,AR57)*AR56))),MAX(0,40*MAX(1,AR56)-(0))))</f>
        <v>0</v>
      </c>
      <c r="AS58" s="64">
        <f>IF(AND(AS56=0,AS57=0),0,MIN(IF(AS56&lt;=0,0,IF(WEEKDAY(AS$6,1)=1,0,IF(WEEKDAY(AS$6,1)=7,0,MIN(8,AS57)*AS56))),MAX(0,40*MAX(1,AS56)-(AR58))))</f>
        <v>0</v>
      </c>
      <c r="AT58" s="63">
        <f>IF(AND(AT56=1,AT57=8),8,MIN(IF(AT56&lt;=0,0,IF(WEEKDAY(AT$6,1)=1,0,IF(WEEKDAY(AT$6,1)=7,0,MIN(8,AT57)*AT56))),MAX(0,40*MAX(1,AT56)-(0))))</f>
        <v>8</v>
      </c>
      <c r="AU58" s="63">
        <f>IF(AND(AU56=1,AU57=8),8,MIN(IF(AU56&lt;=0,0,IF(WEEKDAY(AU$6,1)=1,0,IF(WEEKDAY(AU$6,1)=7,0,MIN(8,AU57)*AU56))),MAX(0,40*MAX(1,AU56)-(AT58))))</f>
        <v>8</v>
      </c>
      <c r="AV58" s="63">
        <f>IF(AND(AV56=1,AV57=8),8,MIN(IF(AV56&lt;=0,0,IF(WEEKDAY(AV$6,1)=1,0,IF(WEEKDAY(AV$6,1)=7,0,MIN(8,AV57)*AV56))),MAX(0,40*MAX(1,AV56)-(AT58+AU58))))</f>
        <v>8</v>
      </c>
      <c r="AW58" s="63">
        <f>IF(AND(AW56=1,AW57=8),8,MIN(IF(AW56&lt;=0,0,IF(WEEKDAY(AW$6,1)=1,0,IF(WEEKDAY(AW$6,1)=7,0,MIN(8,AW57)*AW56))),MAX(0,40*MAX(1,AW56)-(AT58+AU58+AV58))))</f>
        <v>8</v>
      </c>
      <c r="AX58" s="63">
        <f>IF(AND(AX56=1,AX57=8),8,MIN(IF(AX56&lt;=0,0,IF(WEEKDAY(AX$6,1)=1,0,IF(WEEKDAY(AX$6,1)=7,0,MIN(8,AX57)*AX56))),MAX(0,40*MAX(1,AX56)-(AT58+AU58+AV58+AW58))))</f>
        <v>8</v>
      </c>
      <c r="AY58" s="64">
        <f>IF(AND(AY56=0,AY57=0),0,MIN(IF(AY56&lt;=0,0,IF(WEEKDAY(AY$6,1)=1,0,IF(WEEKDAY(AY$6,1)=7,0,MIN(8,AY57)*AY56))),MAX(0,40*MAX(1,AY56)-(0))))</f>
        <v>0</v>
      </c>
      <c r="AZ58" s="64">
        <f>IF(AND(AZ56=0,AZ57=0),0,MIN(IF(AZ56&lt;=0,0,IF(WEEKDAY(AZ$6,1)=1,0,IF(WEEKDAY(AZ$6,1)=7,0,MIN(8,AZ57)*AZ56))),MAX(0,40*MAX(1,AZ56)-(AY58))))</f>
        <v>0</v>
      </c>
      <c r="BA58" s="63">
        <f>IF(AND(BA56=1,BA57=8),8,MIN(IF(BA56&lt;=0,0,IF(WEEKDAY(BA$6,1)=1,0,IF(WEEKDAY(BA$6,1)=7,0,MIN(8,BA57)*BA56))),MAX(0,40*MAX(1,BA56)-(0))))</f>
        <v>8</v>
      </c>
      <c r="BB58" s="63">
        <f>IF(AND(BB56=1,BB57=8),8,MIN(IF(BB56&lt;=0,0,IF(WEEKDAY(BB$6,1)=1,0,IF(WEEKDAY(BB$6,1)=7,0,MIN(8,BB57)*BB56))),MAX(0,40*MAX(1,BB56)-(BA58))))</f>
        <v>8</v>
      </c>
      <c r="BC58" s="63">
        <f>IF(AND(BC56=1,BC57=8),8,MIN(IF(BC56&lt;=0,0,IF(WEEKDAY(BC$6,1)=1,0,IF(WEEKDAY(BC$6,1)=7,0,MIN(8,BC57)*BC56))),MAX(0,40*MAX(1,BC56)-(BA58+BB58))))</f>
        <v>8</v>
      </c>
      <c r="BD58" s="63">
        <f>IF(AND(BD56=1,BD57=8),8,MIN(IF(BD56&lt;=0,0,IF(WEEKDAY(BD$6,1)=1,0,IF(WEEKDAY(BD$6,1)=7,0,MIN(8,BD57)*BD56))),MAX(0,40*MAX(1,BD56)-(BA58+BB58+BC58))))</f>
        <v>8</v>
      </c>
      <c r="BE58" s="63">
        <f>IF(AND(BE56=1,BE57=8),8,MIN(IF(BE56&lt;=0,0,IF(WEEKDAY(BE$6,1)=1,0,IF(WEEKDAY(BE$6,1)=7,0,MIN(8,BE57)*BE56))),MAX(0,40*MAX(1,BE56)-(BA58+BB58+BC58+BD58))))</f>
        <v>8</v>
      </c>
      <c r="BF58" s="64">
        <f>IF(AND(BF56=0,BF57=0),0,MIN(IF(BF56&lt;=0,0,IF(WEEKDAY(BF$6,1)=1,0,IF(WEEKDAY(BF$6,1)=7,0,MIN(8,BF57)*BF56))),MAX(0,40*MAX(1,BF56)-(0))))</f>
        <v>0</v>
      </c>
      <c r="BG58" s="64">
        <f>IF(AND(BG56=0,BG57=0),0,MIN(IF(BG56&lt;=0,0,IF(WEEKDAY(BG$6,1)=1,0,IF(WEEKDAY(BG$6,1)=7,0,MIN(8,BG57)*BG56))),MAX(0,40*MAX(1,BG56)-(BF58))))</f>
        <v>0</v>
      </c>
      <c r="BH58" s="63">
        <f>IF(AND(BH56=2,BH57=10),16,MIN(IF(BH56&lt;=0,0,IF(WEEKDAY(BH$6,1)=1,0,IF(WEEKDAY(BH$6,1)=7,0,MIN(8,BH57)*BH56))),MAX(0,40*MAX(1,BH56)-(0))))</f>
        <v>16</v>
      </c>
      <c r="BI58" s="63">
        <f>IF(AND(BI56=2,BI57=10),16,MIN(IF(BI56&lt;=0,0,IF(WEEKDAY(BI$6,1)=1,0,IF(WEEKDAY(BI$6,1)=7,0,MIN(8,BI57)*BI56))),MAX(0,40*MAX(1,BI56)-(BH58))))</f>
        <v>16</v>
      </c>
      <c r="BJ58" s="63">
        <f>IF(AND(BJ56=2,BJ57=10),16,MIN(IF(BJ56&lt;=0,0,IF(WEEKDAY(BJ$6,1)=1,0,IF(WEEKDAY(BJ$6,1)=7,0,MIN(8,BJ57)*BJ56))),MAX(0,40*MAX(1,BJ56)-(BH58+BI58))))</f>
        <v>16</v>
      </c>
      <c r="BK58" s="63">
        <f>IF(AND(BK56=2,BK57=10),16,MIN(IF(BK56&lt;=0,0,IF(WEEKDAY(BK$6,1)=1,0,IF(WEEKDAY(BK$6,1)=7,0,MIN(8,BK57)*BK56))),MAX(0,40*MAX(1,BK56)-(BH58+BI58+BJ58))))</f>
        <v>16</v>
      </c>
      <c r="BL58" s="63">
        <f>IF(AND(BL56=2,BL57=10),16,MIN(IF(BL56&lt;=0,0,IF(WEEKDAY(BL$6,1)=1,0,IF(WEEKDAY(BL$6,1)=7,0,MIN(8,BL57)*BL56))),MAX(0,40*MAX(1,BL56)-(BH58+BI58+BJ58+BK58))))</f>
        <v>16</v>
      </c>
      <c r="BM58" s="64">
        <f>IF(AND(BM56=2,BM57=10),0,MIN(IF(BM56&lt;=0,0,IF(WEEKDAY(BM$6,1)=1,0,IF(WEEKDAY(BM$6,1)=7,0,MIN(8,BM57)*BM56))),MAX(0,40*MAX(1,BM56)-(BH58+BI58+BJ58+BK58+BL58))))</f>
        <v>0</v>
      </c>
      <c r="BN58" s="64">
        <f>IF(AND(BN56=2,BN57=10),0,MIN(IF(BN56&lt;=0,0,IF(WEEKDAY(BN$6,1)=1,0,IF(WEEKDAY(BN$6,1)=7,0,MIN(8,BN57)*BN56))),MAX(0,40*MAX(1,BN56)-(BH58+BI58+BJ58+BK58+BL58+BM58))))</f>
        <v>0</v>
      </c>
      <c r="BO58" s="63">
        <f>IF(AND(BO56=2,BO57=10),16,MIN(IF(BO56&lt;=0,0,IF(WEEKDAY(BO$6,1)=1,0,IF(WEEKDAY(BO$6,1)=7,0,MIN(8,BO57)*BO56))),MAX(0,40*MAX(1,BO56)-(0))))</f>
        <v>16</v>
      </c>
      <c r="BP58" s="63">
        <f>IF(AND(BP56=2,BP57=10),16,MIN(IF(BP56&lt;=0,0,IF(WEEKDAY(BP$6,1)=1,0,IF(WEEKDAY(BP$6,1)=7,0,MIN(8,BP57)*BP56))),MAX(0,40*MAX(1,BP56)-(BO58))))</f>
        <v>16</v>
      </c>
      <c r="BQ58" s="63">
        <f>IF(AND(BQ56=2,BQ57=10),16,MIN(IF(BQ56&lt;=0,0,IF(WEEKDAY(BQ$6,1)=1,0,IF(WEEKDAY(BQ$6,1)=7,0,MIN(8,BQ57)*BQ56))),MAX(0,40*MAX(1,BQ56)-(BO58+BP58))))</f>
        <v>16</v>
      </c>
      <c r="BR58" s="63">
        <f>IF(AND(BR56=2,BR57=10),16,MIN(IF(BR56&lt;=0,0,IF(WEEKDAY(BR$6,1)=1,0,IF(WEEKDAY(BR$6,1)=7,0,MIN(8,BR57)*BR56))),MAX(0,40*MAX(1,BR56)-(0))))</f>
        <v>16</v>
      </c>
      <c r="BS58" s="63">
        <f>IF(AND(BS56=2,BS57=10),16,MIN(IF(BS56&lt;=0,0,IF(WEEKDAY(BS$6,1)=1,0,IF(WEEKDAY(BS$6,1)=7,0,MIN(8,BS57)*BS56))),MAX(0,40*MAX(1,BS56)-(BR58))))</f>
        <v>16</v>
      </c>
      <c r="BT58" s="64">
        <f>IF(AND(BT56=2,BT57=10),0,MIN(IF(BT56&lt;=0,0,IF(WEEKDAY(BT$6,1)=1,0,IF(WEEKDAY(BT$6,1)=7,0,MIN(8,BT57)*BT56))),MAX(0,40*MAX(1,BT56)-(BR58+BS58))))</f>
        <v>0</v>
      </c>
      <c r="BU58" s="64">
        <f>IF(AND(BU56=2,BU57=10),0,MIN(IF(BU56&lt;=0,0,IF(WEEKDAY(BU$6,1)=1,0,IF(WEEKDAY(BU$6,1)=7,0,MIN(8,BU57)*BU56))),MAX(0,40*MAX(1,BU56)-(BR58+BS58+BT58))))</f>
        <v>0</v>
      </c>
      <c r="BV58" s="63">
        <f>IF(AND(BV56=2,BV57=10),16,MIN(IF(BV56&lt;=0,0,IF(WEEKDAY(BV$6,1)=1,0,IF(WEEKDAY(BV$6,1)=7,0,MIN(8,BV57)*BV56))),MAX(0,40*MAX(1,BV56)-(0))))</f>
        <v>16</v>
      </c>
      <c r="BW58" s="63">
        <f>IF(AND(BW56=2,BW57=10),16,MIN(IF(BW56&lt;=0,0,IF(WEEKDAY(BW$6,1)=1,0,IF(WEEKDAY(BW$6,1)=7,0,MIN(8,BW57)*BW56))),MAX(0,40*MAX(1,BW56)-(BV58))))</f>
        <v>16</v>
      </c>
      <c r="BX58" s="63">
        <f>IF(AND(BX56=2,BX57=10),16,MIN(IF(BX56&lt;=0,0,IF(WEEKDAY(BX$6,1)=1,0,IF(WEEKDAY(BX$6,1)=7,0,MIN(8,BX57)*BX56))),MAX(0,40*MAX(1,BX56)-(BV58+BW58))))</f>
        <v>16</v>
      </c>
      <c r="BY58" s="63">
        <f>IF(AND(BY56=2,BY57=10),16,MIN(IF(BY56&lt;=0,0,IF(WEEKDAY(BY$6,1)=1,0,IF(WEEKDAY(BY$6,1)=7,0,MIN(8,BY57)*BY56))),MAX(0,40*MAX(1,BY56)-(BV58+BW58+BX58))))</f>
        <v>16</v>
      </c>
      <c r="BZ58" s="63">
        <f>IF(AND(BZ56=2,BZ57=10),16,MIN(IF(BZ56&lt;=0,0,IF(WEEKDAY(BZ$6,1)=1,0,IF(WEEKDAY(BZ$6,1)=7,0,MIN(8,BZ57)*BZ56))),MAX(0,40*MAX(1,BZ56)-(BV58+BW58+BX58+BY58))))</f>
        <v>16</v>
      </c>
      <c r="CA58" s="64">
        <f>IF(AND(CA56=2,CA57=10),0,MIN(IF(CA56&lt;=0,0,IF(WEEKDAY(CA$6,1)=1,0,IF(WEEKDAY(CA$6,1)=7,0,MIN(8,CA57)*CA56))),MAX(0,40*MAX(1,CA56)-(BV58+BW58+BX58+BY58+BZ58))))</f>
        <v>0</v>
      </c>
      <c r="CB58" s="64">
        <f>IF(AND(CB56=2,CB57=10),0,MIN(IF(CB56&lt;=0,0,IF(WEEKDAY(CB$6,1)=1,0,IF(WEEKDAY(CB$6,1)=7,0,MIN(8,CB57)*CB56))),MAX(0,40*MAX(1,CB56)-(BV58+BW58+BX58+BY58+BZ58+CA58))))</f>
        <v>0</v>
      </c>
      <c r="CC58" s="63">
        <f>IF(AND(CC56=2,CC57=10),16,MIN(IF(CC56&lt;=0,0,IF(WEEKDAY(CC$6,1)=1,0,IF(WEEKDAY(CC$6,1)=7,0,MIN(8,CC57)*CC56))),MAX(0,40*MAX(1,CC56)-(0))))</f>
        <v>16</v>
      </c>
      <c r="CD58" s="63">
        <f>IF(AND(CD56=2,CD57=10),16,MIN(IF(CD56&lt;=0,0,IF(WEEKDAY(CD$6,1)=1,0,IF(WEEKDAY(CD$6,1)=7,0,MIN(8,CD57)*CD56))),MAX(0,40*MAX(1,CD56)-(CC58))))</f>
        <v>16</v>
      </c>
      <c r="CE58" s="63">
        <f>IF(AND(CE56=2,CE57=10),16,MIN(IF(CE56&lt;=0,0,IF(WEEKDAY(CE$6,1)=1,0,IF(WEEKDAY(CE$6,1)=7,0,MIN(8,CE57)*CE56))),MAX(0,40*MAX(1,CE56)-(CC58+CD58))))</f>
        <v>16</v>
      </c>
      <c r="CF58" s="63">
        <f>IF(AND(CF56=2,CF57=10),16,MIN(IF(CF56&lt;=0,0,IF(WEEKDAY(CF$6,1)=1,0,IF(WEEKDAY(CF$6,1)=7,0,MIN(8,CF57)*CF56))),MAX(0,40*MAX(1,CF56)-(CC58+CD58+CE58))))</f>
        <v>16</v>
      </c>
      <c r="CG58" s="63">
        <f>IF(AND(CG56=2,CG57=10),16,MIN(IF(CG56&lt;=0,0,IF(WEEKDAY(CG$6,1)=1,0,IF(WEEKDAY(CG$6,1)=7,0,MIN(8,CG57)*CG56))),MAX(0,40*MAX(1,CG56)-(CC58+CD58+CE58+CF58))))</f>
        <v>16</v>
      </c>
      <c r="CH58" s="64">
        <f>IF(AND(CH56=2,CH57=10),0,MIN(IF(CH56&lt;=0,0,IF(WEEKDAY(CH$6,1)=1,0,IF(WEEKDAY(CH$6,1)=7,0,MIN(8,CH57)*CH56))),MAX(0,40*MAX(1,CH56)-(CC58+CD58+CE58+CF58+CG58))))</f>
        <v>0</v>
      </c>
      <c r="CI58" s="64">
        <f>IF(AND(CI56=2,CI57=10),0,MIN(IF(CI56&lt;=0,0,IF(WEEKDAY(CI$6,1)=1,0,IF(WEEKDAY(CI$6,1)=7,0,MIN(8,CI57)*CI56))),MAX(0,40*MAX(1,CI56)-(CC58+CD58+CE58+CF58+CG58+CH58))))</f>
        <v>0</v>
      </c>
      <c r="CJ58" s="63">
        <f>IF(AND(CJ56=2,CJ57=10),16,MIN(IF(CJ56&lt;=0,0,IF(WEEKDAY(CJ$6,1)=1,0,IF(WEEKDAY(CJ$6,1)=7,0,MIN(8,CJ57)*CJ56))),MAX(0,40*MAX(1,CJ56)-(0))))</f>
        <v>16</v>
      </c>
      <c r="CK58" s="63">
        <f>IF(AND(CK56=2,CK57=10),16,MIN(IF(CK56&lt;=0,0,IF(WEEKDAY(CK$6,1)=1,0,IF(WEEKDAY(CK$6,1)=7,0,MIN(8,CK57)*CK56))),MAX(0,40*MAX(1,CK56)-(CJ58))))</f>
        <v>16</v>
      </c>
      <c r="CL58" s="63">
        <f>IF(AND(CL56=2,CL57=10),16,MIN(IF(CL56&lt;=0,0,IF(WEEKDAY(CL$6,1)=1,0,IF(WEEKDAY(CL$6,1)=7,0,MIN(8,CL57)*CL56))),MAX(0,40*MAX(1,CL56)-(CJ58+CK58))))</f>
        <v>16</v>
      </c>
      <c r="CM58" s="63">
        <f>IF(AND(CM56=2,CM57=10),16,MIN(IF(CM56&lt;=0,0,IF(WEEKDAY(CM$6,1)=1,0,IF(WEEKDAY(CM$6,1)=7,0,MIN(8,CM57)*CM56))),MAX(0,40*MAX(1,CM56)-(CJ58+CK58+CL58))))</f>
        <v>16</v>
      </c>
      <c r="CN58" s="63">
        <f>IF(AND(CN56=2,CN57=10),16,MIN(IF(CN56&lt;=0,0,IF(WEEKDAY(CN$6,1)=1,0,IF(WEEKDAY(CN$6,1)=7,0,MIN(8,CN57)*CN56))),MAX(0,40*MAX(1,CN56)-(CJ58+CK58+CL58+CM58))))</f>
        <v>16</v>
      </c>
      <c r="CO58" s="64">
        <f>IF(AND(CO56=2,CO57=10),0,MIN(IF(CO56&lt;=0,0,IF(WEEKDAY(CO$6,1)=1,0,IF(WEEKDAY(CO$6,1)=7,0,MIN(8,CO57)*CO56))),MAX(0,40*MAX(1,CO56)-(CJ58+CK58+CL58+CM58+CN58))))</f>
        <v>0</v>
      </c>
      <c r="CP58" s="64">
        <f>IF(AND(CP56=2,CP57=10),0,MIN(IF(CP56&lt;=0,0,IF(WEEKDAY(CP$6,1)=1,0,IF(WEEKDAY(CP$6,1)=7,0,MIN(8,CP57)*CP56))),MAX(0,40*MAX(1,CP56)-(CJ58+CK58+CL58+CM58+CN58+CO58))))</f>
        <v>0</v>
      </c>
      <c r="CQ58" s="63">
        <f>IF(AND(CQ56=2,CQ57=10),16,MIN(IF(CQ56&lt;=0,0,IF(WEEKDAY(CQ$6,1)=1,0,IF(WEEKDAY(CQ$6,1)=7,0,MIN(8,CQ57)*CQ56))),MAX(0,40*MAX(1,CQ56)-(0))))</f>
        <v>16</v>
      </c>
      <c r="CR58" s="63">
        <f>IF(AND(CR56=2,CR57=10),16,MIN(IF(CR56&lt;=0,0,IF(WEEKDAY(CR$6,1)=1,0,IF(WEEKDAY(CR$6,1)=7,0,MIN(8,CR57)*CR56))),MAX(0,40*MAX(1,CR56)-(CQ58))))</f>
        <v>16</v>
      </c>
      <c r="CS58" s="63">
        <f>IF(AND(CS56=2,CS57=10),16,MIN(IF(CS56&lt;=0,0,IF(WEEKDAY(CS$6,1)=1,0,IF(WEEKDAY(CS$6,1)=7,0,MIN(8,CS57)*CS56))),MAX(0,40*MAX(1,CS56)-(CQ58+CR58))))</f>
        <v>16</v>
      </c>
      <c r="CT58" s="63">
        <f>IF(AND(CT56=2,CT57=10),16,MIN(IF(CT56&lt;=0,0,IF(WEEKDAY(CT$6,1)=1,0,IF(WEEKDAY(CT$6,1)=7,0,MIN(8,CT57)*CT56))),MAX(0,40*MAX(1,CT56)-(CQ58+CR58+CS58))))</f>
        <v>16</v>
      </c>
      <c r="CU58" s="63">
        <f>IF(AND(CU56=2,CU57=10),16,MIN(IF(CU56&lt;=0,0,IF(WEEKDAY(CU$6,1)=1,0,IF(WEEKDAY(CU$6,1)=7,0,MIN(8,CU57)*CU56))),MAX(0,40*MAX(1,CU56)-(CQ58+CR58+CS58+CT58))))</f>
        <v>16</v>
      </c>
      <c r="CV58" s="64">
        <f>IF(AND(CV56=2,CV57=10),0,MIN(IF(CV56&lt;=0,0,IF(WEEKDAY(CV$6,1)=1,0,IF(WEEKDAY(CV$6,1)=7,0,MIN(8,CV57)*CV56))),MAX(0,40*MAX(1,CV56)-(CQ58+CR58+CS58+CT58+CU58))))</f>
        <v>0</v>
      </c>
      <c r="CW58" s="64">
        <f>IF(AND(CW56=2,CW57=10),0,MIN(IF(CW56&lt;=0,0,IF(WEEKDAY(CW$6,1)=1,0,IF(WEEKDAY(CW$6,1)=7,0,MIN(8,CW57)*CW56))),MAX(0,40*MAX(1,CW56)-(CQ58+CR58+CS58+CT58+CU58+CV58))))</f>
        <v>0</v>
      </c>
      <c r="CX58" s="63">
        <f>IF(AND(CX56=2,CX57=10),16,MIN(IF(CX56&lt;=0,0,IF(WEEKDAY(CX$6,1)=1,0,IF(WEEKDAY(CX$6,1)=7,0,MIN(8,CX57)*CX56))),MAX(0,40*MAX(1,CX56)-(0))))</f>
        <v>16</v>
      </c>
      <c r="CY58" s="63">
        <f>IF(AND(CY56=2,CY57=10),16,MIN(IF(CY56&lt;=0,0,IF(WEEKDAY(CY$6,1)=1,0,IF(WEEKDAY(CY$6,1)=7,0,MIN(8,CY57)*CY56))),MAX(0,40*MAX(1,CY56)-(CX58))))</f>
        <v>16</v>
      </c>
      <c r="CZ58" s="63">
        <f>IF(AND(CZ56=2,CZ57=10),16,MIN(IF(CZ56&lt;=0,0,IF(WEEKDAY(CZ$6,1)=1,0,IF(WEEKDAY(CZ$6,1)=7,0,MIN(8,CZ57)*CZ56))),MAX(0,40*MAX(1,CZ56)-(CX58+CY58))))</f>
        <v>16</v>
      </c>
      <c r="DA58" s="63">
        <f>IF(AND(DA56=2,DA57=10),16,MIN(IF(DA56&lt;=0,0,IF(WEEKDAY(DA$6,1)=1,0,IF(WEEKDAY(DA$6,1)=7,0,MIN(8,DA57)*DA56))),MAX(0,40*MAX(1,DA56)-(CX58+CY58+CZ58))))</f>
        <v>16</v>
      </c>
      <c r="DB58" s="63">
        <f>IF(AND(DB56=2,DB57=10),16,MIN(IF(DB56&lt;=0,0,IF(WEEKDAY(DB$6,1)=1,0,IF(WEEKDAY(DB$6,1)=7,0,MIN(8,DB57)*DB56))),MAX(0,40*MAX(1,DB56)-(CX58+CY58+CZ58+DA58))))</f>
        <v>16</v>
      </c>
      <c r="DC58" s="64">
        <f>IF(AND(DC56=2,DC57=10),0,MIN(IF(DC56&lt;=0,0,IF(WEEKDAY(DC$6,1)=1,0,IF(WEEKDAY(DC$6,1)=7,0,MIN(8,DC57)*DC56))),MAX(0,40*MAX(1,DC56)-(CX58+CY58+CZ58+DA58+DB58))))</f>
        <v>0</v>
      </c>
      <c r="DD58" s="64">
        <f>IF(AND(DD56=2,DD57=10),0,MIN(IF(DD56&lt;=0,0,IF(WEEKDAY(DD$6,1)=1,0,IF(WEEKDAY(DD$6,1)=7,0,MIN(8,DD57)*DD56))),MAX(0,40*MAX(1,DD56)-(0))))</f>
        <v>0</v>
      </c>
      <c r="DE58" s="63">
        <f>IF(AND(DE56=2,DE57=10),16,MIN(IF(DE56&lt;=0,0,IF(WEEKDAY(DE$6,1)=1,0,IF(WEEKDAY(DE$6,1)=7,0,MIN(8,DE57)*DE56))),MAX(0,40*MAX(1,DE56)-(0))))</f>
        <v>16</v>
      </c>
      <c r="DF58" s="63">
        <f>IF(AND(DF56=2,DF57=10),16,MIN(IF(DF56&lt;=0,0,IF(WEEKDAY(DF$6,1)=1,0,IF(WEEKDAY(DF$6,1)=7,0,MIN(8,DF57)*DF56))),MAX(0,40*MAX(1,DF56)-(DE58))))</f>
        <v>16</v>
      </c>
      <c r="DG58" s="63">
        <f>IF(AND(DG56=2,DG57=10),16,MIN(IF(DG56&lt;=0,0,IF(WEEKDAY(DG$6,1)=1,0,IF(WEEKDAY(DG$6,1)=7,0,MIN(8,DG57)*DG56))),MAX(0,40*MAX(1,DG56)-(DE58+DF58))))</f>
        <v>16</v>
      </c>
      <c r="DH58" s="63">
        <f>IF(AND(DH56=2,DH57=10),16,MIN(IF(DH56&lt;=0,0,IF(WEEKDAY(DH$6,1)=1,0,IF(WEEKDAY(DH$6,1)=7,0,MIN(8,DH57)*DH56))),MAX(0,40*MAX(1,DH56)-(DE58+DF58+DG58))))</f>
        <v>16</v>
      </c>
      <c r="DI58" s="63">
        <f>IF(AND(DI56=2,DI57=10),16,MIN(IF(DI56&lt;=0,0,IF(WEEKDAY(DI$6,1)=1,0,IF(WEEKDAY(DI$6,1)=7,0,MIN(8,DI57)*DI56))),MAX(0,40*MAX(1,DI56)-(DE58+DF58+DG58+DH58))))</f>
        <v>16</v>
      </c>
      <c r="DJ58" s="64">
        <f>IF(AND(DJ56=2,DJ57=10),0,MIN(IF(DJ56&lt;=0,0,IF(WEEKDAY(DJ$6,1)=1,0,IF(WEEKDAY(DJ$6,1)=7,0,MIN(8,DJ57)*DJ56))),MAX(0,40*MAX(1,DJ56)-(DE58+DF58+DG58+DH58+DI58))))</f>
        <v>0</v>
      </c>
      <c r="DK58" s="64">
        <f>IF(AND(DK56=2,DK57=10),0,MIN(IF(DK56&lt;=0,0,IF(WEEKDAY(DK$6,1)=1,0,IF(WEEKDAY(DK$6,1)=7,0,MIN(8,DK57)*DK56))),MAX(0,40*MAX(1,DK56)-(DE58+DF58+DG58+DH58+DI58+DJ58))))</f>
        <v>0</v>
      </c>
      <c r="DL58" s="63">
        <f>IF(AND(DL56=2,DL57=10),16,MIN(IF(DL56&lt;=0,0,IF(WEEKDAY(DL$6,1)=1,0,IF(WEEKDAY(DL$6,1)=7,0,MIN(8,DL57)*DL56))),MAX(0,40*MAX(1,DL56)-(0))))</f>
        <v>16</v>
      </c>
      <c r="DM58" s="63">
        <f>IF(AND(DM56=2,DM57=10),16,MIN(IF(DM56&lt;=0,0,IF(WEEKDAY(DM$6,1)=1,0,IF(WEEKDAY(DM$6,1)=7,0,MIN(8,DM57)*DM56))),MAX(0,40*MAX(1,DM56)-(DL58))))</f>
        <v>16</v>
      </c>
      <c r="DN58" s="63">
        <f>IF(AND(DN56=2,DN57=10),16,MIN(IF(DN56&lt;=0,0,IF(WEEKDAY(DN$6,1)=1,0,IF(WEEKDAY(DN$6,1)=7,0,MIN(8,DN57)*DN56))),MAX(0,40*MAX(1,DN56)-(DL58+DM58))))</f>
        <v>16</v>
      </c>
      <c r="DO58" s="63">
        <f>IF(AND(DO56=2,DO57=10),16,MIN(IF(DO56&lt;=0,0,IF(WEEKDAY(DO$6,1)=1,0,IF(WEEKDAY(DO$6,1)=7,0,MIN(8,DO57)*DO56))),MAX(0,40*MAX(1,DO56)-(DL58+DM58+DN58))))</f>
        <v>16</v>
      </c>
      <c r="DP58" s="63">
        <f>IF(AND(DP56=2,DP57=10),16,MIN(IF(DP56&lt;=0,0,IF(WEEKDAY(DP$6,1)=1,0,IF(WEEKDAY(DP$6,1)=7,0,MIN(8,DP57)*DP56))),MAX(0,40*MAX(1,DP56)-(DL58+DM58+DN58+DO58))))</f>
        <v>16</v>
      </c>
      <c r="DQ58" s="64">
        <f>IF(AND(DQ56=2,DQ57=10),0,MIN(IF(DQ56&lt;=0,0,IF(WEEKDAY(DQ$6,1)=1,0,IF(WEEKDAY(DQ$6,1)=7,0,MIN(8,DQ57)*DQ56))),MAX(0,40*MAX(1,DQ56)-(DL58+DM58+DN58+DO58+DP58))))</f>
        <v>0</v>
      </c>
      <c r="DR58" s="64">
        <f>IF(AND(DR56=2,DR57=10),0,MIN(IF(DR56&lt;=0,0,IF(WEEKDAY(DR$6,1)=1,0,IF(WEEKDAY(DR$6,1)=7,0,MIN(8,DR57)*DR56))),MAX(0,40*MAX(1,DR56)-(DL58+DM58+DN58+DO58+DP58+DQ58))))</f>
        <v>0</v>
      </c>
      <c r="DS58" s="63">
        <f>IF(AND(DS56=2,DS57=10),16,MIN(IF(DS56&lt;=0,0,IF(WEEKDAY(DS$6,1)=1,0,IF(WEEKDAY(DS$6,1)=7,0,MIN(8,DS57)*DS56))),MAX(0,40*MAX(1,DS56)-(0))))</f>
        <v>16</v>
      </c>
      <c r="DT58" s="63">
        <f>IF(AND(DT56=2,DT57=8),16,MIN(IF(DT56&lt;=0,0,IF(WEEKDAY(DT$6,1)=1,0,IF(WEEKDAY(DT$6,1)=7,0,MIN(8,DT57)*DT56))),MAX(0,40*MAX(1,DT56)-(0))))</f>
        <v>16</v>
      </c>
      <c r="DU58" s="63">
        <f>IF(AND(DU56=2,DU57=8),16,MIN(IF(DU56&lt;=0,0,IF(WEEKDAY(DU$6,1)=1,0,IF(WEEKDAY(DU$6,1)=7,0,MIN(8,DU57)*DU56))),MAX(0,40*MAX(1,DU56)-(DT58))))</f>
        <v>16</v>
      </c>
      <c r="DV58" s="63">
        <f>IF(AND(DV56=2,DV57=8),16,MIN(IF(DV56&lt;=0,0,IF(WEEKDAY(DV$6,1)=1,0,IF(WEEKDAY(DV$6,1)=7,0,MIN(8,DV57)*DV56))),MAX(0,40*MAX(1,DV56)-(DT58+DU58))))</f>
        <v>16</v>
      </c>
      <c r="DW58" s="63">
        <f>IF(AND(DW56=2,DW57=8),16,MIN(IF(DW56&lt;=0,0,IF(WEEKDAY(DW$6,1)=1,0,IF(WEEKDAY(DW$6,1)=7,0,MIN(8,DW57)*DW56))),MAX(0,40*MAX(1,DW56)-(DT58+DU58+DV58))))</f>
        <v>16</v>
      </c>
      <c r="DX58" s="64">
        <f>IF(AND(DX56=0,DX57=0),0,MIN(IF(DX56&lt;=0,0,IF(WEEKDAY(DX$6,1)=1,0,IF(WEEKDAY(DX$6,1)=7,0,MIN(8,DX57)*DX56))),MAX(0,40*MAX(1,DX56)-(0))))</f>
        <v>0</v>
      </c>
      <c r="DY58" s="64">
        <f>IF(AND(DY56=0,DY57=0),0,MIN(IF(DY56&lt;=0,0,IF(WEEKDAY(DY$6,1)=1,0,IF(WEEKDAY(DY$6,1)=7,0,MIN(8,DY57)*DY56))),MAX(0,40*MAX(1,DY56)-(DX58))))</f>
        <v>0</v>
      </c>
      <c r="DZ58" s="63">
        <f>IF(AND(DZ56=2,DZ57=8),16,MIN(IF(DZ56&lt;=0,0,IF(WEEKDAY(DZ$6,1)=1,0,IF(WEEKDAY(DZ$6,1)=7,0,MIN(8,DZ57)*DZ56))),MAX(0,40*MAX(1,DZ56)-(0))))</f>
        <v>16</v>
      </c>
      <c r="EA58" s="63">
        <f>IF(AND(EA56=2,EA57=8),16,MIN(IF(EA56&lt;=0,0,IF(WEEKDAY(EA$6,1)=1,0,IF(WEEKDAY(EA$6,1)=7,0,MIN(8,EA57)*EA56))),MAX(0,40*MAX(1,EA56)-(DZ58))))</f>
        <v>16</v>
      </c>
      <c r="EB58" s="63">
        <f>IF(AND(EB56=2,EB57=8),16,MIN(IF(EB56&lt;=0,0,IF(WEEKDAY(EB$6,1)=1,0,IF(WEEKDAY(EB$6,1)=7,0,MIN(8,EB57)*EB56))),MAX(0,40*MAX(1,EB56)-(DZ58+EA58))))</f>
        <v>16</v>
      </c>
      <c r="EC58" s="63">
        <f>IF(AND(EC56=2,EC57=8),16,MIN(IF(EC56&lt;=0,0,IF(WEEKDAY(EC$6,1)=1,0,IF(WEEKDAY(EC$6,1)=7,0,MIN(8,EC57)*EC56))),MAX(0,40*MAX(1,EC56)-(DZ58+EA58+EB58))))</f>
        <v>16</v>
      </c>
      <c r="ED58" s="63">
        <f>IF(AND(ED56=2,ED57=8),16,MIN(IF(ED56&lt;=0,0,IF(WEEKDAY(ED$6,1)=1,0,IF(WEEKDAY(ED$6,1)=7,0,MIN(8,ED57)*ED56))),MAX(0,40*MAX(1,ED56)-(DZ58+EA58+EB58+EC58))))</f>
        <v>16</v>
      </c>
      <c r="EE58" s="64">
        <f>IF(AND(EE56=0,EE57=0),0,MIN(IF(EE56&lt;=0,0,IF(WEEKDAY(EE$6,1)=1,0,IF(WEEKDAY(EE$6,1)=7,0,MIN(8,EE57)*EE56))),MAX(0,40*MAX(1,EE56)-(0))))</f>
        <v>0</v>
      </c>
      <c r="EF58" s="64">
        <f>IF(AND(EF56=0,EF57=0),0,MIN(IF(EF56&lt;=0,0,IF(WEEKDAY(EF$6,1)=1,0,IF(WEEKDAY(EF$6,1)=7,0,MIN(8,EF57)*EF56))),MAX(0,40*MAX(1,EF56)-(EE58))))</f>
        <v>0</v>
      </c>
      <c r="EG58" s="63">
        <f>IF(AND(EG56=2,EG57=8),16,MIN(IF(EG56&lt;=0,0,IF(WEEKDAY(EG$6,1)=1,0,IF(WEEKDAY(EG$6,1)=7,0,MIN(8,EG57)*EG56))),MAX(0,40*MAX(1,EG56)-(0))))</f>
        <v>16</v>
      </c>
      <c r="EH58" s="63">
        <f>IF(AND(EH56=2,EH57=8),16,MIN(IF(EH56&lt;=0,0,IF(WEEKDAY(EH$6,1)=1,0,IF(WEEKDAY(EH$6,1)=7,0,MIN(8,EH57)*EH56))),MAX(0,40*MAX(1,EH56)-(EG58))))</f>
        <v>16</v>
      </c>
      <c r="EI58" s="63">
        <f>IF(AND(EI56=2,EI57=8),16,MIN(IF(EI56&lt;=0,0,IF(WEEKDAY(EI$6,1)=1,0,IF(WEEKDAY(EI$6,1)=7,0,MIN(8,EI57)*EI56))),MAX(0,40*MAX(1,EI56)-(EG58+EH58))))</f>
        <v>16</v>
      </c>
      <c r="EJ58" s="63">
        <f>IF(AND(EJ56=2,EJ57=8),16,MIN(IF(EJ56&lt;=0,0,IF(WEEKDAY(EJ$6,1)=1,0,IF(WEEKDAY(EJ$6,1)=7,0,MIN(8,EJ57)*EJ56))),MAX(0,40*MAX(1,EJ56)-(EG58+EH58+EI58))))</f>
        <v>16</v>
      </c>
      <c r="EK58" s="65">
        <f>IF(AND(EK56=2,EK57=8),16,MIN(IF(EK56&lt;=0,0,IF(WEEKDAY(EK$6,1)=1,0,IF(WEEKDAY(EK$6,1)=7,0,MIN(8,EK57)*EK56))),MAX(0,40*MAX(1,EK56)-(EG58+EH58+EI58+EJ58))))</f>
        <v>16</v>
      </c>
      <c r="OU58" s="28" t="s">
        <v>128</v>
      </c>
    </row>
    <row r="59" ht="16" customHeight="1" spans="1:411" x14ac:dyDescent="0.25">
      <c r="A59" s="45"/>
      <c r="B59" s="79" t="s">
        <v>111</v>
      </c>
      <c r="C59" s="66">
        <f>G55*N(D59)</f>
        <v>55611.92</v>
      </c>
      <c r="D59" s="66">
        <f>IF(TRIM(IF(TRIM(B59)&lt;&gt;"",B59,B55))="","No rate",IFERROR(INDEX('Rate Tables'!D$7:D$158,MATCH(IF(TRIM(B59)&lt;&gt;"",B59,B55),'Rate Tables'!A$7:A$158,0)),"No rate"))</f>
        <v>152.78</v>
      </c>
      <c r="E59" s="55" t="s">
        <v>63</v>
      </c>
      <c r="F59" s="49"/>
      <c r="G59" s="49"/>
      <c r="H59" s="49"/>
      <c r="I59" s="49"/>
      <c r="J59" s="50"/>
      <c r="K59" s="62">
        <f>IF(AND(K56=1,K57=8),0,IF(K56&lt;=0,0,IF(WEEKDAY(K$6,1)=1,0,IF(WEEKDAY(K$6,1)=7,K56*K57,MAX(0,K57-8)*K56)))+((IF(K56&lt;=0,0,IF(WEEKDAY(K$6,1)=1,0,IF(WEEKDAY(K$6,1)=7,0,MIN(8,K57)*K56))))-MIN(IF(K56&lt;=0,0,IF(WEEKDAY(K$6,1)=1,0,IF(WEEKDAY(K$6,1)=7,0,MIN(8,K57)*K56))),MAX(0,40*MAX(1,K56)-(0)))))</f>
        <v>0</v>
      </c>
      <c r="L59" s="63">
        <f>IF(AND(L56=1,L57=8),0,IF(L56&lt;=0,0,IF(WEEKDAY(L$6,1)=1,0,IF(WEEKDAY(L$6,1)=7,L56*L57,MAX(0,L57-8)*L56)))+((IF(L56&lt;=0,0,IF(WEEKDAY(L$6,1)=1,0,IF(WEEKDAY(L$6,1)=7,0,MIN(8,L57)*L56))))-MIN(IF(L56&lt;=0,0,IF(WEEKDAY(L$6,1)=1,0,IF(WEEKDAY(L$6,1)=7,0,MIN(8,L57)*L56))),MAX(0,40*MAX(1,L56)-(K58)))))</f>
        <v>0</v>
      </c>
      <c r="M59" s="63">
        <f>IF(AND(M56=1,M57=8),0,IF(M56&lt;=0,0,IF(WEEKDAY(M$6,1)=1,0,IF(WEEKDAY(M$6,1)=7,M56*M57,MAX(0,M57-8)*M56)))+((IF(M56&lt;=0,0,IF(WEEKDAY(M$6,1)=1,0,IF(WEEKDAY(M$6,1)=7,0,MIN(8,M57)*M56))))-MIN(IF(M56&lt;=0,0,IF(WEEKDAY(M$6,1)=1,0,IF(WEEKDAY(M$6,1)=7,0,MIN(8,M57)*M56))),MAX(0,40*MAX(1,M56)-(K58+L58)))))</f>
        <v>0</v>
      </c>
      <c r="N59" s="63">
        <f>IF(AND(N56=1,N57=8),0,IF(N56&lt;=0,0,IF(WEEKDAY(N$6,1)=1,0,IF(WEEKDAY(N$6,1)=7,N56*N57,MAX(0,N57-8)*N56)))+((IF(N56&lt;=0,0,IF(WEEKDAY(N$6,1)=1,0,IF(WEEKDAY(N$6,1)=7,0,MIN(8,N57)*N56))))-MIN(IF(N56&lt;=0,0,IF(WEEKDAY(N$6,1)=1,0,IF(WEEKDAY(N$6,1)=7,0,MIN(8,N57)*N56))),MAX(0,40*MAX(1,N56)-(K58+L58+M58)))))</f>
        <v>0</v>
      </c>
      <c r="O59" s="63">
        <f>IF(AND(O56=1,O57=8),0,IF(O56&lt;=0,0,IF(WEEKDAY(O$6,1)=1,0,IF(WEEKDAY(O$6,1)=7,O56*O57,MAX(0,O57-8)*O56)))+((IF(O56&lt;=0,0,IF(WEEKDAY(O$6,1)=1,0,IF(WEEKDAY(O$6,1)=7,0,MIN(8,O57)*O56))))-MIN(IF(O56&lt;=0,0,IF(WEEKDAY(O$6,1)=1,0,IF(WEEKDAY(O$6,1)=7,0,MIN(8,O57)*O56))),MAX(0,40*MAX(1,O56)-(K58+L58+M58+N58)))))</f>
        <v>0</v>
      </c>
      <c r="P59" s="64">
        <f>IF(AND(P56=0,P57=0),0,IF(P56&lt;=0,0,IF(WEEKDAY(P$6,1)=1,0,IF(WEEKDAY(P$6,1)=7,P56*P57,MAX(0,P57-8)*P56)))+((IF(P56&lt;=0,0,IF(WEEKDAY(P$6,1)=1,0,IF(WEEKDAY(P$6,1)=7,0,MIN(8,P57)*P56))))-MIN(IF(P56&lt;=0,0,IF(WEEKDAY(P$6,1)=1,0,IF(WEEKDAY(P$6,1)=7,0,MIN(8,P57)*P56))),MAX(0,40*MAX(1,P56)-(0)))))</f>
        <v>0</v>
      </c>
      <c r="Q59" s="64">
        <f>IF(AND(Q56=0,Q57=0),0,IF(Q56&lt;=0,0,IF(WEEKDAY(Q$6,1)=1,0,IF(WEEKDAY(Q$6,1)=7,Q56*Q57,MAX(0,Q57-8)*Q56)))+((IF(Q56&lt;=0,0,IF(WEEKDAY(Q$6,1)=1,0,IF(WEEKDAY(Q$6,1)=7,0,MIN(8,Q57)*Q56))))-MIN(IF(Q56&lt;=0,0,IF(WEEKDAY(Q$6,1)=1,0,IF(WEEKDAY(Q$6,1)=7,0,MIN(8,Q57)*Q56))),MAX(0,40*MAX(1,Q56)-(P58)))))</f>
        <v>0</v>
      </c>
      <c r="R59" s="63">
        <f>IF(AND(R56=1,R57=8),0,IF(R56&lt;=0,0,IF(WEEKDAY(R$6,1)=1,0,IF(WEEKDAY(R$6,1)=7,R56*R57,MAX(0,R57-8)*R56)))+((IF(R56&lt;=0,0,IF(WEEKDAY(R$6,1)=1,0,IF(WEEKDAY(R$6,1)=7,0,MIN(8,R57)*R56))))-MIN(IF(R56&lt;=0,0,IF(WEEKDAY(R$6,1)=1,0,IF(WEEKDAY(R$6,1)=7,0,MIN(8,R57)*R56))),MAX(0,40*MAX(1,R56)-(0)))))</f>
        <v>0</v>
      </c>
      <c r="S59" s="63">
        <f>IF(AND(S56=1,S57=8),0,IF(S56&lt;=0,0,IF(WEEKDAY(S$6,1)=1,0,IF(WEEKDAY(S$6,1)=7,S56*S57,MAX(0,S57-8)*S56)))+((IF(S56&lt;=0,0,IF(WEEKDAY(S$6,1)=1,0,IF(WEEKDAY(S$6,1)=7,0,MIN(8,S57)*S56))))-MIN(IF(S56&lt;=0,0,IF(WEEKDAY(S$6,1)=1,0,IF(WEEKDAY(S$6,1)=7,0,MIN(8,S57)*S56))),MAX(0,40*MAX(1,S56)-(R58)))))</f>
        <v>0</v>
      </c>
      <c r="T59" s="63">
        <f>IF(AND(T56=1,T57=8),0,IF(T56&lt;=0,0,IF(WEEKDAY(T$6,1)=1,0,IF(WEEKDAY(T$6,1)=7,T56*T57,MAX(0,T57-8)*T56)))+((IF(T56&lt;=0,0,IF(WEEKDAY(T$6,1)=1,0,IF(WEEKDAY(T$6,1)=7,0,MIN(8,T57)*T56))))-MIN(IF(T56&lt;=0,0,IF(WEEKDAY(T$6,1)=1,0,IF(WEEKDAY(T$6,1)=7,0,MIN(8,T57)*T56))),MAX(0,40*MAX(1,T56)-(R58+S58)))))</f>
        <v>0</v>
      </c>
      <c r="U59" s="63">
        <f>IF(AND(U56=1,U57=8),0,IF(U56&lt;=0,0,IF(WEEKDAY(U$6,1)=1,0,IF(WEEKDAY(U$6,1)=7,U56*U57,MAX(0,U57-8)*U56)))+((IF(U56&lt;=0,0,IF(WEEKDAY(U$6,1)=1,0,IF(WEEKDAY(U$6,1)=7,0,MIN(8,U57)*U56))))-MIN(IF(U56&lt;=0,0,IF(WEEKDAY(U$6,1)=1,0,IF(WEEKDAY(U$6,1)=7,0,MIN(8,U57)*U56))),MAX(0,40*MAX(1,U56)-(R58+S58+T58)))))</f>
        <v>0</v>
      </c>
      <c r="V59" s="63">
        <f>IF(AND(V56=1,V57=8),0,IF(V56&lt;=0,0,IF(WEEKDAY(V$6,1)=1,0,IF(WEEKDAY(V$6,1)=7,V56*V57,MAX(0,V57-8)*V56)))+((IF(V56&lt;=0,0,IF(WEEKDAY(V$6,1)=1,0,IF(WEEKDAY(V$6,1)=7,0,MIN(8,V57)*V56))))-MIN(IF(V56&lt;=0,0,IF(WEEKDAY(V$6,1)=1,0,IF(WEEKDAY(V$6,1)=7,0,MIN(8,V57)*V56))),MAX(0,40*MAX(1,V56)-(R58+S58+T58+U58)))))</f>
        <v>0</v>
      </c>
      <c r="W59" s="64">
        <f>IF(AND(W56=0,W57=0),0,IF(W56&lt;=0,0,IF(WEEKDAY(W$6,1)=1,0,IF(WEEKDAY(W$6,1)=7,W56*W57,MAX(0,W57-8)*W56)))+((IF(W56&lt;=0,0,IF(WEEKDAY(W$6,1)=1,0,IF(WEEKDAY(W$6,1)=7,0,MIN(8,W57)*W56))))-MIN(IF(W56&lt;=0,0,IF(WEEKDAY(W$6,1)=1,0,IF(WEEKDAY(W$6,1)=7,0,MIN(8,W57)*W56))),MAX(0,40*MAX(1,W56)-(0)))))</f>
        <v>0</v>
      </c>
      <c r="X59" s="64">
        <f>IF(AND(X56=0,X57=0),0,IF(X56&lt;=0,0,IF(WEEKDAY(X$6,1)=1,0,IF(WEEKDAY(X$6,1)=7,X56*X57,MAX(0,X57-8)*X56)))+((IF(X56&lt;=0,0,IF(WEEKDAY(X$6,1)=1,0,IF(WEEKDAY(X$6,1)=7,0,MIN(8,X57)*X56))))-MIN(IF(X56&lt;=0,0,IF(WEEKDAY(X$6,1)=1,0,IF(WEEKDAY(X$6,1)=7,0,MIN(8,X57)*X56))),MAX(0,40*MAX(1,X56)-(W58)))))</f>
        <v>0</v>
      </c>
      <c r="Y59" s="63">
        <f>IF(AND(Y56=1,Y57=8),0,IF(Y56&lt;=0,0,IF(WEEKDAY(Y$6,1)=1,0,IF(WEEKDAY(Y$6,1)=7,Y56*Y57,MAX(0,Y57-8)*Y56)))+((IF(Y56&lt;=0,0,IF(WEEKDAY(Y$6,1)=1,0,IF(WEEKDAY(Y$6,1)=7,0,MIN(8,Y57)*Y56))))-MIN(IF(Y56&lt;=0,0,IF(WEEKDAY(Y$6,1)=1,0,IF(WEEKDAY(Y$6,1)=7,0,MIN(8,Y57)*Y56))),MAX(0,40*MAX(1,Y56)-(0)))))</f>
        <v>0</v>
      </c>
      <c r="Z59" s="63">
        <f>IF(AND(Z56=1,Z57=8),0,IF(Z56&lt;=0,0,IF(WEEKDAY(Z$6,1)=1,0,IF(WEEKDAY(Z$6,1)=7,Z56*Z57,MAX(0,Z57-8)*Z56)))+((IF(Z56&lt;=0,0,IF(WEEKDAY(Z$6,1)=1,0,IF(WEEKDAY(Z$6,1)=7,0,MIN(8,Z57)*Z56))))-MIN(IF(Z56&lt;=0,0,IF(WEEKDAY(Z$6,1)=1,0,IF(WEEKDAY(Z$6,1)=7,0,MIN(8,Z57)*Z56))),MAX(0,40*MAX(1,Z56)-(Y58)))))</f>
        <v>0</v>
      </c>
      <c r="AA59" s="63">
        <f>IF(AND(AA56=1,AA57=8),0,IF(AA56&lt;=0,0,IF(WEEKDAY(AA$6,1)=1,0,IF(WEEKDAY(AA$6,1)=7,AA56*AA57,MAX(0,AA57-8)*AA56)))+((IF(AA56&lt;=0,0,IF(WEEKDAY(AA$6,1)=1,0,IF(WEEKDAY(AA$6,1)=7,0,MIN(8,AA57)*AA56))))-MIN(IF(AA56&lt;=0,0,IF(WEEKDAY(AA$6,1)=1,0,IF(WEEKDAY(AA$6,1)=7,0,MIN(8,AA57)*AA56))),MAX(0,40*MAX(1,AA56)-(Y58+Z58)))))</f>
        <v>0</v>
      </c>
      <c r="AB59" s="63">
        <f>IF(AND(AB56=1,AB57=8),0,IF(AB56&lt;=0,0,IF(WEEKDAY(AB$6,1)=1,0,IF(WEEKDAY(AB$6,1)=7,AB56*AB57,MAX(0,AB57-8)*AB56)))+((IF(AB56&lt;=0,0,IF(WEEKDAY(AB$6,1)=1,0,IF(WEEKDAY(AB$6,1)=7,0,MIN(8,AB57)*AB56))))-MIN(IF(AB56&lt;=0,0,IF(WEEKDAY(AB$6,1)=1,0,IF(WEEKDAY(AB$6,1)=7,0,MIN(8,AB57)*AB56))),MAX(0,40*MAX(1,AB56)-(Y58+Z58+AA58)))))</f>
        <v>0</v>
      </c>
      <c r="AC59" s="63">
        <f>IF(AND(AC56=1,AC57=8),0,IF(AC56&lt;=0,0,IF(WEEKDAY(AC$6,1)=1,0,IF(WEEKDAY(AC$6,1)=7,AC56*AC57,MAX(0,AC57-8)*AC56)))+((IF(AC56&lt;=0,0,IF(WEEKDAY(AC$6,1)=1,0,IF(WEEKDAY(AC$6,1)=7,0,MIN(8,AC57)*AC56))))-MIN(IF(AC56&lt;=0,0,IF(WEEKDAY(AC$6,1)=1,0,IF(WEEKDAY(AC$6,1)=7,0,MIN(8,AC57)*AC56))),MAX(0,40*MAX(1,AC56)-(Y58+Z58+AA58+AB58)))))</f>
        <v>0</v>
      </c>
      <c r="AD59" s="64">
        <f>IF(AND(AD56=0,AD57=0),0,IF(AD56&lt;=0,0,IF(WEEKDAY(AD$6,1)=1,0,IF(WEEKDAY(AD$6,1)=7,AD56*AD57,MAX(0,AD57-8)*AD56)))+((IF(AD56&lt;=0,0,IF(WEEKDAY(AD$6,1)=1,0,IF(WEEKDAY(AD$6,1)=7,0,MIN(8,AD57)*AD56))))-MIN(IF(AD56&lt;=0,0,IF(WEEKDAY(AD$6,1)=1,0,IF(WEEKDAY(AD$6,1)=7,0,MIN(8,AD57)*AD56))),MAX(0,40*MAX(1,AD56)-(0)))))</f>
        <v>0</v>
      </c>
      <c r="AE59" s="64">
        <f>IF(AND(AE56=0,AE57=0),0,IF(AE56&lt;=0,0,IF(WEEKDAY(AE$6,1)=1,0,IF(WEEKDAY(AE$6,1)=7,AE56*AE57,MAX(0,AE57-8)*AE56)))+((IF(AE56&lt;=0,0,IF(WEEKDAY(AE$6,1)=1,0,IF(WEEKDAY(AE$6,1)=7,0,MIN(8,AE57)*AE56))))-MIN(IF(AE56&lt;=0,0,IF(WEEKDAY(AE$6,1)=1,0,IF(WEEKDAY(AE$6,1)=7,0,MIN(8,AE57)*AE56))),MAX(0,40*MAX(1,AE56)-(AD58)))))</f>
        <v>0</v>
      </c>
      <c r="AF59" s="63">
        <f>IF(AND(AF56=1,AF57=8),0,IF(AF56&lt;=0,0,IF(WEEKDAY(AF$6,1)=1,0,IF(WEEKDAY(AF$6,1)=7,AF56*AF57,MAX(0,AF57-8)*AF56)))+((IF(AF56&lt;=0,0,IF(WEEKDAY(AF$6,1)=1,0,IF(WEEKDAY(AF$6,1)=7,0,MIN(8,AF57)*AF56))))-MIN(IF(AF56&lt;=0,0,IF(WEEKDAY(AF$6,1)=1,0,IF(WEEKDAY(AF$6,1)=7,0,MIN(8,AF57)*AF56))),MAX(0,40*MAX(1,AF56)-(0)))))</f>
        <v>0</v>
      </c>
      <c r="AG59" s="63">
        <f>IF(AND(AG56=1,AG57=8),0,IF(AG56&lt;=0,0,IF(WEEKDAY(AG$6,1)=1,0,IF(WEEKDAY(AG$6,1)=7,AG56*AG57,MAX(0,AG57-8)*AG56)))+((IF(AG56&lt;=0,0,IF(WEEKDAY(AG$6,1)=1,0,IF(WEEKDAY(AG$6,1)=7,0,MIN(8,AG57)*AG56))))-MIN(IF(AG56&lt;=0,0,IF(WEEKDAY(AG$6,1)=1,0,IF(WEEKDAY(AG$6,1)=7,0,MIN(8,AG57)*AG56))),MAX(0,40*MAX(1,AG56)-(AF58)))))</f>
        <v>0</v>
      </c>
      <c r="AH59" s="63">
        <f>IF(AND(AH56=1,AH57=8),0,IF(AH56&lt;=0,0,IF(WEEKDAY(AH$6,1)=1,0,IF(WEEKDAY(AH$6,1)=7,AH56*AH57,MAX(0,AH57-8)*AH56)))+((IF(AH56&lt;=0,0,IF(WEEKDAY(AH$6,1)=1,0,IF(WEEKDAY(AH$6,1)=7,0,MIN(8,AH57)*AH56))))-MIN(IF(AH56&lt;=0,0,IF(WEEKDAY(AH$6,1)=1,0,IF(WEEKDAY(AH$6,1)=7,0,MIN(8,AH57)*AH56))),MAX(0,40*MAX(1,AH56)-(AF58+AG58)))))</f>
        <v>0</v>
      </c>
      <c r="AI59" s="63">
        <f>IF(AND(AI56=1,AI57=8),0,IF(AI56&lt;=0,0,IF(WEEKDAY(AI$6,1)=1,0,IF(WEEKDAY(AI$6,1)=7,AI56*AI57,MAX(0,AI57-8)*AI56)))+((IF(AI56&lt;=0,0,IF(WEEKDAY(AI$6,1)=1,0,IF(WEEKDAY(AI$6,1)=7,0,MIN(8,AI57)*AI56))))-MIN(IF(AI56&lt;=0,0,IF(WEEKDAY(AI$6,1)=1,0,IF(WEEKDAY(AI$6,1)=7,0,MIN(8,AI57)*AI56))),MAX(0,40*MAX(1,AI56)-(AF58+AG58+AH58)))))</f>
        <v>0</v>
      </c>
      <c r="AJ59" s="63">
        <f>IF(AND(AJ56=1,AJ57=8),0,IF(AJ56&lt;=0,0,IF(WEEKDAY(AJ$6,1)=1,0,IF(WEEKDAY(AJ$6,1)=7,AJ56*AJ57,MAX(0,AJ57-8)*AJ56)))+((IF(AJ56&lt;=0,0,IF(WEEKDAY(AJ$6,1)=1,0,IF(WEEKDAY(AJ$6,1)=7,0,MIN(8,AJ57)*AJ56))))-MIN(IF(AJ56&lt;=0,0,IF(WEEKDAY(AJ$6,1)=1,0,IF(WEEKDAY(AJ$6,1)=7,0,MIN(8,AJ57)*AJ56))),MAX(0,40*MAX(1,AJ56)-(AF58+AG58+AH58+AI58)))))</f>
        <v>0</v>
      </c>
      <c r="AK59" s="64">
        <f>IF(AND(AK56=0,AK57=0),0,IF(AK56&lt;=0,0,IF(WEEKDAY(AK$6,1)=1,0,IF(WEEKDAY(AK$6,1)=7,AK56*AK57,MAX(0,AK57-8)*AK56)))+((IF(AK56&lt;=0,0,IF(WEEKDAY(AK$6,1)=1,0,IF(WEEKDAY(AK$6,1)=7,0,MIN(8,AK57)*AK56))))-MIN(IF(AK56&lt;=0,0,IF(WEEKDAY(AK$6,1)=1,0,IF(WEEKDAY(AK$6,1)=7,0,MIN(8,AK57)*AK56))),MAX(0,40*MAX(1,AK56)-(0)))))</f>
        <v>0</v>
      </c>
      <c r="AL59" s="64">
        <f>IF(AND(AL56=0,AL57=0),0,IF(AL56&lt;=0,0,IF(WEEKDAY(AL$6,1)=1,0,IF(WEEKDAY(AL$6,1)=7,AL56*AL57,MAX(0,AL57-8)*AL56)))+((IF(AL56&lt;=0,0,IF(WEEKDAY(AL$6,1)=1,0,IF(WEEKDAY(AL$6,1)=7,0,MIN(8,AL57)*AL56))))-MIN(IF(AL56&lt;=0,0,IF(WEEKDAY(AL$6,1)=1,0,IF(WEEKDAY(AL$6,1)=7,0,MIN(8,AL57)*AL56))),MAX(0,40*MAX(1,AL56)-(AK58)))))</f>
        <v>0</v>
      </c>
      <c r="AM59" s="63">
        <f>IF(AND(AM56=1,AM57=8),0,IF(AM56&lt;=0,0,IF(WEEKDAY(AM$6,1)=1,0,IF(WEEKDAY(AM$6,1)=7,AM56*AM57,MAX(0,AM57-8)*AM56)))+((IF(AM56&lt;=0,0,IF(WEEKDAY(AM$6,1)=1,0,IF(WEEKDAY(AM$6,1)=7,0,MIN(8,AM57)*AM56))))-MIN(IF(AM56&lt;=0,0,IF(WEEKDAY(AM$6,1)=1,0,IF(WEEKDAY(AM$6,1)=7,0,MIN(8,AM57)*AM56))),MAX(0,40*MAX(1,AM56)-(0)))))</f>
        <v>0</v>
      </c>
      <c r="AN59" s="63">
        <f>IF(AND(AN56=1,AN57=8),0,IF(AN56&lt;=0,0,IF(WEEKDAY(AN$6,1)=1,0,IF(WEEKDAY(AN$6,1)=7,AN56*AN57,MAX(0,AN57-8)*AN56)))+((IF(AN56&lt;=0,0,IF(WEEKDAY(AN$6,1)=1,0,IF(WEEKDAY(AN$6,1)=7,0,MIN(8,AN57)*AN56))))-MIN(IF(AN56&lt;=0,0,IF(WEEKDAY(AN$6,1)=1,0,IF(WEEKDAY(AN$6,1)=7,0,MIN(8,AN57)*AN56))),MAX(0,40*MAX(1,AN56)-(AM58)))))</f>
        <v>0</v>
      </c>
      <c r="AO59" s="63">
        <f>IF(AND(AO56=1,AO57=8),0,IF(AO56&lt;=0,0,IF(WEEKDAY(AO$6,1)=1,0,IF(WEEKDAY(AO$6,1)=7,AO56*AO57,MAX(0,AO57-8)*AO56)))+((IF(AO56&lt;=0,0,IF(WEEKDAY(AO$6,1)=1,0,IF(WEEKDAY(AO$6,1)=7,0,MIN(8,AO57)*AO56))))-MIN(IF(AO56&lt;=0,0,IF(WEEKDAY(AO$6,1)=1,0,IF(WEEKDAY(AO$6,1)=7,0,MIN(8,AO57)*AO56))),MAX(0,40*MAX(1,AO56)-(AM58+AN58)))))</f>
        <v>0</v>
      </c>
      <c r="AP59" s="63">
        <f>IF(AND(AP56=1,AP57=8),0,IF(AP56&lt;=0,0,IF(WEEKDAY(AP$6,1)=1,0,IF(WEEKDAY(AP$6,1)=7,AP56*AP57,MAX(0,AP57-8)*AP56)))+((IF(AP56&lt;=0,0,IF(WEEKDAY(AP$6,1)=1,0,IF(WEEKDAY(AP$6,1)=7,0,MIN(8,AP57)*AP56))))-MIN(IF(AP56&lt;=0,0,IF(WEEKDAY(AP$6,1)=1,0,IF(WEEKDAY(AP$6,1)=7,0,MIN(8,AP57)*AP56))),MAX(0,40*MAX(1,AP56)-(AM58+AN58+AO58)))))</f>
        <v>0</v>
      </c>
      <c r="AQ59" s="63">
        <f>IF(AND(AQ56=1,AQ57=8),0,IF(AQ56&lt;=0,0,IF(WEEKDAY(AQ$6,1)=1,0,IF(WEEKDAY(AQ$6,1)=7,AQ56*AQ57,MAX(0,AQ57-8)*AQ56)))+((IF(AQ56&lt;=0,0,IF(WEEKDAY(AQ$6,1)=1,0,IF(WEEKDAY(AQ$6,1)=7,0,MIN(8,AQ57)*AQ56))))-MIN(IF(AQ56&lt;=0,0,IF(WEEKDAY(AQ$6,1)=1,0,IF(WEEKDAY(AQ$6,1)=7,0,MIN(8,AQ57)*AQ56))),MAX(0,40*MAX(1,AQ56)-(AM58+AN58+AO58+AP58)))))</f>
        <v>0</v>
      </c>
      <c r="AR59" s="64">
        <f>IF(AND(AR56=0,AR57=0),0,IF(AR56&lt;=0,0,IF(WEEKDAY(AR$6,1)=1,0,IF(WEEKDAY(AR$6,1)=7,AR56*AR57,MAX(0,AR57-8)*AR56)))+((IF(AR56&lt;=0,0,IF(WEEKDAY(AR$6,1)=1,0,IF(WEEKDAY(AR$6,1)=7,0,MIN(8,AR57)*AR56))))-MIN(IF(AR56&lt;=0,0,IF(WEEKDAY(AR$6,1)=1,0,IF(WEEKDAY(AR$6,1)=7,0,MIN(8,AR57)*AR56))),MAX(0,40*MAX(1,AR56)-(0)))))</f>
        <v>0</v>
      </c>
      <c r="AS59" s="64">
        <f>IF(AND(AS56=0,AS57=0),0,IF(AS56&lt;=0,0,IF(WEEKDAY(AS$6,1)=1,0,IF(WEEKDAY(AS$6,1)=7,AS56*AS57,MAX(0,AS57-8)*AS56)))+((IF(AS56&lt;=0,0,IF(WEEKDAY(AS$6,1)=1,0,IF(WEEKDAY(AS$6,1)=7,0,MIN(8,AS57)*AS56))))-MIN(IF(AS56&lt;=0,0,IF(WEEKDAY(AS$6,1)=1,0,IF(WEEKDAY(AS$6,1)=7,0,MIN(8,AS57)*AS56))),MAX(0,40*MAX(1,AS56)-(AR58)))))</f>
        <v>0</v>
      </c>
      <c r="AT59" s="63">
        <f>IF(AND(AT56=1,AT57=8),0,IF(AT56&lt;=0,0,IF(WEEKDAY(AT$6,1)=1,0,IF(WEEKDAY(AT$6,1)=7,AT56*AT57,MAX(0,AT57-8)*AT56)))+((IF(AT56&lt;=0,0,IF(WEEKDAY(AT$6,1)=1,0,IF(WEEKDAY(AT$6,1)=7,0,MIN(8,AT57)*AT56))))-MIN(IF(AT56&lt;=0,0,IF(WEEKDAY(AT$6,1)=1,0,IF(WEEKDAY(AT$6,1)=7,0,MIN(8,AT57)*AT56))),MAX(0,40*MAX(1,AT56)-(0)))))</f>
        <v>0</v>
      </c>
      <c r="AU59" s="63">
        <f>IF(AND(AU56=1,AU57=8),0,IF(AU56&lt;=0,0,IF(WEEKDAY(AU$6,1)=1,0,IF(WEEKDAY(AU$6,1)=7,AU56*AU57,MAX(0,AU57-8)*AU56)))+((IF(AU56&lt;=0,0,IF(WEEKDAY(AU$6,1)=1,0,IF(WEEKDAY(AU$6,1)=7,0,MIN(8,AU57)*AU56))))-MIN(IF(AU56&lt;=0,0,IF(WEEKDAY(AU$6,1)=1,0,IF(WEEKDAY(AU$6,1)=7,0,MIN(8,AU57)*AU56))),MAX(0,40*MAX(1,AU56)-(AT58)))))</f>
        <v>0</v>
      </c>
      <c r="AV59" s="63">
        <f>IF(AND(AV56=1,AV57=8),0,IF(AV56&lt;=0,0,IF(WEEKDAY(AV$6,1)=1,0,IF(WEEKDAY(AV$6,1)=7,AV56*AV57,MAX(0,AV57-8)*AV56)))+((IF(AV56&lt;=0,0,IF(WEEKDAY(AV$6,1)=1,0,IF(WEEKDAY(AV$6,1)=7,0,MIN(8,AV57)*AV56))))-MIN(IF(AV56&lt;=0,0,IF(WEEKDAY(AV$6,1)=1,0,IF(WEEKDAY(AV$6,1)=7,0,MIN(8,AV57)*AV56))),MAX(0,40*MAX(1,AV56)-(AT58+AU58)))))</f>
        <v>0</v>
      </c>
      <c r="AW59" s="63">
        <f>IF(AND(AW56=1,AW57=8),0,IF(AW56&lt;=0,0,IF(WEEKDAY(AW$6,1)=1,0,IF(WEEKDAY(AW$6,1)=7,AW56*AW57,MAX(0,AW57-8)*AW56)))+((IF(AW56&lt;=0,0,IF(WEEKDAY(AW$6,1)=1,0,IF(WEEKDAY(AW$6,1)=7,0,MIN(8,AW57)*AW56))))-MIN(IF(AW56&lt;=0,0,IF(WEEKDAY(AW$6,1)=1,0,IF(WEEKDAY(AW$6,1)=7,0,MIN(8,AW57)*AW56))),MAX(0,40*MAX(1,AW56)-(AT58+AU58+AV58)))))</f>
        <v>0</v>
      </c>
      <c r="AX59" s="63">
        <f>IF(AND(AX56=1,AX57=8),0,IF(AX56&lt;=0,0,IF(WEEKDAY(AX$6,1)=1,0,IF(WEEKDAY(AX$6,1)=7,AX56*AX57,MAX(0,AX57-8)*AX56)))+((IF(AX56&lt;=0,0,IF(WEEKDAY(AX$6,1)=1,0,IF(WEEKDAY(AX$6,1)=7,0,MIN(8,AX57)*AX56))))-MIN(IF(AX56&lt;=0,0,IF(WEEKDAY(AX$6,1)=1,0,IF(WEEKDAY(AX$6,1)=7,0,MIN(8,AX57)*AX56))),MAX(0,40*MAX(1,AX56)-(AT58+AU58+AV58+AW58)))))</f>
        <v>0</v>
      </c>
      <c r="AY59" s="64">
        <f>IF(AND(AY56=0,AY57=0),0,IF(AY56&lt;=0,0,IF(WEEKDAY(AY$6,1)=1,0,IF(WEEKDAY(AY$6,1)=7,AY56*AY57,MAX(0,AY57-8)*AY56)))+((IF(AY56&lt;=0,0,IF(WEEKDAY(AY$6,1)=1,0,IF(WEEKDAY(AY$6,1)=7,0,MIN(8,AY57)*AY56))))-MIN(IF(AY56&lt;=0,0,IF(WEEKDAY(AY$6,1)=1,0,IF(WEEKDAY(AY$6,1)=7,0,MIN(8,AY57)*AY56))),MAX(0,40*MAX(1,AY56)-(0)))))</f>
        <v>0</v>
      </c>
      <c r="AZ59" s="64">
        <f>IF(AND(AZ56=0,AZ57=0),0,IF(AZ56&lt;=0,0,IF(WEEKDAY(AZ$6,1)=1,0,IF(WEEKDAY(AZ$6,1)=7,AZ56*AZ57,MAX(0,AZ57-8)*AZ56)))+((IF(AZ56&lt;=0,0,IF(WEEKDAY(AZ$6,1)=1,0,IF(WEEKDAY(AZ$6,1)=7,0,MIN(8,AZ57)*AZ56))))-MIN(IF(AZ56&lt;=0,0,IF(WEEKDAY(AZ$6,1)=1,0,IF(WEEKDAY(AZ$6,1)=7,0,MIN(8,AZ57)*AZ56))),MAX(0,40*MAX(1,AZ56)-(AY58)))))</f>
        <v>0</v>
      </c>
      <c r="BA59" s="63">
        <f>IF(AND(BA56=1,BA57=8),0,IF(BA56&lt;=0,0,IF(WEEKDAY(BA$6,1)=1,0,IF(WEEKDAY(BA$6,1)=7,BA56*BA57,MAX(0,BA57-8)*BA56)))+((IF(BA56&lt;=0,0,IF(WEEKDAY(BA$6,1)=1,0,IF(WEEKDAY(BA$6,1)=7,0,MIN(8,BA57)*BA56))))-MIN(IF(BA56&lt;=0,0,IF(WEEKDAY(BA$6,1)=1,0,IF(WEEKDAY(BA$6,1)=7,0,MIN(8,BA57)*BA56))),MAX(0,40*MAX(1,BA56)-(0)))))</f>
        <v>0</v>
      </c>
      <c r="BB59" s="63">
        <f>IF(AND(BB56=1,BB57=8),0,IF(BB56&lt;=0,0,IF(WEEKDAY(BB$6,1)=1,0,IF(WEEKDAY(BB$6,1)=7,BB56*BB57,MAX(0,BB57-8)*BB56)))+((IF(BB56&lt;=0,0,IF(WEEKDAY(BB$6,1)=1,0,IF(WEEKDAY(BB$6,1)=7,0,MIN(8,BB57)*BB56))))-MIN(IF(BB56&lt;=0,0,IF(WEEKDAY(BB$6,1)=1,0,IF(WEEKDAY(BB$6,1)=7,0,MIN(8,BB57)*BB56))),MAX(0,40*MAX(1,BB56)-(BA58)))))</f>
        <v>0</v>
      </c>
      <c r="BC59" s="63">
        <f>IF(AND(BC56=1,BC57=8),0,IF(BC56&lt;=0,0,IF(WEEKDAY(BC$6,1)=1,0,IF(WEEKDAY(BC$6,1)=7,BC56*BC57,MAX(0,BC57-8)*BC56)))+((IF(BC56&lt;=0,0,IF(WEEKDAY(BC$6,1)=1,0,IF(WEEKDAY(BC$6,1)=7,0,MIN(8,BC57)*BC56))))-MIN(IF(BC56&lt;=0,0,IF(WEEKDAY(BC$6,1)=1,0,IF(WEEKDAY(BC$6,1)=7,0,MIN(8,BC57)*BC56))),MAX(0,40*MAX(1,BC56)-(BA58+BB58)))))</f>
        <v>0</v>
      </c>
      <c r="BD59" s="63">
        <f>IF(AND(BD56=1,BD57=8),0,IF(BD56&lt;=0,0,IF(WEEKDAY(BD$6,1)=1,0,IF(WEEKDAY(BD$6,1)=7,BD56*BD57,MAX(0,BD57-8)*BD56)))+((IF(BD56&lt;=0,0,IF(WEEKDAY(BD$6,1)=1,0,IF(WEEKDAY(BD$6,1)=7,0,MIN(8,BD57)*BD56))))-MIN(IF(BD56&lt;=0,0,IF(WEEKDAY(BD$6,1)=1,0,IF(WEEKDAY(BD$6,1)=7,0,MIN(8,BD57)*BD56))),MAX(0,40*MAX(1,BD56)-(BA58+BB58+BC58)))))</f>
        <v>0</v>
      </c>
      <c r="BE59" s="63">
        <f>IF(AND(BE56=1,BE57=8),0,IF(BE56&lt;=0,0,IF(WEEKDAY(BE$6,1)=1,0,IF(WEEKDAY(BE$6,1)=7,BE56*BE57,MAX(0,BE57-8)*BE56)))+((IF(BE56&lt;=0,0,IF(WEEKDAY(BE$6,1)=1,0,IF(WEEKDAY(BE$6,1)=7,0,MIN(8,BE57)*BE56))))-MIN(IF(BE56&lt;=0,0,IF(WEEKDAY(BE$6,1)=1,0,IF(WEEKDAY(BE$6,1)=7,0,MIN(8,BE57)*BE56))),MAX(0,40*MAX(1,BE56)-(BA58+BB58+BC58+BD58)))))</f>
        <v>0</v>
      </c>
      <c r="BF59" s="64">
        <f>IF(AND(BF56=0,BF57=0),0,IF(BF56&lt;=0,0,IF(WEEKDAY(BF$6,1)=1,0,IF(WEEKDAY(BF$6,1)=7,BF56*BF57,MAX(0,BF57-8)*BF56)))+((IF(BF56&lt;=0,0,IF(WEEKDAY(BF$6,1)=1,0,IF(WEEKDAY(BF$6,1)=7,0,MIN(8,BF57)*BF56))))-MIN(IF(BF56&lt;=0,0,IF(WEEKDAY(BF$6,1)=1,0,IF(WEEKDAY(BF$6,1)=7,0,MIN(8,BF57)*BF56))),MAX(0,40*MAX(1,BF56)-(0)))))</f>
        <v>0</v>
      </c>
      <c r="BG59" s="64">
        <f>IF(AND(BG56=0,BG57=0),0,IF(BG56&lt;=0,0,IF(WEEKDAY(BG$6,1)=1,0,IF(WEEKDAY(BG$6,1)=7,BG56*BG57,MAX(0,BG57-8)*BG56)))+((IF(BG56&lt;=0,0,IF(WEEKDAY(BG$6,1)=1,0,IF(WEEKDAY(BG$6,1)=7,0,MIN(8,BG57)*BG56))))-MIN(IF(BG56&lt;=0,0,IF(WEEKDAY(BG$6,1)=1,0,IF(WEEKDAY(BG$6,1)=7,0,MIN(8,BG57)*BG56))),MAX(0,40*MAX(1,BG56)-(BF58)))))</f>
        <v>0</v>
      </c>
      <c r="BH59" s="63">
        <f>IF(AND(BH56=2,BH57=10),4,IF(BH56&lt;=0,0,IF(WEEKDAY(BH$6,1)=1,0,IF(WEEKDAY(BH$6,1)=7,BH56*BH57,MAX(0,BH57-8)*BH56)))+((IF(BH56&lt;=0,0,IF(WEEKDAY(BH$6,1)=1,0,IF(WEEKDAY(BH$6,1)=7,0,MIN(8,BH57)*BH56))))-MIN(IF(BH56&lt;=0,0,IF(WEEKDAY(BH$6,1)=1,0,IF(WEEKDAY(BH$6,1)=7,0,MIN(8,BH57)*BH56))),MAX(0,40*MAX(1,BH56)-(0)))))</f>
        <v>4</v>
      </c>
      <c r="BI59" s="63">
        <f>IF(AND(BI56=2,BI57=10),4,IF(BI56&lt;=0,0,IF(WEEKDAY(BI$6,1)=1,0,IF(WEEKDAY(BI$6,1)=7,BI56*BI57,MAX(0,BI57-8)*BI56)))+((IF(BI56&lt;=0,0,IF(WEEKDAY(BI$6,1)=1,0,IF(WEEKDAY(BI$6,1)=7,0,MIN(8,BI57)*BI56))))-MIN(IF(BI56&lt;=0,0,IF(WEEKDAY(BI$6,1)=1,0,IF(WEEKDAY(BI$6,1)=7,0,MIN(8,BI57)*BI56))),MAX(0,40*MAX(1,BI56)-(BH58)))))</f>
        <v>4</v>
      </c>
      <c r="BJ59" s="63">
        <f>IF(AND(BJ56=2,BJ57=10),4,IF(BJ56&lt;=0,0,IF(WEEKDAY(BJ$6,1)=1,0,IF(WEEKDAY(BJ$6,1)=7,BJ56*BJ57,MAX(0,BJ57-8)*BJ56)))+((IF(BJ56&lt;=0,0,IF(WEEKDAY(BJ$6,1)=1,0,IF(WEEKDAY(BJ$6,1)=7,0,MIN(8,BJ57)*BJ56))))-MIN(IF(BJ56&lt;=0,0,IF(WEEKDAY(BJ$6,1)=1,0,IF(WEEKDAY(BJ$6,1)=7,0,MIN(8,BJ57)*BJ56))),MAX(0,40*MAX(1,BJ56)-(BH58+BI58)))))</f>
        <v>4</v>
      </c>
      <c r="BK59" s="63">
        <f>IF(AND(BK56=2,BK57=10),4,IF(BK56&lt;=0,0,IF(WEEKDAY(BK$6,1)=1,0,IF(WEEKDAY(BK$6,1)=7,BK56*BK57,MAX(0,BK57-8)*BK56)))+((IF(BK56&lt;=0,0,IF(WEEKDAY(BK$6,1)=1,0,IF(WEEKDAY(BK$6,1)=7,0,MIN(8,BK57)*BK56))))-MIN(IF(BK56&lt;=0,0,IF(WEEKDAY(BK$6,1)=1,0,IF(WEEKDAY(BK$6,1)=7,0,MIN(8,BK57)*BK56))),MAX(0,40*MAX(1,BK56)-(BH58+BI58+BJ58)))))</f>
        <v>4</v>
      </c>
      <c r="BL59" s="63">
        <f>IF(AND(BL56=2,BL57=10),4,IF(BL56&lt;=0,0,IF(WEEKDAY(BL$6,1)=1,0,IF(WEEKDAY(BL$6,1)=7,BL56*BL57,MAX(0,BL57-8)*BL56)))+((IF(BL56&lt;=0,0,IF(WEEKDAY(BL$6,1)=1,0,IF(WEEKDAY(BL$6,1)=7,0,MIN(8,BL57)*BL56))))-MIN(IF(BL56&lt;=0,0,IF(WEEKDAY(BL$6,1)=1,0,IF(WEEKDAY(BL$6,1)=7,0,MIN(8,BL57)*BL56))),MAX(0,40*MAX(1,BL56)-(BH58+BI58+BJ58+BK58)))))</f>
        <v>4</v>
      </c>
      <c r="BM59" s="64">
        <f>IF(AND(BM56=2,BM57=10),20,IF(BM56&lt;=0,0,IF(WEEKDAY(BM$6,1)=1,0,IF(WEEKDAY(BM$6,1)=7,BM56*BM57,MAX(0,BM57-8)*BM56)))+((IF(BM56&lt;=0,0,IF(WEEKDAY(BM$6,1)=1,0,IF(WEEKDAY(BM$6,1)=7,0,MIN(8,BM57)*BM56))))-MIN(IF(BM56&lt;=0,0,IF(WEEKDAY(BM$6,1)=1,0,IF(WEEKDAY(BM$6,1)=7,0,MIN(8,BM57)*BM56))),MAX(0,40*MAX(1,BM56)-(BH58+BI58+BJ58+BK58+BL58)))))</f>
        <v>20</v>
      </c>
      <c r="BN59" s="64">
        <f>IF(AND(BN56=2,BN57=10),0,IF(BN56&lt;=0,0,IF(WEEKDAY(BN$6,1)=1,0,IF(WEEKDAY(BN$6,1)=7,BN56*BN57,MAX(0,BN57-8)*BN56)))+((IF(BN56&lt;=0,0,IF(WEEKDAY(BN$6,1)=1,0,IF(WEEKDAY(BN$6,1)=7,0,MIN(8,BN57)*BN56))))-MIN(IF(BN56&lt;=0,0,IF(WEEKDAY(BN$6,1)=1,0,IF(WEEKDAY(BN$6,1)=7,0,MIN(8,BN57)*BN56))),MAX(0,40*MAX(1,BN56)-(BH58+BI58+BJ58+BK58+BL58+BM58)))))</f>
        <v>0</v>
      </c>
      <c r="BO59" s="63">
        <f>IF(AND(BO56=2,BO57=10),4,IF(BO56&lt;=0,0,IF(WEEKDAY(BO$6,1)=1,0,IF(WEEKDAY(BO$6,1)=7,BO56*BO57,MAX(0,BO57-8)*BO56)))+((IF(BO56&lt;=0,0,IF(WEEKDAY(BO$6,1)=1,0,IF(WEEKDAY(BO$6,1)=7,0,MIN(8,BO57)*BO56))))-MIN(IF(BO56&lt;=0,0,IF(WEEKDAY(BO$6,1)=1,0,IF(WEEKDAY(BO$6,1)=7,0,MIN(8,BO57)*BO56))),MAX(0,40*MAX(1,BO56)-(0)))))</f>
        <v>4</v>
      </c>
      <c r="BP59" s="63">
        <f>IF(AND(BP56=2,BP57=10),4,IF(BP56&lt;=0,0,IF(WEEKDAY(BP$6,1)=1,0,IF(WEEKDAY(BP$6,1)=7,BP56*BP57,MAX(0,BP57-8)*BP56)))+((IF(BP56&lt;=0,0,IF(WEEKDAY(BP$6,1)=1,0,IF(WEEKDAY(BP$6,1)=7,0,MIN(8,BP57)*BP56))))-MIN(IF(BP56&lt;=0,0,IF(WEEKDAY(BP$6,1)=1,0,IF(WEEKDAY(BP$6,1)=7,0,MIN(8,BP57)*BP56))),MAX(0,40*MAX(1,BP56)-(BO58)))))</f>
        <v>4</v>
      </c>
      <c r="BQ59" s="63">
        <f>IF(AND(BQ56=2,BQ57=10),4,IF(BQ56&lt;=0,0,IF(WEEKDAY(BQ$6,1)=1,0,IF(WEEKDAY(BQ$6,1)=7,BQ56*BQ57,MAX(0,BQ57-8)*BQ56)))+((IF(BQ56&lt;=0,0,IF(WEEKDAY(BQ$6,1)=1,0,IF(WEEKDAY(BQ$6,1)=7,0,MIN(8,BQ57)*BQ56))))-MIN(IF(BQ56&lt;=0,0,IF(WEEKDAY(BQ$6,1)=1,0,IF(WEEKDAY(BQ$6,1)=7,0,MIN(8,BQ57)*BQ56))),MAX(0,40*MAX(1,BQ56)-(BO58+BP58)))))</f>
        <v>4</v>
      </c>
      <c r="BR59" s="63">
        <f>IF(AND(BR56=2,BR57=10),4,IF(BR56&lt;=0,0,IF(WEEKDAY(BR$6,1)=1,0,IF(WEEKDAY(BR$6,1)=7,BR56*BR57,MAX(0,BR57-8)*BR56)))+((IF(BR56&lt;=0,0,IF(WEEKDAY(BR$6,1)=1,0,IF(WEEKDAY(BR$6,1)=7,0,MIN(8,BR57)*BR56))))-MIN(IF(BR56&lt;=0,0,IF(WEEKDAY(BR$6,1)=1,0,IF(WEEKDAY(BR$6,1)=7,0,MIN(8,BR57)*BR56))),MAX(0,40*MAX(1,BR56)-(0)))))</f>
        <v>4</v>
      </c>
      <c r="BS59" s="63">
        <f>IF(AND(BS56=2,BS57=10),4,IF(BS56&lt;=0,0,IF(WEEKDAY(BS$6,1)=1,0,IF(WEEKDAY(BS$6,1)=7,BS56*BS57,MAX(0,BS57-8)*BS56)))+((IF(BS56&lt;=0,0,IF(WEEKDAY(BS$6,1)=1,0,IF(WEEKDAY(BS$6,1)=7,0,MIN(8,BS57)*BS56))))-MIN(IF(BS56&lt;=0,0,IF(WEEKDAY(BS$6,1)=1,0,IF(WEEKDAY(BS$6,1)=7,0,MIN(8,BS57)*BS56))),MAX(0,40*MAX(1,BS56)-(BR58)))))</f>
        <v>4</v>
      </c>
      <c r="BT59" s="64">
        <f>IF(AND(BT56=2,BT57=10),20,IF(BT56&lt;=0,0,IF(WEEKDAY(BT$6,1)=1,0,IF(WEEKDAY(BT$6,1)=7,BT56*BT57,MAX(0,BT57-8)*BT56)))+((IF(BT56&lt;=0,0,IF(WEEKDAY(BT$6,1)=1,0,IF(WEEKDAY(BT$6,1)=7,0,MIN(8,BT57)*BT56))))-MIN(IF(BT56&lt;=0,0,IF(WEEKDAY(BT$6,1)=1,0,IF(WEEKDAY(BT$6,1)=7,0,MIN(8,BT57)*BT56))),MAX(0,40*MAX(1,BT56)-(BR58+BS58)))))</f>
        <v>20</v>
      </c>
      <c r="BU59" s="64">
        <f>IF(AND(BU56=2,BU57=10),0,IF(BU56&lt;=0,0,IF(WEEKDAY(BU$6,1)=1,0,IF(WEEKDAY(BU$6,1)=7,BU56*BU57,MAX(0,BU57-8)*BU56)))+((IF(BU56&lt;=0,0,IF(WEEKDAY(BU$6,1)=1,0,IF(WEEKDAY(BU$6,1)=7,0,MIN(8,BU57)*BU56))))-MIN(IF(BU56&lt;=0,0,IF(WEEKDAY(BU$6,1)=1,0,IF(WEEKDAY(BU$6,1)=7,0,MIN(8,BU57)*BU56))),MAX(0,40*MAX(1,BU56)-(BR58+BS58+BT58)))))</f>
        <v>0</v>
      </c>
      <c r="BV59" s="63">
        <f>IF(AND(BV56=2,BV57=10),4,IF(BV56&lt;=0,0,IF(WEEKDAY(BV$6,1)=1,0,IF(WEEKDAY(BV$6,1)=7,BV56*BV57,MAX(0,BV57-8)*BV56)))+((IF(BV56&lt;=0,0,IF(WEEKDAY(BV$6,1)=1,0,IF(WEEKDAY(BV$6,1)=7,0,MIN(8,BV57)*BV56))))-MIN(IF(BV56&lt;=0,0,IF(WEEKDAY(BV$6,1)=1,0,IF(WEEKDAY(BV$6,1)=7,0,MIN(8,BV57)*BV56))),MAX(0,40*MAX(1,BV56)-(0)))))</f>
        <v>4</v>
      </c>
      <c r="BW59" s="63">
        <f>IF(AND(BW56=2,BW57=10),4,IF(BW56&lt;=0,0,IF(WEEKDAY(BW$6,1)=1,0,IF(WEEKDAY(BW$6,1)=7,BW56*BW57,MAX(0,BW57-8)*BW56)))+((IF(BW56&lt;=0,0,IF(WEEKDAY(BW$6,1)=1,0,IF(WEEKDAY(BW$6,1)=7,0,MIN(8,BW57)*BW56))))-MIN(IF(BW56&lt;=0,0,IF(WEEKDAY(BW$6,1)=1,0,IF(WEEKDAY(BW$6,1)=7,0,MIN(8,BW57)*BW56))),MAX(0,40*MAX(1,BW56)-(BV58)))))</f>
        <v>4</v>
      </c>
      <c r="BX59" s="63">
        <f>IF(AND(BX56=2,BX57=10),4,IF(BX56&lt;=0,0,IF(WEEKDAY(BX$6,1)=1,0,IF(WEEKDAY(BX$6,1)=7,BX56*BX57,MAX(0,BX57-8)*BX56)))+((IF(BX56&lt;=0,0,IF(WEEKDAY(BX$6,1)=1,0,IF(WEEKDAY(BX$6,1)=7,0,MIN(8,BX57)*BX56))))-MIN(IF(BX56&lt;=0,0,IF(WEEKDAY(BX$6,1)=1,0,IF(WEEKDAY(BX$6,1)=7,0,MIN(8,BX57)*BX56))),MAX(0,40*MAX(1,BX56)-(BV58+BW58)))))</f>
        <v>4</v>
      </c>
      <c r="BY59" s="63">
        <f>IF(AND(BY56=2,BY57=10),4,IF(BY56&lt;=0,0,IF(WEEKDAY(BY$6,1)=1,0,IF(WEEKDAY(BY$6,1)=7,BY56*BY57,MAX(0,BY57-8)*BY56)))+((IF(BY56&lt;=0,0,IF(WEEKDAY(BY$6,1)=1,0,IF(WEEKDAY(BY$6,1)=7,0,MIN(8,BY57)*BY56))))-MIN(IF(BY56&lt;=0,0,IF(WEEKDAY(BY$6,1)=1,0,IF(WEEKDAY(BY$6,1)=7,0,MIN(8,BY57)*BY56))),MAX(0,40*MAX(1,BY56)-(BV58+BW58+BX58)))))</f>
        <v>4</v>
      </c>
      <c r="BZ59" s="63">
        <f>IF(AND(BZ56=2,BZ57=10),4,IF(BZ56&lt;=0,0,IF(WEEKDAY(BZ$6,1)=1,0,IF(WEEKDAY(BZ$6,1)=7,BZ56*BZ57,MAX(0,BZ57-8)*BZ56)))+((IF(BZ56&lt;=0,0,IF(WEEKDAY(BZ$6,1)=1,0,IF(WEEKDAY(BZ$6,1)=7,0,MIN(8,BZ57)*BZ56))))-MIN(IF(BZ56&lt;=0,0,IF(WEEKDAY(BZ$6,1)=1,0,IF(WEEKDAY(BZ$6,1)=7,0,MIN(8,BZ57)*BZ56))),MAX(0,40*MAX(1,BZ56)-(BV58+BW58+BX58+BY58)))))</f>
        <v>4</v>
      </c>
      <c r="CA59" s="64">
        <f>IF(AND(CA56=2,CA57=10),20,IF(CA56&lt;=0,0,IF(WEEKDAY(CA$6,1)=1,0,IF(WEEKDAY(CA$6,1)=7,CA56*CA57,MAX(0,CA57-8)*CA56)))+((IF(CA56&lt;=0,0,IF(WEEKDAY(CA$6,1)=1,0,IF(WEEKDAY(CA$6,1)=7,0,MIN(8,CA57)*CA56))))-MIN(IF(CA56&lt;=0,0,IF(WEEKDAY(CA$6,1)=1,0,IF(WEEKDAY(CA$6,1)=7,0,MIN(8,CA57)*CA56))),MAX(0,40*MAX(1,CA56)-(BV58+BW58+BX58+BY58+BZ58)))))</f>
        <v>20</v>
      </c>
      <c r="CB59" s="64">
        <f>IF(AND(CB56=2,CB57=10),0,IF(CB56&lt;=0,0,IF(WEEKDAY(CB$6,1)=1,0,IF(WEEKDAY(CB$6,1)=7,CB56*CB57,MAX(0,CB57-8)*CB56)))+((IF(CB56&lt;=0,0,IF(WEEKDAY(CB$6,1)=1,0,IF(WEEKDAY(CB$6,1)=7,0,MIN(8,CB57)*CB56))))-MIN(IF(CB56&lt;=0,0,IF(WEEKDAY(CB$6,1)=1,0,IF(WEEKDAY(CB$6,1)=7,0,MIN(8,CB57)*CB56))),MAX(0,40*MAX(1,CB56)-(BV58+BW58+BX58+BY58+BZ58+CA58)))))</f>
        <v>0</v>
      </c>
      <c r="CC59" s="63">
        <f>IF(AND(CC56=2,CC57=10),4,IF(CC56&lt;=0,0,IF(WEEKDAY(CC$6,1)=1,0,IF(WEEKDAY(CC$6,1)=7,CC56*CC57,MAX(0,CC57-8)*CC56)))+((IF(CC56&lt;=0,0,IF(WEEKDAY(CC$6,1)=1,0,IF(WEEKDAY(CC$6,1)=7,0,MIN(8,CC57)*CC56))))-MIN(IF(CC56&lt;=0,0,IF(WEEKDAY(CC$6,1)=1,0,IF(WEEKDAY(CC$6,1)=7,0,MIN(8,CC57)*CC56))),MAX(0,40*MAX(1,CC56)-(0)))))</f>
        <v>4</v>
      </c>
      <c r="CD59" s="63">
        <f>IF(AND(CD56=2,CD57=10),4,IF(CD56&lt;=0,0,IF(WEEKDAY(CD$6,1)=1,0,IF(WEEKDAY(CD$6,1)=7,CD56*CD57,MAX(0,CD57-8)*CD56)))+((IF(CD56&lt;=0,0,IF(WEEKDAY(CD$6,1)=1,0,IF(WEEKDAY(CD$6,1)=7,0,MIN(8,CD57)*CD56))))-MIN(IF(CD56&lt;=0,0,IF(WEEKDAY(CD$6,1)=1,0,IF(WEEKDAY(CD$6,1)=7,0,MIN(8,CD57)*CD56))),MAX(0,40*MAX(1,CD56)-(CC58)))))</f>
        <v>4</v>
      </c>
      <c r="CE59" s="63">
        <f>IF(AND(CE56=2,CE57=10),4,IF(CE56&lt;=0,0,IF(WEEKDAY(CE$6,1)=1,0,IF(WEEKDAY(CE$6,1)=7,CE56*CE57,MAX(0,CE57-8)*CE56)))+((IF(CE56&lt;=0,0,IF(WEEKDAY(CE$6,1)=1,0,IF(WEEKDAY(CE$6,1)=7,0,MIN(8,CE57)*CE56))))-MIN(IF(CE56&lt;=0,0,IF(WEEKDAY(CE$6,1)=1,0,IF(WEEKDAY(CE$6,1)=7,0,MIN(8,CE57)*CE56))),MAX(0,40*MAX(1,CE56)-(CC58+CD58)))))</f>
        <v>4</v>
      </c>
      <c r="CF59" s="63">
        <f>IF(AND(CF56=2,CF57=10),4,IF(CF56&lt;=0,0,IF(WEEKDAY(CF$6,1)=1,0,IF(WEEKDAY(CF$6,1)=7,CF56*CF57,MAX(0,CF57-8)*CF56)))+((IF(CF56&lt;=0,0,IF(WEEKDAY(CF$6,1)=1,0,IF(WEEKDAY(CF$6,1)=7,0,MIN(8,CF57)*CF56))))-MIN(IF(CF56&lt;=0,0,IF(WEEKDAY(CF$6,1)=1,0,IF(WEEKDAY(CF$6,1)=7,0,MIN(8,CF57)*CF56))),MAX(0,40*MAX(1,CF56)-(CC58+CD58+CE58)))))</f>
        <v>4</v>
      </c>
      <c r="CG59" s="63">
        <f>IF(AND(CG56=2,CG57=10),4,IF(CG56&lt;=0,0,IF(WEEKDAY(CG$6,1)=1,0,IF(WEEKDAY(CG$6,1)=7,CG56*CG57,MAX(0,CG57-8)*CG56)))+((IF(CG56&lt;=0,0,IF(WEEKDAY(CG$6,1)=1,0,IF(WEEKDAY(CG$6,1)=7,0,MIN(8,CG57)*CG56))))-MIN(IF(CG56&lt;=0,0,IF(WEEKDAY(CG$6,1)=1,0,IF(WEEKDAY(CG$6,1)=7,0,MIN(8,CG57)*CG56))),MAX(0,40*MAX(1,CG56)-(CC58+CD58+CE58+CF58)))))</f>
        <v>4</v>
      </c>
      <c r="CH59" s="64">
        <f>IF(AND(CH56=2,CH57=10),20,IF(CH56&lt;=0,0,IF(WEEKDAY(CH$6,1)=1,0,IF(WEEKDAY(CH$6,1)=7,CH56*CH57,MAX(0,CH57-8)*CH56)))+((IF(CH56&lt;=0,0,IF(WEEKDAY(CH$6,1)=1,0,IF(WEEKDAY(CH$6,1)=7,0,MIN(8,CH57)*CH56))))-MIN(IF(CH56&lt;=0,0,IF(WEEKDAY(CH$6,1)=1,0,IF(WEEKDAY(CH$6,1)=7,0,MIN(8,CH57)*CH56))),MAX(0,40*MAX(1,CH56)-(CC58+CD58+CE58+CF58+CG58)))))</f>
        <v>20</v>
      </c>
      <c r="CI59" s="64">
        <f>IF(AND(CI56=2,CI57=10),0,IF(CI56&lt;=0,0,IF(WEEKDAY(CI$6,1)=1,0,IF(WEEKDAY(CI$6,1)=7,CI56*CI57,MAX(0,CI57-8)*CI56)))+((IF(CI56&lt;=0,0,IF(WEEKDAY(CI$6,1)=1,0,IF(WEEKDAY(CI$6,1)=7,0,MIN(8,CI57)*CI56))))-MIN(IF(CI56&lt;=0,0,IF(WEEKDAY(CI$6,1)=1,0,IF(WEEKDAY(CI$6,1)=7,0,MIN(8,CI57)*CI56))),MAX(0,40*MAX(1,CI56)-(CC58+CD58+CE58+CF58+CG58+CH58)))))</f>
        <v>0</v>
      </c>
      <c r="CJ59" s="63">
        <f>IF(AND(CJ56=2,CJ57=10),4,IF(CJ56&lt;=0,0,IF(WEEKDAY(CJ$6,1)=1,0,IF(WEEKDAY(CJ$6,1)=7,CJ56*CJ57,MAX(0,CJ57-8)*CJ56)))+((IF(CJ56&lt;=0,0,IF(WEEKDAY(CJ$6,1)=1,0,IF(WEEKDAY(CJ$6,1)=7,0,MIN(8,CJ57)*CJ56))))-MIN(IF(CJ56&lt;=0,0,IF(WEEKDAY(CJ$6,1)=1,0,IF(WEEKDAY(CJ$6,1)=7,0,MIN(8,CJ57)*CJ56))),MAX(0,40*MAX(1,CJ56)-(0)))))</f>
        <v>4</v>
      </c>
      <c r="CK59" s="63">
        <f>IF(AND(CK56=2,CK57=10),4,IF(CK56&lt;=0,0,IF(WEEKDAY(CK$6,1)=1,0,IF(WEEKDAY(CK$6,1)=7,CK56*CK57,MAX(0,CK57-8)*CK56)))+((IF(CK56&lt;=0,0,IF(WEEKDAY(CK$6,1)=1,0,IF(WEEKDAY(CK$6,1)=7,0,MIN(8,CK57)*CK56))))-MIN(IF(CK56&lt;=0,0,IF(WEEKDAY(CK$6,1)=1,0,IF(WEEKDAY(CK$6,1)=7,0,MIN(8,CK57)*CK56))),MAX(0,40*MAX(1,CK56)-(CJ58)))))</f>
        <v>4</v>
      </c>
      <c r="CL59" s="63">
        <f>IF(AND(CL56=2,CL57=10),4,IF(CL56&lt;=0,0,IF(WEEKDAY(CL$6,1)=1,0,IF(WEEKDAY(CL$6,1)=7,CL56*CL57,MAX(0,CL57-8)*CL56)))+((IF(CL56&lt;=0,0,IF(WEEKDAY(CL$6,1)=1,0,IF(WEEKDAY(CL$6,1)=7,0,MIN(8,CL57)*CL56))))-MIN(IF(CL56&lt;=0,0,IF(WEEKDAY(CL$6,1)=1,0,IF(WEEKDAY(CL$6,1)=7,0,MIN(8,CL57)*CL56))),MAX(0,40*MAX(1,CL56)-(CJ58+CK58)))))</f>
        <v>4</v>
      </c>
      <c r="CM59" s="63">
        <f>IF(AND(CM56=2,CM57=10),4,IF(CM56&lt;=0,0,IF(WEEKDAY(CM$6,1)=1,0,IF(WEEKDAY(CM$6,1)=7,CM56*CM57,MAX(0,CM57-8)*CM56)))+((IF(CM56&lt;=0,0,IF(WEEKDAY(CM$6,1)=1,0,IF(WEEKDAY(CM$6,1)=7,0,MIN(8,CM57)*CM56))))-MIN(IF(CM56&lt;=0,0,IF(WEEKDAY(CM$6,1)=1,0,IF(WEEKDAY(CM$6,1)=7,0,MIN(8,CM57)*CM56))),MAX(0,40*MAX(1,CM56)-(CJ58+CK58+CL58)))))</f>
        <v>4</v>
      </c>
      <c r="CN59" s="63">
        <f>IF(AND(CN56=2,CN57=10),4,IF(CN56&lt;=0,0,IF(WEEKDAY(CN$6,1)=1,0,IF(WEEKDAY(CN$6,1)=7,CN56*CN57,MAX(0,CN57-8)*CN56)))+((IF(CN56&lt;=0,0,IF(WEEKDAY(CN$6,1)=1,0,IF(WEEKDAY(CN$6,1)=7,0,MIN(8,CN57)*CN56))))-MIN(IF(CN56&lt;=0,0,IF(WEEKDAY(CN$6,1)=1,0,IF(WEEKDAY(CN$6,1)=7,0,MIN(8,CN57)*CN56))),MAX(0,40*MAX(1,CN56)-(CJ58+CK58+CL58+CM58)))))</f>
        <v>4</v>
      </c>
      <c r="CO59" s="64">
        <f>IF(AND(CO56=2,CO57=10),20,IF(CO56&lt;=0,0,IF(WEEKDAY(CO$6,1)=1,0,IF(WEEKDAY(CO$6,1)=7,CO56*CO57,MAX(0,CO57-8)*CO56)))+((IF(CO56&lt;=0,0,IF(WEEKDAY(CO$6,1)=1,0,IF(WEEKDAY(CO$6,1)=7,0,MIN(8,CO57)*CO56))))-MIN(IF(CO56&lt;=0,0,IF(WEEKDAY(CO$6,1)=1,0,IF(WEEKDAY(CO$6,1)=7,0,MIN(8,CO57)*CO56))),MAX(0,40*MAX(1,CO56)-(CJ58+CK58+CL58+CM58+CN58)))))</f>
        <v>20</v>
      </c>
      <c r="CP59" s="64">
        <f>IF(AND(CP56=2,CP57=10),0,IF(CP56&lt;=0,0,IF(WEEKDAY(CP$6,1)=1,0,IF(WEEKDAY(CP$6,1)=7,CP56*CP57,MAX(0,CP57-8)*CP56)))+((IF(CP56&lt;=0,0,IF(WEEKDAY(CP$6,1)=1,0,IF(WEEKDAY(CP$6,1)=7,0,MIN(8,CP57)*CP56))))-MIN(IF(CP56&lt;=0,0,IF(WEEKDAY(CP$6,1)=1,0,IF(WEEKDAY(CP$6,1)=7,0,MIN(8,CP57)*CP56))),MAX(0,40*MAX(1,CP56)-(CJ58+CK58+CL58+CM58+CN58+CO58)))))</f>
        <v>0</v>
      </c>
      <c r="CQ59" s="63">
        <f>IF(AND(CQ56=2,CQ57=10),4,IF(CQ56&lt;=0,0,IF(WEEKDAY(CQ$6,1)=1,0,IF(WEEKDAY(CQ$6,1)=7,CQ56*CQ57,MAX(0,CQ57-8)*CQ56)))+((IF(CQ56&lt;=0,0,IF(WEEKDAY(CQ$6,1)=1,0,IF(WEEKDAY(CQ$6,1)=7,0,MIN(8,CQ57)*CQ56))))-MIN(IF(CQ56&lt;=0,0,IF(WEEKDAY(CQ$6,1)=1,0,IF(WEEKDAY(CQ$6,1)=7,0,MIN(8,CQ57)*CQ56))),MAX(0,40*MAX(1,CQ56)-(0)))))</f>
        <v>4</v>
      </c>
      <c r="CR59" s="63">
        <f>IF(AND(CR56=2,CR57=10),4,IF(CR56&lt;=0,0,IF(WEEKDAY(CR$6,1)=1,0,IF(WEEKDAY(CR$6,1)=7,CR56*CR57,MAX(0,CR57-8)*CR56)))+((IF(CR56&lt;=0,0,IF(WEEKDAY(CR$6,1)=1,0,IF(WEEKDAY(CR$6,1)=7,0,MIN(8,CR57)*CR56))))-MIN(IF(CR56&lt;=0,0,IF(WEEKDAY(CR$6,1)=1,0,IF(WEEKDAY(CR$6,1)=7,0,MIN(8,CR57)*CR56))),MAX(0,40*MAX(1,CR56)-(CQ58)))))</f>
        <v>4</v>
      </c>
      <c r="CS59" s="63">
        <f>IF(AND(CS56=2,CS57=10),4,IF(CS56&lt;=0,0,IF(WEEKDAY(CS$6,1)=1,0,IF(WEEKDAY(CS$6,1)=7,CS56*CS57,MAX(0,CS57-8)*CS56)))+((IF(CS56&lt;=0,0,IF(WEEKDAY(CS$6,1)=1,0,IF(WEEKDAY(CS$6,1)=7,0,MIN(8,CS57)*CS56))))-MIN(IF(CS56&lt;=0,0,IF(WEEKDAY(CS$6,1)=1,0,IF(WEEKDAY(CS$6,1)=7,0,MIN(8,CS57)*CS56))),MAX(0,40*MAX(1,CS56)-(CQ58+CR58)))))</f>
        <v>4</v>
      </c>
      <c r="CT59" s="63">
        <f>IF(AND(CT56=2,CT57=10),4,IF(CT56&lt;=0,0,IF(WEEKDAY(CT$6,1)=1,0,IF(WEEKDAY(CT$6,1)=7,CT56*CT57,MAX(0,CT57-8)*CT56)))+((IF(CT56&lt;=0,0,IF(WEEKDAY(CT$6,1)=1,0,IF(WEEKDAY(CT$6,1)=7,0,MIN(8,CT57)*CT56))))-MIN(IF(CT56&lt;=0,0,IF(WEEKDAY(CT$6,1)=1,0,IF(WEEKDAY(CT$6,1)=7,0,MIN(8,CT57)*CT56))),MAX(0,40*MAX(1,CT56)-(CQ58+CR58+CS58)))))</f>
        <v>4</v>
      </c>
      <c r="CU59" s="63">
        <f>IF(AND(CU56=2,CU57=10),4,IF(CU56&lt;=0,0,IF(WEEKDAY(CU$6,1)=1,0,IF(WEEKDAY(CU$6,1)=7,CU56*CU57,MAX(0,CU57-8)*CU56)))+((IF(CU56&lt;=0,0,IF(WEEKDAY(CU$6,1)=1,0,IF(WEEKDAY(CU$6,1)=7,0,MIN(8,CU57)*CU56))))-MIN(IF(CU56&lt;=0,0,IF(WEEKDAY(CU$6,1)=1,0,IF(WEEKDAY(CU$6,1)=7,0,MIN(8,CU57)*CU56))),MAX(0,40*MAX(1,CU56)-(CQ58+CR58+CS58+CT58)))))</f>
        <v>4</v>
      </c>
      <c r="CV59" s="64">
        <f>IF(AND(CV56=2,CV57=10),20,IF(CV56&lt;=0,0,IF(WEEKDAY(CV$6,1)=1,0,IF(WEEKDAY(CV$6,1)=7,CV56*CV57,MAX(0,CV57-8)*CV56)))+((IF(CV56&lt;=0,0,IF(WEEKDAY(CV$6,1)=1,0,IF(WEEKDAY(CV$6,1)=7,0,MIN(8,CV57)*CV56))))-MIN(IF(CV56&lt;=0,0,IF(WEEKDAY(CV$6,1)=1,0,IF(WEEKDAY(CV$6,1)=7,0,MIN(8,CV57)*CV56))),MAX(0,40*MAX(1,CV56)-(CQ58+CR58+CS58+CT58+CU58)))))</f>
        <v>20</v>
      </c>
      <c r="CW59" s="64">
        <f>IF(AND(CW56=2,CW57=10),0,IF(CW56&lt;=0,0,IF(WEEKDAY(CW$6,1)=1,0,IF(WEEKDAY(CW$6,1)=7,CW56*CW57,MAX(0,CW57-8)*CW56)))+((IF(CW56&lt;=0,0,IF(WEEKDAY(CW$6,1)=1,0,IF(WEEKDAY(CW$6,1)=7,0,MIN(8,CW57)*CW56))))-MIN(IF(CW56&lt;=0,0,IF(WEEKDAY(CW$6,1)=1,0,IF(WEEKDAY(CW$6,1)=7,0,MIN(8,CW57)*CW56))),MAX(0,40*MAX(1,CW56)-(CQ58+CR58+CS58+CT58+CU58+CV58)))))</f>
        <v>0</v>
      </c>
      <c r="CX59" s="63">
        <f>IF(AND(CX56=2,CX57=10),4,IF(CX56&lt;=0,0,IF(WEEKDAY(CX$6,1)=1,0,IF(WEEKDAY(CX$6,1)=7,CX56*CX57,MAX(0,CX57-8)*CX56)))+((IF(CX56&lt;=0,0,IF(WEEKDAY(CX$6,1)=1,0,IF(WEEKDAY(CX$6,1)=7,0,MIN(8,CX57)*CX56))))-MIN(IF(CX56&lt;=0,0,IF(WEEKDAY(CX$6,1)=1,0,IF(WEEKDAY(CX$6,1)=7,0,MIN(8,CX57)*CX56))),MAX(0,40*MAX(1,CX56)-(0)))))</f>
        <v>4</v>
      </c>
      <c r="CY59" s="63">
        <f>IF(AND(CY56=2,CY57=10),4,IF(CY56&lt;=0,0,IF(WEEKDAY(CY$6,1)=1,0,IF(WEEKDAY(CY$6,1)=7,CY56*CY57,MAX(0,CY57-8)*CY56)))+((IF(CY56&lt;=0,0,IF(WEEKDAY(CY$6,1)=1,0,IF(WEEKDAY(CY$6,1)=7,0,MIN(8,CY57)*CY56))))-MIN(IF(CY56&lt;=0,0,IF(WEEKDAY(CY$6,1)=1,0,IF(WEEKDAY(CY$6,1)=7,0,MIN(8,CY57)*CY56))),MAX(0,40*MAX(1,CY56)-(CX58)))))</f>
        <v>4</v>
      </c>
      <c r="CZ59" s="63">
        <f>IF(AND(CZ56=2,CZ57=10),4,IF(CZ56&lt;=0,0,IF(WEEKDAY(CZ$6,1)=1,0,IF(WEEKDAY(CZ$6,1)=7,CZ56*CZ57,MAX(0,CZ57-8)*CZ56)))+((IF(CZ56&lt;=0,0,IF(WEEKDAY(CZ$6,1)=1,0,IF(WEEKDAY(CZ$6,1)=7,0,MIN(8,CZ57)*CZ56))))-MIN(IF(CZ56&lt;=0,0,IF(WEEKDAY(CZ$6,1)=1,0,IF(WEEKDAY(CZ$6,1)=7,0,MIN(8,CZ57)*CZ56))),MAX(0,40*MAX(1,CZ56)-(CX58+CY58)))))</f>
        <v>4</v>
      </c>
      <c r="DA59" s="63">
        <f>IF(AND(DA56=2,DA57=10),4,IF(DA56&lt;=0,0,IF(WEEKDAY(DA$6,1)=1,0,IF(WEEKDAY(DA$6,1)=7,DA56*DA57,MAX(0,DA57-8)*DA56)))+((IF(DA56&lt;=0,0,IF(WEEKDAY(DA$6,1)=1,0,IF(WEEKDAY(DA$6,1)=7,0,MIN(8,DA57)*DA56))))-MIN(IF(DA56&lt;=0,0,IF(WEEKDAY(DA$6,1)=1,0,IF(WEEKDAY(DA$6,1)=7,0,MIN(8,DA57)*DA56))),MAX(0,40*MAX(1,DA56)-(CX58+CY58+CZ58)))))</f>
        <v>4</v>
      </c>
      <c r="DB59" s="63">
        <f>IF(AND(DB56=2,DB57=10),4,IF(DB56&lt;=0,0,IF(WEEKDAY(DB$6,1)=1,0,IF(WEEKDAY(DB$6,1)=7,DB56*DB57,MAX(0,DB57-8)*DB56)))+((IF(DB56&lt;=0,0,IF(WEEKDAY(DB$6,1)=1,0,IF(WEEKDAY(DB$6,1)=7,0,MIN(8,DB57)*DB56))))-MIN(IF(DB56&lt;=0,0,IF(WEEKDAY(DB$6,1)=1,0,IF(WEEKDAY(DB$6,1)=7,0,MIN(8,DB57)*DB56))),MAX(0,40*MAX(1,DB56)-(CX58+CY58+CZ58+DA58)))))</f>
        <v>4</v>
      </c>
      <c r="DC59" s="64">
        <f>IF(AND(DC56=2,DC57=10),20,IF(DC56&lt;=0,0,IF(WEEKDAY(DC$6,1)=1,0,IF(WEEKDAY(DC$6,1)=7,DC56*DC57,MAX(0,DC57-8)*DC56)))+((IF(DC56&lt;=0,0,IF(WEEKDAY(DC$6,1)=1,0,IF(WEEKDAY(DC$6,1)=7,0,MIN(8,DC57)*DC56))))-MIN(IF(DC56&lt;=0,0,IF(WEEKDAY(DC$6,1)=1,0,IF(WEEKDAY(DC$6,1)=7,0,MIN(8,DC57)*DC56))),MAX(0,40*MAX(1,DC56)-(CX58+CY58+CZ58+DA58+DB58)))))</f>
        <v>20</v>
      </c>
      <c r="DD59" s="64">
        <f>IF(AND(DD56=2,DD57=10),0,IF(DD56&lt;=0,0,IF(WEEKDAY(DD$6,1)=1,0,IF(WEEKDAY(DD$6,1)=7,DD56*DD57,MAX(0,DD57-8)*DD56)))+((IF(DD56&lt;=0,0,IF(WEEKDAY(DD$6,1)=1,0,IF(WEEKDAY(DD$6,1)=7,0,MIN(8,DD57)*DD56))))-MIN(IF(DD56&lt;=0,0,IF(WEEKDAY(DD$6,1)=1,0,IF(WEEKDAY(DD$6,1)=7,0,MIN(8,DD57)*DD56))),MAX(0,40*MAX(1,DD56)-(0)))))</f>
        <v>0</v>
      </c>
      <c r="DE59" s="63">
        <f>IF(AND(DE56=2,DE57=10),4,IF(DE56&lt;=0,0,IF(WEEKDAY(DE$6,1)=1,0,IF(WEEKDAY(DE$6,1)=7,DE56*DE57,MAX(0,DE57-8)*DE56)))+((IF(DE56&lt;=0,0,IF(WEEKDAY(DE$6,1)=1,0,IF(WEEKDAY(DE$6,1)=7,0,MIN(8,DE57)*DE56))))-MIN(IF(DE56&lt;=0,0,IF(WEEKDAY(DE$6,1)=1,0,IF(WEEKDAY(DE$6,1)=7,0,MIN(8,DE57)*DE56))),MAX(0,40*MAX(1,DE56)-(0)))))</f>
        <v>4</v>
      </c>
      <c r="DF59" s="63">
        <f>IF(AND(DF56=2,DF57=10),4,IF(DF56&lt;=0,0,IF(WEEKDAY(DF$6,1)=1,0,IF(WEEKDAY(DF$6,1)=7,DF56*DF57,MAX(0,DF57-8)*DF56)))+((IF(DF56&lt;=0,0,IF(WEEKDAY(DF$6,1)=1,0,IF(WEEKDAY(DF$6,1)=7,0,MIN(8,DF57)*DF56))))-MIN(IF(DF56&lt;=0,0,IF(WEEKDAY(DF$6,1)=1,0,IF(WEEKDAY(DF$6,1)=7,0,MIN(8,DF57)*DF56))),MAX(0,40*MAX(1,DF56)-(DE58)))))</f>
        <v>4</v>
      </c>
      <c r="DG59" s="63">
        <f>IF(AND(DG56=2,DG57=10),4,IF(DG56&lt;=0,0,IF(WEEKDAY(DG$6,1)=1,0,IF(WEEKDAY(DG$6,1)=7,DG56*DG57,MAX(0,DG57-8)*DG56)))+((IF(DG56&lt;=0,0,IF(WEEKDAY(DG$6,1)=1,0,IF(WEEKDAY(DG$6,1)=7,0,MIN(8,DG57)*DG56))))-MIN(IF(DG56&lt;=0,0,IF(WEEKDAY(DG$6,1)=1,0,IF(WEEKDAY(DG$6,1)=7,0,MIN(8,DG57)*DG56))),MAX(0,40*MAX(1,DG56)-(DE58+DF58)))))</f>
        <v>4</v>
      </c>
      <c r="DH59" s="63">
        <f>IF(AND(DH56=2,DH57=10),4,IF(DH56&lt;=0,0,IF(WEEKDAY(DH$6,1)=1,0,IF(WEEKDAY(DH$6,1)=7,DH56*DH57,MAX(0,DH57-8)*DH56)))+((IF(DH56&lt;=0,0,IF(WEEKDAY(DH$6,1)=1,0,IF(WEEKDAY(DH$6,1)=7,0,MIN(8,DH57)*DH56))))-MIN(IF(DH56&lt;=0,0,IF(WEEKDAY(DH$6,1)=1,0,IF(WEEKDAY(DH$6,1)=7,0,MIN(8,DH57)*DH56))),MAX(0,40*MAX(1,DH56)-(DE58+DF58+DG58)))))</f>
        <v>4</v>
      </c>
      <c r="DI59" s="63">
        <f>IF(AND(DI56=2,DI57=10),4,IF(DI56&lt;=0,0,IF(WEEKDAY(DI$6,1)=1,0,IF(WEEKDAY(DI$6,1)=7,DI56*DI57,MAX(0,DI57-8)*DI56)))+((IF(DI56&lt;=0,0,IF(WEEKDAY(DI$6,1)=1,0,IF(WEEKDAY(DI$6,1)=7,0,MIN(8,DI57)*DI56))))-MIN(IF(DI56&lt;=0,0,IF(WEEKDAY(DI$6,1)=1,0,IF(WEEKDAY(DI$6,1)=7,0,MIN(8,DI57)*DI56))),MAX(0,40*MAX(1,DI56)-(DE58+DF58+DG58+DH58)))))</f>
        <v>4</v>
      </c>
      <c r="DJ59" s="64">
        <f>IF(AND(DJ56=2,DJ57=10),20,IF(DJ56&lt;=0,0,IF(WEEKDAY(DJ$6,1)=1,0,IF(WEEKDAY(DJ$6,1)=7,DJ56*DJ57,MAX(0,DJ57-8)*DJ56)))+((IF(DJ56&lt;=0,0,IF(WEEKDAY(DJ$6,1)=1,0,IF(WEEKDAY(DJ$6,1)=7,0,MIN(8,DJ57)*DJ56))))-MIN(IF(DJ56&lt;=0,0,IF(WEEKDAY(DJ$6,1)=1,0,IF(WEEKDAY(DJ$6,1)=7,0,MIN(8,DJ57)*DJ56))),MAX(0,40*MAX(1,DJ56)-(DE58+DF58+DG58+DH58+DI58)))))</f>
        <v>20</v>
      </c>
      <c r="DK59" s="64">
        <f>IF(AND(DK56=2,DK57=10),0,IF(DK56&lt;=0,0,IF(WEEKDAY(DK$6,1)=1,0,IF(WEEKDAY(DK$6,1)=7,DK56*DK57,MAX(0,DK57-8)*DK56)))+((IF(DK56&lt;=0,0,IF(WEEKDAY(DK$6,1)=1,0,IF(WEEKDAY(DK$6,1)=7,0,MIN(8,DK57)*DK56))))-MIN(IF(DK56&lt;=0,0,IF(WEEKDAY(DK$6,1)=1,0,IF(WEEKDAY(DK$6,1)=7,0,MIN(8,DK57)*DK56))),MAX(0,40*MAX(1,DK56)-(DE58+DF58+DG58+DH58+DI58+DJ58)))))</f>
        <v>0</v>
      </c>
      <c r="DL59" s="63">
        <f>IF(AND(DL56=2,DL57=10),4,IF(DL56&lt;=0,0,IF(WEEKDAY(DL$6,1)=1,0,IF(WEEKDAY(DL$6,1)=7,DL56*DL57,MAX(0,DL57-8)*DL56)))+((IF(DL56&lt;=0,0,IF(WEEKDAY(DL$6,1)=1,0,IF(WEEKDAY(DL$6,1)=7,0,MIN(8,DL57)*DL56))))-MIN(IF(DL56&lt;=0,0,IF(WEEKDAY(DL$6,1)=1,0,IF(WEEKDAY(DL$6,1)=7,0,MIN(8,DL57)*DL56))),MAX(0,40*MAX(1,DL56)-(0)))))</f>
        <v>4</v>
      </c>
      <c r="DM59" s="63">
        <f>IF(AND(DM56=2,DM57=10),4,IF(DM56&lt;=0,0,IF(WEEKDAY(DM$6,1)=1,0,IF(WEEKDAY(DM$6,1)=7,DM56*DM57,MAX(0,DM57-8)*DM56)))+((IF(DM56&lt;=0,0,IF(WEEKDAY(DM$6,1)=1,0,IF(WEEKDAY(DM$6,1)=7,0,MIN(8,DM57)*DM56))))-MIN(IF(DM56&lt;=0,0,IF(WEEKDAY(DM$6,1)=1,0,IF(WEEKDAY(DM$6,1)=7,0,MIN(8,DM57)*DM56))),MAX(0,40*MAX(1,DM56)-(DL58)))))</f>
        <v>4</v>
      </c>
      <c r="DN59" s="63">
        <f>IF(AND(DN56=2,DN57=10),4,IF(DN56&lt;=0,0,IF(WEEKDAY(DN$6,1)=1,0,IF(WEEKDAY(DN$6,1)=7,DN56*DN57,MAX(0,DN57-8)*DN56)))+((IF(DN56&lt;=0,0,IF(WEEKDAY(DN$6,1)=1,0,IF(WEEKDAY(DN$6,1)=7,0,MIN(8,DN57)*DN56))))-MIN(IF(DN56&lt;=0,0,IF(WEEKDAY(DN$6,1)=1,0,IF(WEEKDAY(DN$6,1)=7,0,MIN(8,DN57)*DN56))),MAX(0,40*MAX(1,DN56)-(DL58+DM58)))))</f>
        <v>4</v>
      </c>
      <c r="DO59" s="63">
        <f>IF(AND(DO56=2,DO57=10),4,IF(DO56&lt;=0,0,IF(WEEKDAY(DO$6,1)=1,0,IF(WEEKDAY(DO$6,1)=7,DO56*DO57,MAX(0,DO57-8)*DO56)))+((IF(DO56&lt;=0,0,IF(WEEKDAY(DO$6,1)=1,0,IF(WEEKDAY(DO$6,1)=7,0,MIN(8,DO57)*DO56))))-MIN(IF(DO56&lt;=0,0,IF(WEEKDAY(DO$6,1)=1,0,IF(WEEKDAY(DO$6,1)=7,0,MIN(8,DO57)*DO56))),MAX(0,40*MAX(1,DO56)-(DL58+DM58+DN58)))))</f>
        <v>4</v>
      </c>
      <c r="DP59" s="63">
        <f>IF(AND(DP56=2,DP57=10),4,IF(DP56&lt;=0,0,IF(WEEKDAY(DP$6,1)=1,0,IF(WEEKDAY(DP$6,1)=7,DP56*DP57,MAX(0,DP57-8)*DP56)))+((IF(DP56&lt;=0,0,IF(WEEKDAY(DP$6,1)=1,0,IF(WEEKDAY(DP$6,1)=7,0,MIN(8,DP57)*DP56))))-MIN(IF(DP56&lt;=0,0,IF(WEEKDAY(DP$6,1)=1,0,IF(WEEKDAY(DP$6,1)=7,0,MIN(8,DP57)*DP56))),MAX(0,40*MAX(1,DP56)-(DL58+DM58+DN58+DO58)))))</f>
        <v>4</v>
      </c>
      <c r="DQ59" s="64">
        <f>IF(AND(DQ56=2,DQ57=10),20,IF(DQ56&lt;=0,0,IF(WEEKDAY(DQ$6,1)=1,0,IF(WEEKDAY(DQ$6,1)=7,DQ56*DQ57,MAX(0,DQ57-8)*DQ56)))+((IF(DQ56&lt;=0,0,IF(WEEKDAY(DQ$6,1)=1,0,IF(WEEKDAY(DQ$6,1)=7,0,MIN(8,DQ57)*DQ56))))-MIN(IF(DQ56&lt;=0,0,IF(WEEKDAY(DQ$6,1)=1,0,IF(WEEKDAY(DQ$6,1)=7,0,MIN(8,DQ57)*DQ56))),MAX(0,40*MAX(1,DQ56)-(DL58+DM58+DN58+DO58+DP58)))))</f>
        <v>20</v>
      </c>
      <c r="DR59" s="64">
        <f>IF(AND(DR56=2,DR57=10),0,IF(DR56&lt;=0,0,IF(WEEKDAY(DR$6,1)=1,0,IF(WEEKDAY(DR$6,1)=7,DR56*DR57,MAX(0,DR57-8)*DR56)))+((IF(DR56&lt;=0,0,IF(WEEKDAY(DR$6,1)=1,0,IF(WEEKDAY(DR$6,1)=7,0,MIN(8,DR57)*DR56))))-MIN(IF(DR56&lt;=0,0,IF(WEEKDAY(DR$6,1)=1,0,IF(WEEKDAY(DR$6,1)=7,0,MIN(8,DR57)*DR56))),MAX(0,40*MAX(1,DR56)-(DL58+DM58+DN58+DO58+DP58+DQ58)))))</f>
        <v>0</v>
      </c>
      <c r="DS59" s="63">
        <f>IF(AND(DS56=2,DS57=10),4,IF(DS56&lt;=0,0,IF(WEEKDAY(DS$6,1)=1,0,IF(WEEKDAY(DS$6,1)=7,DS56*DS57,MAX(0,DS57-8)*DS56)))+((IF(DS56&lt;=0,0,IF(WEEKDAY(DS$6,1)=1,0,IF(WEEKDAY(DS$6,1)=7,0,MIN(8,DS57)*DS56))))-MIN(IF(DS56&lt;=0,0,IF(WEEKDAY(DS$6,1)=1,0,IF(WEEKDAY(DS$6,1)=7,0,MIN(8,DS57)*DS56))),MAX(0,40*MAX(1,DS56)-(0)))))</f>
        <v>4</v>
      </c>
      <c r="DT59" s="63">
        <f>IF(AND(DT56=2,DT57=8),0,IF(DT56&lt;=0,0,IF(WEEKDAY(DT$6,1)=1,0,IF(WEEKDAY(DT$6,1)=7,DT56*DT57,MAX(0,DT57-8)*DT56)))+((IF(DT56&lt;=0,0,IF(WEEKDAY(DT$6,1)=1,0,IF(WEEKDAY(DT$6,1)=7,0,MIN(8,DT57)*DT56))))-MIN(IF(DT56&lt;=0,0,IF(WEEKDAY(DT$6,1)=1,0,IF(WEEKDAY(DT$6,1)=7,0,MIN(8,DT57)*DT56))),MAX(0,40*MAX(1,DT56)-(0)))))</f>
        <v>0</v>
      </c>
      <c r="DU59" s="63">
        <f>IF(AND(DU56=2,DU57=8),0,IF(DU56&lt;=0,0,IF(WEEKDAY(DU$6,1)=1,0,IF(WEEKDAY(DU$6,1)=7,DU56*DU57,MAX(0,DU57-8)*DU56)))+((IF(DU56&lt;=0,0,IF(WEEKDAY(DU$6,1)=1,0,IF(WEEKDAY(DU$6,1)=7,0,MIN(8,DU57)*DU56))))-MIN(IF(DU56&lt;=0,0,IF(WEEKDAY(DU$6,1)=1,0,IF(WEEKDAY(DU$6,1)=7,0,MIN(8,DU57)*DU56))),MAX(0,40*MAX(1,DU56)-(DT58)))))</f>
        <v>0</v>
      </c>
      <c r="DV59" s="63">
        <f>IF(AND(DV56=2,DV57=8),0,IF(DV56&lt;=0,0,IF(WEEKDAY(DV$6,1)=1,0,IF(WEEKDAY(DV$6,1)=7,DV56*DV57,MAX(0,DV57-8)*DV56)))+((IF(DV56&lt;=0,0,IF(WEEKDAY(DV$6,1)=1,0,IF(WEEKDAY(DV$6,1)=7,0,MIN(8,DV57)*DV56))))-MIN(IF(DV56&lt;=0,0,IF(WEEKDAY(DV$6,1)=1,0,IF(WEEKDAY(DV$6,1)=7,0,MIN(8,DV57)*DV56))),MAX(0,40*MAX(1,DV56)-(DT58+DU58)))))</f>
        <v>0</v>
      </c>
      <c r="DW59" s="63">
        <f>IF(AND(DW56=2,DW57=8),0,IF(DW56&lt;=0,0,IF(WEEKDAY(DW$6,1)=1,0,IF(WEEKDAY(DW$6,1)=7,DW56*DW57,MAX(0,DW57-8)*DW56)))+((IF(DW56&lt;=0,0,IF(WEEKDAY(DW$6,1)=1,0,IF(WEEKDAY(DW$6,1)=7,0,MIN(8,DW57)*DW56))))-MIN(IF(DW56&lt;=0,0,IF(WEEKDAY(DW$6,1)=1,0,IF(WEEKDAY(DW$6,1)=7,0,MIN(8,DW57)*DW56))),MAX(0,40*MAX(1,DW56)-(DT58+DU58+DV58)))))</f>
        <v>0</v>
      </c>
      <c r="DX59" s="64">
        <f>IF(AND(DX56=0,DX57=0),0,IF(DX56&lt;=0,0,IF(WEEKDAY(DX$6,1)=1,0,IF(WEEKDAY(DX$6,1)=7,DX56*DX57,MAX(0,DX57-8)*DX56)))+((IF(DX56&lt;=0,0,IF(WEEKDAY(DX$6,1)=1,0,IF(WEEKDAY(DX$6,1)=7,0,MIN(8,DX57)*DX56))))-MIN(IF(DX56&lt;=0,0,IF(WEEKDAY(DX$6,1)=1,0,IF(WEEKDAY(DX$6,1)=7,0,MIN(8,DX57)*DX56))),MAX(0,40*MAX(1,DX56)-(0)))))</f>
        <v>0</v>
      </c>
      <c r="DY59" s="64">
        <f>IF(AND(DY56=0,DY57=0),0,IF(DY56&lt;=0,0,IF(WEEKDAY(DY$6,1)=1,0,IF(WEEKDAY(DY$6,1)=7,DY56*DY57,MAX(0,DY57-8)*DY56)))+((IF(DY56&lt;=0,0,IF(WEEKDAY(DY$6,1)=1,0,IF(WEEKDAY(DY$6,1)=7,0,MIN(8,DY57)*DY56))))-MIN(IF(DY56&lt;=0,0,IF(WEEKDAY(DY$6,1)=1,0,IF(WEEKDAY(DY$6,1)=7,0,MIN(8,DY57)*DY56))),MAX(0,40*MAX(1,DY56)-(DX58)))))</f>
        <v>0</v>
      </c>
      <c r="DZ59" s="63">
        <f>IF(AND(DZ56=2,DZ57=8),0,IF(DZ56&lt;=0,0,IF(WEEKDAY(DZ$6,1)=1,0,IF(WEEKDAY(DZ$6,1)=7,DZ56*DZ57,MAX(0,DZ57-8)*DZ56)))+((IF(DZ56&lt;=0,0,IF(WEEKDAY(DZ$6,1)=1,0,IF(WEEKDAY(DZ$6,1)=7,0,MIN(8,DZ57)*DZ56))))-MIN(IF(DZ56&lt;=0,0,IF(WEEKDAY(DZ$6,1)=1,0,IF(WEEKDAY(DZ$6,1)=7,0,MIN(8,DZ57)*DZ56))),MAX(0,40*MAX(1,DZ56)-(0)))))</f>
        <v>0</v>
      </c>
      <c r="EA59" s="63">
        <f>IF(AND(EA56=2,EA57=8),0,IF(EA56&lt;=0,0,IF(WEEKDAY(EA$6,1)=1,0,IF(WEEKDAY(EA$6,1)=7,EA56*EA57,MAX(0,EA57-8)*EA56)))+((IF(EA56&lt;=0,0,IF(WEEKDAY(EA$6,1)=1,0,IF(WEEKDAY(EA$6,1)=7,0,MIN(8,EA57)*EA56))))-MIN(IF(EA56&lt;=0,0,IF(WEEKDAY(EA$6,1)=1,0,IF(WEEKDAY(EA$6,1)=7,0,MIN(8,EA57)*EA56))),MAX(0,40*MAX(1,EA56)-(DZ58)))))</f>
        <v>0</v>
      </c>
      <c r="EB59" s="63">
        <f>IF(AND(EB56=2,EB57=8),0,IF(EB56&lt;=0,0,IF(WEEKDAY(EB$6,1)=1,0,IF(WEEKDAY(EB$6,1)=7,EB56*EB57,MAX(0,EB57-8)*EB56)))+((IF(EB56&lt;=0,0,IF(WEEKDAY(EB$6,1)=1,0,IF(WEEKDAY(EB$6,1)=7,0,MIN(8,EB57)*EB56))))-MIN(IF(EB56&lt;=0,0,IF(WEEKDAY(EB$6,1)=1,0,IF(WEEKDAY(EB$6,1)=7,0,MIN(8,EB57)*EB56))),MAX(0,40*MAX(1,EB56)-(DZ58+EA58)))))</f>
        <v>0</v>
      </c>
      <c r="EC59" s="63">
        <f>IF(AND(EC56=2,EC57=8),0,IF(EC56&lt;=0,0,IF(WEEKDAY(EC$6,1)=1,0,IF(WEEKDAY(EC$6,1)=7,EC56*EC57,MAX(0,EC57-8)*EC56)))+((IF(EC56&lt;=0,0,IF(WEEKDAY(EC$6,1)=1,0,IF(WEEKDAY(EC$6,1)=7,0,MIN(8,EC57)*EC56))))-MIN(IF(EC56&lt;=0,0,IF(WEEKDAY(EC$6,1)=1,0,IF(WEEKDAY(EC$6,1)=7,0,MIN(8,EC57)*EC56))),MAX(0,40*MAX(1,EC56)-(DZ58+EA58+EB58)))))</f>
        <v>0</v>
      </c>
      <c r="ED59" s="63">
        <f>IF(AND(ED56=2,ED57=8),0,IF(ED56&lt;=0,0,IF(WEEKDAY(ED$6,1)=1,0,IF(WEEKDAY(ED$6,1)=7,ED56*ED57,MAX(0,ED57-8)*ED56)))+((IF(ED56&lt;=0,0,IF(WEEKDAY(ED$6,1)=1,0,IF(WEEKDAY(ED$6,1)=7,0,MIN(8,ED57)*ED56))))-MIN(IF(ED56&lt;=0,0,IF(WEEKDAY(ED$6,1)=1,0,IF(WEEKDAY(ED$6,1)=7,0,MIN(8,ED57)*ED56))),MAX(0,40*MAX(1,ED56)-(DZ58+EA58+EB58+EC58)))))</f>
        <v>0</v>
      </c>
      <c r="EE59" s="64">
        <f>IF(AND(EE56=0,EE57=0),0,IF(EE56&lt;=0,0,IF(WEEKDAY(EE$6,1)=1,0,IF(WEEKDAY(EE$6,1)=7,EE56*EE57,MAX(0,EE57-8)*EE56)))+((IF(EE56&lt;=0,0,IF(WEEKDAY(EE$6,1)=1,0,IF(WEEKDAY(EE$6,1)=7,0,MIN(8,EE57)*EE56))))-MIN(IF(EE56&lt;=0,0,IF(WEEKDAY(EE$6,1)=1,0,IF(WEEKDAY(EE$6,1)=7,0,MIN(8,EE57)*EE56))),MAX(0,40*MAX(1,EE56)-(0)))))</f>
        <v>0</v>
      </c>
      <c r="EF59" s="64">
        <f>IF(AND(EF56=0,EF57=0),0,IF(EF56&lt;=0,0,IF(WEEKDAY(EF$6,1)=1,0,IF(WEEKDAY(EF$6,1)=7,EF56*EF57,MAX(0,EF57-8)*EF56)))+((IF(EF56&lt;=0,0,IF(WEEKDAY(EF$6,1)=1,0,IF(WEEKDAY(EF$6,1)=7,0,MIN(8,EF57)*EF56))))-MIN(IF(EF56&lt;=0,0,IF(WEEKDAY(EF$6,1)=1,0,IF(WEEKDAY(EF$6,1)=7,0,MIN(8,EF57)*EF56))),MAX(0,40*MAX(1,EF56)-(EE58)))))</f>
        <v>0</v>
      </c>
      <c r="EG59" s="63">
        <f>IF(AND(EG56=2,EG57=8),0,IF(EG56&lt;=0,0,IF(WEEKDAY(EG$6,1)=1,0,IF(WEEKDAY(EG$6,1)=7,EG56*EG57,MAX(0,EG57-8)*EG56)))+((IF(EG56&lt;=0,0,IF(WEEKDAY(EG$6,1)=1,0,IF(WEEKDAY(EG$6,1)=7,0,MIN(8,EG57)*EG56))))-MIN(IF(EG56&lt;=0,0,IF(WEEKDAY(EG$6,1)=1,0,IF(WEEKDAY(EG$6,1)=7,0,MIN(8,EG57)*EG56))),MAX(0,40*MAX(1,EG56)-(0)))))</f>
        <v>0</v>
      </c>
      <c r="EH59" s="63">
        <f>IF(AND(EH56=2,EH57=8),0,IF(EH56&lt;=0,0,IF(WEEKDAY(EH$6,1)=1,0,IF(WEEKDAY(EH$6,1)=7,EH56*EH57,MAX(0,EH57-8)*EH56)))+((IF(EH56&lt;=0,0,IF(WEEKDAY(EH$6,1)=1,0,IF(WEEKDAY(EH$6,1)=7,0,MIN(8,EH57)*EH56))))-MIN(IF(EH56&lt;=0,0,IF(WEEKDAY(EH$6,1)=1,0,IF(WEEKDAY(EH$6,1)=7,0,MIN(8,EH57)*EH56))),MAX(0,40*MAX(1,EH56)-(EG58)))))</f>
        <v>0</v>
      </c>
      <c r="EI59" s="63">
        <f>IF(AND(EI56=2,EI57=8),0,IF(EI56&lt;=0,0,IF(WEEKDAY(EI$6,1)=1,0,IF(WEEKDAY(EI$6,1)=7,EI56*EI57,MAX(0,EI57-8)*EI56)))+((IF(EI56&lt;=0,0,IF(WEEKDAY(EI$6,1)=1,0,IF(WEEKDAY(EI$6,1)=7,0,MIN(8,EI57)*EI56))))-MIN(IF(EI56&lt;=0,0,IF(WEEKDAY(EI$6,1)=1,0,IF(WEEKDAY(EI$6,1)=7,0,MIN(8,EI57)*EI56))),MAX(0,40*MAX(1,EI56)-(EG58+EH58)))))</f>
        <v>0</v>
      </c>
      <c r="EJ59" s="63">
        <f>IF(AND(EJ56=2,EJ57=8),0,IF(EJ56&lt;=0,0,IF(WEEKDAY(EJ$6,1)=1,0,IF(WEEKDAY(EJ$6,1)=7,EJ56*EJ57,MAX(0,EJ57-8)*EJ56)))+((IF(EJ56&lt;=0,0,IF(WEEKDAY(EJ$6,1)=1,0,IF(WEEKDAY(EJ$6,1)=7,0,MIN(8,EJ57)*EJ56))))-MIN(IF(EJ56&lt;=0,0,IF(WEEKDAY(EJ$6,1)=1,0,IF(WEEKDAY(EJ$6,1)=7,0,MIN(8,EJ57)*EJ56))),MAX(0,40*MAX(1,EJ56)-(EG58+EH58+EI58)))))</f>
        <v>0</v>
      </c>
      <c r="EK59" s="65">
        <f>IF(AND(EK56=2,EK57=8),0,IF(EK56&lt;=0,0,IF(WEEKDAY(EK$6,1)=1,0,IF(WEEKDAY(EK$6,1)=7,EK56*EK57,MAX(0,EK57-8)*EK56)))+((IF(EK56&lt;=0,0,IF(WEEKDAY(EK$6,1)=1,0,IF(WEEKDAY(EK$6,1)=7,0,MIN(8,EK57)*EK56))))-MIN(IF(EK56&lt;=0,0,IF(WEEKDAY(EK$6,1)=1,0,IF(WEEKDAY(EK$6,1)=7,0,MIN(8,EK57)*EK56))),MAX(0,40*MAX(1,EK56)-(EG58+EH58+EI58+EJ58)))))</f>
        <v>0</v>
      </c>
      <c r="OU59" s="28" t="s">
        <v>128</v>
      </c>
    </row>
    <row r="60" ht="16" customHeight="1" spans="1:411" x14ac:dyDescent="0.25">
      <c r="A60" s="45"/>
      <c r="B60" s="79"/>
      <c r="C60" s="61">
        <f>H55*N(D60)</f>
        <v>35494.2</v>
      </c>
      <c r="D60" s="61">
        <f>IF(TRIM(IF(TRIM(B59)&lt;&gt;"",B59,B55))="","No rate",IFERROR(INDEX('Rate Tables'!E$7:E$158,MATCH(IF(TRIM(B59)&lt;&gt;"",B59,B55),'Rate Tables'!A$7:A$158,0)),"No rate"))</f>
        <v>197.19</v>
      </c>
      <c r="E60" s="55" t="s">
        <v>64</v>
      </c>
      <c r="F60" s="49"/>
      <c r="G60" s="49"/>
      <c r="H60" s="49"/>
      <c r="I60" s="49"/>
      <c r="J60" s="50"/>
      <c r="K60" s="62">
        <f>IF(AND(K56=1,K57=8),0,IF(K56&lt;=0,0,IF(WEEKDAY(K$6,1)=1,K56*K57,0)))</f>
        <v>0</v>
      </c>
      <c r="L60" s="63">
        <f>IF(AND(L56=1,L57=8),0,IF(L56&lt;=0,0,IF(WEEKDAY(L$6,1)=1,L56*L57,0)))</f>
        <v>0</v>
      </c>
      <c r="M60" s="63">
        <f>IF(AND(M56=1,M57=8),0,IF(M56&lt;=0,0,IF(WEEKDAY(M$6,1)=1,M56*M57,0)))</f>
        <v>0</v>
      </c>
      <c r="N60" s="63">
        <f>IF(AND(N56=1,N57=8),0,IF(N56&lt;=0,0,IF(WEEKDAY(N$6,1)=1,N56*N57,0)))</f>
        <v>0</v>
      </c>
      <c r="O60" s="63">
        <f>IF(AND(O56=1,O57=8),0,IF(O56&lt;=0,0,IF(WEEKDAY(O$6,1)=1,O56*O57,0)))</f>
        <v>0</v>
      </c>
      <c r="P60" s="64">
        <f>IF(AND(P56=0,P57=0),0,IF(P56&lt;=0,0,IF(WEEKDAY(P$6,1)=1,P56*P57,0)))</f>
        <v>0</v>
      </c>
      <c r="Q60" s="64">
        <f>IF(AND(Q56=0,Q57=0),0,IF(Q56&lt;=0,0,IF(WEEKDAY(Q$6,1)=1,Q56*Q57,0)))</f>
        <v>0</v>
      </c>
      <c r="R60" s="63">
        <f>IF(AND(R56=1,R57=8),0,IF(R56&lt;=0,0,IF(WEEKDAY(R$6,1)=1,R56*R57,0)))</f>
        <v>0</v>
      </c>
      <c r="S60" s="63">
        <f>IF(AND(S56=1,S57=8),0,IF(S56&lt;=0,0,IF(WEEKDAY(S$6,1)=1,S56*S57,0)))</f>
        <v>0</v>
      </c>
      <c r="T60" s="63">
        <f>IF(AND(T56=1,T57=8),0,IF(T56&lt;=0,0,IF(WEEKDAY(T$6,1)=1,T56*T57,0)))</f>
        <v>0</v>
      </c>
      <c r="U60" s="63">
        <f>IF(AND(U56=1,U57=8),0,IF(U56&lt;=0,0,IF(WEEKDAY(U$6,1)=1,U56*U57,0)))</f>
        <v>0</v>
      </c>
      <c r="V60" s="63">
        <f>IF(AND(V56=1,V57=8),0,IF(V56&lt;=0,0,IF(WEEKDAY(V$6,1)=1,V56*V57,0)))</f>
        <v>0</v>
      </c>
      <c r="W60" s="64">
        <f>IF(AND(W56=0,W57=0),0,IF(W56&lt;=0,0,IF(WEEKDAY(W$6,1)=1,W56*W57,0)))</f>
        <v>0</v>
      </c>
      <c r="X60" s="64">
        <f>IF(AND(X56=0,X57=0),0,IF(X56&lt;=0,0,IF(WEEKDAY(X$6,1)=1,X56*X57,0)))</f>
        <v>0</v>
      </c>
      <c r="Y60" s="63">
        <f>IF(AND(Y56=1,Y57=8),0,IF(Y56&lt;=0,0,IF(WEEKDAY(Y$6,1)=1,Y56*Y57,0)))</f>
        <v>0</v>
      </c>
      <c r="Z60" s="63">
        <f>IF(AND(Z56=1,Z57=8),0,IF(Z56&lt;=0,0,IF(WEEKDAY(Z$6,1)=1,Z56*Z57,0)))</f>
        <v>0</v>
      </c>
      <c r="AA60" s="63">
        <f>IF(AND(AA56=1,AA57=8),0,IF(AA56&lt;=0,0,IF(WEEKDAY(AA$6,1)=1,AA56*AA57,0)))</f>
        <v>0</v>
      </c>
      <c r="AB60" s="63">
        <f>IF(AND(AB56=1,AB57=8),0,IF(AB56&lt;=0,0,IF(WEEKDAY(AB$6,1)=1,AB56*AB57,0)))</f>
        <v>0</v>
      </c>
      <c r="AC60" s="63">
        <f>IF(AND(AC56=1,AC57=8),0,IF(AC56&lt;=0,0,IF(WEEKDAY(AC$6,1)=1,AC56*AC57,0)))</f>
        <v>0</v>
      </c>
      <c r="AD60" s="64">
        <f>IF(AND(AD56=0,AD57=0),0,IF(AD56&lt;=0,0,IF(WEEKDAY(AD$6,1)=1,AD56*AD57,0)))</f>
        <v>0</v>
      </c>
      <c r="AE60" s="64">
        <f>IF(AND(AE56=0,AE57=0),0,IF(AE56&lt;=0,0,IF(WEEKDAY(AE$6,1)=1,AE56*AE57,0)))</f>
        <v>0</v>
      </c>
      <c r="AF60" s="63">
        <f>IF(AND(AF56=1,AF57=8),0,IF(AF56&lt;=0,0,IF(WEEKDAY(AF$6,1)=1,AF56*AF57,0)))</f>
        <v>0</v>
      </c>
      <c r="AG60" s="63">
        <f>IF(AND(AG56=1,AG57=8),0,IF(AG56&lt;=0,0,IF(WEEKDAY(AG$6,1)=1,AG56*AG57,0)))</f>
        <v>0</v>
      </c>
      <c r="AH60" s="63">
        <f>IF(AND(AH56=1,AH57=8),0,IF(AH56&lt;=0,0,IF(WEEKDAY(AH$6,1)=1,AH56*AH57,0)))</f>
        <v>0</v>
      </c>
      <c r="AI60" s="63">
        <f>IF(AND(AI56=1,AI57=8),0,IF(AI56&lt;=0,0,IF(WEEKDAY(AI$6,1)=1,AI56*AI57,0)))</f>
        <v>0</v>
      </c>
      <c r="AJ60" s="63">
        <f>IF(AND(AJ56=1,AJ57=8),0,IF(AJ56&lt;=0,0,IF(WEEKDAY(AJ$6,1)=1,AJ56*AJ57,0)))</f>
        <v>0</v>
      </c>
      <c r="AK60" s="64">
        <f>IF(AND(AK56=0,AK57=0),0,IF(AK56&lt;=0,0,IF(WEEKDAY(AK$6,1)=1,AK56*AK57,0)))</f>
        <v>0</v>
      </c>
      <c r="AL60" s="64">
        <f>IF(AND(AL56=0,AL57=0),0,IF(AL56&lt;=0,0,IF(WEEKDAY(AL$6,1)=1,AL56*AL57,0)))</f>
        <v>0</v>
      </c>
      <c r="AM60" s="63">
        <f>IF(AND(AM56=1,AM57=8),0,IF(AM56&lt;=0,0,IF(WEEKDAY(AM$6,1)=1,AM56*AM57,0)))</f>
        <v>0</v>
      </c>
      <c r="AN60" s="63">
        <f>IF(AND(AN56=1,AN57=8),0,IF(AN56&lt;=0,0,IF(WEEKDAY(AN$6,1)=1,AN56*AN57,0)))</f>
        <v>0</v>
      </c>
      <c r="AO60" s="63">
        <f>IF(AND(AO56=1,AO57=8),0,IF(AO56&lt;=0,0,IF(WEEKDAY(AO$6,1)=1,AO56*AO57,0)))</f>
        <v>0</v>
      </c>
      <c r="AP60" s="63">
        <f>IF(AND(AP56=1,AP57=8),0,IF(AP56&lt;=0,0,IF(WEEKDAY(AP$6,1)=1,AP56*AP57,0)))</f>
        <v>0</v>
      </c>
      <c r="AQ60" s="63">
        <f>IF(AND(AQ56=1,AQ57=8),0,IF(AQ56&lt;=0,0,IF(WEEKDAY(AQ$6,1)=1,AQ56*AQ57,0)))</f>
        <v>0</v>
      </c>
      <c r="AR60" s="64">
        <f>IF(AND(AR56=0,AR57=0),0,IF(AR56&lt;=0,0,IF(WEEKDAY(AR$6,1)=1,AR56*AR57,0)))</f>
        <v>0</v>
      </c>
      <c r="AS60" s="64">
        <f>IF(AND(AS56=0,AS57=0),0,IF(AS56&lt;=0,0,IF(WEEKDAY(AS$6,1)=1,AS56*AS57,0)))</f>
        <v>0</v>
      </c>
      <c r="AT60" s="63">
        <f>IF(AND(AT56=1,AT57=8),0,IF(AT56&lt;=0,0,IF(WEEKDAY(AT$6,1)=1,AT56*AT57,0)))</f>
        <v>0</v>
      </c>
      <c r="AU60" s="63">
        <f>IF(AND(AU56=1,AU57=8),0,IF(AU56&lt;=0,0,IF(WEEKDAY(AU$6,1)=1,AU56*AU57,0)))</f>
        <v>0</v>
      </c>
      <c r="AV60" s="63">
        <f>IF(AND(AV56=1,AV57=8),0,IF(AV56&lt;=0,0,IF(WEEKDAY(AV$6,1)=1,AV56*AV57,0)))</f>
        <v>0</v>
      </c>
      <c r="AW60" s="63">
        <f>IF(AND(AW56=1,AW57=8),0,IF(AW56&lt;=0,0,IF(WEEKDAY(AW$6,1)=1,AW56*AW57,0)))</f>
        <v>0</v>
      </c>
      <c r="AX60" s="63">
        <f>IF(AND(AX56=1,AX57=8),0,IF(AX56&lt;=0,0,IF(WEEKDAY(AX$6,1)=1,AX56*AX57,0)))</f>
        <v>0</v>
      </c>
      <c r="AY60" s="64">
        <f>IF(AND(AY56=0,AY57=0),0,IF(AY56&lt;=0,0,IF(WEEKDAY(AY$6,1)=1,AY56*AY57,0)))</f>
        <v>0</v>
      </c>
      <c r="AZ60" s="64">
        <f>IF(AND(AZ56=0,AZ57=0),0,IF(AZ56&lt;=0,0,IF(WEEKDAY(AZ$6,1)=1,AZ56*AZ57,0)))</f>
        <v>0</v>
      </c>
      <c r="BA60" s="63">
        <f>IF(AND(BA56=1,BA57=8),0,IF(BA56&lt;=0,0,IF(WEEKDAY(BA$6,1)=1,BA56*BA57,0)))</f>
        <v>0</v>
      </c>
      <c r="BB60" s="63">
        <f>IF(AND(BB56=1,BB57=8),0,IF(BB56&lt;=0,0,IF(WEEKDAY(BB$6,1)=1,BB56*BB57,0)))</f>
        <v>0</v>
      </c>
      <c r="BC60" s="63">
        <f>IF(AND(BC56=1,BC57=8),0,IF(BC56&lt;=0,0,IF(WEEKDAY(BC$6,1)=1,BC56*BC57,0)))</f>
        <v>0</v>
      </c>
      <c r="BD60" s="63">
        <f>IF(AND(BD56=1,BD57=8),0,IF(BD56&lt;=0,0,IF(WEEKDAY(BD$6,1)=1,BD56*BD57,0)))</f>
        <v>0</v>
      </c>
      <c r="BE60" s="63">
        <f>IF(AND(BE56=1,BE57=8),0,IF(BE56&lt;=0,0,IF(WEEKDAY(BE$6,1)=1,BE56*BE57,0)))</f>
        <v>0</v>
      </c>
      <c r="BF60" s="64">
        <f>IF(AND(BF56=0,BF57=0),0,IF(BF56&lt;=0,0,IF(WEEKDAY(BF$6,1)=1,BF56*BF57,0)))</f>
        <v>0</v>
      </c>
      <c r="BG60" s="64">
        <f>IF(AND(BG56=0,BG57=0),0,IF(BG56&lt;=0,0,IF(WEEKDAY(BG$6,1)=1,BG56*BG57,0)))</f>
        <v>0</v>
      </c>
      <c r="BH60" s="63">
        <f>IF(AND(BH56=2,BH57=10),0,IF(BH56&lt;=0,0,IF(WEEKDAY(BH$6,1)=1,BH56*BH57,0)))</f>
        <v>0</v>
      </c>
      <c r="BI60" s="63">
        <f>IF(AND(BI56=2,BI57=10),0,IF(BI56&lt;=0,0,IF(WEEKDAY(BI$6,1)=1,BI56*BI57,0)))</f>
        <v>0</v>
      </c>
      <c r="BJ60" s="63">
        <f>IF(AND(BJ56=2,BJ57=10),0,IF(BJ56&lt;=0,0,IF(WEEKDAY(BJ$6,1)=1,BJ56*BJ57,0)))</f>
        <v>0</v>
      </c>
      <c r="BK60" s="63">
        <f>IF(AND(BK56=2,BK57=10),0,IF(BK56&lt;=0,0,IF(WEEKDAY(BK$6,1)=1,BK56*BK57,0)))</f>
        <v>0</v>
      </c>
      <c r="BL60" s="63">
        <f>IF(AND(BL56=2,BL57=10),0,IF(BL56&lt;=0,0,IF(WEEKDAY(BL$6,1)=1,BL56*BL57,0)))</f>
        <v>0</v>
      </c>
      <c r="BM60" s="64">
        <f>IF(AND(BM56=2,BM57=10),0,IF(BM56&lt;=0,0,IF(WEEKDAY(BM$6,1)=1,BM56*BM57,0)))</f>
        <v>0</v>
      </c>
      <c r="BN60" s="64">
        <f>IF(AND(BN56=2,BN57=10),20,IF(BN56&lt;=0,0,IF(WEEKDAY(BN$6,1)=1,BN56*BN57,0)))</f>
        <v>20</v>
      </c>
      <c r="BO60" s="63">
        <f>IF(AND(BO56=2,BO57=10),0,IF(BO56&lt;=0,0,IF(WEEKDAY(BO$6,1)=1,BO56*BO57,0)))</f>
        <v>0</v>
      </c>
      <c r="BP60" s="63">
        <f>IF(AND(BP56=2,BP57=10),0,IF(BP56&lt;=0,0,IF(WEEKDAY(BP$6,1)=1,BP56*BP57,0)))</f>
        <v>0</v>
      </c>
      <c r="BQ60" s="63">
        <f>IF(AND(BQ56=2,BQ57=10),0,IF(BQ56&lt;=0,0,IF(WEEKDAY(BQ$6,1)=1,BQ56*BQ57,0)))</f>
        <v>0</v>
      </c>
      <c r="BR60" s="63">
        <f>IF(AND(BR56=2,BR57=10),0,IF(BR56&lt;=0,0,IF(WEEKDAY(BR$6,1)=1,BR56*BR57,0)))</f>
        <v>0</v>
      </c>
      <c r="BS60" s="63">
        <f>IF(AND(BS56=2,BS57=10),0,IF(BS56&lt;=0,0,IF(WEEKDAY(BS$6,1)=1,BS56*BS57,0)))</f>
        <v>0</v>
      </c>
      <c r="BT60" s="64">
        <f>IF(AND(BT56=2,BT57=10),0,IF(BT56&lt;=0,0,IF(WEEKDAY(BT$6,1)=1,BT56*BT57,0)))</f>
        <v>0</v>
      </c>
      <c r="BU60" s="64">
        <f>IF(AND(BU56=2,BU57=10),20,IF(BU56&lt;=0,0,IF(WEEKDAY(BU$6,1)=1,BU56*BU57,0)))</f>
        <v>20</v>
      </c>
      <c r="BV60" s="63">
        <f>IF(AND(BV56=2,BV57=10),0,IF(BV56&lt;=0,0,IF(WEEKDAY(BV$6,1)=1,BV56*BV57,0)))</f>
        <v>0</v>
      </c>
      <c r="BW60" s="63">
        <f>IF(AND(BW56=2,BW57=10),0,IF(BW56&lt;=0,0,IF(WEEKDAY(BW$6,1)=1,BW56*BW57,0)))</f>
        <v>0</v>
      </c>
      <c r="BX60" s="63">
        <f>IF(AND(BX56=2,BX57=10),0,IF(BX56&lt;=0,0,IF(WEEKDAY(BX$6,1)=1,BX56*BX57,0)))</f>
        <v>0</v>
      </c>
      <c r="BY60" s="63">
        <f>IF(AND(BY56=2,BY57=10),0,IF(BY56&lt;=0,0,IF(WEEKDAY(BY$6,1)=1,BY56*BY57,0)))</f>
        <v>0</v>
      </c>
      <c r="BZ60" s="63">
        <f>IF(AND(BZ56=2,BZ57=10),0,IF(BZ56&lt;=0,0,IF(WEEKDAY(BZ$6,1)=1,BZ56*BZ57,0)))</f>
        <v>0</v>
      </c>
      <c r="CA60" s="64">
        <f>IF(AND(CA56=2,CA57=10),0,IF(CA56&lt;=0,0,IF(WEEKDAY(CA$6,1)=1,CA56*CA57,0)))</f>
        <v>0</v>
      </c>
      <c r="CB60" s="64">
        <f>IF(AND(CB56=2,CB57=10),20,IF(CB56&lt;=0,0,IF(WEEKDAY(CB$6,1)=1,CB56*CB57,0)))</f>
        <v>20</v>
      </c>
      <c r="CC60" s="63">
        <f>IF(AND(CC56=2,CC57=10),0,IF(CC56&lt;=0,0,IF(WEEKDAY(CC$6,1)=1,CC56*CC57,0)))</f>
        <v>0</v>
      </c>
      <c r="CD60" s="63">
        <f>IF(AND(CD56=2,CD57=10),0,IF(CD56&lt;=0,0,IF(WEEKDAY(CD$6,1)=1,CD56*CD57,0)))</f>
        <v>0</v>
      </c>
      <c r="CE60" s="63">
        <f>IF(AND(CE56=2,CE57=10),0,IF(CE56&lt;=0,0,IF(WEEKDAY(CE$6,1)=1,CE56*CE57,0)))</f>
        <v>0</v>
      </c>
      <c r="CF60" s="63">
        <f>IF(AND(CF56=2,CF57=10),0,IF(CF56&lt;=0,0,IF(WEEKDAY(CF$6,1)=1,CF56*CF57,0)))</f>
        <v>0</v>
      </c>
      <c r="CG60" s="63">
        <f>IF(AND(CG56=2,CG57=10),0,IF(CG56&lt;=0,0,IF(WEEKDAY(CG$6,1)=1,CG56*CG57,0)))</f>
        <v>0</v>
      </c>
      <c r="CH60" s="64">
        <f>IF(AND(CH56=2,CH57=10),0,IF(CH56&lt;=0,0,IF(WEEKDAY(CH$6,1)=1,CH56*CH57,0)))</f>
        <v>0</v>
      </c>
      <c r="CI60" s="64">
        <f>IF(AND(CI56=2,CI57=10),20,IF(CI56&lt;=0,0,IF(WEEKDAY(CI$6,1)=1,CI56*CI57,0)))</f>
        <v>20</v>
      </c>
      <c r="CJ60" s="63">
        <f>IF(AND(CJ56=2,CJ57=10),0,IF(CJ56&lt;=0,0,IF(WEEKDAY(CJ$6,1)=1,CJ56*CJ57,0)))</f>
        <v>0</v>
      </c>
      <c r="CK60" s="63">
        <f>IF(AND(CK56=2,CK57=10),0,IF(CK56&lt;=0,0,IF(WEEKDAY(CK$6,1)=1,CK56*CK57,0)))</f>
        <v>0</v>
      </c>
      <c r="CL60" s="63">
        <f>IF(AND(CL56=2,CL57=10),0,IF(CL56&lt;=0,0,IF(WEEKDAY(CL$6,1)=1,CL56*CL57,0)))</f>
        <v>0</v>
      </c>
      <c r="CM60" s="63">
        <f>IF(AND(CM56=2,CM57=10),0,IF(CM56&lt;=0,0,IF(WEEKDAY(CM$6,1)=1,CM56*CM57,0)))</f>
        <v>0</v>
      </c>
      <c r="CN60" s="63">
        <f>IF(AND(CN56=2,CN57=10),0,IF(CN56&lt;=0,0,IF(WEEKDAY(CN$6,1)=1,CN56*CN57,0)))</f>
        <v>0</v>
      </c>
      <c r="CO60" s="64">
        <f>IF(AND(CO56=2,CO57=10),0,IF(CO56&lt;=0,0,IF(WEEKDAY(CO$6,1)=1,CO56*CO57,0)))</f>
        <v>0</v>
      </c>
      <c r="CP60" s="64">
        <f>IF(AND(CP56=2,CP57=10),20,IF(CP56&lt;=0,0,IF(WEEKDAY(CP$6,1)=1,CP56*CP57,0)))</f>
        <v>20</v>
      </c>
      <c r="CQ60" s="63">
        <f>IF(AND(CQ56=2,CQ57=10),0,IF(CQ56&lt;=0,0,IF(WEEKDAY(CQ$6,1)=1,CQ56*CQ57,0)))</f>
        <v>0</v>
      </c>
      <c r="CR60" s="63">
        <f>IF(AND(CR56=2,CR57=10),0,IF(CR56&lt;=0,0,IF(WEEKDAY(CR$6,1)=1,CR56*CR57,0)))</f>
        <v>0</v>
      </c>
      <c r="CS60" s="63">
        <f>IF(AND(CS56=2,CS57=10),0,IF(CS56&lt;=0,0,IF(WEEKDAY(CS$6,1)=1,CS56*CS57,0)))</f>
        <v>0</v>
      </c>
      <c r="CT60" s="63">
        <f>IF(AND(CT56=2,CT57=10),0,IF(CT56&lt;=0,0,IF(WEEKDAY(CT$6,1)=1,CT56*CT57,0)))</f>
        <v>0</v>
      </c>
      <c r="CU60" s="63">
        <f>IF(AND(CU56=2,CU57=10),0,IF(CU56&lt;=0,0,IF(WEEKDAY(CU$6,1)=1,CU56*CU57,0)))</f>
        <v>0</v>
      </c>
      <c r="CV60" s="64">
        <f>IF(AND(CV56=2,CV57=10),0,IF(CV56&lt;=0,0,IF(WEEKDAY(CV$6,1)=1,CV56*CV57,0)))</f>
        <v>0</v>
      </c>
      <c r="CW60" s="64">
        <f>IF(AND(CW56=2,CW57=10),20,IF(CW56&lt;=0,0,IF(WEEKDAY(CW$6,1)=1,CW56*CW57,0)))</f>
        <v>20</v>
      </c>
      <c r="CX60" s="63">
        <f>IF(AND(CX56=2,CX57=10),0,IF(CX56&lt;=0,0,IF(WEEKDAY(CX$6,1)=1,CX56*CX57,0)))</f>
        <v>0</v>
      </c>
      <c r="CY60" s="63">
        <f>IF(AND(CY56=2,CY57=10),0,IF(CY56&lt;=0,0,IF(WEEKDAY(CY$6,1)=1,CY56*CY57,0)))</f>
        <v>0</v>
      </c>
      <c r="CZ60" s="63">
        <f>IF(AND(CZ56=2,CZ57=10),0,IF(CZ56&lt;=0,0,IF(WEEKDAY(CZ$6,1)=1,CZ56*CZ57,0)))</f>
        <v>0</v>
      </c>
      <c r="DA60" s="63">
        <f>IF(AND(DA56=2,DA57=10),0,IF(DA56&lt;=0,0,IF(WEEKDAY(DA$6,1)=1,DA56*DA57,0)))</f>
        <v>0</v>
      </c>
      <c r="DB60" s="63">
        <f>IF(AND(DB56=2,DB57=10),0,IF(DB56&lt;=0,0,IF(WEEKDAY(DB$6,1)=1,DB56*DB57,0)))</f>
        <v>0</v>
      </c>
      <c r="DC60" s="64">
        <f>IF(AND(DC56=2,DC57=10),0,IF(DC56&lt;=0,0,IF(WEEKDAY(DC$6,1)=1,DC56*DC57,0)))</f>
        <v>0</v>
      </c>
      <c r="DD60" s="64">
        <f>IF(AND(DD56=2,DD57=10),20,IF(DD56&lt;=0,0,IF(WEEKDAY(DD$6,1)=1,DD56*DD57,0)))</f>
        <v>20</v>
      </c>
      <c r="DE60" s="63">
        <f>IF(AND(DE56=2,DE57=10),0,IF(DE56&lt;=0,0,IF(WEEKDAY(DE$6,1)=1,DE56*DE57,0)))</f>
        <v>0</v>
      </c>
      <c r="DF60" s="63">
        <f>IF(AND(DF56=2,DF57=10),0,IF(DF56&lt;=0,0,IF(WEEKDAY(DF$6,1)=1,DF56*DF57,0)))</f>
        <v>0</v>
      </c>
      <c r="DG60" s="63">
        <f>IF(AND(DG56=2,DG57=10),0,IF(DG56&lt;=0,0,IF(WEEKDAY(DG$6,1)=1,DG56*DG57,0)))</f>
        <v>0</v>
      </c>
      <c r="DH60" s="63">
        <f>IF(AND(DH56=2,DH57=10),0,IF(DH56&lt;=0,0,IF(WEEKDAY(DH$6,1)=1,DH56*DH57,0)))</f>
        <v>0</v>
      </c>
      <c r="DI60" s="63">
        <f>IF(AND(DI56=2,DI57=10),0,IF(DI56&lt;=0,0,IF(WEEKDAY(DI$6,1)=1,DI56*DI57,0)))</f>
        <v>0</v>
      </c>
      <c r="DJ60" s="64">
        <f>IF(AND(DJ56=2,DJ57=10),0,IF(DJ56&lt;=0,0,IF(WEEKDAY(DJ$6,1)=1,DJ56*DJ57,0)))</f>
        <v>0</v>
      </c>
      <c r="DK60" s="64">
        <f>IF(AND(DK56=2,DK57=10),20,IF(DK56&lt;=0,0,IF(WEEKDAY(DK$6,1)=1,DK56*DK57,0)))</f>
        <v>20</v>
      </c>
      <c r="DL60" s="63">
        <f>IF(AND(DL56=2,DL57=10),0,IF(DL56&lt;=0,0,IF(WEEKDAY(DL$6,1)=1,DL56*DL57,0)))</f>
        <v>0</v>
      </c>
      <c r="DM60" s="63">
        <f>IF(AND(DM56=2,DM57=10),0,IF(DM56&lt;=0,0,IF(WEEKDAY(DM$6,1)=1,DM56*DM57,0)))</f>
        <v>0</v>
      </c>
      <c r="DN60" s="63">
        <f>IF(AND(DN56=2,DN57=10),0,IF(DN56&lt;=0,0,IF(WEEKDAY(DN$6,1)=1,DN56*DN57,0)))</f>
        <v>0</v>
      </c>
      <c r="DO60" s="63">
        <f>IF(AND(DO56=2,DO57=10),0,IF(DO56&lt;=0,0,IF(WEEKDAY(DO$6,1)=1,DO56*DO57,0)))</f>
        <v>0</v>
      </c>
      <c r="DP60" s="63">
        <f>IF(AND(DP56=2,DP57=10),0,IF(DP56&lt;=0,0,IF(WEEKDAY(DP$6,1)=1,DP56*DP57,0)))</f>
        <v>0</v>
      </c>
      <c r="DQ60" s="64">
        <f>IF(AND(DQ56=2,DQ57=10),0,IF(DQ56&lt;=0,0,IF(WEEKDAY(DQ$6,1)=1,DQ56*DQ57,0)))</f>
        <v>0</v>
      </c>
      <c r="DR60" s="64">
        <f>IF(AND(DR56=2,DR57=10),20,IF(DR56&lt;=0,0,IF(WEEKDAY(DR$6,1)=1,DR56*DR57,0)))</f>
        <v>20</v>
      </c>
      <c r="DS60" s="63">
        <f>IF(AND(DS56=2,DS57=10),0,IF(DS56&lt;=0,0,IF(WEEKDAY(DS$6,1)=1,DS56*DS57,0)))</f>
        <v>0</v>
      </c>
      <c r="DT60" s="63">
        <f>IF(AND(DT56=2,DT57=8),0,IF(DT56&lt;=0,0,IF(WEEKDAY(DT$6,1)=1,DT56*DT57,0)))</f>
        <v>0</v>
      </c>
      <c r="DU60" s="63">
        <f>IF(AND(DU56=2,DU57=8),0,IF(DU56&lt;=0,0,IF(WEEKDAY(DU$6,1)=1,DU56*DU57,0)))</f>
        <v>0</v>
      </c>
      <c r="DV60" s="63">
        <f>IF(AND(DV56=2,DV57=8),0,IF(DV56&lt;=0,0,IF(WEEKDAY(DV$6,1)=1,DV56*DV57,0)))</f>
        <v>0</v>
      </c>
      <c r="DW60" s="63">
        <f>IF(AND(DW56=2,DW57=8),0,IF(DW56&lt;=0,0,IF(WEEKDAY(DW$6,1)=1,DW56*DW57,0)))</f>
        <v>0</v>
      </c>
      <c r="DX60" s="64">
        <f>IF(AND(DX56=0,DX57=0),0,IF(DX56&lt;=0,0,IF(WEEKDAY(DX$6,1)=1,DX56*DX57,0)))</f>
        <v>0</v>
      </c>
      <c r="DY60" s="64">
        <f>IF(AND(DY56=0,DY57=0),0,IF(DY56&lt;=0,0,IF(WEEKDAY(DY$6,1)=1,DY56*DY57,0)))</f>
        <v>0</v>
      </c>
      <c r="DZ60" s="63">
        <f>IF(AND(DZ56=2,DZ57=8),0,IF(DZ56&lt;=0,0,IF(WEEKDAY(DZ$6,1)=1,DZ56*DZ57,0)))</f>
        <v>0</v>
      </c>
      <c r="EA60" s="63">
        <f>IF(AND(EA56=2,EA57=8),0,IF(EA56&lt;=0,0,IF(WEEKDAY(EA$6,1)=1,EA56*EA57,0)))</f>
        <v>0</v>
      </c>
      <c r="EB60" s="63">
        <f>IF(AND(EB56=2,EB57=8),0,IF(EB56&lt;=0,0,IF(WEEKDAY(EB$6,1)=1,EB56*EB57,0)))</f>
        <v>0</v>
      </c>
      <c r="EC60" s="63">
        <f>IF(AND(EC56=2,EC57=8),0,IF(EC56&lt;=0,0,IF(WEEKDAY(EC$6,1)=1,EC56*EC57,0)))</f>
        <v>0</v>
      </c>
      <c r="ED60" s="63">
        <f>IF(AND(ED56=2,ED57=8),0,IF(ED56&lt;=0,0,IF(WEEKDAY(ED$6,1)=1,ED56*ED57,0)))</f>
        <v>0</v>
      </c>
      <c r="EE60" s="64">
        <f>IF(AND(EE56=0,EE57=0),0,IF(EE56&lt;=0,0,IF(WEEKDAY(EE$6,1)=1,EE56*EE57,0)))</f>
        <v>0</v>
      </c>
      <c r="EF60" s="64">
        <f>IF(AND(EF56=0,EF57=0),0,IF(EF56&lt;=0,0,IF(WEEKDAY(EF$6,1)=1,EF56*EF57,0)))</f>
        <v>0</v>
      </c>
      <c r="EG60" s="63">
        <f>IF(AND(EG56=2,EG57=8),0,IF(EG56&lt;=0,0,IF(WEEKDAY(EG$6,1)=1,EG56*EG57,0)))</f>
        <v>0</v>
      </c>
      <c r="EH60" s="63">
        <f>IF(AND(EH56=2,EH57=8),0,IF(EH56&lt;=0,0,IF(WEEKDAY(EH$6,1)=1,EH56*EH57,0)))</f>
        <v>0</v>
      </c>
      <c r="EI60" s="63">
        <f>IF(AND(EI56=2,EI57=8),0,IF(EI56&lt;=0,0,IF(WEEKDAY(EI$6,1)=1,EI56*EI57,0)))</f>
        <v>0</v>
      </c>
      <c r="EJ60" s="63">
        <f>IF(AND(EJ56=2,EJ57=8),0,IF(EJ56&lt;=0,0,IF(WEEKDAY(EJ$6,1)=1,EJ56*EJ57,0)))</f>
        <v>0</v>
      </c>
      <c r="EK60" s="65">
        <f>IF(AND(EK56=2,EK57=8),0,IF(EK56&lt;=0,0,IF(WEEKDAY(EK$6,1)=1,EK56*EK57,0)))</f>
        <v>0</v>
      </c>
      <c r="OU60" s="28" t="s">
        <v>128</v>
      </c>
    </row>
    <row r="61" ht="16" customHeight="1" spans="1:411" x14ac:dyDescent="0.25">
      <c r="A61" s="45"/>
      <c r="B61" s="79"/>
      <c r="C61" s="67">
        <f>I55*D61</f>
        <v>24830</v>
      </c>
      <c r="D61" s="67">
        <v>130</v>
      </c>
      <c r="E61" s="68" t="s">
        <v>65</v>
      </c>
      <c r="F61" s="49"/>
      <c r="G61" s="49"/>
      <c r="H61" s="49"/>
      <c r="I61" s="49"/>
      <c r="J61" s="50"/>
      <c r="K61" s="69">
        <v>1</v>
      </c>
      <c r="L61" s="70">
        <v>1</v>
      </c>
      <c r="M61" s="70">
        <v>1</v>
      </c>
      <c r="N61" s="70">
        <v>1</v>
      </c>
      <c r="O61" s="70">
        <v>1</v>
      </c>
      <c r="P61" s="71">
        <v>0</v>
      </c>
      <c r="Q61" s="71">
        <v>0</v>
      </c>
      <c r="R61" s="70">
        <v>1</v>
      </c>
      <c r="S61" s="70">
        <v>1</v>
      </c>
      <c r="T61" s="70">
        <v>1</v>
      </c>
      <c r="U61" s="70">
        <v>1</v>
      </c>
      <c r="V61" s="70">
        <v>1</v>
      </c>
      <c r="W61" s="71">
        <v>0</v>
      </c>
      <c r="X61" s="71">
        <v>0</v>
      </c>
      <c r="Y61" s="70">
        <v>1</v>
      </c>
      <c r="Z61" s="70">
        <v>1</v>
      </c>
      <c r="AA61" s="70">
        <v>1</v>
      </c>
      <c r="AB61" s="70">
        <v>1</v>
      </c>
      <c r="AC61" s="70">
        <v>1</v>
      </c>
      <c r="AD61" s="71">
        <v>0</v>
      </c>
      <c r="AE61" s="71">
        <v>0</v>
      </c>
      <c r="AF61" s="70">
        <v>1</v>
      </c>
      <c r="AG61" s="70">
        <v>1</v>
      </c>
      <c r="AH61" s="70">
        <v>1</v>
      </c>
      <c r="AI61" s="70">
        <v>1</v>
      </c>
      <c r="AJ61" s="70">
        <v>1</v>
      </c>
      <c r="AK61" s="71">
        <v>0</v>
      </c>
      <c r="AL61" s="71">
        <v>0</v>
      </c>
      <c r="AM61" s="70">
        <v>1</v>
      </c>
      <c r="AN61" s="70">
        <v>1</v>
      </c>
      <c r="AO61" s="70">
        <v>1</v>
      </c>
      <c r="AP61" s="70">
        <v>1</v>
      </c>
      <c r="AQ61" s="70">
        <v>1</v>
      </c>
      <c r="AR61" s="71">
        <v>0</v>
      </c>
      <c r="AS61" s="71">
        <v>0</v>
      </c>
      <c r="AT61" s="70">
        <v>1</v>
      </c>
      <c r="AU61" s="70">
        <v>1</v>
      </c>
      <c r="AV61" s="70">
        <v>1</v>
      </c>
      <c r="AW61" s="70">
        <v>1</v>
      </c>
      <c r="AX61" s="70">
        <v>1</v>
      </c>
      <c r="AY61" s="71">
        <v>0</v>
      </c>
      <c r="AZ61" s="71">
        <v>0</v>
      </c>
      <c r="BA61" s="70">
        <v>1</v>
      </c>
      <c r="BB61" s="70">
        <v>1</v>
      </c>
      <c r="BC61" s="70">
        <v>1</v>
      </c>
      <c r="BD61" s="70">
        <v>1</v>
      </c>
      <c r="BE61" s="70">
        <v>1</v>
      </c>
      <c r="BF61" s="71">
        <v>0</v>
      </c>
      <c r="BG61" s="71">
        <v>0</v>
      </c>
      <c r="BH61" s="70">
        <v>2</v>
      </c>
      <c r="BI61" s="70">
        <v>2</v>
      </c>
      <c r="BJ61" s="70">
        <v>2</v>
      </c>
      <c r="BK61" s="70">
        <v>2</v>
      </c>
      <c r="BL61" s="70">
        <v>2</v>
      </c>
      <c r="BM61" s="71">
        <v>2</v>
      </c>
      <c r="BN61" s="71">
        <v>2</v>
      </c>
      <c r="BO61" s="70">
        <v>2</v>
      </c>
      <c r="BP61" s="70">
        <v>2</v>
      </c>
      <c r="BQ61" s="70">
        <v>2</v>
      </c>
      <c r="BR61" s="70">
        <v>2</v>
      </c>
      <c r="BS61" s="70">
        <v>2</v>
      </c>
      <c r="BT61" s="71">
        <v>2</v>
      </c>
      <c r="BU61" s="71">
        <v>2</v>
      </c>
      <c r="BV61" s="70">
        <v>2</v>
      </c>
      <c r="BW61" s="70">
        <v>2</v>
      </c>
      <c r="BX61" s="70">
        <v>2</v>
      </c>
      <c r="BY61" s="70">
        <v>2</v>
      </c>
      <c r="BZ61" s="70">
        <v>2</v>
      </c>
      <c r="CA61" s="71">
        <v>2</v>
      </c>
      <c r="CB61" s="71">
        <v>2</v>
      </c>
      <c r="CC61" s="70">
        <v>2</v>
      </c>
      <c r="CD61" s="70">
        <v>2</v>
      </c>
      <c r="CE61" s="70">
        <v>2</v>
      </c>
      <c r="CF61" s="70">
        <v>2</v>
      </c>
      <c r="CG61" s="70">
        <v>2</v>
      </c>
      <c r="CH61" s="71">
        <v>2</v>
      </c>
      <c r="CI61" s="71">
        <v>2</v>
      </c>
      <c r="CJ61" s="70">
        <v>2</v>
      </c>
      <c r="CK61" s="70">
        <v>2</v>
      </c>
      <c r="CL61" s="70">
        <v>2</v>
      </c>
      <c r="CM61" s="70">
        <v>2</v>
      </c>
      <c r="CN61" s="70">
        <v>2</v>
      </c>
      <c r="CO61" s="71">
        <v>2</v>
      </c>
      <c r="CP61" s="71">
        <v>2</v>
      </c>
      <c r="CQ61" s="70">
        <v>2</v>
      </c>
      <c r="CR61" s="70">
        <v>2</v>
      </c>
      <c r="CS61" s="70">
        <v>2</v>
      </c>
      <c r="CT61" s="70">
        <v>2</v>
      </c>
      <c r="CU61" s="70">
        <v>2</v>
      </c>
      <c r="CV61" s="71">
        <v>2</v>
      </c>
      <c r="CW61" s="71">
        <v>2</v>
      </c>
      <c r="CX61" s="70">
        <v>2</v>
      </c>
      <c r="CY61" s="70">
        <v>2</v>
      </c>
      <c r="CZ61" s="70">
        <v>2</v>
      </c>
      <c r="DA61" s="70">
        <v>2</v>
      </c>
      <c r="DB61" s="70">
        <v>2</v>
      </c>
      <c r="DC61" s="71">
        <v>2</v>
      </c>
      <c r="DD61" s="71">
        <v>2</v>
      </c>
      <c r="DE61" s="70">
        <v>2</v>
      </c>
      <c r="DF61" s="70">
        <v>2</v>
      </c>
      <c r="DG61" s="70">
        <v>2</v>
      </c>
      <c r="DH61" s="70">
        <v>2</v>
      </c>
      <c r="DI61" s="70">
        <v>2</v>
      </c>
      <c r="DJ61" s="71">
        <v>2</v>
      </c>
      <c r="DK61" s="71">
        <v>2</v>
      </c>
      <c r="DL61" s="70">
        <v>2</v>
      </c>
      <c r="DM61" s="70">
        <v>2</v>
      </c>
      <c r="DN61" s="70">
        <v>2</v>
      </c>
      <c r="DO61" s="70">
        <v>2</v>
      </c>
      <c r="DP61" s="70">
        <v>2</v>
      </c>
      <c r="DQ61" s="71">
        <v>2</v>
      </c>
      <c r="DR61" s="71">
        <v>2</v>
      </c>
      <c r="DS61" s="70">
        <v>2</v>
      </c>
      <c r="DT61" s="70">
        <v>2</v>
      </c>
      <c r="DU61" s="70">
        <v>2</v>
      </c>
      <c r="DV61" s="70">
        <v>2</v>
      </c>
      <c r="DW61" s="70">
        <v>2</v>
      </c>
      <c r="DX61" s="71">
        <v>0</v>
      </c>
      <c r="DY61" s="71">
        <v>0</v>
      </c>
      <c r="DZ61" s="70">
        <v>2</v>
      </c>
      <c r="EA61" s="70">
        <v>2</v>
      </c>
      <c r="EB61" s="70">
        <v>2</v>
      </c>
      <c r="EC61" s="70">
        <v>2</v>
      </c>
      <c r="ED61" s="70">
        <v>2</v>
      </c>
      <c r="EE61" s="71">
        <v>0</v>
      </c>
      <c r="EF61" s="71">
        <v>0</v>
      </c>
      <c r="EG61" s="70">
        <v>2</v>
      </c>
      <c r="EH61" s="70">
        <v>2</v>
      </c>
      <c r="EI61" s="70">
        <v>2</v>
      </c>
      <c r="EJ61" s="70">
        <v>2</v>
      </c>
      <c r="EK61" s="72">
        <v>2</v>
      </c>
      <c r="OU61" s="60" t="s">
        <v>128</v>
      </c>
    </row>
    <row r="62" ht="8" customHeight="1" spans="1:14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  <c r="EK62" s="73"/>
    </row>
    <row r="63" ht="16" customHeight="1" spans="1:411" x14ac:dyDescent="0.25">
      <c r="A63" s="74" t="s">
        <v>70</v>
      </c>
      <c r="B63" s="77" t="s">
        <v>125</v>
      </c>
      <c r="C63" s="47">
        <f>J63</f>
        <v>170873.8</v>
      </c>
      <c r="D63" s="48"/>
      <c r="E63" s="48"/>
      <c r="F63" s="49">
        <f>SUM(K66:EK66)</f>
        <v>736</v>
      </c>
      <c r="G63" s="49">
        <f>SUM(K67:EK67)</f>
        <v>364</v>
      </c>
      <c r="H63" s="49">
        <f>SUM(K68:EK68)</f>
        <v>180</v>
      </c>
      <c r="I63" s="49">
        <f>SUM(K69:EK69)</f>
        <v>118</v>
      </c>
      <c r="J63" s="50">
        <f>C66+C67+C68</f>
        <v>170873.8</v>
      </c>
      <c r="K63" s="51"/>
      <c r="L63" s="52"/>
      <c r="M63" s="52"/>
      <c r="N63" s="52"/>
      <c r="O63" s="52"/>
      <c r="P63" s="53"/>
      <c r="Q63" s="53"/>
      <c r="R63" s="52"/>
      <c r="S63" s="52"/>
      <c r="T63" s="52"/>
      <c r="U63" s="52"/>
      <c r="V63" s="52"/>
      <c r="W63" s="53"/>
      <c r="X63" s="53"/>
      <c r="Y63" s="52"/>
      <c r="Z63" s="52"/>
      <c r="AA63" s="52"/>
      <c r="AB63" s="52"/>
      <c r="AC63" s="52"/>
      <c r="AD63" s="53"/>
      <c r="AE63" s="53"/>
      <c r="AF63" s="52"/>
      <c r="AG63" s="52"/>
      <c r="AH63" s="52"/>
      <c r="AI63" s="52"/>
      <c r="AJ63" s="52"/>
      <c r="AK63" s="53"/>
      <c r="AL63" s="53"/>
      <c r="AM63" s="52"/>
      <c r="AN63" s="52"/>
      <c r="AO63" s="52"/>
      <c r="AP63" s="52"/>
      <c r="AQ63" s="52"/>
      <c r="AR63" s="53"/>
      <c r="AS63" s="53"/>
      <c r="AT63" s="52"/>
      <c r="AU63" s="52"/>
      <c r="AV63" s="52"/>
      <c r="AW63" s="52"/>
      <c r="AX63" s="52"/>
      <c r="AY63" s="53"/>
      <c r="AZ63" s="53"/>
      <c r="BA63" s="52"/>
      <c r="BB63" s="52"/>
      <c r="BC63" s="52"/>
      <c r="BD63" s="52"/>
      <c r="BE63" s="52"/>
      <c r="BF63" s="53"/>
      <c r="BG63" s="53"/>
      <c r="BH63" s="52"/>
      <c r="BI63" s="52"/>
      <c r="BJ63" s="52"/>
      <c r="BK63" s="52"/>
      <c r="BL63" s="52"/>
      <c r="BM63" s="53"/>
      <c r="BN63" s="53"/>
      <c r="BO63" s="52"/>
      <c r="BP63" s="52"/>
      <c r="BQ63" s="52"/>
      <c r="BR63" s="52"/>
      <c r="BS63" s="52"/>
      <c r="BT63" s="53"/>
      <c r="BU63" s="53"/>
      <c r="BV63" s="52"/>
      <c r="BW63" s="52"/>
      <c r="BX63" s="52"/>
      <c r="BY63" s="52"/>
      <c r="BZ63" s="52"/>
      <c r="CA63" s="53"/>
      <c r="CB63" s="53"/>
      <c r="CC63" s="52"/>
      <c r="CD63" s="52"/>
      <c r="CE63" s="52"/>
      <c r="CF63" s="52"/>
      <c r="CG63" s="52"/>
      <c r="CH63" s="53"/>
      <c r="CI63" s="53"/>
      <c r="CJ63" s="52"/>
      <c r="CK63" s="52"/>
      <c r="CL63" s="52"/>
      <c r="CM63" s="52"/>
      <c r="CN63" s="52"/>
      <c r="CO63" s="53"/>
      <c r="CP63" s="53"/>
      <c r="CQ63" s="52"/>
      <c r="CR63" s="52"/>
      <c r="CS63" s="52"/>
      <c r="CT63" s="52"/>
      <c r="CU63" s="52"/>
      <c r="CV63" s="53"/>
      <c r="CW63" s="53"/>
      <c r="CX63" s="52"/>
      <c r="CY63" s="52"/>
      <c r="CZ63" s="52"/>
      <c r="DA63" s="52"/>
      <c r="DB63" s="52"/>
      <c r="DC63" s="53"/>
      <c r="DD63" s="53"/>
      <c r="DE63" s="52"/>
      <c r="DF63" s="52"/>
      <c r="DG63" s="52"/>
      <c r="DH63" s="52"/>
      <c r="DI63" s="52"/>
      <c r="DJ63" s="53"/>
      <c r="DK63" s="53"/>
      <c r="DL63" s="52"/>
      <c r="DM63" s="52"/>
      <c r="DN63" s="52"/>
      <c r="DO63" s="52"/>
      <c r="DP63" s="52"/>
      <c r="DQ63" s="53"/>
      <c r="DR63" s="53"/>
      <c r="DS63" s="52"/>
      <c r="DT63" s="52"/>
      <c r="DU63" s="52"/>
      <c r="DV63" s="52"/>
      <c r="DW63" s="52"/>
      <c r="DX63" s="53"/>
      <c r="DY63" s="53"/>
      <c r="DZ63" s="52"/>
      <c r="EA63" s="52"/>
      <c r="EB63" s="52"/>
      <c r="EC63" s="52"/>
      <c r="ED63" s="52"/>
      <c r="EE63" s="53"/>
      <c r="EF63" s="53"/>
      <c r="EG63" s="52"/>
      <c r="EH63" s="52"/>
      <c r="EI63" s="52"/>
      <c r="EJ63" s="52"/>
      <c r="EK63" s="54"/>
      <c r="OU63" s="28" t="s">
        <v>129</v>
      </c>
    </row>
    <row r="64" ht="16" customHeight="1" spans="1:411" x14ac:dyDescent="0.25">
      <c r="A64" s="74"/>
      <c r="B64" s="77"/>
      <c r="C64" s="47"/>
      <c r="D64" s="48"/>
      <c r="E64" s="55" t="s">
        <v>60</v>
      </c>
      <c r="F64" s="49"/>
      <c r="G64" s="49"/>
      <c r="H64" s="49"/>
      <c r="I64" s="49"/>
      <c r="J64" s="50"/>
      <c r="K64" s="56">
        <v>0</v>
      </c>
      <c r="L64" s="57">
        <v>0</v>
      </c>
      <c r="M64" s="57">
        <v>0</v>
      </c>
      <c r="N64" s="57">
        <v>0</v>
      </c>
      <c r="O64" s="57">
        <v>0</v>
      </c>
      <c r="P64" s="58">
        <v>0</v>
      </c>
      <c r="Q64" s="58">
        <v>0</v>
      </c>
      <c r="R64" s="57">
        <v>0</v>
      </c>
      <c r="S64" s="57">
        <v>0</v>
      </c>
      <c r="T64" s="57">
        <v>0</v>
      </c>
      <c r="U64" s="57">
        <v>0</v>
      </c>
      <c r="V64" s="57">
        <v>0</v>
      </c>
      <c r="W64" s="58">
        <v>0</v>
      </c>
      <c r="X64" s="58">
        <v>0</v>
      </c>
      <c r="Y64" s="57">
        <v>0</v>
      </c>
      <c r="Z64" s="57">
        <v>0</v>
      </c>
      <c r="AA64" s="57">
        <v>0</v>
      </c>
      <c r="AB64" s="57">
        <v>0</v>
      </c>
      <c r="AC64" s="57">
        <v>0</v>
      </c>
      <c r="AD64" s="58">
        <v>0</v>
      </c>
      <c r="AE64" s="58">
        <v>0</v>
      </c>
      <c r="AF64" s="57">
        <v>0</v>
      </c>
      <c r="AG64" s="57">
        <v>0</v>
      </c>
      <c r="AH64" s="57">
        <v>0</v>
      </c>
      <c r="AI64" s="57">
        <v>0</v>
      </c>
      <c r="AJ64" s="57">
        <v>0</v>
      </c>
      <c r="AK64" s="58">
        <v>0</v>
      </c>
      <c r="AL64" s="58">
        <v>0</v>
      </c>
      <c r="AM64" s="57">
        <v>0</v>
      </c>
      <c r="AN64" s="57">
        <v>0</v>
      </c>
      <c r="AO64" s="57">
        <v>0</v>
      </c>
      <c r="AP64" s="57">
        <v>0</v>
      </c>
      <c r="AQ64" s="57">
        <v>0</v>
      </c>
      <c r="AR64" s="58">
        <v>0</v>
      </c>
      <c r="AS64" s="58">
        <v>0</v>
      </c>
      <c r="AT64" s="57">
        <v>0</v>
      </c>
      <c r="AU64" s="57">
        <v>0</v>
      </c>
      <c r="AV64" s="57">
        <v>0</v>
      </c>
      <c r="AW64" s="57">
        <v>0</v>
      </c>
      <c r="AX64" s="57">
        <v>0</v>
      </c>
      <c r="AY64" s="58">
        <v>0</v>
      </c>
      <c r="AZ64" s="58">
        <v>0</v>
      </c>
      <c r="BA64" s="57">
        <v>0</v>
      </c>
      <c r="BB64" s="57">
        <v>0</v>
      </c>
      <c r="BC64" s="57">
        <v>0</v>
      </c>
      <c r="BD64" s="57">
        <v>0</v>
      </c>
      <c r="BE64" s="57">
        <v>0</v>
      </c>
      <c r="BF64" s="58">
        <v>0</v>
      </c>
      <c r="BG64" s="58">
        <v>0</v>
      </c>
      <c r="BH64" s="57">
        <v>2</v>
      </c>
      <c r="BI64" s="57">
        <v>2</v>
      </c>
      <c r="BJ64" s="57">
        <v>2</v>
      </c>
      <c r="BK64" s="57">
        <v>2</v>
      </c>
      <c r="BL64" s="57">
        <v>2</v>
      </c>
      <c r="BM64" s="58">
        <v>2</v>
      </c>
      <c r="BN64" s="58">
        <v>2</v>
      </c>
      <c r="BO64" s="57">
        <v>2</v>
      </c>
      <c r="BP64" s="57">
        <v>2</v>
      </c>
      <c r="BQ64" s="57">
        <v>2</v>
      </c>
      <c r="BR64" s="57">
        <v>2</v>
      </c>
      <c r="BS64" s="57">
        <v>2</v>
      </c>
      <c r="BT64" s="58">
        <v>2</v>
      </c>
      <c r="BU64" s="58">
        <v>2</v>
      </c>
      <c r="BV64" s="57">
        <v>2</v>
      </c>
      <c r="BW64" s="57">
        <v>2</v>
      </c>
      <c r="BX64" s="57">
        <v>2</v>
      </c>
      <c r="BY64" s="57">
        <v>2</v>
      </c>
      <c r="BZ64" s="57">
        <v>2</v>
      </c>
      <c r="CA64" s="58">
        <v>2</v>
      </c>
      <c r="CB64" s="58">
        <v>2</v>
      </c>
      <c r="CC64" s="57">
        <v>2</v>
      </c>
      <c r="CD64" s="57">
        <v>2</v>
      </c>
      <c r="CE64" s="57">
        <v>2</v>
      </c>
      <c r="CF64" s="57">
        <v>2</v>
      </c>
      <c r="CG64" s="57">
        <v>2</v>
      </c>
      <c r="CH64" s="58">
        <v>2</v>
      </c>
      <c r="CI64" s="58">
        <v>2</v>
      </c>
      <c r="CJ64" s="57">
        <v>2</v>
      </c>
      <c r="CK64" s="57">
        <v>2</v>
      </c>
      <c r="CL64" s="57">
        <v>2</v>
      </c>
      <c r="CM64" s="57">
        <v>2</v>
      </c>
      <c r="CN64" s="57">
        <v>2</v>
      </c>
      <c r="CO64" s="58">
        <v>2</v>
      </c>
      <c r="CP64" s="58">
        <v>2</v>
      </c>
      <c r="CQ64" s="57">
        <v>2</v>
      </c>
      <c r="CR64" s="57">
        <v>2</v>
      </c>
      <c r="CS64" s="57">
        <v>2</v>
      </c>
      <c r="CT64" s="57">
        <v>2</v>
      </c>
      <c r="CU64" s="57">
        <v>2</v>
      </c>
      <c r="CV64" s="58">
        <v>2</v>
      </c>
      <c r="CW64" s="58">
        <v>2</v>
      </c>
      <c r="CX64" s="57">
        <v>2</v>
      </c>
      <c r="CY64" s="57">
        <v>2</v>
      </c>
      <c r="CZ64" s="57">
        <v>2</v>
      </c>
      <c r="DA64" s="57">
        <v>2</v>
      </c>
      <c r="DB64" s="57">
        <v>2</v>
      </c>
      <c r="DC64" s="58">
        <v>2</v>
      </c>
      <c r="DD64" s="58">
        <v>2</v>
      </c>
      <c r="DE64" s="57">
        <v>2</v>
      </c>
      <c r="DF64" s="57">
        <v>2</v>
      </c>
      <c r="DG64" s="57">
        <v>2</v>
      </c>
      <c r="DH64" s="57">
        <v>2</v>
      </c>
      <c r="DI64" s="57">
        <v>2</v>
      </c>
      <c r="DJ64" s="58">
        <v>2</v>
      </c>
      <c r="DK64" s="58">
        <v>2</v>
      </c>
      <c r="DL64" s="57">
        <v>2</v>
      </c>
      <c r="DM64" s="57">
        <v>2</v>
      </c>
      <c r="DN64" s="57">
        <v>2</v>
      </c>
      <c r="DO64" s="57">
        <v>2</v>
      </c>
      <c r="DP64" s="57">
        <v>2</v>
      </c>
      <c r="DQ64" s="58">
        <v>2</v>
      </c>
      <c r="DR64" s="58">
        <v>2</v>
      </c>
      <c r="DS64" s="57">
        <v>2</v>
      </c>
      <c r="DT64" s="57">
        <v>0</v>
      </c>
      <c r="DU64" s="57">
        <v>0</v>
      </c>
      <c r="DV64" s="57">
        <v>0</v>
      </c>
      <c r="DW64" s="57">
        <v>0</v>
      </c>
      <c r="DX64" s="58">
        <v>0</v>
      </c>
      <c r="DY64" s="58">
        <v>0</v>
      </c>
      <c r="DZ64" s="57">
        <v>0</v>
      </c>
      <c r="EA64" s="57">
        <v>0</v>
      </c>
      <c r="EB64" s="57">
        <v>0</v>
      </c>
      <c r="EC64" s="57">
        <v>0</v>
      </c>
      <c r="ED64" s="57">
        <v>0</v>
      </c>
      <c r="EE64" s="58">
        <v>0</v>
      </c>
      <c r="EF64" s="58">
        <v>0</v>
      </c>
      <c r="EG64" s="57">
        <v>0</v>
      </c>
      <c r="EH64" s="57">
        <v>0</v>
      </c>
      <c r="EI64" s="57">
        <v>0</v>
      </c>
      <c r="EJ64" s="57">
        <v>0</v>
      </c>
      <c r="EK64" s="59">
        <v>0</v>
      </c>
      <c r="OU64" s="60" t="s">
        <v>129</v>
      </c>
    </row>
    <row r="65" ht="16" customHeight="1" spans="1:411" x14ac:dyDescent="0.25">
      <c r="A65" s="74"/>
      <c r="B65" s="77"/>
      <c r="C65" s="47"/>
      <c r="D65" s="48"/>
      <c r="E65" s="55" t="s">
        <v>61</v>
      </c>
      <c r="F65" s="49"/>
      <c r="G65" s="49"/>
      <c r="H65" s="49"/>
      <c r="I65" s="49"/>
      <c r="J65" s="50"/>
      <c r="K65" s="56">
        <v>0</v>
      </c>
      <c r="L65" s="57">
        <v>0</v>
      </c>
      <c r="M65" s="57">
        <v>0</v>
      </c>
      <c r="N65" s="57">
        <v>0</v>
      </c>
      <c r="O65" s="57">
        <v>0</v>
      </c>
      <c r="P65" s="58">
        <v>0</v>
      </c>
      <c r="Q65" s="58">
        <v>0</v>
      </c>
      <c r="R65" s="57">
        <v>0</v>
      </c>
      <c r="S65" s="57">
        <v>0</v>
      </c>
      <c r="T65" s="57">
        <v>0</v>
      </c>
      <c r="U65" s="57">
        <v>0</v>
      </c>
      <c r="V65" s="57">
        <v>0</v>
      </c>
      <c r="W65" s="58">
        <v>0</v>
      </c>
      <c r="X65" s="58">
        <v>0</v>
      </c>
      <c r="Y65" s="57">
        <v>0</v>
      </c>
      <c r="Z65" s="57">
        <v>0</v>
      </c>
      <c r="AA65" s="57">
        <v>0</v>
      </c>
      <c r="AB65" s="57">
        <v>0</v>
      </c>
      <c r="AC65" s="57">
        <v>0</v>
      </c>
      <c r="AD65" s="58">
        <v>0</v>
      </c>
      <c r="AE65" s="58">
        <v>0</v>
      </c>
      <c r="AF65" s="57">
        <v>0</v>
      </c>
      <c r="AG65" s="57">
        <v>0</v>
      </c>
      <c r="AH65" s="57">
        <v>0</v>
      </c>
      <c r="AI65" s="57">
        <v>0</v>
      </c>
      <c r="AJ65" s="57">
        <v>0</v>
      </c>
      <c r="AK65" s="58">
        <v>0</v>
      </c>
      <c r="AL65" s="58">
        <v>0</v>
      </c>
      <c r="AM65" s="57">
        <v>0</v>
      </c>
      <c r="AN65" s="57">
        <v>0</v>
      </c>
      <c r="AO65" s="57">
        <v>0</v>
      </c>
      <c r="AP65" s="57">
        <v>0</v>
      </c>
      <c r="AQ65" s="57">
        <v>0</v>
      </c>
      <c r="AR65" s="58">
        <v>0</v>
      </c>
      <c r="AS65" s="58">
        <v>0</v>
      </c>
      <c r="AT65" s="57">
        <v>0</v>
      </c>
      <c r="AU65" s="57">
        <v>0</v>
      </c>
      <c r="AV65" s="57">
        <v>0</v>
      </c>
      <c r="AW65" s="57">
        <v>0</v>
      </c>
      <c r="AX65" s="57">
        <v>0</v>
      </c>
      <c r="AY65" s="58">
        <v>0</v>
      </c>
      <c r="AZ65" s="58">
        <v>0</v>
      </c>
      <c r="BA65" s="57">
        <v>0</v>
      </c>
      <c r="BB65" s="57">
        <v>0</v>
      </c>
      <c r="BC65" s="57">
        <v>0</v>
      </c>
      <c r="BD65" s="57">
        <v>0</v>
      </c>
      <c r="BE65" s="57">
        <v>0</v>
      </c>
      <c r="BF65" s="58">
        <v>0</v>
      </c>
      <c r="BG65" s="58">
        <v>0</v>
      </c>
      <c r="BH65" s="57">
        <v>10</v>
      </c>
      <c r="BI65" s="57">
        <v>10</v>
      </c>
      <c r="BJ65" s="57">
        <v>10</v>
      </c>
      <c r="BK65" s="57">
        <v>10</v>
      </c>
      <c r="BL65" s="57">
        <v>10</v>
      </c>
      <c r="BM65" s="58">
        <v>10</v>
      </c>
      <c r="BN65" s="58">
        <v>10</v>
      </c>
      <c r="BO65" s="57">
        <v>10</v>
      </c>
      <c r="BP65" s="57">
        <v>10</v>
      </c>
      <c r="BQ65" s="57">
        <v>10</v>
      </c>
      <c r="BR65" s="57">
        <v>10</v>
      </c>
      <c r="BS65" s="57">
        <v>10</v>
      </c>
      <c r="BT65" s="58">
        <v>10</v>
      </c>
      <c r="BU65" s="58">
        <v>10</v>
      </c>
      <c r="BV65" s="57">
        <v>10</v>
      </c>
      <c r="BW65" s="57">
        <v>10</v>
      </c>
      <c r="BX65" s="57">
        <v>10</v>
      </c>
      <c r="BY65" s="57">
        <v>10</v>
      </c>
      <c r="BZ65" s="57">
        <v>10</v>
      </c>
      <c r="CA65" s="58">
        <v>10</v>
      </c>
      <c r="CB65" s="58">
        <v>10</v>
      </c>
      <c r="CC65" s="57">
        <v>10</v>
      </c>
      <c r="CD65" s="57">
        <v>10</v>
      </c>
      <c r="CE65" s="57">
        <v>10</v>
      </c>
      <c r="CF65" s="57">
        <v>10</v>
      </c>
      <c r="CG65" s="57">
        <v>10</v>
      </c>
      <c r="CH65" s="58">
        <v>10</v>
      </c>
      <c r="CI65" s="58">
        <v>10</v>
      </c>
      <c r="CJ65" s="57">
        <v>10</v>
      </c>
      <c r="CK65" s="57">
        <v>10</v>
      </c>
      <c r="CL65" s="57">
        <v>10</v>
      </c>
      <c r="CM65" s="57">
        <v>10</v>
      </c>
      <c r="CN65" s="57">
        <v>10</v>
      </c>
      <c r="CO65" s="58">
        <v>10</v>
      </c>
      <c r="CP65" s="58">
        <v>10</v>
      </c>
      <c r="CQ65" s="57">
        <v>10</v>
      </c>
      <c r="CR65" s="57">
        <v>10</v>
      </c>
      <c r="CS65" s="57">
        <v>10</v>
      </c>
      <c r="CT65" s="57">
        <v>10</v>
      </c>
      <c r="CU65" s="57">
        <v>10</v>
      </c>
      <c r="CV65" s="58">
        <v>10</v>
      </c>
      <c r="CW65" s="58">
        <v>10</v>
      </c>
      <c r="CX65" s="57">
        <v>10</v>
      </c>
      <c r="CY65" s="57">
        <v>10</v>
      </c>
      <c r="CZ65" s="57">
        <v>10</v>
      </c>
      <c r="DA65" s="57">
        <v>10</v>
      </c>
      <c r="DB65" s="57">
        <v>10</v>
      </c>
      <c r="DC65" s="58">
        <v>10</v>
      </c>
      <c r="DD65" s="58">
        <v>10</v>
      </c>
      <c r="DE65" s="57">
        <v>10</v>
      </c>
      <c r="DF65" s="57">
        <v>10</v>
      </c>
      <c r="DG65" s="57">
        <v>10</v>
      </c>
      <c r="DH65" s="57">
        <v>10</v>
      </c>
      <c r="DI65" s="57">
        <v>10</v>
      </c>
      <c r="DJ65" s="58">
        <v>10</v>
      </c>
      <c r="DK65" s="58">
        <v>10</v>
      </c>
      <c r="DL65" s="57">
        <v>10</v>
      </c>
      <c r="DM65" s="57">
        <v>10</v>
      </c>
      <c r="DN65" s="57">
        <v>10</v>
      </c>
      <c r="DO65" s="57">
        <v>10</v>
      </c>
      <c r="DP65" s="57">
        <v>10</v>
      </c>
      <c r="DQ65" s="58">
        <v>10</v>
      </c>
      <c r="DR65" s="58">
        <v>10</v>
      </c>
      <c r="DS65" s="57">
        <v>10</v>
      </c>
      <c r="DT65" s="57">
        <v>0</v>
      </c>
      <c r="DU65" s="57">
        <v>0</v>
      </c>
      <c r="DV65" s="57">
        <v>0</v>
      </c>
      <c r="DW65" s="57">
        <v>0</v>
      </c>
      <c r="DX65" s="58">
        <v>0</v>
      </c>
      <c r="DY65" s="58">
        <v>0</v>
      </c>
      <c r="DZ65" s="57">
        <v>0</v>
      </c>
      <c r="EA65" s="57">
        <v>0</v>
      </c>
      <c r="EB65" s="57">
        <v>0</v>
      </c>
      <c r="EC65" s="57">
        <v>0</v>
      </c>
      <c r="ED65" s="57">
        <v>0</v>
      </c>
      <c r="EE65" s="58">
        <v>0</v>
      </c>
      <c r="EF65" s="58">
        <v>0</v>
      </c>
      <c r="EG65" s="57">
        <v>0</v>
      </c>
      <c r="EH65" s="57">
        <v>0</v>
      </c>
      <c r="EI65" s="57">
        <v>0</v>
      </c>
      <c r="EJ65" s="57">
        <v>0</v>
      </c>
      <c r="EK65" s="59">
        <v>0</v>
      </c>
      <c r="OU65" s="60" t="s">
        <v>129</v>
      </c>
    </row>
    <row r="66" ht="16" customHeight="1" spans="1:411" x14ac:dyDescent="0.25">
      <c r="A66" s="74"/>
      <c r="B66" s="78" t="s">
        <v>119</v>
      </c>
      <c r="C66" s="61">
        <f>F63*N(D66)</f>
        <v>79767.68</v>
      </c>
      <c r="D66" s="61">
        <f>IF(TRIM(IF(TRIM(B67)&lt;&gt;"",B67,B63))="","No rate",IFERROR(INDEX('Rate Tables'!C$7:C$158,MATCH(IF(TRIM(B67)&lt;&gt;"",B67,B63),'Rate Tables'!A$7:A$158,0)),"No rate"))</f>
        <v>108.38</v>
      </c>
      <c r="E66" s="55" t="s">
        <v>62</v>
      </c>
      <c r="F66" s="49"/>
      <c r="G66" s="49"/>
      <c r="H66" s="49"/>
      <c r="I66" s="49"/>
      <c r="J66" s="50"/>
      <c r="K66" s="62">
        <f>IF(AND(K64=0,K65=0),0,MIN(IF(K64&lt;=0,0,IF(WEEKDAY(K$6,1)=1,0,IF(WEEKDAY(K$6,1)=7,0,MIN(8,K65)*K64))),MAX(0,40*MAX(1,K64)-(0))))</f>
        <v>0</v>
      </c>
      <c r="L66" s="63">
        <f>IF(AND(L64=0,L65=0),0,MIN(IF(L64&lt;=0,0,IF(WEEKDAY(L$6,1)=1,0,IF(WEEKDAY(L$6,1)=7,0,MIN(8,L65)*L64))),MAX(0,40*MAX(1,L64)-(K66))))</f>
        <v>0</v>
      </c>
      <c r="M66" s="63">
        <f>IF(AND(M64=0,M65=0),0,MIN(IF(M64&lt;=0,0,IF(WEEKDAY(M$6,1)=1,0,IF(WEEKDAY(M$6,1)=7,0,MIN(8,M65)*M64))),MAX(0,40*MAX(1,M64)-(K66+L66))))</f>
        <v>0</v>
      </c>
      <c r="N66" s="63">
        <f>IF(AND(N64=0,N65=0),0,MIN(IF(N64&lt;=0,0,IF(WEEKDAY(N$6,1)=1,0,IF(WEEKDAY(N$6,1)=7,0,MIN(8,N65)*N64))),MAX(0,40*MAX(1,N64)-(K66+L66+M66))))</f>
        <v>0</v>
      </c>
      <c r="O66" s="63">
        <f>IF(AND(O64=0,O65=0),0,MIN(IF(O64&lt;=0,0,IF(WEEKDAY(O$6,1)=1,0,IF(WEEKDAY(O$6,1)=7,0,MIN(8,O65)*O64))),MAX(0,40*MAX(1,O64)-(K66+L66+M66+N66))))</f>
        <v>0</v>
      </c>
      <c r="P66" s="64">
        <f>IF(AND(P64=0,P65=0),0,MIN(IF(P64&lt;=0,0,IF(WEEKDAY(P$6,1)=1,0,IF(WEEKDAY(P$6,1)=7,0,MIN(8,P65)*P64))),MAX(0,40*MAX(1,P64)-(K66+L66+M66+N66+O66))))</f>
        <v>0</v>
      </c>
      <c r="Q66" s="64">
        <f>IF(AND(Q64=0,Q65=0),0,MIN(IF(Q64&lt;=0,0,IF(WEEKDAY(Q$6,1)=1,0,IF(WEEKDAY(Q$6,1)=7,0,MIN(8,Q65)*Q64))),MAX(0,40*MAX(1,Q64)-(K66+L66+M66+N66+O66+P66))))</f>
        <v>0</v>
      </c>
      <c r="R66" s="63">
        <f>IF(AND(R64=0,R65=0),0,MIN(IF(R64&lt;=0,0,IF(WEEKDAY(R$6,1)=1,0,IF(WEEKDAY(R$6,1)=7,0,MIN(8,R65)*R64))),MAX(0,40*MAX(1,R64)-(0))))</f>
        <v>0</v>
      </c>
      <c r="S66" s="63">
        <f>IF(AND(S64=0,S65=0),0,MIN(IF(S64&lt;=0,0,IF(WEEKDAY(S$6,1)=1,0,IF(WEEKDAY(S$6,1)=7,0,MIN(8,S65)*S64))),MAX(0,40*MAX(1,S64)-(R66))))</f>
        <v>0</v>
      </c>
      <c r="T66" s="63">
        <f>IF(AND(T64=0,T65=0),0,MIN(IF(T64&lt;=0,0,IF(WEEKDAY(T$6,1)=1,0,IF(WEEKDAY(T$6,1)=7,0,MIN(8,T65)*T64))),MAX(0,40*MAX(1,T64)-(R66+S66))))</f>
        <v>0</v>
      </c>
      <c r="U66" s="63">
        <f>IF(AND(U64=0,U65=0),0,MIN(IF(U64&lt;=0,0,IF(WEEKDAY(U$6,1)=1,0,IF(WEEKDAY(U$6,1)=7,0,MIN(8,U65)*U64))),MAX(0,40*MAX(1,U64)-(R66+S66+T66))))</f>
        <v>0</v>
      </c>
      <c r="V66" s="63">
        <f>IF(AND(V64=0,V65=0),0,MIN(IF(V64&lt;=0,0,IF(WEEKDAY(V$6,1)=1,0,IF(WEEKDAY(V$6,1)=7,0,MIN(8,V65)*V64))),MAX(0,40*MAX(1,V64)-(R66+S66+T66+U66))))</f>
        <v>0</v>
      </c>
      <c r="W66" s="64">
        <f>IF(AND(W64=0,W65=0),0,MIN(IF(W64&lt;=0,0,IF(WEEKDAY(W$6,1)=1,0,IF(WEEKDAY(W$6,1)=7,0,MIN(8,W65)*W64))),MAX(0,40*MAX(1,W64)-(R66+S66+T66+U66+V66))))</f>
        <v>0</v>
      </c>
      <c r="X66" s="64">
        <f>IF(AND(X64=0,X65=0),0,MIN(IF(X64&lt;=0,0,IF(WEEKDAY(X$6,1)=1,0,IF(WEEKDAY(X$6,1)=7,0,MIN(8,X65)*X64))),MAX(0,40*MAX(1,X64)-(R66+S66+T66+U66+V66+W66))))</f>
        <v>0</v>
      </c>
      <c r="Y66" s="63">
        <f>IF(AND(Y64=0,Y65=0),0,MIN(IF(Y64&lt;=0,0,IF(WEEKDAY(Y$6,1)=1,0,IF(WEEKDAY(Y$6,1)=7,0,MIN(8,Y65)*Y64))),MAX(0,40*MAX(1,Y64)-(0))))</f>
        <v>0</v>
      </c>
      <c r="Z66" s="63">
        <f>IF(AND(Z64=0,Z65=0),0,MIN(IF(Z64&lt;=0,0,IF(WEEKDAY(Z$6,1)=1,0,IF(WEEKDAY(Z$6,1)=7,0,MIN(8,Z65)*Z64))),MAX(0,40*MAX(1,Z64)-(Y66))))</f>
        <v>0</v>
      </c>
      <c r="AA66" s="63">
        <f>IF(AND(AA64=0,AA65=0),0,MIN(IF(AA64&lt;=0,0,IF(WEEKDAY(AA$6,1)=1,0,IF(WEEKDAY(AA$6,1)=7,0,MIN(8,AA65)*AA64))),MAX(0,40*MAX(1,AA64)-(Y66+Z66))))</f>
        <v>0</v>
      </c>
      <c r="AB66" s="63">
        <f>IF(AND(AB64=0,AB65=0),0,MIN(IF(AB64&lt;=0,0,IF(WEEKDAY(AB$6,1)=1,0,IF(WEEKDAY(AB$6,1)=7,0,MIN(8,AB65)*AB64))),MAX(0,40*MAX(1,AB64)-(Y66+Z66+AA66))))</f>
        <v>0</v>
      </c>
      <c r="AC66" s="63">
        <f>IF(AND(AC64=0,AC65=0),0,MIN(IF(AC64&lt;=0,0,IF(WEEKDAY(AC$6,1)=1,0,IF(WEEKDAY(AC$6,1)=7,0,MIN(8,AC65)*AC64))),MAX(0,40*MAX(1,AC64)-(Y66+Z66+AA66+AB66))))</f>
        <v>0</v>
      </c>
      <c r="AD66" s="64">
        <f>IF(AND(AD64=0,AD65=0),0,MIN(IF(AD64&lt;=0,0,IF(WEEKDAY(AD$6,1)=1,0,IF(WEEKDAY(AD$6,1)=7,0,MIN(8,AD65)*AD64))),MAX(0,40*MAX(1,AD64)-(Y66+Z66+AA66+AB66+AC66))))</f>
        <v>0</v>
      </c>
      <c r="AE66" s="64">
        <f>IF(AND(AE64=0,AE65=0),0,MIN(IF(AE64&lt;=0,0,IF(WEEKDAY(AE$6,1)=1,0,IF(WEEKDAY(AE$6,1)=7,0,MIN(8,AE65)*AE64))),MAX(0,40*MAX(1,AE64)-(Y66+Z66+AA66+AB66+AC66+AD66))))</f>
        <v>0</v>
      </c>
      <c r="AF66" s="63">
        <f>IF(AND(AF64=0,AF65=0),0,MIN(IF(AF64&lt;=0,0,IF(WEEKDAY(AF$6,1)=1,0,IF(WEEKDAY(AF$6,1)=7,0,MIN(8,AF65)*AF64))),MAX(0,40*MAX(1,AF64)-(0))))</f>
        <v>0</v>
      </c>
      <c r="AG66" s="63">
        <f>IF(AND(AG64=0,AG65=0),0,MIN(IF(AG64&lt;=0,0,IF(WEEKDAY(AG$6,1)=1,0,IF(WEEKDAY(AG$6,1)=7,0,MIN(8,AG65)*AG64))),MAX(0,40*MAX(1,AG64)-(AF66))))</f>
        <v>0</v>
      </c>
      <c r="AH66" s="63">
        <f>IF(AND(AH64=0,AH65=0),0,MIN(IF(AH64&lt;=0,0,IF(WEEKDAY(AH$6,1)=1,0,IF(WEEKDAY(AH$6,1)=7,0,MIN(8,AH65)*AH64))),MAX(0,40*MAX(1,AH64)-(AF66+AG66))))</f>
        <v>0</v>
      </c>
      <c r="AI66" s="63">
        <f>IF(AND(AI64=0,AI65=0),0,MIN(IF(AI64&lt;=0,0,IF(WEEKDAY(AI$6,1)=1,0,IF(WEEKDAY(AI$6,1)=7,0,MIN(8,AI65)*AI64))),MAX(0,40*MAX(1,AI64)-(AF66+AG66+AH66))))</f>
        <v>0</v>
      </c>
      <c r="AJ66" s="63">
        <f>IF(AND(AJ64=0,AJ65=0),0,MIN(IF(AJ64&lt;=0,0,IF(WEEKDAY(AJ$6,1)=1,0,IF(WEEKDAY(AJ$6,1)=7,0,MIN(8,AJ65)*AJ64))),MAX(0,40*MAX(1,AJ64)-(AF66+AG66+AH66+AI66))))</f>
        <v>0</v>
      </c>
      <c r="AK66" s="64">
        <f>IF(AND(AK64=0,AK65=0),0,MIN(IF(AK64&lt;=0,0,IF(WEEKDAY(AK$6,1)=1,0,IF(WEEKDAY(AK$6,1)=7,0,MIN(8,AK65)*AK64))),MAX(0,40*MAX(1,AK64)-(AF66+AG66+AH66+AI66+AJ66))))</f>
        <v>0</v>
      </c>
      <c r="AL66" s="64">
        <f>IF(AND(AL64=0,AL65=0),0,MIN(IF(AL64&lt;=0,0,IF(WEEKDAY(AL$6,1)=1,0,IF(WEEKDAY(AL$6,1)=7,0,MIN(8,AL65)*AL64))),MAX(0,40*MAX(1,AL64)-(AF66+AG66+AH66+AI66+AJ66+AK66))))</f>
        <v>0</v>
      </c>
      <c r="AM66" s="63">
        <f>IF(AND(AM64=0,AM65=0),0,MIN(IF(AM64&lt;=0,0,IF(WEEKDAY(AM$6,1)=1,0,IF(WEEKDAY(AM$6,1)=7,0,MIN(8,AM65)*AM64))),MAX(0,40*MAX(1,AM64)-(0))))</f>
        <v>0</v>
      </c>
      <c r="AN66" s="63">
        <f>IF(AND(AN64=0,AN65=0),0,MIN(IF(AN64&lt;=0,0,IF(WEEKDAY(AN$6,1)=1,0,IF(WEEKDAY(AN$6,1)=7,0,MIN(8,AN65)*AN64))),MAX(0,40*MAX(1,AN64)-(AM66))))</f>
        <v>0</v>
      </c>
      <c r="AO66" s="63">
        <f>IF(AND(AO64=0,AO65=0),0,MIN(IF(AO64&lt;=0,0,IF(WEEKDAY(AO$6,1)=1,0,IF(WEEKDAY(AO$6,1)=7,0,MIN(8,AO65)*AO64))),MAX(0,40*MAX(1,AO64)-(AM66+AN66))))</f>
        <v>0</v>
      </c>
      <c r="AP66" s="63">
        <f>IF(AND(AP64=0,AP65=0),0,MIN(IF(AP64&lt;=0,0,IF(WEEKDAY(AP$6,1)=1,0,IF(WEEKDAY(AP$6,1)=7,0,MIN(8,AP65)*AP64))),MAX(0,40*MAX(1,AP64)-(AM66+AN66+AO66))))</f>
        <v>0</v>
      </c>
      <c r="AQ66" s="63">
        <f>IF(AND(AQ64=0,AQ65=0),0,MIN(IF(AQ64&lt;=0,0,IF(WEEKDAY(AQ$6,1)=1,0,IF(WEEKDAY(AQ$6,1)=7,0,MIN(8,AQ65)*AQ64))),MAX(0,40*MAX(1,AQ64)-(AM66+AN66+AO66+AP66))))</f>
        <v>0</v>
      </c>
      <c r="AR66" s="64">
        <f>IF(AND(AR64=0,AR65=0),0,MIN(IF(AR64&lt;=0,0,IF(WEEKDAY(AR$6,1)=1,0,IF(WEEKDAY(AR$6,1)=7,0,MIN(8,AR65)*AR64))),MAX(0,40*MAX(1,AR64)-(AM66+AN66+AO66+AP66+AQ66))))</f>
        <v>0</v>
      </c>
      <c r="AS66" s="64">
        <f>IF(AND(AS64=0,AS65=0),0,MIN(IF(AS64&lt;=0,0,IF(WEEKDAY(AS$6,1)=1,0,IF(WEEKDAY(AS$6,1)=7,0,MIN(8,AS65)*AS64))),MAX(0,40*MAX(1,AS64)-(AM66+AN66+AO66+AP66+AQ66+AR66))))</f>
        <v>0</v>
      </c>
      <c r="AT66" s="63">
        <f>IF(AND(AT64=0,AT65=0),0,MIN(IF(AT64&lt;=0,0,IF(WEEKDAY(AT$6,1)=1,0,IF(WEEKDAY(AT$6,1)=7,0,MIN(8,AT65)*AT64))),MAX(0,40*MAX(1,AT64)-(0))))</f>
        <v>0</v>
      </c>
      <c r="AU66" s="63">
        <f>IF(AND(AU64=0,AU65=0),0,MIN(IF(AU64&lt;=0,0,IF(WEEKDAY(AU$6,1)=1,0,IF(WEEKDAY(AU$6,1)=7,0,MIN(8,AU65)*AU64))),MAX(0,40*MAX(1,AU64)-(AT66))))</f>
        <v>0</v>
      </c>
      <c r="AV66" s="63">
        <f>IF(AND(AV64=0,AV65=0),0,MIN(IF(AV64&lt;=0,0,IF(WEEKDAY(AV$6,1)=1,0,IF(WEEKDAY(AV$6,1)=7,0,MIN(8,AV65)*AV64))),MAX(0,40*MAX(1,AV64)-(AT66+AU66))))</f>
        <v>0</v>
      </c>
      <c r="AW66" s="63">
        <f>IF(AND(AW64=0,AW65=0),0,MIN(IF(AW64&lt;=0,0,IF(WEEKDAY(AW$6,1)=1,0,IF(WEEKDAY(AW$6,1)=7,0,MIN(8,AW65)*AW64))),MAX(0,40*MAX(1,AW64)-(AT66+AU66+AV66))))</f>
        <v>0</v>
      </c>
      <c r="AX66" s="63">
        <f>IF(AND(AX64=0,AX65=0),0,MIN(IF(AX64&lt;=0,0,IF(WEEKDAY(AX$6,1)=1,0,IF(WEEKDAY(AX$6,1)=7,0,MIN(8,AX65)*AX64))),MAX(0,40*MAX(1,AX64)-(AT66+AU66+AV66+AW66))))</f>
        <v>0</v>
      </c>
      <c r="AY66" s="64">
        <f>IF(AND(AY64=0,AY65=0),0,MIN(IF(AY64&lt;=0,0,IF(WEEKDAY(AY$6,1)=1,0,IF(WEEKDAY(AY$6,1)=7,0,MIN(8,AY65)*AY64))),MAX(0,40*MAX(1,AY64)-(AT66+AU66+AV66+AW66+AX66))))</f>
        <v>0</v>
      </c>
      <c r="AZ66" s="64">
        <f>IF(AND(AZ64=0,AZ65=0),0,MIN(IF(AZ64&lt;=0,0,IF(WEEKDAY(AZ$6,1)=1,0,IF(WEEKDAY(AZ$6,1)=7,0,MIN(8,AZ65)*AZ64))),MAX(0,40*MAX(1,AZ64)-(AT66+AU66+AV66+AW66+AX66+AY66))))</f>
        <v>0</v>
      </c>
      <c r="BA66" s="63">
        <f>IF(AND(BA64=0,BA65=0),0,MIN(IF(BA64&lt;=0,0,IF(WEEKDAY(BA$6,1)=1,0,IF(WEEKDAY(BA$6,1)=7,0,MIN(8,BA65)*BA64))),MAX(0,40*MAX(1,BA64)-(0))))</f>
        <v>0</v>
      </c>
      <c r="BB66" s="63">
        <f>IF(AND(BB64=0,BB65=0),0,MIN(IF(BB64&lt;=0,0,IF(WEEKDAY(BB$6,1)=1,0,IF(WEEKDAY(BB$6,1)=7,0,MIN(8,BB65)*BB64))),MAX(0,40*MAX(1,BB64)-(BA66))))</f>
        <v>0</v>
      </c>
      <c r="BC66" s="63">
        <f>IF(AND(BC64=0,BC65=0),0,MIN(IF(BC64&lt;=0,0,IF(WEEKDAY(BC$6,1)=1,0,IF(WEEKDAY(BC$6,1)=7,0,MIN(8,BC65)*BC64))),MAX(0,40*MAX(1,BC64)-(BA66+BB66))))</f>
        <v>0</v>
      </c>
      <c r="BD66" s="63">
        <f>IF(AND(BD64=0,BD65=0),0,MIN(IF(BD64&lt;=0,0,IF(WEEKDAY(BD$6,1)=1,0,IF(WEEKDAY(BD$6,1)=7,0,MIN(8,BD65)*BD64))),MAX(0,40*MAX(1,BD64)-(BA66+BB66+BC66))))</f>
        <v>0</v>
      </c>
      <c r="BE66" s="63">
        <f>IF(AND(BE64=0,BE65=0),0,MIN(IF(BE64&lt;=0,0,IF(WEEKDAY(BE$6,1)=1,0,IF(WEEKDAY(BE$6,1)=7,0,MIN(8,BE65)*BE64))),MAX(0,40*MAX(1,BE64)-(BA66+BB66+BC66+BD66))))</f>
        <v>0</v>
      </c>
      <c r="BF66" s="64">
        <f>IF(AND(BF64=0,BF65=0),0,MIN(IF(BF64&lt;=0,0,IF(WEEKDAY(BF$6,1)=1,0,IF(WEEKDAY(BF$6,1)=7,0,MIN(8,BF65)*BF64))),MAX(0,40*MAX(1,BF64)-(BA66+BB66+BC66+BD66+BE66))))</f>
        <v>0</v>
      </c>
      <c r="BG66" s="64">
        <f>IF(AND(BG64=0,BG65=0),0,MIN(IF(BG64&lt;=0,0,IF(WEEKDAY(BG$6,1)=1,0,IF(WEEKDAY(BG$6,1)=7,0,MIN(8,BG65)*BG64))),MAX(0,40*MAX(1,BG64)-(BA66+BB66+BC66+BD66+BE66+BF66))))</f>
        <v>0</v>
      </c>
      <c r="BH66" s="63">
        <f>IF(AND(BH64=2,BH65=10),16,MIN(IF(BH64&lt;=0,0,IF(WEEKDAY(BH$6,1)=1,0,IF(WEEKDAY(BH$6,1)=7,0,MIN(8,BH65)*BH64))),MAX(0,40*MAX(1,BH64)-(0))))</f>
        <v>16</v>
      </c>
      <c r="BI66" s="63">
        <f>IF(AND(BI64=2,BI65=10),16,MIN(IF(BI64&lt;=0,0,IF(WEEKDAY(BI$6,1)=1,0,IF(WEEKDAY(BI$6,1)=7,0,MIN(8,BI65)*BI64))),MAX(0,40*MAX(1,BI64)-(BH66))))</f>
        <v>16</v>
      </c>
      <c r="BJ66" s="63">
        <f>IF(AND(BJ64=2,BJ65=10),16,MIN(IF(BJ64&lt;=0,0,IF(WEEKDAY(BJ$6,1)=1,0,IF(WEEKDAY(BJ$6,1)=7,0,MIN(8,BJ65)*BJ64))),MAX(0,40*MAX(1,BJ64)-(BH66+BI66))))</f>
        <v>16</v>
      </c>
      <c r="BK66" s="63">
        <f>IF(AND(BK64=2,BK65=10),16,MIN(IF(BK64&lt;=0,0,IF(WEEKDAY(BK$6,1)=1,0,IF(WEEKDAY(BK$6,1)=7,0,MIN(8,BK65)*BK64))),MAX(0,40*MAX(1,BK64)-(BH66+BI66+BJ66))))</f>
        <v>16</v>
      </c>
      <c r="BL66" s="63">
        <f>IF(AND(BL64=2,BL65=10),16,MIN(IF(BL64&lt;=0,0,IF(WEEKDAY(BL$6,1)=1,0,IF(WEEKDAY(BL$6,1)=7,0,MIN(8,BL65)*BL64))),MAX(0,40*MAX(1,BL64)-(BH66+BI66+BJ66+BK66))))</f>
        <v>16</v>
      </c>
      <c r="BM66" s="64">
        <f>IF(AND(BM64=2,BM65=10),0,MIN(IF(BM64&lt;=0,0,IF(WEEKDAY(BM$6,1)=1,0,IF(WEEKDAY(BM$6,1)=7,0,MIN(8,BM65)*BM64))),MAX(0,40*MAX(1,BM64)-(BH66+BI66+BJ66+BK66+BL66))))</f>
        <v>0</v>
      </c>
      <c r="BN66" s="64">
        <f>IF(AND(BN64=2,BN65=10),0,MIN(IF(BN64&lt;=0,0,IF(WEEKDAY(BN$6,1)=1,0,IF(WEEKDAY(BN$6,1)=7,0,MIN(8,BN65)*BN64))),MAX(0,40*MAX(1,BN64)-(BH66+BI66+BJ66+BK66+BL66+BM66))))</f>
        <v>0</v>
      </c>
      <c r="BO66" s="63">
        <f>IF(AND(BO64=2,BO65=10),16,MIN(IF(BO64&lt;=0,0,IF(WEEKDAY(BO$6,1)=1,0,IF(WEEKDAY(BO$6,1)=7,0,MIN(8,BO65)*BO64))),MAX(0,40*MAX(1,BO64)-(0))))</f>
        <v>16</v>
      </c>
      <c r="BP66" s="63">
        <f>IF(AND(BP64=2,BP65=10),16,MIN(IF(BP64&lt;=0,0,IF(WEEKDAY(BP$6,1)=1,0,IF(WEEKDAY(BP$6,1)=7,0,MIN(8,BP65)*BP64))),MAX(0,40*MAX(1,BP64)-(BO66))))</f>
        <v>16</v>
      </c>
      <c r="BQ66" s="63">
        <f>IF(AND(BQ64=2,BQ65=10),16,MIN(IF(BQ64&lt;=0,0,IF(WEEKDAY(BQ$6,1)=1,0,IF(WEEKDAY(BQ$6,1)=7,0,MIN(8,BQ65)*BQ64))),MAX(0,40*MAX(1,BQ64)-(BO66+BP66))))</f>
        <v>16</v>
      </c>
      <c r="BR66" s="63">
        <f>IF(AND(BR64=2,BR65=10),16,MIN(IF(BR64&lt;=0,0,IF(WEEKDAY(BR$6,1)=1,0,IF(WEEKDAY(BR$6,1)=7,0,MIN(8,BR65)*BR64))),MAX(0,40*MAX(1,BR64)-(0))))</f>
        <v>16</v>
      </c>
      <c r="BS66" s="63">
        <f>IF(AND(BS64=2,BS65=10),16,MIN(IF(BS64&lt;=0,0,IF(WEEKDAY(BS$6,1)=1,0,IF(WEEKDAY(BS$6,1)=7,0,MIN(8,BS65)*BS64))),MAX(0,40*MAX(1,BS64)-(BR66))))</f>
        <v>16</v>
      </c>
      <c r="BT66" s="64">
        <f>IF(AND(BT64=2,BT65=10),0,MIN(IF(BT64&lt;=0,0,IF(WEEKDAY(BT$6,1)=1,0,IF(WEEKDAY(BT$6,1)=7,0,MIN(8,BT65)*BT64))),MAX(0,40*MAX(1,BT64)-(BR66+BS66))))</f>
        <v>0</v>
      </c>
      <c r="BU66" s="64">
        <f>IF(AND(BU64=2,BU65=10),0,MIN(IF(BU64&lt;=0,0,IF(WEEKDAY(BU$6,1)=1,0,IF(WEEKDAY(BU$6,1)=7,0,MIN(8,BU65)*BU64))),MAX(0,40*MAX(1,BU64)-(BR66+BS66+BT66))))</f>
        <v>0</v>
      </c>
      <c r="BV66" s="63">
        <f>IF(AND(BV64=2,BV65=10),16,MIN(IF(BV64&lt;=0,0,IF(WEEKDAY(BV$6,1)=1,0,IF(WEEKDAY(BV$6,1)=7,0,MIN(8,BV65)*BV64))),MAX(0,40*MAX(1,BV64)-(0))))</f>
        <v>16</v>
      </c>
      <c r="BW66" s="63">
        <f>IF(AND(BW64=2,BW65=10),16,MIN(IF(BW64&lt;=0,0,IF(WEEKDAY(BW$6,1)=1,0,IF(WEEKDAY(BW$6,1)=7,0,MIN(8,BW65)*BW64))),MAX(0,40*MAX(1,BW64)-(BV66))))</f>
        <v>16</v>
      </c>
      <c r="BX66" s="63">
        <f>IF(AND(BX64=2,BX65=10),16,MIN(IF(BX64&lt;=0,0,IF(WEEKDAY(BX$6,1)=1,0,IF(WEEKDAY(BX$6,1)=7,0,MIN(8,BX65)*BX64))),MAX(0,40*MAX(1,BX64)-(BV66+BW66))))</f>
        <v>16</v>
      </c>
      <c r="BY66" s="63">
        <f>IF(AND(BY64=2,BY65=10),16,MIN(IF(BY64&lt;=0,0,IF(WEEKDAY(BY$6,1)=1,0,IF(WEEKDAY(BY$6,1)=7,0,MIN(8,BY65)*BY64))),MAX(0,40*MAX(1,BY64)-(BV66+BW66+BX66))))</f>
        <v>16</v>
      </c>
      <c r="BZ66" s="63">
        <f>IF(AND(BZ64=2,BZ65=10),16,MIN(IF(BZ64&lt;=0,0,IF(WEEKDAY(BZ$6,1)=1,0,IF(WEEKDAY(BZ$6,1)=7,0,MIN(8,BZ65)*BZ64))),MAX(0,40*MAX(1,BZ64)-(BV66+BW66+BX66+BY66))))</f>
        <v>16</v>
      </c>
      <c r="CA66" s="64">
        <f>IF(AND(CA64=2,CA65=10),0,MIN(IF(CA64&lt;=0,0,IF(WEEKDAY(CA$6,1)=1,0,IF(WEEKDAY(CA$6,1)=7,0,MIN(8,CA65)*CA64))),MAX(0,40*MAX(1,CA64)-(BV66+BW66+BX66+BY66+BZ66))))</f>
        <v>0</v>
      </c>
      <c r="CB66" s="64">
        <f>IF(AND(CB64=2,CB65=10),0,MIN(IF(CB64&lt;=0,0,IF(WEEKDAY(CB$6,1)=1,0,IF(WEEKDAY(CB$6,1)=7,0,MIN(8,CB65)*CB64))),MAX(0,40*MAX(1,CB64)-(BV66+BW66+BX66+BY66+BZ66+CA66))))</f>
        <v>0</v>
      </c>
      <c r="CC66" s="63">
        <f>IF(AND(CC64=2,CC65=10),16,MIN(IF(CC64&lt;=0,0,IF(WEEKDAY(CC$6,1)=1,0,IF(WEEKDAY(CC$6,1)=7,0,MIN(8,CC65)*CC64))),MAX(0,40*MAX(1,CC64)-(0))))</f>
        <v>16</v>
      </c>
      <c r="CD66" s="63">
        <f>IF(AND(CD64=2,CD65=10),16,MIN(IF(CD64&lt;=0,0,IF(WEEKDAY(CD$6,1)=1,0,IF(WEEKDAY(CD$6,1)=7,0,MIN(8,CD65)*CD64))),MAX(0,40*MAX(1,CD64)-(CC66))))</f>
        <v>16</v>
      </c>
      <c r="CE66" s="63">
        <f>IF(AND(CE64=2,CE65=10),16,MIN(IF(CE64&lt;=0,0,IF(WEEKDAY(CE$6,1)=1,0,IF(WEEKDAY(CE$6,1)=7,0,MIN(8,CE65)*CE64))),MAX(0,40*MAX(1,CE64)-(CC66+CD66))))</f>
        <v>16</v>
      </c>
      <c r="CF66" s="63">
        <f>IF(AND(CF64=2,CF65=10),16,MIN(IF(CF64&lt;=0,0,IF(WEEKDAY(CF$6,1)=1,0,IF(WEEKDAY(CF$6,1)=7,0,MIN(8,CF65)*CF64))),MAX(0,40*MAX(1,CF64)-(CC66+CD66+CE66))))</f>
        <v>16</v>
      </c>
      <c r="CG66" s="63">
        <f>IF(AND(CG64=2,CG65=10),16,MIN(IF(CG64&lt;=0,0,IF(WEEKDAY(CG$6,1)=1,0,IF(WEEKDAY(CG$6,1)=7,0,MIN(8,CG65)*CG64))),MAX(0,40*MAX(1,CG64)-(CC66+CD66+CE66+CF66))))</f>
        <v>16</v>
      </c>
      <c r="CH66" s="64">
        <f>IF(AND(CH64=2,CH65=10),0,MIN(IF(CH64&lt;=0,0,IF(WEEKDAY(CH$6,1)=1,0,IF(WEEKDAY(CH$6,1)=7,0,MIN(8,CH65)*CH64))),MAX(0,40*MAX(1,CH64)-(CC66+CD66+CE66+CF66+CG66))))</f>
        <v>0</v>
      </c>
      <c r="CI66" s="64">
        <f>IF(AND(CI64=2,CI65=10),0,MIN(IF(CI64&lt;=0,0,IF(WEEKDAY(CI$6,1)=1,0,IF(WEEKDAY(CI$6,1)=7,0,MIN(8,CI65)*CI64))),MAX(0,40*MAX(1,CI64)-(CC66+CD66+CE66+CF66+CG66+CH66))))</f>
        <v>0</v>
      </c>
      <c r="CJ66" s="63">
        <f>IF(AND(CJ64=2,CJ65=10),16,MIN(IF(CJ64&lt;=0,0,IF(WEEKDAY(CJ$6,1)=1,0,IF(WEEKDAY(CJ$6,1)=7,0,MIN(8,CJ65)*CJ64))),MAX(0,40*MAX(1,CJ64)-(0))))</f>
        <v>16</v>
      </c>
      <c r="CK66" s="63">
        <f>IF(AND(CK64=2,CK65=10),16,MIN(IF(CK64&lt;=0,0,IF(WEEKDAY(CK$6,1)=1,0,IF(WEEKDAY(CK$6,1)=7,0,MIN(8,CK65)*CK64))),MAX(0,40*MAX(1,CK64)-(CJ66))))</f>
        <v>16</v>
      </c>
      <c r="CL66" s="63">
        <f>IF(AND(CL64=2,CL65=10),16,MIN(IF(CL64&lt;=0,0,IF(WEEKDAY(CL$6,1)=1,0,IF(WEEKDAY(CL$6,1)=7,0,MIN(8,CL65)*CL64))),MAX(0,40*MAX(1,CL64)-(CJ66+CK66))))</f>
        <v>16</v>
      </c>
      <c r="CM66" s="63">
        <f>IF(AND(CM64=2,CM65=10),16,MIN(IF(CM64&lt;=0,0,IF(WEEKDAY(CM$6,1)=1,0,IF(WEEKDAY(CM$6,1)=7,0,MIN(8,CM65)*CM64))),MAX(0,40*MAX(1,CM64)-(CJ66+CK66+CL66))))</f>
        <v>16</v>
      </c>
      <c r="CN66" s="63">
        <f>IF(AND(CN64=2,CN65=10),16,MIN(IF(CN64&lt;=0,0,IF(WEEKDAY(CN$6,1)=1,0,IF(WEEKDAY(CN$6,1)=7,0,MIN(8,CN65)*CN64))),MAX(0,40*MAX(1,CN64)-(CJ66+CK66+CL66+CM66))))</f>
        <v>16</v>
      </c>
      <c r="CO66" s="64">
        <f>IF(AND(CO64=2,CO65=10),0,MIN(IF(CO64&lt;=0,0,IF(WEEKDAY(CO$6,1)=1,0,IF(WEEKDAY(CO$6,1)=7,0,MIN(8,CO65)*CO64))),MAX(0,40*MAX(1,CO64)-(CJ66+CK66+CL66+CM66+CN66))))</f>
        <v>0</v>
      </c>
      <c r="CP66" s="64">
        <f>IF(AND(CP64=2,CP65=10),0,MIN(IF(CP64&lt;=0,0,IF(WEEKDAY(CP$6,1)=1,0,IF(WEEKDAY(CP$6,1)=7,0,MIN(8,CP65)*CP64))),MAX(0,40*MAX(1,CP64)-(CJ66+CK66+CL66+CM66+CN66+CO66))))</f>
        <v>0</v>
      </c>
      <c r="CQ66" s="63">
        <f>IF(AND(CQ64=2,CQ65=10),16,MIN(IF(CQ64&lt;=0,0,IF(WEEKDAY(CQ$6,1)=1,0,IF(WEEKDAY(CQ$6,1)=7,0,MIN(8,CQ65)*CQ64))),MAX(0,40*MAX(1,CQ64)-(0))))</f>
        <v>16</v>
      </c>
      <c r="CR66" s="63">
        <f>IF(AND(CR64=2,CR65=10),16,MIN(IF(CR64&lt;=0,0,IF(WEEKDAY(CR$6,1)=1,0,IF(WEEKDAY(CR$6,1)=7,0,MIN(8,CR65)*CR64))),MAX(0,40*MAX(1,CR64)-(CQ66))))</f>
        <v>16</v>
      </c>
      <c r="CS66" s="63">
        <f>IF(AND(CS64=2,CS65=10),16,MIN(IF(CS64&lt;=0,0,IF(WEEKDAY(CS$6,1)=1,0,IF(WEEKDAY(CS$6,1)=7,0,MIN(8,CS65)*CS64))),MAX(0,40*MAX(1,CS64)-(CQ66+CR66))))</f>
        <v>16</v>
      </c>
      <c r="CT66" s="63">
        <f>IF(AND(CT64=2,CT65=10),16,MIN(IF(CT64&lt;=0,0,IF(WEEKDAY(CT$6,1)=1,0,IF(WEEKDAY(CT$6,1)=7,0,MIN(8,CT65)*CT64))),MAX(0,40*MAX(1,CT64)-(CQ66+CR66+CS66))))</f>
        <v>16</v>
      </c>
      <c r="CU66" s="63">
        <f>IF(AND(CU64=2,CU65=10),16,MIN(IF(CU64&lt;=0,0,IF(WEEKDAY(CU$6,1)=1,0,IF(WEEKDAY(CU$6,1)=7,0,MIN(8,CU65)*CU64))),MAX(0,40*MAX(1,CU64)-(CQ66+CR66+CS66+CT66))))</f>
        <v>16</v>
      </c>
      <c r="CV66" s="64">
        <f>IF(AND(CV64=2,CV65=10),0,MIN(IF(CV64&lt;=0,0,IF(WEEKDAY(CV$6,1)=1,0,IF(WEEKDAY(CV$6,1)=7,0,MIN(8,CV65)*CV64))),MAX(0,40*MAX(1,CV64)-(CQ66+CR66+CS66+CT66+CU66))))</f>
        <v>0</v>
      </c>
      <c r="CW66" s="64">
        <f>IF(AND(CW64=2,CW65=10),0,MIN(IF(CW64&lt;=0,0,IF(WEEKDAY(CW$6,1)=1,0,IF(WEEKDAY(CW$6,1)=7,0,MIN(8,CW65)*CW64))),MAX(0,40*MAX(1,CW64)-(CQ66+CR66+CS66+CT66+CU66+CV66))))</f>
        <v>0</v>
      </c>
      <c r="CX66" s="63">
        <f>IF(AND(CX64=2,CX65=10),16,MIN(IF(CX64&lt;=0,0,IF(WEEKDAY(CX$6,1)=1,0,IF(WEEKDAY(CX$6,1)=7,0,MIN(8,CX65)*CX64))),MAX(0,40*MAX(1,CX64)-(0))))</f>
        <v>16</v>
      </c>
      <c r="CY66" s="63">
        <f>IF(AND(CY64=2,CY65=10),16,MIN(IF(CY64&lt;=0,0,IF(WEEKDAY(CY$6,1)=1,0,IF(WEEKDAY(CY$6,1)=7,0,MIN(8,CY65)*CY64))),MAX(0,40*MAX(1,CY64)-(CX66))))</f>
        <v>16</v>
      </c>
      <c r="CZ66" s="63">
        <f>IF(AND(CZ64=2,CZ65=10),16,MIN(IF(CZ64&lt;=0,0,IF(WEEKDAY(CZ$6,1)=1,0,IF(WEEKDAY(CZ$6,1)=7,0,MIN(8,CZ65)*CZ64))),MAX(0,40*MAX(1,CZ64)-(CX66+CY66))))</f>
        <v>16</v>
      </c>
      <c r="DA66" s="63">
        <f>IF(AND(DA64=2,DA65=10),16,MIN(IF(DA64&lt;=0,0,IF(WEEKDAY(DA$6,1)=1,0,IF(WEEKDAY(DA$6,1)=7,0,MIN(8,DA65)*DA64))),MAX(0,40*MAX(1,DA64)-(CX66+CY66+CZ66))))</f>
        <v>16</v>
      </c>
      <c r="DB66" s="63">
        <f>IF(AND(DB64=2,DB65=10),16,MIN(IF(DB64&lt;=0,0,IF(WEEKDAY(DB$6,1)=1,0,IF(WEEKDAY(DB$6,1)=7,0,MIN(8,DB65)*DB64))),MAX(0,40*MAX(1,DB64)-(CX66+CY66+CZ66+DA66))))</f>
        <v>16</v>
      </c>
      <c r="DC66" s="64">
        <f>IF(AND(DC64=2,DC65=10),0,MIN(IF(DC64&lt;=0,0,IF(WEEKDAY(DC$6,1)=1,0,IF(WEEKDAY(DC$6,1)=7,0,MIN(8,DC65)*DC64))),MAX(0,40*MAX(1,DC64)-(CX66+CY66+CZ66+DA66+DB66))))</f>
        <v>0</v>
      </c>
      <c r="DD66" s="64">
        <f>IF(AND(DD64=2,DD65=10),0,MIN(IF(DD64&lt;=0,0,IF(WEEKDAY(DD$6,1)=1,0,IF(WEEKDAY(DD$6,1)=7,0,MIN(8,DD65)*DD64))),MAX(0,40*MAX(1,DD64)-(0))))</f>
        <v>0</v>
      </c>
      <c r="DE66" s="63">
        <f>IF(AND(DE64=2,DE65=10),16,MIN(IF(DE64&lt;=0,0,IF(WEEKDAY(DE$6,1)=1,0,IF(WEEKDAY(DE$6,1)=7,0,MIN(8,DE65)*DE64))),MAX(0,40*MAX(1,DE64)-(0))))</f>
        <v>16</v>
      </c>
      <c r="DF66" s="63">
        <f>IF(AND(DF64=2,DF65=10),16,MIN(IF(DF64&lt;=0,0,IF(WEEKDAY(DF$6,1)=1,0,IF(WEEKDAY(DF$6,1)=7,0,MIN(8,DF65)*DF64))),MAX(0,40*MAX(1,DF64)-(DE66))))</f>
        <v>16</v>
      </c>
      <c r="DG66" s="63">
        <f>IF(AND(DG64=2,DG65=10),16,MIN(IF(DG64&lt;=0,0,IF(WEEKDAY(DG$6,1)=1,0,IF(WEEKDAY(DG$6,1)=7,0,MIN(8,DG65)*DG64))),MAX(0,40*MAX(1,DG64)-(DE66+DF66))))</f>
        <v>16</v>
      </c>
      <c r="DH66" s="63">
        <f>IF(AND(DH64=2,DH65=10),16,MIN(IF(DH64&lt;=0,0,IF(WEEKDAY(DH$6,1)=1,0,IF(WEEKDAY(DH$6,1)=7,0,MIN(8,DH65)*DH64))),MAX(0,40*MAX(1,DH64)-(DE66+DF66+DG66))))</f>
        <v>16</v>
      </c>
      <c r="DI66" s="63">
        <f>IF(AND(DI64=2,DI65=10),16,MIN(IF(DI64&lt;=0,0,IF(WEEKDAY(DI$6,1)=1,0,IF(WEEKDAY(DI$6,1)=7,0,MIN(8,DI65)*DI64))),MAX(0,40*MAX(1,DI64)-(DE66+DF66+DG66+DH66))))</f>
        <v>16</v>
      </c>
      <c r="DJ66" s="64">
        <f>IF(AND(DJ64=2,DJ65=10),0,MIN(IF(DJ64&lt;=0,0,IF(WEEKDAY(DJ$6,1)=1,0,IF(WEEKDAY(DJ$6,1)=7,0,MIN(8,DJ65)*DJ64))),MAX(0,40*MAX(1,DJ64)-(DE66+DF66+DG66+DH66+DI66))))</f>
        <v>0</v>
      </c>
      <c r="DK66" s="64">
        <f>IF(AND(DK64=2,DK65=10),0,MIN(IF(DK64&lt;=0,0,IF(WEEKDAY(DK$6,1)=1,0,IF(WEEKDAY(DK$6,1)=7,0,MIN(8,DK65)*DK64))),MAX(0,40*MAX(1,DK64)-(DE66+DF66+DG66+DH66+DI66+DJ66))))</f>
        <v>0</v>
      </c>
      <c r="DL66" s="63">
        <f>IF(AND(DL64=2,DL65=10),16,MIN(IF(DL64&lt;=0,0,IF(WEEKDAY(DL$6,1)=1,0,IF(WEEKDAY(DL$6,1)=7,0,MIN(8,DL65)*DL64))),MAX(0,40*MAX(1,DL64)-(0))))</f>
        <v>16</v>
      </c>
      <c r="DM66" s="63">
        <f>IF(AND(DM64=2,DM65=10),16,MIN(IF(DM64&lt;=0,0,IF(WEEKDAY(DM$6,1)=1,0,IF(WEEKDAY(DM$6,1)=7,0,MIN(8,DM65)*DM64))),MAX(0,40*MAX(1,DM64)-(DL66))))</f>
        <v>16</v>
      </c>
      <c r="DN66" s="63">
        <f>IF(AND(DN64=2,DN65=10),16,MIN(IF(DN64&lt;=0,0,IF(WEEKDAY(DN$6,1)=1,0,IF(WEEKDAY(DN$6,1)=7,0,MIN(8,DN65)*DN64))),MAX(0,40*MAX(1,DN64)-(DL66+DM66))))</f>
        <v>16</v>
      </c>
      <c r="DO66" s="63">
        <f>IF(AND(DO64=2,DO65=10),16,MIN(IF(DO64&lt;=0,0,IF(WEEKDAY(DO$6,1)=1,0,IF(WEEKDAY(DO$6,1)=7,0,MIN(8,DO65)*DO64))),MAX(0,40*MAX(1,DO64)-(DL66+DM66+DN66))))</f>
        <v>16</v>
      </c>
      <c r="DP66" s="63">
        <f>IF(AND(DP64=2,DP65=10),16,MIN(IF(DP64&lt;=0,0,IF(WEEKDAY(DP$6,1)=1,0,IF(WEEKDAY(DP$6,1)=7,0,MIN(8,DP65)*DP64))),MAX(0,40*MAX(1,DP64)-(DL66+DM66+DN66+DO66))))</f>
        <v>16</v>
      </c>
      <c r="DQ66" s="64">
        <f>IF(AND(DQ64=2,DQ65=10),0,MIN(IF(DQ64&lt;=0,0,IF(WEEKDAY(DQ$6,1)=1,0,IF(WEEKDAY(DQ$6,1)=7,0,MIN(8,DQ65)*DQ64))),MAX(0,40*MAX(1,DQ64)-(DL66+DM66+DN66+DO66+DP66))))</f>
        <v>0</v>
      </c>
      <c r="DR66" s="64">
        <f>IF(AND(DR64=2,DR65=10),0,MIN(IF(DR64&lt;=0,0,IF(WEEKDAY(DR$6,1)=1,0,IF(WEEKDAY(DR$6,1)=7,0,MIN(8,DR65)*DR64))),MAX(0,40*MAX(1,DR64)-(DL66+DM66+DN66+DO66+DP66+DQ66))))</f>
        <v>0</v>
      </c>
      <c r="DS66" s="63">
        <f>IF(AND(DS64=2,DS65=10),16,MIN(IF(DS64&lt;=0,0,IF(WEEKDAY(DS$6,1)=1,0,IF(WEEKDAY(DS$6,1)=7,0,MIN(8,DS65)*DS64))),MAX(0,40*MAX(1,DS64)-(0))))</f>
        <v>16</v>
      </c>
      <c r="DT66" s="63">
        <f>IF(AND(DT64=0,DT65=0),0,MIN(IF(DT64&lt;=0,0,IF(WEEKDAY(DT$6,1)=1,0,IF(WEEKDAY(DT$6,1)=7,0,MIN(8,DT65)*DT64))),MAX(0,40*MAX(1,DT64)-(0))))</f>
        <v>0</v>
      </c>
      <c r="DU66" s="63">
        <f>IF(AND(DU64=0,DU65=0),0,MIN(IF(DU64&lt;=0,0,IF(WEEKDAY(DU$6,1)=1,0,IF(WEEKDAY(DU$6,1)=7,0,MIN(8,DU65)*DU64))),MAX(0,40*MAX(1,DU64)-(DT66))))</f>
        <v>0</v>
      </c>
      <c r="DV66" s="63">
        <f>IF(AND(DV64=0,DV65=0),0,MIN(IF(DV64&lt;=0,0,IF(WEEKDAY(DV$6,1)=1,0,IF(WEEKDAY(DV$6,1)=7,0,MIN(8,DV65)*DV64))),MAX(0,40*MAX(1,DV64)-(DT66+DU66))))</f>
        <v>0</v>
      </c>
      <c r="DW66" s="63">
        <f>IF(AND(DW64=0,DW65=0),0,MIN(IF(DW64&lt;=0,0,IF(WEEKDAY(DW$6,1)=1,0,IF(WEEKDAY(DW$6,1)=7,0,MIN(8,DW65)*DW64))),MAX(0,40*MAX(1,DW64)-(DT66+DU66+DV66))))</f>
        <v>0</v>
      </c>
      <c r="DX66" s="64">
        <f>IF(AND(DX64=0,DX65=0),0,MIN(IF(DX64&lt;=0,0,IF(WEEKDAY(DX$6,1)=1,0,IF(WEEKDAY(DX$6,1)=7,0,MIN(8,DX65)*DX64))),MAX(0,40*MAX(1,DX64)-(DT66+DU66+DV66+DW66))))</f>
        <v>0</v>
      </c>
      <c r="DY66" s="64">
        <f>IF(AND(DY64=0,DY65=0),0,MIN(IF(DY64&lt;=0,0,IF(WEEKDAY(DY$6,1)=1,0,IF(WEEKDAY(DY$6,1)=7,0,MIN(8,DY65)*DY64))),MAX(0,40*MAX(1,DY64)-(DT66+DU66+DV66+DW66+DX66))))</f>
        <v>0</v>
      </c>
      <c r="DZ66" s="63">
        <f>IF(AND(DZ64=0,DZ65=0),0,MIN(IF(DZ64&lt;=0,0,IF(WEEKDAY(DZ$6,1)=1,0,IF(WEEKDAY(DZ$6,1)=7,0,MIN(8,DZ65)*DZ64))),MAX(0,40*MAX(1,DZ64)-(0))))</f>
        <v>0</v>
      </c>
      <c r="EA66" s="63">
        <f>IF(AND(EA64=0,EA65=0),0,MIN(IF(EA64&lt;=0,0,IF(WEEKDAY(EA$6,1)=1,0,IF(WEEKDAY(EA$6,1)=7,0,MIN(8,EA65)*EA64))),MAX(0,40*MAX(1,EA64)-(DZ66))))</f>
        <v>0</v>
      </c>
      <c r="EB66" s="63">
        <f>IF(AND(EB64=0,EB65=0),0,MIN(IF(EB64&lt;=0,0,IF(WEEKDAY(EB$6,1)=1,0,IF(WEEKDAY(EB$6,1)=7,0,MIN(8,EB65)*EB64))),MAX(0,40*MAX(1,EB64)-(DZ66+EA66))))</f>
        <v>0</v>
      </c>
      <c r="EC66" s="63">
        <f>IF(AND(EC64=0,EC65=0),0,MIN(IF(EC64&lt;=0,0,IF(WEEKDAY(EC$6,1)=1,0,IF(WEEKDAY(EC$6,1)=7,0,MIN(8,EC65)*EC64))),MAX(0,40*MAX(1,EC64)-(DZ66+EA66+EB66))))</f>
        <v>0</v>
      </c>
      <c r="ED66" s="63">
        <f>IF(AND(ED64=0,ED65=0),0,MIN(IF(ED64&lt;=0,0,IF(WEEKDAY(ED$6,1)=1,0,IF(WEEKDAY(ED$6,1)=7,0,MIN(8,ED65)*ED64))),MAX(0,40*MAX(1,ED64)-(DZ66+EA66+EB66+EC66))))</f>
        <v>0</v>
      </c>
      <c r="EE66" s="64">
        <f>IF(AND(EE64=0,EE65=0),0,MIN(IF(EE64&lt;=0,0,IF(WEEKDAY(EE$6,1)=1,0,IF(WEEKDAY(EE$6,1)=7,0,MIN(8,EE65)*EE64))),MAX(0,40*MAX(1,EE64)-(DZ66+EA66+EB66+EC66+ED66))))</f>
        <v>0</v>
      </c>
      <c r="EF66" s="64">
        <f>IF(AND(EF64=0,EF65=0),0,MIN(IF(EF64&lt;=0,0,IF(WEEKDAY(EF$6,1)=1,0,IF(WEEKDAY(EF$6,1)=7,0,MIN(8,EF65)*EF64))),MAX(0,40*MAX(1,EF64)-(DZ66+EA66+EB66+EC66+ED66+EE66))))</f>
        <v>0</v>
      </c>
      <c r="EG66" s="63">
        <f>IF(AND(EG64=0,EG65=0),0,MIN(IF(EG64&lt;=0,0,IF(WEEKDAY(EG$6,1)=1,0,IF(WEEKDAY(EG$6,1)=7,0,MIN(8,EG65)*EG64))),MAX(0,40*MAX(1,EG64)-(0))))</f>
        <v>0</v>
      </c>
      <c r="EH66" s="63">
        <f>IF(AND(EH64=0,EH65=0),0,MIN(IF(EH64&lt;=0,0,IF(WEEKDAY(EH$6,1)=1,0,IF(WEEKDAY(EH$6,1)=7,0,MIN(8,EH65)*EH64))),MAX(0,40*MAX(1,EH64)-(EG66))))</f>
        <v>0</v>
      </c>
      <c r="EI66" s="63">
        <f>IF(AND(EI64=0,EI65=0),0,MIN(IF(EI64&lt;=0,0,IF(WEEKDAY(EI$6,1)=1,0,IF(WEEKDAY(EI$6,1)=7,0,MIN(8,EI65)*EI64))),MAX(0,40*MAX(1,EI64)-(EG66+EH66))))</f>
        <v>0</v>
      </c>
      <c r="EJ66" s="63">
        <f>IF(AND(EJ64=0,EJ65=0),0,MIN(IF(EJ64&lt;=0,0,IF(WEEKDAY(EJ$6,1)=1,0,IF(WEEKDAY(EJ$6,1)=7,0,MIN(8,EJ65)*EJ64))),MAX(0,40*MAX(1,EJ64)-(EG66+EH66+EI66))))</f>
        <v>0</v>
      </c>
      <c r="EK66" s="65">
        <f>IF(AND(EK64=0,EK65=0),0,MIN(IF(EK64&lt;=0,0,IF(WEEKDAY(EK$6,1)=1,0,IF(WEEKDAY(EK$6,1)=7,0,MIN(8,EK65)*EK64))),MAX(0,40*MAX(1,EK64)-(EG66+EH66+EI66+EJ66))))</f>
        <v>0</v>
      </c>
      <c r="OU66" s="28" t="s">
        <v>129</v>
      </c>
    </row>
    <row r="67" ht="16" customHeight="1" spans="1:411" x14ac:dyDescent="0.25">
      <c r="A67" s="74"/>
      <c r="B67" s="79" t="s">
        <v>111</v>
      </c>
      <c r="C67" s="66">
        <f>G63*N(D67)</f>
        <v>55611.92</v>
      </c>
      <c r="D67" s="66">
        <f>IF(TRIM(IF(TRIM(B67)&lt;&gt;"",B67,B63))="","No rate",IFERROR(INDEX('Rate Tables'!D$7:D$158,MATCH(IF(TRIM(B67)&lt;&gt;"",B67,B63),'Rate Tables'!A$7:A$158,0)),"No rate"))</f>
        <v>152.78</v>
      </c>
      <c r="E67" s="55" t="s">
        <v>63</v>
      </c>
      <c r="F67" s="49"/>
      <c r="G67" s="49"/>
      <c r="H67" s="49"/>
      <c r="I67" s="49"/>
      <c r="J67" s="50"/>
      <c r="K67" s="62">
        <f>IF(AND(K64=0,K65=0),0,IF(K64&lt;=0,0,IF(WEEKDAY(K$6,1)=1,0,IF(WEEKDAY(K$6,1)=7,K64*K65,MAX(0,K65-8)*K64)))+((IF(K64&lt;=0,0,IF(WEEKDAY(K$6,1)=1,0,IF(WEEKDAY(K$6,1)=7,0,MIN(8,K65)*K64))))-MIN(IF(K64&lt;=0,0,IF(WEEKDAY(K$6,1)=1,0,IF(WEEKDAY(K$6,1)=7,0,MIN(8,K65)*K64))),MAX(0,40*MAX(1,K64)-(0)))))</f>
        <v>0</v>
      </c>
      <c r="L67" s="63">
        <f>IF(AND(L64=0,L65=0),0,IF(L64&lt;=0,0,IF(WEEKDAY(L$6,1)=1,0,IF(WEEKDAY(L$6,1)=7,L64*L65,MAX(0,L65-8)*L64)))+((IF(L64&lt;=0,0,IF(WEEKDAY(L$6,1)=1,0,IF(WEEKDAY(L$6,1)=7,0,MIN(8,L65)*L64))))-MIN(IF(L64&lt;=0,0,IF(WEEKDAY(L$6,1)=1,0,IF(WEEKDAY(L$6,1)=7,0,MIN(8,L65)*L64))),MAX(0,40*MAX(1,L64)-(K66)))))</f>
        <v>0</v>
      </c>
      <c r="M67" s="63">
        <f>IF(AND(M64=0,M65=0),0,IF(M64&lt;=0,0,IF(WEEKDAY(M$6,1)=1,0,IF(WEEKDAY(M$6,1)=7,M64*M65,MAX(0,M65-8)*M64)))+((IF(M64&lt;=0,0,IF(WEEKDAY(M$6,1)=1,0,IF(WEEKDAY(M$6,1)=7,0,MIN(8,M65)*M64))))-MIN(IF(M64&lt;=0,0,IF(WEEKDAY(M$6,1)=1,0,IF(WEEKDAY(M$6,1)=7,0,MIN(8,M65)*M64))),MAX(0,40*MAX(1,M64)-(K66+L66)))))</f>
        <v>0</v>
      </c>
      <c r="N67" s="63">
        <f>IF(AND(N64=0,N65=0),0,IF(N64&lt;=0,0,IF(WEEKDAY(N$6,1)=1,0,IF(WEEKDAY(N$6,1)=7,N64*N65,MAX(0,N65-8)*N64)))+((IF(N64&lt;=0,0,IF(WEEKDAY(N$6,1)=1,0,IF(WEEKDAY(N$6,1)=7,0,MIN(8,N65)*N64))))-MIN(IF(N64&lt;=0,0,IF(WEEKDAY(N$6,1)=1,0,IF(WEEKDAY(N$6,1)=7,0,MIN(8,N65)*N64))),MAX(0,40*MAX(1,N64)-(K66+L66+M66)))))</f>
        <v>0</v>
      </c>
      <c r="O67" s="63">
        <f>IF(AND(O64=0,O65=0),0,IF(O64&lt;=0,0,IF(WEEKDAY(O$6,1)=1,0,IF(WEEKDAY(O$6,1)=7,O64*O65,MAX(0,O65-8)*O64)))+((IF(O64&lt;=0,0,IF(WEEKDAY(O$6,1)=1,0,IF(WEEKDAY(O$6,1)=7,0,MIN(8,O65)*O64))))-MIN(IF(O64&lt;=0,0,IF(WEEKDAY(O$6,1)=1,0,IF(WEEKDAY(O$6,1)=7,0,MIN(8,O65)*O64))),MAX(0,40*MAX(1,O64)-(K66+L66+M66+N66)))))</f>
        <v>0</v>
      </c>
      <c r="P67" s="64">
        <f>IF(AND(P64=0,P65=0),0,IF(P64&lt;=0,0,IF(WEEKDAY(P$6,1)=1,0,IF(WEEKDAY(P$6,1)=7,P64*P65,MAX(0,P65-8)*P64)))+((IF(P64&lt;=0,0,IF(WEEKDAY(P$6,1)=1,0,IF(WEEKDAY(P$6,1)=7,0,MIN(8,P65)*P64))))-MIN(IF(P64&lt;=0,0,IF(WEEKDAY(P$6,1)=1,0,IF(WEEKDAY(P$6,1)=7,0,MIN(8,P65)*P64))),MAX(0,40*MAX(1,P64)-(K66+L66+M66+N66+O66)))))</f>
        <v>0</v>
      </c>
      <c r="Q67" s="64">
        <f>IF(AND(Q64=0,Q65=0),0,IF(Q64&lt;=0,0,IF(WEEKDAY(Q$6,1)=1,0,IF(WEEKDAY(Q$6,1)=7,Q64*Q65,MAX(0,Q65-8)*Q64)))+((IF(Q64&lt;=0,0,IF(WEEKDAY(Q$6,1)=1,0,IF(WEEKDAY(Q$6,1)=7,0,MIN(8,Q65)*Q64))))-MIN(IF(Q64&lt;=0,0,IF(WEEKDAY(Q$6,1)=1,0,IF(WEEKDAY(Q$6,1)=7,0,MIN(8,Q65)*Q64))),MAX(0,40*MAX(1,Q64)-(K66+L66+M66+N66+O66+P66)))))</f>
        <v>0</v>
      </c>
      <c r="R67" s="63">
        <f>IF(AND(R64=0,R65=0),0,IF(R64&lt;=0,0,IF(WEEKDAY(R$6,1)=1,0,IF(WEEKDAY(R$6,1)=7,R64*R65,MAX(0,R65-8)*R64)))+((IF(R64&lt;=0,0,IF(WEEKDAY(R$6,1)=1,0,IF(WEEKDAY(R$6,1)=7,0,MIN(8,R65)*R64))))-MIN(IF(R64&lt;=0,0,IF(WEEKDAY(R$6,1)=1,0,IF(WEEKDAY(R$6,1)=7,0,MIN(8,R65)*R64))),MAX(0,40*MAX(1,R64)-(0)))))</f>
        <v>0</v>
      </c>
      <c r="S67" s="63">
        <f>IF(AND(S64=0,S65=0),0,IF(S64&lt;=0,0,IF(WEEKDAY(S$6,1)=1,0,IF(WEEKDAY(S$6,1)=7,S64*S65,MAX(0,S65-8)*S64)))+((IF(S64&lt;=0,0,IF(WEEKDAY(S$6,1)=1,0,IF(WEEKDAY(S$6,1)=7,0,MIN(8,S65)*S64))))-MIN(IF(S64&lt;=0,0,IF(WEEKDAY(S$6,1)=1,0,IF(WEEKDAY(S$6,1)=7,0,MIN(8,S65)*S64))),MAX(0,40*MAX(1,S64)-(R66)))))</f>
        <v>0</v>
      </c>
      <c r="T67" s="63">
        <f>IF(AND(T64=0,T65=0),0,IF(T64&lt;=0,0,IF(WEEKDAY(T$6,1)=1,0,IF(WEEKDAY(T$6,1)=7,T64*T65,MAX(0,T65-8)*T64)))+((IF(T64&lt;=0,0,IF(WEEKDAY(T$6,1)=1,0,IF(WEEKDAY(T$6,1)=7,0,MIN(8,T65)*T64))))-MIN(IF(T64&lt;=0,0,IF(WEEKDAY(T$6,1)=1,0,IF(WEEKDAY(T$6,1)=7,0,MIN(8,T65)*T64))),MAX(0,40*MAX(1,T64)-(R66+S66)))))</f>
        <v>0</v>
      </c>
      <c r="U67" s="63">
        <f>IF(AND(U64=0,U65=0),0,IF(U64&lt;=0,0,IF(WEEKDAY(U$6,1)=1,0,IF(WEEKDAY(U$6,1)=7,U64*U65,MAX(0,U65-8)*U64)))+((IF(U64&lt;=0,0,IF(WEEKDAY(U$6,1)=1,0,IF(WEEKDAY(U$6,1)=7,0,MIN(8,U65)*U64))))-MIN(IF(U64&lt;=0,0,IF(WEEKDAY(U$6,1)=1,0,IF(WEEKDAY(U$6,1)=7,0,MIN(8,U65)*U64))),MAX(0,40*MAX(1,U64)-(R66+S66+T66)))))</f>
        <v>0</v>
      </c>
      <c r="V67" s="63">
        <f>IF(AND(V64=0,V65=0),0,IF(V64&lt;=0,0,IF(WEEKDAY(V$6,1)=1,0,IF(WEEKDAY(V$6,1)=7,V64*V65,MAX(0,V65-8)*V64)))+((IF(V64&lt;=0,0,IF(WEEKDAY(V$6,1)=1,0,IF(WEEKDAY(V$6,1)=7,0,MIN(8,V65)*V64))))-MIN(IF(V64&lt;=0,0,IF(WEEKDAY(V$6,1)=1,0,IF(WEEKDAY(V$6,1)=7,0,MIN(8,V65)*V64))),MAX(0,40*MAX(1,V64)-(R66+S66+T66+U66)))))</f>
        <v>0</v>
      </c>
      <c r="W67" s="64">
        <f>IF(AND(W64=0,W65=0),0,IF(W64&lt;=0,0,IF(WEEKDAY(W$6,1)=1,0,IF(WEEKDAY(W$6,1)=7,W64*W65,MAX(0,W65-8)*W64)))+((IF(W64&lt;=0,0,IF(WEEKDAY(W$6,1)=1,0,IF(WEEKDAY(W$6,1)=7,0,MIN(8,W65)*W64))))-MIN(IF(W64&lt;=0,0,IF(WEEKDAY(W$6,1)=1,0,IF(WEEKDAY(W$6,1)=7,0,MIN(8,W65)*W64))),MAX(0,40*MAX(1,W64)-(R66+S66+T66+U66+V66)))))</f>
        <v>0</v>
      </c>
      <c r="X67" s="64">
        <f>IF(AND(X64=0,X65=0),0,IF(X64&lt;=0,0,IF(WEEKDAY(X$6,1)=1,0,IF(WEEKDAY(X$6,1)=7,X64*X65,MAX(0,X65-8)*X64)))+((IF(X64&lt;=0,0,IF(WEEKDAY(X$6,1)=1,0,IF(WEEKDAY(X$6,1)=7,0,MIN(8,X65)*X64))))-MIN(IF(X64&lt;=0,0,IF(WEEKDAY(X$6,1)=1,0,IF(WEEKDAY(X$6,1)=7,0,MIN(8,X65)*X64))),MAX(0,40*MAX(1,X64)-(R66+S66+T66+U66+V66+W66)))))</f>
        <v>0</v>
      </c>
      <c r="Y67" s="63">
        <f>IF(AND(Y64=0,Y65=0),0,IF(Y64&lt;=0,0,IF(WEEKDAY(Y$6,1)=1,0,IF(WEEKDAY(Y$6,1)=7,Y64*Y65,MAX(0,Y65-8)*Y64)))+((IF(Y64&lt;=0,0,IF(WEEKDAY(Y$6,1)=1,0,IF(WEEKDAY(Y$6,1)=7,0,MIN(8,Y65)*Y64))))-MIN(IF(Y64&lt;=0,0,IF(WEEKDAY(Y$6,1)=1,0,IF(WEEKDAY(Y$6,1)=7,0,MIN(8,Y65)*Y64))),MAX(0,40*MAX(1,Y64)-(0)))))</f>
        <v>0</v>
      </c>
      <c r="Z67" s="63">
        <f>IF(AND(Z64=0,Z65=0),0,IF(Z64&lt;=0,0,IF(WEEKDAY(Z$6,1)=1,0,IF(WEEKDAY(Z$6,1)=7,Z64*Z65,MAX(0,Z65-8)*Z64)))+((IF(Z64&lt;=0,0,IF(WEEKDAY(Z$6,1)=1,0,IF(WEEKDAY(Z$6,1)=7,0,MIN(8,Z65)*Z64))))-MIN(IF(Z64&lt;=0,0,IF(WEEKDAY(Z$6,1)=1,0,IF(WEEKDAY(Z$6,1)=7,0,MIN(8,Z65)*Z64))),MAX(0,40*MAX(1,Z64)-(Y66)))))</f>
        <v>0</v>
      </c>
      <c r="AA67" s="63">
        <f>IF(AND(AA64=0,AA65=0),0,IF(AA64&lt;=0,0,IF(WEEKDAY(AA$6,1)=1,0,IF(WEEKDAY(AA$6,1)=7,AA64*AA65,MAX(0,AA65-8)*AA64)))+((IF(AA64&lt;=0,0,IF(WEEKDAY(AA$6,1)=1,0,IF(WEEKDAY(AA$6,1)=7,0,MIN(8,AA65)*AA64))))-MIN(IF(AA64&lt;=0,0,IF(WEEKDAY(AA$6,1)=1,0,IF(WEEKDAY(AA$6,1)=7,0,MIN(8,AA65)*AA64))),MAX(0,40*MAX(1,AA64)-(Y66+Z66)))))</f>
        <v>0</v>
      </c>
      <c r="AB67" s="63">
        <f>IF(AND(AB64=0,AB65=0),0,IF(AB64&lt;=0,0,IF(WEEKDAY(AB$6,1)=1,0,IF(WEEKDAY(AB$6,1)=7,AB64*AB65,MAX(0,AB65-8)*AB64)))+((IF(AB64&lt;=0,0,IF(WEEKDAY(AB$6,1)=1,0,IF(WEEKDAY(AB$6,1)=7,0,MIN(8,AB65)*AB64))))-MIN(IF(AB64&lt;=0,0,IF(WEEKDAY(AB$6,1)=1,0,IF(WEEKDAY(AB$6,1)=7,0,MIN(8,AB65)*AB64))),MAX(0,40*MAX(1,AB64)-(Y66+Z66+AA66)))))</f>
        <v>0</v>
      </c>
      <c r="AC67" s="63">
        <f>IF(AND(AC64=0,AC65=0),0,IF(AC64&lt;=0,0,IF(WEEKDAY(AC$6,1)=1,0,IF(WEEKDAY(AC$6,1)=7,AC64*AC65,MAX(0,AC65-8)*AC64)))+((IF(AC64&lt;=0,0,IF(WEEKDAY(AC$6,1)=1,0,IF(WEEKDAY(AC$6,1)=7,0,MIN(8,AC65)*AC64))))-MIN(IF(AC64&lt;=0,0,IF(WEEKDAY(AC$6,1)=1,0,IF(WEEKDAY(AC$6,1)=7,0,MIN(8,AC65)*AC64))),MAX(0,40*MAX(1,AC64)-(Y66+Z66+AA66+AB66)))))</f>
        <v>0</v>
      </c>
      <c r="AD67" s="64">
        <f>IF(AND(AD64=0,AD65=0),0,IF(AD64&lt;=0,0,IF(WEEKDAY(AD$6,1)=1,0,IF(WEEKDAY(AD$6,1)=7,AD64*AD65,MAX(0,AD65-8)*AD64)))+((IF(AD64&lt;=0,0,IF(WEEKDAY(AD$6,1)=1,0,IF(WEEKDAY(AD$6,1)=7,0,MIN(8,AD65)*AD64))))-MIN(IF(AD64&lt;=0,0,IF(WEEKDAY(AD$6,1)=1,0,IF(WEEKDAY(AD$6,1)=7,0,MIN(8,AD65)*AD64))),MAX(0,40*MAX(1,AD64)-(Y66+Z66+AA66+AB66+AC66)))))</f>
        <v>0</v>
      </c>
      <c r="AE67" s="64">
        <f>IF(AND(AE64=0,AE65=0),0,IF(AE64&lt;=0,0,IF(WEEKDAY(AE$6,1)=1,0,IF(WEEKDAY(AE$6,1)=7,AE64*AE65,MAX(0,AE65-8)*AE64)))+((IF(AE64&lt;=0,0,IF(WEEKDAY(AE$6,1)=1,0,IF(WEEKDAY(AE$6,1)=7,0,MIN(8,AE65)*AE64))))-MIN(IF(AE64&lt;=0,0,IF(WEEKDAY(AE$6,1)=1,0,IF(WEEKDAY(AE$6,1)=7,0,MIN(8,AE65)*AE64))),MAX(0,40*MAX(1,AE64)-(Y66+Z66+AA66+AB66+AC66+AD66)))))</f>
        <v>0</v>
      </c>
      <c r="AF67" s="63">
        <f>IF(AND(AF64=0,AF65=0),0,IF(AF64&lt;=0,0,IF(WEEKDAY(AF$6,1)=1,0,IF(WEEKDAY(AF$6,1)=7,AF64*AF65,MAX(0,AF65-8)*AF64)))+((IF(AF64&lt;=0,0,IF(WEEKDAY(AF$6,1)=1,0,IF(WEEKDAY(AF$6,1)=7,0,MIN(8,AF65)*AF64))))-MIN(IF(AF64&lt;=0,0,IF(WEEKDAY(AF$6,1)=1,0,IF(WEEKDAY(AF$6,1)=7,0,MIN(8,AF65)*AF64))),MAX(0,40*MAX(1,AF64)-(0)))))</f>
        <v>0</v>
      </c>
      <c r="AG67" s="63">
        <f>IF(AND(AG64=0,AG65=0),0,IF(AG64&lt;=0,0,IF(WEEKDAY(AG$6,1)=1,0,IF(WEEKDAY(AG$6,1)=7,AG64*AG65,MAX(0,AG65-8)*AG64)))+((IF(AG64&lt;=0,0,IF(WEEKDAY(AG$6,1)=1,0,IF(WEEKDAY(AG$6,1)=7,0,MIN(8,AG65)*AG64))))-MIN(IF(AG64&lt;=0,0,IF(WEEKDAY(AG$6,1)=1,0,IF(WEEKDAY(AG$6,1)=7,0,MIN(8,AG65)*AG64))),MAX(0,40*MAX(1,AG64)-(AF66)))))</f>
        <v>0</v>
      </c>
      <c r="AH67" s="63">
        <f>IF(AND(AH64=0,AH65=0),0,IF(AH64&lt;=0,0,IF(WEEKDAY(AH$6,1)=1,0,IF(WEEKDAY(AH$6,1)=7,AH64*AH65,MAX(0,AH65-8)*AH64)))+((IF(AH64&lt;=0,0,IF(WEEKDAY(AH$6,1)=1,0,IF(WEEKDAY(AH$6,1)=7,0,MIN(8,AH65)*AH64))))-MIN(IF(AH64&lt;=0,0,IF(WEEKDAY(AH$6,1)=1,0,IF(WEEKDAY(AH$6,1)=7,0,MIN(8,AH65)*AH64))),MAX(0,40*MAX(1,AH64)-(AF66+AG66)))))</f>
        <v>0</v>
      </c>
      <c r="AI67" s="63">
        <f>IF(AND(AI64=0,AI65=0),0,IF(AI64&lt;=0,0,IF(WEEKDAY(AI$6,1)=1,0,IF(WEEKDAY(AI$6,1)=7,AI64*AI65,MAX(0,AI65-8)*AI64)))+((IF(AI64&lt;=0,0,IF(WEEKDAY(AI$6,1)=1,0,IF(WEEKDAY(AI$6,1)=7,0,MIN(8,AI65)*AI64))))-MIN(IF(AI64&lt;=0,0,IF(WEEKDAY(AI$6,1)=1,0,IF(WEEKDAY(AI$6,1)=7,0,MIN(8,AI65)*AI64))),MAX(0,40*MAX(1,AI64)-(AF66+AG66+AH66)))))</f>
        <v>0</v>
      </c>
      <c r="AJ67" s="63">
        <f>IF(AND(AJ64=0,AJ65=0),0,IF(AJ64&lt;=0,0,IF(WEEKDAY(AJ$6,1)=1,0,IF(WEEKDAY(AJ$6,1)=7,AJ64*AJ65,MAX(0,AJ65-8)*AJ64)))+((IF(AJ64&lt;=0,0,IF(WEEKDAY(AJ$6,1)=1,0,IF(WEEKDAY(AJ$6,1)=7,0,MIN(8,AJ65)*AJ64))))-MIN(IF(AJ64&lt;=0,0,IF(WEEKDAY(AJ$6,1)=1,0,IF(WEEKDAY(AJ$6,1)=7,0,MIN(8,AJ65)*AJ64))),MAX(0,40*MAX(1,AJ64)-(AF66+AG66+AH66+AI66)))))</f>
        <v>0</v>
      </c>
      <c r="AK67" s="64">
        <f>IF(AND(AK64=0,AK65=0),0,IF(AK64&lt;=0,0,IF(WEEKDAY(AK$6,1)=1,0,IF(WEEKDAY(AK$6,1)=7,AK64*AK65,MAX(0,AK65-8)*AK64)))+((IF(AK64&lt;=0,0,IF(WEEKDAY(AK$6,1)=1,0,IF(WEEKDAY(AK$6,1)=7,0,MIN(8,AK65)*AK64))))-MIN(IF(AK64&lt;=0,0,IF(WEEKDAY(AK$6,1)=1,0,IF(WEEKDAY(AK$6,1)=7,0,MIN(8,AK65)*AK64))),MAX(0,40*MAX(1,AK64)-(AF66+AG66+AH66+AI66+AJ66)))))</f>
        <v>0</v>
      </c>
      <c r="AL67" s="64">
        <f>IF(AND(AL64=0,AL65=0),0,IF(AL64&lt;=0,0,IF(WEEKDAY(AL$6,1)=1,0,IF(WEEKDAY(AL$6,1)=7,AL64*AL65,MAX(0,AL65-8)*AL64)))+((IF(AL64&lt;=0,0,IF(WEEKDAY(AL$6,1)=1,0,IF(WEEKDAY(AL$6,1)=7,0,MIN(8,AL65)*AL64))))-MIN(IF(AL64&lt;=0,0,IF(WEEKDAY(AL$6,1)=1,0,IF(WEEKDAY(AL$6,1)=7,0,MIN(8,AL65)*AL64))),MAX(0,40*MAX(1,AL64)-(AF66+AG66+AH66+AI66+AJ66+AK66)))))</f>
        <v>0</v>
      </c>
      <c r="AM67" s="63">
        <f>IF(AND(AM64=0,AM65=0),0,IF(AM64&lt;=0,0,IF(WEEKDAY(AM$6,1)=1,0,IF(WEEKDAY(AM$6,1)=7,AM64*AM65,MAX(0,AM65-8)*AM64)))+((IF(AM64&lt;=0,0,IF(WEEKDAY(AM$6,1)=1,0,IF(WEEKDAY(AM$6,1)=7,0,MIN(8,AM65)*AM64))))-MIN(IF(AM64&lt;=0,0,IF(WEEKDAY(AM$6,1)=1,0,IF(WEEKDAY(AM$6,1)=7,0,MIN(8,AM65)*AM64))),MAX(0,40*MAX(1,AM64)-(0)))))</f>
        <v>0</v>
      </c>
      <c r="AN67" s="63">
        <f>IF(AND(AN64=0,AN65=0),0,IF(AN64&lt;=0,0,IF(WEEKDAY(AN$6,1)=1,0,IF(WEEKDAY(AN$6,1)=7,AN64*AN65,MAX(0,AN65-8)*AN64)))+((IF(AN64&lt;=0,0,IF(WEEKDAY(AN$6,1)=1,0,IF(WEEKDAY(AN$6,1)=7,0,MIN(8,AN65)*AN64))))-MIN(IF(AN64&lt;=0,0,IF(WEEKDAY(AN$6,1)=1,0,IF(WEEKDAY(AN$6,1)=7,0,MIN(8,AN65)*AN64))),MAX(0,40*MAX(1,AN64)-(AM66)))))</f>
        <v>0</v>
      </c>
      <c r="AO67" s="63">
        <f>IF(AND(AO64=0,AO65=0),0,IF(AO64&lt;=0,0,IF(WEEKDAY(AO$6,1)=1,0,IF(WEEKDAY(AO$6,1)=7,AO64*AO65,MAX(0,AO65-8)*AO64)))+((IF(AO64&lt;=0,0,IF(WEEKDAY(AO$6,1)=1,0,IF(WEEKDAY(AO$6,1)=7,0,MIN(8,AO65)*AO64))))-MIN(IF(AO64&lt;=0,0,IF(WEEKDAY(AO$6,1)=1,0,IF(WEEKDAY(AO$6,1)=7,0,MIN(8,AO65)*AO64))),MAX(0,40*MAX(1,AO64)-(AM66+AN66)))))</f>
        <v>0</v>
      </c>
      <c r="AP67" s="63">
        <f>IF(AND(AP64=0,AP65=0),0,IF(AP64&lt;=0,0,IF(WEEKDAY(AP$6,1)=1,0,IF(WEEKDAY(AP$6,1)=7,AP64*AP65,MAX(0,AP65-8)*AP64)))+((IF(AP64&lt;=0,0,IF(WEEKDAY(AP$6,1)=1,0,IF(WEEKDAY(AP$6,1)=7,0,MIN(8,AP65)*AP64))))-MIN(IF(AP64&lt;=0,0,IF(WEEKDAY(AP$6,1)=1,0,IF(WEEKDAY(AP$6,1)=7,0,MIN(8,AP65)*AP64))),MAX(0,40*MAX(1,AP64)-(AM66+AN66+AO66)))))</f>
        <v>0</v>
      </c>
      <c r="AQ67" s="63">
        <f>IF(AND(AQ64=0,AQ65=0),0,IF(AQ64&lt;=0,0,IF(WEEKDAY(AQ$6,1)=1,0,IF(WEEKDAY(AQ$6,1)=7,AQ64*AQ65,MAX(0,AQ65-8)*AQ64)))+((IF(AQ64&lt;=0,0,IF(WEEKDAY(AQ$6,1)=1,0,IF(WEEKDAY(AQ$6,1)=7,0,MIN(8,AQ65)*AQ64))))-MIN(IF(AQ64&lt;=0,0,IF(WEEKDAY(AQ$6,1)=1,0,IF(WEEKDAY(AQ$6,1)=7,0,MIN(8,AQ65)*AQ64))),MAX(0,40*MAX(1,AQ64)-(AM66+AN66+AO66+AP66)))))</f>
        <v>0</v>
      </c>
      <c r="AR67" s="64">
        <f>IF(AND(AR64=0,AR65=0),0,IF(AR64&lt;=0,0,IF(WEEKDAY(AR$6,1)=1,0,IF(WEEKDAY(AR$6,1)=7,AR64*AR65,MAX(0,AR65-8)*AR64)))+((IF(AR64&lt;=0,0,IF(WEEKDAY(AR$6,1)=1,0,IF(WEEKDAY(AR$6,1)=7,0,MIN(8,AR65)*AR64))))-MIN(IF(AR64&lt;=0,0,IF(WEEKDAY(AR$6,1)=1,0,IF(WEEKDAY(AR$6,1)=7,0,MIN(8,AR65)*AR64))),MAX(0,40*MAX(1,AR64)-(AM66+AN66+AO66+AP66+AQ66)))))</f>
        <v>0</v>
      </c>
      <c r="AS67" s="64">
        <f>IF(AND(AS64=0,AS65=0),0,IF(AS64&lt;=0,0,IF(WEEKDAY(AS$6,1)=1,0,IF(WEEKDAY(AS$6,1)=7,AS64*AS65,MAX(0,AS65-8)*AS64)))+((IF(AS64&lt;=0,0,IF(WEEKDAY(AS$6,1)=1,0,IF(WEEKDAY(AS$6,1)=7,0,MIN(8,AS65)*AS64))))-MIN(IF(AS64&lt;=0,0,IF(WEEKDAY(AS$6,1)=1,0,IF(WEEKDAY(AS$6,1)=7,0,MIN(8,AS65)*AS64))),MAX(0,40*MAX(1,AS64)-(AM66+AN66+AO66+AP66+AQ66+AR66)))))</f>
        <v>0</v>
      </c>
      <c r="AT67" s="63">
        <f>IF(AND(AT64=0,AT65=0),0,IF(AT64&lt;=0,0,IF(WEEKDAY(AT$6,1)=1,0,IF(WEEKDAY(AT$6,1)=7,AT64*AT65,MAX(0,AT65-8)*AT64)))+((IF(AT64&lt;=0,0,IF(WEEKDAY(AT$6,1)=1,0,IF(WEEKDAY(AT$6,1)=7,0,MIN(8,AT65)*AT64))))-MIN(IF(AT64&lt;=0,0,IF(WEEKDAY(AT$6,1)=1,0,IF(WEEKDAY(AT$6,1)=7,0,MIN(8,AT65)*AT64))),MAX(0,40*MAX(1,AT64)-(0)))))</f>
        <v>0</v>
      </c>
      <c r="AU67" s="63">
        <f>IF(AND(AU64=0,AU65=0),0,IF(AU64&lt;=0,0,IF(WEEKDAY(AU$6,1)=1,0,IF(WEEKDAY(AU$6,1)=7,AU64*AU65,MAX(0,AU65-8)*AU64)))+((IF(AU64&lt;=0,0,IF(WEEKDAY(AU$6,1)=1,0,IF(WEEKDAY(AU$6,1)=7,0,MIN(8,AU65)*AU64))))-MIN(IF(AU64&lt;=0,0,IF(WEEKDAY(AU$6,1)=1,0,IF(WEEKDAY(AU$6,1)=7,0,MIN(8,AU65)*AU64))),MAX(0,40*MAX(1,AU64)-(AT66)))))</f>
        <v>0</v>
      </c>
      <c r="AV67" s="63">
        <f>IF(AND(AV64=0,AV65=0),0,IF(AV64&lt;=0,0,IF(WEEKDAY(AV$6,1)=1,0,IF(WEEKDAY(AV$6,1)=7,AV64*AV65,MAX(0,AV65-8)*AV64)))+((IF(AV64&lt;=0,0,IF(WEEKDAY(AV$6,1)=1,0,IF(WEEKDAY(AV$6,1)=7,0,MIN(8,AV65)*AV64))))-MIN(IF(AV64&lt;=0,0,IF(WEEKDAY(AV$6,1)=1,0,IF(WEEKDAY(AV$6,1)=7,0,MIN(8,AV65)*AV64))),MAX(0,40*MAX(1,AV64)-(AT66+AU66)))))</f>
        <v>0</v>
      </c>
      <c r="AW67" s="63">
        <f>IF(AND(AW64=0,AW65=0),0,IF(AW64&lt;=0,0,IF(WEEKDAY(AW$6,1)=1,0,IF(WEEKDAY(AW$6,1)=7,AW64*AW65,MAX(0,AW65-8)*AW64)))+((IF(AW64&lt;=0,0,IF(WEEKDAY(AW$6,1)=1,0,IF(WEEKDAY(AW$6,1)=7,0,MIN(8,AW65)*AW64))))-MIN(IF(AW64&lt;=0,0,IF(WEEKDAY(AW$6,1)=1,0,IF(WEEKDAY(AW$6,1)=7,0,MIN(8,AW65)*AW64))),MAX(0,40*MAX(1,AW64)-(AT66+AU66+AV66)))))</f>
        <v>0</v>
      </c>
      <c r="AX67" s="63">
        <f>IF(AND(AX64=0,AX65=0),0,IF(AX64&lt;=0,0,IF(WEEKDAY(AX$6,1)=1,0,IF(WEEKDAY(AX$6,1)=7,AX64*AX65,MAX(0,AX65-8)*AX64)))+((IF(AX64&lt;=0,0,IF(WEEKDAY(AX$6,1)=1,0,IF(WEEKDAY(AX$6,1)=7,0,MIN(8,AX65)*AX64))))-MIN(IF(AX64&lt;=0,0,IF(WEEKDAY(AX$6,1)=1,0,IF(WEEKDAY(AX$6,1)=7,0,MIN(8,AX65)*AX64))),MAX(0,40*MAX(1,AX64)-(AT66+AU66+AV66+AW66)))))</f>
        <v>0</v>
      </c>
      <c r="AY67" s="64">
        <f>IF(AND(AY64=0,AY65=0),0,IF(AY64&lt;=0,0,IF(WEEKDAY(AY$6,1)=1,0,IF(WEEKDAY(AY$6,1)=7,AY64*AY65,MAX(0,AY65-8)*AY64)))+((IF(AY64&lt;=0,0,IF(WEEKDAY(AY$6,1)=1,0,IF(WEEKDAY(AY$6,1)=7,0,MIN(8,AY65)*AY64))))-MIN(IF(AY64&lt;=0,0,IF(WEEKDAY(AY$6,1)=1,0,IF(WEEKDAY(AY$6,1)=7,0,MIN(8,AY65)*AY64))),MAX(0,40*MAX(1,AY64)-(AT66+AU66+AV66+AW66+AX66)))))</f>
        <v>0</v>
      </c>
      <c r="AZ67" s="64">
        <f>IF(AND(AZ64=0,AZ65=0),0,IF(AZ64&lt;=0,0,IF(WEEKDAY(AZ$6,1)=1,0,IF(WEEKDAY(AZ$6,1)=7,AZ64*AZ65,MAX(0,AZ65-8)*AZ64)))+((IF(AZ64&lt;=0,0,IF(WEEKDAY(AZ$6,1)=1,0,IF(WEEKDAY(AZ$6,1)=7,0,MIN(8,AZ65)*AZ64))))-MIN(IF(AZ64&lt;=0,0,IF(WEEKDAY(AZ$6,1)=1,0,IF(WEEKDAY(AZ$6,1)=7,0,MIN(8,AZ65)*AZ64))),MAX(0,40*MAX(1,AZ64)-(AT66+AU66+AV66+AW66+AX66+AY66)))))</f>
        <v>0</v>
      </c>
      <c r="BA67" s="63">
        <f>IF(AND(BA64=0,BA65=0),0,IF(BA64&lt;=0,0,IF(WEEKDAY(BA$6,1)=1,0,IF(WEEKDAY(BA$6,1)=7,BA64*BA65,MAX(0,BA65-8)*BA64)))+((IF(BA64&lt;=0,0,IF(WEEKDAY(BA$6,1)=1,0,IF(WEEKDAY(BA$6,1)=7,0,MIN(8,BA65)*BA64))))-MIN(IF(BA64&lt;=0,0,IF(WEEKDAY(BA$6,1)=1,0,IF(WEEKDAY(BA$6,1)=7,0,MIN(8,BA65)*BA64))),MAX(0,40*MAX(1,BA64)-(0)))))</f>
        <v>0</v>
      </c>
      <c r="BB67" s="63">
        <f>IF(AND(BB64=0,BB65=0),0,IF(BB64&lt;=0,0,IF(WEEKDAY(BB$6,1)=1,0,IF(WEEKDAY(BB$6,1)=7,BB64*BB65,MAX(0,BB65-8)*BB64)))+((IF(BB64&lt;=0,0,IF(WEEKDAY(BB$6,1)=1,0,IF(WEEKDAY(BB$6,1)=7,0,MIN(8,BB65)*BB64))))-MIN(IF(BB64&lt;=0,0,IF(WEEKDAY(BB$6,1)=1,0,IF(WEEKDAY(BB$6,1)=7,0,MIN(8,BB65)*BB64))),MAX(0,40*MAX(1,BB64)-(BA66)))))</f>
        <v>0</v>
      </c>
      <c r="BC67" s="63">
        <f>IF(AND(BC64=0,BC65=0),0,IF(BC64&lt;=0,0,IF(WEEKDAY(BC$6,1)=1,0,IF(WEEKDAY(BC$6,1)=7,BC64*BC65,MAX(0,BC65-8)*BC64)))+((IF(BC64&lt;=0,0,IF(WEEKDAY(BC$6,1)=1,0,IF(WEEKDAY(BC$6,1)=7,0,MIN(8,BC65)*BC64))))-MIN(IF(BC64&lt;=0,0,IF(WEEKDAY(BC$6,1)=1,0,IF(WEEKDAY(BC$6,1)=7,0,MIN(8,BC65)*BC64))),MAX(0,40*MAX(1,BC64)-(BA66+BB66)))))</f>
        <v>0</v>
      </c>
      <c r="BD67" s="63">
        <f>IF(AND(BD64=0,BD65=0),0,IF(BD64&lt;=0,0,IF(WEEKDAY(BD$6,1)=1,0,IF(WEEKDAY(BD$6,1)=7,BD64*BD65,MAX(0,BD65-8)*BD64)))+((IF(BD64&lt;=0,0,IF(WEEKDAY(BD$6,1)=1,0,IF(WEEKDAY(BD$6,1)=7,0,MIN(8,BD65)*BD64))))-MIN(IF(BD64&lt;=0,0,IF(WEEKDAY(BD$6,1)=1,0,IF(WEEKDAY(BD$6,1)=7,0,MIN(8,BD65)*BD64))),MAX(0,40*MAX(1,BD64)-(BA66+BB66+BC66)))))</f>
        <v>0</v>
      </c>
      <c r="BE67" s="63">
        <f>IF(AND(BE64=0,BE65=0),0,IF(BE64&lt;=0,0,IF(WEEKDAY(BE$6,1)=1,0,IF(WEEKDAY(BE$6,1)=7,BE64*BE65,MAX(0,BE65-8)*BE64)))+((IF(BE64&lt;=0,0,IF(WEEKDAY(BE$6,1)=1,0,IF(WEEKDAY(BE$6,1)=7,0,MIN(8,BE65)*BE64))))-MIN(IF(BE64&lt;=0,0,IF(WEEKDAY(BE$6,1)=1,0,IF(WEEKDAY(BE$6,1)=7,0,MIN(8,BE65)*BE64))),MAX(0,40*MAX(1,BE64)-(BA66+BB66+BC66+BD66)))))</f>
        <v>0</v>
      </c>
      <c r="BF67" s="64">
        <f>IF(AND(BF64=0,BF65=0),0,IF(BF64&lt;=0,0,IF(WEEKDAY(BF$6,1)=1,0,IF(WEEKDAY(BF$6,1)=7,BF64*BF65,MAX(0,BF65-8)*BF64)))+((IF(BF64&lt;=0,0,IF(WEEKDAY(BF$6,1)=1,0,IF(WEEKDAY(BF$6,1)=7,0,MIN(8,BF65)*BF64))))-MIN(IF(BF64&lt;=0,0,IF(WEEKDAY(BF$6,1)=1,0,IF(WEEKDAY(BF$6,1)=7,0,MIN(8,BF65)*BF64))),MAX(0,40*MAX(1,BF64)-(BA66+BB66+BC66+BD66+BE66)))))</f>
        <v>0</v>
      </c>
      <c r="BG67" s="64">
        <f>IF(AND(BG64=0,BG65=0),0,IF(BG64&lt;=0,0,IF(WEEKDAY(BG$6,1)=1,0,IF(WEEKDAY(BG$6,1)=7,BG64*BG65,MAX(0,BG65-8)*BG64)))+((IF(BG64&lt;=0,0,IF(WEEKDAY(BG$6,1)=1,0,IF(WEEKDAY(BG$6,1)=7,0,MIN(8,BG65)*BG64))))-MIN(IF(BG64&lt;=0,0,IF(WEEKDAY(BG$6,1)=1,0,IF(WEEKDAY(BG$6,1)=7,0,MIN(8,BG65)*BG64))),MAX(0,40*MAX(1,BG64)-(BA66+BB66+BC66+BD66+BE66+BF66)))))</f>
        <v>0</v>
      </c>
      <c r="BH67" s="63">
        <f>IF(AND(BH64=2,BH65=10),4,IF(BH64&lt;=0,0,IF(WEEKDAY(BH$6,1)=1,0,IF(WEEKDAY(BH$6,1)=7,BH64*BH65,MAX(0,BH65-8)*BH64)))+((IF(BH64&lt;=0,0,IF(WEEKDAY(BH$6,1)=1,0,IF(WEEKDAY(BH$6,1)=7,0,MIN(8,BH65)*BH64))))-MIN(IF(BH64&lt;=0,0,IF(WEEKDAY(BH$6,1)=1,0,IF(WEEKDAY(BH$6,1)=7,0,MIN(8,BH65)*BH64))),MAX(0,40*MAX(1,BH64)-(0)))))</f>
        <v>4</v>
      </c>
      <c r="BI67" s="63">
        <f>IF(AND(BI64=2,BI65=10),4,IF(BI64&lt;=0,0,IF(WEEKDAY(BI$6,1)=1,0,IF(WEEKDAY(BI$6,1)=7,BI64*BI65,MAX(0,BI65-8)*BI64)))+((IF(BI64&lt;=0,0,IF(WEEKDAY(BI$6,1)=1,0,IF(WEEKDAY(BI$6,1)=7,0,MIN(8,BI65)*BI64))))-MIN(IF(BI64&lt;=0,0,IF(WEEKDAY(BI$6,1)=1,0,IF(WEEKDAY(BI$6,1)=7,0,MIN(8,BI65)*BI64))),MAX(0,40*MAX(1,BI64)-(BH66)))))</f>
        <v>4</v>
      </c>
      <c r="BJ67" s="63">
        <f>IF(AND(BJ64=2,BJ65=10),4,IF(BJ64&lt;=0,0,IF(WEEKDAY(BJ$6,1)=1,0,IF(WEEKDAY(BJ$6,1)=7,BJ64*BJ65,MAX(0,BJ65-8)*BJ64)))+((IF(BJ64&lt;=0,0,IF(WEEKDAY(BJ$6,1)=1,0,IF(WEEKDAY(BJ$6,1)=7,0,MIN(8,BJ65)*BJ64))))-MIN(IF(BJ64&lt;=0,0,IF(WEEKDAY(BJ$6,1)=1,0,IF(WEEKDAY(BJ$6,1)=7,0,MIN(8,BJ65)*BJ64))),MAX(0,40*MAX(1,BJ64)-(BH66+BI66)))))</f>
        <v>4</v>
      </c>
      <c r="BK67" s="63">
        <f>IF(AND(BK64=2,BK65=10),4,IF(BK64&lt;=0,0,IF(WEEKDAY(BK$6,1)=1,0,IF(WEEKDAY(BK$6,1)=7,BK64*BK65,MAX(0,BK65-8)*BK64)))+((IF(BK64&lt;=0,0,IF(WEEKDAY(BK$6,1)=1,0,IF(WEEKDAY(BK$6,1)=7,0,MIN(8,BK65)*BK64))))-MIN(IF(BK64&lt;=0,0,IF(WEEKDAY(BK$6,1)=1,0,IF(WEEKDAY(BK$6,1)=7,0,MIN(8,BK65)*BK64))),MAX(0,40*MAX(1,BK64)-(BH66+BI66+BJ66)))))</f>
        <v>4</v>
      </c>
      <c r="BL67" s="63">
        <f>IF(AND(BL64=2,BL65=10),4,IF(BL64&lt;=0,0,IF(WEEKDAY(BL$6,1)=1,0,IF(WEEKDAY(BL$6,1)=7,BL64*BL65,MAX(0,BL65-8)*BL64)))+((IF(BL64&lt;=0,0,IF(WEEKDAY(BL$6,1)=1,0,IF(WEEKDAY(BL$6,1)=7,0,MIN(8,BL65)*BL64))))-MIN(IF(BL64&lt;=0,0,IF(WEEKDAY(BL$6,1)=1,0,IF(WEEKDAY(BL$6,1)=7,0,MIN(8,BL65)*BL64))),MAX(0,40*MAX(1,BL64)-(BH66+BI66+BJ66+BK66)))))</f>
        <v>4</v>
      </c>
      <c r="BM67" s="64">
        <f>IF(AND(BM64=2,BM65=10),20,IF(BM64&lt;=0,0,IF(WEEKDAY(BM$6,1)=1,0,IF(WEEKDAY(BM$6,1)=7,BM64*BM65,MAX(0,BM65-8)*BM64)))+((IF(BM64&lt;=0,0,IF(WEEKDAY(BM$6,1)=1,0,IF(WEEKDAY(BM$6,1)=7,0,MIN(8,BM65)*BM64))))-MIN(IF(BM64&lt;=0,0,IF(WEEKDAY(BM$6,1)=1,0,IF(WEEKDAY(BM$6,1)=7,0,MIN(8,BM65)*BM64))),MAX(0,40*MAX(1,BM64)-(BH66+BI66+BJ66+BK66+BL66)))))</f>
        <v>20</v>
      </c>
      <c r="BN67" s="64">
        <f>IF(AND(BN64=2,BN65=10),0,IF(BN64&lt;=0,0,IF(WEEKDAY(BN$6,1)=1,0,IF(WEEKDAY(BN$6,1)=7,BN64*BN65,MAX(0,BN65-8)*BN64)))+((IF(BN64&lt;=0,0,IF(WEEKDAY(BN$6,1)=1,0,IF(WEEKDAY(BN$6,1)=7,0,MIN(8,BN65)*BN64))))-MIN(IF(BN64&lt;=0,0,IF(WEEKDAY(BN$6,1)=1,0,IF(WEEKDAY(BN$6,1)=7,0,MIN(8,BN65)*BN64))),MAX(0,40*MAX(1,BN64)-(BH66+BI66+BJ66+BK66+BL66+BM66)))))</f>
        <v>0</v>
      </c>
      <c r="BO67" s="63">
        <f>IF(AND(BO64=2,BO65=10),4,IF(BO64&lt;=0,0,IF(WEEKDAY(BO$6,1)=1,0,IF(WEEKDAY(BO$6,1)=7,BO64*BO65,MAX(0,BO65-8)*BO64)))+((IF(BO64&lt;=0,0,IF(WEEKDAY(BO$6,1)=1,0,IF(WEEKDAY(BO$6,1)=7,0,MIN(8,BO65)*BO64))))-MIN(IF(BO64&lt;=0,0,IF(WEEKDAY(BO$6,1)=1,0,IF(WEEKDAY(BO$6,1)=7,0,MIN(8,BO65)*BO64))),MAX(0,40*MAX(1,BO64)-(0)))))</f>
        <v>4</v>
      </c>
      <c r="BP67" s="63">
        <f>IF(AND(BP64=2,BP65=10),4,IF(BP64&lt;=0,0,IF(WEEKDAY(BP$6,1)=1,0,IF(WEEKDAY(BP$6,1)=7,BP64*BP65,MAX(0,BP65-8)*BP64)))+((IF(BP64&lt;=0,0,IF(WEEKDAY(BP$6,1)=1,0,IF(WEEKDAY(BP$6,1)=7,0,MIN(8,BP65)*BP64))))-MIN(IF(BP64&lt;=0,0,IF(WEEKDAY(BP$6,1)=1,0,IF(WEEKDAY(BP$6,1)=7,0,MIN(8,BP65)*BP64))),MAX(0,40*MAX(1,BP64)-(BO66)))))</f>
        <v>4</v>
      </c>
      <c r="BQ67" s="63">
        <f>IF(AND(BQ64=2,BQ65=10),4,IF(BQ64&lt;=0,0,IF(WEEKDAY(BQ$6,1)=1,0,IF(WEEKDAY(BQ$6,1)=7,BQ64*BQ65,MAX(0,BQ65-8)*BQ64)))+((IF(BQ64&lt;=0,0,IF(WEEKDAY(BQ$6,1)=1,0,IF(WEEKDAY(BQ$6,1)=7,0,MIN(8,BQ65)*BQ64))))-MIN(IF(BQ64&lt;=0,0,IF(WEEKDAY(BQ$6,1)=1,0,IF(WEEKDAY(BQ$6,1)=7,0,MIN(8,BQ65)*BQ64))),MAX(0,40*MAX(1,BQ64)-(BO66+BP66)))))</f>
        <v>4</v>
      </c>
      <c r="BR67" s="63">
        <f>IF(AND(BR64=2,BR65=10),4,IF(BR64&lt;=0,0,IF(WEEKDAY(BR$6,1)=1,0,IF(WEEKDAY(BR$6,1)=7,BR64*BR65,MAX(0,BR65-8)*BR64)))+((IF(BR64&lt;=0,0,IF(WEEKDAY(BR$6,1)=1,0,IF(WEEKDAY(BR$6,1)=7,0,MIN(8,BR65)*BR64))))-MIN(IF(BR64&lt;=0,0,IF(WEEKDAY(BR$6,1)=1,0,IF(WEEKDAY(BR$6,1)=7,0,MIN(8,BR65)*BR64))),MAX(0,40*MAX(1,BR64)-(0)))))</f>
        <v>4</v>
      </c>
      <c r="BS67" s="63">
        <f>IF(AND(BS64=2,BS65=10),4,IF(BS64&lt;=0,0,IF(WEEKDAY(BS$6,1)=1,0,IF(WEEKDAY(BS$6,1)=7,BS64*BS65,MAX(0,BS65-8)*BS64)))+((IF(BS64&lt;=0,0,IF(WEEKDAY(BS$6,1)=1,0,IF(WEEKDAY(BS$6,1)=7,0,MIN(8,BS65)*BS64))))-MIN(IF(BS64&lt;=0,0,IF(WEEKDAY(BS$6,1)=1,0,IF(WEEKDAY(BS$6,1)=7,0,MIN(8,BS65)*BS64))),MAX(0,40*MAX(1,BS64)-(BR66)))))</f>
        <v>4</v>
      </c>
      <c r="BT67" s="64">
        <f>IF(AND(BT64=2,BT65=10),20,IF(BT64&lt;=0,0,IF(WEEKDAY(BT$6,1)=1,0,IF(WEEKDAY(BT$6,1)=7,BT64*BT65,MAX(0,BT65-8)*BT64)))+((IF(BT64&lt;=0,0,IF(WEEKDAY(BT$6,1)=1,0,IF(WEEKDAY(BT$6,1)=7,0,MIN(8,BT65)*BT64))))-MIN(IF(BT64&lt;=0,0,IF(WEEKDAY(BT$6,1)=1,0,IF(WEEKDAY(BT$6,1)=7,0,MIN(8,BT65)*BT64))),MAX(0,40*MAX(1,BT64)-(BR66+BS66)))))</f>
        <v>20</v>
      </c>
      <c r="BU67" s="64">
        <f>IF(AND(BU64=2,BU65=10),0,IF(BU64&lt;=0,0,IF(WEEKDAY(BU$6,1)=1,0,IF(WEEKDAY(BU$6,1)=7,BU64*BU65,MAX(0,BU65-8)*BU64)))+((IF(BU64&lt;=0,0,IF(WEEKDAY(BU$6,1)=1,0,IF(WEEKDAY(BU$6,1)=7,0,MIN(8,BU65)*BU64))))-MIN(IF(BU64&lt;=0,0,IF(WEEKDAY(BU$6,1)=1,0,IF(WEEKDAY(BU$6,1)=7,0,MIN(8,BU65)*BU64))),MAX(0,40*MAX(1,BU64)-(BR66+BS66+BT66)))))</f>
        <v>0</v>
      </c>
      <c r="BV67" s="63">
        <f>IF(AND(BV64=2,BV65=10),4,IF(BV64&lt;=0,0,IF(WEEKDAY(BV$6,1)=1,0,IF(WEEKDAY(BV$6,1)=7,BV64*BV65,MAX(0,BV65-8)*BV64)))+((IF(BV64&lt;=0,0,IF(WEEKDAY(BV$6,1)=1,0,IF(WEEKDAY(BV$6,1)=7,0,MIN(8,BV65)*BV64))))-MIN(IF(BV64&lt;=0,0,IF(WEEKDAY(BV$6,1)=1,0,IF(WEEKDAY(BV$6,1)=7,0,MIN(8,BV65)*BV64))),MAX(0,40*MAX(1,BV64)-(0)))))</f>
        <v>4</v>
      </c>
      <c r="BW67" s="63">
        <f>IF(AND(BW64=2,BW65=10),4,IF(BW64&lt;=0,0,IF(WEEKDAY(BW$6,1)=1,0,IF(WEEKDAY(BW$6,1)=7,BW64*BW65,MAX(0,BW65-8)*BW64)))+((IF(BW64&lt;=0,0,IF(WEEKDAY(BW$6,1)=1,0,IF(WEEKDAY(BW$6,1)=7,0,MIN(8,BW65)*BW64))))-MIN(IF(BW64&lt;=0,0,IF(WEEKDAY(BW$6,1)=1,0,IF(WEEKDAY(BW$6,1)=7,0,MIN(8,BW65)*BW64))),MAX(0,40*MAX(1,BW64)-(BV66)))))</f>
        <v>4</v>
      </c>
      <c r="BX67" s="63">
        <f>IF(AND(BX64=2,BX65=10),4,IF(BX64&lt;=0,0,IF(WEEKDAY(BX$6,1)=1,0,IF(WEEKDAY(BX$6,1)=7,BX64*BX65,MAX(0,BX65-8)*BX64)))+((IF(BX64&lt;=0,0,IF(WEEKDAY(BX$6,1)=1,0,IF(WEEKDAY(BX$6,1)=7,0,MIN(8,BX65)*BX64))))-MIN(IF(BX64&lt;=0,0,IF(WEEKDAY(BX$6,1)=1,0,IF(WEEKDAY(BX$6,1)=7,0,MIN(8,BX65)*BX64))),MAX(0,40*MAX(1,BX64)-(BV66+BW66)))))</f>
        <v>4</v>
      </c>
      <c r="BY67" s="63">
        <f>IF(AND(BY64=2,BY65=10),4,IF(BY64&lt;=0,0,IF(WEEKDAY(BY$6,1)=1,0,IF(WEEKDAY(BY$6,1)=7,BY64*BY65,MAX(0,BY65-8)*BY64)))+((IF(BY64&lt;=0,0,IF(WEEKDAY(BY$6,1)=1,0,IF(WEEKDAY(BY$6,1)=7,0,MIN(8,BY65)*BY64))))-MIN(IF(BY64&lt;=0,0,IF(WEEKDAY(BY$6,1)=1,0,IF(WEEKDAY(BY$6,1)=7,0,MIN(8,BY65)*BY64))),MAX(0,40*MAX(1,BY64)-(BV66+BW66+BX66)))))</f>
        <v>4</v>
      </c>
      <c r="BZ67" s="63">
        <f>IF(AND(BZ64=2,BZ65=10),4,IF(BZ64&lt;=0,0,IF(WEEKDAY(BZ$6,1)=1,0,IF(WEEKDAY(BZ$6,1)=7,BZ64*BZ65,MAX(0,BZ65-8)*BZ64)))+((IF(BZ64&lt;=0,0,IF(WEEKDAY(BZ$6,1)=1,0,IF(WEEKDAY(BZ$6,1)=7,0,MIN(8,BZ65)*BZ64))))-MIN(IF(BZ64&lt;=0,0,IF(WEEKDAY(BZ$6,1)=1,0,IF(WEEKDAY(BZ$6,1)=7,0,MIN(8,BZ65)*BZ64))),MAX(0,40*MAX(1,BZ64)-(BV66+BW66+BX66+BY66)))))</f>
        <v>4</v>
      </c>
      <c r="CA67" s="64">
        <f>IF(AND(CA64=2,CA65=10),20,IF(CA64&lt;=0,0,IF(WEEKDAY(CA$6,1)=1,0,IF(WEEKDAY(CA$6,1)=7,CA64*CA65,MAX(0,CA65-8)*CA64)))+((IF(CA64&lt;=0,0,IF(WEEKDAY(CA$6,1)=1,0,IF(WEEKDAY(CA$6,1)=7,0,MIN(8,CA65)*CA64))))-MIN(IF(CA64&lt;=0,0,IF(WEEKDAY(CA$6,1)=1,0,IF(WEEKDAY(CA$6,1)=7,0,MIN(8,CA65)*CA64))),MAX(0,40*MAX(1,CA64)-(BV66+BW66+BX66+BY66+BZ66)))))</f>
        <v>20</v>
      </c>
      <c r="CB67" s="64">
        <f>IF(AND(CB64=2,CB65=10),0,IF(CB64&lt;=0,0,IF(WEEKDAY(CB$6,1)=1,0,IF(WEEKDAY(CB$6,1)=7,CB64*CB65,MAX(0,CB65-8)*CB64)))+((IF(CB64&lt;=0,0,IF(WEEKDAY(CB$6,1)=1,0,IF(WEEKDAY(CB$6,1)=7,0,MIN(8,CB65)*CB64))))-MIN(IF(CB64&lt;=0,0,IF(WEEKDAY(CB$6,1)=1,0,IF(WEEKDAY(CB$6,1)=7,0,MIN(8,CB65)*CB64))),MAX(0,40*MAX(1,CB64)-(BV66+BW66+BX66+BY66+BZ66+CA66)))))</f>
        <v>0</v>
      </c>
      <c r="CC67" s="63">
        <f>IF(AND(CC64=2,CC65=10),4,IF(CC64&lt;=0,0,IF(WEEKDAY(CC$6,1)=1,0,IF(WEEKDAY(CC$6,1)=7,CC64*CC65,MAX(0,CC65-8)*CC64)))+((IF(CC64&lt;=0,0,IF(WEEKDAY(CC$6,1)=1,0,IF(WEEKDAY(CC$6,1)=7,0,MIN(8,CC65)*CC64))))-MIN(IF(CC64&lt;=0,0,IF(WEEKDAY(CC$6,1)=1,0,IF(WEEKDAY(CC$6,1)=7,0,MIN(8,CC65)*CC64))),MAX(0,40*MAX(1,CC64)-(0)))))</f>
        <v>4</v>
      </c>
      <c r="CD67" s="63">
        <f>IF(AND(CD64=2,CD65=10),4,IF(CD64&lt;=0,0,IF(WEEKDAY(CD$6,1)=1,0,IF(WEEKDAY(CD$6,1)=7,CD64*CD65,MAX(0,CD65-8)*CD64)))+((IF(CD64&lt;=0,0,IF(WEEKDAY(CD$6,1)=1,0,IF(WEEKDAY(CD$6,1)=7,0,MIN(8,CD65)*CD64))))-MIN(IF(CD64&lt;=0,0,IF(WEEKDAY(CD$6,1)=1,0,IF(WEEKDAY(CD$6,1)=7,0,MIN(8,CD65)*CD64))),MAX(0,40*MAX(1,CD64)-(CC66)))))</f>
        <v>4</v>
      </c>
      <c r="CE67" s="63">
        <f>IF(AND(CE64=2,CE65=10),4,IF(CE64&lt;=0,0,IF(WEEKDAY(CE$6,1)=1,0,IF(WEEKDAY(CE$6,1)=7,CE64*CE65,MAX(0,CE65-8)*CE64)))+((IF(CE64&lt;=0,0,IF(WEEKDAY(CE$6,1)=1,0,IF(WEEKDAY(CE$6,1)=7,0,MIN(8,CE65)*CE64))))-MIN(IF(CE64&lt;=0,0,IF(WEEKDAY(CE$6,1)=1,0,IF(WEEKDAY(CE$6,1)=7,0,MIN(8,CE65)*CE64))),MAX(0,40*MAX(1,CE64)-(CC66+CD66)))))</f>
        <v>4</v>
      </c>
      <c r="CF67" s="63">
        <f>IF(AND(CF64=2,CF65=10),4,IF(CF64&lt;=0,0,IF(WEEKDAY(CF$6,1)=1,0,IF(WEEKDAY(CF$6,1)=7,CF64*CF65,MAX(0,CF65-8)*CF64)))+((IF(CF64&lt;=0,0,IF(WEEKDAY(CF$6,1)=1,0,IF(WEEKDAY(CF$6,1)=7,0,MIN(8,CF65)*CF64))))-MIN(IF(CF64&lt;=0,0,IF(WEEKDAY(CF$6,1)=1,0,IF(WEEKDAY(CF$6,1)=7,0,MIN(8,CF65)*CF64))),MAX(0,40*MAX(1,CF64)-(CC66+CD66+CE66)))))</f>
        <v>4</v>
      </c>
      <c r="CG67" s="63">
        <f>IF(AND(CG64=2,CG65=10),4,IF(CG64&lt;=0,0,IF(WEEKDAY(CG$6,1)=1,0,IF(WEEKDAY(CG$6,1)=7,CG64*CG65,MAX(0,CG65-8)*CG64)))+((IF(CG64&lt;=0,0,IF(WEEKDAY(CG$6,1)=1,0,IF(WEEKDAY(CG$6,1)=7,0,MIN(8,CG65)*CG64))))-MIN(IF(CG64&lt;=0,0,IF(WEEKDAY(CG$6,1)=1,0,IF(WEEKDAY(CG$6,1)=7,0,MIN(8,CG65)*CG64))),MAX(0,40*MAX(1,CG64)-(CC66+CD66+CE66+CF66)))))</f>
        <v>4</v>
      </c>
      <c r="CH67" s="64">
        <f>IF(AND(CH64=2,CH65=10),20,IF(CH64&lt;=0,0,IF(WEEKDAY(CH$6,1)=1,0,IF(WEEKDAY(CH$6,1)=7,CH64*CH65,MAX(0,CH65-8)*CH64)))+((IF(CH64&lt;=0,0,IF(WEEKDAY(CH$6,1)=1,0,IF(WEEKDAY(CH$6,1)=7,0,MIN(8,CH65)*CH64))))-MIN(IF(CH64&lt;=0,0,IF(WEEKDAY(CH$6,1)=1,0,IF(WEEKDAY(CH$6,1)=7,0,MIN(8,CH65)*CH64))),MAX(0,40*MAX(1,CH64)-(CC66+CD66+CE66+CF66+CG66)))))</f>
        <v>20</v>
      </c>
      <c r="CI67" s="64">
        <f>IF(AND(CI64=2,CI65=10),0,IF(CI64&lt;=0,0,IF(WEEKDAY(CI$6,1)=1,0,IF(WEEKDAY(CI$6,1)=7,CI64*CI65,MAX(0,CI65-8)*CI64)))+((IF(CI64&lt;=0,0,IF(WEEKDAY(CI$6,1)=1,0,IF(WEEKDAY(CI$6,1)=7,0,MIN(8,CI65)*CI64))))-MIN(IF(CI64&lt;=0,0,IF(WEEKDAY(CI$6,1)=1,0,IF(WEEKDAY(CI$6,1)=7,0,MIN(8,CI65)*CI64))),MAX(0,40*MAX(1,CI64)-(CC66+CD66+CE66+CF66+CG66+CH66)))))</f>
        <v>0</v>
      </c>
      <c r="CJ67" s="63">
        <f>IF(AND(CJ64=2,CJ65=10),4,IF(CJ64&lt;=0,0,IF(WEEKDAY(CJ$6,1)=1,0,IF(WEEKDAY(CJ$6,1)=7,CJ64*CJ65,MAX(0,CJ65-8)*CJ64)))+((IF(CJ64&lt;=0,0,IF(WEEKDAY(CJ$6,1)=1,0,IF(WEEKDAY(CJ$6,1)=7,0,MIN(8,CJ65)*CJ64))))-MIN(IF(CJ64&lt;=0,0,IF(WEEKDAY(CJ$6,1)=1,0,IF(WEEKDAY(CJ$6,1)=7,0,MIN(8,CJ65)*CJ64))),MAX(0,40*MAX(1,CJ64)-(0)))))</f>
        <v>4</v>
      </c>
      <c r="CK67" s="63">
        <f>IF(AND(CK64=2,CK65=10),4,IF(CK64&lt;=0,0,IF(WEEKDAY(CK$6,1)=1,0,IF(WEEKDAY(CK$6,1)=7,CK64*CK65,MAX(0,CK65-8)*CK64)))+((IF(CK64&lt;=0,0,IF(WEEKDAY(CK$6,1)=1,0,IF(WEEKDAY(CK$6,1)=7,0,MIN(8,CK65)*CK64))))-MIN(IF(CK64&lt;=0,0,IF(WEEKDAY(CK$6,1)=1,0,IF(WEEKDAY(CK$6,1)=7,0,MIN(8,CK65)*CK64))),MAX(0,40*MAX(1,CK64)-(CJ66)))))</f>
        <v>4</v>
      </c>
      <c r="CL67" s="63">
        <f>IF(AND(CL64=2,CL65=10),4,IF(CL64&lt;=0,0,IF(WEEKDAY(CL$6,1)=1,0,IF(WEEKDAY(CL$6,1)=7,CL64*CL65,MAX(0,CL65-8)*CL64)))+((IF(CL64&lt;=0,0,IF(WEEKDAY(CL$6,1)=1,0,IF(WEEKDAY(CL$6,1)=7,0,MIN(8,CL65)*CL64))))-MIN(IF(CL64&lt;=0,0,IF(WEEKDAY(CL$6,1)=1,0,IF(WEEKDAY(CL$6,1)=7,0,MIN(8,CL65)*CL64))),MAX(0,40*MAX(1,CL64)-(CJ66+CK66)))))</f>
        <v>4</v>
      </c>
      <c r="CM67" s="63">
        <f>IF(AND(CM64=2,CM65=10),4,IF(CM64&lt;=0,0,IF(WEEKDAY(CM$6,1)=1,0,IF(WEEKDAY(CM$6,1)=7,CM64*CM65,MAX(0,CM65-8)*CM64)))+((IF(CM64&lt;=0,0,IF(WEEKDAY(CM$6,1)=1,0,IF(WEEKDAY(CM$6,1)=7,0,MIN(8,CM65)*CM64))))-MIN(IF(CM64&lt;=0,0,IF(WEEKDAY(CM$6,1)=1,0,IF(WEEKDAY(CM$6,1)=7,0,MIN(8,CM65)*CM64))),MAX(0,40*MAX(1,CM64)-(CJ66+CK66+CL66)))))</f>
        <v>4</v>
      </c>
      <c r="CN67" s="63">
        <f>IF(AND(CN64=2,CN65=10),4,IF(CN64&lt;=0,0,IF(WEEKDAY(CN$6,1)=1,0,IF(WEEKDAY(CN$6,1)=7,CN64*CN65,MAX(0,CN65-8)*CN64)))+((IF(CN64&lt;=0,0,IF(WEEKDAY(CN$6,1)=1,0,IF(WEEKDAY(CN$6,1)=7,0,MIN(8,CN65)*CN64))))-MIN(IF(CN64&lt;=0,0,IF(WEEKDAY(CN$6,1)=1,0,IF(WEEKDAY(CN$6,1)=7,0,MIN(8,CN65)*CN64))),MAX(0,40*MAX(1,CN64)-(CJ66+CK66+CL66+CM66)))))</f>
        <v>4</v>
      </c>
      <c r="CO67" s="64">
        <f>IF(AND(CO64=2,CO65=10),20,IF(CO64&lt;=0,0,IF(WEEKDAY(CO$6,1)=1,0,IF(WEEKDAY(CO$6,1)=7,CO64*CO65,MAX(0,CO65-8)*CO64)))+((IF(CO64&lt;=0,0,IF(WEEKDAY(CO$6,1)=1,0,IF(WEEKDAY(CO$6,1)=7,0,MIN(8,CO65)*CO64))))-MIN(IF(CO64&lt;=0,0,IF(WEEKDAY(CO$6,1)=1,0,IF(WEEKDAY(CO$6,1)=7,0,MIN(8,CO65)*CO64))),MAX(0,40*MAX(1,CO64)-(CJ66+CK66+CL66+CM66+CN66)))))</f>
        <v>20</v>
      </c>
      <c r="CP67" s="64">
        <f>IF(AND(CP64=2,CP65=10),0,IF(CP64&lt;=0,0,IF(WEEKDAY(CP$6,1)=1,0,IF(WEEKDAY(CP$6,1)=7,CP64*CP65,MAX(0,CP65-8)*CP64)))+((IF(CP64&lt;=0,0,IF(WEEKDAY(CP$6,1)=1,0,IF(WEEKDAY(CP$6,1)=7,0,MIN(8,CP65)*CP64))))-MIN(IF(CP64&lt;=0,0,IF(WEEKDAY(CP$6,1)=1,0,IF(WEEKDAY(CP$6,1)=7,0,MIN(8,CP65)*CP64))),MAX(0,40*MAX(1,CP64)-(CJ66+CK66+CL66+CM66+CN66+CO66)))))</f>
        <v>0</v>
      </c>
      <c r="CQ67" s="63">
        <f>IF(AND(CQ64=2,CQ65=10),4,IF(CQ64&lt;=0,0,IF(WEEKDAY(CQ$6,1)=1,0,IF(WEEKDAY(CQ$6,1)=7,CQ64*CQ65,MAX(0,CQ65-8)*CQ64)))+((IF(CQ64&lt;=0,0,IF(WEEKDAY(CQ$6,1)=1,0,IF(WEEKDAY(CQ$6,1)=7,0,MIN(8,CQ65)*CQ64))))-MIN(IF(CQ64&lt;=0,0,IF(WEEKDAY(CQ$6,1)=1,0,IF(WEEKDAY(CQ$6,1)=7,0,MIN(8,CQ65)*CQ64))),MAX(0,40*MAX(1,CQ64)-(0)))))</f>
        <v>4</v>
      </c>
      <c r="CR67" s="63">
        <f>IF(AND(CR64=2,CR65=10),4,IF(CR64&lt;=0,0,IF(WEEKDAY(CR$6,1)=1,0,IF(WEEKDAY(CR$6,1)=7,CR64*CR65,MAX(0,CR65-8)*CR64)))+((IF(CR64&lt;=0,0,IF(WEEKDAY(CR$6,1)=1,0,IF(WEEKDAY(CR$6,1)=7,0,MIN(8,CR65)*CR64))))-MIN(IF(CR64&lt;=0,0,IF(WEEKDAY(CR$6,1)=1,0,IF(WEEKDAY(CR$6,1)=7,0,MIN(8,CR65)*CR64))),MAX(0,40*MAX(1,CR64)-(CQ66)))))</f>
        <v>4</v>
      </c>
      <c r="CS67" s="63">
        <f>IF(AND(CS64=2,CS65=10),4,IF(CS64&lt;=0,0,IF(WEEKDAY(CS$6,1)=1,0,IF(WEEKDAY(CS$6,1)=7,CS64*CS65,MAX(0,CS65-8)*CS64)))+((IF(CS64&lt;=0,0,IF(WEEKDAY(CS$6,1)=1,0,IF(WEEKDAY(CS$6,1)=7,0,MIN(8,CS65)*CS64))))-MIN(IF(CS64&lt;=0,0,IF(WEEKDAY(CS$6,1)=1,0,IF(WEEKDAY(CS$6,1)=7,0,MIN(8,CS65)*CS64))),MAX(0,40*MAX(1,CS64)-(CQ66+CR66)))))</f>
        <v>4</v>
      </c>
      <c r="CT67" s="63">
        <f>IF(AND(CT64=2,CT65=10),4,IF(CT64&lt;=0,0,IF(WEEKDAY(CT$6,1)=1,0,IF(WEEKDAY(CT$6,1)=7,CT64*CT65,MAX(0,CT65-8)*CT64)))+((IF(CT64&lt;=0,0,IF(WEEKDAY(CT$6,1)=1,0,IF(WEEKDAY(CT$6,1)=7,0,MIN(8,CT65)*CT64))))-MIN(IF(CT64&lt;=0,0,IF(WEEKDAY(CT$6,1)=1,0,IF(WEEKDAY(CT$6,1)=7,0,MIN(8,CT65)*CT64))),MAX(0,40*MAX(1,CT64)-(CQ66+CR66+CS66)))))</f>
        <v>4</v>
      </c>
      <c r="CU67" s="63">
        <f>IF(AND(CU64=2,CU65=10),4,IF(CU64&lt;=0,0,IF(WEEKDAY(CU$6,1)=1,0,IF(WEEKDAY(CU$6,1)=7,CU64*CU65,MAX(0,CU65-8)*CU64)))+((IF(CU64&lt;=0,0,IF(WEEKDAY(CU$6,1)=1,0,IF(WEEKDAY(CU$6,1)=7,0,MIN(8,CU65)*CU64))))-MIN(IF(CU64&lt;=0,0,IF(WEEKDAY(CU$6,1)=1,0,IF(WEEKDAY(CU$6,1)=7,0,MIN(8,CU65)*CU64))),MAX(0,40*MAX(1,CU64)-(CQ66+CR66+CS66+CT66)))))</f>
        <v>4</v>
      </c>
      <c r="CV67" s="64">
        <f>IF(AND(CV64=2,CV65=10),20,IF(CV64&lt;=0,0,IF(WEEKDAY(CV$6,1)=1,0,IF(WEEKDAY(CV$6,1)=7,CV64*CV65,MAX(0,CV65-8)*CV64)))+((IF(CV64&lt;=0,0,IF(WEEKDAY(CV$6,1)=1,0,IF(WEEKDAY(CV$6,1)=7,0,MIN(8,CV65)*CV64))))-MIN(IF(CV64&lt;=0,0,IF(WEEKDAY(CV$6,1)=1,0,IF(WEEKDAY(CV$6,1)=7,0,MIN(8,CV65)*CV64))),MAX(0,40*MAX(1,CV64)-(CQ66+CR66+CS66+CT66+CU66)))))</f>
        <v>20</v>
      </c>
      <c r="CW67" s="64">
        <f>IF(AND(CW64=2,CW65=10),0,IF(CW64&lt;=0,0,IF(WEEKDAY(CW$6,1)=1,0,IF(WEEKDAY(CW$6,1)=7,CW64*CW65,MAX(0,CW65-8)*CW64)))+((IF(CW64&lt;=0,0,IF(WEEKDAY(CW$6,1)=1,0,IF(WEEKDAY(CW$6,1)=7,0,MIN(8,CW65)*CW64))))-MIN(IF(CW64&lt;=0,0,IF(WEEKDAY(CW$6,1)=1,0,IF(WEEKDAY(CW$6,1)=7,0,MIN(8,CW65)*CW64))),MAX(0,40*MAX(1,CW64)-(CQ66+CR66+CS66+CT66+CU66+CV66)))))</f>
        <v>0</v>
      </c>
      <c r="CX67" s="63">
        <f>IF(AND(CX64=2,CX65=10),4,IF(CX64&lt;=0,0,IF(WEEKDAY(CX$6,1)=1,0,IF(WEEKDAY(CX$6,1)=7,CX64*CX65,MAX(0,CX65-8)*CX64)))+((IF(CX64&lt;=0,0,IF(WEEKDAY(CX$6,1)=1,0,IF(WEEKDAY(CX$6,1)=7,0,MIN(8,CX65)*CX64))))-MIN(IF(CX64&lt;=0,0,IF(WEEKDAY(CX$6,1)=1,0,IF(WEEKDAY(CX$6,1)=7,0,MIN(8,CX65)*CX64))),MAX(0,40*MAX(1,CX64)-(0)))))</f>
        <v>4</v>
      </c>
      <c r="CY67" s="63">
        <f>IF(AND(CY64=2,CY65=10),4,IF(CY64&lt;=0,0,IF(WEEKDAY(CY$6,1)=1,0,IF(WEEKDAY(CY$6,1)=7,CY64*CY65,MAX(0,CY65-8)*CY64)))+((IF(CY64&lt;=0,0,IF(WEEKDAY(CY$6,1)=1,0,IF(WEEKDAY(CY$6,1)=7,0,MIN(8,CY65)*CY64))))-MIN(IF(CY64&lt;=0,0,IF(WEEKDAY(CY$6,1)=1,0,IF(WEEKDAY(CY$6,1)=7,0,MIN(8,CY65)*CY64))),MAX(0,40*MAX(1,CY64)-(CX66)))))</f>
        <v>4</v>
      </c>
      <c r="CZ67" s="63">
        <f>IF(AND(CZ64=2,CZ65=10),4,IF(CZ64&lt;=0,0,IF(WEEKDAY(CZ$6,1)=1,0,IF(WEEKDAY(CZ$6,1)=7,CZ64*CZ65,MAX(0,CZ65-8)*CZ64)))+((IF(CZ64&lt;=0,0,IF(WEEKDAY(CZ$6,1)=1,0,IF(WEEKDAY(CZ$6,1)=7,0,MIN(8,CZ65)*CZ64))))-MIN(IF(CZ64&lt;=0,0,IF(WEEKDAY(CZ$6,1)=1,0,IF(WEEKDAY(CZ$6,1)=7,0,MIN(8,CZ65)*CZ64))),MAX(0,40*MAX(1,CZ64)-(CX66+CY66)))))</f>
        <v>4</v>
      </c>
      <c r="DA67" s="63">
        <f>IF(AND(DA64=2,DA65=10),4,IF(DA64&lt;=0,0,IF(WEEKDAY(DA$6,1)=1,0,IF(WEEKDAY(DA$6,1)=7,DA64*DA65,MAX(0,DA65-8)*DA64)))+((IF(DA64&lt;=0,0,IF(WEEKDAY(DA$6,1)=1,0,IF(WEEKDAY(DA$6,1)=7,0,MIN(8,DA65)*DA64))))-MIN(IF(DA64&lt;=0,0,IF(WEEKDAY(DA$6,1)=1,0,IF(WEEKDAY(DA$6,1)=7,0,MIN(8,DA65)*DA64))),MAX(0,40*MAX(1,DA64)-(CX66+CY66+CZ66)))))</f>
        <v>4</v>
      </c>
      <c r="DB67" s="63">
        <f>IF(AND(DB64=2,DB65=10),4,IF(DB64&lt;=0,0,IF(WEEKDAY(DB$6,1)=1,0,IF(WEEKDAY(DB$6,1)=7,DB64*DB65,MAX(0,DB65-8)*DB64)))+((IF(DB64&lt;=0,0,IF(WEEKDAY(DB$6,1)=1,0,IF(WEEKDAY(DB$6,1)=7,0,MIN(8,DB65)*DB64))))-MIN(IF(DB64&lt;=0,0,IF(WEEKDAY(DB$6,1)=1,0,IF(WEEKDAY(DB$6,1)=7,0,MIN(8,DB65)*DB64))),MAX(0,40*MAX(1,DB64)-(CX66+CY66+CZ66+DA66)))))</f>
        <v>4</v>
      </c>
      <c r="DC67" s="64">
        <f>IF(AND(DC64=2,DC65=10),20,IF(DC64&lt;=0,0,IF(WEEKDAY(DC$6,1)=1,0,IF(WEEKDAY(DC$6,1)=7,DC64*DC65,MAX(0,DC65-8)*DC64)))+((IF(DC64&lt;=0,0,IF(WEEKDAY(DC$6,1)=1,0,IF(WEEKDAY(DC$6,1)=7,0,MIN(8,DC65)*DC64))))-MIN(IF(DC64&lt;=0,0,IF(WEEKDAY(DC$6,1)=1,0,IF(WEEKDAY(DC$6,1)=7,0,MIN(8,DC65)*DC64))),MAX(0,40*MAX(1,DC64)-(CX66+CY66+CZ66+DA66+DB66)))))</f>
        <v>20</v>
      </c>
      <c r="DD67" s="64">
        <f>IF(AND(DD64=2,DD65=10),0,IF(DD64&lt;=0,0,IF(WEEKDAY(DD$6,1)=1,0,IF(WEEKDAY(DD$6,1)=7,DD64*DD65,MAX(0,DD65-8)*DD64)))+((IF(DD64&lt;=0,0,IF(WEEKDAY(DD$6,1)=1,0,IF(WEEKDAY(DD$6,1)=7,0,MIN(8,DD65)*DD64))))-MIN(IF(DD64&lt;=0,0,IF(WEEKDAY(DD$6,1)=1,0,IF(WEEKDAY(DD$6,1)=7,0,MIN(8,DD65)*DD64))),MAX(0,40*MAX(1,DD64)-(0)))))</f>
        <v>0</v>
      </c>
      <c r="DE67" s="63">
        <f>IF(AND(DE64=2,DE65=10),4,IF(DE64&lt;=0,0,IF(WEEKDAY(DE$6,1)=1,0,IF(WEEKDAY(DE$6,1)=7,DE64*DE65,MAX(0,DE65-8)*DE64)))+((IF(DE64&lt;=0,0,IF(WEEKDAY(DE$6,1)=1,0,IF(WEEKDAY(DE$6,1)=7,0,MIN(8,DE65)*DE64))))-MIN(IF(DE64&lt;=0,0,IF(WEEKDAY(DE$6,1)=1,0,IF(WEEKDAY(DE$6,1)=7,0,MIN(8,DE65)*DE64))),MAX(0,40*MAX(1,DE64)-(0)))))</f>
        <v>4</v>
      </c>
      <c r="DF67" s="63">
        <f>IF(AND(DF64=2,DF65=10),4,IF(DF64&lt;=0,0,IF(WEEKDAY(DF$6,1)=1,0,IF(WEEKDAY(DF$6,1)=7,DF64*DF65,MAX(0,DF65-8)*DF64)))+((IF(DF64&lt;=0,0,IF(WEEKDAY(DF$6,1)=1,0,IF(WEEKDAY(DF$6,1)=7,0,MIN(8,DF65)*DF64))))-MIN(IF(DF64&lt;=0,0,IF(WEEKDAY(DF$6,1)=1,0,IF(WEEKDAY(DF$6,1)=7,0,MIN(8,DF65)*DF64))),MAX(0,40*MAX(1,DF64)-(DE66)))))</f>
        <v>4</v>
      </c>
      <c r="DG67" s="63">
        <f>IF(AND(DG64=2,DG65=10),4,IF(DG64&lt;=0,0,IF(WEEKDAY(DG$6,1)=1,0,IF(WEEKDAY(DG$6,1)=7,DG64*DG65,MAX(0,DG65-8)*DG64)))+((IF(DG64&lt;=0,0,IF(WEEKDAY(DG$6,1)=1,0,IF(WEEKDAY(DG$6,1)=7,0,MIN(8,DG65)*DG64))))-MIN(IF(DG64&lt;=0,0,IF(WEEKDAY(DG$6,1)=1,0,IF(WEEKDAY(DG$6,1)=7,0,MIN(8,DG65)*DG64))),MAX(0,40*MAX(1,DG64)-(DE66+DF66)))))</f>
        <v>4</v>
      </c>
      <c r="DH67" s="63">
        <f>IF(AND(DH64=2,DH65=10),4,IF(DH64&lt;=0,0,IF(WEEKDAY(DH$6,1)=1,0,IF(WEEKDAY(DH$6,1)=7,DH64*DH65,MAX(0,DH65-8)*DH64)))+((IF(DH64&lt;=0,0,IF(WEEKDAY(DH$6,1)=1,0,IF(WEEKDAY(DH$6,1)=7,0,MIN(8,DH65)*DH64))))-MIN(IF(DH64&lt;=0,0,IF(WEEKDAY(DH$6,1)=1,0,IF(WEEKDAY(DH$6,1)=7,0,MIN(8,DH65)*DH64))),MAX(0,40*MAX(1,DH64)-(DE66+DF66+DG66)))))</f>
        <v>4</v>
      </c>
      <c r="DI67" s="63">
        <f>IF(AND(DI64=2,DI65=10),4,IF(DI64&lt;=0,0,IF(WEEKDAY(DI$6,1)=1,0,IF(WEEKDAY(DI$6,1)=7,DI64*DI65,MAX(0,DI65-8)*DI64)))+((IF(DI64&lt;=0,0,IF(WEEKDAY(DI$6,1)=1,0,IF(WEEKDAY(DI$6,1)=7,0,MIN(8,DI65)*DI64))))-MIN(IF(DI64&lt;=0,0,IF(WEEKDAY(DI$6,1)=1,0,IF(WEEKDAY(DI$6,1)=7,0,MIN(8,DI65)*DI64))),MAX(0,40*MAX(1,DI64)-(DE66+DF66+DG66+DH66)))))</f>
        <v>4</v>
      </c>
      <c r="DJ67" s="64">
        <f>IF(AND(DJ64=2,DJ65=10),20,IF(DJ64&lt;=0,0,IF(WEEKDAY(DJ$6,1)=1,0,IF(WEEKDAY(DJ$6,1)=7,DJ64*DJ65,MAX(0,DJ65-8)*DJ64)))+((IF(DJ64&lt;=0,0,IF(WEEKDAY(DJ$6,1)=1,0,IF(WEEKDAY(DJ$6,1)=7,0,MIN(8,DJ65)*DJ64))))-MIN(IF(DJ64&lt;=0,0,IF(WEEKDAY(DJ$6,1)=1,0,IF(WEEKDAY(DJ$6,1)=7,0,MIN(8,DJ65)*DJ64))),MAX(0,40*MAX(1,DJ64)-(DE66+DF66+DG66+DH66+DI66)))))</f>
        <v>20</v>
      </c>
      <c r="DK67" s="64">
        <f>IF(AND(DK64=2,DK65=10),0,IF(DK64&lt;=0,0,IF(WEEKDAY(DK$6,1)=1,0,IF(WEEKDAY(DK$6,1)=7,DK64*DK65,MAX(0,DK65-8)*DK64)))+((IF(DK64&lt;=0,0,IF(WEEKDAY(DK$6,1)=1,0,IF(WEEKDAY(DK$6,1)=7,0,MIN(8,DK65)*DK64))))-MIN(IF(DK64&lt;=0,0,IF(WEEKDAY(DK$6,1)=1,0,IF(WEEKDAY(DK$6,1)=7,0,MIN(8,DK65)*DK64))),MAX(0,40*MAX(1,DK64)-(DE66+DF66+DG66+DH66+DI66+DJ66)))))</f>
        <v>0</v>
      </c>
      <c r="DL67" s="63">
        <f>IF(AND(DL64=2,DL65=10),4,IF(DL64&lt;=0,0,IF(WEEKDAY(DL$6,1)=1,0,IF(WEEKDAY(DL$6,1)=7,DL64*DL65,MAX(0,DL65-8)*DL64)))+((IF(DL64&lt;=0,0,IF(WEEKDAY(DL$6,1)=1,0,IF(WEEKDAY(DL$6,1)=7,0,MIN(8,DL65)*DL64))))-MIN(IF(DL64&lt;=0,0,IF(WEEKDAY(DL$6,1)=1,0,IF(WEEKDAY(DL$6,1)=7,0,MIN(8,DL65)*DL64))),MAX(0,40*MAX(1,DL64)-(0)))))</f>
        <v>4</v>
      </c>
      <c r="DM67" s="63">
        <f>IF(AND(DM64=2,DM65=10),4,IF(DM64&lt;=0,0,IF(WEEKDAY(DM$6,1)=1,0,IF(WEEKDAY(DM$6,1)=7,DM64*DM65,MAX(0,DM65-8)*DM64)))+((IF(DM64&lt;=0,0,IF(WEEKDAY(DM$6,1)=1,0,IF(WEEKDAY(DM$6,1)=7,0,MIN(8,DM65)*DM64))))-MIN(IF(DM64&lt;=0,0,IF(WEEKDAY(DM$6,1)=1,0,IF(WEEKDAY(DM$6,1)=7,0,MIN(8,DM65)*DM64))),MAX(0,40*MAX(1,DM64)-(DL66)))))</f>
        <v>4</v>
      </c>
      <c r="DN67" s="63">
        <f>IF(AND(DN64=2,DN65=10),4,IF(DN64&lt;=0,0,IF(WEEKDAY(DN$6,1)=1,0,IF(WEEKDAY(DN$6,1)=7,DN64*DN65,MAX(0,DN65-8)*DN64)))+((IF(DN64&lt;=0,0,IF(WEEKDAY(DN$6,1)=1,0,IF(WEEKDAY(DN$6,1)=7,0,MIN(8,DN65)*DN64))))-MIN(IF(DN64&lt;=0,0,IF(WEEKDAY(DN$6,1)=1,0,IF(WEEKDAY(DN$6,1)=7,0,MIN(8,DN65)*DN64))),MAX(0,40*MAX(1,DN64)-(DL66+DM66)))))</f>
        <v>4</v>
      </c>
      <c r="DO67" s="63">
        <f>IF(AND(DO64=2,DO65=10),4,IF(DO64&lt;=0,0,IF(WEEKDAY(DO$6,1)=1,0,IF(WEEKDAY(DO$6,1)=7,DO64*DO65,MAX(0,DO65-8)*DO64)))+((IF(DO64&lt;=0,0,IF(WEEKDAY(DO$6,1)=1,0,IF(WEEKDAY(DO$6,1)=7,0,MIN(8,DO65)*DO64))))-MIN(IF(DO64&lt;=0,0,IF(WEEKDAY(DO$6,1)=1,0,IF(WEEKDAY(DO$6,1)=7,0,MIN(8,DO65)*DO64))),MAX(0,40*MAX(1,DO64)-(DL66+DM66+DN66)))))</f>
        <v>4</v>
      </c>
      <c r="DP67" s="63">
        <f>IF(AND(DP64=2,DP65=10),4,IF(DP64&lt;=0,0,IF(WEEKDAY(DP$6,1)=1,0,IF(WEEKDAY(DP$6,1)=7,DP64*DP65,MAX(0,DP65-8)*DP64)))+((IF(DP64&lt;=0,0,IF(WEEKDAY(DP$6,1)=1,0,IF(WEEKDAY(DP$6,1)=7,0,MIN(8,DP65)*DP64))))-MIN(IF(DP64&lt;=0,0,IF(WEEKDAY(DP$6,1)=1,0,IF(WEEKDAY(DP$6,1)=7,0,MIN(8,DP65)*DP64))),MAX(0,40*MAX(1,DP64)-(DL66+DM66+DN66+DO66)))))</f>
        <v>4</v>
      </c>
      <c r="DQ67" s="64">
        <f>IF(AND(DQ64=2,DQ65=10),20,IF(DQ64&lt;=0,0,IF(WEEKDAY(DQ$6,1)=1,0,IF(WEEKDAY(DQ$6,1)=7,DQ64*DQ65,MAX(0,DQ65-8)*DQ64)))+((IF(DQ64&lt;=0,0,IF(WEEKDAY(DQ$6,1)=1,0,IF(WEEKDAY(DQ$6,1)=7,0,MIN(8,DQ65)*DQ64))))-MIN(IF(DQ64&lt;=0,0,IF(WEEKDAY(DQ$6,1)=1,0,IF(WEEKDAY(DQ$6,1)=7,0,MIN(8,DQ65)*DQ64))),MAX(0,40*MAX(1,DQ64)-(DL66+DM66+DN66+DO66+DP66)))))</f>
        <v>20</v>
      </c>
      <c r="DR67" s="64">
        <f>IF(AND(DR64=2,DR65=10),0,IF(DR64&lt;=0,0,IF(WEEKDAY(DR$6,1)=1,0,IF(WEEKDAY(DR$6,1)=7,DR64*DR65,MAX(0,DR65-8)*DR64)))+((IF(DR64&lt;=0,0,IF(WEEKDAY(DR$6,1)=1,0,IF(WEEKDAY(DR$6,1)=7,0,MIN(8,DR65)*DR64))))-MIN(IF(DR64&lt;=0,0,IF(WEEKDAY(DR$6,1)=1,0,IF(WEEKDAY(DR$6,1)=7,0,MIN(8,DR65)*DR64))),MAX(0,40*MAX(1,DR64)-(DL66+DM66+DN66+DO66+DP66+DQ66)))))</f>
        <v>0</v>
      </c>
      <c r="DS67" s="63">
        <f>IF(AND(DS64=2,DS65=10),4,IF(DS64&lt;=0,0,IF(WEEKDAY(DS$6,1)=1,0,IF(WEEKDAY(DS$6,1)=7,DS64*DS65,MAX(0,DS65-8)*DS64)))+((IF(DS64&lt;=0,0,IF(WEEKDAY(DS$6,1)=1,0,IF(WEEKDAY(DS$6,1)=7,0,MIN(8,DS65)*DS64))))-MIN(IF(DS64&lt;=0,0,IF(WEEKDAY(DS$6,1)=1,0,IF(WEEKDAY(DS$6,1)=7,0,MIN(8,DS65)*DS64))),MAX(0,40*MAX(1,DS64)-(0)))))</f>
        <v>4</v>
      </c>
      <c r="DT67" s="63">
        <f>IF(AND(DT64=0,DT65=0),0,IF(DT64&lt;=0,0,IF(WEEKDAY(DT$6,1)=1,0,IF(WEEKDAY(DT$6,1)=7,DT64*DT65,MAX(0,DT65-8)*DT64)))+((IF(DT64&lt;=0,0,IF(WEEKDAY(DT$6,1)=1,0,IF(WEEKDAY(DT$6,1)=7,0,MIN(8,DT65)*DT64))))-MIN(IF(DT64&lt;=0,0,IF(WEEKDAY(DT$6,1)=1,0,IF(WEEKDAY(DT$6,1)=7,0,MIN(8,DT65)*DT64))),MAX(0,40*MAX(1,DT64)-(0)))))</f>
        <v>0</v>
      </c>
      <c r="DU67" s="63">
        <f>IF(AND(DU64=0,DU65=0),0,IF(DU64&lt;=0,0,IF(WEEKDAY(DU$6,1)=1,0,IF(WEEKDAY(DU$6,1)=7,DU64*DU65,MAX(0,DU65-8)*DU64)))+((IF(DU64&lt;=0,0,IF(WEEKDAY(DU$6,1)=1,0,IF(WEEKDAY(DU$6,1)=7,0,MIN(8,DU65)*DU64))))-MIN(IF(DU64&lt;=0,0,IF(WEEKDAY(DU$6,1)=1,0,IF(WEEKDAY(DU$6,1)=7,0,MIN(8,DU65)*DU64))),MAX(0,40*MAX(1,DU64)-(DT66)))))</f>
        <v>0</v>
      </c>
      <c r="DV67" s="63">
        <f>IF(AND(DV64=0,DV65=0),0,IF(DV64&lt;=0,0,IF(WEEKDAY(DV$6,1)=1,0,IF(WEEKDAY(DV$6,1)=7,DV64*DV65,MAX(0,DV65-8)*DV64)))+((IF(DV64&lt;=0,0,IF(WEEKDAY(DV$6,1)=1,0,IF(WEEKDAY(DV$6,1)=7,0,MIN(8,DV65)*DV64))))-MIN(IF(DV64&lt;=0,0,IF(WEEKDAY(DV$6,1)=1,0,IF(WEEKDAY(DV$6,1)=7,0,MIN(8,DV65)*DV64))),MAX(0,40*MAX(1,DV64)-(DT66+DU66)))))</f>
        <v>0</v>
      </c>
      <c r="DW67" s="63">
        <f>IF(AND(DW64=0,DW65=0),0,IF(DW64&lt;=0,0,IF(WEEKDAY(DW$6,1)=1,0,IF(WEEKDAY(DW$6,1)=7,DW64*DW65,MAX(0,DW65-8)*DW64)))+((IF(DW64&lt;=0,0,IF(WEEKDAY(DW$6,1)=1,0,IF(WEEKDAY(DW$6,1)=7,0,MIN(8,DW65)*DW64))))-MIN(IF(DW64&lt;=0,0,IF(WEEKDAY(DW$6,1)=1,0,IF(WEEKDAY(DW$6,1)=7,0,MIN(8,DW65)*DW64))),MAX(0,40*MAX(1,DW64)-(DT66+DU66+DV66)))))</f>
        <v>0</v>
      </c>
      <c r="DX67" s="64">
        <f>IF(AND(DX64=0,DX65=0),0,IF(DX64&lt;=0,0,IF(WEEKDAY(DX$6,1)=1,0,IF(WEEKDAY(DX$6,1)=7,DX64*DX65,MAX(0,DX65-8)*DX64)))+((IF(DX64&lt;=0,0,IF(WEEKDAY(DX$6,1)=1,0,IF(WEEKDAY(DX$6,1)=7,0,MIN(8,DX65)*DX64))))-MIN(IF(DX64&lt;=0,0,IF(WEEKDAY(DX$6,1)=1,0,IF(WEEKDAY(DX$6,1)=7,0,MIN(8,DX65)*DX64))),MAX(0,40*MAX(1,DX64)-(DT66+DU66+DV66+DW66)))))</f>
        <v>0</v>
      </c>
      <c r="DY67" s="64">
        <f>IF(AND(DY64=0,DY65=0),0,IF(DY64&lt;=0,0,IF(WEEKDAY(DY$6,1)=1,0,IF(WEEKDAY(DY$6,1)=7,DY64*DY65,MAX(0,DY65-8)*DY64)))+((IF(DY64&lt;=0,0,IF(WEEKDAY(DY$6,1)=1,0,IF(WEEKDAY(DY$6,1)=7,0,MIN(8,DY65)*DY64))))-MIN(IF(DY64&lt;=0,0,IF(WEEKDAY(DY$6,1)=1,0,IF(WEEKDAY(DY$6,1)=7,0,MIN(8,DY65)*DY64))),MAX(0,40*MAX(1,DY64)-(DT66+DU66+DV66+DW66+DX66)))))</f>
        <v>0</v>
      </c>
      <c r="DZ67" s="63">
        <f>IF(AND(DZ64=0,DZ65=0),0,IF(DZ64&lt;=0,0,IF(WEEKDAY(DZ$6,1)=1,0,IF(WEEKDAY(DZ$6,1)=7,DZ64*DZ65,MAX(0,DZ65-8)*DZ64)))+((IF(DZ64&lt;=0,0,IF(WEEKDAY(DZ$6,1)=1,0,IF(WEEKDAY(DZ$6,1)=7,0,MIN(8,DZ65)*DZ64))))-MIN(IF(DZ64&lt;=0,0,IF(WEEKDAY(DZ$6,1)=1,0,IF(WEEKDAY(DZ$6,1)=7,0,MIN(8,DZ65)*DZ64))),MAX(0,40*MAX(1,DZ64)-(0)))))</f>
        <v>0</v>
      </c>
      <c r="EA67" s="63">
        <f>IF(AND(EA64=0,EA65=0),0,IF(EA64&lt;=0,0,IF(WEEKDAY(EA$6,1)=1,0,IF(WEEKDAY(EA$6,1)=7,EA64*EA65,MAX(0,EA65-8)*EA64)))+((IF(EA64&lt;=0,0,IF(WEEKDAY(EA$6,1)=1,0,IF(WEEKDAY(EA$6,1)=7,0,MIN(8,EA65)*EA64))))-MIN(IF(EA64&lt;=0,0,IF(WEEKDAY(EA$6,1)=1,0,IF(WEEKDAY(EA$6,1)=7,0,MIN(8,EA65)*EA64))),MAX(0,40*MAX(1,EA64)-(DZ66)))))</f>
        <v>0</v>
      </c>
      <c r="EB67" s="63">
        <f>IF(AND(EB64=0,EB65=0),0,IF(EB64&lt;=0,0,IF(WEEKDAY(EB$6,1)=1,0,IF(WEEKDAY(EB$6,1)=7,EB64*EB65,MAX(0,EB65-8)*EB64)))+((IF(EB64&lt;=0,0,IF(WEEKDAY(EB$6,1)=1,0,IF(WEEKDAY(EB$6,1)=7,0,MIN(8,EB65)*EB64))))-MIN(IF(EB64&lt;=0,0,IF(WEEKDAY(EB$6,1)=1,0,IF(WEEKDAY(EB$6,1)=7,0,MIN(8,EB65)*EB64))),MAX(0,40*MAX(1,EB64)-(DZ66+EA66)))))</f>
        <v>0</v>
      </c>
      <c r="EC67" s="63">
        <f>IF(AND(EC64=0,EC65=0),0,IF(EC64&lt;=0,0,IF(WEEKDAY(EC$6,1)=1,0,IF(WEEKDAY(EC$6,1)=7,EC64*EC65,MAX(0,EC65-8)*EC64)))+((IF(EC64&lt;=0,0,IF(WEEKDAY(EC$6,1)=1,0,IF(WEEKDAY(EC$6,1)=7,0,MIN(8,EC65)*EC64))))-MIN(IF(EC64&lt;=0,0,IF(WEEKDAY(EC$6,1)=1,0,IF(WEEKDAY(EC$6,1)=7,0,MIN(8,EC65)*EC64))),MAX(0,40*MAX(1,EC64)-(DZ66+EA66+EB66)))))</f>
        <v>0</v>
      </c>
      <c r="ED67" s="63">
        <f>IF(AND(ED64=0,ED65=0),0,IF(ED64&lt;=0,0,IF(WEEKDAY(ED$6,1)=1,0,IF(WEEKDAY(ED$6,1)=7,ED64*ED65,MAX(0,ED65-8)*ED64)))+((IF(ED64&lt;=0,0,IF(WEEKDAY(ED$6,1)=1,0,IF(WEEKDAY(ED$6,1)=7,0,MIN(8,ED65)*ED64))))-MIN(IF(ED64&lt;=0,0,IF(WEEKDAY(ED$6,1)=1,0,IF(WEEKDAY(ED$6,1)=7,0,MIN(8,ED65)*ED64))),MAX(0,40*MAX(1,ED64)-(DZ66+EA66+EB66+EC66)))))</f>
        <v>0</v>
      </c>
      <c r="EE67" s="64">
        <f>IF(AND(EE64=0,EE65=0),0,IF(EE64&lt;=0,0,IF(WEEKDAY(EE$6,1)=1,0,IF(WEEKDAY(EE$6,1)=7,EE64*EE65,MAX(0,EE65-8)*EE64)))+((IF(EE64&lt;=0,0,IF(WEEKDAY(EE$6,1)=1,0,IF(WEEKDAY(EE$6,1)=7,0,MIN(8,EE65)*EE64))))-MIN(IF(EE64&lt;=0,0,IF(WEEKDAY(EE$6,1)=1,0,IF(WEEKDAY(EE$6,1)=7,0,MIN(8,EE65)*EE64))),MAX(0,40*MAX(1,EE64)-(DZ66+EA66+EB66+EC66+ED66)))))</f>
        <v>0</v>
      </c>
      <c r="EF67" s="64">
        <f>IF(AND(EF64=0,EF65=0),0,IF(EF64&lt;=0,0,IF(WEEKDAY(EF$6,1)=1,0,IF(WEEKDAY(EF$6,1)=7,EF64*EF65,MAX(0,EF65-8)*EF64)))+((IF(EF64&lt;=0,0,IF(WEEKDAY(EF$6,1)=1,0,IF(WEEKDAY(EF$6,1)=7,0,MIN(8,EF65)*EF64))))-MIN(IF(EF64&lt;=0,0,IF(WEEKDAY(EF$6,1)=1,0,IF(WEEKDAY(EF$6,1)=7,0,MIN(8,EF65)*EF64))),MAX(0,40*MAX(1,EF64)-(DZ66+EA66+EB66+EC66+ED66+EE66)))))</f>
        <v>0</v>
      </c>
      <c r="EG67" s="63">
        <f>IF(AND(EG64=0,EG65=0),0,IF(EG64&lt;=0,0,IF(WEEKDAY(EG$6,1)=1,0,IF(WEEKDAY(EG$6,1)=7,EG64*EG65,MAX(0,EG65-8)*EG64)))+((IF(EG64&lt;=0,0,IF(WEEKDAY(EG$6,1)=1,0,IF(WEEKDAY(EG$6,1)=7,0,MIN(8,EG65)*EG64))))-MIN(IF(EG64&lt;=0,0,IF(WEEKDAY(EG$6,1)=1,0,IF(WEEKDAY(EG$6,1)=7,0,MIN(8,EG65)*EG64))),MAX(0,40*MAX(1,EG64)-(0)))))</f>
        <v>0</v>
      </c>
      <c r="EH67" s="63">
        <f>IF(AND(EH64=0,EH65=0),0,IF(EH64&lt;=0,0,IF(WEEKDAY(EH$6,1)=1,0,IF(WEEKDAY(EH$6,1)=7,EH64*EH65,MAX(0,EH65-8)*EH64)))+((IF(EH64&lt;=0,0,IF(WEEKDAY(EH$6,1)=1,0,IF(WEEKDAY(EH$6,1)=7,0,MIN(8,EH65)*EH64))))-MIN(IF(EH64&lt;=0,0,IF(WEEKDAY(EH$6,1)=1,0,IF(WEEKDAY(EH$6,1)=7,0,MIN(8,EH65)*EH64))),MAX(0,40*MAX(1,EH64)-(EG66)))))</f>
        <v>0</v>
      </c>
      <c r="EI67" s="63">
        <f>IF(AND(EI64=0,EI65=0),0,IF(EI64&lt;=0,0,IF(WEEKDAY(EI$6,1)=1,0,IF(WEEKDAY(EI$6,1)=7,EI64*EI65,MAX(0,EI65-8)*EI64)))+((IF(EI64&lt;=0,0,IF(WEEKDAY(EI$6,1)=1,0,IF(WEEKDAY(EI$6,1)=7,0,MIN(8,EI65)*EI64))))-MIN(IF(EI64&lt;=0,0,IF(WEEKDAY(EI$6,1)=1,0,IF(WEEKDAY(EI$6,1)=7,0,MIN(8,EI65)*EI64))),MAX(0,40*MAX(1,EI64)-(EG66+EH66)))))</f>
        <v>0</v>
      </c>
      <c r="EJ67" s="63">
        <f>IF(AND(EJ64=0,EJ65=0),0,IF(EJ64&lt;=0,0,IF(WEEKDAY(EJ$6,1)=1,0,IF(WEEKDAY(EJ$6,1)=7,EJ64*EJ65,MAX(0,EJ65-8)*EJ64)))+((IF(EJ64&lt;=0,0,IF(WEEKDAY(EJ$6,1)=1,0,IF(WEEKDAY(EJ$6,1)=7,0,MIN(8,EJ65)*EJ64))))-MIN(IF(EJ64&lt;=0,0,IF(WEEKDAY(EJ$6,1)=1,0,IF(WEEKDAY(EJ$6,1)=7,0,MIN(8,EJ65)*EJ64))),MAX(0,40*MAX(1,EJ64)-(EG66+EH66+EI66)))))</f>
        <v>0</v>
      </c>
      <c r="EK67" s="65">
        <f>IF(AND(EK64=0,EK65=0),0,IF(EK64&lt;=0,0,IF(WEEKDAY(EK$6,1)=1,0,IF(WEEKDAY(EK$6,1)=7,EK64*EK65,MAX(0,EK65-8)*EK64)))+((IF(EK64&lt;=0,0,IF(WEEKDAY(EK$6,1)=1,0,IF(WEEKDAY(EK$6,1)=7,0,MIN(8,EK65)*EK64))))-MIN(IF(EK64&lt;=0,0,IF(WEEKDAY(EK$6,1)=1,0,IF(WEEKDAY(EK$6,1)=7,0,MIN(8,EK65)*EK64))),MAX(0,40*MAX(1,EK64)-(EG66+EH66+EI66+EJ66)))))</f>
        <v>0</v>
      </c>
      <c r="OU67" s="28" t="s">
        <v>129</v>
      </c>
    </row>
    <row r="68" ht="16" customHeight="1" spans="1:411" x14ac:dyDescent="0.25">
      <c r="A68" s="74"/>
      <c r="B68" s="79"/>
      <c r="C68" s="61">
        <f>H63*N(D68)</f>
        <v>35494.2</v>
      </c>
      <c r="D68" s="61">
        <f>IF(TRIM(IF(TRIM(B67)&lt;&gt;"",B67,B63))="","No rate",IFERROR(INDEX('Rate Tables'!E$7:E$158,MATCH(IF(TRIM(B67)&lt;&gt;"",B67,B63),'Rate Tables'!A$7:A$158,0)),"No rate"))</f>
        <v>197.19</v>
      </c>
      <c r="E68" s="55" t="s">
        <v>64</v>
      </c>
      <c r="F68" s="49"/>
      <c r="G68" s="49"/>
      <c r="H68" s="49"/>
      <c r="I68" s="49"/>
      <c r="J68" s="50"/>
      <c r="K68" s="62">
        <f>IF(AND(K64=0,K65=0),0,IF(K64&lt;=0,0,IF(WEEKDAY(K$6,1)=1,K64*K65,0)))</f>
        <v>0</v>
      </c>
      <c r="L68" s="63">
        <f>IF(AND(L64=0,L65=0),0,IF(L64&lt;=0,0,IF(WEEKDAY(L$6,1)=1,L64*L65,0)))</f>
        <v>0</v>
      </c>
      <c r="M68" s="63">
        <f>IF(AND(M64=0,M65=0),0,IF(M64&lt;=0,0,IF(WEEKDAY(M$6,1)=1,M64*M65,0)))</f>
        <v>0</v>
      </c>
      <c r="N68" s="63">
        <f>IF(AND(N64=0,N65=0),0,IF(N64&lt;=0,0,IF(WEEKDAY(N$6,1)=1,N64*N65,0)))</f>
        <v>0</v>
      </c>
      <c r="O68" s="63">
        <f>IF(AND(O64=0,O65=0),0,IF(O64&lt;=0,0,IF(WEEKDAY(O$6,1)=1,O64*O65,0)))</f>
        <v>0</v>
      </c>
      <c r="P68" s="64">
        <f>IF(AND(P64=0,P65=0),0,IF(P64&lt;=0,0,IF(WEEKDAY(P$6,1)=1,P64*P65,0)))</f>
        <v>0</v>
      </c>
      <c r="Q68" s="64">
        <f>IF(AND(Q64=0,Q65=0),0,IF(Q64&lt;=0,0,IF(WEEKDAY(Q$6,1)=1,Q64*Q65,0)))</f>
        <v>0</v>
      </c>
      <c r="R68" s="63">
        <f>IF(AND(R64=0,R65=0),0,IF(R64&lt;=0,0,IF(WEEKDAY(R$6,1)=1,R64*R65,0)))</f>
        <v>0</v>
      </c>
      <c r="S68" s="63">
        <f>IF(AND(S64=0,S65=0),0,IF(S64&lt;=0,0,IF(WEEKDAY(S$6,1)=1,S64*S65,0)))</f>
        <v>0</v>
      </c>
      <c r="T68" s="63">
        <f>IF(AND(T64=0,T65=0),0,IF(T64&lt;=0,0,IF(WEEKDAY(T$6,1)=1,T64*T65,0)))</f>
        <v>0</v>
      </c>
      <c r="U68" s="63">
        <f>IF(AND(U64=0,U65=0),0,IF(U64&lt;=0,0,IF(WEEKDAY(U$6,1)=1,U64*U65,0)))</f>
        <v>0</v>
      </c>
      <c r="V68" s="63">
        <f>IF(AND(V64=0,V65=0),0,IF(V64&lt;=0,0,IF(WEEKDAY(V$6,1)=1,V64*V65,0)))</f>
        <v>0</v>
      </c>
      <c r="W68" s="64">
        <f>IF(AND(W64=0,W65=0),0,IF(W64&lt;=0,0,IF(WEEKDAY(W$6,1)=1,W64*W65,0)))</f>
        <v>0</v>
      </c>
      <c r="X68" s="64">
        <f>IF(AND(X64=0,X65=0),0,IF(X64&lt;=0,0,IF(WEEKDAY(X$6,1)=1,X64*X65,0)))</f>
        <v>0</v>
      </c>
      <c r="Y68" s="63">
        <f>IF(AND(Y64=0,Y65=0),0,IF(Y64&lt;=0,0,IF(WEEKDAY(Y$6,1)=1,Y64*Y65,0)))</f>
        <v>0</v>
      </c>
      <c r="Z68" s="63">
        <f>IF(AND(Z64=0,Z65=0),0,IF(Z64&lt;=0,0,IF(WEEKDAY(Z$6,1)=1,Z64*Z65,0)))</f>
        <v>0</v>
      </c>
      <c r="AA68" s="63">
        <f>IF(AND(AA64=0,AA65=0),0,IF(AA64&lt;=0,0,IF(WEEKDAY(AA$6,1)=1,AA64*AA65,0)))</f>
        <v>0</v>
      </c>
      <c r="AB68" s="63">
        <f>IF(AND(AB64=0,AB65=0),0,IF(AB64&lt;=0,0,IF(WEEKDAY(AB$6,1)=1,AB64*AB65,0)))</f>
        <v>0</v>
      </c>
      <c r="AC68" s="63">
        <f>IF(AND(AC64=0,AC65=0),0,IF(AC64&lt;=0,0,IF(WEEKDAY(AC$6,1)=1,AC64*AC65,0)))</f>
        <v>0</v>
      </c>
      <c r="AD68" s="64">
        <f>IF(AND(AD64=0,AD65=0),0,IF(AD64&lt;=0,0,IF(WEEKDAY(AD$6,1)=1,AD64*AD65,0)))</f>
        <v>0</v>
      </c>
      <c r="AE68" s="64">
        <f>IF(AND(AE64=0,AE65=0),0,IF(AE64&lt;=0,0,IF(WEEKDAY(AE$6,1)=1,AE64*AE65,0)))</f>
        <v>0</v>
      </c>
      <c r="AF68" s="63">
        <f>IF(AND(AF64=0,AF65=0),0,IF(AF64&lt;=0,0,IF(WEEKDAY(AF$6,1)=1,AF64*AF65,0)))</f>
        <v>0</v>
      </c>
      <c r="AG68" s="63">
        <f>IF(AND(AG64=0,AG65=0),0,IF(AG64&lt;=0,0,IF(WEEKDAY(AG$6,1)=1,AG64*AG65,0)))</f>
        <v>0</v>
      </c>
      <c r="AH68" s="63">
        <f>IF(AND(AH64=0,AH65=0),0,IF(AH64&lt;=0,0,IF(WEEKDAY(AH$6,1)=1,AH64*AH65,0)))</f>
        <v>0</v>
      </c>
      <c r="AI68" s="63">
        <f>IF(AND(AI64=0,AI65=0),0,IF(AI64&lt;=0,0,IF(WEEKDAY(AI$6,1)=1,AI64*AI65,0)))</f>
        <v>0</v>
      </c>
      <c r="AJ68" s="63">
        <f>IF(AND(AJ64=0,AJ65=0),0,IF(AJ64&lt;=0,0,IF(WEEKDAY(AJ$6,1)=1,AJ64*AJ65,0)))</f>
        <v>0</v>
      </c>
      <c r="AK68" s="64">
        <f>IF(AND(AK64=0,AK65=0),0,IF(AK64&lt;=0,0,IF(WEEKDAY(AK$6,1)=1,AK64*AK65,0)))</f>
        <v>0</v>
      </c>
      <c r="AL68" s="64">
        <f>IF(AND(AL64=0,AL65=0),0,IF(AL64&lt;=0,0,IF(WEEKDAY(AL$6,1)=1,AL64*AL65,0)))</f>
        <v>0</v>
      </c>
      <c r="AM68" s="63">
        <f>IF(AND(AM64=0,AM65=0),0,IF(AM64&lt;=0,0,IF(WEEKDAY(AM$6,1)=1,AM64*AM65,0)))</f>
        <v>0</v>
      </c>
      <c r="AN68" s="63">
        <f>IF(AND(AN64=0,AN65=0),0,IF(AN64&lt;=0,0,IF(WEEKDAY(AN$6,1)=1,AN64*AN65,0)))</f>
        <v>0</v>
      </c>
      <c r="AO68" s="63">
        <f>IF(AND(AO64=0,AO65=0),0,IF(AO64&lt;=0,0,IF(WEEKDAY(AO$6,1)=1,AO64*AO65,0)))</f>
        <v>0</v>
      </c>
      <c r="AP68" s="63">
        <f>IF(AND(AP64=0,AP65=0),0,IF(AP64&lt;=0,0,IF(WEEKDAY(AP$6,1)=1,AP64*AP65,0)))</f>
        <v>0</v>
      </c>
      <c r="AQ68" s="63">
        <f>IF(AND(AQ64=0,AQ65=0),0,IF(AQ64&lt;=0,0,IF(WEEKDAY(AQ$6,1)=1,AQ64*AQ65,0)))</f>
        <v>0</v>
      </c>
      <c r="AR68" s="64">
        <f>IF(AND(AR64=0,AR65=0),0,IF(AR64&lt;=0,0,IF(WEEKDAY(AR$6,1)=1,AR64*AR65,0)))</f>
        <v>0</v>
      </c>
      <c r="AS68" s="64">
        <f>IF(AND(AS64=0,AS65=0),0,IF(AS64&lt;=0,0,IF(WEEKDAY(AS$6,1)=1,AS64*AS65,0)))</f>
        <v>0</v>
      </c>
      <c r="AT68" s="63">
        <f>IF(AND(AT64=0,AT65=0),0,IF(AT64&lt;=0,0,IF(WEEKDAY(AT$6,1)=1,AT64*AT65,0)))</f>
        <v>0</v>
      </c>
      <c r="AU68" s="63">
        <f>IF(AND(AU64=0,AU65=0),0,IF(AU64&lt;=0,0,IF(WEEKDAY(AU$6,1)=1,AU64*AU65,0)))</f>
        <v>0</v>
      </c>
      <c r="AV68" s="63">
        <f>IF(AND(AV64=0,AV65=0),0,IF(AV64&lt;=0,0,IF(WEEKDAY(AV$6,1)=1,AV64*AV65,0)))</f>
        <v>0</v>
      </c>
      <c r="AW68" s="63">
        <f>IF(AND(AW64=0,AW65=0),0,IF(AW64&lt;=0,0,IF(WEEKDAY(AW$6,1)=1,AW64*AW65,0)))</f>
        <v>0</v>
      </c>
      <c r="AX68" s="63">
        <f>IF(AND(AX64=0,AX65=0),0,IF(AX64&lt;=0,0,IF(WEEKDAY(AX$6,1)=1,AX64*AX65,0)))</f>
        <v>0</v>
      </c>
      <c r="AY68" s="64">
        <f>IF(AND(AY64=0,AY65=0),0,IF(AY64&lt;=0,0,IF(WEEKDAY(AY$6,1)=1,AY64*AY65,0)))</f>
        <v>0</v>
      </c>
      <c r="AZ68" s="64">
        <f>IF(AND(AZ64=0,AZ65=0),0,IF(AZ64&lt;=0,0,IF(WEEKDAY(AZ$6,1)=1,AZ64*AZ65,0)))</f>
        <v>0</v>
      </c>
      <c r="BA68" s="63">
        <f>IF(AND(BA64=0,BA65=0),0,IF(BA64&lt;=0,0,IF(WEEKDAY(BA$6,1)=1,BA64*BA65,0)))</f>
        <v>0</v>
      </c>
      <c r="BB68" s="63">
        <f>IF(AND(BB64=0,BB65=0),0,IF(BB64&lt;=0,0,IF(WEEKDAY(BB$6,1)=1,BB64*BB65,0)))</f>
        <v>0</v>
      </c>
      <c r="BC68" s="63">
        <f>IF(AND(BC64=0,BC65=0),0,IF(BC64&lt;=0,0,IF(WEEKDAY(BC$6,1)=1,BC64*BC65,0)))</f>
        <v>0</v>
      </c>
      <c r="BD68" s="63">
        <f>IF(AND(BD64=0,BD65=0),0,IF(BD64&lt;=0,0,IF(WEEKDAY(BD$6,1)=1,BD64*BD65,0)))</f>
        <v>0</v>
      </c>
      <c r="BE68" s="63">
        <f>IF(AND(BE64=0,BE65=0),0,IF(BE64&lt;=0,0,IF(WEEKDAY(BE$6,1)=1,BE64*BE65,0)))</f>
        <v>0</v>
      </c>
      <c r="BF68" s="64">
        <f>IF(AND(BF64=0,BF65=0),0,IF(BF64&lt;=0,0,IF(WEEKDAY(BF$6,1)=1,BF64*BF65,0)))</f>
        <v>0</v>
      </c>
      <c r="BG68" s="64">
        <f>IF(AND(BG64=0,BG65=0),0,IF(BG64&lt;=0,0,IF(WEEKDAY(BG$6,1)=1,BG64*BG65,0)))</f>
        <v>0</v>
      </c>
      <c r="BH68" s="63">
        <f>IF(AND(BH64=2,BH65=10),0,IF(BH64&lt;=0,0,IF(WEEKDAY(BH$6,1)=1,BH64*BH65,0)))</f>
        <v>0</v>
      </c>
      <c r="BI68" s="63">
        <f>IF(AND(BI64=2,BI65=10),0,IF(BI64&lt;=0,0,IF(WEEKDAY(BI$6,1)=1,BI64*BI65,0)))</f>
        <v>0</v>
      </c>
      <c r="BJ68" s="63">
        <f>IF(AND(BJ64=2,BJ65=10),0,IF(BJ64&lt;=0,0,IF(WEEKDAY(BJ$6,1)=1,BJ64*BJ65,0)))</f>
        <v>0</v>
      </c>
      <c r="BK68" s="63">
        <f>IF(AND(BK64=2,BK65=10),0,IF(BK64&lt;=0,0,IF(WEEKDAY(BK$6,1)=1,BK64*BK65,0)))</f>
        <v>0</v>
      </c>
      <c r="BL68" s="63">
        <f>IF(AND(BL64=2,BL65=10),0,IF(BL64&lt;=0,0,IF(WEEKDAY(BL$6,1)=1,BL64*BL65,0)))</f>
        <v>0</v>
      </c>
      <c r="BM68" s="64">
        <f>IF(AND(BM64=2,BM65=10),0,IF(BM64&lt;=0,0,IF(WEEKDAY(BM$6,1)=1,BM64*BM65,0)))</f>
        <v>0</v>
      </c>
      <c r="BN68" s="64">
        <f>IF(AND(BN64=2,BN65=10),20,IF(BN64&lt;=0,0,IF(WEEKDAY(BN$6,1)=1,BN64*BN65,0)))</f>
        <v>20</v>
      </c>
      <c r="BO68" s="63">
        <f>IF(AND(BO64=2,BO65=10),0,IF(BO64&lt;=0,0,IF(WEEKDAY(BO$6,1)=1,BO64*BO65,0)))</f>
        <v>0</v>
      </c>
      <c r="BP68" s="63">
        <f>IF(AND(BP64=2,BP65=10),0,IF(BP64&lt;=0,0,IF(WEEKDAY(BP$6,1)=1,BP64*BP65,0)))</f>
        <v>0</v>
      </c>
      <c r="BQ68" s="63">
        <f>IF(AND(BQ64=2,BQ65=10),0,IF(BQ64&lt;=0,0,IF(WEEKDAY(BQ$6,1)=1,BQ64*BQ65,0)))</f>
        <v>0</v>
      </c>
      <c r="BR68" s="63">
        <f>IF(AND(BR64=2,BR65=10),0,IF(BR64&lt;=0,0,IF(WEEKDAY(BR$6,1)=1,BR64*BR65,0)))</f>
        <v>0</v>
      </c>
      <c r="BS68" s="63">
        <f>IF(AND(BS64=2,BS65=10),0,IF(BS64&lt;=0,0,IF(WEEKDAY(BS$6,1)=1,BS64*BS65,0)))</f>
        <v>0</v>
      </c>
      <c r="BT68" s="64">
        <f>IF(AND(BT64=2,BT65=10),0,IF(BT64&lt;=0,0,IF(WEEKDAY(BT$6,1)=1,BT64*BT65,0)))</f>
        <v>0</v>
      </c>
      <c r="BU68" s="64">
        <f>IF(AND(BU64=2,BU65=10),20,IF(BU64&lt;=0,0,IF(WEEKDAY(BU$6,1)=1,BU64*BU65,0)))</f>
        <v>20</v>
      </c>
      <c r="BV68" s="63">
        <f>IF(AND(BV64=2,BV65=10),0,IF(BV64&lt;=0,0,IF(WEEKDAY(BV$6,1)=1,BV64*BV65,0)))</f>
        <v>0</v>
      </c>
      <c r="BW68" s="63">
        <f>IF(AND(BW64=2,BW65=10),0,IF(BW64&lt;=0,0,IF(WEEKDAY(BW$6,1)=1,BW64*BW65,0)))</f>
        <v>0</v>
      </c>
      <c r="BX68" s="63">
        <f>IF(AND(BX64=2,BX65=10),0,IF(BX64&lt;=0,0,IF(WEEKDAY(BX$6,1)=1,BX64*BX65,0)))</f>
        <v>0</v>
      </c>
      <c r="BY68" s="63">
        <f>IF(AND(BY64=2,BY65=10),0,IF(BY64&lt;=0,0,IF(WEEKDAY(BY$6,1)=1,BY64*BY65,0)))</f>
        <v>0</v>
      </c>
      <c r="BZ68" s="63">
        <f>IF(AND(BZ64=2,BZ65=10),0,IF(BZ64&lt;=0,0,IF(WEEKDAY(BZ$6,1)=1,BZ64*BZ65,0)))</f>
        <v>0</v>
      </c>
      <c r="CA68" s="64">
        <f>IF(AND(CA64=2,CA65=10),0,IF(CA64&lt;=0,0,IF(WEEKDAY(CA$6,1)=1,CA64*CA65,0)))</f>
        <v>0</v>
      </c>
      <c r="CB68" s="64">
        <f>IF(AND(CB64=2,CB65=10),20,IF(CB64&lt;=0,0,IF(WEEKDAY(CB$6,1)=1,CB64*CB65,0)))</f>
        <v>20</v>
      </c>
      <c r="CC68" s="63">
        <f>IF(AND(CC64=2,CC65=10),0,IF(CC64&lt;=0,0,IF(WEEKDAY(CC$6,1)=1,CC64*CC65,0)))</f>
        <v>0</v>
      </c>
      <c r="CD68" s="63">
        <f>IF(AND(CD64=2,CD65=10),0,IF(CD64&lt;=0,0,IF(WEEKDAY(CD$6,1)=1,CD64*CD65,0)))</f>
        <v>0</v>
      </c>
      <c r="CE68" s="63">
        <f>IF(AND(CE64=2,CE65=10),0,IF(CE64&lt;=0,0,IF(WEEKDAY(CE$6,1)=1,CE64*CE65,0)))</f>
        <v>0</v>
      </c>
      <c r="CF68" s="63">
        <f>IF(AND(CF64=2,CF65=10),0,IF(CF64&lt;=0,0,IF(WEEKDAY(CF$6,1)=1,CF64*CF65,0)))</f>
        <v>0</v>
      </c>
      <c r="CG68" s="63">
        <f>IF(AND(CG64=2,CG65=10),0,IF(CG64&lt;=0,0,IF(WEEKDAY(CG$6,1)=1,CG64*CG65,0)))</f>
        <v>0</v>
      </c>
      <c r="CH68" s="64">
        <f>IF(AND(CH64=2,CH65=10),0,IF(CH64&lt;=0,0,IF(WEEKDAY(CH$6,1)=1,CH64*CH65,0)))</f>
        <v>0</v>
      </c>
      <c r="CI68" s="64">
        <f>IF(AND(CI64=2,CI65=10),20,IF(CI64&lt;=0,0,IF(WEEKDAY(CI$6,1)=1,CI64*CI65,0)))</f>
        <v>20</v>
      </c>
      <c r="CJ68" s="63">
        <f>IF(AND(CJ64=2,CJ65=10),0,IF(CJ64&lt;=0,0,IF(WEEKDAY(CJ$6,1)=1,CJ64*CJ65,0)))</f>
        <v>0</v>
      </c>
      <c r="CK68" s="63">
        <f>IF(AND(CK64=2,CK65=10),0,IF(CK64&lt;=0,0,IF(WEEKDAY(CK$6,1)=1,CK64*CK65,0)))</f>
        <v>0</v>
      </c>
      <c r="CL68" s="63">
        <f>IF(AND(CL64=2,CL65=10),0,IF(CL64&lt;=0,0,IF(WEEKDAY(CL$6,1)=1,CL64*CL65,0)))</f>
        <v>0</v>
      </c>
      <c r="CM68" s="63">
        <f>IF(AND(CM64=2,CM65=10),0,IF(CM64&lt;=0,0,IF(WEEKDAY(CM$6,1)=1,CM64*CM65,0)))</f>
        <v>0</v>
      </c>
      <c r="CN68" s="63">
        <f>IF(AND(CN64=2,CN65=10),0,IF(CN64&lt;=0,0,IF(WEEKDAY(CN$6,1)=1,CN64*CN65,0)))</f>
        <v>0</v>
      </c>
      <c r="CO68" s="64">
        <f>IF(AND(CO64=2,CO65=10),0,IF(CO64&lt;=0,0,IF(WEEKDAY(CO$6,1)=1,CO64*CO65,0)))</f>
        <v>0</v>
      </c>
      <c r="CP68" s="64">
        <f>IF(AND(CP64=2,CP65=10),20,IF(CP64&lt;=0,0,IF(WEEKDAY(CP$6,1)=1,CP64*CP65,0)))</f>
        <v>20</v>
      </c>
      <c r="CQ68" s="63">
        <f>IF(AND(CQ64=2,CQ65=10),0,IF(CQ64&lt;=0,0,IF(WEEKDAY(CQ$6,1)=1,CQ64*CQ65,0)))</f>
        <v>0</v>
      </c>
      <c r="CR68" s="63">
        <f>IF(AND(CR64=2,CR65=10),0,IF(CR64&lt;=0,0,IF(WEEKDAY(CR$6,1)=1,CR64*CR65,0)))</f>
        <v>0</v>
      </c>
      <c r="CS68" s="63">
        <f>IF(AND(CS64=2,CS65=10),0,IF(CS64&lt;=0,0,IF(WEEKDAY(CS$6,1)=1,CS64*CS65,0)))</f>
        <v>0</v>
      </c>
      <c r="CT68" s="63">
        <f>IF(AND(CT64=2,CT65=10),0,IF(CT64&lt;=0,0,IF(WEEKDAY(CT$6,1)=1,CT64*CT65,0)))</f>
        <v>0</v>
      </c>
      <c r="CU68" s="63">
        <f>IF(AND(CU64=2,CU65=10),0,IF(CU64&lt;=0,0,IF(WEEKDAY(CU$6,1)=1,CU64*CU65,0)))</f>
        <v>0</v>
      </c>
      <c r="CV68" s="64">
        <f>IF(AND(CV64=2,CV65=10),0,IF(CV64&lt;=0,0,IF(WEEKDAY(CV$6,1)=1,CV64*CV65,0)))</f>
        <v>0</v>
      </c>
      <c r="CW68" s="64">
        <f>IF(AND(CW64=2,CW65=10),20,IF(CW64&lt;=0,0,IF(WEEKDAY(CW$6,1)=1,CW64*CW65,0)))</f>
        <v>20</v>
      </c>
      <c r="CX68" s="63">
        <f>IF(AND(CX64=2,CX65=10),0,IF(CX64&lt;=0,0,IF(WEEKDAY(CX$6,1)=1,CX64*CX65,0)))</f>
        <v>0</v>
      </c>
      <c r="CY68" s="63">
        <f>IF(AND(CY64=2,CY65=10),0,IF(CY64&lt;=0,0,IF(WEEKDAY(CY$6,1)=1,CY64*CY65,0)))</f>
        <v>0</v>
      </c>
      <c r="CZ68" s="63">
        <f>IF(AND(CZ64=2,CZ65=10),0,IF(CZ64&lt;=0,0,IF(WEEKDAY(CZ$6,1)=1,CZ64*CZ65,0)))</f>
        <v>0</v>
      </c>
      <c r="DA68" s="63">
        <f>IF(AND(DA64=2,DA65=10),0,IF(DA64&lt;=0,0,IF(WEEKDAY(DA$6,1)=1,DA64*DA65,0)))</f>
        <v>0</v>
      </c>
      <c r="DB68" s="63">
        <f>IF(AND(DB64=2,DB65=10),0,IF(DB64&lt;=0,0,IF(WEEKDAY(DB$6,1)=1,DB64*DB65,0)))</f>
        <v>0</v>
      </c>
      <c r="DC68" s="64">
        <f>IF(AND(DC64=2,DC65=10),0,IF(DC64&lt;=0,0,IF(WEEKDAY(DC$6,1)=1,DC64*DC65,0)))</f>
        <v>0</v>
      </c>
      <c r="DD68" s="64">
        <f>IF(AND(DD64=2,DD65=10),20,IF(DD64&lt;=0,0,IF(WEEKDAY(DD$6,1)=1,DD64*DD65,0)))</f>
        <v>20</v>
      </c>
      <c r="DE68" s="63">
        <f>IF(AND(DE64=2,DE65=10),0,IF(DE64&lt;=0,0,IF(WEEKDAY(DE$6,1)=1,DE64*DE65,0)))</f>
        <v>0</v>
      </c>
      <c r="DF68" s="63">
        <f>IF(AND(DF64=2,DF65=10),0,IF(DF64&lt;=0,0,IF(WEEKDAY(DF$6,1)=1,DF64*DF65,0)))</f>
        <v>0</v>
      </c>
      <c r="DG68" s="63">
        <f>IF(AND(DG64=2,DG65=10),0,IF(DG64&lt;=0,0,IF(WEEKDAY(DG$6,1)=1,DG64*DG65,0)))</f>
        <v>0</v>
      </c>
      <c r="DH68" s="63">
        <f>IF(AND(DH64=2,DH65=10),0,IF(DH64&lt;=0,0,IF(WEEKDAY(DH$6,1)=1,DH64*DH65,0)))</f>
        <v>0</v>
      </c>
      <c r="DI68" s="63">
        <f>IF(AND(DI64=2,DI65=10),0,IF(DI64&lt;=0,0,IF(WEEKDAY(DI$6,1)=1,DI64*DI65,0)))</f>
        <v>0</v>
      </c>
      <c r="DJ68" s="64">
        <f>IF(AND(DJ64=2,DJ65=10),0,IF(DJ64&lt;=0,0,IF(WEEKDAY(DJ$6,1)=1,DJ64*DJ65,0)))</f>
        <v>0</v>
      </c>
      <c r="DK68" s="64">
        <f>IF(AND(DK64=2,DK65=10),20,IF(DK64&lt;=0,0,IF(WEEKDAY(DK$6,1)=1,DK64*DK65,0)))</f>
        <v>20</v>
      </c>
      <c r="DL68" s="63">
        <f>IF(AND(DL64=2,DL65=10),0,IF(DL64&lt;=0,0,IF(WEEKDAY(DL$6,1)=1,DL64*DL65,0)))</f>
        <v>0</v>
      </c>
      <c r="DM68" s="63">
        <f>IF(AND(DM64=2,DM65=10),0,IF(DM64&lt;=0,0,IF(WEEKDAY(DM$6,1)=1,DM64*DM65,0)))</f>
        <v>0</v>
      </c>
      <c r="DN68" s="63">
        <f>IF(AND(DN64=2,DN65=10),0,IF(DN64&lt;=0,0,IF(WEEKDAY(DN$6,1)=1,DN64*DN65,0)))</f>
        <v>0</v>
      </c>
      <c r="DO68" s="63">
        <f>IF(AND(DO64=2,DO65=10),0,IF(DO64&lt;=0,0,IF(WEEKDAY(DO$6,1)=1,DO64*DO65,0)))</f>
        <v>0</v>
      </c>
      <c r="DP68" s="63">
        <f>IF(AND(DP64=2,DP65=10),0,IF(DP64&lt;=0,0,IF(WEEKDAY(DP$6,1)=1,DP64*DP65,0)))</f>
        <v>0</v>
      </c>
      <c r="DQ68" s="64">
        <f>IF(AND(DQ64=2,DQ65=10),0,IF(DQ64&lt;=0,0,IF(WEEKDAY(DQ$6,1)=1,DQ64*DQ65,0)))</f>
        <v>0</v>
      </c>
      <c r="DR68" s="64">
        <f>IF(AND(DR64=2,DR65=10),20,IF(DR64&lt;=0,0,IF(WEEKDAY(DR$6,1)=1,DR64*DR65,0)))</f>
        <v>20</v>
      </c>
      <c r="DS68" s="63">
        <f>IF(AND(DS64=2,DS65=10),0,IF(DS64&lt;=0,0,IF(WEEKDAY(DS$6,1)=1,DS64*DS65,0)))</f>
        <v>0</v>
      </c>
      <c r="DT68" s="63">
        <f>IF(AND(DT64=0,DT65=0),0,IF(DT64&lt;=0,0,IF(WEEKDAY(DT$6,1)=1,DT64*DT65,0)))</f>
        <v>0</v>
      </c>
      <c r="DU68" s="63">
        <f>IF(AND(DU64=0,DU65=0),0,IF(DU64&lt;=0,0,IF(WEEKDAY(DU$6,1)=1,DU64*DU65,0)))</f>
        <v>0</v>
      </c>
      <c r="DV68" s="63">
        <f>IF(AND(DV64=0,DV65=0),0,IF(DV64&lt;=0,0,IF(WEEKDAY(DV$6,1)=1,DV64*DV65,0)))</f>
        <v>0</v>
      </c>
      <c r="DW68" s="63">
        <f>IF(AND(DW64=0,DW65=0),0,IF(DW64&lt;=0,0,IF(WEEKDAY(DW$6,1)=1,DW64*DW65,0)))</f>
        <v>0</v>
      </c>
      <c r="DX68" s="64">
        <f>IF(AND(DX64=0,DX65=0),0,IF(DX64&lt;=0,0,IF(WEEKDAY(DX$6,1)=1,DX64*DX65,0)))</f>
        <v>0</v>
      </c>
      <c r="DY68" s="64">
        <f>IF(AND(DY64=0,DY65=0),0,IF(DY64&lt;=0,0,IF(WEEKDAY(DY$6,1)=1,DY64*DY65,0)))</f>
        <v>0</v>
      </c>
      <c r="DZ68" s="63">
        <f>IF(AND(DZ64=0,DZ65=0),0,IF(DZ64&lt;=0,0,IF(WEEKDAY(DZ$6,1)=1,DZ64*DZ65,0)))</f>
        <v>0</v>
      </c>
      <c r="EA68" s="63">
        <f>IF(AND(EA64=0,EA65=0),0,IF(EA64&lt;=0,0,IF(WEEKDAY(EA$6,1)=1,EA64*EA65,0)))</f>
        <v>0</v>
      </c>
      <c r="EB68" s="63">
        <f>IF(AND(EB64=0,EB65=0),0,IF(EB64&lt;=0,0,IF(WEEKDAY(EB$6,1)=1,EB64*EB65,0)))</f>
        <v>0</v>
      </c>
      <c r="EC68" s="63">
        <f>IF(AND(EC64=0,EC65=0),0,IF(EC64&lt;=0,0,IF(WEEKDAY(EC$6,1)=1,EC64*EC65,0)))</f>
        <v>0</v>
      </c>
      <c r="ED68" s="63">
        <f>IF(AND(ED64=0,ED65=0),0,IF(ED64&lt;=0,0,IF(WEEKDAY(ED$6,1)=1,ED64*ED65,0)))</f>
        <v>0</v>
      </c>
      <c r="EE68" s="64">
        <f>IF(AND(EE64=0,EE65=0),0,IF(EE64&lt;=0,0,IF(WEEKDAY(EE$6,1)=1,EE64*EE65,0)))</f>
        <v>0</v>
      </c>
      <c r="EF68" s="64">
        <f>IF(AND(EF64=0,EF65=0),0,IF(EF64&lt;=0,0,IF(WEEKDAY(EF$6,1)=1,EF64*EF65,0)))</f>
        <v>0</v>
      </c>
      <c r="EG68" s="63">
        <f>IF(AND(EG64=0,EG65=0),0,IF(EG64&lt;=0,0,IF(WEEKDAY(EG$6,1)=1,EG64*EG65,0)))</f>
        <v>0</v>
      </c>
      <c r="EH68" s="63">
        <f>IF(AND(EH64=0,EH65=0),0,IF(EH64&lt;=0,0,IF(WEEKDAY(EH$6,1)=1,EH64*EH65,0)))</f>
        <v>0</v>
      </c>
      <c r="EI68" s="63">
        <f>IF(AND(EI64=0,EI65=0),0,IF(EI64&lt;=0,0,IF(WEEKDAY(EI$6,1)=1,EI64*EI65,0)))</f>
        <v>0</v>
      </c>
      <c r="EJ68" s="63">
        <f>IF(AND(EJ64=0,EJ65=0),0,IF(EJ64&lt;=0,0,IF(WEEKDAY(EJ$6,1)=1,EJ64*EJ65,0)))</f>
        <v>0</v>
      </c>
      <c r="EK68" s="65">
        <f>IF(AND(EK64=0,EK65=0),0,IF(EK64&lt;=0,0,IF(WEEKDAY(EK$6,1)=1,EK64*EK65,0)))</f>
        <v>0</v>
      </c>
      <c r="OU68" s="28" t="s">
        <v>129</v>
      </c>
    </row>
    <row r="69" ht="16" customHeight="1" spans="1:411" x14ac:dyDescent="0.25">
      <c r="A69" s="74"/>
      <c r="B69" s="79"/>
      <c r="C69" s="67">
        <f>I63*D69</f>
        <v>15340</v>
      </c>
      <c r="D69" s="67">
        <v>130</v>
      </c>
      <c r="E69" s="68" t="s">
        <v>65</v>
      </c>
      <c r="F69" s="49"/>
      <c r="G69" s="49"/>
      <c r="H69" s="49"/>
      <c r="I69" s="49"/>
      <c r="J69" s="50"/>
      <c r="K69" s="69">
        <v>0</v>
      </c>
      <c r="L69" s="70">
        <v>0</v>
      </c>
      <c r="M69" s="70">
        <v>0</v>
      </c>
      <c r="N69" s="70">
        <v>0</v>
      </c>
      <c r="O69" s="70">
        <v>0</v>
      </c>
      <c r="P69" s="71">
        <v>0</v>
      </c>
      <c r="Q69" s="71">
        <v>0</v>
      </c>
      <c r="R69" s="70">
        <v>0</v>
      </c>
      <c r="S69" s="70">
        <v>0</v>
      </c>
      <c r="T69" s="70">
        <v>0</v>
      </c>
      <c r="U69" s="70">
        <v>0</v>
      </c>
      <c r="V69" s="70">
        <v>0</v>
      </c>
      <c r="W69" s="71">
        <v>0</v>
      </c>
      <c r="X69" s="71">
        <v>0</v>
      </c>
      <c r="Y69" s="70">
        <v>0</v>
      </c>
      <c r="Z69" s="70">
        <v>0</v>
      </c>
      <c r="AA69" s="70">
        <v>0</v>
      </c>
      <c r="AB69" s="70">
        <v>0</v>
      </c>
      <c r="AC69" s="70">
        <v>0</v>
      </c>
      <c r="AD69" s="71">
        <v>0</v>
      </c>
      <c r="AE69" s="71">
        <v>0</v>
      </c>
      <c r="AF69" s="70">
        <v>0</v>
      </c>
      <c r="AG69" s="70">
        <v>0</v>
      </c>
      <c r="AH69" s="70">
        <v>0</v>
      </c>
      <c r="AI69" s="70">
        <v>0</v>
      </c>
      <c r="AJ69" s="70">
        <v>0</v>
      </c>
      <c r="AK69" s="71">
        <v>0</v>
      </c>
      <c r="AL69" s="71">
        <v>0</v>
      </c>
      <c r="AM69" s="70">
        <v>0</v>
      </c>
      <c r="AN69" s="70">
        <v>0</v>
      </c>
      <c r="AO69" s="70">
        <v>0</v>
      </c>
      <c r="AP69" s="70">
        <v>0</v>
      </c>
      <c r="AQ69" s="70">
        <v>0</v>
      </c>
      <c r="AR69" s="71">
        <v>0</v>
      </c>
      <c r="AS69" s="71">
        <v>0</v>
      </c>
      <c r="AT69" s="70">
        <v>0</v>
      </c>
      <c r="AU69" s="70">
        <v>0</v>
      </c>
      <c r="AV69" s="70">
        <v>0</v>
      </c>
      <c r="AW69" s="70">
        <v>0</v>
      </c>
      <c r="AX69" s="70">
        <v>0</v>
      </c>
      <c r="AY69" s="71">
        <v>0</v>
      </c>
      <c r="AZ69" s="71">
        <v>0</v>
      </c>
      <c r="BA69" s="70">
        <v>0</v>
      </c>
      <c r="BB69" s="70">
        <v>0</v>
      </c>
      <c r="BC69" s="70">
        <v>0</v>
      </c>
      <c r="BD69" s="70">
        <v>0</v>
      </c>
      <c r="BE69" s="70">
        <v>0</v>
      </c>
      <c r="BF69" s="71">
        <v>0</v>
      </c>
      <c r="BG69" s="71">
        <v>0</v>
      </c>
      <c r="BH69" s="70">
        <v>1</v>
      </c>
      <c r="BI69" s="70">
        <v>1</v>
      </c>
      <c r="BJ69" s="70">
        <v>1</v>
      </c>
      <c r="BK69" s="70">
        <v>1</v>
      </c>
      <c r="BL69" s="70">
        <v>1</v>
      </c>
      <c r="BM69" s="71">
        <v>1</v>
      </c>
      <c r="BN69" s="71">
        <v>1</v>
      </c>
      <c r="BO69" s="70">
        <v>1</v>
      </c>
      <c r="BP69" s="70">
        <v>1</v>
      </c>
      <c r="BQ69" s="70">
        <v>1</v>
      </c>
      <c r="BR69" s="70">
        <v>2</v>
      </c>
      <c r="BS69" s="70">
        <v>2</v>
      </c>
      <c r="BT69" s="71">
        <v>2</v>
      </c>
      <c r="BU69" s="71">
        <v>2</v>
      </c>
      <c r="BV69" s="70">
        <v>2</v>
      </c>
      <c r="BW69" s="70">
        <v>2</v>
      </c>
      <c r="BX69" s="70">
        <v>2</v>
      </c>
      <c r="BY69" s="70">
        <v>2</v>
      </c>
      <c r="BZ69" s="70">
        <v>2</v>
      </c>
      <c r="CA69" s="71">
        <v>2</v>
      </c>
      <c r="CB69" s="71">
        <v>2</v>
      </c>
      <c r="CC69" s="70">
        <v>2</v>
      </c>
      <c r="CD69" s="70">
        <v>2</v>
      </c>
      <c r="CE69" s="70">
        <v>2</v>
      </c>
      <c r="CF69" s="70">
        <v>2</v>
      </c>
      <c r="CG69" s="70">
        <v>2</v>
      </c>
      <c r="CH69" s="71">
        <v>2</v>
      </c>
      <c r="CI69" s="71">
        <v>2</v>
      </c>
      <c r="CJ69" s="70">
        <v>2</v>
      </c>
      <c r="CK69" s="70">
        <v>2</v>
      </c>
      <c r="CL69" s="70">
        <v>2</v>
      </c>
      <c r="CM69" s="70">
        <v>2</v>
      </c>
      <c r="CN69" s="70">
        <v>2</v>
      </c>
      <c r="CO69" s="71">
        <v>2</v>
      </c>
      <c r="CP69" s="71">
        <v>2</v>
      </c>
      <c r="CQ69" s="70">
        <v>2</v>
      </c>
      <c r="CR69" s="70">
        <v>2</v>
      </c>
      <c r="CS69" s="70">
        <v>2</v>
      </c>
      <c r="CT69" s="70">
        <v>2</v>
      </c>
      <c r="CU69" s="70">
        <v>2</v>
      </c>
      <c r="CV69" s="71">
        <v>2</v>
      </c>
      <c r="CW69" s="71">
        <v>2</v>
      </c>
      <c r="CX69" s="70">
        <v>2</v>
      </c>
      <c r="CY69" s="70">
        <v>2</v>
      </c>
      <c r="CZ69" s="70">
        <v>2</v>
      </c>
      <c r="DA69" s="70">
        <v>2</v>
      </c>
      <c r="DB69" s="70">
        <v>2</v>
      </c>
      <c r="DC69" s="71">
        <v>2</v>
      </c>
      <c r="DD69" s="71">
        <v>2</v>
      </c>
      <c r="DE69" s="70">
        <v>2</v>
      </c>
      <c r="DF69" s="70">
        <v>2</v>
      </c>
      <c r="DG69" s="70">
        <v>2</v>
      </c>
      <c r="DH69" s="70">
        <v>2</v>
      </c>
      <c r="DI69" s="70">
        <v>2</v>
      </c>
      <c r="DJ69" s="71">
        <v>2</v>
      </c>
      <c r="DK69" s="71">
        <v>2</v>
      </c>
      <c r="DL69" s="70">
        <v>2</v>
      </c>
      <c r="DM69" s="70">
        <v>2</v>
      </c>
      <c r="DN69" s="70">
        <v>2</v>
      </c>
      <c r="DO69" s="70">
        <v>2</v>
      </c>
      <c r="DP69" s="70">
        <v>2</v>
      </c>
      <c r="DQ69" s="71">
        <v>2</v>
      </c>
      <c r="DR69" s="71">
        <v>2</v>
      </c>
      <c r="DS69" s="70">
        <v>2</v>
      </c>
      <c r="DT69" s="70">
        <v>0</v>
      </c>
      <c r="DU69" s="70">
        <v>0</v>
      </c>
      <c r="DV69" s="70">
        <v>0</v>
      </c>
      <c r="DW69" s="70">
        <v>0</v>
      </c>
      <c r="DX69" s="71">
        <v>0</v>
      </c>
      <c r="DY69" s="71">
        <v>0</v>
      </c>
      <c r="DZ69" s="70">
        <v>0</v>
      </c>
      <c r="EA69" s="70">
        <v>0</v>
      </c>
      <c r="EB69" s="70">
        <v>0</v>
      </c>
      <c r="EC69" s="70">
        <v>0</v>
      </c>
      <c r="ED69" s="70">
        <v>0</v>
      </c>
      <c r="EE69" s="71">
        <v>0</v>
      </c>
      <c r="EF69" s="71">
        <v>0</v>
      </c>
      <c r="EG69" s="70">
        <v>0</v>
      </c>
      <c r="EH69" s="70">
        <v>0</v>
      </c>
      <c r="EI69" s="70">
        <v>0</v>
      </c>
      <c r="EJ69" s="70">
        <v>0</v>
      </c>
      <c r="EK69" s="72">
        <v>0</v>
      </c>
      <c r="OU69" s="60" t="s">
        <v>129</v>
      </c>
    </row>
    <row r="70" ht="8" customHeight="1" spans="1:14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  <c r="EK70" s="73"/>
    </row>
    <row r="71" ht="16" customHeight="1" spans="1:411" x14ac:dyDescent="0.25">
      <c r="A71" s="45" t="s">
        <v>57</v>
      </c>
      <c r="B71" s="77" t="s">
        <v>130</v>
      </c>
      <c r="C71" s="47">
        <f>J71</f>
        <v>21676</v>
      </c>
      <c r="D71" s="48"/>
      <c r="E71" s="48"/>
      <c r="F71" s="49">
        <f>SUM(K74:EK74)</f>
        <v>200</v>
      </c>
      <c r="G71" s="49">
        <f>SUM(K75:EK75)</f>
        <v>0</v>
      </c>
      <c r="H71" s="49">
        <f>SUM(K76:EK76)</f>
        <v>0</v>
      </c>
      <c r="I71" s="49">
        <f>SUM(K77:EK77)</f>
        <v>5</v>
      </c>
      <c r="J71" s="50">
        <f>C74+C75+C76</f>
        <v>21676</v>
      </c>
      <c r="K71" s="51"/>
      <c r="L71" s="52"/>
      <c r="M71" s="52"/>
      <c r="N71" s="52"/>
      <c r="O71" s="52"/>
      <c r="P71" s="53"/>
      <c r="Q71" s="53"/>
      <c r="R71" s="52"/>
      <c r="S71" s="52"/>
      <c r="T71" s="52"/>
      <c r="U71" s="52"/>
      <c r="V71" s="52"/>
      <c r="W71" s="53"/>
      <c r="X71" s="53"/>
      <c r="Y71" s="52"/>
      <c r="Z71" s="52"/>
      <c r="AA71" s="52"/>
      <c r="AB71" s="52"/>
      <c r="AC71" s="52"/>
      <c r="AD71" s="53"/>
      <c r="AE71" s="53"/>
      <c r="AF71" s="52"/>
      <c r="AG71" s="52"/>
      <c r="AH71" s="52"/>
      <c r="AI71" s="52"/>
      <c r="AJ71" s="52"/>
      <c r="AK71" s="53"/>
      <c r="AL71" s="53"/>
      <c r="AM71" s="52"/>
      <c r="AN71" s="52"/>
      <c r="AO71" s="52"/>
      <c r="AP71" s="52"/>
      <c r="AQ71" s="52"/>
      <c r="AR71" s="53"/>
      <c r="AS71" s="53"/>
      <c r="AT71" s="52"/>
      <c r="AU71" s="52"/>
      <c r="AV71" s="52"/>
      <c r="AW71" s="52"/>
      <c r="AX71" s="52"/>
      <c r="AY71" s="53"/>
      <c r="AZ71" s="53"/>
      <c r="BA71" s="52"/>
      <c r="BB71" s="52"/>
      <c r="BC71" s="52"/>
      <c r="BD71" s="52"/>
      <c r="BE71" s="52"/>
      <c r="BF71" s="53"/>
      <c r="BG71" s="53"/>
      <c r="BH71" s="52"/>
      <c r="BI71" s="52"/>
      <c r="BJ71" s="52"/>
      <c r="BK71" s="52"/>
      <c r="BL71" s="52"/>
      <c r="BM71" s="53"/>
      <c r="BN71" s="53"/>
      <c r="BO71" s="52"/>
      <c r="BP71" s="52"/>
      <c r="BQ71" s="52"/>
      <c r="BR71" s="52"/>
      <c r="BS71" s="52"/>
      <c r="BT71" s="53"/>
      <c r="BU71" s="53"/>
      <c r="BV71" s="52"/>
      <c r="BW71" s="52"/>
      <c r="BX71" s="52"/>
      <c r="BY71" s="52"/>
      <c r="BZ71" s="52"/>
      <c r="CA71" s="53"/>
      <c r="CB71" s="53"/>
      <c r="CC71" s="52"/>
      <c r="CD71" s="52"/>
      <c r="CE71" s="52"/>
      <c r="CF71" s="52"/>
      <c r="CG71" s="52"/>
      <c r="CH71" s="53"/>
      <c r="CI71" s="53"/>
      <c r="CJ71" s="52"/>
      <c r="CK71" s="52"/>
      <c r="CL71" s="52"/>
      <c r="CM71" s="52"/>
      <c r="CN71" s="52"/>
      <c r="CO71" s="53"/>
      <c r="CP71" s="53"/>
      <c r="CQ71" s="52"/>
      <c r="CR71" s="52"/>
      <c r="CS71" s="52"/>
      <c r="CT71" s="52"/>
      <c r="CU71" s="52"/>
      <c r="CV71" s="53"/>
      <c r="CW71" s="53"/>
      <c r="CX71" s="52"/>
      <c r="CY71" s="52"/>
      <c r="CZ71" s="52"/>
      <c r="DA71" s="52"/>
      <c r="DB71" s="52"/>
      <c r="DC71" s="53"/>
      <c r="DD71" s="53"/>
      <c r="DE71" s="52"/>
      <c r="DF71" s="52"/>
      <c r="DG71" s="52"/>
      <c r="DH71" s="52"/>
      <c r="DI71" s="52"/>
      <c r="DJ71" s="53"/>
      <c r="DK71" s="53"/>
      <c r="DL71" s="52"/>
      <c r="DM71" s="52"/>
      <c r="DN71" s="52"/>
      <c r="DO71" s="52"/>
      <c r="DP71" s="52"/>
      <c r="DQ71" s="53"/>
      <c r="DR71" s="53"/>
      <c r="DS71" s="52"/>
      <c r="DT71" s="52"/>
      <c r="DU71" s="52"/>
      <c r="DV71" s="52"/>
      <c r="DW71" s="52"/>
      <c r="DX71" s="53"/>
      <c r="DY71" s="53"/>
      <c r="DZ71" s="52"/>
      <c r="EA71" s="52"/>
      <c r="EB71" s="52"/>
      <c r="EC71" s="52"/>
      <c r="ED71" s="52"/>
      <c r="EE71" s="53"/>
      <c r="EF71" s="53"/>
      <c r="EG71" s="52"/>
      <c r="EH71" s="52"/>
      <c r="EI71" s="52"/>
      <c r="EJ71" s="52"/>
      <c r="EK71" s="54"/>
      <c r="OU71" s="28" t="s">
        <v>131</v>
      </c>
    </row>
    <row r="72" ht="16" customHeight="1" spans="1:411" x14ac:dyDescent="0.25">
      <c r="A72" s="45"/>
      <c r="B72" s="77"/>
      <c r="C72" s="47"/>
      <c r="D72" s="48"/>
      <c r="E72" s="55" t="s">
        <v>60</v>
      </c>
      <c r="F72" s="49"/>
      <c r="G72" s="49"/>
      <c r="H72" s="49"/>
      <c r="I72" s="49"/>
      <c r="J72" s="50"/>
      <c r="K72" s="56">
        <v>0</v>
      </c>
      <c r="L72" s="57">
        <v>0</v>
      </c>
      <c r="M72" s="57">
        <v>0</v>
      </c>
      <c r="N72" s="57">
        <v>0</v>
      </c>
      <c r="O72" s="57">
        <v>0</v>
      </c>
      <c r="P72" s="58">
        <v>0</v>
      </c>
      <c r="Q72" s="58">
        <v>0</v>
      </c>
      <c r="R72" s="57">
        <v>0</v>
      </c>
      <c r="S72" s="57">
        <v>0</v>
      </c>
      <c r="T72" s="57">
        <v>0</v>
      </c>
      <c r="U72" s="57">
        <v>0</v>
      </c>
      <c r="V72" s="57">
        <v>0</v>
      </c>
      <c r="W72" s="58">
        <v>0</v>
      </c>
      <c r="X72" s="58">
        <v>0</v>
      </c>
      <c r="Y72" s="57">
        <v>0</v>
      </c>
      <c r="Z72" s="57">
        <v>0</v>
      </c>
      <c r="AA72" s="57">
        <v>0</v>
      </c>
      <c r="AB72" s="57">
        <v>0</v>
      </c>
      <c r="AC72" s="57">
        <v>0</v>
      </c>
      <c r="AD72" s="58">
        <v>0</v>
      </c>
      <c r="AE72" s="58">
        <v>0</v>
      </c>
      <c r="AF72" s="57">
        <v>0</v>
      </c>
      <c r="AG72" s="57">
        <v>0</v>
      </c>
      <c r="AH72" s="57">
        <v>0</v>
      </c>
      <c r="AI72" s="57">
        <v>0</v>
      </c>
      <c r="AJ72" s="57">
        <v>0</v>
      </c>
      <c r="AK72" s="58">
        <v>0</v>
      </c>
      <c r="AL72" s="58">
        <v>0</v>
      </c>
      <c r="AM72" s="57">
        <v>0</v>
      </c>
      <c r="AN72" s="57">
        <v>0</v>
      </c>
      <c r="AO72" s="57">
        <v>0</v>
      </c>
      <c r="AP72" s="57">
        <v>0</v>
      </c>
      <c r="AQ72" s="57">
        <v>0</v>
      </c>
      <c r="AR72" s="58">
        <v>0</v>
      </c>
      <c r="AS72" s="58">
        <v>0</v>
      </c>
      <c r="AT72" s="57">
        <v>0</v>
      </c>
      <c r="AU72" s="57">
        <v>0</v>
      </c>
      <c r="AV72" s="57">
        <v>0</v>
      </c>
      <c r="AW72" s="57">
        <v>0</v>
      </c>
      <c r="AX72" s="57">
        <v>0</v>
      </c>
      <c r="AY72" s="58">
        <v>0</v>
      </c>
      <c r="AZ72" s="58">
        <v>0</v>
      </c>
      <c r="BA72" s="57">
        <v>5</v>
      </c>
      <c r="BB72" s="57">
        <v>5</v>
      </c>
      <c r="BC72" s="57">
        <v>5</v>
      </c>
      <c r="BD72" s="57">
        <v>5</v>
      </c>
      <c r="BE72" s="57">
        <v>5</v>
      </c>
      <c r="BF72" s="58">
        <v>0</v>
      </c>
      <c r="BG72" s="58">
        <v>0</v>
      </c>
      <c r="BH72" s="57">
        <v>0</v>
      </c>
      <c r="BI72" s="57">
        <v>0</v>
      </c>
      <c r="BJ72" s="57">
        <v>0</v>
      </c>
      <c r="BK72" s="57">
        <v>0</v>
      </c>
      <c r="BL72" s="57">
        <v>0</v>
      </c>
      <c r="BM72" s="58">
        <v>0</v>
      </c>
      <c r="BN72" s="58">
        <v>0</v>
      </c>
      <c r="BO72" s="57">
        <v>0</v>
      </c>
      <c r="BP72" s="57">
        <v>0</v>
      </c>
      <c r="BQ72" s="57">
        <v>0</v>
      </c>
      <c r="BR72" s="57">
        <v>0</v>
      </c>
      <c r="BS72" s="57">
        <v>0</v>
      </c>
      <c r="BT72" s="58">
        <v>0</v>
      </c>
      <c r="BU72" s="58">
        <v>0</v>
      </c>
      <c r="BV72" s="57">
        <v>0</v>
      </c>
      <c r="BW72" s="57">
        <v>0</v>
      </c>
      <c r="BX72" s="57">
        <v>0</v>
      </c>
      <c r="BY72" s="57">
        <v>0</v>
      </c>
      <c r="BZ72" s="57">
        <v>0</v>
      </c>
      <c r="CA72" s="58">
        <v>0</v>
      </c>
      <c r="CB72" s="58">
        <v>0</v>
      </c>
      <c r="CC72" s="57">
        <v>0</v>
      </c>
      <c r="CD72" s="57">
        <v>0</v>
      </c>
      <c r="CE72" s="57">
        <v>0</v>
      </c>
      <c r="CF72" s="57">
        <v>0</v>
      </c>
      <c r="CG72" s="57">
        <v>0</v>
      </c>
      <c r="CH72" s="58">
        <v>0</v>
      </c>
      <c r="CI72" s="58">
        <v>0</v>
      </c>
      <c r="CJ72" s="57">
        <v>0</v>
      </c>
      <c r="CK72" s="57">
        <v>0</v>
      </c>
      <c r="CL72" s="57">
        <v>0</v>
      </c>
      <c r="CM72" s="57">
        <v>0</v>
      </c>
      <c r="CN72" s="57">
        <v>0</v>
      </c>
      <c r="CO72" s="58">
        <v>0</v>
      </c>
      <c r="CP72" s="58">
        <v>0</v>
      </c>
      <c r="CQ72" s="57">
        <v>0</v>
      </c>
      <c r="CR72" s="57">
        <v>0</v>
      </c>
      <c r="CS72" s="57">
        <v>0</v>
      </c>
      <c r="CT72" s="57">
        <v>0</v>
      </c>
      <c r="CU72" s="57">
        <v>0</v>
      </c>
      <c r="CV72" s="58">
        <v>0</v>
      </c>
      <c r="CW72" s="58">
        <v>0</v>
      </c>
      <c r="CX72" s="57">
        <v>0</v>
      </c>
      <c r="CY72" s="57">
        <v>0</v>
      </c>
      <c r="CZ72" s="57">
        <v>0</v>
      </c>
      <c r="DA72" s="57">
        <v>0</v>
      </c>
      <c r="DB72" s="57">
        <v>0</v>
      </c>
      <c r="DC72" s="58">
        <v>0</v>
      </c>
      <c r="DD72" s="58">
        <v>0</v>
      </c>
      <c r="DE72" s="57">
        <v>0</v>
      </c>
      <c r="DF72" s="57">
        <v>0</v>
      </c>
      <c r="DG72" s="57">
        <v>0</v>
      </c>
      <c r="DH72" s="57">
        <v>0</v>
      </c>
      <c r="DI72" s="57">
        <v>0</v>
      </c>
      <c r="DJ72" s="58">
        <v>0</v>
      </c>
      <c r="DK72" s="58">
        <v>0</v>
      </c>
      <c r="DL72" s="57">
        <v>0</v>
      </c>
      <c r="DM72" s="57">
        <v>0</v>
      </c>
      <c r="DN72" s="57">
        <v>0</v>
      </c>
      <c r="DO72" s="57">
        <v>0</v>
      </c>
      <c r="DP72" s="57">
        <v>0</v>
      </c>
      <c r="DQ72" s="58">
        <v>0</v>
      </c>
      <c r="DR72" s="58">
        <v>0</v>
      </c>
      <c r="DS72" s="57">
        <v>0</v>
      </c>
      <c r="DT72" s="57">
        <v>0</v>
      </c>
      <c r="DU72" s="57">
        <v>0</v>
      </c>
      <c r="DV72" s="57">
        <v>0</v>
      </c>
      <c r="DW72" s="57">
        <v>0</v>
      </c>
      <c r="DX72" s="58">
        <v>0</v>
      </c>
      <c r="DY72" s="58">
        <v>0</v>
      </c>
      <c r="DZ72" s="57">
        <v>0</v>
      </c>
      <c r="EA72" s="57">
        <v>0</v>
      </c>
      <c r="EB72" s="57">
        <v>0</v>
      </c>
      <c r="EC72" s="57">
        <v>0</v>
      </c>
      <c r="ED72" s="57">
        <v>0</v>
      </c>
      <c r="EE72" s="58">
        <v>0</v>
      </c>
      <c r="EF72" s="58">
        <v>0</v>
      </c>
      <c r="EG72" s="57">
        <v>0</v>
      </c>
      <c r="EH72" s="57">
        <v>0</v>
      </c>
      <c r="EI72" s="57">
        <v>0</v>
      </c>
      <c r="EJ72" s="57">
        <v>0</v>
      </c>
      <c r="EK72" s="59">
        <v>0</v>
      </c>
      <c r="OU72" s="60" t="s">
        <v>131</v>
      </c>
    </row>
    <row r="73" ht="16" customHeight="1" spans="1:411" x14ac:dyDescent="0.25">
      <c r="A73" s="45"/>
      <c r="B73" s="77"/>
      <c r="C73" s="47"/>
      <c r="D73" s="48"/>
      <c r="E73" s="55" t="s">
        <v>61</v>
      </c>
      <c r="F73" s="49"/>
      <c r="G73" s="49"/>
      <c r="H73" s="49"/>
      <c r="I73" s="49"/>
      <c r="J73" s="50"/>
      <c r="K73" s="56">
        <v>0</v>
      </c>
      <c r="L73" s="57">
        <v>0</v>
      </c>
      <c r="M73" s="57">
        <v>0</v>
      </c>
      <c r="N73" s="57">
        <v>0</v>
      </c>
      <c r="O73" s="57">
        <v>0</v>
      </c>
      <c r="P73" s="58">
        <v>0</v>
      </c>
      <c r="Q73" s="58">
        <v>0</v>
      </c>
      <c r="R73" s="57">
        <v>0</v>
      </c>
      <c r="S73" s="57">
        <v>0</v>
      </c>
      <c r="T73" s="57">
        <v>0</v>
      </c>
      <c r="U73" s="57">
        <v>0</v>
      </c>
      <c r="V73" s="57">
        <v>0</v>
      </c>
      <c r="W73" s="58">
        <v>0</v>
      </c>
      <c r="X73" s="58">
        <v>0</v>
      </c>
      <c r="Y73" s="57">
        <v>0</v>
      </c>
      <c r="Z73" s="57">
        <v>0</v>
      </c>
      <c r="AA73" s="57">
        <v>0</v>
      </c>
      <c r="AB73" s="57">
        <v>0</v>
      </c>
      <c r="AC73" s="57">
        <v>0</v>
      </c>
      <c r="AD73" s="58">
        <v>0</v>
      </c>
      <c r="AE73" s="58">
        <v>0</v>
      </c>
      <c r="AF73" s="57">
        <v>0</v>
      </c>
      <c r="AG73" s="57">
        <v>0</v>
      </c>
      <c r="AH73" s="57">
        <v>0</v>
      </c>
      <c r="AI73" s="57">
        <v>0</v>
      </c>
      <c r="AJ73" s="57">
        <v>0</v>
      </c>
      <c r="AK73" s="58">
        <v>0</v>
      </c>
      <c r="AL73" s="58">
        <v>0</v>
      </c>
      <c r="AM73" s="57">
        <v>0</v>
      </c>
      <c r="AN73" s="57">
        <v>0</v>
      </c>
      <c r="AO73" s="57">
        <v>0</v>
      </c>
      <c r="AP73" s="57">
        <v>0</v>
      </c>
      <c r="AQ73" s="57">
        <v>0</v>
      </c>
      <c r="AR73" s="58">
        <v>0</v>
      </c>
      <c r="AS73" s="58">
        <v>0</v>
      </c>
      <c r="AT73" s="57">
        <v>0</v>
      </c>
      <c r="AU73" s="57">
        <v>0</v>
      </c>
      <c r="AV73" s="57">
        <v>0</v>
      </c>
      <c r="AW73" s="57">
        <v>0</v>
      </c>
      <c r="AX73" s="57">
        <v>0</v>
      </c>
      <c r="AY73" s="58">
        <v>0</v>
      </c>
      <c r="AZ73" s="58">
        <v>0</v>
      </c>
      <c r="BA73" s="57">
        <v>8</v>
      </c>
      <c r="BB73" s="57">
        <v>8</v>
      </c>
      <c r="BC73" s="57">
        <v>8</v>
      </c>
      <c r="BD73" s="57">
        <v>8</v>
      </c>
      <c r="BE73" s="57">
        <v>8</v>
      </c>
      <c r="BF73" s="58">
        <v>0</v>
      </c>
      <c r="BG73" s="58">
        <v>0</v>
      </c>
      <c r="BH73" s="57">
        <v>0</v>
      </c>
      <c r="BI73" s="57">
        <v>0</v>
      </c>
      <c r="BJ73" s="57">
        <v>0</v>
      </c>
      <c r="BK73" s="57">
        <v>0</v>
      </c>
      <c r="BL73" s="57">
        <v>0</v>
      </c>
      <c r="BM73" s="58">
        <v>0</v>
      </c>
      <c r="BN73" s="58">
        <v>0</v>
      </c>
      <c r="BO73" s="57">
        <v>0</v>
      </c>
      <c r="BP73" s="57">
        <v>0</v>
      </c>
      <c r="BQ73" s="57">
        <v>0</v>
      </c>
      <c r="BR73" s="57">
        <v>0</v>
      </c>
      <c r="BS73" s="57">
        <v>0</v>
      </c>
      <c r="BT73" s="58">
        <v>0</v>
      </c>
      <c r="BU73" s="58">
        <v>0</v>
      </c>
      <c r="BV73" s="57">
        <v>0</v>
      </c>
      <c r="BW73" s="57">
        <v>0</v>
      </c>
      <c r="BX73" s="57">
        <v>0</v>
      </c>
      <c r="BY73" s="57">
        <v>0</v>
      </c>
      <c r="BZ73" s="57">
        <v>0</v>
      </c>
      <c r="CA73" s="58">
        <v>0</v>
      </c>
      <c r="CB73" s="58">
        <v>0</v>
      </c>
      <c r="CC73" s="57">
        <v>0</v>
      </c>
      <c r="CD73" s="57">
        <v>0</v>
      </c>
      <c r="CE73" s="57">
        <v>0</v>
      </c>
      <c r="CF73" s="57">
        <v>0</v>
      </c>
      <c r="CG73" s="57">
        <v>0</v>
      </c>
      <c r="CH73" s="58">
        <v>0</v>
      </c>
      <c r="CI73" s="58">
        <v>0</v>
      </c>
      <c r="CJ73" s="57">
        <v>0</v>
      </c>
      <c r="CK73" s="57">
        <v>0</v>
      </c>
      <c r="CL73" s="57">
        <v>0</v>
      </c>
      <c r="CM73" s="57">
        <v>0</v>
      </c>
      <c r="CN73" s="57">
        <v>0</v>
      </c>
      <c r="CO73" s="58">
        <v>0</v>
      </c>
      <c r="CP73" s="58">
        <v>0</v>
      </c>
      <c r="CQ73" s="57">
        <v>0</v>
      </c>
      <c r="CR73" s="57">
        <v>0</v>
      </c>
      <c r="CS73" s="57">
        <v>0</v>
      </c>
      <c r="CT73" s="57">
        <v>0</v>
      </c>
      <c r="CU73" s="57">
        <v>0</v>
      </c>
      <c r="CV73" s="58">
        <v>0</v>
      </c>
      <c r="CW73" s="58">
        <v>0</v>
      </c>
      <c r="CX73" s="57">
        <v>0</v>
      </c>
      <c r="CY73" s="57">
        <v>0</v>
      </c>
      <c r="CZ73" s="57">
        <v>0</v>
      </c>
      <c r="DA73" s="57">
        <v>0</v>
      </c>
      <c r="DB73" s="57">
        <v>0</v>
      </c>
      <c r="DC73" s="58">
        <v>0</v>
      </c>
      <c r="DD73" s="58">
        <v>0</v>
      </c>
      <c r="DE73" s="57">
        <v>0</v>
      </c>
      <c r="DF73" s="57">
        <v>0</v>
      </c>
      <c r="DG73" s="57">
        <v>0</v>
      </c>
      <c r="DH73" s="57">
        <v>0</v>
      </c>
      <c r="DI73" s="57">
        <v>0</v>
      </c>
      <c r="DJ73" s="58">
        <v>0</v>
      </c>
      <c r="DK73" s="58">
        <v>0</v>
      </c>
      <c r="DL73" s="57">
        <v>0</v>
      </c>
      <c r="DM73" s="57">
        <v>0</v>
      </c>
      <c r="DN73" s="57">
        <v>0</v>
      </c>
      <c r="DO73" s="57">
        <v>0</v>
      </c>
      <c r="DP73" s="57">
        <v>0</v>
      </c>
      <c r="DQ73" s="58">
        <v>0</v>
      </c>
      <c r="DR73" s="58">
        <v>0</v>
      </c>
      <c r="DS73" s="57">
        <v>0</v>
      </c>
      <c r="DT73" s="57">
        <v>0</v>
      </c>
      <c r="DU73" s="57">
        <v>0</v>
      </c>
      <c r="DV73" s="57">
        <v>0</v>
      </c>
      <c r="DW73" s="57">
        <v>0</v>
      </c>
      <c r="DX73" s="58">
        <v>0</v>
      </c>
      <c r="DY73" s="58">
        <v>0</v>
      </c>
      <c r="DZ73" s="57">
        <v>0</v>
      </c>
      <c r="EA73" s="57">
        <v>0</v>
      </c>
      <c r="EB73" s="57">
        <v>0</v>
      </c>
      <c r="EC73" s="57">
        <v>0</v>
      </c>
      <c r="ED73" s="57">
        <v>0</v>
      </c>
      <c r="EE73" s="58">
        <v>0</v>
      </c>
      <c r="EF73" s="58">
        <v>0</v>
      </c>
      <c r="EG73" s="57">
        <v>0</v>
      </c>
      <c r="EH73" s="57">
        <v>0</v>
      </c>
      <c r="EI73" s="57">
        <v>0</v>
      </c>
      <c r="EJ73" s="57">
        <v>0</v>
      </c>
      <c r="EK73" s="59">
        <v>0</v>
      </c>
      <c r="OU73" s="60" t="s">
        <v>131</v>
      </c>
    </row>
    <row r="74" ht="16" customHeight="1" spans="1:411" x14ac:dyDescent="0.25">
      <c r="A74" s="45"/>
      <c r="B74" s="78" t="s">
        <v>119</v>
      </c>
      <c r="C74" s="61">
        <f>F71*N(D74)</f>
        <v>21676</v>
      </c>
      <c r="D74" s="61">
        <f>IF(TRIM(IF(TRIM(B75)&lt;&gt;"",B75,B71))="","No rate",IFERROR(INDEX('Rate Tables'!C$7:C$158,MATCH(IF(TRIM(B75)&lt;&gt;"",B75,B71),'Rate Tables'!A$7:A$158,0)),"No rate"))</f>
        <v>108.38</v>
      </c>
      <c r="E74" s="55" t="s">
        <v>62</v>
      </c>
      <c r="F74" s="49"/>
      <c r="G74" s="49"/>
      <c r="H74" s="49"/>
      <c r="I74" s="49"/>
      <c r="J74" s="50"/>
      <c r="K74" s="62">
        <f>IF(AND(K72=0,K73=0),0,MIN(IF(K72&lt;=0,0,IF(WEEKDAY(K$6,1)=1,0,IF(WEEKDAY(K$6,1)=7,0,MIN(8,K73)*K72))),MAX(0,40*MAX(1,K72)-(0))))</f>
        <v>0</v>
      </c>
      <c r="L74" s="63">
        <f>IF(AND(L72=0,L73=0),0,MIN(IF(L72&lt;=0,0,IF(WEEKDAY(L$6,1)=1,0,IF(WEEKDAY(L$6,1)=7,0,MIN(8,L73)*L72))),MAX(0,40*MAX(1,L72)-(K74))))</f>
        <v>0</v>
      </c>
      <c r="M74" s="63">
        <f>IF(AND(M72=0,M73=0),0,MIN(IF(M72&lt;=0,0,IF(WEEKDAY(M$6,1)=1,0,IF(WEEKDAY(M$6,1)=7,0,MIN(8,M73)*M72))),MAX(0,40*MAX(1,M72)-(K74+L74))))</f>
        <v>0</v>
      </c>
      <c r="N74" s="63">
        <f>IF(AND(N72=0,N73=0),0,MIN(IF(N72&lt;=0,0,IF(WEEKDAY(N$6,1)=1,0,IF(WEEKDAY(N$6,1)=7,0,MIN(8,N73)*N72))),MAX(0,40*MAX(1,N72)-(K74+L74+M74))))</f>
        <v>0</v>
      </c>
      <c r="O74" s="63">
        <f>IF(AND(O72=0,O73=0),0,MIN(IF(O72&lt;=0,0,IF(WEEKDAY(O$6,1)=1,0,IF(WEEKDAY(O$6,1)=7,0,MIN(8,O73)*O72))),MAX(0,40*MAX(1,O72)-(K74+L74+M74+N74))))</f>
        <v>0</v>
      </c>
      <c r="P74" s="64">
        <f>IF(AND(P72=0,P73=0),0,MIN(IF(P72&lt;=0,0,IF(WEEKDAY(P$6,1)=1,0,IF(WEEKDAY(P$6,1)=7,0,MIN(8,P73)*P72))),MAX(0,40*MAX(1,P72)-(K74+L74+M74+N74+O74))))</f>
        <v>0</v>
      </c>
      <c r="Q74" s="64">
        <f>IF(AND(Q72=0,Q73=0),0,MIN(IF(Q72&lt;=0,0,IF(WEEKDAY(Q$6,1)=1,0,IF(WEEKDAY(Q$6,1)=7,0,MIN(8,Q73)*Q72))),MAX(0,40*MAX(1,Q72)-(K74+L74+M74+N74+O74+P74))))</f>
        <v>0</v>
      </c>
      <c r="R74" s="63">
        <f>IF(AND(R72=0,R73=0),0,MIN(IF(R72&lt;=0,0,IF(WEEKDAY(R$6,1)=1,0,IF(WEEKDAY(R$6,1)=7,0,MIN(8,R73)*R72))),MAX(0,40*MAX(1,R72)-(0))))</f>
        <v>0</v>
      </c>
      <c r="S74" s="63">
        <f>IF(AND(S72=0,S73=0),0,MIN(IF(S72&lt;=0,0,IF(WEEKDAY(S$6,1)=1,0,IF(WEEKDAY(S$6,1)=7,0,MIN(8,S73)*S72))),MAX(0,40*MAX(1,S72)-(R74))))</f>
        <v>0</v>
      </c>
      <c r="T74" s="63">
        <f>IF(AND(T72=0,T73=0),0,MIN(IF(T72&lt;=0,0,IF(WEEKDAY(T$6,1)=1,0,IF(WEEKDAY(T$6,1)=7,0,MIN(8,T73)*T72))),MAX(0,40*MAX(1,T72)-(R74+S74))))</f>
        <v>0</v>
      </c>
      <c r="U74" s="63">
        <f>IF(AND(U72=0,U73=0),0,MIN(IF(U72&lt;=0,0,IF(WEEKDAY(U$6,1)=1,0,IF(WEEKDAY(U$6,1)=7,0,MIN(8,U73)*U72))),MAX(0,40*MAX(1,U72)-(R74+S74+T74))))</f>
        <v>0</v>
      </c>
      <c r="V74" s="63">
        <f>IF(AND(V72=0,V73=0),0,MIN(IF(V72&lt;=0,0,IF(WEEKDAY(V$6,1)=1,0,IF(WEEKDAY(V$6,1)=7,0,MIN(8,V73)*V72))),MAX(0,40*MAX(1,V72)-(R74+S74+T74+U74))))</f>
        <v>0</v>
      </c>
      <c r="W74" s="64">
        <f>IF(AND(W72=0,W73=0),0,MIN(IF(W72&lt;=0,0,IF(WEEKDAY(W$6,1)=1,0,IF(WEEKDAY(W$6,1)=7,0,MIN(8,W73)*W72))),MAX(0,40*MAX(1,W72)-(R74+S74+T74+U74+V74))))</f>
        <v>0</v>
      </c>
      <c r="X74" s="64">
        <f>IF(AND(X72=0,X73=0),0,MIN(IF(X72&lt;=0,0,IF(WEEKDAY(X$6,1)=1,0,IF(WEEKDAY(X$6,1)=7,0,MIN(8,X73)*X72))),MAX(0,40*MAX(1,X72)-(R74+S74+T74+U74+V74+W74))))</f>
        <v>0</v>
      </c>
      <c r="Y74" s="63">
        <f>IF(AND(Y72=0,Y73=0),0,MIN(IF(Y72&lt;=0,0,IF(WEEKDAY(Y$6,1)=1,0,IF(WEEKDAY(Y$6,1)=7,0,MIN(8,Y73)*Y72))),MAX(0,40*MAX(1,Y72)-(0))))</f>
        <v>0</v>
      </c>
      <c r="Z74" s="63">
        <f>IF(AND(Z72=0,Z73=0),0,MIN(IF(Z72&lt;=0,0,IF(WEEKDAY(Z$6,1)=1,0,IF(WEEKDAY(Z$6,1)=7,0,MIN(8,Z73)*Z72))),MAX(0,40*MAX(1,Z72)-(Y74))))</f>
        <v>0</v>
      </c>
      <c r="AA74" s="63">
        <f>IF(AND(AA72=0,AA73=0),0,MIN(IF(AA72&lt;=0,0,IF(WEEKDAY(AA$6,1)=1,0,IF(WEEKDAY(AA$6,1)=7,0,MIN(8,AA73)*AA72))),MAX(0,40*MAX(1,AA72)-(Y74+Z74))))</f>
        <v>0</v>
      </c>
      <c r="AB74" s="63">
        <f>IF(AND(AB72=0,AB73=0),0,MIN(IF(AB72&lt;=0,0,IF(WEEKDAY(AB$6,1)=1,0,IF(WEEKDAY(AB$6,1)=7,0,MIN(8,AB73)*AB72))),MAX(0,40*MAX(1,AB72)-(Y74+Z74+AA74))))</f>
        <v>0</v>
      </c>
      <c r="AC74" s="63">
        <f>IF(AND(AC72=0,AC73=0),0,MIN(IF(AC72&lt;=0,0,IF(WEEKDAY(AC$6,1)=1,0,IF(WEEKDAY(AC$6,1)=7,0,MIN(8,AC73)*AC72))),MAX(0,40*MAX(1,AC72)-(Y74+Z74+AA74+AB74))))</f>
        <v>0</v>
      </c>
      <c r="AD74" s="64">
        <f>IF(AND(AD72=0,AD73=0),0,MIN(IF(AD72&lt;=0,0,IF(WEEKDAY(AD$6,1)=1,0,IF(WEEKDAY(AD$6,1)=7,0,MIN(8,AD73)*AD72))),MAX(0,40*MAX(1,AD72)-(Y74+Z74+AA74+AB74+AC74))))</f>
        <v>0</v>
      </c>
      <c r="AE74" s="64">
        <f>IF(AND(AE72=0,AE73=0),0,MIN(IF(AE72&lt;=0,0,IF(WEEKDAY(AE$6,1)=1,0,IF(WEEKDAY(AE$6,1)=7,0,MIN(8,AE73)*AE72))),MAX(0,40*MAX(1,AE72)-(Y74+Z74+AA74+AB74+AC74+AD74))))</f>
        <v>0</v>
      </c>
      <c r="AF74" s="63">
        <f>IF(AND(AF72=0,AF73=0),0,MIN(IF(AF72&lt;=0,0,IF(WEEKDAY(AF$6,1)=1,0,IF(WEEKDAY(AF$6,1)=7,0,MIN(8,AF73)*AF72))),MAX(0,40*MAX(1,AF72)-(0))))</f>
        <v>0</v>
      </c>
      <c r="AG74" s="63">
        <f>IF(AND(AG72=0,AG73=0),0,MIN(IF(AG72&lt;=0,0,IF(WEEKDAY(AG$6,1)=1,0,IF(WEEKDAY(AG$6,1)=7,0,MIN(8,AG73)*AG72))),MAX(0,40*MAX(1,AG72)-(AF74))))</f>
        <v>0</v>
      </c>
      <c r="AH74" s="63">
        <f>IF(AND(AH72=0,AH73=0),0,MIN(IF(AH72&lt;=0,0,IF(WEEKDAY(AH$6,1)=1,0,IF(WEEKDAY(AH$6,1)=7,0,MIN(8,AH73)*AH72))),MAX(0,40*MAX(1,AH72)-(AF74+AG74))))</f>
        <v>0</v>
      </c>
      <c r="AI74" s="63">
        <f>IF(AND(AI72=0,AI73=0),0,MIN(IF(AI72&lt;=0,0,IF(WEEKDAY(AI$6,1)=1,0,IF(WEEKDAY(AI$6,1)=7,0,MIN(8,AI73)*AI72))),MAX(0,40*MAX(1,AI72)-(AF74+AG74+AH74))))</f>
        <v>0</v>
      </c>
      <c r="AJ74" s="63">
        <f>IF(AND(AJ72=0,AJ73=0),0,MIN(IF(AJ72&lt;=0,0,IF(WEEKDAY(AJ$6,1)=1,0,IF(WEEKDAY(AJ$6,1)=7,0,MIN(8,AJ73)*AJ72))),MAX(0,40*MAX(1,AJ72)-(AF74+AG74+AH74+AI74))))</f>
        <v>0</v>
      </c>
      <c r="AK74" s="64">
        <f>IF(AND(AK72=0,AK73=0),0,MIN(IF(AK72&lt;=0,0,IF(WEEKDAY(AK$6,1)=1,0,IF(WEEKDAY(AK$6,1)=7,0,MIN(8,AK73)*AK72))),MAX(0,40*MAX(1,AK72)-(AF74+AG74+AH74+AI74+AJ74))))</f>
        <v>0</v>
      </c>
      <c r="AL74" s="64">
        <f>IF(AND(AL72=0,AL73=0),0,MIN(IF(AL72&lt;=0,0,IF(WEEKDAY(AL$6,1)=1,0,IF(WEEKDAY(AL$6,1)=7,0,MIN(8,AL73)*AL72))),MAX(0,40*MAX(1,AL72)-(AF74+AG74+AH74+AI74+AJ74+AK74))))</f>
        <v>0</v>
      </c>
      <c r="AM74" s="63">
        <f>IF(AND(AM72=0,AM73=0),0,MIN(IF(AM72&lt;=0,0,IF(WEEKDAY(AM$6,1)=1,0,IF(WEEKDAY(AM$6,1)=7,0,MIN(8,AM73)*AM72))),MAX(0,40*MAX(1,AM72)-(0))))</f>
        <v>0</v>
      </c>
      <c r="AN74" s="63">
        <f>IF(AND(AN72=0,AN73=0),0,MIN(IF(AN72&lt;=0,0,IF(WEEKDAY(AN$6,1)=1,0,IF(WEEKDAY(AN$6,1)=7,0,MIN(8,AN73)*AN72))),MAX(0,40*MAX(1,AN72)-(AM74))))</f>
        <v>0</v>
      </c>
      <c r="AO74" s="63">
        <f>IF(AND(AO72=0,AO73=0),0,MIN(IF(AO72&lt;=0,0,IF(WEEKDAY(AO$6,1)=1,0,IF(WEEKDAY(AO$6,1)=7,0,MIN(8,AO73)*AO72))),MAX(0,40*MAX(1,AO72)-(AM74+AN74))))</f>
        <v>0</v>
      </c>
      <c r="AP74" s="63">
        <f>IF(AND(AP72=0,AP73=0),0,MIN(IF(AP72&lt;=0,0,IF(WEEKDAY(AP$6,1)=1,0,IF(WEEKDAY(AP$6,1)=7,0,MIN(8,AP73)*AP72))),MAX(0,40*MAX(1,AP72)-(AM74+AN74+AO74))))</f>
        <v>0</v>
      </c>
      <c r="AQ74" s="63">
        <f>IF(AND(AQ72=0,AQ73=0),0,MIN(IF(AQ72&lt;=0,0,IF(WEEKDAY(AQ$6,1)=1,0,IF(WEEKDAY(AQ$6,1)=7,0,MIN(8,AQ73)*AQ72))),MAX(0,40*MAX(1,AQ72)-(AM74+AN74+AO74+AP74))))</f>
        <v>0</v>
      </c>
      <c r="AR74" s="64">
        <f>IF(AND(AR72=0,AR73=0),0,MIN(IF(AR72&lt;=0,0,IF(WEEKDAY(AR$6,1)=1,0,IF(WEEKDAY(AR$6,1)=7,0,MIN(8,AR73)*AR72))),MAX(0,40*MAX(1,AR72)-(AM74+AN74+AO74+AP74+AQ74))))</f>
        <v>0</v>
      </c>
      <c r="AS74" s="64">
        <f>IF(AND(AS72=0,AS73=0),0,MIN(IF(AS72&lt;=0,0,IF(WEEKDAY(AS$6,1)=1,0,IF(WEEKDAY(AS$6,1)=7,0,MIN(8,AS73)*AS72))),MAX(0,40*MAX(1,AS72)-(AM74+AN74+AO74+AP74+AQ74+AR74))))</f>
        <v>0</v>
      </c>
      <c r="AT74" s="63">
        <f>IF(AND(AT72=0,AT73=0),0,MIN(IF(AT72&lt;=0,0,IF(WEEKDAY(AT$6,1)=1,0,IF(WEEKDAY(AT$6,1)=7,0,MIN(8,AT73)*AT72))),MAX(0,40*MAX(1,AT72)-(0))))</f>
        <v>0</v>
      </c>
      <c r="AU74" s="63">
        <f>IF(AND(AU72=0,AU73=0),0,MIN(IF(AU72&lt;=0,0,IF(WEEKDAY(AU$6,1)=1,0,IF(WEEKDAY(AU$6,1)=7,0,MIN(8,AU73)*AU72))),MAX(0,40*MAX(1,AU72)-(AT74))))</f>
        <v>0</v>
      </c>
      <c r="AV74" s="63">
        <f>IF(AND(AV72=0,AV73=0),0,MIN(IF(AV72&lt;=0,0,IF(WEEKDAY(AV$6,1)=1,0,IF(WEEKDAY(AV$6,1)=7,0,MIN(8,AV73)*AV72))),MAX(0,40*MAX(1,AV72)-(AT74+AU74))))</f>
        <v>0</v>
      </c>
      <c r="AW74" s="63">
        <f>IF(AND(AW72=0,AW73=0),0,MIN(IF(AW72&lt;=0,0,IF(WEEKDAY(AW$6,1)=1,0,IF(WEEKDAY(AW$6,1)=7,0,MIN(8,AW73)*AW72))),MAX(0,40*MAX(1,AW72)-(AT74+AU74+AV74))))</f>
        <v>0</v>
      </c>
      <c r="AX74" s="63">
        <f>IF(AND(AX72=0,AX73=0),0,MIN(IF(AX72&lt;=0,0,IF(WEEKDAY(AX$6,1)=1,0,IF(WEEKDAY(AX$6,1)=7,0,MIN(8,AX73)*AX72))),MAX(0,40*MAX(1,AX72)-(AT74+AU74+AV74+AW74))))</f>
        <v>0</v>
      </c>
      <c r="AY74" s="64">
        <f>IF(AND(AY72=0,AY73=0),0,MIN(IF(AY72&lt;=0,0,IF(WEEKDAY(AY$6,1)=1,0,IF(WEEKDAY(AY$6,1)=7,0,MIN(8,AY73)*AY72))),MAX(0,40*MAX(1,AY72)-(AT74+AU74+AV74+AW74+AX74))))</f>
        <v>0</v>
      </c>
      <c r="AZ74" s="64">
        <f>IF(AND(AZ72=0,AZ73=0),0,MIN(IF(AZ72&lt;=0,0,IF(WEEKDAY(AZ$6,1)=1,0,IF(WEEKDAY(AZ$6,1)=7,0,MIN(8,AZ73)*AZ72))),MAX(0,40*MAX(1,AZ72)-(AT74+AU74+AV74+AW74+AX74+AY74))))</f>
        <v>0</v>
      </c>
      <c r="BA74" s="63">
        <f>IF(AND(BA72=5,BA73=8),40,MIN(IF(BA72&lt;=0,0,IF(WEEKDAY(BA$6,1)=1,0,IF(WEEKDAY(BA$6,1)=7,0,MIN(8,BA73)*BA72))),MAX(0,40*MAX(1,BA72)-(0))))</f>
        <v>40</v>
      </c>
      <c r="BB74" s="63">
        <f>IF(AND(BB72=5,BB73=8),40,MIN(IF(BB72&lt;=0,0,IF(WEEKDAY(BB$6,1)=1,0,IF(WEEKDAY(BB$6,1)=7,0,MIN(8,BB73)*BB72))),MAX(0,40*MAX(1,BB72)-(BA74))))</f>
        <v>40</v>
      </c>
      <c r="BC74" s="63">
        <f>IF(AND(BC72=5,BC73=8),40,MIN(IF(BC72&lt;=0,0,IF(WEEKDAY(BC$6,1)=1,0,IF(WEEKDAY(BC$6,1)=7,0,MIN(8,BC73)*BC72))),MAX(0,40*MAX(1,BC72)-(BA74+BB74))))</f>
        <v>40</v>
      </c>
      <c r="BD74" s="63">
        <f>IF(AND(BD72=5,BD73=8),40,MIN(IF(BD72&lt;=0,0,IF(WEEKDAY(BD$6,1)=1,0,IF(WEEKDAY(BD$6,1)=7,0,MIN(8,BD73)*BD72))),MAX(0,40*MAX(1,BD72)-(BA74+BB74+BC74))))</f>
        <v>40</v>
      </c>
      <c r="BE74" s="63">
        <f>IF(AND(BE72=5,BE73=8),40,MIN(IF(BE72&lt;=0,0,IF(WEEKDAY(BE$6,1)=1,0,IF(WEEKDAY(BE$6,1)=7,0,MIN(8,BE73)*BE72))),MAX(0,40*MAX(1,BE72)-(BA74+BB74+BC74+BD74))))</f>
        <v>40</v>
      </c>
      <c r="BF74" s="64">
        <f>IF(AND(BF72=0,BF73=0),0,MIN(IF(BF72&lt;=0,0,IF(WEEKDAY(BF$6,1)=1,0,IF(WEEKDAY(BF$6,1)=7,0,MIN(8,BF73)*BF72))),MAX(0,40*MAX(1,BF72)-(0))))</f>
        <v>0</v>
      </c>
      <c r="BG74" s="64">
        <f>IF(AND(BG72=0,BG73=0),0,MIN(IF(BG72&lt;=0,0,IF(WEEKDAY(BG$6,1)=1,0,IF(WEEKDAY(BG$6,1)=7,0,MIN(8,BG73)*BG72))),MAX(0,40*MAX(1,BG72)-(BF74))))</f>
        <v>0</v>
      </c>
      <c r="BH74" s="63">
        <f>IF(AND(BH72=0,BH73=0),0,MIN(IF(BH72&lt;=0,0,IF(WEEKDAY(BH$6,1)=1,0,IF(WEEKDAY(BH$6,1)=7,0,MIN(8,BH73)*BH72))),MAX(0,40*MAX(1,BH72)-(0))))</f>
        <v>0</v>
      </c>
      <c r="BI74" s="63">
        <f>IF(AND(BI72=0,BI73=0),0,MIN(IF(BI72&lt;=0,0,IF(WEEKDAY(BI$6,1)=1,0,IF(WEEKDAY(BI$6,1)=7,0,MIN(8,BI73)*BI72))),MAX(0,40*MAX(1,BI72)-(BH74))))</f>
        <v>0</v>
      </c>
      <c r="BJ74" s="63">
        <f>IF(AND(BJ72=0,BJ73=0),0,MIN(IF(BJ72&lt;=0,0,IF(WEEKDAY(BJ$6,1)=1,0,IF(WEEKDAY(BJ$6,1)=7,0,MIN(8,BJ73)*BJ72))),MAX(0,40*MAX(1,BJ72)-(BH74+BI74))))</f>
        <v>0</v>
      </c>
      <c r="BK74" s="63">
        <f>IF(AND(BK72=0,BK73=0),0,MIN(IF(BK72&lt;=0,0,IF(WEEKDAY(BK$6,1)=1,0,IF(WEEKDAY(BK$6,1)=7,0,MIN(8,BK73)*BK72))),MAX(0,40*MAX(1,BK72)-(BH74+BI74+BJ74))))</f>
        <v>0</v>
      </c>
      <c r="BL74" s="63">
        <f>IF(AND(BL72=0,BL73=0),0,MIN(IF(BL72&lt;=0,0,IF(WEEKDAY(BL$6,1)=1,0,IF(WEEKDAY(BL$6,1)=7,0,MIN(8,BL73)*BL72))),MAX(0,40*MAX(1,BL72)-(BH74+BI74+BJ74+BK74))))</f>
        <v>0</v>
      </c>
      <c r="BM74" s="64">
        <f>IF(AND(BM72=0,BM73=0),0,MIN(IF(BM72&lt;=0,0,IF(WEEKDAY(BM$6,1)=1,0,IF(WEEKDAY(BM$6,1)=7,0,MIN(8,BM73)*BM72))),MAX(0,40*MAX(1,BM72)-(BH74+BI74+BJ74+BK74+BL74))))</f>
        <v>0</v>
      </c>
      <c r="BN74" s="64">
        <f>IF(AND(BN72=0,BN73=0),0,MIN(IF(BN72&lt;=0,0,IF(WEEKDAY(BN$6,1)=1,0,IF(WEEKDAY(BN$6,1)=7,0,MIN(8,BN73)*BN72))),MAX(0,40*MAX(1,BN72)-(BH74+BI74+BJ74+BK74+BL74+BM74))))</f>
        <v>0</v>
      </c>
      <c r="BO74" s="63">
        <f>IF(AND(BO72=0,BO73=0),0,MIN(IF(BO72&lt;=0,0,IF(WEEKDAY(BO$6,1)=1,0,IF(WEEKDAY(BO$6,1)=7,0,MIN(8,BO73)*BO72))),MAX(0,40*MAX(1,BO72)-(0))))</f>
        <v>0</v>
      </c>
      <c r="BP74" s="63">
        <f>IF(AND(BP72=0,BP73=0),0,MIN(IF(BP72&lt;=0,0,IF(WEEKDAY(BP$6,1)=1,0,IF(WEEKDAY(BP$6,1)=7,0,MIN(8,BP73)*BP72))),MAX(0,40*MAX(1,BP72)-(BO74))))</f>
        <v>0</v>
      </c>
      <c r="BQ74" s="63">
        <f>IF(AND(BQ72=0,BQ73=0),0,MIN(IF(BQ72&lt;=0,0,IF(WEEKDAY(BQ$6,1)=1,0,IF(WEEKDAY(BQ$6,1)=7,0,MIN(8,BQ73)*BQ72))),MAX(0,40*MAX(1,BQ72)-(BO74+BP74))))</f>
        <v>0</v>
      </c>
      <c r="BR74" s="63">
        <f>IF(AND(BR72=0,BR73=0),0,MIN(IF(BR72&lt;=0,0,IF(WEEKDAY(BR$6,1)=1,0,IF(WEEKDAY(BR$6,1)=7,0,MIN(8,BR73)*BR72))),MAX(0,40*MAX(1,BR72)-(BO74+BP74+BQ74))))</f>
        <v>0</v>
      </c>
      <c r="BS74" s="63">
        <f>IF(AND(BS72=0,BS73=0),0,MIN(IF(BS72&lt;=0,0,IF(WEEKDAY(BS$6,1)=1,0,IF(WEEKDAY(BS$6,1)=7,0,MIN(8,BS73)*BS72))),MAX(0,40*MAX(1,BS72)-(BO74+BP74+BQ74+BR74))))</f>
        <v>0</v>
      </c>
      <c r="BT74" s="64">
        <f>IF(AND(BT72=0,BT73=0),0,MIN(IF(BT72&lt;=0,0,IF(WEEKDAY(BT$6,1)=1,0,IF(WEEKDAY(BT$6,1)=7,0,MIN(8,BT73)*BT72))),MAX(0,40*MAX(1,BT72)-(BO74+BP74+BQ74+BR74+BS74))))</f>
        <v>0</v>
      </c>
      <c r="BU74" s="64">
        <f>IF(AND(BU72=0,BU73=0),0,MIN(IF(BU72&lt;=0,0,IF(WEEKDAY(BU$6,1)=1,0,IF(WEEKDAY(BU$6,1)=7,0,MIN(8,BU73)*BU72))),MAX(0,40*MAX(1,BU72)-(BO74+BP74+BQ74+BR74+BS74+BT74))))</f>
        <v>0</v>
      </c>
      <c r="BV74" s="63">
        <f>IF(AND(BV72=0,BV73=0),0,MIN(IF(BV72&lt;=0,0,IF(WEEKDAY(BV$6,1)=1,0,IF(WEEKDAY(BV$6,1)=7,0,MIN(8,BV73)*BV72))),MAX(0,40*MAX(1,BV72)-(0))))</f>
        <v>0</v>
      </c>
      <c r="BW74" s="63">
        <f>IF(AND(BW72=0,BW73=0),0,MIN(IF(BW72&lt;=0,0,IF(WEEKDAY(BW$6,1)=1,0,IF(WEEKDAY(BW$6,1)=7,0,MIN(8,BW73)*BW72))),MAX(0,40*MAX(1,BW72)-(BV74))))</f>
        <v>0</v>
      </c>
      <c r="BX74" s="63">
        <f>IF(AND(BX72=0,BX73=0),0,MIN(IF(BX72&lt;=0,0,IF(WEEKDAY(BX$6,1)=1,0,IF(WEEKDAY(BX$6,1)=7,0,MIN(8,BX73)*BX72))),MAX(0,40*MAX(1,BX72)-(BV74+BW74))))</f>
        <v>0</v>
      </c>
      <c r="BY74" s="63">
        <f>IF(AND(BY72=0,BY73=0),0,MIN(IF(BY72&lt;=0,0,IF(WEEKDAY(BY$6,1)=1,0,IF(WEEKDAY(BY$6,1)=7,0,MIN(8,BY73)*BY72))),MAX(0,40*MAX(1,BY72)-(BV74+BW74+BX74))))</f>
        <v>0</v>
      </c>
      <c r="BZ74" s="63">
        <f>IF(AND(BZ72=0,BZ73=0),0,MIN(IF(BZ72&lt;=0,0,IF(WEEKDAY(BZ$6,1)=1,0,IF(WEEKDAY(BZ$6,1)=7,0,MIN(8,BZ73)*BZ72))),MAX(0,40*MAX(1,BZ72)-(BV74+BW74+BX74+BY74))))</f>
        <v>0</v>
      </c>
      <c r="CA74" s="64">
        <f>IF(AND(CA72=0,CA73=0),0,MIN(IF(CA72&lt;=0,0,IF(WEEKDAY(CA$6,1)=1,0,IF(WEEKDAY(CA$6,1)=7,0,MIN(8,CA73)*CA72))),MAX(0,40*MAX(1,CA72)-(BV74+BW74+BX74+BY74+BZ74))))</f>
        <v>0</v>
      </c>
      <c r="CB74" s="64">
        <f>IF(AND(CB72=0,CB73=0),0,MIN(IF(CB72&lt;=0,0,IF(WEEKDAY(CB$6,1)=1,0,IF(WEEKDAY(CB$6,1)=7,0,MIN(8,CB73)*CB72))),MAX(0,40*MAX(1,CB72)-(BV74+BW74+BX74+BY74+BZ74+CA74))))</f>
        <v>0</v>
      </c>
      <c r="CC74" s="63">
        <f>IF(AND(CC72=0,CC73=0),0,MIN(IF(CC72&lt;=0,0,IF(WEEKDAY(CC$6,1)=1,0,IF(WEEKDAY(CC$6,1)=7,0,MIN(8,CC73)*CC72))),MAX(0,40*MAX(1,CC72)-(0))))</f>
        <v>0</v>
      </c>
      <c r="CD74" s="63">
        <f>IF(AND(CD72=0,CD73=0),0,MIN(IF(CD72&lt;=0,0,IF(WEEKDAY(CD$6,1)=1,0,IF(WEEKDAY(CD$6,1)=7,0,MIN(8,CD73)*CD72))),MAX(0,40*MAX(1,CD72)-(CC74))))</f>
        <v>0</v>
      </c>
      <c r="CE74" s="63">
        <f>IF(AND(CE72=0,CE73=0),0,MIN(IF(CE72&lt;=0,0,IF(WEEKDAY(CE$6,1)=1,0,IF(WEEKDAY(CE$6,1)=7,0,MIN(8,CE73)*CE72))),MAX(0,40*MAX(1,CE72)-(CC74+CD74))))</f>
        <v>0</v>
      </c>
      <c r="CF74" s="63">
        <f>IF(AND(CF72=0,CF73=0),0,MIN(IF(CF72&lt;=0,0,IF(WEEKDAY(CF$6,1)=1,0,IF(WEEKDAY(CF$6,1)=7,0,MIN(8,CF73)*CF72))),MAX(0,40*MAX(1,CF72)-(CC74+CD74+CE74))))</f>
        <v>0</v>
      </c>
      <c r="CG74" s="63">
        <f>IF(AND(CG72=0,CG73=0),0,MIN(IF(CG72&lt;=0,0,IF(WEEKDAY(CG$6,1)=1,0,IF(WEEKDAY(CG$6,1)=7,0,MIN(8,CG73)*CG72))),MAX(0,40*MAX(1,CG72)-(CC74+CD74+CE74+CF74))))</f>
        <v>0</v>
      </c>
      <c r="CH74" s="64">
        <f>IF(AND(CH72=0,CH73=0),0,MIN(IF(CH72&lt;=0,0,IF(WEEKDAY(CH$6,1)=1,0,IF(WEEKDAY(CH$6,1)=7,0,MIN(8,CH73)*CH72))),MAX(0,40*MAX(1,CH72)-(CC74+CD74+CE74+CF74+CG74))))</f>
        <v>0</v>
      </c>
      <c r="CI74" s="64">
        <f>IF(AND(CI72=0,CI73=0),0,MIN(IF(CI72&lt;=0,0,IF(WEEKDAY(CI$6,1)=1,0,IF(WEEKDAY(CI$6,1)=7,0,MIN(8,CI73)*CI72))),MAX(0,40*MAX(1,CI72)-(CC74+CD74+CE74+CF74+CG74+CH74))))</f>
        <v>0</v>
      </c>
      <c r="CJ74" s="63">
        <f>IF(AND(CJ72=0,CJ73=0),0,MIN(IF(CJ72&lt;=0,0,IF(WEEKDAY(CJ$6,1)=1,0,IF(WEEKDAY(CJ$6,1)=7,0,MIN(8,CJ73)*CJ72))),MAX(0,40*MAX(1,CJ72)-(0))))</f>
        <v>0</v>
      </c>
      <c r="CK74" s="63">
        <f>IF(AND(CK72=0,CK73=0),0,MIN(IF(CK72&lt;=0,0,IF(WEEKDAY(CK$6,1)=1,0,IF(WEEKDAY(CK$6,1)=7,0,MIN(8,CK73)*CK72))),MAX(0,40*MAX(1,CK72)-(CJ74))))</f>
        <v>0</v>
      </c>
      <c r="CL74" s="63">
        <f>IF(AND(CL72=0,CL73=0),0,MIN(IF(CL72&lt;=0,0,IF(WEEKDAY(CL$6,1)=1,0,IF(WEEKDAY(CL$6,1)=7,0,MIN(8,CL73)*CL72))),MAX(0,40*MAX(1,CL72)-(CJ74+CK74))))</f>
        <v>0</v>
      </c>
      <c r="CM74" s="63">
        <f>IF(AND(CM72=0,CM73=0),0,MIN(IF(CM72&lt;=0,0,IF(WEEKDAY(CM$6,1)=1,0,IF(WEEKDAY(CM$6,1)=7,0,MIN(8,CM73)*CM72))),MAX(0,40*MAX(1,CM72)-(CJ74+CK74+CL74))))</f>
        <v>0</v>
      </c>
      <c r="CN74" s="63">
        <f>IF(AND(CN72=0,CN73=0),0,MIN(IF(CN72&lt;=0,0,IF(WEEKDAY(CN$6,1)=1,0,IF(WEEKDAY(CN$6,1)=7,0,MIN(8,CN73)*CN72))),MAX(0,40*MAX(1,CN72)-(CJ74+CK74+CL74+CM74))))</f>
        <v>0</v>
      </c>
      <c r="CO74" s="64">
        <f>IF(AND(CO72=0,CO73=0),0,MIN(IF(CO72&lt;=0,0,IF(WEEKDAY(CO$6,1)=1,0,IF(WEEKDAY(CO$6,1)=7,0,MIN(8,CO73)*CO72))),MAX(0,40*MAX(1,CO72)-(CJ74+CK74+CL74+CM74+CN74))))</f>
        <v>0</v>
      </c>
      <c r="CP74" s="64">
        <f>IF(AND(CP72=0,CP73=0),0,MIN(IF(CP72&lt;=0,0,IF(WEEKDAY(CP$6,1)=1,0,IF(WEEKDAY(CP$6,1)=7,0,MIN(8,CP73)*CP72))),MAX(0,40*MAX(1,CP72)-(CJ74+CK74+CL74+CM74+CN74+CO74))))</f>
        <v>0</v>
      </c>
      <c r="CQ74" s="63">
        <f>IF(AND(CQ72=0,CQ73=0),0,MIN(IF(CQ72&lt;=0,0,IF(WEEKDAY(CQ$6,1)=1,0,IF(WEEKDAY(CQ$6,1)=7,0,MIN(8,CQ73)*CQ72))),MAX(0,40*MAX(1,CQ72)-(0))))</f>
        <v>0</v>
      </c>
      <c r="CR74" s="63">
        <f>IF(AND(CR72=0,CR73=0),0,MIN(IF(CR72&lt;=0,0,IF(WEEKDAY(CR$6,1)=1,0,IF(WEEKDAY(CR$6,1)=7,0,MIN(8,CR73)*CR72))),MAX(0,40*MAX(1,CR72)-(CQ74))))</f>
        <v>0</v>
      </c>
      <c r="CS74" s="63">
        <f>IF(AND(CS72=0,CS73=0),0,MIN(IF(CS72&lt;=0,0,IF(WEEKDAY(CS$6,1)=1,0,IF(WEEKDAY(CS$6,1)=7,0,MIN(8,CS73)*CS72))),MAX(0,40*MAX(1,CS72)-(CQ74+CR74))))</f>
        <v>0</v>
      </c>
      <c r="CT74" s="63">
        <f>IF(AND(CT72=0,CT73=0),0,MIN(IF(CT72&lt;=0,0,IF(WEEKDAY(CT$6,1)=1,0,IF(WEEKDAY(CT$6,1)=7,0,MIN(8,CT73)*CT72))),MAX(0,40*MAX(1,CT72)-(CQ74+CR74+CS74))))</f>
        <v>0</v>
      </c>
      <c r="CU74" s="63">
        <f>IF(AND(CU72=0,CU73=0),0,MIN(IF(CU72&lt;=0,0,IF(WEEKDAY(CU$6,1)=1,0,IF(WEEKDAY(CU$6,1)=7,0,MIN(8,CU73)*CU72))),MAX(0,40*MAX(1,CU72)-(CQ74+CR74+CS74+CT74))))</f>
        <v>0</v>
      </c>
      <c r="CV74" s="64">
        <f>IF(AND(CV72=0,CV73=0),0,MIN(IF(CV72&lt;=0,0,IF(WEEKDAY(CV$6,1)=1,0,IF(WEEKDAY(CV$6,1)=7,0,MIN(8,CV73)*CV72))),MAX(0,40*MAX(1,CV72)-(CQ74+CR74+CS74+CT74+CU74))))</f>
        <v>0</v>
      </c>
      <c r="CW74" s="64">
        <f>IF(AND(CW72=0,CW73=0),0,MIN(IF(CW72&lt;=0,0,IF(WEEKDAY(CW$6,1)=1,0,IF(WEEKDAY(CW$6,1)=7,0,MIN(8,CW73)*CW72))),MAX(0,40*MAX(1,CW72)-(CQ74+CR74+CS74+CT74+CU74+CV74))))</f>
        <v>0</v>
      </c>
      <c r="CX74" s="63">
        <f>IF(AND(CX72=0,CX73=0),0,MIN(IF(CX72&lt;=0,0,IF(WEEKDAY(CX$6,1)=1,0,IF(WEEKDAY(CX$6,1)=7,0,MIN(8,CX73)*CX72))),MAX(0,40*MAX(1,CX72)-(0))))</f>
        <v>0</v>
      </c>
      <c r="CY74" s="63">
        <f>IF(AND(CY72=0,CY73=0),0,MIN(IF(CY72&lt;=0,0,IF(WEEKDAY(CY$6,1)=1,0,IF(WEEKDAY(CY$6,1)=7,0,MIN(8,CY73)*CY72))),MAX(0,40*MAX(1,CY72)-(CX74))))</f>
        <v>0</v>
      </c>
      <c r="CZ74" s="63">
        <f>IF(AND(CZ72=0,CZ73=0),0,MIN(IF(CZ72&lt;=0,0,IF(WEEKDAY(CZ$6,1)=1,0,IF(WEEKDAY(CZ$6,1)=7,0,MIN(8,CZ73)*CZ72))),MAX(0,40*MAX(1,CZ72)-(CX74+CY74))))</f>
        <v>0</v>
      </c>
      <c r="DA74" s="63">
        <f>IF(AND(DA72=0,DA73=0),0,MIN(IF(DA72&lt;=0,0,IF(WEEKDAY(DA$6,1)=1,0,IF(WEEKDAY(DA$6,1)=7,0,MIN(8,DA73)*DA72))),MAX(0,40*MAX(1,DA72)-(CX74+CY74+CZ74))))</f>
        <v>0</v>
      </c>
      <c r="DB74" s="63">
        <f>IF(AND(DB72=0,DB73=0),0,MIN(IF(DB72&lt;=0,0,IF(WEEKDAY(DB$6,1)=1,0,IF(WEEKDAY(DB$6,1)=7,0,MIN(8,DB73)*DB72))),MAX(0,40*MAX(1,DB72)-(CX74+CY74+CZ74+DA74))))</f>
        <v>0</v>
      </c>
      <c r="DC74" s="64">
        <f>IF(AND(DC72=0,DC73=0),0,MIN(IF(DC72&lt;=0,0,IF(WEEKDAY(DC$6,1)=1,0,IF(WEEKDAY(DC$6,1)=7,0,MIN(8,DC73)*DC72))),MAX(0,40*MAX(1,DC72)-(CX74+CY74+CZ74+DA74+DB74))))</f>
        <v>0</v>
      </c>
      <c r="DD74" s="64">
        <f>IF(AND(DD72=0,DD73=0),0,MIN(IF(DD72&lt;=0,0,IF(WEEKDAY(DD$6,1)=1,0,IF(WEEKDAY(DD$6,1)=7,0,MIN(8,DD73)*DD72))),MAX(0,40*MAX(1,DD72)-(CX74+CY74+CZ74+DA74+DB74+DC74))))</f>
        <v>0</v>
      </c>
      <c r="DE74" s="63">
        <f>IF(AND(DE72=0,DE73=0),0,MIN(IF(DE72&lt;=0,0,IF(WEEKDAY(DE$6,1)=1,0,IF(WEEKDAY(DE$6,1)=7,0,MIN(8,DE73)*DE72))),MAX(0,40*MAX(1,DE72)-(0))))</f>
        <v>0</v>
      </c>
      <c r="DF74" s="63">
        <f>IF(AND(DF72=0,DF73=0),0,MIN(IF(DF72&lt;=0,0,IF(WEEKDAY(DF$6,1)=1,0,IF(WEEKDAY(DF$6,1)=7,0,MIN(8,DF73)*DF72))),MAX(0,40*MAX(1,DF72)-(DE74))))</f>
        <v>0</v>
      </c>
      <c r="DG74" s="63">
        <f>IF(AND(DG72=0,DG73=0),0,MIN(IF(DG72&lt;=0,0,IF(WEEKDAY(DG$6,1)=1,0,IF(WEEKDAY(DG$6,1)=7,0,MIN(8,DG73)*DG72))),MAX(0,40*MAX(1,DG72)-(DE74+DF74))))</f>
        <v>0</v>
      </c>
      <c r="DH74" s="63">
        <f>IF(AND(DH72=0,DH73=0),0,MIN(IF(DH72&lt;=0,0,IF(WEEKDAY(DH$6,1)=1,0,IF(WEEKDAY(DH$6,1)=7,0,MIN(8,DH73)*DH72))),MAX(0,40*MAX(1,DH72)-(DE74+DF74+DG74))))</f>
        <v>0</v>
      </c>
      <c r="DI74" s="63">
        <f>IF(AND(DI72=0,DI73=0),0,MIN(IF(DI72&lt;=0,0,IF(WEEKDAY(DI$6,1)=1,0,IF(WEEKDAY(DI$6,1)=7,0,MIN(8,DI73)*DI72))),MAX(0,40*MAX(1,DI72)-(DE74+DF74+DG74+DH74))))</f>
        <v>0</v>
      </c>
      <c r="DJ74" s="64">
        <f>IF(AND(DJ72=0,DJ73=0),0,MIN(IF(DJ72&lt;=0,0,IF(WEEKDAY(DJ$6,1)=1,0,IF(WEEKDAY(DJ$6,1)=7,0,MIN(8,DJ73)*DJ72))),MAX(0,40*MAX(1,DJ72)-(DE74+DF74+DG74+DH74+DI74))))</f>
        <v>0</v>
      </c>
      <c r="DK74" s="64">
        <f>IF(AND(DK72=0,DK73=0),0,MIN(IF(DK72&lt;=0,0,IF(WEEKDAY(DK$6,1)=1,0,IF(WEEKDAY(DK$6,1)=7,0,MIN(8,DK73)*DK72))),MAX(0,40*MAX(1,DK72)-(DE74+DF74+DG74+DH74+DI74+DJ74))))</f>
        <v>0</v>
      </c>
      <c r="DL74" s="63">
        <f>IF(AND(DL72=0,DL73=0),0,MIN(IF(DL72&lt;=0,0,IF(WEEKDAY(DL$6,1)=1,0,IF(WEEKDAY(DL$6,1)=7,0,MIN(8,DL73)*DL72))),MAX(0,40*MAX(1,DL72)-(0))))</f>
        <v>0</v>
      </c>
      <c r="DM74" s="63">
        <f>IF(AND(DM72=0,DM73=0),0,MIN(IF(DM72&lt;=0,0,IF(WEEKDAY(DM$6,1)=1,0,IF(WEEKDAY(DM$6,1)=7,0,MIN(8,DM73)*DM72))),MAX(0,40*MAX(1,DM72)-(DL74))))</f>
        <v>0</v>
      </c>
      <c r="DN74" s="63">
        <f>IF(AND(DN72=0,DN73=0),0,MIN(IF(DN72&lt;=0,0,IF(WEEKDAY(DN$6,1)=1,0,IF(WEEKDAY(DN$6,1)=7,0,MIN(8,DN73)*DN72))),MAX(0,40*MAX(1,DN72)-(DL74+DM74))))</f>
        <v>0</v>
      </c>
      <c r="DO74" s="63">
        <f>IF(AND(DO72=0,DO73=0),0,MIN(IF(DO72&lt;=0,0,IF(WEEKDAY(DO$6,1)=1,0,IF(WEEKDAY(DO$6,1)=7,0,MIN(8,DO73)*DO72))),MAX(0,40*MAX(1,DO72)-(DL74+DM74+DN74))))</f>
        <v>0</v>
      </c>
      <c r="DP74" s="63">
        <f>IF(AND(DP72=0,DP73=0),0,MIN(IF(DP72&lt;=0,0,IF(WEEKDAY(DP$6,1)=1,0,IF(WEEKDAY(DP$6,1)=7,0,MIN(8,DP73)*DP72))),MAX(0,40*MAX(1,DP72)-(DL74+DM74+DN74+DO74))))</f>
        <v>0</v>
      </c>
      <c r="DQ74" s="64">
        <f>IF(AND(DQ72=0,DQ73=0),0,MIN(IF(DQ72&lt;=0,0,IF(WEEKDAY(DQ$6,1)=1,0,IF(WEEKDAY(DQ$6,1)=7,0,MIN(8,DQ73)*DQ72))),MAX(0,40*MAX(1,DQ72)-(DL74+DM74+DN74+DO74+DP74))))</f>
        <v>0</v>
      </c>
      <c r="DR74" s="64">
        <f>IF(AND(DR72=0,DR73=0),0,MIN(IF(DR72&lt;=0,0,IF(WEEKDAY(DR$6,1)=1,0,IF(WEEKDAY(DR$6,1)=7,0,MIN(8,DR73)*DR72))),MAX(0,40*MAX(1,DR72)-(DL74+DM74+DN74+DO74+DP74+DQ74))))</f>
        <v>0</v>
      </c>
      <c r="DS74" s="63">
        <f>IF(AND(DS72=0,DS73=0),0,MIN(IF(DS72&lt;=0,0,IF(WEEKDAY(DS$6,1)=1,0,IF(WEEKDAY(DS$6,1)=7,0,MIN(8,DS73)*DS72))),MAX(0,40*MAX(1,DS72)-(0))))</f>
        <v>0</v>
      </c>
      <c r="DT74" s="63">
        <f>IF(AND(DT72=0,DT73=0),0,MIN(IF(DT72&lt;=0,0,IF(WEEKDAY(DT$6,1)=1,0,IF(WEEKDAY(DT$6,1)=7,0,MIN(8,DT73)*DT72))),MAX(0,40*MAX(1,DT72)-(DS74))))</f>
        <v>0</v>
      </c>
      <c r="DU74" s="63">
        <f>IF(AND(DU72=0,DU73=0),0,MIN(IF(DU72&lt;=0,0,IF(WEEKDAY(DU$6,1)=1,0,IF(WEEKDAY(DU$6,1)=7,0,MIN(8,DU73)*DU72))),MAX(0,40*MAX(1,DU72)-(DS74+DT74))))</f>
        <v>0</v>
      </c>
      <c r="DV74" s="63">
        <f>IF(AND(DV72=0,DV73=0),0,MIN(IF(DV72&lt;=0,0,IF(WEEKDAY(DV$6,1)=1,0,IF(WEEKDAY(DV$6,1)=7,0,MIN(8,DV73)*DV72))),MAX(0,40*MAX(1,DV72)-(DS74+DT74+DU74))))</f>
        <v>0</v>
      </c>
      <c r="DW74" s="63">
        <f>IF(AND(DW72=0,DW73=0),0,MIN(IF(DW72&lt;=0,0,IF(WEEKDAY(DW$6,1)=1,0,IF(WEEKDAY(DW$6,1)=7,0,MIN(8,DW73)*DW72))),MAX(0,40*MAX(1,DW72)-(DS74+DT74+DU74+DV74))))</f>
        <v>0</v>
      </c>
      <c r="DX74" s="64">
        <f>IF(AND(DX72=0,DX73=0),0,MIN(IF(DX72&lt;=0,0,IF(WEEKDAY(DX$6,1)=1,0,IF(WEEKDAY(DX$6,1)=7,0,MIN(8,DX73)*DX72))),MAX(0,40*MAX(1,DX72)-(DS74+DT74+DU74+DV74+DW74))))</f>
        <v>0</v>
      </c>
      <c r="DY74" s="64">
        <f>IF(AND(DY72=0,DY73=0),0,MIN(IF(DY72&lt;=0,0,IF(WEEKDAY(DY$6,1)=1,0,IF(WEEKDAY(DY$6,1)=7,0,MIN(8,DY73)*DY72))),MAX(0,40*MAX(1,DY72)-(DS74+DT74+DU74+DV74+DW74+DX74))))</f>
        <v>0</v>
      </c>
      <c r="DZ74" s="63">
        <f>IF(AND(DZ72=0,DZ73=0),0,MIN(IF(DZ72&lt;=0,0,IF(WEEKDAY(DZ$6,1)=1,0,IF(WEEKDAY(DZ$6,1)=7,0,MIN(8,DZ73)*DZ72))),MAX(0,40*MAX(1,DZ72)-(0))))</f>
        <v>0</v>
      </c>
      <c r="EA74" s="63">
        <f>IF(AND(EA72=0,EA73=0),0,MIN(IF(EA72&lt;=0,0,IF(WEEKDAY(EA$6,1)=1,0,IF(WEEKDAY(EA$6,1)=7,0,MIN(8,EA73)*EA72))),MAX(0,40*MAX(1,EA72)-(DZ74))))</f>
        <v>0</v>
      </c>
      <c r="EB74" s="63">
        <f>IF(AND(EB72=0,EB73=0),0,MIN(IF(EB72&lt;=0,0,IF(WEEKDAY(EB$6,1)=1,0,IF(WEEKDAY(EB$6,1)=7,0,MIN(8,EB73)*EB72))),MAX(0,40*MAX(1,EB72)-(DZ74+EA74))))</f>
        <v>0</v>
      </c>
      <c r="EC74" s="63">
        <f>IF(AND(EC72=0,EC73=0),0,MIN(IF(EC72&lt;=0,0,IF(WEEKDAY(EC$6,1)=1,0,IF(WEEKDAY(EC$6,1)=7,0,MIN(8,EC73)*EC72))),MAX(0,40*MAX(1,EC72)-(DZ74+EA74+EB74))))</f>
        <v>0</v>
      </c>
      <c r="ED74" s="63">
        <f>IF(AND(ED72=0,ED73=0),0,MIN(IF(ED72&lt;=0,0,IF(WEEKDAY(ED$6,1)=1,0,IF(WEEKDAY(ED$6,1)=7,0,MIN(8,ED73)*ED72))),MAX(0,40*MAX(1,ED72)-(DZ74+EA74+EB74+EC74))))</f>
        <v>0</v>
      </c>
      <c r="EE74" s="64">
        <f>IF(AND(EE72=0,EE73=0),0,MIN(IF(EE72&lt;=0,0,IF(WEEKDAY(EE$6,1)=1,0,IF(WEEKDAY(EE$6,1)=7,0,MIN(8,EE73)*EE72))),MAX(0,40*MAX(1,EE72)-(DZ74+EA74+EB74+EC74+ED74))))</f>
        <v>0</v>
      </c>
      <c r="EF74" s="64">
        <f>IF(AND(EF72=0,EF73=0),0,MIN(IF(EF72&lt;=0,0,IF(WEEKDAY(EF$6,1)=1,0,IF(WEEKDAY(EF$6,1)=7,0,MIN(8,EF73)*EF72))),MAX(0,40*MAX(1,EF72)-(DZ74+EA74+EB74+EC74+ED74+EE74))))</f>
        <v>0</v>
      </c>
      <c r="EG74" s="63">
        <f>IF(AND(EG72=0,EG73=0),0,MIN(IF(EG72&lt;=0,0,IF(WEEKDAY(EG$6,1)=1,0,IF(WEEKDAY(EG$6,1)=7,0,MIN(8,EG73)*EG72))),MAX(0,40*MAX(1,EG72)-(0))))</f>
        <v>0</v>
      </c>
      <c r="EH74" s="63">
        <f>IF(AND(EH72=0,EH73=0),0,MIN(IF(EH72&lt;=0,0,IF(WEEKDAY(EH$6,1)=1,0,IF(WEEKDAY(EH$6,1)=7,0,MIN(8,EH73)*EH72))),MAX(0,40*MAX(1,EH72)-(EG74))))</f>
        <v>0</v>
      </c>
      <c r="EI74" s="63">
        <f>IF(AND(EI72=0,EI73=0),0,MIN(IF(EI72&lt;=0,0,IF(WEEKDAY(EI$6,1)=1,0,IF(WEEKDAY(EI$6,1)=7,0,MIN(8,EI73)*EI72))),MAX(0,40*MAX(1,EI72)-(EG74+EH74))))</f>
        <v>0</v>
      </c>
      <c r="EJ74" s="63">
        <f>IF(AND(EJ72=0,EJ73=0),0,MIN(IF(EJ72&lt;=0,0,IF(WEEKDAY(EJ$6,1)=1,0,IF(WEEKDAY(EJ$6,1)=7,0,MIN(8,EJ73)*EJ72))),MAX(0,40*MAX(1,EJ72)-(EG74+EH74+EI74))))</f>
        <v>0</v>
      </c>
      <c r="EK74" s="65">
        <f>IF(AND(EK72=0,EK73=0),0,MIN(IF(EK72&lt;=0,0,IF(WEEKDAY(EK$6,1)=1,0,IF(WEEKDAY(EK$6,1)=7,0,MIN(8,EK73)*EK72))),MAX(0,40*MAX(1,EK72)-(EG74+EH74+EI74+EJ74))))</f>
        <v>0</v>
      </c>
      <c r="OU74" s="28" t="s">
        <v>131</v>
      </c>
    </row>
    <row r="75" ht="16" customHeight="1" spans="1:411" x14ac:dyDescent="0.25">
      <c r="A75" s="45"/>
      <c r="B75" s="79" t="s">
        <v>111</v>
      </c>
      <c r="C75" s="66">
        <f>G71*N(D75)</f>
        <v>0</v>
      </c>
      <c r="D75" s="66">
        <f>IF(TRIM(IF(TRIM(B75)&lt;&gt;"",B75,B71))="","No rate",IFERROR(INDEX('Rate Tables'!D$7:D$158,MATCH(IF(TRIM(B75)&lt;&gt;"",B75,B71),'Rate Tables'!A$7:A$158,0)),"No rate"))</f>
        <v>152.78</v>
      </c>
      <c r="E75" s="55" t="s">
        <v>63</v>
      </c>
      <c r="F75" s="49"/>
      <c r="G75" s="49"/>
      <c r="H75" s="49"/>
      <c r="I75" s="49"/>
      <c r="J75" s="50"/>
      <c r="K75" s="62">
        <f>IF(AND(K72=0,K73=0),0,IF(K72&lt;=0,0,IF(WEEKDAY(K$6,1)=1,0,IF(WEEKDAY(K$6,1)=7,K72*K73,MAX(0,K73-8)*K72)))+((IF(K72&lt;=0,0,IF(WEEKDAY(K$6,1)=1,0,IF(WEEKDAY(K$6,1)=7,0,MIN(8,K73)*K72))))-MIN(IF(K72&lt;=0,0,IF(WEEKDAY(K$6,1)=1,0,IF(WEEKDAY(K$6,1)=7,0,MIN(8,K73)*K72))),MAX(0,40*MAX(1,K72)-(0)))))</f>
        <v>0</v>
      </c>
      <c r="L75" s="63">
        <f>IF(AND(L72=0,L73=0),0,IF(L72&lt;=0,0,IF(WEEKDAY(L$6,1)=1,0,IF(WEEKDAY(L$6,1)=7,L72*L73,MAX(0,L73-8)*L72)))+((IF(L72&lt;=0,0,IF(WEEKDAY(L$6,1)=1,0,IF(WEEKDAY(L$6,1)=7,0,MIN(8,L73)*L72))))-MIN(IF(L72&lt;=0,0,IF(WEEKDAY(L$6,1)=1,0,IF(WEEKDAY(L$6,1)=7,0,MIN(8,L73)*L72))),MAX(0,40*MAX(1,L72)-(K74)))))</f>
        <v>0</v>
      </c>
      <c r="M75" s="63">
        <f>IF(AND(M72=0,M73=0),0,IF(M72&lt;=0,0,IF(WEEKDAY(M$6,1)=1,0,IF(WEEKDAY(M$6,1)=7,M72*M73,MAX(0,M73-8)*M72)))+((IF(M72&lt;=0,0,IF(WEEKDAY(M$6,1)=1,0,IF(WEEKDAY(M$6,1)=7,0,MIN(8,M73)*M72))))-MIN(IF(M72&lt;=0,0,IF(WEEKDAY(M$6,1)=1,0,IF(WEEKDAY(M$6,1)=7,0,MIN(8,M73)*M72))),MAX(0,40*MAX(1,M72)-(K74+L74)))))</f>
        <v>0</v>
      </c>
      <c r="N75" s="63">
        <f>IF(AND(N72=0,N73=0),0,IF(N72&lt;=0,0,IF(WEEKDAY(N$6,1)=1,0,IF(WEEKDAY(N$6,1)=7,N72*N73,MAX(0,N73-8)*N72)))+((IF(N72&lt;=0,0,IF(WEEKDAY(N$6,1)=1,0,IF(WEEKDAY(N$6,1)=7,0,MIN(8,N73)*N72))))-MIN(IF(N72&lt;=0,0,IF(WEEKDAY(N$6,1)=1,0,IF(WEEKDAY(N$6,1)=7,0,MIN(8,N73)*N72))),MAX(0,40*MAX(1,N72)-(K74+L74+M74)))))</f>
        <v>0</v>
      </c>
      <c r="O75" s="63">
        <f>IF(AND(O72=0,O73=0),0,IF(O72&lt;=0,0,IF(WEEKDAY(O$6,1)=1,0,IF(WEEKDAY(O$6,1)=7,O72*O73,MAX(0,O73-8)*O72)))+((IF(O72&lt;=0,0,IF(WEEKDAY(O$6,1)=1,0,IF(WEEKDAY(O$6,1)=7,0,MIN(8,O73)*O72))))-MIN(IF(O72&lt;=0,0,IF(WEEKDAY(O$6,1)=1,0,IF(WEEKDAY(O$6,1)=7,0,MIN(8,O73)*O72))),MAX(0,40*MAX(1,O72)-(K74+L74+M74+N74)))))</f>
        <v>0</v>
      </c>
      <c r="P75" s="64">
        <f>IF(AND(P72=0,P73=0),0,IF(P72&lt;=0,0,IF(WEEKDAY(P$6,1)=1,0,IF(WEEKDAY(P$6,1)=7,P72*P73,MAX(0,P73-8)*P72)))+((IF(P72&lt;=0,0,IF(WEEKDAY(P$6,1)=1,0,IF(WEEKDAY(P$6,1)=7,0,MIN(8,P73)*P72))))-MIN(IF(P72&lt;=0,0,IF(WEEKDAY(P$6,1)=1,0,IF(WEEKDAY(P$6,1)=7,0,MIN(8,P73)*P72))),MAX(0,40*MAX(1,P72)-(K74+L74+M74+N74+O74)))))</f>
        <v>0</v>
      </c>
      <c r="Q75" s="64">
        <f>IF(AND(Q72=0,Q73=0),0,IF(Q72&lt;=0,0,IF(WEEKDAY(Q$6,1)=1,0,IF(WEEKDAY(Q$6,1)=7,Q72*Q73,MAX(0,Q73-8)*Q72)))+((IF(Q72&lt;=0,0,IF(WEEKDAY(Q$6,1)=1,0,IF(WEEKDAY(Q$6,1)=7,0,MIN(8,Q73)*Q72))))-MIN(IF(Q72&lt;=0,0,IF(WEEKDAY(Q$6,1)=1,0,IF(WEEKDAY(Q$6,1)=7,0,MIN(8,Q73)*Q72))),MAX(0,40*MAX(1,Q72)-(K74+L74+M74+N74+O74+P74)))))</f>
        <v>0</v>
      </c>
      <c r="R75" s="63">
        <f>IF(AND(R72=0,R73=0),0,IF(R72&lt;=0,0,IF(WEEKDAY(R$6,1)=1,0,IF(WEEKDAY(R$6,1)=7,R72*R73,MAX(0,R73-8)*R72)))+((IF(R72&lt;=0,0,IF(WEEKDAY(R$6,1)=1,0,IF(WEEKDAY(R$6,1)=7,0,MIN(8,R73)*R72))))-MIN(IF(R72&lt;=0,0,IF(WEEKDAY(R$6,1)=1,0,IF(WEEKDAY(R$6,1)=7,0,MIN(8,R73)*R72))),MAX(0,40*MAX(1,R72)-(0)))))</f>
        <v>0</v>
      </c>
      <c r="S75" s="63">
        <f>IF(AND(S72=0,S73=0),0,IF(S72&lt;=0,0,IF(WEEKDAY(S$6,1)=1,0,IF(WEEKDAY(S$6,1)=7,S72*S73,MAX(0,S73-8)*S72)))+((IF(S72&lt;=0,0,IF(WEEKDAY(S$6,1)=1,0,IF(WEEKDAY(S$6,1)=7,0,MIN(8,S73)*S72))))-MIN(IF(S72&lt;=0,0,IF(WEEKDAY(S$6,1)=1,0,IF(WEEKDAY(S$6,1)=7,0,MIN(8,S73)*S72))),MAX(0,40*MAX(1,S72)-(R74)))))</f>
        <v>0</v>
      </c>
      <c r="T75" s="63">
        <f>IF(AND(T72=0,T73=0),0,IF(T72&lt;=0,0,IF(WEEKDAY(T$6,1)=1,0,IF(WEEKDAY(T$6,1)=7,T72*T73,MAX(0,T73-8)*T72)))+((IF(T72&lt;=0,0,IF(WEEKDAY(T$6,1)=1,0,IF(WEEKDAY(T$6,1)=7,0,MIN(8,T73)*T72))))-MIN(IF(T72&lt;=0,0,IF(WEEKDAY(T$6,1)=1,0,IF(WEEKDAY(T$6,1)=7,0,MIN(8,T73)*T72))),MAX(0,40*MAX(1,T72)-(R74+S74)))))</f>
        <v>0</v>
      </c>
      <c r="U75" s="63">
        <f>IF(AND(U72=0,U73=0),0,IF(U72&lt;=0,0,IF(WEEKDAY(U$6,1)=1,0,IF(WEEKDAY(U$6,1)=7,U72*U73,MAX(0,U73-8)*U72)))+((IF(U72&lt;=0,0,IF(WEEKDAY(U$6,1)=1,0,IF(WEEKDAY(U$6,1)=7,0,MIN(8,U73)*U72))))-MIN(IF(U72&lt;=0,0,IF(WEEKDAY(U$6,1)=1,0,IF(WEEKDAY(U$6,1)=7,0,MIN(8,U73)*U72))),MAX(0,40*MAX(1,U72)-(R74+S74+T74)))))</f>
        <v>0</v>
      </c>
      <c r="V75" s="63">
        <f>IF(AND(V72=0,V73=0),0,IF(V72&lt;=0,0,IF(WEEKDAY(V$6,1)=1,0,IF(WEEKDAY(V$6,1)=7,V72*V73,MAX(0,V73-8)*V72)))+((IF(V72&lt;=0,0,IF(WEEKDAY(V$6,1)=1,0,IF(WEEKDAY(V$6,1)=7,0,MIN(8,V73)*V72))))-MIN(IF(V72&lt;=0,0,IF(WEEKDAY(V$6,1)=1,0,IF(WEEKDAY(V$6,1)=7,0,MIN(8,V73)*V72))),MAX(0,40*MAX(1,V72)-(R74+S74+T74+U74)))))</f>
        <v>0</v>
      </c>
      <c r="W75" s="64">
        <f>IF(AND(W72=0,W73=0),0,IF(W72&lt;=0,0,IF(WEEKDAY(W$6,1)=1,0,IF(WEEKDAY(W$6,1)=7,W72*W73,MAX(0,W73-8)*W72)))+((IF(W72&lt;=0,0,IF(WEEKDAY(W$6,1)=1,0,IF(WEEKDAY(W$6,1)=7,0,MIN(8,W73)*W72))))-MIN(IF(W72&lt;=0,0,IF(WEEKDAY(W$6,1)=1,0,IF(WEEKDAY(W$6,1)=7,0,MIN(8,W73)*W72))),MAX(0,40*MAX(1,W72)-(R74+S74+T74+U74+V74)))))</f>
        <v>0</v>
      </c>
      <c r="X75" s="64">
        <f>IF(AND(X72=0,X73=0),0,IF(X72&lt;=0,0,IF(WEEKDAY(X$6,1)=1,0,IF(WEEKDAY(X$6,1)=7,X72*X73,MAX(0,X73-8)*X72)))+((IF(X72&lt;=0,0,IF(WEEKDAY(X$6,1)=1,0,IF(WEEKDAY(X$6,1)=7,0,MIN(8,X73)*X72))))-MIN(IF(X72&lt;=0,0,IF(WEEKDAY(X$6,1)=1,0,IF(WEEKDAY(X$6,1)=7,0,MIN(8,X73)*X72))),MAX(0,40*MAX(1,X72)-(R74+S74+T74+U74+V74+W74)))))</f>
        <v>0</v>
      </c>
      <c r="Y75" s="63">
        <f>IF(AND(Y72=0,Y73=0),0,IF(Y72&lt;=0,0,IF(WEEKDAY(Y$6,1)=1,0,IF(WEEKDAY(Y$6,1)=7,Y72*Y73,MAX(0,Y73-8)*Y72)))+((IF(Y72&lt;=0,0,IF(WEEKDAY(Y$6,1)=1,0,IF(WEEKDAY(Y$6,1)=7,0,MIN(8,Y73)*Y72))))-MIN(IF(Y72&lt;=0,0,IF(WEEKDAY(Y$6,1)=1,0,IF(WEEKDAY(Y$6,1)=7,0,MIN(8,Y73)*Y72))),MAX(0,40*MAX(1,Y72)-(0)))))</f>
        <v>0</v>
      </c>
      <c r="Z75" s="63">
        <f>IF(AND(Z72=0,Z73=0),0,IF(Z72&lt;=0,0,IF(WEEKDAY(Z$6,1)=1,0,IF(WEEKDAY(Z$6,1)=7,Z72*Z73,MAX(0,Z73-8)*Z72)))+((IF(Z72&lt;=0,0,IF(WEEKDAY(Z$6,1)=1,0,IF(WEEKDAY(Z$6,1)=7,0,MIN(8,Z73)*Z72))))-MIN(IF(Z72&lt;=0,0,IF(WEEKDAY(Z$6,1)=1,0,IF(WEEKDAY(Z$6,1)=7,0,MIN(8,Z73)*Z72))),MAX(0,40*MAX(1,Z72)-(Y74)))))</f>
        <v>0</v>
      </c>
      <c r="AA75" s="63">
        <f>IF(AND(AA72=0,AA73=0),0,IF(AA72&lt;=0,0,IF(WEEKDAY(AA$6,1)=1,0,IF(WEEKDAY(AA$6,1)=7,AA72*AA73,MAX(0,AA73-8)*AA72)))+((IF(AA72&lt;=0,0,IF(WEEKDAY(AA$6,1)=1,0,IF(WEEKDAY(AA$6,1)=7,0,MIN(8,AA73)*AA72))))-MIN(IF(AA72&lt;=0,0,IF(WEEKDAY(AA$6,1)=1,0,IF(WEEKDAY(AA$6,1)=7,0,MIN(8,AA73)*AA72))),MAX(0,40*MAX(1,AA72)-(Y74+Z74)))))</f>
        <v>0</v>
      </c>
      <c r="AB75" s="63">
        <f>IF(AND(AB72=0,AB73=0),0,IF(AB72&lt;=0,0,IF(WEEKDAY(AB$6,1)=1,0,IF(WEEKDAY(AB$6,1)=7,AB72*AB73,MAX(0,AB73-8)*AB72)))+((IF(AB72&lt;=0,0,IF(WEEKDAY(AB$6,1)=1,0,IF(WEEKDAY(AB$6,1)=7,0,MIN(8,AB73)*AB72))))-MIN(IF(AB72&lt;=0,0,IF(WEEKDAY(AB$6,1)=1,0,IF(WEEKDAY(AB$6,1)=7,0,MIN(8,AB73)*AB72))),MAX(0,40*MAX(1,AB72)-(Y74+Z74+AA74)))))</f>
        <v>0</v>
      </c>
      <c r="AC75" s="63">
        <f>IF(AND(AC72=0,AC73=0),0,IF(AC72&lt;=0,0,IF(WEEKDAY(AC$6,1)=1,0,IF(WEEKDAY(AC$6,1)=7,AC72*AC73,MAX(0,AC73-8)*AC72)))+((IF(AC72&lt;=0,0,IF(WEEKDAY(AC$6,1)=1,0,IF(WEEKDAY(AC$6,1)=7,0,MIN(8,AC73)*AC72))))-MIN(IF(AC72&lt;=0,0,IF(WEEKDAY(AC$6,1)=1,0,IF(WEEKDAY(AC$6,1)=7,0,MIN(8,AC73)*AC72))),MAX(0,40*MAX(1,AC72)-(Y74+Z74+AA74+AB74)))))</f>
        <v>0</v>
      </c>
      <c r="AD75" s="64">
        <f>IF(AND(AD72=0,AD73=0),0,IF(AD72&lt;=0,0,IF(WEEKDAY(AD$6,1)=1,0,IF(WEEKDAY(AD$6,1)=7,AD72*AD73,MAX(0,AD73-8)*AD72)))+((IF(AD72&lt;=0,0,IF(WEEKDAY(AD$6,1)=1,0,IF(WEEKDAY(AD$6,1)=7,0,MIN(8,AD73)*AD72))))-MIN(IF(AD72&lt;=0,0,IF(WEEKDAY(AD$6,1)=1,0,IF(WEEKDAY(AD$6,1)=7,0,MIN(8,AD73)*AD72))),MAX(0,40*MAX(1,AD72)-(Y74+Z74+AA74+AB74+AC74)))))</f>
        <v>0</v>
      </c>
      <c r="AE75" s="64">
        <f>IF(AND(AE72=0,AE73=0),0,IF(AE72&lt;=0,0,IF(WEEKDAY(AE$6,1)=1,0,IF(WEEKDAY(AE$6,1)=7,AE72*AE73,MAX(0,AE73-8)*AE72)))+((IF(AE72&lt;=0,0,IF(WEEKDAY(AE$6,1)=1,0,IF(WEEKDAY(AE$6,1)=7,0,MIN(8,AE73)*AE72))))-MIN(IF(AE72&lt;=0,0,IF(WEEKDAY(AE$6,1)=1,0,IF(WEEKDAY(AE$6,1)=7,0,MIN(8,AE73)*AE72))),MAX(0,40*MAX(1,AE72)-(Y74+Z74+AA74+AB74+AC74+AD74)))))</f>
        <v>0</v>
      </c>
      <c r="AF75" s="63">
        <f>IF(AND(AF72=0,AF73=0),0,IF(AF72&lt;=0,0,IF(WEEKDAY(AF$6,1)=1,0,IF(WEEKDAY(AF$6,1)=7,AF72*AF73,MAX(0,AF73-8)*AF72)))+((IF(AF72&lt;=0,0,IF(WEEKDAY(AF$6,1)=1,0,IF(WEEKDAY(AF$6,1)=7,0,MIN(8,AF73)*AF72))))-MIN(IF(AF72&lt;=0,0,IF(WEEKDAY(AF$6,1)=1,0,IF(WEEKDAY(AF$6,1)=7,0,MIN(8,AF73)*AF72))),MAX(0,40*MAX(1,AF72)-(0)))))</f>
        <v>0</v>
      </c>
      <c r="AG75" s="63">
        <f>IF(AND(AG72=0,AG73=0),0,IF(AG72&lt;=0,0,IF(WEEKDAY(AG$6,1)=1,0,IF(WEEKDAY(AG$6,1)=7,AG72*AG73,MAX(0,AG73-8)*AG72)))+((IF(AG72&lt;=0,0,IF(WEEKDAY(AG$6,1)=1,0,IF(WEEKDAY(AG$6,1)=7,0,MIN(8,AG73)*AG72))))-MIN(IF(AG72&lt;=0,0,IF(WEEKDAY(AG$6,1)=1,0,IF(WEEKDAY(AG$6,1)=7,0,MIN(8,AG73)*AG72))),MAX(0,40*MAX(1,AG72)-(AF74)))))</f>
        <v>0</v>
      </c>
      <c r="AH75" s="63">
        <f>IF(AND(AH72=0,AH73=0),0,IF(AH72&lt;=0,0,IF(WEEKDAY(AH$6,1)=1,0,IF(WEEKDAY(AH$6,1)=7,AH72*AH73,MAX(0,AH73-8)*AH72)))+((IF(AH72&lt;=0,0,IF(WEEKDAY(AH$6,1)=1,0,IF(WEEKDAY(AH$6,1)=7,0,MIN(8,AH73)*AH72))))-MIN(IF(AH72&lt;=0,0,IF(WEEKDAY(AH$6,1)=1,0,IF(WEEKDAY(AH$6,1)=7,0,MIN(8,AH73)*AH72))),MAX(0,40*MAX(1,AH72)-(AF74+AG74)))))</f>
        <v>0</v>
      </c>
      <c r="AI75" s="63">
        <f>IF(AND(AI72=0,AI73=0),0,IF(AI72&lt;=0,0,IF(WEEKDAY(AI$6,1)=1,0,IF(WEEKDAY(AI$6,1)=7,AI72*AI73,MAX(0,AI73-8)*AI72)))+((IF(AI72&lt;=0,0,IF(WEEKDAY(AI$6,1)=1,0,IF(WEEKDAY(AI$6,1)=7,0,MIN(8,AI73)*AI72))))-MIN(IF(AI72&lt;=0,0,IF(WEEKDAY(AI$6,1)=1,0,IF(WEEKDAY(AI$6,1)=7,0,MIN(8,AI73)*AI72))),MAX(0,40*MAX(1,AI72)-(AF74+AG74+AH74)))))</f>
        <v>0</v>
      </c>
      <c r="AJ75" s="63">
        <f>IF(AND(AJ72=0,AJ73=0),0,IF(AJ72&lt;=0,0,IF(WEEKDAY(AJ$6,1)=1,0,IF(WEEKDAY(AJ$6,1)=7,AJ72*AJ73,MAX(0,AJ73-8)*AJ72)))+((IF(AJ72&lt;=0,0,IF(WEEKDAY(AJ$6,1)=1,0,IF(WEEKDAY(AJ$6,1)=7,0,MIN(8,AJ73)*AJ72))))-MIN(IF(AJ72&lt;=0,0,IF(WEEKDAY(AJ$6,1)=1,0,IF(WEEKDAY(AJ$6,1)=7,0,MIN(8,AJ73)*AJ72))),MAX(0,40*MAX(1,AJ72)-(AF74+AG74+AH74+AI74)))))</f>
        <v>0</v>
      </c>
      <c r="AK75" s="64">
        <f>IF(AND(AK72=0,AK73=0),0,IF(AK72&lt;=0,0,IF(WEEKDAY(AK$6,1)=1,0,IF(WEEKDAY(AK$6,1)=7,AK72*AK73,MAX(0,AK73-8)*AK72)))+((IF(AK72&lt;=0,0,IF(WEEKDAY(AK$6,1)=1,0,IF(WEEKDAY(AK$6,1)=7,0,MIN(8,AK73)*AK72))))-MIN(IF(AK72&lt;=0,0,IF(WEEKDAY(AK$6,1)=1,0,IF(WEEKDAY(AK$6,1)=7,0,MIN(8,AK73)*AK72))),MAX(0,40*MAX(1,AK72)-(AF74+AG74+AH74+AI74+AJ74)))))</f>
        <v>0</v>
      </c>
      <c r="AL75" s="64">
        <f>IF(AND(AL72=0,AL73=0),0,IF(AL72&lt;=0,0,IF(WEEKDAY(AL$6,1)=1,0,IF(WEEKDAY(AL$6,1)=7,AL72*AL73,MAX(0,AL73-8)*AL72)))+((IF(AL72&lt;=0,0,IF(WEEKDAY(AL$6,1)=1,0,IF(WEEKDAY(AL$6,1)=7,0,MIN(8,AL73)*AL72))))-MIN(IF(AL72&lt;=0,0,IF(WEEKDAY(AL$6,1)=1,0,IF(WEEKDAY(AL$6,1)=7,0,MIN(8,AL73)*AL72))),MAX(0,40*MAX(1,AL72)-(AF74+AG74+AH74+AI74+AJ74+AK74)))))</f>
        <v>0</v>
      </c>
      <c r="AM75" s="63">
        <f>IF(AND(AM72=0,AM73=0),0,IF(AM72&lt;=0,0,IF(WEEKDAY(AM$6,1)=1,0,IF(WEEKDAY(AM$6,1)=7,AM72*AM73,MAX(0,AM73-8)*AM72)))+((IF(AM72&lt;=0,0,IF(WEEKDAY(AM$6,1)=1,0,IF(WEEKDAY(AM$6,1)=7,0,MIN(8,AM73)*AM72))))-MIN(IF(AM72&lt;=0,0,IF(WEEKDAY(AM$6,1)=1,0,IF(WEEKDAY(AM$6,1)=7,0,MIN(8,AM73)*AM72))),MAX(0,40*MAX(1,AM72)-(0)))))</f>
        <v>0</v>
      </c>
      <c r="AN75" s="63">
        <f>IF(AND(AN72=0,AN73=0),0,IF(AN72&lt;=0,0,IF(WEEKDAY(AN$6,1)=1,0,IF(WEEKDAY(AN$6,1)=7,AN72*AN73,MAX(0,AN73-8)*AN72)))+((IF(AN72&lt;=0,0,IF(WEEKDAY(AN$6,1)=1,0,IF(WEEKDAY(AN$6,1)=7,0,MIN(8,AN73)*AN72))))-MIN(IF(AN72&lt;=0,0,IF(WEEKDAY(AN$6,1)=1,0,IF(WEEKDAY(AN$6,1)=7,0,MIN(8,AN73)*AN72))),MAX(0,40*MAX(1,AN72)-(AM74)))))</f>
        <v>0</v>
      </c>
      <c r="AO75" s="63">
        <f>IF(AND(AO72=0,AO73=0),0,IF(AO72&lt;=0,0,IF(WEEKDAY(AO$6,1)=1,0,IF(WEEKDAY(AO$6,1)=7,AO72*AO73,MAX(0,AO73-8)*AO72)))+((IF(AO72&lt;=0,0,IF(WEEKDAY(AO$6,1)=1,0,IF(WEEKDAY(AO$6,1)=7,0,MIN(8,AO73)*AO72))))-MIN(IF(AO72&lt;=0,0,IF(WEEKDAY(AO$6,1)=1,0,IF(WEEKDAY(AO$6,1)=7,0,MIN(8,AO73)*AO72))),MAX(0,40*MAX(1,AO72)-(AM74+AN74)))))</f>
        <v>0</v>
      </c>
      <c r="AP75" s="63">
        <f>IF(AND(AP72=0,AP73=0),0,IF(AP72&lt;=0,0,IF(WEEKDAY(AP$6,1)=1,0,IF(WEEKDAY(AP$6,1)=7,AP72*AP73,MAX(0,AP73-8)*AP72)))+((IF(AP72&lt;=0,0,IF(WEEKDAY(AP$6,1)=1,0,IF(WEEKDAY(AP$6,1)=7,0,MIN(8,AP73)*AP72))))-MIN(IF(AP72&lt;=0,0,IF(WEEKDAY(AP$6,1)=1,0,IF(WEEKDAY(AP$6,1)=7,0,MIN(8,AP73)*AP72))),MAX(0,40*MAX(1,AP72)-(AM74+AN74+AO74)))))</f>
        <v>0</v>
      </c>
      <c r="AQ75" s="63">
        <f>IF(AND(AQ72=0,AQ73=0),0,IF(AQ72&lt;=0,0,IF(WEEKDAY(AQ$6,1)=1,0,IF(WEEKDAY(AQ$6,1)=7,AQ72*AQ73,MAX(0,AQ73-8)*AQ72)))+((IF(AQ72&lt;=0,0,IF(WEEKDAY(AQ$6,1)=1,0,IF(WEEKDAY(AQ$6,1)=7,0,MIN(8,AQ73)*AQ72))))-MIN(IF(AQ72&lt;=0,0,IF(WEEKDAY(AQ$6,1)=1,0,IF(WEEKDAY(AQ$6,1)=7,0,MIN(8,AQ73)*AQ72))),MAX(0,40*MAX(1,AQ72)-(AM74+AN74+AO74+AP74)))))</f>
        <v>0</v>
      </c>
      <c r="AR75" s="64">
        <f>IF(AND(AR72=0,AR73=0),0,IF(AR72&lt;=0,0,IF(WEEKDAY(AR$6,1)=1,0,IF(WEEKDAY(AR$6,1)=7,AR72*AR73,MAX(0,AR73-8)*AR72)))+((IF(AR72&lt;=0,0,IF(WEEKDAY(AR$6,1)=1,0,IF(WEEKDAY(AR$6,1)=7,0,MIN(8,AR73)*AR72))))-MIN(IF(AR72&lt;=0,0,IF(WEEKDAY(AR$6,1)=1,0,IF(WEEKDAY(AR$6,1)=7,0,MIN(8,AR73)*AR72))),MAX(0,40*MAX(1,AR72)-(AM74+AN74+AO74+AP74+AQ74)))))</f>
        <v>0</v>
      </c>
      <c r="AS75" s="64">
        <f>IF(AND(AS72=0,AS73=0),0,IF(AS72&lt;=0,0,IF(WEEKDAY(AS$6,1)=1,0,IF(WEEKDAY(AS$6,1)=7,AS72*AS73,MAX(0,AS73-8)*AS72)))+((IF(AS72&lt;=0,0,IF(WEEKDAY(AS$6,1)=1,0,IF(WEEKDAY(AS$6,1)=7,0,MIN(8,AS73)*AS72))))-MIN(IF(AS72&lt;=0,0,IF(WEEKDAY(AS$6,1)=1,0,IF(WEEKDAY(AS$6,1)=7,0,MIN(8,AS73)*AS72))),MAX(0,40*MAX(1,AS72)-(AM74+AN74+AO74+AP74+AQ74+AR74)))))</f>
        <v>0</v>
      </c>
      <c r="AT75" s="63">
        <f>IF(AND(AT72=0,AT73=0),0,IF(AT72&lt;=0,0,IF(WEEKDAY(AT$6,1)=1,0,IF(WEEKDAY(AT$6,1)=7,AT72*AT73,MAX(0,AT73-8)*AT72)))+((IF(AT72&lt;=0,0,IF(WEEKDAY(AT$6,1)=1,0,IF(WEEKDAY(AT$6,1)=7,0,MIN(8,AT73)*AT72))))-MIN(IF(AT72&lt;=0,0,IF(WEEKDAY(AT$6,1)=1,0,IF(WEEKDAY(AT$6,1)=7,0,MIN(8,AT73)*AT72))),MAX(0,40*MAX(1,AT72)-(0)))))</f>
        <v>0</v>
      </c>
      <c r="AU75" s="63">
        <f>IF(AND(AU72=0,AU73=0),0,IF(AU72&lt;=0,0,IF(WEEKDAY(AU$6,1)=1,0,IF(WEEKDAY(AU$6,1)=7,AU72*AU73,MAX(0,AU73-8)*AU72)))+((IF(AU72&lt;=0,0,IF(WEEKDAY(AU$6,1)=1,0,IF(WEEKDAY(AU$6,1)=7,0,MIN(8,AU73)*AU72))))-MIN(IF(AU72&lt;=0,0,IF(WEEKDAY(AU$6,1)=1,0,IF(WEEKDAY(AU$6,1)=7,0,MIN(8,AU73)*AU72))),MAX(0,40*MAX(1,AU72)-(AT74)))))</f>
        <v>0</v>
      </c>
      <c r="AV75" s="63">
        <f>IF(AND(AV72=0,AV73=0),0,IF(AV72&lt;=0,0,IF(WEEKDAY(AV$6,1)=1,0,IF(WEEKDAY(AV$6,1)=7,AV72*AV73,MAX(0,AV73-8)*AV72)))+((IF(AV72&lt;=0,0,IF(WEEKDAY(AV$6,1)=1,0,IF(WEEKDAY(AV$6,1)=7,0,MIN(8,AV73)*AV72))))-MIN(IF(AV72&lt;=0,0,IF(WEEKDAY(AV$6,1)=1,0,IF(WEEKDAY(AV$6,1)=7,0,MIN(8,AV73)*AV72))),MAX(0,40*MAX(1,AV72)-(AT74+AU74)))))</f>
        <v>0</v>
      </c>
      <c r="AW75" s="63">
        <f>IF(AND(AW72=0,AW73=0),0,IF(AW72&lt;=0,0,IF(WEEKDAY(AW$6,1)=1,0,IF(WEEKDAY(AW$6,1)=7,AW72*AW73,MAX(0,AW73-8)*AW72)))+((IF(AW72&lt;=0,0,IF(WEEKDAY(AW$6,1)=1,0,IF(WEEKDAY(AW$6,1)=7,0,MIN(8,AW73)*AW72))))-MIN(IF(AW72&lt;=0,0,IF(WEEKDAY(AW$6,1)=1,0,IF(WEEKDAY(AW$6,1)=7,0,MIN(8,AW73)*AW72))),MAX(0,40*MAX(1,AW72)-(AT74+AU74+AV74)))))</f>
        <v>0</v>
      </c>
      <c r="AX75" s="63">
        <f>IF(AND(AX72=0,AX73=0),0,IF(AX72&lt;=0,0,IF(WEEKDAY(AX$6,1)=1,0,IF(WEEKDAY(AX$6,1)=7,AX72*AX73,MAX(0,AX73-8)*AX72)))+((IF(AX72&lt;=0,0,IF(WEEKDAY(AX$6,1)=1,0,IF(WEEKDAY(AX$6,1)=7,0,MIN(8,AX73)*AX72))))-MIN(IF(AX72&lt;=0,0,IF(WEEKDAY(AX$6,1)=1,0,IF(WEEKDAY(AX$6,1)=7,0,MIN(8,AX73)*AX72))),MAX(0,40*MAX(1,AX72)-(AT74+AU74+AV74+AW74)))))</f>
        <v>0</v>
      </c>
      <c r="AY75" s="64">
        <f>IF(AND(AY72=0,AY73=0),0,IF(AY72&lt;=0,0,IF(WEEKDAY(AY$6,1)=1,0,IF(WEEKDAY(AY$6,1)=7,AY72*AY73,MAX(0,AY73-8)*AY72)))+((IF(AY72&lt;=0,0,IF(WEEKDAY(AY$6,1)=1,0,IF(WEEKDAY(AY$6,1)=7,0,MIN(8,AY73)*AY72))))-MIN(IF(AY72&lt;=0,0,IF(WEEKDAY(AY$6,1)=1,0,IF(WEEKDAY(AY$6,1)=7,0,MIN(8,AY73)*AY72))),MAX(0,40*MAX(1,AY72)-(AT74+AU74+AV74+AW74+AX74)))))</f>
        <v>0</v>
      </c>
      <c r="AZ75" s="64">
        <f>IF(AND(AZ72=0,AZ73=0),0,IF(AZ72&lt;=0,0,IF(WEEKDAY(AZ$6,1)=1,0,IF(WEEKDAY(AZ$6,1)=7,AZ72*AZ73,MAX(0,AZ73-8)*AZ72)))+((IF(AZ72&lt;=0,0,IF(WEEKDAY(AZ$6,1)=1,0,IF(WEEKDAY(AZ$6,1)=7,0,MIN(8,AZ73)*AZ72))))-MIN(IF(AZ72&lt;=0,0,IF(WEEKDAY(AZ$6,1)=1,0,IF(WEEKDAY(AZ$6,1)=7,0,MIN(8,AZ73)*AZ72))),MAX(0,40*MAX(1,AZ72)-(AT74+AU74+AV74+AW74+AX74+AY74)))))</f>
        <v>0</v>
      </c>
      <c r="BA75" s="63">
        <f>IF(AND(BA72=5,BA73=8),0,IF(BA72&lt;=0,0,IF(WEEKDAY(BA$6,1)=1,0,IF(WEEKDAY(BA$6,1)=7,BA72*BA73,MAX(0,BA73-8)*BA72)))+((IF(BA72&lt;=0,0,IF(WEEKDAY(BA$6,1)=1,0,IF(WEEKDAY(BA$6,1)=7,0,MIN(8,BA73)*BA72))))-MIN(IF(BA72&lt;=0,0,IF(WEEKDAY(BA$6,1)=1,0,IF(WEEKDAY(BA$6,1)=7,0,MIN(8,BA73)*BA72))),MAX(0,40*MAX(1,BA72)-(0)))))</f>
        <v>0</v>
      </c>
      <c r="BB75" s="63">
        <f>IF(AND(BB72=5,BB73=8),0,IF(BB72&lt;=0,0,IF(WEEKDAY(BB$6,1)=1,0,IF(WEEKDAY(BB$6,1)=7,BB72*BB73,MAX(0,BB73-8)*BB72)))+((IF(BB72&lt;=0,0,IF(WEEKDAY(BB$6,1)=1,0,IF(WEEKDAY(BB$6,1)=7,0,MIN(8,BB73)*BB72))))-MIN(IF(BB72&lt;=0,0,IF(WEEKDAY(BB$6,1)=1,0,IF(WEEKDAY(BB$6,1)=7,0,MIN(8,BB73)*BB72))),MAX(0,40*MAX(1,BB72)-(BA74)))))</f>
        <v>0</v>
      </c>
      <c r="BC75" s="63">
        <f>IF(AND(BC72=5,BC73=8),0,IF(BC72&lt;=0,0,IF(WEEKDAY(BC$6,1)=1,0,IF(WEEKDAY(BC$6,1)=7,BC72*BC73,MAX(0,BC73-8)*BC72)))+((IF(BC72&lt;=0,0,IF(WEEKDAY(BC$6,1)=1,0,IF(WEEKDAY(BC$6,1)=7,0,MIN(8,BC73)*BC72))))-MIN(IF(BC72&lt;=0,0,IF(WEEKDAY(BC$6,1)=1,0,IF(WEEKDAY(BC$6,1)=7,0,MIN(8,BC73)*BC72))),MAX(0,40*MAX(1,BC72)-(BA74+BB74)))))</f>
        <v>0</v>
      </c>
      <c r="BD75" s="63">
        <f>IF(AND(BD72=5,BD73=8),0,IF(BD72&lt;=0,0,IF(WEEKDAY(BD$6,1)=1,0,IF(WEEKDAY(BD$6,1)=7,BD72*BD73,MAX(0,BD73-8)*BD72)))+((IF(BD72&lt;=0,0,IF(WEEKDAY(BD$6,1)=1,0,IF(WEEKDAY(BD$6,1)=7,0,MIN(8,BD73)*BD72))))-MIN(IF(BD72&lt;=0,0,IF(WEEKDAY(BD$6,1)=1,0,IF(WEEKDAY(BD$6,1)=7,0,MIN(8,BD73)*BD72))),MAX(0,40*MAX(1,BD72)-(BA74+BB74+BC74)))))</f>
        <v>0</v>
      </c>
      <c r="BE75" s="63">
        <f>IF(AND(BE72=5,BE73=8),0,IF(BE72&lt;=0,0,IF(WEEKDAY(BE$6,1)=1,0,IF(WEEKDAY(BE$6,1)=7,BE72*BE73,MAX(0,BE73-8)*BE72)))+((IF(BE72&lt;=0,0,IF(WEEKDAY(BE$6,1)=1,0,IF(WEEKDAY(BE$6,1)=7,0,MIN(8,BE73)*BE72))))-MIN(IF(BE72&lt;=0,0,IF(WEEKDAY(BE$6,1)=1,0,IF(WEEKDAY(BE$6,1)=7,0,MIN(8,BE73)*BE72))),MAX(0,40*MAX(1,BE72)-(BA74+BB74+BC74+BD74)))))</f>
        <v>0</v>
      </c>
      <c r="BF75" s="64">
        <f>IF(AND(BF72=0,BF73=0),0,IF(BF72&lt;=0,0,IF(WEEKDAY(BF$6,1)=1,0,IF(WEEKDAY(BF$6,1)=7,BF72*BF73,MAX(0,BF73-8)*BF72)))+((IF(BF72&lt;=0,0,IF(WEEKDAY(BF$6,1)=1,0,IF(WEEKDAY(BF$6,1)=7,0,MIN(8,BF73)*BF72))))-MIN(IF(BF72&lt;=0,0,IF(WEEKDAY(BF$6,1)=1,0,IF(WEEKDAY(BF$6,1)=7,0,MIN(8,BF73)*BF72))),MAX(0,40*MAX(1,BF72)-(0)))))</f>
        <v>0</v>
      </c>
      <c r="BG75" s="64">
        <f>IF(AND(BG72=0,BG73=0),0,IF(BG72&lt;=0,0,IF(WEEKDAY(BG$6,1)=1,0,IF(WEEKDAY(BG$6,1)=7,BG72*BG73,MAX(0,BG73-8)*BG72)))+((IF(BG72&lt;=0,0,IF(WEEKDAY(BG$6,1)=1,0,IF(WEEKDAY(BG$6,1)=7,0,MIN(8,BG73)*BG72))))-MIN(IF(BG72&lt;=0,0,IF(WEEKDAY(BG$6,1)=1,0,IF(WEEKDAY(BG$6,1)=7,0,MIN(8,BG73)*BG72))),MAX(0,40*MAX(1,BG72)-(BF74)))))</f>
        <v>0</v>
      </c>
      <c r="BH75" s="63">
        <f>IF(AND(BH72=0,BH73=0),0,IF(BH72&lt;=0,0,IF(WEEKDAY(BH$6,1)=1,0,IF(WEEKDAY(BH$6,1)=7,BH72*BH73,MAX(0,BH73-8)*BH72)))+((IF(BH72&lt;=0,0,IF(WEEKDAY(BH$6,1)=1,0,IF(WEEKDAY(BH$6,1)=7,0,MIN(8,BH73)*BH72))))-MIN(IF(BH72&lt;=0,0,IF(WEEKDAY(BH$6,1)=1,0,IF(WEEKDAY(BH$6,1)=7,0,MIN(8,BH73)*BH72))),MAX(0,40*MAX(1,BH72)-(0)))))</f>
        <v>0</v>
      </c>
      <c r="BI75" s="63">
        <f>IF(AND(BI72=0,BI73=0),0,IF(BI72&lt;=0,0,IF(WEEKDAY(BI$6,1)=1,0,IF(WEEKDAY(BI$6,1)=7,BI72*BI73,MAX(0,BI73-8)*BI72)))+((IF(BI72&lt;=0,0,IF(WEEKDAY(BI$6,1)=1,0,IF(WEEKDAY(BI$6,1)=7,0,MIN(8,BI73)*BI72))))-MIN(IF(BI72&lt;=0,0,IF(WEEKDAY(BI$6,1)=1,0,IF(WEEKDAY(BI$6,1)=7,0,MIN(8,BI73)*BI72))),MAX(0,40*MAX(1,BI72)-(BH74)))))</f>
        <v>0</v>
      </c>
      <c r="BJ75" s="63">
        <f>IF(AND(BJ72=0,BJ73=0),0,IF(BJ72&lt;=0,0,IF(WEEKDAY(BJ$6,1)=1,0,IF(WEEKDAY(BJ$6,1)=7,BJ72*BJ73,MAX(0,BJ73-8)*BJ72)))+((IF(BJ72&lt;=0,0,IF(WEEKDAY(BJ$6,1)=1,0,IF(WEEKDAY(BJ$6,1)=7,0,MIN(8,BJ73)*BJ72))))-MIN(IF(BJ72&lt;=0,0,IF(WEEKDAY(BJ$6,1)=1,0,IF(WEEKDAY(BJ$6,1)=7,0,MIN(8,BJ73)*BJ72))),MAX(0,40*MAX(1,BJ72)-(BH74+BI74)))))</f>
        <v>0</v>
      </c>
      <c r="BK75" s="63">
        <f>IF(AND(BK72=0,BK73=0),0,IF(BK72&lt;=0,0,IF(WEEKDAY(BK$6,1)=1,0,IF(WEEKDAY(BK$6,1)=7,BK72*BK73,MAX(0,BK73-8)*BK72)))+((IF(BK72&lt;=0,0,IF(WEEKDAY(BK$6,1)=1,0,IF(WEEKDAY(BK$6,1)=7,0,MIN(8,BK73)*BK72))))-MIN(IF(BK72&lt;=0,0,IF(WEEKDAY(BK$6,1)=1,0,IF(WEEKDAY(BK$6,1)=7,0,MIN(8,BK73)*BK72))),MAX(0,40*MAX(1,BK72)-(BH74+BI74+BJ74)))))</f>
        <v>0</v>
      </c>
      <c r="BL75" s="63">
        <f>IF(AND(BL72=0,BL73=0),0,IF(BL72&lt;=0,0,IF(WEEKDAY(BL$6,1)=1,0,IF(WEEKDAY(BL$6,1)=7,BL72*BL73,MAX(0,BL73-8)*BL72)))+((IF(BL72&lt;=0,0,IF(WEEKDAY(BL$6,1)=1,0,IF(WEEKDAY(BL$6,1)=7,0,MIN(8,BL73)*BL72))))-MIN(IF(BL72&lt;=0,0,IF(WEEKDAY(BL$6,1)=1,0,IF(WEEKDAY(BL$6,1)=7,0,MIN(8,BL73)*BL72))),MAX(0,40*MAX(1,BL72)-(BH74+BI74+BJ74+BK74)))))</f>
        <v>0</v>
      </c>
      <c r="BM75" s="64">
        <f>IF(AND(BM72=0,BM73=0),0,IF(BM72&lt;=0,0,IF(WEEKDAY(BM$6,1)=1,0,IF(WEEKDAY(BM$6,1)=7,BM72*BM73,MAX(0,BM73-8)*BM72)))+((IF(BM72&lt;=0,0,IF(WEEKDAY(BM$6,1)=1,0,IF(WEEKDAY(BM$6,1)=7,0,MIN(8,BM73)*BM72))))-MIN(IF(BM72&lt;=0,0,IF(WEEKDAY(BM$6,1)=1,0,IF(WEEKDAY(BM$6,1)=7,0,MIN(8,BM73)*BM72))),MAX(0,40*MAX(1,BM72)-(BH74+BI74+BJ74+BK74+BL74)))))</f>
        <v>0</v>
      </c>
      <c r="BN75" s="64">
        <f>IF(AND(BN72=0,BN73=0),0,IF(BN72&lt;=0,0,IF(WEEKDAY(BN$6,1)=1,0,IF(WEEKDAY(BN$6,1)=7,BN72*BN73,MAX(0,BN73-8)*BN72)))+((IF(BN72&lt;=0,0,IF(WEEKDAY(BN$6,1)=1,0,IF(WEEKDAY(BN$6,1)=7,0,MIN(8,BN73)*BN72))))-MIN(IF(BN72&lt;=0,0,IF(WEEKDAY(BN$6,1)=1,0,IF(WEEKDAY(BN$6,1)=7,0,MIN(8,BN73)*BN72))),MAX(0,40*MAX(1,BN72)-(BH74+BI74+BJ74+BK74+BL74+BM74)))))</f>
        <v>0</v>
      </c>
      <c r="BO75" s="63">
        <f>IF(AND(BO72=0,BO73=0),0,IF(BO72&lt;=0,0,IF(WEEKDAY(BO$6,1)=1,0,IF(WEEKDAY(BO$6,1)=7,BO72*BO73,MAX(0,BO73-8)*BO72)))+((IF(BO72&lt;=0,0,IF(WEEKDAY(BO$6,1)=1,0,IF(WEEKDAY(BO$6,1)=7,0,MIN(8,BO73)*BO72))))-MIN(IF(BO72&lt;=0,0,IF(WEEKDAY(BO$6,1)=1,0,IF(WEEKDAY(BO$6,1)=7,0,MIN(8,BO73)*BO72))),MAX(0,40*MAX(1,BO72)-(0)))))</f>
        <v>0</v>
      </c>
      <c r="BP75" s="63">
        <f>IF(AND(BP72=0,BP73=0),0,IF(BP72&lt;=0,0,IF(WEEKDAY(BP$6,1)=1,0,IF(WEEKDAY(BP$6,1)=7,BP72*BP73,MAX(0,BP73-8)*BP72)))+((IF(BP72&lt;=0,0,IF(WEEKDAY(BP$6,1)=1,0,IF(WEEKDAY(BP$6,1)=7,0,MIN(8,BP73)*BP72))))-MIN(IF(BP72&lt;=0,0,IF(WEEKDAY(BP$6,1)=1,0,IF(WEEKDAY(BP$6,1)=7,0,MIN(8,BP73)*BP72))),MAX(0,40*MAX(1,BP72)-(BO74)))))</f>
        <v>0</v>
      </c>
      <c r="BQ75" s="63">
        <f>IF(AND(BQ72=0,BQ73=0),0,IF(BQ72&lt;=0,0,IF(WEEKDAY(BQ$6,1)=1,0,IF(WEEKDAY(BQ$6,1)=7,BQ72*BQ73,MAX(0,BQ73-8)*BQ72)))+((IF(BQ72&lt;=0,0,IF(WEEKDAY(BQ$6,1)=1,0,IF(WEEKDAY(BQ$6,1)=7,0,MIN(8,BQ73)*BQ72))))-MIN(IF(BQ72&lt;=0,0,IF(WEEKDAY(BQ$6,1)=1,0,IF(WEEKDAY(BQ$6,1)=7,0,MIN(8,BQ73)*BQ72))),MAX(0,40*MAX(1,BQ72)-(BO74+BP74)))))</f>
        <v>0</v>
      </c>
      <c r="BR75" s="63">
        <f>IF(AND(BR72=0,BR73=0),0,IF(BR72&lt;=0,0,IF(WEEKDAY(BR$6,1)=1,0,IF(WEEKDAY(BR$6,1)=7,BR72*BR73,MAX(0,BR73-8)*BR72)))+((IF(BR72&lt;=0,0,IF(WEEKDAY(BR$6,1)=1,0,IF(WEEKDAY(BR$6,1)=7,0,MIN(8,BR73)*BR72))))-MIN(IF(BR72&lt;=0,0,IF(WEEKDAY(BR$6,1)=1,0,IF(WEEKDAY(BR$6,1)=7,0,MIN(8,BR73)*BR72))),MAX(0,40*MAX(1,BR72)-(BO74+BP74+BQ74)))))</f>
        <v>0</v>
      </c>
      <c r="BS75" s="63">
        <f>IF(AND(BS72=0,BS73=0),0,IF(BS72&lt;=0,0,IF(WEEKDAY(BS$6,1)=1,0,IF(WEEKDAY(BS$6,1)=7,BS72*BS73,MAX(0,BS73-8)*BS72)))+((IF(BS72&lt;=0,0,IF(WEEKDAY(BS$6,1)=1,0,IF(WEEKDAY(BS$6,1)=7,0,MIN(8,BS73)*BS72))))-MIN(IF(BS72&lt;=0,0,IF(WEEKDAY(BS$6,1)=1,0,IF(WEEKDAY(BS$6,1)=7,0,MIN(8,BS73)*BS72))),MAX(0,40*MAX(1,BS72)-(BO74+BP74+BQ74+BR74)))))</f>
        <v>0</v>
      </c>
      <c r="BT75" s="64">
        <f>IF(AND(BT72=0,BT73=0),0,IF(BT72&lt;=0,0,IF(WEEKDAY(BT$6,1)=1,0,IF(WEEKDAY(BT$6,1)=7,BT72*BT73,MAX(0,BT73-8)*BT72)))+((IF(BT72&lt;=0,0,IF(WEEKDAY(BT$6,1)=1,0,IF(WEEKDAY(BT$6,1)=7,0,MIN(8,BT73)*BT72))))-MIN(IF(BT72&lt;=0,0,IF(WEEKDAY(BT$6,1)=1,0,IF(WEEKDAY(BT$6,1)=7,0,MIN(8,BT73)*BT72))),MAX(0,40*MAX(1,BT72)-(BO74+BP74+BQ74+BR74+BS74)))))</f>
        <v>0</v>
      </c>
      <c r="BU75" s="64">
        <f>IF(AND(BU72=0,BU73=0),0,IF(BU72&lt;=0,0,IF(WEEKDAY(BU$6,1)=1,0,IF(WEEKDAY(BU$6,1)=7,BU72*BU73,MAX(0,BU73-8)*BU72)))+((IF(BU72&lt;=0,0,IF(WEEKDAY(BU$6,1)=1,0,IF(WEEKDAY(BU$6,1)=7,0,MIN(8,BU73)*BU72))))-MIN(IF(BU72&lt;=0,0,IF(WEEKDAY(BU$6,1)=1,0,IF(WEEKDAY(BU$6,1)=7,0,MIN(8,BU73)*BU72))),MAX(0,40*MAX(1,BU72)-(BO74+BP74+BQ74+BR74+BS74+BT74)))))</f>
        <v>0</v>
      </c>
      <c r="BV75" s="63">
        <f>IF(AND(BV72=0,BV73=0),0,IF(BV72&lt;=0,0,IF(WEEKDAY(BV$6,1)=1,0,IF(WEEKDAY(BV$6,1)=7,BV72*BV73,MAX(0,BV73-8)*BV72)))+((IF(BV72&lt;=0,0,IF(WEEKDAY(BV$6,1)=1,0,IF(WEEKDAY(BV$6,1)=7,0,MIN(8,BV73)*BV72))))-MIN(IF(BV72&lt;=0,0,IF(WEEKDAY(BV$6,1)=1,0,IF(WEEKDAY(BV$6,1)=7,0,MIN(8,BV73)*BV72))),MAX(0,40*MAX(1,BV72)-(0)))))</f>
        <v>0</v>
      </c>
      <c r="BW75" s="63">
        <f>IF(AND(BW72=0,BW73=0),0,IF(BW72&lt;=0,0,IF(WEEKDAY(BW$6,1)=1,0,IF(WEEKDAY(BW$6,1)=7,BW72*BW73,MAX(0,BW73-8)*BW72)))+((IF(BW72&lt;=0,0,IF(WEEKDAY(BW$6,1)=1,0,IF(WEEKDAY(BW$6,1)=7,0,MIN(8,BW73)*BW72))))-MIN(IF(BW72&lt;=0,0,IF(WEEKDAY(BW$6,1)=1,0,IF(WEEKDAY(BW$6,1)=7,0,MIN(8,BW73)*BW72))),MAX(0,40*MAX(1,BW72)-(BV74)))))</f>
        <v>0</v>
      </c>
      <c r="BX75" s="63">
        <f>IF(AND(BX72=0,BX73=0),0,IF(BX72&lt;=0,0,IF(WEEKDAY(BX$6,1)=1,0,IF(WEEKDAY(BX$6,1)=7,BX72*BX73,MAX(0,BX73-8)*BX72)))+((IF(BX72&lt;=0,0,IF(WEEKDAY(BX$6,1)=1,0,IF(WEEKDAY(BX$6,1)=7,0,MIN(8,BX73)*BX72))))-MIN(IF(BX72&lt;=0,0,IF(WEEKDAY(BX$6,1)=1,0,IF(WEEKDAY(BX$6,1)=7,0,MIN(8,BX73)*BX72))),MAX(0,40*MAX(1,BX72)-(BV74+BW74)))))</f>
        <v>0</v>
      </c>
      <c r="BY75" s="63">
        <f>IF(AND(BY72=0,BY73=0),0,IF(BY72&lt;=0,0,IF(WEEKDAY(BY$6,1)=1,0,IF(WEEKDAY(BY$6,1)=7,BY72*BY73,MAX(0,BY73-8)*BY72)))+((IF(BY72&lt;=0,0,IF(WEEKDAY(BY$6,1)=1,0,IF(WEEKDAY(BY$6,1)=7,0,MIN(8,BY73)*BY72))))-MIN(IF(BY72&lt;=0,0,IF(WEEKDAY(BY$6,1)=1,0,IF(WEEKDAY(BY$6,1)=7,0,MIN(8,BY73)*BY72))),MAX(0,40*MAX(1,BY72)-(BV74+BW74+BX74)))))</f>
        <v>0</v>
      </c>
      <c r="BZ75" s="63">
        <f>IF(AND(BZ72=0,BZ73=0),0,IF(BZ72&lt;=0,0,IF(WEEKDAY(BZ$6,1)=1,0,IF(WEEKDAY(BZ$6,1)=7,BZ72*BZ73,MAX(0,BZ73-8)*BZ72)))+((IF(BZ72&lt;=0,0,IF(WEEKDAY(BZ$6,1)=1,0,IF(WEEKDAY(BZ$6,1)=7,0,MIN(8,BZ73)*BZ72))))-MIN(IF(BZ72&lt;=0,0,IF(WEEKDAY(BZ$6,1)=1,0,IF(WEEKDAY(BZ$6,1)=7,0,MIN(8,BZ73)*BZ72))),MAX(0,40*MAX(1,BZ72)-(BV74+BW74+BX74+BY74)))))</f>
        <v>0</v>
      </c>
      <c r="CA75" s="64">
        <f>IF(AND(CA72=0,CA73=0),0,IF(CA72&lt;=0,0,IF(WEEKDAY(CA$6,1)=1,0,IF(WEEKDAY(CA$6,1)=7,CA72*CA73,MAX(0,CA73-8)*CA72)))+((IF(CA72&lt;=0,0,IF(WEEKDAY(CA$6,1)=1,0,IF(WEEKDAY(CA$6,1)=7,0,MIN(8,CA73)*CA72))))-MIN(IF(CA72&lt;=0,0,IF(WEEKDAY(CA$6,1)=1,0,IF(WEEKDAY(CA$6,1)=7,0,MIN(8,CA73)*CA72))),MAX(0,40*MAX(1,CA72)-(BV74+BW74+BX74+BY74+BZ74)))))</f>
        <v>0</v>
      </c>
      <c r="CB75" s="64">
        <f>IF(AND(CB72=0,CB73=0),0,IF(CB72&lt;=0,0,IF(WEEKDAY(CB$6,1)=1,0,IF(WEEKDAY(CB$6,1)=7,CB72*CB73,MAX(0,CB73-8)*CB72)))+((IF(CB72&lt;=0,0,IF(WEEKDAY(CB$6,1)=1,0,IF(WEEKDAY(CB$6,1)=7,0,MIN(8,CB73)*CB72))))-MIN(IF(CB72&lt;=0,0,IF(WEEKDAY(CB$6,1)=1,0,IF(WEEKDAY(CB$6,1)=7,0,MIN(8,CB73)*CB72))),MAX(0,40*MAX(1,CB72)-(BV74+BW74+BX74+BY74+BZ74+CA74)))))</f>
        <v>0</v>
      </c>
      <c r="CC75" s="63">
        <f>IF(AND(CC72=0,CC73=0),0,IF(CC72&lt;=0,0,IF(WEEKDAY(CC$6,1)=1,0,IF(WEEKDAY(CC$6,1)=7,CC72*CC73,MAX(0,CC73-8)*CC72)))+((IF(CC72&lt;=0,0,IF(WEEKDAY(CC$6,1)=1,0,IF(WEEKDAY(CC$6,1)=7,0,MIN(8,CC73)*CC72))))-MIN(IF(CC72&lt;=0,0,IF(WEEKDAY(CC$6,1)=1,0,IF(WEEKDAY(CC$6,1)=7,0,MIN(8,CC73)*CC72))),MAX(0,40*MAX(1,CC72)-(0)))))</f>
        <v>0</v>
      </c>
      <c r="CD75" s="63">
        <f>IF(AND(CD72=0,CD73=0),0,IF(CD72&lt;=0,0,IF(WEEKDAY(CD$6,1)=1,0,IF(WEEKDAY(CD$6,1)=7,CD72*CD73,MAX(0,CD73-8)*CD72)))+((IF(CD72&lt;=0,0,IF(WEEKDAY(CD$6,1)=1,0,IF(WEEKDAY(CD$6,1)=7,0,MIN(8,CD73)*CD72))))-MIN(IF(CD72&lt;=0,0,IF(WEEKDAY(CD$6,1)=1,0,IF(WEEKDAY(CD$6,1)=7,0,MIN(8,CD73)*CD72))),MAX(0,40*MAX(1,CD72)-(CC74)))))</f>
        <v>0</v>
      </c>
      <c r="CE75" s="63">
        <f>IF(AND(CE72=0,CE73=0),0,IF(CE72&lt;=0,0,IF(WEEKDAY(CE$6,1)=1,0,IF(WEEKDAY(CE$6,1)=7,CE72*CE73,MAX(0,CE73-8)*CE72)))+((IF(CE72&lt;=0,0,IF(WEEKDAY(CE$6,1)=1,0,IF(WEEKDAY(CE$6,1)=7,0,MIN(8,CE73)*CE72))))-MIN(IF(CE72&lt;=0,0,IF(WEEKDAY(CE$6,1)=1,0,IF(WEEKDAY(CE$6,1)=7,0,MIN(8,CE73)*CE72))),MAX(0,40*MAX(1,CE72)-(CC74+CD74)))))</f>
        <v>0</v>
      </c>
      <c r="CF75" s="63">
        <f>IF(AND(CF72=0,CF73=0),0,IF(CF72&lt;=0,0,IF(WEEKDAY(CF$6,1)=1,0,IF(WEEKDAY(CF$6,1)=7,CF72*CF73,MAX(0,CF73-8)*CF72)))+((IF(CF72&lt;=0,0,IF(WEEKDAY(CF$6,1)=1,0,IF(WEEKDAY(CF$6,1)=7,0,MIN(8,CF73)*CF72))))-MIN(IF(CF72&lt;=0,0,IF(WEEKDAY(CF$6,1)=1,0,IF(WEEKDAY(CF$6,1)=7,0,MIN(8,CF73)*CF72))),MAX(0,40*MAX(1,CF72)-(CC74+CD74+CE74)))))</f>
        <v>0</v>
      </c>
      <c r="CG75" s="63">
        <f>IF(AND(CG72=0,CG73=0),0,IF(CG72&lt;=0,0,IF(WEEKDAY(CG$6,1)=1,0,IF(WEEKDAY(CG$6,1)=7,CG72*CG73,MAX(0,CG73-8)*CG72)))+((IF(CG72&lt;=0,0,IF(WEEKDAY(CG$6,1)=1,0,IF(WEEKDAY(CG$6,1)=7,0,MIN(8,CG73)*CG72))))-MIN(IF(CG72&lt;=0,0,IF(WEEKDAY(CG$6,1)=1,0,IF(WEEKDAY(CG$6,1)=7,0,MIN(8,CG73)*CG72))),MAX(0,40*MAX(1,CG72)-(CC74+CD74+CE74+CF74)))))</f>
        <v>0</v>
      </c>
      <c r="CH75" s="64">
        <f>IF(AND(CH72=0,CH73=0),0,IF(CH72&lt;=0,0,IF(WEEKDAY(CH$6,1)=1,0,IF(WEEKDAY(CH$6,1)=7,CH72*CH73,MAX(0,CH73-8)*CH72)))+((IF(CH72&lt;=0,0,IF(WEEKDAY(CH$6,1)=1,0,IF(WEEKDAY(CH$6,1)=7,0,MIN(8,CH73)*CH72))))-MIN(IF(CH72&lt;=0,0,IF(WEEKDAY(CH$6,1)=1,0,IF(WEEKDAY(CH$6,1)=7,0,MIN(8,CH73)*CH72))),MAX(0,40*MAX(1,CH72)-(CC74+CD74+CE74+CF74+CG74)))))</f>
        <v>0</v>
      </c>
      <c r="CI75" s="64">
        <f>IF(AND(CI72=0,CI73=0),0,IF(CI72&lt;=0,0,IF(WEEKDAY(CI$6,1)=1,0,IF(WEEKDAY(CI$6,1)=7,CI72*CI73,MAX(0,CI73-8)*CI72)))+((IF(CI72&lt;=0,0,IF(WEEKDAY(CI$6,1)=1,0,IF(WEEKDAY(CI$6,1)=7,0,MIN(8,CI73)*CI72))))-MIN(IF(CI72&lt;=0,0,IF(WEEKDAY(CI$6,1)=1,0,IF(WEEKDAY(CI$6,1)=7,0,MIN(8,CI73)*CI72))),MAX(0,40*MAX(1,CI72)-(CC74+CD74+CE74+CF74+CG74+CH74)))))</f>
        <v>0</v>
      </c>
      <c r="CJ75" s="63">
        <f>IF(AND(CJ72=0,CJ73=0),0,IF(CJ72&lt;=0,0,IF(WEEKDAY(CJ$6,1)=1,0,IF(WEEKDAY(CJ$6,1)=7,CJ72*CJ73,MAX(0,CJ73-8)*CJ72)))+((IF(CJ72&lt;=0,0,IF(WEEKDAY(CJ$6,1)=1,0,IF(WEEKDAY(CJ$6,1)=7,0,MIN(8,CJ73)*CJ72))))-MIN(IF(CJ72&lt;=0,0,IF(WEEKDAY(CJ$6,1)=1,0,IF(WEEKDAY(CJ$6,1)=7,0,MIN(8,CJ73)*CJ72))),MAX(0,40*MAX(1,CJ72)-(0)))))</f>
        <v>0</v>
      </c>
      <c r="CK75" s="63">
        <f>IF(AND(CK72=0,CK73=0),0,IF(CK72&lt;=0,0,IF(WEEKDAY(CK$6,1)=1,0,IF(WEEKDAY(CK$6,1)=7,CK72*CK73,MAX(0,CK73-8)*CK72)))+((IF(CK72&lt;=0,0,IF(WEEKDAY(CK$6,1)=1,0,IF(WEEKDAY(CK$6,1)=7,0,MIN(8,CK73)*CK72))))-MIN(IF(CK72&lt;=0,0,IF(WEEKDAY(CK$6,1)=1,0,IF(WEEKDAY(CK$6,1)=7,0,MIN(8,CK73)*CK72))),MAX(0,40*MAX(1,CK72)-(CJ74)))))</f>
        <v>0</v>
      </c>
      <c r="CL75" s="63">
        <f>IF(AND(CL72=0,CL73=0),0,IF(CL72&lt;=0,0,IF(WEEKDAY(CL$6,1)=1,0,IF(WEEKDAY(CL$6,1)=7,CL72*CL73,MAX(0,CL73-8)*CL72)))+((IF(CL72&lt;=0,0,IF(WEEKDAY(CL$6,1)=1,0,IF(WEEKDAY(CL$6,1)=7,0,MIN(8,CL73)*CL72))))-MIN(IF(CL72&lt;=0,0,IF(WEEKDAY(CL$6,1)=1,0,IF(WEEKDAY(CL$6,1)=7,0,MIN(8,CL73)*CL72))),MAX(0,40*MAX(1,CL72)-(CJ74+CK74)))))</f>
        <v>0</v>
      </c>
      <c r="CM75" s="63">
        <f>IF(AND(CM72=0,CM73=0),0,IF(CM72&lt;=0,0,IF(WEEKDAY(CM$6,1)=1,0,IF(WEEKDAY(CM$6,1)=7,CM72*CM73,MAX(0,CM73-8)*CM72)))+((IF(CM72&lt;=0,0,IF(WEEKDAY(CM$6,1)=1,0,IF(WEEKDAY(CM$6,1)=7,0,MIN(8,CM73)*CM72))))-MIN(IF(CM72&lt;=0,0,IF(WEEKDAY(CM$6,1)=1,0,IF(WEEKDAY(CM$6,1)=7,0,MIN(8,CM73)*CM72))),MAX(0,40*MAX(1,CM72)-(CJ74+CK74+CL74)))))</f>
        <v>0</v>
      </c>
      <c r="CN75" s="63">
        <f>IF(AND(CN72=0,CN73=0),0,IF(CN72&lt;=0,0,IF(WEEKDAY(CN$6,1)=1,0,IF(WEEKDAY(CN$6,1)=7,CN72*CN73,MAX(0,CN73-8)*CN72)))+((IF(CN72&lt;=0,0,IF(WEEKDAY(CN$6,1)=1,0,IF(WEEKDAY(CN$6,1)=7,0,MIN(8,CN73)*CN72))))-MIN(IF(CN72&lt;=0,0,IF(WEEKDAY(CN$6,1)=1,0,IF(WEEKDAY(CN$6,1)=7,0,MIN(8,CN73)*CN72))),MAX(0,40*MAX(1,CN72)-(CJ74+CK74+CL74+CM74)))))</f>
        <v>0</v>
      </c>
      <c r="CO75" s="64">
        <f>IF(AND(CO72=0,CO73=0),0,IF(CO72&lt;=0,0,IF(WEEKDAY(CO$6,1)=1,0,IF(WEEKDAY(CO$6,1)=7,CO72*CO73,MAX(0,CO73-8)*CO72)))+((IF(CO72&lt;=0,0,IF(WEEKDAY(CO$6,1)=1,0,IF(WEEKDAY(CO$6,1)=7,0,MIN(8,CO73)*CO72))))-MIN(IF(CO72&lt;=0,0,IF(WEEKDAY(CO$6,1)=1,0,IF(WEEKDAY(CO$6,1)=7,0,MIN(8,CO73)*CO72))),MAX(0,40*MAX(1,CO72)-(CJ74+CK74+CL74+CM74+CN74)))))</f>
        <v>0</v>
      </c>
      <c r="CP75" s="64">
        <f>IF(AND(CP72=0,CP73=0),0,IF(CP72&lt;=0,0,IF(WEEKDAY(CP$6,1)=1,0,IF(WEEKDAY(CP$6,1)=7,CP72*CP73,MAX(0,CP73-8)*CP72)))+((IF(CP72&lt;=0,0,IF(WEEKDAY(CP$6,1)=1,0,IF(WEEKDAY(CP$6,1)=7,0,MIN(8,CP73)*CP72))))-MIN(IF(CP72&lt;=0,0,IF(WEEKDAY(CP$6,1)=1,0,IF(WEEKDAY(CP$6,1)=7,0,MIN(8,CP73)*CP72))),MAX(0,40*MAX(1,CP72)-(CJ74+CK74+CL74+CM74+CN74+CO74)))))</f>
        <v>0</v>
      </c>
      <c r="CQ75" s="63">
        <f>IF(AND(CQ72=0,CQ73=0),0,IF(CQ72&lt;=0,0,IF(WEEKDAY(CQ$6,1)=1,0,IF(WEEKDAY(CQ$6,1)=7,CQ72*CQ73,MAX(0,CQ73-8)*CQ72)))+((IF(CQ72&lt;=0,0,IF(WEEKDAY(CQ$6,1)=1,0,IF(WEEKDAY(CQ$6,1)=7,0,MIN(8,CQ73)*CQ72))))-MIN(IF(CQ72&lt;=0,0,IF(WEEKDAY(CQ$6,1)=1,0,IF(WEEKDAY(CQ$6,1)=7,0,MIN(8,CQ73)*CQ72))),MAX(0,40*MAX(1,CQ72)-(0)))))</f>
        <v>0</v>
      </c>
      <c r="CR75" s="63">
        <f>IF(AND(CR72=0,CR73=0),0,IF(CR72&lt;=0,0,IF(WEEKDAY(CR$6,1)=1,0,IF(WEEKDAY(CR$6,1)=7,CR72*CR73,MAX(0,CR73-8)*CR72)))+((IF(CR72&lt;=0,0,IF(WEEKDAY(CR$6,1)=1,0,IF(WEEKDAY(CR$6,1)=7,0,MIN(8,CR73)*CR72))))-MIN(IF(CR72&lt;=0,0,IF(WEEKDAY(CR$6,1)=1,0,IF(WEEKDAY(CR$6,1)=7,0,MIN(8,CR73)*CR72))),MAX(0,40*MAX(1,CR72)-(CQ74)))))</f>
        <v>0</v>
      </c>
      <c r="CS75" s="63">
        <f>IF(AND(CS72=0,CS73=0),0,IF(CS72&lt;=0,0,IF(WEEKDAY(CS$6,1)=1,0,IF(WEEKDAY(CS$6,1)=7,CS72*CS73,MAX(0,CS73-8)*CS72)))+((IF(CS72&lt;=0,0,IF(WEEKDAY(CS$6,1)=1,0,IF(WEEKDAY(CS$6,1)=7,0,MIN(8,CS73)*CS72))))-MIN(IF(CS72&lt;=0,0,IF(WEEKDAY(CS$6,1)=1,0,IF(WEEKDAY(CS$6,1)=7,0,MIN(8,CS73)*CS72))),MAX(0,40*MAX(1,CS72)-(CQ74+CR74)))))</f>
        <v>0</v>
      </c>
      <c r="CT75" s="63">
        <f>IF(AND(CT72=0,CT73=0),0,IF(CT72&lt;=0,0,IF(WEEKDAY(CT$6,1)=1,0,IF(WEEKDAY(CT$6,1)=7,CT72*CT73,MAX(0,CT73-8)*CT72)))+((IF(CT72&lt;=0,0,IF(WEEKDAY(CT$6,1)=1,0,IF(WEEKDAY(CT$6,1)=7,0,MIN(8,CT73)*CT72))))-MIN(IF(CT72&lt;=0,0,IF(WEEKDAY(CT$6,1)=1,0,IF(WEEKDAY(CT$6,1)=7,0,MIN(8,CT73)*CT72))),MAX(0,40*MAX(1,CT72)-(CQ74+CR74+CS74)))))</f>
        <v>0</v>
      </c>
      <c r="CU75" s="63">
        <f>IF(AND(CU72=0,CU73=0),0,IF(CU72&lt;=0,0,IF(WEEKDAY(CU$6,1)=1,0,IF(WEEKDAY(CU$6,1)=7,CU72*CU73,MAX(0,CU73-8)*CU72)))+((IF(CU72&lt;=0,0,IF(WEEKDAY(CU$6,1)=1,0,IF(WEEKDAY(CU$6,1)=7,0,MIN(8,CU73)*CU72))))-MIN(IF(CU72&lt;=0,0,IF(WEEKDAY(CU$6,1)=1,0,IF(WEEKDAY(CU$6,1)=7,0,MIN(8,CU73)*CU72))),MAX(0,40*MAX(1,CU72)-(CQ74+CR74+CS74+CT74)))))</f>
        <v>0</v>
      </c>
      <c r="CV75" s="64">
        <f>IF(AND(CV72=0,CV73=0),0,IF(CV72&lt;=0,0,IF(WEEKDAY(CV$6,1)=1,0,IF(WEEKDAY(CV$6,1)=7,CV72*CV73,MAX(0,CV73-8)*CV72)))+((IF(CV72&lt;=0,0,IF(WEEKDAY(CV$6,1)=1,0,IF(WEEKDAY(CV$6,1)=7,0,MIN(8,CV73)*CV72))))-MIN(IF(CV72&lt;=0,0,IF(WEEKDAY(CV$6,1)=1,0,IF(WEEKDAY(CV$6,1)=7,0,MIN(8,CV73)*CV72))),MAX(0,40*MAX(1,CV72)-(CQ74+CR74+CS74+CT74+CU74)))))</f>
        <v>0</v>
      </c>
      <c r="CW75" s="64">
        <f>IF(AND(CW72=0,CW73=0),0,IF(CW72&lt;=0,0,IF(WEEKDAY(CW$6,1)=1,0,IF(WEEKDAY(CW$6,1)=7,CW72*CW73,MAX(0,CW73-8)*CW72)))+((IF(CW72&lt;=0,0,IF(WEEKDAY(CW$6,1)=1,0,IF(WEEKDAY(CW$6,1)=7,0,MIN(8,CW73)*CW72))))-MIN(IF(CW72&lt;=0,0,IF(WEEKDAY(CW$6,1)=1,0,IF(WEEKDAY(CW$6,1)=7,0,MIN(8,CW73)*CW72))),MAX(0,40*MAX(1,CW72)-(CQ74+CR74+CS74+CT74+CU74+CV74)))))</f>
        <v>0</v>
      </c>
      <c r="CX75" s="63">
        <f>IF(AND(CX72=0,CX73=0),0,IF(CX72&lt;=0,0,IF(WEEKDAY(CX$6,1)=1,0,IF(WEEKDAY(CX$6,1)=7,CX72*CX73,MAX(0,CX73-8)*CX72)))+((IF(CX72&lt;=0,0,IF(WEEKDAY(CX$6,1)=1,0,IF(WEEKDAY(CX$6,1)=7,0,MIN(8,CX73)*CX72))))-MIN(IF(CX72&lt;=0,0,IF(WEEKDAY(CX$6,1)=1,0,IF(WEEKDAY(CX$6,1)=7,0,MIN(8,CX73)*CX72))),MAX(0,40*MAX(1,CX72)-(0)))))</f>
        <v>0</v>
      </c>
      <c r="CY75" s="63">
        <f>IF(AND(CY72=0,CY73=0),0,IF(CY72&lt;=0,0,IF(WEEKDAY(CY$6,1)=1,0,IF(WEEKDAY(CY$6,1)=7,CY72*CY73,MAX(0,CY73-8)*CY72)))+((IF(CY72&lt;=0,0,IF(WEEKDAY(CY$6,1)=1,0,IF(WEEKDAY(CY$6,1)=7,0,MIN(8,CY73)*CY72))))-MIN(IF(CY72&lt;=0,0,IF(WEEKDAY(CY$6,1)=1,0,IF(WEEKDAY(CY$6,1)=7,0,MIN(8,CY73)*CY72))),MAX(0,40*MAX(1,CY72)-(CX74)))))</f>
        <v>0</v>
      </c>
      <c r="CZ75" s="63">
        <f>IF(AND(CZ72=0,CZ73=0),0,IF(CZ72&lt;=0,0,IF(WEEKDAY(CZ$6,1)=1,0,IF(WEEKDAY(CZ$6,1)=7,CZ72*CZ73,MAX(0,CZ73-8)*CZ72)))+((IF(CZ72&lt;=0,0,IF(WEEKDAY(CZ$6,1)=1,0,IF(WEEKDAY(CZ$6,1)=7,0,MIN(8,CZ73)*CZ72))))-MIN(IF(CZ72&lt;=0,0,IF(WEEKDAY(CZ$6,1)=1,0,IF(WEEKDAY(CZ$6,1)=7,0,MIN(8,CZ73)*CZ72))),MAX(0,40*MAX(1,CZ72)-(CX74+CY74)))))</f>
        <v>0</v>
      </c>
      <c r="DA75" s="63">
        <f>IF(AND(DA72=0,DA73=0),0,IF(DA72&lt;=0,0,IF(WEEKDAY(DA$6,1)=1,0,IF(WEEKDAY(DA$6,1)=7,DA72*DA73,MAX(0,DA73-8)*DA72)))+((IF(DA72&lt;=0,0,IF(WEEKDAY(DA$6,1)=1,0,IF(WEEKDAY(DA$6,1)=7,0,MIN(8,DA73)*DA72))))-MIN(IF(DA72&lt;=0,0,IF(WEEKDAY(DA$6,1)=1,0,IF(WEEKDAY(DA$6,1)=7,0,MIN(8,DA73)*DA72))),MAX(0,40*MAX(1,DA72)-(CX74+CY74+CZ74)))))</f>
        <v>0</v>
      </c>
      <c r="DB75" s="63">
        <f>IF(AND(DB72=0,DB73=0),0,IF(DB72&lt;=0,0,IF(WEEKDAY(DB$6,1)=1,0,IF(WEEKDAY(DB$6,1)=7,DB72*DB73,MAX(0,DB73-8)*DB72)))+((IF(DB72&lt;=0,0,IF(WEEKDAY(DB$6,1)=1,0,IF(WEEKDAY(DB$6,1)=7,0,MIN(8,DB73)*DB72))))-MIN(IF(DB72&lt;=0,0,IF(WEEKDAY(DB$6,1)=1,0,IF(WEEKDAY(DB$6,1)=7,0,MIN(8,DB73)*DB72))),MAX(0,40*MAX(1,DB72)-(CX74+CY74+CZ74+DA74)))))</f>
        <v>0</v>
      </c>
      <c r="DC75" s="64">
        <f>IF(AND(DC72=0,DC73=0),0,IF(DC72&lt;=0,0,IF(WEEKDAY(DC$6,1)=1,0,IF(WEEKDAY(DC$6,1)=7,DC72*DC73,MAX(0,DC73-8)*DC72)))+((IF(DC72&lt;=0,0,IF(WEEKDAY(DC$6,1)=1,0,IF(WEEKDAY(DC$6,1)=7,0,MIN(8,DC73)*DC72))))-MIN(IF(DC72&lt;=0,0,IF(WEEKDAY(DC$6,1)=1,0,IF(WEEKDAY(DC$6,1)=7,0,MIN(8,DC73)*DC72))),MAX(0,40*MAX(1,DC72)-(CX74+CY74+CZ74+DA74+DB74)))))</f>
        <v>0</v>
      </c>
      <c r="DD75" s="64">
        <f>IF(AND(DD72=0,DD73=0),0,IF(DD72&lt;=0,0,IF(WEEKDAY(DD$6,1)=1,0,IF(WEEKDAY(DD$6,1)=7,DD72*DD73,MAX(0,DD73-8)*DD72)))+((IF(DD72&lt;=0,0,IF(WEEKDAY(DD$6,1)=1,0,IF(WEEKDAY(DD$6,1)=7,0,MIN(8,DD73)*DD72))))-MIN(IF(DD72&lt;=0,0,IF(WEEKDAY(DD$6,1)=1,0,IF(WEEKDAY(DD$6,1)=7,0,MIN(8,DD73)*DD72))),MAX(0,40*MAX(1,DD72)-(CX74+CY74+CZ74+DA74+DB74+DC74)))))</f>
        <v>0</v>
      </c>
      <c r="DE75" s="63">
        <f>IF(AND(DE72=0,DE73=0),0,IF(DE72&lt;=0,0,IF(WEEKDAY(DE$6,1)=1,0,IF(WEEKDAY(DE$6,1)=7,DE72*DE73,MAX(0,DE73-8)*DE72)))+((IF(DE72&lt;=0,0,IF(WEEKDAY(DE$6,1)=1,0,IF(WEEKDAY(DE$6,1)=7,0,MIN(8,DE73)*DE72))))-MIN(IF(DE72&lt;=0,0,IF(WEEKDAY(DE$6,1)=1,0,IF(WEEKDAY(DE$6,1)=7,0,MIN(8,DE73)*DE72))),MAX(0,40*MAX(1,DE72)-(0)))))</f>
        <v>0</v>
      </c>
      <c r="DF75" s="63">
        <f>IF(AND(DF72=0,DF73=0),0,IF(DF72&lt;=0,0,IF(WEEKDAY(DF$6,1)=1,0,IF(WEEKDAY(DF$6,1)=7,DF72*DF73,MAX(0,DF73-8)*DF72)))+((IF(DF72&lt;=0,0,IF(WEEKDAY(DF$6,1)=1,0,IF(WEEKDAY(DF$6,1)=7,0,MIN(8,DF73)*DF72))))-MIN(IF(DF72&lt;=0,0,IF(WEEKDAY(DF$6,1)=1,0,IF(WEEKDAY(DF$6,1)=7,0,MIN(8,DF73)*DF72))),MAX(0,40*MAX(1,DF72)-(DE74)))))</f>
        <v>0</v>
      </c>
      <c r="DG75" s="63">
        <f>IF(AND(DG72=0,DG73=0),0,IF(DG72&lt;=0,0,IF(WEEKDAY(DG$6,1)=1,0,IF(WEEKDAY(DG$6,1)=7,DG72*DG73,MAX(0,DG73-8)*DG72)))+((IF(DG72&lt;=0,0,IF(WEEKDAY(DG$6,1)=1,0,IF(WEEKDAY(DG$6,1)=7,0,MIN(8,DG73)*DG72))))-MIN(IF(DG72&lt;=0,0,IF(WEEKDAY(DG$6,1)=1,0,IF(WEEKDAY(DG$6,1)=7,0,MIN(8,DG73)*DG72))),MAX(0,40*MAX(1,DG72)-(DE74+DF74)))))</f>
        <v>0</v>
      </c>
      <c r="DH75" s="63">
        <f>IF(AND(DH72=0,DH73=0),0,IF(DH72&lt;=0,0,IF(WEEKDAY(DH$6,1)=1,0,IF(WEEKDAY(DH$6,1)=7,DH72*DH73,MAX(0,DH73-8)*DH72)))+((IF(DH72&lt;=0,0,IF(WEEKDAY(DH$6,1)=1,0,IF(WEEKDAY(DH$6,1)=7,0,MIN(8,DH73)*DH72))))-MIN(IF(DH72&lt;=0,0,IF(WEEKDAY(DH$6,1)=1,0,IF(WEEKDAY(DH$6,1)=7,0,MIN(8,DH73)*DH72))),MAX(0,40*MAX(1,DH72)-(DE74+DF74+DG74)))))</f>
        <v>0</v>
      </c>
      <c r="DI75" s="63">
        <f>IF(AND(DI72=0,DI73=0),0,IF(DI72&lt;=0,0,IF(WEEKDAY(DI$6,1)=1,0,IF(WEEKDAY(DI$6,1)=7,DI72*DI73,MAX(0,DI73-8)*DI72)))+((IF(DI72&lt;=0,0,IF(WEEKDAY(DI$6,1)=1,0,IF(WEEKDAY(DI$6,1)=7,0,MIN(8,DI73)*DI72))))-MIN(IF(DI72&lt;=0,0,IF(WEEKDAY(DI$6,1)=1,0,IF(WEEKDAY(DI$6,1)=7,0,MIN(8,DI73)*DI72))),MAX(0,40*MAX(1,DI72)-(DE74+DF74+DG74+DH74)))))</f>
        <v>0</v>
      </c>
      <c r="DJ75" s="64">
        <f>IF(AND(DJ72=0,DJ73=0),0,IF(DJ72&lt;=0,0,IF(WEEKDAY(DJ$6,1)=1,0,IF(WEEKDAY(DJ$6,1)=7,DJ72*DJ73,MAX(0,DJ73-8)*DJ72)))+((IF(DJ72&lt;=0,0,IF(WEEKDAY(DJ$6,1)=1,0,IF(WEEKDAY(DJ$6,1)=7,0,MIN(8,DJ73)*DJ72))))-MIN(IF(DJ72&lt;=0,0,IF(WEEKDAY(DJ$6,1)=1,0,IF(WEEKDAY(DJ$6,1)=7,0,MIN(8,DJ73)*DJ72))),MAX(0,40*MAX(1,DJ72)-(DE74+DF74+DG74+DH74+DI74)))))</f>
        <v>0</v>
      </c>
      <c r="DK75" s="64">
        <f>IF(AND(DK72=0,DK73=0),0,IF(DK72&lt;=0,0,IF(WEEKDAY(DK$6,1)=1,0,IF(WEEKDAY(DK$6,1)=7,DK72*DK73,MAX(0,DK73-8)*DK72)))+((IF(DK72&lt;=0,0,IF(WEEKDAY(DK$6,1)=1,0,IF(WEEKDAY(DK$6,1)=7,0,MIN(8,DK73)*DK72))))-MIN(IF(DK72&lt;=0,0,IF(WEEKDAY(DK$6,1)=1,0,IF(WEEKDAY(DK$6,1)=7,0,MIN(8,DK73)*DK72))),MAX(0,40*MAX(1,DK72)-(DE74+DF74+DG74+DH74+DI74+DJ74)))))</f>
        <v>0</v>
      </c>
      <c r="DL75" s="63">
        <f>IF(AND(DL72=0,DL73=0),0,IF(DL72&lt;=0,0,IF(WEEKDAY(DL$6,1)=1,0,IF(WEEKDAY(DL$6,1)=7,DL72*DL73,MAX(0,DL73-8)*DL72)))+((IF(DL72&lt;=0,0,IF(WEEKDAY(DL$6,1)=1,0,IF(WEEKDAY(DL$6,1)=7,0,MIN(8,DL73)*DL72))))-MIN(IF(DL72&lt;=0,0,IF(WEEKDAY(DL$6,1)=1,0,IF(WEEKDAY(DL$6,1)=7,0,MIN(8,DL73)*DL72))),MAX(0,40*MAX(1,DL72)-(0)))))</f>
        <v>0</v>
      </c>
      <c r="DM75" s="63">
        <f>IF(AND(DM72=0,DM73=0),0,IF(DM72&lt;=0,0,IF(WEEKDAY(DM$6,1)=1,0,IF(WEEKDAY(DM$6,1)=7,DM72*DM73,MAX(0,DM73-8)*DM72)))+((IF(DM72&lt;=0,0,IF(WEEKDAY(DM$6,1)=1,0,IF(WEEKDAY(DM$6,1)=7,0,MIN(8,DM73)*DM72))))-MIN(IF(DM72&lt;=0,0,IF(WEEKDAY(DM$6,1)=1,0,IF(WEEKDAY(DM$6,1)=7,0,MIN(8,DM73)*DM72))),MAX(0,40*MAX(1,DM72)-(DL74)))))</f>
        <v>0</v>
      </c>
      <c r="DN75" s="63">
        <f>IF(AND(DN72=0,DN73=0),0,IF(DN72&lt;=0,0,IF(WEEKDAY(DN$6,1)=1,0,IF(WEEKDAY(DN$6,1)=7,DN72*DN73,MAX(0,DN73-8)*DN72)))+((IF(DN72&lt;=0,0,IF(WEEKDAY(DN$6,1)=1,0,IF(WEEKDAY(DN$6,1)=7,0,MIN(8,DN73)*DN72))))-MIN(IF(DN72&lt;=0,0,IF(WEEKDAY(DN$6,1)=1,0,IF(WEEKDAY(DN$6,1)=7,0,MIN(8,DN73)*DN72))),MAX(0,40*MAX(1,DN72)-(DL74+DM74)))))</f>
        <v>0</v>
      </c>
      <c r="DO75" s="63">
        <f>IF(AND(DO72=0,DO73=0),0,IF(DO72&lt;=0,0,IF(WEEKDAY(DO$6,1)=1,0,IF(WEEKDAY(DO$6,1)=7,DO72*DO73,MAX(0,DO73-8)*DO72)))+((IF(DO72&lt;=0,0,IF(WEEKDAY(DO$6,1)=1,0,IF(WEEKDAY(DO$6,1)=7,0,MIN(8,DO73)*DO72))))-MIN(IF(DO72&lt;=0,0,IF(WEEKDAY(DO$6,1)=1,0,IF(WEEKDAY(DO$6,1)=7,0,MIN(8,DO73)*DO72))),MAX(0,40*MAX(1,DO72)-(DL74+DM74+DN74)))))</f>
        <v>0</v>
      </c>
      <c r="DP75" s="63">
        <f>IF(AND(DP72=0,DP73=0),0,IF(DP72&lt;=0,0,IF(WEEKDAY(DP$6,1)=1,0,IF(WEEKDAY(DP$6,1)=7,DP72*DP73,MAX(0,DP73-8)*DP72)))+((IF(DP72&lt;=0,0,IF(WEEKDAY(DP$6,1)=1,0,IF(WEEKDAY(DP$6,1)=7,0,MIN(8,DP73)*DP72))))-MIN(IF(DP72&lt;=0,0,IF(WEEKDAY(DP$6,1)=1,0,IF(WEEKDAY(DP$6,1)=7,0,MIN(8,DP73)*DP72))),MAX(0,40*MAX(1,DP72)-(DL74+DM74+DN74+DO74)))))</f>
        <v>0</v>
      </c>
      <c r="DQ75" s="64">
        <f>IF(AND(DQ72=0,DQ73=0),0,IF(DQ72&lt;=0,0,IF(WEEKDAY(DQ$6,1)=1,0,IF(WEEKDAY(DQ$6,1)=7,DQ72*DQ73,MAX(0,DQ73-8)*DQ72)))+((IF(DQ72&lt;=0,0,IF(WEEKDAY(DQ$6,1)=1,0,IF(WEEKDAY(DQ$6,1)=7,0,MIN(8,DQ73)*DQ72))))-MIN(IF(DQ72&lt;=0,0,IF(WEEKDAY(DQ$6,1)=1,0,IF(WEEKDAY(DQ$6,1)=7,0,MIN(8,DQ73)*DQ72))),MAX(0,40*MAX(1,DQ72)-(DL74+DM74+DN74+DO74+DP74)))))</f>
        <v>0</v>
      </c>
      <c r="DR75" s="64">
        <f>IF(AND(DR72=0,DR73=0),0,IF(DR72&lt;=0,0,IF(WEEKDAY(DR$6,1)=1,0,IF(WEEKDAY(DR$6,1)=7,DR72*DR73,MAX(0,DR73-8)*DR72)))+((IF(DR72&lt;=0,0,IF(WEEKDAY(DR$6,1)=1,0,IF(WEEKDAY(DR$6,1)=7,0,MIN(8,DR73)*DR72))))-MIN(IF(DR72&lt;=0,0,IF(WEEKDAY(DR$6,1)=1,0,IF(WEEKDAY(DR$6,1)=7,0,MIN(8,DR73)*DR72))),MAX(0,40*MAX(1,DR72)-(DL74+DM74+DN74+DO74+DP74+DQ74)))))</f>
        <v>0</v>
      </c>
      <c r="DS75" s="63">
        <f>IF(AND(DS72=0,DS73=0),0,IF(DS72&lt;=0,0,IF(WEEKDAY(DS$6,1)=1,0,IF(WEEKDAY(DS$6,1)=7,DS72*DS73,MAX(0,DS73-8)*DS72)))+((IF(DS72&lt;=0,0,IF(WEEKDAY(DS$6,1)=1,0,IF(WEEKDAY(DS$6,1)=7,0,MIN(8,DS73)*DS72))))-MIN(IF(DS72&lt;=0,0,IF(WEEKDAY(DS$6,1)=1,0,IF(WEEKDAY(DS$6,1)=7,0,MIN(8,DS73)*DS72))),MAX(0,40*MAX(1,DS72)-(0)))))</f>
        <v>0</v>
      </c>
      <c r="DT75" s="63">
        <f>IF(AND(DT72=0,DT73=0),0,IF(DT72&lt;=0,0,IF(WEEKDAY(DT$6,1)=1,0,IF(WEEKDAY(DT$6,1)=7,DT72*DT73,MAX(0,DT73-8)*DT72)))+((IF(DT72&lt;=0,0,IF(WEEKDAY(DT$6,1)=1,0,IF(WEEKDAY(DT$6,1)=7,0,MIN(8,DT73)*DT72))))-MIN(IF(DT72&lt;=0,0,IF(WEEKDAY(DT$6,1)=1,0,IF(WEEKDAY(DT$6,1)=7,0,MIN(8,DT73)*DT72))),MAX(0,40*MAX(1,DT72)-(DS74)))))</f>
        <v>0</v>
      </c>
      <c r="DU75" s="63">
        <f>IF(AND(DU72=0,DU73=0),0,IF(DU72&lt;=0,0,IF(WEEKDAY(DU$6,1)=1,0,IF(WEEKDAY(DU$6,1)=7,DU72*DU73,MAX(0,DU73-8)*DU72)))+((IF(DU72&lt;=0,0,IF(WEEKDAY(DU$6,1)=1,0,IF(WEEKDAY(DU$6,1)=7,0,MIN(8,DU73)*DU72))))-MIN(IF(DU72&lt;=0,0,IF(WEEKDAY(DU$6,1)=1,0,IF(WEEKDAY(DU$6,1)=7,0,MIN(8,DU73)*DU72))),MAX(0,40*MAX(1,DU72)-(DS74+DT74)))))</f>
        <v>0</v>
      </c>
      <c r="DV75" s="63">
        <f>IF(AND(DV72=0,DV73=0),0,IF(DV72&lt;=0,0,IF(WEEKDAY(DV$6,1)=1,0,IF(WEEKDAY(DV$6,1)=7,DV72*DV73,MAX(0,DV73-8)*DV72)))+((IF(DV72&lt;=0,0,IF(WEEKDAY(DV$6,1)=1,0,IF(WEEKDAY(DV$6,1)=7,0,MIN(8,DV73)*DV72))))-MIN(IF(DV72&lt;=0,0,IF(WEEKDAY(DV$6,1)=1,0,IF(WEEKDAY(DV$6,1)=7,0,MIN(8,DV73)*DV72))),MAX(0,40*MAX(1,DV72)-(DS74+DT74+DU74)))))</f>
        <v>0</v>
      </c>
      <c r="DW75" s="63">
        <f>IF(AND(DW72=0,DW73=0),0,IF(DW72&lt;=0,0,IF(WEEKDAY(DW$6,1)=1,0,IF(WEEKDAY(DW$6,1)=7,DW72*DW73,MAX(0,DW73-8)*DW72)))+((IF(DW72&lt;=0,0,IF(WEEKDAY(DW$6,1)=1,0,IF(WEEKDAY(DW$6,1)=7,0,MIN(8,DW73)*DW72))))-MIN(IF(DW72&lt;=0,0,IF(WEEKDAY(DW$6,1)=1,0,IF(WEEKDAY(DW$6,1)=7,0,MIN(8,DW73)*DW72))),MAX(0,40*MAX(1,DW72)-(DS74+DT74+DU74+DV74)))))</f>
        <v>0</v>
      </c>
      <c r="DX75" s="64">
        <f>IF(AND(DX72=0,DX73=0),0,IF(DX72&lt;=0,0,IF(WEEKDAY(DX$6,1)=1,0,IF(WEEKDAY(DX$6,1)=7,DX72*DX73,MAX(0,DX73-8)*DX72)))+((IF(DX72&lt;=0,0,IF(WEEKDAY(DX$6,1)=1,0,IF(WEEKDAY(DX$6,1)=7,0,MIN(8,DX73)*DX72))))-MIN(IF(DX72&lt;=0,0,IF(WEEKDAY(DX$6,1)=1,0,IF(WEEKDAY(DX$6,1)=7,0,MIN(8,DX73)*DX72))),MAX(0,40*MAX(1,DX72)-(DS74+DT74+DU74+DV74+DW74)))))</f>
        <v>0</v>
      </c>
      <c r="DY75" s="64">
        <f>IF(AND(DY72=0,DY73=0),0,IF(DY72&lt;=0,0,IF(WEEKDAY(DY$6,1)=1,0,IF(WEEKDAY(DY$6,1)=7,DY72*DY73,MAX(0,DY73-8)*DY72)))+((IF(DY72&lt;=0,0,IF(WEEKDAY(DY$6,1)=1,0,IF(WEEKDAY(DY$6,1)=7,0,MIN(8,DY73)*DY72))))-MIN(IF(DY72&lt;=0,0,IF(WEEKDAY(DY$6,1)=1,0,IF(WEEKDAY(DY$6,1)=7,0,MIN(8,DY73)*DY72))),MAX(0,40*MAX(1,DY72)-(DS74+DT74+DU74+DV74+DW74+DX74)))))</f>
        <v>0</v>
      </c>
      <c r="DZ75" s="63">
        <f>IF(AND(DZ72=0,DZ73=0),0,IF(DZ72&lt;=0,0,IF(WEEKDAY(DZ$6,1)=1,0,IF(WEEKDAY(DZ$6,1)=7,DZ72*DZ73,MAX(0,DZ73-8)*DZ72)))+((IF(DZ72&lt;=0,0,IF(WEEKDAY(DZ$6,1)=1,0,IF(WEEKDAY(DZ$6,1)=7,0,MIN(8,DZ73)*DZ72))))-MIN(IF(DZ72&lt;=0,0,IF(WEEKDAY(DZ$6,1)=1,0,IF(WEEKDAY(DZ$6,1)=7,0,MIN(8,DZ73)*DZ72))),MAX(0,40*MAX(1,DZ72)-(0)))))</f>
        <v>0</v>
      </c>
      <c r="EA75" s="63">
        <f>IF(AND(EA72=0,EA73=0),0,IF(EA72&lt;=0,0,IF(WEEKDAY(EA$6,1)=1,0,IF(WEEKDAY(EA$6,1)=7,EA72*EA73,MAX(0,EA73-8)*EA72)))+((IF(EA72&lt;=0,0,IF(WEEKDAY(EA$6,1)=1,0,IF(WEEKDAY(EA$6,1)=7,0,MIN(8,EA73)*EA72))))-MIN(IF(EA72&lt;=0,0,IF(WEEKDAY(EA$6,1)=1,0,IF(WEEKDAY(EA$6,1)=7,0,MIN(8,EA73)*EA72))),MAX(0,40*MAX(1,EA72)-(DZ74)))))</f>
        <v>0</v>
      </c>
      <c r="EB75" s="63">
        <f>IF(AND(EB72=0,EB73=0),0,IF(EB72&lt;=0,0,IF(WEEKDAY(EB$6,1)=1,0,IF(WEEKDAY(EB$6,1)=7,EB72*EB73,MAX(0,EB73-8)*EB72)))+((IF(EB72&lt;=0,0,IF(WEEKDAY(EB$6,1)=1,0,IF(WEEKDAY(EB$6,1)=7,0,MIN(8,EB73)*EB72))))-MIN(IF(EB72&lt;=0,0,IF(WEEKDAY(EB$6,1)=1,0,IF(WEEKDAY(EB$6,1)=7,0,MIN(8,EB73)*EB72))),MAX(0,40*MAX(1,EB72)-(DZ74+EA74)))))</f>
        <v>0</v>
      </c>
      <c r="EC75" s="63">
        <f>IF(AND(EC72=0,EC73=0),0,IF(EC72&lt;=0,0,IF(WEEKDAY(EC$6,1)=1,0,IF(WEEKDAY(EC$6,1)=7,EC72*EC73,MAX(0,EC73-8)*EC72)))+((IF(EC72&lt;=0,0,IF(WEEKDAY(EC$6,1)=1,0,IF(WEEKDAY(EC$6,1)=7,0,MIN(8,EC73)*EC72))))-MIN(IF(EC72&lt;=0,0,IF(WEEKDAY(EC$6,1)=1,0,IF(WEEKDAY(EC$6,1)=7,0,MIN(8,EC73)*EC72))),MAX(0,40*MAX(1,EC72)-(DZ74+EA74+EB74)))))</f>
        <v>0</v>
      </c>
      <c r="ED75" s="63">
        <f>IF(AND(ED72=0,ED73=0),0,IF(ED72&lt;=0,0,IF(WEEKDAY(ED$6,1)=1,0,IF(WEEKDAY(ED$6,1)=7,ED72*ED73,MAX(0,ED73-8)*ED72)))+((IF(ED72&lt;=0,0,IF(WEEKDAY(ED$6,1)=1,0,IF(WEEKDAY(ED$6,1)=7,0,MIN(8,ED73)*ED72))))-MIN(IF(ED72&lt;=0,0,IF(WEEKDAY(ED$6,1)=1,0,IF(WEEKDAY(ED$6,1)=7,0,MIN(8,ED73)*ED72))),MAX(0,40*MAX(1,ED72)-(DZ74+EA74+EB74+EC74)))))</f>
        <v>0</v>
      </c>
      <c r="EE75" s="64">
        <f>IF(AND(EE72=0,EE73=0),0,IF(EE72&lt;=0,0,IF(WEEKDAY(EE$6,1)=1,0,IF(WEEKDAY(EE$6,1)=7,EE72*EE73,MAX(0,EE73-8)*EE72)))+((IF(EE72&lt;=0,0,IF(WEEKDAY(EE$6,1)=1,0,IF(WEEKDAY(EE$6,1)=7,0,MIN(8,EE73)*EE72))))-MIN(IF(EE72&lt;=0,0,IF(WEEKDAY(EE$6,1)=1,0,IF(WEEKDAY(EE$6,1)=7,0,MIN(8,EE73)*EE72))),MAX(0,40*MAX(1,EE72)-(DZ74+EA74+EB74+EC74+ED74)))))</f>
        <v>0</v>
      </c>
      <c r="EF75" s="64">
        <f>IF(AND(EF72=0,EF73=0),0,IF(EF72&lt;=0,0,IF(WEEKDAY(EF$6,1)=1,0,IF(WEEKDAY(EF$6,1)=7,EF72*EF73,MAX(0,EF73-8)*EF72)))+((IF(EF72&lt;=0,0,IF(WEEKDAY(EF$6,1)=1,0,IF(WEEKDAY(EF$6,1)=7,0,MIN(8,EF73)*EF72))))-MIN(IF(EF72&lt;=0,0,IF(WEEKDAY(EF$6,1)=1,0,IF(WEEKDAY(EF$6,1)=7,0,MIN(8,EF73)*EF72))),MAX(0,40*MAX(1,EF72)-(DZ74+EA74+EB74+EC74+ED74+EE74)))))</f>
        <v>0</v>
      </c>
      <c r="EG75" s="63">
        <f>IF(AND(EG72=0,EG73=0),0,IF(EG72&lt;=0,0,IF(WEEKDAY(EG$6,1)=1,0,IF(WEEKDAY(EG$6,1)=7,EG72*EG73,MAX(0,EG73-8)*EG72)))+((IF(EG72&lt;=0,0,IF(WEEKDAY(EG$6,1)=1,0,IF(WEEKDAY(EG$6,1)=7,0,MIN(8,EG73)*EG72))))-MIN(IF(EG72&lt;=0,0,IF(WEEKDAY(EG$6,1)=1,0,IF(WEEKDAY(EG$6,1)=7,0,MIN(8,EG73)*EG72))),MAX(0,40*MAX(1,EG72)-(0)))))</f>
        <v>0</v>
      </c>
      <c r="EH75" s="63">
        <f>IF(AND(EH72=0,EH73=0),0,IF(EH72&lt;=0,0,IF(WEEKDAY(EH$6,1)=1,0,IF(WEEKDAY(EH$6,1)=7,EH72*EH73,MAX(0,EH73-8)*EH72)))+((IF(EH72&lt;=0,0,IF(WEEKDAY(EH$6,1)=1,0,IF(WEEKDAY(EH$6,1)=7,0,MIN(8,EH73)*EH72))))-MIN(IF(EH72&lt;=0,0,IF(WEEKDAY(EH$6,1)=1,0,IF(WEEKDAY(EH$6,1)=7,0,MIN(8,EH73)*EH72))),MAX(0,40*MAX(1,EH72)-(EG74)))))</f>
        <v>0</v>
      </c>
      <c r="EI75" s="63">
        <f>IF(AND(EI72=0,EI73=0),0,IF(EI72&lt;=0,0,IF(WEEKDAY(EI$6,1)=1,0,IF(WEEKDAY(EI$6,1)=7,EI72*EI73,MAX(0,EI73-8)*EI72)))+((IF(EI72&lt;=0,0,IF(WEEKDAY(EI$6,1)=1,0,IF(WEEKDAY(EI$6,1)=7,0,MIN(8,EI73)*EI72))))-MIN(IF(EI72&lt;=0,0,IF(WEEKDAY(EI$6,1)=1,0,IF(WEEKDAY(EI$6,1)=7,0,MIN(8,EI73)*EI72))),MAX(0,40*MAX(1,EI72)-(EG74+EH74)))))</f>
        <v>0</v>
      </c>
      <c r="EJ75" s="63">
        <f>IF(AND(EJ72=0,EJ73=0),0,IF(EJ72&lt;=0,0,IF(WEEKDAY(EJ$6,1)=1,0,IF(WEEKDAY(EJ$6,1)=7,EJ72*EJ73,MAX(0,EJ73-8)*EJ72)))+((IF(EJ72&lt;=0,0,IF(WEEKDAY(EJ$6,1)=1,0,IF(WEEKDAY(EJ$6,1)=7,0,MIN(8,EJ73)*EJ72))))-MIN(IF(EJ72&lt;=0,0,IF(WEEKDAY(EJ$6,1)=1,0,IF(WEEKDAY(EJ$6,1)=7,0,MIN(8,EJ73)*EJ72))),MAX(0,40*MAX(1,EJ72)-(EG74+EH74+EI74)))))</f>
        <v>0</v>
      </c>
      <c r="EK75" s="65">
        <f>IF(AND(EK72=0,EK73=0),0,IF(EK72&lt;=0,0,IF(WEEKDAY(EK$6,1)=1,0,IF(WEEKDAY(EK$6,1)=7,EK72*EK73,MAX(0,EK73-8)*EK72)))+((IF(EK72&lt;=0,0,IF(WEEKDAY(EK$6,1)=1,0,IF(WEEKDAY(EK$6,1)=7,0,MIN(8,EK73)*EK72))))-MIN(IF(EK72&lt;=0,0,IF(WEEKDAY(EK$6,1)=1,0,IF(WEEKDAY(EK$6,1)=7,0,MIN(8,EK73)*EK72))),MAX(0,40*MAX(1,EK72)-(EG74+EH74+EI74+EJ74)))))</f>
        <v>0</v>
      </c>
      <c r="OU75" s="28" t="s">
        <v>131</v>
      </c>
    </row>
    <row r="76" ht="16" customHeight="1" spans="1:411" x14ac:dyDescent="0.25">
      <c r="A76" s="45"/>
      <c r="B76" s="79"/>
      <c r="C76" s="61">
        <f>H71*N(D76)</f>
        <v>0</v>
      </c>
      <c r="D76" s="61">
        <f>IF(TRIM(IF(TRIM(B75)&lt;&gt;"",B75,B71))="","No rate",IFERROR(INDEX('Rate Tables'!E$7:E$158,MATCH(IF(TRIM(B75)&lt;&gt;"",B75,B71),'Rate Tables'!A$7:A$158,0)),"No rate"))</f>
        <v>197.19</v>
      </c>
      <c r="E76" s="55" t="s">
        <v>64</v>
      </c>
      <c r="F76" s="49"/>
      <c r="G76" s="49"/>
      <c r="H76" s="49"/>
      <c r="I76" s="49"/>
      <c r="J76" s="50"/>
      <c r="K76" s="62">
        <f>IF(AND(K72=0,K73=0),0,IF(K72&lt;=0,0,IF(WEEKDAY(K$6,1)=1,K72*K73,0)))</f>
        <v>0</v>
      </c>
      <c r="L76" s="63">
        <f>IF(AND(L72=0,L73=0),0,IF(L72&lt;=0,0,IF(WEEKDAY(L$6,1)=1,L72*L73,0)))</f>
        <v>0</v>
      </c>
      <c r="M76" s="63">
        <f>IF(AND(M72=0,M73=0),0,IF(M72&lt;=0,0,IF(WEEKDAY(M$6,1)=1,M72*M73,0)))</f>
        <v>0</v>
      </c>
      <c r="N76" s="63">
        <f>IF(AND(N72=0,N73=0),0,IF(N72&lt;=0,0,IF(WEEKDAY(N$6,1)=1,N72*N73,0)))</f>
        <v>0</v>
      </c>
      <c r="O76" s="63">
        <f>IF(AND(O72=0,O73=0),0,IF(O72&lt;=0,0,IF(WEEKDAY(O$6,1)=1,O72*O73,0)))</f>
        <v>0</v>
      </c>
      <c r="P76" s="64">
        <f>IF(AND(P72=0,P73=0),0,IF(P72&lt;=0,0,IF(WEEKDAY(P$6,1)=1,P72*P73,0)))</f>
        <v>0</v>
      </c>
      <c r="Q76" s="64">
        <f>IF(AND(Q72=0,Q73=0),0,IF(Q72&lt;=0,0,IF(WEEKDAY(Q$6,1)=1,Q72*Q73,0)))</f>
        <v>0</v>
      </c>
      <c r="R76" s="63">
        <f>IF(AND(R72=0,R73=0),0,IF(R72&lt;=0,0,IF(WEEKDAY(R$6,1)=1,R72*R73,0)))</f>
        <v>0</v>
      </c>
      <c r="S76" s="63">
        <f>IF(AND(S72=0,S73=0),0,IF(S72&lt;=0,0,IF(WEEKDAY(S$6,1)=1,S72*S73,0)))</f>
        <v>0</v>
      </c>
      <c r="T76" s="63">
        <f>IF(AND(T72=0,T73=0),0,IF(T72&lt;=0,0,IF(WEEKDAY(T$6,1)=1,T72*T73,0)))</f>
        <v>0</v>
      </c>
      <c r="U76" s="63">
        <f>IF(AND(U72=0,U73=0),0,IF(U72&lt;=0,0,IF(WEEKDAY(U$6,1)=1,U72*U73,0)))</f>
        <v>0</v>
      </c>
      <c r="V76" s="63">
        <f>IF(AND(V72=0,V73=0),0,IF(V72&lt;=0,0,IF(WEEKDAY(V$6,1)=1,V72*V73,0)))</f>
        <v>0</v>
      </c>
      <c r="W76" s="64">
        <f>IF(AND(W72=0,W73=0),0,IF(W72&lt;=0,0,IF(WEEKDAY(W$6,1)=1,W72*W73,0)))</f>
        <v>0</v>
      </c>
      <c r="X76" s="64">
        <f>IF(AND(X72=0,X73=0),0,IF(X72&lt;=0,0,IF(WEEKDAY(X$6,1)=1,X72*X73,0)))</f>
        <v>0</v>
      </c>
      <c r="Y76" s="63">
        <f>IF(AND(Y72=0,Y73=0),0,IF(Y72&lt;=0,0,IF(WEEKDAY(Y$6,1)=1,Y72*Y73,0)))</f>
        <v>0</v>
      </c>
      <c r="Z76" s="63">
        <f>IF(AND(Z72=0,Z73=0),0,IF(Z72&lt;=0,0,IF(WEEKDAY(Z$6,1)=1,Z72*Z73,0)))</f>
        <v>0</v>
      </c>
      <c r="AA76" s="63">
        <f>IF(AND(AA72=0,AA73=0),0,IF(AA72&lt;=0,0,IF(WEEKDAY(AA$6,1)=1,AA72*AA73,0)))</f>
        <v>0</v>
      </c>
      <c r="AB76" s="63">
        <f>IF(AND(AB72=0,AB73=0),0,IF(AB72&lt;=0,0,IF(WEEKDAY(AB$6,1)=1,AB72*AB73,0)))</f>
        <v>0</v>
      </c>
      <c r="AC76" s="63">
        <f>IF(AND(AC72=0,AC73=0),0,IF(AC72&lt;=0,0,IF(WEEKDAY(AC$6,1)=1,AC72*AC73,0)))</f>
        <v>0</v>
      </c>
      <c r="AD76" s="64">
        <f>IF(AND(AD72=0,AD73=0),0,IF(AD72&lt;=0,0,IF(WEEKDAY(AD$6,1)=1,AD72*AD73,0)))</f>
        <v>0</v>
      </c>
      <c r="AE76" s="64">
        <f>IF(AND(AE72=0,AE73=0),0,IF(AE72&lt;=0,0,IF(WEEKDAY(AE$6,1)=1,AE72*AE73,0)))</f>
        <v>0</v>
      </c>
      <c r="AF76" s="63">
        <f>IF(AND(AF72=0,AF73=0),0,IF(AF72&lt;=0,0,IF(WEEKDAY(AF$6,1)=1,AF72*AF73,0)))</f>
        <v>0</v>
      </c>
      <c r="AG76" s="63">
        <f>IF(AND(AG72=0,AG73=0),0,IF(AG72&lt;=0,0,IF(WEEKDAY(AG$6,1)=1,AG72*AG73,0)))</f>
        <v>0</v>
      </c>
      <c r="AH76" s="63">
        <f>IF(AND(AH72=0,AH73=0),0,IF(AH72&lt;=0,0,IF(WEEKDAY(AH$6,1)=1,AH72*AH73,0)))</f>
        <v>0</v>
      </c>
      <c r="AI76" s="63">
        <f>IF(AND(AI72=0,AI73=0),0,IF(AI72&lt;=0,0,IF(WEEKDAY(AI$6,1)=1,AI72*AI73,0)))</f>
        <v>0</v>
      </c>
      <c r="AJ76" s="63">
        <f>IF(AND(AJ72=0,AJ73=0),0,IF(AJ72&lt;=0,0,IF(WEEKDAY(AJ$6,1)=1,AJ72*AJ73,0)))</f>
        <v>0</v>
      </c>
      <c r="AK76" s="64">
        <f>IF(AND(AK72=0,AK73=0),0,IF(AK72&lt;=0,0,IF(WEEKDAY(AK$6,1)=1,AK72*AK73,0)))</f>
        <v>0</v>
      </c>
      <c r="AL76" s="64">
        <f>IF(AND(AL72=0,AL73=0),0,IF(AL72&lt;=0,0,IF(WEEKDAY(AL$6,1)=1,AL72*AL73,0)))</f>
        <v>0</v>
      </c>
      <c r="AM76" s="63">
        <f>IF(AND(AM72=0,AM73=0),0,IF(AM72&lt;=0,0,IF(WEEKDAY(AM$6,1)=1,AM72*AM73,0)))</f>
        <v>0</v>
      </c>
      <c r="AN76" s="63">
        <f>IF(AND(AN72=0,AN73=0),0,IF(AN72&lt;=0,0,IF(WEEKDAY(AN$6,1)=1,AN72*AN73,0)))</f>
        <v>0</v>
      </c>
      <c r="AO76" s="63">
        <f>IF(AND(AO72=0,AO73=0),0,IF(AO72&lt;=0,0,IF(WEEKDAY(AO$6,1)=1,AO72*AO73,0)))</f>
        <v>0</v>
      </c>
      <c r="AP76" s="63">
        <f>IF(AND(AP72=0,AP73=0),0,IF(AP72&lt;=0,0,IF(WEEKDAY(AP$6,1)=1,AP72*AP73,0)))</f>
        <v>0</v>
      </c>
      <c r="AQ76" s="63">
        <f>IF(AND(AQ72=0,AQ73=0),0,IF(AQ72&lt;=0,0,IF(WEEKDAY(AQ$6,1)=1,AQ72*AQ73,0)))</f>
        <v>0</v>
      </c>
      <c r="AR76" s="64">
        <f>IF(AND(AR72=0,AR73=0),0,IF(AR72&lt;=0,0,IF(WEEKDAY(AR$6,1)=1,AR72*AR73,0)))</f>
        <v>0</v>
      </c>
      <c r="AS76" s="64">
        <f>IF(AND(AS72=0,AS73=0),0,IF(AS72&lt;=0,0,IF(WEEKDAY(AS$6,1)=1,AS72*AS73,0)))</f>
        <v>0</v>
      </c>
      <c r="AT76" s="63">
        <f>IF(AND(AT72=0,AT73=0),0,IF(AT72&lt;=0,0,IF(WEEKDAY(AT$6,1)=1,AT72*AT73,0)))</f>
        <v>0</v>
      </c>
      <c r="AU76" s="63">
        <f>IF(AND(AU72=0,AU73=0),0,IF(AU72&lt;=0,0,IF(WEEKDAY(AU$6,1)=1,AU72*AU73,0)))</f>
        <v>0</v>
      </c>
      <c r="AV76" s="63">
        <f>IF(AND(AV72=0,AV73=0),0,IF(AV72&lt;=0,0,IF(WEEKDAY(AV$6,1)=1,AV72*AV73,0)))</f>
        <v>0</v>
      </c>
      <c r="AW76" s="63">
        <f>IF(AND(AW72=0,AW73=0),0,IF(AW72&lt;=0,0,IF(WEEKDAY(AW$6,1)=1,AW72*AW73,0)))</f>
        <v>0</v>
      </c>
      <c r="AX76" s="63">
        <f>IF(AND(AX72=0,AX73=0),0,IF(AX72&lt;=0,0,IF(WEEKDAY(AX$6,1)=1,AX72*AX73,0)))</f>
        <v>0</v>
      </c>
      <c r="AY76" s="64">
        <f>IF(AND(AY72=0,AY73=0),0,IF(AY72&lt;=0,0,IF(WEEKDAY(AY$6,1)=1,AY72*AY73,0)))</f>
        <v>0</v>
      </c>
      <c r="AZ76" s="64">
        <f>IF(AND(AZ72=0,AZ73=0),0,IF(AZ72&lt;=0,0,IF(WEEKDAY(AZ$6,1)=1,AZ72*AZ73,0)))</f>
        <v>0</v>
      </c>
      <c r="BA76" s="63">
        <f>IF(AND(BA72=5,BA73=8),0,IF(BA72&lt;=0,0,IF(WEEKDAY(BA$6,1)=1,BA72*BA73,0)))</f>
        <v>0</v>
      </c>
      <c r="BB76" s="63">
        <f>IF(AND(BB72=5,BB73=8),0,IF(BB72&lt;=0,0,IF(WEEKDAY(BB$6,1)=1,BB72*BB73,0)))</f>
        <v>0</v>
      </c>
      <c r="BC76" s="63">
        <f>IF(AND(BC72=5,BC73=8),0,IF(BC72&lt;=0,0,IF(WEEKDAY(BC$6,1)=1,BC72*BC73,0)))</f>
        <v>0</v>
      </c>
      <c r="BD76" s="63">
        <f>IF(AND(BD72=5,BD73=8),0,IF(BD72&lt;=0,0,IF(WEEKDAY(BD$6,1)=1,BD72*BD73,0)))</f>
        <v>0</v>
      </c>
      <c r="BE76" s="63">
        <f>IF(AND(BE72=5,BE73=8),0,IF(BE72&lt;=0,0,IF(WEEKDAY(BE$6,1)=1,BE72*BE73,0)))</f>
        <v>0</v>
      </c>
      <c r="BF76" s="64">
        <f>IF(AND(BF72=0,BF73=0),0,IF(BF72&lt;=0,0,IF(WEEKDAY(BF$6,1)=1,BF72*BF73,0)))</f>
        <v>0</v>
      </c>
      <c r="BG76" s="64">
        <f>IF(AND(BG72=0,BG73=0),0,IF(BG72&lt;=0,0,IF(WEEKDAY(BG$6,1)=1,BG72*BG73,0)))</f>
        <v>0</v>
      </c>
      <c r="BH76" s="63">
        <f>IF(AND(BH72=0,BH73=0),0,IF(BH72&lt;=0,0,IF(WEEKDAY(BH$6,1)=1,BH72*BH73,0)))</f>
        <v>0</v>
      </c>
      <c r="BI76" s="63">
        <f>IF(AND(BI72=0,BI73=0),0,IF(BI72&lt;=0,0,IF(WEEKDAY(BI$6,1)=1,BI72*BI73,0)))</f>
        <v>0</v>
      </c>
      <c r="BJ76" s="63">
        <f>IF(AND(BJ72=0,BJ73=0),0,IF(BJ72&lt;=0,0,IF(WEEKDAY(BJ$6,1)=1,BJ72*BJ73,0)))</f>
        <v>0</v>
      </c>
      <c r="BK76" s="63">
        <f>IF(AND(BK72=0,BK73=0),0,IF(BK72&lt;=0,0,IF(WEEKDAY(BK$6,1)=1,BK72*BK73,0)))</f>
        <v>0</v>
      </c>
      <c r="BL76" s="63">
        <f>IF(AND(BL72=0,BL73=0),0,IF(BL72&lt;=0,0,IF(WEEKDAY(BL$6,1)=1,BL72*BL73,0)))</f>
        <v>0</v>
      </c>
      <c r="BM76" s="64">
        <f>IF(AND(BM72=0,BM73=0),0,IF(BM72&lt;=0,0,IF(WEEKDAY(BM$6,1)=1,BM72*BM73,0)))</f>
        <v>0</v>
      </c>
      <c r="BN76" s="64">
        <f>IF(AND(BN72=0,BN73=0),0,IF(BN72&lt;=0,0,IF(WEEKDAY(BN$6,1)=1,BN72*BN73,0)))</f>
        <v>0</v>
      </c>
      <c r="BO76" s="63">
        <f>IF(AND(BO72=0,BO73=0),0,IF(BO72&lt;=0,0,IF(WEEKDAY(BO$6,1)=1,BO72*BO73,0)))</f>
        <v>0</v>
      </c>
      <c r="BP76" s="63">
        <f>IF(AND(BP72=0,BP73=0),0,IF(BP72&lt;=0,0,IF(WEEKDAY(BP$6,1)=1,BP72*BP73,0)))</f>
        <v>0</v>
      </c>
      <c r="BQ76" s="63">
        <f>IF(AND(BQ72=0,BQ73=0),0,IF(BQ72&lt;=0,0,IF(WEEKDAY(BQ$6,1)=1,BQ72*BQ73,0)))</f>
        <v>0</v>
      </c>
      <c r="BR76" s="63">
        <f>IF(AND(BR72=0,BR73=0),0,IF(BR72&lt;=0,0,IF(WEEKDAY(BR$6,1)=1,BR72*BR73,0)))</f>
        <v>0</v>
      </c>
      <c r="BS76" s="63">
        <f>IF(AND(BS72=0,BS73=0),0,IF(BS72&lt;=0,0,IF(WEEKDAY(BS$6,1)=1,BS72*BS73,0)))</f>
        <v>0</v>
      </c>
      <c r="BT76" s="64">
        <f>IF(AND(BT72=0,BT73=0),0,IF(BT72&lt;=0,0,IF(WEEKDAY(BT$6,1)=1,BT72*BT73,0)))</f>
        <v>0</v>
      </c>
      <c r="BU76" s="64">
        <f>IF(AND(BU72=0,BU73=0),0,IF(BU72&lt;=0,0,IF(WEEKDAY(BU$6,1)=1,BU72*BU73,0)))</f>
        <v>0</v>
      </c>
      <c r="BV76" s="63">
        <f>IF(AND(BV72=0,BV73=0),0,IF(BV72&lt;=0,0,IF(WEEKDAY(BV$6,1)=1,BV72*BV73,0)))</f>
        <v>0</v>
      </c>
      <c r="BW76" s="63">
        <f>IF(AND(BW72=0,BW73=0),0,IF(BW72&lt;=0,0,IF(WEEKDAY(BW$6,1)=1,BW72*BW73,0)))</f>
        <v>0</v>
      </c>
      <c r="BX76" s="63">
        <f>IF(AND(BX72=0,BX73=0),0,IF(BX72&lt;=0,0,IF(WEEKDAY(BX$6,1)=1,BX72*BX73,0)))</f>
        <v>0</v>
      </c>
      <c r="BY76" s="63">
        <f>IF(AND(BY72=0,BY73=0),0,IF(BY72&lt;=0,0,IF(WEEKDAY(BY$6,1)=1,BY72*BY73,0)))</f>
        <v>0</v>
      </c>
      <c r="BZ76" s="63">
        <f>IF(AND(BZ72=0,BZ73=0),0,IF(BZ72&lt;=0,0,IF(WEEKDAY(BZ$6,1)=1,BZ72*BZ73,0)))</f>
        <v>0</v>
      </c>
      <c r="CA76" s="64">
        <f>IF(AND(CA72=0,CA73=0),0,IF(CA72&lt;=0,0,IF(WEEKDAY(CA$6,1)=1,CA72*CA73,0)))</f>
        <v>0</v>
      </c>
      <c r="CB76" s="64">
        <f>IF(AND(CB72=0,CB73=0),0,IF(CB72&lt;=0,0,IF(WEEKDAY(CB$6,1)=1,CB72*CB73,0)))</f>
        <v>0</v>
      </c>
      <c r="CC76" s="63">
        <f>IF(AND(CC72=0,CC73=0),0,IF(CC72&lt;=0,0,IF(WEEKDAY(CC$6,1)=1,CC72*CC73,0)))</f>
        <v>0</v>
      </c>
      <c r="CD76" s="63">
        <f>IF(AND(CD72=0,CD73=0),0,IF(CD72&lt;=0,0,IF(WEEKDAY(CD$6,1)=1,CD72*CD73,0)))</f>
        <v>0</v>
      </c>
      <c r="CE76" s="63">
        <f>IF(AND(CE72=0,CE73=0),0,IF(CE72&lt;=0,0,IF(WEEKDAY(CE$6,1)=1,CE72*CE73,0)))</f>
        <v>0</v>
      </c>
      <c r="CF76" s="63">
        <f>IF(AND(CF72=0,CF73=0),0,IF(CF72&lt;=0,0,IF(WEEKDAY(CF$6,1)=1,CF72*CF73,0)))</f>
        <v>0</v>
      </c>
      <c r="CG76" s="63">
        <f>IF(AND(CG72=0,CG73=0),0,IF(CG72&lt;=0,0,IF(WEEKDAY(CG$6,1)=1,CG72*CG73,0)))</f>
        <v>0</v>
      </c>
      <c r="CH76" s="64">
        <f>IF(AND(CH72=0,CH73=0),0,IF(CH72&lt;=0,0,IF(WEEKDAY(CH$6,1)=1,CH72*CH73,0)))</f>
        <v>0</v>
      </c>
      <c r="CI76" s="64">
        <f>IF(AND(CI72=0,CI73=0),0,IF(CI72&lt;=0,0,IF(WEEKDAY(CI$6,1)=1,CI72*CI73,0)))</f>
        <v>0</v>
      </c>
      <c r="CJ76" s="63">
        <f>IF(AND(CJ72=0,CJ73=0),0,IF(CJ72&lt;=0,0,IF(WEEKDAY(CJ$6,1)=1,CJ72*CJ73,0)))</f>
        <v>0</v>
      </c>
      <c r="CK76" s="63">
        <f>IF(AND(CK72=0,CK73=0),0,IF(CK72&lt;=0,0,IF(WEEKDAY(CK$6,1)=1,CK72*CK73,0)))</f>
        <v>0</v>
      </c>
      <c r="CL76" s="63">
        <f>IF(AND(CL72=0,CL73=0),0,IF(CL72&lt;=0,0,IF(WEEKDAY(CL$6,1)=1,CL72*CL73,0)))</f>
        <v>0</v>
      </c>
      <c r="CM76" s="63">
        <f>IF(AND(CM72=0,CM73=0),0,IF(CM72&lt;=0,0,IF(WEEKDAY(CM$6,1)=1,CM72*CM73,0)))</f>
        <v>0</v>
      </c>
      <c r="CN76" s="63">
        <f>IF(AND(CN72=0,CN73=0),0,IF(CN72&lt;=0,0,IF(WEEKDAY(CN$6,1)=1,CN72*CN73,0)))</f>
        <v>0</v>
      </c>
      <c r="CO76" s="64">
        <f>IF(AND(CO72=0,CO73=0),0,IF(CO72&lt;=0,0,IF(WEEKDAY(CO$6,1)=1,CO72*CO73,0)))</f>
        <v>0</v>
      </c>
      <c r="CP76" s="64">
        <f>IF(AND(CP72=0,CP73=0),0,IF(CP72&lt;=0,0,IF(WEEKDAY(CP$6,1)=1,CP72*CP73,0)))</f>
        <v>0</v>
      </c>
      <c r="CQ76" s="63">
        <f>IF(AND(CQ72=0,CQ73=0),0,IF(CQ72&lt;=0,0,IF(WEEKDAY(CQ$6,1)=1,CQ72*CQ73,0)))</f>
        <v>0</v>
      </c>
      <c r="CR76" s="63">
        <f>IF(AND(CR72=0,CR73=0),0,IF(CR72&lt;=0,0,IF(WEEKDAY(CR$6,1)=1,CR72*CR73,0)))</f>
        <v>0</v>
      </c>
      <c r="CS76" s="63">
        <f>IF(AND(CS72=0,CS73=0),0,IF(CS72&lt;=0,0,IF(WEEKDAY(CS$6,1)=1,CS72*CS73,0)))</f>
        <v>0</v>
      </c>
      <c r="CT76" s="63">
        <f>IF(AND(CT72=0,CT73=0),0,IF(CT72&lt;=0,0,IF(WEEKDAY(CT$6,1)=1,CT72*CT73,0)))</f>
        <v>0</v>
      </c>
      <c r="CU76" s="63">
        <f>IF(AND(CU72=0,CU73=0),0,IF(CU72&lt;=0,0,IF(WEEKDAY(CU$6,1)=1,CU72*CU73,0)))</f>
        <v>0</v>
      </c>
      <c r="CV76" s="64">
        <f>IF(AND(CV72=0,CV73=0),0,IF(CV72&lt;=0,0,IF(WEEKDAY(CV$6,1)=1,CV72*CV73,0)))</f>
        <v>0</v>
      </c>
      <c r="CW76" s="64">
        <f>IF(AND(CW72=0,CW73=0),0,IF(CW72&lt;=0,0,IF(WEEKDAY(CW$6,1)=1,CW72*CW73,0)))</f>
        <v>0</v>
      </c>
      <c r="CX76" s="63">
        <f>IF(AND(CX72=0,CX73=0),0,IF(CX72&lt;=0,0,IF(WEEKDAY(CX$6,1)=1,CX72*CX73,0)))</f>
        <v>0</v>
      </c>
      <c r="CY76" s="63">
        <f>IF(AND(CY72=0,CY73=0),0,IF(CY72&lt;=0,0,IF(WEEKDAY(CY$6,1)=1,CY72*CY73,0)))</f>
        <v>0</v>
      </c>
      <c r="CZ76" s="63">
        <f>IF(AND(CZ72=0,CZ73=0),0,IF(CZ72&lt;=0,0,IF(WEEKDAY(CZ$6,1)=1,CZ72*CZ73,0)))</f>
        <v>0</v>
      </c>
      <c r="DA76" s="63">
        <f>IF(AND(DA72=0,DA73=0),0,IF(DA72&lt;=0,0,IF(WEEKDAY(DA$6,1)=1,DA72*DA73,0)))</f>
        <v>0</v>
      </c>
      <c r="DB76" s="63">
        <f>IF(AND(DB72=0,DB73=0),0,IF(DB72&lt;=0,0,IF(WEEKDAY(DB$6,1)=1,DB72*DB73,0)))</f>
        <v>0</v>
      </c>
      <c r="DC76" s="64">
        <f>IF(AND(DC72=0,DC73=0),0,IF(DC72&lt;=0,0,IF(WEEKDAY(DC$6,1)=1,DC72*DC73,0)))</f>
        <v>0</v>
      </c>
      <c r="DD76" s="64">
        <f>IF(AND(DD72=0,DD73=0),0,IF(DD72&lt;=0,0,IF(WEEKDAY(DD$6,1)=1,DD72*DD73,0)))</f>
        <v>0</v>
      </c>
      <c r="DE76" s="63">
        <f>IF(AND(DE72=0,DE73=0),0,IF(DE72&lt;=0,0,IF(WEEKDAY(DE$6,1)=1,DE72*DE73,0)))</f>
        <v>0</v>
      </c>
      <c r="DF76" s="63">
        <f>IF(AND(DF72=0,DF73=0),0,IF(DF72&lt;=0,0,IF(WEEKDAY(DF$6,1)=1,DF72*DF73,0)))</f>
        <v>0</v>
      </c>
      <c r="DG76" s="63">
        <f>IF(AND(DG72=0,DG73=0),0,IF(DG72&lt;=0,0,IF(WEEKDAY(DG$6,1)=1,DG72*DG73,0)))</f>
        <v>0</v>
      </c>
      <c r="DH76" s="63">
        <f>IF(AND(DH72=0,DH73=0),0,IF(DH72&lt;=0,0,IF(WEEKDAY(DH$6,1)=1,DH72*DH73,0)))</f>
        <v>0</v>
      </c>
      <c r="DI76" s="63">
        <f>IF(AND(DI72=0,DI73=0),0,IF(DI72&lt;=0,0,IF(WEEKDAY(DI$6,1)=1,DI72*DI73,0)))</f>
        <v>0</v>
      </c>
      <c r="DJ76" s="64">
        <f>IF(AND(DJ72=0,DJ73=0),0,IF(DJ72&lt;=0,0,IF(WEEKDAY(DJ$6,1)=1,DJ72*DJ73,0)))</f>
        <v>0</v>
      </c>
      <c r="DK76" s="64">
        <f>IF(AND(DK72=0,DK73=0),0,IF(DK72&lt;=0,0,IF(WEEKDAY(DK$6,1)=1,DK72*DK73,0)))</f>
        <v>0</v>
      </c>
      <c r="DL76" s="63">
        <f>IF(AND(DL72=0,DL73=0),0,IF(DL72&lt;=0,0,IF(WEEKDAY(DL$6,1)=1,DL72*DL73,0)))</f>
        <v>0</v>
      </c>
      <c r="DM76" s="63">
        <f>IF(AND(DM72=0,DM73=0),0,IF(DM72&lt;=0,0,IF(WEEKDAY(DM$6,1)=1,DM72*DM73,0)))</f>
        <v>0</v>
      </c>
      <c r="DN76" s="63">
        <f>IF(AND(DN72=0,DN73=0),0,IF(DN72&lt;=0,0,IF(WEEKDAY(DN$6,1)=1,DN72*DN73,0)))</f>
        <v>0</v>
      </c>
      <c r="DO76" s="63">
        <f>IF(AND(DO72=0,DO73=0),0,IF(DO72&lt;=0,0,IF(WEEKDAY(DO$6,1)=1,DO72*DO73,0)))</f>
        <v>0</v>
      </c>
      <c r="DP76" s="63">
        <f>IF(AND(DP72=0,DP73=0),0,IF(DP72&lt;=0,0,IF(WEEKDAY(DP$6,1)=1,DP72*DP73,0)))</f>
        <v>0</v>
      </c>
      <c r="DQ76" s="64">
        <f>IF(AND(DQ72=0,DQ73=0),0,IF(DQ72&lt;=0,0,IF(WEEKDAY(DQ$6,1)=1,DQ72*DQ73,0)))</f>
        <v>0</v>
      </c>
      <c r="DR76" s="64">
        <f>IF(AND(DR72=0,DR73=0),0,IF(DR72&lt;=0,0,IF(WEEKDAY(DR$6,1)=1,DR72*DR73,0)))</f>
        <v>0</v>
      </c>
      <c r="DS76" s="63">
        <f>IF(AND(DS72=0,DS73=0),0,IF(DS72&lt;=0,0,IF(WEEKDAY(DS$6,1)=1,DS72*DS73,0)))</f>
        <v>0</v>
      </c>
      <c r="DT76" s="63">
        <f>IF(AND(DT72=0,DT73=0),0,IF(DT72&lt;=0,0,IF(WEEKDAY(DT$6,1)=1,DT72*DT73,0)))</f>
        <v>0</v>
      </c>
      <c r="DU76" s="63">
        <f>IF(AND(DU72=0,DU73=0),0,IF(DU72&lt;=0,0,IF(WEEKDAY(DU$6,1)=1,DU72*DU73,0)))</f>
        <v>0</v>
      </c>
      <c r="DV76" s="63">
        <f>IF(AND(DV72=0,DV73=0),0,IF(DV72&lt;=0,0,IF(WEEKDAY(DV$6,1)=1,DV72*DV73,0)))</f>
        <v>0</v>
      </c>
      <c r="DW76" s="63">
        <f>IF(AND(DW72=0,DW73=0),0,IF(DW72&lt;=0,0,IF(WEEKDAY(DW$6,1)=1,DW72*DW73,0)))</f>
        <v>0</v>
      </c>
      <c r="DX76" s="64">
        <f>IF(AND(DX72=0,DX73=0),0,IF(DX72&lt;=0,0,IF(WEEKDAY(DX$6,1)=1,DX72*DX73,0)))</f>
        <v>0</v>
      </c>
      <c r="DY76" s="64">
        <f>IF(AND(DY72=0,DY73=0),0,IF(DY72&lt;=0,0,IF(WEEKDAY(DY$6,1)=1,DY72*DY73,0)))</f>
        <v>0</v>
      </c>
      <c r="DZ76" s="63">
        <f>IF(AND(DZ72=0,DZ73=0),0,IF(DZ72&lt;=0,0,IF(WEEKDAY(DZ$6,1)=1,DZ72*DZ73,0)))</f>
        <v>0</v>
      </c>
      <c r="EA76" s="63">
        <f>IF(AND(EA72=0,EA73=0),0,IF(EA72&lt;=0,0,IF(WEEKDAY(EA$6,1)=1,EA72*EA73,0)))</f>
        <v>0</v>
      </c>
      <c r="EB76" s="63">
        <f>IF(AND(EB72=0,EB73=0),0,IF(EB72&lt;=0,0,IF(WEEKDAY(EB$6,1)=1,EB72*EB73,0)))</f>
        <v>0</v>
      </c>
      <c r="EC76" s="63">
        <f>IF(AND(EC72=0,EC73=0),0,IF(EC72&lt;=0,0,IF(WEEKDAY(EC$6,1)=1,EC72*EC73,0)))</f>
        <v>0</v>
      </c>
      <c r="ED76" s="63">
        <f>IF(AND(ED72=0,ED73=0),0,IF(ED72&lt;=0,0,IF(WEEKDAY(ED$6,1)=1,ED72*ED73,0)))</f>
        <v>0</v>
      </c>
      <c r="EE76" s="64">
        <f>IF(AND(EE72=0,EE73=0),0,IF(EE72&lt;=0,0,IF(WEEKDAY(EE$6,1)=1,EE72*EE73,0)))</f>
        <v>0</v>
      </c>
      <c r="EF76" s="64">
        <f>IF(AND(EF72=0,EF73=0),0,IF(EF72&lt;=0,0,IF(WEEKDAY(EF$6,1)=1,EF72*EF73,0)))</f>
        <v>0</v>
      </c>
      <c r="EG76" s="63">
        <f>IF(AND(EG72=0,EG73=0),0,IF(EG72&lt;=0,0,IF(WEEKDAY(EG$6,1)=1,EG72*EG73,0)))</f>
        <v>0</v>
      </c>
      <c r="EH76" s="63">
        <f>IF(AND(EH72=0,EH73=0),0,IF(EH72&lt;=0,0,IF(WEEKDAY(EH$6,1)=1,EH72*EH73,0)))</f>
        <v>0</v>
      </c>
      <c r="EI76" s="63">
        <f>IF(AND(EI72=0,EI73=0),0,IF(EI72&lt;=0,0,IF(WEEKDAY(EI$6,1)=1,EI72*EI73,0)))</f>
        <v>0</v>
      </c>
      <c r="EJ76" s="63">
        <f>IF(AND(EJ72=0,EJ73=0),0,IF(EJ72&lt;=0,0,IF(WEEKDAY(EJ$6,1)=1,EJ72*EJ73,0)))</f>
        <v>0</v>
      </c>
      <c r="EK76" s="65">
        <f>IF(AND(EK72=0,EK73=0),0,IF(EK72&lt;=0,0,IF(WEEKDAY(EK$6,1)=1,EK72*EK73,0)))</f>
        <v>0</v>
      </c>
      <c r="OU76" s="28" t="s">
        <v>131</v>
      </c>
    </row>
    <row r="77" ht="16" customHeight="1" spans="1:411" x14ac:dyDescent="0.25">
      <c r="A77" s="45"/>
      <c r="B77" s="79"/>
      <c r="C77" s="67">
        <f>I71*D77</f>
        <v>650</v>
      </c>
      <c r="D77" s="67">
        <v>130</v>
      </c>
      <c r="E77" s="68" t="s">
        <v>65</v>
      </c>
      <c r="F77" s="49"/>
      <c r="G77" s="49"/>
      <c r="H77" s="49"/>
      <c r="I77" s="49"/>
      <c r="J77" s="50"/>
      <c r="K77" s="69">
        <v>0</v>
      </c>
      <c r="L77" s="70">
        <v>0</v>
      </c>
      <c r="M77" s="70">
        <v>0</v>
      </c>
      <c r="N77" s="70">
        <v>0</v>
      </c>
      <c r="O77" s="70">
        <v>0</v>
      </c>
      <c r="P77" s="71">
        <v>0</v>
      </c>
      <c r="Q77" s="71">
        <v>0</v>
      </c>
      <c r="R77" s="70">
        <v>0</v>
      </c>
      <c r="S77" s="70">
        <v>0</v>
      </c>
      <c r="T77" s="70">
        <v>0</v>
      </c>
      <c r="U77" s="70">
        <v>0</v>
      </c>
      <c r="V77" s="70">
        <v>0</v>
      </c>
      <c r="W77" s="71">
        <v>0</v>
      </c>
      <c r="X77" s="71">
        <v>0</v>
      </c>
      <c r="Y77" s="70">
        <v>0</v>
      </c>
      <c r="Z77" s="70">
        <v>0</v>
      </c>
      <c r="AA77" s="70">
        <v>0</v>
      </c>
      <c r="AB77" s="70">
        <v>0</v>
      </c>
      <c r="AC77" s="70">
        <v>0</v>
      </c>
      <c r="AD77" s="71">
        <v>0</v>
      </c>
      <c r="AE77" s="71">
        <v>0</v>
      </c>
      <c r="AF77" s="70">
        <v>0</v>
      </c>
      <c r="AG77" s="70">
        <v>0</v>
      </c>
      <c r="AH77" s="70">
        <v>0</v>
      </c>
      <c r="AI77" s="70">
        <v>0</v>
      </c>
      <c r="AJ77" s="70">
        <v>0</v>
      </c>
      <c r="AK77" s="71">
        <v>0</v>
      </c>
      <c r="AL77" s="71">
        <v>0</v>
      </c>
      <c r="AM77" s="70">
        <v>0</v>
      </c>
      <c r="AN77" s="70">
        <v>0</v>
      </c>
      <c r="AO77" s="70">
        <v>0</v>
      </c>
      <c r="AP77" s="70">
        <v>0</v>
      </c>
      <c r="AQ77" s="70">
        <v>0</v>
      </c>
      <c r="AR77" s="71">
        <v>0</v>
      </c>
      <c r="AS77" s="71">
        <v>0</v>
      </c>
      <c r="AT77" s="70">
        <v>0</v>
      </c>
      <c r="AU77" s="70">
        <v>0</v>
      </c>
      <c r="AV77" s="70">
        <v>0</v>
      </c>
      <c r="AW77" s="70">
        <v>0</v>
      </c>
      <c r="AX77" s="70">
        <v>0</v>
      </c>
      <c r="AY77" s="71">
        <v>0</v>
      </c>
      <c r="AZ77" s="71">
        <v>0</v>
      </c>
      <c r="BA77" s="70">
        <v>1</v>
      </c>
      <c r="BB77" s="70">
        <v>1</v>
      </c>
      <c r="BC77" s="70">
        <v>1</v>
      </c>
      <c r="BD77" s="70">
        <v>1</v>
      </c>
      <c r="BE77" s="70">
        <v>1</v>
      </c>
      <c r="BF77" s="71">
        <v>0</v>
      </c>
      <c r="BG77" s="71">
        <v>0</v>
      </c>
      <c r="BH77" s="70">
        <v>0</v>
      </c>
      <c r="BI77" s="70">
        <v>0</v>
      </c>
      <c r="BJ77" s="70">
        <v>0</v>
      </c>
      <c r="BK77" s="70">
        <v>0</v>
      </c>
      <c r="BL77" s="70">
        <v>0</v>
      </c>
      <c r="BM77" s="71">
        <v>0</v>
      </c>
      <c r="BN77" s="71">
        <v>0</v>
      </c>
      <c r="BO77" s="70">
        <v>0</v>
      </c>
      <c r="BP77" s="70">
        <v>0</v>
      </c>
      <c r="BQ77" s="70">
        <v>0</v>
      </c>
      <c r="BR77" s="70">
        <v>0</v>
      </c>
      <c r="BS77" s="70">
        <v>0</v>
      </c>
      <c r="BT77" s="71">
        <v>0</v>
      </c>
      <c r="BU77" s="71">
        <v>0</v>
      </c>
      <c r="BV77" s="70">
        <v>0</v>
      </c>
      <c r="BW77" s="70">
        <v>0</v>
      </c>
      <c r="BX77" s="70">
        <v>0</v>
      </c>
      <c r="BY77" s="70">
        <v>0</v>
      </c>
      <c r="BZ77" s="70">
        <v>0</v>
      </c>
      <c r="CA77" s="71">
        <v>0</v>
      </c>
      <c r="CB77" s="71">
        <v>0</v>
      </c>
      <c r="CC77" s="70">
        <v>0</v>
      </c>
      <c r="CD77" s="70">
        <v>0</v>
      </c>
      <c r="CE77" s="70">
        <v>0</v>
      </c>
      <c r="CF77" s="70">
        <v>0</v>
      </c>
      <c r="CG77" s="70">
        <v>0</v>
      </c>
      <c r="CH77" s="71">
        <v>0</v>
      </c>
      <c r="CI77" s="71">
        <v>0</v>
      </c>
      <c r="CJ77" s="70">
        <v>0</v>
      </c>
      <c r="CK77" s="70">
        <v>0</v>
      </c>
      <c r="CL77" s="70">
        <v>0</v>
      </c>
      <c r="CM77" s="70">
        <v>0</v>
      </c>
      <c r="CN77" s="70">
        <v>0</v>
      </c>
      <c r="CO77" s="71">
        <v>0</v>
      </c>
      <c r="CP77" s="71">
        <v>0</v>
      </c>
      <c r="CQ77" s="70">
        <v>0</v>
      </c>
      <c r="CR77" s="70">
        <v>0</v>
      </c>
      <c r="CS77" s="70">
        <v>0</v>
      </c>
      <c r="CT77" s="70">
        <v>0</v>
      </c>
      <c r="CU77" s="70">
        <v>0</v>
      </c>
      <c r="CV77" s="71">
        <v>0</v>
      </c>
      <c r="CW77" s="71">
        <v>0</v>
      </c>
      <c r="CX77" s="70">
        <v>0</v>
      </c>
      <c r="CY77" s="70">
        <v>0</v>
      </c>
      <c r="CZ77" s="70">
        <v>0</v>
      </c>
      <c r="DA77" s="70">
        <v>0</v>
      </c>
      <c r="DB77" s="70">
        <v>0</v>
      </c>
      <c r="DC77" s="71">
        <v>0</v>
      </c>
      <c r="DD77" s="71">
        <v>0</v>
      </c>
      <c r="DE77" s="70">
        <v>0</v>
      </c>
      <c r="DF77" s="70">
        <v>0</v>
      </c>
      <c r="DG77" s="70">
        <v>0</v>
      </c>
      <c r="DH77" s="70">
        <v>0</v>
      </c>
      <c r="DI77" s="70">
        <v>0</v>
      </c>
      <c r="DJ77" s="71">
        <v>0</v>
      </c>
      <c r="DK77" s="71">
        <v>0</v>
      </c>
      <c r="DL77" s="70">
        <v>0</v>
      </c>
      <c r="DM77" s="70">
        <v>0</v>
      </c>
      <c r="DN77" s="70">
        <v>0</v>
      </c>
      <c r="DO77" s="70">
        <v>0</v>
      </c>
      <c r="DP77" s="70">
        <v>0</v>
      </c>
      <c r="DQ77" s="71">
        <v>0</v>
      </c>
      <c r="DR77" s="71">
        <v>0</v>
      </c>
      <c r="DS77" s="70">
        <v>0</v>
      </c>
      <c r="DT77" s="70">
        <v>0</v>
      </c>
      <c r="DU77" s="70">
        <v>0</v>
      </c>
      <c r="DV77" s="70">
        <v>0</v>
      </c>
      <c r="DW77" s="70">
        <v>0</v>
      </c>
      <c r="DX77" s="71">
        <v>0</v>
      </c>
      <c r="DY77" s="71">
        <v>0</v>
      </c>
      <c r="DZ77" s="70">
        <v>0</v>
      </c>
      <c r="EA77" s="70">
        <v>0</v>
      </c>
      <c r="EB77" s="70">
        <v>0</v>
      </c>
      <c r="EC77" s="70">
        <v>0</v>
      </c>
      <c r="ED77" s="70">
        <v>0</v>
      </c>
      <c r="EE77" s="71">
        <v>0</v>
      </c>
      <c r="EF77" s="71">
        <v>0</v>
      </c>
      <c r="EG77" s="70">
        <v>0</v>
      </c>
      <c r="EH77" s="70">
        <v>0</v>
      </c>
      <c r="EI77" s="70">
        <v>0</v>
      </c>
      <c r="EJ77" s="70">
        <v>0</v>
      </c>
      <c r="EK77" s="72">
        <v>0</v>
      </c>
      <c r="OU77" s="60" t="s">
        <v>131</v>
      </c>
    </row>
    <row r="78" ht="8" customHeight="1" spans="1:14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  <c r="EK78" s="73"/>
    </row>
    <row r="79" ht="16" customHeight="1" spans="1:411" x14ac:dyDescent="0.25">
      <c r="A79" s="45" t="s">
        <v>57</v>
      </c>
      <c r="B79" s="77" t="s">
        <v>130</v>
      </c>
      <c r="C79" s="47">
        <f>J79</f>
        <v>19866</v>
      </c>
      <c r="D79" s="48"/>
      <c r="E79" s="48"/>
      <c r="F79" s="49">
        <f>SUM(K82:EK82)</f>
        <v>200</v>
      </c>
      <c r="G79" s="49">
        <f>SUM(K83:EK83)</f>
        <v>0</v>
      </c>
      <c r="H79" s="49">
        <f>SUM(K84:EK84)</f>
        <v>0</v>
      </c>
      <c r="I79" s="49">
        <f>SUM(K85:EK85)</f>
        <v>5</v>
      </c>
      <c r="J79" s="50">
        <f>C82+C83+C84</f>
        <v>19866</v>
      </c>
      <c r="K79" s="51"/>
      <c r="L79" s="52"/>
      <c r="M79" s="52"/>
      <c r="N79" s="52"/>
      <c r="O79" s="52"/>
      <c r="P79" s="53"/>
      <c r="Q79" s="53"/>
      <c r="R79" s="52"/>
      <c r="S79" s="52"/>
      <c r="T79" s="52"/>
      <c r="U79" s="52"/>
      <c r="V79" s="52"/>
      <c r="W79" s="53"/>
      <c r="X79" s="53"/>
      <c r="Y79" s="52"/>
      <c r="Z79" s="52"/>
      <c r="AA79" s="52"/>
      <c r="AB79" s="52"/>
      <c r="AC79" s="52"/>
      <c r="AD79" s="53"/>
      <c r="AE79" s="53"/>
      <c r="AF79" s="52"/>
      <c r="AG79" s="52"/>
      <c r="AH79" s="52"/>
      <c r="AI79" s="52"/>
      <c r="AJ79" s="52"/>
      <c r="AK79" s="53"/>
      <c r="AL79" s="53"/>
      <c r="AM79" s="52"/>
      <c r="AN79" s="52"/>
      <c r="AO79" s="52"/>
      <c r="AP79" s="52"/>
      <c r="AQ79" s="52"/>
      <c r="AR79" s="53"/>
      <c r="AS79" s="53"/>
      <c r="AT79" s="52"/>
      <c r="AU79" s="52"/>
      <c r="AV79" s="52"/>
      <c r="AW79" s="52"/>
      <c r="AX79" s="52"/>
      <c r="AY79" s="53"/>
      <c r="AZ79" s="53"/>
      <c r="BA79" s="52"/>
      <c r="BB79" s="52"/>
      <c r="BC79" s="52"/>
      <c r="BD79" s="52"/>
      <c r="BE79" s="52"/>
      <c r="BF79" s="53"/>
      <c r="BG79" s="53"/>
      <c r="BH79" s="52"/>
      <c r="BI79" s="52"/>
      <c r="BJ79" s="52"/>
      <c r="BK79" s="52"/>
      <c r="BL79" s="52"/>
      <c r="BM79" s="53"/>
      <c r="BN79" s="53"/>
      <c r="BO79" s="52"/>
      <c r="BP79" s="52"/>
      <c r="BQ79" s="52"/>
      <c r="BR79" s="52"/>
      <c r="BS79" s="52"/>
      <c r="BT79" s="53"/>
      <c r="BU79" s="53"/>
      <c r="BV79" s="52"/>
      <c r="BW79" s="52"/>
      <c r="BX79" s="52"/>
      <c r="BY79" s="52"/>
      <c r="BZ79" s="52"/>
      <c r="CA79" s="53"/>
      <c r="CB79" s="53"/>
      <c r="CC79" s="52"/>
      <c r="CD79" s="52"/>
      <c r="CE79" s="52"/>
      <c r="CF79" s="52"/>
      <c r="CG79" s="52"/>
      <c r="CH79" s="53"/>
      <c r="CI79" s="53"/>
      <c r="CJ79" s="52"/>
      <c r="CK79" s="52"/>
      <c r="CL79" s="52"/>
      <c r="CM79" s="52"/>
      <c r="CN79" s="52"/>
      <c r="CO79" s="53"/>
      <c r="CP79" s="53"/>
      <c r="CQ79" s="52"/>
      <c r="CR79" s="52"/>
      <c r="CS79" s="52"/>
      <c r="CT79" s="52"/>
      <c r="CU79" s="52"/>
      <c r="CV79" s="53"/>
      <c r="CW79" s="53"/>
      <c r="CX79" s="52"/>
      <c r="CY79" s="52"/>
      <c r="CZ79" s="52"/>
      <c r="DA79" s="52"/>
      <c r="DB79" s="52"/>
      <c r="DC79" s="53"/>
      <c r="DD79" s="53"/>
      <c r="DE79" s="52"/>
      <c r="DF79" s="52"/>
      <c r="DG79" s="52"/>
      <c r="DH79" s="52"/>
      <c r="DI79" s="52"/>
      <c r="DJ79" s="53"/>
      <c r="DK79" s="53"/>
      <c r="DL79" s="52"/>
      <c r="DM79" s="52"/>
      <c r="DN79" s="52"/>
      <c r="DO79" s="52"/>
      <c r="DP79" s="52"/>
      <c r="DQ79" s="53"/>
      <c r="DR79" s="53"/>
      <c r="DS79" s="52"/>
      <c r="DT79" s="52"/>
      <c r="DU79" s="52"/>
      <c r="DV79" s="52"/>
      <c r="DW79" s="52"/>
      <c r="DX79" s="53"/>
      <c r="DY79" s="53"/>
      <c r="DZ79" s="52"/>
      <c r="EA79" s="52"/>
      <c r="EB79" s="52"/>
      <c r="EC79" s="52"/>
      <c r="ED79" s="52"/>
      <c r="EE79" s="53"/>
      <c r="EF79" s="53"/>
      <c r="EG79" s="52"/>
      <c r="EH79" s="52"/>
      <c r="EI79" s="52"/>
      <c r="EJ79" s="52"/>
      <c r="EK79" s="54"/>
      <c r="OU79" s="28" t="s">
        <v>132</v>
      </c>
    </row>
    <row r="80" ht="16" customHeight="1" spans="1:411" x14ac:dyDescent="0.25">
      <c r="A80" s="45"/>
      <c r="B80" s="77"/>
      <c r="C80" s="47"/>
      <c r="D80" s="48"/>
      <c r="E80" s="55" t="s">
        <v>60</v>
      </c>
      <c r="F80" s="49"/>
      <c r="G80" s="49"/>
      <c r="H80" s="49"/>
      <c r="I80" s="49"/>
      <c r="J80" s="50"/>
      <c r="K80" s="56">
        <v>0</v>
      </c>
      <c r="L80" s="57">
        <v>0</v>
      </c>
      <c r="M80" s="57">
        <v>0</v>
      </c>
      <c r="N80" s="57">
        <v>0</v>
      </c>
      <c r="O80" s="57">
        <v>0</v>
      </c>
      <c r="P80" s="58">
        <v>0</v>
      </c>
      <c r="Q80" s="58">
        <v>0</v>
      </c>
      <c r="R80" s="57">
        <v>0</v>
      </c>
      <c r="S80" s="57">
        <v>0</v>
      </c>
      <c r="T80" s="57">
        <v>0</v>
      </c>
      <c r="U80" s="57">
        <v>0</v>
      </c>
      <c r="V80" s="57">
        <v>0</v>
      </c>
      <c r="W80" s="58">
        <v>0</v>
      </c>
      <c r="X80" s="58">
        <v>0</v>
      </c>
      <c r="Y80" s="57">
        <v>0</v>
      </c>
      <c r="Z80" s="57">
        <v>0</v>
      </c>
      <c r="AA80" s="57">
        <v>0</v>
      </c>
      <c r="AB80" s="57">
        <v>0</v>
      </c>
      <c r="AC80" s="57">
        <v>0</v>
      </c>
      <c r="AD80" s="58">
        <v>0</v>
      </c>
      <c r="AE80" s="58">
        <v>0</v>
      </c>
      <c r="AF80" s="57">
        <v>0</v>
      </c>
      <c r="AG80" s="57">
        <v>0</v>
      </c>
      <c r="AH80" s="57">
        <v>0</v>
      </c>
      <c r="AI80" s="57">
        <v>0</v>
      </c>
      <c r="AJ80" s="57">
        <v>0</v>
      </c>
      <c r="AK80" s="58">
        <v>0</v>
      </c>
      <c r="AL80" s="58">
        <v>0</v>
      </c>
      <c r="AM80" s="57">
        <v>0</v>
      </c>
      <c r="AN80" s="57">
        <v>0</v>
      </c>
      <c r="AO80" s="57">
        <v>0</v>
      </c>
      <c r="AP80" s="57">
        <v>0</v>
      </c>
      <c r="AQ80" s="57">
        <v>0</v>
      </c>
      <c r="AR80" s="58">
        <v>0</v>
      </c>
      <c r="AS80" s="58">
        <v>0</v>
      </c>
      <c r="AT80" s="57">
        <v>0</v>
      </c>
      <c r="AU80" s="57">
        <v>0</v>
      </c>
      <c r="AV80" s="57">
        <v>0</v>
      </c>
      <c r="AW80" s="57">
        <v>0</v>
      </c>
      <c r="AX80" s="57">
        <v>0</v>
      </c>
      <c r="AY80" s="58">
        <v>0</v>
      </c>
      <c r="AZ80" s="58">
        <v>0</v>
      </c>
      <c r="BA80" s="57">
        <v>5</v>
      </c>
      <c r="BB80" s="57">
        <v>5</v>
      </c>
      <c r="BC80" s="57">
        <v>5</v>
      </c>
      <c r="BD80" s="57">
        <v>5</v>
      </c>
      <c r="BE80" s="57">
        <v>5</v>
      </c>
      <c r="BF80" s="58">
        <v>0</v>
      </c>
      <c r="BG80" s="58">
        <v>0</v>
      </c>
      <c r="BH80" s="57">
        <v>0</v>
      </c>
      <c r="BI80" s="57">
        <v>0</v>
      </c>
      <c r="BJ80" s="57">
        <v>0</v>
      </c>
      <c r="BK80" s="57">
        <v>0</v>
      </c>
      <c r="BL80" s="57">
        <v>0</v>
      </c>
      <c r="BM80" s="58">
        <v>0</v>
      </c>
      <c r="BN80" s="58">
        <v>0</v>
      </c>
      <c r="BO80" s="57">
        <v>0</v>
      </c>
      <c r="BP80" s="57">
        <v>0</v>
      </c>
      <c r="BQ80" s="57">
        <v>0</v>
      </c>
      <c r="BR80" s="57">
        <v>0</v>
      </c>
      <c r="BS80" s="57">
        <v>0</v>
      </c>
      <c r="BT80" s="58">
        <v>0</v>
      </c>
      <c r="BU80" s="58">
        <v>0</v>
      </c>
      <c r="BV80" s="57">
        <v>0</v>
      </c>
      <c r="BW80" s="57">
        <v>0</v>
      </c>
      <c r="BX80" s="57">
        <v>0</v>
      </c>
      <c r="BY80" s="57">
        <v>0</v>
      </c>
      <c r="BZ80" s="57">
        <v>0</v>
      </c>
      <c r="CA80" s="58">
        <v>0</v>
      </c>
      <c r="CB80" s="58">
        <v>0</v>
      </c>
      <c r="CC80" s="57">
        <v>0</v>
      </c>
      <c r="CD80" s="57">
        <v>0</v>
      </c>
      <c r="CE80" s="57">
        <v>0</v>
      </c>
      <c r="CF80" s="57">
        <v>0</v>
      </c>
      <c r="CG80" s="57">
        <v>0</v>
      </c>
      <c r="CH80" s="58">
        <v>0</v>
      </c>
      <c r="CI80" s="58">
        <v>0</v>
      </c>
      <c r="CJ80" s="57">
        <v>0</v>
      </c>
      <c r="CK80" s="57">
        <v>0</v>
      </c>
      <c r="CL80" s="57">
        <v>0</v>
      </c>
      <c r="CM80" s="57">
        <v>0</v>
      </c>
      <c r="CN80" s="57">
        <v>0</v>
      </c>
      <c r="CO80" s="58">
        <v>0</v>
      </c>
      <c r="CP80" s="58">
        <v>0</v>
      </c>
      <c r="CQ80" s="57">
        <v>0</v>
      </c>
      <c r="CR80" s="57">
        <v>0</v>
      </c>
      <c r="CS80" s="57">
        <v>0</v>
      </c>
      <c r="CT80" s="57">
        <v>0</v>
      </c>
      <c r="CU80" s="57">
        <v>0</v>
      </c>
      <c r="CV80" s="58">
        <v>0</v>
      </c>
      <c r="CW80" s="58">
        <v>0</v>
      </c>
      <c r="CX80" s="57">
        <v>0</v>
      </c>
      <c r="CY80" s="57">
        <v>0</v>
      </c>
      <c r="CZ80" s="57">
        <v>0</v>
      </c>
      <c r="DA80" s="57">
        <v>0</v>
      </c>
      <c r="DB80" s="57">
        <v>0</v>
      </c>
      <c r="DC80" s="58">
        <v>0</v>
      </c>
      <c r="DD80" s="58">
        <v>0</v>
      </c>
      <c r="DE80" s="57">
        <v>0</v>
      </c>
      <c r="DF80" s="57">
        <v>0</v>
      </c>
      <c r="DG80" s="57">
        <v>0</v>
      </c>
      <c r="DH80" s="57">
        <v>0</v>
      </c>
      <c r="DI80" s="57">
        <v>0</v>
      </c>
      <c r="DJ80" s="58">
        <v>0</v>
      </c>
      <c r="DK80" s="58">
        <v>0</v>
      </c>
      <c r="DL80" s="57">
        <v>0</v>
      </c>
      <c r="DM80" s="57">
        <v>0</v>
      </c>
      <c r="DN80" s="57">
        <v>0</v>
      </c>
      <c r="DO80" s="57">
        <v>0</v>
      </c>
      <c r="DP80" s="57">
        <v>0</v>
      </c>
      <c r="DQ80" s="58">
        <v>0</v>
      </c>
      <c r="DR80" s="58">
        <v>0</v>
      </c>
      <c r="DS80" s="57">
        <v>0</v>
      </c>
      <c r="DT80" s="57">
        <v>0</v>
      </c>
      <c r="DU80" s="57">
        <v>0</v>
      </c>
      <c r="DV80" s="57">
        <v>0</v>
      </c>
      <c r="DW80" s="57">
        <v>0</v>
      </c>
      <c r="DX80" s="58">
        <v>0</v>
      </c>
      <c r="DY80" s="58">
        <v>0</v>
      </c>
      <c r="DZ80" s="57">
        <v>0</v>
      </c>
      <c r="EA80" s="57">
        <v>0</v>
      </c>
      <c r="EB80" s="57">
        <v>0</v>
      </c>
      <c r="EC80" s="57">
        <v>0</v>
      </c>
      <c r="ED80" s="57">
        <v>0</v>
      </c>
      <c r="EE80" s="58">
        <v>0</v>
      </c>
      <c r="EF80" s="58">
        <v>0</v>
      </c>
      <c r="EG80" s="57">
        <v>0</v>
      </c>
      <c r="EH80" s="57">
        <v>0</v>
      </c>
      <c r="EI80" s="57">
        <v>0</v>
      </c>
      <c r="EJ80" s="57">
        <v>0</v>
      </c>
      <c r="EK80" s="59">
        <v>0</v>
      </c>
      <c r="OU80" s="60" t="s">
        <v>132</v>
      </c>
    </row>
    <row r="81" ht="16" customHeight="1" spans="1:411" x14ac:dyDescent="0.25">
      <c r="A81" s="45"/>
      <c r="B81" s="77"/>
      <c r="C81" s="47"/>
      <c r="D81" s="48"/>
      <c r="E81" s="55" t="s">
        <v>61</v>
      </c>
      <c r="F81" s="49"/>
      <c r="G81" s="49"/>
      <c r="H81" s="49"/>
      <c r="I81" s="49"/>
      <c r="J81" s="50"/>
      <c r="K81" s="56">
        <v>0</v>
      </c>
      <c r="L81" s="57">
        <v>0</v>
      </c>
      <c r="M81" s="57">
        <v>0</v>
      </c>
      <c r="N81" s="57">
        <v>0</v>
      </c>
      <c r="O81" s="57">
        <v>0</v>
      </c>
      <c r="P81" s="58">
        <v>0</v>
      </c>
      <c r="Q81" s="58">
        <v>0</v>
      </c>
      <c r="R81" s="57">
        <v>0</v>
      </c>
      <c r="S81" s="57">
        <v>0</v>
      </c>
      <c r="T81" s="57">
        <v>0</v>
      </c>
      <c r="U81" s="57">
        <v>0</v>
      </c>
      <c r="V81" s="57">
        <v>0</v>
      </c>
      <c r="W81" s="58">
        <v>0</v>
      </c>
      <c r="X81" s="58">
        <v>0</v>
      </c>
      <c r="Y81" s="57">
        <v>0</v>
      </c>
      <c r="Z81" s="57">
        <v>0</v>
      </c>
      <c r="AA81" s="57">
        <v>0</v>
      </c>
      <c r="AB81" s="57">
        <v>0</v>
      </c>
      <c r="AC81" s="57">
        <v>0</v>
      </c>
      <c r="AD81" s="58">
        <v>0</v>
      </c>
      <c r="AE81" s="58">
        <v>0</v>
      </c>
      <c r="AF81" s="57">
        <v>0</v>
      </c>
      <c r="AG81" s="57">
        <v>0</v>
      </c>
      <c r="AH81" s="57">
        <v>0</v>
      </c>
      <c r="AI81" s="57">
        <v>0</v>
      </c>
      <c r="AJ81" s="57">
        <v>0</v>
      </c>
      <c r="AK81" s="58">
        <v>0</v>
      </c>
      <c r="AL81" s="58">
        <v>0</v>
      </c>
      <c r="AM81" s="57">
        <v>0</v>
      </c>
      <c r="AN81" s="57">
        <v>0</v>
      </c>
      <c r="AO81" s="57">
        <v>0</v>
      </c>
      <c r="AP81" s="57">
        <v>0</v>
      </c>
      <c r="AQ81" s="57">
        <v>0</v>
      </c>
      <c r="AR81" s="58">
        <v>0</v>
      </c>
      <c r="AS81" s="58">
        <v>0</v>
      </c>
      <c r="AT81" s="57">
        <v>0</v>
      </c>
      <c r="AU81" s="57">
        <v>0</v>
      </c>
      <c r="AV81" s="57">
        <v>0</v>
      </c>
      <c r="AW81" s="57">
        <v>0</v>
      </c>
      <c r="AX81" s="57">
        <v>0</v>
      </c>
      <c r="AY81" s="58">
        <v>0</v>
      </c>
      <c r="AZ81" s="58">
        <v>0</v>
      </c>
      <c r="BA81" s="57">
        <v>8</v>
      </c>
      <c r="BB81" s="57">
        <v>8</v>
      </c>
      <c r="BC81" s="57">
        <v>8</v>
      </c>
      <c r="BD81" s="57">
        <v>8</v>
      </c>
      <c r="BE81" s="57">
        <v>8</v>
      </c>
      <c r="BF81" s="58">
        <v>0</v>
      </c>
      <c r="BG81" s="58">
        <v>0</v>
      </c>
      <c r="BH81" s="57">
        <v>0</v>
      </c>
      <c r="BI81" s="57">
        <v>0</v>
      </c>
      <c r="BJ81" s="57">
        <v>0</v>
      </c>
      <c r="BK81" s="57">
        <v>0</v>
      </c>
      <c r="BL81" s="57">
        <v>0</v>
      </c>
      <c r="BM81" s="58">
        <v>0</v>
      </c>
      <c r="BN81" s="58">
        <v>0</v>
      </c>
      <c r="BO81" s="57">
        <v>0</v>
      </c>
      <c r="BP81" s="57">
        <v>0</v>
      </c>
      <c r="BQ81" s="57">
        <v>0</v>
      </c>
      <c r="BR81" s="57">
        <v>0</v>
      </c>
      <c r="BS81" s="57">
        <v>0</v>
      </c>
      <c r="BT81" s="58">
        <v>0</v>
      </c>
      <c r="BU81" s="58">
        <v>0</v>
      </c>
      <c r="BV81" s="57">
        <v>0</v>
      </c>
      <c r="BW81" s="57">
        <v>0</v>
      </c>
      <c r="BX81" s="57">
        <v>0</v>
      </c>
      <c r="BY81" s="57">
        <v>0</v>
      </c>
      <c r="BZ81" s="57">
        <v>0</v>
      </c>
      <c r="CA81" s="58">
        <v>0</v>
      </c>
      <c r="CB81" s="58">
        <v>0</v>
      </c>
      <c r="CC81" s="57">
        <v>0</v>
      </c>
      <c r="CD81" s="57">
        <v>0</v>
      </c>
      <c r="CE81" s="57">
        <v>0</v>
      </c>
      <c r="CF81" s="57">
        <v>0</v>
      </c>
      <c r="CG81" s="57">
        <v>0</v>
      </c>
      <c r="CH81" s="58">
        <v>0</v>
      </c>
      <c r="CI81" s="58">
        <v>0</v>
      </c>
      <c r="CJ81" s="57">
        <v>0</v>
      </c>
      <c r="CK81" s="57">
        <v>0</v>
      </c>
      <c r="CL81" s="57">
        <v>0</v>
      </c>
      <c r="CM81" s="57">
        <v>0</v>
      </c>
      <c r="CN81" s="57">
        <v>0</v>
      </c>
      <c r="CO81" s="58">
        <v>0</v>
      </c>
      <c r="CP81" s="58">
        <v>0</v>
      </c>
      <c r="CQ81" s="57">
        <v>0</v>
      </c>
      <c r="CR81" s="57">
        <v>0</v>
      </c>
      <c r="CS81" s="57">
        <v>0</v>
      </c>
      <c r="CT81" s="57">
        <v>0</v>
      </c>
      <c r="CU81" s="57">
        <v>0</v>
      </c>
      <c r="CV81" s="58">
        <v>0</v>
      </c>
      <c r="CW81" s="58">
        <v>0</v>
      </c>
      <c r="CX81" s="57">
        <v>0</v>
      </c>
      <c r="CY81" s="57">
        <v>0</v>
      </c>
      <c r="CZ81" s="57">
        <v>0</v>
      </c>
      <c r="DA81" s="57">
        <v>0</v>
      </c>
      <c r="DB81" s="57">
        <v>0</v>
      </c>
      <c r="DC81" s="58">
        <v>0</v>
      </c>
      <c r="DD81" s="58">
        <v>0</v>
      </c>
      <c r="DE81" s="57">
        <v>0</v>
      </c>
      <c r="DF81" s="57">
        <v>0</v>
      </c>
      <c r="DG81" s="57">
        <v>0</v>
      </c>
      <c r="DH81" s="57">
        <v>0</v>
      </c>
      <c r="DI81" s="57">
        <v>0</v>
      </c>
      <c r="DJ81" s="58">
        <v>0</v>
      </c>
      <c r="DK81" s="58">
        <v>0</v>
      </c>
      <c r="DL81" s="57">
        <v>0</v>
      </c>
      <c r="DM81" s="57">
        <v>0</v>
      </c>
      <c r="DN81" s="57">
        <v>0</v>
      </c>
      <c r="DO81" s="57">
        <v>0</v>
      </c>
      <c r="DP81" s="57">
        <v>0</v>
      </c>
      <c r="DQ81" s="58">
        <v>0</v>
      </c>
      <c r="DR81" s="58">
        <v>0</v>
      </c>
      <c r="DS81" s="57">
        <v>0</v>
      </c>
      <c r="DT81" s="57">
        <v>0</v>
      </c>
      <c r="DU81" s="57">
        <v>0</v>
      </c>
      <c r="DV81" s="57">
        <v>0</v>
      </c>
      <c r="DW81" s="57">
        <v>0</v>
      </c>
      <c r="DX81" s="58">
        <v>0</v>
      </c>
      <c r="DY81" s="58">
        <v>0</v>
      </c>
      <c r="DZ81" s="57">
        <v>0</v>
      </c>
      <c r="EA81" s="57">
        <v>0</v>
      </c>
      <c r="EB81" s="57">
        <v>0</v>
      </c>
      <c r="EC81" s="57">
        <v>0</v>
      </c>
      <c r="ED81" s="57">
        <v>0</v>
      </c>
      <c r="EE81" s="58">
        <v>0</v>
      </c>
      <c r="EF81" s="58">
        <v>0</v>
      </c>
      <c r="EG81" s="57">
        <v>0</v>
      </c>
      <c r="EH81" s="57">
        <v>0</v>
      </c>
      <c r="EI81" s="57">
        <v>0</v>
      </c>
      <c r="EJ81" s="57">
        <v>0</v>
      </c>
      <c r="EK81" s="59">
        <v>0</v>
      </c>
      <c r="OU81" s="60" t="s">
        <v>132</v>
      </c>
    </row>
    <row r="82" ht="16" customHeight="1" spans="1:411" x14ac:dyDescent="0.25">
      <c r="A82" s="45"/>
      <c r="B82" s="78" t="s">
        <v>119</v>
      </c>
      <c r="C82" s="61">
        <f>F79*N(D82)</f>
        <v>19866</v>
      </c>
      <c r="D82" s="61">
        <f>IF(TRIM(IF(TRIM(B83)&lt;&gt;"",B83,B79))="","No rate",IFERROR(INDEX('Rate Tables'!C$7:C$158,MATCH(IF(TRIM(B83)&lt;&gt;"",B83,B79),'Rate Tables'!A$7:A$158,0)),"No rate"))</f>
        <v>99.33</v>
      </c>
      <c r="E82" s="55" t="s">
        <v>62</v>
      </c>
      <c r="F82" s="49"/>
      <c r="G82" s="49"/>
      <c r="H82" s="49"/>
      <c r="I82" s="49"/>
      <c r="J82" s="50"/>
      <c r="K82" s="62">
        <f>IF(AND(K80=0,K81=0),0,MIN(IF(K80&lt;=0,0,IF(WEEKDAY(K$6,1)=1,0,IF(WEEKDAY(K$6,1)=7,0,MIN(8,K81)*K80))),MAX(0,40*MAX(1,K80)-(0))))</f>
        <v>0</v>
      </c>
      <c r="L82" s="63">
        <f>IF(AND(L80=0,L81=0),0,MIN(IF(L80&lt;=0,0,IF(WEEKDAY(L$6,1)=1,0,IF(WEEKDAY(L$6,1)=7,0,MIN(8,L81)*L80))),MAX(0,40*MAX(1,L80)-(K82))))</f>
        <v>0</v>
      </c>
      <c r="M82" s="63">
        <f>IF(AND(M80=0,M81=0),0,MIN(IF(M80&lt;=0,0,IF(WEEKDAY(M$6,1)=1,0,IF(WEEKDAY(M$6,1)=7,0,MIN(8,M81)*M80))),MAX(0,40*MAX(1,M80)-(K82+L82))))</f>
        <v>0</v>
      </c>
      <c r="N82" s="63">
        <f>IF(AND(N80=0,N81=0),0,MIN(IF(N80&lt;=0,0,IF(WEEKDAY(N$6,1)=1,0,IF(WEEKDAY(N$6,1)=7,0,MIN(8,N81)*N80))),MAX(0,40*MAX(1,N80)-(K82+L82+M82))))</f>
        <v>0</v>
      </c>
      <c r="O82" s="63">
        <f>IF(AND(O80=0,O81=0),0,MIN(IF(O80&lt;=0,0,IF(WEEKDAY(O$6,1)=1,0,IF(WEEKDAY(O$6,1)=7,0,MIN(8,O81)*O80))),MAX(0,40*MAX(1,O80)-(K82+L82+M82+N82))))</f>
        <v>0</v>
      </c>
      <c r="P82" s="64">
        <f>IF(AND(P80=0,P81=0),0,MIN(IF(P80&lt;=0,0,IF(WEEKDAY(P$6,1)=1,0,IF(WEEKDAY(P$6,1)=7,0,MIN(8,P81)*P80))),MAX(0,40*MAX(1,P80)-(K82+L82+M82+N82+O82))))</f>
        <v>0</v>
      </c>
      <c r="Q82" s="64">
        <f>IF(AND(Q80=0,Q81=0),0,MIN(IF(Q80&lt;=0,0,IF(WEEKDAY(Q$6,1)=1,0,IF(WEEKDAY(Q$6,1)=7,0,MIN(8,Q81)*Q80))),MAX(0,40*MAX(1,Q80)-(K82+L82+M82+N82+O82+P82))))</f>
        <v>0</v>
      </c>
      <c r="R82" s="63">
        <f>IF(AND(R80=0,R81=0),0,MIN(IF(R80&lt;=0,0,IF(WEEKDAY(R$6,1)=1,0,IF(WEEKDAY(R$6,1)=7,0,MIN(8,R81)*R80))),MAX(0,40*MAX(1,R80)-(0))))</f>
        <v>0</v>
      </c>
      <c r="S82" s="63">
        <f>IF(AND(S80=0,S81=0),0,MIN(IF(S80&lt;=0,0,IF(WEEKDAY(S$6,1)=1,0,IF(WEEKDAY(S$6,1)=7,0,MIN(8,S81)*S80))),MAX(0,40*MAX(1,S80)-(R82))))</f>
        <v>0</v>
      </c>
      <c r="T82" s="63">
        <f>IF(AND(T80=0,T81=0),0,MIN(IF(T80&lt;=0,0,IF(WEEKDAY(T$6,1)=1,0,IF(WEEKDAY(T$6,1)=7,0,MIN(8,T81)*T80))),MAX(0,40*MAX(1,T80)-(R82+S82))))</f>
        <v>0</v>
      </c>
      <c r="U82" s="63">
        <f>IF(AND(U80=0,U81=0),0,MIN(IF(U80&lt;=0,0,IF(WEEKDAY(U$6,1)=1,0,IF(WEEKDAY(U$6,1)=7,0,MIN(8,U81)*U80))),MAX(0,40*MAX(1,U80)-(R82+S82+T82))))</f>
        <v>0</v>
      </c>
      <c r="V82" s="63">
        <f>IF(AND(V80=0,V81=0),0,MIN(IF(V80&lt;=0,0,IF(WEEKDAY(V$6,1)=1,0,IF(WEEKDAY(V$6,1)=7,0,MIN(8,V81)*V80))),MAX(0,40*MAX(1,V80)-(R82+S82+T82+U82))))</f>
        <v>0</v>
      </c>
      <c r="W82" s="64">
        <f>IF(AND(W80=0,W81=0),0,MIN(IF(W80&lt;=0,0,IF(WEEKDAY(W$6,1)=1,0,IF(WEEKDAY(W$6,1)=7,0,MIN(8,W81)*W80))),MAX(0,40*MAX(1,W80)-(R82+S82+T82+U82+V82))))</f>
        <v>0</v>
      </c>
      <c r="X82" s="64">
        <f>IF(AND(X80=0,X81=0),0,MIN(IF(X80&lt;=0,0,IF(WEEKDAY(X$6,1)=1,0,IF(WEEKDAY(X$6,1)=7,0,MIN(8,X81)*X80))),MAX(0,40*MAX(1,X80)-(R82+S82+T82+U82+V82+W82))))</f>
        <v>0</v>
      </c>
      <c r="Y82" s="63">
        <f>IF(AND(Y80=0,Y81=0),0,MIN(IF(Y80&lt;=0,0,IF(WEEKDAY(Y$6,1)=1,0,IF(WEEKDAY(Y$6,1)=7,0,MIN(8,Y81)*Y80))),MAX(0,40*MAX(1,Y80)-(0))))</f>
        <v>0</v>
      </c>
      <c r="Z82" s="63">
        <f>IF(AND(Z80=0,Z81=0),0,MIN(IF(Z80&lt;=0,0,IF(WEEKDAY(Z$6,1)=1,0,IF(WEEKDAY(Z$6,1)=7,0,MIN(8,Z81)*Z80))),MAX(0,40*MAX(1,Z80)-(Y82))))</f>
        <v>0</v>
      </c>
      <c r="AA82" s="63">
        <f>IF(AND(AA80=0,AA81=0),0,MIN(IF(AA80&lt;=0,0,IF(WEEKDAY(AA$6,1)=1,0,IF(WEEKDAY(AA$6,1)=7,0,MIN(8,AA81)*AA80))),MAX(0,40*MAX(1,AA80)-(Y82+Z82))))</f>
        <v>0</v>
      </c>
      <c r="AB82" s="63">
        <f>IF(AND(AB80=0,AB81=0),0,MIN(IF(AB80&lt;=0,0,IF(WEEKDAY(AB$6,1)=1,0,IF(WEEKDAY(AB$6,1)=7,0,MIN(8,AB81)*AB80))),MAX(0,40*MAX(1,AB80)-(Y82+Z82+AA82))))</f>
        <v>0</v>
      </c>
      <c r="AC82" s="63">
        <f>IF(AND(AC80=0,AC81=0),0,MIN(IF(AC80&lt;=0,0,IF(WEEKDAY(AC$6,1)=1,0,IF(WEEKDAY(AC$6,1)=7,0,MIN(8,AC81)*AC80))),MAX(0,40*MAX(1,AC80)-(Y82+Z82+AA82+AB82))))</f>
        <v>0</v>
      </c>
      <c r="AD82" s="64">
        <f>IF(AND(AD80=0,AD81=0),0,MIN(IF(AD80&lt;=0,0,IF(WEEKDAY(AD$6,1)=1,0,IF(WEEKDAY(AD$6,1)=7,0,MIN(8,AD81)*AD80))),MAX(0,40*MAX(1,AD80)-(Y82+Z82+AA82+AB82+AC82))))</f>
        <v>0</v>
      </c>
      <c r="AE82" s="64">
        <f>IF(AND(AE80=0,AE81=0),0,MIN(IF(AE80&lt;=0,0,IF(WEEKDAY(AE$6,1)=1,0,IF(WEEKDAY(AE$6,1)=7,0,MIN(8,AE81)*AE80))),MAX(0,40*MAX(1,AE80)-(Y82+Z82+AA82+AB82+AC82+AD82))))</f>
        <v>0</v>
      </c>
      <c r="AF82" s="63">
        <f>IF(AND(AF80=0,AF81=0),0,MIN(IF(AF80&lt;=0,0,IF(WEEKDAY(AF$6,1)=1,0,IF(WEEKDAY(AF$6,1)=7,0,MIN(8,AF81)*AF80))),MAX(0,40*MAX(1,AF80)-(0))))</f>
        <v>0</v>
      </c>
      <c r="AG82" s="63">
        <f>IF(AND(AG80=0,AG81=0),0,MIN(IF(AG80&lt;=0,0,IF(WEEKDAY(AG$6,1)=1,0,IF(WEEKDAY(AG$6,1)=7,0,MIN(8,AG81)*AG80))),MAX(0,40*MAX(1,AG80)-(AF82))))</f>
        <v>0</v>
      </c>
      <c r="AH82" s="63">
        <f>IF(AND(AH80=0,AH81=0),0,MIN(IF(AH80&lt;=0,0,IF(WEEKDAY(AH$6,1)=1,0,IF(WEEKDAY(AH$6,1)=7,0,MIN(8,AH81)*AH80))),MAX(0,40*MAX(1,AH80)-(AF82+AG82))))</f>
        <v>0</v>
      </c>
      <c r="AI82" s="63">
        <f>IF(AND(AI80=0,AI81=0),0,MIN(IF(AI80&lt;=0,0,IF(WEEKDAY(AI$6,1)=1,0,IF(WEEKDAY(AI$6,1)=7,0,MIN(8,AI81)*AI80))),MAX(0,40*MAX(1,AI80)-(AF82+AG82+AH82))))</f>
        <v>0</v>
      </c>
      <c r="AJ82" s="63">
        <f>IF(AND(AJ80=0,AJ81=0),0,MIN(IF(AJ80&lt;=0,0,IF(WEEKDAY(AJ$6,1)=1,0,IF(WEEKDAY(AJ$6,1)=7,0,MIN(8,AJ81)*AJ80))),MAX(0,40*MAX(1,AJ80)-(AF82+AG82+AH82+AI82))))</f>
        <v>0</v>
      </c>
      <c r="AK82" s="64">
        <f>IF(AND(AK80=0,AK81=0),0,MIN(IF(AK80&lt;=0,0,IF(WEEKDAY(AK$6,1)=1,0,IF(WEEKDAY(AK$6,1)=7,0,MIN(8,AK81)*AK80))),MAX(0,40*MAX(1,AK80)-(AF82+AG82+AH82+AI82+AJ82))))</f>
        <v>0</v>
      </c>
      <c r="AL82" s="64">
        <f>IF(AND(AL80=0,AL81=0),0,MIN(IF(AL80&lt;=0,0,IF(WEEKDAY(AL$6,1)=1,0,IF(WEEKDAY(AL$6,1)=7,0,MIN(8,AL81)*AL80))),MAX(0,40*MAX(1,AL80)-(AF82+AG82+AH82+AI82+AJ82+AK82))))</f>
        <v>0</v>
      </c>
      <c r="AM82" s="63">
        <f>IF(AND(AM80=0,AM81=0),0,MIN(IF(AM80&lt;=0,0,IF(WEEKDAY(AM$6,1)=1,0,IF(WEEKDAY(AM$6,1)=7,0,MIN(8,AM81)*AM80))),MAX(0,40*MAX(1,AM80)-(0))))</f>
        <v>0</v>
      </c>
      <c r="AN82" s="63">
        <f>IF(AND(AN80=0,AN81=0),0,MIN(IF(AN80&lt;=0,0,IF(WEEKDAY(AN$6,1)=1,0,IF(WEEKDAY(AN$6,1)=7,0,MIN(8,AN81)*AN80))),MAX(0,40*MAX(1,AN80)-(AM82))))</f>
        <v>0</v>
      </c>
      <c r="AO82" s="63">
        <f>IF(AND(AO80=0,AO81=0),0,MIN(IF(AO80&lt;=0,0,IF(WEEKDAY(AO$6,1)=1,0,IF(WEEKDAY(AO$6,1)=7,0,MIN(8,AO81)*AO80))),MAX(0,40*MAX(1,AO80)-(AM82+AN82))))</f>
        <v>0</v>
      </c>
      <c r="AP82" s="63">
        <f>IF(AND(AP80=0,AP81=0),0,MIN(IF(AP80&lt;=0,0,IF(WEEKDAY(AP$6,1)=1,0,IF(WEEKDAY(AP$6,1)=7,0,MIN(8,AP81)*AP80))),MAX(0,40*MAX(1,AP80)-(AM82+AN82+AO82))))</f>
        <v>0</v>
      </c>
      <c r="AQ82" s="63">
        <f>IF(AND(AQ80=0,AQ81=0),0,MIN(IF(AQ80&lt;=0,0,IF(WEEKDAY(AQ$6,1)=1,0,IF(WEEKDAY(AQ$6,1)=7,0,MIN(8,AQ81)*AQ80))),MAX(0,40*MAX(1,AQ80)-(AM82+AN82+AO82+AP82))))</f>
        <v>0</v>
      </c>
      <c r="AR82" s="64">
        <f>IF(AND(AR80=0,AR81=0),0,MIN(IF(AR80&lt;=0,0,IF(WEEKDAY(AR$6,1)=1,0,IF(WEEKDAY(AR$6,1)=7,0,MIN(8,AR81)*AR80))),MAX(0,40*MAX(1,AR80)-(AM82+AN82+AO82+AP82+AQ82))))</f>
        <v>0</v>
      </c>
      <c r="AS82" s="64">
        <f>IF(AND(AS80=0,AS81=0),0,MIN(IF(AS80&lt;=0,0,IF(WEEKDAY(AS$6,1)=1,0,IF(WEEKDAY(AS$6,1)=7,0,MIN(8,AS81)*AS80))),MAX(0,40*MAX(1,AS80)-(AM82+AN82+AO82+AP82+AQ82+AR82))))</f>
        <v>0</v>
      </c>
      <c r="AT82" s="63">
        <f>IF(AND(AT80=0,AT81=0),0,MIN(IF(AT80&lt;=0,0,IF(WEEKDAY(AT$6,1)=1,0,IF(WEEKDAY(AT$6,1)=7,0,MIN(8,AT81)*AT80))),MAX(0,40*MAX(1,AT80)-(0))))</f>
        <v>0</v>
      </c>
      <c r="AU82" s="63">
        <f>IF(AND(AU80=0,AU81=0),0,MIN(IF(AU80&lt;=0,0,IF(WEEKDAY(AU$6,1)=1,0,IF(WEEKDAY(AU$6,1)=7,0,MIN(8,AU81)*AU80))),MAX(0,40*MAX(1,AU80)-(AT82))))</f>
        <v>0</v>
      </c>
      <c r="AV82" s="63">
        <f>IF(AND(AV80=0,AV81=0),0,MIN(IF(AV80&lt;=0,0,IF(WEEKDAY(AV$6,1)=1,0,IF(WEEKDAY(AV$6,1)=7,0,MIN(8,AV81)*AV80))),MAX(0,40*MAX(1,AV80)-(AT82+AU82))))</f>
        <v>0</v>
      </c>
      <c r="AW82" s="63">
        <f>IF(AND(AW80=0,AW81=0),0,MIN(IF(AW80&lt;=0,0,IF(WEEKDAY(AW$6,1)=1,0,IF(WEEKDAY(AW$6,1)=7,0,MIN(8,AW81)*AW80))),MAX(0,40*MAX(1,AW80)-(AT82+AU82+AV82))))</f>
        <v>0</v>
      </c>
      <c r="AX82" s="63">
        <f>IF(AND(AX80=0,AX81=0),0,MIN(IF(AX80&lt;=0,0,IF(WEEKDAY(AX$6,1)=1,0,IF(WEEKDAY(AX$6,1)=7,0,MIN(8,AX81)*AX80))),MAX(0,40*MAX(1,AX80)-(AT82+AU82+AV82+AW82))))</f>
        <v>0</v>
      </c>
      <c r="AY82" s="64">
        <f>IF(AND(AY80=0,AY81=0),0,MIN(IF(AY80&lt;=0,0,IF(WEEKDAY(AY$6,1)=1,0,IF(WEEKDAY(AY$6,1)=7,0,MIN(8,AY81)*AY80))),MAX(0,40*MAX(1,AY80)-(AT82+AU82+AV82+AW82+AX82))))</f>
        <v>0</v>
      </c>
      <c r="AZ82" s="64">
        <f>IF(AND(AZ80=0,AZ81=0),0,MIN(IF(AZ80&lt;=0,0,IF(WEEKDAY(AZ$6,1)=1,0,IF(WEEKDAY(AZ$6,1)=7,0,MIN(8,AZ81)*AZ80))),MAX(0,40*MAX(1,AZ80)-(AT82+AU82+AV82+AW82+AX82+AY82))))</f>
        <v>0</v>
      </c>
      <c r="BA82" s="63">
        <f>IF(AND(BA80=5,BA81=8),40,MIN(IF(BA80&lt;=0,0,IF(WEEKDAY(BA$6,1)=1,0,IF(WEEKDAY(BA$6,1)=7,0,MIN(8,BA81)*BA80))),MAX(0,40*MAX(1,BA80)-(0))))</f>
        <v>40</v>
      </c>
      <c r="BB82" s="63">
        <f>IF(AND(BB80=5,BB81=8),40,MIN(IF(BB80&lt;=0,0,IF(WEEKDAY(BB$6,1)=1,0,IF(WEEKDAY(BB$6,1)=7,0,MIN(8,BB81)*BB80))),MAX(0,40*MAX(1,BB80)-(BA82))))</f>
        <v>40</v>
      </c>
      <c r="BC82" s="63">
        <f>IF(AND(BC80=5,BC81=8),40,MIN(IF(BC80&lt;=0,0,IF(WEEKDAY(BC$6,1)=1,0,IF(WEEKDAY(BC$6,1)=7,0,MIN(8,BC81)*BC80))),MAX(0,40*MAX(1,BC80)-(BA82+BB82))))</f>
        <v>40</v>
      </c>
      <c r="BD82" s="63">
        <f>IF(AND(BD80=5,BD81=8),40,MIN(IF(BD80&lt;=0,0,IF(WEEKDAY(BD$6,1)=1,0,IF(WEEKDAY(BD$6,1)=7,0,MIN(8,BD81)*BD80))),MAX(0,40*MAX(1,BD80)-(BA82+BB82+BC82))))</f>
        <v>40</v>
      </c>
      <c r="BE82" s="63">
        <f>IF(AND(BE80=5,BE81=8),40,MIN(IF(BE80&lt;=0,0,IF(WEEKDAY(BE$6,1)=1,0,IF(WEEKDAY(BE$6,1)=7,0,MIN(8,BE81)*BE80))),MAX(0,40*MAX(1,BE80)-(BA82+BB82+BC82+BD82))))</f>
        <v>40</v>
      </c>
      <c r="BF82" s="64">
        <f>IF(AND(BF80=0,BF81=0),0,MIN(IF(BF80&lt;=0,0,IF(WEEKDAY(BF$6,1)=1,0,IF(WEEKDAY(BF$6,1)=7,0,MIN(8,BF81)*BF80))),MAX(0,40*MAX(1,BF80)-(0))))</f>
        <v>0</v>
      </c>
      <c r="BG82" s="64">
        <f>IF(AND(BG80=0,BG81=0),0,MIN(IF(BG80&lt;=0,0,IF(WEEKDAY(BG$6,1)=1,0,IF(WEEKDAY(BG$6,1)=7,0,MIN(8,BG81)*BG80))),MAX(0,40*MAX(1,BG80)-(BF82))))</f>
        <v>0</v>
      </c>
      <c r="BH82" s="63">
        <f>IF(AND(BH80=0,BH81=0),0,MIN(IF(BH80&lt;=0,0,IF(WEEKDAY(BH$6,1)=1,0,IF(WEEKDAY(BH$6,1)=7,0,MIN(8,BH81)*BH80))),MAX(0,40*MAX(1,BH80)-(0))))</f>
        <v>0</v>
      </c>
      <c r="BI82" s="63">
        <f>IF(AND(BI80=0,BI81=0),0,MIN(IF(BI80&lt;=0,0,IF(WEEKDAY(BI$6,1)=1,0,IF(WEEKDAY(BI$6,1)=7,0,MIN(8,BI81)*BI80))),MAX(0,40*MAX(1,BI80)-(BH82))))</f>
        <v>0</v>
      </c>
      <c r="BJ82" s="63">
        <f>IF(AND(BJ80=0,BJ81=0),0,MIN(IF(BJ80&lt;=0,0,IF(WEEKDAY(BJ$6,1)=1,0,IF(WEEKDAY(BJ$6,1)=7,0,MIN(8,BJ81)*BJ80))),MAX(0,40*MAX(1,BJ80)-(BH82+BI82))))</f>
        <v>0</v>
      </c>
      <c r="BK82" s="63">
        <f>IF(AND(BK80=0,BK81=0),0,MIN(IF(BK80&lt;=0,0,IF(WEEKDAY(BK$6,1)=1,0,IF(WEEKDAY(BK$6,1)=7,0,MIN(8,BK81)*BK80))),MAX(0,40*MAX(1,BK80)-(BH82+BI82+BJ82))))</f>
        <v>0</v>
      </c>
      <c r="BL82" s="63">
        <f>IF(AND(BL80=0,BL81=0),0,MIN(IF(BL80&lt;=0,0,IF(WEEKDAY(BL$6,1)=1,0,IF(WEEKDAY(BL$6,1)=7,0,MIN(8,BL81)*BL80))),MAX(0,40*MAX(1,BL80)-(BH82+BI82+BJ82+BK82))))</f>
        <v>0</v>
      </c>
      <c r="BM82" s="64">
        <f>IF(AND(BM80=0,BM81=0),0,MIN(IF(BM80&lt;=0,0,IF(WEEKDAY(BM$6,1)=1,0,IF(WEEKDAY(BM$6,1)=7,0,MIN(8,BM81)*BM80))),MAX(0,40*MAX(1,BM80)-(BH82+BI82+BJ82+BK82+BL82))))</f>
        <v>0</v>
      </c>
      <c r="BN82" s="64">
        <f>IF(AND(BN80=0,BN81=0),0,MIN(IF(BN80&lt;=0,0,IF(WEEKDAY(BN$6,1)=1,0,IF(WEEKDAY(BN$6,1)=7,0,MIN(8,BN81)*BN80))),MAX(0,40*MAX(1,BN80)-(BH82+BI82+BJ82+BK82+BL82+BM82))))</f>
        <v>0</v>
      </c>
      <c r="BO82" s="63">
        <f>IF(AND(BO80=0,BO81=0),0,MIN(IF(BO80&lt;=0,0,IF(WEEKDAY(BO$6,1)=1,0,IF(WEEKDAY(BO$6,1)=7,0,MIN(8,BO81)*BO80))),MAX(0,40*MAX(1,BO80)-(0))))</f>
        <v>0</v>
      </c>
      <c r="BP82" s="63">
        <f>IF(AND(BP80=0,BP81=0),0,MIN(IF(BP80&lt;=0,0,IF(WEEKDAY(BP$6,1)=1,0,IF(WEEKDAY(BP$6,1)=7,0,MIN(8,BP81)*BP80))),MAX(0,40*MAX(1,BP80)-(BO82))))</f>
        <v>0</v>
      </c>
      <c r="BQ82" s="63">
        <f>IF(AND(BQ80=0,BQ81=0),0,MIN(IF(BQ80&lt;=0,0,IF(WEEKDAY(BQ$6,1)=1,0,IF(WEEKDAY(BQ$6,1)=7,0,MIN(8,BQ81)*BQ80))),MAX(0,40*MAX(1,BQ80)-(BO82+BP82))))</f>
        <v>0</v>
      </c>
      <c r="BR82" s="63">
        <f>IF(AND(BR80=0,BR81=0),0,MIN(IF(BR80&lt;=0,0,IF(WEEKDAY(BR$6,1)=1,0,IF(WEEKDAY(BR$6,1)=7,0,MIN(8,BR81)*BR80))),MAX(0,40*MAX(1,BR80)-(BO82+BP82+BQ82))))</f>
        <v>0</v>
      </c>
      <c r="BS82" s="63">
        <f>IF(AND(BS80=0,BS81=0),0,MIN(IF(BS80&lt;=0,0,IF(WEEKDAY(BS$6,1)=1,0,IF(WEEKDAY(BS$6,1)=7,0,MIN(8,BS81)*BS80))),MAX(0,40*MAX(1,BS80)-(BO82+BP82+BQ82+BR82))))</f>
        <v>0</v>
      </c>
      <c r="BT82" s="64">
        <f>IF(AND(BT80=0,BT81=0),0,MIN(IF(BT80&lt;=0,0,IF(WEEKDAY(BT$6,1)=1,0,IF(WEEKDAY(BT$6,1)=7,0,MIN(8,BT81)*BT80))),MAX(0,40*MAX(1,BT80)-(BO82+BP82+BQ82+BR82+BS82))))</f>
        <v>0</v>
      </c>
      <c r="BU82" s="64">
        <f>IF(AND(BU80=0,BU81=0),0,MIN(IF(BU80&lt;=0,0,IF(WEEKDAY(BU$6,1)=1,0,IF(WEEKDAY(BU$6,1)=7,0,MIN(8,BU81)*BU80))),MAX(0,40*MAX(1,BU80)-(BO82+BP82+BQ82+BR82+BS82+BT82))))</f>
        <v>0</v>
      </c>
      <c r="BV82" s="63">
        <f>IF(AND(BV80=0,BV81=0),0,MIN(IF(BV80&lt;=0,0,IF(WEEKDAY(BV$6,1)=1,0,IF(WEEKDAY(BV$6,1)=7,0,MIN(8,BV81)*BV80))),MAX(0,40*MAX(1,BV80)-(0))))</f>
        <v>0</v>
      </c>
      <c r="BW82" s="63">
        <f>IF(AND(BW80=0,BW81=0),0,MIN(IF(BW80&lt;=0,0,IF(WEEKDAY(BW$6,1)=1,0,IF(WEEKDAY(BW$6,1)=7,0,MIN(8,BW81)*BW80))),MAX(0,40*MAX(1,BW80)-(BV82))))</f>
        <v>0</v>
      </c>
      <c r="BX82" s="63">
        <f>IF(AND(BX80=0,BX81=0),0,MIN(IF(BX80&lt;=0,0,IF(WEEKDAY(BX$6,1)=1,0,IF(WEEKDAY(BX$6,1)=7,0,MIN(8,BX81)*BX80))),MAX(0,40*MAX(1,BX80)-(BV82+BW82))))</f>
        <v>0</v>
      </c>
      <c r="BY82" s="63">
        <f>IF(AND(BY80=0,BY81=0),0,MIN(IF(BY80&lt;=0,0,IF(WEEKDAY(BY$6,1)=1,0,IF(WEEKDAY(BY$6,1)=7,0,MIN(8,BY81)*BY80))),MAX(0,40*MAX(1,BY80)-(BV82+BW82+BX82))))</f>
        <v>0</v>
      </c>
      <c r="BZ82" s="63">
        <f>IF(AND(BZ80=0,BZ81=0),0,MIN(IF(BZ80&lt;=0,0,IF(WEEKDAY(BZ$6,1)=1,0,IF(WEEKDAY(BZ$6,1)=7,0,MIN(8,BZ81)*BZ80))),MAX(0,40*MAX(1,BZ80)-(BV82+BW82+BX82+BY82))))</f>
        <v>0</v>
      </c>
      <c r="CA82" s="64">
        <f>IF(AND(CA80=0,CA81=0),0,MIN(IF(CA80&lt;=0,0,IF(WEEKDAY(CA$6,1)=1,0,IF(WEEKDAY(CA$6,1)=7,0,MIN(8,CA81)*CA80))),MAX(0,40*MAX(1,CA80)-(BV82+BW82+BX82+BY82+BZ82))))</f>
        <v>0</v>
      </c>
      <c r="CB82" s="64">
        <f>IF(AND(CB80=0,CB81=0),0,MIN(IF(CB80&lt;=0,0,IF(WEEKDAY(CB$6,1)=1,0,IF(WEEKDAY(CB$6,1)=7,0,MIN(8,CB81)*CB80))),MAX(0,40*MAX(1,CB80)-(BV82+BW82+BX82+BY82+BZ82+CA82))))</f>
        <v>0</v>
      </c>
      <c r="CC82" s="63">
        <f>IF(AND(CC80=0,CC81=0),0,MIN(IF(CC80&lt;=0,0,IF(WEEKDAY(CC$6,1)=1,0,IF(WEEKDAY(CC$6,1)=7,0,MIN(8,CC81)*CC80))),MAX(0,40*MAX(1,CC80)-(0))))</f>
        <v>0</v>
      </c>
      <c r="CD82" s="63">
        <f>IF(AND(CD80=0,CD81=0),0,MIN(IF(CD80&lt;=0,0,IF(WEEKDAY(CD$6,1)=1,0,IF(WEEKDAY(CD$6,1)=7,0,MIN(8,CD81)*CD80))),MAX(0,40*MAX(1,CD80)-(CC82))))</f>
        <v>0</v>
      </c>
      <c r="CE82" s="63">
        <f>IF(AND(CE80=0,CE81=0),0,MIN(IF(CE80&lt;=0,0,IF(WEEKDAY(CE$6,1)=1,0,IF(WEEKDAY(CE$6,1)=7,0,MIN(8,CE81)*CE80))),MAX(0,40*MAX(1,CE80)-(CC82+CD82))))</f>
        <v>0</v>
      </c>
      <c r="CF82" s="63">
        <f>IF(AND(CF80=0,CF81=0),0,MIN(IF(CF80&lt;=0,0,IF(WEEKDAY(CF$6,1)=1,0,IF(WEEKDAY(CF$6,1)=7,0,MIN(8,CF81)*CF80))),MAX(0,40*MAX(1,CF80)-(CC82+CD82+CE82))))</f>
        <v>0</v>
      </c>
      <c r="CG82" s="63">
        <f>IF(AND(CG80=0,CG81=0),0,MIN(IF(CG80&lt;=0,0,IF(WEEKDAY(CG$6,1)=1,0,IF(WEEKDAY(CG$6,1)=7,0,MIN(8,CG81)*CG80))),MAX(0,40*MAX(1,CG80)-(CC82+CD82+CE82+CF82))))</f>
        <v>0</v>
      </c>
      <c r="CH82" s="64">
        <f>IF(AND(CH80=0,CH81=0),0,MIN(IF(CH80&lt;=0,0,IF(WEEKDAY(CH$6,1)=1,0,IF(WEEKDAY(CH$6,1)=7,0,MIN(8,CH81)*CH80))),MAX(0,40*MAX(1,CH80)-(CC82+CD82+CE82+CF82+CG82))))</f>
        <v>0</v>
      </c>
      <c r="CI82" s="64">
        <f>IF(AND(CI80=0,CI81=0),0,MIN(IF(CI80&lt;=0,0,IF(WEEKDAY(CI$6,1)=1,0,IF(WEEKDAY(CI$6,1)=7,0,MIN(8,CI81)*CI80))),MAX(0,40*MAX(1,CI80)-(CC82+CD82+CE82+CF82+CG82+CH82))))</f>
        <v>0</v>
      </c>
      <c r="CJ82" s="63">
        <f>IF(AND(CJ80=0,CJ81=0),0,MIN(IF(CJ80&lt;=0,0,IF(WEEKDAY(CJ$6,1)=1,0,IF(WEEKDAY(CJ$6,1)=7,0,MIN(8,CJ81)*CJ80))),MAX(0,40*MAX(1,CJ80)-(0))))</f>
        <v>0</v>
      </c>
      <c r="CK82" s="63">
        <f>IF(AND(CK80=0,CK81=0),0,MIN(IF(CK80&lt;=0,0,IF(WEEKDAY(CK$6,1)=1,0,IF(WEEKDAY(CK$6,1)=7,0,MIN(8,CK81)*CK80))),MAX(0,40*MAX(1,CK80)-(CJ82))))</f>
        <v>0</v>
      </c>
      <c r="CL82" s="63">
        <f>IF(AND(CL80=0,CL81=0),0,MIN(IF(CL80&lt;=0,0,IF(WEEKDAY(CL$6,1)=1,0,IF(WEEKDAY(CL$6,1)=7,0,MIN(8,CL81)*CL80))),MAX(0,40*MAX(1,CL80)-(CJ82+CK82))))</f>
        <v>0</v>
      </c>
      <c r="CM82" s="63">
        <f>IF(AND(CM80=0,CM81=0),0,MIN(IF(CM80&lt;=0,0,IF(WEEKDAY(CM$6,1)=1,0,IF(WEEKDAY(CM$6,1)=7,0,MIN(8,CM81)*CM80))),MAX(0,40*MAX(1,CM80)-(CJ82+CK82+CL82))))</f>
        <v>0</v>
      </c>
      <c r="CN82" s="63">
        <f>IF(AND(CN80=0,CN81=0),0,MIN(IF(CN80&lt;=0,0,IF(WEEKDAY(CN$6,1)=1,0,IF(WEEKDAY(CN$6,1)=7,0,MIN(8,CN81)*CN80))),MAX(0,40*MAX(1,CN80)-(CJ82+CK82+CL82+CM82))))</f>
        <v>0</v>
      </c>
      <c r="CO82" s="64">
        <f>IF(AND(CO80=0,CO81=0),0,MIN(IF(CO80&lt;=0,0,IF(WEEKDAY(CO$6,1)=1,0,IF(WEEKDAY(CO$6,1)=7,0,MIN(8,CO81)*CO80))),MAX(0,40*MAX(1,CO80)-(CJ82+CK82+CL82+CM82+CN82))))</f>
        <v>0</v>
      </c>
      <c r="CP82" s="64">
        <f>IF(AND(CP80=0,CP81=0),0,MIN(IF(CP80&lt;=0,0,IF(WEEKDAY(CP$6,1)=1,0,IF(WEEKDAY(CP$6,1)=7,0,MIN(8,CP81)*CP80))),MAX(0,40*MAX(1,CP80)-(CJ82+CK82+CL82+CM82+CN82+CO82))))</f>
        <v>0</v>
      </c>
      <c r="CQ82" s="63">
        <f>IF(AND(CQ80=0,CQ81=0),0,MIN(IF(CQ80&lt;=0,0,IF(WEEKDAY(CQ$6,1)=1,0,IF(WEEKDAY(CQ$6,1)=7,0,MIN(8,CQ81)*CQ80))),MAX(0,40*MAX(1,CQ80)-(0))))</f>
        <v>0</v>
      </c>
      <c r="CR82" s="63">
        <f>IF(AND(CR80=0,CR81=0),0,MIN(IF(CR80&lt;=0,0,IF(WEEKDAY(CR$6,1)=1,0,IF(WEEKDAY(CR$6,1)=7,0,MIN(8,CR81)*CR80))),MAX(0,40*MAX(1,CR80)-(CQ82))))</f>
        <v>0</v>
      </c>
      <c r="CS82" s="63">
        <f>IF(AND(CS80=0,CS81=0),0,MIN(IF(CS80&lt;=0,0,IF(WEEKDAY(CS$6,1)=1,0,IF(WEEKDAY(CS$6,1)=7,0,MIN(8,CS81)*CS80))),MAX(0,40*MAX(1,CS80)-(CQ82+CR82))))</f>
        <v>0</v>
      </c>
      <c r="CT82" s="63">
        <f>IF(AND(CT80=0,CT81=0),0,MIN(IF(CT80&lt;=0,0,IF(WEEKDAY(CT$6,1)=1,0,IF(WEEKDAY(CT$6,1)=7,0,MIN(8,CT81)*CT80))),MAX(0,40*MAX(1,CT80)-(CQ82+CR82+CS82))))</f>
        <v>0</v>
      </c>
      <c r="CU82" s="63">
        <f>IF(AND(CU80=0,CU81=0),0,MIN(IF(CU80&lt;=0,0,IF(WEEKDAY(CU$6,1)=1,0,IF(WEEKDAY(CU$6,1)=7,0,MIN(8,CU81)*CU80))),MAX(0,40*MAX(1,CU80)-(CQ82+CR82+CS82+CT82))))</f>
        <v>0</v>
      </c>
      <c r="CV82" s="64">
        <f>IF(AND(CV80=0,CV81=0),0,MIN(IF(CV80&lt;=0,0,IF(WEEKDAY(CV$6,1)=1,0,IF(WEEKDAY(CV$6,1)=7,0,MIN(8,CV81)*CV80))),MAX(0,40*MAX(1,CV80)-(CQ82+CR82+CS82+CT82+CU82))))</f>
        <v>0</v>
      </c>
      <c r="CW82" s="64">
        <f>IF(AND(CW80=0,CW81=0),0,MIN(IF(CW80&lt;=0,0,IF(WEEKDAY(CW$6,1)=1,0,IF(WEEKDAY(CW$6,1)=7,0,MIN(8,CW81)*CW80))),MAX(0,40*MAX(1,CW80)-(CQ82+CR82+CS82+CT82+CU82+CV82))))</f>
        <v>0</v>
      </c>
      <c r="CX82" s="63">
        <f>IF(AND(CX80=0,CX81=0),0,MIN(IF(CX80&lt;=0,0,IF(WEEKDAY(CX$6,1)=1,0,IF(WEEKDAY(CX$6,1)=7,0,MIN(8,CX81)*CX80))),MAX(0,40*MAX(1,CX80)-(0))))</f>
        <v>0</v>
      </c>
      <c r="CY82" s="63">
        <f>IF(AND(CY80=0,CY81=0),0,MIN(IF(CY80&lt;=0,0,IF(WEEKDAY(CY$6,1)=1,0,IF(WEEKDAY(CY$6,1)=7,0,MIN(8,CY81)*CY80))),MAX(0,40*MAX(1,CY80)-(CX82))))</f>
        <v>0</v>
      </c>
      <c r="CZ82" s="63">
        <f>IF(AND(CZ80=0,CZ81=0),0,MIN(IF(CZ80&lt;=0,0,IF(WEEKDAY(CZ$6,1)=1,0,IF(WEEKDAY(CZ$6,1)=7,0,MIN(8,CZ81)*CZ80))),MAX(0,40*MAX(1,CZ80)-(CX82+CY82))))</f>
        <v>0</v>
      </c>
      <c r="DA82" s="63">
        <f>IF(AND(DA80=0,DA81=0),0,MIN(IF(DA80&lt;=0,0,IF(WEEKDAY(DA$6,1)=1,0,IF(WEEKDAY(DA$6,1)=7,0,MIN(8,DA81)*DA80))),MAX(0,40*MAX(1,DA80)-(CX82+CY82+CZ82))))</f>
        <v>0</v>
      </c>
      <c r="DB82" s="63">
        <f>IF(AND(DB80=0,DB81=0),0,MIN(IF(DB80&lt;=0,0,IF(WEEKDAY(DB$6,1)=1,0,IF(WEEKDAY(DB$6,1)=7,0,MIN(8,DB81)*DB80))),MAX(0,40*MAX(1,DB80)-(CX82+CY82+CZ82+DA82))))</f>
        <v>0</v>
      </c>
      <c r="DC82" s="64">
        <f>IF(AND(DC80=0,DC81=0),0,MIN(IF(DC80&lt;=0,0,IF(WEEKDAY(DC$6,1)=1,0,IF(WEEKDAY(DC$6,1)=7,0,MIN(8,DC81)*DC80))),MAX(0,40*MAX(1,DC80)-(CX82+CY82+CZ82+DA82+DB82))))</f>
        <v>0</v>
      </c>
      <c r="DD82" s="64">
        <f>IF(AND(DD80=0,DD81=0),0,MIN(IF(DD80&lt;=0,0,IF(WEEKDAY(DD$6,1)=1,0,IF(WEEKDAY(DD$6,1)=7,0,MIN(8,DD81)*DD80))),MAX(0,40*MAX(1,DD80)-(CX82+CY82+CZ82+DA82+DB82+DC82))))</f>
        <v>0</v>
      </c>
      <c r="DE82" s="63">
        <f>IF(AND(DE80=0,DE81=0),0,MIN(IF(DE80&lt;=0,0,IF(WEEKDAY(DE$6,1)=1,0,IF(WEEKDAY(DE$6,1)=7,0,MIN(8,DE81)*DE80))),MAX(0,40*MAX(1,DE80)-(0))))</f>
        <v>0</v>
      </c>
      <c r="DF82" s="63">
        <f>IF(AND(DF80=0,DF81=0),0,MIN(IF(DF80&lt;=0,0,IF(WEEKDAY(DF$6,1)=1,0,IF(WEEKDAY(DF$6,1)=7,0,MIN(8,DF81)*DF80))),MAX(0,40*MAX(1,DF80)-(DE82))))</f>
        <v>0</v>
      </c>
      <c r="DG82" s="63">
        <f>IF(AND(DG80=0,DG81=0),0,MIN(IF(DG80&lt;=0,0,IF(WEEKDAY(DG$6,1)=1,0,IF(WEEKDAY(DG$6,1)=7,0,MIN(8,DG81)*DG80))),MAX(0,40*MAX(1,DG80)-(DE82+DF82))))</f>
        <v>0</v>
      </c>
      <c r="DH82" s="63">
        <f>IF(AND(DH80=0,DH81=0),0,MIN(IF(DH80&lt;=0,0,IF(WEEKDAY(DH$6,1)=1,0,IF(WEEKDAY(DH$6,1)=7,0,MIN(8,DH81)*DH80))),MAX(0,40*MAX(1,DH80)-(DE82+DF82+DG82))))</f>
        <v>0</v>
      </c>
      <c r="DI82" s="63">
        <f>IF(AND(DI80=0,DI81=0),0,MIN(IF(DI80&lt;=0,0,IF(WEEKDAY(DI$6,1)=1,0,IF(WEEKDAY(DI$6,1)=7,0,MIN(8,DI81)*DI80))),MAX(0,40*MAX(1,DI80)-(DE82+DF82+DG82+DH82))))</f>
        <v>0</v>
      </c>
      <c r="DJ82" s="64">
        <f>IF(AND(DJ80=0,DJ81=0),0,MIN(IF(DJ80&lt;=0,0,IF(WEEKDAY(DJ$6,1)=1,0,IF(WEEKDAY(DJ$6,1)=7,0,MIN(8,DJ81)*DJ80))),MAX(0,40*MAX(1,DJ80)-(DE82+DF82+DG82+DH82+DI82))))</f>
        <v>0</v>
      </c>
      <c r="DK82" s="64">
        <f>IF(AND(DK80=0,DK81=0),0,MIN(IF(DK80&lt;=0,0,IF(WEEKDAY(DK$6,1)=1,0,IF(WEEKDAY(DK$6,1)=7,0,MIN(8,DK81)*DK80))),MAX(0,40*MAX(1,DK80)-(DE82+DF82+DG82+DH82+DI82+DJ82))))</f>
        <v>0</v>
      </c>
      <c r="DL82" s="63">
        <f>IF(AND(DL80=0,DL81=0),0,MIN(IF(DL80&lt;=0,0,IF(WEEKDAY(DL$6,1)=1,0,IF(WEEKDAY(DL$6,1)=7,0,MIN(8,DL81)*DL80))),MAX(0,40*MAX(1,DL80)-(0))))</f>
        <v>0</v>
      </c>
      <c r="DM82" s="63">
        <f>IF(AND(DM80=0,DM81=0),0,MIN(IF(DM80&lt;=0,0,IF(WEEKDAY(DM$6,1)=1,0,IF(WEEKDAY(DM$6,1)=7,0,MIN(8,DM81)*DM80))),MAX(0,40*MAX(1,DM80)-(DL82))))</f>
        <v>0</v>
      </c>
      <c r="DN82" s="63">
        <f>IF(AND(DN80=0,DN81=0),0,MIN(IF(DN80&lt;=0,0,IF(WEEKDAY(DN$6,1)=1,0,IF(WEEKDAY(DN$6,1)=7,0,MIN(8,DN81)*DN80))),MAX(0,40*MAX(1,DN80)-(DL82+DM82))))</f>
        <v>0</v>
      </c>
      <c r="DO82" s="63">
        <f>IF(AND(DO80=0,DO81=0),0,MIN(IF(DO80&lt;=0,0,IF(WEEKDAY(DO$6,1)=1,0,IF(WEEKDAY(DO$6,1)=7,0,MIN(8,DO81)*DO80))),MAX(0,40*MAX(1,DO80)-(DL82+DM82+DN82))))</f>
        <v>0</v>
      </c>
      <c r="DP82" s="63">
        <f>IF(AND(DP80=0,DP81=0),0,MIN(IF(DP80&lt;=0,0,IF(WEEKDAY(DP$6,1)=1,0,IF(WEEKDAY(DP$6,1)=7,0,MIN(8,DP81)*DP80))),MAX(0,40*MAX(1,DP80)-(DL82+DM82+DN82+DO82))))</f>
        <v>0</v>
      </c>
      <c r="DQ82" s="64">
        <f>IF(AND(DQ80=0,DQ81=0),0,MIN(IF(DQ80&lt;=0,0,IF(WEEKDAY(DQ$6,1)=1,0,IF(WEEKDAY(DQ$6,1)=7,0,MIN(8,DQ81)*DQ80))),MAX(0,40*MAX(1,DQ80)-(DL82+DM82+DN82+DO82+DP82))))</f>
        <v>0</v>
      </c>
      <c r="DR82" s="64">
        <f>IF(AND(DR80=0,DR81=0),0,MIN(IF(DR80&lt;=0,0,IF(WEEKDAY(DR$6,1)=1,0,IF(WEEKDAY(DR$6,1)=7,0,MIN(8,DR81)*DR80))),MAX(0,40*MAX(1,DR80)-(DL82+DM82+DN82+DO82+DP82+DQ82))))</f>
        <v>0</v>
      </c>
      <c r="DS82" s="63">
        <f>IF(AND(DS80=0,DS81=0),0,MIN(IF(DS80&lt;=0,0,IF(WEEKDAY(DS$6,1)=1,0,IF(WEEKDAY(DS$6,1)=7,0,MIN(8,DS81)*DS80))),MAX(0,40*MAX(1,DS80)-(0))))</f>
        <v>0</v>
      </c>
      <c r="DT82" s="63">
        <f>IF(AND(DT80=0,DT81=0),0,MIN(IF(DT80&lt;=0,0,IF(WEEKDAY(DT$6,1)=1,0,IF(WEEKDAY(DT$6,1)=7,0,MIN(8,DT81)*DT80))),MAX(0,40*MAX(1,DT80)-(DS82))))</f>
        <v>0</v>
      </c>
      <c r="DU82" s="63">
        <f>IF(AND(DU80=0,DU81=0),0,MIN(IF(DU80&lt;=0,0,IF(WEEKDAY(DU$6,1)=1,0,IF(WEEKDAY(DU$6,1)=7,0,MIN(8,DU81)*DU80))),MAX(0,40*MAX(1,DU80)-(DS82+DT82))))</f>
        <v>0</v>
      </c>
      <c r="DV82" s="63">
        <f>IF(AND(DV80=0,DV81=0),0,MIN(IF(DV80&lt;=0,0,IF(WEEKDAY(DV$6,1)=1,0,IF(WEEKDAY(DV$6,1)=7,0,MIN(8,DV81)*DV80))),MAX(0,40*MAX(1,DV80)-(DS82+DT82+DU82))))</f>
        <v>0</v>
      </c>
      <c r="DW82" s="63">
        <f>IF(AND(DW80=0,DW81=0),0,MIN(IF(DW80&lt;=0,0,IF(WEEKDAY(DW$6,1)=1,0,IF(WEEKDAY(DW$6,1)=7,0,MIN(8,DW81)*DW80))),MAX(0,40*MAX(1,DW80)-(DS82+DT82+DU82+DV82))))</f>
        <v>0</v>
      </c>
      <c r="DX82" s="64">
        <f>IF(AND(DX80=0,DX81=0),0,MIN(IF(DX80&lt;=0,0,IF(WEEKDAY(DX$6,1)=1,0,IF(WEEKDAY(DX$6,1)=7,0,MIN(8,DX81)*DX80))),MAX(0,40*MAX(1,DX80)-(DS82+DT82+DU82+DV82+DW82))))</f>
        <v>0</v>
      </c>
      <c r="DY82" s="64">
        <f>IF(AND(DY80=0,DY81=0),0,MIN(IF(DY80&lt;=0,0,IF(WEEKDAY(DY$6,1)=1,0,IF(WEEKDAY(DY$6,1)=7,0,MIN(8,DY81)*DY80))),MAX(0,40*MAX(1,DY80)-(DS82+DT82+DU82+DV82+DW82+DX82))))</f>
        <v>0</v>
      </c>
      <c r="DZ82" s="63">
        <f>IF(AND(DZ80=0,DZ81=0),0,MIN(IF(DZ80&lt;=0,0,IF(WEEKDAY(DZ$6,1)=1,0,IF(WEEKDAY(DZ$6,1)=7,0,MIN(8,DZ81)*DZ80))),MAX(0,40*MAX(1,DZ80)-(0))))</f>
        <v>0</v>
      </c>
      <c r="EA82" s="63">
        <f>IF(AND(EA80=0,EA81=0),0,MIN(IF(EA80&lt;=0,0,IF(WEEKDAY(EA$6,1)=1,0,IF(WEEKDAY(EA$6,1)=7,0,MIN(8,EA81)*EA80))),MAX(0,40*MAX(1,EA80)-(DZ82))))</f>
        <v>0</v>
      </c>
      <c r="EB82" s="63">
        <f>IF(AND(EB80=0,EB81=0),0,MIN(IF(EB80&lt;=0,0,IF(WEEKDAY(EB$6,1)=1,0,IF(WEEKDAY(EB$6,1)=7,0,MIN(8,EB81)*EB80))),MAX(0,40*MAX(1,EB80)-(DZ82+EA82))))</f>
        <v>0</v>
      </c>
      <c r="EC82" s="63">
        <f>IF(AND(EC80=0,EC81=0),0,MIN(IF(EC80&lt;=0,0,IF(WEEKDAY(EC$6,1)=1,0,IF(WEEKDAY(EC$6,1)=7,0,MIN(8,EC81)*EC80))),MAX(0,40*MAX(1,EC80)-(DZ82+EA82+EB82))))</f>
        <v>0</v>
      </c>
      <c r="ED82" s="63">
        <f>IF(AND(ED80=0,ED81=0),0,MIN(IF(ED80&lt;=0,0,IF(WEEKDAY(ED$6,1)=1,0,IF(WEEKDAY(ED$6,1)=7,0,MIN(8,ED81)*ED80))),MAX(0,40*MAX(1,ED80)-(DZ82+EA82+EB82+EC82))))</f>
        <v>0</v>
      </c>
      <c r="EE82" s="64">
        <f>IF(AND(EE80=0,EE81=0),0,MIN(IF(EE80&lt;=0,0,IF(WEEKDAY(EE$6,1)=1,0,IF(WEEKDAY(EE$6,1)=7,0,MIN(8,EE81)*EE80))),MAX(0,40*MAX(1,EE80)-(DZ82+EA82+EB82+EC82+ED82))))</f>
        <v>0</v>
      </c>
      <c r="EF82" s="64">
        <f>IF(AND(EF80=0,EF81=0),0,MIN(IF(EF80&lt;=0,0,IF(WEEKDAY(EF$6,1)=1,0,IF(WEEKDAY(EF$6,1)=7,0,MIN(8,EF81)*EF80))),MAX(0,40*MAX(1,EF80)-(DZ82+EA82+EB82+EC82+ED82+EE82))))</f>
        <v>0</v>
      </c>
      <c r="EG82" s="63">
        <f>IF(AND(EG80=0,EG81=0),0,MIN(IF(EG80&lt;=0,0,IF(WEEKDAY(EG$6,1)=1,0,IF(WEEKDAY(EG$6,1)=7,0,MIN(8,EG81)*EG80))),MAX(0,40*MAX(1,EG80)-(0))))</f>
        <v>0</v>
      </c>
      <c r="EH82" s="63">
        <f>IF(AND(EH80=0,EH81=0),0,MIN(IF(EH80&lt;=0,0,IF(WEEKDAY(EH$6,1)=1,0,IF(WEEKDAY(EH$6,1)=7,0,MIN(8,EH81)*EH80))),MAX(0,40*MAX(1,EH80)-(EG82))))</f>
        <v>0</v>
      </c>
      <c r="EI82" s="63">
        <f>IF(AND(EI80=0,EI81=0),0,MIN(IF(EI80&lt;=0,0,IF(WEEKDAY(EI$6,1)=1,0,IF(WEEKDAY(EI$6,1)=7,0,MIN(8,EI81)*EI80))),MAX(0,40*MAX(1,EI80)-(EG82+EH82))))</f>
        <v>0</v>
      </c>
      <c r="EJ82" s="63">
        <f>IF(AND(EJ80=0,EJ81=0),0,MIN(IF(EJ80&lt;=0,0,IF(WEEKDAY(EJ$6,1)=1,0,IF(WEEKDAY(EJ$6,1)=7,0,MIN(8,EJ81)*EJ80))),MAX(0,40*MAX(1,EJ80)-(EG82+EH82+EI82))))</f>
        <v>0</v>
      </c>
      <c r="EK82" s="65">
        <f>IF(AND(EK80=0,EK81=0),0,MIN(IF(EK80&lt;=0,0,IF(WEEKDAY(EK$6,1)=1,0,IF(WEEKDAY(EK$6,1)=7,0,MIN(8,EK81)*EK80))),MAX(0,40*MAX(1,EK80)-(EG82+EH82+EI82+EJ82))))</f>
        <v>0</v>
      </c>
      <c r="OU82" s="28" t="s">
        <v>132</v>
      </c>
    </row>
    <row r="83" ht="16" customHeight="1" spans="1:411" x14ac:dyDescent="0.25">
      <c r="A83" s="45"/>
      <c r="B83" s="79" t="s">
        <v>114</v>
      </c>
      <c r="C83" s="66">
        <f>G79*N(D83)</f>
        <v>0</v>
      </c>
      <c r="D83" s="66">
        <f>IF(TRIM(IF(TRIM(B83)&lt;&gt;"",B83,B79))="","No rate",IFERROR(INDEX('Rate Tables'!D$7:D$158,MATCH(IF(TRIM(B83)&lt;&gt;"",B83,B79),'Rate Tables'!A$7:A$158,0)),"No rate"))</f>
        <v>138.69</v>
      </c>
      <c r="E83" s="55" t="s">
        <v>63</v>
      </c>
      <c r="F83" s="49"/>
      <c r="G83" s="49"/>
      <c r="H83" s="49"/>
      <c r="I83" s="49"/>
      <c r="J83" s="50"/>
      <c r="K83" s="62">
        <f>IF(AND(K80=0,K81=0),0,IF(K80&lt;=0,0,IF(WEEKDAY(K$6,1)=1,0,IF(WEEKDAY(K$6,1)=7,K80*K81,MAX(0,K81-8)*K80)))+((IF(K80&lt;=0,0,IF(WEEKDAY(K$6,1)=1,0,IF(WEEKDAY(K$6,1)=7,0,MIN(8,K81)*K80))))-MIN(IF(K80&lt;=0,0,IF(WEEKDAY(K$6,1)=1,0,IF(WEEKDAY(K$6,1)=7,0,MIN(8,K81)*K80))),MAX(0,40*MAX(1,K80)-(0)))))</f>
        <v>0</v>
      </c>
      <c r="L83" s="63">
        <f>IF(AND(L80=0,L81=0),0,IF(L80&lt;=0,0,IF(WEEKDAY(L$6,1)=1,0,IF(WEEKDAY(L$6,1)=7,L80*L81,MAX(0,L81-8)*L80)))+((IF(L80&lt;=0,0,IF(WEEKDAY(L$6,1)=1,0,IF(WEEKDAY(L$6,1)=7,0,MIN(8,L81)*L80))))-MIN(IF(L80&lt;=0,0,IF(WEEKDAY(L$6,1)=1,0,IF(WEEKDAY(L$6,1)=7,0,MIN(8,L81)*L80))),MAX(0,40*MAX(1,L80)-(K82)))))</f>
        <v>0</v>
      </c>
      <c r="M83" s="63">
        <f>IF(AND(M80=0,M81=0),0,IF(M80&lt;=0,0,IF(WEEKDAY(M$6,1)=1,0,IF(WEEKDAY(M$6,1)=7,M80*M81,MAX(0,M81-8)*M80)))+((IF(M80&lt;=0,0,IF(WEEKDAY(M$6,1)=1,0,IF(WEEKDAY(M$6,1)=7,0,MIN(8,M81)*M80))))-MIN(IF(M80&lt;=0,0,IF(WEEKDAY(M$6,1)=1,0,IF(WEEKDAY(M$6,1)=7,0,MIN(8,M81)*M80))),MAX(0,40*MAX(1,M80)-(K82+L82)))))</f>
        <v>0</v>
      </c>
      <c r="N83" s="63">
        <f>IF(AND(N80=0,N81=0),0,IF(N80&lt;=0,0,IF(WEEKDAY(N$6,1)=1,0,IF(WEEKDAY(N$6,1)=7,N80*N81,MAX(0,N81-8)*N80)))+((IF(N80&lt;=0,0,IF(WEEKDAY(N$6,1)=1,0,IF(WEEKDAY(N$6,1)=7,0,MIN(8,N81)*N80))))-MIN(IF(N80&lt;=0,0,IF(WEEKDAY(N$6,1)=1,0,IF(WEEKDAY(N$6,1)=7,0,MIN(8,N81)*N80))),MAX(0,40*MAX(1,N80)-(K82+L82+M82)))))</f>
        <v>0</v>
      </c>
      <c r="O83" s="63">
        <f>IF(AND(O80=0,O81=0),0,IF(O80&lt;=0,0,IF(WEEKDAY(O$6,1)=1,0,IF(WEEKDAY(O$6,1)=7,O80*O81,MAX(0,O81-8)*O80)))+((IF(O80&lt;=0,0,IF(WEEKDAY(O$6,1)=1,0,IF(WEEKDAY(O$6,1)=7,0,MIN(8,O81)*O80))))-MIN(IF(O80&lt;=0,0,IF(WEEKDAY(O$6,1)=1,0,IF(WEEKDAY(O$6,1)=7,0,MIN(8,O81)*O80))),MAX(0,40*MAX(1,O80)-(K82+L82+M82+N82)))))</f>
        <v>0</v>
      </c>
      <c r="P83" s="64">
        <f>IF(AND(P80=0,P81=0),0,IF(P80&lt;=0,0,IF(WEEKDAY(P$6,1)=1,0,IF(WEEKDAY(P$6,1)=7,P80*P81,MAX(0,P81-8)*P80)))+((IF(P80&lt;=0,0,IF(WEEKDAY(P$6,1)=1,0,IF(WEEKDAY(P$6,1)=7,0,MIN(8,P81)*P80))))-MIN(IF(P80&lt;=0,0,IF(WEEKDAY(P$6,1)=1,0,IF(WEEKDAY(P$6,1)=7,0,MIN(8,P81)*P80))),MAX(0,40*MAX(1,P80)-(K82+L82+M82+N82+O82)))))</f>
        <v>0</v>
      </c>
      <c r="Q83" s="64">
        <f>IF(AND(Q80=0,Q81=0),0,IF(Q80&lt;=0,0,IF(WEEKDAY(Q$6,1)=1,0,IF(WEEKDAY(Q$6,1)=7,Q80*Q81,MAX(0,Q81-8)*Q80)))+((IF(Q80&lt;=0,0,IF(WEEKDAY(Q$6,1)=1,0,IF(WEEKDAY(Q$6,1)=7,0,MIN(8,Q81)*Q80))))-MIN(IF(Q80&lt;=0,0,IF(WEEKDAY(Q$6,1)=1,0,IF(WEEKDAY(Q$6,1)=7,0,MIN(8,Q81)*Q80))),MAX(0,40*MAX(1,Q80)-(K82+L82+M82+N82+O82+P82)))))</f>
        <v>0</v>
      </c>
      <c r="R83" s="63">
        <f>IF(AND(R80=0,R81=0),0,IF(R80&lt;=0,0,IF(WEEKDAY(R$6,1)=1,0,IF(WEEKDAY(R$6,1)=7,R80*R81,MAX(0,R81-8)*R80)))+((IF(R80&lt;=0,0,IF(WEEKDAY(R$6,1)=1,0,IF(WEEKDAY(R$6,1)=7,0,MIN(8,R81)*R80))))-MIN(IF(R80&lt;=0,0,IF(WEEKDAY(R$6,1)=1,0,IF(WEEKDAY(R$6,1)=7,0,MIN(8,R81)*R80))),MAX(0,40*MAX(1,R80)-(0)))))</f>
        <v>0</v>
      </c>
      <c r="S83" s="63">
        <f>IF(AND(S80=0,S81=0),0,IF(S80&lt;=0,0,IF(WEEKDAY(S$6,1)=1,0,IF(WEEKDAY(S$6,1)=7,S80*S81,MAX(0,S81-8)*S80)))+((IF(S80&lt;=0,0,IF(WEEKDAY(S$6,1)=1,0,IF(WEEKDAY(S$6,1)=7,0,MIN(8,S81)*S80))))-MIN(IF(S80&lt;=0,0,IF(WEEKDAY(S$6,1)=1,0,IF(WEEKDAY(S$6,1)=7,0,MIN(8,S81)*S80))),MAX(0,40*MAX(1,S80)-(R82)))))</f>
        <v>0</v>
      </c>
      <c r="T83" s="63">
        <f>IF(AND(T80=0,T81=0),0,IF(T80&lt;=0,0,IF(WEEKDAY(T$6,1)=1,0,IF(WEEKDAY(T$6,1)=7,T80*T81,MAX(0,T81-8)*T80)))+((IF(T80&lt;=0,0,IF(WEEKDAY(T$6,1)=1,0,IF(WEEKDAY(T$6,1)=7,0,MIN(8,T81)*T80))))-MIN(IF(T80&lt;=0,0,IF(WEEKDAY(T$6,1)=1,0,IF(WEEKDAY(T$6,1)=7,0,MIN(8,T81)*T80))),MAX(0,40*MAX(1,T80)-(R82+S82)))))</f>
        <v>0</v>
      </c>
      <c r="U83" s="63">
        <f>IF(AND(U80=0,U81=0),0,IF(U80&lt;=0,0,IF(WEEKDAY(U$6,1)=1,0,IF(WEEKDAY(U$6,1)=7,U80*U81,MAX(0,U81-8)*U80)))+((IF(U80&lt;=0,0,IF(WEEKDAY(U$6,1)=1,0,IF(WEEKDAY(U$6,1)=7,0,MIN(8,U81)*U80))))-MIN(IF(U80&lt;=0,0,IF(WEEKDAY(U$6,1)=1,0,IF(WEEKDAY(U$6,1)=7,0,MIN(8,U81)*U80))),MAX(0,40*MAX(1,U80)-(R82+S82+T82)))))</f>
        <v>0</v>
      </c>
      <c r="V83" s="63">
        <f>IF(AND(V80=0,V81=0),0,IF(V80&lt;=0,0,IF(WEEKDAY(V$6,1)=1,0,IF(WEEKDAY(V$6,1)=7,V80*V81,MAX(0,V81-8)*V80)))+((IF(V80&lt;=0,0,IF(WEEKDAY(V$6,1)=1,0,IF(WEEKDAY(V$6,1)=7,0,MIN(8,V81)*V80))))-MIN(IF(V80&lt;=0,0,IF(WEEKDAY(V$6,1)=1,0,IF(WEEKDAY(V$6,1)=7,0,MIN(8,V81)*V80))),MAX(0,40*MAX(1,V80)-(R82+S82+T82+U82)))))</f>
        <v>0</v>
      </c>
      <c r="W83" s="64">
        <f>IF(AND(W80=0,W81=0),0,IF(W80&lt;=0,0,IF(WEEKDAY(W$6,1)=1,0,IF(WEEKDAY(W$6,1)=7,W80*W81,MAX(0,W81-8)*W80)))+((IF(W80&lt;=0,0,IF(WEEKDAY(W$6,1)=1,0,IF(WEEKDAY(W$6,1)=7,0,MIN(8,W81)*W80))))-MIN(IF(W80&lt;=0,0,IF(WEEKDAY(W$6,1)=1,0,IF(WEEKDAY(W$6,1)=7,0,MIN(8,W81)*W80))),MAX(0,40*MAX(1,W80)-(R82+S82+T82+U82+V82)))))</f>
        <v>0</v>
      </c>
      <c r="X83" s="64">
        <f>IF(AND(X80=0,X81=0),0,IF(X80&lt;=0,0,IF(WEEKDAY(X$6,1)=1,0,IF(WEEKDAY(X$6,1)=7,X80*X81,MAX(0,X81-8)*X80)))+((IF(X80&lt;=0,0,IF(WEEKDAY(X$6,1)=1,0,IF(WEEKDAY(X$6,1)=7,0,MIN(8,X81)*X80))))-MIN(IF(X80&lt;=0,0,IF(WEEKDAY(X$6,1)=1,0,IF(WEEKDAY(X$6,1)=7,0,MIN(8,X81)*X80))),MAX(0,40*MAX(1,X80)-(R82+S82+T82+U82+V82+W82)))))</f>
        <v>0</v>
      </c>
      <c r="Y83" s="63">
        <f>IF(AND(Y80=0,Y81=0),0,IF(Y80&lt;=0,0,IF(WEEKDAY(Y$6,1)=1,0,IF(WEEKDAY(Y$6,1)=7,Y80*Y81,MAX(0,Y81-8)*Y80)))+((IF(Y80&lt;=0,0,IF(WEEKDAY(Y$6,1)=1,0,IF(WEEKDAY(Y$6,1)=7,0,MIN(8,Y81)*Y80))))-MIN(IF(Y80&lt;=0,0,IF(WEEKDAY(Y$6,1)=1,0,IF(WEEKDAY(Y$6,1)=7,0,MIN(8,Y81)*Y80))),MAX(0,40*MAX(1,Y80)-(0)))))</f>
        <v>0</v>
      </c>
      <c r="Z83" s="63">
        <f>IF(AND(Z80=0,Z81=0),0,IF(Z80&lt;=0,0,IF(WEEKDAY(Z$6,1)=1,0,IF(WEEKDAY(Z$6,1)=7,Z80*Z81,MAX(0,Z81-8)*Z80)))+((IF(Z80&lt;=0,0,IF(WEEKDAY(Z$6,1)=1,0,IF(WEEKDAY(Z$6,1)=7,0,MIN(8,Z81)*Z80))))-MIN(IF(Z80&lt;=0,0,IF(WEEKDAY(Z$6,1)=1,0,IF(WEEKDAY(Z$6,1)=7,0,MIN(8,Z81)*Z80))),MAX(0,40*MAX(1,Z80)-(Y82)))))</f>
        <v>0</v>
      </c>
      <c r="AA83" s="63">
        <f>IF(AND(AA80=0,AA81=0),0,IF(AA80&lt;=0,0,IF(WEEKDAY(AA$6,1)=1,0,IF(WEEKDAY(AA$6,1)=7,AA80*AA81,MAX(0,AA81-8)*AA80)))+((IF(AA80&lt;=0,0,IF(WEEKDAY(AA$6,1)=1,0,IF(WEEKDAY(AA$6,1)=7,0,MIN(8,AA81)*AA80))))-MIN(IF(AA80&lt;=0,0,IF(WEEKDAY(AA$6,1)=1,0,IF(WEEKDAY(AA$6,1)=7,0,MIN(8,AA81)*AA80))),MAX(0,40*MAX(1,AA80)-(Y82+Z82)))))</f>
        <v>0</v>
      </c>
      <c r="AB83" s="63">
        <f>IF(AND(AB80=0,AB81=0),0,IF(AB80&lt;=0,0,IF(WEEKDAY(AB$6,1)=1,0,IF(WEEKDAY(AB$6,1)=7,AB80*AB81,MAX(0,AB81-8)*AB80)))+((IF(AB80&lt;=0,0,IF(WEEKDAY(AB$6,1)=1,0,IF(WEEKDAY(AB$6,1)=7,0,MIN(8,AB81)*AB80))))-MIN(IF(AB80&lt;=0,0,IF(WEEKDAY(AB$6,1)=1,0,IF(WEEKDAY(AB$6,1)=7,0,MIN(8,AB81)*AB80))),MAX(0,40*MAX(1,AB80)-(Y82+Z82+AA82)))))</f>
        <v>0</v>
      </c>
      <c r="AC83" s="63">
        <f>IF(AND(AC80=0,AC81=0),0,IF(AC80&lt;=0,0,IF(WEEKDAY(AC$6,1)=1,0,IF(WEEKDAY(AC$6,1)=7,AC80*AC81,MAX(0,AC81-8)*AC80)))+((IF(AC80&lt;=0,0,IF(WEEKDAY(AC$6,1)=1,0,IF(WEEKDAY(AC$6,1)=7,0,MIN(8,AC81)*AC80))))-MIN(IF(AC80&lt;=0,0,IF(WEEKDAY(AC$6,1)=1,0,IF(WEEKDAY(AC$6,1)=7,0,MIN(8,AC81)*AC80))),MAX(0,40*MAX(1,AC80)-(Y82+Z82+AA82+AB82)))))</f>
        <v>0</v>
      </c>
      <c r="AD83" s="64">
        <f>IF(AND(AD80=0,AD81=0),0,IF(AD80&lt;=0,0,IF(WEEKDAY(AD$6,1)=1,0,IF(WEEKDAY(AD$6,1)=7,AD80*AD81,MAX(0,AD81-8)*AD80)))+((IF(AD80&lt;=0,0,IF(WEEKDAY(AD$6,1)=1,0,IF(WEEKDAY(AD$6,1)=7,0,MIN(8,AD81)*AD80))))-MIN(IF(AD80&lt;=0,0,IF(WEEKDAY(AD$6,1)=1,0,IF(WEEKDAY(AD$6,1)=7,0,MIN(8,AD81)*AD80))),MAX(0,40*MAX(1,AD80)-(Y82+Z82+AA82+AB82+AC82)))))</f>
        <v>0</v>
      </c>
      <c r="AE83" s="64">
        <f>IF(AND(AE80=0,AE81=0),0,IF(AE80&lt;=0,0,IF(WEEKDAY(AE$6,1)=1,0,IF(WEEKDAY(AE$6,1)=7,AE80*AE81,MAX(0,AE81-8)*AE80)))+((IF(AE80&lt;=0,0,IF(WEEKDAY(AE$6,1)=1,0,IF(WEEKDAY(AE$6,1)=7,0,MIN(8,AE81)*AE80))))-MIN(IF(AE80&lt;=0,0,IF(WEEKDAY(AE$6,1)=1,0,IF(WEEKDAY(AE$6,1)=7,0,MIN(8,AE81)*AE80))),MAX(0,40*MAX(1,AE80)-(Y82+Z82+AA82+AB82+AC82+AD82)))))</f>
        <v>0</v>
      </c>
      <c r="AF83" s="63">
        <f>IF(AND(AF80=0,AF81=0),0,IF(AF80&lt;=0,0,IF(WEEKDAY(AF$6,1)=1,0,IF(WEEKDAY(AF$6,1)=7,AF80*AF81,MAX(0,AF81-8)*AF80)))+((IF(AF80&lt;=0,0,IF(WEEKDAY(AF$6,1)=1,0,IF(WEEKDAY(AF$6,1)=7,0,MIN(8,AF81)*AF80))))-MIN(IF(AF80&lt;=0,0,IF(WEEKDAY(AF$6,1)=1,0,IF(WEEKDAY(AF$6,1)=7,0,MIN(8,AF81)*AF80))),MAX(0,40*MAX(1,AF80)-(0)))))</f>
        <v>0</v>
      </c>
      <c r="AG83" s="63">
        <f>IF(AND(AG80=0,AG81=0),0,IF(AG80&lt;=0,0,IF(WEEKDAY(AG$6,1)=1,0,IF(WEEKDAY(AG$6,1)=7,AG80*AG81,MAX(0,AG81-8)*AG80)))+((IF(AG80&lt;=0,0,IF(WEEKDAY(AG$6,1)=1,0,IF(WEEKDAY(AG$6,1)=7,0,MIN(8,AG81)*AG80))))-MIN(IF(AG80&lt;=0,0,IF(WEEKDAY(AG$6,1)=1,0,IF(WEEKDAY(AG$6,1)=7,0,MIN(8,AG81)*AG80))),MAX(0,40*MAX(1,AG80)-(AF82)))))</f>
        <v>0</v>
      </c>
      <c r="AH83" s="63">
        <f>IF(AND(AH80=0,AH81=0),0,IF(AH80&lt;=0,0,IF(WEEKDAY(AH$6,1)=1,0,IF(WEEKDAY(AH$6,1)=7,AH80*AH81,MAX(0,AH81-8)*AH80)))+((IF(AH80&lt;=0,0,IF(WEEKDAY(AH$6,1)=1,0,IF(WEEKDAY(AH$6,1)=7,0,MIN(8,AH81)*AH80))))-MIN(IF(AH80&lt;=0,0,IF(WEEKDAY(AH$6,1)=1,0,IF(WEEKDAY(AH$6,1)=7,0,MIN(8,AH81)*AH80))),MAX(0,40*MAX(1,AH80)-(AF82+AG82)))))</f>
        <v>0</v>
      </c>
      <c r="AI83" s="63">
        <f>IF(AND(AI80=0,AI81=0),0,IF(AI80&lt;=0,0,IF(WEEKDAY(AI$6,1)=1,0,IF(WEEKDAY(AI$6,1)=7,AI80*AI81,MAX(0,AI81-8)*AI80)))+((IF(AI80&lt;=0,0,IF(WEEKDAY(AI$6,1)=1,0,IF(WEEKDAY(AI$6,1)=7,0,MIN(8,AI81)*AI80))))-MIN(IF(AI80&lt;=0,0,IF(WEEKDAY(AI$6,1)=1,0,IF(WEEKDAY(AI$6,1)=7,0,MIN(8,AI81)*AI80))),MAX(0,40*MAX(1,AI80)-(AF82+AG82+AH82)))))</f>
        <v>0</v>
      </c>
      <c r="AJ83" s="63">
        <f>IF(AND(AJ80=0,AJ81=0),0,IF(AJ80&lt;=0,0,IF(WEEKDAY(AJ$6,1)=1,0,IF(WEEKDAY(AJ$6,1)=7,AJ80*AJ81,MAX(0,AJ81-8)*AJ80)))+((IF(AJ80&lt;=0,0,IF(WEEKDAY(AJ$6,1)=1,0,IF(WEEKDAY(AJ$6,1)=7,0,MIN(8,AJ81)*AJ80))))-MIN(IF(AJ80&lt;=0,0,IF(WEEKDAY(AJ$6,1)=1,0,IF(WEEKDAY(AJ$6,1)=7,0,MIN(8,AJ81)*AJ80))),MAX(0,40*MAX(1,AJ80)-(AF82+AG82+AH82+AI82)))))</f>
        <v>0</v>
      </c>
      <c r="AK83" s="64">
        <f>IF(AND(AK80=0,AK81=0),0,IF(AK80&lt;=0,0,IF(WEEKDAY(AK$6,1)=1,0,IF(WEEKDAY(AK$6,1)=7,AK80*AK81,MAX(0,AK81-8)*AK80)))+((IF(AK80&lt;=0,0,IF(WEEKDAY(AK$6,1)=1,0,IF(WEEKDAY(AK$6,1)=7,0,MIN(8,AK81)*AK80))))-MIN(IF(AK80&lt;=0,0,IF(WEEKDAY(AK$6,1)=1,0,IF(WEEKDAY(AK$6,1)=7,0,MIN(8,AK81)*AK80))),MAX(0,40*MAX(1,AK80)-(AF82+AG82+AH82+AI82+AJ82)))))</f>
        <v>0</v>
      </c>
      <c r="AL83" s="64">
        <f>IF(AND(AL80=0,AL81=0),0,IF(AL80&lt;=0,0,IF(WEEKDAY(AL$6,1)=1,0,IF(WEEKDAY(AL$6,1)=7,AL80*AL81,MAX(0,AL81-8)*AL80)))+((IF(AL80&lt;=0,0,IF(WEEKDAY(AL$6,1)=1,0,IF(WEEKDAY(AL$6,1)=7,0,MIN(8,AL81)*AL80))))-MIN(IF(AL80&lt;=0,0,IF(WEEKDAY(AL$6,1)=1,0,IF(WEEKDAY(AL$6,1)=7,0,MIN(8,AL81)*AL80))),MAX(0,40*MAX(1,AL80)-(AF82+AG82+AH82+AI82+AJ82+AK82)))))</f>
        <v>0</v>
      </c>
      <c r="AM83" s="63">
        <f>IF(AND(AM80=0,AM81=0),0,IF(AM80&lt;=0,0,IF(WEEKDAY(AM$6,1)=1,0,IF(WEEKDAY(AM$6,1)=7,AM80*AM81,MAX(0,AM81-8)*AM80)))+((IF(AM80&lt;=0,0,IF(WEEKDAY(AM$6,1)=1,0,IF(WEEKDAY(AM$6,1)=7,0,MIN(8,AM81)*AM80))))-MIN(IF(AM80&lt;=0,0,IF(WEEKDAY(AM$6,1)=1,0,IF(WEEKDAY(AM$6,1)=7,0,MIN(8,AM81)*AM80))),MAX(0,40*MAX(1,AM80)-(0)))))</f>
        <v>0</v>
      </c>
      <c r="AN83" s="63">
        <f>IF(AND(AN80=0,AN81=0),0,IF(AN80&lt;=0,0,IF(WEEKDAY(AN$6,1)=1,0,IF(WEEKDAY(AN$6,1)=7,AN80*AN81,MAX(0,AN81-8)*AN80)))+((IF(AN80&lt;=0,0,IF(WEEKDAY(AN$6,1)=1,0,IF(WEEKDAY(AN$6,1)=7,0,MIN(8,AN81)*AN80))))-MIN(IF(AN80&lt;=0,0,IF(WEEKDAY(AN$6,1)=1,0,IF(WEEKDAY(AN$6,1)=7,0,MIN(8,AN81)*AN80))),MAX(0,40*MAX(1,AN80)-(AM82)))))</f>
        <v>0</v>
      </c>
      <c r="AO83" s="63">
        <f>IF(AND(AO80=0,AO81=0),0,IF(AO80&lt;=0,0,IF(WEEKDAY(AO$6,1)=1,0,IF(WEEKDAY(AO$6,1)=7,AO80*AO81,MAX(0,AO81-8)*AO80)))+((IF(AO80&lt;=0,0,IF(WEEKDAY(AO$6,1)=1,0,IF(WEEKDAY(AO$6,1)=7,0,MIN(8,AO81)*AO80))))-MIN(IF(AO80&lt;=0,0,IF(WEEKDAY(AO$6,1)=1,0,IF(WEEKDAY(AO$6,1)=7,0,MIN(8,AO81)*AO80))),MAX(0,40*MAX(1,AO80)-(AM82+AN82)))))</f>
        <v>0</v>
      </c>
      <c r="AP83" s="63">
        <f>IF(AND(AP80=0,AP81=0),0,IF(AP80&lt;=0,0,IF(WEEKDAY(AP$6,1)=1,0,IF(WEEKDAY(AP$6,1)=7,AP80*AP81,MAX(0,AP81-8)*AP80)))+((IF(AP80&lt;=0,0,IF(WEEKDAY(AP$6,1)=1,0,IF(WEEKDAY(AP$6,1)=7,0,MIN(8,AP81)*AP80))))-MIN(IF(AP80&lt;=0,0,IF(WEEKDAY(AP$6,1)=1,0,IF(WEEKDAY(AP$6,1)=7,0,MIN(8,AP81)*AP80))),MAX(0,40*MAX(1,AP80)-(AM82+AN82+AO82)))))</f>
        <v>0</v>
      </c>
      <c r="AQ83" s="63">
        <f>IF(AND(AQ80=0,AQ81=0),0,IF(AQ80&lt;=0,0,IF(WEEKDAY(AQ$6,1)=1,0,IF(WEEKDAY(AQ$6,1)=7,AQ80*AQ81,MAX(0,AQ81-8)*AQ80)))+((IF(AQ80&lt;=0,0,IF(WEEKDAY(AQ$6,1)=1,0,IF(WEEKDAY(AQ$6,1)=7,0,MIN(8,AQ81)*AQ80))))-MIN(IF(AQ80&lt;=0,0,IF(WEEKDAY(AQ$6,1)=1,0,IF(WEEKDAY(AQ$6,1)=7,0,MIN(8,AQ81)*AQ80))),MAX(0,40*MAX(1,AQ80)-(AM82+AN82+AO82+AP82)))))</f>
        <v>0</v>
      </c>
      <c r="AR83" s="64">
        <f>IF(AND(AR80=0,AR81=0),0,IF(AR80&lt;=0,0,IF(WEEKDAY(AR$6,1)=1,0,IF(WEEKDAY(AR$6,1)=7,AR80*AR81,MAX(0,AR81-8)*AR80)))+((IF(AR80&lt;=0,0,IF(WEEKDAY(AR$6,1)=1,0,IF(WEEKDAY(AR$6,1)=7,0,MIN(8,AR81)*AR80))))-MIN(IF(AR80&lt;=0,0,IF(WEEKDAY(AR$6,1)=1,0,IF(WEEKDAY(AR$6,1)=7,0,MIN(8,AR81)*AR80))),MAX(0,40*MAX(1,AR80)-(AM82+AN82+AO82+AP82+AQ82)))))</f>
        <v>0</v>
      </c>
      <c r="AS83" s="64">
        <f>IF(AND(AS80=0,AS81=0),0,IF(AS80&lt;=0,0,IF(WEEKDAY(AS$6,1)=1,0,IF(WEEKDAY(AS$6,1)=7,AS80*AS81,MAX(0,AS81-8)*AS80)))+((IF(AS80&lt;=0,0,IF(WEEKDAY(AS$6,1)=1,0,IF(WEEKDAY(AS$6,1)=7,0,MIN(8,AS81)*AS80))))-MIN(IF(AS80&lt;=0,0,IF(WEEKDAY(AS$6,1)=1,0,IF(WEEKDAY(AS$6,1)=7,0,MIN(8,AS81)*AS80))),MAX(0,40*MAX(1,AS80)-(AM82+AN82+AO82+AP82+AQ82+AR82)))))</f>
        <v>0</v>
      </c>
      <c r="AT83" s="63">
        <f>IF(AND(AT80=0,AT81=0),0,IF(AT80&lt;=0,0,IF(WEEKDAY(AT$6,1)=1,0,IF(WEEKDAY(AT$6,1)=7,AT80*AT81,MAX(0,AT81-8)*AT80)))+((IF(AT80&lt;=0,0,IF(WEEKDAY(AT$6,1)=1,0,IF(WEEKDAY(AT$6,1)=7,0,MIN(8,AT81)*AT80))))-MIN(IF(AT80&lt;=0,0,IF(WEEKDAY(AT$6,1)=1,0,IF(WEEKDAY(AT$6,1)=7,0,MIN(8,AT81)*AT80))),MAX(0,40*MAX(1,AT80)-(0)))))</f>
        <v>0</v>
      </c>
      <c r="AU83" s="63">
        <f>IF(AND(AU80=0,AU81=0),0,IF(AU80&lt;=0,0,IF(WEEKDAY(AU$6,1)=1,0,IF(WEEKDAY(AU$6,1)=7,AU80*AU81,MAX(0,AU81-8)*AU80)))+((IF(AU80&lt;=0,0,IF(WEEKDAY(AU$6,1)=1,0,IF(WEEKDAY(AU$6,1)=7,0,MIN(8,AU81)*AU80))))-MIN(IF(AU80&lt;=0,0,IF(WEEKDAY(AU$6,1)=1,0,IF(WEEKDAY(AU$6,1)=7,0,MIN(8,AU81)*AU80))),MAX(0,40*MAX(1,AU80)-(AT82)))))</f>
        <v>0</v>
      </c>
      <c r="AV83" s="63">
        <f>IF(AND(AV80=0,AV81=0),0,IF(AV80&lt;=0,0,IF(WEEKDAY(AV$6,1)=1,0,IF(WEEKDAY(AV$6,1)=7,AV80*AV81,MAX(0,AV81-8)*AV80)))+((IF(AV80&lt;=0,0,IF(WEEKDAY(AV$6,1)=1,0,IF(WEEKDAY(AV$6,1)=7,0,MIN(8,AV81)*AV80))))-MIN(IF(AV80&lt;=0,0,IF(WEEKDAY(AV$6,1)=1,0,IF(WEEKDAY(AV$6,1)=7,0,MIN(8,AV81)*AV80))),MAX(0,40*MAX(1,AV80)-(AT82+AU82)))))</f>
        <v>0</v>
      </c>
      <c r="AW83" s="63">
        <f>IF(AND(AW80=0,AW81=0),0,IF(AW80&lt;=0,0,IF(WEEKDAY(AW$6,1)=1,0,IF(WEEKDAY(AW$6,1)=7,AW80*AW81,MAX(0,AW81-8)*AW80)))+((IF(AW80&lt;=0,0,IF(WEEKDAY(AW$6,1)=1,0,IF(WEEKDAY(AW$6,1)=7,0,MIN(8,AW81)*AW80))))-MIN(IF(AW80&lt;=0,0,IF(WEEKDAY(AW$6,1)=1,0,IF(WEEKDAY(AW$6,1)=7,0,MIN(8,AW81)*AW80))),MAX(0,40*MAX(1,AW80)-(AT82+AU82+AV82)))))</f>
        <v>0</v>
      </c>
      <c r="AX83" s="63">
        <f>IF(AND(AX80=0,AX81=0),0,IF(AX80&lt;=0,0,IF(WEEKDAY(AX$6,1)=1,0,IF(WEEKDAY(AX$6,1)=7,AX80*AX81,MAX(0,AX81-8)*AX80)))+((IF(AX80&lt;=0,0,IF(WEEKDAY(AX$6,1)=1,0,IF(WEEKDAY(AX$6,1)=7,0,MIN(8,AX81)*AX80))))-MIN(IF(AX80&lt;=0,0,IF(WEEKDAY(AX$6,1)=1,0,IF(WEEKDAY(AX$6,1)=7,0,MIN(8,AX81)*AX80))),MAX(0,40*MAX(1,AX80)-(AT82+AU82+AV82+AW82)))))</f>
        <v>0</v>
      </c>
      <c r="AY83" s="64">
        <f>IF(AND(AY80=0,AY81=0),0,IF(AY80&lt;=0,0,IF(WEEKDAY(AY$6,1)=1,0,IF(WEEKDAY(AY$6,1)=7,AY80*AY81,MAX(0,AY81-8)*AY80)))+((IF(AY80&lt;=0,0,IF(WEEKDAY(AY$6,1)=1,0,IF(WEEKDAY(AY$6,1)=7,0,MIN(8,AY81)*AY80))))-MIN(IF(AY80&lt;=0,0,IF(WEEKDAY(AY$6,1)=1,0,IF(WEEKDAY(AY$6,1)=7,0,MIN(8,AY81)*AY80))),MAX(0,40*MAX(1,AY80)-(AT82+AU82+AV82+AW82+AX82)))))</f>
        <v>0</v>
      </c>
      <c r="AZ83" s="64">
        <f>IF(AND(AZ80=0,AZ81=0),0,IF(AZ80&lt;=0,0,IF(WEEKDAY(AZ$6,1)=1,0,IF(WEEKDAY(AZ$6,1)=7,AZ80*AZ81,MAX(0,AZ81-8)*AZ80)))+((IF(AZ80&lt;=0,0,IF(WEEKDAY(AZ$6,1)=1,0,IF(WEEKDAY(AZ$6,1)=7,0,MIN(8,AZ81)*AZ80))))-MIN(IF(AZ80&lt;=0,0,IF(WEEKDAY(AZ$6,1)=1,0,IF(WEEKDAY(AZ$6,1)=7,0,MIN(8,AZ81)*AZ80))),MAX(0,40*MAX(1,AZ80)-(AT82+AU82+AV82+AW82+AX82+AY82)))))</f>
        <v>0</v>
      </c>
      <c r="BA83" s="63">
        <f>IF(AND(BA80=5,BA81=8),0,IF(BA80&lt;=0,0,IF(WEEKDAY(BA$6,1)=1,0,IF(WEEKDAY(BA$6,1)=7,BA80*BA81,MAX(0,BA81-8)*BA80)))+((IF(BA80&lt;=0,0,IF(WEEKDAY(BA$6,1)=1,0,IF(WEEKDAY(BA$6,1)=7,0,MIN(8,BA81)*BA80))))-MIN(IF(BA80&lt;=0,0,IF(WEEKDAY(BA$6,1)=1,0,IF(WEEKDAY(BA$6,1)=7,0,MIN(8,BA81)*BA80))),MAX(0,40*MAX(1,BA80)-(0)))))</f>
        <v>0</v>
      </c>
      <c r="BB83" s="63">
        <f>IF(AND(BB80=5,BB81=8),0,IF(BB80&lt;=0,0,IF(WEEKDAY(BB$6,1)=1,0,IF(WEEKDAY(BB$6,1)=7,BB80*BB81,MAX(0,BB81-8)*BB80)))+((IF(BB80&lt;=0,0,IF(WEEKDAY(BB$6,1)=1,0,IF(WEEKDAY(BB$6,1)=7,0,MIN(8,BB81)*BB80))))-MIN(IF(BB80&lt;=0,0,IF(WEEKDAY(BB$6,1)=1,0,IF(WEEKDAY(BB$6,1)=7,0,MIN(8,BB81)*BB80))),MAX(0,40*MAX(1,BB80)-(BA82)))))</f>
        <v>0</v>
      </c>
      <c r="BC83" s="63">
        <f>IF(AND(BC80=5,BC81=8),0,IF(BC80&lt;=0,0,IF(WEEKDAY(BC$6,1)=1,0,IF(WEEKDAY(BC$6,1)=7,BC80*BC81,MAX(0,BC81-8)*BC80)))+((IF(BC80&lt;=0,0,IF(WEEKDAY(BC$6,1)=1,0,IF(WEEKDAY(BC$6,1)=7,0,MIN(8,BC81)*BC80))))-MIN(IF(BC80&lt;=0,0,IF(WEEKDAY(BC$6,1)=1,0,IF(WEEKDAY(BC$6,1)=7,0,MIN(8,BC81)*BC80))),MAX(0,40*MAX(1,BC80)-(BA82+BB82)))))</f>
        <v>0</v>
      </c>
      <c r="BD83" s="63">
        <f>IF(AND(BD80=5,BD81=8),0,IF(BD80&lt;=0,0,IF(WEEKDAY(BD$6,1)=1,0,IF(WEEKDAY(BD$6,1)=7,BD80*BD81,MAX(0,BD81-8)*BD80)))+((IF(BD80&lt;=0,0,IF(WEEKDAY(BD$6,1)=1,0,IF(WEEKDAY(BD$6,1)=7,0,MIN(8,BD81)*BD80))))-MIN(IF(BD80&lt;=0,0,IF(WEEKDAY(BD$6,1)=1,0,IF(WEEKDAY(BD$6,1)=7,0,MIN(8,BD81)*BD80))),MAX(0,40*MAX(1,BD80)-(BA82+BB82+BC82)))))</f>
        <v>0</v>
      </c>
      <c r="BE83" s="63">
        <f>IF(AND(BE80=5,BE81=8),0,IF(BE80&lt;=0,0,IF(WEEKDAY(BE$6,1)=1,0,IF(WEEKDAY(BE$6,1)=7,BE80*BE81,MAX(0,BE81-8)*BE80)))+((IF(BE80&lt;=0,0,IF(WEEKDAY(BE$6,1)=1,0,IF(WEEKDAY(BE$6,1)=7,0,MIN(8,BE81)*BE80))))-MIN(IF(BE80&lt;=0,0,IF(WEEKDAY(BE$6,1)=1,0,IF(WEEKDAY(BE$6,1)=7,0,MIN(8,BE81)*BE80))),MAX(0,40*MAX(1,BE80)-(BA82+BB82+BC82+BD82)))))</f>
        <v>0</v>
      </c>
      <c r="BF83" s="64">
        <f>IF(AND(BF80=0,BF81=0),0,IF(BF80&lt;=0,0,IF(WEEKDAY(BF$6,1)=1,0,IF(WEEKDAY(BF$6,1)=7,BF80*BF81,MAX(0,BF81-8)*BF80)))+((IF(BF80&lt;=0,0,IF(WEEKDAY(BF$6,1)=1,0,IF(WEEKDAY(BF$6,1)=7,0,MIN(8,BF81)*BF80))))-MIN(IF(BF80&lt;=0,0,IF(WEEKDAY(BF$6,1)=1,0,IF(WEEKDAY(BF$6,1)=7,0,MIN(8,BF81)*BF80))),MAX(0,40*MAX(1,BF80)-(0)))))</f>
        <v>0</v>
      </c>
      <c r="BG83" s="64">
        <f>IF(AND(BG80=0,BG81=0),0,IF(BG80&lt;=0,0,IF(WEEKDAY(BG$6,1)=1,0,IF(WEEKDAY(BG$6,1)=7,BG80*BG81,MAX(0,BG81-8)*BG80)))+((IF(BG80&lt;=0,0,IF(WEEKDAY(BG$6,1)=1,0,IF(WEEKDAY(BG$6,1)=7,0,MIN(8,BG81)*BG80))))-MIN(IF(BG80&lt;=0,0,IF(WEEKDAY(BG$6,1)=1,0,IF(WEEKDAY(BG$6,1)=7,0,MIN(8,BG81)*BG80))),MAX(0,40*MAX(1,BG80)-(BF82)))))</f>
        <v>0</v>
      </c>
      <c r="BH83" s="63">
        <f>IF(AND(BH80=0,BH81=0),0,IF(BH80&lt;=0,0,IF(WEEKDAY(BH$6,1)=1,0,IF(WEEKDAY(BH$6,1)=7,BH80*BH81,MAX(0,BH81-8)*BH80)))+((IF(BH80&lt;=0,0,IF(WEEKDAY(BH$6,1)=1,0,IF(WEEKDAY(BH$6,1)=7,0,MIN(8,BH81)*BH80))))-MIN(IF(BH80&lt;=0,0,IF(WEEKDAY(BH$6,1)=1,0,IF(WEEKDAY(BH$6,1)=7,0,MIN(8,BH81)*BH80))),MAX(0,40*MAX(1,BH80)-(0)))))</f>
        <v>0</v>
      </c>
      <c r="BI83" s="63">
        <f>IF(AND(BI80=0,BI81=0),0,IF(BI80&lt;=0,0,IF(WEEKDAY(BI$6,1)=1,0,IF(WEEKDAY(BI$6,1)=7,BI80*BI81,MAX(0,BI81-8)*BI80)))+((IF(BI80&lt;=0,0,IF(WEEKDAY(BI$6,1)=1,0,IF(WEEKDAY(BI$6,1)=7,0,MIN(8,BI81)*BI80))))-MIN(IF(BI80&lt;=0,0,IF(WEEKDAY(BI$6,1)=1,0,IF(WEEKDAY(BI$6,1)=7,0,MIN(8,BI81)*BI80))),MAX(0,40*MAX(1,BI80)-(BH82)))))</f>
        <v>0</v>
      </c>
      <c r="BJ83" s="63">
        <f>IF(AND(BJ80=0,BJ81=0),0,IF(BJ80&lt;=0,0,IF(WEEKDAY(BJ$6,1)=1,0,IF(WEEKDAY(BJ$6,1)=7,BJ80*BJ81,MAX(0,BJ81-8)*BJ80)))+((IF(BJ80&lt;=0,0,IF(WEEKDAY(BJ$6,1)=1,0,IF(WEEKDAY(BJ$6,1)=7,0,MIN(8,BJ81)*BJ80))))-MIN(IF(BJ80&lt;=0,0,IF(WEEKDAY(BJ$6,1)=1,0,IF(WEEKDAY(BJ$6,1)=7,0,MIN(8,BJ81)*BJ80))),MAX(0,40*MAX(1,BJ80)-(BH82+BI82)))))</f>
        <v>0</v>
      </c>
      <c r="BK83" s="63">
        <f>IF(AND(BK80=0,BK81=0),0,IF(BK80&lt;=0,0,IF(WEEKDAY(BK$6,1)=1,0,IF(WEEKDAY(BK$6,1)=7,BK80*BK81,MAX(0,BK81-8)*BK80)))+((IF(BK80&lt;=0,0,IF(WEEKDAY(BK$6,1)=1,0,IF(WEEKDAY(BK$6,1)=7,0,MIN(8,BK81)*BK80))))-MIN(IF(BK80&lt;=0,0,IF(WEEKDAY(BK$6,1)=1,0,IF(WEEKDAY(BK$6,1)=7,0,MIN(8,BK81)*BK80))),MAX(0,40*MAX(1,BK80)-(BH82+BI82+BJ82)))))</f>
        <v>0</v>
      </c>
      <c r="BL83" s="63">
        <f>IF(AND(BL80=0,BL81=0),0,IF(BL80&lt;=0,0,IF(WEEKDAY(BL$6,1)=1,0,IF(WEEKDAY(BL$6,1)=7,BL80*BL81,MAX(0,BL81-8)*BL80)))+((IF(BL80&lt;=0,0,IF(WEEKDAY(BL$6,1)=1,0,IF(WEEKDAY(BL$6,1)=7,0,MIN(8,BL81)*BL80))))-MIN(IF(BL80&lt;=0,0,IF(WEEKDAY(BL$6,1)=1,0,IF(WEEKDAY(BL$6,1)=7,0,MIN(8,BL81)*BL80))),MAX(0,40*MAX(1,BL80)-(BH82+BI82+BJ82+BK82)))))</f>
        <v>0</v>
      </c>
      <c r="BM83" s="64">
        <f>IF(AND(BM80=0,BM81=0),0,IF(BM80&lt;=0,0,IF(WEEKDAY(BM$6,1)=1,0,IF(WEEKDAY(BM$6,1)=7,BM80*BM81,MAX(0,BM81-8)*BM80)))+((IF(BM80&lt;=0,0,IF(WEEKDAY(BM$6,1)=1,0,IF(WEEKDAY(BM$6,1)=7,0,MIN(8,BM81)*BM80))))-MIN(IF(BM80&lt;=0,0,IF(WEEKDAY(BM$6,1)=1,0,IF(WEEKDAY(BM$6,1)=7,0,MIN(8,BM81)*BM80))),MAX(0,40*MAX(1,BM80)-(BH82+BI82+BJ82+BK82+BL82)))))</f>
        <v>0</v>
      </c>
      <c r="BN83" s="64">
        <f>IF(AND(BN80=0,BN81=0),0,IF(BN80&lt;=0,0,IF(WEEKDAY(BN$6,1)=1,0,IF(WEEKDAY(BN$6,1)=7,BN80*BN81,MAX(0,BN81-8)*BN80)))+((IF(BN80&lt;=0,0,IF(WEEKDAY(BN$6,1)=1,0,IF(WEEKDAY(BN$6,1)=7,0,MIN(8,BN81)*BN80))))-MIN(IF(BN80&lt;=0,0,IF(WEEKDAY(BN$6,1)=1,0,IF(WEEKDAY(BN$6,1)=7,0,MIN(8,BN81)*BN80))),MAX(0,40*MAX(1,BN80)-(BH82+BI82+BJ82+BK82+BL82+BM82)))))</f>
        <v>0</v>
      </c>
      <c r="BO83" s="63">
        <f>IF(AND(BO80=0,BO81=0),0,IF(BO80&lt;=0,0,IF(WEEKDAY(BO$6,1)=1,0,IF(WEEKDAY(BO$6,1)=7,BO80*BO81,MAX(0,BO81-8)*BO80)))+((IF(BO80&lt;=0,0,IF(WEEKDAY(BO$6,1)=1,0,IF(WEEKDAY(BO$6,1)=7,0,MIN(8,BO81)*BO80))))-MIN(IF(BO80&lt;=0,0,IF(WEEKDAY(BO$6,1)=1,0,IF(WEEKDAY(BO$6,1)=7,0,MIN(8,BO81)*BO80))),MAX(0,40*MAX(1,BO80)-(0)))))</f>
        <v>0</v>
      </c>
      <c r="BP83" s="63">
        <f>IF(AND(BP80=0,BP81=0),0,IF(BP80&lt;=0,0,IF(WEEKDAY(BP$6,1)=1,0,IF(WEEKDAY(BP$6,1)=7,BP80*BP81,MAX(0,BP81-8)*BP80)))+((IF(BP80&lt;=0,0,IF(WEEKDAY(BP$6,1)=1,0,IF(WEEKDAY(BP$6,1)=7,0,MIN(8,BP81)*BP80))))-MIN(IF(BP80&lt;=0,0,IF(WEEKDAY(BP$6,1)=1,0,IF(WEEKDAY(BP$6,1)=7,0,MIN(8,BP81)*BP80))),MAX(0,40*MAX(1,BP80)-(BO82)))))</f>
        <v>0</v>
      </c>
      <c r="BQ83" s="63">
        <f>IF(AND(BQ80=0,BQ81=0),0,IF(BQ80&lt;=0,0,IF(WEEKDAY(BQ$6,1)=1,0,IF(WEEKDAY(BQ$6,1)=7,BQ80*BQ81,MAX(0,BQ81-8)*BQ80)))+((IF(BQ80&lt;=0,0,IF(WEEKDAY(BQ$6,1)=1,0,IF(WEEKDAY(BQ$6,1)=7,0,MIN(8,BQ81)*BQ80))))-MIN(IF(BQ80&lt;=0,0,IF(WEEKDAY(BQ$6,1)=1,0,IF(WEEKDAY(BQ$6,1)=7,0,MIN(8,BQ81)*BQ80))),MAX(0,40*MAX(1,BQ80)-(BO82+BP82)))))</f>
        <v>0</v>
      </c>
      <c r="BR83" s="63">
        <f>IF(AND(BR80=0,BR81=0),0,IF(BR80&lt;=0,0,IF(WEEKDAY(BR$6,1)=1,0,IF(WEEKDAY(BR$6,1)=7,BR80*BR81,MAX(0,BR81-8)*BR80)))+((IF(BR80&lt;=0,0,IF(WEEKDAY(BR$6,1)=1,0,IF(WEEKDAY(BR$6,1)=7,0,MIN(8,BR81)*BR80))))-MIN(IF(BR80&lt;=0,0,IF(WEEKDAY(BR$6,1)=1,0,IF(WEEKDAY(BR$6,1)=7,0,MIN(8,BR81)*BR80))),MAX(0,40*MAX(1,BR80)-(BO82+BP82+BQ82)))))</f>
        <v>0</v>
      </c>
      <c r="BS83" s="63">
        <f>IF(AND(BS80=0,BS81=0),0,IF(BS80&lt;=0,0,IF(WEEKDAY(BS$6,1)=1,0,IF(WEEKDAY(BS$6,1)=7,BS80*BS81,MAX(0,BS81-8)*BS80)))+((IF(BS80&lt;=0,0,IF(WEEKDAY(BS$6,1)=1,0,IF(WEEKDAY(BS$6,1)=7,0,MIN(8,BS81)*BS80))))-MIN(IF(BS80&lt;=0,0,IF(WEEKDAY(BS$6,1)=1,0,IF(WEEKDAY(BS$6,1)=7,0,MIN(8,BS81)*BS80))),MAX(0,40*MAX(1,BS80)-(BO82+BP82+BQ82+BR82)))))</f>
        <v>0</v>
      </c>
      <c r="BT83" s="64">
        <f>IF(AND(BT80=0,BT81=0),0,IF(BT80&lt;=0,0,IF(WEEKDAY(BT$6,1)=1,0,IF(WEEKDAY(BT$6,1)=7,BT80*BT81,MAX(0,BT81-8)*BT80)))+((IF(BT80&lt;=0,0,IF(WEEKDAY(BT$6,1)=1,0,IF(WEEKDAY(BT$6,1)=7,0,MIN(8,BT81)*BT80))))-MIN(IF(BT80&lt;=0,0,IF(WEEKDAY(BT$6,1)=1,0,IF(WEEKDAY(BT$6,1)=7,0,MIN(8,BT81)*BT80))),MAX(0,40*MAX(1,BT80)-(BO82+BP82+BQ82+BR82+BS82)))))</f>
        <v>0</v>
      </c>
      <c r="BU83" s="64">
        <f>IF(AND(BU80=0,BU81=0),0,IF(BU80&lt;=0,0,IF(WEEKDAY(BU$6,1)=1,0,IF(WEEKDAY(BU$6,1)=7,BU80*BU81,MAX(0,BU81-8)*BU80)))+((IF(BU80&lt;=0,0,IF(WEEKDAY(BU$6,1)=1,0,IF(WEEKDAY(BU$6,1)=7,0,MIN(8,BU81)*BU80))))-MIN(IF(BU80&lt;=0,0,IF(WEEKDAY(BU$6,1)=1,0,IF(WEEKDAY(BU$6,1)=7,0,MIN(8,BU81)*BU80))),MAX(0,40*MAX(1,BU80)-(BO82+BP82+BQ82+BR82+BS82+BT82)))))</f>
        <v>0</v>
      </c>
      <c r="BV83" s="63">
        <f>IF(AND(BV80=0,BV81=0),0,IF(BV80&lt;=0,0,IF(WEEKDAY(BV$6,1)=1,0,IF(WEEKDAY(BV$6,1)=7,BV80*BV81,MAX(0,BV81-8)*BV80)))+((IF(BV80&lt;=0,0,IF(WEEKDAY(BV$6,1)=1,0,IF(WEEKDAY(BV$6,1)=7,0,MIN(8,BV81)*BV80))))-MIN(IF(BV80&lt;=0,0,IF(WEEKDAY(BV$6,1)=1,0,IF(WEEKDAY(BV$6,1)=7,0,MIN(8,BV81)*BV80))),MAX(0,40*MAX(1,BV80)-(0)))))</f>
        <v>0</v>
      </c>
      <c r="BW83" s="63">
        <f>IF(AND(BW80=0,BW81=0),0,IF(BW80&lt;=0,0,IF(WEEKDAY(BW$6,1)=1,0,IF(WEEKDAY(BW$6,1)=7,BW80*BW81,MAX(0,BW81-8)*BW80)))+((IF(BW80&lt;=0,0,IF(WEEKDAY(BW$6,1)=1,0,IF(WEEKDAY(BW$6,1)=7,0,MIN(8,BW81)*BW80))))-MIN(IF(BW80&lt;=0,0,IF(WEEKDAY(BW$6,1)=1,0,IF(WEEKDAY(BW$6,1)=7,0,MIN(8,BW81)*BW80))),MAX(0,40*MAX(1,BW80)-(BV82)))))</f>
        <v>0</v>
      </c>
      <c r="BX83" s="63">
        <f>IF(AND(BX80=0,BX81=0),0,IF(BX80&lt;=0,0,IF(WEEKDAY(BX$6,1)=1,0,IF(WEEKDAY(BX$6,1)=7,BX80*BX81,MAX(0,BX81-8)*BX80)))+((IF(BX80&lt;=0,0,IF(WEEKDAY(BX$6,1)=1,0,IF(WEEKDAY(BX$6,1)=7,0,MIN(8,BX81)*BX80))))-MIN(IF(BX80&lt;=0,0,IF(WEEKDAY(BX$6,1)=1,0,IF(WEEKDAY(BX$6,1)=7,0,MIN(8,BX81)*BX80))),MAX(0,40*MAX(1,BX80)-(BV82+BW82)))))</f>
        <v>0</v>
      </c>
      <c r="BY83" s="63">
        <f>IF(AND(BY80=0,BY81=0),0,IF(BY80&lt;=0,0,IF(WEEKDAY(BY$6,1)=1,0,IF(WEEKDAY(BY$6,1)=7,BY80*BY81,MAX(0,BY81-8)*BY80)))+((IF(BY80&lt;=0,0,IF(WEEKDAY(BY$6,1)=1,0,IF(WEEKDAY(BY$6,1)=7,0,MIN(8,BY81)*BY80))))-MIN(IF(BY80&lt;=0,0,IF(WEEKDAY(BY$6,1)=1,0,IF(WEEKDAY(BY$6,1)=7,0,MIN(8,BY81)*BY80))),MAX(0,40*MAX(1,BY80)-(BV82+BW82+BX82)))))</f>
        <v>0</v>
      </c>
      <c r="BZ83" s="63">
        <f>IF(AND(BZ80=0,BZ81=0),0,IF(BZ80&lt;=0,0,IF(WEEKDAY(BZ$6,1)=1,0,IF(WEEKDAY(BZ$6,1)=7,BZ80*BZ81,MAX(0,BZ81-8)*BZ80)))+((IF(BZ80&lt;=0,0,IF(WEEKDAY(BZ$6,1)=1,0,IF(WEEKDAY(BZ$6,1)=7,0,MIN(8,BZ81)*BZ80))))-MIN(IF(BZ80&lt;=0,0,IF(WEEKDAY(BZ$6,1)=1,0,IF(WEEKDAY(BZ$6,1)=7,0,MIN(8,BZ81)*BZ80))),MAX(0,40*MAX(1,BZ80)-(BV82+BW82+BX82+BY82)))))</f>
        <v>0</v>
      </c>
      <c r="CA83" s="64">
        <f>IF(AND(CA80=0,CA81=0),0,IF(CA80&lt;=0,0,IF(WEEKDAY(CA$6,1)=1,0,IF(WEEKDAY(CA$6,1)=7,CA80*CA81,MAX(0,CA81-8)*CA80)))+((IF(CA80&lt;=0,0,IF(WEEKDAY(CA$6,1)=1,0,IF(WEEKDAY(CA$6,1)=7,0,MIN(8,CA81)*CA80))))-MIN(IF(CA80&lt;=0,0,IF(WEEKDAY(CA$6,1)=1,0,IF(WEEKDAY(CA$6,1)=7,0,MIN(8,CA81)*CA80))),MAX(0,40*MAX(1,CA80)-(BV82+BW82+BX82+BY82+BZ82)))))</f>
        <v>0</v>
      </c>
      <c r="CB83" s="64">
        <f>IF(AND(CB80=0,CB81=0),0,IF(CB80&lt;=0,0,IF(WEEKDAY(CB$6,1)=1,0,IF(WEEKDAY(CB$6,1)=7,CB80*CB81,MAX(0,CB81-8)*CB80)))+((IF(CB80&lt;=0,0,IF(WEEKDAY(CB$6,1)=1,0,IF(WEEKDAY(CB$6,1)=7,0,MIN(8,CB81)*CB80))))-MIN(IF(CB80&lt;=0,0,IF(WEEKDAY(CB$6,1)=1,0,IF(WEEKDAY(CB$6,1)=7,0,MIN(8,CB81)*CB80))),MAX(0,40*MAX(1,CB80)-(BV82+BW82+BX82+BY82+BZ82+CA82)))))</f>
        <v>0</v>
      </c>
      <c r="CC83" s="63">
        <f>IF(AND(CC80=0,CC81=0),0,IF(CC80&lt;=0,0,IF(WEEKDAY(CC$6,1)=1,0,IF(WEEKDAY(CC$6,1)=7,CC80*CC81,MAX(0,CC81-8)*CC80)))+((IF(CC80&lt;=0,0,IF(WEEKDAY(CC$6,1)=1,0,IF(WEEKDAY(CC$6,1)=7,0,MIN(8,CC81)*CC80))))-MIN(IF(CC80&lt;=0,0,IF(WEEKDAY(CC$6,1)=1,0,IF(WEEKDAY(CC$6,1)=7,0,MIN(8,CC81)*CC80))),MAX(0,40*MAX(1,CC80)-(0)))))</f>
        <v>0</v>
      </c>
      <c r="CD83" s="63">
        <f>IF(AND(CD80=0,CD81=0),0,IF(CD80&lt;=0,0,IF(WEEKDAY(CD$6,1)=1,0,IF(WEEKDAY(CD$6,1)=7,CD80*CD81,MAX(0,CD81-8)*CD80)))+((IF(CD80&lt;=0,0,IF(WEEKDAY(CD$6,1)=1,0,IF(WEEKDAY(CD$6,1)=7,0,MIN(8,CD81)*CD80))))-MIN(IF(CD80&lt;=0,0,IF(WEEKDAY(CD$6,1)=1,0,IF(WEEKDAY(CD$6,1)=7,0,MIN(8,CD81)*CD80))),MAX(0,40*MAX(1,CD80)-(CC82)))))</f>
        <v>0</v>
      </c>
      <c r="CE83" s="63">
        <f>IF(AND(CE80=0,CE81=0),0,IF(CE80&lt;=0,0,IF(WEEKDAY(CE$6,1)=1,0,IF(WEEKDAY(CE$6,1)=7,CE80*CE81,MAX(0,CE81-8)*CE80)))+((IF(CE80&lt;=0,0,IF(WEEKDAY(CE$6,1)=1,0,IF(WEEKDAY(CE$6,1)=7,0,MIN(8,CE81)*CE80))))-MIN(IF(CE80&lt;=0,0,IF(WEEKDAY(CE$6,1)=1,0,IF(WEEKDAY(CE$6,1)=7,0,MIN(8,CE81)*CE80))),MAX(0,40*MAX(1,CE80)-(CC82+CD82)))))</f>
        <v>0</v>
      </c>
      <c r="CF83" s="63">
        <f>IF(AND(CF80=0,CF81=0),0,IF(CF80&lt;=0,0,IF(WEEKDAY(CF$6,1)=1,0,IF(WEEKDAY(CF$6,1)=7,CF80*CF81,MAX(0,CF81-8)*CF80)))+((IF(CF80&lt;=0,0,IF(WEEKDAY(CF$6,1)=1,0,IF(WEEKDAY(CF$6,1)=7,0,MIN(8,CF81)*CF80))))-MIN(IF(CF80&lt;=0,0,IF(WEEKDAY(CF$6,1)=1,0,IF(WEEKDAY(CF$6,1)=7,0,MIN(8,CF81)*CF80))),MAX(0,40*MAX(1,CF80)-(CC82+CD82+CE82)))))</f>
        <v>0</v>
      </c>
      <c r="CG83" s="63">
        <f>IF(AND(CG80=0,CG81=0),0,IF(CG80&lt;=0,0,IF(WEEKDAY(CG$6,1)=1,0,IF(WEEKDAY(CG$6,1)=7,CG80*CG81,MAX(0,CG81-8)*CG80)))+((IF(CG80&lt;=0,0,IF(WEEKDAY(CG$6,1)=1,0,IF(WEEKDAY(CG$6,1)=7,0,MIN(8,CG81)*CG80))))-MIN(IF(CG80&lt;=0,0,IF(WEEKDAY(CG$6,1)=1,0,IF(WEEKDAY(CG$6,1)=7,0,MIN(8,CG81)*CG80))),MAX(0,40*MAX(1,CG80)-(CC82+CD82+CE82+CF82)))))</f>
        <v>0</v>
      </c>
      <c r="CH83" s="64">
        <f>IF(AND(CH80=0,CH81=0),0,IF(CH80&lt;=0,0,IF(WEEKDAY(CH$6,1)=1,0,IF(WEEKDAY(CH$6,1)=7,CH80*CH81,MAX(0,CH81-8)*CH80)))+((IF(CH80&lt;=0,0,IF(WEEKDAY(CH$6,1)=1,0,IF(WEEKDAY(CH$6,1)=7,0,MIN(8,CH81)*CH80))))-MIN(IF(CH80&lt;=0,0,IF(WEEKDAY(CH$6,1)=1,0,IF(WEEKDAY(CH$6,1)=7,0,MIN(8,CH81)*CH80))),MAX(0,40*MAX(1,CH80)-(CC82+CD82+CE82+CF82+CG82)))))</f>
        <v>0</v>
      </c>
      <c r="CI83" s="64">
        <f>IF(AND(CI80=0,CI81=0),0,IF(CI80&lt;=0,0,IF(WEEKDAY(CI$6,1)=1,0,IF(WEEKDAY(CI$6,1)=7,CI80*CI81,MAX(0,CI81-8)*CI80)))+((IF(CI80&lt;=0,0,IF(WEEKDAY(CI$6,1)=1,0,IF(WEEKDAY(CI$6,1)=7,0,MIN(8,CI81)*CI80))))-MIN(IF(CI80&lt;=0,0,IF(WEEKDAY(CI$6,1)=1,0,IF(WEEKDAY(CI$6,1)=7,0,MIN(8,CI81)*CI80))),MAX(0,40*MAX(1,CI80)-(CC82+CD82+CE82+CF82+CG82+CH82)))))</f>
        <v>0</v>
      </c>
      <c r="CJ83" s="63">
        <f>IF(AND(CJ80=0,CJ81=0),0,IF(CJ80&lt;=0,0,IF(WEEKDAY(CJ$6,1)=1,0,IF(WEEKDAY(CJ$6,1)=7,CJ80*CJ81,MAX(0,CJ81-8)*CJ80)))+((IF(CJ80&lt;=0,0,IF(WEEKDAY(CJ$6,1)=1,0,IF(WEEKDAY(CJ$6,1)=7,0,MIN(8,CJ81)*CJ80))))-MIN(IF(CJ80&lt;=0,0,IF(WEEKDAY(CJ$6,1)=1,0,IF(WEEKDAY(CJ$6,1)=7,0,MIN(8,CJ81)*CJ80))),MAX(0,40*MAX(1,CJ80)-(0)))))</f>
        <v>0</v>
      </c>
      <c r="CK83" s="63">
        <f>IF(AND(CK80=0,CK81=0),0,IF(CK80&lt;=0,0,IF(WEEKDAY(CK$6,1)=1,0,IF(WEEKDAY(CK$6,1)=7,CK80*CK81,MAX(0,CK81-8)*CK80)))+((IF(CK80&lt;=0,0,IF(WEEKDAY(CK$6,1)=1,0,IF(WEEKDAY(CK$6,1)=7,0,MIN(8,CK81)*CK80))))-MIN(IF(CK80&lt;=0,0,IF(WEEKDAY(CK$6,1)=1,0,IF(WEEKDAY(CK$6,1)=7,0,MIN(8,CK81)*CK80))),MAX(0,40*MAX(1,CK80)-(CJ82)))))</f>
        <v>0</v>
      </c>
      <c r="CL83" s="63">
        <f>IF(AND(CL80=0,CL81=0),0,IF(CL80&lt;=0,0,IF(WEEKDAY(CL$6,1)=1,0,IF(WEEKDAY(CL$6,1)=7,CL80*CL81,MAX(0,CL81-8)*CL80)))+((IF(CL80&lt;=0,0,IF(WEEKDAY(CL$6,1)=1,0,IF(WEEKDAY(CL$6,1)=7,0,MIN(8,CL81)*CL80))))-MIN(IF(CL80&lt;=0,0,IF(WEEKDAY(CL$6,1)=1,0,IF(WEEKDAY(CL$6,1)=7,0,MIN(8,CL81)*CL80))),MAX(0,40*MAX(1,CL80)-(CJ82+CK82)))))</f>
        <v>0</v>
      </c>
      <c r="CM83" s="63">
        <f>IF(AND(CM80=0,CM81=0),0,IF(CM80&lt;=0,0,IF(WEEKDAY(CM$6,1)=1,0,IF(WEEKDAY(CM$6,1)=7,CM80*CM81,MAX(0,CM81-8)*CM80)))+((IF(CM80&lt;=0,0,IF(WEEKDAY(CM$6,1)=1,0,IF(WEEKDAY(CM$6,1)=7,0,MIN(8,CM81)*CM80))))-MIN(IF(CM80&lt;=0,0,IF(WEEKDAY(CM$6,1)=1,0,IF(WEEKDAY(CM$6,1)=7,0,MIN(8,CM81)*CM80))),MAX(0,40*MAX(1,CM80)-(CJ82+CK82+CL82)))))</f>
        <v>0</v>
      </c>
      <c r="CN83" s="63">
        <f>IF(AND(CN80=0,CN81=0),0,IF(CN80&lt;=0,0,IF(WEEKDAY(CN$6,1)=1,0,IF(WEEKDAY(CN$6,1)=7,CN80*CN81,MAX(0,CN81-8)*CN80)))+((IF(CN80&lt;=0,0,IF(WEEKDAY(CN$6,1)=1,0,IF(WEEKDAY(CN$6,1)=7,0,MIN(8,CN81)*CN80))))-MIN(IF(CN80&lt;=0,0,IF(WEEKDAY(CN$6,1)=1,0,IF(WEEKDAY(CN$6,1)=7,0,MIN(8,CN81)*CN80))),MAX(0,40*MAX(1,CN80)-(CJ82+CK82+CL82+CM82)))))</f>
        <v>0</v>
      </c>
      <c r="CO83" s="64">
        <f>IF(AND(CO80=0,CO81=0),0,IF(CO80&lt;=0,0,IF(WEEKDAY(CO$6,1)=1,0,IF(WEEKDAY(CO$6,1)=7,CO80*CO81,MAX(0,CO81-8)*CO80)))+((IF(CO80&lt;=0,0,IF(WEEKDAY(CO$6,1)=1,0,IF(WEEKDAY(CO$6,1)=7,0,MIN(8,CO81)*CO80))))-MIN(IF(CO80&lt;=0,0,IF(WEEKDAY(CO$6,1)=1,0,IF(WEEKDAY(CO$6,1)=7,0,MIN(8,CO81)*CO80))),MAX(0,40*MAX(1,CO80)-(CJ82+CK82+CL82+CM82+CN82)))))</f>
        <v>0</v>
      </c>
      <c r="CP83" s="64">
        <f>IF(AND(CP80=0,CP81=0),0,IF(CP80&lt;=0,0,IF(WEEKDAY(CP$6,1)=1,0,IF(WEEKDAY(CP$6,1)=7,CP80*CP81,MAX(0,CP81-8)*CP80)))+((IF(CP80&lt;=0,0,IF(WEEKDAY(CP$6,1)=1,0,IF(WEEKDAY(CP$6,1)=7,0,MIN(8,CP81)*CP80))))-MIN(IF(CP80&lt;=0,0,IF(WEEKDAY(CP$6,1)=1,0,IF(WEEKDAY(CP$6,1)=7,0,MIN(8,CP81)*CP80))),MAX(0,40*MAX(1,CP80)-(CJ82+CK82+CL82+CM82+CN82+CO82)))))</f>
        <v>0</v>
      </c>
      <c r="CQ83" s="63">
        <f>IF(AND(CQ80=0,CQ81=0),0,IF(CQ80&lt;=0,0,IF(WEEKDAY(CQ$6,1)=1,0,IF(WEEKDAY(CQ$6,1)=7,CQ80*CQ81,MAX(0,CQ81-8)*CQ80)))+((IF(CQ80&lt;=0,0,IF(WEEKDAY(CQ$6,1)=1,0,IF(WEEKDAY(CQ$6,1)=7,0,MIN(8,CQ81)*CQ80))))-MIN(IF(CQ80&lt;=0,0,IF(WEEKDAY(CQ$6,1)=1,0,IF(WEEKDAY(CQ$6,1)=7,0,MIN(8,CQ81)*CQ80))),MAX(0,40*MAX(1,CQ80)-(0)))))</f>
        <v>0</v>
      </c>
      <c r="CR83" s="63">
        <f>IF(AND(CR80=0,CR81=0),0,IF(CR80&lt;=0,0,IF(WEEKDAY(CR$6,1)=1,0,IF(WEEKDAY(CR$6,1)=7,CR80*CR81,MAX(0,CR81-8)*CR80)))+((IF(CR80&lt;=0,0,IF(WEEKDAY(CR$6,1)=1,0,IF(WEEKDAY(CR$6,1)=7,0,MIN(8,CR81)*CR80))))-MIN(IF(CR80&lt;=0,0,IF(WEEKDAY(CR$6,1)=1,0,IF(WEEKDAY(CR$6,1)=7,0,MIN(8,CR81)*CR80))),MAX(0,40*MAX(1,CR80)-(CQ82)))))</f>
        <v>0</v>
      </c>
      <c r="CS83" s="63">
        <f>IF(AND(CS80=0,CS81=0),0,IF(CS80&lt;=0,0,IF(WEEKDAY(CS$6,1)=1,0,IF(WEEKDAY(CS$6,1)=7,CS80*CS81,MAX(0,CS81-8)*CS80)))+((IF(CS80&lt;=0,0,IF(WEEKDAY(CS$6,1)=1,0,IF(WEEKDAY(CS$6,1)=7,0,MIN(8,CS81)*CS80))))-MIN(IF(CS80&lt;=0,0,IF(WEEKDAY(CS$6,1)=1,0,IF(WEEKDAY(CS$6,1)=7,0,MIN(8,CS81)*CS80))),MAX(0,40*MAX(1,CS80)-(CQ82+CR82)))))</f>
        <v>0</v>
      </c>
      <c r="CT83" s="63">
        <f>IF(AND(CT80=0,CT81=0),0,IF(CT80&lt;=0,0,IF(WEEKDAY(CT$6,1)=1,0,IF(WEEKDAY(CT$6,1)=7,CT80*CT81,MAX(0,CT81-8)*CT80)))+((IF(CT80&lt;=0,0,IF(WEEKDAY(CT$6,1)=1,0,IF(WEEKDAY(CT$6,1)=7,0,MIN(8,CT81)*CT80))))-MIN(IF(CT80&lt;=0,0,IF(WEEKDAY(CT$6,1)=1,0,IF(WEEKDAY(CT$6,1)=7,0,MIN(8,CT81)*CT80))),MAX(0,40*MAX(1,CT80)-(CQ82+CR82+CS82)))))</f>
        <v>0</v>
      </c>
      <c r="CU83" s="63">
        <f>IF(AND(CU80=0,CU81=0),0,IF(CU80&lt;=0,0,IF(WEEKDAY(CU$6,1)=1,0,IF(WEEKDAY(CU$6,1)=7,CU80*CU81,MAX(0,CU81-8)*CU80)))+((IF(CU80&lt;=0,0,IF(WEEKDAY(CU$6,1)=1,0,IF(WEEKDAY(CU$6,1)=7,0,MIN(8,CU81)*CU80))))-MIN(IF(CU80&lt;=0,0,IF(WEEKDAY(CU$6,1)=1,0,IF(WEEKDAY(CU$6,1)=7,0,MIN(8,CU81)*CU80))),MAX(0,40*MAX(1,CU80)-(CQ82+CR82+CS82+CT82)))))</f>
        <v>0</v>
      </c>
      <c r="CV83" s="64">
        <f>IF(AND(CV80=0,CV81=0),0,IF(CV80&lt;=0,0,IF(WEEKDAY(CV$6,1)=1,0,IF(WEEKDAY(CV$6,1)=7,CV80*CV81,MAX(0,CV81-8)*CV80)))+((IF(CV80&lt;=0,0,IF(WEEKDAY(CV$6,1)=1,0,IF(WEEKDAY(CV$6,1)=7,0,MIN(8,CV81)*CV80))))-MIN(IF(CV80&lt;=0,0,IF(WEEKDAY(CV$6,1)=1,0,IF(WEEKDAY(CV$6,1)=7,0,MIN(8,CV81)*CV80))),MAX(0,40*MAX(1,CV80)-(CQ82+CR82+CS82+CT82+CU82)))))</f>
        <v>0</v>
      </c>
      <c r="CW83" s="64">
        <f>IF(AND(CW80=0,CW81=0),0,IF(CW80&lt;=0,0,IF(WEEKDAY(CW$6,1)=1,0,IF(WEEKDAY(CW$6,1)=7,CW80*CW81,MAX(0,CW81-8)*CW80)))+((IF(CW80&lt;=0,0,IF(WEEKDAY(CW$6,1)=1,0,IF(WEEKDAY(CW$6,1)=7,0,MIN(8,CW81)*CW80))))-MIN(IF(CW80&lt;=0,0,IF(WEEKDAY(CW$6,1)=1,0,IF(WEEKDAY(CW$6,1)=7,0,MIN(8,CW81)*CW80))),MAX(0,40*MAX(1,CW80)-(CQ82+CR82+CS82+CT82+CU82+CV82)))))</f>
        <v>0</v>
      </c>
      <c r="CX83" s="63">
        <f>IF(AND(CX80=0,CX81=0),0,IF(CX80&lt;=0,0,IF(WEEKDAY(CX$6,1)=1,0,IF(WEEKDAY(CX$6,1)=7,CX80*CX81,MAX(0,CX81-8)*CX80)))+((IF(CX80&lt;=0,0,IF(WEEKDAY(CX$6,1)=1,0,IF(WEEKDAY(CX$6,1)=7,0,MIN(8,CX81)*CX80))))-MIN(IF(CX80&lt;=0,0,IF(WEEKDAY(CX$6,1)=1,0,IF(WEEKDAY(CX$6,1)=7,0,MIN(8,CX81)*CX80))),MAX(0,40*MAX(1,CX80)-(0)))))</f>
        <v>0</v>
      </c>
      <c r="CY83" s="63">
        <f>IF(AND(CY80=0,CY81=0),0,IF(CY80&lt;=0,0,IF(WEEKDAY(CY$6,1)=1,0,IF(WEEKDAY(CY$6,1)=7,CY80*CY81,MAX(0,CY81-8)*CY80)))+((IF(CY80&lt;=0,0,IF(WEEKDAY(CY$6,1)=1,0,IF(WEEKDAY(CY$6,1)=7,0,MIN(8,CY81)*CY80))))-MIN(IF(CY80&lt;=0,0,IF(WEEKDAY(CY$6,1)=1,0,IF(WEEKDAY(CY$6,1)=7,0,MIN(8,CY81)*CY80))),MAX(0,40*MAX(1,CY80)-(CX82)))))</f>
        <v>0</v>
      </c>
      <c r="CZ83" s="63">
        <f>IF(AND(CZ80=0,CZ81=0),0,IF(CZ80&lt;=0,0,IF(WEEKDAY(CZ$6,1)=1,0,IF(WEEKDAY(CZ$6,1)=7,CZ80*CZ81,MAX(0,CZ81-8)*CZ80)))+((IF(CZ80&lt;=0,0,IF(WEEKDAY(CZ$6,1)=1,0,IF(WEEKDAY(CZ$6,1)=7,0,MIN(8,CZ81)*CZ80))))-MIN(IF(CZ80&lt;=0,0,IF(WEEKDAY(CZ$6,1)=1,0,IF(WEEKDAY(CZ$6,1)=7,0,MIN(8,CZ81)*CZ80))),MAX(0,40*MAX(1,CZ80)-(CX82+CY82)))))</f>
        <v>0</v>
      </c>
      <c r="DA83" s="63">
        <f>IF(AND(DA80=0,DA81=0),0,IF(DA80&lt;=0,0,IF(WEEKDAY(DA$6,1)=1,0,IF(WEEKDAY(DA$6,1)=7,DA80*DA81,MAX(0,DA81-8)*DA80)))+((IF(DA80&lt;=0,0,IF(WEEKDAY(DA$6,1)=1,0,IF(WEEKDAY(DA$6,1)=7,0,MIN(8,DA81)*DA80))))-MIN(IF(DA80&lt;=0,0,IF(WEEKDAY(DA$6,1)=1,0,IF(WEEKDAY(DA$6,1)=7,0,MIN(8,DA81)*DA80))),MAX(0,40*MAX(1,DA80)-(CX82+CY82+CZ82)))))</f>
        <v>0</v>
      </c>
      <c r="DB83" s="63">
        <f>IF(AND(DB80=0,DB81=0),0,IF(DB80&lt;=0,0,IF(WEEKDAY(DB$6,1)=1,0,IF(WEEKDAY(DB$6,1)=7,DB80*DB81,MAX(0,DB81-8)*DB80)))+((IF(DB80&lt;=0,0,IF(WEEKDAY(DB$6,1)=1,0,IF(WEEKDAY(DB$6,1)=7,0,MIN(8,DB81)*DB80))))-MIN(IF(DB80&lt;=0,0,IF(WEEKDAY(DB$6,1)=1,0,IF(WEEKDAY(DB$6,1)=7,0,MIN(8,DB81)*DB80))),MAX(0,40*MAX(1,DB80)-(CX82+CY82+CZ82+DA82)))))</f>
        <v>0</v>
      </c>
      <c r="DC83" s="64">
        <f>IF(AND(DC80=0,DC81=0),0,IF(DC80&lt;=0,0,IF(WEEKDAY(DC$6,1)=1,0,IF(WEEKDAY(DC$6,1)=7,DC80*DC81,MAX(0,DC81-8)*DC80)))+((IF(DC80&lt;=0,0,IF(WEEKDAY(DC$6,1)=1,0,IF(WEEKDAY(DC$6,1)=7,0,MIN(8,DC81)*DC80))))-MIN(IF(DC80&lt;=0,0,IF(WEEKDAY(DC$6,1)=1,0,IF(WEEKDAY(DC$6,1)=7,0,MIN(8,DC81)*DC80))),MAX(0,40*MAX(1,DC80)-(CX82+CY82+CZ82+DA82+DB82)))))</f>
        <v>0</v>
      </c>
      <c r="DD83" s="64">
        <f>IF(AND(DD80=0,DD81=0),0,IF(DD80&lt;=0,0,IF(WEEKDAY(DD$6,1)=1,0,IF(WEEKDAY(DD$6,1)=7,DD80*DD81,MAX(0,DD81-8)*DD80)))+((IF(DD80&lt;=0,0,IF(WEEKDAY(DD$6,1)=1,0,IF(WEEKDAY(DD$6,1)=7,0,MIN(8,DD81)*DD80))))-MIN(IF(DD80&lt;=0,0,IF(WEEKDAY(DD$6,1)=1,0,IF(WEEKDAY(DD$6,1)=7,0,MIN(8,DD81)*DD80))),MAX(0,40*MAX(1,DD80)-(CX82+CY82+CZ82+DA82+DB82+DC82)))))</f>
        <v>0</v>
      </c>
      <c r="DE83" s="63">
        <f>IF(AND(DE80=0,DE81=0),0,IF(DE80&lt;=0,0,IF(WEEKDAY(DE$6,1)=1,0,IF(WEEKDAY(DE$6,1)=7,DE80*DE81,MAX(0,DE81-8)*DE80)))+((IF(DE80&lt;=0,0,IF(WEEKDAY(DE$6,1)=1,0,IF(WEEKDAY(DE$6,1)=7,0,MIN(8,DE81)*DE80))))-MIN(IF(DE80&lt;=0,0,IF(WEEKDAY(DE$6,1)=1,0,IF(WEEKDAY(DE$6,1)=7,0,MIN(8,DE81)*DE80))),MAX(0,40*MAX(1,DE80)-(0)))))</f>
        <v>0</v>
      </c>
      <c r="DF83" s="63">
        <f>IF(AND(DF80=0,DF81=0),0,IF(DF80&lt;=0,0,IF(WEEKDAY(DF$6,1)=1,0,IF(WEEKDAY(DF$6,1)=7,DF80*DF81,MAX(0,DF81-8)*DF80)))+((IF(DF80&lt;=0,0,IF(WEEKDAY(DF$6,1)=1,0,IF(WEEKDAY(DF$6,1)=7,0,MIN(8,DF81)*DF80))))-MIN(IF(DF80&lt;=0,0,IF(WEEKDAY(DF$6,1)=1,0,IF(WEEKDAY(DF$6,1)=7,0,MIN(8,DF81)*DF80))),MAX(0,40*MAX(1,DF80)-(DE82)))))</f>
        <v>0</v>
      </c>
      <c r="DG83" s="63">
        <f>IF(AND(DG80=0,DG81=0),0,IF(DG80&lt;=0,0,IF(WEEKDAY(DG$6,1)=1,0,IF(WEEKDAY(DG$6,1)=7,DG80*DG81,MAX(0,DG81-8)*DG80)))+((IF(DG80&lt;=0,0,IF(WEEKDAY(DG$6,1)=1,0,IF(WEEKDAY(DG$6,1)=7,0,MIN(8,DG81)*DG80))))-MIN(IF(DG80&lt;=0,0,IF(WEEKDAY(DG$6,1)=1,0,IF(WEEKDAY(DG$6,1)=7,0,MIN(8,DG81)*DG80))),MAX(0,40*MAX(1,DG80)-(DE82+DF82)))))</f>
        <v>0</v>
      </c>
      <c r="DH83" s="63">
        <f>IF(AND(DH80=0,DH81=0),0,IF(DH80&lt;=0,0,IF(WEEKDAY(DH$6,1)=1,0,IF(WEEKDAY(DH$6,1)=7,DH80*DH81,MAX(0,DH81-8)*DH80)))+((IF(DH80&lt;=0,0,IF(WEEKDAY(DH$6,1)=1,0,IF(WEEKDAY(DH$6,1)=7,0,MIN(8,DH81)*DH80))))-MIN(IF(DH80&lt;=0,0,IF(WEEKDAY(DH$6,1)=1,0,IF(WEEKDAY(DH$6,1)=7,0,MIN(8,DH81)*DH80))),MAX(0,40*MAX(1,DH80)-(DE82+DF82+DG82)))))</f>
        <v>0</v>
      </c>
      <c r="DI83" s="63">
        <f>IF(AND(DI80=0,DI81=0),0,IF(DI80&lt;=0,0,IF(WEEKDAY(DI$6,1)=1,0,IF(WEEKDAY(DI$6,1)=7,DI80*DI81,MAX(0,DI81-8)*DI80)))+((IF(DI80&lt;=0,0,IF(WEEKDAY(DI$6,1)=1,0,IF(WEEKDAY(DI$6,1)=7,0,MIN(8,DI81)*DI80))))-MIN(IF(DI80&lt;=0,0,IF(WEEKDAY(DI$6,1)=1,0,IF(WEEKDAY(DI$6,1)=7,0,MIN(8,DI81)*DI80))),MAX(0,40*MAX(1,DI80)-(DE82+DF82+DG82+DH82)))))</f>
        <v>0</v>
      </c>
      <c r="DJ83" s="64">
        <f>IF(AND(DJ80=0,DJ81=0),0,IF(DJ80&lt;=0,0,IF(WEEKDAY(DJ$6,1)=1,0,IF(WEEKDAY(DJ$6,1)=7,DJ80*DJ81,MAX(0,DJ81-8)*DJ80)))+((IF(DJ80&lt;=0,0,IF(WEEKDAY(DJ$6,1)=1,0,IF(WEEKDAY(DJ$6,1)=7,0,MIN(8,DJ81)*DJ80))))-MIN(IF(DJ80&lt;=0,0,IF(WEEKDAY(DJ$6,1)=1,0,IF(WEEKDAY(DJ$6,1)=7,0,MIN(8,DJ81)*DJ80))),MAX(0,40*MAX(1,DJ80)-(DE82+DF82+DG82+DH82+DI82)))))</f>
        <v>0</v>
      </c>
      <c r="DK83" s="64">
        <f>IF(AND(DK80=0,DK81=0),0,IF(DK80&lt;=0,0,IF(WEEKDAY(DK$6,1)=1,0,IF(WEEKDAY(DK$6,1)=7,DK80*DK81,MAX(0,DK81-8)*DK80)))+((IF(DK80&lt;=0,0,IF(WEEKDAY(DK$6,1)=1,0,IF(WEEKDAY(DK$6,1)=7,0,MIN(8,DK81)*DK80))))-MIN(IF(DK80&lt;=0,0,IF(WEEKDAY(DK$6,1)=1,0,IF(WEEKDAY(DK$6,1)=7,0,MIN(8,DK81)*DK80))),MAX(0,40*MAX(1,DK80)-(DE82+DF82+DG82+DH82+DI82+DJ82)))))</f>
        <v>0</v>
      </c>
      <c r="DL83" s="63">
        <f>IF(AND(DL80=0,DL81=0),0,IF(DL80&lt;=0,0,IF(WEEKDAY(DL$6,1)=1,0,IF(WEEKDAY(DL$6,1)=7,DL80*DL81,MAX(0,DL81-8)*DL80)))+((IF(DL80&lt;=0,0,IF(WEEKDAY(DL$6,1)=1,0,IF(WEEKDAY(DL$6,1)=7,0,MIN(8,DL81)*DL80))))-MIN(IF(DL80&lt;=0,0,IF(WEEKDAY(DL$6,1)=1,0,IF(WEEKDAY(DL$6,1)=7,0,MIN(8,DL81)*DL80))),MAX(0,40*MAX(1,DL80)-(0)))))</f>
        <v>0</v>
      </c>
      <c r="DM83" s="63">
        <f>IF(AND(DM80=0,DM81=0),0,IF(DM80&lt;=0,0,IF(WEEKDAY(DM$6,1)=1,0,IF(WEEKDAY(DM$6,1)=7,DM80*DM81,MAX(0,DM81-8)*DM80)))+((IF(DM80&lt;=0,0,IF(WEEKDAY(DM$6,1)=1,0,IF(WEEKDAY(DM$6,1)=7,0,MIN(8,DM81)*DM80))))-MIN(IF(DM80&lt;=0,0,IF(WEEKDAY(DM$6,1)=1,0,IF(WEEKDAY(DM$6,1)=7,0,MIN(8,DM81)*DM80))),MAX(0,40*MAX(1,DM80)-(DL82)))))</f>
        <v>0</v>
      </c>
      <c r="DN83" s="63">
        <f>IF(AND(DN80=0,DN81=0),0,IF(DN80&lt;=0,0,IF(WEEKDAY(DN$6,1)=1,0,IF(WEEKDAY(DN$6,1)=7,DN80*DN81,MAX(0,DN81-8)*DN80)))+((IF(DN80&lt;=0,0,IF(WEEKDAY(DN$6,1)=1,0,IF(WEEKDAY(DN$6,1)=7,0,MIN(8,DN81)*DN80))))-MIN(IF(DN80&lt;=0,0,IF(WEEKDAY(DN$6,1)=1,0,IF(WEEKDAY(DN$6,1)=7,0,MIN(8,DN81)*DN80))),MAX(0,40*MAX(1,DN80)-(DL82+DM82)))))</f>
        <v>0</v>
      </c>
      <c r="DO83" s="63">
        <f>IF(AND(DO80=0,DO81=0),0,IF(DO80&lt;=0,0,IF(WEEKDAY(DO$6,1)=1,0,IF(WEEKDAY(DO$6,1)=7,DO80*DO81,MAX(0,DO81-8)*DO80)))+((IF(DO80&lt;=0,0,IF(WEEKDAY(DO$6,1)=1,0,IF(WEEKDAY(DO$6,1)=7,0,MIN(8,DO81)*DO80))))-MIN(IF(DO80&lt;=0,0,IF(WEEKDAY(DO$6,1)=1,0,IF(WEEKDAY(DO$6,1)=7,0,MIN(8,DO81)*DO80))),MAX(0,40*MAX(1,DO80)-(DL82+DM82+DN82)))))</f>
        <v>0</v>
      </c>
      <c r="DP83" s="63">
        <f>IF(AND(DP80=0,DP81=0),0,IF(DP80&lt;=0,0,IF(WEEKDAY(DP$6,1)=1,0,IF(WEEKDAY(DP$6,1)=7,DP80*DP81,MAX(0,DP81-8)*DP80)))+((IF(DP80&lt;=0,0,IF(WEEKDAY(DP$6,1)=1,0,IF(WEEKDAY(DP$6,1)=7,0,MIN(8,DP81)*DP80))))-MIN(IF(DP80&lt;=0,0,IF(WEEKDAY(DP$6,1)=1,0,IF(WEEKDAY(DP$6,1)=7,0,MIN(8,DP81)*DP80))),MAX(0,40*MAX(1,DP80)-(DL82+DM82+DN82+DO82)))))</f>
        <v>0</v>
      </c>
      <c r="DQ83" s="64">
        <f>IF(AND(DQ80=0,DQ81=0),0,IF(DQ80&lt;=0,0,IF(WEEKDAY(DQ$6,1)=1,0,IF(WEEKDAY(DQ$6,1)=7,DQ80*DQ81,MAX(0,DQ81-8)*DQ80)))+((IF(DQ80&lt;=0,0,IF(WEEKDAY(DQ$6,1)=1,0,IF(WEEKDAY(DQ$6,1)=7,0,MIN(8,DQ81)*DQ80))))-MIN(IF(DQ80&lt;=0,0,IF(WEEKDAY(DQ$6,1)=1,0,IF(WEEKDAY(DQ$6,1)=7,0,MIN(8,DQ81)*DQ80))),MAX(0,40*MAX(1,DQ80)-(DL82+DM82+DN82+DO82+DP82)))))</f>
        <v>0</v>
      </c>
      <c r="DR83" s="64">
        <f>IF(AND(DR80=0,DR81=0),0,IF(DR80&lt;=0,0,IF(WEEKDAY(DR$6,1)=1,0,IF(WEEKDAY(DR$6,1)=7,DR80*DR81,MAX(0,DR81-8)*DR80)))+((IF(DR80&lt;=0,0,IF(WEEKDAY(DR$6,1)=1,0,IF(WEEKDAY(DR$6,1)=7,0,MIN(8,DR81)*DR80))))-MIN(IF(DR80&lt;=0,0,IF(WEEKDAY(DR$6,1)=1,0,IF(WEEKDAY(DR$6,1)=7,0,MIN(8,DR81)*DR80))),MAX(0,40*MAX(1,DR80)-(DL82+DM82+DN82+DO82+DP82+DQ82)))))</f>
        <v>0</v>
      </c>
      <c r="DS83" s="63">
        <f>IF(AND(DS80=0,DS81=0),0,IF(DS80&lt;=0,0,IF(WEEKDAY(DS$6,1)=1,0,IF(WEEKDAY(DS$6,1)=7,DS80*DS81,MAX(0,DS81-8)*DS80)))+((IF(DS80&lt;=0,0,IF(WEEKDAY(DS$6,1)=1,0,IF(WEEKDAY(DS$6,1)=7,0,MIN(8,DS81)*DS80))))-MIN(IF(DS80&lt;=0,0,IF(WEEKDAY(DS$6,1)=1,0,IF(WEEKDAY(DS$6,1)=7,0,MIN(8,DS81)*DS80))),MAX(0,40*MAX(1,DS80)-(0)))))</f>
        <v>0</v>
      </c>
      <c r="DT83" s="63">
        <f>IF(AND(DT80=0,DT81=0),0,IF(DT80&lt;=0,0,IF(WEEKDAY(DT$6,1)=1,0,IF(WEEKDAY(DT$6,1)=7,DT80*DT81,MAX(0,DT81-8)*DT80)))+((IF(DT80&lt;=0,0,IF(WEEKDAY(DT$6,1)=1,0,IF(WEEKDAY(DT$6,1)=7,0,MIN(8,DT81)*DT80))))-MIN(IF(DT80&lt;=0,0,IF(WEEKDAY(DT$6,1)=1,0,IF(WEEKDAY(DT$6,1)=7,0,MIN(8,DT81)*DT80))),MAX(0,40*MAX(1,DT80)-(DS82)))))</f>
        <v>0</v>
      </c>
      <c r="DU83" s="63">
        <f>IF(AND(DU80=0,DU81=0),0,IF(DU80&lt;=0,0,IF(WEEKDAY(DU$6,1)=1,0,IF(WEEKDAY(DU$6,1)=7,DU80*DU81,MAX(0,DU81-8)*DU80)))+((IF(DU80&lt;=0,0,IF(WEEKDAY(DU$6,1)=1,0,IF(WEEKDAY(DU$6,1)=7,0,MIN(8,DU81)*DU80))))-MIN(IF(DU80&lt;=0,0,IF(WEEKDAY(DU$6,1)=1,0,IF(WEEKDAY(DU$6,1)=7,0,MIN(8,DU81)*DU80))),MAX(0,40*MAX(1,DU80)-(DS82+DT82)))))</f>
        <v>0</v>
      </c>
      <c r="DV83" s="63">
        <f>IF(AND(DV80=0,DV81=0),0,IF(DV80&lt;=0,0,IF(WEEKDAY(DV$6,1)=1,0,IF(WEEKDAY(DV$6,1)=7,DV80*DV81,MAX(0,DV81-8)*DV80)))+((IF(DV80&lt;=0,0,IF(WEEKDAY(DV$6,1)=1,0,IF(WEEKDAY(DV$6,1)=7,0,MIN(8,DV81)*DV80))))-MIN(IF(DV80&lt;=0,0,IF(WEEKDAY(DV$6,1)=1,0,IF(WEEKDAY(DV$6,1)=7,0,MIN(8,DV81)*DV80))),MAX(0,40*MAX(1,DV80)-(DS82+DT82+DU82)))))</f>
        <v>0</v>
      </c>
      <c r="DW83" s="63">
        <f>IF(AND(DW80=0,DW81=0),0,IF(DW80&lt;=0,0,IF(WEEKDAY(DW$6,1)=1,0,IF(WEEKDAY(DW$6,1)=7,DW80*DW81,MAX(0,DW81-8)*DW80)))+((IF(DW80&lt;=0,0,IF(WEEKDAY(DW$6,1)=1,0,IF(WEEKDAY(DW$6,1)=7,0,MIN(8,DW81)*DW80))))-MIN(IF(DW80&lt;=0,0,IF(WEEKDAY(DW$6,1)=1,0,IF(WEEKDAY(DW$6,1)=7,0,MIN(8,DW81)*DW80))),MAX(0,40*MAX(1,DW80)-(DS82+DT82+DU82+DV82)))))</f>
        <v>0</v>
      </c>
      <c r="DX83" s="64">
        <f>IF(AND(DX80=0,DX81=0),0,IF(DX80&lt;=0,0,IF(WEEKDAY(DX$6,1)=1,0,IF(WEEKDAY(DX$6,1)=7,DX80*DX81,MAX(0,DX81-8)*DX80)))+((IF(DX80&lt;=0,0,IF(WEEKDAY(DX$6,1)=1,0,IF(WEEKDAY(DX$6,1)=7,0,MIN(8,DX81)*DX80))))-MIN(IF(DX80&lt;=0,0,IF(WEEKDAY(DX$6,1)=1,0,IF(WEEKDAY(DX$6,1)=7,0,MIN(8,DX81)*DX80))),MAX(0,40*MAX(1,DX80)-(DS82+DT82+DU82+DV82+DW82)))))</f>
        <v>0</v>
      </c>
      <c r="DY83" s="64">
        <f>IF(AND(DY80=0,DY81=0),0,IF(DY80&lt;=0,0,IF(WEEKDAY(DY$6,1)=1,0,IF(WEEKDAY(DY$6,1)=7,DY80*DY81,MAX(0,DY81-8)*DY80)))+((IF(DY80&lt;=0,0,IF(WEEKDAY(DY$6,1)=1,0,IF(WEEKDAY(DY$6,1)=7,0,MIN(8,DY81)*DY80))))-MIN(IF(DY80&lt;=0,0,IF(WEEKDAY(DY$6,1)=1,0,IF(WEEKDAY(DY$6,1)=7,0,MIN(8,DY81)*DY80))),MAX(0,40*MAX(1,DY80)-(DS82+DT82+DU82+DV82+DW82+DX82)))))</f>
        <v>0</v>
      </c>
      <c r="DZ83" s="63">
        <f>IF(AND(DZ80=0,DZ81=0),0,IF(DZ80&lt;=0,0,IF(WEEKDAY(DZ$6,1)=1,0,IF(WEEKDAY(DZ$6,1)=7,DZ80*DZ81,MAX(0,DZ81-8)*DZ80)))+((IF(DZ80&lt;=0,0,IF(WEEKDAY(DZ$6,1)=1,0,IF(WEEKDAY(DZ$6,1)=7,0,MIN(8,DZ81)*DZ80))))-MIN(IF(DZ80&lt;=0,0,IF(WEEKDAY(DZ$6,1)=1,0,IF(WEEKDAY(DZ$6,1)=7,0,MIN(8,DZ81)*DZ80))),MAX(0,40*MAX(1,DZ80)-(0)))))</f>
        <v>0</v>
      </c>
      <c r="EA83" s="63">
        <f>IF(AND(EA80=0,EA81=0),0,IF(EA80&lt;=0,0,IF(WEEKDAY(EA$6,1)=1,0,IF(WEEKDAY(EA$6,1)=7,EA80*EA81,MAX(0,EA81-8)*EA80)))+((IF(EA80&lt;=0,0,IF(WEEKDAY(EA$6,1)=1,0,IF(WEEKDAY(EA$6,1)=7,0,MIN(8,EA81)*EA80))))-MIN(IF(EA80&lt;=0,0,IF(WEEKDAY(EA$6,1)=1,0,IF(WEEKDAY(EA$6,1)=7,0,MIN(8,EA81)*EA80))),MAX(0,40*MAX(1,EA80)-(DZ82)))))</f>
        <v>0</v>
      </c>
      <c r="EB83" s="63">
        <f>IF(AND(EB80=0,EB81=0),0,IF(EB80&lt;=0,0,IF(WEEKDAY(EB$6,1)=1,0,IF(WEEKDAY(EB$6,1)=7,EB80*EB81,MAX(0,EB81-8)*EB80)))+((IF(EB80&lt;=0,0,IF(WEEKDAY(EB$6,1)=1,0,IF(WEEKDAY(EB$6,1)=7,0,MIN(8,EB81)*EB80))))-MIN(IF(EB80&lt;=0,0,IF(WEEKDAY(EB$6,1)=1,0,IF(WEEKDAY(EB$6,1)=7,0,MIN(8,EB81)*EB80))),MAX(0,40*MAX(1,EB80)-(DZ82+EA82)))))</f>
        <v>0</v>
      </c>
      <c r="EC83" s="63">
        <f>IF(AND(EC80=0,EC81=0),0,IF(EC80&lt;=0,0,IF(WEEKDAY(EC$6,1)=1,0,IF(WEEKDAY(EC$6,1)=7,EC80*EC81,MAX(0,EC81-8)*EC80)))+((IF(EC80&lt;=0,0,IF(WEEKDAY(EC$6,1)=1,0,IF(WEEKDAY(EC$6,1)=7,0,MIN(8,EC81)*EC80))))-MIN(IF(EC80&lt;=0,0,IF(WEEKDAY(EC$6,1)=1,0,IF(WEEKDAY(EC$6,1)=7,0,MIN(8,EC81)*EC80))),MAX(0,40*MAX(1,EC80)-(DZ82+EA82+EB82)))))</f>
        <v>0</v>
      </c>
      <c r="ED83" s="63">
        <f>IF(AND(ED80=0,ED81=0),0,IF(ED80&lt;=0,0,IF(WEEKDAY(ED$6,1)=1,0,IF(WEEKDAY(ED$6,1)=7,ED80*ED81,MAX(0,ED81-8)*ED80)))+((IF(ED80&lt;=0,0,IF(WEEKDAY(ED$6,1)=1,0,IF(WEEKDAY(ED$6,1)=7,0,MIN(8,ED81)*ED80))))-MIN(IF(ED80&lt;=0,0,IF(WEEKDAY(ED$6,1)=1,0,IF(WEEKDAY(ED$6,1)=7,0,MIN(8,ED81)*ED80))),MAX(0,40*MAX(1,ED80)-(DZ82+EA82+EB82+EC82)))))</f>
        <v>0</v>
      </c>
      <c r="EE83" s="64">
        <f>IF(AND(EE80=0,EE81=0),0,IF(EE80&lt;=0,0,IF(WEEKDAY(EE$6,1)=1,0,IF(WEEKDAY(EE$6,1)=7,EE80*EE81,MAX(0,EE81-8)*EE80)))+((IF(EE80&lt;=0,0,IF(WEEKDAY(EE$6,1)=1,0,IF(WEEKDAY(EE$6,1)=7,0,MIN(8,EE81)*EE80))))-MIN(IF(EE80&lt;=0,0,IF(WEEKDAY(EE$6,1)=1,0,IF(WEEKDAY(EE$6,1)=7,0,MIN(8,EE81)*EE80))),MAX(0,40*MAX(1,EE80)-(DZ82+EA82+EB82+EC82+ED82)))))</f>
        <v>0</v>
      </c>
      <c r="EF83" s="64">
        <f>IF(AND(EF80=0,EF81=0),0,IF(EF80&lt;=0,0,IF(WEEKDAY(EF$6,1)=1,0,IF(WEEKDAY(EF$6,1)=7,EF80*EF81,MAX(0,EF81-8)*EF80)))+((IF(EF80&lt;=0,0,IF(WEEKDAY(EF$6,1)=1,0,IF(WEEKDAY(EF$6,1)=7,0,MIN(8,EF81)*EF80))))-MIN(IF(EF80&lt;=0,0,IF(WEEKDAY(EF$6,1)=1,0,IF(WEEKDAY(EF$6,1)=7,0,MIN(8,EF81)*EF80))),MAX(0,40*MAX(1,EF80)-(DZ82+EA82+EB82+EC82+ED82+EE82)))))</f>
        <v>0</v>
      </c>
      <c r="EG83" s="63">
        <f>IF(AND(EG80=0,EG81=0),0,IF(EG80&lt;=0,0,IF(WEEKDAY(EG$6,1)=1,0,IF(WEEKDAY(EG$6,1)=7,EG80*EG81,MAX(0,EG81-8)*EG80)))+((IF(EG80&lt;=0,0,IF(WEEKDAY(EG$6,1)=1,0,IF(WEEKDAY(EG$6,1)=7,0,MIN(8,EG81)*EG80))))-MIN(IF(EG80&lt;=0,0,IF(WEEKDAY(EG$6,1)=1,0,IF(WEEKDAY(EG$6,1)=7,0,MIN(8,EG81)*EG80))),MAX(0,40*MAX(1,EG80)-(0)))))</f>
        <v>0</v>
      </c>
      <c r="EH83" s="63">
        <f>IF(AND(EH80=0,EH81=0),0,IF(EH80&lt;=0,0,IF(WEEKDAY(EH$6,1)=1,0,IF(WEEKDAY(EH$6,1)=7,EH80*EH81,MAX(0,EH81-8)*EH80)))+((IF(EH80&lt;=0,0,IF(WEEKDAY(EH$6,1)=1,0,IF(WEEKDAY(EH$6,1)=7,0,MIN(8,EH81)*EH80))))-MIN(IF(EH80&lt;=0,0,IF(WEEKDAY(EH$6,1)=1,0,IF(WEEKDAY(EH$6,1)=7,0,MIN(8,EH81)*EH80))),MAX(0,40*MAX(1,EH80)-(EG82)))))</f>
        <v>0</v>
      </c>
      <c r="EI83" s="63">
        <f>IF(AND(EI80=0,EI81=0),0,IF(EI80&lt;=0,0,IF(WEEKDAY(EI$6,1)=1,0,IF(WEEKDAY(EI$6,1)=7,EI80*EI81,MAX(0,EI81-8)*EI80)))+((IF(EI80&lt;=0,0,IF(WEEKDAY(EI$6,1)=1,0,IF(WEEKDAY(EI$6,1)=7,0,MIN(8,EI81)*EI80))))-MIN(IF(EI80&lt;=0,0,IF(WEEKDAY(EI$6,1)=1,0,IF(WEEKDAY(EI$6,1)=7,0,MIN(8,EI81)*EI80))),MAX(0,40*MAX(1,EI80)-(EG82+EH82)))))</f>
        <v>0</v>
      </c>
      <c r="EJ83" s="63">
        <f>IF(AND(EJ80=0,EJ81=0),0,IF(EJ80&lt;=0,0,IF(WEEKDAY(EJ$6,1)=1,0,IF(WEEKDAY(EJ$6,1)=7,EJ80*EJ81,MAX(0,EJ81-8)*EJ80)))+((IF(EJ80&lt;=0,0,IF(WEEKDAY(EJ$6,1)=1,0,IF(WEEKDAY(EJ$6,1)=7,0,MIN(8,EJ81)*EJ80))))-MIN(IF(EJ80&lt;=0,0,IF(WEEKDAY(EJ$6,1)=1,0,IF(WEEKDAY(EJ$6,1)=7,0,MIN(8,EJ81)*EJ80))),MAX(0,40*MAX(1,EJ80)-(EG82+EH82+EI82)))))</f>
        <v>0</v>
      </c>
      <c r="EK83" s="65">
        <f>IF(AND(EK80=0,EK81=0),0,IF(EK80&lt;=0,0,IF(WEEKDAY(EK$6,1)=1,0,IF(WEEKDAY(EK$6,1)=7,EK80*EK81,MAX(0,EK81-8)*EK80)))+((IF(EK80&lt;=0,0,IF(WEEKDAY(EK$6,1)=1,0,IF(WEEKDAY(EK$6,1)=7,0,MIN(8,EK81)*EK80))))-MIN(IF(EK80&lt;=0,0,IF(WEEKDAY(EK$6,1)=1,0,IF(WEEKDAY(EK$6,1)=7,0,MIN(8,EK81)*EK80))),MAX(0,40*MAX(1,EK80)-(EG82+EH82+EI82+EJ82)))))</f>
        <v>0</v>
      </c>
      <c r="OU83" s="28" t="s">
        <v>132</v>
      </c>
    </row>
    <row r="84" ht="16" customHeight="1" spans="1:411" x14ac:dyDescent="0.25">
      <c r="A84" s="45"/>
      <c r="B84" s="79"/>
      <c r="C84" s="61">
        <f>H79*N(D84)</f>
        <v>0</v>
      </c>
      <c r="D84" s="61">
        <f>IF(TRIM(IF(TRIM(B83)&lt;&gt;"",B83,B79))="","No rate",IFERROR(INDEX('Rate Tables'!E$7:E$158,MATCH(IF(TRIM(B83)&lt;&gt;"",B83,B79),'Rate Tables'!A$7:A$158,0)),"No rate"))</f>
        <v>178.05</v>
      </c>
      <c r="E84" s="55" t="s">
        <v>64</v>
      </c>
      <c r="F84" s="49"/>
      <c r="G84" s="49"/>
      <c r="H84" s="49"/>
      <c r="I84" s="49"/>
      <c r="J84" s="50"/>
      <c r="K84" s="62">
        <f>IF(AND(K80=0,K81=0),0,IF(K80&lt;=0,0,IF(WEEKDAY(K$6,1)=1,K80*K81,0)))</f>
        <v>0</v>
      </c>
      <c r="L84" s="63">
        <f>IF(AND(L80=0,L81=0),0,IF(L80&lt;=0,0,IF(WEEKDAY(L$6,1)=1,L80*L81,0)))</f>
        <v>0</v>
      </c>
      <c r="M84" s="63">
        <f>IF(AND(M80=0,M81=0),0,IF(M80&lt;=0,0,IF(WEEKDAY(M$6,1)=1,M80*M81,0)))</f>
        <v>0</v>
      </c>
      <c r="N84" s="63">
        <f>IF(AND(N80=0,N81=0),0,IF(N80&lt;=0,0,IF(WEEKDAY(N$6,1)=1,N80*N81,0)))</f>
        <v>0</v>
      </c>
      <c r="O84" s="63">
        <f>IF(AND(O80=0,O81=0),0,IF(O80&lt;=0,0,IF(WEEKDAY(O$6,1)=1,O80*O81,0)))</f>
        <v>0</v>
      </c>
      <c r="P84" s="64">
        <f>IF(AND(P80=0,P81=0),0,IF(P80&lt;=0,0,IF(WEEKDAY(P$6,1)=1,P80*P81,0)))</f>
        <v>0</v>
      </c>
      <c r="Q84" s="64">
        <f>IF(AND(Q80=0,Q81=0),0,IF(Q80&lt;=0,0,IF(WEEKDAY(Q$6,1)=1,Q80*Q81,0)))</f>
        <v>0</v>
      </c>
      <c r="R84" s="63">
        <f>IF(AND(R80=0,R81=0),0,IF(R80&lt;=0,0,IF(WEEKDAY(R$6,1)=1,R80*R81,0)))</f>
        <v>0</v>
      </c>
      <c r="S84" s="63">
        <f>IF(AND(S80=0,S81=0),0,IF(S80&lt;=0,0,IF(WEEKDAY(S$6,1)=1,S80*S81,0)))</f>
        <v>0</v>
      </c>
      <c r="T84" s="63">
        <f>IF(AND(T80=0,T81=0),0,IF(T80&lt;=0,0,IF(WEEKDAY(T$6,1)=1,T80*T81,0)))</f>
        <v>0</v>
      </c>
      <c r="U84" s="63">
        <f>IF(AND(U80=0,U81=0),0,IF(U80&lt;=0,0,IF(WEEKDAY(U$6,1)=1,U80*U81,0)))</f>
        <v>0</v>
      </c>
      <c r="V84" s="63">
        <f>IF(AND(V80=0,V81=0),0,IF(V80&lt;=0,0,IF(WEEKDAY(V$6,1)=1,V80*V81,0)))</f>
        <v>0</v>
      </c>
      <c r="W84" s="64">
        <f>IF(AND(W80=0,W81=0),0,IF(W80&lt;=0,0,IF(WEEKDAY(W$6,1)=1,W80*W81,0)))</f>
        <v>0</v>
      </c>
      <c r="X84" s="64">
        <f>IF(AND(X80=0,X81=0),0,IF(X80&lt;=0,0,IF(WEEKDAY(X$6,1)=1,X80*X81,0)))</f>
        <v>0</v>
      </c>
      <c r="Y84" s="63">
        <f>IF(AND(Y80=0,Y81=0),0,IF(Y80&lt;=0,0,IF(WEEKDAY(Y$6,1)=1,Y80*Y81,0)))</f>
        <v>0</v>
      </c>
      <c r="Z84" s="63">
        <f>IF(AND(Z80=0,Z81=0),0,IF(Z80&lt;=0,0,IF(WEEKDAY(Z$6,1)=1,Z80*Z81,0)))</f>
        <v>0</v>
      </c>
      <c r="AA84" s="63">
        <f>IF(AND(AA80=0,AA81=0),0,IF(AA80&lt;=0,0,IF(WEEKDAY(AA$6,1)=1,AA80*AA81,0)))</f>
        <v>0</v>
      </c>
      <c r="AB84" s="63">
        <f>IF(AND(AB80=0,AB81=0),0,IF(AB80&lt;=0,0,IF(WEEKDAY(AB$6,1)=1,AB80*AB81,0)))</f>
        <v>0</v>
      </c>
      <c r="AC84" s="63">
        <f>IF(AND(AC80=0,AC81=0),0,IF(AC80&lt;=0,0,IF(WEEKDAY(AC$6,1)=1,AC80*AC81,0)))</f>
        <v>0</v>
      </c>
      <c r="AD84" s="64">
        <f>IF(AND(AD80=0,AD81=0),0,IF(AD80&lt;=0,0,IF(WEEKDAY(AD$6,1)=1,AD80*AD81,0)))</f>
        <v>0</v>
      </c>
      <c r="AE84" s="64">
        <f>IF(AND(AE80=0,AE81=0),0,IF(AE80&lt;=0,0,IF(WEEKDAY(AE$6,1)=1,AE80*AE81,0)))</f>
        <v>0</v>
      </c>
      <c r="AF84" s="63">
        <f>IF(AND(AF80=0,AF81=0),0,IF(AF80&lt;=0,0,IF(WEEKDAY(AF$6,1)=1,AF80*AF81,0)))</f>
        <v>0</v>
      </c>
      <c r="AG84" s="63">
        <f>IF(AND(AG80=0,AG81=0),0,IF(AG80&lt;=0,0,IF(WEEKDAY(AG$6,1)=1,AG80*AG81,0)))</f>
        <v>0</v>
      </c>
      <c r="AH84" s="63">
        <f>IF(AND(AH80=0,AH81=0),0,IF(AH80&lt;=0,0,IF(WEEKDAY(AH$6,1)=1,AH80*AH81,0)))</f>
        <v>0</v>
      </c>
      <c r="AI84" s="63">
        <f>IF(AND(AI80=0,AI81=0),0,IF(AI80&lt;=0,0,IF(WEEKDAY(AI$6,1)=1,AI80*AI81,0)))</f>
        <v>0</v>
      </c>
      <c r="AJ84" s="63">
        <f>IF(AND(AJ80=0,AJ81=0),0,IF(AJ80&lt;=0,0,IF(WEEKDAY(AJ$6,1)=1,AJ80*AJ81,0)))</f>
        <v>0</v>
      </c>
      <c r="AK84" s="64">
        <f>IF(AND(AK80=0,AK81=0),0,IF(AK80&lt;=0,0,IF(WEEKDAY(AK$6,1)=1,AK80*AK81,0)))</f>
        <v>0</v>
      </c>
      <c r="AL84" s="64">
        <f>IF(AND(AL80=0,AL81=0),0,IF(AL80&lt;=0,0,IF(WEEKDAY(AL$6,1)=1,AL80*AL81,0)))</f>
        <v>0</v>
      </c>
      <c r="AM84" s="63">
        <f>IF(AND(AM80=0,AM81=0),0,IF(AM80&lt;=0,0,IF(WEEKDAY(AM$6,1)=1,AM80*AM81,0)))</f>
        <v>0</v>
      </c>
      <c r="AN84" s="63">
        <f>IF(AND(AN80=0,AN81=0),0,IF(AN80&lt;=0,0,IF(WEEKDAY(AN$6,1)=1,AN80*AN81,0)))</f>
        <v>0</v>
      </c>
      <c r="AO84" s="63">
        <f>IF(AND(AO80=0,AO81=0),0,IF(AO80&lt;=0,0,IF(WEEKDAY(AO$6,1)=1,AO80*AO81,0)))</f>
        <v>0</v>
      </c>
      <c r="AP84" s="63">
        <f>IF(AND(AP80=0,AP81=0),0,IF(AP80&lt;=0,0,IF(WEEKDAY(AP$6,1)=1,AP80*AP81,0)))</f>
        <v>0</v>
      </c>
      <c r="AQ84" s="63">
        <f>IF(AND(AQ80=0,AQ81=0),0,IF(AQ80&lt;=0,0,IF(WEEKDAY(AQ$6,1)=1,AQ80*AQ81,0)))</f>
        <v>0</v>
      </c>
      <c r="AR84" s="64">
        <f>IF(AND(AR80=0,AR81=0),0,IF(AR80&lt;=0,0,IF(WEEKDAY(AR$6,1)=1,AR80*AR81,0)))</f>
        <v>0</v>
      </c>
      <c r="AS84" s="64">
        <f>IF(AND(AS80=0,AS81=0),0,IF(AS80&lt;=0,0,IF(WEEKDAY(AS$6,1)=1,AS80*AS81,0)))</f>
        <v>0</v>
      </c>
      <c r="AT84" s="63">
        <f>IF(AND(AT80=0,AT81=0),0,IF(AT80&lt;=0,0,IF(WEEKDAY(AT$6,1)=1,AT80*AT81,0)))</f>
        <v>0</v>
      </c>
      <c r="AU84" s="63">
        <f>IF(AND(AU80=0,AU81=0),0,IF(AU80&lt;=0,0,IF(WEEKDAY(AU$6,1)=1,AU80*AU81,0)))</f>
        <v>0</v>
      </c>
      <c r="AV84" s="63">
        <f>IF(AND(AV80=0,AV81=0),0,IF(AV80&lt;=0,0,IF(WEEKDAY(AV$6,1)=1,AV80*AV81,0)))</f>
        <v>0</v>
      </c>
      <c r="AW84" s="63">
        <f>IF(AND(AW80=0,AW81=0),0,IF(AW80&lt;=0,0,IF(WEEKDAY(AW$6,1)=1,AW80*AW81,0)))</f>
        <v>0</v>
      </c>
      <c r="AX84" s="63">
        <f>IF(AND(AX80=0,AX81=0),0,IF(AX80&lt;=0,0,IF(WEEKDAY(AX$6,1)=1,AX80*AX81,0)))</f>
        <v>0</v>
      </c>
      <c r="AY84" s="64">
        <f>IF(AND(AY80=0,AY81=0),0,IF(AY80&lt;=0,0,IF(WEEKDAY(AY$6,1)=1,AY80*AY81,0)))</f>
        <v>0</v>
      </c>
      <c r="AZ84" s="64">
        <f>IF(AND(AZ80=0,AZ81=0),0,IF(AZ80&lt;=0,0,IF(WEEKDAY(AZ$6,1)=1,AZ80*AZ81,0)))</f>
        <v>0</v>
      </c>
      <c r="BA84" s="63">
        <f>IF(AND(BA80=5,BA81=8),0,IF(BA80&lt;=0,0,IF(WEEKDAY(BA$6,1)=1,BA80*BA81,0)))</f>
        <v>0</v>
      </c>
      <c r="BB84" s="63">
        <f>IF(AND(BB80=5,BB81=8),0,IF(BB80&lt;=0,0,IF(WEEKDAY(BB$6,1)=1,BB80*BB81,0)))</f>
        <v>0</v>
      </c>
      <c r="BC84" s="63">
        <f>IF(AND(BC80=5,BC81=8),0,IF(BC80&lt;=0,0,IF(WEEKDAY(BC$6,1)=1,BC80*BC81,0)))</f>
        <v>0</v>
      </c>
      <c r="BD84" s="63">
        <f>IF(AND(BD80=5,BD81=8),0,IF(BD80&lt;=0,0,IF(WEEKDAY(BD$6,1)=1,BD80*BD81,0)))</f>
        <v>0</v>
      </c>
      <c r="BE84" s="63">
        <f>IF(AND(BE80=5,BE81=8),0,IF(BE80&lt;=0,0,IF(WEEKDAY(BE$6,1)=1,BE80*BE81,0)))</f>
        <v>0</v>
      </c>
      <c r="BF84" s="64">
        <f>IF(AND(BF80=0,BF81=0),0,IF(BF80&lt;=0,0,IF(WEEKDAY(BF$6,1)=1,BF80*BF81,0)))</f>
        <v>0</v>
      </c>
      <c r="BG84" s="64">
        <f>IF(AND(BG80=0,BG81=0),0,IF(BG80&lt;=0,0,IF(WEEKDAY(BG$6,1)=1,BG80*BG81,0)))</f>
        <v>0</v>
      </c>
      <c r="BH84" s="63">
        <f>IF(AND(BH80=0,BH81=0),0,IF(BH80&lt;=0,0,IF(WEEKDAY(BH$6,1)=1,BH80*BH81,0)))</f>
        <v>0</v>
      </c>
      <c r="BI84" s="63">
        <f>IF(AND(BI80=0,BI81=0),0,IF(BI80&lt;=0,0,IF(WEEKDAY(BI$6,1)=1,BI80*BI81,0)))</f>
        <v>0</v>
      </c>
      <c r="BJ84" s="63">
        <f>IF(AND(BJ80=0,BJ81=0),0,IF(BJ80&lt;=0,0,IF(WEEKDAY(BJ$6,1)=1,BJ80*BJ81,0)))</f>
        <v>0</v>
      </c>
      <c r="BK84" s="63">
        <f>IF(AND(BK80=0,BK81=0),0,IF(BK80&lt;=0,0,IF(WEEKDAY(BK$6,1)=1,BK80*BK81,0)))</f>
        <v>0</v>
      </c>
      <c r="BL84" s="63">
        <f>IF(AND(BL80=0,BL81=0),0,IF(BL80&lt;=0,0,IF(WEEKDAY(BL$6,1)=1,BL80*BL81,0)))</f>
        <v>0</v>
      </c>
      <c r="BM84" s="64">
        <f>IF(AND(BM80=0,BM81=0),0,IF(BM80&lt;=0,0,IF(WEEKDAY(BM$6,1)=1,BM80*BM81,0)))</f>
        <v>0</v>
      </c>
      <c r="BN84" s="64">
        <f>IF(AND(BN80=0,BN81=0),0,IF(BN80&lt;=0,0,IF(WEEKDAY(BN$6,1)=1,BN80*BN81,0)))</f>
        <v>0</v>
      </c>
      <c r="BO84" s="63">
        <f>IF(AND(BO80=0,BO81=0),0,IF(BO80&lt;=0,0,IF(WEEKDAY(BO$6,1)=1,BO80*BO81,0)))</f>
        <v>0</v>
      </c>
      <c r="BP84" s="63">
        <f>IF(AND(BP80=0,BP81=0),0,IF(BP80&lt;=0,0,IF(WEEKDAY(BP$6,1)=1,BP80*BP81,0)))</f>
        <v>0</v>
      </c>
      <c r="BQ84" s="63">
        <f>IF(AND(BQ80=0,BQ81=0),0,IF(BQ80&lt;=0,0,IF(WEEKDAY(BQ$6,1)=1,BQ80*BQ81,0)))</f>
        <v>0</v>
      </c>
      <c r="BR84" s="63">
        <f>IF(AND(BR80=0,BR81=0),0,IF(BR80&lt;=0,0,IF(WEEKDAY(BR$6,1)=1,BR80*BR81,0)))</f>
        <v>0</v>
      </c>
      <c r="BS84" s="63">
        <f>IF(AND(BS80=0,BS81=0),0,IF(BS80&lt;=0,0,IF(WEEKDAY(BS$6,1)=1,BS80*BS81,0)))</f>
        <v>0</v>
      </c>
      <c r="BT84" s="64">
        <f>IF(AND(BT80=0,BT81=0),0,IF(BT80&lt;=0,0,IF(WEEKDAY(BT$6,1)=1,BT80*BT81,0)))</f>
        <v>0</v>
      </c>
      <c r="BU84" s="64">
        <f>IF(AND(BU80=0,BU81=0),0,IF(BU80&lt;=0,0,IF(WEEKDAY(BU$6,1)=1,BU80*BU81,0)))</f>
        <v>0</v>
      </c>
      <c r="BV84" s="63">
        <f>IF(AND(BV80=0,BV81=0),0,IF(BV80&lt;=0,0,IF(WEEKDAY(BV$6,1)=1,BV80*BV81,0)))</f>
        <v>0</v>
      </c>
      <c r="BW84" s="63">
        <f>IF(AND(BW80=0,BW81=0),0,IF(BW80&lt;=0,0,IF(WEEKDAY(BW$6,1)=1,BW80*BW81,0)))</f>
        <v>0</v>
      </c>
      <c r="BX84" s="63">
        <f>IF(AND(BX80=0,BX81=0),0,IF(BX80&lt;=0,0,IF(WEEKDAY(BX$6,1)=1,BX80*BX81,0)))</f>
        <v>0</v>
      </c>
      <c r="BY84" s="63">
        <f>IF(AND(BY80=0,BY81=0),0,IF(BY80&lt;=0,0,IF(WEEKDAY(BY$6,1)=1,BY80*BY81,0)))</f>
        <v>0</v>
      </c>
      <c r="BZ84" s="63">
        <f>IF(AND(BZ80=0,BZ81=0),0,IF(BZ80&lt;=0,0,IF(WEEKDAY(BZ$6,1)=1,BZ80*BZ81,0)))</f>
        <v>0</v>
      </c>
      <c r="CA84" s="64">
        <f>IF(AND(CA80=0,CA81=0),0,IF(CA80&lt;=0,0,IF(WEEKDAY(CA$6,1)=1,CA80*CA81,0)))</f>
        <v>0</v>
      </c>
      <c r="CB84" s="64">
        <f>IF(AND(CB80=0,CB81=0),0,IF(CB80&lt;=0,0,IF(WEEKDAY(CB$6,1)=1,CB80*CB81,0)))</f>
        <v>0</v>
      </c>
      <c r="CC84" s="63">
        <f>IF(AND(CC80=0,CC81=0),0,IF(CC80&lt;=0,0,IF(WEEKDAY(CC$6,1)=1,CC80*CC81,0)))</f>
        <v>0</v>
      </c>
      <c r="CD84" s="63">
        <f>IF(AND(CD80=0,CD81=0),0,IF(CD80&lt;=0,0,IF(WEEKDAY(CD$6,1)=1,CD80*CD81,0)))</f>
        <v>0</v>
      </c>
      <c r="CE84" s="63">
        <f>IF(AND(CE80=0,CE81=0),0,IF(CE80&lt;=0,0,IF(WEEKDAY(CE$6,1)=1,CE80*CE81,0)))</f>
        <v>0</v>
      </c>
      <c r="CF84" s="63">
        <f>IF(AND(CF80=0,CF81=0),0,IF(CF80&lt;=0,0,IF(WEEKDAY(CF$6,1)=1,CF80*CF81,0)))</f>
        <v>0</v>
      </c>
      <c r="CG84" s="63">
        <f>IF(AND(CG80=0,CG81=0),0,IF(CG80&lt;=0,0,IF(WEEKDAY(CG$6,1)=1,CG80*CG81,0)))</f>
        <v>0</v>
      </c>
      <c r="CH84" s="64">
        <f>IF(AND(CH80=0,CH81=0),0,IF(CH80&lt;=0,0,IF(WEEKDAY(CH$6,1)=1,CH80*CH81,0)))</f>
        <v>0</v>
      </c>
      <c r="CI84" s="64">
        <f>IF(AND(CI80=0,CI81=0),0,IF(CI80&lt;=0,0,IF(WEEKDAY(CI$6,1)=1,CI80*CI81,0)))</f>
        <v>0</v>
      </c>
      <c r="CJ84" s="63">
        <f>IF(AND(CJ80=0,CJ81=0),0,IF(CJ80&lt;=0,0,IF(WEEKDAY(CJ$6,1)=1,CJ80*CJ81,0)))</f>
        <v>0</v>
      </c>
      <c r="CK84" s="63">
        <f>IF(AND(CK80=0,CK81=0),0,IF(CK80&lt;=0,0,IF(WEEKDAY(CK$6,1)=1,CK80*CK81,0)))</f>
        <v>0</v>
      </c>
      <c r="CL84" s="63">
        <f>IF(AND(CL80=0,CL81=0),0,IF(CL80&lt;=0,0,IF(WEEKDAY(CL$6,1)=1,CL80*CL81,0)))</f>
        <v>0</v>
      </c>
      <c r="CM84" s="63">
        <f>IF(AND(CM80=0,CM81=0),0,IF(CM80&lt;=0,0,IF(WEEKDAY(CM$6,1)=1,CM80*CM81,0)))</f>
        <v>0</v>
      </c>
      <c r="CN84" s="63">
        <f>IF(AND(CN80=0,CN81=0),0,IF(CN80&lt;=0,0,IF(WEEKDAY(CN$6,1)=1,CN80*CN81,0)))</f>
        <v>0</v>
      </c>
      <c r="CO84" s="64">
        <f>IF(AND(CO80=0,CO81=0),0,IF(CO80&lt;=0,0,IF(WEEKDAY(CO$6,1)=1,CO80*CO81,0)))</f>
        <v>0</v>
      </c>
      <c r="CP84" s="64">
        <f>IF(AND(CP80=0,CP81=0),0,IF(CP80&lt;=0,0,IF(WEEKDAY(CP$6,1)=1,CP80*CP81,0)))</f>
        <v>0</v>
      </c>
      <c r="CQ84" s="63">
        <f>IF(AND(CQ80=0,CQ81=0),0,IF(CQ80&lt;=0,0,IF(WEEKDAY(CQ$6,1)=1,CQ80*CQ81,0)))</f>
        <v>0</v>
      </c>
      <c r="CR84" s="63">
        <f>IF(AND(CR80=0,CR81=0),0,IF(CR80&lt;=0,0,IF(WEEKDAY(CR$6,1)=1,CR80*CR81,0)))</f>
        <v>0</v>
      </c>
      <c r="CS84" s="63">
        <f>IF(AND(CS80=0,CS81=0),0,IF(CS80&lt;=0,0,IF(WEEKDAY(CS$6,1)=1,CS80*CS81,0)))</f>
        <v>0</v>
      </c>
      <c r="CT84" s="63">
        <f>IF(AND(CT80=0,CT81=0),0,IF(CT80&lt;=0,0,IF(WEEKDAY(CT$6,1)=1,CT80*CT81,0)))</f>
        <v>0</v>
      </c>
      <c r="CU84" s="63">
        <f>IF(AND(CU80=0,CU81=0),0,IF(CU80&lt;=0,0,IF(WEEKDAY(CU$6,1)=1,CU80*CU81,0)))</f>
        <v>0</v>
      </c>
      <c r="CV84" s="64">
        <f>IF(AND(CV80=0,CV81=0),0,IF(CV80&lt;=0,0,IF(WEEKDAY(CV$6,1)=1,CV80*CV81,0)))</f>
        <v>0</v>
      </c>
      <c r="CW84" s="64">
        <f>IF(AND(CW80=0,CW81=0),0,IF(CW80&lt;=0,0,IF(WEEKDAY(CW$6,1)=1,CW80*CW81,0)))</f>
        <v>0</v>
      </c>
      <c r="CX84" s="63">
        <f>IF(AND(CX80=0,CX81=0),0,IF(CX80&lt;=0,0,IF(WEEKDAY(CX$6,1)=1,CX80*CX81,0)))</f>
        <v>0</v>
      </c>
      <c r="CY84" s="63">
        <f>IF(AND(CY80=0,CY81=0),0,IF(CY80&lt;=0,0,IF(WEEKDAY(CY$6,1)=1,CY80*CY81,0)))</f>
        <v>0</v>
      </c>
      <c r="CZ84" s="63">
        <f>IF(AND(CZ80=0,CZ81=0),0,IF(CZ80&lt;=0,0,IF(WEEKDAY(CZ$6,1)=1,CZ80*CZ81,0)))</f>
        <v>0</v>
      </c>
      <c r="DA84" s="63">
        <f>IF(AND(DA80=0,DA81=0),0,IF(DA80&lt;=0,0,IF(WEEKDAY(DA$6,1)=1,DA80*DA81,0)))</f>
        <v>0</v>
      </c>
      <c r="DB84" s="63">
        <f>IF(AND(DB80=0,DB81=0),0,IF(DB80&lt;=0,0,IF(WEEKDAY(DB$6,1)=1,DB80*DB81,0)))</f>
        <v>0</v>
      </c>
      <c r="DC84" s="64">
        <f>IF(AND(DC80=0,DC81=0),0,IF(DC80&lt;=0,0,IF(WEEKDAY(DC$6,1)=1,DC80*DC81,0)))</f>
        <v>0</v>
      </c>
      <c r="DD84" s="64">
        <f>IF(AND(DD80=0,DD81=0),0,IF(DD80&lt;=0,0,IF(WEEKDAY(DD$6,1)=1,DD80*DD81,0)))</f>
        <v>0</v>
      </c>
      <c r="DE84" s="63">
        <f>IF(AND(DE80=0,DE81=0),0,IF(DE80&lt;=0,0,IF(WEEKDAY(DE$6,1)=1,DE80*DE81,0)))</f>
        <v>0</v>
      </c>
      <c r="DF84" s="63">
        <f>IF(AND(DF80=0,DF81=0),0,IF(DF80&lt;=0,0,IF(WEEKDAY(DF$6,1)=1,DF80*DF81,0)))</f>
        <v>0</v>
      </c>
      <c r="DG84" s="63">
        <f>IF(AND(DG80=0,DG81=0),0,IF(DG80&lt;=0,0,IF(WEEKDAY(DG$6,1)=1,DG80*DG81,0)))</f>
        <v>0</v>
      </c>
      <c r="DH84" s="63">
        <f>IF(AND(DH80=0,DH81=0),0,IF(DH80&lt;=0,0,IF(WEEKDAY(DH$6,1)=1,DH80*DH81,0)))</f>
        <v>0</v>
      </c>
      <c r="DI84" s="63">
        <f>IF(AND(DI80=0,DI81=0),0,IF(DI80&lt;=0,0,IF(WEEKDAY(DI$6,1)=1,DI80*DI81,0)))</f>
        <v>0</v>
      </c>
      <c r="DJ84" s="64">
        <f>IF(AND(DJ80=0,DJ81=0),0,IF(DJ80&lt;=0,0,IF(WEEKDAY(DJ$6,1)=1,DJ80*DJ81,0)))</f>
        <v>0</v>
      </c>
      <c r="DK84" s="64">
        <f>IF(AND(DK80=0,DK81=0),0,IF(DK80&lt;=0,0,IF(WEEKDAY(DK$6,1)=1,DK80*DK81,0)))</f>
        <v>0</v>
      </c>
      <c r="DL84" s="63">
        <f>IF(AND(DL80=0,DL81=0),0,IF(DL80&lt;=0,0,IF(WEEKDAY(DL$6,1)=1,DL80*DL81,0)))</f>
        <v>0</v>
      </c>
      <c r="DM84" s="63">
        <f>IF(AND(DM80=0,DM81=0),0,IF(DM80&lt;=0,0,IF(WEEKDAY(DM$6,1)=1,DM80*DM81,0)))</f>
        <v>0</v>
      </c>
      <c r="DN84" s="63">
        <f>IF(AND(DN80=0,DN81=0),0,IF(DN80&lt;=0,0,IF(WEEKDAY(DN$6,1)=1,DN80*DN81,0)))</f>
        <v>0</v>
      </c>
      <c r="DO84" s="63">
        <f>IF(AND(DO80=0,DO81=0),0,IF(DO80&lt;=0,0,IF(WEEKDAY(DO$6,1)=1,DO80*DO81,0)))</f>
        <v>0</v>
      </c>
      <c r="DP84" s="63">
        <f>IF(AND(DP80=0,DP81=0),0,IF(DP80&lt;=0,0,IF(WEEKDAY(DP$6,1)=1,DP80*DP81,0)))</f>
        <v>0</v>
      </c>
      <c r="DQ84" s="64">
        <f>IF(AND(DQ80=0,DQ81=0),0,IF(DQ80&lt;=0,0,IF(WEEKDAY(DQ$6,1)=1,DQ80*DQ81,0)))</f>
        <v>0</v>
      </c>
      <c r="DR84" s="64">
        <f>IF(AND(DR80=0,DR81=0),0,IF(DR80&lt;=0,0,IF(WEEKDAY(DR$6,1)=1,DR80*DR81,0)))</f>
        <v>0</v>
      </c>
      <c r="DS84" s="63">
        <f>IF(AND(DS80=0,DS81=0),0,IF(DS80&lt;=0,0,IF(WEEKDAY(DS$6,1)=1,DS80*DS81,0)))</f>
        <v>0</v>
      </c>
      <c r="DT84" s="63">
        <f>IF(AND(DT80=0,DT81=0),0,IF(DT80&lt;=0,0,IF(WEEKDAY(DT$6,1)=1,DT80*DT81,0)))</f>
        <v>0</v>
      </c>
      <c r="DU84" s="63">
        <f>IF(AND(DU80=0,DU81=0),0,IF(DU80&lt;=0,0,IF(WEEKDAY(DU$6,1)=1,DU80*DU81,0)))</f>
        <v>0</v>
      </c>
      <c r="DV84" s="63">
        <f>IF(AND(DV80=0,DV81=0),0,IF(DV80&lt;=0,0,IF(WEEKDAY(DV$6,1)=1,DV80*DV81,0)))</f>
        <v>0</v>
      </c>
      <c r="DW84" s="63">
        <f>IF(AND(DW80=0,DW81=0),0,IF(DW80&lt;=0,0,IF(WEEKDAY(DW$6,1)=1,DW80*DW81,0)))</f>
        <v>0</v>
      </c>
      <c r="DX84" s="64">
        <f>IF(AND(DX80=0,DX81=0),0,IF(DX80&lt;=0,0,IF(WEEKDAY(DX$6,1)=1,DX80*DX81,0)))</f>
        <v>0</v>
      </c>
      <c r="DY84" s="64">
        <f>IF(AND(DY80=0,DY81=0),0,IF(DY80&lt;=0,0,IF(WEEKDAY(DY$6,1)=1,DY80*DY81,0)))</f>
        <v>0</v>
      </c>
      <c r="DZ84" s="63">
        <f>IF(AND(DZ80=0,DZ81=0),0,IF(DZ80&lt;=0,0,IF(WEEKDAY(DZ$6,1)=1,DZ80*DZ81,0)))</f>
        <v>0</v>
      </c>
      <c r="EA84" s="63">
        <f>IF(AND(EA80=0,EA81=0),0,IF(EA80&lt;=0,0,IF(WEEKDAY(EA$6,1)=1,EA80*EA81,0)))</f>
        <v>0</v>
      </c>
      <c r="EB84" s="63">
        <f>IF(AND(EB80=0,EB81=0),0,IF(EB80&lt;=0,0,IF(WEEKDAY(EB$6,1)=1,EB80*EB81,0)))</f>
        <v>0</v>
      </c>
      <c r="EC84" s="63">
        <f>IF(AND(EC80=0,EC81=0),0,IF(EC80&lt;=0,0,IF(WEEKDAY(EC$6,1)=1,EC80*EC81,0)))</f>
        <v>0</v>
      </c>
      <c r="ED84" s="63">
        <f>IF(AND(ED80=0,ED81=0),0,IF(ED80&lt;=0,0,IF(WEEKDAY(ED$6,1)=1,ED80*ED81,0)))</f>
        <v>0</v>
      </c>
      <c r="EE84" s="64">
        <f>IF(AND(EE80=0,EE81=0),0,IF(EE80&lt;=0,0,IF(WEEKDAY(EE$6,1)=1,EE80*EE81,0)))</f>
        <v>0</v>
      </c>
      <c r="EF84" s="64">
        <f>IF(AND(EF80=0,EF81=0),0,IF(EF80&lt;=0,0,IF(WEEKDAY(EF$6,1)=1,EF80*EF81,0)))</f>
        <v>0</v>
      </c>
      <c r="EG84" s="63">
        <f>IF(AND(EG80=0,EG81=0),0,IF(EG80&lt;=0,0,IF(WEEKDAY(EG$6,1)=1,EG80*EG81,0)))</f>
        <v>0</v>
      </c>
      <c r="EH84" s="63">
        <f>IF(AND(EH80=0,EH81=0),0,IF(EH80&lt;=0,0,IF(WEEKDAY(EH$6,1)=1,EH80*EH81,0)))</f>
        <v>0</v>
      </c>
      <c r="EI84" s="63">
        <f>IF(AND(EI80=0,EI81=0),0,IF(EI80&lt;=0,0,IF(WEEKDAY(EI$6,1)=1,EI80*EI81,0)))</f>
        <v>0</v>
      </c>
      <c r="EJ84" s="63">
        <f>IF(AND(EJ80=0,EJ81=0),0,IF(EJ80&lt;=0,0,IF(WEEKDAY(EJ$6,1)=1,EJ80*EJ81,0)))</f>
        <v>0</v>
      </c>
      <c r="EK84" s="65">
        <f>IF(AND(EK80=0,EK81=0),0,IF(EK80&lt;=0,0,IF(WEEKDAY(EK$6,1)=1,EK80*EK81,0)))</f>
        <v>0</v>
      </c>
      <c r="OU84" s="28" t="s">
        <v>132</v>
      </c>
    </row>
    <row r="85" ht="16" customHeight="1" spans="1:411" x14ac:dyDescent="0.25">
      <c r="A85" s="45"/>
      <c r="B85" s="79"/>
      <c r="C85" s="67">
        <f>I79*D85</f>
        <v>650</v>
      </c>
      <c r="D85" s="67">
        <v>130</v>
      </c>
      <c r="E85" s="68" t="s">
        <v>65</v>
      </c>
      <c r="F85" s="49"/>
      <c r="G85" s="49"/>
      <c r="H85" s="49"/>
      <c r="I85" s="49"/>
      <c r="J85" s="50"/>
      <c r="K85" s="69">
        <v>0</v>
      </c>
      <c r="L85" s="70">
        <v>0</v>
      </c>
      <c r="M85" s="70">
        <v>0</v>
      </c>
      <c r="N85" s="70">
        <v>0</v>
      </c>
      <c r="O85" s="70">
        <v>0</v>
      </c>
      <c r="P85" s="71">
        <v>0</v>
      </c>
      <c r="Q85" s="71">
        <v>0</v>
      </c>
      <c r="R85" s="70">
        <v>0</v>
      </c>
      <c r="S85" s="70">
        <v>0</v>
      </c>
      <c r="T85" s="70">
        <v>0</v>
      </c>
      <c r="U85" s="70">
        <v>0</v>
      </c>
      <c r="V85" s="70">
        <v>0</v>
      </c>
      <c r="W85" s="71">
        <v>0</v>
      </c>
      <c r="X85" s="71">
        <v>0</v>
      </c>
      <c r="Y85" s="70">
        <v>0</v>
      </c>
      <c r="Z85" s="70">
        <v>0</v>
      </c>
      <c r="AA85" s="70">
        <v>0</v>
      </c>
      <c r="AB85" s="70">
        <v>0</v>
      </c>
      <c r="AC85" s="70">
        <v>0</v>
      </c>
      <c r="AD85" s="71">
        <v>0</v>
      </c>
      <c r="AE85" s="71">
        <v>0</v>
      </c>
      <c r="AF85" s="70">
        <v>0</v>
      </c>
      <c r="AG85" s="70">
        <v>0</v>
      </c>
      <c r="AH85" s="70">
        <v>0</v>
      </c>
      <c r="AI85" s="70">
        <v>0</v>
      </c>
      <c r="AJ85" s="70">
        <v>0</v>
      </c>
      <c r="AK85" s="71">
        <v>0</v>
      </c>
      <c r="AL85" s="71">
        <v>0</v>
      </c>
      <c r="AM85" s="70">
        <v>0</v>
      </c>
      <c r="AN85" s="70">
        <v>0</v>
      </c>
      <c r="AO85" s="70">
        <v>0</v>
      </c>
      <c r="AP85" s="70">
        <v>0</v>
      </c>
      <c r="AQ85" s="70">
        <v>0</v>
      </c>
      <c r="AR85" s="71">
        <v>0</v>
      </c>
      <c r="AS85" s="71">
        <v>0</v>
      </c>
      <c r="AT85" s="70">
        <v>0</v>
      </c>
      <c r="AU85" s="70">
        <v>0</v>
      </c>
      <c r="AV85" s="70">
        <v>0</v>
      </c>
      <c r="AW85" s="70">
        <v>0</v>
      </c>
      <c r="AX85" s="70">
        <v>0</v>
      </c>
      <c r="AY85" s="71">
        <v>0</v>
      </c>
      <c r="AZ85" s="71">
        <v>0</v>
      </c>
      <c r="BA85" s="70">
        <v>1</v>
      </c>
      <c r="BB85" s="70">
        <v>1</v>
      </c>
      <c r="BC85" s="70">
        <v>1</v>
      </c>
      <c r="BD85" s="70">
        <v>1</v>
      </c>
      <c r="BE85" s="70">
        <v>1</v>
      </c>
      <c r="BF85" s="71">
        <v>0</v>
      </c>
      <c r="BG85" s="71">
        <v>0</v>
      </c>
      <c r="BH85" s="70">
        <v>0</v>
      </c>
      <c r="BI85" s="70">
        <v>0</v>
      </c>
      <c r="BJ85" s="70">
        <v>0</v>
      </c>
      <c r="BK85" s="70">
        <v>0</v>
      </c>
      <c r="BL85" s="70">
        <v>0</v>
      </c>
      <c r="BM85" s="71">
        <v>0</v>
      </c>
      <c r="BN85" s="71">
        <v>0</v>
      </c>
      <c r="BO85" s="70">
        <v>0</v>
      </c>
      <c r="BP85" s="70">
        <v>0</v>
      </c>
      <c r="BQ85" s="70">
        <v>0</v>
      </c>
      <c r="BR85" s="70">
        <v>0</v>
      </c>
      <c r="BS85" s="70">
        <v>0</v>
      </c>
      <c r="BT85" s="71">
        <v>0</v>
      </c>
      <c r="BU85" s="71">
        <v>0</v>
      </c>
      <c r="BV85" s="70">
        <v>0</v>
      </c>
      <c r="BW85" s="70">
        <v>0</v>
      </c>
      <c r="BX85" s="70">
        <v>0</v>
      </c>
      <c r="BY85" s="70">
        <v>0</v>
      </c>
      <c r="BZ85" s="70">
        <v>0</v>
      </c>
      <c r="CA85" s="71">
        <v>0</v>
      </c>
      <c r="CB85" s="71">
        <v>0</v>
      </c>
      <c r="CC85" s="70">
        <v>0</v>
      </c>
      <c r="CD85" s="70">
        <v>0</v>
      </c>
      <c r="CE85" s="70">
        <v>0</v>
      </c>
      <c r="CF85" s="70">
        <v>0</v>
      </c>
      <c r="CG85" s="70">
        <v>0</v>
      </c>
      <c r="CH85" s="71">
        <v>0</v>
      </c>
      <c r="CI85" s="71">
        <v>0</v>
      </c>
      <c r="CJ85" s="70">
        <v>0</v>
      </c>
      <c r="CK85" s="70">
        <v>0</v>
      </c>
      <c r="CL85" s="70">
        <v>0</v>
      </c>
      <c r="CM85" s="70">
        <v>0</v>
      </c>
      <c r="CN85" s="70">
        <v>0</v>
      </c>
      <c r="CO85" s="71">
        <v>0</v>
      </c>
      <c r="CP85" s="71">
        <v>0</v>
      </c>
      <c r="CQ85" s="70">
        <v>0</v>
      </c>
      <c r="CR85" s="70">
        <v>0</v>
      </c>
      <c r="CS85" s="70">
        <v>0</v>
      </c>
      <c r="CT85" s="70">
        <v>0</v>
      </c>
      <c r="CU85" s="70">
        <v>0</v>
      </c>
      <c r="CV85" s="71">
        <v>0</v>
      </c>
      <c r="CW85" s="71">
        <v>0</v>
      </c>
      <c r="CX85" s="70">
        <v>0</v>
      </c>
      <c r="CY85" s="70">
        <v>0</v>
      </c>
      <c r="CZ85" s="70">
        <v>0</v>
      </c>
      <c r="DA85" s="70">
        <v>0</v>
      </c>
      <c r="DB85" s="70">
        <v>0</v>
      </c>
      <c r="DC85" s="71">
        <v>0</v>
      </c>
      <c r="DD85" s="71">
        <v>0</v>
      </c>
      <c r="DE85" s="70">
        <v>0</v>
      </c>
      <c r="DF85" s="70">
        <v>0</v>
      </c>
      <c r="DG85" s="70">
        <v>0</v>
      </c>
      <c r="DH85" s="70">
        <v>0</v>
      </c>
      <c r="DI85" s="70">
        <v>0</v>
      </c>
      <c r="DJ85" s="71">
        <v>0</v>
      </c>
      <c r="DK85" s="71">
        <v>0</v>
      </c>
      <c r="DL85" s="70">
        <v>0</v>
      </c>
      <c r="DM85" s="70">
        <v>0</v>
      </c>
      <c r="DN85" s="70">
        <v>0</v>
      </c>
      <c r="DO85" s="70">
        <v>0</v>
      </c>
      <c r="DP85" s="70">
        <v>0</v>
      </c>
      <c r="DQ85" s="71">
        <v>0</v>
      </c>
      <c r="DR85" s="71">
        <v>0</v>
      </c>
      <c r="DS85" s="70">
        <v>0</v>
      </c>
      <c r="DT85" s="70">
        <v>0</v>
      </c>
      <c r="DU85" s="70">
        <v>0</v>
      </c>
      <c r="DV85" s="70">
        <v>0</v>
      </c>
      <c r="DW85" s="70">
        <v>0</v>
      </c>
      <c r="DX85" s="71">
        <v>0</v>
      </c>
      <c r="DY85" s="71">
        <v>0</v>
      </c>
      <c r="DZ85" s="70">
        <v>0</v>
      </c>
      <c r="EA85" s="70">
        <v>0</v>
      </c>
      <c r="EB85" s="70">
        <v>0</v>
      </c>
      <c r="EC85" s="70">
        <v>0</v>
      </c>
      <c r="ED85" s="70">
        <v>0</v>
      </c>
      <c r="EE85" s="71">
        <v>0</v>
      </c>
      <c r="EF85" s="71">
        <v>0</v>
      </c>
      <c r="EG85" s="70">
        <v>0</v>
      </c>
      <c r="EH85" s="70">
        <v>0</v>
      </c>
      <c r="EI85" s="70">
        <v>0</v>
      </c>
      <c r="EJ85" s="70">
        <v>0</v>
      </c>
      <c r="EK85" s="72">
        <v>0</v>
      </c>
      <c r="OU85" s="60" t="s">
        <v>132</v>
      </c>
    </row>
    <row r="86" ht="8" customHeight="1" spans="1:14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  <c r="EK86" s="73"/>
    </row>
    <row r="87" ht="16" customHeight="1" spans="1:411" x14ac:dyDescent="0.25">
      <c r="A87" s="45" t="s">
        <v>57</v>
      </c>
      <c r="B87" s="77" t="s">
        <v>133</v>
      </c>
      <c r="C87" s="47">
        <f>J87</f>
        <v>209674.56</v>
      </c>
      <c r="D87" s="48"/>
      <c r="E87" s="48"/>
      <c r="F87" s="49">
        <f>SUM(K90:EK90)</f>
        <v>1280</v>
      </c>
      <c r="G87" s="49">
        <f>SUM(K91:EK91)</f>
        <v>364</v>
      </c>
      <c r="H87" s="49">
        <f>SUM(K92:EK92)</f>
        <v>180</v>
      </c>
      <c r="I87" s="49">
        <f>SUM(K93:EK93)</f>
        <v>0</v>
      </c>
      <c r="J87" s="50">
        <f>C90+C91+C92</f>
        <v>209674.56</v>
      </c>
      <c r="K87" s="51"/>
      <c r="L87" s="52"/>
      <c r="M87" s="52"/>
      <c r="N87" s="52"/>
      <c r="O87" s="52"/>
      <c r="P87" s="53"/>
      <c r="Q87" s="53"/>
      <c r="R87" s="52"/>
      <c r="S87" s="52"/>
      <c r="T87" s="52"/>
      <c r="U87" s="52"/>
      <c r="V87" s="52"/>
      <c r="W87" s="53"/>
      <c r="X87" s="53"/>
      <c r="Y87" s="52"/>
      <c r="Z87" s="52"/>
      <c r="AA87" s="52"/>
      <c r="AB87" s="52"/>
      <c r="AC87" s="52"/>
      <c r="AD87" s="53"/>
      <c r="AE87" s="53"/>
      <c r="AF87" s="52"/>
      <c r="AG87" s="52"/>
      <c r="AH87" s="52"/>
      <c r="AI87" s="52"/>
      <c r="AJ87" s="52"/>
      <c r="AK87" s="53"/>
      <c r="AL87" s="53"/>
      <c r="AM87" s="52"/>
      <c r="AN87" s="52"/>
      <c r="AO87" s="52"/>
      <c r="AP87" s="52"/>
      <c r="AQ87" s="52"/>
      <c r="AR87" s="53"/>
      <c r="AS87" s="53"/>
      <c r="AT87" s="52"/>
      <c r="AU87" s="52"/>
      <c r="AV87" s="52"/>
      <c r="AW87" s="52"/>
      <c r="AX87" s="52"/>
      <c r="AY87" s="53"/>
      <c r="AZ87" s="53"/>
      <c r="BA87" s="52"/>
      <c r="BB87" s="52"/>
      <c r="BC87" s="52"/>
      <c r="BD87" s="52"/>
      <c r="BE87" s="52"/>
      <c r="BF87" s="53"/>
      <c r="BG87" s="53"/>
      <c r="BH87" s="52"/>
      <c r="BI87" s="52"/>
      <c r="BJ87" s="52"/>
      <c r="BK87" s="52"/>
      <c r="BL87" s="52"/>
      <c r="BM87" s="53"/>
      <c r="BN87" s="53"/>
      <c r="BO87" s="52"/>
      <c r="BP87" s="52"/>
      <c r="BQ87" s="52"/>
      <c r="BR87" s="52"/>
      <c r="BS87" s="52"/>
      <c r="BT87" s="53"/>
      <c r="BU87" s="53"/>
      <c r="BV87" s="52"/>
      <c r="BW87" s="52"/>
      <c r="BX87" s="52"/>
      <c r="BY87" s="52"/>
      <c r="BZ87" s="52"/>
      <c r="CA87" s="53"/>
      <c r="CB87" s="53"/>
      <c r="CC87" s="52"/>
      <c r="CD87" s="52"/>
      <c r="CE87" s="52"/>
      <c r="CF87" s="52"/>
      <c r="CG87" s="52"/>
      <c r="CH87" s="53"/>
      <c r="CI87" s="53"/>
      <c r="CJ87" s="52"/>
      <c r="CK87" s="52"/>
      <c r="CL87" s="52"/>
      <c r="CM87" s="52"/>
      <c r="CN87" s="52"/>
      <c r="CO87" s="53"/>
      <c r="CP87" s="53"/>
      <c r="CQ87" s="52"/>
      <c r="CR87" s="52"/>
      <c r="CS87" s="52"/>
      <c r="CT87" s="52"/>
      <c r="CU87" s="52"/>
      <c r="CV87" s="53"/>
      <c r="CW87" s="53"/>
      <c r="CX87" s="52"/>
      <c r="CY87" s="52"/>
      <c r="CZ87" s="52"/>
      <c r="DA87" s="52"/>
      <c r="DB87" s="52"/>
      <c r="DC87" s="53"/>
      <c r="DD87" s="53"/>
      <c r="DE87" s="52"/>
      <c r="DF87" s="52"/>
      <c r="DG87" s="52"/>
      <c r="DH87" s="52"/>
      <c r="DI87" s="52"/>
      <c r="DJ87" s="53"/>
      <c r="DK87" s="53"/>
      <c r="DL87" s="52"/>
      <c r="DM87" s="52"/>
      <c r="DN87" s="52"/>
      <c r="DO87" s="52"/>
      <c r="DP87" s="52"/>
      <c r="DQ87" s="53"/>
      <c r="DR87" s="53"/>
      <c r="DS87" s="52"/>
      <c r="DT87" s="52"/>
      <c r="DU87" s="52"/>
      <c r="DV87" s="52"/>
      <c r="DW87" s="52"/>
      <c r="DX87" s="53"/>
      <c r="DY87" s="53"/>
      <c r="DZ87" s="52"/>
      <c r="EA87" s="52"/>
      <c r="EB87" s="52"/>
      <c r="EC87" s="52"/>
      <c r="ED87" s="52"/>
      <c r="EE87" s="53"/>
      <c r="EF87" s="53"/>
      <c r="EG87" s="52"/>
      <c r="EH87" s="52"/>
      <c r="EI87" s="52"/>
      <c r="EJ87" s="52"/>
      <c r="EK87" s="54"/>
      <c r="OU87" s="28" t="s">
        <v>134</v>
      </c>
    </row>
    <row r="88" ht="16" customHeight="1" spans="1:411" x14ac:dyDescent="0.25">
      <c r="A88" s="45"/>
      <c r="B88" s="77"/>
      <c r="C88" s="47"/>
      <c r="D88" s="48"/>
      <c r="E88" s="55" t="s">
        <v>60</v>
      </c>
      <c r="F88" s="49"/>
      <c r="G88" s="49"/>
      <c r="H88" s="49"/>
      <c r="I88" s="49"/>
      <c r="J88" s="50"/>
      <c r="K88" s="56">
        <v>0</v>
      </c>
      <c r="L88" s="57">
        <v>0</v>
      </c>
      <c r="M88" s="57">
        <v>0</v>
      </c>
      <c r="N88" s="57">
        <v>0</v>
      </c>
      <c r="O88" s="57">
        <v>0</v>
      </c>
      <c r="P88" s="58">
        <v>0</v>
      </c>
      <c r="Q88" s="58">
        <v>0</v>
      </c>
      <c r="R88" s="57">
        <v>0</v>
      </c>
      <c r="S88" s="57">
        <v>0</v>
      </c>
      <c r="T88" s="57">
        <v>0</v>
      </c>
      <c r="U88" s="57">
        <v>0</v>
      </c>
      <c r="V88" s="57">
        <v>0</v>
      </c>
      <c r="W88" s="58">
        <v>0</v>
      </c>
      <c r="X88" s="58">
        <v>0</v>
      </c>
      <c r="Y88" s="57">
        <v>0</v>
      </c>
      <c r="Z88" s="57">
        <v>0</v>
      </c>
      <c r="AA88" s="57">
        <v>0</v>
      </c>
      <c r="AB88" s="57">
        <v>0</v>
      </c>
      <c r="AC88" s="57">
        <v>0</v>
      </c>
      <c r="AD88" s="58">
        <v>0</v>
      </c>
      <c r="AE88" s="58">
        <v>0</v>
      </c>
      <c r="AF88" s="57">
        <v>2</v>
      </c>
      <c r="AG88" s="57">
        <v>2</v>
      </c>
      <c r="AH88" s="57">
        <v>2</v>
      </c>
      <c r="AI88" s="57">
        <v>2</v>
      </c>
      <c r="AJ88" s="57">
        <v>2</v>
      </c>
      <c r="AK88" s="58">
        <v>0</v>
      </c>
      <c r="AL88" s="58">
        <v>0</v>
      </c>
      <c r="AM88" s="57">
        <v>2</v>
      </c>
      <c r="AN88" s="57">
        <v>2</v>
      </c>
      <c r="AO88" s="57">
        <v>2</v>
      </c>
      <c r="AP88" s="57">
        <v>2</v>
      </c>
      <c r="AQ88" s="57">
        <v>2</v>
      </c>
      <c r="AR88" s="58">
        <v>0</v>
      </c>
      <c r="AS88" s="58">
        <v>0</v>
      </c>
      <c r="AT88" s="57">
        <v>2</v>
      </c>
      <c r="AU88" s="57">
        <v>2</v>
      </c>
      <c r="AV88" s="57">
        <v>2</v>
      </c>
      <c r="AW88" s="57">
        <v>2</v>
      </c>
      <c r="AX88" s="57">
        <v>2</v>
      </c>
      <c r="AY88" s="58">
        <v>0</v>
      </c>
      <c r="AZ88" s="58">
        <v>0</v>
      </c>
      <c r="BA88" s="57">
        <v>2</v>
      </c>
      <c r="BB88" s="57">
        <v>2</v>
      </c>
      <c r="BC88" s="57">
        <v>2</v>
      </c>
      <c r="BD88" s="57">
        <v>2</v>
      </c>
      <c r="BE88" s="57">
        <v>2</v>
      </c>
      <c r="BF88" s="58">
        <v>0</v>
      </c>
      <c r="BG88" s="58">
        <v>0</v>
      </c>
      <c r="BH88" s="57">
        <v>2</v>
      </c>
      <c r="BI88" s="57">
        <v>2</v>
      </c>
      <c r="BJ88" s="57">
        <v>2</v>
      </c>
      <c r="BK88" s="57">
        <v>2</v>
      </c>
      <c r="BL88" s="57">
        <v>2</v>
      </c>
      <c r="BM88" s="58">
        <v>2</v>
      </c>
      <c r="BN88" s="58">
        <v>2</v>
      </c>
      <c r="BO88" s="57">
        <v>2</v>
      </c>
      <c r="BP88" s="57">
        <v>2</v>
      </c>
      <c r="BQ88" s="57">
        <v>2</v>
      </c>
      <c r="BR88" s="57">
        <v>2</v>
      </c>
      <c r="BS88" s="57">
        <v>2</v>
      </c>
      <c r="BT88" s="58">
        <v>2</v>
      </c>
      <c r="BU88" s="58">
        <v>2</v>
      </c>
      <c r="BV88" s="57">
        <v>2</v>
      </c>
      <c r="BW88" s="57">
        <v>2</v>
      </c>
      <c r="BX88" s="57">
        <v>2</v>
      </c>
      <c r="BY88" s="57">
        <v>2</v>
      </c>
      <c r="BZ88" s="57">
        <v>2</v>
      </c>
      <c r="CA88" s="58">
        <v>2</v>
      </c>
      <c r="CB88" s="58">
        <v>2</v>
      </c>
      <c r="CC88" s="57">
        <v>2</v>
      </c>
      <c r="CD88" s="57">
        <v>2</v>
      </c>
      <c r="CE88" s="57">
        <v>2</v>
      </c>
      <c r="CF88" s="57">
        <v>2</v>
      </c>
      <c r="CG88" s="57">
        <v>2</v>
      </c>
      <c r="CH88" s="58">
        <v>2</v>
      </c>
      <c r="CI88" s="58">
        <v>2</v>
      </c>
      <c r="CJ88" s="57">
        <v>2</v>
      </c>
      <c r="CK88" s="57">
        <v>2</v>
      </c>
      <c r="CL88" s="57">
        <v>2</v>
      </c>
      <c r="CM88" s="57">
        <v>2</v>
      </c>
      <c r="CN88" s="57">
        <v>2</v>
      </c>
      <c r="CO88" s="58">
        <v>2</v>
      </c>
      <c r="CP88" s="58">
        <v>2</v>
      </c>
      <c r="CQ88" s="57">
        <v>2</v>
      </c>
      <c r="CR88" s="57">
        <v>2</v>
      </c>
      <c r="CS88" s="57">
        <v>2</v>
      </c>
      <c r="CT88" s="57">
        <v>2</v>
      </c>
      <c r="CU88" s="57">
        <v>2</v>
      </c>
      <c r="CV88" s="58">
        <v>2</v>
      </c>
      <c r="CW88" s="58">
        <v>2</v>
      </c>
      <c r="CX88" s="57">
        <v>2</v>
      </c>
      <c r="CY88" s="57">
        <v>2</v>
      </c>
      <c r="CZ88" s="57">
        <v>2</v>
      </c>
      <c r="DA88" s="57">
        <v>2</v>
      </c>
      <c r="DB88" s="57">
        <v>2</v>
      </c>
      <c r="DC88" s="58">
        <v>2</v>
      </c>
      <c r="DD88" s="58">
        <v>2</v>
      </c>
      <c r="DE88" s="57">
        <v>2</v>
      </c>
      <c r="DF88" s="57">
        <v>2</v>
      </c>
      <c r="DG88" s="57">
        <v>2</v>
      </c>
      <c r="DH88" s="57">
        <v>2</v>
      </c>
      <c r="DI88" s="57">
        <v>2</v>
      </c>
      <c r="DJ88" s="58">
        <v>2</v>
      </c>
      <c r="DK88" s="58">
        <v>2</v>
      </c>
      <c r="DL88" s="57">
        <v>2</v>
      </c>
      <c r="DM88" s="57">
        <v>2</v>
      </c>
      <c r="DN88" s="57">
        <v>2</v>
      </c>
      <c r="DO88" s="57">
        <v>2</v>
      </c>
      <c r="DP88" s="57">
        <v>2</v>
      </c>
      <c r="DQ88" s="58">
        <v>2</v>
      </c>
      <c r="DR88" s="58">
        <v>2</v>
      </c>
      <c r="DS88" s="57">
        <v>2</v>
      </c>
      <c r="DT88" s="57">
        <v>2</v>
      </c>
      <c r="DU88" s="57">
        <v>2</v>
      </c>
      <c r="DV88" s="57">
        <v>2</v>
      </c>
      <c r="DW88" s="57">
        <v>2</v>
      </c>
      <c r="DX88" s="58">
        <v>0</v>
      </c>
      <c r="DY88" s="58">
        <v>0</v>
      </c>
      <c r="DZ88" s="57">
        <v>2</v>
      </c>
      <c r="EA88" s="57">
        <v>2</v>
      </c>
      <c r="EB88" s="57">
        <v>2</v>
      </c>
      <c r="EC88" s="57">
        <v>2</v>
      </c>
      <c r="ED88" s="57">
        <v>2</v>
      </c>
      <c r="EE88" s="58">
        <v>0</v>
      </c>
      <c r="EF88" s="58">
        <v>0</v>
      </c>
      <c r="EG88" s="57">
        <v>2</v>
      </c>
      <c r="EH88" s="57">
        <v>2</v>
      </c>
      <c r="EI88" s="57">
        <v>2</v>
      </c>
      <c r="EJ88" s="57">
        <v>2</v>
      </c>
      <c r="EK88" s="59">
        <v>2</v>
      </c>
      <c r="OU88" s="60" t="s">
        <v>134</v>
      </c>
    </row>
    <row r="89" ht="16" customHeight="1" spans="1:411" x14ac:dyDescent="0.25">
      <c r="A89" s="45"/>
      <c r="B89" s="77"/>
      <c r="C89" s="47"/>
      <c r="D89" s="48"/>
      <c r="E89" s="55" t="s">
        <v>61</v>
      </c>
      <c r="F89" s="49"/>
      <c r="G89" s="49"/>
      <c r="H89" s="49"/>
      <c r="I89" s="49"/>
      <c r="J89" s="50"/>
      <c r="K89" s="56">
        <v>0</v>
      </c>
      <c r="L89" s="57">
        <v>0</v>
      </c>
      <c r="M89" s="57">
        <v>0</v>
      </c>
      <c r="N89" s="57">
        <v>0</v>
      </c>
      <c r="O89" s="57">
        <v>0</v>
      </c>
      <c r="P89" s="58">
        <v>0</v>
      </c>
      <c r="Q89" s="58">
        <v>0</v>
      </c>
      <c r="R89" s="57">
        <v>0</v>
      </c>
      <c r="S89" s="57">
        <v>0</v>
      </c>
      <c r="T89" s="57">
        <v>0</v>
      </c>
      <c r="U89" s="57">
        <v>0</v>
      </c>
      <c r="V89" s="57">
        <v>0</v>
      </c>
      <c r="W89" s="58">
        <v>0</v>
      </c>
      <c r="X89" s="58">
        <v>0</v>
      </c>
      <c r="Y89" s="57">
        <v>0</v>
      </c>
      <c r="Z89" s="57">
        <v>0</v>
      </c>
      <c r="AA89" s="57">
        <v>0</v>
      </c>
      <c r="AB89" s="57">
        <v>0</v>
      </c>
      <c r="AC89" s="57">
        <v>0</v>
      </c>
      <c r="AD89" s="58">
        <v>0</v>
      </c>
      <c r="AE89" s="58">
        <v>0</v>
      </c>
      <c r="AF89" s="57">
        <v>8</v>
      </c>
      <c r="AG89" s="57">
        <v>8</v>
      </c>
      <c r="AH89" s="57">
        <v>8</v>
      </c>
      <c r="AI89" s="57">
        <v>8</v>
      </c>
      <c r="AJ89" s="57">
        <v>8</v>
      </c>
      <c r="AK89" s="58">
        <v>0</v>
      </c>
      <c r="AL89" s="58">
        <v>0</v>
      </c>
      <c r="AM89" s="57">
        <v>8</v>
      </c>
      <c r="AN89" s="57">
        <v>8</v>
      </c>
      <c r="AO89" s="57">
        <v>8</v>
      </c>
      <c r="AP89" s="57">
        <v>8</v>
      </c>
      <c r="AQ89" s="57">
        <v>8</v>
      </c>
      <c r="AR89" s="58">
        <v>0</v>
      </c>
      <c r="AS89" s="58">
        <v>0</v>
      </c>
      <c r="AT89" s="57">
        <v>8</v>
      </c>
      <c r="AU89" s="57">
        <v>8</v>
      </c>
      <c r="AV89" s="57">
        <v>8</v>
      </c>
      <c r="AW89" s="57">
        <v>8</v>
      </c>
      <c r="AX89" s="57">
        <v>8</v>
      </c>
      <c r="AY89" s="58">
        <v>0</v>
      </c>
      <c r="AZ89" s="58">
        <v>0</v>
      </c>
      <c r="BA89" s="57">
        <v>8</v>
      </c>
      <c r="BB89" s="57">
        <v>8</v>
      </c>
      <c r="BC89" s="57">
        <v>8</v>
      </c>
      <c r="BD89" s="57">
        <v>8</v>
      </c>
      <c r="BE89" s="57">
        <v>8</v>
      </c>
      <c r="BF89" s="58">
        <v>0</v>
      </c>
      <c r="BG89" s="58">
        <v>0</v>
      </c>
      <c r="BH89" s="57">
        <v>10</v>
      </c>
      <c r="BI89" s="57">
        <v>10</v>
      </c>
      <c r="BJ89" s="57">
        <v>10</v>
      </c>
      <c r="BK89" s="57">
        <v>10</v>
      </c>
      <c r="BL89" s="57">
        <v>10</v>
      </c>
      <c r="BM89" s="58">
        <v>10</v>
      </c>
      <c r="BN89" s="58">
        <v>10</v>
      </c>
      <c r="BO89" s="57">
        <v>10</v>
      </c>
      <c r="BP89" s="57">
        <v>10</v>
      </c>
      <c r="BQ89" s="57">
        <v>10</v>
      </c>
      <c r="BR89" s="57">
        <v>10</v>
      </c>
      <c r="BS89" s="57">
        <v>10</v>
      </c>
      <c r="BT89" s="58">
        <v>10</v>
      </c>
      <c r="BU89" s="58">
        <v>10</v>
      </c>
      <c r="BV89" s="57">
        <v>10</v>
      </c>
      <c r="BW89" s="57">
        <v>10</v>
      </c>
      <c r="BX89" s="57">
        <v>10</v>
      </c>
      <c r="BY89" s="57">
        <v>10</v>
      </c>
      <c r="BZ89" s="57">
        <v>10</v>
      </c>
      <c r="CA89" s="58">
        <v>10</v>
      </c>
      <c r="CB89" s="58">
        <v>10</v>
      </c>
      <c r="CC89" s="57">
        <v>10</v>
      </c>
      <c r="CD89" s="57">
        <v>10</v>
      </c>
      <c r="CE89" s="57">
        <v>10</v>
      </c>
      <c r="CF89" s="57">
        <v>10</v>
      </c>
      <c r="CG89" s="57">
        <v>10</v>
      </c>
      <c r="CH89" s="58">
        <v>10</v>
      </c>
      <c r="CI89" s="58">
        <v>10</v>
      </c>
      <c r="CJ89" s="57">
        <v>10</v>
      </c>
      <c r="CK89" s="57">
        <v>10</v>
      </c>
      <c r="CL89" s="57">
        <v>10</v>
      </c>
      <c r="CM89" s="57">
        <v>10</v>
      </c>
      <c r="CN89" s="57">
        <v>10</v>
      </c>
      <c r="CO89" s="58">
        <v>10</v>
      </c>
      <c r="CP89" s="58">
        <v>10</v>
      </c>
      <c r="CQ89" s="57">
        <v>10</v>
      </c>
      <c r="CR89" s="57">
        <v>10</v>
      </c>
      <c r="CS89" s="57">
        <v>10</v>
      </c>
      <c r="CT89" s="57">
        <v>10</v>
      </c>
      <c r="CU89" s="57">
        <v>10</v>
      </c>
      <c r="CV89" s="58">
        <v>10</v>
      </c>
      <c r="CW89" s="58">
        <v>10</v>
      </c>
      <c r="CX89" s="57">
        <v>10</v>
      </c>
      <c r="CY89" s="57">
        <v>10</v>
      </c>
      <c r="CZ89" s="57">
        <v>10</v>
      </c>
      <c r="DA89" s="57">
        <v>10</v>
      </c>
      <c r="DB89" s="57">
        <v>10</v>
      </c>
      <c r="DC89" s="58">
        <v>10</v>
      </c>
      <c r="DD89" s="58">
        <v>10</v>
      </c>
      <c r="DE89" s="57">
        <v>10</v>
      </c>
      <c r="DF89" s="57">
        <v>10</v>
      </c>
      <c r="DG89" s="57">
        <v>10</v>
      </c>
      <c r="DH89" s="57">
        <v>10</v>
      </c>
      <c r="DI89" s="57">
        <v>10</v>
      </c>
      <c r="DJ89" s="58">
        <v>10</v>
      </c>
      <c r="DK89" s="58">
        <v>10</v>
      </c>
      <c r="DL89" s="57">
        <v>10</v>
      </c>
      <c r="DM89" s="57">
        <v>10</v>
      </c>
      <c r="DN89" s="57">
        <v>10</v>
      </c>
      <c r="DO89" s="57">
        <v>10</v>
      </c>
      <c r="DP89" s="57">
        <v>10</v>
      </c>
      <c r="DQ89" s="58">
        <v>10</v>
      </c>
      <c r="DR89" s="58">
        <v>10</v>
      </c>
      <c r="DS89" s="57">
        <v>10</v>
      </c>
      <c r="DT89" s="57">
        <v>8</v>
      </c>
      <c r="DU89" s="57">
        <v>8</v>
      </c>
      <c r="DV89" s="57">
        <v>8</v>
      </c>
      <c r="DW89" s="57">
        <v>8</v>
      </c>
      <c r="DX89" s="58">
        <v>0</v>
      </c>
      <c r="DY89" s="58">
        <v>0</v>
      </c>
      <c r="DZ89" s="57">
        <v>8</v>
      </c>
      <c r="EA89" s="57">
        <v>8</v>
      </c>
      <c r="EB89" s="57">
        <v>8</v>
      </c>
      <c r="EC89" s="57">
        <v>8</v>
      </c>
      <c r="ED89" s="57">
        <v>8</v>
      </c>
      <c r="EE89" s="58">
        <v>0</v>
      </c>
      <c r="EF89" s="58">
        <v>0</v>
      </c>
      <c r="EG89" s="57">
        <v>8</v>
      </c>
      <c r="EH89" s="57">
        <v>8</v>
      </c>
      <c r="EI89" s="57">
        <v>8</v>
      </c>
      <c r="EJ89" s="57">
        <v>8</v>
      </c>
      <c r="EK89" s="59">
        <v>8</v>
      </c>
      <c r="OU89" s="60" t="s">
        <v>134</v>
      </c>
    </row>
    <row r="90" ht="16" customHeight="1" spans="1:411" x14ac:dyDescent="0.25">
      <c r="A90" s="45"/>
      <c r="B90" s="78" t="s">
        <v>119</v>
      </c>
      <c r="C90" s="61">
        <f>F87*N(D90)</f>
        <v>127142.4</v>
      </c>
      <c r="D90" s="61">
        <f>IF(TRIM(IF(TRIM(B91)&lt;&gt;"",B91,B87))="","No rate",IFERROR(INDEX('Rate Tables'!C$7:C$158,MATCH(IF(TRIM(B91)&lt;&gt;"",B91,B87),'Rate Tables'!A$7:A$158,0)),"No rate"))</f>
        <v>99.33</v>
      </c>
      <c r="E90" s="55" t="s">
        <v>62</v>
      </c>
      <c r="F90" s="49"/>
      <c r="G90" s="49"/>
      <c r="H90" s="49"/>
      <c r="I90" s="49"/>
      <c r="J90" s="50"/>
      <c r="K90" s="62">
        <f>IF(AND(K88=0,K89=0),0,MIN(IF(K88&lt;=0,0,IF(WEEKDAY(K$6,1)=1,0,IF(WEEKDAY(K$6,1)=7,0,MIN(8,K89)*K88))),MAX(0,40*MAX(1,K88)-(0))))</f>
        <v>0</v>
      </c>
      <c r="L90" s="63">
        <f>IF(AND(L88=0,L89=0),0,MIN(IF(L88&lt;=0,0,IF(WEEKDAY(L$6,1)=1,0,IF(WEEKDAY(L$6,1)=7,0,MIN(8,L89)*L88))),MAX(0,40*MAX(1,L88)-(K90))))</f>
        <v>0</v>
      </c>
      <c r="M90" s="63">
        <f>IF(AND(M88=0,M89=0),0,MIN(IF(M88&lt;=0,0,IF(WEEKDAY(M$6,1)=1,0,IF(WEEKDAY(M$6,1)=7,0,MIN(8,M89)*M88))),MAX(0,40*MAX(1,M88)-(K90+L90))))</f>
        <v>0</v>
      </c>
      <c r="N90" s="63">
        <f>IF(AND(N88=0,N89=0),0,MIN(IF(N88&lt;=0,0,IF(WEEKDAY(N$6,1)=1,0,IF(WEEKDAY(N$6,1)=7,0,MIN(8,N89)*N88))),MAX(0,40*MAX(1,N88)-(K90+L90+M90))))</f>
        <v>0</v>
      </c>
      <c r="O90" s="63">
        <f>IF(AND(O88=0,O89=0),0,MIN(IF(O88&lt;=0,0,IF(WEEKDAY(O$6,1)=1,0,IF(WEEKDAY(O$6,1)=7,0,MIN(8,O89)*O88))),MAX(0,40*MAX(1,O88)-(K90+L90+M90+N90))))</f>
        <v>0</v>
      </c>
      <c r="P90" s="64">
        <f>IF(AND(P88=0,P89=0),0,MIN(IF(P88&lt;=0,0,IF(WEEKDAY(P$6,1)=1,0,IF(WEEKDAY(P$6,1)=7,0,MIN(8,P89)*P88))),MAX(0,40*MAX(1,P88)-(K90+L90+M90+N90+O90))))</f>
        <v>0</v>
      </c>
      <c r="Q90" s="64">
        <f>IF(AND(Q88=0,Q89=0),0,MIN(IF(Q88&lt;=0,0,IF(WEEKDAY(Q$6,1)=1,0,IF(WEEKDAY(Q$6,1)=7,0,MIN(8,Q89)*Q88))),MAX(0,40*MAX(1,Q88)-(K90+L90+M90+N90+O90+P90))))</f>
        <v>0</v>
      </c>
      <c r="R90" s="63">
        <f>IF(AND(R88=0,R89=0),0,MIN(IF(R88&lt;=0,0,IF(WEEKDAY(R$6,1)=1,0,IF(WEEKDAY(R$6,1)=7,0,MIN(8,R89)*R88))),MAX(0,40*MAX(1,R88)-(0))))</f>
        <v>0</v>
      </c>
      <c r="S90" s="63">
        <f>IF(AND(S88=0,S89=0),0,MIN(IF(S88&lt;=0,0,IF(WEEKDAY(S$6,1)=1,0,IF(WEEKDAY(S$6,1)=7,0,MIN(8,S89)*S88))),MAX(0,40*MAX(1,S88)-(R90))))</f>
        <v>0</v>
      </c>
      <c r="T90" s="63">
        <f>IF(AND(T88=0,T89=0),0,MIN(IF(T88&lt;=0,0,IF(WEEKDAY(T$6,1)=1,0,IF(WEEKDAY(T$6,1)=7,0,MIN(8,T89)*T88))),MAX(0,40*MAX(1,T88)-(R90+S90))))</f>
        <v>0</v>
      </c>
      <c r="U90" s="63">
        <f>IF(AND(U88=0,U89=0),0,MIN(IF(U88&lt;=0,0,IF(WEEKDAY(U$6,1)=1,0,IF(WEEKDAY(U$6,1)=7,0,MIN(8,U89)*U88))),MAX(0,40*MAX(1,U88)-(R90+S90+T90))))</f>
        <v>0</v>
      </c>
      <c r="V90" s="63">
        <f>IF(AND(V88=0,V89=0),0,MIN(IF(V88&lt;=0,0,IF(WEEKDAY(V$6,1)=1,0,IF(WEEKDAY(V$6,1)=7,0,MIN(8,V89)*V88))),MAX(0,40*MAX(1,V88)-(R90+S90+T90+U90))))</f>
        <v>0</v>
      </c>
      <c r="W90" s="64">
        <f>IF(AND(W88=0,W89=0),0,MIN(IF(W88&lt;=0,0,IF(WEEKDAY(W$6,1)=1,0,IF(WEEKDAY(W$6,1)=7,0,MIN(8,W89)*W88))),MAX(0,40*MAX(1,W88)-(R90+S90+T90+U90+V90))))</f>
        <v>0</v>
      </c>
      <c r="X90" s="64">
        <f>IF(AND(X88=0,X89=0),0,MIN(IF(X88&lt;=0,0,IF(WEEKDAY(X$6,1)=1,0,IF(WEEKDAY(X$6,1)=7,0,MIN(8,X89)*X88))),MAX(0,40*MAX(1,X88)-(R90+S90+T90+U90+V90+W90))))</f>
        <v>0</v>
      </c>
      <c r="Y90" s="63">
        <f>IF(AND(Y88=0,Y89=0),0,MIN(IF(Y88&lt;=0,0,IF(WEEKDAY(Y$6,1)=1,0,IF(WEEKDAY(Y$6,1)=7,0,MIN(8,Y89)*Y88))),MAX(0,40*MAX(1,Y88)-(0))))</f>
        <v>0</v>
      </c>
      <c r="Z90" s="63">
        <f>IF(AND(Z88=0,Z89=0),0,MIN(IF(Z88&lt;=0,0,IF(WEEKDAY(Z$6,1)=1,0,IF(WEEKDAY(Z$6,1)=7,0,MIN(8,Z89)*Z88))),MAX(0,40*MAX(1,Z88)-(Y90))))</f>
        <v>0</v>
      </c>
      <c r="AA90" s="63">
        <f>IF(AND(AA88=0,AA89=0),0,MIN(IF(AA88&lt;=0,0,IF(WEEKDAY(AA$6,1)=1,0,IF(WEEKDAY(AA$6,1)=7,0,MIN(8,AA89)*AA88))),MAX(0,40*MAX(1,AA88)-(Y90+Z90))))</f>
        <v>0</v>
      </c>
      <c r="AB90" s="63">
        <f>IF(AND(AB88=0,AB89=0),0,MIN(IF(AB88&lt;=0,0,IF(WEEKDAY(AB$6,1)=1,0,IF(WEEKDAY(AB$6,1)=7,0,MIN(8,AB89)*AB88))),MAX(0,40*MAX(1,AB88)-(Y90+Z90+AA90))))</f>
        <v>0</v>
      </c>
      <c r="AC90" s="63">
        <f>IF(AND(AC88=0,AC89=0),0,MIN(IF(AC88&lt;=0,0,IF(WEEKDAY(AC$6,1)=1,0,IF(WEEKDAY(AC$6,1)=7,0,MIN(8,AC89)*AC88))),MAX(0,40*MAX(1,AC88)-(Y90+Z90+AA90+AB90))))</f>
        <v>0</v>
      </c>
      <c r="AD90" s="64">
        <f>IF(AND(AD88=0,AD89=0),0,MIN(IF(AD88&lt;=0,0,IF(WEEKDAY(AD$6,1)=1,0,IF(WEEKDAY(AD$6,1)=7,0,MIN(8,AD89)*AD88))),MAX(0,40*MAX(1,AD88)-(Y90+Z90+AA90+AB90+AC90))))</f>
        <v>0</v>
      </c>
      <c r="AE90" s="64">
        <f>IF(AND(AE88=0,AE89=0),0,MIN(IF(AE88&lt;=0,0,IF(WEEKDAY(AE$6,1)=1,0,IF(WEEKDAY(AE$6,1)=7,0,MIN(8,AE89)*AE88))),MAX(0,40*MAX(1,AE88)-(Y90+Z90+AA90+AB90+AC90+AD90))))</f>
        <v>0</v>
      </c>
      <c r="AF90" s="63">
        <f>IF(AND(AF88=2,AF89=8),16,MIN(IF(AF88&lt;=0,0,IF(WEEKDAY(AF$6,1)=1,0,IF(WEEKDAY(AF$6,1)=7,0,MIN(8,AF89)*AF88))),MAX(0,40*MAX(1,AF88)-(0))))</f>
        <v>16</v>
      </c>
      <c r="AG90" s="63">
        <f>IF(AND(AG88=2,AG89=8),16,MIN(IF(AG88&lt;=0,0,IF(WEEKDAY(AG$6,1)=1,0,IF(WEEKDAY(AG$6,1)=7,0,MIN(8,AG89)*AG88))),MAX(0,40*MAX(1,AG88)-(AF90))))</f>
        <v>16</v>
      </c>
      <c r="AH90" s="63">
        <f>IF(AND(AH88=2,AH89=8),16,MIN(IF(AH88&lt;=0,0,IF(WEEKDAY(AH$6,1)=1,0,IF(WEEKDAY(AH$6,1)=7,0,MIN(8,AH89)*AH88))),MAX(0,40*MAX(1,AH88)-(AF90+AG90))))</f>
        <v>16</v>
      </c>
      <c r="AI90" s="63">
        <f>IF(AND(AI88=2,AI89=8),16,MIN(IF(AI88&lt;=0,0,IF(WEEKDAY(AI$6,1)=1,0,IF(WEEKDAY(AI$6,1)=7,0,MIN(8,AI89)*AI88))),MAX(0,40*MAX(1,AI88)-(AF90+AG90+AH90))))</f>
        <v>16</v>
      </c>
      <c r="AJ90" s="63">
        <f>IF(AND(AJ88=2,AJ89=8),16,MIN(IF(AJ88&lt;=0,0,IF(WEEKDAY(AJ$6,1)=1,0,IF(WEEKDAY(AJ$6,1)=7,0,MIN(8,AJ89)*AJ88))),MAX(0,40*MAX(1,AJ88)-(AF90+AG90+AH90+AI90))))</f>
        <v>16</v>
      </c>
      <c r="AK90" s="64">
        <f>IF(AND(AK88=0,AK89=0),0,MIN(IF(AK88&lt;=0,0,IF(WEEKDAY(AK$6,1)=1,0,IF(WEEKDAY(AK$6,1)=7,0,MIN(8,AK89)*AK88))),MAX(0,40*MAX(1,AK88)-(0))))</f>
        <v>0</v>
      </c>
      <c r="AL90" s="64">
        <f>IF(AND(AL88=0,AL89=0),0,MIN(IF(AL88&lt;=0,0,IF(WEEKDAY(AL$6,1)=1,0,IF(WEEKDAY(AL$6,1)=7,0,MIN(8,AL89)*AL88))),MAX(0,40*MAX(1,AL88)-(AK90))))</f>
        <v>0</v>
      </c>
      <c r="AM90" s="63">
        <f>IF(AND(AM88=2,AM89=8),16,MIN(IF(AM88&lt;=0,0,IF(WEEKDAY(AM$6,1)=1,0,IF(WEEKDAY(AM$6,1)=7,0,MIN(8,AM89)*AM88))),MAX(0,40*MAX(1,AM88)-(0))))</f>
        <v>16</v>
      </c>
      <c r="AN90" s="63">
        <f>IF(AND(AN88=2,AN89=8),16,MIN(IF(AN88&lt;=0,0,IF(WEEKDAY(AN$6,1)=1,0,IF(WEEKDAY(AN$6,1)=7,0,MIN(8,AN89)*AN88))),MAX(0,40*MAX(1,AN88)-(AM90))))</f>
        <v>16</v>
      </c>
      <c r="AO90" s="63">
        <f>IF(AND(AO88=2,AO89=8),16,MIN(IF(AO88&lt;=0,0,IF(WEEKDAY(AO$6,1)=1,0,IF(WEEKDAY(AO$6,1)=7,0,MIN(8,AO89)*AO88))),MAX(0,40*MAX(1,AO88)-(AM90+AN90))))</f>
        <v>16</v>
      </c>
      <c r="AP90" s="63">
        <f>IF(AND(AP88=2,AP89=8),16,MIN(IF(AP88&lt;=0,0,IF(WEEKDAY(AP$6,1)=1,0,IF(WEEKDAY(AP$6,1)=7,0,MIN(8,AP89)*AP88))),MAX(0,40*MAX(1,AP88)-(AM90+AN90+AO90))))</f>
        <v>16</v>
      </c>
      <c r="AQ90" s="63">
        <f>IF(AND(AQ88=2,AQ89=8),16,MIN(IF(AQ88&lt;=0,0,IF(WEEKDAY(AQ$6,1)=1,0,IF(WEEKDAY(AQ$6,1)=7,0,MIN(8,AQ89)*AQ88))),MAX(0,40*MAX(1,AQ88)-(AM90+AN90+AO90+AP90))))</f>
        <v>16</v>
      </c>
      <c r="AR90" s="64">
        <f>IF(AND(AR88=0,AR89=0),0,MIN(IF(AR88&lt;=0,0,IF(WEEKDAY(AR$6,1)=1,0,IF(WEEKDAY(AR$6,1)=7,0,MIN(8,AR89)*AR88))),MAX(0,40*MAX(1,AR88)-(0))))</f>
        <v>0</v>
      </c>
      <c r="AS90" s="64">
        <f>IF(AND(AS88=0,AS89=0),0,MIN(IF(AS88&lt;=0,0,IF(WEEKDAY(AS$6,1)=1,0,IF(WEEKDAY(AS$6,1)=7,0,MIN(8,AS89)*AS88))),MAX(0,40*MAX(1,AS88)-(AR90))))</f>
        <v>0</v>
      </c>
      <c r="AT90" s="63">
        <f>IF(AND(AT88=2,AT89=8),16,MIN(IF(AT88&lt;=0,0,IF(WEEKDAY(AT$6,1)=1,0,IF(WEEKDAY(AT$6,1)=7,0,MIN(8,AT89)*AT88))),MAX(0,40*MAX(1,AT88)-(0))))</f>
        <v>16</v>
      </c>
      <c r="AU90" s="63">
        <f>IF(AND(AU88=2,AU89=8),16,MIN(IF(AU88&lt;=0,0,IF(WEEKDAY(AU$6,1)=1,0,IF(WEEKDAY(AU$6,1)=7,0,MIN(8,AU89)*AU88))),MAX(0,40*MAX(1,AU88)-(AT90))))</f>
        <v>16</v>
      </c>
      <c r="AV90" s="63">
        <f>IF(AND(AV88=2,AV89=8),16,MIN(IF(AV88&lt;=0,0,IF(WEEKDAY(AV$6,1)=1,0,IF(WEEKDAY(AV$6,1)=7,0,MIN(8,AV89)*AV88))),MAX(0,40*MAX(1,AV88)-(AT90+AU90))))</f>
        <v>16</v>
      </c>
      <c r="AW90" s="63">
        <f>IF(AND(AW88=2,AW89=8),16,MIN(IF(AW88&lt;=0,0,IF(WEEKDAY(AW$6,1)=1,0,IF(WEEKDAY(AW$6,1)=7,0,MIN(8,AW89)*AW88))),MAX(0,40*MAX(1,AW88)-(AT90+AU90+AV90))))</f>
        <v>16</v>
      </c>
      <c r="AX90" s="63">
        <f>IF(AND(AX88=2,AX89=8),16,MIN(IF(AX88&lt;=0,0,IF(WEEKDAY(AX$6,1)=1,0,IF(WEEKDAY(AX$6,1)=7,0,MIN(8,AX89)*AX88))),MAX(0,40*MAX(1,AX88)-(AT90+AU90+AV90+AW90))))</f>
        <v>16</v>
      </c>
      <c r="AY90" s="64">
        <f>IF(AND(AY88=0,AY89=0),0,MIN(IF(AY88&lt;=0,0,IF(WEEKDAY(AY$6,1)=1,0,IF(WEEKDAY(AY$6,1)=7,0,MIN(8,AY89)*AY88))),MAX(0,40*MAX(1,AY88)-(0))))</f>
        <v>0</v>
      </c>
      <c r="AZ90" s="64">
        <f>IF(AND(AZ88=0,AZ89=0),0,MIN(IF(AZ88&lt;=0,0,IF(WEEKDAY(AZ$6,1)=1,0,IF(WEEKDAY(AZ$6,1)=7,0,MIN(8,AZ89)*AZ88))),MAX(0,40*MAX(1,AZ88)-(AY90))))</f>
        <v>0</v>
      </c>
      <c r="BA90" s="63">
        <f>IF(AND(BA88=2,BA89=8),16,MIN(IF(BA88&lt;=0,0,IF(WEEKDAY(BA$6,1)=1,0,IF(WEEKDAY(BA$6,1)=7,0,MIN(8,BA89)*BA88))),MAX(0,40*MAX(1,BA88)-(0))))</f>
        <v>16</v>
      </c>
      <c r="BB90" s="63">
        <f>IF(AND(BB88=2,BB89=8),16,MIN(IF(BB88&lt;=0,0,IF(WEEKDAY(BB$6,1)=1,0,IF(WEEKDAY(BB$6,1)=7,0,MIN(8,BB89)*BB88))),MAX(0,40*MAX(1,BB88)-(BA90))))</f>
        <v>16</v>
      </c>
      <c r="BC90" s="63">
        <f>IF(AND(BC88=2,BC89=8),16,MIN(IF(BC88&lt;=0,0,IF(WEEKDAY(BC$6,1)=1,0,IF(WEEKDAY(BC$6,1)=7,0,MIN(8,BC89)*BC88))),MAX(0,40*MAX(1,BC88)-(BA90+BB90))))</f>
        <v>16</v>
      </c>
      <c r="BD90" s="63">
        <f>IF(AND(BD88=2,BD89=8),16,MIN(IF(BD88&lt;=0,0,IF(WEEKDAY(BD$6,1)=1,0,IF(WEEKDAY(BD$6,1)=7,0,MIN(8,BD89)*BD88))),MAX(0,40*MAX(1,BD88)-(BA90+BB90+BC90))))</f>
        <v>16</v>
      </c>
      <c r="BE90" s="63">
        <f>IF(AND(BE88=2,BE89=8),16,MIN(IF(BE88&lt;=0,0,IF(WEEKDAY(BE$6,1)=1,0,IF(WEEKDAY(BE$6,1)=7,0,MIN(8,BE89)*BE88))),MAX(0,40*MAX(1,BE88)-(BA90+BB90+BC90+BD90))))</f>
        <v>16</v>
      </c>
      <c r="BF90" s="64">
        <f>IF(AND(BF88=0,BF89=0),0,MIN(IF(BF88&lt;=0,0,IF(WEEKDAY(BF$6,1)=1,0,IF(WEEKDAY(BF$6,1)=7,0,MIN(8,BF89)*BF88))),MAX(0,40*MAX(1,BF88)-(0))))</f>
        <v>0</v>
      </c>
      <c r="BG90" s="64">
        <f>IF(AND(BG88=0,BG89=0),0,MIN(IF(BG88&lt;=0,0,IF(WEEKDAY(BG$6,1)=1,0,IF(WEEKDAY(BG$6,1)=7,0,MIN(8,BG89)*BG88))),MAX(0,40*MAX(1,BG88)-(BF90))))</f>
        <v>0</v>
      </c>
      <c r="BH90" s="63">
        <f>IF(AND(BH88=2,BH89=10),16,MIN(IF(BH88&lt;=0,0,IF(WEEKDAY(BH$6,1)=1,0,IF(WEEKDAY(BH$6,1)=7,0,MIN(8,BH89)*BH88))),MAX(0,40*MAX(1,BH88)-(0))))</f>
        <v>16</v>
      </c>
      <c r="BI90" s="63">
        <f>IF(AND(BI88=2,BI89=10),16,MIN(IF(BI88&lt;=0,0,IF(WEEKDAY(BI$6,1)=1,0,IF(WEEKDAY(BI$6,1)=7,0,MIN(8,BI89)*BI88))),MAX(0,40*MAX(1,BI88)-(BH90))))</f>
        <v>16</v>
      </c>
      <c r="BJ90" s="63">
        <f>IF(AND(BJ88=2,BJ89=10),16,MIN(IF(BJ88&lt;=0,0,IF(WEEKDAY(BJ$6,1)=1,0,IF(WEEKDAY(BJ$6,1)=7,0,MIN(8,BJ89)*BJ88))),MAX(0,40*MAX(1,BJ88)-(BH90+BI90))))</f>
        <v>16</v>
      </c>
      <c r="BK90" s="63">
        <f>IF(AND(BK88=2,BK89=10),16,MIN(IF(BK88&lt;=0,0,IF(WEEKDAY(BK$6,1)=1,0,IF(WEEKDAY(BK$6,1)=7,0,MIN(8,BK89)*BK88))),MAX(0,40*MAX(1,BK88)-(BH90+BI90+BJ90))))</f>
        <v>16</v>
      </c>
      <c r="BL90" s="63">
        <f>IF(AND(BL88=2,BL89=10),16,MIN(IF(BL88&lt;=0,0,IF(WEEKDAY(BL$6,1)=1,0,IF(WEEKDAY(BL$6,1)=7,0,MIN(8,BL89)*BL88))),MAX(0,40*MAX(1,BL88)-(BH90+BI90+BJ90+BK90))))</f>
        <v>16</v>
      </c>
      <c r="BM90" s="64">
        <f>IF(AND(BM88=2,BM89=10),0,MIN(IF(BM88&lt;=0,0,IF(WEEKDAY(BM$6,1)=1,0,IF(WEEKDAY(BM$6,1)=7,0,MIN(8,BM89)*BM88))),MAX(0,40*MAX(1,BM88)-(BH90+BI90+BJ90+BK90+BL90))))</f>
        <v>0</v>
      </c>
      <c r="BN90" s="64">
        <f>IF(AND(BN88=2,BN89=10),0,MIN(IF(BN88&lt;=0,0,IF(WEEKDAY(BN$6,1)=1,0,IF(WEEKDAY(BN$6,1)=7,0,MIN(8,BN89)*BN88))),MAX(0,40*MAX(1,BN88)-(BH90+BI90+BJ90+BK90+BL90+BM90))))</f>
        <v>0</v>
      </c>
      <c r="BO90" s="63">
        <f>IF(AND(BO88=2,BO89=10),16,MIN(IF(BO88&lt;=0,0,IF(WEEKDAY(BO$6,1)=1,0,IF(WEEKDAY(BO$6,1)=7,0,MIN(8,BO89)*BO88))),MAX(0,40*MAX(1,BO88)-(0))))</f>
        <v>16</v>
      </c>
      <c r="BP90" s="63">
        <f>IF(AND(BP88=2,BP89=10),16,MIN(IF(BP88&lt;=0,0,IF(WEEKDAY(BP$6,1)=1,0,IF(WEEKDAY(BP$6,1)=7,0,MIN(8,BP89)*BP88))),MAX(0,40*MAX(1,BP88)-(BO90))))</f>
        <v>16</v>
      </c>
      <c r="BQ90" s="63">
        <f>IF(AND(BQ88=2,BQ89=10),16,MIN(IF(BQ88&lt;=0,0,IF(WEEKDAY(BQ$6,1)=1,0,IF(WEEKDAY(BQ$6,1)=7,0,MIN(8,BQ89)*BQ88))),MAX(0,40*MAX(1,BQ88)-(BO90+BP90))))</f>
        <v>16</v>
      </c>
      <c r="BR90" s="63">
        <f>IF(AND(BR88=2,BR89=10),16,MIN(IF(BR88&lt;=0,0,IF(WEEKDAY(BR$6,1)=1,0,IF(WEEKDAY(BR$6,1)=7,0,MIN(8,BR89)*BR88))),MAX(0,40*MAX(1,BR88)-(0))))</f>
        <v>16</v>
      </c>
      <c r="BS90" s="63">
        <f>IF(AND(BS88=2,BS89=10),16,MIN(IF(BS88&lt;=0,0,IF(WEEKDAY(BS$6,1)=1,0,IF(WEEKDAY(BS$6,1)=7,0,MIN(8,BS89)*BS88))),MAX(0,40*MAX(1,BS88)-(BR90))))</f>
        <v>16</v>
      </c>
      <c r="BT90" s="64">
        <f>IF(AND(BT88=2,BT89=10),0,MIN(IF(BT88&lt;=0,0,IF(WEEKDAY(BT$6,1)=1,0,IF(WEEKDAY(BT$6,1)=7,0,MIN(8,BT89)*BT88))),MAX(0,40*MAX(1,BT88)-(BR90+BS90))))</f>
        <v>0</v>
      </c>
      <c r="BU90" s="64">
        <f>IF(AND(BU88=2,BU89=10),0,MIN(IF(BU88&lt;=0,0,IF(WEEKDAY(BU$6,1)=1,0,IF(WEEKDAY(BU$6,1)=7,0,MIN(8,BU89)*BU88))),MAX(0,40*MAX(1,BU88)-(BR90+BS90+BT90))))</f>
        <v>0</v>
      </c>
      <c r="BV90" s="63">
        <f>IF(AND(BV88=2,BV89=10),16,MIN(IF(BV88&lt;=0,0,IF(WEEKDAY(BV$6,1)=1,0,IF(WEEKDAY(BV$6,1)=7,0,MIN(8,BV89)*BV88))),MAX(0,40*MAX(1,BV88)-(0))))</f>
        <v>16</v>
      </c>
      <c r="BW90" s="63">
        <f>IF(AND(BW88=2,BW89=10),16,MIN(IF(BW88&lt;=0,0,IF(WEEKDAY(BW$6,1)=1,0,IF(WEEKDAY(BW$6,1)=7,0,MIN(8,BW89)*BW88))),MAX(0,40*MAX(1,BW88)-(BV90))))</f>
        <v>16</v>
      </c>
      <c r="BX90" s="63">
        <f>IF(AND(BX88=2,BX89=10),16,MIN(IF(BX88&lt;=0,0,IF(WEEKDAY(BX$6,1)=1,0,IF(WEEKDAY(BX$6,1)=7,0,MIN(8,BX89)*BX88))),MAX(0,40*MAX(1,BX88)-(BV90+BW90))))</f>
        <v>16</v>
      </c>
      <c r="BY90" s="63">
        <f>IF(AND(BY88=2,BY89=10),16,MIN(IF(BY88&lt;=0,0,IF(WEEKDAY(BY$6,1)=1,0,IF(WEEKDAY(BY$6,1)=7,0,MIN(8,BY89)*BY88))),MAX(0,40*MAX(1,BY88)-(BV90+BW90+BX90))))</f>
        <v>16</v>
      </c>
      <c r="BZ90" s="63">
        <f>IF(AND(BZ88=2,BZ89=10),16,MIN(IF(BZ88&lt;=0,0,IF(WEEKDAY(BZ$6,1)=1,0,IF(WEEKDAY(BZ$6,1)=7,0,MIN(8,BZ89)*BZ88))),MAX(0,40*MAX(1,BZ88)-(BV90+BW90+BX90+BY90))))</f>
        <v>16</v>
      </c>
      <c r="CA90" s="64">
        <f>IF(AND(CA88=2,CA89=10),0,MIN(IF(CA88&lt;=0,0,IF(WEEKDAY(CA$6,1)=1,0,IF(WEEKDAY(CA$6,1)=7,0,MIN(8,CA89)*CA88))),MAX(0,40*MAX(1,CA88)-(BV90+BW90+BX90+BY90+BZ90))))</f>
        <v>0</v>
      </c>
      <c r="CB90" s="64">
        <f>IF(AND(CB88=2,CB89=10),0,MIN(IF(CB88&lt;=0,0,IF(WEEKDAY(CB$6,1)=1,0,IF(WEEKDAY(CB$6,1)=7,0,MIN(8,CB89)*CB88))),MAX(0,40*MAX(1,CB88)-(BV90+BW90+BX90+BY90+BZ90+CA90))))</f>
        <v>0</v>
      </c>
      <c r="CC90" s="63">
        <f>IF(AND(CC88=2,CC89=10),16,MIN(IF(CC88&lt;=0,0,IF(WEEKDAY(CC$6,1)=1,0,IF(WEEKDAY(CC$6,1)=7,0,MIN(8,CC89)*CC88))),MAX(0,40*MAX(1,CC88)-(0))))</f>
        <v>16</v>
      </c>
      <c r="CD90" s="63">
        <f>IF(AND(CD88=2,CD89=10),16,MIN(IF(CD88&lt;=0,0,IF(WEEKDAY(CD$6,1)=1,0,IF(WEEKDAY(CD$6,1)=7,0,MIN(8,CD89)*CD88))),MAX(0,40*MAX(1,CD88)-(CC90))))</f>
        <v>16</v>
      </c>
      <c r="CE90" s="63">
        <f>IF(AND(CE88=2,CE89=10),16,MIN(IF(CE88&lt;=0,0,IF(WEEKDAY(CE$6,1)=1,0,IF(WEEKDAY(CE$6,1)=7,0,MIN(8,CE89)*CE88))),MAX(0,40*MAX(1,CE88)-(CC90+CD90))))</f>
        <v>16</v>
      </c>
      <c r="CF90" s="63">
        <f>IF(AND(CF88=2,CF89=10),16,MIN(IF(CF88&lt;=0,0,IF(WEEKDAY(CF$6,1)=1,0,IF(WEEKDAY(CF$6,1)=7,0,MIN(8,CF89)*CF88))),MAX(0,40*MAX(1,CF88)-(CC90+CD90+CE90))))</f>
        <v>16</v>
      </c>
      <c r="CG90" s="63">
        <f>IF(AND(CG88=2,CG89=10),16,MIN(IF(CG88&lt;=0,0,IF(WEEKDAY(CG$6,1)=1,0,IF(WEEKDAY(CG$6,1)=7,0,MIN(8,CG89)*CG88))),MAX(0,40*MAX(1,CG88)-(CC90+CD90+CE90+CF90))))</f>
        <v>16</v>
      </c>
      <c r="CH90" s="64">
        <f>IF(AND(CH88=2,CH89=10),0,MIN(IF(CH88&lt;=0,0,IF(WEEKDAY(CH$6,1)=1,0,IF(WEEKDAY(CH$6,1)=7,0,MIN(8,CH89)*CH88))),MAX(0,40*MAX(1,CH88)-(CC90+CD90+CE90+CF90+CG90))))</f>
        <v>0</v>
      </c>
      <c r="CI90" s="64">
        <f>IF(AND(CI88=2,CI89=10),0,MIN(IF(CI88&lt;=0,0,IF(WEEKDAY(CI$6,1)=1,0,IF(WEEKDAY(CI$6,1)=7,0,MIN(8,CI89)*CI88))),MAX(0,40*MAX(1,CI88)-(CC90+CD90+CE90+CF90+CG90+CH90))))</f>
        <v>0</v>
      </c>
      <c r="CJ90" s="63">
        <f>IF(AND(CJ88=2,CJ89=10),16,MIN(IF(CJ88&lt;=0,0,IF(WEEKDAY(CJ$6,1)=1,0,IF(WEEKDAY(CJ$6,1)=7,0,MIN(8,CJ89)*CJ88))),MAX(0,40*MAX(1,CJ88)-(0))))</f>
        <v>16</v>
      </c>
      <c r="CK90" s="63">
        <f>IF(AND(CK88=2,CK89=10),16,MIN(IF(CK88&lt;=0,0,IF(WEEKDAY(CK$6,1)=1,0,IF(WEEKDAY(CK$6,1)=7,0,MIN(8,CK89)*CK88))),MAX(0,40*MAX(1,CK88)-(CJ90))))</f>
        <v>16</v>
      </c>
      <c r="CL90" s="63">
        <f>IF(AND(CL88=2,CL89=10),16,MIN(IF(CL88&lt;=0,0,IF(WEEKDAY(CL$6,1)=1,0,IF(WEEKDAY(CL$6,1)=7,0,MIN(8,CL89)*CL88))),MAX(0,40*MAX(1,CL88)-(CJ90+CK90))))</f>
        <v>16</v>
      </c>
      <c r="CM90" s="63">
        <f>IF(AND(CM88=2,CM89=10),16,MIN(IF(CM88&lt;=0,0,IF(WEEKDAY(CM$6,1)=1,0,IF(WEEKDAY(CM$6,1)=7,0,MIN(8,CM89)*CM88))),MAX(0,40*MAX(1,CM88)-(CJ90+CK90+CL90))))</f>
        <v>16</v>
      </c>
      <c r="CN90" s="63">
        <f>IF(AND(CN88=2,CN89=10),16,MIN(IF(CN88&lt;=0,0,IF(WEEKDAY(CN$6,1)=1,0,IF(WEEKDAY(CN$6,1)=7,0,MIN(8,CN89)*CN88))),MAX(0,40*MAX(1,CN88)-(CJ90+CK90+CL90+CM90))))</f>
        <v>16</v>
      </c>
      <c r="CO90" s="64">
        <f>IF(AND(CO88=2,CO89=10),0,MIN(IF(CO88&lt;=0,0,IF(WEEKDAY(CO$6,1)=1,0,IF(WEEKDAY(CO$6,1)=7,0,MIN(8,CO89)*CO88))),MAX(0,40*MAX(1,CO88)-(CJ90+CK90+CL90+CM90+CN90))))</f>
        <v>0</v>
      </c>
      <c r="CP90" s="64">
        <f>IF(AND(CP88=2,CP89=10),0,MIN(IF(CP88&lt;=0,0,IF(WEEKDAY(CP$6,1)=1,0,IF(WEEKDAY(CP$6,1)=7,0,MIN(8,CP89)*CP88))),MAX(0,40*MAX(1,CP88)-(CJ90+CK90+CL90+CM90+CN90+CO90))))</f>
        <v>0</v>
      </c>
      <c r="CQ90" s="63">
        <f>IF(AND(CQ88=2,CQ89=10),16,MIN(IF(CQ88&lt;=0,0,IF(WEEKDAY(CQ$6,1)=1,0,IF(WEEKDAY(CQ$6,1)=7,0,MIN(8,CQ89)*CQ88))),MAX(0,40*MAX(1,CQ88)-(0))))</f>
        <v>16</v>
      </c>
      <c r="CR90" s="63">
        <f>IF(AND(CR88=2,CR89=10),16,MIN(IF(CR88&lt;=0,0,IF(WEEKDAY(CR$6,1)=1,0,IF(WEEKDAY(CR$6,1)=7,0,MIN(8,CR89)*CR88))),MAX(0,40*MAX(1,CR88)-(CQ90))))</f>
        <v>16</v>
      </c>
      <c r="CS90" s="63">
        <f>IF(AND(CS88=2,CS89=10),16,MIN(IF(CS88&lt;=0,0,IF(WEEKDAY(CS$6,1)=1,0,IF(WEEKDAY(CS$6,1)=7,0,MIN(8,CS89)*CS88))),MAX(0,40*MAX(1,CS88)-(CQ90+CR90))))</f>
        <v>16</v>
      </c>
      <c r="CT90" s="63">
        <f>IF(AND(CT88=2,CT89=10),16,MIN(IF(CT88&lt;=0,0,IF(WEEKDAY(CT$6,1)=1,0,IF(WEEKDAY(CT$6,1)=7,0,MIN(8,CT89)*CT88))),MAX(0,40*MAX(1,CT88)-(CQ90+CR90+CS90))))</f>
        <v>16</v>
      </c>
      <c r="CU90" s="63">
        <f>IF(AND(CU88=2,CU89=10),16,MIN(IF(CU88&lt;=0,0,IF(WEEKDAY(CU$6,1)=1,0,IF(WEEKDAY(CU$6,1)=7,0,MIN(8,CU89)*CU88))),MAX(0,40*MAX(1,CU88)-(CQ90+CR90+CS90+CT90))))</f>
        <v>16</v>
      </c>
      <c r="CV90" s="64">
        <f>IF(AND(CV88=2,CV89=10),0,MIN(IF(CV88&lt;=0,0,IF(WEEKDAY(CV$6,1)=1,0,IF(WEEKDAY(CV$6,1)=7,0,MIN(8,CV89)*CV88))),MAX(0,40*MAX(1,CV88)-(CQ90+CR90+CS90+CT90+CU90))))</f>
        <v>0</v>
      </c>
      <c r="CW90" s="64">
        <f>IF(AND(CW88=2,CW89=10),0,MIN(IF(CW88&lt;=0,0,IF(WEEKDAY(CW$6,1)=1,0,IF(WEEKDAY(CW$6,1)=7,0,MIN(8,CW89)*CW88))),MAX(0,40*MAX(1,CW88)-(CQ90+CR90+CS90+CT90+CU90+CV90))))</f>
        <v>0</v>
      </c>
      <c r="CX90" s="63">
        <f>IF(AND(CX88=2,CX89=10),16,MIN(IF(CX88&lt;=0,0,IF(WEEKDAY(CX$6,1)=1,0,IF(WEEKDAY(CX$6,1)=7,0,MIN(8,CX89)*CX88))),MAX(0,40*MAX(1,CX88)-(0))))</f>
        <v>16</v>
      </c>
      <c r="CY90" s="63">
        <f>IF(AND(CY88=2,CY89=10),16,MIN(IF(CY88&lt;=0,0,IF(WEEKDAY(CY$6,1)=1,0,IF(WEEKDAY(CY$6,1)=7,0,MIN(8,CY89)*CY88))),MAX(0,40*MAX(1,CY88)-(CX90))))</f>
        <v>16</v>
      </c>
      <c r="CZ90" s="63">
        <f>IF(AND(CZ88=2,CZ89=10),16,MIN(IF(CZ88&lt;=0,0,IF(WEEKDAY(CZ$6,1)=1,0,IF(WEEKDAY(CZ$6,1)=7,0,MIN(8,CZ89)*CZ88))),MAX(0,40*MAX(1,CZ88)-(CX90+CY90))))</f>
        <v>16</v>
      </c>
      <c r="DA90" s="63">
        <f>IF(AND(DA88=2,DA89=10),16,MIN(IF(DA88&lt;=0,0,IF(WEEKDAY(DA$6,1)=1,0,IF(WEEKDAY(DA$6,1)=7,0,MIN(8,DA89)*DA88))),MAX(0,40*MAX(1,DA88)-(CX90+CY90+CZ90))))</f>
        <v>16</v>
      </c>
      <c r="DB90" s="63">
        <f>IF(AND(DB88=2,DB89=10),16,MIN(IF(DB88&lt;=0,0,IF(WEEKDAY(DB$6,1)=1,0,IF(WEEKDAY(DB$6,1)=7,0,MIN(8,DB89)*DB88))),MAX(0,40*MAX(1,DB88)-(CX90+CY90+CZ90+DA90))))</f>
        <v>16</v>
      </c>
      <c r="DC90" s="64">
        <f>IF(AND(DC88=2,DC89=10),0,MIN(IF(DC88&lt;=0,0,IF(WEEKDAY(DC$6,1)=1,0,IF(WEEKDAY(DC$6,1)=7,0,MIN(8,DC89)*DC88))),MAX(0,40*MAX(1,DC88)-(CX90+CY90+CZ90+DA90+DB90))))</f>
        <v>0</v>
      </c>
      <c r="DD90" s="64">
        <f>IF(AND(DD88=2,DD89=10),0,MIN(IF(DD88&lt;=0,0,IF(WEEKDAY(DD$6,1)=1,0,IF(WEEKDAY(DD$6,1)=7,0,MIN(8,DD89)*DD88))),MAX(0,40*MAX(1,DD88)-(0))))</f>
        <v>0</v>
      </c>
      <c r="DE90" s="63">
        <f>IF(AND(DE88=2,DE89=10),16,MIN(IF(DE88&lt;=0,0,IF(WEEKDAY(DE$6,1)=1,0,IF(WEEKDAY(DE$6,1)=7,0,MIN(8,DE89)*DE88))),MAX(0,40*MAX(1,DE88)-(0))))</f>
        <v>16</v>
      </c>
      <c r="DF90" s="63">
        <f>IF(AND(DF88=2,DF89=10),16,MIN(IF(DF88&lt;=0,0,IF(WEEKDAY(DF$6,1)=1,0,IF(WEEKDAY(DF$6,1)=7,0,MIN(8,DF89)*DF88))),MAX(0,40*MAX(1,DF88)-(DE90))))</f>
        <v>16</v>
      </c>
      <c r="DG90" s="63">
        <f>IF(AND(DG88=2,DG89=10),16,MIN(IF(DG88&lt;=0,0,IF(WEEKDAY(DG$6,1)=1,0,IF(WEEKDAY(DG$6,1)=7,0,MIN(8,DG89)*DG88))),MAX(0,40*MAX(1,DG88)-(DE90+DF90))))</f>
        <v>16</v>
      </c>
      <c r="DH90" s="63">
        <f>IF(AND(DH88=2,DH89=10),16,MIN(IF(DH88&lt;=0,0,IF(WEEKDAY(DH$6,1)=1,0,IF(WEEKDAY(DH$6,1)=7,0,MIN(8,DH89)*DH88))),MAX(0,40*MAX(1,DH88)-(DE90+DF90+DG90))))</f>
        <v>16</v>
      </c>
      <c r="DI90" s="63">
        <f>IF(AND(DI88=2,DI89=10),16,MIN(IF(DI88&lt;=0,0,IF(WEEKDAY(DI$6,1)=1,0,IF(WEEKDAY(DI$6,1)=7,0,MIN(8,DI89)*DI88))),MAX(0,40*MAX(1,DI88)-(DE90+DF90+DG90+DH90))))</f>
        <v>16</v>
      </c>
      <c r="DJ90" s="64">
        <f>IF(AND(DJ88=2,DJ89=10),0,MIN(IF(DJ88&lt;=0,0,IF(WEEKDAY(DJ$6,1)=1,0,IF(WEEKDAY(DJ$6,1)=7,0,MIN(8,DJ89)*DJ88))),MAX(0,40*MAX(1,DJ88)-(DE90+DF90+DG90+DH90+DI90))))</f>
        <v>0</v>
      </c>
      <c r="DK90" s="64">
        <f>IF(AND(DK88=2,DK89=10),0,MIN(IF(DK88&lt;=0,0,IF(WEEKDAY(DK$6,1)=1,0,IF(WEEKDAY(DK$6,1)=7,0,MIN(8,DK89)*DK88))),MAX(0,40*MAX(1,DK88)-(DE90+DF90+DG90+DH90+DI90+DJ90))))</f>
        <v>0</v>
      </c>
      <c r="DL90" s="63">
        <f>IF(AND(DL88=2,DL89=10),16,MIN(IF(DL88&lt;=0,0,IF(WEEKDAY(DL$6,1)=1,0,IF(WEEKDAY(DL$6,1)=7,0,MIN(8,DL89)*DL88))),MAX(0,40*MAX(1,DL88)-(0))))</f>
        <v>16</v>
      </c>
      <c r="DM90" s="63">
        <f>IF(AND(DM88=2,DM89=10),16,MIN(IF(DM88&lt;=0,0,IF(WEEKDAY(DM$6,1)=1,0,IF(WEEKDAY(DM$6,1)=7,0,MIN(8,DM89)*DM88))),MAX(0,40*MAX(1,DM88)-(DL90))))</f>
        <v>16</v>
      </c>
      <c r="DN90" s="63">
        <f>IF(AND(DN88=2,DN89=10),16,MIN(IF(DN88&lt;=0,0,IF(WEEKDAY(DN$6,1)=1,0,IF(WEEKDAY(DN$6,1)=7,0,MIN(8,DN89)*DN88))),MAX(0,40*MAX(1,DN88)-(DL90+DM90))))</f>
        <v>16</v>
      </c>
      <c r="DO90" s="63">
        <f>IF(AND(DO88=2,DO89=10),16,MIN(IF(DO88&lt;=0,0,IF(WEEKDAY(DO$6,1)=1,0,IF(WEEKDAY(DO$6,1)=7,0,MIN(8,DO89)*DO88))),MAX(0,40*MAX(1,DO88)-(DL90+DM90+DN90))))</f>
        <v>16</v>
      </c>
      <c r="DP90" s="63">
        <f>IF(AND(DP88=2,DP89=10),16,MIN(IF(DP88&lt;=0,0,IF(WEEKDAY(DP$6,1)=1,0,IF(WEEKDAY(DP$6,1)=7,0,MIN(8,DP89)*DP88))),MAX(0,40*MAX(1,DP88)-(DL90+DM90+DN90+DO90))))</f>
        <v>16</v>
      </c>
      <c r="DQ90" s="64">
        <f>IF(AND(DQ88=2,DQ89=10),0,MIN(IF(DQ88&lt;=0,0,IF(WEEKDAY(DQ$6,1)=1,0,IF(WEEKDAY(DQ$6,1)=7,0,MIN(8,DQ89)*DQ88))),MAX(0,40*MAX(1,DQ88)-(DL90+DM90+DN90+DO90+DP90))))</f>
        <v>0</v>
      </c>
      <c r="DR90" s="64">
        <f>IF(AND(DR88=2,DR89=10),0,MIN(IF(DR88&lt;=0,0,IF(WEEKDAY(DR$6,1)=1,0,IF(WEEKDAY(DR$6,1)=7,0,MIN(8,DR89)*DR88))),MAX(0,40*MAX(1,DR88)-(DL90+DM90+DN90+DO90+DP90+DQ90))))</f>
        <v>0</v>
      </c>
      <c r="DS90" s="63">
        <f>IF(AND(DS88=2,DS89=10),16,MIN(IF(DS88&lt;=0,0,IF(WEEKDAY(DS$6,1)=1,0,IF(WEEKDAY(DS$6,1)=7,0,MIN(8,DS89)*DS88))),MAX(0,40*MAX(1,DS88)-(0))))</f>
        <v>16</v>
      </c>
      <c r="DT90" s="63">
        <f>IF(AND(DT88=2,DT89=8),16,MIN(IF(DT88&lt;=0,0,IF(WEEKDAY(DT$6,1)=1,0,IF(WEEKDAY(DT$6,1)=7,0,MIN(8,DT89)*DT88))),MAX(0,40*MAX(1,DT88)-(0))))</f>
        <v>16</v>
      </c>
      <c r="DU90" s="63">
        <f>IF(AND(DU88=2,DU89=8),16,MIN(IF(DU88&lt;=0,0,IF(WEEKDAY(DU$6,1)=1,0,IF(WEEKDAY(DU$6,1)=7,0,MIN(8,DU89)*DU88))),MAX(0,40*MAX(1,DU88)-(DT90))))</f>
        <v>16</v>
      </c>
      <c r="DV90" s="63">
        <f>IF(AND(DV88=2,DV89=8),16,MIN(IF(DV88&lt;=0,0,IF(WEEKDAY(DV$6,1)=1,0,IF(WEEKDAY(DV$6,1)=7,0,MIN(8,DV89)*DV88))),MAX(0,40*MAX(1,DV88)-(DT90+DU90))))</f>
        <v>16</v>
      </c>
      <c r="DW90" s="63">
        <f>IF(AND(DW88=2,DW89=8),16,MIN(IF(DW88&lt;=0,0,IF(WEEKDAY(DW$6,1)=1,0,IF(WEEKDAY(DW$6,1)=7,0,MIN(8,DW89)*DW88))),MAX(0,40*MAX(1,DW88)-(DT90+DU90+DV90))))</f>
        <v>16</v>
      </c>
      <c r="DX90" s="64">
        <f>IF(AND(DX88=0,DX89=0),0,MIN(IF(DX88&lt;=0,0,IF(WEEKDAY(DX$6,1)=1,0,IF(WEEKDAY(DX$6,1)=7,0,MIN(8,DX89)*DX88))),MAX(0,40*MAX(1,DX88)-(0))))</f>
        <v>0</v>
      </c>
      <c r="DY90" s="64">
        <f>IF(AND(DY88=0,DY89=0),0,MIN(IF(DY88&lt;=0,0,IF(WEEKDAY(DY$6,1)=1,0,IF(WEEKDAY(DY$6,1)=7,0,MIN(8,DY89)*DY88))),MAX(0,40*MAX(1,DY88)-(DX90))))</f>
        <v>0</v>
      </c>
      <c r="DZ90" s="63">
        <f>IF(AND(DZ88=2,DZ89=8),16,MIN(IF(DZ88&lt;=0,0,IF(WEEKDAY(DZ$6,1)=1,0,IF(WEEKDAY(DZ$6,1)=7,0,MIN(8,DZ89)*DZ88))),MAX(0,40*MAX(1,DZ88)-(0))))</f>
        <v>16</v>
      </c>
      <c r="EA90" s="63">
        <f>IF(AND(EA88=2,EA89=8),16,MIN(IF(EA88&lt;=0,0,IF(WEEKDAY(EA$6,1)=1,0,IF(WEEKDAY(EA$6,1)=7,0,MIN(8,EA89)*EA88))),MAX(0,40*MAX(1,EA88)-(DZ90))))</f>
        <v>16</v>
      </c>
      <c r="EB90" s="63">
        <f>IF(AND(EB88=2,EB89=8),16,MIN(IF(EB88&lt;=0,0,IF(WEEKDAY(EB$6,1)=1,0,IF(WEEKDAY(EB$6,1)=7,0,MIN(8,EB89)*EB88))),MAX(0,40*MAX(1,EB88)-(DZ90+EA90))))</f>
        <v>16</v>
      </c>
      <c r="EC90" s="63">
        <f>IF(AND(EC88=2,EC89=8),16,MIN(IF(EC88&lt;=0,0,IF(WEEKDAY(EC$6,1)=1,0,IF(WEEKDAY(EC$6,1)=7,0,MIN(8,EC89)*EC88))),MAX(0,40*MAX(1,EC88)-(DZ90+EA90+EB90))))</f>
        <v>16</v>
      </c>
      <c r="ED90" s="63">
        <f>IF(AND(ED88=2,ED89=8),16,MIN(IF(ED88&lt;=0,0,IF(WEEKDAY(ED$6,1)=1,0,IF(WEEKDAY(ED$6,1)=7,0,MIN(8,ED89)*ED88))),MAX(0,40*MAX(1,ED88)-(DZ90+EA90+EB90+EC90))))</f>
        <v>16</v>
      </c>
      <c r="EE90" s="64">
        <f>IF(AND(EE88=0,EE89=0),0,MIN(IF(EE88&lt;=0,0,IF(WEEKDAY(EE$6,1)=1,0,IF(WEEKDAY(EE$6,1)=7,0,MIN(8,EE89)*EE88))),MAX(0,40*MAX(1,EE88)-(0))))</f>
        <v>0</v>
      </c>
      <c r="EF90" s="64">
        <f>IF(AND(EF88=0,EF89=0),0,MIN(IF(EF88&lt;=0,0,IF(WEEKDAY(EF$6,1)=1,0,IF(WEEKDAY(EF$6,1)=7,0,MIN(8,EF89)*EF88))),MAX(0,40*MAX(1,EF88)-(EE90))))</f>
        <v>0</v>
      </c>
      <c r="EG90" s="63">
        <f>IF(AND(EG88=2,EG89=8),16,MIN(IF(EG88&lt;=0,0,IF(WEEKDAY(EG$6,1)=1,0,IF(WEEKDAY(EG$6,1)=7,0,MIN(8,EG89)*EG88))),MAX(0,40*MAX(1,EG88)-(0))))</f>
        <v>16</v>
      </c>
      <c r="EH90" s="63">
        <f>IF(AND(EH88=2,EH89=8),16,MIN(IF(EH88&lt;=0,0,IF(WEEKDAY(EH$6,1)=1,0,IF(WEEKDAY(EH$6,1)=7,0,MIN(8,EH89)*EH88))),MAX(0,40*MAX(1,EH88)-(EG90))))</f>
        <v>16</v>
      </c>
      <c r="EI90" s="63">
        <f>IF(AND(EI88=2,EI89=8),16,MIN(IF(EI88&lt;=0,0,IF(WEEKDAY(EI$6,1)=1,0,IF(WEEKDAY(EI$6,1)=7,0,MIN(8,EI89)*EI88))),MAX(0,40*MAX(1,EI88)-(EG90+EH90))))</f>
        <v>16</v>
      </c>
      <c r="EJ90" s="63">
        <f>IF(AND(EJ88=2,EJ89=8),16,MIN(IF(EJ88&lt;=0,0,IF(WEEKDAY(EJ$6,1)=1,0,IF(WEEKDAY(EJ$6,1)=7,0,MIN(8,EJ89)*EJ88))),MAX(0,40*MAX(1,EJ88)-(EG90+EH90+EI90))))</f>
        <v>16</v>
      </c>
      <c r="EK90" s="65">
        <f>IF(AND(EK88=2,EK89=8),16,MIN(IF(EK88&lt;=0,0,IF(WEEKDAY(EK$6,1)=1,0,IF(WEEKDAY(EK$6,1)=7,0,MIN(8,EK89)*EK88))),MAX(0,40*MAX(1,EK88)-(EG90+EH90+EI90+EJ90))))</f>
        <v>16</v>
      </c>
      <c r="OU90" s="28" t="s">
        <v>134</v>
      </c>
    </row>
    <row r="91" ht="16" customHeight="1" spans="1:411" x14ac:dyDescent="0.25">
      <c r="A91" s="45"/>
      <c r="B91" s="79" t="s">
        <v>114</v>
      </c>
      <c r="C91" s="66">
        <f>G87*N(D91)</f>
        <v>50483.159999999996</v>
      </c>
      <c r="D91" s="66">
        <f>IF(TRIM(IF(TRIM(B91)&lt;&gt;"",B91,B87))="","No rate",IFERROR(INDEX('Rate Tables'!D$7:D$158,MATCH(IF(TRIM(B91)&lt;&gt;"",B91,B87),'Rate Tables'!A$7:A$158,0)),"No rate"))</f>
        <v>138.69</v>
      </c>
      <c r="E91" s="55" t="s">
        <v>63</v>
      </c>
      <c r="F91" s="49"/>
      <c r="G91" s="49"/>
      <c r="H91" s="49"/>
      <c r="I91" s="49"/>
      <c r="J91" s="50"/>
      <c r="K91" s="62">
        <f>IF(AND(K88=0,K89=0),0,IF(K88&lt;=0,0,IF(WEEKDAY(K$6,1)=1,0,IF(WEEKDAY(K$6,1)=7,K88*K89,MAX(0,K89-8)*K88)))+((IF(K88&lt;=0,0,IF(WEEKDAY(K$6,1)=1,0,IF(WEEKDAY(K$6,1)=7,0,MIN(8,K89)*K88))))-MIN(IF(K88&lt;=0,0,IF(WEEKDAY(K$6,1)=1,0,IF(WEEKDAY(K$6,1)=7,0,MIN(8,K89)*K88))),MAX(0,40*MAX(1,K88)-(0)))))</f>
        <v>0</v>
      </c>
      <c r="L91" s="63">
        <f>IF(AND(L88=0,L89=0),0,IF(L88&lt;=0,0,IF(WEEKDAY(L$6,1)=1,0,IF(WEEKDAY(L$6,1)=7,L88*L89,MAX(0,L89-8)*L88)))+((IF(L88&lt;=0,0,IF(WEEKDAY(L$6,1)=1,0,IF(WEEKDAY(L$6,1)=7,0,MIN(8,L89)*L88))))-MIN(IF(L88&lt;=0,0,IF(WEEKDAY(L$6,1)=1,0,IF(WEEKDAY(L$6,1)=7,0,MIN(8,L89)*L88))),MAX(0,40*MAX(1,L88)-(K90)))))</f>
        <v>0</v>
      </c>
      <c r="M91" s="63">
        <f>IF(AND(M88=0,M89=0),0,IF(M88&lt;=0,0,IF(WEEKDAY(M$6,1)=1,0,IF(WEEKDAY(M$6,1)=7,M88*M89,MAX(0,M89-8)*M88)))+((IF(M88&lt;=0,0,IF(WEEKDAY(M$6,1)=1,0,IF(WEEKDAY(M$6,1)=7,0,MIN(8,M89)*M88))))-MIN(IF(M88&lt;=0,0,IF(WEEKDAY(M$6,1)=1,0,IF(WEEKDAY(M$6,1)=7,0,MIN(8,M89)*M88))),MAX(0,40*MAX(1,M88)-(K90+L90)))))</f>
        <v>0</v>
      </c>
      <c r="N91" s="63">
        <f>IF(AND(N88=0,N89=0),0,IF(N88&lt;=0,0,IF(WEEKDAY(N$6,1)=1,0,IF(WEEKDAY(N$6,1)=7,N88*N89,MAX(0,N89-8)*N88)))+((IF(N88&lt;=0,0,IF(WEEKDAY(N$6,1)=1,0,IF(WEEKDAY(N$6,1)=7,0,MIN(8,N89)*N88))))-MIN(IF(N88&lt;=0,0,IF(WEEKDAY(N$6,1)=1,0,IF(WEEKDAY(N$6,1)=7,0,MIN(8,N89)*N88))),MAX(0,40*MAX(1,N88)-(K90+L90+M90)))))</f>
        <v>0</v>
      </c>
      <c r="O91" s="63">
        <f>IF(AND(O88=0,O89=0),0,IF(O88&lt;=0,0,IF(WEEKDAY(O$6,1)=1,0,IF(WEEKDAY(O$6,1)=7,O88*O89,MAX(0,O89-8)*O88)))+((IF(O88&lt;=0,0,IF(WEEKDAY(O$6,1)=1,0,IF(WEEKDAY(O$6,1)=7,0,MIN(8,O89)*O88))))-MIN(IF(O88&lt;=0,0,IF(WEEKDAY(O$6,1)=1,0,IF(WEEKDAY(O$6,1)=7,0,MIN(8,O89)*O88))),MAX(0,40*MAX(1,O88)-(K90+L90+M90+N90)))))</f>
        <v>0</v>
      </c>
      <c r="P91" s="64">
        <f>IF(AND(P88=0,P89=0),0,IF(P88&lt;=0,0,IF(WEEKDAY(P$6,1)=1,0,IF(WEEKDAY(P$6,1)=7,P88*P89,MAX(0,P89-8)*P88)))+((IF(P88&lt;=0,0,IF(WEEKDAY(P$6,1)=1,0,IF(WEEKDAY(P$6,1)=7,0,MIN(8,P89)*P88))))-MIN(IF(P88&lt;=0,0,IF(WEEKDAY(P$6,1)=1,0,IF(WEEKDAY(P$6,1)=7,0,MIN(8,P89)*P88))),MAX(0,40*MAX(1,P88)-(K90+L90+M90+N90+O90)))))</f>
        <v>0</v>
      </c>
      <c r="Q91" s="64">
        <f>IF(AND(Q88=0,Q89=0),0,IF(Q88&lt;=0,0,IF(WEEKDAY(Q$6,1)=1,0,IF(WEEKDAY(Q$6,1)=7,Q88*Q89,MAX(0,Q89-8)*Q88)))+((IF(Q88&lt;=0,0,IF(WEEKDAY(Q$6,1)=1,0,IF(WEEKDAY(Q$6,1)=7,0,MIN(8,Q89)*Q88))))-MIN(IF(Q88&lt;=0,0,IF(WEEKDAY(Q$6,1)=1,0,IF(WEEKDAY(Q$6,1)=7,0,MIN(8,Q89)*Q88))),MAX(0,40*MAX(1,Q88)-(K90+L90+M90+N90+O90+P90)))))</f>
        <v>0</v>
      </c>
      <c r="R91" s="63">
        <f>IF(AND(R88=0,R89=0),0,IF(R88&lt;=0,0,IF(WEEKDAY(R$6,1)=1,0,IF(WEEKDAY(R$6,1)=7,R88*R89,MAX(0,R89-8)*R88)))+((IF(R88&lt;=0,0,IF(WEEKDAY(R$6,1)=1,0,IF(WEEKDAY(R$6,1)=7,0,MIN(8,R89)*R88))))-MIN(IF(R88&lt;=0,0,IF(WEEKDAY(R$6,1)=1,0,IF(WEEKDAY(R$6,1)=7,0,MIN(8,R89)*R88))),MAX(0,40*MAX(1,R88)-(0)))))</f>
        <v>0</v>
      </c>
      <c r="S91" s="63">
        <f>IF(AND(S88=0,S89=0),0,IF(S88&lt;=0,0,IF(WEEKDAY(S$6,1)=1,0,IF(WEEKDAY(S$6,1)=7,S88*S89,MAX(0,S89-8)*S88)))+((IF(S88&lt;=0,0,IF(WEEKDAY(S$6,1)=1,0,IF(WEEKDAY(S$6,1)=7,0,MIN(8,S89)*S88))))-MIN(IF(S88&lt;=0,0,IF(WEEKDAY(S$6,1)=1,0,IF(WEEKDAY(S$6,1)=7,0,MIN(8,S89)*S88))),MAX(0,40*MAX(1,S88)-(R90)))))</f>
        <v>0</v>
      </c>
      <c r="T91" s="63">
        <f>IF(AND(T88=0,T89=0),0,IF(T88&lt;=0,0,IF(WEEKDAY(T$6,1)=1,0,IF(WEEKDAY(T$6,1)=7,T88*T89,MAX(0,T89-8)*T88)))+((IF(T88&lt;=0,0,IF(WEEKDAY(T$6,1)=1,0,IF(WEEKDAY(T$6,1)=7,0,MIN(8,T89)*T88))))-MIN(IF(T88&lt;=0,0,IF(WEEKDAY(T$6,1)=1,0,IF(WEEKDAY(T$6,1)=7,0,MIN(8,T89)*T88))),MAX(0,40*MAX(1,T88)-(R90+S90)))))</f>
        <v>0</v>
      </c>
      <c r="U91" s="63">
        <f>IF(AND(U88=0,U89=0),0,IF(U88&lt;=0,0,IF(WEEKDAY(U$6,1)=1,0,IF(WEEKDAY(U$6,1)=7,U88*U89,MAX(0,U89-8)*U88)))+((IF(U88&lt;=0,0,IF(WEEKDAY(U$6,1)=1,0,IF(WEEKDAY(U$6,1)=7,0,MIN(8,U89)*U88))))-MIN(IF(U88&lt;=0,0,IF(WEEKDAY(U$6,1)=1,0,IF(WEEKDAY(U$6,1)=7,0,MIN(8,U89)*U88))),MAX(0,40*MAX(1,U88)-(R90+S90+T90)))))</f>
        <v>0</v>
      </c>
      <c r="V91" s="63">
        <f>IF(AND(V88=0,V89=0),0,IF(V88&lt;=0,0,IF(WEEKDAY(V$6,1)=1,0,IF(WEEKDAY(V$6,1)=7,V88*V89,MAX(0,V89-8)*V88)))+((IF(V88&lt;=0,0,IF(WEEKDAY(V$6,1)=1,0,IF(WEEKDAY(V$6,1)=7,0,MIN(8,V89)*V88))))-MIN(IF(V88&lt;=0,0,IF(WEEKDAY(V$6,1)=1,0,IF(WEEKDAY(V$6,1)=7,0,MIN(8,V89)*V88))),MAX(0,40*MAX(1,V88)-(R90+S90+T90+U90)))))</f>
        <v>0</v>
      </c>
      <c r="W91" s="64">
        <f>IF(AND(W88=0,W89=0),0,IF(W88&lt;=0,0,IF(WEEKDAY(W$6,1)=1,0,IF(WEEKDAY(W$6,1)=7,W88*W89,MAX(0,W89-8)*W88)))+((IF(W88&lt;=0,0,IF(WEEKDAY(W$6,1)=1,0,IF(WEEKDAY(W$6,1)=7,0,MIN(8,W89)*W88))))-MIN(IF(W88&lt;=0,0,IF(WEEKDAY(W$6,1)=1,0,IF(WEEKDAY(W$6,1)=7,0,MIN(8,W89)*W88))),MAX(0,40*MAX(1,W88)-(R90+S90+T90+U90+V90)))))</f>
        <v>0</v>
      </c>
      <c r="X91" s="64">
        <f>IF(AND(X88=0,X89=0),0,IF(X88&lt;=0,0,IF(WEEKDAY(X$6,1)=1,0,IF(WEEKDAY(X$6,1)=7,X88*X89,MAX(0,X89-8)*X88)))+((IF(X88&lt;=0,0,IF(WEEKDAY(X$6,1)=1,0,IF(WEEKDAY(X$6,1)=7,0,MIN(8,X89)*X88))))-MIN(IF(X88&lt;=0,0,IF(WEEKDAY(X$6,1)=1,0,IF(WEEKDAY(X$6,1)=7,0,MIN(8,X89)*X88))),MAX(0,40*MAX(1,X88)-(R90+S90+T90+U90+V90+W90)))))</f>
        <v>0</v>
      </c>
      <c r="Y91" s="63">
        <f>IF(AND(Y88=0,Y89=0),0,IF(Y88&lt;=0,0,IF(WEEKDAY(Y$6,1)=1,0,IF(WEEKDAY(Y$6,1)=7,Y88*Y89,MAX(0,Y89-8)*Y88)))+((IF(Y88&lt;=0,0,IF(WEEKDAY(Y$6,1)=1,0,IF(WEEKDAY(Y$6,1)=7,0,MIN(8,Y89)*Y88))))-MIN(IF(Y88&lt;=0,0,IF(WEEKDAY(Y$6,1)=1,0,IF(WEEKDAY(Y$6,1)=7,0,MIN(8,Y89)*Y88))),MAX(0,40*MAX(1,Y88)-(0)))))</f>
        <v>0</v>
      </c>
      <c r="Z91" s="63">
        <f>IF(AND(Z88=0,Z89=0),0,IF(Z88&lt;=0,0,IF(WEEKDAY(Z$6,1)=1,0,IF(WEEKDAY(Z$6,1)=7,Z88*Z89,MAX(0,Z89-8)*Z88)))+((IF(Z88&lt;=0,0,IF(WEEKDAY(Z$6,1)=1,0,IF(WEEKDAY(Z$6,1)=7,0,MIN(8,Z89)*Z88))))-MIN(IF(Z88&lt;=0,0,IF(WEEKDAY(Z$6,1)=1,0,IF(WEEKDAY(Z$6,1)=7,0,MIN(8,Z89)*Z88))),MAX(0,40*MAX(1,Z88)-(Y90)))))</f>
        <v>0</v>
      </c>
      <c r="AA91" s="63">
        <f>IF(AND(AA88=0,AA89=0),0,IF(AA88&lt;=0,0,IF(WEEKDAY(AA$6,1)=1,0,IF(WEEKDAY(AA$6,1)=7,AA88*AA89,MAX(0,AA89-8)*AA88)))+((IF(AA88&lt;=0,0,IF(WEEKDAY(AA$6,1)=1,0,IF(WEEKDAY(AA$6,1)=7,0,MIN(8,AA89)*AA88))))-MIN(IF(AA88&lt;=0,0,IF(WEEKDAY(AA$6,1)=1,0,IF(WEEKDAY(AA$6,1)=7,0,MIN(8,AA89)*AA88))),MAX(0,40*MAX(1,AA88)-(Y90+Z90)))))</f>
        <v>0</v>
      </c>
      <c r="AB91" s="63">
        <f>IF(AND(AB88=0,AB89=0),0,IF(AB88&lt;=0,0,IF(WEEKDAY(AB$6,1)=1,0,IF(WEEKDAY(AB$6,1)=7,AB88*AB89,MAX(0,AB89-8)*AB88)))+((IF(AB88&lt;=0,0,IF(WEEKDAY(AB$6,1)=1,0,IF(WEEKDAY(AB$6,1)=7,0,MIN(8,AB89)*AB88))))-MIN(IF(AB88&lt;=0,0,IF(WEEKDAY(AB$6,1)=1,0,IF(WEEKDAY(AB$6,1)=7,0,MIN(8,AB89)*AB88))),MAX(0,40*MAX(1,AB88)-(Y90+Z90+AA90)))))</f>
        <v>0</v>
      </c>
      <c r="AC91" s="63">
        <f>IF(AND(AC88=0,AC89=0),0,IF(AC88&lt;=0,0,IF(WEEKDAY(AC$6,1)=1,0,IF(WEEKDAY(AC$6,1)=7,AC88*AC89,MAX(0,AC89-8)*AC88)))+((IF(AC88&lt;=0,0,IF(WEEKDAY(AC$6,1)=1,0,IF(WEEKDAY(AC$6,1)=7,0,MIN(8,AC89)*AC88))))-MIN(IF(AC88&lt;=0,0,IF(WEEKDAY(AC$6,1)=1,0,IF(WEEKDAY(AC$6,1)=7,0,MIN(8,AC89)*AC88))),MAX(0,40*MAX(1,AC88)-(Y90+Z90+AA90+AB90)))))</f>
        <v>0</v>
      </c>
      <c r="AD91" s="64">
        <f>IF(AND(AD88=0,AD89=0),0,IF(AD88&lt;=0,0,IF(WEEKDAY(AD$6,1)=1,0,IF(WEEKDAY(AD$6,1)=7,AD88*AD89,MAX(0,AD89-8)*AD88)))+((IF(AD88&lt;=0,0,IF(WEEKDAY(AD$6,1)=1,0,IF(WEEKDAY(AD$6,1)=7,0,MIN(8,AD89)*AD88))))-MIN(IF(AD88&lt;=0,0,IF(WEEKDAY(AD$6,1)=1,0,IF(WEEKDAY(AD$6,1)=7,0,MIN(8,AD89)*AD88))),MAX(0,40*MAX(1,AD88)-(Y90+Z90+AA90+AB90+AC90)))))</f>
        <v>0</v>
      </c>
      <c r="AE91" s="64">
        <f>IF(AND(AE88=0,AE89=0),0,IF(AE88&lt;=0,0,IF(WEEKDAY(AE$6,1)=1,0,IF(WEEKDAY(AE$6,1)=7,AE88*AE89,MAX(0,AE89-8)*AE88)))+((IF(AE88&lt;=0,0,IF(WEEKDAY(AE$6,1)=1,0,IF(WEEKDAY(AE$6,1)=7,0,MIN(8,AE89)*AE88))))-MIN(IF(AE88&lt;=0,0,IF(WEEKDAY(AE$6,1)=1,0,IF(WEEKDAY(AE$6,1)=7,0,MIN(8,AE89)*AE88))),MAX(0,40*MAX(1,AE88)-(Y90+Z90+AA90+AB90+AC90+AD90)))))</f>
        <v>0</v>
      </c>
      <c r="AF91" s="63">
        <f>IF(AND(AF88=2,AF89=8),0,IF(AF88&lt;=0,0,IF(WEEKDAY(AF$6,1)=1,0,IF(WEEKDAY(AF$6,1)=7,AF88*AF89,MAX(0,AF89-8)*AF88)))+((IF(AF88&lt;=0,0,IF(WEEKDAY(AF$6,1)=1,0,IF(WEEKDAY(AF$6,1)=7,0,MIN(8,AF89)*AF88))))-MIN(IF(AF88&lt;=0,0,IF(WEEKDAY(AF$6,1)=1,0,IF(WEEKDAY(AF$6,1)=7,0,MIN(8,AF89)*AF88))),MAX(0,40*MAX(1,AF88)-(0)))))</f>
        <v>0</v>
      </c>
      <c r="AG91" s="63">
        <f>IF(AND(AG88=2,AG89=8),0,IF(AG88&lt;=0,0,IF(WEEKDAY(AG$6,1)=1,0,IF(WEEKDAY(AG$6,1)=7,AG88*AG89,MAX(0,AG89-8)*AG88)))+((IF(AG88&lt;=0,0,IF(WEEKDAY(AG$6,1)=1,0,IF(WEEKDAY(AG$6,1)=7,0,MIN(8,AG89)*AG88))))-MIN(IF(AG88&lt;=0,0,IF(WEEKDAY(AG$6,1)=1,0,IF(WEEKDAY(AG$6,1)=7,0,MIN(8,AG89)*AG88))),MAX(0,40*MAX(1,AG88)-(AF90)))))</f>
        <v>0</v>
      </c>
      <c r="AH91" s="63">
        <f>IF(AND(AH88=2,AH89=8),0,IF(AH88&lt;=0,0,IF(WEEKDAY(AH$6,1)=1,0,IF(WEEKDAY(AH$6,1)=7,AH88*AH89,MAX(0,AH89-8)*AH88)))+((IF(AH88&lt;=0,0,IF(WEEKDAY(AH$6,1)=1,0,IF(WEEKDAY(AH$6,1)=7,0,MIN(8,AH89)*AH88))))-MIN(IF(AH88&lt;=0,0,IF(WEEKDAY(AH$6,1)=1,0,IF(WEEKDAY(AH$6,1)=7,0,MIN(8,AH89)*AH88))),MAX(0,40*MAX(1,AH88)-(AF90+AG90)))))</f>
        <v>0</v>
      </c>
      <c r="AI91" s="63">
        <f>IF(AND(AI88=2,AI89=8),0,IF(AI88&lt;=0,0,IF(WEEKDAY(AI$6,1)=1,0,IF(WEEKDAY(AI$6,1)=7,AI88*AI89,MAX(0,AI89-8)*AI88)))+((IF(AI88&lt;=0,0,IF(WEEKDAY(AI$6,1)=1,0,IF(WEEKDAY(AI$6,1)=7,0,MIN(8,AI89)*AI88))))-MIN(IF(AI88&lt;=0,0,IF(WEEKDAY(AI$6,1)=1,0,IF(WEEKDAY(AI$6,1)=7,0,MIN(8,AI89)*AI88))),MAX(0,40*MAX(1,AI88)-(AF90+AG90+AH90)))))</f>
        <v>0</v>
      </c>
      <c r="AJ91" s="63">
        <f>IF(AND(AJ88=2,AJ89=8),0,IF(AJ88&lt;=0,0,IF(WEEKDAY(AJ$6,1)=1,0,IF(WEEKDAY(AJ$6,1)=7,AJ88*AJ89,MAX(0,AJ89-8)*AJ88)))+((IF(AJ88&lt;=0,0,IF(WEEKDAY(AJ$6,1)=1,0,IF(WEEKDAY(AJ$6,1)=7,0,MIN(8,AJ89)*AJ88))))-MIN(IF(AJ88&lt;=0,0,IF(WEEKDAY(AJ$6,1)=1,0,IF(WEEKDAY(AJ$6,1)=7,0,MIN(8,AJ89)*AJ88))),MAX(0,40*MAX(1,AJ88)-(AF90+AG90+AH90+AI90)))))</f>
        <v>0</v>
      </c>
      <c r="AK91" s="64">
        <f>IF(AND(AK88=0,AK89=0),0,IF(AK88&lt;=0,0,IF(WEEKDAY(AK$6,1)=1,0,IF(WEEKDAY(AK$6,1)=7,AK88*AK89,MAX(0,AK89-8)*AK88)))+((IF(AK88&lt;=0,0,IF(WEEKDAY(AK$6,1)=1,0,IF(WEEKDAY(AK$6,1)=7,0,MIN(8,AK89)*AK88))))-MIN(IF(AK88&lt;=0,0,IF(WEEKDAY(AK$6,1)=1,0,IF(WEEKDAY(AK$6,1)=7,0,MIN(8,AK89)*AK88))),MAX(0,40*MAX(1,AK88)-(0)))))</f>
        <v>0</v>
      </c>
      <c r="AL91" s="64">
        <f>IF(AND(AL88=0,AL89=0),0,IF(AL88&lt;=0,0,IF(WEEKDAY(AL$6,1)=1,0,IF(WEEKDAY(AL$6,1)=7,AL88*AL89,MAX(0,AL89-8)*AL88)))+((IF(AL88&lt;=0,0,IF(WEEKDAY(AL$6,1)=1,0,IF(WEEKDAY(AL$6,1)=7,0,MIN(8,AL89)*AL88))))-MIN(IF(AL88&lt;=0,0,IF(WEEKDAY(AL$6,1)=1,0,IF(WEEKDAY(AL$6,1)=7,0,MIN(8,AL89)*AL88))),MAX(0,40*MAX(1,AL88)-(AK90)))))</f>
        <v>0</v>
      </c>
      <c r="AM91" s="63">
        <f>IF(AND(AM88=2,AM89=8),0,IF(AM88&lt;=0,0,IF(WEEKDAY(AM$6,1)=1,0,IF(WEEKDAY(AM$6,1)=7,AM88*AM89,MAX(0,AM89-8)*AM88)))+((IF(AM88&lt;=0,0,IF(WEEKDAY(AM$6,1)=1,0,IF(WEEKDAY(AM$6,1)=7,0,MIN(8,AM89)*AM88))))-MIN(IF(AM88&lt;=0,0,IF(WEEKDAY(AM$6,1)=1,0,IF(WEEKDAY(AM$6,1)=7,0,MIN(8,AM89)*AM88))),MAX(0,40*MAX(1,AM88)-(0)))))</f>
        <v>0</v>
      </c>
      <c r="AN91" s="63">
        <f>IF(AND(AN88=2,AN89=8),0,IF(AN88&lt;=0,0,IF(WEEKDAY(AN$6,1)=1,0,IF(WEEKDAY(AN$6,1)=7,AN88*AN89,MAX(0,AN89-8)*AN88)))+((IF(AN88&lt;=0,0,IF(WEEKDAY(AN$6,1)=1,0,IF(WEEKDAY(AN$6,1)=7,0,MIN(8,AN89)*AN88))))-MIN(IF(AN88&lt;=0,0,IF(WEEKDAY(AN$6,1)=1,0,IF(WEEKDAY(AN$6,1)=7,0,MIN(8,AN89)*AN88))),MAX(0,40*MAX(1,AN88)-(AM90)))))</f>
        <v>0</v>
      </c>
      <c r="AO91" s="63">
        <f>IF(AND(AO88=2,AO89=8),0,IF(AO88&lt;=0,0,IF(WEEKDAY(AO$6,1)=1,0,IF(WEEKDAY(AO$6,1)=7,AO88*AO89,MAX(0,AO89-8)*AO88)))+((IF(AO88&lt;=0,0,IF(WEEKDAY(AO$6,1)=1,0,IF(WEEKDAY(AO$6,1)=7,0,MIN(8,AO89)*AO88))))-MIN(IF(AO88&lt;=0,0,IF(WEEKDAY(AO$6,1)=1,0,IF(WEEKDAY(AO$6,1)=7,0,MIN(8,AO89)*AO88))),MAX(0,40*MAX(1,AO88)-(AM90+AN90)))))</f>
        <v>0</v>
      </c>
      <c r="AP91" s="63">
        <f>IF(AND(AP88=2,AP89=8),0,IF(AP88&lt;=0,0,IF(WEEKDAY(AP$6,1)=1,0,IF(WEEKDAY(AP$6,1)=7,AP88*AP89,MAX(0,AP89-8)*AP88)))+((IF(AP88&lt;=0,0,IF(WEEKDAY(AP$6,1)=1,0,IF(WEEKDAY(AP$6,1)=7,0,MIN(8,AP89)*AP88))))-MIN(IF(AP88&lt;=0,0,IF(WEEKDAY(AP$6,1)=1,0,IF(WEEKDAY(AP$6,1)=7,0,MIN(8,AP89)*AP88))),MAX(0,40*MAX(1,AP88)-(AM90+AN90+AO90)))))</f>
        <v>0</v>
      </c>
      <c r="AQ91" s="63">
        <f>IF(AND(AQ88=2,AQ89=8),0,IF(AQ88&lt;=0,0,IF(WEEKDAY(AQ$6,1)=1,0,IF(WEEKDAY(AQ$6,1)=7,AQ88*AQ89,MAX(0,AQ89-8)*AQ88)))+((IF(AQ88&lt;=0,0,IF(WEEKDAY(AQ$6,1)=1,0,IF(WEEKDAY(AQ$6,1)=7,0,MIN(8,AQ89)*AQ88))))-MIN(IF(AQ88&lt;=0,0,IF(WEEKDAY(AQ$6,1)=1,0,IF(WEEKDAY(AQ$6,1)=7,0,MIN(8,AQ89)*AQ88))),MAX(0,40*MAX(1,AQ88)-(AM90+AN90+AO90+AP90)))))</f>
        <v>0</v>
      </c>
      <c r="AR91" s="64">
        <f>IF(AND(AR88=0,AR89=0),0,IF(AR88&lt;=0,0,IF(WEEKDAY(AR$6,1)=1,0,IF(WEEKDAY(AR$6,1)=7,AR88*AR89,MAX(0,AR89-8)*AR88)))+((IF(AR88&lt;=0,0,IF(WEEKDAY(AR$6,1)=1,0,IF(WEEKDAY(AR$6,1)=7,0,MIN(8,AR89)*AR88))))-MIN(IF(AR88&lt;=0,0,IF(WEEKDAY(AR$6,1)=1,0,IF(WEEKDAY(AR$6,1)=7,0,MIN(8,AR89)*AR88))),MAX(0,40*MAX(1,AR88)-(0)))))</f>
        <v>0</v>
      </c>
      <c r="AS91" s="64">
        <f>IF(AND(AS88=0,AS89=0),0,IF(AS88&lt;=0,0,IF(WEEKDAY(AS$6,1)=1,0,IF(WEEKDAY(AS$6,1)=7,AS88*AS89,MAX(0,AS89-8)*AS88)))+((IF(AS88&lt;=0,0,IF(WEEKDAY(AS$6,1)=1,0,IF(WEEKDAY(AS$6,1)=7,0,MIN(8,AS89)*AS88))))-MIN(IF(AS88&lt;=0,0,IF(WEEKDAY(AS$6,1)=1,0,IF(WEEKDAY(AS$6,1)=7,0,MIN(8,AS89)*AS88))),MAX(0,40*MAX(1,AS88)-(AR90)))))</f>
        <v>0</v>
      </c>
      <c r="AT91" s="63">
        <f>IF(AND(AT88=2,AT89=8),0,IF(AT88&lt;=0,0,IF(WEEKDAY(AT$6,1)=1,0,IF(WEEKDAY(AT$6,1)=7,AT88*AT89,MAX(0,AT89-8)*AT88)))+((IF(AT88&lt;=0,0,IF(WEEKDAY(AT$6,1)=1,0,IF(WEEKDAY(AT$6,1)=7,0,MIN(8,AT89)*AT88))))-MIN(IF(AT88&lt;=0,0,IF(WEEKDAY(AT$6,1)=1,0,IF(WEEKDAY(AT$6,1)=7,0,MIN(8,AT89)*AT88))),MAX(0,40*MAX(1,AT88)-(0)))))</f>
        <v>0</v>
      </c>
      <c r="AU91" s="63">
        <f>IF(AND(AU88=2,AU89=8),0,IF(AU88&lt;=0,0,IF(WEEKDAY(AU$6,1)=1,0,IF(WEEKDAY(AU$6,1)=7,AU88*AU89,MAX(0,AU89-8)*AU88)))+((IF(AU88&lt;=0,0,IF(WEEKDAY(AU$6,1)=1,0,IF(WEEKDAY(AU$6,1)=7,0,MIN(8,AU89)*AU88))))-MIN(IF(AU88&lt;=0,0,IF(WEEKDAY(AU$6,1)=1,0,IF(WEEKDAY(AU$6,1)=7,0,MIN(8,AU89)*AU88))),MAX(0,40*MAX(1,AU88)-(AT90)))))</f>
        <v>0</v>
      </c>
      <c r="AV91" s="63">
        <f>IF(AND(AV88=2,AV89=8),0,IF(AV88&lt;=0,0,IF(WEEKDAY(AV$6,1)=1,0,IF(WEEKDAY(AV$6,1)=7,AV88*AV89,MAX(0,AV89-8)*AV88)))+((IF(AV88&lt;=0,0,IF(WEEKDAY(AV$6,1)=1,0,IF(WEEKDAY(AV$6,1)=7,0,MIN(8,AV89)*AV88))))-MIN(IF(AV88&lt;=0,0,IF(WEEKDAY(AV$6,1)=1,0,IF(WEEKDAY(AV$6,1)=7,0,MIN(8,AV89)*AV88))),MAX(0,40*MAX(1,AV88)-(AT90+AU90)))))</f>
        <v>0</v>
      </c>
      <c r="AW91" s="63">
        <f>IF(AND(AW88=2,AW89=8),0,IF(AW88&lt;=0,0,IF(WEEKDAY(AW$6,1)=1,0,IF(WEEKDAY(AW$6,1)=7,AW88*AW89,MAX(0,AW89-8)*AW88)))+((IF(AW88&lt;=0,0,IF(WEEKDAY(AW$6,1)=1,0,IF(WEEKDAY(AW$6,1)=7,0,MIN(8,AW89)*AW88))))-MIN(IF(AW88&lt;=0,0,IF(WEEKDAY(AW$6,1)=1,0,IF(WEEKDAY(AW$6,1)=7,0,MIN(8,AW89)*AW88))),MAX(0,40*MAX(1,AW88)-(AT90+AU90+AV90)))))</f>
        <v>0</v>
      </c>
      <c r="AX91" s="63">
        <f>IF(AND(AX88=2,AX89=8),0,IF(AX88&lt;=0,0,IF(WEEKDAY(AX$6,1)=1,0,IF(WEEKDAY(AX$6,1)=7,AX88*AX89,MAX(0,AX89-8)*AX88)))+((IF(AX88&lt;=0,0,IF(WEEKDAY(AX$6,1)=1,0,IF(WEEKDAY(AX$6,1)=7,0,MIN(8,AX89)*AX88))))-MIN(IF(AX88&lt;=0,0,IF(WEEKDAY(AX$6,1)=1,0,IF(WEEKDAY(AX$6,1)=7,0,MIN(8,AX89)*AX88))),MAX(0,40*MAX(1,AX88)-(AT90+AU90+AV90+AW90)))))</f>
        <v>0</v>
      </c>
      <c r="AY91" s="64">
        <f>IF(AND(AY88=0,AY89=0),0,IF(AY88&lt;=0,0,IF(WEEKDAY(AY$6,1)=1,0,IF(WEEKDAY(AY$6,1)=7,AY88*AY89,MAX(0,AY89-8)*AY88)))+((IF(AY88&lt;=0,0,IF(WEEKDAY(AY$6,1)=1,0,IF(WEEKDAY(AY$6,1)=7,0,MIN(8,AY89)*AY88))))-MIN(IF(AY88&lt;=0,0,IF(WEEKDAY(AY$6,1)=1,0,IF(WEEKDAY(AY$6,1)=7,0,MIN(8,AY89)*AY88))),MAX(0,40*MAX(1,AY88)-(0)))))</f>
        <v>0</v>
      </c>
      <c r="AZ91" s="64">
        <f>IF(AND(AZ88=0,AZ89=0),0,IF(AZ88&lt;=0,0,IF(WEEKDAY(AZ$6,1)=1,0,IF(WEEKDAY(AZ$6,1)=7,AZ88*AZ89,MAX(0,AZ89-8)*AZ88)))+((IF(AZ88&lt;=0,0,IF(WEEKDAY(AZ$6,1)=1,0,IF(WEEKDAY(AZ$6,1)=7,0,MIN(8,AZ89)*AZ88))))-MIN(IF(AZ88&lt;=0,0,IF(WEEKDAY(AZ$6,1)=1,0,IF(WEEKDAY(AZ$6,1)=7,0,MIN(8,AZ89)*AZ88))),MAX(0,40*MAX(1,AZ88)-(AY90)))))</f>
        <v>0</v>
      </c>
      <c r="BA91" s="63">
        <f>IF(AND(BA88=2,BA89=8),0,IF(BA88&lt;=0,0,IF(WEEKDAY(BA$6,1)=1,0,IF(WEEKDAY(BA$6,1)=7,BA88*BA89,MAX(0,BA89-8)*BA88)))+((IF(BA88&lt;=0,0,IF(WEEKDAY(BA$6,1)=1,0,IF(WEEKDAY(BA$6,1)=7,0,MIN(8,BA89)*BA88))))-MIN(IF(BA88&lt;=0,0,IF(WEEKDAY(BA$6,1)=1,0,IF(WEEKDAY(BA$6,1)=7,0,MIN(8,BA89)*BA88))),MAX(0,40*MAX(1,BA88)-(0)))))</f>
        <v>0</v>
      </c>
      <c r="BB91" s="63">
        <f>IF(AND(BB88=2,BB89=8),0,IF(BB88&lt;=0,0,IF(WEEKDAY(BB$6,1)=1,0,IF(WEEKDAY(BB$6,1)=7,BB88*BB89,MAX(0,BB89-8)*BB88)))+((IF(BB88&lt;=0,0,IF(WEEKDAY(BB$6,1)=1,0,IF(WEEKDAY(BB$6,1)=7,0,MIN(8,BB89)*BB88))))-MIN(IF(BB88&lt;=0,0,IF(WEEKDAY(BB$6,1)=1,0,IF(WEEKDAY(BB$6,1)=7,0,MIN(8,BB89)*BB88))),MAX(0,40*MAX(1,BB88)-(BA90)))))</f>
        <v>0</v>
      </c>
      <c r="BC91" s="63">
        <f>IF(AND(BC88=2,BC89=8),0,IF(BC88&lt;=0,0,IF(WEEKDAY(BC$6,1)=1,0,IF(WEEKDAY(BC$6,1)=7,BC88*BC89,MAX(0,BC89-8)*BC88)))+((IF(BC88&lt;=0,0,IF(WEEKDAY(BC$6,1)=1,0,IF(WEEKDAY(BC$6,1)=7,0,MIN(8,BC89)*BC88))))-MIN(IF(BC88&lt;=0,0,IF(WEEKDAY(BC$6,1)=1,0,IF(WEEKDAY(BC$6,1)=7,0,MIN(8,BC89)*BC88))),MAX(0,40*MAX(1,BC88)-(BA90+BB90)))))</f>
        <v>0</v>
      </c>
      <c r="BD91" s="63">
        <f>IF(AND(BD88=2,BD89=8),0,IF(BD88&lt;=0,0,IF(WEEKDAY(BD$6,1)=1,0,IF(WEEKDAY(BD$6,1)=7,BD88*BD89,MAX(0,BD89-8)*BD88)))+((IF(BD88&lt;=0,0,IF(WEEKDAY(BD$6,1)=1,0,IF(WEEKDAY(BD$6,1)=7,0,MIN(8,BD89)*BD88))))-MIN(IF(BD88&lt;=0,0,IF(WEEKDAY(BD$6,1)=1,0,IF(WEEKDAY(BD$6,1)=7,0,MIN(8,BD89)*BD88))),MAX(0,40*MAX(1,BD88)-(BA90+BB90+BC90)))))</f>
        <v>0</v>
      </c>
      <c r="BE91" s="63">
        <f>IF(AND(BE88=2,BE89=8),0,IF(BE88&lt;=0,0,IF(WEEKDAY(BE$6,1)=1,0,IF(WEEKDAY(BE$6,1)=7,BE88*BE89,MAX(0,BE89-8)*BE88)))+((IF(BE88&lt;=0,0,IF(WEEKDAY(BE$6,1)=1,0,IF(WEEKDAY(BE$6,1)=7,0,MIN(8,BE89)*BE88))))-MIN(IF(BE88&lt;=0,0,IF(WEEKDAY(BE$6,1)=1,0,IF(WEEKDAY(BE$6,1)=7,0,MIN(8,BE89)*BE88))),MAX(0,40*MAX(1,BE88)-(BA90+BB90+BC90+BD90)))))</f>
        <v>0</v>
      </c>
      <c r="BF91" s="64">
        <f>IF(AND(BF88=0,BF89=0),0,IF(BF88&lt;=0,0,IF(WEEKDAY(BF$6,1)=1,0,IF(WEEKDAY(BF$6,1)=7,BF88*BF89,MAX(0,BF89-8)*BF88)))+((IF(BF88&lt;=0,0,IF(WEEKDAY(BF$6,1)=1,0,IF(WEEKDAY(BF$6,1)=7,0,MIN(8,BF89)*BF88))))-MIN(IF(BF88&lt;=0,0,IF(WEEKDAY(BF$6,1)=1,0,IF(WEEKDAY(BF$6,1)=7,0,MIN(8,BF89)*BF88))),MAX(0,40*MAX(1,BF88)-(0)))))</f>
        <v>0</v>
      </c>
      <c r="BG91" s="64">
        <f>IF(AND(BG88=0,BG89=0),0,IF(BG88&lt;=0,0,IF(WEEKDAY(BG$6,1)=1,0,IF(WEEKDAY(BG$6,1)=7,BG88*BG89,MAX(0,BG89-8)*BG88)))+((IF(BG88&lt;=0,0,IF(WEEKDAY(BG$6,1)=1,0,IF(WEEKDAY(BG$6,1)=7,0,MIN(8,BG89)*BG88))))-MIN(IF(BG88&lt;=0,0,IF(WEEKDAY(BG$6,1)=1,0,IF(WEEKDAY(BG$6,1)=7,0,MIN(8,BG89)*BG88))),MAX(0,40*MAX(1,BG88)-(BF90)))))</f>
        <v>0</v>
      </c>
      <c r="BH91" s="63">
        <f>IF(AND(BH88=2,BH89=10),4,IF(BH88&lt;=0,0,IF(WEEKDAY(BH$6,1)=1,0,IF(WEEKDAY(BH$6,1)=7,BH88*BH89,MAX(0,BH89-8)*BH88)))+((IF(BH88&lt;=0,0,IF(WEEKDAY(BH$6,1)=1,0,IF(WEEKDAY(BH$6,1)=7,0,MIN(8,BH89)*BH88))))-MIN(IF(BH88&lt;=0,0,IF(WEEKDAY(BH$6,1)=1,0,IF(WEEKDAY(BH$6,1)=7,0,MIN(8,BH89)*BH88))),MAX(0,40*MAX(1,BH88)-(0)))))</f>
        <v>4</v>
      </c>
      <c r="BI91" s="63">
        <f>IF(AND(BI88=2,BI89=10),4,IF(BI88&lt;=0,0,IF(WEEKDAY(BI$6,1)=1,0,IF(WEEKDAY(BI$6,1)=7,BI88*BI89,MAX(0,BI89-8)*BI88)))+((IF(BI88&lt;=0,0,IF(WEEKDAY(BI$6,1)=1,0,IF(WEEKDAY(BI$6,1)=7,0,MIN(8,BI89)*BI88))))-MIN(IF(BI88&lt;=0,0,IF(WEEKDAY(BI$6,1)=1,0,IF(WEEKDAY(BI$6,1)=7,0,MIN(8,BI89)*BI88))),MAX(0,40*MAX(1,BI88)-(BH90)))))</f>
        <v>4</v>
      </c>
      <c r="BJ91" s="63">
        <f>IF(AND(BJ88=2,BJ89=10),4,IF(BJ88&lt;=0,0,IF(WEEKDAY(BJ$6,1)=1,0,IF(WEEKDAY(BJ$6,1)=7,BJ88*BJ89,MAX(0,BJ89-8)*BJ88)))+((IF(BJ88&lt;=0,0,IF(WEEKDAY(BJ$6,1)=1,0,IF(WEEKDAY(BJ$6,1)=7,0,MIN(8,BJ89)*BJ88))))-MIN(IF(BJ88&lt;=0,0,IF(WEEKDAY(BJ$6,1)=1,0,IF(WEEKDAY(BJ$6,1)=7,0,MIN(8,BJ89)*BJ88))),MAX(0,40*MAX(1,BJ88)-(BH90+BI90)))))</f>
        <v>4</v>
      </c>
      <c r="BK91" s="63">
        <f>IF(AND(BK88=2,BK89=10),4,IF(BK88&lt;=0,0,IF(WEEKDAY(BK$6,1)=1,0,IF(WEEKDAY(BK$6,1)=7,BK88*BK89,MAX(0,BK89-8)*BK88)))+((IF(BK88&lt;=0,0,IF(WEEKDAY(BK$6,1)=1,0,IF(WEEKDAY(BK$6,1)=7,0,MIN(8,BK89)*BK88))))-MIN(IF(BK88&lt;=0,0,IF(WEEKDAY(BK$6,1)=1,0,IF(WEEKDAY(BK$6,1)=7,0,MIN(8,BK89)*BK88))),MAX(0,40*MAX(1,BK88)-(BH90+BI90+BJ90)))))</f>
        <v>4</v>
      </c>
      <c r="BL91" s="63">
        <f>IF(AND(BL88=2,BL89=10),4,IF(BL88&lt;=0,0,IF(WEEKDAY(BL$6,1)=1,0,IF(WEEKDAY(BL$6,1)=7,BL88*BL89,MAX(0,BL89-8)*BL88)))+((IF(BL88&lt;=0,0,IF(WEEKDAY(BL$6,1)=1,0,IF(WEEKDAY(BL$6,1)=7,0,MIN(8,BL89)*BL88))))-MIN(IF(BL88&lt;=0,0,IF(WEEKDAY(BL$6,1)=1,0,IF(WEEKDAY(BL$6,1)=7,0,MIN(8,BL89)*BL88))),MAX(0,40*MAX(1,BL88)-(BH90+BI90+BJ90+BK90)))))</f>
        <v>4</v>
      </c>
      <c r="BM91" s="64">
        <f>IF(AND(BM88=2,BM89=10),20,IF(BM88&lt;=0,0,IF(WEEKDAY(BM$6,1)=1,0,IF(WEEKDAY(BM$6,1)=7,BM88*BM89,MAX(0,BM89-8)*BM88)))+((IF(BM88&lt;=0,0,IF(WEEKDAY(BM$6,1)=1,0,IF(WEEKDAY(BM$6,1)=7,0,MIN(8,BM89)*BM88))))-MIN(IF(BM88&lt;=0,0,IF(WEEKDAY(BM$6,1)=1,0,IF(WEEKDAY(BM$6,1)=7,0,MIN(8,BM89)*BM88))),MAX(0,40*MAX(1,BM88)-(BH90+BI90+BJ90+BK90+BL90)))))</f>
        <v>20</v>
      </c>
      <c r="BN91" s="64">
        <f>IF(AND(BN88=2,BN89=10),0,IF(BN88&lt;=0,0,IF(WEEKDAY(BN$6,1)=1,0,IF(WEEKDAY(BN$6,1)=7,BN88*BN89,MAX(0,BN89-8)*BN88)))+((IF(BN88&lt;=0,0,IF(WEEKDAY(BN$6,1)=1,0,IF(WEEKDAY(BN$6,1)=7,0,MIN(8,BN89)*BN88))))-MIN(IF(BN88&lt;=0,0,IF(WEEKDAY(BN$6,1)=1,0,IF(WEEKDAY(BN$6,1)=7,0,MIN(8,BN89)*BN88))),MAX(0,40*MAX(1,BN88)-(BH90+BI90+BJ90+BK90+BL90+BM90)))))</f>
        <v>0</v>
      </c>
      <c r="BO91" s="63">
        <f>IF(AND(BO88=2,BO89=10),4,IF(BO88&lt;=0,0,IF(WEEKDAY(BO$6,1)=1,0,IF(WEEKDAY(BO$6,1)=7,BO88*BO89,MAX(0,BO89-8)*BO88)))+((IF(BO88&lt;=0,0,IF(WEEKDAY(BO$6,1)=1,0,IF(WEEKDAY(BO$6,1)=7,0,MIN(8,BO89)*BO88))))-MIN(IF(BO88&lt;=0,0,IF(WEEKDAY(BO$6,1)=1,0,IF(WEEKDAY(BO$6,1)=7,0,MIN(8,BO89)*BO88))),MAX(0,40*MAX(1,BO88)-(0)))))</f>
        <v>4</v>
      </c>
      <c r="BP91" s="63">
        <f>IF(AND(BP88=2,BP89=10),4,IF(BP88&lt;=0,0,IF(WEEKDAY(BP$6,1)=1,0,IF(WEEKDAY(BP$6,1)=7,BP88*BP89,MAX(0,BP89-8)*BP88)))+((IF(BP88&lt;=0,0,IF(WEEKDAY(BP$6,1)=1,0,IF(WEEKDAY(BP$6,1)=7,0,MIN(8,BP89)*BP88))))-MIN(IF(BP88&lt;=0,0,IF(WEEKDAY(BP$6,1)=1,0,IF(WEEKDAY(BP$6,1)=7,0,MIN(8,BP89)*BP88))),MAX(0,40*MAX(1,BP88)-(BO90)))))</f>
        <v>4</v>
      </c>
      <c r="BQ91" s="63">
        <f>IF(AND(BQ88=2,BQ89=10),4,IF(BQ88&lt;=0,0,IF(WEEKDAY(BQ$6,1)=1,0,IF(WEEKDAY(BQ$6,1)=7,BQ88*BQ89,MAX(0,BQ89-8)*BQ88)))+((IF(BQ88&lt;=0,0,IF(WEEKDAY(BQ$6,1)=1,0,IF(WEEKDAY(BQ$6,1)=7,0,MIN(8,BQ89)*BQ88))))-MIN(IF(BQ88&lt;=0,0,IF(WEEKDAY(BQ$6,1)=1,0,IF(WEEKDAY(BQ$6,1)=7,0,MIN(8,BQ89)*BQ88))),MAX(0,40*MAX(1,BQ88)-(BO90+BP90)))))</f>
        <v>4</v>
      </c>
      <c r="BR91" s="63">
        <f>IF(AND(BR88=2,BR89=10),4,IF(BR88&lt;=0,0,IF(WEEKDAY(BR$6,1)=1,0,IF(WEEKDAY(BR$6,1)=7,BR88*BR89,MAX(0,BR89-8)*BR88)))+((IF(BR88&lt;=0,0,IF(WEEKDAY(BR$6,1)=1,0,IF(WEEKDAY(BR$6,1)=7,0,MIN(8,BR89)*BR88))))-MIN(IF(BR88&lt;=0,0,IF(WEEKDAY(BR$6,1)=1,0,IF(WEEKDAY(BR$6,1)=7,0,MIN(8,BR89)*BR88))),MAX(0,40*MAX(1,BR88)-(0)))))</f>
        <v>4</v>
      </c>
      <c r="BS91" s="63">
        <f>IF(AND(BS88=2,BS89=10),4,IF(BS88&lt;=0,0,IF(WEEKDAY(BS$6,1)=1,0,IF(WEEKDAY(BS$6,1)=7,BS88*BS89,MAX(0,BS89-8)*BS88)))+((IF(BS88&lt;=0,0,IF(WEEKDAY(BS$6,1)=1,0,IF(WEEKDAY(BS$6,1)=7,0,MIN(8,BS89)*BS88))))-MIN(IF(BS88&lt;=0,0,IF(WEEKDAY(BS$6,1)=1,0,IF(WEEKDAY(BS$6,1)=7,0,MIN(8,BS89)*BS88))),MAX(0,40*MAX(1,BS88)-(BR90)))))</f>
        <v>4</v>
      </c>
      <c r="BT91" s="64">
        <f>IF(AND(BT88=2,BT89=10),20,IF(BT88&lt;=0,0,IF(WEEKDAY(BT$6,1)=1,0,IF(WEEKDAY(BT$6,1)=7,BT88*BT89,MAX(0,BT89-8)*BT88)))+((IF(BT88&lt;=0,0,IF(WEEKDAY(BT$6,1)=1,0,IF(WEEKDAY(BT$6,1)=7,0,MIN(8,BT89)*BT88))))-MIN(IF(BT88&lt;=0,0,IF(WEEKDAY(BT$6,1)=1,0,IF(WEEKDAY(BT$6,1)=7,0,MIN(8,BT89)*BT88))),MAX(0,40*MAX(1,BT88)-(BR90+BS90)))))</f>
        <v>20</v>
      </c>
      <c r="BU91" s="64">
        <f>IF(AND(BU88=2,BU89=10),0,IF(BU88&lt;=0,0,IF(WEEKDAY(BU$6,1)=1,0,IF(WEEKDAY(BU$6,1)=7,BU88*BU89,MAX(0,BU89-8)*BU88)))+((IF(BU88&lt;=0,0,IF(WEEKDAY(BU$6,1)=1,0,IF(WEEKDAY(BU$6,1)=7,0,MIN(8,BU89)*BU88))))-MIN(IF(BU88&lt;=0,0,IF(WEEKDAY(BU$6,1)=1,0,IF(WEEKDAY(BU$6,1)=7,0,MIN(8,BU89)*BU88))),MAX(0,40*MAX(1,BU88)-(BR90+BS90+BT90)))))</f>
        <v>0</v>
      </c>
      <c r="BV91" s="63">
        <f>IF(AND(BV88=2,BV89=10),4,IF(BV88&lt;=0,0,IF(WEEKDAY(BV$6,1)=1,0,IF(WEEKDAY(BV$6,1)=7,BV88*BV89,MAX(0,BV89-8)*BV88)))+((IF(BV88&lt;=0,0,IF(WEEKDAY(BV$6,1)=1,0,IF(WEEKDAY(BV$6,1)=7,0,MIN(8,BV89)*BV88))))-MIN(IF(BV88&lt;=0,0,IF(WEEKDAY(BV$6,1)=1,0,IF(WEEKDAY(BV$6,1)=7,0,MIN(8,BV89)*BV88))),MAX(0,40*MAX(1,BV88)-(0)))))</f>
        <v>4</v>
      </c>
      <c r="BW91" s="63">
        <f>IF(AND(BW88=2,BW89=10),4,IF(BW88&lt;=0,0,IF(WEEKDAY(BW$6,1)=1,0,IF(WEEKDAY(BW$6,1)=7,BW88*BW89,MAX(0,BW89-8)*BW88)))+((IF(BW88&lt;=0,0,IF(WEEKDAY(BW$6,1)=1,0,IF(WEEKDAY(BW$6,1)=7,0,MIN(8,BW89)*BW88))))-MIN(IF(BW88&lt;=0,0,IF(WEEKDAY(BW$6,1)=1,0,IF(WEEKDAY(BW$6,1)=7,0,MIN(8,BW89)*BW88))),MAX(0,40*MAX(1,BW88)-(BV90)))))</f>
        <v>4</v>
      </c>
      <c r="BX91" s="63">
        <f>IF(AND(BX88=2,BX89=10),4,IF(BX88&lt;=0,0,IF(WEEKDAY(BX$6,1)=1,0,IF(WEEKDAY(BX$6,1)=7,BX88*BX89,MAX(0,BX89-8)*BX88)))+((IF(BX88&lt;=0,0,IF(WEEKDAY(BX$6,1)=1,0,IF(WEEKDAY(BX$6,1)=7,0,MIN(8,BX89)*BX88))))-MIN(IF(BX88&lt;=0,0,IF(WEEKDAY(BX$6,1)=1,0,IF(WEEKDAY(BX$6,1)=7,0,MIN(8,BX89)*BX88))),MAX(0,40*MAX(1,BX88)-(BV90+BW90)))))</f>
        <v>4</v>
      </c>
      <c r="BY91" s="63">
        <f>IF(AND(BY88=2,BY89=10),4,IF(BY88&lt;=0,0,IF(WEEKDAY(BY$6,1)=1,0,IF(WEEKDAY(BY$6,1)=7,BY88*BY89,MAX(0,BY89-8)*BY88)))+((IF(BY88&lt;=0,0,IF(WEEKDAY(BY$6,1)=1,0,IF(WEEKDAY(BY$6,1)=7,0,MIN(8,BY89)*BY88))))-MIN(IF(BY88&lt;=0,0,IF(WEEKDAY(BY$6,1)=1,0,IF(WEEKDAY(BY$6,1)=7,0,MIN(8,BY89)*BY88))),MAX(0,40*MAX(1,BY88)-(BV90+BW90+BX90)))))</f>
        <v>4</v>
      </c>
      <c r="BZ91" s="63">
        <f>IF(AND(BZ88=2,BZ89=10),4,IF(BZ88&lt;=0,0,IF(WEEKDAY(BZ$6,1)=1,0,IF(WEEKDAY(BZ$6,1)=7,BZ88*BZ89,MAX(0,BZ89-8)*BZ88)))+((IF(BZ88&lt;=0,0,IF(WEEKDAY(BZ$6,1)=1,0,IF(WEEKDAY(BZ$6,1)=7,0,MIN(8,BZ89)*BZ88))))-MIN(IF(BZ88&lt;=0,0,IF(WEEKDAY(BZ$6,1)=1,0,IF(WEEKDAY(BZ$6,1)=7,0,MIN(8,BZ89)*BZ88))),MAX(0,40*MAX(1,BZ88)-(BV90+BW90+BX90+BY90)))))</f>
        <v>4</v>
      </c>
      <c r="CA91" s="64">
        <f>IF(AND(CA88=2,CA89=10),20,IF(CA88&lt;=0,0,IF(WEEKDAY(CA$6,1)=1,0,IF(WEEKDAY(CA$6,1)=7,CA88*CA89,MAX(0,CA89-8)*CA88)))+((IF(CA88&lt;=0,0,IF(WEEKDAY(CA$6,1)=1,0,IF(WEEKDAY(CA$6,1)=7,0,MIN(8,CA89)*CA88))))-MIN(IF(CA88&lt;=0,0,IF(WEEKDAY(CA$6,1)=1,0,IF(WEEKDAY(CA$6,1)=7,0,MIN(8,CA89)*CA88))),MAX(0,40*MAX(1,CA88)-(BV90+BW90+BX90+BY90+BZ90)))))</f>
        <v>20</v>
      </c>
      <c r="CB91" s="64">
        <f>IF(AND(CB88=2,CB89=10),0,IF(CB88&lt;=0,0,IF(WEEKDAY(CB$6,1)=1,0,IF(WEEKDAY(CB$6,1)=7,CB88*CB89,MAX(0,CB89-8)*CB88)))+((IF(CB88&lt;=0,0,IF(WEEKDAY(CB$6,1)=1,0,IF(WEEKDAY(CB$6,1)=7,0,MIN(8,CB89)*CB88))))-MIN(IF(CB88&lt;=0,0,IF(WEEKDAY(CB$6,1)=1,0,IF(WEEKDAY(CB$6,1)=7,0,MIN(8,CB89)*CB88))),MAX(0,40*MAX(1,CB88)-(BV90+BW90+BX90+BY90+BZ90+CA90)))))</f>
        <v>0</v>
      </c>
      <c r="CC91" s="63">
        <f>IF(AND(CC88=2,CC89=10),4,IF(CC88&lt;=0,0,IF(WEEKDAY(CC$6,1)=1,0,IF(WEEKDAY(CC$6,1)=7,CC88*CC89,MAX(0,CC89-8)*CC88)))+((IF(CC88&lt;=0,0,IF(WEEKDAY(CC$6,1)=1,0,IF(WEEKDAY(CC$6,1)=7,0,MIN(8,CC89)*CC88))))-MIN(IF(CC88&lt;=0,0,IF(WEEKDAY(CC$6,1)=1,0,IF(WEEKDAY(CC$6,1)=7,0,MIN(8,CC89)*CC88))),MAX(0,40*MAX(1,CC88)-(0)))))</f>
        <v>4</v>
      </c>
      <c r="CD91" s="63">
        <f>IF(AND(CD88=2,CD89=10),4,IF(CD88&lt;=0,0,IF(WEEKDAY(CD$6,1)=1,0,IF(WEEKDAY(CD$6,1)=7,CD88*CD89,MAX(0,CD89-8)*CD88)))+((IF(CD88&lt;=0,0,IF(WEEKDAY(CD$6,1)=1,0,IF(WEEKDAY(CD$6,1)=7,0,MIN(8,CD89)*CD88))))-MIN(IF(CD88&lt;=0,0,IF(WEEKDAY(CD$6,1)=1,0,IF(WEEKDAY(CD$6,1)=7,0,MIN(8,CD89)*CD88))),MAX(0,40*MAX(1,CD88)-(CC90)))))</f>
        <v>4</v>
      </c>
      <c r="CE91" s="63">
        <f>IF(AND(CE88=2,CE89=10),4,IF(CE88&lt;=0,0,IF(WEEKDAY(CE$6,1)=1,0,IF(WEEKDAY(CE$6,1)=7,CE88*CE89,MAX(0,CE89-8)*CE88)))+((IF(CE88&lt;=0,0,IF(WEEKDAY(CE$6,1)=1,0,IF(WEEKDAY(CE$6,1)=7,0,MIN(8,CE89)*CE88))))-MIN(IF(CE88&lt;=0,0,IF(WEEKDAY(CE$6,1)=1,0,IF(WEEKDAY(CE$6,1)=7,0,MIN(8,CE89)*CE88))),MAX(0,40*MAX(1,CE88)-(CC90+CD90)))))</f>
        <v>4</v>
      </c>
      <c r="CF91" s="63">
        <f>IF(AND(CF88=2,CF89=10),4,IF(CF88&lt;=0,0,IF(WEEKDAY(CF$6,1)=1,0,IF(WEEKDAY(CF$6,1)=7,CF88*CF89,MAX(0,CF89-8)*CF88)))+((IF(CF88&lt;=0,0,IF(WEEKDAY(CF$6,1)=1,0,IF(WEEKDAY(CF$6,1)=7,0,MIN(8,CF89)*CF88))))-MIN(IF(CF88&lt;=0,0,IF(WEEKDAY(CF$6,1)=1,0,IF(WEEKDAY(CF$6,1)=7,0,MIN(8,CF89)*CF88))),MAX(0,40*MAX(1,CF88)-(CC90+CD90+CE90)))))</f>
        <v>4</v>
      </c>
      <c r="CG91" s="63">
        <f>IF(AND(CG88=2,CG89=10),4,IF(CG88&lt;=0,0,IF(WEEKDAY(CG$6,1)=1,0,IF(WEEKDAY(CG$6,1)=7,CG88*CG89,MAX(0,CG89-8)*CG88)))+((IF(CG88&lt;=0,0,IF(WEEKDAY(CG$6,1)=1,0,IF(WEEKDAY(CG$6,1)=7,0,MIN(8,CG89)*CG88))))-MIN(IF(CG88&lt;=0,0,IF(WEEKDAY(CG$6,1)=1,0,IF(WEEKDAY(CG$6,1)=7,0,MIN(8,CG89)*CG88))),MAX(0,40*MAX(1,CG88)-(CC90+CD90+CE90+CF90)))))</f>
        <v>4</v>
      </c>
      <c r="CH91" s="64">
        <f>IF(AND(CH88=2,CH89=10),20,IF(CH88&lt;=0,0,IF(WEEKDAY(CH$6,1)=1,0,IF(WEEKDAY(CH$6,1)=7,CH88*CH89,MAX(0,CH89-8)*CH88)))+((IF(CH88&lt;=0,0,IF(WEEKDAY(CH$6,1)=1,0,IF(WEEKDAY(CH$6,1)=7,0,MIN(8,CH89)*CH88))))-MIN(IF(CH88&lt;=0,0,IF(WEEKDAY(CH$6,1)=1,0,IF(WEEKDAY(CH$6,1)=7,0,MIN(8,CH89)*CH88))),MAX(0,40*MAX(1,CH88)-(CC90+CD90+CE90+CF90+CG90)))))</f>
        <v>20</v>
      </c>
      <c r="CI91" s="64">
        <f>IF(AND(CI88=2,CI89=10),0,IF(CI88&lt;=0,0,IF(WEEKDAY(CI$6,1)=1,0,IF(WEEKDAY(CI$6,1)=7,CI88*CI89,MAX(0,CI89-8)*CI88)))+((IF(CI88&lt;=0,0,IF(WEEKDAY(CI$6,1)=1,0,IF(WEEKDAY(CI$6,1)=7,0,MIN(8,CI89)*CI88))))-MIN(IF(CI88&lt;=0,0,IF(WEEKDAY(CI$6,1)=1,0,IF(WEEKDAY(CI$6,1)=7,0,MIN(8,CI89)*CI88))),MAX(0,40*MAX(1,CI88)-(CC90+CD90+CE90+CF90+CG90+CH90)))))</f>
        <v>0</v>
      </c>
      <c r="CJ91" s="63">
        <f>IF(AND(CJ88=2,CJ89=10),4,IF(CJ88&lt;=0,0,IF(WEEKDAY(CJ$6,1)=1,0,IF(WEEKDAY(CJ$6,1)=7,CJ88*CJ89,MAX(0,CJ89-8)*CJ88)))+((IF(CJ88&lt;=0,0,IF(WEEKDAY(CJ$6,1)=1,0,IF(WEEKDAY(CJ$6,1)=7,0,MIN(8,CJ89)*CJ88))))-MIN(IF(CJ88&lt;=0,0,IF(WEEKDAY(CJ$6,1)=1,0,IF(WEEKDAY(CJ$6,1)=7,0,MIN(8,CJ89)*CJ88))),MAX(0,40*MAX(1,CJ88)-(0)))))</f>
        <v>4</v>
      </c>
      <c r="CK91" s="63">
        <f>IF(AND(CK88=2,CK89=10),4,IF(CK88&lt;=0,0,IF(WEEKDAY(CK$6,1)=1,0,IF(WEEKDAY(CK$6,1)=7,CK88*CK89,MAX(0,CK89-8)*CK88)))+((IF(CK88&lt;=0,0,IF(WEEKDAY(CK$6,1)=1,0,IF(WEEKDAY(CK$6,1)=7,0,MIN(8,CK89)*CK88))))-MIN(IF(CK88&lt;=0,0,IF(WEEKDAY(CK$6,1)=1,0,IF(WEEKDAY(CK$6,1)=7,0,MIN(8,CK89)*CK88))),MAX(0,40*MAX(1,CK88)-(CJ90)))))</f>
        <v>4</v>
      </c>
      <c r="CL91" s="63">
        <f>IF(AND(CL88=2,CL89=10),4,IF(CL88&lt;=0,0,IF(WEEKDAY(CL$6,1)=1,0,IF(WEEKDAY(CL$6,1)=7,CL88*CL89,MAX(0,CL89-8)*CL88)))+((IF(CL88&lt;=0,0,IF(WEEKDAY(CL$6,1)=1,0,IF(WEEKDAY(CL$6,1)=7,0,MIN(8,CL89)*CL88))))-MIN(IF(CL88&lt;=0,0,IF(WEEKDAY(CL$6,1)=1,0,IF(WEEKDAY(CL$6,1)=7,0,MIN(8,CL89)*CL88))),MAX(0,40*MAX(1,CL88)-(CJ90+CK90)))))</f>
        <v>4</v>
      </c>
      <c r="CM91" s="63">
        <f>IF(AND(CM88=2,CM89=10),4,IF(CM88&lt;=0,0,IF(WEEKDAY(CM$6,1)=1,0,IF(WEEKDAY(CM$6,1)=7,CM88*CM89,MAX(0,CM89-8)*CM88)))+((IF(CM88&lt;=0,0,IF(WEEKDAY(CM$6,1)=1,0,IF(WEEKDAY(CM$6,1)=7,0,MIN(8,CM89)*CM88))))-MIN(IF(CM88&lt;=0,0,IF(WEEKDAY(CM$6,1)=1,0,IF(WEEKDAY(CM$6,1)=7,0,MIN(8,CM89)*CM88))),MAX(0,40*MAX(1,CM88)-(CJ90+CK90+CL90)))))</f>
        <v>4</v>
      </c>
      <c r="CN91" s="63">
        <f>IF(AND(CN88=2,CN89=10),4,IF(CN88&lt;=0,0,IF(WEEKDAY(CN$6,1)=1,0,IF(WEEKDAY(CN$6,1)=7,CN88*CN89,MAX(0,CN89-8)*CN88)))+((IF(CN88&lt;=0,0,IF(WEEKDAY(CN$6,1)=1,0,IF(WEEKDAY(CN$6,1)=7,0,MIN(8,CN89)*CN88))))-MIN(IF(CN88&lt;=0,0,IF(WEEKDAY(CN$6,1)=1,0,IF(WEEKDAY(CN$6,1)=7,0,MIN(8,CN89)*CN88))),MAX(0,40*MAX(1,CN88)-(CJ90+CK90+CL90+CM90)))))</f>
        <v>4</v>
      </c>
      <c r="CO91" s="64">
        <f>IF(AND(CO88=2,CO89=10),20,IF(CO88&lt;=0,0,IF(WEEKDAY(CO$6,1)=1,0,IF(WEEKDAY(CO$6,1)=7,CO88*CO89,MAX(0,CO89-8)*CO88)))+((IF(CO88&lt;=0,0,IF(WEEKDAY(CO$6,1)=1,0,IF(WEEKDAY(CO$6,1)=7,0,MIN(8,CO89)*CO88))))-MIN(IF(CO88&lt;=0,0,IF(WEEKDAY(CO$6,1)=1,0,IF(WEEKDAY(CO$6,1)=7,0,MIN(8,CO89)*CO88))),MAX(0,40*MAX(1,CO88)-(CJ90+CK90+CL90+CM90+CN90)))))</f>
        <v>20</v>
      </c>
      <c r="CP91" s="64">
        <f>IF(AND(CP88=2,CP89=10),0,IF(CP88&lt;=0,0,IF(WEEKDAY(CP$6,1)=1,0,IF(WEEKDAY(CP$6,1)=7,CP88*CP89,MAX(0,CP89-8)*CP88)))+((IF(CP88&lt;=0,0,IF(WEEKDAY(CP$6,1)=1,0,IF(WEEKDAY(CP$6,1)=7,0,MIN(8,CP89)*CP88))))-MIN(IF(CP88&lt;=0,0,IF(WEEKDAY(CP$6,1)=1,0,IF(WEEKDAY(CP$6,1)=7,0,MIN(8,CP89)*CP88))),MAX(0,40*MAX(1,CP88)-(CJ90+CK90+CL90+CM90+CN90+CO90)))))</f>
        <v>0</v>
      </c>
      <c r="CQ91" s="63">
        <f>IF(AND(CQ88=2,CQ89=10),4,IF(CQ88&lt;=0,0,IF(WEEKDAY(CQ$6,1)=1,0,IF(WEEKDAY(CQ$6,1)=7,CQ88*CQ89,MAX(0,CQ89-8)*CQ88)))+((IF(CQ88&lt;=0,0,IF(WEEKDAY(CQ$6,1)=1,0,IF(WEEKDAY(CQ$6,1)=7,0,MIN(8,CQ89)*CQ88))))-MIN(IF(CQ88&lt;=0,0,IF(WEEKDAY(CQ$6,1)=1,0,IF(WEEKDAY(CQ$6,1)=7,0,MIN(8,CQ89)*CQ88))),MAX(0,40*MAX(1,CQ88)-(0)))))</f>
        <v>4</v>
      </c>
      <c r="CR91" s="63">
        <f>IF(AND(CR88=2,CR89=10),4,IF(CR88&lt;=0,0,IF(WEEKDAY(CR$6,1)=1,0,IF(WEEKDAY(CR$6,1)=7,CR88*CR89,MAX(0,CR89-8)*CR88)))+((IF(CR88&lt;=0,0,IF(WEEKDAY(CR$6,1)=1,0,IF(WEEKDAY(CR$6,1)=7,0,MIN(8,CR89)*CR88))))-MIN(IF(CR88&lt;=0,0,IF(WEEKDAY(CR$6,1)=1,0,IF(WEEKDAY(CR$6,1)=7,0,MIN(8,CR89)*CR88))),MAX(0,40*MAX(1,CR88)-(CQ90)))))</f>
        <v>4</v>
      </c>
      <c r="CS91" s="63">
        <f>IF(AND(CS88=2,CS89=10),4,IF(CS88&lt;=0,0,IF(WEEKDAY(CS$6,1)=1,0,IF(WEEKDAY(CS$6,1)=7,CS88*CS89,MAX(0,CS89-8)*CS88)))+((IF(CS88&lt;=0,0,IF(WEEKDAY(CS$6,1)=1,0,IF(WEEKDAY(CS$6,1)=7,0,MIN(8,CS89)*CS88))))-MIN(IF(CS88&lt;=0,0,IF(WEEKDAY(CS$6,1)=1,0,IF(WEEKDAY(CS$6,1)=7,0,MIN(8,CS89)*CS88))),MAX(0,40*MAX(1,CS88)-(CQ90+CR90)))))</f>
        <v>4</v>
      </c>
      <c r="CT91" s="63">
        <f>IF(AND(CT88=2,CT89=10),4,IF(CT88&lt;=0,0,IF(WEEKDAY(CT$6,1)=1,0,IF(WEEKDAY(CT$6,1)=7,CT88*CT89,MAX(0,CT89-8)*CT88)))+((IF(CT88&lt;=0,0,IF(WEEKDAY(CT$6,1)=1,0,IF(WEEKDAY(CT$6,1)=7,0,MIN(8,CT89)*CT88))))-MIN(IF(CT88&lt;=0,0,IF(WEEKDAY(CT$6,1)=1,0,IF(WEEKDAY(CT$6,1)=7,0,MIN(8,CT89)*CT88))),MAX(0,40*MAX(1,CT88)-(CQ90+CR90+CS90)))))</f>
        <v>4</v>
      </c>
      <c r="CU91" s="63">
        <f>IF(AND(CU88=2,CU89=10),4,IF(CU88&lt;=0,0,IF(WEEKDAY(CU$6,1)=1,0,IF(WEEKDAY(CU$6,1)=7,CU88*CU89,MAX(0,CU89-8)*CU88)))+((IF(CU88&lt;=0,0,IF(WEEKDAY(CU$6,1)=1,0,IF(WEEKDAY(CU$6,1)=7,0,MIN(8,CU89)*CU88))))-MIN(IF(CU88&lt;=0,0,IF(WEEKDAY(CU$6,1)=1,0,IF(WEEKDAY(CU$6,1)=7,0,MIN(8,CU89)*CU88))),MAX(0,40*MAX(1,CU88)-(CQ90+CR90+CS90+CT90)))))</f>
        <v>4</v>
      </c>
      <c r="CV91" s="64">
        <f>IF(AND(CV88=2,CV89=10),20,IF(CV88&lt;=0,0,IF(WEEKDAY(CV$6,1)=1,0,IF(WEEKDAY(CV$6,1)=7,CV88*CV89,MAX(0,CV89-8)*CV88)))+((IF(CV88&lt;=0,0,IF(WEEKDAY(CV$6,1)=1,0,IF(WEEKDAY(CV$6,1)=7,0,MIN(8,CV89)*CV88))))-MIN(IF(CV88&lt;=0,0,IF(WEEKDAY(CV$6,1)=1,0,IF(WEEKDAY(CV$6,1)=7,0,MIN(8,CV89)*CV88))),MAX(0,40*MAX(1,CV88)-(CQ90+CR90+CS90+CT90+CU90)))))</f>
        <v>20</v>
      </c>
      <c r="CW91" s="64">
        <f>IF(AND(CW88=2,CW89=10),0,IF(CW88&lt;=0,0,IF(WEEKDAY(CW$6,1)=1,0,IF(WEEKDAY(CW$6,1)=7,CW88*CW89,MAX(0,CW89-8)*CW88)))+((IF(CW88&lt;=0,0,IF(WEEKDAY(CW$6,1)=1,0,IF(WEEKDAY(CW$6,1)=7,0,MIN(8,CW89)*CW88))))-MIN(IF(CW88&lt;=0,0,IF(WEEKDAY(CW$6,1)=1,0,IF(WEEKDAY(CW$6,1)=7,0,MIN(8,CW89)*CW88))),MAX(0,40*MAX(1,CW88)-(CQ90+CR90+CS90+CT90+CU90+CV90)))))</f>
        <v>0</v>
      </c>
      <c r="CX91" s="63">
        <f>IF(AND(CX88=2,CX89=10),4,IF(CX88&lt;=0,0,IF(WEEKDAY(CX$6,1)=1,0,IF(WEEKDAY(CX$6,1)=7,CX88*CX89,MAX(0,CX89-8)*CX88)))+((IF(CX88&lt;=0,0,IF(WEEKDAY(CX$6,1)=1,0,IF(WEEKDAY(CX$6,1)=7,0,MIN(8,CX89)*CX88))))-MIN(IF(CX88&lt;=0,0,IF(WEEKDAY(CX$6,1)=1,0,IF(WEEKDAY(CX$6,1)=7,0,MIN(8,CX89)*CX88))),MAX(0,40*MAX(1,CX88)-(0)))))</f>
        <v>4</v>
      </c>
      <c r="CY91" s="63">
        <f>IF(AND(CY88=2,CY89=10),4,IF(CY88&lt;=0,0,IF(WEEKDAY(CY$6,1)=1,0,IF(WEEKDAY(CY$6,1)=7,CY88*CY89,MAX(0,CY89-8)*CY88)))+((IF(CY88&lt;=0,0,IF(WEEKDAY(CY$6,1)=1,0,IF(WEEKDAY(CY$6,1)=7,0,MIN(8,CY89)*CY88))))-MIN(IF(CY88&lt;=0,0,IF(WEEKDAY(CY$6,1)=1,0,IF(WEEKDAY(CY$6,1)=7,0,MIN(8,CY89)*CY88))),MAX(0,40*MAX(1,CY88)-(CX90)))))</f>
        <v>4</v>
      </c>
      <c r="CZ91" s="63">
        <f>IF(AND(CZ88=2,CZ89=10),4,IF(CZ88&lt;=0,0,IF(WEEKDAY(CZ$6,1)=1,0,IF(WEEKDAY(CZ$6,1)=7,CZ88*CZ89,MAX(0,CZ89-8)*CZ88)))+((IF(CZ88&lt;=0,0,IF(WEEKDAY(CZ$6,1)=1,0,IF(WEEKDAY(CZ$6,1)=7,0,MIN(8,CZ89)*CZ88))))-MIN(IF(CZ88&lt;=0,0,IF(WEEKDAY(CZ$6,1)=1,0,IF(WEEKDAY(CZ$6,1)=7,0,MIN(8,CZ89)*CZ88))),MAX(0,40*MAX(1,CZ88)-(CX90+CY90)))))</f>
        <v>4</v>
      </c>
      <c r="DA91" s="63">
        <f>IF(AND(DA88=2,DA89=10),4,IF(DA88&lt;=0,0,IF(WEEKDAY(DA$6,1)=1,0,IF(WEEKDAY(DA$6,1)=7,DA88*DA89,MAX(0,DA89-8)*DA88)))+((IF(DA88&lt;=0,0,IF(WEEKDAY(DA$6,1)=1,0,IF(WEEKDAY(DA$6,1)=7,0,MIN(8,DA89)*DA88))))-MIN(IF(DA88&lt;=0,0,IF(WEEKDAY(DA$6,1)=1,0,IF(WEEKDAY(DA$6,1)=7,0,MIN(8,DA89)*DA88))),MAX(0,40*MAX(1,DA88)-(CX90+CY90+CZ90)))))</f>
        <v>4</v>
      </c>
      <c r="DB91" s="63">
        <f>IF(AND(DB88=2,DB89=10),4,IF(DB88&lt;=0,0,IF(WEEKDAY(DB$6,1)=1,0,IF(WEEKDAY(DB$6,1)=7,DB88*DB89,MAX(0,DB89-8)*DB88)))+((IF(DB88&lt;=0,0,IF(WEEKDAY(DB$6,1)=1,0,IF(WEEKDAY(DB$6,1)=7,0,MIN(8,DB89)*DB88))))-MIN(IF(DB88&lt;=0,0,IF(WEEKDAY(DB$6,1)=1,0,IF(WEEKDAY(DB$6,1)=7,0,MIN(8,DB89)*DB88))),MAX(0,40*MAX(1,DB88)-(CX90+CY90+CZ90+DA90)))))</f>
        <v>4</v>
      </c>
      <c r="DC91" s="64">
        <f>IF(AND(DC88=2,DC89=10),20,IF(DC88&lt;=0,0,IF(WEEKDAY(DC$6,1)=1,0,IF(WEEKDAY(DC$6,1)=7,DC88*DC89,MAX(0,DC89-8)*DC88)))+((IF(DC88&lt;=0,0,IF(WEEKDAY(DC$6,1)=1,0,IF(WEEKDAY(DC$6,1)=7,0,MIN(8,DC89)*DC88))))-MIN(IF(DC88&lt;=0,0,IF(WEEKDAY(DC$6,1)=1,0,IF(WEEKDAY(DC$6,1)=7,0,MIN(8,DC89)*DC88))),MAX(0,40*MAX(1,DC88)-(CX90+CY90+CZ90+DA90+DB90)))))</f>
        <v>20</v>
      </c>
      <c r="DD91" s="64">
        <f>IF(AND(DD88=2,DD89=10),0,IF(DD88&lt;=0,0,IF(WEEKDAY(DD$6,1)=1,0,IF(WEEKDAY(DD$6,1)=7,DD88*DD89,MAX(0,DD89-8)*DD88)))+((IF(DD88&lt;=0,0,IF(WEEKDAY(DD$6,1)=1,0,IF(WEEKDAY(DD$6,1)=7,0,MIN(8,DD89)*DD88))))-MIN(IF(DD88&lt;=0,0,IF(WEEKDAY(DD$6,1)=1,0,IF(WEEKDAY(DD$6,1)=7,0,MIN(8,DD89)*DD88))),MAX(0,40*MAX(1,DD88)-(0)))))</f>
        <v>0</v>
      </c>
      <c r="DE91" s="63">
        <f>IF(AND(DE88=2,DE89=10),4,IF(DE88&lt;=0,0,IF(WEEKDAY(DE$6,1)=1,0,IF(WEEKDAY(DE$6,1)=7,DE88*DE89,MAX(0,DE89-8)*DE88)))+((IF(DE88&lt;=0,0,IF(WEEKDAY(DE$6,1)=1,0,IF(WEEKDAY(DE$6,1)=7,0,MIN(8,DE89)*DE88))))-MIN(IF(DE88&lt;=0,0,IF(WEEKDAY(DE$6,1)=1,0,IF(WEEKDAY(DE$6,1)=7,0,MIN(8,DE89)*DE88))),MAX(0,40*MAX(1,DE88)-(0)))))</f>
        <v>4</v>
      </c>
      <c r="DF91" s="63">
        <f>IF(AND(DF88=2,DF89=10),4,IF(DF88&lt;=0,0,IF(WEEKDAY(DF$6,1)=1,0,IF(WEEKDAY(DF$6,1)=7,DF88*DF89,MAX(0,DF89-8)*DF88)))+((IF(DF88&lt;=0,0,IF(WEEKDAY(DF$6,1)=1,0,IF(WEEKDAY(DF$6,1)=7,0,MIN(8,DF89)*DF88))))-MIN(IF(DF88&lt;=0,0,IF(WEEKDAY(DF$6,1)=1,0,IF(WEEKDAY(DF$6,1)=7,0,MIN(8,DF89)*DF88))),MAX(0,40*MAX(1,DF88)-(DE90)))))</f>
        <v>4</v>
      </c>
      <c r="DG91" s="63">
        <f>IF(AND(DG88=2,DG89=10),4,IF(DG88&lt;=0,0,IF(WEEKDAY(DG$6,1)=1,0,IF(WEEKDAY(DG$6,1)=7,DG88*DG89,MAX(0,DG89-8)*DG88)))+((IF(DG88&lt;=0,0,IF(WEEKDAY(DG$6,1)=1,0,IF(WEEKDAY(DG$6,1)=7,0,MIN(8,DG89)*DG88))))-MIN(IF(DG88&lt;=0,0,IF(WEEKDAY(DG$6,1)=1,0,IF(WEEKDAY(DG$6,1)=7,0,MIN(8,DG89)*DG88))),MAX(0,40*MAX(1,DG88)-(DE90+DF90)))))</f>
        <v>4</v>
      </c>
      <c r="DH91" s="63">
        <f>IF(AND(DH88=2,DH89=10),4,IF(DH88&lt;=0,0,IF(WEEKDAY(DH$6,1)=1,0,IF(WEEKDAY(DH$6,1)=7,DH88*DH89,MAX(0,DH89-8)*DH88)))+((IF(DH88&lt;=0,0,IF(WEEKDAY(DH$6,1)=1,0,IF(WEEKDAY(DH$6,1)=7,0,MIN(8,DH89)*DH88))))-MIN(IF(DH88&lt;=0,0,IF(WEEKDAY(DH$6,1)=1,0,IF(WEEKDAY(DH$6,1)=7,0,MIN(8,DH89)*DH88))),MAX(0,40*MAX(1,DH88)-(DE90+DF90+DG90)))))</f>
        <v>4</v>
      </c>
      <c r="DI91" s="63">
        <f>IF(AND(DI88=2,DI89=10),4,IF(DI88&lt;=0,0,IF(WEEKDAY(DI$6,1)=1,0,IF(WEEKDAY(DI$6,1)=7,DI88*DI89,MAX(0,DI89-8)*DI88)))+((IF(DI88&lt;=0,0,IF(WEEKDAY(DI$6,1)=1,0,IF(WEEKDAY(DI$6,1)=7,0,MIN(8,DI89)*DI88))))-MIN(IF(DI88&lt;=0,0,IF(WEEKDAY(DI$6,1)=1,0,IF(WEEKDAY(DI$6,1)=7,0,MIN(8,DI89)*DI88))),MAX(0,40*MAX(1,DI88)-(DE90+DF90+DG90+DH90)))))</f>
        <v>4</v>
      </c>
      <c r="DJ91" s="64">
        <f>IF(AND(DJ88=2,DJ89=10),20,IF(DJ88&lt;=0,0,IF(WEEKDAY(DJ$6,1)=1,0,IF(WEEKDAY(DJ$6,1)=7,DJ88*DJ89,MAX(0,DJ89-8)*DJ88)))+((IF(DJ88&lt;=0,0,IF(WEEKDAY(DJ$6,1)=1,0,IF(WEEKDAY(DJ$6,1)=7,0,MIN(8,DJ89)*DJ88))))-MIN(IF(DJ88&lt;=0,0,IF(WEEKDAY(DJ$6,1)=1,0,IF(WEEKDAY(DJ$6,1)=7,0,MIN(8,DJ89)*DJ88))),MAX(0,40*MAX(1,DJ88)-(DE90+DF90+DG90+DH90+DI90)))))</f>
        <v>20</v>
      </c>
      <c r="DK91" s="64">
        <f>IF(AND(DK88=2,DK89=10),0,IF(DK88&lt;=0,0,IF(WEEKDAY(DK$6,1)=1,0,IF(WEEKDAY(DK$6,1)=7,DK88*DK89,MAX(0,DK89-8)*DK88)))+((IF(DK88&lt;=0,0,IF(WEEKDAY(DK$6,1)=1,0,IF(WEEKDAY(DK$6,1)=7,0,MIN(8,DK89)*DK88))))-MIN(IF(DK88&lt;=0,0,IF(WEEKDAY(DK$6,1)=1,0,IF(WEEKDAY(DK$6,1)=7,0,MIN(8,DK89)*DK88))),MAX(0,40*MAX(1,DK88)-(DE90+DF90+DG90+DH90+DI90+DJ90)))))</f>
        <v>0</v>
      </c>
      <c r="DL91" s="63">
        <f>IF(AND(DL88=2,DL89=10),4,IF(DL88&lt;=0,0,IF(WEEKDAY(DL$6,1)=1,0,IF(WEEKDAY(DL$6,1)=7,DL88*DL89,MAX(0,DL89-8)*DL88)))+((IF(DL88&lt;=0,0,IF(WEEKDAY(DL$6,1)=1,0,IF(WEEKDAY(DL$6,1)=7,0,MIN(8,DL89)*DL88))))-MIN(IF(DL88&lt;=0,0,IF(WEEKDAY(DL$6,1)=1,0,IF(WEEKDAY(DL$6,1)=7,0,MIN(8,DL89)*DL88))),MAX(0,40*MAX(1,DL88)-(0)))))</f>
        <v>4</v>
      </c>
      <c r="DM91" s="63">
        <f>IF(AND(DM88=2,DM89=10),4,IF(DM88&lt;=0,0,IF(WEEKDAY(DM$6,1)=1,0,IF(WEEKDAY(DM$6,1)=7,DM88*DM89,MAX(0,DM89-8)*DM88)))+((IF(DM88&lt;=0,0,IF(WEEKDAY(DM$6,1)=1,0,IF(WEEKDAY(DM$6,1)=7,0,MIN(8,DM89)*DM88))))-MIN(IF(DM88&lt;=0,0,IF(WEEKDAY(DM$6,1)=1,0,IF(WEEKDAY(DM$6,1)=7,0,MIN(8,DM89)*DM88))),MAX(0,40*MAX(1,DM88)-(DL90)))))</f>
        <v>4</v>
      </c>
      <c r="DN91" s="63">
        <f>IF(AND(DN88=2,DN89=10),4,IF(DN88&lt;=0,0,IF(WEEKDAY(DN$6,1)=1,0,IF(WEEKDAY(DN$6,1)=7,DN88*DN89,MAX(0,DN89-8)*DN88)))+((IF(DN88&lt;=0,0,IF(WEEKDAY(DN$6,1)=1,0,IF(WEEKDAY(DN$6,1)=7,0,MIN(8,DN89)*DN88))))-MIN(IF(DN88&lt;=0,0,IF(WEEKDAY(DN$6,1)=1,0,IF(WEEKDAY(DN$6,1)=7,0,MIN(8,DN89)*DN88))),MAX(0,40*MAX(1,DN88)-(DL90+DM90)))))</f>
        <v>4</v>
      </c>
      <c r="DO91" s="63">
        <f>IF(AND(DO88=2,DO89=10),4,IF(DO88&lt;=0,0,IF(WEEKDAY(DO$6,1)=1,0,IF(WEEKDAY(DO$6,1)=7,DO88*DO89,MAX(0,DO89-8)*DO88)))+((IF(DO88&lt;=0,0,IF(WEEKDAY(DO$6,1)=1,0,IF(WEEKDAY(DO$6,1)=7,0,MIN(8,DO89)*DO88))))-MIN(IF(DO88&lt;=0,0,IF(WEEKDAY(DO$6,1)=1,0,IF(WEEKDAY(DO$6,1)=7,0,MIN(8,DO89)*DO88))),MAX(0,40*MAX(1,DO88)-(DL90+DM90+DN90)))))</f>
        <v>4</v>
      </c>
      <c r="DP91" s="63">
        <f>IF(AND(DP88=2,DP89=10),4,IF(DP88&lt;=0,0,IF(WEEKDAY(DP$6,1)=1,0,IF(WEEKDAY(DP$6,1)=7,DP88*DP89,MAX(0,DP89-8)*DP88)))+((IF(DP88&lt;=0,0,IF(WEEKDAY(DP$6,1)=1,0,IF(WEEKDAY(DP$6,1)=7,0,MIN(8,DP89)*DP88))))-MIN(IF(DP88&lt;=0,0,IF(WEEKDAY(DP$6,1)=1,0,IF(WEEKDAY(DP$6,1)=7,0,MIN(8,DP89)*DP88))),MAX(0,40*MAX(1,DP88)-(DL90+DM90+DN90+DO90)))))</f>
        <v>4</v>
      </c>
      <c r="DQ91" s="64">
        <f>IF(AND(DQ88=2,DQ89=10),20,IF(DQ88&lt;=0,0,IF(WEEKDAY(DQ$6,1)=1,0,IF(WEEKDAY(DQ$6,1)=7,DQ88*DQ89,MAX(0,DQ89-8)*DQ88)))+((IF(DQ88&lt;=0,0,IF(WEEKDAY(DQ$6,1)=1,0,IF(WEEKDAY(DQ$6,1)=7,0,MIN(8,DQ89)*DQ88))))-MIN(IF(DQ88&lt;=0,0,IF(WEEKDAY(DQ$6,1)=1,0,IF(WEEKDAY(DQ$6,1)=7,0,MIN(8,DQ89)*DQ88))),MAX(0,40*MAX(1,DQ88)-(DL90+DM90+DN90+DO90+DP90)))))</f>
        <v>20</v>
      </c>
      <c r="DR91" s="64">
        <f>IF(AND(DR88=2,DR89=10),0,IF(DR88&lt;=0,0,IF(WEEKDAY(DR$6,1)=1,0,IF(WEEKDAY(DR$6,1)=7,DR88*DR89,MAX(0,DR89-8)*DR88)))+((IF(DR88&lt;=0,0,IF(WEEKDAY(DR$6,1)=1,0,IF(WEEKDAY(DR$6,1)=7,0,MIN(8,DR89)*DR88))))-MIN(IF(DR88&lt;=0,0,IF(WEEKDAY(DR$6,1)=1,0,IF(WEEKDAY(DR$6,1)=7,0,MIN(8,DR89)*DR88))),MAX(0,40*MAX(1,DR88)-(DL90+DM90+DN90+DO90+DP90+DQ90)))))</f>
        <v>0</v>
      </c>
      <c r="DS91" s="63">
        <f>IF(AND(DS88=2,DS89=10),4,IF(DS88&lt;=0,0,IF(WEEKDAY(DS$6,1)=1,0,IF(WEEKDAY(DS$6,1)=7,DS88*DS89,MAX(0,DS89-8)*DS88)))+((IF(DS88&lt;=0,0,IF(WEEKDAY(DS$6,1)=1,0,IF(WEEKDAY(DS$6,1)=7,0,MIN(8,DS89)*DS88))))-MIN(IF(DS88&lt;=0,0,IF(WEEKDAY(DS$6,1)=1,0,IF(WEEKDAY(DS$6,1)=7,0,MIN(8,DS89)*DS88))),MAX(0,40*MAX(1,DS88)-(0)))))</f>
        <v>4</v>
      </c>
      <c r="DT91" s="63">
        <f>IF(AND(DT88=2,DT89=8),0,IF(DT88&lt;=0,0,IF(WEEKDAY(DT$6,1)=1,0,IF(WEEKDAY(DT$6,1)=7,DT88*DT89,MAX(0,DT89-8)*DT88)))+((IF(DT88&lt;=0,0,IF(WEEKDAY(DT$6,1)=1,0,IF(WEEKDAY(DT$6,1)=7,0,MIN(8,DT89)*DT88))))-MIN(IF(DT88&lt;=0,0,IF(WEEKDAY(DT$6,1)=1,0,IF(WEEKDAY(DT$6,1)=7,0,MIN(8,DT89)*DT88))),MAX(0,40*MAX(1,DT88)-(0)))))</f>
        <v>0</v>
      </c>
      <c r="DU91" s="63">
        <f>IF(AND(DU88=2,DU89=8),0,IF(DU88&lt;=0,0,IF(WEEKDAY(DU$6,1)=1,0,IF(WEEKDAY(DU$6,1)=7,DU88*DU89,MAX(0,DU89-8)*DU88)))+((IF(DU88&lt;=0,0,IF(WEEKDAY(DU$6,1)=1,0,IF(WEEKDAY(DU$6,1)=7,0,MIN(8,DU89)*DU88))))-MIN(IF(DU88&lt;=0,0,IF(WEEKDAY(DU$6,1)=1,0,IF(WEEKDAY(DU$6,1)=7,0,MIN(8,DU89)*DU88))),MAX(0,40*MAX(1,DU88)-(DT90)))))</f>
        <v>0</v>
      </c>
      <c r="DV91" s="63">
        <f>IF(AND(DV88=2,DV89=8),0,IF(DV88&lt;=0,0,IF(WEEKDAY(DV$6,1)=1,0,IF(WEEKDAY(DV$6,1)=7,DV88*DV89,MAX(0,DV89-8)*DV88)))+((IF(DV88&lt;=0,0,IF(WEEKDAY(DV$6,1)=1,0,IF(WEEKDAY(DV$6,1)=7,0,MIN(8,DV89)*DV88))))-MIN(IF(DV88&lt;=0,0,IF(WEEKDAY(DV$6,1)=1,0,IF(WEEKDAY(DV$6,1)=7,0,MIN(8,DV89)*DV88))),MAX(0,40*MAX(1,DV88)-(DT90+DU90)))))</f>
        <v>0</v>
      </c>
      <c r="DW91" s="63">
        <f>IF(AND(DW88=2,DW89=8),0,IF(DW88&lt;=0,0,IF(WEEKDAY(DW$6,1)=1,0,IF(WEEKDAY(DW$6,1)=7,DW88*DW89,MAX(0,DW89-8)*DW88)))+((IF(DW88&lt;=0,0,IF(WEEKDAY(DW$6,1)=1,0,IF(WEEKDAY(DW$6,1)=7,0,MIN(8,DW89)*DW88))))-MIN(IF(DW88&lt;=0,0,IF(WEEKDAY(DW$6,1)=1,0,IF(WEEKDAY(DW$6,1)=7,0,MIN(8,DW89)*DW88))),MAX(0,40*MAX(1,DW88)-(DT90+DU90+DV90)))))</f>
        <v>0</v>
      </c>
      <c r="DX91" s="64">
        <f>IF(AND(DX88=0,DX89=0),0,IF(DX88&lt;=0,0,IF(WEEKDAY(DX$6,1)=1,0,IF(WEEKDAY(DX$6,1)=7,DX88*DX89,MAX(0,DX89-8)*DX88)))+((IF(DX88&lt;=0,0,IF(WEEKDAY(DX$6,1)=1,0,IF(WEEKDAY(DX$6,1)=7,0,MIN(8,DX89)*DX88))))-MIN(IF(DX88&lt;=0,0,IF(WEEKDAY(DX$6,1)=1,0,IF(WEEKDAY(DX$6,1)=7,0,MIN(8,DX89)*DX88))),MAX(0,40*MAX(1,DX88)-(0)))))</f>
        <v>0</v>
      </c>
      <c r="DY91" s="64">
        <f>IF(AND(DY88=0,DY89=0),0,IF(DY88&lt;=0,0,IF(WEEKDAY(DY$6,1)=1,0,IF(WEEKDAY(DY$6,1)=7,DY88*DY89,MAX(0,DY89-8)*DY88)))+((IF(DY88&lt;=0,0,IF(WEEKDAY(DY$6,1)=1,0,IF(WEEKDAY(DY$6,1)=7,0,MIN(8,DY89)*DY88))))-MIN(IF(DY88&lt;=0,0,IF(WEEKDAY(DY$6,1)=1,0,IF(WEEKDAY(DY$6,1)=7,0,MIN(8,DY89)*DY88))),MAX(0,40*MAX(1,DY88)-(DX90)))))</f>
        <v>0</v>
      </c>
      <c r="DZ91" s="63">
        <f>IF(AND(DZ88=2,DZ89=8),0,IF(DZ88&lt;=0,0,IF(WEEKDAY(DZ$6,1)=1,0,IF(WEEKDAY(DZ$6,1)=7,DZ88*DZ89,MAX(0,DZ89-8)*DZ88)))+((IF(DZ88&lt;=0,0,IF(WEEKDAY(DZ$6,1)=1,0,IF(WEEKDAY(DZ$6,1)=7,0,MIN(8,DZ89)*DZ88))))-MIN(IF(DZ88&lt;=0,0,IF(WEEKDAY(DZ$6,1)=1,0,IF(WEEKDAY(DZ$6,1)=7,0,MIN(8,DZ89)*DZ88))),MAX(0,40*MAX(1,DZ88)-(0)))))</f>
        <v>0</v>
      </c>
      <c r="EA91" s="63">
        <f>IF(AND(EA88=2,EA89=8),0,IF(EA88&lt;=0,0,IF(WEEKDAY(EA$6,1)=1,0,IF(WEEKDAY(EA$6,1)=7,EA88*EA89,MAX(0,EA89-8)*EA88)))+((IF(EA88&lt;=0,0,IF(WEEKDAY(EA$6,1)=1,0,IF(WEEKDAY(EA$6,1)=7,0,MIN(8,EA89)*EA88))))-MIN(IF(EA88&lt;=0,0,IF(WEEKDAY(EA$6,1)=1,0,IF(WEEKDAY(EA$6,1)=7,0,MIN(8,EA89)*EA88))),MAX(0,40*MAX(1,EA88)-(DZ90)))))</f>
        <v>0</v>
      </c>
      <c r="EB91" s="63">
        <f>IF(AND(EB88=2,EB89=8),0,IF(EB88&lt;=0,0,IF(WEEKDAY(EB$6,1)=1,0,IF(WEEKDAY(EB$6,1)=7,EB88*EB89,MAX(0,EB89-8)*EB88)))+((IF(EB88&lt;=0,0,IF(WEEKDAY(EB$6,1)=1,0,IF(WEEKDAY(EB$6,1)=7,0,MIN(8,EB89)*EB88))))-MIN(IF(EB88&lt;=0,0,IF(WEEKDAY(EB$6,1)=1,0,IF(WEEKDAY(EB$6,1)=7,0,MIN(8,EB89)*EB88))),MAX(0,40*MAX(1,EB88)-(DZ90+EA90)))))</f>
        <v>0</v>
      </c>
      <c r="EC91" s="63">
        <f>IF(AND(EC88=2,EC89=8),0,IF(EC88&lt;=0,0,IF(WEEKDAY(EC$6,1)=1,0,IF(WEEKDAY(EC$6,1)=7,EC88*EC89,MAX(0,EC89-8)*EC88)))+((IF(EC88&lt;=0,0,IF(WEEKDAY(EC$6,1)=1,0,IF(WEEKDAY(EC$6,1)=7,0,MIN(8,EC89)*EC88))))-MIN(IF(EC88&lt;=0,0,IF(WEEKDAY(EC$6,1)=1,0,IF(WEEKDAY(EC$6,1)=7,0,MIN(8,EC89)*EC88))),MAX(0,40*MAX(1,EC88)-(DZ90+EA90+EB90)))))</f>
        <v>0</v>
      </c>
      <c r="ED91" s="63">
        <f>IF(AND(ED88=2,ED89=8),0,IF(ED88&lt;=0,0,IF(WEEKDAY(ED$6,1)=1,0,IF(WEEKDAY(ED$6,1)=7,ED88*ED89,MAX(0,ED89-8)*ED88)))+((IF(ED88&lt;=0,0,IF(WEEKDAY(ED$6,1)=1,0,IF(WEEKDAY(ED$6,1)=7,0,MIN(8,ED89)*ED88))))-MIN(IF(ED88&lt;=0,0,IF(WEEKDAY(ED$6,1)=1,0,IF(WEEKDAY(ED$6,1)=7,0,MIN(8,ED89)*ED88))),MAX(0,40*MAX(1,ED88)-(DZ90+EA90+EB90+EC90)))))</f>
        <v>0</v>
      </c>
      <c r="EE91" s="64">
        <f>IF(AND(EE88=0,EE89=0),0,IF(EE88&lt;=0,0,IF(WEEKDAY(EE$6,1)=1,0,IF(WEEKDAY(EE$6,1)=7,EE88*EE89,MAX(0,EE89-8)*EE88)))+((IF(EE88&lt;=0,0,IF(WEEKDAY(EE$6,1)=1,0,IF(WEEKDAY(EE$6,1)=7,0,MIN(8,EE89)*EE88))))-MIN(IF(EE88&lt;=0,0,IF(WEEKDAY(EE$6,1)=1,0,IF(WEEKDAY(EE$6,1)=7,0,MIN(8,EE89)*EE88))),MAX(0,40*MAX(1,EE88)-(0)))))</f>
        <v>0</v>
      </c>
      <c r="EF91" s="64">
        <f>IF(AND(EF88=0,EF89=0),0,IF(EF88&lt;=0,0,IF(WEEKDAY(EF$6,1)=1,0,IF(WEEKDAY(EF$6,1)=7,EF88*EF89,MAX(0,EF89-8)*EF88)))+((IF(EF88&lt;=0,0,IF(WEEKDAY(EF$6,1)=1,0,IF(WEEKDAY(EF$6,1)=7,0,MIN(8,EF89)*EF88))))-MIN(IF(EF88&lt;=0,0,IF(WEEKDAY(EF$6,1)=1,0,IF(WEEKDAY(EF$6,1)=7,0,MIN(8,EF89)*EF88))),MAX(0,40*MAX(1,EF88)-(EE90)))))</f>
        <v>0</v>
      </c>
      <c r="EG91" s="63">
        <f>IF(AND(EG88=2,EG89=8),0,IF(EG88&lt;=0,0,IF(WEEKDAY(EG$6,1)=1,0,IF(WEEKDAY(EG$6,1)=7,EG88*EG89,MAX(0,EG89-8)*EG88)))+((IF(EG88&lt;=0,0,IF(WEEKDAY(EG$6,1)=1,0,IF(WEEKDAY(EG$6,1)=7,0,MIN(8,EG89)*EG88))))-MIN(IF(EG88&lt;=0,0,IF(WEEKDAY(EG$6,1)=1,0,IF(WEEKDAY(EG$6,1)=7,0,MIN(8,EG89)*EG88))),MAX(0,40*MAX(1,EG88)-(0)))))</f>
        <v>0</v>
      </c>
      <c r="EH91" s="63">
        <f>IF(AND(EH88=2,EH89=8),0,IF(EH88&lt;=0,0,IF(WEEKDAY(EH$6,1)=1,0,IF(WEEKDAY(EH$6,1)=7,EH88*EH89,MAX(0,EH89-8)*EH88)))+((IF(EH88&lt;=0,0,IF(WEEKDAY(EH$6,1)=1,0,IF(WEEKDAY(EH$6,1)=7,0,MIN(8,EH89)*EH88))))-MIN(IF(EH88&lt;=0,0,IF(WEEKDAY(EH$6,1)=1,0,IF(WEEKDAY(EH$6,1)=7,0,MIN(8,EH89)*EH88))),MAX(0,40*MAX(1,EH88)-(EG90)))))</f>
        <v>0</v>
      </c>
      <c r="EI91" s="63">
        <f>IF(AND(EI88=2,EI89=8),0,IF(EI88&lt;=0,0,IF(WEEKDAY(EI$6,1)=1,0,IF(WEEKDAY(EI$6,1)=7,EI88*EI89,MAX(0,EI89-8)*EI88)))+((IF(EI88&lt;=0,0,IF(WEEKDAY(EI$6,1)=1,0,IF(WEEKDAY(EI$6,1)=7,0,MIN(8,EI89)*EI88))))-MIN(IF(EI88&lt;=0,0,IF(WEEKDAY(EI$6,1)=1,0,IF(WEEKDAY(EI$6,1)=7,0,MIN(8,EI89)*EI88))),MAX(0,40*MAX(1,EI88)-(EG90+EH90)))))</f>
        <v>0</v>
      </c>
      <c r="EJ91" s="63">
        <f>IF(AND(EJ88=2,EJ89=8),0,IF(EJ88&lt;=0,0,IF(WEEKDAY(EJ$6,1)=1,0,IF(WEEKDAY(EJ$6,1)=7,EJ88*EJ89,MAX(0,EJ89-8)*EJ88)))+((IF(EJ88&lt;=0,0,IF(WEEKDAY(EJ$6,1)=1,0,IF(WEEKDAY(EJ$6,1)=7,0,MIN(8,EJ89)*EJ88))))-MIN(IF(EJ88&lt;=0,0,IF(WEEKDAY(EJ$6,1)=1,0,IF(WEEKDAY(EJ$6,1)=7,0,MIN(8,EJ89)*EJ88))),MAX(0,40*MAX(1,EJ88)-(EG90+EH90+EI90)))))</f>
        <v>0</v>
      </c>
      <c r="EK91" s="65">
        <f>IF(AND(EK88=2,EK89=8),0,IF(EK88&lt;=0,0,IF(WEEKDAY(EK$6,1)=1,0,IF(WEEKDAY(EK$6,1)=7,EK88*EK89,MAX(0,EK89-8)*EK88)))+((IF(EK88&lt;=0,0,IF(WEEKDAY(EK$6,1)=1,0,IF(WEEKDAY(EK$6,1)=7,0,MIN(8,EK89)*EK88))))-MIN(IF(EK88&lt;=0,0,IF(WEEKDAY(EK$6,1)=1,0,IF(WEEKDAY(EK$6,1)=7,0,MIN(8,EK89)*EK88))),MAX(0,40*MAX(1,EK88)-(EG90+EH90+EI90+EJ90)))))</f>
        <v>0</v>
      </c>
      <c r="OU91" s="28" t="s">
        <v>134</v>
      </c>
    </row>
    <row r="92" ht="16" customHeight="1" spans="1:411" x14ac:dyDescent="0.25">
      <c r="A92" s="45"/>
      <c r="B92" s="79"/>
      <c r="C92" s="61">
        <f>H87*N(D92)</f>
        <v>32049.000000000004</v>
      </c>
      <c r="D92" s="61">
        <f>IF(TRIM(IF(TRIM(B91)&lt;&gt;"",B91,B87))="","No rate",IFERROR(INDEX('Rate Tables'!E$7:E$158,MATCH(IF(TRIM(B91)&lt;&gt;"",B91,B87),'Rate Tables'!A$7:A$158,0)),"No rate"))</f>
        <v>178.05</v>
      </c>
      <c r="E92" s="55" t="s">
        <v>64</v>
      </c>
      <c r="F92" s="49"/>
      <c r="G92" s="49"/>
      <c r="H92" s="49"/>
      <c r="I92" s="49"/>
      <c r="J92" s="50"/>
      <c r="K92" s="62">
        <f>IF(AND(K88=0,K89=0),0,IF(K88&lt;=0,0,IF(WEEKDAY(K$6,1)=1,K88*K89,0)))</f>
        <v>0</v>
      </c>
      <c r="L92" s="63">
        <f>IF(AND(L88=0,L89=0),0,IF(L88&lt;=0,0,IF(WEEKDAY(L$6,1)=1,L88*L89,0)))</f>
        <v>0</v>
      </c>
      <c r="M92" s="63">
        <f>IF(AND(M88=0,M89=0),0,IF(M88&lt;=0,0,IF(WEEKDAY(M$6,1)=1,M88*M89,0)))</f>
        <v>0</v>
      </c>
      <c r="N92" s="63">
        <f>IF(AND(N88=0,N89=0),0,IF(N88&lt;=0,0,IF(WEEKDAY(N$6,1)=1,N88*N89,0)))</f>
        <v>0</v>
      </c>
      <c r="O92" s="63">
        <f>IF(AND(O88=0,O89=0),0,IF(O88&lt;=0,0,IF(WEEKDAY(O$6,1)=1,O88*O89,0)))</f>
        <v>0</v>
      </c>
      <c r="P92" s="64">
        <f>IF(AND(P88=0,P89=0),0,IF(P88&lt;=0,0,IF(WEEKDAY(P$6,1)=1,P88*P89,0)))</f>
        <v>0</v>
      </c>
      <c r="Q92" s="64">
        <f>IF(AND(Q88=0,Q89=0),0,IF(Q88&lt;=0,0,IF(WEEKDAY(Q$6,1)=1,Q88*Q89,0)))</f>
        <v>0</v>
      </c>
      <c r="R92" s="63">
        <f>IF(AND(R88=0,R89=0),0,IF(R88&lt;=0,0,IF(WEEKDAY(R$6,1)=1,R88*R89,0)))</f>
        <v>0</v>
      </c>
      <c r="S92" s="63">
        <f>IF(AND(S88=0,S89=0),0,IF(S88&lt;=0,0,IF(WEEKDAY(S$6,1)=1,S88*S89,0)))</f>
        <v>0</v>
      </c>
      <c r="T92" s="63">
        <f>IF(AND(T88=0,T89=0),0,IF(T88&lt;=0,0,IF(WEEKDAY(T$6,1)=1,T88*T89,0)))</f>
        <v>0</v>
      </c>
      <c r="U92" s="63">
        <f>IF(AND(U88=0,U89=0),0,IF(U88&lt;=0,0,IF(WEEKDAY(U$6,1)=1,U88*U89,0)))</f>
        <v>0</v>
      </c>
      <c r="V92" s="63">
        <f>IF(AND(V88=0,V89=0),0,IF(V88&lt;=0,0,IF(WEEKDAY(V$6,1)=1,V88*V89,0)))</f>
        <v>0</v>
      </c>
      <c r="W92" s="64">
        <f>IF(AND(W88=0,W89=0),0,IF(W88&lt;=0,0,IF(WEEKDAY(W$6,1)=1,W88*W89,0)))</f>
        <v>0</v>
      </c>
      <c r="X92" s="64">
        <f>IF(AND(X88=0,X89=0),0,IF(X88&lt;=0,0,IF(WEEKDAY(X$6,1)=1,X88*X89,0)))</f>
        <v>0</v>
      </c>
      <c r="Y92" s="63">
        <f>IF(AND(Y88=0,Y89=0),0,IF(Y88&lt;=0,0,IF(WEEKDAY(Y$6,1)=1,Y88*Y89,0)))</f>
        <v>0</v>
      </c>
      <c r="Z92" s="63">
        <f>IF(AND(Z88=0,Z89=0),0,IF(Z88&lt;=0,0,IF(WEEKDAY(Z$6,1)=1,Z88*Z89,0)))</f>
        <v>0</v>
      </c>
      <c r="AA92" s="63">
        <f>IF(AND(AA88=0,AA89=0),0,IF(AA88&lt;=0,0,IF(WEEKDAY(AA$6,1)=1,AA88*AA89,0)))</f>
        <v>0</v>
      </c>
      <c r="AB92" s="63">
        <f>IF(AND(AB88=0,AB89=0),0,IF(AB88&lt;=0,0,IF(WEEKDAY(AB$6,1)=1,AB88*AB89,0)))</f>
        <v>0</v>
      </c>
      <c r="AC92" s="63">
        <f>IF(AND(AC88=0,AC89=0),0,IF(AC88&lt;=0,0,IF(WEEKDAY(AC$6,1)=1,AC88*AC89,0)))</f>
        <v>0</v>
      </c>
      <c r="AD92" s="64">
        <f>IF(AND(AD88=0,AD89=0),0,IF(AD88&lt;=0,0,IF(WEEKDAY(AD$6,1)=1,AD88*AD89,0)))</f>
        <v>0</v>
      </c>
      <c r="AE92" s="64">
        <f>IF(AND(AE88=0,AE89=0),0,IF(AE88&lt;=0,0,IF(WEEKDAY(AE$6,1)=1,AE88*AE89,0)))</f>
        <v>0</v>
      </c>
      <c r="AF92" s="63">
        <f>IF(AND(AF88=2,AF89=8),0,IF(AF88&lt;=0,0,IF(WEEKDAY(AF$6,1)=1,AF88*AF89,0)))</f>
        <v>0</v>
      </c>
      <c r="AG92" s="63">
        <f>IF(AND(AG88=2,AG89=8),0,IF(AG88&lt;=0,0,IF(WEEKDAY(AG$6,1)=1,AG88*AG89,0)))</f>
        <v>0</v>
      </c>
      <c r="AH92" s="63">
        <f>IF(AND(AH88=2,AH89=8),0,IF(AH88&lt;=0,0,IF(WEEKDAY(AH$6,1)=1,AH88*AH89,0)))</f>
        <v>0</v>
      </c>
      <c r="AI92" s="63">
        <f>IF(AND(AI88=2,AI89=8),0,IF(AI88&lt;=0,0,IF(WEEKDAY(AI$6,1)=1,AI88*AI89,0)))</f>
        <v>0</v>
      </c>
      <c r="AJ92" s="63">
        <f>IF(AND(AJ88=2,AJ89=8),0,IF(AJ88&lt;=0,0,IF(WEEKDAY(AJ$6,1)=1,AJ88*AJ89,0)))</f>
        <v>0</v>
      </c>
      <c r="AK92" s="64">
        <f>IF(AND(AK88=0,AK89=0),0,IF(AK88&lt;=0,0,IF(WEEKDAY(AK$6,1)=1,AK88*AK89,0)))</f>
        <v>0</v>
      </c>
      <c r="AL92" s="64">
        <f>IF(AND(AL88=0,AL89=0),0,IF(AL88&lt;=0,0,IF(WEEKDAY(AL$6,1)=1,AL88*AL89,0)))</f>
        <v>0</v>
      </c>
      <c r="AM92" s="63">
        <f>IF(AND(AM88=2,AM89=8),0,IF(AM88&lt;=0,0,IF(WEEKDAY(AM$6,1)=1,AM88*AM89,0)))</f>
        <v>0</v>
      </c>
      <c r="AN92" s="63">
        <f>IF(AND(AN88=2,AN89=8),0,IF(AN88&lt;=0,0,IF(WEEKDAY(AN$6,1)=1,AN88*AN89,0)))</f>
        <v>0</v>
      </c>
      <c r="AO92" s="63">
        <f>IF(AND(AO88=2,AO89=8),0,IF(AO88&lt;=0,0,IF(WEEKDAY(AO$6,1)=1,AO88*AO89,0)))</f>
        <v>0</v>
      </c>
      <c r="AP92" s="63">
        <f>IF(AND(AP88=2,AP89=8),0,IF(AP88&lt;=0,0,IF(WEEKDAY(AP$6,1)=1,AP88*AP89,0)))</f>
        <v>0</v>
      </c>
      <c r="AQ92" s="63">
        <f>IF(AND(AQ88=2,AQ89=8),0,IF(AQ88&lt;=0,0,IF(WEEKDAY(AQ$6,1)=1,AQ88*AQ89,0)))</f>
        <v>0</v>
      </c>
      <c r="AR92" s="64">
        <f>IF(AND(AR88=0,AR89=0),0,IF(AR88&lt;=0,0,IF(WEEKDAY(AR$6,1)=1,AR88*AR89,0)))</f>
        <v>0</v>
      </c>
      <c r="AS92" s="64">
        <f>IF(AND(AS88=0,AS89=0),0,IF(AS88&lt;=0,0,IF(WEEKDAY(AS$6,1)=1,AS88*AS89,0)))</f>
        <v>0</v>
      </c>
      <c r="AT92" s="63">
        <f>IF(AND(AT88=2,AT89=8),0,IF(AT88&lt;=0,0,IF(WEEKDAY(AT$6,1)=1,AT88*AT89,0)))</f>
        <v>0</v>
      </c>
      <c r="AU92" s="63">
        <f>IF(AND(AU88=2,AU89=8),0,IF(AU88&lt;=0,0,IF(WEEKDAY(AU$6,1)=1,AU88*AU89,0)))</f>
        <v>0</v>
      </c>
      <c r="AV92" s="63">
        <f>IF(AND(AV88=2,AV89=8),0,IF(AV88&lt;=0,0,IF(WEEKDAY(AV$6,1)=1,AV88*AV89,0)))</f>
        <v>0</v>
      </c>
      <c r="AW92" s="63">
        <f>IF(AND(AW88=2,AW89=8),0,IF(AW88&lt;=0,0,IF(WEEKDAY(AW$6,1)=1,AW88*AW89,0)))</f>
        <v>0</v>
      </c>
      <c r="AX92" s="63">
        <f>IF(AND(AX88=2,AX89=8),0,IF(AX88&lt;=0,0,IF(WEEKDAY(AX$6,1)=1,AX88*AX89,0)))</f>
        <v>0</v>
      </c>
      <c r="AY92" s="64">
        <f>IF(AND(AY88=0,AY89=0),0,IF(AY88&lt;=0,0,IF(WEEKDAY(AY$6,1)=1,AY88*AY89,0)))</f>
        <v>0</v>
      </c>
      <c r="AZ92" s="64">
        <f>IF(AND(AZ88=0,AZ89=0),0,IF(AZ88&lt;=0,0,IF(WEEKDAY(AZ$6,1)=1,AZ88*AZ89,0)))</f>
        <v>0</v>
      </c>
      <c r="BA92" s="63">
        <f>IF(AND(BA88=2,BA89=8),0,IF(BA88&lt;=0,0,IF(WEEKDAY(BA$6,1)=1,BA88*BA89,0)))</f>
        <v>0</v>
      </c>
      <c r="BB92" s="63">
        <f>IF(AND(BB88=2,BB89=8),0,IF(BB88&lt;=0,0,IF(WEEKDAY(BB$6,1)=1,BB88*BB89,0)))</f>
        <v>0</v>
      </c>
      <c r="BC92" s="63">
        <f>IF(AND(BC88=2,BC89=8),0,IF(BC88&lt;=0,0,IF(WEEKDAY(BC$6,1)=1,BC88*BC89,0)))</f>
        <v>0</v>
      </c>
      <c r="BD92" s="63">
        <f>IF(AND(BD88=2,BD89=8),0,IF(BD88&lt;=0,0,IF(WEEKDAY(BD$6,1)=1,BD88*BD89,0)))</f>
        <v>0</v>
      </c>
      <c r="BE92" s="63">
        <f>IF(AND(BE88=2,BE89=8),0,IF(BE88&lt;=0,0,IF(WEEKDAY(BE$6,1)=1,BE88*BE89,0)))</f>
        <v>0</v>
      </c>
      <c r="BF92" s="64">
        <f>IF(AND(BF88=0,BF89=0),0,IF(BF88&lt;=0,0,IF(WEEKDAY(BF$6,1)=1,BF88*BF89,0)))</f>
        <v>0</v>
      </c>
      <c r="BG92" s="64">
        <f>IF(AND(BG88=0,BG89=0),0,IF(BG88&lt;=0,0,IF(WEEKDAY(BG$6,1)=1,BG88*BG89,0)))</f>
        <v>0</v>
      </c>
      <c r="BH92" s="63">
        <f>IF(AND(BH88=2,BH89=10),0,IF(BH88&lt;=0,0,IF(WEEKDAY(BH$6,1)=1,BH88*BH89,0)))</f>
        <v>0</v>
      </c>
      <c r="BI92" s="63">
        <f>IF(AND(BI88=2,BI89=10),0,IF(BI88&lt;=0,0,IF(WEEKDAY(BI$6,1)=1,BI88*BI89,0)))</f>
        <v>0</v>
      </c>
      <c r="BJ92" s="63">
        <f>IF(AND(BJ88=2,BJ89=10),0,IF(BJ88&lt;=0,0,IF(WEEKDAY(BJ$6,1)=1,BJ88*BJ89,0)))</f>
        <v>0</v>
      </c>
      <c r="BK92" s="63">
        <f>IF(AND(BK88=2,BK89=10),0,IF(BK88&lt;=0,0,IF(WEEKDAY(BK$6,1)=1,BK88*BK89,0)))</f>
        <v>0</v>
      </c>
      <c r="BL92" s="63">
        <f>IF(AND(BL88=2,BL89=10),0,IF(BL88&lt;=0,0,IF(WEEKDAY(BL$6,1)=1,BL88*BL89,0)))</f>
        <v>0</v>
      </c>
      <c r="BM92" s="64">
        <f>IF(AND(BM88=2,BM89=10),0,IF(BM88&lt;=0,0,IF(WEEKDAY(BM$6,1)=1,BM88*BM89,0)))</f>
        <v>0</v>
      </c>
      <c r="BN92" s="64">
        <f>IF(AND(BN88=2,BN89=10),20,IF(BN88&lt;=0,0,IF(WEEKDAY(BN$6,1)=1,BN88*BN89,0)))</f>
        <v>20</v>
      </c>
      <c r="BO92" s="63">
        <f>IF(AND(BO88=2,BO89=10),0,IF(BO88&lt;=0,0,IF(WEEKDAY(BO$6,1)=1,BO88*BO89,0)))</f>
        <v>0</v>
      </c>
      <c r="BP92" s="63">
        <f>IF(AND(BP88=2,BP89=10),0,IF(BP88&lt;=0,0,IF(WEEKDAY(BP$6,1)=1,BP88*BP89,0)))</f>
        <v>0</v>
      </c>
      <c r="BQ92" s="63">
        <f>IF(AND(BQ88=2,BQ89=10),0,IF(BQ88&lt;=0,0,IF(WEEKDAY(BQ$6,1)=1,BQ88*BQ89,0)))</f>
        <v>0</v>
      </c>
      <c r="BR92" s="63">
        <f>IF(AND(BR88=2,BR89=10),0,IF(BR88&lt;=0,0,IF(WEEKDAY(BR$6,1)=1,BR88*BR89,0)))</f>
        <v>0</v>
      </c>
      <c r="BS92" s="63">
        <f>IF(AND(BS88=2,BS89=10),0,IF(BS88&lt;=0,0,IF(WEEKDAY(BS$6,1)=1,BS88*BS89,0)))</f>
        <v>0</v>
      </c>
      <c r="BT92" s="64">
        <f>IF(AND(BT88=2,BT89=10),0,IF(BT88&lt;=0,0,IF(WEEKDAY(BT$6,1)=1,BT88*BT89,0)))</f>
        <v>0</v>
      </c>
      <c r="BU92" s="64">
        <f>IF(AND(BU88=2,BU89=10),20,IF(BU88&lt;=0,0,IF(WEEKDAY(BU$6,1)=1,BU88*BU89,0)))</f>
        <v>20</v>
      </c>
      <c r="BV92" s="63">
        <f>IF(AND(BV88=2,BV89=10),0,IF(BV88&lt;=0,0,IF(WEEKDAY(BV$6,1)=1,BV88*BV89,0)))</f>
        <v>0</v>
      </c>
      <c r="BW92" s="63">
        <f>IF(AND(BW88=2,BW89=10),0,IF(BW88&lt;=0,0,IF(WEEKDAY(BW$6,1)=1,BW88*BW89,0)))</f>
        <v>0</v>
      </c>
      <c r="BX92" s="63">
        <f>IF(AND(BX88=2,BX89=10),0,IF(BX88&lt;=0,0,IF(WEEKDAY(BX$6,1)=1,BX88*BX89,0)))</f>
        <v>0</v>
      </c>
      <c r="BY92" s="63">
        <f>IF(AND(BY88=2,BY89=10),0,IF(BY88&lt;=0,0,IF(WEEKDAY(BY$6,1)=1,BY88*BY89,0)))</f>
        <v>0</v>
      </c>
      <c r="BZ92" s="63">
        <f>IF(AND(BZ88=2,BZ89=10),0,IF(BZ88&lt;=0,0,IF(WEEKDAY(BZ$6,1)=1,BZ88*BZ89,0)))</f>
        <v>0</v>
      </c>
      <c r="CA92" s="64">
        <f>IF(AND(CA88=2,CA89=10),0,IF(CA88&lt;=0,0,IF(WEEKDAY(CA$6,1)=1,CA88*CA89,0)))</f>
        <v>0</v>
      </c>
      <c r="CB92" s="64">
        <f>IF(AND(CB88=2,CB89=10),20,IF(CB88&lt;=0,0,IF(WEEKDAY(CB$6,1)=1,CB88*CB89,0)))</f>
        <v>20</v>
      </c>
      <c r="CC92" s="63">
        <f>IF(AND(CC88=2,CC89=10),0,IF(CC88&lt;=0,0,IF(WEEKDAY(CC$6,1)=1,CC88*CC89,0)))</f>
        <v>0</v>
      </c>
      <c r="CD92" s="63">
        <f>IF(AND(CD88=2,CD89=10),0,IF(CD88&lt;=0,0,IF(WEEKDAY(CD$6,1)=1,CD88*CD89,0)))</f>
        <v>0</v>
      </c>
      <c r="CE92" s="63">
        <f>IF(AND(CE88=2,CE89=10),0,IF(CE88&lt;=0,0,IF(WEEKDAY(CE$6,1)=1,CE88*CE89,0)))</f>
        <v>0</v>
      </c>
      <c r="CF92" s="63">
        <f>IF(AND(CF88=2,CF89=10),0,IF(CF88&lt;=0,0,IF(WEEKDAY(CF$6,1)=1,CF88*CF89,0)))</f>
        <v>0</v>
      </c>
      <c r="CG92" s="63">
        <f>IF(AND(CG88=2,CG89=10),0,IF(CG88&lt;=0,0,IF(WEEKDAY(CG$6,1)=1,CG88*CG89,0)))</f>
        <v>0</v>
      </c>
      <c r="CH92" s="64">
        <f>IF(AND(CH88=2,CH89=10),0,IF(CH88&lt;=0,0,IF(WEEKDAY(CH$6,1)=1,CH88*CH89,0)))</f>
        <v>0</v>
      </c>
      <c r="CI92" s="64">
        <f>IF(AND(CI88=2,CI89=10),20,IF(CI88&lt;=0,0,IF(WEEKDAY(CI$6,1)=1,CI88*CI89,0)))</f>
        <v>20</v>
      </c>
      <c r="CJ92" s="63">
        <f>IF(AND(CJ88=2,CJ89=10),0,IF(CJ88&lt;=0,0,IF(WEEKDAY(CJ$6,1)=1,CJ88*CJ89,0)))</f>
        <v>0</v>
      </c>
      <c r="CK92" s="63">
        <f>IF(AND(CK88=2,CK89=10),0,IF(CK88&lt;=0,0,IF(WEEKDAY(CK$6,1)=1,CK88*CK89,0)))</f>
        <v>0</v>
      </c>
      <c r="CL92" s="63">
        <f>IF(AND(CL88=2,CL89=10),0,IF(CL88&lt;=0,0,IF(WEEKDAY(CL$6,1)=1,CL88*CL89,0)))</f>
        <v>0</v>
      </c>
      <c r="CM92" s="63">
        <f>IF(AND(CM88=2,CM89=10),0,IF(CM88&lt;=0,0,IF(WEEKDAY(CM$6,1)=1,CM88*CM89,0)))</f>
        <v>0</v>
      </c>
      <c r="CN92" s="63">
        <f>IF(AND(CN88=2,CN89=10),0,IF(CN88&lt;=0,0,IF(WEEKDAY(CN$6,1)=1,CN88*CN89,0)))</f>
        <v>0</v>
      </c>
      <c r="CO92" s="64">
        <f>IF(AND(CO88=2,CO89=10),0,IF(CO88&lt;=0,0,IF(WEEKDAY(CO$6,1)=1,CO88*CO89,0)))</f>
        <v>0</v>
      </c>
      <c r="CP92" s="64">
        <f>IF(AND(CP88=2,CP89=10),20,IF(CP88&lt;=0,0,IF(WEEKDAY(CP$6,1)=1,CP88*CP89,0)))</f>
        <v>20</v>
      </c>
      <c r="CQ92" s="63">
        <f>IF(AND(CQ88=2,CQ89=10),0,IF(CQ88&lt;=0,0,IF(WEEKDAY(CQ$6,1)=1,CQ88*CQ89,0)))</f>
        <v>0</v>
      </c>
      <c r="CR92" s="63">
        <f>IF(AND(CR88=2,CR89=10),0,IF(CR88&lt;=0,0,IF(WEEKDAY(CR$6,1)=1,CR88*CR89,0)))</f>
        <v>0</v>
      </c>
      <c r="CS92" s="63">
        <f>IF(AND(CS88=2,CS89=10),0,IF(CS88&lt;=0,0,IF(WEEKDAY(CS$6,1)=1,CS88*CS89,0)))</f>
        <v>0</v>
      </c>
      <c r="CT92" s="63">
        <f>IF(AND(CT88=2,CT89=10),0,IF(CT88&lt;=0,0,IF(WEEKDAY(CT$6,1)=1,CT88*CT89,0)))</f>
        <v>0</v>
      </c>
      <c r="CU92" s="63">
        <f>IF(AND(CU88=2,CU89=10),0,IF(CU88&lt;=0,0,IF(WEEKDAY(CU$6,1)=1,CU88*CU89,0)))</f>
        <v>0</v>
      </c>
      <c r="CV92" s="64">
        <f>IF(AND(CV88=2,CV89=10),0,IF(CV88&lt;=0,0,IF(WEEKDAY(CV$6,1)=1,CV88*CV89,0)))</f>
        <v>0</v>
      </c>
      <c r="CW92" s="64">
        <f>IF(AND(CW88=2,CW89=10),20,IF(CW88&lt;=0,0,IF(WEEKDAY(CW$6,1)=1,CW88*CW89,0)))</f>
        <v>20</v>
      </c>
      <c r="CX92" s="63">
        <f>IF(AND(CX88=2,CX89=10),0,IF(CX88&lt;=0,0,IF(WEEKDAY(CX$6,1)=1,CX88*CX89,0)))</f>
        <v>0</v>
      </c>
      <c r="CY92" s="63">
        <f>IF(AND(CY88=2,CY89=10),0,IF(CY88&lt;=0,0,IF(WEEKDAY(CY$6,1)=1,CY88*CY89,0)))</f>
        <v>0</v>
      </c>
      <c r="CZ92" s="63">
        <f>IF(AND(CZ88=2,CZ89=10),0,IF(CZ88&lt;=0,0,IF(WEEKDAY(CZ$6,1)=1,CZ88*CZ89,0)))</f>
        <v>0</v>
      </c>
      <c r="DA92" s="63">
        <f>IF(AND(DA88=2,DA89=10),0,IF(DA88&lt;=0,0,IF(WEEKDAY(DA$6,1)=1,DA88*DA89,0)))</f>
        <v>0</v>
      </c>
      <c r="DB92" s="63">
        <f>IF(AND(DB88=2,DB89=10),0,IF(DB88&lt;=0,0,IF(WEEKDAY(DB$6,1)=1,DB88*DB89,0)))</f>
        <v>0</v>
      </c>
      <c r="DC92" s="64">
        <f>IF(AND(DC88=2,DC89=10),0,IF(DC88&lt;=0,0,IF(WEEKDAY(DC$6,1)=1,DC88*DC89,0)))</f>
        <v>0</v>
      </c>
      <c r="DD92" s="64">
        <f>IF(AND(DD88=2,DD89=10),20,IF(DD88&lt;=0,0,IF(WEEKDAY(DD$6,1)=1,DD88*DD89,0)))</f>
        <v>20</v>
      </c>
      <c r="DE92" s="63">
        <f>IF(AND(DE88=2,DE89=10),0,IF(DE88&lt;=0,0,IF(WEEKDAY(DE$6,1)=1,DE88*DE89,0)))</f>
        <v>0</v>
      </c>
      <c r="DF92" s="63">
        <f>IF(AND(DF88=2,DF89=10),0,IF(DF88&lt;=0,0,IF(WEEKDAY(DF$6,1)=1,DF88*DF89,0)))</f>
        <v>0</v>
      </c>
      <c r="DG92" s="63">
        <f>IF(AND(DG88=2,DG89=10),0,IF(DG88&lt;=0,0,IF(WEEKDAY(DG$6,1)=1,DG88*DG89,0)))</f>
        <v>0</v>
      </c>
      <c r="DH92" s="63">
        <f>IF(AND(DH88=2,DH89=10),0,IF(DH88&lt;=0,0,IF(WEEKDAY(DH$6,1)=1,DH88*DH89,0)))</f>
        <v>0</v>
      </c>
      <c r="DI92" s="63">
        <f>IF(AND(DI88=2,DI89=10),0,IF(DI88&lt;=0,0,IF(WEEKDAY(DI$6,1)=1,DI88*DI89,0)))</f>
        <v>0</v>
      </c>
      <c r="DJ92" s="64">
        <f>IF(AND(DJ88=2,DJ89=10),0,IF(DJ88&lt;=0,0,IF(WEEKDAY(DJ$6,1)=1,DJ88*DJ89,0)))</f>
        <v>0</v>
      </c>
      <c r="DK92" s="64">
        <f>IF(AND(DK88=2,DK89=10),20,IF(DK88&lt;=0,0,IF(WEEKDAY(DK$6,1)=1,DK88*DK89,0)))</f>
        <v>20</v>
      </c>
      <c r="DL92" s="63">
        <f>IF(AND(DL88=2,DL89=10),0,IF(DL88&lt;=0,0,IF(WEEKDAY(DL$6,1)=1,DL88*DL89,0)))</f>
        <v>0</v>
      </c>
      <c r="DM92" s="63">
        <f>IF(AND(DM88=2,DM89=10),0,IF(DM88&lt;=0,0,IF(WEEKDAY(DM$6,1)=1,DM88*DM89,0)))</f>
        <v>0</v>
      </c>
      <c r="DN92" s="63">
        <f>IF(AND(DN88=2,DN89=10),0,IF(DN88&lt;=0,0,IF(WEEKDAY(DN$6,1)=1,DN88*DN89,0)))</f>
        <v>0</v>
      </c>
      <c r="DO92" s="63">
        <f>IF(AND(DO88=2,DO89=10),0,IF(DO88&lt;=0,0,IF(WEEKDAY(DO$6,1)=1,DO88*DO89,0)))</f>
        <v>0</v>
      </c>
      <c r="DP92" s="63">
        <f>IF(AND(DP88=2,DP89=10),0,IF(DP88&lt;=0,0,IF(WEEKDAY(DP$6,1)=1,DP88*DP89,0)))</f>
        <v>0</v>
      </c>
      <c r="DQ92" s="64">
        <f>IF(AND(DQ88=2,DQ89=10),0,IF(DQ88&lt;=0,0,IF(WEEKDAY(DQ$6,1)=1,DQ88*DQ89,0)))</f>
        <v>0</v>
      </c>
      <c r="DR92" s="64">
        <f>IF(AND(DR88=2,DR89=10),20,IF(DR88&lt;=0,0,IF(WEEKDAY(DR$6,1)=1,DR88*DR89,0)))</f>
        <v>20</v>
      </c>
      <c r="DS92" s="63">
        <f>IF(AND(DS88=2,DS89=10),0,IF(DS88&lt;=0,0,IF(WEEKDAY(DS$6,1)=1,DS88*DS89,0)))</f>
        <v>0</v>
      </c>
      <c r="DT92" s="63">
        <f>IF(AND(DT88=2,DT89=8),0,IF(DT88&lt;=0,0,IF(WEEKDAY(DT$6,1)=1,DT88*DT89,0)))</f>
        <v>0</v>
      </c>
      <c r="DU92" s="63">
        <f>IF(AND(DU88=2,DU89=8),0,IF(DU88&lt;=0,0,IF(WEEKDAY(DU$6,1)=1,DU88*DU89,0)))</f>
        <v>0</v>
      </c>
      <c r="DV92" s="63">
        <f>IF(AND(DV88=2,DV89=8),0,IF(DV88&lt;=0,0,IF(WEEKDAY(DV$6,1)=1,DV88*DV89,0)))</f>
        <v>0</v>
      </c>
      <c r="DW92" s="63">
        <f>IF(AND(DW88=2,DW89=8),0,IF(DW88&lt;=0,0,IF(WEEKDAY(DW$6,1)=1,DW88*DW89,0)))</f>
        <v>0</v>
      </c>
      <c r="DX92" s="64">
        <f>IF(AND(DX88=0,DX89=0),0,IF(DX88&lt;=0,0,IF(WEEKDAY(DX$6,1)=1,DX88*DX89,0)))</f>
        <v>0</v>
      </c>
      <c r="DY92" s="64">
        <f>IF(AND(DY88=0,DY89=0),0,IF(DY88&lt;=0,0,IF(WEEKDAY(DY$6,1)=1,DY88*DY89,0)))</f>
        <v>0</v>
      </c>
      <c r="DZ92" s="63">
        <f>IF(AND(DZ88=2,DZ89=8),0,IF(DZ88&lt;=0,0,IF(WEEKDAY(DZ$6,1)=1,DZ88*DZ89,0)))</f>
        <v>0</v>
      </c>
      <c r="EA92" s="63">
        <f>IF(AND(EA88=2,EA89=8),0,IF(EA88&lt;=0,0,IF(WEEKDAY(EA$6,1)=1,EA88*EA89,0)))</f>
        <v>0</v>
      </c>
      <c r="EB92" s="63">
        <f>IF(AND(EB88=2,EB89=8),0,IF(EB88&lt;=0,0,IF(WEEKDAY(EB$6,1)=1,EB88*EB89,0)))</f>
        <v>0</v>
      </c>
      <c r="EC92" s="63">
        <f>IF(AND(EC88=2,EC89=8),0,IF(EC88&lt;=0,0,IF(WEEKDAY(EC$6,1)=1,EC88*EC89,0)))</f>
        <v>0</v>
      </c>
      <c r="ED92" s="63">
        <f>IF(AND(ED88=2,ED89=8),0,IF(ED88&lt;=0,0,IF(WEEKDAY(ED$6,1)=1,ED88*ED89,0)))</f>
        <v>0</v>
      </c>
      <c r="EE92" s="64">
        <f>IF(AND(EE88=0,EE89=0),0,IF(EE88&lt;=0,0,IF(WEEKDAY(EE$6,1)=1,EE88*EE89,0)))</f>
        <v>0</v>
      </c>
      <c r="EF92" s="64">
        <f>IF(AND(EF88=0,EF89=0),0,IF(EF88&lt;=0,0,IF(WEEKDAY(EF$6,1)=1,EF88*EF89,0)))</f>
        <v>0</v>
      </c>
      <c r="EG92" s="63">
        <f>IF(AND(EG88=2,EG89=8),0,IF(EG88&lt;=0,0,IF(WEEKDAY(EG$6,1)=1,EG88*EG89,0)))</f>
        <v>0</v>
      </c>
      <c r="EH92" s="63">
        <f>IF(AND(EH88=2,EH89=8),0,IF(EH88&lt;=0,0,IF(WEEKDAY(EH$6,1)=1,EH88*EH89,0)))</f>
        <v>0</v>
      </c>
      <c r="EI92" s="63">
        <f>IF(AND(EI88=2,EI89=8),0,IF(EI88&lt;=0,0,IF(WEEKDAY(EI$6,1)=1,EI88*EI89,0)))</f>
        <v>0</v>
      </c>
      <c r="EJ92" s="63">
        <f>IF(AND(EJ88=2,EJ89=8),0,IF(EJ88&lt;=0,0,IF(WEEKDAY(EJ$6,1)=1,EJ88*EJ89,0)))</f>
        <v>0</v>
      </c>
      <c r="EK92" s="65">
        <f>IF(AND(EK88=2,EK89=8),0,IF(EK88&lt;=0,0,IF(WEEKDAY(EK$6,1)=1,EK88*EK89,0)))</f>
        <v>0</v>
      </c>
      <c r="OU92" s="28" t="s">
        <v>134</v>
      </c>
    </row>
    <row r="93" ht="16" customHeight="1" spans="1:411" x14ac:dyDescent="0.25">
      <c r="A93" s="45"/>
      <c r="B93" s="79"/>
      <c r="C93" s="67">
        <f>I87*D93</f>
        <v>0</v>
      </c>
      <c r="D93" s="67">
        <v>130</v>
      </c>
      <c r="E93" s="68" t="s">
        <v>65</v>
      </c>
      <c r="F93" s="49"/>
      <c r="G93" s="49"/>
      <c r="H93" s="49"/>
      <c r="I93" s="49"/>
      <c r="J93" s="50"/>
      <c r="K93" s="69">
        <v>0</v>
      </c>
      <c r="L93" s="70">
        <v>0</v>
      </c>
      <c r="M93" s="70">
        <v>0</v>
      </c>
      <c r="N93" s="70">
        <v>0</v>
      </c>
      <c r="O93" s="70">
        <v>0</v>
      </c>
      <c r="P93" s="71">
        <v>0</v>
      </c>
      <c r="Q93" s="71">
        <v>0</v>
      </c>
      <c r="R93" s="70">
        <v>0</v>
      </c>
      <c r="S93" s="70">
        <v>0</v>
      </c>
      <c r="T93" s="70">
        <v>0</v>
      </c>
      <c r="U93" s="70">
        <v>0</v>
      </c>
      <c r="V93" s="70">
        <v>0</v>
      </c>
      <c r="W93" s="71">
        <v>0</v>
      </c>
      <c r="X93" s="71">
        <v>0</v>
      </c>
      <c r="Y93" s="70">
        <v>0</v>
      </c>
      <c r="Z93" s="70">
        <v>0</v>
      </c>
      <c r="AA93" s="70">
        <v>0</v>
      </c>
      <c r="AB93" s="70">
        <v>0</v>
      </c>
      <c r="AC93" s="70">
        <v>0</v>
      </c>
      <c r="AD93" s="71">
        <v>0</v>
      </c>
      <c r="AE93" s="71">
        <v>0</v>
      </c>
      <c r="AF93" s="70">
        <v>0</v>
      </c>
      <c r="AG93" s="70">
        <v>0</v>
      </c>
      <c r="AH93" s="70">
        <v>0</v>
      </c>
      <c r="AI93" s="70">
        <v>0</v>
      </c>
      <c r="AJ93" s="70">
        <v>0</v>
      </c>
      <c r="AK93" s="71">
        <v>0</v>
      </c>
      <c r="AL93" s="71">
        <v>0</v>
      </c>
      <c r="AM93" s="70">
        <v>0</v>
      </c>
      <c r="AN93" s="70">
        <v>0</v>
      </c>
      <c r="AO93" s="70">
        <v>0</v>
      </c>
      <c r="AP93" s="70">
        <v>0</v>
      </c>
      <c r="AQ93" s="70">
        <v>0</v>
      </c>
      <c r="AR93" s="71">
        <v>0</v>
      </c>
      <c r="AS93" s="71">
        <v>0</v>
      </c>
      <c r="AT93" s="70">
        <v>0</v>
      </c>
      <c r="AU93" s="70">
        <v>0</v>
      </c>
      <c r="AV93" s="70">
        <v>0</v>
      </c>
      <c r="AW93" s="70">
        <v>0</v>
      </c>
      <c r="AX93" s="70">
        <v>0</v>
      </c>
      <c r="AY93" s="71">
        <v>0</v>
      </c>
      <c r="AZ93" s="71">
        <v>0</v>
      </c>
      <c r="BA93" s="70">
        <v>0</v>
      </c>
      <c r="BB93" s="70">
        <v>0</v>
      </c>
      <c r="BC93" s="70">
        <v>0</v>
      </c>
      <c r="BD93" s="70">
        <v>0</v>
      </c>
      <c r="BE93" s="70">
        <v>0</v>
      </c>
      <c r="BF93" s="71">
        <v>0</v>
      </c>
      <c r="BG93" s="71">
        <v>0</v>
      </c>
      <c r="BH93" s="70">
        <v>0</v>
      </c>
      <c r="BI93" s="70">
        <v>0</v>
      </c>
      <c r="BJ93" s="70">
        <v>0</v>
      </c>
      <c r="BK93" s="70">
        <v>0</v>
      </c>
      <c r="BL93" s="70">
        <v>0</v>
      </c>
      <c r="BM93" s="71">
        <v>0</v>
      </c>
      <c r="BN93" s="71">
        <v>0</v>
      </c>
      <c r="BO93" s="70">
        <v>0</v>
      </c>
      <c r="BP93" s="70">
        <v>0</v>
      </c>
      <c r="BQ93" s="70">
        <v>0</v>
      </c>
      <c r="BR93" s="70">
        <v>0</v>
      </c>
      <c r="BS93" s="70">
        <v>0</v>
      </c>
      <c r="BT93" s="71">
        <v>0</v>
      </c>
      <c r="BU93" s="71">
        <v>0</v>
      </c>
      <c r="BV93" s="70">
        <v>0</v>
      </c>
      <c r="BW93" s="70">
        <v>0</v>
      </c>
      <c r="BX93" s="70">
        <v>0</v>
      </c>
      <c r="BY93" s="70">
        <v>0</v>
      </c>
      <c r="BZ93" s="70">
        <v>0</v>
      </c>
      <c r="CA93" s="71">
        <v>0</v>
      </c>
      <c r="CB93" s="71">
        <v>0</v>
      </c>
      <c r="CC93" s="70">
        <v>0</v>
      </c>
      <c r="CD93" s="70">
        <v>0</v>
      </c>
      <c r="CE93" s="70">
        <v>0</v>
      </c>
      <c r="CF93" s="70">
        <v>0</v>
      </c>
      <c r="CG93" s="70">
        <v>0</v>
      </c>
      <c r="CH93" s="71">
        <v>0</v>
      </c>
      <c r="CI93" s="71">
        <v>0</v>
      </c>
      <c r="CJ93" s="70">
        <v>0</v>
      </c>
      <c r="CK93" s="70">
        <v>0</v>
      </c>
      <c r="CL93" s="70">
        <v>0</v>
      </c>
      <c r="CM93" s="70">
        <v>0</v>
      </c>
      <c r="CN93" s="70">
        <v>0</v>
      </c>
      <c r="CO93" s="71">
        <v>0</v>
      </c>
      <c r="CP93" s="71">
        <v>0</v>
      </c>
      <c r="CQ93" s="70">
        <v>0</v>
      </c>
      <c r="CR93" s="70">
        <v>0</v>
      </c>
      <c r="CS93" s="70">
        <v>0</v>
      </c>
      <c r="CT93" s="70">
        <v>0</v>
      </c>
      <c r="CU93" s="70">
        <v>0</v>
      </c>
      <c r="CV93" s="71">
        <v>0</v>
      </c>
      <c r="CW93" s="71">
        <v>0</v>
      </c>
      <c r="CX93" s="70">
        <v>0</v>
      </c>
      <c r="CY93" s="70">
        <v>0</v>
      </c>
      <c r="CZ93" s="70">
        <v>0</v>
      </c>
      <c r="DA93" s="70">
        <v>0</v>
      </c>
      <c r="DB93" s="70">
        <v>0</v>
      </c>
      <c r="DC93" s="71">
        <v>0</v>
      </c>
      <c r="DD93" s="71">
        <v>0</v>
      </c>
      <c r="DE93" s="70">
        <v>0</v>
      </c>
      <c r="DF93" s="70">
        <v>0</v>
      </c>
      <c r="DG93" s="70">
        <v>0</v>
      </c>
      <c r="DH93" s="70">
        <v>0</v>
      </c>
      <c r="DI93" s="70">
        <v>0</v>
      </c>
      <c r="DJ93" s="71">
        <v>0</v>
      </c>
      <c r="DK93" s="71">
        <v>0</v>
      </c>
      <c r="DL93" s="70">
        <v>0</v>
      </c>
      <c r="DM93" s="70">
        <v>0</v>
      </c>
      <c r="DN93" s="70">
        <v>0</v>
      </c>
      <c r="DO93" s="70">
        <v>0</v>
      </c>
      <c r="DP93" s="70">
        <v>0</v>
      </c>
      <c r="DQ93" s="71">
        <v>0</v>
      </c>
      <c r="DR93" s="71">
        <v>0</v>
      </c>
      <c r="DS93" s="70">
        <v>0</v>
      </c>
      <c r="DT93" s="70">
        <v>0</v>
      </c>
      <c r="DU93" s="70">
        <v>0</v>
      </c>
      <c r="DV93" s="70">
        <v>0</v>
      </c>
      <c r="DW93" s="70">
        <v>0</v>
      </c>
      <c r="DX93" s="71">
        <v>0</v>
      </c>
      <c r="DY93" s="71">
        <v>0</v>
      </c>
      <c r="DZ93" s="70">
        <v>0</v>
      </c>
      <c r="EA93" s="70">
        <v>0</v>
      </c>
      <c r="EB93" s="70">
        <v>0</v>
      </c>
      <c r="EC93" s="70">
        <v>0</v>
      </c>
      <c r="ED93" s="70">
        <v>0</v>
      </c>
      <c r="EE93" s="71">
        <v>0</v>
      </c>
      <c r="EF93" s="71">
        <v>0</v>
      </c>
      <c r="EG93" s="70">
        <v>0</v>
      </c>
      <c r="EH93" s="70">
        <v>0</v>
      </c>
      <c r="EI93" s="70">
        <v>0</v>
      </c>
      <c r="EJ93" s="70">
        <v>0</v>
      </c>
      <c r="EK93" s="72">
        <v>0</v>
      </c>
      <c r="OU93" s="60" t="s">
        <v>134</v>
      </c>
    </row>
    <row r="94" ht="8" customHeight="1" spans="1:14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  <c r="EK94" s="73"/>
    </row>
    <row r="95" ht="16" customHeight="1" spans="1:411" x14ac:dyDescent="0.25">
      <c r="A95" s="74" t="s">
        <v>70</v>
      </c>
      <c r="B95" s="77" t="s">
        <v>133</v>
      </c>
      <c r="C95" s="47">
        <f>J95</f>
        <v>155639.04</v>
      </c>
      <c r="D95" s="48"/>
      <c r="E95" s="48"/>
      <c r="F95" s="49">
        <f>SUM(K98:EK98)</f>
        <v>736</v>
      </c>
      <c r="G95" s="49">
        <f>SUM(K99:EK99)</f>
        <v>364</v>
      </c>
      <c r="H95" s="49">
        <f>SUM(K100:EK100)</f>
        <v>180</v>
      </c>
      <c r="I95" s="49">
        <f>SUM(K101:EK101)</f>
        <v>0</v>
      </c>
      <c r="J95" s="50">
        <f>C98+C99+C100</f>
        <v>155639.04</v>
      </c>
      <c r="K95" s="51"/>
      <c r="L95" s="52"/>
      <c r="M95" s="52"/>
      <c r="N95" s="52"/>
      <c r="O95" s="52"/>
      <c r="P95" s="53"/>
      <c r="Q95" s="53"/>
      <c r="R95" s="52"/>
      <c r="S95" s="52"/>
      <c r="T95" s="52"/>
      <c r="U95" s="52"/>
      <c r="V95" s="52"/>
      <c r="W95" s="53"/>
      <c r="X95" s="53"/>
      <c r="Y95" s="52"/>
      <c r="Z95" s="52"/>
      <c r="AA95" s="52"/>
      <c r="AB95" s="52"/>
      <c r="AC95" s="52"/>
      <c r="AD95" s="53"/>
      <c r="AE95" s="53"/>
      <c r="AF95" s="52"/>
      <c r="AG95" s="52"/>
      <c r="AH95" s="52"/>
      <c r="AI95" s="52"/>
      <c r="AJ95" s="52"/>
      <c r="AK95" s="53"/>
      <c r="AL95" s="53"/>
      <c r="AM95" s="52"/>
      <c r="AN95" s="52"/>
      <c r="AO95" s="52"/>
      <c r="AP95" s="52"/>
      <c r="AQ95" s="52"/>
      <c r="AR95" s="53"/>
      <c r="AS95" s="53"/>
      <c r="AT95" s="52"/>
      <c r="AU95" s="52"/>
      <c r="AV95" s="52"/>
      <c r="AW95" s="52"/>
      <c r="AX95" s="52"/>
      <c r="AY95" s="53"/>
      <c r="AZ95" s="53"/>
      <c r="BA95" s="52"/>
      <c r="BB95" s="52"/>
      <c r="BC95" s="52"/>
      <c r="BD95" s="52"/>
      <c r="BE95" s="52"/>
      <c r="BF95" s="53"/>
      <c r="BG95" s="53"/>
      <c r="BH95" s="52"/>
      <c r="BI95" s="52"/>
      <c r="BJ95" s="52"/>
      <c r="BK95" s="52"/>
      <c r="BL95" s="52"/>
      <c r="BM95" s="53"/>
      <c r="BN95" s="53"/>
      <c r="BO95" s="52"/>
      <c r="BP95" s="52"/>
      <c r="BQ95" s="52"/>
      <c r="BR95" s="52"/>
      <c r="BS95" s="52"/>
      <c r="BT95" s="53"/>
      <c r="BU95" s="53"/>
      <c r="BV95" s="52"/>
      <c r="BW95" s="52"/>
      <c r="BX95" s="52"/>
      <c r="BY95" s="52"/>
      <c r="BZ95" s="52"/>
      <c r="CA95" s="53"/>
      <c r="CB95" s="53"/>
      <c r="CC95" s="52"/>
      <c r="CD95" s="52"/>
      <c r="CE95" s="52"/>
      <c r="CF95" s="52"/>
      <c r="CG95" s="52"/>
      <c r="CH95" s="53"/>
      <c r="CI95" s="53"/>
      <c r="CJ95" s="52"/>
      <c r="CK95" s="52"/>
      <c r="CL95" s="52"/>
      <c r="CM95" s="52"/>
      <c r="CN95" s="52"/>
      <c r="CO95" s="53"/>
      <c r="CP95" s="53"/>
      <c r="CQ95" s="52"/>
      <c r="CR95" s="52"/>
      <c r="CS95" s="52"/>
      <c r="CT95" s="52"/>
      <c r="CU95" s="52"/>
      <c r="CV95" s="53"/>
      <c r="CW95" s="53"/>
      <c r="CX95" s="52"/>
      <c r="CY95" s="52"/>
      <c r="CZ95" s="52"/>
      <c r="DA95" s="52"/>
      <c r="DB95" s="52"/>
      <c r="DC95" s="53"/>
      <c r="DD95" s="53"/>
      <c r="DE95" s="52"/>
      <c r="DF95" s="52"/>
      <c r="DG95" s="52"/>
      <c r="DH95" s="52"/>
      <c r="DI95" s="52"/>
      <c r="DJ95" s="53"/>
      <c r="DK95" s="53"/>
      <c r="DL95" s="52"/>
      <c r="DM95" s="52"/>
      <c r="DN95" s="52"/>
      <c r="DO95" s="52"/>
      <c r="DP95" s="52"/>
      <c r="DQ95" s="53"/>
      <c r="DR95" s="53"/>
      <c r="DS95" s="52"/>
      <c r="DT95" s="52"/>
      <c r="DU95" s="52"/>
      <c r="DV95" s="52"/>
      <c r="DW95" s="52"/>
      <c r="DX95" s="53"/>
      <c r="DY95" s="53"/>
      <c r="DZ95" s="52"/>
      <c r="EA95" s="52"/>
      <c r="EB95" s="52"/>
      <c r="EC95" s="52"/>
      <c r="ED95" s="52"/>
      <c r="EE95" s="53"/>
      <c r="EF95" s="53"/>
      <c r="EG95" s="52"/>
      <c r="EH95" s="52"/>
      <c r="EI95" s="52"/>
      <c r="EJ95" s="52"/>
      <c r="EK95" s="54"/>
      <c r="OU95" s="28" t="s">
        <v>135</v>
      </c>
    </row>
    <row r="96" ht="16" customHeight="1" spans="1:411" x14ac:dyDescent="0.25">
      <c r="A96" s="74"/>
      <c r="B96" s="77"/>
      <c r="C96" s="47"/>
      <c r="D96" s="48"/>
      <c r="E96" s="55" t="s">
        <v>60</v>
      </c>
      <c r="F96" s="49"/>
      <c r="G96" s="49"/>
      <c r="H96" s="49"/>
      <c r="I96" s="49"/>
      <c r="J96" s="50"/>
      <c r="K96" s="56">
        <v>0</v>
      </c>
      <c r="L96" s="57">
        <v>0</v>
      </c>
      <c r="M96" s="57">
        <v>0</v>
      </c>
      <c r="N96" s="57">
        <v>0</v>
      </c>
      <c r="O96" s="57">
        <v>0</v>
      </c>
      <c r="P96" s="58">
        <v>0</v>
      </c>
      <c r="Q96" s="58">
        <v>0</v>
      </c>
      <c r="R96" s="57">
        <v>0</v>
      </c>
      <c r="S96" s="57">
        <v>0</v>
      </c>
      <c r="T96" s="57">
        <v>0</v>
      </c>
      <c r="U96" s="57">
        <v>0</v>
      </c>
      <c r="V96" s="57">
        <v>0</v>
      </c>
      <c r="W96" s="58">
        <v>0</v>
      </c>
      <c r="X96" s="58">
        <v>0</v>
      </c>
      <c r="Y96" s="57">
        <v>0</v>
      </c>
      <c r="Z96" s="57">
        <v>0</v>
      </c>
      <c r="AA96" s="57">
        <v>0</v>
      </c>
      <c r="AB96" s="57">
        <v>0</v>
      </c>
      <c r="AC96" s="57">
        <v>0</v>
      </c>
      <c r="AD96" s="58">
        <v>0</v>
      </c>
      <c r="AE96" s="58">
        <v>0</v>
      </c>
      <c r="AF96" s="57">
        <v>0</v>
      </c>
      <c r="AG96" s="57">
        <v>0</v>
      </c>
      <c r="AH96" s="57">
        <v>0</v>
      </c>
      <c r="AI96" s="57">
        <v>0</v>
      </c>
      <c r="AJ96" s="57">
        <v>0</v>
      </c>
      <c r="AK96" s="58">
        <v>0</v>
      </c>
      <c r="AL96" s="58">
        <v>0</v>
      </c>
      <c r="AM96" s="57">
        <v>0</v>
      </c>
      <c r="AN96" s="57">
        <v>0</v>
      </c>
      <c r="AO96" s="57">
        <v>0</v>
      </c>
      <c r="AP96" s="57">
        <v>0</v>
      </c>
      <c r="AQ96" s="57">
        <v>0</v>
      </c>
      <c r="AR96" s="58">
        <v>0</v>
      </c>
      <c r="AS96" s="58">
        <v>0</v>
      </c>
      <c r="AT96" s="57">
        <v>0</v>
      </c>
      <c r="AU96" s="57">
        <v>0</v>
      </c>
      <c r="AV96" s="57">
        <v>0</v>
      </c>
      <c r="AW96" s="57">
        <v>0</v>
      </c>
      <c r="AX96" s="57">
        <v>0</v>
      </c>
      <c r="AY96" s="58">
        <v>0</v>
      </c>
      <c r="AZ96" s="58">
        <v>0</v>
      </c>
      <c r="BA96" s="57">
        <v>0</v>
      </c>
      <c r="BB96" s="57">
        <v>0</v>
      </c>
      <c r="BC96" s="57">
        <v>0</v>
      </c>
      <c r="BD96" s="57">
        <v>0</v>
      </c>
      <c r="BE96" s="57">
        <v>0</v>
      </c>
      <c r="BF96" s="58">
        <v>0</v>
      </c>
      <c r="BG96" s="58">
        <v>0</v>
      </c>
      <c r="BH96" s="57">
        <v>2</v>
      </c>
      <c r="BI96" s="57">
        <v>2</v>
      </c>
      <c r="BJ96" s="57">
        <v>2</v>
      </c>
      <c r="BK96" s="57">
        <v>2</v>
      </c>
      <c r="BL96" s="57">
        <v>2</v>
      </c>
      <c r="BM96" s="58">
        <v>2</v>
      </c>
      <c r="BN96" s="58">
        <v>2</v>
      </c>
      <c r="BO96" s="57">
        <v>2</v>
      </c>
      <c r="BP96" s="57">
        <v>2</v>
      </c>
      <c r="BQ96" s="57">
        <v>2</v>
      </c>
      <c r="BR96" s="57">
        <v>2</v>
      </c>
      <c r="BS96" s="57">
        <v>2</v>
      </c>
      <c r="BT96" s="58">
        <v>2</v>
      </c>
      <c r="BU96" s="58">
        <v>2</v>
      </c>
      <c r="BV96" s="57">
        <v>2</v>
      </c>
      <c r="BW96" s="57">
        <v>2</v>
      </c>
      <c r="BX96" s="57">
        <v>2</v>
      </c>
      <c r="BY96" s="57">
        <v>2</v>
      </c>
      <c r="BZ96" s="57">
        <v>2</v>
      </c>
      <c r="CA96" s="58">
        <v>2</v>
      </c>
      <c r="CB96" s="58">
        <v>2</v>
      </c>
      <c r="CC96" s="57">
        <v>2</v>
      </c>
      <c r="CD96" s="57">
        <v>2</v>
      </c>
      <c r="CE96" s="57">
        <v>2</v>
      </c>
      <c r="CF96" s="57">
        <v>2</v>
      </c>
      <c r="CG96" s="57">
        <v>2</v>
      </c>
      <c r="CH96" s="58">
        <v>2</v>
      </c>
      <c r="CI96" s="58">
        <v>2</v>
      </c>
      <c r="CJ96" s="57">
        <v>2</v>
      </c>
      <c r="CK96" s="57">
        <v>2</v>
      </c>
      <c r="CL96" s="57">
        <v>2</v>
      </c>
      <c r="CM96" s="57">
        <v>2</v>
      </c>
      <c r="CN96" s="57">
        <v>2</v>
      </c>
      <c r="CO96" s="58">
        <v>2</v>
      </c>
      <c r="CP96" s="58">
        <v>2</v>
      </c>
      <c r="CQ96" s="57">
        <v>2</v>
      </c>
      <c r="CR96" s="57">
        <v>2</v>
      </c>
      <c r="CS96" s="57">
        <v>2</v>
      </c>
      <c r="CT96" s="57">
        <v>2</v>
      </c>
      <c r="CU96" s="57">
        <v>2</v>
      </c>
      <c r="CV96" s="58">
        <v>2</v>
      </c>
      <c r="CW96" s="58">
        <v>2</v>
      </c>
      <c r="CX96" s="57">
        <v>2</v>
      </c>
      <c r="CY96" s="57">
        <v>2</v>
      </c>
      <c r="CZ96" s="57">
        <v>2</v>
      </c>
      <c r="DA96" s="57">
        <v>2</v>
      </c>
      <c r="DB96" s="57">
        <v>2</v>
      </c>
      <c r="DC96" s="58">
        <v>2</v>
      </c>
      <c r="DD96" s="58">
        <v>2</v>
      </c>
      <c r="DE96" s="57">
        <v>2</v>
      </c>
      <c r="DF96" s="57">
        <v>2</v>
      </c>
      <c r="DG96" s="57">
        <v>2</v>
      </c>
      <c r="DH96" s="57">
        <v>2</v>
      </c>
      <c r="DI96" s="57">
        <v>2</v>
      </c>
      <c r="DJ96" s="58">
        <v>2</v>
      </c>
      <c r="DK96" s="58">
        <v>2</v>
      </c>
      <c r="DL96" s="57">
        <v>2</v>
      </c>
      <c r="DM96" s="57">
        <v>2</v>
      </c>
      <c r="DN96" s="57">
        <v>2</v>
      </c>
      <c r="DO96" s="57">
        <v>2</v>
      </c>
      <c r="DP96" s="57">
        <v>2</v>
      </c>
      <c r="DQ96" s="58">
        <v>2</v>
      </c>
      <c r="DR96" s="58">
        <v>2</v>
      </c>
      <c r="DS96" s="57">
        <v>2</v>
      </c>
      <c r="DT96" s="57">
        <v>0</v>
      </c>
      <c r="DU96" s="57">
        <v>0</v>
      </c>
      <c r="DV96" s="57">
        <v>0</v>
      </c>
      <c r="DW96" s="57">
        <v>0</v>
      </c>
      <c r="DX96" s="58">
        <v>0</v>
      </c>
      <c r="DY96" s="58">
        <v>0</v>
      </c>
      <c r="DZ96" s="57">
        <v>0</v>
      </c>
      <c r="EA96" s="57">
        <v>0</v>
      </c>
      <c r="EB96" s="57">
        <v>0</v>
      </c>
      <c r="EC96" s="57">
        <v>0</v>
      </c>
      <c r="ED96" s="57">
        <v>0</v>
      </c>
      <c r="EE96" s="58">
        <v>0</v>
      </c>
      <c r="EF96" s="58">
        <v>0</v>
      </c>
      <c r="EG96" s="57">
        <v>0</v>
      </c>
      <c r="EH96" s="57">
        <v>0</v>
      </c>
      <c r="EI96" s="57">
        <v>0</v>
      </c>
      <c r="EJ96" s="57">
        <v>0</v>
      </c>
      <c r="EK96" s="59">
        <v>0</v>
      </c>
      <c r="OU96" s="60" t="s">
        <v>135</v>
      </c>
    </row>
    <row r="97" ht="16" customHeight="1" spans="1:411" x14ac:dyDescent="0.25">
      <c r="A97" s="74"/>
      <c r="B97" s="77"/>
      <c r="C97" s="47"/>
      <c r="D97" s="48"/>
      <c r="E97" s="55" t="s">
        <v>61</v>
      </c>
      <c r="F97" s="49"/>
      <c r="G97" s="49"/>
      <c r="H97" s="49"/>
      <c r="I97" s="49"/>
      <c r="J97" s="50"/>
      <c r="K97" s="56">
        <v>0</v>
      </c>
      <c r="L97" s="57">
        <v>0</v>
      </c>
      <c r="M97" s="57">
        <v>0</v>
      </c>
      <c r="N97" s="57">
        <v>0</v>
      </c>
      <c r="O97" s="57">
        <v>0</v>
      </c>
      <c r="P97" s="58">
        <v>0</v>
      </c>
      <c r="Q97" s="58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  <c r="W97" s="58">
        <v>0</v>
      </c>
      <c r="X97" s="58">
        <v>0</v>
      </c>
      <c r="Y97" s="57">
        <v>0</v>
      </c>
      <c r="Z97" s="57">
        <v>0</v>
      </c>
      <c r="AA97" s="57">
        <v>0</v>
      </c>
      <c r="AB97" s="57">
        <v>0</v>
      </c>
      <c r="AC97" s="57">
        <v>0</v>
      </c>
      <c r="AD97" s="58">
        <v>0</v>
      </c>
      <c r="AE97" s="58">
        <v>0</v>
      </c>
      <c r="AF97" s="57">
        <v>0</v>
      </c>
      <c r="AG97" s="57">
        <v>0</v>
      </c>
      <c r="AH97" s="57">
        <v>0</v>
      </c>
      <c r="AI97" s="57">
        <v>0</v>
      </c>
      <c r="AJ97" s="57">
        <v>0</v>
      </c>
      <c r="AK97" s="58">
        <v>0</v>
      </c>
      <c r="AL97" s="58">
        <v>0</v>
      </c>
      <c r="AM97" s="57">
        <v>0</v>
      </c>
      <c r="AN97" s="57">
        <v>0</v>
      </c>
      <c r="AO97" s="57">
        <v>0</v>
      </c>
      <c r="AP97" s="57">
        <v>0</v>
      </c>
      <c r="AQ97" s="57">
        <v>0</v>
      </c>
      <c r="AR97" s="58">
        <v>0</v>
      </c>
      <c r="AS97" s="58">
        <v>0</v>
      </c>
      <c r="AT97" s="57">
        <v>0</v>
      </c>
      <c r="AU97" s="57">
        <v>0</v>
      </c>
      <c r="AV97" s="57">
        <v>0</v>
      </c>
      <c r="AW97" s="57">
        <v>0</v>
      </c>
      <c r="AX97" s="57">
        <v>0</v>
      </c>
      <c r="AY97" s="58">
        <v>0</v>
      </c>
      <c r="AZ97" s="58">
        <v>0</v>
      </c>
      <c r="BA97" s="57">
        <v>0</v>
      </c>
      <c r="BB97" s="57">
        <v>0</v>
      </c>
      <c r="BC97" s="57">
        <v>0</v>
      </c>
      <c r="BD97" s="57">
        <v>0</v>
      </c>
      <c r="BE97" s="57">
        <v>0</v>
      </c>
      <c r="BF97" s="58">
        <v>0</v>
      </c>
      <c r="BG97" s="58">
        <v>0</v>
      </c>
      <c r="BH97" s="57">
        <v>10</v>
      </c>
      <c r="BI97" s="57">
        <v>10</v>
      </c>
      <c r="BJ97" s="57">
        <v>10</v>
      </c>
      <c r="BK97" s="57">
        <v>10</v>
      </c>
      <c r="BL97" s="57">
        <v>10</v>
      </c>
      <c r="BM97" s="58">
        <v>10</v>
      </c>
      <c r="BN97" s="58">
        <v>10</v>
      </c>
      <c r="BO97" s="57">
        <v>10</v>
      </c>
      <c r="BP97" s="57">
        <v>10</v>
      </c>
      <c r="BQ97" s="57">
        <v>10</v>
      </c>
      <c r="BR97" s="57">
        <v>10</v>
      </c>
      <c r="BS97" s="57">
        <v>10</v>
      </c>
      <c r="BT97" s="58">
        <v>10</v>
      </c>
      <c r="BU97" s="58">
        <v>10</v>
      </c>
      <c r="BV97" s="57">
        <v>10</v>
      </c>
      <c r="BW97" s="57">
        <v>10</v>
      </c>
      <c r="BX97" s="57">
        <v>10</v>
      </c>
      <c r="BY97" s="57">
        <v>10</v>
      </c>
      <c r="BZ97" s="57">
        <v>10</v>
      </c>
      <c r="CA97" s="58">
        <v>10</v>
      </c>
      <c r="CB97" s="58">
        <v>10</v>
      </c>
      <c r="CC97" s="57">
        <v>10</v>
      </c>
      <c r="CD97" s="57">
        <v>10</v>
      </c>
      <c r="CE97" s="57">
        <v>10</v>
      </c>
      <c r="CF97" s="57">
        <v>10</v>
      </c>
      <c r="CG97" s="57">
        <v>10</v>
      </c>
      <c r="CH97" s="58">
        <v>10</v>
      </c>
      <c r="CI97" s="58">
        <v>10</v>
      </c>
      <c r="CJ97" s="57">
        <v>10</v>
      </c>
      <c r="CK97" s="57">
        <v>10</v>
      </c>
      <c r="CL97" s="57">
        <v>10</v>
      </c>
      <c r="CM97" s="57">
        <v>10</v>
      </c>
      <c r="CN97" s="57">
        <v>10</v>
      </c>
      <c r="CO97" s="58">
        <v>10</v>
      </c>
      <c r="CP97" s="58">
        <v>10</v>
      </c>
      <c r="CQ97" s="57">
        <v>10</v>
      </c>
      <c r="CR97" s="57">
        <v>10</v>
      </c>
      <c r="CS97" s="57">
        <v>10</v>
      </c>
      <c r="CT97" s="57">
        <v>10</v>
      </c>
      <c r="CU97" s="57">
        <v>10</v>
      </c>
      <c r="CV97" s="58">
        <v>10</v>
      </c>
      <c r="CW97" s="58">
        <v>10</v>
      </c>
      <c r="CX97" s="57">
        <v>10</v>
      </c>
      <c r="CY97" s="57">
        <v>10</v>
      </c>
      <c r="CZ97" s="57">
        <v>10</v>
      </c>
      <c r="DA97" s="57">
        <v>10</v>
      </c>
      <c r="DB97" s="57">
        <v>10</v>
      </c>
      <c r="DC97" s="58">
        <v>10</v>
      </c>
      <c r="DD97" s="58">
        <v>10</v>
      </c>
      <c r="DE97" s="57">
        <v>10</v>
      </c>
      <c r="DF97" s="57">
        <v>10</v>
      </c>
      <c r="DG97" s="57">
        <v>10</v>
      </c>
      <c r="DH97" s="57">
        <v>10</v>
      </c>
      <c r="DI97" s="57">
        <v>10</v>
      </c>
      <c r="DJ97" s="58">
        <v>10</v>
      </c>
      <c r="DK97" s="58">
        <v>10</v>
      </c>
      <c r="DL97" s="57">
        <v>10</v>
      </c>
      <c r="DM97" s="57">
        <v>10</v>
      </c>
      <c r="DN97" s="57">
        <v>10</v>
      </c>
      <c r="DO97" s="57">
        <v>10</v>
      </c>
      <c r="DP97" s="57">
        <v>10</v>
      </c>
      <c r="DQ97" s="58">
        <v>10</v>
      </c>
      <c r="DR97" s="58">
        <v>10</v>
      </c>
      <c r="DS97" s="57">
        <v>10</v>
      </c>
      <c r="DT97" s="57">
        <v>0</v>
      </c>
      <c r="DU97" s="57">
        <v>0</v>
      </c>
      <c r="DV97" s="57">
        <v>0</v>
      </c>
      <c r="DW97" s="57">
        <v>0</v>
      </c>
      <c r="DX97" s="58">
        <v>0</v>
      </c>
      <c r="DY97" s="58">
        <v>0</v>
      </c>
      <c r="DZ97" s="57">
        <v>0</v>
      </c>
      <c r="EA97" s="57">
        <v>0</v>
      </c>
      <c r="EB97" s="57">
        <v>0</v>
      </c>
      <c r="EC97" s="57">
        <v>0</v>
      </c>
      <c r="ED97" s="57">
        <v>0</v>
      </c>
      <c r="EE97" s="58">
        <v>0</v>
      </c>
      <c r="EF97" s="58">
        <v>0</v>
      </c>
      <c r="EG97" s="57">
        <v>0</v>
      </c>
      <c r="EH97" s="57">
        <v>0</v>
      </c>
      <c r="EI97" s="57">
        <v>0</v>
      </c>
      <c r="EJ97" s="57">
        <v>0</v>
      </c>
      <c r="EK97" s="59">
        <v>0</v>
      </c>
      <c r="OU97" s="60" t="s">
        <v>135</v>
      </c>
    </row>
    <row r="98" ht="16" customHeight="1" spans="1:411" x14ac:dyDescent="0.25">
      <c r="A98" s="74"/>
      <c r="B98" s="78" t="s">
        <v>119</v>
      </c>
      <c r="C98" s="61">
        <f>F95*N(D98)</f>
        <v>73106.88</v>
      </c>
      <c r="D98" s="61">
        <f>IF(TRIM(IF(TRIM(B99)&lt;&gt;"",B99,B95))="","No rate",IFERROR(INDEX('Rate Tables'!C$7:C$158,MATCH(IF(TRIM(B99)&lt;&gt;"",B99,B95),'Rate Tables'!A$7:A$158,0)),"No rate"))</f>
        <v>99.33</v>
      </c>
      <c r="E98" s="55" t="s">
        <v>62</v>
      </c>
      <c r="F98" s="49"/>
      <c r="G98" s="49"/>
      <c r="H98" s="49"/>
      <c r="I98" s="49"/>
      <c r="J98" s="50"/>
      <c r="K98" s="62">
        <f>IF(AND(K96=0,K97=0),0,MIN(IF(K96&lt;=0,0,IF(WEEKDAY(K$6,1)=1,0,IF(WEEKDAY(K$6,1)=7,0,MIN(8,K97)*K96))),MAX(0,40*MAX(1,K96)-(0))))</f>
        <v>0</v>
      </c>
      <c r="L98" s="63">
        <f>IF(AND(L96=0,L97=0),0,MIN(IF(L96&lt;=0,0,IF(WEEKDAY(L$6,1)=1,0,IF(WEEKDAY(L$6,1)=7,0,MIN(8,L97)*L96))),MAX(0,40*MAX(1,L96)-(K98))))</f>
        <v>0</v>
      </c>
      <c r="M98" s="63">
        <f>IF(AND(M96=0,M97=0),0,MIN(IF(M96&lt;=0,0,IF(WEEKDAY(M$6,1)=1,0,IF(WEEKDAY(M$6,1)=7,0,MIN(8,M97)*M96))),MAX(0,40*MAX(1,M96)-(K98+L98))))</f>
        <v>0</v>
      </c>
      <c r="N98" s="63">
        <f>IF(AND(N96=0,N97=0),0,MIN(IF(N96&lt;=0,0,IF(WEEKDAY(N$6,1)=1,0,IF(WEEKDAY(N$6,1)=7,0,MIN(8,N97)*N96))),MAX(0,40*MAX(1,N96)-(K98+L98+M98))))</f>
        <v>0</v>
      </c>
      <c r="O98" s="63">
        <f>IF(AND(O96=0,O97=0),0,MIN(IF(O96&lt;=0,0,IF(WEEKDAY(O$6,1)=1,0,IF(WEEKDAY(O$6,1)=7,0,MIN(8,O97)*O96))),MAX(0,40*MAX(1,O96)-(K98+L98+M98+N98))))</f>
        <v>0</v>
      </c>
      <c r="P98" s="64">
        <f>IF(AND(P96=0,P97=0),0,MIN(IF(P96&lt;=0,0,IF(WEEKDAY(P$6,1)=1,0,IF(WEEKDAY(P$6,1)=7,0,MIN(8,P97)*P96))),MAX(0,40*MAX(1,P96)-(K98+L98+M98+N98+O98))))</f>
        <v>0</v>
      </c>
      <c r="Q98" s="64">
        <f>IF(AND(Q96=0,Q97=0),0,MIN(IF(Q96&lt;=0,0,IF(WEEKDAY(Q$6,1)=1,0,IF(WEEKDAY(Q$6,1)=7,0,MIN(8,Q97)*Q96))),MAX(0,40*MAX(1,Q96)-(K98+L98+M98+N98+O98+P98))))</f>
        <v>0</v>
      </c>
      <c r="R98" s="63">
        <f>IF(AND(R96=0,R97=0),0,MIN(IF(R96&lt;=0,0,IF(WEEKDAY(R$6,1)=1,0,IF(WEEKDAY(R$6,1)=7,0,MIN(8,R97)*R96))),MAX(0,40*MAX(1,R96)-(0))))</f>
        <v>0</v>
      </c>
      <c r="S98" s="63">
        <f>IF(AND(S96=0,S97=0),0,MIN(IF(S96&lt;=0,0,IF(WEEKDAY(S$6,1)=1,0,IF(WEEKDAY(S$6,1)=7,0,MIN(8,S97)*S96))),MAX(0,40*MAX(1,S96)-(R98))))</f>
        <v>0</v>
      </c>
      <c r="T98" s="63">
        <f>IF(AND(T96=0,T97=0),0,MIN(IF(T96&lt;=0,0,IF(WEEKDAY(T$6,1)=1,0,IF(WEEKDAY(T$6,1)=7,0,MIN(8,T97)*T96))),MAX(0,40*MAX(1,T96)-(R98+S98))))</f>
        <v>0</v>
      </c>
      <c r="U98" s="63">
        <f>IF(AND(U96=0,U97=0),0,MIN(IF(U96&lt;=0,0,IF(WEEKDAY(U$6,1)=1,0,IF(WEEKDAY(U$6,1)=7,0,MIN(8,U97)*U96))),MAX(0,40*MAX(1,U96)-(R98+S98+T98))))</f>
        <v>0</v>
      </c>
      <c r="V98" s="63">
        <f>IF(AND(V96=0,V97=0),0,MIN(IF(V96&lt;=0,0,IF(WEEKDAY(V$6,1)=1,0,IF(WEEKDAY(V$6,1)=7,0,MIN(8,V97)*V96))),MAX(0,40*MAX(1,V96)-(R98+S98+T98+U98))))</f>
        <v>0</v>
      </c>
      <c r="W98" s="64">
        <f>IF(AND(W96=0,W97=0),0,MIN(IF(W96&lt;=0,0,IF(WEEKDAY(W$6,1)=1,0,IF(WEEKDAY(W$6,1)=7,0,MIN(8,W97)*W96))),MAX(0,40*MAX(1,W96)-(R98+S98+T98+U98+V98))))</f>
        <v>0</v>
      </c>
      <c r="X98" s="64">
        <f>IF(AND(X96=0,X97=0),0,MIN(IF(X96&lt;=0,0,IF(WEEKDAY(X$6,1)=1,0,IF(WEEKDAY(X$6,1)=7,0,MIN(8,X97)*X96))),MAX(0,40*MAX(1,X96)-(R98+S98+T98+U98+V98+W98))))</f>
        <v>0</v>
      </c>
      <c r="Y98" s="63">
        <f>IF(AND(Y96=0,Y97=0),0,MIN(IF(Y96&lt;=0,0,IF(WEEKDAY(Y$6,1)=1,0,IF(WEEKDAY(Y$6,1)=7,0,MIN(8,Y97)*Y96))),MAX(0,40*MAX(1,Y96)-(0))))</f>
        <v>0</v>
      </c>
      <c r="Z98" s="63">
        <f>IF(AND(Z96=0,Z97=0),0,MIN(IF(Z96&lt;=0,0,IF(WEEKDAY(Z$6,1)=1,0,IF(WEEKDAY(Z$6,1)=7,0,MIN(8,Z97)*Z96))),MAX(0,40*MAX(1,Z96)-(Y98))))</f>
        <v>0</v>
      </c>
      <c r="AA98" s="63">
        <f>IF(AND(AA96=0,AA97=0),0,MIN(IF(AA96&lt;=0,0,IF(WEEKDAY(AA$6,1)=1,0,IF(WEEKDAY(AA$6,1)=7,0,MIN(8,AA97)*AA96))),MAX(0,40*MAX(1,AA96)-(Y98+Z98))))</f>
        <v>0</v>
      </c>
      <c r="AB98" s="63">
        <f>IF(AND(AB96=0,AB97=0),0,MIN(IF(AB96&lt;=0,0,IF(WEEKDAY(AB$6,1)=1,0,IF(WEEKDAY(AB$6,1)=7,0,MIN(8,AB97)*AB96))),MAX(0,40*MAX(1,AB96)-(Y98+Z98+AA98))))</f>
        <v>0</v>
      </c>
      <c r="AC98" s="63">
        <f>IF(AND(AC96=0,AC97=0),0,MIN(IF(AC96&lt;=0,0,IF(WEEKDAY(AC$6,1)=1,0,IF(WEEKDAY(AC$6,1)=7,0,MIN(8,AC97)*AC96))),MAX(0,40*MAX(1,AC96)-(Y98+Z98+AA98+AB98))))</f>
        <v>0</v>
      </c>
      <c r="AD98" s="64">
        <f>IF(AND(AD96=0,AD97=0),0,MIN(IF(AD96&lt;=0,0,IF(WEEKDAY(AD$6,1)=1,0,IF(WEEKDAY(AD$6,1)=7,0,MIN(8,AD97)*AD96))),MAX(0,40*MAX(1,AD96)-(Y98+Z98+AA98+AB98+AC98))))</f>
        <v>0</v>
      </c>
      <c r="AE98" s="64">
        <f>IF(AND(AE96=0,AE97=0),0,MIN(IF(AE96&lt;=0,0,IF(WEEKDAY(AE$6,1)=1,0,IF(WEEKDAY(AE$6,1)=7,0,MIN(8,AE97)*AE96))),MAX(0,40*MAX(1,AE96)-(Y98+Z98+AA98+AB98+AC98+AD98))))</f>
        <v>0</v>
      </c>
      <c r="AF98" s="63">
        <f>IF(AND(AF96=0,AF97=0),0,MIN(IF(AF96&lt;=0,0,IF(WEEKDAY(AF$6,1)=1,0,IF(WEEKDAY(AF$6,1)=7,0,MIN(8,AF97)*AF96))),MAX(0,40*MAX(1,AF96)-(0))))</f>
        <v>0</v>
      </c>
      <c r="AG98" s="63">
        <f>IF(AND(AG96=0,AG97=0),0,MIN(IF(AG96&lt;=0,0,IF(WEEKDAY(AG$6,1)=1,0,IF(WEEKDAY(AG$6,1)=7,0,MIN(8,AG97)*AG96))),MAX(0,40*MAX(1,AG96)-(AF98))))</f>
        <v>0</v>
      </c>
      <c r="AH98" s="63">
        <f>IF(AND(AH96=0,AH97=0),0,MIN(IF(AH96&lt;=0,0,IF(WEEKDAY(AH$6,1)=1,0,IF(WEEKDAY(AH$6,1)=7,0,MIN(8,AH97)*AH96))),MAX(0,40*MAX(1,AH96)-(AF98+AG98))))</f>
        <v>0</v>
      </c>
      <c r="AI98" s="63">
        <f>IF(AND(AI96=0,AI97=0),0,MIN(IF(AI96&lt;=0,0,IF(WEEKDAY(AI$6,1)=1,0,IF(WEEKDAY(AI$6,1)=7,0,MIN(8,AI97)*AI96))),MAX(0,40*MAX(1,AI96)-(AF98+AG98+AH98))))</f>
        <v>0</v>
      </c>
      <c r="AJ98" s="63">
        <f>IF(AND(AJ96=0,AJ97=0),0,MIN(IF(AJ96&lt;=0,0,IF(WEEKDAY(AJ$6,1)=1,0,IF(WEEKDAY(AJ$6,1)=7,0,MIN(8,AJ97)*AJ96))),MAX(0,40*MAX(1,AJ96)-(AF98+AG98+AH98+AI98))))</f>
        <v>0</v>
      </c>
      <c r="AK98" s="64">
        <f>IF(AND(AK96=0,AK97=0),0,MIN(IF(AK96&lt;=0,0,IF(WEEKDAY(AK$6,1)=1,0,IF(WEEKDAY(AK$6,1)=7,0,MIN(8,AK97)*AK96))),MAX(0,40*MAX(1,AK96)-(AF98+AG98+AH98+AI98+AJ98))))</f>
        <v>0</v>
      </c>
      <c r="AL98" s="64">
        <f>IF(AND(AL96=0,AL97=0),0,MIN(IF(AL96&lt;=0,0,IF(WEEKDAY(AL$6,1)=1,0,IF(WEEKDAY(AL$6,1)=7,0,MIN(8,AL97)*AL96))),MAX(0,40*MAX(1,AL96)-(AF98+AG98+AH98+AI98+AJ98+AK98))))</f>
        <v>0</v>
      </c>
      <c r="AM98" s="63">
        <f>IF(AND(AM96=0,AM97=0),0,MIN(IF(AM96&lt;=0,0,IF(WEEKDAY(AM$6,1)=1,0,IF(WEEKDAY(AM$6,1)=7,0,MIN(8,AM97)*AM96))),MAX(0,40*MAX(1,AM96)-(0))))</f>
        <v>0</v>
      </c>
      <c r="AN98" s="63">
        <f>IF(AND(AN96=0,AN97=0),0,MIN(IF(AN96&lt;=0,0,IF(WEEKDAY(AN$6,1)=1,0,IF(WEEKDAY(AN$6,1)=7,0,MIN(8,AN97)*AN96))),MAX(0,40*MAX(1,AN96)-(AM98))))</f>
        <v>0</v>
      </c>
      <c r="AO98" s="63">
        <f>IF(AND(AO96=0,AO97=0),0,MIN(IF(AO96&lt;=0,0,IF(WEEKDAY(AO$6,1)=1,0,IF(WEEKDAY(AO$6,1)=7,0,MIN(8,AO97)*AO96))),MAX(0,40*MAX(1,AO96)-(AM98+AN98))))</f>
        <v>0</v>
      </c>
      <c r="AP98" s="63">
        <f>IF(AND(AP96=0,AP97=0),0,MIN(IF(AP96&lt;=0,0,IF(WEEKDAY(AP$6,1)=1,0,IF(WEEKDAY(AP$6,1)=7,0,MIN(8,AP97)*AP96))),MAX(0,40*MAX(1,AP96)-(AM98+AN98+AO98))))</f>
        <v>0</v>
      </c>
      <c r="AQ98" s="63">
        <f>IF(AND(AQ96=0,AQ97=0),0,MIN(IF(AQ96&lt;=0,0,IF(WEEKDAY(AQ$6,1)=1,0,IF(WEEKDAY(AQ$6,1)=7,0,MIN(8,AQ97)*AQ96))),MAX(0,40*MAX(1,AQ96)-(AM98+AN98+AO98+AP98))))</f>
        <v>0</v>
      </c>
      <c r="AR98" s="64">
        <f>IF(AND(AR96=0,AR97=0),0,MIN(IF(AR96&lt;=0,0,IF(WEEKDAY(AR$6,1)=1,0,IF(WEEKDAY(AR$6,1)=7,0,MIN(8,AR97)*AR96))),MAX(0,40*MAX(1,AR96)-(AM98+AN98+AO98+AP98+AQ98))))</f>
        <v>0</v>
      </c>
      <c r="AS98" s="64">
        <f>IF(AND(AS96=0,AS97=0),0,MIN(IF(AS96&lt;=0,0,IF(WEEKDAY(AS$6,1)=1,0,IF(WEEKDAY(AS$6,1)=7,0,MIN(8,AS97)*AS96))),MAX(0,40*MAX(1,AS96)-(AM98+AN98+AO98+AP98+AQ98+AR98))))</f>
        <v>0</v>
      </c>
      <c r="AT98" s="63">
        <f>IF(AND(AT96=0,AT97=0),0,MIN(IF(AT96&lt;=0,0,IF(WEEKDAY(AT$6,1)=1,0,IF(WEEKDAY(AT$6,1)=7,0,MIN(8,AT97)*AT96))),MAX(0,40*MAX(1,AT96)-(0))))</f>
        <v>0</v>
      </c>
      <c r="AU98" s="63">
        <f>IF(AND(AU96=0,AU97=0),0,MIN(IF(AU96&lt;=0,0,IF(WEEKDAY(AU$6,1)=1,0,IF(WEEKDAY(AU$6,1)=7,0,MIN(8,AU97)*AU96))),MAX(0,40*MAX(1,AU96)-(AT98))))</f>
        <v>0</v>
      </c>
      <c r="AV98" s="63">
        <f>IF(AND(AV96=0,AV97=0),0,MIN(IF(AV96&lt;=0,0,IF(WEEKDAY(AV$6,1)=1,0,IF(WEEKDAY(AV$6,1)=7,0,MIN(8,AV97)*AV96))),MAX(0,40*MAX(1,AV96)-(AT98+AU98))))</f>
        <v>0</v>
      </c>
      <c r="AW98" s="63">
        <f>IF(AND(AW96=0,AW97=0),0,MIN(IF(AW96&lt;=0,0,IF(WEEKDAY(AW$6,1)=1,0,IF(WEEKDAY(AW$6,1)=7,0,MIN(8,AW97)*AW96))),MAX(0,40*MAX(1,AW96)-(AT98+AU98+AV98))))</f>
        <v>0</v>
      </c>
      <c r="AX98" s="63">
        <f>IF(AND(AX96=0,AX97=0),0,MIN(IF(AX96&lt;=0,0,IF(WEEKDAY(AX$6,1)=1,0,IF(WEEKDAY(AX$6,1)=7,0,MIN(8,AX97)*AX96))),MAX(0,40*MAX(1,AX96)-(AT98+AU98+AV98+AW98))))</f>
        <v>0</v>
      </c>
      <c r="AY98" s="64">
        <f>IF(AND(AY96=0,AY97=0),0,MIN(IF(AY96&lt;=0,0,IF(WEEKDAY(AY$6,1)=1,0,IF(WEEKDAY(AY$6,1)=7,0,MIN(8,AY97)*AY96))),MAX(0,40*MAX(1,AY96)-(AT98+AU98+AV98+AW98+AX98))))</f>
        <v>0</v>
      </c>
      <c r="AZ98" s="64">
        <f>IF(AND(AZ96=0,AZ97=0),0,MIN(IF(AZ96&lt;=0,0,IF(WEEKDAY(AZ$6,1)=1,0,IF(WEEKDAY(AZ$6,1)=7,0,MIN(8,AZ97)*AZ96))),MAX(0,40*MAX(1,AZ96)-(AT98+AU98+AV98+AW98+AX98+AY98))))</f>
        <v>0</v>
      </c>
      <c r="BA98" s="63">
        <f>IF(AND(BA96=0,BA97=0),0,MIN(IF(BA96&lt;=0,0,IF(WEEKDAY(BA$6,1)=1,0,IF(WEEKDAY(BA$6,1)=7,0,MIN(8,BA97)*BA96))),MAX(0,40*MAX(1,BA96)-(0))))</f>
        <v>0</v>
      </c>
      <c r="BB98" s="63">
        <f>IF(AND(BB96=0,BB97=0),0,MIN(IF(BB96&lt;=0,0,IF(WEEKDAY(BB$6,1)=1,0,IF(WEEKDAY(BB$6,1)=7,0,MIN(8,BB97)*BB96))),MAX(0,40*MAX(1,BB96)-(BA98))))</f>
        <v>0</v>
      </c>
      <c r="BC98" s="63">
        <f>IF(AND(BC96=0,BC97=0),0,MIN(IF(BC96&lt;=0,0,IF(WEEKDAY(BC$6,1)=1,0,IF(WEEKDAY(BC$6,1)=7,0,MIN(8,BC97)*BC96))),MAX(0,40*MAX(1,BC96)-(BA98+BB98))))</f>
        <v>0</v>
      </c>
      <c r="BD98" s="63">
        <f>IF(AND(BD96=0,BD97=0),0,MIN(IF(BD96&lt;=0,0,IF(WEEKDAY(BD$6,1)=1,0,IF(WEEKDAY(BD$6,1)=7,0,MIN(8,BD97)*BD96))),MAX(0,40*MAX(1,BD96)-(BA98+BB98+BC98))))</f>
        <v>0</v>
      </c>
      <c r="BE98" s="63">
        <f>IF(AND(BE96=0,BE97=0),0,MIN(IF(BE96&lt;=0,0,IF(WEEKDAY(BE$6,1)=1,0,IF(WEEKDAY(BE$6,1)=7,0,MIN(8,BE97)*BE96))),MAX(0,40*MAX(1,BE96)-(BA98+BB98+BC98+BD98))))</f>
        <v>0</v>
      </c>
      <c r="BF98" s="64">
        <f>IF(AND(BF96=0,BF97=0),0,MIN(IF(BF96&lt;=0,0,IF(WEEKDAY(BF$6,1)=1,0,IF(WEEKDAY(BF$6,1)=7,0,MIN(8,BF97)*BF96))),MAX(0,40*MAX(1,BF96)-(BA98+BB98+BC98+BD98+BE98))))</f>
        <v>0</v>
      </c>
      <c r="BG98" s="64">
        <f>IF(AND(BG96=0,BG97=0),0,MIN(IF(BG96&lt;=0,0,IF(WEEKDAY(BG$6,1)=1,0,IF(WEEKDAY(BG$6,1)=7,0,MIN(8,BG97)*BG96))),MAX(0,40*MAX(1,BG96)-(BA98+BB98+BC98+BD98+BE98+BF98))))</f>
        <v>0</v>
      </c>
      <c r="BH98" s="63">
        <f>IF(AND(BH96=2,BH97=10),16,MIN(IF(BH96&lt;=0,0,IF(WEEKDAY(BH$6,1)=1,0,IF(WEEKDAY(BH$6,1)=7,0,MIN(8,BH97)*BH96))),MAX(0,40*MAX(1,BH96)-(0))))</f>
        <v>16</v>
      </c>
      <c r="BI98" s="63">
        <f>IF(AND(BI96=2,BI97=10),16,MIN(IF(BI96&lt;=0,0,IF(WEEKDAY(BI$6,1)=1,0,IF(WEEKDAY(BI$6,1)=7,0,MIN(8,BI97)*BI96))),MAX(0,40*MAX(1,BI96)-(BH98))))</f>
        <v>16</v>
      </c>
      <c r="BJ98" s="63">
        <f>IF(AND(BJ96=2,BJ97=10),16,MIN(IF(BJ96&lt;=0,0,IF(WEEKDAY(BJ$6,1)=1,0,IF(WEEKDAY(BJ$6,1)=7,0,MIN(8,BJ97)*BJ96))),MAX(0,40*MAX(1,BJ96)-(BH98+BI98))))</f>
        <v>16</v>
      </c>
      <c r="BK98" s="63">
        <f>IF(AND(BK96=2,BK97=10),16,MIN(IF(BK96&lt;=0,0,IF(WEEKDAY(BK$6,1)=1,0,IF(WEEKDAY(BK$6,1)=7,0,MIN(8,BK97)*BK96))),MAX(0,40*MAX(1,BK96)-(BH98+BI98+BJ98))))</f>
        <v>16</v>
      </c>
      <c r="BL98" s="63">
        <f>IF(AND(BL96=2,BL97=10),16,MIN(IF(BL96&lt;=0,0,IF(WEEKDAY(BL$6,1)=1,0,IF(WEEKDAY(BL$6,1)=7,0,MIN(8,BL97)*BL96))),MAX(0,40*MAX(1,BL96)-(BH98+BI98+BJ98+BK98))))</f>
        <v>16</v>
      </c>
      <c r="BM98" s="64">
        <f>IF(AND(BM96=2,BM97=10),0,MIN(IF(BM96&lt;=0,0,IF(WEEKDAY(BM$6,1)=1,0,IF(WEEKDAY(BM$6,1)=7,0,MIN(8,BM97)*BM96))),MAX(0,40*MAX(1,BM96)-(BH98+BI98+BJ98+BK98+BL98))))</f>
        <v>0</v>
      </c>
      <c r="BN98" s="64">
        <f>IF(AND(BN96=2,BN97=10),0,MIN(IF(BN96&lt;=0,0,IF(WEEKDAY(BN$6,1)=1,0,IF(WEEKDAY(BN$6,1)=7,0,MIN(8,BN97)*BN96))),MAX(0,40*MAX(1,BN96)-(BH98+BI98+BJ98+BK98+BL98+BM98))))</f>
        <v>0</v>
      </c>
      <c r="BO98" s="63">
        <f>IF(AND(BO96=2,BO97=10),16,MIN(IF(BO96&lt;=0,0,IF(WEEKDAY(BO$6,1)=1,0,IF(WEEKDAY(BO$6,1)=7,0,MIN(8,BO97)*BO96))),MAX(0,40*MAX(1,BO96)-(0))))</f>
        <v>16</v>
      </c>
      <c r="BP98" s="63">
        <f>IF(AND(BP96=2,BP97=10),16,MIN(IF(BP96&lt;=0,0,IF(WEEKDAY(BP$6,1)=1,0,IF(WEEKDAY(BP$6,1)=7,0,MIN(8,BP97)*BP96))),MAX(0,40*MAX(1,BP96)-(BO98))))</f>
        <v>16</v>
      </c>
      <c r="BQ98" s="63">
        <f>IF(AND(BQ96=2,BQ97=10),16,MIN(IF(BQ96&lt;=0,0,IF(WEEKDAY(BQ$6,1)=1,0,IF(WEEKDAY(BQ$6,1)=7,0,MIN(8,BQ97)*BQ96))),MAX(0,40*MAX(1,BQ96)-(BO98+BP98))))</f>
        <v>16</v>
      </c>
      <c r="BR98" s="63">
        <f>IF(AND(BR96=2,BR97=10),16,MIN(IF(BR96&lt;=0,0,IF(WEEKDAY(BR$6,1)=1,0,IF(WEEKDAY(BR$6,1)=7,0,MIN(8,BR97)*BR96))),MAX(0,40*MAX(1,BR96)-(0))))</f>
        <v>16</v>
      </c>
      <c r="BS98" s="63">
        <f>IF(AND(BS96=2,BS97=10),16,MIN(IF(BS96&lt;=0,0,IF(WEEKDAY(BS$6,1)=1,0,IF(WEEKDAY(BS$6,1)=7,0,MIN(8,BS97)*BS96))),MAX(0,40*MAX(1,BS96)-(BR98))))</f>
        <v>16</v>
      </c>
      <c r="BT98" s="64">
        <f>IF(AND(BT96=2,BT97=10),0,MIN(IF(BT96&lt;=0,0,IF(WEEKDAY(BT$6,1)=1,0,IF(WEEKDAY(BT$6,1)=7,0,MIN(8,BT97)*BT96))),MAX(0,40*MAX(1,BT96)-(BR98+BS98))))</f>
        <v>0</v>
      </c>
      <c r="BU98" s="64">
        <f>IF(AND(BU96=2,BU97=10),0,MIN(IF(BU96&lt;=0,0,IF(WEEKDAY(BU$6,1)=1,0,IF(WEEKDAY(BU$6,1)=7,0,MIN(8,BU97)*BU96))),MAX(0,40*MAX(1,BU96)-(BR98+BS98+BT98))))</f>
        <v>0</v>
      </c>
      <c r="BV98" s="63">
        <f>IF(AND(BV96=2,BV97=10),16,MIN(IF(BV96&lt;=0,0,IF(WEEKDAY(BV$6,1)=1,0,IF(WEEKDAY(BV$6,1)=7,0,MIN(8,BV97)*BV96))),MAX(0,40*MAX(1,BV96)-(0))))</f>
        <v>16</v>
      </c>
      <c r="BW98" s="63">
        <f>IF(AND(BW96=2,BW97=10),16,MIN(IF(BW96&lt;=0,0,IF(WEEKDAY(BW$6,1)=1,0,IF(WEEKDAY(BW$6,1)=7,0,MIN(8,BW97)*BW96))),MAX(0,40*MAX(1,BW96)-(BV98))))</f>
        <v>16</v>
      </c>
      <c r="BX98" s="63">
        <f>IF(AND(BX96=2,BX97=10),16,MIN(IF(BX96&lt;=0,0,IF(WEEKDAY(BX$6,1)=1,0,IF(WEEKDAY(BX$6,1)=7,0,MIN(8,BX97)*BX96))),MAX(0,40*MAX(1,BX96)-(BV98+BW98))))</f>
        <v>16</v>
      </c>
      <c r="BY98" s="63">
        <f>IF(AND(BY96=2,BY97=10),16,MIN(IF(BY96&lt;=0,0,IF(WEEKDAY(BY$6,1)=1,0,IF(WEEKDAY(BY$6,1)=7,0,MIN(8,BY97)*BY96))),MAX(0,40*MAX(1,BY96)-(BV98+BW98+BX98))))</f>
        <v>16</v>
      </c>
      <c r="BZ98" s="63">
        <f>IF(AND(BZ96=2,BZ97=10),16,MIN(IF(BZ96&lt;=0,0,IF(WEEKDAY(BZ$6,1)=1,0,IF(WEEKDAY(BZ$6,1)=7,0,MIN(8,BZ97)*BZ96))),MAX(0,40*MAX(1,BZ96)-(BV98+BW98+BX98+BY98))))</f>
        <v>16</v>
      </c>
      <c r="CA98" s="64">
        <f>IF(AND(CA96=2,CA97=10),0,MIN(IF(CA96&lt;=0,0,IF(WEEKDAY(CA$6,1)=1,0,IF(WEEKDAY(CA$6,1)=7,0,MIN(8,CA97)*CA96))),MAX(0,40*MAX(1,CA96)-(BV98+BW98+BX98+BY98+BZ98))))</f>
        <v>0</v>
      </c>
      <c r="CB98" s="64">
        <f>IF(AND(CB96=2,CB97=10),0,MIN(IF(CB96&lt;=0,0,IF(WEEKDAY(CB$6,1)=1,0,IF(WEEKDAY(CB$6,1)=7,0,MIN(8,CB97)*CB96))),MAX(0,40*MAX(1,CB96)-(BV98+BW98+BX98+BY98+BZ98+CA98))))</f>
        <v>0</v>
      </c>
      <c r="CC98" s="63">
        <f>IF(AND(CC96=2,CC97=10),16,MIN(IF(CC96&lt;=0,0,IF(WEEKDAY(CC$6,1)=1,0,IF(WEEKDAY(CC$6,1)=7,0,MIN(8,CC97)*CC96))),MAX(0,40*MAX(1,CC96)-(0))))</f>
        <v>16</v>
      </c>
      <c r="CD98" s="63">
        <f>IF(AND(CD96=2,CD97=10),16,MIN(IF(CD96&lt;=0,0,IF(WEEKDAY(CD$6,1)=1,0,IF(WEEKDAY(CD$6,1)=7,0,MIN(8,CD97)*CD96))),MAX(0,40*MAX(1,CD96)-(CC98))))</f>
        <v>16</v>
      </c>
      <c r="CE98" s="63">
        <f>IF(AND(CE96=2,CE97=10),16,MIN(IF(CE96&lt;=0,0,IF(WEEKDAY(CE$6,1)=1,0,IF(WEEKDAY(CE$6,1)=7,0,MIN(8,CE97)*CE96))),MAX(0,40*MAX(1,CE96)-(CC98+CD98))))</f>
        <v>16</v>
      </c>
      <c r="CF98" s="63">
        <f>IF(AND(CF96=2,CF97=10),16,MIN(IF(CF96&lt;=0,0,IF(WEEKDAY(CF$6,1)=1,0,IF(WEEKDAY(CF$6,1)=7,0,MIN(8,CF97)*CF96))),MAX(0,40*MAX(1,CF96)-(CC98+CD98+CE98))))</f>
        <v>16</v>
      </c>
      <c r="CG98" s="63">
        <f>IF(AND(CG96=2,CG97=10),16,MIN(IF(CG96&lt;=0,0,IF(WEEKDAY(CG$6,1)=1,0,IF(WEEKDAY(CG$6,1)=7,0,MIN(8,CG97)*CG96))),MAX(0,40*MAX(1,CG96)-(CC98+CD98+CE98+CF98))))</f>
        <v>16</v>
      </c>
      <c r="CH98" s="64">
        <f>IF(AND(CH96=2,CH97=10),0,MIN(IF(CH96&lt;=0,0,IF(WEEKDAY(CH$6,1)=1,0,IF(WEEKDAY(CH$6,1)=7,0,MIN(8,CH97)*CH96))),MAX(0,40*MAX(1,CH96)-(CC98+CD98+CE98+CF98+CG98))))</f>
        <v>0</v>
      </c>
      <c r="CI98" s="64">
        <f>IF(AND(CI96=2,CI97=10),0,MIN(IF(CI96&lt;=0,0,IF(WEEKDAY(CI$6,1)=1,0,IF(WEEKDAY(CI$6,1)=7,0,MIN(8,CI97)*CI96))),MAX(0,40*MAX(1,CI96)-(CC98+CD98+CE98+CF98+CG98+CH98))))</f>
        <v>0</v>
      </c>
      <c r="CJ98" s="63">
        <f>IF(AND(CJ96=2,CJ97=10),16,MIN(IF(CJ96&lt;=0,0,IF(WEEKDAY(CJ$6,1)=1,0,IF(WEEKDAY(CJ$6,1)=7,0,MIN(8,CJ97)*CJ96))),MAX(0,40*MAX(1,CJ96)-(0))))</f>
        <v>16</v>
      </c>
      <c r="CK98" s="63">
        <f>IF(AND(CK96=2,CK97=10),16,MIN(IF(CK96&lt;=0,0,IF(WEEKDAY(CK$6,1)=1,0,IF(WEEKDAY(CK$6,1)=7,0,MIN(8,CK97)*CK96))),MAX(0,40*MAX(1,CK96)-(CJ98))))</f>
        <v>16</v>
      </c>
      <c r="CL98" s="63">
        <f>IF(AND(CL96=2,CL97=10),16,MIN(IF(CL96&lt;=0,0,IF(WEEKDAY(CL$6,1)=1,0,IF(WEEKDAY(CL$6,1)=7,0,MIN(8,CL97)*CL96))),MAX(0,40*MAX(1,CL96)-(CJ98+CK98))))</f>
        <v>16</v>
      </c>
      <c r="CM98" s="63">
        <f>IF(AND(CM96=2,CM97=10),16,MIN(IF(CM96&lt;=0,0,IF(WEEKDAY(CM$6,1)=1,0,IF(WEEKDAY(CM$6,1)=7,0,MIN(8,CM97)*CM96))),MAX(0,40*MAX(1,CM96)-(CJ98+CK98+CL98))))</f>
        <v>16</v>
      </c>
      <c r="CN98" s="63">
        <f>IF(AND(CN96=2,CN97=10),16,MIN(IF(CN96&lt;=0,0,IF(WEEKDAY(CN$6,1)=1,0,IF(WEEKDAY(CN$6,1)=7,0,MIN(8,CN97)*CN96))),MAX(0,40*MAX(1,CN96)-(CJ98+CK98+CL98+CM98))))</f>
        <v>16</v>
      </c>
      <c r="CO98" s="64">
        <f>IF(AND(CO96=2,CO97=10),0,MIN(IF(CO96&lt;=0,0,IF(WEEKDAY(CO$6,1)=1,0,IF(WEEKDAY(CO$6,1)=7,0,MIN(8,CO97)*CO96))),MAX(0,40*MAX(1,CO96)-(CJ98+CK98+CL98+CM98+CN98))))</f>
        <v>0</v>
      </c>
      <c r="CP98" s="64">
        <f>IF(AND(CP96=2,CP97=10),0,MIN(IF(CP96&lt;=0,0,IF(WEEKDAY(CP$6,1)=1,0,IF(WEEKDAY(CP$6,1)=7,0,MIN(8,CP97)*CP96))),MAX(0,40*MAX(1,CP96)-(CJ98+CK98+CL98+CM98+CN98+CO98))))</f>
        <v>0</v>
      </c>
      <c r="CQ98" s="63">
        <f>IF(AND(CQ96=2,CQ97=10),16,MIN(IF(CQ96&lt;=0,0,IF(WEEKDAY(CQ$6,1)=1,0,IF(WEEKDAY(CQ$6,1)=7,0,MIN(8,CQ97)*CQ96))),MAX(0,40*MAX(1,CQ96)-(0))))</f>
        <v>16</v>
      </c>
      <c r="CR98" s="63">
        <f>IF(AND(CR96=2,CR97=10),16,MIN(IF(CR96&lt;=0,0,IF(WEEKDAY(CR$6,1)=1,0,IF(WEEKDAY(CR$6,1)=7,0,MIN(8,CR97)*CR96))),MAX(0,40*MAX(1,CR96)-(CQ98))))</f>
        <v>16</v>
      </c>
      <c r="CS98" s="63">
        <f>IF(AND(CS96=2,CS97=10),16,MIN(IF(CS96&lt;=0,0,IF(WEEKDAY(CS$6,1)=1,0,IF(WEEKDAY(CS$6,1)=7,0,MIN(8,CS97)*CS96))),MAX(0,40*MAX(1,CS96)-(CQ98+CR98))))</f>
        <v>16</v>
      </c>
      <c r="CT98" s="63">
        <f>IF(AND(CT96=2,CT97=10),16,MIN(IF(CT96&lt;=0,0,IF(WEEKDAY(CT$6,1)=1,0,IF(WEEKDAY(CT$6,1)=7,0,MIN(8,CT97)*CT96))),MAX(0,40*MAX(1,CT96)-(CQ98+CR98+CS98))))</f>
        <v>16</v>
      </c>
      <c r="CU98" s="63">
        <f>IF(AND(CU96=2,CU97=10),16,MIN(IF(CU96&lt;=0,0,IF(WEEKDAY(CU$6,1)=1,0,IF(WEEKDAY(CU$6,1)=7,0,MIN(8,CU97)*CU96))),MAX(0,40*MAX(1,CU96)-(CQ98+CR98+CS98+CT98))))</f>
        <v>16</v>
      </c>
      <c r="CV98" s="64">
        <f>IF(AND(CV96=2,CV97=10),0,MIN(IF(CV96&lt;=0,0,IF(WEEKDAY(CV$6,1)=1,0,IF(WEEKDAY(CV$6,1)=7,0,MIN(8,CV97)*CV96))),MAX(0,40*MAX(1,CV96)-(CQ98+CR98+CS98+CT98+CU98))))</f>
        <v>0</v>
      </c>
      <c r="CW98" s="64">
        <f>IF(AND(CW96=2,CW97=10),0,MIN(IF(CW96&lt;=0,0,IF(WEEKDAY(CW$6,1)=1,0,IF(WEEKDAY(CW$6,1)=7,0,MIN(8,CW97)*CW96))),MAX(0,40*MAX(1,CW96)-(CQ98+CR98+CS98+CT98+CU98+CV98))))</f>
        <v>0</v>
      </c>
      <c r="CX98" s="63">
        <f>IF(AND(CX96=2,CX97=10),16,MIN(IF(CX96&lt;=0,0,IF(WEEKDAY(CX$6,1)=1,0,IF(WEEKDAY(CX$6,1)=7,0,MIN(8,CX97)*CX96))),MAX(0,40*MAX(1,CX96)-(0))))</f>
        <v>16</v>
      </c>
      <c r="CY98" s="63">
        <f>IF(AND(CY96=2,CY97=10),16,MIN(IF(CY96&lt;=0,0,IF(WEEKDAY(CY$6,1)=1,0,IF(WEEKDAY(CY$6,1)=7,0,MIN(8,CY97)*CY96))),MAX(0,40*MAX(1,CY96)-(CX98))))</f>
        <v>16</v>
      </c>
      <c r="CZ98" s="63">
        <f>IF(AND(CZ96=2,CZ97=10),16,MIN(IF(CZ96&lt;=0,0,IF(WEEKDAY(CZ$6,1)=1,0,IF(WEEKDAY(CZ$6,1)=7,0,MIN(8,CZ97)*CZ96))),MAX(0,40*MAX(1,CZ96)-(CX98+CY98))))</f>
        <v>16</v>
      </c>
      <c r="DA98" s="63">
        <f>IF(AND(DA96=2,DA97=10),16,MIN(IF(DA96&lt;=0,0,IF(WEEKDAY(DA$6,1)=1,0,IF(WEEKDAY(DA$6,1)=7,0,MIN(8,DA97)*DA96))),MAX(0,40*MAX(1,DA96)-(CX98+CY98+CZ98))))</f>
        <v>16</v>
      </c>
      <c r="DB98" s="63">
        <f>IF(AND(DB96=2,DB97=10),16,MIN(IF(DB96&lt;=0,0,IF(WEEKDAY(DB$6,1)=1,0,IF(WEEKDAY(DB$6,1)=7,0,MIN(8,DB97)*DB96))),MAX(0,40*MAX(1,DB96)-(CX98+CY98+CZ98+DA98))))</f>
        <v>16</v>
      </c>
      <c r="DC98" s="64">
        <f>IF(AND(DC96=2,DC97=10),0,MIN(IF(DC96&lt;=0,0,IF(WEEKDAY(DC$6,1)=1,0,IF(WEEKDAY(DC$6,1)=7,0,MIN(8,DC97)*DC96))),MAX(0,40*MAX(1,DC96)-(CX98+CY98+CZ98+DA98+DB98))))</f>
        <v>0</v>
      </c>
      <c r="DD98" s="64">
        <f>IF(AND(DD96=2,DD97=10),0,MIN(IF(DD96&lt;=0,0,IF(WEEKDAY(DD$6,1)=1,0,IF(WEEKDAY(DD$6,1)=7,0,MIN(8,DD97)*DD96))),MAX(0,40*MAX(1,DD96)-(0))))</f>
        <v>0</v>
      </c>
      <c r="DE98" s="63">
        <f>IF(AND(DE96=2,DE97=10),16,MIN(IF(DE96&lt;=0,0,IF(WEEKDAY(DE$6,1)=1,0,IF(WEEKDAY(DE$6,1)=7,0,MIN(8,DE97)*DE96))),MAX(0,40*MAX(1,DE96)-(0))))</f>
        <v>16</v>
      </c>
      <c r="DF98" s="63">
        <f>IF(AND(DF96=2,DF97=10),16,MIN(IF(DF96&lt;=0,0,IF(WEEKDAY(DF$6,1)=1,0,IF(WEEKDAY(DF$6,1)=7,0,MIN(8,DF97)*DF96))),MAX(0,40*MAX(1,DF96)-(DE98))))</f>
        <v>16</v>
      </c>
      <c r="DG98" s="63">
        <f>IF(AND(DG96=2,DG97=10),16,MIN(IF(DG96&lt;=0,0,IF(WEEKDAY(DG$6,1)=1,0,IF(WEEKDAY(DG$6,1)=7,0,MIN(8,DG97)*DG96))),MAX(0,40*MAX(1,DG96)-(DE98+DF98))))</f>
        <v>16</v>
      </c>
      <c r="DH98" s="63">
        <f>IF(AND(DH96=2,DH97=10),16,MIN(IF(DH96&lt;=0,0,IF(WEEKDAY(DH$6,1)=1,0,IF(WEEKDAY(DH$6,1)=7,0,MIN(8,DH97)*DH96))),MAX(0,40*MAX(1,DH96)-(DE98+DF98+DG98))))</f>
        <v>16</v>
      </c>
      <c r="DI98" s="63">
        <f>IF(AND(DI96=2,DI97=10),16,MIN(IF(DI96&lt;=0,0,IF(WEEKDAY(DI$6,1)=1,0,IF(WEEKDAY(DI$6,1)=7,0,MIN(8,DI97)*DI96))),MAX(0,40*MAX(1,DI96)-(DE98+DF98+DG98+DH98))))</f>
        <v>16</v>
      </c>
      <c r="DJ98" s="64">
        <f>IF(AND(DJ96=2,DJ97=10),0,MIN(IF(DJ96&lt;=0,0,IF(WEEKDAY(DJ$6,1)=1,0,IF(WEEKDAY(DJ$6,1)=7,0,MIN(8,DJ97)*DJ96))),MAX(0,40*MAX(1,DJ96)-(DE98+DF98+DG98+DH98+DI98))))</f>
        <v>0</v>
      </c>
      <c r="DK98" s="64">
        <f>IF(AND(DK96=2,DK97=10),0,MIN(IF(DK96&lt;=0,0,IF(WEEKDAY(DK$6,1)=1,0,IF(WEEKDAY(DK$6,1)=7,0,MIN(8,DK97)*DK96))),MAX(0,40*MAX(1,DK96)-(DE98+DF98+DG98+DH98+DI98+DJ98))))</f>
        <v>0</v>
      </c>
      <c r="DL98" s="63">
        <f>IF(AND(DL96=2,DL97=10),16,MIN(IF(DL96&lt;=0,0,IF(WEEKDAY(DL$6,1)=1,0,IF(WEEKDAY(DL$6,1)=7,0,MIN(8,DL97)*DL96))),MAX(0,40*MAX(1,DL96)-(0))))</f>
        <v>16</v>
      </c>
      <c r="DM98" s="63">
        <f>IF(AND(DM96=2,DM97=10),16,MIN(IF(DM96&lt;=0,0,IF(WEEKDAY(DM$6,1)=1,0,IF(WEEKDAY(DM$6,1)=7,0,MIN(8,DM97)*DM96))),MAX(0,40*MAX(1,DM96)-(DL98))))</f>
        <v>16</v>
      </c>
      <c r="DN98" s="63">
        <f>IF(AND(DN96=2,DN97=10),16,MIN(IF(DN96&lt;=0,0,IF(WEEKDAY(DN$6,1)=1,0,IF(WEEKDAY(DN$6,1)=7,0,MIN(8,DN97)*DN96))),MAX(0,40*MAX(1,DN96)-(DL98+DM98))))</f>
        <v>16</v>
      </c>
      <c r="DO98" s="63">
        <f>IF(AND(DO96=2,DO97=10),16,MIN(IF(DO96&lt;=0,0,IF(WEEKDAY(DO$6,1)=1,0,IF(WEEKDAY(DO$6,1)=7,0,MIN(8,DO97)*DO96))),MAX(0,40*MAX(1,DO96)-(DL98+DM98+DN98))))</f>
        <v>16</v>
      </c>
      <c r="DP98" s="63">
        <f>IF(AND(DP96=2,DP97=10),16,MIN(IF(DP96&lt;=0,0,IF(WEEKDAY(DP$6,1)=1,0,IF(WEEKDAY(DP$6,1)=7,0,MIN(8,DP97)*DP96))),MAX(0,40*MAX(1,DP96)-(DL98+DM98+DN98+DO98))))</f>
        <v>16</v>
      </c>
      <c r="DQ98" s="64">
        <f>IF(AND(DQ96=2,DQ97=10),0,MIN(IF(DQ96&lt;=0,0,IF(WEEKDAY(DQ$6,1)=1,0,IF(WEEKDAY(DQ$6,1)=7,0,MIN(8,DQ97)*DQ96))),MAX(0,40*MAX(1,DQ96)-(DL98+DM98+DN98+DO98+DP98))))</f>
        <v>0</v>
      </c>
      <c r="DR98" s="64">
        <f>IF(AND(DR96=2,DR97=10),0,MIN(IF(DR96&lt;=0,0,IF(WEEKDAY(DR$6,1)=1,0,IF(WEEKDAY(DR$6,1)=7,0,MIN(8,DR97)*DR96))),MAX(0,40*MAX(1,DR96)-(DL98+DM98+DN98+DO98+DP98+DQ98))))</f>
        <v>0</v>
      </c>
      <c r="DS98" s="63">
        <f>IF(AND(DS96=2,DS97=10),16,MIN(IF(DS96&lt;=0,0,IF(WEEKDAY(DS$6,1)=1,0,IF(WEEKDAY(DS$6,1)=7,0,MIN(8,DS97)*DS96))),MAX(0,40*MAX(1,DS96)-(0))))</f>
        <v>16</v>
      </c>
      <c r="DT98" s="63">
        <f>IF(AND(DT96=0,DT97=0),0,MIN(IF(DT96&lt;=0,0,IF(WEEKDAY(DT$6,1)=1,0,IF(WEEKDAY(DT$6,1)=7,0,MIN(8,DT97)*DT96))),MAX(0,40*MAX(1,DT96)-(0))))</f>
        <v>0</v>
      </c>
      <c r="DU98" s="63">
        <f>IF(AND(DU96=0,DU97=0),0,MIN(IF(DU96&lt;=0,0,IF(WEEKDAY(DU$6,1)=1,0,IF(WEEKDAY(DU$6,1)=7,0,MIN(8,DU97)*DU96))),MAX(0,40*MAX(1,DU96)-(DT98))))</f>
        <v>0</v>
      </c>
      <c r="DV98" s="63">
        <f>IF(AND(DV96=0,DV97=0),0,MIN(IF(DV96&lt;=0,0,IF(WEEKDAY(DV$6,1)=1,0,IF(WEEKDAY(DV$6,1)=7,0,MIN(8,DV97)*DV96))),MAX(0,40*MAX(1,DV96)-(DT98+DU98))))</f>
        <v>0</v>
      </c>
      <c r="DW98" s="63">
        <f>IF(AND(DW96=0,DW97=0),0,MIN(IF(DW96&lt;=0,0,IF(WEEKDAY(DW$6,1)=1,0,IF(WEEKDAY(DW$6,1)=7,0,MIN(8,DW97)*DW96))),MAX(0,40*MAX(1,DW96)-(DT98+DU98+DV98))))</f>
        <v>0</v>
      </c>
      <c r="DX98" s="64">
        <f>IF(AND(DX96=0,DX97=0),0,MIN(IF(DX96&lt;=0,0,IF(WEEKDAY(DX$6,1)=1,0,IF(WEEKDAY(DX$6,1)=7,0,MIN(8,DX97)*DX96))),MAX(0,40*MAX(1,DX96)-(DT98+DU98+DV98+DW98))))</f>
        <v>0</v>
      </c>
      <c r="DY98" s="64">
        <f>IF(AND(DY96=0,DY97=0),0,MIN(IF(DY96&lt;=0,0,IF(WEEKDAY(DY$6,1)=1,0,IF(WEEKDAY(DY$6,1)=7,0,MIN(8,DY97)*DY96))),MAX(0,40*MAX(1,DY96)-(DT98+DU98+DV98+DW98+DX98))))</f>
        <v>0</v>
      </c>
      <c r="DZ98" s="63">
        <f>IF(AND(DZ96=0,DZ97=0),0,MIN(IF(DZ96&lt;=0,0,IF(WEEKDAY(DZ$6,1)=1,0,IF(WEEKDAY(DZ$6,1)=7,0,MIN(8,DZ97)*DZ96))),MAX(0,40*MAX(1,DZ96)-(0))))</f>
        <v>0</v>
      </c>
      <c r="EA98" s="63">
        <f>IF(AND(EA96=0,EA97=0),0,MIN(IF(EA96&lt;=0,0,IF(WEEKDAY(EA$6,1)=1,0,IF(WEEKDAY(EA$6,1)=7,0,MIN(8,EA97)*EA96))),MAX(0,40*MAX(1,EA96)-(DZ98))))</f>
        <v>0</v>
      </c>
      <c r="EB98" s="63">
        <f>IF(AND(EB96=0,EB97=0),0,MIN(IF(EB96&lt;=0,0,IF(WEEKDAY(EB$6,1)=1,0,IF(WEEKDAY(EB$6,1)=7,0,MIN(8,EB97)*EB96))),MAX(0,40*MAX(1,EB96)-(DZ98+EA98))))</f>
        <v>0</v>
      </c>
      <c r="EC98" s="63">
        <f>IF(AND(EC96=0,EC97=0),0,MIN(IF(EC96&lt;=0,0,IF(WEEKDAY(EC$6,1)=1,0,IF(WEEKDAY(EC$6,1)=7,0,MIN(8,EC97)*EC96))),MAX(0,40*MAX(1,EC96)-(DZ98+EA98+EB98))))</f>
        <v>0</v>
      </c>
      <c r="ED98" s="63">
        <f>IF(AND(ED96=0,ED97=0),0,MIN(IF(ED96&lt;=0,0,IF(WEEKDAY(ED$6,1)=1,0,IF(WEEKDAY(ED$6,1)=7,0,MIN(8,ED97)*ED96))),MAX(0,40*MAX(1,ED96)-(DZ98+EA98+EB98+EC98))))</f>
        <v>0</v>
      </c>
      <c r="EE98" s="64">
        <f>IF(AND(EE96=0,EE97=0),0,MIN(IF(EE96&lt;=0,0,IF(WEEKDAY(EE$6,1)=1,0,IF(WEEKDAY(EE$6,1)=7,0,MIN(8,EE97)*EE96))),MAX(0,40*MAX(1,EE96)-(DZ98+EA98+EB98+EC98+ED98))))</f>
        <v>0</v>
      </c>
      <c r="EF98" s="64">
        <f>IF(AND(EF96=0,EF97=0),0,MIN(IF(EF96&lt;=0,0,IF(WEEKDAY(EF$6,1)=1,0,IF(WEEKDAY(EF$6,1)=7,0,MIN(8,EF97)*EF96))),MAX(0,40*MAX(1,EF96)-(DZ98+EA98+EB98+EC98+ED98+EE98))))</f>
        <v>0</v>
      </c>
      <c r="EG98" s="63">
        <f>IF(AND(EG96=0,EG97=0),0,MIN(IF(EG96&lt;=0,0,IF(WEEKDAY(EG$6,1)=1,0,IF(WEEKDAY(EG$6,1)=7,0,MIN(8,EG97)*EG96))),MAX(0,40*MAX(1,EG96)-(0))))</f>
        <v>0</v>
      </c>
      <c r="EH98" s="63">
        <f>IF(AND(EH96=0,EH97=0),0,MIN(IF(EH96&lt;=0,0,IF(WEEKDAY(EH$6,1)=1,0,IF(WEEKDAY(EH$6,1)=7,0,MIN(8,EH97)*EH96))),MAX(0,40*MAX(1,EH96)-(EG98))))</f>
        <v>0</v>
      </c>
      <c r="EI98" s="63">
        <f>IF(AND(EI96=0,EI97=0),0,MIN(IF(EI96&lt;=0,0,IF(WEEKDAY(EI$6,1)=1,0,IF(WEEKDAY(EI$6,1)=7,0,MIN(8,EI97)*EI96))),MAX(0,40*MAX(1,EI96)-(EG98+EH98))))</f>
        <v>0</v>
      </c>
      <c r="EJ98" s="63">
        <f>IF(AND(EJ96=0,EJ97=0),0,MIN(IF(EJ96&lt;=0,0,IF(WEEKDAY(EJ$6,1)=1,0,IF(WEEKDAY(EJ$6,1)=7,0,MIN(8,EJ97)*EJ96))),MAX(0,40*MAX(1,EJ96)-(EG98+EH98+EI98))))</f>
        <v>0</v>
      </c>
      <c r="EK98" s="65">
        <f>IF(AND(EK96=0,EK97=0),0,MIN(IF(EK96&lt;=0,0,IF(WEEKDAY(EK$6,1)=1,0,IF(WEEKDAY(EK$6,1)=7,0,MIN(8,EK97)*EK96))),MAX(0,40*MAX(1,EK96)-(EG98+EH98+EI98+EJ98))))</f>
        <v>0</v>
      </c>
      <c r="OU98" s="28" t="s">
        <v>135</v>
      </c>
    </row>
    <row r="99" ht="16" customHeight="1" spans="1:411" x14ac:dyDescent="0.25">
      <c r="A99" s="74"/>
      <c r="B99" s="79" t="s">
        <v>114</v>
      </c>
      <c r="C99" s="66">
        <f>G95*N(D99)</f>
        <v>50483.159999999996</v>
      </c>
      <c r="D99" s="66">
        <f>IF(TRIM(IF(TRIM(B99)&lt;&gt;"",B99,B95))="","No rate",IFERROR(INDEX('Rate Tables'!D$7:D$158,MATCH(IF(TRIM(B99)&lt;&gt;"",B99,B95),'Rate Tables'!A$7:A$158,0)),"No rate"))</f>
        <v>138.69</v>
      </c>
      <c r="E99" s="55" t="s">
        <v>63</v>
      </c>
      <c r="F99" s="49"/>
      <c r="G99" s="49"/>
      <c r="H99" s="49"/>
      <c r="I99" s="49"/>
      <c r="J99" s="50"/>
      <c r="K99" s="62">
        <f>IF(AND(K96=0,K97=0),0,IF(K96&lt;=0,0,IF(WEEKDAY(K$6,1)=1,0,IF(WEEKDAY(K$6,1)=7,K96*K97,MAX(0,K97-8)*K96)))+((IF(K96&lt;=0,0,IF(WEEKDAY(K$6,1)=1,0,IF(WEEKDAY(K$6,1)=7,0,MIN(8,K97)*K96))))-MIN(IF(K96&lt;=0,0,IF(WEEKDAY(K$6,1)=1,0,IF(WEEKDAY(K$6,1)=7,0,MIN(8,K97)*K96))),MAX(0,40*MAX(1,K96)-(0)))))</f>
        <v>0</v>
      </c>
      <c r="L99" s="63">
        <f>IF(AND(L96=0,L97=0),0,IF(L96&lt;=0,0,IF(WEEKDAY(L$6,1)=1,0,IF(WEEKDAY(L$6,1)=7,L96*L97,MAX(0,L97-8)*L96)))+((IF(L96&lt;=0,0,IF(WEEKDAY(L$6,1)=1,0,IF(WEEKDAY(L$6,1)=7,0,MIN(8,L97)*L96))))-MIN(IF(L96&lt;=0,0,IF(WEEKDAY(L$6,1)=1,0,IF(WEEKDAY(L$6,1)=7,0,MIN(8,L97)*L96))),MAX(0,40*MAX(1,L96)-(K98)))))</f>
        <v>0</v>
      </c>
      <c r="M99" s="63">
        <f>IF(AND(M96=0,M97=0),0,IF(M96&lt;=0,0,IF(WEEKDAY(M$6,1)=1,0,IF(WEEKDAY(M$6,1)=7,M96*M97,MAX(0,M97-8)*M96)))+((IF(M96&lt;=0,0,IF(WEEKDAY(M$6,1)=1,0,IF(WEEKDAY(M$6,1)=7,0,MIN(8,M97)*M96))))-MIN(IF(M96&lt;=0,0,IF(WEEKDAY(M$6,1)=1,0,IF(WEEKDAY(M$6,1)=7,0,MIN(8,M97)*M96))),MAX(0,40*MAX(1,M96)-(K98+L98)))))</f>
        <v>0</v>
      </c>
      <c r="N99" s="63">
        <f>IF(AND(N96=0,N97=0),0,IF(N96&lt;=0,0,IF(WEEKDAY(N$6,1)=1,0,IF(WEEKDAY(N$6,1)=7,N96*N97,MAX(0,N97-8)*N96)))+((IF(N96&lt;=0,0,IF(WEEKDAY(N$6,1)=1,0,IF(WEEKDAY(N$6,1)=7,0,MIN(8,N97)*N96))))-MIN(IF(N96&lt;=0,0,IF(WEEKDAY(N$6,1)=1,0,IF(WEEKDAY(N$6,1)=7,0,MIN(8,N97)*N96))),MAX(0,40*MAX(1,N96)-(K98+L98+M98)))))</f>
        <v>0</v>
      </c>
      <c r="O99" s="63">
        <f>IF(AND(O96=0,O97=0),0,IF(O96&lt;=0,0,IF(WEEKDAY(O$6,1)=1,0,IF(WEEKDAY(O$6,1)=7,O96*O97,MAX(0,O97-8)*O96)))+((IF(O96&lt;=0,0,IF(WEEKDAY(O$6,1)=1,0,IF(WEEKDAY(O$6,1)=7,0,MIN(8,O97)*O96))))-MIN(IF(O96&lt;=0,0,IF(WEEKDAY(O$6,1)=1,0,IF(WEEKDAY(O$6,1)=7,0,MIN(8,O97)*O96))),MAX(0,40*MAX(1,O96)-(K98+L98+M98+N98)))))</f>
        <v>0</v>
      </c>
      <c r="P99" s="64">
        <f>IF(AND(P96=0,P97=0),0,IF(P96&lt;=0,0,IF(WEEKDAY(P$6,1)=1,0,IF(WEEKDAY(P$6,1)=7,P96*P97,MAX(0,P97-8)*P96)))+((IF(P96&lt;=0,0,IF(WEEKDAY(P$6,1)=1,0,IF(WEEKDAY(P$6,1)=7,0,MIN(8,P97)*P96))))-MIN(IF(P96&lt;=0,0,IF(WEEKDAY(P$6,1)=1,0,IF(WEEKDAY(P$6,1)=7,0,MIN(8,P97)*P96))),MAX(0,40*MAX(1,P96)-(K98+L98+M98+N98+O98)))))</f>
        <v>0</v>
      </c>
      <c r="Q99" s="64">
        <f>IF(AND(Q96=0,Q97=0),0,IF(Q96&lt;=0,0,IF(WEEKDAY(Q$6,1)=1,0,IF(WEEKDAY(Q$6,1)=7,Q96*Q97,MAX(0,Q97-8)*Q96)))+((IF(Q96&lt;=0,0,IF(WEEKDAY(Q$6,1)=1,0,IF(WEEKDAY(Q$6,1)=7,0,MIN(8,Q97)*Q96))))-MIN(IF(Q96&lt;=0,0,IF(WEEKDAY(Q$6,1)=1,0,IF(WEEKDAY(Q$6,1)=7,0,MIN(8,Q97)*Q96))),MAX(0,40*MAX(1,Q96)-(K98+L98+M98+N98+O98+P98)))))</f>
        <v>0</v>
      </c>
      <c r="R99" s="63">
        <f>IF(AND(R96=0,R97=0),0,IF(R96&lt;=0,0,IF(WEEKDAY(R$6,1)=1,0,IF(WEEKDAY(R$6,1)=7,R96*R97,MAX(0,R97-8)*R96)))+((IF(R96&lt;=0,0,IF(WEEKDAY(R$6,1)=1,0,IF(WEEKDAY(R$6,1)=7,0,MIN(8,R97)*R96))))-MIN(IF(R96&lt;=0,0,IF(WEEKDAY(R$6,1)=1,0,IF(WEEKDAY(R$6,1)=7,0,MIN(8,R97)*R96))),MAX(0,40*MAX(1,R96)-(0)))))</f>
        <v>0</v>
      </c>
      <c r="S99" s="63">
        <f>IF(AND(S96=0,S97=0),0,IF(S96&lt;=0,0,IF(WEEKDAY(S$6,1)=1,0,IF(WEEKDAY(S$6,1)=7,S96*S97,MAX(0,S97-8)*S96)))+((IF(S96&lt;=0,0,IF(WEEKDAY(S$6,1)=1,0,IF(WEEKDAY(S$6,1)=7,0,MIN(8,S97)*S96))))-MIN(IF(S96&lt;=0,0,IF(WEEKDAY(S$6,1)=1,0,IF(WEEKDAY(S$6,1)=7,0,MIN(8,S97)*S96))),MAX(0,40*MAX(1,S96)-(R98)))))</f>
        <v>0</v>
      </c>
      <c r="T99" s="63">
        <f>IF(AND(T96=0,T97=0),0,IF(T96&lt;=0,0,IF(WEEKDAY(T$6,1)=1,0,IF(WEEKDAY(T$6,1)=7,T96*T97,MAX(0,T97-8)*T96)))+((IF(T96&lt;=0,0,IF(WEEKDAY(T$6,1)=1,0,IF(WEEKDAY(T$6,1)=7,0,MIN(8,T97)*T96))))-MIN(IF(T96&lt;=0,0,IF(WEEKDAY(T$6,1)=1,0,IF(WEEKDAY(T$6,1)=7,0,MIN(8,T97)*T96))),MAX(0,40*MAX(1,T96)-(R98+S98)))))</f>
        <v>0</v>
      </c>
      <c r="U99" s="63">
        <f>IF(AND(U96=0,U97=0),0,IF(U96&lt;=0,0,IF(WEEKDAY(U$6,1)=1,0,IF(WEEKDAY(U$6,1)=7,U96*U97,MAX(0,U97-8)*U96)))+((IF(U96&lt;=0,0,IF(WEEKDAY(U$6,1)=1,0,IF(WEEKDAY(U$6,1)=7,0,MIN(8,U97)*U96))))-MIN(IF(U96&lt;=0,0,IF(WEEKDAY(U$6,1)=1,0,IF(WEEKDAY(U$6,1)=7,0,MIN(8,U97)*U96))),MAX(0,40*MAX(1,U96)-(R98+S98+T98)))))</f>
        <v>0</v>
      </c>
      <c r="V99" s="63">
        <f>IF(AND(V96=0,V97=0),0,IF(V96&lt;=0,0,IF(WEEKDAY(V$6,1)=1,0,IF(WEEKDAY(V$6,1)=7,V96*V97,MAX(0,V97-8)*V96)))+((IF(V96&lt;=0,0,IF(WEEKDAY(V$6,1)=1,0,IF(WEEKDAY(V$6,1)=7,0,MIN(8,V97)*V96))))-MIN(IF(V96&lt;=0,0,IF(WEEKDAY(V$6,1)=1,0,IF(WEEKDAY(V$6,1)=7,0,MIN(8,V97)*V96))),MAX(0,40*MAX(1,V96)-(R98+S98+T98+U98)))))</f>
        <v>0</v>
      </c>
      <c r="W99" s="64">
        <f>IF(AND(W96=0,W97=0),0,IF(W96&lt;=0,0,IF(WEEKDAY(W$6,1)=1,0,IF(WEEKDAY(W$6,1)=7,W96*W97,MAX(0,W97-8)*W96)))+((IF(W96&lt;=0,0,IF(WEEKDAY(W$6,1)=1,0,IF(WEEKDAY(W$6,1)=7,0,MIN(8,W97)*W96))))-MIN(IF(W96&lt;=0,0,IF(WEEKDAY(W$6,1)=1,0,IF(WEEKDAY(W$6,1)=7,0,MIN(8,W97)*W96))),MAX(0,40*MAX(1,W96)-(R98+S98+T98+U98+V98)))))</f>
        <v>0</v>
      </c>
      <c r="X99" s="64">
        <f>IF(AND(X96=0,X97=0),0,IF(X96&lt;=0,0,IF(WEEKDAY(X$6,1)=1,0,IF(WEEKDAY(X$6,1)=7,X96*X97,MAX(0,X97-8)*X96)))+((IF(X96&lt;=0,0,IF(WEEKDAY(X$6,1)=1,0,IF(WEEKDAY(X$6,1)=7,0,MIN(8,X97)*X96))))-MIN(IF(X96&lt;=0,0,IF(WEEKDAY(X$6,1)=1,0,IF(WEEKDAY(X$6,1)=7,0,MIN(8,X97)*X96))),MAX(0,40*MAX(1,X96)-(R98+S98+T98+U98+V98+W98)))))</f>
        <v>0</v>
      </c>
      <c r="Y99" s="63">
        <f>IF(AND(Y96=0,Y97=0),0,IF(Y96&lt;=0,0,IF(WEEKDAY(Y$6,1)=1,0,IF(WEEKDAY(Y$6,1)=7,Y96*Y97,MAX(0,Y97-8)*Y96)))+((IF(Y96&lt;=0,0,IF(WEEKDAY(Y$6,1)=1,0,IF(WEEKDAY(Y$6,1)=7,0,MIN(8,Y97)*Y96))))-MIN(IF(Y96&lt;=0,0,IF(WEEKDAY(Y$6,1)=1,0,IF(WEEKDAY(Y$6,1)=7,0,MIN(8,Y97)*Y96))),MAX(0,40*MAX(1,Y96)-(0)))))</f>
        <v>0</v>
      </c>
      <c r="Z99" s="63">
        <f>IF(AND(Z96=0,Z97=0),0,IF(Z96&lt;=0,0,IF(WEEKDAY(Z$6,1)=1,0,IF(WEEKDAY(Z$6,1)=7,Z96*Z97,MAX(0,Z97-8)*Z96)))+((IF(Z96&lt;=0,0,IF(WEEKDAY(Z$6,1)=1,0,IF(WEEKDAY(Z$6,1)=7,0,MIN(8,Z97)*Z96))))-MIN(IF(Z96&lt;=0,0,IF(WEEKDAY(Z$6,1)=1,0,IF(WEEKDAY(Z$6,1)=7,0,MIN(8,Z97)*Z96))),MAX(0,40*MAX(1,Z96)-(Y98)))))</f>
        <v>0</v>
      </c>
      <c r="AA99" s="63">
        <f>IF(AND(AA96=0,AA97=0),0,IF(AA96&lt;=0,0,IF(WEEKDAY(AA$6,1)=1,0,IF(WEEKDAY(AA$6,1)=7,AA96*AA97,MAX(0,AA97-8)*AA96)))+((IF(AA96&lt;=0,0,IF(WEEKDAY(AA$6,1)=1,0,IF(WEEKDAY(AA$6,1)=7,0,MIN(8,AA97)*AA96))))-MIN(IF(AA96&lt;=0,0,IF(WEEKDAY(AA$6,1)=1,0,IF(WEEKDAY(AA$6,1)=7,0,MIN(8,AA97)*AA96))),MAX(0,40*MAX(1,AA96)-(Y98+Z98)))))</f>
        <v>0</v>
      </c>
      <c r="AB99" s="63">
        <f>IF(AND(AB96=0,AB97=0),0,IF(AB96&lt;=0,0,IF(WEEKDAY(AB$6,1)=1,0,IF(WEEKDAY(AB$6,1)=7,AB96*AB97,MAX(0,AB97-8)*AB96)))+((IF(AB96&lt;=0,0,IF(WEEKDAY(AB$6,1)=1,0,IF(WEEKDAY(AB$6,1)=7,0,MIN(8,AB97)*AB96))))-MIN(IF(AB96&lt;=0,0,IF(WEEKDAY(AB$6,1)=1,0,IF(WEEKDAY(AB$6,1)=7,0,MIN(8,AB97)*AB96))),MAX(0,40*MAX(1,AB96)-(Y98+Z98+AA98)))))</f>
        <v>0</v>
      </c>
      <c r="AC99" s="63">
        <f>IF(AND(AC96=0,AC97=0),0,IF(AC96&lt;=0,0,IF(WEEKDAY(AC$6,1)=1,0,IF(WEEKDAY(AC$6,1)=7,AC96*AC97,MAX(0,AC97-8)*AC96)))+((IF(AC96&lt;=0,0,IF(WEEKDAY(AC$6,1)=1,0,IF(WEEKDAY(AC$6,1)=7,0,MIN(8,AC97)*AC96))))-MIN(IF(AC96&lt;=0,0,IF(WEEKDAY(AC$6,1)=1,0,IF(WEEKDAY(AC$6,1)=7,0,MIN(8,AC97)*AC96))),MAX(0,40*MAX(1,AC96)-(Y98+Z98+AA98+AB98)))))</f>
        <v>0</v>
      </c>
      <c r="AD99" s="64">
        <f>IF(AND(AD96=0,AD97=0),0,IF(AD96&lt;=0,0,IF(WEEKDAY(AD$6,1)=1,0,IF(WEEKDAY(AD$6,1)=7,AD96*AD97,MAX(0,AD97-8)*AD96)))+((IF(AD96&lt;=0,0,IF(WEEKDAY(AD$6,1)=1,0,IF(WEEKDAY(AD$6,1)=7,0,MIN(8,AD97)*AD96))))-MIN(IF(AD96&lt;=0,0,IF(WEEKDAY(AD$6,1)=1,0,IF(WEEKDAY(AD$6,1)=7,0,MIN(8,AD97)*AD96))),MAX(0,40*MAX(1,AD96)-(Y98+Z98+AA98+AB98+AC98)))))</f>
        <v>0</v>
      </c>
      <c r="AE99" s="64">
        <f>IF(AND(AE96=0,AE97=0),0,IF(AE96&lt;=0,0,IF(WEEKDAY(AE$6,1)=1,0,IF(WEEKDAY(AE$6,1)=7,AE96*AE97,MAX(0,AE97-8)*AE96)))+((IF(AE96&lt;=0,0,IF(WEEKDAY(AE$6,1)=1,0,IF(WEEKDAY(AE$6,1)=7,0,MIN(8,AE97)*AE96))))-MIN(IF(AE96&lt;=0,0,IF(WEEKDAY(AE$6,1)=1,0,IF(WEEKDAY(AE$6,1)=7,0,MIN(8,AE97)*AE96))),MAX(0,40*MAX(1,AE96)-(Y98+Z98+AA98+AB98+AC98+AD98)))))</f>
        <v>0</v>
      </c>
      <c r="AF99" s="63">
        <f>IF(AND(AF96=0,AF97=0),0,IF(AF96&lt;=0,0,IF(WEEKDAY(AF$6,1)=1,0,IF(WEEKDAY(AF$6,1)=7,AF96*AF97,MAX(0,AF97-8)*AF96)))+((IF(AF96&lt;=0,0,IF(WEEKDAY(AF$6,1)=1,0,IF(WEEKDAY(AF$6,1)=7,0,MIN(8,AF97)*AF96))))-MIN(IF(AF96&lt;=0,0,IF(WEEKDAY(AF$6,1)=1,0,IF(WEEKDAY(AF$6,1)=7,0,MIN(8,AF97)*AF96))),MAX(0,40*MAX(1,AF96)-(0)))))</f>
        <v>0</v>
      </c>
      <c r="AG99" s="63">
        <f>IF(AND(AG96=0,AG97=0),0,IF(AG96&lt;=0,0,IF(WEEKDAY(AG$6,1)=1,0,IF(WEEKDAY(AG$6,1)=7,AG96*AG97,MAX(0,AG97-8)*AG96)))+((IF(AG96&lt;=0,0,IF(WEEKDAY(AG$6,1)=1,0,IF(WEEKDAY(AG$6,1)=7,0,MIN(8,AG97)*AG96))))-MIN(IF(AG96&lt;=0,0,IF(WEEKDAY(AG$6,1)=1,0,IF(WEEKDAY(AG$6,1)=7,0,MIN(8,AG97)*AG96))),MAX(0,40*MAX(1,AG96)-(AF98)))))</f>
        <v>0</v>
      </c>
      <c r="AH99" s="63">
        <f>IF(AND(AH96=0,AH97=0),0,IF(AH96&lt;=0,0,IF(WEEKDAY(AH$6,1)=1,0,IF(WEEKDAY(AH$6,1)=7,AH96*AH97,MAX(0,AH97-8)*AH96)))+((IF(AH96&lt;=0,0,IF(WEEKDAY(AH$6,1)=1,0,IF(WEEKDAY(AH$6,1)=7,0,MIN(8,AH97)*AH96))))-MIN(IF(AH96&lt;=0,0,IF(WEEKDAY(AH$6,1)=1,0,IF(WEEKDAY(AH$6,1)=7,0,MIN(8,AH97)*AH96))),MAX(0,40*MAX(1,AH96)-(AF98+AG98)))))</f>
        <v>0</v>
      </c>
      <c r="AI99" s="63">
        <f>IF(AND(AI96=0,AI97=0),0,IF(AI96&lt;=0,0,IF(WEEKDAY(AI$6,1)=1,0,IF(WEEKDAY(AI$6,1)=7,AI96*AI97,MAX(0,AI97-8)*AI96)))+((IF(AI96&lt;=0,0,IF(WEEKDAY(AI$6,1)=1,0,IF(WEEKDAY(AI$6,1)=7,0,MIN(8,AI97)*AI96))))-MIN(IF(AI96&lt;=0,0,IF(WEEKDAY(AI$6,1)=1,0,IF(WEEKDAY(AI$6,1)=7,0,MIN(8,AI97)*AI96))),MAX(0,40*MAX(1,AI96)-(AF98+AG98+AH98)))))</f>
        <v>0</v>
      </c>
      <c r="AJ99" s="63">
        <f>IF(AND(AJ96=0,AJ97=0),0,IF(AJ96&lt;=0,0,IF(WEEKDAY(AJ$6,1)=1,0,IF(WEEKDAY(AJ$6,1)=7,AJ96*AJ97,MAX(0,AJ97-8)*AJ96)))+((IF(AJ96&lt;=0,0,IF(WEEKDAY(AJ$6,1)=1,0,IF(WEEKDAY(AJ$6,1)=7,0,MIN(8,AJ97)*AJ96))))-MIN(IF(AJ96&lt;=0,0,IF(WEEKDAY(AJ$6,1)=1,0,IF(WEEKDAY(AJ$6,1)=7,0,MIN(8,AJ97)*AJ96))),MAX(0,40*MAX(1,AJ96)-(AF98+AG98+AH98+AI98)))))</f>
        <v>0</v>
      </c>
      <c r="AK99" s="64">
        <f>IF(AND(AK96=0,AK97=0),0,IF(AK96&lt;=0,0,IF(WEEKDAY(AK$6,1)=1,0,IF(WEEKDAY(AK$6,1)=7,AK96*AK97,MAX(0,AK97-8)*AK96)))+((IF(AK96&lt;=0,0,IF(WEEKDAY(AK$6,1)=1,0,IF(WEEKDAY(AK$6,1)=7,0,MIN(8,AK97)*AK96))))-MIN(IF(AK96&lt;=0,0,IF(WEEKDAY(AK$6,1)=1,0,IF(WEEKDAY(AK$6,1)=7,0,MIN(8,AK97)*AK96))),MAX(0,40*MAX(1,AK96)-(AF98+AG98+AH98+AI98+AJ98)))))</f>
        <v>0</v>
      </c>
      <c r="AL99" s="64">
        <f>IF(AND(AL96=0,AL97=0),0,IF(AL96&lt;=0,0,IF(WEEKDAY(AL$6,1)=1,0,IF(WEEKDAY(AL$6,1)=7,AL96*AL97,MAX(0,AL97-8)*AL96)))+((IF(AL96&lt;=0,0,IF(WEEKDAY(AL$6,1)=1,0,IF(WEEKDAY(AL$6,1)=7,0,MIN(8,AL97)*AL96))))-MIN(IF(AL96&lt;=0,0,IF(WEEKDAY(AL$6,1)=1,0,IF(WEEKDAY(AL$6,1)=7,0,MIN(8,AL97)*AL96))),MAX(0,40*MAX(1,AL96)-(AF98+AG98+AH98+AI98+AJ98+AK98)))))</f>
        <v>0</v>
      </c>
      <c r="AM99" s="63">
        <f>IF(AND(AM96=0,AM97=0),0,IF(AM96&lt;=0,0,IF(WEEKDAY(AM$6,1)=1,0,IF(WEEKDAY(AM$6,1)=7,AM96*AM97,MAX(0,AM97-8)*AM96)))+((IF(AM96&lt;=0,0,IF(WEEKDAY(AM$6,1)=1,0,IF(WEEKDAY(AM$6,1)=7,0,MIN(8,AM97)*AM96))))-MIN(IF(AM96&lt;=0,0,IF(WEEKDAY(AM$6,1)=1,0,IF(WEEKDAY(AM$6,1)=7,0,MIN(8,AM97)*AM96))),MAX(0,40*MAX(1,AM96)-(0)))))</f>
        <v>0</v>
      </c>
      <c r="AN99" s="63">
        <f>IF(AND(AN96=0,AN97=0),0,IF(AN96&lt;=0,0,IF(WEEKDAY(AN$6,1)=1,0,IF(WEEKDAY(AN$6,1)=7,AN96*AN97,MAX(0,AN97-8)*AN96)))+((IF(AN96&lt;=0,0,IF(WEEKDAY(AN$6,1)=1,0,IF(WEEKDAY(AN$6,1)=7,0,MIN(8,AN97)*AN96))))-MIN(IF(AN96&lt;=0,0,IF(WEEKDAY(AN$6,1)=1,0,IF(WEEKDAY(AN$6,1)=7,0,MIN(8,AN97)*AN96))),MAX(0,40*MAX(1,AN96)-(AM98)))))</f>
        <v>0</v>
      </c>
      <c r="AO99" s="63">
        <f>IF(AND(AO96=0,AO97=0),0,IF(AO96&lt;=0,0,IF(WEEKDAY(AO$6,1)=1,0,IF(WEEKDAY(AO$6,1)=7,AO96*AO97,MAX(0,AO97-8)*AO96)))+((IF(AO96&lt;=0,0,IF(WEEKDAY(AO$6,1)=1,0,IF(WEEKDAY(AO$6,1)=7,0,MIN(8,AO97)*AO96))))-MIN(IF(AO96&lt;=0,0,IF(WEEKDAY(AO$6,1)=1,0,IF(WEEKDAY(AO$6,1)=7,0,MIN(8,AO97)*AO96))),MAX(0,40*MAX(1,AO96)-(AM98+AN98)))))</f>
        <v>0</v>
      </c>
      <c r="AP99" s="63">
        <f>IF(AND(AP96=0,AP97=0),0,IF(AP96&lt;=0,0,IF(WEEKDAY(AP$6,1)=1,0,IF(WEEKDAY(AP$6,1)=7,AP96*AP97,MAX(0,AP97-8)*AP96)))+((IF(AP96&lt;=0,0,IF(WEEKDAY(AP$6,1)=1,0,IF(WEEKDAY(AP$6,1)=7,0,MIN(8,AP97)*AP96))))-MIN(IF(AP96&lt;=0,0,IF(WEEKDAY(AP$6,1)=1,0,IF(WEEKDAY(AP$6,1)=7,0,MIN(8,AP97)*AP96))),MAX(0,40*MAX(1,AP96)-(AM98+AN98+AO98)))))</f>
        <v>0</v>
      </c>
      <c r="AQ99" s="63">
        <f>IF(AND(AQ96=0,AQ97=0),0,IF(AQ96&lt;=0,0,IF(WEEKDAY(AQ$6,1)=1,0,IF(WEEKDAY(AQ$6,1)=7,AQ96*AQ97,MAX(0,AQ97-8)*AQ96)))+((IF(AQ96&lt;=0,0,IF(WEEKDAY(AQ$6,1)=1,0,IF(WEEKDAY(AQ$6,1)=7,0,MIN(8,AQ97)*AQ96))))-MIN(IF(AQ96&lt;=0,0,IF(WEEKDAY(AQ$6,1)=1,0,IF(WEEKDAY(AQ$6,1)=7,0,MIN(8,AQ97)*AQ96))),MAX(0,40*MAX(1,AQ96)-(AM98+AN98+AO98+AP98)))))</f>
        <v>0</v>
      </c>
      <c r="AR99" s="64">
        <f>IF(AND(AR96=0,AR97=0),0,IF(AR96&lt;=0,0,IF(WEEKDAY(AR$6,1)=1,0,IF(WEEKDAY(AR$6,1)=7,AR96*AR97,MAX(0,AR97-8)*AR96)))+((IF(AR96&lt;=0,0,IF(WEEKDAY(AR$6,1)=1,0,IF(WEEKDAY(AR$6,1)=7,0,MIN(8,AR97)*AR96))))-MIN(IF(AR96&lt;=0,0,IF(WEEKDAY(AR$6,1)=1,0,IF(WEEKDAY(AR$6,1)=7,0,MIN(8,AR97)*AR96))),MAX(0,40*MAX(1,AR96)-(AM98+AN98+AO98+AP98+AQ98)))))</f>
        <v>0</v>
      </c>
      <c r="AS99" s="64">
        <f>IF(AND(AS96=0,AS97=0),0,IF(AS96&lt;=0,0,IF(WEEKDAY(AS$6,1)=1,0,IF(WEEKDAY(AS$6,1)=7,AS96*AS97,MAX(0,AS97-8)*AS96)))+((IF(AS96&lt;=0,0,IF(WEEKDAY(AS$6,1)=1,0,IF(WEEKDAY(AS$6,1)=7,0,MIN(8,AS97)*AS96))))-MIN(IF(AS96&lt;=0,0,IF(WEEKDAY(AS$6,1)=1,0,IF(WEEKDAY(AS$6,1)=7,0,MIN(8,AS97)*AS96))),MAX(0,40*MAX(1,AS96)-(AM98+AN98+AO98+AP98+AQ98+AR98)))))</f>
        <v>0</v>
      </c>
      <c r="AT99" s="63">
        <f>IF(AND(AT96=0,AT97=0),0,IF(AT96&lt;=0,0,IF(WEEKDAY(AT$6,1)=1,0,IF(WEEKDAY(AT$6,1)=7,AT96*AT97,MAX(0,AT97-8)*AT96)))+((IF(AT96&lt;=0,0,IF(WEEKDAY(AT$6,1)=1,0,IF(WEEKDAY(AT$6,1)=7,0,MIN(8,AT97)*AT96))))-MIN(IF(AT96&lt;=0,0,IF(WEEKDAY(AT$6,1)=1,0,IF(WEEKDAY(AT$6,1)=7,0,MIN(8,AT97)*AT96))),MAX(0,40*MAX(1,AT96)-(0)))))</f>
        <v>0</v>
      </c>
      <c r="AU99" s="63">
        <f>IF(AND(AU96=0,AU97=0),0,IF(AU96&lt;=0,0,IF(WEEKDAY(AU$6,1)=1,0,IF(WEEKDAY(AU$6,1)=7,AU96*AU97,MAX(0,AU97-8)*AU96)))+((IF(AU96&lt;=0,0,IF(WEEKDAY(AU$6,1)=1,0,IF(WEEKDAY(AU$6,1)=7,0,MIN(8,AU97)*AU96))))-MIN(IF(AU96&lt;=0,0,IF(WEEKDAY(AU$6,1)=1,0,IF(WEEKDAY(AU$6,1)=7,0,MIN(8,AU97)*AU96))),MAX(0,40*MAX(1,AU96)-(AT98)))))</f>
        <v>0</v>
      </c>
      <c r="AV99" s="63">
        <f>IF(AND(AV96=0,AV97=0),0,IF(AV96&lt;=0,0,IF(WEEKDAY(AV$6,1)=1,0,IF(WEEKDAY(AV$6,1)=7,AV96*AV97,MAX(0,AV97-8)*AV96)))+((IF(AV96&lt;=0,0,IF(WEEKDAY(AV$6,1)=1,0,IF(WEEKDAY(AV$6,1)=7,0,MIN(8,AV97)*AV96))))-MIN(IF(AV96&lt;=0,0,IF(WEEKDAY(AV$6,1)=1,0,IF(WEEKDAY(AV$6,1)=7,0,MIN(8,AV97)*AV96))),MAX(0,40*MAX(1,AV96)-(AT98+AU98)))))</f>
        <v>0</v>
      </c>
      <c r="AW99" s="63">
        <f>IF(AND(AW96=0,AW97=0),0,IF(AW96&lt;=0,0,IF(WEEKDAY(AW$6,1)=1,0,IF(WEEKDAY(AW$6,1)=7,AW96*AW97,MAX(0,AW97-8)*AW96)))+((IF(AW96&lt;=0,0,IF(WEEKDAY(AW$6,1)=1,0,IF(WEEKDAY(AW$6,1)=7,0,MIN(8,AW97)*AW96))))-MIN(IF(AW96&lt;=0,0,IF(WEEKDAY(AW$6,1)=1,0,IF(WEEKDAY(AW$6,1)=7,0,MIN(8,AW97)*AW96))),MAX(0,40*MAX(1,AW96)-(AT98+AU98+AV98)))))</f>
        <v>0</v>
      </c>
      <c r="AX99" s="63">
        <f>IF(AND(AX96=0,AX97=0),0,IF(AX96&lt;=0,0,IF(WEEKDAY(AX$6,1)=1,0,IF(WEEKDAY(AX$6,1)=7,AX96*AX97,MAX(0,AX97-8)*AX96)))+((IF(AX96&lt;=0,0,IF(WEEKDAY(AX$6,1)=1,0,IF(WEEKDAY(AX$6,1)=7,0,MIN(8,AX97)*AX96))))-MIN(IF(AX96&lt;=0,0,IF(WEEKDAY(AX$6,1)=1,0,IF(WEEKDAY(AX$6,1)=7,0,MIN(8,AX97)*AX96))),MAX(0,40*MAX(1,AX96)-(AT98+AU98+AV98+AW98)))))</f>
        <v>0</v>
      </c>
      <c r="AY99" s="64">
        <f>IF(AND(AY96=0,AY97=0),0,IF(AY96&lt;=0,0,IF(WEEKDAY(AY$6,1)=1,0,IF(WEEKDAY(AY$6,1)=7,AY96*AY97,MAX(0,AY97-8)*AY96)))+((IF(AY96&lt;=0,0,IF(WEEKDAY(AY$6,1)=1,0,IF(WEEKDAY(AY$6,1)=7,0,MIN(8,AY97)*AY96))))-MIN(IF(AY96&lt;=0,0,IF(WEEKDAY(AY$6,1)=1,0,IF(WEEKDAY(AY$6,1)=7,0,MIN(8,AY97)*AY96))),MAX(0,40*MAX(1,AY96)-(AT98+AU98+AV98+AW98+AX98)))))</f>
        <v>0</v>
      </c>
      <c r="AZ99" s="64">
        <f>IF(AND(AZ96=0,AZ97=0),0,IF(AZ96&lt;=0,0,IF(WEEKDAY(AZ$6,1)=1,0,IF(WEEKDAY(AZ$6,1)=7,AZ96*AZ97,MAX(0,AZ97-8)*AZ96)))+((IF(AZ96&lt;=0,0,IF(WEEKDAY(AZ$6,1)=1,0,IF(WEEKDAY(AZ$6,1)=7,0,MIN(8,AZ97)*AZ96))))-MIN(IF(AZ96&lt;=0,0,IF(WEEKDAY(AZ$6,1)=1,0,IF(WEEKDAY(AZ$6,1)=7,0,MIN(8,AZ97)*AZ96))),MAX(0,40*MAX(1,AZ96)-(AT98+AU98+AV98+AW98+AX98+AY98)))))</f>
        <v>0</v>
      </c>
      <c r="BA99" s="63">
        <f>IF(AND(BA96=0,BA97=0),0,IF(BA96&lt;=0,0,IF(WEEKDAY(BA$6,1)=1,0,IF(WEEKDAY(BA$6,1)=7,BA96*BA97,MAX(0,BA97-8)*BA96)))+((IF(BA96&lt;=0,0,IF(WEEKDAY(BA$6,1)=1,0,IF(WEEKDAY(BA$6,1)=7,0,MIN(8,BA97)*BA96))))-MIN(IF(BA96&lt;=0,0,IF(WEEKDAY(BA$6,1)=1,0,IF(WEEKDAY(BA$6,1)=7,0,MIN(8,BA97)*BA96))),MAX(0,40*MAX(1,BA96)-(0)))))</f>
        <v>0</v>
      </c>
      <c r="BB99" s="63">
        <f>IF(AND(BB96=0,BB97=0),0,IF(BB96&lt;=0,0,IF(WEEKDAY(BB$6,1)=1,0,IF(WEEKDAY(BB$6,1)=7,BB96*BB97,MAX(0,BB97-8)*BB96)))+((IF(BB96&lt;=0,0,IF(WEEKDAY(BB$6,1)=1,0,IF(WEEKDAY(BB$6,1)=7,0,MIN(8,BB97)*BB96))))-MIN(IF(BB96&lt;=0,0,IF(WEEKDAY(BB$6,1)=1,0,IF(WEEKDAY(BB$6,1)=7,0,MIN(8,BB97)*BB96))),MAX(0,40*MAX(1,BB96)-(BA98)))))</f>
        <v>0</v>
      </c>
      <c r="BC99" s="63">
        <f>IF(AND(BC96=0,BC97=0),0,IF(BC96&lt;=0,0,IF(WEEKDAY(BC$6,1)=1,0,IF(WEEKDAY(BC$6,1)=7,BC96*BC97,MAX(0,BC97-8)*BC96)))+((IF(BC96&lt;=0,0,IF(WEEKDAY(BC$6,1)=1,0,IF(WEEKDAY(BC$6,1)=7,0,MIN(8,BC97)*BC96))))-MIN(IF(BC96&lt;=0,0,IF(WEEKDAY(BC$6,1)=1,0,IF(WEEKDAY(BC$6,1)=7,0,MIN(8,BC97)*BC96))),MAX(0,40*MAX(1,BC96)-(BA98+BB98)))))</f>
        <v>0</v>
      </c>
      <c r="BD99" s="63">
        <f>IF(AND(BD96=0,BD97=0),0,IF(BD96&lt;=0,0,IF(WEEKDAY(BD$6,1)=1,0,IF(WEEKDAY(BD$6,1)=7,BD96*BD97,MAX(0,BD97-8)*BD96)))+((IF(BD96&lt;=0,0,IF(WEEKDAY(BD$6,1)=1,0,IF(WEEKDAY(BD$6,1)=7,0,MIN(8,BD97)*BD96))))-MIN(IF(BD96&lt;=0,0,IF(WEEKDAY(BD$6,1)=1,0,IF(WEEKDAY(BD$6,1)=7,0,MIN(8,BD97)*BD96))),MAX(0,40*MAX(1,BD96)-(BA98+BB98+BC98)))))</f>
        <v>0</v>
      </c>
      <c r="BE99" s="63">
        <f>IF(AND(BE96=0,BE97=0),0,IF(BE96&lt;=0,0,IF(WEEKDAY(BE$6,1)=1,0,IF(WEEKDAY(BE$6,1)=7,BE96*BE97,MAX(0,BE97-8)*BE96)))+((IF(BE96&lt;=0,0,IF(WEEKDAY(BE$6,1)=1,0,IF(WEEKDAY(BE$6,1)=7,0,MIN(8,BE97)*BE96))))-MIN(IF(BE96&lt;=0,0,IF(WEEKDAY(BE$6,1)=1,0,IF(WEEKDAY(BE$6,1)=7,0,MIN(8,BE97)*BE96))),MAX(0,40*MAX(1,BE96)-(BA98+BB98+BC98+BD98)))))</f>
        <v>0</v>
      </c>
      <c r="BF99" s="64">
        <f>IF(AND(BF96=0,BF97=0),0,IF(BF96&lt;=0,0,IF(WEEKDAY(BF$6,1)=1,0,IF(WEEKDAY(BF$6,1)=7,BF96*BF97,MAX(0,BF97-8)*BF96)))+((IF(BF96&lt;=0,0,IF(WEEKDAY(BF$6,1)=1,0,IF(WEEKDAY(BF$6,1)=7,0,MIN(8,BF97)*BF96))))-MIN(IF(BF96&lt;=0,0,IF(WEEKDAY(BF$6,1)=1,0,IF(WEEKDAY(BF$6,1)=7,0,MIN(8,BF97)*BF96))),MAX(0,40*MAX(1,BF96)-(BA98+BB98+BC98+BD98+BE98)))))</f>
        <v>0</v>
      </c>
      <c r="BG99" s="64">
        <f>IF(AND(BG96=0,BG97=0),0,IF(BG96&lt;=0,0,IF(WEEKDAY(BG$6,1)=1,0,IF(WEEKDAY(BG$6,1)=7,BG96*BG97,MAX(0,BG97-8)*BG96)))+((IF(BG96&lt;=0,0,IF(WEEKDAY(BG$6,1)=1,0,IF(WEEKDAY(BG$6,1)=7,0,MIN(8,BG97)*BG96))))-MIN(IF(BG96&lt;=0,0,IF(WEEKDAY(BG$6,1)=1,0,IF(WEEKDAY(BG$6,1)=7,0,MIN(8,BG97)*BG96))),MAX(0,40*MAX(1,BG96)-(BA98+BB98+BC98+BD98+BE98+BF98)))))</f>
        <v>0</v>
      </c>
      <c r="BH99" s="63">
        <f>IF(AND(BH96=2,BH97=10),4,IF(BH96&lt;=0,0,IF(WEEKDAY(BH$6,1)=1,0,IF(WEEKDAY(BH$6,1)=7,BH96*BH97,MAX(0,BH97-8)*BH96)))+((IF(BH96&lt;=0,0,IF(WEEKDAY(BH$6,1)=1,0,IF(WEEKDAY(BH$6,1)=7,0,MIN(8,BH97)*BH96))))-MIN(IF(BH96&lt;=0,0,IF(WEEKDAY(BH$6,1)=1,0,IF(WEEKDAY(BH$6,1)=7,0,MIN(8,BH97)*BH96))),MAX(0,40*MAX(1,BH96)-(0)))))</f>
        <v>4</v>
      </c>
      <c r="BI99" s="63">
        <f>IF(AND(BI96=2,BI97=10),4,IF(BI96&lt;=0,0,IF(WEEKDAY(BI$6,1)=1,0,IF(WEEKDAY(BI$6,1)=7,BI96*BI97,MAX(0,BI97-8)*BI96)))+((IF(BI96&lt;=0,0,IF(WEEKDAY(BI$6,1)=1,0,IF(WEEKDAY(BI$6,1)=7,0,MIN(8,BI97)*BI96))))-MIN(IF(BI96&lt;=0,0,IF(WEEKDAY(BI$6,1)=1,0,IF(WEEKDAY(BI$6,1)=7,0,MIN(8,BI97)*BI96))),MAX(0,40*MAX(1,BI96)-(BH98)))))</f>
        <v>4</v>
      </c>
      <c r="BJ99" s="63">
        <f>IF(AND(BJ96=2,BJ97=10),4,IF(BJ96&lt;=0,0,IF(WEEKDAY(BJ$6,1)=1,0,IF(WEEKDAY(BJ$6,1)=7,BJ96*BJ97,MAX(0,BJ97-8)*BJ96)))+((IF(BJ96&lt;=0,0,IF(WEEKDAY(BJ$6,1)=1,0,IF(WEEKDAY(BJ$6,1)=7,0,MIN(8,BJ97)*BJ96))))-MIN(IF(BJ96&lt;=0,0,IF(WEEKDAY(BJ$6,1)=1,0,IF(WEEKDAY(BJ$6,1)=7,0,MIN(8,BJ97)*BJ96))),MAX(0,40*MAX(1,BJ96)-(BH98+BI98)))))</f>
        <v>4</v>
      </c>
      <c r="BK99" s="63">
        <f>IF(AND(BK96=2,BK97=10),4,IF(BK96&lt;=0,0,IF(WEEKDAY(BK$6,1)=1,0,IF(WEEKDAY(BK$6,1)=7,BK96*BK97,MAX(0,BK97-8)*BK96)))+((IF(BK96&lt;=0,0,IF(WEEKDAY(BK$6,1)=1,0,IF(WEEKDAY(BK$6,1)=7,0,MIN(8,BK97)*BK96))))-MIN(IF(BK96&lt;=0,0,IF(WEEKDAY(BK$6,1)=1,0,IF(WEEKDAY(BK$6,1)=7,0,MIN(8,BK97)*BK96))),MAX(0,40*MAX(1,BK96)-(BH98+BI98+BJ98)))))</f>
        <v>4</v>
      </c>
      <c r="BL99" s="63">
        <f>IF(AND(BL96=2,BL97=10),4,IF(BL96&lt;=0,0,IF(WEEKDAY(BL$6,1)=1,0,IF(WEEKDAY(BL$6,1)=7,BL96*BL97,MAX(0,BL97-8)*BL96)))+((IF(BL96&lt;=0,0,IF(WEEKDAY(BL$6,1)=1,0,IF(WEEKDAY(BL$6,1)=7,0,MIN(8,BL97)*BL96))))-MIN(IF(BL96&lt;=0,0,IF(WEEKDAY(BL$6,1)=1,0,IF(WEEKDAY(BL$6,1)=7,0,MIN(8,BL97)*BL96))),MAX(0,40*MAX(1,BL96)-(BH98+BI98+BJ98+BK98)))))</f>
        <v>4</v>
      </c>
      <c r="BM99" s="64">
        <f>IF(AND(BM96=2,BM97=10),20,IF(BM96&lt;=0,0,IF(WEEKDAY(BM$6,1)=1,0,IF(WEEKDAY(BM$6,1)=7,BM96*BM97,MAX(0,BM97-8)*BM96)))+((IF(BM96&lt;=0,0,IF(WEEKDAY(BM$6,1)=1,0,IF(WEEKDAY(BM$6,1)=7,0,MIN(8,BM97)*BM96))))-MIN(IF(BM96&lt;=0,0,IF(WEEKDAY(BM$6,1)=1,0,IF(WEEKDAY(BM$6,1)=7,0,MIN(8,BM97)*BM96))),MAX(0,40*MAX(1,BM96)-(BH98+BI98+BJ98+BK98+BL98)))))</f>
        <v>20</v>
      </c>
      <c r="BN99" s="64">
        <f>IF(AND(BN96=2,BN97=10),0,IF(BN96&lt;=0,0,IF(WEEKDAY(BN$6,1)=1,0,IF(WEEKDAY(BN$6,1)=7,BN96*BN97,MAX(0,BN97-8)*BN96)))+((IF(BN96&lt;=0,0,IF(WEEKDAY(BN$6,1)=1,0,IF(WEEKDAY(BN$6,1)=7,0,MIN(8,BN97)*BN96))))-MIN(IF(BN96&lt;=0,0,IF(WEEKDAY(BN$6,1)=1,0,IF(WEEKDAY(BN$6,1)=7,0,MIN(8,BN97)*BN96))),MAX(0,40*MAX(1,BN96)-(BH98+BI98+BJ98+BK98+BL98+BM98)))))</f>
        <v>0</v>
      </c>
      <c r="BO99" s="63">
        <f>IF(AND(BO96=2,BO97=10),4,IF(BO96&lt;=0,0,IF(WEEKDAY(BO$6,1)=1,0,IF(WEEKDAY(BO$6,1)=7,BO96*BO97,MAX(0,BO97-8)*BO96)))+((IF(BO96&lt;=0,0,IF(WEEKDAY(BO$6,1)=1,0,IF(WEEKDAY(BO$6,1)=7,0,MIN(8,BO97)*BO96))))-MIN(IF(BO96&lt;=0,0,IF(WEEKDAY(BO$6,1)=1,0,IF(WEEKDAY(BO$6,1)=7,0,MIN(8,BO97)*BO96))),MAX(0,40*MAX(1,BO96)-(0)))))</f>
        <v>4</v>
      </c>
      <c r="BP99" s="63">
        <f>IF(AND(BP96=2,BP97=10),4,IF(BP96&lt;=0,0,IF(WEEKDAY(BP$6,1)=1,0,IF(WEEKDAY(BP$6,1)=7,BP96*BP97,MAX(0,BP97-8)*BP96)))+((IF(BP96&lt;=0,0,IF(WEEKDAY(BP$6,1)=1,0,IF(WEEKDAY(BP$6,1)=7,0,MIN(8,BP97)*BP96))))-MIN(IF(BP96&lt;=0,0,IF(WEEKDAY(BP$6,1)=1,0,IF(WEEKDAY(BP$6,1)=7,0,MIN(8,BP97)*BP96))),MAX(0,40*MAX(1,BP96)-(BO98)))))</f>
        <v>4</v>
      </c>
      <c r="BQ99" s="63">
        <f>IF(AND(BQ96=2,BQ97=10),4,IF(BQ96&lt;=0,0,IF(WEEKDAY(BQ$6,1)=1,0,IF(WEEKDAY(BQ$6,1)=7,BQ96*BQ97,MAX(0,BQ97-8)*BQ96)))+((IF(BQ96&lt;=0,0,IF(WEEKDAY(BQ$6,1)=1,0,IF(WEEKDAY(BQ$6,1)=7,0,MIN(8,BQ97)*BQ96))))-MIN(IF(BQ96&lt;=0,0,IF(WEEKDAY(BQ$6,1)=1,0,IF(WEEKDAY(BQ$6,1)=7,0,MIN(8,BQ97)*BQ96))),MAX(0,40*MAX(1,BQ96)-(BO98+BP98)))))</f>
        <v>4</v>
      </c>
      <c r="BR99" s="63">
        <f>IF(AND(BR96=2,BR97=10),4,IF(BR96&lt;=0,0,IF(WEEKDAY(BR$6,1)=1,0,IF(WEEKDAY(BR$6,1)=7,BR96*BR97,MAX(0,BR97-8)*BR96)))+((IF(BR96&lt;=0,0,IF(WEEKDAY(BR$6,1)=1,0,IF(WEEKDAY(BR$6,1)=7,0,MIN(8,BR97)*BR96))))-MIN(IF(BR96&lt;=0,0,IF(WEEKDAY(BR$6,1)=1,0,IF(WEEKDAY(BR$6,1)=7,0,MIN(8,BR97)*BR96))),MAX(0,40*MAX(1,BR96)-(0)))))</f>
        <v>4</v>
      </c>
      <c r="BS99" s="63">
        <f>IF(AND(BS96=2,BS97=10),4,IF(BS96&lt;=0,0,IF(WEEKDAY(BS$6,1)=1,0,IF(WEEKDAY(BS$6,1)=7,BS96*BS97,MAX(0,BS97-8)*BS96)))+((IF(BS96&lt;=0,0,IF(WEEKDAY(BS$6,1)=1,0,IF(WEEKDAY(BS$6,1)=7,0,MIN(8,BS97)*BS96))))-MIN(IF(BS96&lt;=0,0,IF(WEEKDAY(BS$6,1)=1,0,IF(WEEKDAY(BS$6,1)=7,0,MIN(8,BS97)*BS96))),MAX(0,40*MAX(1,BS96)-(BR98)))))</f>
        <v>4</v>
      </c>
      <c r="BT99" s="64">
        <f>IF(AND(BT96=2,BT97=10),20,IF(BT96&lt;=0,0,IF(WEEKDAY(BT$6,1)=1,0,IF(WEEKDAY(BT$6,1)=7,BT96*BT97,MAX(0,BT97-8)*BT96)))+((IF(BT96&lt;=0,0,IF(WEEKDAY(BT$6,1)=1,0,IF(WEEKDAY(BT$6,1)=7,0,MIN(8,BT97)*BT96))))-MIN(IF(BT96&lt;=0,0,IF(WEEKDAY(BT$6,1)=1,0,IF(WEEKDAY(BT$6,1)=7,0,MIN(8,BT97)*BT96))),MAX(0,40*MAX(1,BT96)-(BR98+BS98)))))</f>
        <v>20</v>
      </c>
      <c r="BU99" s="64">
        <f>IF(AND(BU96=2,BU97=10),0,IF(BU96&lt;=0,0,IF(WEEKDAY(BU$6,1)=1,0,IF(WEEKDAY(BU$6,1)=7,BU96*BU97,MAX(0,BU97-8)*BU96)))+((IF(BU96&lt;=0,0,IF(WEEKDAY(BU$6,1)=1,0,IF(WEEKDAY(BU$6,1)=7,0,MIN(8,BU97)*BU96))))-MIN(IF(BU96&lt;=0,0,IF(WEEKDAY(BU$6,1)=1,0,IF(WEEKDAY(BU$6,1)=7,0,MIN(8,BU97)*BU96))),MAX(0,40*MAX(1,BU96)-(BR98+BS98+BT98)))))</f>
        <v>0</v>
      </c>
      <c r="BV99" s="63">
        <f>IF(AND(BV96=2,BV97=10),4,IF(BV96&lt;=0,0,IF(WEEKDAY(BV$6,1)=1,0,IF(WEEKDAY(BV$6,1)=7,BV96*BV97,MAX(0,BV97-8)*BV96)))+((IF(BV96&lt;=0,0,IF(WEEKDAY(BV$6,1)=1,0,IF(WEEKDAY(BV$6,1)=7,0,MIN(8,BV97)*BV96))))-MIN(IF(BV96&lt;=0,0,IF(WEEKDAY(BV$6,1)=1,0,IF(WEEKDAY(BV$6,1)=7,0,MIN(8,BV97)*BV96))),MAX(0,40*MAX(1,BV96)-(0)))))</f>
        <v>4</v>
      </c>
      <c r="BW99" s="63">
        <f>IF(AND(BW96=2,BW97=10),4,IF(BW96&lt;=0,0,IF(WEEKDAY(BW$6,1)=1,0,IF(WEEKDAY(BW$6,1)=7,BW96*BW97,MAX(0,BW97-8)*BW96)))+((IF(BW96&lt;=0,0,IF(WEEKDAY(BW$6,1)=1,0,IF(WEEKDAY(BW$6,1)=7,0,MIN(8,BW97)*BW96))))-MIN(IF(BW96&lt;=0,0,IF(WEEKDAY(BW$6,1)=1,0,IF(WEEKDAY(BW$6,1)=7,0,MIN(8,BW97)*BW96))),MAX(0,40*MAX(1,BW96)-(BV98)))))</f>
        <v>4</v>
      </c>
      <c r="BX99" s="63">
        <f>IF(AND(BX96=2,BX97=10),4,IF(BX96&lt;=0,0,IF(WEEKDAY(BX$6,1)=1,0,IF(WEEKDAY(BX$6,1)=7,BX96*BX97,MAX(0,BX97-8)*BX96)))+((IF(BX96&lt;=0,0,IF(WEEKDAY(BX$6,1)=1,0,IF(WEEKDAY(BX$6,1)=7,0,MIN(8,BX97)*BX96))))-MIN(IF(BX96&lt;=0,0,IF(WEEKDAY(BX$6,1)=1,0,IF(WEEKDAY(BX$6,1)=7,0,MIN(8,BX97)*BX96))),MAX(0,40*MAX(1,BX96)-(BV98+BW98)))))</f>
        <v>4</v>
      </c>
      <c r="BY99" s="63">
        <f>IF(AND(BY96=2,BY97=10),4,IF(BY96&lt;=0,0,IF(WEEKDAY(BY$6,1)=1,0,IF(WEEKDAY(BY$6,1)=7,BY96*BY97,MAX(0,BY97-8)*BY96)))+((IF(BY96&lt;=0,0,IF(WEEKDAY(BY$6,1)=1,0,IF(WEEKDAY(BY$6,1)=7,0,MIN(8,BY97)*BY96))))-MIN(IF(BY96&lt;=0,0,IF(WEEKDAY(BY$6,1)=1,0,IF(WEEKDAY(BY$6,1)=7,0,MIN(8,BY97)*BY96))),MAX(0,40*MAX(1,BY96)-(BV98+BW98+BX98)))))</f>
        <v>4</v>
      </c>
      <c r="BZ99" s="63">
        <f>IF(AND(BZ96=2,BZ97=10),4,IF(BZ96&lt;=0,0,IF(WEEKDAY(BZ$6,1)=1,0,IF(WEEKDAY(BZ$6,1)=7,BZ96*BZ97,MAX(0,BZ97-8)*BZ96)))+((IF(BZ96&lt;=0,0,IF(WEEKDAY(BZ$6,1)=1,0,IF(WEEKDAY(BZ$6,1)=7,0,MIN(8,BZ97)*BZ96))))-MIN(IF(BZ96&lt;=0,0,IF(WEEKDAY(BZ$6,1)=1,0,IF(WEEKDAY(BZ$6,1)=7,0,MIN(8,BZ97)*BZ96))),MAX(0,40*MAX(1,BZ96)-(BV98+BW98+BX98+BY98)))))</f>
        <v>4</v>
      </c>
      <c r="CA99" s="64">
        <f>IF(AND(CA96=2,CA97=10),20,IF(CA96&lt;=0,0,IF(WEEKDAY(CA$6,1)=1,0,IF(WEEKDAY(CA$6,1)=7,CA96*CA97,MAX(0,CA97-8)*CA96)))+((IF(CA96&lt;=0,0,IF(WEEKDAY(CA$6,1)=1,0,IF(WEEKDAY(CA$6,1)=7,0,MIN(8,CA97)*CA96))))-MIN(IF(CA96&lt;=0,0,IF(WEEKDAY(CA$6,1)=1,0,IF(WEEKDAY(CA$6,1)=7,0,MIN(8,CA97)*CA96))),MAX(0,40*MAX(1,CA96)-(BV98+BW98+BX98+BY98+BZ98)))))</f>
        <v>20</v>
      </c>
      <c r="CB99" s="64">
        <f>IF(AND(CB96=2,CB97=10),0,IF(CB96&lt;=0,0,IF(WEEKDAY(CB$6,1)=1,0,IF(WEEKDAY(CB$6,1)=7,CB96*CB97,MAX(0,CB97-8)*CB96)))+((IF(CB96&lt;=0,0,IF(WEEKDAY(CB$6,1)=1,0,IF(WEEKDAY(CB$6,1)=7,0,MIN(8,CB97)*CB96))))-MIN(IF(CB96&lt;=0,0,IF(WEEKDAY(CB$6,1)=1,0,IF(WEEKDAY(CB$6,1)=7,0,MIN(8,CB97)*CB96))),MAX(0,40*MAX(1,CB96)-(BV98+BW98+BX98+BY98+BZ98+CA98)))))</f>
        <v>0</v>
      </c>
      <c r="CC99" s="63">
        <f>IF(AND(CC96=2,CC97=10),4,IF(CC96&lt;=0,0,IF(WEEKDAY(CC$6,1)=1,0,IF(WEEKDAY(CC$6,1)=7,CC96*CC97,MAX(0,CC97-8)*CC96)))+((IF(CC96&lt;=0,0,IF(WEEKDAY(CC$6,1)=1,0,IF(WEEKDAY(CC$6,1)=7,0,MIN(8,CC97)*CC96))))-MIN(IF(CC96&lt;=0,0,IF(WEEKDAY(CC$6,1)=1,0,IF(WEEKDAY(CC$6,1)=7,0,MIN(8,CC97)*CC96))),MAX(0,40*MAX(1,CC96)-(0)))))</f>
        <v>4</v>
      </c>
      <c r="CD99" s="63">
        <f>IF(AND(CD96=2,CD97=10),4,IF(CD96&lt;=0,0,IF(WEEKDAY(CD$6,1)=1,0,IF(WEEKDAY(CD$6,1)=7,CD96*CD97,MAX(0,CD97-8)*CD96)))+((IF(CD96&lt;=0,0,IF(WEEKDAY(CD$6,1)=1,0,IF(WEEKDAY(CD$6,1)=7,0,MIN(8,CD97)*CD96))))-MIN(IF(CD96&lt;=0,0,IF(WEEKDAY(CD$6,1)=1,0,IF(WEEKDAY(CD$6,1)=7,0,MIN(8,CD97)*CD96))),MAX(0,40*MAX(1,CD96)-(CC98)))))</f>
        <v>4</v>
      </c>
      <c r="CE99" s="63">
        <f>IF(AND(CE96=2,CE97=10),4,IF(CE96&lt;=0,0,IF(WEEKDAY(CE$6,1)=1,0,IF(WEEKDAY(CE$6,1)=7,CE96*CE97,MAX(0,CE97-8)*CE96)))+((IF(CE96&lt;=0,0,IF(WEEKDAY(CE$6,1)=1,0,IF(WEEKDAY(CE$6,1)=7,0,MIN(8,CE97)*CE96))))-MIN(IF(CE96&lt;=0,0,IF(WEEKDAY(CE$6,1)=1,0,IF(WEEKDAY(CE$6,1)=7,0,MIN(8,CE97)*CE96))),MAX(0,40*MAX(1,CE96)-(CC98+CD98)))))</f>
        <v>4</v>
      </c>
      <c r="CF99" s="63">
        <f>IF(AND(CF96=2,CF97=10),4,IF(CF96&lt;=0,0,IF(WEEKDAY(CF$6,1)=1,0,IF(WEEKDAY(CF$6,1)=7,CF96*CF97,MAX(0,CF97-8)*CF96)))+((IF(CF96&lt;=0,0,IF(WEEKDAY(CF$6,1)=1,0,IF(WEEKDAY(CF$6,1)=7,0,MIN(8,CF97)*CF96))))-MIN(IF(CF96&lt;=0,0,IF(WEEKDAY(CF$6,1)=1,0,IF(WEEKDAY(CF$6,1)=7,0,MIN(8,CF97)*CF96))),MAX(0,40*MAX(1,CF96)-(CC98+CD98+CE98)))))</f>
        <v>4</v>
      </c>
      <c r="CG99" s="63">
        <f>IF(AND(CG96=2,CG97=10),4,IF(CG96&lt;=0,0,IF(WEEKDAY(CG$6,1)=1,0,IF(WEEKDAY(CG$6,1)=7,CG96*CG97,MAX(0,CG97-8)*CG96)))+((IF(CG96&lt;=0,0,IF(WEEKDAY(CG$6,1)=1,0,IF(WEEKDAY(CG$6,1)=7,0,MIN(8,CG97)*CG96))))-MIN(IF(CG96&lt;=0,0,IF(WEEKDAY(CG$6,1)=1,0,IF(WEEKDAY(CG$6,1)=7,0,MIN(8,CG97)*CG96))),MAX(0,40*MAX(1,CG96)-(CC98+CD98+CE98+CF98)))))</f>
        <v>4</v>
      </c>
      <c r="CH99" s="64">
        <f>IF(AND(CH96=2,CH97=10),20,IF(CH96&lt;=0,0,IF(WEEKDAY(CH$6,1)=1,0,IF(WEEKDAY(CH$6,1)=7,CH96*CH97,MAX(0,CH97-8)*CH96)))+((IF(CH96&lt;=0,0,IF(WEEKDAY(CH$6,1)=1,0,IF(WEEKDAY(CH$6,1)=7,0,MIN(8,CH97)*CH96))))-MIN(IF(CH96&lt;=0,0,IF(WEEKDAY(CH$6,1)=1,0,IF(WEEKDAY(CH$6,1)=7,0,MIN(8,CH97)*CH96))),MAX(0,40*MAX(1,CH96)-(CC98+CD98+CE98+CF98+CG98)))))</f>
        <v>20</v>
      </c>
      <c r="CI99" s="64">
        <f>IF(AND(CI96=2,CI97=10),0,IF(CI96&lt;=0,0,IF(WEEKDAY(CI$6,1)=1,0,IF(WEEKDAY(CI$6,1)=7,CI96*CI97,MAX(0,CI97-8)*CI96)))+((IF(CI96&lt;=0,0,IF(WEEKDAY(CI$6,1)=1,0,IF(WEEKDAY(CI$6,1)=7,0,MIN(8,CI97)*CI96))))-MIN(IF(CI96&lt;=0,0,IF(WEEKDAY(CI$6,1)=1,0,IF(WEEKDAY(CI$6,1)=7,0,MIN(8,CI97)*CI96))),MAX(0,40*MAX(1,CI96)-(CC98+CD98+CE98+CF98+CG98+CH98)))))</f>
        <v>0</v>
      </c>
      <c r="CJ99" s="63">
        <f>IF(AND(CJ96=2,CJ97=10),4,IF(CJ96&lt;=0,0,IF(WEEKDAY(CJ$6,1)=1,0,IF(WEEKDAY(CJ$6,1)=7,CJ96*CJ97,MAX(0,CJ97-8)*CJ96)))+((IF(CJ96&lt;=0,0,IF(WEEKDAY(CJ$6,1)=1,0,IF(WEEKDAY(CJ$6,1)=7,0,MIN(8,CJ97)*CJ96))))-MIN(IF(CJ96&lt;=0,0,IF(WEEKDAY(CJ$6,1)=1,0,IF(WEEKDAY(CJ$6,1)=7,0,MIN(8,CJ97)*CJ96))),MAX(0,40*MAX(1,CJ96)-(0)))))</f>
        <v>4</v>
      </c>
      <c r="CK99" s="63">
        <f>IF(AND(CK96=2,CK97=10),4,IF(CK96&lt;=0,0,IF(WEEKDAY(CK$6,1)=1,0,IF(WEEKDAY(CK$6,1)=7,CK96*CK97,MAX(0,CK97-8)*CK96)))+((IF(CK96&lt;=0,0,IF(WEEKDAY(CK$6,1)=1,0,IF(WEEKDAY(CK$6,1)=7,0,MIN(8,CK97)*CK96))))-MIN(IF(CK96&lt;=0,0,IF(WEEKDAY(CK$6,1)=1,0,IF(WEEKDAY(CK$6,1)=7,0,MIN(8,CK97)*CK96))),MAX(0,40*MAX(1,CK96)-(CJ98)))))</f>
        <v>4</v>
      </c>
      <c r="CL99" s="63">
        <f>IF(AND(CL96=2,CL97=10),4,IF(CL96&lt;=0,0,IF(WEEKDAY(CL$6,1)=1,0,IF(WEEKDAY(CL$6,1)=7,CL96*CL97,MAX(0,CL97-8)*CL96)))+((IF(CL96&lt;=0,0,IF(WEEKDAY(CL$6,1)=1,0,IF(WEEKDAY(CL$6,1)=7,0,MIN(8,CL97)*CL96))))-MIN(IF(CL96&lt;=0,0,IF(WEEKDAY(CL$6,1)=1,0,IF(WEEKDAY(CL$6,1)=7,0,MIN(8,CL97)*CL96))),MAX(0,40*MAX(1,CL96)-(CJ98+CK98)))))</f>
        <v>4</v>
      </c>
      <c r="CM99" s="63">
        <f>IF(AND(CM96=2,CM97=10),4,IF(CM96&lt;=0,0,IF(WEEKDAY(CM$6,1)=1,0,IF(WEEKDAY(CM$6,1)=7,CM96*CM97,MAX(0,CM97-8)*CM96)))+((IF(CM96&lt;=0,0,IF(WEEKDAY(CM$6,1)=1,0,IF(WEEKDAY(CM$6,1)=7,0,MIN(8,CM97)*CM96))))-MIN(IF(CM96&lt;=0,0,IF(WEEKDAY(CM$6,1)=1,0,IF(WEEKDAY(CM$6,1)=7,0,MIN(8,CM97)*CM96))),MAX(0,40*MAX(1,CM96)-(CJ98+CK98+CL98)))))</f>
        <v>4</v>
      </c>
      <c r="CN99" s="63">
        <f>IF(AND(CN96=2,CN97=10),4,IF(CN96&lt;=0,0,IF(WEEKDAY(CN$6,1)=1,0,IF(WEEKDAY(CN$6,1)=7,CN96*CN97,MAX(0,CN97-8)*CN96)))+((IF(CN96&lt;=0,0,IF(WEEKDAY(CN$6,1)=1,0,IF(WEEKDAY(CN$6,1)=7,0,MIN(8,CN97)*CN96))))-MIN(IF(CN96&lt;=0,0,IF(WEEKDAY(CN$6,1)=1,0,IF(WEEKDAY(CN$6,1)=7,0,MIN(8,CN97)*CN96))),MAX(0,40*MAX(1,CN96)-(CJ98+CK98+CL98+CM98)))))</f>
        <v>4</v>
      </c>
      <c r="CO99" s="64">
        <f>IF(AND(CO96=2,CO97=10),20,IF(CO96&lt;=0,0,IF(WEEKDAY(CO$6,1)=1,0,IF(WEEKDAY(CO$6,1)=7,CO96*CO97,MAX(0,CO97-8)*CO96)))+((IF(CO96&lt;=0,0,IF(WEEKDAY(CO$6,1)=1,0,IF(WEEKDAY(CO$6,1)=7,0,MIN(8,CO97)*CO96))))-MIN(IF(CO96&lt;=0,0,IF(WEEKDAY(CO$6,1)=1,0,IF(WEEKDAY(CO$6,1)=7,0,MIN(8,CO97)*CO96))),MAX(0,40*MAX(1,CO96)-(CJ98+CK98+CL98+CM98+CN98)))))</f>
        <v>20</v>
      </c>
      <c r="CP99" s="64">
        <f>IF(AND(CP96=2,CP97=10),0,IF(CP96&lt;=0,0,IF(WEEKDAY(CP$6,1)=1,0,IF(WEEKDAY(CP$6,1)=7,CP96*CP97,MAX(0,CP97-8)*CP96)))+((IF(CP96&lt;=0,0,IF(WEEKDAY(CP$6,1)=1,0,IF(WEEKDAY(CP$6,1)=7,0,MIN(8,CP97)*CP96))))-MIN(IF(CP96&lt;=0,0,IF(WEEKDAY(CP$6,1)=1,0,IF(WEEKDAY(CP$6,1)=7,0,MIN(8,CP97)*CP96))),MAX(0,40*MAX(1,CP96)-(CJ98+CK98+CL98+CM98+CN98+CO98)))))</f>
        <v>0</v>
      </c>
      <c r="CQ99" s="63">
        <f>IF(AND(CQ96=2,CQ97=10),4,IF(CQ96&lt;=0,0,IF(WEEKDAY(CQ$6,1)=1,0,IF(WEEKDAY(CQ$6,1)=7,CQ96*CQ97,MAX(0,CQ97-8)*CQ96)))+((IF(CQ96&lt;=0,0,IF(WEEKDAY(CQ$6,1)=1,0,IF(WEEKDAY(CQ$6,1)=7,0,MIN(8,CQ97)*CQ96))))-MIN(IF(CQ96&lt;=0,0,IF(WEEKDAY(CQ$6,1)=1,0,IF(WEEKDAY(CQ$6,1)=7,0,MIN(8,CQ97)*CQ96))),MAX(0,40*MAX(1,CQ96)-(0)))))</f>
        <v>4</v>
      </c>
      <c r="CR99" s="63">
        <f>IF(AND(CR96=2,CR97=10),4,IF(CR96&lt;=0,0,IF(WEEKDAY(CR$6,1)=1,0,IF(WEEKDAY(CR$6,1)=7,CR96*CR97,MAX(0,CR97-8)*CR96)))+((IF(CR96&lt;=0,0,IF(WEEKDAY(CR$6,1)=1,0,IF(WEEKDAY(CR$6,1)=7,0,MIN(8,CR97)*CR96))))-MIN(IF(CR96&lt;=0,0,IF(WEEKDAY(CR$6,1)=1,0,IF(WEEKDAY(CR$6,1)=7,0,MIN(8,CR97)*CR96))),MAX(0,40*MAX(1,CR96)-(CQ98)))))</f>
        <v>4</v>
      </c>
      <c r="CS99" s="63">
        <f>IF(AND(CS96=2,CS97=10),4,IF(CS96&lt;=0,0,IF(WEEKDAY(CS$6,1)=1,0,IF(WEEKDAY(CS$6,1)=7,CS96*CS97,MAX(0,CS97-8)*CS96)))+((IF(CS96&lt;=0,0,IF(WEEKDAY(CS$6,1)=1,0,IF(WEEKDAY(CS$6,1)=7,0,MIN(8,CS97)*CS96))))-MIN(IF(CS96&lt;=0,0,IF(WEEKDAY(CS$6,1)=1,0,IF(WEEKDAY(CS$6,1)=7,0,MIN(8,CS97)*CS96))),MAX(0,40*MAX(1,CS96)-(CQ98+CR98)))))</f>
        <v>4</v>
      </c>
      <c r="CT99" s="63">
        <f>IF(AND(CT96=2,CT97=10),4,IF(CT96&lt;=0,0,IF(WEEKDAY(CT$6,1)=1,0,IF(WEEKDAY(CT$6,1)=7,CT96*CT97,MAX(0,CT97-8)*CT96)))+((IF(CT96&lt;=0,0,IF(WEEKDAY(CT$6,1)=1,0,IF(WEEKDAY(CT$6,1)=7,0,MIN(8,CT97)*CT96))))-MIN(IF(CT96&lt;=0,0,IF(WEEKDAY(CT$6,1)=1,0,IF(WEEKDAY(CT$6,1)=7,0,MIN(8,CT97)*CT96))),MAX(0,40*MAX(1,CT96)-(CQ98+CR98+CS98)))))</f>
        <v>4</v>
      </c>
      <c r="CU99" s="63">
        <f>IF(AND(CU96=2,CU97=10),4,IF(CU96&lt;=0,0,IF(WEEKDAY(CU$6,1)=1,0,IF(WEEKDAY(CU$6,1)=7,CU96*CU97,MAX(0,CU97-8)*CU96)))+((IF(CU96&lt;=0,0,IF(WEEKDAY(CU$6,1)=1,0,IF(WEEKDAY(CU$6,1)=7,0,MIN(8,CU97)*CU96))))-MIN(IF(CU96&lt;=0,0,IF(WEEKDAY(CU$6,1)=1,0,IF(WEEKDAY(CU$6,1)=7,0,MIN(8,CU97)*CU96))),MAX(0,40*MAX(1,CU96)-(CQ98+CR98+CS98+CT98)))))</f>
        <v>4</v>
      </c>
      <c r="CV99" s="64">
        <f>IF(AND(CV96=2,CV97=10),20,IF(CV96&lt;=0,0,IF(WEEKDAY(CV$6,1)=1,0,IF(WEEKDAY(CV$6,1)=7,CV96*CV97,MAX(0,CV97-8)*CV96)))+((IF(CV96&lt;=0,0,IF(WEEKDAY(CV$6,1)=1,0,IF(WEEKDAY(CV$6,1)=7,0,MIN(8,CV97)*CV96))))-MIN(IF(CV96&lt;=0,0,IF(WEEKDAY(CV$6,1)=1,0,IF(WEEKDAY(CV$6,1)=7,0,MIN(8,CV97)*CV96))),MAX(0,40*MAX(1,CV96)-(CQ98+CR98+CS98+CT98+CU98)))))</f>
        <v>20</v>
      </c>
      <c r="CW99" s="64">
        <f>IF(AND(CW96=2,CW97=10),0,IF(CW96&lt;=0,0,IF(WEEKDAY(CW$6,1)=1,0,IF(WEEKDAY(CW$6,1)=7,CW96*CW97,MAX(0,CW97-8)*CW96)))+((IF(CW96&lt;=0,0,IF(WEEKDAY(CW$6,1)=1,0,IF(WEEKDAY(CW$6,1)=7,0,MIN(8,CW97)*CW96))))-MIN(IF(CW96&lt;=0,0,IF(WEEKDAY(CW$6,1)=1,0,IF(WEEKDAY(CW$6,1)=7,0,MIN(8,CW97)*CW96))),MAX(0,40*MAX(1,CW96)-(CQ98+CR98+CS98+CT98+CU98+CV98)))))</f>
        <v>0</v>
      </c>
      <c r="CX99" s="63">
        <f>IF(AND(CX96=2,CX97=10),4,IF(CX96&lt;=0,0,IF(WEEKDAY(CX$6,1)=1,0,IF(WEEKDAY(CX$6,1)=7,CX96*CX97,MAX(0,CX97-8)*CX96)))+((IF(CX96&lt;=0,0,IF(WEEKDAY(CX$6,1)=1,0,IF(WEEKDAY(CX$6,1)=7,0,MIN(8,CX97)*CX96))))-MIN(IF(CX96&lt;=0,0,IF(WEEKDAY(CX$6,1)=1,0,IF(WEEKDAY(CX$6,1)=7,0,MIN(8,CX97)*CX96))),MAX(0,40*MAX(1,CX96)-(0)))))</f>
        <v>4</v>
      </c>
      <c r="CY99" s="63">
        <f>IF(AND(CY96=2,CY97=10),4,IF(CY96&lt;=0,0,IF(WEEKDAY(CY$6,1)=1,0,IF(WEEKDAY(CY$6,1)=7,CY96*CY97,MAX(0,CY97-8)*CY96)))+((IF(CY96&lt;=0,0,IF(WEEKDAY(CY$6,1)=1,0,IF(WEEKDAY(CY$6,1)=7,0,MIN(8,CY97)*CY96))))-MIN(IF(CY96&lt;=0,0,IF(WEEKDAY(CY$6,1)=1,0,IF(WEEKDAY(CY$6,1)=7,0,MIN(8,CY97)*CY96))),MAX(0,40*MAX(1,CY96)-(CX98)))))</f>
        <v>4</v>
      </c>
      <c r="CZ99" s="63">
        <f>IF(AND(CZ96=2,CZ97=10),4,IF(CZ96&lt;=0,0,IF(WEEKDAY(CZ$6,1)=1,0,IF(WEEKDAY(CZ$6,1)=7,CZ96*CZ97,MAX(0,CZ97-8)*CZ96)))+((IF(CZ96&lt;=0,0,IF(WEEKDAY(CZ$6,1)=1,0,IF(WEEKDAY(CZ$6,1)=7,0,MIN(8,CZ97)*CZ96))))-MIN(IF(CZ96&lt;=0,0,IF(WEEKDAY(CZ$6,1)=1,0,IF(WEEKDAY(CZ$6,1)=7,0,MIN(8,CZ97)*CZ96))),MAX(0,40*MAX(1,CZ96)-(CX98+CY98)))))</f>
        <v>4</v>
      </c>
      <c r="DA99" s="63">
        <f>IF(AND(DA96=2,DA97=10),4,IF(DA96&lt;=0,0,IF(WEEKDAY(DA$6,1)=1,0,IF(WEEKDAY(DA$6,1)=7,DA96*DA97,MAX(0,DA97-8)*DA96)))+((IF(DA96&lt;=0,0,IF(WEEKDAY(DA$6,1)=1,0,IF(WEEKDAY(DA$6,1)=7,0,MIN(8,DA97)*DA96))))-MIN(IF(DA96&lt;=0,0,IF(WEEKDAY(DA$6,1)=1,0,IF(WEEKDAY(DA$6,1)=7,0,MIN(8,DA97)*DA96))),MAX(0,40*MAX(1,DA96)-(CX98+CY98+CZ98)))))</f>
        <v>4</v>
      </c>
      <c r="DB99" s="63">
        <f>IF(AND(DB96=2,DB97=10),4,IF(DB96&lt;=0,0,IF(WEEKDAY(DB$6,1)=1,0,IF(WEEKDAY(DB$6,1)=7,DB96*DB97,MAX(0,DB97-8)*DB96)))+((IF(DB96&lt;=0,0,IF(WEEKDAY(DB$6,1)=1,0,IF(WEEKDAY(DB$6,1)=7,0,MIN(8,DB97)*DB96))))-MIN(IF(DB96&lt;=0,0,IF(WEEKDAY(DB$6,1)=1,0,IF(WEEKDAY(DB$6,1)=7,0,MIN(8,DB97)*DB96))),MAX(0,40*MAX(1,DB96)-(CX98+CY98+CZ98+DA98)))))</f>
        <v>4</v>
      </c>
      <c r="DC99" s="64">
        <f>IF(AND(DC96=2,DC97=10),20,IF(DC96&lt;=0,0,IF(WEEKDAY(DC$6,1)=1,0,IF(WEEKDAY(DC$6,1)=7,DC96*DC97,MAX(0,DC97-8)*DC96)))+((IF(DC96&lt;=0,0,IF(WEEKDAY(DC$6,1)=1,0,IF(WEEKDAY(DC$6,1)=7,0,MIN(8,DC97)*DC96))))-MIN(IF(DC96&lt;=0,0,IF(WEEKDAY(DC$6,1)=1,0,IF(WEEKDAY(DC$6,1)=7,0,MIN(8,DC97)*DC96))),MAX(0,40*MAX(1,DC96)-(CX98+CY98+CZ98+DA98+DB98)))))</f>
        <v>20</v>
      </c>
      <c r="DD99" s="64">
        <f>IF(AND(DD96=2,DD97=10),0,IF(DD96&lt;=0,0,IF(WEEKDAY(DD$6,1)=1,0,IF(WEEKDAY(DD$6,1)=7,DD96*DD97,MAX(0,DD97-8)*DD96)))+((IF(DD96&lt;=0,0,IF(WEEKDAY(DD$6,1)=1,0,IF(WEEKDAY(DD$6,1)=7,0,MIN(8,DD97)*DD96))))-MIN(IF(DD96&lt;=0,0,IF(WEEKDAY(DD$6,1)=1,0,IF(WEEKDAY(DD$6,1)=7,0,MIN(8,DD97)*DD96))),MAX(0,40*MAX(1,DD96)-(0)))))</f>
        <v>0</v>
      </c>
      <c r="DE99" s="63">
        <f>IF(AND(DE96=2,DE97=10),4,IF(DE96&lt;=0,0,IF(WEEKDAY(DE$6,1)=1,0,IF(WEEKDAY(DE$6,1)=7,DE96*DE97,MAX(0,DE97-8)*DE96)))+((IF(DE96&lt;=0,0,IF(WEEKDAY(DE$6,1)=1,0,IF(WEEKDAY(DE$6,1)=7,0,MIN(8,DE97)*DE96))))-MIN(IF(DE96&lt;=0,0,IF(WEEKDAY(DE$6,1)=1,0,IF(WEEKDAY(DE$6,1)=7,0,MIN(8,DE97)*DE96))),MAX(0,40*MAX(1,DE96)-(0)))))</f>
        <v>4</v>
      </c>
      <c r="DF99" s="63">
        <f>IF(AND(DF96=2,DF97=10),4,IF(DF96&lt;=0,0,IF(WEEKDAY(DF$6,1)=1,0,IF(WEEKDAY(DF$6,1)=7,DF96*DF97,MAX(0,DF97-8)*DF96)))+((IF(DF96&lt;=0,0,IF(WEEKDAY(DF$6,1)=1,0,IF(WEEKDAY(DF$6,1)=7,0,MIN(8,DF97)*DF96))))-MIN(IF(DF96&lt;=0,0,IF(WEEKDAY(DF$6,1)=1,0,IF(WEEKDAY(DF$6,1)=7,0,MIN(8,DF97)*DF96))),MAX(0,40*MAX(1,DF96)-(DE98)))))</f>
        <v>4</v>
      </c>
      <c r="DG99" s="63">
        <f>IF(AND(DG96=2,DG97=10),4,IF(DG96&lt;=0,0,IF(WEEKDAY(DG$6,1)=1,0,IF(WEEKDAY(DG$6,1)=7,DG96*DG97,MAX(0,DG97-8)*DG96)))+((IF(DG96&lt;=0,0,IF(WEEKDAY(DG$6,1)=1,0,IF(WEEKDAY(DG$6,1)=7,0,MIN(8,DG97)*DG96))))-MIN(IF(DG96&lt;=0,0,IF(WEEKDAY(DG$6,1)=1,0,IF(WEEKDAY(DG$6,1)=7,0,MIN(8,DG97)*DG96))),MAX(0,40*MAX(1,DG96)-(DE98+DF98)))))</f>
        <v>4</v>
      </c>
      <c r="DH99" s="63">
        <f>IF(AND(DH96=2,DH97=10),4,IF(DH96&lt;=0,0,IF(WEEKDAY(DH$6,1)=1,0,IF(WEEKDAY(DH$6,1)=7,DH96*DH97,MAX(0,DH97-8)*DH96)))+((IF(DH96&lt;=0,0,IF(WEEKDAY(DH$6,1)=1,0,IF(WEEKDAY(DH$6,1)=7,0,MIN(8,DH97)*DH96))))-MIN(IF(DH96&lt;=0,0,IF(WEEKDAY(DH$6,1)=1,0,IF(WEEKDAY(DH$6,1)=7,0,MIN(8,DH97)*DH96))),MAX(0,40*MAX(1,DH96)-(DE98+DF98+DG98)))))</f>
        <v>4</v>
      </c>
      <c r="DI99" s="63">
        <f>IF(AND(DI96=2,DI97=10),4,IF(DI96&lt;=0,0,IF(WEEKDAY(DI$6,1)=1,0,IF(WEEKDAY(DI$6,1)=7,DI96*DI97,MAX(0,DI97-8)*DI96)))+((IF(DI96&lt;=0,0,IF(WEEKDAY(DI$6,1)=1,0,IF(WEEKDAY(DI$6,1)=7,0,MIN(8,DI97)*DI96))))-MIN(IF(DI96&lt;=0,0,IF(WEEKDAY(DI$6,1)=1,0,IF(WEEKDAY(DI$6,1)=7,0,MIN(8,DI97)*DI96))),MAX(0,40*MAX(1,DI96)-(DE98+DF98+DG98+DH98)))))</f>
        <v>4</v>
      </c>
      <c r="DJ99" s="64">
        <f>IF(AND(DJ96=2,DJ97=10),20,IF(DJ96&lt;=0,0,IF(WEEKDAY(DJ$6,1)=1,0,IF(WEEKDAY(DJ$6,1)=7,DJ96*DJ97,MAX(0,DJ97-8)*DJ96)))+((IF(DJ96&lt;=0,0,IF(WEEKDAY(DJ$6,1)=1,0,IF(WEEKDAY(DJ$6,1)=7,0,MIN(8,DJ97)*DJ96))))-MIN(IF(DJ96&lt;=0,0,IF(WEEKDAY(DJ$6,1)=1,0,IF(WEEKDAY(DJ$6,1)=7,0,MIN(8,DJ97)*DJ96))),MAX(0,40*MAX(1,DJ96)-(DE98+DF98+DG98+DH98+DI98)))))</f>
        <v>20</v>
      </c>
      <c r="DK99" s="64">
        <f>IF(AND(DK96=2,DK97=10),0,IF(DK96&lt;=0,0,IF(WEEKDAY(DK$6,1)=1,0,IF(WEEKDAY(DK$6,1)=7,DK96*DK97,MAX(0,DK97-8)*DK96)))+((IF(DK96&lt;=0,0,IF(WEEKDAY(DK$6,1)=1,0,IF(WEEKDAY(DK$6,1)=7,0,MIN(8,DK97)*DK96))))-MIN(IF(DK96&lt;=0,0,IF(WEEKDAY(DK$6,1)=1,0,IF(WEEKDAY(DK$6,1)=7,0,MIN(8,DK97)*DK96))),MAX(0,40*MAX(1,DK96)-(DE98+DF98+DG98+DH98+DI98+DJ98)))))</f>
        <v>0</v>
      </c>
      <c r="DL99" s="63">
        <f>IF(AND(DL96=2,DL97=10),4,IF(DL96&lt;=0,0,IF(WEEKDAY(DL$6,1)=1,0,IF(WEEKDAY(DL$6,1)=7,DL96*DL97,MAX(0,DL97-8)*DL96)))+((IF(DL96&lt;=0,0,IF(WEEKDAY(DL$6,1)=1,0,IF(WEEKDAY(DL$6,1)=7,0,MIN(8,DL97)*DL96))))-MIN(IF(DL96&lt;=0,0,IF(WEEKDAY(DL$6,1)=1,0,IF(WEEKDAY(DL$6,1)=7,0,MIN(8,DL97)*DL96))),MAX(0,40*MAX(1,DL96)-(0)))))</f>
        <v>4</v>
      </c>
      <c r="DM99" s="63">
        <f>IF(AND(DM96=2,DM97=10),4,IF(DM96&lt;=0,0,IF(WEEKDAY(DM$6,1)=1,0,IF(WEEKDAY(DM$6,1)=7,DM96*DM97,MAX(0,DM97-8)*DM96)))+((IF(DM96&lt;=0,0,IF(WEEKDAY(DM$6,1)=1,0,IF(WEEKDAY(DM$6,1)=7,0,MIN(8,DM97)*DM96))))-MIN(IF(DM96&lt;=0,0,IF(WEEKDAY(DM$6,1)=1,0,IF(WEEKDAY(DM$6,1)=7,0,MIN(8,DM97)*DM96))),MAX(0,40*MAX(1,DM96)-(DL98)))))</f>
        <v>4</v>
      </c>
      <c r="DN99" s="63">
        <f>IF(AND(DN96=2,DN97=10),4,IF(DN96&lt;=0,0,IF(WEEKDAY(DN$6,1)=1,0,IF(WEEKDAY(DN$6,1)=7,DN96*DN97,MAX(0,DN97-8)*DN96)))+((IF(DN96&lt;=0,0,IF(WEEKDAY(DN$6,1)=1,0,IF(WEEKDAY(DN$6,1)=7,0,MIN(8,DN97)*DN96))))-MIN(IF(DN96&lt;=0,0,IF(WEEKDAY(DN$6,1)=1,0,IF(WEEKDAY(DN$6,1)=7,0,MIN(8,DN97)*DN96))),MAX(0,40*MAX(1,DN96)-(DL98+DM98)))))</f>
        <v>4</v>
      </c>
      <c r="DO99" s="63">
        <f>IF(AND(DO96=2,DO97=10),4,IF(DO96&lt;=0,0,IF(WEEKDAY(DO$6,1)=1,0,IF(WEEKDAY(DO$6,1)=7,DO96*DO97,MAX(0,DO97-8)*DO96)))+((IF(DO96&lt;=0,0,IF(WEEKDAY(DO$6,1)=1,0,IF(WEEKDAY(DO$6,1)=7,0,MIN(8,DO97)*DO96))))-MIN(IF(DO96&lt;=0,0,IF(WEEKDAY(DO$6,1)=1,0,IF(WEEKDAY(DO$6,1)=7,0,MIN(8,DO97)*DO96))),MAX(0,40*MAX(1,DO96)-(DL98+DM98+DN98)))))</f>
        <v>4</v>
      </c>
      <c r="DP99" s="63">
        <f>IF(AND(DP96=2,DP97=10),4,IF(DP96&lt;=0,0,IF(WEEKDAY(DP$6,1)=1,0,IF(WEEKDAY(DP$6,1)=7,DP96*DP97,MAX(0,DP97-8)*DP96)))+((IF(DP96&lt;=0,0,IF(WEEKDAY(DP$6,1)=1,0,IF(WEEKDAY(DP$6,1)=7,0,MIN(8,DP97)*DP96))))-MIN(IF(DP96&lt;=0,0,IF(WEEKDAY(DP$6,1)=1,0,IF(WEEKDAY(DP$6,1)=7,0,MIN(8,DP97)*DP96))),MAX(0,40*MAX(1,DP96)-(DL98+DM98+DN98+DO98)))))</f>
        <v>4</v>
      </c>
      <c r="DQ99" s="64">
        <f>IF(AND(DQ96=2,DQ97=10),20,IF(DQ96&lt;=0,0,IF(WEEKDAY(DQ$6,1)=1,0,IF(WEEKDAY(DQ$6,1)=7,DQ96*DQ97,MAX(0,DQ97-8)*DQ96)))+((IF(DQ96&lt;=0,0,IF(WEEKDAY(DQ$6,1)=1,0,IF(WEEKDAY(DQ$6,1)=7,0,MIN(8,DQ97)*DQ96))))-MIN(IF(DQ96&lt;=0,0,IF(WEEKDAY(DQ$6,1)=1,0,IF(WEEKDAY(DQ$6,1)=7,0,MIN(8,DQ97)*DQ96))),MAX(0,40*MAX(1,DQ96)-(DL98+DM98+DN98+DO98+DP98)))))</f>
        <v>20</v>
      </c>
      <c r="DR99" s="64">
        <f>IF(AND(DR96=2,DR97=10),0,IF(DR96&lt;=0,0,IF(WEEKDAY(DR$6,1)=1,0,IF(WEEKDAY(DR$6,1)=7,DR96*DR97,MAX(0,DR97-8)*DR96)))+((IF(DR96&lt;=0,0,IF(WEEKDAY(DR$6,1)=1,0,IF(WEEKDAY(DR$6,1)=7,0,MIN(8,DR97)*DR96))))-MIN(IF(DR96&lt;=0,0,IF(WEEKDAY(DR$6,1)=1,0,IF(WEEKDAY(DR$6,1)=7,0,MIN(8,DR97)*DR96))),MAX(0,40*MAX(1,DR96)-(DL98+DM98+DN98+DO98+DP98+DQ98)))))</f>
        <v>0</v>
      </c>
      <c r="DS99" s="63">
        <f>IF(AND(DS96=2,DS97=10),4,IF(DS96&lt;=0,0,IF(WEEKDAY(DS$6,1)=1,0,IF(WEEKDAY(DS$6,1)=7,DS96*DS97,MAX(0,DS97-8)*DS96)))+((IF(DS96&lt;=0,0,IF(WEEKDAY(DS$6,1)=1,0,IF(WEEKDAY(DS$6,1)=7,0,MIN(8,DS97)*DS96))))-MIN(IF(DS96&lt;=0,0,IF(WEEKDAY(DS$6,1)=1,0,IF(WEEKDAY(DS$6,1)=7,0,MIN(8,DS97)*DS96))),MAX(0,40*MAX(1,DS96)-(0)))))</f>
        <v>4</v>
      </c>
      <c r="DT99" s="63">
        <f>IF(AND(DT96=0,DT97=0),0,IF(DT96&lt;=0,0,IF(WEEKDAY(DT$6,1)=1,0,IF(WEEKDAY(DT$6,1)=7,DT96*DT97,MAX(0,DT97-8)*DT96)))+((IF(DT96&lt;=0,0,IF(WEEKDAY(DT$6,1)=1,0,IF(WEEKDAY(DT$6,1)=7,0,MIN(8,DT97)*DT96))))-MIN(IF(DT96&lt;=0,0,IF(WEEKDAY(DT$6,1)=1,0,IF(WEEKDAY(DT$6,1)=7,0,MIN(8,DT97)*DT96))),MAX(0,40*MAX(1,DT96)-(0)))))</f>
        <v>0</v>
      </c>
      <c r="DU99" s="63">
        <f>IF(AND(DU96=0,DU97=0),0,IF(DU96&lt;=0,0,IF(WEEKDAY(DU$6,1)=1,0,IF(WEEKDAY(DU$6,1)=7,DU96*DU97,MAX(0,DU97-8)*DU96)))+((IF(DU96&lt;=0,0,IF(WEEKDAY(DU$6,1)=1,0,IF(WEEKDAY(DU$6,1)=7,0,MIN(8,DU97)*DU96))))-MIN(IF(DU96&lt;=0,0,IF(WEEKDAY(DU$6,1)=1,0,IF(WEEKDAY(DU$6,1)=7,0,MIN(8,DU97)*DU96))),MAX(0,40*MAX(1,DU96)-(DT98)))))</f>
        <v>0</v>
      </c>
      <c r="DV99" s="63">
        <f>IF(AND(DV96=0,DV97=0),0,IF(DV96&lt;=0,0,IF(WEEKDAY(DV$6,1)=1,0,IF(WEEKDAY(DV$6,1)=7,DV96*DV97,MAX(0,DV97-8)*DV96)))+((IF(DV96&lt;=0,0,IF(WEEKDAY(DV$6,1)=1,0,IF(WEEKDAY(DV$6,1)=7,0,MIN(8,DV97)*DV96))))-MIN(IF(DV96&lt;=0,0,IF(WEEKDAY(DV$6,1)=1,0,IF(WEEKDAY(DV$6,1)=7,0,MIN(8,DV97)*DV96))),MAX(0,40*MAX(1,DV96)-(DT98+DU98)))))</f>
        <v>0</v>
      </c>
      <c r="DW99" s="63">
        <f>IF(AND(DW96=0,DW97=0),0,IF(DW96&lt;=0,0,IF(WEEKDAY(DW$6,1)=1,0,IF(WEEKDAY(DW$6,1)=7,DW96*DW97,MAX(0,DW97-8)*DW96)))+((IF(DW96&lt;=0,0,IF(WEEKDAY(DW$6,1)=1,0,IF(WEEKDAY(DW$6,1)=7,0,MIN(8,DW97)*DW96))))-MIN(IF(DW96&lt;=0,0,IF(WEEKDAY(DW$6,1)=1,0,IF(WEEKDAY(DW$6,1)=7,0,MIN(8,DW97)*DW96))),MAX(0,40*MAX(1,DW96)-(DT98+DU98+DV98)))))</f>
        <v>0</v>
      </c>
      <c r="DX99" s="64">
        <f>IF(AND(DX96=0,DX97=0),0,IF(DX96&lt;=0,0,IF(WEEKDAY(DX$6,1)=1,0,IF(WEEKDAY(DX$6,1)=7,DX96*DX97,MAX(0,DX97-8)*DX96)))+((IF(DX96&lt;=0,0,IF(WEEKDAY(DX$6,1)=1,0,IF(WEEKDAY(DX$6,1)=7,0,MIN(8,DX97)*DX96))))-MIN(IF(DX96&lt;=0,0,IF(WEEKDAY(DX$6,1)=1,0,IF(WEEKDAY(DX$6,1)=7,0,MIN(8,DX97)*DX96))),MAX(0,40*MAX(1,DX96)-(DT98+DU98+DV98+DW98)))))</f>
        <v>0</v>
      </c>
      <c r="DY99" s="64">
        <f>IF(AND(DY96=0,DY97=0),0,IF(DY96&lt;=0,0,IF(WEEKDAY(DY$6,1)=1,0,IF(WEEKDAY(DY$6,1)=7,DY96*DY97,MAX(0,DY97-8)*DY96)))+((IF(DY96&lt;=0,0,IF(WEEKDAY(DY$6,1)=1,0,IF(WEEKDAY(DY$6,1)=7,0,MIN(8,DY97)*DY96))))-MIN(IF(DY96&lt;=0,0,IF(WEEKDAY(DY$6,1)=1,0,IF(WEEKDAY(DY$6,1)=7,0,MIN(8,DY97)*DY96))),MAX(0,40*MAX(1,DY96)-(DT98+DU98+DV98+DW98+DX98)))))</f>
        <v>0</v>
      </c>
      <c r="DZ99" s="63">
        <f>IF(AND(DZ96=0,DZ97=0),0,IF(DZ96&lt;=0,0,IF(WEEKDAY(DZ$6,1)=1,0,IF(WEEKDAY(DZ$6,1)=7,DZ96*DZ97,MAX(0,DZ97-8)*DZ96)))+((IF(DZ96&lt;=0,0,IF(WEEKDAY(DZ$6,1)=1,0,IF(WEEKDAY(DZ$6,1)=7,0,MIN(8,DZ97)*DZ96))))-MIN(IF(DZ96&lt;=0,0,IF(WEEKDAY(DZ$6,1)=1,0,IF(WEEKDAY(DZ$6,1)=7,0,MIN(8,DZ97)*DZ96))),MAX(0,40*MAX(1,DZ96)-(0)))))</f>
        <v>0</v>
      </c>
      <c r="EA99" s="63">
        <f>IF(AND(EA96=0,EA97=0),0,IF(EA96&lt;=0,0,IF(WEEKDAY(EA$6,1)=1,0,IF(WEEKDAY(EA$6,1)=7,EA96*EA97,MAX(0,EA97-8)*EA96)))+((IF(EA96&lt;=0,0,IF(WEEKDAY(EA$6,1)=1,0,IF(WEEKDAY(EA$6,1)=7,0,MIN(8,EA97)*EA96))))-MIN(IF(EA96&lt;=0,0,IF(WEEKDAY(EA$6,1)=1,0,IF(WEEKDAY(EA$6,1)=7,0,MIN(8,EA97)*EA96))),MAX(0,40*MAX(1,EA96)-(DZ98)))))</f>
        <v>0</v>
      </c>
      <c r="EB99" s="63">
        <f>IF(AND(EB96=0,EB97=0),0,IF(EB96&lt;=0,0,IF(WEEKDAY(EB$6,1)=1,0,IF(WEEKDAY(EB$6,1)=7,EB96*EB97,MAX(0,EB97-8)*EB96)))+((IF(EB96&lt;=0,0,IF(WEEKDAY(EB$6,1)=1,0,IF(WEEKDAY(EB$6,1)=7,0,MIN(8,EB97)*EB96))))-MIN(IF(EB96&lt;=0,0,IF(WEEKDAY(EB$6,1)=1,0,IF(WEEKDAY(EB$6,1)=7,0,MIN(8,EB97)*EB96))),MAX(0,40*MAX(1,EB96)-(DZ98+EA98)))))</f>
        <v>0</v>
      </c>
      <c r="EC99" s="63">
        <f>IF(AND(EC96=0,EC97=0),0,IF(EC96&lt;=0,0,IF(WEEKDAY(EC$6,1)=1,0,IF(WEEKDAY(EC$6,1)=7,EC96*EC97,MAX(0,EC97-8)*EC96)))+((IF(EC96&lt;=0,0,IF(WEEKDAY(EC$6,1)=1,0,IF(WEEKDAY(EC$6,1)=7,0,MIN(8,EC97)*EC96))))-MIN(IF(EC96&lt;=0,0,IF(WEEKDAY(EC$6,1)=1,0,IF(WEEKDAY(EC$6,1)=7,0,MIN(8,EC97)*EC96))),MAX(0,40*MAX(1,EC96)-(DZ98+EA98+EB98)))))</f>
        <v>0</v>
      </c>
      <c r="ED99" s="63">
        <f>IF(AND(ED96=0,ED97=0),0,IF(ED96&lt;=0,0,IF(WEEKDAY(ED$6,1)=1,0,IF(WEEKDAY(ED$6,1)=7,ED96*ED97,MAX(0,ED97-8)*ED96)))+((IF(ED96&lt;=0,0,IF(WEEKDAY(ED$6,1)=1,0,IF(WEEKDAY(ED$6,1)=7,0,MIN(8,ED97)*ED96))))-MIN(IF(ED96&lt;=0,0,IF(WEEKDAY(ED$6,1)=1,0,IF(WEEKDAY(ED$6,1)=7,0,MIN(8,ED97)*ED96))),MAX(0,40*MAX(1,ED96)-(DZ98+EA98+EB98+EC98)))))</f>
        <v>0</v>
      </c>
      <c r="EE99" s="64">
        <f>IF(AND(EE96=0,EE97=0),0,IF(EE96&lt;=0,0,IF(WEEKDAY(EE$6,1)=1,0,IF(WEEKDAY(EE$6,1)=7,EE96*EE97,MAX(0,EE97-8)*EE96)))+((IF(EE96&lt;=0,0,IF(WEEKDAY(EE$6,1)=1,0,IF(WEEKDAY(EE$6,1)=7,0,MIN(8,EE97)*EE96))))-MIN(IF(EE96&lt;=0,0,IF(WEEKDAY(EE$6,1)=1,0,IF(WEEKDAY(EE$6,1)=7,0,MIN(8,EE97)*EE96))),MAX(0,40*MAX(1,EE96)-(DZ98+EA98+EB98+EC98+ED98)))))</f>
        <v>0</v>
      </c>
      <c r="EF99" s="64">
        <f>IF(AND(EF96=0,EF97=0),0,IF(EF96&lt;=0,0,IF(WEEKDAY(EF$6,1)=1,0,IF(WEEKDAY(EF$6,1)=7,EF96*EF97,MAX(0,EF97-8)*EF96)))+((IF(EF96&lt;=0,0,IF(WEEKDAY(EF$6,1)=1,0,IF(WEEKDAY(EF$6,1)=7,0,MIN(8,EF97)*EF96))))-MIN(IF(EF96&lt;=0,0,IF(WEEKDAY(EF$6,1)=1,0,IF(WEEKDAY(EF$6,1)=7,0,MIN(8,EF97)*EF96))),MAX(0,40*MAX(1,EF96)-(DZ98+EA98+EB98+EC98+ED98+EE98)))))</f>
        <v>0</v>
      </c>
      <c r="EG99" s="63">
        <f>IF(AND(EG96=0,EG97=0),0,IF(EG96&lt;=0,0,IF(WEEKDAY(EG$6,1)=1,0,IF(WEEKDAY(EG$6,1)=7,EG96*EG97,MAX(0,EG97-8)*EG96)))+((IF(EG96&lt;=0,0,IF(WEEKDAY(EG$6,1)=1,0,IF(WEEKDAY(EG$6,1)=7,0,MIN(8,EG97)*EG96))))-MIN(IF(EG96&lt;=0,0,IF(WEEKDAY(EG$6,1)=1,0,IF(WEEKDAY(EG$6,1)=7,0,MIN(8,EG97)*EG96))),MAX(0,40*MAX(1,EG96)-(0)))))</f>
        <v>0</v>
      </c>
      <c r="EH99" s="63">
        <f>IF(AND(EH96=0,EH97=0),0,IF(EH96&lt;=0,0,IF(WEEKDAY(EH$6,1)=1,0,IF(WEEKDAY(EH$6,1)=7,EH96*EH97,MAX(0,EH97-8)*EH96)))+((IF(EH96&lt;=0,0,IF(WEEKDAY(EH$6,1)=1,0,IF(WEEKDAY(EH$6,1)=7,0,MIN(8,EH97)*EH96))))-MIN(IF(EH96&lt;=0,0,IF(WEEKDAY(EH$6,1)=1,0,IF(WEEKDAY(EH$6,1)=7,0,MIN(8,EH97)*EH96))),MAX(0,40*MAX(1,EH96)-(EG98)))))</f>
        <v>0</v>
      </c>
      <c r="EI99" s="63">
        <f>IF(AND(EI96=0,EI97=0),0,IF(EI96&lt;=0,0,IF(WEEKDAY(EI$6,1)=1,0,IF(WEEKDAY(EI$6,1)=7,EI96*EI97,MAX(0,EI97-8)*EI96)))+((IF(EI96&lt;=0,0,IF(WEEKDAY(EI$6,1)=1,0,IF(WEEKDAY(EI$6,1)=7,0,MIN(8,EI97)*EI96))))-MIN(IF(EI96&lt;=0,0,IF(WEEKDAY(EI$6,1)=1,0,IF(WEEKDAY(EI$6,1)=7,0,MIN(8,EI97)*EI96))),MAX(0,40*MAX(1,EI96)-(EG98+EH98)))))</f>
        <v>0</v>
      </c>
      <c r="EJ99" s="63">
        <f>IF(AND(EJ96=0,EJ97=0),0,IF(EJ96&lt;=0,0,IF(WEEKDAY(EJ$6,1)=1,0,IF(WEEKDAY(EJ$6,1)=7,EJ96*EJ97,MAX(0,EJ97-8)*EJ96)))+((IF(EJ96&lt;=0,0,IF(WEEKDAY(EJ$6,1)=1,0,IF(WEEKDAY(EJ$6,1)=7,0,MIN(8,EJ97)*EJ96))))-MIN(IF(EJ96&lt;=0,0,IF(WEEKDAY(EJ$6,1)=1,0,IF(WEEKDAY(EJ$6,1)=7,0,MIN(8,EJ97)*EJ96))),MAX(0,40*MAX(1,EJ96)-(EG98+EH98+EI98)))))</f>
        <v>0</v>
      </c>
      <c r="EK99" s="65">
        <f>IF(AND(EK96=0,EK97=0),0,IF(EK96&lt;=0,0,IF(WEEKDAY(EK$6,1)=1,0,IF(WEEKDAY(EK$6,1)=7,EK96*EK97,MAX(0,EK97-8)*EK96)))+((IF(EK96&lt;=0,0,IF(WEEKDAY(EK$6,1)=1,0,IF(WEEKDAY(EK$6,1)=7,0,MIN(8,EK97)*EK96))))-MIN(IF(EK96&lt;=0,0,IF(WEEKDAY(EK$6,1)=1,0,IF(WEEKDAY(EK$6,1)=7,0,MIN(8,EK97)*EK96))),MAX(0,40*MAX(1,EK96)-(EG98+EH98+EI98+EJ98)))))</f>
        <v>0</v>
      </c>
      <c r="OU99" s="28" t="s">
        <v>135</v>
      </c>
    </row>
    <row r="100" ht="16" customHeight="1" spans="1:411" x14ac:dyDescent="0.25">
      <c r="A100" s="74"/>
      <c r="B100" s="79"/>
      <c r="C100" s="61">
        <f>H95*N(D100)</f>
        <v>32049.000000000004</v>
      </c>
      <c r="D100" s="61">
        <f>IF(TRIM(IF(TRIM(B99)&lt;&gt;"",B99,B95))="","No rate",IFERROR(INDEX('Rate Tables'!E$7:E$158,MATCH(IF(TRIM(B99)&lt;&gt;"",B99,B95),'Rate Tables'!A$7:A$158,0)),"No rate"))</f>
        <v>178.05</v>
      </c>
      <c r="E100" s="55" t="s">
        <v>64</v>
      </c>
      <c r="F100" s="49"/>
      <c r="G100" s="49"/>
      <c r="H100" s="49"/>
      <c r="I100" s="49"/>
      <c r="J100" s="50"/>
      <c r="K100" s="62">
        <f>IF(AND(K96=0,K97=0),0,IF(K96&lt;=0,0,IF(WEEKDAY(K$6,1)=1,K96*K97,0)))</f>
        <v>0</v>
      </c>
      <c r="L100" s="63">
        <f>IF(AND(L96=0,L97=0),0,IF(L96&lt;=0,0,IF(WEEKDAY(L$6,1)=1,L96*L97,0)))</f>
        <v>0</v>
      </c>
      <c r="M100" s="63">
        <f>IF(AND(M96=0,M97=0),0,IF(M96&lt;=0,0,IF(WEEKDAY(M$6,1)=1,M96*M97,0)))</f>
        <v>0</v>
      </c>
      <c r="N100" s="63">
        <f>IF(AND(N96=0,N97=0),0,IF(N96&lt;=0,0,IF(WEEKDAY(N$6,1)=1,N96*N97,0)))</f>
        <v>0</v>
      </c>
      <c r="O100" s="63">
        <f>IF(AND(O96=0,O97=0),0,IF(O96&lt;=0,0,IF(WEEKDAY(O$6,1)=1,O96*O97,0)))</f>
        <v>0</v>
      </c>
      <c r="P100" s="64">
        <f>IF(AND(P96=0,P97=0),0,IF(P96&lt;=0,0,IF(WEEKDAY(P$6,1)=1,P96*P97,0)))</f>
        <v>0</v>
      </c>
      <c r="Q100" s="64">
        <f>IF(AND(Q96=0,Q97=0),0,IF(Q96&lt;=0,0,IF(WEEKDAY(Q$6,1)=1,Q96*Q97,0)))</f>
        <v>0</v>
      </c>
      <c r="R100" s="63">
        <f>IF(AND(R96=0,R97=0),0,IF(R96&lt;=0,0,IF(WEEKDAY(R$6,1)=1,R96*R97,0)))</f>
        <v>0</v>
      </c>
      <c r="S100" s="63">
        <f>IF(AND(S96=0,S97=0),0,IF(S96&lt;=0,0,IF(WEEKDAY(S$6,1)=1,S96*S97,0)))</f>
        <v>0</v>
      </c>
      <c r="T100" s="63">
        <f>IF(AND(T96=0,T97=0),0,IF(T96&lt;=0,0,IF(WEEKDAY(T$6,1)=1,T96*T97,0)))</f>
        <v>0</v>
      </c>
      <c r="U100" s="63">
        <f>IF(AND(U96=0,U97=0),0,IF(U96&lt;=0,0,IF(WEEKDAY(U$6,1)=1,U96*U97,0)))</f>
        <v>0</v>
      </c>
      <c r="V100" s="63">
        <f>IF(AND(V96=0,V97=0),0,IF(V96&lt;=0,0,IF(WEEKDAY(V$6,1)=1,V96*V97,0)))</f>
        <v>0</v>
      </c>
      <c r="W100" s="64">
        <f>IF(AND(W96=0,W97=0),0,IF(W96&lt;=0,0,IF(WEEKDAY(W$6,1)=1,W96*W97,0)))</f>
        <v>0</v>
      </c>
      <c r="X100" s="64">
        <f>IF(AND(X96=0,X97=0),0,IF(X96&lt;=0,0,IF(WEEKDAY(X$6,1)=1,X96*X97,0)))</f>
        <v>0</v>
      </c>
      <c r="Y100" s="63">
        <f>IF(AND(Y96=0,Y97=0),0,IF(Y96&lt;=0,0,IF(WEEKDAY(Y$6,1)=1,Y96*Y97,0)))</f>
        <v>0</v>
      </c>
      <c r="Z100" s="63">
        <f>IF(AND(Z96=0,Z97=0),0,IF(Z96&lt;=0,0,IF(WEEKDAY(Z$6,1)=1,Z96*Z97,0)))</f>
        <v>0</v>
      </c>
      <c r="AA100" s="63">
        <f>IF(AND(AA96=0,AA97=0),0,IF(AA96&lt;=0,0,IF(WEEKDAY(AA$6,1)=1,AA96*AA97,0)))</f>
        <v>0</v>
      </c>
      <c r="AB100" s="63">
        <f>IF(AND(AB96=0,AB97=0),0,IF(AB96&lt;=0,0,IF(WEEKDAY(AB$6,1)=1,AB96*AB97,0)))</f>
        <v>0</v>
      </c>
      <c r="AC100" s="63">
        <f>IF(AND(AC96=0,AC97=0),0,IF(AC96&lt;=0,0,IF(WEEKDAY(AC$6,1)=1,AC96*AC97,0)))</f>
        <v>0</v>
      </c>
      <c r="AD100" s="64">
        <f>IF(AND(AD96=0,AD97=0),0,IF(AD96&lt;=0,0,IF(WEEKDAY(AD$6,1)=1,AD96*AD97,0)))</f>
        <v>0</v>
      </c>
      <c r="AE100" s="64">
        <f>IF(AND(AE96=0,AE97=0),0,IF(AE96&lt;=0,0,IF(WEEKDAY(AE$6,1)=1,AE96*AE97,0)))</f>
        <v>0</v>
      </c>
      <c r="AF100" s="63">
        <f>IF(AND(AF96=0,AF97=0),0,IF(AF96&lt;=0,0,IF(WEEKDAY(AF$6,1)=1,AF96*AF97,0)))</f>
        <v>0</v>
      </c>
      <c r="AG100" s="63">
        <f>IF(AND(AG96=0,AG97=0),0,IF(AG96&lt;=0,0,IF(WEEKDAY(AG$6,1)=1,AG96*AG97,0)))</f>
        <v>0</v>
      </c>
      <c r="AH100" s="63">
        <f>IF(AND(AH96=0,AH97=0),0,IF(AH96&lt;=0,0,IF(WEEKDAY(AH$6,1)=1,AH96*AH97,0)))</f>
        <v>0</v>
      </c>
      <c r="AI100" s="63">
        <f>IF(AND(AI96=0,AI97=0),0,IF(AI96&lt;=0,0,IF(WEEKDAY(AI$6,1)=1,AI96*AI97,0)))</f>
        <v>0</v>
      </c>
      <c r="AJ100" s="63">
        <f>IF(AND(AJ96=0,AJ97=0),0,IF(AJ96&lt;=0,0,IF(WEEKDAY(AJ$6,1)=1,AJ96*AJ97,0)))</f>
        <v>0</v>
      </c>
      <c r="AK100" s="64">
        <f>IF(AND(AK96=0,AK97=0),0,IF(AK96&lt;=0,0,IF(WEEKDAY(AK$6,1)=1,AK96*AK97,0)))</f>
        <v>0</v>
      </c>
      <c r="AL100" s="64">
        <f>IF(AND(AL96=0,AL97=0),0,IF(AL96&lt;=0,0,IF(WEEKDAY(AL$6,1)=1,AL96*AL97,0)))</f>
        <v>0</v>
      </c>
      <c r="AM100" s="63">
        <f>IF(AND(AM96=0,AM97=0),0,IF(AM96&lt;=0,0,IF(WEEKDAY(AM$6,1)=1,AM96*AM97,0)))</f>
        <v>0</v>
      </c>
      <c r="AN100" s="63">
        <f>IF(AND(AN96=0,AN97=0),0,IF(AN96&lt;=0,0,IF(WEEKDAY(AN$6,1)=1,AN96*AN97,0)))</f>
        <v>0</v>
      </c>
      <c r="AO100" s="63">
        <f>IF(AND(AO96=0,AO97=0),0,IF(AO96&lt;=0,0,IF(WEEKDAY(AO$6,1)=1,AO96*AO97,0)))</f>
        <v>0</v>
      </c>
      <c r="AP100" s="63">
        <f>IF(AND(AP96=0,AP97=0),0,IF(AP96&lt;=0,0,IF(WEEKDAY(AP$6,1)=1,AP96*AP97,0)))</f>
        <v>0</v>
      </c>
      <c r="AQ100" s="63">
        <f>IF(AND(AQ96=0,AQ97=0),0,IF(AQ96&lt;=0,0,IF(WEEKDAY(AQ$6,1)=1,AQ96*AQ97,0)))</f>
        <v>0</v>
      </c>
      <c r="AR100" s="64">
        <f>IF(AND(AR96=0,AR97=0),0,IF(AR96&lt;=0,0,IF(WEEKDAY(AR$6,1)=1,AR96*AR97,0)))</f>
        <v>0</v>
      </c>
      <c r="AS100" s="64">
        <f>IF(AND(AS96=0,AS97=0),0,IF(AS96&lt;=0,0,IF(WEEKDAY(AS$6,1)=1,AS96*AS97,0)))</f>
        <v>0</v>
      </c>
      <c r="AT100" s="63">
        <f>IF(AND(AT96=0,AT97=0),0,IF(AT96&lt;=0,0,IF(WEEKDAY(AT$6,1)=1,AT96*AT97,0)))</f>
        <v>0</v>
      </c>
      <c r="AU100" s="63">
        <f>IF(AND(AU96=0,AU97=0),0,IF(AU96&lt;=0,0,IF(WEEKDAY(AU$6,1)=1,AU96*AU97,0)))</f>
        <v>0</v>
      </c>
      <c r="AV100" s="63">
        <f>IF(AND(AV96=0,AV97=0),0,IF(AV96&lt;=0,0,IF(WEEKDAY(AV$6,1)=1,AV96*AV97,0)))</f>
        <v>0</v>
      </c>
      <c r="AW100" s="63">
        <f>IF(AND(AW96=0,AW97=0),0,IF(AW96&lt;=0,0,IF(WEEKDAY(AW$6,1)=1,AW96*AW97,0)))</f>
        <v>0</v>
      </c>
      <c r="AX100" s="63">
        <f>IF(AND(AX96=0,AX97=0),0,IF(AX96&lt;=0,0,IF(WEEKDAY(AX$6,1)=1,AX96*AX97,0)))</f>
        <v>0</v>
      </c>
      <c r="AY100" s="64">
        <f>IF(AND(AY96=0,AY97=0),0,IF(AY96&lt;=0,0,IF(WEEKDAY(AY$6,1)=1,AY96*AY97,0)))</f>
        <v>0</v>
      </c>
      <c r="AZ100" s="64">
        <f>IF(AND(AZ96=0,AZ97=0),0,IF(AZ96&lt;=0,0,IF(WEEKDAY(AZ$6,1)=1,AZ96*AZ97,0)))</f>
        <v>0</v>
      </c>
      <c r="BA100" s="63">
        <f>IF(AND(BA96=0,BA97=0),0,IF(BA96&lt;=0,0,IF(WEEKDAY(BA$6,1)=1,BA96*BA97,0)))</f>
        <v>0</v>
      </c>
      <c r="BB100" s="63">
        <f>IF(AND(BB96=0,BB97=0),0,IF(BB96&lt;=0,0,IF(WEEKDAY(BB$6,1)=1,BB96*BB97,0)))</f>
        <v>0</v>
      </c>
      <c r="BC100" s="63">
        <f>IF(AND(BC96=0,BC97=0),0,IF(BC96&lt;=0,0,IF(WEEKDAY(BC$6,1)=1,BC96*BC97,0)))</f>
        <v>0</v>
      </c>
      <c r="BD100" s="63">
        <f>IF(AND(BD96=0,BD97=0),0,IF(BD96&lt;=0,0,IF(WEEKDAY(BD$6,1)=1,BD96*BD97,0)))</f>
        <v>0</v>
      </c>
      <c r="BE100" s="63">
        <f>IF(AND(BE96=0,BE97=0),0,IF(BE96&lt;=0,0,IF(WEEKDAY(BE$6,1)=1,BE96*BE97,0)))</f>
        <v>0</v>
      </c>
      <c r="BF100" s="64">
        <f>IF(AND(BF96=0,BF97=0),0,IF(BF96&lt;=0,0,IF(WEEKDAY(BF$6,1)=1,BF96*BF97,0)))</f>
        <v>0</v>
      </c>
      <c r="BG100" s="64">
        <f>IF(AND(BG96=0,BG97=0),0,IF(BG96&lt;=0,0,IF(WEEKDAY(BG$6,1)=1,BG96*BG97,0)))</f>
        <v>0</v>
      </c>
      <c r="BH100" s="63">
        <f>IF(AND(BH96=2,BH97=10),0,IF(BH96&lt;=0,0,IF(WEEKDAY(BH$6,1)=1,BH96*BH97,0)))</f>
        <v>0</v>
      </c>
      <c r="BI100" s="63">
        <f>IF(AND(BI96=2,BI97=10),0,IF(BI96&lt;=0,0,IF(WEEKDAY(BI$6,1)=1,BI96*BI97,0)))</f>
        <v>0</v>
      </c>
      <c r="BJ100" s="63">
        <f>IF(AND(BJ96=2,BJ97=10),0,IF(BJ96&lt;=0,0,IF(WEEKDAY(BJ$6,1)=1,BJ96*BJ97,0)))</f>
        <v>0</v>
      </c>
      <c r="BK100" s="63">
        <f>IF(AND(BK96=2,BK97=10),0,IF(BK96&lt;=0,0,IF(WEEKDAY(BK$6,1)=1,BK96*BK97,0)))</f>
        <v>0</v>
      </c>
      <c r="BL100" s="63">
        <f>IF(AND(BL96=2,BL97=10),0,IF(BL96&lt;=0,0,IF(WEEKDAY(BL$6,1)=1,BL96*BL97,0)))</f>
        <v>0</v>
      </c>
      <c r="BM100" s="64">
        <f>IF(AND(BM96=2,BM97=10),0,IF(BM96&lt;=0,0,IF(WEEKDAY(BM$6,1)=1,BM96*BM97,0)))</f>
        <v>0</v>
      </c>
      <c r="BN100" s="64">
        <f>IF(AND(BN96=2,BN97=10),20,IF(BN96&lt;=0,0,IF(WEEKDAY(BN$6,1)=1,BN96*BN97,0)))</f>
        <v>20</v>
      </c>
      <c r="BO100" s="63">
        <f>IF(AND(BO96=2,BO97=10),0,IF(BO96&lt;=0,0,IF(WEEKDAY(BO$6,1)=1,BO96*BO97,0)))</f>
        <v>0</v>
      </c>
      <c r="BP100" s="63">
        <f>IF(AND(BP96=2,BP97=10),0,IF(BP96&lt;=0,0,IF(WEEKDAY(BP$6,1)=1,BP96*BP97,0)))</f>
        <v>0</v>
      </c>
      <c r="BQ100" s="63">
        <f>IF(AND(BQ96=2,BQ97=10),0,IF(BQ96&lt;=0,0,IF(WEEKDAY(BQ$6,1)=1,BQ96*BQ97,0)))</f>
        <v>0</v>
      </c>
      <c r="BR100" s="63">
        <f>IF(AND(BR96=2,BR97=10),0,IF(BR96&lt;=0,0,IF(WEEKDAY(BR$6,1)=1,BR96*BR97,0)))</f>
        <v>0</v>
      </c>
      <c r="BS100" s="63">
        <f>IF(AND(BS96=2,BS97=10),0,IF(BS96&lt;=0,0,IF(WEEKDAY(BS$6,1)=1,BS96*BS97,0)))</f>
        <v>0</v>
      </c>
      <c r="BT100" s="64">
        <f>IF(AND(BT96=2,BT97=10),0,IF(BT96&lt;=0,0,IF(WEEKDAY(BT$6,1)=1,BT96*BT97,0)))</f>
        <v>0</v>
      </c>
      <c r="BU100" s="64">
        <f>IF(AND(BU96=2,BU97=10),20,IF(BU96&lt;=0,0,IF(WEEKDAY(BU$6,1)=1,BU96*BU97,0)))</f>
        <v>20</v>
      </c>
      <c r="BV100" s="63">
        <f>IF(AND(BV96=2,BV97=10),0,IF(BV96&lt;=0,0,IF(WEEKDAY(BV$6,1)=1,BV96*BV97,0)))</f>
        <v>0</v>
      </c>
      <c r="BW100" s="63">
        <f>IF(AND(BW96=2,BW97=10),0,IF(BW96&lt;=0,0,IF(WEEKDAY(BW$6,1)=1,BW96*BW97,0)))</f>
        <v>0</v>
      </c>
      <c r="BX100" s="63">
        <f>IF(AND(BX96=2,BX97=10),0,IF(BX96&lt;=0,0,IF(WEEKDAY(BX$6,1)=1,BX96*BX97,0)))</f>
        <v>0</v>
      </c>
      <c r="BY100" s="63">
        <f>IF(AND(BY96=2,BY97=10),0,IF(BY96&lt;=0,0,IF(WEEKDAY(BY$6,1)=1,BY96*BY97,0)))</f>
        <v>0</v>
      </c>
      <c r="BZ100" s="63">
        <f>IF(AND(BZ96=2,BZ97=10),0,IF(BZ96&lt;=0,0,IF(WEEKDAY(BZ$6,1)=1,BZ96*BZ97,0)))</f>
        <v>0</v>
      </c>
      <c r="CA100" s="64">
        <f>IF(AND(CA96=2,CA97=10),0,IF(CA96&lt;=0,0,IF(WEEKDAY(CA$6,1)=1,CA96*CA97,0)))</f>
        <v>0</v>
      </c>
      <c r="CB100" s="64">
        <f>IF(AND(CB96=2,CB97=10),20,IF(CB96&lt;=0,0,IF(WEEKDAY(CB$6,1)=1,CB96*CB97,0)))</f>
        <v>20</v>
      </c>
      <c r="CC100" s="63">
        <f>IF(AND(CC96=2,CC97=10),0,IF(CC96&lt;=0,0,IF(WEEKDAY(CC$6,1)=1,CC96*CC97,0)))</f>
        <v>0</v>
      </c>
      <c r="CD100" s="63">
        <f>IF(AND(CD96=2,CD97=10),0,IF(CD96&lt;=0,0,IF(WEEKDAY(CD$6,1)=1,CD96*CD97,0)))</f>
        <v>0</v>
      </c>
      <c r="CE100" s="63">
        <f>IF(AND(CE96=2,CE97=10),0,IF(CE96&lt;=0,0,IF(WEEKDAY(CE$6,1)=1,CE96*CE97,0)))</f>
        <v>0</v>
      </c>
      <c r="CF100" s="63">
        <f>IF(AND(CF96=2,CF97=10),0,IF(CF96&lt;=0,0,IF(WEEKDAY(CF$6,1)=1,CF96*CF97,0)))</f>
        <v>0</v>
      </c>
      <c r="CG100" s="63">
        <f>IF(AND(CG96=2,CG97=10),0,IF(CG96&lt;=0,0,IF(WEEKDAY(CG$6,1)=1,CG96*CG97,0)))</f>
        <v>0</v>
      </c>
      <c r="CH100" s="64">
        <f>IF(AND(CH96=2,CH97=10),0,IF(CH96&lt;=0,0,IF(WEEKDAY(CH$6,1)=1,CH96*CH97,0)))</f>
        <v>0</v>
      </c>
      <c r="CI100" s="64">
        <f>IF(AND(CI96=2,CI97=10),20,IF(CI96&lt;=0,0,IF(WEEKDAY(CI$6,1)=1,CI96*CI97,0)))</f>
        <v>20</v>
      </c>
      <c r="CJ100" s="63">
        <f>IF(AND(CJ96=2,CJ97=10),0,IF(CJ96&lt;=0,0,IF(WEEKDAY(CJ$6,1)=1,CJ96*CJ97,0)))</f>
        <v>0</v>
      </c>
      <c r="CK100" s="63">
        <f>IF(AND(CK96=2,CK97=10),0,IF(CK96&lt;=0,0,IF(WEEKDAY(CK$6,1)=1,CK96*CK97,0)))</f>
        <v>0</v>
      </c>
      <c r="CL100" s="63">
        <f>IF(AND(CL96=2,CL97=10),0,IF(CL96&lt;=0,0,IF(WEEKDAY(CL$6,1)=1,CL96*CL97,0)))</f>
        <v>0</v>
      </c>
      <c r="CM100" s="63">
        <f>IF(AND(CM96=2,CM97=10),0,IF(CM96&lt;=0,0,IF(WEEKDAY(CM$6,1)=1,CM96*CM97,0)))</f>
        <v>0</v>
      </c>
      <c r="CN100" s="63">
        <f>IF(AND(CN96=2,CN97=10),0,IF(CN96&lt;=0,0,IF(WEEKDAY(CN$6,1)=1,CN96*CN97,0)))</f>
        <v>0</v>
      </c>
      <c r="CO100" s="64">
        <f>IF(AND(CO96=2,CO97=10),0,IF(CO96&lt;=0,0,IF(WEEKDAY(CO$6,1)=1,CO96*CO97,0)))</f>
        <v>0</v>
      </c>
      <c r="CP100" s="64">
        <f>IF(AND(CP96=2,CP97=10),20,IF(CP96&lt;=0,0,IF(WEEKDAY(CP$6,1)=1,CP96*CP97,0)))</f>
        <v>20</v>
      </c>
      <c r="CQ100" s="63">
        <f>IF(AND(CQ96=2,CQ97=10),0,IF(CQ96&lt;=0,0,IF(WEEKDAY(CQ$6,1)=1,CQ96*CQ97,0)))</f>
        <v>0</v>
      </c>
      <c r="CR100" s="63">
        <f>IF(AND(CR96=2,CR97=10),0,IF(CR96&lt;=0,0,IF(WEEKDAY(CR$6,1)=1,CR96*CR97,0)))</f>
        <v>0</v>
      </c>
      <c r="CS100" s="63">
        <f>IF(AND(CS96=2,CS97=10),0,IF(CS96&lt;=0,0,IF(WEEKDAY(CS$6,1)=1,CS96*CS97,0)))</f>
        <v>0</v>
      </c>
      <c r="CT100" s="63">
        <f>IF(AND(CT96=2,CT97=10),0,IF(CT96&lt;=0,0,IF(WEEKDAY(CT$6,1)=1,CT96*CT97,0)))</f>
        <v>0</v>
      </c>
      <c r="CU100" s="63">
        <f>IF(AND(CU96=2,CU97=10),0,IF(CU96&lt;=0,0,IF(WEEKDAY(CU$6,1)=1,CU96*CU97,0)))</f>
        <v>0</v>
      </c>
      <c r="CV100" s="64">
        <f>IF(AND(CV96=2,CV97=10),0,IF(CV96&lt;=0,0,IF(WEEKDAY(CV$6,1)=1,CV96*CV97,0)))</f>
        <v>0</v>
      </c>
      <c r="CW100" s="64">
        <f>IF(AND(CW96=2,CW97=10),20,IF(CW96&lt;=0,0,IF(WEEKDAY(CW$6,1)=1,CW96*CW97,0)))</f>
        <v>20</v>
      </c>
      <c r="CX100" s="63">
        <f>IF(AND(CX96=2,CX97=10),0,IF(CX96&lt;=0,0,IF(WEEKDAY(CX$6,1)=1,CX96*CX97,0)))</f>
        <v>0</v>
      </c>
      <c r="CY100" s="63">
        <f>IF(AND(CY96=2,CY97=10),0,IF(CY96&lt;=0,0,IF(WEEKDAY(CY$6,1)=1,CY96*CY97,0)))</f>
        <v>0</v>
      </c>
      <c r="CZ100" s="63">
        <f>IF(AND(CZ96=2,CZ97=10),0,IF(CZ96&lt;=0,0,IF(WEEKDAY(CZ$6,1)=1,CZ96*CZ97,0)))</f>
        <v>0</v>
      </c>
      <c r="DA100" s="63">
        <f>IF(AND(DA96=2,DA97=10),0,IF(DA96&lt;=0,0,IF(WEEKDAY(DA$6,1)=1,DA96*DA97,0)))</f>
        <v>0</v>
      </c>
      <c r="DB100" s="63">
        <f>IF(AND(DB96=2,DB97=10),0,IF(DB96&lt;=0,0,IF(WEEKDAY(DB$6,1)=1,DB96*DB97,0)))</f>
        <v>0</v>
      </c>
      <c r="DC100" s="64">
        <f>IF(AND(DC96=2,DC97=10),0,IF(DC96&lt;=0,0,IF(WEEKDAY(DC$6,1)=1,DC96*DC97,0)))</f>
        <v>0</v>
      </c>
      <c r="DD100" s="64">
        <f>IF(AND(DD96=2,DD97=10),20,IF(DD96&lt;=0,0,IF(WEEKDAY(DD$6,1)=1,DD96*DD97,0)))</f>
        <v>20</v>
      </c>
      <c r="DE100" s="63">
        <f>IF(AND(DE96=2,DE97=10),0,IF(DE96&lt;=0,0,IF(WEEKDAY(DE$6,1)=1,DE96*DE97,0)))</f>
        <v>0</v>
      </c>
      <c r="DF100" s="63">
        <f>IF(AND(DF96=2,DF97=10),0,IF(DF96&lt;=0,0,IF(WEEKDAY(DF$6,1)=1,DF96*DF97,0)))</f>
        <v>0</v>
      </c>
      <c r="DG100" s="63">
        <f>IF(AND(DG96=2,DG97=10),0,IF(DG96&lt;=0,0,IF(WEEKDAY(DG$6,1)=1,DG96*DG97,0)))</f>
        <v>0</v>
      </c>
      <c r="DH100" s="63">
        <f>IF(AND(DH96=2,DH97=10),0,IF(DH96&lt;=0,0,IF(WEEKDAY(DH$6,1)=1,DH96*DH97,0)))</f>
        <v>0</v>
      </c>
      <c r="DI100" s="63">
        <f>IF(AND(DI96=2,DI97=10),0,IF(DI96&lt;=0,0,IF(WEEKDAY(DI$6,1)=1,DI96*DI97,0)))</f>
        <v>0</v>
      </c>
      <c r="DJ100" s="64">
        <f>IF(AND(DJ96=2,DJ97=10),0,IF(DJ96&lt;=0,0,IF(WEEKDAY(DJ$6,1)=1,DJ96*DJ97,0)))</f>
        <v>0</v>
      </c>
      <c r="DK100" s="64">
        <f>IF(AND(DK96=2,DK97=10),20,IF(DK96&lt;=0,0,IF(WEEKDAY(DK$6,1)=1,DK96*DK97,0)))</f>
        <v>20</v>
      </c>
      <c r="DL100" s="63">
        <f>IF(AND(DL96=2,DL97=10),0,IF(DL96&lt;=0,0,IF(WEEKDAY(DL$6,1)=1,DL96*DL97,0)))</f>
        <v>0</v>
      </c>
      <c r="DM100" s="63">
        <f>IF(AND(DM96=2,DM97=10),0,IF(DM96&lt;=0,0,IF(WEEKDAY(DM$6,1)=1,DM96*DM97,0)))</f>
        <v>0</v>
      </c>
      <c r="DN100" s="63">
        <f>IF(AND(DN96=2,DN97=10),0,IF(DN96&lt;=0,0,IF(WEEKDAY(DN$6,1)=1,DN96*DN97,0)))</f>
        <v>0</v>
      </c>
      <c r="DO100" s="63">
        <f>IF(AND(DO96=2,DO97=10),0,IF(DO96&lt;=0,0,IF(WEEKDAY(DO$6,1)=1,DO96*DO97,0)))</f>
        <v>0</v>
      </c>
      <c r="DP100" s="63">
        <f>IF(AND(DP96=2,DP97=10),0,IF(DP96&lt;=0,0,IF(WEEKDAY(DP$6,1)=1,DP96*DP97,0)))</f>
        <v>0</v>
      </c>
      <c r="DQ100" s="64">
        <f>IF(AND(DQ96=2,DQ97=10),0,IF(DQ96&lt;=0,0,IF(WEEKDAY(DQ$6,1)=1,DQ96*DQ97,0)))</f>
        <v>0</v>
      </c>
      <c r="DR100" s="64">
        <f>IF(AND(DR96=2,DR97=10),20,IF(DR96&lt;=0,0,IF(WEEKDAY(DR$6,1)=1,DR96*DR97,0)))</f>
        <v>20</v>
      </c>
      <c r="DS100" s="63">
        <f>IF(AND(DS96=2,DS97=10),0,IF(DS96&lt;=0,0,IF(WEEKDAY(DS$6,1)=1,DS96*DS97,0)))</f>
        <v>0</v>
      </c>
      <c r="DT100" s="63">
        <f>IF(AND(DT96=0,DT97=0),0,IF(DT96&lt;=0,0,IF(WEEKDAY(DT$6,1)=1,DT96*DT97,0)))</f>
        <v>0</v>
      </c>
      <c r="DU100" s="63">
        <f>IF(AND(DU96=0,DU97=0),0,IF(DU96&lt;=0,0,IF(WEEKDAY(DU$6,1)=1,DU96*DU97,0)))</f>
        <v>0</v>
      </c>
      <c r="DV100" s="63">
        <f>IF(AND(DV96=0,DV97=0),0,IF(DV96&lt;=0,0,IF(WEEKDAY(DV$6,1)=1,DV96*DV97,0)))</f>
        <v>0</v>
      </c>
      <c r="DW100" s="63">
        <f>IF(AND(DW96=0,DW97=0),0,IF(DW96&lt;=0,0,IF(WEEKDAY(DW$6,1)=1,DW96*DW97,0)))</f>
        <v>0</v>
      </c>
      <c r="DX100" s="64">
        <f>IF(AND(DX96=0,DX97=0),0,IF(DX96&lt;=0,0,IF(WEEKDAY(DX$6,1)=1,DX96*DX97,0)))</f>
        <v>0</v>
      </c>
      <c r="DY100" s="64">
        <f>IF(AND(DY96=0,DY97=0),0,IF(DY96&lt;=0,0,IF(WEEKDAY(DY$6,1)=1,DY96*DY97,0)))</f>
        <v>0</v>
      </c>
      <c r="DZ100" s="63">
        <f>IF(AND(DZ96=0,DZ97=0),0,IF(DZ96&lt;=0,0,IF(WEEKDAY(DZ$6,1)=1,DZ96*DZ97,0)))</f>
        <v>0</v>
      </c>
      <c r="EA100" s="63">
        <f>IF(AND(EA96=0,EA97=0),0,IF(EA96&lt;=0,0,IF(WEEKDAY(EA$6,1)=1,EA96*EA97,0)))</f>
        <v>0</v>
      </c>
      <c r="EB100" s="63">
        <f>IF(AND(EB96=0,EB97=0),0,IF(EB96&lt;=0,0,IF(WEEKDAY(EB$6,1)=1,EB96*EB97,0)))</f>
        <v>0</v>
      </c>
      <c r="EC100" s="63">
        <f>IF(AND(EC96=0,EC97=0),0,IF(EC96&lt;=0,0,IF(WEEKDAY(EC$6,1)=1,EC96*EC97,0)))</f>
        <v>0</v>
      </c>
      <c r="ED100" s="63">
        <f>IF(AND(ED96=0,ED97=0),0,IF(ED96&lt;=0,0,IF(WEEKDAY(ED$6,1)=1,ED96*ED97,0)))</f>
        <v>0</v>
      </c>
      <c r="EE100" s="64">
        <f>IF(AND(EE96=0,EE97=0),0,IF(EE96&lt;=0,0,IF(WEEKDAY(EE$6,1)=1,EE96*EE97,0)))</f>
        <v>0</v>
      </c>
      <c r="EF100" s="64">
        <f>IF(AND(EF96=0,EF97=0),0,IF(EF96&lt;=0,0,IF(WEEKDAY(EF$6,1)=1,EF96*EF97,0)))</f>
        <v>0</v>
      </c>
      <c r="EG100" s="63">
        <f>IF(AND(EG96=0,EG97=0),0,IF(EG96&lt;=0,0,IF(WEEKDAY(EG$6,1)=1,EG96*EG97,0)))</f>
        <v>0</v>
      </c>
      <c r="EH100" s="63">
        <f>IF(AND(EH96=0,EH97=0),0,IF(EH96&lt;=0,0,IF(WEEKDAY(EH$6,1)=1,EH96*EH97,0)))</f>
        <v>0</v>
      </c>
      <c r="EI100" s="63">
        <f>IF(AND(EI96=0,EI97=0),0,IF(EI96&lt;=0,0,IF(WEEKDAY(EI$6,1)=1,EI96*EI97,0)))</f>
        <v>0</v>
      </c>
      <c r="EJ100" s="63">
        <f>IF(AND(EJ96=0,EJ97=0),0,IF(EJ96&lt;=0,0,IF(WEEKDAY(EJ$6,1)=1,EJ96*EJ97,0)))</f>
        <v>0</v>
      </c>
      <c r="EK100" s="65">
        <f>IF(AND(EK96=0,EK97=0),0,IF(EK96&lt;=0,0,IF(WEEKDAY(EK$6,1)=1,EK96*EK97,0)))</f>
        <v>0</v>
      </c>
      <c r="OU100" s="28" t="s">
        <v>135</v>
      </c>
    </row>
    <row r="101" ht="16" customHeight="1" spans="1:411" x14ac:dyDescent="0.25">
      <c r="A101" s="74"/>
      <c r="B101" s="79"/>
      <c r="C101" s="67">
        <f>I95*D101</f>
        <v>0</v>
      </c>
      <c r="D101" s="67">
        <v>130</v>
      </c>
      <c r="E101" s="68" t="s">
        <v>65</v>
      </c>
      <c r="F101" s="49"/>
      <c r="G101" s="49"/>
      <c r="H101" s="49"/>
      <c r="I101" s="49"/>
      <c r="J101" s="50"/>
      <c r="K101" s="69">
        <v>0</v>
      </c>
      <c r="L101" s="70">
        <v>0</v>
      </c>
      <c r="M101" s="70">
        <v>0</v>
      </c>
      <c r="N101" s="70">
        <v>0</v>
      </c>
      <c r="O101" s="70">
        <v>0</v>
      </c>
      <c r="P101" s="71">
        <v>0</v>
      </c>
      <c r="Q101" s="71">
        <v>0</v>
      </c>
      <c r="R101" s="70">
        <v>0</v>
      </c>
      <c r="S101" s="70">
        <v>0</v>
      </c>
      <c r="T101" s="70">
        <v>0</v>
      </c>
      <c r="U101" s="70">
        <v>0</v>
      </c>
      <c r="V101" s="70">
        <v>0</v>
      </c>
      <c r="W101" s="71">
        <v>0</v>
      </c>
      <c r="X101" s="71">
        <v>0</v>
      </c>
      <c r="Y101" s="70">
        <v>0</v>
      </c>
      <c r="Z101" s="70">
        <v>0</v>
      </c>
      <c r="AA101" s="70">
        <v>0</v>
      </c>
      <c r="AB101" s="70">
        <v>0</v>
      </c>
      <c r="AC101" s="70">
        <v>0</v>
      </c>
      <c r="AD101" s="71">
        <v>0</v>
      </c>
      <c r="AE101" s="71">
        <v>0</v>
      </c>
      <c r="AF101" s="70">
        <v>0</v>
      </c>
      <c r="AG101" s="70">
        <v>0</v>
      </c>
      <c r="AH101" s="70">
        <v>0</v>
      </c>
      <c r="AI101" s="70">
        <v>0</v>
      </c>
      <c r="AJ101" s="70">
        <v>0</v>
      </c>
      <c r="AK101" s="71">
        <v>0</v>
      </c>
      <c r="AL101" s="71">
        <v>0</v>
      </c>
      <c r="AM101" s="70">
        <v>0</v>
      </c>
      <c r="AN101" s="70">
        <v>0</v>
      </c>
      <c r="AO101" s="70">
        <v>0</v>
      </c>
      <c r="AP101" s="70">
        <v>0</v>
      </c>
      <c r="AQ101" s="70">
        <v>0</v>
      </c>
      <c r="AR101" s="71">
        <v>0</v>
      </c>
      <c r="AS101" s="71">
        <v>0</v>
      </c>
      <c r="AT101" s="70">
        <v>0</v>
      </c>
      <c r="AU101" s="70">
        <v>0</v>
      </c>
      <c r="AV101" s="70">
        <v>0</v>
      </c>
      <c r="AW101" s="70">
        <v>0</v>
      </c>
      <c r="AX101" s="70">
        <v>0</v>
      </c>
      <c r="AY101" s="71">
        <v>0</v>
      </c>
      <c r="AZ101" s="71">
        <v>0</v>
      </c>
      <c r="BA101" s="70">
        <v>0</v>
      </c>
      <c r="BB101" s="70">
        <v>0</v>
      </c>
      <c r="BC101" s="70">
        <v>0</v>
      </c>
      <c r="BD101" s="70">
        <v>0</v>
      </c>
      <c r="BE101" s="70">
        <v>0</v>
      </c>
      <c r="BF101" s="71">
        <v>0</v>
      </c>
      <c r="BG101" s="71">
        <v>0</v>
      </c>
      <c r="BH101" s="70">
        <v>0</v>
      </c>
      <c r="BI101" s="70">
        <v>0</v>
      </c>
      <c r="BJ101" s="70">
        <v>0</v>
      </c>
      <c r="BK101" s="70">
        <v>0</v>
      </c>
      <c r="BL101" s="70">
        <v>0</v>
      </c>
      <c r="BM101" s="71">
        <v>0</v>
      </c>
      <c r="BN101" s="71">
        <v>0</v>
      </c>
      <c r="BO101" s="70">
        <v>0</v>
      </c>
      <c r="BP101" s="70">
        <v>0</v>
      </c>
      <c r="BQ101" s="70">
        <v>0</v>
      </c>
      <c r="BR101" s="70">
        <v>0</v>
      </c>
      <c r="BS101" s="70">
        <v>0</v>
      </c>
      <c r="BT101" s="71">
        <v>0</v>
      </c>
      <c r="BU101" s="71">
        <v>0</v>
      </c>
      <c r="BV101" s="70">
        <v>0</v>
      </c>
      <c r="BW101" s="70">
        <v>0</v>
      </c>
      <c r="BX101" s="70">
        <v>0</v>
      </c>
      <c r="BY101" s="70">
        <v>0</v>
      </c>
      <c r="BZ101" s="70">
        <v>0</v>
      </c>
      <c r="CA101" s="71">
        <v>0</v>
      </c>
      <c r="CB101" s="71">
        <v>0</v>
      </c>
      <c r="CC101" s="70">
        <v>0</v>
      </c>
      <c r="CD101" s="70">
        <v>0</v>
      </c>
      <c r="CE101" s="70">
        <v>0</v>
      </c>
      <c r="CF101" s="70">
        <v>0</v>
      </c>
      <c r="CG101" s="70">
        <v>0</v>
      </c>
      <c r="CH101" s="71">
        <v>0</v>
      </c>
      <c r="CI101" s="71">
        <v>0</v>
      </c>
      <c r="CJ101" s="70">
        <v>0</v>
      </c>
      <c r="CK101" s="70">
        <v>0</v>
      </c>
      <c r="CL101" s="70">
        <v>0</v>
      </c>
      <c r="CM101" s="70">
        <v>0</v>
      </c>
      <c r="CN101" s="70">
        <v>0</v>
      </c>
      <c r="CO101" s="71">
        <v>0</v>
      </c>
      <c r="CP101" s="71">
        <v>0</v>
      </c>
      <c r="CQ101" s="70">
        <v>0</v>
      </c>
      <c r="CR101" s="70">
        <v>0</v>
      </c>
      <c r="CS101" s="70">
        <v>0</v>
      </c>
      <c r="CT101" s="70">
        <v>0</v>
      </c>
      <c r="CU101" s="70">
        <v>0</v>
      </c>
      <c r="CV101" s="71">
        <v>0</v>
      </c>
      <c r="CW101" s="71">
        <v>0</v>
      </c>
      <c r="CX101" s="70">
        <v>0</v>
      </c>
      <c r="CY101" s="70">
        <v>0</v>
      </c>
      <c r="CZ101" s="70">
        <v>0</v>
      </c>
      <c r="DA101" s="70">
        <v>0</v>
      </c>
      <c r="DB101" s="70">
        <v>0</v>
      </c>
      <c r="DC101" s="71">
        <v>0</v>
      </c>
      <c r="DD101" s="71">
        <v>0</v>
      </c>
      <c r="DE101" s="70">
        <v>0</v>
      </c>
      <c r="DF101" s="70">
        <v>0</v>
      </c>
      <c r="DG101" s="70">
        <v>0</v>
      </c>
      <c r="DH101" s="70">
        <v>0</v>
      </c>
      <c r="DI101" s="70">
        <v>0</v>
      </c>
      <c r="DJ101" s="71">
        <v>0</v>
      </c>
      <c r="DK101" s="71">
        <v>0</v>
      </c>
      <c r="DL101" s="70">
        <v>0</v>
      </c>
      <c r="DM101" s="70">
        <v>0</v>
      </c>
      <c r="DN101" s="70">
        <v>0</v>
      </c>
      <c r="DO101" s="70">
        <v>0</v>
      </c>
      <c r="DP101" s="70">
        <v>0</v>
      </c>
      <c r="DQ101" s="71">
        <v>0</v>
      </c>
      <c r="DR101" s="71">
        <v>0</v>
      </c>
      <c r="DS101" s="70">
        <v>0</v>
      </c>
      <c r="DT101" s="70">
        <v>0</v>
      </c>
      <c r="DU101" s="70">
        <v>0</v>
      </c>
      <c r="DV101" s="70">
        <v>0</v>
      </c>
      <c r="DW101" s="70">
        <v>0</v>
      </c>
      <c r="DX101" s="71">
        <v>0</v>
      </c>
      <c r="DY101" s="71">
        <v>0</v>
      </c>
      <c r="DZ101" s="70">
        <v>0</v>
      </c>
      <c r="EA101" s="70">
        <v>0</v>
      </c>
      <c r="EB101" s="70">
        <v>0</v>
      </c>
      <c r="EC101" s="70">
        <v>0</v>
      </c>
      <c r="ED101" s="70">
        <v>0</v>
      </c>
      <c r="EE101" s="71">
        <v>0</v>
      </c>
      <c r="EF101" s="71">
        <v>0</v>
      </c>
      <c r="EG101" s="70">
        <v>0</v>
      </c>
      <c r="EH101" s="70">
        <v>0</v>
      </c>
      <c r="EI101" s="70">
        <v>0</v>
      </c>
      <c r="EJ101" s="70">
        <v>0</v>
      </c>
      <c r="EK101" s="72">
        <v>0</v>
      </c>
      <c r="OU101" s="60" t="s">
        <v>135</v>
      </c>
    </row>
    <row r="102" ht="16" customHeight="1" spans="1:411" x14ac:dyDescent="0.25">
      <c r="A102" s="16" t="s">
        <v>104</v>
      </c>
      <c r="B102" s="17"/>
      <c r="C102" s="75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5">
        <f>SUM(J7,J15,J23,J31,J39,J47,J55,J63,J71,J79,J87,J95)</f>
        <v>1458181.87</v>
      </c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  <c r="BH102" s="76"/>
      <c r="BI102" s="76"/>
      <c r="BJ102" s="76"/>
      <c r="BK102" s="76"/>
      <c r="BL102" s="76"/>
      <c r="BM102" s="76"/>
      <c r="BN102" s="76"/>
      <c r="BO102" s="76"/>
      <c r="BP102" s="76"/>
      <c r="BQ102" s="76"/>
      <c r="BR102" s="76"/>
      <c r="BS102" s="76"/>
      <c r="BT102" s="76"/>
      <c r="BU102" s="76"/>
      <c r="BV102" s="76"/>
      <c r="BW102" s="76"/>
      <c r="BX102" s="76"/>
      <c r="BY102" s="76"/>
      <c r="BZ102" s="76"/>
      <c r="CA102" s="76"/>
      <c r="CB102" s="76"/>
      <c r="CC102" s="76"/>
      <c r="CD102" s="76"/>
      <c r="CE102" s="76"/>
      <c r="CF102" s="76"/>
      <c r="CG102" s="76"/>
      <c r="CH102" s="76"/>
      <c r="CI102" s="76"/>
      <c r="CJ102" s="76"/>
      <c r="CK102" s="76"/>
      <c r="CL102" s="76"/>
      <c r="CM102" s="76"/>
      <c r="CN102" s="76"/>
      <c r="CO102" s="76"/>
      <c r="CP102" s="76"/>
      <c r="CQ102" s="76"/>
      <c r="CR102" s="76"/>
      <c r="CS102" s="76"/>
      <c r="CT102" s="76"/>
      <c r="CU102" s="76"/>
      <c r="CV102" s="76"/>
      <c r="CW102" s="76"/>
      <c r="CX102" s="76"/>
      <c r="CY102" s="76"/>
      <c r="CZ102" s="76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76"/>
      <c r="DN102" s="76"/>
      <c r="DO102" s="76"/>
      <c r="DP102" s="76"/>
      <c r="DQ102" s="76"/>
      <c r="DR102" s="76"/>
      <c r="DS102" s="76"/>
      <c r="DT102" s="76"/>
      <c r="DU102" s="76"/>
      <c r="DV102" s="76"/>
      <c r="DW102" s="76"/>
      <c r="DX102" s="76"/>
      <c r="DY102" s="76"/>
      <c r="DZ102" s="76"/>
      <c r="EA102" s="76"/>
      <c r="EB102" s="76"/>
      <c r="EC102" s="76"/>
      <c r="ED102" s="76"/>
      <c r="EE102" s="76"/>
      <c r="EF102" s="76"/>
      <c r="EG102" s="76"/>
      <c r="EH102" s="76"/>
      <c r="EI102" s="76"/>
      <c r="EJ102" s="76"/>
      <c r="EK102" s="76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dataValidations count="2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23">
      <formula1>=_Lists!$D$1:$D$1</formula1>
    </dataValidation>
    <dataValidation type="list" allowBlank="1" sqref="B27">
      <formula1>=_Lists!$E$1:$E$58</formula1>
    </dataValidation>
    <dataValidation type="list" allowBlank="1" sqref="B31">
      <formula1>=_Lists!$D$1:$D$1</formula1>
    </dataValidation>
    <dataValidation type="list" allowBlank="1" sqref="B35">
      <formula1>=_Lists!$E$1:$E$58</formula1>
    </dataValidation>
    <dataValidation type="list" allowBlank="1" sqref="B39">
      <formula1>=_Lists!$D$1:$D$1</formula1>
    </dataValidation>
    <dataValidation type="list" allowBlank="1" sqref="B43">
      <formula1>=_Lists!$E$1:$E$58</formula1>
    </dataValidation>
    <dataValidation type="list" allowBlank="1" sqref="B47">
      <formula1>=_Lists!$D$1:$D$1</formula1>
    </dataValidation>
    <dataValidation type="list" allowBlank="1" sqref="B51">
      <formula1>=_Lists!$E$1:$E$58</formula1>
    </dataValidation>
    <dataValidation type="list" allowBlank="1" sqref="B55">
      <formula1>=_Lists!$D$1:$D$1</formula1>
    </dataValidation>
    <dataValidation type="list" allowBlank="1" sqref="B59">
      <formula1>=_Lists!$E$1:$E$58</formula1>
    </dataValidation>
    <dataValidation type="list" allowBlank="1" sqref="B63">
      <formula1>=_Lists!$D$1:$D$1</formula1>
    </dataValidation>
    <dataValidation type="list" allowBlank="1" sqref="B67">
      <formula1>=_Lists!$E$1:$E$58</formula1>
    </dataValidation>
    <dataValidation type="list" allowBlank="1" sqref="B7">
      <formula1>=_Lists!$D$1:$D$1</formula1>
    </dataValidation>
    <dataValidation type="list" allowBlank="1" sqref="B71">
      <formula1>=_Lists!$D$1:$D$1</formula1>
    </dataValidation>
    <dataValidation type="list" allowBlank="1" sqref="B75">
      <formula1>=_Lists!$E$1:$E$58</formula1>
    </dataValidation>
    <dataValidation type="list" allowBlank="1" sqref="B79">
      <formula1>=_Lists!$D$1:$D$1</formula1>
    </dataValidation>
    <dataValidation type="list" allowBlank="1" sqref="B83">
      <formula1>=_Lists!$E$1:$E$58</formula1>
    </dataValidation>
    <dataValidation type="list" allowBlank="1" sqref="B87">
      <formula1>=_Lists!$D$1:$D$1</formula1>
    </dataValidation>
    <dataValidation type="list" allowBlank="1" sqref="B91">
      <formula1>=_Lists!$E$1:$E$58</formula1>
    </dataValidation>
    <dataValidation type="list" allowBlank="1" sqref="B95">
      <formula1>=_Lists!$D$1:$D$1</formula1>
    </dataValidation>
    <dataValidation type="list" allowBlank="1" sqref="B99">
      <formula1>=_Lists!$E$1:$E$58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136</v>
      </c>
      <c r="B6" s="24" t="s">
        <v>137</v>
      </c>
      <c r="C6" s="24" t="s">
        <v>138</v>
      </c>
      <c r="D6" s="24" t="s">
        <v>139</v>
      </c>
      <c r="E6" s="24" t="s">
        <v>140</v>
      </c>
      <c r="F6" s="24" t="s">
        <v>141</v>
      </c>
      <c r="G6" s="24" t="s">
        <v>142</v>
      </c>
      <c r="H6" s="24" t="s">
        <v>143</v>
      </c>
    </row>
    <row r="7" ht="16" customHeight="1" spans="1:8" x14ac:dyDescent="0.25">
      <c r="A7" s="12" t="s">
        <v>144</v>
      </c>
      <c r="B7" s="6" t="s">
        <v>145</v>
      </c>
      <c r="C7" s="8">
        <v>12</v>
      </c>
      <c r="D7" s="8">
        <v>5</v>
      </c>
      <c r="E7" s="66">
        <v>1225</v>
      </c>
      <c r="F7" s="66">
        <v>50</v>
      </c>
      <c r="G7" s="66">
        <f>C7*D7*E7+F7</f>
        <v>73550</v>
      </c>
      <c r="H7" s="66">
        <f>G7*1.065</f>
        <v>78330.75</v>
      </c>
    </row>
    <row r="8" ht="16" customHeight="1" spans="1:8" x14ac:dyDescent="0.25">
      <c r="A8" s="29" t="s">
        <v>146</v>
      </c>
      <c r="B8" s="9" t="s">
        <v>145</v>
      </c>
      <c r="C8" s="11">
        <v>1</v>
      </c>
      <c r="D8" s="11">
        <v>5</v>
      </c>
      <c r="E8" s="61">
        <v>2800</v>
      </c>
      <c r="F8" s="61">
        <v>0</v>
      </c>
      <c r="G8" s="61">
        <f>C8*D8*E8+F8</f>
        <v>14000</v>
      </c>
      <c r="H8" s="61">
        <f>G8*1.065</f>
        <v>14910</v>
      </c>
    </row>
    <row r="9" ht="16" customHeight="1" spans="1:8" x14ac:dyDescent="0.25">
      <c r="A9" s="12" t="s">
        <v>147</v>
      </c>
      <c r="B9" s="6" t="s">
        <v>145</v>
      </c>
      <c r="C9" s="8">
        <v>5</v>
      </c>
      <c r="D9" s="8">
        <v>5</v>
      </c>
      <c r="E9" s="66">
        <v>150</v>
      </c>
      <c r="F9" s="66">
        <v>0</v>
      </c>
      <c r="G9" s="66">
        <f>C9*D9*E9+F9</f>
        <v>3750</v>
      </c>
      <c r="H9" s="66">
        <f>G9*1.065</f>
        <v>3993.75</v>
      </c>
    </row>
    <row r="10" ht="16" customHeight="1" spans="1:8" x14ac:dyDescent="0.25">
      <c r="A10" s="29" t="s">
        <v>148</v>
      </c>
      <c r="B10" s="9" t="s">
        <v>145</v>
      </c>
      <c r="C10" s="11">
        <v>2</v>
      </c>
      <c r="D10" s="11">
        <v>5</v>
      </c>
      <c r="E10" s="61">
        <v>895</v>
      </c>
      <c r="F10" s="61">
        <v>50</v>
      </c>
      <c r="G10" s="61">
        <f>C10*D10*E10+F10</f>
        <v>9000</v>
      </c>
      <c r="H10" s="61">
        <f>G10*1.065</f>
        <v>9585</v>
      </c>
    </row>
    <row r="11" ht="16" customHeight="1" spans="1:8" x14ac:dyDescent="0.25">
      <c r="A11" s="12" t="s">
        <v>149</v>
      </c>
      <c r="B11" s="6" t="s">
        <v>145</v>
      </c>
      <c r="C11" s="8">
        <v>4</v>
      </c>
      <c r="D11" s="8">
        <v>5</v>
      </c>
      <c r="E11" s="66">
        <v>627</v>
      </c>
      <c r="F11" s="66">
        <v>100</v>
      </c>
      <c r="G11" s="66">
        <f>C11*D11*E11+F11</f>
        <v>12640</v>
      </c>
      <c r="H11" s="66">
        <f>G11*1.065</f>
        <v>13461.599999999999</v>
      </c>
    </row>
    <row r="12" ht="16" customHeight="1" spans="1:8" x14ac:dyDescent="0.25">
      <c r="A12" s="29" t="s">
        <v>150</v>
      </c>
      <c r="B12" s="9" t="s">
        <v>145</v>
      </c>
      <c r="C12" s="11">
        <v>1.5</v>
      </c>
      <c r="D12" s="11">
        <v>5</v>
      </c>
      <c r="E12" s="61">
        <v>801</v>
      </c>
      <c r="F12" s="61">
        <v>50</v>
      </c>
      <c r="G12" s="61">
        <f>C12*D12*E12+F12</f>
        <v>6057.5</v>
      </c>
      <c r="H12" s="61">
        <f>G12*1.065</f>
        <v>6451.237499999999</v>
      </c>
    </row>
    <row r="13" ht="16" customHeight="1" spans="1:8" x14ac:dyDescent="0.25">
      <c r="A13" s="12" t="s">
        <v>151</v>
      </c>
      <c r="B13" s="6" t="s">
        <v>145</v>
      </c>
      <c r="C13" s="8">
        <v>2.5</v>
      </c>
      <c r="D13" s="8">
        <v>5</v>
      </c>
      <c r="E13" s="66">
        <v>512</v>
      </c>
      <c r="F13" s="66">
        <v>50</v>
      </c>
      <c r="G13" s="66">
        <f>C13*D13*E13+F13</f>
        <v>6450</v>
      </c>
      <c r="H13" s="66">
        <f>G13*1.065</f>
        <v>6869.25</v>
      </c>
    </row>
    <row r="14" ht="16" customHeight="1" spans="1:8" x14ac:dyDescent="0.25">
      <c r="A14" s="29" t="s">
        <v>152</v>
      </c>
      <c r="B14" s="9" t="s">
        <v>145</v>
      </c>
      <c r="C14" s="11">
        <v>5.5</v>
      </c>
      <c r="D14" s="11">
        <v>5</v>
      </c>
      <c r="E14" s="61">
        <v>225</v>
      </c>
      <c r="F14" s="61">
        <v>50</v>
      </c>
      <c r="G14" s="61">
        <f>C14*D14*E14+F14</f>
        <v>6237.5</v>
      </c>
      <c r="H14" s="61">
        <f>G14*1.065</f>
        <v>6642.9375</v>
      </c>
    </row>
    <row r="15" ht="16" customHeight="1" spans="1:8" x14ac:dyDescent="0.25">
      <c r="A15" s="12" t="s">
        <v>153</v>
      </c>
      <c r="B15" s="6" t="s">
        <v>145</v>
      </c>
      <c r="C15" s="8">
        <v>0.45</v>
      </c>
      <c r="D15" s="8">
        <v>5</v>
      </c>
      <c r="E15" s="66">
        <v>6500</v>
      </c>
      <c r="F15" s="66">
        <v>250</v>
      </c>
      <c r="G15" s="66">
        <f>C15*D15*E15+F15</f>
        <v>14875</v>
      </c>
      <c r="H15" s="66">
        <f>G15*1.065</f>
        <v>15841.875</v>
      </c>
    </row>
    <row r="16" ht="16" customHeight="1" spans="1:8" x14ac:dyDescent="0.25">
      <c r="A16" s="29" t="s">
        <v>154</v>
      </c>
      <c r="B16" s="9" t="s">
        <v>145</v>
      </c>
      <c r="C16" s="11">
        <v>1</v>
      </c>
      <c r="D16" s="11">
        <v>3</v>
      </c>
      <c r="E16" s="61">
        <v>847</v>
      </c>
      <c r="F16" s="61">
        <v>100</v>
      </c>
      <c r="G16" s="61">
        <f>C16*D16*E16+F16</f>
        <v>2641</v>
      </c>
      <c r="H16" s="61">
        <f>G16*1.065</f>
        <v>2812.665</v>
      </c>
    </row>
    <row r="17" ht="16" customHeight="1" spans="1:8" x14ac:dyDescent="0.25">
      <c r="A17" s="12" t="s">
        <v>155</v>
      </c>
      <c r="B17" s="6" t="s">
        <v>145</v>
      </c>
      <c r="C17" s="8">
        <v>0.5</v>
      </c>
      <c r="D17" s="8">
        <v>5</v>
      </c>
      <c r="E17" s="66">
        <v>460</v>
      </c>
      <c r="F17" s="66">
        <v>50</v>
      </c>
      <c r="G17" s="66">
        <f>C17*D17*E17+F17</f>
        <v>1200</v>
      </c>
      <c r="H17" s="66">
        <f>G17*1.065</f>
        <v>1278</v>
      </c>
    </row>
    <row r="18" ht="16" customHeight="1" spans="1:8" x14ac:dyDescent="0.25">
      <c r="A18" s="29" t="s">
        <v>156</v>
      </c>
      <c r="B18" s="9" t="s">
        <v>145</v>
      </c>
      <c r="C18" s="11">
        <v>1</v>
      </c>
      <c r="D18" s="11">
        <v>5</v>
      </c>
      <c r="E18" s="61">
        <v>3500</v>
      </c>
      <c r="F18" s="61">
        <v>200</v>
      </c>
      <c r="G18" s="61">
        <f>C18*D18*E18+F18</f>
        <v>17700</v>
      </c>
      <c r="H18" s="61">
        <f>G18*1.065</f>
        <v>18850.5</v>
      </c>
    </row>
    <row r="19" ht="16" customHeight="1" spans="1:8" x14ac:dyDescent="0.25">
      <c r="A19" s="12" t="s">
        <v>157</v>
      </c>
      <c r="B19" s="6" t="s">
        <v>145</v>
      </c>
      <c r="C19" s="8">
        <v>2.2</v>
      </c>
      <c r="D19" s="8">
        <v>5</v>
      </c>
      <c r="E19" s="66">
        <v>1750</v>
      </c>
      <c r="F19" s="66">
        <v>1500</v>
      </c>
      <c r="G19" s="66">
        <f>C19*D19*E19+F19</f>
        <v>20750</v>
      </c>
      <c r="H19" s="66">
        <f>G19*1.065</f>
        <v>22098.75</v>
      </c>
    </row>
    <row r="20" ht="16" customHeight="1" spans="1:8" x14ac:dyDescent="0.25">
      <c r="A20" s="29" t="s">
        <v>158</v>
      </c>
      <c r="B20" s="9" t="s">
        <v>145</v>
      </c>
      <c r="C20" s="11">
        <v>2.5</v>
      </c>
      <c r="D20" s="11">
        <v>5</v>
      </c>
      <c r="E20" s="61">
        <v>1600</v>
      </c>
      <c r="F20" s="61">
        <v>0</v>
      </c>
      <c r="G20" s="61">
        <f>C20*D20*E20+F20</f>
        <v>20000</v>
      </c>
      <c r="H20" s="61">
        <f>G20*1.065</f>
        <v>21300</v>
      </c>
    </row>
    <row r="21" ht="16" customHeight="1" spans="1:8" x14ac:dyDescent="0.25">
      <c r="A21" s="12" t="s">
        <v>159</v>
      </c>
      <c r="B21" s="6" t="s">
        <v>145</v>
      </c>
      <c r="C21" s="8">
        <v>2</v>
      </c>
      <c r="D21" s="8">
        <v>5</v>
      </c>
      <c r="E21" s="66">
        <v>4000</v>
      </c>
      <c r="F21" s="66">
        <v>1200</v>
      </c>
      <c r="G21" s="66">
        <f>C21*D21*E21+F21</f>
        <v>41200</v>
      </c>
      <c r="H21" s="66">
        <f>G21*1.065</f>
        <v>43878</v>
      </c>
    </row>
    <row r="22" ht="16" customHeight="1" spans="1:8" x14ac:dyDescent="0.25">
      <c r="A22" s="29" t="s">
        <v>160</v>
      </c>
      <c r="B22" s="9" t="s">
        <v>145</v>
      </c>
      <c r="C22" s="11">
        <v>2.3</v>
      </c>
      <c r="D22" s="11">
        <v>5</v>
      </c>
      <c r="E22" s="61">
        <v>675</v>
      </c>
      <c r="F22" s="61">
        <v>100</v>
      </c>
      <c r="G22" s="61">
        <f>C22*D22*E22+F22</f>
        <v>7862.5</v>
      </c>
      <c r="H22" s="61">
        <f>G22*1.065</f>
        <v>8373.5625</v>
      </c>
    </row>
    <row r="23" ht="16" customHeight="1" spans="1:8" x14ac:dyDescent="0.25">
      <c r="A23" s="12" t="s">
        <v>161</v>
      </c>
      <c r="B23" s="6" t="s">
        <v>145</v>
      </c>
      <c r="C23" s="8">
        <v>3</v>
      </c>
      <c r="D23" s="8">
        <v>5</v>
      </c>
      <c r="E23" s="66">
        <v>750</v>
      </c>
      <c r="F23" s="66">
        <v>100</v>
      </c>
      <c r="G23" s="66">
        <f>C23*D23*E23+F23</f>
        <v>11350</v>
      </c>
      <c r="H23" s="66">
        <f>G23*1.065</f>
        <v>12087.75</v>
      </c>
    </row>
    <row r="24" ht="16" customHeight="1" spans="1:8" x14ac:dyDescent="0.25">
      <c r="A24" s="29" t="s">
        <v>162</v>
      </c>
      <c r="B24" s="9" t="s">
        <v>145</v>
      </c>
      <c r="C24" s="11">
        <v>1.5</v>
      </c>
      <c r="D24" s="11">
        <v>5</v>
      </c>
      <c r="E24" s="61">
        <v>750</v>
      </c>
      <c r="F24" s="61">
        <v>200</v>
      </c>
      <c r="G24" s="61">
        <f>C24*D24*E24+F24</f>
        <v>5825</v>
      </c>
      <c r="H24" s="61">
        <f>G24*1.065</f>
        <v>6203.625</v>
      </c>
    </row>
    <row r="25" ht="16" customHeight="1" spans="1:8" x14ac:dyDescent="0.25">
      <c r="A25" s="12" t="s">
        <v>163</v>
      </c>
      <c r="B25" s="6" t="s">
        <v>145</v>
      </c>
      <c r="C25" s="8">
        <v>3</v>
      </c>
      <c r="D25" s="8">
        <v>5</v>
      </c>
      <c r="E25" s="66">
        <v>780</v>
      </c>
      <c r="F25" s="66">
        <v>250</v>
      </c>
      <c r="G25" s="66">
        <f>C25*D25*E25+F25</f>
        <v>11950</v>
      </c>
      <c r="H25" s="66">
        <f>G25*1.065</f>
        <v>12726.75</v>
      </c>
    </row>
    <row r="26" ht="16" customHeight="1" spans="1:8" x14ac:dyDescent="0.25">
      <c r="A26" s="29" t="s">
        <v>164</v>
      </c>
      <c r="B26" s="9" t="s">
        <v>145</v>
      </c>
      <c r="C26" s="11">
        <v>2.3</v>
      </c>
      <c r="D26" s="11">
        <v>5</v>
      </c>
      <c r="E26" s="61">
        <v>1080</v>
      </c>
      <c r="F26" s="61">
        <v>250</v>
      </c>
      <c r="G26" s="61">
        <f>C26*D26*E26+F26</f>
        <v>12670</v>
      </c>
      <c r="H26" s="61">
        <f>G26*1.065</f>
        <v>13493.55</v>
      </c>
    </row>
    <row r="27" ht="16" customHeight="1" spans="1:8" x14ac:dyDescent="0.25">
      <c r="A27" s="12" t="s">
        <v>165</v>
      </c>
      <c r="B27" s="6" t="s">
        <v>145</v>
      </c>
      <c r="C27" s="8">
        <v>1.6</v>
      </c>
      <c r="D27" s="8">
        <v>5</v>
      </c>
      <c r="E27" s="66">
        <v>514.5</v>
      </c>
      <c r="F27" s="66">
        <v>0</v>
      </c>
      <c r="G27" s="66">
        <f>C27*D27*E27+F27</f>
        <v>4116</v>
      </c>
      <c r="H27" s="66">
        <f>G27*1.065</f>
        <v>4383.54</v>
      </c>
    </row>
    <row r="28" ht="16" customHeight="1" spans="1:8" x14ac:dyDescent="0.25">
      <c r="A28" s="29" t="s">
        <v>166</v>
      </c>
      <c r="B28" s="9" t="s">
        <v>145</v>
      </c>
      <c r="C28" s="11">
        <v>1.2</v>
      </c>
      <c r="D28" s="11">
        <v>5</v>
      </c>
      <c r="E28" s="61">
        <v>726</v>
      </c>
      <c r="F28" s="61">
        <v>50</v>
      </c>
      <c r="G28" s="61">
        <f>C28*D28*E28+F28</f>
        <v>4406</v>
      </c>
      <c r="H28" s="61">
        <f>G28*1.065</f>
        <v>4692.389999999999</v>
      </c>
    </row>
    <row r="29" ht="16" customHeight="1" spans="1:8" x14ac:dyDescent="0.25">
      <c r="A29" s="12" t="s">
        <v>167</v>
      </c>
      <c r="B29" s="6" t="s">
        <v>145</v>
      </c>
      <c r="C29" s="8">
        <v>1.2</v>
      </c>
      <c r="D29" s="8">
        <v>5</v>
      </c>
      <c r="E29" s="66">
        <v>584</v>
      </c>
      <c r="F29" s="66">
        <v>50</v>
      </c>
      <c r="G29" s="66">
        <f>C29*D29*E29+F29</f>
        <v>3554</v>
      </c>
      <c r="H29" s="66">
        <f>G29*1.065</f>
        <v>3785.0099999999998</v>
      </c>
    </row>
    <row r="30" ht="16" customHeight="1" spans="1:8" x14ac:dyDescent="0.25">
      <c r="A30" s="29" t="s">
        <v>168</v>
      </c>
      <c r="B30" s="9" t="s">
        <v>145</v>
      </c>
      <c r="C30" s="11">
        <v>1</v>
      </c>
      <c r="D30" s="11">
        <v>1</v>
      </c>
      <c r="E30" s="61">
        <v>4140</v>
      </c>
      <c r="F30" s="61">
        <v>200</v>
      </c>
      <c r="G30" s="61">
        <f>C30*D30*E30+F30</f>
        <v>4340</v>
      </c>
      <c r="H30" s="61">
        <f>G30*1.065</f>
        <v>4622.099999999999</v>
      </c>
    </row>
    <row r="31" ht="16" customHeight="1" spans="1:8" x14ac:dyDescent="0.25">
      <c r="A31" s="12" t="s">
        <v>169</v>
      </c>
      <c r="B31" s="6" t="s">
        <v>145</v>
      </c>
      <c r="C31" s="8">
        <v>1</v>
      </c>
      <c r="D31" s="8">
        <v>2</v>
      </c>
      <c r="E31" s="66">
        <v>3579</v>
      </c>
      <c r="F31" s="66">
        <v>200</v>
      </c>
      <c r="G31" s="66">
        <f>C31*D31*E31+F31</f>
        <v>7358</v>
      </c>
      <c r="H31" s="66">
        <f>G31*1.065</f>
        <v>7836.2699999999995</v>
      </c>
    </row>
    <row r="32" ht="16" customHeight="1" spans="1:8" x14ac:dyDescent="0.25">
      <c r="A32" s="29" t="s">
        <v>170</v>
      </c>
      <c r="B32" s="9" t="s">
        <v>145</v>
      </c>
      <c r="C32" s="11">
        <v>2</v>
      </c>
      <c r="D32" s="11">
        <v>1</v>
      </c>
      <c r="E32" s="61">
        <v>2540</v>
      </c>
      <c r="F32" s="61">
        <v>200</v>
      </c>
      <c r="G32" s="61">
        <f>C32*D32*E32+F32</f>
        <v>5280</v>
      </c>
      <c r="H32" s="61">
        <f>G32*1.065</f>
        <v>5623.2</v>
      </c>
    </row>
    <row r="33" ht="16" customHeight="1" spans="1:8" x14ac:dyDescent="0.25">
      <c r="A33" s="12" t="s">
        <v>171</v>
      </c>
      <c r="B33" s="6" t="s">
        <v>145</v>
      </c>
      <c r="C33" s="8">
        <v>2</v>
      </c>
      <c r="D33" s="8">
        <v>1</v>
      </c>
      <c r="E33" s="66">
        <v>7251</v>
      </c>
      <c r="F33" s="66">
        <v>200</v>
      </c>
      <c r="G33" s="66">
        <f>C33*D33*E33+F33</f>
        <v>14702</v>
      </c>
      <c r="H33" s="66">
        <f>G33*1.065</f>
        <v>15657.63</v>
      </c>
    </row>
    <row r="34" ht="16" customHeight="1" spans="1:8" x14ac:dyDescent="0.25">
      <c r="A34" s="29" t="s">
        <v>172</v>
      </c>
      <c r="B34" s="9" t="s">
        <v>145</v>
      </c>
      <c r="C34" s="11">
        <v>1</v>
      </c>
      <c r="D34" s="11">
        <v>1</v>
      </c>
      <c r="E34" s="61">
        <v>3024</v>
      </c>
      <c r="F34" s="61">
        <v>200</v>
      </c>
      <c r="G34" s="61">
        <f>C34*D34*E34+F34</f>
        <v>3224</v>
      </c>
      <c r="H34" s="61">
        <f>G34*1.065</f>
        <v>3433.56</v>
      </c>
    </row>
    <row r="35" ht="16" customHeight="1" spans="1:8" x14ac:dyDescent="0.25">
      <c r="A35" s="16" t="s">
        <v>104</v>
      </c>
      <c r="B35" s="17"/>
      <c r="C35" s="17"/>
      <c r="D35" s="17"/>
      <c r="E35" s="17"/>
      <c r="F35" s="17"/>
      <c r="G35" s="75">
        <f>SUM(G7:G34)</f>
        <v>346688.5</v>
      </c>
      <c r="H35" s="75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173</v>
      </c>
      <c r="B6" s="24" t="s">
        <v>174</v>
      </c>
      <c r="C6" s="24" t="s">
        <v>138</v>
      </c>
      <c r="D6" s="24" t="s">
        <v>140</v>
      </c>
      <c r="E6" s="24" t="s">
        <v>175</v>
      </c>
      <c r="F6" s="24" t="s">
        <v>142</v>
      </c>
      <c r="G6" s="24" t="s">
        <v>176</v>
      </c>
      <c r="H6" s="24" t="s">
        <v>143</v>
      </c>
    </row>
    <row r="7" ht="16" customHeight="1" spans="1:8" x14ac:dyDescent="0.25">
      <c r="A7" s="12" t="s">
        <v>177</v>
      </c>
      <c r="B7" s="6" t="s">
        <v>178</v>
      </c>
      <c r="C7" s="8">
        <v>1</v>
      </c>
      <c r="D7" s="66">
        <v>3377734</v>
      </c>
      <c r="E7" s="6" t="s">
        <v>179</v>
      </c>
      <c r="F7" s="66">
        <f>C7*D7</f>
        <v>3377734</v>
      </c>
      <c r="G7" s="66">
        <f>0</f>
        <v>0</v>
      </c>
      <c r="H7" s="66">
        <f>F7+G7</f>
        <v>3377734</v>
      </c>
    </row>
    <row r="8" ht="16" customHeight="1" spans="1:8" x14ac:dyDescent="0.25">
      <c r="A8" s="29" t="s">
        <v>180</v>
      </c>
      <c r="B8" s="9" t="s">
        <v>178</v>
      </c>
      <c r="C8" s="11">
        <v>1</v>
      </c>
      <c r="D8" s="61">
        <v>2500</v>
      </c>
      <c r="E8" s="9" t="s">
        <v>181</v>
      </c>
      <c r="F8" s="61">
        <f>C8*D8</f>
        <v>2500</v>
      </c>
      <c r="G8" s="61">
        <f>F8*0.065</f>
        <v>162.5</v>
      </c>
      <c r="H8" s="61">
        <f>F8+G8</f>
        <v>2662.5</v>
      </c>
    </row>
    <row r="9" ht="16" customHeight="1" spans="1:8" x14ac:dyDescent="0.25">
      <c r="A9" s="12" t="s">
        <v>182</v>
      </c>
      <c r="B9" s="6" t="s">
        <v>178</v>
      </c>
      <c r="C9" s="8">
        <v>1</v>
      </c>
      <c r="D9" s="66">
        <v>170997</v>
      </c>
      <c r="E9" s="6" t="s">
        <v>179</v>
      </c>
      <c r="F9" s="66">
        <f>C9*D9</f>
        <v>170997</v>
      </c>
      <c r="G9" s="66">
        <f>0</f>
        <v>0</v>
      </c>
      <c r="H9" s="66">
        <f>F9+G9</f>
        <v>170997</v>
      </c>
    </row>
    <row r="10" ht="16" customHeight="1" spans="1:8" x14ac:dyDescent="0.25">
      <c r="A10" s="29" t="s">
        <v>183</v>
      </c>
      <c r="B10" s="9" t="s">
        <v>178</v>
      </c>
      <c r="C10" s="11">
        <v>1</v>
      </c>
      <c r="D10" s="61">
        <v>171280</v>
      </c>
      <c r="E10" s="9" t="s">
        <v>181</v>
      </c>
      <c r="F10" s="61">
        <f>C10*D10</f>
        <v>171280</v>
      </c>
      <c r="G10" s="61">
        <f>F10*0.065</f>
        <v>11133.2</v>
      </c>
      <c r="H10" s="61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5">
        <f>SUM(F7:F10)</f>
        <v>3722511</v>
      </c>
      <c r="G11" s="75">
        <f>SUM(G7:G10)</f>
        <v>11295.7</v>
      </c>
      <c r="H11" s="75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136</v>
      </c>
      <c r="B6" s="24" t="s">
        <v>137</v>
      </c>
      <c r="C6" s="24" t="s">
        <v>138</v>
      </c>
      <c r="D6" s="24" t="s">
        <v>139</v>
      </c>
      <c r="E6" s="24" t="s">
        <v>140</v>
      </c>
      <c r="F6" s="24" t="s">
        <v>141</v>
      </c>
      <c r="G6" s="24" t="s">
        <v>143</v>
      </c>
    </row>
    <row r="7" ht="16" customHeight="1" spans="1:7" x14ac:dyDescent="0.25">
      <c r="A7" s="12" t="s">
        <v>184</v>
      </c>
      <c r="B7" s="6" t="s">
        <v>145</v>
      </c>
      <c r="C7" s="8">
        <v>1</v>
      </c>
      <c r="D7" s="8">
        <v>3</v>
      </c>
      <c r="E7" s="66">
        <v>1656</v>
      </c>
      <c r="F7" s="66">
        <v>0</v>
      </c>
      <c r="G7" s="66">
        <f>C7*D7*E7+F7</f>
        <v>4968</v>
      </c>
    </row>
    <row r="8" ht="16" customHeight="1" spans="1:7" x14ac:dyDescent="0.25">
      <c r="A8" s="29" t="s">
        <v>185</v>
      </c>
      <c r="B8" s="9" t="s">
        <v>145</v>
      </c>
      <c r="C8" s="11">
        <v>4</v>
      </c>
      <c r="D8" s="11">
        <v>5</v>
      </c>
      <c r="E8" s="61">
        <v>1800</v>
      </c>
      <c r="F8" s="61">
        <v>0</v>
      </c>
      <c r="G8" s="61">
        <f>C8*D8*E8+F8</f>
        <v>36000</v>
      </c>
    </row>
    <row r="9" ht="16" customHeight="1" spans="1:7" x14ac:dyDescent="0.25">
      <c r="A9" s="12" t="s">
        <v>186</v>
      </c>
      <c r="B9" s="6" t="s">
        <v>145</v>
      </c>
      <c r="C9" s="8">
        <v>1</v>
      </c>
      <c r="D9" s="8">
        <v>5</v>
      </c>
      <c r="E9" s="66">
        <v>3600</v>
      </c>
      <c r="F9" s="66">
        <v>0</v>
      </c>
      <c r="G9" s="66">
        <f>C9*D9*E9+F9</f>
        <v>18000</v>
      </c>
    </row>
    <row r="10" ht="16" customHeight="1" spans="1:7" x14ac:dyDescent="0.25">
      <c r="A10" s="16" t="s">
        <v>104</v>
      </c>
      <c r="B10" s="17"/>
      <c r="C10" s="17"/>
      <c r="D10" s="17"/>
      <c r="E10" s="17"/>
      <c r="F10" s="17"/>
      <c r="G10" s="75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187</v>
      </c>
      <c r="B6" s="24" t="s">
        <v>188</v>
      </c>
      <c r="C6" s="24" t="s">
        <v>189</v>
      </c>
      <c r="D6" s="24" t="s">
        <v>190</v>
      </c>
      <c r="E6" s="24" t="s">
        <v>143</v>
      </c>
    </row>
    <row r="7" ht="16" customHeight="1" spans="1:5" x14ac:dyDescent="0.25">
      <c r="A7" s="12" t="s">
        <v>191</v>
      </c>
      <c r="B7" s="8">
        <v>39</v>
      </c>
      <c r="C7" s="8">
        <v>1700</v>
      </c>
      <c r="D7" s="66">
        <v>0.76</v>
      </c>
      <c r="E7" s="66">
        <f>B7*C7*D7</f>
        <v>50388</v>
      </c>
    </row>
    <row r="8" ht="16" customHeight="1" spans="1:5" x14ac:dyDescent="0.25">
      <c r="A8" s="16" t="s">
        <v>104</v>
      </c>
      <c r="B8" s="17"/>
      <c r="C8" s="17"/>
      <c r="D8" s="17"/>
      <c r="E8" s="75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136</v>
      </c>
      <c r="B6" s="24" t="s">
        <v>192</v>
      </c>
      <c r="C6" s="24" t="s">
        <v>138</v>
      </c>
      <c r="D6" s="24" t="s">
        <v>193</v>
      </c>
      <c r="E6" s="24" t="s">
        <v>143</v>
      </c>
    </row>
    <row r="7" ht="16" customHeight="1" spans="1:5" x14ac:dyDescent="0.25">
      <c r="A7" s="12" t="s">
        <v>194</v>
      </c>
      <c r="B7" s="6" t="s">
        <v>195</v>
      </c>
      <c r="C7" s="8">
        <v>100</v>
      </c>
      <c r="D7" s="66">
        <v>608</v>
      </c>
      <c r="E7" s="66">
        <f>C7*D7</f>
        <v>60800</v>
      </c>
    </row>
    <row r="8" ht="16" customHeight="1" spans="1:5" x14ac:dyDescent="0.25">
      <c r="A8" s="29" t="s">
        <v>196</v>
      </c>
      <c r="B8" s="20"/>
      <c r="C8" s="11">
        <v>65</v>
      </c>
      <c r="D8" s="61">
        <v>1000</v>
      </c>
      <c r="E8" s="61">
        <f>C8*D8</f>
        <v>65000</v>
      </c>
    </row>
    <row r="9" ht="16" customHeight="1" spans="1:5" x14ac:dyDescent="0.25">
      <c r="A9" s="12" t="s">
        <v>197</v>
      </c>
      <c r="B9" s="33"/>
      <c r="C9" s="8">
        <v>25</v>
      </c>
      <c r="D9" s="66">
        <v>1000</v>
      </c>
      <c r="E9" s="66">
        <f>C9*D9</f>
        <v>25000</v>
      </c>
    </row>
    <row r="10" ht="16" customHeight="1" spans="1:5" x14ac:dyDescent="0.25">
      <c r="A10" s="29" t="s">
        <v>198</v>
      </c>
      <c r="B10" s="20"/>
      <c r="C10" s="11">
        <v>1000</v>
      </c>
      <c r="D10" s="61">
        <v>75</v>
      </c>
      <c r="E10" s="61">
        <f>C10*D10</f>
        <v>75000</v>
      </c>
    </row>
    <row r="11" ht="16" customHeight="1" spans="1:5" x14ac:dyDescent="0.25">
      <c r="A11" s="12" t="s">
        <v>199</v>
      </c>
      <c r="B11" s="33"/>
      <c r="C11" s="8">
        <v>1000</v>
      </c>
      <c r="D11" s="66">
        <v>75</v>
      </c>
      <c r="E11" s="66">
        <f>C11*D11</f>
        <v>75000</v>
      </c>
    </row>
    <row r="12" ht="16" customHeight="1" spans="1:5" x14ac:dyDescent="0.25">
      <c r="A12" s="29" t="s">
        <v>200</v>
      </c>
      <c r="B12" s="20"/>
      <c r="C12" s="11">
        <v>150</v>
      </c>
      <c r="D12" s="61">
        <v>250</v>
      </c>
      <c r="E12" s="61">
        <f>C12*D12</f>
        <v>37500</v>
      </c>
    </row>
    <row r="13" ht="16" customHeight="1" spans="1:5" x14ac:dyDescent="0.25">
      <c r="A13" s="12" t="s">
        <v>201</v>
      </c>
      <c r="B13" s="33"/>
      <c r="C13" s="8">
        <v>1000</v>
      </c>
      <c r="D13" s="66">
        <v>72</v>
      </c>
      <c r="E13" s="66">
        <f>C13*D13</f>
        <v>72000</v>
      </c>
    </row>
    <row r="14" ht="16" customHeight="1" spans="1:5" x14ac:dyDescent="0.25">
      <c r="A14" s="16" t="s">
        <v>104</v>
      </c>
      <c r="B14" s="17"/>
      <c r="C14" s="17"/>
      <c r="D14" s="17"/>
      <c r="E14" s="75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202</v>
      </c>
      <c r="B6" s="24" t="s">
        <v>203</v>
      </c>
      <c r="C6" s="24" t="s">
        <v>204</v>
      </c>
      <c r="D6" s="24" t="s">
        <v>205</v>
      </c>
      <c r="E6" s="24" t="s">
        <v>206</v>
      </c>
      <c r="F6" s="24" t="s">
        <v>207</v>
      </c>
    </row>
    <row r="7" ht="16" customHeight="1" spans="1:6" x14ac:dyDescent="0.25">
      <c r="A7" s="12" t="s">
        <v>58</v>
      </c>
      <c r="B7" s="66">
        <v>90</v>
      </c>
      <c r="C7" s="66">
        <v>139.09</v>
      </c>
      <c r="D7" s="66">
        <v>192.55</v>
      </c>
      <c r="E7" s="66">
        <v>246.01</v>
      </c>
      <c r="F7" s="66">
        <v>140</v>
      </c>
    </row>
    <row r="8" ht="16" customHeight="1" spans="1:6" x14ac:dyDescent="0.25">
      <c r="A8" s="29" t="s">
        <v>66</v>
      </c>
      <c r="B8" s="61">
        <v>67.5</v>
      </c>
      <c r="C8" s="61">
        <v>123.45</v>
      </c>
      <c r="D8" s="61">
        <v>173.59</v>
      </c>
      <c r="E8" s="61">
        <v>223.74</v>
      </c>
      <c r="F8" s="61">
        <v>140</v>
      </c>
    </row>
    <row r="9" ht="16" customHeight="1" spans="1:6" x14ac:dyDescent="0.25">
      <c r="A9" s="12" t="s">
        <v>68</v>
      </c>
      <c r="B9" s="66">
        <v>62</v>
      </c>
      <c r="C9" s="66">
        <v>130.99</v>
      </c>
      <c r="D9" s="66">
        <v>184.98</v>
      </c>
      <c r="E9" s="66">
        <v>238.96</v>
      </c>
      <c r="F9" s="66">
        <v>140</v>
      </c>
    </row>
    <row r="10" ht="16" customHeight="1" spans="1:6" x14ac:dyDescent="0.25">
      <c r="A10" s="29" t="s">
        <v>72</v>
      </c>
      <c r="B10" s="61">
        <v>52.5</v>
      </c>
      <c r="C10" s="61">
        <v>91.02</v>
      </c>
      <c r="D10" s="61">
        <v>122.2</v>
      </c>
      <c r="E10" s="61">
        <v>153.39</v>
      </c>
      <c r="F10" s="61">
        <v>140</v>
      </c>
    </row>
    <row r="11" ht="16" customHeight="1" spans="1:6" x14ac:dyDescent="0.25">
      <c r="A11" s="12" t="s">
        <v>75</v>
      </c>
      <c r="B11" s="66">
        <v>60.5</v>
      </c>
      <c r="C11" s="66">
        <v>101.27</v>
      </c>
      <c r="D11" s="66">
        <v>137.21</v>
      </c>
      <c r="E11" s="66">
        <v>173.15</v>
      </c>
      <c r="F11" s="66">
        <v>140</v>
      </c>
    </row>
    <row r="12" ht="16" customHeight="1" spans="1:6" x14ac:dyDescent="0.25">
      <c r="A12" s="29" t="s">
        <v>78</v>
      </c>
      <c r="B12" s="61">
        <v>64</v>
      </c>
      <c r="C12" s="61">
        <v>105.76</v>
      </c>
      <c r="D12" s="61">
        <v>143.77</v>
      </c>
      <c r="E12" s="61">
        <v>181.79</v>
      </c>
      <c r="F12" s="61">
        <v>140</v>
      </c>
    </row>
    <row r="13" ht="16" customHeight="1" spans="1:6" x14ac:dyDescent="0.25">
      <c r="A13" s="12" t="s">
        <v>81</v>
      </c>
      <c r="B13" s="66">
        <v>36</v>
      </c>
      <c r="C13" s="66">
        <v>69.86</v>
      </c>
      <c r="D13" s="66">
        <v>91.25</v>
      </c>
      <c r="E13" s="66">
        <v>112.63</v>
      </c>
      <c r="F13" s="66">
        <v>140</v>
      </c>
    </row>
    <row r="14" ht="16" customHeight="1" spans="1:6" x14ac:dyDescent="0.25">
      <c r="A14" s="29" t="s">
        <v>83</v>
      </c>
      <c r="B14" s="61">
        <v>52.5</v>
      </c>
      <c r="C14" s="61">
        <v>91.02</v>
      </c>
      <c r="D14" s="61">
        <v>122.2</v>
      </c>
      <c r="E14" s="61">
        <v>153.39</v>
      </c>
      <c r="F14" s="61">
        <v>140</v>
      </c>
    </row>
    <row r="15" ht="16" customHeight="1" spans="1:6" x14ac:dyDescent="0.25">
      <c r="A15" s="12" t="s">
        <v>86</v>
      </c>
      <c r="B15" s="66">
        <v>59</v>
      </c>
      <c r="C15" s="66">
        <v>127.36</v>
      </c>
      <c r="D15" s="66">
        <v>179.59</v>
      </c>
      <c r="E15" s="66">
        <v>231.82</v>
      </c>
      <c r="F15" s="66">
        <v>140</v>
      </c>
    </row>
    <row r="16" ht="16" customHeight="1" spans="1:6" x14ac:dyDescent="0.25">
      <c r="A16" s="29" t="s">
        <v>89</v>
      </c>
      <c r="B16" s="61">
        <v>70</v>
      </c>
      <c r="C16" s="61">
        <v>113.45</v>
      </c>
      <c r="D16" s="61">
        <v>155.03</v>
      </c>
      <c r="E16" s="61">
        <v>196.61</v>
      </c>
      <c r="F16" s="61">
        <v>140</v>
      </c>
    </row>
    <row r="17" ht="16" customHeight="1" spans="1:6" x14ac:dyDescent="0.25">
      <c r="A17" s="12" t="s">
        <v>91</v>
      </c>
      <c r="B17" s="66">
        <v>55</v>
      </c>
      <c r="C17" s="66">
        <v>94.22</v>
      </c>
      <c r="D17" s="66">
        <v>126.89</v>
      </c>
      <c r="E17" s="66">
        <v>159.56</v>
      </c>
      <c r="F17" s="66">
        <v>140</v>
      </c>
    </row>
    <row r="18" ht="16" customHeight="1" spans="1:6" x14ac:dyDescent="0.25">
      <c r="A18" s="29" t="s">
        <v>93</v>
      </c>
      <c r="B18" s="61">
        <v>38</v>
      </c>
      <c r="C18" s="61">
        <v>72.43</v>
      </c>
      <c r="D18" s="61">
        <v>95</v>
      </c>
      <c r="E18" s="61">
        <v>117.57</v>
      </c>
      <c r="F18" s="61">
        <v>140</v>
      </c>
    </row>
    <row r="19" ht="16" customHeight="1" spans="1:6" x14ac:dyDescent="0.25">
      <c r="A19" s="12" t="s">
        <v>96</v>
      </c>
      <c r="B19" s="66">
        <v>71</v>
      </c>
      <c r="C19" s="66">
        <v>141.9</v>
      </c>
      <c r="D19" s="66">
        <v>201.14</v>
      </c>
      <c r="E19" s="66">
        <v>260.38</v>
      </c>
      <c r="F19" s="66">
        <v>140</v>
      </c>
    </row>
    <row r="20" ht="16" customHeight="1" spans="1:6" x14ac:dyDescent="0.25">
      <c r="A20" s="29" t="s">
        <v>98</v>
      </c>
      <c r="B20" s="61">
        <v>86.5</v>
      </c>
      <c r="C20" s="61">
        <v>134.6</v>
      </c>
      <c r="D20" s="61">
        <v>185.98</v>
      </c>
      <c r="E20" s="61">
        <v>237.37</v>
      </c>
      <c r="F20" s="61">
        <v>140</v>
      </c>
    </row>
    <row r="21" ht="16" customHeight="1" spans="1:6" x14ac:dyDescent="0.25">
      <c r="A21" s="12" t="s">
        <v>101</v>
      </c>
      <c r="B21" s="66">
        <v>58.84</v>
      </c>
      <c r="C21" s="66">
        <v>111.22</v>
      </c>
      <c r="D21" s="66">
        <v>156.31</v>
      </c>
      <c r="E21" s="66">
        <v>201.4</v>
      </c>
      <c r="F21" s="66">
        <v>140</v>
      </c>
    </row>
    <row r="22" ht="16" customHeight="1" spans="1:6" x14ac:dyDescent="0.25">
      <c r="A22" s="29" t="s">
        <v>105</v>
      </c>
      <c r="B22" s="61">
        <v>49.1</v>
      </c>
      <c r="C22" s="61">
        <v>112.62</v>
      </c>
      <c r="D22" s="61">
        <v>159.07</v>
      </c>
      <c r="E22" s="61">
        <v>205.52</v>
      </c>
      <c r="F22" s="61">
        <v>130</v>
      </c>
    </row>
    <row r="23" ht="16" customHeight="1" spans="1:6" x14ac:dyDescent="0.25">
      <c r="A23" s="12" t="s">
        <v>108</v>
      </c>
      <c r="B23" s="66">
        <v>53.93</v>
      </c>
      <c r="C23" s="66">
        <v>105.28</v>
      </c>
      <c r="D23" s="66">
        <v>147.5</v>
      </c>
      <c r="E23" s="66">
        <v>189.72</v>
      </c>
      <c r="F23" s="66">
        <v>130</v>
      </c>
    </row>
    <row r="24" ht="16" customHeight="1" spans="1:6" x14ac:dyDescent="0.25">
      <c r="A24" s="29" t="s">
        <v>111</v>
      </c>
      <c r="B24" s="61">
        <v>45.6</v>
      </c>
      <c r="C24" s="61">
        <v>108.38</v>
      </c>
      <c r="D24" s="61">
        <v>152.78</v>
      </c>
      <c r="E24" s="61">
        <v>197.19</v>
      </c>
      <c r="F24" s="61">
        <v>130</v>
      </c>
    </row>
    <row r="25" ht="16" customHeight="1" spans="1:6" x14ac:dyDescent="0.25">
      <c r="A25" s="12" t="s">
        <v>114</v>
      </c>
      <c r="B25" s="66">
        <v>49.03</v>
      </c>
      <c r="C25" s="66">
        <v>99.33</v>
      </c>
      <c r="D25" s="66">
        <v>138.69</v>
      </c>
      <c r="E25" s="66">
        <v>178.05</v>
      </c>
      <c r="F25" s="66">
        <v>130</v>
      </c>
    </row>
    <row r="26" ht="16" customHeight="1" spans="1:6" x14ac:dyDescent="0.25">
      <c r="A26" s="29" t="s">
        <v>123</v>
      </c>
      <c r="B26" s="61">
        <v>45.8</v>
      </c>
      <c r="C26" s="61">
        <v>97.6</v>
      </c>
      <c r="D26" s="61">
        <v>115.65</v>
      </c>
      <c r="E26" s="61">
        <v>142.39</v>
      </c>
      <c r="F26" s="61">
        <v>130</v>
      </c>
    </row>
    <row r="27" ht="16" customHeight="1" spans="1:6" x14ac:dyDescent="0.25">
      <c r="A27" s="12" t="s">
        <v>208</v>
      </c>
      <c r="B27" s="66">
        <v>83</v>
      </c>
      <c r="C27" s="66">
        <v>130.12</v>
      </c>
      <c r="D27" s="66">
        <v>179.42</v>
      </c>
      <c r="E27" s="66">
        <v>228.72</v>
      </c>
      <c r="F27" s="66">
        <v>140</v>
      </c>
    </row>
    <row r="28" ht="16" customHeight="1" spans="1:6" x14ac:dyDescent="0.25">
      <c r="A28" s="29" t="s">
        <v>209</v>
      </c>
      <c r="B28" s="61">
        <v>80</v>
      </c>
      <c r="C28" s="61">
        <v>126.27</v>
      </c>
      <c r="D28" s="61">
        <v>173.79</v>
      </c>
      <c r="E28" s="61">
        <v>221.31</v>
      </c>
      <c r="F28" s="61">
        <v>140</v>
      </c>
    </row>
    <row r="29" ht="16" customHeight="1" spans="1:6" x14ac:dyDescent="0.25">
      <c r="A29" s="12" t="s">
        <v>210</v>
      </c>
      <c r="B29" s="66">
        <v>85</v>
      </c>
      <c r="C29" s="66">
        <v>132.68</v>
      </c>
      <c r="D29" s="66">
        <v>183.17</v>
      </c>
      <c r="E29" s="66">
        <v>233.66</v>
      </c>
      <c r="F29" s="66">
        <v>140</v>
      </c>
    </row>
    <row r="30" ht="16" customHeight="1" spans="1:6" x14ac:dyDescent="0.25">
      <c r="A30" s="29" t="s">
        <v>211</v>
      </c>
      <c r="B30" s="61">
        <v>80</v>
      </c>
      <c r="C30" s="61">
        <v>126.27</v>
      </c>
      <c r="D30" s="61">
        <v>173.79</v>
      </c>
      <c r="E30" s="61">
        <v>221.31</v>
      </c>
      <c r="F30" s="61">
        <v>140</v>
      </c>
    </row>
    <row r="31" ht="16" customHeight="1" spans="1:6" x14ac:dyDescent="0.25">
      <c r="A31" s="12" t="s">
        <v>212</v>
      </c>
      <c r="B31" s="66">
        <v>72</v>
      </c>
      <c r="C31" s="66">
        <v>116.01</v>
      </c>
      <c r="D31" s="66">
        <v>158.78</v>
      </c>
      <c r="E31" s="66">
        <v>201.55</v>
      </c>
      <c r="F31" s="66">
        <v>140</v>
      </c>
    </row>
    <row r="32" ht="16" customHeight="1" spans="1:6" x14ac:dyDescent="0.25">
      <c r="A32" s="29" t="s">
        <v>213</v>
      </c>
      <c r="B32" s="61">
        <v>34</v>
      </c>
      <c r="C32" s="61">
        <v>67.3</v>
      </c>
      <c r="D32" s="61">
        <v>87.49</v>
      </c>
      <c r="E32" s="61">
        <v>107.69</v>
      </c>
      <c r="F32" s="61">
        <v>140</v>
      </c>
    </row>
    <row r="33" ht="16" customHeight="1" spans="1:6" x14ac:dyDescent="0.25">
      <c r="A33" s="12" t="s">
        <v>214</v>
      </c>
      <c r="B33" s="66">
        <v>40</v>
      </c>
      <c r="C33" s="66">
        <v>74.99</v>
      </c>
      <c r="D33" s="66">
        <v>98.75</v>
      </c>
      <c r="E33" s="66">
        <v>122.51</v>
      </c>
      <c r="F33" s="66">
        <v>140</v>
      </c>
    </row>
    <row r="34" ht="16" customHeight="1" spans="1:6" x14ac:dyDescent="0.25">
      <c r="A34" s="29" t="s">
        <v>215</v>
      </c>
      <c r="B34" s="61">
        <v>38</v>
      </c>
      <c r="C34" s="61">
        <v>72.43</v>
      </c>
      <c r="D34" s="61">
        <v>95</v>
      </c>
      <c r="E34" s="61">
        <v>117.57</v>
      </c>
      <c r="F34" s="61">
        <v>140</v>
      </c>
    </row>
    <row r="35" ht="16" customHeight="1" spans="1:6" x14ac:dyDescent="0.25">
      <c r="A35" s="12" t="s">
        <v>216</v>
      </c>
      <c r="B35" s="66">
        <v>32</v>
      </c>
      <c r="C35" s="66">
        <v>64.73</v>
      </c>
      <c r="D35" s="66">
        <v>83.74</v>
      </c>
      <c r="E35" s="66">
        <v>102.75</v>
      </c>
      <c r="F35" s="66">
        <v>140</v>
      </c>
    </row>
    <row r="36" ht="16" customHeight="1" spans="1:6" x14ac:dyDescent="0.25">
      <c r="A36" s="29" t="s">
        <v>217</v>
      </c>
      <c r="B36" s="61">
        <v>30</v>
      </c>
      <c r="C36" s="61">
        <v>62.17</v>
      </c>
      <c r="D36" s="61">
        <v>79.99</v>
      </c>
      <c r="E36" s="61">
        <v>97.81</v>
      </c>
      <c r="F36" s="61">
        <v>140</v>
      </c>
    </row>
    <row r="37" ht="16" customHeight="1" spans="1:6" x14ac:dyDescent="0.25">
      <c r="A37" s="12" t="s">
        <v>218</v>
      </c>
      <c r="B37" s="66">
        <v>36</v>
      </c>
      <c r="C37" s="66">
        <v>69.86</v>
      </c>
      <c r="D37" s="66">
        <v>91.25</v>
      </c>
      <c r="E37" s="66">
        <v>112.63</v>
      </c>
      <c r="F37" s="66">
        <v>140</v>
      </c>
    </row>
    <row r="38" ht="16" customHeight="1" spans="1:6" x14ac:dyDescent="0.25">
      <c r="A38" s="29" t="s">
        <v>219</v>
      </c>
      <c r="B38" s="61">
        <v>45</v>
      </c>
      <c r="C38" s="61">
        <v>81.4</v>
      </c>
      <c r="D38" s="61">
        <v>108.13</v>
      </c>
      <c r="E38" s="61">
        <v>134.86</v>
      </c>
      <c r="F38" s="61">
        <v>140</v>
      </c>
    </row>
    <row r="39" ht="16" customHeight="1" spans="1:6" x14ac:dyDescent="0.25">
      <c r="A39" s="12" t="s">
        <v>220</v>
      </c>
      <c r="B39" s="66">
        <v>43</v>
      </c>
      <c r="C39" s="66">
        <v>78.84</v>
      </c>
      <c r="D39" s="66">
        <v>104.38</v>
      </c>
      <c r="E39" s="66">
        <v>129.92</v>
      </c>
      <c r="F39" s="66">
        <v>140</v>
      </c>
    </row>
    <row r="40" ht="16" customHeight="1" spans="1:6" x14ac:dyDescent="0.25">
      <c r="A40" s="29" t="s">
        <v>221</v>
      </c>
      <c r="B40" s="61">
        <v>52</v>
      </c>
      <c r="C40" s="61">
        <v>118.87</v>
      </c>
      <c r="D40" s="61">
        <v>167.02</v>
      </c>
      <c r="E40" s="61">
        <v>215.16</v>
      </c>
      <c r="F40" s="61">
        <v>140</v>
      </c>
    </row>
    <row r="41" ht="16" customHeight="1" spans="1:6" x14ac:dyDescent="0.25">
      <c r="A41" s="12" t="s">
        <v>222</v>
      </c>
      <c r="B41" s="66">
        <v>50</v>
      </c>
      <c r="C41" s="66">
        <v>116.45</v>
      </c>
      <c r="D41" s="66">
        <v>163.43</v>
      </c>
      <c r="E41" s="66">
        <v>210.4</v>
      </c>
      <c r="F41" s="66">
        <v>140</v>
      </c>
    </row>
    <row r="42" ht="16" customHeight="1" spans="1:6" x14ac:dyDescent="0.25">
      <c r="A42" s="29" t="s">
        <v>223</v>
      </c>
      <c r="B42" s="61">
        <v>57</v>
      </c>
      <c r="C42" s="61">
        <v>96.78</v>
      </c>
      <c r="D42" s="61">
        <v>130.64</v>
      </c>
      <c r="E42" s="61">
        <v>164.5</v>
      </c>
      <c r="F42" s="61">
        <v>140</v>
      </c>
    </row>
    <row r="43" ht="16" customHeight="1" spans="1:6" x14ac:dyDescent="0.25">
      <c r="A43" s="12" t="s">
        <v>224</v>
      </c>
      <c r="B43" s="19"/>
      <c r="C43" s="66">
        <v>124.93</v>
      </c>
      <c r="D43" s="66">
        <v>176</v>
      </c>
      <c r="E43" s="66">
        <v>227.06</v>
      </c>
      <c r="F43" s="66">
        <v>140</v>
      </c>
    </row>
    <row r="44" ht="16" customHeight="1" spans="1:6" x14ac:dyDescent="0.25">
      <c r="A44" s="29" t="s">
        <v>225</v>
      </c>
      <c r="B44" s="61">
        <v>55</v>
      </c>
      <c r="C44" s="61">
        <v>122.51</v>
      </c>
      <c r="D44" s="61">
        <v>172.41</v>
      </c>
      <c r="E44" s="61">
        <v>222.3</v>
      </c>
      <c r="F44" s="61">
        <v>140</v>
      </c>
    </row>
    <row r="45" ht="16" customHeight="1" spans="1:6" x14ac:dyDescent="0.25">
      <c r="A45" s="12" t="s">
        <v>226</v>
      </c>
      <c r="B45" s="19"/>
      <c r="C45" s="66">
        <v>105.54</v>
      </c>
      <c r="D45" s="66">
        <v>147.16</v>
      </c>
      <c r="E45" s="66">
        <v>188.78</v>
      </c>
      <c r="F45" s="66">
        <v>140</v>
      </c>
    </row>
    <row r="46" ht="16" customHeight="1" spans="1:6" x14ac:dyDescent="0.25">
      <c r="A46" s="29" t="s">
        <v>227</v>
      </c>
      <c r="B46" s="61">
        <v>52.5</v>
      </c>
      <c r="C46" s="61">
        <v>105.05</v>
      </c>
      <c r="D46" s="61">
        <v>146.44</v>
      </c>
      <c r="E46" s="61">
        <v>187.82</v>
      </c>
      <c r="F46" s="61">
        <v>140</v>
      </c>
    </row>
    <row r="47" ht="16" customHeight="1" spans="1:6" x14ac:dyDescent="0.25">
      <c r="A47" s="12" t="s">
        <v>228</v>
      </c>
      <c r="B47" s="66">
        <v>52</v>
      </c>
      <c r="C47" s="66">
        <v>104.44</v>
      </c>
      <c r="D47" s="66">
        <v>145.53</v>
      </c>
      <c r="E47" s="66">
        <v>186.62</v>
      </c>
      <c r="F47" s="66">
        <v>140</v>
      </c>
    </row>
    <row r="48" ht="16" customHeight="1" spans="1:6" x14ac:dyDescent="0.25">
      <c r="A48" s="29" t="s">
        <v>229</v>
      </c>
      <c r="B48" s="61">
        <v>50.5</v>
      </c>
      <c r="C48" s="61">
        <v>88.45</v>
      </c>
      <c r="D48" s="61">
        <v>118.45</v>
      </c>
      <c r="E48" s="61">
        <v>148.45</v>
      </c>
      <c r="F48" s="61">
        <v>140</v>
      </c>
    </row>
    <row r="49" ht="16" customHeight="1" spans="1:6" x14ac:dyDescent="0.25">
      <c r="A49" s="12" t="s">
        <v>230</v>
      </c>
      <c r="B49" s="66">
        <v>44</v>
      </c>
      <c r="C49" s="66">
        <v>109.18</v>
      </c>
      <c r="D49" s="66">
        <v>152.65</v>
      </c>
      <c r="E49" s="66">
        <v>196.12</v>
      </c>
      <c r="F49" s="66">
        <v>140</v>
      </c>
    </row>
    <row r="50" ht="16" customHeight="1" spans="1:6" x14ac:dyDescent="0.25">
      <c r="A50" s="29" t="s">
        <v>231</v>
      </c>
      <c r="B50" s="61">
        <v>42</v>
      </c>
      <c r="C50" s="61">
        <v>106.75</v>
      </c>
      <c r="D50" s="61">
        <v>149.06</v>
      </c>
      <c r="E50" s="61">
        <v>191.36</v>
      </c>
      <c r="F50" s="61">
        <v>140</v>
      </c>
    </row>
    <row r="51" ht="16" customHeight="1" spans="1:6" x14ac:dyDescent="0.25">
      <c r="A51" s="12" t="s">
        <v>232</v>
      </c>
      <c r="B51" s="66">
        <v>53.1</v>
      </c>
      <c r="C51" s="66">
        <v>105.79</v>
      </c>
      <c r="D51" s="66">
        <v>147.52</v>
      </c>
      <c r="E51" s="66">
        <v>189.26</v>
      </c>
      <c r="F51" s="66">
        <v>140</v>
      </c>
    </row>
    <row r="52" ht="16" customHeight="1" spans="1:6" x14ac:dyDescent="0.25">
      <c r="A52" s="29" t="s">
        <v>233</v>
      </c>
      <c r="B52" s="61">
        <v>52.6</v>
      </c>
      <c r="C52" s="61">
        <v>105.17</v>
      </c>
      <c r="D52" s="61">
        <v>146.62</v>
      </c>
      <c r="E52" s="61">
        <v>188.06</v>
      </c>
      <c r="F52" s="61">
        <v>140</v>
      </c>
    </row>
    <row r="53" ht="16" customHeight="1" spans="1:6" x14ac:dyDescent="0.25">
      <c r="A53" s="12" t="s">
        <v>234</v>
      </c>
      <c r="B53" s="66">
        <v>52.1</v>
      </c>
      <c r="C53" s="66">
        <v>104.56</v>
      </c>
      <c r="D53" s="66">
        <v>145.71</v>
      </c>
      <c r="E53" s="66">
        <v>186.86</v>
      </c>
      <c r="F53" s="66">
        <v>140</v>
      </c>
    </row>
    <row r="54" ht="16" customHeight="1" spans="1:6" x14ac:dyDescent="0.25">
      <c r="A54" s="29" t="s">
        <v>235</v>
      </c>
      <c r="B54" s="61">
        <v>43</v>
      </c>
      <c r="C54" s="61">
        <v>107.97</v>
      </c>
      <c r="D54" s="61">
        <v>150.85</v>
      </c>
      <c r="E54" s="61">
        <v>193.74</v>
      </c>
      <c r="F54" s="61">
        <v>140</v>
      </c>
    </row>
    <row r="55" ht="16" customHeight="1" spans="1:6" x14ac:dyDescent="0.25">
      <c r="A55" s="12" t="s">
        <v>236</v>
      </c>
      <c r="B55" s="19"/>
      <c r="C55" s="66">
        <v>105.54</v>
      </c>
      <c r="D55" s="66">
        <v>147.26</v>
      </c>
      <c r="E55" s="66">
        <v>188.98</v>
      </c>
      <c r="F55" s="66">
        <v>140</v>
      </c>
    </row>
    <row r="56" ht="16" customHeight="1" spans="1:6" x14ac:dyDescent="0.25">
      <c r="A56" s="29" t="s">
        <v>237</v>
      </c>
      <c r="B56" s="61">
        <v>68</v>
      </c>
      <c r="C56" s="61">
        <v>110.89</v>
      </c>
      <c r="D56" s="61">
        <v>151.28</v>
      </c>
      <c r="E56" s="61">
        <v>191.67</v>
      </c>
      <c r="F56" s="61">
        <v>140</v>
      </c>
    </row>
    <row r="57" ht="16" customHeight="1" spans="1:6" x14ac:dyDescent="0.25">
      <c r="A57" s="12" t="s">
        <v>238</v>
      </c>
      <c r="B57" s="66">
        <v>66</v>
      </c>
      <c r="C57" s="66">
        <v>108.32</v>
      </c>
      <c r="D57" s="66">
        <v>147.53</v>
      </c>
      <c r="E57" s="66">
        <v>186.73</v>
      </c>
      <c r="F57" s="66">
        <v>140</v>
      </c>
    </row>
    <row r="58" ht="16" customHeight="1" spans="1:6" x14ac:dyDescent="0.25">
      <c r="A58" s="29" t="s">
        <v>239</v>
      </c>
      <c r="B58" s="61">
        <v>53.9</v>
      </c>
      <c r="C58" s="61">
        <v>106.77</v>
      </c>
      <c r="D58" s="61">
        <v>148.97</v>
      </c>
      <c r="E58" s="61">
        <v>191.17</v>
      </c>
      <c r="F58" s="61">
        <v>140</v>
      </c>
    </row>
    <row r="59" ht="16" customHeight="1" spans="1:6" x14ac:dyDescent="0.25">
      <c r="A59" s="12" t="s">
        <v>240</v>
      </c>
      <c r="B59" s="66">
        <v>65</v>
      </c>
      <c r="C59" s="66">
        <v>107.04</v>
      </c>
      <c r="D59" s="66">
        <v>145.65</v>
      </c>
      <c r="E59" s="66">
        <v>184.26</v>
      </c>
      <c r="F59" s="66">
        <v>140</v>
      </c>
    </row>
    <row r="60" ht="16" customHeight="1" spans="1:6" x14ac:dyDescent="0.25">
      <c r="A60" s="29" t="s">
        <v>241</v>
      </c>
      <c r="B60" s="61">
        <v>63</v>
      </c>
      <c r="C60" s="61">
        <v>104.48</v>
      </c>
      <c r="D60" s="61">
        <v>141.9</v>
      </c>
      <c r="E60" s="61">
        <v>179.32</v>
      </c>
      <c r="F60" s="61">
        <v>140</v>
      </c>
    </row>
    <row r="61" ht="16" customHeight="1" spans="1:6" x14ac:dyDescent="0.25">
      <c r="A61" s="12" t="s">
        <v>242</v>
      </c>
      <c r="B61" s="66">
        <v>55.9</v>
      </c>
      <c r="C61" s="66">
        <v>109.22</v>
      </c>
      <c r="D61" s="66">
        <v>152.59</v>
      </c>
      <c r="E61" s="66">
        <v>195.96</v>
      </c>
      <c r="F61" s="66">
        <v>140</v>
      </c>
    </row>
    <row r="62" ht="16" customHeight="1" spans="1:6" x14ac:dyDescent="0.25">
      <c r="A62" s="29" t="s">
        <v>243</v>
      </c>
      <c r="B62" s="61">
        <v>68</v>
      </c>
      <c r="C62" s="61">
        <v>117.61</v>
      </c>
      <c r="D62" s="61">
        <v>165.15</v>
      </c>
      <c r="E62" s="61">
        <v>212.68</v>
      </c>
      <c r="F62" s="61">
        <v>140</v>
      </c>
    </row>
    <row r="63" ht="16" customHeight="1" spans="1:6" x14ac:dyDescent="0.25">
      <c r="A63" s="12" t="s">
        <v>244</v>
      </c>
      <c r="B63" s="66">
        <v>66</v>
      </c>
      <c r="C63" s="66">
        <v>115.19</v>
      </c>
      <c r="D63" s="66">
        <v>161.56</v>
      </c>
      <c r="E63" s="66">
        <v>207.92</v>
      </c>
      <c r="F63" s="66">
        <v>140</v>
      </c>
    </row>
    <row r="64" ht="16" customHeight="1" spans="1:6" x14ac:dyDescent="0.25">
      <c r="A64" s="29" t="s">
        <v>245</v>
      </c>
      <c r="B64" s="61">
        <v>65</v>
      </c>
      <c r="C64" s="61">
        <v>120.04</v>
      </c>
      <c r="D64" s="61">
        <v>168.74</v>
      </c>
      <c r="E64" s="61">
        <v>217.44</v>
      </c>
      <c r="F64" s="61">
        <v>140</v>
      </c>
    </row>
    <row r="65" ht="16" customHeight="1" spans="1:6" x14ac:dyDescent="0.25">
      <c r="A65" s="12" t="s">
        <v>246</v>
      </c>
      <c r="B65" s="66">
        <v>63</v>
      </c>
      <c r="C65" s="66">
        <v>111.55</v>
      </c>
      <c r="D65" s="66">
        <v>156.17</v>
      </c>
      <c r="E65" s="66">
        <v>200.78</v>
      </c>
      <c r="F65" s="66">
        <v>140</v>
      </c>
    </row>
    <row r="66" ht="16" customHeight="1" spans="1:6" x14ac:dyDescent="0.25">
      <c r="A66" s="29" t="s">
        <v>247</v>
      </c>
      <c r="B66" s="61">
        <v>82.5</v>
      </c>
      <c r="C66" s="61">
        <v>129.48</v>
      </c>
      <c r="D66" s="61">
        <v>178.48</v>
      </c>
      <c r="E66" s="61">
        <v>198.29</v>
      </c>
      <c r="F66" s="61">
        <v>140</v>
      </c>
    </row>
    <row r="67" ht="16" customHeight="1" spans="1:6" x14ac:dyDescent="0.25">
      <c r="A67" s="12" t="s">
        <v>248</v>
      </c>
      <c r="B67" s="66">
        <v>60</v>
      </c>
      <c r="C67" s="66">
        <v>128.57</v>
      </c>
      <c r="D67" s="66">
        <v>181.39</v>
      </c>
      <c r="E67" s="66">
        <v>234.2</v>
      </c>
      <c r="F67" s="66">
        <v>140</v>
      </c>
    </row>
    <row r="68" ht="16" customHeight="1" spans="1:6" x14ac:dyDescent="0.25">
      <c r="A68" s="29" t="s">
        <v>249</v>
      </c>
      <c r="B68" s="61">
        <v>59.9</v>
      </c>
      <c r="C68" s="61">
        <v>114.13</v>
      </c>
      <c r="D68" s="61">
        <v>159.83</v>
      </c>
      <c r="E68" s="61">
        <v>205.54</v>
      </c>
      <c r="F68" s="61">
        <v>140</v>
      </c>
    </row>
    <row r="69" ht="16" customHeight="1" spans="1:6" x14ac:dyDescent="0.25">
      <c r="A69" s="12" t="s">
        <v>250</v>
      </c>
      <c r="B69" s="66">
        <v>60.9</v>
      </c>
      <c r="C69" s="66">
        <v>115.35</v>
      </c>
      <c r="D69" s="66">
        <v>161.64</v>
      </c>
      <c r="E69" s="66">
        <v>207.94</v>
      </c>
      <c r="F69" s="66">
        <v>140</v>
      </c>
    </row>
    <row r="70" ht="16" customHeight="1" spans="1:6" x14ac:dyDescent="0.25">
      <c r="A70" s="29" t="s">
        <v>251</v>
      </c>
      <c r="B70" s="61">
        <v>58</v>
      </c>
      <c r="C70" s="61">
        <v>98.07</v>
      </c>
      <c r="D70" s="61">
        <v>132.52</v>
      </c>
      <c r="E70" s="61">
        <v>166.97</v>
      </c>
      <c r="F70" s="61">
        <v>140</v>
      </c>
    </row>
    <row r="71" ht="16" customHeight="1" spans="1:6" x14ac:dyDescent="0.25">
      <c r="A71" s="12" t="s">
        <v>252</v>
      </c>
      <c r="B71" s="66">
        <v>60</v>
      </c>
      <c r="C71" s="66">
        <v>128.57</v>
      </c>
      <c r="D71" s="66">
        <v>181.39</v>
      </c>
      <c r="E71" s="66">
        <v>234.2</v>
      </c>
      <c r="F71" s="66">
        <v>140</v>
      </c>
    </row>
    <row r="72" ht="16" customHeight="1" spans="1:6" x14ac:dyDescent="0.25">
      <c r="A72" s="29" t="s">
        <v>253</v>
      </c>
      <c r="B72" s="61">
        <v>58</v>
      </c>
      <c r="C72" s="61">
        <v>126.15</v>
      </c>
      <c r="D72" s="61">
        <v>177.79</v>
      </c>
      <c r="E72" s="61">
        <v>229.44</v>
      </c>
      <c r="F72" s="61">
        <v>140</v>
      </c>
    </row>
    <row r="73" ht="16" customHeight="1" spans="1:6" x14ac:dyDescent="0.25">
      <c r="A73" s="12" t="s">
        <v>254</v>
      </c>
      <c r="B73" s="66">
        <v>62.5</v>
      </c>
      <c r="C73" s="66">
        <v>117.32</v>
      </c>
      <c r="D73" s="66">
        <v>164.54</v>
      </c>
      <c r="E73" s="66">
        <v>211.77</v>
      </c>
      <c r="F73" s="66">
        <v>140</v>
      </c>
    </row>
    <row r="74" ht="16" customHeight="1" spans="1:6" x14ac:dyDescent="0.25">
      <c r="A74" s="29" t="s">
        <v>255</v>
      </c>
      <c r="B74" s="61">
        <v>60.9</v>
      </c>
      <c r="C74" s="61">
        <v>115.35</v>
      </c>
      <c r="D74" s="61">
        <v>161.64</v>
      </c>
      <c r="E74" s="61">
        <v>207.94</v>
      </c>
      <c r="F74" s="61">
        <v>140</v>
      </c>
    </row>
    <row r="75" ht="16" customHeight="1" spans="1:6" x14ac:dyDescent="0.25">
      <c r="A75" s="12" t="s">
        <v>256</v>
      </c>
      <c r="B75" s="66">
        <v>58.9</v>
      </c>
      <c r="C75" s="66">
        <v>112.9</v>
      </c>
      <c r="D75" s="66">
        <v>158.02</v>
      </c>
      <c r="E75" s="66">
        <v>203.15</v>
      </c>
      <c r="F75" s="66">
        <v>140</v>
      </c>
    </row>
    <row r="76" ht="16" customHeight="1" spans="1:6" x14ac:dyDescent="0.25">
      <c r="A76" s="29" t="s">
        <v>257</v>
      </c>
      <c r="B76" s="61">
        <v>50.5</v>
      </c>
      <c r="C76" s="61">
        <v>88.45</v>
      </c>
      <c r="D76" s="61">
        <v>118.45</v>
      </c>
      <c r="E76" s="61">
        <v>148.45</v>
      </c>
      <c r="F76" s="61">
        <v>140</v>
      </c>
    </row>
    <row r="77" ht="16" customHeight="1" spans="1:6" x14ac:dyDescent="0.25">
      <c r="A77" s="12" t="s">
        <v>258</v>
      </c>
      <c r="B77" s="66">
        <v>54.41</v>
      </c>
      <c r="C77" s="66">
        <v>107.39</v>
      </c>
      <c r="D77" s="66">
        <v>149.9</v>
      </c>
      <c r="E77" s="66">
        <v>192.39</v>
      </c>
      <c r="F77" s="66">
        <v>140</v>
      </c>
    </row>
    <row r="78" ht="16" customHeight="1" spans="1:6" x14ac:dyDescent="0.25">
      <c r="A78" s="29" t="s">
        <v>259</v>
      </c>
      <c r="B78" s="61">
        <v>88</v>
      </c>
      <c r="C78" s="61">
        <v>136.53</v>
      </c>
      <c r="D78" s="61">
        <v>188.8</v>
      </c>
      <c r="E78" s="61">
        <v>241.07</v>
      </c>
      <c r="F78" s="61">
        <v>140</v>
      </c>
    </row>
    <row r="79" ht="16" customHeight="1" spans="1:6" x14ac:dyDescent="0.25">
      <c r="A79" s="12" t="s">
        <v>260</v>
      </c>
      <c r="B79" s="66">
        <v>69</v>
      </c>
      <c r="C79" s="66">
        <v>139.48</v>
      </c>
      <c r="D79" s="66">
        <v>197.55</v>
      </c>
      <c r="E79" s="66">
        <v>255.62</v>
      </c>
      <c r="F79" s="66">
        <v>140</v>
      </c>
    </row>
    <row r="80" ht="16" customHeight="1" spans="1:6" x14ac:dyDescent="0.25">
      <c r="A80" s="29" t="s">
        <v>261</v>
      </c>
      <c r="B80" s="61">
        <v>48</v>
      </c>
      <c r="C80" s="61">
        <v>85.25</v>
      </c>
      <c r="D80" s="61">
        <v>113.76</v>
      </c>
      <c r="E80" s="61">
        <v>142.27</v>
      </c>
      <c r="F80" s="61">
        <v>140</v>
      </c>
    </row>
    <row r="81" ht="16" customHeight="1" spans="1:6" x14ac:dyDescent="0.25">
      <c r="A81" s="12" t="s">
        <v>262</v>
      </c>
      <c r="B81" s="66">
        <v>83.5</v>
      </c>
      <c r="C81" s="66">
        <v>130.76</v>
      </c>
      <c r="D81" s="66">
        <v>180.36</v>
      </c>
      <c r="E81" s="66">
        <v>229.96</v>
      </c>
      <c r="F81" s="66">
        <v>140</v>
      </c>
    </row>
    <row r="82" ht="16" customHeight="1" spans="1:6" x14ac:dyDescent="0.25">
      <c r="A82" s="29" t="s">
        <v>263</v>
      </c>
      <c r="B82" s="61">
        <v>81.5</v>
      </c>
      <c r="C82" s="61">
        <v>128.19</v>
      </c>
      <c r="D82" s="61">
        <v>176.6</v>
      </c>
      <c r="E82" s="61">
        <v>225.02</v>
      </c>
      <c r="F82" s="61">
        <v>140</v>
      </c>
    </row>
    <row r="83" ht="16" customHeight="1" spans="1:6" x14ac:dyDescent="0.25">
      <c r="A83" s="12" t="s">
        <v>264</v>
      </c>
      <c r="B83" s="66">
        <v>83.5</v>
      </c>
      <c r="C83" s="66">
        <v>133.42</v>
      </c>
      <c r="D83" s="66">
        <v>188.57</v>
      </c>
      <c r="E83" s="66">
        <v>243.72</v>
      </c>
      <c r="F83" s="66">
        <v>140</v>
      </c>
    </row>
    <row r="84" ht="16" customHeight="1" spans="1:6" x14ac:dyDescent="0.25">
      <c r="A84" s="29" t="s">
        <v>265</v>
      </c>
      <c r="B84" s="61">
        <v>81.5</v>
      </c>
      <c r="C84" s="61">
        <v>121.25</v>
      </c>
      <c r="D84" s="61">
        <v>170.54</v>
      </c>
      <c r="E84" s="61">
        <v>219.82</v>
      </c>
      <c r="F84" s="61">
        <v>140</v>
      </c>
    </row>
    <row r="85" ht="16" customHeight="1" spans="1:6" x14ac:dyDescent="0.25">
      <c r="A85" s="12" t="s">
        <v>266</v>
      </c>
      <c r="B85" s="66">
        <v>70.58</v>
      </c>
      <c r="C85" s="66">
        <v>127.23</v>
      </c>
      <c r="D85" s="66">
        <v>179.17</v>
      </c>
      <c r="E85" s="66">
        <v>231.11</v>
      </c>
      <c r="F85" s="66">
        <v>140</v>
      </c>
    </row>
    <row r="86" ht="16" customHeight="1" spans="1:6" x14ac:dyDescent="0.25">
      <c r="A86" s="29" t="s">
        <v>267</v>
      </c>
      <c r="B86" s="61">
        <v>67.98</v>
      </c>
      <c r="C86" s="61">
        <v>124.04</v>
      </c>
      <c r="D86" s="61">
        <v>174.46</v>
      </c>
      <c r="E86" s="61">
        <v>224.89</v>
      </c>
      <c r="F86" s="61">
        <v>140</v>
      </c>
    </row>
    <row r="87" ht="16" customHeight="1" spans="1:6" x14ac:dyDescent="0.25">
      <c r="A87" s="12" t="s">
        <v>268</v>
      </c>
      <c r="B87" s="66">
        <v>63.98</v>
      </c>
      <c r="C87" s="66">
        <v>119.13</v>
      </c>
      <c r="D87" s="66">
        <v>167.22</v>
      </c>
      <c r="E87" s="66">
        <v>215.31</v>
      </c>
      <c r="F87" s="66">
        <v>140</v>
      </c>
    </row>
    <row r="88" ht="16" customHeight="1" spans="1:6" x14ac:dyDescent="0.25">
      <c r="A88" s="29" t="s">
        <v>269</v>
      </c>
      <c r="B88" s="61">
        <v>48.5</v>
      </c>
      <c r="C88" s="61">
        <v>85.89</v>
      </c>
      <c r="D88" s="61">
        <v>114.7</v>
      </c>
      <c r="E88" s="61">
        <v>143.51</v>
      </c>
      <c r="F88" s="61">
        <v>140</v>
      </c>
    </row>
    <row r="89" ht="16" customHeight="1" spans="1:6" x14ac:dyDescent="0.25">
      <c r="A89" s="12" t="s">
        <v>270</v>
      </c>
      <c r="B89" s="66">
        <v>46.5</v>
      </c>
      <c r="C89" s="66">
        <v>83.32</v>
      </c>
      <c r="D89" s="66">
        <v>110.94</v>
      </c>
      <c r="E89" s="66">
        <v>138.57</v>
      </c>
      <c r="F89" s="66">
        <v>140</v>
      </c>
    </row>
    <row r="90" ht="16" customHeight="1" spans="1:6" x14ac:dyDescent="0.25">
      <c r="A90" s="29" t="s">
        <v>271</v>
      </c>
      <c r="B90" s="61">
        <v>62.5</v>
      </c>
      <c r="C90" s="61">
        <v>103.84</v>
      </c>
      <c r="D90" s="61">
        <v>140.96</v>
      </c>
      <c r="E90" s="61">
        <v>178.09</v>
      </c>
      <c r="F90" s="61">
        <v>140</v>
      </c>
    </row>
    <row r="91" ht="16" customHeight="1" spans="1:6" x14ac:dyDescent="0.25">
      <c r="A91" s="12" t="s">
        <v>272</v>
      </c>
      <c r="B91" s="66">
        <v>60.5</v>
      </c>
      <c r="C91" s="66">
        <v>101.27</v>
      </c>
      <c r="D91" s="66">
        <v>137.21</v>
      </c>
      <c r="E91" s="66">
        <v>173.15</v>
      </c>
      <c r="F91" s="66">
        <v>140</v>
      </c>
    </row>
    <row r="92" ht="16" customHeight="1" spans="1:6" x14ac:dyDescent="0.25">
      <c r="A92" s="29" t="s">
        <v>273</v>
      </c>
      <c r="B92" s="61">
        <v>54.9</v>
      </c>
      <c r="C92" s="61">
        <v>107.99</v>
      </c>
      <c r="D92" s="61">
        <v>150.78</v>
      </c>
      <c r="E92" s="61">
        <v>193.57</v>
      </c>
      <c r="F92" s="61">
        <v>140</v>
      </c>
    </row>
    <row r="93" ht="16" customHeight="1" spans="1:6" x14ac:dyDescent="0.25">
      <c r="A93" s="12" t="s">
        <v>274</v>
      </c>
      <c r="B93" s="66">
        <v>52.9</v>
      </c>
      <c r="C93" s="66">
        <v>105.54</v>
      </c>
      <c r="D93" s="66">
        <v>147.16</v>
      </c>
      <c r="E93" s="66">
        <v>188.78</v>
      </c>
      <c r="F93" s="66">
        <v>140</v>
      </c>
    </row>
    <row r="94" ht="16" customHeight="1" spans="1:6" x14ac:dyDescent="0.25">
      <c r="A94" s="29" t="s">
        <v>275</v>
      </c>
      <c r="B94" s="61">
        <v>50.9</v>
      </c>
      <c r="C94" s="61">
        <v>103.09</v>
      </c>
      <c r="D94" s="61">
        <v>143.54</v>
      </c>
      <c r="E94" s="61">
        <v>183.99</v>
      </c>
      <c r="F94" s="61">
        <v>140</v>
      </c>
    </row>
    <row r="95" ht="16" customHeight="1" spans="1:6" x14ac:dyDescent="0.25">
      <c r="A95" s="12" t="s">
        <v>276</v>
      </c>
      <c r="B95" s="66">
        <v>53.9</v>
      </c>
      <c r="C95" s="66">
        <v>106.77</v>
      </c>
      <c r="D95" s="66">
        <v>148.97</v>
      </c>
      <c r="E95" s="66">
        <v>191.17</v>
      </c>
      <c r="F95" s="66">
        <v>140</v>
      </c>
    </row>
    <row r="96" ht="16" customHeight="1" spans="1:6" x14ac:dyDescent="0.25">
      <c r="A96" s="29" t="s">
        <v>277</v>
      </c>
      <c r="B96" s="61">
        <v>51.9</v>
      </c>
      <c r="C96" s="61">
        <v>104.32</v>
      </c>
      <c r="D96" s="61">
        <v>145.35</v>
      </c>
      <c r="E96" s="61">
        <v>186.38</v>
      </c>
      <c r="F96" s="61">
        <v>140</v>
      </c>
    </row>
    <row r="97" ht="16" customHeight="1" spans="1:6" x14ac:dyDescent="0.25">
      <c r="A97" s="12" t="s">
        <v>278</v>
      </c>
      <c r="B97" s="66">
        <v>76.5</v>
      </c>
      <c r="C97" s="66">
        <v>121.78</v>
      </c>
      <c r="D97" s="66">
        <v>167.22</v>
      </c>
      <c r="E97" s="66">
        <v>212.67</v>
      </c>
      <c r="F97" s="66">
        <v>140</v>
      </c>
    </row>
    <row r="98" ht="16" customHeight="1" spans="1:6" x14ac:dyDescent="0.25">
      <c r="A98" s="29" t="s">
        <v>279</v>
      </c>
      <c r="B98" s="61">
        <v>73.5</v>
      </c>
      <c r="C98" s="61">
        <v>117.94</v>
      </c>
      <c r="D98" s="61">
        <v>161.6</v>
      </c>
      <c r="E98" s="61">
        <v>205.26</v>
      </c>
      <c r="F98" s="61">
        <v>140</v>
      </c>
    </row>
    <row r="99" ht="16" customHeight="1" spans="1:6" x14ac:dyDescent="0.25">
      <c r="A99" s="12" t="s">
        <v>280</v>
      </c>
      <c r="B99" s="66">
        <v>57</v>
      </c>
      <c r="C99" s="66">
        <v>124.93</v>
      </c>
      <c r="D99" s="66">
        <v>176</v>
      </c>
      <c r="E99" s="66">
        <v>227.06</v>
      </c>
      <c r="F99" s="66">
        <v>140</v>
      </c>
    </row>
    <row r="100" ht="16" customHeight="1" spans="1:6" x14ac:dyDescent="0.25">
      <c r="A100" s="29" t="s">
        <v>281</v>
      </c>
      <c r="B100" s="61">
        <v>57.9</v>
      </c>
      <c r="C100" s="61">
        <v>111.67</v>
      </c>
      <c r="D100" s="61">
        <v>156.21</v>
      </c>
      <c r="E100" s="61">
        <v>200.75</v>
      </c>
      <c r="F100" s="61">
        <v>140</v>
      </c>
    </row>
    <row r="101" ht="16" customHeight="1" spans="1:6" x14ac:dyDescent="0.25">
      <c r="A101" s="12" t="s">
        <v>282</v>
      </c>
      <c r="B101" s="19"/>
      <c r="C101" s="66">
        <v>109.22</v>
      </c>
      <c r="D101" s="66">
        <v>152.59</v>
      </c>
      <c r="E101" s="66">
        <v>195.96</v>
      </c>
      <c r="F101" s="66">
        <v>140</v>
      </c>
    </row>
    <row r="102" ht="16" customHeight="1" spans="1:6" x14ac:dyDescent="0.25">
      <c r="A102" s="29" t="s">
        <v>283</v>
      </c>
      <c r="B102" s="15"/>
      <c r="C102" s="61">
        <v>106.77</v>
      </c>
      <c r="D102" s="61">
        <v>148.97</v>
      </c>
      <c r="E102" s="61">
        <v>191.17</v>
      </c>
      <c r="F102" s="61">
        <v>140</v>
      </c>
    </row>
    <row r="103" ht="16" customHeight="1" spans="1:6" x14ac:dyDescent="0.25">
      <c r="A103" s="12" t="s">
        <v>284</v>
      </c>
      <c r="B103" s="66">
        <v>50.6</v>
      </c>
      <c r="C103" s="66">
        <v>114.44</v>
      </c>
      <c r="D103" s="66">
        <v>161.76</v>
      </c>
      <c r="E103" s="66">
        <v>209.09</v>
      </c>
      <c r="F103" s="66">
        <v>140</v>
      </c>
    </row>
    <row r="104" ht="16" customHeight="1" spans="1:6" x14ac:dyDescent="0.25">
      <c r="A104" s="29" t="s">
        <v>285</v>
      </c>
      <c r="B104" s="61">
        <v>38.51</v>
      </c>
      <c r="C104" s="61">
        <v>94.82</v>
      </c>
      <c r="D104" s="61">
        <v>136.58</v>
      </c>
      <c r="E104" s="61">
        <v>178.35</v>
      </c>
      <c r="F104" s="61">
        <v>140</v>
      </c>
    </row>
    <row r="105" ht="16" customHeight="1" spans="1:6" x14ac:dyDescent="0.25">
      <c r="A105" s="12" t="s">
        <v>286</v>
      </c>
      <c r="B105" s="66">
        <v>38.01</v>
      </c>
      <c r="C105" s="66">
        <v>94.21</v>
      </c>
      <c r="D105" s="66">
        <v>135.68</v>
      </c>
      <c r="E105" s="66">
        <v>177.16</v>
      </c>
      <c r="F105" s="66">
        <v>140</v>
      </c>
    </row>
    <row r="106" ht="16" customHeight="1" spans="1:6" x14ac:dyDescent="0.25">
      <c r="A106" s="29" t="s">
        <v>287</v>
      </c>
      <c r="B106" s="15"/>
      <c r="C106" s="61">
        <v>111.71</v>
      </c>
      <c r="D106" s="61">
        <v>157.72</v>
      </c>
      <c r="E106" s="61">
        <v>203.73</v>
      </c>
      <c r="F106" s="61">
        <v>130</v>
      </c>
    </row>
    <row r="107" ht="16" customHeight="1" spans="1:6" x14ac:dyDescent="0.25">
      <c r="A107" s="12" t="s">
        <v>288</v>
      </c>
      <c r="B107" s="66">
        <v>35.51</v>
      </c>
      <c r="C107" s="66">
        <v>91.18</v>
      </c>
      <c r="D107" s="66">
        <v>131.19</v>
      </c>
      <c r="E107" s="66">
        <v>171.21</v>
      </c>
      <c r="F107" s="66">
        <v>130</v>
      </c>
    </row>
    <row r="108" ht="16" customHeight="1" spans="1:6" x14ac:dyDescent="0.25">
      <c r="A108" s="29" t="s">
        <v>289</v>
      </c>
      <c r="B108" s="61">
        <v>36.51</v>
      </c>
      <c r="C108" s="61">
        <v>92.39</v>
      </c>
      <c r="D108" s="61">
        <v>132.99</v>
      </c>
      <c r="E108" s="61">
        <v>173.59</v>
      </c>
      <c r="F108" s="61">
        <v>130</v>
      </c>
    </row>
    <row r="109" ht="16" customHeight="1" spans="1:6" x14ac:dyDescent="0.25">
      <c r="A109" s="12" t="s">
        <v>290</v>
      </c>
      <c r="B109" s="66">
        <v>36.01</v>
      </c>
      <c r="C109" s="66">
        <v>91.79</v>
      </c>
      <c r="D109" s="66">
        <v>132.09</v>
      </c>
      <c r="E109" s="66">
        <v>172.4</v>
      </c>
      <c r="F109" s="66">
        <v>130</v>
      </c>
    </row>
    <row r="110" ht="16" customHeight="1" spans="1:6" x14ac:dyDescent="0.25">
      <c r="A110" s="29" t="s">
        <v>291</v>
      </c>
      <c r="B110" s="61">
        <v>37.01</v>
      </c>
      <c r="C110" s="61">
        <v>93</v>
      </c>
      <c r="D110" s="61">
        <v>133.89</v>
      </c>
      <c r="E110" s="61">
        <v>174.78</v>
      </c>
      <c r="F110" s="61">
        <v>130</v>
      </c>
    </row>
    <row r="111" ht="16" customHeight="1" spans="1:6" x14ac:dyDescent="0.25">
      <c r="A111" s="12" t="s">
        <v>292</v>
      </c>
      <c r="B111" s="66">
        <v>33.6</v>
      </c>
      <c r="C111" s="66">
        <v>93.83</v>
      </c>
      <c r="D111" s="66">
        <v>131.23</v>
      </c>
      <c r="E111" s="66">
        <v>168.63</v>
      </c>
      <c r="F111" s="66">
        <v>130</v>
      </c>
    </row>
    <row r="112" ht="16" customHeight="1" spans="1:6" x14ac:dyDescent="0.25">
      <c r="A112" s="29" t="s">
        <v>293</v>
      </c>
      <c r="B112" s="61">
        <v>34.8</v>
      </c>
      <c r="C112" s="61">
        <v>95.29</v>
      </c>
      <c r="D112" s="61">
        <v>133.39</v>
      </c>
      <c r="E112" s="61">
        <v>171.48</v>
      </c>
      <c r="F112" s="61">
        <v>130</v>
      </c>
    </row>
    <row r="113" ht="16" customHeight="1" spans="1:6" x14ac:dyDescent="0.25">
      <c r="A113" s="12" t="s">
        <v>294</v>
      </c>
      <c r="B113" s="66">
        <v>36</v>
      </c>
      <c r="C113" s="66">
        <v>96.74</v>
      </c>
      <c r="D113" s="66">
        <v>135.54</v>
      </c>
      <c r="E113" s="66">
        <v>174.34</v>
      </c>
      <c r="F113" s="66">
        <v>130</v>
      </c>
    </row>
    <row r="114" ht="16" customHeight="1" spans="1:6" x14ac:dyDescent="0.25">
      <c r="A114" s="29" t="s">
        <v>295</v>
      </c>
      <c r="B114" s="61">
        <v>37.2</v>
      </c>
      <c r="C114" s="61">
        <v>98.2</v>
      </c>
      <c r="D114" s="61">
        <v>137.7</v>
      </c>
      <c r="E114" s="61">
        <v>177.2</v>
      </c>
      <c r="F114" s="61">
        <v>130</v>
      </c>
    </row>
    <row r="115" ht="16" customHeight="1" spans="1:6" x14ac:dyDescent="0.25">
      <c r="A115" s="12" t="s">
        <v>296</v>
      </c>
      <c r="B115" s="66">
        <v>38.4</v>
      </c>
      <c r="C115" s="66">
        <v>99.65</v>
      </c>
      <c r="D115" s="66">
        <v>139.85</v>
      </c>
      <c r="E115" s="66">
        <v>180.05</v>
      </c>
      <c r="F115" s="66">
        <v>130</v>
      </c>
    </row>
    <row r="116" ht="16" customHeight="1" spans="1:6" x14ac:dyDescent="0.25">
      <c r="A116" s="29" t="s">
        <v>297</v>
      </c>
      <c r="B116" s="61">
        <v>40.8</v>
      </c>
      <c r="C116" s="61">
        <v>102.56</v>
      </c>
      <c r="D116" s="61">
        <v>144.16</v>
      </c>
      <c r="E116" s="61">
        <v>185.76</v>
      </c>
      <c r="F116" s="61">
        <v>130</v>
      </c>
    </row>
    <row r="117" ht="16" customHeight="1" spans="1:6" x14ac:dyDescent="0.25">
      <c r="A117" s="12" t="s">
        <v>298</v>
      </c>
      <c r="B117" s="66">
        <v>43.2</v>
      </c>
      <c r="C117" s="66">
        <v>105.47</v>
      </c>
      <c r="D117" s="66">
        <v>148.47</v>
      </c>
      <c r="E117" s="66">
        <v>191.48</v>
      </c>
      <c r="F117" s="66">
        <v>130</v>
      </c>
    </row>
    <row r="118" ht="16" customHeight="1" spans="1:6" x14ac:dyDescent="0.25">
      <c r="A118" s="29" t="s">
        <v>299</v>
      </c>
      <c r="B118" s="61">
        <v>43.32</v>
      </c>
      <c r="C118" s="61">
        <v>105.61</v>
      </c>
      <c r="D118" s="61">
        <v>148.69</v>
      </c>
      <c r="E118" s="61">
        <v>191.76</v>
      </c>
      <c r="F118" s="61">
        <v>130</v>
      </c>
    </row>
    <row r="119" ht="16" customHeight="1" spans="1:6" x14ac:dyDescent="0.25">
      <c r="A119" s="12" t="s">
        <v>300</v>
      </c>
      <c r="B119" s="66">
        <v>27.25</v>
      </c>
      <c r="C119" s="66">
        <v>81.16</v>
      </c>
      <c r="D119" s="66">
        <v>116.35</v>
      </c>
      <c r="E119" s="66">
        <v>151.53</v>
      </c>
      <c r="F119" s="66">
        <v>130</v>
      </c>
    </row>
    <row r="120" ht="16" customHeight="1" spans="1:6" x14ac:dyDescent="0.25">
      <c r="A120" s="29" t="s">
        <v>301</v>
      </c>
      <c r="B120" s="61">
        <v>29.06</v>
      </c>
      <c r="C120" s="61">
        <v>83.37</v>
      </c>
      <c r="D120" s="61">
        <v>119.61</v>
      </c>
      <c r="E120" s="61">
        <v>155.86</v>
      </c>
      <c r="F120" s="61">
        <v>130</v>
      </c>
    </row>
    <row r="121" ht="16" customHeight="1" spans="1:6" x14ac:dyDescent="0.25">
      <c r="A121" s="12" t="s">
        <v>302</v>
      </c>
      <c r="B121" s="66">
        <v>30.88</v>
      </c>
      <c r="C121" s="66">
        <v>85.57</v>
      </c>
      <c r="D121" s="66">
        <v>122.87</v>
      </c>
      <c r="E121" s="66">
        <v>160.18</v>
      </c>
      <c r="F121" s="66">
        <v>130</v>
      </c>
    </row>
    <row r="122" ht="16" customHeight="1" spans="1:6" x14ac:dyDescent="0.25">
      <c r="A122" s="29" t="s">
        <v>303</v>
      </c>
      <c r="B122" s="61">
        <v>32.79</v>
      </c>
      <c r="C122" s="61">
        <v>87.88</v>
      </c>
      <c r="D122" s="61">
        <v>126.3</v>
      </c>
      <c r="E122" s="61">
        <v>164.72</v>
      </c>
      <c r="F122" s="61">
        <v>130</v>
      </c>
    </row>
    <row r="123" ht="16" customHeight="1" spans="1:6" x14ac:dyDescent="0.25">
      <c r="A123" s="12" t="s">
        <v>304</v>
      </c>
      <c r="B123" s="66">
        <v>34.51</v>
      </c>
      <c r="C123" s="66">
        <v>89.97</v>
      </c>
      <c r="D123" s="66">
        <v>129.4</v>
      </c>
      <c r="E123" s="66">
        <v>168.83</v>
      </c>
      <c r="F123" s="66">
        <v>130</v>
      </c>
    </row>
    <row r="124" ht="16" customHeight="1" spans="1:6" x14ac:dyDescent="0.25">
      <c r="A124" s="29" t="s">
        <v>305</v>
      </c>
      <c r="B124" s="61">
        <v>35.01</v>
      </c>
      <c r="C124" s="61">
        <v>90.58</v>
      </c>
      <c r="D124" s="61">
        <v>130.3</v>
      </c>
      <c r="E124" s="61">
        <v>170.02</v>
      </c>
      <c r="F124" s="61">
        <v>130</v>
      </c>
    </row>
    <row r="125" ht="16" customHeight="1" spans="1:6" x14ac:dyDescent="0.25">
      <c r="A125" s="12" t="s">
        <v>306</v>
      </c>
      <c r="B125" s="66">
        <v>49.12</v>
      </c>
      <c r="C125" s="66">
        <v>112.95</v>
      </c>
      <c r="D125" s="66">
        <v>161.76</v>
      </c>
      <c r="E125" s="66">
        <v>210.56</v>
      </c>
      <c r="F125" s="66">
        <v>130</v>
      </c>
    </row>
    <row r="126" ht="16" customHeight="1" spans="1:6" x14ac:dyDescent="0.25">
      <c r="A126" s="29" t="s">
        <v>307</v>
      </c>
      <c r="B126" s="61">
        <v>48.04</v>
      </c>
      <c r="C126" s="61">
        <v>111.65</v>
      </c>
      <c r="D126" s="61">
        <v>159.83</v>
      </c>
      <c r="E126" s="61">
        <v>208.01</v>
      </c>
      <c r="F126" s="61">
        <v>130</v>
      </c>
    </row>
    <row r="127" ht="16" customHeight="1" spans="1:6" x14ac:dyDescent="0.25">
      <c r="A127" s="12" t="s">
        <v>308</v>
      </c>
      <c r="B127" s="66">
        <v>43.79</v>
      </c>
      <c r="C127" s="66">
        <v>106.49</v>
      </c>
      <c r="D127" s="66">
        <v>152.18</v>
      </c>
      <c r="E127" s="66">
        <v>197.88</v>
      </c>
      <c r="F127" s="66">
        <v>130</v>
      </c>
    </row>
    <row r="128" ht="16" customHeight="1" spans="1:6" x14ac:dyDescent="0.25">
      <c r="A128" s="29" t="s">
        <v>309</v>
      </c>
      <c r="B128" s="61">
        <v>50.07</v>
      </c>
      <c r="C128" s="61">
        <v>114.1</v>
      </c>
      <c r="D128" s="61">
        <v>163.46</v>
      </c>
      <c r="E128" s="61">
        <v>212.82</v>
      </c>
      <c r="F128" s="61">
        <v>130</v>
      </c>
    </row>
    <row r="129" ht="16" customHeight="1" spans="1:6" x14ac:dyDescent="0.25">
      <c r="A129" s="12" t="s">
        <v>310</v>
      </c>
      <c r="B129" s="66">
        <v>51.02</v>
      </c>
      <c r="C129" s="66">
        <v>115.25</v>
      </c>
      <c r="D129" s="66">
        <v>165.17</v>
      </c>
      <c r="E129" s="66">
        <v>215.09</v>
      </c>
      <c r="F129" s="66">
        <v>130</v>
      </c>
    </row>
    <row r="130" ht="16" customHeight="1" spans="1:6" x14ac:dyDescent="0.25">
      <c r="A130" s="29" t="s">
        <v>311</v>
      </c>
      <c r="B130" s="61">
        <v>51.25</v>
      </c>
      <c r="C130" s="61">
        <v>115.54</v>
      </c>
      <c r="D130" s="61">
        <v>165.59</v>
      </c>
      <c r="E130" s="61">
        <v>215.65</v>
      </c>
      <c r="F130" s="61">
        <v>130</v>
      </c>
    </row>
    <row r="131" ht="16" customHeight="1" spans="1:6" x14ac:dyDescent="0.25">
      <c r="A131" s="12" t="s">
        <v>312</v>
      </c>
      <c r="B131" s="66">
        <v>51.54</v>
      </c>
      <c r="C131" s="66">
        <v>115.88</v>
      </c>
      <c r="D131" s="66">
        <v>166.11</v>
      </c>
      <c r="E131" s="66">
        <v>216.33</v>
      </c>
      <c r="F131" s="66">
        <v>130</v>
      </c>
    </row>
    <row r="132" ht="16" customHeight="1" spans="1:6" x14ac:dyDescent="0.25">
      <c r="A132" s="29" t="s">
        <v>313</v>
      </c>
      <c r="B132" s="61">
        <v>51.73</v>
      </c>
      <c r="C132" s="61">
        <v>116.11</v>
      </c>
      <c r="D132" s="61">
        <v>166.45</v>
      </c>
      <c r="E132" s="61">
        <v>216.78</v>
      </c>
      <c r="F132" s="61">
        <v>130</v>
      </c>
    </row>
    <row r="133" ht="16" customHeight="1" spans="1:6" x14ac:dyDescent="0.25">
      <c r="A133" s="12" t="s">
        <v>314</v>
      </c>
      <c r="B133" s="66">
        <v>51.82</v>
      </c>
      <c r="C133" s="66">
        <v>116.23</v>
      </c>
      <c r="D133" s="66">
        <v>166.62</v>
      </c>
      <c r="E133" s="66">
        <v>217.01</v>
      </c>
      <c r="F133" s="66">
        <v>130</v>
      </c>
    </row>
    <row r="134" ht="16" customHeight="1" spans="1:6" x14ac:dyDescent="0.25">
      <c r="A134" s="29" t="s">
        <v>315</v>
      </c>
      <c r="B134" s="61">
        <v>51.92</v>
      </c>
      <c r="C134" s="61">
        <v>116.34</v>
      </c>
      <c r="D134" s="61">
        <v>166.79</v>
      </c>
      <c r="E134" s="61">
        <v>217.23</v>
      </c>
      <c r="F134" s="61">
        <v>130</v>
      </c>
    </row>
    <row r="135" ht="16" customHeight="1" spans="1:6" x14ac:dyDescent="0.25">
      <c r="A135" s="12" t="s">
        <v>316</v>
      </c>
      <c r="B135" s="66">
        <v>52.06</v>
      </c>
      <c r="C135" s="66">
        <v>116.52</v>
      </c>
      <c r="D135" s="66">
        <v>167.04</v>
      </c>
      <c r="E135" s="66">
        <v>217.57</v>
      </c>
      <c r="F135" s="66">
        <v>130</v>
      </c>
    </row>
    <row r="136" ht="16" customHeight="1" spans="1:6" x14ac:dyDescent="0.25">
      <c r="A136" s="29" t="s">
        <v>317</v>
      </c>
      <c r="B136" s="61">
        <v>52.11</v>
      </c>
      <c r="C136" s="61">
        <v>116.57</v>
      </c>
      <c r="D136" s="61">
        <v>167.13</v>
      </c>
      <c r="E136" s="61">
        <v>217.69</v>
      </c>
      <c r="F136" s="61">
        <v>130</v>
      </c>
    </row>
    <row r="137" ht="16" customHeight="1" spans="1:6" x14ac:dyDescent="0.25">
      <c r="A137" s="12" t="s">
        <v>318</v>
      </c>
      <c r="B137" s="66">
        <v>52.2</v>
      </c>
      <c r="C137" s="66">
        <v>116.69</v>
      </c>
      <c r="D137" s="66">
        <v>167.3</v>
      </c>
      <c r="E137" s="66">
        <v>217.91</v>
      </c>
      <c r="F137" s="66">
        <v>130</v>
      </c>
    </row>
    <row r="138" ht="16" customHeight="1" spans="1:6" x14ac:dyDescent="0.25">
      <c r="A138" s="29" t="s">
        <v>319</v>
      </c>
      <c r="B138" s="61">
        <v>52.35</v>
      </c>
      <c r="C138" s="61">
        <v>116.86</v>
      </c>
      <c r="D138" s="61">
        <v>167.56</v>
      </c>
      <c r="E138" s="61">
        <v>218.25</v>
      </c>
      <c r="F138" s="61">
        <v>130</v>
      </c>
    </row>
    <row r="139" ht="16" customHeight="1" spans="1:6" x14ac:dyDescent="0.25">
      <c r="A139" s="12" t="s">
        <v>320</v>
      </c>
      <c r="B139" s="66">
        <v>52.68</v>
      </c>
      <c r="C139" s="66">
        <v>117.27</v>
      </c>
      <c r="D139" s="66">
        <v>168.15</v>
      </c>
      <c r="E139" s="66">
        <v>219.04</v>
      </c>
      <c r="F139" s="66">
        <v>130</v>
      </c>
    </row>
    <row r="140" ht="16" customHeight="1" spans="1:6" x14ac:dyDescent="0.25">
      <c r="A140" s="29" t="s">
        <v>321</v>
      </c>
      <c r="B140" s="61">
        <v>51.02</v>
      </c>
      <c r="C140" s="61">
        <v>115.25</v>
      </c>
      <c r="D140" s="61">
        <v>165.17</v>
      </c>
      <c r="E140" s="61">
        <v>215.09</v>
      </c>
      <c r="F140" s="61">
        <v>130</v>
      </c>
    </row>
    <row r="141" ht="16" customHeight="1" spans="1:6" x14ac:dyDescent="0.25">
      <c r="A141" s="12" t="s">
        <v>322</v>
      </c>
      <c r="B141" s="66">
        <v>51.97</v>
      </c>
      <c r="C141" s="66">
        <v>116.4</v>
      </c>
      <c r="D141" s="66">
        <v>166.87</v>
      </c>
      <c r="E141" s="66">
        <v>217.35</v>
      </c>
      <c r="F141" s="66">
        <v>130</v>
      </c>
    </row>
    <row r="142" ht="16" customHeight="1" spans="1:6" x14ac:dyDescent="0.25">
      <c r="A142" s="29" t="s">
        <v>323</v>
      </c>
      <c r="B142" s="15"/>
      <c r="C142" s="61">
        <v>68.05</v>
      </c>
      <c r="D142" s="61">
        <v>92.35</v>
      </c>
      <c r="E142" s="61">
        <v>116.63</v>
      </c>
      <c r="F142" s="61">
        <v>130</v>
      </c>
    </row>
    <row r="143" ht="16" customHeight="1" spans="1:6" x14ac:dyDescent="0.25">
      <c r="A143" s="12" t="s">
        <v>324</v>
      </c>
      <c r="B143" s="66">
        <v>25.81</v>
      </c>
      <c r="C143" s="66">
        <v>71.19</v>
      </c>
      <c r="D143" s="66">
        <v>96.98</v>
      </c>
      <c r="E143" s="66">
        <v>122.78</v>
      </c>
      <c r="F143" s="66">
        <v>130</v>
      </c>
    </row>
    <row r="144" ht="16" customHeight="1" spans="1:6" x14ac:dyDescent="0.25">
      <c r="A144" s="29" t="s">
        <v>325</v>
      </c>
      <c r="B144" s="61">
        <v>28.39</v>
      </c>
      <c r="C144" s="61">
        <v>74.31</v>
      </c>
      <c r="D144" s="61">
        <v>101.62</v>
      </c>
      <c r="E144" s="61">
        <v>128.92</v>
      </c>
      <c r="F144" s="61">
        <v>130</v>
      </c>
    </row>
    <row r="145" ht="16" customHeight="1" spans="1:6" x14ac:dyDescent="0.25">
      <c r="A145" s="12" t="s">
        <v>326</v>
      </c>
      <c r="B145" s="66">
        <v>30.97</v>
      </c>
      <c r="C145" s="66">
        <v>77.44</v>
      </c>
      <c r="D145" s="66">
        <v>106.25</v>
      </c>
      <c r="E145" s="66">
        <v>135.06</v>
      </c>
      <c r="F145" s="66">
        <v>130</v>
      </c>
    </row>
    <row r="146" ht="16" customHeight="1" spans="1:6" x14ac:dyDescent="0.25">
      <c r="A146" s="29" t="s">
        <v>327</v>
      </c>
      <c r="B146" s="61">
        <v>33.55</v>
      </c>
      <c r="C146" s="61">
        <v>80.57</v>
      </c>
      <c r="D146" s="61">
        <v>110.88</v>
      </c>
      <c r="E146" s="61">
        <v>141.2</v>
      </c>
      <c r="F146" s="61">
        <v>130</v>
      </c>
    </row>
    <row r="147" ht="16" customHeight="1" spans="1:6" x14ac:dyDescent="0.25">
      <c r="A147" s="12" t="s">
        <v>328</v>
      </c>
      <c r="B147" s="66">
        <v>36.13</v>
      </c>
      <c r="C147" s="66">
        <v>83.7</v>
      </c>
      <c r="D147" s="66">
        <v>115.52</v>
      </c>
      <c r="E147" s="66">
        <v>147.34</v>
      </c>
      <c r="F147" s="66">
        <v>130</v>
      </c>
    </row>
    <row r="148" ht="16" customHeight="1" spans="1:6" x14ac:dyDescent="0.25">
      <c r="A148" s="29" t="s">
        <v>329</v>
      </c>
      <c r="B148" s="61">
        <v>38.71</v>
      </c>
      <c r="C148" s="61">
        <v>86.82</v>
      </c>
      <c r="D148" s="61">
        <v>120.15</v>
      </c>
      <c r="E148" s="61">
        <v>153.48</v>
      </c>
      <c r="F148" s="61">
        <v>130</v>
      </c>
    </row>
    <row r="149" ht="16" customHeight="1" spans="1:6" x14ac:dyDescent="0.25">
      <c r="A149" s="12" t="s">
        <v>330</v>
      </c>
      <c r="B149" s="66">
        <v>41.29</v>
      </c>
      <c r="C149" s="66">
        <v>89.95</v>
      </c>
      <c r="D149" s="66">
        <v>124.79</v>
      </c>
      <c r="E149" s="66">
        <v>159.63</v>
      </c>
      <c r="F149" s="66">
        <v>130</v>
      </c>
    </row>
    <row r="150" ht="16" customHeight="1" spans="1:6" x14ac:dyDescent="0.25">
      <c r="A150" s="29" t="s">
        <v>331</v>
      </c>
      <c r="B150" s="61">
        <v>43.87</v>
      </c>
      <c r="C150" s="61">
        <v>93.08</v>
      </c>
      <c r="D150" s="61">
        <v>129.42</v>
      </c>
      <c r="E150" s="61">
        <v>165.77</v>
      </c>
      <c r="F150" s="61">
        <v>130</v>
      </c>
    </row>
    <row r="151" ht="16" customHeight="1" spans="1:6" x14ac:dyDescent="0.25">
      <c r="A151" s="12" t="s">
        <v>332</v>
      </c>
      <c r="B151" s="66">
        <v>46.45</v>
      </c>
      <c r="C151" s="66">
        <v>96.21</v>
      </c>
      <c r="D151" s="66">
        <v>134.06</v>
      </c>
      <c r="E151" s="66">
        <v>171.91</v>
      </c>
      <c r="F151" s="66">
        <v>130</v>
      </c>
    </row>
    <row r="152" ht="16" customHeight="1" spans="1:6" x14ac:dyDescent="0.25">
      <c r="A152" s="29" t="s">
        <v>333</v>
      </c>
      <c r="B152" s="61">
        <v>46.58</v>
      </c>
      <c r="C152" s="61">
        <v>96.36</v>
      </c>
      <c r="D152" s="61">
        <v>134.29</v>
      </c>
      <c r="E152" s="61">
        <v>172.22</v>
      </c>
      <c r="F152" s="61">
        <v>130</v>
      </c>
    </row>
    <row r="153" ht="16" customHeight="1" spans="1:6" x14ac:dyDescent="0.25">
      <c r="A153" s="12" t="s">
        <v>334</v>
      </c>
      <c r="B153" s="66">
        <v>53.93</v>
      </c>
      <c r="C153" s="66">
        <v>105.28</v>
      </c>
      <c r="D153" s="66">
        <v>147.5</v>
      </c>
      <c r="E153" s="66">
        <v>189.72</v>
      </c>
      <c r="F153" s="66">
        <v>130</v>
      </c>
    </row>
    <row r="154" ht="16" customHeight="1" spans="1:6" x14ac:dyDescent="0.25">
      <c r="A154" s="29" t="s">
        <v>335</v>
      </c>
      <c r="B154" s="61">
        <v>46.35</v>
      </c>
      <c r="C154" s="61">
        <v>98.27</v>
      </c>
      <c r="D154" s="61">
        <v>116.64</v>
      </c>
      <c r="E154" s="61">
        <v>143.7</v>
      </c>
      <c r="F154" s="61">
        <v>130</v>
      </c>
    </row>
    <row r="155" ht="16" customHeight="1" spans="1:6" x14ac:dyDescent="0.25">
      <c r="A155" s="12" t="s">
        <v>336</v>
      </c>
      <c r="B155" s="66">
        <v>46.65</v>
      </c>
      <c r="C155" s="66">
        <v>98.64</v>
      </c>
      <c r="D155" s="66">
        <v>117.18</v>
      </c>
      <c r="E155" s="66">
        <v>144.43</v>
      </c>
      <c r="F155" s="66">
        <v>130</v>
      </c>
    </row>
    <row r="156" ht="16" customHeight="1" spans="1:6" x14ac:dyDescent="0.25">
      <c r="A156" s="29" t="s">
        <v>337</v>
      </c>
      <c r="B156" s="61">
        <v>46.99</v>
      </c>
      <c r="C156" s="61">
        <v>99.04</v>
      </c>
      <c r="D156" s="61">
        <v>117.78</v>
      </c>
      <c r="E156" s="61">
        <v>145.22</v>
      </c>
      <c r="F156" s="61">
        <v>130</v>
      </c>
    </row>
    <row r="157" ht="16" customHeight="1" spans="1:6" x14ac:dyDescent="0.25">
      <c r="A157" s="12" t="s">
        <v>338</v>
      </c>
      <c r="B157" s="66">
        <v>48.04</v>
      </c>
      <c r="C157" s="66">
        <v>100.32</v>
      </c>
      <c r="D157" s="66">
        <v>119.67</v>
      </c>
      <c r="E157" s="66">
        <v>147.73</v>
      </c>
      <c r="F157" s="66">
        <v>130</v>
      </c>
    </row>
    <row r="158" ht="16" customHeight="1" spans="1:6" x14ac:dyDescent="0.25">
      <c r="A158" s="29" t="s">
        <v>339</v>
      </c>
      <c r="B158" s="61">
        <v>49.94</v>
      </c>
      <c r="C158" s="61">
        <v>102.62</v>
      </c>
      <c r="D158" s="61">
        <v>123.08</v>
      </c>
      <c r="E158" s="61">
        <v>152.25</v>
      </c>
      <c r="F158" s="61">
        <v>130</v>
      </c>
    </row>
    <row r="159" ht="16" customHeight="1" spans="1:6" x14ac:dyDescent="0.25">
      <c r="A159" s="80"/>
      <c r="B159" s="19"/>
      <c r="C159" s="19"/>
      <c r="D159" s="19"/>
      <c r="E159" s="19"/>
      <c r="F159" s="19"/>
    </row>
    <row r="160" ht="16" customHeight="1" spans="1:6" x14ac:dyDescent="0.25">
      <c r="A160" s="81" t="s">
        <v>340</v>
      </c>
      <c r="B160" s="81"/>
      <c r="C160" s="81"/>
      <c r="D160" s="81"/>
      <c r="E160" s="81"/>
      <c r="F160" s="81"/>
    </row>
    <row r="161" ht="16" customHeight="1" spans="1:6" x14ac:dyDescent="0.25">
      <c r="A161" s="24" t="s">
        <v>136</v>
      </c>
      <c r="B161" s="24" t="s">
        <v>341</v>
      </c>
      <c r="C161" s="24" t="s">
        <v>342</v>
      </c>
      <c r="D161" s="24" t="s">
        <v>343</v>
      </c>
      <c r="E161" s="24" t="s">
        <v>344</v>
      </c>
      <c r="F161" s="24" t="s">
        <v>345</v>
      </c>
    </row>
    <row r="162" ht="16" customHeight="1" spans="1:6" x14ac:dyDescent="0.25">
      <c r="A162" s="29" t="s">
        <v>184</v>
      </c>
      <c r="B162" s="9" t="s">
        <v>346</v>
      </c>
      <c r="C162" s="61">
        <v>184</v>
      </c>
      <c r="D162" s="61">
        <v>552</v>
      </c>
      <c r="E162" s="61">
        <v>1656</v>
      </c>
      <c r="F162" s="20"/>
    </row>
    <row r="163" ht="16" customHeight="1" spans="1:6" x14ac:dyDescent="0.25">
      <c r="A163" s="12" t="s">
        <v>185</v>
      </c>
      <c r="B163" s="6" t="s">
        <v>347</v>
      </c>
      <c r="C163" s="66">
        <v>200</v>
      </c>
      <c r="D163" s="66">
        <v>600</v>
      </c>
      <c r="E163" s="66">
        <v>1800</v>
      </c>
      <c r="F163" s="33"/>
    </row>
    <row r="164" ht="16" customHeight="1" spans="1:6" x14ac:dyDescent="0.25">
      <c r="A164" s="29" t="s">
        <v>186</v>
      </c>
      <c r="B164" s="9" t="s">
        <v>347</v>
      </c>
      <c r="C164" s="61">
        <v>400</v>
      </c>
      <c r="D164" s="61">
        <v>1200</v>
      </c>
      <c r="E164" s="61">
        <v>3600</v>
      </c>
      <c r="F164" s="9" t="s">
        <v>348</v>
      </c>
    </row>
    <row r="165" ht="16" customHeight="1" spans="1:6" x14ac:dyDescent="0.25">
      <c r="A165" s="80"/>
      <c r="B165" s="33"/>
      <c r="C165" s="19"/>
      <c r="D165" s="19"/>
      <c r="E165" s="19"/>
      <c r="F165" s="33"/>
    </row>
    <row r="166" ht="16" customHeight="1" spans="1:6" x14ac:dyDescent="0.25">
      <c r="A166" s="81" t="s">
        <v>349</v>
      </c>
      <c r="B166" s="81"/>
      <c r="C166" s="81"/>
      <c r="D166" s="81"/>
      <c r="E166" s="81"/>
      <c r="F166" s="81"/>
    </row>
    <row r="167" ht="16" customHeight="1" spans="1:6" x14ac:dyDescent="0.25">
      <c r="A167" s="24" t="s">
        <v>136</v>
      </c>
      <c r="B167" s="24" t="s">
        <v>342</v>
      </c>
      <c r="C167" s="24" t="s">
        <v>343</v>
      </c>
      <c r="D167" s="24" t="s">
        <v>344</v>
      </c>
      <c r="E167" s="24" t="s">
        <v>141</v>
      </c>
      <c r="F167" s="24" t="s">
        <v>350</v>
      </c>
    </row>
    <row r="168" ht="16" customHeight="1" spans="1:6" x14ac:dyDescent="0.25">
      <c r="A168" s="29" t="s">
        <v>144</v>
      </c>
      <c r="B168" s="61">
        <v>61.25</v>
      </c>
      <c r="C168" s="61">
        <v>306.24</v>
      </c>
      <c r="D168" s="61">
        <v>1225</v>
      </c>
      <c r="E168" s="61">
        <v>50</v>
      </c>
      <c r="F168" s="82">
        <v>0.065</v>
      </c>
    </row>
    <row r="169" ht="16" customHeight="1" spans="1:6" x14ac:dyDescent="0.25">
      <c r="A169" s="12" t="s">
        <v>146</v>
      </c>
      <c r="B169" s="19"/>
      <c r="C169" s="19"/>
      <c r="D169" s="66">
        <v>2800</v>
      </c>
      <c r="E169" s="19"/>
      <c r="F169" s="83">
        <v>0.065</v>
      </c>
    </row>
    <row r="170" ht="16" customHeight="1" spans="1:6" x14ac:dyDescent="0.25">
      <c r="A170" s="29" t="s">
        <v>147</v>
      </c>
      <c r="B170" s="15"/>
      <c r="C170" s="15"/>
      <c r="D170" s="61">
        <v>150</v>
      </c>
      <c r="E170" s="15"/>
      <c r="F170" s="82">
        <v>0.065</v>
      </c>
    </row>
    <row r="171" ht="16" customHeight="1" spans="1:6" x14ac:dyDescent="0.25">
      <c r="A171" s="12" t="s">
        <v>148</v>
      </c>
      <c r="B171" s="19"/>
      <c r="C171" s="19"/>
      <c r="D171" s="66">
        <v>895</v>
      </c>
      <c r="E171" s="66">
        <v>50</v>
      </c>
      <c r="F171" s="83">
        <v>0.065</v>
      </c>
    </row>
    <row r="172" ht="16" customHeight="1" spans="1:6" x14ac:dyDescent="0.25">
      <c r="A172" s="29" t="s">
        <v>149</v>
      </c>
      <c r="B172" s="61">
        <v>134</v>
      </c>
      <c r="C172" s="61">
        <v>310</v>
      </c>
      <c r="D172" s="61">
        <v>627</v>
      </c>
      <c r="E172" s="61">
        <v>100</v>
      </c>
      <c r="F172" s="82">
        <v>0.065</v>
      </c>
    </row>
    <row r="173" ht="16" customHeight="1" spans="1:6" x14ac:dyDescent="0.25">
      <c r="A173" s="12" t="s">
        <v>150</v>
      </c>
      <c r="B173" s="66">
        <v>150</v>
      </c>
      <c r="C173" s="66">
        <v>340</v>
      </c>
      <c r="D173" s="66">
        <v>801</v>
      </c>
      <c r="E173" s="66">
        <v>50</v>
      </c>
      <c r="F173" s="83">
        <v>0.065</v>
      </c>
    </row>
    <row r="174" ht="16" customHeight="1" spans="1:6" x14ac:dyDescent="0.25">
      <c r="A174" s="29" t="s">
        <v>151</v>
      </c>
      <c r="B174" s="15"/>
      <c r="C174" s="15"/>
      <c r="D174" s="61">
        <v>512</v>
      </c>
      <c r="E174" s="61">
        <v>50</v>
      </c>
      <c r="F174" s="82">
        <v>0.065</v>
      </c>
    </row>
    <row r="175" ht="16" customHeight="1" spans="1:6" x14ac:dyDescent="0.25">
      <c r="A175" s="12" t="s">
        <v>152</v>
      </c>
      <c r="B175" s="19"/>
      <c r="C175" s="19"/>
      <c r="D175" s="66">
        <v>225</v>
      </c>
      <c r="E175" s="66">
        <v>50</v>
      </c>
      <c r="F175" s="83">
        <v>0.065</v>
      </c>
    </row>
    <row r="176" ht="16" customHeight="1" spans="1:6" x14ac:dyDescent="0.25">
      <c r="A176" s="29" t="s">
        <v>153</v>
      </c>
      <c r="B176" s="15"/>
      <c r="C176" s="15"/>
      <c r="D176" s="61">
        <v>6500</v>
      </c>
      <c r="E176" s="61">
        <v>250</v>
      </c>
      <c r="F176" s="82">
        <v>0.065</v>
      </c>
    </row>
    <row r="177" ht="16" customHeight="1" spans="1:6" x14ac:dyDescent="0.25">
      <c r="A177" s="12" t="s">
        <v>154</v>
      </c>
      <c r="B177" s="66">
        <v>120</v>
      </c>
      <c r="C177" s="66">
        <v>258</v>
      </c>
      <c r="D177" s="66">
        <v>847</v>
      </c>
      <c r="E177" s="66">
        <v>100</v>
      </c>
      <c r="F177" s="83">
        <v>0.065</v>
      </c>
    </row>
    <row r="178" ht="16" customHeight="1" spans="1:6" x14ac:dyDescent="0.25">
      <c r="A178" s="29" t="s">
        <v>155</v>
      </c>
      <c r="B178" s="15"/>
      <c r="C178" s="15"/>
      <c r="D178" s="61">
        <v>460</v>
      </c>
      <c r="E178" s="61">
        <v>50</v>
      </c>
      <c r="F178" s="82">
        <v>0.065</v>
      </c>
    </row>
    <row r="179" ht="16" customHeight="1" spans="1:6" x14ac:dyDescent="0.25">
      <c r="A179" s="12" t="s">
        <v>156</v>
      </c>
      <c r="B179" s="66">
        <v>393</v>
      </c>
      <c r="C179" s="66">
        <v>818</v>
      </c>
      <c r="D179" s="66">
        <v>3500</v>
      </c>
      <c r="E179" s="66">
        <v>200</v>
      </c>
      <c r="F179" s="83">
        <v>0.065</v>
      </c>
    </row>
    <row r="180" ht="16" customHeight="1" spans="1:6" x14ac:dyDescent="0.25">
      <c r="A180" s="29" t="s">
        <v>157</v>
      </c>
      <c r="B180" s="61">
        <v>256</v>
      </c>
      <c r="C180" s="61">
        <v>638</v>
      </c>
      <c r="D180" s="61">
        <v>1750</v>
      </c>
      <c r="E180" s="61">
        <v>1500</v>
      </c>
      <c r="F180" s="82">
        <v>0.065</v>
      </c>
    </row>
    <row r="181" ht="16" customHeight="1" spans="1:6" x14ac:dyDescent="0.25">
      <c r="A181" s="12" t="s">
        <v>158</v>
      </c>
      <c r="B181" s="19"/>
      <c r="C181" s="19"/>
      <c r="D181" s="66">
        <v>1600</v>
      </c>
      <c r="E181" s="19"/>
      <c r="F181" s="83">
        <v>0.065</v>
      </c>
    </row>
    <row r="182" ht="16" customHeight="1" spans="1:6" x14ac:dyDescent="0.25">
      <c r="A182" s="29" t="s">
        <v>159</v>
      </c>
      <c r="B182" s="15"/>
      <c r="C182" s="15"/>
      <c r="D182" s="61">
        <v>18350</v>
      </c>
      <c r="E182" s="61">
        <v>1200</v>
      </c>
      <c r="F182" s="82">
        <v>0.065</v>
      </c>
    </row>
    <row r="183" ht="16" customHeight="1" spans="1:6" x14ac:dyDescent="0.25">
      <c r="A183" s="12" t="s">
        <v>160</v>
      </c>
      <c r="B183" s="66">
        <v>45</v>
      </c>
      <c r="C183" s="66">
        <v>225</v>
      </c>
      <c r="D183" s="66">
        <v>675</v>
      </c>
      <c r="E183" s="66">
        <v>100</v>
      </c>
      <c r="F183" s="83">
        <v>0.065</v>
      </c>
    </row>
    <row r="184" ht="16" customHeight="1" spans="1:6" x14ac:dyDescent="0.25">
      <c r="A184" s="29" t="s">
        <v>161</v>
      </c>
      <c r="B184" s="61">
        <v>50</v>
      </c>
      <c r="C184" s="61">
        <v>250</v>
      </c>
      <c r="D184" s="61">
        <v>750</v>
      </c>
      <c r="E184" s="61">
        <v>100</v>
      </c>
      <c r="F184" s="82">
        <v>0.065</v>
      </c>
    </row>
    <row r="185" ht="16" customHeight="1" spans="1:6" x14ac:dyDescent="0.25">
      <c r="A185" s="12" t="s">
        <v>162</v>
      </c>
      <c r="B185" s="66">
        <v>25</v>
      </c>
      <c r="C185" s="66">
        <v>200</v>
      </c>
      <c r="D185" s="66">
        <v>750</v>
      </c>
      <c r="E185" s="66">
        <v>200</v>
      </c>
      <c r="F185" s="83">
        <v>0.065</v>
      </c>
    </row>
    <row r="186" ht="16" customHeight="1" spans="1:6" x14ac:dyDescent="0.25">
      <c r="A186" s="29" t="s">
        <v>163</v>
      </c>
      <c r="B186" s="61">
        <v>65</v>
      </c>
      <c r="C186" s="61">
        <v>195</v>
      </c>
      <c r="D186" s="61">
        <v>780</v>
      </c>
      <c r="E186" s="61">
        <v>250</v>
      </c>
      <c r="F186" s="82">
        <v>0.065</v>
      </c>
    </row>
    <row r="187" ht="16" customHeight="1" spans="1:6" x14ac:dyDescent="0.25">
      <c r="A187" s="12" t="s">
        <v>164</v>
      </c>
      <c r="B187" s="66">
        <v>90</v>
      </c>
      <c r="C187" s="66">
        <v>270</v>
      </c>
      <c r="D187" s="66">
        <v>1080</v>
      </c>
      <c r="E187" s="66">
        <v>250</v>
      </c>
      <c r="F187" s="83">
        <v>0.065</v>
      </c>
    </row>
    <row r="188" ht="16" customHeight="1" spans="1:6" x14ac:dyDescent="0.25">
      <c r="A188" s="29" t="s">
        <v>165</v>
      </c>
      <c r="B188" s="61">
        <v>66.5</v>
      </c>
      <c r="C188" s="61">
        <v>169.5</v>
      </c>
      <c r="D188" s="61">
        <v>514.5</v>
      </c>
      <c r="E188" s="15"/>
      <c r="F188" s="82">
        <v>0.065</v>
      </c>
    </row>
    <row r="189" ht="16" customHeight="1" spans="1:6" x14ac:dyDescent="0.25">
      <c r="A189" s="12" t="s">
        <v>166</v>
      </c>
      <c r="B189" s="66">
        <v>190</v>
      </c>
      <c r="C189" s="66">
        <v>310</v>
      </c>
      <c r="D189" s="66">
        <v>726</v>
      </c>
      <c r="E189" s="66">
        <v>50</v>
      </c>
      <c r="F189" s="83">
        <v>0.065</v>
      </c>
    </row>
    <row r="190" ht="16" customHeight="1" spans="1:6" x14ac:dyDescent="0.25">
      <c r="A190" s="29" t="s">
        <v>167</v>
      </c>
      <c r="B190" s="61">
        <v>107</v>
      </c>
      <c r="C190" s="61">
        <v>218</v>
      </c>
      <c r="D190" s="61">
        <v>584</v>
      </c>
      <c r="E190" s="61">
        <v>50</v>
      </c>
      <c r="F190" s="82">
        <v>0.065</v>
      </c>
    </row>
    <row r="191" ht="16" customHeight="1" spans="1:6" x14ac:dyDescent="0.25">
      <c r="A191" s="12" t="s">
        <v>168</v>
      </c>
      <c r="B191" s="66">
        <v>345</v>
      </c>
      <c r="C191" s="66">
        <v>1380</v>
      </c>
      <c r="D191" s="66">
        <v>4140</v>
      </c>
      <c r="E191" s="66">
        <v>200</v>
      </c>
      <c r="F191" s="83">
        <v>0.065</v>
      </c>
    </row>
    <row r="192" ht="16" customHeight="1" spans="1:6" x14ac:dyDescent="0.25">
      <c r="A192" s="29" t="s">
        <v>169</v>
      </c>
      <c r="B192" s="61">
        <v>298</v>
      </c>
      <c r="C192" s="61">
        <v>1193</v>
      </c>
      <c r="D192" s="61">
        <v>3579</v>
      </c>
      <c r="E192" s="61">
        <v>200</v>
      </c>
      <c r="F192" s="82">
        <v>0.065</v>
      </c>
    </row>
    <row r="193" ht="16" customHeight="1" spans="1:6" x14ac:dyDescent="0.25">
      <c r="A193" s="12" t="s">
        <v>170</v>
      </c>
      <c r="B193" s="19"/>
      <c r="C193" s="19"/>
      <c r="D193" s="66">
        <v>2540</v>
      </c>
      <c r="E193" s="66">
        <v>200</v>
      </c>
      <c r="F193" s="83">
        <v>0.065</v>
      </c>
    </row>
    <row r="194" ht="16" customHeight="1" spans="1:6" x14ac:dyDescent="0.25">
      <c r="A194" s="29" t="s">
        <v>171</v>
      </c>
      <c r="B194" s="61">
        <v>604</v>
      </c>
      <c r="C194" s="61">
        <v>2417</v>
      </c>
      <c r="D194" s="61">
        <v>7251</v>
      </c>
      <c r="E194" s="61">
        <v>200</v>
      </c>
      <c r="F194" s="82">
        <v>0.065</v>
      </c>
    </row>
    <row r="195" ht="16" customHeight="1" spans="1:6" x14ac:dyDescent="0.25">
      <c r="A195" s="12" t="s">
        <v>172</v>
      </c>
      <c r="B195" s="66">
        <v>252</v>
      </c>
      <c r="C195" s="66">
        <v>1008</v>
      </c>
      <c r="D195" s="66">
        <v>3024</v>
      </c>
      <c r="E195" s="66">
        <v>200</v>
      </c>
      <c r="F195" s="83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6" x14ac:dyDescent="0.25">
      <c r="A1" s="1" t="s">
        <v>287</v>
      </c>
      <c r="B1" s="1"/>
      <c r="C1" s="1"/>
      <c r="D1" s="1"/>
      <c r="E1" s="1"/>
      <c r="F1" s="1" t="s">
        <v>351</v>
      </c>
    </row>
    <row r="2" ht="16" customHeight="1" spans="1:6" x14ac:dyDescent="0.25">
      <c r="A2" s="2" t="s">
        <v>105</v>
      </c>
      <c r="B2" s="2"/>
      <c r="C2" s="2"/>
      <c r="D2" s="2"/>
      <c r="E2" s="2"/>
      <c r="F2" s="2" t="s">
        <v>30</v>
      </c>
    </row>
    <row r="3" ht="16" customHeight="1" spans="1:6" x14ac:dyDescent="0.25">
      <c r="A3" s="3" t="s">
        <v>288</v>
      </c>
      <c r="B3" s="3"/>
      <c r="C3" s="3"/>
      <c r="D3" s="3"/>
      <c r="E3" s="3"/>
      <c r="F3" s="3" t="s">
        <v>352</v>
      </c>
    </row>
    <row r="4" ht="6" customHeight="1" spans="1:6" x14ac:dyDescent="0.25">
      <c r="A4" s="84" t="s">
        <v>211</v>
      </c>
      <c r="B4" s="84" t="s">
        <v>289</v>
      </c>
      <c r="C4" s="84" t="s">
        <v>295</v>
      </c>
      <c r="D4" s="23"/>
      <c r="E4" s="84" t="s">
        <v>289</v>
      </c>
      <c r="F4" s="84" t="s">
        <v>353</v>
      </c>
    </row>
    <row r="5" ht="6" customHeight="1" spans="1:6" x14ac:dyDescent="0.25">
      <c r="A5" s="84" t="s">
        <v>212</v>
      </c>
      <c r="B5" s="84" t="s">
        <v>290</v>
      </c>
      <c r="C5" s="84" t="s">
        <v>296</v>
      </c>
      <c r="D5" s="23"/>
      <c r="E5" s="84" t="s">
        <v>290</v>
      </c>
      <c r="F5" s="23"/>
    </row>
    <row r="6" ht="20" customHeight="1" spans="1:6" x14ac:dyDescent="0.25">
      <c r="A6" s="24" t="s">
        <v>89</v>
      </c>
      <c r="B6" s="24" t="s">
        <v>291</v>
      </c>
      <c r="C6" s="24" t="s">
        <v>297</v>
      </c>
      <c r="D6" s="85"/>
      <c r="E6" s="24" t="s">
        <v>291</v>
      </c>
      <c r="F6" s="85"/>
    </row>
    <row r="7" ht="16" customHeight="1" spans="1:6" x14ac:dyDescent="0.25">
      <c r="A7" s="12" t="s">
        <v>81</v>
      </c>
      <c r="B7" s="6" t="s">
        <v>108</v>
      </c>
      <c r="C7" s="6" t="s">
        <v>298</v>
      </c>
      <c r="D7" s="33"/>
      <c r="E7" s="6" t="s">
        <v>108</v>
      </c>
      <c r="F7" s="33"/>
    </row>
    <row r="8" ht="16" customHeight="1" spans="1:6" x14ac:dyDescent="0.25">
      <c r="A8" s="29" t="s">
        <v>213</v>
      </c>
      <c r="B8" s="20"/>
      <c r="C8" s="9" t="s">
        <v>299</v>
      </c>
      <c r="D8" s="20"/>
      <c r="E8" s="9" t="s">
        <v>292</v>
      </c>
      <c r="F8" s="20"/>
    </row>
    <row r="9" ht="16" customHeight="1" spans="1:6" x14ac:dyDescent="0.25">
      <c r="A9" s="12" t="s">
        <v>214</v>
      </c>
      <c r="B9" s="33"/>
      <c r="C9" s="6" t="s">
        <v>111</v>
      </c>
      <c r="D9" s="33"/>
      <c r="E9" s="6" t="s">
        <v>293</v>
      </c>
      <c r="F9" s="33"/>
    </row>
    <row r="10" ht="16" customHeight="1" spans="1:6" x14ac:dyDescent="0.25">
      <c r="A10" s="29" t="s">
        <v>215</v>
      </c>
      <c r="B10" s="20"/>
      <c r="C10" s="9" t="s">
        <v>300</v>
      </c>
      <c r="D10" s="20"/>
      <c r="E10" s="9" t="s">
        <v>294</v>
      </c>
      <c r="F10" s="20"/>
    </row>
    <row r="11" ht="16" customHeight="1" spans="1:6" x14ac:dyDescent="0.25">
      <c r="A11" s="12" t="s">
        <v>216</v>
      </c>
      <c r="B11" s="33"/>
      <c r="C11" s="6" t="s">
        <v>301</v>
      </c>
      <c r="D11" s="33"/>
      <c r="E11" s="6" t="s">
        <v>295</v>
      </c>
      <c r="F11" s="33"/>
    </row>
    <row r="12" ht="16" customHeight="1" spans="1:6" x14ac:dyDescent="0.25">
      <c r="A12" s="29" t="s">
        <v>217</v>
      </c>
      <c r="B12" s="20"/>
      <c r="C12" s="9" t="s">
        <v>302</v>
      </c>
      <c r="D12" s="20"/>
      <c r="E12" s="9" t="s">
        <v>296</v>
      </c>
      <c r="F12" s="20"/>
    </row>
    <row r="13" ht="16" customHeight="1" spans="1:6" x14ac:dyDescent="0.25">
      <c r="A13" s="12" t="s">
        <v>93</v>
      </c>
      <c r="B13" s="33"/>
      <c r="C13" s="6" t="s">
        <v>303</v>
      </c>
      <c r="D13" s="33"/>
      <c r="E13" s="6" t="s">
        <v>297</v>
      </c>
      <c r="F13" s="33"/>
    </row>
    <row r="14" ht="16" customHeight="1" spans="1:6" x14ac:dyDescent="0.25">
      <c r="A14" s="29" t="s">
        <v>218</v>
      </c>
      <c r="B14" s="20"/>
      <c r="C14" s="9" t="s">
        <v>304</v>
      </c>
      <c r="D14" s="20"/>
      <c r="E14" s="9" t="s">
        <v>298</v>
      </c>
      <c r="F14" s="20"/>
    </row>
    <row r="15" ht="16" customHeight="1" spans="1:6" x14ac:dyDescent="0.25">
      <c r="A15" s="12" t="s">
        <v>219</v>
      </c>
      <c r="B15" s="33"/>
      <c r="C15" s="6" t="s">
        <v>305</v>
      </c>
      <c r="D15" s="33"/>
      <c r="E15" s="6" t="s">
        <v>299</v>
      </c>
      <c r="F15" s="33"/>
    </row>
    <row r="16" ht="16" customHeight="1" spans="1:6" x14ac:dyDescent="0.25">
      <c r="A16" s="29" t="s">
        <v>220</v>
      </c>
      <c r="B16" s="20"/>
      <c r="C16" s="9" t="s">
        <v>306</v>
      </c>
      <c r="D16" s="20"/>
      <c r="E16" s="9" t="s">
        <v>111</v>
      </c>
      <c r="F16" s="20"/>
    </row>
    <row r="17" ht="16" customHeight="1" spans="1:6" x14ac:dyDescent="0.25">
      <c r="A17" s="12" t="s">
        <v>221</v>
      </c>
      <c r="B17" s="33"/>
      <c r="C17" s="6" t="s">
        <v>307</v>
      </c>
      <c r="D17" s="33"/>
      <c r="E17" s="6" t="s">
        <v>300</v>
      </c>
      <c r="F17" s="33"/>
    </row>
    <row r="18" ht="16" customHeight="1" spans="1:6" x14ac:dyDescent="0.25">
      <c r="A18" s="29" t="s">
        <v>222</v>
      </c>
      <c r="B18" s="20"/>
      <c r="C18" s="9" t="s">
        <v>308</v>
      </c>
      <c r="D18" s="20"/>
      <c r="E18" s="9" t="s">
        <v>301</v>
      </c>
      <c r="F18" s="20"/>
    </row>
    <row r="19" ht="16" customHeight="1" spans="1:6" x14ac:dyDescent="0.25">
      <c r="A19" s="12" t="s">
        <v>78</v>
      </c>
      <c r="B19" s="33"/>
      <c r="C19" s="6" t="s">
        <v>309</v>
      </c>
      <c r="D19" s="33"/>
      <c r="E19" s="6" t="s">
        <v>302</v>
      </c>
      <c r="F19" s="33"/>
    </row>
    <row r="20" ht="16" customHeight="1" spans="1:6" x14ac:dyDescent="0.25">
      <c r="A20" s="29" t="s">
        <v>223</v>
      </c>
      <c r="B20" s="20"/>
      <c r="C20" s="9" t="s">
        <v>310</v>
      </c>
      <c r="D20" s="20"/>
      <c r="E20" s="9" t="s">
        <v>303</v>
      </c>
      <c r="F20" s="20"/>
    </row>
    <row r="21" ht="16" customHeight="1" spans="1:6" x14ac:dyDescent="0.25">
      <c r="A21" s="12" t="s">
        <v>224</v>
      </c>
      <c r="B21" s="33"/>
      <c r="C21" s="6" t="s">
        <v>311</v>
      </c>
      <c r="D21" s="33"/>
      <c r="E21" s="6" t="s">
        <v>304</v>
      </c>
      <c r="F21" s="33"/>
    </row>
    <row r="22" ht="16" customHeight="1" spans="1:6" x14ac:dyDescent="0.25">
      <c r="A22" s="29" t="s">
        <v>225</v>
      </c>
      <c r="B22" s="20"/>
      <c r="C22" s="9" t="s">
        <v>312</v>
      </c>
      <c r="D22" s="20"/>
      <c r="E22" s="9" t="s">
        <v>305</v>
      </c>
      <c r="F22" s="20"/>
    </row>
    <row r="23" ht="16" customHeight="1" spans="1:6" x14ac:dyDescent="0.25">
      <c r="A23" s="12" t="s">
        <v>226</v>
      </c>
      <c r="B23" s="33"/>
      <c r="C23" s="6" t="s">
        <v>313</v>
      </c>
      <c r="D23" s="33"/>
      <c r="E23" s="6" t="s">
        <v>306</v>
      </c>
      <c r="F23" s="33"/>
    </row>
    <row r="24" ht="16" customHeight="1" spans="1:6" x14ac:dyDescent="0.25">
      <c r="A24" s="29" t="s">
        <v>227</v>
      </c>
      <c r="B24" s="20"/>
      <c r="C24" s="9" t="s">
        <v>314</v>
      </c>
      <c r="D24" s="20"/>
      <c r="E24" s="9" t="s">
        <v>307</v>
      </c>
      <c r="F24" s="20"/>
    </row>
    <row r="25" ht="16" customHeight="1" spans="1:6" x14ac:dyDescent="0.25">
      <c r="A25" s="12" t="s">
        <v>228</v>
      </c>
      <c r="B25" s="33"/>
      <c r="C25" s="6" t="s">
        <v>315</v>
      </c>
      <c r="D25" s="33"/>
      <c r="E25" s="6" t="s">
        <v>308</v>
      </c>
      <c r="F25" s="33"/>
    </row>
    <row r="26" ht="16" customHeight="1" spans="1:6" x14ac:dyDescent="0.25">
      <c r="A26" s="29" t="s">
        <v>83</v>
      </c>
      <c r="B26" s="20"/>
      <c r="C26" s="9" t="s">
        <v>316</v>
      </c>
      <c r="D26" s="20"/>
      <c r="E26" s="9" t="s">
        <v>309</v>
      </c>
      <c r="F26" s="20"/>
    </row>
    <row r="27" ht="16" customHeight="1" spans="1:6" x14ac:dyDescent="0.25">
      <c r="A27" s="12" t="s">
        <v>229</v>
      </c>
      <c r="B27" s="33"/>
      <c r="C27" s="6" t="s">
        <v>317</v>
      </c>
      <c r="D27" s="33"/>
      <c r="E27" s="6" t="s">
        <v>310</v>
      </c>
      <c r="F27" s="33"/>
    </row>
    <row r="28" ht="16" customHeight="1" spans="1:6" x14ac:dyDescent="0.25">
      <c r="A28" s="29" t="s">
        <v>230</v>
      </c>
      <c r="B28" s="20"/>
      <c r="C28" s="9" t="s">
        <v>318</v>
      </c>
      <c r="D28" s="20"/>
      <c r="E28" s="9" t="s">
        <v>311</v>
      </c>
      <c r="F28" s="20"/>
    </row>
    <row r="29" ht="16" customHeight="1" spans="1:6" x14ac:dyDescent="0.25">
      <c r="A29" s="12" t="s">
        <v>231</v>
      </c>
      <c r="B29" s="33"/>
      <c r="C29" s="6" t="s">
        <v>319</v>
      </c>
      <c r="D29" s="33"/>
      <c r="E29" s="6" t="s">
        <v>312</v>
      </c>
      <c r="F29" s="33"/>
    </row>
    <row r="30" ht="16" customHeight="1" spans="1:6" x14ac:dyDescent="0.25">
      <c r="A30" s="29" t="s">
        <v>232</v>
      </c>
      <c r="B30" s="20"/>
      <c r="C30" s="9" t="s">
        <v>320</v>
      </c>
      <c r="D30" s="20"/>
      <c r="E30" s="9" t="s">
        <v>313</v>
      </c>
      <c r="F30" s="20"/>
    </row>
    <row r="31" ht="16" customHeight="1" spans="1:6" x14ac:dyDescent="0.25">
      <c r="A31" s="12" t="s">
        <v>233</v>
      </c>
      <c r="B31" s="33"/>
      <c r="C31" s="6" t="s">
        <v>321</v>
      </c>
      <c r="D31" s="33"/>
      <c r="E31" s="6" t="s">
        <v>314</v>
      </c>
      <c r="F31" s="33"/>
    </row>
    <row r="32" ht="16" customHeight="1" spans="1:6" x14ac:dyDescent="0.25">
      <c r="A32" s="29" t="s">
        <v>234</v>
      </c>
      <c r="B32" s="20"/>
      <c r="C32" s="9" t="s">
        <v>322</v>
      </c>
      <c r="D32" s="20"/>
      <c r="E32" s="9" t="s">
        <v>315</v>
      </c>
      <c r="F32" s="20"/>
    </row>
    <row r="33" ht="16" customHeight="1" spans="1:6" x14ac:dyDescent="0.25">
      <c r="A33" s="12" t="s">
        <v>235</v>
      </c>
      <c r="B33" s="33"/>
      <c r="C33" s="6" t="s">
        <v>323</v>
      </c>
      <c r="D33" s="33"/>
      <c r="E33" s="6" t="s">
        <v>316</v>
      </c>
      <c r="F33" s="33"/>
    </row>
    <row r="34" ht="16" customHeight="1" spans="1:6" x14ac:dyDescent="0.25">
      <c r="A34" s="29" t="s">
        <v>236</v>
      </c>
      <c r="B34" s="20"/>
      <c r="C34" s="9" t="s">
        <v>324</v>
      </c>
      <c r="D34" s="20"/>
      <c r="E34" s="9" t="s">
        <v>317</v>
      </c>
      <c r="F34" s="20"/>
    </row>
    <row r="35" ht="16" customHeight="1" spans="1:6" x14ac:dyDescent="0.25">
      <c r="A35" s="12" t="s">
        <v>237</v>
      </c>
      <c r="B35" s="33"/>
      <c r="C35" s="6" t="s">
        <v>325</v>
      </c>
      <c r="D35" s="33"/>
      <c r="E35" s="6" t="s">
        <v>318</v>
      </c>
      <c r="F35" s="33"/>
    </row>
    <row r="36" ht="16" customHeight="1" spans="1:6" x14ac:dyDescent="0.25">
      <c r="A36" s="29" t="s">
        <v>238</v>
      </c>
      <c r="B36" s="20"/>
      <c r="C36" s="9" t="s">
        <v>326</v>
      </c>
      <c r="D36" s="20"/>
      <c r="E36" s="9" t="s">
        <v>319</v>
      </c>
      <c r="F36" s="20"/>
    </row>
    <row r="37" ht="16" customHeight="1" spans="1:6" x14ac:dyDescent="0.25">
      <c r="A37" s="12" t="s">
        <v>239</v>
      </c>
      <c r="B37" s="33"/>
      <c r="C37" s="6" t="s">
        <v>327</v>
      </c>
      <c r="D37" s="33"/>
      <c r="E37" s="6" t="s">
        <v>320</v>
      </c>
      <c r="F37" s="33"/>
    </row>
    <row r="38" ht="16" customHeight="1" spans="1:6" x14ac:dyDescent="0.25">
      <c r="A38" s="29" t="s">
        <v>240</v>
      </c>
      <c r="B38" s="20"/>
      <c r="C38" s="9" t="s">
        <v>328</v>
      </c>
      <c r="D38" s="20"/>
      <c r="E38" s="9" t="s">
        <v>321</v>
      </c>
      <c r="F38" s="20"/>
    </row>
    <row r="39" ht="16" customHeight="1" spans="1:6" x14ac:dyDescent="0.25">
      <c r="A39" s="12" t="s">
        <v>241</v>
      </c>
      <c r="B39" s="33"/>
      <c r="C39" s="6" t="s">
        <v>329</v>
      </c>
      <c r="D39" s="33"/>
      <c r="E39" s="6" t="s">
        <v>322</v>
      </c>
      <c r="F39" s="33"/>
    </row>
    <row r="40" ht="16" customHeight="1" spans="1:6" x14ac:dyDescent="0.25">
      <c r="A40" s="29" t="s">
        <v>242</v>
      </c>
      <c r="B40" s="20"/>
      <c r="C40" s="9" t="s">
        <v>330</v>
      </c>
      <c r="D40" s="20"/>
      <c r="E40" s="9" t="s">
        <v>323</v>
      </c>
      <c r="F40" s="20"/>
    </row>
    <row r="41" ht="16" customHeight="1" spans="1:6" x14ac:dyDescent="0.25">
      <c r="A41" s="12" t="s">
        <v>243</v>
      </c>
      <c r="B41" s="33"/>
      <c r="C41" s="6" t="s">
        <v>331</v>
      </c>
      <c r="D41" s="33"/>
      <c r="E41" s="6" t="s">
        <v>324</v>
      </c>
      <c r="F41" s="33"/>
    </row>
    <row r="42" ht="16" customHeight="1" spans="1:6" x14ac:dyDescent="0.25">
      <c r="A42" s="29" t="s">
        <v>244</v>
      </c>
      <c r="B42" s="20"/>
      <c r="C42" s="9" t="s">
        <v>332</v>
      </c>
      <c r="D42" s="20"/>
      <c r="E42" s="9" t="s">
        <v>325</v>
      </c>
      <c r="F42" s="20"/>
    </row>
    <row r="43" ht="16" customHeight="1" spans="1:6" x14ac:dyDescent="0.25">
      <c r="A43" s="12" t="s">
        <v>245</v>
      </c>
      <c r="B43" s="33"/>
      <c r="C43" s="6" t="s">
        <v>333</v>
      </c>
      <c r="D43" s="33"/>
      <c r="E43" s="6" t="s">
        <v>326</v>
      </c>
      <c r="F43" s="33"/>
    </row>
    <row r="44" ht="16" customHeight="1" spans="1:6" x14ac:dyDescent="0.25">
      <c r="A44" s="29" t="s">
        <v>246</v>
      </c>
      <c r="B44" s="20"/>
      <c r="C44" s="9" t="s">
        <v>114</v>
      </c>
      <c r="D44" s="20"/>
      <c r="E44" s="9" t="s">
        <v>327</v>
      </c>
      <c r="F44" s="20"/>
    </row>
    <row r="45" ht="16" customHeight="1" spans="1:6" x14ac:dyDescent="0.25">
      <c r="A45" s="12" t="s">
        <v>98</v>
      </c>
      <c r="B45" s="33"/>
      <c r="C45" s="6" t="s">
        <v>334</v>
      </c>
      <c r="D45" s="33"/>
      <c r="E45" s="6" t="s">
        <v>328</v>
      </c>
      <c r="F45" s="33"/>
    </row>
    <row r="46" ht="16" customHeight="1" spans="1:6" x14ac:dyDescent="0.25">
      <c r="A46" s="29" t="s">
        <v>247</v>
      </c>
      <c r="B46" s="20"/>
      <c r="C46" s="9" t="s">
        <v>123</v>
      </c>
      <c r="D46" s="20"/>
      <c r="E46" s="9" t="s">
        <v>329</v>
      </c>
      <c r="F46" s="20"/>
    </row>
    <row r="47" ht="16" customHeight="1" spans="1:6" x14ac:dyDescent="0.25">
      <c r="A47" s="12" t="s">
        <v>68</v>
      </c>
      <c r="B47" s="33"/>
      <c r="C47" s="6" t="s">
        <v>335</v>
      </c>
      <c r="D47" s="33"/>
      <c r="E47" s="6" t="s">
        <v>330</v>
      </c>
      <c r="F47" s="33"/>
    </row>
    <row r="48" ht="16" customHeight="1" spans="1:6" x14ac:dyDescent="0.25">
      <c r="A48" s="29" t="s">
        <v>248</v>
      </c>
      <c r="B48" s="20"/>
      <c r="C48" s="9" t="s">
        <v>336</v>
      </c>
      <c r="D48" s="20"/>
      <c r="E48" s="9" t="s">
        <v>331</v>
      </c>
      <c r="F48" s="20"/>
    </row>
    <row r="49" ht="16" customHeight="1" spans="1:6" x14ac:dyDescent="0.25">
      <c r="A49" s="12" t="s">
        <v>66</v>
      </c>
      <c r="B49" s="33"/>
      <c r="C49" s="6" t="s">
        <v>337</v>
      </c>
      <c r="D49" s="33"/>
      <c r="E49" s="6" t="s">
        <v>332</v>
      </c>
      <c r="F49" s="33"/>
    </row>
    <row r="50" ht="16" customHeight="1" spans="1:6" x14ac:dyDescent="0.25">
      <c r="A50" s="29" t="s">
        <v>249</v>
      </c>
      <c r="B50" s="20"/>
      <c r="C50" s="9" t="s">
        <v>338</v>
      </c>
      <c r="D50" s="20"/>
      <c r="E50" s="9" t="s">
        <v>333</v>
      </c>
      <c r="F50" s="20"/>
    </row>
    <row r="51" ht="16" customHeight="1" spans="1:6" x14ac:dyDescent="0.25">
      <c r="A51" s="12" t="s">
        <v>250</v>
      </c>
      <c r="B51" s="33"/>
      <c r="C51" s="6" t="s">
        <v>339</v>
      </c>
      <c r="D51" s="33"/>
      <c r="E51" s="6" t="s">
        <v>114</v>
      </c>
      <c r="F51" s="33"/>
    </row>
    <row r="52" ht="16" customHeight="1" spans="1:6" x14ac:dyDescent="0.25">
      <c r="A52" s="29" t="s">
        <v>75</v>
      </c>
      <c r="B52" s="20"/>
      <c r="C52" s="20"/>
      <c r="D52" s="20"/>
      <c r="E52" s="9" t="s">
        <v>334</v>
      </c>
      <c r="F52" s="20"/>
    </row>
    <row r="53" ht="16" customHeight="1" spans="1:6" x14ac:dyDescent="0.25">
      <c r="A53" s="12" t="s">
        <v>251</v>
      </c>
      <c r="B53" s="33"/>
      <c r="C53" s="33"/>
      <c r="D53" s="33"/>
      <c r="E53" s="6" t="s">
        <v>123</v>
      </c>
      <c r="F53" s="33"/>
    </row>
    <row r="54" ht="16" customHeight="1" spans="1:6" x14ac:dyDescent="0.25">
      <c r="A54" s="29" t="s">
        <v>252</v>
      </c>
      <c r="B54" s="20"/>
      <c r="C54" s="20"/>
      <c r="D54" s="20"/>
      <c r="E54" s="9" t="s">
        <v>335</v>
      </c>
      <c r="F54" s="20"/>
    </row>
    <row r="55" ht="16" customHeight="1" spans="1:6" x14ac:dyDescent="0.25">
      <c r="A55" s="12" t="s">
        <v>253</v>
      </c>
      <c r="B55" s="33"/>
      <c r="C55" s="33"/>
      <c r="D55" s="33"/>
      <c r="E55" s="6" t="s">
        <v>336</v>
      </c>
      <c r="F55" s="33"/>
    </row>
    <row r="56" ht="16" customHeight="1" spans="1:6" x14ac:dyDescent="0.25">
      <c r="A56" s="29" t="s">
        <v>254</v>
      </c>
      <c r="B56" s="20"/>
      <c r="C56" s="20"/>
      <c r="D56" s="20"/>
      <c r="E56" s="9" t="s">
        <v>337</v>
      </c>
      <c r="F56" s="20"/>
    </row>
    <row r="57" ht="16" customHeight="1" spans="1:6" x14ac:dyDescent="0.25">
      <c r="A57" s="12" t="s">
        <v>255</v>
      </c>
      <c r="B57" s="33"/>
      <c r="C57" s="33"/>
      <c r="D57" s="33"/>
      <c r="E57" s="6" t="s">
        <v>338</v>
      </c>
      <c r="F57" s="33"/>
    </row>
    <row r="58" ht="16" customHeight="1" spans="1:6" x14ac:dyDescent="0.25">
      <c r="A58" s="29" t="s">
        <v>256</v>
      </c>
      <c r="B58" s="20"/>
      <c r="C58" s="20"/>
      <c r="D58" s="20"/>
      <c r="E58" s="9" t="s">
        <v>339</v>
      </c>
      <c r="F58" s="20"/>
    </row>
    <row r="59" ht="16" customHeight="1" spans="1:6" x14ac:dyDescent="0.25">
      <c r="A59" s="12" t="s">
        <v>72</v>
      </c>
      <c r="B59" s="33"/>
      <c r="C59" s="33"/>
      <c r="D59" s="33"/>
      <c r="E59" s="33"/>
      <c r="F59" s="33"/>
    </row>
    <row r="60" ht="16" customHeight="1" spans="1:6" x14ac:dyDescent="0.25">
      <c r="A60" s="29" t="s">
        <v>257</v>
      </c>
      <c r="B60" s="20"/>
      <c r="C60" s="20"/>
      <c r="D60" s="20"/>
      <c r="E60" s="20"/>
      <c r="F60" s="20"/>
    </row>
    <row r="61" ht="16" customHeight="1" spans="1:6" x14ac:dyDescent="0.25">
      <c r="A61" s="12" t="s">
        <v>258</v>
      </c>
      <c r="B61" s="33"/>
      <c r="C61" s="33"/>
      <c r="D61" s="33"/>
      <c r="E61" s="33"/>
      <c r="F61" s="33"/>
    </row>
    <row r="62" ht="16" customHeight="1" spans="1:6" x14ac:dyDescent="0.25">
      <c r="A62" s="29" t="s">
        <v>58</v>
      </c>
      <c r="B62" s="20"/>
      <c r="C62" s="20"/>
      <c r="D62" s="20"/>
      <c r="E62" s="20"/>
      <c r="F62" s="20"/>
    </row>
    <row r="63" ht="16" customHeight="1" spans="1:6" x14ac:dyDescent="0.25">
      <c r="A63" s="12" t="s">
        <v>259</v>
      </c>
      <c r="B63" s="33"/>
      <c r="C63" s="33"/>
      <c r="D63" s="33"/>
      <c r="E63" s="33"/>
      <c r="F63" s="33"/>
    </row>
    <row r="64" ht="16" customHeight="1" spans="1:6" x14ac:dyDescent="0.25">
      <c r="A64" s="29" t="s">
        <v>96</v>
      </c>
      <c r="B64" s="20"/>
      <c r="C64" s="20"/>
      <c r="D64" s="20"/>
      <c r="E64" s="20"/>
      <c r="F64" s="20"/>
    </row>
    <row r="65" ht="16" customHeight="1" spans="1:6" x14ac:dyDescent="0.25">
      <c r="A65" s="12" t="s">
        <v>260</v>
      </c>
      <c r="B65" s="33"/>
      <c r="C65" s="33"/>
      <c r="D65" s="33"/>
      <c r="E65" s="33"/>
      <c r="F65" s="33"/>
    </row>
    <row r="66" ht="16" customHeight="1" spans="1:6" x14ac:dyDescent="0.25">
      <c r="A66" s="29" t="s">
        <v>91</v>
      </c>
      <c r="B66" s="20"/>
      <c r="C66" s="20"/>
      <c r="D66" s="20"/>
      <c r="E66" s="20"/>
      <c r="F66" s="20"/>
    </row>
    <row r="67" ht="16" customHeight="1" spans="1:6" x14ac:dyDescent="0.25">
      <c r="A67" s="12" t="s">
        <v>261</v>
      </c>
      <c r="B67" s="33"/>
      <c r="C67" s="33"/>
      <c r="D67" s="33"/>
      <c r="E67" s="33"/>
      <c r="F67" s="33"/>
    </row>
    <row r="68" ht="16" customHeight="1" spans="1:6" x14ac:dyDescent="0.25">
      <c r="A68" s="29" t="s">
        <v>262</v>
      </c>
      <c r="B68" s="20"/>
      <c r="C68" s="20"/>
      <c r="D68" s="20"/>
      <c r="E68" s="20"/>
      <c r="F68" s="20"/>
    </row>
    <row r="69" ht="16" customHeight="1" spans="1:6" x14ac:dyDescent="0.25">
      <c r="A69" s="12" t="s">
        <v>263</v>
      </c>
      <c r="B69" s="33"/>
      <c r="C69" s="33"/>
      <c r="D69" s="33"/>
      <c r="E69" s="33"/>
      <c r="F69" s="33"/>
    </row>
    <row r="70" ht="16" customHeight="1" spans="1:6" x14ac:dyDescent="0.25">
      <c r="A70" s="29" t="s">
        <v>264</v>
      </c>
      <c r="B70" s="20"/>
      <c r="C70" s="20"/>
      <c r="D70" s="20"/>
      <c r="E70" s="20"/>
      <c r="F70" s="20"/>
    </row>
    <row r="71" ht="16" customHeight="1" spans="1:6" x14ac:dyDescent="0.25">
      <c r="A71" s="12" t="s">
        <v>265</v>
      </c>
      <c r="B71" s="33"/>
      <c r="C71" s="33"/>
      <c r="D71" s="33"/>
      <c r="E71" s="33"/>
      <c r="F71" s="33"/>
    </row>
    <row r="72" ht="16" customHeight="1" spans="1:6" x14ac:dyDescent="0.25">
      <c r="A72" s="29" t="s">
        <v>266</v>
      </c>
      <c r="B72" s="20"/>
      <c r="C72" s="20"/>
      <c r="D72" s="20"/>
      <c r="E72" s="20"/>
      <c r="F72" s="20"/>
    </row>
    <row r="73" ht="16" customHeight="1" spans="1:6" x14ac:dyDescent="0.25">
      <c r="A73" s="12" t="s">
        <v>267</v>
      </c>
      <c r="B73" s="33"/>
      <c r="C73" s="33"/>
      <c r="D73" s="33"/>
      <c r="E73" s="33"/>
      <c r="F73" s="33"/>
    </row>
    <row r="74" ht="16" customHeight="1" spans="1:6" x14ac:dyDescent="0.25">
      <c r="A74" s="29" t="s">
        <v>268</v>
      </c>
      <c r="B74" s="20"/>
      <c r="C74" s="20"/>
      <c r="D74" s="20"/>
      <c r="E74" s="20"/>
      <c r="F74" s="20"/>
    </row>
    <row r="75" ht="16" customHeight="1" spans="1:6" x14ac:dyDescent="0.25">
      <c r="A75" s="12" t="s">
        <v>269</v>
      </c>
      <c r="B75" s="33"/>
      <c r="C75" s="33"/>
      <c r="D75" s="33"/>
      <c r="E75" s="33"/>
      <c r="F75" s="33"/>
    </row>
    <row r="76" ht="16" customHeight="1" spans="1:6" x14ac:dyDescent="0.25">
      <c r="A76" s="29" t="s">
        <v>270</v>
      </c>
      <c r="B76" s="20"/>
      <c r="C76" s="20"/>
      <c r="D76" s="20"/>
      <c r="E76" s="20"/>
      <c r="F76" s="20"/>
    </row>
    <row r="77" ht="16" customHeight="1" spans="1:6" x14ac:dyDescent="0.25">
      <c r="A77" s="12" t="s">
        <v>271</v>
      </c>
      <c r="B77" s="33"/>
      <c r="C77" s="33"/>
      <c r="D77" s="33"/>
      <c r="E77" s="33"/>
      <c r="F77" s="33"/>
    </row>
    <row r="78" ht="16" customHeight="1" spans="1:6" x14ac:dyDescent="0.25">
      <c r="A78" s="29" t="s">
        <v>272</v>
      </c>
      <c r="B78" s="20"/>
      <c r="C78" s="20"/>
      <c r="D78" s="20"/>
      <c r="E78" s="20"/>
      <c r="F78" s="20"/>
    </row>
    <row r="79" ht="16" customHeight="1" spans="1:6" x14ac:dyDescent="0.25">
      <c r="A79" s="12" t="s">
        <v>273</v>
      </c>
      <c r="B79" s="33"/>
      <c r="C79" s="33"/>
      <c r="D79" s="33"/>
      <c r="E79" s="33"/>
      <c r="F79" s="33"/>
    </row>
    <row r="80" ht="16" customHeight="1" spans="1:6" x14ac:dyDescent="0.25">
      <c r="A80" s="29" t="s">
        <v>274</v>
      </c>
      <c r="B80" s="20"/>
      <c r="C80" s="20"/>
      <c r="D80" s="20"/>
      <c r="E80" s="20"/>
      <c r="F80" s="20"/>
    </row>
    <row r="81" ht="16" customHeight="1" spans="1:6" x14ac:dyDescent="0.25">
      <c r="A81" s="12" t="s">
        <v>275</v>
      </c>
      <c r="B81" s="33"/>
      <c r="C81" s="33"/>
      <c r="D81" s="33"/>
      <c r="E81" s="33"/>
      <c r="F81" s="33"/>
    </row>
    <row r="82" ht="16" customHeight="1" spans="1:6" x14ac:dyDescent="0.25">
      <c r="A82" s="29" t="s">
        <v>276</v>
      </c>
      <c r="B82" s="20"/>
      <c r="C82" s="20"/>
      <c r="D82" s="20"/>
      <c r="E82" s="20"/>
      <c r="F82" s="20"/>
    </row>
    <row r="83" ht="16" customHeight="1" spans="1:6" x14ac:dyDescent="0.25">
      <c r="A83" s="12" t="s">
        <v>277</v>
      </c>
      <c r="B83" s="33"/>
      <c r="C83" s="33"/>
      <c r="D83" s="33"/>
      <c r="E83" s="33"/>
      <c r="F83" s="33"/>
    </row>
    <row r="84" ht="16" customHeight="1" spans="1:6" x14ac:dyDescent="0.25">
      <c r="A84" s="29" t="s">
        <v>278</v>
      </c>
      <c r="B84" s="20"/>
      <c r="C84" s="20"/>
      <c r="D84" s="20"/>
      <c r="E84" s="20"/>
      <c r="F84" s="20"/>
    </row>
    <row r="85" ht="16" customHeight="1" spans="1:6" x14ac:dyDescent="0.25">
      <c r="A85" s="12" t="s">
        <v>279</v>
      </c>
      <c r="B85" s="33"/>
      <c r="C85" s="33"/>
      <c r="D85" s="33"/>
      <c r="E85" s="33"/>
      <c r="F85" s="33"/>
    </row>
    <row r="86" ht="16" customHeight="1" spans="1:6" x14ac:dyDescent="0.25">
      <c r="A86" s="29" t="s">
        <v>86</v>
      </c>
      <c r="B86" s="20"/>
      <c r="C86" s="20"/>
      <c r="D86" s="20"/>
      <c r="E86" s="20"/>
      <c r="F86" s="20"/>
    </row>
    <row r="87" ht="16" customHeight="1" spans="1:6" x14ac:dyDescent="0.25">
      <c r="A87" s="12" t="s">
        <v>280</v>
      </c>
      <c r="B87" s="33"/>
      <c r="C87" s="33"/>
      <c r="D87" s="33"/>
      <c r="E87" s="33"/>
      <c r="F87" s="33"/>
    </row>
    <row r="88" ht="16" customHeight="1" spans="1:6" x14ac:dyDescent="0.25">
      <c r="A88" s="29" t="s">
        <v>281</v>
      </c>
      <c r="B88" s="20"/>
      <c r="C88" s="20"/>
      <c r="D88" s="20"/>
      <c r="E88" s="20"/>
      <c r="F88" s="20"/>
    </row>
    <row r="89" ht="16" customHeight="1" spans="1:6" x14ac:dyDescent="0.25">
      <c r="A89" s="12" t="s">
        <v>282</v>
      </c>
      <c r="B89" s="33"/>
      <c r="C89" s="33"/>
      <c r="D89" s="33"/>
      <c r="E89" s="33"/>
      <c r="F89" s="33"/>
    </row>
    <row r="90" ht="16" customHeight="1" spans="1:6" x14ac:dyDescent="0.25">
      <c r="A90" s="29" t="s">
        <v>283</v>
      </c>
      <c r="B90" s="20"/>
      <c r="C90" s="20"/>
      <c r="D90" s="20"/>
      <c r="E90" s="20"/>
      <c r="F90" s="20"/>
    </row>
    <row r="91" ht="16" customHeight="1" spans="1:6" x14ac:dyDescent="0.25">
      <c r="A91" s="12" t="s">
        <v>284</v>
      </c>
      <c r="B91" s="33"/>
      <c r="C91" s="33"/>
      <c r="D91" s="33"/>
      <c r="E91" s="33"/>
      <c r="F91" s="33"/>
    </row>
    <row r="92" ht="16" customHeight="1" spans="1:6" x14ac:dyDescent="0.25">
      <c r="A92" s="29" t="s">
        <v>285</v>
      </c>
      <c r="B92" s="20"/>
      <c r="C92" s="20"/>
      <c r="D92" s="20"/>
      <c r="E92" s="20"/>
      <c r="F92" s="20"/>
    </row>
    <row r="93" ht="16" customHeight="1" spans="1:6" x14ac:dyDescent="0.25">
      <c r="A93" s="12" t="s">
        <v>286</v>
      </c>
      <c r="B93" s="33"/>
      <c r="C93" s="33"/>
      <c r="D93" s="33"/>
      <c r="E93" s="33"/>
      <c r="F93" s="33"/>
    </row>
    <row r="94" ht="16" customHeight="1" spans="1:6" x14ac:dyDescent="0.25">
      <c r="A94" s="29" t="s">
        <v>101</v>
      </c>
      <c r="B94" s="20"/>
      <c r="C94" s="20"/>
      <c r="D94" s="20"/>
      <c r="E94" s="20"/>
      <c r="F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2026-09-05T04:10:55Z</dcterms:created>
  <dcterms:modified xsi:type="dcterms:W3CDTF">2026-09-05T04:10:55Z</dcterms:modified>
</cp:coreProperties>
</file>