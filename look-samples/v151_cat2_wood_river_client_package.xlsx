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ORG Chart" state="visible" r:id="rId5"/>
    <sheet sheetId="3" name="Slicer Hrs" state="visible" r:id="rId6"/>
    <sheet sheetId="4" name="Staff" state="visible" r:id="rId7"/>
    <sheet sheetId="5" name="Foremen" state="visible" r:id="rId8"/>
    <sheet sheetId="6" name="Direct" state="visible" r:id="rId9"/>
    <sheet sheetId="7" name="Support" state="visible" r:id="rId10"/>
    <sheet sheetId="8" name="Equipment Rental" state="visible" r:id="rId11"/>
    <sheet sheetId="9" name="Tensioning Torquing equipment" state="visible" r:id="rId12"/>
    <sheet sheetId="10" name="Crane Rental" state="visible" r:id="rId13"/>
    <sheet sheetId="11" name="OM Crane Subcontractor" state="visible" r:id="rId14"/>
    <sheet sheetId="12" name="COE" state="visible" r:id="rId15"/>
    <sheet sheetId="13" name="Staff Travel Cost" state="visible" r:id="rId16"/>
    <sheet sheetId="14" name="Misc Costs" state="visible" r:id="rId17"/>
    <sheet sheetId="15" name="Rate Tables" state="visible" r:id="rId18"/>
  </sheets>
  <definedNames>
    <definedName name="_xlnm.Print_Area" localSheetId="0">'Summary Page'!$A1:$C23</definedName>
    <definedName name="_xlnm.Print_Titles" localSheetId="0">'Summary Page'!$6:$6</definedName>
    <definedName name="_xlnm.Print_Area" localSheetId="1">'ORG Chart'!$A1:$F10</definedName>
    <definedName name="_xlnm.Print_Titles" localSheetId="1">'ORG Chart'!$6:$6</definedName>
    <definedName name="_xlnm.Print_Area" localSheetId="2">'Slicer Hrs'!$A1:$E8</definedName>
    <definedName name="_xlnm.Print_Titles" localSheetId="2">'Slicer Hrs'!$6:$6</definedName>
    <definedName name="_xlnm.Print_Area" localSheetId="3">'Staff'!$A1:$P10</definedName>
    <definedName name="_xlnm.Print_Titles" localSheetId="3">'Staff'!$6:$6</definedName>
    <definedName name="_xlnm.Print_Area" localSheetId="4">'Foremen'!$A1:$P8</definedName>
    <definedName name="_xlnm.Print_Titles" localSheetId="4">'Foremen'!$6:$6</definedName>
    <definedName name="_xlnm.Print_Area" localSheetId="5">'Direct'!$A1:$P9</definedName>
    <definedName name="_xlnm.Print_Titles" localSheetId="5">'Direct'!$6:$6</definedName>
    <definedName name="_xlnm.Print_Area" localSheetId="6">'Support'!$A1:$P8</definedName>
    <definedName name="_xlnm.Print_Titles" localSheetId="6">'Support'!$6:$6</definedName>
    <definedName name="_xlnm.Print_Area" localSheetId="7">'Equipment Rental'!$A1:$H8</definedName>
    <definedName name="_xlnm.Print_Titles" localSheetId="7">'Equipment Rental'!$6:$6</definedName>
    <definedName name="_xlnm.Print_Area" localSheetId="8">'Tensioning Torquing equipment'!$A1:$H8</definedName>
    <definedName name="_xlnm.Print_Titles" localSheetId="8">'Tensioning Torquing equipment'!$6:$6</definedName>
    <definedName name="_xlnm.Print_Area" localSheetId="9">'Crane Rental'!$A1:$H8</definedName>
    <definedName name="_xlnm.Print_Titles" localSheetId="9">'Crane Rental'!$6:$6</definedName>
    <definedName name="_xlnm.Print_Area" localSheetId="10">'OM Crane Subcontractor'!$A1:$H8</definedName>
    <definedName name="_xlnm.Print_Titles" localSheetId="10">'OM Crane Subcontractor'!$6:$6</definedName>
    <definedName name="_xlnm.Print_Area" localSheetId="11">'COE'!$A1:$G8</definedName>
    <definedName name="_xlnm.Print_Titles" localSheetId="11">'COE'!$6:$6</definedName>
    <definedName name="_xlnm.Print_Area" localSheetId="12">'Staff Travel Cost'!$A1:$E8</definedName>
    <definedName name="_xlnm.Print_Titles" localSheetId="12">'Staff Travel Cost'!$6:$6</definedName>
    <definedName name="_xlnm.Print_Area" localSheetId="13">'Misc Costs'!$A1:$E8</definedName>
    <definedName name="_xlnm.Print_Titles" localSheetId="13">'Misc Costs'!$6:$6</definedName>
    <definedName name="_xlnm.Print_Area" localSheetId="14">'Rate Tables'!$A1:$F12</definedName>
    <definedName name="_xlnm.Print_Titles" localSheetId="14">'Rate Tables'!$6:$6</definedName>
  </definedNames>
  <calcPr calcId="171027" fullCalcOnLoad="1"/>
</workbook>
</file>

<file path=xl/sharedStrings.xml><?xml version="1.0" encoding="utf-8"?>
<sst xmlns="http://schemas.openxmlformats.org/spreadsheetml/2006/main" count="284" uniqueCount="95">
  <si>
    <t>HIT SQUAD / PROJECT CONTROLS</t>
  </si>
  <si>
    <t>Produced by Hit Squad Project Controls  ·  Confidential estimate package</t>
  </si>
  <si>
    <t>Madison CAT 2 (Pit Stop)</t>
  </si>
  <si>
    <t>Phillips 66  ·  Wood River — Roxana, IL  ·  East Coast (PCA0001103)</t>
  </si>
  <si>
    <t>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</si>
  <si>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</si>
  <si>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</si>
  <si>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</si>
  <si>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</si>
  <si>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</si>
  <si>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</si>
  <si>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</si>
  <si>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</si>
  <si>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</si>
  <si>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</si>
  <si>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</si>
  <si>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</si>
  <si>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</si>
  <si>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Tensioning / torquing $</t>
  </si>
  <si>
    <t>Crane rental $</t>
  </si>
  <si>
    <t>COE $</t>
  </si>
  <si>
    <t>Subcontractor $</t>
  </si>
  <si>
    <t>6.5% markup</t>
  </si>
  <si>
    <t>ESTIMATE TOTAL $</t>
  </si>
  <si>
    <t>Position</t>
  </si>
  <si>
    <t>Name</t>
  </si>
  <si>
    <t>Lane</t>
  </si>
  <si>
    <t>Shift</t>
  </si>
  <si>
    <t>Count</t>
  </si>
  <si>
    <t>Reports to</t>
  </si>
  <si>
    <t>Lead Safety 01</t>
  </si>
  <si>
    <t>staff</t>
  </si>
  <si>
    <t>Days</t>
  </si>
  <si>
    <t>Company</t>
  </si>
  <si>
    <t>Superintendent 01</t>
  </si>
  <si>
    <t>Pipefitter GF Union</t>
  </si>
  <si>
    <t>generalForeman</t>
  </si>
  <si>
    <t>Boilermaker Foreman</t>
  </si>
  <si>
    <t>1</t>
  </si>
  <si>
    <t>foreman</t>
  </si>
  <si>
    <t>Phase</t>
  </si>
  <si>
    <t>ST Hrs</t>
  </si>
  <si>
    <t>OT Hrs</t>
  </si>
  <si>
    <t>DT Hrs</t>
  </si>
  <si>
    <t>Hours</t>
  </si>
  <si>
    <t>Mechanical Window</t>
  </si>
  <si>
    <t>TOTAL</t>
  </si>
  <si>
    <t>Headcount</t>
  </si>
  <si>
    <t>PD Days</t>
  </si>
  <si>
    <t>ST Rate</t>
  </si>
  <si>
    <t>OT Rate</t>
  </si>
  <si>
    <t>DT Rate</t>
  </si>
  <si>
    <t>PD Rate</t>
  </si>
  <si>
    <t>ST $</t>
  </si>
  <si>
    <t>OT $</t>
  </si>
  <si>
    <t>DT $</t>
  </si>
  <si>
    <t>PD $</t>
  </si>
  <si>
    <t>Total $</t>
  </si>
  <si>
    <t>MH</t>
  </si>
  <si>
    <t>Boilermaker Journeyman</t>
  </si>
  <si>
    <t>Pipefitter Journeyman</t>
  </si>
  <si>
    <t>Fire Watch</t>
  </si>
  <si>
    <t>Item</t>
  </si>
  <si>
    <t>Period</t>
  </si>
  <si>
    <t>Qty</t>
  </si>
  <si>
    <t>Periods</t>
  </si>
  <si>
    <t>Rate $</t>
  </si>
  <si>
    <t>Freight $</t>
  </si>
  <si>
    <t>Cost $</t>
  </si>
  <si>
    <t>450amp diesel welder</t>
  </si>
  <si>
    <t>daily</t>
  </si>
  <si>
    <t>Hydraulic tensioner</t>
  </si>
  <si>
    <t>Carry deck crane</t>
  </si>
  <si>
    <t>Vendor</t>
  </si>
  <si>
    <t>Scope</t>
  </si>
  <si>
    <t>Affiliate</t>
  </si>
  <si>
    <t>Markup $</t>
  </si>
  <si>
    <t>O&amp;M Crane</t>
  </si>
  <si>
    <t>crane lift</t>
  </si>
  <si>
    <t>No</t>
  </si>
  <si>
    <t>AIR MOVER</t>
  </si>
  <si>
    <t>Kind</t>
  </si>
  <si>
    <t>Travelers</t>
  </si>
  <si>
    <t>Miles</t>
  </si>
  <si>
    <t>$ / mile</t>
  </si>
  <si>
    <t>Staff</t>
  </si>
  <si>
    <t>Description</t>
  </si>
  <si>
    <t>Each $</t>
  </si>
  <si>
    <t>Alloy rod</t>
  </si>
  <si>
    <t>Stainless</t>
  </si>
  <si>
    <t>Craft</t>
  </si>
  <si>
    <t>COMP BW $</t>
  </si>
  <si>
    <t>ST Bill $</t>
  </si>
  <si>
    <t>OT Bill $</t>
  </si>
  <si>
    <t>DT Bill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</si>
</sst>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-MM-DD"/>
    <numFmt numFmtId="165" formatCode="$#,##0.00"/>
    <numFmt numFmtId="166" formatCode="#,##0.0"/>
  </numFmts>
  <fonts count="9" x14ac:knownFonts="1">
    <font>
      <color theme="1"/>
      <family val="2"/>
      <scheme val="minor"/>
      <sz val="11"/>
      <name val="Calibri"/>
    </font>
    <font>
      <b/>
      <color rgb="FFFFFFFF"/>
      <sz val="13"/>
      <name val="Calibri"/>
    </font>
    <font>
      <color rgb="FF3D4F54"/>
      <sz val="9"/>
      <name val="Calibri"/>
    </font>
    <font>
      <b/>
      <color rgb="FF102226"/>
      <sz val="12"/>
      <name val="Calibri"/>
    </font>
    <font>
      <color rgb="FF102226"/>
      <sz val="10"/>
      <name val="Calibri"/>
    </font>
    <font>
      <i/>
      <color rgb="FF3D4F54"/>
      <sz val="9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F3D44"/>
      </patternFill>
    </fill>
    <fill>
      <patternFill patternType="solid">
        <fgColor rgb="FF163038"/>
      </patternFill>
    </fill>
    <fill>
      <patternFill patternType="solid">
        <fgColor rgb="FFE8EEF0"/>
      </patternFill>
    </fill>
    <fill>
      <patternFill patternType="solid">
        <fgColor rgb="FFF0C14B"/>
      </patternFill>
    </fill>
    <fill>
      <patternFill patternType="solid">
        <fgColor rgb="FFFFF3D6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F0C14B"/>
      </bottom>
      <diagonal/>
    </border>
    <border>
      <left/>
      <right/>
      <top style="medium">
        <color rgb="FF0F5F6D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164" fontId="5" fillId="0" borderId="0" xfId="0" applyNumberFormat="1" applyFont="1"/>
    <xf numFmtId="0" fontId="6" fillId="3" borderId="1" xfId="0" applyFont="1" applyFill="1" applyBorder="1" applyAlignment="1">
      <alignment horizontal="center" vertical="center" wrapText="1"/>
    </xf>
    <xf numFmtId="0" fontId="4" fillId="0" borderId="0" xfId="0" applyFont="1"/>
    <xf numFmtId="165" fontId="4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0" fontId="4" fillId="4" borderId="0" xfId="0" applyFont="1" applyFill="1"/>
    <xf numFmtId="165" fontId="4" fillId="4" borderId="0" xfId="0" applyNumberFormat="1" applyFont="1" applyFill="1" applyAlignment="1">
      <alignment horizontal="right"/>
    </xf>
    <xf numFmtId="166" fontId="4" fillId="4" borderId="0" xfId="0" applyNumberFormat="1" applyFont="1" applyFill="1" applyAlignment="1">
      <alignment horizontal="right"/>
    </xf>
    <xf numFmtId="0" fontId="7" fillId="5" borderId="2" xfId="0" applyFont="1" applyFill="1" applyBorder="1"/>
    <xf numFmtId="166" fontId="7" fillId="5" borderId="2" xfId="0" applyNumberFormat="1" applyFont="1" applyFill="1" applyBorder="1"/>
    <xf numFmtId="0" fontId="8" fillId="6" borderId="0" xfId="0" applyFont="1" applyFill="1"/>
    <xf numFmtId="165" fontId="8" fillId="6" borderId="0" xfId="0" applyNumberFormat="1" applyFont="1" applyFill="1"/>
    <xf numFmtId="165" fontId="7" fillId="5" borderId="2" xfId="0" applyNumberFormat="1" applyFont="1" applyFill="1" applyBorder="1"/>
    <xf numFmtId="3" fontId="4" fillId="0" borderId="0" xfId="0" applyNumberFormat="1" applyFont="1"/>
    <xf numFmtId="3" fontId="4" fillId="4" borderId="0" xfId="0" applyNumberFormat="1" applyFont="1" applyFill="1"/>
    <xf numFmtId="166" fontId="4" fillId="0" borderId="0" xfId="0" applyNumberFormat="1" applyFont="1"/>
    <xf numFmtId="165" fontId="4" fillId="0" borderId="0" xfId="0" applyNumberFormat="1" applyFont="1"/>
    <xf numFmtId="166" fontId="4" fillId="4" borderId="0" xfId="0" applyNumberFormat="1" applyFont="1" applyFill="1"/>
    <xf numFmtId="165" fontId="4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3D44"/>
    <pageSetUpPr fitToPage="1"/>
  </sheetPr>
  <dimension ref="A1:C23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6" customWidth="1"/>
    <col min="2" max="2" width="16" customWidth="1"/>
    <col min="3" max="3" width="14" customWidth="1"/>
  </cols>
  <sheetData>
    <row r="1" ht="22" customHeight="1" spans="1:3" x14ac:dyDescent="0.25">
      <c r="A1" s="1" t="s">
        <v>0</v>
      </c>
      <c r="B1" s="1"/>
      <c r="C1" s="1"/>
    </row>
    <row r="2" spans="1:3" x14ac:dyDescent="0.25">
      <c r="A2" s="2" t="s">
        <v>1</v>
      </c>
      <c r="B2" s="2"/>
      <c r="C2" s="2"/>
    </row>
    <row r="3" spans="1:3" x14ac:dyDescent="0.25">
      <c r="A3" s="3" t="s">
        <v>2</v>
      </c>
      <c r="B3" s="3"/>
      <c r="C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46269.69564075231</v>
      </c>
    </row>
    <row r="6" ht="20" customHeight="1" spans="1:3" x14ac:dyDescent="0.25">
      <c r="A6" s="7" t="s">
        <v>5</v>
      </c>
      <c r="B6" s="7" t="s">
        <v>6</v>
      </c>
      <c r="C6" s="7" t="s">
        <v>7</v>
      </c>
    </row>
    <row r="7" spans="1:3" x14ac:dyDescent="0.25">
      <c r="A7" s="8" t="s">
        <v>8</v>
      </c>
      <c r="B7" s="9">
        <f>Staff!O10</f>
      </c>
      <c r="C7" s="10">
        <f>Staff!P10</f>
      </c>
    </row>
    <row r="8" spans="1:3" x14ac:dyDescent="0.25">
      <c r="A8" s="11" t="s">
        <v>9</v>
      </c>
      <c r="B8" s="12">
        <f>Foremen!O8</f>
      </c>
      <c r="C8" s="13">
        <f>Foremen!P8</f>
      </c>
    </row>
    <row r="9" spans="1:3" x14ac:dyDescent="0.25">
      <c r="A9" s="8" t="s">
        <v>10</v>
      </c>
      <c r="B9" s="9">
        <f>Direct!O9</f>
      </c>
      <c r="C9" s="10">
        <f>Direct!P9</f>
      </c>
    </row>
    <row r="10" spans="1:3" x14ac:dyDescent="0.25">
      <c r="A10" s="11" t="s">
        <v>11</v>
      </c>
      <c r="B10" s="12">
        <f>Support!O8</f>
      </c>
      <c r="C10" s="13">
        <f>Support!P8</f>
      </c>
    </row>
    <row r="11" spans="1:3" x14ac:dyDescent="0.25">
      <c r="A11" s="8" t="s">
        <v>12</v>
      </c>
      <c r="B11" s="9">
        <f>SUM(B7,B8,B9,B10)</f>
      </c>
      <c r="C11" s="10">
        <f>SUM(C7,C8,C9,C10)</f>
      </c>
    </row>
    <row r="12" spans="1:2" x14ac:dyDescent="0.25">
      <c r="A12" s="11" t="s">
        <v>13</v>
      </c>
      <c r="B12" s="12">
        <f>SUM(Staff!N10,Foremen!N8,Direct!N9,Support!N8)</f>
      </c>
    </row>
    <row r="13" spans="1:3" x14ac:dyDescent="0.25">
      <c r="A13" s="14" t="s">
        <v>14</v>
      </c>
      <c r="C13" s="15">
        <f>'Slicer Hrs'!E8</f>
      </c>
    </row>
    <row r="14" spans="1:2" x14ac:dyDescent="0.25">
      <c r="A14" s="11" t="s">
        <v>15</v>
      </c>
      <c r="B14" s="12">
        <f>'Staff Travel Cost'!E8</f>
      </c>
    </row>
    <row r="15" spans="1:2" x14ac:dyDescent="0.25">
      <c r="A15" s="8" t="s">
        <v>16</v>
      </c>
      <c r="B15" s="9">
        <f>'Misc Costs'!E8</f>
      </c>
    </row>
    <row r="16" spans="1:2" x14ac:dyDescent="0.25">
      <c r="A16" s="11" t="s">
        <v>17</v>
      </c>
      <c r="B16" s="12">
        <f>'Equipment Rental'!G8</f>
      </c>
    </row>
    <row r="17" spans="1:2" x14ac:dyDescent="0.25">
      <c r="A17" s="8" t="s">
        <v>18</v>
      </c>
      <c r="B17" s="9">
        <f>'Tensioning Torquing equipment'!G8</f>
      </c>
    </row>
    <row r="18" spans="1:2" x14ac:dyDescent="0.25">
      <c r="A18" s="11" t="s">
        <v>19</v>
      </c>
      <c r="B18" s="12">
        <f>'Crane Rental'!G8</f>
      </c>
    </row>
    <row r="19" spans="1:2" x14ac:dyDescent="0.25">
      <c r="A19" s="8" t="s">
        <v>20</v>
      </c>
      <c r="B19" s="9">
        <f>COE!G8</f>
      </c>
    </row>
    <row r="20" spans="1:2" x14ac:dyDescent="0.25">
      <c r="A20" s="11" t="s">
        <v>21</v>
      </c>
      <c r="B20" s="12">
        <f>'OM Crane Subcontractor'!F8</f>
      </c>
    </row>
    <row r="21" spans="1:2" x14ac:dyDescent="0.25">
      <c r="A21" s="16" t="s">
        <v>22</v>
      </c>
      <c r="B21" s="17">
        <v>74.04</v>
      </c>
    </row>
    <row r="23" spans="1:3" x14ac:dyDescent="0.25">
      <c r="A23" s="14" t="s">
        <v>23</v>
      </c>
      <c r="B23" s="18">
        <f>SUM(B11,B12,B14,B15,B16,B17,B18,B19,B20,B21)</f>
      </c>
      <c r="C23" s="15">
        <f>SUM(C7,C8,C9,C10)</f>
      </c>
    </row>
  </sheetData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F10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6" width="12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spans="1:1" x14ac:dyDescent="0.25">
      <c r="A2" s="2" t="s">
        <v>1</v>
      </c>
    </row>
    <row r="3" spans="1:6" x14ac:dyDescent="0.25">
      <c r="A3" s="3" t="s">
        <v>2</v>
      </c>
      <c r="B3" s="3"/>
      <c r="C3" s="3"/>
      <c r="D3" s="3"/>
      <c r="E3" s="3"/>
      <c r="F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46269.695640694445</v>
      </c>
    </row>
    <row r="6" ht="20" customHeight="1" spans="1:6" x14ac:dyDescent="0.25">
      <c r="A6" s="7" t="s">
        <v>24</v>
      </c>
      <c r="B6" s="7" t="s">
        <v>25</v>
      </c>
      <c r="C6" s="7" t="s">
        <v>26</v>
      </c>
      <c r="D6" s="7" t="s">
        <v>27</v>
      </c>
      <c r="E6" s="7" t="s">
        <v>28</v>
      </c>
      <c r="F6" s="7" t="s">
        <v>29</v>
      </c>
    </row>
    <row r="7" spans="1:6" x14ac:dyDescent="0.25">
      <c r="A7" s="8" t="s">
        <v>30</v>
      </c>
      <c r="B7" s="8" t="s">
        <v>30</v>
      </c>
      <c r="C7" s="8" t="s">
        <v>31</v>
      </c>
      <c r="D7" s="8" t="s">
        <v>32</v>
      </c>
      <c r="E7" s="19">
        <v>1</v>
      </c>
      <c r="F7" s="8" t="s">
        <v>33</v>
      </c>
    </row>
    <row r="8" spans="1:6" x14ac:dyDescent="0.25">
      <c r="A8" s="11" t="s">
        <v>34</v>
      </c>
      <c r="B8" s="11" t="s">
        <v>34</v>
      </c>
      <c r="C8" s="11" t="s">
        <v>31</v>
      </c>
      <c r="D8" s="11" t="s">
        <v>32</v>
      </c>
      <c r="E8" s="20">
        <v>1</v>
      </c>
      <c r="F8" s="11" t="s">
        <v>33</v>
      </c>
    </row>
    <row r="9" spans="1:6" x14ac:dyDescent="0.25">
      <c r="A9" s="8" t="s">
        <v>35</v>
      </c>
      <c r="B9" s="8" t="s">
        <v>35</v>
      </c>
      <c r="C9" s="8" t="s">
        <v>36</v>
      </c>
      <c r="D9" s="8" t="s">
        <v>32</v>
      </c>
      <c r="E9" s="19">
        <v>1</v>
      </c>
      <c r="F9" s="8" t="s">
        <v>30</v>
      </c>
    </row>
    <row r="10" spans="1:6" x14ac:dyDescent="0.25">
      <c r="A10" s="8" t="s">
        <v>37</v>
      </c>
      <c r="B10" s="8" t="s">
        <v>38</v>
      </c>
      <c r="C10" s="8" t="s">
        <v>39</v>
      </c>
      <c r="D10" s="8" t="s">
        <v>32</v>
      </c>
      <c r="E10" s="19">
        <v>1</v>
      </c>
      <c r="F10" s="8" t="s">
        <v>35</v>
      </c>
    </row>
  </sheetData>
  <mergeCells count="2">
    <mergeCell ref="A1:F1"/>
    <mergeCell ref="A3:F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ORG Chart &amp;R Confidential</oddHeader>
    <oddFooter>&amp;L Produced by Hit Squad Project Controls &amp;C &amp;D &amp;R Page &amp;P of &amp;N</oddFooter>
    <evenHeader>&amp;L&amp;B HIT SQUAD / PROJECT CONTROLS &amp;C ORG Chart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46269.69564070602</v>
      </c>
    </row>
    <row r="6" ht="20" customHeight="1" spans="1:5" x14ac:dyDescent="0.25">
      <c r="A6" s="7" t="s">
        <v>40</v>
      </c>
      <c r="B6" s="7" t="s">
        <v>41</v>
      </c>
      <c r="C6" s="7" t="s">
        <v>42</v>
      </c>
      <c r="D6" s="7" t="s">
        <v>43</v>
      </c>
      <c r="E6" s="7" t="s">
        <v>44</v>
      </c>
    </row>
    <row r="7" spans="1:5" x14ac:dyDescent="0.25">
      <c r="A7" s="8" t="s">
        <v>45</v>
      </c>
      <c r="B7" s="21">
        <v>100</v>
      </c>
      <c r="C7" s="21">
        <v>20</v>
      </c>
      <c r="D7" s="21">
        <v>0</v>
      </c>
      <c r="E7" s="21">
        <f>B7+C7+D7</f>
      </c>
    </row>
    <row r="8" spans="1:5" x14ac:dyDescent="0.25">
      <c r="A8" s="14" t="s">
        <v>46</v>
      </c>
      <c r="B8" s="15">
        <f>SUM(B7:B7)</f>
      </c>
      <c r="C8" s="15">
        <f>SUM(C7:C7)</f>
      </c>
      <c r="D8" s="15">
        <f>SUM(D7:D7)</f>
      </c>
      <c r="E8" s="15">
        <f>SUM(E7:E7)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Slicer Hrs &amp;R Confidential</oddHeader>
    <oddFooter>&amp;L Produced by Hit Squad Project Controls &amp;C &amp;D &amp;R Page &amp;P of &amp;N</oddFooter>
    <evenHeader>&amp;L&amp;B HIT SQUAD / PROJECT CONTROLS &amp;C Slicer Hrs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  <pageSetUpPr fitToPage="1"/>
  </sheetPr>
  <dimension ref="A1:P10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6" width="12" customWidth="1"/>
    <col min="7" max="16" width="14" customWidth="1"/>
  </cols>
  <sheetData>
    <row r="1" ht="22" customHeight="1" spans="1:16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" x14ac:dyDescent="0.25">
      <c r="A2" s="2" t="s">
        <v>1</v>
      </c>
    </row>
    <row r="3" spans="1:16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46269.69564064815</v>
      </c>
    </row>
    <row r="6" ht="20" customHeight="1" spans="1:16" x14ac:dyDescent="0.25">
      <c r="A6" s="7" t="s">
        <v>24</v>
      </c>
      <c r="B6" s="7" t="s">
        <v>47</v>
      </c>
      <c r="C6" s="7" t="s">
        <v>41</v>
      </c>
      <c r="D6" s="7" t="s">
        <v>42</v>
      </c>
      <c r="E6" s="7" t="s">
        <v>43</v>
      </c>
      <c r="F6" s="7" t="s">
        <v>48</v>
      </c>
      <c r="G6" s="7" t="s">
        <v>49</v>
      </c>
      <c r="H6" s="7" t="s">
        <v>50</v>
      </c>
      <c r="I6" s="7" t="s">
        <v>51</v>
      </c>
      <c r="J6" s="7" t="s">
        <v>52</v>
      </c>
      <c r="K6" s="7" t="s">
        <v>53</v>
      </c>
      <c r="L6" s="7" t="s">
        <v>54</v>
      </c>
      <c r="M6" s="7" t="s">
        <v>55</v>
      </c>
      <c r="N6" s="7" t="s">
        <v>56</v>
      </c>
      <c r="O6" s="7" t="s">
        <v>57</v>
      </c>
      <c r="P6" s="7" t="s">
        <v>58</v>
      </c>
    </row>
    <row r="7" spans="1:16" x14ac:dyDescent="0.25">
      <c r="A7" s="8" t="s">
        <v>30</v>
      </c>
      <c r="B7" s="19">
        <v>1</v>
      </c>
      <c r="C7" s="21">
        <v>10</v>
      </c>
      <c r="D7" s="21">
        <v>0</v>
      </c>
      <c r="E7" s="21">
        <v>0</v>
      </c>
      <c r="F7" s="21">
        <v>1</v>
      </c>
      <c r="G7" s="22">
        <f>'Rate Tables'!C7</f>
      </c>
      <c r="H7" s="22">
        <f>'Rate Tables'!D7</f>
      </c>
      <c r="I7" s="22">
        <f>'Rate Tables'!E7</f>
      </c>
      <c r="J7" s="22">
        <v>140</v>
      </c>
      <c r="K7" s="22">
        <f>C7*G7</f>
      </c>
      <c r="L7" s="22">
        <f>D7*H7</f>
      </c>
      <c r="M7" s="22">
        <f>E7*I7</f>
      </c>
      <c r="N7" s="22">
        <f>F7*J7</f>
      </c>
      <c r="O7" s="22">
        <f>K7+L7+M7</f>
      </c>
      <c r="P7" s="21">
        <f>C7+D7+E7</f>
      </c>
    </row>
    <row r="8" spans="1:16" x14ac:dyDescent="0.25">
      <c r="A8" s="11" t="s">
        <v>34</v>
      </c>
      <c r="B8" s="20">
        <v>1</v>
      </c>
      <c r="C8" s="23">
        <v>10</v>
      </c>
      <c r="D8" s="23">
        <v>0</v>
      </c>
      <c r="E8" s="23">
        <v>0</v>
      </c>
      <c r="F8" s="23">
        <v>1</v>
      </c>
      <c r="G8" s="24">
        <f>'Rate Tables'!C8</f>
      </c>
      <c r="H8" s="24">
        <f>'Rate Tables'!D8</f>
      </c>
      <c r="I8" s="24">
        <f>'Rate Tables'!E8</f>
      </c>
      <c r="J8" s="24">
        <v>140</v>
      </c>
      <c r="K8" s="24">
        <f>C8*G8</f>
      </c>
      <c r="L8" s="24">
        <f>D8*H8</f>
      </c>
      <c r="M8" s="24">
        <f>E8*I8</f>
      </c>
      <c r="N8" s="24">
        <f>F8*J8</f>
      </c>
      <c r="O8" s="24">
        <f>K8+L8+M8</f>
      </c>
      <c r="P8" s="23">
        <f>C8+D8+E8</f>
      </c>
    </row>
    <row r="9" spans="1:16" x14ac:dyDescent="0.25">
      <c r="A9" s="8" t="s">
        <v>35</v>
      </c>
      <c r="B9" s="19">
        <v>1</v>
      </c>
      <c r="C9" s="21">
        <v>8</v>
      </c>
      <c r="D9" s="21">
        <v>2</v>
      </c>
      <c r="E9" s="21">
        <v>0</v>
      </c>
      <c r="F9" s="21">
        <v>1</v>
      </c>
      <c r="G9" s="22">
        <f>'Rate Tables'!C9</f>
      </c>
      <c r="H9" s="22">
        <f>'Rate Tables'!D9</f>
      </c>
      <c r="I9" s="22">
        <f>'Rate Tables'!E9</f>
      </c>
      <c r="J9" s="22">
        <v>140</v>
      </c>
      <c r="K9" s="22">
        <f>C9*G9</f>
      </c>
      <c r="L9" s="22">
        <f>D9*H9</f>
      </c>
      <c r="M9" s="22">
        <f>E9*I9</f>
      </c>
      <c r="N9" s="22">
        <f>F9*J9</f>
      </c>
      <c r="O9" s="22">
        <f>K9+L9+M9</f>
      </c>
      <c r="P9" s="21">
        <f>C9+D9+E9</f>
      </c>
    </row>
    <row r="10" spans="1:16" x14ac:dyDescent="0.25">
      <c r="A10" s="14" t="s">
        <v>46</v>
      </c>
      <c r="C10" s="15">
        <f>SUM(C7:C9)</f>
      </c>
      <c r="D10" s="15">
        <f>SUM(D7:D9)</f>
      </c>
      <c r="E10" s="15">
        <f>SUM(E7:E9)</f>
      </c>
      <c r="F10" s="15">
        <f>SUM(F7:F9)</f>
      </c>
      <c r="K10" s="18">
        <f>SUM(K7:K9)</f>
      </c>
      <c r="L10" s="18">
        <f>SUM(L7:L9)</f>
      </c>
      <c r="M10" s="18">
        <f>SUM(M7:M9)</f>
      </c>
      <c r="N10" s="18">
        <f>SUM(N7:N9)</f>
      </c>
      <c r="O10" s="18">
        <f>SUM(O7:O9)</f>
      </c>
      <c r="P10" s="15">
        <f>SUM(P7:P9)</f>
      </c>
    </row>
  </sheetData>
  <mergeCells count="2">
    <mergeCell ref="A1:P1"/>
    <mergeCell ref="A3:P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  <pageSetUpPr fitToPage="1"/>
  </sheetPr>
  <dimension ref="A1:P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6" width="12" customWidth="1"/>
    <col min="7" max="16" width="14" customWidth="1"/>
  </cols>
  <sheetData>
    <row r="1" ht="22" customHeight="1" spans="1:16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" x14ac:dyDescent="0.25">
      <c r="A2" s="2" t="s">
        <v>1</v>
      </c>
    </row>
    <row r="3" spans="1:16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46269.6956406713</v>
      </c>
    </row>
    <row r="6" ht="20" customHeight="1" spans="1:16" x14ac:dyDescent="0.25">
      <c r="A6" s="7" t="s">
        <v>24</v>
      </c>
      <c r="B6" s="7" t="s">
        <v>47</v>
      </c>
      <c r="C6" s="7" t="s">
        <v>41</v>
      </c>
      <c r="D6" s="7" t="s">
        <v>42</v>
      </c>
      <c r="E6" s="7" t="s">
        <v>43</v>
      </c>
      <c r="F6" s="7" t="s">
        <v>48</v>
      </c>
      <c r="G6" s="7" t="s">
        <v>49</v>
      </c>
      <c r="H6" s="7" t="s">
        <v>50</v>
      </c>
      <c r="I6" s="7" t="s">
        <v>51</v>
      </c>
      <c r="J6" s="7" t="s">
        <v>52</v>
      </c>
      <c r="K6" s="7" t="s">
        <v>53</v>
      </c>
      <c r="L6" s="7" t="s">
        <v>54</v>
      </c>
      <c r="M6" s="7" t="s">
        <v>55</v>
      </c>
      <c r="N6" s="7" t="s">
        <v>56</v>
      </c>
      <c r="O6" s="7" t="s">
        <v>57</v>
      </c>
      <c r="P6" s="7" t="s">
        <v>58</v>
      </c>
    </row>
    <row r="7" spans="1:16" x14ac:dyDescent="0.25">
      <c r="A7" s="8" t="s">
        <v>37</v>
      </c>
      <c r="B7" s="19">
        <v>1</v>
      </c>
      <c r="C7" s="21">
        <v>8</v>
      </c>
      <c r="D7" s="21">
        <v>2</v>
      </c>
      <c r="E7" s="21">
        <v>0</v>
      </c>
      <c r="F7" s="21">
        <v>1</v>
      </c>
      <c r="G7" s="22">
        <f>'Rate Tables'!C10</f>
      </c>
      <c r="H7" s="22">
        <f>'Rate Tables'!D10</f>
      </c>
      <c r="I7" s="22">
        <f>'Rate Tables'!E10</f>
      </c>
      <c r="J7" s="22">
        <v>130</v>
      </c>
      <c r="K7" s="22">
        <f>C7*G7</f>
      </c>
      <c r="L7" s="22">
        <f>D7*H7</f>
      </c>
      <c r="M7" s="22">
        <f>E7*I7</f>
      </c>
      <c r="N7" s="22">
        <f>F7*J7</f>
      </c>
      <c r="O7" s="22">
        <f>K7+L7+M7</f>
      </c>
      <c r="P7" s="21">
        <f>C7+D7+E7</f>
      </c>
    </row>
    <row r="8" spans="1:16" x14ac:dyDescent="0.25">
      <c r="A8" s="14" t="s">
        <v>46</v>
      </c>
      <c r="C8" s="15">
        <f>SUM(C7:C7)</f>
      </c>
      <c r="D8" s="15">
        <f>SUM(D7:D7)</f>
      </c>
      <c r="E8" s="15">
        <f>SUM(E7:E7)</f>
      </c>
      <c r="F8" s="15">
        <f>SUM(F7:F7)</f>
      </c>
      <c r="K8" s="18">
        <f>SUM(K7:K7)</f>
      </c>
      <c r="L8" s="18">
        <f>SUM(L7:L7)</f>
      </c>
      <c r="M8" s="18">
        <f>SUM(M7:M7)</f>
      </c>
      <c r="N8" s="18">
        <f>SUM(N7:N7)</f>
      </c>
      <c r="O8" s="18">
        <f>SUM(O7:O7)</f>
      </c>
      <c r="P8" s="15">
        <f>SUM(P7:P7)</f>
      </c>
    </row>
  </sheetData>
  <mergeCells count="2">
    <mergeCell ref="A1:P1"/>
    <mergeCell ref="A3:P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  <pageSetUpPr fitToPage="1"/>
  </sheetPr>
  <dimension ref="A1:P9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6" width="12" customWidth="1"/>
    <col min="7" max="16" width="14" customWidth="1"/>
  </cols>
  <sheetData>
    <row r="1" ht="22" customHeight="1" spans="1:16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" x14ac:dyDescent="0.25">
      <c r="A2" s="2" t="s">
        <v>1</v>
      </c>
    </row>
    <row r="3" spans="1:16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46269.6956406713</v>
      </c>
    </row>
    <row r="6" ht="20" customHeight="1" spans="1:16" x14ac:dyDescent="0.25">
      <c r="A6" s="7" t="s">
        <v>24</v>
      </c>
      <c r="B6" s="7" t="s">
        <v>47</v>
      </c>
      <c r="C6" s="7" t="s">
        <v>41</v>
      </c>
      <c r="D6" s="7" t="s">
        <v>42</v>
      </c>
      <c r="E6" s="7" t="s">
        <v>43</v>
      </c>
      <c r="F6" s="7" t="s">
        <v>48</v>
      </c>
      <c r="G6" s="7" t="s">
        <v>49</v>
      </c>
      <c r="H6" s="7" t="s">
        <v>50</v>
      </c>
      <c r="I6" s="7" t="s">
        <v>51</v>
      </c>
      <c r="J6" s="7" t="s">
        <v>52</v>
      </c>
      <c r="K6" s="7" t="s">
        <v>53</v>
      </c>
      <c r="L6" s="7" t="s">
        <v>54</v>
      </c>
      <c r="M6" s="7" t="s">
        <v>55</v>
      </c>
      <c r="N6" s="7" t="s">
        <v>56</v>
      </c>
      <c r="O6" s="7" t="s">
        <v>57</v>
      </c>
      <c r="P6" s="7" t="s">
        <v>58</v>
      </c>
    </row>
    <row r="7" spans="1:16" x14ac:dyDescent="0.25">
      <c r="A7" s="8" t="s">
        <v>59</v>
      </c>
      <c r="B7" s="19">
        <v>4</v>
      </c>
      <c r="C7" s="21">
        <v>32</v>
      </c>
      <c r="D7" s="21">
        <v>8</v>
      </c>
      <c r="E7" s="21">
        <v>0</v>
      </c>
      <c r="F7" s="21">
        <v>4</v>
      </c>
      <c r="G7" s="22">
        <f>'Rate Tables'!C11</f>
      </c>
      <c r="H7" s="22">
        <f>'Rate Tables'!D11</f>
      </c>
      <c r="I7" s="22">
        <f>'Rate Tables'!E11</f>
      </c>
      <c r="J7" s="22">
        <v>130</v>
      </c>
      <c r="K7" s="22">
        <f>C7*G7</f>
      </c>
      <c r="L7" s="22">
        <f>D7*H7</f>
      </c>
      <c r="M7" s="22">
        <f>E7*I7</f>
      </c>
      <c r="N7" s="22">
        <f>F7*J7</f>
      </c>
      <c r="O7" s="22">
        <f>K7+L7+M7</f>
      </c>
      <c r="P7" s="21">
        <f>C7+D7+E7</f>
      </c>
    </row>
    <row r="8" spans="1:16" x14ac:dyDescent="0.25">
      <c r="A8" s="11" t="s">
        <v>60</v>
      </c>
      <c r="B8" s="20">
        <v>3</v>
      </c>
      <c r="C8" s="23">
        <v>24</v>
      </c>
      <c r="D8" s="23">
        <v>6</v>
      </c>
      <c r="E8" s="23">
        <v>0</v>
      </c>
      <c r="F8" s="23">
        <v>3</v>
      </c>
      <c r="G8" s="24">
        <f>'Rate Tables'!C12</f>
      </c>
      <c r="H8" s="24">
        <f>'Rate Tables'!D12</f>
      </c>
      <c r="I8" s="24">
        <f>'Rate Tables'!E12</f>
      </c>
      <c r="J8" s="24">
        <v>130</v>
      </c>
      <c r="K8" s="24">
        <f>C8*G8</f>
      </c>
      <c r="L8" s="24">
        <f>D8*H8</f>
      </c>
      <c r="M8" s="24">
        <f>E8*I8</f>
      </c>
      <c r="N8" s="24">
        <f>F8*J8</f>
      </c>
      <c r="O8" s="24">
        <f>K8+L8+M8</f>
      </c>
      <c r="P8" s="23">
        <f>C8+D8+E8</f>
      </c>
    </row>
    <row r="9" spans="1:16" x14ac:dyDescent="0.25">
      <c r="A9" s="14" t="s">
        <v>46</v>
      </c>
      <c r="C9" s="15">
        <f>SUM(C7:C8)</f>
      </c>
      <c r="D9" s="15">
        <f>SUM(D7:D8)</f>
      </c>
      <c r="E9" s="15">
        <f>SUM(E7:E8)</f>
      </c>
      <c r="F9" s="15">
        <f>SUM(F7:F8)</f>
      </c>
      <c r="K9" s="18">
        <f>SUM(K7:K8)</f>
      </c>
      <c r="L9" s="18">
        <f>SUM(L7:L8)</f>
      </c>
      <c r="M9" s="18">
        <f>SUM(M7:M8)</f>
      </c>
      <c r="N9" s="18">
        <f>SUM(N7:N8)</f>
      </c>
      <c r="O9" s="18">
        <f>SUM(O7:O8)</f>
      </c>
      <c r="P9" s="15">
        <f>SUM(P7:P8)</f>
      </c>
    </row>
  </sheetData>
  <mergeCells count="2">
    <mergeCell ref="A1:P1"/>
    <mergeCell ref="A3:P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  <pageSetUpPr fitToPage="1"/>
  </sheetPr>
  <dimension ref="A1:P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6" width="12" customWidth="1"/>
    <col min="7" max="16" width="14" customWidth="1"/>
  </cols>
  <sheetData>
    <row r="1" ht="22" customHeight="1" spans="1:16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" x14ac:dyDescent="0.25">
      <c r="A2" s="2" t="s">
        <v>1</v>
      </c>
    </row>
    <row r="3" spans="1:16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46269.69564068287</v>
      </c>
    </row>
    <row r="6" ht="20" customHeight="1" spans="1:16" x14ac:dyDescent="0.25">
      <c r="A6" s="7" t="s">
        <v>24</v>
      </c>
      <c r="B6" s="7" t="s">
        <v>47</v>
      </c>
      <c r="C6" s="7" t="s">
        <v>41</v>
      </c>
      <c r="D6" s="7" t="s">
        <v>42</v>
      </c>
      <c r="E6" s="7" t="s">
        <v>43</v>
      </c>
      <c r="F6" s="7" t="s">
        <v>48</v>
      </c>
      <c r="G6" s="7" t="s">
        <v>49</v>
      </c>
      <c r="H6" s="7" t="s">
        <v>50</v>
      </c>
      <c r="I6" s="7" t="s">
        <v>51</v>
      </c>
      <c r="J6" s="7" t="s">
        <v>52</v>
      </c>
      <c r="K6" s="7" t="s">
        <v>53</v>
      </c>
      <c r="L6" s="7" t="s">
        <v>54</v>
      </c>
      <c r="M6" s="7" t="s">
        <v>55</v>
      </c>
      <c r="N6" s="7" t="s">
        <v>56</v>
      </c>
      <c r="O6" s="7" t="s">
        <v>57</v>
      </c>
      <c r="P6" s="7" t="s">
        <v>58</v>
      </c>
    </row>
    <row r="7" spans="1:16" x14ac:dyDescent="0.25">
      <c r="A7" s="8" t="s">
        <v>61</v>
      </c>
      <c r="B7" s="19">
        <v>1</v>
      </c>
      <c r="C7" s="21">
        <v>8</v>
      </c>
      <c r="D7" s="21">
        <v>2</v>
      </c>
      <c r="E7" s="21">
        <v>0</v>
      </c>
      <c r="F7" s="21">
        <v>1</v>
      </c>
      <c r="G7" s="22">
        <f>'Rate Tables'!C11</f>
      </c>
      <c r="H7" s="22">
        <f>'Rate Tables'!D11</f>
      </c>
      <c r="I7" s="22">
        <f>'Rate Tables'!E11</f>
      </c>
      <c r="J7" s="22">
        <v>130</v>
      </c>
      <c r="K7" s="22">
        <f>C7*G7</f>
      </c>
      <c r="L7" s="22">
        <f>D7*H7</f>
      </c>
      <c r="M7" s="22">
        <f>E7*I7</f>
      </c>
      <c r="N7" s="22">
        <f>F7*J7</f>
      </c>
      <c r="O7" s="22">
        <f>K7+L7+M7</f>
      </c>
      <c r="P7" s="21">
        <f>C7+D7+E7</f>
      </c>
    </row>
    <row r="8" spans="1:16" x14ac:dyDescent="0.25">
      <c r="A8" s="14" t="s">
        <v>46</v>
      </c>
      <c r="C8" s="15">
        <f>SUM(C7:C7)</f>
      </c>
      <c r="D8" s="15">
        <f>SUM(D7:D7)</f>
      </c>
      <c r="E8" s="15">
        <f>SUM(E7:E7)</f>
      </c>
      <c r="F8" s="15">
        <f>SUM(F7:F7)</f>
      </c>
      <c r="K8" s="18">
        <f>SUM(K7:K7)</f>
      </c>
      <c r="L8" s="18">
        <f>SUM(L7:L7)</f>
      </c>
      <c r="M8" s="18">
        <f>SUM(M7:M7)</f>
      </c>
      <c r="N8" s="18">
        <f>SUM(N7:N7)</f>
      </c>
      <c r="O8" s="18">
        <f>SUM(O7:O7)</f>
      </c>
      <c r="P8" s="15">
        <f>SUM(P7:P7)</f>
      </c>
    </row>
  </sheetData>
  <mergeCells count="2">
    <mergeCell ref="A1:P1"/>
    <mergeCell ref="A3:P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14"/>
    <pageSetUpPr fitToPage="1"/>
  </sheetPr>
  <dimension ref="A1:H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4" width="12" customWidth="1"/>
    <col min="5" max="8" width="14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1" x14ac:dyDescent="0.25">
      <c r="A2" s="2" t="s">
        <v>1</v>
      </c>
    </row>
    <row r="3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46269.69564070602</v>
      </c>
    </row>
    <row r="6" ht="20" customHeight="1" spans="1:8" x14ac:dyDescent="0.25">
      <c r="A6" s="7" t="s">
        <v>62</v>
      </c>
      <c r="B6" s="7" t="s">
        <v>63</v>
      </c>
      <c r="C6" s="7" t="s">
        <v>64</v>
      </c>
      <c r="D6" s="7" t="s">
        <v>65</v>
      </c>
      <c r="E6" s="7" t="s">
        <v>66</v>
      </c>
      <c r="F6" s="7" t="s">
        <v>67</v>
      </c>
      <c r="G6" s="7" t="s">
        <v>68</v>
      </c>
      <c r="H6" s="7" t="s">
        <v>57</v>
      </c>
    </row>
    <row r="7" spans="1:8" x14ac:dyDescent="0.25">
      <c r="A7" s="8" t="s">
        <v>69</v>
      </c>
      <c r="B7" s="8" t="s">
        <v>70</v>
      </c>
      <c r="C7" s="19">
        <v>1</v>
      </c>
      <c r="D7" s="19">
        <v>1</v>
      </c>
      <c r="E7" s="22">
        <v>134</v>
      </c>
      <c r="F7" s="22">
        <v>0</v>
      </c>
      <c r="G7" s="22">
        <f>C7*D7*E7+F7</f>
      </c>
      <c r="H7" s="22">
        <f>G7*1.06</f>
      </c>
    </row>
    <row r="8" spans="1:8" x14ac:dyDescent="0.25">
      <c r="A8" s="14" t="s">
        <v>46</v>
      </c>
      <c r="G8" s="18">
        <f>SUM(G7:G7)</f>
      </c>
      <c r="H8" s="18">
        <f>SUM(H7:H7)</f>
      </c>
    </row>
  </sheetData>
  <mergeCells count="2">
    <mergeCell ref="A1:H1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14"/>
    <pageSetUpPr fitToPage="1"/>
  </sheetPr>
  <dimension ref="A1:H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4" width="12" customWidth="1"/>
    <col min="5" max="8" width="14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1" x14ac:dyDescent="0.25">
      <c r="A2" s="2" t="s">
        <v>1</v>
      </c>
    </row>
    <row r="3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46269.69564070602</v>
      </c>
    </row>
    <row r="6" ht="20" customHeight="1" spans="1:8" x14ac:dyDescent="0.25">
      <c r="A6" s="7" t="s">
        <v>62</v>
      </c>
      <c r="B6" s="7" t="s">
        <v>63</v>
      </c>
      <c r="C6" s="7" t="s">
        <v>64</v>
      </c>
      <c r="D6" s="7" t="s">
        <v>65</v>
      </c>
      <c r="E6" s="7" t="s">
        <v>66</v>
      </c>
      <c r="F6" s="7" t="s">
        <v>67</v>
      </c>
      <c r="G6" s="7" t="s">
        <v>68</v>
      </c>
      <c r="H6" s="7" t="s">
        <v>57</v>
      </c>
    </row>
    <row r="7" spans="1:8" x14ac:dyDescent="0.25">
      <c r="A7" s="8" t="s">
        <v>71</v>
      </c>
      <c r="B7" s="8" t="s">
        <v>70</v>
      </c>
      <c r="C7" s="19">
        <v>1</v>
      </c>
      <c r="D7" s="19">
        <v>1</v>
      </c>
      <c r="E7" s="22">
        <v>80</v>
      </c>
      <c r="F7" s="22">
        <v>0</v>
      </c>
      <c r="G7" s="22">
        <f>C7*D7*E7+F7</f>
      </c>
      <c r="H7" s="22">
        <f>G7*1.06</f>
      </c>
    </row>
    <row r="8" spans="1:8" x14ac:dyDescent="0.25">
      <c r="A8" s="14" t="s">
        <v>46</v>
      </c>
      <c r="G8" s="18">
        <f>SUM(G7:G7)</f>
      </c>
      <c r="H8" s="18">
        <f>SUM(H7:H7)</f>
      </c>
    </row>
  </sheetData>
  <mergeCells count="2">
    <mergeCell ref="A1:H1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Tensioning Torquing equi &amp;R Confidential</oddHeader>
    <oddFooter>&amp;L Produced by Hit Squad Project Controls &amp;C &amp;D &amp;R Page &amp;P of &amp;N</oddFooter>
    <evenHeader>&amp;L&amp;B HIT SQUAD / PROJECT CONTROLS &amp;C Tensioning Torquing equi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14"/>
    <pageSetUpPr fitToPage="1"/>
  </sheetPr>
  <dimension ref="A1:H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4" width="12" customWidth="1"/>
    <col min="5" max="8" width="14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1" x14ac:dyDescent="0.25">
      <c r="A2" s="2" t="s">
        <v>1</v>
      </c>
    </row>
    <row r="3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46269.69564070602</v>
      </c>
    </row>
    <row r="6" ht="20" customHeight="1" spans="1:8" x14ac:dyDescent="0.25">
      <c r="A6" s="7" t="s">
        <v>62</v>
      </c>
      <c r="B6" s="7" t="s">
        <v>63</v>
      </c>
      <c r="C6" s="7" t="s">
        <v>64</v>
      </c>
      <c r="D6" s="7" t="s">
        <v>65</v>
      </c>
      <c r="E6" s="7" t="s">
        <v>66</v>
      </c>
      <c r="F6" s="7" t="s">
        <v>67</v>
      </c>
      <c r="G6" s="7" t="s">
        <v>68</v>
      </c>
      <c r="H6" s="7" t="s">
        <v>57</v>
      </c>
    </row>
    <row r="7" spans="1:8" x14ac:dyDescent="0.25">
      <c r="A7" s="8" t="s">
        <v>72</v>
      </c>
      <c r="B7" s="8" t="s">
        <v>70</v>
      </c>
      <c r="C7" s="19">
        <v>1</v>
      </c>
      <c r="D7" s="19">
        <v>1</v>
      </c>
      <c r="E7" s="22">
        <v>400</v>
      </c>
      <c r="F7" s="22">
        <v>0</v>
      </c>
      <c r="G7" s="22">
        <f>C7*D7*E7+F7</f>
      </c>
      <c r="H7" s="22">
        <f>G7*1.06</f>
      </c>
    </row>
    <row r="8" spans="1:8" x14ac:dyDescent="0.25">
      <c r="A8" s="14" t="s">
        <v>46</v>
      </c>
      <c r="G8" s="18">
        <f>SUM(G7:G7)</f>
      </c>
      <c r="H8" s="18">
        <f>SUM(H7:H7)</f>
      </c>
    </row>
  </sheetData>
  <mergeCells count="2">
    <mergeCell ref="A1:H1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Crane Rental &amp;R Confidential</oddHeader>
    <oddFooter>&amp;L Produced by Hit Squad Project Controls &amp;C &amp;D &amp;R Page &amp;P of &amp;N</oddFooter>
    <evenHeader>&amp;L&amp;B HIT SQUAD / PROJECT CONTROLS &amp;C Crane Rental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H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2" width="30" customWidth="1"/>
    <col min="3" max="3" width="12" customWidth="1"/>
    <col min="4" max="4" width="14" customWidth="1"/>
    <col min="5" max="5" width="12" customWidth="1"/>
    <col min="6" max="8" width="14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1" x14ac:dyDescent="0.25">
      <c r="A2" s="2" t="s">
        <v>1</v>
      </c>
    </row>
    <row r="3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46269.69564075231</v>
      </c>
    </row>
    <row r="6" ht="20" customHeight="1" spans="1:8" x14ac:dyDescent="0.25">
      <c r="A6" s="7" t="s">
        <v>73</v>
      </c>
      <c r="B6" s="7" t="s">
        <v>74</v>
      </c>
      <c r="C6" s="7" t="s">
        <v>64</v>
      </c>
      <c r="D6" s="7" t="s">
        <v>66</v>
      </c>
      <c r="E6" s="7" t="s">
        <v>75</v>
      </c>
      <c r="F6" s="7" t="s">
        <v>68</v>
      </c>
      <c r="G6" s="7" t="s">
        <v>76</v>
      </c>
      <c r="H6" s="7" t="s">
        <v>57</v>
      </c>
    </row>
    <row r="7" spans="1:8" x14ac:dyDescent="0.25">
      <c r="A7" s="8" t="s">
        <v>77</v>
      </c>
      <c r="B7" s="8" t="s">
        <v>78</v>
      </c>
      <c r="C7" s="19">
        <v>1</v>
      </c>
      <c r="D7" s="22">
        <v>500</v>
      </c>
      <c r="E7" s="8" t="s">
        <v>79</v>
      </c>
      <c r="F7" s="22">
        <f>C7*D7</f>
      </c>
      <c r="G7" s="22">
        <f>F7*0.065</f>
      </c>
      <c r="H7" s="22">
        <f>F7+G7</f>
      </c>
    </row>
    <row r="8" spans="1:8" x14ac:dyDescent="0.25">
      <c r="A8" s="14" t="s">
        <v>23</v>
      </c>
      <c r="F8" s="18">
        <f>SUM(F7:F7)</f>
      </c>
      <c r="G8" s="18">
        <f>SUM(G7:G7)</f>
      </c>
      <c r="H8" s="18">
        <f>SUM(H7:H7)</f>
      </c>
    </row>
  </sheetData>
  <mergeCells count="2">
    <mergeCell ref="A1:H1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OM Crane Subcontractor &amp;R Confidential</oddHeader>
    <oddFooter>&amp;L Produced by Hit Squad Project Controls &amp;C &amp;D &amp;R Page &amp;P of &amp;N</oddFooter>
    <evenHeader>&amp;L&amp;B HIT SQUAD / PROJECT CONTROLS &amp;C OM Crane Subcontractor &amp;R Confidential</evenHeader>
    <evenFooter>&amp;L Produced by Hit Squad Project Controls &amp;C &amp;D &amp;R Page &amp;P of &amp;N</even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14"/>
    <pageSetUpPr fitToPage="1"/>
  </sheetPr>
  <dimension ref="A1:G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4" width="12" customWidth="1"/>
    <col min="5" max="7" width="14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3" spans="1:7" x14ac:dyDescent="0.25">
      <c r="A3" s="3" t="s">
        <v>2</v>
      </c>
      <c r="B3" s="3"/>
      <c r="C3" s="3"/>
      <c r="D3" s="3"/>
      <c r="E3" s="3"/>
      <c r="F3" s="3"/>
      <c r="G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46269.695640729165</v>
      </c>
    </row>
    <row r="6" ht="20" customHeight="1" spans="1:7" x14ac:dyDescent="0.25">
      <c r="A6" s="7" t="s">
        <v>62</v>
      </c>
      <c r="B6" s="7" t="s">
        <v>63</v>
      </c>
      <c r="C6" s="7" t="s">
        <v>64</v>
      </c>
      <c r="D6" s="7" t="s">
        <v>65</v>
      </c>
      <c r="E6" s="7" t="s">
        <v>66</v>
      </c>
      <c r="F6" s="7" t="s">
        <v>67</v>
      </c>
      <c r="G6" s="7" t="s">
        <v>57</v>
      </c>
    </row>
    <row r="7" spans="1:7" x14ac:dyDescent="0.25">
      <c r="A7" s="8" t="s">
        <v>80</v>
      </c>
      <c r="B7" s="8" t="s">
        <v>70</v>
      </c>
      <c r="C7" s="19">
        <v>1</v>
      </c>
      <c r="D7" s="19">
        <v>1</v>
      </c>
      <c r="E7" s="22">
        <v>32</v>
      </c>
      <c r="F7" s="22">
        <v>0</v>
      </c>
      <c r="G7" s="22">
        <f>C7*D7*E7+F7</f>
      </c>
    </row>
    <row r="8" spans="1:7" x14ac:dyDescent="0.25">
      <c r="A8" s="14" t="s">
        <v>46</v>
      </c>
      <c r="G8" s="18">
        <f>SUM(G7:G7)</f>
      </c>
    </row>
  </sheetData>
  <mergeCells count="2">
    <mergeCell ref="A1:G1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3" width="12" customWidth="1"/>
    <col min="4" max="5" width="14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46269.69564074074</v>
      </c>
    </row>
    <row r="6" ht="20" customHeight="1" spans="1:5" x14ac:dyDescent="0.25">
      <c r="A6" s="7" t="s">
        <v>81</v>
      </c>
      <c r="B6" s="7" t="s">
        <v>82</v>
      </c>
      <c r="C6" s="7" t="s">
        <v>83</v>
      </c>
      <c r="D6" s="7" t="s">
        <v>84</v>
      </c>
      <c r="E6" s="7" t="s">
        <v>57</v>
      </c>
    </row>
    <row r="7" spans="1:5" x14ac:dyDescent="0.25">
      <c r="A7" s="8" t="s">
        <v>85</v>
      </c>
      <c r="B7" s="19">
        <v>3</v>
      </c>
      <c r="C7" s="19">
        <v>40</v>
      </c>
      <c r="D7" s="22">
        <v>0.7</v>
      </c>
      <c r="E7" s="22">
        <f>B7*C7*D7</f>
      </c>
    </row>
    <row r="8" spans="1:5" x14ac:dyDescent="0.25">
      <c r="A8" s="14" t="s">
        <v>46</v>
      </c>
      <c r="E8" s="18">
        <f>SUM(E7:E7)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2" width="30" customWidth="1"/>
    <col min="3" max="3" width="12" customWidth="1"/>
    <col min="4" max="5" width="14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46269.69564074074</v>
      </c>
    </row>
    <row r="6" ht="20" customHeight="1" spans="1:5" x14ac:dyDescent="0.25">
      <c r="A6" s="7" t="s">
        <v>62</v>
      </c>
      <c r="B6" s="7" t="s">
        <v>86</v>
      </c>
      <c r="C6" s="7" t="s">
        <v>64</v>
      </c>
      <c r="D6" s="7" t="s">
        <v>87</v>
      </c>
      <c r="E6" s="7" t="s">
        <v>57</v>
      </c>
    </row>
    <row r="7" spans="1:5" x14ac:dyDescent="0.25">
      <c r="A7" s="8" t="s">
        <v>88</v>
      </c>
      <c r="B7" s="8" t="s">
        <v>89</v>
      </c>
      <c r="C7" s="19">
        <v>1</v>
      </c>
      <c r="D7" s="22">
        <v>25</v>
      </c>
      <c r="E7" s="22">
        <f>C7*D7</f>
      </c>
    </row>
    <row r="8" spans="1:5" x14ac:dyDescent="0.25">
      <c r="A8" s="14" t="s">
        <v>46</v>
      </c>
      <c r="E8" s="18">
        <f>SUM(E7:E7)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3D44"/>
    <pageSetUpPr fitToPage="1"/>
  </sheetPr>
  <dimension ref="A1:F12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6" width="14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spans="1:1" x14ac:dyDescent="0.25">
      <c r="A2" s="2" t="s">
        <v>1</v>
      </c>
    </row>
    <row r="3" spans="1:6" x14ac:dyDescent="0.25">
      <c r="A3" s="3" t="s">
        <v>2</v>
      </c>
      <c r="B3" s="3"/>
      <c r="C3" s="3"/>
      <c r="D3" s="3"/>
      <c r="E3" s="3"/>
      <c r="F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46269.695640555554</v>
      </c>
    </row>
    <row r="6" ht="20" customHeight="1" spans="1:6" x14ac:dyDescent="0.25">
      <c r="A6" s="7" t="s">
        <v>90</v>
      </c>
      <c r="B6" s="7" t="s">
        <v>91</v>
      </c>
      <c r="C6" s="7" t="s">
        <v>92</v>
      </c>
      <c r="D6" s="7" t="s">
        <v>93</v>
      </c>
      <c r="E6" s="7" t="s">
        <v>94</v>
      </c>
      <c r="F6" s="7" t="s">
        <v>52</v>
      </c>
    </row>
    <row r="7" spans="1:6" x14ac:dyDescent="0.25">
      <c r="A7" s="8" t="s">
        <v>30</v>
      </c>
      <c r="B7" s="22">
        <v>52.5</v>
      </c>
      <c r="C7" s="22">
        <v>91.02</v>
      </c>
      <c r="D7" s="22">
        <v>122.2</v>
      </c>
      <c r="E7" s="22">
        <v>153.39</v>
      </c>
      <c r="F7" s="22">
        <v>140</v>
      </c>
    </row>
    <row r="8" spans="1:6" x14ac:dyDescent="0.25">
      <c r="A8" s="11" t="s">
        <v>34</v>
      </c>
      <c r="B8" s="24">
        <v>76.5</v>
      </c>
      <c r="C8" s="24">
        <v>121.78</v>
      </c>
      <c r="D8" s="24">
        <v>167.22</v>
      </c>
      <c r="E8" s="24">
        <v>212.67</v>
      </c>
      <c r="F8" s="24">
        <v>140</v>
      </c>
    </row>
    <row r="9" spans="1:6" x14ac:dyDescent="0.25">
      <c r="A9" s="8" t="s">
        <v>35</v>
      </c>
      <c r="B9" s="22">
        <v>58.84</v>
      </c>
      <c r="C9" s="22">
        <v>111.22</v>
      </c>
      <c r="D9" s="22">
        <v>156.31</v>
      </c>
      <c r="E9" s="22">
        <v>201.4</v>
      </c>
      <c r="F9" s="22">
        <v>140</v>
      </c>
    </row>
    <row r="10" spans="1:6" x14ac:dyDescent="0.25">
      <c r="A10" s="11" t="s">
        <v>37</v>
      </c>
      <c r="B10" s="24">
        <v>49.1</v>
      </c>
      <c r="C10" s="24">
        <v>112.62</v>
      </c>
      <c r="D10" s="24">
        <v>159.07</v>
      </c>
      <c r="E10" s="24">
        <v>205.52</v>
      </c>
      <c r="F10" s="24">
        <v>130</v>
      </c>
    </row>
    <row r="11" spans="1:6" x14ac:dyDescent="0.25">
      <c r="A11" s="8" t="s">
        <v>59</v>
      </c>
      <c r="B11" s="22">
        <v>45.6</v>
      </c>
      <c r="C11" s="22">
        <v>108.38</v>
      </c>
      <c r="D11" s="22">
        <v>152.78</v>
      </c>
      <c r="E11" s="22">
        <v>197.19</v>
      </c>
      <c r="F11" s="22">
        <v>130</v>
      </c>
    </row>
    <row r="12" spans="1:6" x14ac:dyDescent="0.25">
      <c r="A12" s="8" t="s">
        <v>60</v>
      </c>
      <c r="B12" s="22">
        <v>49.03</v>
      </c>
      <c r="C12" s="22">
        <v>99.33</v>
      </c>
      <c r="D12" s="22">
        <v>138.69</v>
      </c>
      <c r="E12" s="22">
        <v>178.05</v>
      </c>
      <c r="F12" s="22">
        <v>130</v>
      </c>
    </row>
  </sheetData>
  <mergeCells count="2">
    <mergeCell ref="A1:F1"/>
    <mergeCell ref="A3:F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Summary Page</vt:lpstr>
      <vt:lpstr>ORG Chart</vt:lpstr>
      <vt:lpstr>Slicer Hrs</vt:lpstr>
      <vt:lpstr>Staff</vt:lpstr>
      <vt:lpstr>Foremen</vt:lpstr>
      <vt:lpstr>Direct</vt:lpstr>
      <vt:lpstr>Support</vt:lpstr>
      <vt:lpstr>Equipment Rental</vt:lpstr>
      <vt:lpstr>Tensioning Torquing equipment</vt:lpstr>
      <vt:lpstr>Crane Rental</vt:lpstr>
      <vt:lpstr>OM Crane 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2026-09-04T16:41:43Z</dcterms:created>
  <dcterms:modified xsi:type="dcterms:W3CDTF">2026-09-04T16:41:43Z</dcterms:modified>
</cp:coreProperties>
</file>