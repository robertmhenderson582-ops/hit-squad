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<sst xmlns="http://schemas.openxmlformats.org/spreadsheetml/2006/main" count="393" uniqueCount="103">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</sst>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1" borderId="1" xfId="0" applyNumberFormat="1" applyFont="1" applyFill="1" applyBorder="1" applyAlignment="1" applyProtection="1">
      <alignment horizontal="center" vertical="center"/>
    </xf>
    <xf numFmtId="0" fontId="12" fillId="1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3" borderId="8" xfId="0" applyNumberFormat="1" applyFont="1" applyFill="1" applyBorder="1" applyAlignment="1" applyProtection="1">
      <alignment horizontal="center" vertical="center"/>
      <protection locked="0"/>
    </xf>
    <xf numFmtId="3" fontId="5" fillId="13" borderId="3" xfId="0" applyNumberFormat="1" applyFont="1" applyFill="1" applyBorder="1" applyAlignment="1" applyProtection="1">
      <alignment horizontal="center" vertical="center"/>
      <protection locked="0"/>
    </xf>
    <xf numFmtId="3" fontId="5" fillId="11" borderId="3" xfId="0" applyNumberFormat="1" applyFont="1" applyFill="1" applyBorder="1" applyAlignment="1" applyProtection="1">
      <alignment horizontal="center" vertical="center"/>
      <protection locked="0"/>
    </xf>
    <xf numFmtId="3" fontId="5" fillId="13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4" borderId="8" xfId="0" applyFont="1" applyFill="1" applyBorder="1" applyAlignment="1">
      <alignment horizontal="center" vertical="center"/>
    </xf>
    <xf numFmtId="3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 applyProtection="1">
      <alignment horizontal="center" vertical="center"/>
    </xf>
    <xf numFmtId="3" fontId="5" fillId="6" borderId="10" xfId="0" applyNumberFormat="1" applyFont="1" applyFill="1" applyBorder="1" applyAlignment="1" applyProtection="1">
      <alignment horizontal="center" vertical="center"/>
    </xf>
    <xf numFmtId="3" fontId="5" fillId="11" borderId="10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0" fontId="5" fillId="15" borderId="12" xfId="0" applyFont="1" applyFill="1" applyBorder="1" applyAlignment="1">
      <alignment horizontal="center" vertical="center"/>
    </xf>
    <xf numFmtId="3" fontId="5" fillId="15" borderId="13" xfId="0" applyNumberFormat="1" applyFont="1" applyFill="1" applyBorder="1" applyAlignment="1" applyProtection="1">
      <alignment horizontal="center" vertical="center"/>
    </xf>
    <xf numFmtId="0" fontId="5" fillId="15" borderId="13" xfId="0" applyFont="1" applyFill="1" applyBorder="1" applyAlignment="1">
      <alignment horizontal="center" vertical="center"/>
    </xf>
    <xf numFmtId="164" fontId="5" fillId="15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5" borderId="14" xfId="0" applyFont="1" applyFill="1" applyBorder="1" applyAlignment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  <protection locked="0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11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0" fontId="0" fillId="16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4" borderId="3" xfId="0" applyFont="1" applyFill="1" applyBorder="1" applyProtection="1"/>
    <xf numFmtId="0" fontId="5" fillId="14" borderId="3" xfId="0" applyFont="1" applyFill="1" applyBorder="1" applyProtection="1"/>
    <xf numFmtId="0" fontId="15" fillId="14" borderId="3" xfId="0" applyFont="1" applyFill="1" applyBorder="1"/>
    <xf numFmtId="0" fontId="0" fillId="14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5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20" t="s">
        <v>16</v>
      </c>
      <c r="B17" s="21">
        <v>695.5</v>
      </c>
      <c r="C17" s="19"/>
    </row>
    <row r="18" ht="16" customHeight="1" spans="1:3" x14ac:dyDescent="0.25">
      <c r="A18" s="22"/>
      <c r="B18" s="23"/>
      <c r="C18" s="15"/>
    </row>
    <row r="19" ht="16" customHeight="1" spans="1:3" x14ac:dyDescent="0.25">
      <c r="A19" s="16" t="s">
        <v>17</v>
      </c>
      <c r="B19" s="24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ht="16" customHeight="1" spans="1:412" x14ac:dyDescent="0.25">
      <c r="A10" s="56"/>
      <c r="B10" s="57">
        <f>SUM(L10:AQ10)</f>
        <v>212</v>
      </c>
      <c r="C10" s="58"/>
      <c r="D10" s="59">
        <f>B10*E10</f>
        <v>23674.04</v>
      </c>
      <c r="E10" s="59">
        <f>'Rate Tables'!C7</f>
        <v>111.67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34</v>
      </c>
    </row>
    <row r="11" ht="16" customHeight="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34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4818</v>
      </c>
      <c r="E12" s="59">
        <f>'Rate Tables'!E7</f>
        <v>200.75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34</v>
      </c>
    </row>
    <row r="13" ht="16" customHeight="1" spans="1:412" x14ac:dyDescent="0.25">
      <c r="A13" s="71"/>
      <c r="B13" s="72">
        <f>SUM(L13:AQ13)</f>
        <v>22</v>
      </c>
      <c r="C13" s="73"/>
      <c r="D13" s="74">
        <f>B13*E13</f>
        <v>3080</v>
      </c>
      <c r="E13" s="74">
        <v>140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4" t="s">
        <v>34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ht="16" customHeight="1" spans="1:412" x14ac:dyDescent="0.25">
      <c r="A18" s="56"/>
      <c r="B18" s="57">
        <f>SUM(L18:AQ18)</f>
        <v>164</v>
      </c>
      <c r="C18" s="58"/>
      <c r="D18" s="59">
        <f>B18*E18</f>
        <v>18313.88</v>
      </c>
      <c r="E18" s="59">
        <f>'Rate Tables'!C7</f>
        <v>111.67</v>
      </c>
      <c r="F18" s="60" t="s">
        <v>38</v>
      </c>
      <c r="G18" s="58"/>
      <c r="H18" s="58"/>
      <c r="I18" s="58"/>
      <c r="J18" s="58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42</v>
      </c>
    </row>
    <row r="19" ht="16" customHeight="1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42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4818</v>
      </c>
      <c r="E20" s="59">
        <f>'Rate Tables'!E7</f>
        <v>200.75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42</v>
      </c>
    </row>
    <row r="21" ht="16" customHeight="1" spans="1:412" x14ac:dyDescent="0.25">
      <c r="A21" s="71"/>
      <c r="B21" s="72">
        <f>SUM(L21:AQ21)</f>
        <v>22</v>
      </c>
      <c r="C21" s="73"/>
      <c r="D21" s="74">
        <f>B21*E21</f>
        <v>3080</v>
      </c>
      <c r="E21" s="74">
        <v>140</v>
      </c>
      <c r="F21" s="75" t="s">
        <v>31</v>
      </c>
      <c r="G21" s="73"/>
      <c r="H21" s="73"/>
      <c r="I21" s="73"/>
      <c r="J21" s="73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42</v>
      </c>
    </row>
    <row r="22" ht="8" customHeight="1" spans="1:43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ht="16" customHeight="1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ht="16" customHeight="1" spans="1:412" x14ac:dyDescent="0.25">
      <c r="A24" s="46"/>
      <c r="B24" s="47"/>
      <c r="C24" s="47"/>
      <c r="D24" s="47"/>
      <c r="E24" s="47"/>
      <c r="F24" s="48" t="s">
        <v>35</v>
      </c>
      <c r="G24" s="47"/>
      <c r="H24" s="47"/>
      <c r="I24" s="47"/>
      <c r="J24" s="47"/>
      <c r="K24" s="49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ht="16" customHeight="1" spans="1:412" x14ac:dyDescent="0.25">
      <c r="A25" s="55" t="s">
        <v>36</v>
      </c>
      <c r="B25" s="47"/>
      <c r="C25" s="47"/>
      <c r="D25" s="47"/>
      <c r="E25" s="47"/>
      <c r="F25" s="48" t="s">
        <v>37</v>
      </c>
      <c r="G25" s="47"/>
      <c r="H25" s="47"/>
      <c r="I25" s="47"/>
      <c r="J25" s="47"/>
      <c r="K25" s="49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ht="16" customHeight="1" spans="1:412" x14ac:dyDescent="0.25">
      <c r="A26" s="56"/>
      <c r="B26" s="57">
        <f>SUM(L26:AQ26)</f>
        <v>212</v>
      </c>
      <c r="C26" s="58"/>
      <c r="D26" s="59">
        <f>B26*E26</f>
        <v>22421.120000000003</v>
      </c>
      <c r="E26" s="59">
        <f>'Rate Tables'!C8</f>
        <v>105.76</v>
      </c>
      <c r="F26" s="60" t="s">
        <v>38</v>
      </c>
      <c r="G26" s="58"/>
      <c r="H26" s="58"/>
      <c r="I26" s="58"/>
      <c r="J26" s="58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45" t="s">
        <v>44</v>
      </c>
    </row>
    <row r="27" ht="16" customHeight="1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60" t="s">
        <v>39</v>
      </c>
      <c r="G27" s="68"/>
      <c r="H27" s="68"/>
      <c r="I27" s="68"/>
      <c r="J27" s="68"/>
      <c r="K27" s="70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45" t="s">
        <v>44</v>
      </c>
    </row>
    <row r="28" ht="16" customHeight="1" spans="1:412" x14ac:dyDescent="0.25">
      <c r="A28" s="56"/>
      <c r="B28" s="57">
        <f>SUM(L28:AQ28)</f>
        <v>24</v>
      </c>
      <c r="C28" s="58"/>
      <c r="D28" s="59">
        <f>B28*E28</f>
        <v>4362.96</v>
      </c>
      <c r="E28" s="59">
        <f>'Rate Tables'!E8</f>
        <v>181.79</v>
      </c>
      <c r="F28" s="60" t="s">
        <v>40</v>
      </c>
      <c r="G28" s="58"/>
      <c r="H28" s="58"/>
      <c r="I28" s="58"/>
      <c r="J28" s="58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45" t="s">
        <v>44</v>
      </c>
    </row>
    <row r="29" ht="16" customHeight="1" spans="1:412" x14ac:dyDescent="0.25">
      <c r="A29" s="71"/>
      <c r="B29" s="72">
        <f>SUM(L29:AQ29)</f>
        <v>22</v>
      </c>
      <c r="C29" s="73"/>
      <c r="D29" s="74">
        <f>B29*E29</f>
        <v>3080</v>
      </c>
      <c r="E29" s="74">
        <v>140</v>
      </c>
      <c r="F29" s="75" t="s">
        <v>31</v>
      </c>
      <c r="G29" s="73"/>
      <c r="H29" s="73"/>
      <c r="I29" s="73"/>
      <c r="J29" s="73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4" t="s">
        <v>44</v>
      </c>
    </row>
    <row r="30" ht="8" customHeight="1" spans="1:43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ht="16" customHeight="1" spans="1:412" x14ac:dyDescent="0.25">
      <c r="A31" s="82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ht="16" customHeight="1" spans="1:412" x14ac:dyDescent="0.25">
      <c r="A32" s="46"/>
      <c r="B32" s="47"/>
      <c r="C32" s="47"/>
      <c r="D32" s="47"/>
      <c r="E32" s="47"/>
      <c r="F32" s="48" t="s">
        <v>35</v>
      </c>
      <c r="G32" s="47"/>
      <c r="H32" s="47"/>
      <c r="I32" s="47"/>
      <c r="J32" s="47"/>
      <c r="K32" s="49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ht="16" customHeight="1" spans="1:412" x14ac:dyDescent="0.25">
      <c r="A33" s="55" t="s">
        <v>36</v>
      </c>
      <c r="B33" s="47"/>
      <c r="C33" s="47"/>
      <c r="D33" s="47"/>
      <c r="E33" s="47"/>
      <c r="F33" s="48" t="s">
        <v>37</v>
      </c>
      <c r="G33" s="47"/>
      <c r="H33" s="47"/>
      <c r="I33" s="47"/>
      <c r="J33" s="47"/>
      <c r="K33" s="49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ht="16" customHeight="1" spans="1:412" x14ac:dyDescent="0.25">
      <c r="A34" s="56"/>
      <c r="B34" s="57">
        <f>SUM(L34:AQ34)</f>
        <v>164</v>
      </c>
      <c r="C34" s="58"/>
      <c r="D34" s="59">
        <f>B34*E34</f>
        <v>17344.64</v>
      </c>
      <c r="E34" s="59">
        <f>'Rate Tables'!C8</f>
        <v>105.76</v>
      </c>
      <c r="F34" s="60" t="s">
        <v>38</v>
      </c>
      <c r="G34" s="58"/>
      <c r="H34" s="58"/>
      <c r="I34" s="58"/>
      <c r="J34" s="58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45" t="s">
        <v>45</v>
      </c>
    </row>
    <row r="35" ht="16" customHeight="1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60" t="s">
        <v>39</v>
      </c>
      <c r="G35" s="68"/>
      <c r="H35" s="68"/>
      <c r="I35" s="68"/>
      <c r="J35" s="68"/>
      <c r="K35" s="70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45" t="s">
        <v>45</v>
      </c>
    </row>
    <row r="36" ht="16" customHeight="1" spans="1:412" x14ac:dyDescent="0.25">
      <c r="A36" s="56"/>
      <c r="B36" s="57">
        <f>SUM(L36:AQ36)</f>
        <v>24</v>
      </c>
      <c r="C36" s="58"/>
      <c r="D36" s="59">
        <f>B36*E36</f>
        <v>4362.96</v>
      </c>
      <c r="E36" s="59">
        <f>'Rate Tables'!E8</f>
        <v>181.79</v>
      </c>
      <c r="F36" s="60" t="s">
        <v>40</v>
      </c>
      <c r="G36" s="58"/>
      <c r="H36" s="58"/>
      <c r="I36" s="58"/>
      <c r="J36" s="58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45" t="s">
        <v>45</v>
      </c>
    </row>
    <row r="37" ht="16" customHeight="1" spans="1:412" x14ac:dyDescent="0.25">
      <c r="A37" s="71"/>
      <c r="B37" s="72">
        <f>SUM(L37:AQ37)</f>
        <v>22</v>
      </c>
      <c r="C37" s="73"/>
      <c r="D37" s="74">
        <f>B37*E37</f>
        <v>3080</v>
      </c>
      <c r="E37" s="74">
        <v>140</v>
      </c>
      <c r="F37" s="75" t="s">
        <v>31</v>
      </c>
      <c r="G37" s="73"/>
      <c r="H37" s="73"/>
      <c r="I37" s="73"/>
      <c r="J37" s="73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4" t="s">
        <v>45</v>
      </c>
    </row>
    <row r="38" ht="8" customHeight="1" spans="1:43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ht="16" customHeight="1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ht="16" customHeight="1" spans="1:412" x14ac:dyDescent="0.25">
      <c r="A40" s="46"/>
      <c r="B40" s="47"/>
      <c r="C40" s="47"/>
      <c r="D40" s="47"/>
      <c r="E40" s="47"/>
      <c r="F40" s="48" t="s">
        <v>35</v>
      </c>
      <c r="G40" s="47"/>
      <c r="H40" s="47"/>
      <c r="I40" s="47"/>
      <c r="J40" s="47"/>
      <c r="K40" s="49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ht="16" customHeight="1" spans="1:412" x14ac:dyDescent="0.25">
      <c r="A41" s="55" t="s">
        <v>36</v>
      </c>
      <c r="B41" s="47"/>
      <c r="C41" s="47"/>
      <c r="D41" s="47"/>
      <c r="E41" s="47"/>
      <c r="F41" s="48" t="s">
        <v>37</v>
      </c>
      <c r="G41" s="47"/>
      <c r="H41" s="47"/>
      <c r="I41" s="47"/>
      <c r="J41" s="47"/>
      <c r="K41" s="49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ht="16" customHeight="1" spans="1:412" x14ac:dyDescent="0.25">
      <c r="A42" s="56"/>
      <c r="B42" s="57">
        <f>SUM(L42:AQ42)</f>
        <v>212</v>
      </c>
      <c r="C42" s="58"/>
      <c r="D42" s="59">
        <f>B42*E42</f>
        <v>19296.239999999998</v>
      </c>
      <c r="E42" s="59">
        <f>'Rate Tables'!C9</f>
        <v>91.02</v>
      </c>
      <c r="F42" s="60" t="s">
        <v>38</v>
      </c>
      <c r="G42" s="58"/>
      <c r="H42" s="58"/>
      <c r="I42" s="58"/>
      <c r="J42" s="58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45" t="s">
        <v>47</v>
      </c>
    </row>
    <row r="43" ht="16" customHeight="1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60" t="s">
        <v>39</v>
      </c>
      <c r="G43" s="68"/>
      <c r="H43" s="68"/>
      <c r="I43" s="68"/>
      <c r="J43" s="68"/>
      <c r="K43" s="70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45" t="s">
        <v>47</v>
      </c>
    </row>
    <row r="44" ht="16" customHeight="1" spans="1:412" x14ac:dyDescent="0.25">
      <c r="A44" s="56"/>
      <c r="B44" s="57">
        <f>SUM(L44:AQ44)</f>
        <v>24</v>
      </c>
      <c r="C44" s="58"/>
      <c r="D44" s="59">
        <f>B44*E44</f>
        <v>3681.3599999999997</v>
      </c>
      <c r="E44" s="59">
        <f>'Rate Tables'!E9</f>
        <v>153.39</v>
      </c>
      <c r="F44" s="60" t="s">
        <v>40</v>
      </c>
      <c r="G44" s="58"/>
      <c r="H44" s="58"/>
      <c r="I44" s="58"/>
      <c r="J44" s="58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45" t="s">
        <v>47</v>
      </c>
    </row>
    <row r="45" ht="16" customHeight="1" spans="1:412" x14ac:dyDescent="0.25">
      <c r="A45" s="71"/>
      <c r="B45" s="72">
        <f>SUM(L45:AQ45)</f>
        <v>22</v>
      </c>
      <c r="C45" s="73"/>
      <c r="D45" s="74">
        <f>B45*E45</f>
        <v>3080</v>
      </c>
      <c r="E45" s="74">
        <v>140</v>
      </c>
      <c r="F45" s="75" t="s">
        <v>31</v>
      </c>
      <c r="G45" s="73"/>
      <c r="H45" s="73"/>
      <c r="I45" s="73"/>
      <c r="J45" s="73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4" t="s">
        <v>47</v>
      </c>
    </row>
    <row r="46" ht="8" customHeight="1" spans="1:43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ht="16" customHeight="1" spans="1:412" x14ac:dyDescent="0.25">
      <c r="A47" s="82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ht="16" customHeight="1" spans="1:412" x14ac:dyDescent="0.25">
      <c r="A48" s="46"/>
      <c r="B48" s="47"/>
      <c r="C48" s="47"/>
      <c r="D48" s="47"/>
      <c r="E48" s="47"/>
      <c r="F48" s="48" t="s">
        <v>35</v>
      </c>
      <c r="G48" s="47"/>
      <c r="H48" s="47"/>
      <c r="I48" s="47"/>
      <c r="J48" s="47"/>
      <c r="K48" s="49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ht="16" customHeight="1" spans="1:412" x14ac:dyDescent="0.25">
      <c r="A49" s="55" t="s">
        <v>36</v>
      </c>
      <c r="B49" s="47"/>
      <c r="C49" s="47"/>
      <c r="D49" s="47"/>
      <c r="E49" s="47"/>
      <c r="F49" s="48" t="s">
        <v>37</v>
      </c>
      <c r="G49" s="47"/>
      <c r="H49" s="47"/>
      <c r="I49" s="47"/>
      <c r="J49" s="47"/>
      <c r="K49" s="49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ht="16" customHeight="1" spans="1:412" x14ac:dyDescent="0.25">
      <c r="A50" s="56"/>
      <c r="B50" s="57">
        <f>SUM(L50:AQ50)</f>
        <v>164</v>
      </c>
      <c r="C50" s="58"/>
      <c r="D50" s="59">
        <f>B50*E50</f>
        <v>14927.279999999999</v>
      </c>
      <c r="E50" s="59">
        <f>'Rate Tables'!C9</f>
        <v>91.02</v>
      </c>
      <c r="F50" s="60" t="s">
        <v>38</v>
      </c>
      <c r="G50" s="58"/>
      <c r="H50" s="58"/>
      <c r="I50" s="58"/>
      <c r="J50" s="58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45" t="s">
        <v>48</v>
      </c>
    </row>
    <row r="51" ht="16" customHeight="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60" t="s">
        <v>39</v>
      </c>
      <c r="G51" s="68"/>
      <c r="H51" s="68"/>
      <c r="I51" s="68"/>
      <c r="J51" s="68"/>
      <c r="K51" s="70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45" t="s">
        <v>48</v>
      </c>
    </row>
    <row r="52" ht="16" customHeight="1" spans="1:412" x14ac:dyDescent="0.25">
      <c r="A52" s="56"/>
      <c r="B52" s="57">
        <f>SUM(L52:AQ52)</f>
        <v>24</v>
      </c>
      <c r="C52" s="58"/>
      <c r="D52" s="59">
        <f>B52*E52</f>
        <v>3681.3599999999997</v>
      </c>
      <c r="E52" s="59">
        <f>'Rate Tables'!E9</f>
        <v>153.39</v>
      </c>
      <c r="F52" s="60" t="s">
        <v>40</v>
      </c>
      <c r="G52" s="58"/>
      <c r="H52" s="58"/>
      <c r="I52" s="58"/>
      <c r="J52" s="58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45" t="s">
        <v>48</v>
      </c>
    </row>
    <row r="53" ht="16" customHeight="1" spans="1:412" x14ac:dyDescent="0.25">
      <c r="A53" s="71"/>
      <c r="B53" s="72">
        <f>SUM(L53:AQ53)</f>
        <v>22</v>
      </c>
      <c r="C53" s="73"/>
      <c r="D53" s="74">
        <f>B53*E53</f>
        <v>3080</v>
      </c>
      <c r="E53" s="74">
        <v>140</v>
      </c>
      <c r="F53" s="75" t="s">
        <v>31</v>
      </c>
      <c r="G53" s="73"/>
      <c r="H53" s="73"/>
      <c r="I53" s="73"/>
      <c r="J53" s="73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4" t="s">
        <v>48</v>
      </c>
    </row>
    <row r="54" ht="8" customHeight="1" spans="1:43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ht="16" customHeight="1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ht="16" customHeight="1" spans="1:412" x14ac:dyDescent="0.25">
      <c r="A56" s="46"/>
      <c r="B56" s="47"/>
      <c r="C56" s="47"/>
      <c r="D56" s="47"/>
      <c r="E56" s="47"/>
      <c r="F56" s="48" t="s">
        <v>35</v>
      </c>
      <c r="G56" s="47"/>
      <c r="H56" s="47"/>
      <c r="I56" s="47"/>
      <c r="J56" s="47"/>
      <c r="K56" s="49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ht="16" customHeight="1" spans="1:412" x14ac:dyDescent="0.25">
      <c r="A57" s="55" t="s">
        <v>36</v>
      </c>
      <c r="B57" s="47"/>
      <c r="C57" s="47"/>
      <c r="D57" s="47"/>
      <c r="E57" s="47"/>
      <c r="F57" s="48" t="s">
        <v>37</v>
      </c>
      <c r="G57" s="47"/>
      <c r="H57" s="47"/>
      <c r="I57" s="47"/>
      <c r="J57" s="47"/>
      <c r="K57" s="49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ht="16" customHeight="1" spans="1:412" x14ac:dyDescent="0.25">
      <c r="A58" s="56"/>
      <c r="B58" s="57">
        <f>SUM(L58:AQ58)</f>
        <v>192</v>
      </c>
      <c r="C58" s="58"/>
      <c r="D58" s="59">
        <f>B58*E58</f>
        <v>21354.239999999998</v>
      </c>
      <c r="E58" s="59">
        <f>'Rate Tables'!C10</f>
        <v>111.22</v>
      </c>
      <c r="F58" s="60" t="s">
        <v>38</v>
      </c>
      <c r="G58" s="58"/>
      <c r="H58" s="58"/>
      <c r="I58" s="58"/>
      <c r="J58" s="58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45" t="s">
        <v>50</v>
      </c>
    </row>
    <row r="59" ht="16" customHeight="1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60" t="s">
        <v>39</v>
      </c>
      <c r="G59" s="68"/>
      <c r="H59" s="68"/>
      <c r="I59" s="68"/>
      <c r="J59" s="68"/>
      <c r="K59" s="70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45" t="s">
        <v>50</v>
      </c>
    </row>
    <row r="60" ht="16" customHeight="1" spans="1:412" x14ac:dyDescent="0.25">
      <c r="A60" s="56"/>
      <c r="B60" s="57">
        <f>SUM(L60:AQ60)</f>
        <v>24</v>
      </c>
      <c r="C60" s="58"/>
      <c r="D60" s="59">
        <f>B60*E60</f>
        <v>4833.6</v>
      </c>
      <c r="E60" s="59">
        <f>'Rate Tables'!E10</f>
        <v>201.4</v>
      </c>
      <c r="F60" s="60" t="s">
        <v>40</v>
      </c>
      <c r="G60" s="58"/>
      <c r="H60" s="58"/>
      <c r="I60" s="58"/>
      <c r="J60" s="58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45" t="s">
        <v>50</v>
      </c>
    </row>
    <row r="61" ht="16" customHeight="1" spans="1:412" x14ac:dyDescent="0.25">
      <c r="A61" s="71"/>
      <c r="B61" s="72">
        <f>SUM(L61:AQ61)</f>
        <v>22</v>
      </c>
      <c r="C61" s="73"/>
      <c r="D61" s="74">
        <f>B61*E61</f>
        <v>3080</v>
      </c>
      <c r="E61" s="74">
        <v>140</v>
      </c>
      <c r="F61" s="75" t="s">
        <v>31</v>
      </c>
      <c r="G61" s="73"/>
      <c r="H61" s="73"/>
      <c r="I61" s="73"/>
      <c r="J61" s="73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4" t="s">
        <v>50</v>
      </c>
    </row>
    <row r="62" ht="8" customHeight="1" spans="1:43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ht="16" customHeight="1" spans="1:412" x14ac:dyDescent="0.25">
      <c r="A63" s="82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ht="16" customHeight="1" spans="1:412" x14ac:dyDescent="0.25">
      <c r="A64" s="46"/>
      <c r="B64" s="47"/>
      <c r="C64" s="47"/>
      <c r="D64" s="47"/>
      <c r="E64" s="47"/>
      <c r="F64" s="48" t="s">
        <v>35</v>
      </c>
      <c r="G64" s="47"/>
      <c r="H64" s="47"/>
      <c r="I64" s="47"/>
      <c r="J64" s="47"/>
      <c r="K64" s="49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ht="16" customHeight="1" spans="1:412" x14ac:dyDescent="0.25">
      <c r="A65" s="55" t="s">
        <v>36</v>
      </c>
      <c r="B65" s="47"/>
      <c r="C65" s="47"/>
      <c r="D65" s="47"/>
      <c r="E65" s="47"/>
      <c r="F65" s="48" t="s">
        <v>37</v>
      </c>
      <c r="G65" s="47"/>
      <c r="H65" s="47"/>
      <c r="I65" s="47"/>
      <c r="J65" s="47"/>
      <c r="K65" s="49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ht="16" customHeight="1" spans="1:412" x14ac:dyDescent="0.25">
      <c r="A66" s="56"/>
      <c r="B66" s="57">
        <f>SUM(L66:AQ66)</f>
        <v>144</v>
      </c>
      <c r="C66" s="58"/>
      <c r="D66" s="59">
        <f>B66*E66</f>
        <v>16015.68</v>
      </c>
      <c r="E66" s="59">
        <f>'Rate Tables'!C10</f>
        <v>111.22</v>
      </c>
      <c r="F66" s="60" t="s">
        <v>38</v>
      </c>
      <c r="G66" s="58"/>
      <c r="H66" s="58"/>
      <c r="I66" s="58"/>
      <c r="J66" s="58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45" t="s">
        <v>51</v>
      </c>
    </row>
    <row r="67" ht="16" customHeight="1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60" t="s">
        <v>39</v>
      </c>
      <c r="G67" s="68"/>
      <c r="H67" s="68"/>
      <c r="I67" s="68"/>
      <c r="J67" s="68"/>
      <c r="K67" s="70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45" t="s">
        <v>51</v>
      </c>
    </row>
    <row r="68" ht="16" customHeight="1" spans="1:412" x14ac:dyDescent="0.25">
      <c r="A68" s="56"/>
      <c r="B68" s="57">
        <f>SUM(L68:AQ68)</f>
        <v>24</v>
      </c>
      <c r="C68" s="58"/>
      <c r="D68" s="59">
        <f>B68*E68</f>
        <v>4833.6</v>
      </c>
      <c r="E68" s="59">
        <f>'Rate Tables'!E10</f>
        <v>201.4</v>
      </c>
      <c r="F68" s="60" t="s">
        <v>40</v>
      </c>
      <c r="G68" s="58"/>
      <c r="H68" s="58"/>
      <c r="I68" s="58"/>
      <c r="J68" s="58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45" t="s">
        <v>51</v>
      </c>
    </row>
    <row r="69" ht="16" customHeight="1" spans="1:412" x14ac:dyDescent="0.25">
      <c r="A69" s="71"/>
      <c r="B69" s="72">
        <f>SUM(L69:AQ69)</f>
        <v>22</v>
      </c>
      <c r="C69" s="73"/>
      <c r="D69" s="74">
        <f>B69*E69</f>
        <v>3080</v>
      </c>
      <c r="E69" s="74">
        <v>140</v>
      </c>
      <c r="F69" s="75" t="s">
        <v>31</v>
      </c>
      <c r="G69" s="73"/>
      <c r="H69" s="73"/>
      <c r="I69" s="73"/>
      <c r="J69" s="73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4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8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83">
        <f>SUM(K7,K15,K23,K31,K39,K47,K55,K63)</f>
        <v>245898.48</v>
      </c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ht="16" customHeight="1" spans="1:412" x14ac:dyDescent="0.25">
      <c r="A10" s="56"/>
      <c r="B10" s="57">
        <f>SUM(L10:AQ10)</f>
        <v>336</v>
      </c>
      <c r="C10" s="58"/>
      <c r="D10" s="59">
        <f>B10*E10</f>
        <v>35374.08</v>
      </c>
      <c r="E10" s="59">
        <f>'Rate Tables'!C11</f>
        <v>105.28</v>
      </c>
      <c r="F10" s="60" t="s">
        <v>38</v>
      </c>
      <c r="G10" s="58"/>
      <c r="H10" s="58"/>
      <c r="I10" s="58"/>
      <c r="J10" s="58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54</v>
      </c>
    </row>
    <row r="11" ht="16" customHeight="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54</v>
      </c>
    </row>
    <row r="12" ht="16" customHeight="1" spans="1:412" x14ac:dyDescent="0.25">
      <c r="A12" s="56"/>
      <c r="B12" s="57">
        <f>SUM(L12:AQ12)</f>
        <v>48</v>
      </c>
      <c r="C12" s="58"/>
      <c r="D12" s="59">
        <f>B12*E12</f>
        <v>9106.56</v>
      </c>
      <c r="E12" s="59">
        <f>'Rate Tables'!E11</f>
        <v>189.72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54</v>
      </c>
    </row>
    <row r="13" ht="16" customHeight="1" spans="1:412" x14ac:dyDescent="0.25">
      <c r="A13" s="71"/>
      <c r="B13" s="72">
        <f>SUM(L13:AQ13)</f>
        <v>50</v>
      </c>
      <c r="C13" s="73"/>
      <c r="D13" s="74">
        <f>B13*E13</f>
        <v>6500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54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ht="16" customHeight="1" spans="1:412" x14ac:dyDescent="0.25">
      <c r="A18" s="56"/>
      <c r="B18" s="57">
        <f>SUM(L18:AQ18)</f>
        <v>288</v>
      </c>
      <c r="C18" s="58"/>
      <c r="D18" s="59">
        <f>B18*E18</f>
        <v>30320.64</v>
      </c>
      <c r="E18" s="59">
        <f>'Rate Tables'!C11</f>
        <v>105.28</v>
      </c>
      <c r="F18" s="60" t="s">
        <v>38</v>
      </c>
      <c r="G18" s="58"/>
      <c r="H18" s="58"/>
      <c r="I18" s="58"/>
      <c r="J18" s="58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55</v>
      </c>
    </row>
    <row r="19" ht="16" customHeight="1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55</v>
      </c>
    </row>
    <row r="20" ht="16" customHeight="1" spans="1:412" x14ac:dyDescent="0.25">
      <c r="A20" s="56"/>
      <c r="B20" s="57">
        <f>SUM(L20:AQ20)</f>
        <v>48</v>
      </c>
      <c r="C20" s="58"/>
      <c r="D20" s="59">
        <f>B20*E20</f>
        <v>9106.56</v>
      </c>
      <c r="E20" s="59">
        <f>'Rate Tables'!E11</f>
        <v>189.72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55</v>
      </c>
    </row>
    <row r="21" ht="16" customHeight="1" spans="1:412" x14ac:dyDescent="0.25">
      <c r="A21" s="71"/>
      <c r="B21" s="72">
        <f>SUM(L21:AQ21)</f>
        <v>44</v>
      </c>
      <c r="C21" s="73"/>
      <c r="D21" s="74">
        <f>B21*E21</f>
        <v>5720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8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83">
        <f>SUM(K7,K15)</f>
        <v>121667.84</v>
      </c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ht="16" customHeight="1" spans="1:412" x14ac:dyDescent="0.25">
      <c r="A10" s="56"/>
      <c r="B10" s="57">
        <f>SUM(L10:AQ10)</f>
        <v>2336</v>
      </c>
      <c r="C10" s="58"/>
      <c r="D10" s="59">
        <f>B10*E10</f>
        <v>232034.88</v>
      </c>
      <c r="E10" s="59">
        <f>'Rate Tables'!C12</f>
        <v>99.33</v>
      </c>
      <c r="F10" s="60" t="s">
        <v>38</v>
      </c>
      <c r="G10" s="58"/>
      <c r="H10" s="58"/>
      <c r="I10" s="58"/>
      <c r="J10" s="58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45" t="s">
        <v>57</v>
      </c>
    </row>
    <row r="11" ht="16" customHeight="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57</v>
      </c>
    </row>
    <row r="12" ht="16" customHeight="1" spans="1:412" x14ac:dyDescent="0.25">
      <c r="A12" s="56"/>
      <c r="B12" s="57">
        <f>SUM(L12:AQ12)</f>
        <v>432</v>
      </c>
      <c r="C12" s="58"/>
      <c r="D12" s="59">
        <f>B12*E12</f>
        <v>76917.6</v>
      </c>
      <c r="E12" s="59">
        <f>'Rate Tables'!E12</f>
        <v>178.05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57</v>
      </c>
    </row>
    <row r="13" ht="16" customHeight="1" spans="1:412" x14ac:dyDescent="0.25">
      <c r="A13" s="71"/>
      <c r="B13" s="72">
        <f>SUM(L13:AQ13)</f>
        <v>210</v>
      </c>
      <c r="C13" s="73"/>
      <c r="D13" s="74">
        <f>B13*E13</f>
        <v>27300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4" t="s">
        <v>57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ht="16" customHeight="1" spans="1:412" x14ac:dyDescent="0.25">
      <c r="A18" s="56"/>
      <c r="B18" s="57">
        <f>SUM(L18:AQ18)</f>
        <v>1280</v>
      </c>
      <c r="C18" s="58"/>
      <c r="D18" s="59">
        <f>B18*E18</f>
        <v>127142.4</v>
      </c>
      <c r="E18" s="59">
        <f>'Rate Tables'!C12</f>
        <v>99.33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58</v>
      </c>
    </row>
    <row r="19" ht="16" customHeight="1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58</v>
      </c>
    </row>
    <row r="20" ht="16" customHeight="1" spans="1:412" x14ac:dyDescent="0.25">
      <c r="A20" s="56"/>
      <c r="B20" s="57">
        <f>SUM(L20:AQ20)</f>
        <v>384</v>
      </c>
      <c r="C20" s="58"/>
      <c r="D20" s="59">
        <f>B20*E20</f>
        <v>68371.20000000001</v>
      </c>
      <c r="E20" s="59">
        <f>'Rate Tables'!E12</f>
        <v>178.05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58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8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83">
        <f>SUM(K7,K15)</f>
        <v>806255.52</v>
      </c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ht="16" customHeight="1" spans="1:412" x14ac:dyDescent="0.25">
      <c r="A10" s="56"/>
      <c r="B10" s="57">
        <f>SUM(L10:AQ10)</f>
        <v>192</v>
      </c>
      <c r="C10" s="58"/>
      <c r="D10" s="59">
        <f>B10*E10</f>
        <v>20808.96</v>
      </c>
      <c r="E10" s="59">
        <f>'Rate Tables'!C13</f>
        <v>108.38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60</v>
      </c>
    </row>
    <row r="11" ht="16" customHeight="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60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4732.5599999999995</v>
      </c>
      <c r="E12" s="59">
        <f>'Rate Tables'!E13</f>
        <v>197.19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60</v>
      </c>
    </row>
    <row r="13" ht="16" customHeight="1" spans="1:412" x14ac:dyDescent="0.25">
      <c r="A13" s="71"/>
      <c r="B13" s="72">
        <f>SUM(L13:AQ13)</f>
        <v>28</v>
      </c>
      <c r="C13" s="73"/>
      <c r="D13" s="74">
        <f>B13*E13</f>
        <v>3640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60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ht="16" customHeight="1" spans="1:412" x14ac:dyDescent="0.25">
      <c r="A18" s="56"/>
      <c r="B18" s="57">
        <f>SUM(L18:AQ18)</f>
        <v>80</v>
      </c>
      <c r="C18" s="58"/>
      <c r="D18" s="59">
        <f>B18*E18</f>
        <v>8670.4</v>
      </c>
      <c r="E18" s="59">
        <f>'Rate Tables'!C13</f>
        <v>108.38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61</v>
      </c>
    </row>
    <row r="19" ht="16" customHeight="1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61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4732.5599999999995</v>
      </c>
      <c r="E20" s="59">
        <f>'Rate Tables'!E13</f>
        <v>197.19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61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8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83">
        <f>SUM(K7,K15)</f>
        <v>58500.31999999999</v>
      </c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5"/>
      <c r="B4" s="85"/>
      <c r="C4" s="85"/>
      <c r="D4" s="85"/>
      <c r="E4" s="85"/>
      <c r="F4" s="85"/>
      <c r="G4" s="85"/>
    </row>
    <row r="5" ht="6" customHeight="1" spans="1:7" x14ac:dyDescent="0.25">
      <c r="A5" s="85"/>
      <c r="B5" s="85"/>
      <c r="C5" s="85"/>
      <c r="D5" s="85"/>
      <c r="E5" s="85"/>
      <c r="F5" s="85"/>
      <c r="G5" s="85"/>
    </row>
    <row r="6" ht="20" customHeight="1" spans="1:7" x14ac:dyDescent="0.25">
      <c r="A6" s="32" t="s">
        <v>62</v>
      </c>
      <c r="B6" s="32" t="s">
        <v>63</v>
      </c>
      <c r="C6" s="32" t="s">
        <v>64</v>
      </c>
      <c r="D6" s="32" t="s">
        <v>65</v>
      </c>
      <c r="E6" s="32" t="s">
        <v>66</v>
      </c>
      <c r="F6" s="32" t="s">
        <v>67</v>
      </c>
      <c r="G6" s="32" t="s">
        <v>68</v>
      </c>
    </row>
    <row r="7" ht="16" customHeight="1" spans="1:7" x14ac:dyDescent="0.25">
      <c r="A7" s="86" t="s">
        <v>69</v>
      </c>
      <c r="B7" s="87" t="s">
        <v>70</v>
      </c>
      <c r="C7" s="67">
        <v>5</v>
      </c>
      <c r="D7" s="67">
        <v>3</v>
      </c>
      <c r="E7" s="69">
        <v>4464</v>
      </c>
      <c r="F7" s="69">
        <v>0</v>
      </c>
      <c r="G7" s="69">
        <f>C7*D7*E7+F7</f>
        <v>66960</v>
      </c>
    </row>
    <row r="8" ht="16" customHeight="1" spans="1:7" x14ac:dyDescent="0.25">
      <c r="A8" s="88" t="s">
        <v>71</v>
      </c>
      <c r="B8" s="89" t="s">
        <v>70</v>
      </c>
      <c r="C8" s="57">
        <v>3</v>
      </c>
      <c r="D8" s="57">
        <v>2</v>
      </c>
      <c r="E8" s="59">
        <v>612</v>
      </c>
      <c r="F8" s="59">
        <v>0</v>
      </c>
      <c r="G8" s="59">
        <f>C8*D8*E8+F8</f>
        <v>3672</v>
      </c>
    </row>
    <row r="9" ht="16" customHeight="1" spans="1:7" x14ac:dyDescent="0.25">
      <c r="A9" s="86" t="s">
        <v>72</v>
      </c>
      <c r="B9" s="87" t="s">
        <v>70</v>
      </c>
      <c r="C9" s="67">
        <v>3</v>
      </c>
      <c r="D9" s="67">
        <v>2</v>
      </c>
      <c r="E9" s="69">
        <v>936</v>
      </c>
      <c r="F9" s="69">
        <v>0</v>
      </c>
      <c r="G9" s="69">
        <f>C9*D9*E9+F9</f>
        <v>5616</v>
      </c>
    </row>
    <row r="10" ht="16" customHeight="1" spans="1:7" x14ac:dyDescent="0.25">
      <c r="A10" s="88" t="s">
        <v>73</v>
      </c>
      <c r="B10" s="89" t="s">
        <v>74</v>
      </c>
      <c r="C10" s="57">
        <v>1</v>
      </c>
      <c r="D10" s="57">
        <v>32</v>
      </c>
      <c r="E10" s="59">
        <v>1160</v>
      </c>
      <c r="F10" s="59">
        <v>0</v>
      </c>
      <c r="G10" s="59">
        <f>C10*D10*E10+F10</f>
        <v>37120</v>
      </c>
    </row>
    <row r="11" ht="16" customHeight="1" spans="1:7" x14ac:dyDescent="0.25">
      <c r="A11" s="16" t="s">
        <v>52</v>
      </c>
      <c r="B11" s="17"/>
      <c r="C11" s="17"/>
      <c r="D11" s="17"/>
      <c r="E11" s="17"/>
      <c r="F11" s="17"/>
      <c r="G11" s="8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5"/>
      <c r="B4" s="85"/>
      <c r="C4" s="85"/>
      <c r="D4" s="85"/>
      <c r="E4" s="85"/>
    </row>
    <row r="5" ht="6" customHeight="1" spans="1:5" x14ac:dyDescent="0.25">
      <c r="A5" s="85"/>
      <c r="B5" s="85"/>
      <c r="C5" s="85"/>
      <c r="D5" s="85"/>
      <c r="E5" s="85"/>
    </row>
    <row r="6" ht="20" customHeight="1" spans="1:5" x14ac:dyDescent="0.25">
      <c r="A6" s="32" t="s">
        <v>75</v>
      </c>
      <c r="B6" s="32" t="s">
        <v>76</v>
      </c>
      <c r="C6" s="32" t="s">
        <v>77</v>
      </c>
      <c r="D6" s="32" t="s">
        <v>78</v>
      </c>
      <c r="E6" s="32" t="s">
        <v>68</v>
      </c>
    </row>
    <row r="7" ht="16" customHeight="1" spans="1:5" x14ac:dyDescent="0.25">
      <c r="A7" s="86" t="s">
        <v>79</v>
      </c>
      <c r="B7" s="67">
        <v>6</v>
      </c>
      <c r="C7" s="67">
        <v>1500</v>
      </c>
      <c r="D7" s="69">
        <v>0.76</v>
      </c>
      <c r="E7" s="69">
        <f>B7*C7*D7</f>
        <v>6840</v>
      </c>
    </row>
    <row r="8" ht="16" customHeight="1" spans="1:5" x14ac:dyDescent="0.25">
      <c r="A8" s="16" t="s">
        <v>52</v>
      </c>
      <c r="B8" s="17"/>
      <c r="C8" s="17"/>
      <c r="D8" s="17"/>
      <c r="E8" s="8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5"/>
      <c r="B4" s="85"/>
      <c r="C4" s="85"/>
      <c r="D4" s="85"/>
      <c r="E4" s="85"/>
    </row>
    <row r="5" ht="6" customHeight="1" spans="1:5" x14ac:dyDescent="0.25">
      <c r="A5" s="85"/>
      <c r="B5" s="85"/>
      <c r="C5" s="85"/>
      <c r="D5" s="85"/>
      <c r="E5" s="85"/>
    </row>
    <row r="6" ht="20" customHeight="1" spans="1:5" x14ac:dyDescent="0.25">
      <c r="A6" s="32" t="s">
        <v>62</v>
      </c>
      <c r="B6" s="32" t="s">
        <v>80</v>
      </c>
      <c r="C6" s="32" t="s">
        <v>64</v>
      </c>
      <c r="D6" s="32" t="s">
        <v>81</v>
      </c>
      <c r="E6" s="32" t="s">
        <v>68</v>
      </c>
    </row>
    <row r="7" ht="16" customHeight="1" spans="1:5" x14ac:dyDescent="0.25">
      <c r="A7" s="86" t="s">
        <v>82</v>
      </c>
      <c r="B7" s="87" t="s">
        <v>83</v>
      </c>
      <c r="C7" s="67">
        <v>3.5</v>
      </c>
      <c r="D7" s="69">
        <v>1000</v>
      </c>
      <c r="E7" s="69">
        <f>C7*D7</f>
        <v>3500</v>
      </c>
    </row>
    <row r="8" ht="16" customHeight="1" spans="1:5" x14ac:dyDescent="0.25">
      <c r="A8" s="88" t="s">
        <v>84</v>
      </c>
      <c r="B8" s="89" t="s">
        <v>85</v>
      </c>
      <c r="C8" s="57">
        <v>1</v>
      </c>
      <c r="D8" s="59">
        <v>1200</v>
      </c>
      <c r="E8" s="59">
        <f>C8*D8</f>
        <v>1200</v>
      </c>
    </row>
    <row r="9" ht="16" customHeight="1" spans="1:5" x14ac:dyDescent="0.25">
      <c r="A9" s="86" t="s">
        <v>86</v>
      </c>
      <c r="B9" s="87" t="s">
        <v>87</v>
      </c>
      <c r="C9" s="67">
        <v>1</v>
      </c>
      <c r="D9" s="69">
        <v>6000</v>
      </c>
      <c r="E9" s="69">
        <f>C9*D9</f>
        <v>6000</v>
      </c>
    </row>
    <row r="10" ht="16" customHeight="1" spans="1:5" x14ac:dyDescent="0.25">
      <c r="A10" s="16" t="s">
        <v>52</v>
      </c>
      <c r="B10" s="17"/>
      <c r="C10" s="17"/>
      <c r="D10" s="17"/>
      <c r="E10" s="8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5"/>
      <c r="B4" s="85"/>
      <c r="C4" s="85"/>
      <c r="D4" s="85"/>
      <c r="E4" s="85"/>
      <c r="F4" s="85"/>
    </row>
    <row r="5" ht="6" customHeight="1" spans="1:6" x14ac:dyDescent="0.25">
      <c r="A5" s="85"/>
      <c r="B5" s="85"/>
      <c r="C5" s="85"/>
      <c r="D5" s="85"/>
      <c r="E5" s="85"/>
      <c r="F5" s="85"/>
    </row>
    <row r="6" ht="20" customHeight="1" spans="1:6" x14ac:dyDescent="0.25">
      <c r="A6" s="32" t="s">
        <v>88</v>
      </c>
      <c r="B6" s="32" t="s">
        <v>89</v>
      </c>
      <c r="C6" s="32" t="s">
        <v>90</v>
      </c>
      <c r="D6" s="32" t="s">
        <v>91</v>
      </c>
      <c r="E6" s="32" t="s">
        <v>92</v>
      </c>
      <c r="F6" s="32" t="s">
        <v>93</v>
      </c>
    </row>
    <row r="7" ht="16" customHeight="1" spans="1:6" x14ac:dyDescent="0.25">
      <c r="A7" s="86" t="s">
        <v>33</v>
      </c>
      <c r="B7" s="69">
        <v>57.9</v>
      </c>
      <c r="C7" s="69">
        <v>111.67</v>
      </c>
      <c r="D7" s="69">
        <v>156.21</v>
      </c>
      <c r="E7" s="69">
        <v>200.75</v>
      </c>
      <c r="F7" s="69">
        <v>140</v>
      </c>
    </row>
    <row r="8" ht="16" customHeight="1" spans="1:6" x14ac:dyDescent="0.25">
      <c r="A8" s="88" t="s">
        <v>43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86" t="s">
        <v>46</v>
      </c>
      <c r="B9" s="69">
        <v>52.5</v>
      </c>
      <c r="C9" s="69">
        <v>91.02</v>
      </c>
      <c r="D9" s="69">
        <v>122.2</v>
      </c>
      <c r="E9" s="69">
        <v>153.39</v>
      </c>
      <c r="F9" s="69">
        <v>140</v>
      </c>
    </row>
    <row r="10" ht="16" customHeight="1" spans="1:6" x14ac:dyDescent="0.25">
      <c r="A10" s="88" t="s">
        <v>49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86" t="s">
        <v>53</v>
      </c>
      <c r="B11" s="69">
        <v>53.93</v>
      </c>
      <c r="C11" s="69">
        <v>105.28</v>
      </c>
      <c r="D11" s="69">
        <v>147.5</v>
      </c>
      <c r="E11" s="69">
        <v>189.72</v>
      </c>
      <c r="F11" s="69">
        <v>130</v>
      </c>
    </row>
    <row r="12" ht="16" customHeight="1" spans="1:6" x14ac:dyDescent="0.25">
      <c r="A12" s="88" t="s">
        <v>56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86" t="s">
        <v>94</v>
      </c>
      <c r="B13" s="69">
        <v>45.6</v>
      </c>
      <c r="C13" s="69">
        <v>108.38</v>
      </c>
      <c r="D13" s="69">
        <v>152.78</v>
      </c>
      <c r="E13" s="69">
        <v>197.19</v>
      </c>
      <c r="F13" s="69">
        <v>130</v>
      </c>
    </row>
    <row r="14" ht="16" customHeight="1" spans="1:6" x14ac:dyDescent="0.25">
      <c r="A14" s="90"/>
      <c r="B14" s="91"/>
      <c r="C14" s="91"/>
      <c r="D14" s="91"/>
      <c r="E14" s="91"/>
      <c r="F14" s="91"/>
    </row>
    <row r="15" ht="16" customHeight="1" spans="1:6" x14ac:dyDescent="0.25">
      <c r="A15" s="92" t="s">
        <v>95</v>
      </c>
      <c r="B15" s="92"/>
      <c r="C15" s="92"/>
      <c r="D15" s="92"/>
      <c r="E15" s="92"/>
      <c r="F15" s="92"/>
    </row>
    <row r="16" ht="16" customHeight="1" spans="1:6" x14ac:dyDescent="0.25">
      <c r="A16" s="32" t="s">
        <v>62</v>
      </c>
      <c r="B16" s="32" t="s">
        <v>96</v>
      </c>
      <c r="C16" s="32" t="s">
        <v>97</v>
      </c>
      <c r="D16" s="32" t="s">
        <v>98</v>
      </c>
      <c r="E16" s="32" t="s">
        <v>99</v>
      </c>
      <c r="F16" s="32" t="s">
        <v>100</v>
      </c>
    </row>
    <row r="17" ht="16" customHeight="1" spans="1:6" x14ac:dyDescent="0.25">
      <c r="A17" s="86" t="s">
        <v>69</v>
      </c>
      <c r="B17" s="87" t="s">
        <v>101</v>
      </c>
      <c r="C17" s="69">
        <v>496</v>
      </c>
      <c r="D17" s="69">
        <v>1488</v>
      </c>
      <c r="E17" s="69">
        <v>4464</v>
      </c>
      <c r="F17" s="93"/>
    </row>
    <row r="18" ht="16" customHeight="1" spans="1:6" x14ac:dyDescent="0.25">
      <c r="A18" s="88" t="s">
        <v>71</v>
      </c>
      <c r="B18" s="89" t="s">
        <v>101</v>
      </c>
      <c r="C18" s="59">
        <v>68</v>
      </c>
      <c r="D18" s="59">
        <v>204</v>
      </c>
      <c r="E18" s="59">
        <v>612</v>
      </c>
      <c r="F18" s="94"/>
    </row>
    <row r="19" ht="16" customHeight="1" spans="1:6" x14ac:dyDescent="0.25">
      <c r="A19" s="86" t="s">
        <v>72</v>
      </c>
      <c r="B19" s="87" t="s">
        <v>101</v>
      </c>
      <c r="C19" s="69">
        <v>104</v>
      </c>
      <c r="D19" s="69">
        <v>312</v>
      </c>
      <c r="E19" s="69">
        <v>936</v>
      </c>
      <c r="F19" s="93"/>
    </row>
    <row r="20" ht="16" customHeight="1" spans="1:6" x14ac:dyDescent="0.25">
      <c r="A20" s="88" t="s">
        <v>73</v>
      </c>
      <c r="B20" s="89" t="s">
        <v>102</v>
      </c>
      <c r="C20" s="59">
        <v>1160</v>
      </c>
      <c r="D20" s="59">
        <v>3480</v>
      </c>
      <c r="E20" s="59">
        <v>10440</v>
      </c>
      <c r="F20" s="94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2026-09-04T22:19:54Z</dcterms:created>
  <dcterms:modified xsi:type="dcterms:W3CDTF">2026-09-04T22:19:54Z</dcterms:modified>
</cp:coreProperties>
</file>