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8000" firstSheet="0" activeTab="0"/>
  </bookViews>
  <sheets>
    <sheet sheetId="1" name="Summary Page" state="visible" r:id="rId4"/>
    <sheet sheetId="2" name="Staff" state="visible" r:id="rId5"/>
    <sheet sheetId="3" name="Foremen" state="visible" r:id="rId6"/>
    <sheet sheetId="4" name="Direct" state="visible" r:id="rId7"/>
    <sheet sheetId="5" name="Support" state="visible" r:id="rId8"/>
    <sheet sheetId="6" name="COE" state="visible" r:id="rId9"/>
    <sheet sheetId="7" name="Staff Travel Cost" state="visible" r:id="rId10"/>
    <sheet sheetId="8" name="Misc Costs" state="visible" r:id="rId11"/>
    <sheet sheetId="9" name="Rate Tables" state="visible" r:id="rId12"/>
  </sheets>
  <definedNames>
    <definedName name="_xlnm.Print_Area" localSheetId="0">'Summary Page'!$A1:$C19</definedName>
    <definedName name="_xlnm.Print_Titles" localSheetId="0">'Summary Page'!$6:$6</definedName>
    <definedName name="_xlnm.Print_Area" localSheetId="1">'Staff'!$A1:$AQ70</definedName>
    <definedName name="_xlnm.Print_Titles" localSheetId="1">'Staff'!$A:$K,'Staff'!$6:$6</definedName>
    <definedName name="_xlnm.Print_Area" localSheetId="2">'Foremen'!$A1:$AQ22</definedName>
    <definedName name="_xlnm.Print_Titles" localSheetId="2">'Foremen'!$A:$K,'Foremen'!$6:$6</definedName>
    <definedName name="_xlnm.Print_Area" localSheetId="3">'Direct'!$A1:$AQ22</definedName>
    <definedName name="_xlnm.Print_Titles" localSheetId="3">'Direct'!$A:$K,'Direct'!$6:$6</definedName>
    <definedName name="_xlnm.Print_Area" localSheetId="4">'Support'!$A1:$AQ22</definedName>
    <definedName name="_xlnm.Print_Titles" localSheetId="4">'Support'!$A:$K,'Support'!$6:$6</definedName>
    <definedName name="_xlnm.Print_Area" localSheetId="5">'COE'!$A1:$G11</definedName>
    <definedName name="_xlnm.Print_Titles" localSheetId="5">'COE'!$6:$6</definedName>
    <definedName name="_xlnm.Print_Area" localSheetId="6">'Staff Travel Cost'!$A1:$E8</definedName>
    <definedName name="_xlnm.Print_Titles" localSheetId="6">'Staff Travel Cost'!$6:$6</definedName>
    <definedName name="_xlnm.Print_Area" localSheetId="7">'Misc Costs'!$A1:$E10</definedName>
    <definedName name="_xlnm.Print_Titles" localSheetId="7">'Misc Costs'!$6:$6</definedName>
    <definedName name="_xlnm.Print_Area" localSheetId="8">'Rate Tables'!$A1:$F13</definedName>
    <definedName name="_xlnm.Print_Titles" localSheetId="8">'Rate Tables'!$6:$6</definedName>
  </definedNames>
  <calcPr calcId="171027" fullCalcOnLoad="1"/>
</workbook>
</file>

<file path=xl/sharedStrings.xml><?xml version="1.0" encoding="utf-8"?>
<sst xmlns="http://schemas.openxmlformats.org/spreadsheetml/2006/main" count="394" uniqueCount="95">
  <si>
    <t>HIT SQUAD / PROJECT CONTROLS</t>
  </si>
  <si>
    <t>Produced by Hit Squad Project Controls  ·  Confidential estimate package</t>
  </si>
  <si>
    <t>Madison CAT 2 (Pit Stop)</t>
  </si>
  <si>
    <t>Phillips 66  ·  Wood River — Roxana, IL  ·  East Coast (PCA0001103)</t>
  </si>
  <si>
    <t>Produced Sep 4, 2026</t>
  </si>
  <si>
    <t>Rollup line</t>
  </si>
  <si>
    <t>Amount $</t>
  </si>
  <si>
    <t>Man-hours (MH)</t>
  </si>
  <si>
    <t>Staff labor $</t>
  </si>
  <si>
    <t>Foremen labor $</t>
  </si>
  <si>
    <t>Direct labor $</t>
  </si>
  <si>
    <t>Support labor $</t>
  </si>
  <si>
    <t>Labor $</t>
  </si>
  <si>
    <t>Per diem $</t>
  </si>
  <si>
    <t>Man-hours</t>
  </si>
  <si>
    <t>Staff travel $</t>
  </si>
  <si>
    <t>Misc $</t>
  </si>
  <si>
    <t>COE $</t>
  </si>
  <si>
    <t>6.5% markup</t>
  </si>
  <si>
    <t>ESTIMATE TOTAL $</t>
  </si>
  <si>
    <t>Shift</t>
  </si>
  <si>
    <t>Total Billable</t>
  </si>
  <si>
    <t>Position</t>
  </si>
  <si>
    <t>Sub Total $</t>
  </si>
  <si>
    <t>Rate</t>
  </si>
  <si>
    <t>Type</t>
  </si>
  <si>
    <t>ST Hrs</t>
  </si>
  <si>
    <t>OT Hrs</t>
  </si>
  <si>
    <t>DT Hrs</t>
  </si>
  <si>
    <t>PD Days</t>
  </si>
  <si>
    <t>DAYSHIFT</t>
  </si>
  <si>
    <t>Superintendent PF 01</t>
  </si>
  <si>
    <t>TITLE</t>
  </si>
  <si>
    <t>cr-1787760932966-c9m84|day</t>
  </si>
  <si>
    <t>HC</t>
  </si>
  <si>
    <t>Enter Hours Per shift Here</t>
  </si>
  <si>
    <t>HPS</t>
  </si>
  <si>
    <t>ST</t>
  </si>
  <si>
    <t>OT</t>
  </si>
  <si>
    <t>DT</t>
  </si>
  <si>
    <t>PD</t>
  </si>
  <si>
    <t>NIGHTSHIFT</t>
  </si>
  <si>
    <t>cr-1787760932966-c9m84|night</t>
  </si>
  <si>
    <t>COORDINATOR QA-QC 1</t>
  </si>
  <si>
    <t>cr-1787762352222-vw0iw|day</t>
  </si>
  <si>
    <t>cr-1787762352222-vw0iw|night</t>
  </si>
  <si>
    <t>COORDINATOR SAFETY 01</t>
  </si>
  <si>
    <t>cr-1787762351054-x15wg|day</t>
  </si>
  <si>
    <t>cr-1787762351054-x15wg|night</t>
  </si>
  <si>
    <t>Pipefitter General Foreman</t>
  </si>
  <si>
    <t>cr-1787763765587-o1zgp|day</t>
  </si>
  <si>
    <t>cr-1787763765587-o1zgp|night</t>
  </si>
  <si>
    <t>TOTAL</t>
  </si>
  <si>
    <t>Pipefitter Foreman</t>
  </si>
  <si>
    <t>cr-1787763837290-77aw3|day</t>
  </si>
  <si>
    <t>cr-1787763837290-77aw3|night</t>
  </si>
  <si>
    <t>Pipefitter Journeyman</t>
  </si>
  <si>
    <t>cr-1787764763277-txdnp|day</t>
  </si>
  <si>
    <t>cr-1787764763277-txdnp|night</t>
  </si>
  <si>
    <t>Tool Room Attendant</t>
  </si>
  <si>
    <t>sup-1787768630004-lgj97|day</t>
  </si>
  <si>
    <t>sup-1787768630004-lgj97|night</t>
  </si>
  <si>
    <t>Item</t>
  </si>
  <si>
    <t>Period</t>
  </si>
  <si>
    <t>Qty</t>
  </si>
  <si>
    <t>Periods</t>
  </si>
  <si>
    <t>Rate $</t>
  </si>
  <si>
    <t>Freight $</t>
  </si>
  <si>
    <t>Total $</t>
  </si>
  <si>
    <t>RAD GUN TORQUE</t>
  </si>
  <si>
    <t>monthly</t>
  </si>
  <si>
    <t>WELDER ARC 100-300 AMP ELECTRIC</t>
  </si>
  <si>
    <t>TRUCK CREW</t>
  </si>
  <si>
    <t>PUMP TORQUE CONSOLE 10K PSI</t>
  </si>
  <si>
    <t>daily</t>
  </si>
  <si>
    <t>Kind</t>
  </si>
  <si>
    <t>Travelers</t>
  </si>
  <si>
    <t>Miles</t>
  </si>
  <si>
    <t>$ / mile</t>
  </si>
  <si>
    <t>Staff</t>
  </si>
  <si>
    <t>Description</t>
  </si>
  <si>
    <t>Each $</t>
  </si>
  <si>
    <t>Weld / cut gas</t>
  </si>
  <si>
    <t>Mixed shielding</t>
  </si>
  <si>
    <t>Fire blanket</t>
  </si>
  <si>
    <t>Welding blanket</t>
  </si>
  <si>
    <t>Anti-seize</t>
  </si>
  <si>
    <t>Jet Lube</t>
  </si>
  <si>
    <t>Craft</t>
  </si>
  <si>
    <t>COMP BW $</t>
  </si>
  <si>
    <t>ST Bill $</t>
  </si>
  <si>
    <t>OT Bill $</t>
  </si>
  <si>
    <t>DT Bill $</t>
  </si>
  <si>
    <t>PD Rate</t>
  </si>
  <si>
    <t>Boilermaker Journeyman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</si>
</sst>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-MM-DD"/>
    <numFmt numFmtId="165" formatCode="$#,##0.00"/>
    <numFmt numFmtId="166" formatCode="#,##0.0"/>
    <numFmt numFmtId="167" formatCode="D-MMM"/>
  </numFmts>
  <fonts count="12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color rgb="FF3D4F54"/>
      <sz val="9"/>
      <name val="Calibri"/>
    </font>
    <font>
      <b/>
      <color rgb="FF102226"/>
      <sz val="12"/>
      <name val="Calibri"/>
    </font>
    <font>
      <color rgb="FF102226"/>
      <sz val="10"/>
      <name val="Calibri"/>
    </font>
    <font>
      <i/>
      <color rgb="FF3D4F54"/>
      <sz val="9"/>
      <name val="Calibri"/>
    </font>
    <font>
      <b/>
      <color rgb="FFFFFFFF"/>
      <sz val="9"/>
      <name val="Calibri"/>
    </font>
    <font>
      <b/>
      <color rgb="FFFFFFFF"/>
      <sz val="10"/>
      <name val="Calibri"/>
    </font>
    <font>
      <b/>
      <color rgb="FF102226"/>
      <sz val="11"/>
      <name val="Calibri"/>
    </font>
    <font>
      <b/>
      <color rgb="FF102226"/>
      <sz val="10"/>
      <name val="Calibri"/>
    </font>
    <font>
      <b/>
      <color rgb="FF102226"/>
      <sz val="8"/>
      <name val="Calibri"/>
    </font>
    <font>
      <b/>
      <color rgb="FF102226"/>
      <sz val="9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3D4C5F"/>
      </patternFill>
    </fill>
    <fill>
      <patternFill patternType="solid">
        <fgColor rgb="FFED7D31"/>
      </patternFill>
    </fill>
    <fill>
      <patternFill patternType="solid">
        <fgColor rgb="FFFFC000"/>
      </patternFill>
    </fill>
    <fill>
      <patternFill patternType="solid">
        <fgColor rgb="FFC9C9C9"/>
      </patternFill>
    </fill>
    <fill>
      <patternFill patternType="solid">
        <fgColor rgb="FFA6A6A6"/>
      </patternFill>
    </fill>
    <fill>
      <patternFill patternType="solid">
        <fgColor rgb="FFDBDBDB"/>
      </patternFill>
    </fill>
    <fill>
      <patternFill patternType="solid">
        <fgColor rgb="FFFFFF00"/>
      </patternFill>
    </fill>
    <fill>
      <patternFill patternType="solid">
        <fgColor rgb="FF5B9BD5"/>
      </patternFill>
    </fill>
    <fill>
      <patternFill patternType="solid">
        <fgColor rgb="FFF1F0F0"/>
      </patternFill>
    </fill>
    <fill>
      <patternFill patternType="solid">
        <fgColor rgb="FF4472C4"/>
      </patternFill>
    </fill>
  </fills>
  <borders count="16">
    <border>
      <left/>
      <right/>
      <top/>
      <bottom/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double">
        <color rgb="FF000000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hair">
        <color rgb="FFB0B0B0"/>
      </right>
      <top style="medium">
        <color rgb="FF000000"/>
      </top>
      <bottom style="hair">
        <color rgb="FFB0B0B0"/>
      </bottom>
      <diagonal/>
    </border>
    <border>
      <left style="hair">
        <color rgb="FFB0B0B0"/>
      </left>
      <right style="hair">
        <color rgb="FFB0B0B0"/>
      </right>
      <top style="medium">
        <color rgb="FF000000"/>
      </top>
      <bottom style="hair">
        <color rgb="FFB0B0B0"/>
      </bottom>
      <diagonal/>
    </border>
    <border>
      <left style="hair">
        <color rgb="FFB0B0B0"/>
      </left>
      <right style="medium">
        <color rgb="FF000000"/>
      </right>
      <top style="medium">
        <color rgb="FF000000"/>
      </top>
      <bottom style="hair">
        <color rgb="FFB0B0B0"/>
      </bottom>
      <diagonal/>
    </border>
    <border>
      <left style="medium">
        <color rgb="FF00000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hair">
        <color rgb="FFB0B0B0"/>
      </left>
      <right style="medium">
        <color rgb="FF000000"/>
      </right>
      <top style="hair">
        <color rgb="FFB0B0B0"/>
      </top>
      <bottom style="hair">
        <color rgb="FFB0B0B0"/>
      </bottom>
      <diagonal/>
    </border>
    <border>
      <left style="thin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rgb="FFB0B0B0"/>
      </left>
      <right style="medium">
        <color rgb="FF000000"/>
      </right>
      <top style="hair">
        <color rgb="FFB0B0B0"/>
      </top>
      <bottom style="hair">
        <color rgb="FFB0B0B0"/>
      </bottom>
      <diagonal/>
    </border>
    <border>
      <left style="medium">
        <color rgb="FF000000"/>
      </left>
      <right style="hair">
        <color rgb="FFB0B0B0"/>
      </right>
      <top style="hair">
        <color rgb="FFB0B0B0"/>
      </top>
      <bottom style="medium">
        <color rgb="FF000000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medium">
        <color rgb="FF000000"/>
      </bottom>
      <diagonal/>
    </border>
    <border>
      <left style="hair">
        <color rgb="FFB0B0B0"/>
      </left>
      <right style="medium">
        <color rgb="FF000000"/>
      </right>
      <top style="hair">
        <color rgb="FFB0B0B0"/>
      </top>
      <bottom style="medium">
        <color rgb="FF00000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 style="hair">
        <color rgb="FFB0B0B0"/>
      </left>
      <right style="hair">
        <color rgb="FFB0B0B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164" fontId="5" fillId="0" borderId="0" xfId="0" applyNumberFormat="1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165" fontId="4" fillId="0" borderId="2" xfId="0" applyNumberFormat="1" applyFont="1" applyBorder="1" applyAlignment="1">
      <alignment horizontal="right"/>
    </xf>
    <xf numFmtId="166" fontId="4" fillId="0" borderId="2" xfId="0" applyNumberFormat="1" applyFont="1" applyBorder="1" applyAlignment="1">
      <alignment horizontal="right"/>
    </xf>
    <xf numFmtId="0" fontId="7" fillId="3" borderId="2" xfId="0" applyFont="1" applyFill="1" applyBorder="1"/>
    <xf numFmtId="165" fontId="7" fillId="3" borderId="2" xfId="0" applyNumberFormat="1" applyFont="1" applyFill="1" applyBorder="1"/>
    <xf numFmtId="166" fontId="7" fillId="3" borderId="2" xfId="0" applyNumberFormat="1" applyFont="1" applyFill="1" applyBorder="1"/>
    <xf numFmtId="0" fontId="0" fillId="0" borderId="2" xfId="0" applyBorder="1"/>
    <xf numFmtId="0" fontId="8" fillId="4" borderId="2" xfId="0" applyFont="1" applyFill="1" applyBorder="1"/>
    <xf numFmtId="166" fontId="8" fillId="4" borderId="2" xfId="0" applyNumberFormat="1" applyFont="1" applyFill="1" applyBorder="1"/>
    <xf numFmtId="0" fontId="9" fillId="0" borderId="2" xfId="0" applyFont="1" applyBorder="1"/>
    <xf numFmtId="165" fontId="9" fillId="0" borderId="2" xfId="0" applyNumberFormat="1" applyFont="1" applyBorder="1"/>
    <xf numFmtId="165" fontId="8" fillId="4" borderId="2" xfId="0" applyNumberFormat="1" applyFont="1" applyFill="1" applyBorder="1"/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167" fontId="6" fillId="2" borderId="3" xfId="0" applyNumberFormat="1" applyFont="1" applyFill="1" applyBorder="1" applyAlignment="1">
      <alignment horizontal="center" vertical="center" textRotation="90"/>
    </xf>
    <xf numFmtId="167" fontId="10" fillId="5" borderId="3" xfId="0" applyNumberFormat="1" applyFont="1" applyFill="1" applyBorder="1" applyAlignment="1">
      <alignment horizontal="center" vertical="center" textRotation="90"/>
    </xf>
    <xf numFmtId="167" fontId="10" fillId="6" borderId="3" xfId="0" applyNumberFormat="1" applyFont="1" applyFill="1" applyBorder="1" applyAlignment="1">
      <alignment horizontal="center" vertical="center" textRotation="90"/>
    </xf>
    <xf numFmtId="0" fontId="11" fillId="7" borderId="4" xfId="0" applyFont="1" applyFill="1" applyBorder="1" applyAlignment="1">
      <alignment horizontal="center" vertical="center" wrapText="1"/>
    </xf>
    <xf numFmtId="166" fontId="7" fillId="2" borderId="5" xfId="0" applyNumberFormat="1" applyFont="1" applyFill="1" applyBorder="1"/>
    <xf numFmtId="0" fontId="7" fillId="2" borderId="5" xfId="0" applyFont="1" applyFill="1" applyBorder="1" applyAlignment="1">
      <alignment vertical="center" wrapText="1"/>
    </xf>
    <xf numFmtId="165" fontId="7" fillId="2" borderId="5" xfId="0" applyNumberFormat="1" applyFont="1" applyFill="1" applyBorder="1"/>
    <xf numFmtId="0" fontId="7" fillId="2" borderId="5" xfId="0" applyFont="1" applyFill="1" applyBorder="1"/>
    <xf numFmtId="165" fontId="7" fillId="2" borderId="6" xfId="0" applyNumberFormat="1" applyFont="1" applyFill="1" applyBorder="1"/>
    <xf numFmtId="0" fontId="0" fillId="0" borderId="4" xfId="0" applyBorder="1"/>
    <xf numFmtId="0" fontId="0" fillId="0" borderId="5" xfId="0" applyBorder="1"/>
    <xf numFmtId="0" fontId="0" fillId="5" borderId="5" xfId="0" applyFill="1" applyBorder="1"/>
    <xf numFmtId="0" fontId="0" fillId="6" borderId="5" xfId="0" applyFill="1" applyBorder="1"/>
    <xf numFmtId="0" fontId="0" fillId="0" borderId="6" xfId="0" applyBorder="1"/>
    <xf numFmtId="0" fontId="4" fillId="0" borderId="0" xfId="0" applyFont="1"/>
    <xf numFmtId="0" fontId="11" fillId="8" borderId="7" xfId="0" applyFont="1" applyFill="1" applyBorder="1" applyAlignment="1">
      <alignment vertical="center" wrapText="1"/>
    </xf>
    <xf numFmtId="0" fontId="11" fillId="8" borderId="2" xfId="0" applyFont="1" applyFill="1" applyBorder="1"/>
    <xf numFmtId="0" fontId="11" fillId="8" borderId="2" xfId="0" applyFont="1" applyFill="1" applyBorder="1" applyAlignment="1">
      <alignment vertical="center" wrapText="1"/>
    </xf>
    <xf numFmtId="0" fontId="11" fillId="8" borderId="8" xfId="0" applyFont="1" applyFill="1" applyBorder="1"/>
    <xf numFmtId="3" fontId="4" fillId="8" borderId="7" xfId="0" applyNumberFormat="1" applyFont="1" applyFill="1" applyBorder="1"/>
    <xf numFmtId="3" fontId="4" fillId="8" borderId="2" xfId="0" applyNumberFormat="1" applyFont="1" applyFill="1" applyBorder="1"/>
    <xf numFmtId="3" fontId="4" fillId="5" borderId="2" xfId="0" applyNumberFormat="1" applyFont="1" applyFill="1" applyBorder="1"/>
    <xf numFmtId="3" fontId="4" fillId="6" borderId="2" xfId="0" applyNumberFormat="1" applyFont="1" applyFill="1" applyBorder="1"/>
    <xf numFmtId="3" fontId="4" fillId="8" borderId="8" xfId="0" applyNumberFormat="1" applyFont="1" applyFill="1" applyBorder="1"/>
    <xf numFmtId="166" fontId="4" fillId="8" borderId="7" xfId="0" applyNumberFormat="1" applyFont="1" applyFill="1" applyBorder="1"/>
    <xf numFmtId="166" fontId="4" fillId="8" borderId="2" xfId="0" applyNumberFormat="1" applyFont="1" applyFill="1" applyBorder="1"/>
    <xf numFmtId="166" fontId="4" fillId="5" borderId="2" xfId="0" applyNumberFormat="1" applyFont="1" applyFill="1" applyBorder="1"/>
    <xf numFmtId="166" fontId="4" fillId="6" borderId="2" xfId="0" applyNumberFormat="1" applyFont="1" applyFill="1" applyBorder="1"/>
    <xf numFmtId="166" fontId="4" fillId="8" borderId="8" xfId="0" applyNumberFormat="1" applyFont="1" applyFill="1" applyBorder="1"/>
    <xf numFmtId="0" fontId="0" fillId="0" borderId="7" xfId="0" applyBorder="1" applyAlignment="1">
      <alignment vertical="center" wrapText="1"/>
    </xf>
    <xf numFmtId="166" fontId="4" fillId="0" borderId="2" xfId="0" applyNumberFormat="1" applyFont="1" applyBorder="1"/>
    <xf numFmtId="0" fontId="0" fillId="0" borderId="2" xfId="0" applyBorder="1" applyAlignment="1">
      <alignment vertical="center" wrapText="1"/>
    </xf>
    <xf numFmtId="165" fontId="4" fillId="0" borderId="2" xfId="0" applyNumberFormat="1" applyFont="1" applyBorder="1"/>
    <xf numFmtId="0" fontId="6" fillId="9" borderId="2" xfId="0" applyFont="1" applyFill="1" applyBorder="1" applyAlignment="1">
      <alignment horizontal="center"/>
    </xf>
    <xf numFmtId="0" fontId="0" fillId="0" borderId="8" xfId="0" applyBorder="1"/>
    <xf numFmtId="166" fontId="4" fillId="0" borderId="7" xfId="0" applyNumberFormat="1" applyFont="1" applyBorder="1"/>
    <xf numFmtId="166" fontId="4" fillId="0" borderId="9" xfId="0" applyNumberFormat="1" applyFont="1" applyBorder="1"/>
    <xf numFmtId="166" fontId="4" fillId="5" borderId="9" xfId="0" applyNumberFormat="1" applyFont="1" applyFill="1" applyBorder="1"/>
    <xf numFmtId="166" fontId="4" fillId="6" borderId="9" xfId="0" applyNumberFormat="1" applyFont="1" applyFill="1" applyBorder="1"/>
    <xf numFmtId="166" fontId="4" fillId="0" borderId="10" xfId="0" applyNumberFormat="1" applyFont="1" applyBorder="1"/>
    <xf numFmtId="0" fontId="0" fillId="0" borderId="11" xfId="0" applyBorder="1" applyAlignment="1">
      <alignment vertical="center" wrapText="1"/>
    </xf>
    <xf numFmtId="166" fontId="4" fillId="0" borderId="12" xfId="0" applyNumberFormat="1" applyFont="1" applyBorder="1"/>
    <xf numFmtId="0" fontId="0" fillId="0" borderId="12" xfId="0" applyBorder="1" applyAlignment="1">
      <alignment vertical="center" wrapText="1"/>
    </xf>
    <xf numFmtId="165" fontId="4" fillId="0" borderId="12" xfId="0" applyNumberFormat="1" applyFont="1" applyBorder="1"/>
    <xf numFmtId="0" fontId="4" fillId="0" borderId="12" xfId="0" applyFont="1" applyBorder="1"/>
    <xf numFmtId="0" fontId="0" fillId="0" borderId="12" xfId="0" applyBorder="1"/>
    <xf numFmtId="0" fontId="0" fillId="0" borderId="13" xfId="0" applyBorder="1"/>
    <xf numFmtId="3" fontId="4" fillId="0" borderId="11" xfId="0" applyNumberFormat="1" applyFont="1" applyBorder="1"/>
    <xf numFmtId="3" fontId="4" fillId="0" borderId="12" xfId="0" applyNumberFormat="1" applyFont="1" applyBorder="1"/>
    <xf numFmtId="3" fontId="4" fillId="5" borderId="12" xfId="0" applyNumberFormat="1" applyFont="1" applyFill="1" applyBorder="1"/>
    <xf numFmtId="3" fontId="4" fillId="6" borderId="12" xfId="0" applyNumberFormat="1" applyFont="1" applyFill="1" applyBorder="1"/>
    <xf numFmtId="3" fontId="4" fillId="0" borderId="13" xfId="0" applyNumberFormat="1" applyFont="1" applyBorder="1"/>
    <xf numFmtId="0" fontId="0" fillId="10" borderId="14" xfId="0" applyFill="1" applyBorder="1" applyAlignment="1">
      <alignment vertical="center" wrapText="1"/>
    </xf>
    <xf numFmtId="0" fontId="0" fillId="10" borderId="14" xfId="0" applyFill="1" applyBorder="1"/>
    <xf numFmtId="0" fontId="6" fillId="11" borderId="4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vertical="center" wrapText="1"/>
    </xf>
    <xf numFmtId="166" fontId="8" fillId="4" borderId="15" xfId="0" applyNumberFormat="1" applyFont="1" applyFill="1" applyBorder="1"/>
    <xf numFmtId="165" fontId="8" fillId="4" borderId="15" xfId="0" applyNumberFormat="1" applyFont="1" applyFill="1" applyBorder="1"/>
    <xf numFmtId="3" fontId="4" fillId="0" borderId="0" xfId="0" applyNumberFormat="1" applyFont="1"/>
    <xf numFmtId="165" fontId="4" fillId="0" borderId="0" xfId="0" applyNumberFormat="1" applyFont="1"/>
    <xf numFmtId="0" fontId="8" fillId="4" borderId="1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D4C5F"/>
    <pageSetUpPr fitToPage="1"/>
  </sheetPr>
  <dimension ref="A1:C19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12" customWidth="1"/>
  </cols>
  <sheetData>
    <row r="1" ht="22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3" t="s">
        <v>2</v>
      </c>
      <c r="B3" s="3"/>
      <c r="C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46269.756752256944</v>
      </c>
    </row>
    <row r="6" ht="20" customHeight="1" spans="1:3" x14ac:dyDescent="0.25">
      <c r="A6" s="7" t="s">
        <v>5</v>
      </c>
      <c r="B6" s="7" t="s">
        <v>6</v>
      </c>
      <c r="C6" s="7" t="s">
        <v>7</v>
      </c>
    </row>
    <row r="7" spans="1:3" x14ac:dyDescent="0.25">
      <c r="A7" s="8" t="s">
        <v>8</v>
      </c>
      <c r="B7" s="9">
        <f>Staff!K70</f>
      </c>
      <c r="C7" s="10">
        <f>Staff!B70</f>
      </c>
    </row>
    <row r="8" spans="1:3" x14ac:dyDescent="0.25">
      <c r="A8" s="8" t="s">
        <v>9</v>
      </c>
      <c r="B8" s="9">
        <f>Foremen!K22</f>
      </c>
      <c r="C8" s="10">
        <f>Foremen!B22</f>
      </c>
    </row>
    <row r="9" spans="1:3" x14ac:dyDescent="0.25">
      <c r="A9" s="8" t="s">
        <v>10</v>
      </c>
      <c r="B9" s="9">
        <f>Direct!K22</f>
      </c>
      <c r="C9" s="10">
        <f>Direct!B22</f>
      </c>
    </row>
    <row r="10" spans="1:3" x14ac:dyDescent="0.25">
      <c r="A10" s="8" t="s">
        <v>11</v>
      </c>
      <c r="B10" s="9">
        <f>Support!K22</f>
      </c>
      <c r="C10" s="10">
        <f>Support!B22</f>
      </c>
    </row>
    <row r="11" spans="1:3" x14ac:dyDescent="0.25">
      <c r="A11" s="11" t="s">
        <v>12</v>
      </c>
      <c r="B11" s="12">
        <f>SUM(B7,B8,B9,B10)</f>
      </c>
      <c r="C11" s="13">
        <f>SUM(C7,C8,C9,C10)</f>
      </c>
    </row>
    <row r="12" spans="1:3" x14ac:dyDescent="0.25">
      <c r="A12" s="8" t="s">
        <v>13</v>
      </c>
      <c r="B12" s="9">
        <f>SUM(Staff!D70,Foremen!D22,Direct!D22,Support!D22)</f>
      </c>
      <c r="C12" s="14"/>
    </row>
    <row r="13" spans="1:3" x14ac:dyDescent="0.25">
      <c r="A13" s="15" t="s">
        <v>14</v>
      </c>
      <c r="B13" s="14"/>
      <c r="C13" s="16">
        <f>SUM(C7,C8,C9,C10)</f>
      </c>
    </row>
    <row r="14" spans="1:3" x14ac:dyDescent="0.25">
      <c r="A14" s="8" t="s">
        <v>15</v>
      </c>
      <c r="B14" s="9">
        <f>'Staff Travel Cost'!E8</f>
      </c>
      <c r="C14" s="14"/>
    </row>
    <row r="15" spans="1:3" x14ac:dyDescent="0.25">
      <c r="A15" s="8" t="s">
        <v>16</v>
      </c>
      <c r="B15" s="9">
        <f>'Misc Costs'!E10</f>
      </c>
      <c r="C15" s="14"/>
    </row>
    <row r="16" spans="1:3" x14ac:dyDescent="0.25">
      <c r="A16" s="8" t="s">
        <v>17</v>
      </c>
      <c r="B16" s="9">
        <f>COE!G11</f>
      </c>
      <c r="C16" s="14"/>
    </row>
    <row r="17" spans="1:3" x14ac:dyDescent="0.25">
      <c r="A17" s="17" t="s">
        <v>18</v>
      </c>
      <c r="B17" s="18">
        <v>695.5</v>
      </c>
      <c r="C17" s="14"/>
    </row>
    <row r="18" spans="1:3" x14ac:dyDescent="0.25">
      <c r="A18" s="14"/>
      <c r="B18" s="14"/>
      <c r="C18" s="14"/>
    </row>
    <row r="19" spans="1:3" x14ac:dyDescent="0.25">
      <c r="A19" s="15" t="s">
        <v>19</v>
      </c>
      <c r="B19" s="19">
        <f>SUM(B11,B12,B14,B15,B16,B17)</f>
      </c>
      <c r="C19" s="16">
        <f>SUM(C7,C8,C9,C10)</f>
      </c>
    </row>
  </sheetData>
  <mergeCells count="3">
    <mergeCell ref="A1:C1"/>
    <mergeCell ref="A2:C2"/>
    <mergeCell ref="A3:C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Summary Page &amp;R Confidential</oddHeader>
    <oddFooter>&amp;L Produced by Hit Squad Project Controls &amp;C &amp;D &amp;R Page &amp;P of &amp;N</oddFooter>
    <evenHeader>&amp;L&amp;B HIT SQUAD / PROJECT CONTROLS &amp;C Summary Page &amp;R Confidential</evenHeader>
    <evenFooter>&amp;L Produced by Hit Squad Project Controls &amp;C &amp;D &amp;R Page &amp;P of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OV70"/>
  <sheetViews>
    <sheetView workbookViewId="0">
      <pane xSplit="11" ySplit="6" topLeftCell="L7" activePane="bottomRight" state="frozen"/>
      <selection pane="bottomRight" activeCell="L7" sqref="L7"/>
    </sheetView>
  </sheetViews>
  <sheetFormatPr defaultRowHeight="15" outlineLevelRow="0" outlineLevelCol="0" x14ac:dyDescent="55"/>
  <cols>
    <col min="1" max="1" width="10" style="20" customWidth="1"/>
    <col min="2" max="2" width="13" customWidth="1"/>
    <col min="3" max="3" width="24" style="20" customWidth="1"/>
    <col min="4" max="4" width="14" customWidth="1"/>
    <col min="5" max="6" width="9.01" customWidth="1"/>
    <col min="7" max="10" width="8.5" customWidth="1"/>
    <col min="11" max="11" width="10" customWidth="1"/>
    <col min="12" max="43" width="3" customWidth="1"/>
    <col min="412" max="412" width="3" hidden="1" customWidth="1"/>
  </cols>
  <sheetData>
    <row r="1" ht="22" customHeight="1" spans="1:43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</row>
    <row r="2" spans="1:3" x14ac:dyDescent="0.25">
      <c r="A2" s="22" t="s">
        <v>1</v>
      </c>
      <c r="C2" s="20"/>
    </row>
    <row r="3" spans="1:43" x14ac:dyDescent="0.25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</row>
    <row r="4" spans="1:3" x14ac:dyDescent="0.25">
      <c r="A4" s="24" t="s">
        <v>3</v>
      </c>
      <c r="C4" s="20"/>
    </row>
    <row r="5" spans="1:3" x14ac:dyDescent="0.25">
      <c r="A5" s="25" t="s">
        <v>4</v>
      </c>
      <c r="B5" s="6">
        <v>46269.75675216435</v>
      </c>
      <c r="C5" s="20"/>
    </row>
    <row r="6" ht="36" customHeight="1" spans="1:43" x14ac:dyDescent="0.25">
      <c r="A6" s="26" t="s">
        <v>20</v>
      </c>
      <c r="B6" s="27" t="s">
        <v>21</v>
      </c>
      <c r="C6" s="26" t="s">
        <v>22</v>
      </c>
      <c r="D6" s="27" t="s">
        <v>23</v>
      </c>
      <c r="E6" s="27" t="s">
        <v>24</v>
      </c>
      <c r="F6" s="27" t="s">
        <v>25</v>
      </c>
      <c r="G6" s="27" t="s">
        <v>26</v>
      </c>
      <c r="H6" s="27" t="s">
        <v>27</v>
      </c>
      <c r="I6" s="27" t="s">
        <v>28</v>
      </c>
      <c r="J6" s="27" t="s">
        <v>29</v>
      </c>
      <c r="K6" s="27" t="s">
        <v>12</v>
      </c>
      <c r="L6" s="28">
        <v>46286</v>
      </c>
      <c r="M6" s="28">
        <f>L6+1</f>
      </c>
      <c r="N6" s="28">
        <f>M6+1</f>
      </c>
      <c r="O6" s="28">
        <f>N6+1</f>
      </c>
      <c r="P6" s="28">
        <f>O6+1</f>
      </c>
      <c r="Q6" s="29">
        <f>P6+1</f>
      </c>
      <c r="R6" s="30">
        <f>Q6+1</f>
      </c>
      <c r="S6" s="28">
        <f>R6+1</f>
      </c>
      <c r="T6" s="28">
        <f>S6+1</f>
      </c>
      <c r="U6" s="28">
        <f>T6+1</f>
      </c>
      <c r="V6" s="28">
        <f>U6+1</f>
      </c>
      <c r="W6" s="28">
        <f>V6+1</f>
      </c>
      <c r="X6" s="29">
        <f>W6+1</f>
      </c>
      <c r="Y6" s="30">
        <f>X6+1</f>
      </c>
      <c r="Z6" s="28">
        <f>Y6+1</f>
      </c>
      <c r="AA6" s="28">
        <f>Z6+1</f>
      </c>
      <c r="AB6" s="28">
        <f>AA6+1</f>
      </c>
      <c r="AC6" s="28">
        <f>AB6+1</f>
      </c>
      <c r="AD6" s="28">
        <f>AC6+1</f>
      </c>
      <c r="AE6" s="29">
        <f>AD6+1</f>
      </c>
      <c r="AF6" s="30">
        <f>AE6+1</f>
      </c>
      <c r="AG6" s="28">
        <f>AF6+1</f>
      </c>
      <c r="AH6" s="28">
        <f>AG6+1</f>
      </c>
      <c r="AI6" s="28">
        <f>AH6+1</f>
      </c>
      <c r="AJ6" s="28">
        <f>AI6+1</f>
      </c>
      <c r="AK6" s="28">
        <f>AJ6+1</f>
      </c>
      <c r="AL6" s="29">
        <f>AK6+1</f>
      </c>
      <c r="AM6" s="30">
        <f>AL6+1</f>
      </c>
      <c r="AN6" s="28">
        <f>AM6+1</f>
      </c>
      <c r="AO6" s="28">
        <f>AN6+1</f>
      </c>
      <c r="AP6" s="28">
        <f>AO6+1</f>
      </c>
      <c r="AQ6" s="28">
        <f>AP6+1</f>
      </c>
    </row>
    <row r="7" spans="1:412" x14ac:dyDescent="0.25">
      <c r="A7" s="31" t="s">
        <v>30</v>
      </c>
      <c r="B7" s="32">
        <f>G7+H7+I7</f>
      </c>
      <c r="C7" s="33" t="s">
        <v>31</v>
      </c>
      <c r="D7" s="34">
        <f>K7</f>
      </c>
      <c r="E7" s="35"/>
      <c r="F7" s="35" t="s">
        <v>32</v>
      </c>
      <c r="G7" s="32">
        <f>B10</f>
      </c>
      <c r="H7" s="32">
        <f>B11</f>
      </c>
      <c r="I7" s="32">
        <f>B12</f>
      </c>
      <c r="J7" s="32">
        <f>B13</f>
      </c>
      <c r="K7" s="36">
        <f>D10+D11+D12</f>
      </c>
      <c r="L7" s="37"/>
      <c r="M7" s="38"/>
      <c r="N7" s="38"/>
      <c r="O7" s="38"/>
      <c r="P7" s="38"/>
      <c r="Q7" s="39"/>
      <c r="R7" s="40"/>
      <c r="S7" s="38"/>
      <c r="T7" s="38"/>
      <c r="U7" s="38"/>
      <c r="V7" s="38"/>
      <c r="W7" s="38"/>
      <c r="X7" s="39"/>
      <c r="Y7" s="40"/>
      <c r="Z7" s="38"/>
      <c r="AA7" s="38"/>
      <c r="AB7" s="38"/>
      <c r="AC7" s="38"/>
      <c r="AD7" s="38"/>
      <c r="AE7" s="39"/>
      <c r="AF7" s="40"/>
      <c r="AG7" s="38"/>
      <c r="AH7" s="38"/>
      <c r="AI7" s="38"/>
      <c r="AJ7" s="38"/>
      <c r="AK7" s="38"/>
      <c r="AL7" s="39"/>
      <c r="AM7" s="40"/>
      <c r="AN7" s="38"/>
      <c r="AO7" s="38"/>
      <c r="AP7" s="38"/>
      <c r="AQ7" s="41"/>
      <c r="OV7" s="42" t="s">
        <v>33</v>
      </c>
    </row>
    <row r="8" spans="1:412" x14ac:dyDescent="0.25">
      <c r="A8" s="43"/>
      <c r="B8" s="44"/>
      <c r="C8" s="45"/>
      <c r="D8" s="44"/>
      <c r="E8" s="44"/>
      <c r="F8" s="44" t="s">
        <v>34</v>
      </c>
      <c r="G8" s="44"/>
      <c r="H8" s="44"/>
      <c r="I8" s="44"/>
      <c r="J8" s="44"/>
      <c r="K8" s="46"/>
      <c r="L8" s="47">
        <v>1</v>
      </c>
      <c r="M8" s="48">
        <v>1</v>
      </c>
      <c r="N8" s="48">
        <v>1</v>
      </c>
      <c r="O8" s="48">
        <v>1</v>
      </c>
      <c r="P8" s="48">
        <v>1</v>
      </c>
      <c r="Q8" s="49">
        <v>0</v>
      </c>
      <c r="R8" s="50">
        <v>0</v>
      </c>
      <c r="S8" s="48">
        <v>1</v>
      </c>
      <c r="T8" s="48">
        <v>1</v>
      </c>
      <c r="U8" s="48">
        <v>1</v>
      </c>
      <c r="V8" s="48">
        <v>1</v>
      </c>
      <c r="W8" s="48">
        <v>1</v>
      </c>
      <c r="X8" s="49">
        <v>1</v>
      </c>
      <c r="Y8" s="50">
        <v>1</v>
      </c>
      <c r="Z8" s="48">
        <v>1</v>
      </c>
      <c r="AA8" s="48">
        <v>1</v>
      </c>
      <c r="AB8" s="48">
        <v>1</v>
      </c>
      <c r="AC8" s="48">
        <v>1</v>
      </c>
      <c r="AD8" s="48">
        <v>1</v>
      </c>
      <c r="AE8" s="49">
        <v>1</v>
      </c>
      <c r="AF8" s="50">
        <v>1</v>
      </c>
      <c r="AG8" s="48">
        <v>1</v>
      </c>
      <c r="AH8" s="48">
        <v>1</v>
      </c>
      <c r="AI8" s="48">
        <v>1</v>
      </c>
      <c r="AJ8" s="48">
        <v>1</v>
      </c>
      <c r="AK8" s="48">
        <v>1</v>
      </c>
      <c r="AL8" s="49">
        <v>0</v>
      </c>
      <c r="AM8" s="50">
        <v>0</v>
      </c>
      <c r="AN8" s="48">
        <v>1</v>
      </c>
      <c r="AO8" s="48">
        <v>1</v>
      </c>
      <c r="AP8" s="48">
        <v>1</v>
      </c>
      <c r="AQ8" s="51">
        <v>1</v>
      </c>
      <c r="OV8" s="42" t="s">
        <v>33</v>
      </c>
    </row>
    <row r="9" ht="28" customHeight="1" spans="1:412" x14ac:dyDescent="0.25">
      <c r="A9" s="43" t="s">
        <v>35</v>
      </c>
      <c r="B9" s="44"/>
      <c r="C9" s="45"/>
      <c r="D9" s="44"/>
      <c r="E9" s="44"/>
      <c r="F9" s="44" t="s">
        <v>36</v>
      </c>
      <c r="G9" s="44"/>
      <c r="H9" s="44"/>
      <c r="I9" s="44"/>
      <c r="J9" s="44"/>
      <c r="K9" s="46"/>
      <c r="L9" s="52">
        <v>8</v>
      </c>
      <c r="M9" s="53">
        <v>8</v>
      </c>
      <c r="N9" s="53">
        <v>8</v>
      </c>
      <c r="O9" s="53">
        <v>8</v>
      </c>
      <c r="P9" s="53">
        <v>8</v>
      </c>
      <c r="Q9" s="54">
        <v>0</v>
      </c>
      <c r="R9" s="55">
        <v>0</v>
      </c>
      <c r="S9" s="53">
        <v>8</v>
      </c>
      <c r="T9" s="53">
        <v>8</v>
      </c>
      <c r="U9" s="53">
        <v>8</v>
      </c>
      <c r="V9" s="53">
        <v>12</v>
      </c>
      <c r="W9" s="53">
        <v>12</v>
      </c>
      <c r="X9" s="54">
        <v>12</v>
      </c>
      <c r="Y9" s="55">
        <v>12</v>
      </c>
      <c r="Z9" s="53">
        <v>12</v>
      </c>
      <c r="AA9" s="53">
        <v>12</v>
      </c>
      <c r="AB9" s="53">
        <v>12</v>
      </c>
      <c r="AC9" s="53">
        <v>12</v>
      </c>
      <c r="AD9" s="53">
        <v>12</v>
      </c>
      <c r="AE9" s="54">
        <v>12</v>
      </c>
      <c r="AF9" s="55">
        <v>12</v>
      </c>
      <c r="AG9" s="53">
        <v>12</v>
      </c>
      <c r="AH9" s="53">
        <v>12</v>
      </c>
      <c r="AI9" s="53">
        <v>12</v>
      </c>
      <c r="AJ9" s="53">
        <v>8</v>
      </c>
      <c r="AK9" s="53">
        <v>8</v>
      </c>
      <c r="AL9" s="54">
        <v>0</v>
      </c>
      <c r="AM9" s="55">
        <v>0</v>
      </c>
      <c r="AN9" s="53">
        <v>8</v>
      </c>
      <c r="AO9" s="53">
        <v>8</v>
      </c>
      <c r="AP9" s="53">
        <v>8</v>
      </c>
      <c r="AQ9" s="56">
        <v>8</v>
      </c>
      <c r="OV9" s="42" t="s">
        <v>33</v>
      </c>
    </row>
    <row r="10" spans="1:412" x14ac:dyDescent="0.25">
      <c r="A10" s="57"/>
      <c r="B10" s="58">
        <f>SUM(L10:AQ10)</f>
      </c>
      <c r="C10" s="59"/>
      <c r="D10" s="60">
        <f>B10*E10</f>
      </c>
      <c r="E10" s="60">
        <f>'Rate Tables'!C7</f>
      </c>
      <c r="F10" s="61" t="s">
        <v>37</v>
      </c>
      <c r="G10" s="14"/>
      <c r="H10" s="14"/>
      <c r="I10" s="14"/>
      <c r="J10" s="14"/>
      <c r="K10" s="62"/>
      <c r="L10" s="63">
        <f>IF(L$6="","",IF(WEEKDAY(L$6,1)=1,0,MIN(8,L9)*L8))</f>
      </c>
      <c r="M10" s="64">
        <f>IF(M$6="","",IF(WEEKDAY(M$6,1)=1,0,MIN(8,M9)*M8))</f>
      </c>
      <c r="N10" s="64">
        <f>IF(N$6="","",IF(WEEKDAY(N$6,1)=1,0,MIN(8,N9)*N8))</f>
      </c>
      <c r="O10" s="64">
        <f>IF(O$6="","",IF(WEEKDAY(O$6,1)=1,0,MIN(8,O9)*O8))</f>
      </c>
      <c r="P10" s="64">
        <f>IF(P$6="","",IF(WEEKDAY(P$6,1)=1,0,MIN(8,P9)*P8))</f>
      </c>
      <c r="Q10" s="65">
        <f>IF(Q$6="","",IF(WEEKDAY(Q$6,1)=1,0,MIN(8,Q9)*Q8))</f>
      </c>
      <c r="R10" s="66">
        <f>IF(R$6="","",IF(WEEKDAY(R$6,1)=1,0,MIN(8,R9)*R8))</f>
      </c>
      <c r="S10" s="64">
        <f>IF(S$6="","",IF(WEEKDAY(S$6,1)=1,0,MIN(8,S9)*S8))</f>
      </c>
      <c r="T10" s="64">
        <f>IF(T$6="","",IF(WEEKDAY(T$6,1)=1,0,MIN(8,T9)*T8))</f>
      </c>
      <c r="U10" s="64">
        <f>IF(U$6="","",IF(WEEKDAY(U$6,1)=1,0,MIN(8,U9)*U8))</f>
      </c>
      <c r="V10" s="64">
        <f>IF(V$6="","",IF(WEEKDAY(V$6,1)=1,0,MIN(8,V9)*V8))</f>
      </c>
      <c r="W10" s="64">
        <f>IF(W$6="","",IF(WEEKDAY(W$6,1)=1,0,MIN(8,W9)*W8))</f>
      </c>
      <c r="X10" s="65">
        <f>IF(X$6="","",IF(WEEKDAY(X$6,1)=1,0,MIN(8,X9)*X8))</f>
      </c>
      <c r="Y10" s="66">
        <f>IF(Y$6="","",IF(WEEKDAY(Y$6,1)=1,0,MIN(8,Y9)*Y8))</f>
      </c>
      <c r="Z10" s="64">
        <f>IF(Z$6="","",IF(WEEKDAY(Z$6,1)=1,0,MIN(8,Z9)*Z8))</f>
      </c>
      <c r="AA10" s="64">
        <f>IF(AA$6="","",IF(WEEKDAY(AA$6,1)=1,0,MIN(8,AA9)*AA8))</f>
      </c>
      <c r="AB10" s="64">
        <f>IF(AB$6="","",IF(WEEKDAY(AB$6,1)=1,0,MIN(8,AB9)*AB8))</f>
      </c>
      <c r="AC10" s="64">
        <f>IF(AC$6="","",IF(WEEKDAY(AC$6,1)=1,0,MIN(8,AC9)*AC8))</f>
      </c>
      <c r="AD10" s="64">
        <f>IF(AD$6="","",IF(WEEKDAY(AD$6,1)=1,0,MIN(8,AD9)*AD8))</f>
      </c>
      <c r="AE10" s="65">
        <f>IF(AE$6="","",IF(WEEKDAY(AE$6,1)=1,0,MIN(8,AE9)*AE8))</f>
      </c>
      <c r="AF10" s="66">
        <f>IF(AF$6="","",IF(WEEKDAY(AF$6,1)=1,0,MIN(8,AF9)*AF8))</f>
      </c>
      <c r="AG10" s="64">
        <f>IF(AG$6="","",IF(WEEKDAY(AG$6,1)=1,0,MIN(8,AG9)*AG8))</f>
      </c>
      <c r="AH10" s="64">
        <f>IF(AH$6="","",IF(WEEKDAY(AH$6,1)=1,0,MIN(8,AH9)*AH8))</f>
      </c>
      <c r="AI10" s="64">
        <f>IF(AI$6="","",IF(WEEKDAY(AI$6,1)=1,0,MIN(8,AI9)*AI8))</f>
      </c>
      <c r="AJ10" s="64">
        <f>IF(AJ$6="","",IF(WEEKDAY(AJ$6,1)=1,0,MIN(8,AJ9)*AJ8))</f>
      </c>
      <c r="AK10" s="64">
        <f>IF(AK$6="","",IF(WEEKDAY(AK$6,1)=1,0,MIN(8,AK9)*AK8))</f>
      </c>
      <c r="AL10" s="65">
        <f>IF(AL$6="","",IF(WEEKDAY(AL$6,1)=1,0,MIN(8,AL9)*AL8))</f>
      </c>
      <c r="AM10" s="66">
        <f>IF(AM$6="","",IF(WEEKDAY(AM$6,1)=1,0,MIN(8,AM9)*AM8))</f>
      </c>
      <c r="AN10" s="64">
        <f>IF(AN$6="","",IF(WEEKDAY(AN$6,1)=1,0,MIN(8,AN9)*AN8))</f>
      </c>
      <c r="AO10" s="64">
        <f>IF(AO$6="","",IF(WEEKDAY(AO$6,1)=1,0,MIN(8,AO9)*AO8))</f>
      </c>
      <c r="AP10" s="64">
        <f>IF(AP$6="","",IF(WEEKDAY(AP$6,1)=1,0,MIN(8,AP9)*AP8))</f>
      </c>
      <c r="AQ10" s="67">
        <f>IF(AQ$6="","",IF(WEEKDAY(AQ$6,1)=1,0,MIN(8,AQ9)*AQ8))</f>
      </c>
      <c r="OV10" s="42" t="s">
        <v>33</v>
      </c>
    </row>
    <row r="11" spans="1:412" x14ac:dyDescent="0.25">
      <c r="A11" s="57"/>
      <c r="B11" s="58">
        <f>SUM(L11:AQ11)</f>
      </c>
      <c r="C11" s="59"/>
      <c r="D11" s="60">
        <f>B11*E11</f>
      </c>
      <c r="E11" s="60">
        <f>'Rate Tables'!D7</f>
      </c>
      <c r="F11" s="61" t="s">
        <v>38</v>
      </c>
      <c r="G11" s="14"/>
      <c r="H11" s="14"/>
      <c r="I11" s="14"/>
      <c r="J11" s="14"/>
      <c r="K11" s="62"/>
      <c r="L11" s="63">
        <f>IF(L$6="","",IF(WEEKDAY(L$6,1)=1,0,MAX(0,L9-8)*L8))</f>
      </c>
      <c r="M11" s="64">
        <f>IF(M$6="","",IF(WEEKDAY(M$6,1)=1,0,MAX(0,M9-8)*M8))</f>
      </c>
      <c r="N11" s="64">
        <f>IF(N$6="","",IF(WEEKDAY(N$6,1)=1,0,MAX(0,N9-8)*N8))</f>
      </c>
      <c r="O11" s="64">
        <f>IF(O$6="","",IF(WEEKDAY(O$6,1)=1,0,MAX(0,O9-8)*O8))</f>
      </c>
      <c r="P11" s="64">
        <f>IF(P$6="","",IF(WEEKDAY(P$6,1)=1,0,MAX(0,P9-8)*P8))</f>
      </c>
      <c r="Q11" s="65">
        <f>IF(Q$6="","",IF(WEEKDAY(Q$6,1)=1,0,MAX(0,Q9-8)*Q8))</f>
      </c>
      <c r="R11" s="66">
        <f>IF(R$6="","",IF(WEEKDAY(R$6,1)=1,0,MAX(0,R9-8)*R8))</f>
      </c>
      <c r="S11" s="64">
        <f>IF(S$6="","",IF(WEEKDAY(S$6,1)=1,0,MAX(0,S9-8)*S8))</f>
      </c>
      <c r="T11" s="64">
        <f>IF(T$6="","",IF(WEEKDAY(T$6,1)=1,0,MAX(0,T9-8)*T8))</f>
      </c>
      <c r="U11" s="64">
        <f>IF(U$6="","",IF(WEEKDAY(U$6,1)=1,0,MAX(0,U9-8)*U8))</f>
      </c>
      <c r="V11" s="64">
        <f>IF(V$6="","",IF(WEEKDAY(V$6,1)=1,0,MAX(0,V9-8)*V8))</f>
      </c>
      <c r="W11" s="64">
        <f>IF(W$6="","",IF(WEEKDAY(W$6,1)=1,0,MAX(0,W9-8)*W8))</f>
      </c>
      <c r="X11" s="65">
        <f>IF(X$6="","",IF(WEEKDAY(X$6,1)=1,0,MAX(0,X9-8)*X8))</f>
      </c>
      <c r="Y11" s="66">
        <f>IF(Y$6="","",IF(WEEKDAY(Y$6,1)=1,0,MAX(0,Y9-8)*Y8))</f>
      </c>
      <c r="Z11" s="64">
        <f>IF(Z$6="","",IF(WEEKDAY(Z$6,1)=1,0,MAX(0,Z9-8)*Z8))</f>
      </c>
      <c r="AA11" s="64">
        <f>IF(AA$6="","",IF(WEEKDAY(AA$6,1)=1,0,MAX(0,AA9-8)*AA8))</f>
      </c>
      <c r="AB11" s="64">
        <f>IF(AB$6="","",IF(WEEKDAY(AB$6,1)=1,0,MAX(0,AB9-8)*AB8))</f>
      </c>
      <c r="AC11" s="64">
        <f>IF(AC$6="","",IF(WEEKDAY(AC$6,1)=1,0,MAX(0,AC9-8)*AC8))</f>
      </c>
      <c r="AD11" s="64">
        <f>IF(AD$6="","",IF(WEEKDAY(AD$6,1)=1,0,MAX(0,AD9-8)*AD8))</f>
      </c>
      <c r="AE11" s="65">
        <f>IF(AE$6="","",IF(WEEKDAY(AE$6,1)=1,0,MAX(0,AE9-8)*AE8))</f>
      </c>
      <c r="AF11" s="66">
        <f>IF(AF$6="","",IF(WEEKDAY(AF$6,1)=1,0,MAX(0,AF9-8)*AF8))</f>
      </c>
      <c r="AG11" s="64">
        <f>IF(AG$6="","",IF(WEEKDAY(AG$6,1)=1,0,MAX(0,AG9-8)*AG8))</f>
      </c>
      <c r="AH11" s="64">
        <f>IF(AH$6="","",IF(WEEKDAY(AH$6,1)=1,0,MAX(0,AH9-8)*AH8))</f>
      </c>
      <c r="AI11" s="64">
        <f>IF(AI$6="","",IF(WEEKDAY(AI$6,1)=1,0,MAX(0,AI9-8)*AI8))</f>
      </c>
      <c r="AJ11" s="64">
        <f>IF(AJ$6="","",IF(WEEKDAY(AJ$6,1)=1,0,MAX(0,AJ9-8)*AJ8))</f>
      </c>
      <c r="AK11" s="64">
        <f>IF(AK$6="","",IF(WEEKDAY(AK$6,1)=1,0,MAX(0,AK9-8)*AK8))</f>
      </c>
      <c r="AL11" s="65">
        <f>IF(AL$6="","",IF(WEEKDAY(AL$6,1)=1,0,MAX(0,AL9-8)*AL8))</f>
      </c>
      <c r="AM11" s="66">
        <f>IF(AM$6="","",IF(WEEKDAY(AM$6,1)=1,0,MAX(0,AM9-8)*AM8))</f>
      </c>
      <c r="AN11" s="64">
        <f>IF(AN$6="","",IF(WEEKDAY(AN$6,1)=1,0,MAX(0,AN9-8)*AN8))</f>
      </c>
      <c r="AO11" s="64">
        <f>IF(AO$6="","",IF(WEEKDAY(AO$6,1)=1,0,MAX(0,AO9-8)*AO8))</f>
      </c>
      <c r="AP11" s="64">
        <f>IF(AP$6="","",IF(WEEKDAY(AP$6,1)=1,0,MAX(0,AP9-8)*AP8))</f>
      </c>
      <c r="AQ11" s="67">
        <f>IF(AQ$6="","",IF(WEEKDAY(AQ$6,1)=1,0,MAX(0,AQ9-8)*AQ8))</f>
      </c>
      <c r="OV11" s="42" t="s">
        <v>33</v>
      </c>
    </row>
    <row r="12" spans="1:412" x14ac:dyDescent="0.25">
      <c r="A12" s="57"/>
      <c r="B12" s="58">
        <f>SUM(L12:AQ12)</f>
      </c>
      <c r="C12" s="59"/>
      <c r="D12" s="60">
        <f>B12*E12</f>
      </c>
      <c r="E12" s="60">
        <f>'Rate Tables'!E7</f>
      </c>
      <c r="F12" s="61" t="s">
        <v>39</v>
      </c>
      <c r="G12" s="14"/>
      <c r="H12" s="14"/>
      <c r="I12" s="14"/>
      <c r="J12" s="14"/>
      <c r="K12" s="62"/>
      <c r="L12" s="63">
        <f>IF(L$6="","",IF(WEEKDAY(L$6,1)=1,L9*L8,0))</f>
      </c>
      <c r="M12" s="64">
        <f>IF(M$6="","",IF(WEEKDAY(M$6,1)=1,M9*M8,0))</f>
      </c>
      <c r="N12" s="64">
        <f>IF(N$6="","",IF(WEEKDAY(N$6,1)=1,N9*N8,0))</f>
      </c>
      <c r="O12" s="64">
        <f>IF(O$6="","",IF(WEEKDAY(O$6,1)=1,O9*O8,0))</f>
      </c>
      <c r="P12" s="64">
        <f>IF(P$6="","",IF(WEEKDAY(P$6,1)=1,P9*P8,0))</f>
      </c>
      <c r="Q12" s="65">
        <f>IF(Q$6="","",IF(WEEKDAY(Q$6,1)=1,Q9*Q8,0))</f>
      </c>
      <c r="R12" s="66">
        <f>IF(R$6="","",IF(WEEKDAY(R$6,1)=1,R9*R8,0))</f>
      </c>
      <c r="S12" s="64">
        <f>IF(S$6="","",IF(WEEKDAY(S$6,1)=1,S9*S8,0))</f>
      </c>
      <c r="T12" s="64">
        <f>IF(T$6="","",IF(WEEKDAY(T$6,1)=1,T9*T8,0))</f>
      </c>
      <c r="U12" s="64">
        <f>IF(U$6="","",IF(WEEKDAY(U$6,1)=1,U9*U8,0))</f>
      </c>
      <c r="V12" s="64">
        <f>IF(V$6="","",IF(WEEKDAY(V$6,1)=1,V9*V8,0))</f>
      </c>
      <c r="W12" s="64">
        <f>IF(W$6="","",IF(WEEKDAY(W$6,1)=1,W9*W8,0))</f>
      </c>
      <c r="X12" s="65">
        <f>IF(X$6="","",IF(WEEKDAY(X$6,1)=1,X9*X8,0))</f>
      </c>
      <c r="Y12" s="66">
        <f>IF(Y$6="","",IF(WEEKDAY(Y$6,1)=1,Y9*Y8,0))</f>
      </c>
      <c r="Z12" s="64">
        <f>IF(Z$6="","",IF(WEEKDAY(Z$6,1)=1,Z9*Z8,0))</f>
      </c>
      <c r="AA12" s="64">
        <f>IF(AA$6="","",IF(WEEKDAY(AA$6,1)=1,AA9*AA8,0))</f>
      </c>
      <c r="AB12" s="64">
        <f>IF(AB$6="","",IF(WEEKDAY(AB$6,1)=1,AB9*AB8,0))</f>
      </c>
      <c r="AC12" s="64">
        <f>IF(AC$6="","",IF(WEEKDAY(AC$6,1)=1,AC9*AC8,0))</f>
      </c>
      <c r="AD12" s="64">
        <f>IF(AD$6="","",IF(WEEKDAY(AD$6,1)=1,AD9*AD8,0))</f>
      </c>
      <c r="AE12" s="65">
        <f>IF(AE$6="","",IF(WEEKDAY(AE$6,1)=1,AE9*AE8,0))</f>
      </c>
      <c r="AF12" s="66">
        <f>IF(AF$6="","",IF(WEEKDAY(AF$6,1)=1,AF9*AF8,0))</f>
      </c>
      <c r="AG12" s="64">
        <f>IF(AG$6="","",IF(WEEKDAY(AG$6,1)=1,AG9*AG8,0))</f>
      </c>
      <c r="AH12" s="64">
        <f>IF(AH$6="","",IF(WEEKDAY(AH$6,1)=1,AH9*AH8,0))</f>
      </c>
      <c r="AI12" s="64">
        <f>IF(AI$6="","",IF(WEEKDAY(AI$6,1)=1,AI9*AI8,0))</f>
      </c>
      <c r="AJ12" s="64">
        <f>IF(AJ$6="","",IF(WEEKDAY(AJ$6,1)=1,AJ9*AJ8,0))</f>
      </c>
      <c r="AK12" s="64">
        <f>IF(AK$6="","",IF(WEEKDAY(AK$6,1)=1,AK9*AK8,0))</f>
      </c>
      <c r="AL12" s="65">
        <f>IF(AL$6="","",IF(WEEKDAY(AL$6,1)=1,AL9*AL8,0))</f>
      </c>
      <c r="AM12" s="66">
        <f>IF(AM$6="","",IF(WEEKDAY(AM$6,1)=1,AM9*AM8,0))</f>
      </c>
      <c r="AN12" s="64">
        <f>IF(AN$6="","",IF(WEEKDAY(AN$6,1)=1,AN9*AN8,0))</f>
      </c>
      <c r="AO12" s="64">
        <f>IF(AO$6="","",IF(WEEKDAY(AO$6,1)=1,AO9*AO8,0))</f>
      </c>
      <c r="AP12" s="64">
        <f>IF(AP$6="","",IF(WEEKDAY(AP$6,1)=1,AP9*AP8,0))</f>
      </c>
      <c r="AQ12" s="67">
        <f>IF(AQ$6="","",IF(WEEKDAY(AQ$6,1)=1,AQ9*AQ8,0))</f>
      </c>
      <c r="OV12" s="42" t="s">
        <v>33</v>
      </c>
    </row>
    <row r="13" spans="1:412" x14ac:dyDescent="0.25">
      <c r="A13" s="68"/>
      <c r="B13" s="69">
        <f>SUM(L13:AQ13)</f>
      </c>
      <c r="C13" s="70"/>
      <c r="D13" s="71">
        <f>B13*E13</f>
      </c>
      <c r="E13" s="71">
        <v>140</v>
      </c>
      <c r="F13" s="72" t="s">
        <v>40</v>
      </c>
      <c r="G13" s="73"/>
      <c r="H13" s="73"/>
      <c r="I13" s="73"/>
      <c r="J13" s="73"/>
      <c r="K13" s="74"/>
      <c r="L13" s="75">
        <v>1</v>
      </c>
      <c r="M13" s="76">
        <v>1</v>
      </c>
      <c r="N13" s="76">
        <v>1</v>
      </c>
      <c r="O13" s="76">
        <v>1</v>
      </c>
      <c r="P13" s="76">
        <v>1</v>
      </c>
      <c r="Q13" s="77">
        <v>0</v>
      </c>
      <c r="R13" s="78">
        <v>0</v>
      </c>
      <c r="S13" s="76">
        <v>1</v>
      </c>
      <c r="T13" s="76">
        <v>1</v>
      </c>
      <c r="U13" s="76">
        <v>1</v>
      </c>
      <c r="V13" s="76">
        <v>1</v>
      </c>
      <c r="W13" s="76">
        <v>1</v>
      </c>
      <c r="X13" s="77">
        <v>1</v>
      </c>
      <c r="Y13" s="78">
        <v>1</v>
      </c>
      <c r="Z13" s="76">
        <v>1</v>
      </c>
      <c r="AA13" s="76">
        <v>1</v>
      </c>
      <c r="AB13" s="76">
        <v>1</v>
      </c>
      <c r="AC13" s="76">
        <v>1</v>
      </c>
      <c r="AD13" s="76">
        <v>1</v>
      </c>
      <c r="AE13" s="77">
        <v>1</v>
      </c>
      <c r="AF13" s="78">
        <v>1</v>
      </c>
      <c r="AG13" s="76">
        <v>1</v>
      </c>
      <c r="AH13" s="76">
        <v>1</v>
      </c>
      <c r="AI13" s="76">
        <v>1</v>
      </c>
      <c r="AJ13" s="76">
        <v>0</v>
      </c>
      <c r="AK13" s="76">
        <v>0</v>
      </c>
      <c r="AL13" s="77">
        <v>0</v>
      </c>
      <c r="AM13" s="78">
        <v>0</v>
      </c>
      <c r="AN13" s="76">
        <v>0</v>
      </c>
      <c r="AO13" s="76">
        <v>0</v>
      </c>
      <c r="AP13" s="76">
        <v>0</v>
      </c>
      <c r="AQ13" s="79">
        <v>0</v>
      </c>
      <c r="OV13" s="42" t="s">
        <v>33</v>
      </c>
    </row>
    <row r="14" ht="8" customHeight="1" spans="1:43" x14ac:dyDescent="0.25">
      <c r="A14" s="80"/>
      <c r="B14" s="81"/>
      <c r="C14" s="80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</row>
    <row r="15" spans="1:412" x14ac:dyDescent="0.25">
      <c r="A15" s="82" t="s">
        <v>41</v>
      </c>
      <c r="B15" s="32">
        <f>G15+H15+I15</f>
      </c>
      <c r="C15" s="33" t="s">
        <v>31</v>
      </c>
      <c r="D15" s="34">
        <f>K15</f>
      </c>
      <c r="E15" s="35"/>
      <c r="F15" s="35" t="s">
        <v>32</v>
      </c>
      <c r="G15" s="32">
        <f>B18</f>
      </c>
      <c r="H15" s="32">
        <f>B19</f>
      </c>
      <c r="I15" s="32">
        <f>B20</f>
      </c>
      <c r="J15" s="32">
        <f>B21</f>
      </c>
      <c r="K15" s="36">
        <f>D18+D19+D20</f>
      </c>
      <c r="L15" s="37"/>
      <c r="M15" s="38"/>
      <c r="N15" s="38"/>
      <c r="O15" s="38"/>
      <c r="P15" s="38"/>
      <c r="Q15" s="39"/>
      <c r="R15" s="40"/>
      <c r="S15" s="38"/>
      <c r="T15" s="38"/>
      <c r="U15" s="38"/>
      <c r="V15" s="38"/>
      <c r="W15" s="38"/>
      <c r="X15" s="39"/>
      <c r="Y15" s="40"/>
      <c r="Z15" s="38"/>
      <c r="AA15" s="38"/>
      <c r="AB15" s="38"/>
      <c r="AC15" s="38"/>
      <c r="AD15" s="38"/>
      <c r="AE15" s="39"/>
      <c r="AF15" s="40"/>
      <c r="AG15" s="38"/>
      <c r="AH15" s="38"/>
      <c r="AI15" s="38"/>
      <c r="AJ15" s="38"/>
      <c r="AK15" s="38"/>
      <c r="AL15" s="39"/>
      <c r="AM15" s="40"/>
      <c r="AN15" s="38"/>
      <c r="AO15" s="38"/>
      <c r="AP15" s="38"/>
      <c r="AQ15" s="41"/>
      <c r="OV15" s="42" t="s">
        <v>42</v>
      </c>
    </row>
    <row r="16" spans="1:412" x14ac:dyDescent="0.25">
      <c r="A16" s="43"/>
      <c r="B16" s="44"/>
      <c r="C16" s="45"/>
      <c r="D16" s="44"/>
      <c r="E16" s="44"/>
      <c r="F16" s="44" t="s">
        <v>34</v>
      </c>
      <c r="G16" s="44"/>
      <c r="H16" s="44"/>
      <c r="I16" s="44"/>
      <c r="J16" s="44"/>
      <c r="K16" s="46"/>
      <c r="L16" s="47">
        <v>1</v>
      </c>
      <c r="M16" s="48">
        <v>1</v>
      </c>
      <c r="N16" s="48">
        <v>1</v>
      </c>
      <c r="O16" s="48">
        <v>1</v>
      </c>
      <c r="P16" s="48">
        <v>1</v>
      </c>
      <c r="Q16" s="49">
        <v>0</v>
      </c>
      <c r="R16" s="50">
        <v>0</v>
      </c>
      <c r="S16" s="48">
        <v>1</v>
      </c>
      <c r="T16" s="48">
        <v>1</v>
      </c>
      <c r="U16" s="48">
        <v>1</v>
      </c>
      <c r="V16" s="48">
        <v>1</v>
      </c>
      <c r="W16" s="48">
        <v>1</v>
      </c>
      <c r="X16" s="49">
        <v>1</v>
      </c>
      <c r="Y16" s="50">
        <v>1</v>
      </c>
      <c r="Z16" s="48">
        <v>1</v>
      </c>
      <c r="AA16" s="48">
        <v>1</v>
      </c>
      <c r="AB16" s="48">
        <v>1</v>
      </c>
      <c r="AC16" s="48">
        <v>1</v>
      </c>
      <c r="AD16" s="48">
        <v>1</v>
      </c>
      <c r="AE16" s="49">
        <v>1</v>
      </c>
      <c r="AF16" s="50">
        <v>1</v>
      </c>
      <c r="AG16" s="48">
        <v>1</v>
      </c>
      <c r="AH16" s="48">
        <v>1</v>
      </c>
      <c r="AI16" s="48">
        <v>1</v>
      </c>
      <c r="AJ16" s="48">
        <v>0</v>
      </c>
      <c r="AK16" s="48">
        <v>0</v>
      </c>
      <c r="AL16" s="49">
        <v>0</v>
      </c>
      <c r="AM16" s="50">
        <v>0</v>
      </c>
      <c r="AN16" s="48">
        <v>0</v>
      </c>
      <c r="AO16" s="48">
        <v>0</v>
      </c>
      <c r="AP16" s="48">
        <v>0</v>
      </c>
      <c r="AQ16" s="51">
        <v>0</v>
      </c>
      <c r="OV16" s="42" t="s">
        <v>42</v>
      </c>
    </row>
    <row r="17" ht="28" customHeight="1" spans="1:412" x14ac:dyDescent="0.25">
      <c r="A17" s="43" t="s">
        <v>35</v>
      </c>
      <c r="B17" s="44"/>
      <c r="C17" s="45"/>
      <c r="D17" s="44"/>
      <c r="E17" s="44"/>
      <c r="F17" s="44" t="s">
        <v>36</v>
      </c>
      <c r="G17" s="44"/>
      <c r="H17" s="44"/>
      <c r="I17" s="44"/>
      <c r="J17" s="44"/>
      <c r="K17" s="46"/>
      <c r="L17" s="52">
        <v>8</v>
      </c>
      <c r="M17" s="53">
        <v>8</v>
      </c>
      <c r="N17" s="53">
        <v>8</v>
      </c>
      <c r="O17" s="53">
        <v>8</v>
      </c>
      <c r="P17" s="53">
        <v>8</v>
      </c>
      <c r="Q17" s="54">
        <v>0</v>
      </c>
      <c r="R17" s="55">
        <v>0</v>
      </c>
      <c r="S17" s="53">
        <v>8</v>
      </c>
      <c r="T17" s="53">
        <v>8</v>
      </c>
      <c r="U17" s="53">
        <v>8</v>
      </c>
      <c r="V17" s="53">
        <v>12</v>
      </c>
      <c r="W17" s="53">
        <v>12</v>
      </c>
      <c r="X17" s="54">
        <v>12</v>
      </c>
      <c r="Y17" s="55">
        <v>12</v>
      </c>
      <c r="Z17" s="53">
        <v>12</v>
      </c>
      <c r="AA17" s="53">
        <v>12</v>
      </c>
      <c r="AB17" s="53">
        <v>12</v>
      </c>
      <c r="AC17" s="53">
        <v>12</v>
      </c>
      <c r="AD17" s="53">
        <v>12</v>
      </c>
      <c r="AE17" s="54">
        <v>12</v>
      </c>
      <c r="AF17" s="55">
        <v>12</v>
      </c>
      <c r="AG17" s="53">
        <v>12</v>
      </c>
      <c r="AH17" s="53">
        <v>12</v>
      </c>
      <c r="AI17" s="53">
        <v>12</v>
      </c>
      <c r="AJ17" s="53">
        <v>0</v>
      </c>
      <c r="AK17" s="53">
        <v>0</v>
      </c>
      <c r="AL17" s="54">
        <v>0</v>
      </c>
      <c r="AM17" s="55">
        <v>0</v>
      </c>
      <c r="AN17" s="53">
        <v>0</v>
      </c>
      <c r="AO17" s="53">
        <v>0</v>
      </c>
      <c r="AP17" s="53">
        <v>0</v>
      </c>
      <c r="AQ17" s="56">
        <v>0</v>
      </c>
      <c r="OV17" s="42" t="s">
        <v>42</v>
      </c>
    </row>
    <row r="18" spans="1:412" x14ac:dyDescent="0.25">
      <c r="A18" s="57"/>
      <c r="B18" s="58">
        <f>SUM(L18:AQ18)</f>
      </c>
      <c r="C18" s="59"/>
      <c r="D18" s="60">
        <f>B18*E18</f>
      </c>
      <c r="E18" s="60">
        <f>'Rate Tables'!C7</f>
      </c>
      <c r="F18" s="61" t="s">
        <v>37</v>
      </c>
      <c r="G18" s="14"/>
      <c r="H18" s="14"/>
      <c r="I18" s="14"/>
      <c r="J18" s="14"/>
      <c r="K18" s="62"/>
      <c r="L18" s="63">
        <f>IF(L$6="","",IF(WEEKDAY(L$6,1)=1,0,MIN(8,L17)*L16))</f>
      </c>
      <c r="M18" s="64">
        <f>IF(M$6="","",IF(WEEKDAY(M$6,1)=1,0,MIN(8,M17)*M16))</f>
      </c>
      <c r="N18" s="64">
        <f>IF(N$6="","",IF(WEEKDAY(N$6,1)=1,0,MIN(8,N17)*N16))</f>
      </c>
      <c r="O18" s="64">
        <f>IF(O$6="","",IF(WEEKDAY(O$6,1)=1,0,MIN(8,O17)*O16))</f>
      </c>
      <c r="P18" s="64">
        <f>IF(P$6="","",IF(WEEKDAY(P$6,1)=1,0,MIN(8,P17)*P16))</f>
      </c>
      <c r="Q18" s="65">
        <f>IF(Q$6="","",IF(WEEKDAY(Q$6,1)=1,0,MIN(8,Q17)*Q16))</f>
      </c>
      <c r="R18" s="66">
        <f>IF(R$6="","",IF(WEEKDAY(R$6,1)=1,0,MIN(8,R17)*R16))</f>
      </c>
      <c r="S18" s="64">
        <f>IF(S$6="","",IF(WEEKDAY(S$6,1)=1,0,MIN(8,S17)*S16))</f>
      </c>
      <c r="T18" s="64">
        <f>IF(T$6="","",IF(WEEKDAY(T$6,1)=1,0,MIN(8,T17)*T16))</f>
      </c>
      <c r="U18" s="64">
        <f>IF(U$6="","",IF(WEEKDAY(U$6,1)=1,0,MIN(8,U17)*U16))</f>
      </c>
      <c r="V18" s="64">
        <f>IF(V$6="","",IF(WEEKDAY(V$6,1)=1,0,MIN(8,V17)*V16))</f>
      </c>
      <c r="W18" s="64">
        <f>IF(W$6="","",IF(WEEKDAY(W$6,1)=1,0,MIN(8,W17)*W16))</f>
      </c>
      <c r="X18" s="65">
        <f>IF(X$6="","",IF(WEEKDAY(X$6,1)=1,0,MIN(8,X17)*X16))</f>
      </c>
      <c r="Y18" s="66">
        <f>IF(Y$6="","",IF(WEEKDAY(Y$6,1)=1,0,MIN(8,Y17)*Y16))</f>
      </c>
      <c r="Z18" s="64">
        <f>IF(Z$6="","",IF(WEEKDAY(Z$6,1)=1,0,MIN(8,Z17)*Z16))</f>
      </c>
      <c r="AA18" s="64">
        <f>IF(AA$6="","",IF(WEEKDAY(AA$6,1)=1,0,MIN(8,AA17)*AA16))</f>
      </c>
      <c r="AB18" s="64">
        <f>IF(AB$6="","",IF(WEEKDAY(AB$6,1)=1,0,MIN(8,AB17)*AB16))</f>
      </c>
      <c r="AC18" s="64">
        <f>IF(AC$6="","",IF(WEEKDAY(AC$6,1)=1,0,MIN(8,AC17)*AC16))</f>
      </c>
      <c r="AD18" s="64">
        <f>IF(AD$6="","",IF(WEEKDAY(AD$6,1)=1,0,MIN(8,AD17)*AD16))</f>
      </c>
      <c r="AE18" s="65">
        <f>IF(AE$6="","",IF(WEEKDAY(AE$6,1)=1,0,MIN(8,AE17)*AE16))</f>
      </c>
      <c r="AF18" s="66">
        <f>IF(AF$6="","",IF(WEEKDAY(AF$6,1)=1,0,MIN(8,AF17)*AF16))</f>
      </c>
      <c r="AG18" s="64">
        <f>IF(AG$6="","",IF(WEEKDAY(AG$6,1)=1,0,MIN(8,AG17)*AG16))</f>
      </c>
      <c r="AH18" s="64">
        <f>IF(AH$6="","",IF(WEEKDAY(AH$6,1)=1,0,MIN(8,AH17)*AH16))</f>
      </c>
      <c r="AI18" s="64">
        <f>IF(AI$6="","",IF(WEEKDAY(AI$6,1)=1,0,MIN(8,AI17)*AI16))</f>
      </c>
      <c r="AJ18" s="64">
        <f>IF(AJ$6="","",IF(WEEKDAY(AJ$6,1)=1,0,MIN(8,AJ17)*AJ16))</f>
      </c>
      <c r="AK18" s="64">
        <f>IF(AK$6="","",IF(WEEKDAY(AK$6,1)=1,0,MIN(8,AK17)*AK16))</f>
      </c>
      <c r="AL18" s="65">
        <f>IF(AL$6="","",IF(WEEKDAY(AL$6,1)=1,0,MIN(8,AL17)*AL16))</f>
      </c>
      <c r="AM18" s="66">
        <f>IF(AM$6="","",IF(WEEKDAY(AM$6,1)=1,0,MIN(8,AM17)*AM16))</f>
      </c>
      <c r="AN18" s="64">
        <f>IF(AN$6="","",IF(WEEKDAY(AN$6,1)=1,0,MIN(8,AN17)*AN16))</f>
      </c>
      <c r="AO18" s="64">
        <f>IF(AO$6="","",IF(WEEKDAY(AO$6,1)=1,0,MIN(8,AO17)*AO16))</f>
      </c>
      <c r="AP18" s="64">
        <f>IF(AP$6="","",IF(WEEKDAY(AP$6,1)=1,0,MIN(8,AP17)*AP16))</f>
      </c>
      <c r="AQ18" s="67">
        <f>IF(AQ$6="","",IF(WEEKDAY(AQ$6,1)=1,0,MIN(8,AQ17)*AQ16))</f>
      </c>
      <c r="OV18" s="42" t="s">
        <v>42</v>
      </c>
    </row>
    <row r="19" spans="1:412" x14ac:dyDescent="0.25">
      <c r="A19" s="57"/>
      <c r="B19" s="58">
        <f>SUM(L19:AQ19)</f>
      </c>
      <c r="C19" s="59"/>
      <c r="D19" s="60">
        <f>B19*E19</f>
      </c>
      <c r="E19" s="60">
        <f>'Rate Tables'!D7</f>
      </c>
      <c r="F19" s="61" t="s">
        <v>38</v>
      </c>
      <c r="G19" s="14"/>
      <c r="H19" s="14"/>
      <c r="I19" s="14"/>
      <c r="J19" s="14"/>
      <c r="K19" s="62"/>
      <c r="L19" s="63">
        <f>IF(L$6="","",IF(WEEKDAY(L$6,1)=1,0,MAX(0,L17-8)*L16))</f>
      </c>
      <c r="M19" s="64">
        <f>IF(M$6="","",IF(WEEKDAY(M$6,1)=1,0,MAX(0,M17-8)*M16))</f>
      </c>
      <c r="N19" s="64">
        <f>IF(N$6="","",IF(WEEKDAY(N$6,1)=1,0,MAX(0,N17-8)*N16))</f>
      </c>
      <c r="O19" s="64">
        <f>IF(O$6="","",IF(WEEKDAY(O$6,1)=1,0,MAX(0,O17-8)*O16))</f>
      </c>
      <c r="P19" s="64">
        <f>IF(P$6="","",IF(WEEKDAY(P$6,1)=1,0,MAX(0,P17-8)*P16))</f>
      </c>
      <c r="Q19" s="65">
        <f>IF(Q$6="","",IF(WEEKDAY(Q$6,1)=1,0,MAX(0,Q17-8)*Q16))</f>
      </c>
      <c r="R19" s="66">
        <f>IF(R$6="","",IF(WEEKDAY(R$6,1)=1,0,MAX(0,R17-8)*R16))</f>
      </c>
      <c r="S19" s="64">
        <f>IF(S$6="","",IF(WEEKDAY(S$6,1)=1,0,MAX(0,S17-8)*S16))</f>
      </c>
      <c r="T19" s="64">
        <f>IF(T$6="","",IF(WEEKDAY(T$6,1)=1,0,MAX(0,T17-8)*T16))</f>
      </c>
      <c r="U19" s="64">
        <f>IF(U$6="","",IF(WEEKDAY(U$6,1)=1,0,MAX(0,U17-8)*U16))</f>
      </c>
      <c r="V19" s="64">
        <f>IF(V$6="","",IF(WEEKDAY(V$6,1)=1,0,MAX(0,V17-8)*V16))</f>
      </c>
      <c r="W19" s="64">
        <f>IF(W$6="","",IF(WEEKDAY(W$6,1)=1,0,MAX(0,W17-8)*W16))</f>
      </c>
      <c r="X19" s="65">
        <f>IF(X$6="","",IF(WEEKDAY(X$6,1)=1,0,MAX(0,X17-8)*X16))</f>
      </c>
      <c r="Y19" s="66">
        <f>IF(Y$6="","",IF(WEEKDAY(Y$6,1)=1,0,MAX(0,Y17-8)*Y16))</f>
      </c>
      <c r="Z19" s="64">
        <f>IF(Z$6="","",IF(WEEKDAY(Z$6,1)=1,0,MAX(0,Z17-8)*Z16))</f>
      </c>
      <c r="AA19" s="64">
        <f>IF(AA$6="","",IF(WEEKDAY(AA$6,1)=1,0,MAX(0,AA17-8)*AA16))</f>
      </c>
      <c r="AB19" s="64">
        <f>IF(AB$6="","",IF(WEEKDAY(AB$6,1)=1,0,MAX(0,AB17-8)*AB16))</f>
      </c>
      <c r="AC19" s="64">
        <f>IF(AC$6="","",IF(WEEKDAY(AC$6,1)=1,0,MAX(0,AC17-8)*AC16))</f>
      </c>
      <c r="AD19" s="64">
        <f>IF(AD$6="","",IF(WEEKDAY(AD$6,1)=1,0,MAX(0,AD17-8)*AD16))</f>
      </c>
      <c r="AE19" s="65">
        <f>IF(AE$6="","",IF(WEEKDAY(AE$6,1)=1,0,MAX(0,AE17-8)*AE16))</f>
      </c>
      <c r="AF19" s="66">
        <f>IF(AF$6="","",IF(WEEKDAY(AF$6,1)=1,0,MAX(0,AF17-8)*AF16))</f>
      </c>
      <c r="AG19" s="64">
        <f>IF(AG$6="","",IF(WEEKDAY(AG$6,1)=1,0,MAX(0,AG17-8)*AG16))</f>
      </c>
      <c r="AH19" s="64">
        <f>IF(AH$6="","",IF(WEEKDAY(AH$6,1)=1,0,MAX(0,AH17-8)*AH16))</f>
      </c>
      <c r="AI19" s="64">
        <f>IF(AI$6="","",IF(WEEKDAY(AI$6,1)=1,0,MAX(0,AI17-8)*AI16))</f>
      </c>
      <c r="AJ19" s="64">
        <f>IF(AJ$6="","",IF(WEEKDAY(AJ$6,1)=1,0,MAX(0,AJ17-8)*AJ16))</f>
      </c>
      <c r="AK19" s="64">
        <f>IF(AK$6="","",IF(WEEKDAY(AK$6,1)=1,0,MAX(0,AK17-8)*AK16))</f>
      </c>
      <c r="AL19" s="65">
        <f>IF(AL$6="","",IF(WEEKDAY(AL$6,1)=1,0,MAX(0,AL17-8)*AL16))</f>
      </c>
      <c r="AM19" s="66">
        <f>IF(AM$6="","",IF(WEEKDAY(AM$6,1)=1,0,MAX(0,AM17-8)*AM16))</f>
      </c>
      <c r="AN19" s="64">
        <f>IF(AN$6="","",IF(WEEKDAY(AN$6,1)=1,0,MAX(0,AN17-8)*AN16))</f>
      </c>
      <c r="AO19" s="64">
        <f>IF(AO$6="","",IF(WEEKDAY(AO$6,1)=1,0,MAX(0,AO17-8)*AO16))</f>
      </c>
      <c r="AP19" s="64">
        <f>IF(AP$6="","",IF(WEEKDAY(AP$6,1)=1,0,MAX(0,AP17-8)*AP16))</f>
      </c>
      <c r="AQ19" s="67">
        <f>IF(AQ$6="","",IF(WEEKDAY(AQ$6,1)=1,0,MAX(0,AQ17-8)*AQ16))</f>
      </c>
      <c r="OV19" s="42" t="s">
        <v>42</v>
      </c>
    </row>
    <row r="20" spans="1:412" x14ac:dyDescent="0.25">
      <c r="A20" s="57"/>
      <c r="B20" s="58">
        <f>SUM(L20:AQ20)</f>
      </c>
      <c r="C20" s="59"/>
      <c r="D20" s="60">
        <f>B20*E20</f>
      </c>
      <c r="E20" s="60">
        <f>'Rate Tables'!E7</f>
      </c>
      <c r="F20" s="61" t="s">
        <v>39</v>
      </c>
      <c r="G20" s="14"/>
      <c r="H20" s="14"/>
      <c r="I20" s="14"/>
      <c r="J20" s="14"/>
      <c r="K20" s="62"/>
      <c r="L20" s="63">
        <f>IF(L$6="","",IF(WEEKDAY(L$6,1)=1,L17*L16,0))</f>
      </c>
      <c r="M20" s="64">
        <f>IF(M$6="","",IF(WEEKDAY(M$6,1)=1,M17*M16,0))</f>
      </c>
      <c r="N20" s="64">
        <f>IF(N$6="","",IF(WEEKDAY(N$6,1)=1,N17*N16,0))</f>
      </c>
      <c r="O20" s="64">
        <f>IF(O$6="","",IF(WEEKDAY(O$6,1)=1,O17*O16,0))</f>
      </c>
      <c r="P20" s="64">
        <f>IF(P$6="","",IF(WEEKDAY(P$6,1)=1,P17*P16,0))</f>
      </c>
      <c r="Q20" s="65">
        <f>IF(Q$6="","",IF(WEEKDAY(Q$6,1)=1,Q17*Q16,0))</f>
      </c>
      <c r="R20" s="66">
        <f>IF(R$6="","",IF(WEEKDAY(R$6,1)=1,R17*R16,0))</f>
      </c>
      <c r="S20" s="64">
        <f>IF(S$6="","",IF(WEEKDAY(S$6,1)=1,S17*S16,0))</f>
      </c>
      <c r="T20" s="64">
        <f>IF(T$6="","",IF(WEEKDAY(T$6,1)=1,T17*T16,0))</f>
      </c>
      <c r="U20" s="64">
        <f>IF(U$6="","",IF(WEEKDAY(U$6,1)=1,U17*U16,0))</f>
      </c>
      <c r="V20" s="64">
        <f>IF(V$6="","",IF(WEEKDAY(V$6,1)=1,V17*V16,0))</f>
      </c>
      <c r="W20" s="64">
        <f>IF(W$6="","",IF(WEEKDAY(W$6,1)=1,W17*W16,0))</f>
      </c>
      <c r="X20" s="65">
        <f>IF(X$6="","",IF(WEEKDAY(X$6,1)=1,X17*X16,0))</f>
      </c>
      <c r="Y20" s="66">
        <f>IF(Y$6="","",IF(WEEKDAY(Y$6,1)=1,Y17*Y16,0))</f>
      </c>
      <c r="Z20" s="64">
        <f>IF(Z$6="","",IF(WEEKDAY(Z$6,1)=1,Z17*Z16,0))</f>
      </c>
      <c r="AA20" s="64">
        <f>IF(AA$6="","",IF(WEEKDAY(AA$6,1)=1,AA17*AA16,0))</f>
      </c>
      <c r="AB20" s="64">
        <f>IF(AB$6="","",IF(WEEKDAY(AB$6,1)=1,AB17*AB16,0))</f>
      </c>
      <c r="AC20" s="64">
        <f>IF(AC$6="","",IF(WEEKDAY(AC$6,1)=1,AC17*AC16,0))</f>
      </c>
      <c r="AD20" s="64">
        <f>IF(AD$6="","",IF(WEEKDAY(AD$6,1)=1,AD17*AD16,0))</f>
      </c>
      <c r="AE20" s="65">
        <f>IF(AE$6="","",IF(WEEKDAY(AE$6,1)=1,AE17*AE16,0))</f>
      </c>
      <c r="AF20" s="66">
        <f>IF(AF$6="","",IF(WEEKDAY(AF$6,1)=1,AF17*AF16,0))</f>
      </c>
      <c r="AG20" s="64">
        <f>IF(AG$6="","",IF(WEEKDAY(AG$6,1)=1,AG17*AG16,0))</f>
      </c>
      <c r="AH20" s="64">
        <f>IF(AH$6="","",IF(WEEKDAY(AH$6,1)=1,AH17*AH16,0))</f>
      </c>
      <c r="AI20" s="64">
        <f>IF(AI$6="","",IF(WEEKDAY(AI$6,1)=1,AI17*AI16,0))</f>
      </c>
      <c r="AJ20" s="64">
        <f>IF(AJ$6="","",IF(WEEKDAY(AJ$6,1)=1,AJ17*AJ16,0))</f>
      </c>
      <c r="AK20" s="64">
        <f>IF(AK$6="","",IF(WEEKDAY(AK$6,1)=1,AK17*AK16,0))</f>
      </c>
      <c r="AL20" s="65">
        <f>IF(AL$6="","",IF(WEEKDAY(AL$6,1)=1,AL17*AL16,0))</f>
      </c>
      <c r="AM20" s="66">
        <f>IF(AM$6="","",IF(WEEKDAY(AM$6,1)=1,AM17*AM16,0))</f>
      </c>
      <c r="AN20" s="64">
        <f>IF(AN$6="","",IF(WEEKDAY(AN$6,1)=1,AN17*AN16,0))</f>
      </c>
      <c r="AO20" s="64">
        <f>IF(AO$6="","",IF(WEEKDAY(AO$6,1)=1,AO17*AO16,0))</f>
      </c>
      <c r="AP20" s="64">
        <f>IF(AP$6="","",IF(WEEKDAY(AP$6,1)=1,AP17*AP16,0))</f>
      </c>
      <c r="AQ20" s="67">
        <f>IF(AQ$6="","",IF(WEEKDAY(AQ$6,1)=1,AQ17*AQ16,0))</f>
      </c>
      <c r="OV20" s="42" t="s">
        <v>42</v>
      </c>
    </row>
    <row r="21" spans="1:412" x14ac:dyDescent="0.25">
      <c r="A21" s="68"/>
      <c r="B21" s="69">
        <f>SUM(L21:AQ21)</f>
      </c>
      <c r="C21" s="70"/>
      <c r="D21" s="71">
        <f>B21*E21</f>
      </c>
      <c r="E21" s="71">
        <v>140</v>
      </c>
      <c r="F21" s="72" t="s">
        <v>40</v>
      </c>
      <c r="G21" s="73"/>
      <c r="H21" s="73"/>
      <c r="I21" s="73"/>
      <c r="J21" s="73"/>
      <c r="K21" s="74"/>
      <c r="L21" s="75">
        <v>1</v>
      </c>
      <c r="M21" s="76">
        <v>1</v>
      </c>
      <c r="N21" s="76">
        <v>1</v>
      </c>
      <c r="O21" s="76">
        <v>1</v>
      </c>
      <c r="P21" s="76">
        <v>1</v>
      </c>
      <c r="Q21" s="77">
        <v>0</v>
      </c>
      <c r="R21" s="78">
        <v>0</v>
      </c>
      <c r="S21" s="76">
        <v>1</v>
      </c>
      <c r="T21" s="76">
        <v>1</v>
      </c>
      <c r="U21" s="76">
        <v>1</v>
      </c>
      <c r="V21" s="76">
        <v>1</v>
      </c>
      <c r="W21" s="76">
        <v>1</v>
      </c>
      <c r="X21" s="77">
        <v>1</v>
      </c>
      <c r="Y21" s="78">
        <v>1</v>
      </c>
      <c r="Z21" s="76">
        <v>1</v>
      </c>
      <c r="AA21" s="76">
        <v>1</v>
      </c>
      <c r="AB21" s="76">
        <v>1</v>
      </c>
      <c r="AC21" s="76">
        <v>1</v>
      </c>
      <c r="AD21" s="76">
        <v>1</v>
      </c>
      <c r="AE21" s="77">
        <v>1</v>
      </c>
      <c r="AF21" s="78">
        <v>1</v>
      </c>
      <c r="AG21" s="76">
        <v>1</v>
      </c>
      <c r="AH21" s="76">
        <v>1</v>
      </c>
      <c r="AI21" s="76">
        <v>1</v>
      </c>
      <c r="AJ21" s="76">
        <v>0</v>
      </c>
      <c r="AK21" s="76">
        <v>0</v>
      </c>
      <c r="AL21" s="77">
        <v>0</v>
      </c>
      <c r="AM21" s="78">
        <v>0</v>
      </c>
      <c r="AN21" s="76">
        <v>0</v>
      </c>
      <c r="AO21" s="76">
        <v>0</v>
      </c>
      <c r="AP21" s="76">
        <v>0</v>
      </c>
      <c r="AQ21" s="79">
        <v>0</v>
      </c>
      <c r="OV21" s="42" t="s">
        <v>42</v>
      </c>
    </row>
    <row r="22" ht="8" customHeight="1" spans="1:43" x14ac:dyDescent="0.25">
      <c r="A22" s="80"/>
      <c r="B22" s="81"/>
      <c r="C22" s="80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</row>
    <row r="23" spans="1:412" x14ac:dyDescent="0.25">
      <c r="A23" s="31" t="s">
        <v>30</v>
      </c>
      <c r="B23" s="32">
        <f>G23+H23+I23</f>
      </c>
      <c r="C23" s="33" t="s">
        <v>43</v>
      </c>
      <c r="D23" s="34">
        <f>K23</f>
      </c>
      <c r="E23" s="35"/>
      <c r="F23" s="35" t="s">
        <v>32</v>
      </c>
      <c r="G23" s="32">
        <f>B26</f>
      </c>
      <c r="H23" s="32">
        <f>B27</f>
      </c>
      <c r="I23" s="32">
        <f>B28</f>
      </c>
      <c r="J23" s="32">
        <f>B29</f>
      </c>
      <c r="K23" s="36">
        <f>D26+D27+D28</f>
      </c>
      <c r="L23" s="37"/>
      <c r="M23" s="38"/>
      <c r="N23" s="38"/>
      <c r="O23" s="38"/>
      <c r="P23" s="38"/>
      <c r="Q23" s="39"/>
      <c r="R23" s="40"/>
      <c r="S23" s="38"/>
      <c r="T23" s="38"/>
      <c r="U23" s="38"/>
      <c r="V23" s="38"/>
      <c r="W23" s="38"/>
      <c r="X23" s="39"/>
      <c r="Y23" s="40"/>
      <c r="Z23" s="38"/>
      <c r="AA23" s="38"/>
      <c r="AB23" s="38"/>
      <c r="AC23" s="38"/>
      <c r="AD23" s="38"/>
      <c r="AE23" s="39"/>
      <c r="AF23" s="40"/>
      <c r="AG23" s="38"/>
      <c r="AH23" s="38"/>
      <c r="AI23" s="38"/>
      <c r="AJ23" s="38"/>
      <c r="AK23" s="38"/>
      <c r="AL23" s="39"/>
      <c r="AM23" s="40"/>
      <c r="AN23" s="38"/>
      <c r="AO23" s="38"/>
      <c r="AP23" s="38"/>
      <c r="AQ23" s="41"/>
      <c r="OV23" s="42" t="s">
        <v>44</v>
      </c>
    </row>
    <row r="24" spans="1:412" x14ac:dyDescent="0.25">
      <c r="A24" s="43"/>
      <c r="B24" s="44"/>
      <c r="C24" s="45"/>
      <c r="D24" s="44"/>
      <c r="E24" s="44"/>
      <c r="F24" s="44" t="s">
        <v>34</v>
      </c>
      <c r="G24" s="44"/>
      <c r="H24" s="44"/>
      <c r="I24" s="44"/>
      <c r="J24" s="44"/>
      <c r="K24" s="46"/>
      <c r="L24" s="47">
        <v>1</v>
      </c>
      <c r="M24" s="48">
        <v>1</v>
      </c>
      <c r="N24" s="48">
        <v>1</v>
      </c>
      <c r="O24" s="48">
        <v>1</v>
      </c>
      <c r="P24" s="48">
        <v>1</v>
      </c>
      <c r="Q24" s="49">
        <v>0</v>
      </c>
      <c r="R24" s="50">
        <v>0</v>
      </c>
      <c r="S24" s="48">
        <v>1</v>
      </c>
      <c r="T24" s="48">
        <v>1</v>
      </c>
      <c r="U24" s="48">
        <v>1</v>
      </c>
      <c r="V24" s="48">
        <v>1</v>
      </c>
      <c r="W24" s="48">
        <v>1</v>
      </c>
      <c r="X24" s="49">
        <v>1</v>
      </c>
      <c r="Y24" s="50">
        <v>1</v>
      </c>
      <c r="Z24" s="48">
        <v>1</v>
      </c>
      <c r="AA24" s="48">
        <v>1</v>
      </c>
      <c r="AB24" s="48">
        <v>1</v>
      </c>
      <c r="AC24" s="48">
        <v>1</v>
      </c>
      <c r="AD24" s="48">
        <v>1</v>
      </c>
      <c r="AE24" s="49">
        <v>1</v>
      </c>
      <c r="AF24" s="50">
        <v>1</v>
      </c>
      <c r="AG24" s="48">
        <v>1</v>
      </c>
      <c r="AH24" s="48">
        <v>1</v>
      </c>
      <c r="AI24" s="48">
        <v>1</v>
      </c>
      <c r="AJ24" s="48">
        <v>1</v>
      </c>
      <c r="AK24" s="48">
        <v>1</v>
      </c>
      <c r="AL24" s="49">
        <v>0</v>
      </c>
      <c r="AM24" s="50">
        <v>0</v>
      </c>
      <c r="AN24" s="48">
        <v>1</v>
      </c>
      <c r="AO24" s="48">
        <v>1</v>
      </c>
      <c r="AP24" s="48">
        <v>1</v>
      </c>
      <c r="AQ24" s="51">
        <v>1</v>
      </c>
      <c r="OV24" s="42" t="s">
        <v>44</v>
      </c>
    </row>
    <row r="25" ht="28" customHeight="1" spans="1:412" x14ac:dyDescent="0.25">
      <c r="A25" s="43" t="s">
        <v>35</v>
      </c>
      <c r="B25" s="44"/>
      <c r="C25" s="45"/>
      <c r="D25" s="44"/>
      <c r="E25" s="44"/>
      <c r="F25" s="44" t="s">
        <v>36</v>
      </c>
      <c r="G25" s="44"/>
      <c r="H25" s="44"/>
      <c r="I25" s="44"/>
      <c r="J25" s="44"/>
      <c r="K25" s="46"/>
      <c r="L25" s="52">
        <v>8</v>
      </c>
      <c r="M25" s="53">
        <v>8</v>
      </c>
      <c r="N25" s="53">
        <v>8</v>
      </c>
      <c r="O25" s="53">
        <v>8</v>
      </c>
      <c r="P25" s="53">
        <v>8</v>
      </c>
      <c r="Q25" s="54">
        <v>0</v>
      </c>
      <c r="R25" s="55">
        <v>0</v>
      </c>
      <c r="S25" s="53">
        <v>8</v>
      </c>
      <c r="T25" s="53">
        <v>8</v>
      </c>
      <c r="U25" s="53">
        <v>8</v>
      </c>
      <c r="V25" s="53">
        <v>12</v>
      </c>
      <c r="W25" s="53">
        <v>12</v>
      </c>
      <c r="X25" s="54">
        <v>12</v>
      </c>
      <c r="Y25" s="55">
        <v>12</v>
      </c>
      <c r="Z25" s="53">
        <v>12</v>
      </c>
      <c r="AA25" s="53">
        <v>12</v>
      </c>
      <c r="AB25" s="53">
        <v>12</v>
      </c>
      <c r="AC25" s="53">
        <v>12</v>
      </c>
      <c r="AD25" s="53">
        <v>12</v>
      </c>
      <c r="AE25" s="54">
        <v>12</v>
      </c>
      <c r="AF25" s="55">
        <v>12</v>
      </c>
      <c r="AG25" s="53">
        <v>12</v>
      </c>
      <c r="AH25" s="53">
        <v>12</v>
      </c>
      <c r="AI25" s="53">
        <v>12</v>
      </c>
      <c r="AJ25" s="53">
        <v>8</v>
      </c>
      <c r="AK25" s="53">
        <v>8</v>
      </c>
      <c r="AL25" s="54">
        <v>0</v>
      </c>
      <c r="AM25" s="55">
        <v>0</v>
      </c>
      <c r="AN25" s="53">
        <v>8</v>
      </c>
      <c r="AO25" s="53">
        <v>8</v>
      </c>
      <c r="AP25" s="53">
        <v>8</v>
      </c>
      <c r="AQ25" s="56">
        <v>8</v>
      </c>
      <c r="OV25" s="42" t="s">
        <v>44</v>
      </c>
    </row>
    <row r="26" spans="1:412" x14ac:dyDescent="0.25">
      <c r="A26" s="57"/>
      <c r="B26" s="58">
        <f>SUM(L26:AQ26)</f>
      </c>
      <c r="C26" s="59"/>
      <c r="D26" s="60">
        <f>B26*E26</f>
      </c>
      <c r="E26" s="60">
        <f>'Rate Tables'!C8</f>
      </c>
      <c r="F26" s="61" t="s">
        <v>37</v>
      </c>
      <c r="G26" s="14"/>
      <c r="H26" s="14"/>
      <c r="I26" s="14"/>
      <c r="J26" s="14"/>
      <c r="K26" s="62"/>
      <c r="L26" s="63">
        <f>IF(L$6="","",IF(WEEKDAY(L$6,1)=1,0,MIN(8,L25)*L24))</f>
      </c>
      <c r="M26" s="64">
        <f>IF(M$6="","",IF(WEEKDAY(M$6,1)=1,0,MIN(8,M25)*M24))</f>
      </c>
      <c r="N26" s="64">
        <f>IF(N$6="","",IF(WEEKDAY(N$6,1)=1,0,MIN(8,N25)*N24))</f>
      </c>
      <c r="O26" s="64">
        <f>IF(O$6="","",IF(WEEKDAY(O$6,1)=1,0,MIN(8,O25)*O24))</f>
      </c>
      <c r="P26" s="64">
        <f>IF(P$6="","",IF(WEEKDAY(P$6,1)=1,0,MIN(8,P25)*P24))</f>
      </c>
      <c r="Q26" s="65">
        <f>IF(Q$6="","",IF(WEEKDAY(Q$6,1)=1,0,MIN(8,Q25)*Q24))</f>
      </c>
      <c r="R26" s="66">
        <f>IF(R$6="","",IF(WEEKDAY(R$6,1)=1,0,MIN(8,R25)*R24))</f>
      </c>
      <c r="S26" s="64">
        <f>IF(S$6="","",IF(WEEKDAY(S$6,1)=1,0,MIN(8,S25)*S24))</f>
      </c>
      <c r="T26" s="64">
        <f>IF(T$6="","",IF(WEEKDAY(T$6,1)=1,0,MIN(8,T25)*T24))</f>
      </c>
      <c r="U26" s="64">
        <f>IF(U$6="","",IF(WEEKDAY(U$6,1)=1,0,MIN(8,U25)*U24))</f>
      </c>
      <c r="V26" s="64">
        <f>IF(V$6="","",IF(WEEKDAY(V$6,1)=1,0,MIN(8,V25)*V24))</f>
      </c>
      <c r="W26" s="64">
        <f>IF(W$6="","",IF(WEEKDAY(W$6,1)=1,0,MIN(8,W25)*W24))</f>
      </c>
      <c r="X26" s="65">
        <f>IF(X$6="","",IF(WEEKDAY(X$6,1)=1,0,MIN(8,X25)*X24))</f>
      </c>
      <c r="Y26" s="66">
        <f>IF(Y$6="","",IF(WEEKDAY(Y$6,1)=1,0,MIN(8,Y25)*Y24))</f>
      </c>
      <c r="Z26" s="64">
        <f>IF(Z$6="","",IF(WEEKDAY(Z$6,1)=1,0,MIN(8,Z25)*Z24))</f>
      </c>
      <c r="AA26" s="64">
        <f>IF(AA$6="","",IF(WEEKDAY(AA$6,1)=1,0,MIN(8,AA25)*AA24))</f>
      </c>
      <c r="AB26" s="64">
        <f>IF(AB$6="","",IF(WEEKDAY(AB$6,1)=1,0,MIN(8,AB25)*AB24))</f>
      </c>
      <c r="AC26" s="64">
        <f>IF(AC$6="","",IF(WEEKDAY(AC$6,1)=1,0,MIN(8,AC25)*AC24))</f>
      </c>
      <c r="AD26" s="64">
        <f>IF(AD$6="","",IF(WEEKDAY(AD$6,1)=1,0,MIN(8,AD25)*AD24))</f>
      </c>
      <c r="AE26" s="65">
        <f>IF(AE$6="","",IF(WEEKDAY(AE$6,1)=1,0,MIN(8,AE25)*AE24))</f>
      </c>
      <c r="AF26" s="66">
        <f>IF(AF$6="","",IF(WEEKDAY(AF$6,1)=1,0,MIN(8,AF25)*AF24))</f>
      </c>
      <c r="AG26" s="64">
        <f>IF(AG$6="","",IF(WEEKDAY(AG$6,1)=1,0,MIN(8,AG25)*AG24))</f>
      </c>
      <c r="AH26" s="64">
        <f>IF(AH$6="","",IF(WEEKDAY(AH$6,1)=1,0,MIN(8,AH25)*AH24))</f>
      </c>
      <c r="AI26" s="64">
        <f>IF(AI$6="","",IF(WEEKDAY(AI$6,1)=1,0,MIN(8,AI25)*AI24))</f>
      </c>
      <c r="AJ26" s="64">
        <f>IF(AJ$6="","",IF(WEEKDAY(AJ$6,1)=1,0,MIN(8,AJ25)*AJ24))</f>
      </c>
      <c r="AK26" s="64">
        <f>IF(AK$6="","",IF(WEEKDAY(AK$6,1)=1,0,MIN(8,AK25)*AK24))</f>
      </c>
      <c r="AL26" s="65">
        <f>IF(AL$6="","",IF(WEEKDAY(AL$6,1)=1,0,MIN(8,AL25)*AL24))</f>
      </c>
      <c r="AM26" s="66">
        <f>IF(AM$6="","",IF(WEEKDAY(AM$6,1)=1,0,MIN(8,AM25)*AM24))</f>
      </c>
      <c r="AN26" s="64">
        <f>IF(AN$6="","",IF(WEEKDAY(AN$6,1)=1,0,MIN(8,AN25)*AN24))</f>
      </c>
      <c r="AO26" s="64">
        <f>IF(AO$6="","",IF(WEEKDAY(AO$6,1)=1,0,MIN(8,AO25)*AO24))</f>
      </c>
      <c r="AP26" s="64">
        <f>IF(AP$6="","",IF(WEEKDAY(AP$6,1)=1,0,MIN(8,AP25)*AP24))</f>
      </c>
      <c r="AQ26" s="67">
        <f>IF(AQ$6="","",IF(WEEKDAY(AQ$6,1)=1,0,MIN(8,AQ25)*AQ24))</f>
      </c>
      <c r="OV26" s="42" t="s">
        <v>44</v>
      </c>
    </row>
    <row r="27" spans="1:412" x14ac:dyDescent="0.25">
      <c r="A27" s="57"/>
      <c r="B27" s="58">
        <f>SUM(L27:AQ27)</f>
      </c>
      <c r="C27" s="59"/>
      <c r="D27" s="60">
        <f>B27*E27</f>
      </c>
      <c r="E27" s="60">
        <f>'Rate Tables'!D8</f>
      </c>
      <c r="F27" s="61" t="s">
        <v>38</v>
      </c>
      <c r="G27" s="14"/>
      <c r="H27" s="14"/>
      <c r="I27" s="14"/>
      <c r="J27" s="14"/>
      <c r="K27" s="62"/>
      <c r="L27" s="63">
        <f>IF(L$6="","",IF(WEEKDAY(L$6,1)=1,0,MAX(0,L25-8)*L24))</f>
      </c>
      <c r="M27" s="64">
        <f>IF(M$6="","",IF(WEEKDAY(M$6,1)=1,0,MAX(0,M25-8)*M24))</f>
      </c>
      <c r="N27" s="64">
        <f>IF(N$6="","",IF(WEEKDAY(N$6,1)=1,0,MAX(0,N25-8)*N24))</f>
      </c>
      <c r="O27" s="64">
        <f>IF(O$6="","",IF(WEEKDAY(O$6,1)=1,0,MAX(0,O25-8)*O24))</f>
      </c>
      <c r="P27" s="64">
        <f>IF(P$6="","",IF(WEEKDAY(P$6,1)=1,0,MAX(0,P25-8)*P24))</f>
      </c>
      <c r="Q27" s="65">
        <f>IF(Q$6="","",IF(WEEKDAY(Q$6,1)=1,0,MAX(0,Q25-8)*Q24))</f>
      </c>
      <c r="R27" s="66">
        <f>IF(R$6="","",IF(WEEKDAY(R$6,1)=1,0,MAX(0,R25-8)*R24))</f>
      </c>
      <c r="S27" s="64">
        <f>IF(S$6="","",IF(WEEKDAY(S$6,1)=1,0,MAX(0,S25-8)*S24))</f>
      </c>
      <c r="T27" s="64">
        <f>IF(T$6="","",IF(WEEKDAY(T$6,1)=1,0,MAX(0,T25-8)*T24))</f>
      </c>
      <c r="U27" s="64">
        <f>IF(U$6="","",IF(WEEKDAY(U$6,1)=1,0,MAX(0,U25-8)*U24))</f>
      </c>
      <c r="V27" s="64">
        <f>IF(V$6="","",IF(WEEKDAY(V$6,1)=1,0,MAX(0,V25-8)*V24))</f>
      </c>
      <c r="W27" s="64">
        <f>IF(W$6="","",IF(WEEKDAY(W$6,1)=1,0,MAX(0,W25-8)*W24))</f>
      </c>
      <c r="X27" s="65">
        <f>IF(X$6="","",IF(WEEKDAY(X$6,1)=1,0,MAX(0,X25-8)*X24))</f>
      </c>
      <c r="Y27" s="66">
        <f>IF(Y$6="","",IF(WEEKDAY(Y$6,1)=1,0,MAX(0,Y25-8)*Y24))</f>
      </c>
      <c r="Z27" s="64">
        <f>IF(Z$6="","",IF(WEEKDAY(Z$6,1)=1,0,MAX(0,Z25-8)*Z24))</f>
      </c>
      <c r="AA27" s="64">
        <f>IF(AA$6="","",IF(WEEKDAY(AA$6,1)=1,0,MAX(0,AA25-8)*AA24))</f>
      </c>
      <c r="AB27" s="64">
        <f>IF(AB$6="","",IF(WEEKDAY(AB$6,1)=1,0,MAX(0,AB25-8)*AB24))</f>
      </c>
      <c r="AC27" s="64">
        <f>IF(AC$6="","",IF(WEEKDAY(AC$6,1)=1,0,MAX(0,AC25-8)*AC24))</f>
      </c>
      <c r="AD27" s="64">
        <f>IF(AD$6="","",IF(WEEKDAY(AD$6,1)=1,0,MAX(0,AD25-8)*AD24))</f>
      </c>
      <c r="AE27" s="65">
        <f>IF(AE$6="","",IF(WEEKDAY(AE$6,1)=1,0,MAX(0,AE25-8)*AE24))</f>
      </c>
      <c r="AF27" s="66">
        <f>IF(AF$6="","",IF(WEEKDAY(AF$6,1)=1,0,MAX(0,AF25-8)*AF24))</f>
      </c>
      <c r="AG27" s="64">
        <f>IF(AG$6="","",IF(WEEKDAY(AG$6,1)=1,0,MAX(0,AG25-8)*AG24))</f>
      </c>
      <c r="AH27" s="64">
        <f>IF(AH$6="","",IF(WEEKDAY(AH$6,1)=1,0,MAX(0,AH25-8)*AH24))</f>
      </c>
      <c r="AI27" s="64">
        <f>IF(AI$6="","",IF(WEEKDAY(AI$6,1)=1,0,MAX(0,AI25-8)*AI24))</f>
      </c>
      <c r="AJ27" s="64">
        <f>IF(AJ$6="","",IF(WEEKDAY(AJ$6,1)=1,0,MAX(0,AJ25-8)*AJ24))</f>
      </c>
      <c r="AK27" s="64">
        <f>IF(AK$6="","",IF(WEEKDAY(AK$6,1)=1,0,MAX(0,AK25-8)*AK24))</f>
      </c>
      <c r="AL27" s="65">
        <f>IF(AL$6="","",IF(WEEKDAY(AL$6,1)=1,0,MAX(0,AL25-8)*AL24))</f>
      </c>
      <c r="AM27" s="66">
        <f>IF(AM$6="","",IF(WEEKDAY(AM$6,1)=1,0,MAX(0,AM25-8)*AM24))</f>
      </c>
      <c r="AN27" s="64">
        <f>IF(AN$6="","",IF(WEEKDAY(AN$6,1)=1,0,MAX(0,AN25-8)*AN24))</f>
      </c>
      <c r="AO27" s="64">
        <f>IF(AO$6="","",IF(WEEKDAY(AO$6,1)=1,0,MAX(0,AO25-8)*AO24))</f>
      </c>
      <c r="AP27" s="64">
        <f>IF(AP$6="","",IF(WEEKDAY(AP$6,1)=1,0,MAX(0,AP25-8)*AP24))</f>
      </c>
      <c r="AQ27" s="67">
        <f>IF(AQ$6="","",IF(WEEKDAY(AQ$6,1)=1,0,MAX(0,AQ25-8)*AQ24))</f>
      </c>
      <c r="OV27" s="42" t="s">
        <v>44</v>
      </c>
    </row>
    <row r="28" spans="1:412" x14ac:dyDescent="0.25">
      <c r="A28" s="57"/>
      <c r="B28" s="58">
        <f>SUM(L28:AQ28)</f>
      </c>
      <c r="C28" s="59"/>
      <c r="D28" s="60">
        <f>B28*E28</f>
      </c>
      <c r="E28" s="60">
        <f>'Rate Tables'!E8</f>
      </c>
      <c r="F28" s="61" t="s">
        <v>39</v>
      </c>
      <c r="G28" s="14"/>
      <c r="H28" s="14"/>
      <c r="I28" s="14"/>
      <c r="J28" s="14"/>
      <c r="K28" s="62"/>
      <c r="L28" s="63">
        <f>IF(L$6="","",IF(WEEKDAY(L$6,1)=1,L25*L24,0))</f>
      </c>
      <c r="M28" s="64">
        <f>IF(M$6="","",IF(WEEKDAY(M$6,1)=1,M25*M24,0))</f>
      </c>
      <c r="N28" s="64">
        <f>IF(N$6="","",IF(WEEKDAY(N$6,1)=1,N25*N24,0))</f>
      </c>
      <c r="O28" s="64">
        <f>IF(O$6="","",IF(WEEKDAY(O$6,1)=1,O25*O24,0))</f>
      </c>
      <c r="P28" s="64">
        <f>IF(P$6="","",IF(WEEKDAY(P$6,1)=1,P25*P24,0))</f>
      </c>
      <c r="Q28" s="65">
        <f>IF(Q$6="","",IF(WEEKDAY(Q$6,1)=1,Q25*Q24,0))</f>
      </c>
      <c r="R28" s="66">
        <f>IF(R$6="","",IF(WEEKDAY(R$6,1)=1,R25*R24,0))</f>
      </c>
      <c r="S28" s="64">
        <f>IF(S$6="","",IF(WEEKDAY(S$6,1)=1,S25*S24,0))</f>
      </c>
      <c r="T28" s="64">
        <f>IF(T$6="","",IF(WEEKDAY(T$6,1)=1,T25*T24,0))</f>
      </c>
      <c r="U28" s="64">
        <f>IF(U$6="","",IF(WEEKDAY(U$6,1)=1,U25*U24,0))</f>
      </c>
      <c r="V28" s="64">
        <f>IF(V$6="","",IF(WEEKDAY(V$6,1)=1,V25*V24,0))</f>
      </c>
      <c r="W28" s="64">
        <f>IF(W$6="","",IF(WEEKDAY(W$6,1)=1,W25*W24,0))</f>
      </c>
      <c r="X28" s="65">
        <f>IF(X$6="","",IF(WEEKDAY(X$6,1)=1,X25*X24,0))</f>
      </c>
      <c r="Y28" s="66">
        <f>IF(Y$6="","",IF(WEEKDAY(Y$6,1)=1,Y25*Y24,0))</f>
      </c>
      <c r="Z28" s="64">
        <f>IF(Z$6="","",IF(WEEKDAY(Z$6,1)=1,Z25*Z24,0))</f>
      </c>
      <c r="AA28" s="64">
        <f>IF(AA$6="","",IF(WEEKDAY(AA$6,1)=1,AA25*AA24,0))</f>
      </c>
      <c r="AB28" s="64">
        <f>IF(AB$6="","",IF(WEEKDAY(AB$6,1)=1,AB25*AB24,0))</f>
      </c>
      <c r="AC28" s="64">
        <f>IF(AC$6="","",IF(WEEKDAY(AC$6,1)=1,AC25*AC24,0))</f>
      </c>
      <c r="AD28" s="64">
        <f>IF(AD$6="","",IF(WEEKDAY(AD$6,1)=1,AD25*AD24,0))</f>
      </c>
      <c r="AE28" s="65">
        <f>IF(AE$6="","",IF(WEEKDAY(AE$6,1)=1,AE25*AE24,0))</f>
      </c>
      <c r="AF28" s="66">
        <f>IF(AF$6="","",IF(WEEKDAY(AF$6,1)=1,AF25*AF24,0))</f>
      </c>
      <c r="AG28" s="64">
        <f>IF(AG$6="","",IF(WEEKDAY(AG$6,1)=1,AG25*AG24,0))</f>
      </c>
      <c r="AH28" s="64">
        <f>IF(AH$6="","",IF(WEEKDAY(AH$6,1)=1,AH25*AH24,0))</f>
      </c>
      <c r="AI28" s="64">
        <f>IF(AI$6="","",IF(WEEKDAY(AI$6,1)=1,AI25*AI24,0))</f>
      </c>
      <c r="AJ28" s="64">
        <f>IF(AJ$6="","",IF(WEEKDAY(AJ$6,1)=1,AJ25*AJ24,0))</f>
      </c>
      <c r="AK28" s="64">
        <f>IF(AK$6="","",IF(WEEKDAY(AK$6,1)=1,AK25*AK24,0))</f>
      </c>
      <c r="AL28" s="65">
        <f>IF(AL$6="","",IF(WEEKDAY(AL$6,1)=1,AL25*AL24,0))</f>
      </c>
      <c r="AM28" s="66">
        <f>IF(AM$6="","",IF(WEEKDAY(AM$6,1)=1,AM25*AM24,0))</f>
      </c>
      <c r="AN28" s="64">
        <f>IF(AN$6="","",IF(WEEKDAY(AN$6,1)=1,AN25*AN24,0))</f>
      </c>
      <c r="AO28" s="64">
        <f>IF(AO$6="","",IF(WEEKDAY(AO$6,1)=1,AO25*AO24,0))</f>
      </c>
      <c r="AP28" s="64">
        <f>IF(AP$6="","",IF(WEEKDAY(AP$6,1)=1,AP25*AP24,0))</f>
      </c>
      <c r="AQ28" s="67">
        <f>IF(AQ$6="","",IF(WEEKDAY(AQ$6,1)=1,AQ25*AQ24,0))</f>
      </c>
      <c r="OV28" s="42" t="s">
        <v>44</v>
      </c>
    </row>
    <row r="29" spans="1:412" x14ac:dyDescent="0.25">
      <c r="A29" s="68"/>
      <c r="B29" s="69">
        <f>SUM(L29:AQ29)</f>
      </c>
      <c r="C29" s="70"/>
      <c r="D29" s="71">
        <f>B29*E29</f>
      </c>
      <c r="E29" s="71">
        <v>140</v>
      </c>
      <c r="F29" s="72" t="s">
        <v>40</v>
      </c>
      <c r="G29" s="73"/>
      <c r="H29" s="73"/>
      <c r="I29" s="73"/>
      <c r="J29" s="73"/>
      <c r="K29" s="74"/>
      <c r="L29" s="75">
        <v>1</v>
      </c>
      <c r="M29" s="76">
        <v>1</v>
      </c>
      <c r="N29" s="76">
        <v>1</v>
      </c>
      <c r="O29" s="76">
        <v>1</v>
      </c>
      <c r="P29" s="76">
        <v>1</v>
      </c>
      <c r="Q29" s="77">
        <v>0</v>
      </c>
      <c r="R29" s="78">
        <v>0</v>
      </c>
      <c r="S29" s="76">
        <v>1</v>
      </c>
      <c r="T29" s="76">
        <v>1</v>
      </c>
      <c r="U29" s="76">
        <v>1</v>
      </c>
      <c r="V29" s="76">
        <v>1</v>
      </c>
      <c r="W29" s="76">
        <v>1</v>
      </c>
      <c r="X29" s="77">
        <v>1</v>
      </c>
      <c r="Y29" s="78">
        <v>1</v>
      </c>
      <c r="Z29" s="76">
        <v>1</v>
      </c>
      <c r="AA29" s="76">
        <v>1</v>
      </c>
      <c r="AB29" s="76">
        <v>1</v>
      </c>
      <c r="AC29" s="76">
        <v>1</v>
      </c>
      <c r="AD29" s="76">
        <v>1</v>
      </c>
      <c r="AE29" s="77">
        <v>1</v>
      </c>
      <c r="AF29" s="78">
        <v>1</v>
      </c>
      <c r="AG29" s="76">
        <v>1</v>
      </c>
      <c r="AH29" s="76">
        <v>1</v>
      </c>
      <c r="AI29" s="76">
        <v>1</v>
      </c>
      <c r="AJ29" s="76">
        <v>0</v>
      </c>
      <c r="AK29" s="76">
        <v>0</v>
      </c>
      <c r="AL29" s="77">
        <v>0</v>
      </c>
      <c r="AM29" s="78">
        <v>0</v>
      </c>
      <c r="AN29" s="76">
        <v>0</v>
      </c>
      <c r="AO29" s="76">
        <v>0</v>
      </c>
      <c r="AP29" s="76">
        <v>0</v>
      </c>
      <c r="AQ29" s="79">
        <v>0</v>
      </c>
      <c r="OV29" s="42" t="s">
        <v>44</v>
      </c>
    </row>
    <row r="30" ht="8" customHeight="1" spans="1:43" x14ac:dyDescent="0.25">
      <c r="A30" s="80"/>
      <c r="B30" s="81"/>
      <c r="C30" s="80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</row>
    <row r="31" spans="1:412" x14ac:dyDescent="0.25">
      <c r="A31" s="82" t="s">
        <v>41</v>
      </c>
      <c r="B31" s="32">
        <f>G31+H31+I31</f>
      </c>
      <c r="C31" s="33" t="s">
        <v>43</v>
      </c>
      <c r="D31" s="34">
        <f>K31</f>
      </c>
      <c r="E31" s="35"/>
      <c r="F31" s="35" t="s">
        <v>32</v>
      </c>
      <c r="G31" s="32">
        <f>B34</f>
      </c>
      <c r="H31" s="32">
        <f>B35</f>
      </c>
      <c r="I31" s="32">
        <f>B36</f>
      </c>
      <c r="J31" s="32">
        <f>B37</f>
      </c>
      <c r="K31" s="36">
        <f>D34+D35+D36</f>
      </c>
      <c r="L31" s="37"/>
      <c r="M31" s="38"/>
      <c r="N31" s="38"/>
      <c r="O31" s="38"/>
      <c r="P31" s="38"/>
      <c r="Q31" s="39"/>
      <c r="R31" s="40"/>
      <c r="S31" s="38"/>
      <c r="T31" s="38"/>
      <c r="U31" s="38"/>
      <c r="V31" s="38"/>
      <c r="W31" s="38"/>
      <c r="X31" s="39"/>
      <c r="Y31" s="40"/>
      <c r="Z31" s="38"/>
      <c r="AA31" s="38"/>
      <c r="AB31" s="38"/>
      <c r="AC31" s="38"/>
      <c r="AD31" s="38"/>
      <c r="AE31" s="39"/>
      <c r="AF31" s="40"/>
      <c r="AG31" s="38"/>
      <c r="AH31" s="38"/>
      <c r="AI31" s="38"/>
      <c r="AJ31" s="38"/>
      <c r="AK31" s="38"/>
      <c r="AL31" s="39"/>
      <c r="AM31" s="40"/>
      <c r="AN31" s="38"/>
      <c r="AO31" s="38"/>
      <c r="AP31" s="38"/>
      <c r="AQ31" s="41"/>
      <c r="OV31" s="42" t="s">
        <v>45</v>
      </c>
    </row>
    <row r="32" spans="1:412" x14ac:dyDescent="0.25">
      <c r="A32" s="43"/>
      <c r="B32" s="44"/>
      <c r="C32" s="45"/>
      <c r="D32" s="44"/>
      <c r="E32" s="44"/>
      <c r="F32" s="44" t="s">
        <v>34</v>
      </c>
      <c r="G32" s="44"/>
      <c r="H32" s="44"/>
      <c r="I32" s="44"/>
      <c r="J32" s="44"/>
      <c r="K32" s="46"/>
      <c r="L32" s="47">
        <v>1</v>
      </c>
      <c r="M32" s="48">
        <v>1</v>
      </c>
      <c r="N32" s="48">
        <v>1</v>
      </c>
      <c r="O32" s="48">
        <v>1</v>
      </c>
      <c r="P32" s="48">
        <v>1</v>
      </c>
      <c r="Q32" s="49">
        <v>0</v>
      </c>
      <c r="R32" s="50">
        <v>0</v>
      </c>
      <c r="S32" s="48">
        <v>1</v>
      </c>
      <c r="T32" s="48">
        <v>1</v>
      </c>
      <c r="U32" s="48">
        <v>1</v>
      </c>
      <c r="V32" s="48">
        <v>1</v>
      </c>
      <c r="W32" s="48">
        <v>1</v>
      </c>
      <c r="X32" s="49">
        <v>1</v>
      </c>
      <c r="Y32" s="50">
        <v>1</v>
      </c>
      <c r="Z32" s="48">
        <v>1</v>
      </c>
      <c r="AA32" s="48">
        <v>1</v>
      </c>
      <c r="AB32" s="48">
        <v>1</v>
      </c>
      <c r="AC32" s="48">
        <v>1</v>
      </c>
      <c r="AD32" s="48">
        <v>1</v>
      </c>
      <c r="AE32" s="49">
        <v>1</v>
      </c>
      <c r="AF32" s="50">
        <v>1</v>
      </c>
      <c r="AG32" s="48">
        <v>1</v>
      </c>
      <c r="AH32" s="48">
        <v>1</v>
      </c>
      <c r="AI32" s="48">
        <v>1</v>
      </c>
      <c r="AJ32" s="48">
        <v>0</v>
      </c>
      <c r="AK32" s="48">
        <v>0</v>
      </c>
      <c r="AL32" s="49">
        <v>0</v>
      </c>
      <c r="AM32" s="50">
        <v>0</v>
      </c>
      <c r="AN32" s="48">
        <v>0</v>
      </c>
      <c r="AO32" s="48">
        <v>0</v>
      </c>
      <c r="AP32" s="48">
        <v>0</v>
      </c>
      <c r="AQ32" s="51">
        <v>0</v>
      </c>
      <c r="OV32" s="42" t="s">
        <v>45</v>
      </c>
    </row>
    <row r="33" ht="28" customHeight="1" spans="1:412" x14ac:dyDescent="0.25">
      <c r="A33" s="43" t="s">
        <v>35</v>
      </c>
      <c r="B33" s="44"/>
      <c r="C33" s="45"/>
      <c r="D33" s="44"/>
      <c r="E33" s="44"/>
      <c r="F33" s="44" t="s">
        <v>36</v>
      </c>
      <c r="G33" s="44"/>
      <c r="H33" s="44"/>
      <c r="I33" s="44"/>
      <c r="J33" s="44"/>
      <c r="K33" s="46"/>
      <c r="L33" s="52">
        <v>8</v>
      </c>
      <c r="M33" s="53">
        <v>8</v>
      </c>
      <c r="N33" s="53">
        <v>8</v>
      </c>
      <c r="O33" s="53">
        <v>8</v>
      </c>
      <c r="P33" s="53">
        <v>8</v>
      </c>
      <c r="Q33" s="54">
        <v>0</v>
      </c>
      <c r="R33" s="55">
        <v>0</v>
      </c>
      <c r="S33" s="53">
        <v>8</v>
      </c>
      <c r="T33" s="53">
        <v>8</v>
      </c>
      <c r="U33" s="53">
        <v>8</v>
      </c>
      <c r="V33" s="53">
        <v>12</v>
      </c>
      <c r="W33" s="53">
        <v>12</v>
      </c>
      <c r="X33" s="54">
        <v>12</v>
      </c>
      <c r="Y33" s="55">
        <v>12</v>
      </c>
      <c r="Z33" s="53">
        <v>12</v>
      </c>
      <c r="AA33" s="53">
        <v>12</v>
      </c>
      <c r="AB33" s="53">
        <v>12</v>
      </c>
      <c r="AC33" s="53">
        <v>12</v>
      </c>
      <c r="AD33" s="53">
        <v>12</v>
      </c>
      <c r="AE33" s="54">
        <v>12</v>
      </c>
      <c r="AF33" s="55">
        <v>12</v>
      </c>
      <c r="AG33" s="53">
        <v>12</v>
      </c>
      <c r="AH33" s="53">
        <v>12</v>
      </c>
      <c r="AI33" s="53">
        <v>12</v>
      </c>
      <c r="AJ33" s="53">
        <v>0</v>
      </c>
      <c r="AK33" s="53">
        <v>0</v>
      </c>
      <c r="AL33" s="54">
        <v>0</v>
      </c>
      <c r="AM33" s="55">
        <v>0</v>
      </c>
      <c r="AN33" s="53">
        <v>0</v>
      </c>
      <c r="AO33" s="53">
        <v>0</v>
      </c>
      <c r="AP33" s="53">
        <v>0</v>
      </c>
      <c r="AQ33" s="56">
        <v>0</v>
      </c>
      <c r="OV33" s="42" t="s">
        <v>45</v>
      </c>
    </row>
    <row r="34" spans="1:412" x14ac:dyDescent="0.25">
      <c r="A34" s="57"/>
      <c r="B34" s="58">
        <f>SUM(L34:AQ34)</f>
      </c>
      <c r="C34" s="59"/>
      <c r="D34" s="60">
        <f>B34*E34</f>
      </c>
      <c r="E34" s="60">
        <f>'Rate Tables'!C8</f>
      </c>
      <c r="F34" s="61" t="s">
        <v>37</v>
      </c>
      <c r="G34" s="14"/>
      <c r="H34" s="14"/>
      <c r="I34" s="14"/>
      <c r="J34" s="14"/>
      <c r="K34" s="62"/>
      <c r="L34" s="63">
        <f>IF(L$6="","",IF(WEEKDAY(L$6,1)=1,0,MIN(8,L33)*L32))</f>
      </c>
      <c r="M34" s="64">
        <f>IF(M$6="","",IF(WEEKDAY(M$6,1)=1,0,MIN(8,M33)*M32))</f>
      </c>
      <c r="N34" s="64">
        <f>IF(N$6="","",IF(WEEKDAY(N$6,1)=1,0,MIN(8,N33)*N32))</f>
      </c>
      <c r="O34" s="64">
        <f>IF(O$6="","",IF(WEEKDAY(O$6,1)=1,0,MIN(8,O33)*O32))</f>
      </c>
      <c r="P34" s="64">
        <f>IF(P$6="","",IF(WEEKDAY(P$6,1)=1,0,MIN(8,P33)*P32))</f>
      </c>
      <c r="Q34" s="65">
        <f>IF(Q$6="","",IF(WEEKDAY(Q$6,1)=1,0,MIN(8,Q33)*Q32))</f>
      </c>
      <c r="R34" s="66">
        <f>IF(R$6="","",IF(WEEKDAY(R$6,1)=1,0,MIN(8,R33)*R32))</f>
      </c>
      <c r="S34" s="64">
        <f>IF(S$6="","",IF(WEEKDAY(S$6,1)=1,0,MIN(8,S33)*S32))</f>
      </c>
      <c r="T34" s="64">
        <f>IF(T$6="","",IF(WEEKDAY(T$6,1)=1,0,MIN(8,T33)*T32))</f>
      </c>
      <c r="U34" s="64">
        <f>IF(U$6="","",IF(WEEKDAY(U$6,1)=1,0,MIN(8,U33)*U32))</f>
      </c>
      <c r="V34" s="64">
        <f>IF(V$6="","",IF(WEEKDAY(V$6,1)=1,0,MIN(8,V33)*V32))</f>
      </c>
      <c r="W34" s="64">
        <f>IF(W$6="","",IF(WEEKDAY(W$6,1)=1,0,MIN(8,W33)*W32))</f>
      </c>
      <c r="X34" s="65">
        <f>IF(X$6="","",IF(WEEKDAY(X$6,1)=1,0,MIN(8,X33)*X32))</f>
      </c>
      <c r="Y34" s="66">
        <f>IF(Y$6="","",IF(WEEKDAY(Y$6,1)=1,0,MIN(8,Y33)*Y32))</f>
      </c>
      <c r="Z34" s="64">
        <f>IF(Z$6="","",IF(WEEKDAY(Z$6,1)=1,0,MIN(8,Z33)*Z32))</f>
      </c>
      <c r="AA34" s="64">
        <f>IF(AA$6="","",IF(WEEKDAY(AA$6,1)=1,0,MIN(8,AA33)*AA32))</f>
      </c>
      <c r="AB34" s="64">
        <f>IF(AB$6="","",IF(WEEKDAY(AB$6,1)=1,0,MIN(8,AB33)*AB32))</f>
      </c>
      <c r="AC34" s="64">
        <f>IF(AC$6="","",IF(WEEKDAY(AC$6,1)=1,0,MIN(8,AC33)*AC32))</f>
      </c>
      <c r="AD34" s="64">
        <f>IF(AD$6="","",IF(WEEKDAY(AD$6,1)=1,0,MIN(8,AD33)*AD32))</f>
      </c>
      <c r="AE34" s="65">
        <f>IF(AE$6="","",IF(WEEKDAY(AE$6,1)=1,0,MIN(8,AE33)*AE32))</f>
      </c>
      <c r="AF34" s="66">
        <f>IF(AF$6="","",IF(WEEKDAY(AF$6,1)=1,0,MIN(8,AF33)*AF32))</f>
      </c>
      <c r="AG34" s="64">
        <f>IF(AG$6="","",IF(WEEKDAY(AG$6,1)=1,0,MIN(8,AG33)*AG32))</f>
      </c>
      <c r="AH34" s="64">
        <f>IF(AH$6="","",IF(WEEKDAY(AH$6,1)=1,0,MIN(8,AH33)*AH32))</f>
      </c>
      <c r="AI34" s="64">
        <f>IF(AI$6="","",IF(WEEKDAY(AI$6,1)=1,0,MIN(8,AI33)*AI32))</f>
      </c>
      <c r="AJ34" s="64">
        <f>IF(AJ$6="","",IF(WEEKDAY(AJ$6,1)=1,0,MIN(8,AJ33)*AJ32))</f>
      </c>
      <c r="AK34" s="64">
        <f>IF(AK$6="","",IF(WEEKDAY(AK$6,1)=1,0,MIN(8,AK33)*AK32))</f>
      </c>
      <c r="AL34" s="65">
        <f>IF(AL$6="","",IF(WEEKDAY(AL$6,1)=1,0,MIN(8,AL33)*AL32))</f>
      </c>
      <c r="AM34" s="66">
        <f>IF(AM$6="","",IF(WEEKDAY(AM$6,1)=1,0,MIN(8,AM33)*AM32))</f>
      </c>
      <c r="AN34" s="64">
        <f>IF(AN$6="","",IF(WEEKDAY(AN$6,1)=1,0,MIN(8,AN33)*AN32))</f>
      </c>
      <c r="AO34" s="64">
        <f>IF(AO$6="","",IF(WEEKDAY(AO$6,1)=1,0,MIN(8,AO33)*AO32))</f>
      </c>
      <c r="AP34" s="64">
        <f>IF(AP$6="","",IF(WEEKDAY(AP$6,1)=1,0,MIN(8,AP33)*AP32))</f>
      </c>
      <c r="AQ34" s="67">
        <f>IF(AQ$6="","",IF(WEEKDAY(AQ$6,1)=1,0,MIN(8,AQ33)*AQ32))</f>
      </c>
      <c r="OV34" s="42" t="s">
        <v>45</v>
      </c>
    </row>
    <row r="35" spans="1:412" x14ac:dyDescent="0.25">
      <c r="A35" s="57"/>
      <c r="B35" s="58">
        <f>SUM(L35:AQ35)</f>
      </c>
      <c r="C35" s="59"/>
      <c r="D35" s="60">
        <f>B35*E35</f>
      </c>
      <c r="E35" s="60">
        <f>'Rate Tables'!D8</f>
      </c>
      <c r="F35" s="61" t="s">
        <v>38</v>
      </c>
      <c r="G35" s="14"/>
      <c r="H35" s="14"/>
      <c r="I35" s="14"/>
      <c r="J35" s="14"/>
      <c r="K35" s="62"/>
      <c r="L35" s="63">
        <f>IF(L$6="","",IF(WEEKDAY(L$6,1)=1,0,MAX(0,L33-8)*L32))</f>
      </c>
      <c r="M35" s="64">
        <f>IF(M$6="","",IF(WEEKDAY(M$6,1)=1,0,MAX(0,M33-8)*M32))</f>
      </c>
      <c r="N35" s="64">
        <f>IF(N$6="","",IF(WEEKDAY(N$6,1)=1,0,MAX(0,N33-8)*N32))</f>
      </c>
      <c r="O35" s="64">
        <f>IF(O$6="","",IF(WEEKDAY(O$6,1)=1,0,MAX(0,O33-8)*O32))</f>
      </c>
      <c r="P35" s="64">
        <f>IF(P$6="","",IF(WEEKDAY(P$6,1)=1,0,MAX(0,P33-8)*P32))</f>
      </c>
      <c r="Q35" s="65">
        <f>IF(Q$6="","",IF(WEEKDAY(Q$6,1)=1,0,MAX(0,Q33-8)*Q32))</f>
      </c>
      <c r="R35" s="66">
        <f>IF(R$6="","",IF(WEEKDAY(R$6,1)=1,0,MAX(0,R33-8)*R32))</f>
      </c>
      <c r="S35" s="64">
        <f>IF(S$6="","",IF(WEEKDAY(S$6,1)=1,0,MAX(0,S33-8)*S32))</f>
      </c>
      <c r="T35" s="64">
        <f>IF(T$6="","",IF(WEEKDAY(T$6,1)=1,0,MAX(0,T33-8)*T32))</f>
      </c>
      <c r="U35" s="64">
        <f>IF(U$6="","",IF(WEEKDAY(U$6,1)=1,0,MAX(0,U33-8)*U32))</f>
      </c>
      <c r="V35" s="64">
        <f>IF(V$6="","",IF(WEEKDAY(V$6,1)=1,0,MAX(0,V33-8)*V32))</f>
      </c>
      <c r="W35" s="64">
        <f>IF(W$6="","",IF(WEEKDAY(W$6,1)=1,0,MAX(0,W33-8)*W32))</f>
      </c>
      <c r="X35" s="65">
        <f>IF(X$6="","",IF(WEEKDAY(X$6,1)=1,0,MAX(0,X33-8)*X32))</f>
      </c>
      <c r="Y35" s="66">
        <f>IF(Y$6="","",IF(WEEKDAY(Y$6,1)=1,0,MAX(0,Y33-8)*Y32))</f>
      </c>
      <c r="Z35" s="64">
        <f>IF(Z$6="","",IF(WEEKDAY(Z$6,1)=1,0,MAX(0,Z33-8)*Z32))</f>
      </c>
      <c r="AA35" s="64">
        <f>IF(AA$6="","",IF(WEEKDAY(AA$6,1)=1,0,MAX(0,AA33-8)*AA32))</f>
      </c>
      <c r="AB35" s="64">
        <f>IF(AB$6="","",IF(WEEKDAY(AB$6,1)=1,0,MAX(0,AB33-8)*AB32))</f>
      </c>
      <c r="AC35" s="64">
        <f>IF(AC$6="","",IF(WEEKDAY(AC$6,1)=1,0,MAX(0,AC33-8)*AC32))</f>
      </c>
      <c r="AD35" s="64">
        <f>IF(AD$6="","",IF(WEEKDAY(AD$6,1)=1,0,MAX(0,AD33-8)*AD32))</f>
      </c>
      <c r="AE35" s="65">
        <f>IF(AE$6="","",IF(WEEKDAY(AE$6,1)=1,0,MAX(0,AE33-8)*AE32))</f>
      </c>
      <c r="AF35" s="66">
        <f>IF(AF$6="","",IF(WEEKDAY(AF$6,1)=1,0,MAX(0,AF33-8)*AF32))</f>
      </c>
      <c r="AG35" s="64">
        <f>IF(AG$6="","",IF(WEEKDAY(AG$6,1)=1,0,MAX(0,AG33-8)*AG32))</f>
      </c>
      <c r="AH35" s="64">
        <f>IF(AH$6="","",IF(WEEKDAY(AH$6,1)=1,0,MAX(0,AH33-8)*AH32))</f>
      </c>
      <c r="AI35" s="64">
        <f>IF(AI$6="","",IF(WEEKDAY(AI$6,1)=1,0,MAX(0,AI33-8)*AI32))</f>
      </c>
      <c r="AJ35" s="64">
        <f>IF(AJ$6="","",IF(WEEKDAY(AJ$6,1)=1,0,MAX(0,AJ33-8)*AJ32))</f>
      </c>
      <c r="AK35" s="64">
        <f>IF(AK$6="","",IF(WEEKDAY(AK$6,1)=1,0,MAX(0,AK33-8)*AK32))</f>
      </c>
      <c r="AL35" s="65">
        <f>IF(AL$6="","",IF(WEEKDAY(AL$6,1)=1,0,MAX(0,AL33-8)*AL32))</f>
      </c>
      <c r="AM35" s="66">
        <f>IF(AM$6="","",IF(WEEKDAY(AM$6,1)=1,0,MAX(0,AM33-8)*AM32))</f>
      </c>
      <c r="AN35" s="64">
        <f>IF(AN$6="","",IF(WEEKDAY(AN$6,1)=1,0,MAX(0,AN33-8)*AN32))</f>
      </c>
      <c r="AO35" s="64">
        <f>IF(AO$6="","",IF(WEEKDAY(AO$6,1)=1,0,MAX(0,AO33-8)*AO32))</f>
      </c>
      <c r="AP35" s="64">
        <f>IF(AP$6="","",IF(WEEKDAY(AP$6,1)=1,0,MAX(0,AP33-8)*AP32))</f>
      </c>
      <c r="AQ35" s="67">
        <f>IF(AQ$6="","",IF(WEEKDAY(AQ$6,1)=1,0,MAX(0,AQ33-8)*AQ32))</f>
      </c>
      <c r="OV35" s="42" t="s">
        <v>45</v>
      </c>
    </row>
    <row r="36" spans="1:412" x14ac:dyDescent="0.25">
      <c r="A36" s="57"/>
      <c r="B36" s="58">
        <f>SUM(L36:AQ36)</f>
      </c>
      <c r="C36" s="59"/>
      <c r="D36" s="60">
        <f>B36*E36</f>
      </c>
      <c r="E36" s="60">
        <f>'Rate Tables'!E8</f>
      </c>
      <c r="F36" s="61" t="s">
        <v>39</v>
      </c>
      <c r="G36" s="14"/>
      <c r="H36" s="14"/>
      <c r="I36" s="14"/>
      <c r="J36" s="14"/>
      <c r="K36" s="62"/>
      <c r="L36" s="63">
        <f>IF(L$6="","",IF(WEEKDAY(L$6,1)=1,L33*L32,0))</f>
      </c>
      <c r="M36" s="64">
        <f>IF(M$6="","",IF(WEEKDAY(M$6,1)=1,M33*M32,0))</f>
      </c>
      <c r="N36" s="64">
        <f>IF(N$6="","",IF(WEEKDAY(N$6,1)=1,N33*N32,0))</f>
      </c>
      <c r="O36" s="64">
        <f>IF(O$6="","",IF(WEEKDAY(O$6,1)=1,O33*O32,0))</f>
      </c>
      <c r="P36" s="64">
        <f>IF(P$6="","",IF(WEEKDAY(P$6,1)=1,P33*P32,0))</f>
      </c>
      <c r="Q36" s="65">
        <f>IF(Q$6="","",IF(WEEKDAY(Q$6,1)=1,Q33*Q32,0))</f>
      </c>
      <c r="R36" s="66">
        <f>IF(R$6="","",IF(WEEKDAY(R$6,1)=1,R33*R32,0))</f>
      </c>
      <c r="S36" s="64">
        <f>IF(S$6="","",IF(WEEKDAY(S$6,1)=1,S33*S32,0))</f>
      </c>
      <c r="T36" s="64">
        <f>IF(T$6="","",IF(WEEKDAY(T$6,1)=1,T33*T32,0))</f>
      </c>
      <c r="U36" s="64">
        <f>IF(U$6="","",IF(WEEKDAY(U$6,1)=1,U33*U32,0))</f>
      </c>
      <c r="V36" s="64">
        <f>IF(V$6="","",IF(WEEKDAY(V$6,1)=1,V33*V32,0))</f>
      </c>
      <c r="W36" s="64">
        <f>IF(W$6="","",IF(WEEKDAY(W$6,1)=1,W33*W32,0))</f>
      </c>
      <c r="X36" s="65">
        <f>IF(X$6="","",IF(WEEKDAY(X$6,1)=1,X33*X32,0))</f>
      </c>
      <c r="Y36" s="66">
        <f>IF(Y$6="","",IF(WEEKDAY(Y$6,1)=1,Y33*Y32,0))</f>
      </c>
      <c r="Z36" s="64">
        <f>IF(Z$6="","",IF(WEEKDAY(Z$6,1)=1,Z33*Z32,0))</f>
      </c>
      <c r="AA36" s="64">
        <f>IF(AA$6="","",IF(WEEKDAY(AA$6,1)=1,AA33*AA32,0))</f>
      </c>
      <c r="AB36" s="64">
        <f>IF(AB$6="","",IF(WEEKDAY(AB$6,1)=1,AB33*AB32,0))</f>
      </c>
      <c r="AC36" s="64">
        <f>IF(AC$6="","",IF(WEEKDAY(AC$6,1)=1,AC33*AC32,0))</f>
      </c>
      <c r="AD36" s="64">
        <f>IF(AD$6="","",IF(WEEKDAY(AD$6,1)=1,AD33*AD32,0))</f>
      </c>
      <c r="AE36" s="65">
        <f>IF(AE$6="","",IF(WEEKDAY(AE$6,1)=1,AE33*AE32,0))</f>
      </c>
      <c r="AF36" s="66">
        <f>IF(AF$6="","",IF(WEEKDAY(AF$6,1)=1,AF33*AF32,0))</f>
      </c>
      <c r="AG36" s="64">
        <f>IF(AG$6="","",IF(WEEKDAY(AG$6,1)=1,AG33*AG32,0))</f>
      </c>
      <c r="AH36" s="64">
        <f>IF(AH$6="","",IF(WEEKDAY(AH$6,1)=1,AH33*AH32,0))</f>
      </c>
      <c r="AI36" s="64">
        <f>IF(AI$6="","",IF(WEEKDAY(AI$6,1)=1,AI33*AI32,0))</f>
      </c>
      <c r="AJ36" s="64">
        <f>IF(AJ$6="","",IF(WEEKDAY(AJ$6,1)=1,AJ33*AJ32,0))</f>
      </c>
      <c r="AK36" s="64">
        <f>IF(AK$6="","",IF(WEEKDAY(AK$6,1)=1,AK33*AK32,0))</f>
      </c>
      <c r="AL36" s="65">
        <f>IF(AL$6="","",IF(WEEKDAY(AL$6,1)=1,AL33*AL32,0))</f>
      </c>
      <c r="AM36" s="66">
        <f>IF(AM$6="","",IF(WEEKDAY(AM$6,1)=1,AM33*AM32,0))</f>
      </c>
      <c r="AN36" s="64">
        <f>IF(AN$6="","",IF(WEEKDAY(AN$6,1)=1,AN33*AN32,0))</f>
      </c>
      <c r="AO36" s="64">
        <f>IF(AO$6="","",IF(WEEKDAY(AO$6,1)=1,AO33*AO32,0))</f>
      </c>
      <c r="AP36" s="64">
        <f>IF(AP$6="","",IF(WEEKDAY(AP$6,1)=1,AP33*AP32,0))</f>
      </c>
      <c r="AQ36" s="67">
        <f>IF(AQ$6="","",IF(WEEKDAY(AQ$6,1)=1,AQ33*AQ32,0))</f>
      </c>
      <c r="OV36" s="42" t="s">
        <v>45</v>
      </c>
    </row>
    <row r="37" spans="1:412" x14ac:dyDescent="0.25">
      <c r="A37" s="68"/>
      <c r="B37" s="69">
        <f>SUM(L37:AQ37)</f>
      </c>
      <c r="C37" s="70"/>
      <c r="D37" s="71">
        <f>B37*E37</f>
      </c>
      <c r="E37" s="71">
        <v>140</v>
      </c>
      <c r="F37" s="72" t="s">
        <v>40</v>
      </c>
      <c r="G37" s="73"/>
      <c r="H37" s="73"/>
      <c r="I37" s="73"/>
      <c r="J37" s="73"/>
      <c r="K37" s="74"/>
      <c r="L37" s="75">
        <v>1</v>
      </c>
      <c r="M37" s="76">
        <v>1</v>
      </c>
      <c r="N37" s="76">
        <v>1</v>
      </c>
      <c r="O37" s="76">
        <v>1</v>
      </c>
      <c r="P37" s="76">
        <v>1</v>
      </c>
      <c r="Q37" s="77">
        <v>0</v>
      </c>
      <c r="R37" s="78">
        <v>0</v>
      </c>
      <c r="S37" s="76">
        <v>1</v>
      </c>
      <c r="T37" s="76">
        <v>1</v>
      </c>
      <c r="U37" s="76">
        <v>1</v>
      </c>
      <c r="V37" s="76">
        <v>1</v>
      </c>
      <c r="W37" s="76">
        <v>1</v>
      </c>
      <c r="X37" s="77">
        <v>1</v>
      </c>
      <c r="Y37" s="78">
        <v>1</v>
      </c>
      <c r="Z37" s="76">
        <v>1</v>
      </c>
      <c r="AA37" s="76">
        <v>1</v>
      </c>
      <c r="AB37" s="76">
        <v>1</v>
      </c>
      <c r="AC37" s="76">
        <v>1</v>
      </c>
      <c r="AD37" s="76">
        <v>1</v>
      </c>
      <c r="AE37" s="77">
        <v>1</v>
      </c>
      <c r="AF37" s="78">
        <v>1</v>
      </c>
      <c r="AG37" s="76">
        <v>1</v>
      </c>
      <c r="AH37" s="76">
        <v>1</v>
      </c>
      <c r="AI37" s="76">
        <v>1</v>
      </c>
      <c r="AJ37" s="76">
        <v>0</v>
      </c>
      <c r="AK37" s="76">
        <v>0</v>
      </c>
      <c r="AL37" s="77">
        <v>0</v>
      </c>
      <c r="AM37" s="78">
        <v>0</v>
      </c>
      <c r="AN37" s="76">
        <v>0</v>
      </c>
      <c r="AO37" s="76">
        <v>0</v>
      </c>
      <c r="AP37" s="76">
        <v>0</v>
      </c>
      <c r="AQ37" s="79">
        <v>0</v>
      </c>
      <c r="OV37" s="42" t="s">
        <v>45</v>
      </c>
    </row>
    <row r="38" ht="8" customHeight="1" spans="1:43" x14ac:dyDescent="0.25">
      <c r="A38" s="80"/>
      <c r="B38" s="81"/>
      <c r="C38" s="80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</row>
    <row r="39" spans="1:412" x14ac:dyDescent="0.25">
      <c r="A39" s="31" t="s">
        <v>30</v>
      </c>
      <c r="B39" s="32">
        <f>G39+H39+I39</f>
      </c>
      <c r="C39" s="33" t="s">
        <v>46</v>
      </c>
      <c r="D39" s="34">
        <f>K39</f>
      </c>
      <c r="E39" s="35"/>
      <c r="F39" s="35" t="s">
        <v>32</v>
      </c>
      <c r="G39" s="32">
        <f>B42</f>
      </c>
      <c r="H39" s="32">
        <f>B43</f>
      </c>
      <c r="I39" s="32">
        <f>B44</f>
      </c>
      <c r="J39" s="32">
        <f>B45</f>
      </c>
      <c r="K39" s="36">
        <f>D42+D43+D44</f>
      </c>
      <c r="L39" s="37"/>
      <c r="M39" s="38"/>
      <c r="N39" s="38"/>
      <c r="O39" s="38"/>
      <c r="P39" s="38"/>
      <c r="Q39" s="39"/>
      <c r="R39" s="40"/>
      <c r="S39" s="38"/>
      <c r="T39" s="38"/>
      <c r="U39" s="38"/>
      <c r="V39" s="38"/>
      <c r="W39" s="38"/>
      <c r="X39" s="39"/>
      <c r="Y39" s="40"/>
      <c r="Z39" s="38"/>
      <c r="AA39" s="38"/>
      <c r="AB39" s="38"/>
      <c r="AC39" s="38"/>
      <c r="AD39" s="38"/>
      <c r="AE39" s="39"/>
      <c r="AF39" s="40"/>
      <c r="AG39" s="38"/>
      <c r="AH39" s="38"/>
      <c r="AI39" s="38"/>
      <c r="AJ39" s="38"/>
      <c r="AK39" s="38"/>
      <c r="AL39" s="39"/>
      <c r="AM39" s="40"/>
      <c r="AN39" s="38"/>
      <c r="AO39" s="38"/>
      <c r="AP39" s="38"/>
      <c r="AQ39" s="41"/>
      <c r="OV39" s="42" t="s">
        <v>47</v>
      </c>
    </row>
    <row r="40" spans="1:412" x14ac:dyDescent="0.25">
      <c r="A40" s="43"/>
      <c r="B40" s="44"/>
      <c r="C40" s="45"/>
      <c r="D40" s="44"/>
      <c r="E40" s="44"/>
      <c r="F40" s="44" t="s">
        <v>34</v>
      </c>
      <c r="G40" s="44"/>
      <c r="H40" s="44"/>
      <c r="I40" s="44"/>
      <c r="J40" s="44"/>
      <c r="K40" s="46"/>
      <c r="L40" s="47">
        <v>1</v>
      </c>
      <c r="M40" s="48">
        <v>1</v>
      </c>
      <c r="N40" s="48">
        <v>1</v>
      </c>
      <c r="O40" s="48">
        <v>1</v>
      </c>
      <c r="P40" s="48">
        <v>1</v>
      </c>
      <c r="Q40" s="49">
        <v>0</v>
      </c>
      <c r="R40" s="50">
        <v>0</v>
      </c>
      <c r="S40" s="48">
        <v>1</v>
      </c>
      <c r="T40" s="48">
        <v>1</v>
      </c>
      <c r="U40" s="48">
        <v>1</v>
      </c>
      <c r="V40" s="48">
        <v>1</v>
      </c>
      <c r="W40" s="48">
        <v>1</v>
      </c>
      <c r="X40" s="49">
        <v>1</v>
      </c>
      <c r="Y40" s="50">
        <v>1</v>
      </c>
      <c r="Z40" s="48">
        <v>1</v>
      </c>
      <c r="AA40" s="48">
        <v>1</v>
      </c>
      <c r="AB40" s="48">
        <v>1</v>
      </c>
      <c r="AC40" s="48">
        <v>1</v>
      </c>
      <c r="AD40" s="48">
        <v>1</v>
      </c>
      <c r="AE40" s="49">
        <v>1</v>
      </c>
      <c r="AF40" s="50">
        <v>1</v>
      </c>
      <c r="AG40" s="48">
        <v>1</v>
      </c>
      <c r="AH40" s="48">
        <v>1</v>
      </c>
      <c r="AI40" s="48">
        <v>1</v>
      </c>
      <c r="AJ40" s="48">
        <v>1</v>
      </c>
      <c r="AK40" s="48">
        <v>1</v>
      </c>
      <c r="AL40" s="49">
        <v>0</v>
      </c>
      <c r="AM40" s="50">
        <v>0</v>
      </c>
      <c r="AN40" s="48">
        <v>1</v>
      </c>
      <c r="AO40" s="48">
        <v>1</v>
      </c>
      <c r="AP40" s="48">
        <v>1</v>
      </c>
      <c r="AQ40" s="51">
        <v>1</v>
      </c>
      <c r="OV40" s="42" t="s">
        <v>47</v>
      </c>
    </row>
    <row r="41" ht="28" customHeight="1" spans="1:412" x14ac:dyDescent="0.25">
      <c r="A41" s="43" t="s">
        <v>35</v>
      </c>
      <c r="B41" s="44"/>
      <c r="C41" s="45"/>
      <c r="D41" s="44"/>
      <c r="E41" s="44"/>
      <c r="F41" s="44" t="s">
        <v>36</v>
      </c>
      <c r="G41" s="44"/>
      <c r="H41" s="44"/>
      <c r="I41" s="44"/>
      <c r="J41" s="44"/>
      <c r="K41" s="46"/>
      <c r="L41" s="52">
        <v>8</v>
      </c>
      <c r="M41" s="53">
        <v>8</v>
      </c>
      <c r="N41" s="53">
        <v>8</v>
      </c>
      <c r="O41" s="53">
        <v>8</v>
      </c>
      <c r="P41" s="53">
        <v>8</v>
      </c>
      <c r="Q41" s="54">
        <v>0</v>
      </c>
      <c r="R41" s="55">
        <v>0</v>
      </c>
      <c r="S41" s="53">
        <v>8</v>
      </c>
      <c r="T41" s="53">
        <v>8</v>
      </c>
      <c r="U41" s="53">
        <v>8</v>
      </c>
      <c r="V41" s="53">
        <v>12</v>
      </c>
      <c r="W41" s="53">
        <v>12</v>
      </c>
      <c r="X41" s="54">
        <v>12</v>
      </c>
      <c r="Y41" s="55">
        <v>12</v>
      </c>
      <c r="Z41" s="53">
        <v>12</v>
      </c>
      <c r="AA41" s="53">
        <v>12</v>
      </c>
      <c r="AB41" s="53">
        <v>12</v>
      </c>
      <c r="AC41" s="53">
        <v>12</v>
      </c>
      <c r="AD41" s="53">
        <v>12</v>
      </c>
      <c r="AE41" s="54">
        <v>12</v>
      </c>
      <c r="AF41" s="55">
        <v>12</v>
      </c>
      <c r="AG41" s="53">
        <v>12</v>
      </c>
      <c r="AH41" s="53">
        <v>12</v>
      </c>
      <c r="AI41" s="53">
        <v>12</v>
      </c>
      <c r="AJ41" s="53">
        <v>8</v>
      </c>
      <c r="AK41" s="53">
        <v>8</v>
      </c>
      <c r="AL41" s="54">
        <v>0</v>
      </c>
      <c r="AM41" s="55">
        <v>0</v>
      </c>
      <c r="AN41" s="53">
        <v>8</v>
      </c>
      <c r="AO41" s="53">
        <v>8</v>
      </c>
      <c r="AP41" s="53">
        <v>8</v>
      </c>
      <c r="AQ41" s="56">
        <v>8</v>
      </c>
      <c r="OV41" s="42" t="s">
        <v>47</v>
      </c>
    </row>
    <row r="42" spans="1:412" x14ac:dyDescent="0.25">
      <c r="A42" s="57"/>
      <c r="B42" s="58">
        <f>SUM(L42:AQ42)</f>
      </c>
      <c r="C42" s="59"/>
      <c r="D42" s="60">
        <f>B42*E42</f>
      </c>
      <c r="E42" s="60">
        <f>'Rate Tables'!C9</f>
      </c>
      <c r="F42" s="61" t="s">
        <v>37</v>
      </c>
      <c r="G42" s="14"/>
      <c r="H42" s="14"/>
      <c r="I42" s="14"/>
      <c r="J42" s="14"/>
      <c r="K42" s="62"/>
      <c r="L42" s="63">
        <f>IF(L$6="","",IF(WEEKDAY(L$6,1)=1,0,MIN(8,L41)*L40))</f>
      </c>
      <c r="M42" s="64">
        <f>IF(M$6="","",IF(WEEKDAY(M$6,1)=1,0,MIN(8,M41)*M40))</f>
      </c>
      <c r="N42" s="64">
        <f>IF(N$6="","",IF(WEEKDAY(N$6,1)=1,0,MIN(8,N41)*N40))</f>
      </c>
      <c r="O42" s="64">
        <f>IF(O$6="","",IF(WEEKDAY(O$6,1)=1,0,MIN(8,O41)*O40))</f>
      </c>
      <c r="P42" s="64">
        <f>IF(P$6="","",IF(WEEKDAY(P$6,1)=1,0,MIN(8,P41)*P40))</f>
      </c>
      <c r="Q42" s="65">
        <f>IF(Q$6="","",IF(WEEKDAY(Q$6,1)=1,0,MIN(8,Q41)*Q40))</f>
      </c>
      <c r="R42" s="66">
        <f>IF(R$6="","",IF(WEEKDAY(R$6,1)=1,0,MIN(8,R41)*R40))</f>
      </c>
      <c r="S42" s="64">
        <f>IF(S$6="","",IF(WEEKDAY(S$6,1)=1,0,MIN(8,S41)*S40))</f>
      </c>
      <c r="T42" s="64">
        <f>IF(T$6="","",IF(WEEKDAY(T$6,1)=1,0,MIN(8,T41)*T40))</f>
      </c>
      <c r="U42" s="64">
        <f>IF(U$6="","",IF(WEEKDAY(U$6,1)=1,0,MIN(8,U41)*U40))</f>
      </c>
      <c r="V42" s="64">
        <f>IF(V$6="","",IF(WEEKDAY(V$6,1)=1,0,MIN(8,V41)*V40))</f>
      </c>
      <c r="W42" s="64">
        <f>IF(W$6="","",IF(WEEKDAY(W$6,1)=1,0,MIN(8,W41)*W40))</f>
      </c>
      <c r="X42" s="65">
        <f>IF(X$6="","",IF(WEEKDAY(X$6,1)=1,0,MIN(8,X41)*X40))</f>
      </c>
      <c r="Y42" s="66">
        <f>IF(Y$6="","",IF(WEEKDAY(Y$6,1)=1,0,MIN(8,Y41)*Y40))</f>
      </c>
      <c r="Z42" s="64">
        <f>IF(Z$6="","",IF(WEEKDAY(Z$6,1)=1,0,MIN(8,Z41)*Z40))</f>
      </c>
      <c r="AA42" s="64">
        <f>IF(AA$6="","",IF(WEEKDAY(AA$6,1)=1,0,MIN(8,AA41)*AA40))</f>
      </c>
      <c r="AB42" s="64">
        <f>IF(AB$6="","",IF(WEEKDAY(AB$6,1)=1,0,MIN(8,AB41)*AB40))</f>
      </c>
      <c r="AC42" s="64">
        <f>IF(AC$6="","",IF(WEEKDAY(AC$6,1)=1,0,MIN(8,AC41)*AC40))</f>
      </c>
      <c r="AD42" s="64">
        <f>IF(AD$6="","",IF(WEEKDAY(AD$6,1)=1,0,MIN(8,AD41)*AD40))</f>
      </c>
      <c r="AE42" s="65">
        <f>IF(AE$6="","",IF(WEEKDAY(AE$6,1)=1,0,MIN(8,AE41)*AE40))</f>
      </c>
      <c r="AF42" s="66">
        <f>IF(AF$6="","",IF(WEEKDAY(AF$6,1)=1,0,MIN(8,AF41)*AF40))</f>
      </c>
      <c r="AG42" s="64">
        <f>IF(AG$6="","",IF(WEEKDAY(AG$6,1)=1,0,MIN(8,AG41)*AG40))</f>
      </c>
      <c r="AH42" s="64">
        <f>IF(AH$6="","",IF(WEEKDAY(AH$6,1)=1,0,MIN(8,AH41)*AH40))</f>
      </c>
      <c r="AI42" s="64">
        <f>IF(AI$6="","",IF(WEEKDAY(AI$6,1)=1,0,MIN(8,AI41)*AI40))</f>
      </c>
      <c r="AJ42" s="64">
        <f>IF(AJ$6="","",IF(WEEKDAY(AJ$6,1)=1,0,MIN(8,AJ41)*AJ40))</f>
      </c>
      <c r="AK42" s="64">
        <f>IF(AK$6="","",IF(WEEKDAY(AK$6,1)=1,0,MIN(8,AK41)*AK40))</f>
      </c>
      <c r="AL42" s="65">
        <f>IF(AL$6="","",IF(WEEKDAY(AL$6,1)=1,0,MIN(8,AL41)*AL40))</f>
      </c>
      <c r="AM42" s="66">
        <f>IF(AM$6="","",IF(WEEKDAY(AM$6,1)=1,0,MIN(8,AM41)*AM40))</f>
      </c>
      <c r="AN42" s="64">
        <f>IF(AN$6="","",IF(WEEKDAY(AN$6,1)=1,0,MIN(8,AN41)*AN40))</f>
      </c>
      <c r="AO42" s="64">
        <f>IF(AO$6="","",IF(WEEKDAY(AO$6,1)=1,0,MIN(8,AO41)*AO40))</f>
      </c>
      <c r="AP42" s="64">
        <f>IF(AP$6="","",IF(WEEKDAY(AP$6,1)=1,0,MIN(8,AP41)*AP40))</f>
      </c>
      <c r="AQ42" s="67">
        <f>IF(AQ$6="","",IF(WEEKDAY(AQ$6,1)=1,0,MIN(8,AQ41)*AQ40))</f>
      </c>
      <c r="OV42" s="42" t="s">
        <v>47</v>
      </c>
    </row>
    <row r="43" spans="1:412" x14ac:dyDescent="0.25">
      <c r="A43" s="57"/>
      <c r="B43" s="58">
        <f>SUM(L43:AQ43)</f>
      </c>
      <c r="C43" s="59"/>
      <c r="D43" s="60">
        <f>B43*E43</f>
      </c>
      <c r="E43" s="60">
        <f>'Rate Tables'!D9</f>
      </c>
      <c r="F43" s="61" t="s">
        <v>38</v>
      </c>
      <c r="G43" s="14"/>
      <c r="H43" s="14"/>
      <c r="I43" s="14"/>
      <c r="J43" s="14"/>
      <c r="K43" s="62"/>
      <c r="L43" s="63">
        <f>IF(L$6="","",IF(WEEKDAY(L$6,1)=1,0,MAX(0,L41-8)*L40))</f>
      </c>
      <c r="M43" s="64">
        <f>IF(M$6="","",IF(WEEKDAY(M$6,1)=1,0,MAX(0,M41-8)*M40))</f>
      </c>
      <c r="N43" s="64">
        <f>IF(N$6="","",IF(WEEKDAY(N$6,1)=1,0,MAX(0,N41-8)*N40))</f>
      </c>
      <c r="O43" s="64">
        <f>IF(O$6="","",IF(WEEKDAY(O$6,1)=1,0,MAX(0,O41-8)*O40))</f>
      </c>
      <c r="P43" s="64">
        <f>IF(P$6="","",IF(WEEKDAY(P$6,1)=1,0,MAX(0,P41-8)*P40))</f>
      </c>
      <c r="Q43" s="65">
        <f>IF(Q$6="","",IF(WEEKDAY(Q$6,1)=1,0,MAX(0,Q41-8)*Q40))</f>
      </c>
      <c r="R43" s="66">
        <f>IF(R$6="","",IF(WEEKDAY(R$6,1)=1,0,MAX(0,R41-8)*R40))</f>
      </c>
      <c r="S43" s="64">
        <f>IF(S$6="","",IF(WEEKDAY(S$6,1)=1,0,MAX(0,S41-8)*S40))</f>
      </c>
      <c r="T43" s="64">
        <f>IF(T$6="","",IF(WEEKDAY(T$6,1)=1,0,MAX(0,T41-8)*T40))</f>
      </c>
      <c r="U43" s="64">
        <f>IF(U$6="","",IF(WEEKDAY(U$6,1)=1,0,MAX(0,U41-8)*U40))</f>
      </c>
      <c r="V43" s="64">
        <f>IF(V$6="","",IF(WEEKDAY(V$6,1)=1,0,MAX(0,V41-8)*V40))</f>
      </c>
      <c r="W43" s="64">
        <f>IF(W$6="","",IF(WEEKDAY(W$6,1)=1,0,MAX(0,W41-8)*W40))</f>
      </c>
      <c r="X43" s="65">
        <f>IF(X$6="","",IF(WEEKDAY(X$6,1)=1,0,MAX(0,X41-8)*X40))</f>
      </c>
      <c r="Y43" s="66">
        <f>IF(Y$6="","",IF(WEEKDAY(Y$6,1)=1,0,MAX(0,Y41-8)*Y40))</f>
      </c>
      <c r="Z43" s="64">
        <f>IF(Z$6="","",IF(WEEKDAY(Z$6,1)=1,0,MAX(0,Z41-8)*Z40))</f>
      </c>
      <c r="AA43" s="64">
        <f>IF(AA$6="","",IF(WEEKDAY(AA$6,1)=1,0,MAX(0,AA41-8)*AA40))</f>
      </c>
      <c r="AB43" s="64">
        <f>IF(AB$6="","",IF(WEEKDAY(AB$6,1)=1,0,MAX(0,AB41-8)*AB40))</f>
      </c>
      <c r="AC43" s="64">
        <f>IF(AC$6="","",IF(WEEKDAY(AC$6,1)=1,0,MAX(0,AC41-8)*AC40))</f>
      </c>
      <c r="AD43" s="64">
        <f>IF(AD$6="","",IF(WEEKDAY(AD$6,1)=1,0,MAX(0,AD41-8)*AD40))</f>
      </c>
      <c r="AE43" s="65">
        <f>IF(AE$6="","",IF(WEEKDAY(AE$6,1)=1,0,MAX(0,AE41-8)*AE40))</f>
      </c>
      <c r="AF43" s="66">
        <f>IF(AF$6="","",IF(WEEKDAY(AF$6,1)=1,0,MAX(0,AF41-8)*AF40))</f>
      </c>
      <c r="AG43" s="64">
        <f>IF(AG$6="","",IF(WEEKDAY(AG$6,1)=1,0,MAX(0,AG41-8)*AG40))</f>
      </c>
      <c r="AH43" s="64">
        <f>IF(AH$6="","",IF(WEEKDAY(AH$6,1)=1,0,MAX(0,AH41-8)*AH40))</f>
      </c>
      <c r="AI43" s="64">
        <f>IF(AI$6="","",IF(WEEKDAY(AI$6,1)=1,0,MAX(0,AI41-8)*AI40))</f>
      </c>
      <c r="AJ43" s="64">
        <f>IF(AJ$6="","",IF(WEEKDAY(AJ$6,1)=1,0,MAX(0,AJ41-8)*AJ40))</f>
      </c>
      <c r="AK43" s="64">
        <f>IF(AK$6="","",IF(WEEKDAY(AK$6,1)=1,0,MAX(0,AK41-8)*AK40))</f>
      </c>
      <c r="AL43" s="65">
        <f>IF(AL$6="","",IF(WEEKDAY(AL$6,1)=1,0,MAX(0,AL41-8)*AL40))</f>
      </c>
      <c r="AM43" s="66">
        <f>IF(AM$6="","",IF(WEEKDAY(AM$6,1)=1,0,MAX(0,AM41-8)*AM40))</f>
      </c>
      <c r="AN43" s="64">
        <f>IF(AN$6="","",IF(WEEKDAY(AN$6,1)=1,0,MAX(0,AN41-8)*AN40))</f>
      </c>
      <c r="AO43" s="64">
        <f>IF(AO$6="","",IF(WEEKDAY(AO$6,1)=1,0,MAX(0,AO41-8)*AO40))</f>
      </c>
      <c r="AP43" s="64">
        <f>IF(AP$6="","",IF(WEEKDAY(AP$6,1)=1,0,MAX(0,AP41-8)*AP40))</f>
      </c>
      <c r="AQ43" s="67">
        <f>IF(AQ$6="","",IF(WEEKDAY(AQ$6,1)=1,0,MAX(0,AQ41-8)*AQ40))</f>
      </c>
      <c r="OV43" s="42" t="s">
        <v>47</v>
      </c>
    </row>
    <row r="44" spans="1:412" x14ac:dyDescent="0.25">
      <c r="A44" s="57"/>
      <c r="B44" s="58">
        <f>SUM(L44:AQ44)</f>
      </c>
      <c r="C44" s="59"/>
      <c r="D44" s="60">
        <f>B44*E44</f>
      </c>
      <c r="E44" s="60">
        <f>'Rate Tables'!E9</f>
      </c>
      <c r="F44" s="61" t="s">
        <v>39</v>
      </c>
      <c r="G44" s="14"/>
      <c r="H44" s="14"/>
      <c r="I44" s="14"/>
      <c r="J44" s="14"/>
      <c r="K44" s="62"/>
      <c r="L44" s="63">
        <f>IF(L$6="","",IF(WEEKDAY(L$6,1)=1,L41*L40,0))</f>
      </c>
      <c r="M44" s="64">
        <f>IF(M$6="","",IF(WEEKDAY(M$6,1)=1,M41*M40,0))</f>
      </c>
      <c r="N44" s="64">
        <f>IF(N$6="","",IF(WEEKDAY(N$6,1)=1,N41*N40,0))</f>
      </c>
      <c r="O44" s="64">
        <f>IF(O$6="","",IF(WEEKDAY(O$6,1)=1,O41*O40,0))</f>
      </c>
      <c r="P44" s="64">
        <f>IF(P$6="","",IF(WEEKDAY(P$6,1)=1,P41*P40,0))</f>
      </c>
      <c r="Q44" s="65">
        <f>IF(Q$6="","",IF(WEEKDAY(Q$6,1)=1,Q41*Q40,0))</f>
      </c>
      <c r="R44" s="66">
        <f>IF(R$6="","",IF(WEEKDAY(R$6,1)=1,R41*R40,0))</f>
      </c>
      <c r="S44" s="64">
        <f>IF(S$6="","",IF(WEEKDAY(S$6,1)=1,S41*S40,0))</f>
      </c>
      <c r="T44" s="64">
        <f>IF(T$6="","",IF(WEEKDAY(T$6,1)=1,T41*T40,0))</f>
      </c>
      <c r="U44" s="64">
        <f>IF(U$6="","",IF(WEEKDAY(U$6,1)=1,U41*U40,0))</f>
      </c>
      <c r="V44" s="64">
        <f>IF(V$6="","",IF(WEEKDAY(V$6,1)=1,V41*V40,0))</f>
      </c>
      <c r="W44" s="64">
        <f>IF(W$6="","",IF(WEEKDAY(W$6,1)=1,W41*W40,0))</f>
      </c>
      <c r="X44" s="65">
        <f>IF(X$6="","",IF(WEEKDAY(X$6,1)=1,X41*X40,0))</f>
      </c>
      <c r="Y44" s="66">
        <f>IF(Y$6="","",IF(WEEKDAY(Y$6,1)=1,Y41*Y40,0))</f>
      </c>
      <c r="Z44" s="64">
        <f>IF(Z$6="","",IF(WEEKDAY(Z$6,1)=1,Z41*Z40,0))</f>
      </c>
      <c r="AA44" s="64">
        <f>IF(AA$6="","",IF(WEEKDAY(AA$6,1)=1,AA41*AA40,0))</f>
      </c>
      <c r="AB44" s="64">
        <f>IF(AB$6="","",IF(WEEKDAY(AB$6,1)=1,AB41*AB40,0))</f>
      </c>
      <c r="AC44" s="64">
        <f>IF(AC$6="","",IF(WEEKDAY(AC$6,1)=1,AC41*AC40,0))</f>
      </c>
      <c r="AD44" s="64">
        <f>IF(AD$6="","",IF(WEEKDAY(AD$6,1)=1,AD41*AD40,0))</f>
      </c>
      <c r="AE44" s="65">
        <f>IF(AE$6="","",IF(WEEKDAY(AE$6,1)=1,AE41*AE40,0))</f>
      </c>
      <c r="AF44" s="66">
        <f>IF(AF$6="","",IF(WEEKDAY(AF$6,1)=1,AF41*AF40,0))</f>
      </c>
      <c r="AG44" s="64">
        <f>IF(AG$6="","",IF(WEEKDAY(AG$6,1)=1,AG41*AG40,0))</f>
      </c>
      <c r="AH44" s="64">
        <f>IF(AH$6="","",IF(WEEKDAY(AH$6,1)=1,AH41*AH40,0))</f>
      </c>
      <c r="AI44" s="64">
        <f>IF(AI$6="","",IF(WEEKDAY(AI$6,1)=1,AI41*AI40,0))</f>
      </c>
      <c r="AJ44" s="64">
        <f>IF(AJ$6="","",IF(WEEKDAY(AJ$6,1)=1,AJ41*AJ40,0))</f>
      </c>
      <c r="AK44" s="64">
        <f>IF(AK$6="","",IF(WEEKDAY(AK$6,1)=1,AK41*AK40,0))</f>
      </c>
      <c r="AL44" s="65">
        <f>IF(AL$6="","",IF(WEEKDAY(AL$6,1)=1,AL41*AL40,0))</f>
      </c>
      <c r="AM44" s="66">
        <f>IF(AM$6="","",IF(WEEKDAY(AM$6,1)=1,AM41*AM40,0))</f>
      </c>
      <c r="AN44" s="64">
        <f>IF(AN$6="","",IF(WEEKDAY(AN$6,1)=1,AN41*AN40,0))</f>
      </c>
      <c r="AO44" s="64">
        <f>IF(AO$6="","",IF(WEEKDAY(AO$6,1)=1,AO41*AO40,0))</f>
      </c>
      <c r="AP44" s="64">
        <f>IF(AP$6="","",IF(WEEKDAY(AP$6,1)=1,AP41*AP40,0))</f>
      </c>
      <c r="AQ44" s="67">
        <f>IF(AQ$6="","",IF(WEEKDAY(AQ$6,1)=1,AQ41*AQ40,0))</f>
      </c>
      <c r="OV44" s="42" t="s">
        <v>47</v>
      </c>
    </row>
    <row r="45" spans="1:412" x14ac:dyDescent="0.25">
      <c r="A45" s="68"/>
      <c r="B45" s="69">
        <f>SUM(L45:AQ45)</f>
      </c>
      <c r="C45" s="70"/>
      <c r="D45" s="71">
        <f>B45*E45</f>
      </c>
      <c r="E45" s="71">
        <v>140</v>
      </c>
      <c r="F45" s="72" t="s">
        <v>40</v>
      </c>
      <c r="G45" s="73"/>
      <c r="H45" s="73"/>
      <c r="I45" s="73"/>
      <c r="J45" s="73"/>
      <c r="K45" s="74"/>
      <c r="L45" s="75">
        <v>1</v>
      </c>
      <c r="M45" s="76">
        <v>1</v>
      </c>
      <c r="N45" s="76">
        <v>1</v>
      </c>
      <c r="O45" s="76">
        <v>1</v>
      </c>
      <c r="P45" s="76">
        <v>1</v>
      </c>
      <c r="Q45" s="77">
        <v>0</v>
      </c>
      <c r="R45" s="78">
        <v>0</v>
      </c>
      <c r="S45" s="76">
        <v>1</v>
      </c>
      <c r="T45" s="76">
        <v>1</v>
      </c>
      <c r="U45" s="76">
        <v>1</v>
      </c>
      <c r="V45" s="76">
        <v>1</v>
      </c>
      <c r="W45" s="76">
        <v>1</v>
      </c>
      <c r="X45" s="77">
        <v>1</v>
      </c>
      <c r="Y45" s="78">
        <v>1</v>
      </c>
      <c r="Z45" s="76">
        <v>1</v>
      </c>
      <c r="AA45" s="76">
        <v>1</v>
      </c>
      <c r="AB45" s="76">
        <v>1</v>
      </c>
      <c r="AC45" s="76">
        <v>1</v>
      </c>
      <c r="AD45" s="76">
        <v>1</v>
      </c>
      <c r="AE45" s="77">
        <v>1</v>
      </c>
      <c r="AF45" s="78">
        <v>1</v>
      </c>
      <c r="AG45" s="76">
        <v>1</v>
      </c>
      <c r="AH45" s="76">
        <v>1</v>
      </c>
      <c r="AI45" s="76">
        <v>1</v>
      </c>
      <c r="AJ45" s="76">
        <v>0</v>
      </c>
      <c r="AK45" s="76">
        <v>0</v>
      </c>
      <c r="AL45" s="77">
        <v>0</v>
      </c>
      <c r="AM45" s="78">
        <v>0</v>
      </c>
      <c r="AN45" s="76">
        <v>0</v>
      </c>
      <c r="AO45" s="76">
        <v>0</v>
      </c>
      <c r="AP45" s="76">
        <v>0</v>
      </c>
      <c r="AQ45" s="79">
        <v>0</v>
      </c>
      <c r="OV45" s="42" t="s">
        <v>47</v>
      </c>
    </row>
    <row r="46" ht="8" customHeight="1" spans="1:43" x14ac:dyDescent="0.25">
      <c r="A46" s="80"/>
      <c r="B46" s="81"/>
      <c r="C46" s="80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</row>
    <row r="47" spans="1:412" x14ac:dyDescent="0.25">
      <c r="A47" s="82" t="s">
        <v>41</v>
      </c>
      <c r="B47" s="32">
        <f>G47+H47+I47</f>
      </c>
      <c r="C47" s="33" t="s">
        <v>46</v>
      </c>
      <c r="D47" s="34">
        <f>K47</f>
      </c>
      <c r="E47" s="35"/>
      <c r="F47" s="35" t="s">
        <v>32</v>
      </c>
      <c r="G47" s="32">
        <f>B50</f>
      </c>
      <c r="H47" s="32">
        <f>B51</f>
      </c>
      <c r="I47" s="32">
        <f>B52</f>
      </c>
      <c r="J47" s="32">
        <f>B53</f>
      </c>
      <c r="K47" s="36">
        <f>D50+D51+D52</f>
      </c>
      <c r="L47" s="37"/>
      <c r="M47" s="38"/>
      <c r="N47" s="38"/>
      <c r="O47" s="38"/>
      <c r="P47" s="38"/>
      <c r="Q47" s="39"/>
      <c r="R47" s="40"/>
      <c r="S47" s="38"/>
      <c r="T47" s="38"/>
      <c r="U47" s="38"/>
      <c r="V47" s="38"/>
      <c r="W47" s="38"/>
      <c r="X47" s="39"/>
      <c r="Y47" s="40"/>
      <c r="Z47" s="38"/>
      <c r="AA47" s="38"/>
      <c r="AB47" s="38"/>
      <c r="AC47" s="38"/>
      <c r="AD47" s="38"/>
      <c r="AE47" s="39"/>
      <c r="AF47" s="40"/>
      <c r="AG47" s="38"/>
      <c r="AH47" s="38"/>
      <c r="AI47" s="38"/>
      <c r="AJ47" s="38"/>
      <c r="AK47" s="38"/>
      <c r="AL47" s="39"/>
      <c r="AM47" s="40"/>
      <c r="AN47" s="38"/>
      <c r="AO47" s="38"/>
      <c r="AP47" s="38"/>
      <c r="AQ47" s="41"/>
      <c r="OV47" s="42" t="s">
        <v>48</v>
      </c>
    </row>
    <row r="48" spans="1:412" x14ac:dyDescent="0.25">
      <c r="A48" s="43"/>
      <c r="B48" s="44"/>
      <c r="C48" s="45"/>
      <c r="D48" s="44"/>
      <c r="E48" s="44"/>
      <c r="F48" s="44" t="s">
        <v>34</v>
      </c>
      <c r="G48" s="44"/>
      <c r="H48" s="44"/>
      <c r="I48" s="44"/>
      <c r="J48" s="44"/>
      <c r="K48" s="46"/>
      <c r="L48" s="47">
        <v>1</v>
      </c>
      <c r="M48" s="48">
        <v>1</v>
      </c>
      <c r="N48" s="48">
        <v>1</v>
      </c>
      <c r="O48" s="48">
        <v>1</v>
      </c>
      <c r="P48" s="48">
        <v>1</v>
      </c>
      <c r="Q48" s="49">
        <v>0</v>
      </c>
      <c r="R48" s="50">
        <v>0</v>
      </c>
      <c r="S48" s="48">
        <v>1</v>
      </c>
      <c r="T48" s="48">
        <v>1</v>
      </c>
      <c r="U48" s="48">
        <v>1</v>
      </c>
      <c r="V48" s="48">
        <v>1</v>
      </c>
      <c r="W48" s="48">
        <v>1</v>
      </c>
      <c r="X48" s="49">
        <v>1</v>
      </c>
      <c r="Y48" s="50">
        <v>1</v>
      </c>
      <c r="Z48" s="48">
        <v>1</v>
      </c>
      <c r="AA48" s="48">
        <v>1</v>
      </c>
      <c r="AB48" s="48">
        <v>1</v>
      </c>
      <c r="AC48" s="48">
        <v>1</v>
      </c>
      <c r="AD48" s="48">
        <v>1</v>
      </c>
      <c r="AE48" s="49">
        <v>1</v>
      </c>
      <c r="AF48" s="50">
        <v>1</v>
      </c>
      <c r="AG48" s="48">
        <v>1</v>
      </c>
      <c r="AH48" s="48">
        <v>1</v>
      </c>
      <c r="AI48" s="48">
        <v>1</v>
      </c>
      <c r="AJ48" s="48">
        <v>0</v>
      </c>
      <c r="AK48" s="48">
        <v>0</v>
      </c>
      <c r="AL48" s="49">
        <v>0</v>
      </c>
      <c r="AM48" s="50">
        <v>0</v>
      </c>
      <c r="AN48" s="48">
        <v>0</v>
      </c>
      <c r="AO48" s="48">
        <v>0</v>
      </c>
      <c r="AP48" s="48">
        <v>0</v>
      </c>
      <c r="AQ48" s="51">
        <v>0</v>
      </c>
      <c r="OV48" s="42" t="s">
        <v>48</v>
      </c>
    </row>
    <row r="49" ht="28" customHeight="1" spans="1:412" x14ac:dyDescent="0.25">
      <c r="A49" s="43" t="s">
        <v>35</v>
      </c>
      <c r="B49" s="44"/>
      <c r="C49" s="45"/>
      <c r="D49" s="44"/>
      <c r="E49" s="44"/>
      <c r="F49" s="44" t="s">
        <v>36</v>
      </c>
      <c r="G49" s="44"/>
      <c r="H49" s="44"/>
      <c r="I49" s="44"/>
      <c r="J49" s="44"/>
      <c r="K49" s="46"/>
      <c r="L49" s="52">
        <v>8</v>
      </c>
      <c r="M49" s="53">
        <v>8</v>
      </c>
      <c r="N49" s="53">
        <v>8</v>
      </c>
      <c r="O49" s="53">
        <v>8</v>
      </c>
      <c r="P49" s="53">
        <v>8</v>
      </c>
      <c r="Q49" s="54">
        <v>0</v>
      </c>
      <c r="R49" s="55">
        <v>0</v>
      </c>
      <c r="S49" s="53">
        <v>8</v>
      </c>
      <c r="T49" s="53">
        <v>8</v>
      </c>
      <c r="U49" s="53">
        <v>8</v>
      </c>
      <c r="V49" s="53">
        <v>12</v>
      </c>
      <c r="W49" s="53">
        <v>12</v>
      </c>
      <c r="X49" s="54">
        <v>12</v>
      </c>
      <c r="Y49" s="55">
        <v>12</v>
      </c>
      <c r="Z49" s="53">
        <v>12</v>
      </c>
      <c r="AA49" s="53">
        <v>12</v>
      </c>
      <c r="AB49" s="53">
        <v>12</v>
      </c>
      <c r="AC49" s="53">
        <v>12</v>
      </c>
      <c r="AD49" s="53">
        <v>12</v>
      </c>
      <c r="AE49" s="54">
        <v>12</v>
      </c>
      <c r="AF49" s="55">
        <v>12</v>
      </c>
      <c r="AG49" s="53">
        <v>12</v>
      </c>
      <c r="AH49" s="53">
        <v>12</v>
      </c>
      <c r="AI49" s="53">
        <v>12</v>
      </c>
      <c r="AJ49" s="53">
        <v>0</v>
      </c>
      <c r="AK49" s="53">
        <v>0</v>
      </c>
      <c r="AL49" s="54">
        <v>0</v>
      </c>
      <c r="AM49" s="55">
        <v>0</v>
      </c>
      <c r="AN49" s="53">
        <v>0</v>
      </c>
      <c r="AO49" s="53">
        <v>0</v>
      </c>
      <c r="AP49" s="53">
        <v>0</v>
      </c>
      <c r="AQ49" s="56">
        <v>0</v>
      </c>
      <c r="OV49" s="42" t="s">
        <v>48</v>
      </c>
    </row>
    <row r="50" spans="1:412" x14ac:dyDescent="0.25">
      <c r="A50" s="57"/>
      <c r="B50" s="58">
        <f>SUM(L50:AQ50)</f>
      </c>
      <c r="C50" s="59"/>
      <c r="D50" s="60">
        <f>B50*E50</f>
      </c>
      <c r="E50" s="60">
        <f>'Rate Tables'!C9</f>
      </c>
      <c r="F50" s="61" t="s">
        <v>37</v>
      </c>
      <c r="G50" s="14"/>
      <c r="H50" s="14"/>
      <c r="I50" s="14"/>
      <c r="J50" s="14"/>
      <c r="K50" s="62"/>
      <c r="L50" s="63">
        <f>IF(L$6="","",IF(WEEKDAY(L$6,1)=1,0,MIN(8,L49)*L48))</f>
      </c>
      <c r="M50" s="64">
        <f>IF(M$6="","",IF(WEEKDAY(M$6,1)=1,0,MIN(8,M49)*M48))</f>
      </c>
      <c r="N50" s="64">
        <f>IF(N$6="","",IF(WEEKDAY(N$6,1)=1,0,MIN(8,N49)*N48))</f>
      </c>
      <c r="O50" s="64">
        <f>IF(O$6="","",IF(WEEKDAY(O$6,1)=1,0,MIN(8,O49)*O48))</f>
      </c>
      <c r="P50" s="64">
        <f>IF(P$6="","",IF(WEEKDAY(P$6,1)=1,0,MIN(8,P49)*P48))</f>
      </c>
      <c r="Q50" s="65">
        <f>IF(Q$6="","",IF(WEEKDAY(Q$6,1)=1,0,MIN(8,Q49)*Q48))</f>
      </c>
      <c r="R50" s="66">
        <f>IF(R$6="","",IF(WEEKDAY(R$6,1)=1,0,MIN(8,R49)*R48))</f>
      </c>
      <c r="S50" s="64">
        <f>IF(S$6="","",IF(WEEKDAY(S$6,1)=1,0,MIN(8,S49)*S48))</f>
      </c>
      <c r="T50" s="64">
        <f>IF(T$6="","",IF(WEEKDAY(T$6,1)=1,0,MIN(8,T49)*T48))</f>
      </c>
      <c r="U50" s="64">
        <f>IF(U$6="","",IF(WEEKDAY(U$6,1)=1,0,MIN(8,U49)*U48))</f>
      </c>
      <c r="V50" s="64">
        <f>IF(V$6="","",IF(WEEKDAY(V$6,1)=1,0,MIN(8,V49)*V48))</f>
      </c>
      <c r="W50" s="64">
        <f>IF(W$6="","",IF(WEEKDAY(W$6,1)=1,0,MIN(8,W49)*W48))</f>
      </c>
      <c r="X50" s="65">
        <f>IF(X$6="","",IF(WEEKDAY(X$6,1)=1,0,MIN(8,X49)*X48))</f>
      </c>
      <c r="Y50" s="66">
        <f>IF(Y$6="","",IF(WEEKDAY(Y$6,1)=1,0,MIN(8,Y49)*Y48))</f>
      </c>
      <c r="Z50" s="64">
        <f>IF(Z$6="","",IF(WEEKDAY(Z$6,1)=1,0,MIN(8,Z49)*Z48))</f>
      </c>
      <c r="AA50" s="64">
        <f>IF(AA$6="","",IF(WEEKDAY(AA$6,1)=1,0,MIN(8,AA49)*AA48))</f>
      </c>
      <c r="AB50" s="64">
        <f>IF(AB$6="","",IF(WEEKDAY(AB$6,1)=1,0,MIN(8,AB49)*AB48))</f>
      </c>
      <c r="AC50" s="64">
        <f>IF(AC$6="","",IF(WEEKDAY(AC$6,1)=1,0,MIN(8,AC49)*AC48))</f>
      </c>
      <c r="AD50" s="64">
        <f>IF(AD$6="","",IF(WEEKDAY(AD$6,1)=1,0,MIN(8,AD49)*AD48))</f>
      </c>
      <c r="AE50" s="65">
        <f>IF(AE$6="","",IF(WEEKDAY(AE$6,1)=1,0,MIN(8,AE49)*AE48))</f>
      </c>
      <c r="AF50" s="66">
        <f>IF(AF$6="","",IF(WEEKDAY(AF$6,1)=1,0,MIN(8,AF49)*AF48))</f>
      </c>
      <c r="AG50" s="64">
        <f>IF(AG$6="","",IF(WEEKDAY(AG$6,1)=1,0,MIN(8,AG49)*AG48))</f>
      </c>
      <c r="AH50" s="64">
        <f>IF(AH$6="","",IF(WEEKDAY(AH$6,1)=1,0,MIN(8,AH49)*AH48))</f>
      </c>
      <c r="AI50" s="64">
        <f>IF(AI$6="","",IF(WEEKDAY(AI$6,1)=1,0,MIN(8,AI49)*AI48))</f>
      </c>
      <c r="AJ50" s="64">
        <f>IF(AJ$6="","",IF(WEEKDAY(AJ$6,1)=1,0,MIN(8,AJ49)*AJ48))</f>
      </c>
      <c r="AK50" s="64">
        <f>IF(AK$6="","",IF(WEEKDAY(AK$6,1)=1,0,MIN(8,AK49)*AK48))</f>
      </c>
      <c r="AL50" s="65">
        <f>IF(AL$6="","",IF(WEEKDAY(AL$6,1)=1,0,MIN(8,AL49)*AL48))</f>
      </c>
      <c r="AM50" s="66">
        <f>IF(AM$6="","",IF(WEEKDAY(AM$6,1)=1,0,MIN(8,AM49)*AM48))</f>
      </c>
      <c r="AN50" s="64">
        <f>IF(AN$6="","",IF(WEEKDAY(AN$6,1)=1,0,MIN(8,AN49)*AN48))</f>
      </c>
      <c r="AO50" s="64">
        <f>IF(AO$6="","",IF(WEEKDAY(AO$6,1)=1,0,MIN(8,AO49)*AO48))</f>
      </c>
      <c r="AP50" s="64">
        <f>IF(AP$6="","",IF(WEEKDAY(AP$6,1)=1,0,MIN(8,AP49)*AP48))</f>
      </c>
      <c r="AQ50" s="67">
        <f>IF(AQ$6="","",IF(WEEKDAY(AQ$6,1)=1,0,MIN(8,AQ49)*AQ48))</f>
      </c>
      <c r="OV50" s="42" t="s">
        <v>48</v>
      </c>
    </row>
    <row r="51" spans="1:412" x14ac:dyDescent="0.25">
      <c r="A51" s="57"/>
      <c r="B51" s="58">
        <f>SUM(L51:AQ51)</f>
      </c>
      <c r="C51" s="59"/>
      <c r="D51" s="60">
        <f>B51*E51</f>
      </c>
      <c r="E51" s="60">
        <f>'Rate Tables'!D9</f>
      </c>
      <c r="F51" s="61" t="s">
        <v>38</v>
      </c>
      <c r="G51" s="14"/>
      <c r="H51" s="14"/>
      <c r="I51" s="14"/>
      <c r="J51" s="14"/>
      <c r="K51" s="62"/>
      <c r="L51" s="63">
        <f>IF(L$6="","",IF(WEEKDAY(L$6,1)=1,0,MAX(0,L49-8)*L48))</f>
      </c>
      <c r="M51" s="64">
        <f>IF(M$6="","",IF(WEEKDAY(M$6,1)=1,0,MAX(0,M49-8)*M48))</f>
      </c>
      <c r="N51" s="64">
        <f>IF(N$6="","",IF(WEEKDAY(N$6,1)=1,0,MAX(0,N49-8)*N48))</f>
      </c>
      <c r="O51" s="64">
        <f>IF(O$6="","",IF(WEEKDAY(O$6,1)=1,0,MAX(0,O49-8)*O48))</f>
      </c>
      <c r="P51" s="64">
        <f>IF(P$6="","",IF(WEEKDAY(P$6,1)=1,0,MAX(0,P49-8)*P48))</f>
      </c>
      <c r="Q51" s="65">
        <f>IF(Q$6="","",IF(WEEKDAY(Q$6,1)=1,0,MAX(0,Q49-8)*Q48))</f>
      </c>
      <c r="R51" s="66">
        <f>IF(R$6="","",IF(WEEKDAY(R$6,1)=1,0,MAX(0,R49-8)*R48))</f>
      </c>
      <c r="S51" s="64">
        <f>IF(S$6="","",IF(WEEKDAY(S$6,1)=1,0,MAX(0,S49-8)*S48))</f>
      </c>
      <c r="T51" s="64">
        <f>IF(T$6="","",IF(WEEKDAY(T$6,1)=1,0,MAX(0,T49-8)*T48))</f>
      </c>
      <c r="U51" s="64">
        <f>IF(U$6="","",IF(WEEKDAY(U$6,1)=1,0,MAX(0,U49-8)*U48))</f>
      </c>
      <c r="V51" s="64">
        <f>IF(V$6="","",IF(WEEKDAY(V$6,1)=1,0,MAX(0,V49-8)*V48))</f>
      </c>
      <c r="W51" s="64">
        <f>IF(W$6="","",IF(WEEKDAY(W$6,1)=1,0,MAX(0,W49-8)*W48))</f>
      </c>
      <c r="X51" s="65">
        <f>IF(X$6="","",IF(WEEKDAY(X$6,1)=1,0,MAX(0,X49-8)*X48))</f>
      </c>
      <c r="Y51" s="66">
        <f>IF(Y$6="","",IF(WEEKDAY(Y$6,1)=1,0,MAX(0,Y49-8)*Y48))</f>
      </c>
      <c r="Z51" s="64">
        <f>IF(Z$6="","",IF(WEEKDAY(Z$6,1)=1,0,MAX(0,Z49-8)*Z48))</f>
      </c>
      <c r="AA51" s="64">
        <f>IF(AA$6="","",IF(WEEKDAY(AA$6,1)=1,0,MAX(0,AA49-8)*AA48))</f>
      </c>
      <c r="AB51" s="64">
        <f>IF(AB$6="","",IF(WEEKDAY(AB$6,1)=1,0,MAX(0,AB49-8)*AB48))</f>
      </c>
      <c r="AC51" s="64">
        <f>IF(AC$6="","",IF(WEEKDAY(AC$6,1)=1,0,MAX(0,AC49-8)*AC48))</f>
      </c>
      <c r="AD51" s="64">
        <f>IF(AD$6="","",IF(WEEKDAY(AD$6,1)=1,0,MAX(0,AD49-8)*AD48))</f>
      </c>
      <c r="AE51" s="65">
        <f>IF(AE$6="","",IF(WEEKDAY(AE$6,1)=1,0,MAX(0,AE49-8)*AE48))</f>
      </c>
      <c r="AF51" s="66">
        <f>IF(AF$6="","",IF(WEEKDAY(AF$6,1)=1,0,MAX(0,AF49-8)*AF48))</f>
      </c>
      <c r="AG51" s="64">
        <f>IF(AG$6="","",IF(WEEKDAY(AG$6,1)=1,0,MAX(0,AG49-8)*AG48))</f>
      </c>
      <c r="AH51" s="64">
        <f>IF(AH$6="","",IF(WEEKDAY(AH$6,1)=1,0,MAX(0,AH49-8)*AH48))</f>
      </c>
      <c r="AI51" s="64">
        <f>IF(AI$6="","",IF(WEEKDAY(AI$6,1)=1,0,MAX(0,AI49-8)*AI48))</f>
      </c>
      <c r="AJ51" s="64">
        <f>IF(AJ$6="","",IF(WEEKDAY(AJ$6,1)=1,0,MAX(0,AJ49-8)*AJ48))</f>
      </c>
      <c r="AK51" s="64">
        <f>IF(AK$6="","",IF(WEEKDAY(AK$6,1)=1,0,MAX(0,AK49-8)*AK48))</f>
      </c>
      <c r="AL51" s="65">
        <f>IF(AL$6="","",IF(WEEKDAY(AL$6,1)=1,0,MAX(0,AL49-8)*AL48))</f>
      </c>
      <c r="AM51" s="66">
        <f>IF(AM$6="","",IF(WEEKDAY(AM$6,1)=1,0,MAX(0,AM49-8)*AM48))</f>
      </c>
      <c r="AN51" s="64">
        <f>IF(AN$6="","",IF(WEEKDAY(AN$6,1)=1,0,MAX(0,AN49-8)*AN48))</f>
      </c>
      <c r="AO51" s="64">
        <f>IF(AO$6="","",IF(WEEKDAY(AO$6,1)=1,0,MAX(0,AO49-8)*AO48))</f>
      </c>
      <c r="AP51" s="64">
        <f>IF(AP$6="","",IF(WEEKDAY(AP$6,1)=1,0,MAX(0,AP49-8)*AP48))</f>
      </c>
      <c r="AQ51" s="67">
        <f>IF(AQ$6="","",IF(WEEKDAY(AQ$6,1)=1,0,MAX(0,AQ49-8)*AQ48))</f>
      </c>
      <c r="OV51" s="42" t="s">
        <v>48</v>
      </c>
    </row>
    <row r="52" spans="1:412" x14ac:dyDescent="0.25">
      <c r="A52" s="57"/>
      <c r="B52" s="58">
        <f>SUM(L52:AQ52)</f>
      </c>
      <c r="C52" s="59"/>
      <c r="D52" s="60">
        <f>B52*E52</f>
      </c>
      <c r="E52" s="60">
        <f>'Rate Tables'!E9</f>
      </c>
      <c r="F52" s="61" t="s">
        <v>39</v>
      </c>
      <c r="G52" s="14"/>
      <c r="H52" s="14"/>
      <c r="I52" s="14"/>
      <c r="J52" s="14"/>
      <c r="K52" s="62"/>
      <c r="L52" s="63">
        <f>IF(L$6="","",IF(WEEKDAY(L$6,1)=1,L49*L48,0))</f>
      </c>
      <c r="M52" s="64">
        <f>IF(M$6="","",IF(WEEKDAY(M$6,1)=1,M49*M48,0))</f>
      </c>
      <c r="N52" s="64">
        <f>IF(N$6="","",IF(WEEKDAY(N$6,1)=1,N49*N48,0))</f>
      </c>
      <c r="O52" s="64">
        <f>IF(O$6="","",IF(WEEKDAY(O$6,1)=1,O49*O48,0))</f>
      </c>
      <c r="P52" s="64">
        <f>IF(P$6="","",IF(WEEKDAY(P$6,1)=1,P49*P48,0))</f>
      </c>
      <c r="Q52" s="65">
        <f>IF(Q$6="","",IF(WEEKDAY(Q$6,1)=1,Q49*Q48,0))</f>
      </c>
      <c r="R52" s="66">
        <f>IF(R$6="","",IF(WEEKDAY(R$6,1)=1,R49*R48,0))</f>
      </c>
      <c r="S52" s="64">
        <f>IF(S$6="","",IF(WEEKDAY(S$6,1)=1,S49*S48,0))</f>
      </c>
      <c r="T52" s="64">
        <f>IF(T$6="","",IF(WEEKDAY(T$6,1)=1,T49*T48,0))</f>
      </c>
      <c r="U52" s="64">
        <f>IF(U$6="","",IF(WEEKDAY(U$6,1)=1,U49*U48,0))</f>
      </c>
      <c r="V52" s="64">
        <f>IF(V$6="","",IF(WEEKDAY(V$6,1)=1,V49*V48,0))</f>
      </c>
      <c r="W52" s="64">
        <f>IF(W$6="","",IF(WEEKDAY(W$6,1)=1,W49*W48,0))</f>
      </c>
      <c r="X52" s="65">
        <f>IF(X$6="","",IF(WEEKDAY(X$6,1)=1,X49*X48,0))</f>
      </c>
      <c r="Y52" s="66">
        <f>IF(Y$6="","",IF(WEEKDAY(Y$6,1)=1,Y49*Y48,0))</f>
      </c>
      <c r="Z52" s="64">
        <f>IF(Z$6="","",IF(WEEKDAY(Z$6,1)=1,Z49*Z48,0))</f>
      </c>
      <c r="AA52" s="64">
        <f>IF(AA$6="","",IF(WEEKDAY(AA$6,1)=1,AA49*AA48,0))</f>
      </c>
      <c r="AB52" s="64">
        <f>IF(AB$6="","",IF(WEEKDAY(AB$6,1)=1,AB49*AB48,0))</f>
      </c>
      <c r="AC52" s="64">
        <f>IF(AC$6="","",IF(WEEKDAY(AC$6,1)=1,AC49*AC48,0))</f>
      </c>
      <c r="AD52" s="64">
        <f>IF(AD$6="","",IF(WEEKDAY(AD$6,1)=1,AD49*AD48,0))</f>
      </c>
      <c r="AE52" s="65">
        <f>IF(AE$6="","",IF(WEEKDAY(AE$6,1)=1,AE49*AE48,0))</f>
      </c>
      <c r="AF52" s="66">
        <f>IF(AF$6="","",IF(WEEKDAY(AF$6,1)=1,AF49*AF48,0))</f>
      </c>
      <c r="AG52" s="64">
        <f>IF(AG$6="","",IF(WEEKDAY(AG$6,1)=1,AG49*AG48,0))</f>
      </c>
      <c r="AH52" s="64">
        <f>IF(AH$6="","",IF(WEEKDAY(AH$6,1)=1,AH49*AH48,0))</f>
      </c>
      <c r="AI52" s="64">
        <f>IF(AI$6="","",IF(WEEKDAY(AI$6,1)=1,AI49*AI48,0))</f>
      </c>
      <c r="AJ52" s="64">
        <f>IF(AJ$6="","",IF(WEEKDAY(AJ$6,1)=1,AJ49*AJ48,0))</f>
      </c>
      <c r="AK52" s="64">
        <f>IF(AK$6="","",IF(WEEKDAY(AK$6,1)=1,AK49*AK48,0))</f>
      </c>
      <c r="AL52" s="65">
        <f>IF(AL$6="","",IF(WEEKDAY(AL$6,1)=1,AL49*AL48,0))</f>
      </c>
      <c r="AM52" s="66">
        <f>IF(AM$6="","",IF(WEEKDAY(AM$6,1)=1,AM49*AM48,0))</f>
      </c>
      <c r="AN52" s="64">
        <f>IF(AN$6="","",IF(WEEKDAY(AN$6,1)=1,AN49*AN48,0))</f>
      </c>
      <c r="AO52" s="64">
        <f>IF(AO$6="","",IF(WEEKDAY(AO$6,1)=1,AO49*AO48,0))</f>
      </c>
      <c r="AP52" s="64">
        <f>IF(AP$6="","",IF(WEEKDAY(AP$6,1)=1,AP49*AP48,0))</f>
      </c>
      <c r="AQ52" s="67">
        <f>IF(AQ$6="","",IF(WEEKDAY(AQ$6,1)=1,AQ49*AQ48,0))</f>
      </c>
      <c r="OV52" s="42" t="s">
        <v>48</v>
      </c>
    </row>
    <row r="53" spans="1:412" x14ac:dyDescent="0.25">
      <c r="A53" s="68"/>
      <c r="B53" s="69">
        <f>SUM(L53:AQ53)</f>
      </c>
      <c r="C53" s="70"/>
      <c r="D53" s="71">
        <f>B53*E53</f>
      </c>
      <c r="E53" s="71">
        <v>140</v>
      </c>
      <c r="F53" s="72" t="s">
        <v>40</v>
      </c>
      <c r="G53" s="73"/>
      <c r="H53" s="73"/>
      <c r="I53" s="73"/>
      <c r="J53" s="73"/>
      <c r="K53" s="74"/>
      <c r="L53" s="75">
        <v>1</v>
      </c>
      <c r="M53" s="76">
        <v>1</v>
      </c>
      <c r="N53" s="76">
        <v>1</v>
      </c>
      <c r="O53" s="76">
        <v>1</v>
      </c>
      <c r="P53" s="76">
        <v>1</v>
      </c>
      <c r="Q53" s="77">
        <v>0</v>
      </c>
      <c r="R53" s="78">
        <v>0</v>
      </c>
      <c r="S53" s="76">
        <v>1</v>
      </c>
      <c r="T53" s="76">
        <v>1</v>
      </c>
      <c r="U53" s="76">
        <v>1</v>
      </c>
      <c r="V53" s="76">
        <v>1</v>
      </c>
      <c r="W53" s="76">
        <v>1</v>
      </c>
      <c r="X53" s="77">
        <v>1</v>
      </c>
      <c r="Y53" s="78">
        <v>1</v>
      </c>
      <c r="Z53" s="76">
        <v>1</v>
      </c>
      <c r="AA53" s="76">
        <v>1</v>
      </c>
      <c r="AB53" s="76">
        <v>1</v>
      </c>
      <c r="AC53" s="76">
        <v>1</v>
      </c>
      <c r="AD53" s="76">
        <v>1</v>
      </c>
      <c r="AE53" s="77">
        <v>1</v>
      </c>
      <c r="AF53" s="78">
        <v>1</v>
      </c>
      <c r="AG53" s="76">
        <v>1</v>
      </c>
      <c r="AH53" s="76">
        <v>1</v>
      </c>
      <c r="AI53" s="76">
        <v>1</v>
      </c>
      <c r="AJ53" s="76">
        <v>0</v>
      </c>
      <c r="AK53" s="76">
        <v>0</v>
      </c>
      <c r="AL53" s="77">
        <v>0</v>
      </c>
      <c r="AM53" s="78">
        <v>0</v>
      </c>
      <c r="AN53" s="76">
        <v>0</v>
      </c>
      <c r="AO53" s="76">
        <v>0</v>
      </c>
      <c r="AP53" s="76">
        <v>0</v>
      </c>
      <c r="AQ53" s="79">
        <v>0</v>
      </c>
      <c r="OV53" s="42" t="s">
        <v>48</v>
      </c>
    </row>
    <row r="54" ht="8" customHeight="1" spans="1:43" x14ac:dyDescent="0.25">
      <c r="A54" s="80"/>
      <c r="B54" s="81"/>
      <c r="C54" s="80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</row>
    <row r="55" spans="1:412" x14ac:dyDescent="0.25">
      <c r="A55" s="31" t="s">
        <v>30</v>
      </c>
      <c r="B55" s="32">
        <f>G55+H55+I55</f>
      </c>
      <c r="C55" s="33" t="s">
        <v>49</v>
      </c>
      <c r="D55" s="34">
        <f>K55</f>
      </c>
      <c r="E55" s="35"/>
      <c r="F55" s="35" t="s">
        <v>32</v>
      </c>
      <c r="G55" s="32">
        <f>B58</f>
      </c>
      <c r="H55" s="32">
        <f>B59</f>
      </c>
      <c r="I55" s="32">
        <f>B60</f>
      </c>
      <c r="J55" s="32">
        <f>B61</f>
      </c>
      <c r="K55" s="36">
        <f>D58+D59+D60</f>
      </c>
      <c r="L55" s="37"/>
      <c r="M55" s="38"/>
      <c r="N55" s="38"/>
      <c r="O55" s="38"/>
      <c r="P55" s="38"/>
      <c r="Q55" s="39"/>
      <c r="R55" s="40"/>
      <c r="S55" s="38"/>
      <c r="T55" s="38"/>
      <c r="U55" s="38"/>
      <c r="V55" s="38"/>
      <c r="W55" s="38"/>
      <c r="X55" s="39"/>
      <c r="Y55" s="40"/>
      <c r="Z55" s="38"/>
      <c r="AA55" s="38"/>
      <c r="AB55" s="38"/>
      <c r="AC55" s="38"/>
      <c r="AD55" s="38"/>
      <c r="AE55" s="39"/>
      <c r="AF55" s="40"/>
      <c r="AG55" s="38"/>
      <c r="AH55" s="38"/>
      <c r="AI55" s="38"/>
      <c r="AJ55" s="38"/>
      <c r="AK55" s="38"/>
      <c r="AL55" s="39"/>
      <c r="AM55" s="40"/>
      <c r="AN55" s="38"/>
      <c r="AO55" s="38"/>
      <c r="AP55" s="38"/>
      <c r="AQ55" s="41"/>
      <c r="OV55" s="42" t="s">
        <v>50</v>
      </c>
    </row>
    <row r="56" spans="1:412" x14ac:dyDescent="0.25">
      <c r="A56" s="43"/>
      <c r="B56" s="44"/>
      <c r="C56" s="45"/>
      <c r="D56" s="44"/>
      <c r="E56" s="44"/>
      <c r="F56" s="44" t="s">
        <v>34</v>
      </c>
      <c r="G56" s="44"/>
      <c r="H56" s="44"/>
      <c r="I56" s="44"/>
      <c r="J56" s="44"/>
      <c r="K56" s="46"/>
      <c r="L56" s="47">
        <v>1</v>
      </c>
      <c r="M56" s="48">
        <v>1</v>
      </c>
      <c r="N56" s="48">
        <v>1</v>
      </c>
      <c r="O56" s="48">
        <v>1</v>
      </c>
      <c r="P56" s="48">
        <v>1</v>
      </c>
      <c r="Q56" s="49">
        <v>0</v>
      </c>
      <c r="R56" s="50">
        <v>0</v>
      </c>
      <c r="S56" s="48">
        <v>1</v>
      </c>
      <c r="T56" s="48">
        <v>1</v>
      </c>
      <c r="U56" s="48">
        <v>1</v>
      </c>
      <c r="V56" s="48">
        <v>1</v>
      </c>
      <c r="W56" s="48">
        <v>1</v>
      </c>
      <c r="X56" s="49">
        <v>1</v>
      </c>
      <c r="Y56" s="50">
        <v>1</v>
      </c>
      <c r="Z56" s="48">
        <v>1</v>
      </c>
      <c r="AA56" s="48">
        <v>1</v>
      </c>
      <c r="AB56" s="48">
        <v>1</v>
      </c>
      <c r="AC56" s="48">
        <v>1</v>
      </c>
      <c r="AD56" s="48">
        <v>1</v>
      </c>
      <c r="AE56" s="49">
        <v>1</v>
      </c>
      <c r="AF56" s="50">
        <v>1</v>
      </c>
      <c r="AG56" s="48">
        <v>1</v>
      </c>
      <c r="AH56" s="48">
        <v>1</v>
      </c>
      <c r="AI56" s="48">
        <v>1</v>
      </c>
      <c r="AJ56" s="48">
        <v>1</v>
      </c>
      <c r="AK56" s="48">
        <v>1</v>
      </c>
      <c r="AL56" s="49">
        <v>0</v>
      </c>
      <c r="AM56" s="50">
        <v>0</v>
      </c>
      <c r="AN56" s="48">
        <v>1</v>
      </c>
      <c r="AO56" s="48">
        <v>1</v>
      </c>
      <c r="AP56" s="48">
        <v>1</v>
      </c>
      <c r="AQ56" s="51">
        <v>1</v>
      </c>
      <c r="OV56" s="42" t="s">
        <v>50</v>
      </c>
    </row>
    <row r="57" ht="28" customHeight="1" spans="1:412" x14ac:dyDescent="0.25">
      <c r="A57" s="43" t="s">
        <v>35</v>
      </c>
      <c r="B57" s="44"/>
      <c r="C57" s="45"/>
      <c r="D57" s="44"/>
      <c r="E57" s="44"/>
      <c r="F57" s="44" t="s">
        <v>36</v>
      </c>
      <c r="G57" s="44"/>
      <c r="H57" s="44"/>
      <c r="I57" s="44"/>
      <c r="J57" s="44"/>
      <c r="K57" s="46"/>
      <c r="L57" s="52">
        <v>8</v>
      </c>
      <c r="M57" s="53">
        <v>8</v>
      </c>
      <c r="N57" s="53">
        <v>8</v>
      </c>
      <c r="O57" s="53">
        <v>8</v>
      </c>
      <c r="P57" s="53">
        <v>8</v>
      </c>
      <c r="Q57" s="54">
        <v>0</v>
      </c>
      <c r="R57" s="55">
        <v>0</v>
      </c>
      <c r="S57" s="53">
        <v>8</v>
      </c>
      <c r="T57" s="53">
        <v>8</v>
      </c>
      <c r="U57" s="53">
        <v>8</v>
      </c>
      <c r="V57" s="53">
        <v>12</v>
      </c>
      <c r="W57" s="53">
        <v>12</v>
      </c>
      <c r="X57" s="54">
        <v>12</v>
      </c>
      <c r="Y57" s="55">
        <v>12</v>
      </c>
      <c r="Z57" s="53">
        <v>12</v>
      </c>
      <c r="AA57" s="53">
        <v>12</v>
      </c>
      <c r="AB57" s="53">
        <v>12</v>
      </c>
      <c r="AC57" s="53">
        <v>12</v>
      </c>
      <c r="AD57" s="53">
        <v>12</v>
      </c>
      <c r="AE57" s="54">
        <v>12</v>
      </c>
      <c r="AF57" s="55">
        <v>12</v>
      </c>
      <c r="AG57" s="53">
        <v>12</v>
      </c>
      <c r="AH57" s="53">
        <v>12</v>
      </c>
      <c r="AI57" s="53">
        <v>12</v>
      </c>
      <c r="AJ57" s="53">
        <v>8</v>
      </c>
      <c r="AK57" s="53">
        <v>8</v>
      </c>
      <c r="AL57" s="54">
        <v>0</v>
      </c>
      <c r="AM57" s="55">
        <v>0</v>
      </c>
      <c r="AN57" s="53">
        <v>8</v>
      </c>
      <c r="AO57" s="53">
        <v>8</v>
      </c>
      <c r="AP57" s="53">
        <v>8</v>
      </c>
      <c r="AQ57" s="56">
        <v>8</v>
      </c>
      <c r="OV57" s="42" t="s">
        <v>50</v>
      </c>
    </row>
    <row r="58" spans="1:412" x14ac:dyDescent="0.25">
      <c r="A58" s="57"/>
      <c r="B58" s="58">
        <f>SUM(L58:AQ58)</f>
      </c>
      <c r="C58" s="59"/>
      <c r="D58" s="60">
        <f>B58*E58</f>
      </c>
      <c r="E58" s="60">
        <f>'Rate Tables'!C10</f>
      </c>
      <c r="F58" s="61" t="s">
        <v>37</v>
      </c>
      <c r="G58" s="14"/>
      <c r="H58" s="14"/>
      <c r="I58" s="14"/>
      <c r="J58" s="14"/>
      <c r="K58" s="62"/>
      <c r="L58" s="63">
        <f>IF(L$6="","",IF(OR(WEEKDAY(L$6,1)=1,WEEKDAY(L$6,1)=7),0,MIN(8,L57)*L56))</f>
      </c>
      <c r="M58" s="64">
        <f>IF(M$6="","",IF(OR(WEEKDAY(M$6,1)=1,WEEKDAY(M$6,1)=7),0,MIN(8,M57)*M56))</f>
      </c>
      <c r="N58" s="64">
        <f>IF(N$6="","",IF(OR(WEEKDAY(N$6,1)=1,WEEKDAY(N$6,1)=7),0,MIN(8,N57)*N56))</f>
      </c>
      <c r="O58" s="64">
        <f>IF(O$6="","",IF(OR(WEEKDAY(O$6,1)=1,WEEKDAY(O$6,1)=7),0,MIN(8,O57)*O56))</f>
      </c>
      <c r="P58" s="64">
        <f>IF(P$6="","",IF(OR(WEEKDAY(P$6,1)=1,WEEKDAY(P$6,1)=7),0,MIN(8,P57)*P56))</f>
      </c>
      <c r="Q58" s="65">
        <f>IF(Q$6="","",IF(OR(WEEKDAY(Q$6,1)=1,WEEKDAY(Q$6,1)=7),0,MIN(8,Q57)*Q56))</f>
      </c>
      <c r="R58" s="66">
        <f>IF(R$6="","",IF(OR(WEEKDAY(R$6,1)=1,WEEKDAY(R$6,1)=7),0,MIN(8,R57)*R56))</f>
      </c>
      <c r="S58" s="64">
        <f>IF(S$6="","",IF(OR(WEEKDAY(S$6,1)=1,WEEKDAY(S$6,1)=7),0,MIN(8,S57)*S56))</f>
      </c>
      <c r="T58" s="64">
        <f>IF(T$6="","",IF(OR(WEEKDAY(T$6,1)=1,WEEKDAY(T$6,1)=7),0,MIN(8,T57)*T56))</f>
      </c>
      <c r="U58" s="64">
        <f>IF(U$6="","",IF(OR(WEEKDAY(U$6,1)=1,WEEKDAY(U$6,1)=7),0,MIN(8,U57)*U56))</f>
      </c>
      <c r="V58" s="64">
        <f>IF(V$6="","",IF(OR(WEEKDAY(V$6,1)=1,WEEKDAY(V$6,1)=7),0,MIN(8,V57)*V56))</f>
      </c>
      <c r="W58" s="64">
        <f>IF(W$6="","",IF(OR(WEEKDAY(W$6,1)=1,WEEKDAY(W$6,1)=7),0,MIN(8,W57)*W56))</f>
      </c>
      <c r="X58" s="65">
        <f>IF(X$6="","",IF(OR(WEEKDAY(X$6,1)=1,WEEKDAY(X$6,1)=7),0,MIN(8,X57)*X56))</f>
      </c>
      <c r="Y58" s="66">
        <f>IF(Y$6="","",IF(OR(WEEKDAY(Y$6,1)=1,WEEKDAY(Y$6,1)=7),0,MIN(8,Y57)*Y56))</f>
      </c>
      <c r="Z58" s="64">
        <f>IF(Z$6="","",IF(OR(WEEKDAY(Z$6,1)=1,WEEKDAY(Z$6,1)=7),0,MIN(8,Z57)*Z56))</f>
      </c>
      <c r="AA58" s="64">
        <f>IF(AA$6="","",IF(OR(WEEKDAY(AA$6,1)=1,WEEKDAY(AA$6,1)=7),0,MIN(8,AA57)*AA56))</f>
      </c>
      <c r="AB58" s="64">
        <f>IF(AB$6="","",IF(OR(WEEKDAY(AB$6,1)=1,WEEKDAY(AB$6,1)=7),0,MIN(8,AB57)*AB56))</f>
      </c>
      <c r="AC58" s="64">
        <f>IF(AC$6="","",IF(OR(WEEKDAY(AC$6,1)=1,WEEKDAY(AC$6,1)=7),0,MIN(8,AC57)*AC56))</f>
      </c>
      <c r="AD58" s="64">
        <f>IF(AD$6="","",IF(OR(WEEKDAY(AD$6,1)=1,WEEKDAY(AD$6,1)=7),0,MIN(8,AD57)*AD56))</f>
      </c>
      <c r="AE58" s="65">
        <f>IF(AE$6="","",IF(OR(WEEKDAY(AE$6,1)=1,WEEKDAY(AE$6,1)=7),0,MIN(8,AE57)*AE56))</f>
      </c>
      <c r="AF58" s="66">
        <f>IF(AF$6="","",IF(OR(WEEKDAY(AF$6,1)=1,WEEKDAY(AF$6,1)=7),0,MIN(8,AF57)*AF56))</f>
      </c>
      <c r="AG58" s="64">
        <f>IF(AG$6="","",IF(OR(WEEKDAY(AG$6,1)=1,WEEKDAY(AG$6,1)=7),0,MIN(8,AG57)*AG56))</f>
      </c>
      <c r="AH58" s="64">
        <f>IF(AH$6="","",IF(OR(WEEKDAY(AH$6,1)=1,WEEKDAY(AH$6,1)=7),0,MIN(8,AH57)*AH56))</f>
      </c>
      <c r="AI58" s="64">
        <f>IF(AI$6="","",IF(OR(WEEKDAY(AI$6,1)=1,WEEKDAY(AI$6,1)=7),0,MIN(8,AI57)*AI56))</f>
      </c>
      <c r="AJ58" s="64">
        <f>IF(AJ$6="","",IF(OR(WEEKDAY(AJ$6,1)=1,WEEKDAY(AJ$6,1)=7),0,MIN(8,AJ57)*AJ56))</f>
      </c>
      <c r="AK58" s="64">
        <f>IF(AK$6="","",IF(OR(WEEKDAY(AK$6,1)=1,WEEKDAY(AK$6,1)=7),0,MIN(8,AK57)*AK56))</f>
      </c>
      <c r="AL58" s="65">
        <f>IF(AL$6="","",IF(OR(WEEKDAY(AL$6,1)=1,WEEKDAY(AL$6,1)=7),0,MIN(8,AL57)*AL56))</f>
      </c>
      <c r="AM58" s="66">
        <f>IF(AM$6="","",IF(OR(WEEKDAY(AM$6,1)=1,WEEKDAY(AM$6,1)=7),0,MIN(8,AM57)*AM56))</f>
      </c>
      <c r="AN58" s="64">
        <f>IF(AN$6="","",IF(OR(WEEKDAY(AN$6,1)=1,WEEKDAY(AN$6,1)=7),0,MIN(8,AN57)*AN56))</f>
      </c>
      <c r="AO58" s="64">
        <f>IF(AO$6="","",IF(OR(WEEKDAY(AO$6,1)=1,WEEKDAY(AO$6,1)=7),0,MIN(8,AO57)*AO56))</f>
      </c>
      <c r="AP58" s="64">
        <f>IF(AP$6="","",IF(OR(WEEKDAY(AP$6,1)=1,WEEKDAY(AP$6,1)=7),0,MIN(8,AP57)*AP56))</f>
      </c>
      <c r="AQ58" s="67">
        <f>IF(AQ$6="","",IF(OR(WEEKDAY(AQ$6,1)=1,WEEKDAY(AQ$6,1)=7),0,MIN(8,AQ57)*AQ56))</f>
      </c>
      <c r="OV58" s="42" t="s">
        <v>50</v>
      </c>
    </row>
    <row r="59" spans="1:412" x14ac:dyDescent="0.25">
      <c r="A59" s="57"/>
      <c r="B59" s="58">
        <f>SUM(L59:AQ59)</f>
      </c>
      <c r="C59" s="59"/>
      <c r="D59" s="60">
        <f>B59*E59</f>
      </c>
      <c r="E59" s="60">
        <f>'Rate Tables'!D10</f>
      </c>
      <c r="F59" s="61" t="s">
        <v>38</v>
      </c>
      <c r="G59" s="14"/>
      <c r="H59" s="14"/>
      <c r="I59" s="14"/>
      <c r="J59" s="14"/>
      <c r="K59" s="62"/>
      <c r="L59" s="63">
        <f>IF(L$6="","",IF(WEEKDAY(L$6,1)=1,0,IF(WEEKDAY(L$6,1)=7,L57*L56,MAX(0,L57-8)*L56)))</f>
      </c>
      <c r="M59" s="64">
        <f>IF(M$6="","",IF(WEEKDAY(M$6,1)=1,0,IF(WEEKDAY(M$6,1)=7,M57*M56,MAX(0,M57-8)*M56)))</f>
      </c>
      <c r="N59" s="64">
        <f>IF(N$6="","",IF(WEEKDAY(N$6,1)=1,0,IF(WEEKDAY(N$6,1)=7,N57*N56,MAX(0,N57-8)*N56)))</f>
      </c>
      <c r="O59" s="64">
        <f>IF(O$6="","",IF(WEEKDAY(O$6,1)=1,0,IF(WEEKDAY(O$6,1)=7,O57*O56,MAX(0,O57-8)*O56)))</f>
      </c>
      <c r="P59" s="64">
        <f>IF(P$6="","",IF(WEEKDAY(P$6,1)=1,0,IF(WEEKDAY(P$6,1)=7,P57*P56,MAX(0,P57-8)*P56)))</f>
      </c>
      <c r="Q59" s="65">
        <f>IF(Q$6="","",IF(WEEKDAY(Q$6,1)=1,0,IF(WEEKDAY(Q$6,1)=7,Q57*Q56,MAX(0,Q57-8)*Q56)))</f>
      </c>
      <c r="R59" s="66">
        <f>IF(R$6="","",IF(WEEKDAY(R$6,1)=1,0,IF(WEEKDAY(R$6,1)=7,R57*R56,MAX(0,R57-8)*R56)))</f>
      </c>
      <c r="S59" s="64">
        <f>IF(S$6="","",IF(WEEKDAY(S$6,1)=1,0,IF(WEEKDAY(S$6,1)=7,S57*S56,MAX(0,S57-8)*S56)))</f>
      </c>
      <c r="T59" s="64">
        <f>IF(T$6="","",IF(WEEKDAY(T$6,1)=1,0,IF(WEEKDAY(T$6,1)=7,T57*T56,MAX(0,T57-8)*T56)))</f>
      </c>
      <c r="U59" s="64">
        <f>IF(U$6="","",IF(WEEKDAY(U$6,1)=1,0,IF(WEEKDAY(U$6,1)=7,U57*U56,MAX(0,U57-8)*U56)))</f>
      </c>
      <c r="V59" s="64">
        <f>IF(V$6="","",IF(WEEKDAY(V$6,1)=1,0,IF(WEEKDAY(V$6,1)=7,V57*V56,MAX(0,V57-8)*V56)))</f>
      </c>
      <c r="W59" s="64">
        <f>IF(W$6="","",IF(WEEKDAY(W$6,1)=1,0,IF(WEEKDAY(W$6,1)=7,W57*W56,MAX(0,W57-8)*W56)))</f>
      </c>
      <c r="X59" s="65">
        <f>IF(X$6="","",IF(WEEKDAY(X$6,1)=1,0,IF(WEEKDAY(X$6,1)=7,X57*X56,MAX(0,X57-8)*X56)))</f>
      </c>
      <c r="Y59" s="66">
        <f>IF(Y$6="","",IF(WEEKDAY(Y$6,1)=1,0,IF(WEEKDAY(Y$6,1)=7,Y57*Y56,MAX(0,Y57-8)*Y56)))</f>
      </c>
      <c r="Z59" s="64">
        <f>IF(Z$6="","",IF(WEEKDAY(Z$6,1)=1,0,IF(WEEKDAY(Z$6,1)=7,Z57*Z56,MAX(0,Z57-8)*Z56)))</f>
      </c>
      <c r="AA59" s="64">
        <f>IF(AA$6="","",IF(WEEKDAY(AA$6,1)=1,0,IF(WEEKDAY(AA$6,1)=7,AA57*AA56,MAX(0,AA57-8)*AA56)))</f>
      </c>
      <c r="AB59" s="64">
        <f>IF(AB$6="","",IF(WEEKDAY(AB$6,1)=1,0,IF(WEEKDAY(AB$6,1)=7,AB57*AB56,MAX(0,AB57-8)*AB56)))</f>
      </c>
      <c r="AC59" s="64">
        <f>IF(AC$6="","",IF(WEEKDAY(AC$6,1)=1,0,IF(WEEKDAY(AC$6,1)=7,AC57*AC56,MAX(0,AC57-8)*AC56)))</f>
      </c>
      <c r="AD59" s="64">
        <f>IF(AD$6="","",IF(WEEKDAY(AD$6,1)=1,0,IF(WEEKDAY(AD$6,1)=7,AD57*AD56,MAX(0,AD57-8)*AD56)))</f>
      </c>
      <c r="AE59" s="65">
        <f>IF(AE$6="","",IF(WEEKDAY(AE$6,1)=1,0,IF(WEEKDAY(AE$6,1)=7,AE57*AE56,MAX(0,AE57-8)*AE56)))</f>
      </c>
      <c r="AF59" s="66">
        <f>IF(AF$6="","",IF(WEEKDAY(AF$6,1)=1,0,IF(WEEKDAY(AF$6,1)=7,AF57*AF56,MAX(0,AF57-8)*AF56)))</f>
      </c>
      <c r="AG59" s="64">
        <f>IF(AG$6="","",IF(WEEKDAY(AG$6,1)=1,0,IF(WEEKDAY(AG$6,1)=7,AG57*AG56,MAX(0,AG57-8)*AG56)))</f>
      </c>
      <c r="AH59" s="64">
        <f>IF(AH$6="","",IF(WEEKDAY(AH$6,1)=1,0,IF(WEEKDAY(AH$6,1)=7,AH57*AH56,MAX(0,AH57-8)*AH56)))</f>
      </c>
      <c r="AI59" s="64">
        <f>IF(AI$6="","",IF(WEEKDAY(AI$6,1)=1,0,IF(WEEKDAY(AI$6,1)=7,AI57*AI56,MAX(0,AI57-8)*AI56)))</f>
      </c>
      <c r="AJ59" s="64">
        <f>IF(AJ$6="","",IF(WEEKDAY(AJ$6,1)=1,0,IF(WEEKDAY(AJ$6,1)=7,AJ57*AJ56,MAX(0,AJ57-8)*AJ56)))</f>
      </c>
      <c r="AK59" s="64">
        <f>IF(AK$6="","",IF(WEEKDAY(AK$6,1)=1,0,IF(WEEKDAY(AK$6,1)=7,AK57*AK56,MAX(0,AK57-8)*AK56)))</f>
      </c>
      <c r="AL59" s="65">
        <f>IF(AL$6="","",IF(WEEKDAY(AL$6,1)=1,0,IF(WEEKDAY(AL$6,1)=7,AL57*AL56,MAX(0,AL57-8)*AL56)))</f>
      </c>
      <c r="AM59" s="66">
        <f>IF(AM$6="","",IF(WEEKDAY(AM$6,1)=1,0,IF(WEEKDAY(AM$6,1)=7,AM57*AM56,MAX(0,AM57-8)*AM56)))</f>
      </c>
      <c r="AN59" s="64">
        <f>IF(AN$6="","",IF(WEEKDAY(AN$6,1)=1,0,IF(WEEKDAY(AN$6,1)=7,AN57*AN56,MAX(0,AN57-8)*AN56)))</f>
      </c>
      <c r="AO59" s="64">
        <f>IF(AO$6="","",IF(WEEKDAY(AO$6,1)=1,0,IF(WEEKDAY(AO$6,1)=7,AO57*AO56,MAX(0,AO57-8)*AO56)))</f>
      </c>
      <c r="AP59" s="64">
        <f>IF(AP$6="","",IF(WEEKDAY(AP$6,1)=1,0,IF(WEEKDAY(AP$6,1)=7,AP57*AP56,MAX(0,AP57-8)*AP56)))</f>
      </c>
      <c r="AQ59" s="67">
        <f>IF(AQ$6="","",IF(WEEKDAY(AQ$6,1)=1,0,IF(WEEKDAY(AQ$6,1)=7,AQ57*AQ56,MAX(0,AQ57-8)*AQ56)))</f>
      </c>
      <c r="OV59" s="42" t="s">
        <v>50</v>
      </c>
    </row>
    <row r="60" spans="1:412" x14ac:dyDescent="0.25">
      <c r="A60" s="57"/>
      <c r="B60" s="58">
        <f>SUM(L60:AQ60)</f>
      </c>
      <c r="C60" s="59"/>
      <c r="D60" s="60">
        <f>B60*E60</f>
      </c>
      <c r="E60" s="60">
        <f>'Rate Tables'!E10</f>
      </c>
      <c r="F60" s="61" t="s">
        <v>39</v>
      </c>
      <c r="G60" s="14"/>
      <c r="H60" s="14"/>
      <c r="I60" s="14"/>
      <c r="J60" s="14"/>
      <c r="K60" s="62"/>
      <c r="L60" s="63">
        <f>IF(L$6="","",IF(WEEKDAY(L$6,1)=1,L57*L56,0))</f>
      </c>
      <c r="M60" s="64">
        <f>IF(M$6="","",IF(WEEKDAY(M$6,1)=1,M57*M56,0))</f>
      </c>
      <c r="N60" s="64">
        <f>IF(N$6="","",IF(WEEKDAY(N$6,1)=1,N57*N56,0))</f>
      </c>
      <c r="O60" s="64">
        <f>IF(O$6="","",IF(WEEKDAY(O$6,1)=1,O57*O56,0))</f>
      </c>
      <c r="P60" s="64">
        <f>IF(P$6="","",IF(WEEKDAY(P$6,1)=1,P57*P56,0))</f>
      </c>
      <c r="Q60" s="65">
        <f>IF(Q$6="","",IF(WEEKDAY(Q$6,1)=1,Q57*Q56,0))</f>
      </c>
      <c r="R60" s="66">
        <f>IF(R$6="","",IF(WEEKDAY(R$6,1)=1,R57*R56,0))</f>
      </c>
      <c r="S60" s="64">
        <f>IF(S$6="","",IF(WEEKDAY(S$6,1)=1,S57*S56,0))</f>
      </c>
      <c r="T60" s="64">
        <f>IF(T$6="","",IF(WEEKDAY(T$6,1)=1,T57*T56,0))</f>
      </c>
      <c r="U60" s="64">
        <f>IF(U$6="","",IF(WEEKDAY(U$6,1)=1,U57*U56,0))</f>
      </c>
      <c r="V60" s="64">
        <f>IF(V$6="","",IF(WEEKDAY(V$6,1)=1,V57*V56,0))</f>
      </c>
      <c r="W60" s="64">
        <f>IF(W$6="","",IF(WEEKDAY(W$6,1)=1,W57*W56,0))</f>
      </c>
      <c r="X60" s="65">
        <f>IF(X$6="","",IF(WEEKDAY(X$6,1)=1,X57*X56,0))</f>
      </c>
      <c r="Y60" s="66">
        <f>IF(Y$6="","",IF(WEEKDAY(Y$6,1)=1,Y57*Y56,0))</f>
      </c>
      <c r="Z60" s="64">
        <f>IF(Z$6="","",IF(WEEKDAY(Z$6,1)=1,Z57*Z56,0))</f>
      </c>
      <c r="AA60" s="64">
        <f>IF(AA$6="","",IF(WEEKDAY(AA$6,1)=1,AA57*AA56,0))</f>
      </c>
      <c r="AB60" s="64">
        <f>IF(AB$6="","",IF(WEEKDAY(AB$6,1)=1,AB57*AB56,0))</f>
      </c>
      <c r="AC60" s="64">
        <f>IF(AC$6="","",IF(WEEKDAY(AC$6,1)=1,AC57*AC56,0))</f>
      </c>
      <c r="AD60" s="64">
        <f>IF(AD$6="","",IF(WEEKDAY(AD$6,1)=1,AD57*AD56,0))</f>
      </c>
      <c r="AE60" s="65">
        <f>IF(AE$6="","",IF(WEEKDAY(AE$6,1)=1,AE57*AE56,0))</f>
      </c>
      <c r="AF60" s="66">
        <f>IF(AF$6="","",IF(WEEKDAY(AF$6,1)=1,AF57*AF56,0))</f>
      </c>
      <c r="AG60" s="64">
        <f>IF(AG$6="","",IF(WEEKDAY(AG$6,1)=1,AG57*AG56,0))</f>
      </c>
      <c r="AH60" s="64">
        <f>IF(AH$6="","",IF(WEEKDAY(AH$6,1)=1,AH57*AH56,0))</f>
      </c>
      <c r="AI60" s="64">
        <f>IF(AI$6="","",IF(WEEKDAY(AI$6,1)=1,AI57*AI56,0))</f>
      </c>
      <c r="AJ60" s="64">
        <f>IF(AJ$6="","",IF(WEEKDAY(AJ$6,1)=1,AJ57*AJ56,0))</f>
      </c>
      <c r="AK60" s="64">
        <f>IF(AK$6="","",IF(WEEKDAY(AK$6,1)=1,AK57*AK56,0))</f>
      </c>
      <c r="AL60" s="65">
        <f>IF(AL$6="","",IF(WEEKDAY(AL$6,1)=1,AL57*AL56,0))</f>
      </c>
      <c r="AM60" s="66">
        <f>IF(AM$6="","",IF(WEEKDAY(AM$6,1)=1,AM57*AM56,0))</f>
      </c>
      <c r="AN60" s="64">
        <f>IF(AN$6="","",IF(WEEKDAY(AN$6,1)=1,AN57*AN56,0))</f>
      </c>
      <c r="AO60" s="64">
        <f>IF(AO$6="","",IF(WEEKDAY(AO$6,1)=1,AO57*AO56,0))</f>
      </c>
      <c r="AP60" s="64">
        <f>IF(AP$6="","",IF(WEEKDAY(AP$6,1)=1,AP57*AP56,0))</f>
      </c>
      <c r="AQ60" s="67">
        <f>IF(AQ$6="","",IF(WEEKDAY(AQ$6,1)=1,AQ57*AQ56,0))</f>
      </c>
      <c r="OV60" s="42" t="s">
        <v>50</v>
      </c>
    </row>
    <row r="61" spans="1:412" x14ac:dyDescent="0.25">
      <c r="A61" s="68"/>
      <c r="B61" s="69">
        <f>SUM(L61:AQ61)</f>
      </c>
      <c r="C61" s="70"/>
      <c r="D61" s="71">
        <f>B61*E61</f>
      </c>
      <c r="E61" s="71">
        <v>140</v>
      </c>
      <c r="F61" s="72" t="s">
        <v>40</v>
      </c>
      <c r="G61" s="73"/>
      <c r="H61" s="73"/>
      <c r="I61" s="73"/>
      <c r="J61" s="73"/>
      <c r="K61" s="74"/>
      <c r="L61" s="75">
        <v>1</v>
      </c>
      <c r="M61" s="76">
        <v>1</v>
      </c>
      <c r="N61" s="76">
        <v>1</v>
      </c>
      <c r="O61" s="76">
        <v>1</v>
      </c>
      <c r="P61" s="76">
        <v>1</v>
      </c>
      <c r="Q61" s="77">
        <v>0</v>
      </c>
      <c r="R61" s="78">
        <v>0</v>
      </c>
      <c r="S61" s="76">
        <v>1</v>
      </c>
      <c r="T61" s="76">
        <v>1</v>
      </c>
      <c r="U61" s="76">
        <v>1</v>
      </c>
      <c r="V61" s="76">
        <v>1</v>
      </c>
      <c r="W61" s="76">
        <v>1</v>
      </c>
      <c r="X61" s="77">
        <v>1</v>
      </c>
      <c r="Y61" s="78">
        <v>1</v>
      </c>
      <c r="Z61" s="76">
        <v>1</v>
      </c>
      <c r="AA61" s="76">
        <v>1</v>
      </c>
      <c r="AB61" s="76">
        <v>1</v>
      </c>
      <c r="AC61" s="76">
        <v>1</v>
      </c>
      <c r="AD61" s="76">
        <v>1</v>
      </c>
      <c r="AE61" s="77">
        <v>1</v>
      </c>
      <c r="AF61" s="78">
        <v>1</v>
      </c>
      <c r="AG61" s="76">
        <v>1</v>
      </c>
      <c r="AH61" s="76">
        <v>1</v>
      </c>
      <c r="AI61" s="76">
        <v>1</v>
      </c>
      <c r="AJ61" s="76">
        <v>0</v>
      </c>
      <c r="AK61" s="76">
        <v>0</v>
      </c>
      <c r="AL61" s="77">
        <v>0</v>
      </c>
      <c r="AM61" s="78">
        <v>0</v>
      </c>
      <c r="AN61" s="76">
        <v>0</v>
      </c>
      <c r="AO61" s="76">
        <v>0</v>
      </c>
      <c r="AP61" s="76">
        <v>0</v>
      </c>
      <c r="AQ61" s="79">
        <v>0</v>
      </c>
      <c r="OV61" s="42" t="s">
        <v>50</v>
      </c>
    </row>
    <row r="62" ht="8" customHeight="1" spans="1:43" x14ac:dyDescent="0.25">
      <c r="A62" s="80"/>
      <c r="B62" s="81"/>
      <c r="C62" s="80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</row>
    <row r="63" spans="1:412" x14ac:dyDescent="0.25">
      <c r="A63" s="82" t="s">
        <v>41</v>
      </c>
      <c r="B63" s="32">
        <f>G63+H63+I63</f>
      </c>
      <c r="C63" s="33" t="s">
        <v>49</v>
      </c>
      <c r="D63" s="34">
        <f>K63</f>
      </c>
      <c r="E63" s="35"/>
      <c r="F63" s="35" t="s">
        <v>32</v>
      </c>
      <c r="G63" s="32">
        <f>B66</f>
      </c>
      <c r="H63" s="32">
        <f>B67</f>
      </c>
      <c r="I63" s="32">
        <f>B68</f>
      </c>
      <c r="J63" s="32">
        <f>B69</f>
      </c>
      <c r="K63" s="36">
        <f>D66+D67+D68</f>
      </c>
      <c r="L63" s="37"/>
      <c r="M63" s="38"/>
      <c r="N63" s="38"/>
      <c r="O63" s="38"/>
      <c r="P63" s="38"/>
      <c r="Q63" s="39"/>
      <c r="R63" s="40"/>
      <c r="S63" s="38"/>
      <c r="T63" s="38"/>
      <c r="U63" s="38"/>
      <c r="V63" s="38"/>
      <c r="W63" s="38"/>
      <c r="X63" s="39"/>
      <c r="Y63" s="40"/>
      <c r="Z63" s="38"/>
      <c r="AA63" s="38"/>
      <c r="AB63" s="38"/>
      <c r="AC63" s="38"/>
      <c r="AD63" s="38"/>
      <c r="AE63" s="39"/>
      <c r="AF63" s="40"/>
      <c r="AG63" s="38"/>
      <c r="AH63" s="38"/>
      <c r="AI63" s="38"/>
      <c r="AJ63" s="38"/>
      <c r="AK63" s="38"/>
      <c r="AL63" s="39"/>
      <c r="AM63" s="40"/>
      <c r="AN63" s="38"/>
      <c r="AO63" s="38"/>
      <c r="AP63" s="38"/>
      <c r="AQ63" s="41"/>
      <c r="OV63" s="42" t="s">
        <v>51</v>
      </c>
    </row>
    <row r="64" spans="1:412" x14ac:dyDescent="0.25">
      <c r="A64" s="43"/>
      <c r="B64" s="44"/>
      <c r="C64" s="45"/>
      <c r="D64" s="44"/>
      <c r="E64" s="44"/>
      <c r="F64" s="44" t="s">
        <v>34</v>
      </c>
      <c r="G64" s="44"/>
      <c r="H64" s="44"/>
      <c r="I64" s="44"/>
      <c r="J64" s="44"/>
      <c r="K64" s="46"/>
      <c r="L64" s="47">
        <v>1</v>
      </c>
      <c r="M64" s="48">
        <v>1</v>
      </c>
      <c r="N64" s="48">
        <v>1</v>
      </c>
      <c r="O64" s="48">
        <v>1</v>
      </c>
      <c r="P64" s="48">
        <v>1</v>
      </c>
      <c r="Q64" s="49">
        <v>0</v>
      </c>
      <c r="R64" s="50">
        <v>0</v>
      </c>
      <c r="S64" s="48">
        <v>1</v>
      </c>
      <c r="T64" s="48">
        <v>1</v>
      </c>
      <c r="U64" s="48">
        <v>1</v>
      </c>
      <c r="V64" s="48">
        <v>1</v>
      </c>
      <c r="W64" s="48">
        <v>1</v>
      </c>
      <c r="X64" s="49">
        <v>1</v>
      </c>
      <c r="Y64" s="50">
        <v>1</v>
      </c>
      <c r="Z64" s="48">
        <v>1</v>
      </c>
      <c r="AA64" s="48">
        <v>1</v>
      </c>
      <c r="AB64" s="48">
        <v>1</v>
      </c>
      <c r="AC64" s="48">
        <v>1</v>
      </c>
      <c r="AD64" s="48">
        <v>1</v>
      </c>
      <c r="AE64" s="49">
        <v>1</v>
      </c>
      <c r="AF64" s="50">
        <v>1</v>
      </c>
      <c r="AG64" s="48">
        <v>1</v>
      </c>
      <c r="AH64" s="48">
        <v>1</v>
      </c>
      <c r="AI64" s="48">
        <v>1</v>
      </c>
      <c r="AJ64" s="48">
        <v>0</v>
      </c>
      <c r="AK64" s="48">
        <v>0</v>
      </c>
      <c r="AL64" s="49">
        <v>0</v>
      </c>
      <c r="AM64" s="50">
        <v>0</v>
      </c>
      <c r="AN64" s="48">
        <v>0</v>
      </c>
      <c r="AO64" s="48">
        <v>0</v>
      </c>
      <c r="AP64" s="48">
        <v>0</v>
      </c>
      <c r="AQ64" s="51">
        <v>0</v>
      </c>
      <c r="OV64" s="42" t="s">
        <v>51</v>
      </c>
    </row>
    <row r="65" ht="28" customHeight="1" spans="1:412" x14ac:dyDescent="0.25">
      <c r="A65" s="43" t="s">
        <v>35</v>
      </c>
      <c r="B65" s="44"/>
      <c r="C65" s="45"/>
      <c r="D65" s="44"/>
      <c r="E65" s="44"/>
      <c r="F65" s="44" t="s">
        <v>36</v>
      </c>
      <c r="G65" s="44"/>
      <c r="H65" s="44"/>
      <c r="I65" s="44"/>
      <c r="J65" s="44"/>
      <c r="K65" s="46"/>
      <c r="L65" s="52">
        <v>8</v>
      </c>
      <c r="M65" s="53">
        <v>8</v>
      </c>
      <c r="N65" s="53">
        <v>8</v>
      </c>
      <c r="O65" s="53">
        <v>8</v>
      </c>
      <c r="P65" s="53">
        <v>8</v>
      </c>
      <c r="Q65" s="54">
        <v>0</v>
      </c>
      <c r="R65" s="55">
        <v>0</v>
      </c>
      <c r="S65" s="53">
        <v>8</v>
      </c>
      <c r="T65" s="53">
        <v>8</v>
      </c>
      <c r="U65" s="53">
        <v>8</v>
      </c>
      <c r="V65" s="53">
        <v>12</v>
      </c>
      <c r="W65" s="53">
        <v>12</v>
      </c>
      <c r="X65" s="54">
        <v>12</v>
      </c>
      <c r="Y65" s="55">
        <v>12</v>
      </c>
      <c r="Z65" s="53">
        <v>12</v>
      </c>
      <c r="AA65" s="53">
        <v>12</v>
      </c>
      <c r="AB65" s="53">
        <v>12</v>
      </c>
      <c r="AC65" s="53">
        <v>12</v>
      </c>
      <c r="AD65" s="53">
        <v>12</v>
      </c>
      <c r="AE65" s="54">
        <v>12</v>
      </c>
      <c r="AF65" s="55">
        <v>12</v>
      </c>
      <c r="AG65" s="53">
        <v>12</v>
      </c>
      <c r="AH65" s="53">
        <v>12</v>
      </c>
      <c r="AI65" s="53">
        <v>12</v>
      </c>
      <c r="AJ65" s="53">
        <v>0</v>
      </c>
      <c r="AK65" s="53">
        <v>0</v>
      </c>
      <c r="AL65" s="54">
        <v>0</v>
      </c>
      <c r="AM65" s="55">
        <v>0</v>
      </c>
      <c r="AN65" s="53">
        <v>0</v>
      </c>
      <c r="AO65" s="53">
        <v>0</v>
      </c>
      <c r="AP65" s="53">
        <v>0</v>
      </c>
      <c r="AQ65" s="56">
        <v>0</v>
      </c>
      <c r="OV65" s="42" t="s">
        <v>51</v>
      </c>
    </row>
    <row r="66" spans="1:412" x14ac:dyDescent="0.25">
      <c r="A66" s="57"/>
      <c r="B66" s="58">
        <f>SUM(L66:AQ66)</f>
      </c>
      <c r="C66" s="59"/>
      <c r="D66" s="60">
        <f>B66*E66</f>
      </c>
      <c r="E66" s="60">
        <f>'Rate Tables'!C10</f>
      </c>
      <c r="F66" s="61" t="s">
        <v>37</v>
      </c>
      <c r="G66" s="14"/>
      <c r="H66" s="14"/>
      <c r="I66" s="14"/>
      <c r="J66" s="14"/>
      <c r="K66" s="62"/>
      <c r="L66" s="63">
        <f>IF(L$6="","",IF(OR(WEEKDAY(L$6,1)=1,WEEKDAY(L$6,1)=7),0,MIN(8,L65)*L64))</f>
      </c>
      <c r="M66" s="64">
        <f>IF(M$6="","",IF(OR(WEEKDAY(M$6,1)=1,WEEKDAY(M$6,1)=7),0,MIN(8,M65)*M64))</f>
      </c>
      <c r="N66" s="64">
        <f>IF(N$6="","",IF(OR(WEEKDAY(N$6,1)=1,WEEKDAY(N$6,1)=7),0,MIN(8,N65)*N64))</f>
      </c>
      <c r="O66" s="64">
        <f>IF(O$6="","",IF(OR(WEEKDAY(O$6,1)=1,WEEKDAY(O$6,1)=7),0,MIN(8,O65)*O64))</f>
      </c>
      <c r="P66" s="64">
        <f>IF(P$6="","",IF(OR(WEEKDAY(P$6,1)=1,WEEKDAY(P$6,1)=7),0,MIN(8,P65)*P64))</f>
      </c>
      <c r="Q66" s="65">
        <f>IF(Q$6="","",IF(OR(WEEKDAY(Q$6,1)=1,WEEKDAY(Q$6,1)=7),0,MIN(8,Q65)*Q64))</f>
      </c>
      <c r="R66" s="66">
        <f>IF(R$6="","",IF(OR(WEEKDAY(R$6,1)=1,WEEKDAY(R$6,1)=7),0,MIN(8,R65)*R64))</f>
      </c>
      <c r="S66" s="64">
        <f>IF(S$6="","",IF(OR(WEEKDAY(S$6,1)=1,WEEKDAY(S$6,1)=7),0,MIN(8,S65)*S64))</f>
      </c>
      <c r="T66" s="64">
        <f>IF(T$6="","",IF(OR(WEEKDAY(T$6,1)=1,WEEKDAY(T$6,1)=7),0,MIN(8,T65)*T64))</f>
      </c>
      <c r="U66" s="64">
        <f>IF(U$6="","",IF(OR(WEEKDAY(U$6,1)=1,WEEKDAY(U$6,1)=7),0,MIN(8,U65)*U64))</f>
      </c>
      <c r="V66" s="64">
        <f>IF(V$6="","",IF(OR(WEEKDAY(V$6,1)=1,WEEKDAY(V$6,1)=7),0,MIN(8,V65)*V64))</f>
      </c>
      <c r="W66" s="64">
        <f>IF(W$6="","",IF(OR(WEEKDAY(W$6,1)=1,WEEKDAY(W$6,1)=7),0,MIN(8,W65)*W64))</f>
      </c>
      <c r="X66" s="65">
        <f>IF(X$6="","",IF(OR(WEEKDAY(X$6,1)=1,WEEKDAY(X$6,1)=7),0,MIN(8,X65)*X64))</f>
      </c>
      <c r="Y66" s="66">
        <f>IF(Y$6="","",IF(OR(WEEKDAY(Y$6,1)=1,WEEKDAY(Y$6,1)=7),0,MIN(8,Y65)*Y64))</f>
      </c>
      <c r="Z66" s="64">
        <f>IF(Z$6="","",IF(OR(WEEKDAY(Z$6,1)=1,WEEKDAY(Z$6,1)=7),0,MIN(8,Z65)*Z64))</f>
      </c>
      <c r="AA66" s="64">
        <f>IF(AA$6="","",IF(OR(WEEKDAY(AA$6,1)=1,WEEKDAY(AA$6,1)=7),0,MIN(8,AA65)*AA64))</f>
      </c>
      <c r="AB66" s="64">
        <f>IF(AB$6="","",IF(OR(WEEKDAY(AB$6,1)=1,WEEKDAY(AB$6,1)=7),0,MIN(8,AB65)*AB64))</f>
      </c>
      <c r="AC66" s="64">
        <f>IF(AC$6="","",IF(OR(WEEKDAY(AC$6,1)=1,WEEKDAY(AC$6,1)=7),0,MIN(8,AC65)*AC64))</f>
      </c>
      <c r="AD66" s="64">
        <f>IF(AD$6="","",IF(OR(WEEKDAY(AD$6,1)=1,WEEKDAY(AD$6,1)=7),0,MIN(8,AD65)*AD64))</f>
      </c>
      <c r="AE66" s="65">
        <f>IF(AE$6="","",IF(OR(WEEKDAY(AE$6,1)=1,WEEKDAY(AE$6,1)=7),0,MIN(8,AE65)*AE64))</f>
      </c>
      <c r="AF66" s="66">
        <f>IF(AF$6="","",IF(OR(WEEKDAY(AF$6,1)=1,WEEKDAY(AF$6,1)=7),0,MIN(8,AF65)*AF64))</f>
      </c>
      <c r="AG66" s="64">
        <f>IF(AG$6="","",IF(OR(WEEKDAY(AG$6,1)=1,WEEKDAY(AG$6,1)=7),0,MIN(8,AG65)*AG64))</f>
      </c>
      <c r="AH66" s="64">
        <f>IF(AH$6="","",IF(OR(WEEKDAY(AH$6,1)=1,WEEKDAY(AH$6,1)=7),0,MIN(8,AH65)*AH64))</f>
      </c>
      <c r="AI66" s="64">
        <f>IF(AI$6="","",IF(OR(WEEKDAY(AI$6,1)=1,WEEKDAY(AI$6,1)=7),0,MIN(8,AI65)*AI64))</f>
      </c>
      <c r="AJ66" s="64">
        <f>IF(AJ$6="","",IF(OR(WEEKDAY(AJ$6,1)=1,WEEKDAY(AJ$6,1)=7),0,MIN(8,AJ65)*AJ64))</f>
      </c>
      <c r="AK66" s="64">
        <f>IF(AK$6="","",IF(OR(WEEKDAY(AK$6,1)=1,WEEKDAY(AK$6,1)=7),0,MIN(8,AK65)*AK64))</f>
      </c>
      <c r="AL66" s="65">
        <f>IF(AL$6="","",IF(OR(WEEKDAY(AL$6,1)=1,WEEKDAY(AL$6,1)=7),0,MIN(8,AL65)*AL64))</f>
      </c>
      <c r="AM66" s="66">
        <f>IF(AM$6="","",IF(OR(WEEKDAY(AM$6,1)=1,WEEKDAY(AM$6,1)=7),0,MIN(8,AM65)*AM64))</f>
      </c>
      <c r="AN66" s="64">
        <f>IF(AN$6="","",IF(OR(WEEKDAY(AN$6,1)=1,WEEKDAY(AN$6,1)=7),0,MIN(8,AN65)*AN64))</f>
      </c>
      <c r="AO66" s="64">
        <f>IF(AO$6="","",IF(OR(WEEKDAY(AO$6,1)=1,WEEKDAY(AO$6,1)=7),0,MIN(8,AO65)*AO64))</f>
      </c>
      <c r="AP66" s="64">
        <f>IF(AP$6="","",IF(OR(WEEKDAY(AP$6,1)=1,WEEKDAY(AP$6,1)=7),0,MIN(8,AP65)*AP64))</f>
      </c>
      <c r="AQ66" s="67">
        <f>IF(AQ$6="","",IF(OR(WEEKDAY(AQ$6,1)=1,WEEKDAY(AQ$6,1)=7),0,MIN(8,AQ65)*AQ64))</f>
      </c>
      <c r="OV66" s="42" t="s">
        <v>51</v>
      </c>
    </row>
    <row r="67" spans="1:412" x14ac:dyDescent="0.25">
      <c r="A67" s="57"/>
      <c r="B67" s="58">
        <f>SUM(L67:AQ67)</f>
      </c>
      <c r="C67" s="59"/>
      <c r="D67" s="60">
        <f>B67*E67</f>
      </c>
      <c r="E67" s="60">
        <f>'Rate Tables'!D10</f>
      </c>
      <c r="F67" s="61" t="s">
        <v>38</v>
      </c>
      <c r="G67" s="14"/>
      <c r="H67" s="14"/>
      <c r="I67" s="14"/>
      <c r="J67" s="14"/>
      <c r="K67" s="62"/>
      <c r="L67" s="63">
        <f>IF(L$6="","",IF(WEEKDAY(L$6,1)=1,0,IF(WEEKDAY(L$6,1)=7,L65*L64,MAX(0,L65-8)*L64)))</f>
      </c>
      <c r="M67" s="64">
        <f>IF(M$6="","",IF(WEEKDAY(M$6,1)=1,0,IF(WEEKDAY(M$6,1)=7,M65*M64,MAX(0,M65-8)*M64)))</f>
      </c>
      <c r="N67" s="64">
        <f>IF(N$6="","",IF(WEEKDAY(N$6,1)=1,0,IF(WEEKDAY(N$6,1)=7,N65*N64,MAX(0,N65-8)*N64)))</f>
      </c>
      <c r="O67" s="64">
        <f>IF(O$6="","",IF(WEEKDAY(O$6,1)=1,0,IF(WEEKDAY(O$6,1)=7,O65*O64,MAX(0,O65-8)*O64)))</f>
      </c>
      <c r="P67" s="64">
        <f>IF(P$6="","",IF(WEEKDAY(P$6,1)=1,0,IF(WEEKDAY(P$6,1)=7,P65*P64,MAX(0,P65-8)*P64)))</f>
      </c>
      <c r="Q67" s="65">
        <f>IF(Q$6="","",IF(WEEKDAY(Q$6,1)=1,0,IF(WEEKDAY(Q$6,1)=7,Q65*Q64,MAX(0,Q65-8)*Q64)))</f>
      </c>
      <c r="R67" s="66">
        <f>IF(R$6="","",IF(WEEKDAY(R$6,1)=1,0,IF(WEEKDAY(R$6,1)=7,R65*R64,MAX(0,R65-8)*R64)))</f>
      </c>
      <c r="S67" s="64">
        <f>IF(S$6="","",IF(WEEKDAY(S$6,1)=1,0,IF(WEEKDAY(S$6,1)=7,S65*S64,MAX(0,S65-8)*S64)))</f>
      </c>
      <c r="T67" s="64">
        <f>IF(T$6="","",IF(WEEKDAY(T$6,1)=1,0,IF(WEEKDAY(T$6,1)=7,T65*T64,MAX(0,T65-8)*T64)))</f>
      </c>
      <c r="U67" s="64">
        <f>IF(U$6="","",IF(WEEKDAY(U$6,1)=1,0,IF(WEEKDAY(U$6,1)=7,U65*U64,MAX(0,U65-8)*U64)))</f>
      </c>
      <c r="V67" s="64">
        <f>IF(V$6="","",IF(WEEKDAY(V$6,1)=1,0,IF(WEEKDAY(V$6,1)=7,V65*V64,MAX(0,V65-8)*V64)))</f>
      </c>
      <c r="W67" s="64">
        <f>IF(W$6="","",IF(WEEKDAY(W$6,1)=1,0,IF(WEEKDAY(W$6,1)=7,W65*W64,MAX(0,W65-8)*W64)))</f>
      </c>
      <c r="X67" s="65">
        <f>IF(X$6="","",IF(WEEKDAY(X$6,1)=1,0,IF(WEEKDAY(X$6,1)=7,X65*X64,MAX(0,X65-8)*X64)))</f>
      </c>
      <c r="Y67" s="66">
        <f>IF(Y$6="","",IF(WEEKDAY(Y$6,1)=1,0,IF(WEEKDAY(Y$6,1)=7,Y65*Y64,MAX(0,Y65-8)*Y64)))</f>
      </c>
      <c r="Z67" s="64">
        <f>IF(Z$6="","",IF(WEEKDAY(Z$6,1)=1,0,IF(WEEKDAY(Z$6,1)=7,Z65*Z64,MAX(0,Z65-8)*Z64)))</f>
      </c>
      <c r="AA67" s="64">
        <f>IF(AA$6="","",IF(WEEKDAY(AA$6,1)=1,0,IF(WEEKDAY(AA$6,1)=7,AA65*AA64,MAX(0,AA65-8)*AA64)))</f>
      </c>
      <c r="AB67" s="64">
        <f>IF(AB$6="","",IF(WEEKDAY(AB$6,1)=1,0,IF(WEEKDAY(AB$6,1)=7,AB65*AB64,MAX(0,AB65-8)*AB64)))</f>
      </c>
      <c r="AC67" s="64">
        <f>IF(AC$6="","",IF(WEEKDAY(AC$6,1)=1,0,IF(WEEKDAY(AC$6,1)=7,AC65*AC64,MAX(0,AC65-8)*AC64)))</f>
      </c>
      <c r="AD67" s="64">
        <f>IF(AD$6="","",IF(WEEKDAY(AD$6,1)=1,0,IF(WEEKDAY(AD$6,1)=7,AD65*AD64,MAX(0,AD65-8)*AD64)))</f>
      </c>
      <c r="AE67" s="65">
        <f>IF(AE$6="","",IF(WEEKDAY(AE$6,1)=1,0,IF(WEEKDAY(AE$6,1)=7,AE65*AE64,MAX(0,AE65-8)*AE64)))</f>
      </c>
      <c r="AF67" s="66">
        <f>IF(AF$6="","",IF(WEEKDAY(AF$6,1)=1,0,IF(WEEKDAY(AF$6,1)=7,AF65*AF64,MAX(0,AF65-8)*AF64)))</f>
      </c>
      <c r="AG67" s="64">
        <f>IF(AG$6="","",IF(WEEKDAY(AG$6,1)=1,0,IF(WEEKDAY(AG$6,1)=7,AG65*AG64,MAX(0,AG65-8)*AG64)))</f>
      </c>
      <c r="AH67" s="64">
        <f>IF(AH$6="","",IF(WEEKDAY(AH$6,1)=1,0,IF(WEEKDAY(AH$6,1)=7,AH65*AH64,MAX(0,AH65-8)*AH64)))</f>
      </c>
      <c r="AI67" s="64">
        <f>IF(AI$6="","",IF(WEEKDAY(AI$6,1)=1,0,IF(WEEKDAY(AI$6,1)=7,AI65*AI64,MAX(0,AI65-8)*AI64)))</f>
      </c>
      <c r="AJ67" s="64">
        <f>IF(AJ$6="","",IF(WEEKDAY(AJ$6,1)=1,0,IF(WEEKDAY(AJ$6,1)=7,AJ65*AJ64,MAX(0,AJ65-8)*AJ64)))</f>
      </c>
      <c r="AK67" s="64">
        <f>IF(AK$6="","",IF(WEEKDAY(AK$6,1)=1,0,IF(WEEKDAY(AK$6,1)=7,AK65*AK64,MAX(0,AK65-8)*AK64)))</f>
      </c>
      <c r="AL67" s="65">
        <f>IF(AL$6="","",IF(WEEKDAY(AL$6,1)=1,0,IF(WEEKDAY(AL$6,1)=7,AL65*AL64,MAX(0,AL65-8)*AL64)))</f>
      </c>
      <c r="AM67" s="66">
        <f>IF(AM$6="","",IF(WEEKDAY(AM$6,1)=1,0,IF(WEEKDAY(AM$6,1)=7,AM65*AM64,MAX(0,AM65-8)*AM64)))</f>
      </c>
      <c r="AN67" s="64">
        <f>IF(AN$6="","",IF(WEEKDAY(AN$6,1)=1,0,IF(WEEKDAY(AN$6,1)=7,AN65*AN64,MAX(0,AN65-8)*AN64)))</f>
      </c>
      <c r="AO67" s="64">
        <f>IF(AO$6="","",IF(WEEKDAY(AO$6,1)=1,0,IF(WEEKDAY(AO$6,1)=7,AO65*AO64,MAX(0,AO65-8)*AO64)))</f>
      </c>
      <c r="AP67" s="64">
        <f>IF(AP$6="","",IF(WEEKDAY(AP$6,1)=1,0,IF(WEEKDAY(AP$6,1)=7,AP65*AP64,MAX(0,AP65-8)*AP64)))</f>
      </c>
      <c r="AQ67" s="67">
        <f>IF(AQ$6="","",IF(WEEKDAY(AQ$6,1)=1,0,IF(WEEKDAY(AQ$6,1)=7,AQ65*AQ64,MAX(0,AQ65-8)*AQ64)))</f>
      </c>
      <c r="OV67" s="42" t="s">
        <v>51</v>
      </c>
    </row>
    <row r="68" spans="1:412" x14ac:dyDescent="0.25">
      <c r="A68" s="57"/>
      <c r="B68" s="58">
        <f>SUM(L68:AQ68)</f>
      </c>
      <c r="C68" s="59"/>
      <c r="D68" s="60">
        <f>B68*E68</f>
      </c>
      <c r="E68" s="60">
        <f>'Rate Tables'!E10</f>
      </c>
      <c r="F68" s="61" t="s">
        <v>39</v>
      </c>
      <c r="G68" s="14"/>
      <c r="H68" s="14"/>
      <c r="I68" s="14"/>
      <c r="J68" s="14"/>
      <c r="K68" s="62"/>
      <c r="L68" s="63">
        <f>IF(L$6="","",IF(WEEKDAY(L$6,1)=1,L65*L64,0))</f>
      </c>
      <c r="M68" s="64">
        <f>IF(M$6="","",IF(WEEKDAY(M$6,1)=1,M65*M64,0))</f>
      </c>
      <c r="N68" s="64">
        <f>IF(N$6="","",IF(WEEKDAY(N$6,1)=1,N65*N64,0))</f>
      </c>
      <c r="O68" s="64">
        <f>IF(O$6="","",IF(WEEKDAY(O$6,1)=1,O65*O64,0))</f>
      </c>
      <c r="P68" s="64">
        <f>IF(P$6="","",IF(WEEKDAY(P$6,1)=1,P65*P64,0))</f>
      </c>
      <c r="Q68" s="65">
        <f>IF(Q$6="","",IF(WEEKDAY(Q$6,1)=1,Q65*Q64,0))</f>
      </c>
      <c r="R68" s="66">
        <f>IF(R$6="","",IF(WEEKDAY(R$6,1)=1,R65*R64,0))</f>
      </c>
      <c r="S68" s="64">
        <f>IF(S$6="","",IF(WEEKDAY(S$6,1)=1,S65*S64,0))</f>
      </c>
      <c r="T68" s="64">
        <f>IF(T$6="","",IF(WEEKDAY(T$6,1)=1,T65*T64,0))</f>
      </c>
      <c r="U68" s="64">
        <f>IF(U$6="","",IF(WEEKDAY(U$6,1)=1,U65*U64,0))</f>
      </c>
      <c r="V68" s="64">
        <f>IF(V$6="","",IF(WEEKDAY(V$6,1)=1,V65*V64,0))</f>
      </c>
      <c r="W68" s="64">
        <f>IF(W$6="","",IF(WEEKDAY(W$6,1)=1,W65*W64,0))</f>
      </c>
      <c r="X68" s="65">
        <f>IF(X$6="","",IF(WEEKDAY(X$6,1)=1,X65*X64,0))</f>
      </c>
      <c r="Y68" s="66">
        <f>IF(Y$6="","",IF(WEEKDAY(Y$6,1)=1,Y65*Y64,0))</f>
      </c>
      <c r="Z68" s="64">
        <f>IF(Z$6="","",IF(WEEKDAY(Z$6,1)=1,Z65*Z64,0))</f>
      </c>
      <c r="AA68" s="64">
        <f>IF(AA$6="","",IF(WEEKDAY(AA$6,1)=1,AA65*AA64,0))</f>
      </c>
      <c r="AB68" s="64">
        <f>IF(AB$6="","",IF(WEEKDAY(AB$6,1)=1,AB65*AB64,0))</f>
      </c>
      <c r="AC68" s="64">
        <f>IF(AC$6="","",IF(WEEKDAY(AC$6,1)=1,AC65*AC64,0))</f>
      </c>
      <c r="AD68" s="64">
        <f>IF(AD$6="","",IF(WEEKDAY(AD$6,1)=1,AD65*AD64,0))</f>
      </c>
      <c r="AE68" s="65">
        <f>IF(AE$6="","",IF(WEEKDAY(AE$6,1)=1,AE65*AE64,0))</f>
      </c>
      <c r="AF68" s="66">
        <f>IF(AF$6="","",IF(WEEKDAY(AF$6,1)=1,AF65*AF64,0))</f>
      </c>
      <c r="AG68" s="64">
        <f>IF(AG$6="","",IF(WEEKDAY(AG$6,1)=1,AG65*AG64,0))</f>
      </c>
      <c r="AH68" s="64">
        <f>IF(AH$6="","",IF(WEEKDAY(AH$6,1)=1,AH65*AH64,0))</f>
      </c>
      <c r="AI68" s="64">
        <f>IF(AI$6="","",IF(WEEKDAY(AI$6,1)=1,AI65*AI64,0))</f>
      </c>
      <c r="AJ68" s="64">
        <f>IF(AJ$6="","",IF(WEEKDAY(AJ$6,1)=1,AJ65*AJ64,0))</f>
      </c>
      <c r="AK68" s="64">
        <f>IF(AK$6="","",IF(WEEKDAY(AK$6,1)=1,AK65*AK64,0))</f>
      </c>
      <c r="AL68" s="65">
        <f>IF(AL$6="","",IF(WEEKDAY(AL$6,1)=1,AL65*AL64,0))</f>
      </c>
      <c r="AM68" s="66">
        <f>IF(AM$6="","",IF(WEEKDAY(AM$6,1)=1,AM65*AM64,0))</f>
      </c>
      <c r="AN68" s="64">
        <f>IF(AN$6="","",IF(WEEKDAY(AN$6,1)=1,AN65*AN64,0))</f>
      </c>
      <c r="AO68" s="64">
        <f>IF(AO$6="","",IF(WEEKDAY(AO$6,1)=1,AO65*AO64,0))</f>
      </c>
      <c r="AP68" s="64">
        <f>IF(AP$6="","",IF(WEEKDAY(AP$6,1)=1,AP65*AP64,0))</f>
      </c>
      <c r="AQ68" s="67">
        <f>IF(AQ$6="","",IF(WEEKDAY(AQ$6,1)=1,AQ65*AQ64,0))</f>
      </c>
      <c r="OV68" s="42" t="s">
        <v>51</v>
      </c>
    </row>
    <row r="69" spans="1:412" x14ac:dyDescent="0.25">
      <c r="A69" s="68"/>
      <c r="B69" s="69">
        <f>SUM(L69:AQ69)</f>
      </c>
      <c r="C69" s="70"/>
      <c r="D69" s="71">
        <f>B69*E69</f>
      </c>
      <c r="E69" s="71">
        <v>140</v>
      </c>
      <c r="F69" s="72" t="s">
        <v>40</v>
      </c>
      <c r="G69" s="73"/>
      <c r="H69" s="73"/>
      <c r="I69" s="73"/>
      <c r="J69" s="73"/>
      <c r="K69" s="74"/>
      <c r="L69" s="75">
        <v>1</v>
      </c>
      <c r="M69" s="76">
        <v>1</v>
      </c>
      <c r="N69" s="76">
        <v>1</v>
      </c>
      <c r="O69" s="76">
        <v>1</v>
      </c>
      <c r="P69" s="76">
        <v>1</v>
      </c>
      <c r="Q69" s="77">
        <v>0</v>
      </c>
      <c r="R69" s="78">
        <v>0</v>
      </c>
      <c r="S69" s="76">
        <v>1</v>
      </c>
      <c r="T69" s="76">
        <v>1</v>
      </c>
      <c r="U69" s="76">
        <v>1</v>
      </c>
      <c r="V69" s="76">
        <v>1</v>
      </c>
      <c r="W69" s="76">
        <v>1</v>
      </c>
      <c r="X69" s="77">
        <v>1</v>
      </c>
      <c r="Y69" s="78">
        <v>1</v>
      </c>
      <c r="Z69" s="76">
        <v>1</v>
      </c>
      <c r="AA69" s="76">
        <v>1</v>
      </c>
      <c r="AB69" s="76">
        <v>1</v>
      </c>
      <c r="AC69" s="76">
        <v>1</v>
      </c>
      <c r="AD69" s="76">
        <v>1</v>
      </c>
      <c r="AE69" s="77">
        <v>1</v>
      </c>
      <c r="AF69" s="78">
        <v>1</v>
      </c>
      <c r="AG69" s="76">
        <v>1</v>
      </c>
      <c r="AH69" s="76">
        <v>1</v>
      </c>
      <c r="AI69" s="76">
        <v>1</v>
      </c>
      <c r="AJ69" s="76">
        <v>0</v>
      </c>
      <c r="AK69" s="76">
        <v>0</v>
      </c>
      <c r="AL69" s="77">
        <v>0</v>
      </c>
      <c r="AM69" s="78">
        <v>0</v>
      </c>
      <c r="AN69" s="76">
        <v>0</v>
      </c>
      <c r="AO69" s="76">
        <v>0</v>
      </c>
      <c r="AP69" s="76">
        <v>0</v>
      </c>
      <c r="AQ69" s="79">
        <v>0</v>
      </c>
      <c r="OV69" s="42" t="s">
        <v>51</v>
      </c>
    </row>
    <row r="70" spans="1:11" x14ac:dyDescent="0.25">
      <c r="A70" s="83" t="s">
        <v>52</v>
      </c>
      <c r="B70" s="84">
        <f>SUM(B7,B15,B23,B31,B39,B47,B55,B63)</f>
      </c>
      <c r="C70" s="20"/>
      <c r="D70" s="85">
        <f>SUM(D13,D21,D29,D37,D45,D53,D61,D69)</f>
      </c>
      <c r="G70" s="84">
        <f>SUM(G7,G15,G23,G31,G39,G47,G55,G63)</f>
      </c>
      <c r="H70" s="84">
        <f>SUM(H7,H15,H23,H31,H39,H47,H55,H63)</f>
      </c>
      <c r="I70" s="84">
        <f>SUM(I7,I15,I23,I31,I39,I47,I55,I63)</f>
      </c>
      <c r="J70" s="84">
        <f>SUM(J7,J15,J23,J31,J39,J47,J55,J63)</f>
      </c>
      <c r="K70" s="85">
        <f>SUM(K7,K15,K23,K31,K39,K47,K55,K63)</f>
      </c>
    </row>
  </sheetData>
  <mergeCells count="2">
    <mergeCell ref="A1:AQ1"/>
    <mergeCell ref="A3:AQ3"/>
  </mergeCells>
  <printOptions horizontalCentered="1"/>
  <pageMargins left="0.4" right="0.4" top="0.65" bottom="0.65" header="0.28" footer="0.28"/>
  <pageSetup orientation="landscape" horizontalDpi="4294967295" verticalDpi="4294967295" scale="100"/>
  <headerFooter>
    <oddHeader>&amp;L&amp;B HIT SQUAD / PROJECT CONTROLS &amp;C Staff &amp;R Confidential</oddHeader>
    <oddFooter>&amp;L Produced by Hit Squad Project Controls &amp;C &amp;D &amp;R Page &amp;P of &amp;N</oddFooter>
    <evenHeader>&amp;L&amp;B HIT SQUAD / PROJECT CONTROLS &amp;C Staff &amp;R Confidential</evenHeader>
    <evenFooter>&amp;L Produced by Hit Squad Project Controls &amp;C &amp;D &amp;R Page &amp;P of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OV22"/>
  <sheetViews>
    <sheetView workbookViewId="0">
      <pane xSplit="11" ySplit="6" topLeftCell="L7" activePane="bottomRight" state="frozen"/>
      <selection pane="bottomRight" activeCell="L7" sqref="L7"/>
    </sheetView>
  </sheetViews>
  <sheetFormatPr defaultRowHeight="15" outlineLevelRow="0" outlineLevelCol="0" x14ac:dyDescent="55"/>
  <cols>
    <col min="1" max="1" width="10" style="20" customWidth="1"/>
    <col min="2" max="2" width="13" customWidth="1"/>
    <col min="3" max="3" width="24" style="20" customWidth="1"/>
    <col min="4" max="4" width="14" customWidth="1"/>
    <col min="5" max="6" width="9.01" customWidth="1"/>
    <col min="7" max="10" width="8.5" customWidth="1"/>
    <col min="11" max="11" width="10" customWidth="1"/>
    <col min="12" max="43" width="3" customWidth="1"/>
    <col min="412" max="412" width="3" hidden="1" customWidth="1"/>
  </cols>
  <sheetData>
    <row r="1" ht="22" customHeight="1" spans="1:43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</row>
    <row r="2" spans="1:3" x14ac:dyDescent="0.25">
      <c r="A2" s="22" t="s">
        <v>1</v>
      </c>
      <c r="C2" s="20"/>
    </row>
    <row r="3" spans="1:43" x14ac:dyDescent="0.25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</row>
    <row r="4" spans="1:3" x14ac:dyDescent="0.25">
      <c r="A4" s="24" t="s">
        <v>3</v>
      </c>
      <c r="C4" s="20"/>
    </row>
    <row r="5" spans="1:3" x14ac:dyDescent="0.25">
      <c r="A5" s="25" t="s">
        <v>4</v>
      </c>
      <c r="B5" s="6">
        <v>46269.75675219907</v>
      </c>
      <c r="C5" s="20"/>
    </row>
    <row r="6" ht="36" customHeight="1" spans="1:43" x14ac:dyDescent="0.25">
      <c r="A6" s="26" t="s">
        <v>20</v>
      </c>
      <c r="B6" s="27" t="s">
        <v>21</v>
      </c>
      <c r="C6" s="26" t="s">
        <v>22</v>
      </c>
      <c r="D6" s="27" t="s">
        <v>23</v>
      </c>
      <c r="E6" s="27" t="s">
        <v>24</v>
      </c>
      <c r="F6" s="27" t="s">
        <v>25</v>
      </c>
      <c r="G6" s="27" t="s">
        <v>26</v>
      </c>
      <c r="H6" s="27" t="s">
        <v>27</v>
      </c>
      <c r="I6" s="27" t="s">
        <v>28</v>
      </c>
      <c r="J6" s="27" t="s">
        <v>29</v>
      </c>
      <c r="K6" s="27" t="s">
        <v>12</v>
      </c>
      <c r="L6" s="28">
        <v>46286</v>
      </c>
      <c r="M6" s="28">
        <f>L6+1</f>
      </c>
      <c r="N6" s="28">
        <f>M6+1</f>
      </c>
      <c r="O6" s="28">
        <f>N6+1</f>
      </c>
      <c r="P6" s="28">
        <f>O6+1</f>
      </c>
      <c r="Q6" s="29">
        <f>P6+1</f>
      </c>
      <c r="R6" s="30">
        <f>Q6+1</f>
      </c>
      <c r="S6" s="28">
        <f>R6+1</f>
      </c>
      <c r="T6" s="28">
        <f>S6+1</f>
      </c>
      <c r="U6" s="28">
        <f>T6+1</f>
      </c>
      <c r="V6" s="28">
        <f>U6+1</f>
      </c>
      <c r="W6" s="28">
        <f>V6+1</f>
      </c>
      <c r="X6" s="29">
        <f>W6+1</f>
      </c>
      <c r="Y6" s="30">
        <f>X6+1</f>
      </c>
      <c r="Z6" s="28">
        <f>Y6+1</f>
      </c>
      <c r="AA6" s="28">
        <f>Z6+1</f>
      </c>
      <c r="AB6" s="28">
        <f>AA6+1</f>
      </c>
      <c r="AC6" s="28">
        <f>AB6+1</f>
      </c>
      <c r="AD6" s="28">
        <f>AC6+1</f>
      </c>
      <c r="AE6" s="29">
        <f>AD6+1</f>
      </c>
      <c r="AF6" s="30">
        <f>AE6+1</f>
      </c>
      <c r="AG6" s="28">
        <f>AF6+1</f>
      </c>
      <c r="AH6" s="28">
        <f>AG6+1</f>
      </c>
      <c r="AI6" s="28">
        <f>AH6+1</f>
      </c>
      <c r="AJ6" s="28">
        <f>AI6+1</f>
      </c>
      <c r="AK6" s="28">
        <f>AJ6+1</f>
      </c>
      <c r="AL6" s="29">
        <f>AK6+1</f>
      </c>
      <c r="AM6" s="30">
        <f>AL6+1</f>
      </c>
      <c r="AN6" s="28">
        <f>AM6+1</f>
      </c>
      <c r="AO6" s="28">
        <f>AN6+1</f>
      </c>
      <c r="AP6" s="28">
        <f>AO6+1</f>
      </c>
      <c r="AQ6" s="28">
        <f>AP6+1</f>
      </c>
    </row>
    <row r="7" spans="1:412" x14ac:dyDescent="0.25">
      <c r="A7" s="31" t="s">
        <v>30</v>
      </c>
      <c r="B7" s="32">
        <f>G7+H7+I7</f>
      </c>
      <c r="C7" s="33" t="s">
        <v>53</v>
      </c>
      <c r="D7" s="34">
        <f>K7</f>
      </c>
      <c r="E7" s="35"/>
      <c r="F7" s="35" t="s">
        <v>32</v>
      </c>
      <c r="G7" s="32">
        <f>B10</f>
      </c>
      <c r="H7" s="32">
        <f>B11</f>
      </c>
      <c r="I7" s="32">
        <f>B12</f>
      </c>
      <c r="J7" s="32">
        <f>B13</f>
      </c>
      <c r="K7" s="36">
        <f>D10+D11+D12</f>
      </c>
      <c r="L7" s="37"/>
      <c r="M7" s="38"/>
      <c r="N7" s="38"/>
      <c r="O7" s="38"/>
      <c r="P7" s="38"/>
      <c r="Q7" s="39"/>
      <c r="R7" s="40"/>
      <c r="S7" s="38"/>
      <c r="T7" s="38"/>
      <c r="U7" s="38"/>
      <c r="V7" s="38"/>
      <c r="W7" s="38"/>
      <c r="X7" s="39"/>
      <c r="Y7" s="40"/>
      <c r="Z7" s="38"/>
      <c r="AA7" s="38"/>
      <c r="AB7" s="38"/>
      <c r="AC7" s="38"/>
      <c r="AD7" s="38"/>
      <c r="AE7" s="39"/>
      <c r="AF7" s="40"/>
      <c r="AG7" s="38"/>
      <c r="AH7" s="38"/>
      <c r="AI7" s="38"/>
      <c r="AJ7" s="38"/>
      <c r="AK7" s="38"/>
      <c r="AL7" s="39"/>
      <c r="AM7" s="40"/>
      <c r="AN7" s="38"/>
      <c r="AO7" s="38"/>
      <c r="AP7" s="38"/>
      <c r="AQ7" s="41"/>
      <c r="OV7" s="42" t="s">
        <v>54</v>
      </c>
    </row>
    <row r="8" spans="1:412" x14ac:dyDescent="0.25">
      <c r="A8" s="43"/>
      <c r="B8" s="44"/>
      <c r="C8" s="45"/>
      <c r="D8" s="44"/>
      <c r="E8" s="44"/>
      <c r="F8" s="44" t="s">
        <v>34</v>
      </c>
      <c r="G8" s="44"/>
      <c r="H8" s="44"/>
      <c r="I8" s="44"/>
      <c r="J8" s="44"/>
      <c r="K8" s="46"/>
      <c r="L8" s="47">
        <v>2</v>
      </c>
      <c r="M8" s="48">
        <v>2</v>
      </c>
      <c r="N8" s="48">
        <v>2</v>
      </c>
      <c r="O8" s="48">
        <v>2</v>
      </c>
      <c r="P8" s="48">
        <v>2</v>
      </c>
      <c r="Q8" s="49">
        <v>0</v>
      </c>
      <c r="R8" s="50">
        <v>0</v>
      </c>
      <c r="S8" s="48">
        <v>2</v>
      </c>
      <c r="T8" s="48">
        <v>2</v>
      </c>
      <c r="U8" s="48">
        <v>2</v>
      </c>
      <c r="V8" s="48">
        <v>2</v>
      </c>
      <c r="W8" s="48">
        <v>2</v>
      </c>
      <c r="X8" s="49">
        <v>2</v>
      </c>
      <c r="Y8" s="50">
        <v>2</v>
      </c>
      <c r="Z8" s="48">
        <v>2</v>
      </c>
      <c r="AA8" s="48">
        <v>2</v>
      </c>
      <c r="AB8" s="48">
        <v>2</v>
      </c>
      <c r="AC8" s="48">
        <v>2</v>
      </c>
      <c r="AD8" s="48">
        <v>2</v>
      </c>
      <c r="AE8" s="49">
        <v>2</v>
      </c>
      <c r="AF8" s="50">
        <v>2</v>
      </c>
      <c r="AG8" s="48">
        <v>2</v>
      </c>
      <c r="AH8" s="48">
        <v>2</v>
      </c>
      <c r="AI8" s="48">
        <v>2</v>
      </c>
      <c r="AJ8" s="48">
        <v>1</v>
      </c>
      <c r="AK8" s="48">
        <v>1</v>
      </c>
      <c r="AL8" s="49">
        <v>0</v>
      </c>
      <c r="AM8" s="50">
        <v>0</v>
      </c>
      <c r="AN8" s="48">
        <v>1</v>
      </c>
      <c r="AO8" s="48">
        <v>1</v>
      </c>
      <c r="AP8" s="48">
        <v>1</v>
      </c>
      <c r="AQ8" s="51">
        <v>1</v>
      </c>
      <c r="OV8" s="42" t="s">
        <v>54</v>
      </c>
    </row>
    <row r="9" ht="28" customHeight="1" spans="1:412" x14ac:dyDescent="0.25">
      <c r="A9" s="43" t="s">
        <v>35</v>
      </c>
      <c r="B9" s="44"/>
      <c r="C9" s="45"/>
      <c r="D9" s="44"/>
      <c r="E9" s="44"/>
      <c r="F9" s="44" t="s">
        <v>36</v>
      </c>
      <c r="G9" s="44"/>
      <c r="H9" s="44"/>
      <c r="I9" s="44"/>
      <c r="J9" s="44"/>
      <c r="K9" s="46"/>
      <c r="L9" s="52">
        <v>8</v>
      </c>
      <c r="M9" s="53">
        <v>8</v>
      </c>
      <c r="N9" s="53">
        <v>8</v>
      </c>
      <c r="O9" s="53">
        <v>8</v>
      </c>
      <c r="P9" s="53">
        <v>8</v>
      </c>
      <c r="Q9" s="54">
        <v>0</v>
      </c>
      <c r="R9" s="55">
        <v>0</v>
      </c>
      <c r="S9" s="53">
        <v>8</v>
      </c>
      <c r="T9" s="53">
        <v>8</v>
      </c>
      <c r="U9" s="53">
        <v>8</v>
      </c>
      <c r="V9" s="53">
        <v>12</v>
      </c>
      <c r="W9" s="53">
        <v>12</v>
      </c>
      <c r="X9" s="54">
        <v>12</v>
      </c>
      <c r="Y9" s="55">
        <v>12</v>
      </c>
      <c r="Z9" s="53">
        <v>12</v>
      </c>
      <c r="AA9" s="53">
        <v>12</v>
      </c>
      <c r="AB9" s="53">
        <v>12</v>
      </c>
      <c r="AC9" s="53">
        <v>12</v>
      </c>
      <c r="AD9" s="53">
        <v>12</v>
      </c>
      <c r="AE9" s="54">
        <v>12</v>
      </c>
      <c r="AF9" s="55">
        <v>12</v>
      </c>
      <c r="AG9" s="53">
        <v>12</v>
      </c>
      <c r="AH9" s="53">
        <v>12</v>
      </c>
      <c r="AI9" s="53">
        <v>12</v>
      </c>
      <c r="AJ9" s="53">
        <v>8</v>
      </c>
      <c r="AK9" s="53">
        <v>8</v>
      </c>
      <c r="AL9" s="54">
        <v>0</v>
      </c>
      <c r="AM9" s="55">
        <v>0</v>
      </c>
      <c r="AN9" s="53">
        <v>8</v>
      </c>
      <c r="AO9" s="53">
        <v>8</v>
      </c>
      <c r="AP9" s="53">
        <v>8</v>
      </c>
      <c r="AQ9" s="56">
        <v>8</v>
      </c>
      <c r="OV9" s="42" t="s">
        <v>54</v>
      </c>
    </row>
    <row r="10" spans="1:412" x14ac:dyDescent="0.25">
      <c r="A10" s="57"/>
      <c r="B10" s="58">
        <f>SUM(L10:AQ10)</f>
      </c>
      <c r="C10" s="59"/>
      <c r="D10" s="60">
        <f>B10*E10</f>
      </c>
      <c r="E10" s="60">
        <f>'Rate Tables'!C11</f>
      </c>
      <c r="F10" s="61" t="s">
        <v>37</v>
      </c>
      <c r="G10" s="14"/>
      <c r="H10" s="14"/>
      <c r="I10" s="14"/>
      <c r="J10" s="14"/>
      <c r="K10" s="62"/>
      <c r="L10" s="63">
        <f>IF(L$6="","",IF(OR(WEEKDAY(L$6,1)=1,WEEKDAY(L$6,1)=7),0,MIN(8,L9)*L8))</f>
      </c>
      <c r="M10" s="64">
        <f>IF(M$6="","",IF(OR(WEEKDAY(M$6,1)=1,WEEKDAY(M$6,1)=7),0,MIN(8,M9)*M8))</f>
      </c>
      <c r="N10" s="64">
        <f>IF(N$6="","",IF(OR(WEEKDAY(N$6,1)=1,WEEKDAY(N$6,1)=7),0,MIN(8,N9)*N8))</f>
      </c>
      <c r="O10" s="64">
        <f>IF(O$6="","",IF(OR(WEEKDAY(O$6,1)=1,WEEKDAY(O$6,1)=7),0,MIN(8,O9)*O8))</f>
      </c>
      <c r="P10" s="64">
        <f>IF(P$6="","",IF(OR(WEEKDAY(P$6,1)=1,WEEKDAY(P$6,1)=7),0,MIN(8,P9)*P8))</f>
      </c>
      <c r="Q10" s="65">
        <f>IF(Q$6="","",IF(OR(WEEKDAY(Q$6,1)=1,WEEKDAY(Q$6,1)=7),0,MIN(8,Q9)*Q8))</f>
      </c>
      <c r="R10" s="66">
        <f>IF(R$6="","",IF(OR(WEEKDAY(R$6,1)=1,WEEKDAY(R$6,1)=7),0,MIN(8,R9)*R8))</f>
      </c>
      <c r="S10" s="64">
        <f>IF(S$6="","",IF(OR(WEEKDAY(S$6,1)=1,WEEKDAY(S$6,1)=7),0,MIN(8,S9)*S8))</f>
      </c>
      <c r="T10" s="64">
        <f>IF(T$6="","",IF(OR(WEEKDAY(T$6,1)=1,WEEKDAY(T$6,1)=7),0,MIN(8,T9)*T8))</f>
      </c>
      <c r="U10" s="64">
        <f>IF(U$6="","",IF(OR(WEEKDAY(U$6,1)=1,WEEKDAY(U$6,1)=7),0,MIN(8,U9)*U8))</f>
      </c>
      <c r="V10" s="64">
        <f>IF(V$6="","",IF(OR(WEEKDAY(V$6,1)=1,WEEKDAY(V$6,1)=7),0,MIN(8,V9)*V8))</f>
      </c>
      <c r="W10" s="64">
        <f>IF(W$6="","",IF(OR(WEEKDAY(W$6,1)=1,WEEKDAY(W$6,1)=7),0,MIN(8,W9)*W8))</f>
      </c>
      <c r="X10" s="65">
        <f>IF(X$6="","",IF(OR(WEEKDAY(X$6,1)=1,WEEKDAY(X$6,1)=7),0,MIN(8,X9)*X8))</f>
      </c>
      <c r="Y10" s="66">
        <f>IF(Y$6="","",IF(OR(WEEKDAY(Y$6,1)=1,WEEKDAY(Y$6,1)=7),0,MIN(8,Y9)*Y8))</f>
      </c>
      <c r="Z10" s="64">
        <f>IF(Z$6="","",IF(OR(WEEKDAY(Z$6,1)=1,WEEKDAY(Z$6,1)=7),0,MIN(8,Z9)*Z8))</f>
      </c>
      <c r="AA10" s="64">
        <f>IF(AA$6="","",IF(OR(WEEKDAY(AA$6,1)=1,WEEKDAY(AA$6,1)=7),0,MIN(8,AA9)*AA8))</f>
      </c>
      <c r="AB10" s="64">
        <f>IF(AB$6="","",IF(OR(WEEKDAY(AB$6,1)=1,WEEKDAY(AB$6,1)=7),0,MIN(8,AB9)*AB8))</f>
      </c>
      <c r="AC10" s="64">
        <f>IF(AC$6="","",IF(OR(WEEKDAY(AC$6,1)=1,WEEKDAY(AC$6,1)=7),0,MIN(8,AC9)*AC8))</f>
      </c>
      <c r="AD10" s="64">
        <f>IF(AD$6="","",IF(OR(WEEKDAY(AD$6,1)=1,WEEKDAY(AD$6,1)=7),0,MIN(8,AD9)*AD8))</f>
      </c>
      <c r="AE10" s="65">
        <f>IF(AE$6="","",IF(OR(WEEKDAY(AE$6,1)=1,WEEKDAY(AE$6,1)=7),0,MIN(8,AE9)*AE8))</f>
      </c>
      <c r="AF10" s="66">
        <f>IF(AF$6="","",IF(OR(WEEKDAY(AF$6,1)=1,WEEKDAY(AF$6,1)=7),0,MIN(8,AF9)*AF8))</f>
      </c>
      <c r="AG10" s="64">
        <f>IF(AG$6="","",IF(OR(WEEKDAY(AG$6,1)=1,WEEKDAY(AG$6,1)=7),0,MIN(8,AG9)*AG8))</f>
      </c>
      <c r="AH10" s="64">
        <f>IF(AH$6="","",IF(OR(WEEKDAY(AH$6,1)=1,WEEKDAY(AH$6,1)=7),0,MIN(8,AH9)*AH8))</f>
      </c>
      <c r="AI10" s="64">
        <f>IF(AI$6="","",IF(OR(WEEKDAY(AI$6,1)=1,WEEKDAY(AI$6,1)=7),0,MIN(8,AI9)*AI8))</f>
      </c>
      <c r="AJ10" s="64">
        <f>IF(AJ$6="","",IF(OR(WEEKDAY(AJ$6,1)=1,WEEKDAY(AJ$6,1)=7),0,MIN(8,AJ9)*AJ8))</f>
      </c>
      <c r="AK10" s="64">
        <f>IF(AK$6="","",IF(OR(WEEKDAY(AK$6,1)=1,WEEKDAY(AK$6,1)=7),0,MIN(8,AK9)*AK8))</f>
      </c>
      <c r="AL10" s="65">
        <f>IF(AL$6="","",IF(OR(WEEKDAY(AL$6,1)=1,WEEKDAY(AL$6,1)=7),0,MIN(8,AL9)*AL8))</f>
      </c>
      <c r="AM10" s="66">
        <f>IF(AM$6="","",IF(OR(WEEKDAY(AM$6,1)=1,WEEKDAY(AM$6,1)=7),0,MIN(8,AM9)*AM8))</f>
      </c>
      <c r="AN10" s="64">
        <f>IF(AN$6="","",IF(OR(WEEKDAY(AN$6,1)=1,WEEKDAY(AN$6,1)=7),0,MIN(8,AN9)*AN8))</f>
      </c>
      <c r="AO10" s="64">
        <f>IF(AO$6="","",IF(OR(WEEKDAY(AO$6,1)=1,WEEKDAY(AO$6,1)=7),0,MIN(8,AO9)*AO8))</f>
      </c>
      <c r="AP10" s="64">
        <f>IF(AP$6="","",IF(OR(WEEKDAY(AP$6,1)=1,WEEKDAY(AP$6,1)=7),0,MIN(8,AP9)*AP8))</f>
      </c>
      <c r="AQ10" s="67">
        <f>IF(AQ$6="","",IF(OR(WEEKDAY(AQ$6,1)=1,WEEKDAY(AQ$6,1)=7),0,MIN(8,AQ9)*AQ8))</f>
      </c>
      <c r="OV10" s="42" t="s">
        <v>54</v>
      </c>
    </row>
    <row r="11" spans="1:412" x14ac:dyDescent="0.25">
      <c r="A11" s="57"/>
      <c r="B11" s="58">
        <f>SUM(L11:AQ11)</f>
      </c>
      <c r="C11" s="59"/>
      <c r="D11" s="60">
        <f>B11*E11</f>
      </c>
      <c r="E11" s="60">
        <f>'Rate Tables'!D11</f>
      </c>
      <c r="F11" s="61" t="s">
        <v>38</v>
      </c>
      <c r="G11" s="14"/>
      <c r="H11" s="14"/>
      <c r="I11" s="14"/>
      <c r="J11" s="14"/>
      <c r="K11" s="62"/>
      <c r="L11" s="63">
        <f>IF(L$6="","",IF(WEEKDAY(L$6,1)=1,0,IF(WEEKDAY(L$6,1)=7,L9*L8,MAX(0,L9-8)*L8)))</f>
      </c>
      <c r="M11" s="64">
        <f>IF(M$6="","",IF(WEEKDAY(M$6,1)=1,0,IF(WEEKDAY(M$6,1)=7,M9*M8,MAX(0,M9-8)*M8)))</f>
      </c>
      <c r="N11" s="64">
        <f>IF(N$6="","",IF(WEEKDAY(N$6,1)=1,0,IF(WEEKDAY(N$6,1)=7,N9*N8,MAX(0,N9-8)*N8)))</f>
      </c>
      <c r="O11" s="64">
        <f>IF(O$6="","",IF(WEEKDAY(O$6,1)=1,0,IF(WEEKDAY(O$6,1)=7,O9*O8,MAX(0,O9-8)*O8)))</f>
      </c>
      <c r="P11" s="64">
        <f>IF(P$6="","",IF(WEEKDAY(P$6,1)=1,0,IF(WEEKDAY(P$6,1)=7,P9*P8,MAX(0,P9-8)*P8)))</f>
      </c>
      <c r="Q11" s="65">
        <f>IF(Q$6="","",IF(WEEKDAY(Q$6,1)=1,0,IF(WEEKDAY(Q$6,1)=7,Q9*Q8,MAX(0,Q9-8)*Q8)))</f>
      </c>
      <c r="R11" s="66">
        <f>IF(R$6="","",IF(WEEKDAY(R$6,1)=1,0,IF(WEEKDAY(R$6,1)=7,R9*R8,MAX(0,R9-8)*R8)))</f>
      </c>
      <c r="S11" s="64">
        <f>IF(S$6="","",IF(WEEKDAY(S$6,1)=1,0,IF(WEEKDAY(S$6,1)=7,S9*S8,MAX(0,S9-8)*S8)))</f>
      </c>
      <c r="T11" s="64">
        <f>IF(T$6="","",IF(WEEKDAY(T$6,1)=1,0,IF(WEEKDAY(T$6,1)=7,T9*T8,MAX(0,T9-8)*T8)))</f>
      </c>
      <c r="U11" s="64">
        <f>IF(U$6="","",IF(WEEKDAY(U$6,1)=1,0,IF(WEEKDAY(U$6,1)=7,U9*U8,MAX(0,U9-8)*U8)))</f>
      </c>
      <c r="V11" s="64">
        <f>IF(V$6="","",IF(WEEKDAY(V$6,1)=1,0,IF(WEEKDAY(V$6,1)=7,V9*V8,MAX(0,V9-8)*V8)))</f>
      </c>
      <c r="W11" s="64">
        <f>IF(W$6="","",IF(WEEKDAY(W$6,1)=1,0,IF(WEEKDAY(W$6,1)=7,W9*W8,MAX(0,W9-8)*W8)))</f>
      </c>
      <c r="X11" s="65">
        <f>IF(X$6="","",IF(WEEKDAY(X$6,1)=1,0,IF(WEEKDAY(X$6,1)=7,X9*X8,MAX(0,X9-8)*X8)))</f>
      </c>
      <c r="Y11" s="66">
        <f>IF(Y$6="","",IF(WEEKDAY(Y$6,1)=1,0,IF(WEEKDAY(Y$6,1)=7,Y9*Y8,MAX(0,Y9-8)*Y8)))</f>
      </c>
      <c r="Z11" s="64">
        <f>IF(Z$6="","",IF(WEEKDAY(Z$6,1)=1,0,IF(WEEKDAY(Z$6,1)=7,Z9*Z8,MAX(0,Z9-8)*Z8)))</f>
      </c>
      <c r="AA11" s="64">
        <f>IF(AA$6="","",IF(WEEKDAY(AA$6,1)=1,0,IF(WEEKDAY(AA$6,1)=7,AA9*AA8,MAX(0,AA9-8)*AA8)))</f>
      </c>
      <c r="AB11" s="64">
        <f>IF(AB$6="","",IF(WEEKDAY(AB$6,1)=1,0,IF(WEEKDAY(AB$6,1)=7,AB9*AB8,MAX(0,AB9-8)*AB8)))</f>
      </c>
      <c r="AC11" s="64">
        <f>IF(AC$6="","",IF(WEEKDAY(AC$6,1)=1,0,IF(WEEKDAY(AC$6,1)=7,AC9*AC8,MAX(0,AC9-8)*AC8)))</f>
      </c>
      <c r="AD11" s="64">
        <f>IF(AD$6="","",IF(WEEKDAY(AD$6,1)=1,0,IF(WEEKDAY(AD$6,1)=7,AD9*AD8,MAX(0,AD9-8)*AD8)))</f>
      </c>
      <c r="AE11" s="65">
        <f>IF(AE$6="","",IF(WEEKDAY(AE$6,1)=1,0,IF(WEEKDAY(AE$6,1)=7,AE9*AE8,MAX(0,AE9-8)*AE8)))</f>
      </c>
      <c r="AF11" s="66">
        <f>IF(AF$6="","",IF(WEEKDAY(AF$6,1)=1,0,IF(WEEKDAY(AF$6,1)=7,AF9*AF8,MAX(0,AF9-8)*AF8)))</f>
      </c>
      <c r="AG11" s="64">
        <f>IF(AG$6="","",IF(WEEKDAY(AG$6,1)=1,0,IF(WEEKDAY(AG$6,1)=7,AG9*AG8,MAX(0,AG9-8)*AG8)))</f>
      </c>
      <c r="AH11" s="64">
        <f>IF(AH$6="","",IF(WEEKDAY(AH$6,1)=1,0,IF(WEEKDAY(AH$6,1)=7,AH9*AH8,MAX(0,AH9-8)*AH8)))</f>
      </c>
      <c r="AI11" s="64">
        <f>IF(AI$6="","",IF(WEEKDAY(AI$6,1)=1,0,IF(WEEKDAY(AI$6,1)=7,AI9*AI8,MAX(0,AI9-8)*AI8)))</f>
      </c>
      <c r="AJ11" s="64">
        <f>IF(AJ$6="","",IF(WEEKDAY(AJ$6,1)=1,0,IF(WEEKDAY(AJ$6,1)=7,AJ9*AJ8,MAX(0,AJ9-8)*AJ8)))</f>
      </c>
      <c r="AK11" s="64">
        <f>IF(AK$6="","",IF(WEEKDAY(AK$6,1)=1,0,IF(WEEKDAY(AK$6,1)=7,AK9*AK8,MAX(0,AK9-8)*AK8)))</f>
      </c>
      <c r="AL11" s="65">
        <f>IF(AL$6="","",IF(WEEKDAY(AL$6,1)=1,0,IF(WEEKDAY(AL$6,1)=7,AL9*AL8,MAX(0,AL9-8)*AL8)))</f>
      </c>
      <c r="AM11" s="66">
        <f>IF(AM$6="","",IF(WEEKDAY(AM$6,1)=1,0,IF(WEEKDAY(AM$6,1)=7,AM9*AM8,MAX(0,AM9-8)*AM8)))</f>
      </c>
      <c r="AN11" s="64">
        <f>IF(AN$6="","",IF(WEEKDAY(AN$6,1)=1,0,IF(WEEKDAY(AN$6,1)=7,AN9*AN8,MAX(0,AN9-8)*AN8)))</f>
      </c>
      <c r="AO11" s="64">
        <f>IF(AO$6="","",IF(WEEKDAY(AO$6,1)=1,0,IF(WEEKDAY(AO$6,1)=7,AO9*AO8,MAX(0,AO9-8)*AO8)))</f>
      </c>
      <c r="AP11" s="64">
        <f>IF(AP$6="","",IF(WEEKDAY(AP$6,1)=1,0,IF(WEEKDAY(AP$6,1)=7,AP9*AP8,MAX(0,AP9-8)*AP8)))</f>
      </c>
      <c r="AQ11" s="67">
        <f>IF(AQ$6="","",IF(WEEKDAY(AQ$6,1)=1,0,IF(WEEKDAY(AQ$6,1)=7,AQ9*AQ8,MAX(0,AQ9-8)*AQ8)))</f>
      </c>
      <c r="OV11" s="42" t="s">
        <v>54</v>
      </c>
    </row>
    <row r="12" spans="1:412" x14ac:dyDescent="0.25">
      <c r="A12" s="57"/>
      <c r="B12" s="58">
        <f>SUM(L12:AQ12)</f>
      </c>
      <c r="C12" s="59"/>
      <c r="D12" s="60">
        <f>B12*E12</f>
      </c>
      <c r="E12" s="60">
        <f>'Rate Tables'!E11</f>
      </c>
      <c r="F12" s="61" t="s">
        <v>39</v>
      </c>
      <c r="G12" s="14"/>
      <c r="H12" s="14"/>
      <c r="I12" s="14"/>
      <c r="J12" s="14"/>
      <c r="K12" s="62"/>
      <c r="L12" s="63">
        <f>IF(L$6="","",IF(WEEKDAY(L$6,1)=1,L9*L8,0))</f>
      </c>
      <c r="M12" s="64">
        <f>IF(M$6="","",IF(WEEKDAY(M$6,1)=1,M9*M8,0))</f>
      </c>
      <c r="N12" s="64">
        <f>IF(N$6="","",IF(WEEKDAY(N$6,1)=1,N9*N8,0))</f>
      </c>
      <c r="O12" s="64">
        <f>IF(O$6="","",IF(WEEKDAY(O$6,1)=1,O9*O8,0))</f>
      </c>
      <c r="P12" s="64">
        <f>IF(P$6="","",IF(WEEKDAY(P$6,1)=1,P9*P8,0))</f>
      </c>
      <c r="Q12" s="65">
        <f>IF(Q$6="","",IF(WEEKDAY(Q$6,1)=1,Q9*Q8,0))</f>
      </c>
      <c r="R12" s="66">
        <f>IF(R$6="","",IF(WEEKDAY(R$6,1)=1,R9*R8,0))</f>
      </c>
      <c r="S12" s="64">
        <f>IF(S$6="","",IF(WEEKDAY(S$6,1)=1,S9*S8,0))</f>
      </c>
      <c r="T12" s="64">
        <f>IF(T$6="","",IF(WEEKDAY(T$6,1)=1,T9*T8,0))</f>
      </c>
      <c r="U12" s="64">
        <f>IF(U$6="","",IF(WEEKDAY(U$6,1)=1,U9*U8,0))</f>
      </c>
      <c r="V12" s="64">
        <f>IF(V$6="","",IF(WEEKDAY(V$6,1)=1,V9*V8,0))</f>
      </c>
      <c r="W12" s="64">
        <f>IF(W$6="","",IF(WEEKDAY(W$6,1)=1,W9*W8,0))</f>
      </c>
      <c r="X12" s="65">
        <f>IF(X$6="","",IF(WEEKDAY(X$6,1)=1,X9*X8,0))</f>
      </c>
      <c r="Y12" s="66">
        <f>IF(Y$6="","",IF(WEEKDAY(Y$6,1)=1,Y9*Y8,0))</f>
      </c>
      <c r="Z12" s="64">
        <f>IF(Z$6="","",IF(WEEKDAY(Z$6,1)=1,Z9*Z8,0))</f>
      </c>
      <c r="AA12" s="64">
        <f>IF(AA$6="","",IF(WEEKDAY(AA$6,1)=1,AA9*AA8,0))</f>
      </c>
      <c r="AB12" s="64">
        <f>IF(AB$6="","",IF(WEEKDAY(AB$6,1)=1,AB9*AB8,0))</f>
      </c>
      <c r="AC12" s="64">
        <f>IF(AC$6="","",IF(WEEKDAY(AC$6,1)=1,AC9*AC8,0))</f>
      </c>
      <c r="AD12" s="64">
        <f>IF(AD$6="","",IF(WEEKDAY(AD$6,1)=1,AD9*AD8,0))</f>
      </c>
      <c r="AE12" s="65">
        <f>IF(AE$6="","",IF(WEEKDAY(AE$6,1)=1,AE9*AE8,0))</f>
      </c>
      <c r="AF12" s="66">
        <f>IF(AF$6="","",IF(WEEKDAY(AF$6,1)=1,AF9*AF8,0))</f>
      </c>
      <c r="AG12" s="64">
        <f>IF(AG$6="","",IF(WEEKDAY(AG$6,1)=1,AG9*AG8,0))</f>
      </c>
      <c r="AH12" s="64">
        <f>IF(AH$6="","",IF(WEEKDAY(AH$6,1)=1,AH9*AH8,0))</f>
      </c>
      <c r="AI12" s="64">
        <f>IF(AI$6="","",IF(WEEKDAY(AI$6,1)=1,AI9*AI8,0))</f>
      </c>
      <c r="AJ12" s="64">
        <f>IF(AJ$6="","",IF(WEEKDAY(AJ$6,1)=1,AJ9*AJ8,0))</f>
      </c>
      <c r="AK12" s="64">
        <f>IF(AK$6="","",IF(WEEKDAY(AK$6,1)=1,AK9*AK8,0))</f>
      </c>
      <c r="AL12" s="65">
        <f>IF(AL$6="","",IF(WEEKDAY(AL$6,1)=1,AL9*AL8,0))</f>
      </c>
      <c r="AM12" s="66">
        <f>IF(AM$6="","",IF(WEEKDAY(AM$6,1)=1,AM9*AM8,0))</f>
      </c>
      <c r="AN12" s="64">
        <f>IF(AN$6="","",IF(WEEKDAY(AN$6,1)=1,AN9*AN8,0))</f>
      </c>
      <c r="AO12" s="64">
        <f>IF(AO$6="","",IF(WEEKDAY(AO$6,1)=1,AO9*AO8,0))</f>
      </c>
      <c r="AP12" s="64">
        <f>IF(AP$6="","",IF(WEEKDAY(AP$6,1)=1,AP9*AP8,0))</f>
      </c>
      <c r="AQ12" s="67">
        <f>IF(AQ$6="","",IF(WEEKDAY(AQ$6,1)=1,AQ9*AQ8,0))</f>
      </c>
      <c r="OV12" s="42" t="s">
        <v>54</v>
      </c>
    </row>
    <row r="13" spans="1:412" x14ac:dyDescent="0.25">
      <c r="A13" s="68"/>
      <c r="B13" s="69">
        <f>SUM(L13:AQ13)</f>
      </c>
      <c r="C13" s="70"/>
      <c r="D13" s="71">
        <f>B13*E13</f>
      </c>
      <c r="E13" s="71">
        <v>130</v>
      </c>
      <c r="F13" s="72" t="s">
        <v>40</v>
      </c>
      <c r="G13" s="73"/>
      <c r="H13" s="73"/>
      <c r="I13" s="73"/>
      <c r="J13" s="73"/>
      <c r="K13" s="74"/>
      <c r="L13" s="75">
        <v>2</v>
      </c>
      <c r="M13" s="76">
        <v>2</v>
      </c>
      <c r="N13" s="76">
        <v>2</v>
      </c>
      <c r="O13" s="76">
        <v>2</v>
      </c>
      <c r="P13" s="76">
        <v>2</v>
      </c>
      <c r="Q13" s="77">
        <v>0</v>
      </c>
      <c r="R13" s="78">
        <v>0</v>
      </c>
      <c r="S13" s="76">
        <v>2</v>
      </c>
      <c r="T13" s="76">
        <v>2</v>
      </c>
      <c r="U13" s="76">
        <v>2</v>
      </c>
      <c r="V13" s="76">
        <v>2</v>
      </c>
      <c r="W13" s="76">
        <v>2</v>
      </c>
      <c r="X13" s="77">
        <v>2</v>
      </c>
      <c r="Y13" s="78">
        <v>2</v>
      </c>
      <c r="Z13" s="76">
        <v>2</v>
      </c>
      <c r="AA13" s="76">
        <v>2</v>
      </c>
      <c r="AB13" s="76">
        <v>2</v>
      </c>
      <c r="AC13" s="76">
        <v>2</v>
      </c>
      <c r="AD13" s="76">
        <v>2</v>
      </c>
      <c r="AE13" s="77">
        <v>2</v>
      </c>
      <c r="AF13" s="78">
        <v>2</v>
      </c>
      <c r="AG13" s="76">
        <v>2</v>
      </c>
      <c r="AH13" s="76">
        <v>2</v>
      </c>
      <c r="AI13" s="76">
        <v>2</v>
      </c>
      <c r="AJ13" s="76">
        <v>1</v>
      </c>
      <c r="AK13" s="76">
        <v>1</v>
      </c>
      <c r="AL13" s="77">
        <v>0</v>
      </c>
      <c r="AM13" s="78">
        <v>0</v>
      </c>
      <c r="AN13" s="76">
        <v>1</v>
      </c>
      <c r="AO13" s="76">
        <v>1</v>
      </c>
      <c r="AP13" s="76">
        <v>1</v>
      </c>
      <c r="AQ13" s="79">
        <v>1</v>
      </c>
      <c r="OV13" s="42" t="s">
        <v>54</v>
      </c>
    </row>
    <row r="14" ht="8" customHeight="1" spans="1:43" x14ac:dyDescent="0.25">
      <c r="A14" s="80"/>
      <c r="B14" s="81"/>
      <c r="C14" s="80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</row>
    <row r="15" spans="1:412" x14ac:dyDescent="0.25">
      <c r="A15" s="82" t="s">
        <v>41</v>
      </c>
      <c r="B15" s="32">
        <f>G15+H15+I15</f>
      </c>
      <c r="C15" s="33" t="s">
        <v>53</v>
      </c>
      <c r="D15" s="34">
        <f>K15</f>
      </c>
      <c r="E15" s="35"/>
      <c r="F15" s="35" t="s">
        <v>32</v>
      </c>
      <c r="G15" s="32">
        <f>B18</f>
      </c>
      <c r="H15" s="32">
        <f>B19</f>
      </c>
      <c r="I15" s="32">
        <f>B20</f>
      </c>
      <c r="J15" s="32">
        <f>B21</f>
      </c>
      <c r="K15" s="36">
        <f>D18+D19+D20</f>
      </c>
      <c r="L15" s="37"/>
      <c r="M15" s="38"/>
      <c r="N15" s="38"/>
      <c r="O15" s="38"/>
      <c r="P15" s="38"/>
      <c r="Q15" s="39"/>
      <c r="R15" s="40"/>
      <c r="S15" s="38"/>
      <c r="T15" s="38"/>
      <c r="U15" s="38"/>
      <c r="V15" s="38"/>
      <c r="W15" s="38"/>
      <c r="X15" s="39"/>
      <c r="Y15" s="40"/>
      <c r="Z15" s="38"/>
      <c r="AA15" s="38"/>
      <c r="AB15" s="38"/>
      <c r="AC15" s="38"/>
      <c r="AD15" s="38"/>
      <c r="AE15" s="39"/>
      <c r="AF15" s="40"/>
      <c r="AG15" s="38"/>
      <c r="AH15" s="38"/>
      <c r="AI15" s="38"/>
      <c r="AJ15" s="38"/>
      <c r="AK15" s="38"/>
      <c r="AL15" s="39"/>
      <c r="AM15" s="40"/>
      <c r="AN15" s="38"/>
      <c r="AO15" s="38"/>
      <c r="AP15" s="38"/>
      <c r="AQ15" s="41"/>
      <c r="OV15" s="42" t="s">
        <v>55</v>
      </c>
    </row>
    <row r="16" spans="1:412" x14ac:dyDescent="0.25">
      <c r="A16" s="43"/>
      <c r="B16" s="44"/>
      <c r="C16" s="45"/>
      <c r="D16" s="44"/>
      <c r="E16" s="44"/>
      <c r="F16" s="44" t="s">
        <v>34</v>
      </c>
      <c r="G16" s="44"/>
      <c r="H16" s="44"/>
      <c r="I16" s="44"/>
      <c r="J16" s="44"/>
      <c r="K16" s="46"/>
      <c r="L16" s="47">
        <v>2</v>
      </c>
      <c r="M16" s="48">
        <v>2</v>
      </c>
      <c r="N16" s="48">
        <v>2</v>
      </c>
      <c r="O16" s="48">
        <v>2</v>
      </c>
      <c r="P16" s="48">
        <v>2</v>
      </c>
      <c r="Q16" s="49">
        <v>0</v>
      </c>
      <c r="R16" s="50">
        <v>0</v>
      </c>
      <c r="S16" s="48">
        <v>2</v>
      </c>
      <c r="T16" s="48">
        <v>2</v>
      </c>
      <c r="U16" s="48">
        <v>2</v>
      </c>
      <c r="V16" s="48">
        <v>2</v>
      </c>
      <c r="W16" s="48">
        <v>2</v>
      </c>
      <c r="X16" s="49">
        <v>2</v>
      </c>
      <c r="Y16" s="50">
        <v>2</v>
      </c>
      <c r="Z16" s="48">
        <v>2</v>
      </c>
      <c r="AA16" s="48">
        <v>2</v>
      </c>
      <c r="AB16" s="48">
        <v>2</v>
      </c>
      <c r="AC16" s="48">
        <v>2</v>
      </c>
      <c r="AD16" s="48">
        <v>2</v>
      </c>
      <c r="AE16" s="49">
        <v>2</v>
      </c>
      <c r="AF16" s="50">
        <v>2</v>
      </c>
      <c r="AG16" s="48">
        <v>2</v>
      </c>
      <c r="AH16" s="48">
        <v>2</v>
      </c>
      <c r="AI16" s="48">
        <v>2</v>
      </c>
      <c r="AJ16" s="48">
        <v>0</v>
      </c>
      <c r="AK16" s="48">
        <v>0</v>
      </c>
      <c r="AL16" s="49">
        <v>0</v>
      </c>
      <c r="AM16" s="50">
        <v>0</v>
      </c>
      <c r="AN16" s="48">
        <v>0</v>
      </c>
      <c r="AO16" s="48">
        <v>0</v>
      </c>
      <c r="AP16" s="48">
        <v>0</v>
      </c>
      <c r="AQ16" s="51">
        <v>0</v>
      </c>
      <c r="OV16" s="42" t="s">
        <v>55</v>
      </c>
    </row>
    <row r="17" ht="28" customHeight="1" spans="1:412" x14ac:dyDescent="0.25">
      <c r="A17" s="43" t="s">
        <v>35</v>
      </c>
      <c r="B17" s="44"/>
      <c r="C17" s="45"/>
      <c r="D17" s="44"/>
      <c r="E17" s="44"/>
      <c r="F17" s="44" t="s">
        <v>36</v>
      </c>
      <c r="G17" s="44"/>
      <c r="H17" s="44"/>
      <c r="I17" s="44"/>
      <c r="J17" s="44"/>
      <c r="K17" s="46"/>
      <c r="L17" s="52">
        <v>8</v>
      </c>
      <c r="M17" s="53">
        <v>8</v>
      </c>
      <c r="N17" s="53">
        <v>8</v>
      </c>
      <c r="O17" s="53">
        <v>8</v>
      </c>
      <c r="P17" s="53">
        <v>8</v>
      </c>
      <c r="Q17" s="54">
        <v>0</v>
      </c>
      <c r="R17" s="55">
        <v>0</v>
      </c>
      <c r="S17" s="53">
        <v>8</v>
      </c>
      <c r="T17" s="53">
        <v>8</v>
      </c>
      <c r="U17" s="53">
        <v>8</v>
      </c>
      <c r="V17" s="53">
        <v>12</v>
      </c>
      <c r="W17" s="53">
        <v>12</v>
      </c>
      <c r="X17" s="54">
        <v>12</v>
      </c>
      <c r="Y17" s="55">
        <v>12</v>
      </c>
      <c r="Z17" s="53">
        <v>12</v>
      </c>
      <c r="AA17" s="53">
        <v>12</v>
      </c>
      <c r="AB17" s="53">
        <v>12</v>
      </c>
      <c r="AC17" s="53">
        <v>12</v>
      </c>
      <c r="AD17" s="53">
        <v>12</v>
      </c>
      <c r="AE17" s="54">
        <v>12</v>
      </c>
      <c r="AF17" s="55">
        <v>12</v>
      </c>
      <c r="AG17" s="53">
        <v>12</v>
      </c>
      <c r="AH17" s="53">
        <v>12</v>
      </c>
      <c r="AI17" s="53">
        <v>12</v>
      </c>
      <c r="AJ17" s="53">
        <v>0</v>
      </c>
      <c r="AK17" s="53">
        <v>0</v>
      </c>
      <c r="AL17" s="54">
        <v>0</v>
      </c>
      <c r="AM17" s="55">
        <v>0</v>
      </c>
      <c r="AN17" s="53">
        <v>0</v>
      </c>
      <c r="AO17" s="53">
        <v>0</v>
      </c>
      <c r="AP17" s="53">
        <v>0</v>
      </c>
      <c r="AQ17" s="56">
        <v>0</v>
      </c>
      <c r="OV17" s="42" t="s">
        <v>55</v>
      </c>
    </row>
    <row r="18" spans="1:412" x14ac:dyDescent="0.25">
      <c r="A18" s="57"/>
      <c r="B18" s="58">
        <f>SUM(L18:AQ18)</f>
      </c>
      <c r="C18" s="59"/>
      <c r="D18" s="60">
        <f>B18*E18</f>
      </c>
      <c r="E18" s="60">
        <f>'Rate Tables'!C11</f>
      </c>
      <c r="F18" s="61" t="s">
        <v>37</v>
      </c>
      <c r="G18" s="14"/>
      <c r="H18" s="14"/>
      <c r="I18" s="14"/>
      <c r="J18" s="14"/>
      <c r="K18" s="62"/>
      <c r="L18" s="63">
        <f>IF(L$6="","",IF(OR(WEEKDAY(L$6,1)=1,WEEKDAY(L$6,1)=7),0,MIN(8,L17)*L16))</f>
      </c>
      <c r="M18" s="64">
        <f>IF(M$6="","",IF(OR(WEEKDAY(M$6,1)=1,WEEKDAY(M$6,1)=7),0,MIN(8,M17)*M16))</f>
      </c>
      <c r="N18" s="64">
        <f>IF(N$6="","",IF(OR(WEEKDAY(N$6,1)=1,WEEKDAY(N$6,1)=7),0,MIN(8,N17)*N16))</f>
      </c>
      <c r="O18" s="64">
        <f>IF(O$6="","",IF(OR(WEEKDAY(O$6,1)=1,WEEKDAY(O$6,1)=7),0,MIN(8,O17)*O16))</f>
      </c>
      <c r="P18" s="64">
        <f>IF(P$6="","",IF(OR(WEEKDAY(P$6,1)=1,WEEKDAY(P$6,1)=7),0,MIN(8,P17)*P16))</f>
      </c>
      <c r="Q18" s="65">
        <f>IF(Q$6="","",IF(OR(WEEKDAY(Q$6,1)=1,WEEKDAY(Q$6,1)=7),0,MIN(8,Q17)*Q16))</f>
      </c>
      <c r="R18" s="66">
        <f>IF(R$6="","",IF(OR(WEEKDAY(R$6,1)=1,WEEKDAY(R$6,1)=7),0,MIN(8,R17)*R16))</f>
      </c>
      <c r="S18" s="64">
        <f>IF(S$6="","",IF(OR(WEEKDAY(S$6,1)=1,WEEKDAY(S$6,1)=7),0,MIN(8,S17)*S16))</f>
      </c>
      <c r="T18" s="64">
        <f>IF(T$6="","",IF(OR(WEEKDAY(T$6,1)=1,WEEKDAY(T$6,1)=7),0,MIN(8,T17)*T16))</f>
      </c>
      <c r="U18" s="64">
        <f>IF(U$6="","",IF(OR(WEEKDAY(U$6,1)=1,WEEKDAY(U$6,1)=7),0,MIN(8,U17)*U16))</f>
      </c>
      <c r="V18" s="64">
        <f>IF(V$6="","",IF(OR(WEEKDAY(V$6,1)=1,WEEKDAY(V$6,1)=7),0,MIN(8,V17)*V16))</f>
      </c>
      <c r="W18" s="64">
        <f>IF(W$6="","",IF(OR(WEEKDAY(W$6,1)=1,WEEKDAY(W$6,1)=7),0,MIN(8,W17)*W16))</f>
      </c>
      <c r="X18" s="65">
        <f>IF(X$6="","",IF(OR(WEEKDAY(X$6,1)=1,WEEKDAY(X$6,1)=7),0,MIN(8,X17)*X16))</f>
      </c>
      <c r="Y18" s="66">
        <f>IF(Y$6="","",IF(OR(WEEKDAY(Y$6,1)=1,WEEKDAY(Y$6,1)=7),0,MIN(8,Y17)*Y16))</f>
      </c>
      <c r="Z18" s="64">
        <f>IF(Z$6="","",IF(OR(WEEKDAY(Z$6,1)=1,WEEKDAY(Z$6,1)=7),0,MIN(8,Z17)*Z16))</f>
      </c>
      <c r="AA18" s="64">
        <f>IF(AA$6="","",IF(OR(WEEKDAY(AA$6,1)=1,WEEKDAY(AA$6,1)=7),0,MIN(8,AA17)*AA16))</f>
      </c>
      <c r="AB18" s="64">
        <f>IF(AB$6="","",IF(OR(WEEKDAY(AB$6,1)=1,WEEKDAY(AB$6,1)=7),0,MIN(8,AB17)*AB16))</f>
      </c>
      <c r="AC18" s="64">
        <f>IF(AC$6="","",IF(OR(WEEKDAY(AC$6,1)=1,WEEKDAY(AC$6,1)=7),0,MIN(8,AC17)*AC16))</f>
      </c>
      <c r="AD18" s="64">
        <f>IF(AD$6="","",IF(OR(WEEKDAY(AD$6,1)=1,WEEKDAY(AD$6,1)=7),0,MIN(8,AD17)*AD16))</f>
      </c>
      <c r="AE18" s="65">
        <f>IF(AE$6="","",IF(OR(WEEKDAY(AE$6,1)=1,WEEKDAY(AE$6,1)=7),0,MIN(8,AE17)*AE16))</f>
      </c>
      <c r="AF18" s="66">
        <f>IF(AF$6="","",IF(OR(WEEKDAY(AF$6,1)=1,WEEKDAY(AF$6,1)=7),0,MIN(8,AF17)*AF16))</f>
      </c>
      <c r="AG18" s="64">
        <f>IF(AG$6="","",IF(OR(WEEKDAY(AG$6,1)=1,WEEKDAY(AG$6,1)=7),0,MIN(8,AG17)*AG16))</f>
      </c>
      <c r="AH18" s="64">
        <f>IF(AH$6="","",IF(OR(WEEKDAY(AH$6,1)=1,WEEKDAY(AH$6,1)=7),0,MIN(8,AH17)*AH16))</f>
      </c>
      <c r="AI18" s="64">
        <f>IF(AI$6="","",IF(OR(WEEKDAY(AI$6,1)=1,WEEKDAY(AI$6,1)=7),0,MIN(8,AI17)*AI16))</f>
      </c>
      <c r="AJ18" s="64">
        <f>IF(AJ$6="","",IF(OR(WEEKDAY(AJ$6,1)=1,WEEKDAY(AJ$6,1)=7),0,MIN(8,AJ17)*AJ16))</f>
      </c>
      <c r="AK18" s="64">
        <f>IF(AK$6="","",IF(OR(WEEKDAY(AK$6,1)=1,WEEKDAY(AK$6,1)=7),0,MIN(8,AK17)*AK16))</f>
      </c>
      <c r="AL18" s="65">
        <f>IF(AL$6="","",IF(OR(WEEKDAY(AL$6,1)=1,WEEKDAY(AL$6,1)=7),0,MIN(8,AL17)*AL16))</f>
      </c>
      <c r="AM18" s="66">
        <f>IF(AM$6="","",IF(OR(WEEKDAY(AM$6,1)=1,WEEKDAY(AM$6,1)=7),0,MIN(8,AM17)*AM16))</f>
      </c>
      <c r="AN18" s="64">
        <f>IF(AN$6="","",IF(OR(WEEKDAY(AN$6,1)=1,WEEKDAY(AN$6,1)=7),0,MIN(8,AN17)*AN16))</f>
      </c>
      <c r="AO18" s="64">
        <f>IF(AO$6="","",IF(OR(WEEKDAY(AO$6,1)=1,WEEKDAY(AO$6,1)=7),0,MIN(8,AO17)*AO16))</f>
      </c>
      <c r="AP18" s="64">
        <f>IF(AP$6="","",IF(OR(WEEKDAY(AP$6,1)=1,WEEKDAY(AP$6,1)=7),0,MIN(8,AP17)*AP16))</f>
      </c>
      <c r="AQ18" s="67">
        <f>IF(AQ$6="","",IF(OR(WEEKDAY(AQ$6,1)=1,WEEKDAY(AQ$6,1)=7),0,MIN(8,AQ17)*AQ16))</f>
      </c>
      <c r="OV18" s="42" t="s">
        <v>55</v>
      </c>
    </row>
    <row r="19" spans="1:412" x14ac:dyDescent="0.25">
      <c r="A19" s="57"/>
      <c r="B19" s="58">
        <f>SUM(L19:AQ19)</f>
      </c>
      <c r="C19" s="59"/>
      <c r="D19" s="60">
        <f>B19*E19</f>
      </c>
      <c r="E19" s="60">
        <f>'Rate Tables'!D11</f>
      </c>
      <c r="F19" s="61" t="s">
        <v>38</v>
      </c>
      <c r="G19" s="14"/>
      <c r="H19" s="14"/>
      <c r="I19" s="14"/>
      <c r="J19" s="14"/>
      <c r="K19" s="62"/>
      <c r="L19" s="63">
        <f>IF(L$6="","",IF(WEEKDAY(L$6,1)=1,0,IF(WEEKDAY(L$6,1)=7,L17*L16,MAX(0,L17-8)*L16)))</f>
      </c>
      <c r="M19" s="64">
        <f>IF(M$6="","",IF(WEEKDAY(M$6,1)=1,0,IF(WEEKDAY(M$6,1)=7,M17*M16,MAX(0,M17-8)*M16)))</f>
      </c>
      <c r="N19" s="64">
        <f>IF(N$6="","",IF(WEEKDAY(N$6,1)=1,0,IF(WEEKDAY(N$6,1)=7,N17*N16,MAX(0,N17-8)*N16)))</f>
      </c>
      <c r="O19" s="64">
        <f>IF(O$6="","",IF(WEEKDAY(O$6,1)=1,0,IF(WEEKDAY(O$6,1)=7,O17*O16,MAX(0,O17-8)*O16)))</f>
      </c>
      <c r="P19" s="64">
        <f>IF(P$6="","",IF(WEEKDAY(P$6,1)=1,0,IF(WEEKDAY(P$6,1)=7,P17*P16,MAX(0,P17-8)*P16)))</f>
      </c>
      <c r="Q19" s="65">
        <f>IF(Q$6="","",IF(WEEKDAY(Q$6,1)=1,0,IF(WEEKDAY(Q$6,1)=7,Q17*Q16,MAX(0,Q17-8)*Q16)))</f>
      </c>
      <c r="R19" s="66">
        <f>IF(R$6="","",IF(WEEKDAY(R$6,1)=1,0,IF(WEEKDAY(R$6,1)=7,R17*R16,MAX(0,R17-8)*R16)))</f>
      </c>
      <c r="S19" s="64">
        <f>IF(S$6="","",IF(WEEKDAY(S$6,1)=1,0,IF(WEEKDAY(S$6,1)=7,S17*S16,MAX(0,S17-8)*S16)))</f>
      </c>
      <c r="T19" s="64">
        <f>IF(T$6="","",IF(WEEKDAY(T$6,1)=1,0,IF(WEEKDAY(T$6,1)=7,T17*T16,MAX(0,T17-8)*T16)))</f>
      </c>
      <c r="U19" s="64">
        <f>IF(U$6="","",IF(WEEKDAY(U$6,1)=1,0,IF(WEEKDAY(U$6,1)=7,U17*U16,MAX(0,U17-8)*U16)))</f>
      </c>
      <c r="V19" s="64">
        <f>IF(V$6="","",IF(WEEKDAY(V$6,1)=1,0,IF(WEEKDAY(V$6,1)=7,V17*V16,MAX(0,V17-8)*V16)))</f>
      </c>
      <c r="W19" s="64">
        <f>IF(W$6="","",IF(WEEKDAY(W$6,1)=1,0,IF(WEEKDAY(W$6,1)=7,W17*W16,MAX(0,W17-8)*W16)))</f>
      </c>
      <c r="X19" s="65">
        <f>IF(X$6="","",IF(WEEKDAY(X$6,1)=1,0,IF(WEEKDAY(X$6,1)=7,X17*X16,MAX(0,X17-8)*X16)))</f>
      </c>
      <c r="Y19" s="66">
        <f>IF(Y$6="","",IF(WEEKDAY(Y$6,1)=1,0,IF(WEEKDAY(Y$6,1)=7,Y17*Y16,MAX(0,Y17-8)*Y16)))</f>
      </c>
      <c r="Z19" s="64">
        <f>IF(Z$6="","",IF(WEEKDAY(Z$6,1)=1,0,IF(WEEKDAY(Z$6,1)=7,Z17*Z16,MAX(0,Z17-8)*Z16)))</f>
      </c>
      <c r="AA19" s="64">
        <f>IF(AA$6="","",IF(WEEKDAY(AA$6,1)=1,0,IF(WEEKDAY(AA$6,1)=7,AA17*AA16,MAX(0,AA17-8)*AA16)))</f>
      </c>
      <c r="AB19" s="64">
        <f>IF(AB$6="","",IF(WEEKDAY(AB$6,1)=1,0,IF(WEEKDAY(AB$6,1)=7,AB17*AB16,MAX(0,AB17-8)*AB16)))</f>
      </c>
      <c r="AC19" s="64">
        <f>IF(AC$6="","",IF(WEEKDAY(AC$6,1)=1,0,IF(WEEKDAY(AC$6,1)=7,AC17*AC16,MAX(0,AC17-8)*AC16)))</f>
      </c>
      <c r="AD19" s="64">
        <f>IF(AD$6="","",IF(WEEKDAY(AD$6,1)=1,0,IF(WEEKDAY(AD$6,1)=7,AD17*AD16,MAX(0,AD17-8)*AD16)))</f>
      </c>
      <c r="AE19" s="65">
        <f>IF(AE$6="","",IF(WEEKDAY(AE$6,1)=1,0,IF(WEEKDAY(AE$6,1)=7,AE17*AE16,MAX(0,AE17-8)*AE16)))</f>
      </c>
      <c r="AF19" s="66">
        <f>IF(AF$6="","",IF(WEEKDAY(AF$6,1)=1,0,IF(WEEKDAY(AF$6,1)=7,AF17*AF16,MAX(0,AF17-8)*AF16)))</f>
      </c>
      <c r="AG19" s="64">
        <f>IF(AG$6="","",IF(WEEKDAY(AG$6,1)=1,0,IF(WEEKDAY(AG$6,1)=7,AG17*AG16,MAX(0,AG17-8)*AG16)))</f>
      </c>
      <c r="AH19" s="64">
        <f>IF(AH$6="","",IF(WEEKDAY(AH$6,1)=1,0,IF(WEEKDAY(AH$6,1)=7,AH17*AH16,MAX(0,AH17-8)*AH16)))</f>
      </c>
      <c r="AI19" s="64">
        <f>IF(AI$6="","",IF(WEEKDAY(AI$6,1)=1,0,IF(WEEKDAY(AI$6,1)=7,AI17*AI16,MAX(0,AI17-8)*AI16)))</f>
      </c>
      <c r="AJ19" s="64">
        <f>IF(AJ$6="","",IF(WEEKDAY(AJ$6,1)=1,0,IF(WEEKDAY(AJ$6,1)=7,AJ17*AJ16,MAX(0,AJ17-8)*AJ16)))</f>
      </c>
      <c r="AK19" s="64">
        <f>IF(AK$6="","",IF(WEEKDAY(AK$6,1)=1,0,IF(WEEKDAY(AK$6,1)=7,AK17*AK16,MAX(0,AK17-8)*AK16)))</f>
      </c>
      <c r="AL19" s="65">
        <f>IF(AL$6="","",IF(WEEKDAY(AL$6,1)=1,0,IF(WEEKDAY(AL$6,1)=7,AL17*AL16,MAX(0,AL17-8)*AL16)))</f>
      </c>
      <c r="AM19" s="66">
        <f>IF(AM$6="","",IF(WEEKDAY(AM$6,1)=1,0,IF(WEEKDAY(AM$6,1)=7,AM17*AM16,MAX(0,AM17-8)*AM16)))</f>
      </c>
      <c r="AN19" s="64">
        <f>IF(AN$6="","",IF(WEEKDAY(AN$6,1)=1,0,IF(WEEKDAY(AN$6,1)=7,AN17*AN16,MAX(0,AN17-8)*AN16)))</f>
      </c>
      <c r="AO19" s="64">
        <f>IF(AO$6="","",IF(WEEKDAY(AO$6,1)=1,0,IF(WEEKDAY(AO$6,1)=7,AO17*AO16,MAX(0,AO17-8)*AO16)))</f>
      </c>
      <c r="AP19" s="64">
        <f>IF(AP$6="","",IF(WEEKDAY(AP$6,1)=1,0,IF(WEEKDAY(AP$6,1)=7,AP17*AP16,MAX(0,AP17-8)*AP16)))</f>
      </c>
      <c r="AQ19" s="67">
        <f>IF(AQ$6="","",IF(WEEKDAY(AQ$6,1)=1,0,IF(WEEKDAY(AQ$6,1)=7,AQ17*AQ16,MAX(0,AQ17-8)*AQ16)))</f>
      </c>
      <c r="OV19" s="42" t="s">
        <v>55</v>
      </c>
    </row>
    <row r="20" spans="1:412" x14ac:dyDescent="0.25">
      <c r="A20" s="57"/>
      <c r="B20" s="58">
        <f>SUM(L20:AQ20)</f>
      </c>
      <c r="C20" s="59"/>
      <c r="D20" s="60">
        <f>B20*E20</f>
      </c>
      <c r="E20" s="60">
        <f>'Rate Tables'!E11</f>
      </c>
      <c r="F20" s="61" t="s">
        <v>39</v>
      </c>
      <c r="G20" s="14"/>
      <c r="H20" s="14"/>
      <c r="I20" s="14"/>
      <c r="J20" s="14"/>
      <c r="K20" s="62"/>
      <c r="L20" s="63">
        <f>IF(L$6="","",IF(WEEKDAY(L$6,1)=1,L17*L16,0))</f>
      </c>
      <c r="M20" s="64">
        <f>IF(M$6="","",IF(WEEKDAY(M$6,1)=1,M17*M16,0))</f>
      </c>
      <c r="N20" s="64">
        <f>IF(N$6="","",IF(WEEKDAY(N$6,1)=1,N17*N16,0))</f>
      </c>
      <c r="O20" s="64">
        <f>IF(O$6="","",IF(WEEKDAY(O$6,1)=1,O17*O16,0))</f>
      </c>
      <c r="P20" s="64">
        <f>IF(P$6="","",IF(WEEKDAY(P$6,1)=1,P17*P16,0))</f>
      </c>
      <c r="Q20" s="65">
        <f>IF(Q$6="","",IF(WEEKDAY(Q$6,1)=1,Q17*Q16,0))</f>
      </c>
      <c r="R20" s="66">
        <f>IF(R$6="","",IF(WEEKDAY(R$6,1)=1,R17*R16,0))</f>
      </c>
      <c r="S20" s="64">
        <f>IF(S$6="","",IF(WEEKDAY(S$6,1)=1,S17*S16,0))</f>
      </c>
      <c r="T20" s="64">
        <f>IF(T$6="","",IF(WEEKDAY(T$6,1)=1,T17*T16,0))</f>
      </c>
      <c r="U20" s="64">
        <f>IF(U$6="","",IF(WEEKDAY(U$6,1)=1,U17*U16,0))</f>
      </c>
      <c r="V20" s="64">
        <f>IF(V$6="","",IF(WEEKDAY(V$6,1)=1,V17*V16,0))</f>
      </c>
      <c r="W20" s="64">
        <f>IF(W$6="","",IF(WEEKDAY(W$6,1)=1,W17*W16,0))</f>
      </c>
      <c r="X20" s="65">
        <f>IF(X$6="","",IF(WEEKDAY(X$6,1)=1,X17*X16,0))</f>
      </c>
      <c r="Y20" s="66">
        <f>IF(Y$6="","",IF(WEEKDAY(Y$6,1)=1,Y17*Y16,0))</f>
      </c>
      <c r="Z20" s="64">
        <f>IF(Z$6="","",IF(WEEKDAY(Z$6,1)=1,Z17*Z16,0))</f>
      </c>
      <c r="AA20" s="64">
        <f>IF(AA$6="","",IF(WEEKDAY(AA$6,1)=1,AA17*AA16,0))</f>
      </c>
      <c r="AB20" s="64">
        <f>IF(AB$6="","",IF(WEEKDAY(AB$6,1)=1,AB17*AB16,0))</f>
      </c>
      <c r="AC20" s="64">
        <f>IF(AC$6="","",IF(WEEKDAY(AC$6,1)=1,AC17*AC16,0))</f>
      </c>
      <c r="AD20" s="64">
        <f>IF(AD$6="","",IF(WEEKDAY(AD$6,1)=1,AD17*AD16,0))</f>
      </c>
      <c r="AE20" s="65">
        <f>IF(AE$6="","",IF(WEEKDAY(AE$6,1)=1,AE17*AE16,0))</f>
      </c>
      <c r="AF20" s="66">
        <f>IF(AF$6="","",IF(WEEKDAY(AF$6,1)=1,AF17*AF16,0))</f>
      </c>
      <c r="AG20" s="64">
        <f>IF(AG$6="","",IF(WEEKDAY(AG$6,1)=1,AG17*AG16,0))</f>
      </c>
      <c r="AH20" s="64">
        <f>IF(AH$6="","",IF(WEEKDAY(AH$6,1)=1,AH17*AH16,0))</f>
      </c>
      <c r="AI20" s="64">
        <f>IF(AI$6="","",IF(WEEKDAY(AI$6,1)=1,AI17*AI16,0))</f>
      </c>
      <c r="AJ20" s="64">
        <f>IF(AJ$6="","",IF(WEEKDAY(AJ$6,1)=1,AJ17*AJ16,0))</f>
      </c>
      <c r="AK20" s="64">
        <f>IF(AK$6="","",IF(WEEKDAY(AK$6,1)=1,AK17*AK16,0))</f>
      </c>
      <c r="AL20" s="65">
        <f>IF(AL$6="","",IF(WEEKDAY(AL$6,1)=1,AL17*AL16,0))</f>
      </c>
      <c r="AM20" s="66">
        <f>IF(AM$6="","",IF(WEEKDAY(AM$6,1)=1,AM17*AM16,0))</f>
      </c>
      <c r="AN20" s="64">
        <f>IF(AN$6="","",IF(WEEKDAY(AN$6,1)=1,AN17*AN16,0))</f>
      </c>
      <c r="AO20" s="64">
        <f>IF(AO$6="","",IF(WEEKDAY(AO$6,1)=1,AO17*AO16,0))</f>
      </c>
      <c r="AP20" s="64">
        <f>IF(AP$6="","",IF(WEEKDAY(AP$6,1)=1,AP17*AP16,0))</f>
      </c>
      <c r="AQ20" s="67">
        <f>IF(AQ$6="","",IF(WEEKDAY(AQ$6,1)=1,AQ17*AQ16,0))</f>
      </c>
      <c r="OV20" s="42" t="s">
        <v>55</v>
      </c>
    </row>
    <row r="21" spans="1:412" x14ac:dyDescent="0.25">
      <c r="A21" s="68"/>
      <c r="B21" s="69">
        <f>SUM(L21:AQ21)</f>
      </c>
      <c r="C21" s="70"/>
      <c r="D21" s="71">
        <f>B21*E21</f>
      </c>
      <c r="E21" s="71">
        <v>130</v>
      </c>
      <c r="F21" s="72" t="s">
        <v>40</v>
      </c>
      <c r="G21" s="73"/>
      <c r="H21" s="73"/>
      <c r="I21" s="73"/>
      <c r="J21" s="73"/>
      <c r="K21" s="74"/>
      <c r="L21" s="75">
        <v>2</v>
      </c>
      <c r="M21" s="76">
        <v>2</v>
      </c>
      <c r="N21" s="76">
        <v>2</v>
      </c>
      <c r="O21" s="76">
        <v>2</v>
      </c>
      <c r="P21" s="76">
        <v>2</v>
      </c>
      <c r="Q21" s="77">
        <v>0</v>
      </c>
      <c r="R21" s="78">
        <v>0</v>
      </c>
      <c r="S21" s="76">
        <v>2</v>
      </c>
      <c r="T21" s="76">
        <v>2</v>
      </c>
      <c r="U21" s="76">
        <v>2</v>
      </c>
      <c r="V21" s="76">
        <v>2</v>
      </c>
      <c r="W21" s="76">
        <v>2</v>
      </c>
      <c r="X21" s="77">
        <v>2</v>
      </c>
      <c r="Y21" s="78">
        <v>2</v>
      </c>
      <c r="Z21" s="76">
        <v>2</v>
      </c>
      <c r="AA21" s="76">
        <v>2</v>
      </c>
      <c r="AB21" s="76">
        <v>2</v>
      </c>
      <c r="AC21" s="76">
        <v>2</v>
      </c>
      <c r="AD21" s="76">
        <v>2</v>
      </c>
      <c r="AE21" s="77">
        <v>2</v>
      </c>
      <c r="AF21" s="78">
        <v>2</v>
      </c>
      <c r="AG21" s="76">
        <v>2</v>
      </c>
      <c r="AH21" s="76">
        <v>2</v>
      </c>
      <c r="AI21" s="76">
        <v>2</v>
      </c>
      <c r="AJ21" s="76">
        <v>0</v>
      </c>
      <c r="AK21" s="76">
        <v>0</v>
      </c>
      <c r="AL21" s="77">
        <v>0</v>
      </c>
      <c r="AM21" s="78">
        <v>0</v>
      </c>
      <c r="AN21" s="76">
        <v>0</v>
      </c>
      <c r="AO21" s="76">
        <v>0</v>
      </c>
      <c r="AP21" s="76">
        <v>0</v>
      </c>
      <c r="AQ21" s="79">
        <v>0</v>
      </c>
      <c r="OV21" s="42" t="s">
        <v>55</v>
      </c>
    </row>
    <row r="22" spans="1:11" x14ac:dyDescent="0.25">
      <c r="A22" s="83" t="s">
        <v>52</v>
      </c>
      <c r="B22" s="84">
        <f>SUM(B7,B15)</f>
      </c>
      <c r="C22" s="20"/>
      <c r="D22" s="85">
        <f>SUM(D13,D21)</f>
      </c>
      <c r="G22" s="84">
        <f>SUM(G7,G15)</f>
      </c>
      <c r="H22" s="84">
        <f>SUM(H7,H15)</f>
      </c>
      <c r="I22" s="84">
        <f>SUM(I7,I15)</f>
      </c>
      <c r="J22" s="84">
        <f>SUM(J7,J15)</f>
      </c>
      <c r="K22" s="85">
        <f>SUM(K7,K15)</f>
      </c>
    </row>
  </sheetData>
  <mergeCells count="2">
    <mergeCell ref="A1:AQ1"/>
    <mergeCell ref="A3:AQ3"/>
  </mergeCells>
  <printOptions horizontalCentered="1"/>
  <pageMargins left="0.4" right="0.4" top="0.65" bottom="0.65" header="0.28" footer="0.28"/>
  <pageSetup orientation="landscape" horizontalDpi="4294967295" verticalDpi="4294967295" scale="100"/>
  <headerFooter>
    <oddHeader>&amp;L&amp;B HIT SQUAD / PROJECT CONTROLS &amp;C Foremen &amp;R Confidential</oddHeader>
    <oddFooter>&amp;L Produced by Hit Squad Project Controls &amp;C &amp;D &amp;R Page &amp;P of &amp;N</oddFooter>
    <evenHeader>&amp;L&amp;B HIT SQUAD / PROJECT CONTROLS &amp;C Foremen &amp;R Confidential</evenHeader>
    <evenFooter>&amp;L Produced by Hit Squad Project Controls &amp;C &amp;D &amp;R Page &amp;P of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OV22"/>
  <sheetViews>
    <sheetView workbookViewId="0">
      <pane xSplit="11" ySplit="6" topLeftCell="L7" activePane="bottomRight" state="frozen"/>
      <selection pane="bottomRight" activeCell="L7" sqref="L7"/>
    </sheetView>
  </sheetViews>
  <sheetFormatPr defaultRowHeight="15" outlineLevelRow="0" outlineLevelCol="0" x14ac:dyDescent="55"/>
  <cols>
    <col min="1" max="1" width="10" style="20" customWidth="1"/>
    <col min="2" max="2" width="13" customWidth="1"/>
    <col min="3" max="3" width="24" style="20" customWidth="1"/>
    <col min="4" max="4" width="14" customWidth="1"/>
    <col min="5" max="6" width="9.01" customWidth="1"/>
    <col min="7" max="10" width="8.5" customWidth="1"/>
    <col min="11" max="11" width="10" customWidth="1"/>
    <col min="12" max="43" width="3" customWidth="1"/>
    <col min="412" max="412" width="3" hidden="1" customWidth="1"/>
  </cols>
  <sheetData>
    <row r="1" ht="22" customHeight="1" spans="1:43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</row>
    <row r="2" spans="1:3" x14ac:dyDescent="0.25">
      <c r="A2" s="22" t="s">
        <v>1</v>
      </c>
      <c r="C2" s="20"/>
    </row>
    <row r="3" spans="1:43" x14ac:dyDescent="0.25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</row>
    <row r="4" spans="1:3" x14ac:dyDescent="0.25">
      <c r="A4" s="24" t="s">
        <v>3</v>
      </c>
      <c r="C4" s="20"/>
    </row>
    <row r="5" spans="1:3" x14ac:dyDescent="0.25">
      <c r="A5" s="25" t="s">
        <v>4</v>
      </c>
      <c r="B5" s="6">
        <v>46269.75675221065</v>
      </c>
      <c r="C5" s="20"/>
    </row>
    <row r="6" ht="36" customHeight="1" spans="1:43" x14ac:dyDescent="0.25">
      <c r="A6" s="26" t="s">
        <v>20</v>
      </c>
      <c r="B6" s="27" t="s">
        <v>21</v>
      </c>
      <c r="C6" s="26" t="s">
        <v>22</v>
      </c>
      <c r="D6" s="27" t="s">
        <v>23</v>
      </c>
      <c r="E6" s="27" t="s">
        <v>24</v>
      </c>
      <c r="F6" s="27" t="s">
        <v>25</v>
      </c>
      <c r="G6" s="27" t="s">
        <v>26</v>
      </c>
      <c r="H6" s="27" t="s">
        <v>27</v>
      </c>
      <c r="I6" s="27" t="s">
        <v>28</v>
      </c>
      <c r="J6" s="27" t="s">
        <v>29</v>
      </c>
      <c r="K6" s="27" t="s">
        <v>12</v>
      </c>
      <c r="L6" s="28">
        <v>46286</v>
      </c>
      <c r="M6" s="28">
        <f>L6+1</f>
      </c>
      <c r="N6" s="28">
        <f>M6+1</f>
      </c>
      <c r="O6" s="28">
        <f>N6+1</f>
      </c>
      <c r="P6" s="28">
        <f>O6+1</f>
      </c>
      <c r="Q6" s="29">
        <f>P6+1</f>
      </c>
      <c r="R6" s="30">
        <f>Q6+1</f>
      </c>
      <c r="S6" s="28">
        <f>R6+1</f>
      </c>
      <c r="T6" s="28">
        <f>S6+1</f>
      </c>
      <c r="U6" s="28">
        <f>T6+1</f>
      </c>
      <c r="V6" s="28">
        <f>U6+1</f>
      </c>
      <c r="W6" s="28">
        <f>V6+1</f>
      </c>
      <c r="X6" s="29">
        <f>W6+1</f>
      </c>
      <c r="Y6" s="30">
        <f>X6+1</f>
      </c>
      <c r="Z6" s="28">
        <f>Y6+1</f>
      </c>
      <c r="AA6" s="28">
        <f>Z6+1</f>
      </c>
      <c r="AB6" s="28">
        <f>AA6+1</f>
      </c>
      <c r="AC6" s="28">
        <f>AB6+1</f>
      </c>
      <c r="AD6" s="28">
        <f>AC6+1</f>
      </c>
      <c r="AE6" s="29">
        <f>AD6+1</f>
      </c>
      <c r="AF6" s="30">
        <f>AE6+1</f>
      </c>
      <c r="AG6" s="28">
        <f>AF6+1</f>
      </c>
      <c r="AH6" s="28">
        <f>AG6+1</f>
      </c>
      <c r="AI6" s="28">
        <f>AH6+1</f>
      </c>
      <c r="AJ6" s="28">
        <f>AI6+1</f>
      </c>
      <c r="AK6" s="28">
        <f>AJ6+1</f>
      </c>
      <c r="AL6" s="29">
        <f>AK6+1</f>
      </c>
      <c r="AM6" s="30">
        <f>AL6+1</f>
      </c>
      <c r="AN6" s="28">
        <f>AM6+1</f>
      </c>
      <c r="AO6" s="28">
        <f>AN6+1</f>
      </c>
      <c r="AP6" s="28">
        <f>AO6+1</f>
      </c>
      <c r="AQ6" s="28">
        <f>AP6+1</f>
      </c>
    </row>
    <row r="7" spans="1:412" x14ac:dyDescent="0.25">
      <c r="A7" s="31" t="s">
        <v>30</v>
      </c>
      <c r="B7" s="32">
        <f>G7+H7+I7</f>
      </c>
      <c r="C7" s="33" t="s">
        <v>56</v>
      </c>
      <c r="D7" s="34">
        <f>K7</f>
      </c>
      <c r="E7" s="35"/>
      <c r="F7" s="35" t="s">
        <v>32</v>
      </c>
      <c r="G7" s="32">
        <f>B10</f>
      </c>
      <c r="H7" s="32">
        <f>B11</f>
      </c>
      <c r="I7" s="32">
        <f>B12</f>
      </c>
      <c r="J7" s="32">
        <f>B13</f>
      </c>
      <c r="K7" s="36">
        <f>D10+D11+D12</f>
      </c>
      <c r="L7" s="37"/>
      <c r="M7" s="38"/>
      <c r="N7" s="38"/>
      <c r="O7" s="38"/>
      <c r="P7" s="38"/>
      <c r="Q7" s="39"/>
      <c r="R7" s="40"/>
      <c r="S7" s="38"/>
      <c r="T7" s="38"/>
      <c r="U7" s="38"/>
      <c r="V7" s="38"/>
      <c r="W7" s="38"/>
      <c r="X7" s="39"/>
      <c r="Y7" s="40"/>
      <c r="Z7" s="38"/>
      <c r="AA7" s="38"/>
      <c r="AB7" s="38"/>
      <c r="AC7" s="38"/>
      <c r="AD7" s="38"/>
      <c r="AE7" s="39"/>
      <c r="AF7" s="40"/>
      <c r="AG7" s="38"/>
      <c r="AH7" s="38"/>
      <c r="AI7" s="38"/>
      <c r="AJ7" s="38"/>
      <c r="AK7" s="38"/>
      <c r="AL7" s="39"/>
      <c r="AM7" s="40"/>
      <c r="AN7" s="38"/>
      <c r="AO7" s="38"/>
      <c r="AP7" s="38"/>
      <c r="AQ7" s="41"/>
      <c r="OV7" s="42" t="s">
        <v>57</v>
      </c>
    </row>
    <row r="8" spans="1:412" x14ac:dyDescent="0.25">
      <c r="A8" s="43"/>
      <c r="B8" s="44"/>
      <c r="C8" s="45"/>
      <c r="D8" s="44"/>
      <c r="E8" s="44"/>
      <c r="F8" s="44" t="s">
        <v>34</v>
      </c>
      <c r="G8" s="44"/>
      <c r="H8" s="44"/>
      <c r="I8" s="44"/>
      <c r="J8" s="44"/>
      <c r="K8" s="46"/>
      <c r="L8" s="47">
        <v>8</v>
      </c>
      <c r="M8" s="48">
        <v>8</v>
      </c>
      <c r="N8" s="48">
        <v>8</v>
      </c>
      <c r="O8" s="48">
        <v>8</v>
      </c>
      <c r="P8" s="48">
        <v>8</v>
      </c>
      <c r="Q8" s="49">
        <v>0</v>
      </c>
      <c r="R8" s="50">
        <v>0</v>
      </c>
      <c r="S8" s="48">
        <v>8</v>
      </c>
      <c r="T8" s="48">
        <v>8</v>
      </c>
      <c r="U8" s="48">
        <v>8</v>
      </c>
      <c r="V8" s="48">
        <v>18</v>
      </c>
      <c r="W8" s="48">
        <v>18</v>
      </c>
      <c r="X8" s="49">
        <v>18</v>
      </c>
      <c r="Y8" s="50">
        <v>18</v>
      </c>
      <c r="Z8" s="48">
        <v>18</v>
      </c>
      <c r="AA8" s="48">
        <v>18</v>
      </c>
      <c r="AB8" s="48">
        <v>18</v>
      </c>
      <c r="AC8" s="48">
        <v>18</v>
      </c>
      <c r="AD8" s="48">
        <v>18</v>
      </c>
      <c r="AE8" s="49">
        <v>18</v>
      </c>
      <c r="AF8" s="50">
        <v>18</v>
      </c>
      <c r="AG8" s="48">
        <v>18</v>
      </c>
      <c r="AH8" s="48">
        <v>18</v>
      </c>
      <c r="AI8" s="48">
        <v>18</v>
      </c>
      <c r="AJ8" s="48">
        <v>8</v>
      </c>
      <c r="AK8" s="48">
        <v>8</v>
      </c>
      <c r="AL8" s="49">
        <v>0</v>
      </c>
      <c r="AM8" s="50">
        <v>0</v>
      </c>
      <c r="AN8" s="48">
        <v>8</v>
      </c>
      <c r="AO8" s="48">
        <v>8</v>
      </c>
      <c r="AP8" s="48">
        <v>8</v>
      </c>
      <c r="AQ8" s="51">
        <v>8</v>
      </c>
      <c r="OV8" s="42" t="s">
        <v>57</v>
      </c>
    </row>
    <row r="9" ht="28" customHeight="1" spans="1:412" x14ac:dyDescent="0.25">
      <c r="A9" s="43" t="s">
        <v>35</v>
      </c>
      <c r="B9" s="44"/>
      <c r="C9" s="45"/>
      <c r="D9" s="44"/>
      <c r="E9" s="44"/>
      <c r="F9" s="44" t="s">
        <v>36</v>
      </c>
      <c r="G9" s="44"/>
      <c r="H9" s="44"/>
      <c r="I9" s="44"/>
      <c r="J9" s="44"/>
      <c r="K9" s="46"/>
      <c r="L9" s="52">
        <v>8</v>
      </c>
      <c r="M9" s="53">
        <v>8</v>
      </c>
      <c r="N9" s="53">
        <v>8</v>
      </c>
      <c r="O9" s="53">
        <v>8</v>
      </c>
      <c r="P9" s="53">
        <v>8</v>
      </c>
      <c r="Q9" s="54">
        <v>0</v>
      </c>
      <c r="R9" s="55">
        <v>0</v>
      </c>
      <c r="S9" s="53">
        <v>8</v>
      </c>
      <c r="T9" s="53">
        <v>8</v>
      </c>
      <c r="U9" s="53">
        <v>8</v>
      </c>
      <c r="V9" s="53">
        <v>12</v>
      </c>
      <c r="W9" s="53">
        <v>12</v>
      </c>
      <c r="X9" s="54">
        <v>12</v>
      </c>
      <c r="Y9" s="55">
        <v>12</v>
      </c>
      <c r="Z9" s="53">
        <v>12</v>
      </c>
      <c r="AA9" s="53">
        <v>12</v>
      </c>
      <c r="AB9" s="53">
        <v>12</v>
      </c>
      <c r="AC9" s="53">
        <v>12</v>
      </c>
      <c r="AD9" s="53">
        <v>12</v>
      </c>
      <c r="AE9" s="54">
        <v>12</v>
      </c>
      <c r="AF9" s="55">
        <v>12</v>
      </c>
      <c r="AG9" s="53">
        <v>12</v>
      </c>
      <c r="AH9" s="53">
        <v>12</v>
      </c>
      <c r="AI9" s="53">
        <v>12</v>
      </c>
      <c r="AJ9" s="53">
        <v>8</v>
      </c>
      <c r="AK9" s="53">
        <v>8</v>
      </c>
      <c r="AL9" s="54">
        <v>0</v>
      </c>
      <c r="AM9" s="55">
        <v>0</v>
      </c>
      <c r="AN9" s="53">
        <v>8</v>
      </c>
      <c r="AO9" s="53">
        <v>8</v>
      </c>
      <c r="AP9" s="53">
        <v>8</v>
      </c>
      <c r="AQ9" s="56">
        <v>8</v>
      </c>
      <c r="OV9" s="42" t="s">
        <v>57</v>
      </c>
    </row>
    <row r="10" spans="1:412" x14ac:dyDescent="0.25">
      <c r="A10" s="57"/>
      <c r="B10" s="58">
        <f>SUM(L10:AQ10)</f>
      </c>
      <c r="C10" s="59"/>
      <c r="D10" s="60">
        <f>B10*E10</f>
      </c>
      <c r="E10" s="60">
        <f>'Rate Tables'!C12</f>
      </c>
      <c r="F10" s="61" t="s">
        <v>37</v>
      </c>
      <c r="G10" s="14"/>
      <c r="H10" s="14"/>
      <c r="I10" s="14"/>
      <c r="J10" s="14"/>
      <c r="K10" s="62"/>
      <c r="L10" s="63">
        <f>IF(L$6="","",IF(OR(WEEKDAY(L$6,1)=1,WEEKDAY(L$6,1)=7),0,MIN(8,L9)*L8))</f>
      </c>
      <c r="M10" s="64">
        <f>IF(M$6="","",IF(OR(WEEKDAY(M$6,1)=1,WEEKDAY(M$6,1)=7),0,MIN(8,M9)*M8))</f>
      </c>
      <c r="N10" s="64">
        <f>IF(N$6="","",IF(OR(WEEKDAY(N$6,1)=1,WEEKDAY(N$6,1)=7),0,MIN(8,N9)*N8))</f>
      </c>
      <c r="O10" s="64">
        <f>IF(O$6="","",IF(OR(WEEKDAY(O$6,1)=1,WEEKDAY(O$6,1)=7),0,MIN(8,O9)*O8))</f>
      </c>
      <c r="P10" s="64">
        <f>IF(P$6="","",IF(OR(WEEKDAY(P$6,1)=1,WEEKDAY(P$6,1)=7),0,MIN(8,P9)*P8))</f>
      </c>
      <c r="Q10" s="65">
        <f>IF(Q$6="","",IF(OR(WEEKDAY(Q$6,1)=1,WEEKDAY(Q$6,1)=7),0,MIN(8,Q9)*Q8))</f>
      </c>
      <c r="R10" s="66">
        <f>IF(R$6="","",IF(OR(WEEKDAY(R$6,1)=1,WEEKDAY(R$6,1)=7),0,MIN(8,R9)*R8))</f>
      </c>
      <c r="S10" s="64">
        <f>IF(S$6="","",IF(OR(WEEKDAY(S$6,1)=1,WEEKDAY(S$6,1)=7),0,MIN(8,S9)*S8))</f>
      </c>
      <c r="T10" s="64">
        <f>IF(T$6="","",IF(OR(WEEKDAY(T$6,1)=1,WEEKDAY(T$6,1)=7),0,MIN(8,T9)*T8))</f>
      </c>
      <c r="U10" s="64">
        <f>IF(U$6="","",IF(OR(WEEKDAY(U$6,1)=1,WEEKDAY(U$6,1)=7),0,MIN(8,U9)*U8))</f>
      </c>
      <c r="V10" s="64">
        <f>IF(V$6="","",IF(OR(WEEKDAY(V$6,1)=1,WEEKDAY(V$6,1)=7),0,MIN(8,V9)*V8))</f>
      </c>
      <c r="W10" s="64">
        <f>IF(W$6="","",IF(OR(WEEKDAY(W$6,1)=1,WEEKDAY(W$6,1)=7),0,MIN(8,W9)*W8))</f>
      </c>
      <c r="X10" s="65">
        <f>IF(X$6="","",IF(OR(WEEKDAY(X$6,1)=1,WEEKDAY(X$6,1)=7),0,MIN(8,X9)*X8))</f>
      </c>
      <c r="Y10" s="66">
        <f>IF(Y$6="","",IF(OR(WEEKDAY(Y$6,1)=1,WEEKDAY(Y$6,1)=7),0,MIN(8,Y9)*Y8))</f>
      </c>
      <c r="Z10" s="64">
        <f>IF(Z$6="","",IF(OR(WEEKDAY(Z$6,1)=1,WEEKDAY(Z$6,1)=7),0,MIN(8,Z9)*Z8))</f>
      </c>
      <c r="AA10" s="64">
        <f>IF(AA$6="","",IF(OR(WEEKDAY(AA$6,1)=1,WEEKDAY(AA$6,1)=7),0,MIN(8,AA9)*AA8))</f>
      </c>
      <c r="AB10" s="64">
        <f>IF(AB$6="","",IF(OR(WEEKDAY(AB$6,1)=1,WEEKDAY(AB$6,1)=7),0,MIN(8,AB9)*AB8))</f>
      </c>
      <c r="AC10" s="64">
        <f>IF(AC$6="","",IF(OR(WEEKDAY(AC$6,1)=1,WEEKDAY(AC$6,1)=7),0,MIN(8,AC9)*AC8))</f>
      </c>
      <c r="AD10" s="64">
        <f>IF(AD$6="","",IF(OR(WEEKDAY(AD$6,1)=1,WEEKDAY(AD$6,1)=7),0,MIN(8,AD9)*AD8))</f>
      </c>
      <c r="AE10" s="65">
        <f>IF(AE$6="","",IF(OR(WEEKDAY(AE$6,1)=1,WEEKDAY(AE$6,1)=7),0,MIN(8,AE9)*AE8))</f>
      </c>
      <c r="AF10" s="66">
        <f>IF(AF$6="","",IF(OR(WEEKDAY(AF$6,1)=1,WEEKDAY(AF$6,1)=7),0,MIN(8,AF9)*AF8))</f>
      </c>
      <c r="AG10" s="64">
        <f>IF(AG$6="","",IF(OR(WEEKDAY(AG$6,1)=1,WEEKDAY(AG$6,1)=7),0,MIN(8,AG9)*AG8))</f>
      </c>
      <c r="AH10" s="64">
        <f>IF(AH$6="","",IF(OR(WEEKDAY(AH$6,1)=1,WEEKDAY(AH$6,1)=7),0,MIN(8,AH9)*AH8))</f>
      </c>
      <c r="AI10" s="64">
        <f>IF(AI$6="","",IF(OR(WEEKDAY(AI$6,1)=1,WEEKDAY(AI$6,1)=7),0,MIN(8,AI9)*AI8))</f>
      </c>
      <c r="AJ10" s="64">
        <f>IF(AJ$6="","",IF(OR(WEEKDAY(AJ$6,1)=1,WEEKDAY(AJ$6,1)=7),0,MIN(8,AJ9)*AJ8))</f>
      </c>
      <c r="AK10" s="64">
        <f>IF(AK$6="","",IF(OR(WEEKDAY(AK$6,1)=1,WEEKDAY(AK$6,1)=7),0,MIN(8,AK9)*AK8))</f>
      </c>
      <c r="AL10" s="65">
        <f>IF(AL$6="","",IF(OR(WEEKDAY(AL$6,1)=1,WEEKDAY(AL$6,1)=7),0,MIN(8,AL9)*AL8))</f>
      </c>
      <c r="AM10" s="66">
        <f>IF(AM$6="","",IF(OR(WEEKDAY(AM$6,1)=1,WEEKDAY(AM$6,1)=7),0,MIN(8,AM9)*AM8))</f>
      </c>
      <c r="AN10" s="64">
        <f>IF(AN$6="","",IF(OR(WEEKDAY(AN$6,1)=1,WEEKDAY(AN$6,1)=7),0,MIN(8,AN9)*AN8))</f>
      </c>
      <c r="AO10" s="64">
        <f>IF(AO$6="","",IF(OR(WEEKDAY(AO$6,1)=1,WEEKDAY(AO$6,1)=7),0,MIN(8,AO9)*AO8))</f>
      </c>
      <c r="AP10" s="64">
        <f>IF(AP$6="","",IF(OR(WEEKDAY(AP$6,1)=1,WEEKDAY(AP$6,1)=7),0,MIN(8,AP9)*AP8))</f>
      </c>
      <c r="AQ10" s="67">
        <f>IF(AQ$6="","",IF(OR(WEEKDAY(AQ$6,1)=1,WEEKDAY(AQ$6,1)=7),0,MIN(8,AQ9)*AQ8))</f>
      </c>
      <c r="OV10" s="42" t="s">
        <v>57</v>
      </c>
    </row>
    <row r="11" spans="1:412" x14ac:dyDescent="0.25">
      <c r="A11" s="57"/>
      <c r="B11" s="58">
        <f>SUM(L11:AQ11)</f>
      </c>
      <c r="C11" s="59"/>
      <c r="D11" s="60">
        <f>B11*E11</f>
      </c>
      <c r="E11" s="60">
        <f>'Rate Tables'!D12</f>
      </c>
      <c r="F11" s="61" t="s">
        <v>38</v>
      </c>
      <c r="G11" s="14"/>
      <c r="H11" s="14"/>
      <c r="I11" s="14"/>
      <c r="J11" s="14"/>
      <c r="K11" s="62"/>
      <c r="L11" s="63">
        <f>IF(L$6="","",IF(WEEKDAY(L$6,1)=1,0,IF(WEEKDAY(L$6,1)=7,L9*L8,MAX(0,L9-8)*L8)))</f>
      </c>
      <c r="M11" s="64">
        <f>IF(M$6="","",IF(WEEKDAY(M$6,1)=1,0,IF(WEEKDAY(M$6,1)=7,M9*M8,MAX(0,M9-8)*M8)))</f>
      </c>
      <c r="N11" s="64">
        <f>IF(N$6="","",IF(WEEKDAY(N$6,1)=1,0,IF(WEEKDAY(N$6,1)=7,N9*N8,MAX(0,N9-8)*N8)))</f>
      </c>
      <c r="O11" s="64">
        <f>IF(O$6="","",IF(WEEKDAY(O$6,1)=1,0,IF(WEEKDAY(O$6,1)=7,O9*O8,MAX(0,O9-8)*O8)))</f>
      </c>
      <c r="P11" s="64">
        <f>IF(P$6="","",IF(WEEKDAY(P$6,1)=1,0,IF(WEEKDAY(P$6,1)=7,P9*P8,MAX(0,P9-8)*P8)))</f>
      </c>
      <c r="Q11" s="65">
        <f>IF(Q$6="","",IF(WEEKDAY(Q$6,1)=1,0,IF(WEEKDAY(Q$6,1)=7,Q9*Q8,MAX(0,Q9-8)*Q8)))</f>
      </c>
      <c r="R11" s="66">
        <f>IF(R$6="","",IF(WEEKDAY(R$6,1)=1,0,IF(WEEKDAY(R$6,1)=7,R9*R8,MAX(0,R9-8)*R8)))</f>
      </c>
      <c r="S11" s="64">
        <f>IF(S$6="","",IF(WEEKDAY(S$6,1)=1,0,IF(WEEKDAY(S$6,1)=7,S9*S8,MAX(0,S9-8)*S8)))</f>
      </c>
      <c r="T11" s="64">
        <f>IF(T$6="","",IF(WEEKDAY(T$6,1)=1,0,IF(WEEKDAY(T$6,1)=7,T9*T8,MAX(0,T9-8)*T8)))</f>
      </c>
      <c r="U11" s="64">
        <f>IF(U$6="","",IF(WEEKDAY(U$6,1)=1,0,IF(WEEKDAY(U$6,1)=7,U9*U8,MAX(0,U9-8)*U8)))</f>
      </c>
      <c r="V11" s="64">
        <f>IF(V$6="","",IF(WEEKDAY(V$6,1)=1,0,IF(WEEKDAY(V$6,1)=7,V9*V8,MAX(0,V9-8)*V8)))</f>
      </c>
      <c r="W11" s="64">
        <f>IF(W$6="","",IF(WEEKDAY(W$6,1)=1,0,IF(WEEKDAY(W$6,1)=7,W9*W8,MAX(0,W9-8)*W8)))</f>
      </c>
      <c r="X11" s="65">
        <f>IF(X$6="","",IF(WEEKDAY(X$6,1)=1,0,IF(WEEKDAY(X$6,1)=7,X9*X8,MAX(0,X9-8)*X8)))</f>
      </c>
      <c r="Y11" s="66">
        <f>IF(Y$6="","",IF(WEEKDAY(Y$6,1)=1,0,IF(WEEKDAY(Y$6,1)=7,Y9*Y8,MAX(0,Y9-8)*Y8)))</f>
      </c>
      <c r="Z11" s="64">
        <f>IF(Z$6="","",IF(WEEKDAY(Z$6,1)=1,0,IF(WEEKDAY(Z$6,1)=7,Z9*Z8,MAX(0,Z9-8)*Z8)))</f>
      </c>
      <c r="AA11" s="64">
        <f>IF(AA$6="","",IF(WEEKDAY(AA$6,1)=1,0,IF(WEEKDAY(AA$6,1)=7,AA9*AA8,MAX(0,AA9-8)*AA8)))</f>
      </c>
      <c r="AB11" s="64">
        <f>IF(AB$6="","",IF(WEEKDAY(AB$6,1)=1,0,IF(WEEKDAY(AB$6,1)=7,AB9*AB8,MAX(0,AB9-8)*AB8)))</f>
      </c>
      <c r="AC11" s="64">
        <f>IF(AC$6="","",IF(WEEKDAY(AC$6,1)=1,0,IF(WEEKDAY(AC$6,1)=7,AC9*AC8,MAX(0,AC9-8)*AC8)))</f>
      </c>
      <c r="AD11" s="64">
        <f>IF(AD$6="","",IF(WEEKDAY(AD$6,1)=1,0,IF(WEEKDAY(AD$6,1)=7,AD9*AD8,MAX(0,AD9-8)*AD8)))</f>
      </c>
      <c r="AE11" s="65">
        <f>IF(AE$6="","",IF(WEEKDAY(AE$6,1)=1,0,IF(WEEKDAY(AE$6,1)=7,AE9*AE8,MAX(0,AE9-8)*AE8)))</f>
      </c>
      <c r="AF11" s="66">
        <f>IF(AF$6="","",IF(WEEKDAY(AF$6,1)=1,0,IF(WEEKDAY(AF$6,1)=7,AF9*AF8,MAX(0,AF9-8)*AF8)))</f>
      </c>
      <c r="AG11" s="64">
        <f>IF(AG$6="","",IF(WEEKDAY(AG$6,1)=1,0,IF(WEEKDAY(AG$6,1)=7,AG9*AG8,MAX(0,AG9-8)*AG8)))</f>
      </c>
      <c r="AH11" s="64">
        <f>IF(AH$6="","",IF(WEEKDAY(AH$6,1)=1,0,IF(WEEKDAY(AH$6,1)=7,AH9*AH8,MAX(0,AH9-8)*AH8)))</f>
      </c>
      <c r="AI11" s="64">
        <f>IF(AI$6="","",IF(WEEKDAY(AI$6,1)=1,0,IF(WEEKDAY(AI$6,1)=7,AI9*AI8,MAX(0,AI9-8)*AI8)))</f>
      </c>
      <c r="AJ11" s="64">
        <f>IF(AJ$6="","",IF(WEEKDAY(AJ$6,1)=1,0,IF(WEEKDAY(AJ$6,1)=7,AJ9*AJ8,MAX(0,AJ9-8)*AJ8)))</f>
      </c>
      <c r="AK11" s="64">
        <f>IF(AK$6="","",IF(WEEKDAY(AK$6,1)=1,0,IF(WEEKDAY(AK$6,1)=7,AK9*AK8,MAX(0,AK9-8)*AK8)))</f>
      </c>
      <c r="AL11" s="65">
        <f>IF(AL$6="","",IF(WEEKDAY(AL$6,1)=1,0,IF(WEEKDAY(AL$6,1)=7,AL9*AL8,MAX(0,AL9-8)*AL8)))</f>
      </c>
      <c r="AM11" s="66">
        <f>IF(AM$6="","",IF(WEEKDAY(AM$6,1)=1,0,IF(WEEKDAY(AM$6,1)=7,AM9*AM8,MAX(0,AM9-8)*AM8)))</f>
      </c>
      <c r="AN11" s="64">
        <f>IF(AN$6="","",IF(WEEKDAY(AN$6,1)=1,0,IF(WEEKDAY(AN$6,1)=7,AN9*AN8,MAX(0,AN9-8)*AN8)))</f>
      </c>
      <c r="AO11" s="64">
        <f>IF(AO$6="","",IF(WEEKDAY(AO$6,1)=1,0,IF(WEEKDAY(AO$6,1)=7,AO9*AO8,MAX(0,AO9-8)*AO8)))</f>
      </c>
      <c r="AP11" s="64">
        <f>IF(AP$6="","",IF(WEEKDAY(AP$6,1)=1,0,IF(WEEKDAY(AP$6,1)=7,AP9*AP8,MAX(0,AP9-8)*AP8)))</f>
      </c>
      <c r="AQ11" s="67">
        <f>IF(AQ$6="","",IF(WEEKDAY(AQ$6,1)=1,0,IF(WEEKDAY(AQ$6,1)=7,AQ9*AQ8,MAX(0,AQ9-8)*AQ8)))</f>
      </c>
      <c r="OV11" s="42" t="s">
        <v>57</v>
      </c>
    </row>
    <row r="12" spans="1:412" x14ac:dyDescent="0.25">
      <c r="A12" s="57"/>
      <c r="B12" s="58">
        <f>SUM(L12:AQ12)</f>
      </c>
      <c r="C12" s="59"/>
      <c r="D12" s="60">
        <f>B12*E12</f>
      </c>
      <c r="E12" s="60">
        <f>'Rate Tables'!E12</f>
      </c>
      <c r="F12" s="61" t="s">
        <v>39</v>
      </c>
      <c r="G12" s="14"/>
      <c r="H12" s="14"/>
      <c r="I12" s="14"/>
      <c r="J12" s="14"/>
      <c r="K12" s="62"/>
      <c r="L12" s="63">
        <f>IF(L$6="","",IF(WEEKDAY(L$6,1)=1,L9*L8,0))</f>
      </c>
      <c r="M12" s="64">
        <f>IF(M$6="","",IF(WEEKDAY(M$6,1)=1,M9*M8,0))</f>
      </c>
      <c r="N12" s="64">
        <f>IF(N$6="","",IF(WEEKDAY(N$6,1)=1,N9*N8,0))</f>
      </c>
      <c r="O12" s="64">
        <f>IF(O$6="","",IF(WEEKDAY(O$6,1)=1,O9*O8,0))</f>
      </c>
      <c r="P12" s="64">
        <f>IF(P$6="","",IF(WEEKDAY(P$6,1)=1,P9*P8,0))</f>
      </c>
      <c r="Q12" s="65">
        <f>IF(Q$6="","",IF(WEEKDAY(Q$6,1)=1,Q9*Q8,0))</f>
      </c>
      <c r="R12" s="66">
        <f>IF(R$6="","",IF(WEEKDAY(R$6,1)=1,R9*R8,0))</f>
      </c>
      <c r="S12" s="64">
        <f>IF(S$6="","",IF(WEEKDAY(S$6,1)=1,S9*S8,0))</f>
      </c>
      <c r="T12" s="64">
        <f>IF(T$6="","",IF(WEEKDAY(T$6,1)=1,T9*T8,0))</f>
      </c>
      <c r="U12" s="64">
        <f>IF(U$6="","",IF(WEEKDAY(U$6,1)=1,U9*U8,0))</f>
      </c>
      <c r="V12" s="64">
        <f>IF(V$6="","",IF(WEEKDAY(V$6,1)=1,V9*V8,0))</f>
      </c>
      <c r="W12" s="64">
        <f>IF(W$6="","",IF(WEEKDAY(W$6,1)=1,W9*W8,0))</f>
      </c>
      <c r="X12" s="65">
        <f>IF(X$6="","",IF(WEEKDAY(X$6,1)=1,X9*X8,0))</f>
      </c>
      <c r="Y12" s="66">
        <f>IF(Y$6="","",IF(WEEKDAY(Y$6,1)=1,Y9*Y8,0))</f>
      </c>
      <c r="Z12" s="64">
        <f>IF(Z$6="","",IF(WEEKDAY(Z$6,1)=1,Z9*Z8,0))</f>
      </c>
      <c r="AA12" s="64">
        <f>IF(AA$6="","",IF(WEEKDAY(AA$6,1)=1,AA9*AA8,0))</f>
      </c>
      <c r="AB12" s="64">
        <f>IF(AB$6="","",IF(WEEKDAY(AB$6,1)=1,AB9*AB8,0))</f>
      </c>
      <c r="AC12" s="64">
        <f>IF(AC$6="","",IF(WEEKDAY(AC$6,1)=1,AC9*AC8,0))</f>
      </c>
      <c r="AD12" s="64">
        <f>IF(AD$6="","",IF(WEEKDAY(AD$6,1)=1,AD9*AD8,0))</f>
      </c>
      <c r="AE12" s="65">
        <f>IF(AE$6="","",IF(WEEKDAY(AE$6,1)=1,AE9*AE8,0))</f>
      </c>
      <c r="AF12" s="66">
        <f>IF(AF$6="","",IF(WEEKDAY(AF$6,1)=1,AF9*AF8,0))</f>
      </c>
      <c r="AG12" s="64">
        <f>IF(AG$6="","",IF(WEEKDAY(AG$6,1)=1,AG9*AG8,0))</f>
      </c>
      <c r="AH12" s="64">
        <f>IF(AH$6="","",IF(WEEKDAY(AH$6,1)=1,AH9*AH8,0))</f>
      </c>
      <c r="AI12" s="64">
        <f>IF(AI$6="","",IF(WEEKDAY(AI$6,1)=1,AI9*AI8,0))</f>
      </c>
      <c r="AJ12" s="64">
        <f>IF(AJ$6="","",IF(WEEKDAY(AJ$6,1)=1,AJ9*AJ8,0))</f>
      </c>
      <c r="AK12" s="64">
        <f>IF(AK$6="","",IF(WEEKDAY(AK$6,1)=1,AK9*AK8,0))</f>
      </c>
      <c r="AL12" s="65">
        <f>IF(AL$6="","",IF(WEEKDAY(AL$6,1)=1,AL9*AL8,0))</f>
      </c>
      <c r="AM12" s="66">
        <f>IF(AM$6="","",IF(WEEKDAY(AM$6,1)=1,AM9*AM8,0))</f>
      </c>
      <c r="AN12" s="64">
        <f>IF(AN$6="","",IF(WEEKDAY(AN$6,1)=1,AN9*AN8,0))</f>
      </c>
      <c r="AO12" s="64">
        <f>IF(AO$6="","",IF(WEEKDAY(AO$6,1)=1,AO9*AO8,0))</f>
      </c>
      <c r="AP12" s="64">
        <f>IF(AP$6="","",IF(WEEKDAY(AP$6,1)=1,AP9*AP8,0))</f>
      </c>
      <c r="AQ12" s="67">
        <f>IF(AQ$6="","",IF(WEEKDAY(AQ$6,1)=1,AQ9*AQ8,0))</f>
      </c>
      <c r="OV12" s="42" t="s">
        <v>57</v>
      </c>
    </row>
    <row r="13" spans="1:412" x14ac:dyDescent="0.25">
      <c r="A13" s="68"/>
      <c r="B13" s="69">
        <f>SUM(L13:AQ13)</f>
      </c>
      <c r="C13" s="70"/>
      <c r="D13" s="71">
        <f>B13*E13</f>
      </c>
      <c r="E13" s="71">
        <v>130</v>
      </c>
      <c r="F13" s="72" t="s">
        <v>40</v>
      </c>
      <c r="G13" s="73"/>
      <c r="H13" s="73"/>
      <c r="I13" s="73"/>
      <c r="J13" s="73"/>
      <c r="K13" s="74"/>
      <c r="L13" s="75">
        <v>5</v>
      </c>
      <c r="M13" s="76">
        <v>5</v>
      </c>
      <c r="N13" s="76">
        <v>5</v>
      </c>
      <c r="O13" s="76">
        <v>5</v>
      </c>
      <c r="P13" s="76">
        <v>5</v>
      </c>
      <c r="Q13" s="77">
        <v>0</v>
      </c>
      <c r="R13" s="78">
        <v>0</v>
      </c>
      <c r="S13" s="76">
        <v>5</v>
      </c>
      <c r="T13" s="76">
        <v>5</v>
      </c>
      <c r="U13" s="76">
        <v>5</v>
      </c>
      <c r="V13" s="76">
        <v>10</v>
      </c>
      <c r="W13" s="76">
        <v>10</v>
      </c>
      <c r="X13" s="77">
        <v>10</v>
      </c>
      <c r="Y13" s="78">
        <v>10</v>
      </c>
      <c r="Z13" s="76">
        <v>10</v>
      </c>
      <c r="AA13" s="76">
        <v>10</v>
      </c>
      <c r="AB13" s="76">
        <v>10</v>
      </c>
      <c r="AC13" s="76">
        <v>10</v>
      </c>
      <c r="AD13" s="76">
        <v>10</v>
      </c>
      <c r="AE13" s="77">
        <v>10</v>
      </c>
      <c r="AF13" s="78">
        <v>10</v>
      </c>
      <c r="AG13" s="76">
        <v>10</v>
      </c>
      <c r="AH13" s="76">
        <v>10</v>
      </c>
      <c r="AI13" s="76">
        <v>10</v>
      </c>
      <c r="AJ13" s="76">
        <v>5</v>
      </c>
      <c r="AK13" s="76">
        <v>5</v>
      </c>
      <c r="AL13" s="77">
        <v>0</v>
      </c>
      <c r="AM13" s="78">
        <v>0</v>
      </c>
      <c r="AN13" s="76">
        <v>5</v>
      </c>
      <c r="AO13" s="76">
        <v>5</v>
      </c>
      <c r="AP13" s="76">
        <v>5</v>
      </c>
      <c r="AQ13" s="79">
        <v>5</v>
      </c>
      <c r="OV13" s="42" t="s">
        <v>57</v>
      </c>
    </row>
    <row r="14" ht="8" customHeight="1" spans="1:43" x14ac:dyDescent="0.25">
      <c r="A14" s="80"/>
      <c r="B14" s="81"/>
      <c r="C14" s="80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</row>
    <row r="15" spans="1:412" x14ac:dyDescent="0.25">
      <c r="A15" s="82" t="s">
        <v>41</v>
      </c>
      <c r="B15" s="32">
        <f>G15+H15+I15</f>
      </c>
      <c r="C15" s="33" t="s">
        <v>56</v>
      </c>
      <c r="D15" s="34">
        <f>K15</f>
      </c>
      <c r="E15" s="35"/>
      <c r="F15" s="35" t="s">
        <v>32</v>
      </c>
      <c r="G15" s="32">
        <f>B18</f>
      </c>
      <c r="H15" s="32">
        <f>B19</f>
      </c>
      <c r="I15" s="32">
        <f>B20</f>
      </c>
      <c r="J15" s="32">
        <f>B21</f>
      </c>
      <c r="K15" s="36">
        <f>D18+D19+D20</f>
      </c>
      <c r="L15" s="37"/>
      <c r="M15" s="38"/>
      <c r="N15" s="38"/>
      <c r="O15" s="38"/>
      <c r="P15" s="38"/>
      <c r="Q15" s="39"/>
      <c r="R15" s="40"/>
      <c r="S15" s="38"/>
      <c r="T15" s="38"/>
      <c r="U15" s="38"/>
      <c r="V15" s="38"/>
      <c r="W15" s="38"/>
      <c r="X15" s="39"/>
      <c r="Y15" s="40"/>
      <c r="Z15" s="38"/>
      <c r="AA15" s="38"/>
      <c r="AB15" s="38"/>
      <c r="AC15" s="38"/>
      <c r="AD15" s="38"/>
      <c r="AE15" s="39"/>
      <c r="AF15" s="40"/>
      <c r="AG15" s="38"/>
      <c r="AH15" s="38"/>
      <c r="AI15" s="38"/>
      <c r="AJ15" s="38"/>
      <c r="AK15" s="38"/>
      <c r="AL15" s="39"/>
      <c r="AM15" s="40"/>
      <c r="AN15" s="38"/>
      <c r="AO15" s="38"/>
      <c r="AP15" s="38"/>
      <c r="AQ15" s="41"/>
      <c r="OV15" s="42" t="s">
        <v>58</v>
      </c>
    </row>
    <row r="16" spans="1:412" x14ac:dyDescent="0.25">
      <c r="A16" s="43"/>
      <c r="B16" s="44"/>
      <c r="C16" s="45"/>
      <c r="D16" s="44"/>
      <c r="E16" s="44"/>
      <c r="F16" s="44" t="s">
        <v>34</v>
      </c>
      <c r="G16" s="44"/>
      <c r="H16" s="44"/>
      <c r="I16" s="44"/>
      <c r="J16" s="44"/>
      <c r="K16" s="46"/>
      <c r="L16" s="47">
        <v>0</v>
      </c>
      <c r="M16" s="48">
        <v>0</v>
      </c>
      <c r="N16" s="48">
        <v>0</v>
      </c>
      <c r="O16" s="48">
        <v>0</v>
      </c>
      <c r="P16" s="48">
        <v>0</v>
      </c>
      <c r="Q16" s="49">
        <v>0</v>
      </c>
      <c r="R16" s="50">
        <v>0</v>
      </c>
      <c r="S16" s="48">
        <v>0</v>
      </c>
      <c r="T16" s="48">
        <v>0</v>
      </c>
      <c r="U16" s="48">
        <v>0</v>
      </c>
      <c r="V16" s="48">
        <v>16</v>
      </c>
      <c r="W16" s="48">
        <v>16</v>
      </c>
      <c r="X16" s="49">
        <v>16</v>
      </c>
      <c r="Y16" s="50">
        <v>16</v>
      </c>
      <c r="Z16" s="48">
        <v>16</v>
      </c>
      <c r="AA16" s="48">
        <v>16</v>
      </c>
      <c r="AB16" s="48">
        <v>16</v>
      </c>
      <c r="AC16" s="48">
        <v>16</v>
      </c>
      <c r="AD16" s="48">
        <v>16</v>
      </c>
      <c r="AE16" s="49">
        <v>16</v>
      </c>
      <c r="AF16" s="50">
        <v>16</v>
      </c>
      <c r="AG16" s="48">
        <v>16</v>
      </c>
      <c r="AH16" s="48">
        <v>16</v>
      </c>
      <c r="AI16" s="48">
        <v>16</v>
      </c>
      <c r="AJ16" s="48">
        <v>0</v>
      </c>
      <c r="AK16" s="48">
        <v>0</v>
      </c>
      <c r="AL16" s="49">
        <v>0</v>
      </c>
      <c r="AM16" s="50">
        <v>0</v>
      </c>
      <c r="AN16" s="48">
        <v>0</v>
      </c>
      <c r="AO16" s="48">
        <v>0</v>
      </c>
      <c r="AP16" s="48">
        <v>0</v>
      </c>
      <c r="AQ16" s="51">
        <v>0</v>
      </c>
      <c r="OV16" s="42" t="s">
        <v>58</v>
      </c>
    </row>
    <row r="17" ht="28" customHeight="1" spans="1:412" x14ac:dyDescent="0.25">
      <c r="A17" s="43" t="s">
        <v>35</v>
      </c>
      <c r="B17" s="44"/>
      <c r="C17" s="45"/>
      <c r="D17" s="44"/>
      <c r="E17" s="44"/>
      <c r="F17" s="44" t="s">
        <v>36</v>
      </c>
      <c r="G17" s="44"/>
      <c r="H17" s="44"/>
      <c r="I17" s="44"/>
      <c r="J17" s="44"/>
      <c r="K17" s="46"/>
      <c r="L17" s="52">
        <v>0</v>
      </c>
      <c r="M17" s="53">
        <v>0</v>
      </c>
      <c r="N17" s="53">
        <v>0</v>
      </c>
      <c r="O17" s="53">
        <v>0</v>
      </c>
      <c r="P17" s="53">
        <v>0</v>
      </c>
      <c r="Q17" s="54">
        <v>0</v>
      </c>
      <c r="R17" s="55">
        <v>0</v>
      </c>
      <c r="S17" s="53">
        <v>0</v>
      </c>
      <c r="T17" s="53">
        <v>0</v>
      </c>
      <c r="U17" s="53">
        <v>0</v>
      </c>
      <c r="V17" s="53">
        <v>12</v>
      </c>
      <c r="W17" s="53">
        <v>12</v>
      </c>
      <c r="X17" s="54">
        <v>12</v>
      </c>
      <c r="Y17" s="55">
        <v>12</v>
      </c>
      <c r="Z17" s="53">
        <v>12</v>
      </c>
      <c r="AA17" s="53">
        <v>12</v>
      </c>
      <c r="AB17" s="53">
        <v>12</v>
      </c>
      <c r="AC17" s="53">
        <v>12</v>
      </c>
      <c r="AD17" s="53">
        <v>12</v>
      </c>
      <c r="AE17" s="54">
        <v>12</v>
      </c>
      <c r="AF17" s="55">
        <v>12</v>
      </c>
      <c r="AG17" s="53">
        <v>12</v>
      </c>
      <c r="AH17" s="53">
        <v>12</v>
      </c>
      <c r="AI17" s="53">
        <v>12</v>
      </c>
      <c r="AJ17" s="53">
        <v>0</v>
      </c>
      <c r="AK17" s="53">
        <v>0</v>
      </c>
      <c r="AL17" s="54">
        <v>0</v>
      </c>
      <c r="AM17" s="55">
        <v>0</v>
      </c>
      <c r="AN17" s="53">
        <v>0</v>
      </c>
      <c r="AO17" s="53">
        <v>0</v>
      </c>
      <c r="AP17" s="53">
        <v>0</v>
      </c>
      <c r="AQ17" s="56">
        <v>0</v>
      </c>
      <c r="OV17" s="42" t="s">
        <v>58</v>
      </c>
    </row>
    <row r="18" spans="1:412" x14ac:dyDescent="0.25">
      <c r="A18" s="57"/>
      <c r="B18" s="58">
        <f>SUM(L18:AQ18)</f>
      </c>
      <c r="C18" s="59"/>
      <c r="D18" s="60">
        <f>B18*E18</f>
      </c>
      <c r="E18" s="60">
        <f>'Rate Tables'!C12</f>
      </c>
      <c r="F18" s="61" t="s">
        <v>37</v>
      </c>
      <c r="G18" s="14"/>
      <c r="H18" s="14"/>
      <c r="I18" s="14"/>
      <c r="J18" s="14"/>
      <c r="K18" s="62"/>
      <c r="L18" s="63">
        <f>IF(L$6="","",IF(OR(WEEKDAY(L$6,1)=1,WEEKDAY(L$6,1)=7),0,MIN(8,L17)*L16))</f>
      </c>
      <c r="M18" s="64">
        <f>IF(M$6="","",IF(OR(WEEKDAY(M$6,1)=1,WEEKDAY(M$6,1)=7),0,MIN(8,M17)*M16))</f>
      </c>
      <c r="N18" s="64">
        <f>IF(N$6="","",IF(OR(WEEKDAY(N$6,1)=1,WEEKDAY(N$6,1)=7),0,MIN(8,N17)*N16))</f>
      </c>
      <c r="O18" s="64">
        <f>IF(O$6="","",IF(OR(WEEKDAY(O$6,1)=1,WEEKDAY(O$6,1)=7),0,MIN(8,O17)*O16))</f>
      </c>
      <c r="P18" s="64">
        <f>IF(P$6="","",IF(OR(WEEKDAY(P$6,1)=1,WEEKDAY(P$6,1)=7),0,MIN(8,P17)*P16))</f>
      </c>
      <c r="Q18" s="65">
        <f>IF(Q$6="","",IF(OR(WEEKDAY(Q$6,1)=1,WEEKDAY(Q$6,1)=7),0,MIN(8,Q17)*Q16))</f>
      </c>
      <c r="R18" s="66">
        <f>IF(R$6="","",IF(OR(WEEKDAY(R$6,1)=1,WEEKDAY(R$6,1)=7),0,MIN(8,R17)*R16))</f>
      </c>
      <c r="S18" s="64">
        <f>IF(S$6="","",IF(OR(WEEKDAY(S$6,1)=1,WEEKDAY(S$6,1)=7),0,MIN(8,S17)*S16))</f>
      </c>
      <c r="T18" s="64">
        <f>IF(T$6="","",IF(OR(WEEKDAY(T$6,1)=1,WEEKDAY(T$6,1)=7),0,MIN(8,T17)*T16))</f>
      </c>
      <c r="U18" s="64">
        <f>IF(U$6="","",IF(OR(WEEKDAY(U$6,1)=1,WEEKDAY(U$6,1)=7),0,MIN(8,U17)*U16))</f>
      </c>
      <c r="V18" s="64">
        <f>IF(V$6="","",IF(OR(WEEKDAY(V$6,1)=1,WEEKDAY(V$6,1)=7),0,MIN(8,V17)*V16))</f>
      </c>
      <c r="W18" s="64">
        <f>IF(W$6="","",IF(OR(WEEKDAY(W$6,1)=1,WEEKDAY(W$6,1)=7),0,MIN(8,W17)*W16))</f>
      </c>
      <c r="X18" s="65">
        <f>IF(X$6="","",IF(OR(WEEKDAY(X$6,1)=1,WEEKDAY(X$6,1)=7),0,MIN(8,X17)*X16))</f>
      </c>
      <c r="Y18" s="66">
        <f>IF(Y$6="","",IF(OR(WEEKDAY(Y$6,1)=1,WEEKDAY(Y$6,1)=7),0,MIN(8,Y17)*Y16))</f>
      </c>
      <c r="Z18" s="64">
        <f>IF(Z$6="","",IF(OR(WEEKDAY(Z$6,1)=1,WEEKDAY(Z$6,1)=7),0,MIN(8,Z17)*Z16))</f>
      </c>
      <c r="AA18" s="64">
        <f>IF(AA$6="","",IF(OR(WEEKDAY(AA$6,1)=1,WEEKDAY(AA$6,1)=7),0,MIN(8,AA17)*AA16))</f>
      </c>
      <c r="AB18" s="64">
        <f>IF(AB$6="","",IF(OR(WEEKDAY(AB$6,1)=1,WEEKDAY(AB$6,1)=7),0,MIN(8,AB17)*AB16))</f>
      </c>
      <c r="AC18" s="64">
        <f>IF(AC$6="","",IF(OR(WEEKDAY(AC$6,1)=1,WEEKDAY(AC$6,1)=7),0,MIN(8,AC17)*AC16))</f>
      </c>
      <c r="AD18" s="64">
        <f>IF(AD$6="","",IF(OR(WEEKDAY(AD$6,1)=1,WEEKDAY(AD$6,1)=7),0,MIN(8,AD17)*AD16))</f>
      </c>
      <c r="AE18" s="65">
        <f>IF(AE$6="","",IF(OR(WEEKDAY(AE$6,1)=1,WEEKDAY(AE$6,1)=7),0,MIN(8,AE17)*AE16))</f>
      </c>
      <c r="AF18" s="66">
        <f>IF(AF$6="","",IF(OR(WEEKDAY(AF$6,1)=1,WEEKDAY(AF$6,1)=7),0,MIN(8,AF17)*AF16))</f>
      </c>
      <c r="AG18" s="64">
        <f>IF(AG$6="","",IF(OR(WEEKDAY(AG$6,1)=1,WEEKDAY(AG$6,1)=7),0,MIN(8,AG17)*AG16))</f>
      </c>
      <c r="AH18" s="64">
        <f>IF(AH$6="","",IF(OR(WEEKDAY(AH$6,1)=1,WEEKDAY(AH$6,1)=7),0,MIN(8,AH17)*AH16))</f>
      </c>
      <c r="AI18" s="64">
        <f>IF(AI$6="","",IF(OR(WEEKDAY(AI$6,1)=1,WEEKDAY(AI$6,1)=7),0,MIN(8,AI17)*AI16))</f>
      </c>
      <c r="AJ18" s="64">
        <f>IF(AJ$6="","",IF(OR(WEEKDAY(AJ$6,1)=1,WEEKDAY(AJ$6,1)=7),0,MIN(8,AJ17)*AJ16))</f>
      </c>
      <c r="AK18" s="64">
        <f>IF(AK$6="","",IF(OR(WEEKDAY(AK$6,1)=1,WEEKDAY(AK$6,1)=7),0,MIN(8,AK17)*AK16))</f>
      </c>
      <c r="AL18" s="65">
        <f>IF(AL$6="","",IF(OR(WEEKDAY(AL$6,1)=1,WEEKDAY(AL$6,1)=7),0,MIN(8,AL17)*AL16))</f>
      </c>
      <c r="AM18" s="66">
        <f>IF(AM$6="","",IF(OR(WEEKDAY(AM$6,1)=1,WEEKDAY(AM$6,1)=7),0,MIN(8,AM17)*AM16))</f>
      </c>
      <c r="AN18" s="64">
        <f>IF(AN$6="","",IF(OR(WEEKDAY(AN$6,1)=1,WEEKDAY(AN$6,1)=7),0,MIN(8,AN17)*AN16))</f>
      </c>
      <c r="AO18" s="64">
        <f>IF(AO$6="","",IF(OR(WEEKDAY(AO$6,1)=1,WEEKDAY(AO$6,1)=7),0,MIN(8,AO17)*AO16))</f>
      </c>
      <c r="AP18" s="64">
        <f>IF(AP$6="","",IF(OR(WEEKDAY(AP$6,1)=1,WEEKDAY(AP$6,1)=7),0,MIN(8,AP17)*AP16))</f>
      </c>
      <c r="AQ18" s="67">
        <f>IF(AQ$6="","",IF(OR(WEEKDAY(AQ$6,1)=1,WEEKDAY(AQ$6,1)=7),0,MIN(8,AQ17)*AQ16))</f>
      </c>
      <c r="OV18" s="42" t="s">
        <v>58</v>
      </c>
    </row>
    <row r="19" spans="1:412" x14ac:dyDescent="0.25">
      <c r="A19" s="57"/>
      <c r="B19" s="58">
        <f>SUM(L19:AQ19)</f>
      </c>
      <c r="C19" s="59"/>
      <c r="D19" s="60">
        <f>B19*E19</f>
      </c>
      <c r="E19" s="60">
        <f>'Rate Tables'!D12</f>
      </c>
      <c r="F19" s="61" t="s">
        <v>38</v>
      </c>
      <c r="G19" s="14"/>
      <c r="H19" s="14"/>
      <c r="I19" s="14"/>
      <c r="J19" s="14"/>
      <c r="K19" s="62"/>
      <c r="L19" s="63">
        <f>IF(L$6="","",IF(WEEKDAY(L$6,1)=1,0,IF(WEEKDAY(L$6,1)=7,L17*L16,MAX(0,L17-8)*L16)))</f>
      </c>
      <c r="M19" s="64">
        <f>IF(M$6="","",IF(WEEKDAY(M$6,1)=1,0,IF(WEEKDAY(M$6,1)=7,M17*M16,MAX(0,M17-8)*M16)))</f>
      </c>
      <c r="N19" s="64">
        <f>IF(N$6="","",IF(WEEKDAY(N$6,1)=1,0,IF(WEEKDAY(N$6,1)=7,N17*N16,MAX(0,N17-8)*N16)))</f>
      </c>
      <c r="O19" s="64">
        <f>IF(O$6="","",IF(WEEKDAY(O$6,1)=1,0,IF(WEEKDAY(O$6,1)=7,O17*O16,MAX(0,O17-8)*O16)))</f>
      </c>
      <c r="P19" s="64">
        <f>IF(P$6="","",IF(WEEKDAY(P$6,1)=1,0,IF(WEEKDAY(P$6,1)=7,P17*P16,MAX(0,P17-8)*P16)))</f>
      </c>
      <c r="Q19" s="65">
        <f>IF(Q$6="","",IF(WEEKDAY(Q$6,1)=1,0,IF(WEEKDAY(Q$6,1)=7,Q17*Q16,MAX(0,Q17-8)*Q16)))</f>
      </c>
      <c r="R19" s="66">
        <f>IF(R$6="","",IF(WEEKDAY(R$6,1)=1,0,IF(WEEKDAY(R$6,1)=7,R17*R16,MAX(0,R17-8)*R16)))</f>
      </c>
      <c r="S19" s="64">
        <f>IF(S$6="","",IF(WEEKDAY(S$6,1)=1,0,IF(WEEKDAY(S$6,1)=7,S17*S16,MAX(0,S17-8)*S16)))</f>
      </c>
      <c r="T19" s="64">
        <f>IF(T$6="","",IF(WEEKDAY(T$6,1)=1,0,IF(WEEKDAY(T$6,1)=7,T17*T16,MAX(0,T17-8)*T16)))</f>
      </c>
      <c r="U19" s="64">
        <f>IF(U$6="","",IF(WEEKDAY(U$6,1)=1,0,IF(WEEKDAY(U$6,1)=7,U17*U16,MAX(0,U17-8)*U16)))</f>
      </c>
      <c r="V19" s="64">
        <f>IF(V$6="","",IF(WEEKDAY(V$6,1)=1,0,IF(WEEKDAY(V$6,1)=7,V17*V16,MAX(0,V17-8)*V16)))</f>
      </c>
      <c r="W19" s="64">
        <f>IF(W$6="","",IF(WEEKDAY(W$6,1)=1,0,IF(WEEKDAY(W$6,1)=7,W17*W16,MAX(0,W17-8)*W16)))</f>
      </c>
      <c r="X19" s="65">
        <f>IF(X$6="","",IF(WEEKDAY(X$6,1)=1,0,IF(WEEKDAY(X$6,1)=7,X17*X16,MAX(0,X17-8)*X16)))</f>
      </c>
      <c r="Y19" s="66">
        <f>IF(Y$6="","",IF(WEEKDAY(Y$6,1)=1,0,IF(WEEKDAY(Y$6,1)=7,Y17*Y16,MAX(0,Y17-8)*Y16)))</f>
      </c>
      <c r="Z19" s="64">
        <f>IF(Z$6="","",IF(WEEKDAY(Z$6,1)=1,0,IF(WEEKDAY(Z$6,1)=7,Z17*Z16,MAX(0,Z17-8)*Z16)))</f>
      </c>
      <c r="AA19" s="64">
        <f>IF(AA$6="","",IF(WEEKDAY(AA$6,1)=1,0,IF(WEEKDAY(AA$6,1)=7,AA17*AA16,MAX(0,AA17-8)*AA16)))</f>
      </c>
      <c r="AB19" s="64">
        <f>IF(AB$6="","",IF(WEEKDAY(AB$6,1)=1,0,IF(WEEKDAY(AB$6,1)=7,AB17*AB16,MAX(0,AB17-8)*AB16)))</f>
      </c>
      <c r="AC19" s="64">
        <f>IF(AC$6="","",IF(WEEKDAY(AC$6,1)=1,0,IF(WEEKDAY(AC$6,1)=7,AC17*AC16,MAX(0,AC17-8)*AC16)))</f>
      </c>
      <c r="AD19" s="64">
        <f>IF(AD$6="","",IF(WEEKDAY(AD$6,1)=1,0,IF(WEEKDAY(AD$6,1)=7,AD17*AD16,MAX(0,AD17-8)*AD16)))</f>
      </c>
      <c r="AE19" s="65">
        <f>IF(AE$6="","",IF(WEEKDAY(AE$6,1)=1,0,IF(WEEKDAY(AE$6,1)=7,AE17*AE16,MAX(0,AE17-8)*AE16)))</f>
      </c>
      <c r="AF19" s="66">
        <f>IF(AF$6="","",IF(WEEKDAY(AF$6,1)=1,0,IF(WEEKDAY(AF$6,1)=7,AF17*AF16,MAX(0,AF17-8)*AF16)))</f>
      </c>
      <c r="AG19" s="64">
        <f>IF(AG$6="","",IF(WEEKDAY(AG$6,1)=1,0,IF(WEEKDAY(AG$6,1)=7,AG17*AG16,MAX(0,AG17-8)*AG16)))</f>
      </c>
      <c r="AH19" s="64">
        <f>IF(AH$6="","",IF(WEEKDAY(AH$6,1)=1,0,IF(WEEKDAY(AH$6,1)=7,AH17*AH16,MAX(0,AH17-8)*AH16)))</f>
      </c>
      <c r="AI19" s="64">
        <f>IF(AI$6="","",IF(WEEKDAY(AI$6,1)=1,0,IF(WEEKDAY(AI$6,1)=7,AI17*AI16,MAX(0,AI17-8)*AI16)))</f>
      </c>
      <c r="AJ19" s="64">
        <f>IF(AJ$6="","",IF(WEEKDAY(AJ$6,1)=1,0,IF(WEEKDAY(AJ$6,1)=7,AJ17*AJ16,MAX(0,AJ17-8)*AJ16)))</f>
      </c>
      <c r="AK19" s="64">
        <f>IF(AK$6="","",IF(WEEKDAY(AK$6,1)=1,0,IF(WEEKDAY(AK$6,1)=7,AK17*AK16,MAX(0,AK17-8)*AK16)))</f>
      </c>
      <c r="AL19" s="65">
        <f>IF(AL$6="","",IF(WEEKDAY(AL$6,1)=1,0,IF(WEEKDAY(AL$6,1)=7,AL17*AL16,MAX(0,AL17-8)*AL16)))</f>
      </c>
      <c r="AM19" s="66">
        <f>IF(AM$6="","",IF(WEEKDAY(AM$6,1)=1,0,IF(WEEKDAY(AM$6,1)=7,AM17*AM16,MAX(0,AM17-8)*AM16)))</f>
      </c>
      <c r="AN19" s="64">
        <f>IF(AN$6="","",IF(WEEKDAY(AN$6,1)=1,0,IF(WEEKDAY(AN$6,1)=7,AN17*AN16,MAX(0,AN17-8)*AN16)))</f>
      </c>
      <c r="AO19" s="64">
        <f>IF(AO$6="","",IF(WEEKDAY(AO$6,1)=1,0,IF(WEEKDAY(AO$6,1)=7,AO17*AO16,MAX(0,AO17-8)*AO16)))</f>
      </c>
      <c r="AP19" s="64">
        <f>IF(AP$6="","",IF(WEEKDAY(AP$6,1)=1,0,IF(WEEKDAY(AP$6,1)=7,AP17*AP16,MAX(0,AP17-8)*AP16)))</f>
      </c>
      <c r="AQ19" s="67">
        <f>IF(AQ$6="","",IF(WEEKDAY(AQ$6,1)=1,0,IF(WEEKDAY(AQ$6,1)=7,AQ17*AQ16,MAX(0,AQ17-8)*AQ16)))</f>
      </c>
      <c r="OV19" s="42" t="s">
        <v>58</v>
      </c>
    </row>
    <row r="20" spans="1:412" x14ac:dyDescent="0.25">
      <c r="A20" s="57"/>
      <c r="B20" s="58">
        <f>SUM(L20:AQ20)</f>
      </c>
      <c r="C20" s="59"/>
      <c r="D20" s="60">
        <f>B20*E20</f>
      </c>
      <c r="E20" s="60">
        <f>'Rate Tables'!E12</f>
      </c>
      <c r="F20" s="61" t="s">
        <v>39</v>
      </c>
      <c r="G20" s="14"/>
      <c r="H20" s="14"/>
      <c r="I20" s="14"/>
      <c r="J20" s="14"/>
      <c r="K20" s="62"/>
      <c r="L20" s="63">
        <f>IF(L$6="","",IF(WEEKDAY(L$6,1)=1,L17*L16,0))</f>
      </c>
      <c r="M20" s="64">
        <f>IF(M$6="","",IF(WEEKDAY(M$6,1)=1,M17*M16,0))</f>
      </c>
      <c r="N20" s="64">
        <f>IF(N$6="","",IF(WEEKDAY(N$6,1)=1,N17*N16,0))</f>
      </c>
      <c r="O20" s="64">
        <f>IF(O$6="","",IF(WEEKDAY(O$6,1)=1,O17*O16,0))</f>
      </c>
      <c r="P20" s="64">
        <f>IF(P$6="","",IF(WEEKDAY(P$6,1)=1,P17*P16,0))</f>
      </c>
      <c r="Q20" s="65">
        <f>IF(Q$6="","",IF(WEEKDAY(Q$6,1)=1,Q17*Q16,0))</f>
      </c>
      <c r="R20" s="66">
        <f>IF(R$6="","",IF(WEEKDAY(R$6,1)=1,R17*R16,0))</f>
      </c>
      <c r="S20" s="64">
        <f>IF(S$6="","",IF(WEEKDAY(S$6,1)=1,S17*S16,0))</f>
      </c>
      <c r="T20" s="64">
        <f>IF(T$6="","",IF(WEEKDAY(T$6,1)=1,T17*T16,0))</f>
      </c>
      <c r="U20" s="64">
        <f>IF(U$6="","",IF(WEEKDAY(U$6,1)=1,U17*U16,0))</f>
      </c>
      <c r="V20" s="64">
        <f>IF(V$6="","",IF(WEEKDAY(V$6,1)=1,V17*V16,0))</f>
      </c>
      <c r="W20" s="64">
        <f>IF(W$6="","",IF(WEEKDAY(W$6,1)=1,W17*W16,0))</f>
      </c>
      <c r="X20" s="65">
        <f>IF(X$6="","",IF(WEEKDAY(X$6,1)=1,X17*X16,0))</f>
      </c>
      <c r="Y20" s="66">
        <f>IF(Y$6="","",IF(WEEKDAY(Y$6,1)=1,Y17*Y16,0))</f>
      </c>
      <c r="Z20" s="64">
        <f>IF(Z$6="","",IF(WEEKDAY(Z$6,1)=1,Z17*Z16,0))</f>
      </c>
      <c r="AA20" s="64">
        <f>IF(AA$6="","",IF(WEEKDAY(AA$6,1)=1,AA17*AA16,0))</f>
      </c>
      <c r="AB20" s="64">
        <f>IF(AB$6="","",IF(WEEKDAY(AB$6,1)=1,AB17*AB16,0))</f>
      </c>
      <c r="AC20" s="64">
        <f>IF(AC$6="","",IF(WEEKDAY(AC$6,1)=1,AC17*AC16,0))</f>
      </c>
      <c r="AD20" s="64">
        <f>IF(AD$6="","",IF(WEEKDAY(AD$6,1)=1,AD17*AD16,0))</f>
      </c>
      <c r="AE20" s="65">
        <f>IF(AE$6="","",IF(WEEKDAY(AE$6,1)=1,AE17*AE16,0))</f>
      </c>
      <c r="AF20" s="66">
        <f>IF(AF$6="","",IF(WEEKDAY(AF$6,1)=1,AF17*AF16,0))</f>
      </c>
      <c r="AG20" s="64">
        <f>IF(AG$6="","",IF(WEEKDAY(AG$6,1)=1,AG17*AG16,0))</f>
      </c>
      <c r="AH20" s="64">
        <f>IF(AH$6="","",IF(WEEKDAY(AH$6,1)=1,AH17*AH16,0))</f>
      </c>
      <c r="AI20" s="64">
        <f>IF(AI$6="","",IF(WEEKDAY(AI$6,1)=1,AI17*AI16,0))</f>
      </c>
      <c r="AJ20" s="64">
        <f>IF(AJ$6="","",IF(WEEKDAY(AJ$6,1)=1,AJ17*AJ16,0))</f>
      </c>
      <c r="AK20" s="64">
        <f>IF(AK$6="","",IF(WEEKDAY(AK$6,1)=1,AK17*AK16,0))</f>
      </c>
      <c r="AL20" s="65">
        <f>IF(AL$6="","",IF(WEEKDAY(AL$6,1)=1,AL17*AL16,0))</f>
      </c>
      <c r="AM20" s="66">
        <f>IF(AM$6="","",IF(WEEKDAY(AM$6,1)=1,AM17*AM16,0))</f>
      </c>
      <c r="AN20" s="64">
        <f>IF(AN$6="","",IF(WEEKDAY(AN$6,1)=1,AN17*AN16,0))</f>
      </c>
      <c r="AO20" s="64">
        <f>IF(AO$6="","",IF(WEEKDAY(AO$6,1)=1,AO17*AO16,0))</f>
      </c>
      <c r="AP20" s="64">
        <f>IF(AP$6="","",IF(WEEKDAY(AP$6,1)=1,AP17*AP16,0))</f>
      </c>
      <c r="AQ20" s="67">
        <f>IF(AQ$6="","",IF(WEEKDAY(AQ$6,1)=1,AQ17*AQ16,0))</f>
      </c>
      <c r="OV20" s="42" t="s">
        <v>58</v>
      </c>
    </row>
    <row r="21" spans="1:412" x14ac:dyDescent="0.25">
      <c r="A21" s="68"/>
      <c r="B21" s="69">
        <f>SUM(L21:AQ21)</f>
      </c>
      <c r="C21" s="70"/>
      <c r="D21" s="71">
        <f>B21*E21</f>
      </c>
      <c r="E21" s="71">
        <v>130</v>
      </c>
      <c r="F21" s="72" t="s">
        <v>40</v>
      </c>
      <c r="G21" s="73"/>
      <c r="H21" s="73"/>
      <c r="I21" s="73"/>
      <c r="J21" s="73"/>
      <c r="K21" s="74"/>
      <c r="L21" s="75">
        <v>0</v>
      </c>
      <c r="M21" s="76">
        <v>0</v>
      </c>
      <c r="N21" s="76">
        <v>0</v>
      </c>
      <c r="O21" s="76">
        <v>0</v>
      </c>
      <c r="P21" s="76">
        <v>0</v>
      </c>
      <c r="Q21" s="77">
        <v>0</v>
      </c>
      <c r="R21" s="78">
        <v>0</v>
      </c>
      <c r="S21" s="76">
        <v>0</v>
      </c>
      <c r="T21" s="76">
        <v>0</v>
      </c>
      <c r="U21" s="76">
        <v>0</v>
      </c>
      <c r="V21" s="76">
        <v>1</v>
      </c>
      <c r="W21" s="76">
        <v>1</v>
      </c>
      <c r="X21" s="77">
        <v>1</v>
      </c>
      <c r="Y21" s="78">
        <v>1</v>
      </c>
      <c r="Z21" s="76">
        <v>1</v>
      </c>
      <c r="AA21" s="76">
        <v>1</v>
      </c>
      <c r="AB21" s="76">
        <v>1</v>
      </c>
      <c r="AC21" s="76">
        <v>1</v>
      </c>
      <c r="AD21" s="76">
        <v>1</v>
      </c>
      <c r="AE21" s="77">
        <v>1</v>
      </c>
      <c r="AF21" s="78">
        <v>1</v>
      </c>
      <c r="AG21" s="76">
        <v>1</v>
      </c>
      <c r="AH21" s="76">
        <v>1</v>
      </c>
      <c r="AI21" s="76">
        <v>1</v>
      </c>
      <c r="AJ21" s="76">
        <v>0</v>
      </c>
      <c r="AK21" s="76">
        <v>0</v>
      </c>
      <c r="AL21" s="77">
        <v>0</v>
      </c>
      <c r="AM21" s="78">
        <v>0</v>
      </c>
      <c r="AN21" s="76">
        <v>0</v>
      </c>
      <c r="AO21" s="76">
        <v>0</v>
      </c>
      <c r="AP21" s="76">
        <v>0</v>
      </c>
      <c r="AQ21" s="79">
        <v>0</v>
      </c>
      <c r="OV21" s="42" t="s">
        <v>58</v>
      </c>
    </row>
    <row r="22" spans="1:11" x14ac:dyDescent="0.25">
      <c r="A22" s="83" t="s">
        <v>52</v>
      </c>
      <c r="B22" s="84">
        <f>SUM(B7,B15)</f>
      </c>
      <c r="C22" s="20"/>
      <c r="D22" s="85">
        <f>SUM(D13,D21)</f>
      </c>
      <c r="G22" s="84">
        <f>SUM(G7,G15)</f>
      </c>
      <c r="H22" s="84">
        <f>SUM(H7,H15)</f>
      </c>
      <c r="I22" s="84">
        <f>SUM(I7,I15)</f>
      </c>
      <c r="J22" s="84">
        <f>SUM(J7,J15)</f>
      </c>
      <c r="K22" s="85">
        <f>SUM(K7,K15)</f>
      </c>
    </row>
  </sheetData>
  <mergeCells count="2">
    <mergeCell ref="A1:AQ1"/>
    <mergeCell ref="A3:AQ3"/>
  </mergeCells>
  <printOptions horizontalCentered="1"/>
  <pageMargins left="0.4" right="0.4" top="0.65" bottom="0.65" header="0.28" footer="0.28"/>
  <pageSetup orientation="landscape" horizontalDpi="4294967295" verticalDpi="4294967295" scale="100"/>
  <headerFooter>
    <oddHeader>&amp;L&amp;B HIT SQUAD / PROJECT CONTROLS &amp;C Direct &amp;R Confidential</oddHeader>
    <oddFooter>&amp;L Produced by Hit Squad Project Controls &amp;C &amp;D &amp;R Page &amp;P of &amp;N</oddFooter>
    <evenHeader>&amp;L&amp;B HIT SQUAD / PROJECT CONTROLS &amp;C Direct &amp;R Confidential</evenHeader>
    <evenFooter>&amp;L Produced by Hit Squad Project Controls &amp;C &amp;D &amp;R Page &amp;P of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OV22"/>
  <sheetViews>
    <sheetView workbookViewId="0">
      <pane xSplit="11" ySplit="6" topLeftCell="L7" activePane="bottomRight" state="frozen"/>
      <selection pane="bottomRight" activeCell="L7" sqref="L7"/>
    </sheetView>
  </sheetViews>
  <sheetFormatPr defaultRowHeight="15" outlineLevelRow="0" outlineLevelCol="0" x14ac:dyDescent="55"/>
  <cols>
    <col min="1" max="1" width="10" style="20" customWidth="1"/>
    <col min="2" max="2" width="13" customWidth="1"/>
    <col min="3" max="3" width="24" style="20" customWidth="1"/>
    <col min="4" max="4" width="14" customWidth="1"/>
    <col min="5" max="6" width="9.01" customWidth="1"/>
    <col min="7" max="10" width="8.5" customWidth="1"/>
    <col min="11" max="11" width="10" customWidth="1"/>
    <col min="12" max="43" width="3" customWidth="1"/>
    <col min="412" max="412" width="3" hidden="1" customWidth="1"/>
  </cols>
  <sheetData>
    <row r="1" ht="22" customHeight="1" spans="1:43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</row>
    <row r="2" spans="1:3" x14ac:dyDescent="0.25">
      <c r="A2" s="22" t="s">
        <v>1</v>
      </c>
      <c r="C2" s="20"/>
    </row>
    <row r="3" spans="1:43" x14ac:dyDescent="0.25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</row>
    <row r="4" spans="1:3" x14ac:dyDescent="0.25">
      <c r="A4" s="24" t="s">
        <v>3</v>
      </c>
      <c r="C4" s="20"/>
    </row>
    <row r="5" spans="1:3" x14ac:dyDescent="0.25">
      <c r="A5" s="25" t="s">
        <v>4</v>
      </c>
      <c r="B5" s="6">
        <v>46269.75675221065</v>
      </c>
      <c r="C5" s="20"/>
    </row>
    <row r="6" ht="36" customHeight="1" spans="1:43" x14ac:dyDescent="0.25">
      <c r="A6" s="26" t="s">
        <v>20</v>
      </c>
      <c r="B6" s="27" t="s">
        <v>21</v>
      </c>
      <c r="C6" s="26" t="s">
        <v>22</v>
      </c>
      <c r="D6" s="27" t="s">
        <v>23</v>
      </c>
      <c r="E6" s="27" t="s">
        <v>24</v>
      </c>
      <c r="F6" s="27" t="s">
        <v>25</v>
      </c>
      <c r="G6" s="27" t="s">
        <v>26</v>
      </c>
      <c r="H6" s="27" t="s">
        <v>27</v>
      </c>
      <c r="I6" s="27" t="s">
        <v>28</v>
      </c>
      <c r="J6" s="27" t="s">
        <v>29</v>
      </c>
      <c r="K6" s="27" t="s">
        <v>12</v>
      </c>
      <c r="L6" s="28">
        <v>46286</v>
      </c>
      <c r="M6" s="28">
        <f>L6+1</f>
      </c>
      <c r="N6" s="28">
        <f>M6+1</f>
      </c>
      <c r="O6" s="28">
        <f>N6+1</f>
      </c>
      <c r="P6" s="28">
        <f>O6+1</f>
      </c>
      <c r="Q6" s="29">
        <f>P6+1</f>
      </c>
      <c r="R6" s="30">
        <f>Q6+1</f>
      </c>
      <c r="S6" s="28">
        <f>R6+1</f>
      </c>
      <c r="T6" s="28">
        <f>S6+1</f>
      </c>
      <c r="U6" s="28">
        <f>T6+1</f>
      </c>
      <c r="V6" s="28">
        <f>U6+1</f>
      </c>
      <c r="W6" s="28">
        <f>V6+1</f>
      </c>
      <c r="X6" s="29">
        <f>W6+1</f>
      </c>
      <c r="Y6" s="30">
        <f>X6+1</f>
      </c>
      <c r="Z6" s="28">
        <f>Y6+1</f>
      </c>
      <c r="AA6" s="28">
        <f>Z6+1</f>
      </c>
      <c r="AB6" s="28">
        <f>AA6+1</f>
      </c>
      <c r="AC6" s="28">
        <f>AB6+1</f>
      </c>
      <c r="AD6" s="28">
        <f>AC6+1</f>
      </c>
      <c r="AE6" s="29">
        <f>AD6+1</f>
      </c>
      <c r="AF6" s="30">
        <f>AE6+1</f>
      </c>
      <c r="AG6" s="28">
        <f>AF6+1</f>
      </c>
      <c r="AH6" s="28">
        <f>AG6+1</f>
      </c>
      <c r="AI6" s="28">
        <f>AH6+1</f>
      </c>
      <c r="AJ6" s="28">
        <f>AI6+1</f>
      </c>
      <c r="AK6" s="28">
        <f>AJ6+1</f>
      </c>
      <c r="AL6" s="29">
        <f>AK6+1</f>
      </c>
      <c r="AM6" s="30">
        <f>AL6+1</f>
      </c>
      <c r="AN6" s="28">
        <f>AM6+1</f>
      </c>
      <c r="AO6" s="28">
        <f>AN6+1</f>
      </c>
      <c r="AP6" s="28">
        <f>AO6+1</f>
      </c>
      <c r="AQ6" s="28">
        <f>AP6+1</f>
      </c>
    </row>
    <row r="7" spans="1:412" x14ac:dyDescent="0.25">
      <c r="A7" s="31" t="s">
        <v>30</v>
      </c>
      <c r="B7" s="32">
        <f>G7+H7+I7</f>
      </c>
      <c r="C7" s="33" t="s">
        <v>59</v>
      </c>
      <c r="D7" s="34">
        <f>K7</f>
      </c>
      <c r="E7" s="35"/>
      <c r="F7" s="35" t="s">
        <v>32</v>
      </c>
      <c r="G7" s="32">
        <f>B10</f>
      </c>
      <c r="H7" s="32">
        <f>B11</f>
      </c>
      <c r="I7" s="32">
        <f>B12</f>
      </c>
      <c r="J7" s="32">
        <f>B13</f>
      </c>
      <c r="K7" s="36">
        <f>D10+D11+D12</f>
      </c>
      <c r="L7" s="37"/>
      <c r="M7" s="38"/>
      <c r="N7" s="38"/>
      <c r="O7" s="38"/>
      <c r="P7" s="38"/>
      <c r="Q7" s="39"/>
      <c r="R7" s="40"/>
      <c r="S7" s="38"/>
      <c r="T7" s="38"/>
      <c r="U7" s="38"/>
      <c r="V7" s="38"/>
      <c r="W7" s="38"/>
      <c r="X7" s="39"/>
      <c r="Y7" s="40"/>
      <c r="Z7" s="38"/>
      <c r="AA7" s="38"/>
      <c r="AB7" s="38"/>
      <c r="AC7" s="38"/>
      <c r="AD7" s="38"/>
      <c r="AE7" s="39"/>
      <c r="AF7" s="40"/>
      <c r="AG7" s="38"/>
      <c r="AH7" s="38"/>
      <c r="AI7" s="38"/>
      <c r="AJ7" s="38"/>
      <c r="AK7" s="38"/>
      <c r="AL7" s="39"/>
      <c r="AM7" s="40"/>
      <c r="AN7" s="38"/>
      <c r="AO7" s="38"/>
      <c r="AP7" s="38"/>
      <c r="AQ7" s="41"/>
      <c r="OV7" s="42" t="s">
        <v>60</v>
      </c>
    </row>
    <row r="8" spans="1:412" x14ac:dyDescent="0.25">
      <c r="A8" s="43"/>
      <c r="B8" s="44"/>
      <c r="C8" s="45"/>
      <c r="D8" s="44"/>
      <c r="E8" s="44"/>
      <c r="F8" s="44" t="s">
        <v>34</v>
      </c>
      <c r="G8" s="44"/>
      <c r="H8" s="44"/>
      <c r="I8" s="44"/>
      <c r="J8" s="44"/>
      <c r="K8" s="46"/>
      <c r="L8" s="47">
        <v>1</v>
      </c>
      <c r="M8" s="48">
        <v>1</v>
      </c>
      <c r="N8" s="48">
        <v>1</v>
      </c>
      <c r="O8" s="48">
        <v>1</v>
      </c>
      <c r="P8" s="48">
        <v>1</v>
      </c>
      <c r="Q8" s="49">
        <v>0</v>
      </c>
      <c r="R8" s="50">
        <v>0</v>
      </c>
      <c r="S8" s="48">
        <v>1</v>
      </c>
      <c r="T8" s="48">
        <v>1</v>
      </c>
      <c r="U8" s="48">
        <v>1</v>
      </c>
      <c r="V8" s="48">
        <v>1</v>
      </c>
      <c r="W8" s="48">
        <v>1</v>
      </c>
      <c r="X8" s="49">
        <v>1</v>
      </c>
      <c r="Y8" s="50">
        <v>1</v>
      </c>
      <c r="Z8" s="48">
        <v>1</v>
      </c>
      <c r="AA8" s="48">
        <v>1</v>
      </c>
      <c r="AB8" s="48">
        <v>1</v>
      </c>
      <c r="AC8" s="48">
        <v>1</v>
      </c>
      <c r="AD8" s="48">
        <v>1</v>
      </c>
      <c r="AE8" s="49">
        <v>1</v>
      </c>
      <c r="AF8" s="50">
        <v>1</v>
      </c>
      <c r="AG8" s="48">
        <v>1</v>
      </c>
      <c r="AH8" s="48">
        <v>1</v>
      </c>
      <c r="AI8" s="48">
        <v>1</v>
      </c>
      <c r="AJ8" s="48">
        <v>1</v>
      </c>
      <c r="AK8" s="48">
        <v>1</v>
      </c>
      <c r="AL8" s="49">
        <v>0</v>
      </c>
      <c r="AM8" s="50">
        <v>0</v>
      </c>
      <c r="AN8" s="48">
        <v>1</v>
      </c>
      <c r="AO8" s="48">
        <v>1</v>
      </c>
      <c r="AP8" s="48">
        <v>1</v>
      </c>
      <c r="AQ8" s="51">
        <v>1</v>
      </c>
      <c r="OV8" s="42" t="s">
        <v>60</v>
      </c>
    </row>
    <row r="9" ht="28" customHeight="1" spans="1:412" x14ac:dyDescent="0.25">
      <c r="A9" s="43" t="s">
        <v>35</v>
      </c>
      <c r="B9" s="44"/>
      <c r="C9" s="45"/>
      <c r="D9" s="44"/>
      <c r="E9" s="44"/>
      <c r="F9" s="44" t="s">
        <v>36</v>
      </c>
      <c r="G9" s="44"/>
      <c r="H9" s="44"/>
      <c r="I9" s="44"/>
      <c r="J9" s="44"/>
      <c r="K9" s="46"/>
      <c r="L9" s="52">
        <v>8</v>
      </c>
      <c r="M9" s="53">
        <v>8</v>
      </c>
      <c r="N9" s="53">
        <v>8</v>
      </c>
      <c r="O9" s="53">
        <v>8</v>
      </c>
      <c r="P9" s="53">
        <v>8</v>
      </c>
      <c r="Q9" s="54">
        <v>0</v>
      </c>
      <c r="R9" s="55">
        <v>0</v>
      </c>
      <c r="S9" s="53">
        <v>8</v>
      </c>
      <c r="T9" s="53">
        <v>8</v>
      </c>
      <c r="U9" s="53">
        <v>8</v>
      </c>
      <c r="V9" s="53">
        <v>12</v>
      </c>
      <c r="W9" s="53">
        <v>12</v>
      </c>
      <c r="X9" s="54">
        <v>12</v>
      </c>
      <c r="Y9" s="55">
        <v>12</v>
      </c>
      <c r="Z9" s="53">
        <v>12</v>
      </c>
      <c r="AA9" s="53">
        <v>12</v>
      </c>
      <c r="AB9" s="53">
        <v>12</v>
      </c>
      <c r="AC9" s="53">
        <v>12</v>
      </c>
      <c r="AD9" s="53">
        <v>12</v>
      </c>
      <c r="AE9" s="54">
        <v>12</v>
      </c>
      <c r="AF9" s="55">
        <v>12</v>
      </c>
      <c r="AG9" s="53">
        <v>12</v>
      </c>
      <c r="AH9" s="53">
        <v>12</v>
      </c>
      <c r="AI9" s="53">
        <v>12</v>
      </c>
      <c r="AJ9" s="53">
        <v>8</v>
      </c>
      <c r="AK9" s="53">
        <v>8</v>
      </c>
      <c r="AL9" s="54">
        <v>0</v>
      </c>
      <c r="AM9" s="55">
        <v>0</v>
      </c>
      <c r="AN9" s="53">
        <v>8</v>
      </c>
      <c r="AO9" s="53">
        <v>8</v>
      </c>
      <c r="AP9" s="53">
        <v>8</v>
      </c>
      <c r="AQ9" s="56">
        <v>8</v>
      </c>
      <c r="OV9" s="42" t="s">
        <v>60</v>
      </c>
    </row>
    <row r="10" spans="1:412" x14ac:dyDescent="0.25">
      <c r="A10" s="57"/>
      <c r="B10" s="58">
        <f>SUM(L10:AQ10)</f>
      </c>
      <c r="C10" s="59"/>
      <c r="D10" s="60">
        <f>B10*E10</f>
      </c>
      <c r="E10" s="60">
        <f>'Rate Tables'!C13</f>
      </c>
      <c r="F10" s="61" t="s">
        <v>37</v>
      </c>
      <c r="G10" s="14"/>
      <c r="H10" s="14"/>
      <c r="I10" s="14"/>
      <c r="J10" s="14"/>
      <c r="K10" s="62"/>
      <c r="L10" s="63">
        <f>IF(L$6="","",IF(OR(WEEKDAY(L$6,1)=1,WEEKDAY(L$6,1)=7),0,MIN(8,L9)*L8))</f>
      </c>
      <c r="M10" s="64">
        <f>IF(M$6="","",IF(OR(WEEKDAY(M$6,1)=1,WEEKDAY(M$6,1)=7),0,MIN(8,M9)*M8))</f>
      </c>
      <c r="N10" s="64">
        <f>IF(N$6="","",IF(OR(WEEKDAY(N$6,1)=1,WEEKDAY(N$6,1)=7),0,MIN(8,N9)*N8))</f>
      </c>
      <c r="O10" s="64">
        <f>IF(O$6="","",IF(OR(WEEKDAY(O$6,1)=1,WEEKDAY(O$6,1)=7),0,MIN(8,O9)*O8))</f>
      </c>
      <c r="P10" s="64">
        <f>IF(P$6="","",IF(OR(WEEKDAY(P$6,1)=1,WEEKDAY(P$6,1)=7),0,MIN(8,P9)*P8))</f>
      </c>
      <c r="Q10" s="65">
        <f>IF(Q$6="","",IF(OR(WEEKDAY(Q$6,1)=1,WEEKDAY(Q$6,1)=7),0,MIN(8,Q9)*Q8))</f>
      </c>
      <c r="R10" s="66">
        <f>IF(R$6="","",IF(OR(WEEKDAY(R$6,1)=1,WEEKDAY(R$6,1)=7),0,MIN(8,R9)*R8))</f>
      </c>
      <c r="S10" s="64">
        <f>IF(S$6="","",IF(OR(WEEKDAY(S$6,1)=1,WEEKDAY(S$6,1)=7),0,MIN(8,S9)*S8))</f>
      </c>
      <c r="T10" s="64">
        <f>IF(T$6="","",IF(OR(WEEKDAY(T$6,1)=1,WEEKDAY(T$6,1)=7),0,MIN(8,T9)*T8))</f>
      </c>
      <c r="U10" s="64">
        <f>IF(U$6="","",IF(OR(WEEKDAY(U$6,1)=1,WEEKDAY(U$6,1)=7),0,MIN(8,U9)*U8))</f>
      </c>
      <c r="V10" s="64">
        <f>IF(V$6="","",IF(OR(WEEKDAY(V$6,1)=1,WEEKDAY(V$6,1)=7),0,MIN(8,V9)*V8))</f>
      </c>
      <c r="W10" s="64">
        <f>IF(W$6="","",IF(OR(WEEKDAY(W$6,1)=1,WEEKDAY(W$6,1)=7),0,MIN(8,W9)*W8))</f>
      </c>
      <c r="X10" s="65">
        <f>IF(X$6="","",IF(OR(WEEKDAY(X$6,1)=1,WEEKDAY(X$6,1)=7),0,MIN(8,X9)*X8))</f>
      </c>
      <c r="Y10" s="66">
        <f>IF(Y$6="","",IF(OR(WEEKDAY(Y$6,1)=1,WEEKDAY(Y$6,1)=7),0,MIN(8,Y9)*Y8))</f>
      </c>
      <c r="Z10" s="64">
        <f>IF(Z$6="","",IF(OR(WEEKDAY(Z$6,1)=1,WEEKDAY(Z$6,1)=7),0,MIN(8,Z9)*Z8))</f>
      </c>
      <c r="AA10" s="64">
        <f>IF(AA$6="","",IF(OR(WEEKDAY(AA$6,1)=1,WEEKDAY(AA$6,1)=7),0,MIN(8,AA9)*AA8))</f>
      </c>
      <c r="AB10" s="64">
        <f>IF(AB$6="","",IF(OR(WEEKDAY(AB$6,1)=1,WEEKDAY(AB$6,1)=7),0,MIN(8,AB9)*AB8))</f>
      </c>
      <c r="AC10" s="64">
        <f>IF(AC$6="","",IF(OR(WEEKDAY(AC$6,1)=1,WEEKDAY(AC$6,1)=7),0,MIN(8,AC9)*AC8))</f>
      </c>
      <c r="AD10" s="64">
        <f>IF(AD$6="","",IF(OR(WEEKDAY(AD$6,1)=1,WEEKDAY(AD$6,1)=7),0,MIN(8,AD9)*AD8))</f>
      </c>
      <c r="AE10" s="65">
        <f>IF(AE$6="","",IF(OR(WEEKDAY(AE$6,1)=1,WEEKDAY(AE$6,1)=7),0,MIN(8,AE9)*AE8))</f>
      </c>
      <c r="AF10" s="66">
        <f>IF(AF$6="","",IF(OR(WEEKDAY(AF$6,1)=1,WEEKDAY(AF$6,1)=7),0,MIN(8,AF9)*AF8))</f>
      </c>
      <c r="AG10" s="64">
        <f>IF(AG$6="","",IF(OR(WEEKDAY(AG$6,1)=1,WEEKDAY(AG$6,1)=7),0,MIN(8,AG9)*AG8))</f>
      </c>
      <c r="AH10" s="64">
        <f>IF(AH$6="","",IF(OR(WEEKDAY(AH$6,1)=1,WEEKDAY(AH$6,1)=7),0,MIN(8,AH9)*AH8))</f>
      </c>
      <c r="AI10" s="64">
        <f>IF(AI$6="","",IF(OR(WEEKDAY(AI$6,1)=1,WEEKDAY(AI$6,1)=7),0,MIN(8,AI9)*AI8))</f>
      </c>
      <c r="AJ10" s="64">
        <f>IF(AJ$6="","",IF(OR(WEEKDAY(AJ$6,1)=1,WEEKDAY(AJ$6,1)=7),0,MIN(8,AJ9)*AJ8))</f>
      </c>
      <c r="AK10" s="64">
        <f>IF(AK$6="","",IF(OR(WEEKDAY(AK$6,1)=1,WEEKDAY(AK$6,1)=7),0,MIN(8,AK9)*AK8))</f>
      </c>
      <c r="AL10" s="65">
        <f>IF(AL$6="","",IF(OR(WEEKDAY(AL$6,1)=1,WEEKDAY(AL$6,1)=7),0,MIN(8,AL9)*AL8))</f>
      </c>
      <c r="AM10" s="66">
        <f>IF(AM$6="","",IF(OR(WEEKDAY(AM$6,1)=1,WEEKDAY(AM$6,1)=7),0,MIN(8,AM9)*AM8))</f>
      </c>
      <c r="AN10" s="64">
        <f>IF(AN$6="","",IF(OR(WEEKDAY(AN$6,1)=1,WEEKDAY(AN$6,1)=7),0,MIN(8,AN9)*AN8))</f>
      </c>
      <c r="AO10" s="64">
        <f>IF(AO$6="","",IF(OR(WEEKDAY(AO$6,1)=1,WEEKDAY(AO$6,1)=7),0,MIN(8,AO9)*AO8))</f>
      </c>
      <c r="AP10" s="64">
        <f>IF(AP$6="","",IF(OR(WEEKDAY(AP$6,1)=1,WEEKDAY(AP$6,1)=7),0,MIN(8,AP9)*AP8))</f>
      </c>
      <c r="AQ10" s="67">
        <f>IF(AQ$6="","",IF(OR(WEEKDAY(AQ$6,1)=1,WEEKDAY(AQ$6,1)=7),0,MIN(8,AQ9)*AQ8))</f>
      </c>
      <c r="OV10" s="42" t="s">
        <v>60</v>
      </c>
    </row>
    <row r="11" spans="1:412" x14ac:dyDescent="0.25">
      <c r="A11" s="57"/>
      <c r="B11" s="58">
        <f>SUM(L11:AQ11)</f>
      </c>
      <c r="C11" s="59"/>
      <c r="D11" s="60">
        <f>B11*E11</f>
      </c>
      <c r="E11" s="60">
        <f>'Rate Tables'!D13</f>
      </c>
      <c r="F11" s="61" t="s">
        <v>38</v>
      </c>
      <c r="G11" s="14"/>
      <c r="H11" s="14"/>
      <c r="I11" s="14"/>
      <c r="J11" s="14"/>
      <c r="K11" s="62"/>
      <c r="L11" s="63">
        <f>IF(L$6="","",IF(WEEKDAY(L$6,1)=1,0,IF(WEEKDAY(L$6,1)=7,L9*L8,MAX(0,L9-8)*L8)))</f>
      </c>
      <c r="M11" s="64">
        <f>IF(M$6="","",IF(WEEKDAY(M$6,1)=1,0,IF(WEEKDAY(M$6,1)=7,M9*M8,MAX(0,M9-8)*M8)))</f>
      </c>
      <c r="N11" s="64">
        <f>IF(N$6="","",IF(WEEKDAY(N$6,1)=1,0,IF(WEEKDAY(N$6,1)=7,N9*N8,MAX(0,N9-8)*N8)))</f>
      </c>
      <c r="O11" s="64">
        <f>IF(O$6="","",IF(WEEKDAY(O$6,1)=1,0,IF(WEEKDAY(O$6,1)=7,O9*O8,MAX(0,O9-8)*O8)))</f>
      </c>
      <c r="P11" s="64">
        <f>IF(P$6="","",IF(WEEKDAY(P$6,1)=1,0,IF(WEEKDAY(P$6,1)=7,P9*P8,MAX(0,P9-8)*P8)))</f>
      </c>
      <c r="Q11" s="65">
        <f>IF(Q$6="","",IF(WEEKDAY(Q$6,1)=1,0,IF(WEEKDAY(Q$6,1)=7,Q9*Q8,MAX(0,Q9-8)*Q8)))</f>
      </c>
      <c r="R11" s="66">
        <f>IF(R$6="","",IF(WEEKDAY(R$6,1)=1,0,IF(WEEKDAY(R$6,1)=7,R9*R8,MAX(0,R9-8)*R8)))</f>
      </c>
      <c r="S11" s="64">
        <f>IF(S$6="","",IF(WEEKDAY(S$6,1)=1,0,IF(WEEKDAY(S$6,1)=7,S9*S8,MAX(0,S9-8)*S8)))</f>
      </c>
      <c r="T11" s="64">
        <f>IF(T$6="","",IF(WEEKDAY(T$6,1)=1,0,IF(WEEKDAY(T$6,1)=7,T9*T8,MAX(0,T9-8)*T8)))</f>
      </c>
      <c r="U11" s="64">
        <f>IF(U$6="","",IF(WEEKDAY(U$6,1)=1,0,IF(WEEKDAY(U$6,1)=7,U9*U8,MAX(0,U9-8)*U8)))</f>
      </c>
      <c r="V11" s="64">
        <f>IF(V$6="","",IF(WEEKDAY(V$6,1)=1,0,IF(WEEKDAY(V$6,1)=7,V9*V8,MAX(0,V9-8)*V8)))</f>
      </c>
      <c r="W11" s="64">
        <f>IF(W$6="","",IF(WEEKDAY(W$6,1)=1,0,IF(WEEKDAY(W$6,1)=7,W9*W8,MAX(0,W9-8)*W8)))</f>
      </c>
      <c r="X11" s="65">
        <f>IF(X$6="","",IF(WEEKDAY(X$6,1)=1,0,IF(WEEKDAY(X$6,1)=7,X9*X8,MAX(0,X9-8)*X8)))</f>
      </c>
      <c r="Y11" s="66">
        <f>IF(Y$6="","",IF(WEEKDAY(Y$6,1)=1,0,IF(WEEKDAY(Y$6,1)=7,Y9*Y8,MAX(0,Y9-8)*Y8)))</f>
      </c>
      <c r="Z11" s="64">
        <f>IF(Z$6="","",IF(WEEKDAY(Z$6,1)=1,0,IF(WEEKDAY(Z$6,1)=7,Z9*Z8,MAX(0,Z9-8)*Z8)))</f>
      </c>
      <c r="AA11" s="64">
        <f>IF(AA$6="","",IF(WEEKDAY(AA$6,1)=1,0,IF(WEEKDAY(AA$6,1)=7,AA9*AA8,MAX(0,AA9-8)*AA8)))</f>
      </c>
      <c r="AB11" s="64">
        <f>IF(AB$6="","",IF(WEEKDAY(AB$6,1)=1,0,IF(WEEKDAY(AB$6,1)=7,AB9*AB8,MAX(0,AB9-8)*AB8)))</f>
      </c>
      <c r="AC11" s="64">
        <f>IF(AC$6="","",IF(WEEKDAY(AC$6,1)=1,0,IF(WEEKDAY(AC$6,1)=7,AC9*AC8,MAX(0,AC9-8)*AC8)))</f>
      </c>
      <c r="AD11" s="64">
        <f>IF(AD$6="","",IF(WEEKDAY(AD$6,1)=1,0,IF(WEEKDAY(AD$6,1)=7,AD9*AD8,MAX(0,AD9-8)*AD8)))</f>
      </c>
      <c r="AE11" s="65">
        <f>IF(AE$6="","",IF(WEEKDAY(AE$6,1)=1,0,IF(WEEKDAY(AE$6,1)=7,AE9*AE8,MAX(0,AE9-8)*AE8)))</f>
      </c>
      <c r="AF11" s="66">
        <f>IF(AF$6="","",IF(WEEKDAY(AF$6,1)=1,0,IF(WEEKDAY(AF$6,1)=7,AF9*AF8,MAX(0,AF9-8)*AF8)))</f>
      </c>
      <c r="AG11" s="64">
        <f>IF(AG$6="","",IF(WEEKDAY(AG$6,1)=1,0,IF(WEEKDAY(AG$6,1)=7,AG9*AG8,MAX(0,AG9-8)*AG8)))</f>
      </c>
      <c r="AH11" s="64">
        <f>IF(AH$6="","",IF(WEEKDAY(AH$6,1)=1,0,IF(WEEKDAY(AH$6,1)=7,AH9*AH8,MAX(0,AH9-8)*AH8)))</f>
      </c>
      <c r="AI11" s="64">
        <f>IF(AI$6="","",IF(WEEKDAY(AI$6,1)=1,0,IF(WEEKDAY(AI$6,1)=7,AI9*AI8,MAX(0,AI9-8)*AI8)))</f>
      </c>
      <c r="AJ11" s="64">
        <f>IF(AJ$6="","",IF(WEEKDAY(AJ$6,1)=1,0,IF(WEEKDAY(AJ$6,1)=7,AJ9*AJ8,MAX(0,AJ9-8)*AJ8)))</f>
      </c>
      <c r="AK11" s="64">
        <f>IF(AK$6="","",IF(WEEKDAY(AK$6,1)=1,0,IF(WEEKDAY(AK$6,1)=7,AK9*AK8,MAX(0,AK9-8)*AK8)))</f>
      </c>
      <c r="AL11" s="65">
        <f>IF(AL$6="","",IF(WEEKDAY(AL$6,1)=1,0,IF(WEEKDAY(AL$6,1)=7,AL9*AL8,MAX(0,AL9-8)*AL8)))</f>
      </c>
      <c r="AM11" s="66">
        <f>IF(AM$6="","",IF(WEEKDAY(AM$6,1)=1,0,IF(WEEKDAY(AM$6,1)=7,AM9*AM8,MAX(0,AM9-8)*AM8)))</f>
      </c>
      <c r="AN11" s="64">
        <f>IF(AN$6="","",IF(WEEKDAY(AN$6,1)=1,0,IF(WEEKDAY(AN$6,1)=7,AN9*AN8,MAX(0,AN9-8)*AN8)))</f>
      </c>
      <c r="AO11" s="64">
        <f>IF(AO$6="","",IF(WEEKDAY(AO$6,1)=1,0,IF(WEEKDAY(AO$6,1)=7,AO9*AO8,MAX(0,AO9-8)*AO8)))</f>
      </c>
      <c r="AP11" s="64">
        <f>IF(AP$6="","",IF(WEEKDAY(AP$6,1)=1,0,IF(WEEKDAY(AP$6,1)=7,AP9*AP8,MAX(0,AP9-8)*AP8)))</f>
      </c>
      <c r="AQ11" s="67">
        <f>IF(AQ$6="","",IF(WEEKDAY(AQ$6,1)=1,0,IF(WEEKDAY(AQ$6,1)=7,AQ9*AQ8,MAX(0,AQ9-8)*AQ8)))</f>
      </c>
      <c r="OV11" s="42" t="s">
        <v>60</v>
      </c>
    </row>
    <row r="12" spans="1:412" x14ac:dyDescent="0.25">
      <c r="A12" s="57"/>
      <c r="B12" s="58">
        <f>SUM(L12:AQ12)</f>
      </c>
      <c r="C12" s="59"/>
      <c r="D12" s="60">
        <f>B12*E12</f>
      </c>
      <c r="E12" s="60">
        <f>'Rate Tables'!E13</f>
      </c>
      <c r="F12" s="61" t="s">
        <v>39</v>
      </c>
      <c r="G12" s="14"/>
      <c r="H12" s="14"/>
      <c r="I12" s="14"/>
      <c r="J12" s="14"/>
      <c r="K12" s="62"/>
      <c r="L12" s="63">
        <f>IF(L$6="","",IF(WEEKDAY(L$6,1)=1,L9*L8,0))</f>
      </c>
      <c r="M12" s="64">
        <f>IF(M$6="","",IF(WEEKDAY(M$6,1)=1,M9*M8,0))</f>
      </c>
      <c r="N12" s="64">
        <f>IF(N$6="","",IF(WEEKDAY(N$6,1)=1,N9*N8,0))</f>
      </c>
      <c r="O12" s="64">
        <f>IF(O$6="","",IF(WEEKDAY(O$6,1)=1,O9*O8,0))</f>
      </c>
      <c r="P12" s="64">
        <f>IF(P$6="","",IF(WEEKDAY(P$6,1)=1,P9*P8,0))</f>
      </c>
      <c r="Q12" s="65">
        <f>IF(Q$6="","",IF(WEEKDAY(Q$6,1)=1,Q9*Q8,0))</f>
      </c>
      <c r="R12" s="66">
        <f>IF(R$6="","",IF(WEEKDAY(R$6,1)=1,R9*R8,0))</f>
      </c>
      <c r="S12" s="64">
        <f>IF(S$6="","",IF(WEEKDAY(S$6,1)=1,S9*S8,0))</f>
      </c>
      <c r="T12" s="64">
        <f>IF(T$6="","",IF(WEEKDAY(T$6,1)=1,T9*T8,0))</f>
      </c>
      <c r="U12" s="64">
        <f>IF(U$6="","",IF(WEEKDAY(U$6,1)=1,U9*U8,0))</f>
      </c>
      <c r="V12" s="64">
        <f>IF(V$6="","",IF(WEEKDAY(V$6,1)=1,V9*V8,0))</f>
      </c>
      <c r="W12" s="64">
        <f>IF(W$6="","",IF(WEEKDAY(W$6,1)=1,W9*W8,0))</f>
      </c>
      <c r="X12" s="65">
        <f>IF(X$6="","",IF(WEEKDAY(X$6,1)=1,X9*X8,0))</f>
      </c>
      <c r="Y12" s="66">
        <f>IF(Y$6="","",IF(WEEKDAY(Y$6,1)=1,Y9*Y8,0))</f>
      </c>
      <c r="Z12" s="64">
        <f>IF(Z$6="","",IF(WEEKDAY(Z$6,1)=1,Z9*Z8,0))</f>
      </c>
      <c r="AA12" s="64">
        <f>IF(AA$6="","",IF(WEEKDAY(AA$6,1)=1,AA9*AA8,0))</f>
      </c>
      <c r="AB12" s="64">
        <f>IF(AB$6="","",IF(WEEKDAY(AB$6,1)=1,AB9*AB8,0))</f>
      </c>
      <c r="AC12" s="64">
        <f>IF(AC$6="","",IF(WEEKDAY(AC$6,1)=1,AC9*AC8,0))</f>
      </c>
      <c r="AD12" s="64">
        <f>IF(AD$6="","",IF(WEEKDAY(AD$6,1)=1,AD9*AD8,0))</f>
      </c>
      <c r="AE12" s="65">
        <f>IF(AE$6="","",IF(WEEKDAY(AE$6,1)=1,AE9*AE8,0))</f>
      </c>
      <c r="AF12" s="66">
        <f>IF(AF$6="","",IF(WEEKDAY(AF$6,1)=1,AF9*AF8,0))</f>
      </c>
      <c r="AG12" s="64">
        <f>IF(AG$6="","",IF(WEEKDAY(AG$6,1)=1,AG9*AG8,0))</f>
      </c>
      <c r="AH12" s="64">
        <f>IF(AH$6="","",IF(WEEKDAY(AH$6,1)=1,AH9*AH8,0))</f>
      </c>
      <c r="AI12" s="64">
        <f>IF(AI$6="","",IF(WEEKDAY(AI$6,1)=1,AI9*AI8,0))</f>
      </c>
      <c r="AJ12" s="64">
        <f>IF(AJ$6="","",IF(WEEKDAY(AJ$6,1)=1,AJ9*AJ8,0))</f>
      </c>
      <c r="AK12" s="64">
        <f>IF(AK$6="","",IF(WEEKDAY(AK$6,1)=1,AK9*AK8,0))</f>
      </c>
      <c r="AL12" s="65">
        <f>IF(AL$6="","",IF(WEEKDAY(AL$6,1)=1,AL9*AL8,0))</f>
      </c>
      <c r="AM12" s="66">
        <f>IF(AM$6="","",IF(WEEKDAY(AM$6,1)=1,AM9*AM8,0))</f>
      </c>
      <c r="AN12" s="64">
        <f>IF(AN$6="","",IF(WEEKDAY(AN$6,1)=1,AN9*AN8,0))</f>
      </c>
      <c r="AO12" s="64">
        <f>IF(AO$6="","",IF(WEEKDAY(AO$6,1)=1,AO9*AO8,0))</f>
      </c>
      <c r="AP12" s="64">
        <f>IF(AP$6="","",IF(WEEKDAY(AP$6,1)=1,AP9*AP8,0))</f>
      </c>
      <c r="AQ12" s="67">
        <f>IF(AQ$6="","",IF(WEEKDAY(AQ$6,1)=1,AQ9*AQ8,0))</f>
      </c>
      <c r="OV12" s="42" t="s">
        <v>60</v>
      </c>
    </row>
    <row r="13" spans="1:412" x14ac:dyDescent="0.25">
      <c r="A13" s="68"/>
      <c r="B13" s="69">
        <f>SUM(L13:AQ13)</f>
      </c>
      <c r="C13" s="70"/>
      <c r="D13" s="71">
        <f>B13*E13</f>
      </c>
      <c r="E13" s="71">
        <v>130</v>
      </c>
      <c r="F13" s="72" t="s">
        <v>40</v>
      </c>
      <c r="G13" s="73"/>
      <c r="H13" s="73"/>
      <c r="I13" s="73"/>
      <c r="J13" s="73"/>
      <c r="K13" s="74"/>
      <c r="L13" s="75">
        <v>1</v>
      </c>
      <c r="M13" s="76">
        <v>1</v>
      </c>
      <c r="N13" s="76">
        <v>1</v>
      </c>
      <c r="O13" s="76">
        <v>1</v>
      </c>
      <c r="P13" s="76">
        <v>1</v>
      </c>
      <c r="Q13" s="77">
        <v>0</v>
      </c>
      <c r="R13" s="78">
        <v>0</v>
      </c>
      <c r="S13" s="76">
        <v>1</v>
      </c>
      <c r="T13" s="76">
        <v>1</v>
      </c>
      <c r="U13" s="76">
        <v>1</v>
      </c>
      <c r="V13" s="76">
        <v>1</v>
      </c>
      <c r="W13" s="76">
        <v>1</v>
      </c>
      <c r="X13" s="77">
        <v>1</v>
      </c>
      <c r="Y13" s="78">
        <v>1</v>
      </c>
      <c r="Z13" s="76">
        <v>1</v>
      </c>
      <c r="AA13" s="76">
        <v>1</v>
      </c>
      <c r="AB13" s="76">
        <v>1</v>
      </c>
      <c r="AC13" s="76">
        <v>1</v>
      </c>
      <c r="AD13" s="76">
        <v>1</v>
      </c>
      <c r="AE13" s="77">
        <v>1</v>
      </c>
      <c r="AF13" s="78">
        <v>1</v>
      </c>
      <c r="AG13" s="76">
        <v>1</v>
      </c>
      <c r="AH13" s="76">
        <v>1</v>
      </c>
      <c r="AI13" s="76">
        <v>1</v>
      </c>
      <c r="AJ13" s="76">
        <v>1</v>
      </c>
      <c r="AK13" s="76">
        <v>1</v>
      </c>
      <c r="AL13" s="77">
        <v>0</v>
      </c>
      <c r="AM13" s="78">
        <v>0</v>
      </c>
      <c r="AN13" s="76">
        <v>1</v>
      </c>
      <c r="AO13" s="76">
        <v>1</v>
      </c>
      <c r="AP13" s="76">
        <v>1</v>
      </c>
      <c r="AQ13" s="79">
        <v>1</v>
      </c>
      <c r="OV13" s="42" t="s">
        <v>60</v>
      </c>
    </row>
    <row r="14" ht="8" customHeight="1" spans="1:43" x14ac:dyDescent="0.25">
      <c r="A14" s="80"/>
      <c r="B14" s="81"/>
      <c r="C14" s="80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</row>
    <row r="15" spans="1:412" x14ac:dyDescent="0.25">
      <c r="A15" s="82" t="s">
        <v>41</v>
      </c>
      <c r="B15" s="32">
        <f>G15+H15+I15</f>
      </c>
      <c r="C15" s="33" t="s">
        <v>59</v>
      </c>
      <c r="D15" s="34">
        <f>K15</f>
      </c>
      <c r="E15" s="35"/>
      <c r="F15" s="35" t="s">
        <v>32</v>
      </c>
      <c r="G15" s="32">
        <f>B18</f>
      </c>
      <c r="H15" s="32">
        <f>B19</f>
      </c>
      <c r="I15" s="32">
        <f>B20</f>
      </c>
      <c r="J15" s="32">
        <f>B21</f>
      </c>
      <c r="K15" s="36">
        <f>D18+D19+D20</f>
      </c>
      <c r="L15" s="37"/>
      <c r="M15" s="38"/>
      <c r="N15" s="38"/>
      <c r="O15" s="38"/>
      <c r="P15" s="38"/>
      <c r="Q15" s="39"/>
      <c r="R15" s="40"/>
      <c r="S15" s="38"/>
      <c r="T15" s="38"/>
      <c r="U15" s="38"/>
      <c r="V15" s="38"/>
      <c r="W15" s="38"/>
      <c r="X15" s="39"/>
      <c r="Y15" s="40"/>
      <c r="Z15" s="38"/>
      <c r="AA15" s="38"/>
      <c r="AB15" s="38"/>
      <c r="AC15" s="38"/>
      <c r="AD15" s="38"/>
      <c r="AE15" s="39"/>
      <c r="AF15" s="40"/>
      <c r="AG15" s="38"/>
      <c r="AH15" s="38"/>
      <c r="AI15" s="38"/>
      <c r="AJ15" s="38"/>
      <c r="AK15" s="38"/>
      <c r="AL15" s="39"/>
      <c r="AM15" s="40"/>
      <c r="AN15" s="38"/>
      <c r="AO15" s="38"/>
      <c r="AP15" s="38"/>
      <c r="AQ15" s="41"/>
      <c r="OV15" s="42" t="s">
        <v>61</v>
      </c>
    </row>
    <row r="16" spans="1:412" x14ac:dyDescent="0.25">
      <c r="A16" s="43"/>
      <c r="B16" s="44"/>
      <c r="C16" s="45"/>
      <c r="D16" s="44"/>
      <c r="E16" s="44"/>
      <c r="F16" s="44" t="s">
        <v>34</v>
      </c>
      <c r="G16" s="44"/>
      <c r="H16" s="44"/>
      <c r="I16" s="44"/>
      <c r="J16" s="44"/>
      <c r="K16" s="46"/>
      <c r="L16" s="47">
        <v>0</v>
      </c>
      <c r="M16" s="48">
        <v>0</v>
      </c>
      <c r="N16" s="48">
        <v>0</v>
      </c>
      <c r="O16" s="48">
        <v>0</v>
      </c>
      <c r="P16" s="48">
        <v>0</v>
      </c>
      <c r="Q16" s="49">
        <v>0</v>
      </c>
      <c r="R16" s="50">
        <v>0</v>
      </c>
      <c r="S16" s="48">
        <v>0</v>
      </c>
      <c r="T16" s="48">
        <v>0</v>
      </c>
      <c r="U16" s="48">
        <v>0</v>
      </c>
      <c r="V16" s="48">
        <v>1</v>
      </c>
      <c r="W16" s="48">
        <v>1</v>
      </c>
      <c r="X16" s="49">
        <v>1</v>
      </c>
      <c r="Y16" s="50">
        <v>1</v>
      </c>
      <c r="Z16" s="48">
        <v>1</v>
      </c>
      <c r="AA16" s="48">
        <v>1</v>
      </c>
      <c r="AB16" s="48">
        <v>1</v>
      </c>
      <c r="AC16" s="48">
        <v>1</v>
      </c>
      <c r="AD16" s="48">
        <v>1</v>
      </c>
      <c r="AE16" s="49">
        <v>1</v>
      </c>
      <c r="AF16" s="50">
        <v>1</v>
      </c>
      <c r="AG16" s="48">
        <v>1</v>
      </c>
      <c r="AH16" s="48">
        <v>1</v>
      </c>
      <c r="AI16" s="48">
        <v>1</v>
      </c>
      <c r="AJ16" s="48">
        <v>0</v>
      </c>
      <c r="AK16" s="48">
        <v>0</v>
      </c>
      <c r="AL16" s="49">
        <v>0</v>
      </c>
      <c r="AM16" s="50">
        <v>0</v>
      </c>
      <c r="AN16" s="48">
        <v>0</v>
      </c>
      <c r="AO16" s="48">
        <v>0</v>
      </c>
      <c r="AP16" s="48">
        <v>0</v>
      </c>
      <c r="AQ16" s="51">
        <v>0</v>
      </c>
      <c r="OV16" s="42" t="s">
        <v>61</v>
      </c>
    </row>
    <row r="17" ht="28" customHeight="1" spans="1:412" x14ac:dyDescent="0.25">
      <c r="A17" s="43" t="s">
        <v>35</v>
      </c>
      <c r="B17" s="44"/>
      <c r="C17" s="45"/>
      <c r="D17" s="44"/>
      <c r="E17" s="44"/>
      <c r="F17" s="44" t="s">
        <v>36</v>
      </c>
      <c r="G17" s="44"/>
      <c r="H17" s="44"/>
      <c r="I17" s="44"/>
      <c r="J17" s="44"/>
      <c r="K17" s="46"/>
      <c r="L17" s="52">
        <v>0</v>
      </c>
      <c r="M17" s="53">
        <v>0</v>
      </c>
      <c r="N17" s="53">
        <v>0</v>
      </c>
      <c r="O17" s="53">
        <v>0</v>
      </c>
      <c r="P17" s="53">
        <v>0</v>
      </c>
      <c r="Q17" s="54">
        <v>0</v>
      </c>
      <c r="R17" s="55">
        <v>0</v>
      </c>
      <c r="S17" s="53">
        <v>0</v>
      </c>
      <c r="T17" s="53">
        <v>0</v>
      </c>
      <c r="U17" s="53">
        <v>0</v>
      </c>
      <c r="V17" s="53">
        <v>12</v>
      </c>
      <c r="W17" s="53">
        <v>12</v>
      </c>
      <c r="X17" s="54">
        <v>12</v>
      </c>
      <c r="Y17" s="55">
        <v>12</v>
      </c>
      <c r="Z17" s="53">
        <v>12</v>
      </c>
      <c r="AA17" s="53">
        <v>12</v>
      </c>
      <c r="AB17" s="53">
        <v>12</v>
      </c>
      <c r="AC17" s="53">
        <v>12</v>
      </c>
      <c r="AD17" s="53">
        <v>12</v>
      </c>
      <c r="AE17" s="54">
        <v>12</v>
      </c>
      <c r="AF17" s="55">
        <v>12</v>
      </c>
      <c r="AG17" s="53">
        <v>12</v>
      </c>
      <c r="AH17" s="53">
        <v>12</v>
      </c>
      <c r="AI17" s="53">
        <v>12</v>
      </c>
      <c r="AJ17" s="53">
        <v>0</v>
      </c>
      <c r="AK17" s="53">
        <v>0</v>
      </c>
      <c r="AL17" s="54">
        <v>0</v>
      </c>
      <c r="AM17" s="55">
        <v>0</v>
      </c>
      <c r="AN17" s="53">
        <v>0</v>
      </c>
      <c r="AO17" s="53">
        <v>0</v>
      </c>
      <c r="AP17" s="53">
        <v>0</v>
      </c>
      <c r="AQ17" s="56">
        <v>0</v>
      </c>
      <c r="OV17" s="42" t="s">
        <v>61</v>
      </c>
    </row>
    <row r="18" spans="1:412" x14ac:dyDescent="0.25">
      <c r="A18" s="57"/>
      <c r="B18" s="58">
        <f>SUM(L18:AQ18)</f>
      </c>
      <c r="C18" s="59"/>
      <c r="D18" s="60">
        <f>B18*E18</f>
      </c>
      <c r="E18" s="60">
        <f>'Rate Tables'!C13</f>
      </c>
      <c r="F18" s="61" t="s">
        <v>37</v>
      </c>
      <c r="G18" s="14"/>
      <c r="H18" s="14"/>
      <c r="I18" s="14"/>
      <c r="J18" s="14"/>
      <c r="K18" s="62"/>
      <c r="L18" s="63">
        <f>IF(L$6="","",IF(OR(WEEKDAY(L$6,1)=1,WEEKDAY(L$6,1)=7),0,MIN(8,L17)*L16))</f>
      </c>
      <c r="M18" s="64">
        <f>IF(M$6="","",IF(OR(WEEKDAY(M$6,1)=1,WEEKDAY(M$6,1)=7),0,MIN(8,M17)*M16))</f>
      </c>
      <c r="N18" s="64">
        <f>IF(N$6="","",IF(OR(WEEKDAY(N$6,1)=1,WEEKDAY(N$6,1)=7),0,MIN(8,N17)*N16))</f>
      </c>
      <c r="O18" s="64">
        <f>IF(O$6="","",IF(OR(WEEKDAY(O$6,1)=1,WEEKDAY(O$6,1)=7),0,MIN(8,O17)*O16))</f>
      </c>
      <c r="P18" s="64">
        <f>IF(P$6="","",IF(OR(WEEKDAY(P$6,1)=1,WEEKDAY(P$6,1)=7),0,MIN(8,P17)*P16))</f>
      </c>
      <c r="Q18" s="65">
        <f>IF(Q$6="","",IF(OR(WEEKDAY(Q$6,1)=1,WEEKDAY(Q$6,1)=7),0,MIN(8,Q17)*Q16))</f>
      </c>
      <c r="R18" s="66">
        <f>IF(R$6="","",IF(OR(WEEKDAY(R$6,1)=1,WEEKDAY(R$6,1)=7),0,MIN(8,R17)*R16))</f>
      </c>
      <c r="S18" s="64">
        <f>IF(S$6="","",IF(OR(WEEKDAY(S$6,1)=1,WEEKDAY(S$6,1)=7),0,MIN(8,S17)*S16))</f>
      </c>
      <c r="T18" s="64">
        <f>IF(T$6="","",IF(OR(WEEKDAY(T$6,1)=1,WEEKDAY(T$6,1)=7),0,MIN(8,T17)*T16))</f>
      </c>
      <c r="U18" s="64">
        <f>IF(U$6="","",IF(OR(WEEKDAY(U$6,1)=1,WEEKDAY(U$6,1)=7),0,MIN(8,U17)*U16))</f>
      </c>
      <c r="V18" s="64">
        <f>IF(V$6="","",IF(OR(WEEKDAY(V$6,1)=1,WEEKDAY(V$6,1)=7),0,MIN(8,V17)*V16))</f>
      </c>
      <c r="W18" s="64">
        <f>IF(W$6="","",IF(OR(WEEKDAY(W$6,1)=1,WEEKDAY(W$6,1)=7),0,MIN(8,W17)*W16))</f>
      </c>
      <c r="X18" s="65">
        <f>IF(X$6="","",IF(OR(WEEKDAY(X$6,1)=1,WEEKDAY(X$6,1)=7),0,MIN(8,X17)*X16))</f>
      </c>
      <c r="Y18" s="66">
        <f>IF(Y$6="","",IF(OR(WEEKDAY(Y$6,1)=1,WEEKDAY(Y$6,1)=7),0,MIN(8,Y17)*Y16))</f>
      </c>
      <c r="Z18" s="64">
        <f>IF(Z$6="","",IF(OR(WEEKDAY(Z$6,1)=1,WEEKDAY(Z$6,1)=7),0,MIN(8,Z17)*Z16))</f>
      </c>
      <c r="AA18" s="64">
        <f>IF(AA$6="","",IF(OR(WEEKDAY(AA$6,1)=1,WEEKDAY(AA$6,1)=7),0,MIN(8,AA17)*AA16))</f>
      </c>
      <c r="AB18" s="64">
        <f>IF(AB$6="","",IF(OR(WEEKDAY(AB$6,1)=1,WEEKDAY(AB$6,1)=7),0,MIN(8,AB17)*AB16))</f>
      </c>
      <c r="AC18" s="64">
        <f>IF(AC$6="","",IF(OR(WEEKDAY(AC$6,1)=1,WEEKDAY(AC$6,1)=7),0,MIN(8,AC17)*AC16))</f>
      </c>
      <c r="AD18" s="64">
        <f>IF(AD$6="","",IF(OR(WEEKDAY(AD$6,1)=1,WEEKDAY(AD$6,1)=7),0,MIN(8,AD17)*AD16))</f>
      </c>
      <c r="AE18" s="65">
        <f>IF(AE$6="","",IF(OR(WEEKDAY(AE$6,1)=1,WEEKDAY(AE$6,1)=7),0,MIN(8,AE17)*AE16))</f>
      </c>
      <c r="AF18" s="66">
        <f>IF(AF$6="","",IF(OR(WEEKDAY(AF$6,1)=1,WEEKDAY(AF$6,1)=7),0,MIN(8,AF17)*AF16))</f>
      </c>
      <c r="AG18" s="64">
        <f>IF(AG$6="","",IF(OR(WEEKDAY(AG$6,1)=1,WEEKDAY(AG$6,1)=7),0,MIN(8,AG17)*AG16))</f>
      </c>
      <c r="AH18" s="64">
        <f>IF(AH$6="","",IF(OR(WEEKDAY(AH$6,1)=1,WEEKDAY(AH$6,1)=7),0,MIN(8,AH17)*AH16))</f>
      </c>
      <c r="AI18" s="64">
        <f>IF(AI$6="","",IF(OR(WEEKDAY(AI$6,1)=1,WEEKDAY(AI$6,1)=7),0,MIN(8,AI17)*AI16))</f>
      </c>
      <c r="AJ18" s="64">
        <f>IF(AJ$6="","",IF(OR(WEEKDAY(AJ$6,1)=1,WEEKDAY(AJ$6,1)=7),0,MIN(8,AJ17)*AJ16))</f>
      </c>
      <c r="AK18" s="64">
        <f>IF(AK$6="","",IF(OR(WEEKDAY(AK$6,1)=1,WEEKDAY(AK$6,1)=7),0,MIN(8,AK17)*AK16))</f>
      </c>
      <c r="AL18" s="65">
        <f>IF(AL$6="","",IF(OR(WEEKDAY(AL$6,1)=1,WEEKDAY(AL$6,1)=7),0,MIN(8,AL17)*AL16))</f>
      </c>
      <c r="AM18" s="66">
        <f>IF(AM$6="","",IF(OR(WEEKDAY(AM$6,1)=1,WEEKDAY(AM$6,1)=7),0,MIN(8,AM17)*AM16))</f>
      </c>
      <c r="AN18" s="64">
        <f>IF(AN$6="","",IF(OR(WEEKDAY(AN$6,1)=1,WEEKDAY(AN$6,1)=7),0,MIN(8,AN17)*AN16))</f>
      </c>
      <c r="AO18" s="64">
        <f>IF(AO$6="","",IF(OR(WEEKDAY(AO$6,1)=1,WEEKDAY(AO$6,1)=7),0,MIN(8,AO17)*AO16))</f>
      </c>
      <c r="AP18" s="64">
        <f>IF(AP$6="","",IF(OR(WEEKDAY(AP$6,1)=1,WEEKDAY(AP$6,1)=7),0,MIN(8,AP17)*AP16))</f>
      </c>
      <c r="AQ18" s="67">
        <f>IF(AQ$6="","",IF(OR(WEEKDAY(AQ$6,1)=1,WEEKDAY(AQ$6,1)=7),0,MIN(8,AQ17)*AQ16))</f>
      </c>
      <c r="OV18" s="42" t="s">
        <v>61</v>
      </c>
    </row>
    <row r="19" spans="1:412" x14ac:dyDescent="0.25">
      <c r="A19" s="57"/>
      <c r="B19" s="58">
        <f>SUM(L19:AQ19)</f>
      </c>
      <c r="C19" s="59"/>
      <c r="D19" s="60">
        <f>B19*E19</f>
      </c>
      <c r="E19" s="60">
        <f>'Rate Tables'!D13</f>
      </c>
      <c r="F19" s="61" t="s">
        <v>38</v>
      </c>
      <c r="G19" s="14"/>
      <c r="H19" s="14"/>
      <c r="I19" s="14"/>
      <c r="J19" s="14"/>
      <c r="K19" s="62"/>
      <c r="L19" s="63">
        <f>IF(L$6="","",IF(WEEKDAY(L$6,1)=1,0,IF(WEEKDAY(L$6,1)=7,L17*L16,MAX(0,L17-8)*L16)))</f>
      </c>
      <c r="M19" s="64">
        <f>IF(M$6="","",IF(WEEKDAY(M$6,1)=1,0,IF(WEEKDAY(M$6,1)=7,M17*M16,MAX(0,M17-8)*M16)))</f>
      </c>
      <c r="N19" s="64">
        <f>IF(N$6="","",IF(WEEKDAY(N$6,1)=1,0,IF(WEEKDAY(N$6,1)=7,N17*N16,MAX(0,N17-8)*N16)))</f>
      </c>
      <c r="O19" s="64">
        <f>IF(O$6="","",IF(WEEKDAY(O$6,1)=1,0,IF(WEEKDAY(O$6,1)=7,O17*O16,MAX(0,O17-8)*O16)))</f>
      </c>
      <c r="P19" s="64">
        <f>IF(P$6="","",IF(WEEKDAY(P$6,1)=1,0,IF(WEEKDAY(P$6,1)=7,P17*P16,MAX(0,P17-8)*P16)))</f>
      </c>
      <c r="Q19" s="65">
        <f>IF(Q$6="","",IF(WEEKDAY(Q$6,1)=1,0,IF(WEEKDAY(Q$6,1)=7,Q17*Q16,MAX(0,Q17-8)*Q16)))</f>
      </c>
      <c r="R19" s="66">
        <f>IF(R$6="","",IF(WEEKDAY(R$6,1)=1,0,IF(WEEKDAY(R$6,1)=7,R17*R16,MAX(0,R17-8)*R16)))</f>
      </c>
      <c r="S19" s="64">
        <f>IF(S$6="","",IF(WEEKDAY(S$6,1)=1,0,IF(WEEKDAY(S$6,1)=7,S17*S16,MAX(0,S17-8)*S16)))</f>
      </c>
      <c r="T19" s="64">
        <f>IF(T$6="","",IF(WEEKDAY(T$6,1)=1,0,IF(WEEKDAY(T$6,1)=7,T17*T16,MAX(0,T17-8)*T16)))</f>
      </c>
      <c r="U19" s="64">
        <f>IF(U$6="","",IF(WEEKDAY(U$6,1)=1,0,IF(WEEKDAY(U$6,1)=7,U17*U16,MAX(0,U17-8)*U16)))</f>
      </c>
      <c r="V19" s="64">
        <f>IF(V$6="","",IF(WEEKDAY(V$6,1)=1,0,IF(WEEKDAY(V$6,1)=7,V17*V16,MAX(0,V17-8)*V16)))</f>
      </c>
      <c r="W19" s="64">
        <f>IF(W$6="","",IF(WEEKDAY(W$6,1)=1,0,IF(WEEKDAY(W$6,1)=7,W17*W16,MAX(0,W17-8)*W16)))</f>
      </c>
      <c r="X19" s="65">
        <f>IF(X$6="","",IF(WEEKDAY(X$6,1)=1,0,IF(WEEKDAY(X$6,1)=7,X17*X16,MAX(0,X17-8)*X16)))</f>
      </c>
      <c r="Y19" s="66">
        <f>IF(Y$6="","",IF(WEEKDAY(Y$6,1)=1,0,IF(WEEKDAY(Y$6,1)=7,Y17*Y16,MAX(0,Y17-8)*Y16)))</f>
      </c>
      <c r="Z19" s="64">
        <f>IF(Z$6="","",IF(WEEKDAY(Z$6,1)=1,0,IF(WEEKDAY(Z$6,1)=7,Z17*Z16,MAX(0,Z17-8)*Z16)))</f>
      </c>
      <c r="AA19" s="64">
        <f>IF(AA$6="","",IF(WEEKDAY(AA$6,1)=1,0,IF(WEEKDAY(AA$6,1)=7,AA17*AA16,MAX(0,AA17-8)*AA16)))</f>
      </c>
      <c r="AB19" s="64">
        <f>IF(AB$6="","",IF(WEEKDAY(AB$6,1)=1,0,IF(WEEKDAY(AB$6,1)=7,AB17*AB16,MAX(0,AB17-8)*AB16)))</f>
      </c>
      <c r="AC19" s="64">
        <f>IF(AC$6="","",IF(WEEKDAY(AC$6,1)=1,0,IF(WEEKDAY(AC$6,1)=7,AC17*AC16,MAX(0,AC17-8)*AC16)))</f>
      </c>
      <c r="AD19" s="64">
        <f>IF(AD$6="","",IF(WEEKDAY(AD$6,1)=1,0,IF(WEEKDAY(AD$6,1)=7,AD17*AD16,MAX(0,AD17-8)*AD16)))</f>
      </c>
      <c r="AE19" s="65">
        <f>IF(AE$6="","",IF(WEEKDAY(AE$6,1)=1,0,IF(WEEKDAY(AE$6,1)=7,AE17*AE16,MAX(0,AE17-8)*AE16)))</f>
      </c>
      <c r="AF19" s="66">
        <f>IF(AF$6="","",IF(WEEKDAY(AF$6,1)=1,0,IF(WEEKDAY(AF$6,1)=7,AF17*AF16,MAX(0,AF17-8)*AF16)))</f>
      </c>
      <c r="AG19" s="64">
        <f>IF(AG$6="","",IF(WEEKDAY(AG$6,1)=1,0,IF(WEEKDAY(AG$6,1)=7,AG17*AG16,MAX(0,AG17-8)*AG16)))</f>
      </c>
      <c r="AH19" s="64">
        <f>IF(AH$6="","",IF(WEEKDAY(AH$6,1)=1,0,IF(WEEKDAY(AH$6,1)=7,AH17*AH16,MAX(0,AH17-8)*AH16)))</f>
      </c>
      <c r="AI19" s="64">
        <f>IF(AI$6="","",IF(WEEKDAY(AI$6,1)=1,0,IF(WEEKDAY(AI$6,1)=7,AI17*AI16,MAX(0,AI17-8)*AI16)))</f>
      </c>
      <c r="AJ19" s="64">
        <f>IF(AJ$6="","",IF(WEEKDAY(AJ$6,1)=1,0,IF(WEEKDAY(AJ$6,1)=7,AJ17*AJ16,MAX(0,AJ17-8)*AJ16)))</f>
      </c>
      <c r="AK19" s="64">
        <f>IF(AK$6="","",IF(WEEKDAY(AK$6,1)=1,0,IF(WEEKDAY(AK$6,1)=7,AK17*AK16,MAX(0,AK17-8)*AK16)))</f>
      </c>
      <c r="AL19" s="65">
        <f>IF(AL$6="","",IF(WEEKDAY(AL$6,1)=1,0,IF(WEEKDAY(AL$6,1)=7,AL17*AL16,MAX(0,AL17-8)*AL16)))</f>
      </c>
      <c r="AM19" s="66">
        <f>IF(AM$6="","",IF(WEEKDAY(AM$6,1)=1,0,IF(WEEKDAY(AM$6,1)=7,AM17*AM16,MAX(0,AM17-8)*AM16)))</f>
      </c>
      <c r="AN19" s="64">
        <f>IF(AN$6="","",IF(WEEKDAY(AN$6,1)=1,0,IF(WEEKDAY(AN$6,1)=7,AN17*AN16,MAX(0,AN17-8)*AN16)))</f>
      </c>
      <c r="AO19" s="64">
        <f>IF(AO$6="","",IF(WEEKDAY(AO$6,1)=1,0,IF(WEEKDAY(AO$6,1)=7,AO17*AO16,MAX(0,AO17-8)*AO16)))</f>
      </c>
      <c r="AP19" s="64">
        <f>IF(AP$6="","",IF(WEEKDAY(AP$6,1)=1,0,IF(WEEKDAY(AP$6,1)=7,AP17*AP16,MAX(0,AP17-8)*AP16)))</f>
      </c>
      <c r="AQ19" s="67">
        <f>IF(AQ$6="","",IF(WEEKDAY(AQ$6,1)=1,0,IF(WEEKDAY(AQ$6,1)=7,AQ17*AQ16,MAX(0,AQ17-8)*AQ16)))</f>
      </c>
      <c r="OV19" s="42" t="s">
        <v>61</v>
      </c>
    </row>
    <row r="20" spans="1:412" x14ac:dyDescent="0.25">
      <c r="A20" s="57"/>
      <c r="B20" s="58">
        <f>SUM(L20:AQ20)</f>
      </c>
      <c r="C20" s="59"/>
      <c r="D20" s="60">
        <f>B20*E20</f>
      </c>
      <c r="E20" s="60">
        <f>'Rate Tables'!E13</f>
      </c>
      <c r="F20" s="61" t="s">
        <v>39</v>
      </c>
      <c r="G20" s="14"/>
      <c r="H20" s="14"/>
      <c r="I20" s="14"/>
      <c r="J20" s="14"/>
      <c r="K20" s="62"/>
      <c r="L20" s="63">
        <f>IF(L$6="","",IF(WEEKDAY(L$6,1)=1,L17*L16,0))</f>
      </c>
      <c r="M20" s="64">
        <f>IF(M$6="","",IF(WEEKDAY(M$6,1)=1,M17*M16,0))</f>
      </c>
      <c r="N20" s="64">
        <f>IF(N$6="","",IF(WEEKDAY(N$6,1)=1,N17*N16,0))</f>
      </c>
      <c r="O20" s="64">
        <f>IF(O$6="","",IF(WEEKDAY(O$6,1)=1,O17*O16,0))</f>
      </c>
      <c r="P20" s="64">
        <f>IF(P$6="","",IF(WEEKDAY(P$6,1)=1,P17*P16,0))</f>
      </c>
      <c r="Q20" s="65">
        <f>IF(Q$6="","",IF(WEEKDAY(Q$6,1)=1,Q17*Q16,0))</f>
      </c>
      <c r="R20" s="66">
        <f>IF(R$6="","",IF(WEEKDAY(R$6,1)=1,R17*R16,0))</f>
      </c>
      <c r="S20" s="64">
        <f>IF(S$6="","",IF(WEEKDAY(S$6,1)=1,S17*S16,0))</f>
      </c>
      <c r="T20" s="64">
        <f>IF(T$6="","",IF(WEEKDAY(T$6,1)=1,T17*T16,0))</f>
      </c>
      <c r="U20" s="64">
        <f>IF(U$6="","",IF(WEEKDAY(U$6,1)=1,U17*U16,0))</f>
      </c>
      <c r="V20" s="64">
        <f>IF(V$6="","",IF(WEEKDAY(V$6,1)=1,V17*V16,0))</f>
      </c>
      <c r="W20" s="64">
        <f>IF(W$6="","",IF(WEEKDAY(W$6,1)=1,W17*W16,0))</f>
      </c>
      <c r="X20" s="65">
        <f>IF(X$6="","",IF(WEEKDAY(X$6,1)=1,X17*X16,0))</f>
      </c>
      <c r="Y20" s="66">
        <f>IF(Y$6="","",IF(WEEKDAY(Y$6,1)=1,Y17*Y16,0))</f>
      </c>
      <c r="Z20" s="64">
        <f>IF(Z$6="","",IF(WEEKDAY(Z$6,1)=1,Z17*Z16,0))</f>
      </c>
      <c r="AA20" s="64">
        <f>IF(AA$6="","",IF(WEEKDAY(AA$6,1)=1,AA17*AA16,0))</f>
      </c>
      <c r="AB20" s="64">
        <f>IF(AB$6="","",IF(WEEKDAY(AB$6,1)=1,AB17*AB16,0))</f>
      </c>
      <c r="AC20" s="64">
        <f>IF(AC$6="","",IF(WEEKDAY(AC$6,1)=1,AC17*AC16,0))</f>
      </c>
      <c r="AD20" s="64">
        <f>IF(AD$6="","",IF(WEEKDAY(AD$6,1)=1,AD17*AD16,0))</f>
      </c>
      <c r="AE20" s="65">
        <f>IF(AE$6="","",IF(WEEKDAY(AE$6,1)=1,AE17*AE16,0))</f>
      </c>
      <c r="AF20" s="66">
        <f>IF(AF$6="","",IF(WEEKDAY(AF$6,1)=1,AF17*AF16,0))</f>
      </c>
      <c r="AG20" s="64">
        <f>IF(AG$6="","",IF(WEEKDAY(AG$6,1)=1,AG17*AG16,0))</f>
      </c>
      <c r="AH20" s="64">
        <f>IF(AH$6="","",IF(WEEKDAY(AH$6,1)=1,AH17*AH16,0))</f>
      </c>
      <c r="AI20" s="64">
        <f>IF(AI$6="","",IF(WEEKDAY(AI$6,1)=1,AI17*AI16,0))</f>
      </c>
      <c r="AJ20" s="64">
        <f>IF(AJ$6="","",IF(WEEKDAY(AJ$6,1)=1,AJ17*AJ16,0))</f>
      </c>
      <c r="AK20" s="64">
        <f>IF(AK$6="","",IF(WEEKDAY(AK$6,1)=1,AK17*AK16,0))</f>
      </c>
      <c r="AL20" s="65">
        <f>IF(AL$6="","",IF(WEEKDAY(AL$6,1)=1,AL17*AL16,0))</f>
      </c>
      <c r="AM20" s="66">
        <f>IF(AM$6="","",IF(WEEKDAY(AM$6,1)=1,AM17*AM16,0))</f>
      </c>
      <c r="AN20" s="64">
        <f>IF(AN$6="","",IF(WEEKDAY(AN$6,1)=1,AN17*AN16,0))</f>
      </c>
      <c r="AO20" s="64">
        <f>IF(AO$6="","",IF(WEEKDAY(AO$6,1)=1,AO17*AO16,0))</f>
      </c>
      <c r="AP20" s="64">
        <f>IF(AP$6="","",IF(WEEKDAY(AP$6,1)=1,AP17*AP16,0))</f>
      </c>
      <c r="AQ20" s="67">
        <f>IF(AQ$6="","",IF(WEEKDAY(AQ$6,1)=1,AQ17*AQ16,0))</f>
      </c>
      <c r="OV20" s="42" t="s">
        <v>61</v>
      </c>
    </row>
    <row r="21" spans="1:412" x14ac:dyDescent="0.25">
      <c r="A21" s="68"/>
      <c r="B21" s="69">
        <f>SUM(L21:AQ21)</f>
      </c>
      <c r="C21" s="70"/>
      <c r="D21" s="71">
        <f>B21*E21</f>
      </c>
      <c r="E21" s="71">
        <v>130</v>
      </c>
      <c r="F21" s="72" t="s">
        <v>40</v>
      </c>
      <c r="G21" s="73"/>
      <c r="H21" s="73"/>
      <c r="I21" s="73"/>
      <c r="J21" s="73"/>
      <c r="K21" s="74"/>
      <c r="L21" s="75">
        <v>0</v>
      </c>
      <c r="M21" s="76">
        <v>0</v>
      </c>
      <c r="N21" s="76">
        <v>0</v>
      </c>
      <c r="O21" s="76">
        <v>0</v>
      </c>
      <c r="P21" s="76">
        <v>0</v>
      </c>
      <c r="Q21" s="77">
        <v>0</v>
      </c>
      <c r="R21" s="78">
        <v>0</v>
      </c>
      <c r="S21" s="76">
        <v>0</v>
      </c>
      <c r="T21" s="76">
        <v>0</v>
      </c>
      <c r="U21" s="76">
        <v>0</v>
      </c>
      <c r="V21" s="76">
        <v>1</v>
      </c>
      <c r="W21" s="76">
        <v>1</v>
      </c>
      <c r="X21" s="77">
        <v>1</v>
      </c>
      <c r="Y21" s="78">
        <v>1</v>
      </c>
      <c r="Z21" s="76">
        <v>1</v>
      </c>
      <c r="AA21" s="76">
        <v>1</v>
      </c>
      <c r="AB21" s="76">
        <v>1</v>
      </c>
      <c r="AC21" s="76">
        <v>1</v>
      </c>
      <c r="AD21" s="76">
        <v>1</v>
      </c>
      <c r="AE21" s="77">
        <v>1</v>
      </c>
      <c r="AF21" s="78">
        <v>1</v>
      </c>
      <c r="AG21" s="76">
        <v>1</v>
      </c>
      <c r="AH21" s="76">
        <v>1</v>
      </c>
      <c r="AI21" s="76">
        <v>1</v>
      </c>
      <c r="AJ21" s="76">
        <v>0</v>
      </c>
      <c r="AK21" s="76">
        <v>0</v>
      </c>
      <c r="AL21" s="77">
        <v>0</v>
      </c>
      <c r="AM21" s="78">
        <v>0</v>
      </c>
      <c r="AN21" s="76">
        <v>0</v>
      </c>
      <c r="AO21" s="76">
        <v>0</v>
      </c>
      <c r="AP21" s="76">
        <v>0</v>
      </c>
      <c r="AQ21" s="79">
        <v>0</v>
      </c>
      <c r="OV21" s="42" t="s">
        <v>61</v>
      </c>
    </row>
    <row r="22" spans="1:11" x14ac:dyDescent="0.25">
      <c r="A22" s="83" t="s">
        <v>52</v>
      </c>
      <c r="B22" s="84">
        <f>SUM(B7,B15)</f>
      </c>
      <c r="C22" s="20"/>
      <c r="D22" s="85">
        <f>SUM(D13,D21)</f>
      </c>
      <c r="G22" s="84">
        <f>SUM(G7,G15)</f>
      </c>
      <c r="H22" s="84">
        <f>SUM(H7,H15)</f>
      </c>
      <c r="I22" s="84">
        <f>SUM(I7,I15)</f>
      </c>
      <c r="J22" s="84">
        <f>SUM(J7,J15)</f>
      </c>
      <c r="K22" s="85">
        <f>SUM(K7,K15)</f>
      </c>
    </row>
  </sheetData>
  <mergeCells count="2">
    <mergeCell ref="A1:AQ1"/>
    <mergeCell ref="A3:AQ3"/>
  </mergeCells>
  <printOptions horizontalCentered="1"/>
  <pageMargins left="0.4" right="0.4" top="0.65" bottom="0.65" header="0.28" footer="0.28"/>
  <pageSetup orientation="landscape" horizontalDpi="4294967295" verticalDpi="4294967295" scale="100"/>
  <headerFooter>
    <oddHeader>&amp;L&amp;B HIT SQUAD / PROJECT CONTROLS &amp;C Support &amp;R Confidential</oddHeader>
    <oddFooter>&amp;L Produced by Hit Squad Project Controls &amp;C &amp;D &amp;R Page &amp;P of &amp;N</oddFooter>
    <evenHeader>&amp;L&amp;B HIT SQUAD / PROJECT CONTROLS &amp;C Support &amp;R Confidential</evenHeader>
    <evenFooter>&amp;L Produced by Hit Squad Project Controls &amp;C &amp;D &amp;R Page &amp;P of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  <pageSetUpPr fitToPage="1"/>
  </sheetPr>
  <dimension ref="A1:G11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28" customWidth="1"/>
    <col min="2" max="2" width="11" customWidth="1"/>
    <col min="3" max="4" width="10" customWidth="1"/>
    <col min="5" max="7" width="12" customWidth="1"/>
  </cols>
  <sheetData>
    <row r="1" ht="2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1" x14ac:dyDescent="0.25">
      <c r="A2" s="2" t="s">
        <v>1</v>
      </c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46269.75675223379</v>
      </c>
    </row>
    <row r="6" ht="20" customHeight="1" spans="1:7" x14ac:dyDescent="0.25">
      <c r="A6" s="27" t="s">
        <v>62</v>
      </c>
      <c r="B6" s="27" t="s">
        <v>63</v>
      </c>
      <c r="C6" s="27" t="s">
        <v>64</v>
      </c>
      <c r="D6" s="27" t="s">
        <v>65</v>
      </c>
      <c r="E6" s="27" t="s">
        <v>66</v>
      </c>
      <c r="F6" s="27" t="s">
        <v>67</v>
      </c>
      <c r="G6" s="27" t="s">
        <v>68</v>
      </c>
    </row>
    <row r="7" spans="1:7" x14ac:dyDescent="0.25">
      <c r="A7" s="42" t="s">
        <v>69</v>
      </c>
      <c r="B7" s="42" t="s">
        <v>70</v>
      </c>
      <c r="C7" s="86">
        <v>5</v>
      </c>
      <c r="D7" s="86">
        <v>3</v>
      </c>
      <c r="E7" s="87">
        <v>4464</v>
      </c>
      <c r="F7" s="87">
        <v>0</v>
      </c>
      <c r="G7" s="87">
        <f>C7*D7*E7+F7</f>
      </c>
    </row>
    <row r="8" spans="1:7" x14ac:dyDescent="0.25">
      <c r="A8" s="42" t="s">
        <v>71</v>
      </c>
      <c r="B8" s="42" t="s">
        <v>70</v>
      </c>
      <c r="C8" s="86">
        <v>3</v>
      </c>
      <c r="D8" s="86">
        <v>2</v>
      </c>
      <c r="E8" s="87">
        <v>612</v>
      </c>
      <c r="F8" s="87">
        <v>0</v>
      </c>
      <c r="G8" s="87">
        <f>C8*D8*E8+F8</f>
      </c>
    </row>
    <row r="9" spans="1:7" x14ac:dyDescent="0.25">
      <c r="A9" s="42" t="s">
        <v>72</v>
      </c>
      <c r="B9" s="42" t="s">
        <v>70</v>
      </c>
      <c r="C9" s="86">
        <v>3</v>
      </c>
      <c r="D9" s="86">
        <v>2</v>
      </c>
      <c r="E9" s="87">
        <v>936</v>
      </c>
      <c r="F9" s="87">
        <v>0</v>
      </c>
      <c r="G9" s="87">
        <f>C9*D9*E9+F9</f>
      </c>
    </row>
    <row r="10" spans="1:7" x14ac:dyDescent="0.25">
      <c r="A10" s="42" t="s">
        <v>73</v>
      </c>
      <c r="B10" s="42" t="s">
        <v>74</v>
      </c>
      <c r="C10" s="86">
        <v>1</v>
      </c>
      <c r="D10" s="86">
        <v>32</v>
      </c>
      <c r="E10" s="87">
        <v>1160</v>
      </c>
      <c r="F10" s="87">
        <v>0</v>
      </c>
      <c r="G10" s="87">
        <f>C10*D10*E10+F10</f>
      </c>
    </row>
    <row r="11" spans="1:7" x14ac:dyDescent="0.25">
      <c r="A11" s="88" t="s">
        <v>52</v>
      </c>
      <c r="G11" s="85">
        <f>SUM(G7:G10)</f>
      </c>
    </row>
  </sheetData>
  <mergeCells count="2">
    <mergeCell ref="A1:G1"/>
    <mergeCell ref="A3:G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COE &amp;R Confidential</oddHeader>
    <oddFooter>&amp;L Produced by Hit Squad Project Controls &amp;C &amp;D &amp;R Page &amp;P of &amp;N</oddFooter>
    <evenHeader>&amp;L&amp;B HIT SQUAD / PROJECT CONTROLS &amp;C COE &amp;R Confidential</evenHeader>
    <evenFooter>&amp;L Produced by Hit Squad Project Controls &amp;C &amp;D &amp;R Page &amp;P of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E8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28" customWidth="1"/>
    <col min="2" max="3" width="10" customWidth="1"/>
    <col min="4" max="5" width="12" customWidth="1"/>
  </cols>
  <sheetData>
    <row r="1" ht="22" customHeight="1" spans="1:5" x14ac:dyDescent="0.25">
      <c r="A1" s="1" t="s">
        <v>0</v>
      </c>
      <c r="B1" s="1"/>
      <c r="C1" s="1"/>
      <c r="D1" s="1"/>
      <c r="E1" s="1"/>
    </row>
    <row r="2" spans="1:1" x14ac:dyDescent="0.25">
      <c r="A2" s="2" t="s">
        <v>1</v>
      </c>
    </row>
    <row r="3" spans="1:5" x14ac:dyDescent="0.25">
      <c r="A3" s="3" t="s">
        <v>2</v>
      </c>
      <c r="B3" s="3"/>
      <c r="C3" s="3"/>
      <c r="D3" s="3"/>
      <c r="E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46269.756752245376</v>
      </c>
    </row>
    <row r="6" ht="20" customHeight="1" spans="1:5" x14ac:dyDescent="0.25">
      <c r="A6" s="27" t="s">
        <v>75</v>
      </c>
      <c r="B6" s="27" t="s">
        <v>76</v>
      </c>
      <c r="C6" s="27" t="s">
        <v>77</v>
      </c>
      <c r="D6" s="27" t="s">
        <v>78</v>
      </c>
      <c r="E6" s="27" t="s">
        <v>68</v>
      </c>
    </row>
    <row r="7" spans="1:5" x14ac:dyDescent="0.25">
      <c r="A7" s="42" t="s">
        <v>79</v>
      </c>
      <c r="B7" s="86">
        <v>6</v>
      </c>
      <c r="C7" s="86">
        <v>1500</v>
      </c>
      <c r="D7" s="87">
        <v>0.76</v>
      </c>
      <c r="E7" s="87">
        <f>B7*C7*D7</f>
      </c>
    </row>
    <row r="8" spans="1:5" x14ac:dyDescent="0.25">
      <c r="A8" s="88" t="s">
        <v>52</v>
      </c>
      <c r="E8" s="85">
        <f>SUM(E7:E7)</f>
      </c>
    </row>
  </sheetData>
  <mergeCells count="2">
    <mergeCell ref="A1:E1"/>
    <mergeCell ref="A3:E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Staff Travel Cost &amp;R Confidential</oddHeader>
    <oddFooter>&amp;L Produced by Hit Squad Project Controls &amp;C &amp;D &amp;R Page &amp;P of &amp;N</oddFooter>
    <evenHeader>&amp;L&amp;B HIT SQUAD / PROJECT CONTROLS &amp;C Staff Travel Cost &amp;R Confidential</evenHeader>
    <evenFooter>&amp;L Produced by Hit Squad Project Controls &amp;C &amp;D &amp;R Page &amp;P of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E10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2" width="28" customWidth="1"/>
    <col min="3" max="3" width="10" customWidth="1"/>
    <col min="4" max="5" width="12" customWidth="1"/>
  </cols>
  <sheetData>
    <row r="1" ht="22" customHeight="1" spans="1:5" x14ac:dyDescent="0.25">
      <c r="A1" s="1" t="s">
        <v>0</v>
      </c>
      <c r="B1" s="1"/>
      <c r="C1" s="1"/>
      <c r="D1" s="1"/>
      <c r="E1" s="1"/>
    </row>
    <row r="2" spans="1:1" x14ac:dyDescent="0.25">
      <c r="A2" s="2" t="s">
        <v>1</v>
      </c>
    </row>
    <row r="3" spans="1:5" x14ac:dyDescent="0.25">
      <c r="A3" s="3" t="s">
        <v>2</v>
      </c>
      <c r="B3" s="3"/>
      <c r="C3" s="3"/>
      <c r="D3" s="3"/>
      <c r="E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46269.756752256944</v>
      </c>
    </row>
    <row r="6" ht="20" customHeight="1" spans="1:5" x14ac:dyDescent="0.25">
      <c r="A6" s="27" t="s">
        <v>62</v>
      </c>
      <c r="B6" s="27" t="s">
        <v>80</v>
      </c>
      <c r="C6" s="27" t="s">
        <v>64</v>
      </c>
      <c r="D6" s="27" t="s">
        <v>81</v>
      </c>
      <c r="E6" s="27" t="s">
        <v>68</v>
      </c>
    </row>
    <row r="7" spans="1:5" x14ac:dyDescent="0.25">
      <c r="A7" s="42" t="s">
        <v>82</v>
      </c>
      <c r="B7" s="42" t="s">
        <v>83</v>
      </c>
      <c r="C7" s="86">
        <v>3.5</v>
      </c>
      <c r="D7" s="87">
        <v>1000</v>
      </c>
      <c r="E7" s="87">
        <f>C7*D7</f>
      </c>
    </row>
    <row r="8" spans="1:5" x14ac:dyDescent="0.25">
      <c r="A8" s="42" t="s">
        <v>84</v>
      </c>
      <c r="B8" s="42" t="s">
        <v>85</v>
      </c>
      <c r="C8" s="86">
        <v>1</v>
      </c>
      <c r="D8" s="87">
        <v>1200</v>
      </c>
      <c r="E8" s="87">
        <f>C8*D8</f>
      </c>
    </row>
    <row r="9" spans="1:5" x14ac:dyDescent="0.25">
      <c r="A9" s="42" t="s">
        <v>86</v>
      </c>
      <c r="B9" s="42" t="s">
        <v>87</v>
      </c>
      <c r="C9" s="86">
        <v>1</v>
      </c>
      <c r="D9" s="87">
        <v>6000</v>
      </c>
      <c r="E9" s="87">
        <f>C9*D9</f>
      </c>
    </row>
    <row r="10" spans="1:5" x14ac:dyDescent="0.25">
      <c r="A10" s="88" t="s">
        <v>52</v>
      </c>
      <c r="E10" s="85">
        <f>SUM(E7:E9)</f>
      </c>
    </row>
  </sheetData>
  <mergeCells count="2">
    <mergeCell ref="A1:E1"/>
    <mergeCell ref="A3:E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Misc Costs &amp;R Confidential</oddHeader>
    <oddFooter>&amp;L Produced by Hit Squad Project Controls &amp;C &amp;D &amp;R Page &amp;P of &amp;N</oddFooter>
    <evenHeader>&amp;L&amp;B HIT SQUAD / PROJECT CONTROLS &amp;C Misc Costs &amp;R Confidential</evenHeader>
    <evenFooter>&amp;L Produced by Hit Squad Project Controls &amp;C &amp;D &amp;R Page &amp;P of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D4C5F"/>
    <pageSetUpPr fitToPage="1"/>
  </sheetPr>
  <dimension ref="A1:F13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28" customWidth="1"/>
    <col min="2" max="6" width="12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1" x14ac:dyDescent="0.25">
      <c r="A2" s="2" t="s">
        <v>1</v>
      </c>
    </row>
    <row r="3" spans="1:6" x14ac:dyDescent="0.25">
      <c r="A3" s="3" t="s">
        <v>2</v>
      </c>
      <c r="B3" s="3"/>
      <c r="C3" s="3"/>
      <c r="D3" s="3"/>
      <c r="E3" s="3"/>
      <c r="F3" s="3"/>
    </row>
    <row r="4" spans="1:1" x14ac:dyDescent="0.25">
      <c r="A4" s="4" t="s">
        <v>3</v>
      </c>
    </row>
    <row r="5" spans="1:2" x14ac:dyDescent="0.25">
      <c r="A5" s="5" t="s">
        <v>4</v>
      </c>
      <c r="B5" s="6">
        <v>46269.75675208333</v>
      </c>
    </row>
    <row r="6" ht="20" customHeight="1" spans="1:6" x14ac:dyDescent="0.25">
      <c r="A6" s="27" t="s">
        <v>88</v>
      </c>
      <c r="B6" s="27" t="s">
        <v>89</v>
      </c>
      <c r="C6" s="27" t="s">
        <v>90</v>
      </c>
      <c r="D6" s="27" t="s">
        <v>91</v>
      </c>
      <c r="E6" s="27" t="s">
        <v>92</v>
      </c>
      <c r="F6" s="27" t="s">
        <v>93</v>
      </c>
    </row>
    <row r="7" spans="1:6" x14ac:dyDescent="0.25">
      <c r="A7" s="42" t="s">
        <v>31</v>
      </c>
      <c r="C7" s="87">
        <v>111.67</v>
      </c>
      <c r="D7" s="87">
        <v>156.21</v>
      </c>
      <c r="E7" s="87">
        <v>200.75</v>
      </c>
      <c r="F7" s="87">
        <v>140</v>
      </c>
    </row>
    <row r="8" spans="1:6" x14ac:dyDescent="0.25">
      <c r="A8" s="42" t="s">
        <v>43</v>
      </c>
      <c r="B8" s="87">
        <v>64</v>
      </c>
      <c r="C8" s="87">
        <v>105.76</v>
      </c>
      <c r="D8" s="87">
        <v>143.77</v>
      </c>
      <c r="E8" s="87">
        <v>181.79</v>
      </c>
      <c r="F8" s="87">
        <v>140</v>
      </c>
    </row>
    <row r="9" spans="1:6" x14ac:dyDescent="0.25">
      <c r="A9" s="42" t="s">
        <v>46</v>
      </c>
      <c r="B9" s="87">
        <v>52.5</v>
      </c>
      <c r="C9" s="87">
        <v>91.02</v>
      </c>
      <c r="D9" s="87">
        <v>122.2</v>
      </c>
      <c r="E9" s="87">
        <v>153.39</v>
      </c>
      <c r="F9" s="87">
        <v>140</v>
      </c>
    </row>
    <row r="10" spans="1:6" x14ac:dyDescent="0.25">
      <c r="A10" s="42" t="s">
        <v>49</v>
      </c>
      <c r="B10" s="87">
        <v>58.84</v>
      </c>
      <c r="C10" s="87">
        <v>111.22</v>
      </c>
      <c r="D10" s="87">
        <v>156.31</v>
      </c>
      <c r="E10" s="87">
        <v>201.4</v>
      </c>
      <c r="F10" s="87">
        <v>140</v>
      </c>
    </row>
    <row r="11" spans="1:6" x14ac:dyDescent="0.25">
      <c r="A11" s="42" t="s">
        <v>53</v>
      </c>
      <c r="C11" s="87">
        <v>105.28</v>
      </c>
      <c r="D11" s="87">
        <v>147.5</v>
      </c>
      <c r="E11" s="87">
        <v>189.72</v>
      </c>
      <c r="F11" s="87">
        <v>130</v>
      </c>
    </row>
    <row r="12" spans="1:6" x14ac:dyDescent="0.25">
      <c r="A12" s="42" t="s">
        <v>56</v>
      </c>
      <c r="B12" s="87">
        <v>49.03</v>
      </c>
      <c r="C12" s="87">
        <v>99.33</v>
      </c>
      <c r="D12" s="87">
        <v>138.69</v>
      </c>
      <c r="E12" s="87">
        <v>178.05</v>
      </c>
      <c r="F12" s="87">
        <v>130</v>
      </c>
    </row>
    <row r="13" spans="1:6" x14ac:dyDescent="0.25">
      <c r="A13" s="42" t="s">
        <v>94</v>
      </c>
      <c r="B13" s="87">
        <v>45.6</v>
      </c>
      <c r="C13" s="87">
        <v>108.38</v>
      </c>
      <c r="D13" s="87">
        <v>152.78</v>
      </c>
      <c r="E13" s="87">
        <v>197.19</v>
      </c>
      <c r="F13" s="87">
        <v>130</v>
      </c>
    </row>
  </sheetData>
  <mergeCells count="2">
    <mergeCell ref="A1:F1"/>
    <mergeCell ref="A3:F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Rate Tables &amp;R Confidential</oddHeader>
    <oddFooter>&amp;L Produced by Hit Squad Project Controls &amp;C &amp;D &amp;R Page &amp;P of &amp;N</oddFooter>
    <evenHeader>&amp;L&amp;B HIT SQUAD / PROJECT CONTROLS &amp;C Rate Tables &amp;R Confidential</evenHeader>
    <evenFooter>&amp;L Produced by Hit Squad Project Controls &amp;C &amp;D &amp;R Page &amp;P of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 Page</vt:lpstr>
      <vt:lpstr>Staff</vt:lpstr>
      <vt:lpstr>Foremen</vt:lpstr>
      <vt:lpstr>Direct</vt:lpstr>
      <vt:lpstr>Support</vt:lpstr>
      <vt:lpstr>COE</vt:lpstr>
      <vt:lpstr>Staff Travel Cost</vt:lpstr>
      <vt:lpstr>Misc Costs</vt:lpstr>
      <vt:lpstr>Rate Tables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 Squad Project Controls</dc:creator>
  <dc:title/>
  <dc:subject/>
  <dc:description/>
  <cp:keywords/>
  <cp:category/>
  <cp:lastModifiedBy>Hit Squad Project Controls</cp:lastModifiedBy>
  <dcterms:created xsi:type="dcterms:W3CDTF">2026-09-04T18:09:43Z</dcterms:created>
  <dcterms:modified xsi:type="dcterms:W3CDTF">2026-09-04T18:09:43Z</dcterms:modified>
</cp:coreProperties>
</file>