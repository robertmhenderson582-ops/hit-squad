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COE" state="visible" r:id="rId10"/>
    <sheet sheetId="8" name="Staff Travel Cost" state="visible" r:id="rId11"/>
    <sheet sheetId="9" name="Misc Costs" state="visible" r:id="rId12"/>
    <sheet sheetId="10" name="Rate Tables" state="visible" r:id="rId13"/>
    <sheet sheetId="11" name="_Lists" state="veryHidden" r:id="rId14"/>
    <sheet sheetId="12" name="_JobDays" state="veryHidden" r:id="rId15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'Staff'!$A1:$AO70</definedName>
    <definedName name="_xlnm.Print_Titles" localSheetId="2">'Staff'!$A:$I,'Staff'!$4:$6</definedName>
    <definedName name="_xlnm.Print_Area" localSheetId="3">'Foremen'!$A1:$AO22</definedName>
    <definedName name="_xlnm.Print_Titles" localSheetId="3">'Foremen'!$A:$I,'Foremen'!$4:$6</definedName>
    <definedName name="_xlnm.Print_Area" localSheetId="4">'Direct'!$A1:$AO22</definedName>
    <definedName name="_xlnm.Print_Titles" localSheetId="4">'Direct'!$A:$I,'Direct'!$4:$6</definedName>
    <definedName name="_xlnm.Print_Area" localSheetId="5">'Support'!$A1:$AO22</definedName>
    <definedName name="_xlnm.Print_Titles" localSheetId="5">'Support'!$A:$I,'Support'!$4:$6</definedName>
    <definedName name="_xlnm.Print_Area" localSheetId="6">'COE'!$A1:$G19</definedName>
    <definedName name="_xlnm.Print_Titles" localSheetId="6">'COE'!$6:$6</definedName>
    <definedName name="_xlnm.Print_Area" localSheetId="7">'Staff Travel Cost'!$A1:$E8</definedName>
    <definedName name="_xlnm.Print_Titles" localSheetId="7">'Staff Travel Cost'!$6:$6</definedName>
    <definedName name="_xlnm.Print_Area" localSheetId="8">'Misc Costs'!$A1:$E18</definedName>
    <definedName name="_xlnm.Print_Titles" localSheetId="8">'Misc Costs'!$6:$6</definedName>
    <definedName name="_xlnm.Print_Area" localSheetId="9">'Rate Tables'!$A1:$F168</definedName>
    <definedName name="_xlnm.Print_Titles" localSheetId="9">'Rate Tables'!$6:$6</definedName>
    <definedName name="_xlnm.Print_Area" localSheetId="10">'_Lists'!$A1:$L137</definedName>
    <definedName name="_xlnm.Print_Titles" localSheetId="10">'_Lists'!$6:$6</definedName>
    <definedName name="_xlnm.Print_Area" localSheetId="11">'_JobDays'!$A1:$AF7</definedName>
    <definedName name="_xlnm.Print_Titles" localSheetId="11">'_JobDays'!$6:$6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B7" authorId="0">
      <text>
        <r>
          <rPr>
            <color rgb="FF102226"/>
            <sz val="9"/>
            <rFont val="Calibri"/>
          </rPr>
          <t>ON = this range is working. OFF = out.</t>
        </r>
      </text>
    </comment>
    <comment ref="C7" authorId="0">
      <text>
        <r>
          <rPr>
            <color rgb="FF102226"/>
            <sz val="9"/>
            <rFont val="Calibri"/>
          </rPr>
          <t>Phase start date.</t>
        </r>
      </text>
    </comment>
    <comment ref="D7" authorId="0">
      <text>
        <r>
          <rPr>
            <color rgb="FF102226"/>
            <sz val="9"/>
            <rFont val="Calibri"/>
          </rPr>
          <t>Phase stop date.</t>
        </r>
      </text>
    </comment>
    <comment ref="E7" authorId="0">
      <text>
        <r>
          <rPr>
            <color rgb="FF102226"/>
            <sz val="9"/>
            <rFont val="Calibri"/>
          </rPr>
          <t>Days worked per week (4–7).</t>
        </r>
      </text>
    </comment>
    <comment ref="F7" authorId="0">
      <text>
        <r>
          <rPr>
            <color rgb="FF102226"/>
            <sz val="9"/>
            <rFont val="Calibri"/>
          </rPr>
          <t>Hours per day (8 / 9 / 10 / 12 / 13).</t>
        </r>
      </text>
    </comment>
    <comment ref="G7" authorId="0">
      <text>
        <r>
          <rPr>
            <color rgb="FF102226"/>
            <sz val="9"/>
            <rFont val="Calibri"/>
          </rPr>
          <t>OT YES/NO for this range. YES uses the OT clock.</t>
        </r>
      </text>
    </comment>
    <comment ref="B8" authorId="0">
      <text>
        <r>
          <rPr>
            <color rgb="FF102226"/>
            <sz val="9"/>
            <rFont val="Calibri"/>
          </rPr>
          <t>ON = this range is working. OFF = out.</t>
        </r>
      </text>
    </comment>
    <comment ref="C8" authorId="0">
      <text>
        <r>
          <rPr>
            <color rgb="FF102226"/>
            <sz val="9"/>
            <rFont val="Calibri"/>
          </rPr>
          <t>Phase start date.</t>
        </r>
      </text>
    </comment>
    <comment ref="D8" authorId="0">
      <text>
        <r>
          <rPr>
            <color rgb="FF102226"/>
            <sz val="9"/>
            <rFont val="Calibri"/>
          </rPr>
          <t>Phase stop date.</t>
        </r>
      </text>
    </comment>
    <comment ref="E8" authorId="0">
      <text>
        <r>
          <rPr>
            <color rgb="FF102226"/>
            <sz val="9"/>
            <rFont val="Calibri"/>
          </rPr>
          <t>Days worked per week (4–7).</t>
        </r>
      </text>
    </comment>
    <comment ref="F8" authorId="0">
      <text>
        <r>
          <rPr>
            <color rgb="FF102226"/>
            <sz val="9"/>
            <rFont val="Calibri"/>
          </rPr>
          <t>Hours per day (8 / 9 / 10 / 12 / 13).</t>
        </r>
      </text>
    </comment>
    <comment ref="G8" authorId="0">
      <text>
        <r>
          <rPr>
            <color rgb="FF102226"/>
            <sz val="9"/>
            <rFont val="Calibri"/>
          </rPr>
          <t>OT YES/NO for this range. YES uses the OT clock.</t>
        </r>
      </text>
    </comment>
    <comment ref="B9" authorId="0">
      <text>
        <r>
          <rPr>
            <color rgb="FF102226"/>
            <sz val="9"/>
            <rFont val="Calibri"/>
          </rPr>
          <t>ON = this range is working. OFF = out.</t>
        </r>
      </text>
    </comment>
    <comment ref="C9" authorId="0">
      <text>
        <r>
          <rPr>
            <color rgb="FF102226"/>
            <sz val="9"/>
            <rFont val="Calibri"/>
          </rPr>
          <t>Phase start date.</t>
        </r>
      </text>
    </comment>
    <comment ref="D9" authorId="0">
      <text>
        <r>
          <rPr>
            <color rgb="FF102226"/>
            <sz val="9"/>
            <rFont val="Calibri"/>
          </rPr>
          <t>Phase stop date.</t>
        </r>
      </text>
    </comment>
    <comment ref="E9" authorId="0">
      <text>
        <r>
          <rPr>
            <color rgb="FF102226"/>
            <sz val="9"/>
            <rFont val="Calibri"/>
          </rPr>
          <t>Days worked per week (4–7).</t>
        </r>
      </text>
    </comment>
    <comment ref="F9" authorId="0">
      <text>
        <r>
          <rPr>
            <color rgb="FF102226"/>
            <sz val="9"/>
            <rFont val="Calibri"/>
          </rPr>
          <t>Hours per day (8 / 9 / 10 / 12 / 13).</t>
        </r>
      </text>
    </comment>
    <comment ref="G9" authorId="0">
      <text>
        <r>
          <rPr>
            <color rgb="FF102226"/>
            <sz val="9"/>
            <rFont val="Calibri"/>
          </rPr>
          <t>OT YES/NO for this range. YES uses the OT clock.</t>
        </r>
      </text>
    </comment>
    <comment ref="B10" authorId="0">
      <text>
        <r>
          <rPr>
            <color rgb="FF102226"/>
            <sz val="9"/>
            <rFont val="Calibri"/>
          </rPr>
          <t>ON = this range is working. OFF = out.</t>
        </r>
      </text>
    </comment>
    <comment ref="C10" authorId="0">
      <text>
        <r>
          <rPr>
            <color rgb="FF102226"/>
            <sz val="9"/>
            <rFont val="Calibri"/>
          </rPr>
          <t>Phase start date.</t>
        </r>
      </text>
    </comment>
    <comment ref="D10" authorId="0">
      <text>
        <r>
          <rPr>
            <color rgb="FF102226"/>
            <sz val="9"/>
            <rFont val="Calibri"/>
          </rPr>
          <t>Phase stop date.</t>
        </r>
      </text>
    </comment>
    <comment ref="E10" authorId="0">
      <text>
        <r>
          <rPr>
            <color rgb="FF102226"/>
            <sz val="9"/>
            <rFont val="Calibri"/>
          </rPr>
          <t>Days worked per week (4–7).</t>
        </r>
      </text>
    </comment>
    <comment ref="F10" authorId="0">
      <text>
        <r>
          <rPr>
            <color rgb="FF102226"/>
            <sz val="9"/>
            <rFont val="Calibri"/>
          </rPr>
          <t>Hours per day (8 / 9 / 10 / 12 / 13).</t>
        </r>
      </text>
    </comment>
    <comment ref="G10" authorId="0">
      <text>
        <r>
          <rPr>
            <color rgb="FF102226"/>
            <sz val="9"/>
            <rFont val="Calibri"/>
          </rPr>
          <t>OT YES/NO for this range. YES uses the OT clock.</t>
        </r>
      </text>
    </comment>
    <comment ref="B11" authorId="0">
      <text>
        <r>
          <rPr>
            <color rgb="FF102226"/>
            <sz val="9"/>
            <rFont val="Calibri"/>
          </rPr>
          <t>ON = this range is working. OFF = out.</t>
        </r>
      </text>
    </comment>
    <comment ref="C11" authorId="0">
      <text>
        <r>
          <rPr>
            <color rgb="FF102226"/>
            <sz val="9"/>
            <rFont val="Calibri"/>
          </rPr>
          <t>Phase start date.</t>
        </r>
      </text>
    </comment>
    <comment ref="D11" authorId="0">
      <text>
        <r>
          <rPr>
            <color rgb="FF102226"/>
            <sz val="9"/>
            <rFont val="Calibri"/>
          </rPr>
          <t>Phase stop date.</t>
        </r>
      </text>
    </comment>
    <comment ref="E11" authorId="0">
      <text>
        <r>
          <rPr>
            <color rgb="FF102226"/>
            <sz val="9"/>
            <rFont val="Calibri"/>
          </rPr>
          <t>Days worked per week (4–7).</t>
        </r>
      </text>
    </comment>
    <comment ref="F11" authorId="0">
      <text>
        <r>
          <rPr>
            <color rgb="FF102226"/>
            <sz val="9"/>
            <rFont val="Calibri"/>
          </rPr>
          <t>Hours per day (8 / 9 / 10 / 12 / 13).</t>
        </r>
      </text>
    </comment>
    <comment ref="G11" authorId="0">
      <text>
        <r>
          <rPr>
            <color rgb="FF102226"/>
            <sz val="9"/>
            <rFont val="Calibri"/>
          </rPr>
          <t>OT YES/NO for this range. YES uses the OT clock.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J6" authorId="0">
      <text>
        <r>
          <rPr>
            <color rgb="FF102226"/>
            <sz val="9"/>
            <rFont val="Calibri"/>
          </rPr>
          <t>Monday, September 21, 2026</t>
        </r>
      </text>
    </comment>
    <comment ref="K6" authorId="0">
      <text>
        <r>
          <rPr>
            <color rgb="FF102226"/>
            <sz val="9"/>
            <rFont val="Calibri"/>
          </rPr>
          <t>Tuesday, September 22, 2026</t>
        </r>
      </text>
    </comment>
    <comment ref="L6" authorId="0">
      <text>
        <r>
          <rPr>
            <color rgb="FF102226"/>
            <sz val="9"/>
            <rFont val="Calibri"/>
          </rPr>
          <t>Wednesday, September 23, 2026</t>
        </r>
      </text>
    </comment>
    <comment ref="M6" authorId="0">
      <text>
        <r>
          <rPr>
            <color rgb="FF102226"/>
            <sz val="9"/>
            <rFont val="Calibri"/>
          </rPr>
          <t>Thursday, September 24, 2026</t>
        </r>
      </text>
    </comment>
    <comment ref="N6" authorId="0">
      <text>
        <r>
          <rPr>
            <color rgb="FF102226"/>
            <sz val="9"/>
            <rFont val="Calibri"/>
          </rPr>
          <t>Friday, September 25, 2026</t>
        </r>
      </text>
    </comment>
    <comment ref="O6" authorId="0">
      <text>
        <r>
          <rPr>
            <color rgb="FF102226"/>
            <sz val="9"/>
            <rFont val="Calibri"/>
          </rPr>
          <t>Saturday, September 26, 2026</t>
        </r>
      </text>
    </comment>
    <comment ref="P6" authorId="0">
      <text>
        <r>
          <rPr>
            <color rgb="FF102226"/>
            <sz val="9"/>
            <rFont val="Calibri"/>
          </rPr>
          <t>Sunday, September 27, 2026</t>
        </r>
      </text>
    </comment>
    <comment ref="Q6" authorId="0">
      <text>
        <r>
          <rPr>
            <color rgb="FF102226"/>
            <sz val="9"/>
            <rFont val="Calibri"/>
          </rPr>
          <t>Monday, September 28, 2026</t>
        </r>
      </text>
    </comment>
    <comment ref="R6" authorId="0">
      <text>
        <r>
          <rPr>
            <color rgb="FF102226"/>
            <sz val="9"/>
            <rFont val="Calibri"/>
          </rPr>
          <t>Tuesday, September 29, 2026</t>
        </r>
      </text>
    </comment>
    <comment ref="S6" authorId="0">
      <text>
        <r>
          <rPr>
            <color rgb="FF102226"/>
            <sz val="9"/>
            <rFont val="Calibri"/>
          </rPr>
          <t>Wednesday, September 30, 2026</t>
        </r>
      </text>
    </comment>
    <comment ref="T6" authorId="0">
      <text>
        <r>
          <rPr>
            <color rgb="FF102226"/>
            <sz val="9"/>
            <rFont val="Calibri"/>
          </rPr>
          <t>Thursday, October 1, 2026</t>
        </r>
      </text>
    </comment>
    <comment ref="U6" authorId="0">
      <text>
        <r>
          <rPr>
            <color rgb="FF102226"/>
            <sz val="9"/>
            <rFont val="Calibri"/>
          </rPr>
          <t>Friday, October 2, 2026</t>
        </r>
      </text>
    </comment>
    <comment ref="V6" authorId="0">
      <text>
        <r>
          <rPr>
            <color rgb="FF102226"/>
            <sz val="9"/>
            <rFont val="Calibri"/>
          </rPr>
          <t>Saturday, October 3, 2026</t>
        </r>
      </text>
    </comment>
    <comment ref="W6" authorId="0">
      <text>
        <r>
          <rPr>
            <color rgb="FF102226"/>
            <sz val="9"/>
            <rFont val="Calibri"/>
          </rPr>
          <t>Sunday, October 4, 2026</t>
        </r>
      </text>
    </comment>
    <comment ref="X6" authorId="0">
      <text>
        <r>
          <rPr>
            <color rgb="FF102226"/>
            <sz val="9"/>
            <rFont val="Calibri"/>
          </rPr>
          <t>Monday, October 5, 2026</t>
        </r>
      </text>
    </comment>
    <comment ref="Y6" authorId="0">
      <text>
        <r>
          <rPr>
            <color rgb="FF102226"/>
            <sz val="9"/>
            <rFont val="Calibri"/>
          </rPr>
          <t>Tuesday, October 6, 2026</t>
        </r>
      </text>
    </comment>
    <comment ref="Z6" authorId="0">
      <text>
        <r>
          <rPr>
            <color rgb="FF102226"/>
            <sz val="9"/>
            <rFont val="Calibri"/>
          </rPr>
          <t>Wednesday, October 7, 2026</t>
        </r>
      </text>
    </comment>
    <comment ref="AA6" authorId="0">
      <text>
        <r>
          <rPr>
            <color rgb="FF102226"/>
            <sz val="9"/>
            <rFont val="Calibri"/>
          </rPr>
          <t>Thursday, October 8, 2026</t>
        </r>
      </text>
    </comment>
    <comment ref="AB6" authorId="0">
      <text>
        <r>
          <rPr>
            <color rgb="FF102226"/>
            <sz val="9"/>
            <rFont val="Calibri"/>
          </rPr>
          <t>Friday, October 9, 2026</t>
        </r>
      </text>
    </comment>
    <comment ref="AC6" authorId="0">
      <text>
        <r>
          <rPr>
            <color rgb="FF102226"/>
            <sz val="9"/>
            <rFont val="Calibri"/>
          </rPr>
          <t>Saturday, October 10, 2026</t>
        </r>
      </text>
    </comment>
    <comment ref="AD6" authorId="0">
      <text>
        <r>
          <rPr>
            <color rgb="FF102226"/>
            <sz val="9"/>
            <rFont val="Calibri"/>
          </rPr>
          <t>Sunday, October 11, 2026</t>
        </r>
      </text>
    </comment>
    <comment ref="AE6" authorId="0">
      <text>
        <r>
          <rPr>
            <color rgb="FF102226"/>
            <sz val="9"/>
            <rFont val="Calibri"/>
          </rPr>
          <t>Monday, October 12, 2026</t>
        </r>
      </text>
    </comment>
    <comment ref="AF6" authorId="0">
      <text>
        <r>
          <rPr>
            <color rgb="FF102226"/>
            <sz val="9"/>
            <rFont val="Calibri"/>
          </rPr>
          <t>Tuesday, October 13, 2026</t>
        </r>
      </text>
    </comment>
    <comment ref="AG6" authorId="0">
      <text>
        <r>
          <rPr>
            <color rgb="FF102226"/>
            <sz val="9"/>
            <rFont val="Calibri"/>
          </rPr>
          <t>Wednesday, October 14, 2026</t>
        </r>
      </text>
    </comment>
    <comment ref="AH6" authorId="0">
      <text>
        <r>
          <rPr>
            <color rgb="FF102226"/>
            <sz val="9"/>
            <rFont val="Calibri"/>
          </rPr>
          <t>Thursday, October 15, 2026</t>
        </r>
      </text>
    </comment>
    <comment ref="AI6" authorId="0">
      <text>
        <r>
          <rPr>
            <color rgb="FF102226"/>
            <sz val="9"/>
            <rFont val="Calibri"/>
          </rPr>
          <t>Friday, October 16, 2026</t>
        </r>
      </text>
    </comment>
    <comment ref="AJ6" authorId="0">
      <text>
        <r>
          <rPr>
            <color rgb="FF102226"/>
            <sz val="9"/>
            <rFont val="Calibri"/>
          </rPr>
          <t>Saturday, October 17, 2026</t>
        </r>
      </text>
    </comment>
    <comment ref="AK6" authorId="0">
      <text>
        <r>
          <rPr>
            <color rgb="FF102226"/>
            <sz val="9"/>
            <rFont val="Calibri"/>
          </rPr>
          <t>Sunday, October 18, 2026</t>
        </r>
      </text>
    </comment>
    <comment ref="AL6" authorId="0">
      <text>
        <r>
          <rPr>
            <color rgb="FF102226"/>
            <sz val="9"/>
            <rFont val="Calibri"/>
          </rPr>
          <t>Monday, October 19, 2026</t>
        </r>
      </text>
    </comment>
    <comment ref="AM6" authorId="0">
      <text>
        <r>
          <rPr>
            <color rgb="FF102226"/>
            <sz val="9"/>
            <rFont val="Calibri"/>
          </rPr>
          <t>Tuesday, October 20, 2026</t>
        </r>
      </text>
    </comment>
    <comment ref="AN6" authorId="0">
      <text>
        <r>
          <rPr>
            <color rgb="FF102226"/>
            <sz val="9"/>
            <rFont val="Calibri"/>
          </rPr>
          <t>Wednesday, October 21, 2026</t>
        </r>
      </text>
    </comment>
    <comment ref="AO6" authorId="0">
      <text>
        <r>
          <rPr>
            <color rgb="FF102226"/>
            <sz val="9"/>
            <rFont val="Calibri"/>
          </rPr>
          <t>Thursday, October 22, 2026</t>
        </r>
      </text>
    </comment>
    <comment ref="B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23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23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2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2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26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27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8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31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31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32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33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34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35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36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37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39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39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40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41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42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43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44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45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4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4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4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4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5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5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5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5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5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5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5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5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5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5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6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6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63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63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64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65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66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67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68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69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J6" authorId="0">
      <text>
        <r>
          <rPr>
            <color rgb="FF102226"/>
            <sz val="9"/>
            <rFont val="Calibri"/>
          </rPr>
          <t>Monday, September 21, 2026</t>
        </r>
      </text>
    </comment>
    <comment ref="K6" authorId="0">
      <text>
        <r>
          <rPr>
            <color rgb="FF102226"/>
            <sz val="9"/>
            <rFont val="Calibri"/>
          </rPr>
          <t>Tuesday, September 22, 2026</t>
        </r>
      </text>
    </comment>
    <comment ref="L6" authorId="0">
      <text>
        <r>
          <rPr>
            <color rgb="FF102226"/>
            <sz val="9"/>
            <rFont val="Calibri"/>
          </rPr>
          <t>Wednesday, September 23, 2026</t>
        </r>
      </text>
    </comment>
    <comment ref="M6" authorId="0">
      <text>
        <r>
          <rPr>
            <color rgb="FF102226"/>
            <sz val="9"/>
            <rFont val="Calibri"/>
          </rPr>
          <t>Thursday, September 24, 2026</t>
        </r>
      </text>
    </comment>
    <comment ref="N6" authorId="0">
      <text>
        <r>
          <rPr>
            <color rgb="FF102226"/>
            <sz val="9"/>
            <rFont val="Calibri"/>
          </rPr>
          <t>Friday, September 25, 2026</t>
        </r>
      </text>
    </comment>
    <comment ref="O6" authorId="0">
      <text>
        <r>
          <rPr>
            <color rgb="FF102226"/>
            <sz val="9"/>
            <rFont val="Calibri"/>
          </rPr>
          <t>Saturday, September 26, 2026</t>
        </r>
      </text>
    </comment>
    <comment ref="P6" authorId="0">
      <text>
        <r>
          <rPr>
            <color rgb="FF102226"/>
            <sz val="9"/>
            <rFont val="Calibri"/>
          </rPr>
          <t>Sunday, September 27, 2026</t>
        </r>
      </text>
    </comment>
    <comment ref="Q6" authorId="0">
      <text>
        <r>
          <rPr>
            <color rgb="FF102226"/>
            <sz val="9"/>
            <rFont val="Calibri"/>
          </rPr>
          <t>Monday, September 28, 2026</t>
        </r>
      </text>
    </comment>
    <comment ref="R6" authorId="0">
      <text>
        <r>
          <rPr>
            <color rgb="FF102226"/>
            <sz val="9"/>
            <rFont val="Calibri"/>
          </rPr>
          <t>Tuesday, September 29, 2026</t>
        </r>
      </text>
    </comment>
    <comment ref="S6" authorId="0">
      <text>
        <r>
          <rPr>
            <color rgb="FF102226"/>
            <sz val="9"/>
            <rFont val="Calibri"/>
          </rPr>
          <t>Wednesday, September 30, 2026</t>
        </r>
      </text>
    </comment>
    <comment ref="T6" authorId="0">
      <text>
        <r>
          <rPr>
            <color rgb="FF102226"/>
            <sz val="9"/>
            <rFont val="Calibri"/>
          </rPr>
          <t>Thursday, October 1, 2026</t>
        </r>
      </text>
    </comment>
    <comment ref="U6" authorId="0">
      <text>
        <r>
          <rPr>
            <color rgb="FF102226"/>
            <sz val="9"/>
            <rFont val="Calibri"/>
          </rPr>
          <t>Friday, October 2, 2026</t>
        </r>
      </text>
    </comment>
    <comment ref="V6" authorId="0">
      <text>
        <r>
          <rPr>
            <color rgb="FF102226"/>
            <sz val="9"/>
            <rFont val="Calibri"/>
          </rPr>
          <t>Saturday, October 3, 2026</t>
        </r>
      </text>
    </comment>
    <comment ref="W6" authorId="0">
      <text>
        <r>
          <rPr>
            <color rgb="FF102226"/>
            <sz val="9"/>
            <rFont val="Calibri"/>
          </rPr>
          <t>Sunday, October 4, 2026</t>
        </r>
      </text>
    </comment>
    <comment ref="X6" authorId="0">
      <text>
        <r>
          <rPr>
            <color rgb="FF102226"/>
            <sz val="9"/>
            <rFont val="Calibri"/>
          </rPr>
          <t>Monday, October 5, 2026</t>
        </r>
      </text>
    </comment>
    <comment ref="Y6" authorId="0">
      <text>
        <r>
          <rPr>
            <color rgb="FF102226"/>
            <sz val="9"/>
            <rFont val="Calibri"/>
          </rPr>
          <t>Tuesday, October 6, 2026</t>
        </r>
      </text>
    </comment>
    <comment ref="Z6" authorId="0">
      <text>
        <r>
          <rPr>
            <color rgb="FF102226"/>
            <sz val="9"/>
            <rFont val="Calibri"/>
          </rPr>
          <t>Wednesday, October 7, 2026</t>
        </r>
      </text>
    </comment>
    <comment ref="AA6" authorId="0">
      <text>
        <r>
          <rPr>
            <color rgb="FF102226"/>
            <sz val="9"/>
            <rFont val="Calibri"/>
          </rPr>
          <t>Thursday, October 8, 2026</t>
        </r>
      </text>
    </comment>
    <comment ref="AB6" authorId="0">
      <text>
        <r>
          <rPr>
            <color rgb="FF102226"/>
            <sz val="9"/>
            <rFont val="Calibri"/>
          </rPr>
          <t>Friday, October 9, 2026</t>
        </r>
      </text>
    </comment>
    <comment ref="AC6" authorId="0">
      <text>
        <r>
          <rPr>
            <color rgb="FF102226"/>
            <sz val="9"/>
            <rFont val="Calibri"/>
          </rPr>
          <t>Saturday, October 10, 2026</t>
        </r>
      </text>
    </comment>
    <comment ref="AD6" authorId="0">
      <text>
        <r>
          <rPr>
            <color rgb="FF102226"/>
            <sz val="9"/>
            <rFont val="Calibri"/>
          </rPr>
          <t>Sunday, October 11, 2026</t>
        </r>
      </text>
    </comment>
    <comment ref="AE6" authorId="0">
      <text>
        <r>
          <rPr>
            <color rgb="FF102226"/>
            <sz val="9"/>
            <rFont val="Calibri"/>
          </rPr>
          <t>Monday, October 12, 2026</t>
        </r>
      </text>
    </comment>
    <comment ref="AF6" authorId="0">
      <text>
        <r>
          <rPr>
            <color rgb="FF102226"/>
            <sz val="9"/>
            <rFont val="Calibri"/>
          </rPr>
          <t>Tuesday, October 13, 2026</t>
        </r>
      </text>
    </comment>
    <comment ref="AG6" authorId="0">
      <text>
        <r>
          <rPr>
            <color rgb="FF102226"/>
            <sz val="9"/>
            <rFont val="Calibri"/>
          </rPr>
          <t>Wednesday, October 14, 2026</t>
        </r>
      </text>
    </comment>
    <comment ref="AH6" authorId="0">
      <text>
        <r>
          <rPr>
            <color rgb="FF102226"/>
            <sz val="9"/>
            <rFont val="Calibri"/>
          </rPr>
          <t>Thursday, October 15, 2026</t>
        </r>
      </text>
    </comment>
    <comment ref="AI6" authorId="0">
      <text>
        <r>
          <rPr>
            <color rgb="FF102226"/>
            <sz val="9"/>
            <rFont val="Calibri"/>
          </rPr>
          <t>Friday, October 16, 2026</t>
        </r>
      </text>
    </comment>
    <comment ref="AJ6" authorId="0">
      <text>
        <r>
          <rPr>
            <color rgb="FF102226"/>
            <sz val="9"/>
            <rFont val="Calibri"/>
          </rPr>
          <t>Saturday, October 17, 2026</t>
        </r>
      </text>
    </comment>
    <comment ref="AK6" authorId="0">
      <text>
        <r>
          <rPr>
            <color rgb="FF102226"/>
            <sz val="9"/>
            <rFont val="Calibri"/>
          </rPr>
          <t>Sunday, October 18, 2026</t>
        </r>
      </text>
    </comment>
    <comment ref="AL6" authorId="0">
      <text>
        <r>
          <rPr>
            <color rgb="FF102226"/>
            <sz val="9"/>
            <rFont val="Calibri"/>
          </rPr>
          <t>Monday, October 19, 2026</t>
        </r>
      </text>
    </comment>
    <comment ref="AM6" authorId="0">
      <text>
        <r>
          <rPr>
            <color rgb="FF102226"/>
            <sz val="9"/>
            <rFont val="Calibri"/>
          </rPr>
          <t>Tuesday, October 20, 2026</t>
        </r>
      </text>
    </comment>
    <comment ref="AN6" authorId="0">
      <text>
        <r>
          <rPr>
            <color rgb="FF102226"/>
            <sz val="9"/>
            <rFont val="Calibri"/>
          </rPr>
          <t>Wednesday, October 21, 2026</t>
        </r>
      </text>
    </comment>
    <comment ref="AO6" authorId="0">
      <text>
        <r>
          <rPr>
            <color rgb="FF102226"/>
            <sz val="9"/>
            <rFont val="Calibri"/>
          </rPr>
          <t>Thursday, October 22, 2026</t>
        </r>
      </text>
    </comment>
    <comment ref="B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J6" authorId="0">
      <text>
        <r>
          <rPr>
            <color rgb="FF102226"/>
            <sz val="9"/>
            <rFont val="Calibri"/>
          </rPr>
          <t>Monday, September 21, 2026</t>
        </r>
      </text>
    </comment>
    <comment ref="K6" authorId="0">
      <text>
        <r>
          <rPr>
            <color rgb="FF102226"/>
            <sz val="9"/>
            <rFont val="Calibri"/>
          </rPr>
          <t>Tuesday, September 22, 2026</t>
        </r>
      </text>
    </comment>
    <comment ref="L6" authorId="0">
      <text>
        <r>
          <rPr>
            <color rgb="FF102226"/>
            <sz val="9"/>
            <rFont val="Calibri"/>
          </rPr>
          <t>Wednesday, September 23, 2026</t>
        </r>
      </text>
    </comment>
    <comment ref="M6" authorId="0">
      <text>
        <r>
          <rPr>
            <color rgb="FF102226"/>
            <sz val="9"/>
            <rFont val="Calibri"/>
          </rPr>
          <t>Thursday, September 24, 2026</t>
        </r>
      </text>
    </comment>
    <comment ref="N6" authorId="0">
      <text>
        <r>
          <rPr>
            <color rgb="FF102226"/>
            <sz val="9"/>
            <rFont val="Calibri"/>
          </rPr>
          <t>Friday, September 25, 2026</t>
        </r>
      </text>
    </comment>
    <comment ref="O6" authorId="0">
      <text>
        <r>
          <rPr>
            <color rgb="FF102226"/>
            <sz val="9"/>
            <rFont val="Calibri"/>
          </rPr>
          <t>Saturday, September 26, 2026</t>
        </r>
      </text>
    </comment>
    <comment ref="P6" authorId="0">
      <text>
        <r>
          <rPr>
            <color rgb="FF102226"/>
            <sz val="9"/>
            <rFont val="Calibri"/>
          </rPr>
          <t>Sunday, September 27, 2026</t>
        </r>
      </text>
    </comment>
    <comment ref="Q6" authorId="0">
      <text>
        <r>
          <rPr>
            <color rgb="FF102226"/>
            <sz val="9"/>
            <rFont val="Calibri"/>
          </rPr>
          <t>Monday, September 28, 2026</t>
        </r>
      </text>
    </comment>
    <comment ref="R6" authorId="0">
      <text>
        <r>
          <rPr>
            <color rgb="FF102226"/>
            <sz val="9"/>
            <rFont val="Calibri"/>
          </rPr>
          <t>Tuesday, September 29, 2026</t>
        </r>
      </text>
    </comment>
    <comment ref="S6" authorId="0">
      <text>
        <r>
          <rPr>
            <color rgb="FF102226"/>
            <sz val="9"/>
            <rFont val="Calibri"/>
          </rPr>
          <t>Wednesday, September 30, 2026</t>
        </r>
      </text>
    </comment>
    <comment ref="T6" authorId="0">
      <text>
        <r>
          <rPr>
            <color rgb="FF102226"/>
            <sz val="9"/>
            <rFont val="Calibri"/>
          </rPr>
          <t>Thursday, October 1, 2026</t>
        </r>
      </text>
    </comment>
    <comment ref="U6" authorId="0">
      <text>
        <r>
          <rPr>
            <color rgb="FF102226"/>
            <sz val="9"/>
            <rFont val="Calibri"/>
          </rPr>
          <t>Friday, October 2, 2026</t>
        </r>
      </text>
    </comment>
    <comment ref="V6" authorId="0">
      <text>
        <r>
          <rPr>
            <color rgb="FF102226"/>
            <sz val="9"/>
            <rFont val="Calibri"/>
          </rPr>
          <t>Saturday, October 3, 2026</t>
        </r>
      </text>
    </comment>
    <comment ref="W6" authorId="0">
      <text>
        <r>
          <rPr>
            <color rgb="FF102226"/>
            <sz val="9"/>
            <rFont val="Calibri"/>
          </rPr>
          <t>Sunday, October 4, 2026</t>
        </r>
      </text>
    </comment>
    <comment ref="X6" authorId="0">
      <text>
        <r>
          <rPr>
            <color rgb="FF102226"/>
            <sz val="9"/>
            <rFont val="Calibri"/>
          </rPr>
          <t>Monday, October 5, 2026</t>
        </r>
      </text>
    </comment>
    <comment ref="Y6" authorId="0">
      <text>
        <r>
          <rPr>
            <color rgb="FF102226"/>
            <sz val="9"/>
            <rFont val="Calibri"/>
          </rPr>
          <t>Tuesday, October 6, 2026</t>
        </r>
      </text>
    </comment>
    <comment ref="Z6" authorId="0">
      <text>
        <r>
          <rPr>
            <color rgb="FF102226"/>
            <sz val="9"/>
            <rFont val="Calibri"/>
          </rPr>
          <t>Wednesday, October 7, 2026</t>
        </r>
      </text>
    </comment>
    <comment ref="AA6" authorId="0">
      <text>
        <r>
          <rPr>
            <color rgb="FF102226"/>
            <sz val="9"/>
            <rFont val="Calibri"/>
          </rPr>
          <t>Thursday, October 8, 2026</t>
        </r>
      </text>
    </comment>
    <comment ref="AB6" authorId="0">
      <text>
        <r>
          <rPr>
            <color rgb="FF102226"/>
            <sz val="9"/>
            <rFont val="Calibri"/>
          </rPr>
          <t>Friday, October 9, 2026</t>
        </r>
      </text>
    </comment>
    <comment ref="AC6" authorId="0">
      <text>
        <r>
          <rPr>
            <color rgb="FF102226"/>
            <sz val="9"/>
            <rFont val="Calibri"/>
          </rPr>
          <t>Saturday, October 10, 2026</t>
        </r>
      </text>
    </comment>
    <comment ref="AD6" authorId="0">
      <text>
        <r>
          <rPr>
            <color rgb="FF102226"/>
            <sz val="9"/>
            <rFont val="Calibri"/>
          </rPr>
          <t>Sunday, October 11, 2026</t>
        </r>
      </text>
    </comment>
    <comment ref="AE6" authorId="0">
      <text>
        <r>
          <rPr>
            <color rgb="FF102226"/>
            <sz val="9"/>
            <rFont val="Calibri"/>
          </rPr>
          <t>Monday, October 12, 2026</t>
        </r>
      </text>
    </comment>
    <comment ref="AF6" authorId="0">
      <text>
        <r>
          <rPr>
            <color rgb="FF102226"/>
            <sz val="9"/>
            <rFont val="Calibri"/>
          </rPr>
          <t>Tuesday, October 13, 2026</t>
        </r>
      </text>
    </comment>
    <comment ref="AG6" authorId="0">
      <text>
        <r>
          <rPr>
            <color rgb="FF102226"/>
            <sz val="9"/>
            <rFont val="Calibri"/>
          </rPr>
          <t>Wednesday, October 14, 2026</t>
        </r>
      </text>
    </comment>
    <comment ref="AH6" authorId="0">
      <text>
        <r>
          <rPr>
            <color rgb="FF102226"/>
            <sz val="9"/>
            <rFont val="Calibri"/>
          </rPr>
          <t>Thursday, October 15, 2026</t>
        </r>
      </text>
    </comment>
    <comment ref="AI6" authorId="0">
      <text>
        <r>
          <rPr>
            <color rgb="FF102226"/>
            <sz val="9"/>
            <rFont val="Calibri"/>
          </rPr>
          <t>Friday, October 16, 2026</t>
        </r>
      </text>
    </comment>
    <comment ref="AJ6" authorId="0">
      <text>
        <r>
          <rPr>
            <color rgb="FF102226"/>
            <sz val="9"/>
            <rFont val="Calibri"/>
          </rPr>
          <t>Saturday, October 17, 2026</t>
        </r>
      </text>
    </comment>
    <comment ref="AK6" authorId="0">
      <text>
        <r>
          <rPr>
            <color rgb="FF102226"/>
            <sz val="9"/>
            <rFont val="Calibri"/>
          </rPr>
          <t>Sunday, October 18, 2026</t>
        </r>
      </text>
    </comment>
    <comment ref="AL6" authorId="0">
      <text>
        <r>
          <rPr>
            <color rgb="FF102226"/>
            <sz val="9"/>
            <rFont val="Calibri"/>
          </rPr>
          <t>Monday, October 19, 2026</t>
        </r>
      </text>
    </comment>
    <comment ref="AM6" authorId="0">
      <text>
        <r>
          <rPr>
            <color rgb="FF102226"/>
            <sz val="9"/>
            <rFont val="Calibri"/>
          </rPr>
          <t>Tuesday, October 20, 2026</t>
        </r>
      </text>
    </comment>
    <comment ref="AN6" authorId="0">
      <text>
        <r>
          <rPr>
            <color rgb="FF102226"/>
            <sz val="9"/>
            <rFont val="Calibri"/>
          </rPr>
          <t>Wednesday, October 21, 2026</t>
        </r>
      </text>
    </comment>
    <comment ref="AO6" authorId="0">
      <text>
        <r>
          <rPr>
            <color rgb="FF102226"/>
            <sz val="9"/>
            <rFont val="Calibri"/>
          </rPr>
          <t>Thursday, October 22, 2026</t>
        </r>
      </text>
    </comment>
    <comment ref="B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E1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J6" authorId="0">
      <text>
        <r>
          <rPr>
            <color rgb="FF102226"/>
            <sz val="9"/>
            <rFont val="Calibri"/>
          </rPr>
          <t>Monday, September 21, 2026</t>
        </r>
      </text>
    </comment>
    <comment ref="K6" authorId="0">
      <text>
        <r>
          <rPr>
            <color rgb="FF102226"/>
            <sz val="9"/>
            <rFont val="Calibri"/>
          </rPr>
          <t>Tuesday, September 22, 2026</t>
        </r>
      </text>
    </comment>
    <comment ref="L6" authorId="0">
      <text>
        <r>
          <rPr>
            <color rgb="FF102226"/>
            <sz val="9"/>
            <rFont val="Calibri"/>
          </rPr>
          <t>Wednesday, September 23, 2026</t>
        </r>
      </text>
    </comment>
    <comment ref="M6" authorId="0">
      <text>
        <r>
          <rPr>
            <color rgb="FF102226"/>
            <sz val="9"/>
            <rFont val="Calibri"/>
          </rPr>
          <t>Thursday, September 24, 2026</t>
        </r>
      </text>
    </comment>
    <comment ref="N6" authorId="0">
      <text>
        <r>
          <rPr>
            <color rgb="FF102226"/>
            <sz val="9"/>
            <rFont val="Calibri"/>
          </rPr>
          <t>Friday, September 25, 2026</t>
        </r>
      </text>
    </comment>
    <comment ref="O6" authorId="0">
      <text>
        <r>
          <rPr>
            <color rgb="FF102226"/>
            <sz val="9"/>
            <rFont val="Calibri"/>
          </rPr>
          <t>Saturday, September 26, 2026</t>
        </r>
      </text>
    </comment>
    <comment ref="P6" authorId="0">
      <text>
        <r>
          <rPr>
            <color rgb="FF102226"/>
            <sz val="9"/>
            <rFont val="Calibri"/>
          </rPr>
          <t>Sunday, September 27, 2026</t>
        </r>
      </text>
    </comment>
    <comment ref="Q6" authorId="0">
      <text>
        <r>
          <rPr>
            <color rgb="FF102226"/>
            <sz val="9"/>
            <rFont val="Calibri"/>
          </rPr>
          <t>Monday, September 28, 2026</t>
        </r>
      </text>
    </comment>
    <comment ref="R6" authorId="0">
      <text>
        <r>
          <rPr>
            <color rgb="FF102226"/>
            <sz val="9"/>
            <rFont val="Calibri"/>
          </rPr>
          <t>Tuesday, September 29, 2026</t>
        </r>
      </text>
    </comment>
    <comment ref="S6" authorId="0">
      <text>
        <r>
          <rPr>
            <color rgb="FF102226"/>
            <sz val="9"/>
            <rFont val="Calibri"/>
          </rPr>
          <t>Wednesday, September 30, 2026</t>
        </r>
      </text>
    </comment>
    <comment ref="T6" authorId="0">
      <text>
        <r>
          <rPr>
            <color rgb="FF102226"/>
            <sz val="9"/>
            <rFont val="Calibri"/>
          </rPr>
          <t>Thursday, October 1, 2026</t>
        </r>
      </text>
    </comment>
    <comment ref="U6" authorId="0">
      <text>
        <r>
          <rPr>
            <color rgb="FF102226"/>
            <sz val="9"/>
            <rFont val="Calibri"/>
          </rPr>
          <t>Friday, October 2, 2026</t>
        </r>
      </text>
    </comment>
    <comment ref="V6" authorId="0">
      <text>
        <r>
          <rPr>
            <color rgb="FF102226"/>
            <sz val="9"/>
            <rFont val="Calibri"/>
          </rPr>
          <t>Saturday, October 3, 2026</t>
        </r>
      </text>
    </comment>
    <comment ref="W6" authorId="0">
      <text>
        <r>
          <rPr>
            <color rgb="FF102226"/>
            <sz val="9"/>
            <rFont val="Calibri"/>
          </rPr>
          <t>Sunday, October 4, 2026</t>
        </r>
      </text>
    </comment>
    <comment ref="X6" authorId="0">
      <text>
        <r>
          <rPr>
            <color rgb="FF102226"/>
            <sz val="9"/>
            <rFont val="Calibri"/>
          </rPr>
          <t>Monday, October 5, 2026</t>
        </r>
      </text>
    </comment>
    <comment ref="Y6" authorId="0">
      <text>
        <r>
          <rPr>
            <color rgb="FF102226"/>
            <sz val="9"/>
            <rFont val="Calibri"/>
          </rPr>
          <t>Tuesday, October 6, 2026</t>
        </r>
      </text>
    </comment>
    <comment ref="Z6" authorId="0">
      <text>
        <r>
          <rPr>
            <color rgb="FF102226"/>
            <sz val="9"/>
            <rFont val="Calibri"/>
          </rPr>
          <t>Wednesday, October 7, 2026</t>
        </r>
      </text>
    </comment>
    <comment ref="AA6" authorId="0">
      <text>
        <r>
          <rPr>
            <color rgb="FF102226"/>
            <sz val="9"/>
            <rFont val="Calibri"/>
          </rPr>
          <t>Thursday, October 8, 2026</t>
        </r>
      </text>
    </comment>
    <comment ref="AB6" authorId="0">
      <text>
        <r>
          <rPr>
            <color rgb="FF102226"/>
            <sz val="9"/>
            <rFont val="Calibri"/>
          </rPr>
          <t>Friday, October 9, 2026</t>
        </r>
      </text>
    </comment>
    <comment ref="AC6" authorId="0">
      <text>
        <r>
          <rPr>
            <color rgb="FF102226"/>
            <sz val="9"/>
            <rFont val="Calibri"/>
          </rPr>
          <t>Saturday, October 10, 2026</t>
        </r>
      </text>
    </comment>
    <comment ref="AD6" authorId="0">
      <text>
        <r>
          <rPr>
            <color rgb="FF102226"/>
            <sz val="9"/>
            <rFont val="Calibri"/>
          </rPr>
          <t>Sunday, October 11, 2026</t>
        </r>
      </text>
    </comment>
    <comment ref="AE6" authorId="0">
      <text>
        <r>
          <rPr>
            <color rgb="FF102226"/>
            <sz val="9"/>
            <rFont val="Calibri"/>
          </rPr>
          <t>Monday, October 12, 2026</t>
        </r>
      </text>
    </comment>
    <comment ref="AF6" authorId="0">
      <text>
        <r>
          <rPr>
            <color rgb="FF102226"/>
            <sz val="9"/>
            <rFont val="Calibri"/>
          </rPr>
          <t>Tuesday, October 13, 2026</t>
        </r>
      </text>
    </comment>
    <comment ref="AG6" authorId="0">
      <text>
        <r>
          <rPr>
            <color rgb="FF102226"/>
            <sz val="9"/>
            <rFont val="Calibri"/>
          </rPr>
          <t>Wednesday, October 14, 2026</t>
        </r>
      </text>
    </comment>
    <comment ref="AH6" authorId="0">
      <text>
        <r>
          <rPr>
            <color rgb="FF102226"/>
            <sz val="9"/>
            <rFont val="Calibri"/>
          </rPr>
          <t>Thursday, October 15, 2026</t>
        </r>
      </text>
    </comment>
    <comment ref="AI6" authorId="0">
      <text>
        <r>
          <rPr>
            <color rgb="FF102226"/>
            <sz val="9"/>
            <rFont val="Calibri"/>
          </rPr>
          <t>Friday, October 16, 2026</t>
        </r>
      </text>
    </comment>
    <comment ref="AJ6" authorId="0">
      <text>
        <r>
          <rPr>
            <color rgb="FF102226"/>
            <sz val="9"/>
            <rFont val="Calibri"/>
          </rPr>
          <t>Saturday, October 17, 2026</t>
        </r>
      </text>
    </comment>
    <comment ref="AK6" authorId="0">
      <text>
        <r>
          <rPr>
            <color rgb="FF102226"/>
            <sz val="9"/>
            <rFont val="Calibri"/>
          </rPr>
          <t>Sunday, October 18, 2026</t>
        </r>
      </text>
    </comment>
    <comment ref="AL6" authorId="0">
      <text>
        <r>
          <rPr>
            <color rgb="FF102226"/>
            <sz val="9"/>
            <rFont val="Calibri"/>
          </rPr>
          <t>Monday, October 19, 2026</t>
        </r>
      </text>
    </comment>
    <comment ref="AM6" authorId="0">
      <text>
        <r>
          <rPr>
            <color rgb="FF102226"/>
            <sz val="9"/>
            <rFont val="Calibri"/>
          </rPr>
          <t>Tuesday, October 20, 2026</t>
        </r>
      </text>
    </comment>
    <comment ref="AN6" authorId="0">
      <text>
        <r>
          <rPr>
            <color rgb="FF102226"/>
            <sz val="9"/>
            <rFont val="Calibri"/>
          </rPr>
          <t>Wednesday, October 21, 2026</t>
        </r>
      </text>
    </comment>
    <comment ref="AO6" authorId="0">
      <text>
        <r>
          <rPr>
            <color rgb="FF102226"/>
            <sz val="9"/>
            <rFont val="Calibri"/>
          </rPr>
          <t>Thursday, October 22, 2026</t>
        </r>
      </text>
    </comment>
    <comment ref="B7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7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8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9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0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11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11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12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13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B15" authorId="0">
      <text>
        <r>
          <rPr>
            <color rgb="FF102226"/>
            <sz val="9"/>
            <rFont val="Calibri"/>
          </rPr>
          <t>Craft / role title for this block.</t>
        </r>
      </text>
    </comment>
    <comment ref="E15" authorId="0">
      <text>
        <r>
          <rPr>
            <color rgb="FF102226"/>
            <sz val="9"/>
            <rFont val="Calibri"/>
          </rPr>
          <t>Clock pick: Auto follows the seat (staff vs COMP). Change to Staff clock or COMP clock to force one.</t>
        </r>
      </text>
    </comment>
    <comment ref="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P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Q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R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S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T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U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V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W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X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Y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Z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A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B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C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D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E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F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G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H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I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J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K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L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M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N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AO16" authorId="0">
      <text>
        <r>
          <rPr>
            <color rgb="FF102226"/>
            <sz val="9"/>
            <rFont val="Calibri"/>
          </rPr>
          <t>Headcount for that day (yellow). Edit to change how many people that day.</t>
        </r>
      </text>
    </comment>
    <comment ref="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P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Q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R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S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T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U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V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W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X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Y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Z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A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B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C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D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E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F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G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H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I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J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K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L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M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N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AO17" authorId="0">
      <text>
        <r>
          <rPr>
            <color rgb="FF102226"/>
            <sz val="9"/>
            <rFont val="Calibri"/>
          </rPr>
          <t>Hours per shift that day (yellow). Edit the length of the shift.</t>
        </r>
      </text>
    </comment>
    <comment ref="E18" authorId="0">
      <text>
        <r>
          <rPr>
            <color rgb="FF102226"/>
            <sz val="9"/>
            <rFont val="Calibri"/>
          </rPr>
          <t>Straight-time hours (formula from HC × HPS + clock). Usually locked.</t>
        </r>
      </text>
    </comment>
    <comment ref="B19" authorId="0">
      <text>
        <r>
          <rPr>
            <color rgb="FF102226"/>
            <sz val="9"/>
            <rFont val="Calibri"/>
          </rPr>
          <t>Support billing class. Changes how this seat bills.</t>
        </r>
      </text>
    </comment>
    <comment ref="E19" authorId="0">
      <text>
        <r>
          <rPr>
            <color rgb="FF102226"/>
            <sz val="9"/>
            <rFont val="Calibri"/>
          </rPr>
          <t>Overtime hours (formula). Usually locked.</t>
        </r>
      </text>
    </comment>
    <comment ref="E20" authorId="0">
      <text>
        <r>
          <rPr>
            <color rgb="FF102226"/>
            <sz val="9"/>
            <rFont val="Calibri"/>
          </rPr>
          <t>Double-time hours (formula). Usually locked.</t>
        </r>
      </text>
    </comment>
    <comment ref="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P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Q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R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S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T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U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V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W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X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Y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Z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A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B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C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D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E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F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G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H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I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J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K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L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M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N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  <comment ref="AO21" authorId="0">
      <text>
        <r>
          <rPr>
            <color rgb="FF102226"/>
            <sz val="9"/>
            <rFont val="Calibri"/>
          </rPr>
          <t>Per-diem people-count for that day (yellow). Edit who gets PD that day.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7" authorId="0">
      <text>
        <r>
          <rPr>
            <color rgb="FF102226"/>
            <sz val="9"/>
            <rFont val="Calibri"/>
          </rPr>
          <t>Line name or catalog item.</t>
        </r>
      </text>
    </comment>
    <comment ref="B7" authorId="0">
      <text>
        <r>
          <rPr>
            <color rgb="FF102226"/>
            <sz val="9"/>
            <rFont val="Calibri"/>
          </rPr>
          <t>daily / weekly / monthly</t>
        </r>
      </text>
    </comment>
    <comment ref="C7" authorId="0">
      <text>
        <r>
          <rPr>
            <color rgb="FF102226"/>
            <sz val="9"/>
            <rFont val="Calibri"/>
          </rPr>
          <t>Enter quantity.</t>
        </r>
      </text>
    </comment>
    <comment ref="D7" authorId="0">
      <text>
        <r>
          <rPr>
            <color rgb="FF102226"/>
            <sz val="9"/>
            <rFont val="Calibri"/>
          </rPr>
          <t>How many periods to bill.</t>
        </r>
      </text>
    </comment>
    <comment ref="E7" authorId="0">
      <text>
        <r>
          <rPr>
            <color rgb="FF102226"/>
            <sz val="9"/>
            <rFont val="Calibri"/>
          </rPr>
          <t>Enter unit rate.</t>
        </r>
      </text>
    </comment>
    <comment ref="F7" authorId="0">
      <text>
        <r>
          <rPr>
            <color rgb="FF102226"/>
            <sz val="9"/>
            <rFont val="Calibri"/>
          </rPr>
          <t>Freight or delivery cost.</t>
        </r>
      </text>
    </comment>
    <comment ref="A8" authorId="0">
      <text>
        <r>
          <rPr>
            <color rgb="FF102226"/>
            <sz val="9"/>
            <rFont val="Calibri"/>
          </rPr>
          <t>Line name or catalog item.</t>
        </r>
      </text>
    </comment>
    <comment ref="B8" authorId="0">
      <text>
        <r>
          <rPr>
            <color rgb="FF102226"/>
            <sz val="9"/>
            <rFont val="Calibri"/>
          </rPr>
          <t>daily / weekly / monthly</t>
        </r>
      </text>
    </comment>
    <comment ref="C8" authorId="0">
      <text>
        <r>
          <rPr>
            <color rgb="FF102226"/>
            <sz val="9"/>
            <rFont val="Calibri"/>
          </rPr>
          <t>Enter quantity.</t>
        </r>
      </text>
    </comment>
    <comment ref="D8" authorId="0">
      <text>
        <r>
          <rPr>
            <color rgb="FF102226"/>
            <sz val="9"/>
            <rFont val="Calibri"/>
          </rPr>
          <t>How many periods to bill.</t>
        </r>
      </text>
    </comment>
    <comment ref="E8" authorId="0">
      <text>
        <r>
          <rPr>
            <color rgb="FF102226"/>
            <sz val="9"/>
            <rFont val="Calibri"/>
          </rPr>
          <t>Enter unit rate.</t>
        </r>
      </text>
    </comment>
    <comment ref="F8" authorId="0">
      <text>
        <r>
          <rPr>
            <color rgb="FF102226"/>
            <sz val="9"/>
            <rFont val="Calibri"/>
          </rPr>
          <t>Freight or delivery cost.</t>
        </r>
      </text>
    </comment>
    <comment ref="A9" authorId="0">
      <text>
        <r>
          <rPr>
            <color rgb="FF102226"/>
            <sz val="9"/>
            <rFont val="Calibri"/>
          </rPr>
          <t>Line name or catalog item.</t>
        </r>
      </text>
    </comment>
    <comment ref="B9" authorId="0">
      <text>
        <r>
          <rPr>
            <color rgb="FF102226"/>
            <sz val="9"/>
            <rFont val="Calibri"/>
          </rPr>
          <t>daily / weekly / monthly</t>
        </r>
      </text>
    </comment>
    <comment ref="C9" authorId="0">
      <text>
        <r>
          <rPr>
            <color rgb="FF102226"/>
            <sz val="9"/>
            <rFont val="Calibri"/>
          </rPr>
          <t>Enter quantity.</t>
        </r>
      </text>
    </comment>
    <comment ref="D9" authorId="0">
      <text>
        <r>
          <rPr>
            <color rgb="FF102226"/>
            <sz val="9"/>
            <rFont val="Calibri"/>
          </rPr>
          <t>How many periods to bill.</t>
        </r>
      </text>
    </comment>
    <comment ref="E9" authorId="0">
      <text>
        <r>
          <rPr>
            <color rgb="FF102226"/>
            <sz val="9"/>
            <rFont val="Calibri"/>
          </rPr>
          <t>Enter unit rate.</t>
        </r>
      </text>
    </comment>
    <comment ref="F9" authorId="0">
      <text>
        <r>
          <rPr>
            <color rgb="FF102226"/>
            <sz val="9"/>
            <rFont val="Calibri"/>
          </rPr>
          <t>Freight or delivery cost.</t>
        </r>
      </text>
    </comment>
    <comment ref="A10" authorId="0">
      <text>
        <r>
          <rPr>
            <color rgb="FF102226"/>
            <sz val="9"/>
            <rFont val="Calibri"/>
          </rPr>
          <t>Line name or catalog item.</t>
        </r>
      </text>
    </comment>
    <comment ref="B10" authorId="0">
      <text>
        <r>
          <rPr>
            <color rgb="FF102226"/>
            <sz val="9"/>
            <rFont val="Calibri"/>
          </rPr>
          <t>daily / weekly / monthly</t>
        </r>
      </text>
    </comment>
    <comment ref="C10" authorId="0">
      <text>
        <r>
          <rPr>
            <color rgb="FF102226"/>
            <sz val="9"/>
            <rFont val="Calibri"/>
          </rPr>
          <t>Enter quantity.</t>
        </r>
      </text>
    </comment>
    <comment ref="D10" authorId="0">
      <text>
        <r>
          <rPr>
            <color rgb="FF102226"/>
            <sz val="9"/>
            <rFont val="Calibri"/>
          </rPr>
          <t>How many periods to bill.</t>
        </r>
      </text>
    </comment>
    <comment ref="E10" authorId="0">
      <text>
        <r>
          <rPr>
            <color rgb="FF102226"/>
            <sz val="9"/>
            <rFont val="Calibri"/>
          </rPr>
          <t>Enter unit rate.</t>
        </r>
      </text>
    </comment>
    <comment ref="F10" authorId="0">
      <text>
        <r>
          <rPr>
            <color rgb="FF102226"/>
            <sz val="9"/>
            <rFont val="Calibri"/>
          </rPr>
          <t>Freight or delivery cost.</t>
        </r>
      </text>
    </comment>
    <comment ref="A11" authorId="0">
      <text>
        <r>
          <rPr>
            <color rgb="FF102226"/>
            <sz val="9"/>
            <rFont val="Calibri"/>
          </rPr>
          <t>Line name or catalog item.</t>
        </r>
      </text>
    </comment>
    <comment ref="B11" authorId="0">
      <text>
        <r>
          <rPr>
            <color rgb="FF102226"/>
            <sz val="9"/>
            <rFont val="Calibri"/>
          </rPr>
          <t>daily / weekly / monthly</t>
        </r>
      </text>
    </comment>
    <comment ref="C11" authorId="0">
      <text>
        <r>
          <rPr>
            <color rgb="FF102226"/>
            <sz val="9"/>
            <rFont val="Calibri"/>
          </rPr>
          <t>Enter quantity.</t>
        </r>
      </text>
    </comment>
    <comment ref="D11" authorId="0">
      <text>
        <r>
          <rPr>
            <color rgb="FF102226"/>
            <sz val="9"/>
            <rFont val="Calibri"/>
          </rPr>
          <t>How many periods to bill.</t>
        </r>
      </text>
    </comment>
    <comment ref="E11" authorId="0">
      <text>
        <r>
          <rPr>
            <color rgb="FF102226"/>
            <sz val="9"/>
            <rFont val="Calibri"/>
          </rPr>
          <t>Enter unit rate.</t>
        </r>
      </text>
    </comment>
    <comment ref="F11" authorId="0">
      <text>
        <r>
          <rPr>
            <color rgb="FF102226"/>
            <sz val="9"/>
            <rFont val="Calibri"/>
          </rPr>
          <t>Freight or delivery cost.</t>
        </r>
      </text>
    </comment>
    <comment ref="A12" authorId="0">
      <text>
        <r>
          <rPr>
            <color rgb="FF102226"/>
            <sz val="9"/>
            <rFont val="Calibri"/>
          </rPr>
          <t>Line name or catalog item.</t>
        </r>
      </text>
    </comment>
    <comment ref="B12" authorId="0">
      <text>
        <r>
          <rPr>
            <color rgb="FF102226"/>
            <sz val="9"/>
            <rFont val="Calibri"/>
          </rPr>
          <t>daily / weekly / monthly</t>
        </r>
      </text>
    </comment>
    <comment ref="C12" authorId="0">
      <text>
        <r>
          <rPr>
            <color rgb="FF102226"/>
            <sz val="9"/>
            <rFont val="Calibri"/>
          </rPr>
          <t>Enter quantity.</t>
        </r>
      </text>
    </comment>
    <comment ref="D12" authorId="0">
      <text>
        <r>
          <rPr>
            <color rgb="FF102226"/>
            <sz val="9"/>
            <rFont val="Calibri"/>
          </rPr>
          <t>How many periods to bill.</t>
        </r>
      </text>
    </comment>
    <comment ref="E12" authorId="0">
      <text>
        <r>
          <rPr>
            <color rgb="FF102226"/>
            <sz val="9"/>
            <rFont val="Calibri"/>
          </rPr>
          <t>Enter unit rate.</t>
        </r>
      </text>
    </comment>
    <comment ref="F12" authorId="0">
      <text>
        <r>
          <rPr>
            <color rgb="FF102226"/>
            <sz val="9"/>
            <rFont val="Calibri"/>
          </rPr>
          <t>Freight or delivery cost.</t>
        </r>
      </text>
    </comment>
    <comment ref="A13" authorId="0">
      <text>
        <r>
          <rPr>
            <color rgb="FF102226"/>
            <sz val="9"/>
            <rFont val="Calibri"/>
          </rPr>
          <t>Line name or catalog item.</t>
        </r>
      </text>
    </comment>
    <comment ref="B13" authorId="0">
      <text>
        <r>
          <rPr>
            <color rgb="FF102226"/>
            <sz val="9"/>
            <rFont val="Calibri"/>
          </rPr>
          <t>daily / weekly / monthly</t>
        </r>
      </text>
    </comment>
    <comment ref="C13" authorId="0">
      <text>
        <r>
          <rPr>
            <color rgb="FF102226"/>
            <sz val="9"/>
            <rFont val="Calibri"/>
          </rPr>
          <t>Enter quantity.</t>
        </r>
      </text>
    </comment>
    <comment ref="D13" authorId="0">
      <text>
        <r>
          <rPr>
            <color rgb="FF102226"/>
            <sz val="9"/>
            <rFont val="Calibri"/>
          </rPr>
          <t>How many periods to bill.</t>
        </r>
      </text>
    </comment>
    <comment ref="E13" authorId="0">
      <text>
        <r>
          <rPr>
            <color rgb="FF102226"/>
            <sz val="9"/>
            <rFont val="Calibri"/>
          </rPr>
          <t>Enter unit rate.</t>
        </r>
      </text>
    </comment>
    <comment ref="F13" authorId="0">
      <text>
        <r>
          <rPr>
            <color rgb="FF102226"/>
            <sz val="9"/>
            <rFont val="Calibri"/>
          </rPr>
          <t>Freight or delivery cost.</t>
        </r>
      </text>
    </comment>
    <comment ref="A14" authorId="0">
      <text>
        <r>
          <rPr>
            <color rgb="FF102226"/>
            <sz val="9"/>
            <rFont val="Calibri"/>
          </rPr>
          <t>Line name or catalog item.</t>
        </r>
      </text>
    </comment>
    <comment ref="B14" authorId="0">
      <text>
        <r>
          <rPr>
            <color rgb="FF102226"/>
            <sz val="9"/>
            <rFont val="Calibri"/>
          </rPr>
          <t>daily / weekly / monthly</t>
        </r>
      </text>
    </comment>
    <comment ref="C14" authorId="0">
      <text>
        <r>
          <rPr>
            <color rgb="FF102226"/>
            <sz val="9"/>
            <rFont val="Calibri"/>
          </rPr>
          <t>Enter quantity.</t>
        </r>
      </text>
    </comment>
    <comment ref="D14" authorId="0">
      <text>
        <r>
          <rPr>
            <color rgb="FF102226"/>
            <sz val="9"/>
            <rFont val="Calibri"/>
          </rPr>
          <t>How many periods to bill.</t>
        </r>
      </text>
    </comment>
    <comment ref="E14" authorId="0">
      <text>
        <r>
          <rPr>
            <color rgb="FF102226"/>
            <sz val="9"/>
            <rFont val="Calibri"/>
          </rPr>
          <t>Enter unit rate.</t>
        </r>
      </text>
    </comment>
    <comment ref="F14" authorId="0">
      <text>
        <r>
          <rPr>
            <color rgb="FF102226"/>
            <sz val="9"/>
            <rFont val="Calibri"/>
          </rPr>
          <t>Freight or delivery cost.</t>
        </r>
      </text>
    </comment>
    <comment ref="A15" authorId="0">
      <text>
        <r>
          <rPr>
            <color rgb="FF102226"/>
            <sz val="9"/>
            <rFont val="Calibri"/>
          </rPr>
          <t>Line name or catalog item.</t>
        </r>
      </text>
    </comment>
    <comment ref="B15" authorId="0">
      <text>
        <r>
          <rPr>
            <color rgb="FF102226"/>
            <sz val="9"/>
            <rFont val="Calibri"/>
          </rPr>
          <t>daily / weekly / monthly</t>
        </r>
      </text>
    </comment>
    <comment ref="C15" authorId="0">
      <text>
        <r>
          <rPr>
            <color rgb="FF102226"/>
            <sz val="9"/>
            <rFont val="Calibri"/>
          </rPr>
          <t>Enter quantity.</t>
        </r>
      </text>
    </comment>
    <comment ref="D15" authorId="0">
      <text>
        <r>
          <rPr>
            <color rgb="FF102226"/>
            <sz val="9"/>
            <rFont val="Calibri"/>
          </rPr>
          <t>How many periods to bill.</t>
        </r>
      </text>
    </comment>
    <comment ref="E15" authorId="0">
      <text>
        <r>
          <rPr>
            <color rgb="FF102226"/>
            <sz val="9"/>
            <rFont val="Calibri"/>
          </rPr>
          <t>Enter unit rate.</t>
        </r>
      </text>
    </comment>
    <comment ref="F15" authorId="0">
      <text>
        <r>
          <rPr>
            <color rgb="FF102226"/>
            <sz val="9"/>
            <rFont val="Calibri"/>
          </rPr>
          <t>Freight or delivery cost.</t>
        </r>
      </text>
    </comment>
    <comment ref="A16" authorId="0">
      <text>
        <r>
          <rPr>
            <color rgb="FF102226"/>
            <sz val="9"/>
            <rFont val="Calibri"/>
          </rPr>
          <t>Line name or catalog item.</t>
        </r>
      </text>
    </comment>
    <comment ref="B16" authorId="0">
      <text>
        <r>
          <rPr>
            <color rgb="FF102226"/>
            <sz val="9"/>
            <rFont val="Calibri"/>
          </rPr>
          <t>daily / weekly / monthly</t>
        </r>
      </text>
    </comment>
    <comment ref="C16" authorId="0">
      <text>
        <r>
          <rPr>
            <color rgb="FF102226"/>
            <sz val="9"/>
            <rFont val="Calibri"/>
          </rPr>
          <t>Enter quantity.</t>
        </r>
      </text>
    </comment>
    <comment ref="D16" authorId="0">
      <text>
        <r>
          <rPr>
            <color rgb="FF102226"/>
            <sz val="9"/>
            <rFont val="Calibri"/>
          </rPr>
          <t>How many periods to bill.</t>
        </r>
      </text>
    </comment>
    <comment ref="E16" authorId="0">
      <text>
        <r>
          <rPr>
            <color rgb="FF102226"/>
            <sz val="9"/>
            <rFont val="Calibri"/>
          </rPr>
          <t>Enter unit rate.</t>
        </r>
      </text>
    </comment>
    <comment ref="F16" authorId="0">
      <text>
        <r>
          <rPr>
            <color rgb="FF102226"/>
            <sz val="9"/>
            <rFont val="Calibri"/>
          </rPr>
          <t>Freight or delivery cost.</t>
        </r>
      </text>
    </comment>
    <comment ref="A17" authorId="0">
      <text>
        <r>
          <rPr>
            <color rgb="FF102226"/>
            <sz val="9"/>
            <rFont val="Calibri"/>
          </rPr>
          <t>Line name or catalog item.</t>
        </r>
      </text>
    </comment>
    <comment ref="B17" authorId="0">
      <text>
        <r>
          <rPr>
            <color rgb="FF102226"/>
            <sz val="9"/>
            <rFont val="Calibri"/>
          </rPr>
          <t>daily / weekly / monthly</t>
        </r>
      </text>
    </comment>
    <comment ref="C17" authorId="0">
      <text>
        <r>
          <rPr>
            <color rgb="FF102226"/>
            <sz val="9"/>
            <rFont val="Calibri"/>
          </rPr>
          <t>Enter quantity.</t>
        </r>
      </text>
    </comment>
    <comment ref="D17" authorId="0">
      <text>
        <r>
          <rPr>
            <color rgb="FF102226"/>
            <sz val="9"/>
            <rFont val="Calibri"/>
          </rPr>
          <t>How many periods to bill.</t>
        </r>
      </text>
    </comment>
    <comment ref="E17" authorId="0">
      <text>
        <r>
          <rPr>
            <color rgb="FF102226"/>
            <sz val="9"/>
            <rFont val="Calibri"/>
          </rPr>
          <t>Enter unit rate.</t>
        </r>
      </text>
    </comment>
    <comment ref="F17" authorId="0">
      <text>
        <r>
          <rPr>
            <color rgb="FF102226"/>
            <sz val="9"/>
            <rFont val="Calibri"/>
          </rPr>
          <t>Freight or delivery cost.</t>
        </r>
      </text>
    </comment>
    <comment ref="A18" authorId="0">
      <text>
        <r>
          <rPr>
            <color rgb="FF102226"/>
            <sz val="9"/>
            <rFont val="Calibri"/>
          </rPr>
          <t>Line name or catalog item.</t>
        </r>
      </text>
    </comment>
    <comment ref="B18" authorId="0">
      <text>
        <r>
          <rPr>
            <color rgb="FF102226"/>
            <sz val="9"/>
            <rFont val="Calibri"/>
          </rPr>
          <t>daily / weekly / monthly</t>
        </r>
      </text>
    </comment>
    <comment ref="C18" authorId="0">
      <text>
        <r>
          <rPr>
            <color rgb="FF102226"/>
            <sz val="9"/>
            <rFont val="Calibri"/>
          </rPr>
          <t>Enter quantity.</t>
        </r>
      </text>
    </comment>
    <comment ref="D18" authorId="0">
      <text>
        <r>
          <rPr>
            <color rgb="FF102226"/>
            <sz val="9"/>
            <rFont val="Calibri"/>
          </rPr>
          <t>How many periods to bill.</t>
        </r>
      </text>
    </comment>
    <comment ref="E18" authorId="0">
      <text>
        <r>
          <rPr>
            <color rgb="FF102226"/>
            <sz val="9"/>
            <rFont val="Calibri"/>
          </rPr>
          <t>Enter unit rate.</t>
        </r>
      </text>
    </comment>
    <comment ref="F18" authorId="0">
      <text>
        <r>
          <rPr>
            <color rgb="FF102226"/>
            <sz val="9"/>
            <rFont val="Calibri"/>
          </rPr>
          <t>Freight or delivery cost.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7" authorId="0">
      <text>
        <r>
          <rPr>
            <color rgb="FF102226"/>
            <sz val="9"/>
            <rFont val="Calibri"/>
          </rPr>
          <t>Staff or craft travel.</t>
        </r>
      </text>
    </comment>
    <comment ref="B7" authorId="0">
      <text>
        <r>
          <rPr>
            <color rgb="FF102226"/>
            <sz val="9"/>
            <rFont val="Calibri"/>
          </rPr>
          <t>How many people traveling.</t>
        </r>
      </text>
    </comment>
    <comment ref="C7" authorId="0">
      <text>
        <r>
          <rPr>
            <color rgb="FF102226"/>
            <sz val="9"/>
            <rFont val="Calibri"/>
          </rPr>
          <t>Miles for this trip.</t>
        </r>
      </text>
    </comment>
    <comment ref="D7" authorId="0">
      <text>
        <r>
          <rPr>
            <color rgb="FF102226"/>
            <sz val="9"/>
            <rFont val="Calibri"/>
          </rPr>
          <t>Enter unit rate.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7" authorId="0">
      <text>
        <r>
          <rPr>
            <color rgb="FF102226"/>
            <sz val="9"/>
            <rFont val="Calibri"/>
          </rPr>
          <t>Line name or catalog item.</t>
        </r>
      </text>
    </comment>
    <comment ref="B7" authorId="0">
      <text>
        <r>
          <rPr>
            <color rgb="FF102226"/>
            <sz val="9"/>
            <rFont val="Calibri"/>
          </rPr>
          <t>What this line is.</t>
        </r>
      </text>
    </comment>
    <comment ref="C7" authorId="0">
      <text>
        <r>
          <rPr>
            <color rgb="FF102226"/>
            <sz val="9"/>
            <rFont val="Calibri"/>
          </rPr>
          <t>Enter quantity.</t>
        </r>
      </text>
    </comment>
    <comment ref="D7" authorId="0">
      <text>
        <r>
          <rPr>
            <color rgb="FF102226"/>
            <sz val="9"/>
            <rFont val="Calibri"/>
          </rPr>
          <t>Enter unit rate.</t>
        </r>
      </text>
    </comment>
    <comment ref="A8" authorId="0">
      <text>
        <r>
          <rPr>
            <color rgb="FF102226"/>
            <sz val="9"/>
            <rFont val="Calibri"/>
          </rPr>
          <t>Line name or catalog item.</t>
        </r>
      </text>
    </comment>
    <comment ref="B8" authorId="0">
      <text>
        <r>
          <rPr>
            <color rgb="FF102226"/>
            <sz val="9"/>
            <rFont val="Calibri"/>
          </rPr>
          <t>What this line is.</t>
        </r>
      </text>
    </comment>
    <comment ref="C8" authorId="0">
      <text>
        <r>
          <rPr>
            <color rgb="FF102226"/>
            <sz val="9"/>
            <rFont val="Calibri"/>
          </rPr>
          <t>Enter quantity.</t>
        </r>
      </text>
    </comment>
    <comment ref="D8" authorId="0">
      <text>
        <r>
          <rPr>
            <color rgb="FF102226"/>
            <sz val="9"/>
            <rFont val="Calibri"/>
          </rPr>
          <t>Enter unit rate.</t>
        </r>
      </text>
    </comment>
    <comment ref="A9" authorId="0">
      <text>
        <r>
          <rPr>
            <color rgb="FF102226"/>
            <sz val="9"/>
            <rFont val="Calibri"/>
          </rPr>
          <t>Line name or catalog item.</t>
        </r>
      </text>
    </comment>
    <comment ref="B9" authorId="0">
      <text>
        <r>
          <rPr>
            <color rgb="FF102226"/>
            <sz val="9"/>
            <rFont val="Calibri"/>
          </rPr>
          <t>What this line is.</t>
        </r>
      </text>
    </comment>
    <comment ref="C9" authorId="0">
      <text>
        <r>
          <rPr>
            <color rgb="FF102226"/>
            <sz val="9"/>
            <rFont val="Calibri"/>
          </rPr>
          <t>Enter quantity.</t>
        </r>
      </text>
    </comment>
    <comment ref="D9" authorId="0">
      <text>
        <r>
          <rPr>
            <color rgb="FF102226"/>
            <sz val="9"/>
            <rFont val="Calibri"/>
          </rPr>
          <t>Enter unit rate.</t>
        </r>
      </text>
    </comment>
    <comment ref="A10" authorId="0">
      <text>
        <r>
          <rPr>
            <color rgb="FF102226"/>
            <sz val="9"/>
            <rFont val="Calibri"/>
          </rPr>
          <t>Line name or catalog item.</t>
        </r>
      </text>
    </comment>
    <comment ref="B10" authorId="0">
      <text>
        <r>
          <rPr>
            <color rgb="FF102226"/>
            <sz val="9"/>
            <rFont val="Calibri"/>
          </rPr>
          <t>What this line is.</t>
        </r>
      </text>
    </comment>
    <comment ref="C10" authorId="0">
      <text>
        <r>
          <rPr>
            <color rgb="FF102226"/>
            <sz val="9"/>
            <rFont val="Calibri"/>
          </rPr>
          <t>Enter quantity.</t>
        </r>
      </text>
    </comment>
    <comment ref="D10" authorId="0">
      <text>
        <r>
          <rPr>
            <color rgb="FF102226"/>
            <sz val="9"/>
            <rFont val="Calibri"/>
          </rPr>
          <t>Enter unit rate.</t>
        </r>
      </text>
    </comment>
    <comment ref="A11" authorId="0">
      <text>
        <r>
          <rPr>
            <color rgb="FF102226"/>
            <sz val="9"/>
            <rFont val="Calibri"/>
          </rPr>
          <t>Line name or catalog item.</t>
        </r>
      </text>
    </comment>
    <comment ref="B11" authorId="0">
      <text>
        <r>
          <rPr>
            <color rgb="FF102226"/>
            <sz val="9"/>
            <rFont val="Calibri"/>
          </rPr>
          <t>What this line is.</t>
        </r>
      </text>
    </comment>
    <comment ref="C11" authorId="0">
      <text>
        <r>
          <rPr>
            <color rgb="FF102226"/>
            <sz val="9"/>
            <rFont val="Calibri"/>
          </rPr>
          <t>Enter quantity.</t>
        </r>
      </text>
    </comment>
    <comment ref="D11" authorId="0">
      <text>
        <r>
          <rPr>
            <color rgb="FF102226"/>
            <sz val="9"/>
            <rFont val="Calibri"/>
          </rPr>
          <t>Enter unit rate.</t>
        </r>
      </text>
    </comment>
    <comment ref="A12" authorId="0">
      <text>
        <r>
          <rPr>
            <color rgb="FF102226"/>
            <sz val="9"/>
            <rFont val="Calibri"/>
          </rPr>
          <t>Line name or catalog item.</t>
        </r>
      </text>
    </comment>
    <comment ref="B12" authorId="0">
      <text>
        <r>
          <rPr>
            <color rgb="FF102226"/>
            <sz val="9"/>
            <rFont val="Calibri"/>
          </rPr>
          <t>What this line is.</t>
        </r>
      </text>
    </comment>
    <comment ref="C12" authorId="0">
      <text>
        <r>
          <rPr>
            <color rgb="FF102226"/>
            <sz val="9"/>
            <rFont val="Calibri"/>
          </rPr>
          <t>Enter quantity.</t>
        </r>
      </text>
    </comment>
    <comment ref="D12" authorId="0">
      <text>
        <r>
          <rPr>
            <color rgb="FF102226"/>
            <sz val="9"/>
            <rFont val="Calibri"/>
          </rPr>
          <t>Enter unit rate.</t>
        </r>
      </text>
    </comment>
    <comment ref="A13" authorId="0">
      <text>
        <r>
          <rPr>
            <color rgb="FF102226"/>
            <sz val="9"/>
            <rFont val="Calibri"/>
          </rPr>
          <t>Line name or catalog item.</t>
        </r>
      </text>
    </comment>
    <comment ref="B13" authorId="0">
      <text>
        <r>
          <rPr>
            <color rgb="FF102226"/>
            <sz val="9"/>
            <rFont val="Calibri"/>
          </rPr>
          <t>What this line is.</t>
        </r>
      </text>
    </comment>
    <comment ref="C13" authorId="0">
      <text>
        <r>
          <rPr>
            <color rgb="FF102226"/>
            <sz val="9"/>
            <rFont val="Calibri"/>
          </rPr>
          <t>Enter quantity.</t>
        </r>
      </text>
    </comment>
    <comment ref="D13" authorId="0">
      <text>
        <r>
          <rPr>
            <color rgb="FF102226"/>
            <sz val="9"/>
            <rFont val="Calibri"/>
          </rPr>
          <t>Enter unit rate.</t>
        </r>
      </text>
    </comment>
    <comment ref="A14" authorId="0">
      <text>
        <r>
          <rPr>
            <color rgb="FF102226"/>
            <sz val="9"/>
            <rFont val="Calibri"/>
          </rPr>
          <t>Line name or catalog item.</t>
        </r>
      </text>
    </comment>
    <comment ref="B14" authorId="0">
      <text>
        <r>
          <rPr>
            <color rgb="FF102226"/>
            <sz val="9"/>
            <rFont val="Calibri"/>
          </rPr>
          <t>What this line is.</t>
        </r>
      </text>
    </comment>
    <comment ref="C14" authorId="0">
      <text>
        <r>
          <rPr>
            <color rgb="FF102226"/>
            <sz val="9"/>
            <rFont val="Calibri"/>
          </rPr>
          <t>Enter quantity.</t>
        </r>
      </text>
    </comment>
    <comment ref="D14" authorId="0">
      <text>
        <r>
          <rPr>
            <color rgb="FF102226"/>
            <sz val="9"/>
            <rFont val="Calibri"/>
          </rPr>
          <t>Enter unit rate.</t>
        </r>
      </text>
    </comment>
    <comment ref="A15" authorId="0">
      <text>
        <r>
          <rPr>
            <color rgb="FF102226"/>
            <sz val="9"/>
            <rFont val="Calibri"/>
          </rPr>
          <t>Line name or catalog item.</t>
        </r>
      </text>
    </comment>
    <comment ref="B15" authorId="0">
      <text>
        <r>
          <rPr>
            <color rgb="FF102226"/>
            <sz val="9"/>
            <rFont val="Calibri"/>
          </rPr>
          <t>What this line is.</t>
        </r>
      </text>
    </comment>
    <comment ref="C15" authorId="0">
      <text>
        <r>
          <rPr>
            <color rgb="FF102226"/>
            <sz val="9"/>
            <rFont val="Calibri"/>
          </rPr>
          <t>Enter quantity.</t>
        </r>
      </text>
    </comment>
    <comment ref="D15" authorId="0">
      <text>
        <r>
          <rPr>
            <color rgb="FF102226"/>
            <sz val="9"/>
            <rFont val="Calibri"/>
          </rPr>
          <t>Enter unit rate.</t>
        </r>
      </text>
    </comment>
    <comment ref="A16" authorId="0">
      <text>
        <r>
          <rPr>
            <color rgb="FF102226"/>
            <sz val="9"/>
            <rFont val="Calibri"/>
          </rPr>
          <t>Line name or catalog item.</t>
        </r>
      </text>
    </comment>
    <comment ref="B16" authorId="0">
      <text>
        <r>
          <rPr>
            <color rgb="FF102226"/>
            <sz val="9"/>
            <rFont val="Calibri"/>
          </rPr>
          <t>What this line is.</t>
        </r>
      </text>
    </comment>
    <comment ref="C16" authorId="0">
      <text>
        <r>
          <rPr>
            <color rgb="FF102226"/>
            <sz val="9"/>
            <rFont val="Calibri"/>
          </rPr>
          <t>Enter quantity.</t>
        </r>
      </text>
    </comment>
    <comment ref="D16" authorId="0">
      <text>
        <r>
          <rPr>
            <color rgb="FF102226"/>
            <sz val="9"/>
            <rFont val="Calibri"/>
          </rPr>
          <t>Enter unit rate.</t>
        </r>
      </text>
    </comment>
    <comment ref="A17" authorId="0">
      <text>
        <r>
          <rPr>
            <color rgb="FF102226"/>
            <sz val="9"/>
            <rFont val="Calibri"/>
          </rPr>
          <t>Line name or catalog item.</t>
        </r>
      </text>
    </comment>
    <comment ref="B17" authorId="0">
      <text>
        <r>
          <rPr>
            <color rgb="FF102226"/>
            <sz val="9"/>
            <rFont val="Calibri"/>
          </rPr>
          <t>What this line is.</t>
        </r>
      </text>
    </comment>
    <comment ref="C17" authorId="0">
      <text>
        <r>
          <rPr>
            <color rgb="FF102226"/>
            <sz val="9"/>
            <rFont val="Calibri"/>
          </rPr>
          <t>Enter quantity.</t>
        </r>
      </text>
    </comment>
    <comment ref="D17" authorId="0">
      <text>
        <r>
          <rPr>
            <color rgb="FF102226"/>
            <sz val="9"/>
            <rFont val="Calibri"/>
          </rPr>
          <t>Enter unit rate.</t>
        </r>
      </text>
    </comment>
  </commentList>
</comments>
</file>

<file path=xl/sharedStrings.xml><?xml version="1.0" encoding="utf-8"?>
<sst xmlns="http://schemas.openxmlformats.org/spreadsheetml/2006/main" count="1143" uniqueCount="338">
  <si>
    <t>HIT SQUAD / PROJECT CONTROLS</t>
  </si>
  <si>
    <t>Madison CAT 2 (Pit Stop)  ·  Phillips 66  ·  Wood River — Roxana, IL  ·  East Coast (PCA0001103)</t>
  </si>
  <si>
    <t>Status: Draft  ·  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</si>
  <si>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</si>
  <si>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</si>
  <si>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</si>
  <si>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</si>
  <si>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</si>
  <si>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</si>
  <si>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</si>
  <si>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</si>
  <si>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</si>
  <si>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</si>
  <si>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Travel $</t>
  </si>
  <si>
    <t>Misc $</t>
  </si>
  <si>
    <t>COE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</si>
  <si>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</si>
  <si>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</si>
  <si>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</si>
  <si>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</si>
  <si>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</si>
  <si>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</si>
  <si>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</si>
  <si>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</si>
  <si>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</si>
  <si>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</si>
  <si>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</si>
  <si>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</si>
  <si>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</si>
  <si>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OFF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</si>
  <si>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</si>
  <si>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</si>
  <si>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</si>
  <si>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</si>
  <si>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</si>
  <si>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</si>
  <si>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</si>
  <si>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</si>
  <si>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</si>
  <si>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</si>
  <si>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</si>
  <si>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</si>
  <si>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</si>
  <si>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</si>
  <si>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</si>
  <si>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</si>
  <si>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</si>
  <si>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</si>
  <si>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</si>
  <si>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</si>
  <si>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</si>
  <si>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</si>
  <si>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</si>
  <si>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</si>
  <si>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</si>
  <si>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Superintendent PF 01</t>
  </si>
  <si>
    <t>Auto</t>
  </si>
  <si>
    <t>cr-1787760932966-c9m84|day</t>
  </si>
  <si>
    <t>HC</t>
  </si>
  <si>
    <t>HPS</t>
  </si>
  <si>
    <t>ST</t>
  </si>
  <si>
    <t>OT</t>
  </si>
  <si>
    <t>DT</t>
  </si>
  <si>
    <t>PD</t>
  </si>
  <si>
    <t>COORDINATOR QA-QC 1</t>
  </si>
  <si>
    <t>cr-1787762352222-vw0iw|day</t>
  </si>
  <si>
    <t>COORDINATOR SAFETY 01</t>
  </si>
  <si>
    <t>cr-1787762351054-x15wg|day</t>
  </si>
  <si>
    <t>Pipefitter General Foreman</t>
  </si>
  <si>
    <t>cr-1787763765587-o1zgp|day</t>
  </si>
  <si>
    <t>NIGHTSHIFT</t>
  </si>
  <si>
    <t>cr-1787760932966-c9m84|night</t>
  </si>
  <si>
    <t>cr-1787762352222-vw0iw|night</t>
  </si>
  <si>
    <t>cr-1787762351054-x15wg|night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</si>
  <si>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</si>
  <si>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</si>
  <si>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</si>
  <si>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</si>
  <si>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</si>
  <si>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</si>
  <si>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</si>
  <si>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</si>
  <si>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</si>
  <si>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</si>
  <si>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</si>
  <si>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</si>
  <si>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</si>
  <si>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</si>
  <si>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</si>
  <si>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</si>
  <si>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</si>
  <si>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</si>
  <si>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</si>
  <si>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</si>
  <si>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</si>
  <si>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</si>
  <si>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</si>
  <si>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</si>
  <si>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</si>
  <si>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</si>
  <si>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/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</si>
  <si>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</si>
  <si>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</si>
  <si>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</si>
  <si>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</si>
  <si>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</si>
  <si>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</si>
  <si>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</si>
  <si>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</si>
  <si>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</si>
  <si>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</si>
  <si>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</si>
  <si>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</si>
  <si>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</si>
  <si>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</si>
  <si>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</si>
  <si>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</si>
  <si>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</si>
  <si>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</si>
  <si>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</si>
  <si>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</si>
  <si>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</si>
  <si>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</si>
  <si>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</si>
  <si>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</si>
  <si>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Asst Superintendent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</si>
  <si>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</si>
  <si>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</si>
  <si>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</si>
  <si>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</si>
  <si>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</si>
  <si>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</si>
  <si>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</si>
  <si>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</si>
  <si>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</si>
  <si>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</si>
  <si>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</si>
  <si>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</si>
  <si>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</si>
  <si>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</si>
  <si>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</si>
  <si>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</si>
  <si>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</si>
  <si>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</si>
  <si>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01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</si>
  <si>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</si>
  <si>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</si>
  <si>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</si>
  <si>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</si>
  <si>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</si>
  <si>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</si>
  <si>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</si>
  <si>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</si>
  <si>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</si>
  <si>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</si>
  <si>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</si>
  <si>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</si>
  <si>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</si>
  <si>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</si>
  <si>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</si>
  <si>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</si>
  <si>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</si>
  <si>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</si>
  <si>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01</t>
  </si>
  <si>
    <t>General Superintendent 02</t>
  </si>
  <si>
    <t>General Superintendent BM 01</t>
  </si>
  <si>
    <t>General Superintendent BM 02</t>
  </si>
  <si>
    <t>General Superintendent PF 01</t>
  </si>
  <si>
    <t>General Superintendent PF 02</t>
  </si>
  <si>
    <t>General Superintendent PF 03</t>
  </si>
  <si>
    <t>Lead QA/QC 01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</si>
  <si>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</si>
  <si>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</si>
  <si>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</si>
  <si>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</si>
  <si>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</si>
  <si>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</si>
  <si>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01</t>
  </si>
  <si>
    <t>Lead Safety 02</t>
  </si>
  <si>
    <t>Lead Safety PIPEFITTER 01</t>
  </si>
  <si>
    <t>Lead Site 01</t>
  </si>
  <si>
    <t>Lead Site 02</t>
  </si>
  <si>
    <t>Lead Site Boilermaker 01</t>
  </si>
  <si>
    <t>Lead Site Boilermaker 02</t>
  </si>
  <si>
    <t>Manager Office 01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</si>
  <si>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</si>
  <si>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</si>
  <si>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</si>
  <si>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</si>
  <si>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</si>
  <si>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</si>
  <si>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</si>
  <si>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</si>
  <si>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</si>
  <si>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</si>
  <si>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</si>
  <si>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</si>
  <si>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</si>
  <si>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</si>
  <si>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</si>
  <si>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</si>
  <si>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</si>
  <si>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</si>
  <si>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</si>
  <si>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01</t>
  </si>
  <si>
    <t>Superintendent Boilermaker 02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</si>
  <si>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</si>
  <si>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</si>
  <si>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</si>
  <si>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</si>
  <si>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</si>
  <si>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</si>
  <si>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Boilermaker Foreman</t>
  </si>
  <si>
    <t>Laborer Foreman 03-09 GRP 1</t>
  </si>
  <si>
    <t>Laborer Foreman 10-20 GRP 1</t>
  </si>
  <si>
    <t>Laborer Foreman Abate 03-09 GRP 2</t>
  </si>
  <si>
    <t>Laborer Foreman Abate 10-20 GRP2</t>
  </si>
  <si>
    <t>PIPEFITTER FORMAN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</si>
  <si>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</si>
  <si>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</si>
  <si>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</si>
  <si>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</si>
  <si>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</si>
  <si>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</si>
  <si>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</si>
  <si>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</si>
  <si>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</si>
  <si>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</si>
  <si>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</si>
  <si>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</si>
  <si>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</si>
  <si>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</si>
  <si>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</si>
  <si>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</si>
  <si>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</si>
  <si>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</si>
  <si>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</si>
  <si>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</si>
  <si>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</si>
  <si>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</si>
  <si>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</si>
  <si>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</si>
  <si>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</si>
  <si>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</si>
  <si>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</si>
  <si>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</si>
  <si>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</si>
  <si>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</si>
  <si>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</si>
  <si>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</si>
  <si>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</si>
  <si>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</si>
  <si>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</si>
  <si>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</si>
  <si>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</si>
  <si>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</si>
  <si>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</si>
  <si>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</si>
  <si>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</si>
  <si>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</si>
  <si>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JOURNEYMAN</t>
  </si>
  <si>
    <t>Pipefitter Steward 01</t>
  </si>
  <si>
    <t>TEAMSTERS GRP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</si>
  <si>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</si>
  <si>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</si>
  <si>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</si>
  <si>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</si>
  <si>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</si>
  <si>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</si>
  <si>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</si>
  <si>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</si>
  <si>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</si>
  <si>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</si>
  <si>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</si>
  <si>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</si>
  <si>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</si>
  <si>
    <t>5×8 — all straight time</t>
  </si>
  <si>
    <t>4</t>
  </si>
  <si>
    <t>8</t>
  </si>
  <si>
    <t>5×8 — OT after 8 hours</t>
  </si>
  <si>
    <t>5</t>
  </si>
  <si>
    <t>9</t>
  </si>
  <si>
    <t>weekly</t>
  </si>
  <si>
    <t>ANALYST, COST 01</t>
  </si>
  <si>
    <t>Staff clock</t>
  </si>
  <si>
    <t>4×10 — all 10 ST</t>
  </si>
  <si>
    <t>6</t>
  </si>
  <si>
    <t>10</t>
  </si>
  <si>
    <t>ANALYST, COST 02</t>
  </si>
  <si>
    <t>COMP clock</t>
  </si>
  <si>
    <t>4×10 — OT after 8</t>
  </si>
  <si>
    <t>7</t>
  </si>
  <si>
    <t>12</t>
  </si>
  <si>
    <t>ANALYST, PROJECT CONTROLS 01</t>
  </si>
  <si>
    <t>13</t>
  </si>
  <si>
    <t>ANALYST, PROJECT CONTROLS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</si>
  <si>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</si>
  <si>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</si>
  <si>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</si>
  <si>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</si>
  <si>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</si>
  <si>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</si>
  <si>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</si>
  <si>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</si>
  <si>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</si>
  <si>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</si>
  <si>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QA-QC 01</t>
  </si>
  <si>
    <t>COORDINATOR SAFETY 02</t>
  </si>
  <si>
    <t>COORDINATOR SUBCONTRACT 01</t>
  </si>
  <si>
    <t>COORDINATOR SUBCONTRACT 02</t>
  </si>
  <si>
    <t>Cost Analyst</t>
  </si>
  <si>
    <t>ENGINEER, FIELD 01</t>
  </si>
  <si>
    <t>ENGINEER, FIELD 02</t>
  </si>
  <si>
    <t>ENGINEER, PROJECT 01</t>
  </si>
  <si>
    <t>ENGINEER, PROJECT 02</t>
  </si>
  <si>
    <t>General Superintendent</t>
  </si>
  <si>
    <t>GENERAL SUPERINTENDENT 01</t>
  </si>
  <si>
    <t>GENERAL SUPERINTENDENT 02</t>
  </si>
  <si>
    <t>LEAD QA-QC 01</t>
  </si>
  <si>
    <t>LEAD QA-QC 02</t>
  </si>
  <si>
    <t>LEAD SAFETY 01</t>
  </si>
  <si>
    <t>LEAD SAFETY 02</t>
  </si>
  <si>
    <t>LEAD SITE 01</t>
  </si>
  <si>
    <t>LEAD SITE 02</t>
  </si>
  <si>
    <t>MANAGER OFFICE 01</t>
  </si>
  <si>
    <t>MANAGER OFFICE 02</t>
  </si>
  <si>
    <t>MANAGER, PROJECT 01</t>
  </si>
  <si>
    <t>MANAGER, PROJECT 02</t>
  </si>
  <si>
    <t>PLANNER ESTIMATOR 01</t>
  </si>
  <si>
    <t>PLANNER ESTIMATOR 02</t>
  </si>
  <si>
    <t>PLANNER SCHEDULER 01</t>
  </si>
  <si>
    <t>PLANNER SCHEDULER 02</t>
  </si>
  <si>
    <t>Project Controls</t>
  </si>
  <si>
    <t>Project Manager</t>
  </si>
  <si>
    <t>Superintendent</t>
  </si>
  <si>
    <t>SUPERINTENDENT 01</t>
  </si>
  <si>
    <t>SUPERINTENDENT 02</t>
  </si>
  <si>
    <t>Superintendent General PF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</si>
</sst>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YYYY-MM-D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1" xfId="0" applyFont="1" applyFill="1" applyBorder="1" applyAlignment="1" applyProtection="1">
      <alignment horizontal="left" vertical="center" wrapText="1"/>
    </xf>
    <xf numFmtId="0" fontId="2" fillId="2" borderId="0" xfId="0" applyFont="1" applyFill="1" applyAlignment="1" applyProtection="1">
      <alignment horizontal="left" vertical="center" wrapText="1"/>
    </xf>
    <xf numFmtId="0" fontId="3" fillId="3" borderId="0" xfId="0" applyFont="1" applyFill="1" applyAlignment="1" applyProtection="1">
      <alignment horizontal="left"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" fontId="4" fillId="3" borderId="1" xfId="0" applyNumberFormat="1" applyFont="1" applyFill="1" applyBorder="1" applyAlignment="1" applyProtection="1">
      <alignment horizontal="center" vertical="center"/>
    </xf>
    <xf numFmtId="16" fontId="11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3" fontId="6" fillId="2" borderId="4" xfId="0" applyNumberFormat="1" applyFont="1" applyFill="1" applyBorder="1" applyAlignment="1" applyProtection="1">
      <alignment horizontal="center" vertical="center"/>
    </xf>
    <xf numFmtId="3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8" borderId="10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7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7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8" borderId="15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7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Protection="1"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0" fontId="1" fillId="2" borderId="1" xfId="0" applyFont="1" applyFill="1" applyBorder="1" applyAlignment="1" applyProtection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2" fillId="2" borderId="0" xfId="0" applyFont="1" applyFill="1" applyAlignment="1" applyProtection="1">
      <alignment vertical="center" wrapText="1"/>
    </xf>
    <xf numFmtId="0" fontId="2" fillId="2" borderId="0" xfId="0" applyFont="1" applyFill="1" applyAlignment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0" fontId="6" fillId="2" borderId="3" xfId="0" applyFont="1" applyFill="1" applyBorder="1"/>
    <xf numFmtId="165" fontId="1" fillId="2" borderId="1" xfId="0" applyNumberFormat="1" applyFont="1" applyFill="1" applyBorder="1" applyAlignment="1" applyProtection="1">
      <alignment horizontal="left" vertical="center" wrapText="1"/>
    </xf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Staff!C70</f>
        <v>245898.48</v>
      </c>
      <c r="C7" s="8">
        <f>Staff!OT70</f>
        <v>2048</v>
      </c>
    </row>
    <row r="8" ht="16" customHeight="1" spans="1:3" x14ac:dyDescent="0.25">
      <c r="A8" s="9" t="s">
        <v>7</v>
      </c>
      <c r="B8" s="10">
        <f>Foremen!C22</f>
        <v>121667.84</v>
      </c>
      <c r="C8" s="11">
        <f>Foremen!OT22</f>
        <v>976</v>
      </c>
    </row>
    <row r="9" ht="16" customHeight="1" spans="1:3" x14ac:dyDescent="0.25">
      <c r="A9" s="6" t="s">
        <v>8</v>
      </c>
      <c r="B9" s="7">
        <f>Direct!C22</f>
        <v>806255.52</v>
      </c>
      <c r="C9" s="8">
        <f>Direct!OT22</f>
        <v>6608</v>
      </c>
    </row>
    <row r="10" ht="16" customHeight="1" spans="1:3" x14ac:dyDescent="0.25">
      <c r="A10" s="9" t="s">
        <v>9</v>
      </c>
      <c r="B10" s="10">
        <f>Support!C22</f>
        <v>58500.31999999999</v>
      </c>
      <c r="C10" s="11">
        <f>Support!OT22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SUM(Staff!OS70,Foremen!OS22,Direct!OS22,Support!OS22)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Costs'!E18</f>
        <v>10700</v>
      </c>
      <c r="C15" s="19"/>
    </row>
    <row r="16" ht="16" customHeight="1" spans="1:3" x14ac:dyDescent="0.25">
      <c r="A16" s="9" t="s">
        <v>15</v>
      </c>
      <c r="B16" s="10">
        <f>COE!G19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18</v>
      </c>
      <c r="B6" s="24" t="s">
        <v>19</v>
      </c>
      <c r="C6" s="24" t="s">
        <v>20</v>
      </c>
      <c r="D6" s="24" t="s">
        <v>21</v>
      </c>
      <c r="E6" s="24" t="s">
        <v>22</v>
      </c>
      <c r="F6" s="24" t="s">
        <v>23</v>
      </c>
      <c r="G6" s="24" t="s">
        <v>24</v>
      </c>
    </row>
    <row r="7" ht="16" customHeight="1" spans="1:9" x14ac:dyDescent="0.25">
      <c r="A7" s="12" t="s">
        <v>25</v>
      </c>
      <c r="B7" s="25" t="s">
        <v>19</v>
      </c>
      <c r="C7" s="26">
        <v>46286</v>
      </c>
      <c r="D7" s="26">
        <v>46295</v>
      </c>
      <c r="E7" s="25">
        <v>5</v>
      </c>
      <c r="F7" s="27">
        <v>8</v>
      </c>
      <c r="G7" s="25" t="s">
        <v>26</v>
      </c>
      <c r="I7" s="28" t="s">
        <v>27</v>
      </c>
    </row>
    <row r="8" ht="16" customHeight="1" spans="1:9" x14ac:dyDescent="0.25">
      <c r="A8" s="29" t="s">
        <v>28</v>
      </c>
      <c r="B8" s="30" t="s">
        <v>29</v>
      </c>
      <c r="C8" s="31">
        <v>46287</v>
      </c>
      <c r="D8" s="31">
        <v>46289</v>
      </c>
      <c r="E8" s="30">
        <v>7</v>
      </c>
      <c r="F8" s="32">
        <v>12</v>
      </c>
      <c r="G8" s="30" t="s">
        <v>30</v>
      </c>
      <c r="I8" s="28" t="s">
        <v>31</v>
      </c>
    </row>
    <row r="9" ht="16" customHeight="1" spans="1:9" x14ac:dyDescent="0.25">
      <c r="A9" s="12" t="s">
        <v>32</v>
      </c>
      <c r="B9" s="25" t="s">
        <v>19</v>
      </c>
      <c r="C9" s="26">
        <v>46296</v>
      </c>
      <c r="D9" s="26">
        <v>46309</v>
      </c>
      <c r="E9" s="25">
        <v>7</v>
      </c>
      <c r="F9" s="27">
        <v>12</v>
      </c>
      <c r="G9" s="25" t="s">
        <v>30</v>
      </c>
      <c r="I9" s="28" t="s">
        <v>33</v>
      </c>
    </row>
    <row r="10" ht="16" customHeight="1" spans="1:9" x14ac:dyDescent="0.25">
      <c r="A10" s="29" t="s">
        <v>34</v>
      </c>
      <c r="B10" s="30" t="s">
        <v>29</v>
      </c>
      <c r="C10" s="31">
        <v>46301</v>
      </c>
      <c r="D10" s="31">
        <v>46307</v>
      </c>
      <c r="E10" s="30">
        <v>7</v>
      </c>
      <c r="F10" s="32">
        <v>12</v>
      </c>
      <c r="G10" s="30" t="s">
        <v>30</v>
      </c>
      <c r="I10" s="28" t="s">
        <v>35</v>
      </c>
    </row>
    <row r="11" ht="16" customHeight="1" spans="1:9" x14ac:dyDescent="0.25">
      <c r="A11" s="12" t="s">
        <v>36</v>
      </c>
      <c r="B11" s="25" t="s">
        <v>19</v>
      </c>
      <c r="C11" s="26">
        <v>46310</v>
      </c>
      <c r="D11" s="26">
        <v>46317</v>
      </c>
      <c r="E11" s="25">
        <v>5</v>
      </c>
      <c r="F11" s="27">
        <v>8</v>
      </c>
      <c r="G11" s="25" t="s">
        <v>26</v>
      </c>
      <c r="I11" s="28" t="s">
        <v>37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='_Lists'!$G$1:$G$4</formula1>
    </dataValidation>
    <dataValidation type="list" allowBlank="1" sqref="E7:E11">
      <formula1>='_Lists'!$G$1:$G$4</formula1>
    </dataValidation>
    <dataValidation type="list" allowBlank="1" sqref="F10:F11">
      <formula1>='_Lists'!$H$1:$H$5</formula1>
    </dataValidation>
    <dataValidation type="list" allowBlank="1" sqref="F7:F11">
      <formula1>='_Lists'!$H$1:$H$5</formula1>
    </dataValidation>
    <dataValidation type="list" allowBlank="1" sqref="G10:G11">
      <formula1>='_Lists'!$I$1:$I$2</formula1>
    </dataValidation>
    <dataValidation type="list" allowBlank="1" sqref="G7:G11">
      <formula1>='_Lists'!$I$1:$I$2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70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7" customWidth="1"/>
    <col min="11" max="11" width="7" customWidth="1"/>
    <col min="12" max="12" width="7" customWidth="1"/>
    <col min="13" max="13" width="7" customWidth="1"/>
    <col min="14" max="14" width="7" customWidth="1"/>
    <col min="15" max="15" width="7" customWidth="1"/>
    <col min="16" max="16" width="7" customWidth="1"/>
    <col min="17" max="17" width="7" customWidth="1"/>
    <col min="18" max="18" width="7" customWidth="1"/>
    <col min="19" max="19" width="7" customWidth="1"/>
    <col min="20" max="20" width="7" customWidth="1"/>
    <col min="21" max="21" width="7" customWidth="1"/>
    <col min="22" max="22" width="7" customWidth="1"/>
    <col min="23" max="23" width="7" customWidth="1"/>
    <col min="24" max="24" width="7" customWidth="1"/>
    <col min="25" max="25" width="7" customWidth="1"/>
    <col min="26" max="26" width="7" customWidth="1"/>
    <col min="27" max="27" width="7" customWidth="1"/>
    <col min="28" max="28" width="7" customWidth="1"/>
    <col min="29" max="29" width="7" customWidth="1"/>
    <col min="30" max="30" width="7" customWidth="1"/>
    <col min="31" max="31" width="7" customWidth="1"/>
    <col min="32" max="32" width="7" customWidth="1"/>
    <col min="33" max="33" width="7" customWidth="1"/>
    <col min="34" max="34" width="7" customWidth="1"/>
    <col min="35" max="35" width="7" customWidth="1"/>
    <col min="36" max="36" width="7" customWidth="1"/>
    <col min="37" max="37" width="7" customWidth="1"/>
    <col min="38" max="38" width="7" customWidth="1"/>
    <col min="39" max="39" width="7" customWidth="1"/>
    <col min="40" max="40" width="7" customWidth="1"/>
    <col min="41" max="41" width="7" customWidth="1"/>
    <col min="42" max="16384" width="9" hidden="1" customWidth="1"/>
  </cols>
  <sheetData>
    <row r="1" ht="22" customHeight="1" spans="1:4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</row>
    <row r="2" ht="16" customHeight="1" spans="1:4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ht="16" customHeight="1" spans="1:4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</row>
    <row r="4" ht="14" customHeight="1" spans="1:41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8" t="s">
        <v>25</v>
      </c>
      <c r="K4" s="38"/>
      <c r="L4" s="38"/>
      <c r="M4" s="38"/>
      <c r="N4" s="38"/>
      <c r="O4" s="38"/>
      <c r="P4" s="38"/>
      <c r="Q4" s="38"/>
      <c r="R4" s="38"/>
      <c r="S4" s="38"/>
      <c r="T4" s="39" t="s">
        <v>32</v>
      </c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8" t="s">
        <v>36</v>
      </c>
      <c r="AI4" s="38"/>
      <c r="AJ4" s="38"/>
      <c r="AK4" s="38"/>
      <c r="AL4" s="38"/>
      <c r="AM4" s="38"/>
      <c r="AN4" s="38"/>
      <c r="AO4" s="38"/>
    </row>
    <row r="5" ht="14" customHeight="1" spans="1:41" x14ac:dyDescent="0.25">
      <c r="A5" s="37"/>
      <c r="B5" s="37"/>
      <c r="C5" s="37"/>
      <c r="D5" s="37"/>
      <c r="E5" s="37"/>
      <c r="F5" s="37"/>
      <c r="G5" s="37"/>
      <c r="H5" s="37"/>
      <c r="I5" s="37"/>
      <c r="J5" s="40" t="s">
        <v>38</v>
      </c>
      <c r="K5" s="40" t="s">
        <v>39</v>
      </c>
      <c r="L5" s="40" t="s">
        <v>40</v>
      </c>
      <c r="M5" s="40" t="s">
        <v>41</v>
      </c>
      <c r="N5" s="40" t="s">
        <v>42</v>
      </c>
      <c r="O5" s="40" t="s">
        <v>43</v>
      </c>
      <c r="P5" s="40" t="s">
        <v>44</v>
      </c>
      <c r="Q5" s="40" t="s">
        <v>38</v>
      </c>
      <c r="R5" s="40" t="s">
        <v>39</v>
      </c>
      <c r="S5" s="40" t="s">
        <v>40</v>
      </c>
      <c r="T5" s="40" t="s">
        <v>41</v>
      </c>
      <c r="U5" s="40" t="s">
        <v>42</v>
      </c>
      <c r="V5" s="40" t="s">
        <v>43</v>
      </c>
      <c r="W5" s="40" t="s">
        <v>44</v>
      </c>
      <c r="X5" s="40" t="s">
        <v>38</v>
      </c>
      <c r="Y5" s="40" t="s">
        <v>39</v>
      </c>
      <c r="Z5" s="40" t="s">
        <v>40</v>
      </c>
      <c r="AA5" s="40" t="s">
        <v>41</v>
      </c>
      <c r="AB5" s="40" t="s">
        <v>42</v>
      </c>
      <c r="AC5" s="40" t="s">
        <v>43</v>
      </c>
      <c r="AD5" s="40" t="s">
        <v>44</v>
      </c>
      <c r="AE5" s="40" t="s">
        <v>38</v>
      </c>
      <c r="AF5" s="40" t="s">
        <v>39</v>
      </c>
      <c r="AG5" s="40" t="s">
        <v>40</v>
      </c>
      <c r="AH5" s="40" t="s">
        <v>41</v>
      </c>
      <c r="AI5" s="40" t="s">
        <v>42</v>
      </c>
      <c r="AJ5" s="40" t="s">
        <v>43</v>
      </c>
      <c r="AK5" s="40" t="s">
        <v>44</v>
      </c>
      <c r="AL5" s="40" t="s">
        <v>38</v>
      </c>
      <c r="AM5" s="40" t="s">
        <v>39</v>
      </c>
      <c r="AN5" s="40" t="s">
        <v>40</v>
      </c>
      <c r="AO5" s="40" t="s">
        <v>41</v>
      </c>
    </row>
    <row r="6" ht="22" customHeight="1" spans="1:41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41">
        <v>46286</v>
      </c>
      <c r="K6" s="41">
        <f>J6+1</f>
        <v>46287</v>
      </c>
      <c r="L6" s="41">
        <f>K6+1</f>
        <v>46288</v>
      </c>
      <c r="M6" s="41">
        <f>L6+1</f>
        <v>46289</v>
      </c>
      <c r="N6" s="41">
        <f>M6+1</f>
        <v>46290</v>
      </c>
      <c r="O6" s="42">
        <f>N6+1</f>
        <v>46291</v>
      </c>
      <c r="P6" s="42">
        <f>O6+1</f>
        <v>46292</v>
      </c>
      <c r="Q6" s="41">
        <f>P6+1</f>
        <v>46293</v>
      </c>
      <c r="R6" s="41">
        <f>Q6+1</f>
        <v>46294</v>
      </c>
      <c r="S6" s="41">
        <f>R6+1</f>
        <v>46295</v>
      </c>
      <c r="T6" s="41">
        <f>S6+1</f>
        <v>46296</v>
      </c>
      <c r="U6" s="41">
        <f>T6+1</f>
        <v>46297</v>
      </c>
      <c r="V6" s="42">
        <f>U6+1</f>
        <v>46298</v>
      </c>
      <c r="W6" s="42">
        <f>V6+1</f>
        <v>46299</v>
      </c>
      <c r="X6" s="41">
        <f>W6+1</f>
        <v>46300</v>
      </c>
      <c r="Y6" s="41">
        <f>X6+1</f>
        <v>46301</v>
      </c>
      <c r="Z6" s="41">
        <f>Y6+1</f>
        <v>46302</v>
      </c>
      <c r="AA6" s="41">
        <f>Z6+1</f>
        <v>46303</v>
      </c>
      <c r="AB6" s="41">
        <f>AA6+1</f>
        <v>46304</v>
      </c>
      <c r="AC6" s="42">
        <f>AB6+1</f>
        <v>46305</v>
      </c>
      <c r="AD6" s="42">
        <f>AC6+1</f>
        <v>46306</v>
      </c>
      <c r="AE6" s="41">
        <f>AD6+1</f>
        <v>46307</v>
      </c>
      <c r="AF6" s="41">
        <f>AE6+1</f>
        <v>46308</v>
      </c>
      <c r="AG6" s="41">
        <f>AF6+1</f>
        <v>46309</v>
      </c>
      <c r="AH6" s="41">
        <f>AG6+1</f>
        <v>46310</v>
      </c>
      <c r="AI6" s="41">
        <f>AH6+1</f>
        <v>46311</v>
      </c>
      <c r="AJ6" s="42">
        <f>AI6+1</f>
        <v>46312</v>
      </c>
      <c r="AK6" s="42">
        <f>AJ6+1</f>
        <v>46313</v>
      </c>
      <c r="AL6" s="41">
        <f>AK6+1</f>
        <v>46314</v>
      </c>
      <c r="AM6" s="41">
        <f>AL6+1</f>
        <v>46315</v>
      </c>
      <c r="AN6" s="41">
        <f>AM6+1</f>
        <v>46316</v>
      </c>
      <c r="AO6" s="41">
        <f>AN6+1</f>
        <v>46317</v>
      </c>
    </row>
    <row r="7" ht="16" customHeight="1" spans="1:410" x14ac:dyDescent="0.25">
      <c r="A7" s="43" t="s">
        <v>54</v>
      </c>
      <c r="B7" s="44" t="s">
        <v>55</v>
      </c>
      <c r="C7" s="45">
        <f>C10+C11+C12</f>
        <v>35365.28</v>
      </c>
      <c r="D7" s="46"/>
      <c r="E7" s="47" t="s">
        <v>56</v>
      </c>
      <c r="F7" s="48">
        <f>SUM(J10:AO10)</f>
        <v>212</v>
      </c>
      <c r="G7" s="48">
        <f>SUM(J11:AO11)</f>
        <v>44</v>
      </c>
      <c r="H7" s="48">
        <f>SUM(J12:AO12)</f>
        <v>24</v>
      </c>
      <c r="I7" s="49">
        <f>SUM(J13:AO13)</f>
        <v>22</v>
      </c>
      <c r="J7" s="50"/>
      <c r="K7" s="51"/>
      <c r="L7" s="51"/>
      <c r="M7" s="51"/>
      <c r="N7" s="51"/>
      <c r="O7" s="52"/>
      <c r="P7" s="52"/>
      <c r="Q7" s="51"/>
      <c r="R7" s="51"/>
      <c r="S7" s="51"/>
      <c r="T7" s="51"/>
      <c r="U7" s="51"/>
      <c r="V7" s="52"/>
      <c r="W7" s="52"/>
      <c r="X7" s="51"/>
      <c r="Y7" s="51"/>
      <c r="Z7" s="51"/>
      <c r="AA7" s="51"/>
      <c r="AB7" s="51"/>
      <c r="AC7" s="52"/>
      <c r="AD7" s="52"/>
      <c r="AE7" s="51"/>
      <c r="AF7" s="51"/>
      <c r="AG7" s="51"/>
      <c r="AH7" s="51"/>
      <c r="AI7" s="51"/>
      <c r="AJ7" s="52"/>
      <c r="AK7" s="52"/>
      <c r="AL7" s="51"/>
      <c r="AM7" s="51"/>
      <c r="AN7" s="51"/>
      <c r="AO7" s="53"/>
      <c r="OS7" s="28">
        <f>OR(E7="Staff clock",AND(OR(E7="Auto",E7=""),ISNUMBER(MATCH(B7,'_Lists'!$K$1:$K$137,0))))</f>
        <v>1</v>
      </c>
      <c r="OT7" s="28" t="s">
        <v>57</v>
      </c>
    </row>
    <row r="8" ht="16" customHeight="1" spans="1:410" x14ac:dyDescent="0.25">
      <c r="A8" s="43"/>
      <c r="B8" s="44"/>
      <c r="C8" s="45"/>
      <c r="D8" s="46"/>
      <c r="E8" s="54" t="s">
        <v>58</v>
      </c>
      <c r="F8" s="48"/>
      <c r="G8" s="48"/>
      <c r="H8" s="48"/>
      <c r="I8" s="49"/>
      <c r="J8" s="55">
        <v>1</v>
      </c>
      <c r="K8" s="56">
        <v>1</v>
      </c>
      <c r="L8" s="56">
        <v>1</v>
      </c>
      <c r="M8" s="56">
        <v>1</v>
      </c>
      <c r="N8" s="56">
        <v>1</v>
      </c>
      <c r="O8" s="57">
        <v>0</v>
      </c>
      <c r="P8" s="57">
        <v>0</v>
      </c>
      <c r="Q8" s="56">
        <v>1</v>
      </c>
      <c r="R8" s="56">
        <v>1</v>
      </c>
      <c r="S8" s="56">
        <v>1</v>
      </c>
      <c r="T8" s="56">
        <v>1</v>
      </c>
      <c r="U8" s="56">
        <v>1</v>
      </c>
      <c r="V8" s="57">
        <v>1</v>
      </c>
      <c r="W8" s="57">
        <v>1</v>
      </c>
      <c r="X8" s="56">
        <v>1</v>
      </c>
      <c r="Y8" s="56">
        <v>1</v>
      </c>
      <c r="Z8" s="56">
        <v>1</v>
      </c>
      <c r="AA8" s="56">
        <v>1</v>
      </c>
      <c r="AB8" s="56">
        <v>1</v>
      </c>
      <c r="AC8" s="57">
        <v>1</v>
      </c>
      <c r="AD8" s="57">
        <v>1</v>
      </c>
      <c r="AE8" s="56">
        <v>1</v>
      </c>
      <c r="AF8" s="56">
        <v>1</v>
      </c>
      <c r="AG8" s="56">
        <v>1</v>
      </c>
      <c r="AH8" s="56">
        <v>1</v>
      </c>
      <c r="AI8" s="56">
        <v>1</v>
      </c>
      <c r="AJ8" s="57">
        <v>0</v>
      </c>
      <c r="AK8" s="57">
        <v>0</v>
      </c>
      <c r="AL8" s="56">
        <v>1</v>
      </c>
      <c r="AM8" s="56">
        <v>1</v>
      </c>
      <c r="AN8" s="56">
        <v>1</v>
      </c>
      <c r="AO8" s="58">
        <v>1</v>
      </c>
      <c r="OT8" s="59" t="s">
        <v>57</v>
      </c>
    </row>
    <row r="9" ht="16" customHeight="1" spans="1:410" x14ac:dyDescent="0.25">
      <c r="A9" s="43"/>
      <c r="B9" s="44"/>
      <c r="C9" s="45"/>
      <c r="D9" s="46"/>
      <c r="E9" s="54" t="s">
        <v>59</v>
      </c>
      <c r="F9" s="48"/>
      <c r="G9" s="48"/>
      <c r="H9" s="48"/>
      <c r="I9" s="49"/>
      <c r="J9" s="55">
        <v>8</v>
      </c>
      <c r="K9" s="56">
        <v>8</v>
      </c>
      <c r="L9" s="56">
        <v>8</v>
      </c>
      <c r="M9" s="56">
        <v>8</v>
      </c>
      <c r="N9" s="56">
        <v>8</v>
      </c>
      <c r="O9" s="57">
        <v>0</v>
      </c>
      <c r="P9" s="57">
        <v>0</v>
      </c>
      <c r="Q9" s="56">
        <v>8</v>
      </c>
      <c r="R9" s="56">
        <v>8</v>
      </c>
      <c r="S9" s="56">
        <v>8</v>
      </c>
      <c r="T9" s="56">
        <v>12</v>
      </c>
      <c r="U9" s="56">
        <v>12</v>
      </c>
      <c r="V9" s="57">
        <v>12</v>
      </c>
      <c r="W9" s="57">
        <v>12</v>
      </c>
      <c r="X9" s="56">
        <v>12</v>
      </c>
      <c r="Y9" s="56">
        <v>12</v>
      </c>
      <c r="Z9" s="56">
        <v>12</v>
      </c>
      <c r="AA9" s="56">
        <v>12</v>
      </c>
      <c r="AB9" s="56">
        <v>12</v>
      </c>
      <c r="AC9" s="57">
        <v>12</v>
      </c>
      <c r="AD9" s="57">
        <v>12</v>
      </c>
      <c r="AE9" s="56">
        <v>12</v>
      </c>
      <c r="AF9" s="56">
        <v>12</v>
      </c>
      <c r="AG9" s="56">
        <v>12</v>
      </c>
      <c r="AH9" s="56">
        <v>8</v>
      </c>
      <c r="AI9" s="56">
        <v>8</v>
      </c>
      <c r="AJ9" s="57">
        <v>0</v>
      </c>
      <c r="AK9" s="57">
        <v>0</v>
      </c>
      <c r="AL9" s="56">
        <v>8</v>
      </c>
      <c r="AM9" s="56">
        <v>8</v>
      </c>
      <c r="AN9" s="56">
        <v>8</v>
      </c>
      <c r="AO9" s="58">
        <v>8</v>
      </c>
      <c r="OT9" s="59" t="s">
        <v>57</v>
      </c>
    </row>
    <row r="10" ht="16" customHeight="1" spans="1:410" x14ac:dyDescent="0.25">
      <c r="A10" s="43"/>
      <c r="B10" s="44"/>
      <c r="C10" s="60">
        <f>F7*N(D10)</f>
        <v>23674.04</v>
      </c>
      <c r="D10" s="60">
        <f>IF(TRIM(B7)="","No rate",IFERROR(INDEX('Rate Tables'!C$7:C$161,MATCH(B7,'Rate Tables'!A$7:A$161,0)),"No rate"))</f>
        <v>111.67</v>
      </c>
      <c r="E10" s="54" t="s">
        <v>60</v>
      </c>
      <c r="F10" s="48"/>
      <c r="G10" s="48"/>
      <c r="H10" s="48"/>
      <c r="I10" s="49"/>
      <c r="J10" s="61">
        <f>IF(AND(J8=1,J9=8,E7="Auto",B7="Superintendent PF 01",AND('Job setup'!$B$7="ON",'Job setup'!$C$7&lt;=J$6,'Job setup'!$D$7&gt;=J$6,'Job setup'!$G$7="YES")),8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8</v>
      </c>
      <c r="K10" s="62">
        <f>IF(AND(K8=1,K9=8,E7="Auto",B7="Superintendent PF 01",AND('Job setup'!$B$7="ON",'Job setup'!$C$7&lt;=K$6,'Job setup'!$D$7&gt;=K$6,'Job setup'!$G$7="YES")),8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8</v>
      </c>
      <c r="L10" s="62">
        <f>IF(AND(L8=1,L9=8,E7="Auto",B7="Superintendent PF 01",AND('Job setup'!$B$7="ON",'Job setup'!$C$7&lt;=L$6,'Job setup'!$D$7&gt;=L$6,'Job setup'!$G$7="YES")),8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8</v>
      </c>
      <c r="M10" s="62">
        <f>IF(AND(M8=1,M9=8,E7="Auto",B7="Superintendent PF 01",AND('Job setup'!$B$7="ON",'Job setup'!$C$7&lt;=M$6,'Job setup'!$D$7&gt;=M$6,'Job setup'!$G$7="YES")),8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8</v>
      </c>
      <c r="N10" s="62">
        <f>IF(AND(N8=1,N9=8,E7="Auto",B7="Superintendent PF 01",AND('Job setup'!$B$7="ON",'Job setup'!$C$7&lt;=N$6,'Job setup'!$D$7&gt;=N$6,'Job setup'!$G$7="YES")),8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8</v>
      </c>
      <c r="O10" s="63">
        <f>IF(AND(O8=0,O9=0,E7="Auto",B7="Superintendent PF 01",AND('Job setup'!$B$7="ON",'Job setup'!$C$7&lt;=O$6,'Job setup'!$D$7&gt;=O$6,'Job setup'!$G$7="YES")),0,IF(OS7,MIN(IF(OR(O8&lt;=0,NOT('_JobDays'!F2)),0,IF(WEEKDAY(O$6,1)=1,0,MIN(IF('_JobDays'!F3,8,10),O9)*O8)),MAX(0,40*MAX(1,O8)-(J10+K10+L10+M10+N10))),MIN(IF(OR(O8&lt;=0,NOT('_JobDays'!F2)),0,IF(WEEKDAY(O$6,1)=1,0,IF(WEEKDAY(O$6,1)=7,0,IF('_JobDays'!F4,MIN(8,O9)*O8,O8*O9)))),MAX(0,40*MAX(1,O8)-(J10+K10+L10+M10+N10)))))</f>
        <v>0</v>
      </c>
      <c r="P10" s="63">
        <f>IF(AND(P8=0,P9=0,E7="Auto",B7="Superintendent PF 01",AND('Job setup'!$B$7="ON",'Job setup'!$C$7&lt;=P$6,'Job setup'!$D$7&gt;=P$6,'Job setup'!$G$7="YES")),0,IF(OS7,MIN(IF(OR(P8&lt;=0,NOT('_JobDays'!G2)),0,IF(WEEKDAY(P$6,1)=1,0,MIN(IF('_JobDays'!G3,8,10),P9)*P8)),MAX(0,40*MAX(1,P8)-(J10+K10+L10+M10+N10+O10))),MIN(IF(OR(P8&lt;=0,NOT('_JobDays'!G2)),0,IF(WEEKDAY(P$6,1)=1,0,IF(WEEKDAY(P$6,1)=7,0,IF('_JobDays'!G4,MIN(8,P9)*P8,P8*P9)))),MAX(0,40*MAX(1,P8)-(J10+K10+L10+M10+N10+O10)))))</f>
        <v>0</v>
      </c>
      <c r="Q10" s="62">
        <f>IF(AND(Q8=1,Q9=8,E7="Auto",B7="Superintendent PF 01",AND('Job setup'!$B$7="ON",'Job setup'!$C$7&lt;=Q$6,'Job setup'!$D$7&gt;=Q$6,'Job setup'!$G$7="YES")),8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8</v>
      </c>
      <c r="R10" s="62">
        <f>IF(AND(R8=1,R9=8,E7="Auto",B7="Superintendent PF 01",AND('Job setup'!$B$7="ON",'Job setup'!$C$7&lt;=R$6,'Job setup'!$D$7&gt;=R$6,'Job setup'!$G$7="YES")),8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8</v>
      </c>
      <c r="S10" s="62">
        <f>IF(AND(S8=1,S9=8,E7="Auto",B7="Superintendent PF 01",AND('Job setup'!$B$7="ON",'Job setup'!$C$7&lt;=S$6,'Job setup'!$D$7&gt;=S$6,'Job setup'!$G$7="YES")),8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8</v>
      </c>
      <c r="T10" s="62">
        <f>IF(AND(T8=1,T9=12,E7="Auto",B7="Superintendent PF 01",AND('Job setup'!$B$9="ON",'Job setup'!$C$9&lt;=T$6,'Job setup'!$D$9&gt;=T$6,'Job setup'!$G$9="NO")),10,IF(OS7,MIN(IF(OR(T8&lt;=0,NOT('_JobDays'!K2)),0,IF(WEEKDAY(T$6,1)=1,0,MIN(IF('_JobDays'!K3,8,10),T9)*T8)),MAX(0,40*MAX(1,T8)-(Q10+R10+S10))),MIN(IF(OR(T8&lt;=0,NOT('_JobDays'!K2)),0,IF(WEEKDAY(T$6,1)=1,0,IF(WEEKDAY(T$6,1)=7,0,IF('_JobDays'!K4,MIN(8,T9)*T8,T8*T9)))),MAX(0,40*MAX(1,T8)-(Q10+R10+S10)))))</f>
        <v>10</v>
      </c>
      <c r="U10" s="62">
        <f>IF(AND(U8=1,U9=12,E7="Auto",B7="Superintendent PF 01",AND('Job setup'!$B$9="ON",'Job setup'!$C$9&lt;=U$6,'Job setup'!$D$9&gt;=U$6,'Job setup'!$G$9="NO")),10,IF(OS7,MIN(IF(OR(U8&lt;=0,NOT('_JobDays'!L2)),0,IF(WEEKDAY(U$6,1)=1,0,MIN(IF('_JobDays'!L3,8,10),U9)*U8)),MAX(0,40*MAX(1,U8)-(Q10+R10+S10+T10))),MIN(IF(OR(U8&lt;=0,NOT('_JobDays'!L2)),0,IF(WEEKDAY(U$6,1)=1,0,IF(WEEKDAY(U$6,1)=7,0,IF('_JobDays'!L4,MIN(8,U9)*U8,U8*U9)))),MAX(0,40*MAX(1,U8)-(Q10+R10+S10+T10)))))</f>
        <v>10</v>
      </c>
      <c r="V10" s="63">
        <f>IF(AND(V8=1,V9=12,E7="Auto",B7="Superintendent PF 01",AND('Job setup'!$B$9="ON",'Job setup'!$C$9&lt;=V$6,'Job setup'!$D$9&gt;=V$6,'Job setup'!$G$9="NO")),10,IF(OS7,MIN(IF(OR(V8&lt;=0,NOT('_JobDays'!M2)),0,IF(WEEKDAY(V$6,1)=1,0,MIN(IF('_JobDays'!M3,8,10),V9)*V8)),MAX(0,40*MAX(1,V8)-(Q10+R10+S10+T10+U10))),MIN(IF(OR(V8&lt;=0,NOT('_JobDays'!M2)),0,IF(WEEKDAY(V$6,1)=1,0,IF(WEEKDAY(V$6,1)=7,0,IF('_JobDays'!M4,MIN(8,V9)*V8,V8*V9)))),MAX(0,40*MAX(1,V8)-(Q10+R10+S10+T10+U10)))))</f>
        <v>10</v>
      </c>
      <c r="W10" s="63">
        <f>IF(AND(W8=1,W9=12,E7="Auto",B7="Superintendent PF 01",AND('Job setup'!$B$9="ON",'Job setup'!$C$9&lt;=W$6,'Job setup'!$D$9&gt;=W$6,'Job setup'!$G$9="NO")),0,IF(OS7,MIN(IF(OR(W8&lt;=0,NOT('_JobDays'!N2)),0,IF(WEEKDAY(W$6,1)=1,0,MIN(IF('_JobDays'!N3,8,10),W9)*W8)),MAX(0,40*MAX(1,W8)-(Q10+R10+S10+T10+U10+V10))),MIN(IF(OR(W8&lt;=0,NOT('_JobDays'!N2)),0,IF(WEEKDAY(W$6,1)=1,0,IF(WEEKDAY(W$6,1)=7,0,IF('_JobDays'!N4,MIN(8,W9)*W8,W8*W9)))),MAX(0,40*MAX(1,W8)-(Q10+R10+S10+T10+U10+V10)))))</f>
        <v>0</v>
      </c>
      <c r="X10" s="62">
        <f>IF(AND(X8=1,X9=12,E7="Auto",B7="Superintendent PF 01",AND('Job setup'!$B$9="ON",'Job setup'!$C$9&lt;=X$6,'Job setup'!$D$9&gt;=X$6,'Job setup'!$G$9="NO")),10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10</v>
      </c>
      <c r="Y10" s="62">
        <f>IF(AND(Y8=1,Y9=12,E7="Auto",B7="Superintendent PF 01",AND('Job setup'!$B$9="ON",'Job setup'!$C$9&lt;=Y$6,'Job setup'!$D$9&gt;=Y$6,'Job setup'!$G$9="NO")),10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10</v>
      </c>
      <c r="Z10" s="62">
        <f>IF(AND(Z8=1,Z9=12,E7="Auto",B7="Superintendent PF 01",AND('Job setup'!$B$9="ON",'Job setup'!$C$9&lt;=Z$6,'Job setup'!$D$9&gt;=Z$6,'Job setup'!$G$9="NO")),10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10</v>
      </c>
      <c r="AA10" s="62">
        <f>IF(AND(AA8=1,AA9=12,E7="Auto",B7="Superintendent PF 01",AND('Job setup'!$B$9="ON",'Job setup'!$C$9&lt;=AA$6,'Job setup'!$D$9&gt;=AA$6,'Job setup'!$G$9="NO")),10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10</v>
      </c>
      <c r="AB10" s="62">
        <f>IF(AND(AB8=1,AB9=12,E7="Auto",B7="Superintendent PF 01",AND('Job setup'!$B$9="ON",'Job setup'!$C$9&lt;=AB$6,'Job setup'!$D$9&gt;=AB$6,'Job setup'!$G$9="NO")),0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0</v>
      </c>
      <c r="AC10" s="63">
        <f>IF(AND(AC8=1,AC9=12,E7="Auto",B7="Superintendent PF 01",AND('Job setup'!$B$9="ON",'Job setup'!$C$9&lt;=AC$6,'Job setup'!$D$9&gt;=AC$6,'Job setup'!$G$9="NO")),0,IF(OS7,MIN(IF(OR(AC8&lt;=0,NOT('_JobDays'!T2)),0,IF(WEEKDAY(AC$6,1)=1,0,MIN(IF('_JobDays'!T3,8,10),AC9)*AC8)),MAX(0,40*MAX(1,AC8)-(X10+Y10+Z10+AA10+AB10))),MIN(IF(OR(AC8&lt;=0,NOT('_JobDays'!T2)),0,IF(WEEKDAY(AC$6,1)=1,0,IF(WEEKDAY(AC$6,1)=7,0,IF('_JobDays'!T4,MIN(8,AC9)*AC8,AC8*AC9)))),MAX(0,40*MAX(1,AC8)-(X10+Y10+Z10+AA10+AB10)))))</f>
        <v>0</v>
      </c>
      <c r="AD10" s="63">
        <f>IF(AND(AD8=1,AD9=12,E7="Auto",B7="Superintendent PF 01",AND('Job setup'!$B$9="ON",'Job setup'!$C$9&lt;=AD$6,'Job setup'!$D$9&gt;=AD$6,'Job setup'!$G$9="NO")),0,IF(OS7,MIN(IF(OR(AD8&lt;=0,NOT('_JobDays'!U2)),0,IF(WEEKDAY(AD$6,1)=1,0,MIN(IF('_JobDays'!U3,8,10),AD9)*AD8)),MAX(0,40*MAX(1,AD8)-(X10+Y10+Z10+AA10+AB10+AC10))),MIN(IF(OR(AD8&lt;=0,NOT('_JobDays'!U2)),0,IF(WEEKDAY(AD$6,1)=1,0,IF(WEEKDAY(AD$6,1)=7,0,IF('_JobDays'!U4,MIN(8,AD9)*AD8,AD8*AD9)))),MAX(0,40*MAX(1,AD8)-(X10+Y10+Z10+AA10+AB10+AC10)))))</f>
        <v>0</v>
      </c>
      <c r="AE10" s="62">
        <f>IF(AND(AE8=1,AE9=12,E7="Auto",B7="Superintendent PF 01",AND('Job setup'!$B$9="ON",'Job setup'!$C$9&lt;=AE$6,'Job setup'!$D$9&gt;=AE$6,'Job setup'!$G$9="NO")),10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10</v>
      </c>
      <c r="AF10" s="62">
        <f>IF(AND(AF8=1,AF9=12,E7="Auto",B7="Superintendent PF 01",AND('Job setup'!$B$9="ON",'Job setup'!$C$9&lt;=AF$6,'Job setup'!$D$9&gt;=AF$6,'Job setup'!$G$9="NO")),10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10</v>
      </c>
      <c r="AG10" s="62">
        <f>IF(AND(AG8=1,AG9=12,E7="Auto",B7="Superintendent PF 01",AND('Job setup'!$B$9="ON",'Job setup'!$C$9&lt;=AG$6,'Job setup'!$D$9&gt;=AG$6,'Job setup'!$G$9="NO")),10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10</v>
      </c>
      <c r="AH10" s="62">
        <f>IF(AND(AH8=1,AH9=8,E7="Auto",B7="Superintendent PF 01",AND('Job setup'!$B$11="ON",'Job setup'!$C$11&lt;=AH$6,'Job setup'!$D$11&gt;=AH$6,'Job setup'!$G$11="YES")),8,IF(OS7,MIN(IF(OR(AH8&lt;=0,NOT('_JobDays'!Y2)),0,IF(WEEKDAY(AH$6,1)=1,0,MIN(IF('_JobDays'!Y3,8,10),AH9)*AH8)),MAX(0,40*MAX(1,AH8)-(AE10+AF10+AG10))),MIN(IF(OR(AH8&lt;=0,NOT('_JobDays'!Y2)),0,IF(WEEKDAY(AH$6,1)=1,0,IF(WEEKDAY(AH$6,1)=7,0,IF('_JobDays'!Y4,MIN(8,AH9)*AH8,AH8*AH9)))),MAX(0,40*MAX(1,AH8)-(AE10+AF10+AG10)))))</f>
        <v>8</v>
      </c>
      <c r="AI10" s="62">
        <f>IF(AND(AI8=1,AI9=8,E7="Auto",B7="Superintendent PF 01",AND('Job setup'!$B$11="ON",'Job setup'!$C$11&lt;=AI$6,'Job setup'!$D$11&gt;=AI$6,'Job setup'!$G$11="YES")),8,IF(OS7,MIN(IF(OR(AI8&lt;=0,NOT('_JobDays'!Z2)),0,IF(WEEKDAY(AI$6,1)=1,0,MIN(IF('_JobDays'!Z3,8,10),AI9)*AI8)),MAX(0,40*MAX(1,AI8)-(AE10+AF10+AG10+AH10))),MIN(IF(OR(AI8&lt;=0,NOT('_JobDays'!Z2)),0,IF(WEEKDAY(AI$6,1)=1,0,IF(WEEKDAY(AI$6,1)=7,0,IF('_JobDays'!Z4,MIN(8,AI9)*AI8,AI8*AI9)))),MAX(0,40*MAX(1,AI8)-(AE10+AF10+AG10+AH10)))))</f>
        <v>8</v>
      </c>
      <c r="AJ10" s="63">
        <f>IF(AND(AJ8=0,AJ9=0,E7="Auto",B7="Superintendent PF 01",AND('Job setup'!$B$11="ON",'Job setup'!$C$11&lt;=AJ$6,'Job setup'!$D$11&gt;=AJ$6,'Job setup'!$G$11="YES")),0,IF(OS7,MIN(IF(OR(AJ8&lt;=0,NOT('_JobDays'!AA2)),0,IF(WEEKDAY(AJ$6,1)=1,0,MIN(IF('_JobDays'!AA3,8,10),AJ9)*AJ8)),MAX(0,40*MAX(1,AJ8)-(AE10+AF10+AG10+AH10+AI10))),MIN(IF(OR(AJ8&lt;=0,NOT('_JobDays'!AA2)),0,IF(WEEKDAY(AJ$6,1)=1,0,IF(WEEKDAY(AJ$6,1)=7,0,IF('_JobDays'!AA4,MIN(8,AJ9)*AJ8,AJ8*AJ9)))),MAX(0,40*MAX(1,AJ8)-(AE10+AF10+AG10+AH10+AI10)))))</f>
        <v>0</v>
      </c>
      <c r="AK10" s="63">
        <f>IF(AND(AK8=0,AK9=0,E7="Auto",B7="Superintendent PF 01",AND('Job setup'!$B$11="ON",'Job setup'!$C$11&lt;=AK$6,'Job setup'!$D$11&gt;=AK$6,'Job setup'!$G$11="YES")),0,IF(OS7,MIN(IF(OR(AK8&lt;=0,NOT('_JobDays'!AB2)),0,IF(WEEKDAY(AK$6,1)=1,0,MIN(IF('_JobDays'!AB3,8,10),AK9)*AK8)),MAX(0,40*MAX(1,AK8)-(AE10+AF10+AG10+AH10+AI10+AJ10))),MIN(IF(OR(AK8&lt;=0,NOT('_JobDays'!AB2)),0,IF(WEEKDAY(AK$6,1)=1,0,IF(WEEKDAY(AK$6,1)=7,0,IF('_JobDays'!AB4,MIN(8,AK9)*AK8,AK8*AK9)))),MAX(0,40*MAX(1,AK8)-(AE10+AF10+AG10+AH10+AI10+AJ10)))))</f>
        <v>0</v>
      </c>
      <c r="AL10" s="62">
        <f>IF(AND(AL8=1,AL9=8,E7="Auto",B7="Superintendent PF 01",AND('Job setup'!$B$11="ON",'Job setup'!$C$11&lt;=AL$6,'Job setup'!$D$11&gt;=AL$6,'Job setup'!$G$11="YES")),8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8</v>
      </c>
      <c r="AM10" s="62">
        <f>IF(AND(AM8=1,AM9=8,E7="Auto",B7="Superintendent PF 01",AND('Job setup'!$B$11="ON",'Job setup'!$C$11&lt;=AM$6,'Job setup'!$D$11&gt;=AM$6,'Job setup'!$G$11="YES")),8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8</v>
      </c>
      <c r="AN10" s="62">
        <f>IF(AND(AN8=1,AN9=8,E7="Auto",B7="Superintendent PF 01",AND('Job setup'!$B$11="ON",'Job setup'!$C$11&lt;=AN$6,'Job setup'!$D$11&gt;=AN$6,'Job setup'!$G$11="YES")),8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8</v>
      </c>
      <c r="AO10" s="64">
        <f>IF(AND(AO8=1,AO9=8,E7="Auto",B7="Superintendent PF 01",AND('Job setup'!$B$11="ON",'Job setup'!$C$11&lt;=AO$6,'Job setup'!$D$11&gt;=AO$6,'Job setup'!$G$11="YES")),8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8</v>
      </c>
      <c r="OT10" s="28" t="s">
        <v>57</v>
      </c>
    </row>
    <row r="11" ht="16" customHeight="1" spans="1:410" x14ac:dyDescent="0.25">
      <c r="A11" s="43"/>
      <c r="B11" s="44"/>
      <c r="C11" s="65">
        <f>G7*N(D11)</f>
        <v>6873.240000000001</v>
      </c>
      <c r="D11" s="65">
        <f>IF(TRIM(B7)="","No rate",IFERROR(INDEX('Rate Tables'!D$7:D$161,MATCH(B7,'Rate Tables'!A$7:A$161,0)),"No rate"))</f>
        <v>156.21</v>
      </c>
      <c r="E11" s="54" t="s">
        <v>61</v>
      </c>
      <c r="F11" s="48"/>
      <c r="G11" s="48"/>
      <c r="H11" s="48"/>
      <c r="I11" s="49"/>
      <c r="J11" s="61">
        <f>IF(AND(J8=1,J9=8,E7="Auto",B7="Superintendent PF 01",AND('Job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2">
        <f>IF(AND(K8=1,K9=8,E7="Auto",B7="Superintendent PF 01",AND('Job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2">
        <f>IF(AND(L8=1,L9=8,E7="Auto",B7="Superintendent PF 01",AND('Job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2">
        <f>IF(AND(M8=1,M9=8,E7="Auto",B7="Superintendent PF 01",AND('Job setup'!$B$7="ON",'Job setup'!$C$7&lt;=M$6,'Job setup'!$D$7&gt;=M$6,'Job setup'!$G$7="YES")),0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0</v>
      </c>
      <c r="N11" s="62">
        <f>IF(AND(N8=1,N9=8,E7="Auto",B7="Superintendent PF 01",AND('Job setup'!$B$7="ON",'Job setup'!$C$7&lt;=N$6,'Job setup'!$D$7&gt;=N$6,'Job setup'!$G$7="YES")),0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0</v>
      </c>
      <c r="O11" s="63">
        <f>IF(AND(O8=0,O9=0,E7="Auto",B7="Superintendent PF 01",AND('Job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J10+K10+L10+M10+N10)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J10+K10+L10+M10+N10))))))</f>
        <v>0</v>
      </c>
      <c r="P11" s="63">
        <f>IF(AND(P8=0,P9=0,E7="Auto",B7="Superintendent PF 01",AND('Job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J10+K10+L10+M10+N10+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J10+K10+L10+M10+N10+O10))))))</f>
        <v>0</v>
      </c>
      <c r="Q11" s="62">
        <f>IF(AND(Q8=1,Q9=8,E7="Auto",B7="Superintendent PF 01",AND('Job setup'!$B$7="ON",'Job setup'!$C$7&lt;=Q$6,'Job setup'!$D$7&gt;=Q$6,'Job setup'!$G$7="YES")),0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0</v>
      </c>
      <c r="R11" s="62">
        <f>IF(AND(R8=1,R9=8,E7="Auto",B7="Superintendent PF 01",AND('Job setup'!$B$7="ON",'Job setup'!$C$7&lt;=R$6,'Job setup'!$D$7&gt;=R$6,'Job setup'!$G$7="YES")),0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0</v>
      </c>
      <c r="S11" s="62">
        <f>IF(AND(S8=1,S9=8,E7="Auto",B7="Superintendent PF 01",AND('Job setup'!$B$7="ON",'Job setup'!$C$7&lt;=S$6,'Job setup'!$D$7&gt;=S$6,'Job setup'!$G$7="YES")),0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0</v>
      </c>
      <c r="T11" s="62">
        <f>IF(AND(T8=1,T9=12,E7="Auto",B7="Superintendent PF 01",AND('Job setup'!$B$9="ON",'Job setup'!$C$9&lt;=T$6,'Job setup'!$D$9&gt;=T$6,'Job setup'!$G$9="NO")),2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Q10+R10+S10)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Q10+R10+S10))))))</f>
        <v>2</v>
      </c>
      <c r="U11" s="62">
        <f>IF(AND(U8=1,U9=12,E7="Auto",B7="Superintendent PF 01",AND('Job setup'!$B$9="ON",'Job setup'!$C$9&lt;=U$6,'Job setup'!$D$9&gt;=U$6,'Job setup'!$G$9="NO")),2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Q10+R10+S10+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Q10+R10+S10+T10))))))</f>
        <v>2</v>
      </c>
      <c r="V11" s="63">
        <f>IF(AND(V8=1,V9=12,E7="Auto",B7="Superintendent PF 01",AND('Job setup'!$B$9="ON",'Job setup'!$C$9&lt;=V$6,'Job setup'!$D$9&gt;=V$6,'Job setup'!$G$9="NO")),2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Q10+R10+S10+T10+U10)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Q10+R10+S10+T10+U10))))))</f>
        <v>2</v>
      </c>
      <c r="W11" s="63">
        <f>IF(AND(W8=1,W9=12,E7="Auto",B7="Superintendent PF 01",AND('Job setup'!$B$9="ON",'Job setup'!$C$9&lt;=W$6,'Job setup'!$D$9&gt;=W$6,'Job setup'!$G$9="NO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Q10+R10+S10+T10+U10+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Q10+R10+S10+T10+U10+V10))))))</f>
        <v>0</v>
      </c>
      <c r="X11" s="62">
        <f>IF(AND(X8=1,X9=12,E7="Auto",B7="Superintendent PF 01",AND('Job setup'!$B$9="ON",'Job setup'!$C$9&lt;=X$6,'Job setup'!$D$9&gt;=X$6,'Job setup'!$G$9="NO")),2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2</v>
      </c>
      <c r="Y11" s="62">
        <f>IF(AND(Y8=1,Y9=12,E7="Auto",B7="Superintendent PF 01",AND('Job setup'!$B$9="ON",'Job setup'!$C$9&lt;=Y$6,'Job setup'!$D$9&gt;=Y$6,'Job setup'!$G$9="NO")),2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2</v>
      </c>
      <c r="Z11" s="62">
        <f>IF(AND(Z8=1,Z9=12,E7="Auto",B7="Superintendent PF 01",AND('Job setup'!$B$9="ON",'Job setup'!$C$9&lt;=Z$6,'Job setup'!$D$9&gt;=Z$6,'Job setup'!$G$9="NO")),2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2</v>
      </c>
      <c r="AA11" s="62">
        <f>IF(AND(AA8=1,AA9=12,E7="Auto",B7="Superintendent PF 01",AND('Job setup'!$B$9="ON",'Job setup'!$C$9&lt;=AA$6,'Job setup'!$D$9&gt;=AA$6,'Job setup'!$G$9="NO")),2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2</v>
      </c>
      <c r="AB11" s="62">
        <f>IF(AND(AB8=1,AB9=12,E7="Auto",B7="Superintendent PF 01",AND('Job setup'!$B$9="ON",'Job setup'!$C$9&lt;=AB$6,'Job setup'!$D$9&gt;=AB$6,'Job setup'!$G$9="NO")),12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12</v>
      </c>
      <c r="AC11" s="63">
        <f>IF(AND(AC8=1,AC9=12,E7="Auto",B7="Superintendent PF 01",AND('Job setup'!$B$9="ON",'Job setup'!$C$9&lt;=AC$6,'Job setup'!$D$9&gt;=AC$6,'Job setup'!$G$9="NO")),12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X10+Y10+Z10+AA10+AB10)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X10+Y10+Z10+AA10+AB10))))))</f>
        <v>12</v>
      </c>
      <c r="AD11" s="63">
        <f>IF(AND(AD8=1,AD9=12,E7="Auto",B7="Superintendent PF 01",AND('Job setup'!$B$9="ON",'Job setup'!$C$9&lt;=AD$6,'Job setup'!$D$9&gt;=AD$6,'Job setup'!$G$9="NO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X10+Y10+Z10+AA10+AB10+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X10+Y10+Z10+AA10+AB10+AC10))))))</f>
        <v>0</v>
      </c>
      <c r="AE11" s="62">
        <f>IF(AND(AE8=1,AE9=12,E7="Auto",B7="Superintendent PF 01",AND('Job setup'!$B$9="ON",'Job setup'!$C$9&lt;=AE$6,'Job setup'!$D$9&gt;=AE$6,'Job setup'!$G$9="NO")),2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2</v>
      </c>
      <c r="AF11" s="62">
        <f>IF(AND(AF8=1,AF9=12,E7="Auto",B7="Superintendent PF 01",AND('Job setup'!$B$9="ON",'Job setup'!$C$9&lt;=AF$6,'Job setup'!$D$9&gt;=AF$6,'Job setup'!$G$9="NO")),2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2</v>
      </c>
      <c r="AG11" s="62">
        <f>IF(AND(AG8=1,AG9=12,E7="Auto",B7="Superintendent PF 01",AND('Job setup'!$B$9="ON",'Job setup'!$C$9&lt;=AG$6,'Job setup'!$D$9&gt;=AG$6,'Job setup'!$G$9="NO")),2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2</v>
      </c>
      <c r="AH11" s="62">
        <f>IF(AND(AH8=1,AH9=8,E7="Auto",B7="Superintendent PF 01",AND('Job setup'!$B$11="ON",'Job setup'!$C$11&lt;=AH$6,'Job setup'!$D$11&gt;=AH$6,'Job setup'!$G$11="YES")),0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AE10+AF10+AG10)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AE10+AF10+AG10))))))</f>
        <v>0</v>
      </c>
      <c r="AI11" s="62">
        <f>IF(AND(AI8=1,AI9=8,E7="Auto",B7="Superintendent PF 01",AND('Job setup'!$B$11="ON",'Job setup'!$C$11&lt;=AI$6,'Job setup'!$D$11&gt;=AI$6,'Job setup'!$G$11="YES")),0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E10+AF10+AG10+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E10+AF10+AG10+AH10))))))</f>
        <v>0</v>
      </c>
      <c r="AJ11" s="63">
        <f>IF(AND(AJ8=0,AJ9=0,E7="Auto",B7="Superintendent PF 01",AND('Job setup'!$B$11="ON",'Job setup'!$C$11&lt;=AJ$6,'Job setup'!$D$11&gt;=AJ$6,'Job setup'!$G$11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AE10+AF10+AG10+AH10+AI10)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AE10+AF10+AG10+AH10+AI10))))))</f>
        <v>0</v>
      </c>
      <c r="AK11" s="63">
        <f>IF(AND(AK8=0,AK9=0,E7="Auto",B7="Superintendent PF 01",AND('Job setup'!$B$11="ON",'Job setup'!$C$11&lt;=AK$6,'Job setup'!$D$11&gt;=AK$6,'Job setup'!$G$11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E10+AF10+AG10+AH10+AI10+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E10+AF10+AG10+AH10+AI10+AJ10))))))</f>
        <v>0</v>
      </c>
      <c r="AL11" s="62">
        <f>IF(AND(AL8=1,AL9=8,E7="Auto",B7="Superintendent PF 01",AND('Job setup'!$B$11="ON",'Job setup'!$C$11&lt;=AL$6,'Job setup'!$D$11&gt;=AL$6,'Job setup'!$G$11="YES")),0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0</v>
      </c>
      <c r="AM11" s="62">
        <f>IF(AND(AM8=1,AM9=8,E7="Auto",B7="Superintendent PF 01",AND('Job setup'!$B$11="ON",'Job setup'!$C$11&lt;=AM$6,'Job setup'!$D$11&gt;=AM$6,'Job setup'!$G$11="YES")),0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0</v>
      </c>
      <c r="AN11" s="62">
        <f>IF(AND(AN8=1,AN9=8,E7="Auto",B7="Superintendent PF 01",AND('Job setup'!$B$11="ON",'Job setup'!$C$11&lt;=AN$6,'Job setup'!$D$11&gt;=AN$6,'Job setup'!$G$11="YES")),0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0</v>
      </c>
      <c r="AO11" s="64">
        <f>IF(AND(AO8=1,AO9=8,E7="Auto",B7="Superintendent PF 01",AND('Job setup'!$B$11="ON",'Job setup'!$C$11&lt;=AO$6,'Job setup'!$D$11&gt;=AO$6,'Job setup'!$G$11="YES")),0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0</v>
      </c>
      <c r="OT11" s="28" t="s">
        <v>57</v>
      </c>
    </row>
    <row r="12" ht="16" customHeight="1" spans="1:410" x14ac:dyDescent="0.25">
      <c r="A12" s="43"/>
      <c r="B12" s="44"/>
      <c r="C12" s="60">
        <f>H7*N(D12)</f>
        <v>4818</v>
      </c>
      <c r="D12" s="60">
        <f>IF(TRIM(B7)="","No rate",IFERROR(INDEX('Rate Tables'!E$7:E$161,MATCH(B7,'Rate Tables'!A$7:A$161,0)),"No rate"))</f>
        <v>200.75</v>
      </c>
      <c r="E12" s="54" t="s">
        <v>62</v>
      </c>
      <c r="F12" s="48"/>
      <c r="G12" s="48"/>
      <c r="H12" s="48"/>
      <c r="I12" s="49"/>
      <c r="J12" s="61">
        <f>IF(AND(J8=1,J9=8,E7="Auto",B7="Superintendent PF 01",AND('Job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2">
        <f>IF(AND(K8=1,K9=8,E7="Auto",B7="Superintendent PF 01",AND('Job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2">
        <f>IF(AND(L8=1,L9=8,E7="Auto",B7="Superintendent PF 01",AND('Job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2">
        <f>IF(AND(M8=1,M9=8,E7="Auto",B7="Superintendent PF 01",AND('Job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2">
        <f>IF(AND(N8=1,N9=8,E7="Auto",B7="Superintendent PF 01",AND('Job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3">
        <f>IF(AND(O8=0,O9=0,E7="Auto",B7="Superintendent PF 01",AND('Job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3">
        <f>IF(AND(P8=0,P9=0,E7="Auto",B7="Superintendent PF 01",AND('Job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2">
        <f>IF(AND(Q8=1,Q9=8,E7="Auto",B7="Superintendent PF 01",AND('Job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2">
        <f>IF(AND(R8=1,R9=8,E7="Auto",B7="Superintendent PF 01",AND('Job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2">
        <f>IF(AND(S8=1,S9=8,E7="Auto",B7="Superintendent PF 01",AND('Job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2">
        <f>IF(AND(T8=1,T9=12,E7="Auto",B7="Superintendent PF 01",AND('Job setup'!$B$9="ON",'Job setup'!$C$9&lt;=T$6,'Job setup'!$D$9&gt;=T$6,'Job setup'!$G$9="NO")),0,IF(OS7,IF(OR(T8&lt;=0,NOT('_JobDays'!K2)),0,IF(WEEKDAY(T$6,1)=1,T8*T9,0)),IF(OR(T8&lt;=0,NOT('_JobDays'!K2)),0,IF(WEEKDAY(T$6,1)=1,T8*T9,0))))</f>
        <v>0</v>
      </c>
      <c r="U12" s="62">
        <f>IF(AND(U8=1,U9=12,E7="Auto",B7="Superintendent PF 01",AND('Job setup'!$B$9="ON",'Job setup'!$C$9&lt;=U$6,'Job setup'!$D$9&gt;=U$6,'Job setup'!$G$9="NO")),0,IF(OS7,IF(OR(U8&lt;=0,NOT('_JobDays'!L2)),0,IF(WEEKDAY(U$6,1)=1,U8*U9,0)),IF(OR(U8&lt;=0,NOT('_JobDays'!L2)),0,IF(WEEKDAY(U$6,1)=1,U8*U9,0))))</f>
        <v>0</v>
      </c>
      <c r="V12" s="63">
        <f>IF(AND(V8=1,V9=12,E7="Auto",B7="Superintendent PF 01",AND('Job setup'!$B$9="ON",'Job setup'!$C$9&lt;=V$6,'Job setup'!$D$9&gt;=V$6,'Job setup'!$G$9="NO")),0,IF(OS7,IF(OR(V8&lt;=0,NOT('_JobDays'!M2)),0,IF(WEEKDAY(V$6,1)=1,V8*V9,0)),IF(OR(V8&lt;=0,NOT('_JobDays'!M2)),0,IF(WEEKDAY(V$6,1)=1,V8*V9,0))))</f>
        <v>0</v>
      </c>
      <c r="W12" s="63">
        <f>IF(AND(W8=1,W9=12,E7="Auto",B7="Superintendent PF 01",AND('Job setup'!$B$9="ON",'Job setup'!$C$9&lt;=W$6,'Job setup'!$D$9&gt;=W$6,'Job setup'!$G$9="NO")),12,IF(OS7,IF(OR(W8&lt;=0,NOT('_JobDays'!N2)),0,IF(WEEKDAY(W$6,1)=1,W8*W9,0)),IF(OR(W8&lt;=0,NOT('_JobDays'!N2)),0,IF(WEEKDAY(W$6,1)=1,W8*W9,0))))</f>
        <v>12</v>
      </c>
      <c r="X12" s="62">
        <f>IF(AND(X8=1,X9=12,E7="Auto",B7="Superintendent PF 01",AND('Job setup'!$B$9="ON",'Job setup'!$C$9&lt;=X$6,'Job setup'!$D$9&gt;=X$6,'Job setup'!$G$9="NO")),0,IF(OS7,IF(OR(X8&lt;=0,NOT('_JobDays'!O2)),0,IF(WEEKDAY(X$6,1)=1,X8*X9,0)),IF(OR(X8&lt;=0,NOT('_JobDays'!O2)),0,IF(WEEKDAY(X$6,1)=1,X8*X9,0))))</f>
        <v>0</v>
      </c>
      <c r="Y12" s="62">
        <f>IF(AND(Y8=1,Y9=12,E7="Auto",B7="Superintendent PF 01",AND('Job setup'!$B$9="ON",'Job setup'!$C$9&lt;=Y$6,'Job setup'!$D$9&gt;=Y$6,'Job setup'!$G$9="NO")),0,IF(OS7,IF(OR(Y8&lt;=0,NOT('_JobDays'!P2)),0,IF(WEEKDAY(Y$6,1)=1,Y8*Y9,0)),IF(OR(Y8&lt;=0,NOT('_JobDays'!P2)),0,IF(WEEKDAY(Y$6,1)=1,Y8*Y9,0))))</f>
        <v>0</v>
      </c>
      <c r="Z12" s="62">
        <f>IF(AND(Z8=1,Z9=12,E7="Auto",B7="Superintendent PF 01",AND('Job setup'!$B$9="ON",'Job setup'!$C$9&lt;=Z$6,'Job setup'!$D$9&gt;=Z$6,'Job setup'!$G$9="NO")),0,IF(OS7,IF(OR(Z8&lt;=0,NOT('_JobDays'!Q2)),0,IF(WEEKDAY(Z$6,1)=1,Z8*Z9,0)),IF(OR(Z8&lt;=0,NOT('_JobDays'!Q2)),0,IF(WEEKDAY(Z$6,1)=1,Z8*Z9,0))))</f>
        <v>0</v>
      </c>
      <c r="AA12" s="62">
        <f>IF(AND(AA8=1,AA9=12,E7="Auto",B7="Superintendent PF 01",AND('Job setup'!$B$9="ON",'Job setup'!$C$9&lt;=AA$6,'Job setup'!$D$9&gt;=AA$6,'Job setup'!$G$9="NO")),0,IF(OS7,IF(OR(AA8&lt;=0,NOT('_JobDays'!R2)),0,IF(WEEKDAY(AA$6,1)=1,AA8*AA9,0)),IF(OR(AA8&lt;=0,NOT('_JobDays'!R2)),0,IF(WEEKDAY(AA$6,1)=1,AA8*AA9,0))))</f>
        <v>0</v>
      </c>
      <c r="AB12" s="62">
        <f>IF(AND(AB8=1,AB9=12,E7="Auto",B7="Superintendent PF 01",AND('Job setup'!$B$9="ON",'Job setup'!$C$9&lt;=AB$6,'Job setup'!$D$9&gt;=AB$6,'Job setup'!$G$9="NO")),0,IF(OS7,IF(OR(AB8&lt;=0,NOT('_JobDays'!S2)),0,IF(WEEKDAY(AB$6,1)=1,AB8*AB9,0)),IF(OR(AB8&lt;=0,NOT('_JobDays'!S2)),0,IF(WEEKDAY(AB$6,1)=1,AB8*AB9,0))))</f>
        <v>0</v>
      </c>
      <c r="AC12" s="63">
        <f>IF(AND(AC8=1,AC9=12,E7="Auto",B7="Superintendent PF 01",AND('Job setup'!$B$9="ON",'Job setup'!$C$9&lt;=AC$6,'Job setup'!$D$9&gt;=AC$6,'Job setup'!$G$9="NO")),0,IF(OS7,IF(OR(AC8&lt;=0,NOT('_JobDays'!T2)),0,IF(WEEKDAY(AC$6,1)=1,AC8*AC9,0)),IF(OR(AC8&lt;=0,NOT('_JobDays'!T2)),0,IF(WEEKDAY(AC$6,1)=1,AC8*AC9,0))))</f>
        <v>0</v>
      </c>
      <c r="AD12" s="63">
        <f>IF(AND(AD8=1,AD9=12,E7="Auto",B7="Superintendent PF 01",AND('Job setup'!$B$9="ON",'Job setup'!$C$9&lt;=AD$6,'Job setup'!$D$9&gt;=AD$6,'Job setup'!$G$9="NO")),12,IF(OS7,IF(OR(AD8&lt;=0,NOT('_JobDays'!U2)),0,IF(WEEKDAY(AD$6,1)=1,AD8*AD9,0)),IF(OR(AD8&lt;=0,NOT('_JobDays'!U2)),0,IF(WEEKDAY(AD$6,1)=1,AD8*AD9,0))))</f>
        <v>12</v>
      </c>
      <c r="AE12" s="62">
        <f>IF(AND(AE8=1,AE9=12,E7="Auto",B7="Superintendent PF 01",AND('Job setup'!$B$9="ON",'Job setup'!$C$9&lt;=AE$6,'Job setup'!$D$9&gt;=AE$6,'Job setup'!$G$9="NO")),0,IF(OS7,IF(OR(AE8&lt;=0,NOT('_JobDays'!V2)),0,IF(WEEKDAY(AE$6,1)=1,AE8*AE9,0)),IF(OR(AE8&lt;=0,NOT('_JobDays'!V2)),0,IF(WEEKDAY(AE$6,1)=1,AE8*AE9,0))))</f>
        <v>0</v>
      </c>
      <c r="AF12" s="62">
        <f>IF(AND(AF8=1,AF9=12,E7="Auto",B7="Superintendent PF 01",AND('Job setup'!$B$9="ON",'Job setup'!$C$9&lt;=AF$6,'Job setup'!$D$9&gt;=AF$6,'Job setup'!$G$9="NO")),0,IF(OS7,IF(OR(AF8&lt;=0,NOT('_JobDays'!W2)),0,IF(WEEKDAY(AF$6,1)=1,AF8*AF9,0)),IF(OR(AF8&lt;=0,NOT('_JobDays'!W2)),0,IF(WEEKDAY(AF$6,1)=1,AF8*AF9,0))))</f>
        <v>0</v>
      </c>
      <c r="AG12" s="62">
        <f>IF(AND(AG8=1,AG9=12,E7="Auto",B7="Superintendent PF 01",AND('Job setup'!$B$9="ON",'Job setup'!$C$9&lt;=AG$6,'Job setup'!$D$9&gt;=AG$6,'Job setup'!$G$9="NO")),0,IF(OS7,IF(OR(AG8&lt;=0,NOT('_JobDays'!X2)),0,IF(WEEKDAY(AG$6,1)=1,AG8*AG9,0)),IF(OR(AG8&lt;=0,NOT('_JobDays'!X2)),0,IF(WEEKDAY(AG$6,1)=1,AG8*AG9,0))))</f>
        <v>0</v>
      </c>
      <c r="AH12" s="62">
        <f>IF(AND(AH8=1,AH9=8,E7="Auto",B7="Superintendent PF 01",AND('Job setup'!$B$11="ON",'Job setup'!$C$11&lt;=AH$6,'Job setup'!$D$11&gt;=AH$6,'Job setup'!$G$11="YES")),0,IF(OS7,IF(OR(AH8&lt;=0,NOT('_JobDays'!Y2)),0,IF(WEEKDAY(AH$6,1)=1,AH8*AH9,0)),IF(OR(AH8&lt;=0,NOT('_JobDays'!Y2)),0,IF(WEEKDAY(AH$6,1)=1,AH8*AH9,0))))</f>
        <v>0</v>
      </c>
      <c r="AI12" s="62">
        <f>IF(AND(AI8=1,AI9=8,E7="Auto",B7="Superintendent PF 01",AND('Job setup'!$B$11="ON",'Job setup'!$C$11&lt;=AI$6,'Job setup'!$D$11&gt;=AI$6,'Job setup'!$G$11="YES")),0,IF(OS7,IF(OR(AI8&lt;=0,NOT('_JobDays'!Z2)),0,IF(WEEKDAY(AI$6,1)=1,AI8*AI9,0)),IF(OR(AI8&lt;=0,NOT('_JobDays'!Z2)),0,IF(WEEKDAY(AI$6,1)=1,AI8*AI9,0))))</f>
        <v>0</v>
      </c>
      <c r="AJ12" s="63">
        <f>IF(AND(AJ8=0,AJ9=0,E7="Auto",B7="Superintendent PF 01",AND('Job setup'!$B$11="ON",'Job setup'!$C$11&lt;=AJ$6,'Job setup'!$D$11&gt;=AJ$6,'Job setup'!$G$11="YES")),0,IF(OS7,IF(OR(AJ8&lt;=0,NOT('_JobDays'!AA2)),0,IF(WEEKDAY(AJ$6,1)=1,AJ8*AJ9,0)),IF(OR(AJ8&lt;=0,NOT('_JobDays'!AA2)),0,IF(WEEKDAY(AJ$6,1)=1,AJ8*AJ9,0))))</f>
        <v>0</v>
      </c>
      <c r="AK12" s="63">
        <f>IF(AND(AK8=0,AK9=0,E7="Auto",B7="Superintendent PF 01",AND('Job setup'!$B$11="ON",'Job setup'!$C$11&lt;=AK$6,'Job setup'!$D$11&gt;=AK$6,'Job setup'!$G$11="YES")),0,IF(OS7,IF(OR(AK8&lt;=0,NOT('_JobDays'!AB2)),0,IF(WEEKDAY(AK$6,1)=1,AK8*AK9,0)),IF(OR(AK8&lt;=0,NOT('_JobDays'!AB2)),0,IF(WEEKDAY(AK$6,1)=1,AK8*AK9,0))))</f>
        <v>0</v>
      </c>
      <c r="AL12" s="62">
        <f>IF(AND(AL8=1,AL9=8,E7="Auto",B7="Superintendent PF 01",AND('Job setup'!$B$11="ON",'Job setup'!$C$11&lt;=AL$6,'Job setup'!$D$11&gt;=AL$6,'Job setup'!$G$11="YES")),0,IF(OS7,IF(OR(AL8&lt;=0,NOT('_JobDays'!AC2)),0,IF(WEEKDAY(AL$6,1)=1,AL8*AL9,0)),IF(OR(AL8&lt;=0,NOT('_JobDays'!AC2)),0,IF(WEEKDAY(AL$6,1)=1,AL8*AL9,0))))</f>
        <v>0</v>
      </c>
      <c r="AM12" s="62">
        <f>IF(AND(AM8=1,AM9=8,E7="Auto",B7="Superintendent PF 01",AND('Job setup'!$B$11="ON",'Job setup'!$C$11&lt;=AM$6,'Job setup'!$D$11&gt;=AM$6,'Job setup'!$G$11="YES")),0,IF(OS7,IF(OR(AM8&lt;=0,NOT('_JobDays'!AD2)),0,IF(WEEKDAY(AM$6,1)=1,AM8*AM9,0)),IF(OR(AM8&lt;=0,NOT('_JobDays'!AD2)),0,IF(WEEKDAY(AM$6,1)=1,AM8*AM9,0))))</f>
        <v>0</v>
      </c>
      <c r="AN12" s="62">
        <f>IF(AND(AN8=1,AN9=8,E7="Auto",B7="Superintendent PF 01",AND('Job setup'!$B$11="ON",'Job setup'!$C$11&lt;=AN$6,'Job setup'!$D$11&gt;=AN$6,'Job setup'!$G$11="YES")),0,IF(OS7,IF(OR(AN8&lt;=0,NOT('_JobDays'!AE2)),0,IF(WEEKDAY(AN$6,1)=1,AN8*AN9,0)),IF(OR(AN8&lt;=0,NOT('_JobDays'!AE2)),0,IF(WEEKDAY(AN$6,1)=1,AN8*AN9,0))))</f>
        <v>0</v>
      </c>
      <c r="AO12" s="64">
        <f>IF(AND(AO8=1,AO9=8,E7="Auto",B7="Superintendent PF 01",AND('Job setup'!$B$11="ON",'Job setup'!$C$11&lt;=AO$6,'Job setup'!$D$11&gt;=AO$6,'Job setup'!$G$11="YES")),0,IF(OS7,IF(OR(AO8&lt;=0,NOT('_JobDays'!AF2)),0,IF(WEEKDAY(AO$6,1)=1,AO8*AO9,0)),IF(OR(AO8&lt;=0,NOT('_JobDays'!AF2)),0,IF(WEEKDAY(AO$6,1)=1,AO8*AO9,0))))</f>
        <v>0</v>
      </c>
      <c r="OT12" s="28" t="s">
        <v>57</v>
      </c>
    </row>
    <row r="13" ht="16" customHeight="1" spans="1:410" x14ac:dyDescent="0.25">
      <c r="A13" s="43"/>
      <c r="B13" s="44"/>
      <c r="C13" s="66">
        <f>I7*D13</f>
        <v>3080</v>
      </c>
      <c r="D13" s="66">
        <v>140</v>
      </c>
      <c r="E13" s="67" t="s">
        <v>63</v>
      </c>
      <c r="F13" s="48"/>
      <c r="G13" s="48"/>
      <c r="H13" s="48"/>
      <c r="I13" s="49"/>
      <c r="J13" s="68">
        <v>1</v>
      </c>
      <c r="K13" s="69">
        <v>1</v>
      </c>
      <c r="L13" s="69">
        <v>1</v>
      </c>
      <c r="M13" s="69">
        <v>1</v>
      </c>
      <c r="N13" s="69">
        <v>1</v>
      </c>
      <c r="O13" s="70">
        <v>0</v>
      </c>
      <c r="P13" s="70">
        <v>0</v>
      </c>
      <c r="Q13" s="69">
        <v>1</v>
      </c>
      <c r="R13" s="69">
        <v>1</v>
      </c>
      <c r="S13" s="69">
        <v>1</v>
      </c>
      <c r="T13" s="69">
        <v>1</v>
      </c>
      <c r="U13" s="69">
        <v>1</v>
      </c>
      <c r="V13" s="70">
        <v>1</v>
      </c>
      <c r="W13" s="70">
        <v>1</v>
      </c>
      <c r="X13" s="69">
        <v>1</v>
      </c>
      <c r="Y13" s="69">
        <v>1</v>
      </c>
      <c r="Z13" s="69">
        <v>1</v>
      </c>
      <c r="AA13" s="69">
        <v>1</v>
      </c>
      <c r="AB13" s="69">
        <v>1</v>
      </c>
      <c r="AC13" s="70">
        <v>1</v>
      </c>
      <c r="AD13" s="70">
        <v>1</v>
      </c>
      <c r="AE13" s="69">
        <v>1</v>
      </c>
      <c r="AF13" s="69">
        <v>1</v>
      </c>
      <c r="AG13" s="69">
        <v>1</v>
      </c>
      <c r="AH13" s="69">
        <v>0</v>
      </c>
      <c r="AI13" s="69">
        <v>0</v>
      </c>
      <c r="AJ13" s="70">
        <v>0</v>
      </c>
      <c r="AK13" s="70">
        <v>0</v>
      </c>
      <c r="AL13" s="69">
        <v>0</v>
      </c>
      <c r="AM13" s="69">
        <v>0</v>
      </c>
      <c r="AN13" s="69">
        <v>0</v>
      </c>
      <c r="AO13" s="71">
        <v>0</v>
      </c>
      <c r="OT13" s="59" t="s">
        <v>57</v>
      </c>
    </row>
    <row r="14" ht="8" customHeight="1" spans="1: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</row>
    <row r="15" ht="16" customHeight="1" spans="1:410" x14ac:dyDescent="0.25">
      <c r="A15" s="43" t="s">
        <v>54</v>
      </c>
      <c r="B15" s="44" t="s">
        <v>64</v>
      </c>
      <c r="C15" s="45">
        <f>C18+C19+C20</f>
        <v>33109.96000000001</v>
      </c>
      <c r="D15" s="46"/>
      <c r="E15" s="47" t="s">
        <v>56</v>
      </c>
      <c r="F15" s="48">
        <f>SUM(J18:AO18)</f>
        <v>212</v>
      </c>
      <c r="G15" s="48">
        <f>SUM(J19:AO19)</f>
        <v>44</v>
      </c>
      <c r="H15" s="48">
        <f>SUM(J20:AO20)</f>
        <v>24</v>
      </c>
      <c r="I15" s="49">
        <f>SUM(J21:AO21)</f>
        <v>22</v>
      </c>
      <c r="J15" s="50"/>
      <c r="K15" s="51"/>
      <c r="L15" s="51"/>
      <c r="M15" s="51"/>
      <c r="N15" s="51"/>
      <c r="O15" s="52"/>
      <c r="P15" s="52"/>
      <c r="Q15" s="51"/>
      <c r="R15" s="51"/>
      <c r="S15" s="51"/>
      <c r="T15" s="51"/>
      <c r="U15" s="51"/>
      <c r="V15" s="52"/>
      <c r="W15" s="52"/>
      <c r="X15" s="51"/>
      <c r="Y15" s="51"/>
      <c r="Z15" s="51"/>
      <c r="AA15" s="51"/>
      <c r="AB15" s="51"/>
      <c r="AC15" s="52"/>
      <c r="AD15" s="52"/>
      <c r="AE15" s="51"/>
      <c r="AF15" s="51"/>
      <c r="AG15" s="51"/>
      <c r="AH15" s="51"/>
      <c r="AI15" s="51"/>
      <c r="AJ15" s="52"/>
      <c r="AK15" s="52"/>
      <c r="AL15" s="51"/>
      <c r="AM15" s="51"/>
      <c r="AN15" s="51"/>
      <c r="AO15" s="53"/>
      <c r="OS15" s="28">
        <f>OR(E15="Staff clock",AND(OR(E15="Auto",E15=""),ISNUMBER(MATCH(B15,'_Lists'!$K$1:$K$137,0))))</f>
        <v>1</v>
      </c>
      <c r="OT15" s="28" t="s">
        <v>65</v>
      </c>
    </row>
    <row r="16" ht="16" customHeight="1" spans="1:410" x14ac:dyDescent="0.25">
      <c r="A16" s="43"/>
      <c r="B16" s="44"/>
      <c r="C16" s="45"/>
      <c r="D16" s="46"/>
      <c r="E16" s="54" t="s">
        <v>58</v>
      </c>
      <c r="F16" s="48"/>
      <c r="G16" s="48"/>
      <c r="H16" s="48"/>
      <c r="I16" s="49"/>
      <c r="J16" s="55">
        <v>1</v>
      </c>
      <c r="K16" s="56">
        <v>1</v>
      </c>
      <c r="L16" s="56">
        <v>1</v>
      </c>
      <c r="M16" s="56">
        <v>1</v>
      </c>
      <c r="N16" s="56">
        <v>1</v>
      </c>
      <c r="O16" s="57">
        <v>0</v>
      </c>
      <c r="P16" s="57">
        <v>0</v>
      </c>
      <c r="Q16" s="56">
        <v>1</v>
      </c>
      <c r="R16" s="56">
        <v>1</v>
      </c>
      <c r="S16" s="56">
        <v>1</v>
      </c>
      <c r="T16" s="56">
        <v>1</v>
      </c>
      <c r="U16" s="56">
        <v>1</v>
      </c>
      <c r="V16" s="57">
        <v>1</v>
      </c>
      <c r="W16" s="57">
        <v>1</v>
      </c>
      <c r="X16" s="56">
        <v>1</v>
      </c>
      <c r="Y16" s="56">
        <v>1</v>
      </c>
      <c r="Z16" s="56">
        <v>1</v>
      </c>
      <c r="AA16" s="56">
        <v>1</v>
      </c>
      <c r="AB16" s="56">
        <v>1</v>
      </c>
      <c r="AC16" s="57">
        <v>1</v>
      </c>
      <c r="AD16" s="57">
        <v>1</v>
      </c>
      <c r="AE16" s="56">
        <v>1</v>
      </c>
      <c r="AF16" s="56">
        <v>1</v>
      </c>
      <c r="AG16" s="56">
        <v>1</v>
      </c>
      <c r="AH16" s="56">
        <v>1</v>
      </c>
      <c r="AI16" s="56">
        <v>1</v>
      </c>
      <c r="AJ16" s="57">
        <v>0</v>
      </c>
      <c r="AK16" s="57">
        <v>0</v>
      </c>
      <c r="AL16" s="56">
        <v>1</v>
      </c>
      <c r="AM16" s="56">
        <v>1</v>
      </c>
      <c r="AN16" s="56">
        <v>1</v>
      </c>
      <c r="AO16" s="58">
        <v>1</v>
      </c>
      <c r="OT16" s="59" t="s">
        <v>65</v>
      </c>
    </row>
    <row r="17" ht="16" customHeight="1" spans="1:410" x14ac:dyDescent="0.25">
      <c r="A17" s="43"/>
      <c r="B17" s="44"/>
      <c r="C17" s="45"/>
      <c r="D17" s="46"/>
      <c r="E17" s="54" t="s">
        <v>59</v>
      </c>
      <c r="F17" s="48"/>
      <c r="G17" s="48"/>
      <c r="H17" s="48"/>
      <c r="I17" s="49"/>
      <c r="J17" s="55">
        <v>8</v>
      </c>
      <c r="K17" s="56">
        <v>8</v>
      </c>
      <c r="L17" s="56">
        <v>8</v>
      </c>
      <c r="M17" s="56">
        <v>8</v>
      </c>
      <c r="N17" s="56">
        <v>8</v>
      </c>
      <c r="O17" s="57">
        <v>0</v>
      </c>
      <c r="P17" s="57">
        <v>0</v>
      </c>
      <c r="Q17" s="56">
        <v>8</v>
      </c>
      <c r="R17" s="56">
        <v>8</v>
      </c>
      <c r="S17" s="56">
        <v>8</v>
      </c>
      <c r="T17" s="56">
        <v>12</v>
      </c>
      <c r="U17" s="56">
        <v>12</v>
      </c>
      <c r="V17" s="57">
        <v>12</v>
      </c>
      <c r="W17" s="57">
        <v>12</v>
      </c>
      <c r="X17" s="56">
        <v>12</v>
      </c>
      <c r="Y17" s="56">
        <v>12</v>
      </c>
      <c r="Z17" s="56">
        <v>12</v>
      </c>
      <c r="AA17" s="56">
        <v>12</v>
      </c>
      <c r="AB17" s="56">
        <v>12</v>
      </c>
      <c r="AC17" s="57">
        <v>12</v>
      </c>
      <c r="AD17" s="57">
        <v>12</v>
      </c>
      <c r="AE17" s="56">
        <v>12</v>
      </c>
      <c r="AF17" s="56">
        <v>12</v>
      </c>
      <c r="AG17" s="56">
        <v>12</v>
      </c>
      <c r="AH17" s="56">
        <v>8</v>
      </c>
      <c r="AI17" s="56">
        <v>8</v>
      </c>
      <c r="AJ17" s="57">
        <v>0</v>
      </c>
      <c r="AK17" s="57">
        <v>0</v>
      </c>
      <c r="AL17" s="56">
        <v>8</v>
      </c>
      <c r="AM17" s="56">
        <v>8</v>
      </c>
      <c r="AN17" s="56">
        <v>8</v>
      </c>
      <c r="AO17" s="58">
        <v>8</v>
      </c>
      <c r="OT17" s="59" t="s">
        <v>65</v>
      </c>
    </row>
    <row r="18" ht="16" customHeight="1" spans="1:410" x14ac:dyDescent="0.25">
      <c r="A18" s="43"/>
      <c r="B18" s="44"/>
      <c r="C18" s="60">
        <f>F15*N(D18)</f>
        <v>22421.120000000003</v>
      </c>
      <c r="D18" s="60">
        <f>IF(TRIM(B15)="","No rate",IFERROR(INDEX('Rate Tables'!C$7:C$161,MATCH(B15,'Rate Tables'!A$7:A$161,0)),"No rate"))</f>
        <v>105.76</v>
      </c>
      <c r="E18" s="54" t="s">
        <v>60</v>
      </c>
      <c r="F18" s="48"/>
      <c r="G18" s="48"/>
      <c r="H18" s="48"/>
      <c r="I18" s="49"/>
      <c r="J18" s="61">
        <f>IF(AND(J16=1,J17=8,E15="Auto",B15="COORDINATOR QA-QC 1",AND('Job setup'!$B$7="ON",'Job setup'!$C$7&lt;=J$6,'Job setup'!$D$7&gt;=J$6,'Job setup'!$G$7="YES")),8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8</v>
      </c>
      <c r="K18" s="62">
        <f>IF(AND(K16=1,K17=8,E15="Auto",B15="COORDINATOR QA-QC 1",AND('Job setup'!$B$7="ON",'Job setup'!$C$7&lt;=K$6,'Job setup'!$D$7&gt;=K$6,'Job setup'!$G$7="YES")),8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8</v>
      </c>
      <c r="L18" s="62">
        <f>IF(AND(L16=1,L17=8,E15="Auto",B15="COORDINATOR QA-QC 1",AND('Job setup'!$B$7="ON",'Job setup'!$C$7&lt;=L$6,'Job setup'!$D$7&gt;=L$6,'Job setup'!$G$7="YES")),8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8</v>
      </c>
      <c r="M18" s="62">
        <f>IF(AND(M16=1,M17=8,E15="Auto",B15="COORDINATOR QA-QC 1",AND('Job setup'!$B$7="ON",'Job setup'!$C$7&lt;=M$6,'Job setup'!$D$7&gt;=M$6,'Job setup'!$G$7="YES")),8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8</v>
      </c>
      <c r="N18" s="62">
        <f>IF(AND(N16=1,N17=8,E15="Auto",B15="COORDINATOR QA-QC 1",AND('Job setup'!$B$7="ON",'Job setup'!$C$7&lt;=N$6,'Job setup'!$D$7&gt;=N$6,'Job setup'!$G$7="YES")),8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8</v>
      </c>
      <c r="O18" s="63">
        <f>IF(AND(O16=0,O17=0,E15="Auto",B15="COORDINATOR QA-QC 1",AND('Job setup'!$B$7="ON",'Job setup'!$C$7&lt;=O$6,'Job setup'!$D$7&gt;=O$6,'Job setup'!$G$7="YES")),0,IF(OS15,MIN(IF(OR(O16&lt;=0,NOT('_JobDays'!F2)),0,IF(WEEKDAY(O$6,1)=1,0,MIN(IF('_JobDays'!F3,8,10),O17)*O16)),MAX(0,40*MAX(1,O16)-(J18+K18+L18+M18+N18))),MIN(IF(OR(O16&lt;=0,NOT('_JobDays'!F2)),0,IF(WEEKDAY(O$6,1)=1,0,IF(WEEKDAY(O$6,1)=7,0,IF('_JobDays'!F4,MIN(8,O17)*O16,O16*O17)))),MAX(0,40*MAX(1,O16)-(J18+K18+L18+M18+N18)))))</f>
        <v>0</v>
      </c>
      <c r="P18" s="63">
        <f>IF(AND(P16=0,P17=0,E15="Auto",B15="COORDINATOR QA-QC 1",AND('Job setup'!$B$7="ON",'Job setup'!$C$7&lt;=P$6,'Job setup'!$D$7&gt;=P$6,'Job setup'!$G$7="YES")),0,IF(OS15,MIN(IF(OR(P16&lt;=0,NOT('_JobDays'!G2)),0,IF(WEEKDAY(P$6,1)=1,0,MIN(IF('_JobDays'!G3,8,10),P17)*P16)),MAX(0,40*MAX(1,P16)-(J18+K18+L18+M18+N18+O18))),MIN(IF(OR(P16&lt;=0,NOT('_JobDays'!G2)),0,IF(WEEKDAY(P$6,1)=1,0,IF(WEEKDAY(P$6,1)=7,0,IF('_JobDays'!G4,MIN(8,P17)*P16,P16*P17)))),MAX(0,40*MAX(1,P16)-(J18+K18+L18+M18+N18+O18)))))</f>
        <v>0</v>
      </c>
      <c r="Q18" s="62">
        <f>IF(AND(Q16=1,Q17=8,E15="Auto",B15="COORDINATOR QA-QC 1",AND('Job setup'!$B$7="ON",'Job setup'!$C$7&lt;=Q$6,'Job setup'!$D$7&gt;=Q$6,'Job setup'!$G$7="YES")),8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8</v>
      </c>
      <c r="R18" s="62">
        <f>IF(AND(R16=1,R17=8,E15="Auto",B15="COORDINATOR QA-QC 1",AND('Job setup'!$B$7="ON",'Job setup'!$C$7&lt;=R$6,'Job setup'!$D$7&gt;=R$6,'Job setup'!$G$7="YES")),8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8</v>
      </c>
      <c r="S18" s="62">
        <f>IF(AND(S16=1,S17=8,E15="Auto",B15="COORDINATOR QA-QC 1",AND('Job setup'!$B$7="ON",'Job setup'!$C$7&lt;=S$6,'Job setup'!$D$7&gt;=S$6,'Job setup'!$G$7="YES")),8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8</v>
      </c>
      <c r="T18" s="62">
        <f>IF(AND(T16=1,T17=12,E15="Auto",B15="COORDINATOR QA-QC 1",AND('Job setup'!$B$9="ON",'Job setup'!$C$9&lt;=T$6,'Job setup'!$D$9&gt;=T$6,'Job setup'!$G$9="NO")),10,IF(OS15,MIN(IF(OR(T16&lt;=0,NOT('_JobDays'!K2)),0,IF(WEEKDAY(T$6,1)=1,0,MIN(IF('_JobDays'!K3,8,10),T17)*T16)),MAX(0,40*MAX(1,T16)-(Q18+R18+S18))),MIN(IF(OR(T16&lt;=0,NOT('_JobDays'!K2)),0,IF(WEEKDAY(T$6,1)=1,0,IF(WEEKDAY(T$6,1)=7,0,IF('_JobDays'!K4,MIN(8,T17)*T16,T16*T17)))),MAX(0,40*MAX(1,T16)-(Q18+R18+S18)))))</f>
        <v>10</v>
      </c>
      <c r="U18" s="62">
        <f>IF(AND(U16=1,U17=12,E15="Auto",B15="COORDINATOR QA-QC 1",AND('Job setup'!$B$9="ON",'Job setup'!$C$9&lt;=U$6,'Job setup'!$D$9&gt;=U$6,'Job setup'!$G$9="NO")),10,IF(OS15,MIN(IF(OR(U16&lt;=0,NOT('_JobDays'!L2)),0,IF(WEEKDAY(U$6,1)=1,0,MIN(IF('_JobDays'!L3,8,10),U17)*U16)),MAX(0,40*MAX(1,U16)-(Q18+R18+S18+T18))),MIN(IF(OR(U16&lt;=0,NOT('_JobDays'!L2)),0,IF(WEEKDAY(U$6,1)=1,0,IF(WEEKDAY(U$6,1)=7,0,IF('_JobDays'!L4,MIN(8,U17)*U16,U16*U17)))),MAX(0,40*MAX(1,U16)-(Q18+R18+S18+T18)))))</f>
        <v>10</v>
      </c>
      <c r="V18" s="63">
        <f>IF(AND(V16=1,V17=12,E15="Auto",B15="COORDINATOR QA-QC 1",AND('Job setup'!$B$9="ON",'Job setup'!$C$9&lt;=V$6,'Job setup'!$D$9&gt;=V$6,'Job setup'!$G$9="NO")),10,IF(OS15,MIN(IF(OR(V16&lt;=0,NOT('_JobDays'!M2)),0,IF(WEEKDAY(V$6,1)=1,0,MIN(IF('_JobDays'!M3,8,10),V17)*V16)),MAX(0,40*MAX(1,V16)-(Q18+R18+S18+T18+U18))),MIN(IF(OR(V16&lt;=0,NOT('_JobDays'!M2)),0,IF(WEEKDAY(V$6,1)=1,0,IF(WEEKDAY(V$6,1)=7,0,IF('_JobDays'!M4,MIN(8,V17)*V16,V16*V17)))),MAX(0,40*MAX(1,V16)-(Q18+R18+S18+T18+U18)))))</f>
        <v>10</v>
      </c>
      <c r="W18" s="63">
        <f>IF(AND(W16=1,W17=12,E15="Auto",B15="COORDINATOR QA-QC 1",AND('Job setup'!$B$9="ON",'Job setup'!$C$9&lt;=W$6,'Job setup'!$D$9&gt;=W$6,'Job setup'!$G$9="NO")),0,IF(OS15,MIN(IF(OR(W16&lt;=0,NOT('_JobDays'!N2)),0,IF(WEEKDAY(W$6,1)=1,0,MIN(IF('_JobDays'!N3,8,10),W17)*W16)),MAX(0,40*MAX(1,W16)-(Q18+R18+S18+T18+U18+V18))),MIN(IF(OR(W16&lt;=0,NOT('_JobDays'!N2)),0,IF(WEEKDAY(W$6,1)=1,0,IF(WEEKDAY(W$6,1)=7,0,IF('_JobDays'!N4,MIN(8,W17)*W16,W16*W17)))),MAX(0,40*MAX(1,W16)-(Q18+R18+S18+T18+U18+V18)))))</f>
        <v>0</v>
      </c>
      <c r="X18" s="62">
        <f>IF(AND(X16=1,X17=12,E15="Auto",B15="COORDINATOR QA-QC 1",AND('Job setup'!$B$9="ON",'Job setup'!$C$9&lt;=X$6,'Job setup'!$D$9&gt;=X$6,'Job setup'!$G$9="NO")),10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10</v>
      </c>
      <c r="Y18" s="62">
        <f>IF(AND(Y16=1,Y17=12,E15="Auto",B15="COORDINATOR QA-QC 1",AND('Job setup'!$B$9="ON",'Job setup'!$C$9&lt;=Y$6,'Job setup'!$D$9&gt;=Y$6,'Job setup'!$G$9="NO")),10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10</v>
      </c>
      <c r="Z18" s="62">
        <f>IF(AND(Z16=1,Z17=12,E15="Auto",B15="COORDINATOR QA-QC 1",AND('Job setup'!$B$9="ON",'Job setup'!$C$9&lt;=Z$6,'Job setup'!$D$9&gt;=Z$6,'Job setup'!$G$9="NO")),10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10</v>
      </c>
      <c r="AA18" s="62">
        <f>IF(AND(AA16=1,AA17=12,E15="Auto",B15="COORDINATOR QA-QC 1",AND('Job setup'!$B$9="ON",'Job setup'!$C$9&lt;=AA$6,'Job setup'!$D$9&gt;=AA$6,'Job setup'!$G$9="NO")),10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10</v>
      </c>
      <c r="AB18" s="62">
        <f>IF(AND(AB16=1,AB17=12,E15="Auto",B15="COORDINATOR QA-QC 1",AND('Job setup'!$B$9="ON",'Job setup'!$C$9&lt;=AB$6,'Job setup'!$D$9&gt;=AB$6,'Job setup'!$G$9="NO")),0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0</v>
      </c>
      <c r="AC18" s="63">
        <f>IF(AND(AC16=1,AC17=12,E15="Auto",B15="COORDINATOR QA-QC 1",AND('Job setup'!$B$9="ON",'Job setup'!$C$9&lt;=AC$6,'Job setup'!$D$9&gt;=AC$6,'Job setup'!$G$9="NO")),0,IF(OS15,MIN(IF(OR(AC16&lt;=0,NOT('_JobDays'!T2)),0,IF(WEEKDAY(AC$6,1)=1,0,MIN(IF('_JobDays'!T3,8,10),AC17)*AC16)),MAX(0,40*MAX(1,AC16)-(X18+Y18+Z18+AA18+AB18))),MIN(IF(OR(AC16&lt;=0,NOT('_JobDays'!T2)),0,IF(WEEKDAY(AC$6,1)=1,0,IF(WEEKDAY(AC$6,1)=7,0,IF('_JobDays'!T4,MIN(8,AC17)*AC16,AC16*AC17)))),MAX(0,40*MAX(1,AC16)-(X18+Y18+Z18+AA18+AB18)))))</f>
        <v>0</v>
      </c>
      <c r="AD18" s="63">
        <f>IF(AND(AD16=1,AD17=12,E15="Auto",B15="COORDINATOR QA-QC 1",AND('Job setup'!$B$9="ON",'Job setup'!$C$9&lt;=AD$6,'Job setup'!$D$9&gt;=AD$6,'Job setup'!$G$9="NO")),0,IF(OS15,MIN(IF(OR(AD16&lt;=0,NOT('_JobDays'!U2)),0,IF(WEEKDAY(AD$6,1)=1,0,MIN(IF('_JobDays'!U3,8,10),AD17)*AD16)),MAX(0,40*MAX(1,AD16)-(X18+Y18+Z18+AA18+AB18+AC18))),MIN(IF(OR(AD16&lt;=0,NOT('_JobDays'!U2)),0,IF(WEEKDAY(AD$6,1)=1,0,IF(WEEKDAY(AD$6,1)=7,0,IF('_JobDays'!U4,MIN(8,AD17)*AD16,AD16*AD17)))),MAX(0,40*MAX(1,AD16)-(X18+Y18+Z18+AA18+AB18+AC18)))))</f>
        <v>0</v>
      </c>
      <c r="AE18" s="62">
        <f>IF(AND(AE16=1,AE17=12,E15="Auto",B15="COORDINATOR QA-QC 1",AND('Job setup'!$B$9="ON",'Job setup'!$C$9&lt;=AE$6,'Job setup'!$D$9&gt;=AE$6,'Job setup'!$G$9="NO")),10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10</v>
      </c>
      <c r="AF18" s="62">
        <f>IF(AND(AF16=1,AF17=12,E15="Auto",B15="COORDINATOR QA-QC 1",AND('Job setup'!$B$9="ON",'Job setup'!$C$9&lt;=AF$6,'Job setup'!$D$9&gt;=AF$6,'Job setup'!$G$9="NO")),10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10</v>
      </c>
      <c r="AG18" s="62">
        <f>IF(AND(AG16=1,AG17=12,E15="Auto",B15="COORDINATOR QA-QC 1",AND('Job setup'!$B$9="ON",'Job setup'!$C$9&lt;=AG$6,'Job setup'!$D$9&gt;=AG$6,'Job setup'!$G$9="NO")),10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10</v>
      </c>
      <c r="AH18" s="62">
        <f>IF(AND(AH16=1,AH17=8,E15="Auto",B15="COORDINATOR QA-QC 1",AND('Job setup'!$B$11="ON",'Job setup'!$C$11&lt;=AH$6,'Job setup'!$D$11&gt;=AH$6,'Job setup'!$G$11="YES")),8,IF(OS15,MIN(IF(OR(AH16&lt;=0,NOT('_JobDays'!Y2)),0,IF(WEEKDAY(AH$6,1)=1,0,MIN(IF('_JobDays'!Y3,8,10),AH17)*AH16)),MAX(0,40*MAX(1,AH16)-(AE18+AF18+AG18))),MIN(IF(OR(AH16&lt;=0,NOT('_JobDays'!Y2)),0,IF(WEEKDAY(AH$6,1)=1,0,IF(WEEKDAY(AH$6,1)=7,0,IF('_JobDays'!Y4,MIN(8,AH17)*AH16,AH16*AH17)))),MAX(0,40*MAX(1,AH16)-(AE18+AF18+AG18)))))</f>
        <v>8</v>
      </c>
      <c r="AI18" s="62">
        <f>IF(AND(AI16=1,AI17=8,E15="Auto",B15="COORDINATOR QA-QC 1",AND('Job setup'!$B$11="ON",'Job setup'!$C$11&lt;=AI$6,'Job setup'!$D$11&gt;=AI$6,'Job setup'!$G$11="YES")),8,IF(OS15,MIN(IF(OR(AI16&lt;=0,NOT('_JobDays'!Z2)),0,IF(WEEKDAY(AI$6,1)=1,0,MIN(IF('_JobDays'!Z3,8,10),AI17)*AI16)),MAX(0,40*MAX(1,AI16)-(AE18+AF18+AG18+AH18))),MIN(IF(OR(AI16&lt;=0,NOT('_JobDays'!Z2)),0,IF(WEEKDAY(AI$6,1)=1,0,IF(WEEKDAY(AI$6,1)=7,0,IF('_JobDays'!Z4,MIN(8,AI17)*AI16,AI16*AI17)))),MAX(0,40*MAX(1,AI16)-(AE18+AF18+AG18+AH18)))))</f>
        <v>8</v>
      </c>
      <c r="AJ18" s="63">
        <f>IF(AND(AJ16=0,AJ17=0,E15="Auto",B15="COORDINATOR QA-QC 1",AND('Job setup'!$B$11="ON",'Job setup'!$C$11&lt;=AJ$6,'Job setup'!$D$11&gt;=AJ$6,'Job setup'!$G$11="YES")),0,IF(OS15,MIN(IF(OR(AJ16&lt;=0,NOT('_JobDays'!AA2)),0,IF(WEEKDAY(AJ$6,1)=1,0,MIN(IF('_JobDays'!AA3,8,10),AJ17)*AJ16)),MAX(0,40*MAX(1,AJ16)-(AE18+AF18+AG18+AH18+AI18))),MIN(IF(OR(AJ16&lt;=0,NOT('_JobDays'!AA2)),0,IF(WEEKDAY(AJ$6,1)=1,0,IF(WEEKDAY(AJ$6,1)=7,0,IF('_JobDays'!AA4,MIN(8,AJ17)*AJ16,AJ16*AJ17)))),MAX(0,40*MAX(1,AJ16)-(AE18+AF18+AG18+AH18+AI18)))))</f>
        <v>0</v>
      </c>
      <c r="AK18" s="63">
        <f>IF(AND(AK16=0,AK17=0,E15="Auto",B15="COORDINATOR QA-QC 1",AND('Job setup'!$B$11="ON",'Job setup'!$C$11&lt;=AK$6,'Job setup'!$D$11&gt;=AK$6,'Job setup'!$G$11="YES")),0,IF(OS15,MIN(IF(OR(AK16&lt;=0,NOT('_JobDays'!AB2)),0,IF(WEEKDAY(AK$6,1)=1,0,MIN(IF('_JobDays'!AB3,8,10),AK17)*AK16)),MAX(0,40*MAX(1,AK16)-(AE18+AF18+AG18+AH18+AI18+AJ18))),MIN(IF(OR(AK16&lt;=0,NOT('_JobDays'!AB2)),0,IF(WEEKDAY(AK$6,1)=1,0,IF(WEEKDAY(AK$6,1)=7,0,IF('_JobDays'!AB4,MIN(8,AK17)*AK16,AK16*AK17)))),MAX(0,40*MAX(1,AK16)-(AE18+AF18+AG18+AH18+AI18+AJ18)))))</f>
        <v>0</v>
      </c>
      <c r="AL18" s="62">
        <f>IF(AND(AL16=1,AL17=8,E15="Auto",B15="COORDINATOR QA-QC 1",AND('Job setup'!$B$11="ON",'Job setup'!$C$11&lt;=AL$6,'Job setup'!$D$11&gt;=AL$6,'Job setup'!$G$11="YES")),8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8</v>
      </c>
      <c r="AM18" s="62">
        <f>IF(AND(AM16=1,AM17=8,E15="Auto",B15="COORDINATOR QA-QC 1",AND('Job setup'!$B$11="ON",'Job setup'!$C$11&lt;=AM$6,'Job setup'!$D$11&gt;=AM$6,'Job setup'!$G$11="YES")),8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8</v>
      </c>
      <c r="AN18" s="62">
        <f>IF(AND(AN16=1,AN17=8,E15="Auto",B15="COORDINATOR QA-QC 1",AND('Job setup'!$B$11="ON",'Job setup'!$C$11&lt;=AN$6,'Job setup'!$D$11&gt;=AN$6,'Job setup'!$G$11="YES")),8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8</v>
      </c>
      <c r="AO18" s="64">
        <f>IF(AND(AO16=1,AO17=8,E15="Auto",B15="COORDINATOR QA-QC 1",AND('Job setup'!$B$11="ON",'Job setup'!$C$11&lt;=AO$6,'Job setup'!$D$11&gt;=AO$6,'Job setup'!$G$11="YES")),8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8</v>
      </c>
      <c r="OT18" s="28" t="s">
        <v>65</v>
      </c>
    </row>
    <row r="19" ht="16" customHeight="1" spans="1:410" x14ac:dyDescent="0.25">
      <c r="A19" s="43"/>
      <c r="B19" s="44"/>
      <c r="C19" s="65">
        <f>G15*N(D19)</f>
        <v>6325.88</v>
      </c>
      <c r="D19" s="65">
        <f>IF(TRIM(B15)="","No rate",IFERROR(INDEX('Rate Tables'!D$7:D$161,MATCH(B15,'Rate Tables'!A$7:A$161,0)),"No rate"))</f>
        <v>143.77</v>
      </c>
      <c r="E19" s="54" t="s">
        <v>61</v>
      </c>
      <c r="F19" s="48"/>
      <c r="G19" s="48"/>
      <c r="H19" s="48"/>
      <c r="I19" s="49"/>
      <c r="J19" s="61">
        <f>IF(AND(J16=1,J17=8,E15="Auto",B15="COORDINATOR QA-QC 1",AND('Job setup'!$B$7="ON",'Job setup'!$C$7&lt;=J$6,'Job setup'!$D$7&gt;=J$6,'Job setup'!$G$7="YES")),0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0</v>
      </c>
      <c r="K19" s="62">
        <f>IF(AND(K16=1,K17=8,E15="Auto",B15="COORDINATOR QA-QC 1",AND('Job setup'!$B$7="ON",'Job setup'!$C$7&lt;=K$6,'Job setup'!$D$7&gt;=K$6,'Job setup'!$G$7="YES")),0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0</v>
      </c>
      <c r="L19" s="62">
        <f>IF(AND(L16=1,L17=8,E15="Auto",B15="COORDINATOR QA-QC 1",AND('Job setup'!$B$7="ON",'Job setup'!$C$7&lt;=L$6,'Job setup'!$D$7&gt;=L$6,'Job setup'!$G$7="YES")),0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0</v>
      </c>
      <c r="M19" s="62">
        <f>IF(AND(M16=1,M17=8,E15="Auto",B15="COORDINATOR QA-QC 1",AND('Job setup'!$B$7="ON",'Job setup'!$C$7&lt;=M$6,'Job setup'!$D$7&gt;=M$6,'Job setup'!$G$7="YES")),0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0</v>
      </c>
      <c r="N19" s="62">
        <f>IF(AND(N16=1,N17=8,E15="Auto",B15="COORDINATOR QA-QC 1",AND('Job setup'!$B$7="ON",'Job setup'!$C$7&lt;=N$6,'Job setup'!$D$7&gt;=N$6,'Job setup'!$G$7="YES")),0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0</v>
      </c>
      <c r="O19" s="63">
        <f>IF(AND(O16=0,O17=0,E15="Auto",B15="COORDINATOR QA-QC 1",AND('Job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J18+K18+L18+M18+N18)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J18+K18+L18+M18+N18))))))</f>
        <v>0</v>
      </c>
      <c r="P19" s="63">
        <f>IF(AND(P16=0,P17=0,E15="Auto",B15="COORDINATOR QA-QC 1",AND('Job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J18+K18+L18+M18+N18+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J18+K18+L18+M18+N18+O18))))))</f>
        <v>0</v>
      </c>
      <c r="Q19" s="62">
        <f>IF(AND(Q16=1,Q17=8,E15="Auto",B15="COORDINATOR QA-QC 1",AND('Job setup'!$B$7="ON",'Job setup'!$C$7&lt;=Q$6,'Job setup'!$D$7&gt;=Q$6,'Job setup'!$G$7="YES")),0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0</v>
      </c>
      <c r="R19" s="62">
        <f>IF(AND(R16=1,R17=8,E15="Auto",B15="COORDINATOR QA-QC 1",AND('Job setup'!$B$7="ON",'Job setup'!$C$7&lt;=R$6,'Job setup'!$D$7&gt;=R$6,'Job setup'!$G$7="YES")),0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0</v>
      </c>
      <c r="S19" s="62">
        <f>IF(AND(S16=1,S17=8,E15="Auto",B15="COORDINATOR QA-QC 1",AND('Job setup'!$B$7="ON",'Job setup'!$C$7&lt;=S$6,'Job setup'!$D$7&gt;=S$6,'Job setup'!$G$7="YES")),0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0</v>
      </c>
      <c r="T19" s="62">
        <f>IF(AND(T16=1,T17=12,E15="Auto",B15="COORDINATOR QA-QC 1",AND('Job setup'!$B$9="ON",'Job setup'!$C$9&lt;=T$6,'Job setup'!$D$9&gt;=T$6,'Job setup'!$G$9="NO")),2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Q18+R18+S18)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Q18+R18+S18))))))</f>
        <v>2</v>
      </c>
      <c r="U19" s="62">
        <f>IF(AND(U16=1,U17=12,E15="Auto",B15="COORDINATOR QA-QC 1",AND('Job setup'!$B$9="ON",'Job setup'!$C$9&lt;=U$6,'Job setup'!$D$9&gt;=U$6,'Job setup'!$G$9="NO")),2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Q18+R18+S18+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Q18+R18+S18+T18))))))</f>
        <v>2</v>
      </c>
      <c r="V19" s="63">
        <f>IF(AND(V16=1,V17=12,E15="Auto",B15="COORDINATOR QA-QC 1",AND('Job setup'!$B$9="ON",'Job setup'!$C$9&lt;=V$6,'Job setup'!$D$9&gt;=V$6,'Job setup'!$G$9="NO")),2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Q18+R18+S18+T18+U18)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Q18+R18+S18+T18+U18))))))</f>
        <v>2</v>
      </c>
      <c r="W19" s="63">
        <f>IF(AND(W16=1,W17=12,E15="Auto",B15="COORDINATOR QA-QC 1",AND('Job setup'!$B$9="ON",'Job setup'!$C$9&lt;=W$6,'Job setup'!$D$9&gt;=W$6,'Job setup'!$G$9="NO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Q18+R18+S18+T18+U18+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Q18+R18+S18+T18+U18+V18))))))</f>
        <v>0</v>
      </c>
      <c r="X19" s="62">
        <f>IF(AND(X16=1,X17=12,E15="Auto",B15="COORDINATOR QA-QC 1",AND('Job setup'!$B$9="ON",'Job setup'!$C$9&lt;=X$6,'Job setup'!$D$9&gt;=X$6,'Job setup'!$G$9="NO")),2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2</v>
      </c>
      <c r="Y19" s="62">
        <f>IF(AND(Y16=1,Y17=12,E15="Auto",B15="COORDINATOR QA-QC 1",AND('Job setup'!$B$9="ON",'Job setup'!$C$9&lt;=Y$6,'Job setup'!$D$9&gt;=Y$6,'Job setup'!$G$9="NO")),2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2</v>
      </c>
      <c r="Z19" s="62">
        <f>IF(AND(Z16=1,Z17=12,E15="Auto",B15="COORDINATOR QA-QC 1",AND('Job setup'!$B$9="ON",'Job setup'!$C$9&lt;=Z$6,'Job setup'!$D$9&gt;=Z$6,'Job setup'!$G$9="NO")),2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2</v>
      </c>
      <c r="AA19" s="62">
        <f>IF(AND(AA16=1,AA17=12,E15="Auto",B15="COORDINATOR QA-QC 1",AND('Job setup'!$B$9="ON",'Job setup'!$C$9&lt;=AA$6,'Job setup'!$D$9&gt;=AA$6,'Job setup'!$G$9="NO")),2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2</v>
      </c>
      <c r="AB19" s="62">
        <f>IF(AND(AB16=1,AB17=12,E15="Auto",B15="COORDINATOR QA-QC 1",AND('Job setup'!$B$9="ON",'Job setup'!$C$9&lt;=AB$6,'Job setup'!$D$9&gt;=AB$6,'Job setup'!$G$9="NO")),12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12</v>
      </c>
      <c r="AC19" s="63">
        <f>IF(AND(AC16=1,AC17=12,E15="Auto",B15="COORDINATOR QA-QC 1",AND('Job setup'!$B$9="ON",'Job setup'!$C$9&lt;=AC$6,'Job setup'!$D$9&gt;=AC$6,'Job setup'!$G$9="NO")),12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X18+Y18+Z18+AA18+AB18)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X18+Y18+Z18+AA18+AB18))))))</f>
        <v>12</v>
      </c>
      <c r="AD19" s="63">
        <f>IF(AND(AD16=1,AD17=12,E15="Auto",B15="COORDINATOR QA-QC 1",AND('Job setup'!$B$9="ON",'Job setup'!$C$9&lt;=AD$6,'Job setup'!$D$9&gt;=AD$6,'Job setup'!$G$9="NO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X18+Y18+Z18+AA18+AB18+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X18+Y18+Z18+AA18+AB18+AC18))))))</f>
        <v>0</v>
      </c>
      <c r="AE19" s="62">
        <f>IF(AND(AE16=1,AE17=12,E15="Auto",B15="COORDINATOR QA-QC 1",AND('Job setup'!$B$9="ON",'Job setup'!$C$9&lt;=AE$6,'Job setup'!$D$9&gt;=AE$6,'Job setup'!$G$9="NO")),2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2</v>
      </c>
      <c r="AF19" s="62">
        <f>IF(AND(AF16=1,AF17=12,E15="Auto",B15="COORDINATOR QA-QC 1",AND('Job setup'!$B$9="ON",'Job setup'!$C$9&lt;=AF$6,'Job setup'!$D$9&gt;=AF$6,'Job setup'!$G$9="NO")),2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2</v>
      </c>
      <c r="AG19" s="62">
        <f>IF(AND(AG16=1,AG17=12,E15="Auto",B15="COORDINATOR QA-QC 1",AND('Job setup'!$B$9="ON",'Job setup'!$C$9&lt;=AG$6,'Job setup'!$D$9&gt;=AG$6,'Job setup'!$G$9="NO")),2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2</v>
      </c>
      <c r="AH19" s="62">
        <f>IF(AND(AH16=1,AH17=8,E15="Auto",B15="COORDINATOR QA-QC 1",AND('Job setup'!$B$11="ON",'Job setup'!$C$11&lt;=AH$6,'Job setup'!$D$11&gt;=AH$6,'Job setup'!$G$11="YES")),0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AE18+AF18+AG18)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AE18+AF18+AG18))))))</f>
        <v>0</v>
      </c>
      <c r="AI19" s="62">
        <f>IF(AND(AI16=1,AI17=8,E15="Auto",B15="COORDINATOR QA-QC 1",AND('Job setup'!$B$11="ON",'Job setup'!$C$11&lt;=AI$6,'Job setup'!$D$11&gt;=AI$6,'Job setup'!$G$11="YES")),0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E18+AF18+AG18+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E18+AF18+AG18+AH18))))))</f>
        <v>0</v>
      </c>
      <c r="AJ19" s="63">
        <f>IF(AND(AJ16=0,AJ17=0,E15="Auto",B15="COORDINATOR QA-QC 1",AND('Job setup'!$B$11="ON",'Job setup'!$C$11&lt;=AJ$6,'Job setup'!$D$11&gt;=AJ$6,'Job setup'!$G$11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AE18+AF18+AG18+AH18+AI18)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AE18+AF18+AG18+AH18+AI18))))))</f>
        <v>0</v>
      </c>
      <c r="AK19" s="63">
        <f>IF(AND(AK16=0,AK17=0,E15="Auto",B15="COORDINATOR QA-QC 1",AND('Job setup'!$B$11="ON",'Job setup'!$C$11&lt;=AK$6,'Job setup'!$D$11&gt;=AK$6,'Job setup'!$G$11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E18+AF18+AG18+AH18+AI18+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E18+AF18+AG18+AH18+AI18+AJ18))))))</f>
        <v>0</v>
      </c>
      <c r="AL19" s="62">
        <f>IF(AND(AL16=1,AL17=8,E15="Auto",B15="COORDINATOR QA-QC 1",AND('Job setup'!$B$11="ON",'Job setup'!$C$11&lt;=AL$6,'Job setup'!$D$11&gt;=AL$6,'Job setup'!$G$11="YES")),0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0</v>
      </c>
      <c r="AM19" s="62">
        <f>IF(AND(AM16=1,AM17=8,E15="Auto",B15="COORDINATOR QA-QC 1",AND('Job setup'!$B$11="ON",'Job setup'!$C$11&lt;=AM$6,'Job setup'!$D$11&gt;=AM$6,'Job setup'!$G$11="YES")),0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0</v>
      </c>
      <c r="AN19" s="62">
        <f>IF(AND(AN16=1,AN17=8,E15="Auto",B15="COORDINATOR QA-QC 1",AND('Job setup'!$B$11="ON",'Job setup'!$C$11&lt;=AN$6,'Job setup'!$D$11&gt;=AN$6,'Job setup'!$G$11="YES")),0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0</v>
      </c>
      <c r="AO19" s="64">
        <f>IF(AND(AO16=1,AO17=8,E15="Auto",B15="COORDINATOR QA-QC 1",AND('Job setup'!$B$11="ON",'Job setup'!$C$11&lt;=AO$6,'Job setup'!$D$11&gt;=AO$6,'Job setup'!$G$11="YES")),0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0</v>
      </c>
      <c r="OT19" s="28" t="s">
        <v>65</v>
      </c>
    </row>
    <row r="20" ht="16" customHeight="1" spans="1:410" x14ac:dyDescent="0.25">
      <c r="A20" s="43"/>
      <c r="B20" s="44"/>
      <c r="C20" s="60">
        <f>H15*N(D20)</f>
        <v>4362.96</v>
      </c>
      <c r="D20" s="60">
        <f>IF(TRIM(B15)="","No rate",IFERROR(INDEX('Rate Tables'!E$7:E$161,MATCH(B15,'Rate Tables'!A$7:A$161,0)),"No rate"))</f>
        <v>181.79</v>
      </c>
      <c r="E20" s="54" t="s">
        <v>62</v>
      </c>
      <c r="F20" s="48"/>
      <c r="G20" s="48"/>
      <c r="H20" s="48"/>
      <c r="I20" s="49"/>
      <c r="J20" s="61">
        <f>IF(AND(J16=1,J17=8,E15="Auto",B15="COORDINATOR QA-QC 1",AND('Job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2">
        <f>IF(AND(K16=1,K17=8,E15="Auto",B15="COORDINATOR QA-QC 1",AND('Job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2">
        <f>IF(AND(L16=1,L17=8,E15="Auto",B15="COORDINATOR QA-QC 1",AND('Job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2">
        <f>IF(AND(M16=1,M17=8,E15="Auto",B15="COORDINATOR QA-QC 1",AND('Job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2">
        <f>IF(AND(N16=1,N17=8,E15="Auto",B15="COORDINATOR QA-QC 1",AND('Job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3">
        <f>IF(AND(O16=0,O17=0,E15="Auto",B15="COORDINATOR QA-QC 1",AND('Job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3">
        <f>IF(AND(P16=0,P17=0,E15="Auto",B15="COORDINATOR QA-QC 1",AND('Job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2">
        <f>IF(AND(Q16=1,Q17=8,E15="Auto",B15="COORDINATOR QA-QC 1",AND('Job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2">
        <f>IF(AND(R16=1,R17=8,E15="Auto",B15="COORDINATOR QA-QC 1",AND('Job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2">
        <f>IF(AND(S16=1,S17=8,E15="Auto",B15="COORDINATOR QA-QC 1",AND('Job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2">
        <f>IF(AND(T16=1,T17=12,E15="Auto",B15="COORDINATOR QA-QC 1",AND('Job setup'!$B$9="ON",'Job setup'!$C$9&lt;=T$6,'Job setup'!$D$9&gt;=T$6,'Job setup'!$G$9="NO")),0,IF(OS15,IF(OR(T16&lt;=0,NOT('_JobDays'!K2)),0,IF(WEEKDAY(T$6,1)=1,T16*T17,0)),IF(OR(T16&lt;=0,NOT('_JobDays'!K2)),0,IF(WEEKDAY(T$6,1)=1,T16*T17,0))))</f>
        <v>0</v>
      </c>
      <c r="U20" s="62">
        <f>IF(AND(U16=1,U17=12,E15="Auto",B15="COORDINATOR QA-QC 1",AND('Job setup'!$B$9="ON",'Job setup'!$C$9&lt;=U$6,'Job setup'!$D$9&gt;=U$6,'Job setup'!$G$9="NO")),0,IF(OS15,IF(OR(U16&lt;=0,NOT('_JobDays'!L2)),0,IF(WEEKDAY(U$6,1)=1,U16*U17,0)),IF(OR(U16&lt;=0,NOT('_JobDays'!L2)),0,IF(WEEKDAY(U$6,1)=1,U16*U17,0))))</f>
        <v>0</v>
      </c>
      <c r="V20" s="63">
        <f>IF(AND(V16=1,V17=12,E15="Auto",B15="COORDINATOR QA-QC 1",AND('Job setup'!$B$9="ON",'Job setup'!$C$9&lt;=V$6,'Job setup'!$D$9&gt;=V$6,'Job setup'!$G$9="NO")),0,IF(OS15,IF(OR(V16&lt;=0,NOT('_JobDays'!M2)),0,IF(WEEKDAY(V$6,1)=1,V16*V17,0)),IF(OR(V16&lt;=0,NOT('_JobDays'!M2)),0,IF(WEEKDAY(V$6,1)=1,V16*V17,0))))</f>
        <v>0</v>
      </c>
      <c r="W20" s="63">
        <f>IF(AND(W16=1,W17=12,E15="Auto",B15="COORDINATOR QA-QC 1",AND('Job setup'!$B$9="ON",'Job setup'!$C$9&lt;=W$6,'Job setup'!$D$9&gt;=W$6,'Job setup'!$G$9="NO")),12,IF(OS15,IF(OR(W16&lt;=0,NOT('_JobDays'!N2)),0,IF(WEEKDAY(W$6,1)=1,W16*W17,0)),IF(OR(W16&lt;=0,NOT('_JobDays'!N2)),0,IF(WEEKDAY(W$6,1)=1,W16*W17,0))))</f>
        <v>12</v>
      </c>
      <c r="X20" s="62">
        <f>IF(AND(X16=1,X17=12,E15="Auto",B15="COORDINATOR QA-QC 1",AND('Job setup'!$B$9="ON",'Job setup'!$C$9&lt;=X$6,'Job setup'!$D$9&gt;=X$6,'Job setup'!$G$9="NO")),0,IF(OS15,IF(OR(X16&lt;=0,NOT('_JobDays'!O2)),0,IF(WEEKDAY(X$6,1)=1,X16*X17,0)),IF(OR(X16&lt;=0,NOT('_JobDays'!O2)),0,IF(WEEKDAY(X$6,1)=1,X16*X17,0))))</f>
        <v>0</v>
      </c>
      <c r="Y20" s="62">
        <f>IF(AND(Y16=1,Y17=12,E15="Auto",B15="COORDINATOR QA-QC 1",AND('Job setup'!$B$9="ON",'Job setup'!$C$9&lt;=Y$6,'Job setup'!$D$9&gt;=Y$6,'Job setup'!$G$9="NO")),0,IF(OS15,IF(OR(Y16&lt;=0,NOT('_JobDays'!P2)),0,IF(WEEKDAY(Y$6,1)=1,Y16*Y17,0)),IF(OR(Y16&lt;=0,NOT('_JobDays'!P2)),0,IF(WEEKDAY(Y$6,1)=1,Y16*Y17,0))))</f>
        <v>0</v>
      </c>
      <c r="Z20" s="62">
        <f>IF(AND(Z16=1,Z17=12,E15="Auto",B15="COORDINATOR QA-QC 1",AND('Job setup'!$B$9="ON",'Job setup'!$C$9&lt;=Z$6,'Job setup'!$D$9&gt;=Z$6,'Job setup'!$G$9="NO")),0,IF(OS15,IF(OR(Z16&lt;=0,NOT('_JobDays'!Q2)),0,IF(WEEKDAY(Z$6,1)=1,Z16*Z17,0)),IF(OR(Z16&lt;=0,NOT('_JobDays'!Q2)),0,IF(WEEKDAY(Z$6,1)=1,Z16*Z17,0))))</f>
        <v>0</v>
      </c>
      <c r="AA20" s="62">
        <f>IF(AND(AA16=1,AA17=12,E15="Auto",B15="COORDINATOR QA-QC 1",AND('Job setup'!$B$9="ON",'Job setup'!$C$9&lt;=AA$6,'Job setup'!$D$9&gt;=AA$6,'Job setup'!$G$9="NO")),0,IF(OS15,IF(OR(AA16&lt;=0,NOT('_JobDays'!R2)),0,IF(WEEKDAY(AA$6,1)=1,AA16*AA17,0)),IF(OR(AA16&lt;=0,NOT('_JobDays'!R2)),0,IF(WEEKDAY(AA$6,1)=1,AA16*AA17,0))))</f>
        <v>0</v>
      </c>
      <c r="AB20" s="62">
        <f>IF(AND(AB16=1,AB17=12,E15="Auto",B15="COORDINATOR QA-QC 1",AND('Job setup'!$B$9="ON",'Job setup'!$C$9&lt;=AB$6,'Job setup'!$D$9&gt;=AB$6,'Job setup'!$G$9="NO")),0,IF(OS15,IF(OR(AB16&lt;=0,NOT('_JobDays'!S2)),0,IF(WEEKDAY(AB$6,1)=1,AB16*AB17,0)),IF(OR(AB16&lt;=0,NOT('_JobDays'!S2)),0,IF(WEEKDAY(AB$6,1)=1,AB16*AB17,0))))</f>
        <v>0</v>
      </c>
      <c r="AC20" s="63">
        <f>IF(AND(AC16=1,AC17=12,E15="Auto",B15="COORDINATOR QA-QC 1",AND('Job setup'!$B$9="ON",'Job setup'!$C$9&lt;=AC$6,'Job setup'!$D$9&gt;=AC$6,'Job setup'!$G$9="NO")),0,IF(OS15,IF(OR(AC16&lt;=0,NOT('_JobDays'!T2)),0,IF(WEEKDAY(AC$6,1)=1,AC16*AC17,0)),IF(OR(AC16&lt;=0,NOT('_JobDays'!T2)),0,IF(WEEKDAY(AC$6,1)=1,AC16*AC17,0))))</f>
        <v>0</v>
      </c>
      <c r="AD20" s="63">
        <f>IF(AND(AD16=1,AD17=12,E15="Auto",B15="COORDINATOR QA-QC 1",AND('Job setup'!$B$9="ON",'Job setup'!$C$9&lt;=AD$6,'Job setup'!$D$9&gt;=AD$6,'Job setup'!$G$9="NO")),12,IF(OS15,IF(OR(AD16&lt;=0,NOT('_JobDays'!U2)),0,IF(WEEKDAY(AD$6,1)=1,AD16*AD17,0)),IF(OR(AD16&lt;=0,NOT('_JobDays'!U2)),0,IF(WEEKDAY(AD$6,1)=1,AD16*AD17,0))))</f>
        <v>12</v>
      </c>
      <c r="AE20" s="62">
        <f>IF(AND(AE16=1,AE17=12,E15="Auto",B15="COORDINATOR QA-QC 1",AND('Job setup'!$B$9="ON",'Job setup'!$C$9&lt;=AE$6,'Job setup'!$D$9&gt;=AE$6,'Job setup'!$G$9="NO")),0,IF(OS15,IF(OR(AE16&lt;=0,NOT('_JobDays'!V2)),0,IF(WEEKDAY(AE$6,1)=1,AE16*AE17,0)),IF(OR(AE16&lt;=0,NOT('_JobDays'!V2)),0,IF(WEEKDAY(AE$6,1)=1,AE16*AE17,0))))</f>
        <v>0</v>
      </c>
      <c r="AF20" s="62">
        <f>IF(AND(AF16=1,AF17=12,E15="Auto",B15="COORDINATOR QA-QC 1",AND('Job setup'!$B$9="ON",'Job setup'!$C$9&lt;=AF$6,'Job setup'!$D$9&gt;=AF$6,'Job setup'!$G$9="NO")),0,IF(OS15,IF(OR(AF16&lt;=0,NOT('_JobDays'!W2)),0,IF(WEEKDAY(AF$6,1)=1,AF16*AF17,0)),IF(OR(AF16&lt;=0,NOT('_JobDays'!W2)),0,IF(WEEKDAY(AF$6,1)=1,AF16*AF17,0))))</f>
        <v>0</v>
      </c>
      <c r="AG20" s="62">
        <f>IF(AND(AG16=1,AG17=12,E15="Auto",B15="COORDINATOR QA-QC 1",AND('Job setup'!$B$9="ON",'Job setup'!$C$9&lt;=AG$6,'Job setup'!$D$9&gt;=AG$6,'Job setup'!$G$9="NO")),0,IF(OS15,IF(OR(AG16&lt;=0,NOT('_JobDays'!X2)),0,IF(WEEKDAY(AG$6,1)=1,AG16*AG17,0)),IF(OR(AG16&lt;=0,NOT('_JobDays'!X2)),0,IF(WEEKDAY(AG$6,1)=1,AG16*AG17,0))))</f>
        <v>0</v>
      </c>
      <c r="AH20" s="62">
        <f>IF(AND(AH16=1,AH17=8,E15="Auto",B15="COORDINATOR QA-QC 1",AND('Job setup'!$B$11="ON",'Job setup'!$C$11&lt;=AH$6,'Job setup'!$D$11&gt;=AH$6,'Job setup'!$G$11="YES")),0,IF(OS15,IF(OR(AH16&lt;=0,NOT('_JobDays'!Y2)),0,IF(WEEKDAY(AH$6,1)=1,AH16*AH17,0)),IF(OR(AH16&lt;=0,NOT('_JobDays'!Y2)),0,IF(WEEKDAY(AH$6,1)=1,AH16*AH17,0))))</f>
        <v>0</v>
      </c>
      <c r="AI20" s="62">
        <f>IF(AND(AI16=1,AI17=8,E15="Auto",B15="COORDINATOR QA-QC 1",AND('Job setup'!$B$11="ON",'Job setup'!$C$11&lt;=AI$6,'Job setup'!$D$11&gt;=AI$6,'Job setup'!$G$11="YES")),0,IF(OS15,IF(OR(AI16&lt;=0,NOT('_JobDays'!Z2)),0,IF(WEEKDAY(AI$6,1)=1,AI16*AI17,0)),IF(OR(AI16&lt;=0,NOT('_JobDays'!Z2)),0,IF(WEEKDAY(AI$6,1)=1,AI16*AI17,0))))</f>
        <v>0</v>
      </c>
      <c r="AJ20" s="63">
        <f>IF(AND(AJ16=0,AJ17=0,E15="Auto",B15="COORDINATOR QA-QC 1",AND('Job setup'!$B$11="ON",'Job setup'!$C$11&lt;=AJ$6,'Job setup'!$D$11&gt;=AJ$6,'Job setup'!$G$11="YES")),0,IF(OS15,IF(OR(AJ16&lt;=0,NOT('_JobDays'!AA2)),0,IF(WEEKDAY(AJ$6,1)=1,AJ16*AJ17,0)),IF(OR(AJ16&lt;=0,NOT('_JobDays'!AA2)),0,IF(WEEKDAY(AJ$6,1)=1,AJ16*AJ17,0))))</f>
        <v>0</v>
      </c>
      <c r="AK20" s="63">
        <f>IF(AND(AK16=0,AK17=0,E15="Auto",B15="COORDINATOR QA-QC 1",AND('Job setup'!$B$11="ON",'Job setup'!$C$11&lt;=AK$6,'Job setup'!$D$11&gt;=AK$6,'Job setup'!$G$11="YES")),0,IF(OS15,IF(OR(AK16&lt;=0,NOT('_JobDays'!AB2)),0,IF(WEEKDAY(AK$6,1)=1,AK16*AK17,0)),IF(OR(AK16&lt;=0,NOT('_JobDays'!AB2)),0,IF(WEEKDAY(AK$6,1)=1,AK16*AK17,0))))</f>
        <v>0</v>
      </c>
      <c r="AL20" s="62">
        <f>IF(AND(AL16=1,AL17=8,E15="Auto",B15="COORDINATOR QA-QC 1",AND('Job setup'!$B$11="ON",'Job setup'!$C$11&lt;=AL$6,'Job setup'!$D$11&gt;=AL$6,'Job setup'!$G$11="YES")),0,IF(OS15,IF(OR(AL16&lt;=0,NOT('_JobDays'!AC2)),0,IF(WEEKDAY(AL$6,1)=1,AL16*AL17,0)),IF(OR(AL16&lt;=0,NOT('_JobDays'!AC2)),0,IF(WEEKDAY(AL$6,1)=1,AL16*AL17,0))))</f>
        <v>0</v>
      </c>
      <c r="AM20" s="62">
        <f>IF(AND(AM16=1,AM17=8,E15="Auto",B15="COORDINATOR QA-QC 1",AND('Job setup'!$B$11="ON",'Job setup'!$C$11&lt;=AM$6,'Job setup'!$D$11&gt;=AM$6,'Job setup'!$G$11="YES")),0,IF(OS15,IF(OR(AM16&lt;=0,NOT('_JobDays'!AD2)),0,IF(WEEKDAY(AM$6,1)=1,AM16*AM17,0)),IF(OR(AM16&lt;=0,NOT('_JobDays'!AD2)),0,IF(WEEKDAY(AM$6,1)=1,AM16*AM17,0))))</f>
        <v>0</v>
      </c>
      <c r="AN20" s="62">
        <f>IF(AND(AN16=1,AN17=8,E15="Auto",B15="COORDINATOR QA-QC 1",AND('Job setup'!$B$11="ON",'Job setup'!$C$11&lt;=AN$6,'Job setup'!$D$11&gt;=AN$6,'Job setup'!$G$11="YES")),0,IF(OS15,IF(OR(AN16&lt;=0,NOT('_JobDays'!AE2)),0,IF(WEEKDAY(AN$6,1)=1,AN16*AN17,0)),IF(OR(AN16&lt;=0,NOT('_JobDays'!AE2)),0,IF(WEEKDAY(AN$6,1)=1,AN16*AN17,0))))</f>
        <v>0</v>
      </c>
      <c r="AO20" s="64">
        <f>IF(AND(AO16=1,AO17=8,E15="Auto",B15="COORDINATOR QA-QC 1",AND('Job setup'!$B$11="ON",'Job setup'!$C$11&lt;=AO$6,'Job setup'!$D$11&gt;=AO$6,'Job setup'!$G$11="YES")),0,IF(OS15,IF(OR(AO16&lt;=0,NOT('_JobDays'!AF2)),0,IF(WEEKDAY(AO$6,1)=1,AO16*AO17,0)),IF(OR(AO16&lt;=0,NOT('_JobDays'!AF2)),0,IF(WEEKDAY(AO$6,1)=1,AO16*AO17,0))))</f>
        <v>0</v>
      </c>
      <c r="OT20" s="28" t="s">
        <v>65</v>
      </c>
    </row>
    <row r="21" ht="16" customHeight="1" spans="1:410" x14ac:dyDescent="0.25">
      <c r="A21" s="43"/>
      <c r="B21" s="44"/>
      <c r="C21" s="66">
        <f>I15*D21</f>
        <v>3080</v>
      </c>
      <c r="D21" s="66">
        <v>140</v>
      </c>
      <c r="E21" s="67" t="s">
        <v>63</v>
      </c>
      <c r="F21" s="48"/>
      <c r="G21" s="48"/>
      <c r="H21" s="48"/>
      <c r="I21" s="49"/>
      <c r="J21" s="68">
        <v>1</v>
      </c>
      <c r="K21" s="69">
        <v>1</v>
      </c>
      <c r="L21" s="69">
        <v>1</v>
      </c>
      <c r="M21" s="69">
        <v>1</v>
      </c>
      <c r="N21" s="69">
        <v>1</v>
      </c>
      <c r="O21" s="70">
        <v>0</v>
      </c>
      <c r="P21" s="70">
        <v>0</v>
      </c>
      <c r="Q21" s="69">
        <v>1</v>
      </c>
      <c r="R21" s="69">
        <v>1</v>
      </c>
      <c r="S21" s="69">
        <v>1</v>
      </c>
      <c r="T21" s="69">
        <v>1</v>
      </c>
      <c r="U21" s="69">
        <v>1</v>
      </c>
      <c r="V21" s="70">
        <v>1</v>
      </c>
      <c r="W21" s="70">
        <v>1</v>
      </c>
      <c r="X21" s="69">
        <v>1</v>
      </c>
      <c r="Y21" s="69">
        <v>1</v>
      </c>
      <c r="Z21" s="69">
        <v>1</v>
      </c>
      <c r="AA21" s="69">
        <v>1</v>
      </c>
      <c r="AB21" s="69">
        <v>1</v>
      </c>
      <c r="AC21" s="70">
        <v>1</v>
      </c>
      <c r="AD21" s="70">
        <v>1</v>
      </c>
      <c r="AE21" s="69">
        <v>1</v>
      </c>
      <c r="AF21" s="69">
        <v>1</v>
      </c>
      <c r="AG21" s="69">
        <v>1</v>
      </c>
      <c r="AH21" s="69">
        <v>0</v>
      </c>
      <c r="AI21" s="69">
        <v>0</v>
      </c>
      <c r="AJ21" s="70">
        <v>0</v>
      </c>
      <c r="AK21" s="70">
        <v>0</v>
      </c>
      <c r="AL21" s="69">
        <v>0</v>
      </c>
      <c r="AM21" s="69">
        <v>0</v>
      </c>
      <c r="AN21" s="69">
        <v>0</v>
      </c>
      <c r="AO21" s="71">
        <v>0</v>
      </c>
      <c r="OT21" s="59" t="s">
        <v>65</v>
      </c>
    </row>
    <row r="22" ht="8" customHeight="1" spans="1:41" x14ac:dyDescent="0.25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</row>
    <row r="23" ht="16" customHeight="1" spans="1:410" x14ac:dyDescent="0.25">
      <c r="A23" s="43" t="s">
        <v>54</v>
      </c>
      <c r="B23" s="44" t="s">
        <v>66</v>
      </c>
      <c r="C23" s="45">
        <f>C26+C27+C28</f>
        <v>28354.399999999998</v>
      </c>
      <c r="D23" s="46"/>
      <c r="E23" s="47" t="s">
        <v>56</v>
      </c>
      <c r="F23" s="48">
        <f>SUM(J26:AO26)</f>
        <v>212</v>
      </c>
      <c r="G23" s="48">
        <f>SUM(J27:AO27)</f>
        <v>44</v>
      </c>
      <c r="H23" s="48">
        <f>SUM(J28:AO28)</f>
        <v>24</v>
      </c>
      <c r="I23" s="49">
        <f>SUM(J29:AO29)</f>
        <v>22</v>
      </c>
      <c r="J23" s="50"/>
      <c r="K23" s="51"/>
      <c r="L23" s="51"/>
      <c r="M23" s="51"/>
      <c r="N23" s="51"/>
      <c r="O23" s="52"/>
      <c r="P23" s="52"/>
      <c r="Q23" s="51"/>
      <c r="R23" s="51"/>
      <c r="S23" s="51"/>
      <c r="T23" s="51"/>
      <c r="U23" s="51"/>
      <c r="V23" s="52"/>
      <c r="W23" s="52"/>
      <c r="X23" s="51"/>
      <c r="Y23" s="51"/>
      <c r="Z23" s="51"/>
      <c r="AA23" s="51"/>
      <c r="AB23" s="51"/>
      <c r="AC23" s="52"/>
      <c r="AD23" s="52"/>
      <c r="AE23" s="51"/>
      <c r="AF23" s="51"/>
      <c r="AG23" s="51"/>
      <c r="AH23" s="51"/>
      <c r="AI23" s="51"/>
      <c r="AJ23" s="52"/>
      <c r="AK23" s="52"/>
      <c r="AL23" s="51"/>
      <c r="AM23" s="51"/>
      <c r="AN23" s="51"/>
      <c r="AO23" s="53"/>
      <c r="OS23" s="28">
        <f>OR(E23="Staff clock",AND(OR(E23="Auto",E23=""),ISNUMBER(MATCH(B23,'_Lists'!$K$1:$K$137,0))))</f>
        <v>1</v>
      </c>
      <c r="OT23" s="28" t="s">
        <v>67</v>
      </c>
    </row>
    <row r="24" ht="16" customHeight="1" spans="1:410" x14ac:dyDescent="0.25">
      <c r="A24" s="43"/>
      <c r="B24" s="44"/>
      <c r="C24" s="45"/>
      <c r="D24" s="46"/>
      <c r="E24" s="54" t="s">
        <v>58</v>
      </c>
      <c r="F24" s="48"/>
      <c r="G24" s="48"/>
      <c r="H24" s="48"/>
      <c r="I24" s="49"/>
      <c r="J24" s="55">
        <v>1</v>
      </c>
      <c r="K24" s="56">
        <v>1</v>
      </c>
      <c r="L24" s="56">
        <v>1</v>
      </c>
      <c r="M24" s="56">
        <v>1</v>
      </c>
      <c r="N24" s="56">
        <v>1</v>
      </c>
      <c r="O24" s="57">
        <v>0</v>
      </c>
      <c r="P24" s="57">
        <v>0</v>
      </c>
      <c r="Q24" s="56">
        <v>1</v>
      </c>
      <c r="R24" s="56">
        <v>1</v>
      </c>
      <c r="S24" s="56">
        <v>1</v>
      </c>
      <c r="T24" s="56">
        <v>1</v>
      </c>
      <c r="U24" s="56">
        <v>1</v>
      </c>
      <c r="V24" s="57">
        <v>1</v>
      </c>
      <c r="W24" s="57">
        <v>1</v>
      </c>
      <c r="X24" s="56">
        <v>1</v>
      </c>
      <c r="Y24" s="56">
        <v>1</v>
      </c>
      <c r="Z24" s="56">
        <v>1</v>
      </c>
      <c r="AA24" s="56">
        <v>1</v>
      </c>
      <c r="AB24" s="56">
        <v>1</v>
      </c>
      <c r="AC24" s="57">
        <v>1</v>
      </c>
      <c r="AD24" s="57">
        <v>1</v>
      </c>
      <c r="AE24" s="56">
        <v>1</v>
      </c>
      <c r="AF24" s="56">
        <v>1</v>
      </c>
      <c r="AG24" s="56">
        <v>1</v>
      </c>
      <c r="AH24" s="56">
        <v>1</v>
      </c>
      <c r="AI24" s="56">
        <v>1</v>
      </c>
      <c r="AJ24" s="57">
        <v>0</v>
      </c>
      <c r="AK24" s="57">
        <v>0</v>
      </c>
      <c r="AL24" s="56">
        <v>1</v>
      </c>
      <c r="AM24" s="56">
        <v>1</v>
      </c>
      <c r="AN24" s="56">
        <v>1</v>
      </c>
      <c r="AO24" s="58">
        <v>1</v>
      </c>
      <c r="OT24" s="59" t="s">
        <v>67</v>
      </c>
    </row>
    <row r="25" ht="16" customHeight="1" spans="1:410" x14ac:dyDescent="0.25">
      <c r="A25" s="43"/>
      <c r="B25" s="44"/>
      <c r="C25" s="45"/>
      <c r="D25" s="46"/>
      <c r="E25" s="54" t="s">
        <v>59</v>
      </c>
      <c r="F25" s="48"/>
      <c r="G25" s="48"/>
      <c r="H25" s="48"/>
      <c r="I25" s="49"/>
      <c r="J25" s="55">
        <v>8</v>
      </c>
      <c r="K25" s="56">
        <v>8</v>
      </c>
      <c r="L25" s="56">
        <v>8</v>
      </c>
      <c r="M25" s="56">
        <v>8</v>
      </c>
      <c r="N25" s="56">
        <v>8</v>
      </c>
      <c r="O25" s="57">
        <v>0</v>
      </c>
      <c r="P25" s="57">
        <v>0</v>
      </c>
      <c r="Q25" s="56">
        <v>8</v>
      </c>
      <c r="R25" s="56">
        <v>8</v>
      </c>
      <c r="S25" s="56">
        <v>8</v>
      </c>
      <c r="T25" s="56">
        <v>12</v>
      </c>
      <c r="U25" s="56">
        <v>12</v>
      </c>
      <c r="V25" s="57">
        <v>12</v>
      </c>
      <c r="W25" s="57">
        <v>12</v>
      </c>
      <c r="X25" s="56">
        <v>12</v>
      </c>
      <c r="Y25" s="56">
        <v>12</v>
      </c>
      <c r="Z25" s="56">
        <v>12</v>
      </c>
      <c r="AA25" s="56">
        <v>12</v>
      </c>
      <c r="AB25" s="56">
        <v>12</v>
      </c>
      <c r="AC25" s="57">
        <v>12</v>
      </c>
      <c r="AD25" s="57">
        <v>12</v>
      </c>
      <c r="AE25" s="56">
        <v>12</v>
      </c>
      <c r="AF25" s="56">
        <v>12</v>
      </c>
      <c r="AG25" s="56">
        <v>12</v>
      </c>
      <c r="AH25" s="56">
        <v>8</v>
      </c>
      <c r="AI25" s="56">
        <v>8</v>
      </c>
      <c r="AJ25" s="57">
        <v>0</v>
      </c>
      <c r="AK25" s="57">
        <v>0</v>
      </c>
      <c r="AL25" s="56">
        <v>8</v>
      </c>
      <c r="AM25" s="56">
        <v>8</v>
      </c>
      <c r="AN25" s="56">
        <v>8</v>
      </c>
      <c r="AO25" s="58">
        <v>8</v>
      </c>
      <c r="OT25" s="59" t="s">
        <v>67</v>
      </c>
    </row>
    <row r="26" ht="16" customHeight="1" spans="1:410" x14ac:dyDescent="0.25">
      <c r="A26" s="43"/>
      <c r="B26" s="44"/>
      <c r="C26" s="60">
        <f>F23*N(D26)</f>
        <v>19296.239999999998</v>
      </c>
      <c r="D26" s="60">
        <f>IF(TRIM(B23)="","No rate",IFERROR(INDEX('Rate Tables'!C$7:C$161,MATCH(B23,'Rate Tables'!A$7:A$161,0)),"No rate"))</f>
        <v>91.02</v>
      </c>
      <c r="E26" s="54" t="s">
        <v>60</v>
      </c>
      <c r="F26" s="48"/>
      <c r="G26" s="48"/>
      <c r="H26" s="48"/>
      <c r="I26" s="49"/>
      <c r="J26" s="61">
        <f>IF(AND(J24=1,J25=8,E23="Auto",B23="COORDINATOR SAFETY 01",AND('Job setup'!$B$7="ON",'Job setup'!$C$7&lt;=J$6,'Job setup'!$D$7&gt;=J$6,'Job setup'!$G$7="YES")),8,IF(OS23,MIN(IF(OR(J24&lt;=0,NOT('_JobDays'!A2)),0,IF(WEEKDAY(J$6,1)=1,0,MIN(IF('_JobDays'!A3,8,10),J25)*J24)),MAX(0,40*MAX(1,J24)-(0))),MIN(IF(OR(J24&lt;=0,NOT('_JobDays'!A2)),0,IF(WEEKDAY(J$6,1)=1,0,IF(WEEKDAY(J$6,1)=7,0,IF('_JobDays'!A4,MIN(8,J25)*J24,J24*J25)))),MAX(0,40*MAX(1,J24)-(0)))))</f>
        <v>8</v>
      </c>
      <c r="K26" s="62">
        <f>IF(AND(K24=1,K25=8,E23="Auto",B23="COORDINATOR SAFETY 01",AND('Job setup'!$B$7="ON",'Job setup'!$C$7&lt;=K$6,'Job setup'!$D$7&gt;=K$6,'Job setup'!$G$7="YES")),8,IF(OS23,MIN(IF(OR(K24&lt;=0,NOT('_JobDays'!B2)),0,IF(WEEKDAY(K$6,1)=1,0,MIN(IF('_JobDays'!B3,8,10),K25)*K24)),MAX(0,40*MAX(1,K24)-(J26))),MIN(IF(OR(K24&lt;=0,NOT('_JobDays'!B2)),0,IF(WEEKDAY(K$6,1)=1,0,IF(WEEKDAY(K$6,1)=7,0,IF('_JobDays'!B4,MIN(8,K25)*K24,K24*K25)))),MAX(0,40*MAX(1,K24)-(J26)))))</f>
        <v>8</v>
      </c>
      <c r="L26" s="62">
        <f>IF(AND(L24=1,L25=8,E23="Auto",B23="COORDINATOR SAFETY 01",AND('Job setup'!$B$7="ON",'Job setup'!$C$7&lt;=L$6,'Job setup'!$D$7&gt;=L$6,'Job setup'!$G$7="YES")),8,IF(OS23,MIN(IF(OR(L24&lt;=0,NOT('_JobDays'!C2)),0,IF(WEEKDAY(L$6,1)=1,0,MIN(IF('_JobDays'!C3,8,10),L25)*L24)),MAX(0,40*MAX(1,L24)-(J26+K26))),MIN(IF(OR(L24&lt;=0,NOT('_JobDays'!C2)),0,IF(WEEKDAY(L$6,1)=1,0,IF(WEEKDAY(L$6,1)=7,0,IF('_JobDays'!C4,MIN(8,L25)*L24,L24*L25)))),MAX(0,40*MAX(1,L24)-(J26+K26)))))</f>
        <v>8</v>
      </c>
      <c r="M26" s="62">
        <f>IF(AND(M24=1,M25=8,E23="Auto",B23="COORDINATOR SAFETY 01",AND('Job setup'!$B$7="ON",'Job setup'!$C$7&lt;=M$6,'Job setup'!$D$7&gt;=M$6,'Job setup'!$G$7="YES")),8,IF(OS23,MIN(IF(OR(M24&lt;=0,NOT('_JobDays'!D2)),0,IF(WEEKDAY(M$6,1)=1,0,MIN(IF('_JobDays'!D3,8,10),M25)*M24)),MAX(0,40*MAX(1,M24)-(J26+K26+L26))),MIN(IF(OR(M24&lt;=0,NOT('_JobDays'!D2)),0,IF(WEEKDAY(M$6,1)=1,0,IF(WEEKDAY(M$6,1)=7,0,IF('_JobDays'!D4,MIN(8,M25)*M24,M24*M25)))),MAX(0,40*MAX(1,M24)-(J26+K26+L26)))))</f>
        <v>8</v>
      </c>
      <c r="N26" s="62">
        <f>IF(AND(N24=1,N25=8,E23="Auto",B23="COORDINATOR SAFETY 01",AND('Job setup'!$B$7="ON",'Job setup'!$C$7&lt;=N$6,'Job setup'!$D$7&gt;=N$6,'Job setup'!$G$7="YES")),8,IF(OS23,MIN(IF(OR(N24&lt;=0,NOT('_JobDays'!E2)),0,IF(WEEKDAY(N$6,1)=1,0,MIN(IF('_JobDays'!E3,8,10),N25)*N24)),MAX(0,40*MAX(1,N24)-(J26+K26+L26+M26))),MIN(IF(OR(N24&lt;=0,NOT('_JobDays'!E2)),0,IF(WEEKDAY(N$6,1)=1,0,IF(WEEKDAY(N$6,1)=7,0,IF('_JobDays'!E4,MIN(8,N25)*N24,N24*N25)))),MAX(0,40*MAX(1,N24)-(J26+K26+L26+M26)))))</f>
        <v>8</v>
      </c>
      <c r="O26" s="63">
        <f>IF(AND(O24=0,O25=0,E23="Auto",B23="COORDINATOR SAFETY 01",AND('Job setup'!$B$7="ON",'Job setup'!$C$7&lt;=O$6,'Job setup'!$D$7&gt;=O$6,'Job setup'!$G$7="YES")),0,IF(OS23,MIN(IF(OR(O24&lt;=0,NOT('_JobDays'!F2)),0,IF(WEEKDAY(O$6,1)=1,0,MIN(IF('_JobDays'!F3,8,10),O25)*O24)),MAX(0,40*MAX(1,O24)-(J26+K26+L26+M26+N26))),MIN(IF(OR(O24&lt;=0,NOT('_JobDays'!F2)),0,IF(WEEKDAY(O$6,1)=1,0,IF(WEEKDAY(O$6,1)=7,0,IF('_JobDays'!F4,MIN(8,O25)*O24,O24*O25)))),MAX(0,40*MAX(1,O24)-(J26+K26+L26+M26+N26)))))</f>
        <v>0</v>
      </c>
      <c r="P26" s="63">
        <f>IF(AND(P24=0,P25=0,E23="Auto",B23="COORDINATOR SAFETY 01",AND('Job setup'!$B$7="ON",'Job setup'!$C$7&lt;=P$6,'Job setup'!$D$7&gt;=P$6,'Job setup'!$G$7="YES")),0,IF(OS23,MIN(IF(OR(P24&lt;=0,NOT('_JobDays'!G2)),0,IF(WEEKDAY(P$6,1)=1,0,MIN(IF('_JobDays'!G3,8,10),P25)*P24)),MAX(0,40*MAX(1,P24)-(J26+K26+L26+M26+N26+O26))),MIN(IF(OR(P24&lt;=0,NOT('_JobDays'!G2)),0,IF(WEEKDAY(P$6,1)=1,0,IF(WEEKDAY(P$6,1)=7,0,IF('_JobDays'!G4,MIN(8,P25)*P24,P24*P25)))),MAX(0,40*MAX(1,P24)-(J26+K26+L26+M26+N26+O26)))))</f>
        <v>0</v>
      </c>
      <c r="Q26" s="62">
        <f>IF(AND(Q24=1,Q25=8,E23="Auto",B23="COORDINATOR SAFETY 01",AND('Job setup'!$B$7="ON",'Job setup'!$C$7&lt;=Q$6,'Job setup'!$D$7&gt;=Q$6,'Job setup'!$G$7="YES")),8,IF(OS23,MIN(IF(OR(Q24&lt;=0,NOT('_JobDays'!H2)),0,IF(WEEKDAY(Q$6,1)=1,0,MIN(IF('_JobDays'!H3,8,10),Q25)*Q24)),MAX(0,40*MAX(1,Q24)-(0))),MIN(IF(OR(Q24&lt;=0,NOT('_JobDays'!H2)),0,IF(WEEKDAY(Q$6,1)=1,0,IF(WEEKDAY(Q$6,1)=7,0,IF('_JobDays'!H4,MIN(8,Q25)*Q24,Q24*Q25)))),MAX(0,40*MAX(1,Q24)-(0)))))</f>
        <v>8</v>
      </c>
      <c r="R26" s="62">
        <f>IF(AND(R24=1,R25=8,E23="Auto",B23="COORDINATOR SAFETY 01",AND('Job setup'!$B$7="ON",'Job setup'!$C$7&lt;=R$6,'Job setup'!$D$7&gt;=R$6,'Job setup'!$G$7="YES")),8,IF(OS23,MIN(IF(OR(R24&lt;=0,NOT('_JobDays'!I2)),0,IF(WEEKDAY(R$6,1)=1,0,MIN(IF('_JobDays'!I3,8,10),R25)*R24)),MAX(0,40*MAX(1,R24)-(Q26))),MIN(IF(OR(R24&lt;=0,NOT('_JobDays'!I2)),0,IF(WEEKDAY(R$6,1)=1,0,IF(WEEKDAY(R$6,1)=7,0,IF('_JobDays'!I4,MIN(8,R25)*R24,R24*R25)))),MAX(0,40*MAX(1,R24)-(Q26)))))</f>
        <v>8</v>
      </c>
      <c r="S26" s="62">
        <f>IF(AND(S24=1,S25=8,E23="Auto",B23="COORDINATOR SAFETY 01",AND('Job setup'!$B$7="ON",'Job setup'!$C$7&lt;=S$6,'Job setup'!$D$7&gt;=S$6,'Job setup'!$G$7="YES")),8,IF(OS23,MIN(IF(OR(S24&lt;=0,NOT('_JobDays'!J2)),0,IF(WEEKDAY(S$6,1)=1,0,MIN(IF('_JobDays'!J3,8,10),S25)*S24)),MAX(0,40*MAX(1,S24)-(Q26+R26))),MIN(IF(OR(S24&lt;=0,NOT('_JobDays'!J2)),0,IF(WEEKDAY(S$6,1)=1,0,IF(WEEKDAY(S$6,1)=7,0,IF('_JobDays'!J4,MIN(8,S25)*S24,S24*S25)))),MAX(0,40*MAX(1,S24)-(Q26+R26)))))</f>
        <v>8</v>
      </c>
      <c r="T26" s="62">
        <f>IF(AND(T24=1,T25=12,E23="Auto",B23="COORDINATOR SAFETY 01",AND('Job setup'!$B$9="ON",'Job setup'!$C$9&lt;=T$6,'Job setup'!$D$9&gt;=T$6,'Job setup'!$G$9="NO")),10,IF(OS23,MIN(IF(OR(T24&lt;=0,NOT('_JobDays'!K2)),0,IF(WEEKDAY(T$6,1)=1,0,MIN(IF('_JobDays'!K3,8,10),T25)*T24)),MAX(0,40*MAX(1,T24)-(Q26+R26+S26))),MIN(IF(OR(T24&lt;=0,NOT('_JobDays'!K2)),0,IF(WEEKDAY(T$6,1)=1,0,IF(WEEKDAY(T$6,1)=7,0,IF('_JobDays'!K4,MIN(8,T25)*T24,T24*T25)))),MAX(0,40*MAX(1,T24)-(Q26+R26+S26)))))</f>
        <v>10</v>
      </c>
      <c r="U26" s="62">
        <f>IF(AND(U24=1,U25=12,E23="Auto",B23="COORDINATOR SAFETY 01",AND('Job setup'!$B$9="ON",'Job setup'!$C$9&lt;=U$6,'Job setup'!$D$9&gt;=U$6,'Job setup'!$G$9="NO")),10,IF(OS23,MIN(IF(OR(U24&lt;=0,NOT('_JobDays'!L2)),0,IF(WEEKDAY(U$6,1)=1,0,MIN(IF('_JobDays'!L3,8,10),U25)*U24)),MAX(0,40*MAX(1,U24)-(Q26+R26+S26+T26))),MIN(IF(OR(U24&lt;=0,NOT('_JobDays'!L2)),0,IF(WEEKDAY(U$6,1)=1,0,IF(WEEKDAY(U$6,1)=7,0,IF('_JobDays'!L4,MIN(8,U25)*U24,U24*U25)))),MAX(0,40*MAX(1,U24)-(Q26+R26+S26+T26)))))</f>
        <v>10</v>
      </c>
      <c r="V26" s="63">
        <f>IF(AND(V24=1,V25=12,E23="Auto",B23="COORDINATOR SAFETY 01",AND('Job setup'!$B$9="ON",'Job setup'!$C$9&lt;=V$6,'Job setup'!$D$9&gt;=V$6,'Job setup'!$G$9="NO")),10,IF(OS23,MIN(IF(OR(V24&lt;=0,NOT('_JobDays'!M2)),0,IF(WEEKDAY(V$6,1)=1,0,MIN(IF('_JobDays'!M3,8,10),V25)*V24)),MAX(0,40*MAX(1,V24)-(Q26+R26+S26+T26+U26))),MIN(IF(OR(V24&lt;=0,NOT('_JobDays'!M2)),0,IF(WEEKDAY(V$6,1)=1,0,IF(WEEKDAY(V$6,1)=7,0,IF('_JobDays'!M4,MIN(8,V25)*V24,V24*V25)))),MAX(0,40*MAX(1,V24)-(Q26+R26+S26+T26+U26)))))</f>
        <v>10</v>
      </c>
      <c r="W26" s="63">
        <f>IF(AND(W24=1,W25=12,E23="Auto",B23="COORDINATOR SAFETY 01",AND('Job setup'!$B$9="ON",'Job setup'!$C$9&lt;=W$6,'Job setup'!$D$9&gt;=W$6,'Job setup'!$G$9="NO")),0,IF(OS23,MIN(IF(OR(W24&lt;=0,NOT('_JobDays'!N2)),0,IF(WEEKDAY(W$6,1)=1,0,MIN(IF('_JobDays'!N3,8,10),W25)*W24)),MAX(0,40*MAX(1,W24)-(Q26+R26+S26+T26+U26+V26))),MIN(IF(OR(W24&lt;=0,NOT('_JobDays'!N2)),0,IF(WEEKDAY(W$6,1)=1,0,IF(WEEKDAY(W$6,1)=7,0,IF('_JobDays'!N4,MIN(8,W25)*W24,W24*W25)))),MAX(0,40*MAX(1,W24)-(Q26+R26+S26+T26+U26+V26)))))</f>
        <v>0</v>
      </c>
      <c r="X26" s="62">
        <f>IF(AND(X24=1,X25=12,E23="Auto",B23="COORDINATOR SAFETY 01",AND('Job setup'!$B$9="ON",'Job setup'!$C$9&lt;=X$6,'Job setup'!$D$9&gt;=X$6,'Job setup'!$G$9="NO")),10,IF(OS23,MIN(IF(OR(X24&lt;=0,NOT('_JobDays'!O2)),0,IF(WEEKDAY(X$6,1)=1,0,MIN(IF('_JobDays'!O3,8,10),X25)*X24)),MAX(0,40*MAX(1,X24)-(0))),MIN(IF(OR(X24&lt;=0,NOT('_JobDays'!O2)),0,IF(WEEKDAY(X$6,1)=1,0,IF(WEEKDAY(X$6,1)=7,0,IF('_JobDays'!O4,MIN(8,X25)*X24,X24*X25)))),MAX(0,40*MAX(1,X24)-(0)))))</f>
        <v>10</v>
      </c>
      <c r="Y26" s="62">
        <f>IF(AND(Y24=1,Y25=12,E23="Auto",B23="COORDINATOR SAFETY 01",AND('Job setup'!$B$9="ON",'Job setup'!$C$9&lt;=Y$6,'Job setup'!$D$9&gt;=Y$6,'Job setup'!$G$9="NO")),10,IF(OS23,MIN(IF(OR(Y24&lt;=0,NOT('_JobDays'!P2)),0,IF(WEEKDAY(Y$6,1)=1,0,MIN(IF('_JobDays'!P3,8,10),Y25)*Y24)),MAX(0,40*MAX(1,Y24)-(X26))),MIN(IF(OR(Y24&lt;=0,NOT('_JobDays'!P2)),0,IF(WEEKDAY(Y$6,1)=1,0,IF(WEEKDAY(Y$6,1)=7,0,IF('_JobDays'!P4,MIN(8,Y25)*Y24,Y24*Y25)))),MAX(0,40*MAX(1,Y24)-(X26)))))</f>
        <v>10</v>
      </c>
      <c r="Z26" s="62">
        <f>IF(AND(Z24=1,Z25=12,E23="Auto",B23="COORDINATOR SAFETY 01",AND('Job setup'!$B$9="ON",'Job setup'!$C$9&lt;=Z$6,'Job setup'!$D$9&gt;=Z$6,'Job setup'!$G$9="NO")),10,IF(OS23,MIN(IF(OR(Z24&lt;=0,NOT('_JobDays'!Q2)),0,IF(WEEKDAY(Z$6,1)=1,0,MIN(IF('_JobDays'!Q3,8,10),Z25)*Z24)),MAX(0,40*MAX(1,Z24)-(X26+Y26))),MIN(IF(OR(Z24&lt;=0,NOT('_JobDays'!Q2)),0,IF(WEEKDAY(Z$6,1)=1,0,IF(WEEKDAY(Z$6,1)=7,0,IF('_JobDays'!Q4,MIN(8,Z25)*Z24,Z24*Z25)))),MAX(0,40*MAX(1,Z24)-(X26+Y26)))))</f>
        <v>10</v>
      </c>
      <c r="AA26" s="62">
        <f>IF(AND(AA24=1,AA25=12,E23="Auto",B23="COORDINATOR SAFETY 01",AND('Job setup'!$B$9="ON",'Job setup'!$C$9&lt;=AA$6,'Job setup'!$D$9&gt;=AA$6,'Job setup'!$G$9="NO")),10,IF(OS23,MIN(IF(OR(AA24&lt;=0,NOT('_JobDays'!R2)),0,IF(WEEKDAY(AA$6,1)=1,0,MIN(IF('_JobDays'!R3,8,10),AA25)*AA24)),MAX(0,40*MAX(1,AA24)-(X26+Y26+Z26))),MIN(IF(OR(AA24&lt;=0,NOT('_JobDays'!R2)),0,IF(WEEKDAY(AA$6,1)=1,0,IF(WEEKDAY(AA$6,1)=7,0,IF('_JobDays'!R4,MIN(8,AA25)*AA24,AA24*AA25)))),MAX(0,40*MAX(1,AA24)-(X26+Y26+Z26)))))</f>
        <v>10</v>
      </c>
      <c r="AB26" s="62">
        <f>IF(AND(AB24=1,AB25=12,E23="Auto",B23="COORDINATOR SAFETY 01",AND('Job setup'!$B$9="ON",'Job setup'!$C$9&lt;=AB$6,'Job setup'!$D$9&gt;=AB$6,'Job setup'!$G$9="NO")),0,IF(OS23,MIN(IF(OR(AB24&lt;=0,NOT('_JobDays'!S2)),0,IF(WEEKDAY(AB$6,1)=1,0,MIN(IF('_JobDays'!S3,8,10),AB25)*AB24)),MAX(0,40*MAX(1,AB24)-(X26+Y26+Z26+AA26))),MIN(IF(OR(AB24&lt;=0,NOT('_JobDays'!S2)),0,IF(WEEKDAY(AB$6,1)=1,0,IF(WEEKDAY(AB$6,1)=7,0,IF('_JobDays'!S4,MIN(8,AB25)*AB24,AB24*AB25)))),MAX(0,40*MAX(1,AB24)-(X26+Y26+Z26+AA26)))))</f>
        <v>0</v>
      </c>
      <c r="AC26" s="63">
        <f>IF(AND(AC24=1,AC25=12,E23="Auto",B23="COORDINATOR SAFETY 01",AND('Job setup'!$B$9="ON",'Job setup'!$C$9&lt;=AC$6,'Job setup'!$D$9&gt;=AC$6,'Job setup'!$G$9="NO")),0,IF(OS23,MIN(IF(OR(AC24&lt;=0,NOT('_JobDays'!T2)),0,IF(WEEKDAY(AC$6,1)=1,0,MIN(IF('_JobDays'!T3,8,10),AC25)*AC24)),MAX(0,40*MAX(1,AC24)-(X26+Y26+Z26+AA26+AB26))),MIN(IF(OR(AC24&lt;=0,NOT('_JobDays'!T2)),0,IF(WEEKDAY(AC$6,1)=1,0,IF(WEEKDAY(AC$6,1)=7,0,IF('_JobDays'!T4,MIN(8,AC25)*AC24,AC24*AC25)))),MAX(0,40*MAX(1,AC24)-(X26+Y26+Z26+AA26+AB26)))))</f>
        <v>0</v>
      </c>
      <c r="AD26" s="63">
        <f>IF(AND(AD24=1,AD25=12,E23="Auto",B23="COORDINATOR SAFETY 01",AND('Job setup'!$B$9="ON",'Job setup'!$C$9&lt;=AD$6,'Job setup'!$D$9&gt;=AD$6,'Job setup'!$G$9="NO")),0,IF(OS23,MIN(IF(OR(AD24&lt;=0,NOT('_JobDays'!U2)),0,IF(WEEKDAY(AD$6,1)=1,0,MIN(IF('_JobDays'!U3,8,10),AD25)*AD24)),MAX(0,40*MAX(1,AD24)-(X26+Y26+Z26+AA26+AB26+AC26))),MIN(IF(OR(AD24&lt;=0,NOT('_JobDays'!U2)),0,IF(WEEKDAY(AD$6,1)=1,0,IF(WEEKDAY(AD$6,1)=7,0,IF('_JobDays'!U4,MIN(8,AD25)*AD24,AD24*AD25)))),MAX(0,40*MAX(1,AD24)-(X26+Y26+Z26+AA26+AB26+AC26)))))</f>
        <v>0</v>
      </c>
      <c r="AE26" s="62">
        <f>IF(AND(AE24=1,AE25=12,E23="Auto",B23="COORDINATOR SAFETY 01",AND('Job setup'!$B$9="ON",'Job setup'!$C$9&lt;=AE$6,'Job setup'!$D$9&gt;=AE$6,'Job setup'!$G$9="NO")),10,IF(OS23,MIN(IF(OR(AE24&lt;=0,NOT('_JobDays'!V2)),0,IF(WEEKDAY(AE$6,1)=1,0,MIN(IF('_JobDays'!V3,8,10),AE25)*AE24)),MAX(0,40*MAX(1,AE24)-(0))),MIN(IF(OR(AE24&lt;=0,NOT('_JobDays'!V2)),0,IF(WEEKDAY(AE$6,1)=1,0,IF(WEEKDAY(AE$6,1)=7,0,IF('_JobDays'!V4,MIN(8,AE25)*AE24,AE24*AE25)))),MAX(0,40*MAX(1,AE24)-(0)))))</f>
        <v>10</v>
      </c>
      <c r="AF26" s="62">
        <f>IF(AND(AF24=1,AF25=12,E23="Auto",B23="COORDINATOR SAFETY 01",AND('Job setup'!$B$9="ON",'Job setup'!$C$9&lt;=AF$6,'Job setup'!$D$9&gt;=AF$6,'Job setup'!$G$9="NO")),10,IF(OS23,MIN(IF(OR(AF24&lt;=0,NOT('_JobDays'!W2)),0,IF(WEEKDAY(AF$6,1)=1,0,MIN(IF('_JobDays'!W3,8,10),AF25)*AF24)),MAX(0,40*MAX(1,AF24)-(AE26))),MIN(IF(OR(AF24&lt;=0,NOT('_JobDays'!W2)),0,IF(WEEKDAY(AF$6,1)=1,0,IF(WEEKDAY(AF$6,1)=7,0,IF('_JobDays'!W4,MIN(8,AF25)*AF24,AF24*AF25)))),MAX(0,40*MAX(1,AF24)-(AE26)))))</f>
        <v>10</v>
      </c>
      <c r="AG26" s="62">
        <f>IF(AND(AG24=1,AG25=12,E23="Auto",B23="COORDINATOR SAFETY 01",AND('Job setup'!$B$9="ON",'Job setup'!$C$9&lt;=AG$6,'Job setup'!$D$9&gt;=AG$6,'Job setup'!$G$9="NO")),10,IF(OS23,MIN(IF(OR(AG24&lt;=0,NOT('_JobDays'!X2)),0,IF(WEEKDAY(AG$6,1)=1,0,MIN(IF('_JobDays'!X3,8,10),AG25)*AG24)),MAX(0,40*MAX(1,AG24)-(AE26+AF26))),MIN(IF(OR(AG24&lt;=0,NOT('_JobDays'!X2)),0,IF(WEEKDAY(AG$6,1)=1,0,IF(WEEKDAY(AG$6,1)=7,0,IF('_JobDays'!X4,MIN(8,AG25)*AG24,AG24*AG25)))),MAX(0,40*MAX(1,AG24)-(AE26+AF26)))))</f>
        <v>10</v>
      </c>
      <c r="AH26" s="62">
        <f>IF(AND(AH24=1,AH25=8,E23="Auto",B23="COORDINATOR SAFETY 01",AND('Job setup'!$B$11="ON",'Job setup'!$C$11&lt;=AH$6,'Job setup'!$D$11&gt;=AH$6,'Job setup'!$G$11="YES")),8,IF(OS23,MIN(IF(OR(AH24&lt;=0,NOT('_JobDays'!Y2)),0,IF(WEEKDAY(AH$6,1)=1,0,MIN(IF('_JobDays'!Y3,8,10),AH25)*AH24)),MAX(0,40*MAX(1,AH24)-(AE26+AF26+AG26))),MIN(IF(OR(AH24&lt;=0,NOT('_JobDays'!Y2)),0,IF(WEEKDAY(AH$6,1)=1,0,IF(WEEKDAY(AH$6,1)=7,0,IF('_JobDays'!Y4,MIN(8,AH25)*AH24,AH24*AH25)))),MAX(0,40*MAX(1,AH24)-(AE26+AF26+AG26)))))</f>
        <v>8</v>
      </c>
      <c r="AI26" s="62">
        <f>IF(AND(AI24=1,AI25=8,E23="Auto",B23="COORDINATOR SAFETY 01",AND('Job setup'!$B$11="ON",'Job setup'!$C$11&lt;=AI$6,'Job setup'!$D$11&gt;=AI$6,'Job setup'!$G$11="YES")),8,IF(OS23,MIN(IF(OR(AI24&lt;=0,NOT('_JobDays'!Z2)),0,IF(WEEKDAY(AI$6,1)=1,0,MIN(IF('_JobDays'!Z3,8,10),AI25)*AI24)),MAX(0,40*MAX(1,AI24)-(AE26+AF26+AG26+AH26))),MIN(IF(OR(AI24&lt;=0,NOT('_JobDays'!Z2)),0,IF(WEEKDAY(AI$6,1)=1,0,IF(WEEKDAY(AI$6,1)=7,0,IF('_JobDays'!Z4,MIN(8,AI25)*AI24,AI24*AI25)))),MAX(0,40*MAX(1,AI24)-(AE26+AF26+AG26+AH26)))))</f>
        <v>8</v>
      </c>
      <c r="AJ26" s="63">
        <f>IF(AND(AJ24=0,AJ25=0,E23="Auto",B23="COORDINATOR SAFETY 01",AND('Job setup'!$B$11="ON",'Job setup'!$C$11&lt;=AJ$6,'Job setup'!$D$11&gt;=AJ$6,'Job setup'!$G$11="YES")),0,IF(OS23,MIN(IF(OR(AJ24&lt;=0,NOT('_JobDays'!AA2)),0,IF(WEEKDAY(AJ$6,1)=1,0,MIN(IF('_JobDays'!AA3,8,10),AJ25)*AJ24)),MAX(0,40*MAX(1,AJ24)-(AE26+AF26+AG26+AH26+AI26))),MIN(IF(OR(AJ24&lt;=0,NOT('_JobDays'!AA2)),0,IF(WEEKDAY(AJ$6,1)=1,0,IF(WEEKDAY(AJ$6,1)=7,0,IF('_JobDays'!AA4,MIN(8,AJ25)*AJ24,AJ24*AJ25)))),MAX(0,40*MAX(1,AJ24)-(AE26+AF26+AG26+AH26+AI26)))))</f>
        <v>0</v>
      </c>
      <c r="AK26" s="63">
        <f>IF(AND(AK24=0,AK25=0,E23="Auto",B23="COORDINATOR SAFETY 01",AND('Job setup'!$B$11="ON",'Job setup'!$C$11&lt;=AK$6,'Job setup'!$D$11&gt;=AK$6,'Job setup'!$G$11="YES")),0,IF(OS23,MIN(IF(OR(AK24&lt;=0,NOT('_JobDays'!AB2)),0,IF(WEEKDAY(AK$6,1)=1,0,MIN(IF('_JobDays'!AB3,8,10),AK25)*AK24)),MAX(0,40*MAX(1,AK24)-(AE26+AF26+AG26+AH26+AI26+AJ26))),MIN(IF(OR(AK24&lt;=0,NOT('_JobDays'!AB2)),0,IF(WEEKDAY(AK$6,1)=1,0,IF(WEEKDAY(AK$6,1)=7,0,IF('_JobDays'!AB4,MIN(8,AK25)*AK24,AK24*AK25)))),MAX(0,40*MAX(1,AK24)-(AE26+AF26+AG26+AH26+AI26+AJ26)))))</f>
        <v>0</v>
      </c>
      <c r="AL26" s="62">
        <f>IF(AND(AL24=1,AL25=8,E23="Auto",B23="COORDINATOR SAFETY 01",AND('Job setup'!$B$11="ON",'Job setup'!$C$11&lt;=AL$6,'Job setup'!$D$11&gt;=AL$6,'Job setup'!$G$11="YES")),8,IF(OS23,MIN(IF(OR(AL24&lt;=0,NOT('_JobDays'!AC2)),0,IF(WEEKDAY(AL$6,1)=1,0,MIN(IF('_JobDays'!AC3,8,10),AL25)*AL24)),MAX(0,40*MAX(1,AL24)-(0))),MIN(IF(OR(AL24&lt;=0,NOT('_JobDays'!AC2)),0,IF(WEEKDAY(AL$6,1)=1,0,IF(WEEKDAY(AL$6,1)=7,0,IF('_JobDays'!AC4,MIN(8,AL25)*AL24,AL24*AL25)))),MAX(0,40*MAX(1,AL24)-(0)))))</f>
        <v>8</v>
      </c>
      <c r="AM26" s="62">
        <f>IF(AND(AM24=1,AM25=8,E23="Auto",B23="COORDINATOR SAFETY 01",AND('Job setup'!$B$11="ON",'Job setup'!$C$11&lt;=AM$6,'Job setup'!$D$11&gt;=AM$6,'Job setup'!$G$11="YES")),8,IF(OS23,MIN(IF(OR(AM24&lt;=0,NOT('_JobDays'!AD2)),0,IF(WEEKDAY(AM$6,1)=1,0,MIN(IF('_JobDays'!AD3,8,10),AM25)*AM24)),MAX(0,40*MAX(1,AM24)-(AL26))),MIN(IF(OR(AM24&lt;=0,NOT('_JobDays'!AD2)),0,IF(WEEKDAY(AM$6,1)=1,0,IF(WEEKDAY(AM$6,1)=7,0,IF('_JobDays'!AD4,MIN(8,AM25)*AM24,AM24*AM25)))),MAX(0,40*MAX(1,AM24)-(AL26)))))</f>
        <v>8</v>
      </c>
      <c r="AN26" s="62">
        <f>IF(AND(AN24=1,AN25=8,E23="Auto",B23="COORDINATOR SAFETY 01",AND('Job setup'!$B$11="ON",'Job setup'!$C$11&lt;=AN$6,'Job setup'!$D$11&gt;=AN$6,'Job setup'!$G$11="YES")),8,IF(OS23,MIN(IF(OR(AN24&lt;=0,NOT('_JobDays'!AE2)),0,IF(WEEKDAY(AN$6,1)=1,0,MIN(IF('_JobDays'!AE3,8,10),AN25)*AN24)),MAX(0,40*MAX(1,AN24)-(AL26+AM26))),MIN(IF(OR(AN24&lt;=0,NOT('_JobDays'!AE2)),0,IF(WEEKDAY(AN$6,1)=1,0,IF(WEEKDAY(AN$6,1)=7,0,IF('_JobDays'!AE4,MIN(8,AN25)*AN24,AN24*AN25)))),MAX(0,40*MAX(1,AN24)-(AL26+AM26)))))</f>
        <v>8</v>
      </c>
      <c r="AO26" s="64">
        <f>IF(AND(AO24=1,AO25=8,E23="Auto",B23="COORDINATOR SAFETY 01",AND('Job setup'!$B$11="ON",'Job setup'!$C$11&lt;=AO$6,'Job setup'!$D$11&gt;=AO$6,'Job setup'!$G$11="YES")),8,IF(OS23,MIN(IF(OR(AO24&lt;=0,NOT('_JobDays'!AF2)),0,IF(WEEKDAY(AO$6,1)=1,0,MIN(IF('_JobDays'!AF3,8,10),AO25)*AO24)),MAX(0,40*MAX(1,AO24)-(AL26+AM26+AN26))),MIN(IF(OR(AO24&lt;=0,NOT('_JobDays'!AF2)),0,IF(WEEKDAY(AO$6,1)=1,0,IF(WEEKDAY(AO$6,1)=7,0,IF('_JobDays'!AF4,MIN(8,AO25)*AO24,AO24*AO25)))),MAX(0,40*MAX(1,AO24)-(AL26+AM26+AN26)))))</f>
        <v>8</v>
      </c>
      <c r="OT26" s="28" t="s">
        <v>67</v>
      </c>
    </row>
    <row r="27" ht="16" customHeight="1" spans="1:410" x14ac:dyDescent="0.25">
      <c r="A27" s="43"/>
      <c r="B27" s="44"/>
      <c r="C27" s="65">
        <f>G23*N(D27)</f>
        <v>5376.8</v>
      </c>
      <c r="D27" s="65">
        <f>IF(TRIM(B23)="","No rate",IFERROR(INDEX('Rate Tables'!D$7:D$161,MATCH(B23,'Rate Tables'!A$7:A$161,0)),"No rate"))</f>
        <v>122.2</v>
      </c>
      <c r="E27" s="54" t="s">
        <v>61</v>
      </c>
      <c r="F27" s="48"/>
      <c r="G27" s="48"/>
      <c r="H27" s="48"/>
      <c r="I27" s="49"/>
      <c r="J27" s="61">
        <f>IF(AND(J24=1,J25=8,E23="Auto",B23="COORDINATOR SAFETY 01",AND('Job setup'!$B$7="ON",'Job setup'!$C$7&lt;=J$6,'Job setup'!$D$7&gt;=J$6,'Job setup'!$G$7="YES")),0,IF(OS23,IF(OR(J24&lt;=0,NOT('_JobDays'!A2)),0,IF(WEEKDAY(J$6,1)=1,0,MAX(0,J25-(IF('_JobDays'!A3,8,10)))*J24))+((IF(OR(J24&lt;=0,NOT('_JobDays'!A2)),0,IF(WEEKDAY(J$6,1)=1,0,MIN(IF('_JobDays'!A3,8,10),J25)*J24)))-MIN(IF(OR(J24&lt;=0,NOT('_JobDays'!A2)),0,IF(WEEKDAY(J$6,1)=1,0,MIN(IF('_JobDays'!A3,8,10),J25)*J24)),MAX(0,40*MAX(1,J24)-(0)))),IF(OR(J24&lt;=0,NOT('_JobDays'!A2)),0,IF(WEEKDAY(J$6,1)=1,0,IF(WEEKDAY(J$6,1)=7,J24*J25,IF('_JobDays'!A4,MAX(0,J25-8)*J24,0))))+((IF(OR(J24&lt;=0,NOT('_JobDays'!A2)),0,IF(WEEKDAY(J$6,1)=1,0,IF(WEEKDAY(J$6,1)=7,0,IF('_JobDays'!A4,MIN(8,J25)*J24,J24*J25)))))-MIN(IF(OR(J24&lt;=0,NOT('_JobDays'!A2)),0,IF(WEEKDAY(J$6,1)=1,0,IF(WEEKDAY(J$6,1)=7,0,IF('_JobDays'!A4,MIN(8,J25)*J24,J24*J25)))),MAX(0,40*MAX(1,J24)-(0))))))</f>
        <v>0</v>
      </c>
      <c r="K27" s="62">
        <f>IF(AND(K24=1,K25=8,E23="Auto",B23="COORDINATOR SAFETY 01",AND('Job setup'!$B$7="ON",'Job setup'!$C$7&lt;=K$6,'Job setup'!$D$7&gt;=K$6,'Job setup'!$G$7="YES")),0,IF(OS23,IF(OR(K24&lt;=0,NOT('_JobDays'!B2)),0,IF(WEEKDAY(K$6,1)=1,0,MAX(0,K25-(IF('_JobDays'!B3,8,10)))*K24))+((IF(OR(K24&lt;=0,NOT('_JobDays'!B2)),0,IF(WEEKDAY(K$6,1)=1,0,MIN(IF('_JobDays'!B3,8,10),K25)*K24)))-MIN(IF(OR(K24&lt;=0,NOT('_JobDays'!B2)),0,IF(WEEKDAY(K$6,1)=1,0,MIN(IF('_JobDays'!B3,8,10),K25)*K24)),MAX(0,40*MAX(1,K24)-(J26)))),IF(OR(K24&lt;=0,NOT('_JobDays'!B2)),0,IF(WEEKDAY(K$6,1)=1,0,IF(WEEKDAY(K$6,1)=7,K24*K25,IF('_JobDays'!B4,MAX(0,K25-8)*K24,0))))+((IF(OR(K24&lt;=0,NOT('_JobDays'!B2)),0,IF(WEEKDAY(K$6,1)=1,0,IF(WEEKDAY(K$6,1)=7,0,IF('_JobDays'!B4,MIN(8,K25)*K24,K24*K25)))))-MIN(IF(OR(K24&lt;=0,NOT('_JobDays'!B2)),0,IF(WEEKDAY(K$6,1)=1,0,IF(WEEKDAY(K$6,1)=7,0,IF('_JobDays'!B4,MIN(8,K25)*K24,K24*K25)))),MAX(0,40*MAX(1,K24)-(J26))))))</f>
        <v>0</v>
      </c>
      <c r="L27" s="62">
        <f>IF(AND(L24=1,L25=8,E23="Auto",B23="COORDINATOR SAFETY 01",AND('Job setup'!$B$7="ON",'Job setup'!$C$7&lt;=L$6,'Job setup'!$D$7&gt;=L$6,'Job setup'!$G$7="YES")),0,IF(OS23,IF(OR(L24&lt;=0,NOT('_JobDays'!C2)),0,IF(WEEKDAY(L$6,1)=1,0,MAX(0,L25-(IF('_JobDays'!C3,8,10)))*L24))+((IF(OR(L24&lt;=0,NOT('_JobDays'!C2)),0,IF(WEEKDAY(L$6,1)=1,0,MIN(IF('_JobDays'!C3,8,10),L25)*L24)))-MIN(IF(OR(L24&lt;=0,NOT('_JobDays'!C2)),0,IF(WEEKDAY(L$6,1)=1,0,MIN(IF('_JobDays'!C3,8,10),L25)*L24)),MAX(0,40*MAX(1,L24)-(J26+K26)))),IF(OR(L24&lt;=0,NOT('_JobDays'!C2)),0,IF(WEEKDAY(L$6,1)=1,0,IF(WEEKDAY(L$6,1)=7,L24*L25,IF('_JobDays'!C4,MAX(0,L25-8)*L24,0))))+((IF(OR(L24&lt;=0,NOT('_JobDays'!C2)),0,IF(WEEKDAY(L$6,1)=1,0,IF(WEEKDAY(L$6,1)=7,0,IF('_JobDays'!C4,MIN(8,L25)*L24,L24*L25)))))-MIN(IF(OR(L24&lt;=0,NOT('_JobDays'!C2)),0,IF(WEEKDAY(L$6,1)=1,0,IF(WEEKDAY(L$6,1)=7,0,IF('_JobDays'!C4,MIN(8,L25)*L24,L24*L25)))),MAX(0,40*MAX(1,L24)-(J26+K26))))))</f>
        <v>0</v>
      </c>
      <c r="M27" s="62">
        <f>IF(AND(M24=1,M25=8,E23="Auto",B23="COORDINATOR SAFETY 01",AND('Job setup'!$B$7="ON",'Job setup'!$C$7&lt;=M$6,'Job setup'!$D$7&gt;=M$6,'Job setup'!$G$7="YES")),0,IF(OS23,IF(OR(M24&lt;=0,NOT('_JobDays'!D2)),0,IF(WEEKDAY(M$6,1)=1,0,MAX(0,M25-(IF('_JobDays'!D3,8,10)))*M24))+((IF(OR(M24&lt;=0,NOT('_JobDays'!D2)),0,IF(WEEKDAY(M$6,1)=1,0,MIN(IF('_JobDays'!D3,8,10),M25)*M24)))-MIN(IF(OR(M24&lt;=0,NOT('_JobDays'!D2)),0,IF(WEEKDAY(M$6,1)=1,0,MIN(IF('_JobDays'!D3,8,10),M25)*M24)),MAX(0,40*MAX(1,M24)-(J26+K26+L26)))),IF(OR(M24&lt;=0,NOT('_JobDays'!D2)),0,IF(WEEKDAY(M$6,1)=1,0,IF(WEEKDAY(M$6,1)=7,M24*M25,IF('_JobDays'!D4,MAX(0,M25-8)*M24,0))))+((IF(OR(M24&lt;=0,NOT('_JobDays'!D2)),0,IF(WEEKDAY(M$6,1)=1,0,IF(WEEKDAY(M$6,1)=7,0,IF('_JobDays'!D4,MIN(8,M25)*M24,M24*M25)))))-MIN(IF(OR(M24&lt;=0,NOT('_JobDays'!D2)),0,IF(WEEKDAY(M$6,1)=1,0,IF(WEEKDAY(M$6,1)=7,0,IF('_JobDays'!D4,MIN(8,M25)*M24,M24*M25)))),MAX(0,40*MAX(1,M24)-(J26+K26+L26))))))</f>
        <v>0</v>
      </c>
      <c r="N27" s="62">
        <f>IF(AND(N24=1,N25=8,E23="Auto",B23="COORDINATOR SAFETY 01",AND('Job setup'!$B$7="ON",'Job setup'!$C$7&lt;=N$6,'Job setup'!$D$7&gt;=N$6,'Job setup'!$G$7="YES")),0,IF(OS23,IF(OR(N24&lt;=0,NOT('_JobDays'!E2)),0,IF(WEEKDAY(N$6,1)=1,0,MAX(0,N25-(IF('_JobDays'!E3,8,10)))*N24))+((IF(OR(N24&lt;=0,NOT('_JobDays'!E2)),0,IF(WEEKDAY(N$6,1)=1,0,MIN(IF('_JobDays'!E3,8,10),N25)*N24)))-MIN(IF(OR(N24&lt;=0,NOT('_JobDays'!E2)),0,IF(WEEKDAY(N$6,1)=1,0,MIN(IF('_JobDays'!E3,8,10),N25)*N24)),MAX(0,40*MAX(1,N24)-(J26+K26+L26+M26)))),IF(OR(N24&lt;=0,NOT('_JobDays'!E2)),0,IF(WEEKDAY(N$6,1)=1,0,IF(WEEKDAY(N$6,1)=7,N24*N25,IF('_JobDays'!E4,MAX(0,N25-8)*N24,0))))+((IF(OR(N24&lt;=0,NOT('_JobDays'!E2)),0,IF(WEEKDAY(N$6,1)=1,0,IF(WEEKDAY(N$6,1)=7,0,IF('_JobDays'!E4,MIN(8,N25)*N24,N24*N25)))))-MIN(IF(OR(N24&lt;=0,NOT('_JobDays'!E2)),0,IF(WEEKDAY(N$6,1)=1,0,IF(WEEKDAY(N$6,1)=7,0,IF('_JobDays'!E4,MIN(8,N25)*N24,N24*N25)))),MAX(0,40*MAX(1,N24)-(J26+K26+L26+M26))))))</f>
        <v>0</v>
      </c>
      <c r="O27" s="63">
        <f>IF(AND(O24=0,O25=0,E23="Auto",B23="COORDINATOR SAFETY 01",AND('Job setup'!$B$7="ON",'Job setup'!$C$7&lt;=O$6,'Job setup'!$D$7&gt;=O$6,'Job setup'!$G$7="YES")),0,IF(OS23,IF(OR(O24&lt;=0,NOT('_JobDays'!F2)),0,IF(WEEKDAY(O$6,1)=1,0,MAX(0,O25-(IF('_JobDays'!F3,8,10)))*O24))+((IF(OR(O24&lt;=0,NOT('_JobDays'!F2)),0,IF(WEEKDAY(O$6,1)=1,0,MIN(IF('_JobDays'!F3,8,10),O25)*O24)))-MIN(IF(OR(O24&lt;=0,NOT('_JobDays'!F2)),0,IF(WEEKDAY(O$6,1)=1,0,MIN(IF('_JobDays'!F3,8,10),O25)*O24)),MAX(0,40*MAX(1,O24)-(J26+K26+L26+M26+N26)))),IF(OR(O24&lt;=0,NOT('_JobDays'!F2)),0,IF(WEEKDAY(O$6,1)=1,0,IF(WEEKDAY(O$6,1)=7,O24*O25,IF('_JobDays'!F4,MAX(0,O25-8)*O24,0))))+((IF(OR(O24&lt;=0,NOT('_JobDays'!F2)),0,IF(WEEKDAY(O$6,1)=1,0,IF(WEEKDAY(O$6,1)=7,0,IF('_JobDays'!F4,MIN(8,O25)*O24,O24*O25)))))-MIN(IF(OR(O24&lt;=0,NOT('_JobDays'!F2)),0,IF(WEEKDAY(O$6,1)=1,0,IF(WEEKDAY(O$6,1)=7,0,IF('_JobDays'!F4,MIN(8,O25)*O24,O24*O25)))),MAX(0,40*MAX(1,O24)-(J26+K26+L26+M26+N26))))))</f>
        <v>0</v>
      </c>
      <c r="P27" s="63">
        <f>IF(AND(P24=0,P25=0,E23="Auto",B23="COORDINATOR SAFETY 01",AND('Job setup'!$B$7="ON",'Job setup'!$C$7&lt;=P$6,'Job setup'!$D$7&gt;=P$6,'Job setup'!$G$7="YES")),0,IF(OS23,IF(OR(P24&lt;=0,NOT('_JobDays'!G2)),0,IF(WEEKDAY(P$6,1)=1,0,MAX(0,P25-(IF('_JobDays'!G3,8,10)))*P24))+((IF(OR(P24&lt;=0,NOT('_JobDays'!G2)),0,IF(WEEKDAY(P$6,1)=1,0,MIN(IF('_JobDays'!G3,8,10),P25)*P24)))-MIN(IF(OR(P24&lt;=0,NOT('_JobDays'!G2)),0,IF(WEEKDAY(P$6,1)=1,0,MIN(IF('_JobDays'!G3,8,10),P25)*P24)),MAX(0,40*MAX(1,P24)-(J26+K26+L26+M26+N26+O26)))),IF(OR(P24&lt;=0,NOT('_JobDays'!G2)),0,IF(WEEKDAY(P$6,1)=1,0,IF(WEEKDAY(P$6,1)=7,P24*P25,IF('_JobDays'!G4,MAX(0,P25-8)*P24,0))))+((IF(OR(P24&lt;=0,NOT('_JobDays'!G2)),0,IF(WEEKDAY(P$6,1)=1,0,IF(WEEKDAY(P$6,1)=7,0,IF('_JobDays'!G4,MIN(8,P25)*P24,P24*P25)))))-MIN(IF(OR(P24&lt;=0,NOT('_JobDays'!G2)),0,IF(WEEKDAY(P$6,1)=1,0,IF(WEEKDAY(P$6,1)=7,0,IF('_JobDays'!G4,MIN(8,P25)*P24,P24*P25)))),MAX(0,40*MAX(1,P24)-(J26+K26+L26+M26+N26+O26))))))</f>
        <v>0</v>
      </c>
      <c r="Q27" s="62">
        <f>IF(AND(Q24=1,Q25=8,E23="Auto",B23="COORDINATOR SAFETY 01",AND('Job setup'!$B$7="ON",'Job setup'!$C$7&lt;=Q$6,'Job setup'!$D$7&gt;=Q$6,'Job setup'!$G$7="YES")),0,IF(OS23,IF(OR(Q24&lt;=0,NOT('_JobDays'!H2)),0,IF(WEEKDAY(Q$6,1)=1,0,MAX(0,Q25-(IF('_JobDays'!H3,8,10)))*Q24))+((IF(OR(Q24&lt;=0,NOT('_JobDays'!H2)),0,IF(WEEKDAY(Q$6,1)=1,0,MIN(IF('_JobDays'!H3,8,10),Q25)*Q24)))-MIN(IF(OR(Q24&lt;=0,NOT('_JobDays'!H2)),0,IF(WEEKDAY(Q$6,1)=1,0,MIN(IF('_JobDays'!H3,8,10),Q25)*Q24)),MAX(0,40*MAX(1,Q24)-(0)))),IF(OR(Q24&lt;=0,NOT('_JobDays'!H2)),0,IF(WEEKDAY(Q$6,1)=1,0,IF(WEEKDAY(Q$6,1)=7,Q24*Q25,IF('_JobDays'!H4,MAX(0,Q25-8)*Q24,0))))+((IF(OR(Q24&lt;=0,NOT('_JobDays'!H2)),0,IF(WEEKDAY(Q$6,1)=1,0,IF(WEEKDAY(Q$6,1)=7,0,IF('_JobDays'!H4,MIN(8,Q25)*Q24,Q24*Q25)))))-MIN(IF(OR(Q24&lt;=0,NOT('_JobDays'!H2)),0,IF(WEEKDAY(Q$6,1)=1,0,IF(WEEKDAY(Q$6,1)=7,0,IF('_JobDays'!H4,MIN(8,Q25)*Q24,Q24*Q25)))),MAX(0,40*MAX(1,Q24)-(0))))))</f>
        <v>0</v>
      </c>
      <c r="R27" s="62">
        <f>IF(AND(R24=1,R25=8,E23="Auto",B23="COORDINATOR SAFETY 01",AND('Job setup'!$B$7="ON",'Job setup'!$C$7&lt;=R$6,'Job setup'!$D$7&gt;=R$6,'Job setup'!$G$7="YES")),0,IF(OS23,IF(OR(R24&lt;=0,NOT('_JobDays'!I2)),0,IF(WEEKDAY(R$6,1)=1,0,MAX(0,R25-(IF('_JobDays'!I3,8,10)))*R24))+((IF(OR(R24&lt;=0,NOT('_JobDays'!I2)),0,IF(WEEKDAY(R$6,1)=1,0,MIN(IF('_JobDays'!I3,8,10),R25)*R24)))-MIN(IF(OR(R24&lt;=0,NOT('_JobDays'!I2)),0,IF(WEEKDAY(R$6,1)=1,0,MIN(IF('_JobDays'!I3,8,10),R25)*R24)),MAX(0,40*MAX(1,R24)-(Q26)))),IF(OR(R24&lt;=0,NOT('_JobDays'!I2)),0,IF(WEEKDAY(R$6,1)=1,0,IF(WEEKDAY(R$6,1)=7,R24*R25,IF('_JobDays'!I4,MAX(0,R25-8)*R24,0))))+((IF(OR(R24&lt;=0,NOT('_JobDays'!I2)),0,IF(WEEKDAY(R$6,1)=1,0,IF(WEEKDAY(R$6,1)=7,0,IF('_JobDays'!I4,MIN(8,R25)*R24,R24*R25)))))-MIN(IF(OR(R24&lt;=0,NOT('_JobDays'!I2)),0,IF(WEEKDAY(R$6,1)=1,0,IF(WEEKDAY(R$6,1)=7,0,IF('_JobDays'!I4,MIN(8,R25)*R24,R24*R25)))),MAX(0,40*MAX(1,R24)-(Q26))))))</f>
        <v>0</v>
      </c>
      <c r="S27" s="62">
        <f>IF(AND(S24=1,S25=8,E23="Auto",B23="COORDINATOR SAFETY 01",AND('Job setup'!$B$7="ON",'Job setup'!$C$7&lt;=S$6,'Job setup'!$D$7&gt;=S$6,'Job setup'!$G$7="YES")),0,IF(OS23,IF(OR(S24&lt;=0,NOT('_JobDays'!J2)),0,IF(WEEKDAY(S$6,1)=1,0,MAX(0,S25-(IF('_JobDays'!J3,8,10)))*S24))+((IF(OR(S24&lt;=0,NOT('_JobDays'!J2)),0,IF(WEEKDAY(S$6,1)=1,0,MIN(IF('_JobDays'!J3,8,10),S25)*S24)))-MIN(IF(OR(S24&lt;=0,NOT('_JobDays'!J2)),0,IF(WEEKDAY(S$6,1)=1,0,MIN(IF('_JobDays'!J3,8,10),S25)*S24)),MAX(0,40*MAX(1,S24)-(Q26+R26)))),IF(OR(S24&lt;=0,NOT('_JobDays'!J2)),0,IF(WEEKDAY(S$6,1)=1,0,IF(WEEKDAY(S$6,1)=7,S24*S25,IF('_JobDays'!J4,MAX(0,S25-8)*S24,0))))+((IF(OR(S24&lt;=0,NOT('_JobDays'!J2)),0,IF(WEEKDAY(S$6,1)=1,0,IF(WEEKDAY(S$6,1)=7,0,IF('_JobDays'!J4,MIN(8,S25)*S24,S24*S25)))))-MIN(IF(OR(S24&lt;=0,NOT('_JobDays'!J2)),0,IF(WEEKDAY(S$6,1)=1,0,IF(WEEKDAY(S$6,1)=7,0,IF('_JobDays'!J4,MIN(8,S25)*S24,S24*S25)))),MAX(0,40*MAX(1,S24)-(Q26+R26))))))</f>
        <v>0</v>
      </c>
      <c r="T27" s="62">
        <f>IF(AND(T24=1,T25=12,E23="Auto",B23="COORDINATOR SAFETY 01",AND('Job setup'!$B$9="ON",'Job setup'!$C$9&lt;=T$6,'Job setup'!$D$9&gt;=T$6,'Job setup'!$G$9="NO")),2,IF(OS23,IF(OR(T24&lt;=0,NOT('_JobDays'!K2)),0,IF(WEEKDAY(T$6,1)=1,0,MAX(0,T25-(IF('_JobDays'!K3,8,10)))*T24))+((IF(OR(T24&lt;=0,NOT('_JobDays'!K2)),0,IF(WEEKDAY(T$6,1)=1,0,MIN(IF('_JobDays'!K3,8,10),T25)*T24)))-MIN(IF(OR(T24&lt;=0,NOT('_JobDays'!K2)),0,IF(WEEKDAY(T$6,1)=1,0,MIN(IF('_JobDays'!K3,8,10),T25)*T24)),MAX(0,40*MAX(1,T24)-(Q26+R26+S26)))),IF(OR(T24&lt;=0,NOT('_JobDays'!K2)),0,IF(WEEKDAY(T$6,1)=1,0,IF(WEEKDAY(T$6,1)=7,T24*T25,IF('_JobDays'!K4,MAX(0,T25-8)*T24,0))))+((IF(OR(T24&lt;=0,NOT('_JobDays'!K2)),0,IF(WEEKDAY(T$6,1)=1,0,IF(WEEKDAY(T$6,1)=7,0,IF('_JobDays'!K4,MIN(8,T25)*T24,T24*T25)))))-MIN(IF(OR(T24&lt;=0,NOT('_JobDays'!K2)),0,IF(WEEKDAY(T$6,1)=1,0,IF(WEEKDAY(T$6,1)=7,0,IF('_JobDays'!K4,MIN(8,T25)*T24,T24*T25)))),MAX(0,40*MAX(1,T24)-(Q26+R26+S26))))))</f>
        <v>2</v>
      </c>
      <c r="U27" s="62">
        <f>IF(AND(U24=1,U25=12,E23="Auto",B23="COORDINATOR SAFETY 01",AND('Job setup'!$B$9="ON",'Job setup'!$C$9&lt;=U$6,'Job setup'!$D$9&gt;=U$6,'Job setup'!$G$9="NO")),2,IF(OS23,IF(OR(U24&lt;=0,NOT('_JobDays'!L2)),0,IF(WEEKDAY(U$6,1)=1,0,MAX(0,U25-(IF('_JobDays'!L3,8,10)))*U24))+((IF(OR(U24&lt;=0,NOT('_JobDays'!L2)),0,IF(WEEKDAY(U$6,1)=1,0,MIN(IF('_JobDays'!L3,8,10),U25)*U24)))-MIN(IF(OR(U24&lt;=0,NOT('_JobDays'!L2)),0,IF(WEEKDAY(U$6,1)=1,0,MIN(IF('_JobDays'!L3,8,10),U25)*U24)),MAX(0,40*MAX(1,U24)-(Q26+R26+S26+T26)))),IF(OR(U24&lt;=0,NOT('_JobDays'!L2)),0,IF(WEEKDAY(U$6,1)=1,0,IF(WEEKDAY(U$6,1)=7,U24*U25,IF('_JobDays'!L4,MAX(0,U25-8)*U24,0))))+((IF(OR(U24&lt;=0,NOT('_JobDays'!L2)),0,IF(WEEKDAY(U$6,1)=1,0,IF(WEEKDAY(U$6,1)=7,0,IF('_JobDays'!L4,MIN(8,U25)*U24,U24*U25)))))-MIN(IF(OR(U24&lt;=0,NOT('_JobDays'!L2)),0,IF(WEEKDAY(U$6,1)=1,0,IF(WEEKDAY(U$6,1)=7,0,IF('_JobDays'!L4,MIN(8,U25)*U24,U24*U25)))),MAX(0,40*MAX(1,U24)-(Q26+R26+S26+T26))))))</f>
        <v>2</v>
      </c>
      <c r="V27" s="63">
        <f>IF(AND(V24=1,V25=12,E23="Auto",B23="COORDINATOR SAFETY 01",AND('Job setup'!$B$9="ON",'Job setup'!$C$9&lt;=V$6,'Job setup'!$D$9&gt;=V$6,'Job setup'!$G$9="NO")),2,IF(OS23,IF(OR(V24&lt;=0,NOT('_JobDays'!M2)),0,IF(WEEKDAY(V$6,1)=1,0,MAX(0,V25-(IF('_JobDays'!M3,8,10)))*V24))+((IF(OR(V24&lt;=0,NOT('_JobDays'!M2)),0,IF(WEEKDAY(V$6,1)=1,0,MIN(IF('_JobDays'!M3,8,10),V25)*V24)))-MIN(IF(OR(V24&lt;=0,NOT('_JobDays'!M2)),0,IF(WEEKDAY(V$6,1)=1,0,MIN(IF('_JobDays'!M3,8,10),V25)*V24)),MAX(0,40*MAX(1,V24)-(Q26+R26+S26+T26+U26)))),IF(OR(V24&lt;=0,NOT('_JobDays'!M2)),0,IF(WEEKDAY(V$6,1)=1,0,IF(WEEKDAY(V$6,1)=7,V24*V25,IF('_JobDays'!M4,MAX(0,V25-8)*V24,0))))+((IF(OR(V24&lt;=0,NOT('_JobDays'!M2)),0,IF(WEEKDAY(V$6,1)=1,0,IF(WEEKDAY(V$6,1)=7,0,IF('_JobDays'!M4,MIN(8,V25)*V24,V24*V25)))))-MIN(IF(OR(V24&lt;=0,NOT('_JobDays'!M2)),0,IF(WEEKDAY(V$6,1)=1,0,IF(WEEKDAY(V$6,1)=7,0,IF('_JobDays'!M4,MIN(8,V25)*V24,V24*V25)))),MAX(0,40*MAX(1,V24)-(Q26+R26+S26+T26+U26))))))</f>
        <v>2</v>
      </c>
      <c r="W27" s="63">
        <f>IF(AND(W24=1,W25=12,E23="Auto",B23="COORDINATOR SAFETY 01",AND('Job setup'!$B$9="ON",'Job setup'!$C$9&lt;=W$6,'Job setup'!$D$9&gt;=W$6,'Job setup'!$G$9="NO")),0,IF(OS23,IF(OR(W24&lt;=0,NOT('_JobDays'!N2)),0,IF(WEEKDAY(W$6,1)=1,0,MAX(0,W25-(IF('_JobDays'!N3,8,10)))*W24))+((IF(OR(W24&lt;=0,NOT('_JobDays'!N2)),0,IF(WEEKDAY(W$6,1)=1,0,MIN(IF('_JobDays'!N3,8,10),W25)*W24)))-MIN(IF(OR(W24&lt;=0,NOT('_JobDays'!N2)),0,IF(WEEKDAY(W$6,1)=1,0,MIN(IF('_JobDays'!N3,8,10),W25)*W24)),MAX(0,40*MAX(1,W24)-(Q26+R26+S26+T26+U26+V26)))),IF(OR(W24&lt;=0,NOT('_JobDays'!N2)),0,IF(WEEKDAY(W$6,1)=1,0,IF(WEEKDAY(W$6,1)=7,W24*W25,IF('_JobDays'!N4,MAX(0,W25-8)*W24,0))))+((IF(OR(W24&lt;=0,NOT('_JobDays'!N2)),0,IF(WEEKDAY(W$6,1)=1,0,IF(WEEKDAY(W$6,1)=7,0,IF('_JobDays'!N4,MIN(8,W25)*W24,W24*W25)))))-MIN(IF(OR(W24&lt;=0,NOT('_JobDays'!N2)),0,IF(WEEKDAY(W$6,1)=1,0,IF(WEEKDAY(W$6,1)=7,0,IF('_JobDays'!N4,MIN(8,W25)*W24,W24*W25)))),MAX(0,40*MAX(1,W24)-(Q26+R26+S26+T26+U26+V26))))))</f>
        <v>0</v>
      </c>
      <c r="X27" s="62">
        <f>IF(AND(X24=1,X25=12,E23="Auto",B23="COORDINATOR SAFETY 01",AND('Job setup'!$B$9="ON",'Job setup'!$C$9&lt;=X$6,'Job setup'!$D$9&gt;=X$6,'Job setup'!$G$9="NO")),2,IF(OS23,IF(OR(X24&lt;=0,NOT('_JobDays'!O2)),0,IF(WEEKDAY(X$6,1)=1,0,MAX(0,X25-(IF('_JobDays'!O3,8,10)))*X24))+((IF(OR(X24&lt;=0,NOT('_JobDays'!O2)),0,IF(WEEKDAY(X$6,1)=1,0,MIN(IF('_JobDays'!O3,8,10),X25)*X24)))-MIN(IF(OR(X24&lt;=0,NOT('_JobDays'!O2)),0,IF(WEEKDAY(X$6,1)=1,0,MIN(IF('_JobDays'!O3,8,10),X25)*X24)),MAX(0,40*MAX(1,X24)-(0)))),IF(OR(X24&lt;=0,NOT('_JobDays'!O2)),0,IF(WEEKDAY(X$6,1)=1,0,IF(WEEKDAY(X$6,1)=7,X24*X25,IF('_JobDays'!O4,MAX(0,X25-8)*X24,0))))+((IF(OR(X24&lt;=0,NOT('_JobDays'!O2)),0,IF(WEEKDAY(X$6,1)=1,0,IF(WEEKDAY(X$6,1)=7,0,IF('_JobDays'!O4,MIN(8,X25)*X24,X24*X25)))))-MIN(IF(OR(X24&lt;=0,NOT('_JobDays'!O2)),0,IF(WEEKDAY(X$6,1)=1,0,IF(WEEKDAY(X$6,1)=7,0,IF('_JobDays'!O4,MIN(8,X25)*X24,X24*X25)))),MAX(0,40*MAX(1,X24)-(0))))))</f>
        <v>2</v>
      </c>
      <c r="Y27" s="62">
        <f>IF(AND(Y24=1,Y25=12,E23="Auto",B23="COORDINATOR SAFETY 01",AND('Job setup'!$B$9="ON",'Job setup'!$C$9&lt;=Y$6,'Job setup'!$D$9&gt;=Y$6,'Job setup'!$G$9="NO")),2,IF(OS23,IF(OR(Y24&lt;=0,NOT('_JobDays'!P2)),0,IF(WEEKDAY(Y$6,1)=1,0,MAX(0,Y25-(IF('_JobDays'!P3,8,10)))*Y24))+((IF(OR(Y24&lt;=0,NOT('_JobDays'!P2)),0,IF(WEEKDAY(Y$6,1)=1,0,MIN(IF('_JobDays'!P3,8,10),Y25)*Y24)))-MIN(IF(OR(Y24&lt;=0,NOT('_JobDays'!P2)),0,IF(WEEKDAY(Y$6,1)=1,0,MIN(IF('_JobDays'!P3,8,10),Y25)*Y24)),MAX(0,40*MAX(1,Y24)-(X26)))),IF(OR(Y24&lt;=0,NOT('_JobDays'!P2)),0,IF(WEEKDAY(Y$6,1)=1,0,IF(WEEKDAY(Y$6,1)=7,Y24*Y25,IF('_JobDays'!P4,MAX(0,Y25-8)*Y24,0))))+((IF(OR(Y24&lt;=0,NOT('_JobDays'!P2)),0,IF(WEEKDAY(Y$6,1)=1,0,IF(WEEKDAY(Y$6,1)=7,0,IF('_JobDays'!P4,MIN(8,Y25)*Y24,Y24*Y25)))))-MIN(IF(OR(Y24&lt;=0,NOT('_JobDays'!P2)),0,IF(WEEKDAY(Y$6,1)=1,0,IF(WEEKDAY(Y$6,1)=7,0,IF('_JobDays'!P4,MIN(8,Y25)*Y24,Y24*Y25)))),MAX(0,40*MAX(1,Y24)-(X26))))))</f>
        <v>2</v>
      </c>
      <c r="Z27" s="62">
        <f>IF(AND(Z24=1,Z25=12,E23="Auto",B23="COORDINATOR SAFETY 01",AND('Job setup'!$B$9="ON",'Job setup'!$C$9&lt;=Z$6,'Job setup'!$D$9&gt;=Z$6,'Job setup'!$G$9="NO")),2,IF(OS23,IF(OR(Z24&lt;=0,NOT('_JobDays'!Q2)),0,IF(WEEKDAY(Z$6,1)=1,0,MAX(0,Z25-(IF('_JobDays'!Q3,8,10)))*Z24))+((IF(OR(Z24&lt;=0,NOT('_JobDays'!Q2)),0,IF(WEEKDAY(Z$6,1)=1,0,MIN(IF('_JobDays'!Q3,8,10),Z25)*Z24)))-MIN(IF(OR(Z24&lt;=0,NOT('_JobDays'!Q2)),0,IF(WEEKDAY(Z$6,1)=1,0,MIN(IF('_JobDays'!Q3,8,10),Z25)*Z24)),MAX(0,40*MAX(1,Z24)-(X26+Y26)))),IF(OR(Z24&lt;=0,NOT('_JobDays'!Q2)),0,IF(WEEKDAY(Z$6,1)=1,0,IF(WEEKDAY(Z$6,1)=7,Z24*Z25,IF('_JobDays'!Q4,MAX(0,Z25-8)*Z24,0))))+((IF(OR(Z24&lt;=0,NOT('_JobDays'!Q2)),0,IF(WEEKDAY(Z$6,1)=1,0,IF(WEEKDAY(Z$6,1)=7,0,IF('_JobDays'!Q4,MIN(8,Z25)*Z24,Z24*Z25)))))-MIN(IF(OR(Z24&lt;=0,NOT('_JobDays'!Q2)),0,IF(WEEKDAY(Z$6,1)=1,0,IF(WEEKDAY(Z$6,1)=7,0,IF('_JobDays'!Q4,MIN(8,Z25)*Z24,Z24*Z25)))),MAX(0,40*MAX(1,Z24)-(X26+Y26))))))</f>
        <v>2</v>
      </c>
      <c r="AA27" s="62">
        <f>IF(AND(AA24=1,AA25=12,E23="Auto",B23="COORDINATOR SAFETY 01",AND('Job setup'!$B$9="ON",'Job setup'!$C$9&lt;=AA$6,'Job setup'!$D$9&gt;=AA$6,'Job setup'!$G$9="NO")),2,IF(OS23,IF(OR(AA24&lt;=0,NOT('_JobDays'!R2)),0,IF(WEEKDAY(AA$6,1)=1,0,MAX(0,AA25-(IF('_JobDays'!R3,8,10)))*AA24))+((IF(OR(AA24&lt;=0,NOT('_JobDays'!R2)),0,IF(WEEKDAY(AA$6,1)=1,0,MIN(IF('_JobDays'!R3,8,10),AA25)*AA24)))-MIN(IF(OR(AA24&lt;=0,NOT('_JobDays'!R2)),0,IF(WEEKDAY(AA$6,1)=1,0,MIN(IF('_JobDays'!R3,8,10),AA25)*AA24)),MAX(0,40*MAX(1,AA24)-(X26+Y26+Z26)))),IF(OR(AA24&lt;=0,NOT('_JobDays'!R2)),0,IF(WEEKDAY(AA$6,1)=1,0,IF(WEEKDAY(AA$6,1)=7,AA24*AA25,IF('_JobDays'!R4,MAX(0,AA25-8)*AA24,0))))+((IF(OR(AA24&lt;=0,NOT('_JobDays'!R2)),0,IF(WEEKDAY(AA$6,1)=1,0,IF(WEEKDAY(AA$6,1)=7,0,IF('_JobDays'!R4,MIN(8,AA25)*AA24,AA24*AA25)))))-MIN(IF(OR(AA24&lt;=0,NOT('_JobDays'!R2)),0,IF(WEEKDAY(AA$6,1)=1,0,IF(WEEKDAY(AA$6,1)=7,0,IF('_JobDays'!R4,MIN(8,AA25)*AA24,AA24*AA25)))),MAX(0,40*MAX(1,AA24)-(X26+Y26+Z26))))))</f>
        <v>2</v>
      </c>
      <c r="AB27" s="62">
        <f>IF(AND(AB24=1,AB25=12,E23="Auto",B23="COORDINATOR SAFETY 01",AND('Job setup'!$B$9="ON",'Job setup'!$C$9&lt;=AB$6,'Job setup'!$D$9&gt;=AB$6,'Job setup'!$G$9="NO")),12,IF(OS23,IF(OR(AB24&lt;=0,NOT('_JobDays'!S2)),0,IF(WEEKDAY(AB$6,1)=1,0,MAX(0,AB25-(IF('_JobDays'!S3,8,10)))*AB24))+((IF(OR(AB24&lt;=0,NOT('_JobDays'!S2)),0,IF(WEEKDAY(AB$6,1)=1,0,MIN(IF('_JobDays'!S3,8,10),AB25)*AB24)))-MIN(IF(OR(AB24&lt;=0,NOT('_JobDays'!S2)),0,IF(WEEKDAY(AB$6,1)=1,0,MIN(IF('_JobDays'!S3,8,10),AB25)*AB24)),MAX(0,40*MAX(1,AB24)-(X26+Y26+Z26+AA26)))),IF(OR(AB24&lt;=0,NOT('_JobDays'!S2)),0,IF(WEEKDAY(AB$6,1)=1,0,IF(WEEKDAY(AB$6,1)=7,AB24*AB25,IF('_JobDays'!S4,MAX(0,AB25-8)*AB24,0))))+((IF(OR(AB24&lt;=0,NOT('_JobDays'!S2)),0,IF(WEEKDAY(AB$6,1)=1,0,IF(WEEKDAY(AB$6,1)=7,0,IF('_JobDays'!S4,MIN(8,AB25)*AB24,AB24*AB25)))))-MIN(IF(OR(AB24&lt;=0,NOT('_JobDays'!S2)),0,IF(WEEKDAY(AB$6,1)=1,0,IF(WEEKDAY(AB$6,1)=7,0,IF('_JobDays'!S4,MIN(8,AB25)*AB24,AB24*AB25)))),MAX(0,40*MAX(1,AB24)-(X26+Y26+Z26+AA26))))))</f>
        <v>12</v>
      </c>
      <c r="AC27" s="63">
        <f>IF(AND(AC24=1,AC25=12,E23="Auto",B23="COORDINATOR SAFETY 01",AND('Job setup'!$B$9="ON",'Job setup'!$C$9&lt;=AC$6,'Job setup'!$D$9&gt;=AC$6,'Job setup'!$G$9="NO")),12,IF(OS23,IF(OR(AC24&lt;=0,NOT('_JobDays'!T2)),0,IF(WEEKDAY(AC$6,1)=1,0,MAX(0,AC25-(IF('_JobDays'!T3,8,10)))*AC24))+((IF(OR(AC24&lt;=0,NOT('_JobDays'!T2)),0,IF(WEEKDAY(AC$6,1)=1,0,MIN(IF('_JobDays'!T3,8,10),AC25)*AC24)))-MIN(IF(OR(AC24&lt;=0,NOT('_JobDays'!T2)),0,IF(WEEKDAY(AC$6,1)=1,0,MIN(IF('_JobDays'!T3,8,10),AC25)*AC24)),MAX(0,40*MAX(1,AC24)-(X26+Y26+Z26+AA26+AB26)))),IF(OR(AC24&lt;=0,NOT('_JobDays'!T2)),0,IF(WEEKDAY(AC$6,1)=1,0,IF(WEEKDAY(AC$6,1)=7,AC24*AC25,IF('_JobDays'!T4,MAX(0,AC25-8)*AC24,0))))+((IF(OR(AC24&lt;=0,NOT('_JobDays'!T2)),0,IF(WEEKDAY(AC$6,1)=1,0,IF(WEEKDAY(AC$6,1)=7,0,IF('_JobDays'!T4,MIN(8,AC25)*AC24,AC24*AC25)))))-MIN(IF(OR(AC24&lt;=0,NOT('_JobDays'!T2)),0,IF(WEEKDAY(AC$6,1)=1,0,IF(WEEKDAY(AC$6,1)=7,0,IF('_JobDays'!T4,MIN(8,AC25)*AC24,AC24*AC25)))),MAX(0,40*MAX(1,AC24)-(X26+Y26+Z26+AA26+AB26))))))</f>
        <v>12</v>
      </c>
      <c r="AD27" s="63">
        <f>IF(AND(AD24=1,AD25=12,E23="Auto",B23="COORDINATOR SAFETY 01",AND('Job setup'!$B$9="ON",'Job setup'!$C$9&lt;=AD$6,'Job setup'!$D$9&gt;=AD$6,'Job setup'!$G$9="NO")),0,IF(OS23,IF(OR(AD24&lt;=0,NOT('_JobDays'!U2)),0,IF(WEEKDAY(AD$6,1)=1,0,MAX(0,AD25-(IF('_JobDays'!U3,8,10)))*AD24))+((IF(OR(AD24&lt;=0,NOT('_JobDays'!U2)),0,IF(WEEKDAY(AD$6,1)=1,0,MIN(IF('_JobDays'!U3,8,10),AD25)*AD24)))-MIN(IF(OR(AD24&lt;=0,NOT('_JobDays'!U2)),0,IF(WEEKDAY(AD$6,1)=1,0,MIN(IF('_JobDays'!U3,8,10),AD25)*AD24)),MAX(0,40*MAX(1,AD24)-(X26+Y26+Z26+AA26+AB26+AC26)))),IF(OR(AD24&lt;=0,NOT('_JobDays'!U2)),0,IF(WEEKDAY(AD$6,1)=1,0,IF(WEEKDAY(AD$6,1)=7,AD24*AD25,IF('_JobDays'!U4,MAX(0,AD25-8)*AD24,0))))+((IF(OR(AD24&lt;=0,NOT('_JobDays'!U2)),0,IF(WEEKDAY(AD$6,1)=1,0,IF(WEEKDAY(AD$6,1)=7,0,IF('_JobDays'!U4,MIN(8,AD25)*AD24,AD24*AD25)))))-MIN(IF(OR(AD24&lt;=0,NOT('_JobDays'!U2)),0,IF(WEEKDAY(AD$6,1)=1,0,IF(WEEKDAY(AD$6,1)=7,0,IF('_JobDays'!U4,MIN(8,AD25)*AD24,AD24*AD25)))),MAX(0,40*MAX(1,AD24)-(X26+Y26+Z26+AA26+AB26+AC26))))))</f>
        <v>0</v>
      </c>
      <c r="AE27" s="62">
        <f>IF(AND(AE24=1,AE25=12,E23="Auto",B23="COORDINATOR SAFETY 01",AND('Job setup'!$B$9="ON",'Job setup'!$C$9&lt;=AE$6,'Job setup'!$D$9&gt;=AE$6,'Job setup'!$G$9="NO")),2,IF(OS23,IF(OR(AE24&lt;=0,NOT('_JobDays'!V2)),0,IF(WEEKDAY(AE$6,1)=1,0,MAX(0,AE25-(IF('_JobDays'!V3,8,10)))*AE24))+((IF(OR(AE24&lt;=0,NOT('_JobDays'!V2)),0,IF(WEEKDAY(AE$6,1)=1,0,MIN(IF('_JobDays'!V3,8,10),AE25)*AE24)))-MIN(IF(OR(AE24&lt;=0,NOT('_JobDays'!V2)),0,IF(WEEKDAY(AE$6,1)=1,0,MIN(IF('_JobDays'!V3,8,10),AE25)*AE24)),MAX(0,40*MAX(1,AE24)-(0)))),IF(OR(AE24&lt;=0,NOT('_JobDays'!V2)),0,IF(WEEKDAY(AE$6,1)=1,0,IF(WEEKDAY(AE$6,1)=7,AE24*AE25,IF('_JobDays'!V4,MAX(0,AE25-8)*AE24,0))))+((IF(OR(AE24&lt;=0,NOT('_JobDays'!V2)),0,IF(WEEKDAY(AE$6,1)=1,0,IF(WEEKDAY(AE$6,1)=7,0,IF('_JobDays'!V4,MIN(8,AE25)*AE24,AE24*AE25)))))-MIN(IF(OR(AE24&lt;=0,NOT('_JobDays'!V2)),0,IF(WEEKDAY(AE$6,1)=1,0,IF(WEEKDAY(AE$6,1)=7,0,IF('_JobDays'!V4,MIN(8,AE25)*AE24,AE24*AE25)))),MAX(0,40*MAX(1,AE24)-(0))))))</f>
        <v>2</v>
      </c>
      <c r="AF27" s="62">
        <f>IF(AND(AF24=1,AF25=12,E23="Auto",B23="COORDINATOR SAFETY 01",AND('Job setup'!$B$9="ON",'Job setup'!$C$9&lt;=AF$6,'Job setup'!$D$9&gt;=AF$6,'Job setup'!$G$9="NO")),2,IF(OS23,IF(OR(AF24&lt;=0,NOT('_JobDays'!W2)),0,IF(WEEKDAY(AF$6,1)=1,0,MAX(0,AF25-(IF('_JobDays'!W3,8,10)))*AF24))+((IF(OR(AF24&lt;=0,NOT('_JobDays'!W2)),0,IF(WEEKDAY(AF$6,1)=1,0,MIN(IF('_JobDays'!W3,8,10),AF25)*AF24)))-MIN(IF(OR(AF24&lt;=0,NOT('_JobDays'!W2)),0,IF(WEEKDAY(AF$6,1)=1,0,MIN(IF('_JobDays'!W3,8,10),AF25)*AF24)),MAX(0,40*MAX(1,AF24)-(AE26)))),IF(OR(AF24&lt;=0,NOT('_JobDays'!W2)),0,IF(WEEKDAY(AF$6,1)=1,0,IF(WEEKDAY(AF$6,1)=7,AF24*AF25,IF('_JobDays'!W4,MAX(0,AF25-8)*AF24,0))))+((IF(OR(AF24&lt;=0,NOT('_JobDays'!W2)),0,IF(WEEKDAY(AF$6,1)=1,0,IF(WEEKDAY(AF$6,1)=7,0,IF('_JobDays'!W4,MIN(8,AF25)*AF24,AF24*AF25)))))-MIN(IF(OR(AF24&lt;=0,NOT('_JobDays'!W2)),0,IF(WEEKDAY(AF$6,1)=1,0,IF(WEEKDAY(AF$6,1)=7,0,IF('_JobDays'!W4,MIN(8,AF25)*AF24,AF24*AF25)))),MAX(0,40*MAX(1,AF24)-(AE26))))))</f>
        <v>2</v>
      </c>
      <c r="AG27" s="62">
        <f>IF(AND(AG24=1,AG25=12,E23="Auto",B23="COORDINATOR SAFETY 01",AND('Job setup'!$B$9="ON",'Job setup'!$C$9&lt;=AG$6,'Job setup'!$D$9&gt;=AG$6,'Job setup'!$G$9="NO")),2,IF(OS23,IF(OR(AG24&lt;=0,NOT('_JobDays'!X2)),0,IF(WEEKDAY(AG$6,1)=1,0,MAX(0,AG25-(IF('_JobDays'!X3,8,10)))*AG24))+((IF(OR(AG24&lt;=0,NOT('_JobDays'!X2)),0,IF(WEEKDAY(AG$6,1)=1,0,MIN(IF('_JobDays'!X3,8,10),AG25)*AG24)))-MIN(IF(OR(AG24&lt;=0,NOT('_JobDays'!X2)),0,IF(WEEKDAY(AG$6,1)=1,0,MIN(IF('_JobDays'!X3,8,10),AG25)*AG24)),MAX(0,40*MAX(1,AG24)-(AE26+AF26)))),IF(OR(AG24&lt;=0,NOT('_JobDays'!X2)),0,IF(WEEKDAY(AG$6,1)=1,0,IF(WEEKDAY(AG$6,1)=7,AG24*AG25,IF('_JobDays'!X4,MAX(0,AG25-8)*AG24,0))))+((IF(OR(AG24&lt;=0,NOT('_JobDays'!X2)),0,IF(WEEKDAY(AG$6,1)=1,0,IF(WEEKDAY(AG$6,1)=7,0,IF('_JobDays'!X4,MIN(8,AG25)*AG24,AG24*AG25)))))-MIN(IF(OR(AG24&lt;=0,NOT('_JobDays'!X2)),0,IF(WEEKDAY(AG$6,1)=1,0,IF(WEEKDAY(AG$6,1)=7,0,IF('_JobDays'!X4,MIN(8,AG25)*AG24,AG24*AG25)))),MAX(0,40*MAX(1,AG24)-(AE26+AF26))))))</f>
        <v>2</v>
      </c>
      <c r="AH27" s="62">
        <f>IF(AND(AH24=1,AH25=8,E23="Auto",B23="COORDINATOR SAFETY 01",AND('Job setup'!$B$11="ON",'Job setup'!$C$11&lt;=AH$6,'Job setup'!$D$11&gt;=AH$6,'Job setup'!$G$11="YES")),0,IF(OS23,IF(OR(AH24&lt;=0,NOT('_JobDays'!Y2)),0,IF(WEEKDAY(AH$6,1)=1,0,MAX(0,AH25-(IF('_JobDays'!Y3,8,10)))*AH24))+((IF(OR(AH24&lt;=0,NOT('_JobDays'!Y2)),0,IF(WEEKDAY(AH$6,1)=1,0,MIN(IF('_JobDays'!Y3,8,10),AH25)*AH24)))-MIN(IF(OR(AH24&lt;=0,NOT('_JobDays'!Y2)),0,IF(WEEKDAY(AH$6,1)=1,0,MIN(IF('_JobDays'!Y3,8,10),AH25)*AH24)),MAX(0,40*MAX(1,AH24)-(AE26+AF26+AG26)))),IF(OR(AH24&lt;=0,NOT('_JobDays'!Y2)),0,IF(WEEKDAY(AH$6,1)=1,0,IF(WEEKDAY(AH$6,1)=7,AH24*AH25,IF('_JobDays'!Y4,MAX(0,AH25-8)*AH24,0))))+((IF(OR(AH24&lt;=0,NOT('_JobDays'!Y2)),0,IF(WEEKDAY(AH$6,1)=1,0,IF(WEEKDAY(AH$6,1)=7,0,IF('_JobDays'!Y4,MIN(8,AH25)*AH24,AH24*AH25)))))-MIN(IF(OR(AH24&lt;=0,NOT('_JobDays'!Y2)),0,IF(WEEKDAY(AH$6,1)=1,0,IF(WEEKDAY(AH$6,1)=7,0,IF('_JobDays'!Y4,MIN(8,AH25)*AH24,AH24*AH25)))),MAX(0,40*MAX(1,AH24)-(AE26+AF26+AG26))))))</f>
        <v>0</v>
      </c>
      <c r="AI27" s="62">
        <f>IF(AND(AI24=1,AI25=8,E23="Auto",B23="COORDINATOR SAFETY 01",AND('Job setup'!$B$11="ON",'Job setup'!$C$11&lt;=AI$6,'Job setup'!$D$11&gt;=AI$6,'Job setup'!$G$11="YES")),0,IF(OS23,IF(OR(AI24&lt;=0,NOT('_JobDays'!Z2)),0,IF(WEEKDAY(AI$6,1)=1,0,MAX(0,AI25-(IF('_JobDays'!Z3,8,10)))*AI24))+((IF(OR(AI24&lt;=0,NOT('_JobDays'!Z2)),0,IF(WEEKDAY(AI$6,1)=1,0,MIN(IF('_JobDays'!Z3,8,10),AI25)*AI24)))-MIN(IF(OR(AI24&lt;=0,NOT('_JobDays'!Z2)),0,IF(WEEKDAY(AI$6,1)=1,0,MIN(IF('_JobDays'!Z3,8,10),AI25)*AI24)),MAX(0,40*MAX(1,AI24)-(AE26+AF26+AG26+AH26)))),IF(OR(AI24&lt;=0,NOT('_JobDays'!Z2)),0,IF(WEEKDAY(AI$6,1)=1,0,IF(WEEKDAY(AI$6,1)=7,AI24*AI25,IF('_JobDays'!Z4,MAX(0,AI25-8)*AI24,0))))+((IF(OR(AI24&lt;=0,NOT('_JobDays'!Z2)),0,IF(WEEKDAY(AI$6,1)=1,0,IF(WEEKDAY(AI$6,1)=7,0,IF('_JobDays'!Z4,MIN(8,AI25)*AI24,AI24*AI25)))))-MIN(IF(OR(AI24&lt;=0,NOT('_JobDays'!Z2)),0,IF(WEEKDAY(AI$6,1)=1,0,IF(WEEKDAY(AI$6,1)=7,0,IF('_JobDays'!Z4,MIN(8,AI25)*AI24,AI24*AI25)))),MAX(0,40*MAX(1,AI24)-(AE26+AF26+AG26+AH26))))))</f>
        <v>0</v>
      </c>
      <c r="AJ27" s="63">
        <f>IF(AND(AJ24=0,AJ25=0,E23="Auto",B23="COORDINATOR SAFETY 01",AND('Job setup'!$B$11="ON",'Job setup'!$C$11&lt;=AJ$6,'Job setup'!$D$11&gt;=AJ$6,'Job setup'!$G$11="YES")),0,IF(OS23,IF(OR(AJ24&lt;=0,NOT('_JobDays'!AA2)),0,IF(WEEKDAY(AJ$6,1)=1,0,MAX(0,AJ25-(IF('_JobDays'!AA3,8,10)))*AJ24))+((IF(OR(AJ24&lt;=0,NOT('_JobDays'!AA2)),0,IF(WEEKDAY(AJ$6,1)=1,0,MIN(IF('_JobDays'!AA3,8,10),AJ25)*AJ24)))-MIN(IF(OR(AJ24&lt;=0,NOT('_JobDays'!AA2)),0,IF(WEEKDAY(AJ$6,1)=1,0,MIN(IF('_JobDays'!AA3,8,10),AJ25)*AJ24)),MAX(0,40*MAX(1,AJ24)-(AE26+AF26+AG26+AH26+AI26)))),IF(OR(AJ24&lt;=0,NOT('_JobDays'!AA2)),0,IF(WEEKDAY(AJ$6,1)=1,0,IF(WEEKDAY(AJ$6,1)=7,AJ24*AJ25,IF('_JobDays'!AA4,MAX(0,AJ25-8)*AJ24,0))))+((IF(OR(AJ24&lt;=0,NOT('_JobDays'!AA2)),0,IF(WEEKDAY(AJ$6,1)=1,0,IF(WEEKDAY(AJ$6,1)=7,0,IF('_JobDays'!AA4,MIN(8,AJ25)*AJ24,AJ24*AJ25)))))-MIN(IF(OR(AJ24&lt;=0,NOT('_JobDays'!AA2)),0,IF(WEEKDAY(AJ$6,1)=1,0,IF(WEEKDAY(AJ$6,1)=7,0,IF('_JobDays'!AA4,MIN(8,AJ25)*AJ24,AJ24*AJ25)))),MAX(0,40*MAX(1,AJ24)-(AE26+AF26+AG26+AH26+AI26))))))</f>
        <v>0</v>
      </c>
      <c r="AK27" s="63">
        <f>IF(AND(AK24=0,AK25=0,E23="Auto",B23="COORDINATOR SAFETY 01",AND('Job setup'!$B$11="ON",'Job setup'!$C$11&lt;=AK$6,'Job setup'!$D$11&gt;=AK$6,'Job setup'!$G$11="YES")),0,IF(OS23,IF(OR(AK24&lt;=0,NOT('_JobDays'!AB2)),0,IF(WEEKDAY(AK$6,1)=1,0,MAX(0,AK25-(IF('_JobDays'!AB3,8,10)))*AK24))+((IF(OR(AK24&lt;=0,NOT('_JobDays'!AB2)),0,IF(WEEKDAY(AK$6,1)=1,0,MIN(IF('_JobDays'!AB3,8,10),AK25)*AK24)))-MIN(IF(OR(AK24&lt;=0,NOT('_JobDays'!AB2)),0,IF(WEEKDAY(AK$6,1)=1,0,MIN(IF('_JobDays'!AB3,8,10),AK25)*AK24)),MAX(0,40*MAX(1,AK24)-(AE26+AF26+AG26+AH26+AI26+AJ26)))),IF(OR(AK24&lt;=0,NOT('_JobDays'!AB2)),0,IF(WEEKDAY(AK$6,1)=1,0,IF(WEEKDAY(AK$6,1)=7,AK24*AK25,IF('_JobDays'!AB4,MAX(0,AK25-8)*AK24,0))))+((IF(OR(AK24&lt;=0,NOT('_JobDays'!AB2)),0,IF(WEEKDAY(AK$6,1)=1,0,IF(WEEKDAY(AK$6,1)=7,0,IF('_JobDays'!AB4,MIN(8,AK25)*AK24,AK24*AK25)))))-MIN(IF(OR(AK24&lt;=0,NOT('_JobDays'!AB2)),0,IF(WEEKDAY(AK$6,1)=1,0,IF(WEEKDAY(AK$6,1)=7,0,IF('_JobDays'!AB4,MIN(8,AK25)*AK24,AK24*AK25)))),MAX(0,40*MAX(1,AK24)-(AE26+AF26+AG26+AH26+AI26+AJ26))))))</f>
        <v>0</v>
      </c>
      <c r="AL27" s="62">
        <f>IF(AND(AL24=1,AL25=8,E23="Auto",B23="COORDINATOR SAFETY 01",AND('Job setup'!$B$11="ON",'Job setup'!$C$11&lt;=AL$6,'Job setup'!$D$11&gt;=AL$6,'Job setup'!$G$11="YES")),0,IF(OS23,IF(OR(AL24&lt;=0,NOT('_JobDays'!AC2)),0,IF(WEEKDAY(AL$6,1)=1,0,MAX(0,AL25-(IF('_JobDays'!AC3,8,10)))*AL24))+((IF(OR(AL24&lt;=0,NOT('_JobDays'!AC2)),0,IF(WEEKDAY(AL$6,1)=1,0,MIN(IF('_JobDays'!AC3,8,10),AL25)*AL24)))-MIN(IF(OR(AL24&lt;=0,NOT('_JobDays'!AC2)),0,IF(WEEKDAY(AL$6,1)=1,0,MIN(IF('_JobDays'!AC3,8,10),AL25)*AL24)),MAX(0,40*MAX(1,AL24)-(0)))),IF(OR(AL24&lt;=0,NOT('_JobDays'!AC2)),0,IF(WEEKDAY(AL$6,1)=1,0,IF(WEEKDAY(AL$6,1)=7,AL24*AL25,IF('_JobDays'!AC4,MAX(0,AL25-8)*AL24,0))))+((IF(OR(AL24&lt;=0,NOT('_JobDays'!AC2)),0,IF(WEEKDAY(AL$6,1)=1,0,IF(WEEKDAY(AL$6,1)=7,0,IF('_JobDays'!AC4,MIN(8,AL25)*AL24,AL24*AL25)))))-MIN(IF(OR(AL24&lt;=0,NOT('_JobDays'!AC2)),0,IF(WEEKDAY(AL$6,1)=1,0,IF(WEEKDAY(AL$6,1)=7,0,IF('_JobDays'!AC4,MIN(8,AL25)*AL24,AL24*AL25)))),MAX(0,40*MAX(1,AL24)-(0))))))</f>
        <v>0</v>
      </c>
      <c r="AM27" s="62">
        <f>IF(AND(AM24=1,AM25=8,E23="Auto",B23="COORDINATOR SAFETY 01",AND('Job setup'!$B$11="ON",'Job setup'!$C$11&lt;=AM$6,'Job setup'!$D$11&gt;=AM$6,'Job setup'!$G$11="YES")),0,IF(OS23,IF(OR(AM24&lt;=0,NOT('_JobDays'!AD2)),0,IF(WEEKDAY(AM$6,1)=1,0,MAX(0,AM25-(IF('_JobDays'!AD3,8,10)))*AM24))+((IF(OR(AM24&lt;=0,NOT('_JobDays'!AD2)),0,IF(WEEKDAY(AM$6,1)=1,0,MIN(IF('_JobDays'!AD3,8,10),AM25)*AM24)))-MIN(IF(OR(AM24&lt;=0,NOT('_JobDays'!AD2)),0,IF(WEEKDAY(AM$6,1)=1,0,MIN(IF('_JobDays'!AD3,8,10),AM25)*AM24)),MAX(0,40*MAX(1,AM24)-(AL26)))),IF(OR(AM24&lt;=0,NOT('_JobDays'!AD2)),0,IF(WEEKDAY(AM$6,1)=1,0,IF(WEEKDAY(AM$6,1)=7,AM24*AM25,IF('_JobDays'!AD4,MAX(0,AM25-8)*AM24,0))))+((IF(OR(AM24&lt;=0,NOT('_JobDays'!AD2)),0,IF(WEEKDAY(AM$6,1)=1,0,IF(WEEKDAY(AM$6,1)=7,0,IF('_JobDays'!AD4,MIN(8,AM25)*AM24,AM24*AM25)))))-MIN(IF(OR(AM24&lt;=0,NOT('_JobDays'!AD2)),0,IF(WEEKDAY(AM$6,1)=1,0,IF(WEEKDAY(AM$6,1)=7,0,IF('_JobDays'!AD4,MIN(8,AM25)*AM24,AM24*AM25)))),MAX(0,40*MAX(1,AM24)-(AL26))))))</f>
        <v>0</v>
      </c>
      <c r="AN27" s="62">
        <f>IF(AND(AN24=1,AN25=8,E23="Auto",B23="COORDINATOR SAFETY 01",AND('Job setup'!$B$11="ON",'Job setup'!$C$11&lt;=AN$6,'Job setup'!$D$11&gt;=AN$6,'Job setup'!$G$11="YES")),0,IF(OS23,IF(OR(AN24&lt;=0,NOT('_JobDays'!AE2)),0,IF(WEEKDAY(AN$6,1)=1,0,MAX(0,AN25-(IF('_JobDays'!AE3,8,10)))*AN24))+((IF(OR(AN24&lt;=0,NOT('_JobDays'!AE2)),0,IF(WEEKDAY(AN$6,1)=1,0,MIN(IF('_JobDays'!AE3,8,10),AN25)*AN24)))-MIN(IF(OR(AN24&lt;=0,NOT('_JobDays'!AE2)),0,IF(WEEKDAY(AN$6,1)=1,0,MIN(IF('_JobDays'!AE3,8,10),AN25)*AN24)),MAX(0,40*MAX(1,AN24)-(AL26+AM26)))),IF(OR(AN24&lt;=0,NOT('_JobDays'!AE2)),0,IF(WEEKDAY(AN$6,1)=1,0,IF(WEEKDAY(AN$6,1)=7,AN24*AN25,IF('_JobDays'!AE4,MAX(0,AN25-8)*AN24,0))))+((IF(OR(AN24&lt;=0,NOT('_JobDays'!AE2)),0,IF(WEEKDAY(AN$6,1)=1,0,IF(WEEKDAY(AN$6,1)=7,0,IF('_JobDays'!AE4,MIN(8,AN25)*AN24,AN24*AN25)))))-MIN(IF(OR(AN24&lt;=0,NOT('_JobDays'!AE2)),0,IF(WEEKDAY(AN$6,1)=1,0,IF(WEEKDAY(AN$6,1)=7,0,IF('_JobDays'!AE4,MIN(8,AN25)*AN24,AN24*AN25)))),MAX(0,40*MAX(1,AN24)-(AL26+AM26))))))</f>
        <v>0</v>
      </c>
      <c r="AO27" s="64">
        <f>IF(AND(AO24=1,AO25=8,E23="Auto",B23="COORDINATOR SAFETY 01",AND('Job setup'!$B$11="ON",'Job setup'!$C$11&lt;=AO$6,'Job setup'!$D$11&gt;=AO$6,'Job setup'!$G$11="YES")),0,IF(OS23,IF(OR(AO24&lt;=0,NOT('_JobDays'!AF2)),0,IF(WEEKDAY(AO$6,1)=1,0,MAX(0,AO25-(IF('_JobDays'!AF3,8,10)))*AO24))+((IF(OR(AO24&lt;=0,NOT('_JobDays'!AF2)),0,IF(WEEKDAY(AO$6,1)=1,0,MIN(IF('_JobDays'!AF3,8,10),AO25)*AO24)))-MIN(IF(OR(AO24&lt;=0,NOT('_JobDays'!AF2)),0,IF(WEEKDAY(AO$6,1)=1,0,MIN(IF('_JobDays'!AF3,8,10),AO25)*AO24)),MAX(0,40*MAX(1,AO24)-(AL26+AM26+AN26)))),IF(OR(AO24&lt;=0,NOT('_JobDays'!AF2)),0,IF(WEEKDAY(AO$6,1)=1,0,IF(WEEKDAY(AO$6,1)=7,AO24*AO25,IF('_JobDays'!AF4,MAX(0,AO25-8)*AO24,0))))+((IF(OR(AO24&lt;=0,NOT('_JobDays'!AF2)),0,IF(WEEKDAY(AO$6,1)=1,0,IF(WEEKDAY(AO$6,1)=7,0,IF('_JobDays'!AF4,MIN(8,AO25)*AO24,AO24*AO25)))))-MIN(IF(OR(AO24&lt;=0,NOT('_JobDays'!AF2)),0,IF(WEEKDAY(AO$6,1)=1,0,IF(WEEKDAY(AO$6,1)=7,0,IF('_JobDays'!AF4,MIN(8,AO25)*AO24,AO24*AO25)))),MAX(0,40*MAX(1,AO24)-(AL26+AM26+AN26))))))</f>
        <v>0</v>
      </c>
      <c r="OT27" s="28" t="s">
        <v>67</v>
      </c>
    </row>
    <row r="28" ht="16" customHeight="1" spans="1:410" x14ac:dyDescent="0.25">
      <c r="A28" s="43"/>
      <c r="B28" s="44"/>
      <c r="C28" s="60">
        <f>H23*N(D28)</f>
        <v>3681.3599999999997</v>
      </c>
      <c r="D28" s="60">
        <f>IF(TRIM(B23)="","No rate",IFERROR(INDEX('Rate Tables'!E$7:E$161,MATCH(B23,'Rate Tables'!A$7:A$161,0)),"No rate"))</f>
        <v>153.39</v>
      </c>
      <c r="E28" s="54" t="s">
        <v>62</v>
      </c>
      <c r="F28" s="48"/>
      <c r="G28" s="48"/>
      <c r="H28" s="48"/>
      <c r="I28" s="49"/>
      <c r="J28" s="61">
        <f>IF(AND(J24=1,J25=8,E23="Auto",B23="COORDINATOR SAFETY 01",AND('Job setup'!$B$7="ON",'Job setup'!$C$7&lt;=J$6,'Job setup'!$D$7&gt;=J$6,'Job setup'!$G$7="YES")),0,IF(OS23,IF(OR(J24&lt;=0,NOT('_JobDays'!A2)),0,IF(WEEKDAY(J$6,1)=1,J24*J25,0)),IF(OR(J24&lt;=0,NOT('_JobDays'!A2)),0,IF(WEEKDAY(J$6,1)=1,J24*J25,0))))</f>
        <v>0</v>
      </c>
      <c r="K28" s="62">
        <f>IF(AND(K24=1,K25=8,E23="Auto",B23="COORDINATOR SAFETY 01",AND('Job setup'!$B$7="ON",'Job setup'!$C$7&lt;=K$6,'Job setup'!$D$7&gt;=K$6,'Job setup'!$G$7="YES")),0,IF(OS23,IF(OR(K24&lt;=0,NOT('_JobDays'!B2)),0,IF(WEEKDAY(K$6,1)=1,K24*K25,0)),IF(OR(K24&lt;=0,NOT('_JobDays'!B2)),0,IF(WEEKDAY(K$6,1)=1,K24*K25,0))))</f>
        <v>0</v>
      </c>
      <c r="L28" s="62">
        <f>IF(AND(L24=1,L25=8,E23="Auto",B23="COORDINATOR SAFETY 01",AND('Job setup'!$B$7="ON",'Job setup'!$C$7&lt;=L$6,'Job setup'!$D$7&gt;=L$6,'Job setup'!$G$7="YES")),0,IF(OS23,IF(OR(L24&lt;=0,NOT('_JobDays'!C2)),0,IF(WEEKDAY(L$6,1)=1,L24*L25,0)),IF(OR(L24&lt;=0,NOT('_JobDays'!C2)),0,IF(WEEKDAY(L$6,1)=1,L24*L25,0))))</f>
        <v>0</v>
      </c>
      <c r="M28" s="62">
        <f>IF(AND(M24=1,M25=8,E23="Auto",B23="COORDINATOR SAFETY 01",AND('Job setup'!$B$7="ON",'Job setup'!$C$7&lt;=M$6,'Job setup'!$D$7&gt;=M$6,'Job setup'!$G$7="YES")),0,IF(OS23,IF(OR(M24&lt;=0,NOT('_JobDays'!D2)),0,IF(WEEKDAY(M$6,1)=1,M24*M25,0)),IF(OR(M24&lt;=0,NOT('_JobDays'!D2)),0,IF(WEEKDAY(M$6,1)=1,M24*M25,0))))</f>
        <v>0</v>
      </c>
      <c r="N28" s="62">
        <f>IF(AND(N24=1,N25=8,E23="Auto",B23="COORDINATOR SAFETY 01",AND('Job setup'!$B$7="ON",'Job setup'!$C$7&lt;=N$6,'Job setup'!$D$7&gt;=N$6,'Job setup'!$G$7="YES")),0,IF(OS23,IF(OR(N24&lt;=0,NOT('_JobDays'!E2)),0,IF(WEEKDAY(N$6,1)=1,N24*N25,0)),IF(OR(N24&lt;=0,NOT('_JobDays'!E2)),0,IF(WEEKDAY(N$6,1)=1,N24*N25,0))))</f>
        <v>0</v>
      </c>
      <c r="O28" s="63">
        <f>IF(AND(O24=0,O25=0,E23="Auto",B23="COORDINATOR SAFETY 01",AND('Job setup'!$B$7="ON",'Job setup'!$C$7&lt;=O$6,'Job setup'!$D$7&gt;=O$6,'Job setup'!$G$7="YES")),0,IF(OS23,IF(OR(O24&lt;=0,NOT('_JobDays'!F2)),0,IF(WEEKDAY(O$6,1)=1,O24*O25,0)),IF(OR(O24&lt;=0,NOT('_JobDays'!F2)),0,IF(WEEKDAY(O$6,1)=1,O24*O25,0))))</f>
        <v>0</v>
      </c>
      <c r="P28" s="63">
        <f>IF(AND(P24=0,P25=0,E23="Auto",B23="COORDINATOR SAFETY 01",AND('Job setup'!$B$7="ON",'Job setup'!$C$7&lt;=P$6,'Job setup'!$D$7&gt;=P$6,'Job setup'!$G$7="YES")),0,IF(OS23,IF(OR(P24&lt;=0,NOT('_JobDays'!G2)),0,IF(WEEKDAY(P$6,1)=1,P24*P25,0)),IF(OR(P24&lt;=0,NOT('_JobDays'!G2)),0,IF(WEEKDAY(P$6,1)=1,P24*P25,0))))</f>
        <v>0</v>
      </c>
      <c r="Q28" s="62">
        <f>IF(AND(Q24=1,Q25=8,E23="Auto",B23="COORDINATOR SAFETY 01",AND('Job setup'!$B$7="ON",'Job setup'!$C$7&lt;=Q$6,'Job setup'!$D$7&gt;=Q$6,'Job setup'!$G$7="YES")),0,IF(OS23,IF(OR(Q24&lt;=0,NOT('_JobDays'!H2)),0,IF(WEEKDAY(Q$6,1)=1,Q24*Q25,0)),IF(OR(Q24&lt;=0,NOT('_JobDays'!H2)),0,IF(WEEKDAY(Q$6,1)=1,Q24*Q25,0))))</f>
        <v>0</v>
      </c>
      <c r="R28" s="62">
        <f>IF(AND(R24=1,R25=8,E23="Auto",B23="COORDINATOR SAFETY 01",AND('Job setup'!$B$7="ON",'Job setup'!$C$7&lt;=R$6,'Job setup'!$D$7&gt;=R$6,'Job setup'!$G$7="YES")),0,IF(OS23,IF(OR(R24&lt;=0,NOT('_JobDays'!I2)),0,IF(WEEKDAY(R$6,1)=1,R24*R25,0)),IF(OR(R24&lt;=0,NOT('_JobDays'!I2)),0,IF(WEEKDAY(R$6,1)=1,R24*R25,0))))</f>
        <v>0</v>
      </c>
      <c r="S28" s="62">
        <f>IF(AND(S24=1,S25=8,E23="Auto",B23="COORDINATOR SAFETY 01",AND('Job setup'!$B$7="ON",'Job setup'!$C$7&lt;=S$6,'Job setup'!$D$7&gt;=S$6,'Job setup'!$G$7="YES")),0,IF(OS23,IF(OR(S24&lt;=0,NOT('_JobDays'!J2)),0,IF(WEEKDAY(S$6,1)=1,S24*S25,0)),IF(OR(S24&lt;=0,NOT('_JobDays'!J2)),0,IF(WEEKDAY(S$6,1)=1,S24*S25,0))))</f>
        <v>0</v>
      </c>
      <c r="T28" s="62">
        <f>IF(AND(T24=1,T25=12,E23="Auto",B23="COORDINATOR SAFETY 01",AND('Job setup'!$B$9="ON",'Job setup'!$C$9&lt;=T$6,'Job setup'!$D$9&gt;=T$6,'Job setup'!$G$9="NO")),0,IF(OS23,IF(OR(T24&lt;=0,NOT('_JobDays'!K2)),0,IF(WEEKDAY(T$6,1)=1,T24*T25,0)),IF(OR(T24&lt;=0,NOT('_JobDays'!K2)),0,IF(WEEKDAY(T$6,1)=1,T24*T25,0))))</f>
        <v>0</v>
      </c>
      <c r="U28" s="62">
        <f>IF(AND(U24=1,U25=12,E23="Auto",B23="COORDINATOR SAFETY 01",AND('Job setup'!$B$9="ON",'Job setup'!$C$9&lt;=U$6,'Job setup'!$D$9&gt;=U$6,'Job setup'!$G$9="NO")),0,IF(OS23,IF(OR(U24&lt;=0,NOT('_JobDays'!L2)),0,IF(WEEKDAY(U$6,1)=1,U24*U25,0)),IF(OR(U24&lt;=0,NOT('_JobDays'!L2)),0,IF(WEEKDAY(U$6,1)=1,U24*U25,0))))</f>
        <v>0</v>
      </c>
      <c r="V28" s="63">
        <f>IF(AND(V24=1,V25=12,E23="Auto",B23="COORDINATOR SAFETY 01",AND('Job setup'!$B$9="ON",'Job setup'!$C$9&lt;=V$6,'Job setup'!$D$9&gt;=V$6,'Job setup'!$G$9="NO")),0,IF(OS23,IF(OR(V24&lt;=0,NOT('_JobDays'!M2)),0,IF(WEEKDAY(V$6,1)=1,V24*V25,0)),IF(OR(V24&lt;=0,NOT('_JobDays'!M2)),0,IF(WEEKDAY(V$6,1)=1,V24*V25,0))))</f>
        <v>0</v>
      </c>
      <c r="W28" s="63">
        <f>IF(AND(W24=1,W25=12,E23="Auto",B23="COORDINATOR SAFETY 01",AND('Job setup'!$B$9="ON",'Job setup'!$C$9&lt;=W$6,'Job setup'!$D$9&gt;=W$6,'Job setup'!$G$9="NO")),12,IF(OS23,IF(OR(W24&lt;=0,NOT('_JobDays'!N2)),0,IF(WEEKDAY(W$6,1)=1,W24*W25,0)),IF(OR(W24&lt;=0,NOT('_JobDays'!N2)),0,IF(WEEKDAY(W$6,1)=1,W24*W25,0))))</f>
        <v>12</v>
      </c>
      <c r="X28" s="62">
        <f>IF(AND(X24=1,X25=12,E23="Auto",B23="COORDINATOR SAFETY 01",AND('Job setup'!$B$9="ON",'Job setup'!$C$9&lt;=X$6,'Job setup'!$D$9&gt;=X$6,'Job setup'!$G$9="NO")),0,IF(OS23,IF(OR(X24&lt;=0,NOT('_JobDays'!O2)),0,IF(WEEKDAY(X$6,1)=1,X24*X25,0)),IF(OR(X24&lt;=0,NOT('_JobDays'!O2)),0,IF(WEEKDAY(X$6,1)=1,X24*X25,0))))</f>
        <v>0</v>
      </c>
      <c r="Y28" s="62">
        <f>IF(AND(Y24=1,Y25=12,E23="Auto",B23="COORDINATOR SAFETY 01",AND('Job setup'!$B$9="ON",'Job setup'!$C$9&lt;=Y$6,'Job setup'!$D$9&gt;=Y$6,'Job setup'!$G$9="NO")),0,IF(OS23,IF(OR(Y24&lt;=0,NOT('_JobDays'!P2)),0,IF(WEEKDAY(Y$6,1)=1,Y24*Y25,0)),IF(OR(Y24&lt;=0,NOT('_JobDays'!P2)),0,IF(WEEKDAY(Y$6,1)=1,Y24*Y25,0))))</f>
        <v>0</v>
      </c>
      <c r="Z28" s="62">
        <f>IF(AND(Z24=1,Z25=12,E23="Auto",B23="COORDINATOR SAFETY 01",AND('Job setup'!$B$9="ON",'Job setup'!$C$9&lt;=Z$6,'Job setup'!$D$9&gt;=Z$6,'Job setup'!$G$9="NO")),0,IF(OS23,IF(OR(Z24&lt;=0,NOT('_JobDays'!Q2)),0,IF(WEEKDAY(Z$6,1)=1,Z24*Z25,0)),IF(OR(Z24&lt;=0,NOT('_JobDays'!Q2)),0,IF(WEEKDAY(Z$6,1)=1,Z24*Z25,0))))</f>
        <v>0</v>
      </c>
      <c r="AA28" s="62">
        <f>IF(AND(AA24=1,AA25=12,E23="Auto",B23="COORDINATOR SAFETY 01",AND('Job setup'!$B$9="ON",'Job setup'!$C$9&lt;=AA$6,'Job setup'!$D$9&gt;=AA$6,'Job setup'!$G$9="NO")),0,IF(OS23,IF(OR(AA24&lt;=0,NOT('_JobDays'!R2)),0,IF(WEEKDAY(AA$6,1)=1,AA24*AA25,0)),IF(OR(AA24&lt;=0,NOT('_JobDays'!R2)),0,IF(WEEKDAY(AA$6,1)=1,AA24*AA25,0))))</f>
        <v>0</v>
      </c>
      <c r="AB28" s="62">
        <f>IF(AND(AB24=1,AB25=12,E23="Auto",B23="COORDINATOR SAFETY 01",AND('Job setup'!$B$9="ON",'Job setup'!$C$9&lt;=AB$6,'Job setup'!$D$9&gt;=AB$6,'Job setup'!$G$9="NO")),0,IF(OS23,IF(OR(AB24&lt;=0,NOT('_JobDays'!S2)),0,IF(WEEKDAY(AB$6,1)=1,AB24*AB25,0)),IF(OR(AB24&lt;=0,NOT('_JobDays'!S2)),0,IF(WEEKDAY(AB$6,1)=1,AB24*AB25,0))))</f>
        <v>0</v>
      </c>
      <c r="AC28" s="63">
        <f>IF(AND(AC24=1,AC25=12,E23="Auto",B23="COORDINATOR SAFETY 01",AND('Job setup'!$B$9="ON",'Job setup'!$C$9&lt;=AC$6,'Job setup'!$D$9&gt;=AC$6,'Job setup'!$G$9="NO")),0,IF(OS23,IF(OR(AC24&lt;=0,NOT('_JobDays'!T2)),0,IF(WEEKDAY(AC$6,1)=1,AC24*AC25,0)),IF(OR(AC24&lt;=0,NOT('_JobDays'!T2)),0,IF(WEEKDAY(AC$6,1)=1,AC24*AC25,0))))</f>
        <v>0</v>
      </c>
      <c r="AD28" s="63">
        <f>IF(AND(AD24=1,AD25=12,E23="Auto",B23="COORDINATOR SAFETY 01",AND('Job setup'!$B$9="ON",'Job setup'!$C$9&lt;=AD$6,'Job setup'!$D$9&gt;=AD$6,'Job setup'!$G$9="NO")),12,IF(OS23,IF(OR(AD24&lt;=0,NOT('_JobDays'!U2)),0,IF(WEEKDAY(AD$6,1)=1,AD24*AD25,0)),IF(OR(AD24&lt;=0,NOT('_JobDays'!U2)),0,IF(WEEKDAY(AD$6,1)=1,AD24*AD25,0))))</f>
        <v>12</v>
      </c>
      <c r="AE28" s="62">
        <f>IF(AND(AE24=1,AE25=12,E23="Auto",B23="COORDINATOR SAFETY 01",AND('Job setup'!$B$9="ON",'Job setup'!$C$9&lt;=AE$6,'Job setup'!$D$9&gt;=AE$6,'Job setup'!$G$9="NO")),0,IF(OS23,IF(OR(AE24&lt;=0,NOT('_JobDays'!V2)),0,IF(WEEKDAY(AE$6,1)=1,AE24*AE25,0)),IF(OR(AE24&lt;=0,NOT('_JobDays'!V2)),0,IF(WEEKDAY(AE$6,1)=1,AE24*AE25,0))))</f>
        <v>0</v>
      </c>
      <c r="AF28" s="62">
        <f>IF(AND(AF24=1,AF25=12,E23="Auto",B23="COORDINATOR SAFETY 01",AND('Job setup'!$B$9="ON",'Job setup'!$C$9&lt;=AF$6,'Job setup'!$D$9&gt;=AF$6,'Job setup'!$G$9="NO")),0,IF(OS23,IF(OR(AF24&lt;=0,NOT('_JobDays'!W2)),0,IF(WEEKDAY(AF$6,1)=1,AF24*AF25,0)),IF(OR(AF24&lt;=0,NOT('_JobDays'!W2)),0,IF(WEEKDAY(AF$6,1)=1,AF24*AF25,0))))</f>
        <v>0</v>
      </c>
      <c r="AG28" s="62">
        <f>IF(AND(AG24=1,AG25=12,E23="Auto",B23="COORDINATOR SAFETY 01",AND('Job setup'!$B$9="ON",'Job setup'!$C$9&lt;=AG$6,'Job setup'!$D$9&gt;=AG$6,'Job setup'!$G$9="NO")),0,IF(OS23,IF(OR(AG24&lt;=0,NOT('_JobDays'!X2)),0,IF(WEEKDAY(AG$6,1)=1,AG24*AG25,0)),IF(OR(AG24&lt;=0,NOT('_JobDays'!X2)),0,IF(WEEKDAY(AG$6,1)=1,AG24*AG25,0))))</f>
        <v>0</v>
      </c>
      <c r="AH28" s="62">
        <f>IF(AND(AH24=1,AH25=8,E23="Auto",B23="COORDINATOR SAFETY 01",AND('Job setup'!$B$11="ON",'Job setup'!$C$11&lt;=AH$6,'Job setup'!$D$11&gt;=AH$6,'Job setup'!$G$11="YES")),0,IF(OS23,IF(OR(AH24&lt;=0,NOT('_JobDays'!Y2)),0,IF(WEEKDAY(AH$6,1)=1,AH24*AH25,0)),IF(OR(AH24&lt;=0,NOT('_JobDays'!Y2)),0,IF(WEEKDAY(AH$6,1)=1,AH24*AH25,0))))</f>
        <v>0</v>
      </c>
      <c r="AI28" s="62">
        <f>IF(AND(AI24=1,AI25=8,E23="Auto",B23="COORDINATOR SAFETY 01",AND('Job setup'!$B$11="ON",'Job setup'!$C$11&lt;=AI$6,'Job setup'!$D$11&gt;=AI$6,'Job setup'!$G$11="YES")),0,IF(OS23,IF(OR(AI24&lt;=0,NOT('_JobDays'!Z2)),0,IF(WEEKDAY(AI$6,1)=1,AI24*AI25,0)),IF(OR(AI24&lt;=0,NOT('_JobDays'!Z2)),0,IF(WEEKDAY(AI$6,1)=1,AI24*AI25,0))))</f>
        <v>0</v>
      </c>
      <c r="AJ28" s="63">
        <f>IF(AND(AJ24=0,AJ25=0,E23="Auto",B23="COORDINATOR SAFETY 01",AND('Job setup'!$B$11="ON",'Job setup'!$C$11&lt;=AJ$6,'Job setup'!$D$11&gt;=AJ$6,'Job setup'!$G$11="YES")),0,IF(OS23,IF(OR(AJ24&lt;=0,NOT('_JobDays'!AA2)),0,IF(WEEKDAY(AJ$6,1)=1,AJ24*AJ25,0)),IF(OR(AJ24&lt;=0,NOT('_JobDays'!AA2)),0,IF(WEEKDAY(AJ$6,1)=1,AJ24*AJ25,0))))</f>
        <v>0</v>
      </c>
      <c r="AK28" s="63">
        <f>IF(AND(AK24=0,AK25=0,E23="Auto",B23="COORDINATOR SAFETY 01",AND('Job setup'!$B$11="ON",'Job setup'!$C$11&lt;=AK$6,'Job setup'!$D$11&gt;=AK$6,'Job setup'!$G$11="YES")),0,IF(OS23,IF(OR(AK24&lt;=0,NOT('_JobDays'!AB2)),0,IF(WEEKDAY(AK$6,1)=1,AK24*AK25,0)),IF(OR(AK24&lt;=0,NOT('_JobDays'!AB2)),0,IF(WEEKDAY(AK$6,1)=1,AK24*AK25,0))))</f>
        <v>0</v>
      </c>
      <c r="AL28" s="62">
        <f>IF(AND(AL24=1,AL25=8,E23="Auto",B23="COORDINATOR SAFETY 01",AND('Job setup'!$B$11="ON",'Job setup'!$C$11&lt;=AL$6,'Job setup'!$D$11&gt;=AL$6,'Job setup'!$G$11="YES")),0,IF(OS23,IF(OR(AL24&lt;=0,NOT('_JobDays'!AC2)),0,IF(WEEKDAY(AL$6,1)=1,AL24*AL25,0)),IF(OR(AL24&lt;=0,NOT('_JobDays'!AC2)),0,IF(WEEKDAY(AL$6,1)=1,AL24*AL25,0))))</f>
        <v>0</v>
      </c>
      <c r="AM28" s="62">
        <f>IF(AND(AM24=1,AM25=8,E23="Auto",B23="COORDINATOR SAFETY 01",AND('Job setup'!$B$11="ON",'Job setup'!$C$11&lt;=AM$6,'Job setup'!$D$11&gt;=AM$6,'Job setup'!$G$11="YES")),0,IF(OS23,IF(OR(AM24&lt;=0,NOT('_JobDays'!AD2)),0,IF(WEEKDAY(AM$6,1)=1,AM24*AM25,0)),IF(OR(AM24&lt;=0,NOT('_JobDays'!AD2)),0,IF(WEEKDAY(AM$6,1)=1,AM24*AM25,0))))</f>
        <v>0</v>
      </c>
      <c r="AN28" s="62">
        <f>IF(AND(AN24=1,AN25=8,E23="Auto",B23="COORDINATOR SAFETY 01",AND('Job setup'!$B$11="ON",'Job setup'!$C$11&lt;=AN$6,'Job setup'!$D$11&gt;=AN$6,'Job setup'!$G$11="YES")),0,IF(OS23,IF(OR(AN24&lt;=0,NOT('_JobDays'!AE2)),0,IF(WEEKDAY(AN$6,1)=1,AN24*AN25,0)),IF(OR(AN24&lt;=0,NOT('_JobDays'!AE2)),0,IF(WEEKDAY(AN$6,1)=1,AN24*AN25,0))))</f>
        <v>0</v>
      </c>
      <c r="AO28" s="64">
        <f>IF(AND(AO24=1,AO25=8,E23="Auto",B23="COORDINATOR SAFETY 01",AND('Job setup'!$B$11="ON",'Job setup'!$C$11&lt;=AO$6,'Job setup'!$D$11&gt;=AO$6,'Job setup'!$G$11="YES")),0,IF(OS23,IF(OR(AO24&lt;=0,NOT('_JobDays'!AF2)),0,IF(WEEKDAY(AO$6,1)=1,AO24*AO25,0)),IF(OR(AO24&lt;=0,NOT('_JobDays'!AF2)),0,IF(WEEKDAY(AO$6,1)=1,AO24*AO25,0))))</f>
        <v>0</v>
      </c>
      <c r="OT28" s="28" t="s">
        <v>67</v>
      </c>
    </row>
    <row r="29" ht="16" customHeight="1" spans="1:410" x14ac:dyDescent="0.25">
      <c r="A29" s="43"/>
      <c r="B29" s="44"/>
      <c r="C29" s="66">
        <f>I23*D29</f>
        <v>3080</v>
      </c>
      <c r="D29" s="66">
        <v>140</v>
      </c>
      <c r="E29" s="67" t="s">
        <v>63</v>
      </c>
      <c r="F29" s="48"/>
      <c r="G29" s="48"/>
      <c r="H29" s="48"/>
      <c r="I29" s="49"/>
      <c r="J29" s="68">
        <v>1</v>
      </c>
      <c r="K29" s="69">
        <v>1</v>
      </c>
      <c r="L29" s="69">
        <v>1</v>
      </c>
      <c r="M29" s="69">
        <v>1</v>
      </c>
      <c r="N29" s="69">
        <v>1</v>
      </c>
      <c r="O29" s="70">
        <v>0</v>
      </c>
      <c r="P29" s="70">
        <v>0</v>
      </c>
      <c r="Q29" s="69">
        <v>1</v>
      </c>
      <c r="R29" s="69">
        <v>1</v>
      </c>
      <c r="S29" s="69">
        <v>1</v>
      </c>
      <c r="T29" s="69">
        <v>1</v>
      </c>
      <c r="U29" s="69">
        <v>1</v>
      </c>
      <c r="V29" s="70">
        <v>1</v>
      </c>
      <c r="W29" s="70">
        <v>1</v>
      </c>
      <c r="X29" s="69">
        <v>1</v>
      </c>
      <c r="Y29" s="69">
        <v>1</v>
      </c>
      <c r="Z29" s="69">
        <v>1</v>
      </c>
      <c r="AA29" s="69">
        <v>1</v>
      </c>
      <c r="AB29" s="69">
        <v>1</v>
      </c>
      <c r="AC29" s="70">
        <v>1</v>
      </c>
      <c r="AD29" s="70">
        <v>1</v>
      </c>
      <c r="AE29" s="69">
        <v>1</v>
      </c>
      <c r="AF29" s="69">
        <v>1</v>
      </c>
      <c r="AG29" s="69">
        <v>1</v>
      </c>
      <c r="AH29" s="69">
        <v>0</v>
      </c>
      <c r="AI29" s="69">
        <v>0</v>
      </c>
      <c r="AJ29" s="70">
        <v>0</v>
      </c>
      <c r="AK29" s="70">
        <v>0</v>
      </c>
      <c r="AL29" s="69">
        <v>0</v>
      </c>
      <c r="AM29" s="69">
        <v>0</v>
      </c>
      <c r="AN29" s="69">
        <v>0</v>
      </c>
      <c r="AO29" s="71">
        <v>0</v>
      </c>
      <c r="OT29" s="59" t="s">
        <v>67</v>
      </c>
    </row>
    <row r="30" ht="8" customHeight="1" spans="1:4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</row>
    <row r="31" ht="16" customHeight="1" spans="1:410" x14ac:dyDescent="0.25">
      <c r="A31" s="43" t="s">
        <v>54</v>
      </c>
      <c r="B31" s="44" t="s">
        <v>68</v>
      </c>
      <c r="C31" s="45">
        <f>C34+C35+C36</f>
        <v>36191.68</v>
      </c>
      <c r="D31" s="46"/>
      <c r="E31" s="47" t="s">
        <v>56</v>
      </c>
      <c r="F31" s="48">
        <f>SUM(J34:AO34)</f>
        <v>192</v>
      </c>
      <c r="G31" s="48">
        <f>SUM(J35:AO35)</f>
        <v>64</v>
      </c>
      <c r="H31" s="48">
        <f>SUM(J36:AO36)</f>
        <v>24</v>
      </c>
      <c r="I31" s="49">
        <f>SUM(J37:AO37)</f>
        <v>22</v>
      </c>
      <c r="J31" s="50"/>
      <c r="K31" s="51"/>
      <c r="L31" s="51"/>
      <c r="M31" s="51"/>
      <c r="N31" s="51"/>
      <c r="O31" s="52"/>
      <c r="P31" s="52"/>
      <c r="Q31" s="51"/>
      <c r="R31" s="51"/>
      <c r="S31" s="51"/>
      <c r="T31" s="51"/>
      <c r="U31" s="51"/>
      <c r="V31" s="52"/>
      <c r="W31" s="52"/>
      <c r="X31" s="51"/>
      <c r="Y31" s="51"/>
      <c r="Z31" s="51"/>
      <c r="AA31" s="51"/>
      <c r="AB31" s="51"/>
      <c r="AC31" s="52"/>
      <c r="AD31" s="52"/>
      <c r="AE31" s="51"/>
      <c r="AF31" s="51"/>
      <c r="AG31" s="51"/>
      <c r="AH31" s="51"/>
      <c r="AI31" s="51"/>
      <c r="AJ31" s="52"/>
      <c r="AK31" s="52"/>
      <c r="AL31" s="51"/>
      <c r="AM31" s="51"/>
      <c r="AN31" s="51"/>
      <c r="AO31" s="53"/>
      <c r="OS31" s="28">
        <f>OR(E31="Staff clock",AND(OR(E31="Auto",E31=""),ISNUMBER(MATCH(B31,'_Lists'!$K$1:$K$137,0))))</f>
        <v>0</v>
      </c>
      <c r="OT31" s="28" t="s">
        <v>69</v>
      </c>
    </row>
    <row r="32" ht="16" customHeight="1" spans="1:410" x14ac:dyDescent="0.25">
      <c r="A32" s="43"/>
      <c r="B32" s="44"/>
      <c r="C32" s="45"/>
      <c r="D32" s="46"/>
      <c r="E32" s="54" t="s">
        <v>58</v>
      </c>
      <c r="F32" s="48"/>
      <c r="G32" s="48"/>
      <c r="H32" s="48"/>
      <c r="I32" s="49"/>
      <c r="J32" s="55">
        <v>1</v>
      </c>
      <c r="K32" s="56">
        <v>1</v>
      </c>
      <c r="L32" s="56">
        <v>1</v>
      </c>
      <c r="M32" s="56">
        <v>1</v>
      </c>
      <c r="N32" s="56">
        <v>1</v>
      </c>
      <c r="O32" s="57">
        <v>0</v>
      </c>
      <c r="P32" s="57">
        <v>0</v>
      </c>
      <c r="Q32" s="56">
        <v>1</v>
      </c>
      <c r="R32" s="56">
        <v>1</v>
      </c>
      <c r="S32" s="56">
        <v>1</v>
      </c>
      <c r="T32" s="56">
        <v>1</v>
      </c>
      <c r="U32" s="56">
        <v>1</v>
      </c>
      <c r="V32" s="57">
        <v>1</v>
      </c>
      <c r="W32" s="57">
        <v>1</v>
      </c>
      <c r="X32" s="56">
        <v>1</v>
      </c>
      <c r="Y32" s="56">
        <v>1</v>
      </c>
      <c r="Z32" s="56">
        <v>1</v>
      </c>
      <c r="AA32" s="56">
        <v>1</v>
      </c>
      <c r="AB32" s="56">
        <v>1</v>
      </c>
      <c r="AC32" s="57">
        <v>1</v>
      </c>
      <c r="AD32" s="57">
        <v>1</v>
      </c>
      <c r="AE32" s="56">
        <v>1</v>
      </c>
      <c r="AF32" s="56">
        <v>1</v>
      </c>
      <c r="AG32" s="56">
        <v>1</v>
      </c>
      <c r="AH32" s="56">
        <v>1</v>
      </c>
      <c r="AI32" s="56">
        <v>1</v>
      </c>
      <c r="AJ32" s="57">
        <v>0</v>
      </c>
      <c r="AK32" s="57">
        <v>0</v>
      </c>
      <c r="AL32" s="56">
        <v>1</v>
      </c>
      <c r="AM32" s="56">
        <v>1</v>
      </c>
      <c r="AN32" s="56">
        <v>1</v>
      </c>
      <c r="AO32" s="58">
        <v>1</v>
      </c>
      <c r="OT32" s="59" t="s">
        <v>69</v>
      </c>
    </row>
    <row r="33" ht="16" customHeight="1" spans="1:410" x14ac:dyDescent="0.25">
      <c r="A33" s="43"/>
      <c r="B33" s="44"/>
      <c r="C33" s="45"/>
      <c r="D33" s="46"/>
      <c r="E33" s="54" t="s">
        <v>59</v>
      </c>
      <c r="F33" s="48"/>
      <c r="G33" s="48"/>
      <c r="H33" s="48"/>
      <c r="I33" s="49"/>
      <c r="J33" s="55">
        <v>8</v>
      </c>
      <c r="K33" s="56">
        <v>8</v>
      </c>
      <c r="L33" s="56">
        <v>8</v>
      </c>
      <c r="M33" s="56">
        <v>8</v>
      </c>
      <c r="N33" s="56">
        <v>8</v>
      </c>
      <c r="O33" s="57">
        <v>0</v>
      </c>
      <c r="P33" s="57">
        <v>0</v>
      </c>
      <c r="Q33" s="56">
        <v>8</v>
      </c>
      <c r="R33" s="56">
        <v>8</v>
      </c>
      <c r="S33" s="56">
        <v>8</v>
      </c>
      <c r="T33" s="56">
        <v>12</v>
      </c>
      <c r="U33" s="56">
        <v>12</v>
      </c>
      <c r="V33" s="57">
        <v>12</v>
      </c>
      <c r="W33" s="57">
        <v>12</v>
      </c>
      <c r="X33" s="56">
        <v>12</v>
      </c>
      <c r="Y33" s="56">
        <v>12</v>
      </c>
      <c r="Z33" s="56">
        <v>12</v>
      </c>
      <c r="AA33" s="56">
        <v>12</v>
      </c>
      <c r="AB33" s="56">
        <v>12</v>
      </c>
      <c r="AC33" s="57">
        <v>12</v>
      </c>
      <c r="AD33" s="57">
        <v>12</v>
      </c>
      <c r="AE33" s="56">
        <v>12</v>
      </c>
      <c r="AF33" s="56">
        <v>12</v>
      </c>
      <c r="AG33" s="56">
        <v>12</v>
      </c>
      <c r="AH33" s="56">
        <v>8</v>
      </c>
      <c r="AI33" s="56">
        <v>8</v>
      </c>
      <c r="AJ33" s="57">
        <v>0</v>
      </c>
      <c r="AK33" s="57">
        <v>0</v>
      </c>
      <c r="AL33" s="56">
        <v>8</v>
      </c>
      <c r="AM33" s="56">
        <v>8</v>
      </c>
      <c r="AN33" s="56">
        <v>8</v>
      </c>
      <c r="AO33" s="58">
        <v>8</v>
      </c>
      <c r="OT33" s="59" t="s">
        <v>69</v>
      </c>
    </row>
    <row r="34" ht="16" customHeight="1" spans="1:410" x14ac:dyDescent="0.25">
      <c r="A34" s="43"/>
      <c r="B34" s="44"/>
      <c r="C34" s="60">
        <f>F31*N(D34)</f>
        <v>21354.239999999998</v>
      </c>
      <c r="D34" s="60">
        <f>IF(TRIM(B31)="","No rate",IFERROR(INDEX('Rate Tables'!C$7:C$161,MATCH(B31,'Rate Tables'!A$7:A$161,0)),"No rate"))</f>
        <v>111.22</v>
      </c>
      <c r="E34" s="54" t="s">
        <v>60</v>
      </c>
      <c r="F34" s="48"/>
      <c r="G34" s="48"/>
      <c r="H34" s="48"/>
      <c r="I34" s="49"/>
      <c r="J34" s="61">
        <f>IF(AND(J32=1,J33=8,E31="Auto",B31="Pipefitter General Foreman",AND('Job setup'!$B$7="ON",'Job setup'!$C$7&lt;=J$6,'Job setup'!$D$7&gt;=J$6,'Job setup'!$G$7="YES")),8,IF(OS31,MIN(IF(OR(J32&lt;=0,NOT('_JobDays'!A2)),0,IF(WEEKDAY(J$6,1)=1,0,MIN(IF('_JobDays'!A3,8,10),J33)*J32)),MAX(0,40*MAX(1,J32)-(0))),MIN(IF(OR(J32&lt;=0,NOT('_JobDays'!A2)),0,IF(WEEKDAY(J$6,1)=1,0,IF(WEEKDAY(J$6,1)=7,0,IF('_JobDays'!A4,MIN(8,J33)*J32,J32*J33)))),MAX(0,40*MAX(1,J32)-(0)))))</f>
        <v>8</v>
      </c>
      <c r="K34" s="62">
        <f>IF(AND(K32=1,K33=8,E31="Auto",B31="Pipefitter General Foreman",AND('Job setup'!$B$7="ON",'Job setup'!$C$7&lt;=K$6,'Job setup'!$D$7&gt;=K$6,'Job setup'!$G$7="YES")),8,IF(OS31,MIN(IF(OR(K32&lt;=0,NOT('_JobDays'!B2)),0,IF(WEEKDAY(K$6,1)=1,0,MIN(IF('_JobDays'!B3,8,10),K33)*K32)),MAX(0,40*MAX(1,K32)-(J34))),MIN(IF(OR(K32&lt;=0,NOT('_JobDays'!B2)),0,IF(WEEKDAY(K$6,1)=1,0,IF(WEEKDAY(K$6,1)=7,0,IF('_JobDays'!B4,MIN(8,K33)*K32,K32*K33)))),MAX(0,40*MAX(1,K32)-(J34)))))</f>
        <v>8</v>
      </c>
      <c r="L34" s="62">
        <f>IF(AND(L32=1,L33=8,E31="Auto",B31="Pipefitter General Foreman",AND('Job setup'!$B$7="ON",'Job setup'!$C$7&lt;=L$6,'Job setup'!$D$7&gt;=L$6,'Job setup'!$G$7="YES")),8,IF(OS31,MIN(IF(OR(L32&lt;=0,NOT('_JobDays'!C2)),0,IF(WEEKDAY(L$6,1)=1,0,MIN(IF('_JobDays'!C3,8,10),L33)*L32)),MAX(0,40*MAX(1,L32)-(J34+K34))),MIN(IF(OR(L32&lt;=0,NOT('_JobDays'!C2)),0,IF(WEEKDAY(L$6,1)=1,0,IF(WEEKDAY(L$6,1)=7,0,IF('_JobDays'!C4,MIN(8,L33)*L32,L32*L33)))),MAX(0,40*MAX(1,L32)-(J34+K34)))))</f>
        <v>8</v>
      </c>
      <c r="M34" s="62">
        <f>IF(AND(M32=1,M33=8,E31="Auto",B31="Pipefitter General Foreman",AND('Job setup'!$B$7="ON",'Job setup'!$C$7&lt;=M$6,'Job setup'!$D$7&gt;=M$6,'Job setup'!$G$7="YES")),8,IF(OS31,MIN(IF(OR(M32&lt;=0,NOT('_JobDays'!D2)),0,IF(WEEKDAY(M$6,1)=1,0,MIN(IF('_JobDays'!D3,8,10),M33)*M32)),MAX(0,40*MAX(1,M32)-(J34+K34+L34))),MIN(IF(OR(M32&lt;=0,NOT('_JobDays'!D2)),0,IF(WEEKDAY(M$6,1)=1,0,IF(WEEKDAY(M$6,1)=7,0,IF('_JobDays'!D4,MIN(8,M33)*M32,M32*M33)))),MAX(0,40*MAX(1,M32)-(J34+K34+L34)))))</f>
        <v>8</v>
      </c>
      <c r="N34" s="62">
        <f>IF(AND(N32=1,N33=8,E31="Auto",B31="Pipefitter General Foreman",AND('Job setup'!$B$7="ON",'Job setup'!$C$7&lt;=N$6,'Job setup'!$D$7&gt;=N$6,'Job setup'!$G$7="YES")),8,IF(OS31,MIN(IF(OR(N32&lt;=0,NOT('_JobDays'!E2)),0,IF(WEEKDAY(N$6,1)=1,0,MIN(IF('_JobDays'!E3,8,10),N33)*N32)),MAX(0,40*MAX(1,N32)-(J34+K34+L34+M34))),MIN(IF(OR(N32&lt;=0,NOT('_JobDays'!E2)),0,IF(WEEKDAY(N$6,1)=1,0,IF(WEEKDAY(N$6,1)=7,0,IF('_JobDays'!E4,MIN(8,N33)*N32,N32*N33)))),MAX(0,40*MAX(1,N32)-(J34+K34+L34+M34)))))</f>
        <v>8</v>
      </c>
      <c r="O34" s="63">
        <f>IF(AND(O32=0,O33=0,E31="Auto",B31="Pipefitter General Foreman",AND('Job setup'!$B$7="ON",'Job setup'!$C$7&lt;=O$6,'Job setup'!$D$7&gt;=O$6,'Job setup'!$G$7="YES")),0,IF(OS31,MIN(IF(OR(O32&lt;=0,NOT('_JobDays'!F2)),0,IF(WEEKDAY(O$6,1)=1,0,MIN(IF('_JobDays'!F3,8,10),O33)*O32)),MAX(0,40*MAX(1,O32)-(J34+K34+L34+M34+N34))),MIN(IF(OR(O32&lt;=0,NOT('_JobDays'!F2)),0,IF(WEEKDAY(O$6,1)=1,0,IF(WEEKDAY(O$6,1)=7,0,IF('_JobDays'!F4,MIN(8,O33)*O32,O32*O33)))),MAX(0,40*MAX(1,O32)-(J34+K34+L34+M34+N34)))))</f>
        <v>0</v>
      </c>
      <c r="P34" s="63">
        <f>IF(AND(P32=0,P33=0,E31="Auto",B31="Pipefitter General Foreman",AND('Job setup'!$B$7="ON",'Job setup'!$C$7&lt;=P$6,'Job setup'!$D$7&gt;=P$6,'Job setup'!$G$7="YES")),0,IF(OS31,MIN(IF(OR(P32&lt;=0,NOT('_JobDays'!G2)),0,IF(WEEKDAY(P$6,1)=1,0,MIN(IF('_JobDays'!G3,8,10),P33)*P32)),MAX(0,40*MAX(1,P32)-(J34+K34+L34+M34+N34+O34))),MIN(IF(OR(P32&lt;=0,NOT('_JobDays'!G2)),0,IF(WEEKDAY(P$6,1)=1,0,IF(WEEKDAY(P$6,1)=7,0,IF('_JobDays'!G4,MIN(8,P33)*P32,P32*P33)))),MAX(0,40*MAX(1,P32)-(J34+K34+L34+M34+N34+O34)))))</f>
        <v>0</v>
      </c>
      <c r="Q34" s="62">
        <f>IF(AND(Q32=1,Q33=8,E31="Auto",B31="Pipefitter General Foreman",AND('Job setup'!$B$7="ON",'Job setup'!$C$7&lt;=Q$6,'Job setup'!$D$7&gt;=Q$6,'Job setup'!$G$7="YES")),8,IF(OS31,MIN(IF(OR(Q32&lt;=0,NOT('_JobDays'!H2)),0,IF(WEEKDAY(Q$6,1)=1,0,MIN(IF('_JobDays'!H3,8,10),Q33)*Q32)),MAX(0,40*MAX(1,Q32)-(0))),MIN(IF(OR(Q32&lt;=0,NOT('_JobDays'!H2)),0,IF(WEEKDAY(Q$6,1)=1,0,IF(WEEKDAY(Q$6,1)=7,0,IF('_JobDays'!H4,MIN(8,Q33)*Q32,Q32*Q33)))),MAX(0,40*MAX(1,Q32)-(0)))))</f>
        <v>8</v>
      </c>
      <c r="R34" s="62">
        <f>IF(AND(R32=1,R33=8,E31="Auto",B31="Pipefitter General Foreman",AND('Job setup'!$B$7="ON",'Job setup'!$C$7&lt;=R$6,'Job setup'!$D$7&gt;=R$6,'Job setup'!$G$7="YES")),8,IF(OS31,MIN(IF(OR(R32&lt;=0,NOT('_JobDays'!I2)),0,IF(WEEKDAY(R$6,1)=1,0,MIN(IF('_JobDays'!I3,8,10),R33)*R32)),MAX(0,40*MAX(1,R32)-(Q34))),MIN(IF(OR(R32&lt;=0,NOT('_JobDays'!I2)),0,IF(WEEKDAY(R$6,1)=1,0,IF(WEEKDAY(R$6,1)=7,0,IF('_JobDays'!I4,MIN(8,R33)*R32,R32*R33)))),MAX(0,40*MAX(1,R32)-(Q34)))))</f>
        <v>8</v>
      </c>
      <c r="S34" s="62">
        <f>IF(AND(S32=1,S33=8,E31="Auto",B31="Pipefitter General Foreman",AND('Job setup'!$B$7="ON",'Job setup'!$C$7&lt;=S$6,'Job setup'!$D$7&gt;=S$6,'Job setup'!$G$7="YES")),8,IF(OS31,MIN(IF(OR(S32&lt;=0,NOT('_JobDays'!J2)),0,IF(WEEKDAY(S$6,1)=1,0,MIN(IF('_JobDays'!J3,8,10),S33)*S32)),MAX(0,40*MAX(1,S32)-(Q34+R34))),MIN(IF(OR(S32&lt;=0,NOT('_JobDays'!J2)),0,IF(WEEKDAY(S$6,1)=1,0,IF(WEEKDAY(S$6,1)=7,0,IF('_JobDays'!J4,MIN(8,S33)*S32,S32*S33)))),MAX(0,40*MAX(1,S32)-(Q34+R34)))))</f>
        <v>8</v>
      </c>
      <c r="T34" s="62">
        <f>IF(AND(T32=1,T33=12,E31="Auto",B31="Pipefitter General Foreman",AND('Job setup'!$B$9="ON",'Job setup'!$C$9&lt;=T$6,'Job setup'!$D$9&gt;=T$6,'Job setup'!$G$9="NO")),8,IF(OS31,MIN(IF(OR(T32&lt;=0,NOT('_JobDays'!K2)),0,IF(WEEKDAY(T$6,1)=1,0,MIN(IF('_JobDays'!K3,8,10),T33)*T32)),MAX(0,40*MAX(1,T32)-(Q34+R34+S34))),MIN(IF(OR(T32&lt;=0,NOT('_JobDays'!K2)),0,IF(WEEKDAY(T$6,1)=1,0,IF(WEEKDAY(T$6,1)=7,0,IF('_JobDays'!K4,MIN(8,T33)*T32,T32*T33)))),MAX(0,40*MAX(1,T32)-(Q34+R34+S34)))))</f>
        <v>8</v>
      </c>
      <c r="U34" s="62">
        <f>IF(AND(U32=1,U33=12,E31="Auto",B31="Pipefitter General Foreman",AND('Job setup'!$B$9="ON",'Job setup'!$C$9&lt;=U$6,'Job setup'!$D$9&gt;=U$6,'Job setup'!$G$9="NO")),8,IF(OS31,MIN(IF(OR(U32&lt;=0,NOT('_JobDays'!L2)),0,IF(WEEKDAY(U$6,1)=1,0,MIN(IF('_JobDays'!L3,8,10),U33)*U32)),MAX(0,40*MAX(1,U32)-(Q34+R34+S34+T34))),MIN(IF(OR(U32&lt;=0,NOT('_JobDays'!L2)),0,IF(WEEKDAY(U$6,1)=1,0,IF(WEEKDAY(U$6,1)=7,0,IF('_JobDays'!L4,MIN(8,U33)*U32,U32*U33)))),MAX(0,40*MAX(1,U32)-(Q34+R34+S34+T34)))))</f>
        <v>8</v>
      </c>
      <c r="V34" s="63">
        <f>IF(AND(V32=1,V33=12,E31="Auto",B31="Pipefitter General Foreman",AND('Job setup'!$B$9="ON",'Job setup'!$C$9&lt;=V$6,'Job setup'!$D$9&gt;=V$6,'Job setup'!$G$9="NO")),0,IF(OS31,MIN(IF(OR(V32&lt;=0,NOT('_JobDays'!M2)),0,IF(WEEKDAY(V$6,1)=1,0,MIN(IF('_JobDays'!M3,8,10),V33)*V32)),MAX(0,40*MAX(1,V32)-(Q34+R34+S34+T34+U34))),MIN(IF(OR(V32&lt;=0,NOT('_JobDays'!M2)),0,IF(WEEKDAY(V$6,1)=1,0,IF(WEEKDAY(V$6,1)=7,0,IF('_JobDays'!M4,MIN(8,V33)*V32,V32*V33)))),MAX(0,40*MAX(1,V32)-(Q34+R34+S34+T34+U34)))))</f>
        <v>0</v>
      </c>
      <c r="W34" s="63">
        <f>IF(AND(W32=1,W33=12,E31="Auto",B31="Pipefitter General Foreman",AND('Job setup'!$B$9="ON",'Job setup'!$C$9&lt;=W$6,'Job setup'!$D$9&gt;=W$6,'Job setup'!$G$9="NO")),0,IF(OS31,MIN(IF(OR(W32&lt;=0,NOT('_JobDays'!N2)),0,IF(WEEKDAY(W$6,1)=1,0,MIN(IF('_JobDays'!N3,8,10),W33)*W32)),MAX(0,40*MAX(1,W32)-(Q34+R34+S34+T34+U34+V34))),MIN(IF(OR(W32&lt;=0,NOT('_JobDays'!N2)),0,IF(WEEKDAY(W$6,1)=1,0,IF(WEEKDAY(W$6,1)=7,0,IF('_JobDays'!N4,MIN(8,W33)*W32,W32*W33)))),MAX(0,40*MAX(1,W32)-(Q34+R34+S34+T34+U34+V34)))))</f>
        <v>0</v>
      </c>
      <c r="X34" s="62">
        <f>IF(AND(X32=1,X33=12,E31="Auto",B31="Pipefitter General Foreman",AND('Job setup'!$B$9="ON",'Job setup'!$C$9&lt;=X$6,'Job setup'!$D$9&gt;=X$6,'Job setup'!$G$9="NO")),8,IF(OS31,MIN(IF(OR(X32&lt;=0,NOT('_JobDays'!O2)),0,IF(WEEKDAY(X$6,1)=1,0,MIN(IF('_JobDays'!O3,8,10),X33)*X32)),MAX(0,40*MAX(1,X32)-(0))),MIN(IF(OR(X32&lt;=0,NOT('_JobDays'!O2)),0,IF(WEEKDAY(X$6,1)=1,0,IF(WEEKDAY(X$6,1)=7,0,IF('_JobDays'!O4,MIN(8,X33)*X32,X32*X33)))),MAX(0,40*MAX(1,X32)-(0)))))</f>
        <v>8</v>
      </c>
      <c r="Y34" s="62">
        <f>IF(AND(Y32=1,Y33=12,E31="Auto",B31="Pipefitter General Foreman",AND('Job setup'!$B$9="ON",'Job setup'!$C$9&lt;=Y$6,'Job setup'!$D$9&gt;=Y$6,'Job setup'!$G$9="NO")),8,IF(OS31,MIN(IF(OR(Y32&lt;=0,NOT('_JobDays'!P2)),0,IF(WEEKDAY(Y$6,1)=1,0,MIN(IF('_JobDays'!P3,8,10),Y33)*Y32)),MAX(0,40*MAX(1,Y32)-(X34))),MIN(IF(OR(Y32&lt;=0,NOT('_JobDays'!P2)),0,IF(WEEKDAY(Y$6,1)=1,0,IF(WEEKDAY(Y$6,1)=7,0,IF('_JobDays'!P4,MIN(8,Y33)*Y32,Y32*Y33)))),MAX(0,40*MAX(1,Y32)-(X34)))))</f>
        <v>8</v>
      </c>
      <c r="Z34" s="62">
        <f>IF(AND(Z32=1,Z33=12,E31="Auto",B31="Pipefitter General Foreman",AND('Job setup'!$B$9="ON",'Job setup'!$C$9&lt;=Z$6,'Job setup'!$D$9&gt;=Z$6,'Job setup'!$G$9="NO")),8,IF(OS31,MIN(IF(OR(Z32&lt;=0,NOT('_JobDays'!Q2)),0,IF(WEEKDAY(Z$6,1)=1,0,MIN(IF('_JobDays'!Q3,8,10),Z33)*Z32)),MAX(0,40*MAX(1,Z32)-(X34+Y34))),MIN(IF(OR(Z32&lt;=0,NOT('_JobDays'!Q2)),0,IF(WEEKDAY(Z$6,1)=1,0,IF(WEEKDAY(Z$6,1)=7,0,IF('_JobDays'!Q4,MIN(8,Z33)*Z32,Z32*Z33)))),MAX(0,40*MAX(1,Z32)-(X34+Y34)))))</f>
        <v>8</v>
      </c>
      <c r="AA34" s="62">
        <f>IF(AND(AA32=1,AA33=12,E31="Auto",B31="Pipefitter General Foreman",AND('Job setup'!$B$9="ON",'Job setup'!$C$9&lt;=AA$6,'Job setup'!$D$9&gt;=AA$6,'Job setup'!$G$9="NO")),8,IF(OS31,MIN(IF(OR(AA32&lt;=0,NOT('_JobDays'!R2)),0,IF(WEEKDAY(AA$6,1)=1,0,MIN(IF('_JobDays'!R3,8,10),AA33)*AA32)),MAX(0,40*MAX(1,AA32)-(X34+Y34+Z34))),MIN(IF(OR(AA32&lt;=0,NOT('_JobDays'!R2)),0,IF(WEEKDAY(AA$6,1)=1,0,IF(WEEKDAY(AA$6,1)=7,0,IF('_JobDays'!R4,MIN(8,AA33)*AA32,AA32*AA33)))),MAX(0,40*MAX(1,AA32)-(X34+Y34+Z34)))))</f>
        <v>8</v>
      </c>
      <c r="AB34" s="62">
        <f>IF(AND(AB32=1,AB33=12,E31="Auto",B31="Pipefitter General Foreman",AND('Job setup'!$B$9="ON",'Job setup'!$C$9&lt;=AB$6,'Job setup'!$D$9&gt;=AB$6,'Job setup'!$G$9="NO")),8,IF(OS31,MIN(IF(OR(AB32&lt;=0,NOT('_JobDays'!S2)),0,IF(WEEKDAY(AB$6,1)=1,0,MIN(IF('_JobDays'!S3,8,10),AB33)*AB32)),MAX(0,40*MAX(1,AB32)-(X34+Y34+Z34+AA34))),MIN(IF(OR(AB32&lt;=0,NOT('_JobDays'!S2)),0,IF(WEEKDAY(AB$6,1)=1,0,IF(WEEKDAY(AB$6,1)=7,0,IF('_JobDays'!S4,MIN(8,AB33)*AB32,AB32*AB33)))),MAX(0,40*MAX(1,AB32)-(X34+Y34+Z34+AA34)))))</f>
        <v>8</v>
      </c>
      <c r="AC34" s="63">
        <f>IF(AND(AC32=1,AC33=12,E31="Auto",B31="Pipefitter General Foreman",AND('Job setup'!$B$9="ON",'Job setup'!$C$9&lt;=AC$6,'Job setup'!$D$9&gt;=AC$6,'Job setup'!$G$9="NO")),0,IF(OS31,MIN(IF(OR(AC32&lt;=0,NOT('_JobDays'!T2)),0,IF(WEEKDAY(AC$6,1)=1,0,MIN(IF('_JobDays'!T3,8,10),AC33)*AC32)),MAX(0,40*MAX(1,AC32)-(X34+Y34+Z34+AA34+AB34))),MIN(IF(OR(AC32&lt;=0,NOT('_JobDays'!T2)),0,IF(WEEKDAY(AC$6,1)=1,0,IF(WEEKDAY(AC$6,1)=7,0,IF('_JobDays'!T4,MIN(8,AC33)*AC32,AC32*AC33)))),MAX(0,40*MAX(1,AC32)-(X34+Y34+Z34+AA34+AB34)))))</f>
        <v>0</v>
      </c>
      <c r="AD34" s="63">
        <f>IF(AND(AD32=1,AD33=12,E31="Auto",B31="Pipefitter General Foreman",AND('Job setup'!$B$9="ON",'Job setup'!$C$9&lt;=AD$6,'Job setup'!$D$9&gt;=AD$6,'Job setup'!$G$9="NO")),0,IF(OS31,MIN(IF(OR(AD32&lt;=0,NOT('_JobDays'!U2)),0,IF(WEEKDAY(AD$6,1)=1,0,MIN(IF('_JobDays'!U3,8,10),AD33)*AD32)),MAX(0,40*MAX(1,AD32)-(X34+Y34+Z34+AA34+AB34+AC34))),MIN(IF(OR(AD32&lt;=0,NOT('_JobDays'!U2)),0,IF(WEEKDAY(AD$6,1)=1,0,IF(WEEKDAY(AD$6,1)=7,0,IF('_JobDays'!U4,MIN(8,AD33)*AD32,AD32*AD33)))),MAX(0,40*MAX(1,AD32)-(X34+Y34+Z34+AA34+AB34+AC34)))))</f>
        <v>0</v>
      </c>
      <c r="AE34" s="62">
        <f>IF(AND(AE32=1,AE33=12,E31="Auto",B31="Pipefitter General Foreman",AND('Job setup'!$B$9="ON",'Job setup'!$C$9&lt;=AE$6,'Job setup'!$D$9&gt;=AE$6,'Job setup'!$G$9="NO")),8,IF(OS31,MIN(IF(OR(AE32&lt;=0,NOT('_JobDays'!V2)),0,IF(WEEKDAY(AE$6,1)=1,0,MIN(IF('_JobDays'!V3,8,10),AE33)*AE32)),MAX(0,40*MAX(1,AE32)-(0))),MIN(IF(OR(AE32&lt;=0,NOT('_JobDays'!V2)),0,IF(WEEKDAY(AE$6,1)=1,0,IF(WEEKDAY(AE$6,1)=7,0,IF('_JobDays'!V4,MIN(8,AE33)*AE32,AE32*AE33)))),MAX(0,40*MAX(1,AE32)-(0)))))</f>
        <v>8</v>
      </c>
      <c r="AF34" s="62">
        <f>IF(AND(AF32=1,AF33=12,E31="Auto",B31="Pipefitter General Foreman",AND('Job setup'!$B$9="ON",'Job setup'!$C$9&lt;=AF$6,'Job setup'!$D$9&gt;=AF$6,'Job setup'!$G$9="NO")),8,IF(OS31,MIN(IF(OR(AF32&lt;=0,NOT('_JobDays'!W2)),0,IF(WEEKDAY(AF$6,1)=1,0,MIN(IF('_JobDays'!W3,8,10),AF33)*AF32)),MAX(0,40*MAX(1,AF32)-(AE34))),MIN(IF(OR(AF32&lt;=0,NOT('_JobDays'!W2)),0,IF(WEEKDAY(AF$6,1)=1,0,IF(WEEKDAY(AF$6,1)=7,0,IF('_JobDays'!W4,MIN(8,AF33)*AF32,AF32*AF33)))),MAX(0,40*MAX(1,AF32)-(AE34)))))</f>
        <v>8</v>
      </c>
      <c r="AG34" s="62">
        <f>IF(AND(AG32=1,AG33=12,E31="Auto",B31="Pipefitter General Foreman",AND('Job setup'!$B$9="ON",'Job setup'!$C$9&lt;=AG$6,'Job setup'!$D$9&gt;=AG$6,'Job setup'!$G$9="NO")),8,IF(OS31,MIN(IF(OR(AG32&lt;=0,NOT('_JobDays'!X2)),0,IF(WEEKDAY(AG$6,1)=1,0,MIN(IF('_JobDays'!X3,8,10),AG33)*AG32)),MAX(0,40*MAX(1,AG32)-(AE34+AF34))),MIN(IF(OR(AG32&lt;=0,NOT('_JobDays'!X2)),0,IF(WEEKDAY(AG$6,1)=1,0,IF(WEEKDAY(AG$6,1)=7,0,IF('_JobDays'!X4,MIN(8,AG33)*AG32,AG32*AG33)))),MAX(0,40*MAX(1,AG32)-(AE34+AF34)))))</f>
        <v>8</v>
      </c>
      <c r="AH34" s="62">
        <f>IF(AND(AH32=1,AH33=8,E31="Auto",B31="Pipefitter General Foreman",AND('Job setup'!$B$11="ON",'Job setup'!$C$11&lt;=AH$6,'Job setup'!$D$11&gt;=AH$6,'Job setup'!$G$11="YES")),8,IF(OS31,MIN(IF(OR(AH32&lt;=0,NOT('_JobDays'!Y2)),0,IF(WEEKDAY(AH$6,1)=1,0,MIN(IF('_JobDays'!Y3,8,10),AH33)*AH32)),MAX(0,40*MAX(1,AH32)-(AE34+AF34+AG34))),MIN(IF(OR(AH32&lt;=0,NOT('_JobDays'!Y2)),0,IF(WEEKDAY(AH$6,1)=1,0,IF(WEEKDAY(AH$6,1)=7,0,IF('_JobDays'!Y4,MIN(8,AH33)*AH32,AH32*AH33)))),MAX(0,40*MAX(1,AH32)-(AE34+AF34+AG34)))))</f>
        <v>8</v>
      </c>
      <c r="AI34" s="62">
        <f>IF(AND(AI32=1,AI33=8,E31="Auto",B31="Pipefitter General Foreman",AND('Job setup'!$B$11="ON",'Job setup'!$C$11&lt;=AI$6,'Job setup'!$D$11&gt;=AI$6,'Job setup'!$G$11="YES")),8,IF(OS31,MIN(IF(OR(AI32&lt;=0,NOT('_JobDays'!Z2)),0,IF(WEEKDAY(AI$6,1)=1,0,MIN(IF('_JobDays'!Z3,8,10),AI33)*AI32)),MAX(0,40*MAX(1,AI32)-(AE34+AF34+AG34+AH34))),MIN(IF(OR(AI32&lt;=0,NOT('_JobDays'!Z2)),0,IF(WEEKDAY(AI$6,1)=1,0,IF(WEEKDAY(AI$6,1)=7,0,IF('_JobDays'!Z4,MIN(8,AI33)*AI32,AI32*AI33)))),MAX(0,40*MAX(1,AI32)-(AE34+AF34+AG34+AH34)))))</f>
        <v>8</v>
      </c>
      <c r="AJ34" s="63">
        <f>IF(AND(AJ32=0,AJ33=0,E31="Auto",B31="Pipefitter General Foreman",AND('Job setup'!$B$11="ON",'Job setup'!$C$11&lt;=AJ$6,'Job setup'!$D$11&gt;=AJ$6,'Job setup'!$G$11="YES")),0,IF(OS31,MIN(IF(OR(AJ32&lt;=0,NOT('_JobDays'!AA2)),0,IF(WEEKDAY(AJ$6,1)=1,0,MIN(IF('_JobDays'!AA3,8,10),AJ33)*AJ32)),MAX(0,40*MAX(1,AJ32)-(AE34+AF34+AG34+AH34+AI34))),MIN(IF(OR(AJ32&lt;=0,NOT('_JobDays'!AA2)),0,IF(WEEKDAY(AJ$6,1)=1,0,IF(WEEKDAY(AJ$6,1)=7,0,IF('_JobDays'!AA4,MIN(8,AJ33)*AJ32,AJ32*AJ33)))),MAX(0,40*MAX(1,AJ32)-(AE34+AF34+AG34+AH34+AI34)))))</f>
        <v>0</v>
      </c>
      <c r="AK34" s="63">
        <f>IF(AND(AK32=0,AK33=0,E31="Auto",B31="Pipefitter General Foreman",AND('Job setup'!$B$11="ON",'Job setup'!$C$11&lt;=AK$6,'Job setup'!$D$11&gt;=AK$6,'Job setup'!$G$11="YES")),0,IF(OS31,MIN(IF(OR(AK32&lt;=0,NOT('_JobDays'!AB2)),0,IF(WEEKDAY(AK$6,1)=1,0,MIN(IF('_JobDays'!AB3,8,10),AK33)*AK32)),MAX(0,40*MAX(1,AK32)-(AE34+AF34+AG34+AH34+AI34+AJ34))),MIN(IF(OR(AK32&lt;=0,NOT('_JobDays'!AB2)),0,IF(WEEKDAY(AK$6,1)=1,0,IF(WEEKDAY(AK$6,1)=7,0,IF('_JobDays'!AB4,MIN(8,AK33)*AK32,AK32*AK33)))),MAX(0,40*MAX(1,AK32)-(AE34+AF34+AG34+AH34+AI34+AJ34)))))</f>
        <v>0</v>
      </c>
      <c r="AL34" s="62">
        <f>IF(AND(AL32=1,AL33=8,E31="Auto",B31="Pipefitter General Foreman",AND('Job setup'!$B$11="ON",'Job setup'!$C$11&lt;=AL$6,'Job setup'!$D$11&gt;=AL$6,'Job setup'!$G$11="YES")),8,IF(OS31,MIN(IF(OR(AL32&lt;=0,NOT('_JobDays'!AC2)),0,IF(WEEKDAY(AL$6,1)=1,0,MIN(IF('_JobDays'!AC3,8,10),AL33)*AL32)),MAX(0,40*MAX(1,AL32)-(0))),MIN(IF(OR(AL32&lt;=0,NOT('_JobDays'!AC2)),0,IF(WEEKDAY(AL$6,1)=1,0,IF(WEEKDAY(AL$6,1)=7,0,IF('_JobDays'!AC4,MIN(8,AL33)*AL32,AL32*AL33)))),MAX(0,40*MAX(1,AL32)-(0)))))</f>
        <v>8</v>
      </c>
      <c r="AM34" s="62">
        <f>IF(AND(AM32=1,AM33=8,E31="Auto",B31="Pipefitter General Foreman",AND('Job setup'!$B$11="ON",'Job setup'!$C$11&lt;=AM$6,'Job setup'!$D$11&gt;=AM$6,'Job setup'!$G$11="YES")),8,IF(OS31,MIN(IF(OR(AM32&lt;=0,NOT('_JobDays'!AD2)),0,IF(WEEKDAY(AM$6,1)=1,0,MIN(IF('_JobDays'!AD3,8,10),AM33)*AM32)),MAX(0,40*MAX(1,AM32)-(AL34))),MIN(IF(OR(AM32&lt;=0,NOT('_JobDays'!AD2)),0,IF(WEEKDAY(AM$6,1)=1,0,IF(WEEKDAY(AM$6,1)=7,0,IF('_JobDays'!AD4,MIN(8,AM33)*AM32,AM32*AM33)))),MAX(0,40*MAX(1,AM32)-(AL34)))))</f>
        <v>8</v>
      </c>
      <c r="AN34" s="62">
        <f>IF(AND(AN32=1,AN33=8,E31="Auto",B31="Pipefitter General Foreman",AND('Job setup'!$B$11="ON",'Job setup'!$C$11&lt;=AN$6,'Job setup'!$D$11&gt;=AN$6,'Job setup'!$G$11="YES")),8,IF(OS31,MIN(IF(OR(AN32&lt;=0,NOT('_JobDays'!AE2)),0,IF(WEEKDAY(AN$6,1)=1,0,MIN(IF('_JobDays'!AE3,8,10),AN33)*AN32)),MAX(0,40*MAX(1,AN32)-(AL34+AM34))),MIN(IF(OR(AN32&lt;=0,NOT('_JobDays'!AE2)),0,IF(WEEKDAY(AN$6,1)=1,0,IF(WEEKDAY(AN$6,1)=7,0,IF('_JobDays'!AE4,MIN(8,AN33)*AN32,AN32*AN33)))),MAX(0,40*MAX(1,AN32)-(AL34+AM34)))))</f>
        <v>8</v>
      </c>
      <c r="AO34" s="64">
        <f>IF(AND(AO32=1,AO33=8,E31="Auto",B31="Pipefitter General Foreman",AND('Job setup'!$B$11="ON",'Job setup'!$C$11&lt;=AO$6,'Job setup'!$D$11&gt;=AO$6,'Job setup'!$G$11="YES")),8,IF(OS31,MIN(IF(OR(AO32&lt;=0,NOT('_JobDays'!AF2)),0,IF(WEEKDAY(AO$6,1)=1,0,MIN(IF('_JobDays'!AF3,8,10),AO33)*AO32)),MAX(0,40*MAX(1,AO32)-(AL34+AM34+AN34))),MIN(IF(OR(AO32&lt;=0,NOT('_JobDays'!AF2)),0,IF(WEEKDAY(AO$6,1)=1,0,IF(WEEKDAY(AO$6,1)=7,0,IF('_JobDays'!AF4,MIN(8,AO33)*AO32,AO32*AO33)))),MAX(0,40*MAX(1,AO32)-(AL34+AM34+AN34)))))</f>
        <v>8</v>
      </c>
      <c r="OT34" s="28" t="s">
        <v>69</v>
      </c>
    </row>
    <row r="35" ht="16" customHeight="1" spans="1:410" x14ac:dyDescent="0.25">
      <c r="A35" s="43"/>
      <c r="B35" s="44"/>
      <c r="C35" s="65">
        <f>G31*N(D35)</f>
        <v>10003.84</v>
      </c>
      <c r="D35" s="65">
        <f>IF(TRIM(B31)="","No rate",IFERROR(INDEX('Rate Tables'!D$7:D$161,MATCH(B31,'Rate Tables'!A$7:A$161,0)),"No rate"))</f>
        <v>156.31</v>
      </c>
      <c r="E35" s="54" t="s">
        <v>61</v>
      </c>
      <c r="F35" s="48"/>
      <c r="G35" s="48"/>
      <c r="H35" s="48"/>
      <c r="I35" s="49"/>
      <c r="J35" s="61">
        <f>IF(AND(J32=1,J33=8,E31="Auto",B31="Pipefitter General Foreman",AND('Job setup'!$B$7="ON",'Job setup'!$C$7&lt;=J$6,'Job setup'!$D$7&gt;=J$6,'Job setup'!$G$7="YES")),0,IF(OS31,IF(OR(J32&lt;=0,NOT('_JobDays'!A2)),0,IF(WEEKDAY(J$6,1)=1,0,MAX(0,J33-(IF('_JobDays'!A3,8,10)))*J32))+((IF(OR(J32&lt;=0,NOT('_JobDays'!A2)),0,IF(WEEKDAY(J$6,1)=1,0,MIN(IF('_JobDays'!A3,8,10),J33)*J32)))-MIN(IF(OR(J32&lt;=0,NOT('_JobDays'!A2)),0,IF(WEEKDAY(J$6,1)=1,0,MIN(IF('_JobDays'!A3,8,10),J33)*J32)),MAX(0,40*MAX(1,J32)-(0)))),IF(OR(J32&lt;=0,NOT('_JobDays'!A2)),0,IF(WEEKDAY(J$6,1)=1,0,IF(WEEKDAY(J$6,1)=7,J32*J33,IF('_JobDays'!A4,MAX(0,J33-8)*J32,0))))+((IF(OR(J32&lt;=0,NOT('_JobDays'!A2)),0,IF(WEEKDAY(J$6,1)=1,0,IF(WEEKDAY(J$6,1)=7,0,IF('_JobDays'!A4,MIN(8,J33)*J32,J32*J33)))))-MIN(IF(OR(J32&lt;=0,NOT('_JobDays'!A2)),0,IF(WEEKDAY(J$6,1)=1,0,IF(WEEKDAY(J$6,1)=7,0,IF('_JobDays'!A4,MIN(8,J33)*J32,J32*J33)))),MAX(0,40*MAX(1,J32)-(0))))))</f>
        <v>0</v>
      </c>
      <c r="K35" s="62">
        <f>IF(AND(K32=1,K33=8,E31="Auto",B31="Pipefitter General Foreman",AND('Job setup'!$B$7="ON",'Job setup'!$C$7&lt;=K$6,'Job setup'!$D$7&gt;=K$6,'Job setup'!$G$7="YES")),0,IF(OS31,IF(OR(K32&lt;=0,NOT('_JobDays'!B2)),0,IF(WEEKDAY(K$6,1)=1,0,MAX(0,K33-(IF('_JobDays'!B3,8,10)))*K32))+((IF(OR(K32&lt;=0,NOT('_JobDays'!B2)),0,IF(WEEKDAY(K$6,1)=1,0,MIN(IF('_JobDays'!B3,8,10),K33)*K32)))-MIN(IF(OR(K32&lt;=0,NOT('_JobDays'!B2)),0,IF(WEEKDAY(K$6,1)=1,0,MIN(IF('_JobDays'!B3,8,10),K33)*K32)),MAX(0,40*MAX(1,K32)-(J34)))),IF(OR(K32&lt;=0,NOT('_JobDays'!B2)),0,IF(WEEKDAY(K$6,1)=1,0,IF(WEEKDAY(K$6,1)=7,K32*K33,IF('_JobDays'!B4,MAX(0,K33-8)*K32,0))))+((IF(OR(K32&lt;=0,NOT('_JobDays'!B2)),0,IF(WEEKDAY(K$6,1)=1,0,IF(WEEKDAY(K$6,1)=7,0,IF('_JobDays'!B4,MIN(8,K33)*K32,K32*K33)))))-MIN(IF(OR(K32&lt;=0,NOT('_JobDays'!B2)),0,IF(WEEKDAY(K$6,1)=1,0,IF(WEEKDAY(K$6,1)=7,0,IF('_JobDays'!B4,MIN(8,K33)*K32,K32*K33)))),MAX(0,40*MAX(1,K32)-(J34))))))</f>
        <v>0</v>
      </c>
      <c r="L35" s="62">
        <f>IF(AND(L32=1,L33=8,E31="Auto",B31="Pipefitter General Foreman",AND('Job setup'!$B$7="ON",'Job setup'!$C$7&lt;=L$6,'Job setup'!$D$7&gt;=L$6,'Job setup'!$G$7="YES")),0,IF(OS31,IF(OR(L32&lt;=0,NOT('_JobDays'!C2)),0,IF(WEEKDAY(L$6,1)=1,0,MAX(0,L33-(IF('_JobDays'!C3,8,10)))*L32))+((IF(OR(L32&lt;=0,NOT('_JobDays'!C2)),0,IF(WEEKDAY(L$6,1)=1,0,MIN(IF('_JobDays'!C3,8,10),L33)*L32)))-MIN(IF(OR(L32&lt;=0,NOT('_JobDays'!C2)),0,IF(WEEKDAY(L$6,1)=1,0,MIN(IF('_JobDays'!C3,8,10),L33)*L32)),MAX(0,40*MAX(1,L32)-(J34+K34)))),IF(OR(L32&lt;=0,NOT('_JobDays'!C2)),0,IF(WEEKDAY(L$6,1)=1,0,IF(WEEKDAY(L$6,1)=7,L32*L33,IF('_JobDays'!C4,MAX(0,L33-8)*L32,0))))+((IF(OR(L32&lt;=0,NOT('_JobDays'!C2)),0,IF(WEEKDAY(L$6,1)=1,0,IF(WEEKDAY(L$6,1)=7,0,IF('_JobDays'!C4,MIN(8,L33)*L32,L32*L33)))))-MIN(IF(OR(L32&lt;=0,NOT('_JobDays'!C2)),0,IF(WEEKDAY(L$6,1)=1,0,IF(WEEKDAY(L$6,1)=7,0,IF('_JobDays'!C4,MIN(8,L33)*L32,L32*L33)))),MAX(0,40*MAX(1,L32)-(J34+K34))))))</f>
        <v>0</v>
      </c>
      <c r="M35" s="62">
        <f>IF(AND(M32=1,M33=8,E31="Auto",B31="Pipefitter General Foreman",AND('Job setup'!$B$7="ON",'Job setup'!$C$7&lt;=M$6,'Job setup'!$D$7&gt;=M$6,'Job setup'!$G$7="YES")),0,IF(OS31,IF(OR(M32&lt;=0,NOT('_JobDays'!D2)),0,IF(WEEKDAY(M$6,1)=1,0,MAX(0,M33-(IF('_JobDays'!D3,8,10)))*M32))+((IF(OR(M32&lt;=0,NOT('_JobDays'!D2)),0,IF(WEEKDAY(M$6,1)=1,0,MIN(IF('_JobDays'!D3,8,10),M33)*M32)))-MIN(IF(OR(M32&lt;=0,NOT('_JobDays'!D2)),0,IF(WEEKDAY(M$6,1)=1,0,MIN(IF('_JobDays'!D3,8,10),M33)*M32)),MAX(0,40*MAX(1,M32)-(J34+K34+L34)))),IF(OR(M32&lt;=0,NOT('_JobDays'!D2)),0,IF(WEEKDAY(M$6,1)=1,0,IF(WEEKDAY(M$6,1)=7,M32*M33,IF('_JobDays'!D4,MAX(0,M33-8)*M32,0))))+((IF(OR(M32&lt;=0,NOT('_JobDays'!D2)),0,IF(WEEKDAY(M$6,1)=1,0,IF(WEEKDAY(M$6,1)=7,0,IF('_JobDays'!D4,MIN(8,M33)*M32,M32*M33)))))-MIN(IF(OR(M32&lt;=0,NOT('_JobDays'!D2)),0,IF(WEEKDAY(M$6,1)=1,0,IF(WEEKDAY(M$6,1)=7,0,IF('_JobDays'!D4,MIN(8,M33)*M32,M32*M33)))),MAX(0,40*MAX(1,M32)-(J34+K34+L34))))))</f>
        <v>0</v>
      </c>
      <c r="N35" s="62">
        <f>IF(AND(N32=1,N33=8,E31="Auto",B31="Pipefitter General Foreman",AND('Job setup'!$B$7="ON",'Job setup'!$C$7&lt;=N$6,'Job setup'!$D$7&gt;=N$6,'Job setup'!$G$7="YES")),0,IF(OS31,IF(OR(N32&lt;=0,NOT('_JobDays'!E2)),0,IF(WEEKDAY(N$6,1)=1,0,MAX(0,N33-(IF('_JobDays'!E3,8,10)))*N32))+((IF(OR(N32&lt;=0,NOT('_JobDays'!E2)),0,IF(WEEKDAY(N$6,1)=1,0,MIN(IF('_JobDays'!E3,8,10),N33)*N32)))-MIN(IF(OR(N32&lt;=0,NOT('_JobDays'!E2)),0,IF(WEEKDAY(N$6,1)=1,0,MIN(IF('_JobDays'!E3,8,10),N33)*N32)),MAX(0,40*MAX(1,N32)-(J34+K34+L34+M34)))),IF(OR(N32&lt;=0,NOT('_JobDays'!E2)),0,IF(WEEKDAY(N$6,1)=1,0,IF(WEEKDAY(N$6,1)=7,N32*N33,IF('_JobDays'!E4,MAX(0,N33-8)*N32,0))))+((IF(OR(N32&lt;=0,NOT('_JobDays'!E2)),0,IF(WEEKDAY(N$6,1)=1,0,IF(WEEKDAY(N$6,1)=7,0,IF('_JobDays'!E4,MIN(8,N33)*N32,N32*N33)))))-MIN(IF(OR(N32&lt;=0,NOT('_JobDays'!E2)),0,IF(WEEKDAY(N$6,1)=1,0,IF(WEEKDAY(N$6,1)=7,0,IF('_JobDays'!E4,MIN(8,N33)*N32,N32*N33)))),MAX(0,40*MAX(1,N32)-(J34+K34+L34+M34))))))</f>
        <v>0</v>
      </c>
      <c r="O35" s="63">
        <f>IF(AND(O32=0,O33=0,E31="Auto",B31="Pipefitter General Foreman",AND('Job setup'!$B$7="ON",'Job setup'!$C$7&lt;=O$6,'Job setup'!$D$7&gt;=O$6,'Job setup'!$G$7="YES")),0,IF(OS31,IF(OR(O32&lt;=0,NOT('_JobDays'!F2)),0,IF(WEEKDAY(O$6,1)=1,0,MAX(0,O33-(IF('_JobDays'!F3,8,10)))*O32))+((IF(OR(O32&lt;=0,NOT('_JobDays'!F2)),0,IF(WEEKDAY(O$6,1)=1,0,MIN(IF('_JobDays'!F3,8,10),O33)*O32)))-MIN(IF(OR(O32&lt;=0,NOT('_JobDays'!F2)),0,IF(WEEKDAY(O$6,1)=1,0,MIN(IF('_JobDays'!F3,8,10),O33)*O32)),MAX(0,40*MAX(1,O32)-(J34+K34+L34+M34+N34)))),IF(OR(O32&lt;=0,NOT('_JobDays'!F2)),0,IF(WEEKDAY(O$6,1)=1,0,IF(WEEKDAY(O$6,1)=7,O32*O33,IF('_JobDays'!F4,MAX(0,O33-8)*O32,0))))+((IF(OR(O32&lt;=0,NOT('_JobDays'!F2)),0,IF(WEEKDAY(O$6,1)=1,0,IF(WEEKDAY(O$6,1)=7,0,IF('_JobDays'!F4,MIN(8,O33)*O32,O32*O33)))))-MIN(IF(OR(O32&lt;=0,NOT('_JobDays'!F2)),0,IF(WEEKDAY(O$6,1)=1,0,IF(WEEKDAY(O$6,1)=7,0,IF('_JobDays'!F4,MIN(8,O33)*O32,O32*O33)))),MAX(0,40*MAX(1,O32)-(J34+K34+L34+M34+N34))))))</f>
        <v>0</v>
      </c>
      <c r="P35" s="63">
        <f>IF(AND(P32=0,P33=0,E31="Auto",B31="Pipefitter General Foreman",AND('Job setup'!$B$7="ON",'Job setup'!$C$7&lt;=P$6,'Job setup'!$D$7&gt;=P$6,'Job setup'!$G$7="YES")),0,IF(OS31,IF(OR(P32&lt;=0,NOT('_JobDays'!G2)),0,IF(WEEKDAY(P$6,1)=1,0,MAX(0,P33-(IF('_JobDays'!G3,8,10)))*P32))+((IF(OR(P32&lt;=0,NOT('_JobDays'!G2)),0,IF(WEEKDAY(P$6,1)=1,0,MIN(IF('_JobDays'!G3,8,10),P33)*P32)))-MIN(IF(OR(P32&lt;=0,NOT('_JobDays'!G2)),0,IF(WEEKDAY(P$6,1)=1,0,MIN(IF('_JobDays'!G3,8,10),P33)*P32)),MAX(0,40*MAX(1,P32)-(J34+K34+L34+M34+N34+O34)))),IF(OR(P32&lt;=0,NOT('_JobDays'!G2)),0,IF(WEEKDAY(P$6,1)=1,0,IF(WEEKDAY(P$6,1)=7,P32*P33,IF('_JobDays'!G4,MAX(0,P33-8)*P32,0))))+((IF(OR(P32&lt;=0,NOT('_JobDays'!G2)),0,IF(WEEKDAY(P$6,1)=1,0,IF(WEEKDAY(P$6,1)=7,0,IF('_JobDays'!G4,MIN(8,P33)*P32,P32*P33)))))-MIN(IF(OR(P32&lt;=0,NOT('_JobDays'!G2)),0,IF(WEEKDAY(P$6,1)=1,0,IF(WEEKDAY(P$6,1)=7,0,IF('_JobDays'!G4,MIN(8,P33)*P32,P32*P33)))),MAX(0,40*MAX(1,P32)-(J34+K34+L34+M34+N34+O34))))))</f>
        <v>0</v>
      </c>
      <c r="Q35" s="62">
        <f>IF(AND(Q32=1,Q33=8,E31="Auto",B31="Pipefitter General Foreman",AND('Job setup'!$B$7="ON",'Job setup'!$C$7&lt;=Q$6,'Job setup'!$D$7&gt;=Q$6,'Job setup'!$G$7="YES")),0,IF(OS31,IF(OR(Q32&lt;=0,NOT('_JobDays'!H2)),0,IF(WEEKDAY(Q$6,1)=1,0,MAX(0,Q33-(IF('_JobDays'!H3,8,10)))*Q32))+((IF(OR(Q32&lt;=0,NOT('_JobDays'!H2)),0,IF(WEEKDAY(Q$6,1)=1,0,MIN(IF('_JobDays'!H3,8,10),Q33)*Q32)))-MIN(IF(OR(Q32&lt;=0,NOT('_JobDays'!H2)),0,IF(WEEKDAY(Q$6,1)=1,0,MIN(IF('_JobDays'!H3,8,10),Q33)*Q32)),MAX(0,40*MAX(1,Q32)-(0)))),IF(OR(Q32&lt;=0,NOT('_JobDays'!H2)),0,IF(WEEKDAY(Q$6,1)=1,0,IF(WEEKDAY(Q$6,1)=7,Q32*Q33,IF('_JobDays'!H4,MAX(0,Q33-8)*Q32,0))))+((IF(OR(Q32&lt;=0,NOT('_JobDays'!H2)),0,IF(WEEKDAY(Q$6,1)=1,0,IF(WEEKDAY(Q$6,1)=7,0,IF('_JobDays'!H4,MIN(8,Q33)*Q32,Q32*Q33)))))-MIN(IF(OR(Q32&lt;=0,NOT('_JobDays'!H2)),0,IF(WEEKDAY(Q$6,1)=1,0,IF(WEEKDAY(Q$6,1)=7,0,IF('_JobDays'!H4,MIN(8,Q33)*Q32,Q32*Q33)))),MAX(0,40*MAX(1,Q32)-(0))))))</f>
        <v>0</v>
      </c>
      <c r="R35" s="62">
        <f>IF(AND(R32=1,R33=8,E31="Auto",B31="Pipefitter General Foreman",AND('Job setup'!$B$7="ON",'Job setup'!$C$7&lt;=R$6,'Job setup'!$D$7&gt;=R$6,'Job setup'!$G$7="YES")),0,IF(OS31,IF(OR(R32&lt;=0,NOT('_JobDays'!I2)),0,IF(WEEKDAY(R$6,1)=1,0,MAX(0,R33-(IF('_JobDays'!I3,8,10)))*R32))+((IF(OR(R32&lt;=0,NOT('_JobDays'!I2)),0,IF(WEEKDAY(R$6,1)=1,0,MIN(IF('_JobDays'!I3,8,10),R33)*R32)))-MIN(IF(OR(R32&lt;=0,NOT('_JobDays'!I2)),0,IF(WEEKDAY(R$6,1)=1,0,MIN(IF('_JobDays'!I3,8,10),R33)*R32)),MAX(0,40*MAX(1,R32)-(Q34)))),IF(OR(R32&lt;=0,NOT('_JobDays'!I2)),0,IF(WEEKDAY(R$6,1)=1,0,IF(WEEKDAY(R$6,1)=7,R32*R33,IF('_JobDays'!I4,MAX(0,R33-8)*R32,0))))+((IF(OR(R32&lt;=0,NOT('_JobDays'!I2)),0,IF(WEEKDAY(R$6,1)=1,0,IF(WEEKDAY(R$6,1)=7,0,IF('_JobDays'!I4,MIN(8,R33)*R32,R32*R33)))))-MIN(IF(OR(R32&lt;=0,NOT('_JobDays'!I2)),0,IF(WEEKDAY(R$6,1)=1,0,IF(WEEKDAY(R$6,1)=7,0,IF('_JobDays'!I4,MIN(8,R33)*R32,R32*R33)))),MAX(0,40*MAX(1,R32)-(Q34))))))</f>
        <v>0</v>
      </c>
      <c r="S35" s="62">
        <f>IF(AND(S32=1,S33=8,E31="Auto",B31="Pipefitter General Foreman",AND('Job setup'!$B$7="ON",'Job setup'!$C$7&lt;=S$6,'Job setup'!$D$7&gt;=S$6,'Job setup'!$G$7="YES")),0,IF(OS31,IF(OR(S32&lt;=0,NOT('_JobDays'!J2)),0,IF(WEEKDAY(S$6,1)=1,0,MAX(0,S33-(IF('_JobDays'!J3,8,10)))*S32))+((IF(OR(S32&lt;=0,NOT('_JobDays'!J2)),0,IF(WEEKDAY(S$6,1)=1,0,MIN(IF('_JobDays'!J3,8,10),S33)*S32)))-MIN(IF(OR(S32&lt;=0,NOT('_JobDays'!J2)),0,IF(WEEKDAY(S$6,1)=1,0,MIN(IF('_JobDays'!J3,8,10),S33)*S32)),MAX(0,40*MAX(1,S32)-(Q34+R34)))),IF(OR(S32&lt;=0,NOT('_JobDays'!J2)),0,IF(WEEKDAY(S$6,1)=1,0,IF(WEEKDAY(S$6,1)=7,S32*S33,IF('_JobDays'!J4,MAX(0,S33-8)*S32,0))))+((IF(OR(S32&lt;=0,NOT('_JobDays'!J2)),0,IF(WEEKDAY(S$6,1)=1,0,IF(WEEKDAY(S$6,1)=7,0,IF('_JobDays'!J4,MIN(8,S33)*S32,S32*S33)))))-MIN(IF(OR(S32&lt;=0,NOT('_JobDays'!J2)),0,IF(WEEKDAY(S$6,1)=1,0,IF(WEEKDAY(S$6,1)=7,0,IF('_JobDays'!J4,MIN(8,S33)*S32,S32*S33)))),MAX(0,40*MAX(1,S32)-(Q34+R34))))))</f>
        <v>0</v>
      </c>
      <c r="T35" s="62">
        <f>IF(AND(T32=1,T33=12,E31="Auto",B31="Pipefitter General Foreman",AND('Job setup'!$B$9="ON",'Job setup'!$C$9&lt;=T$6,'Job setup'!$D$9&gt;=T$6,'Job setup'!$G$9="NO")),4,IF(OS31,IF(OR(T32&lt;=0,NOT('_JobDays'!K2)),0,IF(WEEKDAY(T$6,1)=1,0,MAX(0,T33-(IF('_JobDays'!K3,8,10)))*T32))+((IF(OR(T32&lt;=0,NOT('_JobDays'!K2)),0,IF(WEEKDAY(T$6,1)=1,0,MIN(IF('_JobDays'!K3,8,10),T33)*T32)))-MIN(IF(OR(T32&lt;=0,NOT('_JobDays'!K2)),0,IF(WEEKDAY(T$6,1)=1,0,MIN(IF('_JobDays'!K3,8,10),T33)*T32)),MAX(0,40*MAX(1,T32)-(Q34+R34+S34)))),IF(OR(T32&lt;=0,NOT('_JobDays'!K2)),0,IF(WEEKDAY(T$6,1)=1,0,IF(WEEKDAY(T$6,1)=7,T32*T33,IF('_JobDays'!K4,MAX(0,T33-8)*T32,0))))+((IF(OR(T32&lt;=0,NOT('_JobDays'!K2)),0,IF(WEEKDAY(T$6,1)=1,0,IF(WEEKDAY(T$6,1)=7,0,IF('_JobDays'!K4,MIN(8,T33)*T32,T32*T33)))))-MIN(IF(OR(T32&lt;=0,NOT('_JobDays'!K2)),0,IF(WEEKDAY(T$6,1)=1,0,IF(WEEKDAY(T$6,1)=7,0,IF('_JobDays'!K4,MIN(8,T33)*T32,T32*T33)))),MAX(0,40*MAX(1,T32)-(Q34+R34+S34))))))</f>
        <v>4</v>
      </c>
      <c r="U35" s="62">
        <f>IF(AND(U32=1,U33=12,E31="Auto",B31="Pipefitter General Foreman",AND('Job setup'!$B$9="ON",'Job setup'!$C$9&lt;=U$6,'Job setup'!$D$9&gt;=U$6,'Job setup'!$G$9="NO")),4,IF(OS31,IF(OR(U32&lt;=0,NOT('_JobDays'!L2)),0,IF(WEEKDAY(U$6,1)=1,0,MAX(0,U33-(IF('_JobDays'!L3,8,10)))*U32))+((IF(OR(U32&lt;=0,NOT('_JobDays'!L2)),0,IF(WEEKDAY(U$6,1)=1,0,MIN(IF('_JobDays'!L3,8,10),U33)*U32)))-MIN(IF(OR(U32&lt;=0,NOT('_JobDays'!L2)),0,IF(WEEKDAY(U$6,1)=1,0,MIN(IF('_JobDays'!L3,8,10),U33)*U32)),MAX(0,40*MAX(1,U32)-(Q34+R34+S34+T34)))),IF(OR(U32&lt;=0,NOT('_JobDays'!L2)),0,IF(WEEKDAY(U$6,1)=1,0,IF(WEEKDAY(U$6,1)=7,U32*U33,IF('_JobDays'!L4,MAX(0,U33-8)*U32,0))))+((IF(OR(U32&lt;=0,NOT('_JobDays'!L2)),0,IF(WEEKDAY(U$6,1)=1,0,IF(WEEKDAY(U$6,1)=7,0,IF('_JobDays'!L4,MIN(8,U33)*U32,U32*U33)))))-MIN(IF(OR(U32&lt;=0,NOT('_JobDays'!L2)),0,IF(WEEKDAY(U$6,1)=1,0,IF(WEEKDAY(U$6,1)=7,0,IF('_JobDays'!L4,MIN(8,U33)*U32,U32*U33)))),MAX(0,40*MAX(1,U32)-(Q34+R34+S34+T34))))))</f>
        <v>4</v>
      </c>
      <c r="V35" s="63">
        <f>IF(AND(V32=1,V33=12,E31="Auto",B31="Pipefitter General Foreman",AND('Job setup'!$B$9="ON",'Job setup'!$C$9&lt;=V$6,'Job setup'!$D$9&gt;=V$6,'Job setup'!$G$9="NO")),12,IF(OS31,IF(OR(V32&lt;=0,NOT('_JobDays'!M2)),0,IF(WEEKDAY(V$6,1)=1,0,MAX(0,V33-(IF('_JobDays'!M3,8,10)))*V32))+((IF(OR(V32&lt;=0,NOT('_JobDays'!M2)),0,IF(WEEKDAY(V$6,1)=1,0,MIN(IF('_JobDays'!M3,8,10),V33)*V32)))-MIN(IF(OR(V32&lt;=0,NOT('_JobDays'!M2)),0,IF(WEEKDAY(V$6,1)=1,0,MIN(IF('_JobDays'!M3,8,10),V33)*V32)),MAX(0,40*MAX(1,V32)-(Q34+R34+S34+T34+U34)))),IF(OR(V32&lt;=0,NOT('_JobDays'!M2)),0,IF(WEEKDAY(V$6,1)=1,0,IF(WEEKDAY(V$6,1)=7,V32*V33,IF('_JobDays'!M4,MAX(0,V33-8)*V32,0))))+((IF(OR(V32&lt;=0,NOT('_JobDays'!M2)),0,IF(WEEKDAY(V$6,1)=1,0,IF(WEEKDAY(V$6,1)=7,0,IF('_JobDays'!M4,MIN(8,V33)*V32,V32*V33)))))-MIN(IF(OR(V32&lt;=0,NOT('_JobDays'!M2)),0,IF(WEEKDAY(V$6,1)=1,0,IF(WEEKDAY(V$6,1)=7,0,IF('_JobDays'!M4,MIN(8,V33)*V32,V32*V33)))),MAX(0,40*MAX(1,V32)-(Q34+R34+S34+T34+U34))))))</f>
        <v>12</v>
      </c>
      <c r="W35" s="63">
        <f>IF(AND(W32=1,W33=12,E31="Auto",B31="Pipefitter General Foreman",AND('Job setup'!$B$9="ON",'Job setup'!$C$9&lt;=W$6,'Job setup'!$D$9&gt;=W$6,'Job setup'!$G$9="NO")),0,IF(OS31,IF(OR(W32&lt;=0,NOT('_JobDays'!N2)),0,IF(WEEKDAY(W$6,1)=1,0,MAX(0,W33-(IF('_JobDays'!N3,8,10)))*W32))+((IF(OR(W32&lt;=0,NOT('_JobDays'!N2)),0,IF(WEEKDAY(W$6,1)=1,0,MIN(IF('_JobDays'!N3,8,10),W33)*W32)))-MIN(IF(OR(W32&lt;=0,NOT('_JobDays'!N2)),0,IF(WEEKDAY(W$6,1)=1,0,MIN(IF('_JobDays'!N3,8,10),W33)*W32)),MAX(0,40*MAX(1,W32)-(Q34+R34+S34+T34+U34+V34)))),IF(OR(W32&lt;=0,NOT('_JobDays'!N2)),0,IF(WEEKDAY(W$6,1)=1,0,IF(WEEKDAY(W$6,1)=7,W32*W33,IF('_JobDays'!N4,MAX(0,W33-8)*W32,0))))+((IF(OR(W32&lt;=0,NOT('_JobDays'!N2)),0,IF(WEEKDAY(W$6,1)=1,0,IF(WEEKDAY(W$6,1)=7,0,IF('_JobDays'!N4,MIN(8,W33)*W32,W32*W33)))))-MIN(IF(OR(W32&lt;=0,NOT('_JobDays'!N2)),0,IF(WEEKDAY(W$6,1)=1,0,IF(WEEKDAY(W$6,1)=7,0,IF('_JobDays'!N4,MIN(8,W33)*W32,W32*W33)))),MAX(0,40*MAX(1,W32)-(Q34+R34+S34+T34+U34+V34))))))</f>
        <v>0</v>
      </c>
      <c r="X35" s="62">
        <f>IF(AND(X32=1,X33=12,E31="Auto",B31="Pipefitter General Foreman",AND('Job setup'!$B$9="ON",'Job setup'!$C$9&lt;=X$6,'Job setup'!$D$9&gt;=X$6,'Job setup'!$G$9="NO")),4,IF(OS31,IF(OR(X32&lt;=0,NOT('_JobDays'!O2)),0,IF(WEEKDAY(X$6,1)=1,0,MAX(0,X33-(IF('_JobDays'!O3,8,10)))*X32))+((IF(OR(X32&lt;=0,NOT('_JobDays'!O2)),0,IF(WEEKDAY(X$6,1)=1,0,MIN(IF('_JobDays'!O3,8,10),X33)*X32)))-MIN(IF(OR(X32&lt;=0,NOT('_JobDays'!O2)),0,IF(WEEKDAY(X$6,1)=1,0,MIN(IF('_JobDays'!O3,8,10),X33)*X32)),MAX(0,40*MAX(1,X32)-(0)))),IF(OR(X32&lt;=0,NOT('_JobDays'!O2)),0,IF(WEEKDAY(X$6,1)=1,0,IF(WEEKDAY(X$6,1)=7,X32*X33,IF('_JobDays'!O4,MAX(0,X33-8)*X32,0))))+((IF(OR(X32&lt;=0,NOT('_JobDays'!O2)),0,IF(WEEKDAY(X$6,1)=1,0,IF(WEEKDAY(X$6,1)=7,0,IF('_JobDays'!O4,MIN(8,X33)*X32,X32*X33)))))-MIN(IF(OR(X32&lt;=0,NOT('_JobDays'!O2)),0,IF(WEEKDAY(X$6,1)=1,0,IF(WEEKDAY(X$6,1)=7,0,IF('_JobDays'!O4,MIN(8,X33)*X32,X32*X33)))),MAX(0,40*MAX(1,X32)-(0))))))</f>
        <v>4</v>
      </c>
      <c r="Y35" s="62">
        <f>IF(AND(Y32=1,Y33=12,E31="Auto",B31="Pipefitter General Foreman",AND('Job setup'!$B$9="ON",'Job setup'!$C$9&lt;=Y$6,'Job setup'!$D$9&gt;=Y$6,'Job setup'!$G$9="NO")),4,IF(OS31,IF(OR(Y32&lt;=0,NOT('_JobDays'!P2)),0,IF(WEEKDAY(Y$6,1)=1,0,MAX(0,Y33-(IF('_JobDays'!P3,8,10)))*Y32))+((IF(OR(Y32&lt;=0,NOT('_JobDays'!P2)),0,IF(WEEKDAY(Y$6,1)=1,0,MIN(IF('_JobDays'!P3,8,10),Y33)*Y32)))-MIN(IF(OR(Y32&lt;=0,NOT('_JobDays'!P2)),0,IF(WEEKDAY(Y$6,1)=1,0,MIN(IF('_JobDays'!P3,8,10),Y33)*Y32)),MAX(0,40*MAX(1,Y32)-(X34)))),IF(OR(Y32&lt;=0,NOT('_JobDays'!P2)),0,IF(WEEKDAY(Y$6,1)=1,0,IF(WEEKDAY(Y$6,1)=7,Y32*Y33,IF('_JobDays'!P4,MAX(0,Y33-8)*Y32,0))))+((IF(OR(Y32&lt;=0,NOT('_JobDays'!P2)),0,IF(WEEKDAY(Y$6,1)=1,0,IF(WEEKDAY(Y$6,1)=7,0,IF('_JobDays'!P4,MIN(8,Y33)*Y32,Y32*Y33)))))-MIN(IF(OR(Y32&lt;=0,NOT('_JobDays'!P2)),0,IF(WEEKDAY(Y$6,1)=1,0,IF(WEEKDAY(Y$6,1)=7,0,IF('_JobDays'!P4,MIN(8,Y33)*Y32,Y32*Y33)))),MAX(0,40*MAX(1,Y32)-(X34))))))</f>
        <v>4</v>
      </c>
      <c r="Z35" s="62">
        <f>IF(AND(Z32=1,Z33=12,E31="Auto",B31="Pipefitter General Foreman",AND('Job setup'!$B$9="ON",'Job setup'!$C$9&lt;=Z$6,'Job setup'!$D$9&gt;=Z$6,'Job setup'!$G$9="NO")),4,IF(OS31,IF(OR(Z32&lt;=0,NOT('_JobDays'!Q2)),0,IF(WEEKDAY(Z$6,1)=1,0,MAX(0,Z33-(IF('_JobDays'!Q3,8,10)))*Z32))+((IF(OR(Z32&lt;=0,NOT('_JobDays'!Q2)),0,IF(WEEKDAY(Z$6,1)=1,0,MIN(IF('_JobDays'!Q3,8,10),Z33)*Z32)))-MIN(IF(OR(Z32&lt;=0,NOT('_JobDays'!Q2)),0,IF(WEEKDAY(Z$6,1)=1,0,MIN(IF('_JobDays'!Q3,8,10),Z33)*Z32)),MAX(0,40*MAX(1,Z32)-(X34+Y34)))),IF(OR(Z32&lt;=0,NOT('_JobDays'!Q2)),0,IF(WEEKDAY(Z$6,1)=1,0,IF(WEEKDAY(Z$6,1)=7,Z32*Z33,IF('_JobDays'!Q4,MAX(0,Z33-8)*Z32,0))))+((IF(OR(Z32&lt;=0,NOT('_JobDays'!Q2)),0,IF(WEEKDAY(Z$6,1)=1,0,IF(WEEKDAY(Z$6,1)=7,0,IF('_JobDays'!Q4,MIN(8,Z33)*Z32,Z32*Z33)))))-MIN(IF(OR(Z32&lt;=0,NOT('_JobDays'!Q2)),0,IF(WEEKDAY(Z$6,1)=1,0,IF(WEEKDAY(Z$6,1)=7,0,IF('_JobDays'!Q4,MIN(8,Z33)*Z32,Z32*Z33)))),MAX(0,40*MAX(1,Z32)-(X34+Y34))))))</f>
        <v>4</v>
      </c>
      <c r="AA35" s="62">
        <f>IF(AND(AA32=1,AA33=12,E31="Auto",B31="Pipefitter General Foreman",AND('Job setup'!$B$9="ON",'Job setup'!$C$9&lt;=AA$6,'Job setup'!$D$9&gt;=AA$6,'Job setup'!$G$9="NO")),4,IF(OS31,IF(OR(AA32&lt;=0,NOT('_JobDays'!R2)),0,IF(WEEKDAY(AA$6,1)=1,0,MAX(0,AA33-(IF('_JobDays'!R3,8,10)))*AA32))+((IF(OR(AA32&lt;=0,NOT('_JobDays'!R2)),0,IF(WEEKDAY(AA$6,1)=1,0,MIN(IF('_JobDays'!R3,8,10),AA33)*AA32)))-MIN(IF(OR(AA32&lt;=0,NOT('_JobDays'!R2)),0,IF(WEEKDAY(AA$6,1)=1,0,MIN(IF('_JobDays'!R3,8,10),AA33)*AA32)),MAX(0,40*MAX(1,AA32)-(X34+Y34+Z34)))),IF(OR(AA32&lt;=0,NOT('_JobDays'!R2)),0,IF(WEEKDAY(AA$6,1)=1,0,IF(WEEKDAY(AA$6,1)=7,AA32*AA33,IF('_JobDays'!R4,MAX(0,AA33-8)*AA32,0))))+((IF(OR(AA32&lt;=0,NOT('_JobDays'!R2)),0,IF(WEEKDAY(AA$6,1)=1,0,IF(WEEKDAY(AA$6,1)=7,0,IF('_JobDays'!R4,MIN(8,AA33)*AA32,AA32*AA33)))))-MIN(IF(OR(AA32&lt;=0,NOT('_JobDays'!R2)),0,IF(WEEKDAY(AA$6,1)=1,0,IF(WEEKDAY(AA$6,1)=7,0,IF('_JobDays'!R4,MIN(8,AA33)*AA32,AA32*AA33)))),MAX(0,40*MAX(1,AA32)-(X34+Y34+Z34))))))</f>
        <v>4</v>
      </c>
      <c r="AB35" s="62">
        <f>IF(AND(AB32=1,AB33=12,E31="Auto",B31="Pipefitter General Foreman",AND('Job setup'!$B$9="ON",'Job setup'!$C$9&lt;=AB$6,'Job setup'!$D$9&gt;=AB$6,'Job setup'!$G$9="NO")),4,IF(OS31,IF(OR(AB32&lt;=0,NOT('_JobDays'!S2)),0,IF(WEEKDAY(AB$6,1)=1,0,MAX(0,AB33-(IF('_JobDays'!S3,8,10)))*AB32))+((IF(OR(AB32&lt;=0,NOT('_JobDays'!S2)),0,IF(WEEKDAY(AB$6,1)=1,0,MIN(IF('_JobDays'!S3,8,10),AB33)*AB32)))-MIN(IF(OR(AB32&lt;=0,NOT('_JobDays'!S2)),0,IF(WEEKDAY(AB$6,1)=1,0,MIN(IF('_JobDays'!S3,8,10),AB33)*AB32)),MAX(0,40*MAX(1,AB32)-(X34+Y34+Z34+AA34)))),IF(OR(AB32&lt;=0,NOT('_JobDays'!S2)),0,IF(WEEKDAY(AB$6,1)=1,0,IF(WEEKDAY(AB$6,1)=7,AB32*AB33,IF('_JobDays'!S4,MAX(0,AB33-8)*AB32,0))))+((IF(OR(AB32&lt;=0,NOT('_JobDays'!S2)),0,IF(WEEKDAY(AB$6,1)=1,0,IF(WEEKDAY(AB$6,1)=7,0,IF('_JobDays'!S4,MIN(8,AB33)*AB32,AB32*AB33)))))-MIN(IF(OR(AB32&lt;=0,NOT('_JobDays'!S2)),0,IF(WEEKDAY(AB$6,1)=1,0,IF(WEEKDAY(AB$6,1)=7,0,IF('_JobDays'!S4,MIN(8,AB33)*AB32,AB32*AB33)))),MAX(0,40*MAX(1,AB32)-(X34+Y34+Z34+AA34))))))</f>
        <v>4</v>
      </c>
      <c r="AC35" s="63">
        <f>IF(AND(AC32=1,AC33=12,E31="Auto",B31="Pipefitter General Foreman",AND('Job setup'!$B$9="ON",'Job setup'!$C$9&lt;=AC$6,'Job setup'!$D$9&gt;=AC$6,'Job setup'!$G$9="NO")),12,IF(OS31,IF(OR(AC32&lt;=0,NOT('_JobDays'!T2)),0,IF(WEEKDAY(AC$6,1)=1,0,MAX(0,AC33-(IF('_JobDays'!T3,8,10)))*AC32))+((IF(OR(AC32&lt;=0,NOT('_JobDays'!T2)),0,IF(WEEKDAY(AC$6,1)=1,0,MIN(IF('_JobDays'!T3,8,10),AC33)*AC32)))-MIN(IF(OR(AC32&lt;=0,NOT('_JobDays'!T2)),0,IF(WEEKDAY(AC$6,1)=1,0,MIN(IF('_JobDays'!T3,8,10),AC33)*AC32)),MAX(0,40*MAX(1,AC32)-(X34+Y34+Z34+AA34+AB34)))),IF(OR(AC32&lt;=0,NOT('_JobDays'!T2)),0,IF(WEEKDAY(AC$6,1)=1,0,IF(WEEKDAY(AC$6,1)=7,AC32*AC33,IF('_JobDays'!T4,MAX(0,AC33-8)*AC32,0))))+((IF(OR(AC32&lt;=0,NOT('_JobDays'!T2)),0,IF(WEEKDAY(AC$6,1)=1,0,IF(WEEKDAY(AC$6,1)=7,0,IF('_JobDays'!T4,MIN(8,AC33)*AC32,AC32*AC33)))))-MIN(IF(OR(AC32&lt;=0,NOT('_JobDays'!T2)),0,IF(WEEKDAY(AC$6,1)=1,0,IF(WEEKDAY(AC$6,1)=7,0,IF('_JobDays'!T4,MIN(8,AC33)*AC32,AC32*AC33)))),MAX(0,40*MAX(1,AC32)-(X34+Y34+Z34+AA34+AB34))))))</f>
        <v>12</v>
      </c>
      <c r="AD35" s="63">
        <f>IF(AND(AD32=1,AD33=12,E31="Auto",B31="Pipefitter General Foreman",AND('Job setup'!$B$9="ON",'Job setup'!$C$9&lt;=AD$6,'Job setup'!$D$9&gt;=AD$6,'Job setup'!$G$9="NO")),0,IF(OS31,IF(OR(AD32&lt;=0,NOT('_JobDays'!U2)),0,IF(WEEKDAY(AD$6,1)=1,0,MAX(0,AD33-(IF('_JobDays'!U3,8,10)))*AD32))+((IF(OR(AD32&lt;=0,NOT('_JobDays'!U2)),0,IF(WEEKDAY(AD$6,1)=1,0,MIN(IF('_JobDays'!U3,8,10),AD33)*AD32)))-MIN(IF(OR(AD32&lt;=0,NOT('_JobDays'!U2)),0,IF(WEEKDAY(AD$6,1)=1,0,MIN(IF('_JobDays'!U3,8,10),AD33)*AD32)),MAX(0,40*MAX(1,AD32)-(X34+Y34+Z34+AA34+AB34+AC34)))),IF(OR(AD32&lt;=0,NOT('_JobDays'!U2)),0,IF(WEEKDAY(AD$6,1)=1,0,IF(WEEKDAY(AD$6,1)=7,AD32*AD33,IF('_JobDays'!U4,MAX(0,AD33-8)*AD32,0))))+((IF(OR(AD32&lt;=0,NOT('_JobDays'!U2)),0,IF(WEEKDAY(AD$6,1)=1,0,IF(WEEKDAY(AD$6,1)=7,0,IF('_JobDays'!U4,MIN(8,AD33)*AD32,AD32*AD33)))))-MIN(IF(OR(AD32&lt;=0,NOT('_JobDays'!U2)),0,IF(WEEKDAY(AD$6,1)=1,0,IF(WEEKDAY(AD$6,1)=7,0,IF('_JobDays'!U4,MIN(8,AD33)*AD32,AD32*AD33)))),MAX(0,40*MAX(1,AD32)-(X34+Y34+Z34+AA34+AB34+AC34))))))</f>
        <v>0</v>
      </c>
      <c r="AE35" s="62">
        <f>IF(AND(AE32=1,AE33=12,E31="Auto",B31="Pipefitter General Foreman",AND('Job setup'!$B$9="ON",'Job setup'!$C$9&lt;=AE$6,'Job setup'!$D$9&gt;=AE$6,'Job setup'!$G$9="NO")),4,IF(OS31,IF(OR(AE32&lt;=0,NOT('_JobDays'!V2)),0,IF(WEEKDAY(AE$6,1)=1,0,MAX(0,AE33-(IF('_JobDays'!V3,8,10)))*AE32))+((IF(OR(AE32&lt;=0,NOT('_JobDays'!V2)),0,IF(WEEKDAY(AE$6,1)=1,0,MIN(IF('_JobDays'!V3,8,10),AE33)*AE32)))-MIN(IF(OR(AE32&lt;=0,NOT('_JobDays'!V2)),0,IF(WEEKDAY(AE$6,1)=1,0,MIN(IF('_JobDays'!V3,8,10),AE33)*AE32)),MAX(0,40*MAX(1,AE32)-(0)))),IF(OR(AE32&lt;=0,NOT('_JobDays'!V2)),0,IF(WEEKDAY(AE$6,1)=1,0,IF(WEEKDAY(AE$6,1)=7,AE32*AE33,IF('_JobDays'!V4,MAX(0,AE33-8)*AE32,0))))+((IF(OR(AE32&lt;=0,NOT('_JobDays'!V2)),0,IF(WEEKDAY(AE$6,1)=1,0,IF(WEEKDAY(AE$6,1)=7,0,IF('_JobDays'!V4,MIN(8,AE33)*AE32,AE32*AE33)))))-MIN(IF(OR(AE32&lt;=0,NOT('_JobDays'!V2)),0,IF(WEEKDAY(AE$6,1)=1,0,IF(WEEKDAY(AE$6,1)=7,0,IF('_JobDays'!V4,MIN(8,AE33)*AE32,AE32*AE33)))),MAX(0,40*MAX(1,AE32)-(0))))))</f>
        <v>4</v>
      </c>
      <c r="AF35" s="62">
        <f>IF(AND(AF32=1,AF33=12,E31="Auto",B31="Pipefitter General Foreman",AND('Job setup'!$B$9="ON",'Job setup'!$C$9&lt;=AF$6,'Job setup'!$D$9&gt;=AF$6,'Job setup'!$G$9="NO")),4,IF(OS31,IF(OR(AF32&lt;=0,NOT('_JobDays'!W2)),0,IF(WEEKDAY(AF$6,1)=1,0,MAX(0,AF33-(IF('_JobDays'!W3,8,10)))*AF32))+((IF(OR(AF32&lt;=0,NOT('_JobDays'!W2)),0,IF(WEEKDAY(AF$6,1)=1,0,MIN(IF('_JobDays'!W3,8,10),AF33)*AF32)))-MIN(IF(OR(AF32&lt;=0,NOT('_JobDays'!W2)),0,IF(WEEKDAY(AF$6,1)=1,0,MIN(IF('_JobDays'!W3,8,10),AF33)*AF32)),MAX(0,40*MAX(1,AF32)-(AE34)))),IF(OR(AF32&lt;=0,NOT('_JobDays'!W2)),0,IF(WEEKDAY(AF$6,1)=1,0,IF(WEEKDAY(AF$6,1)=7,AF32*AF33,IF('_JobDays'!W4,MAX(0,AF33-8)*AF32,0))))+((IF(OR(AF32&lt;=0,NOT('_JobDays'!W2)),0,IF(WEEKDAY(AF$6,1)=1,0,IF(WEEKDAY(AF$6,1)=7,0,IF('_JobDays'!W4,MIN(8,AF33)*AF32,AF32*AF33)))))-MIN(IF(OR(AF32&lt;=0,NOT('_JobDays'!W2)),0,IF(WEEKDAY(AF$6,1)=1,0,IF(WEEKDAY(AF$6,1)=7,0,IF('_JobDays'!W4,MIN(8,AF33)*AF32,AF32*AF33)))),MAX(0,40*MAX(1,AF32)-(AE34))))))</f>
        <v>4</v>
      </c>
      <c r="AG35" s="62">
        <f>IF(AND(AG32=1,AG33=12,E31="Auto",B31="Pipefitter General Foreman",AND('Job setup'!$B$9="ON",'Job setup'!$C$9&lt;=AG$6,'Job setup'!$D$9&gt;=AG$6,'Job setup'!$G$9="NO")),4,IF(OS31,IF(OR(AG32&lt;=0,NOT('_JobDays'!X2)),0,IF(WEEKDAY(AG$6,1)=1,0,MAX(0,AG33-(IF('_JobDays'!X3,8,10)))*AG32))+((IF(OR(AG32&lt;=0,NOT('_JobDays'!X2)),0,IF(WEEKDAY(AG$6,1)=1,0,MIN(IF('_JobDays'!X3,8,10),AG33)*AG32)))-MIN(IF(OR(AG32&lt;=0,NOT('_JobDays'!X2)),0,IF(WEEKDAY(AG$6,1)=1,0,MIN(IF('_JobDays'!X3,8,10),AG33)*AG32)),MAX(0,40*MAX(1,AG32)-(AE34+AF34)))),IF(OR(AG32&lt;=0,NOT('_JobDays'!X2)),0,IF(WEEKDAY(AG$6,1)=1,0,IF(WEEKDAY(AG$6,1)=7,AG32*AG33,IF('_JobDays'!X4,MAX(0,AG33-8)*AG32,0))))+((IF(OR(AG32&lt;=0,NOT('_JobDays'!X2)),0,IF(WEEKDAY(AG$6,1)=1,0,IF(WEEKDAY(AG$6,1)=7,0,IF('_JobDays'!X4,MIN(8,AG33)*AG32,AG32*AG33)))))-MIN(IF(OR(AG32&lt;=0,NOT('_JobDays'!X2)),0,IF(WEEKDAY(AG$6,1)=1,0,IF(WEEKDAY(AG$6,1)=7,0,IF('_JobDays'!X4,MIN(8,AG33)*AG32,AG32*AG33)))),MAX(0,40*MAX(1,AG32)-(AE34+AF34))))))</f>
        <v>4</v>
      </c>
      <c r="AH35" s="62">
        <f>IF(AND(AH32=1,AH33=8,E31="Auto",B31="Pipefitter General Foreman",AND('Job setup'!$B$11="ON",'Job setup'!$C$11&lt;=AH$6,'Job setup'!$D$11&gt;=AH$6,'Job setup'!$G$11="YES")),0,IF(OS31,IF(OR(AH32&lt;=0,NOT('_JobDays'!Y2)),0,IF(WEEKDAY(AH$6,1)=1,0,MAX(0,AH33-(IF('_JobDays'!Y3,8,10)))*AH32))+((IF(OR(AH32&lt;=0,NOT('_JobDays'!Y2)),0,IF(WEEKDAY(AH$6,1)=1,0,MIN(IF('_JobDays'!Y3,8,10),AH33)*AH32)))-MIN(IF(OR(AH32&lt;=0,NOT('_JobDays'!Y2)),0,IF(WEEKDAY(AH$6,1)=1,0,MIN(IF('_JobDays'!Y3,8,10),AH33)*AH32)),MAX(0,40*MAX(1,AH32)-(AE34+AF34+AG34)))),IF(OR(AH32&lt;=0,NOT('_JobDays'!Y2)),0,IF(WEEKDAY(AH$6,1)=1,0,IF(WEEKDAY(AH$6,1)=7,AH32*AH33,IF('_JobDays'!Y4,MAX(0,AH33-8)*AH32,0))))+((IF(OR(AH32&lt;=0,NOT('_JobDays'!Y2)),0,IF(WEEKDAY(AH$6,1)=1,0,IF(WEEKDAY(AH$6,1)=7,0,IF('_JobDays'!Y4,MIN(8,AH33)*AH32,AH32*AH33)))))-MIN(IF(OR(AH32&lt;=0,NOT('_JobDays'!Y2)),0,IF(WEEKDAY(AH$6,1)=1,0,IF(WEEKDAY(AH$6,1)=7,0,IF('_JobDays'!Y4,MIN(8,AH33)*AH32,AH32*AH33)))),MAX(0,40*MAX(1,AH32)-(AE34+AF34+AG34))))))</f>
        <v>0</v>
      </c>
      <c r="AI35" s="62">
        <f>IF(AND(AI32=1,AI33=8,E31="Auto",B31="Pipefitter General Foreman",AND('Job setup'!$B$11="ON",'Job setup'!$C$11&lt;=AI$6,'Job setup'!$D$11&gt;=AI$6,'Job setup'!$G$11="YES")),0,IF(OS31,IF(OR(AI32&lt;=0,NOT('_JobDays'!Z2)),0,IF(WEEKDAY(AI$6,1)=1,0,MAX(0,AI33-(IF('_JobDays'!Z3,8,10)))*AI32))+((IF(OR(AI32&lt;=0,NOT('_JobDays'!Z2)),0,IF(WEEKDAY(AI$6,1)=1,0,MIN(IF('_JobDays'!Z3,8,10),AI33)*AI32)))-MIN(IF(OR(AI32&lt;=0,NOT('_JobDays'!Z2)),0,IF(WEEKDAY(AI$6,1)=1,0,MIN(IF('_JobDays'!Z3,8,10),AI33)*AI32)),MAX(0,40*MAX(1,AI32)-(AE34+AF34+AG34+AH34)))),IF(OR(AI32&lt;=0,NOT('_JobDays'!Z2)),0,IF(WEEKDAY(AI$6,1)=1,0,IF(WEEKDAY(AI$6,1)=7,AI32*AI33,IF('_JobDays'!Z4,MAX(0,AI33-8)*AI32,0))))+((IF(OR(AI32&lt;=0,NOT('_JobDays'!Z2)),0,IF(WEEKDAY(AI$6,1)=1,0,IF(WEEKDAY(AI$6,1)=7,0,IF('_JobDays'!Z4,MIN(8,AI33)*AI32,AI32*AI33)))))-MIN(IF(OR(AI32&lt;=0,NOT('_JobDays'!Z2)),0,IF(WEEKDAY(AI$6,1)=1,0,IF(WEEKDAY(AI$6,1)=7,0,IF('_JobDays'!Z4,MIN(8,AI33)*AI32,AI32*AI33)))),MAX(0,40*MAX(1,AI32)-(AE34+AF34+AG34+AH34))))))</f>
        <v>0</v>
      </c>
      <c r="AJ35" s="63">
        <f>IF(AND(AJ32=0,AJ33=0,E31="Auto",B31="Pipefitter General Foreman",AND('Job setup'!$B$11="ON",'Job setup'!$C$11&lt;=AJ$6,'Job setup'!$D$11&gt;=AJ$6,'Job setup'!$G$11="YES")),0,IF(OS31,IF(OR(AJ32&lt;=0,NOT('_JobDays'!AA2)),0,IF(WEEKDAY(AJ$6,1)=1,0,MAX(0,AJ33-(IF('_JobDays'!AA3,8,10)))*AJ32))+((IF(OR(AJ32&lt;=0,NOT('_JobDays'!AA2)),0,IF(WEEKDAY(AJ$6,1)=1,0,MIN(IF('_JobDays'!AA3,8,10),AJ33)*AJ32)))-MIN(IF(OR(AJ32&lt;=0,NOT('_JobDays'!AA2)),0,IF(WEEKDAY(AJ$6,1)=1,0,MIN(IF('_JobDays'!AA3,8,10),AJ33)*AJ32)),MAX(0,40*MAX(1,AJ32)-(AE34+AF34+AG34+AH34+AI34)))),IF(OR(AJ32&lt;=0,NOT('_JobDays'!AA2)),0,IF(WEEKDAY(AJ$6,1)=1,0,IF(WEEKDAY(AJ$6,1)=7,AJ32*AJ33,IF('_JobDays'!AA4,MAX(0,AJ33-8)*AJ32,0))))+((IF(OR(AJ32&lt;=0,NOT('_JobDays'!AA2)),0,IF(WEEKDAY(AJ$6,1)=1,0,IF(WEEKDAY(AJ$6,1)=7,0,IF('_JobDays'!AA4,MIN(8,AJ33)*AJ32,AJ32*AJ33)))))-MIN(IF(OR(AJ32&lt;=0,NOT('_JobDays'!AA2)),0,IF(WEEKDAY(AJ$6,1)=1,0,IF(WEEKDAY(AJ$6,1)=7,0,IF('_JobDays'!AA4,MIN(8,AJ33)*AJ32,AJ32*AJ33)))),MAX(0,40*MAX(1,AJ32)-(AE34+AF34+AG34+AH34+AI34))))))</f>
        <v>0</v>
      </c>
      <c r="AK35" s="63">
        <f>IF(AND(AK32=0,AK33=0,E31="Auto",B31="Pipefitter General Foreman",AND('Job setup'!$B$11="ON",'Job setup'!$C$11&lt;=AK$6,'Job setup'!$D$11&gt;=AK$6,'Job setup'!$G$11="YES")),0,IF(OS31,IF(OR(AK32&lt;=0,NOT('_JobDays'!AB2)),0,IF(WEEKDAY(AK$6,1)=1,0,MAX(0,AK33-(IF('_JobDays'!AB3,8,10)))*AK32))+((IF(OR(AK32&lt;=0,NOT('_JobDays'!AB2)),0,IF(WEEKDAY(AK$6,1)=1,0,MIN(IF('_JobDays'!AB3,8,10),AK33)*AK32)))-MIN(IF(OR(AK32&lt;=0,NOT('_JobDays'!AB2)),0,IF(WEEKDAY(AK$6,1)=1,0,MIN(IF('_JobDays'!AB3,8,10),AK33)*AK32)),MAX(0,40*MAX(1,AK32)-(AE34+AF34+AG34+AH34+AI34+AJ34)))),IF(OR(AK32&lt;=0,NOT('_JobDays'!AB2)),0,IF(WEEKDAY(AK$6,1)=1,0,IF(WEEKDAY(AK$6,1)=7,AK32*AK33,IF('_JobDays'!AB4,MAX(0,AK33-8)*AK32,0))))+((IF(OR(AK32&lt;=0,NOT('_JobDays'!AB2)),0,IF(WEEKDAY(AK$6,1)=1,0,IF(WEEKDAY(AK$6,1)=7,0,IF('_JobDays'!AB4,MIN(8,AK33)*AK32,AK32*AK33)))))-MIN(IF(OR(AK32&lt;=0,NOT('_JobDays'!AB2)),0,IF(WEEKDAY(AK$6,1)=1,0,IF(WEEKDAY(AK$6,1)=7,0,IF('_JobDays'!AB4,MIN(8,AK33)*AK32,AK32*AK33)))),MAX(0,40*MAX(1,AK32)-(AE34+AF34+AG34+AH34+AI34+AJ34))))))</f>
        <v>0</v>
      </c>
      <c r="AL35" s="62">
        <f>IF(AND(AL32=1,AL33=8,E31="Auto",B31="Pipefitter General Foreman",AND('Job setup'!$B$11="ON",'Job setup'!$C$11&lt;=AL$6,'Job setup'!$D$11&gt;=AL$6,'Job setup'!$G$11="YES")),0,IF(OS31,IF(OR(AL32&lt;=0,NOT('_JobDays'!AC2)),0,IF(WEEKDAY(AL$6,1)=1,0,MAX(0,AL33-(IF('_JobDays'!AC3,8,10)))*AL32))+((IF(OR(AL32&lt;=0,NOT('_JobDays'!AC2)),0,IF(WEEKDAY(AL$6,1)=1,0,MIN(IF('_JobDays'!AC3,8,10),AL33)*AL32)))-MIN(IF(OR(AL32&lt;=0,NOT('_JobDays'!AC2)),0,IF(WEEKDAY(AL$6,1)=1,0,MIN(IF('_JobDays'!AC3,8,10),AL33)*AL32)),MAX(0,40*MAX(1,AL32)-(0)))),IF(OR(AL32&lt;=0,NOT('_JobDays'!AC2)),0,IF(WEEKDAY(AL$6,1)=1,0,IF(WEEKDAY(AL$6,1)=7,AL32*AL33,IF('_JobDays'!AC4,MAX(0,AL33-8)*AL32,0))))+((IF(OR(AL32&lt;=0,NOT('_JobDays'!AC2)),0,IF(WEEKDAY(AL$6,1)=1,0,IF(WEEKDAY(AL$6,1)=7,0,IF('_JobDays'!AC4,MIN(8,AL33)*AL32,AL32*AL33)))))-MIN(IF(OR(AL32&lt;=0,NOT('_JobDays'!AC2)),0,IF(WEEKDAY(AL$6,1)=1,0,IF(WEEKDAY(AL$6,1)=7,0,IF('_JobDays'!AC4,MIN(8,AL33)*AL32,AL32*AL33)))),MAX(0,40*MAX(1,AL32)-(0))))))</f>
        <v>0</v>
      </c>
      <c r="AM35" s="62">
        <f>IF(AND(AM32=1,AM33=8,E31="Auto",B31="Pipefitter General Foreman",AND('Job setup'!$B$11="ON",'Job setup'!$C$11&lt;=AM$6,'Job setup'!$D$11&gt;=AM$6,'Job setup'!$G$11="YES")),0,IF(OS31,IF(OR(AM32&lt;=0,NOT('_JobDays'!AD2)),0,IF(WEEKDAY(AM$6,1)=1,0,MAX(0,AM33-(IF('_JobDays'!AD3,8,10)))*AM32))+((IF(OR(AM32&lt;=0,NOT('_JobDays'!AD2)),0,IF(WEEKDAY(AM$6,1)=1,0,MIN(IF('_JobDays'!AD3,8,10),AM33)*AM32)))-MIN(IF(OR(AM32&lt;=0,NOT('_JobDays'!AD2)),0,IF(WEEKDAY(AM$6,1)=1,0,MIN(IF('_JobDays'!AD3,8,10),AM33)*AM32)),MAX(0,40*MAX(1,AM32)-(AL34)))),IF(OR(AM32&lt;=0,NOT('_JobDays'!AD2)),0,IF(WEEKDAY(AM$6,1)=1,0,IF(WEEKDAY(AM$6,1)=7,AM32*AM33,IF('_JobDays'!AD4,MAX(0,AM33-8)*AM32,0))))+((IF(OR(AM32&lt;=0,NOT('_JobDays'!AD2)),0,IF(WEEKDAY(AM$6,1)=1,0,IF(WEEKDAY(AM$6,1)=7,0,IF('_JobDays'!AD4,MIN(8,AM33)*AM32,AM32*AM33)))))-MIN(IF(OR(AM32&lt;=0,NOT('_JobDays'!AD2)),0,IF(WEEKDAY(AM$6,1)=1,0,IF(WEEKDAY(AM$6,1)=7,0,IF('_JobDays'!AD4,MIN(8,AM33)*AM32,AM32*AM33)))),MAX(0,40*MAX(1,AM32)-(AL34))))))</f>
        <v>0</v>
      </c>
      <c r="AN35" s="62">
        <f>IF(AND(AN32=1,AN33=8,E31="Auto",B31="Pipefitter General Foreman",AND('Job setup'!$B$11="ON",'Job setup'!$C$11&lt;=AN$6,'Job setup'!$D$11&gt;=AN$6,'Job setup'!$G$11="YES")),0,IF(OS31,IF(OR(AN32&lt;=0,NOT('_JobDays'!AE2)),0,IF(WEEKDAY(AN$6,1)=1,0,MAX(0,AN33-(IF('_JobDays'!AE3,8,10)))*AN32))+((IF(OR(AN32&lt;=0,NOT('_JobDays'!AE2)),0,IF(WEEKDAY(AN$6,1)=1,0,MIN(IF('_JobDays'!AE3,8,10),AN33)*AN32)))-MIN(IF(OR(AN32&lt;=0,NOT('_JobDays'!AE2)),0,IF(WEEKDAY(AN$6,1)=1,0,MIN(IF('_JobDays'!AE3,8,10),AN33)*AN32)),MAX(0,40*MAX(1,AN32)-(AL34+AM34)))),IF(OR(AN32&lt;=0,NOT('_JobDays'!AE2)),0,IF(WEEKDAY(AN$6,1)=1,0,IF(WEEKDAY(AN$6,1)=7,AN32*AN33,IF('_JobDays'!AE4,MAX(0,AN33-8)*AN32,0))))+((IF(OR(AN32&lt;=0,NOT('_JobDays'!AE2)),0,IF(WEEKDAY(AN$6,1)=1,0,IF(WEEKDAY(AN$6,1)=7,0,IF('_JobDays'!AE4,MIN(8,AN33)*AN32,AN32*AN33)))))-MIN(IF(OR(AN32&lt;=0,NOT('_JobDays'!AE2)),0,IF(WEEKDAY(AN$6,1)=1,0,IF(WEEKDAY(AN$6,1)=7,0,IF('_JobDays'!AE4,MIN(8,AN33)*AN32,AN32*AN33)))),MAX(0,40*MAX(1,AN32)-(AL34+AM34))))))</f>
        <v>0</v>
      </c>
      <c r="AO35" s="64">
        <f>IF(AND(AO32=1,AO33=8,E31="Auto",B31="Pipefitter General Foreman",AND('Job setup'!$B$11="ON",'Job setup'!$C$11&lt;=AO$6,'Job setup'!$D$11&gt;=AO$6,'Job setup'!$G$11="YES")),0,IF(OS31,IF(OR(AO32&lt;=0,NOT('_JobDays'!AF2)),0,IF(WEEKDAY(AO$6,1)=1,0,MAX(0,AO33-(IF('_JobDays'!AF3,8,10)))*AO32))+((IF(OR(AO32&lt;=0,NOT('_JobDays'!AF2)),0,IF(WEEKDAY(AO$6,1)=1,0,MIN(IF('_JobDays'!AF3,8,10),AO33)*AO32)))-MIN(IF(OR(AO32&lt;=0,NOT('_JobDays'!AF2)),0,IF(WEEKDAY(AO$6,1)=1,0,MIN(IF('_JobDays'!AF3,8,10),AO33)*AO32)),MAX(0,40*MAX(1,AO32)-(AL34+AM34+AN34)))),IF(OR(AO32&lt;=0,NOT('_JobDays'!AF2)),0,IF(WEEKDAY(AO$6,1)=1,0,IF(WEEKDAY(AO$6,1)=7,AO32*AO33,IF('_JobDays'!AF4,MAX(0,AO33-8)*AO32,0))))+((IF(OR(AO32&lt;=0,NOT('_JobDays'!AF2)),0,IF(WEEKDAY(AO$6,1)=1,0,IF(WEEKDAY(AO$6,1)=7,0,IF('_JobDays'!AF4,MIN(8,AO33)*AO32,AO32*AO33)))))-MIN(IF(OR(AO32&lt;=0,NOT('_JobDays'!AF2)),0,IF(WEEKDAY(AO$6,1)=1,0,IF(WEEKDAY(AO$6,1)=7,0,IF('_JobDays'!AF4,MIN(8,AO33)*AO32,AO32*AO33)))),MAX(0,40*MAX(1,AO32)-(AL34+AM34+AN34))))))</f>
        <v>0</v>
      </c>
      <c r="OT35" s="28" t="s">
        <v>69</v>
      </c>
    </row>
    <row r="36" ht="16" customHeight="1" spans="1:410" x14ac:dyDescent="0.25">
      <c r="A36" s="43"/>
      <c r="B36" s="44"/>
      <c r="C36" s="60">
        <f>H31*N(D36)</f>
        <v>4833.6</v>
      </c>
      <c r="D36" s="60">
        <f>IF(TRIM(B31)="","No rate",IFERROR(INDEX('Rate Tables'!E$7:E$161,MATCH(B31,'Rate Tables'!A$7:A$161,0)),"No rate"))</f>
        <v>201.4</v>
      </c>
      <c r="E36" s="54" t="s">
        <v>62</v>
      </c>
      <c r="F36" s="48"/>
      <c r="G36" s="48"/>
      <c r="H36" s="48"/>
      <c r="I36" s="49"/>
      <c r="J36" s="61">
        <f>IF(AND(J32=1,J33=8,E31="Auto",B31="Pipefitter General Foreman",AND('Job setup'!$B$7="ON",'Job setup'!$C$7&lt;=J$6,'Job setup'!$D$7&gt;=J$6,'Job setup'!$G$7="YES")),0,IF(OS31,IF(OR(J32&lt;=0,NOT('_JobDays'!A2)),0,IF(WEEKDAY(J$6,1)=1,J32*J33,0)),IF(OR(J32&lt;=0,NOT('_JobDays'!A2)),0,IF(WEEKDAY(J$6,1)=1,J32*J33,0))))</f>
        <v>0</v>
      </c>
      <c r="K36" s="62">
        <f>IF(AND(K32=1,K33=8,E31="Auto",B31="Pipefitter General Foreman",AND('Job setup'!$B$7="ON",'Job setup'!$C$7&lt;=K$6,'Job setup'!$D$7&gt;=K$6,'Job setup'!$G$7="YES")),0,IF(OS31,IF(OR(K32&lt;=0,NOT('_JobDays'!B2)),0,IF(WEEKDAY(K$6,1)=1,K32*K33,0)),IF(OR(K32&lt;=0,NOT('_JobDays'!B2)),0,IF(WEEKDAY(K$6,1)=1,K32*K33,0))))</f>
        <v>0</v>
      </c>
      <c r="L36" s="62">
        <f>IF(AND(L32=1,L33=8,E31="Auto",B31="Pipefitter General Foreman",AND('Job setup'!$B$7="ON",'Job setup'!$C$7&lt;=L$6,'Job setup'!$D$7&gt;=L$6,'Job setup'!$G$7="YES")),0,IF(OS31,IF(OR(L32&lt;=0,NOT('_JobDays'!C2)),0,IF(WEEKDAY(L$6,1)=1,L32*L33,0)),IF(OR(L32&lt;=0,NOT('_JobDays'!C2)),0,IF(WEEKDAY(L$6,1)=1,L32*L33,0))))</f>
        <v>0</v>
      </c>
      <c r="M36" s="62">
        <f>IF(AND(M32=1,M33=8,E31="Auto",B31="Pipefitter General Foreman",AND('Job setup'!$B$7="ON",'Job setup'!$C$7&lt;=M$6,'Job setup'!$D$7&gt;=M$6,'Job setup'!$G$7="YES")),0,IF(OS31,IF(OR(M32&lt;=0,NOT('_JobDays'!D2)),0,IF(WEEKDAY(M$6,1)=1,M32*M33,0)),IF(OR(M32&lt;=0,NOT('_JobDays'!D2)),0,IF(WEEKDAY(M$6,1)=1,M32*M33,0))))</f>
        <v>0</v>
      </c>
      <c r="N36" s="62">
        <f>IF(AND(N32=1,N33=8,E31="Auto",B31="Pipefitter General Foreman",AND('Job setup'!$B$7="ON",'Job setup'!$C$7&lt;=N$6,'Job setup'!$D$7&gt;=N$6,'Job setup'!$G$7="YES")),0,IF(OS31,IF(OR(N32&lt;=0,NOT('_JobDays'!E2)),0,IF(WEEKDAY(N$6,1)=1,N32*N33,0)),IF(OR(N32&lt;=0,NOT('_JobDays'!E2)),0,IF(WEEKDAY(N$6,1)=1,N32*N33,0))))</f>
        <v>0</v>
      </c>
      <c r="O36" s="63">
        <f>IF(AND(O32=0,O33=0,E31="Auto",B31="Pipefitter General Foreman",AND('Job setup'!$B$7="ON",'Job setup'!$C$7&lt;=O$6,'Job setup'!$D$7&gt;=O$6,'Job setup'!$G$7="YES")),0,IF(OS31,IF(OR(O32&lt;=0,NOT('_JobDays'!F2)),0,IF(WEEKDAY(O$6,1)=1,O32*O33,0)),IF(OR(O32&lt;=0,NOT('_JobDays'!F2)),0,IF(WEEKDAY(O$6,1)=1,O32*O33,0))))</f>
        <v>0</v>
      </c>
      <c r="P36" s="63">
        <f>IF(AND(P32=0,P33=0,E31="Auto",B31="Pipefitter General Foreman",AND('Job setup'!$B$7="ON",'Job setup'!$C$7&lt;=P$6,'Job setup'!$D$7&gt;=P$6,'Job setup'!$G$7="YES")),0,IF(OS31,IF(OR(P32&lt;=0,NOT('_JobDays'!G2)),0,IF(WEEKDAY(P$6,1)=1,P32*P33,0)),IF(OR(P32&lt;=0,NOT('_JobDays'!G2)),0,IF(WEEKDAY(P$6,1)=1,P32*P33,0))))</f>
        <v>0</v>
      </c>
      <c r="Q36" s="62">
        <f>IF(AND(Q32=1,Q33=8,E31="Auto",B31="Pipefitter General Foreman",AND('Job setup'!$B$7="ON",'Job setup'!$C$7&lt;=Q$6,'Job setup'!$D$7&gt;=Q$6,'Job setup'!$G$7="YES")),0,IF(OS31,IF(OR(Q32&lt;=0,NOT('_JobDays'!H2)),0,IF(WEEKDAY(Q$6,1)=1,Q32*Q33,0)),IF(OR(Q32&lt;=0,NOT('_JobDays'!H2)),0,IF(WEEKDAY(Q$6,1)=1,Q32*Q33,0))))</f>
        <v>0</v>
      </c>
      <c r="R36" s="62">
        <f>IF(AND(R32=1,R33=8,E31="Auto",B31="Pipefitter General Foreman",AND('Job setup'!$B$7="ON",'Job setup'!$C$7&lt;=R$6,'Job setup'!$D$7&gt;=R$6,'Job setup'!$G$7="YES")),0,IF(OS31,IF(OR(R32&lt;=0,NOT('_JobDays'!I2)),0,IF(WEEKDAY(R$6,1)=1,R32*R33,0)),IF(OR(R32&lt;=0,NOT('_JobDays'!I2)),0,IF(WEEKDAY(R$6,1)=1,R32*R33,0))))</f>
        <v>0</v>
      </c>
      <c r="S36" s="62">
        <f>IF(AND(S32=1,S33=8,E31="Auto",B31="Pipefitter General Foreman",AND('Job setup'!$B$7="ON",'Job setup'!$C$7&lt;=S$6,'Job setup'!$D$7&gt;=S$6,'Job setup'!$G$7="YES")),0,IF(OS31,IF(OR(S32&lt;=0,NOT('_JobDays'!J2)),0,IF(WEEKDAY(S$6,1)=1,S32*S33,0)),IF(OR(S32&lt;=0,NOT('_JobDays'!J2)),0,IF(WEEKDAY(S$6,1)=1,S32*S33,0))))</f>
        <v>0</v>
      </c>
      <c r="T36" s="62">
        <f>IF(AND(T32=1,T33=12,E31="Auto",B31="Pipefitter General Foreman",AND('Job setup'!$B$9="ON",'Job setup'!$C$9&lt;=T$6,'Job setup'!$D$9&gt;=T$6,'Job setup'!$G$9="NO")),0,IF(OS31,IF(OR(T32&lt;=0,NOT('_JobDays'!K2)),0,IF(WEEKDAY(T$6,1)=1,T32*T33,0)),IF(OR(T32&lt;=0,NOT('_JobDays'!K2)),0,IF(WEEKDAY(T$6,1)=1,T32*T33,0))))</f>
        <v>0</v>
      </c>
      <c r="U36" s="62">
        <f>IF(AND(U32=1,U33=12,E31="Auto",B31="Pipefitter General Foreman",AND('Job setup'!$B$9="ON",'Job setup'!$C$9&lt;=U$6,'Job setup'!$D$9&gt;=U$6,'Job setup'!$G$9="NO")),0,IF(OS31,IF(OR(U32&lt;=0,NOT('_JobDays'!L2)),0,IF(WEEKDAY(U$6,1)=1,U32*U33,0)),IF(OR(U32&lt;=0,NOT('_JobDays'!L2)),0,IF(WEEKDAY(U$6,1)=1,U32*U33,0))))</f>
        <v>0</v>
      </c>
      <c r="V36" s="63">
        <f>IF(AND(V32=1,V33=12,E31="Auto",B31="Pipefitter General Foreman",AND('Job setup'!$B$9="ON",'Job setup'!$C$9&lt;=V$6,'Job setup'!$D$9&gt;=V$6,'Job setup'!$G$9="NO")),0,IF(OS31,IF(OR(V32&lt;=0,NOT('_JobDays'!M2)),0,IF(WEEKDAY(V$6,1)=1,V32*V33,0)),IF(OR(V32&lt;=0,NOT('_JobDays'!M2)),0,IF(WEEKDAY(V$6,1)=1,V32*V33,0))))</f>
        <v>0</v>
      </c>
      <c r="W36" s="63">
        <f>IF(AND(W32=1,W33=12,E31="Auto",B31="Pipefitter General Foreman",AND('Job setup'!$B$9="ON",'Job setup'!$C$9&lt;=W$6,'Job setup'!$D$9&gt;=W$6,'Job setup'!$G$9="NO")),12,IF(OS31,IF(OR(W32&lt;=0,NOT('_JobDays'!N2)),0,IF(WEEKDAY(W$6,1)=1,W32*W33,0)),IF(OR(W32&lt;=0,NOT('_JobDays'!N2)),0,IF(WEEKDAY(W$6,1)=1,W32*W33,0))))</f>
        <v>12</v>
      </c>
      <c r="X36" s="62">
        <f>IF(AND(X32=1,X33=12,E31="Auto",B31="Pipefitter General Foreman",AND('Job setup'!$B$9="ON",'Job setup'!$C$9&lt;=X$6,'Job setup'!$D$9&gt;=X$6,'Job setup'!$G$9="NO")),0,IF(OS31,IF(OR(X32&lt;=0,NOT('_JobDays'!O2)),0,IF(WEEKDAY(X$6,1)=1,X32*X33,0)),IF(OR(X32&lt;=0,NOT('_JobDays'!O2)),0,IF(WEEKDAY(X$6,1)=1,X32*X33,0))))</f>
        <v>0</v>
      </c>
      <c r="Y36" s="62">
        <f>IF(AND(Y32=1,Y33=12,E31="Auto",B31="Pipefitter General Foreman",AND('Job setup'!$B$9="ON",'Job setup'!$C$9&lt;=Y$6,'Job setup'!$D$9&gt;=Y$6,'Job setup'!$G$9="NO")),0,IF(OS31,IF(OR(Y32&lt;=0,NOT('_JobDays'!P2)),0,IF(WEEKDAY(Y$6,1)=1,Y32*Y33,0)),IF(OR(Y32&lt;=0,NOT('_JobDays'!P2)),0,IF(WEEKDAY(Y$6,1)=1,Y32*Y33,0))))</f>
        <v>0</v>
      </c>
      <c r="Z36" s="62">
        <f>IF(AND(Z32=1,Z33=12,E31="Auto",B31="Pipefitter General Foreman",AND('Job setup'!$B$9="ON",'Job setup'!$C$9&lt;=Z$6,'Job setup'!$D$9&gt;=Z$6,'Job setup'!$G$9="NO")),0,IF(OS31,IF(OR(Z32&lt;=0,NOT('_JobDays'!Q2)),0,IF(WEEKDAY(Z$6,1)=1,Z32*Z33,0)),IF(OR(Z32&lt;=0,NOT('_JobDays'!Q2)),0,IF(WEEKDAY(Z$6,1)=1,Z32*Z33,0))))</f>
        <v>0</v>
      </c>
      <c r="AA36" s="62">
        <f>IF(AND(AA32=1,AA33=12,E31="Auto",B31="Pipefitter General Foreman",AND('Job setup'!$B$9="ON",'Job setup'!$C$9&lt;=AA$6,'Job setup'!$D$9&gt;=AA$6,'Job setup'!$G$9="NO")),0,IF(OS31,IF(OR(AA32&lt;=0,NOT('_JobDays'!R2)),0,IF(WEEKDAY(AA$6,1)=1,AA32*AA33,0)),IF(OR(AA32&lt;=0,NOT('_JobDays'!R2)),0,IF(WEEKDAY(AA$6,1)=1,AA32*AA33,0))))</f>
        <v>0</v>
      </c>
      <c r="AB36" s="62">
        <f>IF(AND(AB32=1,AB33=12,E31="Auto",B31="Pipefitter General Foreman",AND('Job setup'!$B$9="ON",'Job setup'!$C$9&lt;=AB$6,'Job setup'!$D$9&gt;=AB$6,'Job setup'!$G$9="NO")),0,IF(OS31,IF(OR(AB32&lt;=0,NOT('_JobDays'!S2)),0,IF(WEEKDAY(AB$6,1)=1,AB32*AB33,0)),IF(OR(AB32&lt;=0,NOT('_JobDays'!S2)),0,IF(WEEKDAY(AB$6,1)=1,AB32*AB33,0))))</f>
        <v>0</v>
      </c>
      <c r="AC36" s="63">
        <f>IF(AND(AC32=1,AC33=12,E31="Auto",B31="Pipefitter General Foreman",AND('Job setup'!$B$9="ON",'Job setup'!$C$9&lt;=AC$6,'Job setup'!$D$9&gt;=AC$6,'Job setup'!$G$9="NO")),0,IF(OS31,IF(OR(AC32&lt;=0,NOT('_JobDays'!T2)),0,IF(WEEKDAY(AC$6,1)=1,AC32*AC33,0)),IF(OR(AC32&lt;=0,NOT('_JobDays'!T2)),0,IF(WEEKDAY(AC$6,1)=1,AC32*AC33,0))))</f>
        <v>0</v>
      </c>
      <c r="AD36" s="63">
        <f>IF(AND(AD32=1,AD33=12,E31="Auto",B31="Pipefitter General Foreman",AND('Job setup'!$B$9="ON",'Job setup'!$C$9&lt;=AD$6,'Job setup'!$D$9&gt;=AD$6,'Job setup'!$G$9="NO")),12,IF(OS31,IF(OR(AD32&lt;=0,NOT('_JobDays'!U2)),0,IF(WEEKDAY(AD$6,1)=1,AD32*AD33,0)),IF(OR(AD32&lt;=0,NOT('_JobDays'!U2)),0,IF(WEEKDAY(AD$6,1)=1,AD32*AD33,0))))</f>
        <v>12</v>
      </c>
      <c r="AE36" s="62">
        <f>IF(AND(AE32=1,AE33=12,E31="Auto",B31="Pipefitter General Foreman",AND('Job setup'!$B$9="ON",'Job setup'!$C$9&lt;=AE$6,'Job setup'!$D$9&gt;=AE$6,'Job setup'!$G$9="NO")),0,IF(OS31,IF(OR(AE32&lt;=0,NOT('_JobDays'!V2)),0,IF(WEEKDAY(AE$6,1)=1,AE32*AE33,0)),IF(OR(AE32&lt;=0,NOT('_JobDays'!V2)),0,IF(WEEKDAY(AE$6,1)=1,AE32*AE33,0))))</f>
        <v>0</v>
      </c>
      <c r="AF36" s="62">
        <f>IF(AND(AF32=1,AF33=12,E31="Auto",B31="Pipefitter General Foreman",AND('Job setup'!$B$9="ON",'Job setup'!$C$9&lt;=AF$6,'Job setup'!$D$9&gt;=AF$6,'Job setup'!$G$9="NO")),0,IF(OS31,IF(OR(AF32&lt;=0,NOT('_JobDays'!W2)),0,IF(WEEKDAY(AF$6,1)=1,AF32*AF33,0)),IF(OR(AF32&lt;=0,NOT('_JobDays'!W2)),0,IF(WEEKDAY(AF$6,1)=1,AF32*AF33,0))))</f>
        <v>0</v>
      </c>
      <c r="AG36" s="62">
        <f>IF(AND(AG32=1,AG33=12,E31="Auto",B31="Pipefitter General Foreman",AND('Job setup'!$B$9="ON",'Job setup'!$C$9&lt;=AG$6,'Job setup'!$D$9&gt;=AG$6,'Job setup'!$G$9="NO")),0,IF(OS31,IF(OR(AG32&lt;=0,NOT('_JobDays'!X2)),0,IF(WEEKDAY(AG$6,1)=1,AG32*AG33,0)),IF(OR(AG32&lt;=0,NOT('_JobDays'!X2)),0,IF(WEEKDAY(AG$6,1)=1,AG32*AG33,0))))</f>
        <v>0</v>
      </c>
      <c r="AH36" s="62">
        <f>IF(AND(AH32=1,AH33=8,E31="Auto",B31="Pipefitter General Foreman",AND('Job setup'!$B$11="ON",'Job setup'!$C$11&lt;=AH$6,'Job setup'!$D$11&gt;=AH$6,'Job setup'!$G$11="YES")),0,IF(OS31,IF(OR(AH32&lt;=0,NOT('_JobDays'!Y2)),0,IF(WEEKDAY(AH$6,1)=1,AH32*AH33,0)),IF(OR(AH32&lt;=0,NOT('_JobDays'!Y2)),0,IF(WEEKDAY(AH$6,1)=1,AH32*AH33,0))))</f>
        <v>0</v>
      </c>
      <c r="AI36" s="62">
        <f>IF(AND(AI32=1,AI33=8,E31="Auto",B31="Pipefitter General Foreman",AND('Job setup'!$B$11="ON",'Job setup'!$C$11&lt;=AI$6,'Job setup'!$D$11&gt;=AI$6,'Job setup'!$G$11="YES")),0,IF(OS31,IF(OR(AI32&lt;=0,NOT('_JobDays'!Z2)),0,IF(WEEKDAY(AI$6,1)=1,AI32*AI33,0)),IF(OR(AI32&lt;=0,NOT('_JobDays'!Z2)),0,IF(WEEKDAY(AI$6,1)=1,AI32*AI33,0))))</f>
        <v>0</v>
      </c>
      <c r="AJ36" s="63">
        <f>IF(AND(AJ32=0,AJ33=0,E31="Auto",B31="Pipefitter General Foreman",AND('Job setup'!$B$11="ON",'Job setup'!$C$11&lt;=AJ$6,'Job setup'!$D$11&gt;=AJ$6,'Job setup'!$G$11="YES")),0,IF(OS31,IF(OR(AJ32&lt;=0,NOT('_JobDays'!AA2)),0,IF(WEEKDAY(AJ$6,1)=1,AJ32*AJ33,0)),IF(OR(AJ32&lt;=0,NOT('_JobDays'!AA2)),0,IF(WEEKDAY(AJ$6,1)=1,AJ32*AJ33,0))))</f>
        <v>0</v>
      </c>
      <c r="AK36" s="63">
        <f>IF(AND(AK32=0,AK33=0,E31="Auto",B31="Pipefitter General Foreman",AND('Job setup'!$B$11="ON",'Job setup'!$C$11&lt;=AK$6,'Job setup'!$D$11&gt;=AK$6,'Job setup'!$G$11="YES")),0,IF(OS31,IF(OR(AK32&lt;=0,NOT('_JobDays'!AB2)),0,IF(WEEKDAY(AK$6,1)=1,AK32*AK33,0)),IF(OR(AK32&lt;=0,NOT('_JobDays'!AB2)),0,IF(WEEKDAY(AK$6,1)=1,AK32*AK33,0))))</f>
        <v>0</v>
      </c>
      <c r="AL36" s="62">
        <f>IF(AND(AL32=1,AL33=8,E31="Auto",B31="Pipefitter General Foreman",AND('Job setup'!$B$11="ON",'Job setup'!$C$11&lt;=AL$6,'Job setup'!$D$11&gt;=AL$6,'Job setup'!$G$11="YES")),0,IF(OS31,IF(OR(AL32&lt;=0,NOT('_JobDays'!AC2)),0,IF(WEEKDAY(AL$6,1)=1,AL32*AL33,0)),IF(OR(AL32&lt;=0,NOT('_JobDays'!AC2)),0,IF(WEEKDAY(AL$6,1)=1,AL32*AL33,0))))</f>
        <v>0</v>
      </c>
      <c r="AM36" s="62">
        <f>IF(AND(AM32=1,AM33=8,E31="Auto",B31="Pipefitter General Foreman",AND('Job setup'!$B$11="ON",'Job setup'!$C$11&lt;=AM$6,'Job setup'!$D$11&gt;=AM$6,'Job setup'!$G$11="YES")),0,IF(OS31,IF(OR(AM32&lt;=0,NOT('_JobDays'!AD2)),0,IF(WEEKDAY(AM$6,1)=1,AM32*AM33,0)),IF(OR(AM32&lt;=0,NOT('_JobDays'!AD2)),0,IF(WEEKDAY(AM$6,1)=1,AM32*AM33,0))))</f>
        <v>0</v>
      </c>
      <c r="AN36" s="62">
        <f>IF(AND(AN32=1,AN33=8,E31="Auto",B31="Pipefitter General Foreman",AND('Job setup'!$B$11="ON",'Job setup'!$C$11&lt;=AN$6,'Job setup'!$D$11&gt;=AN$6,'Job setup'!$G$11="YES")),0,IF(OS31,IF(OR(AN32&lt;=0,NOT('_JobDays'!AE2)),0,IF(WEEKDAY(AN$6,1)=1,AN32*AN33,0)),IF(OR(AN32&lt;=0,NOT('_JobDays'!AE2)),0,IF(WEEKDAY(AN$6,1)=1,AN32*AN33,0))))</f>
        <v>0</v>
      </c>
      <c r="AO36" s="64">
        <f>IF(AND(AO32=1,AO33=8,E31="Auto",B31="Pipefitter General Foreman",AND('Job setup'!$B$11="ON",'Job setup'!$C$11&lt;=AO$6,'Job setup'!$D$11&gt;=AO$6,'Job setup'!$G$11="YES")),0,IF(OS31,IF(OR(AO32&lt;=0,NOT('_JobDays'!AF2)),0,IF(WEEKDAY(AO$6,1)=1,AO32*AO33,0)),IF(OR(AO32&lt;=0,NOT('_JobDays'!AF2)),0,IF(WEEKDAY(AO$6,1)=1,AO32*AO33,0))))</f>
        <v>0</v>
      </c>
      <c r="OT36" s="28" t="s">
        <v>69</v>
      </c>
    </row>
    <row r="37" ht="16" customHeight="1" spans="1:410" x14ac:dyDescent="0.25">
      <c r="A37" s="43"/>
      <c r="B37" s="44"/>
      <c r="C37" s="66">
        <f>I31*D37</f>
        <v>3080</v>
      </c>
      <c r="D37" s="66">
        <v>140</v>
      </c>
      <c r="E37" s="67" t="s">
        <v>63</v>
      </c>
      <c r="F37" s="48"/>
      <c r="G37" s="48"/>
      <c r="H37" s="48"/>
      <c r="I37" s="49"/>
      <c r="J37" s="68">
        <v>1</v>
      </c>
      <c r="K37" s="69">
        <v>1</v>
      </c>
      <c r="L37" s="69">
        <v>1</v>
      </c>
      <c r="M37" s="69">
        <v>1</v>
      </c>
      <c r="N37" s="69">
        <v>1</v>
      </c>
      <c r="O37" s="70">
        <v>0</v>
      </c>
      <c r="P37" s="70">
        <v>0</v>
      </c>
      <c r="Q37" s="69">
        <v>1</v>
      </c>
      <c r="R37" s="69">
        <v>1</v>
      </c>
      <c r="S37" s="69">
        <v>1</v>
      </c>
      <c r="T37" s="69">
        <v>1</v>
      </c>
      <c r="U37" s="69">
        <v>1</v>
      </c>
      <c r="V37" s="70">
        <v>1</v>
      </c>
      <c r="W37" s="70">
        <v>1</v>
      </c>
      <c r="X37" s="69">
        <v>1</v>
      </c>
      <c r="Y37" s="69">
        <v>1</v>
      </c>
      <c r="Z37" s="69">
        <v>1</v>
      </c>
      <c r="AA37" s="69">
        <v>1</v>
      </c>
      <c r="AB37" s="69">
        <v>1</v>
      </c>
      <c r="AC37" s="70">
        <v>1</v>
      </c>
      <c r="AD37" s="70">
        <v>1</v>
      </c>
      <c r="AE37" s="69">
        <v>1</v>
      </c>
      <c r="AF37" s="69">
        <v>1</v>
      </c>
      <c r="AG37" s="69">
        <v>1</v>
      </c>
      <c r="AH37" s="69">
        <v>0</v>
      </c>
      <c r="AI37" s="69">
        <v>0</v>
      </c>
      <c r="AJ37" s="70">
        <v>0</v>
      </c>
      <c r="AK37" s="70">
        <v>0</v>
      </c>
      <c r="AL37" s="69">
        <v>0</v>
      </c>
      <c r="AM37" s="69">
        <v>0</v>
      </c>
      <c r="AN37" s="69">
        <v>0</v>
      </c>
      <c r="AO37" s="71">
        <v>0</v>
      </c>
      <c r="OT37" s="59" t="s">
        <v>69</v>
      </c>
    </row>
    <row r="38" ht="8" customHeight="1" spans="1:4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</row>
    <row r="39" ht="16" customHeight="1" spans="1:410" x14ac:dyDescent="0.25">
      <c r="A39" s="73" t="s">
        <v>70</v>
      </c>
      <c r="B39" s="44" t="s">
        <v>55</v>
      </c>
      <c r="C39" s="45">
        <f>C42+C43+C44</f>
        <v>30005.120000000003</v>
      </c>
      <c r="D39" s="46"/>
      <c r="E39" s="47" t="s">
        <v>56</v>
      </c>
      <c r="F39" s="48">
        <f>SUM(J42:AO42)</f>
        <v>164</v>
      </c>
      <c r="G39" s="48">
        <f>SUM(J43:AO43)</f>
        <v>44</v>
      </c>
      <c r="H39" s="48">
        <f>SUM(J44:AO44)</f>
        <v>24</v>
      </c>
      <c r="I39" s="49">
        <f>SUM(J45:AO45)</f>
        <v>22</v>
      </c>
      <c r="J39" s="50"/>
      <c r="K39" s="51"/>
      <c r="L39" s="51"/>
      <c r="M39" s="51"/>
      <c r="N39" s="51"/>
      <c r="O39" s="52"/>
      <c r="P39" s="52"/>
      <c r="Q39" s="51"/>
      <c r="R39" s="51"/>
      <c r="S39" s="51"/>
      <c r="T39" s="51"/>
      <c r="U39" s="51"/>
      <c r="V39" s="52"/>
      <c r="W39" s="52"/>
      <c r="X39" s="51"/>
      <c r="Y39" s="51"/>
      <c r="Z39" s="51"/>
      <c r="AA39" s="51"/>
      <c r="AB39" s="51"/>
      <c r="AC39" s="52"/>
      <c r="AD39" s="52"/>
      <c r="AE39" s="51"/>
      <c r="AF39" s="51"/>
      <c r="AG39" s="51"/>
      <c r="AH39" s="51"/>
      <c r="AI39" s="51"/>
      <c r="AJ39" s="52"/>
      <c r="AK39" s="52"/>
      <c r="AL39" s="51"/>
      <c r="AM39" s="51"/>
      <c r="AN39" s="51"/>
      <c r="AO39" s="53"/>
      <c r="OS39" s="28">
        <f>OR(E39="Staff clock",AND(OR(E39="Auto",E39=""),ISNUMBER(MATCH(B39,'_Lists'!$K$1:$K$137,0))))</f>
        <v>1</v>
      </c>
      <c r="OT39" s="28" t="s">
        <v>71</v>
      </c>
    </row>
    <row r="40" ht="16" customHeight="1" spans="1:410" x14ac:dyDescent="0.25">
      <c r="A40" s="73"/>
      <c r="B40" s="44"/>
      <c r="C40" s="45"/>
      <c r="D40" s="46"/>
      <c r="E40" s="54" t="s">
        <v>58</v>
      </c>
      <c r="F40" s="48"/>
      <c r="G40" s="48"/>
      <c r="H40" s="48"/>
      <c r="I40" s="49"/>
      <c r="J40" s="55">
        <v>1</v>
      </c>
      <c r="K40" s="56">
        <v>1</v>
      </c>
      <c r="L40" s="56">
        <v>1</v>
      </c>
      <c r="M40" s="56">
        <v>1</v>
      </c>
      <c r="N40" s="56">
        <v>1</v>
      </c>
      <c r="O40" s="57">
        <v>0</v>
      </c>
      <c r="P40" s="57">
        <v>0</v>
      </c>
      <c r="Q40" s="56">
        <v>1</v>
      </c>
      <c r="R40" s="56">
        <v>1</v>
      </c>
      <c r="S40" s="56">
        <v>1</v>
      </c>
      <c r="T40" s="56">
        <v>1</v>
      </c>
      <c r="U40" s="56">
        <v>1</v>
      </c>
      <c r="V40" s="57">
        <v>1</v>
      </c>
      <c r="W40" s="57">
        <v>1</v>
      </c>
      <c r="X40" s="56">
        <v>1</v>
      </c>
      <c r="Y40" s="56">
        <v>1</v>
      </c>
      <c r="Z40" s="56">
        <v>1</v>
      </c>
      <c r="AA40" s="56">
        <v>1</v>
      </c>
      <c r="AB40" s="56">
        <v>1</v>
      </c>
      <c r="AC40" s="57">
        <v>1</v>
      </c>
      <c r="AD40" s="57">
        <v>1</v>
      </c>
      <c r="AE40" s="56">
        <v>1</v>
      </c>
      <c r="AF40" s="56">
        <v>1</v>
      </c>
      <c r="AG40" s="56">
        <v>1</v>
      </c>
      <c r="AH40" s="56">
        <v>0</v>
      </c>
      <c r="AI40" s="56">
        <v>0</v>
      </c>
      <c r="AJ40" s="57">
        <v>0</v>
      </c>
      <c r="AK40" s="57">
        <v>0</v>
      </c>
      <c r="AL40" s="56">
        <v>0</v>
      </c>
      <c r="AM40" s="56">
        <v>0</v>
      </c>
      <c r="AN40" s="56">
        <v>0</v>
      </c>
      <c r="AO40" s="58">
        <v>0</v>
      </c>
      <c r="OT40" s="59" t="s">
        <v>71</v>
      </c>
    </row>
    <row r="41" ht="16" customHeight="1" spans="1:410" x14ac:dyDescent="0.25">
      <c r="A41" s="73"/>
      <c r="B41" s="44"/>
      <c r="C41" s="45"/>
      <c r="D41" s="46"/>
      <c r="E41" s="54" t="s">
        <v>59</v>
      </c>
      <c r="F41" s="48"/>
      <c r="G41" s="48"/>
      <c r="H41" s="48"/>
      <c r="I41" s="49"/>
      <c r="J41" s="55">
        <v>8</v>
      </c>
      <c r="K41" s="56">
        <v>8</v>
      </c>
      <c r="L41" s="56">
        <v>8</v>
      </c>
      <c r="M41" s="56">
        <v>8</v>
      </c>
      <c r="N41" s="56">
        <v>8</v>
      </c>
      <c r="O41" s="57">
        <v>0</v>
      </c>
      <c r="P41" s="57">
        <v>0</v>
      </c>
      <c r="Q41" s="56">
        <v>8</v>
      </c>
      <c r="R41" s="56">
        <v>8</v>
      </c>
      <c r="S41" s="56">
        <v>8</v>
      </c>
      <c r="T41" s="56">
        <v>12</v>
      </c>
      <c r="U41" s="56">
        <v>12</v>
      </c>
      <c r="V41" s="57">
        <v>12</v>
      </c>
      <c r="W41" s="57">
        <v>12</v>
      </c>
      <c r="X41" s="56">
        <v>12</v>
      </c>
      <c r="Y41" s="56">
        <v>12</v>
      </c>
      <c r="Z41" s="56">
        <v>12</v>
      </c>
      <c r="AA41" s="56">
        <v>12</v>
      </c>
      <c r="AB41" s="56">
        <v>12</v>
      </c>
      <c r="AC41" s="57">
        <v>12</v>
      </c>
      <c r="AD41" s="57">
        <v>12</v>
      </c>
      <c r="AE41" s="56">
        <v>12</v>
      </c>
      <c r="AF41" s="56">
        <v>12</v>
      </c>
      <c r="AG41" s="56">
        <v>12</v>
      </c>
      <c r="AH41" s="56">
        <v>0</v>
      </c>
      <c r="AI41" s="56">
        <v>0</v>
      </c>
      <c r="AJ41" s="57">
        <v>0</v>
      </c>
      <c r="AK41" s="57">
        <v>0</v>
      </c>
      <c r="AL41" s="56">
        <v>0</v>
      </c>
      <c r="AM41" s="56">
        <v>0</v>
      </c>
      <c r="AN41" s="56">
        <v>0</v>
      </c>
      <c r="AO41" s="58">
        <v>0</v>
      </c>
      <c r="OT41" s="59" t="s">
        <v>71</v>
      </c>
    </row>
    <row r="42" ht="16" customHeight="1" spans="1:410" x14ac:dyDescent="0.25">
      <c r="A42" s="73"/>
      <c r="B42" s="44"/>
      <c r="C42" s="60">
        <f>F39*N(D42)</f>
        <v>18313.88</v>
      </c>
      <c r="D42" s="60">
        <f>IF(TRIM(B39)="","No rate",IFERROR(INDEX('Rate Tables'!C$7:C$161,MATCH(B39,'Rate Tables'!A$7:A$161,0)),"No rate"))</f>
        <v>111.67</v>
      </c>
      <c r="E42" s="54" t="s">
        <v>60</v>
      </c>
      <c r="F42" s="48"/>
      <c r="G42" s="48"/>
      <c r="H42" s="48"/>
      <c r="I42" s="49"/>
      <c r="J42" s="61">
        <f>IF(AND(J40=1,J41=8,E39="Auto",B39="Superintendent PF 01",AND('Job setup'!$B$7="ON",'Job setup'!$C$7&lt;=J$6,'Job setup'!$D$7&gt;=J$6,'Job setup'!$G$7="YES")),8,IF(OS39,MIN(IF(OR(J40&lt;=0,NOT('_JobDays'!A2)),0,IF(WEEKDAY(J$6,1)=1,0,MIN(IF('_JobDays'!A3,8,10),J41)*J40)),MAX(0,40*MAX(1,J40)-(0))),MIN(IF(OR(J40&lt;=0,NOT('_JobDays'!A2)),0,IF(WEEKDAY(J$6,1)=1,0,IF(WEEKDAY(J$6,1)=7,0,IF('_JobDays'!A4,MIN(8,J41)*J40,J40*J41)))),MAX(0,40*MAX(1,J40)-(0)))))</f>
        <v>8</v>
      </c>
      <c r="K42" s="62">
        <f>IF(AND(K40=1,K41=8,E39="Auto",B39="Superintendent PF 01",AND('Job setup'!$B$7="ON",'Job setup'!$C$7&lt;=K$6,'Job setup'!$D$7&gt;=K$6,'Job setup'!$G$7="YES")),8,IF(OS39,MIN(IF(OR(K40&lt;=0,NOT('_JobDays'!B2)),0,IF(WEEKDAY(K$6,1)=1,0,MIN(IF('_JobDays'!B3,8,10),K41)*K40)),MAX(0,40*MAX(1,K40)-(J42))),MIN(IF(OR(K40&lt;=0,NOT('_JobDays'!B2)),0,IF(WEEKDAY(K$6,1)=1,0,IF(WEEKDAY(K$6,1)=7,0,IF('_JobDays'!B4,MIN(8,K41)*K40,K40*K41)))),MAX(0,40*MAX(1,K40)-(J42)))))</f>
        <v>8</v>
      </c>
      <c r="L42" s="62">
        <f>IF(AND(L40=1,L41=8,E39="Auto",B39="Superintendent PF 01",AND('Job setup'!$B$7="ON",'Job setup'!$C$7&lt;=L$6,'Job setup'!$D$7&gt;=L$6,'Job setup'!$G$7="YES")),8,IF(OS39,MIN(IF(OR(L40&lt;=0,NOT('_JobDays'!C2)),0,IF(WEEKDAY(L$6,1)=1,0,MIN(IF('_JobDays'!C3,8,10),L41)*L40)),MAX(0,40*MAX(1,L40)-(J42+K42))),MIN(IF(OR(L40&lt;=0,NOT('_JobDays'!C2)),0,IF(WEEKDAY(L$6,1)=1,0,IF(WEEKDAY(L$6,1)=7,0,IF('_JobDays'!C4,MIN(8,L41)*L40,L40*L41)))),MAX(0,40*MAX(1,L40)-(J42+K42)))))</f>
        <v>8</v>
      </c>
      <c r="M42" s="62">
        <f>IF(AND(M40=1,M41=8,E39="Auto",B39="Superintendent PF 01",AND('Job setup'!$B$7="ON",'Job setup'!$C$7&lt;=M$6,'Job setup'!$D$7&gt;=M$6,'Job setup'!$G$7="YES")),8,IF(OS39,MIN(IF(OR(M40&lt;=0,NOT('_JobDays'!D2)),0,IF(WEEKDAY(M$6,1)=1,0,MIN(IF('_JobDays'!D3,8,10),M41)*M40)),MAX(0,40*MAX(1,M40)-(J42+K42+L42))),MIN(IF(OR(M40&lt;=0,NOT('_JobDays'!D2)),0,IF(WEEKDAY(M$6,1)=1,0,IF(WEEKDAY(M$6,1)=7,0,IF('_JobDays'!D4,MIN(8,M41)*M40,M40*M41)))),MAX(0,40*MAX(1,M40)-(J42+K42+L42)))))</f>
        <v>8</v>
      </c>
      <c r="N42" s="62">
        <f>IF(AND(N40=1,N41=8,E39="Auto",B39="Superintendent PF 01",AND('Job setup'!$B$7="ON",'Job setup'!$C$7&lt;=N$6,'Job setup'!$D$7&gt;=N$6,'Job setup'!$G$7="YES")),8,IF(OS39,MIN(IF(OR(N40&lt;=0,NOT('_JobDays'!E2)),0,IF(WEEKDAY(N$6,1)=1,0,MIN(IF('_JobDays'!E3,8,10),N41)*N40)),MAX(0,40*MAX(1,N40)-(J42+K42+L42+M42))),MIN(IF(OR(N40&lt;=0,NOT('_JobDays'!E2)),0,IF(WEEKDAY(N$6,1)=1,0,IF(WEEKDAY(N$6,1)=7,0,IF('_JobDays'!E4,MIN(8,N41)*N40,N40*N41)))),MAX(0,40*MAX(1,N40)-(J42+K42+L42+M42)))))</f>
        <v>8</v>
      </c>
      <c r="O42" s="63">
        <f>IF(AND(O40=0,O41=0,E39="Auto",B39="Superintendent PF 01",AND('Job setup'!$B$7="ON",'Job setup'!$C$7&lt;=O$6,'Job setup'!$D$7&gt;=O$6,'Job setup'!$G$7="YES")),0,IF(OS39,MIN(IF(OR(O40&lt;=0,NOT('_JobDays'!F2)),0,IF(WEEKDAY(O$6,1)=1,0,MIN(IF('_JobDays'!F3,8,10),O41)*O40)),MAX(0,40*MAX(1,O40)-(J42+K42+L42+M42+N42))),MIN(IF(OR(O40&lt;=0,NOT('_JobDays'!F2)),0,IF(WEEKDAY(O$6,1)=1,0,IF(WEEKDAY(O$6,1)=7,0,IF('_JobDays'!F4,MIN(8,O41)*O40,O40*O41)))),MAX(0,40*MAX(1,O40)-(J42+K42+L42+M42+N42)))))</f>
        <v>0</v>
      </c>
      <c r="P42" s="63">
        <f>IF(AND(P40=0,P41=0,E39="Auto",B39="Superintendent PF 01",AND('Job setup'!$B$7="ON",'Job setup'!$C$7&lt;=P$6,'Job setup'!$D$7&gt;=P$6,'Job setup'!$G$7="YES")),0,IF(OS39,MIN(IF(OR(P40&lt;=0,NOT('_JobDays'!G2)),0,IF(WEEKDAY(P$6,1)=1,0,MIN(IF('_JobDays'!G3,8,10),P41)*P40)),MAX(0,40*MAX(1,P40)-(J42+K42+L42+M42+N42+O42))),MIN(IF(OR(P40&lt;=0,NOT('_JobDays'!G2)),0,IF(WEEKDAY(P$6,1)=1,0,IF(WEEKDAY(P$6,1)=7,0,IF('_JobDays'!G4,MIN(8,P41)*P40,P40*P41)))),MAX(0,40*MAX(1,P40)-(J42+K42+L42+M42+N42+O42)))))</f>
        <v>0</v>
      </c>
      <c r="Q42" s="62">
        <f>IF(AND(Q40=1,Q41=8,E39="Auto",B39="Superintendent PF 01",AND('Job setup'!$B$7="ON",'Job setup'!$C$7&lt;=Q$6,'Job setup'!$D$7&gt;=Q$6,'Job setup'!$G$7="YES")),8,IF(OS39,MIN(IF(OR(Q40&lt;=0,NOT('_JobDays'!H2)),0,IF(WEEKDAY(Q$6,1)=1,0,MIN(IF('_JobDays'!H3,8,10),Q41)*Q40)),MAX(0,40*MAX(1,Q40)-(0))),MIN(IF(OR(Q40&lt;=0,NOT('_JobDays'!H2)),0,IF(WEEKDAY(Q$6,1)=1,0,IF(WEEKDAY(Q$6,1)=7,0,IF('_JobDays'!H4,MIN(8,Q41)*Q40,Q40*Q41)))),MAX(0,40*MAX(1,Q40)-(0)))))</f>
        <v>8</v>
      </c>
      <c r="R42" s="62">
        <f>IF(AND(R40=1,R41=8,E39="Auto",B39="Superintendent PF 01",AND('Job setup'!$B$7="ON",'Job setup'!$C$7&lt;=R$6,'Job setup'!$D$7&gt;=R$6,'Job setup'!$G$7="YES")),8,IF(OS39,MIN(IF(OR(R40&lt;=0,NOT('_JobDays'!I2)),0,IF(WEEKDAY(R$6,1)=1,0,MIN(IF('_JobDays'!I3,8,10),R41)*R40)),MAX(0,40*MAX(1,R40)-(Q42))),MIN(IF(OR(R40&lt;=0,NOT('_JobDays'!I2)),0,IF(WEEKDAY(R$6,1)=1,0,IF(WEEKDAY(R$6,1)=7,0,IF('_JobDays'!I4,MIN(8,R41)*R40,R40*R41)))),MAX(0,40*MAX(1,R40)-(Q42)))))</f>
        <v>8</v>
      </c>
      <c r="S42" s="62">
        <f>IF(AND(S40=1,S41=8,E39="Auto",B39="Superintendent PF 01",AND('Job setup'!$B$7="ON",'Job setup'!$C$7&lt;=S$6,'Job setup'!$D$7&gt;=S$6,'Job setup'!$G$7="YES")),8,IF(OS39,MIN(IF(OR(S40&lt;=0,NOT('_JobDays'!J2)),0,IF(WEEKDAY(S$6,1)=1,0,MIN(IF('_JobDays'!J3,8,10),S41)*S40)),MAX(0,40*MAX(1,S40)-(Q42+R42))),MIN(IF(OR(S40&lt;=0,NOT('_JobDays'!J2)),0,IF(WEEKDAY(S$6,1)=1,0,IF(WEEKDAY(S$6,1)=7,0,IF('_JobDays'!J4,MIN(8,S41)*S40,S40*S41)))),MAX(0,40*MAX(1,S40)-(Q42+R42)))))</f>
        <v>8</v>
      </c>
      <c r="T42" s="62">
        <f>IF(AND(T40=1,T41=12,E39="Auto",B39="Superintendent PF 01",AND('Job setup'!$B$9="ON",'Job setup'!$C$9&lt;=T$6,'Job setup'!$D$9&gt;=T$6,'Job setup'!$G$9="NO")),10,IF(OS39,MIN(IF(OR(T40&lt;=0,NOT('_JobDays'!K2)),0,IF(WEEKDAY(T$6,1)=1,0,MIN(IF('_JobDays'!K3,8,10),T41)*T40)),MAX(0,40*MAX(1,T40)-(Q42+R42+S42))),MIN(IF(OR(T40&lt;=0,NOT('_JobDays'!K2)),0,IF(WEEKDAY(T$6,1)=1,0,IF(WEEKDAY(T$6,1)=7,0,IF('_JobDays'!K4,MIN(8,T41)*T40,T40*T41)))),MAX(0,40*MAX(1,T40)-(Q42+R42+S42)))))</f>
        <v>10</v>
      </c>
      <c r="U42" s="62">
        <f>IF(AND(U40=1,U41=12,E39="Auto",B39="Superintendent PF 01",AND('Job setup'!$B$9="ON",'Job setup'!$C$9&lt;=U$6,'Job setup'!$D$9&gt;=U$6,'Job setup'!$G$9="NO")),10,IF(OS39,MIN(IF(OR(U40&lt;=0,NOT('_JobDays'!L2)),0,IF(WEEKDAY(U$6,1)=1,0,MIN(IF('_JobDays'!L3,8,10),U41)*U40)),MAX(0,40*MAX(1,U40)-(Q42+R42+S42+T42))),MIN(IF(OR(U40&lt;=0,NOT('_JobDays'!L2)),0,IF(WEEKDAY(U$6,1)=1,0,IF(WEEKDAY(U$6,1)=7,0,IF('_JobDays'!L4,MIN(8,U41)*U40,U40*U41)))),MAX(0,40*MAX(1,U40)-(Q42+R42+S42+T42)))))</f>
        <v>10</v>
      </c>
      <c r="V42" s="63">
        <f>IF(AND(V40=1,V41=12,E39="Auto",B39="Superintendent PF 01",AND('Job setup'!$B$9="ON",'Job setup'!$C$9&lt;=V$6,'Job setup'!$D$9&gt;=V$6,'Job setup'!$G$9="NO")),10,IF(OS39,MIN(IF(OR(V40&lt;=0,NOT('_JobDays'!M2)),0,IF(WEEKDAY(V$6,1)=1,0,MIN(IF('_JobDays'!M3,8,10),V41)*V40)),MAX(0,40*MAX(1,V40)-(Q42+R42+S42+T42+U42))),MIN(IF(OR(V40&lt;=0,NOT('_JobDays'!M2)),0,IF(WEEKDAY(V$6,1)=1,0,IF(WEEKDAY(V$6,1)=7,0,IF('_JobDays'!M4,MIN(8,V41)*V40,V40*V41)))),MAX(0,40*MAX(1,V40)-(Q42+R42+S42+T42+U42)))))</f>
        <v>10</v>
      </c>
      <c r="W42" s="63">
        <f>IF(AND(W40=1,W41=12,E39="Auto",B39="Superintendent PF 01",AND('Job setup'!$B$9="ON",'Job setup'!$C$9&lt;=W$6,'Job setup'!$D$9&gt;=W$6,'Job setup'!$G$9="NO")),0,IF(OS39,MIN(IF(OR(W40&lt;=0,NOT('_JobDays'!N2)),0,IF(WEEKDAY(W$6,1)=1,0,MIN(IF('_JobDays'!N3,8,10),W41)*W40)),MAX(0,40*MAX(1,W40)-(Q42+R42+S42+T42+U42+V42))),MIN(IF(OR(W40&lt;=0,NOT('_JobDays'!N2)),0,IF(WEEKDAY(W$6,1)=1,0,IF(WEEKDAY(W$6,1)=7,0,IF('_JobDays'!N4,MIN(8,W41)*W40,W40*W41)))),MAX(0,40*MAX(1,W40)-(Q42+R42+S42+T42+U42+V42)))))</f>
        <v>0</v>
      </c>
      <c r="X42" s="62">
        <f>IF(AND(X40=1,X41=12,E39="Auto",B39="Superintendent PF 01",AND('Job setup'!$B$9="ON",'Job setup'!$C$9&lt;=X$6,'Job setup'!$D$9&gt;=X$6,'Job setup'!$G$9="NO")),10,IF(OS39,MIN(IF(OR(X40&lt;=0,NOT('_JobDays'!O2)),0,IF(WEEKDAY(X$6,1)=1,0,MIN(IF('_JobDays'!O3,8,10),X41)*X40)),MAX(0,40*MAX(1,X40)-(0))),MIN(IF(OR(X40&lt;=0,NOT('_JobDays'!O2)),0,IF(WEEKDAY(X$6,1)=1,0,IF(WEEKDAY(X$6,1)=7,0,IF('_JobDays'!O4,MIN(8,X41)*X40,X40*X41)))),MAX(0,40*MAX(1,X40)-(0)))))</f>
        <v>10</v>
      </c>
      <c r="Y42" s="62">
        <f>IF(AND(Y40=1,Y41=12,E39="Auto",B39="Superintendent PF 01",AND('Job setup'!$B$9="ON",'Job setup'!$C$9&lt;=Y$6,'Job setup'!$D$9&gt;=Y$6,'Job setup'!$G$9="NO")),10,IF(OS39,MIN(IF(OR(Y40&lt;=0,NOT('_JobDays'!P2)),0,IF(WEEKDAY(Y$6,1)=1,0,MIN(IF('_JobDays'!P3,8,10),Y41)*Y40)),MAX(0,40*MAX(1,Y40)-(X42))),MIN(IF(OR(Y40&lt;=0,NOT('_JobDays'!P2)),0,IF(WEEKDAY(Y$6,1)=1,0,IF(WEEKDAY(Y$6,1)=7,0,IF('_JobDays'!P4,MIN(8,Y41)*Y40,Y40*Y41)))),MAX(0,40*MAX(1,Y40)-(X42)))))</f>
        <v>10</v>
      </c>
      <c r="Z42" s="62">
        <f>IF(AND(Z40=1,Z41=12,E39="Auto",B39="Superintendent PF 01",AND('Job setup'!$B$9="ON",'Job setup'!$C$9&lt;=Z$6,'Job setup'!$D$9&gt;=Z$6,'Job setup'!$G$9="NO")),10,IF(OS39,MIN(IF(OR(Z40&lt;=0,NOT('_JobDays'!Q2)),0,IF(WEEKDAY(Z$6,1)=1,0,MIN(IF('_JobDays'!Q3,8,10),Z41)*Z40)),MAX(0,40*MAX(1,Z40)-(X42+Y42))),MIN(IF(OR(Z40&lt;=0,NOT('_JobDays'!Q2)),0,IF(WEEKDAY(Z$6,1)=1,0,IF(WEEKDAY(Z$6,1)=7,0,IF('_JobDays'!Q4,MIN(8,Z41)*Z40,Z40*Z41)))),MAX(0,40*MAX(1,Z40)-(X42+Y42)))))</f>
        <v>10</v>
      </c>
      <c r="AA42" s="62">
        <f>IF(AND(AA40=1,AA41=12,E39="Auto",B39="Superintendent PF 01",AND('Job setup'!$B$9="ON",'Job setup'!$C$9&lt;=AA$6,'Job setup'!$D$9&gt;=AA$6,'Job setup'!$G$9="NO")),10,IF(OS39,MIN(IF(OR(AA40&lt;=0,NOT('_JobDays'!R2)),0,IF(WEEKDAY(AA$6,1)=1,0,MIN(IF('_JobDays'!R3,8,10),AA41)*AA40)),MAX(0,40*MAX(1,AA40)-(X42+Y42+Z42))),MIN(IF(OR(AA40&lt;=0,NOT('_JobDays'!R2)),0,IF(WEEKDAY(AA$6,1)=1,0,IF(WEEKDAY(AA$6,1)=7,0,IF('_JobDays'!R4,MIN(8,AA41)*AA40,AA40*AA41)))),MAX(0,40*MAX(1,AA40)-(X42+Y42+Z42)))))</f>
        <v>10</v>
      </c>
      <c r="AB42" s="62">
        <f>IF(AND(AB40=1,AB41=12,E39="Auto",B39="Superintendent PF 01",AND('Job setup'!$B$9="ON",'Job setup'!$C$9&lt;=AB$6,'Job setup'!$D$9&gt;=AB$6,'Job setup'!$G$9="NO")),0,IF(OS39,MIN(IF(OR(AB40&lt;=0,NOT('_JobDays'!S2)),0,IF(WEEKDAY(AB$6,1)=1,0,MIN(IF('_JobDays'!S3,8,10),AB41)*AB40)),MAX(0,40*MAX(1,AB40)-(X42+Y42+Z42+AA42))),MIN(IF(OR(AB40&lt;=0,NOT('_JobDays'!S2)),0,IF(WEEKDAY(AB$6,1)=1,0,IF(WEEKDAY(AB$6,1)=7,0,IF('_JobDays'!S4,MIN(8,AB41)*AB40,AB40*AB41)))),MAX(0,40*MAX(1,AB40)-(X42+Y42+Z42+AA42)))))</f>
        <v>0</v>
      </c>
      <c r="AC42" s="63">
        <f>IF(AND(AC40=1,AC41=12,E39="Auto",B39="Superintendent PF 01",AND('Job setup'!$B$9="ON",'Job setup'!$C$9&lt;=AC$6,'Job setup'!$D$9&gt;=AC$6,'Job setup'!$G$9="NO")),0,IF(OS39,MIN(IF(OR(AC40&lt;=0,NOT('_JobDays'!T2)),0,IF(WEEKDAY(AC$6,1)=1,0,MIN(IF('_JobDays'!T3,8,10),AC41)*AC40)),MAX(0,40*MAX(1,AC40)-(X42+Y42+Z42+AA42+AB42))),MIN(IF(OR(AC40&lt;=0,NOT('_JobDays'!T2)),0,IF(WEEKDAY(AC$6,1)=1,0,IF(WEEKDAY(AC$6,1)=7,0,IF('_JobDays'!T4,MIN(8,AC41)*AC40,AC40*AC41)))),MAX(0,40*MAX(1,AC40)-(X42+Y42+Z42+AA42+AB42)))))</f>
        <v>0</v>
      </c>
      <c r="AD42" s="63">
        <f>IF(AND(AD40=1,AD41=12,E39="Auto",B39="Superintendent PF 01",AND('Job setup'!$B$9="ON",'Job setup'!$C$9&lt;=AD$6,'Job setup'!$D$9&gt;=AD$6,'Job setup'!$G$9="NO")),0,IF(OS39,MIN(IF(OR(AD40&lt;=0,NOT('_JobDays'!U2)),0,IF(WEEKDAY(AD$6,1)=1,0,MIN(IF('_JobDays'!U3,8,10),AD41)*AD40)),MAX(0,40*MAX(1,AD40)-(X42+Y42+Z42+AA42+AB42+AC42))),MIN(IF(OR(AD40&lt;=0,NOT('_JobDays'!U2)),0,IF(WEEKDAY(AD$6,1)=1,0,IF(WEEKDAY(AD$6,1)=7,0,IF('_JobDays'!U4,MIN(8,AD41)*AD40,AD40*AD41)))),MAX(0,40*MAX(1,AD40)-(X42+Y42+Z42+AA42+AB42+AC42)))))</f>
        <v>0</v>
      </c>
      <c r="AE42" s="62">
        <f>IF(AND(AE40=1,AE41=12,E39="Auto",B39="Superintendent PF 01",AND('Job setup'!$B$9="ON",'Job setup'!$C$9&lt;=AE$6,'Job setup'!$D$9&gt;=AE$6,'Job setup'!$G$9="NO")),10,IF(OS39,MIN(IF(OR(AE40&lt;=0,NOT('_JobDays'!V2)),0,IF(WEEKDAY(AE$6,1)=1,0,MIN(IF('_JobDays'!V3,8,10),AE41)*AE40)),MAX(0,40*MAX(1,AE40)-(0))),MIN(IF(OR(AE40&lt;=0,NOT('_JobDays'!V2)),0,IF(WEEKDAY(AE$6,1)=1,0,IF(WEEKDAY(AE$6,1)=7,0,IF('_JobDays'!V4,MIN(8,AE41)*AE40,AE40*AE41)))),MAX(0,40*MAX(1,AE40)-(0)))))</f>
        <v>10</v>
      </c>
      <c r="AF42" s="62">
        <f>IF(AND(AF40=1,AF41=12,E39="Auto",B39="Superintendent PF 01",AND('Job setup'!$B$9="ON",'Job setup'!$C$9&lt;=AF$6,'Job setup'!$D$9&gt;=AF$6,'Job setup'!$G$9="NO")),10,IF(OS39,MIN(IF(OR(AF40&lt;=0,NOT('_JobDays'!W2)),0,IF(WEEKDAY(AF$6,1)=1,0,MIN(IF('_JobDays'!W3,8,10),AF41)*AF40)),MAX(0,40*MAX(1,AF40)-(AE42))),MIN(IF(OR(AF40&lt;=0,NOT('_JobDays'!W2)),0,IF(WEEKDAY(AF$6,1)=1,0,IF(WEEKDAY(AF$6,1)=7,0,IF('_JobDays'!W4,MIN(8,AF41)*AF40,AF40*AF41)))),MAX(0,40*MAX(1,AF40)-(AE42)))))</f>
        <v>10</v>
      </c>
      <c r="AG42" s="62">
        <f>IF(AND(AG40=1,AG41=12,E39="Auto",B39="Superintendent PF 01",AND('Job setup'!$B$9="ON",'Job setup'!$C$9&lt;=AG$6,'Job setup'!$D$9&gt;=AG$6,'Job setup'!$G$9="NO")),10,IF(OS39,MIN(IF(OR(AG40&lt;=0,NOT('_JobDays'!X2)),0,IF(WEEKDAY(AG$6,1)=1,0,MIN(IF('_JobDays'!X3,8,10),AG41)*AG40)),MAX(0,40*MAX(1,AG40)-(AE42+AF42))),MIN(IF(OR(AG40&lt;=0,NOT('_JobDays'!X2)),0,IF(WEEKDAY(AG$6,1)=1,0,IF(WEEKDAY(AG$6,1)=7,0,IF('_JobDays'!X4,MIN(8,AG41)*AG40,AG40*AG41)))),MAX(0,40*MAX(1,AG40)-(AE42+AF42)))))</f>
        <v>10</v>
      </c>
      <c r="AH42" s="62">
        <f>IF(AND(AH40=0,AH41=0,E39="Auto",B39="Superintendent PF 01",AND('Job setup'!$B$11="ON",'Job setup'!$C$11&lt;=AH$6,'Job setup'!$D$11&gt;=AH$6,'Job setup'!$G$11="YES")),0,IF(OS39,MIN(IF(OR(AH40&lt;=0,NOT('_JobDays'!Y2)),0,IF(WEEKDAY(AH$6,1)=1,0,MIN(IF('_JobDays'!Y3,8,10),AH41)*AH40)),MAX(0,40*MAX(1,AH40)-(AE42+AF42+AG42))),MIN(IF(OR(AH40&lt;=0,NOT('_JobDays'!Y2)),0,IF(WEEKDAY(AH$6,1)=1,0,IF(WEEKDAY(AH$6,1)=7,0,IF('_JobDays'!Y4,MIN(8,AH41)*AH40,AH40*AH41)))),MAX(0,40*MAX(1,AH40)-(AE42+AF42+AG42)))))</f>
        <v>0</v>
      </c>
      <c r="AI42" s="62">
        <f>IF(AND(AI40=0,AI41=0,E39="Auto",B39="Superintendent PF 01",AND('Job setup'!$B$11="ON",'Job setup'!$C$11&lt;=AI$6,'Job setup'!$D$11&gt;=AI$6,'Job setup'!$G$11="YES")),0,IF(OS39,MIN(IF(OR(AI40&lt;=0,NOT('_JobDays'!Z2)),0,IF(WEEKDAY(AI$6,1)=1,0,MIN(IF('_JobDays'!Z3,8,10),AI41)*AI40)),MAX(0,40*MAX(1,AI40)-(AE42+AF42+AG42+AH42))),MIN(IF(OR(AI40&lt;=0,NOT('_JobDays'!Z2)),0,IF(WEEKDAY(AI$6,1)=1,0,IF(WEEKDAY(AI$6,1)=7,0,IF('_JobDays'!Z4,MIN(8,AI41)*AI40,AI40*AI41)))),MAX(0,40*MAX(1,AI40)-(AE42+AF42+AG42+AH42)))))</f>
        <v>0</v>
      </c>
      <c r="AJ42" s="63">
        <f>IF(AND(AJ40=0,AJ41=0,E39="Auto",B39="Superintendent PF 01",AND('Job setup'!$B$11="ON",'Job setup'!$C$11&lt;=AJ$6,'Job setup'!$D$11&gt;=AJ$6,'Job setup'!$G$11="YES")),0,IF(OS39,MIN(IF(OR(AJ40&lt;=0,NOT('_JobDays'!AA2)),0,IF(WEEKDAY(AJ$6,1)=1,0,MIN(IF('_JobDays'!AA3,8,10),AJ41)*AJ40)),MAX(0,40*MAX(1,AJ40)-(AE42+AF42+AG42+AH42+AI42))),MIN(IF(OR(AJ40&lt;=0,NOT('_JobDays'!AA2)),0,IF(WEEKDAY(AJ$6,1)=1,0,IF(WEEKDAY(AJ$6,1)=7,0,IF('_JobDays'!AA4,MIN(8,AJ41)*AJ40,AJ40*AJ41)))),MAX(0,40*MAX(1,AJ40)-(AE42+AF42+AG42+AH42+AI42)))))</f>
        <v>0</v>
      </c>
      <c r="AK42" s="63">
        <f>IF(AND(AK40=0,AK41=0,E39="Auto",B39="Superintendent PF 01",AND('Job setup'!$B$11="ON",'Job setup'!$C$11&lt;=AK$6,'Job setup'!$D$11&gt;=AK$6,'Job setup'!$G$11="YES")),0,IF(OS39,MIN(IF(OR(AK40&lt;=0,NOT('_JobDays'!AB2)),0,IF(WEEKDAY(AK$6,1)=1,0,MIN(IF('_JobDays'!AB3,8,10),AK41)*AK40)),MAX(0,40*MAX(1,AK40)-(AE42+AF42+AG42+AH42+AI42+AJ42))),MIN(IF(OR(AK40&lt;=0,NOT('_JobDays'!AB2)),0,IF(WEEKDAY(AK$6,1)=1,0,IF(WEEKDAY(AK$6,1)=7,0,IF('_JobDays'!AB4,MIN(8,AK41)*AK40,AK40*AK41)))),MAX(0,40*MAX(1,AK40)-(AE42+AF42+AG42+AH42+AI42+AJ42)))))</f>
        <v>0</v>
      </c>
      <c r="AL42" s="62">
        <f>IF(AND(AL40=0,AL41=0,E39="Auto",B39="Superintendent PF 01",AND('Job setup'!$B$11="ON",'Job setup'!$C$11&lt;=AL$6,'Job setup'!$D$11&gt;=AL$6,'Job setup'!$G$11="YES")),0,IF(OS39,MIN(IF(OR(AL40&lt;=0,NOT('_JobDays'!AC2)),0,IF(WEEKDAY(AL$6,1)=1,0,MIN(IF('_JobDays'!AC3,8,10),AL41)*AL40)),MAX(0,40*MAX(1,AL40)-(0))),MIN(IF(OR(AL40&lt;=0,NOT('_JobDays'!AC2)),0,IF(WEEKDAY(AL$6,1)=1,0,IF(WEEKDAY(AL$6,1)=7,0,IF('_JobDays'!AC4,MIN(8,AL41)*AL40,AL40*AL41)))),MAX(0,40*MAX(1,AL40)-(0)))))</f>
        <v>0</v>
      </c>
      <c r="AM42" s="62">
        <f>IF(AND(AM40=0,AM41=0,E39="Auto",B39="Superintendent PF 01",AND('Job setup'!$B$11="ON",'Job setup'!$C$11&lt;=AM$6,'Job setup'!$D$11&gt;=AM$6,'Job setup'!$G$11="YES")),0,IF(OS39,MIN(IF(OR(AM40&lt;=0,NOT('_JobDays'!AD2)),0,IF(WEEKDAY(AM$6,1)=1,0,MIN(IF('_JobDays'!AD3,8,10),AM41)*AM40)),MAX(0,40*MAX(1,AM40)-(AL42))),MIN(IF(OR(AM40&lt;=0,NOT('_JobDays'!AD2)),0,IF(WEEKDAY(AM$6,1)=1,0,IF(WEEKDAY(AM$6,1)=7,0,IF('_JobDays'!AD4,MIN(8,AM41)*AM40,AM40*AM41)))),MAX(0,40*MAX(1,AM40)-(AL42)))))</f>
        <v>0</v>
      </c>
      <c r="AN42" s="62">
        <f>IF(AND(AN40=0,AN41=0,E39="Auto",B39="Superintendent PF 01",AND('Job setup'!$B$11="ON",'Job setup'!$C$11&lt;=AN$6,'Job setup'!$D$11&gt;=AN$6,'Job setup'!$G$11="YES")),0,IF(OS39,MIN(IF(OR(AN40&lt;=0,NOT('_JobDays'!AE2)),0,IF(WEEKDAY(AN$6,1)=1,0,MIN(IF('_JobDays'!AE3,8,10),AN41)*AN40)),MAX(0,40*MAX(1,AN40)-(AL42+AM42))),MIN(IF(OR(AN40&lt;=0,NOT('_JobDays'!AE2)),0,IF(WEEKDAY(AN$6,1)=1,0,IF(WEEKDAY(AN$6,1)=7,0,IF('_JobDays'!AE4,MIN(8,AN41)*AN40,AN40*AN41)))),MAX(0,40*MAX(1,AN40)-(AL42+AM42)))))</f>
        <v>0</v>
      </c>
      <c r="AO42" s="64">
        <f>IF(AND(AO40=0,AO41=0,E39="Auto",B39="Superintendent PF 01",AND('Job setup'!$B$11="ON",'Job setup'!$C$11&lt;=AO$6,'Job setup'!$D$11&gt;=AO$6,'Job setup'!$G$11="YES")),0,IF(OS39,MIN(IF(OR(AO40&lt;=0,NOT('_JobDays'!AF2)),0,IF(WEEKDAY(AO$6,1)=1,0,MIN(IF('_JobDays'!AF3,8,10),AO41)*AO40)),MAX(0,40*MAX(1,AO40)-(AL42+AM42+AN42))),MIN(IF(OR(AO40&lt;=0,NOT('_JobDays'!AF2)),0,IF(WEEKDAY(AO$6,1)=1,0,IF(WEEKDAY(AO$6,1)=7,0,IF('_JobDays'!AF4,MIN(8,AO41)*AO40,AO40*AO41)))),MAX(0,40*MAX(1,AO40)-(AL42+AM42+AN42)))))</f>
        <v>0</v>
      </c>
      <c r="OT42" s="28" t="s">
        <v>71</v>
      </c>
    </row>
    <row r="43" ht="16" customHeight="1" spans="1:410" x14ac:dyDescent="0.25">
      <c r="A43" s="73"/>
      <c r="B43" s="44"/>
      <c r="C43" s="65">
        <f>G39*N(D43)</f>
        <v>6873.240000000001</v>
      </c>
      <c r="D43" s="65">
        <f>IF(TRIM(B39)="","No rate",IFERROR(INDEX('Rate Tables'!D$7:D$161,MATCH(B39,'Rate Tables'!A$7:A$161,0)),"No rate"))</f>
        <v>156.21</v>
      </c>
      <c r="E43" s="54" t="s">
        <v>61</v>
      </c>
      <c r="F43" s="48"/>
      <c r="G43" s="48"/>
      <c r="H43" s="48"/>
      <c r="I43" s="49"/>
      <c r="J43" s="61">
        <f>IF(AND(J40=1,J41=8,E39="Auto",B39="Superintendent PF 01",AND('Job setup'!$B$7="ON",'Job setup'!$C$7&lt;=J$6,'Job setup'!$D$7&gt;=J$6,'Job setup'!$G$7="YES")),0,IF(OS39,IF(OR(J40&lt;=0,NOT('_JobDays'!A2)),0,IF(WEEKDAY(J$6,1)=1,0,MAX(0,J41-(IF('_JobDays'!A3,8,10)))*J40))+((IF(OR(J40&lt;=0,NOT('_JobDays'!A2)),0,IF(WEEKDAY(J$6,1)=1,0,MIN(IF('_JobDays'!A3,8,10),J41)*J40)))-MIN(IF(OR(J40&lt;=0,NOT('_JobDays'!A2)),0,IF(WEEKDAY(J$6,1)=1,0,MIN(IF('_JobDays'!A3,8,10),J41)*J40)),MAX(0,40*MAX(1,J40)-(0)))),IF(OR(J40&lt;=0,NOT('_JobDays'!A2)),0,IF(WEEKDAY(J$6,1)=1,0,IF(WEEKDAY(J$6,1)=7,J40*J41,IF('_JobDays'!A4,MAX(0,J41-8)*J40,0))))+((IF(OR(J40&lt;=0,NOT('_JobDays'!A2)),0,IF(WEEKDAY(J$6,1)=1,0,IF(WEEKDAY(J$6,1)=7,0,IF('_JobDays'!A4,MIN(8,J41)*J40,J40*J41)))))-MIN(IF(OR(J40&lt;=0,NOT('_JobDays'!A2)),0,IF(WEEKDAY(J$6,1)=1,0,IF(WEEKDAY(J$6,1)=7,0,IF('_JobDays'!A4,MIN(8,J41)*J40,J40*J41)))),MAX(0,40*MAX(1,J40)-(0))))))</f>
        <v>0</v>
      </c>
      <c r="K43" s="62">
        <f>IF(AND(K40=1,K41=8,E39="Auto",B39="Superintendent PF 01",AND('Job setup'!$B$7="ON",'Job setup'!$C$7&lt;=K$6,'Job setup'!$D$7&gt;=K$6,'Job setup'!$G$7="YES")),0,IF(OS39,IF(OR(K40&lt;=0,NOT('_JobDays'!B2)),0,IF(WEEKDAY(K$6,1)=1,0,MAX(0,K41-(IF('_JobDays'!B3,8,10)))*K40))+((IF(OR(K40&lt;=0,NOT('_JobDays'!B2)),0,IF(WEEKDAY(K$6,1)=1,0,MIN(IF('_JobDays'!B3,8,10),K41)*K40)))-MIN(IF(OR(K40&lt;=0,NOT('_JobDays'!B2)),0,IF(WEEKDAY(K$6,1)=1,0,MIN(IF('_JobDays'!B3,8,10),K41)*K40)),MAX(0,40*MAX(1,K40)-(J42)))),IF(OR(K40&lt;=0,NOT('_JobDays'!B2)),0,IF(WEEKDAY(K$6,1)=1,0,IF(WEEKDAY(K$6,1)=7,K40*K41,IF('_JobDays'!B4,MAX(0,K41-8)*K40,0))))+((IF(OR(K40&lt;=0,NOT('_JobDays'!B2)),0,IF(WEEKDAY(K$6,1)=1,0,IF(WEEKDAY(K$6,1)=7,0,IF('_JobDays'!B4,MIN(8,K41)*K40,K40*K41)))))-MIN(IF(OR(K40&lt;=0,NOT('_JobDays'!B2)),0,IF(WEEKDAY(K$6,1)=1,0,IF(WEEKDAY(K$6,1)=7,0,IF('_JobDays'!B4,MIN(8,K41)*K40,K40*K41)))),MAX(0,40*MAX(1,K40)-(J42))))))</f>
        <v>0</v>
      </c>
      <c r="L43" s="62">
        <f>IF(AND(L40=1,L41=8,E39="Auto",B39="Superintendent PF 01",AND('Job setup'!$B$7="ON",'Job setup'!$C$7&lt;=L$6,'Job setup'!$D$7&gt;=L$6,'Job setup'!$G$7="YES")),0,IF(OS39,IF(OR(L40&lt;=0,NOT('_JobDays'!C2)),0,IF(WEEKDAY(L$6,1)=1,0,MAX(0,L41-(IF('_JobDays'!C3,8,10)))*L40))+((IF(OR(L40&lt;=0,NOT('_JobDays'!C2)),0,IF(WEEKDAY(L$6,1)=1,0,MIN(IF('_JobDays'!C3,8,10),L41)*L40)))-MIN(IF(OR(L40&lt;=0,NOT('_JobDays'!C2)),0,IF(WEEKDAY(L$6,1)=1,0,MIN(IF('_JobDays'!C3,8,10),L41)*L40)),MAX(0,40*MAX(1,L40)-(J42+K42)))),IF(OR(L40&lt;=0,NOT('_JobDays'!C2)),0,IF(WEEKDAY(L$6,1)=1,0,IF(WEEKDAY(L$6,1)=7,L40*L41,IF('_JobDays'!C4,MAX(0,L41-8)*L40,0))))+((IF(OR(L40&lt;=0,NOT('_JobDays'!C2)),0,IF(WEEKDAY(L$6,1)=1,0,IF(WEEKDAY(L$6,1)=7,0,IF('_JobDays'!C4,MIN(8,L41)*L40,L40*L41)))))-MIN(IF(OR(L40&lt;=0,NOT('_JobDays'!C2)),0,IF(WEEKDAY(L$6,1)=1,0,IF(WEEKDAY(L$6,1)=7,0,IF('_JobDays'!C4,MIN(8,L41)*L40,L40*L41)))),MAX(0,40*MAX(1,L40)-(J42+K42))))))</f>
        <v>0</v>
      </c>
      <c r="M43" s="62">
        <f>IF(AND(M40=1,M41=8,E39="Auto",B39="Superintendent PF 01",AND('Job setup'!$B$7="ON",'Job setup'!$C$7&lt;=M$6,'Job setup'!$D$7&gt;=M$6,'Job setup'!$G$7="YES")),0,IF(OS39,IF(OR(M40&lt;=0,NOT('_JobDays'!D2)),0,IF(WEEKDAY(M$6,1)=1,0,MAX(0,M41-(IF('_JobDays'!D3,8,10)))*M40))+((IF(OR(M40&lt;=0,NOT('_JobDays'!D2)),0,IF(WEEKDAY(M$6,1)=1,0,MIN(IF('_JobDays'!D3,8,10),M41)*M40)))-MIN(IF(OR(M40&lt;=0,NOT('_JobDays'!D2)),0,IF(WEEKDAY(M$6,1)=1,0,MIN(IF('_JobDays'!D3,8,10),M41)*M40)),MAX(0,40*MAX(1,M40)-(J42+K42+L42)))),IF(OR(M40&lt;=0,NOT('_JobDays'!D2)),0,IF(WEEKDAY(M$6,1)=1,0,IF(WEEKDAY(M$6,1)=7,M40*M41,IF('_JobDays'!D4,MAX(0,M41-8)*M40,0))))+((IF(OR(M40&lt;=0,NOT('_JobDays'!D2)),0,IF(WEEKDAY(M$6,1)=1,0,IF(WEEKDAY(M$6,1)=7,0,IF('_JobDays'!D4,MIN(8,M41)*M40,M40*M41)))))-MIN(IF(OR(M40&lt;=0,NOT('_JobDays'!D2)),0,IF(WEEKDAY(M$6,1)=1,0,IF(WEEKDAY(M$6,1)=7,0,IF('_JobDays'!D4,MIN(8,M41)*M40,M40*M41)))),MAX(0,40*MAX(1,M40)-(J42+K42+L42))))))</f>
        <v>0</v>
      </c>
      <c r="N43" s="62">
        <f>IF(AND(N40=1,N41=8,E39="Auto",B39="Superintendent PF 01",AND('Job setup'!$B$7="ON",'Job setup'!$C$7&lt;=N$6,'Job setup'!$D$7&gt;=N$6,'Job setup'!$G$7="YES")),0,IF(OS39,IF(OR(N40&lt;=0,NOT('_JobDays'!E2)),0,IF(WEEKDAY(N$6,1)=1,0,MAX(0,N41-(IF('_JobDays'!E3,8,10)))*N40))+((IF(OR(N40&lt;=0,NOT('_JobDays'!E2)),0,IF(WEEKDAY(N$6,1)=1,0,MIN(IF('_JobDays'!E3,8,10),N41)*N40)))-MIN(IF(OR(N40&lt;=0,NOT('_JobDays'!E2)),0,IF(WEEKDAY(N$6,1)=1,0,MIN(IF('_JobDays'!E3,8,10),N41)*N40)),MAX(0,40*MAX(1,N40)-(J42+K42+L42+M42)))),IF(OR(N40&lt;=0,NOT('_JobDays'!E2)),0,IF(WEEKDAY(N$6,1)=1,0,IF(WEEKDAY(N$6,1)=7,N40*N41,IF('_JobDays'!E4,MAX(0,N41-8)*N40,0))))+((IF(OR(N40&lt;=0,NOT('_JobDays'!E2)),0,IF(WEEKDAY(N$6,1)=1,0,IF(WEEKDAY(N$6,1)=7,0,IF('_JobDays'!E4,MIN(8,N41)*N40,N40*N41)))))-MIN(IF(OR(N40&lt;=0,NOT('_JobDays'!E2)),0,IF(WEEKDAY(N$6,1)=1,0,IF(WEEKDAY(N$6,1)=7,0,IF('_JobDays'!E4,MIN(8,N41)*N40,N40*N41)))),MAX(0,40*MAX(1,N40)-(J42+K42+L42+M42))))))</f>
        <v>0</v>
      </c>
      <c r="O43" s="63">
        <f>IF(AND(O40=0,O41=0,E39="Auto",B39="Superintendent PF 01",AND('Job setup'!$B$7="ON",'Job setup'!$C$7&lt;=O$6,'Job setup'!$D$7&gt;=O$6,'Job setup'!$G$7="YES")),0,IF(OS39,IF(OR(O40&lt;=0,NOT('_JobDays'!F2)),0,IF(WEEKDAY(O$6,1)=1,0,MAX(0,O41-(IF('_JobDays'!F3,8,10)))*O40))+((IF(OR(O40&lt;=0,NOT('_JobDays'!F2)),0,IF(WEEKDAY(O$6,1)=1,0,MIN(IF('_JobDays'!F3,8,10),O41)*O40)))-MIN(IF(OR(O40&lt;=0,NOT('_JobDays'!F2)),0,IF(WEEKDAY(O$6,1)=1,0,MIN(IF('_JobDays'!F3,8,10),O41)*O40)),MAX(0,40*MAX(1,O40)-(J42+K42+L42+M42+N42)))),IF(OR(O40&lt;=0,NOT('_JobDays'!F2)),0,IF(WEEKDAY(O$6,1)=1,0,IF(WEEKDAY(O$6,1)=7,O40*O41,IF('_JobDays'!F4,MAX(0,O41-8)*O40,0))))+((IF(OR(O40&lt;=0,NOT('_JobDays'!F2)),0,IF(WEEKDAY(O$6,1)=1,0,IF(WEEKDAY(O$6,1)=7,0,IF('_JobDays'!F4,MIN(8,O41)*O40,O40*O41)))))-MIN(IF(OR(O40&lt;=0,NOT('_JobDays'!F2)),0,IF(WEEKDAY(O$6,1)=1,0,IF(WEEKDAY(O$6,1)=7,0,IF('_JobDays'!F4,MIN(8,O41)*O40,O40*O41)))),MAX(0,40*MAX(1,O40)-(J42+K42+L42+M42+N42))))))</f>
        <v>0</v>
      </c>
      <c r="P43" s="63">
        <f>IF(AND(P40=0,P41=0,E39="Auto",B39="Superintendent PF 01",AND('Job setup'!$B$7="ON",'Job setup'!$C$7&lt;=P$6,'Job setup'!$D$7&gt;=P$6,'Job setup'!$G$7="YES")),0,IF(OS39,IF(OR(P40&lt;=0,NOT('_JobDays'!G2)),0,IF(WEEKDAY(P$6,1)=1,0,MAX(0,P41-(IF('_JobDays'!G3,8,10)))*P40))+((IF(OR(P40&lt;=0,NOT('_JobDays'!G2)),0,IF(WEEKDAY(P$6,1)=1,0,MIN(IF('_JobDays'!G3,8,10),P41)*P40)))-MIN(IF(OR(P40&lt;=0,NOT('_JobDays'!G2)),0,IF(WEEKDAY(P$6,1)=1,0,MIN(IF('_JobDays'!G3,8,10),P41)*P40)),MAX(0,40*MAX(1,P40)-(J42+K42+L42+M42+N42+O42)))),IF(OR(P40&lt;=0,NOT('_JobDays'!G2)),0,IF(WEEKDAY(P$6,1)=1,0,IF(WEEKDAY(P$6,1)=7,P40*P41,IF('_JobDays'!G4,MAX(0,P41-8)*P40,0))))+((IF(OR(P40&lt;=0,NOT('_JobDays'!G2)),0,IF(WEEKDAY(P$6,1)=1,0,IF(WEEKDAY(P$6,1)=7,0,IF('_JobDays'!G4,MIN(8,P41)*P40,P40*P41)))))-MIN(IF(OR(P40&lt;=0,NOT('_JobDays'!G2)),0,IF(WEEKDAY(P$6,1)=1,0,IF(WEEKDAY(P$6,1)=7,0,IF('_JobDays'!G4,MIN(8,P41)*P40,P40*P41)))),MAX(0,40*MAX(1,P40)-(J42+K42+L42+M42+N42+O42))))))</f>
        <v>0</v>
      </c>
      <c r="Q43" s="62">
        <f>IF(AND(Q40=1,Q41=8,E39="Auto",B39="Superintendent PF 01",AND('Job setup'!$B$7="ON",'Job setup'!$C$7&lt;=Q$6,'Job setup'!$D$7&gt;=Q$6,'Job setup'!$G$7="YES")),0,IF(OS39,IF(OR(Q40&lt;=0,NOT('_JobDays'!H2)),0,IF(WEEKDAY(Q$6,1)=1,0,MAX(0,Q41-(IF('_JobDays'!H3,8,10)))*Q40))+((IF(OR(Q40&lt;=0,NOT('_JobDays'!H2)),0,IF(WEEKDAY(Q$6,1)=1,0,MIN(IF('_JobDays'!H3,8,10),Q41)*Q40)))-MIN(IF(OR(Q40&lt;=0,NOT('_JobDays'!H2)),0,IF(WEEKDAY(Q$6,1)=1,0,MIN(IF('_JobDays'!H3,8,10),Q41)*Q40)),MAX(0,40*MAX(1,Q40)-(0)))),IF(OR(Q40&lt;=0,NOT('_JobDays'!H2)),0,IF(WEEKDAY(Q$6,1)=1,0,IF(WEEKDAY(Q$6,1)=7,Q40*Q41,IF('_JobDays'!H4,MAX(0,Q41-8)*Q40,0))))+((IF(OR(Q40&lt;=0,NOT('_JobDays'!H2)),0,IF(WEEKDAY(Q$6,1)=1,0,IF(WEEKDAY(Q$6,1)=7,0,IF('_JobDays'!H4,MIN(8,Q41)*Q40,Q40*Q41)))))-MIN(IF(OR(Q40&lt;=0,NOT('_JobDays'!H2)),0,IF(WEEKDAY(Q$6,1)=1,0,IF(WEEKDAY(Q$6,1)=7,0,IF('_JobDays'!H4,MIN(8,Q41)*Q40,Q40*Q41)))),MAX(0,40*MAX(1,Q40)-(0))))))</f>
        <v>0</v>
      </c>
      <c r="R43" s="62">
        <f>IF(AND(R40=1,R41=8,E39="Auto",B39="Superintendent PF 01",AND('Job setup'!$B$7="ON",'Job setup'!$C$7&lt;=R$6,'Job setup'!$D$7&gt;=R$6,'Job setup'!$G$7="YES")),0,IF(OS39,IF(OR(R40&lt;=0,NOT('_JobDays'!I2)),0,IF(WEEKDAY(R$6,1)=1,0,MAX(0,R41-(IF('_JobDays'!I3,8,10)))*R40))+((IF(OR(R40&lt;=0,NOT('_JobDays'!I2)),0,IF(WEEKDAY(R$6,1)=1,0,MIN(IF('_JobDays'!I3,8,10),R41)*R40)))-MIN(IF(OR(R40&lt;=0,NOT('_JobDays'!I2)),0,IF(WEEKDAY(R$6,1)=1,0,MIN(IF('_JobDays'!I3,8,10),R41)*R40)),MAX(0,40*MAX(1,R40)-(Q42)))),IF(OR(R40&lt;=0,NOT('_JobDays'!I2)),0,IF(WEEKDAY(R$6,1)=1,0,IF(WEEKDAY(R$6,1)=7,R40*R41,IF('_JobDays'!I4,MAX(0,R41-8)*R40,0))))+((IF(OR(R40&lt;=0,NOT('_JobDays'!I2)),0,IF(WEEKDAY(R$6,1)=1,0,IF(WEEKDAY(R$6,1)=7,0,IF('_JobDays'!I4,MIN(8,R41)*R40,R40*R41)))))-MIN(IF(OR(R40&lt;=0,NOT('_JobDays'!I2)),0,IF(WEEKDAY(R$6,1)=1,0,IF(WEEKDAY(R$6,1)=7,0,IF('_JobDays'!I4,MIN(8,R41)*R40,R40*R41)))),MAX(0,40*MAX(1,R40)-(Q42))))))</f>
        <v>0</v>
      </c>
      <c r="S43" s="62">
        <f>IF(AND(S40=1,S41=8,E39="Auto",B39="Superintendent PF 01",AND('Job setup'!$B$7="ON",'Job setup'!$C$7&lt;=S$6,'Job setup'!$D$7&gt;=S$6,'Job setup'!$G$7="YES")),0,IF(OS39,IF(OR(S40&lt;=0,NOT('_JobDays'!J2)),0,IF(WEEKDAY(S$6,1)=1,0,MAX(0,S41-(IF('_JobDays'!J3,8,10)))*S40))+((IF(OR(S40&lt;=0,NOT('_JobDays'!J2)),0,IF(WEEKDAY(S$6,1)=1,0,MIN(IF('_JobDays'!J3,8,10),S41)*S40)))-MIN(IF(OR(S40&lt;=0,NOT('_JobDays'!J2)),0,IF(WEEKDAY(S$6,1)=1,0,MIN(IF('_JobDays'!J3,8,10),S41)*S40)),MAX(0,40*MAX(1,S40)-(Q42+R42)))),IF(OR(S40&lt;=0,NOT('_JobDays'!J2)),0,IF(WEEKDAY(S$6,1)=1,0,IF(WEEKDAY(S$6,1)=7,S40*S41,IF('_JobDays'!J4,MAX(0,S41-8)*S40,0))))+((IF(OR(S40&lt;=0,NOT('_JobDays'!J2)),0,IF(WEEKDAY(S$6,1)=1,0,IF(WEEKDAY(S$6,1)=7,0,IF('_JobDays'!J4,MIN(8,S41)*S40,S40*S41)))))-MIN(IF(OR(S40&lt;=0,NOT('_JobDays'!J2)),0,IF(WEEKDAY(S$6,1)=1,0,IF(WEEKDAY(S$6,1)=7,0,IF('_JobDays'!J4,MIN(8,S41)*S40,S40*S41)))),MAX(0,40*MAX(1,S40)-(Q42+R42))))))</f>
        <v>0</v>
      </c>
      <c r="T43" s="62">
        <f>IF(AND(T40=1,T41=12,E39="Auto",B39="Superintendent PF 01",AND('Job setup'!$B$9="ON",'Job setup'!$C$9&lt;=T$6,'Job setup'!$D$9&gt;=T$6,'Job setup'!$G$9="NO")),2,IF(OS39,IF(OR(T40&lt;=0,NOT('_JobDays'!K2)),0,IF(WEEKDAY(T$6,1)=1,0,MAX(0,T41-(IF('_JobDays'!K3,8,10)))*T40))+((IF(OR(T40&lt;=0,NOT('_JobDays'!K2)),0,IF(WEEKDAY(T$6,1)=1,0,MIN(IF('_JobDays'!K3,8,10),T41)*T40)))-MIN(IF(OR(T40&lt;=0,NOT('_JobDays'!K2)),0,IF(WEEKDAY(T$6,1)=1,0,MIN(IF('_JobDays'!K3,8,10),T41)*T40)),MAX(0,40*MAX(1,T40)-(Q42+R42+S42)))),IF(OR(T40&lt;=0,NOT('_JobDays'!K2)),0,IF(WEEKDAY(T$6,1)=1,0,IF(WEEKDAY(T$6,1)=7,T40*T41,IF('_JobDays'!K4,MAX(0,T41-8)*T40,0))))+((IF(OR(T40&lt;=0,NOT('_JobDays'!K2)),0,IF(WEEKDAY(T$6,1)=1,0,IF(WEEKDAY(T$6,1)=7,0,IF('_JobDays'!K4,MIN(8,T41)*T40,T40*T41)))))-MIN(IF(OR(T40&lt;=0,NOT('_JobDays'!K2)),0,IF(WEEKDAY(T$6,1)=1,0,IF(WEEKDAY(T$6,1)=7,0,IF('_JobDays'!K4,MIN(8,T41)*T40,T40*T41)))),MAX(0,40*MAX(1,T40)-(Q42+R42+S42))))))</f>
        <v>2</v>
      </c>
      <c r="U43" s="62">
        <f>IF(AND(U40=1,U41=12,E39="Auto",B39="Superintendent PF 01",AND('Job setup'!$B$9="ON",'Job setup'!$C$9&lt;=U$6,'Job setup'!$D$9&gt;=U$6,'Job setup'!$G$9="NO")),2,IF(OS39,IF(OR(U40&lt;=0,NOT('_JobDays'!L2)),0,IF(WEEKDAY(U$6,1)=1,0,MAX(0,U41-(IF('_JobDays'!L3,8,10)))*U40))+((IF(OR(U40&lt;=0,NOT('_JobDays'!L2)),0,IF(WEEKDAY(U$6,1)=1,0,MIN(IF('_JobDays'!L3,8,10),U41)*U40)))-MIN(IF(OR(U40&lt;=0,NOT('_JobDays'!L2)),0,IF(WEEKDAY(U$6,1)=1,0,MIN(IF('_JobDays'!L3,8,10),U41)*U40)),MAX(0,40*MAX(1,U40)-(Q42+R42+S42+T42)))),IF(OR(U40&lt;=0,NOT('_JobDays'!L2)),0,IF(WEEKDAY(U$6,1)=1,0,IF(WEEKDAY(U$6,1)=7,U40*U41,IF('_JobDays'!L4,MAX(0,U41-8)*U40,0))))+((IF(OR(U40&lt;=0,NOT('_JobDays'!L2)),0,IF(WEEKDAY(U$6,1)=1,0,IF(WEEKDAY(U$6,1)=7,0,IF('_JobDays'!L4,MIN(8,U41)*U40,U40*U41)))))-MIN(IF(OR(U40&lt;=0,NOT('_JobDays'!L2)),0,IF(WEEKDAY(U$6,1)=1,0,IF(WEEKDAY(U$6,1)=7,0,IF('_JobDays'!L4,MIN(8,U41)*U40,U40*U41)))),MAX(0,40*MAX(1,U40)-(Q42+R42+S42+T42))))))</f>
        <v>2</v>
      </c>
      <c r="V43" s="63">
        <f>IF(AND(V40=1,V41=12,E39="Auto",B39="Superintendent PF 01",AND('Job setup'!$B$9="ON",'Job setup'!$C$9&lt;=V$6,'Job setup'!$D$9&gt;=V$6,'Job setup'!$G$9="NO")),2,IF(OS39,IF(OR(V40&lt;=0,NOT('_JobDays'!M2)),0,IF(WEEKDAY(V$6,1)=1,0,MAX(0,V41-(IF('_JobDays'!M3,8,10)))*V40))+((IF(OR(V40&lt;=0,NOT('_JobDays'!M2)),0,IF(WEEKDAY(V$6,1)=1,0,MIN(IF('_JobDays'!M3,8,10),V41)*V40)))-MIN(IF(OR(V40&lt;=0,NOT('_JobDays'!M2)),0,IF(WEEKDAY(V$6,1)=1,0,MIN(IF('_JobDays'!M3,8,10),V41)*V40)),MAX(0,40*MAX(1,V40)-(Q42+R42+S42+T42+U42)))),IF(OR(V40&lt;=0,NOT('_JobDays'!M2)),0,IF(WEEKDAY(V$6,1)=1,0,IF(WEEKDAY(V$6,1)=7,V40*V41,IF('_JobDays'!M4,MAX(0,V41-8)*V40,0))))+((IF(OR(V40&lt;=0,NOT('_JobDays'!M2)),0,IF(WEEKDAY(V$6,1)=1,0,IF(WEEKDAY(V$6,1)=7,0,IF('_JobDays'!M4,MIN(8,V41)*V40,V40*V41)))))-MIN(IF(OR(V40&lt;=0,NOT('_JobDays'!M2)),0,IF(WEEKDAY(V$6,1)=1,0,IF(WEEKDAY(V$6,1)=7,0,IF('_JobDays'!M4,MIN(8,V41)*V40,V40*V41)))),MAX(0,40*MAX(1,V40)-(Q42+R42+S42+T42+U42))))))</f>
        <v>2</v>
      </c>
      <c r="W43" s="63">
        <f>IF(AND(W40=1,W41=12,E39="Auto",B39="Superintendent PF 01",AND('Job setup'!$B$9="ON",'Job setup'!$C$9&lt;=W$6,'Job setup'!$D$9&gt;=W$6,'Job setup'!$G$9="NO")),0,IF(OS39,IF(OR(W40&lt;=0,NOT('_JobDays'!N2)),0,IF(WEEKDAY(W$6,1)=1,0,MAX(0,W41-(IF('_JobDays'!N3,8,10)))*W40))+((IF(OR(W40&lt;=0,NOT('_JobDays'!N2)),0,IF(WEEKDAY(W$6,1)=1,0,MIN(IF('_JobDays'!N3,8,10),W41)*W40)))-MIN(IF(OR(W40&lt;=0,NOT('_JobDays'!N2)),0,IF(WEEKDAY(W$6,1)=1,0,MIN(IF('_JobDays'!N3,8,10),W41)*W40)),MAX(0,40*MAX(1,W40)-(Q42+R42+S42+T42+U42+V42)))),IF(OR(W40&lt;=0,NOT('_JobDays'!N2)),0,IF(WEEKDAY(W$6,1)=1,0,IF(WEEKDAY(W$6,1)=7,W40*W41,IF('_JobDays'!N4,MAX(0,W41-8)*W40,0))))+((IF(OR(W40&lt;=0,NOT('_JobDays'!N2)),0,IF(WEEKDAY(W$6,1)=1,0,IF(WEEKDAY(W$6,1)=7,0,IF('_JobDays'!N4,MIN(8,W41)*W40,W40*W41)))))-MIN(IF(OR(W40&lt;=0,NOT('_JobDays'!N2)),0,IF(WEEKDAY(W$6,1)=1,0,IF(WEEKDAY(W$6,1)=7,0,IF('_JobDays'!N4,MIN(8,W41)*W40,W40*W41)))),MAX(0,40*MAX(1,W40)-(Q42+R42+S42+T42+U42+V42))))))</f>
        <v>0</v>
      </c>
      <c r="X43" s="62">
        <f>IF(AND(X40=1,X41=12,E39="Auto",B39="Superintendent PF 01",AND('Job setup'!$B$9="ON",'Job setup'!$C$9&lt;=X$6,'Job setup'!$D$9&gt;=X$6,'Job setup'!$G$9="NO")),2,IF(OS39,IF(OR(X40&lt;=0,NOT('_JobDays'!O2)),0,IF(WEEKDAY(X$6,1)=1,0,MAX(0,X41-(IF('_JobDays'!O3,8,10)))*X40))+((IF(OR(X40&lt;=0,NOT('_JobDays'!O2)),0,IF(WEEKDAY(X$6,1)=1,0,MIN(IF('_JobDays'!O3,8,10),X41)*X40)))-MIN(IF(OR(X40&lt;=0,NOT('_JobDays'!O2)),0,IF(WEEKDAY(X$6,1)=1,0,MIN(IF('_JobDays'!O3,8,10),X41)*X40)),MAX(0,40*MAX(1,X40)-(0)))),IF(OR(X40&lt;=0,NOT('_JobDays'!O2)),0,IF(WEEKDAY(X$6,1)=1,0,IF(WEEKDAY(X$6,1)=7,X40*X41,IF('_JobDays'!O4,MAX(0,X41-8)*X40,0))))+((IF(OR(X40&lt;=0,NOT('_JobDays'!O2)),0,IF(WEEKDAY(X$6,1)=1,0,IF(WEEKDAY(X$6,1)=7,0,IF('_JobDays'!O4,MIN(8,X41)*X40,X40*X41)))))-MIN(IF(OR(X40&lt;=0,NOT('_JobDays'!O2)),0,IF(WEEKDAY(X$6,1)=1,0,IF(WEEKDAY(X$6,1)=7,0,IF('_JobDays'!O4,MIN(8,X41)*X40,X40*X41)))),MAX(0,40*MAX(1,X40)-(0))))))</f>
        <v>2</v>
      </c>
      <c r="Y43" s="62">
        <f>IF(AND(Y40=1,Y41=12,E39="Auto",B39="Superintendent PF 01",AND('Job setup'!$B$9="ON",'Job setup'!$C$9&lt;=Y$6,'Job setup'!$D$9&gt;=Y$6,'Job setup'!$G$9="NO")),2,IF(OS39,IF(OR(Y40&lt;=0,NOT('_JobDays'!P2)),0,IF(WEEKDAY(Y$6,1)=1,0,MAX(0,Y41-(IF('_JobDays'!P3,8,10)))*Y40))+((IF(OR(Y40&lt;=0,NOT('_JobDays'!P2)),0,IF(WEEKDAY(Y$6,1)=1,0,MIN(IF('_JobDays'!P3,8,10),Y41)*Y40)))-MIN(IF(OR(Y40&lt;=0,NOT('_JobDays'!P2)),0,IF(WEEKDAY(Y$6,1)=1,0,MIN(IF('_JobDays'!P3,8,10),Y41)*Y40)),MAX(0,40*MAX(1,Y40)-(X42)))),IF(OR(Y40&lt;=0,NOT('_JobDays'!P2)),0,IF(WEEKDAY(Y$6,1)=1,0,IF(WEEKDAY(Y$6,1)=7,Y40*Y41,IF('_JobDays'!P4,MAX(0,Y41-8)*Y40,0))))+((IF(OR(Y40&lt;=0,NOT('_JobDays'!P2)),0,IF(WEEKDAY(Y$6,1)=1,0,IF(WEEKDAY(Y$6,1)=7,0,IF('_JobDays'!P4,MIN(8,Y41)*Y40,Y40*Y41)))))-MIN(IF(OR(Y40&lt;=0,NOT('_JobDays'!P2)),0,IF(WEEKDAY(Y$6,1)=1,0,IF(WEEKDAY(Y$6,1)=7,0,IF('_JobDays'!P4,MIN(8,Y41)*Y40,Y40*Y41)))),MAX(0,40*MAX(1,Y40)-(X42))))))</f>
        <v>2</v>
      </c>
      <c r="Z43" s="62">
        <f>IF(AND(Z40=1,Z41=12,E39="Auto",B39="Superintendent PF 01",AND('Job setup'!$B$9="ON",'Job setup'!$C$9&lt;=Z$6,'Job setup'!$D$9&gt;=Z$6,'Job setup'!$G$9="NO")),2,IF(OS39,IF(OR(Z40&lt;=0,NOT('_JobDays'!Q2)),0,IF(WEEKDAY(Z$6,1)=1,0,MAX(0,Z41-(IF('_JobDays'!Q3,8,10)))*Z40))+((IF(OR(Z40&lt;=0,NOT('_JobDays'!Q2)),0,IF(WEEKDAY(Z$6,1)=1,0,MIN(IF('_JobDays'!Q3,8,10),Z41)*Z40)))-MIN(IF(OR(Z40&lt;=0,NOT('_JobDays'!Q2)),0,IF(WEEKDAY(Z$6,1)=1,0,MIN(IF('_JobDays'!Q3,8,10),Z41)*Z40)),MAX(0,40*MAX(1,Z40)-(X42+Y42)))),IF(OR(Z40&lt;=0,NOT('_JobDays'!Q2)),0,IF(WEEKDAY(Z$6,1)=1,0,IF(WEEKDAY(Z$6,1)=7,Z40*Z41,IF('_JobDays'!Q4,MAX(0,Z41-8)*Z40,0))))+((IF(OR(Z40&lt;=0,NOT('_JobDays'!Q2)),0,IF(WEEKDAY(Z$6,1)=1,0,IF(WEEKDAY(Z$6,1)=7,0,IF('_JobDays'!Q4,MIN(8,Z41)*Z40,Z40*Z41)))))-MIN(IF(OR(Z40&lt;=0,NOT('_JobDays'!Q2)),0,IF(WEEKDAY(Z$6,1)=1,0,IF(WEEKDAY(Z$6,1)=7,0,IF('_JobDays'!Q4,MIN(8,Z41)*Z40,Z40*Z41)))),MAX(0,40*MAX(1,Z40)-(X42+Y42))))))</f>
        <v>2</v>
      </c>
      <c r="AA43" s="62">
        <f>IF(AND(AA40=1,AA41=12,E39="Auto",B39="Superintendent PF 01",AND('Job setup'!$B$9="ON",'Job setup'!$C$9&lt;=AA$6,'Job setup'!$D$9&gt;=AA$6,'Job setup'!$G$9="NO")),2,IF(OS39,IF(OR(AA40&lt;=0,NOT('_JobDays'!R2)),0,IF(WEEKDAY(AA$6,1)=1,0,MAX(0,AA41-(IF('_JobDays'!R3,8,10)))*AA40))+((IF(OR(AA40&lt;=0,NOT('_JobDays'!R2)),0,IF(WEEKDAY(AA$6,1)=1,0,MIN(IF('_JobDays'!R3,8,10),AA41)*AA40)))-MIN(IF(OR(AA40&lt;=0,NOT('_JobDays'!R2)),0,IF(WEEKDAY(AA$6,1)=1,0,MIN(IF('_JobDays'!R3,8,10),AA41)*AA40)),MAX(0,40*MAX(1,AA40)-(X42+Y42+Z42)))),IF(OR(AA40&lt;=0,NOT('_JobDays'!R2)),0,IF(WEEKDAY(AA$6,1)=1,0,IF(WEEKDAY(AA$6,1)=7,AA40*AA41,IF('_JobDays'!R4,MAX(0,AA41-8)*AA40,0))))+((IF(OR(AA40&lt;=0,NOT('_JobDays'!R2)),0,IF(WEEKDAY(AA$6,1)=1,0,IF(WEEKDAY(AA$6,1)=7,0,IF('_JobDays'!R4,MIN(8,AA41)*AA40,AA40*AA41)))))-MIN(IF(OR(AA40&lt;=0,NOT('_JobDays'!R2)),0,IF(WEEKDAY(AA$6,1)=1,0,IF(WEEKDAY(AA$6,1)=7,0,IF('_JobDays'!R4,MIN(8,AA41)*AA40,AA40*AA41)))),MAX(0,40*MAX(1,AA40)-(X42+Y42+Z42))))))</f>
        <v>2</v>
      </c>
      <c r="AB43" s="62">
        <f>IF(AND(AB40=1,AB41=12,E39="Auto",B39="Superintendent PF 01",AND('Job setup'!$B$9="ON",'Job setup'!$C$9&lt;=AB$6,'Job setup'!$D$9&gt;=AB$6,'Job setup'!$G$9="NO")),12,IF(OS39,IF(OR(AB40&lt;=0,NOT('_JobDays'!S2)),0,IF(WEEKDAY(AB$6,1)=1,0,MAX(0,AB41-(IF('_JobDays'!S3,8,10)))*AB40))+((IF(OR(AB40&lt;=0,NOT('_JobDays'!S2)),0,IF(WEEKDAY(AB$6,1)=1,0,MIN(IF('_JobDays'!S3,8,10),AB41)*AB40)))-MIN(IF(OR(AB40&lt;=0,NOT('_JobDays'!S2)),0,IF(WEEKDAY(AB$6,1)=1,0,MIN(IF('_JobDays'!S3,8,10),AB41)*AB40)),MAX(0,40*MAX(1,AB40)-(X42+Y42+Z42+AA42)))),IF(OR(AB40&lt;=0,NOT('_JobDays'!S2)),0,IF(WEEKDAY(AB$6,1)=1,0,IF(WEEKDAY(AB$6,1)=7,AB40*AB41,IF('_JobDays'!S4,MAX(0,AB41-8)*AB40,0))))+((IF(OR(AB40&lt;=0,NOT('_JobDays'!S2)),0,IF(WEEKDAY(AB$6,1)=1,0,IF(WEEKDAY(AB$6,1)=7,0,IF('_JobDays'!S4,MIN(8,AB41)*AB40,AB40*AB41)))))-MIN(IF(OR(AB40&lt;=0,NOT('_JobDays'!S2)),0,IF(WEEKDAY(AB$6,1)=1,0,IF(WEEKDAY(AB$6,1)=7,0,IF('_JobDays'!S4,MIN(8,AB41)*AB40,AB40*AB41)))),MAX(0,40*MAX(1,AB40)-(X42+Y42+Z42+AA42))))))</f>
        <v>12</v>
      </c>
      <c r="AC43" s="63">
        <f>IF(AND(AC40=1,AC41=12,E39="Auto",B39="Superintendent PF 01",AND('Job setup'!$B$9="ON",'Job setup'!$C$9&lt;=AC$6,'Job setup'!$D$9&gt;=AC$6,'Job setup'!$G$9="NO")),12,IF(OS39,IF(OR(AC40&lt;=0,NOT('_JobDays'!T2)),0,IF(WEEKDAY(AC$6,1)=1,0,MAX(0,AC41-(IF('_JobDays'!T3,8,10)))*AC40))+((IF(OR(AC40&lt;=0,NOT('_JobDays'!T2)),0,IF(WEEKDAY(AC$6,1)=1,0,MIN(IF('_JobDays'!T3,8,10),AC41)*AC40)))-MIN(IF(OR(AC40&lt;=0,NOT('_JobDays'!T2)),0,IF(WEEKDAY(AC$6,1)=1,0,MIN(IF('_JobDays'!T3,8,10),AC41)*AC40)),MAX(0,40*MAX(1,AC40)-(X42+Y42+Z42+AA42+AB42)))),IF(OR(AC40&lt;=0,NOT('_JobDays'!T2)),0,IF(WEEKDAY(AC$6,1)=1,0,IF(WEEKDAY(AC$6,1)=7,AC40*AC41,IF('_JobDays'!T4,MAX(0,AC41-8)*AC40,0))))+((IF(OR(AC40&lt;=0,NOT('_JobDays'!T2)),0,IF(WEEKDAY(AC$6,1)=1,0,IF(WEEKDAY(AC$6,1)=7,0,IF('_JobDays'!T4,MIN(8,AC41)*AC40,AC40*AC41)))))-MIN(IF(OR(AC40&lt;=0,NOT('_JobDays'!T2)),0,IF(WEEKDAY(AC$6,1)=1,0,IF(WEEKDAY(AC$6,1)=7,0,IF('_JobDays'!T4,MIN(8,AC41)*AC40,AC40*AC41)))),MAX(0,40*MAX(1,AC40)-(X42+Y42+Z42+AA42+AB42))))))</f>
        <v>12</v>
      </c>
      <c r="AD43" s="63">
        <f>IF(AND(AD40=1,AD41=12,E39="Auto",B39="Superintendent PF 01",AND('Job setup'!$B$9="ON",'Job setup'!$C$9&lt;=AD$6,'Job setup'!$D$9&gt;=AD$6,'Job setup'!$G$9="NO")),0,IF(OS39,IF(OR(AD40&lt;=0,NOT('_JobDays'!U2)),0,IF(WEEKDAY(AD$6,1)=1,0,MAX(0,AD41-(IF('_JobDays'!U3,8,10)))*AD40))+((IF(OR(AD40&lt;=0,NOT('_JobDays'!U2)),0,IF(WEEKDAY(AD$6,1)=1,0,MIN(IF('_JobDays'!U3,8,10),AD41)*AD40)))-MIN(IF(OR(AD40&lt;=0,NOT('_JobDays'!U2)),0,IF(WEEKDAY(AD$6,1)=1,0,MIN(IF('_JobDays'!U3,8,10),AD41)*AD40)),MAX(0,40*MAX(1,AD40)-(X42+Y42+Z42+AA42+AB42+AC42)))),IF(OR(AD40&lt;=0,NOT('_JobDays'!U2)),0,IF(WEEKDAY(AD$6,1)=1,0,IF(WEEKDAY(AD$6,1)=7,AD40*AD41,IF('_JobDays'!U4,MAX(0,AD41-8)*AD40,0))))+((IF(OR(AD40&lt;=0,NOT('_JobDays'!U2)),0,IF(WEEKDAY(AD$6,1)=1,0,IF(WEEKDAY(AD$6,1)=7,0,IF('_JobDays'!U4,MIN(8,AD41)*AD40,AD40*AD41)))))-MIN(IF(OR(AD40&lt;=0,NOT('_JobDays'!U2)),0,IF(WEEKDAY(AD$6,1)=1,0,IF(WEEKDAY(AD$6,1)=7,0,IF('_JobDays'!U4,MIN(8,AD41)*AD40,AD40*AD41)))),MAX(0,40*MAX(1,AD40)-(X42+Y42+Z42+AA42+AB42+AC42))))))</f>
        <v>0</v>
      </c>
      <c r="AE43" s="62">
        <f>IF(AND(AE40=1,AE41=12,E39="Auto",B39="Superintendent PF 01",AND('Job setup'!$B$9="ON",'Job setup'!$C$9&lt;=AE$6,'Job setup'!$D$9&gt;=AE$6,'Job setup'!$G$9="NO")),2,IF(OS39,IF(OR(AE40&lt;=0,NOT('_JobDays'!V2)),0,IF(WEEKDAY(AE$6,1)=1,0,MAX(0,AE41-(IF('_JobDays'!V3,8,10)))*AE40))+((IF(OR(AE40&lt;=0,NOT('_JobDays'!V2)),0,IF(WEEKDAY(AE$6,1)=1,0,MIN(IF('_JobDays'!V3,8,10),AE41)*AE40)))-MIN(IF(OR(AE40&lt;=0,NOT('_JobDays'!V2)),0,IF(WEEKDAY(AE$6,1)=1,0,MIN(IF('_JobDays'!V3,8,10),AE41)*AE40)),MAX(0,40*MAX(1,AE40)-(0)))),IF(OR(AE40&lt;=0,NOT('_JobDays'!V2)),0,IF(WEEKDAY(AE$6,1)=1,0,IF(WEEKDAY(AE$6,1)=7,AE40*AE41,IF('_JobDays'!V4,MAX(0,AE41-8)*AE40,0))))+((IF(OR(AE40&lt;=0,NOT('_JobDays'!V2)),0,IF(WEEKDAY(AE$6,1)=1,0,IF(WEEKDAY(AE$6,1)=7,0,IF('_JobDays'!V4,MIN(8,AE41)*AE40,AE40*AE41)))))-MIN(IF(OR(AE40&lt;=0,NOT('_JobDays'!V2)),0,IF(WEEKDAY(AE$6,1)=1,0,IF(WEEKDAY(AE$6,1)=7,0,IF('_JobDays'!V4,MIN(8,AE41)*AE40,AE40*AE41)))),MAX(0,40*MAX(1,AE40)-(0))))))</f>
        <v>2</v>
      </c>
      <c r="AF43" s="62">
        <f>IF(AND(AF40=1,AF41=12,E39="Auto",B39="Superintendent PF 01",AND('Job setup'!$B$9="ON",'Job setup'!$C$9&lt;=AF$6,'Job setup'!$D$9&gt;=AF$6,'Job setup'!$G$9="NO")),2,IF(OS39,IF(OR(AF40&lt;=0,NOT('_JobDays'!W2)),0,IF(WEEKDAY(AF$6,1)=1,0,MAX(0,AF41-(IF('_JobDays'!W3,8,10)))*AF40))+((IF(OR(AF40&lt;=0,NOT('_JobDays'!W2)),0,IF(WEEKDAY(AF$6,1)=1,0,MIN(IF('_JobDays'!W3,8,10),AF41)*AF40)))-MIN(IF(OR(AF40&lt;=0,NOT('_JobDays'!W2)),0,IF(WEEKDAY(AF$6,1)=1,0,MIN(IF('_JobDays'!W3,8,10),AF41)*AF40)),MAX(0,40*MAX(1,AF40)-(AE42)))),IF(OR(AF40&lt;=0,NOT('_JobDays'!W2)),0,IF(WEEKDAY(AF$6,1)=1,0,IF(WEEKDAY(AF$6,1)=7,AF40*AF41,IF('_JobDays'!W4,MAX(0,AF41-8)*AF40,0))))+((IF(OR(AF40&lt;=0,NOT('_JobDays'!W2)),0,IF(WEEKDAY(AF$6,1)=1,0,IF(WEEKDAY(AF$6,1)=7,0,IF('_JobDays'!W4,MIN(8,AF41)*AF40,AF40*AF41)))))-MIN(IF(OR(AF40&lt;=0,NOT('_JobDays'!W2)),0,IF(WEEKDAY(AF$6,1)=1,0,IF(WEEKDAY(AF$6,1)=7,0,IF('_JobDays'!W4,MIN(8,AF41)*AF40,AF40*AF41)))),MAX(0,40*MAX(1,AF40)-(AE42))))))</f>
        <v>2</v>
      </c>
      <c r="AG43" s="62">
        <f>IF(AND(AG40=1,AG41=12,E39="Auto",B39="Superintendent PF 01",AND('Job setup'!$B$9="ON",'Job setup'!$C$9&lt;=AG$6,'Job setup'!$D$9&gt;=AG$6,'Job setup'!$G$9="NO")),2,IF(OS39,IF(OR(AG40&lt;=0,NOT('_JobDays'!X2)),0,IF(WEEKDAY(AG$6,1)=1,0,MAX(0,AG41-(IF('_JobDays'!X3,8,10)))*AG40))+((IF(OR(AG40&lt;=0,NOT('_JobDays'!X2)),0,IF(WEEKDAY(AG$6,1)=1,0,MIN(IF('_JobDays'!X3,8,10),AG41)*AG40)))-MIN(IF(OR(AG40&lt;=0,NOT('_JobDays'!X2)),0,IF(WEEKDAY(AG$6,1)=1,0,MIN(IF('_JobDays'!X3,8,10),AG41)*AG40)),MAX(0,40*MAX(1,AG40)-(AE42+AF42)))),IF(OR(AG40&lt;=0,NOT('_JobDays'!X2)),0,IF(WEEKDAY(AG$6,1)=1,0,IF(WEEKDAY(AG$6,1)=7,AG40*AG41,IF('_JobDays'!X4,MAX(0,AG41-8)*AG40,0))))+((IF(OR(AG40&lt;=0,NOT('_JobDays'!X2)),0,IF(WEEKDAY(AG$6,1)=1,0,IF(WEEKDAY(AG$6,1)=7,0,IF('_JobDays'!X4,MIN(8,AG41)*AG40,AG40*AG41)))))-MIN(IF(OR(AG40&lt;=0,NOT('_JobDays'!X2)),0,IF(WEEKDAY(AG$6,1)=1,0,IF(WEEKDAY(AG$6,1)=7,0,IF('_JobDays'!X4,MIN(8,AG41)*AG40,AG40*AG41)))),MAX(0,40*MAX(1,AG40)-(AE42+AF42))))))</f>
        <v>2</v>
      </c>
      <c r="AH43" s="62">
        <f>IF(AND(AH40=0,AH41=0,E39="Auto",B39="Superintendent PF 01",AND('Job setup'!$B$11="ON",'Job setup'!$C$11&lt;=AH$6,'Job setup'!$D$11&gt;=AH$6,'Job setup'!$G$11="YES")),0,IF(OS39,IF(OR(AH40&lt;=0,NOT('_JobDays'!Y2)),0,IF(WEEKDAY(AH$6,1)=1,0,MAX(0,AH41-(IF('_JobDays'!Y3,8,10)))*AH40))+((IF(OR(AH40&lt;=0,NOT('_JobDays'!Y2)),0,IF(WEEKDAY(AH$6,1)=1,0,MIN(IF('_JobDays'!Y3,8,10),AH41)*AH40)))-MIN(IF(OR(AH40&lt;=0,NOT('_JobDays'!Y2)),0,IF(WEEKDAY(AH$6,1)=1,0,MIN(IF('_JobDays'!Y3,8,10),AH41)*AH40)),MAX(0,40*MAX(1,AH40)-(AE42+AF42+AG42)))),IF(OR(AH40&lt;=0,NOT('_JobDays'!Y2)),0,IF(WEEKDAY(AH$6,1)=1,0,IF(WEEKDAY(AH$6,1)=7,AH40*AH41,IF('_JobDays'!Y4,MAX(0,AH41-8)*AH40,0))))+((IF(OR(AH40&lt;=0,NOT('_JobDays'!Y2)),0,IF(WEEKDAY(AH$6,1)=1,0,IF(WEEKDAY(AH$6,1)=7,0,IF('_JobDays'!Y4,MIN(8,AH41)*AH40,AH40*AH41)))))-MIN(IF(OR(AH40&lt;=0,NOT('_JobDays'!Y2)),0,IF(WEEKDAY(AH$6,1)=1,0,IF(WEEKDAY(AH$6,1)=7,0,IF('_JobDays'!Y4,MIN(8,AH41)*AH40,AH40*AH41)))),MAX(0,40*MAX(1,AH40)-(AE42+AF42+AG42))))))</f>
        <v>0</v>
      </c>
      <c r="AI43" s="62">
        <f>IF(AND(AI40=0,AI41=0,E39="Auto",B39="Superintendent PF 01",AND('Job setup'!$B$11="ON",'Job setup'!$C$11&lt;=AI$6,'Job setup'!$D$11&gt;=AI$6,'Job setup'!$G$11="YES")),0,IF(OS39,IF(OR(AI40&lt;=0,NOT('_JobDays'!Z2)),0,IF(WEEKDAY(AI$6,1)=1,0,MAX(0,AI41-(IF('_JobDays'!Z3,8,10)))*AI40))+((IF(OR(AI40&lt;=0,NOT('_JobDays'!Z2)),0,IF(WEEKDAY(AI$6,1)=1,0,MIN(IF('_JobDays'!Z3,8,10),AI41)*AI40)))-MIN(IF(OR(AI40&lt;=0,NOT('_JobDays'!Z2)),0,IF(WEEKDAY(AI$6,1)=1,0,MIN(IF('_JobDays'!Z3,8,10),AI41)*AI40)),MAX(0,40*MAX(1,AI40)-(AE42+AF42+AG42+AH42)))),IF(OR(AI40&lt;=0,NOT('_JobDays'!Z2)),0,IF(WEEKDAY(AI$6,1)=1,0,IF(WEEKDAY(AI$6,1)=7,AI40*AI41,IF('_JobDays'!Z4,MAX(0,AI41-8)*AI40,0))))+((IF(OR(AI40&lt;=0,NOT('_JobDays'!Z2)),0,IF(WEEKDAY(AI$6,1)=1,0,IF(WEEKDAY(AI$6,1)=7,0,IF('_JobDays'!Z4,MIN(8,AI41)*AI40,AI40*AI41)))))-MIN(IF(OR(AI40&lt;=0,NOT('_JobDays'!Z2)),0,IF(WEEKDAY(AI$6,1)=1,0,IF(WEEKDAY(AI$6,1)=7,0,IF('_JobDays'!Z4,MIN(8,AI41)*AI40,AI40*AI41)))),MAX(0,40*MAX(1,AI40)-(AE42+AF42+AG42+AH42))))))</f>
        <v>0</v>
      </c>
      <c r="AJ43" s="63">
        <f>IF(AND(AJ40=0,AJ41=0,E39="Auto",B39="Superintendent PF 01",AND('Job setup'!$B$11="ON",'Job setup'!$C$11&lt;=AJ$6,'Job setup'!$D$11&gt;=AJ$6,'Job setup'!$G$11="YES")),0,IF(OS39,IF(OR(AJ40&lt;=0,NOT('_JobDays'!AA2)),0,IF(WEEKDAY(AJ$6,1)=1,0,MAX(0,AJ41-(IF('_JobDays'!AA3,8,10)))*AJ40))+((IF(OR(AJ40&lt;=0,NOT('_JobDays'!AA2)),0,IF(WEEKDAY(AJ$6,1)=1,0,MIN(IF('_JobDays'!AA3,8,10),AJ41)*AJ40)))-MIN(IF(OR(AJ40&lt;=0,NOT('_JobDays'!AA2)),0,IF(WEEKDAY(AJ$6,1)=1,0,MIN(IF('_JobDays'!AA3,8,10),AJ41)*AJ40)),MAX(0,40*MAX(1,AJ40)-(AE42+AF42+AG42+AH42+AI42)))),IF(OR(AJ40&lt;=0,NOT('_JobDays'!AA2)),0,IF(WEEKDAY(AJ$6,1)=1,0,IF(WEEKDAY(AJ$6,1)=7,AJ40*AJ41,IF('_JobDays'!AA4,MAX(0,AJ41-8)*AJ40,0))))+((IF(OR(AJ40&lt;=0,NOT('_JobDays'!AA2)),0,IF(WEEKDAY(AJ$6,1)=1,0,IF(WEEKDAY(AJ$6,1)=7,0,IF('_JobDays'!AA4,MIN(8,AJ41)*AJ40,AJ40*AJ41)))))-MIN(IF(OR(AJ40&lt;=0,NOT('_JobDays'!AA2)),0,IF(WEEKDAY(AJ$6,1)=1,0,IF(WEEKDAY(AJ$6,1)=7,0,IF('_JobDays'!AA4,MIN(8,AJ41)*AJ40,AJ40*AJ41)))),MAX(0,40*MAX(1,AJ40)-(AE42+AF42+AG42+AH42+AI42))))))</f>
        <v>0</v>
      </c>
      <c r="AK43" s="63">
        <f>IF(AND(AK40=0,AK41=0,E39="Auto",B39="Superintendent PF 01",AND('Job setup'!$B$11="ON",'Job setup'!$C$11&lt;=AK$6,'Job setup'!$D$11&gt;=AK$6,'Job setup'!$G$11="YES")),0,IF(OS39,IF(OR(AK40&lt;=0,NOT('_JobDays'!AB2)),0,IF(WEEKDAY(AK$6,1)=1,0,MAX(0,AK41-(IF('_JobDays'!AB3,8,10)))*AK40))+((IF(OR(AK40&lt;=0,NOT('_JobDays'!AB2)),0,IF(WEEKDAY(AK$6,1)=1,0,MIN(IF('_JobDays'!AB3,8,10),AK41)*AK40)))-MIN(IF(OR(AK40&lt;=0,NOT('_JobDays'!AB2)),0,IF(WEEKDAY(AK$6,1)=1,0,MIN(IF('_JobDays'!AB3,8,10),AK41)*AK40)),MAX(0,40*MAX(1,AK40)-(AE42+AF42+AG42+AH42+AI42+AJ42)))),IF(OR(AK40&lt;=0,NOT('_JobDays'!AB2)),0,IF(WEEKDAY(AK$6,1)=1,0,IF(WEEKDAY(AK$6,1)=7,AK40*AK41,IF('_JobDays'!AB4,MAX(0,AK41-8)*AK40,0))))+((IF(OR(AK40&lt;=0,NOT('_JobDays'!AB2)),0,IF(WEEKDAY(AK$6,1)=1,0,IF(WEEKDAY(AK$6,1)=7,0,IF('_JobDays'!AB4,MIN(8,AK41)*AK40,AK40*AK41)))))-MIN(IF(OR(AK40&lt;=0,NOT('_JobDays'!AB2)),0,IF(WEEKDAY(AK$6,1)=1,0,IF(WEEKDAY(AK$6,1)=7,0,IF('_JobDays'!AB4,MIN(8,AK41)*AK40,AK40*AK41)))),MAX(0,40*MAX(1,AK40)-(AE42+AF42+AG42+AH42+AI42+AJ42))))))</f>
        <v>0</v>
      </c>
      <c r="AL43" s="62">
        <f>IF(AND(AL40=0,AL41=0,E39="Auto",B39="Superintendent PF 01",AND('Job setup'!$B$11="ON",'Job setup'!$C$11&lt;=AL$6,'Job setup'!$D$11&gt;=AL$6,'Job setup'!$G$11="YES")),0,IF(OS39,IF(OR(AL40&lt;=0,NOT('_JobDays'!AC2)),0,IF(WEEKDAY(AL$6,1)=1,0,MAX(0,AL41-(IF('_JobDays'!AC3,8,10)))*AL40))+((IF(OR(AL40&lt;=0,NOT('_JobDays'!AC2)),0,IF(WEEKDAY(AL$6,1)=1,0,MIN(IF('_JobDays'!AC3,8,10),AL41)*AL40)))-MIN(IF(OR(AL40&lt;=0,NOT('_JobDays'!AC2)),0,IF(WEEKDAY(AL$6,1)=1,0,MIN(IF('_JobDays'!AC3,8,10),AL41)*AL40)),MAX(0,40*MAX(1,AL40)-(0)))),IF(OR(AL40&lt;=0,NOT('_JobDays'!AC2)),0,IF(WEEKDAY(AL$6,1)=1,0,IF(WEEKDAY(AL$6,1)=7,AL40*AL41,IF('_JobDays'!AC4,MAX(0,AL41-8)*AL40,0))))+((IF(OR(AL40&lt;=0,NOT('_JobDays'!AC2)),0,IF(WEEKDAY(AL$6,1)=1,0,IF(WEEKDAY(AL$6,1)=7,0,IF('_JobDays'!AC4,MIN(8,AL41)*AL40,AL40*AL41)))))-MIN(IF(OR(AL40&lt;=0,NOT('_JobDays'!AC2)),0,IF(WEEKDAY(AL$6,1)=1,0,IF(WEEKDAY(AL$6,1)=7,0,IF('_JobDays'!AC4,MIN(8,AL41)*AL40,AL40*AL41)))),MAX(0,40*MAX(1,AL40)-(0))))))</f>
        <v>0</v>
      </c>
      <c r="AM43" s="62">
        <f>IF(AND(AM40=0,AM41=0,E39="Auto",B39="Superintendent PF 01",AND('Job setup'!$B$11="ON",'Job setup'!$C$11&lt;=AM$6,'Job setup'!$D$11&gt;=AM$6,'Job setup'!$G$11="YES")),0,IF(OS39,IF(OR(AM40&lt;=0,NOT('_JobDays'!AD2)),0,IF(WEEKDAY(AM$6,1)=1,0,MAX(0,AM41-(IF('_JobDays'!AD3,8,10)))*AM40))+((IF(OR(AM40&lt;=0,NOT('_JobDays'!AD2)),0,IF(WEEKDAY(AM$6,1)=1,0,MIN(IF('_JobDays'!AD3,8,10),AM41)*AM40)))-MIN(IF(OR(AM40&lt;=0,NOT('_JobDays'!AD2)),0,IF(WEEKDAY(AM$6,1)=1,0,MIN(IF('_JobDays'!AD3,8,10),AM41)*AM40)),MAX(0,40*MAX(1,AM40)-(AL42)))),IF(OR(AM40&lt;=0,NOT('_JobDays'!AD2)),0,IF(WEEKDAY(AM$6,1)=1,0,IF(WEEKDAY(AM$6,1)=7,AM40*AM41,IF('_JobDays'!AD4,MAX(0,AM41-8)*AM40,0))))+((IF(OR(AM40&lt;=0,NOT('_JobDays'!AD2)),0,IF(WEEKDAY(AM$6,1)=1,0,IF(WEEKDAY(AM$6,1)=7,0,IF('_JobDays'!AD4,MIN(8,AM41)*AM40,AM40*AM41)))))-MIN(IF(OR(AM40&lt;=0,NOT('_JobDays'!AD2)),0,IF(WEEKDAY(AM$6,1)=1,0,IF(WEEKDAY(AM$6,1)=7,0,IF('_JobDays'!AD4,MIN(8,AM41)*AM40,AM40*AM41)))),MAX(0,40*MAX(1,AM40)-(AL42))))))</f>
        <v>0</v>
      </c>
      <c r="AN43" s="62">
        <f>IF(AND(AN40=0,AN41=0,E39="Auto",B39="Superintendent PF 01",AND('Job setup'!$B$11="ON",'Job setup'!$C$11&lt;=AN$6,'Job setup'!$D$11&gt;=AN$6,'Job setup'!$G$11="YES")),0,IF(OS39,IF(OR(AN40&lt;=0,NOT('_JobDays'!AE2)),0,IF(WEEKDAY(AN$6,1)=1,0,MAX(0,AN41-(IF('_JobDays'!AE3,8,10)))*AN40))+((IF(OR(AN40&lt;=0,NOT('_JobDays'!AE2)),0,IF(WEEKDAY(AN$6,1)=1,0,MIN(IF('_JobDays'!AE3,8,10),AN41)*AN40)))-MIN(IF(OR(AN40&lt;=0,NOT('_JobDays'!AE2)),0,IF(WEEKDAY(AN$6,1)=1,0,MIN(IF('_JobDays'!AE3,8,10),AN41)*AN40)),MAX(0,40*MAX(1,AN40)-(AL42+AM42)))),IF(OR(AN40&lt;=0,NOT('_JobDays'!AE2)),0,IF(WEEKDAY(AN$6,1)=1,0,IF(WEEKDAY(AN$6,1)=7,AN40*AN41,IF('_JobDays'!AE4,MAX(0,AN41-8)*AN40,0))))+((IF(OR(AN40&lt;=0,NOT('_JobDays'!AE2)),0,IF(WEEKDAY(AN$6,1)=1,0,IF(WEEKDAY(AN$6,1)=7,0,IF('_JobDays'!AE4,MIN(8,AN41)*AN40,AN40*AN41)))))-MIN(IF(OR(AN40&lt;=0,NOT('_JobDays'!AE2)),0,IF(WEEKDAY(AN$6,1)=1,0,IF(WEEKDAY(AN$6,1)=7,0,IF('_JobDays'!AE4,MIN(8,AN41)*AN40,AN40*AN41)))),MAX(0,40*MAX(1,AN40)-(AL42+AM42))))))</f>
        <v>0</v>
      </c>
      <c r="AO43" s="64">
        <f>IF(AND(AO40=0,AO41=0,E39="Auto",B39="Superintendent PF 01",AND('Job setup'!$B$11="ON",'Job setup'!$C$11&lt;=AO$6,'Job setup'!$D$11&gt;=AO$6,'Job setup'!$G$11="YES")),0,IF(OS39,IF(OR(AO40&lt;=0,NOT('_JobDays'!AF2)),0,IF(WEEKDAY(AO$6,1)=1,0,MAX(0,AO41-(IF('_JobDays'!AF3,8,10)))*AO40))+((IF(OR(AO40&lt;=0,NOT('_JobDays'!AF2)),0,IF(WEEKDAY(AO$6,1)=1,0,MIN(IF('_JobDays'!AF3,8,10),AO41)*AO40)))-MIN(IF(OR(AO40&lt;=0,NOT('_JobDays'!AF2)),0,IF(WEEKDAY(AO$6,1)=1,0,MIN(IF('_JobDays'!AF3,8,10),AO41)*AO40)),MAX(0,40*MAX(1,AO40)-(AL42+AM42+AN42)))),IF(OR(AO40&lt;=0,NOT('_JobDays'!AF2)),0,IF(WEEKDAY(AO$6,1)=1,0,IF(WEEKDAY(AO$6,1)=7,AO40*AO41,IF('_JobDays'!AF4,MAX(0,AO41-8)*AO40,0))))+((IF(OR(AO40&lt;=0,NOT('_JobDays'!AF2)),0,IF(WEEKDAY(AO$6,1)=1,0,IF(WEEKDAY(AO$6,1)=7,0,IF('_JobDays'!AF4,MIN(8,AO41)*AO40,AO40*AO41)))))-MIN(IF(OR(AO40&lt;=0,NOT('_JobDays'!AF2)),0,IF(WEEKDAY(AO$6,1)=1,0,IF(WEEKDAY(AO$6,1)=7,0,IF('_JobDays'!AF4,MIN(8,AO41)*AO40,AO40*AO41)))),MAX(0,40*MAX(1,AO40)-(AL42+AM42+AN42))))))</f>
        <v>0</v>
      </c>
      <c r="OT43" s="28" t="s">
        <v>71</v>
      </c>
    </row>
    <row r="44" ht="16" customHeight="1" spans="1:410" x14ac:dyDescent="0.25">
      <c r="A44" s="73"/>
      <c r="B44" s="44"/>
      <c r="C44" s="60">
        <f>H39*N(D44)</f>
        <v>4818</v>
      </c>
      <c r="D44" s="60">
        <f>IF(TRIM(B39)="","No rate",IFERROR(INDEX('Rate Tables'!E$7:E$161,MATCH(B39,'Rate Tables'!A$7:A$161,0)),"No rate"))</f>
        <v>200.75</v>
      </c>
      <c r="E44" s="54" t="s">
        <v>62</v>
      </c>
      <c r="F44" s="48"/>
      <c r="G44" s="48"/>
      <c r="H44" s="48"/>
      <c r="I44" s="49"/>
      <c r="J44" s="61">
        <f>IF(AND(J40=1,J41=8,E39="Auto",B39="Superintendent PF 01",AND('Job setup'!$B$7="ON",'Job setup'!$C$7&lt;=J$6,'Job setup'!$D$7&gt;=J$6,'Job setup'!$G$7="YES")),0,IF(OS39,IF(OR(J40&lt;=0,NOT('_JobDays'!A2)),0,IF(WEEKDAY(J$6,1)=1,J40*J41,0)),IF(OR(J40&lt;=0,NOT('_JobDays'!A2)),0,IF(WEEKDAY(J$6,1)=1,J40*J41,0))))</f>
        <v>0</v>
      </c>
      <c r="K44" s="62">
        <f>IF(AND(K40=1,K41=8,E39="Auto",B39="Superintendent PF 01",AND('Job setup'!$B$7="ON",'Job setup'!$C$7&lt;=K$6,'Job setup'!$D$7&gt;=K$6,'Job setup'!$G$7="YES")),0,IF(OS39,IF(OR(K40&lt;=0,NOT('_JobDays'!B2)),0,IF(WEEKDAY(K$6,1)=1,K40*K41,0)),IF(OR(K40&lt;=0,NOT('_JobDays'!B2)),0,IF(WEEKDAY(K$6,1)=1,K40*K41,0))))</f>
        <v>0</v>
      </c>
      <c r="L44" s="62">
        <f>IF(AND(L40=1,L41=8,E39="Auto",B39="Superintendent PF 01",AND('Job setup'!$B$7="ON",'Job setup'!$C$7&lt;=L$6,'Job setup'!$D$7&gt;=L$6,'Job setup'!$G$7="YES")),0,IF(OS39,IF(OR(L40&lt;=0,NOT('_JobDays'!C2)),0,IF(WEEKDAY(L$6,1)=1,L40*L41,0)),IF(OR(L40&lt;=0,NOT('_JobDays'!C2)),0,IF(WEEKDAY(L$6,1)=1,L40*L41,0))))</f>
        <v>0</v>
      </c>
      <c r="M44" s="62">
        <f>IF(AND(M40=1,M41=8,E39="Auto",B39="Superintendent PF 01",AND('Job setup'!$B$7="ON",'Job setup'!$C$7&lt;=M$6,'Job setup'!$D$7&gt;=M$6,'Job setup'!$G$7="YES")),0,IF(OS39,IF(OR(M40&lt;=0,NOT('_JobDays'!D2)),0,IF(WEEKDAY(M$6,1)=1,M40*M41,0)),IF(OR(M40&lt;=0,NOT('_JobDays'!D2)),0,IF(WEEKDAY(M$6,1)=1,M40*M41,0))))</f>
        <v>0</v>
      </c>
      <c r="N44" s="62">
        <f>IF(AND(N40=1,N41=8,E39="Auto",B39="Superintendent PF 01",AND('Job setup'!$B$7="ON",'Job setup'!$C$7&lt;=N$6,'Job setup'!$D$7&gt;=N$6,'Job setup'!$G$7="YES")),0,IF(OS39,IF(OR(N40&lt;=0,NOT('_JobDays'!E2)),0,IF(WEEKDAY(N$6,1)=1,N40*N41,0)),IF(OR(N40&lt;=0,NOT('_JobDays'!E2)),0,IF(WEEKDAY(N$6,1)=1,N40*N41,0))))</f>
        <v>0</v>
      </c>
      <c r="O44" s="63">
        <f>IF(AND(O40=0,O41=0,E39="Auto",B39="Superintendent PF 01",AND('Job setup'!$B$7="ON",'Job setup'!$C$7&lt;=O$6,'Job setup'!$D$7&gt;=O$6,'Job setup'!$G$7="YES")),0,IF(OS39,IF(OR(O40&lt;=0,NOT('_JobDays'!F2)),0,IF(WEEKDAY(O$6,1)=1,O40*O41,0)),IF(OR(O40&lt;=0,NOT('_JobDays'!F2)),0,IF(WEEKDAY(O$6,1)=1,O40*O41,0))))</f>
        <v>0</v>
      </c>
      <c r="P44" s="63">
        <f>IF(AND(P40=0,P41=0,E39="Auto",B39="Superintendent PF 01",AND('Job setup'!$B$7="ON",'Job setup'!$C$7&lt;=P$6,'Job setup'!$D$7&gt;=P$6,'Job setup'!$G$7="YES")),0,IF(OS39,IF(OR(P40&lt;=0,NOT('_JobDays'!G2)),0,IF(WEEKDAY(P$6,1)=1,P40*P41,0)),IF(OR(P40&lt;=0,NOT('_JobDays'!G2)),0,IF(WEEKDAY(P$6,1)=1,P40*P41,0))))</f>
        <v>0</v>
      </c>
      <c r="Q44" s="62">
        <f>IF(AND(Q40=1,Q41=8,E39="Auto",B39="Superintendent PF 01",AND('Job setup'!$B$7="ON",'Job setup'!$C$7&lt;=Q$6,'Job setup'!$D$7&gt;=Q$6,'Job setup'!$G$7="YES")),0,IF(OS39,IF(OR(Q40&lt;=0,NOT('_JobDays'!H2)),0,IF(WEEKDAY(Q$6,1)=1,Q40*Q41,0)),IF(OR(Q40&lt;=0,NOT('_JobDays'!H2)),0,IF(WEEKDAY(Q$6,1)=1,Q40*Q41,0))))</f>
        <v>0</v>
      </c>
      <c r="R44" s="62">
        <f>IF(AND(R40=1,R41=8,E39="Auto",B39="Superintendent PF 01",AND('Job setup'!$B$7="ON",'Job setup'!$C$7&lt;=R$6,'Job setup'!$D$7&gt;=R$6,'Job setup'!$G$7="YES")),0,IF(OS39,IF(OR(R40&lt;=0,NOT('_JobDays'!I2)),0,IF(WEEKDAY(R$6,1)=1,R40*R41,0)),IF(OR(R40&lt;=0,NOT('_JobDays'!I2)),0,IF(WEEKDAY(R$6,1)=1,R40*R41,0))))</f>
        <v>0</v>
      </c>
      <c r="S44" s="62">
        <f>IF(AND(S40=1,S41=8,E39="Auto",B39="Superintendent PF 01",AND('Job setup'!$B$7="ON",'Job setup'!$C$7&lt;=S$6,'Job setup'!$D$7&gt;=S$6,'Job setup'!$G$7="YES")),0,IF(OS39,IF(OR(S40&lt;=0,NOT('_JobDays'!J2)),0,IF(WEEKDAY(S$6,1)=1,S40*S41,0)),IF(OR(S40&lt;=0,NOT('_JobDays'!J2)),0,IF(WEEKDAY(S$6,1)=1,S40*S41,0))))</f>
        <v>0</v>
      </c>
      <c r="T44" s="62">
        <f>IF(AND(T40=1,T41=12,E39="Auto",B39="Superintendent PF 01",AND('Job setup'!$B$9="ON",'Job setup'!$C$9&lt;=T$6,'Job setup'!$D$9&gt;=T$6,'Job setup'!$G$9="NO")),0,IF(OS39,IF(OR(T40&lt;=0,NOT('_JobDays'!K2)),0,IF(WEEKDAY(T$6,1)=1,T40*T41,0)),IF(OR(T40&lt;=0,NOT('_JobDays'!K2)),0,IF(WEEKDAY(T$6,1)=1,T40*T41,0))))</f>
        <v>0</v>
      </c>
      <c r="U44" s="62">
        <f>IF(AND(U40=1,U41=12,E39="Auto",B39="Superintendent PF 01",AND('Job setup'!$B$9="ON",'Job setup'!$C$9&lt;=U$6,'Job setup'!$D$9&gt;=U$6,'Job setup'!$G$9="NO")),0,IF(OS39,IF(OR(U40&lt;=0,NOT('_JobDays'!L2)),0,IF(WEEKDAY(U$6,1)=1,U40*U41,0)),IF(OR(U40&lt;=0,NOT('_JobDays'!L2)),0,IF(WEEKDAY(U$6,1)=1,U40*U41,0))))</f>
        <v>0</v>
      </c>
      <c r="V44" s="63">
        <f>IF(AND(V40=1,V41=12,E39="Auto",B39="Superintendent PF 01",AND('Job setup'!$B$9="ON",'Job setup'!$C$9&lt;=V$6,'Job setup'!$D$9&gt;=V$6,'Job setup'!$G$9="NO")),0,IF(OS39,IF(OR(V40&lt;=0,NOT('_JobDays'!M2)),0,IF(WEEKDAY(V$6,1)=1,V40*V41,0)),IF(OR(V40&lt;=0,NOT('_JobDays'!M2)),0,IF(WEEKDAY(V$6,1)=1,V40*V41,0))))</f>
        <v>0</v>
      </c>
      <c r="W44" s="63">
        <f>IF(AND(W40=1,W41=12,E39="Auto",B39="Superintendent PF 01",AND('Job setup'!$B$9="ON",'Job setup'!$C$9&lt;=W$6,'Job setup'!$D$9&gt;=W$6,'Job setup'!$G$9="NO")),12,IF(OS39,IF(OR(W40&lt;=0,NOT('_JobDays'!N2)),0,IF(WEEKDAY(W$6,1)=1,W40*W41,0)),IF(OR(W40&lt;=0,NOT('_JobDays'!N2)),0,IF(WEEKDAY(W$6,1)=1,W40*W41,0))))</f>
        <v>12</v>
      </c>
      <c r="X44" s="62">
        <f>IF(AND(X40=1,X41=12,E39="Auto",B39="Superintendent PF 01",AND('Job setup'!$B$9="ON",'Job setup'!$C$9&lt;=X$6,'Job setup'!$D$9&gt;=X$6,'Job setup'!$G$9="NO")),0,IF(OS39,IF(OR(X40&lt;=0,NOT('_JobDays'!O2)),0,IF(WEEKDAY(X$6,1)=1,X40*X41,0)),IF(OR(X40&lt;=0,NOT('_JobDays'!O2)),0,IF(WEEKDAY(X$6,1)=1,X40*X41,0))))</f>
        <v>0</v>
      </c>
      <c r="Y44" s="62">
        <f>IF(AND(Y40=1,Y41=12,E39="Auto",B39="Superintendent PF 01",AND('Job setup'!$B$9="ON",'Job setup'!$C$9&lt;=Y$6,'Job setup'!$D$9&gt;=Y$6,'Job setup'!$G$9="NO")),0,IF(OS39,IF(OR(Y40&lt;=0,NOT('_JobDays'!P2)),0,IF(WEEKDAY(Y$6,1)=1,Y40*Y41,0)),IF(OR(Y40&lt;=0,NOT('_JobDays'!P2)),0,IF(WEEKDAY(Y$6,1)=1,Y40*Y41,0))))</f>
        <v>0</v>
      </c>
      <c r="Z44" s="62">
        <f>IF(AND(Z40=1,Z41=12,E39="Auto",B39="Superintendent PF 01",AND('Job setup'!$B$9="ON",'Job setup'!$C$9&lt;=Z$6,'Job setup'!$D$9&gt;=Z$6,'Job setup'!$G$9="NO")),0,IF(OS39,IF(OR(Z40&lt;=0,NOT('_JobDays'!Q2)),0,IF(WEEKDAY(Z$6,1)=1,Z40*Z41,0)),IF(OR(Z40&lt;=0,NOT('_JobDays'!Q2)),0,IF(WEEKDAY(Z$6,1)=1,Z40*Z41,0))))</f>
        <v>0</v>
      </c>
      <c r="AA44" s="62">
        <f>IF(AND(AA40=1,AA41=12,E39="Auto",B39="Superintendent PF 01",AND('Job setup'!$B$9="ON",'Job setup'!$C$9&lt;=AA$6,'Job setup'!$D$9&gt;=AA$6,'Job setup'!$G$9="NO")),0,IF(OS39,IF(OR(AA40&lt;=0,NOT('_JobDays'!R2)),0,IF(WEEKDAY(AA$6,1)=1,AA40*AA41,0)),IF(OR(AA40&lt;=0,NOT('_JobDays'!R2)),0,IF(WEEKDAY(AA$6,1)=1,AA40*AA41,0))))</f>
        <v>0</v>
      </c>
      <c r="AB44" s="62">
        <f>IF(AND(AB40=1,AB41=12,E39="Auto",B39="Superintendent PF 01",AND('Job setup'!$B$9="ON",'Job setup'!$C$9&lt;=AB$6,'Job setup'!$D$9&gt;=AB$6,'Job setup'!$G$9="NO")),0,IF(OS39,IF(OR(AB40&lt;=0,NOT('_JobDays'!S2)),0,IF(WEEKDAY(AB$6,1)=1,AB40*AB41,0)),IF(OR(AB40&lt;=0,NOT('_JobDays'!S2)),0,IF(WEEKDAY(AB$6,1)=1,AB40*AB41,0))))</f>
        <v>0</v>
      </c>
      <c r="AC44" s="63">
        <f>IF(AND(AC40=1,AC41=12,E39="Auto",B39="Superintendent PF 01",AND('Job setup'!$B$9="ON",'Job setup'!$C$9&lt;=AC$6,'Job setup'!$D$9&gt;=AC$6,'Job setup'!$G$9="NO")),0,IF(OS39,IF(OR(AC40&lt;=0,NOT('_JobDays'!T2)),0,IF(WEEKDAY(AC$6,1)=1,AC40*AC41,0)),IF(OR(AC40&lt;=0,NOT('_JobDays'!T2)),0,IF(WEEKDAY(AC$6,1)=1,AC40*AC41,0))))</f>
        <v>0</v>
      </c>
      <c r="AD44" s="63">
        <f>IF(AND(AD40=1,AD41=12,E39="Auto",B39="Superintendent PF 01",AND('Job setup'!$B$9="ON",'Job setup'!$C$9&lt;=AD$6,'Job setup'!$D$9&gt;=AD$6,'Job setup'!$G$9="NO")),12,IF(OS39,IF(OR(AD40&lt;=0,NOT('_JobDays'!U2)),0,IF(WEEKDAY(AD$6,1)=1,AD40*AD41,0)),IF(OR(AD40&lt;=0,NOT('_JobDays'!U2)),0,IF(WEEKDAY(AD$6,1)=1,AD40*AD41,0))))</f>
        <v>12</v>
      </c>
      <c r="AE44" s="62">
        <f>IF(AND(AE40=1,AE41=12,E39="Auto",B39="Superintendent PF 01",AND('Job setup'!$B$9="ON",'Job setup'!$C$9&lt;=AE$6,'Job setup'!$D$9&gt;=AE$6,'Job setup'!$G$9="NO")),0,IF(OS39,IF(OR(AE40&lt;=0,NOT('_JobDays'!V2)),0,IF(WEEKDAY(AE$6,1)=1,AE40*AE41,0)),IF(OR(AE40&lt;=0,NOT('_JobDays'!V2)),0,IF(WEEKDAY(AE$6,1)=1,AE40*AE41,0))))</f>
        <v>0</v>
      </c>
      <c r="AF44" s="62">
        <f>IF(AND(AF40=1,AF41=12,E39="Auto",B39="Superintendent PF 01",AND('Job setup'!$B$9="ON",'Job setup'!$C$9&lt;=AF$6,'Job setup'!$D$9&gt;=AF$6,'Job setup'!$G$9="NO")),0,IF(OS39,IF(OR(AF40&lt;=0,NOT('_JobDays'!W2)),0,IF(WEEKDAY(AF$6,1)=1,AF40*AF41,0)),IF(OR(AF40&lt;=0,NOT('_JobDays'!W2)),0,IF(WEEKDAY(AF$6,1)=1,AF40*AF41,0))))</f>
        <v>0</v>
      </c>
      <c r="AG44" s="62">
        <f>IF(AND(AG40=1,AG41=12,E39="Auto",B39="Superintendent PF 01",AND('Job setup'!$B$9="ON",'Job setup'!$C$9&lt;=AG$6,'Job setup'!$D$9&gt;=AG$6,'Job setup'!$G$9="NO")),0,IF(OS39,IF(OR(AG40&lt;=0,NOT('_JobDays'!X2)),0,IF(WEEKDAY(AG$6,1)=1,AG40*AG41,0)),IF(OR(AG40&lt;=0,NOT('_JobDays'!X2)),0,IF(WEEKDAY(AG$6,1)=1,AG40*AG41,0))))</f>
        <v>0</v>
      </c>
      <c r="AH44" s="62">
        <f>IF(AND(AH40=0,AH41=0,E39="Auto",B39="Superintendent PF 01",AND('Job setup'!$B$11="ON",'Job setup'!$C$11&lt;=AH$6,'Job setup'!$D$11&gt;=AH$6,'Job setup'!$G$11="YES")),0,IF(OS39,IF(OR(AH40&lt;=0,NOT('_JobDays'!Y2)),0,IF(WEEKDAY(AH$6,1)=1,AH40*AH41,0)),IF(OR(AH40&lt;=0,NOT('_JobDays'!Y2)),0,IF(WEEKDAY(AH$6,1)=1,AH40*AH41,0))))</f>
        <v>0</v>
      </c>
      <c r="AI44" s="62">
        <f>IF(AND(AI40=0,AI41=0,E39="Auto",B39="Superintendent PF 01",AND('Job setup'!$B$11="ON",'Job setup'!$C$11&lt;=AI$6,'Job setup'!$D$11&gt;=AI$6,'Job setup'!$G$11="YES")),0,IF(OS39,IF(OR(AI40&lt;=0,NOT('_JobDays'!Z2)),0,IF(WEEKDAY(AI$6,1)=1,AI40*AI41,0)),IF(OR(AI40&lt;=0,NOT('_JobDays'!Z2)),0,IF(WEEKDAY(AI$6,1)=1,AI40*AI41,0))))</f>
        <v>0</v>
      </c>
      <c r="AJ44" s="63">
        <f>IF(AND(AJ40=0,AJ41=0,E39="Auto",B39="Superintendent PF 01",AND('Job setup'!$B$11="ON",'Job setup'!$C$11&lt;=AJ$6,'Job setup'!$D$11&gt;=AJ$6,'Job setup'!$G$11="YES")),0,IF(OS39,IF(OR(AJ40&lt;=0,NOT('_JobDays'!AA2)),0,IF(WEEKDAY(AJ$6,1)=1,AJ40*AJ41,0)),IF(OR(AJ40&lt;=0,NOT('_JobDays'!AA2)),0,IF(WEEKDAY(AJ$6,1)=1,AJ40*AJ41,0))))</f>
        <v>0</v>
      </c>
      <c r="AK44" s="63">
        <f>IF(AND(AK40=0,AK41=0,E39="Auto",B39="Superintendent PF 01",AND('Job setup'!$B$11="ON",'Job setup'!$C$11&lt;=AK$6,'Job setup'!$D$11&gt;=AK$6,'Job setup'!$G$11="YES")),0,IF(OS39,IF(OR(AK40&lt;=0,NOT('_JobDays'!AB2)),0,IF(WEEKDAY(AK$6,1)=1,AK40*AK41,0)),IF(OR(AK40&lt;=0,NOT('_JobDays'!AB2)),0,IF(WEEKDAY(AK$6,1)=1,AK40*AK41,0))))</f>
        <v>0</v>
      </c>
      <c r="AL44" s="62">
        <f>IF(AND(AL40=0,AL41=0,E39="Auto",B39="Superintendent PF 01",AND('Job setup'!$B$11="ON",'Job setup'!$C$11&lt;=AL$6,'Job setup'!$D$11&gt;=AL$6,'Job setup'!$G$11="YES")),0,IF(OS39,IF(OR(AL40&lt;=0,NOT('_JobDays'!AC2)),0,IF(WEEKDAY(AL$6,1)=1,AL40*AL41,0)),IF(OR(AL40&lt;=0,NOT('_JobDays'!AC2)),0,IF(WEEKDAY(AL$6,1)=1,AL40*AL41,0))))</f>
        <v>0</v>
      </c>
      <c r="AM44" s="62">
        <f>IF(AND(AM40=0,AM41=0,E39="Auto",B39="Superintendent PF 01",AND('Job setup'!$B$11="ON",'Job setup'!$C$11&lt;=AM$6,'Job setup'!$D$11&gt;=AM$6,'Job setup'!$G$11="YES")),0,IF(OS39,IF(OR(AM40&lt;=0,NOT('_JobDays'!AD2)),0,IF(WEEKDAY(AM$6,1)=1,AM40*AM41,0)),IF(OR(AM40&lt;=0,NOT('_JobDays'!AD2)),0,IF(WEEKDAY(AM$6,1)=1,AM40*AM41,0))))</f>
        <v>0</v>
      </c>
      <c r="AN44" s="62">
        <f>IF(AND(AN40=0,AN41=0,E39="Auto",B39="Superintendent PF 01",AND('Job setup'!$B$11="ON",'Job setup'!$C$11&lt;=AN$6,'Job setup'!$D$11&gt;=AN$6,'Job setup'!$G$11="YES")),0,IF(OS39,IF(OR(AN40&lt;=0,NOT('_JobDays'!AE2)),0,IF(WEEKDAY(AN$6,1)=1,AN40*AN41,0)),IF(OR(AN40&lt;=0,NOT('_JobDays'!AE2)),0,IF(WEEKDAY(AN$6,1)=1,AN40*AN41,0))))</f>
        <v>0</v>
      </c>
      <c r="AO44" s="64">
        <f>IF(AND(AO40=0,AO41=0,E39="Auto",B39="Superintendent PF 01",AND('Job setup'!$B$11="ON",'Job setup'!$C$11&lt;=AO$6,'Job setup'!$D$11&gt;=AO$6,'Job setup'!$G$11="YES")),0,IF(OS39,IF(OR(AO40&lt;=0,NOT('_JobDays'!AF2)),0,IF(WEEKDAY(AO$6,1)=1,AO40*AO41,0)),IF(OR(AO40&lt;=0,NOT('_JobDays'!AF2)),0,IF(WEEKDAY(AO$6,1)=1,AO40*AO41,0))))</f>
        <v>0</v>
      </c>
      <c r="OT44" s="28" t="s">
        <v>71</v>
      </c>
    </row>
    <row r="45" ht="16" customHeight="1" spans="1:410" x14ac:dyDescent="0.25">
      <c r="A45" s="73"/>
      <c r="B45" s="44"/>
      <c r="C45" s="66">
        <f>I39*D45</f>
        <v>3080</v>
      </c>
      <c r="D45" s="66">
        <v>140</v>
      </c>
      <c r="E45" s="67" t="s">
        <v>63</v>
      </c>
      <c r="F45" s="48"/>
      <c r="G45" s="48"/>
      <c r="H45" s="48"/>
      <c r="I45" s="49"/>
      <c r="J45" s="68">
        <v>1</v>
      </c>
      <c r="K45" s="69">
        <v>1</v>
      </c>
      <c r="L45" s="69">
        <v>1</v>
      </c>
      <c r="M45" s="69">
        <v>1</v>
      </c>
      <c r="N45" s="69">
        <v>1</v>
      </c>
      <c r="O45" s="70">
        <v>0</v>
      </c>
      <c r="P45" s="70">
        <v>0</v>
      </c>
      <c r="Q45" s="69">
        <v>1</v>
      </c>
      <c r="R45" s="69">
        <v>1</v>
      </c>
      <c r="S45" s="69">
        <v>1</v>
      </c>
      <c r="T45" s="69">
        <v>1</v>
      </c>
      <c r="U45" s="69">
        <v>1</v>
      </c>
      <c r="V45" s="70">
        <v>1</v>
      </c>
      <c r="W45" s="70">
        <v>1</v>
      </c>
      <c r="X45" s="69">
        <v>1</v>
      </c>
      <c r="Y45" s="69">
        <v>1</v>
      </c>
      <c r="Z45" s="69">
        <v>1</v>
      </c>
      <c r="AA45" s="69">
        <v>1</v>
      </c>
      <c r="AB45" s="69">
        <v>1</v>
      </c>
      <c r="AC45" s="70">
        <v>1</v>
      </c>
      <c r="AD45" s="70">
        <v>1</v>
      </c>
      <c r="AE45" s="69">
        <v>1</v>
      </c>
      <c r="AF45" s="69">
        <v>1</v>
      </c>
      <c r="AG45" s="69">
        <v>1</v>
      </c>
      <c r="AH45" s="69">
        <v>0</v>
      </c>
      <c r="AI45" s="69">
        <v>0</v>
      </c>
      <c r="AJ45" s="70">
        <v>0</v>
      </c>
      <c r="AK45" s="70">
        <v>0</v>
      </c>
      <c r="AL45" s="69">
        <v>0</v>
      </c>
      <c r="AM45" s="69">
        <v>0</v>
      </c>
      <c r="AN45" s="69">
        <v>0</v>
      </c>
      <c r="AO45" s="71">
        <v>0</v>
      </c>
      <c r="OT45" s="59" t="s">
        <v>71</v>
      </c>
    </row>
    <row r="46" ht="8" customHeight="1" spans="1:4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</row>
    <row r="47" ht="16" customHeight="1" spans="1:410" x14ac:dyDescent="0.25">
      <c r="A47" s="73" t="s">
        <v>70</v>
      </c>
      <c r="B47" s="44" t="s">
        <v>64</v>
      </c>
      <c r="C47" s="45">
        <f>C50+C51+C52</f>
        <v>28033.48</v>
      </c>
      <c r="D47" s="46"/>
      <c r="E47" s="47" t="s">
        <v>56</v>
      </c>
      <c r="F47" s="48">
        <f>SUM(J50:AO50)</f>
        <v>164</v>
      </c>
      <c r="G47" s="48">
        <f>SUM(J51:AO51)</f>
        <v>44</v>
      </c>
      <c r="H47" s="48">
        <f>SUM(J52:AO52)</f>
        <v>24</v>
      </c>
      <c r="I47" s="49">
        <f>SUM(J53:AO53)</f>
        <v>22</v>
      </c>
      <c r="J47" s="50"/>
      <c r="K47" s="51"/>
      <c r="L47" s="51"/>
      <c r="M47" s="51"/>
      <c r="N47" s="51"/>
      <c r="O47" s="52"/>
      <c r="P47" s="52"/>
      <c r="Q47" s="51"/>
      <c r="R47" s="51"/>
      <c r="S47" s="51"/>
      <c r="T47" s="51"/>
      <c r="U47" s="51"/>
      <c r="V47" s="52"/>
      <c r="W47" s="52"/>
      <c r="X47" s="51"/>
      <c r="Y47" s="51"/>
      <c r="Z47" s="51"/>
      <c r="AA47" s="51"/>
      <c r="AB47" s="51"/>
      <c r="AC47" s="52"/>
      <c r="AD47" s="52"/>
      <c r="AE47" s="51"/>
      <c r="AF47" s="51"/>
      <c r="AG47" s="51"/>
      <c r="AH47" s="51"/>
      <c r="AI47" s="51"/>
      <c r="AJ47" s="52"/>
      <c r="AK47" s="52"/>
      <c r="AL47" s="51"/>
      <c r="AM47" s="51"/>
      <c r="AN47" s="51"/>
      <c r="AO47" s="53"/>
      <c r="OS47" s="28">
        <f>OR(E47="Staff clock",AND(OR(E47="Auto",E47=""),ISNUMBER(MATCH(B47,'_Lists'!$K$1:$K$137,0))))</f>
        <v>1</v>
      </c>
      <c r="OT47" s="28" t="s">
        <v>72</v>
      </c>
    </row>
    <row r="48" ht="16" customHeight="1" spans="1:410" x14ac:dyDescent="0.25">
      <c r="A48" s="73"/>
      <c r="B48" s="44"/>
      <c r="C48" s="45"/>
      <c r="D48" s="46"/>
      <c r="E48" s="54" t="s">
        <v>58</v>
      </c>
      <c r="F48" s="48"/>
      <c r="G48" s="48"/>
      <c r="H48" s="48"/>
      <c r="I48" s="49"/>
      <c r="J48" s="55">
        <v>1</v>
      </c>
      <c r="K48" s="56">
        <v>1</v>
      </c>
      <c r="L48" s="56">
        <v>1</v>
      </c>
      <c r="M48" s="56">
        <v>1</v>
      </c>
      <c r="N48" s="56">
        <v>1</v>
      </c>
      <c r="O48" s="57">
        <v>0</v>
      </c>
      <c r="P48" s="57">
        <v>0</v>
      </c>
      <c r="Q48" s="56">
        <v>1</v>
      </c>
      <c r="R48" s="56">
        <v>1</v>
      </c>
      <c r="S48" s="56">
        <v>1</v>
      </c>
      <c r="T48" s="56">
        <v>1</v>
      </c>
      <c r="U48" s="56">
        <v>1</v>
      </c>
      <c r="V48" s="57">
        <v>1</v>
      </c>
      <c r="W48" s="57">
        <v>1</v>
      </c>
      <c r="X48" s="56">
        <v>1</v>
      </c>
      <c r="Y48" s="56">
        <v>1</v>
      </c>
      <c r="Z48" s="56">
        <v>1</v>
      </c>
      <c r="AA48" s="56">
        <v>1</v>
      </c>
      <c r="AB48" s="56">
        <v>1</v>
      </c>
      <c r="AC48" s="57">
        <v>1</v>
      </c>
      <c r="AD48" s="57">
        <v>1</v>
      </c>
      <c r="AE48" s="56">
        <v>1</v>
      </c>
      <c r="AF48" s="56">
        <v>1</v>
      </c>
      <c r="AG48" s="56">
        <v>1</v>
      </c>
      <c r="AH48" s="56">
        <v>0</v>
      </c>
      <c r="AI48" s="56">
        <v>0</v>
      </c>
      <c r="AJ48" s="57">
        <v>0</v>
      </c>
      <c r="AK48" s="57">
        <v>0</v>
      </c>
      <c r="AL48" s="56">
        <v>0</v>
      </c>
      <c r="AM48" s="56">
        <v>0</v>
      </c>
      <c r="AN48" s="56">
        <v>0</v>
      </c>
      <c r="AO48" s="58">
        <v>0</v>
      </c>
      <c r="OT48" s="59" t="s">
        <v>72</v>
      </c>
    </row>
    <row r="49" ht="16" customHeight="1" spans="1:410" x14ac:dyDescent="0.25">
      <c r="A49" s="73"/>
      <c r="B49" s="44"/>
      <c r="C49" s="45"/>
      <c r="D49" s="46"/>
      <c r="E49" s="54" t="s">
        <v>59</v>
      </c>
      <c r="F49" s="48"/>
      <c r="G49" s="48"/>
      <c r="H49" s="48"/>
      <c r="I49" s="49"/>
      <c r="J49" s="55">
        <v>8</v>
      </c>
      <c r="K49" s="56">
        <v>8</v>
      </c>
      <c r="L49" s="56">
        <v>8</v>
      </c>
      <c r="M49" s="56">
        <v>8</v>
      </c>
      <c r="N49" s="56">
        <v>8</v>
      </c>
      <c r="O49" s="57">
        <v>0</v>
      </c>
      <c r="P49" s="57">
        <v>0</v>
      </c>
      <c r="Q49" s="56">
        <v>8</v>
      </c>
      <c r="R49" s="56">
        <v>8</v>
      </c>
      <c r="S49" s="56">
        <v>8</v>
      </c>
      <c r="T49" s="56">
        <v>12</v>
      </c>
      <c r="U49" s="56">
        <v>12</v>
      </c>
      <c r="V49" s="57">
        <v>12</v>
      </c>
      <c r="W49" s="57">
        <v>12</v>
      </c>
      <c r="X49" s="56">
        <v>12</v>
      </c>
      <c r="Y49" s="56">
        <v>12</v>
      </c>
      <c r="Z49" s="56">
        <v>12</v>
      </c>
      <c r="AA49" s="56">
        <v>12</v>
      </c>
      <c r="AB49" s="56">
        <v>12</v>
      </c>
      <c r="AC49" s="57">
        <v>12</v>
      </c>
      <c r="AD49" s="57">
        <v>12</v>
      </c>
      <c r="AE49" s="56">
        <v>12</v>
      </c>
      <c r="AF49" s="56">
        <v>12</v>
      </c>
      <c r="AG49" s="56">
        <v>12</v>
      </c>
      <c r="AH49" s="56">
        <v>0</v>
      </c>
      <c r="AI49" s="56">
        <v>0</v>
      </c>
      <c r="AJ49" s="57">
        <v>0</v>
      </c>
      <c r="AK49" s="57">
        <v>0</v>
      </c>
      <c r="AL49" s="56">
        <v>0</v>
      </c>
      <c r="AM49" s="56">
        <v>0</v>
      </c>
      <c r="AN49" s="56">
        <v>0</v>
      </c>
      <c r="AO49" s="58">
        <v>0</v>
      </c>
      <c r="OT49" s="59" t="s">
        <v>72</v>
      </c>
    </row>
    <row r="50" ht="16" customHeight="1" spans="1:410" x14ac:dyDescent="0.25">
      <c r="A50" s="73"/>
      <c r="B50" s="44"/>
      <c r="C50" s="60">
        <f>F47*N(D50)</f>
        <v>17344.64</v>
      </c>
      <c r="D50" s="60">
        <f>IF(TRIM(B47)="","No rate",IFERROR(INDEX('Rate Tables'!C$7:C$161,MATCH(B47,'Rate Tables'!A$7:A$161,0)),"No rate"))</f>
        <v>105.76</v>
      </c>
      <c r="E50" s="54" t="s">
        <v>60</v>
      </c>
      <c r="F50" s="48"/>
      <c r="G50" s="48"/>
      <c r="H50" s="48"/>
      <c r="I50" s="49"/>
      <c r="J50" s="61">
        <f>IF(AND(J48=1,J49=8,E47="Auto",B47="COORDINATOR QA-QC 1",AND('Job setup'!$B$7="ON",'Job setup'!$C$7&lt;=J$6,'Job setup'!$D$7&gt;=J$6,'Job setup'!$G$7="YES")),8,IF(OS47,MIN(IF(OR(J48&lt;=0,NOT('_JobDays'!A2)),0,IF(WEEKDAY(J$6,1)=1,0,MIN(IF('_JobDays'!A3,8,10),J49)*J48)),MAX(0,40*MAX(1,J48)-(0))),MIN(IF(OR(J48&lt;=0,NOT('_JobDays'!A2)),0,IF(WEEKDAY(J$6,1)=1,0,IF(WEEKDAY(J$6,1)=7,0,IF('_JobDays'!A4,MIN(8,J49)*J48,J48*J49)))),MAX(0,40*MAX(1,J48)-(0)))))</f>
        <v>8</v>
      </c>
      <c r="K50" s="62">
        <f>IF(AND(K48=1,K49=8,E47="Auto",B47="COORDINATOR QA-QC 1",AND('Job setup'!$B$7="ON",'Job setup'!$C$7&lt;=K$6,'Job setup'!$D$7&gt;=K$6,'Job setup'!$G$7="YES")),8,IF(OS47,MIN(IF(OR(K48&lt;=0,NOT('_JobDays'!B2)),0,IF(WEEKDAY(K$6,1)=1,0,MIN(IF('_JobDays'!B3,8,10),K49)*K48)),MAX(0,40*MAX(1,K48)-(J50))),MIN(IF(OR(K48&lt;=0,NOT('_JobDays'!B2)),0,IF(WEEKDAY(K$6,1)=1,0,IF(WEEKDAY(K$6,1)=7,0,IF('_JobDays'!B4,MIN(8,K49)*K48,K48*K49)))),MAX(0,40*MAX(1,K48)-(J50)))))</f>
        <v>8</v>
      </c>
      <c r="L50" s="62">
        <f>IF(AND(L48=1,L49=8,E47="Auto",B47="COORDINATOR QA-QC 1",AND('Job setup'!$B$7="ON",'Job setup'!$C$7&lt;=L$6,'Job setup'!$D$7&gt;=L$6,'Job setup'!$G$7="YES")),8,IF(OS47,MIN(IF(OR(L48&lt;=0,NOT('_JobDays'!C2)),0,IF(WEEKDAY(L$6,1)=1,0,MIN(IF('_JobDays'!C3,8,10),L49)*L48)),MAX(0,40*MAX(1,L48)-(J50+K50))),MIN(IF(OR(L48&lt;=0,NOT('_JobDays'!C2)),0,IF(WEEKDAY(L$6,1)=1,0,IF(WEEKDAY(L$6,1)=7,0,IF('_JobDays'!C4,MIN(8,L49)*L48,L48*L49)))),MAX(0,40*MAX(1,L48)-(J50+K50)))))</f>
        <v>8</v>
      </c>
      <c r="M50" s="62">
        <f>IF(AND(M48=1,M49=8,E47="Auto",B47="COORDINATOR QA-QC 1",AND('Job setup'!$B$7="ON",'Job setup'!$C$7&lt;=M$6,'Job setup'!$D$7&gt;=M$6,'Job setup'!$G$7="YES")),8,IF(OS47,MIN(IF(OR(M48&lt;=0,NOT('_JobDays'!D2)),0,IF(WEEKDAY(M$6,1)=1,0,MIN(IF('_JobDays'!D3,8,10),M49)*M48)),MAX(0,40*MAX(1,M48)-(J50+K50+L50))),MIN(IF(OR(M48&lt;=0,NOT('_JobDays'!D2)),0,IF(WEEKDAY(M$6,1)=1,0,IF(WEEKDAY(M$6,1)=7,0,IF('_JobDays'!D4,MIN(8,M49)*M48,M48*M49)))),MAX(0,40*MAX(1,M48)-(J50+K50+L50)))))</f>
        <v>8</v>
      </c>
      <c r="N50" s="62">
        <f>IF(AND(N48=1,N49=8,E47="Auto",B47="COORDINATOR QA-QC 1",AND('Job setup'!$B$7="ON",'Job setup'!$C$7&lt;=N$6,'Job setup'!$D$7&gt;=N$6,'Job setup'!$G$7="YES")),8,IF(OS47,MIN(IF(OR(N48&lt;=0,NOT('_JobDays'!E2)),0,IF(WEEKDAY(N$6,1)=1,0,MIN(IF('_JobDays'!E3,8,10),N49)*N48)),MAX(0,40*MAX(1,N48)-(J50+K50+L50+M50))),MIN(IF(OR(N48&lt;=0,NOT('_JobDays'!E2)),0,IF(WEEKDAY(N$6,1)=1,0,IF(WEEKDAY(N$6,1)=7,0,IF('_JobDays'!E4,MIN(8,N49)*N48,N48*N49)))),MAX(0,40*MAX(1,N48)-(J50+K50+L50+M50)))))</f>
        <v>8</v>
      </c>
      <c r="O50" s="63">
        <f>IF(AND(O48=0,O49=0,E47="Auto",B47="COORDINATOR QA-QC 1",AND('Job setup'!$B$7="ON",'Job setup'!$C$7&lt;=O$6,'Job setup'!$D$7&gt;=O$6,'Job setup'!$G$7="YES")),0,IF(OS47,MIN(IF(OR(O48&lt;=0,NOT('_JobDays'!F2)),0,IF(WEEKDAY(O$6,1)=1,0,MIN(IF('_JobDays'!F3,8,10),O49)*O48)),MAX(0,40*MAX(1,O48)-(J50+K50+L50+M50+N50))),MIN(IF(OR(O48&lt;=0,NOT('_JobDays'!F2)),0,IF(WEEKDAY(O$6,1)=1,0,IF(WEEKDAY(O$6,1)=7,0,IF('_JobDays'!F4,MIN(8,O49)*O48,O48*O49)))),MAX(0,40*MAX(1,O48)-(J50+K50+L50+M50+N50)))))</f>
        <v>0</v>
      </c>
      <c r="P50" s="63">
        <f>IF(AND(P48=0,P49=0,E47="Auto",B47="COORDINATOR QA-QC 1",AND('Job setup'!$B$7="ON",'Job setup'!$C$7&lt;=P$6,'Job setup'!$D$7&gt;=P$6,'Job setup'!$G$7="YES")),0,IF(OS47,MIN(IF(OR(P48&lt;=0,NOT('_JobDays'!G2)),0,IF(WEEKDAY(P$6,1)=1,0,MIN(IF('_JobDays'!G3,8,10),P49)*P48)),MAX(0,40*MAX(1,P48)-(J50+K50+L50+M50+N50+O50))),MIN(IF(OR(P48&lt;=0,NOT('_JobDays'!G2)),0,IF(WEEKDAY(P$6,1)=1,0,IF(WEEKDAY(P$6,1)=7,0,IF('_JobDays'!G4,MIN(8,P49)*P48,P48*P49)))),MAX(0,40*MAX(1,P48)-(J50+K50+L50+M50+N50+O50)))))</f>
        <v>0</v>
      </c>
      <c r="Q50" s="62">
        <f>IF(AND(Q48=1,Q49=8,E47="Auto",B47="COORDINATOR QA-QC 1",AND('Job setup'!$B$7="ON",'Job setup'!$C$7&lt;=Q$6,'Job setup'!$D$7&gt;=Q$6,'Job setup'!$G$7="YES")),8,IF(OS47,MIN(IF(OR(Q48&lt;=0,NOT('_JobDays'!H2)),0,IF(WEEKDAY(Q$6,1)=1,0,MIN(IF('_JobDays'!H3,8,10),Q49)*Q48)),MAX(0,40*MAX(1,Q48)-(0))),MIN(IF(OR(Q48&lt;=0,NOT('_JobDays'!H2)),0,IF(WEEKDAY(Q$6,1)=1,0,IF(WEEKDAY(Q$6,1)=7,0,IF('_JobDays'!H4,MIN(8,Q49)*Q48,Q48*Q49)))),MAX(0,40*MAX(1,Q48)-(0)))))</f>
        <v>8</v>
      </c>
      <c r="R50" s="62">
        <f>IF(AND(R48=1,R49=8,E47="Auto",B47="COORDINATOR QA-QC 1",AND('Job setup'!$B$7="ON",'Job setup'!$C$7&lt;=R$6,'Job setup'!$D$7&gt;=R$6,'Job setup'!$G$7="YES")),8,IF(OS47,MIN(IF(OR(R48&lt;=0,NOT('_JobDays'!I2)),0,IF(WEEKDAY(R$6,1)=1,0,MIN(IF('_JobDays'!I3,8,10),R49)*R48)),MAX(0,40*MAX(1,R48)-(Q50))),MIN(IF(OR(R48&lt;=0,NOT('_JobDays'!I2)),0,IF(WEEKDAY(R$6,1)=1,0,IF(WEEKDAY(R$6,1)=7,0,IF('_JobDays'!I4,MIN(8,R49)*R48,R48*R49)))),MAX(0,40*MAX(1,R48)-(Q50)))))</f>
        <v>8</v>
      </c>
      <c r="S50" s="62">
        <f>IF(AND(S48=1,S49=8,E47="Auto",B47="COORDINATOR QA-QC 1",AND('Job setup'!$B$7="ON",'Job setup'!$C$7&lt;=S$6,'Job setup'!$D$7&gt;=S$6,'Job setup'!$G$7="YES")),8,IF(OS47,MIN(IF(OR(S48&lt;=0,NOT('_JobDays'!J2)),0,IF(WEEKDAY(S$6,1)=1,0,MIN(IF('_JobDays'!J3,8,10),S49)*S48)),MAX(0,40*MAX(1,S48)-(Q50+R50))),MIN(IF(OR(S48&lt;=0,NOT('_JobDays'!J2)),0,IF(WEEKDAY(S$6,1)=1,0,IF(WEEKDAY(S$6,1)=7,0,IF('_JobDays'!J4,MIN(8,S49)*S48,S48*S49)))),MAX(0,40*MAX(1,S48)-(Q50+R50)))))</f>
        <v>8</v>
      </c>
      <c r="T50" s="62">
        <f>IF(AND(T48=1,T49=12,E47="Auto",B47="COORDINATOR QA-QC 1",AND('Job setup'!$B$9="ON",'Job setup'!$C$9&lt;=T$6,'Job setup'!$D$9&gt;=T$6,'Job setup'!$G$9="NO")),10,IF(OS47,MIN(IF(OR(T48&lt;=0,NOT('_JobDays'!K2)),0,IF(WEEKDAY(T$6,1)=1,0,MIN(IF('_JobDays'!K3,8,10),T49)*T48)),MAX(0,40*MAX(1,T48)-(Q50+R50+S50))),MIN(IF(OR(T48&lt;=0,NOT('_JobDays'!K2)),0,IF(WEEKDAY(T$6,1)=1,0,IF(WEEKDAY(T$6,1)=7,0,IF('_JobDays'!K4,MIN(8,T49)*T48,T48*T49)))),MAX(0,40*MAX(1,T48)-(Q50+R50+S50)))))</f>
        <v>10</v>
      </c>
      <c r="U50" s="62">
        <f>IF(AND(U48=1,U49=12,E47="Auto",B47="COORDINATOR QA-QC 1",AND('Job setup'!$B$9="ON",'Job setup'!$C$9&lt;=U$6,'Job setup'!$D$9&gt;=U$6,'Job setup'!$G$9="NO")),10,IF(OS47,MIN(IF(OR(U48&lt;=0,NOT('_JobDays'!L2)),0,IF(WEEKDAY(U$6,1)=1,0,MIN(IF('_JobDays'!L3,8,10),U49)*U48)),MAX(0,40*MAX(1,U48)-(Q50+R50+S50+T50))),MIN(IF(OR(U48&lt;=0,NOT('_JobDays'!L2)),0,IF(WEEKDAY(U$6,1)=1,0,IF(WEEKDAY(U$6,1)=7,0,IF('_JobDays'!L4,MIN(8,U49)*U48,U48*U49)))),MAX(0,40*MAX(1,U48)-(Q50+R50+S50+T50)))))</f>
        <v>10</v>
      </c>
      <c r="V50" s="63">
        <f>IF(AND(V48=1,V49=12,E47="Auto",B47="COORDINATOR QA-QC 1",AND('Job setup'!$B$9="ON",'Job setup'!$C$9&lt;=V$6,'Job setup'!$D$9&gt;=V$6,'Job setup'!$G$9="NO")),10,IF(OS47,MIN(IF(OR(V48&lt;=0,NOT('_JobDays'!M2)),0,IF(WEEKDAY(V$6,1)=1,0,MIN(IF('_JobDays'!M3,8,10),V49)*V48)),MAX(0,40*MAX(1,V48)-(Q50+R50+S50+T50+U50))),MIN(IF(OR(V48&lt;=0,NOT('_JobDays'!M2)),0,IF(WEEKDAY(V$6,1)=1,0,IF(WEEKDAY(V$6,1)=7,0,IF('_JobDays'!M4,MIN(8,V49)*V48,V48*V49)))),MAX(0,40*MAX(1,V48)-(Q50+R50+S50+T50+U50)))))</f>
        <v>10</v>
      </c>
      <c r="W50" s="63">
        <f>IF(AND(W48=1,W49=12,E47="Auto",B47="COORDINATOR QA-QC 1",AND('Job setup'!$B$9="ON",'Job setup'!$C$9&lt;=W$6,'Job setup'!$D$9&gt;=W$6,'Job setup'!$G$9="NO")),0,IF(OS47,MIN(IF(OR(W48&lt;=0,NOT('_JobDays'!N2)),0,IF(WEEKDAY(W$6,1)=1,0,MIN(IF('_JobDays'!N3,8,10),W49)*W48)),MAX(0,40*MAX(1,W48)-(Q50+R50+S50+T50+U50+V50))),MIN(IF(OR(W48&lt;=0,NOT('_JobDays'!N2)),0,IF(WEEKDAY(W$6,1)=1,0,IF(WEEKDAY(W$6,1)=7,0,IF('_JobDays'!N4,MIN(8,W49)*W48,W48*W49)))),MAX(0,40*MAX(1,W48)-(Q50+R50+S50+T50+U50+V50)))))</f>
        <v>0</v>
      </c>
      <c r="X50" s="62">
        <f>IF(AND(X48=1,X49=12,E47="Auto",B47="COORDINATOR QA-QC 1",AND('Job setup'!$B$9="ON",'Job setup'!$C$9&lt;=X$6,'Job setup'!$D$9&gt;=X$6,'Job setup'!$G$9="NO")),10,IF(OS47,MIN(IF(OR(X48&lt;=0,NOT('_JobDays'!O2)),0,IF(WEEKDAY(X$6,1)=1,0,MIN(IF('_JobDays'!O3,8,10),X49)*X48)),MAX(0,40*MAX(1,X48)-(0))),MIN(IF(OR(X48&lt;=0,NOT('_JobDays'!O2)),0,IF(WEEKDAY(X$6,1)=1,0,IF(WEEKDAY(X$6,1)=7,0,IF('_JobDays'!O4,MIN(8,X49)*X48,X48*X49)))),MAX(0,40*MAX(1,X48)-(0)))))</f>
        <v>10</v>
      </c>
      <c r="Y50" s="62">
        <f>IF(AND(Y48=1,Y49=12,E47="Auto",B47="COORDINATOR QA-QC 1",AND('Job setup'!$B$9="ON",'Job setup'!$C$9&lt;=Y$6,'Job setup'!$D$9&gt;=Y$6,'Job setup'!$G$9="NO")),10,IF(OS47,MIN(IF(OR(Y48&lt;=0,NOT('_JobDays'!P2)),0,IF(WEEKDAY(Y$6,1)=1,0,MIN(IF('_JobDays'!P3,8,10),Y49)*Y48)),MAX(0,40*MAX(1,Y48)-(X50))),MIN(IF(OR(Y48&lt;=0,NOT('_JobDays'!P2)),0,IF(WEEKDAY(Y$6,1)=1,0,IF(WEEKDAY(Y$6,1)=7,0,IF('_JobDays'!P4,MIN(8,Y49)*Y48,Y48*Y49)))),MAX(0,40*MAX(1,Y48)-(X50)))))</f>
        <v>10</v>
      </c>
      <c r="Z50" s="62">
        <f>IF(AND(Z48=1,Z49=12,E47="Auto",B47="COORDINATOR QA-QC 1",AND('Job setup'!$B$9="ON",'Job setup'!$C$9&lt;=Z$6,'Job setup'!$D$9&gt;=Z$6,'Job setup'!$G$9="NO")),10,IF(OS47,MIN(IF(OR(Z48&lt;=0,NOT('_JobDays'!Q2)),0,IF(WEEKDAY(Z$6,1)=1,0,MIN(IF('_JobDays'!Q3,8,10),Z49)*Z48)),MAX(0,40*MAX(1,Z48)-(X50+Y50))),MIN(IF(OR(Z48&lt;=0,NOT('_JobDays'!Q2)),0,IF(WEEKDAY(Z$6,1)=1,0,IF(WEEKDAY(Z$6,1)=7,0,IF('_JobDays'!Q4,MIN(8,Z49)*Z48,Z48*Z49)))),MAX(0,40*MAX(1,Z48)-(X50+Y50)))))</f>
        <v>10</v>
      </c>
      <c r="AA50" s="62">
        <f>IF(AND(AA48=1,AA49=12,E47="Auto",B47="COORDINATOR QA-QC 1",AND('Job setup'!$B$9="ON",'Job setup'!$C$9&lt;=AA$6,'Job setup'!$D$9&gt;=AA$6,'Job setup'!$G$9="NO")),10,IF(OS47,MIN(IF(OR(AA48&lt;=0,NOT('_JobDays'!R2)),0,IF(WEEKDAY(AA$6,1)=1,0,MIN(IF('_JobDays'!R3,8,10),AA49)*AA48)),MAX(0,40*MAX(1,AA48)-(X50+Y50+Z50))),MIN(IF(OR(AA48&lt;=0,NOT('_JobDays'!R2)),0,IF(WEEKDAY(AA$6,1)=1,0,IF(WEEKDAY(AA$6,1)=7,0,IF('_JobDays'!R4,MIN(8,AA49)*AA48,AA48*AA49)))),MAX(0,40*MAX(1,AA48)-(X50+Y50+Z50)))))</f>
        <v>10</v>
      </c>
      <c r="AB50" s="62">
        <f>IF(AND(AB48=1,AB49=12,E47="Auto",B47="COORDINATOR QA-QC 1",AND('Job setup'!$B$9="ON",'Job setup'!$C$9&lt;=AB$6,'Job setup'!$D$9&gt;=AB$6,'Job setup'!$G$9="NO")),0,IF(OS47,MIN(IF(OR(AB48&lt;=0,NOT('_JobDays'!S2)),0,IF(WEEKDAY(AB$6,1)=1,0,MIN(IF('_JobDays'!S3,8,10),AB49)*AB48)),MAX(0,40*MAX(1,AB48)-(X50+Y50+Z50+AA50))),MIN(IF(OR(AB48&lt;=0,NOT('_JobDays'!S2)),0,IF(WEEKDAY(AB$6,1)=1,0,IF(WEEKDAY(AB$6,1)=7,0,IF('_JobDays'!S4,MIN(8,AB49)*AB48,AB48*AB49)))),MAX(0,40*MAX(1,AB48)-(X50+Y50+Z50+AA50)))))</f>
        <v>0</v>
      </c>
      <c r="AC50" s="63">
        <f>IF(AND(AC48=1,AC49=12,E47="Auto",B47="COORDINATOR QA-QC 1",AND('Job setup'!$B$9="ON",'Job setup'!$C$9&lt;=AC$6,'Job setup'!$D$9&gt;=AC$6,'Job setup'!$G$9="NO")),0,IF(OS47,MIN(IF(OR(AC48&lt;=0,NOT('_JobDays'!T2)),0,IF(WEEKDAY(AC$6,1)=1,0,MIN(IF('_JobDays'!T3,8,10),AC49)*AC48)),MAX(0,40*MAX(1,AC48)-(X50+Y50+Z50+AA50+AB50))),MIN(IF(OR(AC48&lt;=0,NOT('_JobDays'!T2)),0,IF(WEEKDAY(AC$6,1)=1,0,IF(WEEKDAY(AC$6,1)=7,0,IF('_JobDays'!T4,MIN(8,AC49)*AC48,AC48*AC49)))),MAX(0,40*MAX(1,AC48)-(X50+Y50+Z50+AA50+AB50)))))</f>
        <v>0</v>
      </c>
      <c r="AD50" s="63">
        <f>IF(AND(AD48=1,AD49=12,E47="Auto",B47="COORDINATOR QA-QC 1",AND('Job setup'!$B$9="ON",'Job setup'!$C$9&lt;=AD$6,'Job setup'!$D$9&gt;=AD$6,'Job setup'!$G$9="NO")),0,IF(OS47,MIN(IF(OR(AD48&lt;=0,NOT('_JobDays'!U2)),0,IF(WEEKDAY(AD$6,1)=1,0,MIN(IF('_JobDays'!U3,8,10),AD49)*AD48)),MAX(0,40*MAX(1,AD48)-(X50+Y50+Z50+AA50+AB50+AC50))),MIN(IF(OR(AD48&lt;=0,NOT('_JobDays'!U2)),0,IF(WEEKDAY(AD$6,1)=1,0,IF(WEEKDAY(AD$6,1)=7,0,IF('_JobDays'!U4,MIN(8,AD49)*AD48,AD48*AD49)))),MAX(0,40*MAX(1,AD48)-(X50+Y50+Z50+AA50+AB50+AC50)))))</f>
        <v>0</v>
      </c>
      <c r="AE50" s="62">
        <f>IF(AND(AE48=1,AE49=12,E47="Auto",B47="COORDINATOR QA-QC 1",AND('Job setup'!$B$9="ON",'Job setup'!$C$9&lt;=AE$6,'Job setup'!$D$9&gt;=AE$6,'Job setup'!$G$9="NO")),10,IF(OS47,MIN(IF(OR(AE48&lt;=0,NOT('_JobDays'!V2)),0,IF(WEEKDAY(AE$6,1)=1,0,MIN(IF('_JobDays'!V3,8,10),AE49)*AE48)),MAX(0,40*MAX(1,AE48)-(0))),MIN(IF(OR(AE48&lt;=0,NOT('_JobDays'!V2)),0,IF(WEEKDAY(AE$6,1)=1,0,IF(WEEKDAY(AE$6,1)=7,0,IF('_JobDays'!V4,MIN(8,AE49)*AE48,AE48*AE49)))),MAX(0,40*MAX(1,AE48)-(0)))))</f>
        <v>10</v>
      </c>
      <c r="AF50" s="62">
        <f>IF(AND(AF48=1,AF49=12,E47="Auto",B47="COORDINATOR QA-QC 1",AND('Job setup'!$B$9="ON",'Job setup'!$C$9&lt;=AF$6,'Job setup'!$D$9&gt;=AF$6,'Job setup'!$G$9="NO")),10,IF(OS47,MIN(IF(OR(AF48&lt;=0,NOT('_JobDays'!W2)),0,IF(WEEKDAY(AF$6,1)=1,0,MIN(IF('_JobDays'!W3,8,10),AF49)*AF48)),MAX(0,40*MAX(1,AF48)-(AE50))),MIN(IF(OR(AF48&lt;=0,NOT('_JobDays'!W2)),0,IF(WEEKDAY(AF$6,1)=1,0,IF(WEEKDAY(AF$6,1)=7,0,IF('_JobDays'!W4,MIN(8,AF49)*AF48,AF48*AF49)))),MAX(0,40*MAX(1,AF48)-(AE50)))))</f>
        <v>10</v>
      </c>
      <c r="AG50" s="62">
        <f>IF(AND(AG48=1,AG49=12,E47="Auto",B47="COORDINATOR QA-QC 1",AND('Job setup'!$B$9="ON",'Job setup'!$C$9&lt;=AG$6,'Job setup'!$D$9&gt;=AG$6,'Job setup'!$G$9="NO")),10,IF(OS47,MIN(IF(OR(AG48&lt;=0,NOT('_JobDays'!X2)),0,IF(WEEKDAY(AG$6,1)=1,0,MIN(IF('_JobDays'!X3,8,10),AG49)*AG48)),MAX(0,40*MAX(1,AG48)-(AE50+AF50))),MIN(IF(OR(AG48&lt;=0,NOT('_JobDays'!X2)),0,IF(WEEKDAY(AG$6,1)=1,0,IF(WEEKDAY(AG$6,1)=7,0,IF('_JobDays'!X4,MIN(8,AG49)*AG48,AG48*AG49)))),MAX(0,40*MAX(1,AG48)-(AE50+AF50)))))</f>
        <v>10</v>
      </c>
      <c r="AH50" s="62">
        <f>IF(AND(AH48=0,AH49=0,E47="Auto",B47="COORDINATOR QA-QC 1",AND('Job setup'!$B$11="ON",'Job setup'!$C$11&lt;=AH$6,'Job setup'!$D$11&gt;=AH$6,'Job setup'!$G$11="YES")),0,IF(OS47,MIN(IF(OR(AH48&lt;=0,NOT('_JobDays'!Y2)),0,IF(WEEKDAY(AH$6,1)=1,0,MIN(IF('_JobDays'!Y3,8,10),AH49)*AH48)),MAX(0,40*MAX(1,AH48)-(AE50+AF50+AG50))),MIN(IF(OR(AH48&lt;=0,NOT('_JobDays'!Y2)),0,IF(WEEKDAY(AH$6,1)=1,0,IF(WEEKDAY(AH$6,1)=7,0,IF('_JobDays'!Y4,MIN(8,AH49)*AH48,AH48*AH49)))),MAX(0,40*MAX(1,AH48)-(AE50+AF50+AG50)))))</f>
        <v>0</v>
      </c>
      <c r="AI50" s="62">
        <f>IF(AND(AI48=0,AI49=0,E47="Auto",B47="COORDINATOR QA-QC 1",AND('Job setup'!$B$11="ON",'Job setup'!$C$11&lt;=AI$6,'Job setup'!$D$11&gt;=AI$6,'Job setup'!$G$11="YES")),0,IF(OS47,MIN(IF(OR(AI48&lt;=0,NOT('_JobDays'!Z2)),0,IF(WEEKDAY(AI$6,1)=1,0,MIN(IF('_JobDays'!Z3,8,10),AI49)*AI48)),MAX(0,40*MAX(1,AI48)-(AE50+AF50+AG50+AH50))),MIN(IF(OR(AI48&lt;=0,NOT('_JobDays'!Z2)),0,IF(WEEKDAY(AI$6,1)=1,0,IF(WEEKDAY(AI$6,1)=7,0,IF('_JobDays'!Z4,MIN(8,AI49)*AI48,AI48*AI49)))),MAX(0,40*MAX(1,AI48)-(AE50+AF50+AG50+AH50)))))</f>
        <v>0</v>
      </c>
      <c r="AJ50" s="63">
        <f>IF(AND(AJ48=0,AJ49=0,E47="Auto",B47="COORDINATOR QA-QC 1",AND('Job setup'!$B$11="ON",'Job setup'!$C$11&lt;=AJ$6,'Job setup'!$D$11&gt;=AJ$6,'Job setup'!$G$11="YES")),0,IF(OS47,MIN(IF(OR(AJ48&lt;=0,NOT('_JobDays'!AA2)),0,IF(WEEKDAY(AJ$6,1)=1,0,MIN(IF('_JobDays'!AA3,8,10),AJ49)*AJ48)),MAX(0,40*MAX(1,AJ48)-(AE50+AF50+AG50+AH50+AI50))),MIN(IF(OR(AJ48&lt;=0,NOT('_JobDays'!AA2)),0,IF(WEEKDAY(AJ$6,1)=1,0,IF(WEEKDAY(AJ$6,1)=7,0,IF('_JobDays'!AA4,MIN(8,AJ49)*AJ48,AJ48*AJ49)))),MAX(0,40*MAX(1,AJ48)-(AE50+AF50+AG50+AH50+AI50)))))</f>
        <v>0</v>
      </c>
      <c r="AK50" s="63">
        <f>IF(AND(AK48=0,AK49=0,E47="Auto",B47="COORDINATOR QA-QC 1",AND('Job setup'!$B$11="ON",'Job setup'!$C$11&lt;=AK$6,'Job setup'!$D$11&gt;=AK$6,'Job setup'!$G$11="YES")),0,IF(OS47,MIN(IF(OR(AK48&lt;=0,NOT('_JobDays'!AB2)),0,IF(WEEKDAY(AK$6,1)=1,0,MIN(IF('_JobDays'!AB3,8,10),AK49)*AK48)),MAX(0,40*MAX(1,AK48)-(AE50+AF50+AG50+AH50+AI50+AJ50))),MIN(IF(OR(AK48&lt;=0,NOT('_JobDays'!AB2)),0,IF(WEEKDAY(AK$6,1)=1,0,IF(WEEKDAY(AK$6,1)=7,0,IF('_JobDays'!AB4,MIN(8,AK49)*AK48,AK48*AK49)))),MAX(0,40*MAX(1,AK48)-(AE50+AF50+AG50+AH50+AI50+AJ50)))))</f>
        <v>0</v>
      </c>
      <c r="AL50" s="62">
        <f>IF(AND(AL48=0,AL49=0,E47="Auto",B47="COORDINATOR QA-QC 1",AND('Job setup'!$B$11="ON",'Job setup'!$C$11&lt;=AL$6,'Job setup'!$D$11&gt;=AL$6,'Job setup'!$G$11="YES")),0,IF(OS47,MIN(IF(OR(AL48&lt;=0,NOT('_JobDays'!AC2)),0,IF(WEEKDAY(AL$6,1)=1,0,MIN(IF('_JobDays'!AC3,8,10),AL49)*AL48)),MAX(0,40*MAX(1,AL48)-(0))),MIN(IF(OR(AL48&lt;=0,NOT('_JobDays'!AC2)),0,IF(WEEKDAY(AL$6,1)=1,0,IF(WEEKDAY(AL$6,1)=7,0,IF('_JobDays'!AC4,MIN(8,AL49)*AL48,AL48*AL49)))),MAX(0,40*MAX(1,AL48)-(0)))))</f>
        <v>0</v>
      </c>
      <c r="AM50" s="62">
        <f>IF(AND(AM48=0,AM49=0,E47="Auto",B47="COORDINATOR QA-QC 1",AND('Job setup'!$B$11="ON",'Job setup'!$C$11&lt;=AM$6,'Job setup'!$D$11&gt;=AM$6,'Job setup'!$G$11="YES")),0,IF(OS47,MIN(IF(OR(AM48&lt;=0,NOT('_JobDays'!AD2)),0,IF(WEEKDAY(AM$6,1)=1,0,MIN(IF('_JobDays'!AD3,8,10),AM49)*AM48)),MAX(0,40*MAX(1,AM48)-(AL50))),MIN(IF(OR(AM48&lt;=0,NOT('_JobDays'!AD2)),0,IF(WEEKDAY(AM$6,1)=1,0,IF(WEEKDAY(AM$6,1)=7,0,IF('_JobDays'!AD4,MIN(8,AM49)*AM48,AM48*AM49)))),MAX(0,40*MAX(1,AM48)-(AL50)))))</f>
        <v>0</v>
      </c>
      <c r="AN50" s="62">
        <f>IF(AND(AN48=0,AN49=0,E47="Auto",B47="COORDINATOR QA-QC 1",AND('Job setup'!$B$11="ON",'Job setup'!$C$11&lt;=AN$6,'Job setup'!$D$11&gt;=AN$6,'Job setup'!$G$11="YES")),0,IF(OS47,MIN(IF(OR(AN48&lt;=0,NOT('_JobDays'!AE2)),0,IF(WEEKDAY(AN$6,1)=1,0,MIN(IF('_JobDays'!AE3,8,10),AN49)*AN48)),MAX(0,40*MAX(1,AN48)-(AL50+AM50))),MIN(IF(OR(AN48&lt;=0,NOT('_JobDays'!AE2)),0,IF(WEEKDAY(AN$6,1)=1,0,IF(WEEKDAY(AN$6,1)=7,0,IF('_JobDays'!AE4,MIN(8,AN49)*AN48,AN48*AN49)))),MAX(0,40*MAX(1,AN48)-(AL50+AM50)))))</f>
        <v>0</v>
      </c>
      <c r="AO50" s="64">
        <f>IF(AND(AO48=0,AO49=0,E47="Auto",B47="COORDINATOR QA-QC 1",AND('Job setup'!$B$11="ON",'Job setup'!$C$11&lt;=AO$6,'Job setup'!$D$11&gt;=AO$6,'Job setup'!$G$11="YES")),0,IF(OS47,MIN(IF(OR(AO48&lt;=0,NOT('_JobDays'!AF2)),0,IF(WEEKDAY(AO$6,1)=1,0,MIN(IF('_JobDays'!AF3,8,10),AO49)*AO48)),MAX(0,40*MAX(1,AO48)-(AL50+AM50+AN50))),MIN(IF(OR(AO48&lt;=0,NOT('_JobDays'!AF2)),0,IF(WEEKDAY(AO$6,1)=1,0,IF(WEEKDAY(AO$6,1)=7,0,IF('_JobDays'!AF4,MIN(8,AO49)*AO48,AO48*AO49)))),MAX(0,40*MAX(1,AO48)-(AL50+AM50+AN50)))))</f>
        <v>0</v>
      </c>
      <c r="OT50" s="28" t="s">
        <v>72</v>
      </c>
    </row>
    <row r="51" ht="16" customHeight="1" spans="1:410" x14ac:dyDescent="0.25">
      <c r="A51" s="73"/>
      <c r="B51" s="44"/>
      <c r="C51" s="65">
        <f>G47*N(D51)</f>
        <v>6325.88</v>
      </c>
      <c r="D51" s="65">
        <f>IF(TRIM(B47)="","No rate",IFERROR(INDEX('Rate Tables'!D$7:D$161,MATCH(B47,'Rate Tables'!A$7:A$161,0)),"No rate"))</f>
        <v>143.77</v>
      </c>
      <c r="E51" s="54" t="s">
        <v>61</v>
      </c>
      <c r="F51" s="48"/>
      <c r="G51" s="48"/>
      <c r="H51" s="48"/>
      <c r="I51" s="49"/>
      <c r="J51" s="61">
        <f>IF(AND(J48=1,J49=8,E47="Auto",B47="COORDINATOR QA-QC 1",AND('Job setup'!$B$7="ON",'Job setup'!$C$7&lt;=J$6,'Job setup'!$D$7&gt;=J$6,'Job setup'!$G$7="YES")),0,IF(OS47,IF(OR(J48&lt;=0,NOT('_JobDays'!A2)),0,IF(WEEKDAY(J$6,1)=1,0,MAX(0,J49-(IF('_JobDays'!A3,8,10)))*J48))+((IF(OR(J48&lt;=0,NOT('_JobDays'!A2)),0,IF(WEEKDAY(J$6,1)=1,0,MIN(IF('_JobDays'!A3,8,10),J49)*J48)))-MIN(IF(OR(J48&lt;=0,NOT('_JobDays'!A2)),0,IF(WEEKDAY(J$6,1)=1,0,MIN(IF('_JobDays'!A3,8,10),J49)*J48)),MAX(0,40*MAX(1,J48)-(0)))),IF(OR(J48&lt;=0,NOT('_JobDays'!A2)),0,IF(WEEKDAY(J$6,1)=1,0,IF(WEEKDAY(J$6,1)=7,J48*J49,IF('_JobDays'!A4,MAX(0,J49-8)*J48,0))))+((IF(OR(J48&lt;=0,NOT('_JobDays'!A2)),0,IF(WEEKDAY(J$6,1)=1,0,IF(WEEKDAY(J$6,1)=7,0,IF('_JobDays'!A4,MIN(8,J49)*J48,J48*J49)))))-MIN(IF(OR(J48&lt;=0,NOT('_JobDays'!A2)),0,IF(WEEKDAY(J$6,1)=1,0,IF(WEEKDAY(J$6,1)=7,0,IF('_JobDays'!A4,MIN(8,J49)*J48,J48*J49)))),MAX(0,40*MAX(1,J48)-(0))))))</f>
        <v>0</v>
      </c>
      <c r="K51" s="62">
        <f>IF(AND(K48=1,K49=8,E47="Auto",B47="COORDINATOR QA-QC 1",AND('Job setup'!$B$7="ON",'Job setup'!$C$7&lt;=K$6,'Job setup'!$D$7&gt;=K$6,'Job setup'!$G$7="YES")),0,IF(OS47,IF(OR(K48&lt;=0,NOT('_JobDays'!B2)),0,IF(WEEKDAY(K$6,1)=1,0,MAX(0,K49-(IF('_JobDays'!B3,8,10)))*K48))+((IF(OR(K48&lt;=0,NOT('_JobDays'!B2)),0,IF(WEEKDAY(K$6,1)=1,0,MIN(IF('_JobDays'!B3,8,10),K49)*K48)))-MIN(IF(OR(K48&lt;=0,NOT('_JobDays'!B2)),0,IF(WEEKDAY(K$6,1)=1,0,MIN(IF('_JobDays'!B3,8,10),K49)*K48)),MAX(0,40*MAX(1,K48)-(J50)))),IF(OR(K48&lt;=0,NOT('_JobDays'!B2)),0,IF(WEEKDAY(K$6,1)=1,0,IF(WEEKDAY(K$6,1)=7,K48*K49,IF('_JobDays'!B4,MAX(0,K49-8)*K48,0))))+((IF(OR(K48&lt;=0,NOT('_JobDays'!B2)),0,IF(WEEKDAY(K$6,1)=1,0,IF(WEEKDAY(K$6,1)=7,0,IF('_JobDays'!B4,MIN(8,K49)*K48,K48*K49)))))-MIN(IF(OR(K48&lt;=0,NOT('_JobDays'!B2)),0,IF(WEEKDAY(K$6,1)=1,0,IF(WEEKDAY(K$6,1)=7,0,IF('_JobDays'!B4,MIN(8,K49)*K48,K48*K49)))),MAX(0,40*MAX(1,K48)-(J50))))))</f>
        <v>0</v>
      </c>
      <c r="L51" s="62">
        <f>IF(AND(L48=1,L49=8,E47="Auto",B47="COORDINATOR QA-QC 1",AND('Job setup'!$B$7="ON",'Job setup'!$C$7&lt;=L$6,'Job setup'!$D$7&gt;=L$6,'Job setup'!$G$7="YES")),0,IF(OS47,IF(OR(L48&lt;=0,NOT('_JobDays'!C2)),0,IF(WEEKDAY(L$6,1)=1,0,MAX(0,L49-(IF('_JobDays'!C3,8,10)))*L48))+((IF(OR(L48&lt;=0,NOT('_JobDays'!C2)),0,IF(WEEKDAY(L$6,1)=1,0,MIN(IF('_JobDays'!C3,8,10),L49)*L48)))-MIN(IF(OR(L48&lt;=0,NOT('_JobDays'!C2)),0,IF(WEEKDAY(L$6,1)=1,0,MIN(IF('_JobDays'!C3,8,10),L49)*L48)),MAX(0,40*MAX(1,L48)-(J50+K50)))),IF(OR(L48&lt;=0,NOT('_JobDays'!C2)),0,IF(WEEKDAY(L$6,1)=1,0,IF(WEEKDAY(L$6,1)=7,L48*L49,IF('_JobDays'!C4,MAX(0,L49-8)*L48,0))))+((IF(OR(L48&lt;=0,NOT('_JobDays'!C2)),0,IF(WEEKDAY(L$6,1)=1,0,IF(WEEKDAY(L$6,1)=7,0,IF('_JobDays'!C4,MIN(8,L49)*L48,L48*L49)))))-MIN(IF(OR(L48&lt;=0,NOT('_JobDays'!C2)),0,IF(WEEKDAY(L$6,1)=1,0,IF(WEEKDAY(L$6,1)=7,0,IF('_JobDays'!C4,MIN(8,L49)*L48,L48*L49)))),MAX(0,40*MAX(1,L48)-(J50+K50))))))</f>
        <v>0</v>
      </c>
      <c r="M51" s="62">
        <f>IF(AND(M48=1,M49=8,E47="Auto",B47="COORDINATOR QA-QC 1",AND('Job setup'!$B$7="ON",'Job setup'!$C$7&lt;=M$6,'Job setup'!$D$7&gt;=M$6,'Job setup'!$G$7="YES")),0,IF(OS47,IF(OR(M48&lt;=0,NOT('_JobDays'!D2)),0,IF(WEEKDAY(M$6,1)=1,0,MAX(0,M49-(IF('_JobDays'!D3,8,10)))*M48))+((IF(OR(M48&lt;=0,NOT('_JobDays'!D2)),0,IF(WEEKDAY(M$6,1)=1,0,MIN(IF('_JobDays'!D3,8,10),M49)*M48)))-MIN(IF(OR(M48&lt;=0,NOT('_JobDays'!D2)),0,IF(WEEKDAY(M$6,1)=1,0,MIN(IF('_JobDays'!D3,8,10),M49)*M48)),MAX(0,40*MAX(1,M48)-(J50+K50+L50)))),IF(OR(M48&lt;=0,NOT('_JobDays'!D2)),0,IF(WEEKDAY(M$6,1)=1,0,IF(WEEKDAY(M$6,1)=7,M48*M49,IF('_JobDays'!D4,MAX(0,M49-8)*M48,0))))+((IF(OR(M48&lt;=0,NOT('_JobDays'!D2)),0,IF(WEEKDAY(M$6,1)=1,0,IF(WEEKDAY(M$6,1)=7,0,IF('_JobDays'!D4,MIN(8,M49)*M48,M48*M49)))))-MIN(IF(OR(M48&lt;=0,NOT('_JobDays'!D2)),0,IF(WEEKDAY(M$6,1)=1,0,IF(WEEKDAY(M$6,1)=7,0,IF('_JobDays'!D4,MIN(8,M49)*M48,M48*M49)))),MAX(0,40*MAX(1,M48)-(J50+K50+L50))))))</f>
        <v>0</v>
      </c>
      <c r="N51" s="62">
        <f>IF(AND(N48=1,N49=8,E47="Auto",B47="COORDINATOR QA-QC 1",AND('Job setup'!$B$7="ON",'Job setup'!$C$7&lt;=N$6,'Job setup'!$D$7&gt;=N$6,'Job setup'!$G$7="YES")),0,IF(OS47,IF(OR(N48&lt;=0,NOT('_JobDays'!E2)),0,IF(WEEKDAY(N$6,1)=1,0,MAX(0,N49-(IF('_JobDays'!E3,8,10)))*N48))+((IF(OR(N48&lt;=0,NOT('_JobDays'!E2)),0,IF(WEEKDAY(N$6,1)=1,0,MIN(IF('_JobDays'!E3,8,10),N49)*N48)))-MIN(IF(OR(N48&lt;=0,NOT('_JobDays'!E2)),0,IF(WEEKDAY(N$6,1)=1,0,MIN(IF('_JobDays'!E3,8,10),N49)*N48)),MAX(0,40*MAX(1,N48)-(J50+K50+L50+M50)))),IF(OR(N48&lt;=0,NOT('_JobDays'!E2)),0,IF(WEEKDAY(N$6,1)=1,0,IF(WEEKDAY(N$6,1)=7,N48*N49,IF('_JobDays'!E4,MAX(0,N49-8)*N48,0))))+((IF(OR(N48&lt;=0,NOT('_JobDays'!E2)),0,IF(WEEKDAY(N$6,1)=1,0,IF(WEEKDAY(N$6,1)=7,0,IF('_JobDays'!E4,MIN(8,N49)*N48,N48*N49)))))-MIN(IF(OR(N48&lt;=0,NOT('_JobDays'!E2)),0,IF(WEEKDAY(N$6,1)=1,0,IF(WEEKDAY(N$6,1)=7,0,IF('_JobDays'!E4,MIN(8,N49)*N48,N48*N49)))),MAX(0,40*MAX(1,N48)-(J50+K50+L50+M50))))))</f>
        <v>0</v>
      </c>
      <c r="O51" s="63">
        <f>IF(AND(O48=0,O49=0,E47="Auto",B47="COORDINATOR QA-QC 1",AND('Job setup'!$B$7="ON",'Job setup'!$C$7&lt;=O$6,'Job setup'!$D$7&gt;=O$6,'Job setup'!$G$7="YES")),0,IF(OS47,IF(OR(O48&lt;=0,NOT('_JobDays'!F2)),0,IF(WEEKDAY(O$6,1)=1,0,MAX(0,O49-(IF('_JobDays'!F3,8,10)))*O48))+((IF(OR(O48&lt;=0,NOT('_JobDays'!F2)),0,IF(WEEKDAY(O$6,1)=1,0,MIN(IF('_JobDays'!F3,8,10),O49)*O48)))-MIN(IF(OR(O48&lt;=0,NOT('_JobDays'!F2)),0,IF(WEEKDAY(O$6,1)=1,0,MIN(IF('_JobDays'!F3,8,10),O49)*O48)),MAX(0,40*MAX(1,O48)-(J50+K50+L50+M50+N50)))),IF(OR(O48&lt;=0,NOT('_JobDays'!F2)),0,IF(WEEKDAY(O$6,1)=1,0,IF(WEEKDAY(O$6,1)=7,O48*O49,IF('_JobDays'!F4,MAX(0,O49-8)*O48,0))))+((IF(OR(O48&lt;=0,NOT('_JobDays'!F2)),0,IF(WEEKDAY(O$6,1)=1,0,IF(WEEKDAY(O$6,1)=7,0,IF('_JobDays'!F4,MIN(8,O49)*O48,O48*O49)))))-MIN(IF(OR(O48&lt;=0,NOT('_JobDays'!F2)),0,IF(WEEKDAY(O$6,1)=1,0,IF(WEEKDAY(O$6,1)=7,0,IF('_JobDays'!F4,MIN(8,O49)*O48,O48*O49)))),MAX(0,40*MAX(1,O48)-(J50+K50+L50+M50+N50))))))</f>
        <v>0</v>
      </c>
      <c r="P51" s="63">
        <f>IF(AND(P48=0,P49=0,E47="Auto",B47="COORDINATOR QA-QC 1",AND('Job setup'!$B$7="ON",'Job setup'!$C$7&lt;=P$6,'Job setup'!$D$7&gt;=P$6,'Job setup'!$G$7="YES")),0,IF(OS47,IF(OR(P48&lt;=0,NOT('_JobDays'!G2)),0,IF(WEEKDAY(P$6,1)=1,0,MAX(0,P49-(IF('_JobDays'!G3,8,10)))*P48))+((IF(OR(P48&lt;=0,NOT('_JobDays'!G2)),0,IF(WEEKDAY(P$6,1)=1,0,MIN(IF('_JobDays'!G3,8,10),P49)*P48)))-MIN(IF(OR(P48&lt;=0,NOT('_JobDays'!G2)),0,IF(WEEKDAY(P$6,1)=1,0,MIN(IF('_JobDays'!G3,8,10),P49)*P48)),MAX(0,40*MAX(1,P48)-(J50+K50+L50+M50+N50+O50)))),IF(OR(P48&lt;=0,NOT('_JobDays'!G2)),0,IF(WEEKDAY(P$6,1)=1,0,IF(WEEKDAY(P$6,1)=7,P48*P49,IF('_JobDays'!G4,MAX(0,P49-8)*P48,0))))+((IF(OR(P48&lt;=0,NOT('_JobDays'!G2)),0,IF(WEEKDAY(P$6,1)=1,0,IF(WEEKDAY(P$6,1)=7,0,IF('_JobDays'!G4,MIN(8,P49)*P48,P48*P49)))))-MIN(IF(OR(P48&lt;=0,NOT('_JobDays'!G2)),0,IF(WEEKDAY(P$6,1)=1,0,IF(WEEKDAY(P$6,1)=7,0,IF('_JobDays'!G4,MIN(8,P49)*P48,P48*P49)))),MAX(0,40*MAX(1,P48)-(J50+K50+L50+M50+N50+O50))))))</f>
        <v>0</v>
      </c>
      <c r="Q51" s="62">
        <f>IF(AND(Q48=1,Q49=8,E47="Auto",B47="COORDINATOR QA-QC 1",AND('Job setup'!$B$7="ON",'Job setup'!$C$7&lt;=Q$6,'Job setup'!$D$7&gt;=Q$6,'Job setup'!$G$7="YES")),0,IF(OS47,IF(OR(Q48&lt;=0,NOT('_JobDays'!H2)),0,IF(WEEKDAY(Q$6,1)=1,0,MAX(0,Q49-(IF('_JobDays'!H3,8,10)))*Q48))+((IF(OR(Q48&lt;=0,NOT('_JobDays'!H2)),0,IF(WEEKDAY(Q$6,1)=1,0,MIN(IF('_JobDays'!H3,8,10),Q49)*Q48)))-MIN(IF(OR(Q48&lt;=0,NOT('_JobDays'!H2)),0,IF(WEEKDAY(Q$6,1)=1,0,MIN(IF('_JobDays'!H3,8,10),Q49)*Q48)),MAX(0,40*MAX(1,Q48)-(0)))),IF(OR(Q48&lt;=0,NOT('_JobDays'!H2)),0,IF(WEEKDAY(Q$6,1)=1,0,IF(WEEKDAY(Q$6,1)=7,Q48*Q49,IF('_JobDays'!H4,MAX(0,Q49-8)*Q48,0))))+((IF(OR(Q48&lt;=0,NOT('_JobDays'!H2)),0,IF(WEEKDAY(Q$6,1)=1,0,IF(WEEKDAY(Q$6,1)=7,0,IF('_JobDays'!H4,MIN(8,Q49)*Q48,Q48*Q49)))))-MIN(IF(OR(Q48&lt;=0,NOT('_JobDays'!H2)),0,IF(WEEKDAY(Q$6,1)=1,0,IF(WEEKDAY(Q$6,1)=7,0,IF('_JobDays'!H4,MIN(8,Q49)*Q48,Q48*Q49)))),MAX(0,40*MAX(1,Q48)-(0))))))</f>
        <v>0</v>
      </c>
      <c r="R51" s="62">
        <f>IF(AND(R48=1,R49=8,E47="Auto",B47="COORDINATOR QA-QC 1",AND('Job setup'!$B$7="ON",'Job setup'!$C$7&lt;=R$6,'Job setup'!$D$7&gt;=R$6,'Job setup'!$G$7="YES")),0,IF(OS47,IF(OR(R48&lt;=0,NOT('_JobDays'!I2)),0,IF(WEEKDAY(R$6,1)=1,0,MAX(0,R49-(IF('_JobDays'!I3,8,10)))*R48))+((IF(OR(R48&lt;=0,NOT('_JobDays'!I2)),0,IF(WEEKDAY(R$6,1)=1,0,MIN(IF('_JobDays'!I3,8,10),R49)*R48)))-MIN(IF(OR(R48&lt;=0,NOT('_JobDays'!I2)),0,IF(WEEKDAY(R$6,1)=1,0,MIN(IF('_JobDays'!I3,8,10),R49)*R48)),MAX(0,40*MAX(1,R48)-(Q50)))),IF(OR(R48&lt;=0,NOT('_JobDays'!I2)),0,IF(WEEKDAY(R$6,1)=1,0,IF(WEEKDAY(R$6,1)=7,R48*R49,IF('_JobDays'!I4,MAX(0,R49-8)*R48,0))))+((IF(OR(R48&lt;=0,NOT('_JobDays'!I2)),0,IF(WEEKDAY(R$6,1)=1,0,IF(WEEKDAY(R$6,1)=7,0,IF('_JobDays'!I4,MIN(8,R49)*R48,R48*R49)))))-MIN(IF(OR(R48&lt;=0,NOT('_JobDays'!I2)),0,IF(WEEKDAY(R$6,1)=1,0,IF(WEEKDAY(R$6,1)=7,0,IF('_JobDays'!I4,MIN(8,R49)*R48,R48*R49)))),MAX(0,40*MAX(1,R48)-(Q50))))))</f>
        <v>0</v>
      </c>
      <c r="S51" s="62">
        <f>IF(AND(S48=1,S49=8,E47="Auto",B47="COORDINATOR QA-QC 1",AND('Job setup'!$B$7="ON",'Job setup'!$C$7&lt;=S$6,'Job setup'!$D$7&gt;=S$6,'Job setup'!$G$7="YES")),0,IF(OS47,IF(OR(S48&lt;=0,NOT('_JobDays'!J2)),0,IF(WEEKDAY(S$6,1)=1,0,MAX(0,S49-(IF('_JobDays'!J3,8,10)))*S48))+((IF(OR(S48&lt;=0,NOT('_JobDays'!J2)),0,IF(WEEKDAY(S$6,1)=1,0,MIN(IF('_JobDays'!J3,8,10),S49)*S48)))-MIN(IF(OR(S48&lt;=0,NOT('_JobDays'!J2)),0,IF(WEEKDAY(S$6,1)=1,0,MIN(IF('_JobDays'!J3,8,10),S49)*S48)),MAX(0,40*MAX(1,S48)-(Q50+R50)))),IF(OR(S48&lt;=0,NOT('_JobDays'!J2)),0,IF(WEEKDAY(S$6,1)=1,0,IF(WEEKDAY(S$6,1)=7,S48*S49,IF('_JobDays'!J4,MAX(0,S49-8)*S48,0))))+((IF(OR(S48&lt;=0,NOT('_JobDays'!J2)),0,IF(WEEKDAY(S$6,1)=1,0,IF(WEEKDAY(S$6,1)=7,0,IF('_JobDays'!J4,MIN(8,S49)*S48,S48*S49)))))-MIN(IF(OR(S48&lt;=0,NOT('_JobDays'!J2)),0,IF(WEEKDAY(S$6,1)=1,0,IF(WEEKDAY(S$6,1)=7,0,IF('_JobDays'!J4,MIN(8,S49)*S48,S48*S49)))),MAX(0,40*MAX(1,S48)-(Q50+R50))))))</f>
        <v>0</v>
      </c>
      <c r="T51" s="62">
        <f>IF(AND(T48=1,T49=12,E47="Auto",B47="COORDINATOR QA-QC 1",AND('Job setup'!$B$9="ON",'Job setup'!$C$9&lt;=T$6,'Job setup'!$D$9&gt;=T$6,'Job setup'!$G$9="NO")),2,IF(OS47,IF(OR(T48&lt;=0,NOT('_JobDays'!K2)),0,IF(WEEKDAY(T$6,1)=1,0,MAX(0,T49-(IF('_JobDays'!K3,8,10)))*T48))+((IF(OR(T48&lt;=0,NOT('_JobDays'!K2)),0,IF(WEEKDAY(T$6,1)=1,0,MIN(IF('_JobDays'!K3,8,10),T49)*T48)))-MIN(IF(OR(T48&lt;=0,NOT('_JobDays'!K2)),0,IF(WEEKDAY(T$6,1)=1,0,MIN(IF('_JobDays'!K3,8,10),T49)*T48)),MAX(0,40*MAX(1,T48)-(Q50+R50+S50)))),IF(OR(T48&lt;=0,NOT('_JobDays'!K2)),0,IF(WEEKDAY(T$6,1)=1,0,IF(WEEKDAY(T$6,1)=7,T48*T49,IF('_JobDays'!K4,MAX(0,T49-8)*T48,0))))+((IF(OR(T48&lt;=0,NOT('_JobDays'!K2)),0,IF(WEEKDAY(T$6,1)=1,0,IF(WEEKDAY(T$6,1)=7,0,IF('_JobDays'!K4,MIN(8,T49)*T48,T48*T49)))))-MIN(IF(OR(T48&lt;=0,NOT('_JobDays'!K2)),0,IF(WEEKDAY(T$6,1)=1,0,IF(WEEKDAY(T$6,1)=7,0,IF('_JobDays'!K4,MIN(8,T49)*T48,T48*T49)))),MAX(0,40*MAX(1,T48)-(Q50+R50+S50))))))</f>
        <v>2</v>
      </c>
      <c r="U51" s="62">
        <f>IF(AND(U48=1,U49=12,E47="Auto",B47="COORDINATOR QA-QC 1",AND('Job setup'!$B$9="ON",'Job setup'!$C$9&lt;=U$6,'Job setup'!$D$9&gt;=U$6,'Job setup'!$G$9="NO")),2,IF(OS47,IF(OR(U48&lt;=0,NOT('_JobDays'!L2)),0,IF(WEEKDAY(U$6,1)=1,0,MAX(0,U49-(IF('_JobDays'!L3,8,10)))*U48))+((IF(OR(U48&lt;=0,NOT('_JobDays'!L2)),0,IF(WEEKDAY(U$6,1)=1,0,MIN(IF('_JobDays'!L3,8,10),U49)*U48)))-MIN(IF(OR(U48&lt;=0,NOT('_JobDays'!L2)),0,IF(WEEKDAY(U$6,1)=1,0,MIN(IF('_JobDays'!L3,8,10),U49)*U48)),MAX(0,40*MAX(1,U48)-(Q50+R50+S50+T50)))),IF(OR(U48&lt;=0,NOT('_JobDays'!L2)),0,IF(WEEKDAY(U$6,1)=1,0,IF(WEEKDAY(U$6,1)=7,U48*U49,IF('_JobDays'!L4,MAX(0,U49-8)*U48,0))))+((IF(OR(U48&lt;=0,NOT('_JobDays'!L2)),0,IF(WEEKDAY(U$6,1)=1,0,IF(WEEKDAY(U$6,1)=7,0,IF('_JobDays'!L4,MIN(8,U49)*U48,U48*U49)))))-MIN(IF(OR(U48&lt;=0,NOT('_JobDays'!L2)),0,IF(WEEKDAY(U$6,1)=1,0,IF(WEEKDAY(U$6,1)=7,0,IF('_JobDays'!L4,MIN(8,U49)*U48,U48*U49)))),MAX(0,40*MAX(1,U48)-(Q50+R50+S50+T50))))))</f>
        <v>2</v>
      </c>
      <c r="V51" s="63">
        <f>IF(AND(V48=1,V49=12,E47="Auto",B47="COORDINATOR QA-QC 1",AND('Job setup'!$B$9="ON",'Job setup'!$C$9&lt;=V$6,'Job setup'!$D$9&gt;=V$6,'Job setup'!$G$9="NO")),2,IF(OS47,IF(OR(V48&lt;=0,NOT('_JobDays'!M2)),0,IF(WEEKDAY(V$6,1)=1,0,MAX(0,V49-(IF('_JobDays'!M3,8,10)))*V48))+((IF(OR(V48&lt;=0,NOT('_JobDays'!M2)),0,IF(WEEKDAY(V$6,1)=1,0,MIN(IF('_JobDays'!M3,8,10),V49)*V48)))-MIN(IF(OR(V48&lt;=0,NOT('_JobDays'!M2)),0,IF(WEEKDAY(V$6,1)=1,0,MIN(IF('_JobDays'!M3,8,10),V49)*V48)),MAX(0,40*MAX(1,V48)-(Q50+R50+S50+T50+U50)))),IF(OR(V48&lt;=0,NOT('_JobDays'!M2)),0,IF(WEEKDAY(V$6,1)=1,0,IF(WEEKDAY(V$6,1)=7,V48*V49,IF('_JobDays'!M4,MAX(0,V49-8)*V48,0))))+((IF(OR(V48&lt;=0,NOT('_JobDays'!M2)),0,IF(WEEKDAY(V$6,1)=1,0,IF(WEEKDAY(V$6,1)=7,0,IF('_JobDays'!M4,MIN(8,V49)*V48,V48*V49)))))-MIN(IF(OR(V48&lt;=0,NOT('_JobDays'!M2)),0,IF(WEEKDAY(V$6,1)=1,0,IF(WEEKDAY(V$6,1)=7,0,IF('_JobDays'!M4,MIN(8,V49)*V48,V48*V49)))),MAX(0,40*MAX(1,V48)-(Q50+R50+S50+T50+U50))))))</f>
        <v>2</v>
      </c>
      <c r="W51" s="63">
        <f>IF(AND(W48=1,W49=12,E47="Auto",B47="COORDINATOR QA-QC 1",AND('Job setup'!$B$9="ON",'Job setup'!$C$9&lt;=W$6,'Job setup'!$D$9&gt;=W$6,'Job setup'!$G$9="NO")),0,IF(OS47,IF(OR(W48&lt;=0,NOT('_JobDays'!N2)),0,IF(WEEKDAY(W$6,1)=1,0,MAX(0,W49-(IF('_JobDays'!N3,8,10)))*W48))+((IF(OR(W48&lt;=0,NOT('_JobDays'!N2)),0,IF(WEEKDAY(W$6,1)=1,0,MIN(IF('_JobDays'!N3,8,10),W49)*W48)))-MIN(IF(OR(W48&lt;=0,NOT('_JobDays'!N2)),0,IF(WEEKDAY(W$6,1)=1,0,MIN(IF('_JobDays'!N3,8,10),W49)*W48)),MAX(0,40*MAX(1,W48)-(Q50+R50+S50+T50+U50+V50)))),IF(OR(W48&lt;=0,NOT('_JobDays'!N2)),0,IF(WEEKDAY(W$6,1)=1,0,IF(WEEKDAY(W$6,1)=7,W48*W49,IF('_JobDays'!N4,MAX(0,W49-8)*W48,0))))+((IF(OR(W48&lt;=0,NOT('_JobDays'!N2)),0,IF(WEEKDAY(W$6,1)=1,0,IF(WEEKDAY(W$6,1)=7,0,IF('_JobDays'!N4,MIN(8,W49)*W48,W48*W49)))))-MIN(IF(OR(W48&lt;=0,NOT('_JobDays'!N2)),0,IF(WEEKDAY(W$6,1)=1,0,IF(WEEKDAY(W$6,1)=7,0,IF('_JobDays'!N4,MIN(8,W49)*W48,W48*W49)))),MAX(0,40*MAX(1,W48)-(Q50+R50+S50+T50+U50+V50))))))</f>
        <v>0</v>
      </c>
      <c r="X51" s="62">
        <f>IF(AND(X48=1,X49=12,E47="Auto",B47="COORDINATOR QA-QC 1",AND('Job setup'!$B$9="ON",'Job setup'!$C$9&lt;=X$6,'Job setup'!$D$9&gt;=X$6,'Job setup'!$G$9="NO")),2,IF(OS47,IF(OR(X48&lt;=0,NOT('_JobDays'!O2)),0,IF(WEEKDAY(X$6,1)=1,0,MAX(0,X49-(IF('_JobDays'!O3,8,10)))*X48))+((IF(OR(X48&lt;=0,NOT('_JobDays'!O2)),0,IF(WEEKDAY(X$6,1)=1,0,MIN(IF('_JobDays'!O3,8,10),X49)*X48)))-MIN(IF(OR(X48&lt;=0,NOT('_JobDays'!O2)),0,IF(WEEKDAY(X$6,1)=1,0,MIN(IF('_JobDays'!O3,8,10),X49)*X48)),MAX(0,40*MAX(1,X48)-(0)))),IF(OR(X48&lt;=0,NOT('_JobDays'!O2)),0,IF(WEEKDAY(X$6,1)=1,0,IF(WEEKDAY(X$6,1)=7,X48*X49,IF('_JobDays'!O4,MAX(0,X49-8)*X48,0))))+((IF(OR(X48&lt;=0,NOT('_JobDays'!O2)),0,IF(WEEKDAY(X$6,1)=1,0,IF(WEEKDAY(X$6,1)=7,0,IF('_JobDays'!O4,MIN(8,X49)*X48,X48*X49)))))-MIN(IF(OR(X48&lt;=0,NOT('_JobDays'!O2)),0,IF(WEEKDAY(X$6,1)=1,0,IF(WEEKDAY(X$6,1)=7,0,IF('_JobDays'!O4,MIN(8,X49)*X48,X48*X49)))),MAX(0,40*MAX(1,X48)-(0))))))</f>
        <v>2</v>
      </c>
      <c r="Y51" s="62">
        <f>IF(AND(Y48=1,Y49=12,E47="Auto",B47="COORDINATOR QA-QC 1",AND('Job setup'!$B$9="ON",'Job setup'!$C$9&lt;=Y$6,'Job setup'!$D$9&gt;=Y$6,'Job setup'!$G$9="NO")),2,IF(OS47,IF(OR(Y48&lt;=0,NOT('_JobDays'!P2)),0,IF(WEEKDAY(Y$6,1)=1,0,MAX(0,Y49-(IF('_JobDays'!P3,8,10)))*Y48))+((IF(OR(Y48&lt;=0,NOT('_JobDays'!P2)),0,IF(WEEKDAY(Y$6,1)=1,0,MIN(IF('_JobDays'!P3,8,10),Y49)*Y48)))-MIN(IF(OR(Y48&lt;=0,NOT('_JobDays'!P2)),0,IF(WEEKDAY(Y$6,1)=1,0,MIN(IF('_JobDays'!P3,8,10),Y49)*Y48)),MAX(0,40*MAX(1,Y48)-(X50)))),IF(OR(Y48&lt;=0,NOT('_JobDays'!P2)),0,IF(WEEKDAY(Y$6,1)=1,0,IF(WEEKDAY(Y$6,1)=7,Y48*Y49,IF('_JobDays'!P4,MAX(0,Y49-8)*Y48,0))))+((IF(OR(Y48&lt;=0,NOT('_JobDays'!P2)),0,IF(WEEKDAY(Y$6,1)=1,0,IF(WEEKDAY(Y$6,1)=7,0,IF('_JobDays'!P4,MIN(8,Y49)*Y48,Y48*Y49)))))-MIN(IF(OR(Y48&lt;=0,NOT('_JobDays'!P2)),0,IF(WEEKDAY(Y$6,1)=1,0,IF(WEEKDAY(Y$6,1)=7,0,IF('_JobDays'!P4,MIN(8,Y49)*Y48,Y48*Y49)))),MAX(0,40*MAX(1,Y48)-(X50))))))</f>
        <v>2</v>
      </c>
      <c r="Z51" s="62">
        <f>IF(AND(Z48=1,Z49=12,E47="Auto",B47="COORDINATOR QA-QC 1",AND('Job setup'!$B$9="ON",'Job setup'!$C$9&lt;=Z$6,'Job setup'!$D$9&gt;=Z$6,'Job setup'!$G$9="NO")),2,IF(OS47,IF(OR(Z48&lt;=0,NOT('_JobDays'!Q2)),0,IF(WEEKDAY(Z$6,1)=1,0,MAX(0,Z49-(IF('_JobDays'!Q3,8,10)))*Z48))+((IF(OR(Z48&lt;=0,NOT('_JobDays'!Q2)),0,IF(WEEKDAY(Z$6,1)=1,0,MIN(IF('_JobDays'!Q3,8,10),Z49)*Z48)))-MIN(IF(OR(Z48&lt;=0,NOT('_JobDays'!Q2)),0,IF(WEEKDAY(Z$6,1)=1,0,MIN(IF('_JobDays'!Q3,8,10),Z49)*Z48)),MAX(0,40*MAX(1,Z48)-(X50+Y50)))),IF(OR(Z48&lt;=0,NOT('_JobDays'!Q2)),0,IF(WEEKDAY(Z$6,1)=1,0,IF(WEEKDAY(Z$6,1)=7,Z48*Z49,IF('_JobDays'!Q4,MAX(0,Z49-8)*Z48,0))))+((IF(OR(Z48&lt;=0,NOT('_JobDays'!Q2)),0,IF(WEEKDAY(Z$6,1)=1,0,IF(WEEKDAY(Z$6,1)=7,0,IF('_JobDays'!Q4,MIN(8,Z49)*Z48,Z48*Z49)))))-MIN(IF(OR(Z48&lt;=0,NOT('_JobDays'!Q2)),0,IF(WEEKDAY(Z$6,1)=1,0,IF(WEEKDAY(Z$6,1)=7,0,IF('_JobDays'!Q4,MIN(8,Z49)*Z48,Z48*Z49)))),MAX(0,40*MAX(1,Z48)-(X50+Y50))))))</f>
        <v>2</v>
      </c>
      <c r="AA51" s="62">
        <f>IF(AND(AA48=1,AA49=12,E47="Auto",B47="COORDINATOR QA-QC 1",AND('Job setup'!$B$9="ON",'Job setup'!$C$9&lt;=AA$6,'Job setup'!$D$9&gt;=AA$6,'Job setup'!$G$9="NO")),2,IF(OS47,IF(OR(AA48&lt;=0,NOT('_JobDays'!R2)),0,IF(WEEKDAY(AA$6,1)=1,0,MAX(0,AA49-(IF('_JobDays'!R3,8,10)))*AA48))+((IF(OR(AA48&lt;=0,NOT('_JobDays'!R2)),0,IF(WEEKDAY(AA$6,1)=1,0,MIN(IF('_JobDays'!R3,8,10),AA49)*AA48)))-MIN(IF(OR(AA48&lt;=0,NOT('_JobDays'!R2)),0,IF(WEEKDAY(AA$6,1)=1,0,MIN(IF('_JobDays'!R3,8,10),AA49)*AA48)),MAX(0,40*MAX(1,AA48)-(X50+Y50+Z50)))),IF(OR(AA48&lt;=0,NOT('_JobDays'!R2)),0,IF(WEEKDAY(AA$6,1)=1,0,IF(WEEKDAY(AA$6,1)=7,AA48*AA49,IF('_JobDays'!R4,MAX(0,AA49-8)*AA48,0))))+((IF(OR(AA48&lt;=0,NOT('_JobDays'!R2)),0,IF(WEEKDAY(AA$6,1)=1,0,IF(WEEKDAY(AA$6,1)=7,0,IF('_JobDays'!R4,MIN(8,AA49)*AA48,AA48*AA49)))))-MIN(IF(OR(AA48&lt;=0,NOT('_JobDays'!R2)),0,IF(WEEKDAY(AA$6,1)=1,0,IF(WEEKDAY(AA$6,1)=7,0,IF('_JobDays'!R4,MIN(8,AA49)*AA48,AA48*AA49)))),MAX(0,40*MAX(1,AA48)-(X50+Y50+Z50))))))</f>
        <v>2</v>
      </c>
      <c r="AB51" s="62">
        <f>IF(AND(AB48=1,AB49=12,E47="Auto",B47="COORDINATOR QA-QC 1",AND('Job setup'!$B$9="ON",'Job setup'!$C$9&lt;=AB$6,'Job setup'!$D$9&gt;=AB$6,'Job setup'!$G$9="NO")),12,IF(OS47,IF(OR(AB48&lt;=0,NOT('_JobDays'!S2)),0,IF(WEEKDAY(AB$6,1)=1,0,MAX(0,AB49-(IF('_JobDays'!S3,8,10)))*AB48))+((IF(OR(AB48&lt;=0,NOT('_JobDays'!S2)),0,IF(WEEKDAY(AB$6,1)=1,0,MIN(IF('_JobDays'!S3,8,10),AB49)*AB48)))-MIN(IF(OR(AB48&lt;=0,NOT('_JobDays'!S2)),0,IF(WEEKDAY(AB$6,1)=1,0,MIN(IF('_JobDays'!S3,8,10),AB49)*AB48)),MAX(0,40*MAX(1,AB48)-(X50+Y50+Z50+AA50)))),IF(OR(AB48&lt;=0,NOT('_JobDays'!S2)),0,IF(WEEKDAY(AB$6,1)=1,0,IF(WEEKDAY(AB$6,1)=7,AB48*AB49,IF('_JobDays'!S4,MAX(0,AB49-8)*AB48,0))))+((IF(OR(AB48&lt;=0,NOT('_JobDays'!S2)),0,IF(WEEKDAY(AB$6,1)=1,0,IF(WEEKDAY(AB$6,1)=7,0,IF('_JobDays'!S4,MIN(8,AB49)*AB48,AB48*AB49)))))-MIN(IF(OR(AB48&lt;=0,NOT('_JobDays'!S2)),0,IF(WEEKDAY(AB$6,1)=1,0,IF(WEEKDAY(AB$6,1)=7,0,IF('_JobDays'!S4,MIN(8,AB49)*AB48,AB48*AB49)))),MAX(0,40*MAX(1,AB48)-(X50+Y50+Z50+AA50))))))</f>
        <v>12</v>
      </c>
      <c r="AC51" s="63">
        <f>IF(AND(AC48=1,AC49=12,E47="Auto",B47="COORDINATOR QA-QC 1",AND('Job setup'!$B$9="ON",'Job setup'!$C$9&lt;=AC$6,'Job setup'!$D$9&gt;=AC$6,'Job setup'!$G$9="NO")),12,IF(OS47,IF(OR(AC48&lt;=0,NOT('_JobDays'!T2)),0,IF(WEEKDAY(AC$6,1)=1,0,MAX(0,AC49-(IF('_JobDays'!T3,8,10)))*AC48))+((IF(OR(AC48&lt;=0,NOT('_JobDays'!T2)),0,IF(WEEKDAY(AC$6,1)=1,0,MIN(IF('_JobDays'!T3,8,10),AC49)*AC48)))-MIN(IF(OR(AC48&lt;=0,NOT('_JobDays'!T2)),0,IF(WEEKDAY(AC$6,1)=1,0,MIN(IF('_JobDays'!T3,8,10),AC49)*AC48)),MAX(0,40*MAX(1,AC48)-(X50+Y50+Z50+AA50+AB50)))),IF(OR(AC48&lt;=0,NOT('_JobDays'!T2)),0,IF(WEEKDAY(AC$6,1)=1,0,IF(WEEKDAY(AC$6,1)=7,AC48*AC49,IF('_JobDays'!T4,MAX(0,AC49-8)*AC48,0))))+((IF(OR(AC48&lt;=0,NOT('_JobDays'!T2)),0,IF(WEEKDAY(AC$6,1)=1,0,IF(WEEKDAY(AC$6,1)=7,0,IF('_JobDays'!T4,MIN(8,AC49)*AC48,AC48*AC49)))))-MIN(IF(OR(AC48&lt;=0,NOT('_JobDays'!T2)),0,IF(WEEKDAY(AC$6,1)=1,0,IF(WEEKDAY(AC$6,1)=7,0,IF('_JobDays'!T4,MIN(8,AC49)*AC48,AC48*AC49)))),MAX(0,40*MAX(1,AC48)-(X50+Y50+Z50+AA50+AB50))))))</f>
        <v>12</v>
      </c>
      <c r="AD51" s="63">
        <f>IF(AND(AD48=1,AD49=12,E47="Auto",B47="COORDINATOR QA-QC 1",AND('Job setup'!$B$9="ON",'Job setup'!$C$9&lt;=AD$6,'Job setup'!$D$9&gt;=AD$6,'Job setup'!$G$9="NO")),0,IF(OS47,IF(OR(AD48&lt;=0,NOT('_JobDays'!U2)),0,IF(WEEKDAY(AD$6,1)=1,0,MAX(0,AD49-(IF('_JobDays'!U3,8,10)))*AD48))+((IF(OR(AD48&lt;=0,NOT('_JobDays'!U2)),0,IF(WEEKDAY(AD$6,1)=1,0,MIN(IF('_JobDays'!U3,8,10),AD49)*AD48)))-MIN(IF(OR(AD48&lt;=0,NOT('_JobDays'!U2)),0,IF(WEEKDAY(AD$6,1)=1,0,MIN(IF('_JobDays'!U3,8,10),AD49)*AD48)),MAX(0,40*MAX(1,AD48)-(X50+Y50+Z50+AA50+AB50+AC50)))),IF(OR(AD48&lt;=0,NOT('_JobDays'!U2)),0,IF(WEEKDAY(AD$6,1)=1,0,IF(WEEKDAY(AD$6,1)=7,AD48*AD49,IF('_JobDays'!U4,MAX(0,AD49-8)*AD48,0))))+((IF(OR(AD48&lt;=0,NOT('_JobDays'!U2)),0,IF(WEEKDAY(AD$6,1)=1,0,IF(WEEKDAY(AD$6,1)=7,0,IF('_JobDays'!U4,MIN(8,AD49)*AD48,AD48*AD49)))))-MIN(IF(OR(AD48&lt;=0,NOT('_JobDays'!U2)),0,IF(WEEKDAY(AD$6,1)=1,0,IF(WEEKDAY(AD$6,1)=7,0,IF('_JobDays'!U4,MIN(8,AD49)*AD48,AD48*AD49)))),MAX(0,40*MAX(1,AD48)-(X50+Y50+Z50+AA50+AB50+AC50))))))</f>
        <v>0</v>
      </c>
      <c r="AE51" s="62">
        <f>IF(AND(AE48=1,AE49=12,E47="Auto",B47="COORDINATOR QA-QC 1",AND('Job setup'!$B$9="ON",'Job setup'!$C$9&lt;=AE$6,'Job setup'!$D$9&gt;=AE$6,'Job setup'!$G$9="NO")),2,IF(OS47,IF(OR(AE48&lt;=0,NOT('_JobDays'!V2)),0,IF(WEEKDAY(AE$6,1)=1,0,MAX(0,AE49-(IF('_JobDays'!V3,8,10)))*AE48))+((IF(OR(AE48&lt;=0,NOT('_JobDays'!V2)),0,IF(WEEKDAY(AE$6,1)=1,0,MIN(IF('_JobDays'!V3,8,10),AE49)*AE48)))-MIN(IF(OR(AE48&lt;=0,NOT('_JobDays'!V2)),0,IF(WEEKDAY(AE$6,1)=1,0,MIN(IF('_JobDays'!V3,8,10),AE49)*AE48)),MAX(0,40*MAX(1,AE48)-(0)))),IF(OR(AE48&lt;=0,NOT('_JobDays'!V2)),0,IF(WEEKDAY(AE$6,1)=1,0,IF(WEEKDAY(AE$6,1)=7,AE48*AE49,IF('_JobDays'!V4,MAX(0,AE49-8)*AE48,0))))+((IF(OR(AE48&lt;=0,NOT('_JobDays'!V2)),0,IF(WEEKDAY(AE$6,1)=1,0,IF(WEEKDAY(AE$6,1)=7,0,IF('_JobDays'!V4,MIN(8,AE49)*AE48,AE48*AE49)))))-MIN(IF(OR(AE48&lt;=0,NOT('_JobDays'!V2)),0,IF(WEEKDAY(AE$6,1)=1,0,IF(WEEKDAY(AE$6,1)=7,0,IF('_JobDays'!V4,MIN(8,AE49)*AE48,AE48*AE49)))),MAX(0,40*MAX(1,AE48)-(0))))))</f>
        <v>2</v>
      </c>
      <c r="AF51" s="62">
        <f>IF(AND(AF48=1,AF49=12,E47="Auto",B47="COORDINATOR QA-QC 1",AND('Job setup'!$B$9="ON",'Job setup'!$C$9&lt;=AF$6,'Job setup'!$D$9&gt;=AF$6,'Job setup'!$G$9="NO")),2,IF(OS47,IF(OR(AF48&lt;=0,NOT('_JobDays'!W2)),0,IF(WEEKDAY(AF$6,1)=1,0,MAX(0,AF49-(IF('_JobDays'!W3,8,10)))*AF48))+((IF(OR(AF48&lt;=0,NOT('_JobDays'!W2)),0,IF(WEEKDAY(AF$6,1)=1,0,MIN(IF('_JobDays'!W3,8,10),AF49)*AF48)))-MIN(IF(OR(AF48&lt;=0,NOT('_JobDays'!W2)),0,IF(WEEKDAY(AF$6,1)=1,0,MIN(IF('_JobDays'!W3,8,10),AF49)*AF48)),MAX(0,40*MAX(1,AF48)-(AE50)))),IF(OR(AF48&lt;=0,NOT('_JobDays'!W2)),0,IF(WEEKDAY(AF$6,1)=1,0,IF(WEEKDAY(AF$6,1)=7,AF48*AF49,IF('_JobDays'!W4,MAX(0,AF49-8)*AF48,0))))+((IF(OR(AF48&lt;=0,NOT('_JobDays'!W2)),0,IF(WEEKDAY(AF$6,1)=1,0,IF(WEEKDAY(AF$6,1)=7,0,IF('_JobDays'!W4,MIN(8,AF49)*AF48,AF48*AF49)))))-MIN(IF(OR(AF48&lt;=0,NOT('_JobDays'!W2)),0,IF(WEEKDAY(AF$6,1)=1,0,IF(WEEKDAY(AF$6,1)=7,0,IF('_JobDays'!W4,MIN(8,AF49)*AF48,AF48*AF49)))),MAX(0,40*MAX(1,AF48)-(AE50))))))</f>
        <v>2</v>
      </c>
      <c r="AG51" s="62">
        <f>IF(AND(AG48=1,AG49=12,E47="Auto",B47="COORDINATOR QA-QC 1",AND('Job setup'!$B$9="ON",'Job setup'!$C$9&lt;=AG$6,'Job setup'!$D$9&gt;=AG$6,'Job setup'!$G$9="NO")),2,IF(OS47,IF(OR(AG48&lt;=0,NOT('_JobDays'!X2)),0,IF(WEEKDAY(AG$6,1)=1,0,MAX(0,AG49-(IF('_JobDays'!X3,8,10)))*AG48))+((IF(OR(AG48&lt;=0,NOT('_JobDays'!X2)),0,IF(WEEKDAY(AG$6,1)=1,0,MIN(IF('_JobDays'!X3,8,10),AG49)*AG48)))-MIN(IF(OR(AG48&lt;=0,NOT('_JobDays'!X2)),0,IF(WEEKDAY(AG$6,1)=1,0,MIN(IF('_JobDays'!X3,8,10),AG49)*AG48)),MAX(0,40*MAX(1,AG48)-(AE50+AF50)))),IF(OR(AG48&lt;=0,NOT('_JobDays'!X2)),0,IF(WEEKDAY(AG$6,1)=1,0,IF(WEEKDAY(AG$6,1)=7,AG48*AG49,IF('_JobDays'!X4,MAX(0,AG49-8)*AG48,0))))+((IF(OR(AG48&lt;=0,NOT('_JobDays'!X2)),0,IF(WEEKDAY(AG$6,1)=1,0,IF(WEEKDAY(AG$6,1)=7,0,IF('_JobDays'!X4,MIN(8,AG49)*AG48,AG48*AG49)))))-MIN(IF(OR(AG48&lt;=0,NOT('_JobDays'!X2)),0,IF(WEEKDAY(AG$6,1)=1,0,IF(WEEKDAY(AG$6,1)=7,0,IF('_JobDays'!X4,MIN(8,AG49)*AG48,AG48*AG49)))),MAX(0,40*MAX(1,AG48)-(AE50+AF50))))))</f>
        <v>2</v>
      </c>
      <c r="AH51" s="62">
        <f>IF(AND(AH48=0,AH49=0,E47="Auto",B47="COORDINATOR QA-QC 1",AND('Job setup'!$B$11="ON",'Job setup'!$C$11&lt;=AH$6,'Job setup'!$D$11&gt;=AH$6,'Job setup'!$G$11="YES")),0,IF(OS47,IF(OR(AH48&lt;=0,NOT('_JobDays'!Y2)),0,IF(WEEKDAY(AH$6,1)=1,0,MAX(0,AH49-(IF('_JobDays'!Y3,8,10)))*AH48))+((IF(OR(AH48&lt;=0,NOT('_JobDays'!Y2)),0,IF(WEEKDAY(AH$6,1)=1,0,MIN(IF('_JobDays'!Y3,8,10),AH49)*AH48)))-MIN(IF(OR(AH48&lt;=0,NOT('_JobDays'!Y2)),0,IF(WEEKDAY(AH$6,1)=1,0,MIN(IF('_JobDays'!Y3,8,10),AH49)*AH48)),MAX(0,40*MAX(1,AH48)-(AE50+AF50+AG50)))),IF(OR(AH48&lt;=0,NOT('_JobDays'!Y2)),0,IF(WEEKDAY(AH$6,1)=1,0,IF(WEEKDAY(AH$6,1)=7,AH48*AH49,IF('_JobDays'!Y4,MAX(0,AH49-8)*AH48,0))))+((IF(OR(AH48&lt;=0,NOT('_JobDays'!Y2)),0,IF(WEEKDAY(AH$6,1)=1,0,IF(WEEKDAY(AH$6,1)=7,0,IF('_JobDays'!Y4,MIN(8,AH49)*AH48,AH48*AH49)))))-MIN(IF(OR(AH48&lt;=0,NOT('_JobDays'!Y2)),0,IF(WEEKDAY(AH$6,1)=1,0,IF(WEEKDAY(AH$6,1)=7,0,IF('_JobDays'!Y4,MIN(8,AH49)*AH48,AH48*AH49)))),MAX(0,40*MAX(1,AH48)-(AE50+AF50+AG50))))))</f>
        <v>0</v>
      </c>
      <c r="AI51" s="62">
        <f>IF(AND(AI48=0,AI49=0,E47="Auto",B47="COORDINATOR QA-QC 1",AND('Job setup'!$B$11="ON",'Job setup'!$C$11&lt;=AI$6,'Job setup'!$D$11&gt;=AI$6,'Job setup'!$G$11="YES")),0,IF(OS47,IF(OR(AI48&lt;=0,NOT('_JobDays'!Z2)),0,IF(WEEKDAY(AI$6,1)=1,0,MAX(0,AI49-(IF('_JobDays'!Z3,8,10)))*AI48))+((IF(OR(AI48&lt;=0,NOT('_JobDays'!Z2)),0,IF(WEEKDAY(AI$6,1)=1,0,MIN(IF('_JobDays'!Z3,8,10),AI49)*AI48)))-MIN(IF(OR(AI48&lt;=0,NOT('_JobDays'!Z2)),0,IF(WEEKDAY(AI$6,1)=1,0,MIN(IF('_JobDays'!Z3,8,10),AI49)*AI48)),MAX(0,40*MAX(1,AI48)-(AE50+AF50+AG50+AH50)))),IF(OR(AI48&lt;=0,NOT('_JobDays'!Z2)),0,IF(WEEKDAY(AI$6,1)=1,0,IF(WEEKDAY(AI$6,1)=7,AI48*AI49,IF('_JobDays'!Z4,MAX(0,AI49-8)*AI48,0))))+((IF(OR(AI48&lt;=0,NOT('_JobDays'!Z2)),0,IF(WEEKDAY(AI$6,1)=1,0,IF(WEEKDAY(AI$6,1)=7,0,IF('_JobDays'!Z4,MIN(8,AI49)*AI48,AI48*AI49)))))-MIN(IF(OR(AI48&lt;=0,NOT('_JobDays'!Z2)),0,IF(WEEKDAY(AI$6,1)=1,0,IF(WEEKDAY(AI$6,1)=7,0,IF('_JobDays'!Z4,MIN(8,AI49)*AI48,AI48*AI49)))),MAX(0,40*MAX(1,AI48)-(AE50+AF50+AG50+AH50))))))</f>
        <v>0</v>
      </c>
      <c r="AJ51" s="63">
        <f>IF(AND(AJ48=0,AJ49=0,E47="Auto",B47="COORDINATOR QA-QC 1",AND('Job setup'!$B$11="ON",'Job setup'!$C$11&lt;=AJ$6,'Job setup'!$D$11&gt;=AJ$6,'Job setup'!$G$11="YES")),0,IF(OS47,IF(OR(AJ48&lt;=0,NOT('_JobDays'!AA2)),0,IF(WEEKDAY(AJ$6,1)=1,0,MAX(0,AJ49-(IF('_JobDays'!AA3,8,10)))*AJ48))+((IF(OR(AJ48&lt;=0,NOT('_JobDays'!AA2)),0,IF(WEEKDAY(AJ$6,1)=1,0,MIN(IF('_JobDays'!AA3,8,10),AJ49)*AJ48)))-MIN(IF(OR(AJ48&lt;=0,NOT('_JobDays'!AA2)),0,IF(WEEKDAY(AJ$6,1)=1,0,MIN(IF('_JobDays'!AA3,8,10),AJ49)*AJ48)),MAX(0,40*MAX(1,AJ48)-(AE50+AF50+AG50+AH50+AI50)))),IF(OR(AJ48&lt;=0,NOT('_JobDays'!AA2)),0,IF(WEEKDAY(AJ$6,1)=1,0,IF(WEEKDAY(AJ$6,1)=7,AJ48*AJ49,IF('_JobDays'!AA4,MAX(0,AJ49-8)*AJ48,0))))+((IF(OR(AJ48&lt;=0,NOT('_JobDays'!AA2)),0,IF(WEEKDAY(AJ$6,1)=1,0,IF(WEEKDAY(AJ$6,1)=7,0,IF('_JobDays'!AA4,MIN(8,AJ49)*AJ48,AJ48*AJ49)))))-MIN(IF(OR(AJ48&lt;=0,NOT('_JobDays'!AA2)),0,IF(WEEKDAY(AJ$6,1)=1,0,IF(WEEKDAY(AJ$6,1)=7,0,IF('_JobDays'!AA4,MIN(8,AJ49)*AJ48,AJ48*AJ49)))),MAX(0,40*MAX(1,AJ48)-(AE50+AF50+AG50+AH50+AI50))))))</f>
        <v>0</v>
      </c>
      <c r="AK51" s="63">
        <f>IF(AND(AK48=0,AK49=0,E47="Auto",B47="COORDINATOR QA-QC 1",AND('Job setup'!$B$11="ON",'Job setup'!$C$11&lt;=AK$6,'Job setup'!$D$11&gt;=AK$6,'Job setup'!$G$11="YES")),0,IF(OS47,IF(OR(AK48&lt;=0,NOT('_JobDays'!AB2)),0,IF(WEEKDAY(AK$6,1)=1,0,MAX(0,AK49-(IF('_JobDays'!AB3,8,10)))*AK48))+((IF(OR(AK48&lt;=0,NOT('_JobDays'!AB2)),0,IF(WEEKDAY(AK$6,1)=1,0,MIN(IF('_JobDays'!AB3,8,10),AK49)*AK48)))-MIN(IF(OR(AK48&lt;=0,NOT('_JobDays'!AB2)),0,IF(WEEKDAY(AK$6,1)=1,0,MIN(IF('_JobDays'!AB3,8,10),AK49)*AK48)),MAX(0,40*MAX(1,AK48)-(AE50+AF50+AG50+AH50+AI50+AJ50)))),IF(OR(AK48&lt;=0,NOT('_JobDays'!AB2)),0,IF(WEEKDAY(AK$6,1)=1,0,IF(WEEKDAY(AK$6,1)=7,AK48*AK49,IF('_JobDays'!AB4,MAX(0,AK49-8)*AK48,0))))+((IF(OR(AK48&lt;=0,NOT('_JobDays'!AB2)),0,IF(WEEKDAY(AK$6,1)=1,0,IF(WEEKDAY(AK$6,1)=7,0,IF('_JobDays'!AB4,MIN(8,AK49)*AK48,AK48*AK49)))))-MIN(IF(OR(AK48&lt;=0,NOT('_JobDays'!AB2)),0,IF(WEEKDAY(AK$6,1)=1,0,IF(WEEKDAY(AK$6,1)=7,0,IF('_JobDays'!AB4,MIN(8,AK49)*AK48,AK48*AK49)))),MAX(0,40*MAX(1,AK48)-(AE50+AF50+AG50+AH50+AI50+AJ50))))))</f>
        <v>0</v>
      </c>
      <c r="AL51" s="62">
        <f>IF(AND(AL48=0,AL49=0,E47="Auto",B47="COORDINATOR QA-QC 1",AND('Job setup'!$B$11="ON",'Job setup'!$C$11&lt;=AL$6,'Job setup'!$D$11&gt;=AL$6,'Job setup'!$G$11="YES")),0,IF(OS47,IF(OR(AL48&lt;=0,NOT('_JobDays'!AC2)),0,IF(WEEKDAY(AL$6,1)=1,0,MAX(0,AL49-(IF('_JobDays'!AC3,8,10)))*AL48))+((IF(OR(AL48&lt;=0,NOT('_JobDays'!AC2)),0,IF(WEEKDAY(AL$6,1)=1,0,MIN(IF('_JobDays'!AC3,8,10),AL49)*AL48)))-MIN(IF(OR(AL48&lt;=0,NOT('_JobDays'!AC2)),0,IF(WEEKDAY(AL$6,1)=1,0,MIN(IF('_JobDays'!AC3,8,10),AL49)*AL48)),MAX(0,40*MAX(1,AL48)-(0)))),IF(OR(AL48&lt;=0,NOT('_JobDays'!AC2)),0,IF(WEEKDAY(AL$6,1)=1,0,IF(WEEKDAY(AL$6,1)=7,AL48*AL49,IF('_JobDays'!AC4,MAX(0,AL49-8)*AL48,0))))+((IF(OR(AL48&lt;=0,NOT('_JobDays'!AC2)),0,IF(WEEKDAY(AL$6,1)=1,0,IF(WEEKDAY(AL$6,1)=7,0,IF('_JobDays'!AC4,MIN(8,AL49)*AL48,AL48*AL49)))))-MIN(IF(OR(AL48&lt;=0,NOT('_JobDays'!AC2)),0,IF(WEEKDAY(AL$6,1)=1,0,IF(WEEKDAY(AL$6,1)=7,0,IF('_JobDays'!AC4,MIN(8,AL49)*AL48,AL48*AL49)))),MAX(0,40*MAX(1,AL48)-(0))))))</f>
        <v>0</v>
      </c>
      <c r="AM51" s="62">
        <f>IF(AND(AM48=0,AM49=0,E47="Auto",B47="COORDINATOR QA-QC 1",AND('Job setup'!$B$11="ON",'Job setup'!$C$11&lt;=AM$6,'Job setup'!$D$11&gt;=AM$6,'Job setup'!$G$11="YES")),0,IF(OS47,IF(OR(AM48&lt;=0,NOT('_JobDays'!AD2)),0,IF(WEEKDAY(AM$6,1)=1,0,MAX(0,AM49-(IF('_JobDays'!AD3,8,10)))*AM48))+((IF(OR(AM48&lt;=0,NOT('_JobDays'!AD2)),0,IF(WEEKDAY(AM$6,1)=1,0,MIN(IF('_JobDays'!AD3,8,10),AM49)*AM48)))-MIN(IF(OR(AM48&lt;=0,NOT('_JobDays'!AD2)),0,IF(WEEKDAY(AM$6,1)=1,0,MIN(IF('_JobDays'!AD3,8,10),AM49)*AM48)),MAX(0,40*MAX(1,AM48)-(AL50)))),IF(OR(AM48&lt;=0,NOT('_JobDays'!AD2)),0,IF(WEEKDAY(AM$6,1)=1,0,IF(WEEKDAY(AM$6,1)=7,AM48*AM49,IF('_JobDays'!AD4,MAX(0,AM49-8)*AM48,0))))+((IF(OR(AM48&lt;=0,NOT('_JobDays'!AD2)),0,IF(WEEKDAY(AM$6,1)=1,0,IF(WEEKDAY(AM$6,1)=7,0,IF('_JobDays'!AD4,MIN(8,AM49)*AM48,AM48*AM49)))))-MIN(IF(OR(AM48&lt;=0,NOT('_JobDays'!AD2)),0,IF(WEEKDAY(AM$6,1)=1,0,IF(WEEKDAY(AM$6,1)=7,0,IF('_JobDays'!AD4,MIN(8,AM49)*AM48,AM48*AM49)))),MAX(0,40*MAX(1,AM48)-(AL50))))))</f>
        <v>0</v>
      </c>
      <c r="AN51" s="62">
        <f>IF(AND(AN48=0,AN49=0,E47="Auto",B47="COORDINATOR QA-QC 1",AND('Job setup'!$B$11="ON",'Job setup'!$C$11&lt;=AN$6,'Job setup'!$D$11&gt;=AN$6,'Job setup'!$G$11="YES")),0,IF(OS47,IF(OR(AN48&lt;=0,NOT('_JobDays'!AE2)),0,IF(WEEKDAY(AN$6,1)=1,0,MAX(0,AN49-(IF('_JobDays'!AE3,8,10)))*AN48))+((IF(OR(AN48&lt;=0,NOT('_JobDays'!AE2)),0,IF(WEEKDAY(AN$6,1)=1,0,MIN(IF('_JobDays'!AE3,8,10),AN49)*AN48)))-MIN(IF(OR(AN48&lt;=0,NOT('_JobDays'!AE2)),0,IF(WEEKDAY(AN$6,1)=1,0,MIN(IF('_JobDays'!AE3,8,10),AN49)*AN48)),MAX(0,40*MAX(1,AN48)-(AL50+AM50)))),IF(OR(AN48&lt;=0,NOT('_JobDays'!AE2)),0,IF(WEEKDAY(AN$6,1)=1,0,IF(WEEKDAY(AN$6,1)=7,AN48*AN49,IF('_JobDays'!AE4,MAX(0,AN49-8)*AN48,0))))+((IF(OR(AN48&lt;=0,NOT('_JobDays'!AE2)),0,IF(WEEKDAY(AN$6,1)=1,0,IF(WEEKDAY(AN$6,1)=7,0,IF('_JobDays'!AE4,MIN(8,AN49)*AN48,AN48*AN49)))))-MIN(IF(OR(AN48&lt;=0,NOT('_JobDays'!AE2)),0,IF(WEEKDAY(AN$6,1)=1,0,IF(WEEKDAY(AN$6,1)=7,0,IF('_JobDays'!AE4,MIN(8,AN49)*AN48,AN48*AN49)))),MAX(0,40*MAX(1,AN48)-(AL50+AM50))))))</f>
        <v>0</v>
      </c>
      <c r="AO51" s="64">
        <f>IF(AND(AO48=0,AO49=0,E47="Auto",B47="COORDINATOR QA-QC 1",AND('Job setup'!$B$11="ON",'Job setup'!$C$11&lt;=AO$6,'Job setup'!$D$11&gt;=AO$6,'Job setup'!$G$11="YES")),0,IF(OS47,IF(OR(AO48&lt;=0,NOT('_JobDays'!AF2)),0,IF(WEEKDAY(AO$6,1)=1,0,MAX(0,AO49-(IF('_JobDays'!AF3,8,10)))*AO48))+((IF(OR(AO48&lt;=0,NOT('_JobDays'!AF2)),0,IF(WEEKDAY(AO$6,1)=1,0,MIN(IF('_JobDays'!AF3,8,10),AO49)*AO48)))-MIN(IF(OR(AO48&lt;=0,NOT('_JobDays'!AF2)),0,IF(WEEKDAY(AO$6,1)=1,0,MIN(IF('_JobDays'!AF3,8,10),AO49)*AO48)),MAX(0,40*MAX(1,AO48)-(AL50+AM50+AN50)))),IF(OR(AO48&lt;=0,NOT('_JobDays'!AF2)),0,IF(WEEKDAY(AO$6,1)=1,0,IF(WEEKDAY(AO$6,1)=7,AO48*AO49,IF('_JobDays'!AF4,MAX(0,AO49-8)*AO48,0))))+((IF(OR(AO48&lt;=0,NOT('_JobDays'!AF2)),0,IF(WEEKDAY(AO$6,1)=1,0,IF(WEEKDAY(AO$6,1)=7,0,IF('_JobDays'!AF4,MIN(8,AO49)*AO48,AO48*AO49)))))-MIN(IF(OR(AO48&lt;=0,NOT('_JobDays'!AF2)),0,IF(WEEKDAY(AO$6,1)=1,0,IF(WEEKDAY(AO$6,1)=7,0,IF('_JobDays'!AF4,MIN(8,AO49)*AO48,AO48*AO49)))),MAX(0,40*MAX(1,AO48)-(AL50+AM50+AN50))))))</f>
        <v>0</v>
      </c>
      <c r="OT51" s="28" t="s">
        <v>72</v>
      </c>
    </row>
    <row r="52" ht="16" customHeight="1" spans="1:410" x14ac:dyDescent="0.25">
      <c r="A52" s="73"/>
      <c r="B52" s="44"/>
      <c r="C52" s="60">
        <f>H47*N(D52)</f>
        <v>4362.96</v>
      </c>
      <c r="D52" s="60">
        <f>IF(TRIM(B47)="","No rate",IFERROR(INDEX('Rate Tables'!E$7:E$161,MATCH(B47,'Rate Tables'!A$7:A$161,0)),"No rate"))</f>
        <v>181.79</v>
      </c>
      <c r="E52" s="54" t="s">
        <v>62</v>
      </c>
      <c r="F52" s="48"/>
      <c r="G52" s="48"/>
      <c r="H52" s="48"/>
      <c r="I52" s="49"/>
      <c r="J52" s="61">
        <f>IF(AND(J48=1,J49=8,E47="Auto",B47="COORDINATOR QA-QC 1",AND('Job setup'!$B$7="ON",'Job setup'!$C$7&lt;=J$6,'Job setup'!$D$7&gt;=J$6,'Job setup'!$G$7="YES")),0,IF(OS47,IF(OR(J48&lt;=0,NOT('_JobDays'!A2)),0,IF(WEEKDAY(J$6,1)=1,J48*J49,0)),IF(OR(J48&lt;=0,NOT('_JobDays'!A2)),0,IF(WEEKDAY(J$6,1)=1,J48*J49,0))))</f>
        <v>0</v>
      </c>
      <c r="K52" s="62">
        <f>IF(AND(K48=1,K49=8,E47="Auto",B47="COORDINATOR QA-QC 1",AND('Job setup'!$B$7="ON",'Job setup'!$C$7&lt;=K$6,'Job setup'!$D$7&gt;=K$6,'Job setup'!$G$7="YES")),0,IF(OS47,IF(OR(K48&lt;=0,NOT('_JobDays'!B2)),0,IF(WEEKDAY(K$6,1)=1,K48*K49,0)),IF(OR(K48&lt;=0,NOT('_JobDays'!B2)),0,IF(WEEKDAY(K$6,1)=1,K48*K49,0))))</f>
        <v>0</v>
      </c>
      <c r="L52" s="62">
        <f>IF(AND(L48=1,L49=8,E47="Auto",B47="COORDINATOR QA-QC 1",AND('Job setup'!$B$7="ON",'Job setup'!$C$7&lt;=L$6,'Job setup'!$D$7&gt;=L$6,'Job setup'!$G$7="YES")),0,IF(OS47,IF(OR(L48&lt;=0,NOT('_JobDays'!C2)),0,IF(WEEKDAY(L$6,1)=1,L48*L49,0)),IF(OR(L48&lt;=0,NOT('_JobDays'!C2)),0,IF(WEEKDAY(L$6,1)=1,L48*L49,0))))</f>
        <v>0</v>
      </c>
      <c r="M52" s="62">
        <f>IF(AND(M48=1,M49=8,E47="Auto",B47="COORDINATOR QA-QC 1",AND('Job setup'!$B$7="ON",'Job setup'!$C$7&lt;=M$6,'Job setup'!$D$7&gt;=M$6,'Job setup'!$G$7="YES")),0,IF(OS47,IF(OR(M48&lt;=0,NOT('_JobDays'!D2)),0,IF(WEEKDAY(M$6,1)=1,M48*M49,0)),IF(OR(M48&lt;=0,NOT('_JobDays'!D2)),0,IF(WEEKDAY(M$6,1)=1,M48*M49,0))))</f>
        <v>0</v>
      </c>
      <c r="N52" s="62">
        <f>IF(AND(N48=1,N49=8,E47="Auto",B47="COORDINATOR QA-QC 1",AND('Job setup'!$B$7="ON",'Job setup'!$C$7&lt;=N$6,'Job setup'!$D$7&gt;=N$6,'Job setup'!$G$7="YES")),0,IF(OS47,IF(OR(N48&lt;=0,NOT('_JobDays'!E2)),0,IF(WEEKDAY(N$6,1)=1,N48*N49,0)),IF(OR(N48&lt;=0,NOT('_JobDays'!E2)),0,IF(WEEKDAY(N$6,1)=1,N48*N49,0))))</f>
        <v>0</v>
      </c>
      <c r="O52" s="63">
        <f>IF(AND(O48=0,O49=0,E47="Auto",B47="COORDINATOR QA-QC 1",AND('Job setup'!$B$7="ON",'Job setup'!$C$7&lt;=O$6,'Job setup'!$D$7&gt;=O$6,'Job setup'!$G$7="YES")),0,IF(OS47,IF(OR(O48&lt;=0,NOT('_JobDays'!F2)),0,IF(WEEKDAY(O$6,1)=1,O48*O49,0)),IF(OR(O48&lt;=0,NOT('_JobDays'!F2)),0,IF(WEEKDAY(O$6,1)=1,O48*O49,0))))</f>
        <v>0</v>
      </c>
      <c r="P52" s="63">
        <f>IF(AND(P48=0,P49=0,E47="Auto",B47="COORDINATOR QA-QC 1",AND('Job setup'!$B$7="ON",'Job setup'!$C$7&lt;=P$6,'Job setup'!$D$7&gt;=P$6,'Job setup'!$G$7="YES")),0,IF(OS47,IF(OR(P48&lt;=0,NOT('_JobDays'!G2)),0,IF(WEEKDAY(P$6,1)=1,P48*P49,0)),IF(OR(P48&lt;=0,NOT('_JobDays'!G2)),0,IF(WEEKDAY(P$6,1)=1,P48*P49,0))))</f>
        <v>0</v>
      </c>
      <c r="Q52" s="62">
        <f>IF(AND(Q48=1,Q49=8,E47="Auto",B47="COORDINATOR QA-QC 1",AND('Job setup'!$B$7="ON",'Job setup'!$C$7&lt;=Q$6,'Job setup'!$D$7&gt;=Q$6,'Job setup'!$G$7="YES")),0,IF(OS47,IF(OR(Q48&lt;=0,NOT('_JobDays'!H2)),0,IF(WEEKDAY(Q$6,1)=1,Q48*Q49,0)),IF(OR(Q48&lt;=0,NOT('_JobDays'!H2)),0,IF(WEEKDAY(Q$6,1)=1,Q48*Q49,0))))</f>
        <v>0</v>
      </c>
      <c r="R52" s="62">
        <f>IF(AND(R48=1,R49=8,E47="Auto",B47="COORDINATOR QA-QC 1",AND('Job setup'!$B$7="ON",'Job setup'!$C$7&lt;=R$6,'Job setup'!$D$7&gt;=R$6,'Job setup'!$G$7="YES")),0,IF(OS47,IF(OR(R48&lt;=0,NOT('_JobDays'!I2)),0,IF(WEEKDAY(R$6,1)=1,R48*R49,0)),IF(OR(R48&lt;=0,NOT('_JobDays'!I2)),0,IF(WEEKDAY(R$6,1)=1,R48*R49,0))))</f>
        <v>0</v>
      </c>
      <c r="S52" s="62">
        <f>IF(AND(S48=1,S49=8,E47="Auto",B47="COORDINATOR QA-QC 1",AND('Job setup'!$B$7="ON",'Job setup'!$C$7&lt;=S$6,'Job setup'!$D$7&gt;=S$6,'Job setup'!$G$7="YES")),0,IF(OS47,IF(OR(S48&lt;=0,NOT('_JobDays'!J2)),0,IF(WEEKDAY(S$6,1)=1,S48*S49,0)),IF(OR(S48&lt;=0,NOT('_JobDays'!J2)),0,IF(WEEKDAY(S$6,1)=1,S48*S49,0))))</f>
        <v>0</v>
      </c>
      <c r="T52" s="62">
        <f>IF(AND(T48=1,T49=12,E47="Auto",B47="COORDINATOR QA-QC 1",AND('Job setup'!$B$9="ON",'Job setup'!$C$9&lt;=T$6,'Job setup'!$D$9&gt;=T$6,'Job setup'!$G$9="NO")),0,IF(OS47,IF(OR(T48&lt;=0,NOT('_JobDays'!K2)),0,IF(WEEKDAY(T$6,1)=1,T48*T49,0)),IF(OR(T48&lt;=0,NOT('_JobDays'!K2)),0,IF(WEEKDAY(T$6,1)=1,T48*T49,0))))</f>
        <v>0</v>
      </c>
      <c r="U52" s="62">
        <f>IF(AND(U48=1,U49=12,E47="Auto",B47="COORDINATOR QA-QC 1",AND('Job setup'!$B$9="ON",'Job setup'!$C$9&lt;=U$6,'Job setup'!$D$9&gt;=U$6,'Job setup'!$G$9="NO")),0,IF(OS47,IF(OR(U48&lt;=0,NOT('_JobDays'!L2)),0,IF(WEEKDAY(U$6,1)=1,U48*U49,0)),IF(OR(U48&lt;=0,NOT('_JobDays'!L2)),0,IF(WEEKDAY(U$6,1)=1,U48*U49,0))))</f>
        <v>0</v>
      </c>
      <c r="V52" s="63">
        <f>IF(AND(V48=1,V49=12,E47="Auto",B47="COORDINATOR QA-QC 1",AND('Job setup'!$B$9="ON",'Job setup'!$C$9&lt;=V$6,'Job setup'!$D$9&gt;=V$6,'Job setup'!$G$9="NO")),0,IF(OS47,IF(OR(V48&lt;=0,NOT('_JobDays'!M2)),0,IF(WEEKDAY(V$6,1)=1,V48*V49,0)),IF(OR(V48&lt;=0,NOT('_JobDays'!M2)),0,IF(WEEKDAY(V$6,1)=1,V48*V49,0))))</f>
        <v>0</v>
      </c>
      <c r="W52" s="63">
        <f>IF(AND(W48=1,W49=12,E47="Auto",B47="COORDINATOR QA-QC 1",AND('Job setup'!$B$9="ON",'Job setup'!$C$9&lt;=W$6,'Job setup'!$D$9&gt;=W$6,'Job setup'!$G$9="NO")),12,IF(OS47,IF(OR(W48&lt;=0,NOT('_JobDays'!N2)),0,IF(WEEKDAY(W$6,1)=1,W48*W49,0)),IF(OR(W48&lt;=0,NOT('_JobDays'!N2)),0,IF(WEEKDAY(W$6,1)=1,W48*W49,0))))</f>
        <v>12</v>
      </c>
      <c r="X52" s="62">
        <f>IF(AND(X48=1,X49=12,E47="Auto",B47="COORDINATOR QA-QC 1",AND('Job setup'!$B$9="ON",'Job setup'!$C$9&lt;=X$6,'Job setup'!$D$9&gt;=X$6,'Job setup'!$G$9="NO")),0,IF(OS47,IF(OR(X48&lt;=0,NOT('_JobDays'!O2)),0,IF(WEEKDAY(X$6,1)=1,X48*X49,0)),IF(OR(X48&lt;=0,NOT('_JobDays'!O2)),0,IF(WEEKDAY(X$6,1)=1,X48*X49,0))))</f>
        <v>0</v>
      </c>
      <c r="Y52" s="62">
        <f>IF(AND(Y48=1,Y49=12,E47="Auto",B47="COORDINATOR QA-QC 1",AND('Job setup'!$B$9="ON",'Job setup'!$C$9&lt;=Y$6,'Job setup'!$D$9&gt;=Y$6,'Job setup'!$G$9="NO")),0,IF(OS47,IF(OR(Y48&lt;=0,NOT('_JobDays'!P2)),0,IF(WEEKDAY(Y$6,1)=1,Y48*Y49,0)),IF(OR(Y48&lt;=0,NOT('_JobDays'!P2)),0,IF(WEEKDAY(Y$6,1)=1,Y48*Y49,0))))</f>
        <v>0</v>
      </c>
      <c r="Z52" s="62">
        <f>IF(AND(Z48=1,Z49=12,E47="Auto",B47="COORDINATOR QA-QC 1",AND('Job setup'!$B$9="ON",'Job setup'!$C$9&lt;=Z$6,'Job setup'!$D$9&gt;=Z$6,'Job setup'!$G$9="NO")),0,IF(OS47,IF(OR(Z48&lt;=0,NOT('_JobDays'!Q2)),0,IF(WEEKDAY(Z$6,1)=1,Z48*Z49,0)),IF(OR(Z48&lt;=0,NOT('_JobDays'!Q2)),0,IF(WEEKDAY(Z$6,1)=1,Z48*Z49,0))))</f>
        <v>0</v>
      </c>
      <c r="AA52" s="62">
        <f>IF(AND(AA48=1,AA49=12,E47="Auto",B47="COORDINATOR QA-QC 1",AND('Job setup'!$B$9="ON",'Job setup'!$C$9&lt;=AA$6,'Job setup'!$D$9&gt;=AA$6,'Job setup'!$G$9="NO")),0,IF(OS47,IF(OR(AA48&lt;=0,NOT('_JobDays'!R2)),0,IF(WEEKDAY(AA$6,1)=1,AA48*AA49,0)),IF(OR(AA48&lt;=0,NOT('_JobDays'!R2)),0,IF(WEEKDAY(AA$6,1)=1,AA48*AA49,0))))</f>
        <v>0</v>
      </c>
      <c r="AB52" s="62">
        <f>IF(AND(AB48=1,AB49=12,E47="Auto",B47="COORDINATOR QA-QC 1",AND('Job setup'!$B$9="ON",'Job setup'!$C$9&lt;=AB$6,'Job setup'!$D$9&gt;=AB$6,'Job setup'!$G$9="NO")),0,IF(OS47,IF(OR(AB48&lt;=0,NOT('_JobDays'!S2)),0,IF(WEEKDAY(AB$6,1)=1,AB48*AB49,0)),IF(OR(AB48&lt;=0,NOT('_JobDays'!S2)),0,IF(WEEKDAY(AB$6,1)=1,AB48*AB49,0))))</f>
        <v>0</v>
      </c>
      <c r="AC52" s="63">
        <f>IF(AND(AC48=1,AC49=12,E47="Auto",B47="COORDINATOR QA-QC 1",AND('Job setup'!$B$9="ON",'Job setup'!$C$9&lt;=AC$6,'Job setup'!$D$9&gt;=AC$6,'Job setup'!$G$9="NO")),0,IF(OS47,IF(OR(AC48&lt;=0,NOT('_JobDays'!T2)),0,IF(WEEKDAY(AC$6,1)=1,AC48*AC49,0)),IF(OR(AC48&lt;=0,NOT('_JobDays'!T2)),0,IF(WEEKDAY(AC$6,1)=1,AC48*AC49,0))))</f>
        <v>0</v>
      </c>
      <c r="AD52" s="63">
        <f>IF(AND(AD48=1,AD49=12,E47="Auto",B47="COORDINATOR QA-QC 1",AND('Job setup'!$B$9="ON",'Job setup'!$C$9&lt;=AD$6,'Job setup'!$D$9&gt;=AD$6,'Job setup'!$G$9="NO")),12,IF(OS47,IF(OR(AD48&lt;=0,NOT('_JobDays'!U2)),0,IF(WEEKDAY(AD$6,1)=1,AD48*AD49,0)),IF(OR(AD48&lt;=0,NOT('_JobDays'!U2)),0,IF(WEEKDAY(AD$6,1)=1,AD48*AD49,0))))</f>
        <v>12</v>
      </c>
      <c r="AE52" s="62">
        <f>IF(AND(AE48=1,AE49=12,E47="Auto",B47="COORDINATOR QA-QC 1",AND('Job setup'!$B$9="ON",'Job setup'!$C$9&lt;=AE$6,'Job setup'!$D$9&gt;=AE$6,'Job setup'!$G$9="NO")),0,IF(OS47,IF(OR(AE48&lt;=0,NOT('_JobDays'!V2)),0,IF(WEEKDAY(AE$6,1)=1,AE48*AE49,0)),IF(OR(AE48&lt;=0,NOT('_JobDays'!V2)),0,IF(WEEKDAY(AE$6,1)=1,AE48*AE49,0))))</f>
        <v>0</v>
      </c>
      <c r="AF52" s="62">
        <f>IF(AND(AF48=1,AF49=12,E47="Auto",B47="COORDINATOR QA-QC 1",AND('Job setup'!$B$9="ON",'Job setup'!$C$9&lt;=AF$6,'Job setup'!$D$9&gt;=AF$6,'Job setup'!$G$9="NO")),0,IF(OS47,IF(OR(AF48&lt;=0,NOT('_JobDays'!W2)),0,IF(WEEKDAY(AF$6,1)=1,AF48*AF49,0)),IF(OR(AF48&lt;=0,NOT('_JobDays'!W2)),0,IF(WEEKDAY(AF$6,1)=1,AF48*AF49,0))))</f>
        <v>0</v>
      </c>
      <c r="AG52" s="62">
        <f>IF(AND(AG48=1,AG49=12,E47="Auto",B47="COORDINATOR QA-QC 1",AND('Job setup'!$B$9="ON",'Job setup'!$C$9&lt;=AG$6,'Job setup'!$D$9&gt;=AG$6,'Job setup'!$G$9="NO")),0,IF(OS47,IF(OR(AG48&lt;=0,NOT('_JobDays'!X2)),0,IF(WEEKDAY(AG$6,1)=1,AG48*AG49,0)),IF(OR(AG48&lt;=0,NOT('_JobDays'!X2)),0,IF(WEEKDAY(AG$6,1)=1,AG48*AG49,0))))</f>
        <v>0</v>
      </c>
      <c r="AH52" s="62">
        <f>IF(AND(AH48=0,AH49=0,E47="Auto",B47="COORDINATOR QA-QC 1",AND('Job setup'!$B$11="ON",'Job setup'!$C$11&lt;=AH$6,'Job setup'!$D$11&gt;=AH$6,'Job setup'!$G$11="YES")),0,IF(OS47,IF(OR(AH48&lt;=0,NOT('_JobDays'!Y2)),0,IF(WEEKDAY(AH$6,1)=1,AH48*AH49,0)),IF(OR(AH48&lt;=0,NOT('_JobDays'!Y2)),0,IF(WEEKDAY(AH$6,1)=1,AH48*AH49,0))))</f>
        <v>0</v>
      </c>
      <c r="AI52" s="62">
        <f>IF(AND(AI48=0,AI49=0,E47="Auto",B47="COORDINATOR QA-QC 1",AND('Job setup'!$B$11="ON",'Job setup'!$C$11&lt;=AI$6,'Job setup'!$D$11&gt;=AI$6,'Job setup'!$G$11="YES")),0,IF(OS47,IF(OR(AI48&lt;=0,NOT('_JobDays'!Z2)),0,IF(WEEKDAY(AI$6,1)=1,AI48*AI49,0)),IF(OR(AI48&lt;=0,NOT('_JobDays'!Z2)),0,IF(WEEKDAY(AI$6,1)=1,AI48*AI49,0))))</f>
        <v>0</v>
      </c>
      <c r="AJ52" s="63">
        <f>IF(AND(AJ48=0,AJ49=0,E47="Auto",B47="COORDINATOR QA-QC 1",AND('Job setup'!$B$11="ON",'Job setup'!$C$11&lt;=AJ$6,'Job setup'!$D$11&gt;=AJ$6,'Job setup'!$G$11="YES")),0,IF(OS47,IF(OR(AJ48&lt;=0,NOT('_JobDays'!AA2)),0,IF(WEEKDAY(AJ$6,1)=1,AJ48*AJ49,0)),IF(OR(AJ48&lt;=0,NOT('_JobDays'!AA2)),0,IF(WEEKDAY(AJ$6,1)=1,AJ48*AJ49,0))))</f>
        <v>0</v>
      </c>
      <c r="AK52" s="63">
        <f>IF(AND(AK48=0,AK49=0,E47="Auto",B47="COORDINATOR QA-QC 1",AND('Job setup'!$B$11="ON",'Job setup'!$C$11&lt;=AK$6,'Job setup'!$D$11&gt;=AK$6,'Job setup'!$G$11="YES")),0,IF(OS47,IF(OR(AK48&lt;=0,NOT('_JobDays'!AB2)),0,IF(WEEKDAY(AK$6,1)=1,AK48*AK49,0)),IF(OR(AK48&lt;=0,NOT('_JobDays'!AB2)),0,IF(WEEKDAY(AK$6,1)=1,AK48*AK49,0))))</f>
        <v>0</v>
      </c>
      <c r="AL52" s="62">
        <f>IF(AND(AL48=0,AL49=0,E47="Auto",B47="COORDINATOR QA-QC 1",AND('Job setup'!$B$11="ON",'Job setup'!$C$11&lt;=AL$6,'Job setup'!$D$11&gt;=AL$6,'Job setup'!$G$11="YES")),0,IF(OS47,IF(OR(AL48&lt;=0,NOT('_JobDays'!AC2)),0,IF(WEEKDAY(AL$6,1)=1,AL48*AL49,0)),IF(OR(AL48&lt;=0,NOT('_JobDays'!AC2)),0,IF(WEEKDAY(AL$6,1)=1,AL48*AL49,0))))</f>
        <v>0</v>
      </c>
      <c r="AM52" s="62">
        <f>IF(AND(AM48=0,AM49=0,E47="Auto",B47="COORDINATOR QA-QC 1",AND('Job setup'!$B$11="ON",'Job setup'!$C$11&lt;=AM$6,'Job setup'!$D$11&gt;=AM$6,'Job setup'!$G$11="YES")),0,IF(OS47,IF(OR(AM48&lt;=0,NOT('_JobDays'!AD2)),0,IF(WEEKDAY(AM$6,1)=1,AM48*AM49,0)),IF(OR(AM48&lt;=0,NOT('_JobDays'!AD2)),0,IF(WEEKDAY(AM$6,1)=1,AM48*AM49,0))))</f>
        <v>0</v>
      </c>
      <c r="AN52" s="62">
        <f>IF(AND(AN48=0,AN49=0,E47="Auto",B47="COORDINATOR QA-QC 1",AND('Job setup'!$B$11="ON",'Job setup'!$C$11&lt;=AN$6,'Job setup'!$D$11&gt;=AN$6,'Job setup'!$G$11="YES")),0,IF(OS47,IF(OR(AN48&lt;=0,NOT('_JobDays'!AE2)),0,IF(WEEKDAY(AN$6,1)=1,AN48*AN49,0)),IF(OR(AN48&lt;=0,NOT('_JobDays'!AE2)),0,IF(WEEKDAY(AN$6,1)=1,AN48*AN49,0))))</f>
        <v>0</v>
      </c>
      <c r="AO52" s="64">
        <f>IF(AND(AO48=0,AO49=0,E47="Auto",B47="COORDINATOR QA-QC 1",AND('Job setup'!$B$11="ON",'Job setup'!$C$11&lt;=AO$6,'Job setup'!$D$11&gt;=AO$6,'Job setup'!$G$11="YES")),0,IF(OS47,IF(OR(AO48&lt;=0,NOT('_JobDays'!AF2)),0,IF(WEEKDAY(AO$6,1)=1,AO48*AO49,0)),IF(OR(AO48&lt;=0,NOT('_JobDays'!AF2)),0,IF(WEEKDAY(AO$6,1)=1,AO48*AO49,0))))</f>
        <v>0</v>
      </c>
      <c r="OT52" s="28" t="s">
        <v>72</v>
      </c>
    </row>
    <row r="53" ht="16" customHeight="1" spans="1:410" x14ac:dyDescent="0.25">
      <c r="A53" s="73"/>
      <c r="B53" s="44"/>
      <c r="C53" s="66">
        <f>I47*D53</f>
        <v>3080</v>
      </c>
      <c r="D53" s="66">
        <v>140</v>
      </c>
      <c r="E53" s="67" t="s">
        <v>63</v>
      </c>
      <c r="F53" s="48"/>
      <c r="G53" s="48"/>
      <c r="H53" s="48"/>
      <c r="I53" s="49"/>
      <c r="J53" s="68">
        <v>1</v>
      </c>
      <c r="K53" s="69">
        <v>1</v>
      </c>
      <c r="L53" s="69">
        <v>1</v>
      </c>
      <c r="M53" s="69">
        <v>1</v>
      </c>
      <c r="N53" s="69">
        <v>1</v>
      </c>
      <c r="O53" s="70">
        <v>0</v>
      </c>
      <c r="P53" s="70">
        <v>0</v>
      </c>
      <c r="Q53" s="69">
        <v>1</v>
      </c>
      <c r="R53" s="69">
        <v>1</v>
      </c>
      <c r="S53" s="69">
        <v>1</v>
      </c>
      <c r="T53" s="69">
        <v>1</v>
      </c>
      <c r="U53" s="69">
        <v>1</v>
      </c>
      <c r="V53" s="70">
        <v>1</v>
      </c>
      <c r="W53" s="70">
        <v>1</v>
      </c>
      <c r="X53" s="69">
        <v>1</v>
      </c>
      <c r="Y53" s="69">
        <v>1</v>
      </c>
      <c r="Z53" s="69">
        <v>1</v>
      </c>
      <c r="AA53" s="69">
        <v>1</v>
      </c>
      <c r="AB53" s="69">
        <v>1</v>
      </c>
      <c r="AC53" s="70">
        <v>1</v>
      </c>
      <c r="AD53" s="70">
        <v>1</v>
      </c>
      <c r="AE53" s="69">
        <v>1</v>
      </c>
      <c r="AF53" s="69">
        <v>1</v>
      </c>
      <c r="AG53" s="69">
        <v>1</v>
      </c>
      <c r="AH53" s="69">
        <v>0</v>
      </c>
      <c r="AI53" s="69">
        <v>0</v>
      </c>
      <c r="AJ53" s="70">
        <v>0</v>
      </c>
      <c r="AK53" s="70">
        <v>0</v>
      </c>
      <c r="AL53" s="69">
        <v>0</v>
      </c>
      <c r="AM53" s="69">
        <v>0</v>
      </c>
      <c r="AN53" s="69">
        <v>0</v>
      </c>
      <c r="AO53" s="71">
        <v>0</v>
      </c>
      <c r="OT53" s="59" t="s">
        <v>72</v>
      </c>
    </row>
    <row r="54" ht="8" customHeight="1" spans="1:4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</row>
    <row r="55" ht="16" customHeight="1" spans="1:410" x14ac:dyDescent="0.25">
      <c r="A55" s="73" t="s">
        <v>70</v>
      </c>
      <c r="B55" s="44" t="s">
        <v>66</v>
      </c>
      <c r="C55" s="45">
        <f>C58+C59+C60</f>
        <v>23985.44</v>
      </c>
      <c r="D55" s="46"/>
      <c r="E55" s="47" t="s">
        <v>56</v>
      </c>
      <c r="F55" s="48">
        <f>SUM(J58:AO58)</f>
        <v>164</v>
      </c>
      <c r="G55" s="48">
        <f>SUM(J59:AO59)</f>
        <v>44</v>
      </c>
      <c r="H55" s="48">
        <f>SUM(J60:AO60)</f>
        <v>24</v>
      </c>
      <c r="I55" s="49">
        <f>SUM(J61:AO61)</f>
        <v>22</v>
      </c>
      <c r="J55" s="50"/>
      <c r="K55" s="51"/>
      <c r="L55" s="51"/>
      <c r="M55" s="51"/>
      <c r="N55" s="51"/>
      <c r="O55" s="52"/>
      <c r="P55" s="52"/>
      <c r="Q55" s="51"/>
      <c r="R55" s="51"/>
      <c r="S55" s="51"/>
      <c r="T55" s="51"/>
      <c r="U55" s="51"/>
      <c r="V55" s="52"/>
      <c r="W55" s="52"/>
      <c r="X55" s="51"/>
      <c r="Y55" s="51"/>
      <c r="Z55" s="51"/>
      <c r="AA55" s="51"/>
      <c r="AB55" s="51"/>
      <c r="AC55" s="52"/>
      <c r="AD55" s="52"/>
      <c r="AE55" s="51"/>
      <c r="AF55" s="51"/>
      <c r="AG55" s="51"/>
      <c r="AH55" s="51"/>
      <c r="AI55" s="51"/>
      <c r="AJ55" s="52"/>
      <c r="AK55" s="52"/>
      <c r="AL55" s="51"/>
      <c r="AM55" s="51"/>
      <c r="AN55" s="51"/>
      <c r="AO55" s="53"/>
      <c r="OS55" s="28">
        <f>OR(E55="Staff clock",AND(OR(E55="Auto",E55=""),ISNUMBER(MATCH(B55,'_Lists'!$K$1:$K$137,0))))</f>
        <v>1</v>
      </c>
      <c r="OT55" s="28" t="s">
        <v>73</v>
      </c>
    </row>
    <row r="56" ht="16" customHeight="1" spans="1:410" x14ac:dyDescent="0.25">
      <c r="A56" s="73"/>
      <c r="B56" s="44"/>
      <c r="C56" s="45"/>
      <c r="D56" s="46"/>
      <c r="E56" s="54" t="s">
        <v>58</v>
      </c>
      <c r="F56" s="48"/>
      <c r="G56" s="48"/>
      <c r="H56" s="48"/>
      <c r="I56" s="49"/>
      <c r="J56" s="55">
        <v>1</v>
      </c>
      <c r="K56" s="56">
        <v>1</v>
      </c>
      <c r="L56" s="56">
        <v>1</v>
      </c>
      <c r="M56" s="56">
        <v>1</v>
      </c>
      <c r="N56" s="56">
        <v>1</v>
      </c>
      <c r="O56" s="57">
        <v>0</v>
      </c>
      <c r="P56" s="57">
        <v>0</v>
      </c>
      <c r="Q56" s="56">
        <v>1</v>
      </c>
      <c r="R56" s="56">
        <v>1</v>
      </c>
      <c r="S56" s="56">
        <v>1</v>
      </c>
      <c r="T56" s="56">
        <v>1</v>
      </c>
      <c r="U56" s="56">
        <v>1</v>
      </c>
      <c r="V56" s="57">
        <v>1</v>
      </c>
      <c r="W56" s="57">
        <v>1</v>
      </c>
      <c r="X56" s="56">
        <v>1</v>
      </c>
      <c r="Y56" s="56">
        <v>1</v>
      </c>
      <c r="Z56" s="56">
        <v>1</v>
      </c>
      <c r="AA56" s="56">
        <v>1</v>
      </c>
      <c r="AB56" s="56">
        <v>1</v>
      </c>
      <c r="AC56" s="57">
        <v>1</v>
      </c>
      <c r="AD56" s="57">
        <v>1</v>
      </c>
      <c r="AE56" s="56">
        <v>1</v>
      </c>
      <c r="AF56" s="56">
        <v>1</v>
      </c>
      <c r="AG56" s="56">
        <v>1</v>
      </c>
      <c r="AH56" s="56">
        <v>0</v>
      </c>
      <c r="AI56" s="56">
        <v>0</v>
      </c>
      <c r="AJ56" s="57">
        <v>0</v>
      </c>
      <c r="AK56" s="57">
        <v>0</v>
      </c>
      <c r="AL56" s="56">
        <v>0</v>
      </c>
      <c r="AM56" s="56">
        <v>0</v>
      </c>
      <c r="AN56" s="56">
        <v>0</v>
      </c>
      <c r="AO56" s="58">
        <v>0</v>
      </c>
      <c r="OT56" s="59" t="s">
        <v>73</v>
      </c>
    </row>
    <row r="57" ht="16" customHeight="1" spans="1:410" x14ac:dyDescent="0.25">
      <c r="A57" s="73"/>
      <c r="B57" s="44"/>
      <c r="C57" s="45"/>
      <c r="D57" s="46"/>
      <c r="E57" s="54" t="s">
        <v>59</v>
      </c>
      <c r="F57" s="48"/>
      <c r="G57" s="48"/>
      <c r="H57" s="48"/>
      <c r="I57" s="49"/>
      <c r="J57" s="55">
        <v>8</v>
      </c>
      <c r="K57" s="56">
        <v>8</v>
      </c>
      <c r="L57" s="56">
        <v>8</v>
      </c>
      <c r="M57" s="56">
        <v>8</v>
      </c>
      <c r="N57" s="56">
        <v>8</v>
      </c>
      <c r="O57" s="57">
        <v>0</v>
      </c>
      <c r="P57" s="57">
        <v>0</v>
      </c>
      <c r="Q57" s="56">
        <v>8</v>
      </c>
      <c r="R57" s="56">
        <v>8</v>
      </c>
      <c r="S57" s="56">
        <v>8</v>
      </c>
      <c r="T57" s="56">
        <v>12</v>
      </c>
      <c r="U57" s="56">
        <v>12</v>
      </c>
      <c r="V57" s="57">
        <v>12</v>
      </c>
      <c r="W57" s="57">
        <v>12</v>
      </c>
      <c r="X57" s="56">
        <v>12</v>
      </c>
      <c r="Y57" s="56">
        <v>12</v>
      </c>
      <c r="Z57" s="56">
        <v>12</v>
      </c>
      <c r="AA57" s="56">
        <v>12</v>
      </c>
      <c r="AB57" s="56">
        <v>12</v>
      </c>
      <c r="AC57" s="57">
        <v>12</v>
      </c>
      <c r="AD57" s="57">
        <v>12</v>
      </c>
      <c r="AE57" s="56">
        <v>12</v>
      </c>
      <c r="AF57" s="56">
        <v>12</v>
      </c>
      <c r="AG57" s="56">
        <v>12</v>
      </c>
      <c r="AH57" s="56">
        <v>0</v>
      </c>
      <c r="AI57" s="56">
        <v>0</v>
      </c>
      <c r="AJ57" s="57">
        <v>0</v>
      </c>
      <c r="AK57" s="57">
        <v>0</v>
      </c>
      <c r="AL57" s="56">
        <v>0</v>
      </c>
      <c r="AM57" s="56">
        <v>0</v>
      </c>
      <c r="AN57" s="56">
        <v>0</v>
      </c>
      <c r="AO57" s="58">
        <v>0</v>
      </c>
      <c r="OT57" s="59" t="s">
        <v>73</v>
      </c>
    </row>
    <row r="58" ht="16" customHeight="1" spans="1:410" x14ac:dyDescent="0.25">
      <c r="A58" s="73"/>
      <c r="B58" s="44"/>
      <c r="C58" s="60">
        <f>F55*N(D58)</f>
        <v>14927.279999999999</v>
      </c>
      <c r="D58" s="60">
        <f>IF(TRIM(B55)="","No rate",IFERROR(INDEX('Rate Tables'!C$7:C$161,MATCH(B55,'Rate Tables'!A$7:A$161,0)),"No rate"))</f>
        <v>91.02</v>
      </c>
      <c r="E58" s="54" t="s">
        <v>60</v>
      </c>
      <c r="F58" s="48"/>
      <c r="G58" s="48"/>
      <c r="H58" s="48"/>
      <c r="I58" s="49"/>
      <c r="J58" s="61">
        <f>IF(AND(J56=1,J57=8,E55="Auto",B55="COORDINATOR SAFETY 01",AND('Job setup'!$B$7="ON",'Job setup'!$C$7&lt;=J$6,'Job setup'!$D$7&gt;=J$6,'Job setup'!$G$7="YES")),8,IF(OS55,MIN(IF(OR(J56&lt;=0,NOT('_JobDays'!A2)),0,IF(WEEKDAY(J$6,1)=1,0,MIN(IF('_JobDays'!A3,8,10),J57)*J56)),MAX(0,40*MAX(1,J56)-(0))),MIN(IF(OR(J56&lt;=0,NOT('_JobDays'!A2)),0,IF(WEEKDAY(J$6,1)=1,0,IF(WEEKDAY(J$6,1)=7,0,IF('_JobDays'!A4,MIN(8,J57)*J56,J56*J57)))),MAX(0,40*MAX(1,J56)-(0)))))</f>
        <v>8</v>
      </c>
      <c r="K58" s="62">
        <f>IF(AND(K56=1,K57=8,E55="Auto",B55="COORDINATOR SAFETY 01",AND('Job setup'!$B$7="ON",'Job setup'!$C$7&lt;=K$6,'Job setup'!$D$7&gt;=K$6,'Job setup'!$G$7="YES")),8,IF(OS55,MIN(IF(OR(K56&lt;=0,NOT('_JobDays'!B2)),0,IF(WEEKDAY(K$6,1)=1,0,MIN(IF('_JobDays'!B3,8,10),K57)*K56)),MAX(0,40*MAX(1,K56)-(J58))),MIN(IF(OR(K56&lt;=0,NOT('_JobDays'!B2)),0,IF(WEEKDAY(K$6,1)=1,0,IF(WEEKDAY(K$6,1)=7,0,IF('_JobDays'!B4,MIN(8,K57)*K56,K56*K57)))),MAX(0,40*MAX(1,K56)-(J58)))))</f>
        <v>8</v>
      </c>
      <c r="L58" s="62">
        <f>IF(AND(L56=1,L57=8,E55="Auto",B55="COORDINATOR SAFETY 01",AND('Job setup'!$B$7="ON",'Job setup'!$C$7&lt;=L$6,'Job setup'!$D$7&gt;=L$6,'Job setup'!$G$7="YES")),8,IF(OS55,MIN(IF(OR(L56&lt;=0,NOT('_JobDays'!C2)),0,IF(WEEKDAY(L$6,1)=1,0,MIN(IF('_JobDays'!C3,8,10),L57)*L56)),MAX(0,40*MAX(1,L56)-(J58+K58))),MIN(IF(OR(L56&lt;=0,NOT('_JobDays'!C2)),0,IF(WEEKDAY(L$6,1)=1,0,IF(WEEKDAY(L$6,1)=7,0,IF('_JobDays'!C4,MIN(8,L57)*L56,L56*L57)))),MAX(0,40*MAX(1,L56)-(J58+K58)))))</f>
        <v>8</v>
      </c>
      <c r="M58" s="62">
        <f>IF(AND(M56=1,M57=8,E55="Auto",B55="COORDINATOR SAFETY 01",AND('Job setup'!$B$7="ON",'Job setup'!$C$7&lt;=M$6,'Job setup'!$D$7&gt;=M$6,'Job setup'!$G$7="YES")),8,IF(OS55,MIN(IF(OR(M56&lt;=0,NOT('_JobDays'!D2)),0,IF(WEEKDAY(M$6,1)=1,0,MIN(IF('_JobDays'!D3,8,10),M57)*M56)),MAX(0,40*MAX(1,M56)-(J58+K58+L58))),MIN(IF(OR(M56&lt;=0,NOT('_JobDays'!D2)),0,IF(WEEKDAY(M$6,1)=1,0,IF(WEEKDAY(M$6,1)=7,0,IF('_JobDays'!D4,MIN(8,M57)*M56,M56*M57)))),MAX(0,40*MAX(1,M56)-(J58+K58+L58)))))</f>
        <v>8</v>
      </c>
      <c r="N58" s="62">
        <f>IF(AND(N56=1,N57=8,E55="Auto",B55="COORDINATOR SAFETY 01",AND('Job setup'!$B$7="ON",'Job setup'!$C$7&lt;=N$6,'Job setup'!$D$7&gt;=N$6,'Job setup'!$G$7="YES")),8,IF(OS55,MIN(IF(OR(N56&lt;=0,NOT('_JobDays'!E2)),0,IF(WEEKDAY(N$6,1)=1,0,MIN(IF('_JobDays'!E3,8,10),N57)*N56)),MAX(0,40*MAX(1,N56)-(J58+K58+L58+M58))),MIN(IF(OR(N56&lt;=0,NOT('_JobDays'!E2)),0,IF(WEEKDAY(N$6,1)=1,0,IF(WEEKDAY(N$6,1)=7,0,IF('_JobDays'!E4,MIN(8,N57)*N56,N56*N57)))),MAX(0,40*MAX(1,N56)-(J58+K58+L58+M58)))))</f>
        <v>8</v>
      </c>
      <c r="O58" s="63">
        <f>IF(AND(O56=0,O57=0,E55="Auto",B55="COORDINATOR SAFETY 01",AND('Job setup'!$B$7="ON",'Job setup'!$C$7&lt;=O$6,'Job setup'!$D$7&gt;=O$6,'Job setup'!$G$7="YES")),0,IF(OS55,MIN(IF(OR(O56&lt;=0,NOT('_JobDays'!F2)),0,IF(WEEKDAY(O$6,1)=1,0,MIN(IF('_JobDays'!F3,8,10),O57)*O56)),MAX(0,40*MAX(1,O56)-(J58+K58+L58+M58+N58))),MIN(IF(OR(O56&lt;=0,NOT('_JobDays'!F2)),0,IF(WEEKDAY(O$6,1)=1,0,IF(WEEKDAY(O$6,1)=7,0,IF('_JobDays'!F4,MIN(8,O57)*O56,O56*O57)))),MAX(0,40*MAX(1,O56)-(J58+K58+L58+M58+N58)))))</f>
        <v>0</v>
      </c>
      <c r="P58" s="63">
        <f>IF(AND(P56=0,P57=0,E55="Auto",B55="COORDINATOR SAFETY 01",AND('Job setup'!$B$7="ON",'Job setup'!$C$7&lt;=P$6,'Job setup'!$D$7&gt;=P$6,'Job setup'!$G$7="YES")),0,IF(OS55,MIN(IF(OR(P56&lt;=0,NOT('_JobDays'!G2)),0,IF(WEEKDAY(P$6,1)=1,0,MIN(IF('_JobDays'!G3,8,10),P57)*P56)),MAX(0,40*MAX(1,P56)-(J58+K58+L58+M58+N58+O58))),MIN(IF(OR(P56&lt;=0,NOT('_JobDays'!G2)),0,IF(WEEKDAY(P$6,1)=1,0,IF(WEEKDAY(P$6,1)=7,0,IF('_JobDays'!G4,MIN(8,P57)*P56,P56*P57)))),MAX(0,40*MAX(1,P56)-(J58+K58+L58+M58+N58+O58)))))</f>
        <v>0</v>
      </c>
      <c r="Q58" s="62">
        <f>IF(AND(Q56=1,Q57=8,E55="Auto",B55="COORDINATOR SAFETY 01",AND('Job setup'!$B$7="ON",'Job setup'!$C$7&lt;=Q$6,'Job setup'!$D$7&gt;=Q$6,'Job setup'!$G$7="YES")),8,IF(OS55,MIN(IF(OR(Q56&lt;=0,NOT('_JobDays'!H2)),0,IF(WEEKDAY(Q$6,1)=1,0,MIN(IF('_JobDays'!H3,8,10),Q57)*Q56)),MAX(0,40*MAX(1,Q56)-(0))),MIN(IF(OR(Q56&lt;=0,NOT('_JobDays'!H2)),0,IF(WEEKDAY(Q$6,1)=1,0,IF(WEEKDAY(Q$6,1)=7,0,IF('_JobDays'!H4,MIN(8,Q57)*Q56,Q56*Q57)))),MAX(0,40*MAX(1,Q56)-(0)))))</f>
        <v>8</v>
      </c>
      <c r="R58" s="62">
        <f>IF(AND(R56=1,R57=8,E55="Auto",B55="COORDINATOR SAFETY 01",AND('Job setup'!$B$7="ON",'Job setup'!$C$7&lt;=R$6,'Job setup'!$D$7&gt;=R$6,'Job setup'!$G$7="YES")),8,IF(OS55,MIN(IF(OR(R56&lt;=0,NOT('_JobDays'!I2)),0,IF(WEEKDAY(R$6,1)=1,0,MIN(IF('_JobDays'!I3,8,10),R57)*R56)),MAX(0,40*MAX(1,R56)-(Q58))),MIN(IF(OR(R56&lt;=0,NOT('_JobDays'!I2)),0,IF(WEEKDAY(R$6,1)=1,0,IF(WEEKDAY(R$6,1)=7,0,IF('_JobDays'!I4,MIN(8,R57)*R56,R56*R57)))),MAX(0,40*MAX(1,R56)-(Q58)))))</f>
        <v>8</v>
      </c>
      <c r="S58" s="62">
        <f>IF(AND(S56=1,S57=8,E55="Auto",B55="COORDINATOR SAFETY 01",AND('Job setup'!$B$7="ON",'Job setup'!$C$7&lt;=S$6,'Job setup'!$D$7&gt;=S$6,'Job setup'!$G$7="YES")),8,IF(OS55,MIN(IF(OR(S56&lt;=0,NOT('_JobDays'!J2)),0,IF(WEEKDAY(S$6,1)=1,0,MIN(IF('_JobDays'!J3,8,10),S57)*S56)),MAX(0,40*MAX(1,S56)-(Q58+R58))),MIN(IF(OR(S56&lt;=0,NOT('_JobDays'!J2)),0,IF(WEEKDAY(S$6,1)=1,0,IF(WEEKDAY(S$6,1)=7,0,IF('_JobDays'!J4,MIN(8,S57)*S56,S56*S57)))),MAX(0,40*MAX(1,S56)-(Q58+R58)))))</f>
        <v>8</v>
      </c>
      <c r="T58" s="62">
        <f>IF(AND(T56=1,T57=12,E55="Auto",B55="COORDINATOR SAFETY 01",AND('Job setup'!$B$9="ON",'Job setup'!$C$9&lt;=T$6,'Job setup'!$D$9&gt;=T$6,'Job setup'!$G$9="NO")),10,IF(OS55,MIN(IF(OR(T56&lt;=0,NOT('_JobDays'!K2)),0,IF(WEEKDAY(T$6,1)=1,0,MIN(IF('_JobDays'!K3,8,10),T57)*T56)),MAX(0,40*MAX(1,T56)-(Q58+R58+S58))),MIN(IF(OR(T56&lt;=0,NOT('_JobDays'!K2)),0,IF(WEEKDAY(T$6,1)=1,0,IF(WEEKDAY(T$6,1)=7,0,IF('_JobDays'!K4,MIN(8,T57)*T56,T56*T57)))),MAX(0,40*MAX(1,T56)-(Q58+R58+S58)))))</f>
        <v>10</v>
      </c>
      <c r="U58" s="62">
        <f>IF(AND(U56=1,U57=12,E55="Auto",B55="COORDINATOR SAFETY 01",AND('Job setup'!$B$9="ON",'Job setup'!$C$9&lt;=U$6,'Job setup'!$D$9&gt;=U$6,'Job setup'!$G$9="NO")),10,IF(OS55,MIN(IF(OR(U56&lt;=0,NOT('_JobDays'!L2)),0,IF(WEEKDAY(U$6,1)=1,0,MIN(IF('_JobDays'!L3,8,10),U57)*U56)),MAX(0,40*MAX(1,U56)-(Q58+R58+S58+T58))),MIN(IF(OR(U56&lt;=0,NOT('_JobDays'!L2)),0,IF(WEEKDAY(U$6,1)=1,0,IF(WEEKDAY(U$6,1)=7,0,IF('_JobDays'!L4,MIN(8,U57)*U56,U56*U57)))),MAX(0,40*MAX(1,U56)-(Q58+R58+S58+T58)))))</f>
        <v>10</v>
      </c>
      <c r="V58" s="63">
        <f>IF(AND(V56=1,V57=12,E55="Auto",B55="COORDINATOR SAFETY 01",AND('Job setup'!$B$9="ON",'Job setup'!$C$9&lt;=V$6,'Job setup'!$D$9&gt;=V$6,'Job setup'!$G$9="NO")),10,IF(OS55,MIN(IF(OR(V56&lt;=0,NOT('_JobDays'!M2)),0,IF(WEEKDAY(V$6,1)=1,0,MIN(IF('_JobDays'!M3,8,10),V57)*V56)),MAX(0,40*MAX(1,V56)-(Q58+R58+S58+T58+U58))),MIN(IF(OR(V56&lt;=0,NOT('_JobDays'!M2)),0,IF(WEEKDAY(V$6,1)=1,0,IF(WEEKDAY(V$6,1)=7,0,IF('_JobDays'!M4,MIN(8,V57)*V56,V56*V57)))),MAX(0,40*MAX(1,V56)-(Q58+R58+S58+T58+U58)))))</f>
        <v>10</v>
      </c>
      <c r="W58" s="63">
        <f>IF(AND(W56=1,W57=12,E55="Auto",B55="COORDINATOR SAFETY 01",AND('Job setup'!$B$9="ON",'Job setup'!$C$9&lt;=W$6,'Job setup'!$D$9&gt;=W$6,'Job setup'!$G$9="NO")),0,IF(OS55,MIN(IF(OR(W56&lt;=0,NOT('_JobDays'!N2)),0,IF(WEEKDAY(W$6,1)=1,0,MIN(IF('_JobDays'!N3,8,10),W57)*W56)),MAX(0,40*MAX(1,W56)-(Q58+R58+S58+T58+U58+V58))),MIN(IF(OR(W56&lt;=0,NOT('_JobDays'!N2)),0,IF(WEEKDAY(W$6,1)=1,0,IF(WEEKDAY(W$6,1)=7,0,IF('_JobDays'!N4,MIN(8,W57)*W56,W56*W57)))),MAX(0,40*MAX(1,W56)-(Q58+R58+S58+T58+U58+V58)))))</f>
        <v>0</v>
      </c>
      <c r="X58" s="62">
        <f>IF(AND(X56=1,X57=12,E55="Auto",B55="COORDINATOR SAFETY 01",AND('Job setup'!$B$9="ON",'Job setup'!$C$9&lt;=X$6,'Job setup'!$D$9&gt;=X$6,'Job setup'!$G$9="NO")),10,IF(OS55,MIN(IF(OR(X56&lt;=0,NOT('_JobDays'!O2)),0,IF(WEEKDAY(X$6,1)=1,0,MIN(IF('_JobDays'!O3,8,10),X57)*X56)),MAX(0,40*MAX(1,X56)-(0))),MIN(IF(OR(X56&lt;=0,NOT('_JobDays'!O2)),0,IF(WEEKDAY(X$6,1)=1,0,IF(WEEKDAY(X$6,1)=7,0,IF('_JobDays'!O4,MIN(8,X57)*X56,X56*X57)))),MAX(0,40*MAX(1,X56)-(0)))))</f>
        <v>10</v>
      </c>
      <c r="Y58" s="62">
        <f>IF(AND(Y56=1,Y57=12,E55="Auto",B55="COORDINATOR SAFETY 01",AND('Job setup'!$B$9="ON",'Job setup'!$C$9&lt;=Y$6,'Job setup'!$D$9&gt;=Y$6,'Job setup'!$G$9="NO")),10,IF(OS55,MIN(IF(OR(Y56&lt;=0,NOT('_JobDays'!P2)),0,IF(WEEKDAY(Y$6,1)=1,0,MIN(IF('_JobDays'!P3,8,10),Y57)*Y56)),MAX(0,40*MAX(1,Y56)-(X58))),MIN(IF(OR(Y56&lt;=0,NOT('_JobDays'!P2)),0,IF(WEEKDAY(Y$6,1)=1,0,IF(WEEKDAY(Y$6,1)=7,0,IF('_JobDays'!P4,MIN(8,Y57)*Y56,Y56*Y57)))),MAX(0,40*MAX(1,Y56)-(X58)))))</f>
        <v>10</v>
      </c>
      <c r="Z58" s="62">
        <f>IF(AND(Z56=1,Z57=12,E55="Auto",B55="COORDINATOR SAFETY 01",AND('Job setup'!$B$9="ON",'Job setup'!$C$9&lt;=Z$6,'Job setup'!$D$9&gt;=Z$6,'Job setup'!$G$9="NO")),10,IF(OS55,MIN(IF(OR(Z56&lt;=0,NOT('_JobDays'!Q2)),0,IF(WEEKDAY(Z$6,1)=1,0,MIN(IF('_JobDays'!Q3,8,10),Z57)*Z56)),MAX(0,40*MAX(1,Z56)-(X58+Y58))),MIN(IF(OR(Z56&lt;=0,NOT('_JobDays'!Q2)),0,IF(WEEKDAY(Z$6,1)=1,0,IF(WEEKDAY(Z$6,1)=7,0,IF('_JobDays'!Q4,MIN(8,Z57)*Z56,Z56*Z57)))),MAX(0,40*MAX(1,Z56)-(X58+Y58)))))</f>
        <v>10</v>
      </c>
      <c r="AA58" s="62">
        <f>IF(AND(AA56=1,AA57=12,E55="Auto",B55="COORDINATOR SAFETY 01",AND('Job setup'!$B$9="ON",'Job setup'!$C$9&lt;=AA$6,'Job setup'!$D$9&gt;=AA$6,'Job setup'!$G$9="NO")),10,IF(OS55,MIN(IF(OR(AA56&lt;=0,NOT('_JobDays'!R2)),0,IF(WEEKDAY(AA$6,1)=1,0,MIN(IF('_JobDays'!R3,8,10),AA57)*AA56)),MAX(0,40*MAX(1,AA56)-(X58+Y58+Z58))),MIN(IF(OR(AA56&lt;=0,NOT('_JobDays'!R2)),0,IF(WEEKDAY(AA$6,1)=1,0,IF(WEEKDAY(AA$6,1)=7,0,IF('_JobDays'!R4,MIN(8,AA57)*AA56,AA56*AA57)))),MAX(0,40*MAX(1,AA56)-(X58+Y58+Z58)))))</f>
        <v>10</v>
      </c>
      <c r="AB58" s="62">
        <f>IF(AND(AB56=1,AB57=12,E55="Auto",B55="COORDINATOR SAFETY 01",AND('Job setup'!$B$9="ON",'Job setup'!$C$9&lt;=AB$6,'Job setup'!$D$9&gt;=AB$6,'Job setup'!$G$9="NO")),0,IF(OS55,MIN(IF(OR(AB56&lt;=0,NOT('_JobDays'!S2)),0,IF(WEEKDAY(AB$6,1)=1,0,MIN(IF('_JobDays'!S3,8,10),AB57)*AB56)),MAX(0,40*MAX(1,AB56)-(X58+Y58+Z58+AA58))),MIN(IF(OR(AB56&lt;=0,NOT('_JobDays'!S2)),0,IF(WEEKDAY(AB$6,1)=1,0,IF(WEEKDAY(AB$6,1)=7,0,IF('_JobDays'!S4,MIN(8,AB57)*AB56,AB56*AB57)))),MAX(0,40*MAX(1,AB56)-(X58+Y58+Z58+AA58)))))</f>
        <v>0</v>
      </c>
      <c r="AC58" s="63">
        <f>IF(AND(AC56=1,AC57=12,E55="Auto",B55="COORDINATOR SAFETY 01",AND('Job setup'!$B$9="ON",'Job setup'!$C$9&lt;=AC$6,'Job setup'!$D$9&gt;=AC$6,'Job setup'!$G$9="NO")),0,IF(OS55,MIN(IF(OR(AC56&lt;=0,NOT('_JobDays'!T2)),0,IF(WEEKDAY(AC$6,1)=1,0,MIN(IF('_JobDays'!T3,8,10),AC57)*AC56)),MAX(0,40*MAX(1,AC56)-(X58+Y58+Z58+AA58+AB58))),MIN(IF(OR(AC56&lt;=0,NOT('_JobDays'!T2)),0,IF(WEEKDAY(AC$6,1)=1,0,IF(WEEKDAY(AC$6,1)=7,0,IF('_JobDays'!T4,MIN(8,AC57)*AC56,AC56*AC57)))),MAX(0,40*MAX(1,AC56)-(X58+Y58+Z58+AA58+AB58)))))</f>
        <v>0</v>
      </c>
      <c r="AD58" s="63">
        <f>IF(AND(AD56=1,AD57=12,E55="Auto",B55="COORDINATOR SAFETY 01",AND('Job setup'!$B$9="ON",'Job setup'!$C$9&lt;=AD$6,'Job setup'!$D$9&gt;=AD$6,'Job setup'!$G$9="NO")),0,IF(OS55,MIN(IF(OR(AD56&lt;=0,NOT('_JobDays'!U2)),0,IF(WEEKDAY(AD$6,1)=1,0,MIN(IF('_JobDays'!U3,8,10),AD57)*AD56)),MAX(0,40*MAX(1,AD56)-(X58+Y58+Z58+AA58+AB58+AC58))),MIN(IF(OR(AD56&lt;=0,NOT('_JobDays'!U2)),0,IF(WEEKDAY(AD$6,1)=1,0,IF(WEEKDAY(AD$6,1)=7,0,IF('_JobDays'!U4,MIN(8,AD57)*AD56,AD56*AD57)))),MAX(0,40*MAX(1,AD56)-(X58+Y58+Z58+AA58+AB58+AC58)))))</f>
        <v>0</v>
      </c>
      <c r="AE58" s="62">
        <f>IF(AND(AE56=1,AE57=12,E55="Auto",B55="COORDINATOR SAFETY 01",AND('Job setup'!$B$9="ON",'Job setup'!$C$9&lt;=AE$6,'Job setup'!$D$9&gt;=AE$6,'Job setup'!$G$9="NO")),10,IF(OS55,MIN(IF(OR(AE56&lt;=0,NOT('_JobDays'!V2)),0,IF(WEEKDAY(AE$6,1)=1,0,MIN(IF('_JobDays'!V3,8,10),AE57)*AE56)),MAX(0,40*MAX(1,AE56)-(0))),MIN(IF(OR(AE56&lt;=0,NOT('_JobDays'!V2)),0,IF(WEEKDAY(AE$6,1)=1,0,IF(WEEKDAY(AE$6,1)=7,0,IF('_JobDays'!V4,MIN(8,AE57)*AE56,AE56*AE57)))),MAX(0,40*MAX(1,AE56)-(0)))))</f>
        <v>10</v>
      </c>
      <c r="AF58" s="62">
        <f>IF(AND(AF56=1,AF57=12,E55="Auto",B55="COORDINATOR SAFETY 01",AND('Job setup'!$B$9="ON",'Job setup'!$C$9&lt;=AF$6,'Job setup'!$D$9&gt;=AF$6,'Job setup'!$G$9="NO")),10,IF(OS55,MIN(IF(OR(AF56&lt;=0,NOT('_JobDays'!W2)),0,IF(WEEKDAY(AF$6,1)=1,0,MIN(IF('_JobDays'!W3,8,10),AF57)*AF56)),MAX(0,40*MAX(1,AF56)-(AE58))),MIN(IF(OR(AF56&lt;=0,NOT('_JobDays'!W2)),0,IF(WEEKDAY(AF$6,1)=1,0,IF(WEEKDAY(AF$6,1)=7,0,IF('_JobDays'!W4,MIN(8,AF57)*AF56,AF56*AF57)))),MAX(0,40*MAX(1,AF56)-(AE58)))))</f>
        <v>10</v>
      </c>
      <c r="AG58" s="62">
        <f>IF(AND(AG56=1,AG57=12,E55="Auto",B55="COORDINATOR SAFETY 01",AND('Job setup'!$B$9="ON",'Job setup'!$C$9&lt;=AG$6,'Job setup'!$D$9&gt;=AG$6,'Job setup'!$G$9="NO")),10,IF(OS55,MIN(IF(OR(AG56&lt;=0,NOT('_JobDays'!X2)),0,IF(WEEKDAY(AG$6,1)=1,0,MIN(IF('_JobDays'!X3,8,10),AG57)*AG56)),MAX(0,40*MAX(1,AG56)-(AE58+AF58))),MIN(IF(OR(AG56&lt;=0,NOT('_JobDays'!X2)),0,IF(WEEKDAY(AG$6,1)=1,0,IF(WEEKDAY(AG$6,1)=7,0,IF('_JobDays'!X4,MIN(8,AG57)*AG56,AG56*AG57)))),MAX(0,40*MAX(1,AG56)-(AE58+AF58)))))</f>
        <v>10</v>
      </c>
      <c r="AH58" s="62">
        <f>IF(AND(AH56=0,AH57=0,E55="Auto",B55="COORDINATOR SAFETY 01",AND('Job setup'!$B$11="ON",'Job setup'!$C$11&lt;=AH$6,'Job setup'!$D$11&gt;=AH$6,'Job setup'!$G$11="YES")),0,IF(OS55,MIN(IF(OR(AH56&lt;=0,NOT('_JobDays'!Y2)),0,IF(WEEKDAY(AH$6,1)=1,0,MIN(IF('_JobDays'!Y3,8,10),AH57)*AH56)),MAX(0,40*MAX(1,AH56)-(AE58+AF58+AG58))),MIN(IF(OR(AH56&lt;=0,NOT('_JobDays'!Y2)),0,IF(WEEKDAY(AH$6,1)=1,0,IF(WEEKDAY(AH$6,1)=7,0,IF('_JobDays'!Y4,MIN(8,AH57)*AH56,AH56*AH57)))),MAX(0,40*MAX(1,AH56)-(AE58+AF58+AG58)))))</f>
        <v>0</v>
      </c>
      <c r="AI58" s="62">
        <f>IF(AND(AI56=0,AI57=0,E55="Auto",B55="COORDINATOR SAFETY 01",AND('Job setup'!$B$11="ON",'Job setup'!$C$11&lt;=AI$6,'Job setup'!$D$11&gt;=AI$6,'Job setup'!$G$11="YES")),0,IF(OS55,MIN(IF(OR(AI56&lt;=0,NOT('_JobDays'!Z2)),0,IF(WEEKDAY(AI$6,1)=1,0,MIN(IF('_JobDays'!Z3,8,10),AI57)*AI56)),MAX(0,40*MAX(1,AI56)-(AE58+AF58+AG58+AH58))),MIN(IF(OR(AI56&lt;=0,NOT('_JobDays'!Z2)),0,IF(WEEKDAY(AI$6,1)=1,0,IF(WEEKDAY(AI$6,1)=7,0,IF('_JobDays'!Z4,MIN(8,AI57)*AI56,AI56*AI57)))),MAX(0,40*MAX(1,AI56)-(AE58+AF58+AG58+AH58)))))</f>
        <v>0</v>
      </c>
      <c r="AJ58" s="63">
        <f>IF(AND(AJ56=0,AJ57=0,E55="Auto",B55="COORDINATOR SAFETY 01",AND('Job setup'!$B$11="ON",'Job setup'!$C$11&lt;=AJ$6,'Job setup'!$D$11&gt;=AJ$6,'Job setup'!$G$11="YES")),0,IF(OS55,MIN(IF(OR(AJ56&lt;=0,NOT('_JobDays'!AA2)),0,IF(WEEKDAY(AJ$6,1)=1,0,MIN(IF('_JobDays'!AA3,8,10),AJ57)*AJ56)),MAX(0,40*MAX(1,AJ56)-(AE58+AF58+AG58+AH58+AI58))),MIN(IF(OR(AJ56&lt;=0,NOT('_JobDays'!AA2)),0,IF(WEEKDAY(AJ$6,1)=1,0,IF(WEEKDAY(AJ$6,1)=7,0,IF('_JobDays'!AA4,MIN(8,AJ57)*AJ56,AJ56*AJ57)))),MAX(0,40*MAX(1,AJ56)-(AE58+AF58+AG58+AH58+AI58)))))</f>
        <v>0</v>
      </c>
      <c r="AK58" s="63">
        <f>IF(AND(AK56=0,AK57=0,E55="Auto",B55="COORDINATOR SAFETY 01",AND('Job setup'!$B$11="ON",'Job setup'!$C$11&lt;=AK$6,'Job setup'!$D$11&gt;=AK$6,'Job setup'!$G$11="YES")),0,IF(OS55,MIN(IF(OR(AK56&lt;=0,NOT('_JobDays'!AB2)),0,IF(WEEKDAY(AK$6,1)=1,0,MIN(IF('_JobDays'!AB3,8,10),AK57)*AK56)),MAX(0,40*MAX(1,AK56)-(AE58+AF58+AG58+AH58+AI58+AJ58))),MIN(IF(OR(AK56&lt;=0,NOT('_JobDays'!AB2)),0,IF(WEEKDAY(AK$6,1)=1,0,IF(WEEKDAY(AK$6,1)=7,0,IF('_JobDays'!AB4,MIN(8,AK57)*AK56,AK56*AK57)))),MAX(0,40*MAX(1,AK56)-(AE58+AF58+AG58+AH58+AI58+AJ58)))))</f>
        <v>0</v>
      </c>
      <c r="AL58" s="62">
        <f>IF(AND(AL56=0,AL57=0,E55="Auto",B55="COORDINATOR SAFETY 01",AND('Job setup'!$B$11="ON",'Job setup'!$C$11&lt;=AL$6,'Job setup'!$D$11&gt;=AL$6,'Job setup'!$G$11="YES")),0,IF(OS55,MIN(IF(OR(AL56&lt;=0,NOT('_JobDays'!AC2)),0,IF(WEEKDAY(AL$6,1)=1,0,MIN(IF('_JobDays'!AC3,8,10),AL57)*AL56)),MAX(0,40*MAX(1,AL56)-(0))),MIN(IF(OR(AL56&lt;=0,NOT('_JobDays'!AC2)),0,IF(WEEKDAY(AL$6,1)=1,0,IF(WEEKDAY(AL$6,1)=7,0,IF('_JobDays'!AC4,MIN(8,AL57)*AL56,AL56*AL57)))),MAX(0,40*MAX(1,AL56)-(0)))))</f>
        <v>0</v>
      </c>
      <c r="AM58" s="62">
        <f>IF(AND(AM56=0,AM57=0,E55="Auto",B55="COORDINATOR SAFETY 01",AND('Job setup'!$B$11="ON",'Job setup'!$C$11&lt;=AM$6,'Job setup'!$D$11&gt;=AM$6,'Job setup'!$G$11="YES")),0,IF(OS55,MIN(IF(OR(AM56&lt;=0,NOT('_JobDays'!AD2)),0,IF(WEEKDAY(AM$6,1)=1,0,MIN(IF('_JobDays'!AD3,8,10),AM57)*AM56)),MAX(0,40*MAX(1,AM56)-(AL58))),MIN(IF(OR(AM56&lt;=0,NOT('_JobDays'!AD2)),0,IF(WEEKDAY(AM$6,1)=1,0,IF(WEEKDAY(AM$6,1)=7,0,IF('_JobDays'!AD4,MIN(8,AM57)*AM56,AM56*AM57)))),MAX(0,40*MAX(1,AM56)-(AL58)))))</f>
        <v>0</v>
      </c>
      <c r="AN58" s="62">
        <f>IF(AND(AN56=0,AN57=0,E55="Auto",B55="COORDINATOR SAFETY 01",AND('Job setup'!$B$11="ON",'Job setup'!$C$11&lt;=AN$6,'Job setup'!$D$11&gt;=AN$6,'Job setup'!$G$11="YES")),0,IF(OS55,MIN(IF(OR(AN56&lt;=0,NOT('_JobDays'!AE2)),0,IF(WEEKDAY(AN$6,1)=1,0,MIN(IF('_JobDays'!AE3,8,10),AN57)*AN56)),MAX(0,40*MAX(1,AN56)-(AL58+AM58))),MIN(IF(OR(AN56&lt;=0,NOT('_JobDays'!AE2)),0,IF(WEEKDAY(AN$6,1)=1,0,IF(WEEKDAY(AN$6,1)=7,0,IF('_JobDays'!AE4,MIN(8,AN57)*AN56,AN56*AN57)))),MAX(0,40*MAX(1,AN56)-(AL58+AM58)))))</f>
        <v>0</v>
      </c>
      <c r="AO58" s="64">
        <f>IF(AND(AO56=0,AO57=0,E55="Auto",B55="COORDINATOR SAFETY 01",AND('Job setup'!$B$11="ON",'Job setup'!$C$11&lt;=AO$6,'Job setup'!$D$11&gt;=AO$6,'Job setup'!$G$11="YES")),0,IF(OS55,MIN(IF(OR(AO56&lt;=0,NOT('_JobDays'!AF2)),0,IF(WEEKDAY(AO$6,1)=1,0,MIN(IF('_JobDays'!AF3,8,10),AO57)*AO56)),MAX(0,40*MAX(1,AO56)-(AL58+AM58+AN58))),MIN(IF(OR(AO56&lt;=0,NOT('_JobDays'!AF2)),0,IF(WEEKDAY(AO$6,1)=1,0,IF(WEEKDAY(AO$6,1)=7,0,IF('_JobDays'!AF4,MIN(8,AO57)*AO56,AO56*AO57)))),MAX(0,40*MAX(1,AO56)-(AL58+AM58+AN58)))))</f>
        <v>0</v>
      </c>
      <c r="OT58" s="28" t="s">
        <v>73</v>
      </c>
    </row>
    <row r="59" ht="16" customHeight="1" spans="1:410" x14ac:dyDescent="0.25">
      <c r="A59" s="73"/>
      <c r="B59" s="44"/>
      <c r="C59" s="65">
        <f>G55*N(D59)</f>
        <v>5376.8</v>
      </c>
      <c r="D59" s="65">
        <f>IF(TRIM(B55)="","No rate",IFERROR(INDEX('Rate Tables'!D$7:D$161,MATCH(B55,'Rate Tables'!A$7:A$161,0)),"No rate"))</f>
        <v>122.2</v>
      </c>
      <c r="E59" s="54" t="s">
        <v>61</v>
      </c>
      <c r="F59" s="48"/>
      <c r="G59" s="48"/>
      <c r="H59" s="48"/>
      <c r="I59" s="49"/>
      <c r="J59" s="61">
        <f>IF(AND(J56=1,J57=8,E55="Auto",B55="COORDINATOR SAFETY 01",AND('Job setup'!$B$7="ON",'Job setup'!$C$7&lt;=J$6,'Job setup'!$D$7&gt;=J$6,'Job setup'!$G$7="YES")),0,IF(OS55,IF(OR(J56&lt;=0,NOT('_JobDays'!A2)),0,IF(WEEKDAY(J$6,1)=1,0,MAX(0,J57-(IF('_JobDays'!A3,8,10)))*J56))+((IF(OR(J56&lt;=0,NOT('_JobDays'!A2)),0,IF(WEEKDAY(J$6,1)=1,0,MIN(IF('_JobDays'!A3,8,10),J57)*J56)))-MIN(IF(OR(J56&lt;=0,NOT('_JobDays'!A2)),0,IF(WEEKDAY(J$6,1)=1,0,MIN(IF('_JobDays'!A3,8,10),J57)*J56)),MAX(0,40*MAX(1,J56)-(0)))),IF(OR(J56&lt;=0,NOT('_JobDays'!A2)),0,IF(WEEKDAY(J$6,1)=1,0,IF(WEEKDAY(J$6,1)=7,J56*J57,IF('_JobDays'!A4,MAX(0,J57-8)*J56,0))))+((IF(OR(J56&lt;=0,NOT('_JobDays'!A2)),0,IF(WEEKDAY(J$6,1)=1,0,IF(WEEKDAY(J$6,1)=7,0,IF('_JobDays'!A4,MIN(8,J57)*J56,J56*J57)))))-MIN(IF(OR(J56&lt;=0,NOT('_JobDays'!A2)),0,IF(WEEKDAY(J$6,1)=1,0,IF(WEEKDAY(J$6,1)=7,0,IF('_JobDays'!A4,MIN(8,J57)*J56,J56*J57)))),MAX(0,40*MAX(1,J56)-(0))))))</f>
        <v>0</v>
      </c>
      <c r="K59" s="62">
        <f>IF(AND(K56=1,K57=8,E55="Auto",B55="COORDINATOR SAFETY 01",AND('Job setup'!$B$7="ON",'Job setup'!$C$7&lt;=K$6,'Job setup'!$D$7&gt;=K$6,'Job setup'!$G$7="YES")),0,IF(OS55,IF(OR(K56&lt;=0,NOT('_JobDays'!B2)),0,IF(WEEKDAY(K$6,1)=1,0,MAX(0,K57-(IF('_JobDays'!B3,8,10)))*K56))+((IF(OR(K56&lt;=0,NOT('_JobDays'!B2)),0,IF(WEEKDAY(K$6,1)=1,0,MIN(IF('_JobDays'!B3,8,10),K57)*K56)))-MIN(IF(OR(K56&lt;=0,NOT('_JobDays'!B2)),0,IF(WEEKDAY(K$6,1)=1,0,MIN(IF('_JobDays'!B3,8,10),K57)*K56)),MAX(0,40*MAX(1,K56)-(J58)))),IF(OR(K56&lt;=0,NOT('_JobDays'!B2)),0,IF(WEEKDAY(K$6,1)=1,0,IF(WEEKDAY(K$6,1)=7,K56*K57,IF('_JobDays'!B4,MAX(0,K57-8)*K56,0))))+((IF(OR(K56&lt;=0,NOT('_JobDays'!B2)),0,IF(WEEKDAY(K$6,1)=1,0,IF(WEEKDAY(K$6,1)=7,0,IF('_JobDays'!B4,MIN(8,K57)*K56,K56*K57)))))-MIN(IF(OR(K56&lt;=0,NOT('_JobDays'!B2)),0,IF(WEEKDAY(K$6,1)=1,0,IF(WEEKDAY(K$6,1)=7,0,IF('_JobDays'!B4,MIN(8,K57)*K56,K56*K57)))),MAX(0,40*MAX(1,K56)-(J58))))))</f>
        <v>0</v>
      </c>
      <c r="L59" s="62">
        <f>IF(AND(L56=1,L57=8,E55="Auto",B55="COORDINATOR SAFETY 01",AND('Job setup'!$B$7="ON",'Job setup'!$C$7&lt;=L$6,'Job setup'!$D$7&gt;=L$6,'Job setup'!$G$7="YES")),0,IF(OS55,IF(OR(L56&lt;=0,NOT('_JobDays'!C2)),0,IF(WEEKDAY(L$6,1)=1,0,MAX(0,L57-(IF('_JobDays'!C3,8,10)))*L56))+((IF(OR(L56&lt;=0,NOT('_JobDays'!C2)),0,IF(WEEKDAY(L$6,1)=1,0,MIN(IF('_JobDays'!C3,8,10),L57)*L56)))-MIN(IF(OR(L56&lt;=0,NOT('_JobDays'!C2)),0,IF(WEEKDAY(L$6,1)=1,0,MIN(IF('_JobDays'!C3,8,10),L57)*L56)),MAX(0,40*MAX(1,L56)-(J58+K58)))),IF(OR(L56&lt;=0,NOT('_JobDays'!C2)),0,IF(WEEKDAY(L$6,1)=1,0,IF(WEEKDAY(L$6,1)=7,L56*L57,IF('_JobDays'!C4,MAX(0,L57-8)*L56,0))))+((IF(OR(L56&lt;=0,NOT('_JobDays'!C2)),0,IF(WEEKDAY(L$6,1)=1,0,IF(WEEKDAY(L$6,1)=7,0,IF('_JobDays'!C4,MIN(8,L57)*L56,L56*L57)))))-MIN(IF(OR(L56&lt;=0,NOT('_JobDays'!C2)),0,IF(WEEKDAY(L$6,1)=1,0,IF(WEEKDAY(L$6,1)=7,0,IF('_JobDays'!C4,MIN(8,L57)*L56,L56*L57)))),MAX(0,40*MAX(1,L56)-(J58+K58))))))</f>
        <v>0</v>
      </c>
      <c r="M59" s="62">
        <f>IF(AND(M56=1,M57=8,E55="Auto",B55="COORDINATOR SAFETY 01",AND('Job setup'!$B$7="ON",'Job setup'!$C$7&lt;=M$6,'Job setup'!$D$7&gt;=M$6,'Job setup'!$G$7="YES")),0,IF(OS55,IF(OR(M56&lt;=0,NOT('_JobDays'!D2)),0,IF(WEEKDAY(M$6,1)=1,0,MAX(0,M57-(IF('_JobDays'!D3,8,10)))*M56))+((IF(OR(M56&lt;=0,NOT('_JobDays'!D2)),0,IF(WEEKDAY(M$6,1)=1,0,MIN(IF('_JobDays'!D3,8,10),M57)*M56)))-MIN(IF(OR(M56&lt;=0,NOT('_JobDays'!D2)),0,IF(WEEKDAY(M$6,1)=1,0,MIN(IF('_JobDays'!D3,8,10),M57)*M56)),MAX(0,40*MAX(1,M56)-(J58+K58+L58)))),IF(OR(M56&lt;=0,NOT('_JobDays'!D2)),0,IF(WEEKDAY(M$6,1)=1,0,IF(WEEKDAY(M$6,1)=7,M56*M57,IF('_JobDays'!D4,MAX(0,M57-8)*M56,0))))+((IF(OR(M56&lt;=0,NOT('_JobDays'!D2)),0,IF(WEEKDAY(M$6,1)=1,0,IF(WEEKDAY(M$6,1)=7,0,IF('_JobDays'!D4,MIN(8,M57)*M56,M56*M57)))))-MIN(IF(OR(M56&lt;=0,NOT('_JobDays'!D2)),0,IF(WEEKDAY(M$6,1)=1,0,IF(WEEKDAY(M$6,1)=7,0,IF('_JobDays'!D4,MIN(8,M57)*M56,M56*M57)))),MAX(0,40*MAX(1,M56)-(J58+K58+L58))))))</f>
        <v>0</v>
      </c>
      <c r="N59" s="62">
        <f>IF(AND(N56=1,N57=8,E55="Auto",B55="COORDINATOR SAFETY 01",AND('Job setup'!$B$7="ON",'Job setup'!$C$7&lt;=N$6,'Job setup'!$D$7&gt;=N$6,'Job setup'!$G$7="YES")),0,IF(OS55,IF(OR(N56&lt;=0,NOT('_JobDays'!E2)),0,IF(WEEKDAY(N$6,1)=1,0,MAX(0,N57-(IF('_JobDays'!E3,8,10)))*N56))+((IF(OR(N56&lt;=0,NOT('_JobDays'!E2)),0,IF(WEEKDAY(N$6,1)=1,0,MIN(IF('_JobDays'!E3,8,10),N57)*N56)))-MIN(IF(OR(N56&lt;=0,NOT('_JobDays'!E2)),0,IF(WEEKDAY(N$6,1)=1,0,MIN(IF('_JobDays'!E3,8,10),N57)*N56)),MAX(0,40*MAX(1,N56)-(J58+K58+L58+M58)))),IF(OR(N56&lt;=0,NOT('_JobDays'!E2)),0,IF(WEEKDAY(N$6,1)=1,0,IF(WEEKDAY(N$6,1)=7,N56*N57,IF('_JobDays'!E4,MAX(0,N57-8)*N56,0))))+((IF(OR(N56&lt;=0,NOT('_JobDays'!E2)),0,IF(WEEKDAY(N$6,1)=1,0,IF(WEEKDAY(N$6,1)=7,0,IF('_JobDays'!E4,MIN(8,N57)*N56,N56*N57)))))-MIN(IF(OR(N56&lt;=0,NOT('_JobDays'!E2)),0,IF(WEEKDAY(N$6,1)=1,0,IF(WEEKDAY(N$6,1)=7,0,IF('_JobDays'!E4,MIN(8,N57)*N56,N56*N57)))),MAX(0,40*MAX(1,N56)-(J58+K58+L58+M58))))))</f>
        <v>0</v>
      </c>
      <c r="O59" s="63">
        <f>IF(AND(O56=0,O57=0,E55="Auto",B55="COORDINATOR SAFETY 01",AND('Job setup'!$B$7="ON",'Job setup'!$C$7&lt;=O$6,'Job setup'!$D$7&gt;=O$6,'Job setup'!$G$7="YES")),0,IF(OS55,IF(OR(O56&lt;=0,NOT('_JobDays'!F2)),0,IF(WEEKDAY(O$6,1)=1,0,MAX(0,O57-(IF('_JobDays'!F3,8,10)))*O56))+((IF(OR(O56&lt;=0,NOT('_JobDays'!F2)),0,IF(WEEKDAY(O$6,1)=1,0,MIN(IF('_JobDays'!F3,8,10),O57)*O56)))-MIN(IF(OR(O56&lt;=0,NOT('_JobDays'!F2)),0,IF(WEEKDAY(O$6,1)=1,0,MIN(IF('_JobDays'!F3,8,10),O57)*O56)),MAX(0,40*MAX(1,O56)-(J58+K58+L58+M58+N58)))),IF(OR(O56&lt;=0,NOT('_JobDays'!F2)),0,IF(WEEKDAY(O$6,1)=1,0,IF(WEEKDAY(O$6,1)=7,O56*O57,IF('_JobDays'!F4,MAX(0,O57-8)*O56,0))))+((IF(OR(O56&lt;=0,NOT('_JobDays'!F2)),0,IF(WEEKDAY(O$6,1)=1,0,IF(WEEKDAY(O$6,1)=7,0,IF('_JobDays'!F4,MIN(8,O57)*O56,O56*O57)))))-MIN(IF(OR(O56&lt;=0,NOT('_JobDays'!F2)),0,IF(WEEKDAY(O$6,1)=1,0,IF(WEEKDAY(O$6,1)=7,0,IF('_JobDays'!F4,MIN(8,O57)*O56,O56*O57)))),MAX(0,40*MAX(1,O56)-(J58+K58+L58+M58+N58))))))</f>
        <v>0</v>
      </c>
      <c r="P59" s="63">
        <f>IF(AND(P56=0,P57=0,E55="Auto",B55="COORDINATOR SAFETY 01",AND('Job setup'!$B$7="ON",'Job setup'!$C$7&lt;=P$6,'Job setup'!$D$7&gt;=P$6,'Job setup'!$G$7="YES")),0,IF(OS55,IF(OR(P56&lt;=0,NOT('_JobDays'!G2)),0,IF(WEEKDAY(P$6,1)=1,0,MAX(0,P57-(IF('_JobDays'!G3,8,10)))*P56))+((IF(OR(P56&lt;=0,NOT('_JobDays'!G2)),0,IF(WEEKDAY(P$6,1)=1,0,MIN(IF('_JobDays'!G3,8,10),P57)*P56)))-MIN(IF(OR(P56&lt;=0,NOT('_JobDays'!G2)),0,IF(WEEKDAY(P$6,1)=1,0,MIN(IF('_JobDays'!G3,8,10),P57)*P56)),MAX(0,40*MAX(1,P56)-(J58+K58+L58+M58+N58+O58)))),IF(OR(P56&lt;=0,NOT('_JobDays'!G2)),0,IF(WEEKDAY(P$6,1)=1,0,IF(WEEKDAY(P$6,1)=7,P56*P57,IF('_JobDays'!G4,MAX(0,P57-8)*P56,0))))+((IF(OR(P56&lt;=0,NOT('_JobDays'!G2)),0,IF(WEEKDAY(P$6,1)=1,0,IF(WEEKDAY(P$6,1)=7,0,IF('_JobDays'!G4,MIN(8,P57)*P56,P56*P57)))))-MIN(IF(OR(P56&lt;=0,NOT('_JobDays'!G2)),0,IF(WEEKDAY(P$6,1)=1,0,IF(WEEKDAY(P$6,1)=7,0,IF('_JobDays'!G4,MIN(8,P57)*P56,P56*P57)))),MAX(0,40*MAX(1,P56)-(J58+K58+L58+M58+N58+O58))))))</f>
        <v>0</v>
      </c>
      <c r="Q59" s="62">
        <f>IF(AND(Q56=1,Q57=8,E55="Auto",B55="COORDINATOR SAFETY 01",AND('Job setup'!$B$7="ON",'Job setup'!$C$7&lt;=Q$6,'Job setup'!$D$7&gt;=Q$6,'Job setup'!$G$7="YES")),0,IF(OS55,IF(OR(Q56&lt;=0,NOT('_JobDays'!H2)),0,IF(WEEKDAY(Q$6,1)=1,0,MAX(0,Q57-(IF('_JobDays'!H3,8,10)))*Q56))+((IF(OR(Q56&lt;=0,NOT('_JobDays'!H2)),0,IF(WEEKDAY(Q$6,1)=1,0,MIN(IF('_JobDays'!H3,8,10),Q57)*Q56)))-MIN(IF(OR(Q56&lt;=0,NOT('_JobDays'!H2)),0,IF(WEEKDAY(Q$6,1)=1,0,MIN(IF('_JobDays'!H3,8,10),Q57)*Q56)),MAX(0,40*MAX(1,Q56)-(0)))),IF(OR(Q56&lt;=0,NOT('_JobDays'!H2)),0,IF(WEEKDAY(Q$6,1)=1,0,IF(WEEKDAY(Q$6,1)=7,Q56*Q57,IF('_JobDays'!H4,MAX(0,Q57-8)*Q56,0))))+((IF(OR(Q56&lt;=0,NOT('_JobDays'!H2)),0,IF(WEEKDAY(Q$6,1)=1,0,IF(WEEKDAY(Q$6,1)=7,0,IF('_JobDays'!H4,MIN(8,Q57)*Q56,Q56*Q57)))))-MIN(IF(OR(Q56&lt;=0,NOT('_JobDays'!H2)),0,IF(WEEKDAY(Q$6,1)=1,0,IF(WEEKDAY(Q$6,1)=7,0,IF('_JobDays'!H4,MIN(8,Q57)*Q56,Q56*Q57)))),MAX(0,40*MAX(1,Q56)-(0))))))</f>
        <v>0</v>
      </c>
      <c r="R59" s="62">
        <f>IF(AND(R56=1,R57=8,E55="Auto",B55="COORDINATOR SAFETY 01",AND('Job setup'!$B$7="ON",'Job setup'!$C$7&lt;=R$6,'Job setup'!$D$7&gt;=R$6,'Job setup'!$G$7="YES")),0,IF(OS55,IF(OR(R56&lt;=0,NOT('_JobDays'!I2)),0,IF(WEEKDAY(R$6,1)=1,0,MAX(0,R57-(IF('_JobDays'!I3,8,10)))*R56))+((IF(OR(R56&lt;=0,NOT('_JobDays'!I2)),0,IF(WEEKDAY(R$6,1)=1,0,MIN(IF('_JobDays'!I3,8,10),R57)*R56)))-MIN(IF(OR(R56&lt;=0,NOT('_JobDays'!I2)),0,IF(WEEKDAY(R$6,1)=1,0,MIN(IF('_JobDays'!I3,8,10),R57)*R56)),MAX(0,40*MAX(1,R56)-(Q58)))),IF(OR(R56&lt;=0,NOT('_JobDays'!I2)),0,IF(WEEKDAY(R$6,1)=1,0,IF(WEEKDAY(R$6,1)=7,R56*R57,IF('_JobDays'!I4,MAX(0,R57-8)*R56,0))))+((IF(OR(R56&lt;=0,NOT('_JobDays'!I2)),0,IF(WEEKDAY(R$6,1)=1,0,IF(WEEKDAY(R$6,1)=7,0,IF('_JobDays'!I4,MIN(8,R57)*R56,R56*R57)))))-MIN(IF(OR(R56&lt;=0,NOT('_JobDays'!I2)),0,IF(WEEKDAY(R$6,1)=1,0,IF(WEEKDAY(R$6,1)=7,0,IF('_JobDays'!I4,MIN(8,R57)*R56,R56*R57)))),MAX(0,40*MAX(1,R56)-(Q58))))))</f>
        <v>0</v>
      </c>
      <c r="S59" s="62">
        <f>IF(AND(S56=1,S57=8,E55="Auto",B55="COORDINATOR SAFETY 01",AND('Job setup'!$B$7="ON",'Job setup'!$C$7&lt;=S$6,'Job setup'!$D$7&gt;=S$6,'Job setup'!$G$7="YES")),0,IF(OS55,IF(OR(S56&lt;=0,NOT('_JobDays'!J2)),0,IF(WEEKDAY(S$6,1)=1,0,MAX(0,S57-(IF('_JobDays'!J3,8,10)))*S56))+((IF(OR(S56&lt;=0,NOT('_JobDays'!J2)),0,IF(WEEKDAY(S$6,1)=1,0,MIN(IF('_JobDays'!J3,8,10),S57)*S56)))-MIN(IF(OR(S56&lt;=0,NOT('_JobDays'!J2)),0,IF(WEEKDAY(S$6,1)=1,0,MIN(IF('_JobDays'!J3,8,10),S57)*S56)),MAX(0,40*MAX(1,S56)-(Q58+R58)))),IF(OR(S56&lt;=0,NOT('_JobDays'!J2)),0,IF(WEEKDAY(S$6,1)=1,0,IF(WEEKDAY(S$6,1)=7,S56*S57,IF('_JobDays'!J4,MAX(0,S57-8)*S56,0))))+((IF(OR(S56&lt;=0,NOT('_JobDays'!J2)),0,IF(WEEKDAY(S$6,1)=1,0,IF(WEEKDAY(S$6,1)=7,0,IF('_JobDays'!J4,MIN(8,S57)*S56,S56*S57)))))-MIN(IF(OR(S56&lt;=0,NOT('_JobDays'!J2)),0,IF(WEEKDAY(S$6,1)=1,0,IF(WEEKDAY(S$6,1)=7,0,IF('_JobDays'!J4,MIN(8,S57)*S56,S56*S57)))),MAX(0,40*MAX(1,S56)-(Q58+R58))))))</f>
        <v>0</v>
      </c>
      <c r="T59" s="62">
        <f>IF(AND(T56=1,T57=12,E55="Auto",B55="COORDINATOR SAFETY 01",AND('Job setup'!$B$9="ON",'Job setup'!$C$9&lt;=T$6,'Job setup'!$D$9&gt;=T$6,'Job setup'!$G$9="NO")),2,IF(OS55,IF(OR(T56&lt;=0,NOT('_JobDays'!K2)),0,IF(WEEKDAY(T$6,1)=1,0,MAX(0,T57-(IF('_JobDays'!K3,8,10)))*T56))+((IF(OR(T56&lt;=0,NOT('_JobDays'!K2)),0,IF(WEEKDAY(T$6,1)=1,0,MIN(IF('_JobDays'!K3,8,10),T57)*T56)))-MIN(IF(OR(T56&lt;=0,NOT('_JobDays'!K2)),0,IF(WEEKDAY(T$6,1)=1,0,MIN(IF('_JobDays'!K3,8,10),T57)*T56)),MAX(0,40*MAX(1,T56)-(Q58+R58+S58)))),IF(OR(T56&lt;=0,NOT('_JobDays'!K2)),0,IF(WEEKDAY(T$6,1)=1,0,IF(WEEKDAY(T$6,1)=7,T56*T57,IF('_JobDays'!K4,MAX(0,T57-8)*T56,0))))+((IF(OR(T56&lt;=0,NOT('_JobDays'!K2)),0,IF(WEEKDAY(T$6,1)=1,0,IF(WEEKDAY(T$6,1)=7,0,IF('_JobDays'!K4,MIN(8,T57)*T56,T56*T57)))))-MIN(IF(OR(T56&lt;=0,NOT('_JobDays'!K2)),0,IF(WEEKDAY(T$6,1)=1,0,IF(WEEKDAY(T$6,1)=7,0,IF('_JobDays'!K4,MIN(8,T57)*T56,T56*T57)))),MAX(0,40*MAX(1,T56)-(Q58+R58+S58))))))</f>
        <v>2</v>
      </c>
      <c r="U59" s="62">
        <f>IF(AND(U56=1,U57=12,E55="Auto",B55="COORDINATOR SAFETY 01",AND('Job setup'!$B$9="ON",'Job setup'!$C$9&lt;=U$6,'Job setup'!$D$9&gt;=U$6,'Job setup'!$G$9="NO")),2,IF(OS55,IF(OR(U56&lt;=0,NOT('_JobDays'!L2)),0,IF(WEEKDAY(U$6,1)=1,0,MAX(0,U57-(IF('_JobDays'!L3,8,10)))*U56))+((IF(OR(U56&lt;=0,NOT('_JobDays'!L2)),0,IF(WEEKDAY(U$6,1)=1,0,MIN(IF('_JobDays'!L3,8,10),U57)*U56)))-MIN(IF(OR(U56&lt;=0,NOT('_JobDays'!L2)),0,IF(WEEKDAY(U$6,1)=1,0,MIN(IF('_JobDays'!L3,8,10),U57)*U56)),MAX(0,40*MAX(1,U56)-(Q58+R58+S58+T58)))),IF(OR(U56&lt;=0,NOT('_JobDays'!L2)),0,IF(WEEKDAY(U$6,1)=1,0,IF(WEEKDAY(U$6,1)=7,U56*U57,IF('_JobDays'!L4,MAX(0,U57-8)*U56,0))))+((IF(OR(U56&lt;=0,NOT('_JobDays'!L2)),0,IF(WEEKDAY(U$6,1)=1,0,IF(WEEKDAY(U$6,1)=7,0,IF('_JobDays'!L4,MIN(8,U57)*U56,U56*U57)))))-MIN(IF(OR(U56&lt;=0,NOT('_JobDays'!L2)),0,IF(WEEKDAY(U$6,1)=1,0,IF(WEEKDAY(U$6,1)=7,0,IF('_JobDays'!L4,MIN(8,U57)*U56,U56*U57)))),MAX(0,40*MAX(1,U56)-(Q58+R58+S58+T58))))))</f>
        <v>2</v>
      </c>
      <c r="V59" s="63">
        <f>IF(AND(V56=1,V57=12,E55="Auto",B55="COORDINATOR SAFETY 01",AND('Job setup'!$B$9="ON",'Job setup'!$C$9&lt;=V$6,'Job setup'!$D$9&gt;=V$6,'Job setup'!$G$9="NO")),2,IF(OS55,IF(OR(V56&lt;=0,NOT('_JobDays'!M2)),0,IF(WEEKDAY(V$6,1)=1,0,MAX(0,V57-(IF('_JobDays'!M3,8,10)))*V56))+((IF(OR(V56&lt;=0,NOT('_JobDays'!M2)),0,IF(WEEKDAY(V$6,1)=1,0,MIN(IF('_JobDays'!M3,8,10),V57)*V56)))-MIN(IF(OR(V56&lt;=0,NOT('_JobDays'!M2)),0,IF(WEEKDAY(V$6,1)=1,0,MIN(IF('_JobDays'!M3,8,10),V57)*V56)),MAX(0,40*MAX(1,V56)-(Q58+R58+S58+T58+U58)))),IF(OR(V56&lt;=0,NOT('_JobDays'!M2)),0,IF(WEEKDAY(V$6,1)=1,0,IF(WEEKDAY(V$6,1)=7,V56*V57,IF('_JobDays'!M4,MAX(0,V57-8)*V56,0))))+((IF(OR(V56&lt;=0,NOT('_JobDays'!M2)),0,IF(WEEKDAY(V$6,1)=1,0,IF(WEEKDAY(V$6,1)=7,0,IF('_JobDays'!M4,MIN(8,V57)*V56,V56*V57)))))-MIN(IF(OR(V56&lt;=0,NOT('_JobDays'!M2)),0,IF(WEEKDAY(V$6,1)=1,0,IF(WEEKDAY(V$6,1)=7,0,IF('_JobDays'!M4,MIN(8,V57)*V56,V56*V57)))),MAX(0,40*MAX(1,V56)-(Q58+R58+S58+T58+U58))))))</f>
        <v>2</v>
      </c>
      <c r="W59" s="63">
        <f>IF(AND(W56=1,W57=12,E55="Auto",B55="COORDINATOR SAFETY 01",AND('Job setup'!$B$9="ON",'Job setup'!$C$9&lt;=W$6,'Job setup'!$D$9&gt;=W$6,'Job setup'!$G$9="NO")),0,IF(OS55,IF(OR(W56&lt;=0,NOT('_JobDays'!N2)),0,IF(WEEKDAY(W$6,1)=1,0,MAX(0,W57-(IF('_JobDays'!N3,8,10)))*W56))+((IF(OR(W56&lt;=0,NOT('_JobDays'!N2)),0,IF(WEEKDAY(W$6,1)=1,0,MIN(IF('_JobDays'!N3,8,10),W57)*W56)))-MIN(IF(OR(W56&lt;=0,NOT('_JobDays'!N2)),0,IF(WEEKDAY(W$6,1)=1,0,MIN(IF('_JobDays'!N3,8,10),W57)*W56)),MAX(0,40*MAX(1,W56)-(Q58+R58+S58+T58+U58+V58)))),IF(OR(W56&lt;=0,NOT('_JobDays'!N2)),0,IF(WEEKDAY(W$6,1)=1,0,IF(WEEKDAY(W$6,1)=7,W56*W57,IF('_JobDays'!N4,MAX(0,W57-8)*W56,0))))+((IF(OR(W56&lt;=0,NOT('_JobDays'!N2)),0,IF(WEEKDAY(W$6,1)=1,0,IF(WEEKDAY(W$6,1)=7,0,IF('_JobDays'!N4,MIN(8,W57)*W56,W56*W57)))))-MIN(IF(OR(W56&lt;=0,NOT('_JobDays'!N2)),0,IF(WEEKDAY(W$6,1)=1,0,IF(WEEKDAY(W$6,1)=7,0,IF('_JobDays'!N4,MIN(8,W57)*W56,W56*W57)))),MAX(0,40*MAX(1,W56)-(Q58+R58+S58+T58+U58+V58))))))</f>
        <v>0</v>
      </c>
      <c r="X59" s="62">
        <f>IF(AND(X56=1,X57=12,E55="Auto",B55="COORDINATOR SAFETY 01",AND('Job setup'!$B$9="ON",'Job setup'!$C$9&lt;=X$6,'Job setup'!$D$9&gt;=X$6,'Job setup'!$G$9="NO")),2,IF(OS55,IF(OR(X56&lt;=0,NOT('_JobDays'!O2)),0,IF(WEEKDAY(X$6,1)=1,0,MAX(0,X57-(IF('_JobDays'!O3,8,10)))*X56))+((IF(OR(X56&lt;=0,NOT('_JobDays'!O2)),0,IF(WEEKDAY(X$6,1)=1,0,MIN(IF('_JobDays'!O3,8,10),X57)*X56)))-MIN(IF(OR(X56&lt;=0,NOT('_JobDays'!O2)),0,IF(WEEKDAY(X$6,1)=1,0,MIN(IF('_JobDays'!O3,8,10),X57)*X56)),MAX(0,40*MAX(1,X56)-(0)))),IF(OR(X56&lt;=0,NOT('_JobDays'!O2)),0,IF(WEEKDAY(X$6,1)=1,0,IF(WEEKDAY(X$6,1)=7,X56*X57,IF('_JobDays'!O4,MAX(0,X57-8)*X56,0))))+((IF(OR(X56&lt;=0,NOT('_JobDays'!O2)),0,IF(WEEKDAY(X$6,1)=1,0,IF(WEEKDAY(X$6,1)=7,0,IF('_JobDays'!O4,MIN(8,X57)*X56,X56*X57)))))-MIN(IF(OR(X56&lt;=0,NOT('_JobDays'!O2)),0,IF(WEEKDAY(X$6,1)=1,0,IF(WEEKDAY(X$6,1)=7,0,IF('_JobDays'!O4,MIN(8,X57)*X56,X56*X57)))),MAX(0,40*MAX(1,X56)-(0))))))</f>
        <v>2</v>
      </c>
      <c r="Y59" s="62">
        <f>IF(AND(Y56=1,Y57=12,E55="Auto",B55="COORDINATOR SAFETY 01",AND('Job setup'!$B$9="ON",'Job setup'!$C$9&lt;=Y$6,'Job setup'!$D$9&gt;=Y$6,'Job setup'!$G$9="NO")),2,IF(OS55,IF(OR(Y56&lt;=0,NOT('_JobDays'!P2)),0,IF(WEEKDAY(Y$6,1)=1,0,MAX(0,Y57-(IF('_JobDays'!P3,8,10)))*Y56))+((IF(OR(Y56&lt;=0,NOT('_JobDays'!P2)),0,IF(WEEKDAY(Y$6,1)=1,0,MIN(IF('_JobDays'!P3,8,10),Y57)*Y56)))-MIN(IF(OR(Y56&lt;=0,NOT('_JobDays'!P2)),0,IF(WEEKDAY(Y$6,1)=1,0,MIN(IF('_JobDays'!P3,8,10),Y57)*Y56)),MAX(0,40*MAX(1,Y56)-(X58)))),IF(OR(Y56&lt;=0,NOT('_JobDays'!P2)),0,IF(WEEKDAY(Y$6,1)=1,0,IF(WEEKDAY(Y$6,1)=7,Y56*Y57,IF('_JobDays'!P4,MAX(0,Y57-8)*Y56,0))))+((IF(OR(Y56&lt;=0,NOT('_JobDays'!P2)),0,IF(WEEKDAY(Y$6,1)=1,0,IF(WEEKDAY(Y$6,1)=7,0,IF('_JobDays'!P4,MIN(8,Y57)*Y56,Y56*Y57)))))-MIN(IF(OR(Y56&lt;=0,NOT('_JobDays'!P2)),0,IF(WEEKDAY(Y$6,1)=1,0,IF(WEEKDAY(Y$6,1)=7,0,IF('_JobDays'!P4,MIN(8,Y57)*Y56,Y56*Y57)))),MAX(0,40*MAX(1,Y56)-(X58))))))</f>
        <v>2</v>
      </c>
      <c r="Z59" s="62">
        <f>IF(AND(Z56=1,Z57=12,E55="Auto",B55="COORDINATOR SAFETY 01",AND('Job setup'!$B$9="ON",'Job setup'!$C$9&lt;=Z$6,'Job setup'!$D$9&gt;=Z$6,'Job setup'!$G$9="NO")),2,IF(OS55,IF(OR(Z56&lt;=0,NOT('_JobDays'!Q2)),0,IF(WEEKDAY(Z$6,1)=1,0,MAX(0,Z57-(IF('_JobDays'!Q3,8,10)))*Z56))+((IF(OR(Z56&lt;=0,NOT('_JobDays'!Q2)),0,IF(WEEKDAY(Z$6,1)=1,0,MIN(IF('_JobDays'!Q3,8,10),Z57)*Z56)))-MIN(IF(OR(Z56&lt;=0,NOT('_JobDays'!Q2)),0,IF(WEEKDAY(Z$6,1)=1,0,MIN(IF('_JobDays'!Q3,8,10),Z57)*Z56)),MAX(0,40*MAX(1,Z56)-(X58+Y58)))),IF(OR(Z56&lt;=0,NOT('_JobDays'!Q2)),0,IF(WEEKDAY(Z$6,1)=1,0,IF(WEEKDAY(Z$6,1)=7,Z56*Z57,IF('_JobDays'!Q4,MAX(0,Z57-8)*Z56,0))))+((IF(OR(Z56&lt;=0,NOT('_JobDays'!Q2)),0,IF(WEEKDAY(Z$6,1)=1,0,IF(WEEKDAY(Z$6,1)=7,0,IF('_JobDays'!Q4,MIN(8,Z57)*Z56,Z56*Z57)))))-MIN(IF(OR(Z56&lt;=0,NOT('_JobDays'!Q2)),0,IF(WEEKDAY(Z$6,1)=1,0,IF(WEEKDAY(Z$6,1)=7,0,IF('_JobDays'!Q4,MIN(8,Z57)*Z56,Z56*Z57)))),MAX(0,40*MAX(1,Z56)-(X58+Y58))))))</f>
        <v>2</v>
      </c>
      <c r="AA59" s="62">
        <f>IF(AND(AA56=1,AA57=12,E55="Auto",B55="COORDINATOR SAFETY 01",AND('Job setup'!$B$9="ON",'Job setup'!$C$9&lt;=AA$6,'Job setup'!$D$9&gt;=AA$6,'Job setup'!$G$9="NO")),2,IF(OS55,IF(OR(AA56&lt;=0,NOT('_JobDays'!R2)),0,IF(WEEKDAY(AA$6,1)=1,0,MAX(0,AA57-(IF('_JobDays'!R3,8,10)))*AA56))+((IF(OR(AA56&lt;=0,NOT('_JobDays'!R2)),0,IF(WEEKDAY(AA$6,1)=1,0,MIN(IF('_JobDays'!R3,8,10),AA57)*AA56)))-MIN(IF(OR(AA56&lt;=0,NOT('_JobDays'!R2)),0,IF(WEEKDAY(AA$6,1)=1,0,MIN(IF('_JobDays'!R3,8,10),AA57)*AA56)),MAX(0,40*MAX(1,AA56)-(X58+Y58+Z58)))),IF(OR(AA56&lt;=0,NOT('_JobDays'!R2)),0,IF(WEEKDAY(AA$6,1)=1,0,IF(WEEKDAY(AA$6,1)=7,AA56*AA57,IF('_JobDays'!R4,MAX(0,AA57-8)*AA56,0))))+((IF(OR(AA56&lt;=0,NOT('_JobDays'!R2)),0,IF(WEEKDAY(AA$6,1)=1,0,IF(WEEKDAY(AA$6,1)=7,0,IF('_JobDays'!R4,MIN(8,AA57)*AA56,AA56*AA57)))))-MIN(IF(OR(AA56&lt;=0,NOT('_JobDays'!R2)),0,IF(WEEKDAY(AA$6,1)=1,0,IF(WEEKDAY(AA$6,1)=7,0,IF('_JobDays'!R4,MIN(8,AA57)*AA56,AA56*AA57)))),MAX(0,40*MAX(1,AA56)-(X58+Y58+Z58))))))</f>
        <v>2</v>
      </c>
      <c r="AB59" s="62">
        <f>IF(AND(AB56=1,AB57=12,E55="Auto",B55="COORDINATOR SAFETY 01",AND('Job setup'!$B$9="ON",'Job setup'!$C$9&lt;=AB$6,'Job setup'!$D$9&gt;=AB$6,'Job setup'!$G$9="NO")),12,IF(OS55,IF(OR(AB56&lt;=0,NOT('_JobDays'!S2)),0,IF(WEEKDAY(AB$6,1)=1,0,MAX(0,AB57-(IF('_JobDays'!S3,8,10)))*AB56))+((IF(OR(AB56&lt;=0,NOT('_JobDays'!S2)),0,IF(WEEKDAY(AB$6,1)=1,0,MIN(IF('_JobDays'!S3,8,10),AB57)*AB56)))-MIN(IF(OR(AB56&lt;=0,NOT('_JobDays'!S2)),0,IF(WEEKDAY(AB$6,1)=1,0,MIN(IF('_JobDays'!S3,8,10),AB57)*AB56)),MAX(0,40*MAX(1,AB56)-(X58+Y58+Z58+AA58)))),IF(OR(AB56&lt;=0,NOT('_JobDays'!S2)),0,IF(WEEKDAY(AB$6,1)=1,0,IF(WEEKDAY(AB$6,1)=7,AB56*AB57,IF('_JobDays'!S4,MAX(0,AB57-8)*AB56,0))))+((IF(OR(AB56&lt;=0,NOT('_JobDays'!S2)),0,IF(WEEKDAY(AB$6,1)=1,0,IF(WEEKDAY(AB$6,1)=7,0,IF('_JobDays'!S4,MIN(8,AB57)*AB56,AB56*AB57)))))-MIN(IF(OR(AB56&lt;=0,NOT('_JobDays'!S2)),0,IF(WEEKDAY(AB$6,1)=1,0,IF(WEEKDAY(AB$6,1)=7,0,IF('_JobDays'!S4,MIN(8,AB57)*AB56,AB56*AB57)))),MAX(0,40*MAX(1,AB56)-(X58+Y58+Z58+AA58))))))</f>
        <v>12</v>
      </c>
      <c r="AC59" s="63">
        <f>IF(AND(AC56=1,AC57=12,E55="Auto",B55="COORDINATOR SAFETY 01",AND('Job setup'!$B$9="ON",'Job setup'!$C$9&lt;=AC$6,'Job setup'!$D$9&gt;=AC$6,'Job setup'!$G$9="NO")),12,IF(OS55,IF(OR(AC56&lt;=0,NOT('_JobDays'!T2)),0,IF(WEEKDAY(AC$6,1)=1,0,MAX(0,AC57-(IF('_JobDays'!T3,8,10)))*AC56))+((IF(OR(AC56&lt;=0,NOT('_JobDays'!T2)),0,IF(WEEKDAY(AC$6,1)=1,0,MIN(IF('_JobDays'!T3,8,10),AC57)*AC56)))-MIN(IF(OR(AC56&lt;=0,NOT('_JobDays'!T2)),0,IF(WEEKDAY(AC$6,1)=1,0,MIN(IF('_JobDays'!T3,8,10),AC57)*AC56)),MAX(0,40*MAX(1,AC56)-(X58+Y58+Z58+AA58+AB58)))),IF(OR(AC56&lt;=0,NOT('_JobDays'!T2)),0,IF(WEEKDAY(AC$6,1)=1,0,IF(WEEKDAY(AC$6,1)=7,AC56*AC57,IF('_JobDays'!T4,MAX(0,AC57-8)*AC56,0))))+((IF(OR(AC56&lt;=0,NOT('_JobDays'!T2)),0,IF(WEEKDAY(AC$6,1)=1,0,IF(WEEKDAY(AC$6,1)=7,0,IF('_JobDays'!T4,MIN(8,AC57)*AC56,AC56*AC57)))))-MIN(IF(OR(AC56&lt;=0,NOT('_JobDays'!T2)),0,IF(WEEKDAY(AC$6,1)=1,0,IF(WEEKDAY(AC$6,1)=7,0,IF('_JobDays'!T4,MIN(8,AC57)*AC56,AC56*AC57)))),MAX(0,40*MAX(1,AC56)-(X58+Y58+Z58+AA58+AB58))))))</f>
        <v>12</v>
      </c>
      <c r="AD59" s="63">
        <f>IF(AND(AD56=1,AD57=12,E55="Auto",B55="COORDINATOR SAFETY 01",AND('Job setup'!$B$9="ON",'Job setup'!$C$9&lt;=AD$6,'Job setup'!$D$9&gt;=AD$6,'Job setup'!$G$9="NO")),0,IF(OS55,IF(OR(AD56&lt;=0,NOT('_JobDays'!U2)),0,IF(WEEKDAY(AD$6,1)=1,0,MAX(0,AD57-(IF('_JobDays'!U3,8,10)))*AD56))+((IF(OR(AD56&lt;=0,NOT('_JobDays'!U2)),0,IF(WEEKDAY(AD$6,1)=1,0,MIN(IF('_JobDays'!U3,8,10),AD57)*AD56)))-MIN(IF(OR(AD56&lt;=0,NOT('_JobDays'!U2)),0,IF(WEEKDAY(AD$6,1)=1,0,MIN(IF('_JobDays'!U3,8,10),AD57)*AD56)),MAX(0,40*MAX(1,AD56)-(X58+Y58+Z58+AA58+AB58+AC58)))),IF(OR(AD56&lt;=0,NOT('_JobDays'!U2)),0,IF(WEEKDAY(AD$6,1)=1,0,IF(WEEKDAY(AD$6,1)=7,AD56*AD57,IF('_JobDays'!U4,MAX(0,AD57-8)*AD56,0))))+((IF(OR(AD56&lt;=0,NOT('_JobDays'!U2)),0,IF(WEEKDAY(AD$6,1)=1,0,IF(WEEKDAY(AD$6,1)=7,0,IF('_JobDays'!U4,MIN(8,AD57)*AD56,AD56*AD57)))))-MIN(IF(OR(AD56&lt;=0,NOT('_JobDays'!U2)),0,IF(WEEKDAY(AD$6,1)=1,0,IF(WEEKDAY(AD$6,1)=7,0,IF('_JobDays'!U4,MIN(8,AD57)*AD56,AD56*AD57)))),MAX(0,40*MAX(1,AD56)-(X58+Y58+Z58+AA58+AB58+AC58))))))</f>
        <v>0</v>
      </c>
      <c r="AE59" s="62">
        <f>IF(AND(AE56=1,AE57=12,E55="Auto",B55="COORDINATOR SAFETY 01",AND('Job setup'!$B$9="ON",'Job setup'!$C$9&lt;=AE$6,'Job setup'!$D$9&gt;=AE$6,'Job setup'!$G$9="NO")),2,IF(OS55,IF(OR(AE56&lt;=0,NOT('_JobDays'!V2)),0,IF(WEEKDAY(AE$6,1)=1,0,MAX(0,AE57-(IF('_JobDays'!V3,8,10)))*AE56))+((IF(OR(AE56&lt;=0,NOT('_JobDays'!V2)),0,IF(WEEKDAY(AE$6,1)=1,0,MIN(IF('_JobDays'!V3,8,10),AE57)*AE56)))-MIN(IF(OR(AE56&lt;=0,NOT('_JobDays'!V2)),0,IF(WEEKDAY(AE$6,1)=1,0,MIN(IF('_JobDays'!V3,8,10),AE57)*AE56)),MAX(0,40*MAX(1,AE56)-(0)))),IF(OR(AE56&lt;=0,NOT('_JobDays'!V2)),0,IF(WEEKDAY(AE$6,1)=1,0,IF(WEEKDAY(AE$6,1)=7,AE56*AE57,IF('_JobDays'!V4,MAX(0,AE57-8)*AE56,0))))+((IF(OR(AE56&lt;=0,NOT('_JobDays'!V2)),0,IF(WEEKDAY(AE$6,1)=1,0,IF(WEEKDAY(AE$6,1)=7,0,IF('_JobDays'!V4,MIN(8,AE57)*AE56,AE56*AE57)))))-MIN(IF(OR(AE56&lt;=0,NOT('_JobDays'!V2)),0,IF(WEEKDAY(AE$6,1)=1,0,IF(WEEKDAY(AE$6,1)=7,0,IF('_JobDays'!V4,MIN(8,AE57)*AE56,AE56*AE57)))),MAX(0,40*MAX(1,AE56)-(0))))))</f>
        <v>2</v>
      </c>
      <c r="AF59" s="62">
        <f>IF(AND(AF56=1,AF57=12,E55="Auto",B55="COORDINATOR SAFETY 01",AND('Job setup'!$B$9="ON",'Job setup'!$C$9&lt;=AF$6,'Job setup'!$D$9&gt;=AF$6,'Job setup'!$G$9="NO")),2,IF(OS55,IF(OR(AF56&lt;=0,NOT('_JobDays'!W2)),0,IF(WEEKDAY(AF$6,1)=1,0,MAX(0,AF57-(IF('_JobDays'!W3,8,10)))*AF56))+((IF(OR(AF56&lt;=0,NOT('_JobDays'!W2)),0,IF(WEEKDAY(AF$6,1)=1,0,MIN(IF('_JobDays'!W3,8,10),AF57)*AF56)))-MIN(IF(OR(AF56&lt;=0,NOT('_JobDays'!W2)),0,IF(WEEKDAY(AF$6,1)=1,0,MIN(IF('_JobDays'!W3,8,10),AF57)*AF56)),MAX(0,40*MAX(1,AF56)-(AE58)))),IF(OR(AF56&lt;=0,NOT('_JobDays'!W2)),0,IF(WEEKDAY(AF$6,1)=1,0,IF(WEEKDAY(AF$6,1)=7,AF56*AF57,IF('_JobDays'!W4,MAX(0,AF57-8)*AF56,0))))+((IF(OR(AF56&lt;=0,NOT('_JobDays'!W2)),0,IF(WEEKDAY(AF$6,1)=1,0,IF(WEEKDAY(AF$6,1)=7,0,IF('_JobDays'!W4,MIN(8,AF57)*AF56,AF56*AF57)))))-MIN(IF(OR(AF56&lt;=0,NOT('_JobDays'!W2)),0,IF(WEEKDAY(AF$6,1)=1,0,IF(WEEKDAY(AF$6,1)=7,0,IF('_JobDays'!W4,MIN(8,AF57)*AF56,AF56*AF57)))),MAX(0,40*MAX(1,AF56)-(AE58))))))</f>
        <v>2</v>
      </c>
      <c r="AG59" s="62">
        <f>IF(AND(AG56=1,AG57=12,E55="Auto",B55="COORDINATOR SAFETY 01",AND('Job setup'!$B$9="ON",'Job setup'!$C$9&lt;=AG$6,'Job setup'!$D$9&gt;=AG$6,'Job setup'!$G$9="NO")),2,IF(OS55,IF(OR(AG56&lt;=0,NOT('_JobDays'!X2)),0,IF(WEEKDAY(AG$6,1)=1,0,MAX(0,AG57-(IF('_JobDays'!X3,8,10)))*AG56))+((IF(OR(AG56&lt;=0,NOT('_JobDays'!X2)),0,IF(WEEKDAY(AG$6,1)=1,0,MIN(IF('_JobDays'!X3,8,10),AG57)*AG56)))-MIN(IF(OR(AG56&lt;=0,NOT('_JobDays'!X2)),0,IF(WEEKDAY(AG$6,1)=1,0,MIN(IF('_JobDays'!X3,8,10),AG57)*AG56)),MAX(0,40*MAX(1,AG56)-(AE58+AF58)))),IF(OR(AG56&lt;=0,NOT('_JobDays'!X2)),0,IF(WEEKDAY(AG$6,1)=1,0,IF(WEEKDAY(AG$6,1)=7,AG56*AG57,IF('_JobDays'!X4,MAX(0,AG57-8)*AG56,0))))+((IF(OR(AG56&lt;=0,NOT('_JobDays'!X2)),0,IF(WEEKDAY(AG$6,1)=1,0,IF(WEEKDAY(AG$6,1)=7,0,IF('_JobDays'!X4,MIN(8,AG57)*AG56,AG56*AG57)))))-MIN(IF(OR(AG56&lt;=0,NOT('_JobDays'!X2)),0,IF(WEEKDAY(AG$6,1)=1,0,IF(WEEKDAY(AG$6,1)=7,0,IF('_JobDays'!X4,MIN(8,AG57)*AG56,AG56*AG57)))),MAX(0,40*MAX(1,AG56)-(AE58+AF58))))))</f>
        <v>2</v>
      </c>
      <c r="AH59" s="62">
        <f>IF(AND(AH56=0,AH57=0,E55="Auto",B55="COORDINATOR SAFETY 01",AND('Job setup'!$B$11="ON",'Job setup'!$C$11&lt;=AH$6,'Job setup'!$D$11&gt;=AH$6,'Job setup'!$G$11="YES")),0,IF(OS55,IF(OR(AH56&lt;=0,NOT('_JobDays'!Y2)),0,IF(WEEKDAY(AH$6,1)=1,0,MAX(0,AH57-(IF('_JobDays'!Y3,8,10)))*AH56))+((IF(OR(AH56&lt;=0,NOT('_JobDays'!Y2)),0,IF(WEEKDAY(AH$6,1)=1,0,MIN(IF('_JobDays'!Y3,8,10),AH57)*AH56)))-MIN(IF(OR(AH56&lt;=0,NOT('_JobDays'!Y2)),0,IF(WEEKDAY(AH$6,1)=1,0,MIN(IF('_JobDays'!Y3,8,10),AH57)*AH56)),MAX(0,40*MAX(1,AH56)-(AE58+AF58+AG58)))),IF(OR(AH56&lt;=0,NOT('_JobDays'!Y2)),0,IF(WEEKDAY(AH$6,1)=1,0,IF(WEEKDAY(AH$6,1)=7,AH56*AH57,IF('_JobDays'!Y4,MAX(0,AH57-8)*AH56,0))))+((IF(OR(AH56&lt;=0,NOT('_JobDays'!Y2)),0,IF(WEEKDAY(AH$6,1)=1,0,IF(WEEKDAY(AH$6,1)=7,0,IF('_JobDays'!Y4,MIN(8,AH57)*AH56,AH56*AH57)))))-MIN(IF(OR(AH56&lt;=0,NOT('_JobDays'!Y2)),0,IF(WEEKDAY(AH$6,1)=1,0,IF(WEEKDAY(AH$6,1)=7,0,IF('_JobDays'!Y4,MIN(8,AH57)*AH56,AH56*AH57)))),MAX(0,40*MAX(1,AH56)-(AE58+AF58+AG58))))))</f>
        <v>0</v>
      </c>
      <c r="AI59" s="62">
        <f>IF(AND(AI56=0,AI57=0,E55="Auto",B55="COORDINATOR SAFETY 01",AND('Job setup'!$B$11="ON",'Job setup'!$C$11&lt;=AI$6,'Job setup'!$D$11&gt;=AI$6,'Job setup'!$G$11="YES")),0,IF(OS55,IF(OR(AI56&lt;=0,NOT('_JobDays'!Z2)),0,IF(WEEKDAY(AI$6,1)=1,0,MAX(0,AI57-(IF('_JobDays'!Z3,8,10)))*AI56))+((IF(OR(AI56&lt;=0,NOT('_JobDays'!Z2)),0,IF(WEEKDAY(AI$6,1)=1,0,MIN(IF('_JobDays'!Z3,8,10),AI57)*AI56)))-MIN(IF(OR(AI56&lt;=0,NOT('_JobDays'!Z2)),0,IF(WEEKDAY(AI$6,1)=1,0,MIN(IF('_JobDays'!Z3,8,10),AI57)*AI56)),MAX(0,40*MAX(1,AI56)-(AE58+AF58+AG58+AH58)))),IF(OR(AI56&lt;=0,NOT('_JobDays'!Z2)),0,IF(WEEKDAY(AI$6,1)=1,0,IF(WEEKDAY(AI$6,1)=7,AI56*AI57,IF('_JobDays'!Z4,MAX(0,AI57-8)*AI56,0))))+((IF(OR(AI56&lt;=0,NOT('_JobDays'!Z2)),0,IF(WEEKDAY(AI$6,1)=1,0,IF(WEEKDAY(AI$6,1)=7,0,IF('_JobDays'!Z4,MIN(8,AI57)*AI56,AI56*AI57)))))-MIN(IF(OR(AI56&lt;=0,NOT('_JobDays'!Z2)),0,IF(WEEKDAY(AI$6,1)=1,0,IF(WEEKDAY(AI$6,1)=7,0,IF('_JobDays'!Z4,MIN(8,AI57)*AI56,AI56*AI57)))),MAX(0,40*MAX(1,AI56)-(AE58+AF58+AG58+AH58))))))</f>
        <v>0</v>
      </c>
      <c r="AJ59" s="63">
        <f>IF(AND(AJ56=0,AJ57=0,E55="Auto",B55="COORDINATOR SAFETY 01",AND('Job setup'!$B$11="ON",'Job setup'!$C$11&lt;=AJ$6,'Job setup'!$D$11&gt;=AJ$6,'Job setup'!$G$11="YES")),0,IF(OS55,IF(OR(AJ56&lt;=0,NOT('_JobDays'!AA2)),0,IF(WEEKDAY(AJ$6,1)=1,0,MAX(0,AJ57-(IF('_JobDays'!AA3,8,10)))*AJ56))+((IF(OR(AJ56&lt;=0,NOT('_JobDays'!AA2)),0,IF(WEEKDAY(AJ$6,1)=1,0,MIN(IF('_JobDays'!AA3,8,10),AJ57)*AJ56)))-MIN(IF(OR(AJ56&lt;=0,NOT('_JobDays'!AA2)),0,IF(WEEKDAY(AJ$6,1)=1,0,MIN(IF('_JobDays'!AA3,8,10),AJ57)*AJ56)),MAX(0,40*MAX(1,AJ56)-(AE58+AF58+AG58+AH58+AI58)))),IF(OR(AJ56&lt;=0,NOT('_JobDays'!AA2)),0,IF(WEEKDAY(AJ$6,1)=1,0,IF(WEEKDAY(AJ$6,1)=7,AJ56*AJ57,IF('_JobDays'!AA4,MAX(0,AJ57-8)*AJ56,0))))+((IF(OR(AJ56&lt;=0,NOT('_JobDays'!AA2)),0,IF(WEEKDAY(AJ$6,1)=1,0,IF(WEEKDAY(AJ$6,1)=7,0,IF('_JobDays'!AA4,MIN(8,AJ57)*AJ56,AJ56*AJ57)))))-MIN(IF(OR(AJ56&lt;=0,NOT('_JobDays'!AA2)),0,IF(WEEKDAY(AJ$6,1)=1,0,IF(WEEKDAY(AJ$6,1)=7,0,IF('_JobDays'!AA4,MIN(8,AJ57)*AJ56,AJ56*AJ57)))),MAX(0,40*MAX(1,AJ56)-(AE58+AF58+AG58+AH58+AI58))))))</f>
        <v>0</v>
      </c>
      <c r="AK59" s="63">
        <f>IF(AND(AK56=0,AK57=0,E55="Auto",B55="COORDINATOR SAFETY 01",AND('Job setup'!$B$11="ON",'Job setup'!$C$11&lt;=AK$6,'Job setup'!$D$11&gt;=AK$6,'Job setup'!$G$11="YES")),0,IF(OS55,IF(OR(AK56&lt;=0,NOT('_JobDays'!AB2)),0,IF(WEEKDAY(AK$6,1)=1,0,MAX(0,AK57-(IF('_JobDays'!AB3,8,10)))*AK56))+((IF(OR(AK56&lt;=0,NOT('_JobDays'!AB2)),0,IF(WEEKDAY(AK$6,1)=1,0,MIN(IF('_JobDays'!AB3,8,10),AK57)*AK56)))-MIN(IF(OR(AK56&lt;=0,NOT('_JobDays'!AB2)),0,IF(WEEKDAY(AK$6,1)=1,0,MIN(IF('_JobDays'!AB3,8,10),AK57)*AK56)),MAX(0,40*MAX(1,AK56)-(AE58+AF58+AG58+AH58+AI58+AJ58)))),IF(OR(AK56&lt;=0,NOT('_JobDays'!AB2)),0,IF(WEEKDAY(AK$6,1)=1,0,IF(WEEKDAY(AK$6,1)=7,AK56*AK57,IF('_JobDays'!AB4,MAX(0,AK57-8)*AK56,0))))+((IF(OR(AK56&lt;=0,NOT('_JobDays'!AB2)),0,IF(WEEKDAY(AK$6,1)=1,0,IF(WEEKDAY(AK$6,1)=7,0,IF('_JobDays'!AB4,MIN(8,AK57)*AK56,AK56*AK57)))))-MIN(IF(OR(AK56&lt;=0,NOT('_JobDays'!AB2)),0,IF(WEEKDAY(AK$6,1)=1,0,IF(WEEKDAY(AK$6,1)=7,0,IF('_JobDays'!AB4,MIN(8,AK57)*AK56,AK56*AK57)))),MAX(0,40*MAX(1,AK56)-(AE58+AF58+AG58+AH58+AI58+AJ58))))))</f>
        <v>0</v>
      </c>
      <c r="AL59" s="62">
        <f>IF(AND(AL56=0,AL57=0,E55="Auto",B55="COORDINATOR SAFETY 01",AND('Job setup'!$B$11="ON",'Job setup'!$C$11&lt;=AL$6,'Job setup'!$D$11&gt;=AL$6,'Job setup'!$G$11="YES")),0,IF(OS55,IF(OR(AL56&lt;=0,NOT('_JobDays'!AC2)),0,IF(WEEKDAY(AL$6,1)=1,0,MAX(0,AL57-(IF('_JobDays'!AC3,8,10)))*AL56))+((IF(OR(AL56&lt;=0,NOT('_JobDays'!AC2)),0,IF(WEEKDAY(AL$6,1)=1,0,MIN(IF('_JobDays'!AC3,8,10),AL57)*AL56)))-MIN(IF(OR(AL56&lt;=0,NOT('_JobDays'!AC2)),0,IF(WEEKDAY(AL$6,1)=1,0,MIN(IF('_JobDays'!AC3,8,10),AL57)*AL56)),MAX(0,40*MAX(1,AL56)-(0)))),IF(OR(AL56&lt;=0,NOT('_JobDays'!AC2)),0,IF(WEEKDAY(AL$6,1)=1,0,IF(WEEKDAY(AL$6,1)=7,AL56*AL57,IF('_JobDays'!AC4,MAX(0,AL57-8)*AL56,0))))+((IF(OR(AL56&lt;=0,NOT('_JobDays'!AC2)),0,IF(WEEKDAY(AL$6,1)=1,0,IF(WEEKDAY(AL$6,1)=7,0,IF('_JobDays'!AC4,MIN(8,AL57)*AL56,AL56*AL57)))))-MIN(IF(OR(AL56&lt;=0,NOT('_JobDays'!AC2)),0,IF(WEEKDAY(AL$6,1)=1,0,IF(WEEKDAY(AL$6,1)=7,0,IF('_JobDays'!AC4,MIN(8,AL57)*AL56,AL56*AL57)))),MAX(0,40*MAX(1,AL56)-(0))))))</f>
        <v>0</v>
      </c>
      <c r="AM59" s="62">
        <f>IF(AND(AM56=0,AM57=0,E55="Auto",B55="COORDINATOR SAFETY 01",AND('Job setup'!$B$11="ON",'Job setup'!$C$11&lt;=AM$6,'Job setup'!$D$11&gt;=AM$6,'Job setup'!$G$11="YES")),0,IF(OS55,IF(OR(AM56&lt;=0,NOT('_JobDays'!AD2)),0,IF(WEEKDAY(AM$6,1)=1,0,MAX(0,AM57-(IF('_JobDays'!AD3,8,10)))*AM56))+((IF(OR(AM56&lt;=0,NOT('_JobDays'!AD2)),0,IF(WEEKDAY(AM$6,1)=1,0,MIN(IF('_JobDays'!AD3,8,10),AM57)*AM56)))-MIN(IF(OR(AM56&lt;=0,NOT('_JobDays'!AD2)),0,IF(WEEKDAY(AM$6,1)=1,0,MIN(IF('_JobDays'!AD3,8,10),AM57)*AM56)),MAX(0,40*MAX(1,AM56)-(AL58)))),IF(OR(AM56&lt;=0,NOT('_JobDays'!AD2)),0,IF(WEEKDAY(AM$6,1)=1,0,IF(WEEKDAY(AM$6,1)=7,AM56*AM57,IF('_JobDays'!AD4,MAX(0,AM57-8)*AM56,0))))+((IF(OR(AM56&lt;=0,NOT('_JobDays'!AD2)),0,IF(WEEKDAY(AM$6,1)=1,0,IF(WEEKDAY(AM$6,1)=7,0,IF('_JobDays'!AD4,MIN(8,AM57)*AM56,AM56*AM57)))))-MIN(IF(OR(AM56&lt;=0,NOT('_JobDays'!AD2)),0,IF(WEEKDAY(AM$6,1)=1,0,IF(WEEKDAY(AM$6,1)=7,0,IF('_JobDays'!AD4,MIN(8,AM57)*AM56,AM56*AM57)))),MAX(0,40*MAX(1,AM56)-(AL58))))))</f>
        <v>0</v>
      </c>
      <c r="AN59" s="62">
        <f>IF(AND(AN56=0,AN57=0,E55="Auto",B55="COORDINATOR SAFETY 01",AND('Job setup'!$B$11="ON",'Job setup'!$C$11&lt;=AN$6,'Job setup'!$D$11&gt;=AN$6,'Job setup'!$G$11="YES")),0,IF(OS55,IF(OR(AN56&lt;=0,NOT('_JobDays'!AE2)),0,IF(WEEKDAY(AN$6,1)=1,0,MAX(0,AN57-(IF('_JobDays'!AE3,8,10)))*AN56))+((IF(OR(AN56&lt;=0,NOT('_JobDays'!AE2)),0,IF(WEEKDAY(AN$6,1)=1,0,MIN(IF('_JobDays'!AE3,8,10),AN57)*AN56)))-MIN(IF(OR(AN56&lt;=0,NOT('_JobDays'!AE2)),0,IF(WEEKDAY(AN$6,1)=1,0,MIN(IF('_JobDays'!AE3,8,10),AN57)*AN56)),MAX(0,40*MAX(1,AN56)-(AL58+AM58)))),IF(OR(AN56&lt;=0,NOT('_JobDays'!AE2)),0,IF(WEEKDAY(AN$6,1)=1,0,IF(WEEKDAY(AN$6,1)=7,AN56*AN57,IF('_JobDays'!AE4,MAX(0,AN57-8)*AN56,0))))+((IF(OR(AN56&lt;=0,NOT('_JobDays'!AE2)),0,IF(WEEKDAY(AN$6,1)=1,0,IF(WEEKDAY(AN$6,1)=7,0,IF('_JobDays'!AE4,MIN(8,AN57)*AN56,AN56*AN57)))))-MIN(IF(OR(AN56&lt;=0,NOT('_JobDays'!AE2)),0,IF(WEEKDAY(AN$6,1)=1,0,IF(WEEKDAY(AN$6,1)=7,0,IF('_JobDays'!AE4,MIN(8,AN57)*AN56,AN56*AN57)))),MAX(0,40*MAX(1,AN56)-(AL58+AM58))))))</f>
        <v>0</v>
      </c>
      <c r="AO59" s="64">
        <f>IF(AND(AO56=0,AO57=0,E55="Auto",B55="COORDINATOR SAFETY 01",AND('Job setup'!$B$11="ON",'Job setup'!$C$11&lt;=AO$6,'Job setup'!$D$11&gt;=AO$6,'Job setup'!$G$11="YES")),0,IF(OS55,IF(OR(AO56&lt;=0,NOT('_JobDays'!AF2)),0,IF(WEEKDAY(AO$6,1)=1,0,MAX(0,AO57-(IF('_JobDays'!AF3,8,10)))*AO56))+((IF(OR(AO56&lt;=0,NOT('_JobDays'!AF2)),0,IF(WEEKDAY(AO$6,1)=1,0,MIN(IF('_JobDays'!AF3,8,10),AO57)*AO56)))-MIN(IF(OR(AO56&lt;=0,NOT('_JobDays'!AF2)),0,IF(WEEKDAY(AO$6,1)=1,0,MIN(IF('_JobDays'!AF3,8,10),AO57)*AO56)),MAX(0,40*MAX(1,AO56)-(AL58+AM58+AN58)))),IF(OR(AO56&lt;=0,NOT('_JobDays'!AF2)),0,IF(WEEKDAY(AO$6,1)=1,0,IF(WEEKDAY(AO$6,1)=7,AO56*AO57,IF('_JobDays'!AF4,MAX(0,AO57-8)*AO56,0))))+((IF(OR(AO56&lt;=0,NOT('_JobDays'!AF2)),0,IF(WEEKDAY(AO$6,1)=1,0,IF(WEEKDAY(AO$6,1)=7,0,IF('_JobDays'!AF4,MIN(8,AO57)*AO56,AO56*AO57)))))-MIN(IF(OR(AO56&lt;=0,NOT('_JobDays'!AF2)),0,IF(WEEKDAY(AO$6,1)=1,0,IF(WEEKDAY(AO$6,1)=7,0,IF('_JobDays'!AF4,MIN(8,AO57)*AO56,AO56*AO57)))),MAX(0,40*MAX(1,AO56)-(AL58+AM58+AN58))))))</f>
        <v>0</v>
      </c>
      <c r="OT59" s="28" t="s">
        <v>73</v>
      </c>
    </row>
    <row r="60" ht="16" customHeight="1" spans="1:410" x14ac:dyDescent="0.25">
      <c r="A60" s="73"/>
      <c r="B60" s="44"/>
      <c r="C60" s="60">
        <f>H55*N(D60)</f>
        <v>3681.3599999999997</v>
      </c>
      <c r="D60" s="60">
        <f>IF(TRIM(B55)="","No rate",IFERROR(INDEX('Rate Tables'!E$7:E$161,MATCH(B55,'Rate Tables'!A$7:A$161,0)),"No rate"))</f>
        <v>153.39</v>
      </c>
      <c r="E60" s="54" t="s">
        <v>62</v>
      </c>
      <c r="F60" s="48"/>
      <c r="G60" s="48"/>
      <c r="H60" s="48"/>
      <c r="I60" s="49"/>
      <c r="J60" s="61">
        <f>IF(AND(J56=1,J57=8,E55="Auto",B55="COORDINATOR SAFETY 01",AND('Job setup'!$B$7="ON",'Job setup'!$C$7&lt;=J$6,'Job setup'!$D$7&gt;=J$6,'Job setup'!$G$7="YES")),0,IF(OS55,IF(OR(J56&lt;=0,NOT('_JobDays'!A2)),0,IF(WEEKDAY(J$6,1)=1,J56*J57,0)),IF(OR(J56&lt;=0,NOT('_JobDays'!A2)),0,IF(WEEKDAY(J$6,1)=1,J56*J57,0))))</f>
        <v>0</v>
      </c>
      <c r="K60" s="62">
        <f>IF(AND(K56=1,K57=8,E55="Auto",B55="COORDINATOR SAFETY 01",AND('Job setup'!$B$7="ON",'Job setup'!$C$7&lt;=K$6,'Job setup'!$D$7&gt;=K$6,'Job setup'!$G$7="YES")),0,IF(OS55,IF(OR(K56&lt;=0,NOT('_JobDays'!B2)),0,IF(WEEKDAY(K$6,1)=1,K56*K57,0)),IF(OR(K56&lt;=0,NOT('_JobDays'!B2)),0,IF(WEEKDAY(K$6,1)=1,K56*K57,0))))</f>
        <v>0</v>
      </c>
      <c r="L60" s="62">
        <f>IF(AND(L56=1,L57=8,E55="Auto",B55="COORDINATOR SAFETY 01",AND('Job setup'!$B$7="ON",'Job setup'!$C$7&lt;=L$6,'Job setup'!$D$7&gt;=L$6,'Job setup'!$G$7="YES")),0,IF(OS55,IF(OR(L56&lt;=0,NOT('_JobDays'!C2)),0,IF(WEEKDAY(L$6,1)=1,L56*L57,0)),IF(OR(L56&lt;=0,NOT('_JobDays'!C2)),0,IF(WEEKDAY(L$6,1)=1,L56*L57,0))))</f>
        <v>0</v>
      </c>
      <c r="M60" s="62">
        <f>IF(AND(M56=1,M57=8,E55="Auto",B55="COORDINATOR SAFETY 01",AND('Job setup'!$B$7="ON",'Job setup'!$C$7&lt;=M$6,'Job setup'!$D$7&gt;=M$6,'Job setup'!$G$7="YES")),0,IF(OS55,IF(OR(M56&lt;=0,NOT('_JobDays'!D2)),0,IF(WEEKDAY(M$6,1)=1,M56*M57,0)),IF(OR(M56&lt;=0,NOT('_JobDays'!D2)),0,IF(WEEKDAY(M$6,1)=1,M56*M57,0))))</f>
        <v>0</v>
      </c>
      <c r="N60" s="62">
        <f>IF(AND(N56=1,N57=8,E55="Auto",B55="COORDINATOR SAFETY 01",AND('Job setup'!$B$7="ON",'Job setup'!$C$7&lt;=N$6,'Job setup'!$D$7&gt;=N$6,'Job setup'!$G$7="YES")),0,IF(OS55,IF(OR(N56&lt;=0,NOT('_JobDays'!E2)),0,IF(WEEKDAY(N$6,1)=1,N56*N57,0)),IF(OR(N56&lt;=0,NOT('_JobDays'!E2)),0,IF(WEEKDAY(N$6,1)=1,N56*N57,0))))</f>
        <v>0</v>
      </c>
      <c r="O60" s="63">
        <f>IF(AND(O56=0,O57=0,E55="Auto",B55="COORDINATOR SAFETY 01",AND('Job setup'!$B$7="ON",'Job setup'!$C$7&lt;=O$6,'Job setup'!$D$7&gt;=O$6,'Job setup'!$G$7="YES")),0,IF(OS55,IF(OR(O56&lt;=0,NOT('_JobDays'!F2)),0,IF(WEEKDAY(O$6,1)=1,O56*O57,0)),IF(OR(O56&lt;=0,NOT('_JobDays'!F2)),0,IF(WEEKDAY(O$6,1)=1,O56*O57,0))))</f>
        <v>0</v>
      </c>
      <c r="P60" s="63">
        <f>IF(AND(P56=0,P57=0,E55="Auto",B55="COORDINATOR SAFETY 01",AND('Job setup'!$B$7="ON",'Job setup'!$C$7&lt;=P$6,'Job setup'!$D$7&gt;=P$6,'Job setup'!$G$7="YES")),0,IF(OS55,IF(OR(P56&lt;=0,NOT('_JobDays'!G2)),0,IF(WEEKDAY(P$6,1)=1,P56*P57,0)),IF(OR(P56&lt;=0,NOT('_JobDays'!G2)),0,IF(WEEKDAY(P$6,1)=1,P56*P57,0))))</f>
        <v>0</v>
      </c>
      <c r="Q60" s="62">
        <f>IF(AND(Q56=1,Q57=8,E55="Auto",B55="COORDINATOR SAFETY 01",AND('Job setup'!$B$7="ON",'Job setup'!$C$7&lt;=Q$6,'Job setup'!$D$7&gt;=Q$6,'Job setup'!$G$7="YES")),0,IF(OS55,IF(OR(Q56&lt;=0,NOT('_JobDays'!H2)),0,IF(WEEKDAY(Q$6,1)=1,Q56*Q57,0)),IF(OR(Q56&lt;=0,NOT('_JobDays'!H2)),0,IF(WEEKDAY(Q$6,1)=1,Q56*Q57,0))))</f>
        <v>0</v>
      </c>
      <c r="R60" s="62">
        <f>IF(AND(R56=1,R57=8,E55="Auto",B55="COORDINATOR SAFETY 01",AND('Job setup'!$B$7="ON",'Job setup'!$C$7&lt;=R$6,'Job setup'!$D$7&gt;=R$6,'Job setup'!$G$7="YES")),0,IF(OS55,IF(OR(R56&lt;=0,NOT('_JobDays'!I2)),0,IF(WEEKDAY(R$6,1)=1,R56*R57,0)),IF(OR(R56&lt;=0,NOT('_JobDays'!I2)),0,IF(WEEKDAY(R$6,1)=1,R56*R57,0))))</f>
        <v>0</v>
      </c>
      <c r="S60" s="62">
        <f>IF(AND(S56=1,S57=8,E55="Auto",B55="COORDINATOR SAFETY 01",AND('Job setup'!$B$7="ON",'Job setup'!$C$7&lt;=S$6,'Job setup'!$D$7&gt;=S$6,'Job setup'!$G$7="YES")),0,IF(OS55,IF(OR(S56&lt;=0,NOT('_JobDays'!J2)),0,IF(WEEKDAY(S$6,1)=1,S56*S57,0)),IF(OR(S56&lt;=0,NOT('_JobDays'!J2)),0,IF(WEEKDAY(S$6,1)=1,S56*S57,0))))</f>
        <v>0</v>
      </c>
      <c r="T60" s="62">
        <f>IF(AND(T56=1,T57=12,E55="Auto",B55="COORDINATOR SAFETY 01",AND('Job setup'!$B$9="ON",'Job setup'!$C$9&lt;=T$6,'Job setup'!$D$9&gt;=T$6,'Job setup'!$G$9="NO")),0,IF(OS55,IF(OR(T56&lt;=0,NOT('_JobDays'!K2)),0,IF(WEEKDAY(T$6,1)=1,T56*T57,0)),IF(OR(T56&lt;=0,NOT('_JobDays'!K2)),0,IF(WEEKDAY(T$6,1)=1,T56*T57,0))))</f>
        <v>0</v>
      </c>
      <c r="U60" s="62">
        <f>IF(AND(U56=1,U57=12,E55="Auto",B55="COORDINATOR SAFETY 01",AND('Job setup'!$B$9="ON",'Job setup'!$C$9&lt;=U$6,'Job setup'!$D$9&gt;=U$6,'Job setup'!$G$9="NO")),0,IF(OS55,IF(OR(U56&lt;=0,NOT('_JobDays'!L2)),0,IF(WEEKDAY(U$6,1)=1,U56*U57,0)),IF(OR(U56&lt;=0,NOT('_JobDays'!L2)),0,IF(WEEKDAY(U$6,1)=1,U56*U57,0))))</f>
        <v>0</v>
      </c>
      <c r="V60" s="63">
        <f>IF(AND(V56=1,V57=12,E55="Auto",B55="COORDINATOR SAFETY 01",AND('Job setup'!$B$9="ON",'Job setup'!$C$9&lt;=V$6,'Job setup'!$D$9&gt;=V$6,'Job setup'!$G$9="NO")),0,IF(OS55,IF(OR(V56&lt;=0,NOT('_JobDays'!M2)),0,IF(WEEKDAY(V$6,1)=1,V56*V57,0)),IF(OR(V56&lt;=0,NOT('_JobDays'!M2)),0,IF(WEEKDAY(V$6,1)=1,V56*V57,0))))</f>
        <v>0</v>
      </c>
      <c r="W60" s="63">
        <f>IF(AND(W56=1,W57=12,E55="Auto",B55="COORDINATOR SAFETY 01",AND('Job setup'!$B$9="ON",'Job setup'!$C$9&lt;=W$6,'Job setup'!$D$9&gt;=W$6,'Job setup'!$G$9="NO")),12,IF(OS55,IF(OR(W56&lt;=0,NOT('_JobDays'!N2)),0,IF(WEEKDAY(W$6,1)=1,W56*W57,0)),IF(OR(W56&lt;=0,NOT('_JobDays'!N2)),0,IF(WEEKDAY(W$6,1)=1,W56*W57,0))))</f>
        <v>12</v>
      </c>
      <c r="X60" s="62">
        <f>IF(AND(X56=1,X57=12,E55="Auto",B55="COORDINATOR SAFETY 01",AND('Job setup'!$B$9="ON",'Job setup'!$C$9&lt;=X$6,'Job setup'!$D$9&gt;=X$6,'Job setup'!$G$9="NO")),0,IF(OS55,IF(OR(X56&lt;=0,NOT('_JobDays'!O2)),0,IF(WEEKDAY(X$6,1)=1,X56*X57,0)),IF(OR(X56&lt;=0,NOT('_JobDays'!O2)),0,IF(WEEKDAY(X$6,1)=1,X56*X57,0))))</f>
        <v>0</v>
      </c>
      <c r="Y60" s="62">
        <f>IF(AND(Y56=1,Y57=12,E55="Auto",B55="COORDINATOR SAFETY 01",AND('Job setup'!$B$9="ON",'Job setup'!$C$9&lt;=Y$6,'Job setup'!$D$9&gt;=Y$6,'Job setup'!$G$9="NO")),0,IF(OS55,IF(OR(Y56&lt;=0,NOT('_JobDays'!P2)),0,IF(WEEKDAY(Y$6,1)=1,Y56*Y57,0)),IF(OR(Y56&lt;=0,NOT('_JobDays'!P2)),0,IF(WEEKDAY(Y$6,1)=1,Y56*Y57,0))))</f>
        <v>0</v>
      </c>
      <c r="Z60" s="62">
        <f>IF(AND(Z56=1,Z57=12,E55="Auto",B55="COORDINATOR SAFETY 01",AND('Job setup'!$B$9="ON",'Job setup'!$C$9&lt;=Z$6,'Job setup'!$D$9&gt;=Z$6,'Job setup'!$G$9="NO")),0,IF(OS55,IF(OR(Z56&lt;=0,NOT('_JobDays'!Q2)),0,IF(WEEKDAY(Z$6,1)=1,Z56*Z57,0)),IF(OR(Z56&lt;=0,NOT('_JobDays'!Q2)),0,IF(WEEKDAY(Z$6,1)=1,Z56*Z57,0))))</f>
        <v>0</v>
      </c>
      <c r="AA60" s="62">
        <f>IF(AND(AA56=1,AA57=12,E55="Auto",B55="COORDINATOR SAFETY 01",AND('Job setup'!$B$9="ON",'Job setup'!$C$9&lt;=AA$6,'Job setup'!$D$9&gt;=AA$6,'Job setup'!$G$9="NO")),0,IF(OS55,IF(OR(AA56&lt;=0,NOT('_JobDays'!R2)),0,IF(WEEKDAY(AA$6,1)=1,AA56*AA57,0)),IF(OR(AA56&lt;=0,NOT('_JobDays'!R2)),0,IF(WEEKDAY(AA$6,1)=1,AA56*AA57,0))))</f>
        <v>0</v>
      </c>
      <c r="AB60" s="62">
        <f>IF(AND(AB56=1,AB57=12,E55="Auto",B55="COORDINATOR SAFETY 01",AND('Job setup'!$B$9="ON",'Job setup'!$C$9&lt;=AB$6,'Job setup'!$D$9&gt;=AB$6,'Job setup'!$G$9="NO")),0,IF(OS55,IF(OR(AB56&lt;=0,NOT('_JobDays'!S2)),0,IF(WEEKDAY(AB$6,1)=1,AB56*AB57,0)),IF(OR(AB56&lt;=0,NOT('_JobDays'!S2)),0,IF(WEEKDAY(AB$6,1)=1,AB56*AB57,0))))</f>
        <v>0</v>
      </c>
      <c r="AC60" s="63">
        <f>IF(AND(AC56=1,AC57=12,E55="Auto",B55="COORDINATOR SAFETY 01",AND('Job setup'!$B$9="ON",'Job setup'!$C$9&lt;=AC$6,'Job setup'!$D$9&gt;=AC$6,'Job setup'!$G$9="NO")),0,IF(OS55,IF(OR(AC56&lt;=0,NOT('_JobDays'!T2)),0,IF(WEEKDAY(AC$6,1)=1,AC56*AC57,0)),IF(OR(AC56&lt;=0,NOT('_JobDays'!T2)),0,IF(WEEKDAY(AC$6,1)=1,AC56*AC57,0))))</f>
        <v>0</v>
      </c>
      <c r="AD60" s="63">
        <f>IF(AND(AD56=1,AD57=12,E55="Auto",B55="COORDINATOR SAFETY 01",AND('Job setup'!$B$9="ON",'Job setup'!$C$9&lt;=AD$6,'Job setup'!$D$9&gt;=AD$6,'Job setup'!$G$9="NO")),12,IF(OS55,IF(OR(AD56&lt;=0,NOT('_JobDays'!U2)),0,IF(WEEKDAY(AD$6,1)=1,AD56*AD57,0)),IF(OR(AD56&lt;=0,NOT('_JobDays'!U2)),0,IF(WEEKDAY(AD$6,1)=1,AD56*AD57,0))))</f>
        <v>12</v>
      </c>
      <c r="AE60" s="62">
        <f>IF(AND(AE56=1,AE57=12,E55="Auto",B55="COORDINATOR SAFETY 01",AND('Job setup'!$B$9="ON",'Job setup'!$C$9&lt;=AE$6,'Job setup'!$D$9&gt;=AE$6,'Job setup'!$G$9="NO")),0,IF(OS55,IF(OR(AE56&lt;=0,NOT('_JobDays'!V2)),0,IF(WEEKDAY(AE$6,1)=1,AE56*AE57,0)),IF(OR(AE56&lt;=0,NOT('_JobDays'!V2)),0,IF(WEEKDAY(AE$6,1)=1,AE56*AE57,0))))</f>
        <v>0</v>
      </c>
      <c r="AF60" s="62">
        <f>IF(AND(AF56=1,AF57=12,E55="Auto",B55="COORDINATOR SAFETY 01",AND('Job setup'!$B$9="ON",'Job setup'!$C$9&lt;=AF$6,'Job setup'!$D$9&gt;=AF$6,'Job setup'!$G$9="NO")),0,IF(OS55,IF(OR(AF56&lt;=0,NOT('_JobDays'!W2)),0,IF(WEEKDAY(AF$6,1)=1,AF56*AF57,0)),IF(OR(AF56&lt;=0,NOT('_JobDays'!W2)),0,IF(WEEKDAY(AF$6,1)=1,AF56*AF57,0))))</f>
        <v>0</v>
      </c>
      <c r="AG60" s="62">
        <f>IF(AND(AG56=1,AG57=12,E55="Auto",B55="COORDINATOR SAFETY 01",AND('Job setup'!$B$9="ON",'Job setup'!$C$9&lt;=AG$6,'Job setup'!$D$9&gt;=AG$6,'Job setup'!$G$9="NO")),0,IF(OS55,IF(OR(AG56&lt;=0,NOT('_JobDays'!X2)),0,IF(WEEKDAY(AG$6,1)=1,AG56*AG57,0)),IF(OR(AG56&lt;=0,NOT('_JobDays'!X2)),0,IF(WEEKDAY(AG$6,1)=1,AG56*AG57,0))))</f>
        <v>0</v>
      </c>
      <c r="AH60" s="62">
        <f>IF(AND(AH56=0,AH57=0,E55="Auto",B55="COORDINATOR SAFETY 01",AND('Job setup'!$B$11="ON",'Job setup'!$C$11&lt;=AH$6,'Job setup'!$D$11&gt;=AH$6,'Job setup'!$G$11="YES")),0,IF(OS55,IF(OR(AH56&lt;=0,NOT('_JobDays'!Y2)),0,IF(WEEKDAY(AH$6,1)=1,AH56*AH57,0)),IF(OR(AH56&lt;=0,NOT('_JobDays'!Y2)),0,IF(WEEKDAY(AH$6,1)=1,AH56*AH57,0))))</f>
        <v>0</v>
      </c>
      <c r="AI60" s="62">
        <f>IF(AND(AI56=0,AI57=0,E55="Auto",B55="COORDINATOR SAFETY 01",AND('Job setup'!$B$11="ON",'Job setup'!$C$11&lt;=AI$6,'Job setup'!$D$11&gt;=AI$6,'Job setup'!$G$11="YES")),0,IF(OS55,IF(OR(AI56&lt;=0,NOT('_JobDays'!Z2)),0,IF(WEEKDAY(AI$6,1)=1,AI56*AI57,0)),IF(OR(AI56&lt;=0,NOT('_JobDays'!Z2)),0,IF(WEEKDAY(AI$6,1)=1,AI56*AI57,0))))</f>
        <v>0</v>
      </c>
      <c r="AJ60" s="63">
        <f>IF(AND(AJ56=0,AJ57=0,E55="Auto",B55="COORDINATOR SAFETY 01",AND('Job setup'!$B$11="ON",'Job setup'!$C$11&lt;=AJ$6,'Job setup'!$D$11&gt;=AJ$6,'Job setup'!$G$11="YES")),0,IF(OS55,IF(OR(AJ56&lt;=0,NOT('_JobDays'!AA2)),0,IF(WEEKDAY(AJ$6,1)=1,AJ56*AJ57,0)),IF(OR(AJ56&lt;=0,NOT('_JobDays'!AA2)),0,IF(WEEKDAY(AJ$6,1)=1,AJ56*AJ57,0))))</f>
        <v>0</v>
      </c>
      <c r="AK60" s="63">
        <f>IF(AND(AK56=0,AK57=0,E55="Auto",B55="COORDINATOR SAFETY 01",AND('Job setup'!$B$11="ON",'Job setup'!$C$11&lt;=AK$6,'Job setup'!$D$11&gt;=AK$6,'Job setup'!$G$11="YES")),0,IF(OS55,IF(OR(AK56&lt;=0,NOT('_JobDays'!AB2)),0,IF(WEEKDAY(AK$6,1)=1,AK56*AK57,0)),IF(OR(AK56&lt;=0,NOT('_JobDays'!AB2)),0,IF(WEEKDAY(AK$6,1)=1,AK56*AK57,0))))</f>
        <v>0</v>
      </c>
      <c r="AL60" s="62">
        <f>IF(AND(AL56=0,AL57=0,E55="Auto",B55="COORDINATOR SAFETY 01",AND('Job setup'!$B$11="ON",'Job setup'!$C$11&lt;=AL$6,'Job setup'!$D$11&gt;=AL$6,'Job setup'!$G$11="YES")),0,IF(OS55,IF(OR(AL56&lt;=0,NOT('_JobDays'!AC2)),0,IF(WEEKDAY(AL$6,1)=1,AL56*AL57,0)),IF(OR(AL56&lt;=0,NOT('_JobDays'!AC2)),0,IF(WEEKDAY(AL$6,1)=1,AL56*AL57,0))))</f>
        <v>0</v>
      </c>
      <c r="AM60" s="62">
        <f>IF(AND(AM56=0,AM57=0,E55="Auto",B55="COORDINATOR SAFETY 01",AND('Job setup'!$B$11="ON",'Job setup'!$C$11&lt;=AM$6,'Job setup'!$D$11&gt;=AM$6,'Job setup'!$G$11="YES")),0,IF(OS55,IF(OR(AM56&lt;=0,NOT('_JobDays'!AD2)),0,IF(WEEKDAY(AM$6,1)=1,AM56*AM57,0)),IF(OR(AM56&lt;=0,NOT('_JobDays'!AD2)),0,IF(WEEKDAY(AM$6,1)=1,AM56*AM57,0))))</f>
        <v>0</v>
      </c>
      <c r="AN60" s="62">
        <f>IF(AND(AN56=0,AN57=0,E55="Auto",B55="COORDINATOR SAFETY 01",AND('Job setup'!$B$11="ON",'Job setup'!$C$11&lt;=AN$6,'Job setup'!$D$11&gt;=AN$6,'Job setup'!$G$11="YES")),0,IF(OS55,IF(OR(AN56&lt;=0,NOT('_JobDays'!AE2)),0,IF(WEEKDAY(AN$6,1)=1,AN56*AN57,0)),IF(OR(AN56&lt;=0,NOT('_JobDays'!AE2)),0,IF(WEEKDAY(AN$6,1)=1,AN56*AN57,0))))</f>
        <v>0</v>
      </c>
      <c r="AO60" s="64">
        <f>IF(AND(AO56=0,AO57=0,E55="Auto",B55="COORDINATOR SAFETY 01",AND('Job setup'!$B$11="ON",'Job setup'!$C$11&lt;=AO$6,'Job setup'!$D$11&gt;=AO$6,'Job setup'!$G$11="YES")),0,IF(OS55,IF(OR(AO56&lt;=0,NOT('_JobDays'!AF2)),0,IF(WEEKDAY(AO$6,1)=1,AO56*AO57,0)),IF(OR(AO56&lt;=0,NOT('_JobDays'!AF2)),0,IF(WEEKDAY(AO$6,1)=1,AO56*AO57,0))))</f>
        <v>0</v>
      </c>
      <c r="OT60" s="28" t="s">
        <v>73</v>
      </c>
    </row>
    <row r="61" ht="16" customHeight="1" spans="1:410" x14ac:dyDescent="0.25">
      <c r="A61" s="73"/>
      <c r="B61" s="44"/>
      <c r="C61" s="66">
        <f>I55*D61</f>
        <v>3080</v>
      </c>
      <c r="D61" s="66">
        <v>140</v>
      </c>
      <c r="E61" s="67" t="s">
        <v>63</v>
      </c>
      <c r="F61" s="48"/>
      <c r="G61" s="48"/>
      <c r="H61" s="48"/>
      <c r="I61" s="49"/>
      <c r="J61" s="68">
        <v>1</v>
      </c>
      <c r="K61" s="69">
        <v>1</v>
      </c>
      <c r="L61" s="69">
        <v>1</v>
      </c>
      <c r="M61" s="69">
        <v>1</v>
      </c>
      <c r="N61" s="69">
        <v>1</v>
      </c>
      <c r="O61" s="70">
        <v>0</v>
      </c>
      <c r="P61" s="70">
        <v>0</v>
      </c>
      <c r="Q61" s="69">
        <v>1</v>
      </c>
      <c r="R61" s="69">
        <v>1</v>
      </c>
      <c r="S61" s="69">
        <v>1</v>
      </c>
      <c r="T61" s="69">
        <v>1</v>
      </c>
      <c r="U61" s="69">
        <v>1</v>
      </c>
      <c r="V61" s="70">
        <v>1</v>
      </c>
      <c r="W61" s="70">
        <v>1</v>
      </c>
      <c r="X61" s="69">
        <v>1</v>
      </c>
      <c r="Y61" s="69">
        <v>1</v>
      </c>
      <c r="Z61" s="69">
        <v>1</v>
      </c>
      <c r="AA61" s="69">
        <v>1</v>
      </c>
      <c r="AB61" s="69">
        <v>1</v>
      </c>
      <c r="AC61" s="70">
        <v>1</v>
      </c>
      <c r="AD61" s="70">
        <v>1</v>
      </c>
      <c r="AE61" s="69">
        <v>1</v>
      </c>
      <c r="AF61" s="69">
        <v>1</v>
      </c>
      <c r="AG61" s="69">
        <v>1</v>
      </c>
      <c r="AH61" s="69">
        <v>0</v>
      </c>
      <c r="AI61" s="69">
        <v>0</v>
      </c>
      <c r="AJ61" s="70">
        <v>0</v>
      </c>
      <c r="AK61" s="70">
        <v>0</v>
      </c>
      <c r="AL61" s="69">
        <v>0</v>
      </c>
      <c r="AM61" s="69">
        <v>0</v>
      </c>
      <c r="AN61" s="69">
        <v>0</v>
      </c>
      <c r="AO61" s="71">
        <v>0</v>
      </c>
      <c r="OT61" s="59" t="s">
        <v>73</v>
      </c>
    </row>
    <row r="62" ht="8" customHeight="1" spans="1:4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</row>
    <row r="63" ht="16" customHeight="1" spans="1:410" x14ac:dyDescent="0.25">
      <c r="A63" s="73" t="s">
        <v>70</v>
      </c>
      <c r="B63" s="44" t="s">
        <v>68</v>
      </c>
      <c r="C63" s="45">
        <f>C66+C67+C68</f>
        <v>30853.120000000003</v>
      </c>
      <c r="D63" s="46"/>
      <c r="E63" s="47" t="s">
        <v>56</v>
      </c>
      <c r="F63" s="48">
        <f>SUM(J66:AO66)</f>
        <v>144</v>
      </c>
      <c r="G63" s="48">
        <f>SUM(J67:AO67)</f>
        <v>64</v>
      </c>
      <c r="H63" s="48">
        <f>SUM(J68:AO68)</f>
        <v>24</v>
      </c>
      <c r="I63" s="49">
        <f>SUM(J69:AO69)</f>
        <v>22</v>
      </c>
      <c r="J63" s="50"/>
      <c r="K63" s="51"/>
      <c r="L63" s="51"/>
      <c r="M63" s="51"/>
      <c r="N63" s="51"/>
      <c r="O63" s="52"/>
      <c r="P63" s="52"/>
      <c r="Q63" s="51"/>
      <c r="R63" s="51"/>
      <c r="S63" s="51"/>
      <c r="T63" s="51"/>
      <c r="U63" s="51"/>
      <c r="V63" s="52"/>
      <c r="W63" s="52"/>
      <c r="X63" s="51"/>
      <c r="Y63" s="51"/>
      <c r="Z63" s="51"/>
      <c r="AA63" s="51"/>
      <c r="AB63" s="51"/>
      <c r="AC63" s="52"/>
      <c r="AD63" s="52"/>
      <c r="AE63" s="51"/>
      <c r="AF63" s="51"/>
      <c r="AG63" s="51"/>
      <c r="AH63" s="51"/>
      <c r="AI63" s="51"/>
      <c r="AJ63" s="52"/>
      <c r="AK63" s="52"/>
      <c r="AL63" s="51"/>
      <c r="AM63" s="51"/>
      <c r="AN63" s="51"/>
      <c r="AO63" s="53"/>
      <c r="OS63" s="28">
        <f>OR(E63="Staff clock",AND(OR(E63="Auto",E63=""),ISNUMBER(MATCH(B63,'_Lists'!$K$1:$K$137,0))))</f>
        <v>0</v>
      </c>
      <c r="OT63" s="28" t="s">
        <v>74</v>
      </c>
    </row>
    <row r="64" ht="16" customHeight="1" spans="1:410" x14ac:dyDescent="0.25">
      <c r="A64" s="73"/>
      <c r="B64" s="44"/>
      <c r="C64" s="45"/>
      <c r="D64" s="46"/>
      <c r="E64" s="54" t="s">
        <v>58</v>
      </c>
      <c r="F64" s="48"/>
      <c r="G64" s="48"/>
      <c r="H64" s="48"/>
      <c r="I64" s="49"/>
      <c r="J64" s="55">
        <v>1</v>
      </c>
      <c r="K64" s="56">
        <v>1</v>
      </c>
      <c r="L64" s="56">
        <v>1</v>
      </c>
      <c r="M64" s="56">
        <v>1</v>
      </c>
      <c r="N64" s="56">
        <v>1</v>
      </c>
      <c r="O64" s="57">
        <v>0</v>
      </c>
      <c r="P64" s="57">
        <v>0</v>
      </c>
      <c r="Q64" s="56">
        <v>1</v>
      </c>
      <c r="R64" s="56">
        <v>1</v>
      </c>
      <c r="S64" s="56">
        <v>1</v>
      </c>
      <c r="T64" s="56">
        <v>1</v>
      </c>
      <c r="U64" s="56">
        <v>1</v>
      </c>
      <c r="V64" s="57">
        <v>1</v>
      </c>
      <c r="W64" s="57">
        <v>1</v>
      </c>
      <c r="X64" s="56">
        <v>1</v>
      </c>
      <c r="Y64" s="56">
        <v>1</v>
      </c>
      <c r="Z64" s="56">
        <v>1</v>
      </c>
      <c r="AA64" s="56">
        <v>1</v>
      </c>
      <c r="AB64" s="56">
        <v>1</v>
      </c>
      <c r="AC64" s="57">
        <v>1</v>
      </c>
      <c r="AD64" s="57">
        <v>1</v>
      </c>
      <c r="AE64" s="56">
        <v>1</v>
      </c>
      <c r="AF64" s="56">
        <v>1</v>
      </c>
      <c r="AG64" s="56">
        <v>1</v>
      </c>
      <c r="AH64" s="56">
        <v>0</v>
      </c>
      <c r="AI64" s="56">
        <v>0</v>
      </c>
      <c r="AJ64" s="57">
        <v>0</v>
      </c>
      <c r="AK64" s="57">
        <v>0</v>
      </c>
      <c r="AL64" s="56">
        <v>0</v>
      </c>
      <c r="AM64" s="56">
        <v>0</v>
      </c>
      <c r="AN64" s="56">
        <v>0</v>
      </c>
      <c r="AO64" s="58">
        <v>0</v>
      </c>
      <c r="OT64" s="59" t="s">
        <v>74</v>
      </c>
    </row>
    <row r="65" ht="16" customHeight="1" spans="1:410" x14ac:dyDescent="0.25">
      <c r="A65" s="73"/>
      <c r="B65" s="44"/>
      <c r="C65" s="45"/>
      <c r="D65" s="46"/>
      <c r="E65" s="54" t="s">
        <v>59</v>
      </c>
      <c r="F65" s="48"/>
      <c r="G65" s="48"/>
      <c r="H65" s="48"/>
      <c r="I65" s="49"/>
      <c r="J65" s="55">
        <v>8</v>
      </c>
      <c r="K65" s="56">
        <v>8</v>
      </c>
      <c r="L65" s="56">
        <v>8</v>
      </c>
      <c r="M65" s="56">
        <v>8</v>
      </c>
      <c r="N65" s="56">
        <v>8</v>
      </c>
      <c r="O65" s="57">
        <v>0</v>
      </c>
      <c r="P65" s="57">
        <v>0</v>
      </c>
      <c r="Q65" s="56">
        <v>8</v>
      </c>
      <c r="R65" s="56">
        <v>8</v>
      </c>
      <c r="S65" s="56">
        <v>8</v>
      </c>
      <c r="T65" s="56">
        <v>12</v>
      </c>
      <c r="U65" s="56">
        <v>12</v>
      </c>
      <c r="V65" s="57">
        <v>12</v>
      </c>
      <c r="W65" s="57">
        <v>12</v>
      </c>
      <c r="X65" s="56">
        <v>12</v>
      </c>
      <c r="Y65" s="56">
        <v>12</v>
      </c>
      <c r="Z65" s="56">
        <v>12</v>
      </c>
      <c r="AA65" s="56">
        <v>12</v>
      </c>
      <c r="AB65" s="56">
        <v>12</v>
      </c>
      <c r="AC65" s="57">
        <v>12</v>
      </c>
      <c r="AD65" s="57">
        <v>12</v>
      </c>
      <c r="AE65" s="56">
        <v>12</v>
      </c>
      <c r="AF65" s="56">
        <v>12</v>
      </c>
      <c r="AG65" s="56">
        <v>12</v>
      </c>
      <c r="AH65" s="56">
        <v>0</v>
      </c>
      <c r="AI65" s="56">
        <v>0</v>
      </c>
      <c r="AJ65" s="57">
        <v>0</v>
      </c>
      <c r="AK65" s="57">
        <v>0</v>
      </c>
      <c r="AL65" s="56">
        <v>0</v>
      </c>
      <c r="AM65" s="56">
        <v>0</v>
      </c>
      <c r="AN65" s="56">
        <v>0</v>
      </c>
      <c r="AO65" s="58">
        <v>0</v>
      </c>
      <c r="OT65" s="59" t="s">
        <v>74</v>
      </c>
    </row>
    <row r="66" ht="16" customHeight="1" spans="1:410" x14ac:dyDescent="0.25">
      <c r="A66" s="73"/>
      <c r="B66" s="44"/>
      <c r="C66" s="60">
        <f>F63*N(D66)</f>
        <v>16015.68</v>
      </c>
      <c r="D66" s="60">
        <f>IF(TRIM(B63)="","No rate",IFERROR(INDEX('Rate Tables'!C$7:C$161,MATCH(B63,'Rate Tables'!A$7:A$161,0)),"No rate"))</f>
        <v>111.22</v>
      </c>
      <c r="E66" s="54" t="s">
        <v>60</v>
      </c>
      <c r="F66" s="48"/>
      <c r="G66" s="48"/>
      <c r="H66" s="48"/>
      <c r="I66" s="49"/>
      <c r="J66" s="61">
        <f>IF(AND(J64=1,J65=8,E63="Auto",B63="Pipefitter General Foreman",AND('Job setup'!$B$7="ON",'Job setup'!$C$7&lt;=J$6,'Job setup'!$D$7&gt;=J$6,'Job setup'!$G$7="YES")),8,IF(OS63,MIN(IF(OR(J64&lt;=0,NOT('_JobDays'!A2)),0,IF(WEEKDAY(J$6,1)=1,0,MIN(IF('_JobDays'!A3,8,10),J65)*J64)),MAX(0,40*MAX(1,J64)-(0))),MIN(IF(OR(J64&lt;=0,NOT('_JobDays'!A2)),0,IF(WEEKDAY(J$6,1)=1,0,IF(WEEKDAY(J$6,1)=7,0,IF('_JobDays'!A4,MIN(8,J65)*J64,J64*J65)))),MAX(0,40*MAX(1,J64)-(0)))))</f>
        <v>8</v>
      </c>
      <c r="K66" s="62">
        <f>IF(AND(K64=1,K65=8,E63="Auto",B63="Pipefitter General Foreman",AND('Job setup'!$B$7="ON",'Job setup'!$C$7&lt;=K$6,'Job setup'!$D$7&gt;=K$6,'Job setup'!$G$7="YES")),8,IF(OS63,MIN(IF(OR(K64&lt;=0,NOT('_JobDays'!B2)),0,IF(WEEKDAY(K$6,1)=1,0,MIN(IF('_JobDays'!B3,8,10),K65)*K64)),MAX(0,40*MAX(1,K64)-(J66))),MIN(IF(OR(K64&lt;=0,NOT('_JobDays'!B2)),0,IF(WEEKDAY(K$6,1)=1,0,IF(WEEKDAY(K$6,1)=7,0,IF('_JobDays'!B4,MIN(8,K65)*K64,K64*K65)))),MAX(0,40*MAX(1,K64)-(J66)))))</f>
        <v>8</v>
      </c>
      <c r="L66" s="62">
        <f>IF(AND(L64=1,L65=8,E63="Auto",B63="Pipefitter General Foreman",AND('Job setup'!$B$7="ON",'Job setup'!$C$7&lt;=L$6,'Job setup'!$D$7&gt;=L$6,'Job setup'!$G$7="YES")),8,IF(OS63,MIN(IF(OR(L64&lt;=0,NOT('_JobDays'!C2)),0,IF(WEEKDAY(L$6,1)=1,0,MIN(IF('_JobDays'!C3,8,10),L65)*L64)),MAX(0,40*MAX(1,L64)-(J66+K66))),MIN(IF(OR(L64&lt;=0,NOT('_JobDays'!C2)),0,IF(WEEKDAY(L$6,1)=1,0,IF(WEEKDAY(L$6,1)=7,0,IF('_JobDays'!C4,MIN(8,L65)*L64,L64*L65)))),MAX(0,40*MAX(1,L64)-(J66+K66)))))</f>
        <v>8</v>
      </c>
      <c r="M66" s="62">
        <f>IF(AND(M64=1,M65=8,E63="Auto",B63="Pipefitter General Foreman",AND('Job setup'!$B$7="ON",'Job setup'!$C$7&lt;=M$6,'Job setup'!$D$7&gt;=M$6,'Job setup'!$G$7="YES")),8,IF(OS63,MIN(IF(OR(M64&lt;=0,NOT('_JobDays'!D2)),0,IF(WEEKDAY(M$6,1)=1,0,MIN(IF('_JobDays'!D3,8,10),M65)*M64)),MAX(0,40*MAX(1,M64)-(J66+K66+L66))),MIN(IF(OR(M64&lt;=0,NOT('_JobDays'!D2)),0,IF(WEEKDAY(M$6,1)=1,0,IF(WEEKDAY(M$6,1)=7,0,IF('_JobDays'!D4,MIN(8,M65)*M64,M64*M65)))),MAX(0,40*MAX(1,M64)-(J66+K66+L66)))))</f>
        <v>8</v>
      </c>
      <c r="N66" s="62">
        <f>IF(AND(N64=1,N65=8,E63="Auto",B63="Pipefitter General Foreman",AND('Job setup'!$B$7="ON",'Job setup'!$C$7&lt;=N$6,'Job setup'!$D$7&gt;=N$6,'Job setup'!$G$7="YES")),8,IF(OS63,MIN(IF(OR(N64&lt;=0,NOT('_JobDays'!E2)),0,IF(WEEKDAY(N$6,1)=1,0,MIN(IF('_JobDays'!E3,8,10),N65)*N64)),MAX(0,40*MAX(1,N64)-(J66+K66+L66+M66))),MIN(IF(OR(N64&lt;=0,NOT('_JobDays'!E2)),0,IF(WEEKDAY(N$6,1)=1,0,IF(WEEKDAY(N$6,1)=7,0,IF('_JobDays'!E4,MIN(8,N65)*N64,N64*N65)))),MAX(0,40*MAX(1,N64)-(J66+K66+L66+M66)))))</f>
        <v>8</v>
      </c>
      <c r="O66" s="63">
        <f>IF(AND(O64=0,O65=0,E63="Auto",B63="Pipefitter General Foreman",AND('Job setup'!$B$7="ON",'Job setup'!$C$7&lt;=O$6,'Job setup'!$D$7&gt;=O$6,'Job setup'!$G$7="YES")),0,IF(OS63,MIN(IF(OR(O64&lt;=0,NOT('_JobDays'!F2)),0,IF(WEEKDAY(O$6,1)=1,0,MIN(IF('_JobDays'!F3,8,10),O65)*O64)),MAX(0,40*MAX(1,O64)-(J66+K66+L66+M66+N66))),MIN(IF(OR(O64&lt;=0,NOT('_JobDays'!F2)),0,IF(WEEKDAY(O$6,1)=1,0,IF(WEEKDAY(O$6,1)=7,0,IF('_JobDays'!F4,MIN(8,O65)*O64,O64*O65)))),MAX(0,40*MAX(1,O64)-(J66+K66+L66+M66+N66)))))</f>
        <v>0</v>
      </c>
      <c r="P66" s="63">
        <f>IF(AND(P64=0,P65=0,E63="Auto",B63="Pipefitter General Foreman",AND('Job setup'!$B$7="ON",'Job setup'!$C$7&lt;=P$6,'Job setup'!$D$7&gt;=P$6,'Job setup'!$G$7="YES")),0,IF(OS63,MIN(IF(OR(P64&lt;=0,NOT('_JobDays'!G2)),0,IF(WEEKDAY(P$6,1)=1,0,MIN(IF('_JobDays'!G3,8,10),P65)*P64)),MAX(0,40*MAX(1,P64)-(J66+K66+L66+M66+N66+O66))),MIN(IF(OR(P64&lt;=0,NOT('_JobDays'!G2)),0,IF(WEEKDAY(P$6,1)=1,0,IF(WEEKDAY(P$6,1)=7,0,IF('_JobDays'!G4,MIN(8,P65)*P64,P64*P65)))),MAX(0,40*MAX(1,P64)-(J66+K66+L66+M66+N66+O66)))))</f>
        <v>0</v>
      </c>
      <c r="Q66" s="62">
        <f>IF(AND(Q64=1,Q65=8,E63="Auto",B63="Pipefitter General Foreman",AND('Job setup'!$B$7="ON",'Job setup'!$C$7&lt;=Q$6,'Job setup'!$D$7&gt;=Q$6,'Job setup'!$G$7="YES")),8,IF(OS63,MIN(IF(OR(Q64&lt;=0,NOT('_JobDays'!H2)),0,IF(WEEKDAY(Q$6,1)=1,0,MIN(IF('_JobDays'!H3,8,10),Q65)*Q64)),MAX(0,40*MAX(1,Q64)-(0))),MIN(IF(OR(Q64&lt;=0,NOT('_JobDays'!H2)),0,IF(WEEKDAY(Q$6,1)=1,0,IF(WEEKDAY(Q$6,1)=7,0,IF('_JobDays'!H4,MIN(8,Q65)*Q64,Q64*Q65)))),MAX(0,40*MAX(1,Q64)-(0)))))</f>
        <v>8</v>
      </c>
      <c r="R66" s="62">
        <f>IF(AND(R64=1,R65=8,E63="Auto",B63="Pipefitter General Foreman",AND('Job setup'!$B$7="ON",'Job setup'!$C$7&lt;=R$6,'Job setup'!$D$7&gt;=R$6,'Job setup'!$G$7="YES")),8,IF(OS63,MIN(IF(OR(R64&lt;=0,NOT('_JobDays'!I2)),0,IF(WEEKDAY(R$6,1)=1,0,MIN(IF('_JobDays'!I3,8,10),R65)*R64)),MAX(0,40*MAX(1,R64)-(Q66))),MIN(IF(OR(R64&lt;=0,NOT('_JobDays'!I2)),0,IF(WEEKDAY(R$6,1)=1,0,IF(WEEKDAY(R$6,1)=7,0,IF('_JobDays'!I4,MIN(8,R65)*R64,R64*R65)))),MAX(0,40*MAX(1,R64)-(Q66)))))</f>
        <v>8</v>
      </c>
      <c r="S66" s="62">
        <f>IF(AND(S64=1,S65=8,E63="Auto",B63="Pipefitter General Foreman",AND('Job setup'!$B$7="ON",'Job setup'!$C$7&lt;=S$6,'Job setup'!$D$7&gt;=S$6,'Job setup'!$G$7="YES")),8,IF(OS63,MIN(IF(OR(S64&lt;=0,NOT('_JobDays'!J2)),0,IF(WEEKDAY(S$6,1)=1,0,MIN(IF('_JobDays'!J3,8,10),S65)*S64)),MAX(0,40*MAX(1,S64)-(Q66+R66))),MIN(IF(OR(S64&lt;=0,NOT('_JobDays'!J2)),0,IF(WEEKDAY(S$6,1)=1,0,IF(WEEKDAY(S$6,1)=7,0,IF('_JobDays'!J4,MIN(8,S65)*S64,S64*S65)))),MAX(0,40*MAX(1,S64)-(Q66+R66)))))</f>
        <v>8</v>
      </c>
      <c r="T66" s="62">
        <f>IF(AND(T64=1,T65=12,E63="Auto",B63="Pipefitter General Foreman",AND('Job setup'!$B$9="ON",'Job setup'!$C$9&lt;=T$6,'Job setup'!$D$9&gt;=T$6,'Job setup'!$G$9="NO")),8,IF(OS63,MIN(IF(OR(T64&lt;=0,NOT('_JobDays'!K2)),0,IF(WEEKDAY(T$6,1)=1,0,MIN(IF('_JobDays'!K3,8,10),T65)*T64)),MAX(0,40*MAX(1,T64)-(Q66+R66+S66))),MIN(IF(OR(T64&lt;=0,NOT('_JobDays'!K2)),0,IF(WEEKDAY(T$6,1)=1,0,IF(WEEKDAY(T$6,1)=7,0,IF('_JobDays'!K4,MIN(8,T65)*T64,T64*T65)))),MAX(0,40*MAX(1,T64)-(Q66+R66+S66)))))</f>
        <v>8</v>
      </c>
      <c r="U66" s="62">
        <f>IF(AND(U64=1,U65=12,E63="Auto",B63="Pipefitter General Foreman",AND('Job setup'!$B$9="ON",'Job setup'!$C$9&lt;=U$6,'Job setup'!$D$9&gt;=U$6,'Job setup'!$G$9="NO")),8,IF(OS63,MIN(IF(OR(U64&lt;=0,NOT('_JobDays'!L2)),0,IF(WEEKDAY(U$6,1)=1,0,MIN(IF('_JobDays'!L3,8,10),U65)*U64)),MAX(0,40*MAX(1,U64)-(Q66+R66+S66+T66))),MIN(IF(OR(U64&lt;=0,NOT('_JobDays'!L2)),0,IF(WEEKDAY(U$6,1)=1,0,IF(WEEKDAY(U$6,1)=7,0,IF('_JobDays'!L4,MIN(8,U65)*U64,U64*U65)))),MAX(0,40*MAX(1,U64)-(Q66+R66+S66+T66)))))</f>
        <v>8</v>
      </c>
      <c r="V66" s="63">
        <f>IF(AND(V64=1,V65=12,E63="Auto",B63="Pipefitter General Foreman",AND('Job setup'!$B$9="ON",'Job setup'!$C$9&lt;=V$6,'Job setup'!$D$9&gt;=V$6,'Job setup'!$G$9="NO")),0,IF(OS63,MIN(IF(OR(V64&lt;=0,NOT('_JobDays'!M2)),0,IF(WEEKDAY(V$6,1)=1,0,MIN(IF('_JobDays'!M3,8,10),V65)*V64)),MAX(0,40*MAX(1,V64)-(Q66+R66+S66+T66+U66))),MIN(IF(OR(V64&lt;=0,NOT('_JobDays'!M2)),0,IF(WEEKDAY(V$6,1)=1,0,IF(WEEKDAY(V$6,1)=7,0,IF('_JobDays'!M4,MIN(8,V65)*V64,V64*V65)))),MAX(0,40*MAX(1,V64)-(Q66+R66+S66+T66+U66)))))</f>
        <v>0</v>
      </c>
      <c r="W66" s="63">
        <f>IF(AND(W64=1,W65=12,E63="Auto",B63="Pipefitter General Foreman",AND('Job setup'!$B$9="ON",'Job setup'!$C$9&lt;=W$6,'Job setup'!$D$9&gt;=W$6,'Job setup'!$G$9="NO")),0,IF(OS63,MIN(IF(OR(W64&lt;=0,NOT('_JobDays'!N2)),0,IF(WEEKDAY(W$6,1)=1,0,MIN(IF('_JobDays'!N3,8,10),W65)*W64)),MAX(0,40*MAX(1,W64)-(Q66+R66+S66+T66+U66+V66))),MIN(IF(OR(W64&lt;=0,NOT('_JobDays'!N2)),0,IF(WEEKDAY(W$6,1)=1,0,IF(WEEKDAY(W$6,1)=7,0,IF('_JobDays'!N4,MIN(8,W65)*W64,W64*W65)))),MAX(0,40*MAX(1,W64)-(Q66+R66+S66+T66+U66+V66)))))</f>
        <v>0</v>
      </c>
      <c r="X66" s="62">
        <f>IF(AND(X64=1,X65=12,E63="Auto",B63="Pipefitter General Foreman",AND('Job setup'!$B$9="ON",'Job setup'!$C$9&lt;=X$6,'Job setup'!$D$9&gt;=X$6,'Job setup'!$G$9="NO")),8,IF(OS63,MIN(IF(OR(X64&lt;=0,NOT('_JobDays'!O2)),0,IF(WEEKDAY(X$6,1)=1,0,MIN(IF('_JobDays'!O3,8,10),X65)*X64)),MAX(0,40*MAX(1,X64)-(0))),MIN(IF(OR(X64&lt;=0,NOT('_JobDays'!O2)),0,IF(WEEKDAY(X$6,1)=1,0,IF(WEEKDAY(X$6,1)=7,0,IF('_JobDays'!O4,MIN(8,X65)*X64,X64*X65)))),MAX(0,40*MAX(1,X64)-(0)))))</f>
        <v>8</v>
      </c>
      <c r="Y66" s="62">
        <f>IF(AND(Y64=1,Y65=12,E63="Auto",B63="Pipefitter General Foreman",AND('Job setup'!$B$9="ON",'Job setup'!$C$9&lt;=Y$6,'Job setup'!$D$9&gt;=Y$6,'Job setup'!$G$9="NO")),8,IF(OS63,MIN(IF(OR(Y64&lt;=0,NOT('_JobDays'!P2)),0,IF(WEEKDAY(Y$6,1)=1,0,MIN(IF('_JobDays'!P3,8,10),Y65)*Y64)),MAX(0,40*MAX(1,Y64)-(X66))),MIN(IF(OR(Y64&lt;=0,NOT('_JobDays'!P2)),0,IF(WEEKDAY(Y$6,1)=1,0,IF(WEEKDAY(Y$6,1)=7,0,IF('_JobDays'!P4,MIN(8,Y65)*Y64,Y64*Y65)))),MAX(0,40*MAX(1,Y64)-(X66)))))</f>
        <v>8</v>
      </c>
      <c r="Z66" s="62">
        <f>IF(AND(Z64=1,Z65=12,E63="Auto",B63="Pipefitter General Foreman",AND('Job setup'!$B$9="ON",'Job setup'!$C$9&lt;=Z$6,'Job setup'!$D$9&gt;=Z$6,'Job setup'!$G$9="NO")),8,IF(OS63,MIN(IF(OR(Z64&lt;=0,NOT('_JobDays'!Q2)),0,IF(WEEKDAY(Z$6,1)=1,0,MIN(IF('_JobDays'!Q3,8,10),Z65)*Z64)),MAX(0,40*MAX(1,Z64)-(X66+Y66))),MIN(IF(OR(Z64&lt;=0,NOT('_JobDays'!Q2)),0,IF(WEEKDAY(Z$6,1)=1,0,IF(WEEKDAY(Z$6,1)=7,0,IF('_JobDays'!Q4,MIN(8,Z65)*Z64,Z64*Z65)))),MAX(0,40*MAX(1,Z64)-(X66+Y66)))))</f>
        <v>8</v>
      </c>
      <c r="AA66" s="62">
        <f>IF(AND(AA64=1,AA65=12,E63="Auto",B63="Pipefitter General Foreman",AND('Job setup'!$B$9="ON",'Job setup'!$C$9&lt;=AA$6,'Job setup'!$D$9&gt;=AA$6,'Job setup'!$G$9="NO")),8,IF(OS63,MIN(IF(OR(AA64&lt;=0,NOT('_JobDays'!R2)),0,IF(WEEKDAY(AA$6,1)=1,0,MIN(IF('_JobDays'!R3,8,10),AA65)*AA64)),MAX(0,40*MAX(1,AA64)-(X66+Y66+Z66))),MIN(IF(OR(AA64&lt;=0,NOT('_JobDays'!R2)),0,IF(WEEKDAY(AA$6,1)=1,0,IF(WEEKDAY(AA$6,1)=7,0,IF('_JobDays'!R4,MIN(8,AA65)*AA64,AA64*AA65)))),MAX(0,40*MAX(1,AA64)-(X66+Y66+Z66)))))</f>
        <v>8</v>
      </c>
      <c r="AB66" s="62">
        <f>IF(AND(AB64=1,AB65=12,E63="Auto",B63="Pipefitter General Foreman",AND('Job setup'!$B$9="ON",'Job setup'!$C$9&lt;=AB$6,'Job setup'!$D$9&gt;=AB$6,'Job setup'!$G$9="NO")),8,IF(OS63,MIN(IF(OR(AB64&lt;=0,NOT('_JobDays'!S2)),0,IF(WEEKDAY(AB$6,1)=1,0,MIN(IF('_JobDays'!S3,8,10),AB65)*AB64)),MAX(0,40*MAX(1,AB64)-(X66+Y66+Z66+AA66))),MIN(IF(OR(AB64&lt;=0,NOT('_JobDays'!S2)),0,IF(WEEKDAY(AB$6,1)=1,0,IF(WEEKDAY(AB$6,1)=7,0,IF('_JobDays'!S4,MIN(8,AB65)*AB64,AB64*AB65)))),MAX(0,40*MAX(1,AB64)-(X66+Y66+Z66+AA66)))))</f>
        <v>8</v>
      </c>
      <c r="AC66" s="63">
        <f>IF(AND(AC64=1,AC65=12,E63="Auto",B63="Pipefitter General Foreman",AND('Job setup'!$B$9="ON",'Job setup'!$C$9&lt;=AC$6,'Job setup'!$D$9&gt;=AC$6,'Job setup'!$G$9="NO")),0,IF(OS63,MIN(IF(OR(AC64&lt;=0,NOT('_JobDays'!T2)),0,IF(WEEKDAY(AC$6,1)=1,0,MIN(IF('_JobDays'!T3,8,10),AC65)*AC64)),MAX(0,40*MAX(1,AC64)-(X66+Y66+Z66+AA66+AB66))),MIN(IF(OR(AC64&lt;=0,NOT('_JobDays'!T2)),0,IF(WEEKDAY(AC$6,1)=1,0,IF(WEEKDAY(AC$6,1)=7,0,IF('_JobDays'!T4,MIN(8,AC65)*AC64,AC64*AC65)))),MAX(0,40*MAX(1,AC64)-(X66+Y66+Z66+AA66+AB66)))))</f>
        <v>0</v>
      </c>
      <c r="AD66" s="63">
        <f>IF(AND(AD64=1,AD65=12,E63="Auto",B63="Pipefitter General Foreman",AND('Job setup'!$B$9="ON",'Job setup'!$C$9&lt;=AD$6,'Job setup'!$D$9&gt;=AD$6,'Job setup'!$G$9="NO")),0,IF(OS63,MIN(IF(OR(AD64&lt;=0,NOT('_JobDays'!U2)),0,IF(WEEKDAY(AD$6,1)=1,0,MIN(IF('_JobDays'!U3,8,10),AD65)*AD64)),MAX(0,40*MAX(1,AD64)-(X66+Y66+Z66+AA66+AB66+AC66))),MIN(IF(OR(AD64&lt;=0,NOT('_JobDays'!U2)),0,IF(WEEKDAY(AD$6,1)=1,0,IF(WEEKDAY(AD$6,1)=7,0,IF('_JobDays'!U4,MIN(8,AD65)*AD64,AD64*AD65)))),MAX(0,40*MAX(1,AD64)-(X66+Y66+Z66+AA66+AB66+AC66)))))</f>
        <v>0</v>
      </c>
      <c r="AE66" s="62">
        <f>IF(AND(AE64=1,AE65=12,E63="Auto",B63="Pipefitter General Foreman",AND('Job setup'!$B$9="ON",'Job setup'!$C$9&lt;=AE$6,'Job setup'!$D$9&gt;=AE$6,'Job setup'!$G$9="NO")),8,IF(OS63,MIN(IF(OR(AE64&lt;=0,NOT('_JobDays'!V2)),0,IF(WEEKDAY(AE$6,1)=1,0,MIN(IF('_JobDays'!V3,8,10),AE65)*AE64)),MAX(0,40*MAX(1,AE64)-(0))),MIN(IF(OR(AE64&lt;=0,NOT('_JobDays'!V2)),0,IF(WEEKDAY(AE$6,1)=1,0,IF(WEEKDAY(AE$6,1)=7,0,IF('_JobDays'!V4,MIN(8,AE65)*AE64,AE64*AE65)))),MAX(0,40*MAX(1,AE64)-(0)))))</f>
        <v>8</v>
      </c>
      <c r="AF66" s="62">
        <f>IF(AND(AF64=1,AF65=12,E63="Auto",B63="Pipefitter General Foreman",AND('Job setup'!$B$9="ON",'Job setup'!$C$9&lt;=AF$6,'Job setup'!$D$9&gt;=AF$6,'Job setup'!$G$9="NO")),8,IF(OS63,MIN(IF(OR(AF64&lt;=0,NOT('_JobDays'!W2)),0,IF(WEEKDAY(AF$6,1)=1,0,MIN(IF('_JobDays'!W3,8,10),AF65)*AF64)),MAX(0,40*MAX(1,AF64)-(AE66))),MIN(IF(OR(AF64&lt;=0,NOT('_JobDays'!W2)),0,IF(WEEKDAY(AF$6,1)=1,0,IF(WEEKDAY(AF$6,1)=7,0,IF('_JobDays'!W4,MIN(8,AF65)*AF64,AF64*AF65)))),MAX(0,40*MAX(1,AF64)-(AE66)))))</f>
        <v>8</v>
      </c>
      <c r="AG66" s="62">
        <f>IF(AND(AG64=1,AG65=12,E63="Auto",B63="Pipefitter General Foreman",AND('Job setup'!$B$9="ON",'Job setup'!$C$9&lt;=AG$6,'Job setup'!$D$9&gt;=AG$6,'Job setup'!$G$9="NO")),8,IF(OS63,MIN(IF(OR(AG64&lt;=0,NOT('_JobDays'!X2)),0,IF(WEEKDAY(AG$6,1)=1,0,MIN(IF('_JobDays'!X3,8,10),AG65)*AG64)),MAX(0,40*MAX(1,AG64)-(AE66+AF66))),MIN(IF(OR(AG64&lt;=0,NOT('_JobDays'!X2)),0,IF(WEEKDAY(AG$6,1)=1,0,IF(WEEKDAY(AG$6,1)=7,0,IF('_JobDays'!X4,MIN(8,AG65)*AG64,AG64*AG65)))),MAX(0,40*MAX(1,AG64)-(AE66+AF66)))))</f>
        <v>8</v>
      </c>
      <c r="AH66" s="62">
        <f>IF(AND(AH64=0,AH65=0,E63="Auto",B63="Pipefitter General Foreman",AND('Job setup'!$B$11="ON",'Job setup'!$C$11&lt;=AH$6,'Job setup'!$D$11&gt;=AH$6,'Job setup'!$G$11="YES")),0,IF(OS63,MIN(IF(OR(AH64&lt;=0,NOT('_JobDays'!Y2)),0,IF(WEEKDAY(AH$6,1)=1,0,MIN(IF('_JobDays'!Y3,8,10),AH65)*AH64)),MAX(0,40*MAX(1,AH64)-(AE66+AF66+AG66))),MIN(IF(OR(AH64&lt;=0,NOT('_JobDays'!Y2)),0,IF(WEEKDAY(AH$6,1)=1,0,IF(WEEKDAY(AH$6,1)=7,0,IF('_JobDays'!Y4,MIN(8,AH65)*AH64,AH64*AH65)))),MAX(0,40*MAX(1,AH64)-(AE66+AF66+AG66)))))</f>
        <v>0</v>
      </c>
      <c r="AI66" s="62">
        <f>IF(AND(AI64=0,AI65=0,E63="Auto",B63="Pipefitter General Foreman",AND('Job setup'!$B$11="ON",'Job setup'!$C$11&lt;=AI$6,'Job setup'!$D$11&gt;=AI$6,'Job setup'!$G$11="YES")),0,IF(OS63,MIN(IF(OR(AI64&lt;=0,NOT('_JobDays'!Z2)),0,IF(WEEKDAY(AI$6,1)=1,0,MIN(IF('_JobDays'!Z3,8,10),AI65)*AI64)),MAX(0,40*MAX(1,AI64)-(AE66+AF66+AG66+AH66))),MIN(IF(OR(AI64&lt;=0,NOT('_JobDays'!Z2)),0,IF(WEEKDAY(AI$6,1)=1,0,IF(WEEKDAY(AI$6,1)=7,0,IF('_JobDays'!Z4,MIN(8,AI65)*AI64,AI64*AI65)))),MAX(0,40*MAX(1,AI64)-(AE66+AF66+AG66+AH66)))))</f>
        <v>0</v>
      </c>
      <c r="AJ66" s="63">
        <f>IF(AND(AJ64=0,AJ65=0,E63="Auto",B63="Pipefitter General Foreman",AND('Job setup'!$B$11="ON",'Job setup'!$C$11&lt;=AJ$6,'Job setup'!$D$11&gt;=AJ$6,'Job setup'!$G$11="YES")),0,IF(OS63,MIN(IF(OR(AJ64&lt;=0,NOT('_JobDays'!AA2)),0,IF(WEEKDAY(AJ$6,1)=1,0,MIN(IF('_JobDays'!AA3,8,10),AJ65)*AJ64)),MAX(0,40*MAX(1,AJ64)-(AE66+AF66+AG66+AH66+AI66))),MIN(IF(OR(AJ64&lt;=0,NOT('_JobDays'!AA2)),0,IF(WEEKDAY(AJ$6,1)=1,0,IF(WEEKDAY(AJ$6,1)=7,0,IF('_JobDays'!AA4,MIN(8,AJ65)*AJ64,AJ64*AJ65)))),MAX(0,40*MAX(1,AJ64)-(AE66+AF66+AG66+AH66+AI66)))))</f>
        <v>0</v>
      </c>
      <c r="AK66" s="63">
        <f>IF(AND(AK64=0,AK65=0,E63="Auto",B63="Pipefitter General Foreman",AND('Job setup'!$B$11="ON",'Job setup'!$C$11&lt;=AK$6,'Job setup'!$D$11&gt;=AK$6,'Job setup'!$G$11="YES")),0,IF(OS63,MIN(IF(OR(AK64&lt;=0,NOT('_JobDays'!AB2)),0,IF(WEEKDAY(AK$6,1)=1,0,MIN(IF('_JobDays'!AB3,8,10),AK65)*AK64)),MAX(0,40*MAX(1,AK64)-(AE66+AF66+AG66+AH66+AI66+AJ66))),MIN(IF(OR(AK64&lt;=0,NOT('_JobDays'!AB2)),0,IF(WEEKDAY(AK$6,1)=1,0,IF(WEEKDAY(AK$6,1)=7,0,IF('_JobDays'!AB4,MIN(8,AK65)*AK64,AK64*AK65)))),MAX(0,40*MAX(1,AK64)-(AE66+AF66+AG66+AH66+AI66+AJ66)))))</f>
        <v>0</v>
      </c>
      <c r="AL66" s="62">
        <f>IF(AND(AL64=0,AL65=0,E63="Auto",B63="Pipefitter General Foreman",AND('Job setup'!$B$11="ON",'Job setup'!$C$11&lt;=AL$6,'Job setup'!$D$11&gt;=AL$6,'Job setup'!$G$11="YES")),0,IF(OS63,MIN(IF(OR(AL64&lt;=0,NOT('_JobDays'!AC2)),0,IF(WEEKDAY(AL$6,1)=1,0,MIN(IF('_JobDays'!AC3,8,10),AL65)*AL64)),MAX(0,40*MAX(1,AL64)-(0))),MIN(IF(OR(AL64&lt;=0,NOT('_JobDays'!AC2)),0,IF(WEEKDAY(AL$6,1)=1,0,IF(WEEKDAY(AL$6,1)=7,0,IF('_JobDays'!AC4,MIN(8,AL65)*AL64,AL64*AL65)))),MAX(0,40*MAX(1,AL64)-(0)))))</f>
        <v>0</v>
      </c>
      <c r="AM66" s="62">
        <f>IF(AND(AM64=0,AM65=0,E63="Auto",B63="Pipefitter General Foreman",AND('Job setup'!$B$11="ON",'Job setup'!$C$11&lt;=AM$6,'Job setup'!$D$11&gt;=AM$6,'Job setup'!$G$11="YES")),0,IF(OS63,MIN(IF(OR(AM64&lt;=0,NOT('_JobDays'!AD2)),0,IF(WEEKDAY(AM$6,1)=1,0,MIN(IF('_JobDays'!AD3,8,10),AM65)*AM64)),MAX(0,40*MAX(1,AM64)-(AL66))),MIN(IF(OR(AM64&lt;=0,NOT('_JobDays'!AD2)),0,IF(WEEKDAY(AM$6,1)=1,0,IF(WEEKDAY(AM$6,1)=7,0,IF('_JobDays'!AD4,MIN(8,AM65)*AM64,AM64*AM65)))),MAX(0,40*MAX(1,AM64)-(AL66)))))</f>
        <v>0</v>
      </c>
      <c r="AN66" s="62">
        <f>IF(AND(AN64=0,AN65=0,E63="Auto",B63="Pipefitter General Foreman",AND('Job setup'!$B$11="ON",'Job setup'!$C$11&lt;=AN$6,'Job setup'!$D$11&gt;=AN$6,'Job setup'!$G$11="YES")),0,IF(OS63,MIN(IF(OR(AN64&lt;=0,NOT('_JobDays'!AE2)),0,IF(WEEKDAY(AN$6,1)=1,0,MIN(IF('_JobDays'!AE3,8,10),AN65)*AN64)),MAX(0,40*MAX(1,AN64)-(AL66+AM66))),MIN(IF(OR(AN64&lt;=0,NOT('_JobDays'!AE2)),0,IF(WEEKDAY(AN$6,1)=1,0,IF(WEEKDAY(AN$6,1)=7,0,IF('_JobDays'!AE4,MIN(8,AN65)*AN64,AN64*AN65)))),MAX(0,40*MAX(1,AN64)-(AL66+AM66)))))</f>
        <v>0</v>
      </c>
      <c r="AO66" s="64">
        <f>IF(AND(AO64=0,AO65=0,E63="Auto",B63="Pipefitter General Foreman",AND('Job setup'!$B$11="ON",'Job setup'!$C$11&lt;=AO$6,'Job setup'!$D$11&gt;=AO$6,'Job setup'!$G$11="YES")),0,IF(OS63,MIN(IF(OR(AO64&lt;=0,NOT('_JobDays'!AF2)),0,IF(WEEKDAY(AO$6,1)=1,0,MIN(IF('_JobDays'!AF3,8,10),AO65)*AO64)),MAX(0,40*MAX(1,AO64)-(AL66+AM66+AN66))),MIN(IF(OR(AO64&lt;=0,NOT('_JobDays'!AF2)),0,IF(WEEKDAY(AO$6,1)=1,0,IF(WEEKDAY(AO$6,1)=7,0,IF('_JobDays'!AF4,MIN(8,AO65)*AO64,AO64*AO65)))),MAX(0,40*MAX(1,AO64)-(AL66+AM66+AN66)))))</f>
        <v>0</v>
      </c>
      <c r="OT66" s="28" t="s">
        <v>74</v>
      </c>
    </row>
    <row r="67" ht="16" customHeight="1" spans="1:410" x14ac:dyDescent="0.25">
      <c r="A67" s="73"/>
      <c r="B67" s="44"/>
      <c r="C67" s="65">
        <f>G63*N(D67)</f>
        <v>10003.84</v>
      </c>
      <c r="D67" s="65">
        <f>IF(TRIM(B63)="","No rate",IFERROR(INDEX('Rate Tables'!D$7:D$161,MATCH(B63,'Rate Tables'!A$7:A$161,0)),"No rate"))</f>
        <v>156.31</v>
      </c>
      <c r="E67" s="54" t="s">
        <v>61</v>
      </c>
      <c r="F67" s="48"/>
      <c r="G67" s="48"/>
      <c r="H67" s="48"/>
      <c r="I67" s="49"/>
      <c r="J67" s="61">
        <f>IF(AND(J64=1,J65=8,E63="Auto",B63="Pipefitter General Foreman",AND('Job setup'!$B$7="ON",'Job setup'!$C$7&lt;=J$6,'Job setup'!$D$7&gt;=J$6,'Job setup'!$G$7="YES")),0,IF(OS63,IF(OR(J64&lt;=0,NOT('_JobDays'!A2)),0,IF(WEEKDAY(J$6,1)=1,0,MAX(0,J65-(IF('_JobDays'!A3,8,10)))*J64))+((IF(OR(J64&lt;=0,NOT('_JobDays'!A2)),0,IF(WEEKDAY(J$6,1)=1,0,MIN(IF('_JobDays'!A3,8,10),J65)*J64)))-MIN(IF(OR(J64&lt;=0,NOT('_JobDays'!A2)),0,IF(WEEKDAY(J$6,1)=1,0,MIN(IF('_JobDays'!A3,8,10),J65)*J64)),MAX(0,40*MAX(1,J64)-(0)))),IF(OR(J64&lt;=0,NOT('_JobDays'!A2)),0,IF(WEEKDAY(J$6,1)=1,0,IF(WEEKDAY(J$6,1)=7,J64*J65,IF('_JobDays'!A4,MAX(0,J65-8)*J64,0))))+((IF(OR(J64&lt;=0,NOT('_JobDays'!A2)),0,IF(WEEKDAY(J$6,1)=1,0,IF(WEEKDAY(J$6,1)=7,0,IF('_JobDays'!A4,MIN(8,J65)*J64,J64*J65)))))-MIN(IF(OR(J64&lt;=0,NOT('_JobDays'!A2)),0,IF(WEEKDAY(J$6,1)=1,0,IF(WEEKDAY(J$6,1)=7,0,IF('_JobDays'!A4,MIN(8,J65)*J64,J64*J65)))),MAX(0,40*MAX(1,J64)-(0))))))</f>
        <v>0</v>
      </c>
      <c r="K67" s="62">
        <f>IF(AND(K64=1,K65=8,E63="Auto",B63="Pipefitter General Foreman",AND('Job setup'!$B$7="ON",'Job setup'!$C$7&lt;=K$6,'Job setup'!$D$7&gt;=K$6,'Job setup'!$G$7="YES")),0,IF(OS63,IF(OR(K64&lt;=0,NOT('_JobDays'!B2)),0,IF(WEEKDAY(K$6,1)=1,0,MAX(0,K65-(IF('_JobDays'!B3,8,10)))*K64))+((IF(OR(K64&lt;=0,NOT('_JobDays'!B2)),0,IF(WEEKDAY(K$6,1)=1,0,MIN(IF('_JobDays'!B3,8,10),K65)*K64)))-MIN(IF(OR(K64&lt;=0,NOT('_JobDays'!B2)),0,IF(WEEKDAY(K$6,1)=1,0,MIN(IF('_JobDays'!B3,8,10),K65)*K64)),MAX(0,40*MAX(1,K64)-(J66)))),IF(OR(K64&lt;=0,NOT('_JobDays'!B2)),0,IF(WEEKDAY(K$6,1)=1,0,IF(WEEKDAY(K$6,1)=7,K64*K65,IF('_JobDays'!B4,MAX(0,K65-8)*K64,0))))+((IF(OR(K64&lt;=0,NOT('_JobDays'!B2)),0,IF(WEEKDAY(K$6,1)=1,0,IF(WEEKDAY(K$6,1)=7,0,IF('_JobDays'!B4,MIN(8,K65)*K64,K64*K65)))))-MIN(IF(OR(K64&lt;=0,NOT('_JobDays'!B2)),0,IF(WEEKDAY(K$6,1)=1,0,IF(WEEKDAY(K$6,1)=7,0,IF('_JobDays'!B4,MIN(8,K65)*K64,K64*K65)))),MAX(0,40*MAX(1,K64)-(J66))))))</f>
        <v>0</v>
      </c>
      <c r="L67" s="62">
        <f>IF(AND(L64=1,L65=8,E63="Auto",B63="Pipefitter General Foreman",AND('Job setup'!$B$7="ON",'Job setup'!$C$7&lt;=L$6,'Job setup'!$D$7&gt;=L$6,'Job setup'!$G$7="YES")),0,IF(OS63,IF(OR(L64&lt;=0,NOT('_JobDays'!C2)),0,IF(WEEKDAY(L$6,1)=1,0,MAX(0,L65-(IF('_JobDays'!C3,8,10)))*L64))+((IF(OR(L64&lt;=0,NOT('_JobDays'!C2)),0,IF(WEEKDAY(L$6,1)=1,0,MIN(IF('_JobDays'!C3,8,10),L65)*L64)))-MIN(IF(OR(L64&lt;=0,NOT('_JobDays'!C2)),0,IF(WEEKDAY(L$6,1)=1,0,MIN(IF('_JobDays'!C3,8,10),L65)*L64)),MAX(0,40*MAX(1,L64)-(J66+K66)))),IF(OR(L64&lt;=0,NOT('_JobDays'!C2)),0,IF(WEEKDAY(L$6,1)=1,0,IF(WEEKDAY(L$6,1)=7,L64*L65,IF('_JobDays'!C4,MAX(0,L65-8)*L64,0))))+((IF(OR(L64&lt;=0,NOT('_JobDays'!C2)),0,IF(WEEKDAY(L$6,1)=1,0,IF(WEEKDAY(L$6,1)=7,0,IF('_JobDays'!C4,MIN(8,L65)*L64,L64*L65)))))-MIN(IF(OR(L64&lt;=0,NOT('_JobDays'!C2)),0,IF(WEEKDAY(L$6,1)=1,0,IF(WEEKDAY(L$6,1)=7,0,IF('_JobDays'!C4,MIN(8,L65)*L64,L64*L65)))),MAX(0,40*MAX(1,L64)-(J66+K66))))))</f>
        <v>0</v>
      </c>
      <c r="M67" s="62">
        <f>IF(AND(M64=1,M65=8,E63="Auto",B63="Pipefitter General Foreman",AND('Job setup'!$B$7="ON",'Job setup'!$C$7&lt;=M$6,'Job setup'!$D$7&gt;=M$6,'Job setup'!$G$7="YES")),0,IF(OS63,IF(OR(M64&lt;=0,NOT('_JobDays'!D2)),0,IF(WEEKDAY(M$6,1)=1,0,MAX(0,M65-(IF('_JobDays'!D3,8,10)))*M64))+((IF(OR(M64&lt;=0,NOT('_JobDays'!D2)),0,IF(WEEKDAY(M$6,1)=1,0,MIN(IF('_JobDays'!D3,8,10),M65)*M64)))-MIN(IF(OR(M64&lt;=0,NOT('_JobDays'!D2)),0,IF(WEEKDAY(M$6,1)=1,0,MIN(IF('_JobDays'!D3,8,10),M65)*M64)),MAX(0,40*MAX(1,M64)-(J66+K66+L66)))),IF(OR(M64&lt;=0,NOT('_JobDays'!D2)),0,IF(WEEKDAY(M$6,1)=1,0,IF(WEEKDAY(M$6,1)=7,M64*M65,IF('_JobDays'!D4,MAX(0,M65-8)*M64,0))))+((IF(OR(M64&lt;=0,NOT('_JobDays'!D2)),0,IF(WEEKDAY(M$6,1)=1,0,IF(WEEKDAY(M$6,1)=7,0,IF('_JobDays'!D4,MIN(8,M65)*M64,M64*M65)))))-MIN(IF(OR(M64&lt;=0,NOT('_JobDays'!D2)),0,IF(WEEKDAY(M$6,1)=1,0,IF(WEEKDAY(M$6,1)=7,0,IF('_JobDays'!D4,MIN(8,M65)*M64,M64*M65)))),MAX(0,40*MAX(1,M64)-(J66+K66+L66))))))</f>
        <v>0</v>
      </c>
      <c r="N67" s="62">
        <f>IF(AND(N64=1,N65=8,E63="Auto",B63="Pipefitter General Foreman",AND('Job setup'!$B$7="ON",'Job setup'!$C$7&lt;=N$6,'Job setup'!$D$7&gt;=N$6,'Job setup'!$G$7="YES")),0,IF(OS63,IF(OR(N64&lt;=0,NOT('_JobDays'!E2)),0,IF(WEEKDAY(N$6,1)=1,0,MAX(0,N65-(IF('_JobDays'!E3,8,10)))*N64))+((IF(OR(N64&lt;=0,NOT('_JobDays'!E2)),0,IF(WEEKDAY(N$6,1)=1,0,MIN(IF('_JobDays'!E3,8,10),N65)*N64)))-MIN(IF(OR(N64&lt;=0,NOT('_JobDays'!E2)),0,IF(WEEKDAY(N$6,1)=1,0,MIN(IF('_JobDays'!E3,8,10),N65)*N64)),MAX(0,40*MAX(1,N64)-(J66+K66+L66+M66)))),IF(OR(N64&lt;=0,NOT('_JobDays'!E2)),0,IF(WEEKDAY(N$6,1)=1,0,IF(WEEKDAY(N$6,1)=7,N64*N65,IF('_JobDays'!E4,MAX(0,N65-8)*N64,0))))+((IF(OR(N64&lt;=0,NOT('_JobDays'!E2)),0,IF(WEEKDAY(N$6,1)=1,0,IF(WEEKDAY(N$6,1)=7,0,IF('_JobDays'!E4,MIN(8,N65)*N64,N64*N65)))))-MIN(IF(OR(N64&lt;=0,NOT('_JobDays'!E2)),0,IF(WEEKDAY(N$6,1)=1,0,IF(WEEKDAY(N$6,1)=7,0,IF('_JobDays'!E4,MIN(8,N65)*N64,N64*N65)))),MAX(0,40*MAX(1,N64)-(J66+K66+L66+M66))))))</f>
        <v>0</v>
      </c>
      <c r="O67" s="63">
        <f>IF(AND(O64=0,O65=0,E63="Auto",B63="Pipefitter General Foreman",AND('Job setup'!$B$7="ON",'Job setup'!$C$7&lt;=O$6,'Job setup'!$D$7&gt;=O$6,'Job setup'!$G$7="YES")),0,IF(OS63,IF(OR(O64&lt;=0,NOT('_JobDays'!F2)),0,IF(WEEKDAY(O$6,1)=1,0,MAX(0,O65-(IF('_JobDays'!F3,8,10)))*O64))+((IF(OR(O64&lt;=0,NOT('_JobDays'!F2)),0,IF(WEEKDAY(O$6,1)=1,0,MIN(IF('_JobDays'!F3,8,10),O65)*O64)))-MIN(IF(OR(O64&lt;=0,NOT('_JobDays'!F2)),0,IF(WEEKDAY(O$6,1)=1,0,MIN(IF('_JobDays'!F3,8,10),O65)*O64)),MAX(0,40*MAX(1,O64)-(J66+K66+L66+M66+N66)))),IF(OR(O64&lt;=0,NOT('_JobDays'!F2)),0,IF(WEEKDAY(O$6,1)=1,0,IF(WEEKDAY(O$6,1)=7,O64*O65,IF('_JobDays'!F4,MAX(0,O65-8)*O64,0))))+((IF(OR(O64&lt;=0,NOT('_JobDays'!F2)),0,IF(WEEKDAY(O$6,1)=1,0,IF(WEEKDAY(O$6,1)=7,0,IF('_JobDays'!F4,MIN(8,O65)*O64,O64*O65)))))-MIN(IF(OR(O64&lt;=0,NOT('_JobDays'!F2)),0,IF(WEEKDAY(O$6,1)=1,0,IF(WEEKDAY(O$6,1)=7,0,IF('_JobDays'!F4,MIN(8,O65)*O64,O64*O65)))),MAX(0,40*MAX(1,O64)-(J66+K66+L66+M66+N66))))))</f>
        <v>0</v>
      </c>
      <c r="P67" s="63">
        <f>IF(AND(P64=0,P65=0,E63="Auto",B63="Pipefitter General Foreman",AND('Job setup'!$B$7="ON",'Job setup'!$C$7&lt;=P$6,'Job setup'!$D$7&gt;=P$6,'Job setup'!$G$7="YES")),0,IF(OS63,IF(OR(P64&lt;=0,NOT('_JobDays'!G2)),0,IF(WEEKDAY(P$6,1)=1,0,MAX(0,P65-(IF('_JobDays'!G3,8,10)))*P64))+((IF(OR(P64&lt;=0,NOT('_JobDays'!G2)),0,IF(WEEKDAY(P$6,1)=1,0,MIN(IF('_JobDays'!G3,8,10),P65)*P64)))-MIN(IF(OR(P64&lt;=0,NOT('_JobDays'!G2)),0,IF(WEEKDAY(P$6,1)=1,0,MIN(IF('_JobDays'!G3,8,10),P65)*P64)),MAX(0,40*MAX(1,P64)-(J66+K66+L66+M66+N66+O66)))),IF(OR(P64&lt;=0,NOT('_JobDays'!G2)),0,IF(WEEKDAY(P$6,1)=1,0,IF(WEEKDAY(P$6,1)=7,P64*P65,IF('_JobDays'!G4,MAX(0,P65-8)*P64,0))))+((IF(OR(P64&lt;=0,NOT('_JobDays'!G2)),0,IF(WEEKDAY(P$6,1)=1,0,IF(WEEKDAY(P$6,1)=7,0,IF('_JobDays'!G4,MIN(8,P65)*P64,P64*P65)))))-MIN(IF(OR(P64&lt;=0,NOT('_JobDays'!G2)),0,IF(WEEKDAY(P$6,1)=1,0,IF(WEEKDAY(P$6,1)=7,0,IF('_JobDays'!G4,MIN(8,P65)*P64,P64*P65)))),MAX(0,40*MAX(1,P64)-(J66+K66+L66+M66+N66+O66))))))</f>
        <v>0</v>
      </c>
      <c r="Q67" s="62">
        <f>IF(AND(Q64=1,Q65=8,E63="Auto",B63="Pipefitter General Foreman",AND('Job setup'!$B$7="ON",'Job setup'!$C$7&lt;=Q$6,'Job setup'!$D$7&gt;=Q$6,'Job setup'!$G$7="YES")),0,IF(OS63,IF(OR(Q64&lt;=0,NOT('_JobDays'!H2)),0,IF(WEEKDAY(Q$6,1)=1,0,MAX(0,Q65-(IF('_JobDays'!H3,8,10)))*Q64))+((IF(OR(Q64&lt;=0,NOT('_JobDays'!H2)),0,IF(WEEKDAY(Q$6,1)=1,0,MIN(IF('_JobDays'!H3,8,10),Q65)*Q64)))-MIN(IF(OR(Q64&lt;=0,NOT('_JobDays'!H2)),0,IF(WEEKDAY(Q$6,1)=1,0,MIN(IF('_JobDays'!H3,8,10),Q65)*Q64)),MAX(0,40*MAX(1,Q64)-(0)))),IF(OR(Q64&lt;=0,NOT('_JobDays'!H2)),0,IF(WEEKDAY(Q$6,1)=1,0,IF(WEEKDAY(Q$6,1)=7,Q64*Q65,IF('_JobDays'!H4,MAX(0,Q65-8)*Q64,0))))+((IF(OR(Q64&lt;=0,NOT('_JobDays'!H2)),0,IF(WEEKDAY(Q$6,1)=1,0,IF(WEEKDAY(Q$6,1)=7,0,IF('_JobDays'!H4,MIN(8,Q65)*Q64,Q64*Q65)))))-MIN(IF(OR(Q64&lt;=0,NOT('_JobDays'!H2)),0,IF(WEEKDAY(Q$6,1)=1,0,IF(WEEKDAY(Q$6,1)=7,0,IF('_JobDays'!H4,MIN(8,Q65)*Q64,Q64*Q65)))),MAX(0,40*MAX(1,Q64)-(0))))))</f>
        <v>0</v>
      </c>
      <c r="R67" s="62">
        <f>IF(AND(R64=1,R65=8,E63="Auto",B63="Pipefitter General Foreman",AND('Job setup'!$B$7="ON",'Job setup'!$C$7&lt;=R$6,'Job setup'!$D$7&gt;=R$6,'Job setup'!$G$7="YES")),0,IF(OS63,IF(OR(R64&lt;=0,NOT('_JobDays'!I2)),0,IF(WEEKDAY(R$6,1)=1,0,MAX(0,R65-(IF('_JobDays'!I3,8,10)))*R64))+((IF(OR(R64&lt;=0,NOT('_JobDays'!I2)),0,IF(WEEKDAY(R$6,1)=1,0,MIN(IF('_JobDays'!I3,8,10),R65)*R64)))-MIN(IF(OR(R64&lt;=0,NOT('_JobDays'!I2)),0,IF(WEEKDAY(R$6,1)=1,0,MIN(IF('_JobDays'!I3,8,10),R65)*R64)),MAX(0,40*MAX(1,R64)-(Q66)))),IF(OR(R64&lt;=0,NOT('_JobDays'!I2)),0,IF(WEEKDAY(R$6,1)=1,0,IF(WEEKDAY(R$6,1)=7,R64*R65,IF('_JobDays'!I4,MAX(0,R65-8)*R64,0))))+((IF(OR(R64&lt;=0,NOT('_JobDays'!I2)),0,IF(WEEKDAY(R$6,1)=1,0,IF(WEEKDAY(R$6,1)=7,0,IF('_JobDays'!I4,MIN(8,R65)*R64,R64*R65)))))-MIN(IF(OR(R64&lt;=0,NOT('_JobDays'!I2)),0,IF(WEEKDAY(R$6,1)=1,0,IF(WEEKDAY(R$6,1)=7,0,IF('_JobDays'!I4,MIN(8,R65)*R64,R64*R65)))),MAX(0,40*MAX(1,R64)-(Q66))))))</f>
        <v>0</v>
      </c>
      <c r="S67" s="62">
        <f>IF(AND(S64=1,S65=8,E63="Auto",B63="Pipefitter General Foreman",AND('Job setup'!$B$7="ON",'Job setup'!$C$7&lt;=S$6,'Job setup'!$D$7&gt;=S$6,'Job setup'!$G$7="YES")),0,IF(OS63,IF(OR(S64&lt;=0,NOT('_JobDays'!J2)),0,IF(WEEKDAY(S$6,1)=1,0,MAX(0,S65-(IF('_JobDays'!J3,8,10)))*S64))+((IF(OR(S64&lt;=0,NOT('_JobDays'!J2)),0,IF(WEEKDAY(S$6,1)=1,0,MIN(IF('_JobDays'!J3,8,10),S65)*S64)))-MIN(IF(OR(S64&lt;=0,NOT('_JobDays'!J2)),0,IF(WEEKDAY(S$6,1)=1,0,MIN(IF('_JobDays'!J3,8,10),S65)*S64)),MAX(0,40*MAX(1,S64)-(Q66+R66)))),IF(OR(S64&lt;=0,NOT('_JobDays'!J2)),0,IF(WEEKDAY(S$6,1)=1,0,IF(WEEKDAY(S$6,1)=7,S64*S65,IF('_JobDays'!J4,MAX(0,S65-8)*S64,0))))+((IF(OR(S64&lt;=0,NOT('_JobDays'!J2)),0,IF(WEEKDAY(S$6,1)=1,0,IF(WEEKDAY(S$6,1)=7,0,IF('_JobDays'!J4,MIN(8,S65)*S64,S64*S65)))))-MIN(IF(OR(S64&lt;=0,NOT('_JobDays'!J2)),0,IF(WEEKDAY(S$6,1)=1,0,IF(WEEKDAY(S$6,1)=7,0,IF('_JobDays'!J4,MIN(8,S65)*S64,S64*S65)))),MAX(0,40*MAX(1,S64)-(Q66+R66))))))</f>
        <v>0</v>
      </c>
      <c r="T67" s="62">
        <f>IF(AND(T64=1,T65=12,E63="Auto",B63="Pipefitter General Foreman",AND('Job setup'!$B$9="ON",'Job setup'!$C$9&lt;=T$6,'Job setup'!$D$9&gt;=T$6,'Job setup'!$G$9="NO")),4,IF(OS63,IF(OR(T64&lt;=0,NOT('_JobDays'!K2)),0,IF(WEEKDAY(T$6,1)=1,0,MAX(0,T65-(IF('_JobDays'!K3,8,10)))*T64))+((IF(OR(T64&lt;=0,NOT('_JobDays'!K2)),0,IF(WEEKDAY(T$6,1)=1,0,MIN(IF('_JobDays'!K3,8,10),T65)*T64)))-MIN(IF(OR(T64&lt;=0,NOT('_JobDays'!K2)),0,IF(WEEKDAY(T$6,1)=1,0,MIN(IF('_JobDays'!K3,8,10),T65)*T64)),MAX(0,40*MAX(1,T64)-(Q66+R66+S66)))),IF(OR(T64&lt;=0,NOT('_JobDays'!K2)),0,IF(WEEKDAY(T$6,1)=1,0,IF(WEEKDAY(T$6,1)=7,T64*T65,IF('_JobDays'!K4,MAX(0,T65-8)*T64,0))))+((IF(OR(T64&lt;=0,NOT('_JobDays'!K2)),0,IF(WEEKDAY(T$6,1)=1,0,IF(WEEKDAY(T$6,1)=7,0,IF('_JobDays'!K4,MIN(8,T65)*T64,T64*T65)))))-MIN(IF(OR(T64&lt;=0,NOT('_JobDays'!K2)),0,IF(WEEKDAY(T$6,1)=1,0,IF(WEEKDAY(T$6,1)=7,0,IF('_JobDays'!K4,MIN(8,T65)*T64,T64*T65)))),MAX(0,40*MAX(1,T64)-(Q66+R66+S66))))))</f>
        <v>4</v>
      </c>
      <c r="U67" s="62">
        <f>IF(AND(U64=1,U65=12,E63="Auto",B63="Pipefitter General Foreman",AND('Job setup'!$B$9="ON",'Job setup'!$C$9&lt;=U$6,'Job setup'!$D$9&gt;=U$6,'Job setup'!$G$9="NO")),4,IF(OS63,IF(OR(U64&lt;=0,NOT('_JobDays'!L2)),0,IF(WEEKDAY(U$6,1)=1,0,MAX(0,U65-(IF('_JobDays'!L3,8,10)))*U64))+((IF(OR(U64&lt;=0,NOT('_JobDays'!L2)),0,IF(WEEKDAY(U$6,1)=1,0,MIN(IF('_JobDays'!L3,8,10),U65)*U64)))-MIN(IF(OR(U64&lt;=0,NOT('_JobDays'!L2)),0,IF(WEEKDAY(U$6,1)=1,0,MIN(IF('_JobDays'!L3,8,10),U65)*U64)),MAX(0,40*MAX(1,U64)-(Q66+R66+S66+T66)))),IF(OR(U64&lt;=0,NOT('_JobDays'!L2)),0,IF(WEEKDAY(U$6,1)=1,0,IF(WEEKDAY(U$6,1)=7,U64*U65,IF('_JobDays'!L4,MAX(0,U65-8)*U64,0))))+((IF(OR(U64&lt;=0,NOT('_JobDays'!L2)),0,IF(WEEKDAY(U$6,1)=1,0,IF(WEEKDAY(U$6,1)=7,0,IF('_JobDays'!L4,MIN(8,U65)*U64,U64*U65)))))-MIN(IF(OR(U64&lt;=0,NOT('_JobDays'!L2)),0,IF(WEEKDAY(U$6,1)=1,0,IF(WEEKDAY(U$6,1)=7,0,IF('_JobDays'!L4,MIN(8,U65)*U64,U64*U65)))),MAX(0,40*MAX(1,U64)-(Q66+R66+S66+T66))))))</f>
        <v>4</v>
      </c>
      <c r="V67" s="63">
        <f>IF(AND(V64=1,V65=12,E63="Auto",B63="Pipefitter General Foreman",AND('Job setup'!$B$9="ON",'Job setup'!$C$9&lt;=V$6,'Job setup'!$D$9&gt;=V$6,'Job setup'!$G$9="NO")),12,IF(OS63,IF(OR(V64&lt;=0,NOT('_JobDays'!M2)),0,IF(WEEKDAY(V$6,1)=1,0,MAX(0,V65-(IF('_JobDays'!M3,8,10)))*V64))+((IF(OR(V64&lt;=0,NOT('_JobDays'!M2)),0,IF(WEEKDAY(V$6,1)=1,0,MIN(IF('_JobDays'!M3,8,10),V65)*V64)))-MIN(IF(OR(V64&lt;=0,NOT('_JobDays'!M2)),0,IF(WEEKDAY(V$6,1)=1,0,MIN(IF('_JobDays'!M3,8,10),V65)*V64)),MAX(0,40*MAX(1,V64)-(Q66+R66+S66+T66+U66)))),IF(OR(V64&lt;=0,NOT('_JobDays'!M2)),0,IF(WEEKDAY(V$6,1)=1,0,IF(WEEKDAY(V$6,1)=7,V64*V65,IF('_JobDays'!M4,MAX(0,V65-8)*V64,0))))+((IF(OR(V64&lt;=0,NOT('_JobDays'!M2)),0,IF(WEEKDAY(V$6,1)=1,0,IF(WEEKDAY(V$6,1)=7,0,IF('_JobDays'!M4,MIN(8,V65)*V64,V64*V65)))))-MIN(IF(OR(V64&lt;=0,NOT('_JobDays'!M2)),0,IF(WEEKDAY(V$6,1)=1,0,IF(WEEKDAY(V$6,1)=7,0,IF('_JobDays'!M4,MIN(8,V65)*V64,V64*V65)))),MAX(0,40*MAX(1,V64)-(Q66+R66+S66+T66+U66))))))</f>
        <v>12</v>
      </c>
      <c r="W67" s="63">
        <f>IF(AND(W64=1,W65=12,E63="Auto",B63="Pipefitter General Foreman",AND('Job setup'!$B$9="ON",'Job setup'!$C$9&lt;=W$6,'Job setup'!$D$9&gt;=W$6,'Job setup'!$G$9="NO")),0,IF(OS63,IF(OR(W64&lt;=0,NOT('_JobDays'!N2)),0,IF(WEEKDAY(W$6,1)=1,0,MAX(0,W65-(IF('_JobDays'!N3,8,10)))*W64))+((IF(OR(W64&lt;=0,NOT('_JobDays'!N2)),0,IF(WEEKDAY(W$6,1)=1,0,MIN(IF('_JobDays'!N3,8,10),W65)*W64)))-MIN(IF(OR(W64&lt;=0,NOT('_JobDays'!N2)),0,IF(WEEKDAY(W$6,1)=1,0,MIN(IF('_JobDays'!N3,8,10),W65)*W64)),MAX(0,40*MAX(1,W64)-(Q66+R66+S66+T66+U66+V66)))),IF(OR(W64&lt;=0,NOT('_JobDays'!N2)),0,IF(WEEKDAY(W$6,1)=1,0,IF(WEEKDAY(W$6,1)=7,W64*W65,IF('_JobDays'!N4,MAX(0,W65-8)*W64,0))))+((IF(OR(W64&lt;=0,NOT('_JobDays'!N2)),0,IF(WEEKDAY(W$6,1)=1,0,IF(WEEKDAY(W$6,1)=7,0,IF('_JobDays'!N4,MIN(8,W65)*W64,W64*W65)))))-MIN(IF(OR(W64&lt;=0,NOT('_JobDays'!N2)),0,IF(WEEKDAY(W$6,1)=1,0,IF(WEEKDAY(W$6,1)=7,0,IF('_JobDays'!N4,MIN(8,W65)*W64,W64*W65)))),MAX(0,40*MAX(1,W64)-(Q66+R66+S66+T66+U66+V66))))))</f>
        <v>0</v>
      </c>
      <c r="X67" s="62">
        <f>IF(AND(X64=1,X65=12,E63="Auto",B63="Pipefitter General Foreman",AND('Job setup'!$B$9="ON",'Job setup'!$C$9&lt;=X$6,'Job setup'!$D$9&gt;=X$6,'Job setup'!$G$9="NO")),4,IF(OS63,IF(OR(X64&lt;=0,NOT('_JobDays'!O2)),0,IF(WEEKDAY(X$6,1)=1,0,MAX(0,X65-(IF('_JobDays'!O3,8,10)))*X64))+((IF(OR(X64&lt;=0,NOT('_JobDays'!O2)),0,IF(WEEKDAY(X$6,1)=1,0,MIN(IF('_JobDays'!O3,8,10),X65)*X64)))-MIN(IF(OR(X64&lt;=0,NOT('_JobDays'!O2)),0,IF(WEEKDAY(X$6,1)=1,0,MIN(IF('_JobDays'!O3,8,10),X65)*X64)),MAX(0,40*MAX(1,X64)-(0)))),IF(OR(X64&lt;=0,NOT('_JobDays'!O2)),0,IF(WEEKDAY(X$6,1)=1,0,IF(WEEKDAY(X$6,1)=7,X64*X65,IF('_JobDays'!O4,MAX(0,X65-8)*X64,0))))+((IF(OR(X64&lt;=0,NOT('_JobDays'!O2)),0,IF(WEEKDAY(X$6,1)=1,0,IF(WEEKDAY(X$6,1)=7,0,IF('_JobDays'!O4,MIN(8,X65)*X64,X64*X65)))))-MIN(IF(OR(X64&lt;=0,NOT('_JobDays'!O2)),0,IF(WEEKDAY(X$6,1)=1,0,IF(WEEKDAY(X$6,1)=7,0,IF('_JobDays'!O4,MIN(8,X65)*X64,X64*X65)))),MAX(0,40*MAX(1,X64)-(0))))))</f>
        <v>4</v>
      </c>
      <c r="Y67" s="62">
        <f>IF(AND(Y64=1,Y65=12,E63="Auto",B63="Pipefitter General Foreman",AND('Job setup'!$B$9="ON",'Job setup'!$C$9&lt;=Y$6,'Job setup'!$D$9&gt;=Y$6,'Job setup'!$G$9="NO")),4,IF(OS63,IF(OR(Y64&lt;=0,NOT('_JobDays'!P2)),0,IF(WEEKDAY(Y$6,1)=1,0,MAX(0,Y65-(IF('_JobDays'!P3,8,10)))*Y64))+((IF(OR(Y64&lt;=0,NOT('_JobDays'!P2)),0,IF(WEEKDAY(Y$6,1)=1,0,MIN(IF('_JobDays'!P3,8,10),Y65)*Y64)))-MIN(IF(OR(Y64&lt;=0,NOT('_JobDays'!P2)),0,IF(WEEKDAY(Y$6,1)=1,0,MIN(IF('_JobDays'!P3,8,10),Y65)*Y64)),MAX(0,40*MAX(1,Y64)-(X66)))),IF(OR(Y64&lt;=0,NOT('_JobDays'!P2)),0,IF(WEEKDAY(Y$6,1)=1,0,IF(WEEKDAY(Y$6,1)=7,Y64*Y65,IF('_JobDays'!P4,MAX(0,Y65-8)*Y64,0))))+((IF(OR(Y64&lt;=0,NOT('_JobDays'!P2)),0,IF(WEEKDAY(Y$6,1)=1,0,IF(WEEKDAY(Y$6,1)=7,0,IF('_JobDays'!P4,MIN(8,Y65)*Y64,Y64*Y65)))))-MIN(IF(OR(Y64&lt;=0,NOT('_JobDays'!P2)),0,IF(WEEKDAY(Y$6,1)=1,0,IF(WEEKDAY(Y$6,1)=7,0,IF('_JobDays'!P4,MIN(8,Y65)*Y64,Y64*Y65)))),MAX(0,40*MAX(1,Y64)-(X66))))))</f>
        <v>4</v>
      </c>
      <c r="Z67" s="62">
        <f>IF(AND(Z64=1,Z65=12,E63="Auto",B63="Pipefitter General Foreman",AND('Job setup'!$B$9="ON",'Job setup'!$C$9&lt;=Z$6,'Job setup'!$D$9&gt;=Z$6,'Job setup'!$G$9="NO")),4,IF(OS63,IF(OR(Z64&lt;=0,NOT('_JobDays'!Q2)),0,IF(WEEKDAY(Z$6,1)=1,0,MAX(0,Z65-(IF('_JobDays'!Q3,8,10)))*Z64))+((IF(OR(Z64&lt;=0,NOT('_JobDays'!Q2)),0,IF(WEEKDAY(Z$6,1)=1,0,MIN(IF('_JobDays'!Q3,8,10),Z65)*Z64)))-MIN(IF(OR(Z64&lt;=0,NOT('_JobDays'!Q2)),0,IF(WEEKDAY(Z$6,1)=1,0,MIN(IF('_JobDays'!Q3,8,10),Z65)*Z64)),MAX(0,40*MAX(1,Z64)-(X66+Y66)))),IF(OR(Z64&lt;=0,NOT('_JobDays'!Q2)),0,IF(WEEKDAY(Z$6,1)=1,0,IF(WEEKDAY(Z$6,1)=7,Z64*Z65,IF('_JobDays'!Q4,MAX(0,Z65-8)*Z64,0))))+((IF(OR(Z64&lt;=0,NOT('_JobDays'!Q2)),0,IF(WEEKDAY(Z$6,1)=1,0,IF(WEEKDAY(Z$6,1)=7,0,IF('_JobDays'!Q4,MIN(8,Z65)*Z64,Z64*Z65)))))-MIN(IF(OR(Z64&lt;=0,NOT('_JobDays'!Q2)),0,IF(WEEKDAY(Z$6,1)=1,0,IF(WEEKDAY(Z$6,1)=7,0,IF('_JobDays'!Q4,MIN(8,Z65)*Z64,Z64*Z65)))),MAX(0,40*MAX(1,Z64)-(X66+Y66))))))</f>
        <v>4</v>
      </c>
      <c r="AA67" s="62">
        <f>IF(AND(AA64=1,AA65=12,E63="Auto",B63="Pipefitter General Foreman",AND('Job setup'!$B$9="ON",'Job setup'!$C$9&lt;=AA$6,'Job setup'!$D$9&gt;=AA$6,'Job setup'!$G$9="NO")),4,IF(OS63,IF(OR(AA64&lt;=0,NOT('_JobDays'!R2)),0,IF(WEEKDAY(AA$6,1)=1,0,MAX(0,AA65-(IF('_JobDays'!R3,8,10)))*AA64))+((IF(OR(AA64&lt;=0,NOT('_JobDays'!R2)),0,IF(WEEKDAY(AA$6,1)=1,0,MIN(IF('_JobDays'!R3,8,10),AA65)*AA64)))-MIN(IF(OR(AA64&lt;=0,NOT('_JobDays'!R2)),0,IF(WEEKDAY(AA$6,1)=1,0,MIN(IF('_JobDays'!R3,8,10),AA65)*AA64)),MAX(0,40*MAX(1,AA64)-(X66+Y66+Z66)))),IF(OR(AA64&lt;=0,NOT('_JobDays'!R2)),0,IF(WEEKDAY(AA$6,1)=1,0,IF(WEEKDAY(AA$6,1)=7,AA64*AA65,IF('_JobDays'!R4,MAX(0,AA65-8)*AA64,0))))+((IF(OR(AA64&lt;=0,NOT('_JobDays'!R2)),0,IF(WEEKDAY(AA$6,1)=1,0,IF(WEEKDAY(AA$6,1)=7,0,IF('_JobDays'!R4,MIN(8,AA65)*AA64,AA64*AA65)))))-MIN(IF(OR(AA64&lt;=0,NOT('_JobDays'!R2)),0,IF(WEEKDAY(AA$6,1)=1,0,IF(WEEKDAY(AA$6,1)=7,0,IF('_JobDays'!R4,MIN(8,AA65)*AA64,AA64*AA65)))),MAX(0,40*MAX(1,AA64)-(X66+Y66+Z66))))))</f>
        <v>4</v>
      </c>
      <c r="AB67" s="62">
        <f>IF(AND(AB64=1,AB65=12,E63="Auto",B63="Pipefitter General Foreman",AND('Job setup'!$B$9="ON",'Job setup'!$C$9&lt;=AB$6,'Job setup'!$D$9&gt;=AB$6,'Job setup'!$G$9="NO")),4,IF(OS63,IF(OR(AB64&lt;=0,NOT('_JobDays'!S2)),0,IF(WEEKDAY(AB$6,1)=1,0,MAX(0,AB65-(IF('_JobDays'!S3,8,10)))*AB64))+((IF(OR(AB64&lt;=0,NOT('_JobDays'!S2)),0,IF(WEEKDAY(AB$6,1)=1,0,MIN(IF('_JobDays'!S3,8,10),AB65)*AB64)))-MIN(IF(OR(AB64&lt;=0,NOT('_JobDays'!S2)),0,IF(WEEKDAY(AB$6,1)=1,0,MIN(IF('_JobDays'!S3,8,10),AB65)*AB64)),MAX(0,40*MAX(1,AB64)-(X66+Y66+Z66+AA66)))),IF(OR(AB64&lt;=0,NOT('_JobDays'!S2)),0,IF(WEEKDAY(AB$6,1)=1,0,IF(WEEKDAY(AB$6,1)=7,AB64*AB65,IF('_JobDays'!S4,MAX(0,AB65-8)*AB64,0))))+((IF(OR(AB64&lt;=0,NOT('_JobDays'!S2)),0,IF(WEEKDAY(AB$6,1)=1,0,IF(WEEKDAY(AB$6,1)=7,0,IF('_JobDays'!S4,MIN(8,AB65)*AB64,AB64*AB65)))))-MIN(IF(OR(AB64&lt;=0,NOT('_JobDays'!S2)),0,IF(WEEKDAY(AB$6,1)=1,0,IF(WEEKDAY(AB$6,1)=7,0,IF('_JobDays'!S4,MIN(8,AB65)*AB64,AB64*AB65)))),MAX(0,40*MAX(1,AB64)-(X66+Y66+Z66+AA66))))))</f>
        <v>4</v>
      </c>
      <c r="AC67" s="63">
        <f>IF(AND(AC64=1,AC65=12,E63="Auto",B63="Pipefitter General Foreman",AND('Job setup'!$B$9="ON",'Job setup'!$C$9&lt;=AC$6,'Job setup'!$D$9&gt;=AC$6,'Job setup'!$G$9="NO")),12,IF(OS63,IF(OR(AC64&lt;=0,NOT('_JobDays'!T2)),0,IF(WEEKDAY(AC$6,1)=1,0,MAX(0,AC65-(IF('_JobDays'!T3,8,10)))*AC64))+((IF(OR(AC64&lt;=0,NOT('_JobDays'!T2)),0,IF(WEEKDAY(AC$6,1)=1,0,MIN(IF('_JobDays'!T3,8,10),AC65)*AC64)))-MIN(IF(OR(AC64&lt;=0,NOT('_JobDays'!T2)),0,IF(WEEKDAY(AC$6,1)=1,0,MIN(IF('_JobDays'!T3,8,10),AC65)*AC64)),MAX(0,40*MAX(1,AC64)-(X66+Y66+Z66+AA66+AB66)))),IF(OR(AC64&lt;=0,NOT('_JobDays'!T2)),0,IF(WEEKDAY(AC$6,1)=1,0,IF(WEEKDAY(AC$6,1)=7,AC64*AC65,IF('_JobDays'!T4,MAX(0,AC65-8)*AC64,0))))+((IF(OR(AC64&lt;=0,NOT('_JobDays'!T2)),0,IF(WEEKDAY(AC$6,1)=1,0,IF(WEEKDAY(AC$6,1)=7,0,IF('_JobDays'!T4,MIN(8,AC65)*AC64,AC64*AC65)))))-MIN(IF(OR(AC64&lt;=0,NOT('_JobDays'!T2)),0,IF(WEEKDAY(AC$6,1)=1,0,IF(WEEKDAY(AC$6,1)=7,0,IF('_JobDays'!T4,MIN(8,AC65)*AC64,AC64*AC65)))),MAX(0,40*MAX(1,AC64)-(X66+Y66+Z66+AA66+AB66))))))</f>
        <v>12</v>
      </c>
      <c r="AD67" s="63">
        <f>IF(AND(AD64=1,AD65=12,E63="Auto",B63="Pipefitter General Foreman",AND('Job setup'!$B$9="ON",'Job setup'!$C$9&lt;=AD$6,'Job setup'!$D$9&gt;=AD$6,'Job setup'!$G$9="NO")),0,IF(OS63,IF(OR(AD64&lt;=0,NOT('_JobDays'!U2)),0,IF(WEEKDAY(AD$6,1)=1,0,MAX(0,AD65-(IF('_JobDays'!U3,8,10)))*AD64))+((IF(OR(AD64&lt;=0,NOT('_JobDays'!U2)),0,IF(WEEKDAY(AD$6,1)=1,0,MIN(IF('_JobDays'!U3,8,10),AD65)*AD64)))-MIN(IF(OR(AD64&lt;=0,NOT('_JobDays'!U2)),0,IF(WEEKDAY(AD$6,1)=1,0,MIN(IF('_JobDays'!U3,8,10),AD65)*AD64)),MAX(0,40*MAX(1,AD64)-(X66+Y66+Z66+AA66+AB66+AC66)))),IF(OR(AD64&lt;=0,NOT('_JobDays'!U2)),0,IF(WEEKDAY(AD$6,1)=1,0,IF(WEEKDAY(AD$6,1)=7,AD64*AD65,IF('_JobDays'!U4,MAX(0,AD65-8)*AD64,0))))+((IF(OR(AD64&lt;=0,NOT('_JobDays'!U2)),0,IF(WEEKDAY(AD$6,1)=1,0,IF(WEEKDAY(AD$6,1)=7,0,IF('_JobDays'!U4,MIN(8,AD65)*AD64,AD64*AD65)))))-MIN(IF(OR(AD64&lt;=0,NOT('_JobDays'!U2)),0,IF(WEEKDAY(AD$6,1)=1,0,IF(WEEKDAY(AD$6,1)=7,0,IF('_JobDays'!U4,MIN(8,AD65)*AD64,AD64*AD65)))),MAX(0,40*MAX(1,AD64)-(X66+Y66+Z66+AA66+AB66+AC66))))))</f>
        <v>0</v>
      </c>
      <c r="AE67" s="62">
        <f>IF(AND(AE64=1,AE65=12,E63="Auto",B63="Pipefitter General Foreman",AND('Job setup'!$B$9="ON",'Job setup'!$C$9&lt;=AE$6,'Job setup'!$D$9&gt;=AE$6,'Job setup'!$G$9="NO")),4,IF(OS63,IF(OR(AE64&lt;=0,NOT('_JobDays'!V2)),0,IF(WEEKDAY(AE$6,1)=1,0,MAX(0,AE65-(IF('_JobDays'!V3,8,10)))*AE64))+((IF(OR(AE64&lt;=0,NOT('_JobDays'!V2)),0,IF(WEEKDAY(AE$6,1)=1,0,MIN(IF('_JobDays'!V3,8,10),AE65)*AE64)))-MIN(IF(OR(AE64&lt;=0,NOT('_JobDays'!V2)),0,IF(WEEKDAY(AE$6,1)=1,0,MIN(IF('_JobDays'!V3,8,10),AE65)*AE64)),MAX(0,40*MAX(1,AE64)-(0)))),IF(OR(AE64&lt;=0,NOT('_JobDays'!V2)),0,IF(WEEKDAY(AE$6,1)=1,0,IF(WEEKDAY(AE$6,1)=7,AE64*AE65,IF('_JobDays'!V4,MAX(0,AE65-8)*AE64,0))))+((IF(OR(AE64&lt;=0,NOT('_JobDays'!V2)),0,IF(WEEKDAY(AE$6,1)=1,0,IF(WEEKDAY(AE$6,1)=7,0,IF('_JobDays'!V4,MIN(8,AE65)*AE64,AE64*AE65)))))-MIN(IF(OR(AE64&lt;=0,NOT('_JobDays'!V2)),0,IF(WEEKDAY(AE$6,1)=1,0,IF(WEEKDAY(AE$6,1)=7,0,IF('_JobDays'!V4,MIN(8,AE65)*AE64,AE64*AE65)))),MAX(0,40*MAX(1,AE64)-(0))))))</f>
        <v>4</v>
      </c>
      <c r="AF67" s="62">
        <f>IF(AND(AF64=1,AF65=12,E63="Auto",B63="Pipefitter General Foreman",AND('Job setup'!$B$9="ON",'Job setup'!$C$9&lt;=AF$6,'Job setup'!$D$9&gt;=AF$6,'Job setup'!$G$9="NO")),4,IF(OS63,IF(OR(AF64&lt;=0,NOT('_JobDays'!W2)),0,IF(WEEKDAY(AF$6,1)=1,0,MAX(0,AF65-(IF('_JobDays'!W3,8,10)))*AF64))+((IF(OR(AF64&lt;=0,NOT('_JobDays'!W2)),0,IF(WEEKDAY(AF$6,1)=1,0,MIN(IF('_JobDays'!W3,8,10),AF65)*AF64)))-MIN(IF(OR(AF64&lt;=0,NOT('_JobDays'!W2)),0,IF(WEEKDAY(AF$6,1)=1,0,MIN(IF('_JobDays'!W3,8,10),AF65)*AF64)),MAX(0,40*MAX(1,AF64)-(AE66)))),IF(OR(AF64&lt;=0,NOT('_JobDays'!W2)),0,IF(WEEKDAY(AF$6,1)=1,0,IF(WEEKDAY(AF$6,1)=7,AF64*AF65,IF('_JobDays'!W4,MAX(0,AF65-8)*AF64,0))))+((IF(OR(AF64&lt;=0,NOT('_JobDays'!W2)),0,IF(WEEKDAY(AF$6,1)=1,0,IF(WEEKDAY(AF$6,1)=7,0,IF('_JobDays'!W4,MIN(8,AF65)*AF64,AF64*AF65)))))-MIN(IF(OR(AF64&lt;=0,NOT('_JobDays'!W2)),0,IF(WEEKDAY(AF$6,1)=1,0,IF(WEEKDAY(AF$6,1)=7,0,IF('_JobDays'!W4,MIN(8,AF65)*AF64,AF64*AF65)))),MAX(0,40*MAX(1,AF64)-(AE66))))))</f>
        <v>4</v>
      </c>
      <c r="AG67" s="62">
        <f>IF(AND(AG64=1,AG65=12,E63="Auto",B63="Pipefitter General Foreman",AND('Job setup'!$B$9="ON",'Job setup'!$C$9&lt;=AG$6,'Job setup'!$D$9&gt;=AG$6,'Job setup'!$G$9="NO")),4,IF(OS63,IF(OR(AG64&lt;=0,NOT('_JobDays'!X2)),0,IF(WEEKDAY(AG$6,1)=1,0,MAX(0,AG65-(IF('_JobDays'!X3,8,10)))*AG64))+((IF(OR(AG64&lt;=0,NOT('_JobDays'!X2)),0,IF(WEEKDAY(AG$6,1)=1,0,MIN(IF('_JobDays'!X3,8,10),AG65)*AG64)))-MIN(IF(OR(AG64&lt;=0,NOT('_JobDays'!X2)),0,IF(WEEKDAY(AG$6,1)=1,0,MIN(IF('_JobDays'!X3,8,10),AG65)*AG64)),MAX(0,40*MAX(1,AG64)-(AE66+AF66)))),IF(OR(AG64&lt;=0,NOT('_JobDays'!X2)),0,IF(WEEKDAY(AG$6,1)=1,0,IF(WEEKDAY(AG$6,1)=7,AG64*AG65,IF('_JobDays'!X4,MAX(0,AG65-8)*AG64,0))))+((IF(OR(AG64&lt;=0,NOT('_JobDays'!X2)),0,IF(WEEKDAY(AG$6,1)=1,0,IF(WEEKDAY(AG$6,1)=7,0,IF('_JobDays'!X4,MIN(8,AG65)*AG64,AG64*AG65)))))-MIN(IF(OR(AG64&lt;=0,NOT('_JobDays'!X2)),0,IF(WEEKDAY(AG$6,1)=1,0,IF(WEEKDAY(AG$6,1)=7,0,IF('_JobDays'!X4,MIN(8,AG65)*AG64,AG64*AG65)))),MAX(0,40*MAX(1,AG64)-(AE66+AF66))))))</f>
        <v>4</v>
      </c>
      <c r="AH67" s="62">
        <f>IF(AND(AH64=0,AH65=0,E63="Auto",B63="Pipefitter General Foreman",AND('Job setup'!$B$11="ON",'Job setup'!$C$11&lt;=AH$6,'Job setup'!$D$11&gt;=AH$6,'Job setup'!$G$11="YES")),0,IF(OS63,IF(OR(AH64&lt;=0,NOT('_JobDays'!Y2)),0,IF(WEEKDAY(AH$6,1)=1,0,MAX(0,AH65-(IF('_JobDays'!Y3,8,10)))*AH64))+((IF(OR(AH64&lt;=0,NOT('_JobDays'!Y2)),0,IF(WEEKDAY(AH$6,1)=1,0,MIN(IF('_JobDays'!Y3,8,10),AH65)*AH64)))-MIN(IF(OR(AH64&lt;=0,NOT('_JobDays'!Y2)),0,IF(WEEKDAY(AH$6,1)=1,0,MIN(IF('_JobDays'!Y3,8,10),AH65)*AH64)),MAX(0,40*MAX(1,AH64)-(AE66+AF66+AG66)))),IF(OR(AH64&lt;=0,NOT('_JobDays'!Y2)),0,IF(WEEKDAY(AH$6,1)=1,0,IF(WEEKDAY(AH$6,1)=7,AH64*AH65,IF('_JobDays'!Y4,MAX(0,AH65-8)*AH64,0))))+((IF(OR(AH64&lt;=0,NOT('_JobDays'!Y2)),0,IF(WEEKDAY(AH$6,1)=1,0,IF(WEEKDAY(AH$6,1)=7,0,IF('_JobDays'!Y4,MIN(8,AH65)*AH64,AH64*AH65)))))-MIN(IF(OR(AH64&lt;=0,NOT('_JobDays'!Y2)),0,IF(WEEKDAY(AH$6,1)=1,0,IF(WEEKDAY(AH$6,1)=7,0,IF('_JobDays'!Y4,MIN(8,AH65)*AH64,AH64*AH65)))),MAX(0,40*MAX(1,AH64)-(AE66+AF66+AG66))))))</f>
        <v>0</v>
      </c>
      <c r="AI67" s="62">
        <f>IF(AND(AI64=0,AI65=0,E63="Auto",B63="Pipefitter General Foreman",AND('Job setup'!$B$11="ON",'Job setup'!$C$11&lt;=AI$6,'Job setup'!$D$11&gt;=AI$6,'Job setup'!$G$11="YES")),0,IF(OS63,IF(OR(AI64&lt;=0,NOT('_JobDays'!Z2)),0,IF(WEEKDAY(AI$6,1)=1,0,MAX(0,AI65-(IF('_JobDays'!Z3,8,10)))*AI64))+((IF(OR(AI64&lt;=0,NOT('_JobDays'!Z2)),0,IF(WEEKDAY(AI$6,1)=1,0,MIN(IF('_JobDays'!Z3,8,10),AI65)*AI64)))-MIN(IF(OR(AI64&lt;=0,NOT('_JobDays'!Z2)),0,IF(WEEKDAY(AI$6,1)=1,0,MIN(IF('_JobDays'!Z3,8,10),AI65)*AI64)),MAX(0,40*MAX(1,AI64)-(AE66+AF66+AG66+AH66)))),IF(OR(AI64&lt;=0,NOT('_JobDays'!Z2)),0,IF(WEEKDAY(AI$6,1)=1,0,IF(WEEKDAY(AI$6,1)=7,AI64*AI65,IF('_JobDays'!Z4,MAX(0,AI65-8)*AI64,0))))+((IF(OR(AI64&lt;=0,NOT('_JobDays'!Z2)),0,IF(WEEKDAY(AI$6,1)=1,0,IF(WEEKDAY(AI$6,1)=7,0,IF('_JobDays'!Z4,MIN(8,AI65)*AI64,AI64*AI65)))))-MIN(IF(OR(AI64&lt;=0,NOT('_JobDays'!Z2)),0,IF(WEEKDAY(AI$6,1)=1,0,IF(WEEKDAY(AI$6,1)=7,0,IF('_JobDays'!Z4,MIN(8,AI65)*AI64,AI64*AI65)))),MAX(0,40*MAX(1,AI64)-(AE66+AF66+AG66+AH66))))))</f>
        <v>0</v>
      </c>
      <c r="AJ67" s="63">
        <f>IF(AND(AJ64=0,AJ65=0,E63="Auto",B63="Pipefitter General Foreman",AND('Job setup'!$B$11="ON",'Job setup'!$C$11&lt;=AJ$6,'Job setup'!$D$11&gt;=AJ$6,'Job setup'!$G$11="YES")),0,IF(OS63,IF(OR(AJ64&lt;=0,NOT('_JobDays'!AA2)),0,IF(WEEKDAY(AJ$6,1)=1,0,MAX(0,AJ65-(IF('_JobDays'!AA3,8,10)))*AJ64))+((IF(OR(AJ64&lt;=0,NOT('_JobDays'!AA2)),0,IF(WEEKDAY(AJ$6,1)=1,0,MIN(IF('_JobDays'!AA3,8,10),AJ65)*AJ64)))-MIN(IF(OR(AJ64&lt;=0,NOT('_JobDays'!AA2)),0,IF(WEEKDAY(AJ$6,1)=1,0,MIN(IF('_JobDays'!AA3,8,10),AJ65)*AJ64)),MAX(0,40*MAX(1,AJ64)-(AE66+AF66+AG66+AH66+AI66)))),IF(OR(AJ64&lt;=0,NOT('_JobDays'!AA2)),0,IF(WEEKDAY(AJ$6,1)=1,0,IF(WEEKDAY(AJ$6,1)=7,AJ64*AJ65,IF('_JobDays'!AA4,MAX(0,AJ65-8)*AJ64,0))))+((IF(OR(AJ64&lt;=0,NOT('_JobDays'!AA2)),0,IF(WEEKDAY(AJ$6,1)=1,0,IF(WEEKDAY(AJ$6,1)=7,0,IF('_JobDays'!AA4,MIN(8,AJ65)*AJ64,AJ64*AJ65)))))-MIN(IF(OR(AJ64&lt;=0,NOT('_JobDays'!AA2)),0,IF(WEEKDAY(AJ$6,1)=1,0,IF(WEEKDAY(AJ$6,1)=7,0,IF('_JobDays'!AA4,MIN(8,AJ65)*AJ64,AJ64*AJ65)))),MAX(0,40*MAX(1,AJ64)-(AE66+AF66+AG66+AH66+AI66))))))</f>
        <v>0</v>
      </c>
      <c r="AK67" s="63">
        <f>IF(AND(AK64=0,AK65=0,E63="Auto",B63="Pipefitter General Foreman",AND('Job setup'!$B$11="ON",'Job setup'!$C$11&lt;=AK$6,'Job setup'!$D$11&gt;=AK$6,'Job setup'!$G$11="YES")),0,IF(OS63,IF(OR(AK64&lt;=0,NOT('_JobDays'!AB2)),0,IF(WEEKDAY(AK$6,1)=1,0,MAX(0,AK65-(IF('_JobDays'!AB3,8,10)))*AK64))+((IF(OR(AK64&lt;=0,NOT('_JobDays'!AB2)),0,IF(WEEKDAY(AK$6,1)=1,0,MIN(IF('_JobDays'!AB3,8,10),AK65)*AK64)))-MIN(IF(OR(AK64&lt;=0,NOT('_JobDays'!AB2)),0,IF(WEEKDAY(AK$6,1)=1,0,MIN(IF('_JobDays'!AB3,8,10),AK65)*AK64)),MAX(0,40*MAX(1,AK64)-(AE66+AF66+AG66+AH66+AI66+AJ66)))),IF(OR(AK64&lt;=0,NOT('_JobDays'!AB2)),0,IF(WEEKDAY(AK$6,1)=1,0,IF(WEEKDAY(AK$6,1)=7,AK64*AK65,IF('_JobDays'!AB4,MAX(0,AK65-8)*AK64,0))))+((IF(OR(AK64&lt;=0,NOT('_JobDays'!AB2)),0,IF(WEEKDAY(AK$6,1)=1,0,IF(WEEKDAY(AK$6,1)=7,0,IF('_JobDays'!AB4,MIN(8,AK65)*AK64,AK64*AK65)))))-MIN(IF(OR(AK64&lt;=0,NOT('_JobDays'!AB2)),0,IF(WEEKDAY(AK$6,1)=1,0,IF(WEEKDAY(AK$6,1)=7,0,IF('_JobDays'!AB4,MIN(8,AK65)*AK64,AK64*AK65)))),MAX(0,40*MAX(1,AK64)-(AE66+AF66+AG66+AH66+AI66+AJ66))))))</f>
        <v>0</v>
      </c>
      <c r="AL67" s="62">
        <f>IF(AND(AL64=0,AL65=0,E63="Auto",B63="Pipefitter General Foreman",AND('Job setup'!$B$11="ON",'Job setup'!$C$11&lt;=AL$6,'Job setup'!$D$11&gt;=AL$6,'Job setup'!$G$11="YES")),0,IF(OS63,IF(OR(AL64&lt;=0,NOT('_JobDays'!AC2)),0,IF(WEEKDAY(AL$6,1)=1,0,MAX(0,AL65-(IF('_JobDays'!AC3,8,10)))*AL64))+((IF(OR(AL64&lt;=0,NOT('_JobDays'!AC2)),0,IF(WEEKDAY(AL$6,1)=1,0,MIN(IF('_JobDays'!AC3,8,10),AL65)*AL64)))-MIN(IF(OR(AL64&lt;=0,NOT('_JobDays'!AC2)),0,IF(WEEKDAY(AL$6,1)=1,0,MIN(IF('_JobDays'!AC3,8,10),AL65)*AL64)),MAX(0,40*MAX(1,AL64)-(0)))),IF(OR(AL64&lt;=0,NOT('_JobDays'!AC2)),0,IF(WEEKDAY(AL$6,1)=1,0,IF(WEEKDAY(AL$6,1)=7,AL64*AL65,IF('_JobDays'!AC4,MAX(0,AL65-8)*AL64,0))))+((IF(OR(AL64&lt;=0,NOT('_JobDays'!AC2)),0,IF(WEEKDAY(AL$6,1)=1,0,IF(WEEKDAY(AL$6,1)=7,0,IF('_JobDays'!AC4,MIN(8,AL65)*AL64,AL64*AL65)))))-MIN(IF(OR(AL64&lt;=0,NOT('_JobDays'!AC2)),0,IF(WEEKDAY(AL$6,1)=1,0,IF(WEEKDAY(AL$6,1)=7,0,IF('_JobDays'!AC4,MIN(8,AL65)*AL64,AL64*AL65)))),MAX(0,40*MAX(1,AL64)-(0))))))</f>
        <v>0</v>
      </c>
      <c r="AM67" s="62">
        <f>IF(AND(AM64=0,AM65=0,E63="Auto",B63="Pipefitter General Foreman",AND('Job setup'!$B$11="ON",'Job setup'!$C$11&lt;=AM$6,'Job setup'!$D$11&gt;=AM$6,'Job setup'!$G$11="YES")),0,IF(OS63,IF(OR(AM64&lt;=0,NOT('_JobDays'!AD2)),0,IF(WEEKDAY(AM$6,1)=1,0,MAX(0,AM65-(IF('_JobDays'!AD3,8,10)))*AM64))+((IF(OR(AM64&lt;=0,NOT('_JobDays'!AD2)),0,IF(WEEKDAY(AM$6,1)=1,0,MIN(IF('_JobDays'!AD3,8,10),AM65)*AM64)))-MIN(IF(OR(AM64&lt;=0,NOT('_JobDays'!AD2)),0,IF(WEEKDAY(AM$6,1)=1,0,MIN(IF('_JobDays'!AD3,8,10),AM65)*AM64)),MAX(0,40*MAX(1,AM64)-(AL66)))),IF(OR(AM64&lt;=0,NOT('_JobDays'!AD2)),0,IF(WEEKDAY(AM$6,1)=1,0,IF(WEEKDAY(AM$6,1)=7,AM64*AM65,IF('_JobDays'!AD4,MAX(0,AM65-8)*AM64,0))))+((IF(OR(AM64&lt;=0,NOT('_JobDays'!AD2)),0,IF(WEEKDAY(AM$6,1)=1,0,IF(WEEKDAY(AM$6,1)=7,0,IF('_JobDays'!AD4,MIN(8,AM65)*AM64,AM64*AM65)))))-MIN(IF(OR(AM64&lt;=0,NOT('_JobDays'!AD2)),0,IF(WEEKDAY(AM$6,1)=1,0,IF(WEEKDAY(AM$6,1)=7,0,IF('_JobDays'!AD4,MIN(8,AM65)*AM64,AM64*AM65)))),MAX(0,40*MAX(1,AM64)-(AL66))))))</f>
        <v>0</v>
      </c>
      <c r="AN67" s="62">
        <f>IF(AND(AN64=0,AN65=0,E63="Auto",B63="Pipefitter General Foreman",AND('Job setup'!$B$11="ON",'Job setup'!$C$11&lt;=AN$6,'Job setup'!$D$11&gt;=AN$6,'Job setup'!$G$11="YES")),0,IF(OS63,IF(OR(AN64&lt;=0,NOT('_JobDays'!AE2)),0,IF(WEEKDAY(AN$6,1)=1,0,MAX(0,AN65-(IF('_JobDays'!AE3,8,10)))*AN64))+((IF(OR(AN64&lt;=0,NOT('_JobDays'!AE2)),0,IF(WEEKDAY(AN$6,1)=1,0,MIN(IF('_JobDays'!AE3,8,10),AN65)*AN64)))-MIN(IF(OR(AN64&lt;=0,NOT('_JobDays'!AE2)),0,IF(WEEKDAY(AN$6,1)=1,0,MIN(IF('_JobDays'!AE3,8,10),AN65)*AN64)),MAX(0,40*MAX(1,AN64)-(AL66+AM66)))),IF(OR(AN64&lt;=0,NOT('_JobDays'!AE2)),0,IF(WEEKDAY(AN$6,1)=1,0,IF(WEEKDAY(AN$6,1)=7,AN64*AN65,IF('_JobDays'!AE4,MAX(0,AN65-8)*AN64,0))))+((IF(OR(AN64&lt;=0,NOT('_JobDays'!AE2)),0,IF(WEEKDAY(AN$6,1)=1,0,IF(WEEKDAY(AN$6,1)=7,0,IF('_JobDays'!AE4,MIN(8,AN65)*AN64,AN64*AN65)))))-MIN(IF(OR(AN64&lt;=0,NOT('_JobDays'!AE2)),0,IF(WEEKDAY(AN$6,1)=1,0,IF(WEEKDAY(AN$6,1)=7,0,IF('_JobDays'!AE4,MIN(8,AN65)*AN64,AN64*AN65)))),MAX(0,40*MAX(1,AN64)-(AL66+AM66))))))</f>
        <v>0</v>
      </c>
      <c r="AO67" s="64">
        <f>IF(AND(AO64=0,AO65=0,E63="Auto",B63="Pipefitter General Foreman",AND('Job setup'!$B$11="ON",'Job setup'!$C$11&lt;=AO$6,'Job setup'!$D$11&gt;=AO$6,'Job setup'!$G$11="YES")),0,IF(OS63,IF(OR(AO64&lt;=0,NOT('_JobDays'!AF2)),0,IF(WEEKDAY(AO$6,1)=1,0,MAX(0,AO65-(IF('_JobDays'!AF3,8,10)))*AO64))+((IF(OR(AO64&lt;=0,NOT('_JobDays'!AF2)),0,IF(WEEKDAY(AO$6,1)=1,0,MIN(IF('_JobDays'!AF3,8,10),AO65)*AO64)))-MIN(IF(OR(AO64&lt;=0,NOT('_JobDays'!AF2)),0,IF(WEEKDAY(AO$6,1)=1,0,MIN(IF('_JobDays'!AF3,8,10),AO65)*AO64)),MAX(0,40*MAX(1,AO64)-(AL66+AM66+AN66)))),IF(OR(AO64&lt;=0,NOT('_JobDays'!AF2)),0,IF(WEEKDAY(AO$6,1)=1,0,IF(WEEKDAY(AO$6,1)=7,AO64*AO65,IF('_JobDays'!AF4,MAX(0,AO65-8)*AO64,0))))+((IF(OR(AO64&lt;=0,NOT('_JobDays'!AF2)),0,IF(WEEKDAY(AO$6,1)=1,0,IF(WEEKDAY(AO$6,1)=7,0,IF('_JobDays'!AF4,MIN(8,AO65)*AO64,AO64*AO65)))))-MIN(IF(OR(AO64&lt;=0,NOT('_JobDays'!AF2)),0,IF(WEEKDAY(AO$6,1)=1,0,IF(WEEKDAY(AO$6,1)=7,0,IF('_JobDays'!AF4,MIN(8,AO65)*AO64,AO64*AO65)))),MAX(0,40*MAX(1,AO64)-(AL66+AM66+AN66))))))</f>
        <v>0</v>
      </c>
      <c r="OT67" s="28" t="s">
        <v>74</v>
      </c>
    </row>
    <row r="68" ht="16" customHeight="1" spans="1:410" x14ac:dyDescent="0.25">
      <c r="A68" s="73"/>
      <c r="B68" s="44"/>
      <c r="C68" s="60">
        <f>H63*N(D68)</f>
        <v>4833.6</v>
      </c>
      <c r="D68" s="60">
        <f>IF(TRIM(B63)="","No rate",IFERROR(INDEX('Rate Tables'!E$7:E$161,MATCH(B63,'Rate Tables'!A$7:A$161,0)),"No rate"))</f>
        <v>201.4</v>
      </c>
      <c r="E68" s="54" t="s">
        <v>62</v>
      </c>
      <c r="F68" s="48"/>
      <c r="G68" s="48"/>
      <c r="H68" s="48"/>
      <c r="I68" s="49"/>
      <c r="J68" s="61">
        <f>IF(AND(J64=1,J65=8,E63="Auto",B63="Pipefitter General Foreman",AND('Job setup'!$B$7="ON",'Job setup'!$C$7&lt;=J$6,'Job setup'!$D$7&gt;=J$6,'Job setup'!$G$7="YES")),0,IF(OS63,IF(OR(J64&lt;=0,NOT('_JobDays'!A2)),0,IF(WEEKDAY(J$6,1)=1,J64*J65,0)),IF(OR(J64&lt;=0,NOT('_JobDays'!A2)),0,IF(WEEKDAY(J$6,1)=1,J64*J65,0))))</f>
        <v>0</v>
      </c>
      <c r="K68" s="62">
        <f>IF(AND(K64=1,K65=8,E63="Auto",B63="Pipefitter General Foreman",AND('Job setup'!$B$7="ON",'Job setup'!$C$7&lt;=K$6,'Job setup'!$D$7&gt;=K$6,'Job setup'!$G$7="YES")),0,IF(OS63,IF(OR(K64&lt;=0,NOT('_JobDays'!B2)),0,IF(WEEKDAY(K$6,1)=1,K64*K65,0)),IF(OR(K64&lt;=0,NOT('_JobDays'!B2)),0,IF(WEEKDAY(K$6,1)=1,K64*K65,0))))</f>
        <v>0</v>
      </c>
      <c r="L68" s="62">
        <f>IF(AND(L64=1,L65=8,E63="Auto",B63="Pipefitter General Foreman",AND('Job setup'!$B$7="ON",'Job setup'!$C$7&lt;=L$6,'Job setup'!$D$7&gt;=L$6,'Job setup'!$G$7="YES")),0,IF(OS63,IF(OR(L64&lt;=0,NOT('_JobDays'!C2)),0,IF(WEEKDAY(L$6,1)=1,L64*L65,0)),IF(OR(L64&lt;=0,NOT('_JobDays'!C2)),0,IF(WEEKDAY(L$6,1)=1,L64*L65,0))))</f>
        <v>0</v>
      </c>
      <c r="M68" s="62">
        <f>IF(AND(M64=1,M65=8,E63="Auto",B63="Pipefitter General Foreman",AND('Job setup'!$B$7="ON",'Job setup'!$C$7&lt;=M$6,'Job setup'!$D$7&gt;=M$6,'Job setup'!$G$7="YES")),0,IF(OS63,IF(OR(M64&lt;=0,NOT('_JobDays'!D2)),0,IF(WEEKDAY(M$6,1)=1,M64*M65,0)),IF(OR(M64&lt;=0,NOT('_JobDays'!D2)),0,IF(WEEKDAY(M$6,1)=1,M64*M65,0))))</f>
        <v>0</v>
      </c>
      <c r="N68" s="62">
        <f>IF(AND(N64=1,N65=8,E63="Auto",B63="Pipefitter General Foreman",AND('Job setup'!$B$7="ON",'Job setup'!$C$7&lt;=N$6,'Job setup'!$D$7&gt;=N$6,'Job setup'!$G$7="YES")),0,IF(OS63,IF(OR(N64&lt;=0,NOT('_JobDays'!E2)),0,IF(WEEKDAY(N$6,1)=1,N64*N65,0)),IF(OR(N64&lt;=0,NOT('_JobDays'!E2)),0,IF(WEEKDAY(N$6,1)=1,N64*N65,0))))</f>
        <v>0</v>
      </c>
      <c r="O68" s="63">
        <f>IF(AND(O64=0,O65=0,E63="Auto",B63="Pipefitter General Foreman",AND('Job setup'!$B$7="ON",'Job setup'!$C$7&lt;=O$6,'Job setup'!$D$7&gt;=O$6,'Job setup'!$G$7="YES")),0,IF(OS63,IF(OR(O64&lt;=0,NOT('_JobDays'!F2)),0,IF(WEEKDAY(O$6,1)=1,O64*O65,0)),IF(OR(O64&lt;=0,NOT('_JobDays'!F2)),0,IF(WEEKDAY(O$6,1)=1,O64*O65,0))))</f>
        <v>0</v>
      </c>
      <c r="P68" s="63">
        <f>IF(AND(P64=0,P65=0,E63="Auto",B63="Pipefitter General Foreman",AND('Job setup'!$B$7="ON",'Job setup'!$C$7&lt;=P$6,'Job setup'!$D$7&gt;=P$6,'Job setup'!$G$7="YES")),0,IF(OS63,IF(OR(P64&lt;=0,NOT('_JobDays'!G2)),0,IF(WEEKDAY(P$6,1)=1,P64*P65,0)),IF(OR(P64&lt;=0,NOT('_JobDays'!G2)),0,IF(WEEKDAY(P$6,1)=1,P64*P65,0))))</f>
        <v>0</v>
      </c>
      <c r="Q68" s="62">
        <f>IF(AND(Q64=1,Q65=8,E63="Auto",B63="Pipefitter General Foreman",AND('Job setup'!$B$7="ON",'Job setup'!$C$7&lt;=Q$6,'Job setup'!$D$7&gt;=Q$6,'Job setup'!$G$7="YES")),0,IF(OS63,IF(OR(Q64&lt;=0,NOT('_JobDays'!H2)),0,IF(WEEKDAY(Q$6,1)=1,Q64*Q65,0)),IF(OR(Q64&lt;=0,NOT('_JobDays'!H2)),0,IF(WEEKDAY(Q$6,1)=1,Q64*Q65,0))))</f>
        <v>0</v>
      </c>
      <c r="R68" s="62">
        <f>IF(AND(R64=1,R65=8,E63="Auto",B63="Pipefitter General Foreman",AND('Job setup'!$B$7="ON",'Job setup'!$C$7&lt;=R$6,'Job setup'!$D$7&gt;=R$6,'Job setup'!$G$7="YES")),0,IF(OS63,IF(OR(R64&lt;=0,NOT('_JobDays'!I2)),0,IF(WEEKDAY(R$6,1)=1,R64*R65,0)),IF(OR(R64&lt;=0,NOT('_JobDays'!I2)),0,IF(WEEKDAY(R$6,1)=1,R64*R65,0))))</f>
        <v>0</v>
      </c>
      <c r="S68" s="62">
        <f>IF(AND(S64=1,S65=8,E63="Auto",B63="Pipefitter General Foreman",AND('Job setup'!$B$7="ON",'Job setup'!$C$7&lt;=S$6,'Job setup'!$D$7&gt;=S$6,'Job setup'!$G$7="YES")),0,IF(OS63,IF(OR(S64&lt;=0,NOT('_JobDays'!J2)),0,IF(WEEKDAY(S$6,1)=1,S64*S65,0)),IF(OR(S64&lt;=0,NOT('_JobDays'!J2)),0,IF(WEEKDAY(S$6,1)=1,S64*S65,0))))</f>
        <v>0</v>
      </c>
      <c r="T68" s="62">
        <f>IF(AND(T64=1,T65=12,E63="Auto",B63="Pipefitter General Foreman",AND('Job setup'!$B$9="ON",'Job setup'!$C$9&lt;=T$6,'Job setup'!$D$9&gt;=T$6,'Job setup'!$G$9="NO")),0,IF(OS63,IF(OR(T64&lt;=0,NOT('_JobDays'!K2)),0,IF(WEEKDAY(T$6,1)=1,T64*T65,0)),IF(OR(T64&lt;=0,NOT('_JobDays'!K2)),0,IF(WEEKDAY(T$6,1)=1,T64*T65,0))))</f>
        <v>0</v>
      </c>
      <c r="U68" s="62">
        <f>IF(AND(U64=1,U65=12,E63="Auto",B63="Pipefitter General Foreman",AND('Job setup'!$B$9="ON",'Job setup'!$C$9&lt;=U$6,'Job setup'!$D$9&gt;=U$6,'Job setup'!$G$9="NO")),0,IF(OS63,IF(OR(U64&lt;=0,NOT('_JobDays'!L2)),0,IF(WEEKDAY(U$6,1)=1,U64*U65,0)),IF(OR(U64&lt;=0,NOT('_JobDays'!L2)),0,IF(WEEKDAY(U$6,1)=1,U64*U65,0))))</f>
        <v>0</v>
      </c>
      <c r="V68" s="63">
        <f>IF(AND(V64=1,V65=12,E63="Auto",B63="Pipefitter General Foreman",AND('Job setup'!$B$9="ON",'Job setup'!$C$9&lt;=V$6,'Job setup'!$D$9&gt;=V$6,'Job setup'!$G$9="NO")),0,IF(OS63,IF(OR(V64&lt;=0,NOT('_JobDays'!M2)),0,IF(WEEKDAY(V$6,1)=1,V64*V65,0)),IF(OR(V64&lt;=0,NOT('_JobDays'!M2)),0,IF(WEEKDAY(V$6,1)=1,V64*V65,0))))</f>
        <v>0</v>
      </c>
      <c r="W68" s="63">
        <f>IF(AND(W64=1,W65=12,E63="Auto",B63="Pipefitter General Foreman",AND('Job setup'!$B$9="ON",'Job setup'!$C$9&lt;=W$6,'Job setup'!$D$9&gt;=W$6,'Job setup'!$G$9="NO")),12,IF(OS63,IF(OR(W64&lt;=0,NOT('_JobDays'!N2)),0,IF(WEEKDAY(W$6,1)=1,W64*W65,0)),IF(OR(W64&lt;=0,NOT('_JobDays'!N2)),0,IF(WEEKDAY(W$6,1)=1,W64*W65,0))))</f>
        <v>12</v>
      </c>
      <c r="X68" s="62">
        <f>IF(AND(X64=1,X65=12,E63="Auto",B63="Pipefitter General Foreman",AND('Job setup'!$B$9="ON",'Job setup'!$C$9&lt;=X$6,'Job setup'!$D$9&gt;=X$6,'Job setup'!$G$9="NO")),0,IF(OS63,IF(OR(X64&lt;=0,NOT('_JobDays'!O2)),0,IF(WEEKDAY(X$6,1)=1,X64*X65,0)),IF(OR(X64&lt;=0,NOT('_JobDays'!O2)),0,IF(WEEKDAY(X$6,1)=1,X64*X65,0))))</f>
        <v>0</v>
      </c>
      <c r="Y68" s="62">
        <f>IF(AND(Y64=1,Y65=12,E63="Auto",B63="Pipefitter General Foreman",AND('Job setup'!$B$9="ON",'Job setup'!$C$9&lt;=Y$6,'Job setup'!$D$9&gt;=Y$6,'Job setup'!$G$9="NO")),0,IF(OS63,IF(OR(Y64&lt;=0,NOT('_JobDays'!P2)),0,IF(WEEKDAY(Y$6,1)=1,Y64*Y65,0)),IF(OR(Y64&lt;=0,NOT('_JobDays'!P2)),0,IF(WEEKDAY(Y$6,1)=1,Y64*Y65,0))))</f>
        <v>0</v>
      </c>
      <c r="Z68" s="62">
        <f>IF(AND(Z64=1,Z65=12,E63="Auto",B63="Pipefitter General Foreman",AND('Job setup'!$B$9="ON",'Job setup'!$C$9&lt;=Z$6,'Job setup'!$D$9&gt;=Z$6,'Job setup'!$G$9="NO")),0,IF(OS63,IF(OR(Z64&lt;=0,NOT('_JobDays'!Q2)),0,IF(WEEKDAY(Z$6,1)=1,Z64*Z65,0)),IF(OR(Z64&lt;=0,NOT('_JobDays'!Q2)),0,IF(WEEKDAY(Z$6,1)=1,Z64*Z65,0))))</f>
        <v>0</v>
      </c>
      <c r="AA68" s="62">
        <f>IF(AND(AA64=1,AA65=12,E63="Auto",B63="Pipefitter General Foreman",AND('Job setup'!$B$9="ON",'Job setup'!$C$9&lt;=AA$6,'Job setup'!$D$9&gt;=AA$6,'Job setup'!$G$9="NO")),0,IF(OS63,IF(OR(AA64&lt;=0,NOT('_JobDays'!R2)),0,IF(WEEKDAY(AA$6,1)=1,AA64*AA65,0)),IF(OR(AA64&lt;=0,NOT('_JobDays'!R2)),0,IF(WEEKDAY(AA$6,1)=1,AA64*AA65,0))))</f>
        <v>0</v>
      </c>
      <c r="AB68" s="62">
        <f>IF(AND(AB64=1,AB65=12,E63="Auto",B63="Pipefitter General Foreman",AND('Job setup'!$B$9="ON",'Job setup'!$C$9&lt;=AB$6,'Job setup'!$D$9&gt;=AB$6,'Job setup'!$G$9="NO")),0,IF(OS63,IF(OR(AB64&lt;=0,NOT('_JobDays'!S2)),0,IF(WEEKDAY(AB$6,1)=1,AB64*AB65,0)),IF(OR(AB64&lt;=0,NOT('_JobDays'!S2)),0,IF(WEEKDAY(AB$6,1)=1,AB64*AB65,0))))</f>
        <v>0</v>
      </c>
      <c r="AC68" s="63">
        <f>IF(AND(AC64=1,AC65=12,E63="Auto",B63="Pipefitter General Foreman",AND('Job setup'!$B$9="ON",'Job setup'!$C$9&lt;=AC$6,'Job setup'!$D$9&gt;=AC$6,'Job setup'!$G$9="NO")),0,IF(OS63,IF(OR(AC64&lt;=0,NOT('_JobDays'!T2)),0,IF(WEEKDAY(AC$6,1)=1,AC64*AC65,0)),IF(OR(AC64&lt;=0,NOT('_JobDays'!T2)),0,IF(WEEKDAY(AC$6,1)=1,AC64*AC65,0))))</f>
        <v>0</v>
      </c>
      <c r="AD68" s="63">
        <f>IF(AND(AD64=1,AD65=12,E63="Auto",B63="Pipefitter General Foreman",AND('Job setup'!$B$9="ON",'Job setup'!$C$9&lt;=AD$6,'Job setup'!$D$9&gt;=AD$6,'Job setup'!$G$9="NO")),12,IF(OS63,IF(OR(AD64&lt;=0,NOT('_JobDays'!U2)),0,IF(WEEKDAY(AD$6,1)=1,AD64*AD65,0)),IF(OR(AD64&lt;=0,NOT('_JobDays'!U2)),0,IF(WEEKDAY(AD$6,1)=1,AD64*AD65,0))))</f>
        <v>12</v>
      </c>
      <c r="AE68" s="62">
        <f>IF(AND(AE64=1,AE65=12,E63="Auto",B63="Pipefitter General Foreman",AND('Job setup'!$B$9="ON",'Job setup'!$C$9&lt;=AE$6,'Job setup'!$D$9&gt;=AE$6,'Job setup'!$G$9="NO")),0,IF(OS63,IF(OR(AE64&lt;=0,NOT('_JobDays'!V2)),0,IF(WEEKDAY(AE$6,1)=1,AE64*AE65,0)),IF(OR(AE64&lt;=0,NOT('_JobDays'!V2)),0,IF(WEEKDAY(AE$6,1)=1,AE64*AE65,0))))</f>
        <v>0</v>
      </c>
      <c r="AF68" s="62">
        <f>IF(AND(AF64=1,AF65=12,E63="Auto",B63="Pipefitter General Foreman",AND('Job setup'!$B$9="ON",'Job setup'!$C$9&lt;=AF$6,'Job setup'!$D$9&gt;=AF$6,'Job setup'!$G$9="NO")),0,IF(OS63,IF(OR(AF64&lt;=0,NOT('_JobDays'!W2)),0,IF(WEEKDAY(AF$6,1)=1,AF64*AF65,0)),IF(OR(AF64&lt;=0,NOT('_JobDays'!W2)),0,IF(WEEKDAY(AF$6,1)=1,AF64*AF65,0))))</f>
        <v>0</v>
      </c>
      <c r="AG68" s="62">
        <f>IF(AND(AG64=1,AG65=12,E63="Auto",B63="Pipefitter General Foreman",AND('Job setup'!$B$9="ON",'Job setup'!$C$9&lt;=AG$6,'Job setup'!$D$9&gt;=AG$6,'Job setup'!$G$9="NO")),0,IF(OS63,IF(OR(AG64&lt;=0,NOT('_JobDays'!X2)),0,IF(WEEKDAY(AG$6,1)=1,AG64*AG65,0)),IF(OR(AG64&lt;=0,NOT('_JobDays'!X2)),0,IF(WEEKDAY(AG$6,1)=1,AG64*AG65,0))))</f>
        <v>0</v>
      </c>
      <c r="AH68" s="62">
        <f>IF(AND(AH64=0,AH65=0,E63="Auto",B63="Pipefitter General Foreman",AND('Job setup'!$B$11="ON",'Job setup'!$C$11&lt;=AH$6,'Job setup'!$D$11&gt;=AH$6,'Job setup'!$G$11="YES")),0,IF(OS63,IF(OR(AH64&lt;=0,NOT('_JobDays'!Y2)),0,IF(WEEKDAY(AH$6,1)=1,AH64*AH65,0)),IF(OR(AH64&lt;=0,NOT('_JobDays'!Y2)),0,IF(WEEKDAY(AH$6,1)=1,AH64*AH65,0))))</f>
        <v>0</v>
      </c>
      <c r="AI68" s="62">
        <f>IF(AND(AI64=0,AI65=0,E63="Auto",B63="Pipefitter General Foreman",AND('Job setup'!$B$11="ON",'Job setup'!$C$11&lt;=AI$6,'Job setup'!$D$11&gt;=AI$6,'Job setup'!$G$11="YES")),0,IF(OS63,IF(OR(AI64&lt;=0,NOT('_JobDays'!Z2)),0,IF(WEEKDAY(AI$6,1)=1,AI64*AI65,0)),IF(OR(AI64&lt;=0,NOT('_JobDays'!Z2)),0,IF(WEEKDAY(AI$6,1)=1,AI64*AI65,0))))</f>
        <v>0</v>
      </c>
      <c r="AJ68" s="63">
        <f>IF(AND(AJ64=0,AJ65=0,E63="Auto",B63="Pipefitter General Foreman",AND('Job setup'!$B$11="ON",'Job setup'!$C$11&lt;=AJ$6,'Job setup'!$D$11&gt;=AJ$6,'Job setup'!$G$11="YES")),0,IF(OS63,IF(OR(AJ64&lt;=0,NOT('_JobDays'!AA2)),0,IF(WEEKDAY(AJ$6,1)=1,AJ64*AJ65,0)),IF(OR(AJ64&lt;=0,NOT('_JobDays'!AA2)),0,IF(WEEKDAY(AJ$6,1)=1,AJ64*AJ65,0))))</f>
        <v>0</v>
      </c>
      <c r="AK68" s="63">
        <f>IF(AND(AK64=0,AK65=0,E63="Auto",B63="Pipefitter General Foreman",AND('Job setup'!$B$11="ON",'Job setup'!$C$11&lt;=AK$6,'Job setup'!$D$11&gt;=AK$6,'Job setup'!$G$11="YES")),0,IF(OS63,IF(OR(AK64&lt;=0,NOT('_JobDays'!AB2)),0,IF(WEEKDAY(AK$6,1)=1,AK64*AK65,0)),IF(OR(AK64&lt;=0,NOT('_JobDays'!AB2)),0,IF(WEEKDAY(AK$6,1)=1,AK64*AK65,0))))</f>
        <v>0</v>
      </c>
      <c r="AL68" s="62">
        <f>IF(AND(AL64=0,AL65=0,E63="Auto",B63="Pipefitter General Foreman",AND('Job setup'!$B$11="ON",'Job setup'!$C$11&lt;=AL$6,'Job setup'!$D$11&gt;=AL$6,'Job setup'!$G$11="YES")),0,IF(OS63,IF(OR(AL64&lt;=0,NOT('_JobDays'!AC2)),0,IF(WEEKDAY(AL$6,1)=1,AL64*AL65,0)),IF(OR(AL64&lt;=0,NOT('_JobDays'!AC2)),0,IF(WEEKDAY(AL$6,1)=1,AL64*AL65,0))))</f>
        <v>0</v>
      </c>
      <c r="AM68" s="62">
        <f>IF(AND(AM64=0,AM65=0,E63="Auto",B63="Pipefitter General Foreman",AND('Job setup'!$B$11="ON",'Job setup'!$C$11&lt;=AM$6,'Job setup'!$D$11&gt;=AM$6,'Job setup'!$G$11="YES")),0,IF(OS63,IF(OR(AM64&lt;=0,NOT('_JobDays'!AD2)),0,IF(WEEKDAY(AM$6,1)=1,AM64*AM65,0)),IF(OR(AM64&lt;=0,NOT('_JobDays'!AD2)),0,IF(WEEKDAY(AM$6,1)=1,AM64*AM65,0))))</f>
        <v>0</v>
      </c>
      <c r="AN68" s="62">
        <f>IF(AND(AN64=0,AN65=0,E63="Auto",B63="Pipefitter General Foreman",AND('Job setup'!$B$11="ON",'Job setup'!$C$11&lt;=AN$6,'Job setup'!$D$11&gt;=AN$6,'Job setup'!$G$11="YES")),0,IF(OS63,IF(OR(AN64&lt;=0,NOT('_JobDays'!AE2)),0,IF(WEEKDAY(AN$6,1)=1,AN64*AN65,0)),IF(OR(AN64&lt;=0,NOT('_JobDays'!AE2)),0,IF(WEEKDAY(AN$6,1)=1,AN64*AN65,0))))</f>
        <v>0</v>
      </c>
      <c r="AO68" s="64">
        <f>IF(AND(AO64=0,AO65=0,E63="Auto",B63="Pipefitter General Foreman",AND('Job setup'!$B$11="ON",'Job setup'!$C$11&lt;=AO$6,'Job setup'!$D$11&gt;=AO$6,'Job setup'!$G$11="YES")),0,IF(OS63,IF(OR(AO64&lt;=0,NOT('_JobDays'!AF2)),0,IF(WEEKDAY(AO$6,1)=1,AO64*AO65,0)),IF(OR(AO64&lt;=0,NOT('_JobDays'!AF2)),0,IF(WEEKDAY(AO$6,1)=1,AO64*AO65,0))))</f>
        <v>0</v>
      </c>
      <c r="OT68" s="28" t="s">
        <v>74</v>
      </c>
    </row>
    <row r="69" ht="16" customHeight="1" spans="1:410" x14ac:dyDescent="0.25">
      <c r="A69" s="73"/>
      <c r="B69" s="44"/>
      <c r="C69" s="66">
        <f>I63*D69</f>
        <v>3080</v>
      </c>
      <c r="D69" s="66">
        <v>140</v>
      </c>
      <c r="E69" s="67" t="s">
        <v>63</v>
      </c>
      <c r="F69" s="48"/>
      <c r="G69" s="48"/>
      <c r="H69" s="48"/>
      <c r="I69" s="49"/>
      <c r="J69" s="68">
        <v>1</v>
      </c>
      <c r="K69" s="69">
        <v>1</v>
      </c>
      <c r="L69" s="69">
        <v>1</v>
      </c>
      <c r="M69" s="69">
        <v>1</v>
      </c>
      <c r="N69" s="69">
        <v>1</v>
      </c>
      <c r="O69" s="70">
        <v>0</v>
      </c>
      <c r="P69" s="70">
        <v>0</v>
      </c>
      <c r="Q69" s="69">
        <v>1</v>
      </c>
      <c r="R69" s="69">
        <v>1</v>
      </c>
      <c r="S69" s="69">
        <v>1</v>
      </c>
      <c r="T69" s="69">
        <v>1</v>
      </c>
      <c r="U69" s="69">
        <v>1</v>
      </c>
      <c r="V69" s="70">
        <v>1</v>
      </c>
      <c r="W69" s="70">
        <v>1</v>
      </c>
      <c r="X69" s="69">
        <v>1</v>
      </c>
      <c r="Y69" s="69">
        <v>1</v>
      </c>
      <c r="Z69" s="69">
        <v>1</v>
      </c>
      <c r="AA69" s="69">
        <v>1</v>
      </c>
      <c r="AB69" s="69">
        <v>1</v>
      </c>
      <c r="AC69" s="70">
        <v>1</v>
      </c>
      <c r="AD69" s="70">
        <v>1</v>
      </c>
      <c r="AE69" s="69">
        <v>1</v>
      </c>
      <c r="AF69" s="69">
        <v>1</v>
      </c>
      <c r="AG69" s="69">
        <v>1</v>
      </c>
      <c r="AH69" s="69">
        <v>0</v>
      </c>
      <c r="AI69" s="69">
        <v>0</v>
      </c>
      <c r="AJ69" s="70">
        <v>0</v>
      </c>
      <c r="AK69" s="70">
        <v>0</v>
      </c>
      <c r="AL69" s="69">
        <v>0</v>
      </c>
      <c r="AM69" s="69">
        <v>0</v>
      </c>
      <c r="AN69" s="69">
        <v>0</v>
      </c>
      <c r="AO69" s="71">
        <v>0</v>
      </c>
      <c r="OT69" s="59" t="s">
        <v>74</v>
      </c>
    </row>
    <row r="70" ht="16" customHeight="1" spans="1:410" x14ac:dyDescent="0.25">
      <c r="A70" s="16" t="s">
        <v>75</v>
      </c>
      <c r="B70" s="17"/>
      <c r="C70" s="74">
        <f>SUM(C7,C15,C23,C31,C39,C47,C55,C63)</f>
        <v>245898.48</v>
      </c>
      <c r="D70" s="17"/>
      <c r="E70" s="17"/>
      <c r="F70" s="18">
        <f>SUM(F7,F15,F23,F31,F39,F47,F55,F63)</f>
        <v>1464</v>
      </c>
      <c r="G70" s="18">
        <f>SUM(G7,G15,G23,G31,G39,G47,G55,G63)</f>
        <v>392</v>
      </c>
      <c r="H70" s="18">
        <f>SUM(H7,H15,H23,H31,H39,H47,H55,H63)</f>
        <v>192</v>
      </c>
      <c r="I70" s="18">
        <f>SUM(I7,I15,I23,I31,I39,I47,I55,I63)</f>
        <v>176</v>
      </c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  <c r="AL70" s="75"/>
      <c r="AM70" s="75"/>
      <c r="AN70" s="75"/>
      <c r="AO70" s="75"/>
      <c r="OS70" s="16">
        <f>SUM(C13,C21,C29,C37,C45,C53,C61,C69)</f>
        <v>24640</v>
      </c>
      <c r="OT70" s="16">
        <f>F70+G70+H70</f>
        <v>2048</v>
      </c>
    </row>
  </sheetData>
  <sheetProtection sheet="1" formatColumns="1"/>
  <mergeCells count="71">
    <mergeCell ref="A1:I1"/>
    <mergeCell ref="A2:I2"/>
    <mergeCell ref="A3:I3"/>
    <mergeCell ref="A4:I5"/>
    <mergeCell ref="J4:S4"/>
    <mergeCell ref="T4:AG4"/>
    <mergeCell ref="AH4:AO4"/>
    <mergeCell ref="A7:A13"/>
    <mergeCell ref="B7:B13"/>
    <mergeCell ref="C7:C9"/>
    <mergeCell ref="D7:D9"/>
    <mergeCell ref="F7:F13"/>
    <mergeCell ref="G7:G13"/>
    <mergeCell ref="H7:H13"/>
    <mergeCell ref="I7:I13"/>
    <mergeCell ref="A15:A21"/>
    <mergeCell ref="B15:B21"/>
    <mergeCell ref="C15:C17"/>
    <mergeCell ref="D15:D17"/>
    <mergeCell ref="F15:F21"/>
    <mergeCell ref="G15:G21"/>
    <mergeCell ref="H15:H21"/>
    <mergeCell ref="I15:I21"/>
    <mergeCell ref="A23:A29"/>
    <mergeCell ref="B23:B29"/>
    <mergeCell ref="C23:C25"/>
    <mergeCell ref="D23:D25"/>
    <mergeCell ref="F23:F29"/>
    <mergeCell ref="G23:G29"/>
    <mergeCell ref="H23:H29"/>
    <mergeCell ref="I23:I29"/>
    <mergeCell ref="A31:A37"/>
    <mergeCell ref="B31:B37"/>
    <mergeCell ref="C31:C33"/>
    <mergeCell ref="D31:D33"/>
    <mergeCell ref="F31:F37"/>
    <mergeCell ref="G31:G37"/>
    <mergeCell ref="H31:H37"/>
    <mergeCell ref="I31:I37"/>
    <mergeCell ref="A39:A45"/>
    <mergeCell ref="B39:B45"/>
    <mergeCell ref="C39:C41"/>
    <mergeCell ref="D39:D41"/>
    <mergeCell ref="F39:F45"/>
    <mergeCell ref="G39:G45"/>
    <mergeCell ref="H39:H45"/>
    <mergeCell ref="I39:I45"/>
    <mergeCell ref="A47:A53"/>
    <mergeCell ref="B47:B53"/>
    <mergeCell ref="C47:C49"/>
    <mergeCell ref="D47:D49"/>
    <mergeCell ref="F47:F53"/>
    <mergeCell ref="G47:G53"/>
    <mergeCell ref="H47:H53"/>
    <mergeCell ref="I47:I53"/>
    <mergeCell ref="A55:A61"/>
    <mergeCell ref="B55:B61"/>
    <mergeCell ref="C55:C57"/>
    <mergeCell ref="D55:D57"/>
    <mergeCell ref="F55:F61"/>
    <mergeCell ref="G55:G61"/>
    <mergeCell ref="H55:H61"/>
    <mergeCell ref="I55:I61"/>
    <mergeCell ref="A63:A69"/>
    <mergeCell ref="B63:B69"/>
    <mergeCell ref="C63:C65"/>
    <mergeCell ref="D63:D65"/>
    <mergeCell ref="F63:F69"/>
    <mergeCell ref="G63:G69"/>
    <mergeCell ref="H63:H69"/>
    <mergeCell ref="I63:I69"/>
  </mergeCells>
  <conditionalFormatting sqref="J6:AO6">
    <cfRule type="expression" dxfId="8" priority="1">
      <formula>OR(WEEKDAY(J$6,1)=7,WEEKDAY(J$6,1)=1)</formula>
    </cfRule>
  </conditionalFormatting>
  <conditionalFormatting sqref="J7:AO13">
    <cfRule type="expression" dxfId="8" priority="1">
      <formula>OR(WEEKDAY(J$6,1)=7,WEEKDAY(J$6,1)=1)</formula>
    </cfRule>
  </conditionalFormatting>
  <conditionalFormatting sqref="J15:AO21">
    <cfRule type="expression" dxfId="8" priority="1">
      <formula>OR(WEEKDAY(J$6,1)=7,WEEKDAY(J$6,1)=1)</formula>
    </cfRule>
  </conditionalFormatting>
  <conditionalFormatting sqref="J23:AO29">
    <cfRule type="expression" dxfId="8" priority="1">
      <formula>OR(WEEKDAY(J$6,1)=7,WEEKDAY(J$6,1)=1)</formula>
    </cfRule>
  </conditionalFormatting>
  <conditionalFormatting sqref="J31:AO37">
    <cfRule type="expression" dxfId="8" priority="1">
      <formula>OR(WEEKDAY(J$6,1)=7,WEEKDAY(J$6,1)=1)</formula>
    </cfRule>
  </conditionalFormatting>
  <conditionalFormatting sqref="J39:AO45">
    <cfRule type="expression" dxfId="8" priority="1">
      <formula>OR(WEEKDAY(J$6,1)=7,WEEKDAY(J$6,1)=1)</formula>
    </cfRule>
  </conditionalFormatting>
  <conditionalFormatting sqref="J47:AO53">
    <cfRule type="expression" dxfId="8" priority="1">
      <formula>OR(WEEKDAY(J$6,1)=7,WEEKDAY(J$6,1)=1)</formula>
    </cfRule>
  </conditionalFormatting>
  <conditionalFormatting sqref="J55:AO61">
    <cfRule type="expression" dxfId="8" priority="1">
      <formula>OR(WEEKDAY(J$6,1)=7,WEEKDAY(J$6,1)=1)</formula>
    </cfRule>
  </conditionalFormatting>
  <conditionalFormatting sqref="J63:AO69">
    <cfRule type="expression" dxfId="8" priority="1">
      <formula>OR(WEEKDAY(J$6,1)=7,WEEKDAY(J$6,1)=1)</formula>
    </cfRule>
  </conditionalFormatting>
  <dataValidations count="16">
    <dataValidation type="list" allowBlank="1" sqref="B15">
      <formula1>='_Lists'!$A$1:$A$94</formula1>
    </dataValidation>
    <dataValidation type="list" allowBlank="1" sqref="B23">
      <formula1>='_Lists'!$A$1:$A$94</formula1>
    </dataValidation>
    <dataValidation type="list" allowBlank="1" sqref="B31">
      <formula1>='_Lists'!$A$1:$A$94</formula1>
    </dataValidation>
    <dataValidation type="list" allowBlank="1" sqref="B39">
      <formula1>='_Lists'!$A$1:$A$94</formula1>
    </dataValidation>
    <dataValidation type="list" allowBlank="1" sqref="B47">
      <formula1>='_Lists'!$A$1:$A$94</formula1>
    </dataValidation>
    <dataValidation type="list" allowBlank="1" sqref="B55">
      <formula1>='_Lists'!$A$1:$A$94</formula1>
    </dataValidation>
    <dataValidation type="list" allowBlank="1" sqref="B63">
      <formula1>='_Lists'!$A$1:$A$94</formula1>
    </dataValidation>
    <dataValidation type="list" allowBlank="1" sqref="B7">
      <formula1>='_Lists'!$A$1:$A$94</formula1>
    </dataValidation>
    <dataValidation type="list" allowBlank="1" sqref="E15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39">
      <formula1>='_Lists'!$L$1:$L$3</formula1>
    </dataValidation>
    <dataValidation type="list" allowBlank="1" sqref="E47">
      <formula1>='_Lists'!$L$1:$L$3</formula1>
    </dataValidation>
    <dataValidation type="list" allowBlank="1" sqref="E55">
      <formula1>='_Lists'!$L$1:$L$3</formula1>
    </dataValidation>
    <dataValidation type="list" allowBlank="1" sqref="E63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22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7" customWidth="1"/>
    <col min="11" max="11" width="7" customWidth="1"/>
    <col min="12" max="12" width="7" customWidth="1"/>
    <col min="13" max="13" width="7" customWidth="1"/>
    <col min="14" max="14" width="7" customWidth="1"/>
    <col min="15" max="15" width="7" customWidth="1"/>
    <col min="16" max="16" width="7" customWidth="1"/>
    <col min="17" max="17" width="7" customWidth="1"/>
    <col min="18" max="18" width="7" customWidth="1"/>
    <col min="19" max="19" width="7" customWidth="1"/>
    <col min="20" max="20" width="7" customWidth="1"/>
    <col min="21" max="21" width="7" customWidth="1"/>
    <col min="22" max="22" width="7" customWidth="1"/>
    <col min="23" max="23" width="7" customWidth="1"/>
    <col min="24" max="24" width="7" customWidth="1"/>
    <col min="25" max="25" width="7" customWidth="1"/>
    <col min="26" max="26" width="7" customWidth="1"/>
    <col min="27" max="27" width="7" customWidth="1"/>
    <col min="28" max="28" width="7" customWidth="1"/>
    <col min="29" max="29" width="7" customWidth="1"/>
    <col min="30" max="30" width="7" customWidth="1"/>
    <col min="31" max="31" width="7" customWidth="1"/>
    <col min="32" max="32" width="7" customWidth="1"/>
    <col min="33" max="33" width="7" customWidth="1"/>
    <col min="34" max="34" width="7" customWidth="1"/>
    <col min="35" max="35" width="7" customWidth="1"/>
    <col min="36" max="36" width="7" customWidth="1"/>
    <col min="37" max="37" width="7" customWidth="1"/>
    <col min="38" max="38" width="7" customWidth="1"/>
    <col min="39" max="39" width="7" customWidth="1"/>
    <col min="40" max="40" width="7" customWidth="1"/>
    <col min="41" max="41" width="7" customWidth="1"/>
    <col min="42" max="16384" width="9" hidden="1" customWidth="1"/>
  </cols>
  <sheetData>
    <row r="1" ht="22" customHeight="1" spans="1:4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</row>
    <row r="2" ht="16" customHeight="1" spans="1:4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ht="16" customHeight="1" spans="1:4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</row>
    <row r="4" ht="14" customHeight="1" spans="1:41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8" t="s">
        <v>25</v>
      </c>
      <c r="K4" s="38"/>
      <c r="L4" s="38"/>
      <c r="M4" s="38"/>
      <c r="N4" s="38"/>
      <c r="O4" s="38"/>
      <c r="P4" s="38"/>
      <c r="Q4" s="38"/>
      <c r="R4" s="38"/>
      <c r="S4" s="38"/>
      <c r="T4" s="39" t="s">
        <v>32</v>
      </c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8" t="s">
        <v>36</v>
      </c>
      <c r="AI4" s="38"/>
      <c r="AJ4" s="38"/>
      <c r="AK4" s="38"/>
      <c r="AL4" s="38"/>
      <c r="AM4" s="38"/>
      <c r="AN4" s="38"/>
      <c r="AO4" s="38"/>
    </row>
    <row r="5" ht="14" customHeight="1" spans="1:41" x14ac:dyDescent="0.25">
      <c r="A5" s="37"/>
      <c r="B5" s="37"/>
      <c r="C5" s="37"/>
      <c r="D5" s="37"/>
      <c r="E5" s="37"/>
      <c r="F5" s="37"/>
      <c r="G5" s="37"/>
      <c r="H5" s="37"/>
      <c r="I5" s="37"/>
      <c r="J5" s="40" t="s">
        <v>38</v>
      </c>
      <c r="K5" s="40" t="s">
        <v>39</v>
      </c>
      <c r="L5" s="40" t="s">
        <v>40</v>
      </c>
      <c r="M5" s="40" t="s">
        <v>41</v>
      </c>
      <c r="N5" s="40" t="s">
        <v>42</v>
      </c>
      <c r="O5" s="40" t="s">
        <v>43</v>
      </c>
      <c r="P5" s="40" t="s">
        <v>44</v>
      </c>
      <c r="Q5" s="40" t="s">
        <v>38</v>
      </c>
      <c r="R5" s="40" t="s">
        <v>39</v>
      </c>
      <c r="S5" s="40" t="s">
        <v>40</v>
      </c>
      <c r="T5" s="40" t="s">
        <v>41</v>
      </c>
      <c r="U5" s="40" t="s">
        <v>42</v>
      </c>
      <c r="V5" s="40" t="s">
        <v>43</v>
      </c>
      <c r="W5" s="40" t="s">
        <v>44</v>
      </c>
      <c r="X5" s="40" t="s">
        <v>38</v>
      </c>
      <c r="Y5" s="40" t="s">
        <v>39</v>
      </c>
      <c r="Z5" s="40" t="s">
        <v>40</v>
      </c>
      <c r="AA5" s="40" t="s">
        <v>41</v>
      </c>
      <c r="AB5" s="40" t="s">
        <v>42</v>
      </c>
      <c r="AC5" s="40" t="s">
        <v>43</v>
      </c>
      <c r="AD5" s="40" t="s">
        <v>44</v>
      </c>
      <c r="AE5" s="40" t="s">
        <v>38</v>
      </c>
      <c r="AF5" s="40" t="s">
        <v>39</v>
      </c>
      <c r="AG5" s="40" t="s">
        <v>40</v>
      </c>
      <c r="AH5" s="40" t="s">
        <v>41</v>
      </c>
      <c r="AI5" s="40" t="s">
        <v>42</v>
      </c>
      <c r="AJ5" s="40" t="s">
        <v>43</v>
      </c>
      <c r="AK5" s="40" t="s">
        <v>44</v>
      </c>
      <c r="AL5" s="40" t="s">
        <v>38</v>
      </c>
      <c r="AM5" s="40" t="s">
        <v>39</v>
      </c>
      <c r="AN5" s="40" t="s">
        <v>40</v>
      </c>
      <c r="AO5" s="40" t="s">
        <v>41</v>
      </c>
    </row>
    <row r="6" ht="22" customHeight="1" spans="1:41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41">
        <v>46286</v>
      </c>
      <c r="K6" s="41">
        <f>J6+1</f>
        <v>46287</v>
      </c>
      <c r="L6" s="41">
        <f>K6+1</f>
        <v>46288</v>
      </c>
      <c r="M6" s="41">
        <f>L6+1</f>
        <v>46289</v>
      </c>
      <c r="N6" s="41">
        <f>M6+1</f>
        <v>46290</v>
      </c>
      <c r="O6" s="42">
        <f>N6+1</f>
        <v>46291</v>
      </c>
      <c r="P6" s="42">
        <f>O6+1</f>
        <v>46292</v>
      </c>
      <c r="Q6" s="41">
        <f>P6+1</f>
        <v>46293</v>
      </c>
      <c r="R6" s="41">
        <f>Q6+1</f>
        <v>46294</v>
      </c>
      <c r="S6" s="41">
        <f>R6+1</f>
        <v>46295</v>
      </c>
      <c r="T6" s="41">
        <f>S6+1</f>
        <v>46296</v>
      </c>
      <c r="U6" s="41">
        <f>T6+1</f>
        <v>46297</v>
      </c>
      <c r="V6" s="42">
        <f>U6+1</f>
        <v>46298</v>
      </c>
      <c r="W6" s="42">
        <f>V6+1</f>
        <v>46299</v>
      </c>
      <c r="X6" s="41">
        <f>W6+1</f>
        <v>46300</v>
      </c>
      <c r="Y6" s="41">
        <f>X6+1</f>
        <v>46301</v>
      </c>
      <c r="Z6" s="41">
        <f>Y6+1</f>
        <v>46302</v>
      </c>
      <c r="AA6" s="41">
        <f>Z6+1</f>
        <v>46303</v>
      </c>
      <c r="AB6" s="41">
        <f>AA6+1</f>
        <v>46304</v>
      </c>
      <c r="AC6" s="42">
        <f>AB6+1</f>
        <v>46305</v>
      </c>
      <c r="AD6" s="42">
        <f>AC6+1</f>
        <v>46306</v>
      </c>
      <c r="AE6" s="41">
        <f>AD6+1</f>
        <v>46307</v>
      </c>
      <c r="AF6" s="41">
        <f>AE6+1</f>
        <v>46308</v>
      </c>
      <c r="AG6" s="41">
        <f>AF6+1</f>
        <v>46309</v>
      </c>
      <c r="AH6" s="41">
        <f>AG6+1</f>
        <v>46310</v>
      </c>
      <c r="AI6" s="41">
        <f>AH6+1</f>
        <v>46311</v>
      </c>
      <c r="AJ6" s="42">
        <f>AI6+1</f>
        <v>46312</v>
      </c>
      <c r="AK6" s="42">
        <f>AJ6+1</f>
        <v>46313</v>
      </c>
      <c r="AL6" s="41">
        <f>AK6+1</f>
        <v>46314</v>
      </c>
      <c r="AM6" s="41">
        <f>AL6+1</f>
        <v>46315</v>
      </c>
      <c r="AN6" s="41">
        <f>AM6+1</f>
        <v>46316</v>
      </c>
      <c r="AO6" s="41">
        <f>AN6+1</f>
        <v>46317</v>
      </c>
    </row>
    <row r="7" ht="16" customHeight="1" spans="1:410" x14ac:dyDescent="0.25">
      <c r="A7" s="43" t="s">
        <v>54</v>
      </c>
      <c r="B7" s="44" t="s">
        <v>76</v>
      </c>
      <c r="C7" s="45">
        <f>C10+C11+C12</f>
        <v>63360.64</v>
      </c>
      <c r="D7" s="46"/>
      <c r="E7" s="47" t="s">
        <v>56</v>
      </c>
      <c r="F7" s="48">
        <f>SUM(J10:AO10)</f>
        <v>336</v>
      </c>
      <c r="G7" s="48">
        <f>SUM(J11:AO11)</f>
        <v>128</v>
      </c>
      <c r="H7" s="48">
        <f>SUM(J12:AO12)</f>
        <v>48</v>
      </c>
      <c r="I7" s="49">
        <f>SUM(J13:AO13)</f>
        <v>50</v>
      </c>
      <c r="J7" s="50"/>
      <c r="K7" s="51"/>
      <c r="L7" s="51"/>
      <c r="M7" s="51"/>
      <c r="N7" s="51"/>
      <c r="O7" s="52"/>
      <c r="P7" s="52"/>
      <c r="Q7" s="51"/>
      <c r="R7" s="51"/>
      <c r="S7" s="51"/>
      <c r="T7" s="51"/>
      <c r="U7" s="51"/>
      <c r="V7" s="52"/>
      <c r="W7" s="52"/>
      <c r="X7" s="51"/>
      <c r="Y7" s="51"/>
      <c r="Z7" s="51"/>
      <c r="AA7" s="51"/>
      <c r="AB7" s="51"/>
      <c r="AC7" s="52"/>
      <c r="AD7" s="52"/>
      <c r="AE7" s="51"/>
      <c r="AF7" s="51"/>
      <c r="AG7" s="51"/>
      <c r="AH7" s="51"/>
      <c r="AI7" s="51"/>
      <c r="AJ7" s="52"/>
      <c r="AK7" s="52"/>
      <c r="AL7" s="51"/>
      <c r="AM7" s="51"/>
      <c r="AN7" s="51"/>
      <c r="AO7" s="53"/>
      <c r="OS7" s="28">
        <f>OR(E7="Staff clock",AND(OR(E7="Auto",E7=""),ISNUMBER(MATCH(B7,'_Lists'!$K$1:$K$137,0))))</f>
        <v>0</v>
      </c>
      <c r="OT7" s="28" t="s">
        <v>77</v>
      </c>
    </row>
    <row r="8" ht="16" customHeight="1" spans="1:410" x14ac:dyDescent="0.25">
      <c r="A8" s="43"/>
      <c r="B8" s="44"/>
      <c r="C8" s="45"/>
      <c r="D8" s="46"/>
      <c r="E8" s="54" t="s">
        <v>58</v>
      </c>
      <c r="F8" s="48"/>
      <c r="G8" s="48"/>
      <c r="H8" s="48"/>
      <c r="I8" s="49"/>
      <c r="J8" s="55">
        <v>2</v>
      </c>
      <c r="K8" s="56">
        <v>2</v>
      </c>
      <c r="L8" s="56">
        <v>2</v>
      </c>
      <c r="M8" s="56">
        <v>2</v>
      </c>
      <c r="N8" s="56">
        <v>2</v>
      </c>
      <c r="O8" s="57">
        <v>0</v>
      </c>
      <c r="P8" s="57">
        <v>0</v>
      </c>
      <c r="Q8" s="56">
        <v>2</v>
      </c>
      <c r="R8" s="56">
        <v>2</v>
      </c>
      <c r="S8" s="56">
        <v>2</v>
      </c>
      <c r="T8" s="56">
        <v>2</v>
      </c>
      <c r="U8" s="56">
        <v>2</v>
      </c>
      <c r="V8" s="57">
        <v>2</v>
      </c>
      <c r="W8" s="57">
        <v>2</v>
      </c>
      <c r="X8" s="56">
        <v>2</v>
      </c>
      <c r="Y8" s="56">
        <v>2</v>
      </c>
      <c r="Z8" s="56">
        <v>2</v>
      </c>
      <c r="AA8" s="56">
        <v>2</v>
      </c>
      <c r="AB8" s="56">
        <v>2</v>
      </c>
      <c r="AC8" s="57">
        <v>2</v>
      </c>
      <c r="AD8" s="57">
        <v>2</v>
      </c>
      <c r="AE8" s="56">
        <v>2</v>
      </c>
      <c r="AF8" s="56">
        <v>2</v>
      </c>
      <c r="AG8" s="56">
        <v>2</v>
      </c>
      <c r="AH8" s="56">
        <v>1</v>
      </c>
      <c r="AI8" s="56">
        <v>1</v>
      </c>
      <c r="AJ8" s="57">
        <v>0</v>
      </c>
      <c r="AK8" s="57">
        <v>0</v>
      </c>
      <c r="AL8" s="56">
        <v>1</v>
      </c>
      <c r="AM8" s="56">
        <v>1</v>
      </c>
      <c r="AN8" s="56">
        <v>1</v>
      </c>
      <c r="AO8" s="58">
        <v>1</v>
      </c>
      <c r="OT8" s="59" t="s">
        <v>77</v>
      </c>
    </row>
    <row r="9" ht="16" customHeight="1" spans="1:410" x14ac:dyDescent="0.25">
      <c r="A9" s="43"/>
      <c r="B9" s="44"/>
      <c r="C9" s="45"/>
      <c r="D9" s="46"/>
      <c r="E9" s="54" t="s">
        <v>59</v>
      </c>
      <c r="F9" s="48"/>
      <c r="G9" s="48"/>
      <c r="H9" s="48"/>
      <c r="I9" s="49"/>
      <c r="J9" s="55">
        <v>8</v>
      </c>
      <c r="K9" s="56">
        <v>8</v>
      </c>
      <c r="L9" s="56">
        <v>8</v>
      </c>
      <c r="M9" s="56">
        <v>8</v>
      </c>
      <c r="N9" s="56">
        <v>8</v>
      </c>
      <c r="O9" s="57">
        <v>0</v>
      </c>
      <c r="P9" s="57">
        <v>0</v>
      </c>
      <c r="Q9" s="56">
        <v>8</v>
      </c>
      <c r="R9" s="56">
        <v>8</v>
      </c>
      <c r="S9" s="56">
        <v>8</v>
      </c>
      <c r="T9" s="56">
        <v>12</v>
      </c>
      <c r="U9" s="56">
        <v>12</v>
      </c>
      <c r="V9" s="57">
        <v>12</v>
      </c>
      <c r="W9" s="57">
        <v>12</v>
      </c>
      <c r="X9" s="56">
        <v>12</v>
      </c>
      <c r="Y9" s="56">
        <v>12</v>
      </c>
      <c r="Z9" s="56">
        <v>12</v>
      </c>
      <c r="AA9" s="56">
        <v>12</v>
      </c>
      <c r="AB9" s="56">
        <v>12</v>
      </c>
      <c r="AC9" s="57">
        <v>12</v>
      </c>
      <c r="AD9" s="57">
        <v>12</v>
      </c>
      <c r="AE9" s="56">
        <v>12</v>
      </c>
      <c r="AF9" s="56">
        <v>12</v>
      </c>
      <c r="AG9" s="56">
        <v>12</v>
      </c>
      <c r="AH9" s="56">
        <v>8</v>
      </c>
      <c r="AI9" s="56">
        <v>8</v>
      </c>
      <c r="AJ9" s="57">
        <v>0</v>
      </c>
      <c r="AK9" s="57">
        <v>0</v>
      </c>
      <c r="AL9" s="56">
        <v>8</v>
      </c>
      <c r="AM9" s="56">
        <v>8</v>
      </c>
      <c r="AN9" s="56">
        <v>8</v>
      </c>
      <c r="AO9" s="58">
        <v>8</v>
      </c>
      <c r="OT9" s="59" t="s">
        <v>77</v>
      </c>
    </row>
    <row r="10" ht="16" customHeight="1" spans="1:410" x14ac:dyDescent="0.25">
      <c r="A10" s="43"/>
      <c r="B10" s="44"/>
      <c r="C10" s="60">
        <f>F7*N(D10)</f>
        <v>35374.08</v>
      </c>
      <c r="D10" s="60">
        <f>IF(TRIM(B7)="","No rate",IFERROR(INDEX('Rate Tables'!C$7:C$161,MATCH(B7,'Rate Tables'!A$7:A$161,0)),"No rate"))</f>
        <v>105.28</v>
      </c>
      <c r="E10" s="54" t="s">
        <v>60</v>
      </c>
      <c r="F10" s="48"/>
      <c r="G10" s="48"/>
      <c r="H10" s="48"/>
      <c r="I10" s="49"/>
      <c r="J10" s="61">
        <f>IF(AND(J8=2,J9=8,E7="Auto",B7="Pipefitter Foreman",AND('Job setup'!$B$7="ON",'Job setup'!$C$7&lt;=J$6,'Job setup'!$D$7&gt;=J$6,'Job setup'!$G$7="YES")),16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16</v>
      </c>
      <c r="K10" s="62">
        <f>IF(AND(K8=2,K9=8,E7="Auto",B7="Pipefitter Foreman",AND('Job setup'!$B$7="ON",'Job setup'!$C$7&lt;=K$6,'Job setup'!$D$7&gt;=K$6,'Job setup'!$G$7="YES")),16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16</v>
      </c>
      <c r="L10" s="62">
        <f>IF(AND(L8=2,L9=8,E7="Auto",B7="Pipefitter Foreman",AND('Job setup'!$B$7="ON",'Job setup'!$C$7&lt;=L$6,'Job setup'!$D$7&gt;=L$6,'Job setup'!$G$7="YES")),16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16</v>
      </c>
      <c r="M10" s="62">
        <f>IF(AND(M8=2,M9=8,E7="Auto",B7="Pipefitter Foreman",AND('Job setup'!$B$7="ON",'Job setup'!$C$7&lt;=M$6,'Job setup'!$D$7&gt;=M$6,'Job setup'!$G$7="YES")),16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16</v>
      </c>
      <c r="N10" s="62">
        <f>IF(AND(N8=2,N9=8,E7="Auto",B7="Pipefitter Foreman",AND('Job setup'!$B$7="ON",'Job setup'!$C$7&lt;=N$6,'Job setup'!$D$7&gt;=N$6,'Job setup'!$G$7="YES")),16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16</v>
      </c>
      <c r="O10" s="63">
        <f>IF(AND(O8=0,O9=0,E7="Auto",B7="Pipefitter Foreman",AND('Job setup'!$B$7="ON",'Job setup'!$C$7&lt;=O$6,'Job setup'!$D$7&gt;=O$6,'Job setup'!$G$7="YES")),0,IF(OS7,MIN(IF(OR(O8&lt;=0,NOT('_JobDays'!F2)),0,IF(WEEKDAY(O$6,1)=1,0,MIN(IF('_JobDays'!F3,8,10),O9)*O8)),MAX(0,40*MAX(1,O8)-(J10+K10+L10+M10+N10))),MIN(IF(OR(O8&lt;=0,NOT('_JobDays'!F2)),0,IF(WEEKDAY(O$6,1)=1,0,IF(WEEKDAY(O$6,1)=7,0,IF('_JobDays'!F4,MIN(8,O9)*O8,O8*O9)))),MAX(0,40*MAX(1,O8)-(J10+K10+L10+M10+N10)))))</f>
        <v>0</v>
      </c>
      <c r="P10" s="63">
        <f>IF(AND(P8=0,P9=0,E7="Auto",B7="Pipefitter Foreman",AND('Job setup'!$B$7="ON",'Job setup'!$C$7&lt;=P$6,'Job setup'!$D$7&gt;=P$6,'Job setup'!$G$7="YES")),0,IF(OS7,MIN(IF(OR(P8&lt;=0,NOT('_JobDays'!G2)),0,IF(WEEKDAY(P$6,1)=1,0,MIN(IF('_JobDays'!G3,8,10),P9)*P8)),MAX(0,40*MAX(1,P8)-(J10+K10+L10+M10+N10+O10))),MIN(IF(OR(P8&lt;=0,NOT('_JobDays'!G2)),0,IF(WEEKDAY(P$6,1)=1,0,IF(WEEKDAY(P$6,1)=7,0,IF('_JobDays'!G4,MIN(8,P9)*P8,P8*P9)))),MAX(0,40*MAX(1,P8)-(J10+K10+L10+M10+N10+O10)))))</f>
        <v>0</v>
      </c>
      <c r="Q10" s="62">
        <f>IF(AND(Q8=2,Q9=8,E7="Auto",B7="Pipefitter Foreman",AND('Job setup'!$B$7="ON",'Job setup'!$C$7&lt;=Q$6,'Job setup'!$D$7&gt;=Q$6,'Job setup'!$G$7="YES")),16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16</v>
      </c>
      <c r="R10" s="62">
        <f>IF(AND(R8=2,R9=8,E7="Auto",B7="Pipefitter Foreman",AND('Job setup'!$B$7="ON",'Job setup'!$C$7&lt;=R$6,'Job setup'!$D$7&gt;=R$6,'Job setup'!$G$7="YES")),16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16</v>
      </c>
      <c r="S10" s="62">
        <f>IF(AND(S8=2,S9=8,E7="Auto",B7="Pipefitter Foreman",AND('Job setup'!$B$7="ON",'Job setup'!$C$7&lt;=S$6,'Job setup'!$D$7&gt;=S$6,'Job setup'!$G$7="YES")),16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16</v>
      </c>
      <c r="T10" s="62">
        <f>IF(AND(T8=2,T9=12,E7="Auto",B7="Pipefitter Foreman",AND('Job setup'!$B$9="ON",'Job setup'!$C$9&lt;=T$6,'Job setup'!$D$9&gt;=T$6,'Job setup'!$G$9="NO")),16,IF(OS7,MIN(IF(OR(T8&lt;=0,NOT('_JobDays'!K2)),0,IF(WEEKDAY(T$6,1)=1,0,MIN(IF('_JobDays'!K3,8,10),T9)*T8)),MAX(0,40*MAX(1,T8)-(Q10+R10+S10))),MIN(IF(OR(T8&lt;=0,NOT('_JobDays'!K2)),0,IF(WEEKDAY(T$6,1)=1,0,IF(WEEKDAY(T$6,1)=7,0,IF('_JobDays'!K4,MIN(8,T9)*T8,T8*T9)))),MAX(0,40*MAX(1,T8)-(Q10+R10+S10)))))</f>
        <v>16</v>
      </c>
      <c r="U10" s="62">
        <f>IF(AND(U8=2,U9=12,E7="Auto",B7="Pipefitter Foreman",AND('Job setup'!$B$9="ON",'Job setup'!$C$9&lt;=U$6,'Job setup'!$D$9&gt;=U$6,'Job setup'!$G$9="NO")),16,IF(OS7,MIN(IF(OR(U8&lt;=0,NOT('_JobDays'!L2)),0,IF(WEEKDAY(U$6,1)=1,0,MIN(IF('_JobDays'!L3,8,10),U9)*U8)),MAX(0,40*MAX(1,U8)-(Q10+R10+S10+T10))),MIN(IF(OR(U8&lt;=0,NOT('_JobDays'!L2)),0,IF(WEEKDAY(U$6,1)=1,0,IF(WEEKDAY(U$6,1)=7,0,IF('_JobDays'!L4,MIN(8,U9)*U8,U8*U9)))),MAX(0,40*MAX(1,U8)-(Q10+R10+S10+T10)))))</f>
        <v>16</v>
      </c>
      <c r="V10" s="63">
        <f>IF(AND(V8=2,V9=12,E7="Auto",B7="Pipefitter Foreman",AND('Job setup'!$B$9="ON",'Job setup'!$C$9&lt;=V$6,'Job setup'!$D$9&gt;=V$6,'Job setup'!$G$9="NO")),0,IF(OS7,MIN(IF(OR(V8&lt;=0,NOT('_JobDays'!M2)),0,IF(WEEKDAY(V$6,1)=1,0,MIN(IF('_JobDays'!M3,8,10),V9)*V8)),MAX(0,40*MAX(1,V8)-(Q10+R10+S10+T10+U10))),MIN(IF(OR(V8&lt;=0,NOT('_JobDays'!M2)),0,IF(WEEKDAY(V$6,1)=1,0,IF(WEEKDAY(V$6,1)=7,0,IF('_JobDays'!M4,MIN(8,V9)*V8,V8*V9)))),MAX(0,40*MAX(1,V8)-(Q10+R10+S10+T10+U10)))))</f>
        <v>0</v>
      </c>
      <c r="W10" s="63">
        <f>IF(AND(W8=2,W9=12,E7="Auto",B7="Pipefitter Foreman",AND('Job setup'!$B$9="ON",'Job setup'!$C$9&lt;=W$6,'Job setup'!$D$9&gt;=W$6,'Job setup'!$G$9="NO")),0,IF(OS7,MIN(IF(OR(W8&lt;=0,NOT('_JobDays'!N2)),0,IF(WEEKDAY(W$6,1)=1,0,MIN(IF('_JobDays'!N3,8,10),W9)*W8)),MAX(0,40*MAX(1,W8)-(Q10+R10+S10+T10+U10+V10))),MIN(IF(OR(W8&lt;=0,NOT('_JobDays'!N2)),0,IF(WEEKDAY(W$6,1)=1,0,IF(WEEKDAY(W$6,1)=7,0,IF('_JobDays'!N4,MIN(8,W9)*W8,W8*W9)))),MAX(0,40*MAX(1,W8)-(Q10+R10+S10+T10+U10+V10)))))</f>
        <v>0</v>
      </c>
      <c r="X10" s="62">
        <f>IF(AND(X8=2,X9=12,E7="Auto",B7="Pipefitter Foreman",AND('Job setup'!$B$9="ON",'Job setup'!$C$9&lt;=X$6,'Job setup'!$D$9&gt;=X$6,'Job setup'!$G$9="NO")),16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16</v>
      </c>
      <c r="Y10" s="62">
        <f>IF(AND(Y8=2,Y9=12,E7="Auto",B7="Pipefitter Foreman",AND('Job setup'!$B$9="ON",'Job setup'!$C$9&lt;=Y$6,'Job setup'!$D$9&gt;=Y$6,'Job setup'!$G$9="NO")),16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16</v>
      </c>
      <c r="Z10" s="62">
        <f>IF(AND(Z8=2,Z9=12,E7="Auto",B7="Pipefitter Foreman",AND('Job setup'!$B$9="ON",'Job setup'!$C$9&lt;=Z$6,'Job setup'!$D$9&gt;=Z$6,'Job setup'!$G$9="NO")),16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16</v>
      </c>
      <c r="AA10" s="62">
        <f>IF(AND(AA8=2,AA9=12,E7="Auto",B7="Pipefitter Foreman",AND('Job setup'!$B$9="ON",'Job setup'!$C$9&lt;=AA$6,'Job setup'!$D$9&gt;=AA$6,'Job setup'!$G$9="NO")),16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16</v>
      </c>
      <c r="AB10" s="62">
        <f>IF(AND(AB8=2,AB9=12,E7="Auto",B7="Pipefitter Foreman",AND('Job setup'!$B$9="ON",'Job setup'!$C$9&lt;=AB$6,'Job setup'!$D$9&gt;=AB$6,'Job setup'!$G$9="NO")),16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16</v>
      </c>
      <c r="AC10" s="63">
        <f>IF(AND(AC8=2,AC9=12,E7="Auto",B7="Pipefitter Foreman",AND('Job setup'!$B$9="ON",'Job setup'!$C$9&lt;=AC$6,'Job setup'!$D$9&gt;=AC$6,'Job setup'!$G$9="NO")),0,IF(OS7,MIN(IF(OR(AC8&lt;=0,NOT('_JobDays'!T2)),0,IF(WEEKDAY(AC$6,1)=1,0,MIN(IF('_JobDays'!T3,8,10),AC9)*AC8)),MAX(0,40*MAX(1,AC8)-(X10+Y10+Z10+AA10+AB10))),MIN(IF(OR(AC8&lt;=0,NOT('_JobDays'!T2)),0,IF(WEEKDAY(AC$6,1)=1,0,IF(WEEKDAY(AC$6,1)=7,0,IF('_JobDays'!T4,MIN(8,AC9)*AC8,AC8*AC9)))),MAX(0,40*MAX(1,AC8)-(X10+Y10+Z10+AA10+AB10)))))</f>
        <v>0</v>
      </c>
      <c r="AD10" s="63">
        <f>IF(AND(AD8=2,AD9=12,E7="Auto",B7="Pipefitter Foreman",AND('Job setup'!$B$9="ON",'Job setup'!$C$9&lt;=AD$6,'Job setup'!$D$9&gt;=AD$6,'Job setup'!$G$9="NO")),0,IF(OS7,MIN(IF(OR(AD8&lt;=0,NOT('_JobDays'!U2)),0,IF(WEEKDAY(AD$6,1)=1,0,MIN(IF('_JobDays'!U3,8,10),AD9)*AD8)),MAX(0,40*MAX(1,AD8)-(X10+Y10+Z10+AA10+AB10+AC10))),MIN(IF(OR(AD8&lt;=0,NOT('_JobDays'!U2)),0,IF(WEEKDAY(AD$6,1)=1,0,IF(WEEKDAY(AD$6,1)=7,0,IF('_JobDays'!U4,MIN(8,AD9)*AD8,AD8*AD9)))),MAX(0,40*MAX(1,AD8)-(X10+Y10+Z10+AA10+AB10+AC10)))))</f>
        <v>0</v>
      </c>
      <c r="AE10" s="62">
        <f>IF(AND(AE8=2,AE9=12,E7="Auto",B7="Pipefitter Foreman",AND('Job setup'!$B$9="ON",'Job setup'!$C$9&lt;=AE$6,'Job setup'!$D$9&gt;=AE$6,'Job setup'!$G$9="NO")),16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16</v>
      </c>
      <c r="AF10" s="62">
        <f>IF(AND(AF8=2,AF9=12,E7="Auto",B7="Pipefitter Foreman",AND('Job setup'!$B$9="ON",'Job setup'!$C$9&lt;=AF$6,'Job setup'!$D$9&gt;=AF$6,'Job setup'!$G$9="NO")),16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16</v>
      </c>
      <c r="AG10" s="62">
        <f>IF(AND(AG8=2,AG9=12,E7="Auto",B7="Pipefitter Foreman",AND('Job setup'!$B$9="ON",'Job setup'!$C$9&lt;=AG$6,'Job setup'!$D$9&gt;=AG$6,'Job setup'!$G$9="NO")),16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16</v>
      </c>
      <c r="AH10" s="62">
        <f>IF(AND(AH8=1,AH9=8,E7="Auto",B7="Pipefitter Foreman",AND('Job setup'!$B$11="ON",'Job setup'!$C$11&lt;=AH$6,'Job setup'!$D$11&gt;=AH$6,'Job setup'!$G$11="YES")),8,IF(OS7,MIN(IF(OR(AH8&lt;=0,NOT('_JobDays'!Y2)),0,IF(WEEKDAY(AH$6,1)=1,0,MIN(IF('_JobDays'!Y3,8,10),AH9)*AH8)),MAX(0,40*MAX(1,AH8)-(AE10+AF10+AG10))),MIN(IF(OR(AH8&lt;=0,NOT('_JobDays'!Y2)),0,IF(WEEKDAY(AH$6,1)=1,0,IF(WEEKDAY(AH$6,1)=7,0,IF('_JobDays'!Y4,MIN(8,AH9)*AH8,AH8*AH9)))),MAX(0,40*MAX(1,AH8)-(AE10+AF10+AG10)))))</f>
        <v>8</v>
      </c>
      <c r="AI10" s="62">
        <f>IF(AND(AI8=1,AI9=8,E7="Auto",B7="Pipefitter Foreman",AND('Job setup'!$B$11="ON",'Job setup'!$C$11&lt;=AI$6,'Job setup'!$D$11&gt;=AI$6,'Job setup'!$G$11="YES")),8,IF(OS7,MIN(IF(OR(AI8&lt;=0,NOT('_JobDays'!Z2)),0,IF(WEEKDAY(AI$6,1)=1,0,MIN(IF('_JobDays'!Z3,8,10),AI9)*AI8)),MAX(0,40*MAX(1,AI8)-(AE10+AF10+AG10+AH10))),MIN(IF(OR(AI8&lt;=0,NOT('_JobDays'!Z2)),0,IF(WEEKDAY(AI$6,1)=1,0,IF(WEEKDAY(AI$6,1)=7,0,IF('_JobDays'!Z4,MIN(8,AI9)*AI8,AI8*AI9)))),MAX(0,40*MAX(1,AI8)-(AE10+AF10+AG10+AH10)))))</f>
        <v>8</v>
      </c>
      <c r="AJ10" s="63">
        <f>IF(AND(AJ8=0,AJ9=0,E7="Auto",B7="Pipefitter Foreman",AND('Job setup'!$B$11="ON",'Job setup'!$C$11&lt;=AJ$6,'Job setup'!$D$11&gt;=AJ$6,'Job setup'!$G$11="YES")),0,IF(OS7,MIN(IF(OR(AJ8&lt;=0,NOT('_JobDays'!AA2)),0,IF(WEEKDAY(AJ$6,1)=1,0,MIN(IF('_JobDays'!AA3,8,10),AJ9)*AJ8)),MAX(0,40*MAX(1,AJ8)-(AE10+AF10+AG10+AH10+AI10))),MIN(IF(OR(AJ8&lt;=0,NOT('_JobDays'!AA2)),0,IF(WEEKDAY(AJ$6,1)=1,0,IF(WEEKDAY(AJ$6,1)=7,0,IF('_JobDays'!AA4,MIN(8,AJ9)*AJ8,AJ8*AJ9)))),MAX(0,40*MAX(1,AJ8)-(AE10+AF10+AG10+AH10+AI10)))))</f>
        <v>0</v>
      </c>
      <c r="AK10" s="63">
        <f>IF(AND(AK8=0,AK9=0,E7="Auto",B7="Pipefitter Foreman",AND('Job setup'!$B$11="ON",'Job setup'!$C$11&lt;=AK$6,'Job setup'!$D$11&gt;=AK$6,'Job setup'!$G$11="YES")),0,IF(OS7,MIN(IF(OR(AK8&lt;=0,NOT('_JobDays'!AB2)),0,IF(WEEKDAY(AK$6,1)=1,0,MIN(IF('_JobDays'!AB3,8,10),AK9)*AK8)),MAX(0,40*MAX(1,AK8)-(AE10+AF10+AG10+AH10+AI10+AJ10))),MIN(IF(OR(AK8&lt;=0,NOT('_JobDays'!AB2)),0,IF(WEEKDAY(AK$6,1)=1,0,IF(WEEKDAY(AK$6,1)=7,0,IF('_JobDays'!AB4,MIN(8,AK9)*AK8,AK8*AK9)))),MAX(0,40*MAX(1,AK8)-(AE10+AF10+AG10+AH10+AI10+AJ10)))))</f>
        <v>0</v>
      </c>
      <c r="AL10" s="62">
        <f>IF(AND(AL8=1,AL9=8,E7="Auto",B7="Pipefitter Foreman",AND('Job setup'!$B$11="ON",'Job setup'!$C$11&lt;=AL$6,'Job setup'!$D$11&gt;=AL$6,'Job setup'!$G$11="YES")),8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8</v>
      </c>
      <c r="AM10" s="62">
        <f>IF(AND(AM8=1,AM9=8,E7="Auto",B7="Pipefitter Foreman",AND('Job setup'!$B$11="ON",'Job setup'!$C$11&lt;=AM$6,'Job setup'!$D$11&gt;=AM$6,'Job setup'!$G$11="YES")),8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8</v>
      </c>
      <c r="AN10" s="62">
        <f>IF(AND(AN8=1,AN9=8,E7="Auto",B7="Pipefitter Foreman",AND('Job setup'!$B$11="ON",'Job setup'!$C$11&lt;=AN$6,'Job setup'!$D$11&gt;=AN$6,'Job setup'!$G$11="YES")),8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8</v>
      </c>
      <c r="AO10" s="64">
        <f>IF(AND(AO8=1,AO9=8,E7="Auto",B7="Pipefitter Foreman",AND('Job setup'!$B$11="ON",'Job setup'!$C$11&lt;=AO$6,'Job setup'!$D$11&gt;=AO$6,'Job setup'!$G$11="YES")),8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8</v>
      </c>
      <c r="OT10" s="28" t="s">
        <v>77</v>
      </c>
    </row>
    <row r="11" ht="16" customHeight="1" spans="1:410" x14ac:dyDescent="0.25">
      <c r="A11" s="43"/>
      <c r="B11" s="44"/>
      <c r="C11" s="65">
        <f>G7*N(D11)</f>
        <v>18880</v>
      </c>
      <c r="D11" s="65">
        <f>IF(TRIM(B7)="","No rate",IFERROR(INDEX('Rate Tables'!D$7:D$161,MATCH(B7,'Rate Tables'!A$7:A$161,0)),"No rate"))</f>
        <v>147.5</v>
      </c>
      <c r="E11" s="54" t="s">
        <v>61</v>
      </c>
      <c r="F11" s="48"/>
      <c r="G11" s="48"/>
      <c r="H11" s="48"/>
      <c r="I11" s="49"/>
      <c r="J11" s="61">
        <f>IF(AND(J8=2,J9=8,E7="Auto",B7="Pipefitter Foreman",AND('Job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2">
        <f>IF(AND(K8=2,K9=8,E7="Auto",B7="Pipefitter Foreman",AND('Job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2">
        <f>IF(AND(L8=2,L9=8,E7="Auto",B7="Pipefitter Foreman",AND('Job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2">
        <f>IF(AND(M8=2,M9=8,E7="Auto",B7="Pipefitter Foreman",AND('Job setup'!$B$7="ON",'Job setup'!$C$7&lt;=M$6,'Job setup'!$D$7&gt;=M$6,'Job setup'!$G$7="YES")),0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0</v>
      </c>
      <c r="N11" s="62">
        <f>IF(AND(N8=2,N9=8,E7="Auto",B7="Pipefitter Foreman",AND('Job setup'!$B$7="ON",'Job setup'!$C$7&lt;=N$6,'Job setup'!$D$7&gt;=N$6,'Job setup'!$G$7="YES")),0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0</v>
      </c>
      <c r="O11" s="63">
        <f>IF(AND(O8=0,O9=0,E7="Auto",B7="Pipefitter Foreman",AND('Job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J10+K10+L10+M10+N10)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J10+K10+L10+M10+N10))))))</f>
        <v>0</v>
      </c>
      <c r="P11" s="63">
        <f>IF(AND(P8=0,P9=0,E7="Auto",B7="Pipefitter Foreman",AND('Job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J10+K10+L10+M10+N10+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J10+K10+L10+M10+N10+O10))))))</f>
        <v>0</v>
      </c>
      <c r="Q11" s="62">
        <f>IF(AND(Q8=2,Q9=8,E7="Auto",B7="Pipefitter Foreman",AND('Job setup'!$B$7="ON",'Job setup'!$C$7&lt;=Q$6,'Job setup'!$D$7&gt;=Q$6,'Job setup'!$G$7="YES")),0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0</v>
      </c>
      <c r="R11" s="62">
        <f>IF(AND(R8=2,R9=8,E7="Auto",B7="Pipefitter Foreman",AND('Job setup'!$B$7="ON",'Job setup'!$C$7&lt;=R$6,'Job setup'!$D$7&gt;=R$6,'Job setup'!$G$7="YES")),0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0</v>
      </c>
      <c r="S11" s="62">
        <f>IF(AND(S8=2,S9=8,E7="Auto",B7="Pipefitter Foreman",AND('Job setup'!$B$7="ON",'Job setup'!$C$7&lt;=S$6,'Job setup'!$D$7&gt;=S$6,'Job setup'!$G$7="YES")),0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0</v>
      </c>
      <c r="T11" s="62">
        <f>IF(AND(T8=2,T9=12,E7="Auto",B7="Pipefitter Foreman",AND('Job setup'!$B$9="ON",'Job setup'!$C$9&lt;=T$6,'Job setup'!$D$9&gt;=T$6,'Job setup'!$G$9="NO")),8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Q10+R10+S10)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Q10+R10+S10))))))</f>
        <v>8</v>
      </c>
      <c r="U11" s="62">
        <f>IF(AND(U8=2,U9=12,E7="Auto",B7="Pipefitter Foreman",AND('Job setup'!$B$9="ON",'Job setup'!$C$9&lt;=U$6,'Job setup'!$D$9&gt;=U$6,'Job setup'!$G$9="NO")),8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Q10+R10+S10+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Q10+R10+S10+T10))))))</f>
        <v>8</v>
      </c>
      <c r="V11" s="63">
        <f>IF(AND(V8=2,V9=12,E7="Auto",B7="Pipefitter Foreman",AND('Job setup'!$B$9="ON",'Job setup'!$C$9&lt;=V$6,'Job setup'!$D$9&gt;=V$6,'Job setup'!$G$9="NO")),24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Q10+R10+S10+T10+U10)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Q10+R10+S10+T10+U10))))))</f>
        <v>24</v>
      </c>
      <c r="W11" s="63">
        <f>IF(AND(W8=2,W9=12,E7="Auto",B7="Pipefitter Foreman",AND('Job setup'!$B$9="ON",'Job setup'!$C$9&lt;=W$6,'Job setup'!$D$9&gt;=W$6,'Job setup'!$G$9="NO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Q10+R10+S10+T10+U10+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Q10+R10+S10+T10+U10+V10))))))</f>
        <v>0</v>
      </c>
      <c r="X11" s="62">
        <f>IF(AND(X8=2,X9=12,E7="Auto",B7="Pipefitter Foreman",AND('Job setup'!$B$9="ON",'Job setup'!$C$9&lt;=X$6,'Job setup'!$D$9&gt;=X$6,'Job setup'!$G$9="NO")),8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8</v>
      </c>
      <c r="Y11" s="62">
        <f>IF(AND(Y8=2,Y9=12,E7="Auto",B7="Pipefitter Foreman",AND('Job setup'!$B$9="ON",'Job setup'!$C$9&lt;=Y$6,'Job setup'!$D$9&gt;=Y$6,'Job setup'!$G$9="NO")),8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8</v>
      </c>
      <c r="Z11" s="62">
        <f>IF(AND(Z8=2,Z9=12,E7="Auto",B7="Pipefitter Foreman",AND('Job setup'!$B$9="ON",'Job setup'!$C$9&lt;=Z$6,'Job setup'!$D$9&gt;=Z$6,'Job setup'!$G$9="NO")),8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8</v>
      </c>
      <c r="AA11" s="62">
        <f>IF(AND(AA8=2,AA9=12,E7="Auto",B7="Pipefitter Foreman",AND('Job setup'!$B$9="ON",'Job setup'!$C$9&lt;=AA$6,'Job setup'!$D$9&gt;=AA$6,'Job setup'!$G$9="NO")),8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8</v>
      </c>
      <c r="AB11" s="62">
        <f>IF(AND(AB8=2,AB9=12,E7="Auto",B7="Pipefitter Foreman",AND('Job setup'!$B$9="ON",'Job setup'!$C$9&lt;=AB$6,'Job setup'!$D$9&gt;=AB$6,'Job setup'!$G$9="NO")),8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8</v>
      </c>
      <c r="AC11" s="63">
        <f>IF(AND(AC8=2,AC9=12,E7="Auto",B7="Pipefitter Foreman",AND('Job setup'!$B$9="ON",'Job setup'!$C$9&lt;=AC$6,'Job setup'!$D$9&gt;=AC$6,'Job setup'!$G$9="NO")),24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X10+Y10+Z10+AA10+AB10)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X10+Y10+Z10+AA10+AB10))))))</f>
        <v>24</v>
      </c>
      <c r="AD11" s="63">
        <f>IF(AND(AD8=2,AD9=12,E7="Auto",B7="Pipefitter Foreman",AND('Job setup'!$B$9="ON",'Job setup'!$C$9&lt;=AD$6,'Job setup'!$D$9&gt;=AD$6,'Job setup'!$G$9="NO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X10+Y10+Z10+AA10+AB10+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X10+Y10+Z10+AA10+AB10+AC10))))))</f>
        <v>0</v>
      </c>
      <c r="AE11" s="62">
        <f>IF(AND(AE8=2,AE9=12,E7="Auto",B7="Pipefitter Foreman",AND('Job setup'!$B$9="ON",'Job setup'!$C$9&lt;=AE$6,'Job setup'!$D$9&gt;=AE$6,'Job setup'!$G$9="NO")),8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8</v>
      </c>
      <c r="AF11" s="62">
        <f>IF(AND(AF8=2,AF9=12,E7="Auto",B7="Pipefitter Foreman",AND('Job setup'!$B$9="ON",'Job setup'!$C$9&lt;=AF$6,'Job setup'!$D$9&gt;=AF$6,'Job setup'!$G$9="NO")),8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8</v>
      </c>
      <c r="AG11" s="62">
        <f>IF(AND(AG8=2,AG9=12,E7="Auto",B7="Pipefitter Foreman",AND('Job setup'!$B$9="ON",'Job setup'!$C$9&lt;=AG$6,'Job setup'!$D$9&gt;=AG$6,'Job setup'!$G$9="NO")),8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8</v>
      </c>
      <c r="AH11" s="62">
        <f>IF(AND(AH8=1,AH9=8,E7="Auto",B7="Pipefitter Foreman",AND('Job setup'!$B$11="ON",'Job setup'!$C$11&lt;=AH$6,'Job setup'!$D$11&gt;=AH$6,'Job setup'!$G$11="YES")),0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AE10+AF10+AG10)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AE10+AF10+AG10))))))</f>
        <v>0</v>
      </c>
      <c r="AI11" s="62">
        <f>IF(AND(AI8=1,AI9=8,E7="Auto",B7="Pipefitter Foreman",AND('Job setup'!$B$11="ON",'Job setup'!$C$11&lt;=AI$6,'Job setup'!$D$11&gt;=AI$6,'Job setup'!$G$11="YES")),0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E10+AF10+AG10+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E10+AF10+AG10+AH10))))))</f>
        <v>0</v>
      </c>
      <c r="AJ11" s="63">
        <f>IF(AND(AJ8=0,AJ9=0,E7="Auto",B7="Pipefitter Foreman",AND('Job setup'!$B$11="ON",'Job setup'!$C$11&lt;=AJ$6,'Job setup'!$D$11&gt;=AJ$6,'Job setup'!$G$11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AE10+AF10+AG10+AH10+AI10)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AE10+AF10+AG10+AH10+AI10))))))</f>
        <v>0</v>
      </c>
      <c r="AK11" s="63">
        <f>IF(AND(AK8=0,AK9=0,E7="Auto",B7="Pipefitter Foreman",AND('Job setup'!$B$11="ON",'Job setup'!$C$11&lt;=AK$6,'Job setup'!$D$11&gt;=AK$6,'Job setup'!$G$11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E10+AF10+AG10+AH10+AI10+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E10+AF10+AG10+AH10+AI10+AJ10))))))</f>
        <v>0</v>
      </c>
      <c r="AL11" s="62">
        <f>IF(AND(AL8=1,AL9=8,E7="Auto",B7="Pipefitter Foreman",AND('Job setup'!$B$11="ON",'Job setup'!$C$11&lt;=AL$6,'Job setup'!$D$11&gt;=AL$6,'Job setup'!$G$11="YES")),0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0</v>
      </c>
      <c r="AM11" s="62">
        <f>IF(AND(AM8=1,AM9=8,E7="Auto",B7="Pipefitter Foreman",AND('Job setup'!$B$11="ON",'Job setup'!$C$11&lt;=AM$6,'Job setup'!$D$11&gt;=AM$6,'Job setup'!$G$11="YES")),0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0</v>
      </c>
      <c r="AN11" s="62">
        <f>IF(AND(AN8=1,AN9=8,E7="Auto",B7="Pipefitter Foreman",AND('Job setup'!$B$11="ON",'Job setup'!$C$11&lt;=AN$6,'Job setup'!$D$11&gt;=AN$6,'Job setup'!$G$11="YES")),0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0</v>
      </c>
      <c r="AO11" s="64">
        <f>IF(AND(AO8=1,AO9=8,E7="Auto",B7="Pipefitter Foreman",AND('Job setup'!$B$11="ON",'Job setup'!$C$11&lt;=AO$6,'Job setup'!$D$11&gt;=AO$6,'Job setup'!$G$11="YES")),0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0</v>
      </c>
      <c r="OT11" s="28" t="s">
        <v>77</v>
      </c>
    </row>
    <row r="12" ht="16" customHeight="1" spans="1:410" x14ac:dyDescent="0.25">
      <c r="A12" s="43"/>
      <c r="B12" s="44"/>
      <c r="C12" s="60">
        <f>H7*N(D12)</f>
        <v>9106.56</v>
      </c>
      <c r="D12" s="60">
        <f>IF(TRIM(B7)="","No rate",IFERROR(INDEX('Rate Tables'!E$7:E$161,MATCH(B7,'Rate Tables'!A$7:A$161,0)),"No rate"))</f>
        <v>189.72</v>
      </c>
      <c r="E12" s="54" t="s">
        <v>62</v>
      </c>
      <c r="F12" s="48"/>
      <c r="G12" s="48"/>
      <c r="H12" s="48"/>
      <c r="I12" s="49"/>
      <c r="J12" s="61">
        <f>IF(AND(J8=2,J9=8,E7="Auto",B7="Pipefitter Foreman",AND('Job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2">
        <f>IF(AND(K8=2,K9=8,E7="Auto",B7="Pipefitter Foreman",AND('Job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2">
        <f>IF(AND(L8=2,L9=8,E7="Auto",B7="Pipefitter Foreman",AND('Job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2">
        <f>IF(AND(M8=2,M9=8,E7="Auto",B7="Pipefitter Foreman",AND('Job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2">
        <f>IF(AND(N8=2,N9=8,E7="Auto",B7="Pipefitter Foreman",AND('Job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3">
        <f>IF(AND(O8=0,O9=0,E7="Auto",B7="Pipefitter Foreman",AND('Job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3">
        <f>IF(AND(P8=0,P9=0,E7="Auto",B7="Pipefitter Foreman",AND('Job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2">
        <f>IF(AND(Q8=2,Q9=8,E7="Auto",B7="Pipefitter Foreman",AND('Job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2">
        <f>IF(AND(R8=2,R9=8,E7="Auto",B7="Pipefitter Foreman",AND('Job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2">
        <f>IF(AND(S8=2,S9=8,E7="Auto",B7="Pipefitter Foreman",AND('Job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2">
        <f>IF(AND(T8=2,T9=12,E7="Auto",B7="Pipefitter Foreman",AND('Job setup'!$B$9="ON",'Job setup'!$C$9&lt;=T$6,'Job setup'!$D$9&gt;=T$6,'Job setup'!$G$9="NO")),0,IF(OS7,IF(OR(T8&lt;=0,NOT('_JobDays'!K2)),0,IF(WEEKDAY(T$6,1)=1,T8*T9,0)),IF(OR(T8&lt;=0,NOT('_JobDays'!K2)),0,IF(WEEKDAY(T$6,1)=1,T8*T9,0))))</f>
        <v>0</v>
      </c>
      <c r="U12" s="62">
        <f>IF(AND(U8=2,U9=12,E7="Auto",B7="Pipefitter Foreman",AND('Job setup'!$B$9="ON",'Job setup'!$C$9&lt;=U$6,'Job setup'!$D$9&gt;=U$6,'Job setup'!$G$9="NO")),0,IF(OS7,IF(OR(U8&lt;=0,NOT('_JobDays'!L2)),0,IF(WEEKDAY(U$6,1)=1,U8*U9,0)),IF(OR(U8&lt;=0,NOT('_JobDays'!L2)),0,IF(WEEKDAY(U$6,1)=1,U8*U9,0))))</f>
        <v>0</v>
      </c>
      <c r="V12" s="63">
        <f>IF(AND(V8=2,V9=12,E7="Auto",B7="Pipefitter Foreman",AND('Job setup'!$B$9="ON",'Job setup'!$C$9&lt;=V$6,'Job setup'!$D$9&gt;=V$6,'Job setup'!$G$9="NO")),0,IF(OS7,IF(OR(V8&lt;=0,NOT('_JobDays'!M2)),0,IF(WEEKDAY(V$6,1)=1,V8*V9,0)),IF(OR(V8&lt;=0,NOT('_JobDays'!M2)),0,IF(WEEKDAY(V$6,1)=1,V8*V9,0))))</f>
        <v>0</v>
      </c>
      <c r="W12" s="63">
        <f>IF(AND(W8=2,W9=12,E7="Auto",B7="Pipefitter Foreman",AND('Job setup'!$B$9="ON",'Job setup'!$C$9&lt;=W$6,'Job setup'!$D$9&gt;=W$6,'Job setup'!$G$9="NO")),24,IF(OS7,IF(OR(W8&lt;=0,NOT('_JobDays'!N2)),0,IF(WEEKDAY(W$6,1)=1,W8*W9,0)),IF(OR(W8&lt;=0,NOT('_JobDays'!N2)),0,IF(WEEKDAY(W$6,1)=1,W8*W9,0))))</f>
        <v>24</v>
      </c>
      <c r="X12" s="62">
        <f>IF(AND(X8=2,X9=12,E7="Auto",B7="Pipefitter Foreman",AND('Job setup'!$B$9="ON",'Job setup'!$C$9&lt;=X$6,'Job setup'!$D$9&gt;=X$6,'Job setup'!$G$9="NO")),0,IF(OS7,IF(OR(X8&lt;=0,NOT('_JobDays'!O2)),0,IF(WEEKDAY(X$6,1)=1,X8*X9,0)),IF(OR(X8&lt;=0,NOT('_JobDays'!O2)),0,IF(WEEKDAY(X$6,1)=1,X8*X9,0))))</f>
        <v>0</v>
      </c>
      <c r="Y12" s="62">
        <f>IF(AND(Y8=2,Y9=12,E7="Auto",B7="Pipefitter Foreman",AND('Job setup'!$B$9="ON",'Job setup'!$C$9&lt;=Y$6,'Job setup'!$D$9&gt;=Y$6,'Job setup'!$G$9="NO")),0,IF(OS7,IF(OR(Y8&lt;=0,NOT('_JobDays'!P2)),0,IF(WEEKDAY(Y$6,1)=1,Y8*Y9,0)),IF(OR(Y8&lt;=0,NOT('_JobDays'!P2)),0,IF(WEEKDAY(Y$6,1)=1,Y8*Y9,0))))</f>
        <v>0</v>
      </c>
      <c r="Z12" s="62">
        <f>IF(AND(Z8=2,Z9=12,E7="Auto",B7="Pipefitter Foreman",AND('Job setup'!$B$9="ON",'Job setup'!$C$9&lt;=Z$6,'Job setup'!$D$9&gt;=Z$6,'Job setup'!$G$9="NO")),0,IF(OS7,IF(OR(Z8&lt;=0,NOT('_JobDays'!Q2)),0,IF(WEEKDAY(Z$6,1)=1,Z8*Z9,0)),IF(OR(Z8&lt;=0,NOT('_JobDays'!Q2)),0,IF(WEEKDAY(Z$6,1)=1,Z8*Z9,0))))</f>
        <v>0</v>
      </c>
      <c r="AA12" s="62">
        <f>IF(AND(AA8=2,AA9=12,E7="Auto",B7="Pipefitter Foreman",AND('Job setup'!$B$9="ON",'Job setup'!$C$9&lt;=AA$6,'Job setup'!$D$9&gt;=AA$6,'Job setup'!$G$9="NO")),0,IF(OS7,IF(OR(AA8&lt;=0,NOT('_JobDays'!R2)),0,IF(WEEKDAY(AA$6,1)=1,AA8*AA9,0)),IF(OR(AA8&lt;=0,NOT('_JobDays'!R2)),0,IF(WEEKDAY(AA$6,1)=1,AA8*AA9,0))))</f>
        <v>0</v>
      </c>
      <c r="AB12" s="62">
        <f>IF(AND(AB8=2,AB9=12,E7="Auto",B7="Pipefitter Foreman",AND('Job setup'!$B$9="ON",'Job setup'!$C$9&lt;=AB$6,'Job setup'!$D$9&gt;=AB$6,'Job setup'!$G$9="NO")),0,IF(OS7,IF(OR(AB8&lt;=0,NOT('_JobDays'!S2)),0,IF(WEEKDAY(AB$6,1)=1,AB8*AB9,0)),IF(OR(AB8&lt;=0,NOT('_JobDays'!S2)),0,IF(WEEKDAY(AB$6,1)=1,AB8*AB9,0))))</f>
        <v>0</v>
      </c>
      <c r="AC12" s="63">
        <f>IF(AND(AC8=2,AC9=12,E7="Auto",B7="Pipefitter Foreman",AND('Job setup'!$B$9="ON",'Job setup'!$C$9&lt;=AC$6,'Job setup'!$D$9&gt;=AC$6,'Job setup'!$G$9="NO")),0,IF(OS7,IF(OR(AC8&lt;=0,NOT('_JobDays'!T2)),0,IF(WEEKDAY(AC$6,1)=1,AC8*AC9,0)),IF(OR(AC8&lt;=0,NOT('_JobDays'!T2)),0,IF(WEEKDAY(AC$6,1)=1,AC8*AC9,0))))</f>
        <v>0</v>
      </c>
      <c r="AD12" s="63">
        <f>IF(AND(AD8=2,AD9=12,E7="Auto",B7="Pipefitter Foreman",AND('Job setup'!$B$9="ON",'Job setup'!$C$9&lt;=AD$6,'Job setup'!$D$9&gt;=AD$6,'Job setup'!$G$9="NO")),24,IF(OS7,IF(OR(AD8&lt;=0,NOT('_JobDays'!U2)),0,IF(WEEKDAY(AD$6,1)=1,AD8*AD9,0)),IF(OR(AD8&lt;=0,NOT('_JobDays'!U2)),0,IF(WEEKDAY(AD$6,1)=1,AD8*AD9,0))))</f>
        <v>24</v>
      </c>
      <c r="AE12" s="62">
        <f>IF(AND(AE8=2,AE9=12,E7="Auto",B7="Pipefitter Foreman",AND('Job setup'!$B$9="ON",'Job setup'!$C$9&lt;=AE$6,'Job setup'!$D$9&gt;=AE$6,'Job setup'!$G$9="NO")),0,IF(OS7,IF(OR(AE8&lt;=0,NOT('_JobDays'!V2)),0,IF(WEEKDAY(AE$6,1)=1,AE8*AE9,0)),IF(OR(AE8&lt;=0,NOT('_JobDays'!V2)),0,IF(WEEKDAY(AE$6,1)=1,AE8*AE9,0))))</f>
        <v>0</v>
      </c>
      <c r="AF12" s="62">
        <f>IF(AND(AF8=2,AF9=12,E7="Auto",B7="Pipefitter Foreman",AND('Job setup'!$B$9="ON",'Job setup'!$C$9&lt;=AF$6,'Job setup'!$D$9&gt;=AF$6,'Job setup'!$G$9="NO")),0,IF(OS7,IF(OR(AF8&lt;=0,NOT('_JobDays'!W2)),0,IF(WEEKDAY(AF$6,1)=1,AF8*AF9,0)),IF(OR(AF8&lt;=0,NOT('_JobDays'!W2)),0,IF(WEEKDAY(AF$6,1)=1,AF8*AF9,0))))</f>
        <v>0</v>
      </c>
      <c r="AG12" s="62">
        <f>IF(AND(AG8=2,AG9=12,E7="Auto",B7="Pipefitter Foreman",AND('Job setup'!$B$9="ON",'Job setup'!$C$9&lt;=AG$6,'Job setup'!$D$9&gt;=AG$6,'Job setup'!$G$9="NO")),0,IF(OS7,IF(OR(AG8&lt;=0,NOT('_JobDays'!X2)),0,IF(WEEKDAY(AG$6,1)=1,AG8*AG9,0)),IF(OR(AG8&lt;=0,NOT('_JobDays'!X2)),0,IF(WEEKDAY(AG$6,1)=1,AG8*AG9,0))))</f>
        <v>0</v>
      </c>
      <c r="AH12" s="62">
        <f>IF(AND(AH8=1,AH9=8,E7="Auto",B7="Pipefitter Foreman",AND('Job setup'!$B$11="ON",'Job setup'!$C$11&lt;=AH$6,'Job setup'!$D$11&gt;=AH$6,'Job setup'!$G$11="YES")),0,IF(OS7,IF(OR(AH8&lt;=0,NOT('_JobDays'!Y2)),0,IF(WEEKDAY(AH$6,1)=1,AH8*AH9,0)),IF(OR(AH8&lt;=0,NOT('_JobDays'!Y2)),0,IF(WEEKDAY(AH$6,1)=1,AH8*AH9,0))))</f>
        <v>0</v>
      </c>
      <c r="AI12" s="62">
        <f>IF(AND(AI8=1,AI9=8,E7="Auto",B7="Pipefitter Foreman",AND('Job setup'!$B$11="ON",'Job setup'!$C$11&lt;=AI$6,'Job setup'!$D$11&gt;=AI$6,'Job setup'!$G$11="YES")),0,IF(OS7,IF(OR(AI8&lt;=0,NOT('_JobDays'!Z2)),0,IF(WEEKDAY(AI$6,1)=1,AI8*AI9,0)),IF(OR(AI8&lt;=0,NOT('_JobDays'!Z2)),0,IF(WEEKDAY(AI$6,1)=1,AI8*AI9,0))))</f>
        <v>0</v>
      </c>
      <c r="AJ12" s="63">
        <f>IF(AND(AJ8=0,AJ9=0,E7="Auto",B7="Pipefitter Foreman",AND('Job setup'!$B$11="ON",'Job setup'!$C$11&lt;=AJ$6,'Job setup'!$D$11&gt;=AJ$6,'Job setup'!$G$11="YES")),0,IF(OS7,IF(OR(AJ8&lt;=0,NOT('_JobDays'!AA2)),0,IF(WEEKDAY(AJ$6,1)=1,AJ8*AJ9,0)),IF(OR(AJ8&lt;=0,NOT('_JobDays'!AA2)),0,IF(WEEKDAY(AJ$6,1)=1,AJ8*AJ9,0))))</f>
        <v>0</v>
      </c>
      <c r="AK12" s="63">
        <f>IF(AND(AK8=0,AK9=0,E7="Auto",B7="Pipefitter Foreman",AND('Job setup'!$B$11="ON",'Job setup'!$C$11&lt;=AK$6,'Job setup'!$D$11&gt;=AK$6,'Job setup'!$G$11="YES")),0,IF(OS7,IF(OR(AK8&lt;=0,NOT('_JobDays'!AB2)),0,IF(WEEKDAY(AK$6,1)=1,AK8*AK9,0)),IF(OR(AK8&lt;=0,NOT('_JobDays'!AB2)),0,IF(WEEKDAY(AK$6,1)=1,AK8*AK9,0))))</f>
        <v>0</v>
      </c>
      <c r="AL12" s="62">
        <f>IF(AND(AL8=1,AL9=8,E7="Auto",B7="Pipefitter Foreman",AND('Job setup'!$B$11="ON",'Job setup'!$C$11&lt;=AL$6,'Job setup'!$D$11&gt;=AL$6,'Job setup'!$G$11="YES")),0,IF(OS7,IF(OR(AL8&lt;=0,NOT('_JobDays'!AC2)),0,IF(WEEKDAY(AL$6,1)=1,AL8*AL9,0)),IF(OR(AL8&lt;=0,NOT('_JobDays'!AC2)),0,IF(WEEKDAY(AL$6,1)=1,AL8*AL9,0))))</f>
        <v>0</v>
      </c>
      <c r="AM12" s="62">
        <f>IF(AND(AM8=1,AM9=8,E7="Auto",B7="Pipefitter Foreman",AND('Job setup'!$B$11="ON",'Job setup'!$C$11&lt;=AM$6,'Job setup'!$D$11&gt;=AM$6,'Job setup'!$G$11="YES")),0,IF(OS7,IF(OR(AM8&lt;=0,NOT('_JobDays'!AD2)),0,IF(WEEKDAY(AM$6,1)=1,AM8*AM9,0)),IF(OR(AM8&lt;=0,NOT('_JobDays'!AD2)),0,IF(WEEKDAY(AM$6,1)=1,AM8*AM9,0))))</f>
        <v>0</v>
      </c>
      <c r="AN12" s="62">
        <f>IF(AND(AN8=1,AN9=8,E7="Auto",B7="Pipefitter Foreman",AND('Job setup'!$B$11="ON",'Job setup'!$C$11&lt;=AN$6,'Job setup'!$D$11&gt;=AN$6,'Job setup'!$G$11="YES")),0,IF(OS7,IF(OR(AN8&lt;=0,NOT('_JobDays'!AE2)),0,IF(WEEKDAY(AN$6,1)=1,AN8*AN9,0)),IF(OR(AN8&lt;=0,NOT('_JobDays'!AE2)),0,IF(WEEKDAY(AN$6,1)=1,AN8*AN9,0))))</f>
        <v>0</v>
      </c>
      <c r="AO12" s="64">
        <f>IF(AND(AO8=1,AO9=8,E7="Auto",B7="Pipefitter Foreman",AND('Job setup'!$B$11="ON",'Job setup'!$C$11&lt;=AO$6,'Job setup'!$D$11&gt;=AO$6,'Job setup'!$G$11="YES")),0,IF(OS7,IF(OR(AO8&lt;=0,NOT('_JobDays'!AF2)),0,IF(WEEKDAY(AO$6,1)=1,AO8*AO9,0)),IF(OR(AO8&lt;=0,NOT('_JobDays'!AF2)),0,IF(WEEKDAY(AO$6,1)=1,AO8*AO9,0))))</f>
        <v>0</v>
      </c>
      <c r="OT12" s="28" t="s">
        <v>77</v>
      </c>
    </row>
    <row r="13" ht="16" customHeight="1" spans="1:410" x14ac:dyDescent="0.25">
      <c r="A13" s="43"/>
      <c r="B13" s="44"/>
      <c r="C13" s="66">
        <f>I7*D13</f>
        <v>6500</v>
      </c>
      <c r="D13" s="66">
        <v>130</v>
      </c>
      <c r="E13" s="67" t="s">
        <v>63</v>
      </c>
      <c r="F13" s="48"/>
      <c r="G13" s="48"/>
      <c r="H13" s="48"/>
      <c r="I13" s="49"/>
      <c r="J13" s="68">
        <v>2</v>
      </c>
      <c r="K13" s="69">
        <v>2</v>
      </c>
      <c r="L13" s="69">
        <v>2</v>
      </c>
      <c r="M13" s="69">
        <v>2</v>
      </c>
      <c r="N13" s="69">
        <v>2</v>
      </c>
      <c r="O13" s="70">
        <v>0</v>
      </c>
      <c r="P13" s="70">
        <v>0</v>
      </c>
      <c r="Q13" s="69">
        <v>2</v>
      </c>
      <c r="R13" s="69">
        <v>2</v>
      </c>
      <c r="S13" s="69">
        <v>2</v>
      </c>
      <c r="T13" s="69">
        <v>2</v>
      </c>
      <c r="U13" s="69">
        <v>2</v>
      </c>
      <c r="V13" s="70">
        <v>2</v>
      </c>
      <c r="W13" s="70">
        <v>2</v>
      </c>
      <c r="X13" s="69">
        <v>2</v>
      </c>
      <c r="Y13" s="69">
        <v>2</v>
      </c>
      <c r="Z13" s="69">
        <v>2</v>
      </c>
      <c r="AA13" s="69">
        <v>2</v>
      </c>
      <c r="AB13" s="69">
        <v>2</v>
      </c>
      <c r="AC13" s="70">
        <v>2</v>
      </c>
      <c r="AD13" s="70">
        <v>2</v>
      </c>
      <c r="AE13" s="69">
        <v>2</v>
      </c>
      <c r="AF13" s="69">
        <v>2</v>
      </c>
      <c r="AG13" s="69">
        <v>2</v>
      </c>
      <c r="AH13" s="69">
        <v>1</v>
      </c>
      <c r="AI13" s="69">
        <v>1</v>
      </c>
      <c r="AJ13" s="70">
        <v>0</v>
      </c>
      <c r="AK13" s="70">
        <v>0</v>
      </c>
      <c r="AL13" s="69">
        <v>1</v>
      </c>
      <c r="AM13" s="69">
        <v>1</v>
      </c>
      <c r="AN13" s="69">
        <v>1</v>
      </c>
      <c r="AO13" s="71">
        <v>1</v>
      </c>
      <c r="OT13" s="59" t="s">
        <v>77</v>
      </c>
    </row>
    <row r="14" ht="8" customHeight="1" spans="1: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</row>
    <row r="15" ht="16" customHeight="1" spans="1:410" x14ac:dyDescent="0.25">
      <c r="A15" s="73" t="s">
        <v>70</v>
      </c>
      <c r="B15" s="44" t="s">
        <v>76</v>
      </c>
      <c r="C15" s="45">
        <f>C18+C19+C20</f>
        <v>58307.2</v>
      </c>
      <c r="D15" s="46"/>
      <c r="E15" s="47" t="s">
        <v>56</v>
      </c>
      <c r="F15" s="48">
        <f>SUM(J18:AO18)</f>
        <v>288</v>
      </c>
      <c r="G15" s="48">
        <f>SUM(J19:AO19)</f>
        <v>128</v>
      </c>
      <c r="H15" s="48">
        <f>SUM(J20:AO20)</f>
        <v>48</v>
      </c>
      <c r="I15" s="49">
        <f>SUM(J21:AO21)</f>
        <v>44</v>
      </c>
      <c r="J15" s="50"/>
      <c r="K15" s="51"/>
      <c r="L15" s="51"/>
      <c r="M15" s="51"/>
      <c r="N15" s="51"/>
      <c r="O15" s="52"/>
      <c r="P15" s="52"/>
      <c r="Q15" s="51"/>
      <c r="R15" s="51"/>
      <c r="S15" s="51"/>
      <c r="T15" s="51"/>
      <c r="U15" s="51"/>
      <c r="V15" s="52"/>
      <c r="W15" s="52"/>
      <c r="X15" s="51"/>
      <c r="Y15" s="51"/>
      <c r="Z15" s="51"/>
      <c r="AA15" s="51"/>
      <c r="AB15" s="51"/>
      <c r="AC15" s="52"/>
      <c r="AD15" s="52"/>
      <c r="AE15" s="51"/>
      <c r="AF15" s="51"/>
      <c r="AG15" s="51"/>
      <c r="AH15" s="51"/>
      <c r="AI15" s="51"/>
      <c r="AJ15" s="52"/>
      <c r="AK15" s="52"/>
      <c r="AL15" s="51"/>
      <c r="AM15" s="51"/>
      <c r="AN15" s="51"/>
      <c r="AO15" s="53"/>
      <c r="OS15" s="28">
        <f>OR(E15="Staff clock",AND(OR(E15="Auto",E15=""),ISNUMBER(MATCH(B15,'_Lists'!$K$1:$K$137,0))))</f>
        <v>0</v>
      </c>
      <c r="OT15" s="28" t="s">
        <v>78</v>
      </c>
    </row>
    <row r="16" ht="16" customHeight="1" spans="1:410" x14ac:dyDescent="0.25">
      <c r="A16" s="73"/>
      <c r="B16" s="44"/>
      <c r="C16" s="45"/>
      <c r="D16" s="46"/>
      <c r="E16" s="54" t="s">
        <v>58</v>
      </c>
      <c r="F16" s="48"/>
      <c r="G16" s="48"/>
      <c r="H16" s="48"/>
      <c r="I16" s="49"/>
      <c r="J16" s="55">
        <v>2</v>
      </c>
      <c r="K16" s="56">
        <v>2</v>
      </c>
      <c r="L16" s="56">
        <v>2</v>
      </c>
      <c r="M16" s="56">
        <v>2</v>
      </c>
      <c r="N16" s="56">
        <v>2</v>
      </c>
      <c r="O16" s="57">
        <v>0</v>
      </c>
      <c r="P16" s="57">
        <v>0</v>
      </c>
      <c r="Q16" s="56">
        <v>2</v>
      </c>
      <c r="R16" s="56">
        <v>2</v>
      </c>
      <c r="S16" s="56">
        <v>2</v>
      </c>
      <c r="T16" s="56">
        <v>2</v>
      </c>
      <c r="U16" s="56">
        <v>2</v>
      </c>
      <c r="V16" s="57">
        <v>2</v>
      </c>
      <c r="W16" s="57">
        <v>2</v>
      </c>
      <c r="X16" s="56">
        <v>2</v>
      </c>
      <c r="Y16" s="56">
        <v>2</v>
      </c>
      <c r="Z16" s="56">
        <v>2</v>
      </c>
      <c r="AA16" s="56">
        <v>2</v>
      </c>
      <c r="AB16" s="56">
        <v>2</v>
      </c>
      <c r="AC16" s="57">
        <v>2</v>
      </c>
      <c r="AD16" s="57">
        <v>2</v>
      </c>
      <c r="AE16" s="56">
        <v>2</v>
      </c>
      <c r="AF16" s="56">
        <v>2</v>
      </c>
      <c r="AG16" s="56">
        <v>2</v>
      </c>
      <c r="AH16" s="56">
        <v>0</v>
      </c>
      <c r="AI16" s="56">
        <v>0</v>
      </c>
      <c r="AJ16" s="57">
        <v>0</v>
      </c>
      <c r="AK16" s="57">
        <v>0</v>
      </c>
      <c r="AL16" s="56">
        <v>0</v>
      </c>
      <c r="AM16" s="56">
        <v>0</v>
      </c>
      <c r="AN16" s="56">
        <v>0</v>
      </c>
      <c r="AO16" s="58">
        <v>0</v>
      </c>
      <c r="OT16" s="59" t="s">
        <v>78</v>
      </c>
    </row>
    <row r="17" ht="16" customHeight="1" spans="1:410" x14ac:dyDescent="0.25">
      <c r="A17" s="73"/>
      <c r="B17" s="44"/>
      <c r="C17" s="45"/>
      <c r="D17" s="46"/>
      <c r="E17" s="54" t="s">
        <v>59</v>
      </c>
      <c r="F17" s="48"/>
      <c r="G17" s="48"/>
      <c r="H17" s="48"/>
      <c r="I17" s="49"/>
      <c r="J17" s="55">
        <v>8</v>
      </c>
      <c r="K17" s="56">
        <v>8</v>
      </c>
      <c r="L17" s="56">
        <v>8</v>
      </c>
      <c r="M17" s="56">
        <v>8</v>
      </c>
      <c r="N17" s="56">
        <v>8</v>
      </c>
      <c r="O17" s="57">
        <v>0</v>
      </c>
      <c r="P17" s="57">
        <v>0</v>
      </c>
      <c r="Q17" s="56">
        <v>8</v>
      </c>
      <c r="R17" s="56">
        <v>8</v>
      </c>
      <c r="S17" s="56">
        <v>8</v>
      </c>
      <c r="T17" s="56">
        <v>12</v>
      </c>
      <c r="U17" s="56">
        <v>12</v>
      </c>
      <c r="V17" s="57">
        <v>12</v>
      </c>
      <c r="W17" s="57">
        <v>12</v>
      </c>
      <c r="X17" s="56">
        <v>12</v>
      </c>
      <c r="Y17" s="56">
        <v>12</v>
      </c>
      <c r="Z17" s="56">
        <v>12</v>
      </c>
      <c r="AA17" s="56">
        <v>12</v>
      </c>
      <c r="AB17" s="56">
        <v>12</v>
      </c>
      <c r="AC17" s="57">
        <v>12</v>
      </c>
      <c r="AD17" s="57">
        <v>12</v>
      </c>
      <c r="AE17" s="56">
        <v>12</v>
      </c>
      <c r="AF17" s="56">
        <v>12</v>
      </c>
      <c r="AG17" s="56">
        <v>12</v>
      </c>
      <c r="AH17" s="56">
        <v>0</v>
      </c>
      <c r="AI17" s="56">
        <v>0</v>
      </c>
      <c r="AJ17" s="57">
        <v>0</v>
      </c>
      <c r="AK17" s="57">
        <v>0</v>
      </c>
      <c r="AL17" s="56">
        <v>0</v>
      </c>
      <c r="AM17" s="56">
        <v>0</v>
      </c>
      <c r="AN17" s="56">
        <v>0</v>
      </c>
      <c r="AO17" s="58">
        <v>0</v>
      </c>
      <c r="OT17" s="59" t="s">
        <v>78</v>
      </c>
    </row>
    <row r="18" ht="16" customHeight="1" spans="1:410" x14ac:dyDescent="0.25">
      <c r="A18" s="73"/>
      <c r="B18" s="44"/>
      <c r="C18" s="60">
        <f>F15*N(D18)</f>
        <v>30320.64</v>
      </c>
      <c r="D18" s="60">
        <f>IF(TRIM(B15)="","No rate",IFERROR(INDEX('Rate Tables'!C$7:C$161,MATCH(B15,'Rate Tables'!A$7:A$161,0)),"No rate"))</f>
        <v>105.28</v>
      </c>
      <c r="E18" s="54" t="s">
        <v>60</v>
      </c>
      <c r="F18" s="48"/>
      <c r="G18" s="48"/>
      <c r="H18" s="48"/>
      <c r="I18" s="49"/>
      <c r="J18" s="61">
        <f>IF(AND(J16=2,J17=8,E15="Auto",B15="Pipefitter Foreman",AND('Job setup'!$B$7="ON",'Job setup'!$C$7&lt;=J$6,'Job setup'!$D$7&gt;=J$6,'Job setup'!$G$7="YES")),16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16</v>
      </c>
      <c r="K18" s="62">
        <f>IF(AND(K16=2,K17=8,E15="Auto",B15="Pipefitter Foreman",AND('Job setup'!$B$7="ON",'Job setup'!$C$7&lt;=K$6,'Job setup'!$D$7&gt;=K$6,'Job setup'!$G$7="YES")),16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16</v>
      </c>
      <c r="L18" s="62">
        <f>IF(AND(L16=2,L17=8,E15="Auto",B15="Pipefitter Foreman",AND('Job setup'!$B$7="ON",'Job setup'!$C$7&lt;=L$6,'Job setup'!$D$7&gt;=L$6,'Job setup'!$G$7="YES")),16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16</v>
      </c>
      <c r="M18" s="62">
        <f>IF(AND(M16=2,M17=8,E15="Auto",B15="Pipefitter Foreman",AND('Job setup'!$B$7="ON",'Job setup'!$C$7&lt;=M$6,'Job setup'!$D$7&gt;=M$6,'Job setup'!$G$7="YES")),16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16</v>
      </c>
      <c r="N18" s="62">
        <f>IF(AND(N16=2,N17=8,E15="Auto",B15="Pipefitter Foreman",AND('Job setup'!$B$7="ON",'Job setup'!$C$7&lt;=N$6,'Job setup'!$D$7&gt;=N$6,'Job setup'!$G$7="YES")),16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16</v>
      </c>
      <c r="O18" s="63">
        <f>IF(AND(O16=0,O17=0,E15="Auto",B15="Pipefitter Foreman",AND('Job setup'!$B$7="ON",'Job setup'!$C$7&lt;=O$6,'Job setup'!$D$7&gt;=O$6,'Job setup'!$G$7="YES")),0,IF(OS15,MIN(IF(OR(O16&lt;=0,NOT('_JobDays'!F2)),0,IF(WEEKDAY(O$6,1)=1,0,MIN(IF('_JobDays'!F3,8,10),O17)*O16)),MAX(0,40*MAX(1,O16)-(J18+K18+L18+M18+N18))),MIN(IF(OR(O16&lt;=0,NOT('_JobDays'!F2)),0,IF(WEEKDAY(O$6,1)=1,0,IF(WEEKDAY(O$6,1)=7,0,IF('_JobDays'!F4,MIN(8,O17)*O16,O16*O17)))),MAX(0,40*MAX(1,O16)-(J18+K18+L18+M18+N18)))))</f>
        <v>0</v>
      </c>
      <c r="P18" s="63">
        <f>IF(AND(P16=0,P17=0,E15="Auto",B15="Pipefitter Foreman",AND('Job setup'!$B$7="ON",'Job setup'!$C$7&lt;=P$6,'Job setup'!$D$7&gt;=P$6,'Job setup'!$G$7="YES")),0,IF(OS15,MIN(IF(OR(P16&lt;=0,NOT('_JobDays'!G2)),0,IF(WEEKDAY(P$6,1)=1,0,MIN(IF('_JobDays'!G3,8,10),P17)*P16)),MAX(0,40*MAX(1,P16)-(J18+K18+L18+M18+N18+O18))),MIN(IF(OR(P16&lt;=0,NOT('_JobDays'!G2)),0,IF(WEEKDAY(P$6,1)=1,0,IF(WEEKDAY(P$6,1)=7,0,IF('_JobDays'!G4,MIN(8,P17)*P16,P16*P17)))),MAX(0,40*MAX(1,P16)-(J18+K18+L18+M18+N18+O18)))))</f>
        <v>0</v>
      </c>
      <c r="Q18" s="62">
        <f>IF(AND(Q16=2,Q17=8,E15="Auto",B15="Pipefitter Foreman",AND('Job setup'!$B$7="ON",'Job setup'!$C$7&lt;=Q$6,'Job setup'!$D$7&gt;=Q$6,'Job setup'!$G$7="YES")),16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16</v>
      </c>
      <c r="R18" s="62">
        <f>IF(AND(R16=2,R17=8,E15="Auto",B15="Pipefitter Foreman",AND('Job setup'!$B$7="ON",'Job setup'!$C$7&lt;=R$6,'Job setup'!$D$7&gt;=R$6,'Job setup'!$G$7="YES")),16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16</v>
      </c>
      <c r="S18" s="62">
        <f>IF(AND(S16=2,S17=8,E15="Auto",B15="Pipefitter Foreman",AND('Job setup'!$B$7="ON",'Job setup'!$C$7&lt;=S$6,'Job setup'!$D$7&gt;=S$6,'Job setup'!$G$7="YES")),16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16</v>
      </c>
      <c r="T18" s="62">
        <f>IF(AND(T16=2,T17=12,E15="Auto",B15="Pipefitter Foreman",AND('Job setup'!$B$9="ON",'Job setup'!$C$9&lt;=T$6,'Job setup'!$D$9&gt;=T$6,'Job setup'!$G$9="NO")),16,IF(OS15,MIN(IF(OR(T16&lt;=0,NOT('_JobDays'!K2)),0,IF(WEEKDAY(T$6,1)=1,0,MIN(IF('_JobDays'!K3,8,10),T17)*T16)),MAX(0,40*MAX(1,T16)-(Q18+R18+S18))),MIN(IF(OR(T16&lt;=0,NOT('_JobDays'!K2)),0,IF(WEEKDAY(T$6,1)=1,0,IF(WEEKDAY(T$6,1)=7,0,IF('_JobDays'!K4,MIN(8,T17)*T16,T16*T17)))),MAX(0,40*MAX(1,T16)-(Q18+R18+S18)))))</f>
        <v>16</v>
      </c>
      <c r="U18" s="62">
        <f>IF(AND(U16=2,U17=12,E15="Auto",B15="Pipefitter Foreman",AND('Job setup'!$B$9="ON",'Job setup'!$C$9&lt;=U$6,'Job setup'!$D$9&gt;=U$6,'Job setup'!$G$9="NO")),16,IF(OS15,MIN(IF(OR(U16&lt;=0,NOT('_JobDays'!L2)),0,IF(WEEKDAY(U$6,1)=1,0,MIN(IF('_JobDays'!L3,8,10),U17)*U16)),MAX(0,40*MAX(1,U16)-(Q18+R18+S18+T18))),MIN(IF(OR(U16&lt;=0,NOT('_JobDays'!L2)),0,IF(WEEKDAY(U$6,1)=1,0,IF(WEEKDAY(U$6,1)=7,0,IF('_JobDays'!L4,MIN(8,U17)*U16,U16*U17)))),MAX(0,40*MAX(1,U16)-(Q18+R18+S18+T18)))))</f>
        <v>16</v>
      </c>
      <c r="V18" s="63">
        <f>IF(AND(V16=2,V17=12,E15="Auto",B15="Pipefitter Foreman",AND('Job setup'!$B$9="ON",'Job setup'!$C$9&lt;=V$6,'Job setup'!$D$9&gt;=V$6,'Job setup'!$G$9="NO")),0,IF(OS15,MIN(IF(OR(V16&lt;=0,NOT('_JobDays'!M2)),0,IF(WEEKDAY(V$6,1)=1,0,MIN(IF('_JobDays'!M3,8,10),V17)*V16)),MAX(0,40*MAX(1,V16)-(Q18+R18+S18+T18+U18))),MIN(IF(OR(V16&lt;=0,NOT('_JobDays'!M2)),0,IF(WEEKDAY(V$6,1)=1,0,IF(WEEKDAY(V$6,1)=7,0,IF('_JobDays'!M4,MIN(8,V17)*V16,V16*V17)))),MAX(0,40*MAX(1,V16)-(Q18+R18+S18+T18+U18)))))</f>
        <v>0</v>
      </c>
      <c r="W18" s="63">
        <f>IF(AND(W16=2,W17=12,E15="Auto",B15="Pipefitter Foreman",AND('Job setup'!$B$9="ON",'Job setup'!$C$9&lt;=W$6,'Job setup'!$D$9&gt;=W$6,'Job setup'!$G$9="NO")),0,IF(OS15,MIN(IF(OR(W16&lt;=0,NOT('_JobDays'!N2)),0,IF(WEEKDAY(W$6,1)=1,0,MIN(IF('_JobDays'!N3,8,10),W17)*W16)),MAX(0,40*MAX(1,W16)-(Q18+R18+S18+T18+U18+V18))),MIN(IF(OR(W16&lt;=0,NOT('_JobDays'!N2)),0,IF(WEEKDAY(W$6,1)=1,0,IF(WEEKDAY(W$6,1)=7,0,IF('_JobDays'!N4,MIN(8,W17)*W16,W16*W17)))),MAX(0,40*MAX(1,W16)-(Q18+R18+S18+T18+U18+V18)))))</f>
        <v>0</v>
      </c>
      <c r="X18" s="62">
        <f>IF(AND(X16=2,X17=12,E15="Auto",B15="Pipefitter Foreman",AND('Job setup'!$B$9="ON",'Job setup'!$C$9&lt;=X$6,'Job setup'!$D$9&gt;=X$6,'Job setup'!$G$9="NO")),16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16</v>
      </c>
      <c r="Y18" s="62">
        <f>IF(AND(Y16=2,Y17=12,E15="Auto",B15="Pipefitter Foreman",AND('Job setup'!$B$9="ON",'Job setup'!$C$9&lt;=Y$6,'Job setup'!$D$9&gt;=Y$6,'Job setup'!$G$9="NO")),16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16</v>
      </c>
      <c r="Z18" s="62">
        <f>IF(AND(Z16=2,Z17=12,E15="Auto",B15="Pipefitter Foreman",AND('Job setup'!$B$9="ON",'Job setup'!$C$9&lt;=Z$6,'Job setup'!$D$9&gt;=Z$6,'Job setup'!$G$9="NO")),16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16</v>
      </c>
      <c r="AA18" s="62">
        <f>IF(AND(AA16=2,AA17=12,E15="Auto",B15="Pipefitter Foreman",AND('Job setup'!$B$9="ON",'Job setup'!$C$9&lt;=AA$6,'Job setup'!$D$9&gt;=AA$6,'Job setup'!$G$9="NO")),16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16</v>
      </c>
      <c r="AB18" s="62">
        <f>IF(AND(AB16=2,AB17=12,E15="Auto",B15="Pipefitter Foreman",AND('Job setup'!$B$9="ON",'Job setup'!$C$9&lt;=AB$6,'Job setup'!$D$9&gt;=AB$6,'Job setup'!$G$9="NO")),16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16</v>
      </c>
      <c r="AC18" s="63">
        <f>IF(AND(AC16=2,AC17=12,E15="Auto",B15="Pipefitter Foreman",AND('Job setup'!$B$9="ON",'Job setup'!$C$9&lt;=AC$6,'Job setup'!$D$9&gt;=AC$6,'Job setup'!$G$9="NO")),0,IF(OS15,MIN(IF(OR(AC16&lt;=0,NOT('_JobDays'!T2)),0,IF(WEEKDAY(AC$6,1)=1,0,MIN(IF('_JobDays'!T3,8,10),AC17)*AC16)),MAX(0,40*MAX(1,AC16)-(X18+Y18+Z18+AA18+AB18))),MIN(IF(OR(AC16&lt;=0,NOT('_JobDays'!T2)),0,IF(WEEKDAY(AC$6,1)=1,0,IF(WEEKDAY(AC$6,1)=7,0,IF('_JobDays'!T4,MIN(8,AC17)*AC16,AC16*AC17)))),MAX(0,40*MAX(1,AC16)-(X18+Y18+Z18+AA18+AB18)))))</f>
        <v>0</v>
      </c>
      <c r="AD18" s="63">
        <f>IF(AND(AD16=2,AD17=12,E15="Auto",B15="Pipefitter Foreman",AND('Job setup'!$B$9="ON",'Job setup'!$C$9&lt;=AD$6,'Job setup'!$D$9&gt;=AD$6,'Job setup'!$G$9="NO")),0,IF(OS15,MIN(IF(OR(AD16&lt;=0,NOT('_JobDays'!U2)),0,IF(WEEKDAY(AD$6,1)=1,0,MIN(IF('_JobDays'!U3,8,10),AD17)*AD16)),MAX(0,40*MAX(1,AD16)-(X18+Y18+Z18+AA18+AB18+AC18))),MIN(IF(OR(AD16&lt;=0,NOT('_JobDays'!U2)),0,IF(WEEKDAY(AD$6,1)=1,0,IF(WEEKDAY(AD$6,1)=7,0,IF('_JobDays'!U4,MIN(8,AD17)*AD16,AD16*AD17)))),MAX(0,40*MAX(1,AD16)-(X18+Y18+Z18+AA18+AB18+AC18)))))</f>
        <v>0</v>
      </c>
      <c r="AE18" s="62">
        <f>IF(AND(AE16=2,AE17=12,E15="Auto",B15="Pipefitter Foreman",AND('Job setup'!$B$9="ON",'Job setup'!$C$9&lt;=AE$6,'Job setup'!$D$9&gt;=AE$6,'Job setup'!$G$9="NO")),16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16</v>
      </c>
      <c r="AF18" s="62">
        <f>IF(AND(AF16=2,AF17=12,E15="Auto",B15="Pipefitter Foreman",AND('Job setup'!$B$9="ON",'Job setup'!$C$9&lt;=AF$6,'Job setup'!$D$9&gt;=AF$6,'Job setup'!$G$9="NO")),16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16</v>
      </c>
      <c r="AG18" s="62">
        <f>IF(AND(AG16=2,AG17=12,E15="Auto",B15="Pipefitter Foreman",AND('Job setup'!$B$9="ON",'Job setup'!$C$9&lt;=AG$6,'Job setup'!$D$9&gt;=AG$6,'Job setup'!$G$9="NO")),16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16</v>
      </c>
      <c r="AH18" s="62">
        <f>IF(AND(AH16=0,AH17=0,E15="Auto",B15="Pipefitter Foreman",AND('Job setup'!$B$11="ON",'Job setup'!$C$11&lt;=AH$6,'Job setup'!$D$11&gt;=AH$6,'Job setup'!$G$11="YES")),0,IF(OS15,MIN(IF(OR(AH16&lt;=0,NOT('_JobDays'!Y2)),0,IF(WEEKDAY(AH$6,1)=1,0,MIN(IF('_JobDays'!Y3,8,10),AH17)*AH16)),MAX(0,40*MAX(1,AH16)-(AE18+AF18+AG18))),MIN(IF(OR(AH16&lt;=0,NOT('_JobDays'!Y2)),0,IF(WEEKDAY(AH$6,1)=1,0,IF(WEEKDAY(AH$6,1)=7,0,IF('_JobDays'!Y4,MIN(8,AH17)*AH16,AH16*AH17)))),MAX(0,40*MAX(1,AH16)-(AE18+AF18+AG18)))))</f>
        <v>0</v>
      </c>
      <c r="AI18" s="62">
        <f>IF(AND(AI16=0,AI17=0,E15="Auto",B15="Pipefitter Foreman",AND('Job setup'!$B$11="ON",'Job setup'!$C$11&lt;=AI$6,'Job setup'!$D$11&gt;=AI$6,'Job setup'!$G$11="YES")),0,IF(OS15,MIN(IF(OR(AI16&lt;=0,NOT('_JobDays'!Z2)),0,IF(WEEKDAY(AI$6,1)=1,0,MIN(IF('_JobDays'!Z3,8,10),AI17)*AI16)),MAX(0,40*MAX(1,AI16)-(AE18+AF18+AG18+AH18))),MIN(IF(OR(AI16&lt;=0,NOT('_JobDays'!Z2)),0,IF(WEEKDAY(AI$6,1)=1,0,IF(WEEKDAY(AI$6,1)=7,0,IF('_JobDays'!Z4,MIN(8,AI17)*AI16,AI16*AI17)))),MAX(0,40*MAX(1,AI16)-(AE18+AF18+AG18+AH18)))))</f>
        <v>0</v>
      </c>
      <c r="AJ18" s="63">
        <f>IF(AND(AJ16=0,AJ17=0,E15="Auto",B15="Pipefitter Foreman",AND('Job setup'!$B$11="ON",'Job setup'!$C$11&lt;=AJ$6,'Job setup'!$D$11&gt;=AJ$6,'Job setup'!$G$11="YES")),0,IF(OS15,MIN(IF(OR(AJ16&lt;=0,NOT('_JobDays'!AA2)),0,IF(WEEKDAY(AJ$6,1)=1,0,MIN(IF('_JobDays'!AA3,8,10),AJ17)*AJ16)),MAX(0,40*MAX(1,AJ16)-(AE18+AF18+AG18+AH18+AI18))),MIN(IF(OR(AJ16&lt;=0,NOT('_JobDays'!AA2)),0,IF(WEEKDAY(AJ$6,1)=1,0,IF(WEEKDAY(AJ$6,1)=7,0,IF('_JobDays'!AA4,MIN(8,AJ17)*AJ16,AJ16*AJ17)))),MAX(0,40*MAX(1,AJ16)-(AE18+AF18+AG18+AH18+AI18)))))</f>
        <v>0</v>
      </c>
      <c r="AK18" s="63">
        <f>IF(AND(AK16=0,AK17=0,E15="Auto",B15="Pipefitter Foreman",AND('Job setup'!$B$11="ON",'Job setup'!$C$11&lt;=AK$6,'Job setup'!$D$11&gt;=AK$6,'Job setup'!$G$11="YES")),0,IF(OS15,MIN(IF(OR(AK16&lt;=0,NOT('_JobDays'!AB2)),0,IF(WEEKDAY(AK$6,1)=1,0,MIN(IF('_JobDays'!AB3,8,10),AK17)*AK16)),MAX(0,40*MAX(1,AK16)-(AE18+AF18+AG18+AH18+AI18+AJ18))),MIN(IF(OR(AK16&lt;=0,NOT('_JobDays'!AB2)),0,IF(WEEKDAY(AK$6,1)=1,0,IF(WEEKDAY(AK$6,1)=7,0,IF('_JobDays'!AB4,MIN(8,AK17)*AK16,AK16*AK17)))),MAX(0,40*MAX(1,AK16)-(AE18+AF18+AG18+AH18+AI18+AJ18)))))</f>
        <v>0</v>
      </c>
      <c r="AL18" s="62">
        <f>IF(AND(AL16=0,AL17=0,E15="Auto",B15="Pipefitter Foreman",AND('Job setup'!$B$11="ON",'Job setup'!$C$11&lt;=AL$6,'Job setup'!$D$11&gt;=AL$6,'Job setup'!$G$11="YES")),0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0</v>
      </c>
      <c r="AM18" s="62">
        <f>IF(AND(AM16=0,AM17=0,E15="Auto",B15="Pipefitter Foreman",AND('Job setup'!$B$11="ON",'Job setup'!$C$11&lt;=AM$6,'Job setup'!$D$11&gt;=AM$6,'Job setup'!$G$11="YES")),0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0</v>
      </c>
      <c r="AN18" s="62">
        <f>IF(AND(AN16=0,AN17=0,E15="Auto",B15="Pipefitter Foreman",AND('Job setup'!$B$11="ON",'Job setup'!$C$11&lt;=AN$6,'Job setup'!$D$11&gt;=AN$6,'Job setup'!$G$11="YES")),0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0</v>
      </c>
      <c r="AO18" s="64">
        <f>IF(AND(AO16=0,AO17=0,E15="Auto",B15="Pipefitter Foreman",AND('Job setup'!$B$11="ON",'Job setup'!$C$11&lt;=AO$6,'Job setup'!$D$11&gt;=AO$6,'Job setup'!$G$11="YES")),0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0</v>
      </c>
      <c r="OT18" s="28" t="s">
        <v>78</v>
      </c>
    </row>
    <row r="19" ht="16" customHeight="1" spans="1:410" x14ac:dyDescent="0.25">
      <c r="A19" s="73"/>
      <c r="B19" s="44"/>
      <c r="C19" s="65">
        <f>G15*N(D19)</f>
        <v>18880</v>
      </c>
      <c r="D19" s="65">
        <f>IF(TRIM(B15)="","No rate",IFERROR(INDEX('Rate Tables'!D$7:D$161,MATCH(B15,'Rate Tables'!A$7:A$161,0)),"No rate"))</f>
        <v>147.5</v>
      </c>
      <c r="E19" s="54" t="s">
        <v>61</v>
      </c>
      <c r="F19" s="48"/>
      <c r="G19" s="48"/>
      <c r="H19" s="48"/>
      <c r="I19" s="49"/>
      <c r="J19" s="61">
        <f>IF(AND(J16=2,J17=8,E15="Auto",B15="Pipefitter Foreman",AND('Job setup'!$B$7="ON",'Job setup'!$C$7&lt;=J$6,'Job setup'!$D$7&gt;=J$6,'Job setup'!$G$7="YES")),0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0</v>
      </c>
      <c r="K19" s="62">
        <f>IF(AND(K16=2,K17=8,E15="Auto",B15="Pipefitter Foreman",AND('Job setup'!$B$7="ON",'Job setup'!$C$7&lt;=K$6,'Job setup'!$D$7&gt;=K$6,'Job setup'!$G$7="YES")),0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0</v>
      </c>
      <c r="L19" s="62">
        <f>IF(AND(L16=2,L17=8,E15="Auto",B15="Pipefitter Foreman",AND('Job setup'!$B$7="ON",'Job setup'!$C$7&lt;=L$6,'Job setup'!$D$7&gt;=L$6,'Job setup'!$G$7="YES")),0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0</v>
      </c>
      <c r="M19" s="62">
        <f>IF(AND(M16=2,M17=8,E15="Auto",B15="Pipefitter Foreman",AND('Job setup'!$B$7="ON",'Job setup'!$C$7&lt;=M$6,'Job setup'!$D$7&gt;=M$6,'Job setup'!$G$7="YES")),0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0</v>
      </c>
      <c r="N19" s="62">
        <f>IF(AND(N16=2,N17=8,E15="Auto",B15="Pipefitter Foreman",AND('Job setup'!$B$7="ON",'Job setup'!$C$7&lt;=N$6,'Job setup'!$D$7&gt;=N$6,'Job setup'!$G$7="YES")),0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0</v>
      </c>
      <c r="O19" s="63">
        <f>IF(AND(O16=0,O17=0,E15="Auto",B15="Pipefitter Foreman",AND('Job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J18+K18+L18+M18+N18)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J18+K18+L18+M18+N18))))))</f>
        <v>0</v>
      </c>
      <c r="P19" s="63">
        <f>IF(AND(P16=0,P17=0,E15="Auto",B15="Pipefitter Foreman",AND('Job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J18+K18+L18+M18+N18+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J18+K18+L18+M18+N18+O18))))))</f>
        <v>0</v>
      </c>
      <c r="Q19" s="62">
        <f>IF(AND(Q16=2,Q17=8,E15="Auto",B15="Pipefitter Foreman",AND('Job setup'!$B$7="ON",'Job setup'!$C$7&lt;=Q$6,'Job setup'!$D$7&gt;=Q$6,'Job setup'!$G$7="YES")),0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0</v>
      </c>
      <c r="R19" s="62">
        <f>IF(AND(R16=2,R17=8,E15="Auto",B15="Pipefitter Foreman",AND('Job setup'!$B$7="ON",'Job setup'!$C$7&lt;=R$6,'Job setup'!$D$7&gt;=R$6,'Job setup'!$G$7="YES")),0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0</v>
      </c>
      <c r="S19" s="62">
        <f>IF(AND(S16=2,S17=8,E15="Auto",B15="Pipefitter Foreman",AND('Job setup'!$B$7="ON",'Job setup'!$C$7&lt;=S$6,'Job setup'!$D$7&gt;=S$6,'Job setup'!$G$7="YES")),0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0</v>
      </c>
      <c r="T19" s="62">
        <f>IF(AND(T16=2,T17=12,E15="Auto",B15="Pipefitter Foreman",AND('Job setup'!$B$9="ON",'Job setup'!$C$9&lt;=T$6,'Job setup'!$D$9&gt;=T$6,'Job setup'!$G$9="NO")),8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Q18+R18+S18)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Q18+R18+S18))))))</f>
        <v>8</v>
      </c>
      <c r="U19" s="62">
        <f>IF(AND(U16=2,U17=12,E15="Auto",B15="Pipefitter Foreman",AND('Job setup'!$B$9="ON",'Job setup'!$C$9&lt;=U$6,'Job setup'!$D$9&gt;=U$6,'Job setup'!$G$9="NO")),8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Q18+R18+S18+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Q18+R18+S18+T18))))))</f>
        <v>8</v>
      </c>
      <c r="V19" s="63">
        <f>IF(AND(V16=2,V17=12,E15="Auto",B15="Pipefitter Foreman",AND('Job setup'!$B$9="ON",'Job setup'!$C$9&lt;=V$6,'Job setup'!$D$9&gt;=V$6,'Job setup'!$G$9="NO")),24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Q18+R18+S18+T18+U18)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Q18+R18+S18+T18+U18))))))</f>
        <v>24</v>
      </c>
      <c r="W19" s="63">
        <f>IF(AND(W16=2,W17=12,E15="Auto",B15="Pipefitter Foreman",AND('Job setup'!$B$9="ON",'Job setup'!$C$9&lt;=W$6,'Job setup'!$D$9&gt;=W$6,'Job setup'!$G$9="NO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Q18+R18+S18+T18+U18+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Q18+R18+S18+T18+U18+V18))))))</f>
        <v>0</v>
      </c>
      <c r="X19" s="62">
        <f>IF(AND(X16=2,X17=12,E15="Auto",B15="Pipefitter Foreman",AND('Job setup'!$B$9="ON",'Job setup'!$C$9&lt;=X$6,'Job setup'!$D$9&gt;=X$6,'Job setup'!$G$9="NO")),8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8</v>
      </c>
      <c r="Y19" s="62">
        <f>IF(AND(Y16=2,Y17=12,E15="Auto",B15="Pipefitter Foreman",AND('Job setup'!$B$9="ON",'Job setup'!$C$9&lt;=Y$6,'Job setup'!$D$9&gt;=Y$6,'Job setup'!$G$9="NO")),8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8</v>
      </c>
      <c r="Z19" s="62">
        <f>IF(AND(Z16=2,Z17=12,E15="Auto",B15="Pipefitter Foreman",AND('Job setup'!$B$9="ON",'Job setup'!$C$9&lt;=Z$6,'Job setup'!$D$9&gt;=Z$6,'Job setup'!$G$9="NO")),8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8</v>
      </c>
      <c r="AA19" s="62">
        <f>IF(AND(AA16=2,AA17=12,E15="Auto",B15="Pipefitter Foreman",AND('Job setup'!$B$9="ON",'Job setup'!$C$9&lt;=AA$6,'Job setup'!$D$9&gt;=AA$6,'Job setup'!$G$9="NO")),8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8</v>
      </c>
      <c r="AB19" s="62">
        <f>IF(AND(AB16=2,AB17=12,E15="Auto",B15="Pipefitter Foreman",AND('Job setup'!$B$9="ON",'Job setup'!$C$9&lt;=AB$6,'Job setup'!$D$9&gt;=AB$6,'Job setup'!$G$9="NO")),8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8</v>
      </c>
      <c r="AC19" s="63">
        <f>IF(AND(AC16=2,AC17=12,E15="Auto",B15="Pipefitter Foreman",AND('Job setup'!$B$9="ON",'Job setup'!$C$9&lt;=AC$6,'Job setup'!$D$9&gt;=AC$6,'Job setup'!$G$9="NO")),24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X18+Y18+Z18+AA18+AB18)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X18+Y18+Z18+AA18+AB18))))))</f>
        <v>24</v>
      </c>
      <c r="AD19" s="63">
        <f>IF(AND(AD16=2,AD17=12,E15="Auto",B15="Pipefitter Foreman",AND('Job setup'!$B$9="ON",'Job setup'!$C$9&lt;=AD$6,'Job setup'!$D$9&gt;=AD$6,'Job setup'!$G$9="NO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X18+Y18+Z18+AA18+AB18+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X18+Y18+Z18+AA18+AB18+AC18))))))</f>
        <v>0</v>
      </c>
      <c r="AE19" s="62">
        <f>IF(AND(AE16=2,AE17=12,E15="Auto",B15="Pipefitter Foreman",AND('Job setup'!$B$9="ON",'Job setup'!$C$9&lt;=AE$6,'Job setup'!$D$9&gt;=AE$6,'Job setup'!$G$9="NO")),8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8</v>
      </c>
      <c r="AF19" s="62">
        <f>IF(AND(AF16=2,AF17=12,E15="Auto",B15="Pipefitter Foreman",AND('Job setup'!$B$9="ON",'Job setup'!$C$9&lt;=AF$6,'Job setup'!$D$9&gt;=AF$6,'Job setup'!$G$9="NO")),8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8</v>
      </c>
      <c r="AG19" s="62">
        <f>IF(AND(AG16=2,AG17=12,E15="Auto",B15="Pipefitter Foreman",AND('Job setup'!$B$9="ON",'Job setup'!$C$9&lt;=AG$6,'Job setup'!$D$9&gt;=AG$6,'Job setup'!$G$9="NO")),8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8</v>
      </c>
      <c r="AH19" s="62">
        <f>IF(AND(AH16=0,AH17=0,E15="Auto",B15="Pipefitter Foreman",AND('Job setup'!$B$11="ON",'Job setup'!$C$11&lt;=AH$6,'Job setup'!$D$11&gt;=AH$6,'Job setup'!$G$11="YES")),0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AE18+AF18+AG18)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AE18+AF18+AG18))))))</f>
        <v>0</v>
      </c>
      <c r="AI19" s="62">
        <f>IF(AND(AI16=0,AI17=0,E15="Auto",B15="Pipefitter Foreman",AND('Job setup'!$B$11="ON",'Job setup'!$C$11&lt;=AI$6,'Job setup'!$D$11&gt;=AI$6,'Job setup'!$G$11="YES")),0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E18+AF18+AG18+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E18+AF18+AG18+AH18))))))</f>
        <v>0</v>
      </c>
      <c r="AJ19" s="63">
        <f>IF(AND(AJ16=0,AJ17=0,E15="Auto",B15="Pipefitter Foreman",AND('Job setup'!$B$11="ON",'Job setup'!$C$11&lt;=AJ$6,'Job setup'!$D$11&gt;=AJ$6,'Job setup'!$G$11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AE18+AF18+AG18+AH18+AI18)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AE18+AF18+AG18+AH18+AI18))))))</f>
        <v>0</v>
      </c>
      <c r="AK19" s="63">
        <f>IF(AND(AK16=0,AK17=0,E15="Auto",B15="Pipefitter Foreman",AND('Job setup'!$B$11="ON",'Job setup'!$C$11&lt;=AK$6,'Job setup'!$D$11&gt;=AK$6,'Job setup'!$G$11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E18+AF18+AG18+AH18+AI18+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E18+AF18+AG18+AH18+AI18+AJ18))))))</f>
        <v>0</v>
      </c>
      <c r="AL19" s="62">
        <f>IF(AND(AL16=0,AL17=0,E15="Auto",B15="Pipefitter Foreman",AND('Job setup'!$B$11="ON",'Job setup'!$C$11&lt;=AL$6,'Job setup'!$D$11&gt;=AL$6,'Job setup'!$G$11="YES")),0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0</v>
      </c>
      <c r="AM19" s="62">
        <f>IF(AND(AM16=0,AM17=0,E15="Auto",B15="Pipefitter Foreman",AND('Job setup'!$B$11="ON",'Job setup'!$C$11&lt;=AM$6,'Job setup'!$D$11&gt;=AM$6,'Job setup'!$G$11="YES")),0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0</v>
      </c>
      <c r="AN19" s="62">
        <f>IF(AND(AN16=0,AN17=0,E15="Auto",B15="Pipefitter Foreman",AND('Job setup'!$B$11="ON",'Job setup'!$C$11&lt;=AN$6,'Job setup'!$D$11&gt;=AN$6,'Job setup'!$G$11="YES")),0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0</v>
      </c>
      <c r="AO19" s="64">
        <f>IF(AND(AO16=0,AO17=0,E15="Auto",B15="Pipefitter Foreman",AND('Job setup'!$B$11="ON",'Job setup'!$C$11&lt;=AO$6,'Job setup'!$D$11&gt;=AO$6,'Job setup'!$G$11="YES")),0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0</v>
      </c>
      <c r="OT19" s="28" t="s">
        <v>78</v>
      </c>
    </row>
    <row r="20" ht="16" customHeight="1" spans="1:410" x14ac:dyDescent="0.25">
      <c r="A20" s="73"/>
      <c r="B20" s="44"/>
      <c r="C20" s="60">
        <f>H15*N(D20)</f>
        <v>9106.56</v>
      </c>
      <c r="D20" s="60">
        <f>IF(TRIM(B15)="","No rate",IFERROR(INDEX('Rate Tables'!E$7:E$161,MATCH(B15,'Rate Tables'!A$7:A$161,0)),"No rate"))</f>
        <v>189.72</v>
      </c>
      <c r="E20" s="54" t="s">
        <v>62</v>
      </c>
      <c r="F20" s="48"/>
      <c r="G20" s="48"/>
      <c r="H20" s="48"/>
      <c r="I20" s="49"/>
      <c r="J20" s="61">
        <f>IF(AND(J16=2,J17=8,E15="Auto",B15="Pipefitter Foreman",AND('Job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2">
        <f>IF(AND(K16=2,K17=8,E15="Auto",B15="Pipefitter Foreman",AND('Job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2">
        <f>IF(AND(L16=2,L17=8,E15="Auto",B15="Pipefitter Foreman",AND('Job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2">
        <f>IF(AND(M16=2,M17=8,E15="Auto",B15="Pipefitter Foreman",AND('Job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2">
        <f>IF(AND(N16=2,N17=8,E15="Auto",B15="Pipefitter Foreman",AND('Job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3">
        <f>IF(AND(O16=0,O17=0,E15="Auto",B15="Pipefitter Foreman",AND('Job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3">
        <f>IF(AND(P16=0,P17=0,E15="Auto",B15="Pipefitter Foreman",AND('Job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2">
        <f>IF(AND(Q16=2,Q17=8,E15="Auto",B15="Pipefitter Foreman",AND('Job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2">
        <f>IF(AND(R16=2,R17=8,E15="Auto",B15="Pipefitter Foreman",AND('Job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2">
        <f>IF(AND(S16=2,S17=8,E15="Auto",B15="Pipefitter Foreman",AND('Job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2">
        <f>IF(AND(T16=2,T17=12,E15="Auto",B15="Pipefitter Foreman",AND('Job setup'!$B$9="ON",'Job setup'!$C$9&lt;=T$6,'Job setup'!$D$9&gt;=T$6,'Job setup'!$G$9="NO")),0,IF(OS15,IF(OR(T16&lt;=0,NOT('_JobDays'!K2)),0,IF(WEEKDAY(T$6,1)=1,T16*T17,0)),IF(OR(T16&lt;=0,NOT('_JobDays'!K2)),0,IF(WEEKDAY(T$6,1)=1,T16*T17,0))))</f>
        <v>0</v>
      </c>
      <c r="U20" s="62">
        <f>IF(AND(U16=2,U17=12,E15="Auto",B15="Pipefitter Foreman",AND('Job setup'!$B$9="ON",'Job setup'!$C$9&lt;=U$6,'Job setup'!$D$9&gt;=U$6,'Job setup'!$G$9="NO")),0,IF(OS15,IF(OR(U16&lt;=0,NOT('_JobDays'!L2)),0,IF(WEEKDAY(U$6,1)=1,U16*U17,0)),IF(OR(U16&lt;=0,NOT('_JobDays'!L2)),0,IF(WEEKDAY(U$6,1)=1,U16*U17,0))))</f>
        <v>0</v>
      </c>
      <c r="V20" s="63">
        <f>IF(AND(V16=2,V17=12,E15="Auto",B15="Pipefitter Foreman",AND('Job setup'!$B$9="ON",'Job setup'!$C$9&lt;=V$6,'Job setup'!$D$9&gt;=V$6,'Job setup'!$G$9="NO")),0,IF(OS15,IF(OR(V16&lt;=0,NOT('_JobDays'!M2)),0,IF(WEEKDAY(V$6,1)=1,V16*V17,0)),IF(OR(V16&lt;=0,NOT('_JobDays'!M2)),0,IF(WEEKDAY(V$6,1)=1,V16*V17,0))))</f>
        <v>0</v>
      </c>
      <c r="W20" s="63">
        <f>IF(AND(W16=2,W17=12,E15="Auto",B15="Pipefitter Foreman",AND('Job setup'!$B$9="ON",'Job setup'!$C$9&lt;=W$6,'Job setup'!$D$9&gt;=W$6,'Job setup'!$G$9="NO")),24,IF(OS15,IF(OR(W16&lt;=0,NOT('_JobDays'!N2)),0,IF(WEEKDAY(W$6,1)=1,W16*W17,0)),IF(OR(W16&lt;=0,NOT('_JobDays'!N2)),0,IF(WEEKDAY(W$6,1)=1,W16*W17,0))))</f>
        <v>24</v>
      </c>
      <c r="X20" s="62">
        <f>IF(AND(X16=2,X17=12,E15="Auto",B15="Pipefitter Foreman",AND('Job setup'!$B$9="ON",'Job setup'!$C$9&lt;=X$6,'Job setup'!$D$9&gt;=X$6,'Job setup'!$G$9="NO")),0,IF(OS15,IF(OR(X16&lt;=0,NOT('_JobDays'!O2)),0,IF(WEEKDAY(X$6,1)=1,X16*X17,0)),IF(OR(X16&lt;=0,NOT('_JobDays'!O2)),0,IF(WEEKDAY(X$6,1)=1,X16*X17,0))))</f>
        <v>0</v>
      </c>
      <c r="Y20" s="62">
        <f>IF(AND(Y16=2,Y17=12,E15="Auto",B15="Pipefitter Foreman",AND('Job setup'!$B$9="ON",'Job setup'!$C$9&lt;=Y$6,'Job setup'!$D$9&gt;=Y$6,'Job setup'!$G$9="NO")),0,IF(OS15,IF(OR(Y16&lt;=0,NOT('_JobDays'!P2)),0,IF(WEEKDAY(Y$6,1)=1,Y16*Y17,0)),IF(OR(Y16&lt;=0,NOT('_JobDays'!P2)),0,IF(WEEKDAY(Y$6,1)=1,Y16*Y17,0))))</f>
        <v>0</v>
      </c>
      <c r="Z20" s="62">
        <f>IF(AND(Z16=2,Z17=12,E15="Auto",B15="Pipefitter Foreman",AND('Job setup'!$B$9="ON",'Job setup'!$C$9&lt;=Z$6,'Job setup'!$D$9&gt;=Z$6,'Job setup'!$G$9="NO")),0,IF(OS15,IF(OR(Z16&lt;=0,NOT('_JobDays'!Q2)),0,IF(WEEKDAY(Z$6,1)=1,Z16*Z17,0)),IF(OR(Z16&lt;=0,NOT('_JobDays'!Q2)),0,IF(WEEKDAY(Z$6,1)=1,Z16*Z17,0))))</f>
        <v>0</v>
      </c>
      <c r="AA20" s="62">
        <f>IF(AND(AA16=2,AA17=12,E15="Auto",B15="Pipefitter Foreman",AND('Job setup'!$B$9="ON",'Job setup'!$C$9&lt;=AA$6,'Job setup'!$D$9&gt;=AA$6,'Job setup'!$G$9="NO")),0,IF(OS15,IF(OR(AA16&lt;=0,NOT('_JobDays'!R2)),0,IF(WEEKDAY(AA$6,1)=1,AA16*AA17,0)),IF(OR(AA16&lt;=0,NOT('_JobDays'!R2)),0,IF(WEEKDAY(AA$6,1)=1,AA16*AA17,0))))</f>
        <v>0</v>
      </c>
      <c r="AB20" s="62">
        <f>IF(AND(AB16=2,AB17=12,E15="Auto",B15="Pipefitter Foreman",AND('Job setup'!$B$9="ON",'Job setup'!$C$9&lt;=AB$6,'Job setup'!$D$9&gt;=AB$6,'Job setup'!$G$9="NO")),0,IF(OS15,IF(OR(AB16&lt;=0,NOT('_JobDays'!S2)),0,IF(WEEKDAY(AB$6,1)=1,AB16*AB17,0)),IF(OR(AB16&lt;=0,NOT('_JobDays'!S2)),0,IF(WEEKDAY(AB$6,1)=1,AB16*AB17,0))))</f>
        <v>0</v>
      </c>
      <c r="AC20" s="63">
        <f>IF(AND(AC16=2,AC17=12,E15="Auto",B15="Pipefitter Foreman",AND('Job setup'!$B$9="ON",'Job setup'!$C$9&lt;=AC$6,'Job setup'!$D$9&gt;=AC$6,'Job setup'!$G$9="NO")),0,IF(OS15,IF(OR(AC16&lt;=0,NOT('_JobDays'!T2)),0,IF(WEEKDAY(AC$6,1)=1,AC16*AC17,0)),IF(OR(AC16&lt;=0,NOT('_JobDays'!T2)),0,IF(WEEKDAY(AC$6,1)=1,AC16*AC17,0))))</f>
        <v>0</v>
      </c>
      <c r="AD20" s="63">
        <f>IF(AND(AD16=2,AD17=12,E15="Auto",B15="Pipefitter Foreman",AND('Job setup'!$B$9="ON",'Job setup'!$C$9&lt;=AD$6,'Job setup'!$D$9&gt;=AD$6,'Job setup'!$G$9="NO")),24,IF(OS15,IF(OR(AD16&lt;=0,NOT('_JobDays'!U2)),0,IF(WEEKDAY(AD$6,1)=1,AD16*AD17,0)),IF(OR(AD16&lt;=0,NOT('_JobDays'!U2)),0,IF(WEEKDAY(AD$6,1)=1,AD16*AD17,0))))</f>
        <v>24</v>
      </c>
      <c r="AE20" s="62">
        <f>IF(AND(AE16=2,AE17=12,E15="Auto",B15="Pipefitter Foreman",AND('Job setup'!$B$9="ON",'Job setup'!$C$9&lt;=AE$6,'Job setup'!$D$9&gt;=AE$6,'Job setup'!$G$9="NO")),0,IF(OS15,IF(OR(AE16&lt;=0,NOT('_JobDays'!V2)),0,IF(WEEKDAY(AE$6,1)=1,AE16*AE17,0)),IF(OR(AE16&lt;=0,NOT('_JobDays'!V2)),0,IF(WEEKDAY(AE$6,1)=1,AE16*AE17,0))))</f>
        <v>0</v>
      </c>
      <c r="AF20" s="62">
        <f>IF(AND(AF16=2,AF17=12,E15="Auto",B15="Pipefitter Foreman",AND('Job setup'!$B$9="ON",'Job setup'!$C$9&lt;=AF$6,'Job setup'!$D$9&gt;=AF$6,'Job setup'!$G$9="NO")),0,IF(OS15,IF(OR(AF16&lt;=0,NOT('_JobDays'!W2)),0,IF(WEEKDAY(AF$6,1)=1,AF16*AF17,0)),IF(OR(AF16&lt;=0,NOT('_JobDays'!W2)),0,IF(WEEKDAY(AF$6,1)=1,AF16*AF17,0))))</f>
        <v>0</v>
      </c>
      <c r="AG20" s="62">
        <f>IF(AND(AG16=2,AG17=12,E15="Auto",B15="Pipefitter Foreman",AND('Job setup'!$B$9="ON",'Job setup'!$C$9&lt;=AG$6,'Job setup'!$D$9&gt;=AG$6,'Job setup'!$G$9="NO")),0,IF(OS15,IF(OR(AG16&lt;=0,NOT('_JobDays'!X2)),0,IF(WEEKDAY(AG$6,1)=1,AG16*AG17,0)),IF(OR(AG16&lt;=0,NOT('_JobDays'!X2)),0,IF(WEEKDAY(AG$6,1)=1,AG16*AG17,0))))</f>
        <v>0</v>
      </c>
      <c r="AH20" s="62">
        <f>IF(AND(AH16=0,AH17=0,E15="Auto",B15="Pipefitter Foreman",AND('Job setup'!$B$11="ON",'Job setup'!$C$11&lt;=AH$6,'Job setup'!$D$11&gt;=AH$6,'Job setup'!$G$11="YES")),0,IF(OS15,IF(OR(AH16&lt;=0,NOT('_JobDays'!Y2)),0,IF(WEEKDAY(AH$6,1)=1,AH16*AH17,0)),IF(OR(AH16&lt;=0,NOT('_JobDays'!Y2)),0,IF(WEEKDAY(AH$6,1)=1,AH16*AH17,0))))</f>
        <v>0</v>
      </c>
      <c r="AI20" s="62">
        <f>IF(AND(AI16=0,AI17=0,E15="Auto",B15="Pipefitter Foreman",AND('Job setup'!$B$11="ON",'Job setup'!$C$11&lt;=AI$6,'Job setup'!$D$11&gt;=AI$6,'Job setup'!$G$11="YES")),0,IF(OS15,IF(OR(AI16&lt;=0,NOT('_JobDays'!Z2)),0,IF(WEEKDAY(AI$6,1)=1,AI16*AI17,0)),IF(OR(AI16&lt;=0,NOT('_JobDays'!Z2)),0,IF(WEEKDAY(AI$6,1)=1,AI16*AI17,0))))</f>
        <v>0</v>
      </c>
      <c r="AJ20" s="63">
        <f>IF(AND(AJ16=0,AJ17=0,E15="Auto",B15="Pipefitter Foreman",AND('Job setup'!$B$11="ON",'Job setup'!$C$11&lt;=AJ$6,'Job setup'!$D$11&gt;=AJ$6,'Job setup'!$G$11="YES")),0,IF(OS15,IF(OR(AJ16&lt;=0,NOT('_JobDays'!AA2)),0,IF(WEEKDAY(AJ$6,1)=1,AJ16*AJ17,0)),IF(OR(AJ16&lt;=0,NOT('_JobDays'!AA2)),0,IF(WEEKDAY(AJ$6,1)=1,AJ16*AJ17,0))))</f>
        <v>0</v>
      </c>
      <c r="AK20" s="63">
        <f>IF(AND(AK16=0,AK17=0,E15="Auto",B15="Pipefitter Foreman",AND('Job setup'!$B$11="ON",'Job setup'!$C$11&lt;=AK$6,'Job setup'!$D$11&gt;=AK$6,'Job setup'!$G$11="YES")),0,IF(OS15,IF(OR(AK16&lt;=0,NOT('_JobDays'!AB2)),0,IF(WEEKDAY(AK$6,1)=1,AK16*AK17,0)),IF(OR(AK16&lt;=0,NOT('_JobDays'!AB2)),0,IF(WEEKDAY(AK$6,1)=1,AK16*AK17,0))))</f>
        <v>0</v>
      </c>
      <c r="AL20" s="62">
        <f>IF(AND(AL16=0,AL17=0,E15="Auto",B15="Pipefitter Foreman",AND('Job setup'!$B$11="ON",'Job setup'!$C$11&lt;=AL$6,'Job setup'!$D$11&gt;=AL$6,'Job setup'!$G$11="YES")),0,IF(OS15,IF(OR(AL16&lt;=0,NOT('_JobDays'!AC2)),0,IF(WEEKDAY(AL$6,1)=1,AL16*AL17,0)),IF(OR(AL16&lt;=0,NOT('_JobDays'!AC2)),0,IF(WEEKDAY(AL$6,1)=1,AL16*AL17,0))))</f>
        <v>0</v>
      </c>
      <c r="AM20" s="62">
        <f>IF(AND(AM16=0,AM17=0,E15="Auto",B15="Pipefitter Foreman",AND('Job setup'!$B$11="ON",'Job setup'!$C$11&lt;=AM$6,'Job setup'!$D$11&gt;=AM$6,'Job setup'!$G$11="YES")),0,IF(OS15,IF(OR(AM16&lt;=0,NOT('_JobDays'!AD2)),0,IF(WEEKDAY(AM$6,1)=1,AM16*AM17,0)),IF(OR(AM16&lt;=0,NOT('_JobDays'!AD2)),0,IF(WEEKDAY(AM$6,1)=1,AM16*AM17,0))))</f>
        <v>0</v>
      </c>
      <c r="AN20" s="62">
        <f>IF(AND(AN16=0,AN17=0,E15="Auto",B15="Pipefitter Foreman",AND('Job setup'!$B$11="ON",'Job setup'!$C$11&lt;=AN$6,'Job setup'!$D$11&gt;=AN$6,'Job setup'!$G$11="YES")),0,IF(OS15,IF(OR(AN16&lt;=0,NOT('_JobDays'!AE2)),0,IF(WEEKDAY(AN$6,1)=1,AN16*AN17,0)),IF(OR(AN16&lt;=0,NOT('_JobDays'!AE2)),0,IF(WEEKDAY(AN$6,1)=1,AN16*AN17,0))))</f>
        <v>0</v>
      </c>
      <c r="AO20" s="64">
        <f>IF(AND(AO16=0,AO17=0,E15="Auto",B15="Pipefitter Foreman",AND('Job setup'!$B$11="ON",'Job setup'!$C$11&lt;=AO$6,'Job setup'!$D$11&gt;=AO$6,'Job setup'!$G$11="YES")),0,IF(OS15,IF(OR(AO16&lt;=0,NOT('_JobDays'!AF2)),0,IF(WEEKDAY(AO$6,1)=1,AO16*AO17,0)),IF(OR(AO16&lt;=0,NOT('_JobDays'!AF2)),0,IF(WEEKDAY(AO$6,1)=1,AO16*AO17,0))))</f>
        <v>0</v>
      </c>
      <c r="OT20" s="28" t="s">
        <v>78</v>
      </c>
    </row>
    <row r="21" ht="16" customHeight="1" spans="1:410" x14ac:dyDescent="0.25">
      <c r="A21" s="73"/>
      <c r="B21" s="44"/>
      <c r="C21" s="66">
        <f>I15*D21</f>
        <v>5720</v>
      </c>
      <c r="D21" s="66">
        <v>130</v>
      </c>
      <c r="E21" s="67" t="s">
        <v>63</v>
      </c>
      <c r="F21" s="48"/>
      <c r="G21" s="48"/>
      <c r="H21" s="48"/>
      <c r="I21" s="49"/>
      <c r="J21" s="68">
        <v>2</v>
      </c>
      <c r="K21" s="69">
        <v>2</v>
      </c>
      <c r="L21" s="69">
        <v>2</v>
      </c>
      <c r="M21" s="69">
        <v>2</v>
      </c>
      <c r="N21" s="69">
        <v>2</v>
      </c>
      <c r="O21" s="70">
        <v>0</v>
      </c>
      <c r="P21" s="70">
        <v>0</v>
      </c>
      <c r="Q21" s="69">
        <v>2</v>
      </c>
      <c r="R21" s="69">
        <v>2</v>
      </c>
      <c r="S21" s="69">
        <v>2</v>
      </c>
      <c r="T21" s="69">
        <v>2</v>
      </c>
      <c r="U21" s="69">
        <v>2</v>
      </c>
      <c r="V21" s="70">
        <v>2</v>
      </c>
      <c r="W21" s="70">
        <v>2</v>
      </c>
      <c r="X21" s="69">
        <v>2</v>
      </c>
      <c r="Y21" s="69">
        <v>2</v>
      </c>
      <c r="Z21" s="69">
        <v>2</v>
      </c>
      <c r="AA21" s="69">
        <v>2</v>
      </c>
      <c r="AB21" s="69">
        <v>2</v>
      </c>
      <c r="AC21" s="70">
        <v>2</v>
      </c>
      <c r="AD21" s="70">
        <v>2</v>
      </c>
      <c r="AE21" s="69">
        <v>2</v>
      </c>
      <c r="AF21" s="69">
        <v>2</v>
      </c>
      <c r="AG21" s="69">
        <v>2</v>
      </c>
      <c r="AH21" s="69">
        <v>0</v>
      </c>
      <c r="AI21" s="69">
        <v>0</v>
      </c>
      <c r="AJ21" s="70">
        <v>0</v>
      </c>
      <c r="AK21" s="70">
        <v>0</v>
      </c>
      <c r="AL21" s="69">
        <v>0</v>
      </c>
      <c r="AM21" s="69">
        <v>0</v>
      </c>
      <c r="AN21" s="69">
        <v>0</v>
      </c>
      <c r="AO21" s="71">
        <v>0</v>
      </c>
      <c r="OT21" s="59" t="s">
        <v>78</v>
      </c>
    </row>
    <row r="22" ht="16" customHeight="1" spans="1:410" x14ac:dyDescent="0.25">
      <c r="A22" s="16" t="s">
        <v>75</v>
      </c>
      <c r="B22" s="17"/>
      <c r="C22" s="74">
        <f>SUM(C7,C15)</f>
        <v>121667.84</v>
      </c>
      <c r="D22" s="17"/>
      <c r="E22" s="17"/>
      <c r="F22" s="18">
        <f>SUM(F7,F15)</f>
        <v>624</v>
      </c>
      <c r="G22" s="18">
        <f>SUM(G7,G15)</f>
        <v>256</v>
      </c>
      <c r="H22" s="18">
        <f>SUM(H7,H15)</f>
        <v>96</v>
      </c>
      <c r="I22" s="18">
        <f>SUM(I7,I15)</f>
        <v>94</v>
      </c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OS22" s="16">
        <f>SUM(C13,C21)</f>
        <v>12220</v>
      </c>
      <c r="OT22" s="16">
        <f>F22+G22+H22</f>
        <v>976</v>
      </c>
    </row>
  </sheetData>
  <sheetProtection sheet="1" formatColumns="1"/>
  <mergeCells count="23">
    <mergeCell ref="A1:I1"/>
    <mergeCell ref="A2:I2"/>
    <mergeCell ref="A3:I3"/>
    <mergeCell ref="A4:I5"/>
    <mergeCell ref="J4:S4"/>
    <mergeCell ref="T4:AG4"/>
    <mergeCell ref="AH4:AO4"/>
    <mergeCell ref="A7:A13"/>
    <mergeCell ref="B7:B13"/>
    <mergeCell ref="C7:C9"/>
    <mergeCell ref="D7:D9"/>
    <mergeCell ref="F7:F13"/>
    <mergeCell ref="G7:G13"/>
    <mergeCell ref="H7:H13"/>
    <mergeCell ref="I7:I13"/>
    <mergeCell ref="A15:A21"/>
    <mergeCell ref="B15:B21"/>
    <mergeCell ref="C15:C17"/>
    <mergeCell ref="D15:D17"/>
    <mergeCell ref="F15:F21"/>
    <mergeCell ref="G15:G21"/>
    <mergeCell ref="H15:H21"/>
    <mergeCell ref="I15:I21"/>
  </mergeCells>
  <conditionalFormatting sqref="J6:AO6">
    <cfRule type="expression" dxfId="11" priority="1">
      <formula>OR(WEEKDAY(J$6,1)=7,WEEKDAY(J$6,1)=1)</formula>
    </cfRule>
  </conditionalFormatting>
  <conditionalFormatting sqref="J7:AO13">
    <cfRule type="expression" dxfId="11" priority="1">
      <formula>OR(WEEKDAY(J$6,1)=7,WEEKDAY(J$6,1)=1)</formula>
    </cfRule>
  </conditionalFormatting>
  <conditionalFormatting sqref="J15:AO21">
    <cfRule type="expression" dxfId="11" priority="1">
      <formula>OR(WEEKDAY(J$6,1)=7,WEEKDAY(J$6,1)=1)</formula>
    </cfRule>
  </conditionalFormatting>
  <dataValidations count="4">
    <dataValidation type="list" allowBlank="1" sqref="B15">
      <formula1>='_Lists'!$B$1:$B$7</formula1>
    </dataValidation>
    <dataValidation type="list" allowBlank="1" sqref="B7">
      <formula1>='_Lists'!$B$1:$B$7</formula1>
    </dataValidation>
    <dataValidation type="list" allowBlank="1" sqref="E15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22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7" customWidth="1"/>
    <col min="11" max="11" width="7" customWidth="1"/>
    <col min="12" max="12" width="7" customWidth="1"/>
    <col min="13" max="13" width="7" customWidth="1"/>
    <col min="14" max="14" width="7" customWidth="1"/>
    <col min="15" max="15" width="7" customWidth="1"/>
    <col min="16" max="16" width="7" customWidth="1"/>
    <col min="17" max="17" width="7" customWidth="1"/>
    <col min="18" max="18" width="7" customWidth="1"/>
    <col min="19" max="19" width="7" customWidth="1"/>
    <col min="20" max="20" width="7" customWidth="1"/>
    <col min="21" max="21" width="7" customWidth="1"/>
    <col min="22" max="22" width="7" customWidth="1"/>
    <col min="23" max="23" width="7" customWidth="1"/>
    <col min="24" max="24" width="7" customWidth="1"/>
    <col min="25" max="25" width="7" customWidth="1"/>
    <col min="26" max="26" width="7" customWidth="1"/>
    <col min="27" max="27" width="7" customWidth="1"/>
    <col min="28" max="28" width="7" customWidth="1"/>
    <col min="29" max="29" width="7" customWidth="1"/>
    <col min="30" max="30" width="7" customWidth="1"/>
    <col min="31" max="31" width="7" customWidth="1"/>
    <col min="32" max="32" width="7" customWidth="1"/>
    <col min="33" max="33" width="7" customWidth="1"/>
    <col min="34" max="34" width="7" customWidth="1"/>
    <col min="35" max="35" width="7" customWidth="1"/>
    <col min="36" max="36" width="7" customWidth="1"/>
    <col min="37" max="37" width="7" customWidth="1"/>
    <col min="38" max="38" width="7" customWidth="1"/>
    <col min="39" max="39" width="7" customWidth="1"/>
    <col min="40" max="40" width="7" customWidth="1"/>
    <col min="41" max="41" width="7" customWidth="1"/>
    <col min="42" max="16384" width="9" hidden="1" customWidth="1"/>
  </cols>
  <sheetData>
    <row r="1" ht="22" customHeight="1" spans="1:4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</row>
    <row r="2" ht="16" customHeight="1" spans="1:4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ht="16" customHeight="1" spans="1:4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</row>
    <row r="4" ht="14" customHeight="1" spans="1:41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8" t="s">
        <v>25</v>
      </c>
      <c r="K4" s="38"/>
      <c r="L4" s="38"/>
      <c r="M4" s="38"/>
      <c r="N4" s="38"/>
      <c r="O4" s="38"/>
      <c r="P4" s="38"/>
      <c r="Q4" s="38"/>
      <c r="R4" s="38"/>
      <c r="S4" s="38"/>
      <c r="T4" s="39" t="s">
        <v>32</v>
      </c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8" t="s">
        <v>36</v>
      </c>
      <c r="AI4" s="38"/>
      <c r="AJ4" s="38"/>
      <c r="AK4" s="38"/>
      <c r="AL4" s="38"/>
      <c r="AM4" s="38"/>
      <c r="AN4" s="38"/>
      <c r="AO4" s="38"/>
    </row>
    <row r="5" ht="14" customHeight="1" spans="1:41" x14ac:dyDescent="0.25">
      <c r="A5" s="37"/>
      <c r="B5" s="37"/>
      <c r="C5" s="37"/>
      <c r="D5" s="37"/>
      <c r="E5" s="37"/>
      <c r="F5" s="37"/>
      <c r="G5" s="37"/>
      <c r="H5" s="37"/>
      <c r="I5" s="37"/>
      <c r="J5" s="40" t="s">
        <v>38</v>
      </c>
      <c r="K5" s="40" t="s">
        <v>39</v>
      </c>
      <c r="L5" s="40" t="s">
        <v>40</v>
      </c>
      <c r="M5" s="40" t="s">
        <v>41</v>
      </c>
      <c r="N5" s="40" t="s">
        <v>42</v>
      </c>
      <c r="O5" s="40" t="s">
        <v>43</v>
      </c>
      <c r="P5" s="40" t="s">
        <v>44</v>
      </c>
      <c r="Q5" s="40" t="s">
        <v>38</v>
      </c>
      <c r="R5" s="40" t="s">
        <v>39</v>
      </c>
      <c r="S5" s="40" t="s">
        <v>40</v>
      </c>
      <c r="T5" s="40" t="s">
        <v>41</v>
      </c>
      <c r="U5" s="40" t="s">
        <v>42</v>
      </c>
      <c r="V5" s="40" t="s">
        <v>43</v>
      </c>
      <c r="W5" s="40" t="s">
        <v>44</v>
      </c>
      <c r="X5" s="40" t="s">
        <v>38</v>
      </c>
      <c r="Y5" s="40" t="s">
        <v>39</v>
      </c>
      <c r="Z5" s="40" t="s">
        <v>40</v>
      </c>
      <c r="AA5" s="40" t="s">
        <v>41</v>
      </c>
      <c r="AB5" s="40" t="s">
        <v>42</v>
      </c>
      <c r="AC5" s="40" t="s">
        <v>43</v>
      </c>
      <c r="AD5" s="40" t="s">
        <v>44</v>
      </c>
      <c r="AE5" s="40" t="s">
        <v>38</v>
      </c>
      <c r="AF5" s="40" t="s">
        <v>39</v>
      </c>
      <c r="AG5" s="40" t="s">
        <v>40</v>
      </c>
      <c r="AH5" s="40" t="s">
        <v>41</v>
      </c>
      <c r="AI5" s="40" t="s">
        <v>42</v>
      </c>
      <c r="AJ5" s="40" t="s">
        <v>43</v>
      </c>
      <c r="AK5" s="40" t="s">
        <v>44</v>
      </c>
      <c r="AL5" s="40" t="s">
        <v>38</v>
      </c>
      <c r="AM5" s="40" t="s">
        <v>39</v>
      </c>
      <c r="AN5" s="40" t="s">
        <v>40</v>
      </c>
      <c r="AO5" s="40" t="s">
        <v>41</v>
      </c>
    </row>
    <row r="6" ht="22" customHeight="1" spans="1:41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41">
        <v>46286</v>
      </c>
      <c r="K6" s="41">
        <f>J6+1</f>
        <v>46287</v>
      </c>
      <c r="L6" s="41">
        <f>K6+1</f>
        <v>46288</v>
      </c>
      <c r="M6" s="41">
        <f>L6+1</f>
        <v>46289</v>
      </c>
      <c r="N6" s="41">
        <f>M6+1</f>
        <v>46290</v>
      </c>
      <c r="O6" s="42">
        <f>N6+1</f>
        <v>46291</v>
      </c>
      <c r="P6" s="42">
        <f>O6+1</f>
        <v>46292</v>
      </c>
      <c r="Q6" s="41">
        <f>P6+1</f>
        <v>46293</v>
      </c>
      <c r="R6" s="41">
        <f>Q6+1</f>
        <v>46294</v>
      </c>
      <c r="S6" s="41">
        <f>R6+1</f>
        <v>46295</v>
      </c>
      <c r="T6" s="41">
        <f>S6+1</f>
        <v>46296</v>
      </c>
      <c r="U6" s="41">
        <f>T6+1</f>
        <v>46297</v>
      </c>
      <c r="V6" s="42">
        <f>U6+1</f>
        <v>46298</v>
      </c>
      <c r="W6" s="42">
        <f>V6+1</f>
        <v>46299</v>
      </c>
      <c r="X6" s="41">
        <f>W6+1</f>
        <v>46300</v>
      </c>
      <c r="Y6" s="41">
        <f>X6+1</f>
        <v>46301</v>
      </c>
      <c r="Z6" s="41">
        <f>Y6+1</f>
        <v>46302</v>
      </c>
      <c r="AA6" s="41">
        <f>Z6+1</f>
        <v>46303</v>
      </c>
      <c r="AB6" s="41">
        <f>AA6+1</f>
        <v>46304</v>
      </c>
      <c r="AC6" s="42">
        <f>AB6+1</f>
        <v>46305</v>
      </c>
      <c r="AD6" s="42">
        <f>AC6+1</f>
        <v>46306</v>
      </c>
      <c r="AE6" s="41">
        <f>AD6+1</f>
        <v>46307</v>
      </c>
      <c r="AF6" s="41">
        <f>AE6+1</f>
        <v>46308</v>
      </c>
      <c r="AG6" s="41">
        <f>AF6+1</f>
        <v>46309</v>
      </c>
      <c r="AH6" s="41">
        <f>AG6+1</f>
        <v>46310</v>
      </c>
      <c r="AI6" s="41">
        <f>AH6+1</f>
        <v>46311</v>
      </c>
      <c r="AJ6" s="42">
        <f>AI6+1</f>
        <v>46312</v>
      </c>
      <c r="AK6" s="42">
        <f>AJ6+1</f>
        <v>46313</v>
      </c>
      <c r="AL6" s="41">
        <f>AK6+1</f>
        <v>46314</v>
      </c>
      <c r="AM6" s="41">
        <f>AL6+1</f>
        <v>46315</v>
      </c>
      <c r="AN6" s="41">
        <f>AM6+1</f>
        <v>46316</v>
      </c>
      <c r="AO6" s="41">
        <f>AN6+1</f>
        <v>46317</v>
      </c>
    </row>
    <row r="7" ht="16" customHeight="1" spans="1:410" x14ac:dyDescent="0.25">
      <c r="A7" s="43" t="s">
        <v>54</v>
      </c>
      <c r="B7" s="44" t="s">
        <v>79</v>
      </c>
      <c r="C7" s="45">
        <f>C10+C11+C12</f>
        <v>468723.36</v>
      </c>
      <c r="D7" s="46"/>
      <c r="E7" s="47" t="s">
        <v>56</v>
      </c>
      <c r="F7" s="48">
        <f>SUM(J10:AO10)</f>
        <v>2336</v>
      </c>
      <c r="G7" s="48">
        <f>SUM(J11:AO11)</f>
        <v>1152</v>
      </c>
      <c r="H7" s="48">
        <f>SUM(J12:AO12)</f>
        <v>432</v>
      </c>
      <c r="I7" s="49">
        <f>SUM(J13:AO13)</f>
        <v>210</v>
      </c>
      <c r="J7" s="50"/>
      <c r="K7" s="51"/>
      <c r="L7" s="51"/>
      <c r="M7" s="51"/>
      <c r="N7" s="51"/>
      <c r="O7" s="52"/>
      <c r="P7" s="52"/>
      <c r="Q7" s="51"/>
      <c r="R7" s="51"/>
      <c r="S7" s="51"/>
      <c r="T7" s="51"/>
      <c r="U7" s="51"/>
      <c r="V7" s="52"/>
      <c r="W7" s="52"/>
      <c r="X7" s="51"/>
      <c r="Y7" s="51"/>
      <c r="Z7" s="51"/>
      <c r="AA7" s="51"/>
      <c r="AB7" s="51"/>
      <c r="AC7" s="52"/>
      <c r="AD7" s="52"/>
      <c r="AE7" s="51"/>
      <c r="AF7" s="51"/>
      <c r="AG7" s="51"/>
      <c r="AH7" s="51"/>
      <c r="AI7" s="51"/>
      <c r="AJ7" s="52"/>
      <c r="AK7" s="52"/>
      <c r="AL7" s="51"/>
      <c r="AM7" s="51"/>
      <c r="AN7" s="51"/>
      <c r="AO7" s="53"/>
      <c r="OS7" s="28">
        <f>OR(E7="Staff clock",AND(OR(E7="Auto",E7=""),ISNUMBER(MATCH(B7,'_Lists'!$K$1:$K$137,0))))</f>
        <v>0</v>
      </c>
      <c r="OT7" s="28" t="s">
        <v>80</v>
      </c>
    </row>
    <row r="8" ht="16" customHeight="1" spans="1:410" x14ac:dyDescent="0.25">
      <c r="A8" s="43"/>
      <c r="B8" s="44"/>
      <c r="C8" s="45"/>
      <c r="D8" s="46"/>
      <c r="E8" s="54" t="s">
        <v>58</v>
      </c>
      <c r="F8" s="48"/>
      <c r="G8" s="48"/>
      <c r="H8" s="48"/>
      <c r="I8" s="49"/>
      <c r="J8" s="55">
        <v>8</v>
      </c>
      <c r="K8" s="56">
        <v>8</v>
      </c>
      <c r="L8" s="56">
        <v>8</v>
      </c>
      <c r="M8" s="56">
        <v>8</v>
      </c>
      <c r="N8" s="56">
        <v>8</v>
      </c>
      <c r="O8" s="57">
        <v>0</v>
      </c>
      <c r="P8" s="57">
        <v>0</v>
      </c>
      <c r="Q8" s="56">
        <v>8</v>
      </c>
      <c r="R8" s="56">
        <v>8</v>
      </c>
      <c r="S8" s="56">
        <v>8</v>
      </c>
      <c r="T8" s="56">
        <v>18</v>
      </c>
      <c r="U8" s="56">
        <v>18</v>
      </c>
      <c r="V8" s="57">
        <v>18</v>
      </c>
      <c r="W8" s="57">
        <v>18</v>
      </c>
      <c r="X8" s="56">
        <v>18</v>
      </c>
      <c r="Y8" s="56">
        <v>18</v>
      </c>
      <c r="Z8" s="56">
        <v>18</v>
      </c>
      <c r="AA8" s="56">
        <v>18</v>
      </c>
      <c r="AB8" s="56">
        <v>18</v>
      </c>
      <c r="AC8" s="57">
        <v>18</v>
      </c>
      <c r="AD8" s="57">
        <v>18</v>
      </c>
      <c r="AE8" s="56">
        <v>18</v>
      </c>
      <c r="AF8" s="56">
        <v>18</v>
      </c>
      <c r="AG8" s="56">
        <v>18</v>
      </c>
      <c r="AH8" s="56">
        <v>8</v>
      </c>
      <c r="AI8" s="56">
        <v>8</v>
      </c>
      <c r="AJ8" s="57">
        <v>0</v>
      </c>
      <c r="AK8" s="57">
        <v>0</v>
      </c>
      <c r="AL8" s="56">
        <v>8</v>
      </c>
      <c r="AM8" s="56">
        <v>8</v>
      </c>
      <c r="AN8" s="56">
        <v>8</v>
      </c>
      <c r="AO8" s="58">
        <v>8</v>
      </c>
      <c r="OT8" s="59" t="s">
        <v>80</v>
      </c>
    </row>
    <row r="9" ht="16" customHeight="1" spans="1:410" x14ac:dyDescent="0.25">
      <c r="A9" s="43"/>
      <c r="B9" s="44"/>
      <c r="C9" s="45"/>
      <c r="D9" s="46"/>
      <c r="E9" s="54" t="s">
        <v>59</v>
      </c>
      <c r="F9" s="48"/>
      <c r="G9" s="48"/>
      <c r="H9" s="48"/>
      <c r="I9" s="49"/>
      <c r="J9" s="55">
        <v>8</v>
      </c>
      <c r="K9" s="56">
        <v>8</v>
      </c>
      <c r="L9" s="56">
        <v>8</v>
      </c>
      <c r="M9" s="56">
        <v>8</v>
      </c>
      <c r="N9" s="56">
        <v>8</v>
      </c>
      <c r="O9" s="57">
        <v>0</v>
      </c>
      <c r="P9" s="57">
        <v>0</v>
      </c>
      <c r="Q9" s="56">
        <v>8</v>
      </c>
      <c r="R9" s="56">
        <v>8</v>
      </c>
      <c r="S9" s="56">
        <v>8</v>
      </c>
      <c r="T9" s="56">
        <v>12</v>
      </c>
      <c r="U9" s="56">
        <v>12</v>
      </c>
      <c r="V9" s="57">
        <v>12</v>
      </c>
      <c r="W9" s="57">
        <v>12</v>
      </c>
      <c r="X9" s="56">
        <v>12</v>
      </c>
      <c r="Y9" s="56">
        <v>12</v>
      </c>
      <c r="Z9" s="56">
        <v>12</v>
      </c>
      <c r="AA9" s="56">
        <v>12</v>
      </c>
      <c r="AB9" s="56">
        <v>12</v>
      </c>
      <c r="AC9" s="57">
        <v>12</v>
      </c>
      <c r="AD9" s="57">
        <v>12</v>
      </c>
      <c r="AE9" s="56">
        <v>12</v>
      </c>
      <c r="AF9" s="56">
        <v>12</v>
      </c>
      <c r="AG9" s="56">
        <v>12</v>
      </c>
      <c r="AH9" s="56">
        <v>8</v>
      </c>
      <c r="AI9" s="56">
        <v>8</v>
      </c>
      <c r="AJ9" s="57">
        <v>0</v>
      </c>
      <c r="AK9" s="57">
        <v>0</v>
      </c>
      <c r="AL9" s="56">
        <v>8</v>
      </c>
      <c r="AM9" s="56">
        <v>8</v>
      </c>
      <c r="AN9" s="56">
        <v>8</v>
      </c>
      <c r="AO9" s="58">
        <v>8</v>
      </c>
      <c r="OT9" s="59" t="s">
        <v>80</v>
      </c>
    </row>
    <row r="10" ht="16" customHeight="1" spans="1:410" x14ac:dyDescent="0.25">
      <c r="A10" s="43"/>
      <c r="B10" s="44"/>
      <c r="C10" s="60">
        <f>F7*N(D10)</f>
        <v>232034.88</v>
      </c>
      <c r="D10" s="60">
        <f>IF(TRIM(B7)="","No rate",IFERROR(INDEX('Rate Tables'!C$7:C$161,MATCH(B7,'Rate Tables'!A$7:A$161,0)),"No rate"))</f>
        <v>99.33</v>
      </c>
      <c r="E10" s="54" t="s">
        <v>60</v>
      </c>
      <c r="F10" s="48"/>
      <c r="G10" s="48"/>
      <c r="H10" s="48"/>
      <c r="I10" s="49"/>
      <c r="J10" s="61">
        <f>IF(AND(J8=8,J9=8,E7="Auto",B7="Pipefitter Journeyman",AND('Job setup'!$B$7="ON",'Job setup'!$C$7&lt;=J$6,'Job setup'!$D$7&gt;=J$6,'Job setup'!$G$7="YES")),64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64</v>
      </c>
      <c r="K10" s="62">
        <f>IF(AND(K8=8,K9=8,E7="Auto",B7="Pipefitter Journeyman",AND('Job setup'!$B$7="ON",'Job setup'!$C$7&lt;=K$6,'Job setup'!$D$7&gt;=K$6,'Job setup'!$G$7="YES")),64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64</v>
      </c>
      <c r="L10" s="62">
        <f>IF(AND(L8=8,L9=8,E7="Auto",B7="Pipefitter Journeyman",AND('Job setup'!$B$7="ON",'Job setup'!$C$7&lt;=L$6,'Job setup'!$D$7&gt;=L$6,'Job setup'!$G$7="YES")),64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64</v>
      </c>
      <c r="M10" s="62">
        <f>IF(AND(M8=8,M9=8,E7="Auto",B7="Pipefitter Journeyman",AND('Job setup'!$B$7="ON",'Job setup'!$C$7&lt;=M$6,'Job setup'!$D$7&gt;=M$6,'Job setup'!$G$7="YES")),64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64</v>
      </c>
      <c r="N10" s="62">
        <f>IF(AND(N8=8,N9=8,E7="Auto",B7="Pipefitter Journeyman",AND('Job setup'!$B$7="ON",'Job setup'!$C$7&lt;=N$6,'Job setup'!$D$7&gt;=N$6,'Job setup'!$G$7="YES")),64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64</v>
      </c>
      <c r="O10" s="63">
        <f>IF(AND(O8=0,O9=0,E7="Auto",B7="Pipefitter Journeyman",AND('Job setup'!$B$7="ON",'Job setup'!$C$7&lt;=O$6,'Job setup'!$D$7&gt;=O$6,'Job setup'!$G$7="YES")),0,IF(OS7,MIN(IF(OR(O8&lt;=0,NOT('_JobDays'!F2)),0,IF(WEEKDAY(O$6,1)=1,0,MIN(IF('_JobDays'!F3,8,10),O9)*O8)),MAX(0,40*MAX(1,O8)-(J10+K10+L10+M10+N10))),MIN(IF(OR(O8&lt;=0,NOT('_JobDays'!F2)),0,IF(WEEKDAY(O$6,1)=1,0,IF(WEEKDAY(O$6,1)=7,0,IF('_JobDays'!F4,MIN(8,O9)*O8,O8*O9)))),MAX(0,40*MAX(1,O8)-(J10+K10+L10+M10+N10)))))</f>
        <v>0</v>
      </c>
      <c r="P10" s="63">
        <f>IF(AND(P8=0,P9=0,E7="Auto",B7="Pipefitter Journeyman",AND('Job setup'!$B$7="ON",'Job setup'!$C$7&lt;=P$6,'Job setup'!$D$7&gt;=P$6,'Job setup'!$G$7="YES")),0,IF(OS7,MIN(IF(OR(P8&lt;=0,NOT('_JobDays'!G2)),0,IF(WEEKDAY(P$6,1)=1,0,MIN(IF('_JobDays'!G3,8,10),P9)*P8)),MAX(0,40*MAX(1,P8)-(J10+K10+L10+M10+N10+O10))),MIN(IF(OR(P8&lt;=0,NOT('_JobDays'!G2)),0,IF(WEEKDAY(P$6,1)=1,0,IF(WEEKDAY(P$6,1)=7,0,IF('_JobDays'!G4,MIN(8,P9)*P8,P8*P9)))),MAX(0,40*MAX(1,P8)-(J10+K10+L10+M10+N10+O10)))))</f>
        <v>0</v>
      </c>
      <c r="Q10" s="62">
        <f>IF(AND(Q8=8,Q9=8,E7="Auto",B7="Pipefitter Journeyman",AND('Job setup'!$B$7="ON",'Job setup'!$C$7&lt;=Q$6,'Job setup'!$D$7&gt;=Q$6,'Job setup'!$G$7="YES")),64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64</v>
      </c>
      <c r="R10" s="62">
        <f>IF(AND(R8=8,R9=8,E7="Auto",B7="Pipefitter Journeyman",AND('Job setup'!$B$7="ON",'Job setup'!$C$7&lt;=R$6,'Job setup'!$D$7&gt;=R$6,'Job setup'!$G$7="YES")),64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64</v>
      </c>
      <c r="S10" s="62">
        <f>IF(AND(S8=8,S9=8,E7="Auto",B7="Pipefitter Journeyman",AND('Job setup'!$B$7="ON",'Job setup'!$C$7&lt;=S$6,'Job setup'!$D$7&gt;=S$6,'Job setup'!$G$7="YES")),64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64</v>
      </c>
      <c r="T10" s="62">
        <f>IF(AND(T8=18,T9=12,E7="Auto",B7="Pipefitter Journeyman",AND('Job setup'!$B$9="ON",'Job setup'!$C$9&lt;=T$6,'Job setup'!$D$9&gt;=T$6,'Job setup'!$G$9="NO")),144,IF(OS7,MIN(IF(OR(T8&lt;=0,NOT('_JobDays'!K2)),0,IF(WEEKDAY(T$6,1)=1,0,MIN(IF('_JobDays'!K3,8,10),T9)*T8)),MAX(0,40*MAX(1,T8)-(Q10+R10+S10))),MIN(IF(OR(T8&lt;=0,NOT('_JobDays'!K2)),0,IF(WEEKDAY(T$6,1)=1,0,IF(WEEKDAY(T$6,1)=7,0,IF('_JobDays'!K4,MIN(8,T9)*T8,T8*T9)))),MAX(0,40*MAX(1,T8)-(Q10+R10+S10)))))</f>
        <v>144</v>
      </c>
      <c r="U10" s="62">
        <f>IF(AND(U8=18,U9=12,E7="Auto",B7="Pipefitter Journeyman",AND('Job setup'!$B$9="ON",'Job setup'!$C$9&lt;=U$6,'Job setup'!$D$9&gt;=U$6,'Job setup'!$G$9="NO")),144,IF(OS7,MIN(IF(OR(U8&lt;=0,NOT('_JobDays'!L2)),0,IF(WEEKDAY(U$6,1)=1,0,MIN(IF('_JobDays'!L3,8,10),U9)*U8)),MAX(0,40*MAX(1,U8)-(Q10+R10+S10+T10))),MIN(IF(OR(U8&lt;=0,NOT('_JobDays'!L2)),0,IF(WEEKDAY(U$6,1)=1,0,IF(WEEKDAY(U$6,1)=7,0,IF('_JobDays'!L4,MIN(8,U9)*U8,U8*U9)))),MAX(0,40*MAX(1,U8)-(Q10+R10+S10+T10)))))</f>
        <v>144</v>
      </c>
      <c r="V10" s="63">
        <f>IF(AND(V8=18,V9=12,E7="Auto",B7="Pipefitter Journeyman",AND('Job setup'!$B$9="ON",'Job setup'!$C$9&lt;=V$6,'Job setup'!$D$9&gt;=V$6,'Job setup'!$G$9="NO")),0,IF(OS7,MIN(IF(OR(V8&lt;=0,NOT('_JobDays'!M2)),0,IF(WEEKDAY(V$6,1)=1,0,MIN(IF('_JobDays'!M3,8,10),V9)*V8)),MAX(0,40*MAX(1,V8)-(Q10+R10+S10+T10+U10))),MIN(IF(OR(V8&lt;=0,NOT('_JobDays'!M2)),0,IF(WEEKDAY(V$6,1)=1,0,IF(WEEKDAY(V$6,1)=7,0,IF('_JobDays'!M4,MIN(8,V9)*V8,V8*V9)))),MAX(0,40*MAX(1,V8)-(Q10+R10+S10+T10+U10)))))</f>
        <v>0</v>
      </c>
      <c r="W10" s="63">
        <f>IF(AND(W8=18,W9=12,E7="Auto",B7="Pipefitter Journeyman",AND('Job setup'!$B$9="ON",'Job setup'!$C$9&lt;=W$6,'Job setup'!$D$9&gt;=W$6,'Job setup'!$G$9="NO")),0,IF(OS7,MIN(IF(OR(W8&lt;=0,NOT('_JobDays'!N2)),0,IF(WEEKDAY(W$6,1)=1,0,MIN(IF('_JobDays'!N3,8,10),W9)*W8)),MAX(0,40*MAX(1,W8)-(Q10+R10+S10+T10+U10+V10))),MIN(IF(OR(W8&lt;=0,NOT('_JobDays'!N2)),0,IF(WEEKDAY(W$6,1)=1,0,IF(WEEKDAY(W$6,1)=7,0,IF('_JobDays'!N4,MIN(8,W9)*W8,W8*W9)))),MAX(0,40*MAX(1,W8)-(Q10+R10+S10+T10+U10+V10)))))</f>
        <v>0</v>
      </c>
      <c r="X10" s="62">
        <f>IF(AND(X8=18,X9=12,E7="Auto",B7="Pipefitter Journeyman",AND('Job setup'!$B$9="ON",'Job setup'!$C$9&lt;=X$6,'Job setup'!$D$9&gt;=X$6,'Job setup'!$G$9="NO")),144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144</v>
      </c>
      <c r="Y10" s="62">
        <f>IF(AND(Y8=18,Y9=12,E7="Auto",B7="Pipefitter Journeyman",AND('Job setup'!$B$9="ON",'Job setup'!$C$9&lt;=Y$6,'Job setup'!$D$9&gt;=Y$6,'Job setup'!$G$9="NO")),144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144</v>
      </c>
      <c r="Z10" s="62">
        <f>IF(AND(Z8=18,Z9=12,E7="Auto",B7="Pipefitter Journeyman",AND('Job setup'!$B$9="ON",'Job setup'!$C$9&lt;=Z$6,'Job setup'!$D$9&gt;=Z$6,'Job setup'!$G$9="NO")),144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144</v>
      </c>
      <c r="AA10" s="62">
        <f>IF(AND(AA8=18,AA9=12,E7="Auto",B7="Pipefitter Journeyman",AND('Job setup'!$B$9="ON",'Job setup'!$C$9&lt;=AA$6,'Job setup'!$D$9&gt;=AA$6,'Job setup'!$G$9="NO")),144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144</v>
      </c>
      <c r="AB10" s="62">
        <f>IF(AND(AB8=18,AB9=12,E7="Auto",B7="Pipefitter Journeyman",AND('Job setup'!$B$9="ON",'Job setup'!$C$9&lt;=AB$6,'Job setup'!$D$9&gt;=AB$6,'Job setup'!$G$9="NO")),144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144</v>
      </c>
      <c r="AC10" s="63">
        <f>IF(AND(AC8=18,AC9=12,E7="Auto",B7="Pipefitter Journeyman",AND('Job setup'!$B$9="ON",'Job setup'!$C$9&lt;=AC$6,'Job setup'!$D$9&gt;=AC$6,'Job setup'!$G$9="NO")),0,IF(OS7,MIN(IF(OR(AC8&lt;=0,NOT('_JobDays'!T2)),0,IF(WEEKDAY(AC$6,1)=1,0,MIN(IF('_JobDays'!T3,8,10),AC9)*AC8)),MAX(0,40*MAX(1,AC8)-(X10+Y10+Z10+AA10+AB10))),MIN(IF(OR(AC8&lt;=0,NOT('_JobDays'!T2)),0,IF(WEEKDAY(AC$6,1)=1,0,IF(WEEKDAY(AC$6,1)=7,0,IF('_JobDays'!T4,MIN(8,AC9)*AC8,AC8*AC9)))),MAX(0,40*MAX(1,AC8)-(X10+Y10+Z10+AA10+AB10)))))</f>
        <v>0</v>
      </c>
      <c r="AD10" s="63">
        <f>IF(AND(AD8=18,AD9=12,E7="Auto",B7="Pipefitter Journeyman",AND('Job setup'!$B$9="ON",'Job setup'!$C$9&lt;=AD$6,'Job setup'!$D$9&gt;=AD$6,'Job setup'!$G$9="NO")),0,IF(OS7,MIN(IF(OR(AD8&lt;=0,NOT('_JobDays'!U2)),0,IF(WEEKDAY(AD$6,1)=1,0,MIN(IF('_JobDays'!U3,8,10),AD9)*AD8)),MAX(0,40*MAX(1,AD8)-(X10+Y10+Z10+AA10+AB10+AC10))),MIN(IF(OR(AD8&lt;=0,NOT('_JobDays'!U2)),0,IF(WEEKDAY(AD$6,1)=1,0,IF(WEEKDAY(AD$6,1)=7,0,IF('_JobDays'!U4,MIN(8,AD9)*AD8,AD8*AD9)))),MAX(0,40*MAX(1,AD8)-(X10+Y10+Z10+AA10+AB10+AC10)))))</f>
        <v>0</v>
      </c>
      <c r="AE10" s="62">
        <f>IF(AND(AE8=18,AE9=12,E7="Auto",B7="Pipefitter Journeyman",AND('Job setup'!$B$9="ON",'Job setup'!$C$9&lt;=AE$6,'Job setup'!$D$9&gt;=AE$6,'Job setup'!$G$9="NO")),144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144</v>
      </c>
      <c r="AF10" s="62">
        <f>IF(AND(AF8=18,AF9=12,E7="Auto",B7="Pipefitter Journeyman",AND('Job setup'!$B$9="ON",'Job setup'!$C$9&lt;=AF$6,'Job setup'!$D$9&gt;=AF$6,'Job setup'!$G$9="NO")),144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144</v>
      </c>
      <c r="AG10" s="62">
        <f>IF(AND(AG8=18,AG9=12,E7="Auto",B7="Pipefitter Journeyman",AND('Job setup'!$B$9="ON",'Job setup'!$C$9&lt;=AG$6,'Job setup'!$D$9&gt;=AG$6,'Job setup'!$G$9="NO")),144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144</v>
      </c>
      <c r="AH10" s="62">
        <f>IF(AND(AH8=8,AH9=8,E7="Auto",B7="Pipefitter Journeyman",AND('Job setup'!$B$11="ON",'Job setup'!$C$11&lt;=AH$6,'Job setup'!$D$11&gt;=AH$6,'Job setup'!$G$11="YES")),64,IF(OS7,MIN(IF(OR(AH8&lt;=0,NOT('_JobDays'!Y2)),0,IF(WEEKDAY(AH$6,1)=1,0,MIN(IF('_JobDays'!Y3,8,10),AH9)*AH8)),MAX(0,40*MAX(1,AH8)-(AE10+AF10+AG10))),MIN(IF(OR(AH8&lt;=0,NOT('_JobDays'!Y2)),0,IF(WEEKDAY(AH$6,1)=1,0,IF(WEEKDAY(AH$6,1)=7,0,IF('_JobDays'!Y4,MIN(8,AH9)*AH8,AH8*AH9)))),MAX(0,40*MAX(1,AH8)-(AE10+AF10+AG10)))))</f>
        <v>64</v>
      </c>
      <c r="AI10" s="62">
        <f>IF(AND(AI8=8,AI9=8,E7="Auto",B7="Pipefitter Journeyman",AND('Job setup'!$B$11="ON",'Job setup'!$C$11&lt;=AI$6,'Job setup'!$D$11&gt;=AI$6,'Job setup'!$G$11="YES")),64,IF(OS7,MIN(IF(OR(AI8&lt;=0,NOT('_JobDays'!Z2)),0,IF(WEEKDAY(AI$6,1)=1,0,MIN(IF('_JobDays'!Z3,8,10),AI9)*AI8)),MAX(0,40*MAX(1,AI8)-(AE10+AF10+AG10+AH10))),MIN(IF(OR(AI8&lt;=0,NOT('_JobDays'!Z2)),0,IF(WEEKDAY(AI$6,1)=1,0,IF(WEEKDAY(AI$6,1)=7,0,IF('_JobDays'!Z4,MIN(8,AI9)*AI8,AI8*AI9)))),MAX(0,40*MAX(1,AI8)-(AE10+AF10+AG10+AH10)))))</f>
        <v>64</v>
      </c>
      <c r="AJ10" s="63">
        <f>IF(AND(AJ8=0,AJ9=0,E7="Auto",B7="Pipefitter Journeyman",AND('Job setup'!$B$11="ON",'Job setup'!$C$11&lt;=AJ$6,'Job setup'!$D$11&gt;=AJ$6,'Job setup'!$G$11="YES")),0,IF(OS7,MIN(IF(OR(AJ8&lt;=0,NOT('_JobDays'!AA2)),0,IF(WEEKDAY(AJ$6,1)=1,0,MIN(IF('_JobDays'!AA3,8,10),AJ9)*AJ8)),MAX(0,40*MAX(1,AJ8)-(AE10+AF10+AG10+AH10+AI10))),MIN(IF(OR(AJ8&lt;=0,NOT('_JobDays'!AA2)),0,IF(WEEKDAY(AJ$6,1)=1,0,IF(WEEKDAY(AJ$6,1)=7,0,IF('_JobDays'!AA4,MIN(8,AJ9)*AJ8,AJ8*AJ9)))),MAX(0,40*MAX(1,AJ8)-(AE10+AF10+AG10+AH10+AI10)))))</f>
        <v>0</v>
      </c>
      <c r="AK10" s="63">
        <f>IF(AND(AK8=0,AK9=0,E7="Auto",B7="Pipefitter Journeyman",AND('Job setup'!$B$11="ON",'Job setup'!$C$11&lt;=AK$6,'Job setup'!$D$11&gt;=AK$6,'Job setup'!$G$11="YES")),0,IF(OS7,MIN(IF(OR(AK8&lt;=0,NOT('_JobDays'!AB2)),0,IF(WEEKDAY(AK$6,1)=1,0,MIN(IF('_JobDays'!AB3,8,10),AK9)*AK8)),MAX(0,40*MAX(1,AK8)-(AE10+AF10+AG10+AH10+AI10+AJ10))),MIN(IF(OR(AK8&lt;=0,NOT('_JobDays'!AB2)),0,IF(WEEKDAY(AK$6,1)=1,0,IF(WEEKDAY(AK$6,1)=7,0,IF('_JobDays'!AB4,MIN(8,AK9)*AK8,AK8*AK9)))),MAX(0,40*MAX(1,AK8)-(AE10+AF10+AG10+AH10+AI10+AJ10)))))</f>
        <v>0</v>
      </c>
      <c r="AL10" s="62">
        <f>IF(AND(AL8=8,AL9=8,E7="Auto",B7="Pipefitter Journeyman",AND('Job setup'!$B$11="ON",'Job setup'!$C$11&lt;=AL$6,'Job setup'!$D$11&gt;=AL$6,'Job setup'!$G$11="YES")),64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64</v>
      </c>
      <c r="AM10" s="62">
        <f>IF(AND(AM8=8,AM9=8,E7="Auto",B7="Pipefitter Journeyman",AND('Job setup'!$B$11="ON",'Job setup'!$C$11&lt;=AM$6,'Job setup'!$D$11&gt;=AM$6,'Job setup'!$G$11="YES")),64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64</v>
      </c>
      <c r="AN10" s="62">
        <f>IF(AND(AN8=8,AN9=8,E7="Auto",B7="Pipefitter Journeyman",AND('Job setup'!$B$11="ON",'Job setup'!$C$11&lt;=AN$6,'Job setup'!$D$11&gt;=AN$6,'Job setup'!$G$11="YES")),64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64</v>
      </c>
      <c r="AO10" s="64">
        <f>IF(AND(AO8=8,AO9=8,E7="Auto",B7="Pipefitter Journeyman",AND('Job setup'!$B$11="ON",'Job setup'!$C$11&lt;=AO$6,'Job setup'!$D$11&gt;=AO$6,'Job setup'!$G$11="YES")),64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64</v>
      </c>
      <c r="OT10" s="28" t="s">
        <v>80</v>
      </c>
    </row>
    <row r="11" ht="16" customHeight="1" spans="1:410" x14ac:dyDescent="0.25">
      <c r="A11" s="43"/>
      <c r="B11" s="44"/>
      <c r="C11" s="65">
        <f>G7*N(D11)</f>
        <v>159770.88</v>
      </c>
      <c r="D11" s="65">
        <f>IF(TRIM(B7)="","No rate",IFERROR(INDEX('Rate Tables'!D$7:D$161,MATCH(B7,'Rate Tables'!A$7:A$161,0)),"No rate"))</f>
        <v>138.69</v>
      </c>
      <c r="E11" s="54" t="s">
        <v>61</v>
      </c>
      <c r="F11" s="48"/>
      <c r="G11" s="48"/>
      <c r="H11" s="48"/>
      <c r="I11" s="49"/>
      <c r="J11" s="61">
        <f>IF(AND(J8=8,J9=8,E7="Auto",B7="Pipefitter Journeyman",AND('Job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2">
        <f>IF(AND(K8=8,K9=8,E7="Auto",B7="Pipefitter Journeyman",AND('Job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2">
        <f>IF(AND(L8=8,L9=8,E7="Auto",B7="Pipefitter Journeyman",AND('Job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2">
        <f>IF(AND(M8=8,M9=8,E7="Auto",B7="Pipefitter Journeyman",AND('Job setup'!$B$7="ON",'Job setup'!$C$7&lt;=M$6,'Job setup'!$D$7&gt;=M$6,'Job setup'!$G$7="YES")),0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0</v>
      </c>
      <c r="N11" s="62">
        <f>IF(AND(N8=8,N9=8,E7="Auto",B7="Pipefitter Journeyman",AND('Job setup'!$B$7="ON",'Job setup'!$C$7&lt;=N$6,'Job setup'!$D$7&gt;=N$6,'Job setup'!$G$7="YES")),0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0</v>
      </c>
      <c r="O11" s="63">
        <f>IF(AND(O8=0,O9=0,E7="Auto",B7="Pipefitter Journeyman",AND('Job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J10+K10+L10+M10+N10)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J10+K10+L10+M10+N10))))))</f>
        <v>0</v>
      </c>
      <c r="P11" s="63">
        <f>IF(AND(P8=0,P9=0,E7="Auto",B7="Pipefitter Journeyman",AND('Job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J10+K10+L10+M10+N10+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J10+K10+L10+M10+N10+O10))))))</f>
        <v>0</v>
      </c>
      <c r="Q11" s="62">
        <f>IF(AND(Q8=8,Q9=8,E7="Auto",B7="Pipefitter Journeyman",AND('Job setup'!$B$7="ON",'Job setup'!$C$7&lt;=Q$6,'Job setup'!$D$7&gt;=Q$6,'Job setup'!$G$7="YES")),0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0</v>
      </c>
      <c r="R11" s="62">
        <f>IF(AND(R8=8,R9=8,E7="Auto",B7="Pipefitter Journeyman",AND('Job setup'!$B$7="ON",'Job setup'!$C$7&lt;=R$6,'Job setup'!$D$7&gt;=R$6,'Job setup'!$G$7="YES")),0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0</v>
      </c>
      <c r="S11" s="62">
        <f>IF(AND(S8=8,S9=8,E7="Auto",B7="Pipefitter Journeyman",AND('Job setup'!$B$7="ON",'Job setup'!$C$7&lt;=S$6,'Job setup'!$D$7&gt;=S$6,'Job setup'!$G$7="YES")),0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0</v>
      </c>
      <c r="T11" s="62">
        <f>IF(AND(T8=18,T9=12,E7="Auto",B7="Pipefitter Journeyman",AND('Job setup'!$B$9="ON",'Job setup'!$C$9&lt;=T$6,'Job setup'!$D$9&gt;=T$6,'Job setup'!$G$9="NO")),72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Q10+R10+S10)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Q10+R10+S10))))))</f>
        <v>72</v>
      </c>
      <c r="U11" s="62">
        <f>IF(AND(U8=18,U9=12,E7="Auto",B7="Pipefitter Journeyman",AND('Job setup'!$B$9="ON",'Job setup'!$C$9&lt;=U$6,'Job setup'!$D$9&gt;=U$6,'Job setup'!$G$9="NO")),72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Q10+R10+S10+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Q10+R10+S10+T10))))))</f>
        <v>72</v>
      </c>
      <c r="V11" s="63">
        <f>IF(AND(V8=18,V9=12,E7="Auto",B7="Pipefitter Journeyman",AND('Job setup'!$B$9="ON",'Job setup'!$C$9&lt;=V$6,'Job setup'!$D$9&gt;=V$6,'Job setup'!$G$9="NO")),216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Q10+R10+S10+T10+U10)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Q10+R10+S10+T10+U10))))))</f>
        <v>216</v>
      </c>
      <c r="W11" s="63">
        <f>IF(AND(W8=18,W9=12,E7="Auto",B7="Pipefitter Journeyman",AND('Job setup'!$B$9="ON",'Job setup'!$C$9&lt;=W$6,'Job setup'!$D$9&gt;=W$6,'Job setup'!$G$9="NO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Q10+R10+S10+T10+U10+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Q10+R10+S10+T10+U10+V10))))))</f>
        <v>0</v>
      </c>
      <c r="X11" s="62">
        <f>IF(AND(X8=18,X9=12,E7="Auto",B7="Pipefitter Journeyman",AND('Job setup'!$B$9="ON",'Job setup'!$C$9&lt;=X$6,'Job setup'!$D$9&gt;=X$6,'Job setup'!$G$9="NO")),72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72</v>
      </c>
      <c r="Y11" s="62">
        <f>IF(AND(Y8=18,Y9=12,E7="Auto",B7="Pipefitter Journeyman",AND('Job setup'!$B$9="ON",'Job setup'!$C$9&lt;=Y$6,'Job setup'!$D$9&gt;=Y$6,'Job setup'!$G$9="NO")),72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72</v>
      </c>
      <c r="Z11" s="62">
        <f>IF(AND(Z8=18,Z9=12,E7="Auto",B7="Pipefitter Journeyman",AND('Job setup'!$B$9="ON",'Job setup'!$C$9&lt;=Z$6,'Job setup'!$D$9&gt;=Z$6,'Job setup'!$G$9="NO")),72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72</v>
      </c>
      <c r="AA11" s="62">
        <f>IF(AND(AA8=18,AA9=12,E7="Auto",B7="Pipefitter Journeyman",AND('Job setup'!$B$9="ON",'Job setup'!$C$9&lt;=AA$6,'Job setup'!$D$9&gt;=AA$6,'Job setup'!$G$9="NO")),72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72</v>
      </c>
      <c r="AB11" s="62">
        <f>IF(AND(AB8=18,AB9=12,E7="Auto",B7="Pipefitter Journeyman",AND('Job setup'!$B$9="ON",'Job setup'!$C$9&lt;=AB$6,'Job setup'!$D$9&gt;=AB$6,'Job setup'!$G$9="NO")),72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72</v>
      </c>
      <c r="AC11" s="63">
        <f>IF(AND(AC8=18,AC9=12,E7="Auto",B7="Pipefitter Journeyman",AND('Job setup'!$B$9="ON",'Job setup'!$C$9&lt;=AC$6,'Job setup'!$D$9&gt;=AC$6,'Job setup'!$G$9="NO")),216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X10+Y10+Z10+AA10+AB10)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X10+Y10+Z10+AA10+AB10))))))</f>
        <v>216</v>
      </c>
      <c r="AD11" s="63">
        <f>IF(AND(AD8=18,AD9=12,E7="Auto",B7="Pipefitter Journeyman",AND('Job setup'!$B$9="ON",'Job setup'!$C$9&lt;=AD$6,'Job setup'!$D$9&gt;=AD$6,'Job setup'!$G$9="NO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X10+Y10+Z10+AA10+AB10+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X10+Y10+Z10+AA10+AB10+AC10))))))</f>
        <v>0</v>
      </c>
      <c r="AE11" s="62">
        <f>IF(AND(AE8=18,AE9=12,E7="Auto",B7="Pipefitter Journeyman",AND('Job setup'!$B$9="ON",'Job setup'!$C$9&lt;=AE$6,'Job setup'!$D$9&gt;=AE$6,'Job setup'!$G$9="NO")),72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72</v>
      </c>
      <c r="AF11" s="62">
        <f>IF(AND(AF8=18,AF9=12,E7="Auto",B7="Pipefitter Journeyman",AND('Job setup'!$B$9="ON",'Job setup'!$C$9&lt;=AF$6,'Job setup'!$D$9&gt;=AF$6,'Job setup'!$G$9="NO")),72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72</v>
      </c>
      <c r="AG11" s="62">
        <f>IF(AND(AG8=18,AG9=12,E7="Auto",B7="Pipefitter Journeyman",AND('Job setup'!$B$9="ON",'Job setup'!$C$9&lt;=AG$6,'Job setup'!$D$9&gt;=AG$6,'Job setup'!$G$9="NO")),72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72</v>
      </c>
      <c r="AH11" s="62">
        <f>IF(AND(AH8=8,AH9=8,E7="Auto",B7="Pipefitter Journeyman",AND('Job setup'!$B$11="ON",'Job setup'!$C$11&lt;=AH$6,'Job setup'!$D$11&gt;=AH$6,'Job setup'!$G$11="YES")),0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AE10+AF10+AG10)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AE10+AF10+AG10))))))</f>
        <v>0</v>
      </c>
      <c r="AI11" s="62">
        <f>IF(AND(AI8=8,AI9=8,E7="Auto",B7="Pipefitter Journeyman",AND('Job setup'!$B$11="ON",'Job setup'!$C$11&lt;=AI$6,'Job setup'!$D$11&gt;=AI$6,'Job setup'!$G$11="YES")),0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E10+AF10+AG10+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E10+AF10+AG10+AH10))))))</f>
        <v>0</v>
      </c>
      <c r="AJ11" s="63">
        <f>IF(AND(AJ8=0,AJ9=0,E7="Auto",B7="Pipefitter Journeyman",AND('Job setup'!$B$11="ON",'Job setup'!$C$11&lt;=AJ$6,'Job setup'!$D$11&gt;=AJ$6,'Job setup'!$G$11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AE10+AF10+AG10+AH10+AI10)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AE10+AF10+AG10+AH10+AI10))))))</f>
        <v>0</v>
      </c>
      <c r="AK11" s="63">
        <f>IF(AND(AK8=0,AK9=0,E7="Auto",B7="Pipefitter Journeyman",AND('Job setup'!$B$11="ON",'Job setup'!$C$11&lt;=AK$6,'Job setup'!$D$11&gt;=AK$6,'Job setup'!$G$11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E10+AF10+AG10+AH10+AI10+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E10+AF10+AG10+AH10+AI10+AJ10))))))</f>
        <v>0</v>
      </c>
      <c r="AL11" s="62">
        <f>IF(AND(AL8=8,AL9=8,E7="Auto",B7="Pipefitter Journeyman",AND('Job setup'!$B$11="ON",'Job setup'!$C$11&lt;=AL$6,'Job setup'!$D$11&gt;=AL$6,'Job setup'!$G$11="YES")),0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0</v>
      </c>
      <c r="AM11" s="62">
        <f>IF(AND(AM8=8,AM9=8,E7="Auto",B7="Pipefitter Journeyman",AND('Job setup'!$B$11="ON",'Job setup'!$C$11&lt;=AM$6,'Job setup'!$D$11&gt;=AM$6,'Job setup'!$G$11="YES")),0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0</v>
      </c>
      <c r="AN11" s="62">
        <f>IF(AND(AN8=8,AN9=8,E7="Auto",B7="Pipefitter Journeyman",AND('Job setup'!$B$11="ON",'Job setup'!$C$11&lt;=AN$6,'Job setup'!$D$11&gt;=AN$6,'Job setup'!$G$11="YES")),0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0</v>
      </c>
      <c r="AO11" s="64">
        <f>IF(AND(AO8=8,AO9=8,E7="Auto",B7="Pipefitter Journeyman",AND('Job setup'!$B$11="ON",'Job setup'!$C$11&lt;=AO$6,'Job setup'!$D$11&gt;=AO$6,'Job setup'!$G$11="YES")),0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0</v>
      </c>
      <c r="OT11" s="28" t="s">
        <v>80</v>
      </c>
    </row>
    <row r="12" ht="16" customHeight="1" spans="1:410" x14ac:dyDescent="0.25">
      <c r="A12" s="43"/>
      <c r="B12" s="44"/>
      <c r="C12" s="60">
        <f>H7*N(D12)</f>
        <v>76917.6</v>
      </c>
      <c r="D12" s="60">
        <f>IF(TRIM(B7)="","No rate",IFERROR(INDEX('Rate Tables'!E$7:E$161,MATCH(B7,'Rate Tables'!A$7:A$161,0)),"No rate"))</f>
        <v>178.05</v>
      </c>
      <c r="E12" s="54" t="s">
        <v>62</v>
      </c>
      <c r="F12" s="48"/>
      <c r="G12" s="48"/>
      <c r="H12" s="48"/>
      <c r="I12" s="49"/>
      <c r="J12" s="61">
        <f>IF(AND(J8=8,J9=8,E7="Auto",B7="Pipefitter Journeyman",AND('Job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2">
        <f>IF(AND(K8=8,K9=8,E7="Auto",B7="Pipefitter Journeyman",AND('Job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2">
        <f>IF(AND(L8=8,L9=8,E7="Auto",B7="Pipefitter Journeyman",AND('Job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2">
        <f>IF(AND(M8=8,M9=8,E7="Auto",B7="Pipefitter Journeyman",AND('Job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2">
        <f>IF(AND(N8=8,N9=8,E7="Auto",B7="Pipefitter Journeyman",AND('Job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3">
        <f>IF(AND(O8=0,O9=0,E7="Auto",B7="Pipefitter Journeyman",AND('Job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3">
        <f>IF(AND(P8=0,P9=0,E7="Auto",B7="Pipefitter Journeyman",AND('Job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2">
        <f>IF(AND(Q8=8,Q9=8,E7="Auto",B7="Pipefitter Journeyman",AND('Job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2">
        <f>IF(AND(R8=8,R9=8,E7="Auto",B7="Pipefitter Journeyman",AND('Job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2">
        <f>IF(AND(S8=8,S9=8,E7="Auto",B7="Pipefitter Journeyman",AND('Job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2">
        <f>IF(AND(T8=18,T9=12,E7="Auto",B7="Pipefitter Journeyman",AND('Job setup'!$B$9="ON",'Job setup'!$C$9&lt;=T$6,'Job setup'!$D$9&gt;=T$6,'Job setup'!$G$9="NO")),0,IF(OS7,IF(OR(T8&lt;=0,NOT('_JobDays'!K2)),0,IF(WEEKDAY(T$6,1)=1,T8*T9,0)),IF(OR(T8&lt;=0,NOT('_JobDays'!K2)),0,IF(WEEKDAY(T$6,1)=1,T8*T9,0))))</f>
        <v>0</v>
      </c>
      <c r="U12" s="62">
        <f>IF(AND(U8=18,U9=12,E7="Auto",B7="Pipefitter Journeyman",AND('Job setup'!$B$9="ON",'Job setup'!$C$9&lt;=U$6,'Job setup'!$D$9&gt;=U$6,'Job setup'!$G$9="NO")),0,IF(OS7,IF(OR(U8&lt;=0,NOT('_JobDays'!L2)),0,IF(WEEKDAY(U$6,1)=1,U8*U9,0)),IF(OR(U8&lt;=0,NOT('_JobDays'!L2)),0,IF(WEEKDAY(U$6,1)=1,U8*U9,0))))</f>
        <v>0</v>
      </c>
      <c r="V12" s="63">
        <f>IF(AND(V8=18,V9=12,E7="Auto",B7="Pipefitter Journeyman",AND('Job setup'!$B$9="ON",'Job setup'!$C$9&lt;=V$6,'Job setup'!$D$9&gt;=V$6,'Job setup'!$G$9="NO")),0,IF(OS7,IF(OR(V8&lt;=0,NOT('_JobDays'!M2)),0,IF(WEEKDAY(V$6,1)=1,V8*V9,0)),IF(OR(V8&lt;=0,NOT('_JobDays'!M2)),0,IF(WEEKDAY(V$6,1)=1,V8*V9,0))))</f>
        <v>0</v>
      </c>
      <c r="W12" s="63">
        <f>IF(AND(W8=18,W9=12,E7="Auto",B7="Pipefitter Journeyman",AND('Job setup'!$B$9="ON",'Job setup'!$C$9&lt;=W$6,'Job setup'!$D$9&gt;=W$6,'Job setup'!$G$9="NO")),216,IF(OS7,IF(OR(W8&lt;=0,NOT('_JobDays'!N2)),0,IF(WEEKDAY(W$6,1)=1,W8*W9,0)),IF(OR(W8&lt;=0,NOT('_JobDays'!N2)),0,IF(WEEKDAY(W$6,1)=1,W8*W9,0))))</f>
        <v>216</v>
      </c>
      <c r="X12" s="62">
        <f>IF(AND(X8=18,X9=12,E7="Auto",B7="Pipefitter Journeyman",AND('Job setup'!$B$9="ON",'Job setup'!$C$9&lt;=X$6,'Job setup'!$D$9&gt;=X$6,'Job setup'!$G$9="NO")),0,IF(OS7,IF(OR(X8&lt;=0,NOT('_JobDays'!O2)),0,IF(WEEKDAY(X$6,1)=1,X8*X9,0)),IF(OR(X8&lt;=0,NOT('_JobDays'!O2)),0,IF(WEEKDAY(X$6,1)=1,X8*X9,0))))</f>
        <v>0</v>
      </c>
      <c r="Y12" s="62">
        <f>IF(AND(Y8=18,Y9=12,E7="Auto",B7="Pipefitter Journeyman",AND('Job setup'!$B$9="ON",'Job setup'!$C$9&lt;=Y$6,'Job setup'!$D$9&gt;=Y$6,'Job setup'!$G$9="NO")),0,IF(OS7,IF(OR(Y8&lt;=0,NOT('_JobDays'!P2)),0,IF(WEEKDAY(Y$6,1)=1,Y8*Y9,0)),IF(OR(Y8&lt;=0,NOT('_JobDays'!P2)),0,IF(WEEKDAY(Y$6,1)=1,Y8*Y9,0))))</f>
        <v>0</v>
      </c>
      <c r="Z12" s="62">
        <f>IF(AND(Z8=18,Z9=12,E7="Auto",B7="Pipefitter Journeyman",AND('Job setup'!$B$9="ON",'Job setup'!$C$9&lt;=Z$6,'Job setup'!$D$9&gt;=Z$6,'Job setup'!$G$9="NO")),0,IF(OS7,IF(OR(Z8&lt;=0,NOT('_JobDays'!Q2)),0,IF(WEEKDAY(Z$6,1)=1,Z8*Z9,0)),IF(OR(Z8&lt;=0,NOT('_JobDays'!Q2)),0,IF(WEEKDAY(Z$6,1)=1,Z8*Z9,0))))</f>
        <v>0</v>
      </c>
      <c r="AA12" s="62">
        <f>IF(AND(AA8=18,AA9=12,E7="Auto",B7="Pipefitter Journeyman",AND('Job setup'!$B$9="ON",'Job setup'!$C$9&lt;=AA$6,'Job setup'!$D$9&gt;=AA$6,'Job setup'!$G$9="NO")),0,IF(OS7,IF(OR(AA8&lt;=0,NOT('_JobDays'!R2)),0,IF(WEEKDAY(AA$6,1)=1,AA8*AA9,0)),IF(OR(AA8&lt;=0,NOT('_JobDays'!R2)),0,IF(WEEKDAY(AA$6,1)=1,AA8*AA9,0))))</f>
        <v>0</v>
      </c>
      <c r="AB12" s="62">
        <f>IF(AND(AB8=18,AB9=12,E7="Auto",B7="Pipefitter Journeyman",AND('Job setup'!$B$9="ON",'Job setup'!$C$9&lt;=AB$6,'Job setup'!$D$9&gt;=AB$6,'Job setup'!$G$9="NO")),0,IF(OS7,IF(OR(AB8&lt;=0,NOT('_JobDays'!S2)),0,IF(WEEKDAY(AB$6,1)=1,AB8*AB9,0)),IF(OR(AB8&lt;=0,NOT('_JobDays'!S2)),0,IF(WEEKDAY(AB$6,1)=1,AB8*AB9,0))))</f>
        <v>0</v>
      </c>
      <c r="AC12" s="63">
        <f>IF(AND(AC8=18,AC9=12,E7="Auto",B7="Pipefitter Journeyman",AND('Job setup'!$B$9="ON",'Job setup'!$C$9&lt;=AC$6,'Job setup'!$D$9&gt;=AC$6,'Job setup'!$G$9="NO")),0,IF(OS7,IF(OR(AC8&lt;=0,NOT('_JobDays'!T2)),0,IF(WEEKDAY(AC$6,1)=1,AC8*AC9,0)),IF(OR(AC8&lt;=0,NOT('_JobDays'!T2)),0,IF(WEEKDAY(AC$6,1)=1,AC8*AC9,0))))</f>
        <v>0</v>
      </c>
      <c r="AD12" s="63">
        <f>IF(AND(AD8=18,AD9=12,E7="Auto",B7="Pipefitter Journeyman",AND('Job setup'!$B$9="ON",'Job setup'!$C$9&lt;=AD$6,'Job setup'!$D$9&gt;=AD$6,'Job setup'!$G$9="NO")),216,IF(OS7,IF(OR(AD8&lt;=0,NOT('_JobDays'!U2)),0,IF(WEEKDAY(AD$6,1)=1,AD8*AD9,0)),IF(OR(AD8&lt;=0,NOT('_JobDays'!U2)),0,IF(WEEKDAY(AD$6,1)=1,AD8*AD9,0))))</f>
        <v>216</v>
      </c>
      <c r="AE12" s="62">
        <f>IF(AND(AE8=18,AE9=12,E7="Auto",B7="Pipefitter Journeyman",AND('Job setup'!$B$9="ON",'Job setup'!$C$9&lt;=AE$6,'Job setup'!$D$9&gt;=AE$6,'Job setup'!$G$9="NO")),0,IF(OS7,IF(OR(AE8&lt;=0,NOT('_JobDays'!V2)),0,IF(WEEKDAY(AE$6,1)=1,AE8*AE9,0)),IF(OR(AE8&lt;=0,NOT('_JobDays'!V2)),0,IF(WEEKDAY(AE$6,1)=1,AE8*AE9,0))))</f>
        <v>0</v>
      </c>
      <c r="AF12" s="62">
        <f>IF(AND(AF8=18,AF9=12,E7="Auto",B7="Pipefitter Journeyman",AND('Job setup'!$B$9="ON",'Job setup'!$C$9&lt;=AF$6,'Job setup'!$D$9&gt;=AF$6,'Job setup'!$G$9="NO")),0,IF(OS7,IF(OR(AF8&lt;=0,NOT('_JobDays'!W2)),0,IF(WEEKDAY(AF$6,1)=1,AF8*AF9,0)),IF(OR(AF8&lt;=0,NOT('_JobDays'!W2)),0,IF(WEEKDAY(AF$6,1)=1,AF8*AF9,0))))</f>
        <v>0</v>
      </c>
      <c r="AG12" s="62">
        <f>IF(AND(AG8=18,AG9=12,E7="Auto",B7="Pipefitter Journeyman",AND('Job setup'!$B$9="ON",'Job setup'!$C$9&lt;=AG$6,'Job setup'!$D$9&gt;=AG$6,'Job setup'!$G$9="NO")),0,IF(OS7,IF(OR(AG8&lt;=0,NOT('_JobDays'!X2)),0,IF(WEEKDAY(AG$6,1)=1,AG8*AG9,0)),IF(OR(AG8&lt;=0,NOT('_JobDays'!X2)),0,IF(WEEKDAY(AG$6,1)=1,AG8*AG9,0))))</f>
        <v>0</v>
      </c>
      <c r="AH12" s="62">
        <f>IF(AND(AH8=8,AH9=8,E7="Auto",B7="Pipefitter Journeyman",AND('Job setup'!$B$11="ON",'Job setup'!$C$11&lt;=AH$6,'Job setup'!$D$11&gt;=AH$6,'Job setup'!$G$11="YES")),0,IF(OS7,IF(OR(AH8&lt;=0,NOT('_JobDays'!Y2)),0,IF(WEEKDAY(AH$6,1)=1,AH8*AH9,0)),IF(OR(AH8&lt;=0,NOT('_JobDays'!Y2)),0,IF(WEEKDAY(AH$6,1)=1,AH8*AH9,0))))</f>
        <v>0</v>
      </c>
      <c r="AI12" s="62">
        <f>IF(AND(AI8=8,AI9=8,E7="Auto",B7="Pipefitter Journeyman",AND('Job setup'!$B$11="ON",'Job setup'!$C$11&lt;=AI$6,'Job setup'!$D$11&gt;=AI$6,'Job setup'!$G$11="YES")),0,IF(OS7,IF(OR(AI8&lt;=0,NOT('_JobDays'!Z2)),0,IF(WEEKDAY(AI$6,1)=1,AI8*AI9,0)),IF(OR(AI8&lt;=0,NOT('_JobDays'!Z2)),0,IF(WEEKDAY(AI$6,1)=1,AI8*AI9,0))))</f>
        <v>0</v>
      </c>
      <c r="AJ12" s="63">
        <f>IF(AND(AJ8=0,AJ9=0,E7="Auto",B7="Pipefitter Journeyman",AND('Job setup'!$B$11="ON",'Job setup'!$C$11&lt;=AJ$6,'Job setup'!$D$11&gt;=AJ$6,'Job setup'!$G$11="YES")),0,IF(OS7,IF(OR(AJ8&lt;=0,NOT('_JobDays'!AA2)),0,IF(WEEKDAY(AJ$6,1)=1,AJ8*AJ9,0)),IF(OR(AJ8&lt;=0,NOT('_JobDays'!AA2)),0,IF(WEEKDAY(AJ$6,1)=1,AJ8*AJ9,0))))</f>
        <v>0</v>
      </c>
      <c r="AK12" s="63">
        <f>IF(AND(AK8=0,AK9=0,E7="Auto",B7="Pipefitter Journeyman",AND('Job setup'!$B$11="ON",'Job setup'!$C$11&lt;=AK$6,'Job setup'!$D$11&gt;=AK$6,'Job setup'!$G$11="YES")),0,IF(OS7,IF(OR(AK8&lt;=0,NOT('_JobDays'!AB2)),0,IF(WEEKDAY(AK$6,1)=1,AK8*AK9,0)),IF(OR(AK8&lt;=0,NOT('_JobDays'!AB2)),0,IF(WEEKDAY(AK$6,1)=1,AK8*AK9,0))))</f>
        <v>0</v>
      </c>
      <c r="AL12" s="62">
        <f>IF(AND(AL8=8,AL9=8,E7="Auto",B7="Pipefitter Journeyman",AND('Job setup'!$B$11="ON",'Job setup'!$C$11&lt;=AL$6,'Job setup'!$D$11&gt;=AL$6,'Job setup'!$G$11="YES")),0,IF(OS7,IF(OR(AL8&lt;=0,NOT('_JobDays'!AC2)),0,IF(WEEKDAY(AL$6,1)=1,AL8*AL9,0)),IF(OR(AL8&lt;=0,NOT('_JobDays'!AC2)),0,IF(WEEKDAY(AL$6,1)=1,AL8*AL9,0))))</f>
        <v>0</v>
      </c>
      <c r="AM12" s="62">
        <f>IF(AND(AM8=8,AM9=8,E7="Auto",B7="Pipefitter Journeyman",AND('Job setup'!$B$11="ON",'Job setup'!$C$11&lt;=AM$6,'Job setup'!$D$11&gt;=AM$6,'Job setup'!$G$11="YES")),0,IF(OS7,IF(OR(AM8&lt;=0,NOT('_JobDays'!AD2)),0,IF(WEEKDAY(AM$6,1)=1,AM8*AM9,0)),IF(OR(AM8&lt;=0,NOT('_JobDays'!AD2)),0,IF(WEEKDAY(AM$6,1)=1,AM8*AM9,0))))</f>
        <v>0</v>
      </c>
      <c r="AN12" s="62">
        <f>IF(AND(AN8=8,AN9=8,E7="Auto",B7="Pipefitter Journeyman",AND('Job setup'!$B$11="ON",'Job setup'!$C$11&lt;=AN$6,'Job setup'!$D$11&gt;=AN$6,'Job setup'!$G$11="YES")),0,IF(OS7,IF(OR(AN8&lt;=0,NOT('_JobDays'!AE2)),0,IF(WEEKDAY(AN$6,1)=1,AN8*AN9,0)),IF(OR(AN8&lt;=0,NOT('_JobDays'!AE2)),0,IF(WEEKDAY(AN$6,1)=1,AN8*AN9,0))))</f>
        <v>0</v>
      </c>
      <c r="AO12" s="64">
        <f>IF(AND(AO8=8,AO9=8,E7="Auto",B7="Pipefitter Journeyman",AND('Job setup'!$B$11="ON",'Job setup'!$C$11&lt;=AO$6,'Job setup'!$D$11&gt;=AO$6,'Job setup'!$G$11="YES")),0,IF(OS7,IF(OR(AO8&lt;=0,NOT('_JobDays'!AF2)),0,IF(WEEKDAY(AO$6,1)=1,AO8*AO9,0)),IF(OR(AO8&lt;=0,NOT('_JobDays'!AF2)),0,IF(WEEKDAY(AO$6,1)=1,AO8*AO9,0))))</f>
        <v>0</v>
      </c>
      <c r="OT12" s="28" t="s">
        <v>80</v>
      </c>
    </row>
    <row r="13" ht="16" customHeight="1" spans="1:410" x14ac:dyDescent="0.25">
      <c r="A13" s="43"/>
      <c r="B13" s="44"/>
      <c r="C13" s="66">
        <f>I7*D13</f>
        <v>27300</v>
      </c>
      <c r="D13" s="66">
        <v>130</v>
      </c>
      <c r="E13" s="67" t="s">
        <v>63</v>
      </c>
      <c r="F13" s="48"/>
      <c r="G13" s="48"/>
      <c r="H13" s="48"/>
      <c r="I13" s="49"/>
      <c r="J13" s="68">
        <v>5</v>
      </c>
      <c r="K13" s="69">
        <v>5</v>
      </c>
      <c r="L13" s="69">
        <v>5</v>
      </c>
      <c r="M13" s="69">
        <v>5</v>
      </c>
      <c r="N13" s="69">
        <v>5</v>
      </c>
      <c r="O13" s="70">
        <v>0</v>
      </c>
      <c r="P13" s="70">
        <v>0</v>
      </c>
      <c r="Q13" s="69">
        <v>5</v>
      </c>
      <c r="R13" s="69">
        <v>5</v>
      </c>
      <c r="S13" s="69">
        <v>5</v>
      </c>
      <c r="T13" s="69">
        <v>10</v>
      </c>
      <c r="U13" s="69">
        <v>10</v>
      </c>
      <c r="V13" s="70">
        <v>10</v>
      </c>
      <c r="W13" s="70">
        <v>10</v>
      </c>
      <c r="X13" s="69">
        <v>10</v>
      </c>
      <c r="Y13" s="69">
        <v>10</v>
      </c>
      <c r="Z13" s="69">
        <v>10</v>
      </c>
      <c r="AA13" s="69">
        <v>10</v>
      </c>
      <c r="AB13" s="69">
        <v>10</v>
      </c>
      <c r="AC13" s="70">
        <v>10</v>
      </c>
      <c r="AD13" s="70">
        <v>10</v>
      </c>
      <c r="AE13" s="69">
        <v>10</v>
      </c>
      <c r="AF13" s="69">
        <v>10</v>
      </c>
      <c r="AG13" s="69">
        <v>10</v>
      </c>
      <c r="AH13" s="69">
        <v>5</v>
      </c>
      <c r="AI13" s="69">
        <v>5</v>
      </c>
      <c r="AJ13" s="70">
        <v>0</v>
      </c>
      <c r="AK13" s="70">
        <v>0</v>
      </c>
      <c r="AL13" s="69">
        <v>5</v>
      </c>
      <c r="AM13" s="69">
        <v>5</v>
      </c>
      <c r="AN13" s="69">
        <v>5</v>
      </c>
      <c r="AO13" s="71">
        <v>5</v>
      </c>
      <c r="OT13" s="59" t="s">
        <v>80</v>
      </c>
    </row>
    <row r="14" ht="8" customHeight="1" spans="1: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</row>
    <row r="15" ht="16" customHeight="1" spans="1:410" x14ac:dyDescent="0.25">
      <c r="A15" s="73" t="s">
        <v>70</v>
      </c>
      <c r="B15" s="44" t="s">
        <v>79</v>
      </c>
      <c r="C15" s="45">
        <f>C18+C19+C20</f>
        <v>337532.16</v>
      </c>
      <c r="D15" s="46"/>
      <c r="E15" s="47" t="s">
        <v>56</v>
      </c>
      <c r="F15" s="48">
        <f>SUM(J18:AO18)</f>
        <v>1280</v>
      </c>
      <c r="G15" s="48">
        <f>SUM(J19:AO19)</f>
        <v>1024</v>
      </c>
      <c r="H15" s="48">
        <f>SUM(J20:AO20)</f>
        <v>384</v>
      </c>
      <c r="I15" s="49">
        <f>SUM(J21:AO21)</f>
        <v>14</v>
      </c>
      <c r="J15" s="50"/>
      <c r="K15" s="51"/>
      <c r="L15" s="51"/>
      <c r="M15" s="51"/>
      <c r="N15" s="51"/>
      <c r="O15" s="52"/>
      <c r="P15" s="52"/>
      <c r="Q15" s="51"/>
      <c r="R15" s="51"/>
      <c r="S15" s="51"/>
      <c r="T15" s="51"/>
      <c r="U15" s="51"/>
      <c r="V15" s="52"/>
      <c r="W15" s="52"/>
      <c r="X15" s="51"/>
      <c r="Y15" s="51"/>
      <c r="Z15" s="51"/>
      <c r="AA15" s="51"/>
      <c r="AB15" s="51"/>
      <c r="AC15" s="52"/>
      <c r="AD15" s="52"/>
      <c r="AE15" s="51"/>
      <c r="AF15" s="51"/>
      <c r="AG15" s="51"/>
      <c r="AH15" s="51"/>
      <c r="AI15" s="51"/>
      <c r="AJ15" s="52"/>
      <c r="AK15" s="52"/>
      <c r="AL15" s="51"/>
      <c r="AM15" s="51"/>
      <c r="AN15" s="51"/>
      <c r="AO15" s="53"/>
      <c r="OS15" s="28">
        <f>OR(E15="Staff clock",AND(OR(E15="Auto",E15=""),ISNUMBER(MATCH(B15,'_Lists'!$K$1:$K$137,0))))</f>
        <v>0</v>
      </c>
      <c r="OT15" s="28" t="s">
        <v>81</v>
      </c>
    </row>
    <row r="16" ht="16" customHeight="1" spans="1:410" x14ac:dyDescent="0.25">
      <c r="A16" s="73"/>
      <c r="B16" s="44"/>
      <c r="C16" s="45"/>
      <c r="D16" s="46"/>
      <c r="E16" s="54" t="s">
        <v>58</v>
      </c>
      <c r="F16" s="48"/>
      <c r="G16" s="48"/>
      <c r="H16" s="48"/>
      <c r="I16" s="49"/>
      <c r="J16" s="55">
        <v>0</v>
      </c>
      <c r="K16" s="56">
        <v>0</v>
      </c>
      <c r="L16" s="56">
        <v>0</v>
      </c>
      <c r="M16" s="56">
        <v>0</v>
      </c>
      <c r="N16" s="56">
        <v>0</v>
      </c>
      <c r="O16" s="57">
        <v>0</v>
      </c>
      <c r="P16" s="57">
        <v>0</v>
      </c>
      <c r="Q16" s="56">
        <v>0</v>
      </c>
      <c r="R16" s="56">
        <v>0</v>
      </c>
      <c r="S16" s="56">
        <v>0</v>
      </c>
      <c r="T16" s="56">
        <v>16</v>
      </c>
      <c r="U16" s="56">
        <v>16</v>
      </c>
      <c r="V16" s="57">
        <v>16</v>
      </c>
      <c r="W16" s="57">
        <v>16</v>
      </c>
      <c r="X16" s="56">
        <v>16</v>
      </c>
      <c r="Y16" s="56">
        <v>16</v>
      </c>
      <c r="Z16" s="56">
        <v>16</v>
      </c>
      <c r="AA16" s="56">
        <v>16</v>
      </c>
      <c r="AB16" s="56">
        <v>16</v>
      </c>
      <c r="AC16" s="57">
        <v>16</v>
      </c>
      <c r="AD16" s="57">
        <v>16</v>
      </c>
      <c r="AE16" s="56">
        <v>16</v>
      </c>
      <c r="AF16" s="56">
        <v>16</v>
      </c>
      <c r="AG16" s="56">
        <v>16</v>
      </c>
      <c r="AH16" s="56">
        <v>0</v>
      </c>
      <c r="AI16" s="56">
        <v>0</v>
      </c>
      <c r="AJ16" s="57">
        <v>0</v>
      </c>
      <c r="AK16" s="57">
        <v>0</v>
      </c>
      <c r="AL16" s="56">
        <v>0</v>
      </c>
      <c r="AM16" s="56">
        <v>0</v>
      </c>
      <c r="AN16" s="56">
        <v>0</v>
      </c>
      <c r="AO16" s="58">
        <v>0</v>
      </c>
      <c r="OT16" s="59" t="s">
        <v>81</v>
      </c>
    </row>
    <row r="17" ht="16" customHeight="1" spans="1:410" x14ac:dyDescent="0.25">
      <c r="A17" s="73"/>
      <c r="B17" s="44"/>
      <c r="C17" s="45"/>
      <c r="D17" s="46"/>
      <c r="E17" s="54" t="s">
        <v>59</v>
      </c>
      <c r="F17" s="48"/>
      <c r="G17" s="48"/>
      <c r="H17" s="48"/>
      <c r="I17" s="49"/>
      <c r="J17" s="55">
        <v>0</v>
      </c>
      <c r="K17" s="56">
        <v>0</v>
      </c>
      <c r="L17" s="56">
        <v>0</v>
      </c>
      <c r="M17" s="56">
        <v>0</v>
      </c>
      <c r="N17" s="56">
        <v>0</v>
      </c>
      <c r="O17" s="57">
        <v>0</v>
      </c>
      <c r="P17" s="57">
        <v>0</v>
      </c>
      <c r="Q17" s="56">
        <v>0</v>
      </c>
      <c r="R17" s="56">
        <v>0</v>
      </c>
      <c r="S17" s="56">
        <v>0</v>
      </c>
      <c r="T17" s="56">
        <v>12</v>
      </c>
      <c r="U17" s="56">
        <v>12</v>
      </c>
      <c r="V17" s="57">
        <v>12</v>
      </c>
      <c r="W17" s="57">
        <v>12</v>
      </c>
      <c r="X17" s="56">
        <v>12</v>
      </c>
      <c r="Y17" s="56">
        <v>12</v>
      </c>
      <c r="Z17" s="56">
        <v>12</v>
      </c>
      <c r="AA17" s="56">
        <v>12</v>
      </c>
      <c r="AB17" s="56">
        <v>12</v>
      </c>
      <c r="AC17" s="57">
        <v>12</v>
      </c>
      <c r="AD17" s="57">
        <v>12</v>
      </c>
      <c r="AE17" s="56">
        <v>12</v>
      </c>
      <c r="AF17" s="56">
        <v>12</v>
      </c>
      <c r="AG17" s="56">
        <v>12</v>
      </c>
      <c r="AH17" s="56">
        <v>0</v>
      </c>
      <c r="AI17" s="56">
        <v>0</v>
      </c>
      <c r="AJ17" s="57">
        <v>0</v>
      </c>
      <c r="AK17" s="57">
        <v>0</v>
      </c>
      <c r="AL17" s="56">
        <v>0</v>
      </c>
      <c r="AM17" s="56">
        <v>0</v>
      </c>
      <c r="AN17" s="56">
        <v>0</v>
      </c>
      <c r="AO17" s="58">
        <v>0</v>
      </c>
      <c r="OT17" s="59" t="s">
        <v>81</v>
      </c>
    </row>
    <row r="18" ht="16" customHeight="1" spans="1:410" x14ac:dyDescent="0.25">
      <c r="A18" s="73"/>
      <c r="B18" s="44"/>
      <c r="C18" s="60">
        <f>F15*N(D18)</f>
        <v>127142.4</v>
      </c>
      <c r="D18" s="60">
        <f>IF(TRIM(B15)="","No rate",IFERROR(INDEX('Rate Tables'!C$7:C$161,MATCH(B15,'Rate Tables'!A$7:A$161,0)),"No rate"))</f>
        <v>99.33</v>
      </c>
      <c r="E18" s="54" t="s">
        <v>60</v>
      </c>
      <c r="F18" s="48"/>
      <c r="G18" s="48"/>
      <c r="H18" s="48"/>
      <c r="I18" s="49"/>
      <c r="J18" s="61">
        <f>IF(AND(J16=0,J17=0,E15="Auto",B15="Pipefitter Journeyman",AND('Job setup'!$B$7="ON",'Job setup'!$C$7&lt;=J$6,'Job setup'!$D$7&gt;=J$6,'Job setup'!$G$7="YES")),0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0</v>
      </c>
      <c r="K18" s="62">
        <f>IF(AND(K16=0,K17=0,E15="Auto",B15="Pipefitter Journeyman",AND('Job setup'!$B$7="ON",'Job setup'!$C$7&lt;=K$6,'Job setup'!$D$7&gt;=K$6,'Job setup'!$G$7="YES")),0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0</v>
      </c>
      <c r="L18" s="62">
        <f>IF(AND(L16=0,L17=0,E15="Auto",B15="Pipefitter Journeyman",AND('Job setup'!$B$7="ON",'Job setup'!$C$7&lt;=L$6,'Job setup'!$D$7&gt;=L$6,'Job setup'!$G$7="YES")),0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0</v>
      </c>
      <c r="M18" s="62">
        <f>IF(AND(M16=0,M17=0,E15="Auto",B15="Pipefitter Journeyman",AND('Job setup'!$B$7="ON",'Job setup'!$C$7&lt;=M$6,'Job setup'!$D$7&gt;=M$6,'Job setup'!$G$7="YES")),0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0</v>
      </c>
      <c r="N18" s="62">
        <f>IF(AND(N16=0,N17=0,E15="Auto",B15="Pipefitter Journeyman",AND('Job setup'!$B$7="ON",'Job setup'!$C$7&lt;=N$6,'Job setup'!$D$7&gt;=N$6,'Job setup'!$G$7="YES")),0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0</v>
      </c>
      <c r="O18" s="63">
        <f>IF(AND(O16=0,O17=0,E15="Auto",B15="Pipefitter Journeyman",AND('Job setup'!$B$7="ON",'Job setup'!$C$7&lt;=O$6,'Job setup'!$D$7&gt;=O$6,'Job setup'!$G$7="YES")),0,IF(OS15,MIN(IF(OR(O16&lt;=0,NOT('_JobDays'!F2)),0,IF(WEEKDAY(O$6,1)=1,0,MIN(IF('_JobDays'!F3,8,10),O17)*O16)),MAX(0,40*MAX(1,O16)-(J18+K18+L18+M18+N18))),MIN(IF(OR(O16&lt;=0,NOT('_JobDays'!F2)),0,IF(WEEKDAY(O$6,1)=1,0,IF(WEEKDAY(O$6,1)=7,0,IF('_JobDays'!F4,MIN(8,O17)*O16,O16*O17)))),MAX(0,40*MAX(1,O16)-(J18+K18+L18+M18+N18)))))</f>
        <v>0</v>
      </c>
      <c r="P18" s="63">
        <f>IF(AND(P16=0,P17=0,E15="Auto",B15="Pipefitter Journeyman",AND('Job setup'!$B$7="ON",'Job setup'!$C$7&lt;=P$6,'Job setup'!$D$7&gt;=P$6,'Job setup'!$G$7="YES")),0,IF(OS15,MIN(IF(OR(P16&lt;=0,NOT('_JobDays'!G2)),0,IF(WEEKDAY(P$6,1)=1,0,MIN(IF('_JobDays'!G3,8,10),P17)*P16)),MAX(0,40*MAX(1,P16)-(J18+K18+L18+M18+N18+O18))),MIN(IF(OR(P16&lt;=0,NOT('_JobDays'!G2)),0,IF(WEEKDAY(P$6,1)=1,0,IF(WEEKDAY(P$6,1)=7,0,IF('_JobDays'!G4,MIN(8,P17)*P16,P16*P17)))),MAX(0,40*MAX(1,P16)-(J18+K18+L18+M18+N18+O18)))))</f>
        <v>0</v>
      </c>
      <c r="Q18" s="62">
        <f>IF(AND(Q16=0,Q17=0,E15="Auto",B15="Pipefitter Journeyman",AND('Job setup'!$B$7="ON",'Job setup'!$C$7&lt;=Q$6,'Job setup'!$D$7&gt;=Q$6,'Job setup'!$G$7="YES")),0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0</v>
      </c>
      <c r="R18" s="62">
        <f>IF(AND(R16=0,R17=0,E15="Auto",B15="Pipefitter Journeyman",AND('Job setup'!$B$7="ON",'Job setup'!$C$7&lt;=R$6,'Job setup'!$D$7&gt;=R$6,'Job setup'!$G$7="YES")),0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0</v>
      </c>
      <c r="S18" s="62">
        <f>IF(AND(S16=0,S17=0,E15="Auto",B15="Pipefitter Journeyman",AND('Job setup'!$B$7="ON",'Job setup'!$C$7&lt;=S$6,'Job setup'!$D$7&gt;=S$6,'Job setup'!$G$7="YES")),0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0</v>
      </c>
      <c r="T18" s="62">
        <f>IF(AND(T16=16,T17=12,E15="Auto",B15="Pipefitter Journeyman",AND('Job setup'!$B$9="ON",'Job setup'!$C$9&lt;=T$6,'Job setup'!$D$9&gt;=T$6,'Job setup'!$G$9="NO")),128,IF(OS15,MIN(IF(OR(T16&lt;=0,NOT('_JobDays'!K2)),0,IF(WEEKDAY(T$6,1)=1,0,MIN(IF('_JobDays'!K3,8,10),T17)*T16)),MAX(0,40*MAX(1,T16)-(Q18+R18+S18))),MIN(IF(OR(T16&lt;=0,NOT('_JobDays'!K2)),0,IF(WEEKDAY(T$6,1)=1,0,IF(WEEKDAY(T$6,1)=7,0,IF('_JobDays'!K4,MIN(8,T17)*T16,T16*T17)))),MAX(0,40*MAX(1,T16)-(Q18+R18+S18)))))</f>
        <v>128</v>
      </c>
      <c r="U18" s="62">
        <f>IF(AND(U16=16,U17=12,E15="Auto",B15="Pipefitter Journeyman",AND('Job setup'!$B$9="ON",'Job setup'!$C$9&lt;=U$6,'Job setup'!$D$9&gt;=U$6,'Job setup'!$G$9="NO")),128,IF(OS15,MIN(IF(OR(U16&lt;=0,NOT('_JobDays'!L2)),0,IF(WEEKDAY(U$6,1)=1,0,MIN(IF('_JobDays'!L3,8,10),U17)*U16)),MAX(0,40*MAX(1,U16)-(Q18+R18+S18+T18))),MIN(IF(OR(U16&lt;=0,NOT('_JobDays'!L2)),0,IF(WEEKDAY(U$6,1)=1,0,IF(WEEKDAY(U$6,1)=7,0,IF('_JobDays'!L4,MIN(8,U17)*U16,U16*U17)))),MAX(0,40*MAX(1,U16)-(Q18+R18+S18+T18)))))</f>
        <v>128</v>
      </c>
      <c r="V18" s="63">
        <f>IF(AND(V16=16,V17=12,E15="Auto",B15="Pipefitter Journeyman",AND('Job setup'!$B$9="ON",'Job setup'!$C$9&lt;=V$6,'Job setup'!$D$9&gt;=V$6,'Job setup'!$G$9="NO")),0,IF(OS15,MIN(IF(OR(V16&lt;=0,NOT('_JobDays'!M2)),0,IF(WEEKDAY(V$6,1)=1,0,MIN(IF('_JobDays'!M3,8,10),V17)*V16)),MAX(0,40*MAX(1,V16)-(Q18+R18+S18+T18+U18))),MIN(IF(OR(V16&lt;=0,NOT('_JobDays'!M2)),0,IF(WEEKDAY(V$6,1)=1,0,IF(WEEKDAY(V$6,1)=7,0,IF('_JobDays'!M4,MIN(8,V17)*V16,V16*V17)))),MAX(0,40*MAX(1,V16)-(Q18+R18+S18+T18+U18)))))</f>
        <v>0</v>
      </c>
      <c r="W18" s="63">
        <f>IF(AND(W16=16,W17=12,E15="Auto",B15="Pipefitter Journeyman",AND('Job setup'!$B$9="ON",'Job setup'!$C$9&lt;=W$6,'Job setup'!$D$9&gt;=W$6,'Job setup'!$G$9="NO")),0,IF(OS15,MIN(IF(OR(W16&lt;=0,NOT('_JobDays'!N2)),0,IF(WEEKDAY(W$6,1)=1,0,MIN(IF('_JobDays'!N3,8,10),W17)*W16)),MAX(0,40*MAX(1,W16)-(Q18+R18+S18+T18+U18+V18))),MIN(IF(OR(W16&lt;=0,NOT('_JobDays'!N2)),0,IF(WEEKDAY(W$6,1)=1,0,IF(WEEKDAY(W$6,1)=7,0,IF('_JobDays'!N4,MIN(8,W17)*W16,W16*W17)))),MAX(0,40*MAX(1,W16)-(Q18+R18+S18+T18+U18+V18)))))</f>
        <v>0</v>
      </c>
      <c r="X18" s="62">
        <f>IF(AND(X16=16,X17=12,E15="Auto",B15="Pipefitter Journeyman",AND('Job setup'!$B$9="ON",'Job setup'!$C$9&lt;=X$6,'Job setup'!$D$9&gt;=X$6,'Job setup'!$G$9="NO")),128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128</v>
      </c>
      <c r="Y18" s="62">
        <f>IF(AND(Y16=16,Y17=12,E15="Auto",B15="Pipefitter Journeyman",AND('Job setup'!$B$9="ON",'Job setup'!$C$9&lt;=Y$6,'Job setup'!$D$9&gt;=Y$6,'Job setup'!$G$9="NO")),128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128</v>
      </c>
      <c r="Z18" s="62">
        <f>IF(AND(Z16=16,Z17=12,E15="Auto",B15="Pipefitter Journeyman",AND('Job setup'!$B$9="ON",'Job setup'!$C$9&lt;=Z$6,'Job setup'!$D$9&gt;=Z$6,'Job setup'!$G$9="NO")),128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128</v>
      </c>
      <c r="AA18" s="62">
        <f>IF(AND(AA16=16,AA17=12,E15="Auto",B15="Pipefitter Journeyman",AND('Job setup'!$B$9="ON",'Job setup'!$C$9&lt;=AA$6,'Job setup'!$D$9&gt;=AA$6,'Job setup'!$G$9="NO")),128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128</v>
      </c>
      <c r="AB18" s="62">
        <f>IF(AND(AB16=16,AB17=12,E15="Auto",B15="Pipefitter Journeyman",AND('Job setup'!$B$9="ON",'Job setup'!$C$9&lt;=AB$6,'Job setup'!$D$9&gt;=AB$6,'Job setup'!$G$9="NO")),128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128</v>
      </c>
      <c r="AC18" s="63">
        <f>IF(AND(AC16=16,AC17=12,E15="Auto",B15="Pipefitter Journeyman",AND('Job setup'!$B$9="ON",'Job setup'!$C$9&lt;=AC$6,'Job setup'!$D$9&gt;=AC$6,'Job setup'!$G$9="NO")),0,IF(OS15,MIN(IF(OR(AC16&lt;=0,NOT('_JobDays'!T2)),0,IF(WEEKDAY(AC$6,1)=1,0,MIN(IF('_JobDays'!T3,8,10),AC17)*AC16)),MAX(0,40*MAX(1,AC16)-(X18+Y18+Z18+AA18+AB18))),MIN(IF(OR(AC16&lt;=0,NOT('_JobDays'!T2)),0,IF(WEEKDAY(AC$6,1)=1,0,IF(WEEKDAY(AC$6,1)=7,0,IF('_JobDays'!T4,MIN(8,AC17)*AC16,AC16*AC17)))),MAX(0,40*MAX(1,AC16)-(X18+Y18+Z18+AA18+AB18)))))</f>
        <v>0</v>
      </c>
      <c r="AD18" s="63">
        <f>IF(AND(AD16=16,AD17=12,E15="Auto",B15="Pipefitter Journeyman",AND('Job setup'!$B$9="ON",'Job setup'!$C$9&lt;=AD$6,'Job setup'!$D$9&gt;=AD$6,'Job setup'!$G$9="NO")),0,IF(OS15,MIN(IF(OR(AD16&lt;=0,NOT('_JobDays'!U2)),0,IF(WEEKDAY(AD$6,1)=1,0,MIN(IF('_JobDays'!U3,8,10),AD17)*AD16)),MAX(0,40*MAX(1,AD16)-(X18+Y18+Z18+AA18+AB18+AC18))),MIN(IF(OR(AD16&lt;=0,NOT('_JobDays'!U2)),0,IF(WEEKDAY(AD$6,1)=1,0,IF(WEEKDAY(AD$6,1)=7,0,IF('_JobDays'!U4,MIN(8,AD17)*AD16,AD16*AD17)))),MAX(0,40*MAX(1,AD16)-(X18+Y18+Z18+AA18+AB18+AC18)))))</f>
        <v>0</v>
      </c>
      <c r="AE18" s="62">
        <f>IF(AND(AE16=16,AE17=12,E15="Auto",B15="Pipefitter Journeyman",AND('Job setup'!$B$9="ON",'Job setup'!$C$9&lt;=AE$6,'Job setup'!$D$9&gt;=AE$6,'Job setup'!$G$9="NO")),128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128</v>
      </c>
      <c r="AF18" s="62">
        <f>IF(AND(AF16=16,AF17=12,E15="Auto",B15="Pipefitter Journeyman",AND('Job setup'!$B$9="ON",'Job setup'!$C$9&lt;=AF$6,'Job setup'!$D$9&gt;=AF$6,'Job setup'!$G$9="NO")),128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128</v>
      </c>
      <c r="AG18" s="62">
        <f>IF(AND(AG16=16,AG17=12,E15="Auto",B15="Pipefitter Journeyman",AND('Job setup'!$B$9="ON",'Job setup'!$C$9&lt;=AG$6,'Job setup'!$D$9&gt;=AG$6,'Job setup'!$G$9="NO")),128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128</v>
      </c>
      <c r="AH18" s="62">
        <f>IF(AND(AH16=0,AH17=0,E15="Auto",B15="Pipefitter Journeyman",AND('Job setup'!$B$11="ON",'Job setup'!$C$11&lt;=AH$6,'Job setup'!$D$11&gt;=AH$6,'Job setup'!$G$11="YES")),0,IF(OS15,MIN(IF(OR(AH16&lt;=0,NOT('_JobDays'!Y2)),0,IF(WEEKDAY(AH$6,1)=1,0,MIN(IF('_JobDays'!Y3,8,10),AH17)*AH16)),MAX(0,40*MAX(1,AH16)-(AE18+AF18+AG18))),MIN(IF(OR(AH16&lt;=0,NOT('_JobDays'!Y2)),0,IF(WEEKDAY(AH$6,1)=1,0,IF(WEEKDAY(AH$6,1)=7,0,IF('_JobDays'!Y4,MIN(8,AH17)*AH16,AH16*AH17)))),MAX(0,40*MAX(1,AH16)-(AE18+AF18+AG18)))))</f>
        <v>0</v>
      </c>
      <c r="AI18" s="62">
        <f>IF(AND(AI16=0,AI17=0,E15="Auto",B15="Pipefitter Journeyman",AND('Job setup'!$B$11="ON",'Job setup'!$C$11&lt;=AI$6,'Job setup'!$D$11&gt;=AI$6,'Job setup'!$G$11="YES")),0,IF(OS15,MIN(IF(OR(AI16&lt;=0,NOT('_JobDays'!Z2)),0,IF(WEEKDAY(AI$6,1)=1,0,MIN(IF('_JobDays'!Z3,8,10),AI17)*AI16)),MAX(0,40*MAX(1,AI16)-(AE18+AF18+AG18+AH18))),MIN(IF(OR(AI16&lt;=0,NOT('_JobDays'!Z2)),0,IF(WEEKDAY(AI$6,1)=1,0,IF(WEEKDAY(AI$6,1)=7,0,IF('_JobDays'!Z4,MIN(8,AI17)*AI16,AI16*AI17)))),MAX(0,40*MAX(1,AI16)-(AE18+AF18+AG18+AH18)))))</f>
        <v>0</v>
      </c>
      <c r="AJ18" s="63">
        <f>IF(AND(AJ16=0,AJ17=0,E15="Auto",B15="Pipefitter Journeyman",AND('Job setup'!$B$11="ON",'Job setup'!$C$11&lt;=AJ$6,'Job setup'!$D$11&gt;=AJ$6,'Job setup'!$G$11="YES")),0,IF(OS15,MIN(IF(OR(AJ16&lt;=0,NOT('_JobDays'!AA2)),0,IF(WEEKDAY(AJ$6,1)=1,0,MIN(IF('_JobDays'!AA3,8,10),AJ17)*AJ16)),MAX(0,40*MAX(1,AJ16)-(AE18+AF18+AG18+AH18+AI18))),MIN(IF(OR(AJ16&lt;=0,NOT('_JobDays'!AA2)),0,IF(WEEKDAY(AJ$6,1)=1,0,IF(WEEKDAY(AJ$6,1)=7,0,IF('_JobDays'!AA4,MIN(8,AJ17)*AJ16,AJ16*AJ17)))),MAX(0,40*MAX(1,AJ16)-(AE18+AF18+AG18+AH18+AI18)))))</f>
        <v>0</v>
      </c>
      <c r="AK18" s="63">
        <f>IF(AND(AK16=0,AK17=0,E15="Auto",B15="Pipefitter Journeyman",AND('Job setup'!$B$11="ON",'Job setup'!$C$11&lt;=AK$6,'Job setup'!$D$11&gt;=AK$6,'Job setup'!$G$11="YES")),0,IF(OS15,MIN(IF(OR(AK16&lt;=0,NOT('_JobDays'!AB2)),0,IF(WEEKDAY(AK$6,1)=1,0,MIN(IF('_JobDays'!AB3,8,10),AK17)*AK16)),MAX(0,40*MAX(1,AK16)-(AE18+AF18+AG18+AH18+AI18+AJ18))),MIN(IF(OR(AK16&lt;=0,NOT('_JobDays'!AB2)),0,IF(WEEKDAY(AK$6,1)=1,0,IF(WEEKDAY(AK$6,1)=7,0,IF('_JobDays'!AB4,MIN(8,AK17)*AK16,AK16*AK17)))),MAX(0,40*MAX(1,AK16)-(AE18+AF18+AG18+AH18+AI18+AJ18)))))</f>
        <v>0</v>
      </c>
      <c r="AL18" s="62">
        <f>IF(AND(AL16=0,AL17=0,E15="Auto",B15="Pipefitter Journeyman",AND('Job setup'!$B$11="ON",'Job setup'!$C$11&lt;=AL$6,'Job setup'!$D$11&gt;=AL$6,'Job setup'!$G$11="YES")),0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0</v>
      </c>
      <c r="AM18" s="62">
        <f>IF(AND(AM16=0,AM17=0,E15="Auto",B15="Pipefitter Journeyman",AND('Job setup'!$B$11="ON",'Job setup'!$C$11&lt;=AM$6,'Job setup'!$D$11&gt;=AM$6,'Job setup'!$G$11="YES")),0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0</v>
      </c>
      <c r="AN18" s="62">
        <f>IF(AND(AN16=0,AN17=0,E15="Auto",B15="Pipefitter Journeyman",AND('Job setup'!$B$11="ON",'Job setup'!$C$11&lt;=AN$6,'Job setup'!$D$11&gt;=AN$6,'Job setup'!$G$11="YES")),0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0</v>
      </c>
      <c r="AO18" s="64">
        <f>IF(AND(AO16=0,AO17=0,E15="Auto",B15="Pipefitter Journeyman",AND('Job setup'!$B$11="ON",'Job setup'!$C$11&lt;=AO$6,'Job setup'!$D$11&gt;=AO$6,'Job setup'!$G$11="YES")),0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0</v>
      </c>
      <c r="OT18" s="28" t="s">
        <v>81</v>
      </c>
    </row>
    <row r="19" ht="16" customHeight="1" spans="1:410" x14ac:dyDescent="0.25">
      <c r="A19" s="73"/>
      <c r="B19" s="44"/>
      <c r="C19" s="65">
        <f>G15*N(D19)</f>
        <v>142018.56</v>
      </c>
      <c r="D19" s="65">
        <f>IF(TRIM(B15)="","No rate",IFERROR(INDEX('Rate Tables'!D$7:D$161,MATCH(B15,'Rate Tables'!A$7:A$161,0)),"No rate"))</f>
        <v>138.69</v>
      </c>
      <c r="E19" s="54" t="s">
        <v>61</v>
      </c>
      <c r="F19" s="48"/>
      <c r="G19" s="48"/>
      <c r="H19" s="48"/>
      <c r="I19" s="49"/>
      <c r="J19" s="61">
        <f>IF(AND(J16=0,J17=0,E15="Auto",B15="Pipefitter Journeyman",AND('Job setup'!$B$7="ON",'Job setup'!$C$7&lt;=J$6,'Job setup'!$D$7&gt;=J$6,'Job setup'!$G$7="YES")),0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0</v>
      </c>
      <c r="K19" s="62">
        <f>IF(AND(K16=0,K17=0,E15="Auto",B15="Pipefitter Journeyman",AND('Job setup'!$B$7="ON",'Job setup'!$C$7&lt;=K$6,'Job setup'!$D$7&gt;=K$6,'Job setup'!$G$7="YES")),0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0</v>
      </c>
      <c r="L19" s="62">
        <f>IF(AND(L16=0,L17=0,E15="Auto",B15="Pipefitter Journeyman",AND('Job setup'!$B$7="ON",'Job setup'!$C$7&lt;=L$6,'Job setup'!$D$7&gt;=L$6,'Job setup'!$G$7="YES")),0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0</v>
      </c>
      <c r="M19" s="62">
        <f>IF(AND(M16=0,M17=0,E15="Auto",B15="Pipefitter Journeyman",AND('Job setup'!$B$7="ON",'Job setup'!$C$7&lt;=M$6,'Job setup'!$D$7&gt;=M$6,'Job setup'!$G$7="YES")),0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0</v>
      </c>
      <c r="N19" s="62">
        <f>IF(AND(N16=0,N17=0,E15="Auto",B15="Pipefitter Journeyman",AND('Job setup'!$B$7="ON",'Job setup'!$C$7&lt;=N$6,'Job setup'!$D$7&gt;=N$6,'Job setup'!$G$7="YES")),0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0</v>
      </c>
      <c r="O19" s="63">
        <f>IF(AND(O16=0,O17=0,E15="Auto",B15="Pipefitter Journeyman",AND('Job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J18+K18+L18+M18+N18)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J18+K18+L18+M18+N18))))))</f>
        <v>0</v>
      </c>
      <c r="P19" s="63">
        <f>IF(AND(P16=0,P17=0,E15="Auto",B15="Pipefitter Journeyman",AND('Job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J18+K18+L18+M18+N18+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J18+K18+L18+M18+N18+O18))))))</f>
        <v>0</v>
      </c>
      <c r="Q19" s="62">
        <f>IF(AND(Q16=0,Q17=0,E15="Auto",B15="Pipefitter Journeyman",AND('Job setup'!$B$7="ON",'Job setup'!$C$7&lt;=Q$6,'Job setup'!$D$7&gt;=Q$6,'Job setup'!$G$7="YES")),0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0</v>
      </c>
      <c r="R19" s="62">
        <f>IF(AND(R16=0,R17=0,E15="Auto",B15="Pipefitter Journeyman",AND('Job setup'!$B$7="ON",'Job setup'!$C$7&lt;=R$6,'Job setup'!$D$7&gt;=R$6,'Job setup'!$G$7="YES")),0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0</v>
      </c>
      <c r="S19" s="62">
        <f>IF(AND(S16=0,S17=0,E15="Auto",B15="Pipefitter Journeyman",AND('Job setup'!$B$7="ON",'Job setup'!$C$7&lt;=S$6,'Job setup'!$D$7&gt;=S$6,'Job setup'!$G$7="YES")),0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0</v>
      </c>
      <c r="T19" s="62">
        <f>IF(AND(T16=16,T17=12,E15="Auto",B15="Pipefitter Journeyman",AND('Job setup'!$B$9="ON",'Job setup'!$C$9&lt;=T$6,'Job setup'!$D$9&gt;=T$6,'Job setup'!$G$9="NO")),64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Q18+R18+S18)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Q18+R18+S18))))))</f>
        <v>64</v>
      </c>
      <c r="U19" s="62">
        <f>IF(AND(U16=16,U17=12,E15="Auto",B15="Pipefitter Journeyman",AND('Job setup'!$B$9="ON",'Job setup'!$C$9&lt;=U$6,'Job setup'!$D$9&gt;=U$6,'Job setup'!$G$9="NO")),64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Q18+R18+S18+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Q18+R18+S18+T18))))))</f>
        <v>64</v>
      </c>
      <c r="V19" s="63">
        <f>IF(AND(V16=16,V17=12,E15="Auto",B15="Pipefitter Journeyman",AND('Job setup'!$B$9="ON",'Job setup'!$C$9&lt;=V$6,'Job setup'!$D$9&gt;=V$6,'Job setup'!$G$9="NO")),192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Q18+R18+S18+T18+U18)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Q18+R18+S18+T18+U18))))))</f>
        <v>192</v>
      </c>
      <c r="W19" s="63">
        <f>IF(AND(W16=16,W17=12,E15="Auto",B15="Pipefitter Journeyman",AND('Job setup'!$B$9="ON",'Job setup'!$C$9&lt;=W$6,'Job setup'!$D$9&gt;=W$6,'Job setup'!$G$9="NO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Q18+R18+S18+T18+U18+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Q18+R18+S18+T18+U18+V18))))))</f>
        <v>0</v>
      </c>
      <c r="X19" s="62">
        <f>IF(AND(X16=16,X17=12,E15="Auto",B15="Pipefitter Journeyman",AND('Job setup'!$B$9="ON",'Job setup'!$C$9&lt;=X$6,'Job setup'!$D$9&gt;=X$6,'Job setup'!$G$9="NO")),64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64</v>
      </c>
      <c r="Y19" s="62">
        <f>IF(AND(Y16=16,Y17=12,E15="Auto",B15="Pipefitter Journeyman",AND('Job setup'!$B$9="ON",'Job setup'!$C$9&lt;=Y$6,'Job setup'!$D$9&gt;=Y$6,'Job setup'!$G$9="NO")),64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64</v>
      </c>
      <c r="Z19" s="62">
        <f>IF(AND(Z16=16,Z17=12,E15="Auto",B15="Pipefitter Journeyman",AND('Job setup'!$B$9="ON",'Job setup'!$C$9&lt;=Z$6,'Job setup'!$D$9&gt;=Z$6,'Job setup'!$G$9="NO")),64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64</v>
      </c>
      <c r="AA19" s="62">
        <f>IF(AND(AA16=16,AA17=12,E15="Auto",B15="Pipefitter Journeyman",AND('Job setup'!$B$9="ON",'Job setup'!$C$9&lt;=AA$6,'Job setup'!$D$9&gt;=AA$6,'Job setup'!$G$9="NO")),64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64</v>
      </c>
      <c r="AB19" s="62">
        <f>IF(AND(AB16=16,AB17=12,E15="Auto",B15="Pipefitter Journeyman",AND('Job setup'!$B$9="ON",'Job setup'!$C$9&lt;=AB$6,'Job setup'!$D$9&gt;=AB$6,'Job setup'!$G$9="NO")),64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64</v>
      </c>
      <c r="AC19" s="63">
        <f>IF(AND(AC16=16,AC17=12,E15="Auto",B15="Pipefitter Journeyman",AND('Job setup'!$B$9="ON",'Job setup'!$C$9&lt;=AC$6,'Job setup'!$D$9&gt;=AC$6,'Job setup'!$G$9="NO")),192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X18+Y18+Z18+AA18+AB18)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X18+Y18+Z18+AA18+AB18))))))</f>
        <v>192</v>
      </c>
      <c r="AD19" s="63">
        <f>IF(AND(AD16=16,AD17=12,E15="Auto",B15="Pipefitter Journeyman",AND('Job setup'!$B$9="ON",'Job setup'!$C$9&lt;=AD$6,'Job setup'!$D$9&gt;=AD$6,'Job setup'!$G$9="NO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X18+Y18+Z18+AA18+AB18+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X18+Y18+Z18+AA18+AB18+AC18))))))</f>
        <v>0</v>
      </c>
      <c r="AE19" s="62">
        <f>IF(AND(AE16=16,AE17=12,E15="Auto",B15="Pipefitter Journeyman",AND('Job setup'!$B$9="ON",'Job setup'!$C$9&lt;=AE$6,'Job setup'!$D$9&gt;=AE$6,'Job setup'!$G$9="NO")),64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64</v>
      </c>
      <c r="AF19" s="62">
        <f>IF(AND(AF16=16,AF17=12,E15="Auto",B15="Pipefitter Journeyman",AND('Job setup'!$B$9="ON",'Job setup'!$C$9&lt;=AF$6,'Job setup'!$D$9&gt;=AF$6,'Job setup'!$G$9="NO")),64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64</v>
      </c>
      <c r="AG19" s="62">
        <f>IF(AND(AG16=16,AG17=12,E15="Auto",B15="Pipefitter Journeyman",AND('Job setup'!$B$9="ON",'Job setup'!$C$9&lt;=AG$6,'Job setup'!$D$9&gt;=AG$6,'Job setup'!$G$9="NO")),64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64</v>
      </c>
      <c r="AH19" s="62">
        <f>IF(AND(AH16=0,AH17=0,E15="Auto",B15="Pipefitter Journeyman",AND('Job setup'!$B$11="ON",'Job setup'!$C$11&lt;=AH$6,'Job setup'!$D$11&gt;=AH$6,'Job setup'!$G$11="YES")),0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AE18+AF18+AG18)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AE18+AF18+AG18))))))</f>
        <v>0</v>
      </c>
      <c r="AI19" s="62">
        <f>IF(AND(AI16=0,AI17=0,E15="Auto",B15="Pipefitter Journeyman",AND('Job setup'!$B$11="ON",'Job setup'!$C$11&lt;=AI$6,'Job setup'!$D$11&gt;=AI$6,'Job setup'!$G$11="YES")),0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E18+AF18+AG18+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E18+AF18+AG18+AH18))))))</f>
        <v>0</v>
      </c>
      <c r="AJ19" s="63">
        <f>IF(AND(AJ16=0,AJ17=0,E15="Auto",B15="Pipefitter Journeyman",AND('Job setup'!$B$11="ON",'Job setup'!$C$11&lt;=AJ$6,'Job setup'!$D$11&gt;=AJ$6,'Job setup'!$G$11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AE18+AF18+AG18+AH18+AI18)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AE18+AF18+AG18+AH18+AI18))))))</f>
        <v>0</v>
      </c>
      <c r="AK19" s="63">
        <f>IF(AND(AK16=0,AK17=0,E15="Auto",B15="Pipefitter Journeyman",AND('Job setup'!$B$11="ON",'Job setup'!$C$11&lt;=AK$6,'Job setup'!$D$11&gt;=AK$6,'Job setup'!$G$11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E18+AF18+AG18+AH18+AI18+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E18+AF18+AG18+AH18+AI18+AJ18))))))</f>
        <v>0</v>
      </c>
      <c r="AL19" s="62">
        <f>IF(AND(AL16=0,AL17=0,E15="Auto",B15="Pipefitter Journeyman",AND('Job setup'!$B$11="ON",'Job setup'!$C$11&lt;=AL$6,'Job setup'!$D$11&gt;=AL$6,'Job setup'!$G$11="YES")),0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0</v>
      </c>
      <c r="AM19" s="62">
        <f>IF(AND(AM16=0,AM17=0,E15="Auto",B15="Pipefitter Journeyman",AND('Job setup'!$B$11="ON",'Job setup'!$C$11&lt;=AM$6,'Job setup'!$D$11&gt;=AM$6,'Job setup'!$G$11="YES")),0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0</v>
      </c>
      <c r="AN19" s="62">
        <f>IF(AND(AN16=0,AN17=0,E15="Auto",B15="Pipefitter Journeyman",AND('Job setup'!$B$11="ON",'Job setup'!$C$11&lt;=AN$6,'Job setup'!$D$11&gt;=AN$6,'Job setup'!$G$11="YES")),0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0</v>
      </c>
      <c r="AO19" s="64">
        <f>IF(AND(AO16=0,AO17=0,E15="Auto",B15="Pipefitter Journeyman",AND('Job setup'!$B$11="ON",'Job setup'!$C$11&lt;=AO$6,'Job setup'!$D$11&gt;=AO$6,'Job setup'!$G$11="YES")),0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0</v>
      </c>
      <c r="OT19" s="28" t="s">
        <v>81</v>
      </c>
    </row>
    <row r="20" ht="16" customHeight="1" spans="1:410" x14ac:dyDescent="0.25">
      <c r="A20" s="73"/>
      <c r="B20" s="44"/>
      <c r="C20" s="60">
        <f>H15*N(D20)</f>
        <v>68371.20000000001</v>
      </c>
      <c r="D20" s="60">
        <f>IF(TRIM(B15)="","No rate",IFERROR(INDEX('Rate Tables'!E$7:E$161,MATCH(B15,'Rate Tables'!A$7:A$161,0)),"No rate"))</f>
        <v>178.05</v>
      </c>
      <c r="E20" s="54" t="s">
        <v>62</v>
      </c>
      <c r="F20" s="48"/>
      <c r="G20" s="48"/>
      <c r="H20" s="48"/>
      <c r="I20" s="49"/>
      <c r="J20" s="61">
        <f>IF(AND(J16=0,J17=0,E15="Auto",B15="Pipefitter Journeyman",AND('Job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2">
        <f>IF(AND(K16=0,K17=0,E15="Auto",B15="Pipefitter Journeyman",AND('Job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2">
        <f>IF(AND(L16=0,L17=0,E15="Auto",B15="Pipefitter Journeyman",AND('Job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2">
        <f>IF(AND(M16=0,M17=0,E15="Auto",B15="Pipefitter Journeyman",AND('Job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2">
        <f>IF(AND(N16=0,N17=0,E15="Auto",B15="Pipefitter Journeyman",AND('Job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3">
        <f>IF(AND(O16=0,O17=0,E15="Auto",B15="Pipefitter Journeyman",AND('Job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3">
        <f>IF(AND(P16=0,P17=0,E15="Auto",B15="Pipefitter Journeyman",AND('Job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2">
        <f>IF(AND(Q16=0,Q17=0,E15="Auto",B15="Pipefitter Journeyman",AND('Job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2">
        <f>IF(AND(R16=0,R17=0,E15="Auto",B15="Pipefitter Journeyman",AND('Job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2">
        <f>IF(AND(S16=0,S17=0,E15="Auto",B15="Pipefitter Journeyman",AND('Job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2">
        <f>IF(AND(T16=16,T17=12,E15="Auto",B15="Pipefitter Journeyman",AND('Job setup'!$B$9="ON",'Job setup'!$C$9&lt;=T$6,'Job setup'!$D$9&gt;=T$6,'Job setup'!$G$9="NO")),0,IF(OS15,IF(OR(T16&lt;=0,NOT('_JobDays'!K2)),0,IF(WEEKDAY(T$6,1)=1,T16*T17,0)),IF(OR(T16&lt;=0,NOT('_JobDays'!K2)),0,IF(WEEKDAY(T$6,1)=1,T16*T17,0))))</f>
        <v>0</v>
      </c>
      <c r="U20" s="62">
        <f>IF(AND(U16=16,U17=12,E15="Auto",B15="Pipefitter Journeyman",AND('Job setup'!$B$9="ON",'Job setup'!$C$9&lt;=U$6,'Job setup'!$D$9&gt;=U$6,'Job setup'!$G$9="NO")),0,IF(OS15,IF(OR(U16&lt;=0,NOT('_JobDays'!L2)),0,IF(WEEKDAY(U$6,1)=1,U16*U17,0)),IF(OR(U16&lt;=0,NOT('_JobDays'!L2)),0,IF(WEEKDAY(U$6,1)=1,U16*U17,0))))</f>
        <v>0</v>
      </c>
      <c r="V20" s="63">
        <f>IF(AND(V16=16,V17=12,E15="Auto",B15="Pipefitter Journeyman",AND('Job setup'!$B$9="ON",'Job setup'!$C$9&lt;=V$6,'Job setup'!$D$9&gt;=V$6,'Job setup'!$G$9="NO")),0,IF(OS15,IF(OR(V16&lt;=0,NOT('_JobDays'!M2)),0,IF(WEEKDAY(V$6,1)=1,V16*V17,0)),IF(OR(V16&lt;=0,NOT('_JobDays'!M2)),0,IF(WEEKDAY(V$6,1)=1,V16*V17,0))))</f>
        <v>0</v>
      </c>
      <c r="W20" s="63">
        <f>IF(AND(W16=16,W17=12,E15="Auto",B15="Pipefitter Journeyman",AND('Job setup'!$B$9="ON",'Job setup'!$C$9&lt;=W$6,'Job setup'!$D$9&gt;=W$6,'Job setup'!$G$9="NO")),192,IF(OS15,IF(OR(W16&lt;=0,NOT('_JobDays'!N2)),0,IF(WEEKDAY(W$6,1)=1,W16*W17,0)),IF(OR(W16&lt;=0,NOT('_JobDays'!N2)),0,IF(WEEKDAY(W$6,1)=1,W16*W17,0))))</f>
        <v>192</v>
      </c>
      <c r="X20" s="62">
        <f>IF(AND(X16=16,X17=12,E15="Auto",B15="Pipefitter Journeyman",AND('Job setup'!$B$9="ON",'Job setup'!$C$9&lt;=X$6,'Job setup'!$D$9&gt;=X$6,'Job setup'!$G$9="NO")),0,IF(OS15,IF(OR(X16&lt;=0,NOT('_JobDays'!O2)),0,IF(WEEKDAY(X$6,1)=1,X16*X17,0)),IF(OR(X16&lt;=0,NOT('_JobDays'!O2)),0,IF(WEEKDAY(X$6,1)=1,X16*X17,0))))</f>
        <v>0</v>
      </c>
      <c r="Y20" s="62">
        <f>IF(AND(Y16=16,Y17=12,E15="Auto",B15="Pipefitter Journeyman",AND('Job setup'!$B$9="ON",'Job setup'!$C$9&lt;=Y$6,'Job setup'!$D$9&gt;=Y$6,'Job setup'!$G$9="NO")),0,IF(OS15,IF(OR(Y16&lt;=0,NOT('_JobDays'!P2)),0,IF(WEEKDAY(Y$6,1)=1,Y16*Y17,0)),IF(OR(Y16&lt;=0,NOT('_JobDays'!P2)),0,IF(WEEKDAY(Y$6,1)=1,Y16*Y17,0))))</f>
        <v>0</v>
      </c>
      <c r="Z20" s="62">
        <f>IF(AND(Z16=16,Z17=12,E15="Auto",B15="Pipefitter Journeyman",AND('Job setup'!$B$9="ON",'Job setup'!$C$9&lt;=Z$6,'Job setup'!$D$9&gt;=Z$6,'Job setup'!$G$9="NO")),0,IF(OS15,IF(OR(Z16&lt;=0,NOT('_JobDays'!Q2)),0,IF(WEEKDAY(Z$6,1)=1,Z16*Z17,0)),IF(OR(Z16&lt;=0,NOT('_JobDays'!Q2)),0,IF(WEEKDAY(Z$6,1)=1,Z16*Z17,0))))</f>
        <v>0</v>
      </c>
      <c r="AA20" s="62">
        <f>IF(AND(AA16=16,AA17=12,E15="Auto",B15="Pipefitter Journeyman",AND('Job setup'!$B$9="ON",'Job setup'!$C$9&lt;=AA$6,'Job setup'!$D$9&gt;=AA$6,'Job setup'!$G$9="NO")),0,IF(OS15,IF(OR(AA16&lt;=0,NOT('_JobDays'!R2)),0,IF(WEEKDAY(AA$6,1)=1,AA16*AA17,0)),IF(OR(AA16&lt;=0,NOT('_JobDays'!R2)),0,IF(WEEKDAY(AA$6,1)=1,AA16*AA17,0))))</f>
        <v>0</v>
      </c>
      <c r="AB20" s="62">
        <f>IF(AND(AB16=16,AB17=12,E15="Auto",B15="Pipefitter Journeyman",AND('Job setup'!$B$9="ON",'Job setup'!$C$9&lt;=AB$6,'Job setup'!$D$9&gt;=AB$6,'Job setup'!$G$9="NO")),0,IF(OS15,IF(OR(AB16&lt;=0,NOT('_JobDays'!S2)),0,IF(WEEKDAY(AB$6,1)=1,AB16*AB17,0)),IF(OR(AB16&lt;=0,NOT('_JobDays'!S2)),0,IF(WEEKDAY(AB$6,1)=1,AB16*AB17,0))))</f>
        <v>0</v>
      </c>
      <c r="AC20" s="63">
        <f>IF(AND(AC16=16,AC17=12,E15="Auto",B15="Pipefitter Journeyman",AND('Job setup'!$B$9="ON",'Job setup'!$C$9&lt;=AC$6,'Job setup'!$D$9&gt;=AC$6,'Job setup'!$G$9="NO")),0,IF(OS15,IF(OR(AC16&lt;=0,NOT('_JobDays'!T2)),0,IF(WEEKDAY(AC$6,1)=1,AC16*AC17,0)),IF(OR(AC16&lt;=0,NOT('_JobDays'!T2)),0,IF(WEEKDAY(AC$6,1)=1,AC16*AC17,0))))</f>
        <v>0</v>
      </c>
      <c r="AD20" s="63">
        <f>IF(AND(AD16=16,AD17=12,E15="Auto",B15="Pipefitter Journeyman",AND('Job setup'!$B$9="ON",'Job setup'!$C$9&lt;=AD$6,'Job setup'!$D$9&gt;=AD$6,'Job setup'!$G$9="NO")),192,IF(OS15,IF(OR(AD16&lt;=0,NOT('_JobDays'!U2)),0,IF(WEEKDAY(AD$6,1)=1,AD16*AD17,0)),IF(OR(AD16&lt;=0,NOT('_JobDays'!U2)),0,IF(WEEKDAY(AD$6,1)=1,AD16*AD17,0))))</f>
        <v>192</v>
      </c>
      <c r="AE20" s="62">
        <f>IF(AND(AE16=16,AE17=12,E15="Auto",B15="Pipefitter Journeyman",AND('Job setup'!$B$9="ON",'Job setup'!$C$9&lt;=AE$6,'Job setup'!$D$9&gt;=AE$6,'Job setup'!$G$9="NO")),0,IF(OS15,IF(OR(AE16&lt;=0,NOT('_JobDays'!V2)),0,IF(WEEKDAY(AE$6,1)=1,AE16*AE17,0)),IF(OR(AE16&lt;=0,NOT('_JobDays'!V2)),0,IF(WEEKDAY(AE$6,1)=1,AE16*AE17,0))))</f>
        <v>0</v>
      </c>
      <c r="AF20" s="62">
        <f>IF(AND(AF16=16,AF17=12,E15="Auto",B15="Pipefitter Journeyman",AND('Job setup'!$B$9="ON",'Job setup'!$C$9&lt;=AF$6,'Job setup'!$D$9&gt;=AF$6,'Job setup'!$G$9="NO")),0,IF(OS15,IF(OR(AF16&lt;=0,NOT('_JobDays'!W2)),0,IF(WEEKDAY(AF$6,1)=1,AF16*AF17,0)),IF(OR(AF16&lt;=0,NOT('_JobDays'!W2)),0,IF(WEEKDAY(AF$6,1)=1,AF16*AF17,0))))</f>
        <v>0</v>
      </c>
      <c r="AG20" s="62">
        <f>IF(AND(AG16=16,AG17=12,E15="Auto",B15="Pipefitter Journeyman",AND('Job setup'!$B$9="ON",'Job setup'!$C$9&lt;=AG$6,'Job setup'!$D$9&gt;=AG$6,'Job setup'!$G$9="NO")),0,IF(OS15,IF(OR(AG16&lt;=0,NOT('_JobDays'!X2)),0,IF(WEEKDAY(AG$6,1)=1,AG16*AG17,0)),IF(OR(AG16&lt;=0,NOT('_JobDays'!X2)),0,IF(WEEKDAY(AG$6,1)=1,AG16*AG17,0))))</f>
        <v>0</v>
      </c>
      <c r="AH20" s="62">
        <f>IF(AND(AH16=0,AH17=0,E15="Auto",B15="Pipefitter Journeyman",AND('Job setup'!$B$11="ON",'Job setup'!$C$11&lt;=AH$6,'Job setup'!$D$11&gt;=AH$6,'Job setup'!$G$11="YES")),0,IF(OS15,IF(OR(AH16&lt;=0,NOT('_JobDays'!Y2)),0,IF(WEEKDAY(AH$6,1)=1,AH16*AH17,0)),IF(OR(AH16&lt;=0,NOT('_JobDays'!Y2)),0,IF(WEEKDAY(AH$6,1)=1,AH16*AH17,0))))</f>
        <v>0</v>
      </c>
      <c r="AI20" s="62">
        <f>IF(AND(AI16=0,AI17=0,E15="Auto",B15="Pipefitter Journeyman",AND('Job setup'!$B$11="ON",'Job setup'!$C$11&lt;=AI$6,'Job setup'!$D$11&gt;=AI$6,'Job setup'!$G$11="YES")),0,IF(OS15,IF(OR(AI16&lt;=0,NOT('_JobDays'!Z2)),0,IF(WEEKDAY(AI$6,1)=1,AI16*AI17,0)),IF(OR(AI16&lt;=0,NOT('_JobDays'!Z2)),0,IF(WEEKDAY(AI$6,1)=1,AI16*AI17,0))))</f>
        <v>0</v>
      </c>
      <c r="AJ20" s="63">
        <f>IF(AND(AJ16=0,AJ17=0,E15="Auto",B15="Pipefitter Journeyman",AND('Job setup'!$B$11="ON",'Job setup'!$C$11&lt;=AJ$6,'Job setup'!$D$11&gt;=AJ$6,'Job setup'!$G$11="YES")),0,IF(OS15,IF(OR(AJ16&lt;=0,NOT('_JobDays'!AA2)),0,IF(WEEKDAY(AJ$6,1)=1,AJ16*AJ17,0)),IF(OR(AJ16&lt;=0,NOT('_JobDays'!AA2)),0,IF(WEEKDAY(AJ$6,1)=1,AJ16*AJ17,0))))</f>
        <v>0</v>
      </c>
      <c r="AK20" s="63">
        <f>IF(AND(AK16=0,AK17=0,E15="Auto",B15="Pipefitter Journeyman",AND('Job setup'!$B$11="ON",'Job setup'!$C$11&lt;=AK$6,'Job setup'!$D$11&gt;=AK$6,'Job setup'!$G$11="YES")),0,IF(OS15,IF(OR(AK16&lt;=0,NOT('_JobDays'!AB2)),0,IF(WEEKDAY(AK$6,1)=1,AK16*AK17,0)),IF(OR(AK16&lt;=0,NOT('_JobDays'!AB2)),0,IF(WEEKDAY(AK$6,1)=1,AK16*AK17,0))))</f>
        <v>0</v>
      </c>
      <c r="AL20" s="62">
        <f>IF(AND(AL16=0,AL17=0,E15="Auto",B15="Pipefitter Journeyman",AND('Job setup'!$B$11="ON",'Job setup'!$C$11&lt;=AL$6,'Job setup'!$D$11&gt;=AL$6,'Job setup'!$G$11="YES")),0,IF(OS15,IF(OR(AL16&lt;=0,NOT('_JobDays'!AC2)),0,IF(WEEKDAY(AL$6,1)=1,AL16*AL17,0)),IF(OR(AL16&lt;=0,NOT('_JobDays'!AC2)),0,IF(WEEKDAY(AL$6,1)=1,AL16*AL17,0))))</f>
        <v>0</v>
      </c>
      <c r="AM20" s="62">
        <f>IF(AND(AM16=0,AM17=0,E15="Auto",B15="Pipefitter Journeyman",AND('Job setup'!$B$11="ON",'Job setup'!$C$11&lt;=AM$6,'Job setup'!$D$11&gt;=AM$6,'Job setup'!$G$11="YES")),0,IF(OS15,IF(OR(AM16&lt;=0,NOT('_JobDays'!AD2)),0,IF(WEEKDAY(AM$6,1)=1,AM16*AM17,0)),IF(OR(AM16&lt;=0,NOT('_JobDays'!AD2)),0,IF(WEEKDAY(AM$6,1)=1,AM16*AM17,0))))</f>
        <v>0</v>
      </c>
      <c r="AN20" s="62">
        <f>IF(AND(AN16=0,AN17=0,E15="Auto",B15="Pipefitter Journeyman",AND('Job setup'!$B$11="ON",'Job setup'!$C$11&lt;=AN$6,'Job setup'!$D$11&gt;=AN$6,'Job setup'!$G$11="YES")),0,IF(OS15,IF(OR(AN16&lt;=0,NOT('_JobDays'!AE2)),0,IF(WEEKDAY(AN$6,1)=1,AN16*AN17,0)),IF(OR(AN16&lt;=0,NOT('_JobDays'!AE2)),0,IF(WEEKDAY(AN$6,1)=1,AN16*AN17,0))))</f>
        <v>0</v>
      </c>
      <c r="AO20" s="64">
        <f>IF(AND(AO16=0,AO17=0,E15="Auto",B15="Pipefitter Journeyman",AND('Job setup'!$B$11="ON",'Job setup'!$C$11&lt;=AO$6,'Job setup'!$D$11&gt;=AO$6,'Job setup'!$G$11="YES")),0,IF(OS15,IF(OR(AO16&lt;=0,NOT('_JobDays'!AF2)),0,IF(WEEKDAY(AO$6,1)=1,AO16*AO17,0)),IF(OR(AO16&lt;=0,NOT('_JobDays'!AF2)),0,IF(WEEKDAY(AO$6,1)=1,AO16*AO17,0))))</f>
        <v>0</v>
      </c>
      <c r="OT20" s="28" t="s">
        <v>81</v>
      </c>
    </row>
    <row r="21" ht="16" customHeight="1" spans="1:410" x14ac:dyDescent="0.25">
      <c r="A21" s="73"/>
      <c r="B21" s="44"/>
      <c r="C21" s="66">
        <f>I15*D21</f>
        <v>1820</v>
      </c>
      <c r="D21" s="66">
        <v>130</v>
      </c>
      <c r="E21" s="67" t="s">
        <v>63</v>
      </c>
      <c r="F21" s="48"/>
      <c r="G21" s="48"/>
      <c r="H21" s="48"/>
      <c r="I21" s="49"/>
      <c r="J21" s="68">
        <v>0</v>
      </c>
      <c r="K21" s="69">
        <v>0</v>
      </c>
      <c r="L21" s="69">
        <v>0</v>
      </c>
      <c r="M21" s="69">
        <v>0</v>
      </c>
      <c r="N21" s="69">
        <v>0</v>
      </c>
      <c r="O21" s="70">
        <v>0</v>
      </c>
      <c r="P21" s="70">
        <v>0</v>
      </c>
      <c r="Q21" s="69">
        <v>0</v>
      </c>
      <c r="R21" s="69">
        <v>0</v>
      </c>
      <c r="S21" s="69">
        <v>0</v>
      </c>
      <c r="T21" s="69">
        <v>1</v>
      </c>
      <c r="U21" s="69">
        <v>1</v>
      </c>
      <c r="V21" s="70">
        <v>1</v>
      </c>
      <c r="W21" s="70">
        <v>1</v>
      </c>
      <c r="X21" s="69">
        <v>1</v>
      </c>
      <c r="Y21" s="69">
        <v>1</v>
      </c>
      <c r="Z21" s="69">
        <v>1</v>
      </c>
      <c r="AA21" s="69">
        <v>1</v>
      </c>
      <c r="AB21" s="69">
        <v>1</v>
      </c>
      <c r="AC21" s="70">
        <v>1</v>
      </c>
      <c r="AD21" s="70">
        <v>1</v>
      </c>
      <c r="AE21" s="69">
        <v>1</v>
      </c>
      <c r="AF21" s="69">
        <v>1</v>
      </c>
      <c r="AG21" s="69">
        <v>1</v>
      </c>
      <c r="AH21" s="69">
        <v>0</v>
      </c>
      <c r="AI21" s="69">
        <v>0</v>
      </c>
      <c r="AJ21" s="70">
        <v>0</v>
      </c>
      <c r="AK21" s="70">
        <v>0</v>
      </c>
      <c r="AL21" s="69">
        <v>0</v>
      </c>
      <c r="AM21" s="69">
        <v>0</v>
      </c>
      <c r="AN21" s="69">
        <v>0</v>
      </c>
      <c r="AO21" s="71">
        <v>0</v>
      </c>
      <c r="OT21" s="59" t="s">
        <v>81</v>
      </c>
    </row>
    <row r="22" ht="16" customHeight="1" spans="1:410" x14ac:dyDescent="0.25">
      <c r="A22" s="16" t="s">
        <v>75</v>
      </c>
      <c r="B22" s="17"/>
      <c r="C22" s="74">
        <f>SUM(C7,C15)</f>
        <v>806255.52</v>
      </c>
      <c r="D22" s="17"/>
      <c r="E22" s="17"/>
      <c r="F22" s="18">
        <f>SUM(F7,F15)</f>
        <v>3616</v>
      </c>
      <c r="G22" s="18">
        <f>SUM(G7,G15)</f>
        <v>2176</v>
      </c>
      <c r="H22" s="18">
        <f>SUM(H7,H15)</f>
        <v>816</v>
      </c>
      <c r="I22" s="18">
        <f>SUM(I7,I15)</f>
        <v>224</v>
      </c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OS22" s="16">
        <f>SUM(C13,C21)</f>
        <v>29120</v>
      </c>
      <c r="OT22" s="16">
        <f>F22+G22+H22</f>
        <v>6608</v>
      </c>
    </row>
  </sheetData>
  <sheetProtection sheet="1" formatColumns="1"/>
  <mergeCells count="23">
    <mergeCell ref="A1:I1"/>
    <mergeCell ref="A2:I2"/>
    <mergeCell ref="A3:I3"/>
    <mergeCell ref="A4:I5"/>
    <mergeCell ref="J4:S4"/>
    <mergeCell ref="T4:AG4"/>
    <mergeCell ref="AH4:AO4"/>
    <mergeCell ref="A7:A13"/>
    <mergeCell ref="B7:B13"/>
    <mergeCell ref="C7:C9"/>
    <mergeCell ref="D7:D9"/>
    <mergeCell ref="F7:F13"/>
    <mergeCell ref="G7:G13"/>
    <mergeCell ref="H7:H13"/>
    <mergeCell ref="I7:I13"/>
    <mergeCell ref="A15:A21"/>
    <mergeCell ref="B15:B21"/>
    <mergeCell ref="C15:C17"/>
    <mergeCell ref="D15:D17"/>
    <mergeCell ref="F15:F21"/>
    <mergeCell ref="G15:G21"/>
    <mergeCell ref="H15:H21"/>
    <mergeCell ref="I15:I21"/>
  </mergeCells>
  <conditionalFormatting sqref="J6:AO6">
    <cfRule type="expression" dxfId="14" priority="1">
      <formula>OR(WEEKDAY(J$6,1)=7,WEEKDAY(J$6,1)=1)</formula>
    </cfRule>
  </conditionalFormatting>
  <conditionalFormatting sqref="J7:AO13">
    <cfRule type="expression" dxfId="14" priority="1">
      <formula>OR(WEEKDAY(J$6,1)=7,WEEKDAY(J$6,1)=1)</formula>
    </cfRule>
  </conditionalFormatting>
  <conditionalFormatting sqref="J15:AO21">
    <cfRule type="expression" dxfId="14" priority="1">
      <formula>OR(WEEKDAY(J$6,1)=7,WEEKDAY(J$6,1)=1)</formula>
    </cfRule>
  </conditionalFormatting>
  <dataValidations count="4">
    <dataValidation type="list" allowBlank="1" sqref="B15">
      <formula1>='_Lists'!$C$1:$C$51</formula1>
    </dataValidation>
    <dataValidation type="list" allowBlank="1" sqref="B7">
      <formula1>='_Lists'!$C$1:$C$51</formula1>
    </dataValidation>
    <dataValidation type="list" allowBlank="1" sqref="E15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T22"/>
  <sheetViews>
    <sheetView showOutlineSymbols="1" workbookViewId="0" showGridLines="0">
      <pane xSplit="9" ySplit="6" topLeftCell="J7" activePane="bottomRight" state="frozen"/>
      <selection pane="bottomRight" activeCell="J7" sqref="J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7" customWidth="1"/>
    <col min="11" max="11" width="7" customWidth="1"/>
    <col min="12" max="12" width="7" customWidth="1"/>
    <col min="13" max="13" width="7" customWidth="1"/>
    <col min="14" max="14" width="7" customWidth="1"/>
    <col min="15" max="15" width="7" customWidth="1"/>
    <col min="16" max="16" width="7" customWidth="1"/>
    <col min="17" max="17" width="7" customWidth="1"/>
    <col min="18" max="18" width="7" customWidth="1"/>
    <col min="19" max="19" width="7" customWidth="1"/>
    <col min="20" max="20" width="7" customWidth="1"/>
    <col min="21" max="21" width="7" customWidth="1"/>
    <col min="22" max="22" width="7" customWidth="1"/>
    <col min="23" max="23" width="7" customWidth="1"/>
    <col min="24" max="24" width="7" customWidth="1"/>
    <col min="25" max="25" width="7" customWidth="1"/>
    <col min="26" max="26" width="7" customWidth="1"/>
    <col min="27" max="27" width="7" customWidth="1"/>
    <col min="28" max="28" width="7" customWidth="1"/>
    <col min="29" max="29" width="7" customWidth="1"/>
    <col min="30" max="30" width="7" customWidth="1"/>
    <col min="31" max="31" width="7" customWidth="1"/>
    <col min="32" max="32" width="7" customWidth="1"/>
    <col min="33" max="33" width="7" customWidth="1"/>
    <col min="34" max="34" width="7" customWidth="1"/>
    <col min="35" max="35" width="7" customWidth="1"/>
    <col min="36" max="36" width="7" customWidth="1"/>
    <col min="37" max="37" width="7" customWidth="1"/>
    <col min="38" max="38" width="7" customWidth="1"/>
    <col min="39" max="39" width="7" customWidth="1"/>
    <col min="40" max="40" width="7" customWidth="1"/>
    <col min="41" max="41" width="7" customWidth="1"/>
    <col min="42" max="16384" width="9" hidden="1" customWidth="1"/>
  </cols>
  <sheetData>
    <row r="1" ht="22" customHeight="1" spans="1:4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</row>
    <row r="2" ht="16" customHeight="1" spans="1:4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ht="16" customHeight="1" spans="1:4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</row>
    <row r="4" ht="14" customHeight="1" spans="1:41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8" t="s">
        <v>25</v>
      </c>
      <c r="K4" s="38"/>
      <c r="L4" s="38"/>
      <c r="M4" s="38"/>
      <c r="N4" s="38"/>
      <c r="O4" s="38"/>
      <c r="P4" s="38"/>
      <c r="Q4" s="38"/>
      <c r="R4" s="38"/>
      <c r="S4" s="38"/>
      <c r="T4" s="39" t="s">
        <v>32</v>
      </c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8" t="s">
        <v>36</v>
      </c>
      <c r="AI4" s="38"/>
      <c r="AJ4" s="38"/>
      <c r="AK4" s="38"/>
      <c r="AL4" s="38"/>
      <c r="AM4" s="38"/>
      <c r="AN4" s="38"/>
      <c r="AO4" s="38"/>
    </row>
    <row r="5" ht="14" customHeight="1" spans="1:41" x14ac:dyDescent="0.25">
      <c r="A5" s="37"/>
      <c r="B5" s="37"/>
      <c r="C5" s="37"/>
      <c r="D5" s="37"/>
      <c r="E5" s="37"/>
      <c r="F5" s="37"/>
      <c r="G5" s="37"/>
      <c r="H5" s="37"/>
      <c r="I5" s="37"/>
      <c r="J5" s="40" t="s">
        <v>38</v>
      </c>
      <c r="K5" s="40" t="s">
        <v>39</v>
      </c>
      <c r="L5" s="40" t="s">
        <v>40</v>
      </c>
      <c r="M5" s="40" t="s">
        <v>41</v>
      </c>
      <c r="N5" s="40" t="s">
        <v>42</v>
      </c>
      <c r="O5" s="40" t="s">
        <v>43</v>
      </c>
      <c r="P5" s="40" t="s">
        <v>44</v>
      </c>
      <c r="Q5" s="40" t="s">
        <v>38</v>
      </c>
      <c r="R5" s="40" t="s">
        <v>39</v>
      </c>
      <c r="S5" s="40" t="s">
        <v>40</v>
      </c>
      <c r="T5" s="40" t="s">
        <v>41</v>
      </c>
      <c r="U5" s="40" t="s">
        <v>42</v>
      </c>
      <c r="V5" s="40" t="s">
        <v>43</v>
      </c>
      <c r="W5" s="40" t="s">
        <v>44</v>
      </c>
      <c r="X5" s="40" t="s">
        <v>38</v>
      </c>
      <c r="Y5" s="40" t="s">
        <v>39</v>
      </c>
      <c r="Z5" s="40" t="s">
        <v>40</v>
      </c>
      <c r="AA5" s="40" t="s">
        <v>41</v>
      </c>
      <c r="AB5" s="40" t="s">
        <v>42</v>
      </c>
      <c r="AC5" s="40" t="s">
        <v>43</v>
      </c>
      <c r="AD5" s="40" t="s">
        <v>44</v>
      </c>
      <c r="AE5" s="40" t="s">
        <v>38</v>
      </c>
      <c r="AF5" s="40" t="s">
        <v>39</v>
      </c>
      <c r="AG5" s="40" t="s">
        <v>40</v>
      </c>
      <c r="AH5" s="40" t="s">
        <v>41</v>
      </c>
      <c r="AI5" s="40" t="s">
        <v>42</v>
      </c>
      <c r="AJ5" s="40" t="s">
        <v>43</v>
      </c>
      <c r="AK5" s="40" t="s">
        <v>44</v>
      </c>
      <c r="AL5" s="40" t="s">
        <v>38</v>
      </c>
      <c r="AM5" s="40" t="s">
        <v>39</v>
      </c>
      <c r="AN5" s="40" t="s">
        <v>40</v>
      </c>
      <c r="AO5" s="40" t="s">
        <v>41</v>
      </c>
    </row>
    <row r="6" ht="22" customHeight="1" spans="1:41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41">
        <v>46286</v>
      </c>
      <c r="K6" s="41">
        <f>J6+1</f>
        <v>46287</v>
      </c>
      <c r="L6" s="41">
        <f>K6+1</f>
        <v>46288</v>
      </c>
      <c r="M6" s="41">
        <f>L6+1</f>
        <v>46289</v>
      </c>
      <c r="N6" s="41">
        <f>M6+1</f>
        <v>46290</v>
      </c>
      <c r="O6" s="42">
        <f>N6+1</f>
        <v>46291</v>
      </c>
      <c r="P6" s="42">
        <f>O6+1</f>
        <v>46292</v>
      </c>
      <c r="Q6" s="41">
        <f>P6+1</f>
        <v>46293</v>
      </c>
      <c r="R6" s="41">
        <f>Q6+1</f>
        <v>46294</v>
      </c>
      <c r="S6" s="41">
        <f>R6+1</f>
        <v>46295</v>
      </c>
      <c r="T6" s="41">
        <f>S6+1</f>
        <v>46296</v>
      </c>
      <c r="U6" s="41">
        <f>T6+1</f>
        <v>46297</v>
      </c>
      <c r="V6" s="42">
        <f>U6+1</f>
        <v>46298</v>
      </c>
      <c r="W6" s="42">
        <f>V6+1</f>
        <v>46299</v>
      </c>
      <c r="X6" s="41">
        <f>W6+1</f>
        <v>46300</v>
      </c>
      <c r="Y6" s="41">
        <f>X6+1</f>
        <v>46301</v>
      </c>
      <c r="Z6" s="41">
        <f>Y6+1</f>
        <v>46302</v>
      </c>
      <c r="AA6" s="41">
        <f>Z6+1</f>
        <v>46303</v>
      </c>
      <c r="AB6" s="41">
        <f>AA6+1</f>
        <v>46304</v>
      </c>
      <c r="AC6" s="42">
        <f>AB6+1</f>
        <v>46305</v>
      </c>
      <c r="AD6" s="42">
        <f>AC6+1</f>
        <v>46306</v>
      </c>
      <c r="AE6" s="41">
        <f>AD6+1</f>
        <v>46307</v>
      </c>
      <c r="AF6" s="41">
        <f>AE6+1</f>
        <v>46308</v>
      </c>
      <c r="AG6" s="41">
        <f>AF6+1</f>
        <v>46309</v>
      </c>
      <c r="AH6" s="41">
        <f>AG6+1</f>
        <v>46310</v>
      </c>
      <c r="AI6" s="41">
        <f>AH6+1</f>
        <v>46311</v>
      </c>
      <c r="AJ6" s="42">
        <f>AI6+1</f>
        <v>46312</v>
      </c>
      <c r="AK6" s="42">
        <f>AJ6+1</f>
        <v>46313</v>
      </c>
      <c r="AL6" s="41">
        <f>AK6+1</f>
        <v>46314</v>
      </c>
      <c r="AM6" s="41">
        <f>AL6+1</f>
        <v>46315</v>
      </c>
      <c r="AN6" s="41">
        <f>AM6+1</f>
        <v>46316</v>
      </c>
      <c r="AO6" s="41">
        <f>AN6+1</f>
        <v>46317</v>
      </c>
    </row>
    <row r="7" ht="16" customHeight="1" spans="1:410" x14ac:dyDescent="0.25">
      <c r="A7" s="43" t="s">
        <v>54</v>
      </c>
      <c r="B7" s="47" t="s">
        <v>82</v>
      </c>
      <c r="C7" s="45">
        <f>C10+C11+C12</f>
        <v>35319.439999999995</v>
      </c>
      <c r="D7" s="46"/>
      <c r="E7" s="47" t="s">
        <v>56</v>
      </c>
      <c r="F7" s="48">
        <f>SUM(J10:AO10)</f>
        <v>192</v>
      </c>
      <c r="G7" s="48">
        <f>SUM(J11:AO11)</f>
        <v>64</v>
      </c>
      <c r="H7" s="48">
        <f>SUM(J12:AO12)</f>
        <v>24</v>
      </c>
      <c r="I7" s="49">
        <f>SUM(J13:AO13)</f>
        <v>28</v>
      </c>
      <c r="J7" s="50"/>
      <c r="K7" s="51"/>
      <c r="L7" s="51"/>
      <c r="M7" s="51"/>
      <c r="N7" s="51"/>
      <c r="O7" s="52"/>
      <c r="P7" s="52"/>
      <c r="Q7" s="51"/>
      <c r="R7" s="51"/>
      <c r="S7" s="51"/>
      <c r="T7" s="51"/>
      <c r="U7" s="51"/>
      <c r="V7" s="52"/>
      <c r="W7" s="52"/>
      <c r="X7" s="51"/>
      <c r="Y7" s="51"/>
      <c r="Z7" s="51"/>
      <c r="AA7" s="51"/>
      <c r="AB7" s="51"/>
      <c r="AC7" s="52"/>
      <c r="AD7" s="52"/>
      <c r="AE7" s="51"/>
      <c r="AF7" s="51"/>
      <c r="AG7" s="51"/>
      <c r="AH7" s="51"/>
      <c r="AI7" s="51"/>
      <c r="AJ7" s="52"/>
      <c r="AK7" s="52"/>
      <c r="AL7" s="51"/>
      <c r="AM7" s="51"/>
      <c r="AN7" s="51"/>
      <c r="AO7" s="53"/>
      <c r="OS7" s="28">
        <f>OR(E7="Staff clock",AND(OR(E7="Auto",E7=""),ISNUMBER(MATCH(IF(TRIM(B11)&lt;&gt;"",B11,B7),'_Lists'!$K$1:$K$137,0))))</f>
        <v>0</v>
      </c>
      <c r="OT7" s="28" t="s">
        <v>83</v>
      </c>
    </row>
    <row r="8" ht="16" customHeight="1" spans="1:410" x14ac:dyDescent="0.25">
      <c r="A8" s="43"/>
      <c r="B8" s="47"/>
      <c r="C8" s="45"/>
      <c r="D8" s="46"/>
      <c r="E8" s="54" t="s">
        <v>58</v>
      </c>
      <c r="F8" s="48"/>
      <c r="G8" s="48"/>
      <c r="H8" s="48"/>
      <c r="I8" s="49"/>
      <c r="J8" s="55">
        <v>1</v>
      </c>
      <c r="K8" s="56">
        <v>1</v>
      </c>
      <c r="L8" s="56">
        <v>1</v>
      </c>
      <c r="M8" s="56">
        <v>1</v>
      </c>
      <c r="N8" s="56">
        <v>1</v>
      </c>
      <c r="O8" s="57">
        <v>0</v>
      </c>
      <c r="P8" s="57">
        <v>0</v>
      </c>
      <c r="Q8" s="56">
        <v>1</v>
      </c>
      <c r="R8" s="56">
        <v>1</v>
      </c>
      <c r="S8" s="56">
        <v>1</v>
      </c>
      <c r="T8" s="56">
        <v>1</v>
      </c>
      <c r="U8" s="56">
        <v>1</v>
      </c>
      <c r="V8" s="57">
        <v>1</v>
      </c>
      <c r="W8" s="57">
        <v>1</v>
      </c>
      <c r="X8" s="56">
        <v>1</v>
      </c>
      <c r="Y8" s="56">
        <v>1</v>
      </c>
      <c r="Z8" s="56">
        <v>1</v>
      </c>
      <c r="AA8" s="56">
        <v>1</v>
      </c>
      <c r="AB8" s="56">
        <v>1</v>
      </c>
      <c r="AC8" s="57">
        <v>1</v>
      </c>
      <c r="AD8" s="57">
        <v>1</v>
      </c>
      <c r="AE8" s="56">
        <v>1</v>
      </c>
      <c r="AF8" s="56">
        <v>1</v>
      </c>
      <c r="AG8" s="56">
        <v>1</v>
      </c>
      <c r="AH8" s="56">
        <v>1</v>
      </c>
      <c r="AI8" s="56">
        <v>1</v>
      </c>
      <c r="AJ8" s="57">
        <v>0</v>
      </c>
      <c r="AK8" s="57">
        <v>0</v>
      </c>
      <c r="AL8" s="56">
        <v>1</v>
      </c>
      <c r="AM8" s="56">
        <v>1</v>
      </c>
      <c r="AN8" s="56">
        <v>1</v>
      </c>
      <c r="AO8" s="58">
        <v>1</v>
      </c>
      <c r="OT8" s="59" t="s">
        <v>83</v>
      </c>
    </row>
    <row r="9" ht="16" customHeight="1" spans="1:410" x14ac:dyDescent="0.25">
      <c r="A9" s="43"/>
      <c r="B9" s="47"/>
      <c r="C9" s="45"/>
      <c r="D9" s="46"/>
      <c r="E9" s="54" t="s">
        <v>59</v>
      </c>
      <c r="F9" s="48"/>
      <c r="G9" s="48"/>
      <c r="H9" s="48"/>
      <c r="I9" s="49"/>
      <c r="J9" s="55">
        <v>8</v>
      </c>
      <c r="K9" s="56">
        <v>8</v>
      </c>
      <c r="L9" s="56">
        <v>8</v>
      </c>
      <c r="M9" s="56">
        <v>8</v>
      </c>
      <c r="N9" s="56">
        <v>8</v>
      </c>
      <c r="O9" s="57">
        <v>0</v>
      </c>
      <c r="P9" s="57">
        <v>0</v>
      </c>
      <c r="Q9" s="56">
        <v>8</v>
      </c>
      <c r="R9" s="56">
        <v>8</v>
      </c>
      <c r="S9" s="56">
        <v>8</v>
      </c>
      <c r="T9" s="56">
        <v>12</v>
      </c>
      <c r="U9" s="56">
        <v>12</v>
      </c>
      <c r="V9" s="57">
        <v>12</v>
      </c>
      <c r="W9" s="57">
        <v>12</v>
      </c>
      <c r="X9" s="56">
        <v>12</v>
      </c>
      <c r="Y9" s="56">
        <v>12</v>
      </c>
      <c r="Z9" s="56">
        <v>12</v>
      </c>
      <c r="AA9" s="56">
        <v>12</v>
      </c>
      <c r="AB9" s="56">
        <v>12</v>
      </c>
      <c r="AC9" s="57">
        <v>12</v>
      </c>
      <c r="AD9" s="57">
        <v>12</v>
      </c>
      <c r="AE9" s="56">
        <v>12</v>
      </c>
      <c r="AF9" s="56">
        <v>12</v>
      </c>
      <c r="AG9" s="56">
        <v>12</v>
      </c>
      <c r="AH9" s="56">
        <v>8</v>
      </c>
      <c r="AI9" s="56">
        <v>8</v>
      </c>
      <c r="AJ9" s="57">
        <v>0</v>
      </c>
      <c r="AK9" s="57">
        <v>0</v>
      </c>
      <c r="AL9" s="56">
        <v>8</v>
      </c>
      <c r="AM9" s="56">
        <v>8</v>
      </c>
      <c r="AN9" s="56">
        <v>8</v>
      </c>
      <c r="AO9" s="58">
        <v>8</v>
      </c>
      <c r="OT9" s="59" t="s">
        <v>83</v>
      </c>
    </row>
    <row r="10" ht="16" customHeight="1" spans="1:410" x14ac:dyDescent="0.25">
      <c r="A10" s="43"/>
      <c r="B10" s="76" t="s">
        <v>84</v>
      </c>
      <c r="C10" s="60">
        <f>F7*N(D10)</f>
        <v>20808.96</v>
      </c>
      <c r="D10" s="60">
        <f>IF(TRIM(IF(TRIM(B11)&lt;&gt;"",B11,B7))="","No rate",IFERROR(INDEX('Rate Tables'!C$7:C$161,MATCH(IF(TRIM(B11)&lt;&gt;"",B11,B7),'Rate Tables'!A$7:A$161,0)),"No rate"))</f>
        <v>108.38</v>
      </c>
      <c r="E10" s="54" t="s">
        <v>60</v>
      </c>
      <c r="F10" s="48"/>
      <c r="G10" s="48"/>
      <c r="H10" s="48"/>
      <c r="I10" s="49"/>
      <c r="J10" s="61">
        <f>IF(AND(J8=1,J9=8,E7="Auto",IF(TRIM(B11)&lt;&gt;"",B11,B7)="Boilermaker Journeyman",AND('Job setup'!$B$7="ON",'Job setup'!$C$7&lt;=J$6,'Job setup'!$D$7&gt;=J$6,'Job setup'!$G$7="YES")),8,IF(OS7,MIN(IF(OR(J8&lt;=0,NOT('_JobDays'!A2)),0,IF(WEEKDAY(J$6,1)=1,0,MIN(IF('_JobDays'!A3,8,10),J9)*J8)),MAX(0,40*MAX(1,J8)-(0))),MIN(IF(OR(J8&lt;=0,NOT('_JobDays'!A2)),0,IF(WEEKDAY(J$6,1)=1,0,IF(WEEKDAY(J$6,1)=7,0,IF('_JobDays'!A4,MIN(8,J9)*J8,J8*J9)))),MAX(0,40*MAX(1,J8)-(0)))))</f>
        <v>8</v>
      </c>
      <c r="K10" s="62">
        <f>IF(AND(K8=1,K9=8,E7="Auto",IF(TRIM(B11)&lt;&gt;"",B11,B7)="Boilermaker Journeyman",AND('Job setup'!$B$7="ON",'Job setup'!$C$7&lt;=K$6,'Job setup'!$D$7&gt;=K$6,'Job setup'!$G$7="YES")),8,IF(OS7,MIN(IF(OR(K8&lt;=0,NOT('_JobDays'!B2)),0,IF(WEEKDAY(K$6,1)=1,0,MIN(IF('_JobDays'!B3,8,10),K9)*K8)),MAX(0,40*MAX(1,K8)-(J10))),MIN(IF(OR(K8&lt;=0,NOT('_JobDays'!B2)),0,IF(WEEKDAY(K$6,1)=1,0,IF(WEEKDAY(K$6,1)=7,0,IF('_JobDays'!B4,MIN(8,K9)*K8,K8*K9)))),MAX(0,40*MAX(1,K8)-(J10)))))</f>
        <v>8</v>
      </c>
      <c r="L10" s="62">
        <f>IF(AND(L8=1,L9=8,E7="Auto",IF(TRIM(B11)&lt;&gt;"",B11,B7)="Boilermaker Journeyman",AND('Job setup'!$B$7="ON",'Job setup'!$C$7&lt;=L$6,'Job setup'!$D$7&gt;=L$6,'Job setup'!$G$7="YES")),8,IF(OS7,MIN(IF(OR(L8&lt;=0,NOT('_JobDays'!C2)),0,IF(WEEKDAY(L$6,1)=1,0,MIN(IF('_JobDays'!C3,8,10),L9)*L8)),MAX(0,40*MAX(1,L8)-(J10+K10))),MIN(IF(OR(L8&lt;=0,NOT('_JobDays'!C2)),0,IF(WEEKDAY(L$6,1)=1,0,IF(WEEKDAY(L$6,1)=7,0,IF('_JobDays'!C4,MIN(8,L9)*L8,L8*L9)))),MAX(0,40*MAX(1,L8)-(J10+K10)))))</f>
        <v>8</v>
      </c>
      <c r="M10" s="62">
        <f>IF(AND(M8=1,M9=8,E7="Auto",IF(TRIM(B11)&lt;&gt;"",B11,B7)="Boilermaker Journeyman",AND('Job setup'!$B$7="ON",'Job setup'!$C$7&lt;=M$6,'Job setup'!$D$7&gt;=M$6,'Job setup'!$G$7="YES")),8,IF(OS7,MIN(IF(OR(M8&lt;=0,NOT('_JobDays'!D2)),0,IF(WEEKDAY(M$6,1)=1,0,MIN(IF('_JobDays'!D3,8,10),M9)*M8)),MAX(0,40*MAX(1,M8)-(J10+K10+L10))),MIN(IF(OR(M8&lt;=0,NOT('_JobDays'!D2)),0,IF(WEEKDAY(M$6,1)=1,0,IF(WEEKDAY(M$6,1)=7,0,IF('_JobDays'!D4,MIN(8,M9)*M8,M8*M9)))),MAX(0,40*MAX(1,M8)-(J10+K10+L10)))))</f>
        <v>8</v>
      </c>
      <c r="N10" s="62">
        <f>IF(AND(N8=1,N9=8,E7="Auto",IF(TRIM(B11)&lt;&gt;"",B11,B7)="Boilermaker Journeyman",AND('Job setup'!$B$7="ON",'Job setup'!$C$7&lt;=N$6,'Job setup'!$D$7&gt;=N$6,'Job setup'!$G$7="YES")),8,IF(OS7,MIN(IF(OR(N8&lt;=0,NOT('_JobDays'!E2)),0,IF(WEEKDAY(N$6,1)=1,0,MIN(IF('_JobDays'!E3,8,10),N9)*N8)),MAX(0,40*MAX(1,N8)-(J10+K10+L10+M10))),MIN(IF(OR(N8&lt;=0,NOT('_JobDays'!E2)),0,IF(WEEKDAY(N$6,1)=1,0,IF(WEEKDAY(N$6,1)=7,0,IF('_JobDays'!E4,MIN(8,N9)*N8,N8*N9)))),MAX(0,40*MAX(1,N8)-(J10+K10+L10+M10)))))</f>
        <v>8</v>
      </c>
      <c r="O10" s="63">
        <f>IF(AND(O8=0,O9=0,E7="Auto",IF(TRIM(B11)&lt;&gt;"",B11,B7)="Boilermaker Journeyman",AND('Job setup'!$B$7="ON",'Job setup'!$C$7&lt;=O$6,'Job setup'!$D$7&gt;=O$6,'Job setup'!$G$7="YES")),0,IF(OS7,MIN(IF(OR(O8&lt;=0,NOT('_JobDays'!F2)),0,IF(WEEKDAY(O$6,1)=1,0,MIN(IF('_JobDays'!F3,8,10),O9)*O8)),MAX(0,40*MAX(1,O8)-(J10+K10+L10+M10+N10))),MIN(IF(OR(O8&lt;=0,NOT('_JobDays'!F2)),0,IF(WEEKDAY(O$6,1)=1,0,IF(WEEKDAY(O$6,1)=7,0,IF('_JobDays'!F4,MIN(8,O9)*O8,O8*O9)))),MAX(0,40*MAX(1,O8)-(J10+K10+L10+M10+N10)))))</f>
        <v>0</v>
      </c>
      <c r="P10" s="63">
        <f>IF(AND(P8=0,P9=0,E7="Auto",IF(TRIM(B11)&lt;&gt;"",B11,B7)="Boilermaker Journeyman",AND('Job setup'!$B$7="ON",'Job setup'!$C$7&lt;=P$6,'Job setup'!$D$7&gt;=P$6,'Job setup'!$G$7="YES")),0,IF(OS7,MIN(IF(OR(P8&lt;=0,NOT('_JobDays'!G2)),0,IF(WEEKDAY(P$6,1)=1,0,MIN(IF('_JobDays'!G3,8,10),P9)*P8)),MAX(0,40*MAX(1,P8)-(J10+K10+L10+M10+N10+O10))),MIN(IF(OR(P8&lt;=0,NOT('_JobDays'!G2)),0,IF(WEEKDAY(P$6,1)=1,0,IF(WEEKDAY(P$6,1)=7,0,IF('_JobDays'!G4,MIN(8,P9)*P8,P8*P9)))),MAX(0,40*MAX(1,P8)-(J10+K10+L10+M10+N10+O10)))))</f>
        <v>0</v>
      </c>
      <c r="Q10" s="62">
        <f>IF(AND(Q8=1,Q9=8,E7="Auto",IF(TRIM(B11)&lt;&gt;"",B11,B7)="Boilermaker Journeyman",AND('Job setup'!$B$7="ON",'Job setup'!$C$7&lt;=Q$6,'Job setup'!$D$7&gt;=Q$6,'Job setup'!$G$7="YES")),8,IF(OS7,MIN(IF(OR(Q8&lt;=0,NOT('_JobDays'!H2)),0,IF(WEEKDAY(Q$6,1)=1,0,MIN(IF('_JobDays'!H3,8,10),Q9)*Q8)),MAX(0,40*MAX(1,Q8)-(0))),MIN(IF(OR(Q8&lt;=0,NOT('_JobDays'!H2)),0,IF(WEEKDAY(Q$6,1)=1,0,IF(WEEKDAY(Q$6,1)=7,0,IF('_JobDays'!H4,MIN(8,Q9)*Q8,Q8*Q9)))),MAX(0,40*MAX(1,Q8)-(0)))))</f>
        <v>8</v>
      </c>
      <c r="R10" s="62">
        <f>IF(AND(R8=1,R9=8,E7="Auto",IF(TRIM(B11)&lt;&gt;"",B11,B7)="Boilermaker Journeyman",AND('Job setup'!$B$7="ON",'Job setup'!$C$7&lt;=R$6,'Job setup'!$D$7&gt;=R$6,'Job setup'!$G$7="YES")),8,IF(OS7,MIN(IF(OR(R8&lt;=0,NOT('_JobDays'!I2)),0,IF(WEEKDAY(R$6,1)=1,0,MIN(IF('_JobDays'!I3,8,10),R9)*R8)),MAX(0,40*MAX(1,R8)-(Q10))),MIN(IF(OR(R8&lt;=0,NOT('_JobDays'!I2)),0,IF(WEEKDAY(R$6,1)=1,0,IF(WEEKDAY(R$6,1)=7,0,IF('_JobDays'!I4,MIN(8,R9)*R8,R8*R9)))),MAX(0,40*MAX(1,R8)-(Q10)))))</f>
        <v>8</v>
      </c>
      <c r="S10" s="62">
        <f>IF(AND(S8=1,S9=8,E7="Auto",IF(TRIM(B11)&lt;&gt;"",B11,B7)="Boilermaker Journeyman",AND('Job setup'!$B$7="ON",'Job setup'!$C$7&lt;=S$6,'Job setup'!$D$7&gt;=S$6,'Job setup'!$G$7="YES")),8,IF(OS7,MIN(IF(OR(S8&lt;=0,NOT('_JobDays'!J2)),0,IF(WEEKDAY(S$6,1)=1,0,MIN(IF('_JobDays'!J3,8,10),S9)*S8)),MAX(0,40*MAX(1,S8)-(Q10+R10))),MIN(IF(OR(S8&lt;=0,NOT('_JobDays'!J2)),0,IF(WEEKDAY(S$6,1)=1,0,IF(WEEKDAY(S$6,1)=7,0,IF('_JobDays'!J4,MIN(8,S9)*S8,S8*S9)))),MAX(0,40*MAX(1,S8)-(Q10+R10)))))</f>
        <v>8</v>
      </c>
      <c r="T10" s="62">
        <f>IF(AND(T8=1,T9=12,E7="Auto",IF(TRIM(B11)&lt;&gt;"",B11,B7)="Boilermaker Journeyman",AND('Job setup'!$B$9="ON",'Job setup'!$C$9&lt;=T$6,'Job setup'!$D$9&gt;=T$6,'Job setup'!$G$9="NO")),8,IF(OS7,MIN(IF(OR(T8&lt;=0,NOT('_JobDays'!K2)),0,IF(WEEKDAY(T$6,1)=1,0,MIN(IF('_JobDays'!K3,8,10),T9)*T8)),MAX(0,40*MAX(1,T8)-(Q10+R10+S10))),MIN(IF(OR(T8&lt;=0,NOT('_JobDays'!K2)),0,IF(WEEKDAY(T$6,1)=1,0,IF(WEEKDAY(T$6,1)=7,0,IF('_JobDays'!K4,MIN(8,T9)*T8,T8*T9)))),MAX(0,40*MAX(1,T8)-(Q10+R10+S10)))))</f>
        <v>8</v>
      </c>
      <c r="U10" s="62">
        <f>IF(AND(U8=1,U9=12,E7="Auto",IF(TRIM(B11)&lt;&gt;"",B11,B7)="Boilermaker Journeyman",AND('Job setup'!$B$9="ON",'Job setup'!$C$9&lt;=U$6,'Job setup'!$D$9&gt;=U$6,'Job setup'!$G$9="NO")),8,IF(OS7,MIN(IF(OR(U8&lt;=0,NOT('_JobDays'!L2)),0,IF(WEEKDAY(U$6,1)=1,0,MIN(IF('_JobDays'!L3,8,10),U9)*U8)),MAX(0,40*MAX(1,U8)-(Q10+R10+S10+T10))),MIN(IF(OR(U8&lt;=0,NOT('_JobDays'!L2)),0,IF(WEEKDAY(U$6,1)=1,0,IF(WEEKDAY(U$6,1)=7,0,IF('_JobDays'!L4,MIN(8,U9)*U8,U8*U9)))),MAX(0,40*MAX(1,U8)-(Q10+R10+S10+T10)))))</f>
        <v>8</v>
      </c>
      <c r="V10" s="63">
        <f>IF(AND(V8=1,V9=12,E7="Auto",IF(TRIM(B11)&lt;&gt;"",B11,B7)="Boilermaker Journeyman",AND('Job setup'!$B$9="ON",'Job setup'!$C$9&lt;=V$6,'Job setup'!$D$9&gt;=V$6,'Job setup'!$G$9="NO")),0,IF(OS7,MIN(IF(OR(V8&lt;=0,NOT('_JobDays'!M2)),0,IF(WEEKDAY(V$6,1)=1,0,MIN(IF('_JobDays'!M3,8,10),V9)*V8)),MAX(0,40*MAX(1,V8)-(Q10+R10+S10+T10+U10))),MIN(IF(OR(V8&lt;=0,NOT('_JobDays'!M2)),0,IF(WEEKDAY(V$6,1)=1,0,IF(WEEKDAY(V$6,1)=7,0,IF('_JobDays'!M4,MIN(8,V9)*V8,V8*V9)))),MAX(0,40*MAX(1,V8)-(Q10+R10+S10+T10+U10)))))</f>
        <v>0</v>
      </c>
      <c r="W10" s="63">
        <f>IF(AND(W8=1,W9=12,E7="Auto",IF(TRIM(B11)&lt;&gt;"",B11,B7)="Boilermaker Journeyman",AND('Job setup'!$B$9="ON",'Job setup'!$C$9&lt;=W$6,'Job setup'!$D$9&gt;=W$6,'Job setup'!$G$9="NO")),0,IF(OS7,MIN(IF(OR(W8&lt;=0,NOT('_JobDays'!N2)),0,IF(WEEKDAY(W$6,1)=1,0,MIN(IF('_JobDays'!N3,8,10),W9)*W8)),MAX(0,40*MAX(1,W8)-(Q10+R10+S10+T10+U10+V10))),MIN(IF(OR(W8&lt;=0,NOT('_JobDays'!N2)),0,IF(WEEKDAY(W$6,1)=1,0,IF(WEEKDAY(W$6,1)=7,0,IF('_JobDays'!N4,MIN(8,W9)*W8,W8*W9)))),MAX(0,40*MAX(1,W8)-(Q10+R10+S10+T10+U10+V10)))))</f>
        <v>0</v>
      </c>
      <c r="X10" s="62">
        <f>IF(AND(X8=1,X9=12,E7="Auto",IF(TRIM(B11)&lt;&gt;"",B11,B7)="Boilermaker Journeyman",AND('Job setup'!$B$9="ON",'Job setup'!$C$9&lt;=X$6,'Job setup'!$D$9&gt;=X$6,'Job setup'!$G$9="NO")),8,IF(OS7,MIN(IF(OR(X8&lt;=0,NOT('_JobDays'!O2)),0,IF(WEEKDAY(X$6,1)=1,0,MIN(IF('_JobDays'!O3,8,10),X9)*X8)),MAX(0,40*MAX(1,X8)-(0))),MIN(IF(OR(X8&lt;=0,NOT('_JobDays'!O2)),0,IF(WEEKDAY(X$6,1)=1,0,IF(WEEKDAY(X$6,1)=7,0,IF('_JobDays'!O4,MIN(8,X9)*X8,X8*X9)))),MAX(0,40*MAX(1,X8)-(0)))))</f>
        <v>8</v>
      </c>
      <c r="Y10" s="62">
        <f>IF(AND(Y8=1,Y9=12,E7="Auto",IF(TRIM(B11)&lt;&gt;"",B11,B7)="Boilermaker Journeyman",AND('Job setup'!$B$9="ON",'Job setup'!$C$9&lt;=Y$6,'Job setup'!$D$9&gt;=Y$6,'Job setup'!$G$9="NO")),8,IF(OS7,MIN(IF(OR(Y8&lt;=0,NOT('_JobDays'!P2)),0,IF(WEEKDAY(Y$6,1)=1,0,MIN(IF('_JobDays'!P3,8,10),Y9)*Y8)),MAX(0,40*MAX(1,Y8)-(X10))),MIN(IF(OR(Y8&lt;=0,NOT('_JobDays'!P2)),0,IF(WEEKDAY(Y$6,1)=1,0,IF(WEEKDAY(Y$6,1)=7,0,IF('_JobDays'!P4,MIN(8,Y9)*Y8,Y8*Y9)))),MAX(0,40*MAX(1,Y8)-(X10)))))</f>
        <v>8</v>
      </c>
      <c r="Z10" s="62">
        <f>IF(AND(Z8=1,Z9=12,E7="Auto",IF(TRIM(B11)&lt;&gt;"",B11,B7)="Boilermaker Journeyman",AND('Job setup'!$B$9="ON",'Job setup'!$C$9&lt;=Z$6,'Job setup'!$D$9&gt;=Z$6,'Job setup'!$G$9="NO")),8,IF(OS7,MIN(IF(OR(Z8&lt;=0,NOT('_JobDays'!Q2)),0,IF(WEEKDAY(Z$6,1)=1,0,MIN(IF('_JobDays'!Q3,8,10),Z9)*Z8)),MAX(0,40*MAX(1,Z8)-(X10+Y10))),MIN(IF(OR(Z8&lt;=0,NOT('_JobDays'!Q2)),0,IF(WEEKDAY(Z$6,1)=1,0,IF(WEEKDAY(Z$6,1)=7,0,IF('_JobDays'!Q4,MIN(8,Z9)*Z8,Z8*Z9)))),MAX(0,40*MAX(1,Z8)-(X10+Y10)))))</f>
        <v>8</v>
      </c>
      <c r="AA10" s="62">
        <f>IF(AND(AA8=1,AA9=12,E7="Auto",IF(TRIM(B11)&lt;&gt;"",B11,B7)="Boilermaker Journeyman",AND('Job setup'!$B$9="ON",'Job setup'!$C$9&lt;=AA$6,'Job setup'!$D$9&gt;=AA$6,'Job setup'!$G$9="NO")),8,IF(OS7,MIN(IF(OR(AA8&lt;=0,NOT('_JobDays'!R2)),0,IF(WEEKDAY(AA$6,1)=1,0,MIN(IF('_JobDays'!R3,8,10),AA9)*AA8)),MAX(0,40*MAX(1,AA8)-(X10+Y10+Z10))),MIN(IF(OR(AA8&lt;=0,NOT('_JobDays'!R2)),0,IF(WEEKDAY(AA$6,1)=1,0,IF(WEEKDAY(AA$6,1)=7,0,IF('_JobDays'!R4,MIN(8,AA9)*AA8,AA8*AA9)))),MAX(0,40*MAX(1,AA8)-(X10+Y10+Z10)))))</f>
        <v>8</v>
      </c>
      <c r="AB10" s="62">
        <f>IF(AND(AB8=1,AB9=12,E7="Auto",IF(TRIM(B11)&lt;&gt;"",B11,B7)="Boilermaker Journeyman",AND('Job setup'!$B$9="ON",'Job setup'!$C$9&lt;=AB$6,'Job setup'!$D$9&gt;=AB$6,'Job setup'!$G$9="NO")),8,IF(OS7,MIN(IF(OR(AB8&lt;=0,NOT('_JobDays'!S2)),0,IF(WEEKDAY(AB$6,1)=1,0,MIN(IF('_JobDays'!S3,8,10),AB9)*AB8)),MAX(0,40*MAX(1,AB8)-(X10+Y10+Z10+AA10))),MIN(IF(OR(AB8&lt;=0,NOT('_JobDays'!S2)),0,IF(WEEKDAY(AB$6,1)=1,0,IF(WEEKDAY(AB$6,1)=7,0,IF('_JobDays'!S4,MIN(8,AB9)*AB8,AB8*AB9)))),MAX(0,40*MAX(1,AB8)-(X10+Y10+Z10+AA10)))))</f>
        <v>8</v>
      </c>
      <c r="AC10" s="63">
        <f>IF(AND(AC8=1,AC9=12,E7="Auto",IF(TRIM(B11)&lt;&gt;"",B11,B7)="Boilermaker Journeyman",AND('Job setup'!$B$9="ON",'Job setup'!$C$9&lt;=AC$6,'Job setup'!$D$9&gt;=AC$6,'Job setup'!$G$9="NO")),0,IF(OS7,MIN(IF(OR(AC8&lt;=0,NOT('_JobDays'!T2)),0,IF(WEEKDAY(AC$6,1)=1,0,MIN(IF('_JobDays'!T3,8,10),AC9)*AC8)),MAX(0,40*MAX(1,AC8)-(X10+Y10+Z10+AA10+AB10))),MIN(IF(OR(AC8&lt;=0,NOT('_JobDays'!T2)),0,IF(WEEKDAY(AC$6,1)=1,0,IF(WEEKDAY(AC$6,1)=7,0,IF('_JobDays'!T4,MIN(8,AC9)*AC8,AC8*AC9)))),MAX(0,40*MAX(1,AC8)-(X10+Y10+Z10+AA10+AB10)))))</f>
        <v>0</v>
      </c>
      <c r="AD10" s="63">
        <f>IF(AND(AD8=1,AD9=12,E7="Auto",IF(TRIM(B11)&lt;&gt;"",B11,B7)="Boilermaker Journeyman",AND('Job setup'!$B$9="ON",'Job setup'!$C$9&lt;=AD$6,'Job setup'!$D$9&gt;=AD$6,'Job setup'!$G$9="NO")),0,IF(OS7,MIN(IF(OR(AD8&lt;=0,NOT('_JobDays'!U2)),0,IF(WEEKDAY(AD$6,1)=1,0,MIN(IF('_JobDays'!U3,8,10),AD9)*AD8)),MAX(0,40*MAX(1,AD8)-(X10+Y10+Z10+AA10+AB10+AC10))),MIN(IF(OR(AD8&lt;=0,NOT('_JobDays'!U2)),0,IF(WEEKDAY(AD$6,1)=1,0,IF(WEEKDAY(AD$6,1)=7,0,IF('_JobDays'!U4,MIN(8,AD9)*AD8,AD8*AD9)))),MAX(0,40*MAX(1,AD8)-(X10+Y10+Z10+AA10+AB10+AC10)))))</f>
        <v>0</v>
      </c>
      <c r="AE10" s="62">
        <f>IF(AND(AE8=1,AE9=12,E7="Auto",IF(TRIM(B11)&lt;&gt;"",B11,B7)="Boilermaker Journeyman",AND('Job setup'!$B$9="ON",'Job setup'!$C$9&lt;=AE$6,'Job setup'!$D$9&gt;=AE$6,'Job setup'!$G$9="NO")),8,IF(OS7,MIN(IF(OR(AE8&lt;=0,NOT('_JobDays'!V2)),0,IF(WEEKDAY(AE$6,1)=1,0,MIN(IF('_JobDays'!V3,8,10),AE9)*AE8)),MAX(0,40*MAX(1,AE8)-(0))),MIN(IF(OR(AE8&lt;=0,NOT('_JobDays'!V2)),0,IF(WEEKDAY(AE$6,1)=1,0,IF(WEEKDAY(AE$6,1)=7,0,IF('_JobDays'!V4,MIN(8,AE9)*AE8,AE8*AE9)))),MAX(0,40*MAX(1,AE8)-(0)))))</f>
        <v>8</v>
      </c>
      <c r="AF10" s="62">
        <f>IF(AND(AF8=1,AF9=12,E7="Auto",IF(TRIM(B11)&lt;&gt;"",B11,B7)="Boilermaker Journeyman",AND('Job setup'!$B$9="ON",'Job setup'!$C$9&lt;=AF$6,'Job setup'!$D$9&gt;=AF$6,'Job setup'!$G$9="NO")),8,IF(OS7,MIN(IF(OR(AF8&lt;=0,NOT('_JobDays'!W2)),0,IF(WEEKDAY(AF$6,1)=1,0,MIN(IF('_JobDays'!W3,8,10),AF9)*AF8)),MAX(0,40*MAX(1,AF8)-(AE10))),MIN(IF(OR(AF8&lt;=0,NOT('_JobDays'!W2)),0,IF(WEEKDAY(AF$6,1)=1,0,IF(WEEKDAY(AF$6,1)=7,0,IF('_JobDays'!W4,MIN(8,AF9)*AF8,AF8*AF9)))),MAX(0,40*MAX(1,AF8)-(AE10)))))</f>
        <v>8</v>
      </c>
      <c r="AG10" s="62">
        <f>IF(AND(AG8=1,AG9=12,E7="Auto",IF(TRIM(B11)&lt;&gt;"",B11,B7)="Boilermaker Journeyman",AND('Job setup'!$B$9="ON",'Job setup'!$C$9&lt;=AG$6,'Job setup'!$D$9&gt;=AG$6,'Job setup'!$G$9="NO")),8,IF(OS7,MIN(IF(OR(AG8&lt;=0,NOT('_JobDays'!X2)),0,IF(WEEKDAY(AG$6,1)=1,0,MIN(IF('_JobDays'!X3,8,10),AG9)*AG8)),MAX(0,40*MAX(1,AG8)-(AE10+AF10))),MIN(IF(OR(AG8&lt;=0,NOT('_JobDays'!X2)),0,IF(WEEKDAY(AG$6,1)=1,0,IF(WEEKDAY(AG$6,1)=7,0,IF('_JobDays'!X4,MIN(8,AG9)*AG8,AG8*AG9)))),MAX(0,40*MAX(1,AG8)-(AE10+AF10)))))</f>
        <v>8</v>
      </c>
      <c r="AH10" s="62">
        <f>IF(AND(AH8=1,AH9=8,E7="Auto",IF(TRIM(B11)&lt;&gt;"",B11,B7)="Boilermaker Journeyman",AND('Job setup'!$B$11="ON",'Job setup'!$C$11&lt;=AH$6,'Job setup'!$D$11&gt;=AH$6,'Job setup'!$G$11="YES")),8,IF(OS7,MIN(IF(OR(AH8&lt;=0,NOT('_JobDays'!Y2)),0,IF(WEEKDAY(AH$6,1)=1,0,MIN(IF('_JobDays'!Y3,8,10),AH9)*AH8)),MAX(0,40*MAX(1,AH8)-(AE10+AF10+AG10))),MIN(IF(OR(AH8&lt;=0,NOT('_JobDays'!Y2)),0,IF(WEEKDAY(AH$6,1)=1,0,IF(WEEKDAY(AH$6,1)=7,0,IF('_JobDays'!Y4,MIN(8,AH9)*AH8,AH8*AH9)))),MAX(0,40*MAX(1,AH8)-(AE10+AF10+AG10)))))</f>
        <v>8</v>
      </c>
      <c r="AI10" s="62">
        <f>IF(AND(AI8=1,AI9=8,E7="Auto",IF(TRIM(B11)&lt;&gt;"",B11,B7)="Boilermaker Journeyman",AND('Job setup'!$B$11="ON",'Job setup'!$C$11&lt;=AI$6,'Job setup'!$D$11&gt;=AI$6,'Job setup'!$G$11="YES")),8,IF(OS7,MIN(IF(OR(AI8&lt;=0,NOT('_JobDays'!Z2)),0,IF(WEEKDAY(AI$6,1)=1,0,MIN(IF('_JobDays'!Z3,8,10),AI9)*AI8)),MAX(0,40*MAX(1,AI8)-(AE10+AF10+AG10+AH10))),MIN(IF(OR(AI8&lt;=0,NOT('_JobDays'!Z2)),0,IF(WEEKDAY(AI$6,1)=1,0,IF(WEEKDAY(AI$6,1)=7,0,IF('_JobDays'!Z4,MIN(8,AI9)*AI8,AI8*AI9)))),MAX(0,40*MAX(1,AI8)-(AE10+AF10+AG10+AH10)))))</f>
        <v>8</v>
      </c>
      <c r="AJ10" s="63">
        <f>IF(AND(AJ8=0,AJ9=0,E7="Auto",IF(TRIM(B11)&lt;&gt;"",B11,B7)="Boilermaker Journeyman",AND('Job setup'!$B$11="ON",'Job setup'!$C$11&lt;=AJ$6,'Job setup'!$D$11&gt;=AJ$6,'Job setup'!$G$11="YES")),0,IF(OS7,MIN(IF(OR(AJ8&lt;=0,NOT('_JobDays'!AA2)),0,IF(WEEKDAY(AJ$6,1)=1,0,MIN(IF('_JobDays'!AA3,8,10),AJ9)*AJ8)),MAX(0,40*MAX(1,AJ8)-(AE10+AF10+AG10+AH10+AI10))),MIN(IF(OR(AJ8&lt;=0,NOT('_JobDays'!AA2)),0,IF(WEEKDAY(AJ$6,1)=1,0,IF(WEEKDAY(AJ$6,1)=7,0,IF('_JobDays'!AA4,MIN(8,AJ9)*AJ8,AJ8*AJ9)))),MAX(0,40*MAX(1,AJ8)-(AE10+AF10+AG10+AH10+AI10)))))</f>
        <v>0</v>
      </c>
      <c r="AK10" s="63">
        <f>IF(AND(AK8=0,AK9=0,E7="Auto",IF(TRIM(B11)&lt;&gt;"",B11,B7)="Boilermaker Journeyman",AND('Job setup'!$B$11="ON",'Job setup'!$C$11&lt;=AK$6,'Job setup'!$D$11&gt;=AK$6,'Job setup'!$G$11="YES")),0,IF(OS7,MIN(IF(OR(AK8&lt;=0,NOT('_JobDays'!AB2)),0,IF(WEEKDAY(AK$6,1)=1,0,MIN(IF('_JobDays'!AB3,8,10),AK9)*AK8)),MAX(0,40*MAX(1,AK8)-(AE10+AF10+AG10+AH10+AI10+AJ10))),MIN(IF(OR(AK8&lt;=0,NOT('_JobDays'!AB2)),0,IF(WEEKDAY(AK$6,1)=1,0,IF(WEEKDAY(AK$6,1)=7,0,IF('_JobDays'!AB4,MIN(8,AK9)*AK8,AK8*AK9)))),MAX(0,40*MAX(1,AK8)-(AE10+AF10+AG10+AH10+AI10+AJ10)))))</f>
        <v>0</v>
      </c>
      <c r="AL10" s="62">
        <f>IF(AND(AL8=1,AL9=8,E7="Auto",IF(TRIM(B11)&lt;&gt;"",B11,B7)="Boilermaker Journeyman",AND('Job setup'!$B$11="ON",'Job setup'!$C$11&lt;=AL$6,'Job setup'!$D$11&gt;=AL$6,'Job setup'!$G$11="YES")),8,IF(OS7,MIN(IF(OR(AL8&lt;=0,NOT('_JobDays'!AC2)),0,IF(WEEKDAY(AL$6,1)=1,0,MIN(IF('_JobDays'!AC3,8,10),AL9)*AL8)),MAX(0,40*MAX(1,AL8)-(0))),MIN(IF(OR(AL8&lt;=0,NOT('_JobDays'!AC2)),0,IF(WEEKDAY(AL$6,1)=1,0,IF(WEEKDAY(AL$6,1)=7,0,IF('_JobDays'!AC4,MIN(8,AL9)*AL8,AL8*AL9)))),MAX(0,40*MAX(1,AL8)-(0)))))</f>
        <v>8</v>
      </c>
      <c r="AM10" s="62">
        <f>IF(AND(AM8=1,AM9=8,E7="Auto",IF(TRIM(B11)&lt;&gt;"",B11,B7)="Boilermaker Journeyman",AND('Job setup'!$B$11="ON",'Job setup'!$C$11&lt;=AM$6,'Job setup'!$D$11&gt;=AM$6,'Job setup'!$G$11="YES")),8,IF(OS7,MIN(IF(OR(AM8&lt;=0,NOT('_JobDays'!AD2)),0,IF(WEEKDAY(AM$6,1)=1,0,MIN(IF('_JobDays'!AD3,8,10),AM9)*AM8)),MAX(0,40*MAX(1,AM8)-(AL10))),MIN(IF(OR(AM8&lt;=0,NOT('_JobDays'!AD2)),0,IF(WEEKDAY(AM$6,1)=1,0,IF(WEEKDAY(AM$6,1)=7,0,IF('_JobDays'!AD4,MIN(8,AM9)*AM8,AM8*AM9)))),MAX(0,40*MAX(1,AM8)-(AL10)))))</f>
        <v>8</v>
      </c>
      <c r="AN10" s="62">
        <f>IF(AND(AN8=1,AN9=8,E7="Auto",IF(TRIM(B11)&lt;&gt;"",B11,B7)="Boilermaker Journeyman",AND('Job setup'!$B$11="ON",'Job setup'!$C$11&lt;=AN$6,'Job setup'!$D$11&gt;=AN$6,'Job setup'!$G$11="YES")),8,IF(OS7,MIN(IF(OR(AN8&lt;=0,NOT('_JobDays'!AE2)),0,IF(WEEKDAY(AN$6,1)=1,0,MIN(IF('_JobDays'!AE3,8,10),AN9)*AN8)),MAX(0,40*MAX(1,AN8)-(AL10+AM10))),MIN(IF(OR(AN8&lt;=0,NOT('_JobDays'!AE2)),0,IF(WEEKDAY(AN$6,1)=1,0,IF(WEEKDAY(AN$6,1)=7,0,IF('_JobDays'!AE4,MIN(8,AN9)*AN8,AN8*AN9)))),MAX(0,40*MAX(1,AN8)-(AL10+AM10)))))</f>
        <v>8</v>
      </c>
      <c r="AO10" s="64">
        <f>IF(AND(AO8=1,AO9=8,E7="Auto",IF(TRIM(B11)&lt;&gt;"",B11,B7)="Boilermaker Journeyman",AND('Job setup'!$B$11="ON",'Job setup'!$C$11&lt;=AO$6,'Job setup'!$D$11&gt;=AO$6,'Job setup'!$G$11="YES")),8,IF(OS7,MIN(IF(OR(AO8&lt;=0,NOT('_JobDays'!AF2)),0,IF(WEEKDAY(AO$6,1)=1,0,MIN(IF('_JobDays'!AF3,8,10),AO9)*AO8)),MAX(0,40*MAX(1,AO8)-(AL10+AM10+AN10))),MIN(IF(OR(AO8&lt;=0,NOT('_JobDays'!AF2)),0,IF(WEEKDAY(AO$6,1)=1,0,IF(WEEKDAY(AO$6,1)=7,0,IF('_JobDays'!AF4,MIN(8,AO9)*AO8,AO8*AO9)))),MAX(0,40*MAX(1,AO8)-(AL10+AM10+AN10)))))</f>
        <v>8</v>
      </c>
      <c r="OT10" s="28" t="s">
        <v>83</v>
      </c>
    </row>
    <row r="11" ht="16" customHeight="1" spans="1:410" x14ac:dyDescent="0.25">
      <c r="A11" s="43"/>
      <c r="B11" s="77" t="s">
        <v>85</v>
      </c>
      <c r="C11" s="65">
        <f>G7*N(D11)</f>
        <v>9777.92</v>
      </c>
      <c r="D11" s="65">
        <f>IF(TRIM(IF(TRIM(B11)&lt;&gt;"",B11,B7))="","No rate",IFERROR(INDEX('Rate Tables'!D$7:D$161,MATCH(IF(TRIM(B11)&lt;&gt;"",B11,B7),'Rate Tables'!A$7:A$161,0)),"No rate"))</f>
        <v>152.78</v>
      </c>
      <c r="E11" s="54" t="s">
        <v>61</v>
      </c>
      <c r="F11" s="48"/>
      <c r="G11" s="48"/>
      <c r="H11" s="48"/>
      <c r="I11" s="49"/>
      <c r="J11" s="61">
        <f>IF(AND(J8=1,J9=8,E7="Auto",IF(TRIM(B11)&lt;&gt;"",B11,B7)="Boilermaker Journeyman",AND('Job setup'!$B$7="ON",'Job setup'!$C$7&lt;=J$6,'Job setup'!$D$7&gt;=J$6,'Job setup'!$G$7="YES")),0,IF(OS7,IF(OR(J8&lt;=0,NOT('_JobDays'!A2)),0,IF(WEEKDAY(J$6,1)=1,0,MAX(0,J9-(IF('_JobDays'!A3,8,10)))*J8))+((IF(OR(J8&lt;=0,NOT('_JobDays'!A2)),0,IF(WEEKDAY(J$6,1)=1,0,MIN(IF('_JobDays'!A3,8,10),J9)*J8)))-MIN(IF(OR(J8&lt;=0,NOT('_JobDays'!A2)),0,IF(WEEKDAY(J$6,1)=1,0,MIN(IF('_JobDays'!A3,8,10),J9)*J8)),MAX(0,40*MAX(1,J8)-(0)))),IF(OR(J8&lt;=0,NOT('_JobDays'!A2)),0,IF(WEEKDAY(J$6,1)=1,0,IF(WEEKDAY(J$6,1)=7,J8*J9,IF('_JobDays'!A4,MAX(0,J9-8)*J8,0))))+((IF(OR(J8&lt;=0,NOT('_JobDays'!A2)),0,IF(WEEKDAY(J$6,1)=1,0,IF(WEEKDAY(J$6,1)=7,0,IF('_JobDays'!A4,MIN(8,J9)*J8,J8*J9)))))-MIN(IF(OR(J8&lt;=0,NOT('_JobDays'!A2)),0,IF(WEEKDAY(J$6,1)=1,0,IF(WEEKDAY(J$6,1)=7,0,IF('_JobDays'!A4,MIN(8,J9)*J8,J8*J9)))),MAX(0,40*MAX(1,J8)-(0))))))</f>
        <v>0</v>
      </c>
      <c r="K11" s="62">
        <f>IF(AND(K8=1,K9=8,E7="Auto",IF(TRIM(B11)&lt;&gt;"",B11,B7)="Boilermaker Journeyman",AND('Job setup'!$B$7="ON",'Job setup'!$C$7&lt;=K$6,'Job setup'!$D$7&gt;=K$6,'Job setup'!$G$7="YES")),0,IF(OS7,IF(OR(K8&lt;=0,NOT('_JobDays'!B2)),0,IF(WEEKDAY(K$6,1)=1,0,MAX(0,K9-(IF('_JobDays'!B3,8,10)))*K8))+((IF(OR(K8&lt;=0,NOT('_JobDays'!B2)),0,IF(WEEKDAY(K$6,1)=1,0,MIN(IF('_JobDays'!B3,8,10),K9)*K8)))-MIN(IF(OR(K8&lt;=0,NOT('_JobDays'!B2)),0,IF(WEEKDAY(K$6,1)=1,0,MIN(IF('_JobDays'!B3,8,10),K9)*K8)),MAX(0,40*MAX(1,K8)-(J10)))),IF(OR(K8&lt;=0,NOT('_JobDays'!B2)),0,IF(WEEKDAY(K$6,1)=1,0,IF(WEEKDAY(K$6,1)=7,K8*K9,IF('_JobDays'!B4,MAX(0,K9-8)*K8,0))))+((IF(OR(K8&lt;=0,NOT('_JobDays'!B2)),0,IF(WEEKDAY(K$6,1)=1,0,IF(WEEKDAY(K$6,1)=7,0,IF('_JobDays'!B4,MIN(8,K9)*K8,K8*K9)))))-MIN(IF(OR(K8&lt;=0,NOT('_JobDays'!B2)),0,IF(WEEKDAY(K$6,1)=1,0,IF(WEEKDAY(K$6,1)=7,0,IF('_JobDays'!B4,MIN(8,K9)*K8,K8*K9)))),MAX(0,40*MAX(1,K8)-(J10))))))</f>
        <v>0</v>
      </c>
      <c r="L11" s="62">
        <f>IF(AND(L8=1,L9=8,E7="Auto",IF(TRIM(B11)&lt;&gt;"",B11,B7)="Boilermaker Journeyman",AND('Job setup'!$B$7="ON",'Job setup'!$C$7&lt;=L$6,'Job setup'!$D$7&gt;=L$6,'Job setup'!$G$7="YES")),0,IF(OS7,IF(OR(L8&lt;=0,NOT('_JobDays'!C2)),0,IF(WEEKDAY(L$6,1)=1,0,MAX(0,L9-(IF('_JobDays'!C3,8,10)))*L8))+((IF(OR(L8&lt;=0,NOT('_JobDays'!C2)),0,IF(WEEKDAY(L$6,1)=1,0,MIN(IF('_JobDays'!C3,8,10),L9)*L8)))-MIN(IF(OR(L8&lt;=0,NOT('_JobDays'!C2)),0,IF(WEEKDAY(L$6,1)=1,0,MIN(IF('_JobDays'!C3,8,10),L9)*L8)),MAX(0,40*MAX(1,L8)-(J10+K10)))),IF(OR(L8&lt;=0,NOT('_JobDays'!C2)),0,IF(WEEKDAY(L$6,1)=1,0,IF(WEEKDAY(L$6,1)=7,L8*L9,IF('_JobDays'!C4,MAX(0,L9-8)*L8,0))))+((IF(OR(L8&lt;=0,NOT('_JobDays'!C2)),0,IF(WEEKDAY(L$6,1)=1,0,IF(WEEKDAY(L$6,1)=7,0,IF('_JobDays'!C4,MIN(8,L9)*L8,L8*L9)))))-MIN(IF(OR(L8&lt;=0,NOT('_JobDays'!C2)),0,IF(WEEKDAY(L$6,1)=1,0,IF(WEEKDAY(L$6,1)=7,0,IF('_JobDays'!C4,MIN(8,L9)*L8,L8*L9)))),MAX(0,40*MAX(1,L8)-(J10+K10))))))</f>
        <v>0</v>
      </c>
      <c r="M11" s="62">
        <f>IF(AND(M8=1,M9=8,E7="Auto",IF(TRIM(B11)&lt;&gt;"",B11,B7)="Boilermaker Journeyman",AND('Job setup'!$B$7="ON",'Job setup'!$C$7&lt;=M$6,'Job setup'!$D$7&gt;=M$6,'Job setup'!$G$7="YES")),0,IF(OS7,IF(OR(M8&lt;=0,NOT('_JobDays'!D2)),0,IF(WEEKDAY(M$6,1)=1,0,MAX(0,M9-(IF('_JobDays'!D3,8,10)))*M8))+((IF(OR(M8&lt;=0,NOT('_JobDays'!D2)),0,IF(WEEKDAY(M$6,1)=1,0,MIN(IF('_JobDays'!D3,8,10),M9)*M8)))-MIN(IF(OR(M8&lt;=0,NOT('_JobDays'!D2)),0,IF(WEEKDAY(M$6,1)=1,0,MIN(IF('_JobDays'!D3,8,10),M9)*M8)),MAX(0,40*MAX(1,M8)-(J10+K10+L10)))),IF(OR(M8&lt;=0,NOT('_JobDays'!D2)),0,IF(WEEKDAY(M$6,1)=1,0,IF(WEEKDAY(M$6,1)=7,M8*M9,IF('_JobDays'!D4,MAX(0,M9-8)*M8,0))))+((IF(OR(M8&lt;=0,NOT('_JobDays'!D2)),0,IF(WEEKDAY(M$6,1)=1,0,IF(WEEKDAY(M$6,1)=7,0,IF('_JobDays'!D4,MIN(8,M9)*M8,M8*M9)))))-MIN(IF(OR(M8&lt;=0,NOT('_JobDays'!D2)),0,IF(WEEKDAY(M$6,1)=1,0,IF(WEEKDAY(M$6,1)=7,0,IF('_JobDays'!D4,MIN(8,M9)*M8,M8*M9)))),MAX(0,40*MAX(1,M8)-(J10+K10+L10))))))</f>
        <v>0</v>
      </c>
      <c r="N11" s="62">
        <f>IF(AND(N8=1,N9=8,E7="Auto",IF(TRIM(B11)&lt;&gt;"",B11,B7)="Boilermaker Journeyman",AND('Job setup'!$B$7="ON",'Job setup'!$C$7&lt;=N$6,'Job setup'!$D$7&gt;=N$6,'Job setup'!$G$7="YES")),0,IF(OS7,IF(OR(N8&lt;=0,NOT('_JobDays'!E2)),0,IF(WEEKDAY(N$6,1)=1,0,MAX(0,N9-(IF('_JobDays'!E3,8,10)))*N8))+((IF(OR(N8&lt;=0,NOT('_JobDays'!E2)),0,IF(WEEKDAY(N$6,1)=1,0,MIN(IF('_JobDays'!E3,8,10),N9)*N8)))-MIN(IF(OR(N8&lt;=0,NOT('_JobDays'!E2)),0,IF(WEEKDAY(N$6,1)=1,0,MIN(IF('_JobDays'!E3,8,10),N9)*N8)),MAX(0,40*MAX(1,N8)-(J10+K10+L10+M10)))),IF(OR(N8&lt;=0,NOT('_JobDays'!E2)),0,IF(WEEKDAY(N$6,1)=1,0,IF(WEEKDAY(N$6,1)=7,N8*N9,IF('_JobDays'!E4,MAX(0,N9-8)*N8,0))))+((IF(OR(N8&lt;=0,NOT('_JobDays'!E2)),0,IF(WEEKDAY(N$6,1)=1,0,IF(WEEKDAY(N$6,1)=7,0,IF('_JobDays'!E4,MIN(8,N9)*N8,N8*N9)))))-MIN(IF(OR(N8&lt;=0,NOT('_JobDays'!E2)),0,IF(WEEKDAY(N$6,1)=1,0,IF(WEEKDAY(N$6,1)=7,0,IF('_JobDays'!E4,MIN(8,N9)*N8,N8*N9)))),MAX(0,40*MAX(1,N8)-(J10+K10+L10+M10))))))</f>
        <v>0</v>
      </c>
      <c r="O11" s="63">
        <f>IF(AND(O8=0,O9=0,E7="Auto",IF(TRIM(B11)&lt;&gt;"",B11,B7)="Boilermaker Journeyman",AND('Job setup'!$B$7="ON",'Job setup'!$C$7&lt;=O$6,'Job setup'!$D$7&gt;=O$6,'Job setup'!$G$7="YES")),0,IF(OS7,IF(OR(O8&lt;=0,NOT('_JobDays'!F2)),0,IF(WEEKDAY(O$6,1)=1,0,MAX(0,O9-(IF('_JobDays'!F3,8,10)))*O8))+((IF(OR(O8&lt;=0,NOT('_JobDays'!F2)),0,IF(WEEKDAY(O$6,1)=1,0,MIN(IF('_JobDays'!F3,8,10),O9)*O8)))-MIN(IF(OR(O8&lt;=0,NOT('_JobDays'!F2)),0,IF(WEEKDAY(O$6,1)=1,0,MIN(IF('_JobDays'!F3,8,10),O9)*O8)),MAX(0,40*MAX(1,O8)-(J10+K10+L10+M10+N10)))),IF(OR(O8&lt;=0,NOT('_JobDays'!F2)),0,IF(WEEKDAY(O$6,1)=1,0,IF(WEEKDAY(O$6,1)=7,O8*O9,IF('_JobDays'!F4,MAX(0,O9-8)*O8,0))))+((IF(OR(O8&lt;=0,NOT('_JobDays'!F2)),0,IF(WEEKDAY(O$6,1)=1,0,IF(WEEKDAY(O$6,1)=7,0,IF('_JobDays'!F4,MIN(8,O9)*O8,O8*O9)))))-MIN(IF(OR(O8&lt;=0,NOT('_JobDays'!F2)),0,IF(WEEKDAY(O$6,1)=1,0,IF(WEEKDAY(O$6,1)=7,0,IF('_JobDays'!F4,MIN(8,O9)*O8,O8*O9)))),MAX(0,40*MAX(1,O8)-(J10+K10+L10+M10+N10))))))</f>
        <v>0</v>
      </c>
      <c r="P11" s="63">
        <f>IF(AND(P8=0,P9=0,E7="Auto",IF(TRIM(B11)&lt;&gt;"",B11,B7)="Boilermaker Journeyman",AND('Job setup'!$B$7="ON",'Job setup'!$C$7&lt;=P$6,'Job setup'!$D$7&gt;=P$6,'Job setup'!$G$7="YES")),0,IF(OS7,IF(OR(P8&lt;=0,NOT('_JobDays'!G2)),0,IF(WEEKDAY(P$6,1)=1,0,MAX(0,P9-(IF('_JobDays'!G3,8,10)))*P8))+((IF(OR(P8&lt;=0,NOT('_JobDays'!G2)),0,IF(WEEKDAY(P$6,1)=1,0,MIN(IF('_JobDays'!G3,8,10),P9)*P8)))-MIN(IF(OR(P8&lt;=0,NOT('_JobDays'!G2)),0,IF(WEEKDAY(P$6,1)=1,0,MIN(IF('_JobDays'!G3,8,10),P9)*P8)),MAX(0,40*MAX(1,P8)-(J10+K10+L10+M10+N10+O10)))),IF(OR(P8&lt;=0,NOT('_JobDays'!G2)),0,IF(WEEKDAY(P$6,1)=1,0,IF(WEEKDAY(P$6,1)=7,P8*P9,IF('_JobDays'!G4,MAX(0,P9-8)*P8,0))))+((IF(OR(P8&lt;=0,NOT('_JobDays'!G2)),0,IF(WEEKDAY(P$6,1)=1,0,IF(WEEKDAY(P$6,1)=7,0,IF('_JobDays'!G4,MIN(8,P9)*P8,P8*P9)))))-MIN(IF(OR(P8&lt;=0,NOT('_JobDays'!G2)),0,IF(WEEKDAY(P$6,1)=1,0,IF(WEEKDAY(P$6,1)=7,0,IF('_JobDays'!G4,MIN(8,P9)*P8,P8*P9)))),MAX(0,40*MAX(1,P8)-(J10+K10+L10+M10+N10+O10))))))</f>
        <v>0</v>
      </c>
      <c r="Q11" s="62">
        <f>IF(AND(Q8=1,Q9=8,E7="Auto",IF(TRIM(B11)&lt;&gt;"",B11,B7)="Boilermaker Journeyman",AND('Job setup'!$B$7="ON",'Job setup'!$C$7&lt;=Q$6,'Job setup'!$D$7&gt;=Q$6,'Job setup'!$G$7="YES")),0,IF(OS7,IF(OR(Q8&lt;=0,NOT('_JobDays'!H2)),0,IF(WEEKDAY(Q$6,1)=1,0,MAX(0,Q9-(IF('_JobDays'!H3,8,10)))*Q8))+((IF(OR(Q8&lt;=0,NOT('_JobDays'!H2)),0,IF(WEEKDAY(Q$6,1)=1,0,MIN(IF('_JobDays'!H3,8,10),Q9)*Q8)))-MIN(IF(OR(Q8&lt;=0,NOT('_JobDays'!H2)),0,IF(WEEKDAY(Q$6,1)=1,0,MIN(IF('_JobDays'!H3,8,10),Q9)*Q8)),MAX(0,40*MAX(1,Q8)-(0)))),IF(OR(Q8&lt;=0,NOT('_JobDays'!H2)),0,IF(WEEKDAY(Q$6,1)=1,0,IF(WEEKDAY(Q$6,1)=7,Q8*Q9,IF('_JobDays'!H4,MAX(0,Q9-8)*Q8,0))))+((IF(OR(Q8&lt;=0,NOT('_JobDays'!H2)),0,IF(WEEKDAY(Q$6,1)=1,0,IF(WEEKDAY(Q$6,1)=7,0,IF('_JobDays'!H4,MIN(8,Q9)*Q8,Q8*Q9)))))-MIN(IF(OR(Q8&lt;=0,NOT('_JobDays'!H2)),0,IF(WEEKDAY(Q$6,1)=1,0,IF(WEEKDAY(Q$6,1)=7,0,IF('_JobDays'!H4,MIN(8,Q9)*Q8,Q8*Q9)))),MAX(0,40*MAX(1,Q8)-(0))))))</f>
        <v>0</v>
      </c>
      <c r="R11" s="62">
        <f>IF(AND(R8=1,R9=8,E7="Auto",IF(TRIM(B11)&lt;&gt;"",B11,B7)="Boilermaker Journeyman",AND('Job setup'!$B$7="ON",'Job setup'!$C$7&lt;=R$6,'Job setup'!$D$7&gt;=R$6,'Job setup'!$G$7="YES")),0,IF(OS7,IF(OR(R8&lt;=0,NOT('_JobDays'!I2)),0,IF(WEEKDAY(R$6,1)=1,0,MAX(0,R9-(IF('_JobDays'!I3,8,10)))*R8))+((IF(OR(R8&lt;=0,NOT('_JobDays'!I2)),0,IF(WEEKDAY(R$6,1)=1,0,MIN(IF('_JobDays'!I3,8,10),R9)*R8)))-MIN(IF(OR(R8&lt;=0,NOT('_JobDays'!I2)),0,IF(WEEKDAY(R$6,1)=1,0,MIN(IF('_JobDays'!I3,8,10),R9)*R8)),MAX(0,40*MAX(1,R8)-(Q10)))),IF(OR(R8&lt;=0,NOT('_JobDays'!I2)),0,IF(WEEKDAY(R$6,1)=1,0,IF(WEEKDAY(R$6,1)=7,R8*R9,IF('_JobDays'!I4,MAX(0,R9-8)*R8,0))))+((IF(OR(R8&lt;=0,NOT('_JobDays'!I2)),0,IF(WEEKDAY(R$6,1)=1,0,IF(WEEKDAY(R$6,1)=7,0,IF('_JobDays'!I4,MIN(8,R9)*R8,R8*R9)))))-MIN(IF(OR(R8&lt;=0,NOT('_JobDays'!I2)),0,IF(WEEKDAY(R$6,1)=1,0,IF(WEEKDAY(R$6,1)=7,0,IF('_JobDays'!I4,MIN(8,R9)*R8,R8*R9)))),MAX(0,40*MAX(1,R8)-(Q10))))))</f>
        <v>0</v>
      </c>
      <c r="S11" s="62">
        <f>IF(AND(S8=1,S9=8,E7="Auto",IF(TRIM(B11)&lt;&gt;"",B11,B7)="Boilermaker Journeyman",AND('Job setup'!$B$7="ON",'Job setup'!$C$7&lt;=S$6,'Job setup'!$D$7&gt;=S$6,'Job setup'!$G$7="YES")),0,IF(OS7,IF(OR(S8&lt;=0,NOT('_JobDays'!J2)),0,IF(WEEKDAY(S$6,1)=1,0,MAX(0,S9-(IF('_JobDays'!J3,8,10)))*S8))+((IF(OR(S8&lt;=0,NOT('_JobDays'!J2)),0,IF(WEEKDAY(S$6,1)=1,0,MIN(IF('_JobDays'!J3,8,10),S9)*S8)))-MIN(IF(OR(S8&lt;=0,NOT('_JobDays'!J2)),0,IF(WEEKDAY(S$6,1)=1,0,MIN(IF('_JobDays'!J3,8,10),S9)*S8)),MAX(0,40*MAX(1,S8)-(Q10+R10)))),IF(OR(S8&lt;=0,NOT('_JobDays'!J2)),0,IF(WEEKDAY(S$6,1)=1,0,IF(WEEKDAY(S$6,1)=7,S8*S9,IF('_JobDays'!J4,MAX(0,S9-8)*S8,0))))+((IF(OR(S8&lt;=0,NOT('_JobDays'!J2)),0,IF(WEEKDAY(S$6,1)=1,0,IF(WEEKDAY(S$6,1)=7,0,IF('_JobDays'!J4,MIN(8,S9)*S8,S8*S9)))))-MIN(IF(OR(S8&lt;=0,NOT('_JobDays'!J2)),0,IF(WEEKDAY(S$6,1)=1,0,IF(WEEKDAY(S$6,1)=7,0,IF('_JobDays'!J4,MIN(8,S9)*S8,S8*S9)))),MAX(0,40*MAX(1,S8)-(Q10+R10))))))</f>
        <v>0</v>
      </c>
      <c r="T11" s="62">
        <f>IF(AND(T8=1,T9=12,E7="Auto",IF(TRIM(B11)&lt;&gt;"",B11,B7)="Boilermaker Journeyman",AND('Job setup'!$B$9="ON",'Job setup'!$C$9&lt;=T$6,'Job setup'!$D$9&gt;=T$6,'Job setup'!$G$9="NO")),4,IF(OS7,IF(OR(T8&lt;=0,NOT('_JobDays'!K2)),0,IF(WEEKDAY(T$6,1)=1,0,MAX(0,T9-(IF('_JobDays'!K3,8,10)))*T8))+((IF(OR(T8&lt;=0,NOT('_JobDays'!K2)),0,IF(WEEKDAY(T$6,1)=1,0,MIN(IF('_JobDays'!K3,8,10),T9)*T8)))-MIN(IF(OR(T8&lt;=0,NOT('_JobDays'!K2)),0,IF(WEEKDAY(T$6,1)=1,0,MIN(IF('_JobDays'!K3,8,10),T9)*T8)),MAX(0,40*MAX(1,T8)-(Q10+R10+S10)))),IF(OR(T8&lt;=0,NOT('_JobDays'!K2)),0,IF(WEEKDAY(T$6,1)=1,0,IF(WEEKDAY(T$6,1)=7,T8*T9,IF('_JobDays'!K4,MAX(0,T9-8)*T8,0))))+((IF(OR(T8&lt;=0,NOT('_JobDays'!K2)),0,IF(WEEKDAY(T$6,1)=1,0,IF(WEEKDAY(T$6,1)=7,0,IF('_JobDays'!K4,MIN(8,T9)*T8,T8*T9)))))-MIN(IF(OR(T8&lt;=0,NOT('_JobDays'!K2)),0,IF(WEEKDAY(T$6,1)=1,0,IF(WEEKDAY(T$6,1)=7,0,IF('_JobDays'!K4,MIN(8,T9)*T8,T8*T9)))),MAX(0,40*MAX(1,T8)-(Q10+R10+S10))))))</f>
        <v>4</v>
      </c>
      <c r="U11" s="62">
        <f>IF(AND(U8=1,U9=12,E7="Auto",IF(TRIM(B11)&lt;&gt;"",B11,B7)="Boilermaker Journeyman",AND('Job setup'!$B$9="ON",'Job setup'!$C$9&lt;=U$6,'Job setup'!$D$9&gt;=U$6,'Job setup'!$G$9="NO")),4,IF(OS7,IF(OR(U8&lt;=0,NOT('_JobDays'!L2)),0,IF(WEEKDAY(U$6,1)=1,0,MAX(0,U9-(IF('_JobDays'!L3,8,10)))*U8))+((IF(OR(U8&lt;=0,NOT('_JobDays'!L2)),0,IF(WEEKDAY(U$6,1)=1,0,MIN(IF('_JobDays'!L3,8,10),U9)*U8)))-MIN(IF(OR(U8&lt;=0,NOT('_JobDays'!L2)),0,IF(WEEKDAY(U$6,1)=1,0,MIN(IF('_JobDays'!L3,8,10),U9)*U8)),MAX(0,40*MAX(1,U8)-(Q10+R10+S10+T10)))),IF(OR(U8&lt;=0,NOT('_JobDays'!L2)),0,IF(WEEKDAY(U$6,1)=1,0,IF(WEEKDAY(U$6,1)=7,U8*U9,IF('_JobDays'!L4,MAX(0,U9-8)*U8,0))))+((IF(OR(U8&lt;=0,NOT('_JobDays'!L2)),0,IF(WEEKDAY(U$6,1)=1,0,IF(WEEKDAY(U$6,1)=7,0,IF('_JobDays'!L4,MIN(8,U9)*U8,U8*U9)))))-MIN(IF(OR(U8&lt;=0,NOT('_JobDays'!L2)),0,IF(WEEKDAY(U$6,1)=1,0,IF(WEEKDAY(U$6,1)=7,0,IF('_JobDays'!L4,MIN(8,U9)*U8,U8*U9)))),MAX(0,40*MAX(1,U8)-(Q10+R10+S10+T10))))))</f>
        <v>4</v>
      </c>
      <c r="V11" s="63">
        <f>IF(AND(V8=1,V9=12,E7="Auto",IF(TRIM(B11)&lt;&gt;"",B11,B7)="Boilermaker Journeyman",AND('Job setup'!$B$9="ON",'Job setup'!$C$9&lt;=V$6,'Job setup'!$D$9&gt;=V$6,'Job setup'!$G$9="NO")),12,IF(OS7,IF(OR(V8&lt;=0,NOT('_JobDays'!M2)),0,IF(WEEKDAY(V$6,1)=1,0,MAX(0,V9-(IF('_JobDays'!M3,8,10)))*V8))+((IF(OR(V8&lt;=0,NOT('_JobDays'!M2)),0,IF(WEEKDAY(V$6,1)=1,0,MIN(IF('_JobDays'!M3,8,10),V9)*V8)))-MIN(IF(OR(V8&lt;=0,NOT('_JobDays'!M2)),0,IF(WEEKDAY(V$6,1)=1,0,MIN(IF('_JobDays'!M3,8,10),V9)*V8)),MAX(0,40*MAX(1,V8)-(Q10+R10+S10+T10+U10)))),IF(OR(V8&lt;=0,NOT('_JobDays'!M2)),0,IF(WEEKDAY(V$6,1)=1,0,IF(WEEKDAY(V$6,1)=7,V8*V9,IF('_JobDays'!M4,MAX(0,V9-8)*V8,0))))+((IF(OR(V8&lt;=0,NOT('_JobDays'!M2)),0,IF(WEEKDAY(V$6,1)=1,0,IF(WEEKDAY(V$6,1)=7,0,IF('_JobDays'!M4,MIN(8,V9)*V8,V8*V9)))))-MIN(IF(OR(V8&lt;=0,NOT('_JobDays'!M2)),0,IF(WEEKDAY(V$6,1)=1,0,IF(WEEKDAY(V$6,1)=7,0,IF('_JobDays'!M4,MIN(8,V9)*V8,V8*V9)))),MAX(0,40*MAX(1,V8)-(Q10+R10+S10+T10+U10))))))</f>
        <v>12</v>
      </c>
      <c r="W11" s="63">
        <f>IF(AND(W8=1,W9=12,E7="Auto",IF(TRIM(B11)&lt;&gt;"",B11,B7)="Boilermaker Journeyman",AND('Job setup'!$B$9="ON",'Job setup'!$C$9&lt;=W$6,'Job setup'!$D$9&gt;=W$6,'Job setup'!$G$9="NO")),0,IF(OS7,IF(OR(W8&lt;=0,NOT('_JobDays'!N2)),0,IF(WEEKDAY(W$6,1)=1,0,MAX(0,W9-(IF('_JobDays'!N3,8,10)))*W8))+((IF(OR(W8&lt;=0,NOT('_JobDays'!N2)),0,IF(WEEKDAY(W$6,1)=1,0,MIN(IF('_JobDays'!N3,8,10),W9)*W8)))-MIN(IF(OR(W8&lt;=0,NOT('_JobDays'!N2)),0,IF(WEEKDAY(W$6,1)=1,0,MIN(IF('_JobDays'!N3,8,10),W9)*W8)),MAX(0,40*MAX(1,W8)-(Q10+R10+S10+T10+U10+V10)))),IF(OR(W8&lt;=0,NOT('_JobDays'!N2)),0,IF(WEEKDAY(W$6,1)=1,0,IF(WEEKDAY(W$6,1)=7,W8*W9,IF('_JobDays'!N4,MAX(0,W9-8)*W8,0))))+((IF(OR(W8&lt;=0,NOT('_JobDays'!N2)),0,IF(WEEKDAY(W$6,1)=1,0,IF(WEEKDAY(W$6,1)=7,0,IF('_JobDays'!N4,MIN(8,W9)*W8,W8*W9)))))-MIN(IF(OR(W8&lt;=0,NOT('_JobDays'!N2)),0,IF(WEEKDAY(W$6,1)=1,0,IF(WEEKDAY(W$6,1)=7,0,IF('_JobDays'!N4,MIN(8,W9)*W8,W8*W9)))),MAX(0,40*MAX(1,W8)-(Q10+R10+S10+T10+U10+V10))))))</f>
        <v>0</v>
      </c>
      <c r="X11" s="62">
        <f>IF(AND(X8=1,X9=12,E7="Auto",IF(TRIM(B11)&lt;&gt;"",B11,B7)="Boilermaker Journeyman",AND('Job setup'!$B$9="ON",'Job setup'!$C$9&lt;=X$6,'Job setup'!$D$9&gt;=X$6,'Job setup'!$G$9="NO")),4,IF(OS7,IF(OR(X8&lt;=0,NOT('_JobDays'!O2)),0,IF(WEEKDAY(X$6,1)=1,0,MAX(0,X9-(IF('_JobDays'!O3,8,10)))*X8))+((IF(OR(X8&lt;=0,NOT('_JobDays'!O2)),0,IF(WEEKDAY(X$6,1)=1,0,MIN(IF('_JobDays'!O3,8,10),X9)*X8)))-MIN(IF(OR(X8&lt;=0,NOT('_JobDays'!O2)),0,IF(WEEKDAY(X$6,1)=1,0,MIN(IF('_JobDays'!O3,8,10),X9)*X8)),MAX(0,40*MAX(1,X8)-(0)))),IF(OR(X8&lt;=0,NOT('_JobDays'!O2)),0,IF(WEEKDAY(X$6,1)=1,0,IF(WEEKDAY(X$6,1)=7,X8*X9,IF('_JobDays'!O4,MAX(0,X9-8)*X8,0))))+((IF(OR(X8&lt;=0,NOT('_JobDays'!O2)),0,IF(WEEKDAY(X$6,1)=1,0,IF(WEEKDAY(X$6,1)=7,0,IF('_JobDays'!O4,MIN(8,X9)*X8,X8*X9)))))-MIN(IF(OR(X8&lt;=0,NOT('_JobDays'!O2)),0,IF(WEEKDAY(X$6,1)=1,0,IF(WEEKDAY(X$6,1)=7,0,IF('_JobDays'!O4,MIN(8,X9)*X8,X8*X9)))),MAX(0,40*MAX(1,X8)-(0))))))</f>
        <v>4</v>
      </c>
      <c r="Y11" s="62">
        <f>IF(AND(Y8=1,Y9=12,E7="Auto",IF(TRIM(B11)&lt;&gt;"",B11,B7)="Boilermaker Journeyman",AND('Job setup'!$B$9="ON",'Job setup'!$C$9&lt;=Y$6,'Job setup'!$D$9&gt;=Y$6,'Job setup'!$G$9="NO")),4,IF(OS7,IF(OR(Y8&lt;=0,NOT('_JobDays'!P2)),0,IF(WEEKDAY(Y$6,1)=1,0,MAX(0,Y9-(IF('_JobDays'!P3,8,10)))*Y8))+((IF(OR(Y8&lt;=0,NOT('_JobDays'!P2)),0,IF(WEEKDAY(Y$6,1)=1,0,MIN(IF('_JobDays'!P3,8,10),Y9)*Y8)))-MIN(IF(OR(Y8&lt;=0,NOT('_JobDays'!P2)),0,IF(WEEKDAY(Y$6,1)=1,0,MIN(IF('_JobDays'!P3,8,10),Y9)*Y8)),MAX(0,40*MAX(1,Y8)-(X10)))),IF(OR(Y8&lt;=0,NOT('_JobDays'!P2)),0,IF(WEEKDAY(Y$6,1)=1,0,IF(WEEKDAY(Y$6,1)=7,Y8*Y9,IF('_JobDays'!P4,MAX(0,Y9-8)*Y8,0))))+((IF(OR(Y8&lt;=0,NOT('_JobDays'!P2)),0,IF(WEEKDAY(Y$6,1)=1,0,IF(WEEKDAY(Y$6,1)=7,0,IF('_JobDays'!P4,MIN(8,Y9)*Y8,Y8*Y9)))))-MIN(IF(OR(Y8&lt;=0,NOT('_JobDays'!P2)),0,IF(WEEKDAY(Y$6,1)=1,0,IF(WEEKDAY(Y$6,1)=7,0,IF('_JobDays'!P4,MIN(8,Y9)*Y8,Y8*Y9)))),MAX(0,40*MAX(1,Y8)-(X10))))))</f>
        <v>4</v>
      </c>
      <c r="Z11" s="62">
        <f>IF(AND(Z8=1,Z9=12,E7="Auto",IF(TRIM(B11)&lt;&gt;"",B11,B7)="Boilermaker Journeyman",AND('Job setup'!$B$9="ON",'Job setup'!$C$9&lt;=Z$6,'Job setup'!$D$9&gt;=Z$6,'Job setup'!$G$9="NO")),4,IF(OS7,IF(OR(Z8&lt;=0,NOT('_JobDays'!Q2)),0,IF(WEEKDAY(Z$6,1)=1,0,MAX(0,Z9-(IF('_JobDays'!Q3,8,10)))*Z8))+((IF(OR(Z8&lt;=0,NOT('_JobDays'!Q2)),0,IF(WEEKDAY(Z$6,1)=1,0,MIN(IF('_JobDays'!Q3,8,10),Z9)*Z8)))-MIN(IF(OR(Z8&lt;=0,NOT('_JobDays'!Q2)),0,IF(WEEKDAY(Z$6,1)=1,0,MIN(IF('_JobDays'!Q3,8,10),Z9)*Z8)),MAX(0,40*MAX(1,Z8)-(X10+Y10)))),IF(OR(Z8&lt;=0,NOT('_JobDays'!Q2)),0,IF(WEEKDAY(Z$6,1)=1,0,IF(WEEKDAY(Z$6,1)=7,Z8*Z9,IF('_JobDays'!Q4,MAX(0,Z9-8)*Z8,0))))+((IF(OR(Z8&lt;=0,NOT('_JobDays'!Q2)),0,IF(WEEKDAY(Z$6,1)=1,0,IF(WEEKDAY(Z$6,1)=7,0,IF('_JobDays'!Q4,MIN(8,Z9)*Z8,Z8*Z9)))))-MIN(IF(OR(Z8&lt;=0,NOT('_JobDays'!Q2)),0,IF(WEEKDAY(Z$6,1)=1,0,IF(WEEKDAY(Z$6,1)=7,0,IF('_JobDays'!Q4,MIN(8,Z9)*Z8,Z8*Z9)))),MAX(0,40*MAX(1,Z8)-(X10+Y10))))))</f>
        <v>4</v>
      </c>
      <c r="AA11" s="62">
        <f>IF(AND(AA8=1,AA9=12,E7="Auto",IF(TRIM(B11)&lt;&gt;"",B11,B7)="Boilermaker Journeyman",AND('Job setup'!$B$9="ON",'Job setup'!$C$9&lt;=AA$6,'Job setup'!$D$9&gt;=AA$6,'Job setup'!$G$9="NO")),4,IF(OS7,IF(OR(AA8&lt;=0,NOT('_JobDays'!R2)),0,IF(WEEKDAY(AA$6,1)=1,0,MAX(0,AA9-(IF('_JobDays'!R3,8,10)))*AA8))+((IF(OR(AA8&lt;=0,NOT('_JobDays'!R2)),0,IF(WEEKDAY(AA$6,1)=1,0,MIN(IF('_JobDays'!R3,8,10),AA9)*AA8)))-MIN(IF(OR(AA8&lt;=0,NOT('_JobDays'!R2)),0,IF(WEEKDAY(AA$6,1)=1,0,MIN(IF('_JobDays'!R3,8,10),AA9)*AA8)),MAX(0,40*MAX(1,AA8)-(X10+Y10+Z10)))),IF(OR(AA8&lt;=0,NOT('_JobDays'!R2)),0,IF(WEEKDAY(AA$6,1)=1,0,IF(WEEKDAY(AA$6,1)=7,AA8*AA9,IF('_JobDays'!R4,MAX(0,AA9-8)*AA8,0))))+((IF(OR(AA8&lt;=0,NOT('_JobDays'!R2)),0,IF(WEEKDAY(AA$6,1)=1,0,IF(WEEKDAY(AA$6,1)=7,0,IF('_JobDays'!R4,MIN(8,AA9)*AA8,AA8*AA9)))))-MIN(IF(OR(AA8&lt;=0,NOT('_JobDays'!R2)),0,IF(WEEKDAY(AA$6,1)=1,0,IF(WEEKDAY(AA$6,1)=7,0,IF('_JobDays'!R4,MIN(8,AA9)*AA8,AA8*AA9)))),MAX(0,40*MAX(1,AA8)-(X10+Y10+Z10))))))</f>
        <v>4</v>
      </c>
      <c r="AB11" s="62">
        <f>IF(AND(AB8=1,AB9=12,E7="Auto",IF(TRIM(B11)&lt;&gt;"",B11,B7)="Boilermaker Journeyman",AND('Job setup'!$B$9="ON",'Job setup'!$C$9&lt;=AB$6,'Job setup'!$D$9&gt;=AB$6,'Job setup'!$G$9="NO")),4,IF(OS7,IF(OR(AB8&lt;=0,NOT('_JobDays'!S2)),0,IF(WEEKDAY(AB$6,1)=1,0,MAX(0,AB9-(IF('_JobDays'!S3,8,10)))*AB8))+((IF(OR(AB8&lt;=0,NOT('_JobDays'!S2)),0,IF(WEEKDAY(AB$6,1)=1,0,MIN(IF('_JobDays'!S3,8,10),AB9)*AB8)))-MIN(IF(OR(AB8&lt;=0,NOT('_JobDays'!S2)),0,IF(WEEKDAY(AB$6,1)=1,0,MIN(IF('_JobDays'!S3,8,10),AB9)*AB8)),MAX(0,40*MAX(1,AB8)-(X10+Y10+Z10+AA10)))),IF(OR(AB8&lt;=0,NOT('_JobDays'!S2)),0,IF(WEEKDAY(AB$6,1)=1,0,IF(WEEKDAY(AB$6,1)=7,AB8*AB9,IF('_JobDays'!S4,MAX(0,AB9-8)*AB8,0))))+((IF(OR(AB8&lt;=0,NOT('_JobDays'!S2)),0,IF(WEEKDAY(AB$6,1)=1,0,IF(WEEKDAY(AB$6,1)=7,0,IF('_JobDays'!S4,MIN(8,AB9)*AB8,AB8*AB9)))))-MIN(IF(OR(AB8&lt;=0,NOT('_JobDays'!S2)),0,IF(WEEKDAY(AB$6,1)=1,0,IF(WEEKDAY(AB$6,1)=7,0,IF('_JobDays'!S4,MIN(8,AB9)*AB8,AB8*AB9)))),MAX(0,40*MAX(1,AB8)-(X10+Y10+Z10+AA10))))))</f>
        <v>4</v>
      </c>
      <c r="AC11" s="63">
        <f>IF(AND(AC8=1,AC9=12,E7="Auto",IF(TRIM(B11)&lt;&gt;"",B11,B7)="Boilermaker Journeyman",AND('Job setup'!$B$9="ON",'Job setup'!$C$9&lt;=AC$6,'Job setup'!$D$9&gt;=AC$6,'Job setup'!$G$9="NO")),12,IF(OS7,IF(OR(AC8&lt;=0,NOT('_JobDays'!T2)),0,IF(WEEKDAY(AC$6,1)=1,0,MAX(0,AC9-(IF('_JobDays'!T3,8,10)))*AC8))+((IF(OR(AC8&lt;=0,NOT('_JobDays'!T2)),0,IF(WEEKDAY(AC$6,1)=1,0,MIN(IF('_JobDays'!T3,8,10),AC9)*AC8)))-MIN(IF(OR(AC8&lt;=0,NOT('_JobDays'!T2)),0,IF(WEEKDAY(AC$6,1)=1,0,MIN(IF('_JobDays'!T3,8,10),AC9)*AC8)),MAX(0,40*MAX(1,AC8)-(X10+Y10+Z10+AA10+AB10)))),IF(OR(AC8&lt;=0,NOT('_JobDays'!T2)),0,IF(WEEKDAY(AC$6,1)=1,0,IF(WEEKDAY(AC$6,1)=7,AC8*AC9,IF('_JobDays'!T4,MAX(0,AC9-8)*AC8,0))))+((IF(OR(AC8&lt;=0,NOT('_JobDays'!T2)),0,IF(WEEKDAY(AC$6,1)=1,0,IF(WEEKDAY(AC$6,1)=7,0,IF('_JobDays'!T4,MIN(8,AC9)*AC8,AC8*AC9)))))-MIN(IF(OR(AC8&lt;=0,NOT('_JobDays'!T2)),0,IF(WEEKDAY(AC$6,1)=1,0,IF(WEEKDAY(AC$6,1)=7,0,IF('_JobDays'!T4,MIN(8,AC9)*AC8,AC8*AC9)))),MAX(0,40*MAX(1,AC8)-(X10+Y10+Z10+AA10+AB10))))))</f>
        <v>12</v>
      </c>
      <c r="AD11" s="63">
        <f>IF(AND(AD8=1,AD9=12,E7="Auto",IF(TRIM(B11)&lt;&gt;"",B11,B7)="Boilermaker Journeyman",AND('Job setup'!$B$9="ON",'Job setup'!$C$9&lt;=AD$6,'Job setup'!$D$9&gt;=AD$6,'Job setup'!$G$9="NO")),0,IF(OS7,IF(OR(AD8&lt;=0,NOT('_JobDays'!U2)),0,IF(WEEKDAY(AD$6,1)=1,0,MAX(0,AD9-(IF('_JobDays'!U3,8,10)))*AD8))+((IF(OR(AD8&lt;=0,NOT('_JobDays'!U2)),0,IF(WEEKDAY(AD$6,1)=1,0,MIN(IF('_JobDays'!U3,8,10),AD9)*AD8)))-MIN(IF(OR(AD8&lt;=0,NOT('_JobDays'!U2)),0,IF(WEEKDAY(AD$6,1)=1,0,MIN(IF('_JobDays'!U3,8,10),AD9)*AD8)),MAX(0,40*MAX(1,AD8)-(X10+Y10+Z10+AA10+AB10+AC10)))),IF(OR(AD8&lt;=0,NOT('_JobDays'!U2)),0,IF(WEEKDAY(AD$6,1)=1,0,IF(WEEKDAY(AD$6,1)=7,AD8*AD9,IF('_JobDays'!U4,MAX(0,AD9-8)*AD8,0))))+((IF(OR(AD8&lt;=0,NOT('_JobDays'!U2)),0,IF(WEEKDAY(AD$6,1)=1,0,IF(WEEKDAY(AD$6,1)=7,0,IF('_JobDays'!U4,MIN(8,AD9)*AD8,AD8*AD9)))))-MIN(IF(OR(AD8&lt;=0,NOT('_JobDays'!U2)),0,IF(WEEKDAY(AD$6,1)=1,0,IF(WEEKDAY(AD$6,1)=7,0,IF('_JobDays'!U4,MIN(8,AD9)*AD8,AD8*AD9)))),MAX(0,40*MAX(1,AD8)-(X10+Y10+Z10+AA10+AB10+AC10))))))</f>
        <v>0</v>
      </c>
      <c r="AE11" s="62">
        <f>IF(AND(AE8=1,AE9=12,E7="Auto",IF(TRIM(B11)&lt;&gt;"",B11,B7)="Boilermaker Journeyman",AND('Job setup'!$B$9="ON",'Job setup'!$C$9&lt;=AE$6,'Job setup'!$D$9&gt;=AE$6,'Job setup'!$G$9="NO")),4,IF(OS7,IF(OR(AE8&lt;=0,NOT('_JobDays'!V2)),0,IF(WEEKDAY(AE$6,1)=1,0,MAX(0,AE9-(IF('_JobDays'!V3,8,10)))*AE8))+((IF(OR(AE8&lt;=0,NOT('_JobDays'!V2)),0,IF(WEEKDAY(AE$6,1)=1,0,MIN(IF('_JobDays'!V3,8,10),AE9)*AE8)))-MIN(IF(OR(AE8&lt;=0,NOT('_JobDays'!V2)),0,IF(WEEKDAY(AE$6,1)=1,0,MIN(IF('_JobDays'!V3,8,10),AE9)*AE8)),MAX(0,40*MAX(1,AE8)-(0)))),IF(OR(AE8&lt;=0,NOT('_JobDays'!V2)),0,IF(WEEKDAY(AE$6,1)=1,0,IF(WEEKDAY(AE$6,1)=7,AE8*AE9,IF('_JobDays'!V4,MAX(0,AE9-8)*AE8,0))))+((IF(OR(AE8&lt;=0,NOT('_JobDays'!V2)),0,IF(WEEKDAY(AE$6,1)=1,0,IF(WEEKDAY(AE$6,1)=7,0,IF('_JobDays'!V4,MIN(8,AE9)*AE8,AE8*AE9)))))-MIN(IF(OR(AE8&lt;=0,NOT('_JobDays'!V2)),0,IF(WEEKDAY(AE$6,1)=1,0,IF(WEEKDAY(AE$6,1)=7,0,IF('_JobDays'!V4,MIN(8,AE9)*AE8,AE8*AE9)))),MAX(0,40*MAX(1,AE8)-(0))))))</f>
        <v>4</v>
      </c>
      <c r="AF11" s="62">
        <f>IF(AND(AF8=1,AF9=12,E7="Auto",IF(TRIM(B11)&lt;&gt;"",B11,B7)="Boilermaker Journeyman",AND('Job setup'!$B$9="ON",'Job setup'!$C$9&lt;=AF$6,'Job setup'!$D$9&gt;=AF$6,'Job setup'!$G$9="NO")),4,IF(OS7,IF(OR(AF8&lt;=0,NOT('_JobDays'!W2)),0,IF(WEEKDAY(AF$6,1)=1,0,MAX(0,AF9-(IF('_JobDays'!W3,8,10)))*AF8))+((IF(OR(AF8&lt;=0,NOT('_JobDays'!W2)),0,IF(WEEKDAY(AF$6,1)=1,0,MIN(IF('_JobDays'!W3,8,10),AF9)*AF8)))-MIN(IF(OR(AF8&lt;=0,NOT('_JobDays'!W2)),0,IF(WEEKDAY(AF$6,1)=1,0,MIN(IF('_JobDays'!W3,8,10),AF9)*AF8)),MAX(0,40*MAX(1,AF8)-(AE10)))),IF(OR(AF8&lt;=0,NOT('_JobDays'!W2)),0,IF(WEEKDAY(AF$6,1)=1,0,IF(WEEKDAY(AF$6,1)=7,AF8*AF9,IF('_JobDays'!W4,MAX(0,AF9-8)*AF8,0))))+((IF(OR(AF8&lt;=0,NOT('_JobDays'!W2)),0,IF(WEEKDAY(AF$6,1)=1,0,IF(WEEKDAY(AF$6,1)=7,0,IF('_JobDays'!W4,MIN(8,AF9)*AF8,AF8*AF9)))))-MIN(IF(OR(AF8&lt;=0,NOT('_JobDays'!W2)),0,IF(WEEKDAY(AF$6,1)=1,0,IF(WEEKDAY(AF$6,1)=7,0,IF('_JobDays'!W4,MIN(8,AF9)*AF8,AF8*AF9)))),MAX(0,40*MAX(1,AF8)-(AE10))))))</f>
        <v>4</v>
      </c>
      <c r="AG11" s="62">
        <f>IF(AND(AG8=1,AG9=12,E7="Auto",IF(TRIM(B11)&lt;&gt;"",B11,B7)="Boilermaker Journeyman",AND('Job setup'!$B$9="ON",'Job setup'!$C$9&lt;=AG$6,'Job setup'!$D$9&gt;=AG$6,'Job setup'!$G$9="NO")),4,IF(OS7,IF(OR(AG8&lt;=0,NOT('_JobDays'!X2)),0,IF(WEEKDAY(AG$6,1)=1,0,MAX(0,AG9-(IF('_JobDays'!X3,8,10)))*AG8))+((IF(OR(AG8&lt;=0,NOT('_JobDays'!X2)),0,IF(WEEKDAY(AG$6,1)=1,0,MIN(IF('_JobDays'!X3,8,10),AG9)*AG8)))-MIN(IF(OR(AG8&lt;=0,NOT('_JobDays'!X2)),0,IF(WEEKDAY(AG$6,1)=1,0,MIN(IF('_JobDays'!X3,8,10),AG9)*AG8)),MAX(0,40*MAX(1,AG8)-(AE10+AF10)))),IF(OR(AG8&lt;=0,NOT('_JobDays'!X2)),0,IF(WEEKDAY(AG$6,1)=1,0,IF(WEEKDAY(AG$6,1)=7,AG8*AG9,IF('_JobDays'!X4,MAX(0,AG9-8)*AG8,0))))+((IF(OR(AG8&lt;=0,NOT('_JobDays'!X2)),0,IF(WEEKDAY(AG$6,1)=1,0,IF(WEEKDAY(AG$6,1)=7,0,IF('_JobDays'!X4,MIN(8,AG9)*AG8,AG8*AG9)))))-MIN(IF(OR(AG8&lt;=0,NOT('_JobDays'!X2)),0,IF(WEEKDAY(AG$6,1)=1,0,IF(WEEKDAY(AG$6,1)=7,0,IF('_JobDays'!X4,MIN(8,AG9)*AG8,AG8*AG9)))),MAX(0,40*MAX(1,AG8)-(AE10+AF10))))))</f>
        <v>4</v>
      </c>
      <c r="AH11" s="62">
        <f>IF(AND(AH8=1,AH9=8,E7="Auto",IF(TRIM(B11)&lt;&gt;"",B11,B7)="Boilermaker Journeyman",AND('Job setup'!$B$11="ON",'Job setup'!$C$11&lt;=AH$6,'Job setup'!$D$11&gt;=AH$6,'Job setup'!$G$11="YES")),0,IF(OS7,IF(OR(AH8&lt;=0,NOT('_JobDays'!Y2)),0,IF(WEEKDAY(AH$6,1)=1,0,MAX(0,AH9-(IF('_JobDays'!Y3,8,10)))*AH8))+((IF(OR(AH8&lt;=0,NOT('_JobDays'!Y2)),0,IF(WEEKDAY(AH$6,1)=1,0,MIN(IF('_JobDays'!Y3,8,10),AH9)*AH8)))-MIN(IF(OR(AH8&lt;=0,NOT('_JobDays'!Y2)),0,IF(WEEKDAY(AH$6,1)=1,0,MIN(IF('_JobDays'!Y3,8,10),AH9)*AH8)),MAX(0,40*MAX(1,AH8)-(AE10+AF10+AG10)))),IF(OR(AH8&lt;=0,NOT('_JobDays'!Y2)),0,IF(WEEKDAY(AH$6,1)=1,0,IF(WEEKDAY(AH$6,1)=7,AH8*AH9,IF('_JobDays'!Y4,MAX(0,AH9-8)*AH8,0))))+((IF(OR(AH8&lt;=0,NOT('_JobDays'!Y2)),0,IF(WEEKDAY(AH$6,1)=1,0,IF(WEEKDAY(AH$6,1)=7,0,IF('_JobDays'!Y4,MIN(8,AH9)*AH8,AH8*AH9)))))-MIN(IF(OR(AH8&lt;=0,NOT('_JobDays'!Y2)),0,IF(WEEKDAY(AH$6,1)=1,0,IF(WEEKDAY(AH$6,1)=7,0,IF('_JobDays'!Y4,MIN(8,AH9)*AH8,AH8*AH9)))),MAX(0,40*MAX(1,AH8)-(AE10+AF10+AG10))))))</f>
        <v>0</v>
      </c>
      <c r="AI11" s="62">
        <f>IF(AND(AI8=1,AI9=8,E7="Auto",IF(TRIM(B11)&lt;&gt;"",B11,B7)="Boilermaker Journeyman",AND('Job setup'!$B$11="ON",'Job setup'!$C$11&lt;=AI$6,'Job setup'!$D$11&gt;=AI$6,'Job setup'!$G$11="YES")),0,IF(OS7,IF(OR(AI8&lt;=0,NOT('_JobDays'!Z2)),0,IF(WEEKDAY(AI$6,1)=1,0,MAX(0,AI9-(IF('_JobDays'!Z3,8,10)))*AI8))+((IF(OR(AI8&lt;=0,NOT('_JobDays'!Z2)),0,IF(WEEKDAY(AI$6,1)=1,0,MIN(IF('_JobDays'!Z3,8,10),AI9)*AI8)))-MIN(IF(OR(AI8&lt;=0,NOT('_JobDays'!Z2)),0,IF(WEEKDAY(AI$6,1)=1,0,MIN(IF('_JobDays'!Z3,8,10),AI9)*AI8)),MAX(0,40*MAX(1,AI8)-(AE10+AF10+AG10+AH10)))),IF(OR(AI8&lt;=0,NOT('_JobDays'!Z2)),0,IF(WEEKDAY(AI$6,1)=1,0,IF(WEEKDAY(AI$6,1)=7,AI8*AI9,IF('_JobDays'!Z4,MAX(0,AI9-8)*AI8,0))))+((IF(OR(AI8&lt;=0,NOT('_JobDays'!Z2)),0,IF(WEEKDAY(AI$6,1)=1,0,IF(WEEKDAY(AI$6,1)=7,0,IF('_JobDays'!Z4,MIN(8,AI9)*AI8,AI8*AI9)))))-MIN(IF(OR(AI8&lt;=0,NOT('_JobDays'!Z2)),0,IF(WEEKDAY(AI$6,1)=1,0,IF(WEEKDAY(AI$6,1)=7,0,IF('_JobDays'!Z4,MIN(8,AI9)*AI8,AI8*AI9)))),MAX(0,40*MAX(1,AI8)-(AE10+AF10+AG10+AH10))))))</f>
        <v>0</v>
      </c>
      <c r="AJ11" s="63">
        <f>IF(AND(AJ8=0,AJ9=0,E7="Auto",IF(TRIM(B11)&lt;&gt;"",B11,B7)="Boilermaker Journeyman",AND('Job setup'!$B$11="ON",'Job setup'!$C$11&lt;=AJ$6,'Job setup'!$D$11&gt;=AJ$6,'Job setup'!$G$11="YES")),0,IF(OS7,IF(OR(AJ8&lt;=0,NOT('_JobDays'!AA2)),0,IF(WEEKDAY(AJ$6,1)=1,0,MAX(0,AJ9-(IF('_JobDays'!AA3,8,10)))*AJ8))+((IF(OR(AJ8&lt;=0,NOT('_JobDays'!AA2)),0,IF(WEEKDAY(AJ$6,1)=1,0,MIN(IF('_JobDays'!AA3,8,10),AJ9)*AJ8)))-MIN(IF(OR(AJ8&lt;=0,NOT('_JobDays'!AA2)),0,IF(WEEKDAY(AJ$6,1)=1,0,MIN(IF('_JobDays'!AA3,8,10),AJ9)*AJ8)),MAX(0,40*MAX(1,AJ8)-(AE10+AF10+AG10+AH10+AI10)))),IF(OR(AJ8&lt;=0,NOT('_JobDays'!AA2)),0,IF(WEEKDAY(AJ$6,1)=1,0,IF(WEEKDAY(AJ$6,1)=7,AJ8*AJ9,IF('_JobDays'!AA4,MAX(0,AJ9-8)*AJ8,0))))+((IF(OR(AJ8&lt;=0,NOT('_JobDays'!AA2)),0,IF(WEEKDAY(AJ$6,1)=1,0,IF(WEEKDAY(AJ$6,1)=7,0,IF('_JobDays'!AA4,MIN(8,AJ9)*AJ8,AJ8*AJ9)))))-MIN(IF(OR(AJ8&lt;=0,NOT('_JobDays'!AA2)),0,IF(WEEKDAY(AJ$6,1)=1,0,IF(WEEKDAY(AJ$6,1)=7,0,IF('_JobDays'!AA4,MIN(8,AJ9)*AJ8,AJ8*AJ9)))),MAX(0,40*MAX(1,AJ8)-(AE10+AF10+AG10+AH10+AI10))))))</f>
        <v>0</v>
      </c>
      <c r="AK11" s="63">
        <f>IF(AND(AK8=0,AK9=0,E7="Auto",IF(TRIM(B11)&lt;&gt;"",B11,B7)="Boilermaker Journeyman",AND('Job setup'!$B$11="ON",'Job setup'!$C$11&lt;=AK$6,'Job setup'!$D$11&gt;=AK$6,'Job setup'!$G$11="YES")),0,IF(OS7,IF(OR(AK8&lt;=0,NOT('_JobDays'!AB2)),0,IF(WEEKDAY(AK$6,1)=1,0,MAX(0,AK9-(IF('_JobDays'!AB3,8,10)))*AK8))+((IF(OR(AK8&lt;=0,NOT('_JobDays'!AB2)),0,IF(WEEKDAY(AK$6,1)=1,0,MIN(IF('_JobDays'!AB3,8,10),AK9)*AK8)))-MIN(IF(OR(AK8&lt;=0,NOT('_JobDays'!AB2)),0,IF(WEEKDAY(AK$6,1)=1,0,MIN(IF('_JobDays'!AB3,8,10),AK9)*AK8)),MAX(0,40*MAX(1,AK8)-(AE10+AF10+AG10+AH10+AI10+AJ10)))),IF(OR(AK8&lt;=0,NOT('_JobDays'!AB2)),0,IF(WEEKDAY(AK$6,1)=1,0,IF(WEEKDAY(AK$6,1)=7,AK8*AK9,IF('_JobDays'!AB4,MAX(0,AK9-8)*AK8,0))))+((IF(OR(AK8&lt;=0,NOT('_JobDays'!AB2)),0,IF(WEEKDAY(AK$6,1)=1,0,IF(WEEKDAY(AK$6,1)=7,0,IF('_JobDays'!AB4,MIN(8,AK9)*AK8,AK8*AK9)))))-MIN(IF(OR(AK8&lt;=0,NOT('_JobDays'!AB2)),0,IF(WEEKDAY(AK$6,1)=1,0,IF(WEEKDAY(AK$6,1)=7,0,IF('_JobDays'!AB4,MIN(8,AK9)*AK8,AK8*AK9)))),MAX(0,40*MAX(1,AK8)-(AE10+AF10+AG10+AH10+AI10+AJ10))))))</f>
        <v>0</v>
      </c>
      <c r="AL11" s="62">
        <f>IF(AND(AL8=1,AL9=8,E7="Auto",IF(TRIM(B11)&lt;&gt;"",B11,B7)="Boilermaker Journeyman",AND('Job setup'!$B$11="ON",'Job setup'!$C$11&lt;=AL$6,'Job setup'!$D$11&gt;=AL$6,'Job setup'!$G$11="YES")),0,IF(OS7,IF(OR(AL8&lt;=0,NOT('_JobDays'!AC2)),0,IF(WEEKDAY(AL$6,1)=1,0,MAX(0,AL9-(IF('_JobDays'!AC3,8,10)))*AL8))+((IF(OR(AL8&lt;=0,NOT('_JobDays'!AC2)),0,IF(WEEKDAY(AL$6,1)=1,0,MIN(IF('_JobDays'!AC3,8,10),AL9)*AL8)))-MIN(IF(OR(AL8&lt;=0,NOT('_JobDays'!AC2)),0,IF(WEEKDAY(AL$6,1)=1,0,MIN(IF('_JobDays'!AC3,8,10),AL9)*AL8)),MAX(0,40*MAX(1,AL8)-(0)))),IF(OR(AL8&lt;=0,NOT('_JobDays'!AC2)),0,IF(WEEKDAY(AL$6,1)=1,0,IF(WEEKDAY(AL$6,1)=7,AL8*AL9,IF('_JobDays'!AC4,MAX(0,AL9-8)*AL8,0))))+((IF(OR(AL8&lt;=0,NOT('_JobDays'!AC2)),0,IF(WEEKDAY(AL$6,1)=1,0,IF(WEEKDAY(AL$6,1)=7,0,IF('_JobDays'!AC4,MIN(8,AL9)*AL8,AL8*AL9)))))-MIN(IF(OR(AL8&lt;=0,NOT('_JobDays'!AC2)),0,IF(WEEKDAY(AL$6,1)=1,0,IF(WEEKDAY(AL$6,1)=7,0,IF('_JobDays'!AC4,MIN(8,AL9)*AL8,AL8*AL9)))),MAX(0,40*MAX(1,AL8)-(0))))))</f>
        <v>0</v>
      </c>
      <c r="AM11" s="62">
        <f>IF(AND(AM8=1,AM9=8,E7="Auto",IF(TRIM(B11)&lt;&gt;"",B11,B7)="Boilermaker Journeyman",AND('Job setup'!$B$11="ON",'Job setup'!$C$11&lt;=AM$6,'Job setup'!$D$11&gt;=AM$6,'Job setup'!$G$11="YES")),0,IF(OS7,IF(OR(AM8&lt;=0,NOT('_JobDays'!AD2)),0,IF(WEEKDAY(AM$6,1)=1,0,MAX(0,AM9-(IF('_JobDays'!AD3,8,10)))*AM8))+((IF(OR(AM8&lt;=0,NOT('_JobDays'!AD2)),0,IF(WEEKDAY(AM$6,1)=1,0,MIN(IF('_JobDays'!AD3,8,10),AM9)*AM8)))-MIN(IF(OR(AM8&lt;=0,NOT('_JobDays'!AD2)),0,IF(WEEKDAY(AM$6,1)=1,0,MIN(IF('_JobDays'!AD3,8,10),AM9)*AM8)),MAX(0,40*MAX(1,AM8)-(AL10)))),IF(OR(AM8&lt;=0,NOT('_JobDays'!AD2)),0,IF(WEEKDAY(AM$6,1)=1,0,IF(WEEKDAY(AM$6,1)=7,AM8*AM9,IF('_JobDays'!AD4,MAX(0,AM9-8)*AM8,0))))+((IF(OR(AM8&lt;=0,NOT('_JobDays'!AD2)),0,IF(WEEKDAY(AM$6,1)=1,0,IF(WEEKDAY(AM$6,1)=7,0,IF('_JobDays'!AD4,MIN(8,AM9)*AM8,AM8*AM9)))))-MIN(IF(OR(AM8&lt;=0,NOT('_JobDays'!AD2)),0,IF(WEEKDAY(AM$6,1)=1,0,IF(WEEKDAY(AM$6,1)=7,0,IF('_JobDays'!AD4,MIN(8,AM9)*AM8,AM8*AM9)))),MAX(0,40*MAX(1,AM8)-(AL10))))))</f>
        <v>0</v>
      </c>
      <c r="AN11" s="62">
        <f>IF(AND(AN8=1,AN9=8,E7="Auto",IF(TRIM(B11)&lt;&gt;"",B11,B7)="Boilermaker Journeyman",AND('Job setup'!$B$11="ON",'Job setup'!$C$11&lt;=AN$6,'Job setup'!$D$11&gt;=AN$6,'Job setup'!$G$11="YES")),0,IF(OS7,IF(OR(AN8&lt;=0,NOT('_JobDays'!AE2)),0,IF(WEEKDAY(AN$6,1)=1,0,MAX(0,AN9-(IF('_JobDays'!AE3,8,10)))*AN8))+((IF(OR(AN8&lt;=0,NOT('_JobDays'!AE2)),0,IF(WEEKDAY(AN$6,1)=1,0,MIN(IF('_JobDays'!AE3,8,10),AN9)*AN8)))-MIN(IF(OR(AN8&lt;=0,NOT('_JobDays'!AE2)),0,IF(WEEKDAY(AN$6,1)=1,0,MIN(IF('_JobDays'!AE3,8,10),AN9)*AN8)),MAX(0,40*MAX(1,AN8)-(AL10+AM10)))),IF(OR(AN8&lt;=0,NOT('_JobDays'!AE2)),0,IF(WEEKDAY(AN$6,1)=1,0,IF(WEEKDAY(AN$6,1)=7,AN8*AN9,IF('_JobDays'!AE4,MAX(0,AN9-8)*AN8,0))))+((IF(OR(AN8&lt;=0,NOT('_JobDays'!AE2)),0,IF(WEEKDAY(AN$6,1)=1,0,IF(WEEKDAY(AN$6,1)=7,0,IF('_JobDays'!AE4,MIN(8,AN9)*AN8,AN8*AN9)))))-MIN(IF(OR(AN8&lt;=0,NOT('_JobDays'!AE2)),0,IF(WEEKDAY(AN$6,1)=1,0,IF(WEEKDAY(AN$6,1)=7,0,IF('_JobDays'!AE4,MIN(8,AN9)*AN8,AN8*AN9)))),MAX(0,40*MAX(1,AN8)-(AL10+AM10))))))</f>
        <v>0</v>
      </c>
      <c r="AO11" s="64">
        <f>IF(AND(AO8=1,AO9=8,E7="Auto",IF(TRIM(B11)&lt;&gt;"",B11,B7)="Boilermaker Journeyman",AND('Job setup'!$B$11="ON",'Job setup'!$C$11&lt;=AO$6,'Job setup'!$D$11&gt;=AO$6,'Job setup'!$G$11="YES")),0,IF(OS7,IF(OR(AO8&lt;=0,NOT('_JobDays'!AF2)),0,IF(WEEKDAY(AO$6,1)=1,0,MAX(0,AO9-(IF('_JobDays'!AF3,8,10)))*AO8))+((IF(OR(AO8&lt;=0,NOT('_JobDays'!AF2)),0,IF(WEEKDAY(AO$6,1)=1,0,MIN(IF('_JobDays'!AF3,8,10),AO9)*AO8)))-MIN(IF(OR(AO8&lt;=0,NOT('_JobDays'!AF2)),0,IF(WEEKDAY(AO$6,1)=1,0,MIN(IF('_JobDays'!AF3,8,10),AO9)*AO8)),MAX(0,40*MAX(1,AO8)-(AL10+AM10+AN10)))),IF(OR(AO8&lt;=0,NOT('_JobDays'!AF2)),0,IF(WEEKDAY(AO$6,1)=1,0,IF(WEEKDAY(AO$6,1)=7,AO8*AO9,IF('_JobDays'!AF4,MAX(0,AO9-8)*AO8,0))))+((IF(OR(AO8&lt;=0,NOT('_JobDays'!AF2)),0,IF(WEEKDAY(AO$6,1)=1,0,IF(WEEKDAY(AO$6,1)=7,0,IF('_JobDays'!AF4,MIN(8,AO9)*AO8,AO8*AO9)))))-MIN(IF(OR(AO8&lt;=0,NOT('_JobDays'!AF2)),0,IF(WEEKDAY(AO$6,1)=1,0,IF(WEEKDAY(AO$6,1)=7,0,IF('_JobDays'!AF4,MIN(8,AO9)*AO8,AO8*AO9)))),MAX(0,40*MAX(1,AO8)-(AL10+AM10+AN10))))))</f>
        <v>0</v>
      </c>
      <c r="OT11" s="28" t="s">
        <v>83</v>
      </c>
    </row>
    <row r="12" ht="16" customHeight="1" spans="1:410" x14ac:dyDescent="0.25">
      <c r="A12" s="43"/>
      <c r="B12" s="77"/>
      <c r="C12" s="60">
        <f>H7*N(D12)</f>
        <v>4732.5599999999995</v>
      </c>
      <c r="D12" s="60">
        <f>IF(TRIM(IF(TRIM(B11)&lt;&gt;"",B11,B7))="","No rate",IFERROR(INDEX('Rate Tables'!E$7:E$161,MATCH(IF(TRIM(B11)&lt;&gt;"",B11,B7),'Rate Tables'!A$7:A$161,0)),"No rate"))</f>
        <v>197.19</v>
      </c>
      <c r="E12" s="54" t="s">
        <v>62</v>
      </c>
      <c r="F12" s="48"/>
      <c r="G12" s="48"/>
      <c r="H12" s="48"/>
      <c r="I12" s="49"/>
      <c r="J12" s="61">
        <f>IF(AND(J8=1,J9=8,E7="Auto",IF(TRIM(B11)&lt;&gt;"",B11,B7)="Boilermaker Journeyman",AND('Job setup'!$B$7="ON",'Job setup'!$C$7&lt;=J$6,'Job setup'!$D$7&gt;=J$6,'Job setup'!$G$7="YES")),0,IF(OS7,IF(OR(J8&lt;=0,NOT('_JobDays'!A2)),0,IF(WEEKDAY(J$6,1)=1,J8*J9,0)),IF(OR(J8&lt;=0,NOT('_JobDays'!A2)),0,IF(WEEKDAY(J$6,1)=1,J8*J9,0))))</f>
        <v>0</v>
      </c>
      <c r="K12" s="62">
        <f>IF(AND(K8=1,K9=8,E7="Auto",IF(TRIM(B11)&lt;&gt;"",B11,B7)="Boilermaker Journeyman",AND('Job setup'!$B$7="ON",'Job setup'!$C$7&lt;=K$6,'Job setup'!$D$7&gt;=K$6,'Job setup'!$G$7="YES")),0,IF(OS7,IF(OR(K8&lt;=0,NOT('_JobDays'!B2)),0,IF(WEEKDAY(K$6,1)=1,K8*K9,0)),IF(OR(K8&lt;=0,NOT('_JobDays'!B2)),0,IF(WEEKDAY(K$6,1)=1,K8*K9,0))))</f>
        <v>0</v>
      </c>
      <c r="L12" s="62">
        <f>IF(AND(L8=1,L9=8,E7="Auto",IF(TRIM(B11)&lt;&gt;"",B11,B7)="Boilermaker Journeyman",AND('Job setup'!$B$7="ON",'Job setup'!$C$7&lt;=L$6,'Job setup'!$D$7&gt;=L$6,'Job setup'!$G$7="YES")),0,IF(OS7,IF(OR(L8&lt;=0,NOT('_JobDays'!C2)),0,IF(WEEKDAY(L$6,1)=1,L8*L9,0)),IF(OR(L8&lt;=0,NOT('_JobDays'!C2)),0,IF(WEEKDAY(L$6,1)=1,L8*L9,0))))</f>
        <v>0</v>
      </c>
      <c r="M12" s="62">
        <f>IF(AND(M8=1,M9=8,E7="Auto",IF(TRIM(B11)&lt;&gt;"",B11,B7)="Boilermaker Journeyman",AND('Job setup'!$B$7="ON",'Job setup'!$C$7&lt;=M$6,'Job setup'!$D$7&gt;=M$6,'Job setup'!$G$7="YES")),0,IF(OS7,IF(OR(M8&lt;=0,NOT('_JobDays'!D2)),0,IF(WEEKDAY(M$6,1)=1,M8*M9,0)),IF(OR(M8&lt;=0,NOT('_JobDays'!D2)),0,IF(WEEKDAY(M$6,1)=1,M8*M9,0))))</f>
        <v>0</v>
      </c>
      <c r="N12" s="62">
        <f>IF(AND(N8=1,N9=8,E7="Auto",IF(TRIM(B11)&lt;&gt;"",B11,B7)="Boilermaker Journeyman",AND('Job setup'!$B$7="ON",'Job setup'!$C$7&lt;=N$6,'Job setup'!$D$7&gt;=N$6,'Job setup'!$G$7="YES")),0,IF(OS7,IF(OR(N8&lt;=0,NOT('_JobDays'!E2)),0,IF(WEEKDAY(N$6,1)=1,N8*N9,0)),IF(OR(N8&lt;=0,NOT('_JobDays'!E2)),0,IF(WEEKDAY(N$6,1)=1,N8*N9,0))))</f>
        <v>0</v>
      </c>
      <c r="O12" s="63">
        <f>IF(AND(O8=0,O9=0,E7="Auto",IF(TRIM(B11)&lt;&gt;"",B11,B7)="Boilermaker Journeyman",AND('Job setup'!$B$7="ON",'Job setup'!$C$7&lt;=O$6,'Job setup'!$D$7&gt;=O$6,'Job setup'!$G$7="YES")),0,IF(OS7,IF(OR(O8&lt;=0,NOT('_JobDays'!F2)),0,IF(WEEKDAY(O$6,1)=1,O8*O9,0)),IF(OR(O8&lt;=0,NOT('_JobDays'!F2)),0,IF(WEEKDAY(O$6,1)=1,O8*O9,0))))</f>
        <v>0</v>
      </c>
      <c r="P12" s="63">
        <f>IF(AND(P8=0,P9=0,E7="Auto",IF(TRIM(B11)&lt;&gt;"",B11,B7)="Boilermaker Journeyman",AND('Job setup'!$B$7="ON",'Job setup'!$C$7&lt;=P$6,'Job setup'!$D$7&gt;=P$6,'Job setup'!$G$7="YES")),0,IF(OS7,IF(OR(P8&lt;=0,NOT('_JobDays'!G2)),0,IF(WEEKDAY(P$6,1)=1,P8*P9,0)),IF(OR(P8&lt;=0,NOT('_JobDays'!G2)),0,IF(WEEKDAY(P$6,1)=1,P8*P9,0))))</f>
        <v>0</v>
      </c>
      <c r="Q12" s="62">
        <f>IF(AND(Q8=1,Q9=8,E7="Auto",IF(TRIM(B11)&lt;&gt;"",B11,B7)="Boilermaker Journeyman",AND('Job setup'!$B$7="ON",'Job setup'!$C$7&lt;=Q$6,'Job setup'!$D$7&gt;=Q$6,'Job setup'!$G$7="YES")),0,IF(OS7,IF(OR(Q8&lt;=0,NOT('_JobDays'!H2)),0,IF(WEEKDAY(Q$6,1)=1,Q8*Q9,0)),IF(OR(Q8&lt;=0,NOT('_JobDays'!H2)),0,IF(WEEKDAY(Q$6,1)=1,Q8*Q9,0))))</f>
        <v>0</v>
      </c>
      <c r="R12" s="62">
        <f>IF(AND(R8=1,R9=8,E7="Auto",IF(TRIM(B11)&lt;&gt;"",B11,B7)="Boilermaker Journeyman",AND('Job setup'!$B$7="ON",'Job setup'!$C$7&lt;=R$6,'Job setup'!$D$7&gt;=R$6,'Job setup'!$G$7="YES")),0,IF(OS7,IF(OR(R8&lt;=0,NOT('_JobDays'!I2)),0,IF(WEEKDAY(R$6,1)=1,R8*R9,0)),IF(OR(R8&lt;=0,NOT('_JobDays'!I2)),0,IF(WEEKDAY(R$6,1)=1,R8*R9,0))))</f>
        <v>0</v>
      </c>
      <c r="S12" s="62">
        <f>IF(AND(S8=1,S9=8,E7="Auto",IF(TRIM(B11)&lt;&gt;"",B11,B7)="Boilermaker Journeyman",AND('Job setup'!$B$7="ON",'Job setup'!$C$7&lt;=S$6,'Job setup'!$D$7&gt;=S$6,'Job setup'!$G$7="YES")),0,IF(OS7,IF(OR(S8&lt;=0,NOT('_JobDays'!J2)),0,IF(WEEKDAY(S$6,1)=1,S8*S9,0)),IF(OR(S8&lt;=0,NOT('_JobDays'!J2)),0,IF(WEEKDAY(S$6,1)=1,S8*S9,0))))</f>
        <v>0</v>
      </c>
      <c r="T12" s="62">
        <f>IF(AND(T8=1,T9=12,E7="Auto",IF(TRIM(B11)&lt;&gt;"",B11,B7)="Boilermaker Journeyman",AND('Job setup'!$B$9="ON",'Job setup'!$C$9&lt;=T$6,'Job setup'!$D$9&gt;=T$6,'Job setup'!$G$9="NO")),0,IF(OS7,IF(OR(T8&lt;=0,NOT('_JobDays'!K2)),0,IF(WEEKDAY(T$6,1)=1,T8*T9,0)),IF(OR(T8&lt;=0,NOT('_JobDays'!K2)),0,IF(WEEKDAY(T$6,1)=1,T8*T9,0))))</f>
        <v>0</v>
      </c>
      <c r="U12" s="62">
        <f>IF(AND(U8=1,U9=12,E7="Auto",IF(TRIM(B11)&lt;&gt;"",B11,B7)="Boilermaker Journeyman",AND('Job setup'!$B$9="ON",'Job setup'!$C$9&lt;=U$6,'Job setup'!$D$9&gt;=U$6,'Job setup'!$G$9="NO")),0,IF(OS7,IF(OR(U8&lt;=0,NOT('_JobDays'!L2)),0,IF(WEEKDAY(U$6,1)=1,U8*U9,0)),IF(OR(U8&lt;=0,NOT('_JobDays'!L2)),0,IF(WEEKDAY(U$6,1)=1,U8*U9,0))))</f>
        <v>0</v>
      </c>
      <c r="V12" s="63">
        <f>IF(AND(V8=1,V9=12,E7="Auto",IF(TRIM(B11)&lt;&gt;"",B11,B7)="Boilermaker Journeyman",AND('Job setup'!$B$9="ON",'Job setup'!$C$9&lt;=V$6,'Job setup'!$D$9&gt;=V$6,'Job setup'!$G$9="NO")),0,IF(OS7,IF(OR(V8&lt;=0,NOT('_JobDays'!M2)),0,IF(WEEKDAY(V$6,1)=1,V8*V9,0)),IF(OR(V8&lt;=0,NOT('_JobDays'!M2)),0,IF(WEEKDAY(V$6,1)=1,V8*V9,0))))</f>
        <v>0</v>
      </c>
      <c r="W12" s="63">
        <f>IF(AND(W8=1,W9=12,E7="Auto",IF(TRIM(B11)&lt;&gt;"",B11,B7)="Boilermaker Journeyman",AND('Job setup'!$B$9="ON",'Job setup'!$C$9&lt;=W$6,'Job setup'!$D$9&gt;=W$6,'Job setup'!$G$9="NO")),12,IF(OS7,IF(OR(W8&lt;=0,NOT('_JobDays'!N2)),0,IF(WEEKDAY(W$6,1)=1,W8*W9,0)),IF(OR(W8&lt;=0,NOT('_JobDays'!N2)),0,IF(WEEKDAY(W$6,1)=1,W8*W9,0))))</f>
        <v>12</v>
      </c>
      <c r="X12" s="62">
        <f>IF(AND(X8=1,X9=12,E7="Auto",IF(TRIM(B11)&lt;&gt;"",B11,B7)="Boilermaker Journeyman",AND('Job setup'!$B$9="ON",'Job setup'!$C$9&lt;=X$6,'Job setup'!$D$9&gt;=X$6,'Job setup'!$G$9="NO")),0,IF(OS7,IF(OR(X8&lt;=0,NOT('_JobDays'!O2)),0,IF(WEEKDAY(X$6,1)=1,X8*X9,0)),IF(OR(X8&lt;=0,NOT('_JobDays'!O2)),0,IF(WEEKDAY(X$6,1)=1,X8*X9,0))))</f>
        <v>0</v>
      </c>
      <c r="Y12" s="62">
        <f>IF(AND(Y8=1,Y9=12,E7="Auto",IF(TRIM(B11)&lt;&gt;"",B11,B7)="Boilermaker Journeyman",AND('Job setup'!$B$9="ON",'Job setup'!$C$9&lt;=Y$6,'Job setup'!$D$9&gt;=Y$6,'Job setup'!$G$9="NO")),0,IF(OS7,IF(OR(Y8&lt;=0,NOT('_JobDays'!P2)),0,IF(WEEKDAY(Y$6,1)=1,Y8*Y9,0)),IF(OR(Y8&lt;=0,NOT('_JobDays'!P2)),0,IF(WEEKDAY(Y$6,1)=1,Y8*Y9,0))))</f>
        <v>0</v>
      </c>
      <c r="Z12" s="62">
        <f>IF(AND(Z8=1,Z9=12,E7="Auto",IF(TRIM(B11)&lt;&gt;"",B11,B7)="Boilermaker Journeyman",AND('Job setup'!$B$9="ON",'Job setup'!$C$9&lt;=Z$6,'Job setup'!$D$9&gt;=Z$6,'Job setup'!$G$9="NO")),0,IF(OS7,IF(OR(Z8&lt;=0,NOT('_JobDays'!Q2)),0,IF(WEEKDAY(Z$6,1)=1,Z8*Z9,0)),IF(OR(Z8&lt;=0,NOT('_JobDays'!Q2)),0,IF(WEEKDAY(Z$6,1)=1,Z8*Z9,0))))</f>
        <v>0</v>
      </c>
      <c r="AA12" s="62">
        <f>IF(AND(AA8=1,AA9=12,E7="Auto",IF(TRIM(B11)&lt;&gt;"",B11,B7)="Boilermaker Journeyman",AND('Job setup'!$B$9="ON",'Job setup'!$C$9&lt;=AA$6,'Job setup'!$D$9&gt;=AA$6,'Job setup'!$G$9="NO")),0,IF(OS7,IF(OR(AA8&lt;=0,NOT('_JobDays'!R2)),0,IF(WEEKDAY(AA$6,1)=1,AA8*AA9,0)),IF(OR(AA8&lt;=0,NOT('_JobDays'!R2)),0,IF(WEEKDAY(AA$6,1)=1,AA8*AA9,0))))</f>
        <v>0</v>
      </c>
      <c r="AB12" s="62">
        <f>IF(AND(AB8=1,AB9=12,E7="Auto",IF(TRIM(B11)&lt;&gt;"",B11,B7)="Boilermaker Journeyman",AND('Job setup'!$B$9="ON",'Job setup'!$C$9&lt;=AB$6,'Job setup'!$D$9&gt;=AB$6,'Job setup'!$G$9="NO")),0,IF(OS7,IF(OR(AB8&lt;=0,NOT('_JobDays'!S2)),0,IF(WEEKDAY(AB$6,1)=1,AB8*AB9,0)),IF(OR(AB8&lt;=0,NOT('_JobDays'!S2)),0,IF(WEEKDAY(AB$6,1)=1,AB8*AB9,0))))</f>
        <v>0</v>
      </c>
      <c r="AC12" s="63">
        <f>IF(AND(AC8=1,AC9=12,E7="Auto",IF(TRIM(B11)&lt;&gt;"",B11,B7)="Boilermaker Journeyman",AND('Job setup'!$B$9="ON",'Job setup'!$C$9&lt;=AC$6,'Job setup'!$D$9&gt;=AC$6,'Job setup'!$G$9="NO")),0,IF(OS7,IF(OR(AC8&lt;=0,NOT('_JobDays'!T2)),0,IF(WEEKDAY(AC$6,1)=1,AC8*AC9,0)),IF(OR(AC8&lt;=0,NOT('_JobDays'!T2)),0,IF(WEEKDAY(AC$6,1)=1,AC8*AC9,0))))</f>
        <v>0</v>
      </c>
      <c r="AD12" s="63">
        <f>IF(AND(AD8=1,AD9=12,E7="Auto",IF(TRIM(B11)&lt;&gt;"",B11,B7)="Boilermaker Journeyman",AND('Job setup'!$B$9="ON",'Job setup'!$C$9&lt;=AD$6,'Job setup'!$D$9&gt;=AD$6,'Job setup'!$G$9="NO")),12,IF(OS7,IF(OR(AD8&lt;=0,NOT('_JobDays'!U2)),0,IF(WEEKDAY(AD$6,1)=1,AD8*AD9,0)),IF(OR(AD8&lt;=0,NOT('_JobDays'!U2)),0,IF(WEEKDAY(AD$6,1)=1,AD8*AD9,0))))</f>
        <v>12</v>
      </c>
      <c r="AE12" s="62">
        <f>IF(AND(AE8=1,AE9=12,E7="Auto",IF(TRIM(B11)&lt;&gt;"",B11,B7)="Boilermaker Journeyman",AND('Job setup'!$B$9="ON",'Job setup'!$C$9&lt;=AE$6,'Job setup'!$D$9&gt;=AE$6,'Job setup'!$G$9="NO")),0,IF(OS7,IF(OR(AE8&lt;=0,NOT('_JobDays'!V2)),0,IF(WEEKDAY(AE$6,1)=1,AE8*AE9,0)),IF(OR(AE8&lt;=0,NOT('_JobDays'!V2)),0,IF(WEEKDAY(AE$6,1)=1,AE8*AE9,0))))</f>
        <v>0</v>
      </c>
      <c r="AF12" s="62">
        <f>IF(AND(AF8=1,AF9=12,E7="Auto",IF(TRIM(B11)&lt;&gt;"",B11,B7)="Boilermaker Journeyman",AND('Job setup'!$B$9="ON",'Job setup'!$C$9&lt;=AF$6,'Job setup'!$D$9&gt;=AF$6,'Job setup'!$G$9="NO")),0,IF(OS7,IF(OR(AF8&lt;=0,NOT('_JobDays'!W2)),0,IF(WEEKDAY(AF$6,1)=1,AF8*AF9,0)),IF(OR(AF8&lt;=0,NOT('_JobDays'!W2)),0,IF(WEEKDAY(AF$6,1)=1,AF8*AF9,0))))</f>
        <v>0</v>
      </c>
      <c r="AG12" s="62">
        <f>IF(AND(AG8=1,AG9=12,E7="Auto",IF(TRIM(B11)&lt;&gt;"",B11,B7)="Boilermaker Journeyman",AND('Job setup'!$B$9="ON",'Job setup'!$C$9&lt;=AG$6,'Job setup'!$D$9&gt;=AG$6,'Job setup'!$G$9="NO")),0,IF(OS7,IF(OR(AG8&lt;=0,NOT('_JobDays'!X2)),0,IF(WEEKDAY(AG$6,1)=1,AG8*AG9,0)),IF(OR(AG8&lt;=0,NOT('_JobDays'!X2)),0,IF(WEEKDAY(AG$6,1)=1,AG8*AG9,0))))</f>
        <v>0</v>
      </c>
      <c r="AH12" s="62">
        <f>IF(AND(AH8=1,AH9=8,E7="Auto",IF(TRIM(B11)&lt;&gt;"",B11,B7)="Boilermaker Journeyman",AND('Job setup'!$B$11="ON",'Job setup'!$C$11&lt;=AH$6,'Job setup'!$D$11&gt;=AH$6,'Job setup'!$G$11="YES")),0,IF(OS7,IF(OR(AH8&lt;=0,NOT('_JobDays'!Y2)),0,IF(WEEKDAY(AH$6,1)=1,AH8*AH9,0)),IF(OR(AH8&lt;=0,NOT('_JobDays'!Y2)),0,IF(WEEKDAY(AH$6,1)=1,AH8*AH9,0))))</f>
        <v>0</v>
      </c>
      <c r="AI12" s="62">
        <f>IF(AND(AI8=1,AI9=8,E7="Auto",IF(TRIM(B11)&lt;&gt;"",B11,B7)="Boilermaker Journeyman",AND('Job setup'!$B$11="ON",'Job setup'!$C$11&lt;=AI$6,'Job setup'!$D$11&gt;=AI$6,'Job setup'!$G$11="YES")),0,IF(OS7,IF(OR(AI8&lt;=0,NOT('_JobDays'!Z2)),0,IF(WEEKDAY(AI$6,1)=1,AI8*AI9,0)),IF(OR(AI8&lt;=0,NOT('_JobDays'!Z2)),0,IF(WEEKDAY(AI$6,1)=1,AI8*AI9,0))))</f>
        <v>0</v>
      </c>
      <c r="AJ12" s="63">
        <f>IF(AND(AJ8=0,AJ9=0,E7="Auto",IF(TRIM(B11)&lt;&gt;"",B11,B7)="Boilermaker Journeyman",AND('Job setup'!$B$11="ON",'Job setup'!$C$11&lt;=AJ$6,'Job setup'!$D$11&gt;=AJ$6,'Job setup'!$G$11="YES")),0,IF(OS7,IF(OR(AJ8&lt;=0,NOT('_JobDays'!AA2)),0,IF(WEEKDAY(AJ$6,1)=1,AJ8*AJ9,0)),IF(OR(AJ8&lt;=0,NOT('_JobDays'!AA2)),0,IF(WEEKDAY(AJ$6,1)=1,AJ8*AJ9,0))))</f>
        <v>0</v>
      </c>
      <c r="AK12" s="63">
        <f>IF(AND(AK8=0,AK9=0,E7="Auto",IF(TRIM(B11)&lt;&gt;"",B11,B7)="Boilermaker Journeyman",AND('Job setup'!$B$11="ON",'Job setup'!$C$11&lt;=AK$6,'Job setup'!$D$11&gt;=AK$6,'Job setup'!$G$11="YES")),0,IF(OS7,IF(OR(AK8&lt;=0,NOT('_JobDays'!AB2)),0,IF(WEEKDAY(AK$6,1)=1,AK8*AK9,0)),IF(OR(AK8&lt;=0,NOT('_JobDays'!AB2)),0,IF(WEEKDAY(AK$6,1)=1,AK8*AK9,0))))</f>
        <v>0</v>
      </c>
      <c r="AL12" s="62">
        <f>IF(AND(AL8=1,AL9=8,E7="Auto",IF(TRIM(B11)&lt;&gt;"",B11,B7)="Boilermaker Journeyman",AND('Job setup'!$B$11="ON",'Job setup'!$C$11&lt;=AL$6,'Job setup'!$D$11&gt;=AL$6,'Job setup'!$G$11="YES")),0,IF(OS7,IF(OR(AL8&lt;=0,NOT('_JobDays'!AC2)),0,IF(WEEKDAY(AL$6,1)=1,AL8*AL9,0)),IF(OR(AL8&lt;=0,NOT('_JobDays'!AC2)),0,IF(WEEKDAY(AL$6,1)=1,AL8*AL9,0))))</f>
        <v>0</v>
      </c>
      <c r="AM12" s="62">
        <f>IF(AND(AM8=1,AM9=8,E7="Auto",IF(TRIM(B11)&lt;&gt;"",B11,B7)="Boilermaker Journeyman",AND('Job setup'!$B$11="ON",'Job setup'!$C$11&lt;=AM$6,'Job setup'!$D$11&gt;=AM$6,'Job setup'!$G$11="YES")),0,IF(OS7,IF(OR(AM8&lt;=0,NOT('_JobDays'!AD2)),0,IF(WEEKDAY(AM$6,1)=1,AM8*AM9,0)),IF(OR(AM8&lt;=0,NOT('_JobDays'!AD2)),0,IF(WEEKDAY(AM$6,1)=1,AM8*AM9,0))))</f>
        <v>0</v>
      </c>
      <c r="AN12" s="62">
        <f>IF(AND(AN8=1,AN9=8,E7="Auto",IF(TRIM(B11)&lt;&gt;"",B11,B7)="Boilermaker Journeyman",AND('Job setup'!$B$11="ON",'Job setup'!$C$11&lt;=AN$6,'Job setup'!$D$11&gt;=AN$6,'Job setup'!$G$11="YES")),0,IF(OS7,IF(OR(AN8&lt;=0,NOT('_JobDays'!AE2)),0,IF(WEEKDAY(AN$6,1)=1,AN8*AN9,0)),IF(OR(AN8&lt;=0,NOT('_JobDays'!AE2)),0,IF(WEEKDAY(AN$6,1)=1,AN8*AN9,0))))</f>
        <v>0</v>
      </c>
      <c r="AO12" s="64">
        <f>IF(AND(AO8=1,AO9=8,E7="Auto",IF(TRIM(B11)&lt;&gt;"",B11,B7)="Boilermaker Journeyman",AND('Job setup'!$B$11="ON",'Job setup'!$C$11&lt;=AO$6,'Job setup'!$D$11&gt;=AO$6,'Job setup'!$G$11="YES")),0,IF(OS7,IF(OR(AO8&lt;=0,NOT('_JobDays'!AF2)),0,IF(WEEKDAY(AO$6,1)=1,AO8*AO9,0)),IF(OR(AO8&lt;=0,NOT('_JobDays'!AF2)),0,IF(WEEKDAY(AO$6,1)=1,AO8*AO9,0))))</f>
        <v>0</v>
      </c>
      <c r="OT12" s="28" t="s">
        <v>83</v>
      </c>
    </row>
    <row r="13" ht="16" customHeight="1" spans="1:410" x14ac:dyDescent="0.25">
      <c r="A13" s="43"/>
      <c r="B13" s="77"/>
      <c r="C13" s="66">
        <f>I7*D13</f>
        <v>3640</v>
      </c>
      <c r="D13" s="66">
        <v>130</v>
      </c>
      <c r="E13" s="67" t="s">
        <v>63</v>
      </c>
      <c r="F13" s="48"/>
      <c r="G13" s="48"/>
      <c r="H13" s="48"/>
      <c r="I13" s="49"/>
      <c r="J13" s="68">
        <v>1</v>
      </c>
      <c r="K13" s="69">
        <v>1</v>
      </c>
      <c r="L13" s="69">
        <v>1</v>
      </c>
      <c r="M13" s="69">
        <v>1</v>
      </c>
      <c r="N13" s="69">
        <v>1</v>
      </c>
      <c r="O13" s="70">
        <v>0</v>
      </c>
      <c r="P13" s="70">
        <v>0</v>
      </c>
      <c r="Q13" s="69">
        <v>1</v>
      </c>
      <c r="R13" s="69">
        <v>1</v>
      </c>
      <c r="S13" s="69">
        <v>1</v>
      </c>
      <c r="T13" s="69">
        <v>1</v>
      </c>
      <c r="U13" s="69">
        <v>1</v>
      </c>
      <c r="V13" s="70">
        <v>1</v>
      </c>
      <c r="W13" s="70">
        <v>1</v>
      </c>
      <c r="X13" s="69">
        <v>1</v>
      </c>
      <c r="Y13" s="69">
        <v>1</v>
      </c>
      <c r="Z13" s="69">
        <v>1</v>
      </c>
      <c r="AA13" s="69">
        <v>1</v>
      </c>
      <c r="AB13" s="69">
        <v>1</v>
      </c>
      <c r="AC13" s="70">
        <v>1</v>
      </c>
      <c r="AD13" s="70">
        <v>1</v>
      </c>
      <c r="AE13" s="69">
        <v>1</v>
      </c>
      <c r="AF13" s="69">
        <v>1</v>
      </c>
      <c r="AG13" s="69">
        <v>1</v>
      </c>
      <c r="AH13" s="69">
        <v>1</v>
      </c>
      <c r="AI13" s="69">
        <v>1</v>
      </c>
      <c r="AJ13" s="70">
        <v>0</v>
      </c>
      <c r="AK13" s="70">
        <v>0</v>
      </c>
      <c r="AL13" s="69">
        <v>1</v>
      </c>
      <c r="AM13" s="69">
        <v>1</v>
      </c>
      <c r="AN13" s="69">
        <v>1</v>
      </c>
      <c r="AO13" s="71">
        <v>1</v>
      </c>
      <c r="OT13" s="59" t="s">
        <v>83</v>
      </c>
    </row>
    <row r="14" ht="8" customHeight="1" spans="1:41" x14ac:dyDescent="0.25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</row>
    <row r="15" ht="16" customHeight="1" spans="1:410" x14ac:dyDescent="0.25">
      <c r="A15" s="73" t="s">
        <v>70</v>
      </c>
      <c r="B15" s="47" t="s">
        <v>82</v>
      </c>
      <c r="C15" s="45">
        <f>C18+C19+C20</f>
        <v>23180.879999999997</v>
      </c>
      <c r="D15" s="46"/>
      <c r="E15" s="47" t="s">
        <v>56</v>
      </c>
      <c r="F15" s="48">
        <f>SUM(J18:AO18)</f>
        <v>80</v>
      </c>
      <c r="G15" s="48">
        <f>SUM(J19:AO19)</f>
        <v>64</v>
      </c>
      <c r="H15" s="48">
        <f>SUM(J20:AO20)</f>
        <v>24</v>
      </c>
      <c r="I15" s="49">
        <f>SUM(J21:AO21)</f>
        <v>14</v>
      </c>
      <c r="J15" s="50"/>
      <c r="K15" s="51"/>
      <c r="L15" s="51"/>
      <c r="M15" s="51"/>
      <c r="N15" s="51"/>
      <c r="O15" s="52"/>
      <c r="P15" s="52"/>
      <c r="Q15" s="51"/>
      <c r="R15" s="51"/>
      <c r="S15" s="51"/>
      <c r="T15" s="51"/>
      <c r="U15" s="51"/>
      <c r="V15" s="52"/>
      <c r="W15" s="52"/>
      <c r="X15" s="51"/>
      <c r="Y15" s="51"/>
      <c r="Z15" s="51"/>
      <c r="AA15" s="51"/>
      <c r="AB15" s="51"/>
      <c r="AC15" s="52"/>
      <c r="AD15" s="52"/>
      <c r="AE15" s="51"/>
      <c r="AF15" s="51"/>
      <c r="AG15" s="51"/>
      <c r="AH15" s="51"/>
      <c r="AI15" s="51"/>
      <c r="AJ15" s="52"/>
      <c r="AK15" s="52"/>
      <c r="AL15" s="51"/>
      <c r="AM15" s="51"/>
      <c r="AN15" s="51"/>
      <c r="AO15" s="53"/>
      <c r="OS15" s="28">
        <f>OR(E15="Staff clock",AND(OR(E15="Auto",E15=""),ISNUMBER(MATCH(IF(TRIM(B19)&lt;&gt;"",B19,B15),'_Lists'!$K$1:$K$137,0))))</f>
        <v>0</v>
      </c>
      <c r="OT15" s="28" t="s">
        <v>86</v>
      </c>
    </row>
    <row r="16" ht="16" customHeight="1" spans="1:410" x14ac:dyDescent="0.25">
      <c r="A16" s="73"/>
      <c r="B16" s="47"/>
      <c r="C16" s="45"/>
      <c r="D16" s="46"/>
      <c r="E16" s="54" t="s">
        <v>58</v>
      </c>
      <c r="F16" s="48"/>
      <c r="G16" s="48"/>
      <c r="H16" s="48"/>
      <c r="I16" s="49"/>
      <c r="J16" s="55">
        <v>0</v>
      </c>
      <c r="K16" s="56">
        <v>0</v>
      </c>
      <c r="L16" s="56">
        <v>0</v>
      </c>
      <c r="M16" s="56">
        <v>0</v>
      </c>
      <c r="N16" s="56">
        <v>0</v>
      </c>
      <c r="O16" s="57">
        <v>0</v>
      </c>
      <c r="P16" s="57">
        <v>0</v>
      </c>
      <c r="Q16" s="56">
        <v>0</v>
      </c>
      <c r="R16" s="56">
        <v>0</v>
      </c>
      <c r="S16" s="56">
        <v>0</v>
      </c>
      <c r="T16" s="56">
        <v>1</v>
      </c>
      <c r="U16" s="56">
        <v>1</v>
      </c>
      <c r="V16" s="57">
        <v>1</v>
      </c>
      <c r="W16" s="57">
        <v>1</v>
      </c>
      <c r="X16" s="56">
        <v>1</v>
      </c>
      <c r="Y16" s="56">
        <v>1</v>
      </c>
      <c r="Z16" s="56">
        <v>1</v>
      </c>
      <c r="AA16" s="56">
        <v>1</v>
      </c>
      <c r="AB16" s="56">
        <v>1</v>
      </c>
      <c r="AC16" s="57">
        <v>1</v>
      </c>
      <c r="AD16" s="57">
        <v>1</v>
      </c>
      <c r="AE16" s="56">
        <v>1</v>
      </c>
      <c r="AF16" s="56">
        <v>1</v>
      </c>
      <c r="AG16" s="56">
        <v>1</v>
      </c>
      <c r="AH16" s="56">
        <v>0</v>
      </c>
      <c r="AI16" s="56">
        <v>0</v>
      </c>
      <c r="AJ16" s="57">
        <v>0</v>
      </c>
      <c r="AK16" s="57">
        <v>0</v>
      </c>
      <c r="AL16" s="56">
        <v>0</v>
      </c>
      <c r="AM16" s="56">
        <v>0</v>
      </c>
      <c r="AN16" s="56">
        <v>0</v>
      </c>
      <c r="AO16" s="58">
        <v>0</v>
      </c>
      <c r="OT16" s="59" t="s">
        <v>86</v>
      </c>
    </row>
    <row r="17" ht="16" customHeight="1" spans="1:410" x14ac:dyDescent="0.25">
      <c r="A17" s="73"/>
      <c r="B17" s="47"/>
      <c r="C17" s="45"/>
      <c r="D17" s="46"/>
      <c r="E17" s="54" t="s">
        <v>59</v>
      </c>
      <c r="F17" s="48"/>
      <c r="G17" s="48"/>
      <c r="H17" s="48"/>
      <c r="I17" s="49"/>
      <c r="J17" s="55">
        <v>0</v>
      </c>
      <c r="K17" s="56">
        <v>0</v>
      </c>
      <c r="L17" s="56">
        <v>0</v>
      </c>
      <c r="M17" s="56">
        <v>0</v>
      </c>
      <c r="N17" s="56">
        <v>0</v>
      </c>
      <c r="O17" s="57">
        <v>0</v>
      </c>
      <c r="P17" s="57">
        <v>0</v>
      </c>
      <c r="Q17" s="56">
        <v>0</v>
      </c>
      <c r="R17" s="56">
        <v>0</v>
      </c>
      <c r="S17" s="56">
        <v>0</v>
      </c>
      <c r="T17" s="56">
        <v>12</v>
      </c>
      <c r="U17" s="56">
        <v>12</v>
      </c>
      <c r="V17" s="57">
        <v>12</v>
      </c>
      <c r="W17" s="57">
        <v>12</v>
      </c>
      <c r="X17" s="56">
        <v>12</v>
      </c>
      <c r="Y17" s="56">
        <v>12</v>
      </c>
      <c r="Z17" s="56">
        <v>12</v>
      </c>
      <c r="AA17" s="56">
        <v>12</v>
      </c>
      <c r="AB17" s="56">
        <v>12</v>
      </c>
      <c r="AC17" s="57">
        <v>12</v>
      </c>
      <c r="AD17" s="57">
        <v>12</v>
      </c>
      <c r="AE17" s="56">
        <v>12</v>
      </c>
      <c r="AF17" s="56">
        <v>12</v>
      </c>
      <c r="AG17" s="56">
        <v>12</v>
      </c>
      <c r="AH17" s="56">
        <v>0</v>
      </c>
      <c r="AI17" s="56">
        <v>0</v>
      </c>
      <c r="AJ17" s="57">
        <v>0</v>
      </c>
      <c r="AK17" s="57">
        <v>0</v>
      </c>
      <c r="AL17" s="56">
        <v>0</v>
      </c>
      <c r="AM17" s="56">
        <v>0</v>
      </c>
      <c r="AN17" s="56">
        <v>0</v>
      </c>
      <c r="AO17" s="58">
        <v>0</v>
      </c>
      <c r="OT17" s="59" t="s">
        <v>86</v>
      </c>
    </row>
    <row r="18" ht="16" customHeight="1" spans="1:410" x14ac:dyDescent="0.25">
      <c r="A18" s="73"/>
      <c r="B18" s="76" t="s">
        <v>84</v>
      </c>
      <c r="C18" s="60">
        <f>F15*N(D18)</f>
        <v>8670.4</v>
      </c>
      <c r="D18" s="60">
        <f>IF(TRIM(IF(TRIM(B19)&lt;&gt;"",B19,B15))="","No rate",IFERROR(INDEX('Rate Tables'!C$7:C$161,MATCH(IF(TRIM(B19)&lt;&gt;"",B19,B15),'Rate Tables'!A$7:A$161,0)),"No rate"))</f>
        <v>108.38</v>
      </c>
      <c r="E18" s="54" t="s">
        <v>60</v>
      </c>
      <c r="F18" s="48"/>
      <c r="G18" s="48"/>
      <c r="H18" s="48"/>
      <c r="I18" s="49"/>
      <c r="J18" s="61">
        <f>IF(AND(J16=0,J17=0,E15="Auto",IF(TRIM(B19)&lt;&gt;"",B19,B15)="Boilermaker Journeyman",AND('Job setup'!$B$7="ON",'Job setup'!$C$7&lt;=J$6,'Job setup'!$D$7&gt;=J$6,'Job setup'!$G$7="YES")),0,IF(OS15,MIN(IF(OR(J16&lt;=0,NOT('_JobDays'!A2)),0,IF(WEEKDAY(J$6,1)=1,0,MIN(IF('_JobDays'!A3,8,10),J17)*J16)),MAX(0,40*MAX(1,J16)-(0))),MIN(IF(OR(J16&lt;=0,NOT('_JobDays'!A2)),0,IF(WEEKDAY(J$6,1)=1,0,IF(WEEKDAY(J$6,1)=7,0,IF('_JobDays'!A4,MIN(8,J17)*J16,J16*J17)))),MAX(0,40*MAX(1,J16)-(0)))))</f>
        <v>0</v>
      </c>
      <c r="K18" s="62">
        <f>IF(AND(K16=0,K17=0,E15="Auto",IF(TRIM(B19)&lt;&gt;"",B19,B15)="Boilermaker Journeyman",AND('Job setup'!$B$7="ON",'Job setup'!$C$7&lt;=K$6,'Job setup'!$D$7&gt;=K$6,'Job setup'!$G$7="YES")),0,IF(OS15,MIN(IF(OR(K16&lt;=0,NOT('_JobDays'!B2)),0,IF(WEEKDAY(K$6,1)=1,0,MIN(IF('_JobDays'!B3,8,10),K17)*K16)),MAX(0,40*MAX(1,K16)-(J18))),MIN(IF(OR(K16&lt;=0,NOT('_JobDays'!B2)),0,IF(WEEKDAY(K$6,1)=1,0,IF(WEEKDAY(K$6,1)=7,0,IF('_JobDays'!B4,MIN(8,K17)*K16,K16*K17)))),MAX(0,40*MAX(1,K16)-(J18)))))</f>
        <v>0</v>
      </c>
      <c r="L18" s="62">
        <f>IF(AND(L16=0,L17=0,E15="Auto",IF(TRIM(B19)&lt;&gt;"",B19,B15)="Boilermaker Journeyman",AND('Job setup'!$B$7="ON",'Job setup'!$C$7&lt;=L$6,'Job setup'!$D$7&gt;=L$6,'Job setup'!$G$7="YES")),0,IF(OS15,MIN(IF(OR(L16&lt;=0,NOT('_JobDays'!C2)),0,IF(WEEKDAY(L$6,1)=1,0,MIN(IF('_JobDays'!C3,8,10),L17)*L16)),MAX(0,40*MAX(1,L16)-(J18+K18))),MIN(IF(OR(L16&lt;=0,NOT('_JobDays'!C2)),0,IF(WEEKDAY(L$6,1)=1,0,IF(WEEKDAY(L$6,1)=7,0,IF('_JobDays'!C4,MIN(8,L17)*L16,L16*L17)))),MAX(0,40*MAX(1,L16)-(J18+K18)))))</f>
        <v>0</v>
      </c>
      <c r="M18" s="62">
        <f>IF(AND(M16=0,M17=0,E15="Auto",IF(TRIM(B19)&lt;&gt;"",B19,B15)="Boilermaker Journeyman",AND('Job setup'!$B$7="ON",'Job setup'!$C$7&lt;=M$6,'Job setup'!$D$7&gt;=M$6,'Job setup'!$G$7="YES")),0,IF(OS15,MIN(IF(OR(M16&lt;=0,NOT('_JobDays'!D2)),0,IF(WEEKDAY(M$6,1)=1,0,MIN(IF('_JobDays'!D3,8,10),M17)*M16)),MAX(0,40*MAX(1,M16)-(J18+K18+L18))),MIN(IF(OR(M16&lt;=0,NOT('_JobDays'!D2)),0,IF(WEEKDAY(M$6,1)=1,0,IF(WEEKDAY(M$6,1)=7,0,IF('_JobDays'!D4,MIN(8,M17)*M16,M16*M17)))),MAX(0,40*MAX(1,M16)-(J18+K18+L18)))))</f>
        <v>0</v>
      </c>
      <c r="N18" s="62">
        <f>IF(AND(N16=0,N17=0,E15="Auto",IF(TRIM(B19)&lt;&gt;"",B19,B15)="Boilermaker Journeyman",AND('Job setup'!$B$7="ON",'Job setup'!$C$7&lt;=N$6,'Job setup'!$D$7&gt;=N$6,'Job setup'!$G$7="YES")),0,IF(OS15,MIN(IF(OR(N16&lt;=0,NOT('_JobDays'!E2)),0,IF(WEEKDAY(N$6,1)=1,0,MIN(IF('_JobDays'!E3,8,10),N17)*N16)),MAX(0,40*MAX(1,N16)-(J18+K18+L18+M18))),MIN(IF(OR(N16&lt;=0,NOT('_JobDays'!E2)),0,IF(WEEKDAY(N$6,1)=1,0,IF(WEEKDAY(N$6,1)=7,0,IF('_JobDays'!E4,MIN(8,N17)*N16,N16*N17)))),MAX(0,40*MAX(1,N16)-(J18+K18+L18+M18)))))</f>
        <v>0</v>
      </c>
      <c r="O18" s="63">
        <f>IF(AND(O16=0,O17=0,E15="Auto",IF(TRIM(B19)&lt;&gt;"",B19,B15)="Boilermaker Journeyman",AND('Job setup'!$B$7="ON",'Job setup'!$C$7&lt;=O$6,'Job setup'!$D$7&gt;=O$6,'Job setup'!$G$7="YES")),0,IF(OS15,MIN(IF(OR(O16&lt;=0,NOT('_JobDays'!F2)),0,IF(WEEKDAY(O$6,1)=1,0,MIN(IF('_JobDays'!F3,8,10),O17)*O16)),MAX(0,40*MAX(1,O16)-(J18+K18+L18+M18+N18))),MIN(IF(OR(O16&lt;=0,NOT('_JobDays'!F2)),0,IF(WEEKDAY(O$6,1)=1,0,IF(WEEKDAY(O$6,1)=7,0,IF('_JobDays'!F4,MIN(8,O17)*O16,O16*O17)))),MAX(0,40*MAX(1,O16)-(J18+K18+L18+M18+N18)))))</f>
        <v>0</v>
      </c>
      <c r="P18" s="63">
        <f>IF(AND(P16=0,P17=0,E15="Auto",IF(TRIM(B19)&lt;&gt;"",B19,B15)="Boilermaker Journeyman",AND('Job setup'!$B$7="ON",'Job setup'!$C$7&lt;=P$6,'Job setup'!$D$7&gt;=P$6,'Job setup'!$G$7="YES")),0,IF(OS15,MIN(IF(OR(P16&lt;=0,NOT('_JobDays'!G2)),0,IF(WEEKDAY(P$6,1)=1,0,MIN(IF('_JobDays'!G3,8,10),P17)*P16)),MAX(0,40*MAX(1,P16)-(J18+K18+L18+M18+N18+O18))),MIN(IF(OR(P16&lt;=0,NOT('_JobDays'!G2)),0,IF(WEEKDAY(P$6,1)=1,0,IF(WEEKDAY(P$6,1)=7,0,IF('_JobDays'!G4,MIN(8,P17)*P16,P16*P17)))),MAX(0,40*MAX(1,P16)-(J18+K18+L18+M18+N18+O18)))))</f>
        <v>0</v>
      </c>
      <c r="Q18" s="62">
        <f>IF(AND(Q16=0,Q17=0,E15="Auto",IF(TRIM(B19)&lt;&gt;"",B19,B15)="Boilermaker Journeyman",AND('Job setup'!$B$7="ON",'Job setup'!$C$7&lt;=Q$6,'Job setup'!$D$7&gt;=Q$6,'Job setup'!$G$7="YES")),0,IF(OS15,MIN(IF(OR(Q16&lt;=0,NOT('_JobDays'!H2)),0,IF(WEEKDAY(Q$6,1)=1,0,MIN(IF('_JobDays'!H3,8,10),Q17)*Q16)),MAX(0,40*MAX(1,Q16)-(0))),MIN(IF(OR(Q16&lt;=0,NOT('_JobDays'!H2)),0,IF(WEEKDAY(Q$6,1)=1,0,IF(WEEKDAY(Q$6,1)=7,0,IF('_JobDays'!H4,MIN(8,Q17)*Q16,Q16*Q17)))),MAX(0,40*MAX(1,Q16)-(0)))))</f>
        <v>0</v>
      </c>
      <c r="R18" s="62">
        <f>IF(AND(R16=0,R17=0,E15="Auto",IF(TRIM(B19)&lt;&gt;"",B19,B15)="Boilermaker Journeyman",AND('Job setup'!$B$7="ON",'Job setup'!$C$7&lt;=R$6,'Job setup'!$D$7&gt;=R$6,'Job setup'!$G$7="YES")),0,IF(OS15,MIN(IF(OR(R16&lt;=0,NOT('_JobDays'!I2)),0,IF(WEEKDAY(R$6,1)=1,0,MIN(IF('_JobDays'!I3,8,10),R17)*R16)),MAX(0,40*MAX(1,R16)-(Q18))),MIN(IF(OR(R16&lt;=0,NOT('_JobDays'!I2)),0,IF(WEEKDAY(R$6,1)=1,0,IF(WEEKDAY(R$6,1)=7,0,IF('_JobDays'!I4,MIN(8,R17)*R16,R16*R17)))),MAX(0,40*MAX(1,R16)-(Q18)))))</f>
        <v>0</v>
      </c>
      <c r="S18" s="62">
        <f>IF(AND(S16=0,S17=0,E15="Auto",IF(TRIM(B19)&lt;&gt;"",B19,B15)="Boilermaker Journeyman",AND('Job setup'!$B$7="ON",'Job setup'!$C$7&lt;=S$6,'Job setup'!$D$7&gt;=S$6,'Job setup'!$G$7="YES")),0,IF(OS15,MIN(IF(OR(S16&lt;=0,NOT('_JobDays'!J2)),0,IF(WEEKDAY(S$6,1)=1,0,MIN(IF('_JobDays'!J3,8,10),S17)*S16)),MAX(0,40*MAX(1,S16)-(Q18+R18))),MIN(IF(OR(S16&lt;=0,NOT('_JobDays'!J2)),0,IF(WEEKDAY(S$6,1)=1,0,IF(WEEKDAY(S$6,1)=7,0,IF('_JobDays'!J4,MIN(8,S17)*S16,S16*S17)))),MAX(0,40*MAX(1,S16)-(Q18+R18)))))</f>
        <v>0</v>
      </c>
      <c r="T18" s="62">
        <f>IF(AND(T16=1,T17=12,E15="Auto",IF(TRIM(B19)&lt;&gt;"",B19,B15)="Boilermaker Journeyman",AND('Job setup'!$B$9="ON",'Job setup'!$C$9&lt;=T$6,'Job setup'!$D$9&gt;=T$6,'Job setup'!$G$9="NO")),8,IF(OS15,MIN(IF(OR(T16&lt;=0,NOT('_JobDays'!K2)),0,IF(WEEKDAY(T$6,1)=1,0,MIN(IF('_JobDays'!K3,8,10),T17)*T16)),MAX(0,40*MAX(1,T16)-(Q18+R18+S18))),MIN(IF(OR(T16&lt;=0,NOT('_JobDays'!K2)),0,IF(WEEKDAY(T$6,1)=1,0,IF(WEEKDAY(T$6,1)=7,0,IF('_JobDays'!K4,MIN(8,T17)*T16,T16*T17)))),MAX(0,40*MAX(1,T16)-(Q18+R18+S18)))))</f>
        <v>8</v>
      </c>
      <c r="U18" s="62">
        <f>IF(AND(U16=1,U17=12,E15="Auto",IF(TRIM(B19)&lt;&gt;"",B19,B15)="Boilermaker Journeyman",AND('Job setup'!$B$9="ON",'Job setup'!$C$9&lt;=U$6,'Job setup'!$D$9&gt;=U$6,'Job setup'!$G$9="NO")),8,IF(OS15,MIN(IF(OR(U16&lt;=0,NOT('_JobDays'!L2)),0,IF(WEEKDAY(U$6,1)=1,0,MIN(IF('_JobDays'!L3,8,10),U17)*U16)),MAX(0,40*MAX(1,U16)-(Q18+R18+S18+T18))),MIN(IF(OR(U16&lt;=0,NOT('_JobDays'!L2)),0,IF(WEEKDAY(U$6,1)=1,0,IF(WEEKDAY(U$6,1)=7,0,IF('_JobDays'!L4,MIN(8,U17)*U16,U16*U17)))),MAX(0,40*MAX(1,U16)-(Q18+R18+S18+T18)))))</f>
        <v>8</v>
      </c>
      <c r="V18" s="63">
        <f>IF(AND(V16=1,V17=12,E15="Auto",IF(TRIM(B19)&lt;&gt;"",B19,B15)="Boilermaker Journeyman",AND('Job setup'!$B$9="ON",'Job setup'!$C$9&lt;=V$6,'Job setup'!$D$9&gt;=V$6,'Job setup'!$G$9="NO")),0,IF(OS15,MIN(IF(OR(V16&lt;=0,NOT('_JobDays'!M2)),0,IF(WEEKDAY(V$6,1)=1,0,MIN(IF('_JobDays'!M3,8,10),V17)*V16)),MAX(0,40*MAX(1,V16)-(Q18+R18+S18+T18+U18))),MIN(IF(OR(V16&lt;=0,NOT('_JobDays'!M2)),0,IF(WEEKDAY(V$6,1)=1,0,IF(WEEKDAY(V$6,1)=7,0,IF('_JobDays'!M4,MIN(8,V17)*V16,V16*V17)))),MAX(0,40*MAX(1,V16)-(Q18+R18+S18+T18+U18)))))</f>
        <v>0</v>
      </c>
      <c r="W18" s="63">
        <f>IF(AND(W16=1,W17=12,E15="Auto",IF(TRIM(B19)&lt;&gt;"",B19,B15)="Boilermaker Journeyman",AND('Job setup'!$B$9="ON",'Job setup'!$C$9&lt;=W$6,'Job setup'!$D$9&gt;=W$6,'Job setup'!$G$9="NO")),0,IF(OS15,MIN(IF(OR(W16&lt;=0,NOT('_JobDays'!N2)),0,IF(WEEKDAY(W$6,1)=1,0,MIN(IF('_JobDays'!N3,8,10),W17)*W16)),MAX(0,40*MAX(1,W16)-(Q18+R18+S18+T18+U18+V18))),MIN(IF(OR(W16&lt;=0,NOT('_JobDays'!N2)),0,IF(WEEKDAY(W$6,1)=1,0,IF(WEEKDAY(W$6,1)=7,0,IF('_JobDays'!N4,MIN(8,W17)*W16,W16*W17)))),MAX(0,40*MAX(1,W16)-(Q18+R18+S18+T18+U18+V18)))))</f>
        <v>0</v>
      </c>
      <c r="X18" s="62">
        <f>IF(AND(X16=1,X17=12,E15="Auto",IF(TRIM(B19)&lt;&gt;"",B19,B15)="Boilermaker Journeyman",AND('Job setup'!$B$9="ON",'Job setup'!$C$9&lt;=X$6,'Job setup'!$D$9&gt;=X$6,'Job setup'!$G$9="NO")),8,IF(OS15,MIN(IF(OR(X16&lt;=0,NOT('_JobDays'!O2)),0,IF(WEEKDAY(X$6,1)=1,0,MIN(IF('_JobDays'!O3,8,10),X17)*X16)),MAX(0,40*MAX(1,X16)-(0))),MIN(IF(OR(X16&lt;=0,NOT('_JobDays'!O2)),0,IF(WEEKDAY(X$6,1)=1,0,IF(WEEKDAY(X$6,1)=7,0,IF('_JobDays'!O4,MIN(8,X17)*X16,X16*X17)))),MAX(0,40*MAX(1,X16)-(0)))))</f>
        <v>8</v>
      </c>
      <c r="Y18" s="62">
        <f>IF(AND(Y16=1,Y17=12,E15="Auto",IF(TRIM(B19)&lt;&gt;"",B19,B15)="Boilermaker Journeyman",AND('Job setup'!$B$9="ON",'Job setup'!$C$9&lt;=Y$6,'Job setup'!$D$9&gt;=Y$6,'Job setup'!$G$9="NO")),8,IF(OS15,MIN(IF(OR(Y16&lt;=0,NOT('_JobDays'!P2)),0,IF(WEEKDAY(Y$6,1)=1,0,MIN(IF('_JobDays'!P3,8,10),Y17)*Y16)),MAX(0,40*MAX(1,Y16)-(X18))),MIN(IF(OR(Y16&lt;=0,NOT('_JobDays'!P2)),0,IF(WEEKDAY(Y$6,1)=1,0,IF(WEEKDAY(Y$6,1)=7,0,IF('_JobDays'!P4,MIN(8,Y17)*Y16,Y16*Y17)))),MAX(0,40*MAX(1,Y16)-(X18)))))</f>
        <v>8</v>
      </c>
      <c r="Z18" s="62">
        <f>IF(AND(Z16=1,Z17=12,E15="Auto",IF(TRIM(B19)&lt;&gt;"",B19,B15)="Boilermaker Journeyman",AND('Job setup'!$B$9="ON",'Job setup'!$C$9&lt;=Z$6,'Job setup'!$D$9&gt;=Z$6,'Job setup'!$G$9="NO")),8,IF(OS15,MIN(IF(OR(Z16&lt;=0,NOT('_JobDays'!Q2)),0,IF(WEEKDAY(Z$6,1)=1,0,MIN(IF('_JobDays'!Q3,8,10),Z17)*Z16)),MAX(0,40*MAX(1,Z16)-(X18+Y18))),MIN(IF(OR(Z16&lt;=0,NOT('_JobDays'!Q2)),0,IF(WEEKDAY(Z$6,1)=1,0,IF(WEEKDAY(Z$6,1)=7,0,IF('_JobDays'!Q4,MIN(8,Z17)*Z16,Z16*Z17)))),MAX(0,40*MAX(1,Z16)-(X18+Y18)))))</f>
        <v>8</v>
      </c>
      <c r="AA18" s="62">
        <f>IF(AND(AA16=1,AA17=12,E15="Auto",IF(TRIM(B19)&lt;&gt;"",B19,B15)="Boilermaker Journeyman",AND('Job setup'!$B$9="ON",'Job setup'!$C$9&lt;=AA$6,'Job setup'!$D$9&gt;=AA$6,'Job setup'!$G$9="NO")),8,IF(OS15,MIN(IF(OR(AA16&lt;=0,NOT('_JobDays'!R2)),0,IF(WEEKDAY(AA$6,1)=1,0,MIN(IF('_JobDays'!R3,8,10),AA17)*AA16)),MAX(0,40*MAX(1,AA16)-(X18+Y18+Z18))),MIN(IF(OR(AA16&lt;=0,NOT('_JobDays'!R2)),0,IF(WEEKDAY(AA$6,1)=1,0,IF(WEEKDAY(AA$6,1)=7,0,IF('_JobDays'!R4,MIN(8,AA17)*AA16,AA16*AA17)))),MAX(0,40*MAX(1,AA16)-(X18+Y18+Z18)))))</f>
        <v>8</v>
      </c>
      <c r="AB18" s="62">
        <f>IF(AND(AB16=1,AB17=12,E15="Auto",IF(TRIM(B19)&lt;&gt;"",B19,B15)="Boilermaker Journeyman",AND('Job setup'!$B$9="ON",'Job setup'!$C$9&lt;=AB$6,'Job setup'!$D$9&gt;=AB$6,'Job setup'!$G$9="NO")),8,IF(OS15,MIN(IF(OR(AB16&lt;=0,NOT('_JobDays'!S2)),0,IF(WEEKDAY(AB$6,1)=1,0,MIN(IF('_JobDays'!S3,8,10),AB17)*AB16)),MAX(0,40*MAX(1,AB16)-(X18+Y18+Z18+AA18))),MIN(IF(OR(AB16&lt;=0,NOT('_JobDays'!S2)),0,IF(WEEKDAY(AB$6,1)=1,0,IF(WEEKDAY(AB$6,1)=7,0,IF('_JobDays'!S4,MIN(8,AB17)*AB16,AB16*AB17)))),MAX(0,40*MAX(1,AB16)-(X18+Y18+Z18+AA18)))))</f>
        <v>8</v>
      </c>
      <c r="AC18" s="63">
        <f>IF(AND(AC16=1,AC17=12,E15="Auto",IF(TRIM(B19)&lt;&gt;"",B19,B15)="Boilermaker Journeyman",AND('Job setup'!$B$9="ON",'Job setup'!$C$9&lt;=AC$6,'Job setup'!$D$9&gt;=AC$6,'Job setup'!$G$9="NO")),0,IF(OS15,MIN(IF(OR(AC16&lt;=0,NOT('_JobDays'!T2)),0,IF(WEEKDAY(AC$6,1)=1,0,MIN(IF('_JobDays'!T3,8,10),AC17)*AC16)),MAX(0,40*MAX(1,AC16)-(X18+Y18+Z18+AA18+AB18))),MIN(IF(OR(AC16&lt;=0,NOT('_JobDays'!T2)),0,IF(WEEKDAY(AC$6,1)=1,0,IF(WEEKDAY(AC$6,1)=7,0,IF('_JobDays'!T4,MIN(8,AC17)*AC16,AC16*AC17)))),MAX(0,40*MAX(1,AC16)-(X18+Y18+Z18+AA18+AB18)))))</f>
        <v>0</v>
      </c>
      <c r="AD18" s="63">
        <f>IF(AND(AD16=1,AD17=12,E15="Auto",IF(TRIM(B19)&lt;&gt;"",B19,B15)="Boilermaker Journeyman",AND('Job setup'!$B$9="ON",'Job setup'!$C$9&lt;=AD$6,'Job setup'!$D$9&gt;=AD$6,'Job setup'!$G$9="NO")),0,IF(OS15,MIN(IF(OR(AD16&lt;=0,NOT('_JobDays'!U2)),0,IF(WEEKDAY(AD$6,1)=1,0,MIN(IF('_JobDays'!U3,8,10),AD17)*AD16)),MAX(0,40*MAX(1,AD16)-(X18+Y18+Z18+AA18+AB18+AC18))),MIN(IF(OR(AD16&lt;=0,NOT('_JobDays'!U2)),0,IF(WEEKDAY(AD$6,1)=1,0,IF(WEEKDAY(AD$6,1)=7,0,IF('_JobDays'!U4,MIN(8,AD17)*AD16,AD16*AD17)))),MAX(0,40*MAX(1,AD16)-(X18+Y18+Z18+AA18+AB18+AC18)))))</f>
        <v>0</v>
      </c>
      <c r="AE18" s="62">
        <f>IF(AND(AE16=1,AE17=12,E15="Auto",IF(TRIM(B19)&lt;&gt;"",B19,B15)="Boilermaker Journeyman",AND('Job setup'!$B$9="ON",'Job setup'!$C$9&lt;=AE$6,'Job setup'!$D$9&gt;=AE$6,'Job setup'!$G$9="NO")),8,IF(OS15,MIN(IF(OR(AE16&lt;=0,NOT('_JobDays'!V2)),0,IF(WEEKDAY(AE$6,1)=1,0,MIN(IF('_JobDays'!V3,8,10),AE17)*AE16)),MAX(0,40*MAX(1,AE16)-(0))),MIN(IF(OR(AE16&lt;=0,NOT('_JobDays'!V2)),0,IF(WEEKDAY(AE$6,1)=1,0,IF(WEEKDAY(AE$6,1)=7,0,IF('_JobDays'!V4,MIN(8,AE17)*AE16,AE16*AE17)))),MAX(0,40*MAX(1,AE16)-(0)))))</f>
        <v>8</v>
      </c>
      <c r="AF18" s="62">
        <f>IF(AND(AF16=1,AF17=12,E15="Auto",IF(TRIM(B19)&lt;&gt;"",B19,B15)="Boilermaker Journeyman",AND('Job setup'!$B$9="ON",'Job setup'!$C$9&lt;=AF$6,'Job setup'!$D$9&gt;=AF$6,'Job setup'!$G$9="NO")),8,IF(OS15,MIN(IF(OR(AF16&lt;=0,NOT('_JobDays'!W2)),0,IF(WEEKDAY(AF$6,1)=1,0,MIN(IF('_JobDays'!W3,8,10),AF17)*AF16)),MAX(0,40*MAX(1,AF16)-(AE18))),MIN(IF(OR(AF16&lt;=0,NOT('_JobDays'!W2)),0,IF(WEEKDAY(AF$6,1)=1,0,IF(WEEKDAY(AF$6,1)=7,0,IF('_JobDays'!W4,MIN(8,AF17)*AF16,AF16*AF17)))),MAX(0,40*MAX(1,AF16)-(AE18)))))</f>
        <v>8</v>
      </c>
      <c r="AG18" s="62">
        <f>IF(AND(AG16=1,AG17=12,E15="Auto",IF(TRIM(B19)&lt;&gt;"",B19,B15)="Boilermaker Journeyman",AND('Job setup'!$B$9="ON",'Job setup'!$C$9&lt;=AG$6,'Job setup'!$D$9&gt;=AG$6,'Job setup'!$G$9="NO")),8,IF(OS15,MIN(IF(OR(AG16&lt;=0,NOT('_JobDays'!X2)),0,IF(WEEKDAY(AG$6,1)=1,0,MIN(IF('_JobDays'!X3,8,10),AG17)*AG16)),MAX(0,40*MAX(1,AG16)-(AE18+AF18))),MIN(IF(OR(AG16&lt;=0,NOT('_JobDays'!X2)),0,IF(WEEKDAY(AG$6,1)=1,0,IF(WEEKDAY(AG$6,1)=7,0,IF('_JobDays'!X4,MIN(8,AG17)*AG16,AG16*AG17)))),MAX(0,40*MAX(1,AG16)-(AE18+AF18)))))</f>
        <v>8</v>
      </c>
      <c r="AH18" s="62">
        <f>IF(AND(AH16=0,AH17=0,E15="Auto",IF(TRIM(B19)&lt;&gt;"",B19,B15)="Boilermaker Journeyman",AND('Job setup'!$B$11="ON",'Job setup'!$C$11&lt;=AH$6,'Job setup'!$D$11&gt;=AH$6,'Job setup'!$G$11="YES")),0,IF(OS15,MIN(IF(OR(AH16&lt;=0,NOT('_JobDays'!Y2)),0,IF(WEEKDAY(AH$6,1)=1,0,MIN(IF('_JobDays'!Y3,8,10),AH17)*AH16)),MAX(0,40*MAX(1,AH16)-(AE18+AF18+AG18))),MIN(IF(OR(AH16&lt;=0,NOT('_JobDays'!Y2)),0,IF(WEEKDAY(AH$6,1)=1,0,IF(WEEKDAY(AH$6,1)=7,0,IF('_JobDays'!Y4,MIN(8,AH17)*AH16,AH16*AH17)))),MAX(0,40*MAX(1,AH16)-(AE18+AF18+AG18)))))</f>
        <v>0</v>
      </c>
      <c r="AI18" s="62">
        <f>IF(AND(AI16=0,AI17=0,E15="Auto",IF(TRIM(B19)&lt;&gt;"",B19,B15)="Boilermaker Journeyman",AND('Job setup'!$B$11="ON",'Job setup'!$C$11&lt;=AI$6,'Job setup'!$D$11&gt;=AI$6,'Job setup'!$G$11="YES")),0,IF(OS15,MIN(IF(OR(AI16&lt;=0,NOT('_JobDays'!Z2)),0,IF(WEEKDAY(AI$6,1)=1,0,MIN(IF('_JobDays'!Z3,8,10),AI17)*AI16)),MAX(0,40*MAX(1,AI16)-(AE18+AF18+AG18+AH18))),MIN(IF(OR(AI16&lt;=0,NOT('_JobDays'!Z2)),0,IF(WEEKDAY(AI$6,1)=1,0,IF(WEEKDAY(AI$6,1)=7,0,IF('_JobDays'!Z4,MIN(8,AI17)*AI16,AI16*AI17)))),MAX(0,40*MAX(1,AI16)-(AE18+AF18+AG18+AH18)))))</f>
        <v>0</v>
      </c>
      <c r="AJ18" s="63">
        <f>IF(AND(AJ16=0,AJ17=0,E15="Auto",IF(TRIM(B19)&lt;&gt;"",B19,B15)="Boilermaker Journeyman",AND('Job setup'!$B$11="ON",'Job setup'!$C$11&lt;=AJ$6,'Job setup'!$D$11&gt;=AJ$6,'Job setup'!$G$11="YES")),0,IF(OS15,MIN(IF(OR(AJ16&lt;=0,NOT('_JobDays'!AA2)),0,IF(WEEKDAY(AJ$6,1)=1,0,MIN(IF('_JobDays'!AA3,8,10),AJ17)*AJ16)),MAX(0,40*MAX(1,AJ16)-(AE18+AF18+AG18+AH18+AI18))),MIN(IF(OR(AJ16&lt;=0,NOT('_JobDays'!AA2)),0,IF(WEEKDAY(AJ$6,1)=1,0,IF(WEEKDAY(AJ$6,1)=7,0,IF('_JobDays'!AA4,MIN(8,AJ17)*AJ16,AJ16*AJ17)))),MAX(0,40*MAX(1,AJ16)-(AE18+AF18+AG18+AH18+AI18)))))</f>
        <v>0</v>
      </c>
      <c r="AK18" s="63">
        <f>IF(AND(AK16=0,AK17=0,E15="Auto",IF(TRIM(B19)&lt;&gt;"",B19,B15)="Boilermaker Journeyman",AND('Job setup'!$B$11="ON",'Job setup'!$C$11&lt;=AK$6,'Job setup'!$D$11&gt;=AK$6,'Job setup'!$G$11="YES")),0,IF(OS15,MIN(IF(OR(AK16&lt;=0,NOT('_JobDays'!AB2)),0,IF(WEEKDAY(AK$6,1)=1,0,MIN(IF('_JobDays'!AB3,8,10),AK17)*AK16)),MAX(0,40*MAX(1,AK16)-(AE18+AF18+AG18+AH18+AI18+AJ18))),MIN(IF(OR(AK16&lt;=0,NOT('_JobDays'!AB2)),0,IF(WEEKDAY(AK$6,1)=1,0,IF(WEEKDAY(AK$6,1)=7,0,IF('_JobDays'!AB4,MIN(8,AK17)*AK16,AK16*AK17)))),MAX(0,40*MAX(1,AK16)-(AE18+AF18+AG18+AH18+AI18+AJ18)))))</f>
        <v>0</v>
      </c>
      <c r="AL18" s="62">
        <f>IF(AND(AL16=0,AL17=0,E15="Auto",IF(TRIM(B19)&lt;&gt;"",B19,B15)="Boilermaker Journeyman",AND('Job setup'!$B$11="ON",'Job setup'!$C$11&lt;=AL$6,'Job setup'!$D$11&gt;=AL$6,'Job setup'!$G$11="YES")),0,IF(OS15,MIN(IF(OR(AL16&lt;=0,NOT('_JobDays'!AC2)),0,IF(WEEKDAY(AL$6,1)=1,0,MIN(IF('_JobDays'!AC3,8,10),AL17)*AL16)),MAX(0,40*MAX(1,AL16)-(0))),MIN(IF(OR(AL16&lt;=0,NOT('_JobDays'!AC2)),0,IF(WEEKDAY(AL$6,1)=1,0,IF(WEEKDAY(AL$6,1)=7,0,IF('_JobDays'!AC4,MIN(8,AL17)*AL16,AL16*AL17)))),MAX(0,40*MAX(1,AL16)-(0)))))</f>
        <v>0</v>
      </c>
      <c r="AM18" s="62">
        <f>IF(AND(AM16=0,AM17=0,E15="Auto",IF(TRIM(B19)&lt;&gt;"",B19,B15)="Boilermaker Journeyman",AND('Job setup'!$B$11="ON",'Job setup'!$C$11&lt;=AM$6,'Job setup'!$D$11&gt;=AM$6,'Job setup'!$G$11="YES")),0,IF(OS15,MIN(IF(OR(AM16&lt;=0,NOT('_JobDays'!AD2)),0,IF(WEEKDAY(AM$6,1)=1,0,MIN(IF('_JobDays'!AD3,8,10),AM17)*AM16)),MAX(0,40*MAX(1,AM16)-(AL18))),MIN(IF(OR(AM16&lt;=0,NOT('_JobDays'!AD2)),0,IF(WEEKDAY(AM$6,1)=1,0,IF(WEEKDAY(AM$6,1)=7,0,IF('_JobDays'!AD4,MIN(8,AM17)*AM16,AM16*AM17)))),MAX(0,40*MAX(1,AM16)-(AL18)))))</f>
        <v>0</v>
      </c>
      <c r="AN18" s="62">
        <f>IF(AND(AN16=0,AN17=0,E15="Auto",IF(TRIM(B19)&lt;&gt;"",B19,B15)="Boilermaker Journeyman",AND('Job setup'!$B$11="ON",'Job setup'!$C$11&lt;=AN$6,'Job setup'!$D$11&gt;=AN$6,'Job setup'!$G$11="YES")),0,IF(OS15,MIN(IF(OR(AN16&lt;=0,NOT('_JobDays'!AE2)),0,IF(WEEKDAY(AN$6,1)=1,0,MIN(IF('_JobDays'!AE3,8,10),AN17)*AN16)),MAX(0,40*MAX(1,AN16)-(AL18+AM18))),MIN(IF(OR(AN16&lt;=0,NOT('_JobDays'!AE2)),0,IF(WEEKDAY(AN$6,1)=1,0,IF(WEEKDAY(AN$6,1)=7,0,IF('_JobDays'!AE4,MIN(8,AN17)*AN16,AN16*AN17)))),MAX(0,40*MAX(1,AN16)-(AL18+AM18)))))</f>
        <v>0</v>
      </c>
      <c r="AO18" s="64">
        <f>IF(AND(AO16=0,AO17=0,E15="Auto",IF(TRIM(B19)&lt;&gt;"",B19,B15)="Boilermaker Journeyman",AND('Job setup'!$B$11="ON",'Job setup'!$C$11&lt;=AO$6,'Job setup'!$D$11&gt;=AO$6,'Job setup'!$G$11="YES")),0,IF(OS15,MIN(IF(OR(AO16&lt;=0,NOT('_JobDays'!AF2)),0,IF(WEEKDAY(AO$6,1)=1,0,MIN(IF('_JobDays'!AF3,8,10),AO17)*AO16)),MAX(0,40*MAX(1,AO16)-(AL18+AM18+AN18))),MIN(IF(OR(AO16&lt;=0,NOT('_JobDays'!AF2)),0,IF(WEEKDAY(AO$6,1)=1,0,IF(WEEKDAY(AO$6,1)=7,0,IF('_JobDays'!AF4,MIN(8,AO17)*AO16,AO16*AO17)))),MAX(0,40*MAX(1,AO16)-(AL18+AM18+AN18)))))</f>
        <v>0</v>
      </c>
      <c r="OT18" s="28" t="s">
        <v>86</v>
      </c>
    </row>
    <row r="19" ht="16" customHeight="1" spans="1:410" x14ac:dyDescent="0.25">
      <c r="A19" s="73"/>
      <c r="B19" s="77" t="s">
        <v>85</v>
      </c>
      <c r="C19" s="65">
        <f>G15*N(D19)</f>
        <v>9777.92</v>
      </c>
      <c r="D19" s="65">
        <f>IF(TRIM(IF(TRIM(B19)&lt;&gt;"",B19,B15))="","No rate",IFERROR(INDEX('Rate Tables'!D$7:D$161,MATCH(IF(TRIM(B19)&lt;&gt;"",B19,B15),'Rate Tables'!A$7:A$161,0)),"No rate"))</f>
        <v>152.78</v>
      </c>
      <c r="E19" s="54" t="s">
        <v>61</v>
      </c>
      <c r="F19" s="48"/>
      <c r="G19" s="48"/>
      <c r="H19" s="48"/>
      <c r="I19" s="49"/>
      <c r="J19" s="61">
        <f>IF(AND(J16=0,J17=0,E15="Auto",IF(TRIM(B19)&lt;&gt;"",B19,B15)="Boilermaker Journeyman",AND('Job setup'!$B$7="ON",'Job setup'!$C$7&lt;=J$6,'Job setup'!$D$7&gt;=J$6,'Job setup'!$G$7="YES")),0,IF(OS15,IF(OR(J16&lt;=0,NOT('_JobDays'!A2)),0,IF(WEEKDAY(J$6,1)=1,0,MAX(0,J17-(IF('_JobDays'!A3,8,10)))*J16))+((IF(OR(J16&lt;=0,NOT('_JobDays'!A2)),0,IF(WEEKDAY(J$6,1)=1,0,MIN(IF('_JobDays'!A3,8,10),J17)*J16)))-MIN(IF(OR(J16&lt;=0,NOT('_JobDays'!A2)),0,IF(WEEKDAY(J$6,1)=1,0,MIN(IF('_JobDays'!A3,8,10),J17)*J16)),MAX(0,40*MAX(1,J16)-(0)))),IF(OR(J16&lt;=0,NOT('_JobDays'!A2)),0,IF(WEEKDAY(J$6,1)=1,0,IF(WEEKDAY(J$6,1)=7,J16*J17,IF('_JobDays'!A4,MAX(0,J17-8)*J16,0))))+((IF(OR(J16&lt;=0,NOT('_JobDays'!A2)),0,IF(WEEKDAY(J$6,1)=1,0,IF(WEEKDAY(J$6,1)=7,0,IF('_JobDays'!A4,MIN(8,J17)*J16,J16*J17)))))-MIN(IF(OR(J16&lt;=0,NOT('_JobDays'!A2)),0,IF(WEEKDAY(J$6,1)=1,0,IF(WEEKDAY(J$6,1)=7,0,IF('_JobDays'!A4,MIN(8,J17)*J16,J16*J17)))),MAX(0,40*MAX(1,J16)-(0))))))</f>
        <v>0</v>
      </c>
      <c r="K19" s="62">
        <f>IF(AND(K16=0,K17=0,E15="Auto",IF(TRIM(B19)&lt;&gt;"",B19,B15)="Boilermaker Journeyman",AND('Job setup'!$B$7="ON",'Job setup'!$C$7&lt;=K$6,'Job setup'!$D$7&gt;=K$6,'Job setup'!$G$7="YES")),0,IF(OS15,IF(OR(K16&lt;=0,NOT('_JobDays'!B2)),0,IF(WEEKDAY(K$6,1)=1,0,MAX(0,K17-(IF('_JobDays'!B3,8,10)))*K16))+((IF(OR(K16&lt;=0,NOT('_JobDays'!B2)),0,IF(WEEKDAY(K$6,1)=1,0,MIN(IF('_JobDays'!B3,8,10),K17)*K16)))-MIN(IF(OR(K16&lt;=0,NOT('_JobDays'!B2)),0,IF(WEEKDAY(K$6,1)=1,0,MIN(IF('_JobDays'!B3,8,10),K17)*K16)),MAX(0,40*MAX(1,K16)-(J18)))),IF(OR(K16&lt;=0,NOT('_JobDays'!B2)),0,IF(WEEKDAY(K$6,1)=1,0,IF(WEEKDAY(K$6,1)=7,K16*K17,IF('_JobDays'!B4,MAX(0,K17-8)*K16,0))))+((IF(OR(K16&lt;=0,NOT('_JobDays'!B2)),0,IF(WEEKDAY(K$6,1)=1,0,IF(WEEKDAY(K$6,1)=7,0,IF('_JobDays'!B4,MIN(8,K17)*K16,K16*K17)))))-MIN(IF(OR(K16&lt;=0,NOT('_JobDays'!B2)),0,IF(WEEKDAY(K$6,1)=1,0,IF(WEEKDAY(K$6,1)=7,0,IF('_JobDays'!B4,MIN(8,K17)*K16,K16*K17)))),MAX(0,40*MAX(1,K16)-(J18))))))</f>
        <v>0</v>
      </c>
      <c r="L19" s="62">
        <f>IF(AND(L16=0,L17=0,E15="Auto",IF(TRIM(B19)&lt;&gt;"",B19,B15)="Boilermaker Journeyman",AND('Job setup'!$B$7="ON",'Job setup'!$C$7&lt;=L$6,'Job setup'!$D$7&gt;=L$6,'Job setup'!$G$7="YES")),0,IF(OS15,IF(OR(L16&lt;=0,NOT('_JobDays'!C2)),0,IF(WEEKDAY(L$6,1)=1,0,MAX(0,L17-(IF('_JobDays'!C3,8,10)))*L16))+((IF(OR(L16&lt;=0,NOT('_JobDays'!C2)),0,IF(WEEKDAY(L$6,1)=1,0,MIN(IF('_JobDays'!C3,8,10),L17)*L16)))-MIN(IF(OR(L16&lt;=0,NOT('_JobDays'!C2)),0,IF(WEEKDAY(L$6,1)=1,0,MIN(IF('_JobDays'!C3,8,10),L17)*L16)),MAX(0,40*MAX(1,L16)-(J18+K18)))),IF(OR(L16&lt;=0,NOT('_JobDays'!C2)),0,IF(WEEKDAY(L$6,1)=1,0,IF(WEEKDAY(L$6,1)=7,L16*L17,IF('_JobDays'!C4,MAX(0,L17-8)*L16,0))))+((IF(OR(L16&lt;=0,NOT('_JobDays'!C2)),0,IF(WEEKDAY(L$6,1)=1,0,IF(WEEKDAY(L$6,1)=7,0,IF('_JobDays'!C4,MIN(8,L17)*L16,L16*L17)))))-MIN(IF(OR(L16&lt;=0,NOT('_JobDays'!C2)),0,IF(WEEKDAY(L$6,1)=1,0,IF(WEEKDAY(L$6,1)=7,0,IF('_JobDays'!C4,MIN(8,L17)*L16,L16*L17)))),MAX(0,40*MAX(1,L16)-(J18+K18))))))</f>
        <v>0</v>
      </c>
      <c r="M19" s="62">
        <f>IF(AND(M16=0,M17=0,E15="Auto",IF(TRIM(B19)&lt;&gt;"",B19,B15)="Boilermaker Journeyman",AND('Job setup'!$B$7="ON",'Job setup'!$C$7&lt;=M$6,'Job setup'!$D$7&gt;=M$6,'Job setup'!$G$7="YES")),0,IF(OS15,IF(OR(M16&lt;=0,NOT('_JobDays'!D2)),0,IF(WEEKDAY(M$6,1)=1,0,MAX(0,M17-(IF('_JobDays'!D3,8,10)))*M16))+((IF(OR(M16&lt;=0,NOT('_JobDays'!D2)),0,IF(WEEKDAY(M$6,1)=1,0,MIN(IF('_JobDays'!D3,8,10),M17)*M16)))-MIN(IF(OR(M16&lt;=0,NOT('_JobDays'!D2)),0,IF(WEEKDAY(M$6,1)=1,0,MIN(IF('_JobDays'!D3,8,10),M17)*M16)),MAX(0,40*MAX(1,M16)-(J18+K18+L18)))),IF(OR(M16&lt;=0,NOT('_JobDays'!D2)),0,IF(WEEKDAY(M$6,1)=1,0,IF(WEEKDAY(M$6,1)=7,M16*M17,IF('_JobDays'!D4,MAX(0,M17-8)*M16,0))))+((IF(OR(M16&lt;=0,NOT('_JobDays'!D2)),0,IF(WEEKDAY(M$6,1)=1,0,IF(WEEKDAY(M$6,1)=7,0,IF('_JobDays'!D4,MIN(8,M17)*M16,M16*M17)))))-MIN(IF(OR(M16&lt;=0,NOT('_JobDays'!D2)),0,IF(WEEKDAY(M$6,1)=1,0,IF(WEEKDAY(M$6,1)=7,0,IF('_JobDays'!D4,MIN(8,M17)*M16,M16*M17)))),MAX(0,40*MAX(1,M16)-(J18+K18+L18))))))</f>
        <v>0</v>
      </c>
      <c r="N19" s="62">
        <f>IF(AND(N16=0,N17=0,E15="Auto",IF(TRIM(B19)&lt;&gt;"",B19,B15)="Boilermaker Journeyman",AND('Job setup'!$B$7="ON",'Job setup'!$C$7&lt;=N$6,'Job setup'!$D$7&gt;=N$6,'Job setup'!$G$7="YES")),0,IF(OS15,IF(OR(N16&lt;=0,NOT('_JobDays'!E2)),0,IF(WEEKDAY(N$6,1)=1,0,MAX(0,N17-(IF('_JobDays'!E3,8,10)))*N16))+((IF(OR(N16&lt;=0,NOT('_JobDays'!E2)),0,IF(WEEKDAY(N$6,1)=1,0,MIN(IF('_JobDays'!E3,8,10),N17)*N16)))-MIN(IF(OR(N16&lt;=0,NOT('_JobDays'!E2)),0,IF(WEEKDAY(N$6,1)=1,0,MIN(IF('_JobDays'!E3,8,10),N17)*N16)),MAX(0,40*MAX(1,N16)-(J18+K18+L18+M18)))),IF(OR(N16&lt;=0,NOT('_JobDays'!E2)),0,IF(WEEKDAY(N$6,1)=1,0,IF(WEEKDAY(N$6,1)=7,N16*N17,IF('_JobDays'!E4,MAX(0,N17-8)*N16,0))))+((IF(OR(N16&lt;=0,NOT('_JobDays'!E2)),0,IF(WEEKDAY(N$6,1)=1,0,IF(WEEKDAY(N$6,1)=7,0,IF('_JobDays'!E4,MIN(8,N17)*N16,N16*N17)))))-MIN(IF(OR(N16&lt;=0,NOT('_JobDays'!E2)),0,IF(WEEKDAY(N$6,1)=1,0,IF(WEEKDAY(N$6,1)=7,0,IF('_JobDays'!E4,MIN(8,N17)*N16,N16*N17)))),MAX(0,40*MAX(1,N16)-(J18+K18+L18+M18))))))</f>
        <v>0</v>
      </c>
      <c r="O19" s="63">
        <f>IF(AND(O16=0,O17=0,E15="Auto",IF(TRIM(B19)&lt;&gt;"",B19,B15)="Boilermaker Journeyman",AND('Job setup'!$B$7="ON",'Job setup'!$C$7&lt;=O$6,'Job setup'!$D$7&gt;=O$6,'Job setup'!$G$7="YES")),0,IF(OS15,IF(OR(O16&lt;=0,NOT('_JobDays'!F2)),0,IF(WEEKDAY(O$6,1)=1,0,MAX(0,O17-(IF('_JobDays'!F3,8,10)))*O16))+((IF(OR(O16&lt;=0,NOT('_JobDays'!F2)),0,IF(WEEKDAY(O$6,1)=1,0,MIN(IF('_JobDays'!F3,8,10),O17)*O16)))-MIN(IF(OR(O16&lt;=0,NOT('_JobDays'!F2)),0,IF(WEEKDAY(O$6,1)=1,0,MIN(IF('_JobDays'!F3,8,10),O17)*O16)),MAX(0,40*MAX(1,O16)-(J18+K18+L18+M18+N18)))),IF(OR(O16&lt;=0,NOT('_JobDays'!F2)),0,IF(WEEKDAY(O$6,1)=1,0,IF(WEEKDAY(O$6,1)=7,O16*O17,IF('_JobDays'!F4,MAX(0,O17-8)*O16,0))))+((IF(OR(O16&lt;=0,NOT('_JobDays'!F2)),0,IF(WEEKDAY(O$6,1)=1,0,IF(WEEKDAY(O$6,1)=7,0,IF('_JobDays'!F4,MIN(8,O17)*O16,O16*O17)))))-MIN(IF(OR(O16&lt;=0,NOT('_JobDays'!F2)),0,IF(WEEKDAY(O$6,1)=1,0,IF(WEEKDAY(O$6,1)=7,0,IF('_JobDays'!F4,MIN(8,O17)*O16,O16*O17)))),MAX(0,40*MAX(1,O16)-(J18+K18+L18+M18+N18))))))</f>
        <v>0</v>
      </c>
      <c r="P19" s="63">
        <f>IF(AND(P16=0,P17=0,E15="Auto",IF(TRIM(B19)&lt;&gt;"",B19,B15)="Boilermaker Journeyman",AND('Job setup'!$B$7="ON",'Job setup'!$C$7&lt;=P$6,'Job setup'!$D$7&gt;=P$6,'Job setup'!$G$7="YES")),0,IF(OS15,IF(OR(P16&lt;=0,NOT('_JobDays'!G2)),0,IF(WEEKDAY(P$6,1)=1,0,MAX(0,P17-(IF('_JobDays'!G3,8,10)))*P16))+((IF(OR(P16&lt;=0,NOT('_JobDays'!G2)),0,IF(WEEKDAY(P$6,1)=1,0,MIN(IF('_JobDays'!G3,8,10),P17)*P16)))-MIN(IF(OR(P16&lt;=0,NOT('_JobDays'!G2)),0,IF(WEEKDAY(P$6,1)=1,0,MIN(IF('_JobDays'!G3,8,10),P17)*P16)),MAX(0,40*MAX(1,P16)-(J18+K18+L18+M18+N18+O18)))),IF(OR(P16&lt;=0,NOT('_JobDays'!G2)),0,IF(WEEKDAY(P$6,1)=1,0,IF(WEEKDAY(P$6,1)=7,P16*P17,IF('_JobDays'!G4,MAX(0,P17-8)*P16,0))))+((IF(OR(P16&lt;=0,NOT('_JobDays'!G2)),0,IF(WEEKDAY(P$6,1)=1,0,IF(WEEKDAY(P$6,1)=7,0,IF('_JobDays'!G4,MIN(8,P17)*P16,P16*P17)))))-MIN(IF(OR(P16&lt;=0,NOT('_JobDays'!G2)),0,IF(WEEKDAY(P$6,1)=1,0,IF(WEEKDAY(P$6,1)=7,0,IF('_JobDays'!G4,MIN(8,P17)*P16,P16*P17)))),MAX(0,40*MAX(1,P16)-(J18+K18+L18+M18+N18+O18))))))</f>
        <v>0</v>
      </c>
      <c r="Q19" s="62">
        <f>IF(AND(Q16=0,Q17=0,E15="Auto",IF(TRIM(B19)&lt;&gt;"",B19,B15)="Boilermaker Journeyman",AND('Job setup'!$B$7="ON",'Job setup'!$C$7&lt;=Q$6,'Job setup'!$D$7&gt;=Q$6,'Job setup'!$G$7="YES")),0,IF(OS15,IF(OR(Q16&lt;=0,NOT('_JobDays'!H2)),0,IF(WEEKDAY(Q$6,1)=1,0,MAX(0,Q17-(IF('_JobDays'!H3,8,10)))*Q16))+((IF(OR(Q16&lt;=0,NOT('_JobDays'!H2)),0,IF(WEEKDAY(Q$6,1)=1,0,MIN(IF('_JobDays'!H3,8,10),Q17)*Q16)))-MIN(IF(OR(Q16&lt;=0,NOT('_JobDays'!H2)),0,IF(WEEKDAY(Q$6,1)=1,0,MIN(IF('_JobDays'!H3,8,10),Q17)*Q16)),MAX(0,40*MAX(1,Q16)-(0)))),IF(OR(Q16&lt;=0,NOT('_JobDays'!H2)),0,IF(WEEKDAY(Q$6,1)=1,0,IF(WEEKDAY(Q$6,1)=7,Q16*Q17,IF('_JobDays'!H4,MAX(0,Q17-8)*Q16,0))))+((IF(OR(Q16&lt;=0,NOT('_JobDays'!H2)),0,IF(WEEKDAY(Q$6,1)=1,0,IF(WEEKDAY(Q$6,1)=7,0,IF('_JobDays'!H4,MIN(8,Q17)*Q16,Q16*Q17)))))-MIN(IF(OR(Q16&lt;=0,NOT('_JobDays'!H2)),0,IF(WEEKDAY(Q$6,1)=1,0,IF(WEEKDAY(Q$6,1)=7,0,IF('_JobDays'!H4,MIN(8,Q17)*Q16,Q16*Q17)))),MAX(0,40*MAX(1,Q16)-(0))))))</f>
        <v>0</v>
      </c>
      <c r="R19" s="62">
        <f>IF(AND(R16=0,R17=0,E15="Auto",IF(TRIM(B19)&lt;&gt;"",B19,B15)="Boilermaker Journeyman",AND('Job setup'!$B$7="ON",'Job setup'!$C$7&lt;=R$6,'Job setup'!$D$7&gt;=R$6,'Job setup'!$G$7="YES")),0,IF(OS15,IF(OR(R16&lt;=0,NOT('_JobDays'!I2)),0,IF(WEEKDAY(R$6,1)=1,0,MAX(0,R17-(IF('_JobDays'!I3,8,10)))*R16))+((IF(OR(R16&lt;=0,NOT('_JobDays'!I2)),0,IF(WEEKDAY(R$6,1)=1,0,MIN(IF('_JobDays'!I3,8,10),R17)*R16)))-MIN(IF(OR(R16&lt;=0,NOT('_JobDays'!I2)),0,IF(WEEKDAY(R$6,1)=1,0,MIN(IF('_JobDays'!I3,8,10),R17)*R16)),MAX(0,40*MAX(1,R16)-(Q18)))),IF(OR(R16&lt;=0,NOT('_JobDays'!I2)),0,IF(WEEKDAY(R$6,1)=1,0,IF(WEEKDAY(R$6,1)=7,R16*R17,IF('_JobDays'!I4,MAX(0,R17-8)*R16,0))))+((IF(OR(R16&lt;=0,NOT('_JobDays'!I2)),0,IF(WEEKDAY(R$6,1)=1,0,IF(WEEKDAY(R$6,1)=7,0,IF('_JobDays'!I4,MIN(8,R17)*R16,R16*R17)))))-MIN(IF(OR(R16&lt;=0,NOT('_JobDays'!I2)),0,IF(WEEKDAY(R$6,1)=1,0,IF(WEEKDAY(R$6,1)=7,0,IF('_JobDays'!I4,MIN(8,R17)*R16,R16*R17)))),MAX(0,40*MAX(1,R16)-(Q18))))))</f>
        <v>0</v>
      </c>
      <c r="S19" s="62">
        <f>IF(AND(S16=0,S17=0,E15="Auto",IF(TRIM(B19)&lt;&gt;"",B19,B15)="Boilermaker Journeyman",AND('Job setup'!$B$7="ON",'Job setup'!$C$7&lt;=S$6,'Job setup'!$D$7&gt;=S$6,'Job setup'!$G$7="YES")),0,IF(OS15,IF(OR(S16&lt;=0,NOT('_JobDays'!J2)),0,IF(WEEKDAY(S$6,1)=1,0,MAX(0,S17-(IF('_JobDays'!J3,8,10)))*S16))+((IF(OR(S16&lt;=0,NOT('_JobDays'!J2)),0,IF(WEEKDAY(S$6,1)=1,0,MIN(IF('_JobDays'!J3,8,10),S17)*S16)))-MIN(IF(OR(S16&lt;=0,NOT('_JobDays'!J2)),0,IF(WEEKDAY(S$6,1)=1,0,MIN(IF('_JobDays'!J3,8,10),S17)*S16)),MAX(0,40*MAX(1,S16)-(Q18+R18)))),IF(OR(S16&lt;=0,NOT('_JobDays'!J2)),0,IF(WEEKDAY(S$6,1)=1,0,IF(WEEKDAY(S$6,1)=7,S16*S17,IF('_JobDays'!J4,MAX(0,S17-8)*S16,0))))+((IF(OR(S16&lt;=0,NOT('_JobDays'!J2)),0,IF(WEEKDAY(S$6,1)=1,0,IF(WEEKDAY(S$6,1)=7,0,IF('_JobDays'!J4,MIN(8,S17)*S16,S16*S17)))))-MIN(IF(OR(S16&lt;=0,NOT('_JobDays'!J2)),0,IF(WEEKDAY(S$6,1)=1,0,IF(WEEKDAY(S$6,1)=7,0,IF('_JobDays'!J4,MIN(8,S17)*S16,S16*S17)))),MAX(0,40*MAX(1,S16)-(Q18+R18))))))</f>
        <v>0</v>
      </c>
      <c r="T19" s="62">
        <f>IF(AND(T16=1,T17=12,E15="Auto",IF(TRIM(B19)&lt;&gt;"",B19,B15)="Boilermaker Journeyman",AND('Job setup'!$B$9="ON",'Job setup'!$C$9&lt;=T$6,'Job setup'!$D$9&gt;=T$6,'Job setup'!$G$9="NO")),4,IF(OS15,IF(OR(T16&lt;=0,NOT('_JobDays'!K2)),0,IF(WEEKDAY(T$6,1)=1,0,MAX(0,T17-(IF('_JobDays'!K3,8,10)))*T16))+((IF(OR(T16&lt;=0,NOT('_JobDays'!K2)),0,IF(WEEKDAY(T$6,1)=1,0,MIN(IF('_JobDays'!K3,8,10),T17)*T16)))-MIN(IF(OR(T16&lt;=0,NOT('_JobDays'!K2)),0,IF(WEEKDAY(T$6,1)=1,0,MIN(IF('_JobDays'!K3,8,10),T17)*T16)),MAX(0,40*MAX(1,T16)-(Q18+R18+S18)))),IF(OR(T16&lt;=0,NOT('_JobDays'!K2)),0,IF(WEEKDAY(T$6,1)=1,0,IF(WEEKDAY(T$6,1)=7,T16*T17,IF('_JobDays'!K4,MAX(0,T17-8)*T16,0))))+((IF(OR(T16&lt;=0,NOT('_JobDays'!K2)),0,IF(WEEKDAY(T$6,1)=1,0,IF(WEEKDAY(T$6,1)=7,0,IF('_JobDays'!K4,MIN(8,T17)*T16,T16*T17)))))-MIN(IF(OR(T16&lt;=0,NOT('_JobDays'!K2)),0,IF(WEEKDAY(T$6,1)=1,0,IF(WEEKDAY(T$6,1)=7,0,IF('_JobDays'!K4,MIN(8,T17)*T16,T16*T17)))),MAX(0,40*MAX(1,T16)-(Q18+R18+S18))))))</f>
        <v>4</v>
      </c>
      <c r="U19" s="62">
        <f>IF(AND(U16=1,U17=12,E15="Auto",IF(TRIM(B19)&lt;&gt;"",B19,B15)="Boilermaker Journeyman",AND('Job setup'!$B$9="ON",'Job setup'!$C$9&lt;=U$6,'Job setup'!$D$9&gt;=U$6,'Job setup'!$G$9="NO")),4,IF(OS15,IF(OR(U16&lt;=0,NOT('_JobDays'!L2)),0,IF(WEEKDAY(U$6,1)=1,0,MAX(0,U17-(IF('_JobDays'!L3,8,10)))*U16))+((IF(OR(U16&lt;=0,NOT('_JobDays'!L2)),0,IF(WEEKDAY(U$6,1)=1,0,MIN(IF('_JobDays'!L3,8,10),U17)*U16)))-MIN(IF(OR(U16&lt;=0,NOT('_JobDays'!L2)),0,IF(WEEKDAY(U$6,1)=1,0,MIN(IF('_JobDays'!L3,8,10),U17)*U16)),MAX(0,40*MAX(1,U16)-(Q18+R18+S18+T18)))),IF(OR(U16&lt;=0,NOT('_JobDays'!L2)),0,IF(WEEKDAY(U$6,1)=1,0,IF(WEEKDAY(U$6,1)=7,U16*U17,IF('_JobDays'!L4,MAX(0,U17-8)*U16,0))))+((IF(OR(U16&lt;=0,NOT('_JobDays'!L2)),0,IF(WEEKDAY(U$6,1)=1,0,IF(WEEKDAY(U$6,1)=7,0,IF('_JobDays'!L4,MIN(8,U17)*U16,U16*U17)))))-MIN(IF(OR(U16&lt;=0,NOT('_JobDays'!L2)),0,IF(WEEKDAY(U$6,1)=1,0,IF(WEEKDAY(U$6,1)=7,0,IF('_JobDays'!L4,MIN(8,U17)*U16,U16*U17)))),MAX(0,40*MAX(1,U16)-(Q18+R18+S18+T18))))))</f>
        <v>4</v>
      </c>
      <c r="V19" s="63">
        <f>IF(AND(V16=1,V17=12,E15="Auto",IF(TRIM(B19)&lt;&gt;"",B19,B15)="Boilermaker Journeyman",AND('Job setup'!$B$9="ON",'Job setup'!$C$9&lt;=V$6,'Job setup'!$D$9&gt;=V$6,'Job setup'!$G$9="NO")),12,IF(OS15,IF(OR(V16&lt;=0,NOT('_JobDays'!M2)),0,IF(WEEKDAY(V$6,1)=1,0,MAX(0,V17-(IF('_JobDays'!M3,8,10)))*V16))+((IF(OR(V16&lt;=0,NOT('_JobDays'!M2)),0,IF(WEEKDAY(V$6,1)=1,0,MIN(IF('_JobDays'!M3,8,10),V17)*V16)))-MIN(IF(OR(V16&lt;=0,NOT('_JobDays'!M2)),0,IF(WEEKDAY(V$6,1)=1,0,MIN(IF('_JobDays'!M3,8,10),V17)*V16)),MAX(0,40*MAX(1,V16)-(Q18+R18+S18+T18+U18)))),IF(OR(V16&lt;=0,NOT('_JobDays'!M2)),0,IF(WEEKDAY(V$6,1)=1,0,IF(WEEKDAY(V$6,1)=7,V16*V17,IF('_JobDays'!M4,MAX(0,V17-8)*V16,0))))+((IF(OR(V16&lt;=0,NOT('_JobDays'!M2)),0,IF(WEEKDAY(V$6,1)=1,0,IF(WEEKDAY(V$6,1)=7,0,IF('_JobDays'!M4,MIN(8,V17)*V16,V16*V17)))))-MIN(IF(OR(V16&lt;=0,NOT('_JobDays'!M2)),0,IF(WEEKDAY(V$6,1)=1,0,IF(WEEKDAY(V$6,1)=7,0,IF('_JobDays'!M4,MIN(8,V17)*V16,V16*V17)))),MAX(0,40*MAX(1,V16)-(Q18+R18+S18+T18+U18))))))</f>
        <v>12</v>
      </c>
      <c r="W19" s="63">
        <f>IF(AND(W16=1,W17=12,E15="Auto",IF(TRIM(B19)&lt;&gt;"",B19,B15)="Boilermaker Journeyman",AND('Job setup'!$B$9="ON",'Job setup'!$C$9&lt;=W$6,'Job setup'!$D$9&gt;=W$6,'Job setup'!$G$9="NO")),0,IF(OS15,IF(OR(W16&lt;=0,NOT('_JobDays'!N2)),0,IF(WEEKDAY(W$6,1)=1,0,MAX(0,W17-(IF('_JobDays'!N3,8,10)))*W16))+((IF(OR(W16&lt;=0,NOT('_JobDays'!N2)),0,IF(WEEKDAY(W$6,1)=1,0,MIN(IF('_JobDays'!N3,8,10),W17)*W16)))-MIN(IF(OR(W16&lt;=0,NOT('_JobDays'!N2)),0,IF(WEEKDAY(W$6,1)=1,0,MIN(IF('_JobDays'!N3,8,10),W17)*W16)),MAX(0,40*MAX(1,W16)-(Q18+R18+S18+T18+U18+V18)))),IF(OR(W16&lt;=0,NOT('_JobDays'!N2)),0,IF(WEEKDAY(W$6,1)=1,0,IF(WEEKDAY(W$6,1)=7,W16*W17,IF('_JobDays'!N4,MAX(0,W17-8)*W16,0))))+((IF(OR(W16&lt;=0,NOT('_JobDays'!N2)),0,IF(WEEKDAY(W$6,1)=1,0,IF(WEEKDAY(W$6,1)=7,0,IF('_JobDays'!N4,MIN(8,W17)*W16,W16*W17)))))-MIN(IF(OR(W16&lt;=0,NOT('_JobDays'!N2)),0,IF(WEEKDAY(W$6,1)=1,0,IF(WEEKDAY(W$6,1)=7,0,IF('_JobDays'!N4,MIN(8,W17)*W16,W16*W17)))),MAX(0,40*MAX(1,W16)-(Q18+R18+S18+T18+U18+V18))))))</f>
        <v>0</v>
      </c>
      <c r="X19" s="62">
        <f>IF(AND(X16=1,X17=12,E15="Auto",IF(TRIM(B19)&lt;&gt;"",B19,B15)="Boilermaker Journeyman",AND('Job setup'!$B$9="ON",'Job setup'!$C$9&lt;=X$6,'Job setup'!$D$9&gt;=X$6,'Job setup'!$G$9="NO")),4,IF(OS15,IF(OR(X16&lt;=0,NOT('_JobDays'!O2)),0,IF(WEEKDAY(X$6,1)=1,0,MAX(0,X17-(IF('_JobDays'!O3,8,10)))*X16))+((IF(OR(X16&lt;=0,NOT('_JobDays'!O2)),0,IF(WEEKDAY(X$6,1)=1,0,MIN(IF('_JobDays'!O3,8,10),X17)*X16)))-MIN(IF(OR(X16&lt;=0,NOT('_JobDays'!O2)),0,IF(WEEKDAY(X$6,1)=1,0,MIN(IF('_JobDays'!O3,8,10),X17)*X16)),MAX(0,40*MAX(1,X16)-(0)))),IF(OR(X16&lt;=0,NOT('_JobDays'!O2)),0,IF(WEEKDAY(X$6,1)=1,0,IF(WEEKDAY(X$6,1)=7,X16*X17,IF('_JobDays'!O4,MAX(0,X17-8)*X16,0))))+((IF(OR(X16&lt;=0,NOT('_JobDays'!O2)),0,IF(WEEKDAY(X$6,1)=1,0,IF(WEEKDAY(X$6,1)=7,0,IF('_JobDays'!O4,MIN(8,X17)*X16,X16*X17)))))-MIN(IF(OR(X16&lt;=0,NOT('_JobDays'!O2)),0,IF(WEEKDAY(X$6,1)=1,0,IF(WEEKDAY(X$6,1)=7,0,IF('_JobDays'!O4,MIN(8,X17)*X16,X16*X17)))),MAX(0,40*MAX(1,X16)-(0))))))</f>
        <v>4</v>
      </c>
      <c r="Y19" s="62">
        <f>IF(AND(Y16=1,Y17=12,E15="Auto",IF(TRIM(B19)&lt;&gt;"",B19,B15)="Boilermaker Journeyman",AND('Job setup'!$B$9="ON",'Job setup'!$C$9&lt;=Y$6,'Job setup'!$D$9&gt;=Y$6,'Job setup'!$G$9="NO")),4,IF(OS15,IF(OR(Y16&lt;=0,NOT('_JobDays'!P2)),0,IF(WEEKDAY(Y$6,1)=1,0,MAX(0,Y17-(IF('_JobDays'!P3,8,10)))*Y16))+((IF(OR(Y16&lt;=0,NOT('_JobDays'!P2)),0,IF(WEEKDAY(Y$6,1)=1,0,MIN(IF('_JobDays'!P3,8,10),Y17)*Y16)))-MIN(IF(OR(Y16&lt;=0,NOT('_JobDays'!P2)),0,IF(WEEKDAY(Y$6,1)=1,0,MIN(IF('_JobDays'!P3,8,10),Y17)*Y16)),MAX(0,40*MAX(1,Y16)-(X18)))),IF(OR(Y16&lt;=0,NOT('_JobDays'!P2)),0,IF(WEEKDAY(Y$6,1)=1,0,IF(WEEKDAY(Y$6,1)=7,Y16*Y17,IF('_JobDays'!P4,MAX(0,Y17-8)*Y16,0))))+((IF(OR(Y16&lt;=0,NOT('_JobDays'!P2)),0,IF(WEEKDAY(Y$6,1)=1,0,IF(WEEKDAY(Y$6,1)=7,0,IF('_JobDays'!P4,MIN(8,Y17)*Y16,Y16*Y17)))))-MIN(IF(OR(Y16&lt;=0,NOT('_JobDays'!P2)),0,IF(WEEKDAY(Y$6,1)=1,0,IF(WEEKDAY(Y$6,1)=7,0,IF('_JobDays'!P4,MIN(8,Y17)*Y16,Y16*Y17)))),MAX(0,40*MAX(1,Y16)-(X18))))))</f>
        <v>4</v>
      </c>
      <c r="Z19" s="62">
        <f>IF(AND(Z16=1,Z17=12,E15="Auto",IF(TRIM(B19)&lt;&gt;"",B19,B15)="Boilermaker Journeyman",AND('Job setup'!$B$9="ON",'Job setup'!$C$9&lt;=Z$6,'Job setup'!$D$9&gt;=Z$6,'Job setup'!$G$9="NO")),4,IF(OS15,IF(OR(Z16&lt;=0,NOT('_JobDays'!Q2)),0,IF(WEEKDAY(Z$6,1)=1,0,MAX(0,Z17-(IF('_JobDays'!Q3,8,10)))*Z16))+((IF(OR(Z16&lt;=0,NOT('_JobDays'!Q2)),0,IF(WEEKDAY(Z$6,1)=1,0,MIN(IF('_JobDays'!Q3,8,10),Z17)*Z16)))-MIN(IF(OR(Z16&lt;=0,NOT('_JobDays'!Q2)),0,IF(WEEKDAY(Z$6,1)=1,0,MIN(IF('_JobDays'!Q3,8,10),Z17)*Z16)),MAX(0,40*MAX(1,Z16)-(X18+Y18)))),IF(OR(Z16&lt;=0,NOT('_JobDays'!Q2)),0,IF(WEEKDAY(Z$6,1)=1,0,IF(WEEKDAY(Z$6,1)=7,Z16*Z17,IF('_JobDays'!Q4,MAX(0,Z17-8)*Z16,0))))+((IF(OR(Z16&lt;=0,NOT('_JobDays'!Q2)),0,IF(WEEKDAY(Z$6,1)=1,0,IF(WEEKDAY(Z$6,1)=7,0,IF('_JobDays'!Q4,MIN(8,Z17)*Z16,Z16*Z17)))))-MIN(IF(OR(Z16&lt;=0,NOT('_JobDays'!Q2)),0,IF(WEEKDAY(Z$6,1)=1,0,IF(WEEKDAY(Z$6,1)=7,0,IF('_JobDays'!Q4,MIN(8,Z17)*Z16,Z16*Z17)))),MAX(0,40*MAX(1,Z16)-(X18+Y18))))))</f>
        <v>4</v>
      </c>
      <c r="AA19" s="62">
        <f>IF(AND(AA16=1,AA17=12,E15="Auto",IF(TRIM(B19)&lt;&gt;"",B19,B15)="Boilermaker Journeyman",AND('Job setup'!$B$9="ON",'Job setup'!$C$9&lt;=AA$6,'Job setup'!$D$9&gt;=AA$6,'Job setup'!$G$9="NO")),4,IF(OS15,IF(OR(AA16&lt;=0,NOT('_JobDays'!R2)),0,IF(WEEKDAY(AA$6,1)=1,0,MAX(0,AA17-(IF('_JobDays'!R3,8,10)))*AA16))+((IF(OR(AA16&lt;=0,NOT('_JobDays'!R2)),0,IF(WEEKDAY(AA$6,1)=1,0,MIN(IF('_JobDays'!R3,8,10),AA17)*AA16)))-MIN(IF(OR(AA16&lt;=0,NOT('_JobDays'!R2)),0,IF(WEEKDAY(AA$6,1)=1,0,MIN(IF('_JobDays'!R3,8,10),AA17)*AA16)),MAX(0,40*MAX(1,AA16)-(X18+Y18+Z18)))),IF(OR(AA16&lt;=0,NOT('_JobDays'!R2)),0,IF(WEEKDAY(AA$6,1)=1,0,IF(WEEKDAY(AA$6,1)=7,AA16*AA17,IF('_JobDays'!R4,MAX(0,AA17-8)*AA16,0))))+((IF(OR(AA16&lt;=0,NOT('_JobDays'!R2)),0,IF(WEEKDAY(AA$6,1)=1,0,IF(WEEKDAY(AA$6,1)=7,0,IF('_JobDays'!R4,MIN(8,AA17)*AA16,AA16*AA17)))))-MIN(IF(OR(AA16&lt;=0,NOT('_JobDays'!R2)),0,IF(WEEKDAY(AA$6,1)=1,0,IF(WEEKDAY(AA$6,1)=7,0,IF('_JobDays'!R4,MIN(8,AA17)*AA16,AA16*AA17)))),MAX(0,40*MAX(1,AA16)-(X18+Y18+Z18))))))</f>
        <v>4</v>
      </c>
      <c r="AB19" s="62">
        <f>IF(AND(AB16=1,AB17=12,E15="Auto",IF(TRIM(B19)&lt;&gt;"",B19,B15)="Boilermaker Journeyman",AND('Job setup'!$B$9="ON",'Job setup'!$C$9&lt;=AB$6,'Job setup'!$D$9&gt;=AB$6,'Job setup'!$G$9="NO")),4,IF(OS15,IF(OR(AB16&lt;=0,NOT('_JobDays'!S2)),0,IF(WEEKDAY(AB$6,1)=1,0,MAX(0,AB17-(IF('_JobDays'!S3,8,10)))*AB16))+((IF(OR(AB16&lt;=0,NOT('_JobDays'!S2)),0,IF(WEEKDAY(AB$6,1)=1,0,MIN(IF('_JobDays'!S3,8,10),AB17)*AB16)))-MIN(IF(OR(AB16&lt;=0,NOT('_JobDays'!S2)),0,IF(WEEKDAY(AB$6,1)=1,0,MIN(IF('_JobDays'!S3,8,10),AB17)*AB16)),MAX(0,40*MAX(1,AB16)-(X18+Y18+Z18+AA18)))),IF(OR(AB16&lt;=0,NOT('_JobDays'!S2)),0,IF(WEEKDAY(AB$6,1)=1,0,IF(WEEKDAY(AB$6,1)=7,AB16*AB17,IF('_JobDays'!S4,MAX(0,AB17-8)*AB16,0))))+((IF(OR(AB16&lt;=0,NOT('_JobDays'!S2)),0,IF(WEEKDAY(AB$6,1)=1,0,IF(WEEKDAY(AB$6,1)=7,0,IF('_JobDays'!S4,MIN(8,AB17)*AB16,AB16*AB17)))))-MIN(IF(OR(AB16&lt;=0,NOT('_JobDays'!S2)),0,IF(WEEKDAY(AB$6,1)=1,0,IF(WEEKDAY(AB$6,1)=7,0,IF('_JobDays'!S4,MIN(8,AB17)*AB16,AB16*AB17)))),MAX(0,40*MAX(1,AB16)-(X18+Y18+Z18+AA18))))))</f>
        <v>4</v>
      </c>
      <c r="AC19" s="63">
        <f>IF(AND(AC16=1,AC17=12,E15="Auto",IF(TRIM(B19)&lt;&gt;"",B19,B15)="Boilermaker Journeyman",AND('Job setup'!$B$9="ON",'Job setup'!$C$9&lt;=AC$6,'Job setup'!$D$9&gt;=AC$6,'Job setup'!$G$9="NO")),12,IF(OS15,IF(OR(AC16&lt;=0,NOT('_JobDays'!T2)),0,IF(WEEKDAY(AC$6,1)=1,0,MAX(0,AC17-(IF('_JobDays'!T3,8,10)))*AC16))+((IF(OR(AC16&lt;=0,NOT('_JobDays'!T2)),0,IF(WEEKDAY(AC$6,1)=1,0,MIN(IF('_JobDays'!T3,8,10),AC17)*AC16)))-MIN(IF(OR(AC16&lt;=0,NOT('_JobDays'!T2)),0,IF(WEEKDAY(AC$6,1)=1,0,MIN(IF('_JobDays'!T3,8,10),AC17)*AC16)),MAX(0,40*MAX(1,AC16)-(X18+Y18+Z18+AA18+AB18)))),IF(OR(AC16&lt;=0,NOT('_JobDays'!T2)),0,IF(WEEKDAY(AC$6,1)=1,0,IF(WEEKDAY(AC$6,1)=7,AC16*AC17,IF('_JobDays'!T4,MAX(0,AC17-8)*AC16,0))))+((IF(OR(AC16&lt;=0,NOT('_JobDays'!T2)),0,IF(WEEKDAY(AC$6,1)=1,0,IF(WEEKDAY(AC$6,1)=7,0,IF('_JobDays'!T4,MIN(8,AC17)*AC16,AC16*AC17)))))-MIN(IF(OR(AC16&lt;=0,NOT('_JobDays'!T2)),0,IF(WEEKDAY(AC$6,1)=1,0,IF(WEEKDAY(AC$6,1)=7,0,IF('_JobDays'!T4,MIN(8,AC17)*AC16,AC16*AC17)))),MAX(0,40*MAX(1,AC16)-(X18+Y18+Z18+AA18+AB18))))))</f>
        <v>12</v>
      </c>
      <c r="AD19" s="63">
        <f>IF(AND(AD16=1,AD17=12,E15="Auto",IF(TRIM(B19)&lt;&gt;"",B19,B15)="Boilermaker Journeyman",AND('Job setup'!$B$9="ON",'Job setup'!$C$9&lt;=AD$6,'Job setup'!$D$9&gt;=AD$6,'Job setup'!$G$9="NO")),0,IF(OS15,IF(OR(AD16&lt;=0,NOT('_JobDays'!U2)),0,IF(WEEKDAY(AD$6,1)=1,0,MAX(0,AD17-(IF('_JobDays'!U3,8,10)))*AD16))+((IF(OR(AD16&lt;=0,NOT('_JobDays'!U2)),0,IF(WEEKDAY(AD$6,1)=1,0,MIN(IF('_JobDays'!U3,8,10),AD17)*AD16)))-MIN(IF(OR(AD16&lt;=0,NOT('_JobDays'!U2)),0,IF(WEEKDAY(AD$6,1)=1,0,MIN(IF('_JobDays'!U3,8,10),AD17)*AD16)),MAX(0,40*MAX(1,AD16)-(X18+Y18+Z18+AA18+AB18+AC18)))),IF(OR(AD16&lt;=0,NOT('_JobDays'!U2)),0,IF(WEEKDAY(AD$6,1)=1,0,IF(WEEKDAY(AD$6,1)=7,AD16*AD17,IF('_JobDays'!U4,MAX(0,AD17-8)*AD16,0))))+((IF(OR(AD16&lt;=0,NOT('_JobDays'!U2)),0,IF(WEEKDAY(AD$6,1)=1,0,IF(WEEKDAY(AD$6,1)=7,0,IF('_JobDays'!U4,MIN(8,AD17)*AD16,AD16*AD17)))))-MIN(IF(OR(AD16&lt;=0,NOT('_JobDays'!U2)),0,IF(WEEKDAY(AD$6,1)=1,0,IF(WEEKDAY(AD$6,1)=7,0,IF('_JobDays'!U4,MIN(8,AD17)*AD16,AD16*AD17)))),MAX(0,40*MAX(1,AD16)-(X18+Y18+Z18+AA18+AB18+AC18))))))</f>
        <v>0</v>
      </c>
      <c r="AE19" s="62">
        <f>IF(AND(AE16=1,AE17=12,E15="Auto",IF(TRIM(B19)&lt;&gt;"",B19,B15)="Boilermaker Journeyman",AND('Job setup'!$B$9="ON",'Job setup'!$C$9&lt;=AE$6,'Job setup'!$D$9&gt;=AE$6,'Job setup'!$G$9="NO")),4,IF(OS15,IF(OR(AE16&lt;=0,NOT('_JobDays'!V2)),0,IF(WEEKDAY(AE$6,1)=1,0,MAX(0,AE17-(IF('_JobDays'!V3,8,10)))*AE16))+((IF(OR(AE16&lt;=0,NOT('_JobDays'!V2)),0,IF(WEEKDAY(AE$6,1)=1,0,MIN(IF('_JobDays'!V3,8,10),AE17)*AE16)))-MIN(IF(OR(AE16&lt;=0,NOT('_JobDays'!V2)),0,IF(WEEKDAY(AE$6,1)=1,0,MIN(IF('_JobDays'!V3,8,10),AE17)*AE16)),MAX(0,40*MAX(1,AE16)-(0)))),IF(OR(AE16&lt;=0,NOT('_JobDays'!V2)),0,IF(WEEKDAY(AE$6,1)=1,0,IF(WEEKDAY(AE$6,1)=7,AE16*AE17,IF('_JobDays'!V4,MAX(0,AE17-8)*AE16,0))))+((IF(OR(AE16&lt;=0,NOT('_JobDays'!V2)),0,IF(WEEKDAY(AE$6,1)=1,0,IF(WEEKDAY(AE$6,1)=7,0,IF('_JobDays'!V4,MIN(8,AE17)*AE16,AE16*AE17)))))-MIN(IF(OR(AE16&lt;=0,NOT('_JobDays'!V2)),0,IF(WEEKDAY(AE$6,1)=1,0,IF(WEEKDAY(AE$6,1)=7,0,IF('_JobDays'!V4,MIN(8,AE17)*AE16,AE16*AE17)))),MAX(0,40*MAX(1,AE16)-(0))))))</f>
        <v>4</v>
      </c>
      <c r="AF19" s="62">
        <f>IF(AND(AF16=1,AF17=12,E15="Auto",IF(TRIM(B19)&lt;&gt;"",B19,B15)="Boilermaker Journeyman",AND('Job setup'!$B$9="ON",'Job setup'!$C$9&lt;=AF$6,'Job setup'!$D$9&gt;=AF$6,'Job setup'!$G$9="NO")),4,IF(OS15,IF(OR(AF16&lt;=0,NOT('_JobDays'!W2)),0,IF(WEEKDAY(AF$6,1)=1,0,MAX(0,AF17-(IF('_JobDays'!W3,8,10)))*AF16))+((IF(OR(AF16&lt;=0,NOT('_JobDays'!W2)),0,IF(WEEKDAY(AF$6,1)=1,0,MIN(IF('_JobDays'!W3,8,10),AF17)*AF16)))-MIN(IF(OR(AF16&lt;=0,NOT('_JobDays'!W2)),0,IF(WEEKDAY(AF$6,1)=1,0,MIN(IF('_JobDays'!W3,8,10),AF17)*AF16)),MAX(0,40*MAX(1,AF16)-(AE18)))),IF(OR(AF16&lt;=0,NOT('_JobDays'!W2)),0,IF(WEEKDAY(AF$6,1)=1,0,IF(WEEKDAY(AF$6,1)=7,AF16*AF17,IF('_JobDays'!W4,MAX(0,AF17-8)*AF16,0))))+((IF(OR(AF16&lt;=0,NOT('_JobDays'!W2)),0,IF(WEEKDAY(AF$6,1)=1,0,IF(WEEKDAY(AF$6,1)=7,0,IF('_JobDays'!W4,MIN(8,AF17)*AF16,AF16*AF17)))))-MIN(IF(OR(AF16&lt;=0,NOT('_JobDays'!W2)),0,IF(WEEKDAY(AF$6,1)=1,0,IF(WEEKDAY(AF$6,1)=7,0,IF('_JobDays'!W4,MIN(8,AF17)*AF16,AF16*AF17)))),MAX(0,40*MAX(1,AF16)-(AE18))))))</f>
        <v>4</v>
      </c>
      <c r="AG19" s="62">
        <f>IF(AND(AG16=1,AG17=12,E15="Auto",IF(TRIM(B19)&lt;&gt;"",B19,B15)="Boilermaker Journeyman",AND('Job setup'!$B$9="ON",'Job setup'!$C$9&lt;=AG$6,'Job setup'!$D$9&gt;=AG$6,'Job setup'!$G$9="NO")),4,IF(OS15,IF(OR(AG16&lt;=0,NOT('_JobDays'!X2)),0,IF(WEEKDAY(AG$6,1)=1,0,MAX(0,AG17-(IF('_JobDays'!X3,8,10)))*AG16))+((IF(OR(AG16&lt;=0,NOT('_JobDays'!X2)),0,IF(WEEKDAY(AG$6,1)=1,0,MIN(IF('_JobDays'!X3,8,10),AG17)*AG16)))-MIN(IF(OR(AG16&lt;=0,NOT('_JobDays'!X2)),0,IF(WEEKDAY(AG$6,1)=1,0,MIN(IF('_JobDays'!X3,8,10),AG17)*AG16)),MAX(0,40*MAX(1,AG16)-(AE18+AF18)))),IF(OR(AG16&lt;=0,NOT('_JobDays'!X2)),0,IF(WEEKDAY(AG$6,1)=1,0,IF(WEEKDAY(AG$6,1)=7,AG16*AG17,IF('_JobDays'!X4,MAX(0,AG17-8)*AG16,0))))+((IF(OR(AG16&lt;=0,NOT('_JobDays'!X2)),0,IF(WEEKDAY(AG$6,1)=1,0,IF(WEEKDAY(AG$6,1)=7,0,IF('_JobDays'!X4,MIN(8,AG17)*AG16,AG16*AG17)))))-MIN(IF(OR(AG16&lt;=0,NOT('_JobDays'!X2)),0,IF(WEEKDAY(AG$6,1)=1,0,IF(WEEKDAY(AG$6,1)=7,0,IF('_JobDays'!X4,MIN(8,AG17)*AG16,AG16*AG17)))),MAX(0,40*MAX(1,AG16)-(AE18+AF18))))))</f>
        <v>4</v>
      </c>
      <c r="AH19" s="62">
        <f>IF(AND(AH16=0,AH17=0,E15="Auto",IF(TRIM(B19)&lt;&gt;"",B19,B15)="Boilermaker Journeyman",AND('Job setup'!$B$11="ON",'Job setup'!$C$11&lt;=AH$6,'Job setup'!$D$11&gt;=AH$6,'Job setup'!$G$11="YES")),0,IF(OS15,IF(OR(AH16&lt;=0,NOT('_JobDays'!Y2)),0,IF(WEEKDAY(AH$6,1)=1,0,MAX(0,AH17-(IF('_JobDays'!Y3,8,10)))*AH16))+((IF(OR(AH16&lt;=0,NOT('_JobDays'!Y2)),0,IF(WEEKDAY(AH$6,1)=1,0,MIN(IF('_JobDays'!Y3,8,10),AH17)*AH16)))-MIN(IF(OR(AH16&lt;=0,NOT('_JobDays'!Y2)),0,IF(WEEKDAY(AH$6,1)=1,0,MIN(IF('_JobDays'!Y3,8,10),AH17)*AH16)),MAX(0,40*MAX(1,AH16)-(AE18+AF18+AG18)))),IF(OR(AH16&lt;=0,NOT('_JobDays'!Y2)),0,IF(WEEKDAY(AH$6,1)=1,0,IF(WEEKDAY(AH$6,1)=7,AH16*AH17,IF('_JobDays'!Y4,MAX(0,AH17-8)*AH16,0))))+((IF(OR(AH16&lt;=0,NOT('_JobDays'!Y2)),0,IF(WEEKDAY(AH$6,1)=1,0,IF(WEEKDAY(AH$6,1)=7,0,IF('_JobDays'!Y4,MIN(8,AH17)*AH16,AH16*AH17)))))-MIN(IF(OR(AH16&lt;=0,NOT('_JobDays'!Y2)),0,IF(WEEKDAY(AH$6,1)=1,0,IF(WEEKDAY(AH$6,1)=7,0,IF('_JobDays'!Y4,MIN(8,AH17)*AH16,AH16*AH17)))),MAX(0,40*MAX(1,AH16)-(AE18+AF18+AG18))))))</f>
        <v>0</v>
      </c>
      <c r="AI19" s="62">
        <f>IF(AND(AI16=0,AI17=0,E15="Auto",IF(TRIM(B19)&lt;&gt;"",B19,B15)="Boilermaker Journeyman",AND('Job setup'!$B$11="ON",'Job setup'!$C$11&lt;=AI$6,'Job setup'!$D$11&gt;=AI$6,'Job setup'!$G$11="YES")),0,IF(OS15,IF(OR(AI16&lt;=0,NOT('_JobDays'!Z2)),0,IF(WEEKDAY(AI$6,1)=1,0,MAX(0,AI17-(IF('_JobDays'!Z3,8,10)))*AI16))+((IF(OR(AI16&lt;=0,NOT('_JobDays'!Z2)),0,IF(WEEKDAY(AI$6,1)=1,0,MIN(IF('_JobDays'!Z3,8,10),AI17)*AI16)))-MIN(IF(OR(AI16&lt;=0,NOT('_JobDays'!Z2)),0,IF(WEEKDAY(AI$6,1)=1,0,MIN(IF('_JobDays'!Z3,8,10),AI17)*AI16)),MAX(0,40*MAX(1,AI16)-(AE18+AF18+AG18+AH18)))),IF(OR(AI16&lt;=0,NOT('_JobDays'!Z2)),0,IF(WEEKDAY(AI$6,1)=1,0,IF(WEEKDAY(AI$6,1)=7,AI16*AI17,IF('_JobDays'!Z4,MAX(0,AI17-8)*AI16,0))))+((IF(OR(AI16&lt;=0,NOT('_JobDays'!Z2)),0,IF(WEEKDAY(AI$6,1)=1,0,IF(WEEKDAY(AI$6,1)=7,0,IF('_JobDays'!Z4,MIN(8,AI17)*AI16,AI16*AI17)))))-MIN(IF(OR(AI16&lt;=0,NOT('_JobDays'!Z2)),0,IF(WEEKDAY(AI$6,1)=1,0,IF(WEEKDAY(AI$6,1)=7,0,IF('_JobDays'!Z4,MIN(8,AI17)*AI16,AI16*AI17)))),MAX(0,40*MAX(1,AI16)-(AE18+AF18+AG18+AH18))))))</f>
        <v>0</v>
      </c>
      <c r="AJ19" s="63">
        <f>IF(AND(AJ16=0,AJ17=0,E15="Auto",IF(TRIM(B19)&lt;&gt;"",B19,B15)="Boilermaker Journeyman",AND('Job setup'!$B$11="ON",'Job setup'!$C$11&lt;=AJ$6,'Job setup'!$D$11&gt;=AJ$6,'Job setup'!$G$11="YES")),0,IF(OS15,IF(OR(AJ16&lt;=0,NOT('_JobDays'!AA2)),0,IF(WEEKDAY(AJ$6,1)=1,0,MAX(0,AJ17-(IF('_JobDays'!AA3,8,10)))*AJ16))+((IF(OR(AJ16&lt;=0,NOT('_JobDays'!AA2)),0,IF(WEEKDAY(AJ$6,1)=1,0,MIN(IF('_JobDays'!AA3,8,10),AJ17)*AJ16)))-MIN(IF(OR(AJ16&lt;=0,NOT('_JobDays'!AA2)),0,IF(WEEKDAY(AJ$6,1)=1,0,MIN(IF('_JobDays'!AA3,8,10),AJ17)*AJ16)),MAX(0,40*MAX(1,AJ16)-(AE18+AF18+AG18+AH18+AI18)))),IF(OR(AJ16&lt;=0,NOT('_JobDays'!AA2)),0,IF(WEEKDAY(AJ$6,1)=1,0,IF(WEEKDAY(AJ$6,1)=7,AJ16*AJ17,IF('_JobDays'!AA4,MAX(0,AJ17-8)*AJ16,0))))+((IF(OR(AJ16&lt;=0,NOT('_JobDays'!AA2)),0,IF(WEEKDAY(AJ$6,1)=1,0,IF(WEEKDAY(AJ$6,1)=7,0,IF('_JobDays'!AA4,MIN(8,AJ17)*AJ16,AJ16*AJ17)))))-MIN(IF(OR(AJ16&lt;=0,NOT('_JobDays'!AA2)),0,IF(WEEKDAY(AJ$6,1)=1,0,IF(WEEKDAY(AJ$6,1)=7,0,IF('_JobDays'!AA4,MIN(8,AJ17)*AJ16,AJ16*AJ17)))),MAX(0,40*MAX(1,AJ16)-(AE18+AF18+AG18+AH18+AI18))))))</f>
        <v>0</v>
      </c>
      <c r="AK19" s="63">
        <f>IF(AND(AK16=0,AK17=0,E15="Auto",IF(TRIM(B19)&lt;&gt;"",B19,B15)="Boilermaker Journeyman",AND('Job setup'!$B$11="ON",'Job setup'!$C$11&lt;=AK$6,'Job setup'!$D$11&gt;=AK$6,'Job setup'!$G$11="YES")),0,IF(OS15,IF(OR(AK16&lt;=0,NOT('_JobDays'!AB2)),0,IF(WEEKDAY(AK$6,1)=1,0,MAX(0,AK17-(IF('_JobDays'!AB3,8,10)))*AK16))+((IF(OR(AK16&lt;=0,NOT('_JobDays'!AB2)),0,IF(WEEKDAY(AK$6,1)=1,0,MIN(IF('_JobDays'!AB3,8,10),AK17)*AK16)))-MIN(IF(OR(AK16&lt;=0,NOT('_JobDays'!AB2)),0,IF(WEEKDAY(AK$6,1)=1,0,MIN(IF('_JobDays'!AB3,8,10),AK17)*AK16)),MAX(0,40*MAX(1,AK16)-(AE18+AF18+AG18+AH18+AI18+AJ18)))),IF(OR(AK16&lt;=0,NOT('_JobDays'!AB2)),0,IF(WEEKDAY(AK$6,1)=1,0,IF(WEEKDAY(AK$6,1)=7,AK16*AK17,IF('_JobDays'!AB4,MAX(0,AK17-8)*AK16,0))))+((IF(OR(AK16&lt;=0,NOT('_JobDays'!AB2)),0,IF(WEEKDAY(AK$6,1)=1,0,IF(WEEKDAY(AK$6,1)=7,0,IF('_JobDays'!AB4,MIN(8,AK17)*AK16,AK16*AK17)))))-MIN(IF(OR(AK16&lt;=0,NOT('_JobDays'!AB2)),0,IF(WEEKDAY(AK$6,1)=1,0,IF(WEEKDAY(AK$6,1)=7,0,IF('_JobDays'!AB4,MIN(8,AK17)*AK16,AK16*AK17)))),MAX(0,40*MAX(1,AK16)-(AE18+AF18+AG18+AH18+AI18+AJ18))))))</f>
        <v>0</v>
      </c>
      <c r="AL19" s="62">
        <f>IF(AND(AL16=0,AL17=0,E15="Auto",IF(TRIM(B19)&lt;&gt;"",B19,B15)="Boilermaker Journeyman",AND('Job setup'!$B$11="ON",'Job setup'!$C$11&lt;=AL$6,'Job setup'!$D$11&gt;=AL$6,'Job setup'!$G$11="YES")),0,IF(OS15,IF(OR(AL16&lt;=0,NOT('_JobDays'!AC2)),0,IF(WEEKDAY(AL$6,1)=1,0,MAX(0,AL17-(IF('_JobDays'!AC3,8,10)))*AL16))+((IF(OR(AL16&lt;=0,NOT('_JobDays'!AC2)),0,IF(WEEKDAY(AL$6,1)=1,0,MIN(IF('_JobDays'!AC3,8,10),AL17)*AL16)))-MIN(IF(OR(AL16&lt;=0,NOT('_JobDays'!AC2)),0,IF(WEEKDAY(AL$6,1)=1,0,MIN(IF('_JobDays'!AC3,8,10),AL17)*AL16)),MAX(0,40*MAX(1,AL16)-(0)))),IF(OR(AL16&lt;=0,NOT('_JobDays'!AC2)),0,IF(WEEKDAY(AL$6,1)=1,0,IF(WEEKDAY(AL$6,1)=7,AL16*AL17,IF('_JobDays'!AC4,MAX(0,AL17-8)*AL16,0))))+((IF(OR(AL16&lt;=0,NOT('_JobDays'!AC2)),0,IF(WEEKDAY(AL$6,1)=1,0,IF(WEEKDAY(AL$6,1)=7,0,IF('_JobDays'!AC4,MIN(8,AL17)*AL16,AL16*AL17)))))-MIN(IF(OR(AL16&lt;=0,NOT('_JobDays'!AC2)),0,IF(WEEKDAY(AL$6,1)=1,0,IF(WEEKDAY(AL$6,1)=7,0,IF('_JobDays'!AC4,MIN(8,AL17)*AL16,AL16*AL17)))),MAX(0,40*MAX(1,AL16)-(0))))))</f>
        <v>0</v>
      </c>
      <c r="AM19" s="62">
        <f>IF(AND(AM16=0,AM17=0,E15="Auto",IF(TRIM(B19)&lt;&gt;"",B19,B15)="Boilermaker Journeyman",AND('Job setup'!$B$11="ON",'Job setup'!$C$11&lt;=AM$6,'Job setup'!$D$11&gt;=AM$6,'Job setup'!$G$11="YES")),0,IF(OS15,IF(OR(AM16&lt;=0,NOT('_JobDays'!AD2)),0,IF(WEEKDAY(AM$6,1)=1,0,MAX(0,AM17-(IF('_JobDays'!AD3,8,10)))*AM16))+((IF(OR(AM16&lt;=0,NOT('_JobDays'!AD2)),0,IF(WEEKDAY(AM$6,1)=1,0,MIN(IF('_JobDays'!AD3,8,10),AM17)*AM16)))-MIN(IF(OR(AM16&lt;=0,NOT('_JobDays'!AD2)),0,IF(WEEKDAY(AM$6,1)=1,0,MIN(IF('_JobDays'!AD3,8,10),AM17)*AM16)),MAX(0,40*MAX(1,AM16)-(AL18)))),IF(OR(AM16&lt;=0,NOT('_JobDays'!AD2)),0,IF(WEEKDAY(AM$6,1)=1,0,IF(WEEKDAY(AM$6,1)=7,AM16*AM17,IF('_JobDays'!AD4,MAX(0,AM17-8)*AM16,0))))+((IF(OR(AM16&lt;=0,NOT('_JobDays'!AD2)),0,IF(WEEKDAY(AM$6,1)=1,0,IF(WEEKDAY(AM$6,1)=7,0,IF('_JobDays'!AD4,MIN(8,AM17)*AM16,AM16*AM17)))))-MIN(IF(OR(AM16&lt;=0,NOT('_JobDays'!AD2)),0,IF(WEEKDAY(AM$6,1)=1,0,IF(WEEKDAY(AM$6,1)=7,0,IF('_JobDays'!AD4,MIN(8,AM17)*AM16,AM16*AM17)))),MAX(0,40*MAX(1,AM16)-(AL18))))))</f>
        <v>0</v>
      </c>
      <c r="AN19" s="62">
        <f>IF(AND(AN16=0,AN17=0,E15="Auto",IF(TRIM(B19)&lt;&gt;"",B19,B15)="Boilermaker Journeyman",AND('Job setup'!$B$11="ON",'Job setup'!$C$11&lt;=AN$6,'Job setup'!$D$11&gt;=AN$6,'Job setup'!$G$11="YES")),0,IF(OS15,IF(OR(AN16&lt;=0,NOT('_JobDays'!AE2)),0,IF(WEEKDAY(AN$6,1)=1,0,MAX(0,AN17-(IF('_JobDays'!AE3,8,10)))*AN16))+((IF(OR(AN16&lt;=0,NOT('_JobDays'!AE2)),0,IF(WEEKDAY(AN$6,1)=1,0,MIN(IF('_JobDays'!AE3,8,10),AN17)*AN16)))-MIN(IF(OR(AN16&lt;=0,NOT('_JobDays'!AE2)),0,IF(WEEKDAY(AN$6,1)=1,0,MIN(IF('_JobDays'!AE3,8,10),AN17)*AN16)),MAX(0,40*MAX(1,AN16)-(AL18+AM18)))),IF(OR(AN16&lt;=0,NOT('_JobDays'!AE2)),0,IF(WEEKDAY(AN$6,1)=1,0,IF(WEEKDAY(AN$6,1)=7,AN16*AN17,IF('_JobDays'!AE4,MAX(0,AN17-8)*AN16,0))))+((IF(OR(AN16&lt;=0,NOT('_JobDays'!AE2)),0,IF(WEEKDAY(AN$6,1)=1,0,IF(WEEKDAY(AN$6,1)=7,0,IF('_JobDays'!AE4,MIN(8,AN17)*AN16,AN16*AN17)))))-MIN(IF(OR(AN16&lt;=0,NOT('_JobDays'!AE2)),0,IF(WEEKDAY(AN$6,1)=1,0,IF(WEEKDAY(AN$6,1)=7,0,IF('_JobDays'!AE4,MIN(8,AN17)*AN16,AN16*AN17)))),MAX(0,40*MAX(1,AN16)-(AL18+AM18))))))</f>
        <v>0</v>
      </c>
      <c r="AO19" s="64">
        <f>IF(AND(AO16=0,AO17=0,E15="Auto",IF(TRIM(B19)&lt;&gt;"",B19,B15)="Boilermaker Journeyman",AND('Job setup'!$B$11="ON",'Job setup'!$C$11&lt;=AO$6,'Job setup'!$D$11&gt;=AO$6,'Job setup'!$G$11="YES")),0,IF(OS15,IF(OR(AO16&lt;=0,NOT('_JobDays'!AF2)),0,IF(WEEKDAY(AO$6,1)=1,0,MAX(0,AO17-(IF('_JobDays'!AF3,8,10)))*AO16))+((IF(OR(AO16&lt;=0,NOT('_JobDays'!AF2)),0,IF(WEEKDAY(AO$6,1)=1,0,MIN(IF('_JobDays'!AF3,8,10),AO17)*AO16)))-MIN(IF(OR(AO16&lt;=0,NOT('_JobDays'!AF2)),0,IF(WEEKDAY(AO$6,1)=1,0,MIN(IF('_JobDays'!AF3,8,10),AO17)*AO16)),MAX(0,40*MAX(1,AO16)-(AL18+AM18+AN18)))),IF(OR(AO16&lt;=0,NOT('_JobDays'!AF2)),0,IF(WEEKDAY(AO$6,1)=1,0,IF(WEEKDAY(AO$6,1)=7,AO16*AO17,IF('_JobDays'!AF4,MAX(0,AO17-8)*AO16,0))))+((IF(OR(AO16&lt;=0,NOT('_JobDays'!AF2)),0,IF(WEEKDAY(AO$6,1)=1,0,IF(WEEKDAY(AO$6,1)=7,0,IF('_JobDays'!AF4,MIN(8,AO17)*AO16,AO16*AO17)))))-MIN(IF(OR(AO16&lt;=0,NOT('_JobDays'!AF2)),0,IF(WEEKDAY(AO$6,1)=1,0,IF(WEEKDAY(AO$6,1)=7,0,IF('_JobDays'!AF4,MIN(8,AO17)*AO16,AO16*AO17)))),MAX(0,40*MAX(1,AO16)-(AL18+AM18+AN18))))))</f>
        <v>0</v>
      </c>
      <c r="OT19" s="28" t="s">
        <v>86</v>
      </c>
    </row>
    <row r="20" ht="16" customHeight="1" spans="1:410" x14ac:dyDescent="0.25">
      <c r="A20" s="73"/>
      <c r="B20" s="77"/>
      <c r="C20" s="60">
        <f>H15*N(D20)</f>
        <v>4732.5599999999995</v>
      </c>
      <c r="D20" s="60">
        <f>IF(TRIM(IF(TRIM(B19)&lt;&gt;"",B19,B15))="","No rate",IFERROR(INDEX('Rate Tables'!E$7:E$161,MATCH(IF(TRIM(B19)&lt;&gt;"",B19,B15),'Rate Tables'!A$7:A$161,0)),"No rate"))</f>
        <v>197.19</v>
      </c>
      <c r="E20" s="54" t="s">
        <v>62</v>
      </c>
      <c r="F20" s="48"/>
      <c r="G20" s="48"/>
      <c r="H20" s="48"/>
      <c r="I20" s="49"/>
      <c r="J20" s="61">
        <f>IF(AND(J16=0,J17=0,E15="Auto",IF(TRIM(B19)&lt;&gt;"",B19,B15)="Boilermaker Journeyman",AND('Job setup'!$B$7="ON",'Job setup'!$C$7&lt;=J$6,'Job setup'!$D$7&gt;=J$6,'Job setup'!$G$7="YES")),0,IF(OS15,IF(OR(J16&lt;=0,NOT('_JobDays'!A2)),0,IF(WEEKDAY(J$6,1)=1,J16*J17,0)),IF(OR(J16&lt;=0,NOT('_JobDays'!A2)),0,IF(WEEKDAY(J$6,1)=1,J16*J17,0))))</f>
        <v>0</v>
      </c>
      <c r="K20" s="62">
        <f>IF(AND(K16=0,K17=0,E15="Auto",IF(TRIM(B19)&lt;&gt;"",B19,B15)="Boilermaker Journeyman",AND('Job setup'!$B$7="ON",'Job setup'!$C$7&lt;=K$6,'Job setup'!$D$7&gt;=K$6,'Job setup'!$G$7="YES")),0,IF(OS15,IF(OR(K16&lt;=0,NOT('_JobDays'!B2)),0,IF(WEEKDAY(K$6,1)=1,K16*K17,0)),IF(OR(K16&lt;=0,NOT('_JobDays'!B2)),0,IF(WEEKDAY(K$6,1)=1,K16*K17,0))))</f>
        <v>0</v>
      </c>
      <c r="L20" s="62">
        <f>IF(AND(L16=0,L17=0,E15="Auto",IF(TRIM(B19)&lt;&gt;"",B19,B15)="Boilermaker Journeyman",AND('Job setup'!$B$7="ON",'Job setup'!$C$7&lt;=L$6,'Job setup'!$D$7&gt;=L$6,'Job setup'!$G$7="YES")),0,IF(OS15,IF(OR(L16&lt;=0,NOT('_JobDays'!C2)),0,IF(WEEKDAY(L$6,1)=1,L16*L17,0)),IF(OR(L16&lt;=0,NOT('_JobDays'!C2)),0,IF(WEEKDAY(L$6,1)=1,L16*L17,0))))</f>
        <v>0</v>
      </c>
      <c r="M20" s="62">
        <f>IF(AND(M16=0,M17=0,E15="Auto",IF(TRIM(B19)&lt;&gt;"",B19,B15)="Boilermaker Journeyman",AND('Job setup'!$B$7="ON",'Job setup'!$C$7&lt;=M$6,'Job setup'!$D$7&gt;=M$6,'Job setup'!$G$7="YES")),0,IF(OS15,IF(OR(M16&lt;=0,NOT('_JobDays'!D2)),0,IF(WEEKDAY(M$6,1)=1,M16*M17,0)),IF(OR(M16&lt;=0,NOT('_JobDays'!D2)),0,IF(WEEKDAY(M$6,1)=1,M16*M17,0))))</f>
        <v>0</v>
      </c>
      <c r="N20" s="62">
        <f>IF(AND(N16=0,N17=0,E15="Auto",IF(TRIM(B19)&lt;&gt;"",B19,B15)="Boilermaker Journeyman",AND('Job setup'!$B$7="ON",'Job setup'!$C$7&lt;=N$6,'Job setup'!$D$7&gt;=N$6,'Job setup'!$G$7="YES")),0,IF(OS15,IF(OR(N16&lt;=0,NOT('_JobDays'!E2)),0,IF(WEEKDAY(N$6,1)=1,N16*N17,0)),IF(OR(N16&lt;=0,NOT('_JobDays'!E2)),0,IF(WEEKDAY(N$6,1)=1,N16*N17,0))))</f>
        <v>0</v>
      </c>
      <c r="O20" s="63">
        <f>IF(AND(O16=0,O17=0,E15="Auto",IF(TRIM(B19)&lt;&gt;"",B19,B15)="Boilermaker Journeyman",AND('Job setup'!$B$7="ON",'Job setup'!$C$7&lt;=O$6,'Job setup'!$D$7&gt;=O$6,'Job setup'!$G$7="YES")),0,IF(OS15,IF(OR(O16&lt;=0,NOT('_JobDays'!F2)),0,IF(WEEKDAY(O$6,1)=1,O16*O17,0)),IF(OR(O16&lt;=0,NOT('_JobDays'!F2)),0,IF(WEEKDAY(O$6,1)=1,O16*O17,0))))</f>
        <v>0</v>
      </c>
      <c r="P20" s="63">
        <f>IF(AND(P16=0,P17=0,E15="Auto",IF(TRIM(B19)&lt;&gt;"",B19,B15)="Boilermaker Journeyman",AND('Job setup'!$B$7="ON",'Job setup'!$C$7&lt;=P$6,'Job setup'!$D$7&gt;=P$6,'Job setup'!$G$7="YES")),0,IF(OS15,IF(OR(P16&lt;=0,NOT('_JobDays'!G2)),0,IF(WEEKDAY(P$6,1)=1,P16*P17,0)),IF(OR(P16&lt;=0,NOT('_JobDays'!G2)),0,IF(WEEKDAY(P$6,1)=1,P16*P17,0))))</f>
        <v>0</v>
      </c>
      <c r="Q20" s="62">
        <f>IF(AND(Q16=0,Q17=0,E15="Auto",IF(TRIM(B19)&lt;&gt;"",B19,B15)="Boilermaker Journeyman",AND('Job setup'!$B$7="ON",'Job setup'!$C$7&lt;=Q$6,'Job setup'!$D$7&gt;=Q$6,'Job setup'!$G$7="YES")),0,IF(OS15,IF(OR(Q16&lt;=0,NOT('_JobDays'!H2)),0,IF(WEEKDAY(Q$6,1)=1,Q16*Q17,0)),IF(OR(Q16&lt;=0,NOT('_JobDays'!H2)),0,IF(WEEKDAY(Q$6,1)=1,Q16*Q17,0))))</f>
        <v>0</v>
      </c>
      <c r="R20" s="62">
        <f>IF(AND(R16=0,R17=0,E15="Auto",IF(TRIM(B19)&lt;&gt;"",B19,B15)="Boilermaker Journeyman",AND('Job setup'!$B$7="ON",'Job setup'!$C$7&lt;=R$6,'Job setup'!$D$7&gt;=R$6,'Job setup'!$G$7="YES")),0,IF(OS15,IF(OR(R16&lt;=0,NOT('_JobDays'!I2)),0,IF(WEEKDAY(R$6,1)=1,R16*R17,0)),IF(OR(R16&lt;=0,NOT('_JobDays'!I2)),0,IF(WEEKDAY(R$6,1)=1,R16*R17,0))))</f>
        <v>0</v>
      </c>
      <c r="S20" s="62">
        <f>IF(AND(S16=0,S17=0,E15="Auto",IF(TRIM(B19)&lt;&gt;"",B19,B15)="Boilermaker Journeyman",AND('Job setup'!$B$7="ON",'Job setup'!$C$7&lt;=S$6,'Job setup'!$D$7&gt;=S$6,'Job setup'!$G$7="YES")),0,IF(OS15,IF(OR(S16&lt;=0,NOT('_JobDays'!J2)),0,IF(WEEKDAY(S$6,1)=1,S16*S17,0)),IF(OR(S16&lt;=0,NOT('_JobDays'!J2)),0,IF(WEEKDAY(S$6,1)=1,S16*S17,0))))</f>
        <v>0</v>
      </c>
      <c r="T20" s="62">
        <f>IF(AND(T16=1,T17=12,E15="Auto",IF(TRIM(B19)&lt;&gt;"",B19,B15)="Boilermaker Journeyman",AND('Job setup'!$B$9="ON",'Job setup'!$C$9&lt;=T$6,'Job setup'!$D$9&gt;=T$6,'Job setup'!$G$9="NO")),0,IF(OS15,IF(OR(T16&lt;=0,NOT('_JobDays'!K2)),0,IF(WEEKDAY(T$6,1)=1,T16*T17,0)),IF(OR(T16&lt;=0,NOT('_JobDays'!K2)),0,IF(WEEKDAY(T$6,1)=1,T16*T17,0))))</f>
        <v>0</v>
      </c>
      <c r="U20" s="62">
        <f>IF(AND(U16=1,U17=12,E15="Auto",IF(TRIM(B19)&lt;&gt;"",B19,B15)="Boilermaker Journeyman",AND('Job setup'!$B$9="ON",'Job setup'!$C$9&lt;=U$6,'Job setup'!$D$9&gt;=U$6,'Job setup'!$G$9="NO")),0,IF(OS15,IF(OR(U16&lt;=0,NOT('_JobDays'!L2)),0,IF(WEEKDAY(U$6,1)=1,U16*U17,0)),IF(OR(U16&lt;=0,NOT('_JobDays'!L2)),0,IF(WEEKDAY(U$6,1)=1,U16*U17,0))))</f>
        <v>0</v>
      </c>
      <c r="V20" s="63">
        <f>IF(AND(V16=1,V17=12,E15="Auto",IF(TRIM(B19)&lt;&gt;"",B19,B15)="Boilermaker Journeyman",AND('Job setup'!$B$9="ON",'Job setup'!$C$9&lt;=V$6,'Job setup'!$D$9&gt;=V$6,'Job setup'!$G$9="NO")),0,IF(OS15,IF(OR(V16&lt;=0,NOT('_JobDays'!M2)),0,IF(WEEKDAY(V$6,1)=1,V16*V17,0)),IF(OR(V16&lt;=0,NOT('_JobDays'!M2)),0,IF(WEEKDAY(V$6,1)=1,V16*V17,0))))</f>
        <v>0</v>
      </c>
      <c r="W20" s="63">
        <f>IF(AND(W16=1,W17=12,E15="Auto",IF(TRIM(B19)&lt;&gt;"",B19,B15)="Boilermaker Journeyman",AND('Job setup'!$B$9="ON",'Job setup'!$C$9&lt;=W$6,'Job setup'!$D$9&gt;=W$6,'Job setup'!$G$9="NO")),12,IF(OS15,IF(OR(W16&lt;=0,NOT('_JobDays'!N2)),0,IF(WEEKDAY(W$6,1)=1,W16*W17,0)),IF(OR(W16&lt;=0,NOT('_JobDays'!N2)),0,IF(WEEKDAY(W$6,1)=1,W16*W17,0))))</f>
        <v>12</v>
      </c>
      <c r="X20" s="62">
        <f>IF(AND(X16=1,X17=12,E15="Auto",IF(TRIM(B19)&lt;&gt;"",B19,B15)="Boilermaker Journeyman",AND('Job setup'!$B$9="ON",'Job setup'!$C$9&lt;=X$6,'Job setup'!$D$9&gt;=X$6,'Job setup'!$G$9="NO")),0,IF(OS15,IF(OR(X16&lt;=0,NOT('_JobDays'!O2)),0,IF(WEEKDAY(X$6,1)=1,X16*X17,0)),IF(OR(X16&lt;=0,NOT('_JobDays'!O2)),0,IF(WEEKDAY(X$6,1)=1,X16*X17,0))))</f>
        <v>0</v>
      </c>
      <c r="Y20" s="62">
        <f>IF(AND(Y16=1,Y17=12,E15="Auto",IF(TRIM(B19)&lt;&gt;"",B19,B15)="Boilermaker Journeyman",AND('Job setup'!$B$9="ON",'Job setup'!$C$9&lt;=Y$6,'Job setup'!$D$9&gt;=Y$6,'Job setup'!$G$9="NO")),0,IF(OS15,IF(OR(Y16&lt;=0,NOT('_JobDays'!P2)),0,IF(WEEKDAY(Y$6,1)=1,Y16*Y17,0)),IF(OR(Y16&lt;=0,NOT('_JobDays'!P2)),0,IF(WEEKDAY(Y$6,1)=1,Y16*Y17,0))))</f>
        <v>0</v>
      </c>
      <c r="Z20" s="62">
        <f>IF(AND(Z16=1,Z17=12,E15="Auto",IF(TRIM(B19)&lt;&gt;"",B19,B15)="Boilermaker Journeyman",AND('Job setup'!$B$9="ON",'Job setup'!$C$9&lt;=Z$6,'Job setup'!$D$9&gt;=Z$6,'Job setup'!$G$9="NO")),0,IF(OS15,IF(OR(Z16&lt;=0,NOT('_JobDays'!Q2)),0,IF(WEEKDAY(Z$6,1)=1,Z16*Z17,0)),IF(OR(Z16&lt;=0,NOT('_JobDays'!Q2)),0,IF(WEEKDAY(Z$6,1)=1,Z16*Z17,0))))</f>
        <v>0</v>
      </c>
      <c r="AA20" s="62">
        <f>IF(AND(AA16=1,AA17=12,E15="Auto",IF(TRIM(B19)&lt;&gt;"",B19,B15)="Boilermaker Journeyman",AND('Job setup'!$B$9="ON",'Job setup'!$C$9&lt;=AA$6,'Job setup'!$D$9&gt;=AA$6,'Job setup'!$G$9="NO")),0,IF(OS15,IF(OR(AA16&lt;=0,NOT('_JobDays'!R2)),0,IF(WEEKDAY(AA$6,1)=1,AA16*AA17,0)),IF(OR(AA16&lt;=0,NOT('_JobDays'!R2)),0,IF(WEEKDAY(AA$6,1)=1,AA16*AA17,0))))</f>
        <v>0</v>
      </c>
      <c r="AB20" s="62">
        <f>IF(AND(AB16=1,AB17=12,E15="Auto",IF(TRIM(B19)&lt;&gt;"",B19,B15)="Boilermaker Journeyman",AND('Job setup'!$B$9="ON",'Job setup'!$C$9&lt;=AB$6,'Job setup'!$D$9&gt;=AB$6,'Job setup'!$G$9="NO")),0,IF(OS15,IF(OR(AB16&lt;=0,NOT('_JobDays'!S2)),0,IF(WEEKDAY(AB$6,1)=1,AB16*AB17,0)),IF(OR(AB16&lt;=0,NOT('_JobDays'!S2)),0,IF(WEEKDAY(AB$6,1)=1,AB16*AB17,0))))</f>
        <v>0</v>
      </c>
      <c r="AC20" s="63">
        <f>IF(AND(AC16=1,AC17=12,E15="Auto",IF(TRIM(B19)&lt;&gt;"",B19,B15)="Boilermaker Journeyman",AND('Job setup'!$B$9="ON",'Job setup'!$C$9&lt;=AC$6,'Job setup'!$D$9&gt;=AC$6,'Job setup'!$G$9="NO")),0,IF(OS15,IF(OR(AC16&lt;=0,NOT('_JobDays'!T2)),0,IF(WEEKDAY(AC$6,1)=1,AC16*AC17,0)),IF(OR(AC16&lt;=0,NOT('_JobDays'!T2)),0,IF(WEEKDAY(AC$6,1)=1,AC16*AC17,0))))</f>
        <v>0</v>
      </c>
      <c r="AD20" s="63">
        <f>IF(AND(AD16=1,AD17=12,E15="Auto",IF(TRIM(B19)&lt;&gt;"",B19,B15)="Boilermaker Journeyman",AND('Job setup'!$B$9="ON",'Job setup'!$C$9&lt;=AD$6,'Job setup'!$D$9&gt;=AD$6,'Job setup'!$G$9="NO")),12,IF(OS15,IF(OR(AD16&lt;=0,NOT('_JobDays'!U2)),0,IF(WEEKDAY(AD$6,1)=1,AD16*AD17,0)),IF(OR(AD16&lt;=0,NOT('_JobDays'!U2)),0,IF(WEEKDAY(AD$6,1)=1,AD16*AD17,0))))</f>
        <v>12</v>
      </c>
      <c r="AE20" s="62">
        <f>IF(AND(AE16=1,AE17=12,E15="Auto",IF(TRIM(B19)&lt;&gt;"",B19,B15)="Boilermaker Journeyman",AND('Job setup'!$B$9="ON",'Job setup'!$C$9&lt;=AE$6,'Job setup'!$D$9&gt;=AE$6,'Job setup'!$G$9="NO")),0,IF(OS15,IF(OR(AE16&lt;=0,NOT('_JobDays'!V2)),0,IF(WEEKDAY(AE$6,1)=1,AE16*AE17,0)),IF(OR(AE16&lt;=0,NOT('_JobDays'!V2)),0,IF(WEEKDAY(AE$6,1)=1,AE16*AE17,0))))</f>
        <v>0</v>
      </c>
      <c r="AF20" s="62">
        <f>IF(AND(AF16=1,AF17=12,E15="Auto",IF(TRIM(B19)&lt;&gt;"",B19,B15)="Boilermaker Journeyman",AND('Job setup'!$B$9="ON",'Job setup'!$C$9&lt;=AF$6,'Job setup'!$D$9&gt;=AF$6,'Job setup'!$G$9="NO")),0,IF(OS15,IF(OR(AF16&lt;=0,NOT('_JobDays'!W2)),0,IF(WEEKDAY(AF$6,1)=1,AF16*AF17,0)),IF(OR(AF16&lt;=0,NOT('_JobDays'!W2)),0,IF(WEEKDAY(AF$6,1)=1,AF16*AF17,0))))</f>
        <v>0</v>
      </c>
      <c r="AG20" s="62">
        <f>IF(AND(AG16=1,AG17=12,E15="Auto",IF(TRIM(B19)&lt;&gt;"",B19,B15)="Boilermaker Journeyman",AND('Job setup'!$B$9="ON",'Job setup'!$C$9&lt;=AG$6,'Job setup'!$D$9&gt;=AG$6,'Job setup'!$G$9="NO")),0,IF(OS15,IF(OR(AG16&lt;=0,NOT('_JobDays'!X2)),0,IF(WEEKDAY(AG$6,1)=1,AG16*AG17,0)),IF(OR(AG16&lt;=0,NOT('_JobDays'!X2)),0,IF(WEEKDAY(AG$6,1)=1,AG16*AG17,0))))</f>
        <v>0</v>
      </c>
      <c r="AH20" s="62">
        <f>IF(AND(AH16=0,AH17=0,E15="Auto",IF(TRIM(B19)&lt;&gt;"",B19,B15)="Boilermaker Journeyman",AND('Job setup'!$B$11="ON",'Job setup'!$C$11&lt;=AH$6,'Job setup'!$D$11&gt;=AH$6,'Job setup'!$G$11="YES")),0,IF(OS15,IF(OR(AH16&lt;=0,NOT('_JobDays'!Y2)),0,IF(WEEKDAY(AH$6,1)=1,AH16*AH17,0)),IF(OR(AH16&lt;=0,NOT('_JobDays'!Y2)),0,IF(WEEKDAY(AH$6,1)=1,AH16*AH17,0))))</f>
        <v>0</v>
      </c>
      <c r="AI20" s="62">
        <f>IF(AND(AI16=0,AI17=0,E15="Auto",IF(TRIM(B19)&lt;&gt;"",B19,B15)="Boilermaker Journeyman",AND('Job setup'!$B$11="ON",'Job setup'!$C$11&lt;=AI$6,'Job setup'!$D$11&gt;=AI$6,'Job setup'!$G$11="YES")),0,IF(OS15,IF(OR(AI16&lt;=0,NOT('_JobDays'!Z2)),0,IF(WEEKDAY(AI$6,1)=1,AI16*AI17,0)),IF(OR(AI16&lt;=0,NOT('_JobDays'!Z2)),0,IF(WEEKDAY(AI$6,1)=1,AI16*AI17,0))))</f>
        <v>0</v>
      </c>
      <c r="AJ20" s="63">
        <f>IF(AND(AJ16=0,AJ17=0,E15="Auto",IF(TRIM(B19)&lt;&gt;"",B19,B15)="Boilermaker Journeyman",AND('Job setup'!$B$11="ON",'Job setup'!$C$11&lt;=AJ$6,'Job setup'!$D$11&gt;=AJ$6,'Job setup'!$G$11="YES")),0,IF(OS15,IF(OR(AJ16&lt;=0,NOT('_JobDays'!AA2)),0,IF(WEEKDAY(AJ$6,1)=1,AJ16*AJ17,0)),IF(OR(AJ16&lt;=0,NOT('_JobDays'!AA2)),0,IF(WEEKDAY(AJ$6,1)=1,AJ16*AJ17,0))))</f>
        <v>0</v>
      </c>
      <c r="AK20" s="63">
        <f>IF(AND(AK16=0,AK17=0,E15="Auto",IF(TRIM(B19)&lt;&gt;"",B19,B15)="Boilermaker Journeyman",AND('Job setup'!$B$11="ON",'Job setup'!$C$11&lt;=AK$6,'Job setup'!$D$11&gt;=AK$6,'Job setup'!$G$11="YES")),0,IF(OS15,IF(OR(AK16&lt;=0,NOT('_JobDays'!AB2)),0,IF(WEEKDAY(AK$6,1)=1,AK16*AK17,0)),IF(OR(AK16&lt;=0,NOT('_JobDays'!AB2)),0,IF(WEEKDAY(AK$6,1)=1,AK16*AK17,0))))</f>
        <v>0</v>
      </c>
      <c r="AL20" s="62">
        <f>IF(AND(AL16=0,AL17=0,E15="Auto",IF(TRIM(B19)&lt;&gt;"",B19,B15)="Boilermaker Journeyman",AND('Job setup'!$B$11="ON",'Job setup'!$C$11&lt;=AL$6,'Job setup'!$D$11&gt;=AL$6,'Job setup'!$G$11="YES")),0,IF(OS15,IF(OR(AL16&lt;=0,NOT('_JobDays'!AC2)),0,IF(WEEKDAY(AL$6,1)=1,AL16*AL17,0)),IF(OR(AL16&lt;=0,NOT('_JobDays'!AC2)),0,IF(WEEKDAY(AL$6,1)=1,AL16*AL17,0))))</f>
        <v>0</v>
      </c>
      <c r="AM20" s="62">
        <f>IF(AND(AM16=0,AM17=0,E15="Auto",IF(TRIM(B19)&lt;&gt;"",B19,B15)="Boilermaker Journeyman",AND('Job setup'!$B$11="ON",'Job setup'!$C$11&lt;=AM$6,'Job setup'!$D$11&gt;=AM$6,'Job setup'!$G$11="YES")),0,IF(OS15,IF(OR(AM16&lt;=0,NOT('_JobDays'!AD2)),0,IF(WEEKDAY(AM$6,1)=1,AM16*AM17,0)),IF(OR(AM16&lt;=0,NOT('_JobDays'!AD2)),0,IF(WEEKDAY(AM$6,1)=1,AM16*AM17,0))))</f>
        <v>0</v>
      </c>
      <c r="AN20" s="62">
        <f>IF(AND(AN16=0,AN17=0,E15="Auto",IF(TRIM(B19)&lt;&gt;"",B19,B15)="Boilermaker Journeyman",AND('Job setup'!$B$11="ON",'Job setup'!$C$11&lt;=AN$6,'Job setup'!$D$11&gt;=AN$6,'Job setup'!$G$11="YES")),0,IF(OS15,IF(OR(AN16&lt;=0,NOT('_JobDays'!AE2)),0,IF(WEEKDAY(AN$6,1)=1,AN16*AN17,0)),IF(OR(AN16&lt;=0,NOT('_JobDays'!AE2)),0,IF(WEEKDAY(AN$6,1)=1,AN16*AN17,0))))</f>
        <v>0</v>
      </c>
      <c r="AO20" s="64">
        <f>IF(AND(AO16=0,AO17=0,E15="Auto",IF(TRIM(B19)&lt;&gt;"",B19,B15)="Boilermaker Journeyman",AND('Job setup'!$B$11="ON",'Job setup'!$C$11&lt;=AO$6,'Job setup'!$D$11&gt;=AO$6,'Job setup'!$G$11="YES")),0,IF(OS15,IF(OR(AO16&lt;=0,NOT('_JobDays'!AF2)),0,IF(WEEKDAY(AO$6,1)=1,AO16*AO17,0)),IF(OR(AO16&lt;=0,NOT('_JobDays'!AF2)),0,IF(WEEKDAY(AO$6,1)=1,AO16*AO17,0))))</f>
        <v>0</v>
      </c>
      <c r="OT20" s="28" t="s">
        <v>86</v>
      </c>
    </row>
    <row r="21" ht="16" customHeight="1" spans="1:410" x14ac:dyDescent="0.25">
      <c r="A21" s="73"/>
      <c r="B21" s="77"/>
      <c r="C21" s="66">
        <f>I15*D21</f>
        <v>1820</v>
      </c>
      <c r="D21" s="66">
        <v>130</v>
      </c>
      <c r="E21" s="67" t="s">
        <v>63</v>
      </c>
      <c r="F21" s="48"/>
      <c r="G21" s="48"/>
      <c r="H21" s="48"/>
      <c r="I21" s="49"/>
      <c r="J21" s="68">
        <v>0</v>
      </c>
      <c r="K21" s="69">
        <v>0</v>
      </c>
      <c r="L21" s="69">
        <v>0</v>
      </c>
      <c r="M21" s="69">
        <v>0</v>
      </c>
      <c r="N21" s="69">
        <v>0</v>
      </c>
      <c r="O21" s="70">
        <v>0</v>
      </c>
      <c r="P21" s="70">
        <v>0</v>
      </c>
      <c r="Q21" s="69">
        <v>0</v>
      </c>
      <c r="R21" s="69">
        <v>0</v>
      </c>
      <c r="S21" s="69">
        <v>0</v>
      </c>
      <c r="T21" s="69">
        <v>1</v>
      </c>
      <c r="U21" s="69">
        <v>1</v>
      </c>
      <c r="V21" s="70">
        <v>1</v>
      </c>
      <c r="W21" s="70">
        <v>1</v>
      </c>
      <c r="X21" s="69">
        <v>1</v>
      </c>
      <c r="Y21" s="69">
        <v>1</v>
      </c>
      <c r="Z21" s="69">
        <v>1</v>
      </c>
      <c r="AA21" s="69">
        <v>1</v>
      </c>
      <c r="AB21" s="69">
        <v>1</v>
      </c>
      <c r="AC21" s="70">
        <v>1</v>
      </c>
      <c r="AD21" s="70">
        <v>1</v>
      </c>
      <c r="AE21" s="69">
        <v>1</v>
      </c>
      <c r="AF21" s="69">
        <v>1</v>
      </c>
      <c r="AG21" s="69">
        <v>1</v>
      </c>
      <c r="AH21" s="69">
        <v>0</v>
      </c>
      <c r="AI21" s="69">
        <v>0</v>
      </c>
      <c r="AJ21" s="70">
        <v>0</v>
      </c>
      <c r="AK21" s="70">
        <v>0</v>
      </c>
      <c r="AL21" s="69">
        <v>0</v>
      </c>
      <c r="AM21" s="69">
        <v>0</v>
      </c>
      <c r="AN21" s="69">
        <v>0</v>
      </c>
      <c r="AO21" s="71">
        <v>0</v>
      </c>
      <c r="OT21" s="59" t="s">
        <v>86</v>
      </c>
    </row>
    <row r="22" ht="16" customHeight="1" spans="1:410" x14ac:dyDescent="0.25">
      <c r="A22" s="16" t="s">
        <v>75</v>
      </c>
      <c r="B22" s="17"/>
      <c r="C22" s="74">
        <f>SUM(C7,C15)</f>
        <v>58500.31999999999</v>
      </c>
      <c r="D22" s="17"/>
      <c r="E22" s="17"/>
      <c r="F22" s="18">
        <f>SUM(F7,F15)</f>
        <v>272</v>
      </c>
      <c r="G22" s="18">
        <f>SUM(G7,G15)</f>
        <v>128</v>
      </c>
      <c r="H22" s="18">
        <f>SUM(H7,H15)</f>
        <v>48</v>
      </c>
      <c r="I22" s="18">
        <f>SUM(I7,I15)</f>
        <v>42</v>
      </c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OS22" s="16">
        <f>SUM(C13,C21)</f>
        <v>5460</v>
      </c>
      <c r="OT22" s="16">
        <f>F22+G22+H22</f>
        <v>448</v>
      </c>
    </row>
  </sheetData>
  <sheetProtection sheet="1" formatColumns="1"/>
  <mergeCells count="25">
    <mergeCell ref="A1:I1"/>
    <mergeCell ref="A2:I2"/>
    <mergeCell ref="A3:I3"/>
    <mergeCell ref="A4:I5"/>
    <mergeCell ref="J4:S4"/>
    <mergeCell ref="T4:AG4"/>
    <mergeCell ref="AH4:AO4"/>
    <mergeCell ref="A7:A13"/>
    <mergeCell ref="B7:B9"/>
    <mergeCell ref="C7:C9"/>
    <mergeCell ref="D7:D9"/>
    <mergeCell ref="F7:F13"/>
    <mergeCell ref="G7:G13"/>
    <mergeCell ref="H7:H13"/>
    <mergeCell ref="I7:I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B19:B21"/>
  </mergeCells>
  <conditionalFormatting sqref="J6:AO6">
    <cfRule type="expression" dxfId="17" priority="1">
      <formula>OR(WEEKDAY(J$6,1)=7,WEEKDAY(J$6,1)=1)</formula>
    </cfRule>
  </conditionalFormatting>
  <conditionalFormatting sqref="J7:AO13">
    <cfRule type="expression" dxfId="17" priority="1">
      <formula>OR(WEEKDAY(J$6,1)=7,WEEKDAY(J$6,1)=1)</formula>
    </cfRule>
  </conditionalFormatting>
  <conditionalFormatting sqref="J15:AO21">
    <cfRule type="expression" dxfId="17" priority="1">
      <formula>OR(WEEKDAY(J$6,1)=7,WEEKDAY(J$6,1)=1)</formula>
    </cfRule>
  </conditionalFormatting>
  <dataValidations count="6">
    <dataValidation type="list" allowBlank="1" sqref="B11">
      <formula1>='_Lists'!$E$1:$E$58</formula1>
    </dataValidation>
    <dataValidation type="list" allowBlank="1" sqref="B15">
      <formula1>='_Lists'!$D$1:$D$1</formula1>
    </dataValidation>
    <dataValidation type="list" allowBlank="1" sqref="B19">
      <formula1>='_Lists'!$E$1:$E$58</formula1>
    </dataValidation>
    <dataValidation type="list" allowBlank="1" sqref="B7">
      <formula1>='_Lists'!$D$1:$D$1</formula1>
    </dataValidation>
    <dataValidation type="list" allowBlank="1" sqref="E15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87</v>
      </c>
      <c r="B6" s="24" t="s">
        <v>88</v>
      </c>
      <c r="C6" s="24" t="s">
        <v>89</v>
      </c>
      <c r="D6" s="24" t="s">
        <v>90</v>
      </c>
      <c r="E6" s="24" t="s">
        <v>91</v>
      </c>
      <c r="F6" s="24" t="s">
        <v>92</v>
      </c>
      <c r="G6" s="24" t="s">
        <v>93</v>
      </c>
    </row>
    <row r="7" ht="16" customHeight="1" spans="1:7" x14ac:dyDescent="0.25">
      <c r="A7" s="78" t="s">
        <v>94</v>
      </c>
      <c r="B7" s="25" t="s">
        <v>95</v>
      </c>
      <c r="C7" s="27">
        <v>5</v>
      </c>
      <c r="D7" s="27">
        <v>3</v>
      </c>
      <c r="E7" s="79">
        <v>4464</v>
      </c>
      <c r="F7" s="79">
        <v>0</v>
      </c>
      <c r="G7" s="65">
        <f>C7*D7*E7+F7</f>
        <v>66960</v>
      </c>
    </row>
    <row r="8" ht="16" customHeight="1" spans="1:7" x14ac:dyDescent="0.25">
      <c r="A8" s="80" t="s">
        <v>96</v>
      </c>
      <c r="B8" s="30" t="s">
        <v>95</v>
      </c>
      <c r="C8" s="32">
        <v>3</v>
      </c>
      <c r="D8" s="32">
        <v>2</v>
      </c>
      <c r="E8" s="81">
        <v>612</v>
      </c>
      <c r="F8" s="81">
        <v>0</v>
      </c>
      <c r="G8" s="60">
        <f>C8*D8*E8+F8</f>
        <v>3672</v>
      </c>
    </row>
    <row r="9" ht="16" customHeight="1" spans="1:7" x14ac:dyDescent="0.25">
      <c r="A9" s="78" t="s">
        <v>97</v>
      </c>
      <c r="B9" s="25" t="s">
        <v>95</v>
      </c>
      <c r="C9" s="27">
        <v>3</v>
      </c>
      <c r="D9" s="27">
        <v>2</v>
      </c>
      <c r="E9" s="79">
        <v>936</v>
      </c>
      <c r="F9" s="79">
        <v>0</v>
      </c>
      <c r="G9" s="65">
        <f>C9*D9*E9+F9</f>
        <v>5616</v>
      </c>
    </row>
    <row r="10" ht="16" customHeight="1" spans="1:7" x14ac:dyDescent="0.25">
      <c r="A10" s="80" t="s">
        <v>98</v>
      </c>
      <c r="B10" s="30" t="s">
        <v>99</v>
      </c>
      <c r="C10" s="32">
        <v>1</v>
      </c>
      <c r="D10" s="32">
        <v>32</v>
      </c>
      <c r="E10" s="81">
        <v>1160</v>
      </c>
      <c r="F10" s="81">
        <v>0</v>
      </c>
      <c r="G10" s="60">
        <f>C10*D10*E10+F10</f>
        <v>37120</v>
      </c>
    </row>
    <row r="11" ht="16" customHeight="1" spans="1:7" x14ac:dyDescent="0.25">
      <c r="A11" s="78" t="s">
        <v>100</v>
      </c>
      <c r="B11" s="25" t="s">
        <v>100</v>
      </c>
      <c r="C11" s="82" t="s">
        <v>100</v>
      </c>
      <c r="D11" s="82" t="s">
        <v>100</v>
      </c>
      <c r="E11" s="82" t="s">
        <v>100</v>
      </c>
      <c r="F11" s="82" t="s">
        <v>100</v>
      </c>
      <c r="G11" s="65">
        <f>C11*D11*E11+F11</f>
        <v>0</v>
      </c>
    </row>
    <row r="12" ht="16" customHeight="1" spans="1:7" x14ac:dyDescent="0.25">
      <c r="A12" s="80" t="s">
        <v>100</v>
      </c>
      <c r="B12" s="30" t="s">
        <v>100</v>
      </c>
      <c r="C12" s="83" t="s">
        <v>100</v>
      </c>
      <c r="D12" s="83" t="s">
        <v>100</v>
      </c>
      <c r="E12" s="83" t="s">
        <v>100</v>
      </c>
      <c r="F12" s="83" t="s">
        <v>100</v>
      </c>
      <c r="G12" s="60">
        <f>C12*D12*E12+F12</f>
        <v>0</v>
      </c>
    </row>
    <row r="13" ht="16" customHeight="1" spans="1:7" x14ac:dyDescent="0.25">
      <c r="A13" s="78" t="s">
        <v>100</v>
      </c>
      <c r="B13" s="25" t="s">
        <v>100</v>
      </c>
      <c r="C13" s="82" t="s">
        <v>100</v>
      </c>
      <c r="D13" s="82" t="s">
        <v>100</v>
      </c>
      <c r="E13" s="82" t="s">
        <v>100</v>
      </c>
      <c r="F13" s="82" t="s">
        <v>100</v>
      </c>
      <c r="G13" s="65">
        <f>C13*D13*E13+F13</f>
        <v>0</v>
      </c>
    </row>
    <row r="14" ht="16" customHeight="1" spans="1:7" x14ac:dyDescent="0.25">
      <c r="A14" s="80" t="s">
        <v>100</v>
      </c>
      <c r="B14" s="30" t="s">
        <v>100</v>
      </c>
      <c r="C14" s="83" t="s">
        <v>100</v>
      </c>
      <c r="D14" s="83" t="s">
        <v>100</v>
      </c>
      <c r="E14" s="83" t="s">
        <v>100</v>
      </c>
      <c r="F14" s="83" t="s">
        <v>100</v>
      </c>
      <c r="G14" s="60">
        <f>C14*D14*E14+F14</f>
        <v>0</v>
      </c>
    </row>
    <row r="15" ht="16" customHeight="1" spans="1:7" x14ac:dyDescent="0.25">
      <c r="A15" s="78" t="s">
        <v>100</v>
      </c>
      <c r="B15" s="25" t="s">
        <v>100</v>
      </c>
      <c r="C15" s="82" t="s">
        <v>100</v>
      </c>
      <c r="D15" s="82" t="s">
        <v>100</v>
      </c>
      <c r="E15" s="82" t="s">
        <v>100</v>
      </c>
      <c r="F15" s="82" t="s">
        <v>100</v>
      </c>
      <c r="G15" s="65">
        <f>C15*D15*E15+F15</f>
        <v>0</v>
      </c>
    </row>
    <row r="16" ht="16" customHeight="1" spans="1:7" x14ac:dyDescent="0.25">
      <c r="A16" s="80" t="s">
        <v>100</v>
      </c>
      <c r="B16" s="30" t="s">
        <v>100</v>
      </c>
      <c r="C16" s="83" t="s">
        <v>100</v>
      </c>
      <c r="D16" s="83" t="s">
        <v>100</v>
      </c>
      <c r="E16" s="83" t="s">
        <v>100</v>
      </c>
      <c r="F16" s="83" t="s">
        <v>100</v>
      </c>
      <c r="G16" s="60">
        <f>C16*D16*E16+F16</f>
        <v>0</v>
      </c>
    </row>
    <row r="17" ht="16" customHeight="1" spans="1:7" x14ac:dyDescent="0.25">
      <c r="A17" s="78" t="s">
        <v>100</v>
      </c>
      <c r="B17" s="25" t="s">
        <v>100</v>
      </c>
      <c r="C17" s="82" t="s">
        <v>100</v>
      </c>
      <c r="D17" s="82" t="s">
        <v>100</v>
      </c>
      <c r="E17" s="82" t="s">
        <v>100</v>
      </c>
      <c r="F17" s="82" t="s">
        <v>100</v>
      </c>
      <c r="G17" s="65">
        <f>C17*D17*E17+F17</f>
        <v>0</v>
      </c>
    </row>
    <row r="18" ht="16" customHeight="1" spans="1:7" x14ac:dyDescent="0.25">
      <c r="A18" s="80" t="s">
        <v>100</v>
      </c>
      <c r="B18" s="30" t="s">
        <v>100</v>
      </c>
      <c r="C18" s="83" t="s">
        <v>100</v>
      </c>
      <c r="D18" s="83" t="s">
        <v>100</v>
      </c>
      <c r="E18" s="83" t="s">
        <v>100</v>
      </c>
      <c r="F18" s="83" t="s">
        <v>100</v>
      </c>
      <c r="G18" s="60">
        <f>C18*D18*E18+F18</f>
        <v>0</v>
      </c>
    </row>
    <row r="19" ht="16" customHeight="1" spans="1:7" x14ac:dyDescent="0.25">
      <c r="A19" s="16" t="s">
        <v>75</v>
      </c>
      <c r="B19" s="17"/>
      <c r="C19" s="17"/>
      <c r="D19" s="17"/>
      <c r="E19" s="17"/>
      <c r="F19" s="17"/>
      <c r="G19" s="74">
        <f>SUM(G7:G18)</f>
        <v>113368</v>
      </c>
    </row>
  </sheetData>
  <sheetProtection sheet="1"/>
  <mergeCells count="3">
    <mergeCell ref="A1:G1"/>
    <mergeCell ref="A2:G2"/>
    <mergeCell ref="A3:G3"/>
  </mergeCells>
  <dataValidations count="2">
    <dataValidation type="list" allowBlank="1" sqref="B10:B18">
      <formula1>='_Lists'!$J$1:$J$3</formula1>
    </dataValidation>
    <dataValidation type="list" allowBlank="1" sqref="B7:B18">
      <formula1>='_Lists'!$J$1:$J$3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101</v>
      </c>
      <c r="B6" s="24" t="s">
        <v>102</v>
      </c>
      <c r="C6" s="24" t="s">
        <v>103</v>
      </c>
      <c r="D6" s="24" t="s">
        <v>104</v>
      </c>
      <c r="E6" s="24" t="s">
        <v>93</v>
      </c>
    </row>
    <row r="7" ht="16" customHeight="1" spans="1:5" x14ac:dyDescent="0.25">
      <c r="A7" s="78" t="s">
        <v>105</v>
      </c>
      <c r="B7" s="27">
        <v>6</v>
      </c>
      <c r="C7" s="27">
        <v>1500</v>
      </c>
      <c r="D7" s="79">
        <v>0.76</v>
      </c>
      <c r="E7" s="65">
        <f>B7*C7*D7</f>
        <v>6840</v>
      </c>
    </row>
    <row r="8" ht="16" customHeight="1" spans="1:5" x14ac:dyDescent="0.25">
      <c r="A8" s="16" t="s">
        <v>75</v>
      </c>
      <c r="B8" s="17"/>
      <c r="C8" s="17"/>
      <c r="D8" s="17"/>
      <c r="E8" s="74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87</v>
      </c>
      <c r="B6" s="24" t="s">
        <v>106</v>
      </c>
      <c r="C6" s="24" t="s">
        <v>89</v>
      </c>
      <c r="D6" s="24" t="s">
        <v>107</v>
      </c>
      <c r="E6" s="24" t="s">
        <v>93</v>
      </c>
    </row>
    <row r="7" ht="16" customHeight="1" spans="1:5" x14ac:dyDescent="0.25">
      <c r="A7" s="78" t="s">
        <v>108</v>
      </c>
      <c r="B7" s="25" t="s">
        <v>109</v>
      </c>
      <c r="C7" s="27">
        <v>3.5</v>
      </c>
      <c r="D7" s="79">
        <v>1000</v>
      </c>
      <c r="E7" s="65">
        <f>C7*D7</f>
        <v>3500</v>
      </c>
    </row>
    <row r="8" ht="16" customHeight="1" spans="1:5" x14ac:dyDescent="0.25">
      <c r="A8" s="80" t="s">
        <v>110</v>
      </c>
      <c r="B8" s="30" t="s">
        <v>111</v>
      </c>
      <c r="C8" s="32">
        <v>1</v>
      </c>
      <c r="D8" s="81">
        <v>1200</v>
      </c>
      <c r="E8" s="60">
        <f>C8*D8</f>
        <v>1200</v>
      </c>
    </row>
    <row r="9" ht="16" customHeight="1" spans="1:5" x14ac:dyDescent="0.25">
      <c r="A9" s="78" t="s">
        <v>112</v>
      </c>
      <c r="B9" s="25" t="s">
        <v>113</v>
      </c>
      <c r="C9" s="27">
        <v>1</v>
      </c>
      <c r="D9" s="79">
        <v>6000</v>
      </c>
      <c r="E9" s="65">
        <f>C9*D9</f>
        <v>6000</v>
      </c>
    </row>
    <row r="10" ht="16" customHeight="1" spans="1:5" x14ac:dyDescent="0.25">
      <c r="A10" s="80" t="s">
        <v>100</v>
      </c>
      <c r="B10" s="30" t="s">
        <v>100</v>
      </c>
      <c r="C10" s="83" t="s">
        <v>100</v>
      </c>
      <c r="D10" s="83" t="s">
        <v>100</v>
      </c>
      <c r="E10" s="60">
        <f>C10*D10</f>
        <v>0</v>
      </c>
    </row>
    <row r="11" ht="16" customHeight="1" spans="1:5" x14ac:dyDescent="0.25">
      <c r="A11" s="78" t="s">
        <v>100</v>
      </c>
      <c r="B11" s="25" t="s">
        <v>100</v>
      </c>
      <c r="C11" s="82" t="s">
        <v>100</v>
      </c>
      <c r="D11" s="82" t="s">
        <v>100</v>
      </c>
      <c r="E11" s="65">
        <f>C11*D11</f>
        <v>0</v>
      </c>
    </row>
    <row r="12" ht="16" customHeight="1" spans="1:5" x14ac:dyDescent="0.25">
      <c r="A12" s="80" t="s">
        <v>100</v>
      </c>
      <c r="B12" s="30" t="s">
        <v>100</v>
      </c>
      <c r="C12" s="83" t="s">
        <v>100</v>
      </c>
      <c r="D12" s="83" t="s">
        <v>100</v>
      </c>
      <c r="E12" s="60">
        <f>C12*D12</f>
        <v>0</v>
      </c>
    </row>
    <row r="13" ht="16" customHeight="1" spans="1:5" x14ac:dyDescent="0.25">
      <c r="A13" s="78" t="s">
        <v>100</v>
      </c>
      <c r="B13" s="25" t="s">
        <v>100</v>
      </c>
      <c r="C13" s="82" t="s">
        <v>100</v>
      </c>
      <c r="D13" s="82" t="s">
        <v>100</v>
      </c>
      <c r="E13" s="65">
        <f>C13*D13</f>
        <v>0</v>
      </c>
    </row>
    <row r="14" ht="16" customHeight="1" spans="1:5" x14ac:dyDescent="0.25">
      <c r="A14" s="80" t="s">
        <v>100</v>
      </c>
      <c r="B14" s="30" t="s">
        <v>100</v>
      </c>
      <c r="C14" s="83" t="s">
        <v>100</v>
      </c>
      <c r="D14" s="83" t="s">
        <v>100</v>
      </c>
      <c r="E14" s="60">
        <f>C14*D14</f>
        <v>0</v>
      </c>
    </row>
    <row r="15" ht="16" customHeight="1" spans="1:5" x14ac:dyDescent="0.25">
      <c r="A15" s="78" t="s">
        <v>100</v>
      </c>
      <c r="B15" s="25" t="s">
        <v>100</v>
      </c>
      <c r="C15" s="82" t="s">
        <v>100</v>
      </c>
      <c r="D15" s="82" t="s">
        <v>100</v>
      </c>
      <c r="E15" s="65">
        <f>C15*D15</f>
        <v>0</v>
      </c>
    </row>
    <row r="16" ht="16" customHeight="1" spans="1:5" x14ac:dyDescent="0.25">
      <c r="A16" s="80" t="s">
        <v>100</v>
      </c>
      <c r="B16" s="30" t="s">
        <v>100</v>
      </c>
      <c r="C16" s="83" t="s">
        <v>100</v>
      </c>
      <c r="D16" s="83" t="s">
        <v>100</v>
      </c>
      <c r="E16" s="60">
        <f>C16*D16</f>
        <v>0</v>
      </c>
    </row>
    <row r="17" ht="16" customHeight="1" spans="1:5" x14ac:dyDescent="0.25">
      <c r="A17" s="78" t="s">
        <v>100</v>
      </c>
      <c r="B17" s="25" t="s">
        <v>100</v>
      </c>
      <c r="C17" s="82" t="s">
        <v>100</v>
      </c>
      <c r="D17" s="82" t="s">
        <v>100</v>
      </c>
      <c r="E17" s="65">
        <f>C17*D17</f>
        <v>0</v>
      </c>
    </row>
    <row r="18" ht="16" customHeight="1" spans="1:5" x14ac:dyDescent="0.25">
      <c r="A18" s="16" t="s">
        <v>75</v>
      </c>
      <c r="B18" s="17"/>
      <c r="C18" s="17"/>
      <c r="D18" s="17"/>
      <c r="E18" s="74">
        <f>SUM(E7:E17)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6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114</v>
      </c>
      <c r="B6" s="24" t="s">
        <v>115</v>
      </c>
      <c r="C6" s="24" t="s">
        <v>116</v>
      </c>
      <c r="D6" s="24" t="s">
        <v>117</v>
      </c>
      <c r="E6" s="24" t="s">
        <v>118</v>
      </c>
      <c r="F6" s="24" t="s">
        <v>119</v>
      </c>
    </row>
    <row r="7" ht="16" customHeight="1" spans="1:6" x14ac:dyDescent="0.25">
      <c r="A7" s="12" t="s">
        <v>55</v>
      </c>
      <c r="B7" s="65">
        <v>57.9</v>
      </c>
      <c r="C7" s="65">
        <v>111.67</v>
      </c>
      <c r="D7" s="65">
        <v>156.21</v>
      </c>
      <c r="E7" s="65">
        <v>200.75</v>
      </c>
      <c r="F7" s="65">
        <v>140</v>
      </c>
    </row>
    <row r="8" ht="16" customHeight="1" spans="1:6" x14ac:dyDescent="0.25">
      <c r="A8" s="29" t="s">
        <v>64</v>
      </c>
      <c r="B8" s="60">
        <v>64</v>
      </c>
      <c r="C8" s="60">
        <v>105.76</v>
      </c>
      <c r="D8" s="60">
        <v>143.77</v>
      </c>
      <c r="E8" s="60">
        <v>181.79</v>
      </c>
      <c r="F8" s="60">
        <v>140</v>
      </c>
    </row>
    <row r="9" ht="16" customHeight="1" spans="1:6" x14ac:dyDescent="0.25">
      <c r="A9" s="12" t="s">
        <v>66</v>
      </c>
      <c r="B9" s="65">
        <v>52.5</v>
      </c>
      <c r="C9" s="65">
        <v>91.02</v>
      </c>
      <c r="D9" s="65">
        <v>122.2</v>
      </c>
      <c r="E9" s="65">
        <v>153.39</v>
      </c>
      <c r="F9" s="65">
        <v>140</v>
      </c>
    </row>
    <row r="10" ht="16" customHeight="1" spans="1:6" x14ac:dyDescent="0.25">
      <c r="A10" s="29" t="s">
        <v>68</v>
      </c>
      <c r="B10" s="60">
        <v>58.84</v>
      </c>
      <c r="C10" s="60">
        <v>111.22</v>
      </c>
      <c r="D10" s="60">
        <v>156.31</v>
      </c>
      <c r="E10" s="60">
        <v>201.4</v>
      </c>
      <c r="F10" s="60">
        <v>140</v>
      </c>
    </row>
    <row r="11" ht="16" customHeight="1" spans="1:6" x14ac:dyDescent="0.25">
      <c r="A11" s="12" t="s">
        <v>76</v>
      </c>
      <c r="B11" s="65">
        <v>53.93</v>
      </c>
      <c r="C11" s="65">
        <v>105.28</v>
      </c>
      <c r="D11" s="65">
        <v>147.5</v>
      </c>
      <c r="E11" s="65">
        <v>189.72</v>
      </c>
      <c r="F11" s="65">
        <v>130</v>
      </c>
    </row>
    <row r="12" ht="16" customHeight="1" spans="1:6" x14ac:dyDescent="0.25">
      <c r="A12" s="29" t="s">
        <v>79</v>
      </c>
      <c r="B12" s="60">
        <v>49.03</v>
      </c>
      <c r="C12" s="60">
        <v>99.33</v>
      </c>
      <c r="D12" s="60">
        <v>138.69</v>
      </c>
      <c r="E12" s="60">
        <v>178.05</v>
      </c>
      <c r="F12" s="60">
        <v>130</v>
      </c>
    </row>
    <row r="13" ht="16" customHeight="1" spans="1:6" x14ac:dyDescent="0.25">
      <c r="A13" s="12" t="s">
        <v>85</v>
      </c>
      <c r="B13" s="65">
        <v>45.6</v>
      </c>
      <c r="C13" s="65">
        <v>108.38</v>
      </c>
      <c r="D13" s="65">
        <v>152.78</v>
      </c>
      <c r="E13" s="65">
        <v>197.19</v>
      </c>
      <c r="F13" s="65">
        <v>130</v>
      </c>
    </row>
    <row r="14" ht="16" customHeight="1" spans="1:6" x14ac:dyDescent="0.25">
      <c r="A14" s="29" t="s">
        <v>120</v>
      </c>
      <c r="B14" s="60">
        <v>83</v>
      </c>
      <c r="C14" s="60">
        <v>130.12</v>
      </c>
      <c r="D14" s="60">
        <v>179.42</v>
      </c>
      <c r="E14" s="60">
        <v>228.72</v>
      </c>
      <c r="F14" s="60">
        <v>140</v>
      </c>
    </row>
    <row r="15" ht="16" customHeight="1" spans="1:6" x14ac:dyDescent="0.25">
      <c r="A15" s="12" t="s">
        <v>121</v>
      </c>
      <c r="B15" s="65">
        <v>80</v>
      </c>
      <c r="C15" s="65">
        <v>126.27</v>
      </c>
      <c r="D15" s="65">
        <v>173.79</v>
      </c>
      <c r="E15" s="65">
        <v>221.31</v>
      </c>
      <c r="F15" s="65">
        <v>140</v>
      </c>
    </row>
    <row r="16" ht="16" customHeight="1" spans="1:6" x14ac:dyDescent="0.25">
      <c r="A16" s="29" t="s">
        <v>122</v>
      </c>
      <c r="B16" s="60">
        <v>85</v>
      </c>
      <c r="C16" s="60">
        <v>132.68</v>
      </c>
      <c r="D16" s="60">
        <v>183.17</v>
      </c>
      <c r="E16" s="60">
        <v>233.66</v>
      </c>
      <c r="F16" s="60">
        <v>140</v>
      </c>
    </row>
    <row r="17" ht="16" customHeight="1" spans="1:6" x14ac:dyDescent="0.25">
      <c r="A17" s="12" t="s">
        <v>123</v>
      </c>
      <c r="B17" s="65">
        <v>80</v>
      </c>
      <c r="C17" s="65">
        <v>126.27</v>
      </c>
      <c r="D17" s="65">
        <v>173.79</v>
      </c>
      <c r="E17" s="65">
        <v>221.31</v>
      </c>
      <c r="F17" s="65">
        <v>140</v>
      </c>
    </row>
    <row r="18" ht="16" customHeight="1" spans="1:6" x14ac:dyDescent="0.25">
      <c r="A18" s="29" t="s">
        <v>124</v>
      </c>
      <c r="B18" s="60">
        <v>72</v>
      </c>
      <c r="C18" s="60">
        <v>116.01</v>
      </c>
      <c r="D18" s="60">
        <v>158.78</v>
      </c>
      <c r="E18" s="60">
        <v>201.55</v>
      </c>
      <c r="F18" s="60">
        <v>140</v>
      </c>
    </row>
    <row r="19" ht="16" customHeight="1" spans="1:6" x14ac:dyDescent="0.25">
      <c r="A19" s="12" t="s">
        <v>125</v>
      </c>
      <c r="B19" s="65">
        <v>70</v>
      </c>
      <c r="C19" s="65">
        <v>113.45</v>
      </c>
      <c r="D19" s="65">
        <v>155.03</v>
      </c>
      <c r="E19" s="65">
        <v>196.61</v>
      </c>
      <c r="F19" s="65">
        <v>140</v>
      </c>
    </row>
    <row r="20" ht="16" customHeight="1" spans="1:6" x14ac:dyDescent="0.25">
      <c r="A20" s="29" t="s">
        <v>126</v>
      </c>
      <c r="B20" s="60">
        <v>36</v>
      </c>
      <c r="C20" s="60">
        <v>69.86</v>
      </c>
      <c r="D20" s="60">
        <v>91.25</v>
      </c>
      <c r="E20" s="60">
        <v>112.63</v>
      </c>
      <c r="F20" s="60">
        <v>140</v>
      </c>
    </row>
    <row r="21" ht="16" customHeight="1" spans="1:6" x14ac:dyDescent="0.25">
      <c r="A21" s="12" t="s">
        <v>127</v>
      </c>
      <c r="B21" s="65">
        <v>34</v>
      </c>
      <c r="C21" s="65">
        <v>67.3</v>
      </c>
      <c r="D21" s="65">
        <v>87.49</v>
      </c>
      <c r="E21" s="65">
        <v>107.69</v>
      </c>
      <c r="F21" s="65">
        <v>140</v>
      </c>
    </row>
    <row r="22" ht="16" customHeight="1" spans="1:6" x14ac:dyDescent="0.25">
      <c r="A22" s="29" t="s">
        <v>128</v>
      </c>
      <c r="B22" s="60">
        <v>40</v>
      </c>
      <c r="C22" s="60">
        <v>74.99</v>
      </c>
      <c r="D22" s="60">
        <v>98.75</v>
      </c>
      <c r="E22" s="60">
        <v>122.51</v>
      </c>
      <c r="F22" s="60">
        <v>140</v>
      </c>
    </row>
    <row r="23" ht="16" customHeight="1" spans="1:6" x14ac:dyDescent="0.25">
      <c r="A23" s="12" t="s">
        <v>129</v>
      </c>
      <c r="B23" s="65">
        <v>38</v>
      </c>
      <c r="C23" s="65">
        <v>72.43</v>
      </c>
      <c r="D23" s="65">
        <v>95</v>
      </c>
      <c r="E23" s="65">
        <v>117.57</v>
      </c>
      <c r="F23" s="65">
        <v>140</v>
      </c>
    </row>
    <row r="24" ht="16" customHeight="1" spans="1:6" x14ac:dyDescent="0.25">
      <c r="A24" s="29" t="s">
        <v>130</v>
      </c>
      <c r="B24" s="60">
        <v>32</v>
      </c>
      <c r="C24" s="60">
        <v>64.73</v>
      </c>
      <c r="D24" s="60">
        <v>83.74</v>
      </c>
      <c r="E24" s="60">
        <v>102.75</v>
      </c>
      <c r="F24" s="60">
        <v>140</v>
      </c>
    </row>
    <row r="25" ht="16" customHeight="1" spans="1:6" x14ac:dyDescent="0.25">
      <c r="A25" s="12" t="s">
        <v>131</v>
      </c>
      <c r="B25" s="65">
        <v>30</v>
      </c>
      <c r="C25" s="65">
        <v>62.17</v>
      </c>
      <c r="D25" s="65">
        <v>79.99</v>
      </c>
      <c r="E25" s="65">
        <v>97.81</v>
      </c>
      <c r="F25" s="65">
        <v>140</v>
      </c>
    </row>
    <row r="26" ht="16" customHeight="1" spans="1:6" x14ac:dyDescent="0.25">
      <c r="A26" s="29" t="s">
        <v>132</v>
      </c>
      <c r="B26" s="60">
        <v>38</v>
      </c>
      <c r="C26" s="60">
        <v>72.43</v>
      </c>
      <c r="D26" s="60">
        <v>95</v>
      </c>
      <c r="E26" s="60">
        <v>117.57</v>
      </c>
      <c r="F26" s="60">
        <v>140</v>
      </c>
    </row>
    <row r="27" ht="16" customHeight="1" spans="1:6" x14ac:dyDescent="0.25">
      <c r="A27" s="12" t="s">
        <v>133</v>
      </c>
      <c r="B27" s="65">
        <v>36</v>
      </c>
      <c r="C27" s="65">
        <v>69.86</v>
      </c>
      <c r="D27" s="65">
        <v>91.25</v>
      </c>
      <c r="E27" s="65">
        <v>112.63</v>
      </c>
      <c r="F27" s="65">
        <v>140</v>
      </c>
    </row>
    <row r="28" ht="16" customHeight="1" spans="1:6" x14ac:dyDescent="0.25">
      <c r="A28" s="29" t="s">
        <v>134</v>
      </c>
      <c r="B28" s="60">
        <v>45</v>
      </c>
      <c r="C28" s="60">
        <v>81.4</v>
      </c>
      <c r="D28" s="60">
        <v>108.13</v>
      </c>
      <c r="E28" s="60">
        <v>134.86</v>
      </c>
      <c r="F28" s="60">
        <v>140</v>
      </c>
    </row>
    <row r="29" ht="16" customHeight="1" spans="1:6" x14ac:dyDescent="0.25">
      <c r="A29" s="12" t="s">
        <v>135</v>
      </c>
      <c r="B29" s="65">
        <v>43</v>
      </c>
      <c r="C29" s="65">
        <v>78.84</v>
      </c>
      <c r="D29" s="65">
        <v>104.38</v>
      </c>
      <c r="E29" s="65">
        <v>129.92</v>
      </c>
      <c r="F29" s="65">
        <v>140</v>
      </c>
    </row>
    <row r="30" ht="16" customHeight="1" spans="1:6" x14ac:dyDescent="0.25">
      <c r="A30" s="29" t="s">
        <v>136</v>
      </c>
      <c r="B30" s="60">
        <v>52</v>
      </c>
      <c r="C30" s="60">
        <v>118.87</v>
      </c>
      <c r="D30" s="60">
        <v>167.02</v>
      </c>
      <c r="E30" s="60">
        <v>215.16</v>
      </c>
      <c r="F30" s="60">
        <v>140</v>
      </c>
    </row>
    <row r="31" ht="16" customHeight="1" spans="1:6" x14ac:dyDescent="0.25">
      <c r="A31" s="12" t="s">
        <v>137</v>
      </c>
      <c r="B31" s="65">
        <v>50</v>
      </c>
      <c r="C31" s="65">
        <v>116.45</v>
      </c>
      <c r="D31" s="65">
        <v>163.43</v>
      </c>
      <c r="E31" s="65">
        <v>210.4</v>
      </c>
      <c r="F31" s="65">
        <v>140</v>
      </c>
    </row>
    <row r="32" ht="16" customHeight="1" spans="1:6" x14ac:dyDescent="0.25">
      <c r="A32" s="29" t="s">
        <v>138</v>
      </c>
      <c r="B32" s="60">
        <v>57</v>
      </c>
      <c r="C32" s="60">
        <v>96.78</v>
      </c>
      <c r="D32" s="60">
        <v>130.64</v>
      </c>
      <c r="E32" s="60">
        <v>164.5</v>
      </c>
      <c r="F32" s="60">
        <v>140</v>
      </c>
    </row>
    <row r="33" ht="16" customHeight="1" spans="1:6" x14ac:dyDescent="0.25">
      <c r="A33" s="12" t="s">
        <v>139</v>
      </c>
      <c r="B33" s="19"/>
      <c r="C33" s="65">
        <v>124.93</v>
      </c>
      <c r="D33" s="65">
        <v>176</v>
      </c>
      <c r="E33" s="65">
        <v>227.06</v>
      </c>
      <c r="F33" s="65">
        <v>140</v>
      </c>
    </row>
    <row r="34" ht="16" customHeight="1" spans="1:6" x14ac:dyDescent="0.25">
      <c r="A34" s="29" t="s">
        <v>140</v>
      </c>
      <c r="B34" s="60">
        <v>55</v>
      </c>
      <c r="C34" s="60">
        <v>122.51</v>
      </c>
      <c r="D34" s="60">
        <v>172.41</v>
      </c>
      <c r="E34" s="60">
        <v>222.3</v>
      </c>
      <c r="F34" s="60">
        <v>140</v>
      </c>
    </row>
    <row r="35" ht="16" customHeight="1" spans="1:6" x14ac:dyDescent="0.25">
      <c r="A35" s="12" t="s">
        <v>141</v>
      </c>
      <c r="B35" s="19"/>
      <c r="C35" s="65">
        <v>105.54</v>
      </c>
      <c r="D35" s="65">
        <v>147.16</v>
      </c>
      <c r="E35" s="65">
        <v>188.78</v>
      </c>
      <c r="F35" s="65">
        <v>140</v>
      </c>
    </row>
    <row r="36" ht="16" customHeight="1" spans="1:6" x14ac:dyDescent="0.25">
      <c r="A36" s="29" t="s">
        <v>142</v>
      </c>
      <c r="B36" s="60">
        <v>52.5</v>
      </c>
      <c r="C36" s="60">
        <v>105.05</v>
      </c>
      <c r="D36" s="60">
        <v>146.44</v>
      </c>
      <c r="E36" s="60">
        <v>187.82</v>
      </c>
      <c r="F36" s="60">
        <v>140</v>
      </c>
    </row>
    <row r="37" ht="16" customHeight="1" spans="1:6" x14ac:dyDescent="0.25">
      <c r="A37" s="12" t="s">
        <v>143</v>
      </c>
      <c r="B37" s="65">
        <v>52</v>
      </c>
      <c r="C37" s="65">
        <v>104.44</v>
      </c>
      <c r="D37" s="65">
        <v>145.53</v>
      </c>
      <c r="E37" s="65">
        <v>186.62</v>
      </c>
      <c r="F37" s="65">
        <v>140</v>
      </c>
    </row>
    <row r="38" ht="16" customHeight="1" spans="1:6" x14ac:dyDescent="0.25">
      <c r="A38" s="29" t="s">
        <v>144</v>
      </c>
      <c r="B38" s="60">
        <v>52.5</v>
      </c>
      <c r="C38" s="60">
        <v>91.02</v>
      </c>
      <c r="D38" s="60">
        <v>122.2</v>
      </c>
      <c r="E38" s="60">
        <v>153.39</v>
      </c>
      <c r="F38" s="60">
        <v>140</v>
      </c>
    </row>
    <row r="39" ht="16" customHeight="1" spans="1:6" x14ac:dyDescent="0.25">
      <c r="A39" s="12" t="s">
        <v>145</v>
      </c>
      <c r="B39" s="65">
        <v>50.5</v>
      </c>
      <c r="C39" s="65">
        <v>88.45</v>
      </c>
      <c r="D39" s="65">
        <v>118.45</v>
      </c>
      <c r="E39" s="65">
        <v>148.45</v>
      </c>
      <c r="F39" s="65">
        <v>140</v>
      </c>
    </row>
    <row r="40" ht="16" customHeight="1" spans="1:6" x14ac:dyDescent="0.25">
      <c r="A40" s="29" t="s">
        <v>146</v>
      </c>
      <c r="B40" s="60">
        <v>44</v>
      </c>
      <c r="C40" s="60">
        <v>109.18</v>
      </c>
      <c r="D40" s="60">
        <v>152.65</v>
      </c>
      <c r="E40" s="60">
        <v>196.12</v>
      </c>
      <c r="F40" s="60">
        <v>140</v>
      </c>
    </row>
    <row r="41" ht="16" customHeight="1" spans="1:6" x14ac:dyDescent="0.25">
      <c r="A41" s="12" t="s">
        <v>147</v>
      </c>
      <c r="B41" s="65">
        <v>42</v>
      </c>
      <c r="C41" s="65">
        <v>106.75</v>
      </c>
      <c r="D41" s="65">
        <v>149.06</v>
      </c>
      <c r="E41" s="65">
        <v>191.36</v>
      </c>
      <c r="F41" s="65">
        <v>140</v>
      </c>
    </row>
    <row r="42" ht="16" customHeight="1" spans="1:6" x14ac:dyDescent="0.25">
      <c r="A42" s="29" t="s">
        <v>148</v>
      </c>
      <c r="B42" s="60">
        <v>53.1</v>
      </c>
      <c r="C42" s="60">
        <v>105.79</v>
      </c>
      <c r="D42" s="60">
        <v>147.52</v>
      </c>
      <c r="E42" s="60">
        <v>189.26</v>
      </c>
      <c r="F42" s="60">
        <v>140</v>
      </c>
    </row>
    <row r="43" ht="16" customHeight="1" spans="1:6" x14ac:dyDescent="0.25">
      <c r="A43" s="12" t="s">
        <v>149</v>
      </c>
      <c r="B43" s="65">
        <v>52.6</v>
      </c>
      <c r="C43" s="65">
        <v>105.17</v>
      </c>
      <c r="D43" s="65">
        <v>146.62</v>
      </c>
      <c r="E43" s="65">
        <v>188.06</v>
      </c>
      <c r="F43" s="65">
        <v>140</v>
      </c>
    </row>
    <row r="44" ht="16" customHeight="1" spans="1:6" x14ac:dyDescent="0.25">
      <c r="A44" s="29" t="s">
        <v>150</v>
      </c>
      <c r="B44" s="60">
        <v>52.1</v>
      </c>
      <c r="C44" s="60">
        <v>104.56</v>
      </c>
      <c r="D44" s="60">
        <v>145.71</v>
      </c>
      <c r="E44" s="60">
        <v>186.86</v>
      </c>
      <c r="F44" s="60">
        <v>140</v>
      </c>
    </row>
    <row r="45" ht="16" customHeight="1" spans="1:6" x14ac:dyDescent="0.25">
      <c r="A45" s="12" t="s">
        <v>151</v>
      </c>
      <c r="B45" s="65">
        <v>43</v>
      </c>
      <c r="C45" s="65">
        <v>107.97</v>
      </c>
      <c r="D45" s="65">
        <v>150.85</v>
      </c>
      <c r="E45" s="65">
        <v>193.74</v>
      </c>
      <c r="F45" s="65">
        <v>140</v>
      </c>
    </row>
    <row r="46" ht="16" customHeight="1" spans="1:6" x14ac:dyDescent="0.25">
      <c r="A46" s="29" t="s">
        <v>152</v>
      </c>
      <c r="B46" s="15"/>
      <c r="C46" s="60">
        <v>105.54</v>
      </c>
      <c r="D46" s="60">
        <v>147.26</v>
      </c>
      <c r="E46" s="60">
        <v>188.98</v>
      </c>
      <c r="F46" s="60">
        <v>140</v>
      </c>
    </row>
    <row r="47" ht="16" customHeight="1" spans="1:6" x14ac:dyDescent="0.25">
      <c r="A47" s="12" t="s">
        <v>153</v>
      </c>
      <c r="B47" s="65">
        <v>68</v>
      </c>
      <c r="C47" s="65">
        <v>110.89</v>
      </c>
      <c r="D47" s="65">
        <v>151.28</v>
      </c>
      <c r="E47" s="65">
        <v>191.67</v>
      </c>
      <c r="F47" s="65">
        <v>140</v>
      </c>
    </row>
    <row r="48" ht="16" customHeight="1" spans="1:6" x14ac:dyDescent="0.25">
      <c r="A48" s="29" t="s">
        <v>154</v>
      </c>
      <c r="B48" s="60">
        <v>66</v>
      </c>
      <c r="C48" s="60">
        <v>108.32</v>
      </c>
      <c r="D48" s="60">
        <v>147.53</v>
      </c>
      <c r="E48" s="60">
        <v>186.73</v>
      </c>
      <c r="F48" s="60">
        <v>140</v>
      </c>
    </row>
    <row r="49" ht="16" customHeight="1" spans="1:6" x14ac:dyDescent="0.25">
      <c r="A49" s="12" t="s">
        <v>155</v>
      </c>
      <c r="B49" s="65">
        <v>53.9</v>
      </c>
      <c r="C49" s="65">
        <v>106.77</v>
      </c>
      <c r="D49" s="65">
        <v>148.97</v>
      </c>
      <c r="E49" s="65">
        <v>191.17</v>
      </c>
      <c r="F49" s="65">
        <v>140</v>
      </c>
    </row>
    <row r="50" ht="16" customHeight="1" spans="1:6" x14ac:dyDescent="0.25">
      <c r="A50" s="29" t="s">
        <v>156</v>
      </c>
      <c r="B50" s="60">
        <v>65</v>
      </c>
      <c r="C50" s="60">
        <v>107.04</v>
      </c>
      <c r="D50" s="60">
        <v>145.65</v>
      </c>
      <c r="E50" s="60">
        <v>184.26</v>
      </c>
      <c r="F50" s="60">
        <v>140</v>
      </c>
    </row>
    <row r="51" ht="16" customHeight="1" spans="1:6" x14ac:dyDescent="0.25">
      <c r="A51" s="12" t="s">
        <v>157</v>
      </c>
      <c r="B51" s="65">
        <v>63</v>
      </c>
      <c r="C51" s="65">
        <v>104.48</v>
      </c>
      <c r="D51" s="65">
        <v>141.9</v>
      </c>
      <c r="E51" s="65">
        <v>179.32</v>
      </c>
      <c r="F51" s="65">
        <v>140</v>
      </c>
    </row>
    <row r="52" ht="16" customHeight="1" spans="1:6" x14ac:dyDescent="0.25">
      <c r="A52" s="29" t="s">
        <v>158</v>
      </c>
      <c r="B52" s="60">
        <v>55.9</v>
      </c>
      <c r="C52" s="60">
        <v>109.22</v>
      </c>
      <c r="D52" s="60">
        <v>152.59</v>
      </c>
      <c r="E52" s="60">
        <v>195.96</v>
      </c>
      <c r="F52" s="60">
        <v>140</v>
      </c>
    </row>
    <row r="53" ht="16" customHeight="1" spans="1:6" x14ac:dyDescent="0.25">
      <c r="A53" s="12" t="s">
        <v>159</v>
      </c>
      <c r="B53" s="65">
        <v>68</v>
      </c>
      <c r="C53" s="65">
        <v>117.61</v>
      </c>
      <c r="D53" s="65">
        <v>165.15</v>
      </c>
      <c r="E53" s="65">
        <v>212.68</v>
      </c>
      <c r="F53" s="65">
        <v>140</v>
      </c>
    </row>
    <row r="54" ht="16" customHeight="1" spans="1:6" x14ac:dyDescent="0.25">
      <c r="A54" s="29" t="s">
        <v>160</v>
      </c>
      <c r="B54" s="60">
        <v>66</v>
      </c>
      <c r="C54" s="60">
        <v>115.19</v>
      </c>
      <c r="D54" s="60">
        <v>161.56</v>
      </c>
      <c r="E54" s="60">
        <v>207.92</v>
      </c>
      <c r="F54" s="60">
        <v>140</v>
      </c>
    </row>
    <row r="55" ht="16" customHeight="1" spans="1:6" x14ac:dyDescent="0.25">
      <c r="A55" s="12" t="s">
        <v>161</v>
      </c>
      <c r="B55" s="65">
        <v>65</v>
      </c>
      <c r="C55" s="65">
        <v>120.04</v>
      </c>
      <c r="D55" s="65">
        <v>168.74</v>
      </c>
      <c r="E55" s="65">
        <v>217.44</v>
      </c>
      <c r="F55" s="65">
        <v>140</v>
      </c>
    </row>
    <row r="56" ht="16" customHeight="1" spans="1:6" x14ac:dyDescent="0.25">
      <c r="A56" s="29" t="s">
        <v>162</v>
      </c>
      <c r="B56" s="60">
        <v>63</v>
      </c>
      <c r="C56" s="60">
        <v>111.55</v>
      </c>
      <c r="D56" s="60">
        <v>156.17</v>
      </c>
      <c r="E56" s="60">
        <v>200.78</v>
      </c>
      <c r="F56" s="60">
        <v>140</v>
      </c>
    </row>
    <row r="57" ht="16" customHeight="1" spans="1:6" x14ac:dyDescent="0.25">
      <c r="A57" s="12" t="s">
        <v>163</v>
      </c>
      <c r="B57" s="65">
        <v>86.5</v>
      </c>
      <c r="C57" s="65">
        <v>134.6</v>
      </c>
      <c r="D57" s="65">
        <v>185.98</v>
      </c>
      <c r="E57" s="65">
        <v>237.37</v>
      </c>
      <c r="F57" s="65">
        <v>140</v>
      </c>
    </row>
    <row r="58" ht="16" customHeight="1" spans="1:6" x14ac:dyDescent="0.25">
      <c r="A58" s="29" t="s">
        <v>164</v>
      </c>
      <c r="B58" s="60">
        <v>82.5</v>
      </c>
      <c r="C58" s="60">
        <v>129.48</v>
      </c>
      <c r="D58" s="60">
        <v>178.48</v>
      </c>
      <c r="E58" s="60">
        <v>198.29</v>
      </c>
      <c r="F58" s="60">
        <v>140</v>
      </c>
    </row>
    <row r="59" ht="16" customHeight="1" spans="1:6" x14ac:dyDescent="0.25">
      <c r="A59" s="12" t="s">
        <v>165</v>
      </c>
      <c r="B59" s="65">
        <v>62</v>
      </c>
      <c r="C59" s="65">
        <v>130.99</v>
      </c>
      <c r="D59" s="65">
        <v>184.98</v>
      </c>
      <c r="E59" s="65">
        <v>238.96</v>
      </c>
      <c r="F59" s="65">
        <v>140</v>
      </c>
    </row>
    <row r="60" ht="16" customHeight="1" spans="1:6" x14ac:dyDescent="0.25">
      <c r="A60" s="29" t="s">
        <v>166</v>
      </c>
      <c r="B60" s="60">
        <v>60</v>
      </c>
      <c r="C60" s="60">
        <v>128.57</v>
      </c>
      <c r="D60" s="60">
        <v>181.39</v>
      </c>
      <c r="E60" s="60">
        <v>234.2</v>
      </c>
      <c r="F60" s="60">
        <v>140</v>
      </c>
    </row>
    <row r="61" ht="16" customHeight="1" spans="1:6" x14ac:dyDescent="0.25">
      <c r="A61" s="12" t="s">
        <v>167</v>
      </c>
      <c r="B61" s="65">
        <v>67.5</v>
      </c>
      <c r="C61" s="65">
        <v>123.45</v>
      </c>
      <c r="D61" s="65">
        <v>173.59</v>
      </c>
      <c r="E61" s="65">
        <v>223.74</v>
      </c>
      <c r="F61" s="65">
        <v>140</v>
      </c>
    </row>
    <row r="62" ht="16" customHeight="1" spans="1:6" x14ac:dyDescent="0.25">
      <c r="A62" s="29" t="s">
        <v>168</v>
      </c>
      <c r="B62" s="60">
        <v>59.9</v>
      </c>
      <c r="C62" s="60">
        <v>114.13</v>
      </c>
      <c r="D62" s="60">
        <v>159.83</v>
      </c>
      <c r="E62" s="60">
        <v>205.54</v>
      </c>
      <c r="F62" s="60">
        <v>140</v>
      </c>
    </row>
    <row r="63" ht="16" customHeight="1" spans="1:6" x14ac:dyDescent="0.25">
      <c r="A63" s="12" t="s">
        <v>169</v>
      </c>
      <c r="B63" s="65">
        <v>60.9</v>
      </c>
      <c r="C63" s="65">
        <v>115.35</v>
      </c>
      <c r="D63" s="65">
        <v>161.64</v>
      </c>
      <c r="E63" s="65">
        <v>207.94</v>
      </c>
      <c r="F63" s="65">
        <v>140</v>
      </c>
    </row>
    <row r="64" ht="16" customHeight="1" spans="1:6" x14ac:dyDescent="0.25">
      <c r="A64" s="29" t="s">
        <v>170</v>
      </c>
      <c r="B64" s="60">
        <v>60.5</v>
      </c>
      <c r="C64" s="60">
        <v>101.27</v>
      </c>
      <c r="D64" s="60">
        <v>137.21</v>
      </c>
      <c r="E64" s="60">
        <v>173.15</v>
      </c>
      <c r="F64" s="60">
        <v>140</v>
      </c>
    </row>
    <row r="65" ht="16" customHeight="1" spans="1:6" x14ac:dyDescent="0.25">
      <c r="A65" s="12" t="s">
        <v>171</v>
      </c>
      <c r="B65" s="65">
        <v>58</v>
      </c>
      <c r="C65" s="65">
        <v>98.07</v>
      </c>
      <c r="D65" s="65">
        <v>132.52</v>
      </c>
      <c r="E65" s="65">
        <v>166.97</v>
      </c>
      <c r="F65" s="65">
        <v>140</v>
      </c>
    </row>
    <row r="66" ht="16" customHeight="1" spans="1:6" x14ac:dyDescent="0.25">
      <c r="A66" s="29" t="s">
        <v>172</v>
      </c>
      <c r="B66" s="60">
        <v>60</v>
      </c>
      <c r="C66" s="60">
        <v>128.57</v>
      </c>
      <c r="D66" s="60">
        <v>181.39</v>
      </c>
      <c r="E66" s="60">
        <v>234.2</v>
      </c>
      <c r="F66" s="60">
        <v>140</v>
      </c>
    </row>
    <row r="67" ht="16" customHeight="1" spans="1:6" x14ac:dyDescent="0.25">
      <c r="A67" s="12" t="s">
        <v>173</v>
      </c>
      <c r="B67" s="65">
        <v>58</v>
      </c>
      <c r="C67" s="65">
        <v>126.15</v>
      </c>
      <c r="D67" s="65">
        <v>177.79</v>
      </c>
      <c r="E67" s="65">
        <v>229.44</v>
      </c>
      <c r="F67" s="65">
        <v>140</v>
      </c>
    </row>
    <row r="68" ht="16" customHeight="1" spans="1:6" x14ac:dyDescent="0.25">
      <c r="A68" s="29" t="s">
        <v>174</v>
      </c>
      <c r="B68" s="60">
        <v>62.5</v>
      </c>
      <c r="C68" s="60">
        <v>117.32</v>
      </c>
      <c r="D68" s="60">
        <v>164.54</v>
      </c>
      <c r="E68" s="60">
        <v>211.77</v>
      </c>
      <c r="F68" s="60">
        <v>140</v>
      </c>
    </row>
    <row r="69" ht="16" customHeight="1" spans="1:6" x14ac:dyDescent="0.25">
      <c r="A69" s="12" t="s">
        <v>175</v>
      </c>
      <c r="B69" s="65">
        <v>60.9</v>
      </c>
      <c r="C69" s="65">
        <v>115.35</v>
      </c>
      <c r="D69" s="65">
        <v>161.64</v>
      </c>
      <c r="E69" s="65">
        <v>207.94</v>
      </c>
      <c r="F69" s="65">
        <v>140</v>
      </c>
    </row>
    <row r="70" ht="16" customHeight="1" spans="1:6" x14ac:dyDescent="0.25">
      <c r="A70" s="29" t="s">
        <v>176</v>
      </c>
      <c r="B70" s="60">
        <v>58.9</v>
      </c>
      <c r="C70" s="60">
        <v>112.9</v>
      </c>
      <c r="D70" s="60">
        <v>158.02</v>
      </c>
      <c r="E70" s="60">
        <v>203.15</v>
      </c>
      <c r="F70" s="60">
        <v>140</v>
      </c>
    </row>
    <row r="71" ht="16" customHeight="1" spans="1:6" x14ac:dyDescent="0.25">
      <c r="A71" s="12" t="s">
        <v>177</v>
      </c>
      <c r="B71" s="65">
        <v>52.5</v>
      </c>
      <c r="C71" s="65">
        <v>91.02</v>
      </c>
      <c r="D71" s="65">
        <v>122.2</v>
      </c>
      <c r="E71" s="65">
        <v>153.39</v>
      </c>
      <c r="F71" s="65">
        <v>140</v>
      </c>
    </row>
    <row r="72" ht="16" customHeight="1" spans="1:6" x14ac:dyDescent="0.25">
      <c r="A72" s="29" t="s">
        <v>178</v>
      </c>
      <c r="B72" s="60">
        <v>50.5</v>
      </c>
      <c r="C72" s="60">
        <v>88.45</v>
      </c>
      <c r="D72" s="60">
        <v>118.45</v>
      </c>
      <c r="E72" s="60">
        <v>148.45</v>
      </c>
      <c r="F72" s="60">
        <v>140</v>
      </c>
    </row>
    <row r="73" ht="16" customHeight="1" spans="1:6" x14ac:dyDescent="0.25">
      <c r="A73" s="12" t="s">
        <v>179</v>
      </c>
      <c r="B73" s="65">
        <v>54.41</v>
      </c>
      <c r="C73" s="65">
        <v>107.39</v>
      </c>
      <c r="D73" s="65">
        <v>149.9</v>
      </c>
      <c r="E73" s="65">
        <v>192.39</v>
      </c>
      <c r="F73" s="65">
        <v>140</v>
      </c>
    </row>
    <row r="74" ht="16" customHeight="1" spans="1:6" x14ac:dyDescent="0.25">
      <c r="A74" s="29" t="s">
        <v>180</v>
      </c>
      <c r="B74" s="60">
        <v>90</v>
      </c>
      <c r="C74" s="60">
        <v>139.09</v>
      </c>
      <c r="D74" s="60">
        <v>192.55</v>
      </c>
      <c r="E74" s="60">
        <v>246.01</v>
      </c>
      <c r="F74" s="60">
        <v>140</v>
      </c>
    </row>
    <row r="75" ht="16" customHeight="1" spans="1:6" x14ac:dyDescent="0.25">
      <c r="A75" s="12" t="s">
        <v>181</v>
      </c>
      <c r="B75" s="65">
        <v>88</v>
      </c>
      <c r="C75" s="65">
        <v>136.53</v>
      </c>
      <c r="D75" s="65">
        <v>188.8</v>
      </c>
      <c r="E75" s="65">
        <v>241.07</v>
      </c>
      <c r="F75" s="65">
        <v>140</v>
      </c>
    </row>
    <row r="76" ht="16" customHeight="1" spans="1:6" x14ac:dyDescent="0.25">
      <c r="A76" s="29" t="s">
        <v>182</v>
      </c>
      <c r="B76" s="60">
        <v>71</v>
      </c>
      <c r="C76" s="60">
        <v>141.9</v>
      </c>
      <c r="D76" s="60">
        <v>201.14</v>
      </c>
      <c r="E76" s="60">
        <v>260.38</v>
      </c>
      <c r="F76" s="60">
        <v>140</v>
      </c>
    </row>
    <row r="77" ht="16" customHeight="1" spans="1:6" x14ac:dyDescent="0.25">
      <c r="A77" s="12" t="s">
        <v>183</v>
      </c>
      <c r="B77" s="65">
        <v>69</v>
      </c>
      <c r="C77" s="65">
        <v>139.48</v>
      </c>
      <c r="D77" s="65">
        <v>197.55</v>
      </c>
      <c r="E77" s="65">
        <v>255.62</v>
      </c>
      <c r="F77" s="65">
        <v>140</v>
      </c>
    </row>
    <row r="78" ht="16" customHeight="1" spans="1:6" x14ac:dyDescent="0.25">
      <c r="A78" s="29" t="s">
        <v>184</v>
      </c>
      <c r="B78" s="60">
        <v>55</v>
      </c>
      <c r="C78" s="60">
        <v>94.22</v>
      </c>
      <c r="D78" s="60">
        <v>126.89</v>
      </c>
      <c r="E78" s="60">
        <v>159.56</v>
      </c>
      <c r="F78" s="60">
        <v>140</v>
      </c>
    </row>
    <row r="79" ht="16" customHeight="1" spans="1:6" x14ac:dyDescent="0.25">
      <c r="A79" s="12" t="s">
        <v>185</v>
      </c>
      <c r="B79" s="65">
        <v>48</v>
      </c>
      <c r="C79" s="65">
        <v>85.25</v>
      </c>
      <c r="D79" s="65">
        <v>113.76</v>
      </c>
      <c r="E79" s="65">
        <v>142.27</v>
      </c>
      <c r="F79" s="65">
        <v>140</v>
      </c>
    </row>
    <row r="80" ht="16" customHeight="1" spans="1:6" x14ac:dyDescent="0.25">
      <c r="A80" s="29" t="s">
        <v>186</v>
      </c>
      <c r="B80" s="60">
        <v>83.5</v>
      </c>
      <c r="C80" s="60">
        <v>130.76</v>
      </c>
      <c r="D80" s="60">
        <v>180.36</v>
      </c>
      <c r="E80" s="60">
        <v>229.96</v>
      </c>
      <c r="F80" s="60">
        <v>140</v>
      </c>
    </row>
    <row r="81" ht="16" customHeight="1" spans="1:6" x14ac:dyDescent="0.25">
      <c r="A81" s="12" t="s">
        <v>187</v>
      </c>
      <c r="B81" s="65">
        <v>81.5</v>
      </c>
      <c r="C81" s="65">
        <v>128.19</v>
      </c>
      <c r="D81" s="65">
        <v>176.6</v>
      </c>
      <c r="E81" s="65">
        <v>225.02</v>
      </c>
      <c r="F81" s="65">
        <v>140</v>
      </c>
    </row>
    <row r="82" ht="16" customHeight="1" spans="1:6" x14ac:dyDescent="0.25">
      <c r="A82" s="29" t="s">
        <v>188</v>
      </c>
      <c r="B82" s="60">
        <v>83.5</v>
      </c>
      <c r="C82" s="60">
        <v>133.42</v>
      </c>
      <c r="D82" s="60">
        <v>188.57</v>
      </c>
      <c r="E82" s="60">
        <v>243.72</v>
      </c>
      <c r="F82" s="60">
        <v>140</v>
      </c>
    </row>
    <row r="83" ht="16" customHeight="1" spans="1:6" x14ac:dyDescent="0.25">
      <c r="A83" s="12" t="s">
        <v>189</v>
      </c>
      <c r="B83" s="65">
        <v>81.5</v>
      </c>
      <c r="C83" s="65">
        <v>121.25</v>
      </c>
      <c r="D83" s="65">
        <v>170.54</v>
      </c>
      <c r="E83" s="65">
        <v>219.82</v>
      </c>
      <c r="F83" s="65">
        <v>140</v>
      </c>
    </row>
    <row r="84" ht="16" customHeight="1" spans="1:6" x14ac:dyDescent="0.25">
      <c r="A84" s="29" t="s">
        <v>190</v>
      </c>
      <c r="B84" s="60">
        <v>70.58</v>
      </c>
      <c r="C84" s="60">
        <v>127.23</v>
      </c>
      <c r="D84" s="60">
        <v>179.17</v>
      </c>
      <c r="E84" s="60">
        <v>231.11</v>
      </c>
      <c r="F84" s="60">
        <v>140</v>
      </c>
    </row>
    <row r="85" ht="16" customHeight="1" spans="1:6" x14ac:dyDescent="0.25">
      <c r="A85" s="12" t="s">
        <v>191</v>
      </c>
      <c r="B85" s="65">
        <v>67.98</v>
      </c>
      <c r="C85" s="65">
        <v>124.04</v>
      </c>
      <c r="D85" s="65">
        <v>174.46</v>
      </c>
      <c r="E85" s="65">
        <v>224.89</v>
      </c>
      <c r="F85" s="65">
        <v>140</v>
      </c>
    </row>
    <row r="86" ht="16" customHeight="1" spans="1:6" x14ac:dyDescent="0.25">
      <c r="A86" s="29" t="s">
        <v>192</v>
      </c>
      <c r="B86" s="60">
        <v>63.98</v>
      </c>
      <c r="C86" s="60">
        <v>119.13</v>
      </c>
      <c r="D86" s="60">
        <v>167.22</v>
      </c>
      <c r="E86" s="60">
        <v>215.31</v>
      </c>
      <c r="F86" s="60">
        <v>140</v>
      </c>
    </row>
    <row r="87" ht="16" customHeight="1" spans="1:6" x14ac:dyDescent="0.25">
      <c r="A87" s="12" t="s">
        <v>193</v>
      </c>
      <c r="B87" s="65">
        <v>48.5</v>
      </c>
      <c r="C87" s="65">
        <v>85.89</v>
      </c>
      <c r="D87" s="65">
        <v>114.7</v>
      </c>
      <c r="E87" s="65">
        <v>143.51</v>
      </c>
      <c r="F87" s="65">
        <v>140</v>
      </c>
    </row>
    <row r="88" ht="16" customHeight="1" spans="1:6" x14ac:dyDescent="0.25">
      <c r="A88" s="29" t="s">
        <v>194</v>
      </c>
      <c r="B88" s="60">
        <v>46.5</v>
      </c>
      <c r="C88" s="60">
        <v>83.32</v>
      </c>
      <c r="D88" s="60">
        <v>110.94</v>
      </c>
      <c r="E88" s="60">
        <v>138.57</v>
      </c>
      <c r="F88" s="60">
        <v>140</v>
      </c>
    </row>
    <row r="89" ht="16" customHeight="1" spans="1:6" x14ac:dyDescent="0.25">
      <c r="A89" s="12" t="s">
        <v>195</v>
      </c>
      <c r="B89" s="65">
        <v>62.5</v>
      </c>
      <c r="C89" s="65">
        <v>103.84</v>
      </c>
      <c r="D89" s="65">
        <v>140.96</v>
      </c>
      <c r="E89" s="65">
        <v>178.09</v>
      </c>
      <c r="F89" s="65">
        <v>140</v>
      </c>
    </row>
    <row r="90" ht="16" customHeight="1" spans="1:6" x14ac:dyDescent="0.25">
      <c r="A90" s="29" t="s">
        <v>196</v>
      </c>
      <c r="B90" s="60">
        <v>60.5</v>
      </c>
      <c r="C90" s="60">
        <v>101.27</v>
      </c>
      <c r="D90" s="60">
        <v>137.21</v>
      </c>
      <c r="E90" s="60">
        <v>173.15</v>
      </c>
      <c r="F90" s="60">
        <v>140</v>
      </c>
    </row>
    <row r="91" ht="16" customHeight="1" spans="1:6" x14ac:dyDescent="0.25">
      <c r="A91" s="12" t="s">
        <v>197</v>
      </c>
      <c r="B91" s="65">
        <v>54.9</v>
      </c>
      <c r="C91" s="65">
        <v>107.99</v>
      </c>
      <c r="D91" s="65">
        <v>150.78</v>
      </c>
      <c r="E91" s="65">
        <v>193.57</v>
      </c>
      <c r="F91" s="65">
        <v>140</v>
      </c>
    </row>
    <row r="92" ht="16" customHeight="1" spans="1:6" x14ac:dyDescent="0.25">
      <c r="A92" s="29" t="s">
        <v>198</v>
      </c>
      <c r="B92" s="60">
        <v>52.9</v>
      </c>
      <c r="C92" s="60">
        <v>105.54</v>
      </c>
      <c r="D92" s="60">
        <v>147.16</v>
      </c>
      <c r="E92" s="60">
        <v>188.78</v>
      </c>
      <c r="F92" s="60">
        <v>140</v>
      </c>
    </row>
    <row r="93" ht="16" customHeight="1" spans="1:6" x14ac:dyDescent="0.25">
      <c r="A93" s="12" t="s">
        <v>199</v>
      </c>
      <c r="B93" s="65">
        <v>50.9</v>
      </c>
      <c r="C93" s="65">
        <v>103.09</v>
      </c>
      <c r="D93" s="65">
        <v>143.54</v>
      </c>
      <c r="E93" s="65">
        <v>183.99</v>
      </c>
      <c r="F93" s="65">
        <v>140</v>
      </c>
    </row>
    <row r="94" ht="16" customHeight="1" spans="1:6" x14ac:dyDescent="0.25">
      <c r="A94" s="29" t="s">
        <v>200</v>
      </c>
      <c r="B94" s="60">
        <v>53.9</v>
      </c>
      <c r="C94" s="60">
        <v>106.77</v>
      </c>
      <c r="D94" s="60">
        <v>148.97</v>
      </c>
      <c r="E94" s="60">
        <v>191.17</v>
      </c>
      <c r="F94" s="60">
        <v>140</v>
      </c>
    </row>
    <row r="95" ht="16" customHeight="1" spans="1:6" x14ac:dyDescent="0.25">
      <c r="A95" s="12" t="s">
        <v>201</v>
      </c>
      <c r="B95" s="65">
        <v>51.9</v>
      </c>
      <c r="C95" s="65">
        <v>104.32</v>
      </c>
      <c r="D95" s="65">
        <v>145.35</v>
      </c>
      <c r="E95" s="65">
        <v>186.38</v>
      </c>
      <c r="F95" s="65">
        <v>140</v>
      </c>
    </row>
    <row r="96" ht="16" customHeight="1" spans="1:6" x14ac:dyDescent="0.25">
      <c r="A96" s="29" t="s">
        <v>202</v>
      </c>
      <c r="B96" s="60">
        <v>76.5</v>
      </c>
      <c r="C96" s="60">
        <v>121.78</v>
      </c>
      <c r="D96" s="60">
        <v>167.22</v>
      </c>
      <c r="E96" s="60">
        <v>212.67</v>
      </c>
      <c r="F96" s="60">
        <v>140</v>
      </c>
    </row>
    <row r="97" ht="16" customHeight="1" spans="1:6" x14ac:dyDescent="0.25">
      <c r="A97" s="12" t="s">
        <v>203</v>
      </c>
      <c r="B97" s="65">
        <v>73.5</v>
      </c>
      <c r="C97" s="65">
        <v>117.94</v>
      </c>
      <c r="D97" s="65">
        <v>161.6</v>
      </c>
      <c r="E97" s="65">
        <v>205.26</v>
      </c>
      <c r="F97" s="65">
        <v>140</v>
      </c>
    </row>
    <row r="98" ht="16" customHeight="1" spans="1:6" x14ac:dyDescent="0.25">
      <c r="A98" s="29" t="s">
        <v>204</v>
      </c>
      <c r="B98" s="60">
        <v>59</v>
      </c>
      <c r="C98" s="60">
        <v>127.36</v>
      </c>
      <c r="D98" s="60">
        <v>179.59</v>
      </c>
      <c r="E98" s="60">
        <v>231.82</v>
      </c>
      <c r="F98" s="60">
        <v>140</v>
      </c>
    </row>
    <row r="99" ht="16" customHeight="1" spans="1:6" x14ac:dyDescent="0.25">
      <c r="A99" s="12" t="s">
        <v>205</v>
      </c>
      <c r="B99" s="65">
        <v>57</v>
      </c>
      <c r="C99" s="65">
        <v>124.93</v>
      </c>
      <c r="D99" s="65">
        <v>176</v>
      </c>
      <c r="E99" s="65">
        <v>227.06</v>
      </c>
      <c r="F99" s="65">
        <v>140</v>
      </c>
    </row>
    <row r="100" ht="16" customHeight="1" spans="1:6" x14ac:dyDescent="0.25">
      <c r="A100" s="29" t="s">
        <v>206</v>
      </c>
      <c r="B100" s="15"/>
      <c r="C100" s="60">
        <v>109.22</v>
      </c>
      <c r="D100" s="60">
        <v>152.59</v>
      </c>
      <c r="E100" s="60">
        <v>195.96</v>
      </c>
      <c r="F100" s="60">
        <v>140</v>
      </c>
    </row>
    <row r="101" ht="16" customHeight="1" spans="1:6" x14ac:dyDescent="0.25">
      <c r="A101" s="12" t="s">
        <v>207</v>
      </c>
      <c r="B101" s="19"/>
      <c r="C101" s="65">
        <v>106.77</v>
      </c>
      <c r="D101" s="65">
        <v>148.97</v>
      </c>
      <c r="E101" s="65">
        <v>191.17</v>
      </c>
      <c r="F101" s="65">
        <v>140</v>
      </c>
    </row>
    <row r="102" ht="16" customHeight="1" spans="1:6" x14ac:dyDescent="0.25">
      <c r="A102" s="29" t="s">
        <v>208</v>
      </c>
      <c r="B102" s="60">
        <v>50.6</v>
      </c>
      <c r="C102" s="60">
        <v>114.44</v>
      </c>
      <c r="D102" s="60">
        <v>161.76</v>
      </c>
      <c r="E102" s="60">
        <v>209.09</v>
      </c>
      <c r="F102" s="60">
        <v>140</v>
      </c>
    </row>
    <row r="103" ht="16" customHeight="1" spans="1:6" x14ac:dyDescent="0.25">
      <c r="A103" s="12" t="s">
        <v>209</v>
      </c>
      <c r="B103" s="65">
        <v>38.51</v>
      </c>
      <c r="C103" s="65">
        <v>94.82</v>
      </c>
      <c r="D103" s="65">
        <v>136.58</v>
      </c>
      <c r="E103" s="65">
        <v>178.35</v>
      </c>
      <c r="F103" s="65">
        <v>140</v>
      </c>
    </row>
    <row r="104" ht="16" customHeight="1" spans="1:6" x14ac:dyDescent="0.25">
      <c r="A104" s="29" t="s">
        <v>210</v>
      </c>
      <c r="B104" s="60">
        <v>38.01</v>
      </c>
      <c r="C104" s="60">
        <v>94.21</v>
      </c>
      <c r="D104" s="60">
        <v>135.68</v>
      </c>
      <c r="E104" s="60">
        <v>177.16</v>
      </c>
      <c r="F104" s="60">
        <v>140</v>
      </c>
    </row>
    <row r="105" ht="16" customHeight="1" spans="1:6" x14ac:dyDescent="0.25">
      <c r="A105" s="12" t="s">
        <v>211</v>
      </c>
      <c r="B105" s="19"/>
      <c r="C105" s="65">
        <v>111.71</v>
      </c>
      <c r="D105" s="65">
        <v>157.72</v>
      </c>
      <c r="E105" s="65">
        <v>203.73</v>
      </c>
      <c r="F105" s="65">
        <v>130</v>
      </c>
    </row>
    <row r="106" ht="16" customHeight="1" spans="1:6" x14ac:dyDescent="0.25">
      <c r="A106" s="29" t="s">
        <v>212</v>
      </c>
      <c r="B106" s="60">
        <v>49.1</v>
      </c>
      <c r="C106" s="60">
        <v>112.62</v>
      </c>
      <c r="D106" s="60">
        <v>159.07</v>
      </c>
      <c r="E106" s="60">
        <v>205.52</v>
      </c>
      <c r="F106" s="60">
        <v>130</v>
      </c>
    </row>
    <row r="107" ht="16" customHeight="1" spans="1:6" x14ac:dyDescent="0.25">
      <c r="A107" s="12" t="s">
        <v>213</v>
      </c>
      <c r="B107" s="65">
        <v>35.51</v>
      </c>
      <c r="C107" s="65">
        <v>91.18</v>
      </c>
      <c r="D107" s="65">
        <v>131.19</v>
      </c>
      <c r="E107" s="65">
        <v>171.21</v>
      </c>
      <c r="F107" s="65">
        <v>130</v>
      </c>
    </row>
    <row r="108" ht="16" customHeight="1" spans="1:6" x14ac:dyDescent="0.25">
      <c r="A108" s="29" t="s">
        <v>214</v>
      </c>
      <c r="B108" s="60">
        <v>36.51</v>
      </c>
      <c r="C108" s="60">
        <v>92.39</v>
      </c>
      <c r="D108" s="60">
        <v>132.99</v>
      </c>
      <c r="E108" s="60">
        <v>173.59</v>
      </c>
      <c r="F108" s="60">
        <v>130</v>
      </c>
    </row>
    <row r="109" ht="16" customHeight="1" spans="1:6" x14ac:dyDescent="0.25">
      <c r="A109" s="12" t="s">
        <v>215</v>
      </c>
      <c r="B109" s="65">
        <v>36.01</v>
      </c>
      <c r="C109" s="65">
        <v>91.79</v>
      </c>
      <c r="D109" s="65">
        <v>132.09</v>
      </c>
      <c r="E109" s="65">
        <v>172.4</v>
      </c>
      <c r="F109" s="65">
        <v>130</v>
      </c>
    </row>
    <row r="110" ht="16" customHeight="1" spans="1:6" x14ac:dyDescent="0.25">
      <c r="A110" s="29" t="s">
        <v>216</v>
      </c>
      <c r="B110" s="60">
        <v>37.01</v>
      </c>
      <c r="C110" s="60">
        <v>93</v>
      </c>
      <c r="D110" s="60">
        <v>133.89</v>
      </c>
      <c r="E110" s="60">
        <v>174.78</v>
      </c>
      <c r="F110" s="60">
        <v>130</v>
      </c>
    </row>
    <row r="111" ht="16" customHeight="1" spans="1:6" x14ac:dyDescent="0.25">
      <c r="A111" s="12" t="s">
        <v>217</v>
      </c>
      <c r="B111" s="65">
        <v>53.93</v>
      </c>
      <c r="C111" s="65">
        <v>105.28</v>
      </c>
      <c r="D111" s="65">
        <v>147.5</v>
      </c>
      <c r="E111" s="65">
        <v>189.72</v>
      </c>
      <c r="F111" s="65">
        <v>130</v>
      </c>
    </row>
    <row r="112" ht="16" customHeight="1" spans="1:6" x14ac:dyDescent="0.25">
      <c r="A112" s="29" t="s">
        <v>218</v>
      </c>
      <c r="B112" s="60">
        <v>33.6</v>
      </c>
      <c r="C112" s="60">
        <v>93.83</v>
      </c>
      <c r="D112" s="60">
        <v>131.23</v>
      </c>
      <c r="E112" s="60">
        <v>168.63</v>
      </c>
      <c r="F112" s="60">
        <v>130</v>
      </c>
    </row>
    <row r="113" ht="16" customHeight="1" spans="1:6" x14ac:dyDescent="0.25">
      <c r="A113" s="12" t="s">
        <v>219</v>
      </c>
      <c r="B113" s="65">
        <v>34.8</v>
      </c>
      <c r="C113" s="65">
        <v>95.29</v>
      </c>
      <c r="D113" s="65">
        <v>133.39</v>
      </c>
      <c r="E113" s="65">
        <v>171.48</v>
      </c>
      <c r="F113" s="65">
        <v>130</v>
      </c>
    </row>
    <row r="114" ht="16" customHeight="1" spans="1:6" x14ac:dyDescent="0.25">
      <c r="A114" s="29" t="s">
        <v>220</v>
      </c>
      <c r="B114" s="60">
        <v>36</v>
      </c>
      <c r="C114" s="60">
        <v>96.74</v>
      </c>
      <c r="D114" s="60">
        <v>135.54</v>
      </c>
      <c r="E114" s="60">
        <v>174.34</v>
      </c>
      <c r="F114" s="60">
        <v>130</v>
      </c>
    </row>
    <row r="115" ht="16" customHeight="1" spans="1:6" x14ac:dyDescent="0.25">
      <c r="A115" s="12" t="s">
        <v>221</v>
      </c>
      <c r="B115" s="65">
        <v>37.2</v>
      </c>
      <c r="C115" s="65">
        <v>98.2</v>
      </c>
      <c r="D115" s="65">
        <v>137.7</v>
      </c>
      <c r="E115" s="65">
        <v>177.2</v>
      </c>
      <c r="F115" s="65">
        <v>130</v>
      </c>
    </row>
    <row r="116" ht="16" customHeight="1" spans="1:6" x14ac:dyDescent="0.25">
      <c r="A116" s="29" t="s">
        <v>222</v>
      </c>
      <c r="B116" s="60">
        <v>38.4</v>
      </c>
      <c r="C116" s="60">
        <v>99.65</v>
      </c>
      <c r="D116" s="60">
        <v>139.85</v>
      </c>
      <c r="E116" s="60">
        <v>180.05</v>
      </c>
      <c r="F116" s="60">
        <v>130</v>
      </c>
    </row>
    <row r="117" ht="16" customHeight="1" spans="1:6" x14ac:dyDescent="0.25">
      <c r="A117" s="12" t="s">
        <v>223</v>
      </c>
      <c r="B117" s="65">
        <v>40.8</v>
      </c>
      <c r="C117" s="65">
        <v>102.56</v>
      </c>
      <c r="D117" s="65">
        <v>144.16</v>
      </c>
      <c r="E117" s="65">
        <v>185.76</v>
      </c>
      <c r="F117" s="65">
        <v>130</v>
      </c>
    </row>
    <row r="118" ht="16" customHeight="1" spans="1:6" x14ac:dyDescent="0.25">
      <c r="A118" s="29" t="s">
        <v>224</v>
      </c>
      <c r="B118" s="60">
        <v>43.2</v>
      </c>
      <c r="C118" s="60">
        <v>105.47</v>
      </c>
      <c r="D118" s="60">
        <v>148.47</v>
      </c>
      <c r="E118" s="60">
        <v>191.48</v>
      </c>
      <c r="F118" s="60">
        <v>130</v>
      </c>
    </row>
    <row r="119" ht="16" customHeight="1" spans="1:6" x14ac:dyDescent="0.25">
      <c r="A119" s="12" t="s">
        <v>225</v>
      </c>
      <c r="B119" s="65">
        <v>43.32</v>
      </c>
      <c r="C119" s="65">
        <v>105.61</v>
      </c>
      <c r="D119" s="65">
        <v>148.69</v>
      </c>
      <c r="E119" s="65">
        <v>191.76</v>
      </c>
      <c r="F119" s="65">
        <v>130</v>
      </c>
    </row>
    <row r="120" ht="16" customHeight="1" spans="1:6" x14ac:dyDescent="0.25">
      <c r="A120" s="29" t="s">
        <v>226</v>
      </c>
      <c r="B120" s="60">
        <v>27.25</v>
      </c>
      <c r="C120" s="60">
        <v>81.16</v>
      </c>
      <c r="D120" s="60">
        <v>116.35</v>
      </c>
      <c r="E120" s="60">
        <v>151.53</v>
      </c>
      <c r="F120" s="60">
        <v>130</v>
      </c>
    </row>
    <row r="121" ht="16" customHeight="1" spans="1:6" x14ac:dyDescent="0.25">
      <c r="A121" s="12" t="s">
        <v>227</v>
      </c>
      <c r="B121" s="65">
        <v>29.06</v>
      </c>
      <c r="C121" s="65">
        <v>83.37</v>
      </c>
      <c r="D121" s="65">
        <v>119.61</v>
      </c>
      <c r="E121" s="65">
        <v>155.86</v>
      </c>
      <c r="F121" s="65">
        <v>130</v>
      </c>
    </row>
    <row r="122" ht="16" customHeight="1" spans="1:6" x14ac:dyDescent="0.25">
      <c r="A122" s="29" t="s">
        <v>228</v>
      </c>
      <c r="B122" s="60">
        <v>30.88</v>
      </c>
      <c r="C122" s="60">
        <v>85.57</v>
      </c>
      <c r="D122" s="60">
        <v>122.87</v>
      </c>
      <c r="E122" s="60">
        <v>160.18</v>
      </c>
      <c r="F122" s="60">
        <v>130</v>
      </c>
    </row>
    <row r="123" ht="16" customHeight="1" spans="1:6" x14ac:dyDescent="0.25">
      <c r="A123" s="12" t="s">
        <v>229</v>
      </c>
      <c r="B123" s="65">
        <v>32.79</v>
      </c>
      <c r="C123" s="65">
        <v>87.88</v>
      </c>
      <c r="D123" s="65">
        <v>126.3</v>
      </c>
      <c r="E123" s="65">
        <v>164.72</v>
      </c>
      <c r="F123" s="65">
        <v>130</v>
      </c>
    </row>
    <row r="124" ht="16" customHeight="1" spans="1:6" x14ac:dyDescent="0.25">
      <c r="A124" s="29" t="s">
        <v>230</v>
      </c>
      <c r="B124" s="60">
        <v>34.51</v>
      </c>
      <c r="C124" s="60">
        <v>89.97</v>
      </c>
      <c r="D124" s="60">
        <v>129.4</v>
      </c>
      <c r="E124" s="60">
        <v>168.83</v>
      </c>
      <c r="F124" s="60">
        <v>130</v>
      </c>
    </row>
    <row r="125" ht="16" customHeight="1" spans="1:6" x14ac:dyDescent="0.25">
      <c r="A125" s="12" t="s">
        <v>231</v>
      </c>
      <c r="B125" s="65">
        <v>35.01</v>
      </c>
      <c r="C125" s="65">
        <v>90.58</v>
      </c>
      <c r="D125" s="65">
        <v>130.3</v>
      </c>
      <c r="E125" s="65">
        <v>170.02</v>
      </c>
      <c r="F125" s="65">
        <v>130</v>
      </c>
    </row>
    <row r="126" ht="16" customHeight="1" spans="1:6" x14ac:dyDescent="0.25">
      <c r="A126" s="29" t="s">
        <v>232</v>
      </c>
      <c r="B126" s="60">
        <v>49.12</v>
      </c>
      <c r="C126" s="60">
        <v>112.95</v>
      </c>
      <c r="D126" s="60">
        <v>161.76</v>
      </c>
      <c r="E126" s="60">
        <v>210.56</v>
      </c>
      <c r="F126" s="60">
        <v>130</v>
      </c>
    </row>
    <row r="127" ht="16" customHeight="1" spans="1:6" x14ac:dyDescent="0.25">
      <c r="A127" s="12" t="s">
        <v>233</v>
      </c>
      <c r="B127" s="65">
        <v>48.04</v>
      </c>
      <c r="C127" s="65">
        <v>111.65</v>
      </c>
      <c r="D127" s="65">
        <v>159.83</v>
      </c>
      <c r="E127" s="65">
        <v>208.01</v>
      </c>
      <c r="F127" s="65">
        <v>130</v>
      </c>
    </row>
    <row r="128" ht="16" customHeight="1" spans="1:6" x14ac:dyDescent="0.25">
      <c r="A128" s="29" t="s">
        <v>234</v>
      </c>
      <c r="B128" s="60">
        <v>43.79</v>
      </c>
      <c r="C128" s="60">
        <v>106.49</v>
      </c>
      <c r="D128" s="60">
        <v>152.18</v>
      </c>
      <c r="E128" s="60">
        <v>197.88</v>
      </c>
      <c r="F128" s="60">
        <v>130</v>
      </c>
    </row>
    <row r="129" ht="16" customHeight="1" spans="1:6" x14ac:dyDescent="0.25">
      <c r="A129" s="12" t="s">
        <v>235</v>
      </c>
      <c r="B129" s="65">
        <v>50.07</v>
      </c>
      <c r="C129" s="65">
        <v>114.1</v>
      </c>
      <c r="D129" s="65">
        <v>163.46</v>
      </c>
      <c r="E129" s="65">
        <v>212.82</v>
      </c>
      <c r="F129" s="65">
        <v>130</v>
      </c>
    </row>
    <row r="130" ht="16" customHeight="1" spans="1:6" x14ac:dyDescent="0.25">
      <c r="A130" s="29" t="s">
        <v>236</v>
      </c>
      <c r="B130" s="60">
        <v>51.02</v>
      </c>
      <c r="C130" s="60">
        <v>115.25</v>
      </c>
      <c r="D130" s="60">
        <v>165.17</v>
      </c>
      <c r="E130" s="60">
        <v>215.09</v>
      </c>
      <c r="F130" s="60">
        <v>130</v>
      </c>
    </row>
    <row r="131" ht="16" customHeight="1" spans="1:6" x14ac:dyDescent="0.25">
      <c r="A131" s="12" t="s">
        <v>237</v>
      </c>
      <c r="B131" s="65">
        <v>51.25</v>
      </c>
      <c r="C131" s="65">
        <v>115.54</v>
      </c>
      <c r="D131" s="65">
        <v>165.59</v>
      </c>
      <c r="E131" s="65">
        <v>215.65</v>
      </c>
      <c r="F131" s="65">
        <v>130</v>
      </c>
    </row>
    <row r="132" ht="16" customHeight="1" spans="1:6" x14ac:dyDescent="0.25">
      <c r="A132" s="29" t="s">
        <v>238</v>
      </c>
      <c r="B132" s="60">
        <v>51.54</v>
      </c>
      <c r="C132" s="60">
        <v>115.88</v>
      </c>
      <c r="D132" s="60">
        <v>166.11</v>
      </c>
      <c r="E132" s="60">
        <v>216.33</v>
      </c>
      <c r="F132" s="60">
        <v>130</v>
      </c>
    </row>
    <row r="133" ht="16" customHeight="1" spans="1:6" x14ac:dyDescent="0.25">
      <c r="A133" s="12" t="s">
        <v>239</v>
      </c>
      <c r="B133" s="65">
        <v>51.73</v>
      </c>
      <c r="C133" s="65">
        <v>116.11</v>
      </c>
      <c r="D133" s="65">
        <v>166.45</v>
      </c>
      <c r="E133" s="65">
        <v>216.78</v>
      </c>
      <c r="F133" s="65">
        <v>130</v>
      </c>
    </row>
    <row r="134" ht="16" customHeight="1" spans="1:6" x14ac:dyDescent="0.25">
      <c r="A134" s="29" t="s">
        <v>240</v>
      </c>
      <c r="B134" s="60">
        <v>51.82</v>
      </c>
      <c r="C134" s="60">
        <v>116.23</v>
      </c>
      <c r="D134" s="60">
        <v>166.62</v>
      </c>
      <c r="E134" s="60">
        <v>217.01</v>
      </c>
      <c r="F134" s="60">
        <v>130</v>
      </c>
    </row>
    <row r="135" ht="16" customHeight="1" spans="1:6" x14ac:dyDescent="0.25">
      <c r="A135" s="12" t="s">
        <v>241</v>
      </c>
      <c r="B135" s="65">
        <v>51.92</v>
      </c>
      <c r="C135" s="65">
        <v>116.34</v>
      </c>
      <c r="D135" s="65">
        <v>166.79</v>
      </c>
      <c r="E135" s="65">
        <v>217.23</v>
      </c>
      <c r="F135" s="65">
        <v>130</v>
      </c>
    </row>
    <row r="136" ht="16" customHeight="1" spans="1:6" x14ac:dyDescent="0.25">
      <c r="A136" s="29" t="s">
        <v>242</v>
      </c>
      <c r="B136" s="60">
        <v>52.06</v>
      </c>
      <c r="C136" s="60">
        <v>116.52</v>
      </c>
      <c r="D136" s="60">
        <v>167.04</v>
      </c>
      <c r="E136" s="60">
        <v>217.57</v>
      </c>
      <c r="F136" s="60">
        <v>130</v>
      </c>
    </row>
    <row r="137" ht="16" customHeight="1" spans="1:6" x14ac:dyDescent="0.25">
      <c r="A137" s="12" t="s">
        <v>243</v>
      </c>
      <c r="B137" s="65">
        <v>52.11</v>
      </c>
      <c r="C137" s="65">
        <v>116.57</v>
      </c>
      <c r="D137" s="65">
        <v>167.13</v>
      </c>
      <c r="E137" s="65">
        <v>217.69</v>
      </c>
      <c r="F137" s="65">
        <v>130</v>
      </c>
    </row>
    <row r="138" ht="16" customHeight="1" spans="1:6" x14ac:dyDescent="0.25">
      <c r="A138" s="29" t="s">
        <v>244</v>
      </c>
      <c r="B138" s="60">
        <v>52.2</v>
      </c>
      <c r="C138" s="60">
        <v>116.69</v>
      </c>
      <c r="D138" s="60">
        <v>167.3</v>
      </c>
      <c r="E138" s="60">
        <v>217.91</v>
      </c>
      <c r="F138" s="60">
        <v>130</v>
      </c>
    </row>
    <row r="139" ht="16" customHeight="1" spans="1:6" x14ac:dyDescent="0.25">
      <c r="A139" s="12" t="s">
        <v>245</v>
      </c>
      <c r="B139" s="65">
        <v>52.35</v>
      </c>
      <c r="C139" s="65">
        <v>116.86</v>
      </c>
      <c r="D139" s="65">
        <v>167.56</v>
      </c>
      <c r="E139" s="65">
        <v>218.25</v>
      </c>
      <c r="F139" s="65">
        <v>130</v>
      </c>
    </row>
    <row r="140" ht="16" customHeight="1" spans="1:6" x14ac:dyDescent="0.25">
      <c r="A140" s="29" t="s">
        <v>246</v>
      </c>
      <c r="B140" s="60">
        <v>52.68</v>
      </c>
      <c r="C140" s="60">
        <v>117.27</v>
      </c>
      <c r="D140" s="60">
        <v>168.15</v>
      </c>
      <c r="E140" s="60">
        <v>219.04</v>
      </c>
      <c r="F140" s="60">
        <v>130</v>
      </c>
    </row>
    <row r="141" ht="16" customHeight="1" spans="1:6" x14ac:dyDescent="0.25">
      <c r="A141" s="12" t="s">
        <v>247</v>
      </c>
      <c r="B141" s="65">
        <v>51.02</v>
      </c>
      <c r="C141" s="65">
        <v>115.25</v>
      </c>
      <c r="D141" s="65">
        <v>165.17</v>
      </c>
      <c r="E141" s="65">
        <v>215.09</v>
      </c>
      <c r="F141" s="65">
        <v>130</v>
      </c>
    </row>
    <row r="142" ht="16" customHeight="1" spans="1:6" x14ac:dyDescent="0.25">
      <c r="A142" s="29" t="s">
        <v>248</v>
      </c>
      <c r="B142" s="60">
        <v>51.97</v>
      </c>
      <c r="C142" s="60">
        <v>116.4</v>
      </c>
      <c r="D142" s="60">
        <v>166.87</v>
      </c>
      <c r="E142" s="60">
        <v>217.35</v>
      </c>
      <c r="F142" s="60">
        <v>130</v>
      </c>
    </row>
    <row r="143" ht="16" customHeight="1" spans="1:6" x14ac:dyDescent="0.25">
      <c r="A143" s="12" t="s">
        <v>249</v>
      </c>
      <c r="B143" s="19"/>
      <c r="C143" s="65">
        <v>68.05</v>
      </c>
      <c r="D143" s="65">
        <v>92.35</v>
      </c>
      <c r="E143" s="65">
        <v>116.63</v>
      </c>
      <c r="F143" s="65">
        <v>130</v>
      </c>
    </row>
    <row r="144" ht="16" customHeight="1" spans="1:6" x14ac:dyDescent="0.25">
      <c r="A144" s="29" t="s">
        <v>250</v>
      </c>
      <c r="B144" s="60">
        <v>25.81</v>
      </c>
      <c r="C144" s="60">
        <v>71.19</v>
      </c>
      <c r="D144" s="60">
        <v>96.98</v>
      </c>
      <c r="E144" s="60">
        <v>122.78</v>
      </c>
      <c r="F144" s="60">
        <v>130</v>
      </c>
    </row>
    <row r="145" ht="16" customHeight="1" spans="1:6" x14ac:dyDescent="0.25">
      <c r="A145" s="12" t="s">
        <v>251</v>
      </c>
      <c r="B145" s="65">
        <v>28.39</v>
      </c>
      <c r="C145" s="65">
        <v>74.31</v>
      </c>
      <c r="D145" s="65">
        <v>101.62</v>
      </c>
      <c r="E145" s="65">
        <v>128.92</v>
      </c>
      <c r="F145" s="65">
        <v>130</v>
      </c>
    </row>
    <row r="146" ht="16" customHeight="1" spans="1:6" x14ac:dyDescent="0.25">
      <c r="A146" s="29" t="s">
        <v>252</v>
      </c>
      <c r="B146" s="60">
        <v>30.97</v>
      </c>
      <c r="C146" s="60">
        <v>77.44</v>
      </c>
      <c r="D146" s="60">
        <v>106.25</v>
      </c>
      <c r="E146" s="60">
        <v>135.06</v>
      </c>
      <c r="F146" s="60">
        <v>130</v>
      </c>
    </row>
    <row r="147" ht="16" customHeight="1" spans="1:6" x14ac:dyDescent="0.25">
      <c r="A147" s="12" t="s">
        <v>253</v>
      </c>
      <c r="B147" s="65">
        <v>33.55</v>
      </c>
      <c r="C147" s="65">
        <v>80.57</v>
      </c>
      <c r="D147" s="65">
        <v>110.88</v>
      </c>
      <c r="E147" s="65">
        <v>141.2</v>
      </c>
      <c r="F147" s="65">
        <v>130</v>
      </c>
    </row>
    <row r="148" ht="16" customHeight="1" spans="1:6" x14ac:dyDescent="0.25">
      <c r="A148" s="29" t="s">
        <v>254</v>
      </c>
      <c r="B148" s="60">
        <v>36.13</v>
      </c>
      <c r="C148" s="60">
        <v>83.7</v>
      </c>
      <c r="D148" s="60">
        <v>115.52</v>
      </c>
      <c r="E148" s="60">
        <v>147.34</v>
      </c>
      <c r="F148" s="60">
        <v>130</v>
      </c>
    </row>
    <row r="149" ht="16" customHeight="1" spans="1:6" x14ac:dyDescent="0.25">
      <c r="A149" s="12" t="s">
        <v>255</v>
      </c>
      <c r="B149" s="65">
        <v>38.71</v>
      </c>
      <c r="C149" s="65">
        <v>86.82</v>
      </c>
      <c r="D149" s="65">
        <v>120.15</v>
      </c>
      <c r="E149" s="65">
        <v>153.48</v>
      </c>
      <c r="F149" s="65">
        <v>130</v>
      </c>
    </row>
    <row r="150" ht="16" customHeight="1" spans="1:6" x14ac:dyDescent="0.25">
      <c r="A150" s="29" t="s">
        <v>256</v>
      </c>
      <c r="B150" s="60">
        <v>41.29</v>
      </c>
      <c r="C150" s="60">
        <v>89.95</v>
      </c>
      <c r="D150" s="60">
        <v>124.79</v>
      </c>
      <c r="E150" s="60">
        <v>159.63</v>
      </c>
      <c r="F150" s="60">
        <v>130</v>
      </c>
    </row>
    <row r="151" ht="16" customHeight="1" spans="1:6" x14ac:dyDescent="0.25">
      <c r="A151" s="12" t="s">
        <v>257</v>
      </c>
      <c r="B151" s="65">
        <v>43.87</v>
      </c>
      <c r="C151" s="65">
        <v>93.08</v>
      </c>
      <c r="D151" s="65">
        <v>129.42</v>
      </c>
      <c r="E151" s="65">
        <v>165.77</v>
      </c>
      <c r="F151" s="65">
        <v>130</v>
      </c>
    </row>
    <row r="152" ht="16" customHeight="1" spans="1:6" x14ac:dyDescent="0.25">
      <c r="A152" s="29" t="s">
        <v>258</v>
      </c>
      <c r="B152" s="60">
        <v>46.45</v>
      </c>
      <c r="C152" s="60">
        <v>96.21</v>
      </c>
      <c r="D152" s="60">
        <v>134.06</v>
      </c>
      <c r="E152" s="60">
        <v>171.91</v>
      </c>
      <c r="F152" s="60">
        <v>130</v>
      </c>
    </row>
    <row r="153" ht="16" customHeight="1" spans="1:6" x14ac:dyDescent="0.25">
      <c r="A153" s="12" t="s">
        <v>259</v>
      </c>
      <c r="B153" s="65">
        <v>46.58</v>
      </c>
      <c r="C153" s="65">
        <v>96.36</v>
      </c>
      <c r="D153" s="65">
        <v>134.29</v>
      </c>
      <c r="E153" s="65">
        <v>172.22</v>
      </c>
      <c r="F153" s="65">
        <v>130</v>
      </c>
    </row>
    <row r="154" ht="16" customHeight="1" spans="1:6" x14ac:dyDescent="0.25">
      <c r="A154" s="29" t="s">
        <v>260</v>
      </c>
      <c r="B154" s="60">
        <v>49.03</v>
      </c>
      <c r="C154" s="60">
        <v>99.33</v>
      </c>
      <c r="D154" s="60">
        <v>138.69</v>
      </c>
      <c r="E154" s="60">
        <v>178.05</v>
      </c>
      <c r="F154" s="60">
        <v>130</v>
      </c>
    </row>
    <row r="155" ht="16" customHeight="1" spans="1:6" x14ac:dyDescent="0.25">
      <c r="A155" s="12" t="s">
        <v>261</v>
      </c>
      <c r="B155" s="65">
        <v>53.93</v>
      </c>
      <c r="C155" s="65">
        <v>105.28</v>
      </c>
      <c r="D155" s="65">
        <v>147.5</v>
      </c>
      <c r="E155" s="65">
        <v>189.72</v>
      </c>
      <c r="F155" s="65">
        <v>130</v>
      </c>
    </row>
    <row r="156" ht="16" customHeight="1" spans="1:6" x14ac:dyDescent="0.25">
      <c r="A156" s="29" t="s">
        <v>262</v>
      </c>
      <c r="B156" s="60">
        <v>45.8</v>
      </c>
      <c r="C156" s="60">
        <v>97.6</v>
      </c>
      <c r="D156" s="60">
        <v>115.65</v>
      </c>
      <c r="E156" s="60">
        <v>142.39</v>
      </c>
      <c r="F156" s="60">
        <v>130</v>
      </c>
    </row>
    <row r="157" ht="16" customHeight="1" spans="1:6" x14ac:dyDescent="0.25">
      <c r="A157" s="12" t="s">
        <v>263</v>
      </c>
      <c r="B157" s="65">
        <v>46.35</v>
      </c>
      <c r="C157" s="65">
        <v>98.27</v>
      </c>
      <c r="D157" s="65">
        <v>116.64</v>
      </c>
      <c r="E157" s="65">
        <v>143.7</v>
      </c>
      <c r="F157" s="65">
        <v>130</v>
      </c>
    </row>
    <row r="158" ht="16" customHeight="1" spans="1:6" x14ac:dyDescent="0.25">
      <c r="A158" s="29" t="s">
        <v>264</v>
      </c>
      <c r="B158" s="60">
        <v>46.65</v>
      </c>
      <c r="C158" s="60">
        <v>98.64</v>
      </c>
      <c r="D158" s="60">
        <v>117.18</v>
      </c>
      <c r="E158" s="60">
        <v>144.43</v>
      </c>
      <c r="F158" s="60">
        <v>130</v>
      </c>
    </row>
    <row r="159" ht="16" customHeight="1" spans="1:6" x14ac:dyDescent="0.25">
      <c r="A159" s="12" t="s">
        <v>265</v>
      </c>
      <c r="B159" s="65">
        <v>46.99</v>
      </c>
      <c r="C159" s="65">
        <v>99.04</v>
      </c>
      <c r="D159" s="65">
        <v>117.78</v>
      </c>
      <c r="E159" s="65">
        <v>145.22</v>
      </c>
      <c r="F159" s="65">
        <v>130</v>
      </c>
    </row>
    <row r="160" ht="16" customHeight="1" spans="1:6" x14ac:dyDescent="0.25">
      <c r="A160" s="29" t="s">
        <v>266</v>
      </c>
      <c r="B160" s="60">
        <v>48.04</v>
      </c>
      <c r="C160" s="60">
        <v>100.32</v>
      </c>
      <c r="D160" s="60">
        <v>119.67</v>
      </c>
      <c r="E160" s="60">
        <v>147.73</v>
      </c>
      <c r="F160" s="60">
        <v>130</v>
      </c>
    </row>
    <row r="161" ht="16" customHeight="1" spans="1:6" x14ac:dyDescent="0.25">
      <c r="A161" s="12" t="s">
        <v>267</v>
      </c>
      <c r="B161" s="65">
        <v>49.94</v>
      </c>
      <c r="C161" s="65">
        <v>102.62</v>
      </c>
      <c r="D161" s="65">
        <v>123.08</v>
      </c>
      <c r="E161" s="65">
        <v>152.25</v>
      </c>
      <c r="F161" s="65">
        <v>130</v>
      </c>
    </row>
    <row r="162" ht="16" customHeight="1" spans="1:6" x14ac:dyDescent="0.25">
      <c r="A162" s="84"/>
      <c r="B162" s="15"/>
      <c r="C162" s="15"/>
      <c r="D162" s="15"/>
      <c r="E162" s="15"/>
      <c r="F162" s="15"/>
    </row>
    <row r="163" ht="16" customHeight="1" spans="1:6" x14ac:dyDescent="0.25">
      <c r="A163" s="85" t="s">
        <v>268</v>
      </c>
      <c r="B163" s="85"/>
      <c r="C163" s="85"/>
      <c r="D163" s="85"/>
      <c r="E163" s="85"/>
      <c r="F163" s="85"/>
    </row>
    <row r="164" ht="16" customHeight="1" spans="1:6" x14ac:dyDescent="0.25">
      <c r="A164" s="24" t="s">
        <v>87</v>
      </c>
      <c r="B164" s="24" t="s">
        <v>269</v>
      </c>
      <c r="C164" s="24" t="s">
        <v>270</v>
      </c>
      <c r="D164" s="24" t="s">
        <v>271</v>
      </c>
      <c r="E164" s="24" t="s">
        <v>272</v>
      </c>
      <c r="F164" s="24" t="s">
        <v>273</v>
      </c>
    </row>
    <row r="165" ht="16" customHeight="1" spans="1:6" x14ac:dyDescent="0.25">
      <c r="A165" s="12" t="s">
        <v>94</v>
      </c>
      <c r="B165" s="6" t="s">
        <v>274</v>
      </c>
      <c r="C165" s="65">
        <v>496</v>
      </c>
      <c r="D165" s="65">
        <v>1488</v>
      </c>
      <c r="E165" s="65">
        <v>4464</v>
      </c>
      <c r="F165" s="86"/>
    </row>
    <row r="166" ht="16" customHeight="1" spans="1:6" x14ac:dyDescent="0.25">
      <c r="A166" s="29" t="s">
        <v>96</v>
      </c>
      <c r="B166" s="9" t="s">
        <v>274</v>
      </c>
      <c r="C166" s="60">
        <v>68</v>
      </c>
      <c r="D166" s="60">
        <v>204</v>
      </c>
      <c r="E166" s="60">
        <v>612</v>
      </c>
      <c r="F166" s="20"/>
    </row>
    <row r="167" ht="16" customHeight="1" spans="1:6" x14ac:dyDescent="0.25">
      <c r="A167" s="12" t="s">
        <v>97</v>
      </c>
      <c r="B167" s="6" t="s">
        <v>274</v>
      </c>
      <c r="C167" s="65">
        <v>104</v>
      </c>
      <c r="D167" s="65">
        <v>312</v>
      </c>
      <c r="E167" s="65">
        <v>936</v>
      </c>
      <c r="F167" s="86"/>
    </row>
    <row r="168" ht="16" customHeight="1" spans="1:6" x14ac:dyDescent="0.25">
      <c r="A168" s="29" t="s">
        <v>98</v>
      </c>
      <c r="B168" s="9" t="s">
        <v>275</v>
      </c>
      <c r="C168" s="60">
        <v>1160</v>
      </c>
      <c r="D168" s="60">
        <v>3480</v>
      </c>
      <c r="E168" s="60">
        <v>10440</v>
      </c>
      <c r="F168" s="20"/>
    </row>
  </sheetData>
  <sheetProtection sheet="1"/>
  <mergeCells count="4">
    <mergeCell ref="A1:F1"/>
    <mergeCell ref="A2:F2"/>
    <mergeCell ref="A3:F3"/>
    <mergeCell ref="A163:F16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L137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11" max="11" width="11" customWidth="1"/>
    <col min="12" max="16384" width="9" hidden="1" customWidth="1"/>
  </cols>
  <sheetData>
    <row r="1" ht="22" customHeight="1" spans="1:12" x14ac:dyDescent="0.25">
      <c r="A1" s="1" t="s">
        <v>120</v>
      </c>
      <c r="B1" s="87" t="s">
        <v>211</v>
      </c>
      <c r="C1" s="87" t="s">
        <v>218</v>
      </c>
      <c r="D1" s="88"/>
      <c r="E1" s="87" t="s">
        <v>211</v>
      </c>
      <c r="F1" s="87" t="s">
        <v>276</v>
      </c>
      <c r="G1" s="87" t="s">
        <v>277</v>
      </c>
      <c r="H1" s="87" t="s">
        <v>278</v>
      </c>
      <c r="I1" s="87" t="s">
        <v>26</v>
      </c>
      <c r="J1" s="87" t="s">
        <v>99</v>
      </c>
      <c r="K1" s="87" t="s">
        <v>120</v>
      </c>
      <c r="L1" s="87" t="s">
        <v>56</v>
      </c>
    </row>
    <row r="2" ht="16" customHeight="1" spans="1:12" x14ac:dyDescent="0.25">
      <c r="A2" s="2" t="s">
        <v>121</v>
      </c>
      <c r="B2" s="89" t="s">
        <v>212</v>
      </c>
      <c r="C2" s="89" t="s">
        <v>219</v>
      </c>
      <c r="D2" s="90"/>
      <c r="E2" s="89" t="s">
        <v>212</v>
      </c>
      <c r="F2" s="89" t="s">
        <v>279</v>
      </c>
      <c r="G2" s="89" t="s">
        <v>280</v>
      </c>
      <c r="H2" s="89" t="s">
        <v>281</v>
      </c>
      <c r="I2" s="89" t="s">
        <v>30</v>
      </c>
      <c r="J2" s="89" t="s">
        <v>282</v>
      </c>
      <c r="K2" s="89" t="s">
        <v>283</v>
      </c>
      <c r="L2" s="89" t="s">
        <v>284</v>
      </c>
    </row>
    <row r="3" ht="16" customHeight="1" spans="1:12" x14ac:dyDescent="0.25">
      <c r="A3" s="3" t="s">
        <v>122</v>
      </c>
      <c r="B3" s="91" t="s">
        <v>213</v>
      </c>
      <c r="C3" s="91" t="s">
        <v>220</v>
      </c>
      <c r="D3" s="92"/>
      <c r="E3" s="91" t="s">
        <v>213</v>
      </c>
      <c r="F3" s="91" t="s">
        <v>285</v>
      </c>
      <c r="G3" s="91" t="s">
        <v>286</v>
      </c>
      <c r="H3" s="91" t="s">
        <v>287</v>
      </c>
      <c r="I3" s="92"/>
      <c r="J3" s="91" t="s">
        <v>95</v>
      </c>
      <c r="K3" s="91" t="s">
        <v>288</v>
      </c>
      <c r="L3" s="91" t="s">
        <v>289</v>
      </c>
    </row>
    <row r="4" ht="6" customHeight="1" spans="1:12" x14ac:dyDescent="0.25">
      <c r="A4" s="93" t="s">
        <v>123</v>
      </c>
      <c r="B4" s="93" t="s">
        <v>214</v>
      </c>
      <c r="C4" s="93" t="s">
        <v>221</v>
      </c>
      <c r="D4" s="23"/>
      <c r="E4" s="93" t="s">
        <v>214</v>
      </c>
      <c r="F4" s="93" t="s">
        <v>290</v>
      </c>
      <c r="G4" s="93" t="s">
        <v>291</v>
      </c>
      <c r="H4" s="93" t="s">
        <v>292</v>
      </c>
      <c r="I4" s="23"/>
      <c r="J4" s="23"/>
      <c r="K4" s="93" t="s">
        <v>293</v>
      </c>
      <c r="L4" s="23"/>
    </row>
    <row r="5" ht="6" customHeight="1" spans="1:12" x14ac:dyDescent="0.25">
      <c r="A5" s="93" t="s">
        <v>124</v>
      </c>
      <c r="B5" s="93" t="s">
        <v>215</v>
      </c>
      <c r="C5" s="93" t="s">
        <v>222</v>
      </c>
      <c r="D5" s="23"/>
      <c r="E5" s="93" t="s">
        <v>215</v>
      </c>
      <c r="F5" s="23"/>
      <c r="G5" s="23"/>
      <c r="H5" s="93" t="s">
        <v>294</v>
      </c>
      <c r="I5" s="23"/>
      <c r="J5" s="23"/>
      <c r="K5" s="93" t="s">
        <v>295</v>
      </c>
      <c r="L5" s="23"/>
    </row>
    <row r="6" ht="20" customHeight="1" spans="1:12" x14ac:dyDescent="0.25">
      <c r="A6" s="24" t="s">
        <v>125</v>
      </c>
      <c r="B6" s="24" t="s">
        <v>216</v>
      </c>
      <c r="C6" s="24" t="s">
        <v>223</v>
      </c>
      <c r="D6" s="94"/>
      <c r="E6" s="24" t="s">
        <v>216</v>
      </c>
      <c r="F6" s="94"/>
      <c r="G6" s="94"/>
      <c r="H6" s="94"/>
      <c r="I6" s="94"/>
      <c r="J6" s="94"/>
      <c r="K6" s="24" t="s">
        <v>296</v>
      </c>
      <c r="L6" s="94"/>
    </row>
    <row r="7" ht="16" customHeight="1" spans="1:12" x14ac:dyDescent="0.25">
      <c r="A7" s="12" t="s">
        <v>126</v>
      </c>
      <c r="B7" s="6" t="s">
        <v>217</v>
      </c>
      <c r="C7" s="6" t="s">
        <v>224</v>
      </c>
      <c r="D7" s="86"/>
      <c r="E7" s="6" t="s">
        <v>217</v>
      </c>
      <c r="F7" s="86"/>
      <c r="G7" s="86"/>
      <c r="H7" s="86"/>
      <c r="I7" s="86"/>
      <c r="J7" s="86"/>
      <c r="K7" s="6" t="s">
        <v>297</v>
      </c>
      <c r="L7" s="86"/>
    </row>
    <row r="8" ht="16" customHeight="1" spans="1:12" x14ac:dyDescent="0.25">
      <c r="A8" s="29" t="s">
        <v>127</v>
      </c>
      <c r="B8" s="20"/>
      <c r="C8" s="9" t="s">
        <v>225</v>
      </c>
      <c r="D8" s="20"/>
      <c r="E8" s="9" t="s">
        <v>218</v>
      </c>
      <c r="F8" s="20"/>
      <c r="G8" s="20"/>
      <c r="H8" s="20"/>
      <c r="I8" s="20"/>
      <c r="J8" s="20"/>
      <c r="K8" s="9" t="s">
        <v>298</v>
      </c>
      <c r="L8" s="20"/>
    </row>
    <row r="9" ht="16" customHeight="1" spans="1:12" x14ac:dyDescent="0.25">
      <c r="A9" s="12" t="s">
        <v>128</v>
      </c>
      <c r="B9" s="86"/>
      <c r="C9" s="6" t="s">
        <v>85</v>
      </c>
      <c r="D9" s="86"/>
      <c r="E9" s="6" t="s">
        <v>219</v>
      </c>
      <c r="F9" s="86"/>
      <c r="G9" s="86"/>
      <c r="H9" s="86"/>
      <c r="I9" s="86"/>
      <c r="J9" s="86"/>
      <c r="K9" s="6" t="s">
        <v>299</v>
      </c>
      <c r="L9" s="86"/>
    </row>
    <row r="10" ht="16" customHeight="1" spans="1:12" x14ac:dyDescent="0.25">
      <c r="A10" s="29" t="s">
        <v>129</v>
      </c>
      <c r="B10" s="20"/>
      <c r="C10" s="9" t="s">
        <v>226</v>
      </c>
      <c r="D10" s="20"/>
      <c r="E10" s="9" t="s">
        <v>220</v>
      </c>
      <c r="F10" s="20"/>
      <c r="G10" s="20"/>
      <c r="H10" s="20"/>
      <c r="I10" s="20"/>
      <c r="J10" s="20"/>
      <c r="K10" s="9" t="s">
        <v>300</v>
      </c>
      <c r="L10" s="20"/>
    </row>
    <row r="11" ht="16" customHeight="1" spans="1:12" x14ac:dyDescent="0.25">
      <c r="A11" s="12" t="s">
        <v>130</v>
      </c>
      <c r="B11" s="86"/>
      <c r="C11" s="6" t="s">
        <v>227</v>
      </c>
      <c r="D11" s="86"/>
      <c r="E11" s="6" t="s">
        <v>221</v>
      </c>
      <c r="F11" s="86"/>
      <c r="G11" s="86"/>
      <c r="H11" s="86"/>
      <c r="I11" s="86"/>
      <c r="J11" s="86"/>
      <c r="K11" s="6" t="s">
        <v>301</v>
      </c>
      <c r="L11" s="86"/>
    </row>
    <row r="12" ht="16" customHeight="1" spans="1:12" x14ac:dyDescent="0.25">
      <c r="A12" s="29" t="s">
        <v>131</v>
      </c>
      <c r="B12" s="20"/>
      <c r="C12" s="9" t="s">
        <v>228</v>
      </c>
      <c r="D12" s="20"/>
      <c r="E12" s="9" t="s">
        <v>222</v>
      </c>
      <c r="F12" s="20"/>
      <c r="G12" s="20"/>
      <c r="H12" s="20"/>
      <c r="I12" s="20"/>
      <c r="J12" s="20"/>
      <c r="K12" s="9" t="s">
        <v>302</v>
      </c>
      <c r="L12" s="20"/>
    </row>
    <row r="13" ht="16" customHeight="1" spans="1:12" x14ac:dyDescent="0.25">
      <c r="A13" s="12" t="s">
        <v>132</v>
      </c>
      <c r="B13" s="86"/>
      <c r="C13" s="6" t="s">
        <v>229</v>
      </c>
      <c r="D13" s="86"/>
      <c r="E13" s="6" t="s">
        <v>223</v>
      </c>
      <c r="F13" s="86"/>
      <c r="G13" s="86"/>
      <c r="H13" s="86"/>
      <c r="I13" s="86"/>
      <c r="J13" s="86"/>
      <c r="K13" s="6" t="s">
        <v>303</v>
      </c>
      <c r="L13" s="86"/>
    </row>
    <row r="14" ht="16" customHeight="1" spans="1:12" x14ac:dyDescent="0.25">
      <c r="A14" s="29" t="s">
        <v>133</v>
      </c>
      <c r="B14" s="20"/>
      <c r="C14" s="9" t="s">
        <v>230</v>
      </c>
      <c r="D14" s="20"/>
      <c r="E14" s="9" t="s">
        <v>224</v>
      </c>
      <c r="F14" s="20"/>
      <c r="G14" s="20"/>
      <c r="H14" s="20"/>
      <c r="I14" s="20"/>
      <c r="J14" s="20"/>
      <c r="K14" s="9" t="s">
        <v>304</v>
      </c>
      <c r="L14" s="20"/>
    </row>
    <row r="15" ht="16" customHeight="1" spans="1:12" x14ac:dyDescent="0.25">
      <c r="A15" s="12" t="s">
        <v>134</v>
      </c>
      <c r="B15" s="86"/>
      <c r="C15" s="6" t="s">
        <v>231</v>
      </c>
      <c r="D15" s="86"/>
      <c r="E15" s="6" t="s">
        <v>225</v>
      </c>
      <c r="F15" s="86"/>
      <c r="G15" s="86"/>
      <c r="H15" s="86"/>
      <c r="I15" s="86"/>
      <c r="J15" s="86"/>
      <c r="K15" s="6" t="s">
        <v>305</v>
      </c>
      <c r="L15" s="86"/>
    </row>
    <row r="16" ht="16" customHeight="1" spans="1:12" x14ac:dyDescent="0.25">
      <c r="A16" s="29" t="s">
        <v>135</v>
      </c>
      <c r="B16" s="20"/>
      <c r="C16" s="9" t="s">
        <v>232</v>
      </c>
      <c r="D16" s="20"/>
      <c r="E16" s="9" t="s">
        <v>85</v>
      </c>
      <c r="F16" s="20"/>
      <c r="G16" s="20"/>
      <c r="H16" s="20"/>
      <c r="I16" s="20"/>
      <c r="J16" s="20"/>
      <c r="K16" s="9" t="s">
        <v>64</v>
      </c>
      <c r="L16" s="20"/>
    </row>
    <row r="17" ht="16" customHeight="1" spans="1:12" x14ac:dyDescent="0.25">
      <c r="A17" s="12" t="s">
        <v>136</v>
      </c>
      <c r="B17" s="86"/>
      <c r="C17" s="6" t="s">
        <v>233</v>
      </c>
      <c r="D17" s="86"/>
      <c r="E17" s="6" t="s">
        <v>226</v>
      </c>
      <c r="F17" s="86"/>
      <c r="G17" s="86"/>
      <c r="H17" s="86"/>
      <c r="I17" s="86"/>
      <c r="J17" s="86"/>
      <c r="K17" s="6" t="s">
        <v>306</v>
      </c>
      <c r="L17" s="86"/>
    </row>
    <row r="18" ht="16" customHeight="1" spans="1:12" x14ac:dyDescent="0.25">
      <c r="A18" s="29" t="s">
        <v>137</v>
      </c>
      <c r="B18" s="20"/>
      <c r="C18" s="9" t="s">
        <v>234</v>
      </c>
      <c r="D18" s="20"/>
      <c r="E18" s="9" t="s">
        <v>227</v>
      </c>
      <c r="F18" s="20"/>
      <c r="G18" s="20"/>
      <c r="H18" s="20"/>
      <c r="I18" s="20"/>
      <c r="J18" s="20"/>
      <c r="K18" s="9" t="s">
        <v>138</v>
      </c>
      <c r="L18" s="20"/>
    </row>
    <row r="19" ht="16" customHeight="1" spans="1:12" x14ac:dyDescent="0.25">
      <c r="A19" s="12" t="s">
        <v>64</v>
      </c>
      <c r="B19" s="86"/>
      <c r="C19" s="6" t="s">
        <v>235</v>
      </c>
      <c r="D19" s="86"/>
      <c r="E19" s="6" t="s">
        <v>228</v>
      </c>
      <c r="F19" s="86"/>
      <c r="G19" s="86"/>
      <c r="H19" s="86"/>
      <c r="I19" s="86"/>
      <c r="J19" s="86"/>
      <c r="K19" s="6" t="s">
        <v>66</v>
      </c>
      <c r="L19" s="86"/>
    </row>
    <row r="20" ht="16" customHeight="1" spans="1:12" x14ac:dyDescent="0.25">
      <c r="A20" s="29" t="s">
        <v>138</v>
      </c>
      <c r="B20" s="20"/>
      <c r="C20" s="9" t="s">
        <v>236</v>
      </c>
      <c r="D20" s="20"/>
      <c r="E20" s="9" t="s">
        <v>229</v>
      </c>
      <c r="F20" s="20"/>
      <c r="G20" s="20"/>
      <c r="H20" s="20"/>
      <c r="I20" s="20"/>
      <c r="J20" s="20"/>
      <c r="K20" s="9" t="s">
        <v>144</v>
      </c>
      <c r="L20" s="20"/>
    </row>
    <row r="21" ht="16" customHeight="1" spans="1:12" x14ac:dyDescent="0.25">
      <c r="A21" s="12" t="s">
        <v>139</v>
      </c>
      <c r="B21" s="86"/>
      <c r="C21" s="6" t="s">
        <v>237</v>
      </c>
      <c r="D21" s="86"/>
      <c r="E21" s="6" t="s">
        <v>230</v>
      </c>
      <c r="F21" s="86"/>
      <c r="G21" s="86"/>
      <c r="H21" s="86"/>
      <c r="I21" s="86"/>
      <c r="J21" s="86"/>
      <c r="K21" s="6" t="s">
        <v>307</v>
      </c>
      <c r="L21" s="86"/>
    </row>
    <row r="22" ht="16" customHeight="1" spans="1:12" x14ac:dyDescent="0.25">
      <c r="A22" s="29" t="s">
        <v>140</v>
      </c>
      <c r="B22" s="20"/>
      <c r="C22" s="9" t="s">
        <v>238</v>
      </c>
      <c r="D22" s="20"/>
      <c r="E22" s="9" t="s">
        <v>231</v>
      </c>
      <c r="F22" s="20"/>
      <c r="G22" s="20"/>
      <c r="H22" s="20"/>
      <c r="I22" s="20"/>
      <c r="J22" s="20"/>
      <c r="K22" s="9" t="s">
        <v>308</v>
      </c>
      <c r="L22" s="20"/>
    </row>
    <row r="23" ht="16" customHeight="1" spans="1:12" x14ac:dyDescent="0.25">
      <c r="A23" s="12" t="s">
        <v>141</v>
      </c>
      <c r="B23" s="86"/>
      <c r="C23" s="6" t="s">
        <v>239</v>
      </c>
      <c r="D23" s="86"/>
      <c r="E23" s="6" t="s">
        <v>232</v>
      </c>
      <c r="F23" s="86"/>
      <c r="G23" s="86"/>
      <c r="H23" s="86"/>
      <c r="I23" s="86"/>
      <c r="J23" s="86"/>
      <c r="K23" s="6" t="s">
        <v>309</v>
      </c>
      <c r="L23" s="86"/>
    </row>
    <row r="24" ht="16" customHeight="1" spans="1:12" x14ac:dyDescent="0.25">
      <c r="A24" s="29" t="s">
        <v>142</v>
      </c>
      <c r="B24" s="20"/>
      <c r="C24" s="9" t="s">
        <v>240</v>
      </c>
      <c r="D24" s="20"/>
      <c r="E24" s="9" t="s">
        <v>233</v>
      </c>
      <c r="F24" s="20"/>
      <c r="G24" s="20"/>
      <c r="H24" s="20"/>
      <c r="I24" s="20"/>
      <c r="J24" s="20"/>
      <c r="K24" s="9" t="s">
        <v>310</v>
      </c>
      <c r="L24" s="20"/>
    </row>
    <row r="25" ht="16" customHeight="1" spans="1:12" x14ac:dyDescent="0.25">
      <c r="A25" s="12" t="s">
        <v>143</v>
      </c>
      <c r="B25" s="86"/>
      <c r="C25" s="6" t="s">
        <v>241</v>
      </c>
      <c r="D25" s="86"/>
      <c r="E25" s="6" t="s">
        <v>234</v>
      </c>
      <c r="F25" s="86"/>
      <c r="G25" s="86"/>
      <c r="H25" s="86"/>
      <c r="I25" s="86"/>
      <c r="J25" s="86"/>
      <c r="K25" s="6" t="s">
        <v>311</v>
      </c>
      <c r="L25" s="86"/>
    </row>
    <row r="26" ht="16" customHeight="1" spans="1:12" x14ac:dyDescent="0.25">
      <c r="A26" s="29" t="s">
        <v>144</v>
      </c>
      <c r="B26" s="20"/>
      <c r="C26" s="9" t="s">
        <v>242</v>
      </c>
      <c r="D26" s="20"/>
      <c r="E26" s="9" t="s">
        <v>235</v>
      </c>
      <c r="F26" s="20"/>
      <c r="G26" s="20"/>
      <c r="H26" s="20"/>
      <c r="I26" s="20"/>
      <c r="J26" s="20"/>
      <c r="K26" s="9" t="s">
        <v>312</v>
      </c>
      <c r="L26" s="20"/>
    </row>
    <row r="27" ht="16" customHeight="1" spans="1:12" x14ac:dyDescent="0.25">
      <c r="A27" s="12" t="s">
        <v>145</v>
      </c>
      <c r="B27" s="86"/>
      <c r="C27" s="6" t="s">
        <v>243</v>
      </c>
      <c r="D27" s="86"/>
      <c r="E27" s="6" t="s">
        <v>236</v>
      </c>
      <c r="F27" s="86"/>
      <c r="G27" s="86"/>
      <c r="H27" s="86"/>
      <c r="I27" s="86"/>
      <c r="J27" s="86"/>
      <c r="K27" s="6" t="s">
        <v>313</v>
      </c>
      <c r="L27" s="86"/>
    </row>
    <row r="28" ht="16" customHeight="1" spans="1:12" x14ac:dyDescent="0.25">
      <c r="A28" s="29" t="s">
        <v>146</v>
      </c>
      <c r="B28" s="20"/>
      <c r="C28" s="9" t="s">
        <v>244</v>
      </c>
      <c r="D28" s="20"/>
      <c r="E28" s="9" t="s">
        <v>237</v>
      </c>
      <c r="F28" s="20"/>
      <c r="G28" s="20"/>
      <c r="H28" s="20"/>
      <c r="I28" s="20"/>
      <c r="J28" s="20"/>
      <c r="K28" s="9" t="s">
        <v>314</v>
      </c>
      <c r="L28" s="20"/>
    </row>
    <row r="29" ht="16" customHeight="1" spans="1:12" x14ac:dyDescent="0.25">
      <c r="A29" s="12" t="s">
        <v>147</v>
      </c>
      <c r="B29" s="86"/>
      <c r="C29" s="6" t="s">
        <v>245</v>
      </c>
      <c r="D29" s="86"/>
      <c r="E29" s="6" t="s">
        <v>238</v>
      </c>
      <c r="F29" s="86"/>
      <c r="G29" s="86"/>
      <c r="H29" s="86"/>
      <c r="I29" s="86"/>
      <c r="J29" s="86"/>
      <c r="K29" s="6" t="s">
        <v>315</v>
      </c>
      <c r="L29" s="86"/>
    </row>
    <row r="30" ht="16" customHeight="1" spans="1:12" x14ac:dyDescent="0.25">
      <c r="A30" s="29" t="s">
        <v>148</v>
      </c>
      <c r="B30" s="20"/>
      <c r="C30" s="9" t="s">
        <v>246</v>
      </c>
      <c r="D30" s="20"/>
      <c r="E30" s="9" t="s">
        <v>239</v>
      </c>
      <c r="F30" s="20"/>
      <c r="G30" s="20"/>
      <c r="H30" s="20"/>
      <c r="I30" s="20"/>
      <c r="J30" s="20"/>
      <c r="K30" s="9" t="s">
        <v>316</v>
      </c>
      <c r="L30" s="20"/>
    </row>
    <row r="31" ht="16" customHeight="1" spans="1:12" x14ac:dyDescent="0.25">
      <c r="A31" s="12" t="s">
        <v>149</v>
      </c>
      <c r="B31" s="86"/>
      <c r="C31" s="6" t="s">
        <v>247</v>
      </c>
      <c r="D31" s="86"/>
      <c r="E31" s="6" t="s">
        <v>240</v>
      </c>
      <c r="F31" s="86"/>
      <c r="G31" s="86"/>
      <c r="H31" s="86"/>
      <c r="I31" s="86"/>
      <c r="J31" s="86"/>
      <c r="K31" s="6" t="s">
        <v>317</v>
      </c>
      <c r="L31" s="86"/>
    </row>
    <row r="32" ht="16" customHeight="1" spans="1:12" x14ac:dyDescent="0.25">
      <c r="A32" s="29" t="s">
        <v>150</v>
      </c>
      <c r="B32" s="20"/>
      <c r="C32" s="9" t="s">
        <v>248</v>
      </c>
      <c r="D32" s="20"/>
      <c r="E32" s="9" t="s">
        <v>241</v>
      </c>
      <c r="F32" s="20"/>
      <c r="G32" s="20"/>
      <c r="H32" s="20"/>
      <c r="I32" s="20"/>
      <c r="J32" s="20"/>
      <c r="K32" s="9" t="s">
        <v>318</v>
      </c>
      <c r="L32" s="20"/>
    </row>
    <row r="33" ht="16" customHeight="1" spans="1:12" x14ac:dyDescent="0.25">
      <c r="A33" s="12" t="s">
        <v>151</v>
      </c>
      <c r="B33" s="86"/>
      <c r="C33" s="6" t="s">
        <v>249</v>
      </c>
      <c r="D33" s="86"/>
      <c r="E33" s="6" t="s">
        <v>242</v>
      </c>
      <c r="F33" s="86"/>
      <c r="G33" s="86"/>
      <c r="H33" s="86"/>
      <c r="I33" s="86"/>
      <c r="J33" s="86"/>
      <c r="K33" s="6" t="s">
        <v>319</v>
      </c>
      <c r="L33" s="86"/>
    </row>
    <row r="34" ht="16" customHeight="1" spans="1:12" x14ac:dyDescent="0.25">
      <c r="A34" s="29" t="s">
        <v>152</v>
      </c>
      <c r="B34" s="20"/>
      <c r="C34" s="9" t="s">
        <v>250</v>
      </c>
      <c r="D34" s="20"/>
      <c r="E34" s="9" t="s">
        <v>243</v>
      </c>
      <c r="F34" s="20"/>
      <c r="G34" s="20"/>
      <c r="H34" s="20"/>
      <c r="I34" s="20"/>
      <c r="J34" s="20"/>
      <c r="K34" s="9" t="s">
        <v>320</v>
      </c>
      <c r="L34" s="20"/>
    </row>
    <row r="35" ht="16" customHeight="1" spans="1:12" x14ac:dyDescent="0.25">
      <c r="A35" s="12" t="s">
        <v>153</v>
      </c>
      <c r="B35" s="86"/>
      <c r="C35" s="6" t="s">
        <v>251</v>
      </c>
      <c r="D35" s="86"/>
      <c r="E35" s="6" t="s">
        <v>244</v>
      </c>
      <c r="F35" s="86"/>
      <c r="G35" s="86"/>
      <c r="H35" s="86"/>
      <c r="I35" s="86"/>
      <c r="J35" s="86"/>
      <c r="K35" s="6" t="s">
        <v>321</v>
      </c>
      <c r="L35" s="86"/>
    </row>
    <row r="36" ht="16" customHeight="1" spans="1:12" x14ac:dyDescent="0.25">
      <c r="A36" s="29" t="s">
        <v>154</v>
      </c>
      <c r="B36" s="20"/>
      <c r="C36" s="9" t="s">
        <v>252</v>
      </c>
      <c r="D36" s="20"/>
      <c r="E36" s="9" t="s">
        <v>245</v>
      </c>
      <c r="F36" s="20"/>
      <c r="G36" s="20"/>
      <c r="H36" s="20"/>
      <c r="I36" s="20"/>
      <c r="J36" s="20"/>
      <c r="K36" s="9" t="s">
        <v>322</v>
      </c>
      <c r="L36" s="20"/>
    </row>
    <row r="37" ht="16" customHeight="1" spans="1:12" x14ac:dyDescent="0.25">
      <c r="A37" s="12" t="s">
        <v>155</v>
      </c>
      <c r="B37" s="86"/>
      <c r="C37" s="6" t="s">
        <v>253</v>
      </c>
      <c r="D37" s="86"/>
      <c r="E37" s="6" t="s">
        <v>246</v>
      </c>
      <c r="F37" s="86"/>
      <c r="G37" s="86"/>
      <c r="H37" s="86"/>
      <c r="I37" s="86"/>
      <c r="J37" s="86"/>
      <c r="K37" s="6" t="s">
        <v>323</v>
      </c>
      <c r="L37" s="86"/>
    </row>
    <row r="38" ht="16" customHeight="1" spans="1:12" x14ac:dyDescent="0.25">
      <c r="A38" s="29" t="s">
        <v>156</v>
      </c>
      <c r="B38" s="20"/>
      <c r="C38" s="9" t="s">
        <v>254</v>
      </c>
      <c r="D38" s="20"/>
      <c r="E38" s="9" t="s">
        <v>247</v>
      </c>
      <c r="F38" s="20"/>
      <c r="G38" s="20"/>
      <c r="H38" s="20"/>
      <c r="I38" s="20"/>
      <c r="J38" s="20"/>
      <c r="K38" s="9" t="s">
        <v>324</v>
      </c>
      <c r="L38" s="20"/>
    </row>
    <row r="39" ht="16" customHeight="1" spans="1:12" x14ac:dyDescent="0.25">
      <c r="A39" s="12" t="s">
        <v>157</v>
      </c>
      <c r="B39" s="86"/>
      <c r="C39" s="6" t="s">
        <v>255</v>
      </c>
      <c r="D39" s="86"/>
      <c r="E39" s="6" t="s">
        <v>248</v>
      </c>
      <c r="F39" s="86"/>
      <c r="G39" s="86"/>
      <c r="H39" s="86"/>
      <c r="I39" s="86"/>
      <c r="J39" s="86"/>
      <c r="K39" s="6" t="s">
        <v>325</v>
      </c>
      <c r="L39" s="86"/>
    </row>
    <row r="40" ht="16" customHeight="1" spans="1:12" x14ac:dyDescent="0.25">
      <c r="A40" s="29" t="s">
        <v>158</v>
      </c>
      <c r="B40" s="20"/>
      <c r="C40" s="9" t="s">
        <v>256</v>
      </c>
      <c r="D40" s="20"/>
      <c r="E40" s="9" t="s">
        <v>249</v>
      </c>
      <c r="F40" s="20"/>
      <c r="G40" s="20"/>
      <c r="H40" s="20"/>
      <c r="I40" s="20"/>
      <c r="J40" s="20"/>
      <c r="K40" s="9" t="s">
        <v>326</v>
      </c>
      <c r="L40" s="20"/>
    </row>
    <row r="41" ht="16" customHeight="1" spans="1:12" x14ac:dyDescent="0.25">
      <c r="A41" s="12" t="s">
        <v>159</v>
      </c>
      <c r="B41" s="86"/>
      <c r="C41" s="6" t="s">
        <v>257</v>
      </c>
      <c r="D41" s="86"/>
      <c r="E41" s="6" t="s">
        <v>250</v>
      </c>
      <c r="F41" s="86"/>
      <c r="G41" s="86"/>
      <c r="H41" s="86"/>
      <c r="I41" s="86"/>
      <c r="J41" s="86"/>
      <c r="K41" s="6" t="s">
        <v>327</v>
      </c>
      <c r="L41" s="86"/>
    </row>
    <row r="42" ht="16" customHeight="1" spans="1:12" x14ac:dyDescent="0.25">
      <c r="A42" s="29" t="s">
        <v>160</v>
      </c>
      <c r="B42" s="20"/>
      <c r="C42" s="9" t="s">
        <v>258</v>
      </c>
      <c r="D42" s="20"/>
      <c r="E42" s="9" t="s">
        <v>251</v>
      </c>
      <c r="F42" s="20"/>
      <c r="G42" s="20"/>
      <c r="H42" s="20"/>
      <c r="I42" s="20"/>
      <c r="J42" s="20"/>
      <c r="K42" s="9" t="s">
        <v>328</v>
      </c>
      <c r="L42" s="20"/>
    </row>
    <row r="43" ht="16" customHeight="1" spans="1:12" x14ac:dyDescent="0.25">
      <c r="A43" s="12" t="s">
        <v>161</v>
      </c>
      <c r="B43" s="86"/>
      <c r="C43" s="6" t="s">
        <v>259</v>
      </c>
      <c r="D43" s="86"/>
      <c r="E43" s="6" t="s">
        <v>252</v>
      </c>
      <c r="F43" s="86"/>
      <c r="G43" s="86"/>
      <c r="H43" s="86"/>
      <c r="I43" s="86"/>
      <c r="J43" s="86"/>
      <c r="K43" s="6" t="s">
        <v>329</v>
      </c>
      <c r="L43" s="86"/>
    </row>
    <row r="44" ht="16" customHeight="1" spans="1:12" x14ac:dyDescent="0.25">
      <c r="A44" s="29" t="s">
        <v>162</v>
      </c>
      <c r="B44" s="20"/>
      <c r="C44" s="9" t="s">
        <v>260</v>
      </c>
      <c r="D44" s="20"/>
      <c r="E44" s="9" t="s">
        <v>253</v>
      </c>
      <c r="F44" s="20"/>
      <c r="G44" s="20"/>
      <c r="H44" s="20"/>
      <c r="I44" s="20"/>
      <c r="J44" s="20"/>
      <c r="K44" s="9" t="s">
        <v>330</v>
      </c>
      <c r="L44" s="20"/>
    </row>
    <row r="45" ht="16" customHeight="1" spans="1:12" x14ac:dyDescent="0.25">
      <c r="A45" s="12" t="s">
        <v>163</v>
      </c>
      <c r="B45" s="86"/>
      <c r="C45" s="6" t="s">
        <v>261</v>
      </c>
      <c r="D45" s="86"/>
      <c r="E45" s="6" t="s">
        <v>254</v>
      </c>
      <c r="F45" s="86"/>
      <c r="G45" s="86"/>
      <c r="H45" s="86"/>
      <c r="I45" s="86"/>
      <c r="J45" s="86"/>
      <c r="K45" s="6" t="s">
        <v>331</v>
      </c>
      <c r="L45" s="86"/>
    </row>
    <row r="46" ht="16" customHeight="1" spans="1:12" x14ac:dyDescent="0.25">
      <c r="A46" s="29" t="s">
        <v>164</v>
      </c>
      <c r="B46" s="20"/>
      <c r="C46" s="9" t="s">
        <v>262</v>
      </c>
      <c r="D46" s="20"/>
      <c r="E46" s="9" t="s">
        <v>255</v>
      </c>
      <c r="F46" s="20"/>
      <c r="G46" s="20"/>
      <c r="H46" s="20"/>
      <c r="I46" s="20"/>
      <c r="J46" s="20"/>
      <c r="K46" s="9" t="s">
        <v>332</v>
      </c>
      <c r="L46" s="20"/>
    </row>
    <row r="47" ht="16" customHeight="1" spans="1:12" x14ac:dyDescent="0.25">
      <c r="A47" s="12" t="s">
        <v>165</v>
      </c>
      <c r="B47" s="86"/>
      <c r="C47" s="6" t="s">
        <v>263</v>
      </c>
      <c r="D47" s="86"/>
      <c r="E47" s="6" t="s">
        <v>256</v>
      </c>
      <c r="F47" s="86"/>
      <c r="G47" s="86"/>
      <c r="H47" s="86"/>
      <c r="I47" s="86"/>
      <c r="J47" s="86"/>
      <c r="K47" s="6" t="s">
        <v>333</v>
      </c>
      <c r="L47" s="86"/>
    </row>
    <row r="48" ht="16" customHeight="1" spans="1:12" x14ac:dyDescent="0.25">
      <c r="A48" s="29" t="s">
        <v>166</v>
      </c>
      <c r="B48" s="20"/>
      <c r="C48" s="9" t="s">
        <v>264</v>
      </c>
      <c r="D48" s="20"/>
      <c r="E48" s="9" t="s">
        <v>257</v>
      </c>
      <c r="F48" s="20"/>
      <c r="G48" s="20"/>
      <c r="H48" s="20"/>
      <c r="I48" s="20"/>
      <c r="J48" s="20"/>
      <c r="K48" s="9" t="s">
        <v>334</v>
      </c>
      <c r="L48" s="20"/>
    </row>
    <row r="49" ht="16" customHeight="1" spans="1:12" x14ac:dyDescent="0.25">
      <c r="A49" s="12" t="s">
        <v>167</v>
      </c>
      <c r="B49" s="86"/>
      <c r="C49" s="6" t="s">
        <v>265</v>
      </c>
      <c r="D49" s="86"/>
      <c r="E49" s="6" t="s">
        <v>258</v>
      </c>
      <c r="F49" s="86"/>
      <c r="G49" s="86"/>
      <c r="H49" s="86"/>
      <c r="I49" s="86"/>
      <c r="J49" s="86"/>
      <c r="K49" s="6" t="s">
        <v>335</v>
      </c>
      <c r="L49" s="86"/>
    </row>
    <row r="50" ht="16" customHeight="1" spans="1:12" x14ac:dyDescent="0.25">
      <c r="A50" s="29" t="s">
        <v>168</v>
      </c>
      <c r="B50" s="20"/>
      <c r="C50" s="9" t="s">
        <v>266</v>
      </c>
      <c r="D50" s="20"/>
      <c r="E50" s="9" t="s">
        <v>259</v>
      </c>
      <c r="F50" s="20"/>
      <c r="G50" s="20"/>
      <c r="H50" s="20"/>
      <c r="I50" s="20"/>
      <c r="J50" s="20"/>
      <c r="K50" s="9" t="s">
        <v>336</v>
      </c>
      <c r="L50" s="20"/>
    </row>
    <row r="51" ht="16" customHeight="1" spans="1:12" x14ac:dyDescent="0.25">
      <c r="A51" s="12" t="s">
        <v>169</v>
      </c>
      <c r="B51" s="86"/>
      <c r="C51" s="6" t="s">
        <v>267</v>
      </c>
      <c r="D51" s="86"/>
      <c r="E51" s="6" t="s">
        <v>260</v>
      </c>
      <c r="F51" s="86"/>
      <c r="G51" s="86"/>
      <c r="H51" s="86"/>
      <c r="I51" s="86"/>
      <c r="J51" s="86"/>
      <c r="K51" s="6" t="s">
        <v>337</v>
      </c>
      <c r="L51" s="86"/>
    </row>
    <row r="52" ht="16" customHeight="1" spans="1:12" x14ac:dyDescent="0.25">
      <c r="A52" s="29" t="s">
        <v>170</v>
      </c>
      <c r="B52" s="20"/>
      <c r="C52" s="20"/>
      <c r="D52" s="20"/>
      <c r="E52" s="9" t="s">
        <v>261</v>
      </c>
      <c r="F52" s="20"/>
      <c r="G52" s="20"/>
      <c r="H52" s="20"/>
      <c r="I52" s="20"/>
      <c r="J52" s="20"/>
      <c r="K52" s="9" t="s">
        <v>121</v>
      </c>
      <c r="L52" s="20"/>
    </row>
    <row r="53" ht="16" customHeight="1" spans="1:12" x14ac:dyDescent="0.25">
      <c r="A53" s="12" t="s">
        <v>171</v>
      </c>
      <c r="B53" s="86"/>
      <c r="C53" s="86"/>
      <c r="D53" s="86"/>
      <c r="E53" s="6" t="s">
        <v>262</v>
      </c>
      <c r="F53" s="86"/>
      <c r="G53" s="86"/>
      <c r="H53" s="86"/>
      <c r="I53" s="86"/>
      <c r="J53" s="86"/>
      <c r="K53" s="6" t="s">
        <v>122</v>
      </c>
      <c r="L53" s="86"/>
    </row>
    <row r="54" ht="16" customHeight="1" spans="1:12" x14ac:dyDescent="0.25">
      <c r="A54" s="29" t="s">
        <v>172</v>
      </c>
      <c r="B54" s="20"/>
      <c r="C54" s="20"/>
      <c r="D54" s="20"/>
      <c r="E54" s="9" t="s">
        <v>263</v>
      </c>
      <c r="F54" s="20"/>
      <c r="G54" s="20"/>
      <c r="H54" s="20"/>
      <c r="I54" s="20"/>
      <c r="J54" s="20"/>
      <c r="K54" s="9" t="s">
        <v>123</v>
      </c>
      <c r="L54" s="20"/>
    </row>
    <row r="55" ht="16" customHeight="1" spans="1:12" x14ac:dyDescent="0.25">
      <c r="A55" s="12" t="s">
        <v>173</v>
      </c>
      <c r="B55" s="86"/>
      <c r="C55" s="86"/>
      <c r="D55" s="86"/>
      <c r="E55" s="6" t="s">
        <v>264</v>
      </c>
      <c r="F55" s="86"/>
      <c r="G55" s="86"/>
      <c r="H55" s="86"/>
      <c r="I55" s="86"/>
      <c r="J55" s="86"/>
      <c r="K55" s="6" t="s">
        <v>124</v>
      </c>
      <c r="L55" s="86"/>
    </row>
    <row r="56" ht="16" customHeight="1" spans="1:12" x14ac:dyDescent="0.25">
      <c r="A56" s="29" t="s">
        <v>174</v>
      </c>
      <c r="B56" s="20"/>
      <c r="C56" s="20"/>
      <c r="D56" s="20"/>
      <c r="E56" s="9" t="s">
        <v>265</v>
      </c>
      <c r="F56" s="20"/>
      <c r="G56" s="20"/>
      <c r="H56" s="20"/>
      <c r="I56" s="20"/>
      <c r="J56" s="20"/>
      <c r="K56" s="9" t="s">
        <v>125</v>
      </c>
      <c r="L56" s="20"/>
    </row>
    <row r="57" ht="16" customHeight="1" spans="1:12" x14ac:dyDescent="0.25">
      <c r="A57" s="12" t="s">
        <v>175</v>
      </c>
      <c r="B57" s="86"/>
      <c r="C57" s="86"/>
      <c r="D57" s="86"/>
      <c r="E57" s="6" t="s">
        <v>266</v>
      </c>
      <c r="F57" s="86"/>
      <c r="G57" s="86"/>
      <c r="H57" s="86"/>
      <c r="I57" s="86"/>
      <c r="J57" s="86"/>
      <c r="K57" s="6" t="s">
        <v>126</v>
      </c>
      <c r="L57" s="86"/>
    </row>
    <row r="58" ht="16" customHeight="1" spans="1:12" x14ac:dyDescent="0.25">
      <c r="A58" s="29" t="s">
        <v>176</v>
      </c>
      <c r="B58" s="20"/>
      <c r="C58" s="20"/>
      <c r="D58" s="20"/>
      <c r="E58" s="9" t="s">
        <v>267</v>
      </c>
      <c r="F58" s="20"/>
      <c r="G58" s="20"/>
      <c r="H58" s="20"/>
      <c r="I58" s="20"/>
      <c r="J58" s="20"/>
      <c r="K58" s="9" t="s">
        <v>127</v>
      </c>
      <c r="L58" s="20"/>
    </row>
    <row r="59" ht="16" customHeight="1" spans="1:12" x14ac:dyDescent="0.25">
      <c r="A59" s="12" t="s">
        <v>177</v>
      </c>
      <c r="B59" s="86"/>
      <c r="C59" s="86"/>
      <c r="D59" s="86"/>
      <c r="E59" s="86"/>
      <c r="F59" s="86"/>
      <c r="G59" s="86"/>
      <c r="H59" s="86"/>
      <c r="I59" s="86"/>
      <c r="J59" s="86"/>
      <c r="K59" s="6" t="s">
        <v>128</v>
      </c>
      <c r="L59" s="86"/>
    </row>
    <row r="60" ht="16" customHeight="1" spans="1:12" x14ac:dyDescent="0.25">
      <c r="A60" s="29" t="s">
        <v>178</v>
      </c>
      <c r="B60" s="20"/>
      <c r="C60" s="20"/>
      <c r="D60" s="20"/>
      <c r="E60" s="20"/>
      <c r="F60" s="20"/>
      <c r="G60" s="20"/>
      <c r="H60" s="20"/>
      <c r="I60" s="20"/>
      <c r="J60" s="20"/>
      <c r="K60" s="9" t="s">
        <v>129</v>
      </c>
      <c r="L60" s="20"/>
    </row>
    <row r="61" ht="16" customHeight="1" spans="1:12" x14ac:dyDescent="0.25">
      <c r="A61" s="12" t="s">
        <v>179</v>
      </c>
      <c r="B61" s="86"/>
      <c r="C61" s="86"/>
      <c r="D61" s="86"/>
      <c r="E61" s="86"/>
      <c r="F61" s="86"/>
      <c r="G61" s="86"/>
      <c r="H61" s="86"/>
      <c r="I61" s="86"/>
      <c r="J61" s="86"/>
      <c r="K61" s="6" t="s">
        <v>130</v>
      </c>
      <c r="L61" s="86"/>
    </row>
    <row r="62" ht="16" customHeight="1" spans="1:12" x14ac:dyDescent="0.25">
      <c r="A62" s="29" t="s">
        <v>180</v>
      </c>
      <c r="B62" s="20"/>
      <c r="C62" s="20"/>
      <c r="D62" s="20"/>
      <c r="E62" s="20"/>
      <c r="F62" s="20"/>
      <c r="G62" s="20"/>
      <c r="H62" s="20"/>
      <c r="I62" s="20"/>
      <c r="J62" s="20"/>
      <c r="K62" s="9" t="s">
        <v>131</v>
      </c>
      <c r="L62" s="20"/>
    </row>
    <row r="63" ht="16" customHeight="1" spans="1:12" x14ac:dyDescent="0.25">
      <c r="A63" s="12" t="s">
        <v>181</v>
      </c>
      <c r="B63" s="86"/>
      <c r="C63" s="86"/>
      <c r="D63" s="86"/>
      <c r="E63" s="86"/>
      <c r="F63" s="86"/>
      <c r="G63" s="86"/>
      <c r="H63" s="86"/>
      <c r="I63" s="86"/>
      <c r="J63" s="86"/>
      <c r="K63" s="6" t="s">
        <v>132</v>
      </c>
      <c r="L63" s="86"/>
    </row>
    <row r="64" ht="16" customHeight="1" spans="1:12" x14ac:dyDescent="0.25">
      <c r="A64" s="29" t="s">
        <v>182</v>
      </c>
      <c r="B64" s="20"/>
      <c r="C64" s="20"/>
      <c r="D64" s="20"/>
      <c r="E64" s="20"/>
      <c r="F64" s="20"/>
      <c r="G64" s="20"/>
      <c r="H64" s="20"/>
      <c r="I64" s="20"/>
      <c r="J64" s="20"/>
      <c r="K64" s="9" t="s">
        <v>133</v>
      </c>
      <c r="L64" s="20"/>
    </row>
    <row r="65" ht="16" customHeight="1" spans="1:12" x14ac:dyDescent="0.25">
      <c r="A65" s="12" t="s">
        <v>183</v>
      </c>
      <c r="B65" s="86"/>
      <c r="C65" s="86"/>
      <c r="D65" s="86"/>
      <c r="E65" s="86"/>
      <c r="F65" s="86"/>
      <c r="G65" s="86"/>
      <c r="H65" s="86"/>
      <c r="I65" s="86"/>
      <c r="J65" s="86"/>
      <c r="K65" s="6" t="s">
        <v>134</v>
      </c>
      <c r="L65" s="86"/>
    </row>
    <row r="66" ht="16" customHeight="1" spans="1:12" x14ac:dyDescent="0.25">
      <c r="A66" s="29" t="s">
        <v>184</v>
      </c>
      <c r="B66" s="20"/>
      <c r="C66" s="20"/>
      <c r="D66" s="20"/>
      <c r="E66" s="20"/>
      <c r="F66" s="20"/>
      <c r="G66" s="20"/>
      <c r="H66" s="20"/>
      <c r="I66" s="20"/>
      <c r="J66" s="20"/>
      <c r="K66" s="9" t="s">
        <v>135</v>
      </c>
      <c r="L66" s="20"/>
    </row>
    <row r="67" ht="16" customHeight="1" spans="1:12" x14ac:dyDescent="0.25">
      <c r="A67" s="12" t="s">
        <v>185</v>
      </c>
      <c r="B67" s="86"/>
      <c r="C67" s="86"/>
      <c r="D67" s="86"/>
      <c r="E67" s="86"/>
      <c r="F67" s="86"/>
      <c r="G67" s="86"/>
      <c r="H67" s="86"/>
      <c r="I67" s="86"/>
      <c r="J67" s="86"/>
      <c r="K67" s="6" t="s">
        <v>136</v>
      </c>
      <c r="L67" s="86"/>
    </row>
    <row r="68" ht="16" customHeight="1" spans="1:12" x14ac:dyDescent="0.25">
      <c r="A68" s="29" t="s">
        <v>186</v>
      </c>
      <c r="B68" s="20"/>
      <c r="C68" s="20"/>
      <c r="D68" s="20"/>
      <c r="E68" s="20"/>
      <c r="F68" s="20"/>
      <c r="G68" s="20"/>
      <c r="H68" s="20"/>
      <c r="I68" s="20"/>
      <c r="J68" s="20"/>
      <c r="K68" s="9" t="s">
        <v>137</v>
      </c>
      <c r="L68" s="20"/>
    </row>
    <row r="69" ht="16" customHeight="1" spans="1:12" x14ac:dyDescent="0.25">
      <c r="A69" s="12" t="s">
        <v>187</v>
      </c>
      <c r="B69" s="86"/>
      <c r="C69" s="86"/>
      <c r="D69" s="86"/>
      <c r="E69" s="86"/>
      <c r="F69" s="86"/>
      <c r="G69" s="86"/>
      <c r="H69" s="86"/>
      <c r="I69" s="86"/>
      <c r="J69" s="86"/>
      <c r="K69" s="6" t="s">
        <v>139</v>
      </c>
      <c r="L69" s="86"/>
    </row>
    <row r="70" ht="16" customHeight="1" spans="1:12" x14ac:dyDescent="0.25">
      <c r="A70" s="29" t="s">
        <v>188</v>
      </c>
      <c r="B70" s="20"/>
      <c r="C70" s="20"/>
      <c r="D70" s="20"/>
      <c r="E70" s="20"/>
      <c r="F70" s="20"/>
      <c r="G70" s="20"/>
      <c r="H70" s="20"/>
      <c r="I70" s="20"/>
      <c r="J70" s="20"/>
      <c r="K70" s="9" t="s">
        <v>140</v>
      </c>
      <c r="L70" s="20"/>
    </row>
    <row r="71" ht="16" customHeight="1" spans="1:12" x14ac:dyDescent="0.25">
      <c r="A71" s="12" t="s">
        <v>189</v>
      </c>
      <c r="B71" s="86"/>
      <c r="C71" s="86"/>
      <c r="D71" s="86"/>
      <c r="E71" s="86"/>
      <c r="F71" s="86"/>
      <c r="G71" s="86"/>
      <c r="H71" s="86"/>
      <c r="I71" s="86"/>
      <c r="J71" s="86"/>
      <c r="K71" s="6" t="s">
        <v>141</v>
      </c>
      <c r="L71" s="86"/>
    </row>
    <row r="72" ht="16" customHeight="1" spans="1:12" x14ac:dyDescent="0.25">
      <c r="A72" s="29" t="s">
        <v>190</v>
      </c>
      <c r="B72" s="20"/>
      <c r="C72" s="20"/>
      <c r="D72" s="20"/>
      <c r="E72" s="20"/>
      <c r="F72" s="20"/>
      <c r="G72" s="20"/>
      <c r="H72" s="20"/>
      <c r="I72" s="20"/>
      <c r="J72" s="20"/>
      <c r="K72" s="9" t="s">
        <v>142</v>
      </c>
      <c r="L72" s="20"/>
    </row>
    <row r="73" ht="16" customHeight="1" spans="1:12" x14ac:dyDescent="0.25">
      <c r="A73" s="12" t="s">
        <v>191</v>
      </c>
      <c r="B73" s="86"/>
      <c r="C73" s="86"/>
      <c r="D73" s="86"/>
      <c r="E73" s="86"/>
      <c r="F73" s="86"/>
      <c r="G73" s="86"/>
      <c r="H73" s="86"/>
      <c r="I73" s="86"/>
      <c r="J73" s="86"/>
      <c r="K73" s="6" t="s">
        <v>143</v>
      </c>
      <c r="L73" s="86"/>
    </row>
    <row r="74" ht="16" customHeight="1" spans="1:12" x14ac:dyDescent="0.25">
      <c r="A74" s="29" t="s">
        <v>192</v>
      </c>
      <c r="B74" s="20"/>
      <c r="C74" s="20"/>
      <c r="D74" s="20"/>
      <c r="E74" s="20"/>
      <c r="F74" s="20"/>
      <c r="G74" s="20"/>
      <c r="H74" s="20"/>
      <c r="I74" s="20"/>
      <c r="J74" s="20"/>
      <c r="K74" s="9" t="s">
        <v>145</v>
      </c>
      <c r="L74" s="20"/>
    </row>
    <row r="75" ht="16" customHeight="1" spans="1:12" x14ac:dyDescent="0.25">
      <c r="A75" s="12" t="s">
        <v>193</v>
      </c>
      <c r="B75" s="86"/>
      <c r="C75" s="86"/>
      <c r="D75" s="86"/>
      <c r="E75" s="86"/>
      <c r="F75" s="86"/>
      <c r="G75" s="86"/>
      <c r="H75" s="86"/>
      <c r="I75" s="86"/>
      <c r="J75" s="86"/>
      <c r="K75" s="6" t="s">
        <v>146</v>
      </c>
      <c r="L75" s="86"/>
    </row>
    <row r="76" ht="16" customHeight="1" spans="1:12" x14ac:dyDescent="0.25">
      <c r="A76" s="29" t="s">
        <v>194</v>
      </c>
      <c r="B76" s="20"/>
      <c r="C76" s="20"/>
      <c r="D76" s="20"/>
      <c r="E76" s="20"/>
      <c r="F76" s="20"/>
      <c r="G76" s="20"/>
      <c r="H76" s="20"/>
      <c r="I76" s="20"/>
      <c r="J76" s="20"/>
      <c r="K76" s="9" t="s">
        <v>147</v>
      </c>
      <c r="L76" s="20"/>
    </row>
    <row r="77" ht="16" customHeight="1" spans="1:12" x14ac:dyDescent="0.25">
      <c r="A77" s="12" t="s">
        <v>195</v>
      </c>
      <c r="B77" s="86"/>
      <c r="C77" s="86"/>
      <c r="D77" s="86"/>
      <c r="E77" s="86"/>
      <c r="F77" s="86"/>
      <c r="G77" s="86"/>
      <c r="H77" s="86"/>
      <c r="I77" s="86"/>
      <c r="J77" s="86"/>
      <c r="K77" s="6" t="s">
        <v>148</v>
      </c>
      <c r="L77" s="86"/>
    </row>
    <row r="78" ht="16" customHeight="1" spans="1:12" x14ac:dyDescent="0.25">
      <c r="A78" s="29" t="s">
        <v>196</v>
      </c>
      <c r="B78" s="20"/>
      <c r="C78" s="20"/>
      <c r="D78" s="20"/>
      <c r="E78" s="20"/>
      <c r="F78" s="20"/>
      <c r="G78" s="20"/>
      <c r="H78" s="20"/>
      <c r="I78" s="20"/>
      <c r="J78" s="20"/>
      <c r="K78" s="9" t="s">
        <v>149</v>
      </c>
      <c r="L78" s="20"/>
    </row>
    <row r="79" ht="16" customHeight="1" spans="1:12" x14ac:dyDescent="0.25">
      <c r="A79" s="12" t="s">
        <v>197</v>
      </c>
      <c r="B79" s="86"/>
      <c r="C79" s="86"/>
      <c r="D79" s="86"/>
      <c r="E79" s="86"/>
      <c r="F79" s="86"/>
      <c r="G79" s="86"/>
      <c r="H79" s="86"/>
      <c r="I79" s="86"/>
      <c r="J79" s="86"/>
      <c r="K79" s="6" t="s">
        <v>150</v>
      </c>
      <c r="L79" s="86"/>
    </row>
    <row r="80" ht="16" customHeight="1" spans="1:12" x14ac:dyDescent="0.25">
      <c r="A80" s="29" t="s">
        <v>198</v>
      </c>
      <c r="B80" s="20"/>
      <c r="C80" s="20"/>
      <c r="D80" s="20"/>
      <c r="E80" s="20"/>
      <c r="F80" s="20"/>
      <c r="G80" s="20"/>
      <c r="H80" s="20"/>
      <c r="I80" s="20"/>
      <c r="J80" s="20"/>
      <c r="K80" s="9" t="s">
        <v>151</v>
      </c>
      <c r="L80" s="20"/>
    </row>
    <row r="81" ht="16" customHeight="1" spans="1:12" x14ac:dyDescent="0.25">
      <c r="A81" s="12" t="s">
        <v>199</v>
      </c>
      <c r="B81" s="86"/>
      <c r="C81" s="86"/>
      <c r="D81" s="86"/>
      <c r="E81" s="86"/>
      <c r="F81" s="86"/>
      <c r="G81" s="86"/>
      <c r="H81" s="86"/>
      <c r="I81" s="86"/>
      <c r="J81" s="86"/>
      <c r="K81" s="6" t="s">
        <v>152</v>
      </c>
      <c r="L81" s="86"/>
    </row>
    <row r="82" ht="16" customHeight="1" spans="1:12" x14ac:dyDescent="0.25">
      <c r="A82" s="29" t="s">
        <v>200</v>
      </c>
      <c r="B82" s="20"/>
      <c r="C82" s="20"/>
      <c r="D82" s="20"/>
      <c r="E82" s="20"/>
      <c r="F82" s="20"/>
      <c r="G82" s="20"/>
      <c r="H82" s="20"/>
      <c r="I82" s="20"/>
      <c r="J82" s="20"/>
      <c r="K82" s="9" t="s">
        <v>153</v>
      </c>
      <c r="L82" s="20"/>
    </row>
    <row r="83" ht="16" customHeight="1" spans="1:12" x14ac:dyDescent="0.25">
      <c r="A83" s="12" t="s">
        <v>201</v>
      </c>
      <c r="B83" s="86"/>
      <c r="C83" s="86"/>
      <c r="D83" s="86"/>
      <c r="E83" s="86"/>
      <c r="F83" s="86"/>
      <c r="G83" s="86"/>
      <c r="H83" s="86"/>
      <c r="I83" s="86"/>
      <c r="J83" s="86"/>
      <c r="K83" s="6" t="s">
        <v>154</v>
      </c>
      <c r="L83" s="86"/>
    </row>
    <row r="84" ht="16" customHeight="1" spans="1:12" x14ac:dyDescent="0.25">
      <c r="A84" s="29" t="s">
        <v>202</v>
      </c>
      <c r="B84" s="20"/>
      <c r="C84" s="20"/>
      <c r="D84" s="20"/>
      <c r="E84" s="20"/>
      <c r="F84" s="20"/>
      <c r="G84" s="20"/>
      <c r="H84" s="20"/>
      <c r="I84" s="20"/>
      <c r="J84" s="20"/>
      <c r="K84" s="9" t="s">
        <v>155</v>
      </c>
      <c r="L84" s="20"/>
    </row>
    <row r="85" ht="16" customHeight="1" spans="1:12" x14ac:dyDescent="0.25">
      <c r="A85" s="12" t="s">
        <v>203</v>
      </c>
      <c r="B85" s="86"/>
      <c r="C85" s="86"/>
      <c r="D85" s="86"/>
      <c r="E85" s="86"/>
      <c r="F85" s="86"/>
      <c r="G85" s="86"/>
      <c r="H85" s="86"/>
      <c r="I85" s="86"/>
      <c r="J85" s="86"/>
      <c r="K85" s="6" t="s">
        <v>156</v>
      </c>
      <c r="L85" s="86"/>
    </row>
    <row r="86" ht="16" customHeight="1" spans="1:12" x14ac:dyDescent="0.25">
      <c r="A86" s="29" t="s">
        <v>204</v>
      </c>
      <c r="B86" s="20"/>
      <c r="C86" s="20"/>
      <c r="D86" s="20"/>
      <c r="E86" s="20"/>
      <c r="F86" s="20"/>
      <c r="G86" s="20"/>
      <c r="H86" s="20"/>
      <c r="I86" s="20"/>
      <c r="J86" s="20"/>
      <c r="K86" s="9" t="s">
        <v>157</v>
      </c>
      <c r="L86" s="20"/>
    </row>
    <row r="87" ht="16" customHeight="1" spans="1:12" x14ac:dyDescent="0.25">
      <c r="A87" s="12" t="s">
        <v>205</v>
      </c>
      <c r="B87" s="86"/>
      <c r="C87" s="86"/>
      <c r="D87" s="86"/>
      <c r="E87" s="86"/>
      <c r="F87" s="86"/>
      <c r="G87" s="86"/>
      <c r="H87" s="86"/>
      <c r="I87" s="86"/>
      <c r="J87" s="86"/>
      <c r="K87" s="6" t="s">
        <v>158</v>
      </c>
      <c r="L87" s="86"/>
    </row>
    <row r="88" ht="16" customHeight="1" spans="1:12" x14ac:dyDescent="0.25">
      <c r="A88" s="29" t="s">
        <v>55</v>
      </c>
      <c r="B88" s="20"/>
      <c r="C88" s="20"/>
      <c r="D88" s="20"/>
      <c r="E88" s="20"/>
      <c r="F88" s="20"/>
      <c r="G88" s="20"/>
      <c r="H88" s="20"/>
      <c r="I88" s="20"/>
      <c r="J88" s="20"/>
      <c r="K88" s="9" t="s">
        <v>159</v>
      </c>
      <c r="L88" s="20"/>
    </row>
    <row r="89" ht="16" customHeight="1" spans="1:12" x14ac:dyDescent="0.25">
      <c r="A89" s="12" t="s">
        <v>206</v>
      </c>
      <c r="B89" s="86"/>
      <c r="C89" s="86"/>
      <c r="D89" s="86"/>
      <c r="E89" s="86"/>
      <c r="F89" s="86"/>
      <c r="G89" s="86"/>
      <c r="H89" s="86"/>
      <c r="I89" s="86"/>
      <c r="J89" s="86"/>
      <c r="K89" s="6" t="s">
        <v>160</v>
      </c>
      <c r="L89" s="86"/>
    </row>
    <row r="90" ht="16" customHeight="1" spans="1:12" x14ac:dyDescent="0.25">
      <c r="A90" s="29" t="s">
        <v>207</v>
      </c>
      <c r="B90" s="20"/>
      <c r="C90" s="20"/>
      <c r="D90" s="20"/>
      <c r="E90" s="20"/>
      <c r="F90" s="20"/>
      <c r="G90" s="20"/>
      <c r="H90" s="20"/>
      <c r="I90" s="20"/>
      <c r="J90" s="20"/>
      <c r="K90" s="9" t="s">
        <v>161</v>
      </c>
      <c r="L90" s="20"/>
    </row>
    <row r="91" ht="16" customHeight="1" spans="1:12" x14ac:dyDescent="0.25">
      <c r="A91" s="12" t="s">
        <v>208</v>
      </c>
      <c r="B91" s="86"/>
      <c r="C91" s="86"/>
      <c r="D91" s="86"/>
      <c r="E91" s="86"/>
      <c r="F91" s="86"/>
      <c r="G91" s="86"/>
      <c r="H91" s="86"/>
      <c r="I91" s="86"/>
      <c r="J91" s="86"/>
      <c r="K91" s="6" t="s">
        <v>162</v>
      </c>
      <c r="L91" s="86"/>
    </row>
    <row r="92" ht="16" customHeight="1" spans="1:12" x14ac:dyDescent="0.25">
      <c r="A92" s="29" t="s">
        <v>209</v>
      </c>
      <c r="B92" s="20"/>
      <c r="C92" s="20"/>
      <c r="D92" s="20"/>
      <c r="E92" s="20"/>
      <c r="F92" s="20"/>
      <c r="G92" s="20"/>
      <c r="H92" s="20"/>
      <c r="I92" s="20"/>
      <c r="J92" s="20"/>
      <c r="K92" s="9" t="s">
        <v>163</v>
      </c>
      <c r="L92" s="20"/>
    </row>
    <row r="93" ht="16" customHeight="1" spans="1:12" x14ac:dyDescent="0.25">
      <c r="A93" s="12" t="s">
        <v>210</v>
      </c>
      <c r="B93" s="86"/>
      <c r="C93" s="86"/>
      <c r="D93" s="86"/>
      <c r="E93" s="86"/>
      <c r="F93" s="86"/>
      <c r="G93" s="86"/>
      <c r="H93" s="86"/>
      <c r="I93" s="86"/>
      <c r="J93" s="86"/>
      <c r="K93" s="6" t="s">
        <v>164</v>
      </c>
      <c r="L93" s="86"/>
    </row>
    <row r="94" ht="16" customHeight="1" spans="1:12" x14ac:dyDescent="0.25">
      <c r="A94" s="29" t="s">
        <v>68</v>
      </c>
      <c r="B94" s="20"/>
      <c r="C94" s="20"/>
      <c r="D94" s="20"/>
      <c r="E94" s="20"/>
      <c r="F94" s="20"/>
      <c r="G94" s="20"/>
      <c r="H94" s="20"/>
      <c r="I94" s="20"/>
      <c r="J94" s="20"/>
      <c r="K94" s="9" t="s">
        <v>165</v>
      </c>
      <c r="L94" s="20"/>
    </row>
    <row r="95" ht="16" customHeight="1" spans="1:12" x14ac:dyDescent="0.25">
      <c r="A95" s="95"/>
      <c r="B95" s="86"/>
      <c r="C95" s="86"/>
      <c r="D95" s="86"/>
      <c r="E95" s="86"/>
      <c r="F95" s="86"/>
      <c r="G95" s="86"/>
      <c r="H95" s="86"/>
      <c r="I95" s="86"/>
      <c r="J95" s="86"/>
      <c r="K95" s="6" t="s">
        <v>166</v>
      </c>
      <c r="L95" s="86"/>
    </row>
    <row r="96" ht="16" customHeight="1" spans="1:12" x14ac:dyDescent="0.25">
      <c r="A96" s="84"/>
      <c r="B96" s="20"/>
      <c r="C96" s="20"/>
      <c r="D96" s="20"/>
      <c r="E96" s="20"/>
      <c r="F96" s="20"/>
      <c r="G96" s="20"/>
      <c r="H96" s="20"/>
      <c r="I96" s="20"/>
      <c r="J96" s="20"/>
      <c r="K96" s="9" t="s">
        <v>167</v>
      </c>
      <c r="L96" s="20"/>
    </row>
    <row r="97" ht="16" customHeight="1" spans="1:12" x14ac:dyDescent="0.25">
      <c r="A97" s="95"/>
      <c r="B97" s="86"/>
      <c r="C97" s="86"/>
      <c r="D97" s="86"/>
      <c r="E97" s="86"/>
      <c r="F97" s="86"/>
      <c r="G97" s="86"/>
      <c r="H97" s="86"/>
      <c r="I97" s="86"/>
      <c r="J97" s="86"/>
      <c r="K97" s="6" t="s">
        <v>168</v>
      </c>
      <c r="L97" s="86"/>
    </row>
    <row r="98" ht="16" customHeight="1" spans="1:12" x14ac:dyDescent="0.25">
      <c r="A98" s="84"/>
      <c r="B98" s="20"/>
      <c r="C98" s="20"/>
      <c r="D98" s="20"/>
      <c r="E98" s="20"/>
      <c r="F98" s="20"/>
      <c r="G98" s="20"/>
      <c r="H98" s="20"/>
      <c r="I98" s="20"/>
      <c r="J98" s="20"/>
      <c r="K98" s="9" t="s">
        <v>169</v>
      </c>
      <c r="L98" s="20"/>
    </row>
    <row r="99" ht="16" customHeight="1" spans="1:12" x14ac:dyDescent="0.25">
      <c r="A99" s="95"/>
      <c r="B99" s="86"/>
      <c r="C99" s="86"/>
      <c r="D99" s="86"/>
      <c r="E99" s="86"/>
      <c r="F99" s="86"/>
      <c r="G99" s="86"/>
      <c r="H99" s="86"/>
      <c r="I99" s="86"/>
      <c r="J99" s="86"/>
      <c r="K99" s="6" t="s">
        <v>170</v>
      </c>
      <c r="L99" s="86"/>
    </row>
    <row r="100" ht="16" customHeight="1" spans="1:12" x14ac:dyDescent="0.25">
      <c r="A100" s="84"/>
      <c r="B100" s="20"/>
      <c r="C100" s="20"/>
      <c r="D100" s="20"/>
      <c r="E100" s="20"/>
      <c r="F100" s="20"/>
      <c r="G100" s="20"/>
      <c r="H100" s="20"/>
      <c r="I100" s="20"/>
      <c r="J100" s="20"/>
      <c r="K100" s="9" t="s">
        <v>171</v>
      </c>
      <c r="L100" s="20"/>
    </row>
    <row r="101" ht="16" customHeight="1" spans="1:12" x14ac:dyDescent="0.25">
      <c r="A101" s="95"/>
      <c r="B101" s="86"/>
      <c r="C101" s="86"/>
      <c r="D101" s="86"/>
      <c r="E101" s="86"/>
      <c r="F101" s="86"/>
      <c r="G101" s="86"/>
      <c r="H101" s="86"/>
      <c r="I101" s="86"/>
      <c r="J101" s="86"/>
      <c r="K101" s="6" t="s">
        <v>172</v>
      </c>
      <c r="L101" s="86"/>
    </row>
    <row r="102" ht="16" customHeight="1" spans="1:12" x14ac:dyDescent="0.25">
      <c r="A102" s="84"/>
      <c r="B102" s="20"/>
      <c r="C102" s="20"/>
      <c r="D102" s="20"/>
      <c r="E102" s="20"/>
      <c r="F102" s="20"/>
      <c r="G102" s="20"/>
      <c r="H102" s="20"/>
      <c r="I102" s="20"/>
      <c r="J102" s="20"/>
      <c r="K102" s="9" t="s">
        <v>173</v>
      </c>
      <c r="L102" s="20"/>
    </row>
    <row r="103" ht="16" customHeight="1" spans="1:12" x14ac:dyDescent="0.25">
      <c r="A103" s="95"/>
      <c r="B103" s="86"/>
      <c r="C103" s="86"/>
      <c r="D103" s="86"/>
      <c r="E103" s="86"/>
      <c r="F103" s="86"/>
      <c r="G103" s="86"/>
      <c r="H103" s="86"/>
      <c r="I103" s="86"/>
      <c r="J103" s="86"/>
      <c r="K103" s="6" t="s">
        <v>174</v>
      </c>
      <c r="L103" s="86"/>
    </row>
    <row r="104" ht="16" customHeight="1" spans="1:12" x14ac:dyDescent="0.25">
      <c r="A104" s="84"/>
      <c r="B104" s="20"/>
      <c r="C104" s="20"/>
      <c r="D104" s="20"/>
      <c r="E104" s="20"/>
      <c r="F104" s="20"/>
      <c r="G104" s="20"/>
      <c r="H104" s="20"/>
      <c r="I104" s="20"/>
      <c r="J104" s="20"/>
      <c r="K104" s="9" t="s">
        <v>175</v>
      </c>
      <c r="L104" s="20"/>
    </row>
    <row r="105" ht="16" customHeight="1" spans="1:12" x14ac:dyDescent="0.25">
      <c r="A105" s="95"/>
      <c r="B105" s="86"/>
      <c r="C105" s="86"/>
      <c r="D105" s="86"/>
      <c r="E105" s="86"/>
      <c r="F105" s="86"/>
      <c r="G105" s="86"/>
      <c r="H105" s="86"/>
      <c r="I105" s="86"/>
      <c r="J105" s="86"/>
      <c r="K105" s="6" t="s">
        <v>176</v>
      </c>
      <c r="L105" s="86"/>
    </row>
    <row r="106" ht="16" customHeight="1" spans="1:12" x14ac:dyDescent="0.25">
      <c r="A106" s="84"/>
      <c r="B106" s="20"/>
      <c r="C106" s="20"/>
      <c r="D106" s="20"/>
      <c r="E106" s="20"/>
      <c r="F106" s="20"/>
      <c r="G106" s="20"/>
      <c r="H106" s="20"/>
      <c r="I106" s="20"/>
      <c r="J106" s="20"/>
      <c r="K106" s="9" t="s">
        <v>177</v>
      </c>
      <c r="L106" s="20"/>
    </row>
    <row r="107" ht="16" customHeight="1" spans="1:12" x14ac:dyDescent="0.25">
      <c r="A107" s="95"/>
      <c r="B107" s="86"/>
      <c r="C107" s="86"/>
      <c r="D107" s="86"/>
      <c r="E107" s="86"/>
      <c r="F107" s="86"/>
      <c r="G107" s="86"/>
      <c r="H107" s="86"/>
      <c r="I107" s="86"/>
      <c r="J107" s="86"/>
      <c r="K107" s="6" t="s">
        <v>178</v>
      </c>
      <c r="L107" s="86"/>
    </row>
    <row r="108" ht="16" customHeight="1" spans="1:12" x14ac:dyDescent="0.25">
      <c r="A108" s="84"/>
      <c r="B108" s="20"/>
      <c r="C108" s="20"/>
      <c r="D108" s="20"/>
      <c r="E108" s="20"/>
      <c r="F108" s="20"/>
      <c r="G108" s="20"/>
      <c r="H108" s="20"/>
      <c r="I108" s="20"/>
      <c r="J108" s="20"/>
      <c r="K108" s="9" t="s">
        <v>179</v>
      </c>
      <c r="L108" s="20"/>
    </row>
    <row r="109" ht="16" customHeight="1" spans="1:12" x14ac:dyDescent="0.25">
      <c r="A109" s="95"/>
      <c r="B109" s="86"/>
      <c r="C109" s="86"/>
      <c r="D109" s="86"/>
      <c r="E109" s="86"/>
      <c r="F109" s="86"/>
      <c r="G109" s="86"/>
      <c r="H109" s="86"/>
      <c r="I109" s="86"/>
      <c r="J109" s="86"/>
      <c r="K109" s="6" t="s">
        <v>180</v>
      </c>
      <c r="L109" s="86"/>
    </row>
    <row r="110" ht="16" customHeight="1" spans="1:12" x14ac:dyDescent="0.25">
      <c r="A110" s="84"/>
      <c r="B110" s="20"/>
      <c r="C110" s="20"/>
      <c r="D110" s="20"/>
      <c r="E110" s="20"/>
      <c r="F110" s="20"/>
      <c r="G110" s="20"/>
      <c r="H110" s="20"/>
      <c r="I110" s="20"/>
      <c r="J110" s="20"/>
      <c r="K110" s="9" t="s">
        <v>181</v>
      </c>
      <c r="L110" s="20"/>
    </row>
    <row r="111" ht="16" customHeight="1" spans="1:12" x14ac:dyDescent="0.25">
      <c r="A111" s="95"/>
      <c r="B111" s="86"/>
      <c r="C111" s="86"/>
      <c r="D111" s="86"/>
      <c r="E111" s="86"/>
      <c r="F111" s="86"/>
      <c r="G111" s="86"/>
      <c r="H111" s="86"/>
      <c r="I111" s="86"/>
      <c r="J111" s="86"/>
      <c r="K111" s="6" t="s">
        <v>182</v>
      </c>
      <c r="L111" s="86"/>
    </row>
    <row r="112" ht="16" customHeight="1" spans="1:12" x14ac:dyDescent="0.25">
      <c r="A112" s="84"/>
      <c r="B112" s="20"/>
      <c r="C112" s="20"/>
      <c r="D112" s="20"/>
      <c r="E112" s="20"/>
      <c r="F112" s="20"/>
      <c r="G112" s="20"/>
      <c r="H112" s="20"/>
      <c r="I112" s="20"/>
      <c r="J112" s="20"/>
      <c r="K112" s="9" t="s">
        <v>183</v>
      </c>
      <c r="L112" s="20"/>
    </row>
    <row r="113" ht="16" customHeight="1" spans="1:12" x14ac:dyDescent="0.25">
      <c r="A113" s="95"/>
      <c r="B113" s="86"/>
      <c r="C113" s="86"/>
      <c r="D113" s="86"/>
      <c r="E113" s="86"/>
      <c r="F113" s="86"/>
      <c r="G113" s="86"/>
      <c r="H113" s="86"/>
      <c r="I113" s="86"/>
      <c r="J113" s="86"/>
      <c r="K113" s="6" t="s">
        <v>184</v>
      </c>
      <c r="L113" s="86"/>
    </row>
    <row r="114" ht="16" customHeight="1" spans="1:12" x14ac:dyDescent="0.25">
      <c r="A114" s="84"/>
      <c r="B114" s="20"/>
      <c r="C114" s="20"/>
      <c r="D114" s="20"/>
      <c r="E114" s="20"/>
      <c r="F114" s="20"/>
      <c r="G114" s="20"/>
      <c r="H114" s="20"/>
      <c r="I114" s="20"/>
      <c r="J114" s="20"/>
      <c r="K114" s="9" t="s">
        <v>185</v>
      </c>
      <c r="L114" s="20"/>
    </row>
    <row r="115" ht="16" customHeight="1" spans="1:12" x14ac:dyDescent="0.25">
      <c r="A115" s="95"/>
      <c r="B115" s="86"/>
      <c r="C115" s="86"/>
      <c r="D115" s="86"/>
      <c r="E115" s="86"/>
      <c r="F115" s="86"/>
      <c r="G115" s="86"/>
      <c r="H115" s="86"/>
      <c r="I115" s="86"/>
      <c r="J115" s="86"/>
      <c r="K115" s="6" t="s">
        <v>186</v>
      </c>
      <c r="L115" s="86"/>
    </row>
    <row r="116" ht="16" customHeight="1" spans="1:12" x14ac:dyDescent="0.25">
      <c r="A116" s="84"/>
      <c r="B116" s="20"/>
      <c r="C116" s="20"/>
      <c r="D116" s="20"/>
      <c r="E116" s="20"/>
      <c r="F116" s="20"/>
      <c r="G116" s="20"/>
      <c r="H116" s="20"/>
      <c r="I116" s="20"/>
      <c r="J116" s="20"/>
      <c r="K116" s="9" t="s">
        <v>187</v>
      </c>
      <c r="L116" s="20"/>
    </row>
    <row r="117" ht="16" customHeight="1" spans="1:12" x14ac:dyDescent="0.25">
      <c r="A117" s="95"/>
      <c r="B117" s="86"/>
      <c r="C117" s="86"/>
      <c r="D117" s="86"/>
      <c r="E117" s="86"/>
      <c r="F117" s="86"/>
      <c r="G117" s="86"/>
      <c r="H117" s="86"/>
      <c r="I117" s="86"/>
      <c r="J117" s="86"/>
      <c r="K117" s="6" t="s">
        <v>188</v>
      </c>
      <c r="L117" s="86"/>
    </row>
    <row r="118" ht="16" customHeight="1" spans="1:12" x14ac:dyDescent="0.25">
      <c r="A118" s="84"/>
      <c r="B118" s="20"/>
      <c r="C118" s="20"/>
      <c r="D118" s="20"/>
      <c r="E118" s="20"/>
      <c r="F118" s="20"/>
      <c r="G118" s="20"/>
      <c r="H118" s="20"/>
      <c r="I118" s="20"/>
      <c r="J118" s="20"/>
      <c r="K118" s="9" t="s">
        <v>189</v>
      </c>
      <c r="L118" s="20"/>
    </row>
    <row r="119" ht="16" customHeight="1" spans="1:12" x14ac:dyDescent="0.25">
      <c r="A119" s="95"/>
      <c r="B119" s="86"/>
      <c r="C119" s="86"/>
      <c r="D119" s="86"/>
      <c r="E119" s="86"/>
      <c r="F119" s="86"/>
      <c r="G119" s="86"/>
      <c r="H119" s="86"/>
      <c r="I119" s="86"/>
      <c r="J119" s="86"/>
      <c r="K119" s="6" t="s">
        <v>190</v>
      </c>
      <c r="L119" s="86"/>
    </row>
    <row r="120" ht="16" customHeight="1" spans="1:12" x14ac:dyDescent="0.25">
      <c r="A120" s="84"/>
      <c r="B120" s="20"/>
      <c r="C120" s="20"/>
      <c r="D120" s="20"/>
      <c r="E120" s="20"/>
      <c r="F120" s="20"/>
      <c r="G120" s="20"/>
      <c r="H120" s="20"/>
      <c r="I120" s="20"/>
      <c r="J120" s="20"/>
      <c r="K120" s="9" t="s">
        <v>191</v>
      </c>
      <c r="L120" s="20"/>
    </row>
    <row r="121" ht="16" customHeight="1" spans="1:12" x14ac:dyDescent="0.25">
      <c r="A121" s="95"/>
      <c r="B121" s="86"/>
      <c r="C121" s="86"/>
      <c r="D121" s="86"/>
      <c r="E121" s="86"/>
      <c r="F121" s="86"/>
      <c r="G121" s="86"/>
      <c r="H121" s="86"/>
      <c r="I121" s="86"/>
      <c r="J121" s="86"/>
      <c r="K121" s="6" t="s">
        <v>192</v>
      </c>
      <c r="L121" s="86"/>
    </row>
    <row r="122" ht="16" customHeight="1" spans="1:12" x14ac:dyDescent="0.25">
      <c r="A122" s="84"/>
      <c r="B122" s="20"/>
      <c r="C122" s="20"/>
      <c r="D122" s="20"/>
      <c r="E122" s="20"/>
      <c r="F122" s="20"/>
      <c r="G122" s="20"/>
      <c r="H122" s="20"/>
      <c r="I122" s="20"/>
      <c r="J122" s="20"/>
      <c r="K122" s="9" t="s">
        <v>193</v>
      </c>
      <c r="L122" s="20"/>
    </row>
    <row r="123" ht="16" customHeight="1" spans="1:12" x14ac:dyDescent="0.25">
      <c r="A123" s="95"/>
      <c r="B123" s="86"/>
      <c r="C123" s="86"/>
      <c r="D123" s="86"/>
      <c r="E123" s="86"/>
      <c r="F123" s="86"/>
      <c r="G123" s="86"/>
      <c r="H123" s="86"/>
      <c r="I123" s="86"/>
      <c r="J123" s="86"/>
      <c r="K123" s="6" t="s">
        <v>194</v>
      </c>
      <c r="L123" s="86"/>
    </row>
    <row r="124" ht="16" customHeight="1" spans="1:12" x14ac:dyDescent="0.25">
      <c r="A124" s="84"/>
      <c r="B124" s="20"/>
      <c r="C124" s="20"/>
      <c r="D124" s="20"/>
      <c r="E124" s="20"/>
      <c r="F124" s="20"/>
      <c r="G124" s="20"/>
      <c r="H124" s="20"/>
      <c r="I124" s="20"/>
      <c r="J124" s="20"/>
      <c r="K124" s="9" t="s">
        <v>195</v>
      </c>
      <c r="L124" s="20"/>
    </row>
    <row r="125" ht="16" customHeight="1" spans="1:12" x14ac:dyDescent="0.25">
      <c r="A125" s="95"/>
      <c r="B125" s="86"/>
      <c r="C125" s="86"/>
      <c r="D125" s="86"/>
      <c r="E125" s="86"/>
      <c r="F125" s="86"/>
      <c r="G125" s="86"/>
      <c r="H125" s="86"/>
      <c r="I125" s="86"/>
      <c r="J125" s="86"/>
      <c r="K125" s="6" t="s">
        <v>196</v>
      </c>
      <c r="L125" s="86"/>
    </row>
    <row r="126" ht="16" customHeight="1" spans="1:12" x14ac:dyDescent="0.25">
      <c r="A126" s="84"/>
      <c r="B126" s="20"/>
      <c r="C126" s="20"/>
      <c r="D126" s="20"/>
      <c r="E126" s="20"/>
      <c r="F126" s="20"/>
      <c r="G126" s="20"/>
      <c r="H126" s="20"/>
      <c r="I126" s="20"/>
      <c r="J126" s="20"/>
      <c r="K126" s="9" t="s">
        <v>197</v>
      </c>
      <c r="L126" s="20"/>
    </row>
    <row r="127" ht="16" customHeight="1" spans="1:12" x14ac:dyDescent="0.25">
      <c r="A127" s="95"/>
      <c r="B127" s="86"/>
      <c r="C127" s="86"/>
      <c r="D127" s="86"/>
      <c r="E127" s="86"/>
      <c r="F127" s="86"/>
      <c r="G127" s="86"/>
      <c r="H127" s="86"/>
      <c r="I127" s="86"/>
      <c r="J127" s="86"/>
      <c r="K127" s="6" t="s">
        <v>198</v>
      </c>
      <c r="L127" s="86"/>
    </row>
    <row r="128" ht="16" customHeight="1" spans="1:12" x14ac:dyDescent="0.25">
      <c r="A128" s="84"/>
      <c r="B128" s="20"/>
      <c r="C128" s="20"/>
      <c r="D128" s="20"/>
      <c r="E128" s="20"/>
      <c r="F128" s="20"/>
      <c r="G128" s="20"/>
      <c r="H128" s="20"/>
      <c r="I128" s="20"/>
      <c r="J128" s="20"/>
      <c r="K128" s="9" t="s">
        <v>199</v>
      </c>
      <c r="L128" s="20"/>
    </row>
    <row r="129" ht="16" customHeight="1" spans="1:12" x14ac:dyDescent="0.25">
      <c r="A129" s="95"/>
      <c r="B129" s="86"/>
      <c r="C129" s="86"/>
      <c r="D129" s="86"/>
      <c r="E129" s="86"/>
      <c r="F129" s="86"/>
      <c r="G129" s="86"/>
      <c r="H129" s="86"/>
      <c r="I129" s="86"/>
      <c r="J129" s="86"/>
      <c r="K129" s="6" t="s">
        <v>200</v>
      </c>
      <c r="L129" s="86"/>
    </row>
    <row r="130" ht="16" customHeight="1" spans="1:12" x14ac:dyDescent="0.25">
      <c r="A130" s="84"/>
      <c r="B130" s="20"/>
      <c r="C130" s="20"/>
      <c r="D130" s="20"/>
      <c r="E130" s="20"/>
      <c r="F130" s="20"/>
      <c r="G130" s="20"/>
      <c r="H130" s="20"/>
      <c r="I130" s="20"/>
      <c r="J130" s="20"/>
      <c r="K130" s="9" t="s">
        <v>201</v>
      </c>
      <c r="L130" s="20"/>
    </row>
    <row r="131" ht="16" customHeight="1" spans="1:12" x14ac:dyDescent="0.25">
      <c r="A131" s="95"/>
      <c r="B131" s="86"/>
      <c r="C131" s="86"/>
      <c r="D131" s="86"/>
      <c r="E131" s="86"/>
      <c r="F131" s="86"/>
      <c r="G131" s="86"/>
      <c r="H131" s="86"/>
      <c r="I131" s="86"/>
      <c r="J131" s="86"/>
      <c r="K131" s="6" t="s">
        <v>202</v>
      </c>
      <c r="L131" s="86"/>
    </row>
    <row r="132" ht="16" customHeight="1" spans="1:12" x14ac:dyDescent="0.25">
      <c r="A132" s="84"/>
      <c r="B132" s="20"/>
      <c r="C132" s="20"/>
      <c r="D132" s="20"/>
      <c r="E132" s="20"/>
      <c r="F132" s="20"/>
      <c r="G132" s="20"/>
      <c r="H132" s="20"/>
      <c r="I132" s="20"/>
      <c r="J132" s="20"/>
      <c r="K132" s="9" t="s">
        <v>203</v>
      </c>
      <c r="L132" s="20"/>
    </row>
    <row r="133" ht="16" customHeight="1" spans="1:12" x14ac:dyDescent="0.25">
      <c r="A133" s="95"/>
      <c r="B133" s="86"/>
      <c r="C133" s="86"/>
      <c r="D133" s="86"/>
      <c r="E133" s="86"/>
      <c r="F133" s="86"/>
      <c r="G133" s="86"/>
      <c r="H133" s="86"/>
      <c r="I133" s="86"/>
      <c r="J133" s="86"/>
      <c r="K133" s="6" t="s">
        <v>204</v>
      </c>
      <c r="L133" s="86"/>
    </row>
    <row r="134" ht="16" customHeight="1" spans="1:12" x14ac:dyDescent="0.25">
      <c r="A134" s="84"/>
      <c r="B134" s="20"/>
      <c r="C134" s="20"/>
      <c r="D134" s="20"/>
      <c r="E134" s="20"/>
      <c r="F134" s="20"/>
      <c r="G134" s="20"/>
      <c r="H134" s="20"/>
      <c r="I134" s="20"/>
      <c r="J134" s="20"/>
      <c r="K134" s="9" t="s">
        <v>205</v>
      </c>
      <c r="L134" s="20"/>
    </row>
    <row r="135" ht="16" customHeight="1" spans="1:12" x14ac:dyDescent="0.25">
      <c r="A135" s="95"/>
      <c r="B135" s="86"/>
      <c r="C135" s="86"/>
      <c r="D135" s="86"/>
      <c r="E135" s="86"/>
      <c r="F135" s="86"/>
      <c r="G135" s="86"/>
      <c r="H135" s="86"/>
      <c r="I135" s="86"/>
      <c r="J135" s="86"/>
      <c r="K135" s="6" t="s">
        <v>55</v>
      </c>
      <c r="L135" s="86"/>
    </row>
    <row r="136" ht="16" customHeight="1" spans="1:12" x14ac:dyDescent="0.25">
      <c r="A136" s="84"/>
      <c r="B136" s="20"/>
      <c r="C136" s="20"/>
      <c r="D136" s="20"/>
      <c r="E136" s="20"/>
      <c r="F136" s="20"/>
      <c r="G136" s="20"/>
      <c r="H136" s="20"/>
      <c r="I136" s="20"/>
      <c r="J136" s="20"/>
      <c r="K136" s="9" t="s">
        <v>206</v>
      </c>
      <c r="L136" s="20"/>
    </row>
    <row r="137" ht="16" customHeight="1" spans="1:12" x14ac:dyDescent="0.25">
      <c r="A137" s="95"/>
      <c r="B137" s="86"/>
      <c r="C137" s="86"/>
      <c r="D137" s="86"/>
      <c r="E137" s="86"/>
      <c r="F137" s="86"/>
      <c r="G137" s="86"/>
      <c r="H137" s="86"/>
      <c r="I137" s="86"/>
      <c r="J137" s="86"/>
      <c r="K137" s="6" t="s">
        <v>207</v>
      </c>
      <c r="L137" s="86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AF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32" x14ac:dyDescent="0.25">
      <c r="A1" s="96">
        <v>46286</v>
      </c>
      <c r="B1" s="87">
        <f>A1+1</f>
        <v>46287</v>
      </c>
      <c r="C1" s="87">
        <f>B1+1</f>
        <v>46288</v>
      </c>
      <c r="D1" s="87">
        <f>C1+1</f>
        <v>46289</v>
      </c>
      <c r="E1" s="87">
        <f>D1+1</f>
        <v>46290</v>
      </c>
      <c r="F1" s="87">
        <f>E1+1</f>
        <v>46291</v>
      </c>
      <c r="G1" s="87">
        <f>F1+1</f>
        <v>46292</v>
      </c>
      <c r="H1" s="87">
        <f>G1+1</f>
        <v>46293</v>
      </c>
      <c r="I1" s="87">
        <f>H1+1</f>
        <v>46294</v>
      </c>
      <c r="J1" s="87">
        <f>I1+1</f>
        <v>46295</v>
      </c>
      <c r="K1" s="87">
        <f>J1+1</f>
        <v>46296</v>
      </c>
      <c r="L1" s="87">
        <f>K1+1</f>
        <v>46297</v>
      </c>
      <c r="M1" s="87">
        <f>L1+1</f>
        <v>46298</v>
      </c>
      <c r="N1" s="87">
        <f>M1+1</f>
        <v>46299</v>
      </c>
      <c r="O1" s="87">
        <f>N1+1</f>
        <v>46300</v>
      </c>
      <c r="P1" s="87">
        <f>O1+1</f>
        <v>46301</v>
      </c>
      <c r="Q1" s="87">
        <f>P1+1</f>
        <v>46302</v>
      </c>
      <c r="R1" s="87">
        <f>Q1+1</f>
        <v>46303</v>
      </c>
      <c r="S1" s="87">
        <f>R1+1</f>
        <v>46304</v>
      </c>
      <c r="T1" s="87">
        <f>S1+1</f>
        <v>46305</v>
      </c>
      <c r="U1" s="87">
        <f>T1+1</f>
        <v>46306</v>
      </c>
      <c r="V1" s="87">
        <f>U1+1</f>
        <v>46307</v>
      </c>
      <c r="W1" s="87">
        <f>V1+1</f>
        <v>46308</v>
      </c>
      <c r="X1" s="87">
        <f>W1+1</f>
        <v>46309</v>
      </c>
      <c r="Y1" s="87">
        <f>X1+1</f>
        <v>46310</v>
      </c>
      <c r="Z1" s="87">
        <f>Y1+1</f>
        <v>46311</v>
      </c>
      <c r="AA1" s="87">
        <f>Z1+1</f>
        <v>46312</v>
      </c>
      <c r="AB1" s="87">
        <f>AA1+1</f>
        <v>46313</v>
      </c>
      <c r="AC1" s="87">
        <f>AB1+1</f>
        <v>46314</v>
      </c>
      <c r="AD1" s="87">
        <f>AC1+1</f>
        <v>46315</v>
      </c>
      <c r="AE1" s="87">
        <f>AD1+1</f>
        <v>46316</v>
      </c>
      <c r="AF1" s="87">
        <f>AE1+1</f>
        <v>46317</v>
      </c>
    </row>
    <row r="2" ht="16" customHeight="1" spans="1:32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89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89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89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89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89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89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89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89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89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89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89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89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89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89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89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89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89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89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89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89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89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89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89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89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89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89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89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89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89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89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89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</row>
    <row r="3" ht="16" customHeight="1" spans="1:32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91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91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91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91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91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91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91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91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91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91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0</v>
      </c>
      <c r="L3" s="91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0</v>
      </c>
      <c r="M3" s="91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0</v>
      </c>
      <c r="N3" s="91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0</v>
      </c>
      <c r="O3" s="91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0</v>
      </c>
      <c r="P3" s="91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0</v>
      </c>
      <c r="Q3" s="91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0</v>
      </c>
      <c r="R3" s="91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0</v>
      </c>
      <c r="S3" s="91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0</v>
      </c>
      <c r="T3" s="91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0</v>
      </c>
      <c r="U3" s="91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0</v>
      </c>
      <c r="V3" s="91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0</v>
      </c>
      <c r="W3" s="91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0</v>
      </c>
      <c r="X3" s="91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0</v>
      </c>
      <c r="Y3" s="91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91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91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91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91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91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91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91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</row>
    <row r="4" ht="6" customHeight="1" spans="1:32" x14ac:dyDescent="0.25">
      <c r="A4" s="93">
        <f>OR(AND('Job setup'!$B$8="ON",'Job setup'!$C$8&lt;=A$1,'Job setup'!$D$8&gt;=A$1),AND('Job setup'!$B$9="ON",'Job setup'!$C$9&lt;=A$1,'Job setup'!$D$9&gt;=A$1),AND('Job setup'!$B$10="ON",'Job setup'!$C$10&lt;=A$1,'Job setup'!$D$10&gt;=A$1),AND(AND('Job setup'!$B$7="ON",'Job setup'!$C$7&lt;=A$1,'Job setup'!$D$7&gt;=A$1),OR('Job setup'!$G$7="YES",'Job setup'!$H$7="5×8 — OT after 8 hours",'Job setup'!$H$7="4×10 — OT after 8")),AND(AND('Job setup'!$B$11="ON",'Job setup'!$C$11&lt;=A$1,'Job setup'!$D$11&gt;=A$1),OR('Job setup'!$G$11="YES",'Job setup'!$H$11="5×8 — OT after 8 hours",'Job setup'!$H$11="4×10 — OT after 8")))</f>
        <v>1</v>
      </c>
      <c r="B4" s="93">
        <f>OR(AND('Job setup'!$B$8="ON",'Job setup'!$C$8&lt;=B$1,'Job setup'!$D$8&gt;=B$1),AND('Job setup'!$B$9="ON",'Job setup'!$C$9&lt;=B$1,'Job setup'!$D$9&gt;=B$1),AND('Job setup'!$B$10="ON",'Job setup'!$C$10&lt;=B$1,'Job setup'!$D$10&gt;=B$1),AND(AND('Job setup'!$B$7="ON",'Job setup'!$C$7&lt;=B$1,'Job setup'!$D$7&gt;=B$1),OR('Job setup'!$G$7="YES",'Job setup'!$H$7="5×8 — OT after 8 hours",'Job setup'!$H$7="4×10 — OT after 8")),AND(AND('Job setup'!$B$11="ON",'Job setup'!$C$11&lt;=B$1,'Job setup'!$D$11&gt;=B$1),OR('Job setup'!$G$11="YES",'Job setup'!$H$11="5×8 — OT after 8 hours",'Job setup'!$H$11="4×10 — OT after 8")))</f>
        <v>1</v>
      </c>
      <c r="C4" s="93">
        <f>OR(AND('Job setup'!$B$8="ON",'Job setup'!$C$8&lt;=C$1,'Job setup'!$D$8&gt;=C$1),AND('Job setup'!$B$9="ON",'Job setup'!$C$9&lt;=C$1,'Job setup'!$D$9&gt;=C$1),AND('Job setup'!$B$10="ON",'Job setup'!$C$10&lt;=C$1,'Job setup'!$D$10&gt;=C$1),AND(AND('Job setup'!$B$7="ON",'Job setup'!$C$7&lt;=C$1,'Job setup'!$D$7&gt;=C$1),OR('Job setup'!$G$7="YES",'Job setup'!$H$7="5×8 — OT after 8 hours",'Job setup'!$H$7="4×10 — OT after 8")),AND(AND('Job setup'!$B$11="ON",'Job setup'!$C$11&lt;=C$1,'Job setup'!$D$11&gt;=C$1),OR('Job setup'!$G$11="YES",'Job setup'!$H$11="5×8 — OT after 8 hours",'Job setup'!$H$11="4×10 — OT after 8")))</f>
        <v>1</v>
      </c>
      <c r="D4" s="93">
        <f>OR(AND('Job setup'!$B$8="ON",'Job setup'!$C$8&lt;=D$1,'Job setup'!$D$8&gt;=D$1),AND('Job setup'!$B$9="ON",'Job setup'!$C$9&lt;=D$1,'Job setup'!$D$9&gt;=D$1),AND('Job setup'!$B$10="ON",'Job setup'!$C$10&lt;=D$1,'Job setup'!$D$10&gt;=D$1),AND(AND('Job setup'!$B$7="ON",'Job setup'!$C$7&lt;=D$1,'Job setup'!$D$7&gt;=D$1),OR('Job setup'!$G$7="YES",'Job setup'!$H$7="5×8 — OT after 8 hours",'Job setup'!$H$7="4×10 — OT after 8")),AND(AND('Job setup'!$B$11="ON",'Job setup'!$C$11&lt;=D$1,'Job setup'!$D$11&gt;=D$1),OR('Job setup'!$G$11="YES",'Job setup'!$H$11="5×8 — OT after 8 hours",'Job setup'!$H$11="4×10 — OT after 8")))</f>
        <v>1</v>
      </c>
      <c r="E4" s="93">
        <f>OR(AND('Job setup'!$B$8="ON",'Job setup'!$C$8&lt;=E$1,'Job setup'!$D$8&gt;=E$1),AND('Job setup'!$B$9="ON",'Job setup'!$C$9&lt;=E$1,'Job setup'!$D$9&gt;=E$1),AND('Job setup'!$B$10="ON",'Job setup'!$C$10&lt;=E$1,'Job setup'!$D$10&gt;=E$1),AND(AND('Job setup'!$B$7="ON",'Job setup'!$C$7&lt;=E$1,'Job setup'!$D$7&gt;=E$1),OR('Job setup'!$G$7="YES",'Job setup'!$H$7="5×8 — OT after 8 hours",'Job setup'!$H$7="4×10 — OT after 8")),AND(AND('Job setup'!$B$11="ON",'Job setup'!$C$11&lt;=E$1,'Job setup'!$D$11&gt;=E$1),OR('Job setup'!$G$11="YES",'Job setup'!$H$11="5×8 — OT after 8 hours",'Job setup'!$H$11="4×10 — OT after 8")))</f>
        <v>1</v>
      </c>
      <c r="F4" s="93">
        <f>OR(AND('Job setup'!$B$8="ON",'Job setup'!$C$8&lt;=F$1,'Job setup'!$D$8&gt;=F$1),AND('Job setup'!$B$9="ON",'Job setup'!$C$9&lt;=F$1,'Job setup'!$D$9&gt;=F$1),AND('Job setup'!$B$10="ON",'Job setup'!$C$10&lt;=F$1,'Job setup'!$D$10&gt;=F$1),AND(AND('Job setup'!$B$7="ON",'Job setup'!$C$7&lt;=F$1,'Job setup'!$D$7&gt;=F$1),OR('Job setup'!$G$7="YES",'Job setup'!$H$7="5×8 — OT after 8 hours",'Job setup'!$H$7="4×10 — OT after 8")),AND(AND('Job setup'!$B$11="ON",'Job setup'!$C$11&lt;=F$1,'Job setup'!$D$11&gt;=F$1),OR('Job setup'!$G$11="YES",'Job setup'!$H$11="5×8 — OT after 8 hours",'Job setup'!$H$11="4×10 — OT after 8")))</f>
        <v>1</v>
      </c>
      <c r="G4" s="93">
        <f>OR(AND('Job setup'!$B$8="ON",'Job setup'!$C$8&lt;=G$1,'Job setup'!$D$8&gt;=G$1),AND('Job setup'!$B$9="ON",'Job setup'!$C$9&lt;=G$1,'Job setup'!$D$9&gt;=G$1),AND('Job setup'!$B$10="ON",'Job setup'!$C$10&lt;=G$1,'Job setup'!$D$10&gt;=G$1),AND(AND('Job setup'!$B$7="ON",'Job setup'!$C$7&lt;=G$1,'Job setup'!$D$7&gt;=G$1),OR('Job setup'!$G$7="YES",'Job setup'!$H$7="5×8 — OT after 8 hours",'Job setup'!$H$7="4×10 — OT after 8")),AND(AND('Job setup'!$B$11="ON",'Job setup'!$C$11&lt;=G$1,'Job setup'!$D$11&gt;=G$1),OR('Job setup'!$G$11="YES",'Job setup'!$H$11="5×8 — OT after 8 hours",'Job setup'!$H$11="4×10 — OT after 8")))</f>
        <v>1</v>
      </c>
      <c r="H4" s="93">
        <f>OR(AND('Job setup'!$B$8="ON",'Job setup'!$C$8&lt;=H$1,'Job setup'!$D$8&gt;=H$1),AND('Job setup'!$B$9="ON",'Job setup'!$C$9&lt;=H$1,'Job setup'!$D$9&gt;=H$1),AND('Job setup'!$B$10="ON",'Job setup'!$C$10&lt;=H$1,'Job setup'!$D$10&gt;=H$1),AND(AND('Job setup'!$B$7="ON",'Job setup'!$C$7&lt;=H$1,'Job setup'!$D$7&gt;=H$1),OR('Job setup'!$G$7="YES",'Job setup'!$H$7="5×8 — OT after 8 hours",'Job setup'!$H$7="4×10 — OT after 8")),AND(AND('Job setup'!$B$11="ON",'Job setup'!$C$11&lt;=H$1,'Job setup'!$D$11&gt;=H$1),OR('Job setup'!$G$11="YES",'Job setup'!$H$11="5×8 — OT after 8 hours",'Job setup'!$H$11="4×10 — OT after 8")))</f>
        <v>1</v>
      </c>
      <c r="I4" s="93">
        <f>OR(AND('Job setup'!$B$8="ON",'Job setup'!$C$8&lt;=I$1,'Job setup'!$D$8&gt;=I$1),AND('Job setup'!$B$9="ON",'Job setup'!$C$9&lt;=I$1,'Job setup'!$D$9&gt;=I$1),AND('Job setup'!$B$10="ON",'Job setup'!$C$10&lt;=I$1,'Job setup'!$D$10&gt;=I$1),AND(AND('Job setup'!$B$7="ON",'Job setup'!$C$7&lt;=I$1,'Job setup'!$D$7&gt;=I$1),OR('Job setup'!$G$7="YES",'Job setup'!$H$7="5×8 — OT after 8 hours",'Job setup'!$H$7="4×10 — OT after 8")),AND(AND('Job setup'!$B$11="ON",'Job setup'!$C$11&lt;=I$1,'Job setup'!$D$11&gt;=I$1),OR('Job setup'!$G$11="YES",'Job setup'!$H$11="5×8 — OT after 8 hours",'Job setup'!$H$11="4×10 — OT after 8")))</f>
        <v>1</v>
      </c>
      <c r="J4" s="93">
        <f>OR(AND('Job setup'!$B$8="ON",'Job setup'!$C$8&lt;=J$1,'Job setup'!$D$8&gt;=J$1),AND('Job setup'!$B$9="ON",'Job setup'!$C$9&lt;=J$1,'Job setup'!$D$9&gt;=J$1),AND('Job setup'!$B$10="ON",'Job setup'!$C$10&lt;=J$1,'Job setup'!$D$10&gt;=J$1),AND(AND('Job setup'!$B$7="ON",'Job setup'!$C$7&lt;=J$1,'Job setup'!$D$7&gt;=J$1),OR('Job setup'!$G$7="YES",'Job setup'!$H$7="5×8 — OT after 8 hours",'Job setup'!$H$7="4×10 — OT after 8")),AND(AND('Job setup'!$B$11="ON",'Job setup'!$C$11&lt;=J$1,'Job setup'!$D$11&gt;=J$1),OR('Job setup'!$G$11="YES",'Job setup'!$H$11="5×8 — OT after 8 hours",'Job setup'!$H$11="4×10 — OT after 8")))</f>
        <v>1</v>
      </c>
      <c r="K4" s="93">
        <f>OR(AND('Job setup'!$B$8="ON",'Job setup'!$C$8&lt;=K$1,'Job setup'!$D$8&gt;=K$1),AND('Job setup'!$B$9="ON",'Job setup'!$C$9&lt;=K$1,'Job setup'!$D$9&gt;=K$1),AND('Job setup'!$B$10="ON",'Job setup'!$C$10&lt;=K$1,'Job setup'!$D$10&gt;=K$1),AND(AND('Job setup'!$B$7="ON",'Job setup'!$C$7&lt;=K$1,'Job setup'!$D$7&gt;=K$1),OR('Job setup'!$G$7="YES",'Job setup'!$H$7="5×8 — OT after 8 hours",'Job setup'!$H$7="4×10 — OT after 8")),AND(AND('Job setup'!$B$11="ON",'Job setup'!$C$11&lt;=K$1,'Job setup'!$D$11&gt;=K$1),OR('Job setup'!$G$11="YES",'Job setup'!$H$11="5×8 — OT after 8 hours",'Job setup'!$H$11="4×10 — OT after 8")))</f>
        <v>1</v>
      </c>
      <c r="L4" s="93">
        <f>OR(AND('Job setup'!$B$8="ON",'Job setup'!$C$8&lt;=L$1,'Job setup'!$D$8&gt;=L$1),AND('Job setup'!$B$9="ON",'Job setup'!$C$9&lt;=L$1,'Job setup'!$D$9&gt;=L$1),AND('Job setup'!$B$10="ON",'Job setup'!$C$10&lt;=L$1,'Job setup'!$D$10&gt;=L$1),AND(AND('Job setup'!$B$7="ON",'Job setup'!$C$7&lt;=L$1,'Job setup'!$D$7&gt;=L$1),OR('Job setup'!$G$7="YES",'Job setup'!$H$7="5×8 — OT after 8 hours",'Job setup'!$H$7="4×10 — OT after 8")),AND(AND('Job setup'!$B$11="ON",'Job setup'!$C$11&lt;=L$1,'Job setup'!$D$11&gt;=L$1),OR('Job setup'!$G$11="YES",'Job setup'!$H$11="5×8 — OT after 8 hours",'Job setup'!$H$11="4×10 — OT after 8")))</f>
        <v>1</v>
      </c>
      <c r="M4" s="93">
        <f>OR(AND('Job setup'!$B$8="ON",'Job setup'!$C$8&lt;=M$1,'Job setup'!$D$8&gt;=M$1),AND('Job setup'!$B$9="ON",'Job setup'!$C$9&lt;=M$1,'Job setup'!$D$9&gt;=M$1),AND('Job setup'!$B$10="ON",'Job setup'!$C$10&lt;=M$1,'Job setup'!$D$10&gt;=M$1),AND(AND('Job setup'!$B$7="ON",'Job setup'!$C$7&lt;=M$1,'Job setup'!$D$7&gt;=M$1),OR('Job setup'!$G$7="YES",'Job setup'!$H$7="5×8 — OT after 8 hours",'Job setup'!$H$7="4×10 — OT after 8")),AND(AND('Job setup'!$B$11="ON",'Job setup'!$C$11&lt;=M$1,'Job setup'!$D$11&gt;=M$1),OR('Job setup'!$G$11="YES",'Job setup'!$H$11="5×8 — OT after 8 hours",'Job setup'!$H$11="4×10 — OT after 8")))</f>
        <v>1</v>
      </c>
      <c r="N4" s="93">
        <f>OR(AND('Job setup'!$B$8="ON",'Job setup'!$C$8&lt;=N$1,'Job setup'!$D$8&gt;=N$1),AND('Job setup'!$B$9="ON",'Job setup'!$C$9&lt;=N$1,'Job setup'!$D$9&gt;=N$1),AND('Job setup'!$B$10="ON",'Job setup'!$C$10&lt;=N$1,'Job setup'!$D$10&gt;=N$1),AND(AND('Job setup'!$B$7="ON",'Job setup'!$C$7&lt;=N$1,'Job setup'!$D$7&gt;=N$1),OR('Job setup'!$G$7="YES",'Job setup'!$H$7="5×8 — OT after 8 hours",'Job setup'!$H$7="4×10 — OT after 8")),AND(AND('Job setup'!$B$11="ON",'Job setup'!$C$11&lt;=N$1,'Job setup'!$D$11&gt;=N$1),OR('Job setup'!$G$11="YES",'Job setup'!$H$11="5×8 — OT after 8 hours",'Job setup'!$H$11="4×10 — OT after 8")))</f>
        <v>1</v>
      </c>
      <c r="O4" s="93">
        <f>OR(AND('Job setup'!$B$8="ON",'Job setup'!$C$8&lt;=O$1,'Job setup'!$D$8&gt;=O$1),AND('Job setup'!$B$9="ON",'Job setup'!$C$9&lt;=O$1,'Job setup'!$D$9&gt;=O$1),AND('Job setup'!$B$10="ON",'Job setup'!$C$10&lt;=O$1,'Job setup'!$D$10&gt;=O$1),AND(AND('Job setup'!$B$7="ON",'Job setup'!$C$7&lt;=O$1,'Job setup'!$D$7&gt;=O$1),OR('Job setup'!$G$7="YES",'Job setup'!$H$7="5×8 — OT after 8 hours",'Job setup'!$H$7="4×10 — OT after 8")),AND(AND('Job setup'!$B$11="ON",'Job setup'!$C$11&lt;=O$1,'Job setup'!$D$11&gt;=O$1),OR('Job setup'!$G$11="YES",'Job setup'!$H$11="5×8 — OT after 8 hours",'Job setup'!$H$11="4×10 — OT after 8")))</f>
        <v>1</v>
      </c>
      <c r="P4" s="93">
        <f>OR(AND('Job setup'!$B$8="ON",'Job setup'!$C$8&lt;=P$1,'Job setup'!$D$8&gt;=P$1),AND('Job setup'!$B$9="ON",'Job setup'!$C$9&lt;=P$1,'Job setup'!$D$9&gt;=P$1),AND('Job setup'!$B$10="ON",'Job setup'!$C$10&lt;=P$1,'Job setup'!$D$10&gt;=P$1),AND(AND('Job setup'!$B$7="ON",'Job setup'!$C$7&lt;=P$1,'Job setup'!$D$7&gt;=P$1),OR('Job setup'!$G$7="YES",'Job setup'!$H$7="5×8 — OT after 8 hours",'Job setup'!$H$7="4×10 — OT after 8")),AND(AND('Job setup'!$B$11="ON",'Job setup'!$C$11&lt;=P$1,'Job setup'!$D$11&gt;=P$1),OR('Job setup'!$G$11="YES",'Job setup'!$H$11="5×8 — OT after 8 hours",'Job setup'!$H$11="4×10 — OT after 8")))</f>
        <v>1</v>
      </c>
      <c r="Q4" s="93">
        <f>OR(AND('Job setup'!$B$8="ON",'Job setup'!$C$8&lt;=Q$1,'Job setup'!$D$8&gt;=Q$1),AND('Job setup'!$B$9="ON",'Job setup'!$C$9&lt;=Q$1,'Job setup'!$D$9&gt;=Q$1),AND('Job setup'!$B$10="ON",'Job setup'!$C$10&lt;=Q$1,'Job setup'!$D$10&gt;=Q$1),AND(AND('Job setup'!$B$7="ON",'Job setup'!$C$7&lt;=Q$1,'Job setup'!$D$7&gt;=Q$1),OR('Job setup'!$G$7="YES",'Job setup'!$H$7="5×8 — OT after 8 hours",'Job setup'!$H$7="4×10 — OT after 8")),AND(AND('Job setup'!$B$11="ON",'Job setup'!$C$11&lt;=Q$1,'Job setup'!$D$11&gt;=Q$1),OR('Job setup'!$G$11="YES",'Job setup'!$H$11="5×8 — OT after 8 hours",'Job setup'!$H$11="4×10 — OT after 8")))</f>
        <v>1</v>
      </c>
      <c r="R4" s="93">
        <f>OR(AND('Job setup'!$B$8="ON",'Job setup'!$C$8&lt;=R$1,'Job setup'!$D$8&gt;=R$1),AND('Job setup'!$B$9="ON",'Job setup'!$C$9&lt;=R$1,'Job setup'!$D$9&gt;=R$1),AND('Job setup'!$B$10="ON",'Job setup'!$C$10&lt;=R$1,'Job setup'!$D$10&gt;=R$1),AND(AND('Job setup'!$B$7="ON",'Job setup'!$C$7&lt;=R$1,'Job setup'!$D$7&gt;=R$1),OR('Job setup'!$G$7="YES",'Job setup'!$H$7="5×8 — OT after 8 hours",'Job setup'!$H$7="4×10 — OT after 8")),AND(AND('Job setup'!$B$11="ON",'Job setup'!$C$11&lt;=R$1,'Job setup'!$D$11&gt;=R$1),OR('Job setup'!$G$11="YES",'Job setup'!$H$11="5×8 — OT after 8 hours",'Job setup'!$H$11="4×10 — OT after 8")))</f>
        <v>1</v>
      </c>
      <c r="S4" s="93">
        <f>OR(AND('Job setup'!$B$8="ON",'Job setup'!$C$8&lt;=S$1,'Job setup'!$D$8&gt;=S$1),AND('Job setup'!$B$9="ON",'Job setup'!$C$9&lt;=S$1,'Job setup'!$D$9&gt;=S$1),AND('Job setup'!$B$10="ON",'Job setup'!$C$10&lt;=S$1,'Job setup'!$D$10&gt;=S$1),AND(AND('Job setup'!$B$7="ON",'Job setup'!$C$7&lt;=S$1,'Job setup'!$D$7&gt;=S$1),OR('Job setup'!$G$7="YES",'Job setup'!$H$7="5×8 — OT after 8 hours",'Job setup'!$H$7="4×10 — OT after 8")),AND(AND('Job setup'!$B$11="ON",'Job setup'!$C$11&lt;=S$1,'Job setup'!$D$11&gt;=S$1),OR('Job setup'!$G$11="YES",'Job setup'!$H$11="5×8 — OT after 8 hours",'Job setup'!$H$11="4×10 — OT after 8")))</f>
        <v>1</v>
      </c>
      <c r="T4" s="93">
        <f>OR(AND('Job setup'!$B$8="ON",'Job setup'!$C$8&lt;=T$1,'Job setup'!$D$8&gt;=T$1),AND('Job setup'!$B$9="ON",'Job setup'!$C$9&lt;=T$1,'Job setup'!$D$9&gt;=T$1),AND('Job setup'!$B$10="ON",'Job setup'!$C$10&lt;=T$1,'Job setup'!$D$10&gt;=T$1),AND(AND('Job setup'!$B$7="ON",'Job setup'!$C$7&lt;=T$1,'Job setup'!$D$7&gt;=T$1),OR('Job setup'!$G$7="YES",'Job setup'!$H$7="5×8 — OT after 8 hours",'Job setup'!$H$7="4×10 — OT after 8")),AND(AND('Job setup'!$B$11="ON",'Job setup'!$C$11&lt;=T$1,'Job setup'!$D$11&gt;=T$1),OR('Job setup'!$G$11="YES",'Job setup'!$H$11="5×8 — OT after 8 hours",'Job setup'!$H$11="4×10 — OT after 8")))</f>
        <v>1</v>
      </c>
      <c r="U4" s="93">
        <f>OR(AND('Job setup'!$B$8="ON",'Job setup'!$C$8&lt;=U$1,'Job setup'!$D$8&gt;=U$1),AND('Job setup'!$B$9="ON",'Job setup'!$C$9&lt;=U$1,'Job setup'!$D$9&gt;=U$1),AND('Job setup'!$B$10="ON",'Job setup'!$C$10&lt;=U$1,'Job setup'!$D$10&gt;=U$1),AND(AND('Job setup'!$B$7="ON",'Job setup'!$C$7&lt;=U$1,'Job setup'!$D$7&gt;=U$1),OR('Job setup'!$G$7="YES",'Job setup'!$H$7="5×8 — OT after 8 hours",'Job setup'!$H$7="4×10 — OT after 8")),AND(AND('Job setup'!$B$11="ON",'Job setup'!$C$11&lt;=U$1,'Job setup'!$D$11&gt;=U$1),OR('Job setup'!$G$11="YES",'Job setup'!$H$11="5×8 — OT after 8 hours",'Job setup'!$H$11="4×10 — OT after 8")))</f>
        <v>1</v>
      </c>
      <c r="V4" s="93">
        <f>OR(AND('Job setup'!$B$8="ON",'Job setup'!$C$8&lt;=V$1,'Job setup'!$D$8&gt;=V$1),AND('Job setup'!$B$9="ON",'Job setup'!$C$9&lt;=V$1,'Job setup'!$D$9&gt;=V$1),AND('Job setup'!$B$10="ON",'Job setup'!$C$10&lt;=V$1,'Job setup'!$D$10&gt;=V$1),AND(AND('Job setup'!$B$7="ON",'Job setup'!$C$7&lt;=V$1,'Job setup'!$D$7&gt;=V$1),OR('Job setup'!$G$7="YES",'Job setup'!$H$7="5×8 — OT after 8 hours",'Job setup'!$H$7="4×10 — OT after 8")),AND(AND('Job setup'!$B$11="ON",'Job setup'!$C$11&lt;=V$1,'Job setup'!$D$11&gt;=V$1),OR('Job setup'!$G$11="YES",'Job setup'!$H$11="5×8 — OT after 8 hours",'Job setup'!$H$11="4×10 — OT after 8")))</f>
        <v>1</v>
      </c>
      <c r="W4" s="93">
        <f>OR(AND('Job setup'!$B$8="ON",'Job setup'!$C$8&lt;=W$1,'Job setup'!$D$8&gt;=W$1),AND('Job setup'!$B$9="ON",'Job setup'!$C$9&lt;=W$1,'Job setup'!$D$9&gt;=W$1),AND('Job setup'!$B$10="ON",'Job setup'!$C$10&lt;=W$1,'Job setup'!$D$10&gt;=W$1),AND(AND('Job setup'!$B$7="ON",'Job setup'!$C$7&lt;=W$1,'Job setup'!$D$7&gt;=W$1),OR('Job setup'!$G$7="YES",'Job setup'!$H$7="5×8 — OT after 8 hours",'Job setup'!$H$7="4×10 — OT after 8")),AND(AND('Job setup'!$B$11="ON",'Job setup'!$C$11&lt;=W$1,'Job setup'!$D$11&gt;=W$1),OR('Job setup'!$G$11="YES",'Job setup'!$H$11="5×8 — OT after 8 hours",'Job setup'!$H$11="4×10 — OT after 8")))</f>
        <v>1</v>
      </c>
      <c r="X4" s="93">
        <f>OR(AND('Job setup'!$B$8="ON",'Job setup'!$C$8&lt;=X$1,'Job setup'!$D$8&gt;=X$1),AND('Job setup'!$B$9="ON",'Job setup'!$C$9&lt;=X$1,'Job setup'!$D$9&gt;=X$1),AND('Job setup'!$B$10="ON",'Job setup'!$C$10&lt;=X$1,'Job setup'!$D$10&gt;=X$1),AND(AND('Job setup'!$B$7="ON",'Job setup'!$C$7&lt;=X$1,'Job setup'!$D$7&gt;=X$1),OR('Job setup'!$G$7="YES",'Job setup'!$H$7="5×8 — OT after 8 hours",'Job setup'!$H$7="4×10 — OT after 8")),AND(AND('Job setup'!$B$11="ON",'Job setup'!$C$11&lt;=X$1,'Job setup'!$D$11&gt;=X$1),OR('Job setup'!$G$11="YES",'Job setup'!$H$11="5×8 — OT after 8 hours",'Job setup'!$H$11="4×10 — OT after 8")))</f>
        <v>1</v>
      </c>
      <c r="Y4" s="93">
        <f>OR(AND('Job setup'!$B$8="ON",'Job setup'!$C$8&lt;=Y$1,'Job setup'!$D$8&gt;=Y$1),AND('Job setup'!$B$9="ON",'Job setup'!$C$9&lt;=Y$1,'Job setup'!$D$9&gt;=Y$1),AND('Job setup'!$B$10="ON",'Job setup'!$C$10&lt;=Y$1,'Job setup'!$D$10&gt;=Y$1),AND(AND('Job setup'!$B$7="ON",'Job setup'!$C$7&lt;=Y$1,'Job setup'!$D$7&gt;=Y$1),OR('Job setup'!$G$7="YES",'Job setup'!$H$7="5×8 — OT after 8 hours",'Job setup'!$H$7="4×10 — OT after 8")),AND(AND('Job setup'!$B$11="ON",'Job setup'!$C$11&lt;=Y$1,'Job setup'!$D$11&gt;=Y$1),OR('Job setup'!$G$11="YES",'Job setup'!$H$11="5×8 — OT after 8 hours",'Job setup'!$H$11="4×10 — OT after 8")))</f>
        <v>1</v>
      </c>
      <c r="Z4" s="93">
        <f>OR(AND('Job setup'!$B$8="ON",'Job setup'!$C$8&lt;=Z$1,'Job setup'!$D$8&gt;=Z$1),AND('Job setup'!$B$9="ON",'Job setup'!$C$9&lt;=Z$1,'Job setup'!$D$9&gt;=Z$1),AND('Job setup'!$B$10="ON",'Job setup'!$C$10&lt;=Z$1,'Job setup'!$D$10&gt;=Z$1),AND(AND('Job setup'!$B$7="ON",'Job setup'!$C$7&lt;=Z$1,'Job setup'!$D$7&gt;=Z$1),OR('Job setup'!$G$7="YES",'Job setup'!$H$7="5×8 — OT after 8 hours",'Job setup'!$H$7="4×10 — OT after 8")),AND(AND('Job setup'!$B$11="ON",'Job setup'!$C$11&lt;=Z$1,'Job setup'!$D$11&gt;=Z$1),OR('Job setup'!$G$11="YES",'Job setup'!$H$11="5×8 — OT after 8 hours",'Job setup'!$H$11="4×10 — OT after 8")))</f>
        <v>1</v>
      </c>
      <c r="AA4" s="93">
        <f>OR(AND('Job setup'!$B$8="ON",'Job setup'!$C$8&lt;=AA$1,'Job setup'!$D$8&gt;=AA$1),AND('Job setup'!$B$9="ON",'Job setup'!$C$9&lt;=AA$1,'Job setup'!$D$9&gt;=AA$1),AND('Job setup'!$B$10="ON",'Job setup'!$C$10&lt;=AA$1,'Job setup'!$D$10&gt;=AA$1),AND(AND('Job setup'!$B$7="ON",'Job setup'!$C$7&lt;=AA$1,'Job setup'!$D$7&gt;=AA$1),OR('Job setup'!$G$7="YES",'Job setup'!$H$7="5×8 — OT after 8 hours",'Job setup'!$H$7="4×10 — OT after 8")),AND(AND('Job setup'!$B$11="ON",'Job setup'!$C$11&lt;=AA$1,'Job setup'!$D$11&gt;=AA$1),OR('Job setup'!$G$11="YES",'Job setup'!$H$11="5×8 — OT after 8 hours",'Job setup'!$H$11="4×10 — OT after 8")))</f>
        <v>1</v>
      </c>
      <c r="AB4" s="93">
        <f>OR(AND('Job setup'!$B$8="ON",'Job setup'!$C$8&lt;=AB$1,'Job setup'!$D$8&gt;=AB$1),AND('Job setup'!$B$9="ON",'Job setup'!$C$9&lt;=AB$1,'Job setup'!$D$9&gt;=AB$1),AND('Job setup'!$B$10="ON",'Job setup'!$C$10&lt;=AB$1,'Job setup'!$D$10&gt;=AB$1),AND(AND('Job setup'!$B$7="ON",'Job setup'!$C$7&lt;=AB$1,'Job setup'!$D$7&gt;=AB$1),OR('Job setup'!$G$7="YES",'Job setup'!$H$7="5×8 — OT after 8 hours",'Job setup'!$H$7="4×10 — OT after 8")),AND(AND('Job setup'!$B$11="ON",'Job setup'!$C$11&lt;=AB$1,'Job setup'!$D$11&gt;=AB$1),OR('Job setup'!$G$11="YES",'Job setup'!$H$11="5×8 — OT after 8 hours",'Job setup'!$H$11="4×10 — OT after 8")))</f>
        <v>1</v>
      </c>
      <c r="AC4" s="93">
        <f>OR(AND('Job setup'!$B$8="ON",'Job setup'!$C$8&lt;=AC$1,'Job setup'!$D$8&gt;=AC$1),AND('Job setup'!$B$9="ON",'Job setup'!$C$9&lt;=AC$1,'Job setup'!$D$9&gt;=AC$1),AND('Job setup'!$B$10="ON",'Job setup'!$C$10&lt;=AC$1,'Job setup'!$D$10&gt;=AC$1),AND(AND('Job setup'!$B$7="ON",'Job setup'!$C$7&lt;=AC$1,'Job setup'!$D$7&gt;=AC$1),OR('Job setup'!$G$7="YES",'Job setup'!$H$7="5×8 — OT after 8 hours",'Job setup'!$H$7="4×10 — OT after 8")),AND(AND('Job setup'!$B$11="ON",'Job setup'!$C$11&lt;=AC$1,'Job setup'!$D$11&gt;=AC$1),OR('Job setup'!$G$11="YES",'Job setup'!$H$11="5×8 — OT after 8 hours",'Job setup'!$H$11="4×10 — OT after 8")))</f>
        <v>1</v>
      </c>
      <c r="AD4" s="93">
        <f>OR(AND('Job setup'!$B$8="ON",'Job setup'!$C$8&lt;=AD$1,'Job setup'!$D$8&gt;=AD$1),AND('Job setup'!$B$9="ON",'Job setup'!$C$9&lt;=AD$1,'Job setup'!$D$9&gt;=AD$1),AND('Job setup'!$B$10="ON",'Job setup'!$C$10&lt;=AD$1,'Job setup'!$D$10&gt;=AD$1),AND(AND('Job setup'!$B$7="ON",'Job setup'!$C$7&lt;=AD$1,'Job setup'!$D$7&gt;=AD$1),OR('Job setup'!$G$7="YES",'Job setup'!$H$7="5×8 — OT after 8 hours",'Job setup'!$H$7="4×10 — OT after 8")),AND(AND('Job setup'!$B$11="ON",'Job setup'!$C$11&lt;=AD$1,'Job setup'!$D$11&gt;=AD$1),OR('Job setup'!$G$11="YES",'Job setup'!$H$11="5×8 — OT after 8 hours",'Job setup'!$H$11="4×10 — OT after 8")))</f>
        <v>1</v>
      </c>
      <c r="AE4" s="93">
        <f>OR(AND('Job setup'!$B$8="ON",'Job setup'!$C$8&lt;=AE$1,'Job setup'!$D$8&gt;=AE$1),AND('Job setup'!$B$9="ON",'Job setup'!$C$9&lt;=AE$1,'Job setup'!$D$9&gt;=AE$1),AND('Job setup'!$B$10="ON",'Job setup'!$C$10&lt;=AE$1,'Job setup'!$D$10&gt;=AE$1),AND(AND('Job setup'!$B$7="ON",'Job setup'!$C$7&lt;=AE$1,'Job setup'!$D$7&gt;=AE$1),OR('Job setup'!$G$7="YES",'Job setup'!$H$7="5×8 — OT after 8 hours",'Job setup'!$H$7="4×10 — OT after 8")),AND(AND('Job setup'!$B$11="ON",'Job setup'!$C$11&lt;=AE$1,'Job setup'!$D$11&gt;=AE$1),OR('Job setup'!$G$11="YES",'Job setup'!$H$11="5×8 — OT after 8 hours",'Job setup'!$H$11="4×10 — OT after 8")))</f>
        <v>1</v>
      </c>
      <c r="AF4" s="93">
        <f>OR(AND('Job setup'!$B$8="ON",'Job setup'!$C$8&lt;=AF$1,'Job setup'!$D$8&gt;=AF$1),AND('Job setup'!$B$9="ON",'Job setup'!$C$9&lt;=AF$1,'Job setup'!$D$9&gt;=AF$1),AND('Job setup'!$B$10="ON",'Job setup'!$C$10&lt;=AF$1,'Job setup'!$D$10&gt;=AF$1),AND(AND('Job setup'!$B$7="ON",'Job setup'!$C$7&lt;=AF$1,'Job setup'!$D$7&gt;=AF$1),OR('Job setup'!$G$7="YES",'Job setup'!$H$7="5×8 — OT after 8 hours",'Job setup'!$H$7="4×10 — OT after 8")),AND(AND('Job setup'!$B$11="ON",'Job setup'!$C$11&lt;=AF$1,'Job setup'!$D$11&gt;=AF$1),OR('Job setup'!$G$11="YES",'Job setup'!$H$11="5×8 — OT after 8 hours",'Job setup'!$H$11="4×10 — OT after 8")))</f>
        <v>1</v>
      </c>
    </row>
    <row r="5" ht="6" customHeight="1" spans="1:32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ht="20" customHeight="1" spans="1:32" x14ac:dyDescent="0.25">
      <c r="A6" s="94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 Page</vt:lpstr>
      <vt:lpstr>Job setup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2026-09-05T15:09:49Z</dcterms:created>
  <dcterms:modified xsi:type="dcterms:W3CDTF">2026-09-05T15:09:49Z</dcterms:modified>
</cp:coreProperties>
</file>