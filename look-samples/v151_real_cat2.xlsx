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'Staff'!$A1:$AQ63</definedName>
    <definedName name="_xlnm.Print_Titles" localSheetId="1">'Staff'!$A:$K,'Staff'!$6:$6</definedName>
    <definedName name="_xlnm.Print_Area" localSheetId="2">'Foremen'!$A1:$AQ21</definedName>
    <definedName name="_xlnm.Print_Titles" localSheetId="2">'Foremen'!$A:$K,'Foremen'!$6:$6</definedName>
    <definedName name="_xlnm.Print_Area" localSheetId="3">'Direct'!$A1:$AQ21</definedName>
    <definedName name="_xlnm.Print_Titles" localSheetId="3">'Direct'!$A:$K,'Direct'!$6:$6</definedName>
    <definedName name="_xlnm.Print_Area" localSheetId="4">'Support'!$A1:$AQ21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Tables'!$A1:$F13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<sst xmlns="http://schemas.openxmlformats.org/spreadsheetml/2006/main" count="394" uniqueCount="95">
  <si>
    <t>HIT SQUAD / PROJECT CONTROLS</t>
  </si>
  <si>
    <t>Produced by Hit Squad Project Controls  ·  Confidential estimate package</t>
  </si>
  <si>
    <t>Madison CAT 2 (Pit Stop)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</si>
  <si>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</si>
  <si>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</si>
  <si>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</si>
  <si>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</si>
  <si>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</si>
  <si>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</si>
  <si>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</si>
  <si>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</si>
  <si>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</si>
  <si>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</si>
  <si>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</si>
  <si>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</si>
  <si>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</si>
  <si>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</si>
  <si>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</si>
  <si>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</si>
  <si>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</si>
  <si>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</si>
  <si>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</si>
  <si>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</si>
  <si>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</si>
  <si>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</si>
  <si>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</si>
  <si>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</si>
  <si>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</si>
  <si>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</si>
  <si>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</si>
  <si>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</si>
  <si>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</si>
  <si>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TITLE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</si>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</sst>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9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F3D44"/>
      </patternFill>
    </fill>
    <fill>
      <patternFill patternType="solid">
        <fgColor rgb="FF163038"/>
      </patternFill>
    </fill>
    <fill>
      <patternFill patternType="solid">
        <fgColor rgb="FFE8EEF0"/>
      </patternFill>
    </fill>
    <fill>
      <patternFill patternType="solid">
        <fgColor rgb="FFF0C14B"/>
      </patternFill>
    </fill>
    <fill>
      <patternFill patternType="solid">
        <fgColor rgb="FFFFF3D6"/>
      </patternFill>
    </fill>
    <fill>
      <patternFill patternType="solid">
        <fgColor rgb="FFFFF8E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0C14B"/>
      </bottom>
      <diagonal/>
    </border>
    <border>
      <left/>
      <right/>
      <top style="medium">
        <color rgb="FF0F5F6D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 vertical="center" wrapText="1"/>
    </xf>
    <xf numFmtId="0" fontId="4" fillId="0" borderId="0" xfId="0" applyFont="1"/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 applyAlignment="1">
      <alignment horizontal="right"/>
    </xf>
    <xf numFmtId="166" fontId="4" fillId="4" borderId="0" xfId="0" applyNumberFormat="1" applyFont="1" applyFill="1" applyAlignment="1">
      <alignment horizontal="right"/>
    </xf>
    <xf numFmtId="0" fontId="7" fillId="5" borderId="2" xfId="0" applyFont="1" applyFill="1" applyBorder="1"/>
    <xf numFmtId="166" fontId="7" fillId="5" borderId="2" xfId="0" applyNumberFormat="1" applyFont="1" applyFill="1" applyBorder="1"/>
    <xf numFmtId="0" fontId="8" fillId="6" borderId="0" xfId="0" applyFont="1" applyFill="1"/>
    <xf numFmtId="165" fontId="8" fillId="6" borderId="0" xfId="0" applyNumberFormat="1" applyFont="1" applyFill="1"/>
    <xf numFmtId="165" fontId="7" fillId="5" borderId="2" xfId="0" applyNumberFormat="1" applyFont="1" applyFill="1" applyBorder="1"/>
    <xf numFmtId="167" fontId="6" fillId="3" borderId="1" xfId="0" applyNumberFormat="1" applyFont="1" applyFill="1" applyBorder="1" applyAlignment="1">
      <alignment horizontal="center" vertical="center" wrapText="1"/>
    </xf>
    <xf numFmtId="0" fontId="8" fillId="4" borderId="0" xfId="0" applyFont="1" applyFill="1"/>
    <xf numFmtId="166" fontId="8" fillId="4" borderId="0" xfId="0" applyNumberFormat="1" applyFont="1" applyFill="1"/>
    <xf numFmtId="165" fontId="8" fillId="4" borderId="0" xfId="0" applyNumberFormat="1" applyFont="1" applyFill="1"/>
    <xf numFmtId="0" fontId="4" fillId="7" borderId="0" xfId="0" applyFont="1" applyFill="1"/>
    <xf numFmtId="3" fontId="4" fillId="7" borderId="0" xfId="0" applyNumberFormat="1" applyFont="1" applyFill="1"/>
    <xf numFmtId="166" fontId="4" fillId="7" borderId="0" xfId="0" applyNumberFormat="1" applyFont="1" applyFill="1"/>
    <xf numFmtId="166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3" fontId="4" fillId="4" borderId="0" xfId="0" applyNumberFormat="1" applyFont="1" applyFill="1"/>
    <xf numFmtId="165" fontId="4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C19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6" customWidth="1"/>
    <col min="2" max="2" width="16" customWidth="1"/>
    <col min="3" max="3" width="14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46269.72952784722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Staff!K63</f>
      </c>
      <c r="C7" s="10">
        <f>Staff!B63</f>
      </c>
    </row>
    <row r="8" spans="1:3" x14ac:dyDescent="0.25">
      <c r="A8" s="11" t="s">
        <v>9</v>
      </c>
      <c r="B8" s="12">
        <f>Foremen!K21</f>
      </c>
      <c r="C8" s="13">
        <f>Foremen!B21</f>
      </c>
    </row>
    <row r="9" spans="1:3" x14ac:dyDescent="0.25">
      <c r="A9" s="8" t="s">
        <v>10</v>
      </c>
      <c r="B9" s="9">
        <f>Direct!K21</f>
      </c>
      <c r="C9" s="10">
        <f>Direct!B21</f>
      </c>
    </row>
    <row r="10" spans="1:3" x14ac:dyDescent="0.25">
      <c r="A10" s="11" t="s">
        <v>11</v>
      </c>
      <c r="B10" s="12">
        <f>Support!K21</f>
      </c>
      <c r="C10" s="13">
        <f>Support!B21</f>
      </c>
    </row>
    <row r="11" spans="1:3" x14ac:dyDescent="0.25">
      <c r="A11" s="8" t="s">
        <v>12</v>
      </c>
      <c r="B11" s="9">
        <f>SUM(B7,B8,B9,B10)</f>
      </c>
      <c r="C11" s="10">
        <f>SUM(C7,C8,C9,C10)</f>
      </c>
    </row>
    <row r="12" spans="1:2" x14ac:dyDescent="0.25">
      <c r="A12" s="11" t="s">
        <v>13</v>
      </c>
      <c r="B12" s="12">
        <f>SUM(Staff!D63,Foremen!D21,Direct!D21,Support!D21)</f>
      </c>
    </row>
    <row r="13" spans="1:3" x14ac:dyDescent="0.25">
      <c r="A13" s="14" t="s">
        <v>14</v>
      </c>
      <c r="C13" s="15">
        <f>SUM(C7,C8,C9,C10)</f>
      </c>
    </row>
    <row r="14" spans="1:2" x14ac:dyDescent="0.25">
      <c r="A14" s="11" t="s">
        <v>15</v>
      </c>
      <c r="B14" s="12">
        <f>'Staff Travel Cost'!E8</f>
      </c>
    </row>
    <row r="15" spans="1:2" x14ac:dyDescent="0.25">
      <c r="A15" s="8" t="s">
        <v>16</v>
      </c>
      <c r="B15" s="9">
        <f>'Misc Costs'!E10</f>
      </c>
    </row>
    <row r="16" spans="1:2" x14ac:dyDescent="0.25">
      <c r="A16" s="11" t="s">
        <v>17</v>
      </c>
      <c r="B16" s="12">
        <f>COE!G11</f>
      </c>
    </row>
    <row r="17" spans="1:2" x14ac:dyDescent="0.25">
      <c r="A17" s="16" t="s">
        <v>18</v>
      </c>
      <c r="B17" s="17">
        <v>695.5</v>
      </c>
    </row>
    <row r="19" spans="1:3" x14ac:dyDescent="0.25">
      <c r="A19" s="14" t="s">
        <v>19</v>
      </c>
      <c r="B19" s="18">
        <f>SUM(B11,B12,B14,B15,B16,B17)</f>
      </c>
      <c r="C19" s="15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63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102" max="10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46269.72952774305</v>
      </c>
    </row>
    <row r="6" ht="20" customHeight="1" spans="1:43" x14ac:dyDescent="0.25">
      <c r="A6" s="7" t="s">
        <v>20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  <c r="G6" s="7" t="s">
        <v>26</v>
      </c>
      <c r="H6" s="7" t="s">
        <v>27</v>
      </c>
      <c r="I6" s="7" t="s">
        <v>28</v>
      </c>
      <c r="J6" s="7" t="s">
        <v>29</v>
      </c>
      <c r="K6" s="7" t="s">
        <v>12</v>
      </c>
      <c r="L6" s="19">
        <v>46286</v>
      </c>
      <c r="M6" s="19">
        <f>L6+1</f>
      </c>
      <c r="N6" s="19">
        <f>M6+1</f>
      </c>
      <c r="O6" s="19">
        <f>N6+1</f>
      </c>
      <c r="P6" s="19">
        <f>O6+1</f>
      </c>
      <c r="Q6" s="19">
        <f>P6+1</f>
      </c>
      <c r="R6" s="19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19">
        <f>W6+1</f>
      </c>
      <c r="Y6" s="19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19">
        <f>AD6+1</f>
      </c>
      <c r="AF6" s="19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19">
        <f>AK6+1</f>
      </c>
      <c r="AM6" s="19">
        <f>AL6+1</f>
      </c>
      <c r="AN6" s="19">
        <f>AM6+1</f>
      </c>
      <c r="AO6" s="19">
        <f>AN6+1</f>
      </c>
      <c r="AP6" s="19">
        <f>AO6+1</f>
      </c>
      <c r="AQ6" s="19">
        <f>AP6+1</f>
      </c>
    </row>
    <row r="7" spans="1:102" x14ac:dyDescent="0.25">
      <c r="A7" s="20" t="s">
        <v>30</v>
      </c>
      <c r="B7" s="21">
        <f>G7+H7+I7</f>
      </c>
      <c r="C7" s="20" t="s">
        <v>31</v>
      </c>
      <c r="D7" s="22">
        <f>K7</f>
      </c>
      <c r="F7" s="20" t="s">
        <v>32</v>
      </c>
      <c r="G7" s="21">
        <f>B10</f>
      </c>
      <c r="H7" s="21">
        <f>B11</f>
      </c>
      <c r="I7" s="21">
        <f>B12</f>
      </c>
      <c r="J7" s="21">
        <f>B13</f>
      </c>
      <c r="K7" s="22">
        <f>D10+D11+D12</f>
      </c>
      <c r="CX7" s="20" t="s">
        <v>33</v>
      </c>
    </row>
    <row r="8" spans="6:102" x14ac:dyDescent="0.25">
      <c r="F8" s="23" t="s">
        <v>34</v>
      </c>
      <c r="L8" s="24">
        <v>1</v>
      </c>
      <c r="M8" s="24">
        <v>1</v>
      </c>
      <c r="N8" s="24">
        <v>1</v>
      </c>
      <c r="O8" s="24">
        <v>1</v>
      </c>
      <c r="P8" s="24">
        <v>1</v>
      </c>
      <c r="Q8" s="24">
        <v>0</v>
      </c>
      <c r="R8" s="24">
        <v>0</v>
      </c>
      <c r="S8" s="24">
        <v>1</v>
      </c>
      <c r="T8" s="24">
        <v>1</v>
      </c>
      <c r="U8" s="24">
        <v>1</v>
      </c>
      <c r="V8" s="24">
        <v>1</v>
      </c>
      <c r="W8" s="24">
        <v>1</v>
      </c>
      <c r="X8" s="24">
        <v>1</v>
      </c>
      <c r="Y8" s="24">
        <v>1</v>
      </c>
      <c r="Z8" s="24">
        <v>1</v>
      </c>
      <c r="AA8" s="24">
        <v>1</v>
      </c>
      <c r="AB8" s="24">
        <v>1</v>
      </c>
      <c r="AC8" s="24">
        <v>1</v>
      </c>
      <c r="AD8" s="24">
        <v>1</v>
      </c>
      <c r="AE8" s="24">
        <v>1</v>
      </c>
      <c r="AF8" s="24">
        <v>1</v>
      </c>
      <c r="AG8" s="24">
        <v>1</v>
      </c>
      <c r="AH8" s="24">
        <v>1</v>
      </c>
      <c r="AI8" s="24">
        <v>1</v>
      </c>
      <c r="AJ8" s="24">
        <v>1</v>
      </c>
      <c r="AK8" s="24">
        <v>1</v>
      </c>
      <c r="AL8" s="24">
        <v>0</v>
      </c>
      <c r="AM8" s="24">
        <v>0</v>
      </c>
      <c r="AN8" s="24">
        <v>1</v>
      </c>
      <c r="AO8" s="24">
        <v>1</v>
      </c>
      <c r="AP8" s="24">
        <v>1</v>
      </c>
      <c r="AQ8" s="24">
        <v>1</v>
      </c>
      <c r="CX8" s="23" t="s">
        <v>33</v>
      </c>
    </row>
    <row r="9" spans="1:102" x14ac:dyDescent="0.25">
      <c r="A9" s="23" t="s">
        <v>35</v>
      </c>
      <c r="F9" s="23" t="s">
        <v>36</v>
      </c>
      <c r="L9" s="25">
        <v>8</v>
      </c>
      <c r="M9" s="25">
        <v>8</v>
      </c>
      <c r="N9" s="25">
        <v>8</v>
      </c>
      <c r="O9" s="25">
        <v>8</v>
      </c>
      <c r="P9" s="25">
        <v>8</v>
      </c>
      <c r="Q9" s="25">
        <v>0</v>
      </c>
      <c r="R9" s="25">
        <v>0</v>
      </c>
      <c r="S9" s="25">
        <v>8</v>
      </c>
      <c r="T9" s="25">
        <v>8</v>
      </c>
      <c r="U9" s="25">
        <v>8</v>
      </c>
      <c r="V9" s="25">
        <v>12</v>
      </c>
      <c r="W9" s="25">
        <v>12</v>
      </c>
      <c r="X9" s="25">
        <v>12</v>
      </c>
      <c r="Y9" s="25">
        <v>12</v>
      </c>
      <c r="Z9" s="25">
        <v>12</v>
      </c>
      <c r="AA9" s="25">
        <v>12</v>
      </c>
      <c r="AB9" s="25">
        <v>12</v>
      </c>
      <c r="AC9" s="25">
        <v>12</v>
      </c>
      <c r="AD9" s="25">
        <v>12</v>
      </c>
      <c r="AE9" s="25">
        <v>12</v>
      </c>
      <c r="AF9" s="25">
        <v>12</v>
      </c>
      <c r="AG9" s="25">
        <v>12</v>
      </c>
      <c r="AH9" s="25">
        <v>12</v>
      </c>
      <c r="AI9" s="25">
        <v>12</v>
      </c>
      <c r="AJ9" s="25">
        <v>8</v>
      </c>
      <c r="AK9" s="25">
        <v>8</v>
      </c>
      <c r="AL9" s="25">
        <v>0</v>
      </c>
      <c r="AM9" s="25">
        <v>0</v>
      </c>
      <c r="AN9" s="25">
        <v>8</v>
      </c>
      <c r="AO9" s="25">
        <v>8</v>
      </c>
      <c r="AP9" s="25">
        <v>8</v>
      </c>
      <c r="AQ9" s="25">
        <v>8</v>
      </c>
      <c r="CX9" s="23" t="s">
        <v>33</v>
      </c>
    </row>
    <row r="10" spans="2:102" x14ac:dyDescent="0.25">
      <c r="B10" s="26">
        <f>SUM(L10:AQ10)</f>
      </c>
      <c r="D10" s="27">
        <f>B10*E10</f>
      </c>
      <c r="E10" s="27">
        <f>'Rate Tables'!C7</f>
      </c>
      <c r="F10" s="8" t="s">
        <v>37</v>
      </c>
      <c r="L10" s="26">
        <f>IF(L$6="","",IF(WEEKDAY(L$6,1)=1,0,MIN(8,L9)*L8))</f>
      </c>
      <c r="M10" s="26">
        <f>IF(M$6="","",IF(WEEKDAY(M$6,1)=1,0,MIN(8,M9)*M8))</f>
      </c>
      <c r="N10" s="26">
        <f>IF(N$6="","",IF(WEEKDAY(N$6,1)=1,0,MIN(8,N9)*N8))</f>
      </c>
      <c r="O10" s="26">
        <f>IF(O$6="","",IF(WEEKDAY(O$6,1)=1,0,MIN(8,O9)*O8))</f>
      </c>
      <c r="P10" s="26">
        <f>IF(P$6="","",IF(WEEKDAY(P$6,1)=1,0,MIN(8,P9)*P8))</f>
      </c>
      <c r="Q10" s="26">
        <f>IF(Q$6="","",IF(WEEKDAY(Q$6,1)=1,0,MIN(8,Q9)*Q8))</f>
      </c>
      <c r="R10" s="26">
        <f>IF(R$6="","",IF(WEEKDAY(R$6,1)=1,0,MIN(8,R9)*R8))</f>
      </c>
      <c r="S10" s="26">
        <f>IF(S$6="","",IF(WEEKDAY(S$6,1)=1,0,MIN(8,S9)*S8))</f>
      </c>
      <c r="T10" s="26">
        <f>IF(T$6="","",IF(WEEKDAY(T$6,1)=1,0,MIN(8,T9)*T8))</f>
      </c>
      <c r="U10" s="26">
        <f>IF(U$6="","",IF(WEEKDAY(U$6,1)=1,0,MIN(8,U9)*U8))</f>
      </c>
      <c r="V10" s="26">
        <f>IF(V$6="","",IF(WEEKDAY(V$6,1)=1,0,MIN(8,V9)*V8))</f>
      </c>
      <c r="W10" s="26">
        <f>IF(W$6="","",IF(WEEKDAY(W$6,1)=1,0,MIN(8,W9)*W8))</f>
      </c>
      <c r="X10" s="26">
        <f>IF(X$6="","",IF(WEEKDAY(X$6,1)=1,0,MIN(8,X9)*X8))</f>
      </c>
      <c r="Y10" s="26">
        <f>IF(Y$6="","",IF(WEEKDAY(Y$6,1)=1,0,MIN(8,Y9)*Y8))</f>
      </c>
      <c r="Z10" s="26">
        <f>IF(Z$6="","",IF(WEEKDAY(Z$6,1)=1,0,MIN(8,Z9)*Z8))</f>
      </c>
      <c r="AA10" s="26">
        <f>IF(AA$6="","",IF(WEEKDAY(AA$6,1)=1,0,MIN(8,AA9)*AA8))</f>
      </c>
      <c r="AB10" s="26">
        <f>IF(AB$6="","",IF(WEEKDAY(AB$6,1)=1,0,MIN(8,AB9)*AB8))</f>
      </c>
      <c r="AC10" s="26">
        <f>IF(AC$6="","",IF(WEEKDAY(AC$6,1)=1,0,MIN(8,AC9)*AC8))</f>
      </c>
      <c r="AD10" s="26">
        <f>IF(AD$6="","",IF(WEEKDAY(AD$6,1)=1,0,MIN(8,AD9)*AD8))</f>
      </c>
      <c r="AE10" s="26">
        <f>IF(AE$6="","",IF(WEEKDAY(AE$6,1)=1,0,MIN(8,AE9)*AE8))</f>
      </c>
      <c r="AF10" s="26">
        <f>IF(AF$6="","",IF(WEEKDAY(AF$6,1)=1,0,MIN(8,AF9)*AF8))</f>
      </c>
      <c r="AG10" s="26">
        <f>IF(AG$6="","",IF(WEEKDAY(AG$6,1)=1,0,MIN(8,AG9)*AG8))</f>
      </c>
      <c r="AH10" s="26">
        <f>IF(AH$6="","",IF(WEEKDAY(AH$6,1)=1,0,MIN(8,AH9)*AH8))</f>
      </c>
      <c r="AI10" s="26">
        <f>IF(AI$6="","",IF(WEEKDAY(AI$6,1)=1,0,MIN(8,AI9)*AI8))</f>
      </c>
      <c r="AJ10" s="26">
        <f>IF(AJ$6="","",IF(WEEKDAY(AJ$6,1)=1,0,MIN(8,AJ9)*AJ8))</f>
      </c>
      <c r="AK10" s="26">
        <f>IF(AK$6="","",IF(WEEKDAY(AK$6,1)=1,0,MIN(8,AK9)*AK8))</f>
      </c>
      <c r="AL10" s="26">
        <f>IF(AL$6="","",IF(WEEKDAY(AL$6,1)=1,0,MIN(8,AL9)*AL8))</f>
      </c>
      <c r="AM10" s="26">
        <f>IF(AM$6="","",IF(WEEKDAY(AM$6,1)=1,0,MIN(8,AM9)*AM8))</f>
      </c>
      <c r="AN10" s="26">
        <f>IF(AN$6="","",IF(WEEKDAY(AN$6,1)=1,0,MIN(8,AN9)*AN8))</f>
      </c>
      <c r="AO10" s="26">
        <f>IF(AO$6="","",IF(WEEKDAY(AO$6,1)=1,0,MIN(8,AO9)*AO8))</f>
      </c>
      <c r="AP10" s="26">
        <f>IF(AP$6="","",IF(WEEKDAY(AP$6,1)=1,0,MIN(8,AP9)*AP8))</f>
      </c>
      <c r="AQ10" s="26">
        <f>IF(AQ$6="","",IF(WEEKDAY(AQ$6,1)=1,0,MIN(8,AQ9)*AQ8))</f>
      </c>
      <c r="CX10" s="8" t="s">
        <v>33</v>
      </c>
    </row>
    <row r="11" spans="2:102" x14ac:dyDescent="0.25">
      <c r="B11" s="26">
        <f>SUM(L11:AQ11)</f>
      </c>
      <c r="D11" s="27">
        <f>B11*E11</f>
      </c>
      <c r="E11" s="27">
        <f>'Rate Tables'!D7</f>
      </c>
      <c r="F11" s="8" t="s">
        <v>38</v>
      </c>
      <c r="L11" s="26">
        <f>IF(L$6="","",IF(WEEKDAY(L$6,1)=1,0,MAX(0,L9-8)*L8))</f>
      </c>
      <c r="M11" s="26">
        <f>IF(M$6="","",IF(WEEKDAY(M$6,1)=1,0,MAX(0,M9-8)*M8))</f>
      </c>
      <c r="N11" s="26">
        <f>IF(N$6="","",IF(WEEKDAY(N$6,1)=1,0,MAX(0,N9-8)*N8))</f>
      </c>
      <c r="O11" s="26">
        <f>IF(O$6="","",IF(WEEKDAY(O$6,1)=1,0,MAX(0,O9-8)*O8))</f>
      </c>
      <c r="P11" s="26">
        <f>IF(P$6="","",IF(WEEKDAY(P$6,1)=1,0,MAX(0,P9-8)*P8))</f>
      </c>
      <c r="Q11" s="26">
        <f>IF(Q$6="","",IF(WEEKDAY(Q$6,1)=1,0,MAX(0,Q9-8)*Q8))</f>
      </c>
      <c r="R11" s="26">
        <f>IF(R$6="","",IF(WEEKDAY(R$6,1)=1,0,MAX(0,R9-8)*R8))</f>
      </c>
      <c r="S11" s="26">
        <f>IF(S$6="","",IF(WEEKDAY(S$6,1)=1,0,MAX(0,S9-8)*S8))</f>
      </c>
      <c r="T11" s="26">
        <f>IF(T$6="","",IF(WEEKDAY(T$6,1)=1,0,MAX(0,T9-8)*T8))</f>
      </c>
      <c r="U11" s="26">
        <f>IF(U$6="","",IF(WEEKDAY(U$6,1)=1,0,MAX(0,U9-8)*U8))</f>
      </c>
      <c r="V11" s="26">
        <f>IF(V$6="","",IF(WEEKDAY(V$6,1)=1,0,MAX(0,V9-8)*V8))</f>
      </c>
      <c r="W11" s="26">
        <f>IF(W$6="","",IF(WEEKDAY(W$6,1)=1,0,MAX(0,W9-8)*W8))</f>
      </c>
      <c r="X11" s="26">
        <f>IF(X$6="","",IF(WEEKDAY(X$6,1)=1,0,MAX(0,X9-8)*X8))</f>
      </c>
      <c r="Y11" s="26">
        <f>IF(Y$6="","",IF(WEEKDAY(Y$6,1)=1,0,MAX(0,Y9-8)*Y8))</f>
      </c>
      <c r="Z11" s="26">
        <f>IF(Z$6="","",IF(WEEKDAY(Z$6,1)=1,0,MAX(0,Z9-8)*Z8))</f>
      </c>
      <c r="AA11" s="26">
        <f>IF(AA$6="","",IF(WEEKDAY(AA$6,1)=1,0,MAX(0,AA9-8)*AA8))</f>
      </c>
      <c r="AB11" s="26">
        <f>IF(AB$6="","",IF(WEEKDAY(AB$6,1)=1,0,MAX(0,AB9-8)*AB8))</f>
      </c>
      <c r="AC11" s="26">
        <f>IF(AC$6="","",IF(WEEKDAY(AC$6,1)=1,0,MAX(0,AC9-8)*AC8))</f>
      </c>
      <c r="AD11" s="26">
        <f>IF(AD$6="","",IF(WEEKDAY(AD$6,1)=1,0,MAX(0,AD9-8)*AD8))</f>
      </c>
      <c r="AE11" s="26">
        <f>IF(AE$6="","",IF(WEEKDAY(AE$6,1)=1,0,MAX(0,AE9-8)*AE8))</f>
      </c>
      <c r="AF11" s="26">
        <f>IF(AF$6="","",IF(WEEKDAY(AF$6,1)=1,0,MAX(0,AF9-8)*AF8))</f>
      </c>
      <c r="AG11" s="26">
        <f>IF(AG$6="","",IF(WEEKDAY(AG$6,1)=1,0,MAX(0,AG9-8)*AG8))</f>
      </c>
      <c r="AH11" s="26">
        <f>IF(AH$6="","",IF(WEEKDAY(AH$6,1)=1,0,MAX(0,AH9-8)*AH8))</f>
      </c>
      <c r="AI11" s="26">
        <f>IF(AI$6="","",IF(WEEKDAY(AI$6,1)=1,0,MAX(0,AI9-8)*AI8))</f>
      </c>
      <c r="AJ11" s="26">
        <f>IF(AJ$6="","",IF(WEEKDAY(AJ$6,1)=1,0,MAX(0,AJ9-8)*AJ8))</f>
      </c>
      <c r="AK11" s="26">
        <f>IF(AK$6="","",IF(WEEKDAY(AK$6,1)=1,0,MAX(0,AK9-8)*AK8))</f>
      </c>
      <c r="AL11" s="26">
        <f>IF(AL$6="","",IF(WEEKDAY(AL$6,1)=1,0,MAX(0,AL9-8)*AL8))</f>
      </c>
      <c r="AM11" s="26">
        <f>IF(AM$6="","",IF(WEEKDAY(AM$6,1)=1,0,MAX(0,AM9-8)*AM8))</f>
      </c>
      <c r="AN11" s="26">
        <f>IF(AN$6="","",IF(WEEKDAY(AN$6,1)=1,0,MAX(0,AN9-8)*AN8))</f>
      </c>
      <c r="AO11" s="26">
        <f>IF(AO$6="","",IF(WEEKDAY(AO$6,1)=1,0,MAX(0,AO9-8)*AO8))</f>
      </c>
      <c r="AP11" s="26">
        <f>IF(AP$6="","",IF(WEEKDAY(AP$6,1)=1,0,MAX(0,AP9-8)*AP8))</f>
      </c>
      <c r="AQ11" s="26">
        <f>IF(AQ$6="","",IF(WEEKDAY(AQ$6,1)=1,0,MAX(0,AQ9-8)*AQ8))</f>
      </c>
      <c r="CX11" s="8" t="s">
        <v>33</v>
      </c>
    </row>
    <row r="12" spans="2:102" x14ac:dyDescent="0.25">
      <c r="B12" s="26">
        <f>SUM(L12:AQ12)</f>
      </c>
      <c r="D12" s="27">
        <f>B12*E12</f>
      </c>
      <c r="E12" s="27">
        <f>'Rate Tables'!E7</f>
      </c>
      <c r="F12" s="8" t="s">
        <v>39</v>
      </c>
      <c r="L12" s="26">
        <f>IF(L$6="","",IF(WEEKDAY(L$6,1)=1,L9*L8,0))</f>
      </c>
      <c r="M12" s="26">
        <f>IF(M$6="","",IF(WEEKDAY(M$6,1)=1,M9*M8,0))</f>
      </c>
      <c r="N12" s="26">
        <f>IF(N$6="","",IF(WEEKDAY(N$6,1)=1,N9*N8,0))</f>
      </c>
      <c r="O12" s="26">
        <f>IF(O$6="","",IF(WEEKDAY(O$6,1)=1,O9*O8,0))</f>
      </c>
      <c r="P12" s="26">
        <f>IF(P$6="","",IF(WEEKDAY(P$6,1)=1,P9*P8,0))</f>
      </c>
      <c r="Q12" s="26">
        <f>IF(Q$6="","",IF(WEEKDAY(Q$6,1)=1,Q9*Q8,0))</f>
      </c>
      <c r="R12" s="26">
        <f>IF(R$6="","",IF(WEEKDAY(R$6,1)=1,R9*R8,0))</f>
      </c>
      <c r="S12" s="26">
        <f>IF(S$6="","",IF(WEEKDAY(S$6,1)=1,S9*S8,0))</f>
      </c>
      <c r="T12" s="26">
        <f>IF(T$6="","",IF(WEEKDAY(T$6,1)=1,T9*T8,0))</f>
      </c>
      <c r="U12" s="26">
        <f>IF(U$6="","",IF(WEEKDAY(U$6,1)=1,U9*U8,0))</f>
      </c>
      <c r="V12" s="26">
        <f>IF(V$6="","",IF(WEEKDAY(V$6,1)=1,V9*V8,0))</f>
      </c>
      <c r="W12" s="26">
        <f>IF(W$6="","",IF(WEEKDAY(W$6,1)=1,W9*W8,0))</f>
      </c>
      <c r="X12" s="26">
        <f>IF(X$6="","",IF(WEEKDAY(X$6,1)=1,X9*X8,0))</f>
      </c>
      <c r="Y12" s="26">
        <f>IF(Y$6="","",IF(WEEKDAY(Y$6,1)=1,Y9*Y8,0))</f>
      </c>
      <c r="Z12" s="26">
        <f>IF(Z$6="","",IF(WEEKDAY(Z$6,1)=1,Z9*Z8,0))</f>
      </c>
      <c r="AA12" s="26">
        <f>IF(AA$6="","",IF(WEEKDAY(AA$6,1)=1,AA9*AA8,0))</f>
      </c>
      <c r="AB12" s="26">
        <f>IF(AB$6="","",IF(WEEKDAY(AB$6,1)=1,AB9*AB8,0))</f>
      </c>
      <c r="AC12" s="26">
        <f>IF(AC$6="","",IF(WEEKDAY(AC$6,1)=1,AC9*AC8,0))</f>
      </c>
      <c r="AD12" s="26">
        <f>IF(AD$6="","",IF(WEEKDAY(AD$6,1)=1,AD9*AD8,0))</f>
      </c>
      <c r="AE12" s="26">
        <f>IF(AE$6="","",IF(WEEKDAY(AE$6,1)=1,AE9*AE8,0))</f>
      </c>
      <c r="AF12" s="26">
        <f>IF(AF$6="","",IF(WEEKDAY(AF$6,1)=1,AF9*AF8,0))</f>
      </c>
      <c r="AG12" s="26">
        <f>IF(AG$6="","",IF(WEEKDAY(AG$6,1)=1,AG9*AG8,0))</f>
      </c>
      <c r="AH12" s="26">
        <f>IF(AH$6="","",IF(WEEKDAY(AH$6,1)=1,AH9*AH8,0))</f>
      </c>
      <c r="AI12" s="26">
        <f>IF(AI$6="","",IF(WEEKDAY(AI$6,1)=1,AI9*AI8,0))</f>
      </c>
      <c r="AJ12" s="26">
        <f>IF(AJ$6="","",IF(WEEKDAY(AJ$6,1)=1,AJ9*AJ8,0))</f>
      </c>
      <c r="AK12" s="26">
        <f>IF(AK$6="","",IF(WEEKDAY(AK$6,1)=1,AK9*AK8,0))</f>
      </c>
      <c r="AL12" s="26">
        <f>IF(AL$6="","",IF(WEEKDAY(AL$6,1)=1,AL9*AL8,0))</f>
      </c>
      <c r="AM12" s="26">
        <f>IF(AM$6="","",IF(WEEKDAY(AM$6,1)=1,AM9*AM8,0))</f>
      </c>
      <c r="AN12" s="26">
        <f>IF(AN$6="","",IF(WEEKDAY(AN$6,1)=1,AN9*AN8,0))</f>
      </c>
      <c r="AO12" s="26">
        <f>IF(AO$6="","",IF(WEEKDAY(AO$6,1)=1,AO9*AO8,0))</f>
      </c>
      <c r="AP12" s="26">
        <f>IF(AP$6="","",IF(WEEKDAY(AP$6,1)=1,AP9*AP8,0))</f>
      </c>
      <c r="AQ12" s="26">
        <f>IF(AQ$6="","",IF(WEEKDAY(AQ$6,1)=1,AQ9*AQ8,0))</f>
      </c>
      <c r="CX12" s="8" t="s">
        <v>33</v>
      </c>
    </row>
    <row r="13" spans="2:102" x14ac:dyDescent="0.25">
      <c r="B13" s="26">
        <f>SUM(L13:AQ13)</f>
      </c>
      <c r="D13" s="27">
        <f>B13*E13</f>
      </c>
      <c r="E13" s="27">
        <v>140</v>
      </c>
      <c r="F13" s="8" t="s">
        <v>40</v>
      </c>
      <c r="L13" s="28">
        <v>1</v>
      </c>
      <c r="M13" s="28">
        <v>1</v>
      </c>
      <c r="N13" s="28">
        <v>1</v>
      </c>
      <c r="O13" s="28">
        <v>1</v>
      </c>
      <c r="P13" s="28">
        <v>1</v>
      </c>
      <c r="Q13" s="28">
        <v>0</v>
      </c>
      <c r="R13" s="28">
        <v>0</v>
      </c>
      <c r="S13" s="28">
        <v>1</v>
      </c>
      <c r="T13" s="28">
        <v>1</v>
      </c>
      <c r="U13" s="28">
        <v>1</v>
      </c>
      <c r="V13" s="28">
        <v>1</v>
      </c>
      <c r="W13" s="28">
        <v>1</v>
      </c>
      <c r="X13" s="28">
        <v>1</v>
      </c>
      <c r="Y13" s="28">
        <v>1</v>
      </c>
      <c r="Z13" s="28">
        <v>1</v>
      </c>
      <c r="AA13" s="28">
        <v>1</v>
      </c>
      <c r="AB13" s="28">
        <v>1</v>
      </c>
      <c r="AC13" s="28">
        <v>1</v>
      </c>
      <c r="AD13" s="28">
        <v>1</v>
      </c>
      <c r="AE13" s="28">
        <v>1</v>
      </c>
      <c r="AF13" s="28">
        <v>1</v>
      </c>
      <c r="AG13" s="28">
        <v>1</v>
      </c>
      <c r="AH13" s="28">
        <v>1</v>
      </c>
      <c r="AI13" s="28">
        <v>1</v>
      </c>
      <c r="AJ13" s="28">
        <v>0</v>
      </c>
      <c r="AK13" s="28">
        <v>0</v>
      </c>
      <c r="AL13" s="28">
        <v>0</v>
      </c>
      <c r="AM13" s="28">
        <v>0</v>
      </c>
      <c r="AN13" s="28">
        <v>0</v>
      </c>
      <c r="AO13" s="28">
        <v>0</v>
      </c>
      <c r="AP13" s="28">
        <v>0</v>
      </c>
      <c r="AQ13" s="28">
        <v>0</v>
      </c>
      <c r="CX13" s="8" t="s">
        <v>33</v>
      </c>
    </row>
    <row r="14" spans="1:102" x14ac:dyDescent="0.25">
      <c r="A14" s="20" t="s">
        <v>41</v>
      </c>
      <c r="B14" s="21">
        <f>G14+H14+I14</f>
      </c>
      <c r="C14" s="20" t="s">
        <v>31</v>
      </c>
      <c r="D14" s="22">
        <f>K14</f>
      </c>
      <c r="F14" s="20" t="s">
        <v>32</v>
      </c>
      <c r="G14" s="21">
        <f>B17</f>
      </c>
      <c r="H14" s="21">
        <f>B18</f>
      </c>
      <c r="I14" s="21">
        <f>B19</f>
      </c>
      <c r="J14" s="21">
        <f>B20</f>
      </c>
      <c r="K14" s="22">
        <f>D17+D18+D19</f>
      </c>
      <c r="CX14" s="20" t="s">
        <v>42</v>
      </c>
    </row>
    <row r="15" spans="6:102" x14ac:dyDescent="0.25">
      <c r="F15" s="23" t="s">
        <v>34</v>
      </c>
      <c r="L15" s="24">
        <v>1</v>
      </c>
      <c r="M15" s="24">
        <v>1</v>
      </c>
      <c r="N15" s="24">
        <v>1</v>
      </c>
      <c r="O15" s="24">
        <v>1</v>
      </c>
      <c r="P15" s="24">
        <v>1</v>
      </c>
      <c r="Q15" s="24">
        <v>0</v>
      </c>
      <c r="R15" s="24">
        <v>0</v>
      </c>
      <c r="S15" s="24">
        <v>1</v>
      </c>
      <c r="T15" s="24">
        <v>1</v>
      </c>
      <c r="U15" s="24">
        <v>1</v>
      </c>
      <c r="V15" s="24">
        <v>1</v>
      </c>
      <c r="W15" s="24">
        <v>1</v>
      </c>
      <c r="X15" s="24">
        <v>1</v>
      </c>
      <c r="Y15" s="24">
        <v>1</v>
      </c>
      <c r="Z15" s="24">
        <v>1</v>
      </c>
      <c r="AA15" s="24">
        <v>1</v>
      </c>
      <c r="AB15" s="24">
        <v>1</v>
      </c>
      <c r="AC15" s="24">
        <v>1</v>
      </c>
      <c r="AD15" s="24">
        <v>1</v>
      </c>
      <c r="AE15" s="24">
        <v>1</v>
      </c>
      <c r="AF15" s="24">
        <v>1</v>
      </c>
      <c r="AG15" s="24">
        <v>1</v>
      </c>
      <c r="AH15" s="24">
        <v>1</v>
      </c>
      <c r="AI15" s="24">
        <v>1</v>
      </c>
      <c r="AJ15" s="24">
        <v>0</v>
      </c>
      <c r="AK15" s="24">
        <v>0</v>
      </c>
      <c r="AL15" s="24">
        <v>0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CX15" s="23" t="s">
        <v>42</v>
      </c>
    </row>
    <row r="16" spans="1:102" x14ac:dyDescent="0.25">
      <c r="A16" s="23" t="s">
        <v>35</v>
      </c>
      <c r="F16" s="23" t="s">
        <v>36</v>
      </c>
      <c r="L16" s="25">
        <v>8</v>
      </c>
      <c r="M16" s="25">
        <v>8</v>
      </c>
      <c r="N16" s="25">
        <v>8</v>
      </c>
      <c r="O16" s="25">
        <v>8</v>
      </c>
      <c r="P16" s="25">
        <v>8</v>
      </c>
      <c r="Q16" s="25">
        <v>0</v>
      </c>
      <c r="R16" s="25">
        <v>0</v>
      </c>
      <c r="S16" s="25">
        <v>8</v>
      </c>
      <c r="T16" s="25">
        <v>8</v>
      </c>
      <c r="U16" s="25">
        <v>8</v>
      </c>
      <c r="V16" s="25">
        <v>12</v>
      </c>
      <c r="W16" s="25">
        <v>12</v>
      </c>
      <c r="X16" s="25">
        <v>12</v>
      </c>
      <c r="Y16" s="25">
        <v>12</v>
      </c>
      <c r="Z16" s="25">
        <v>12</v>
      </c>
      <c r="AA16" s="25">
        <v>12</v>
      </c>
      <c r="AB16" s="25">
        <v>12</v>
      </c>
      <c r="AC16" s="25">
        <v>12</v>
      </c>
      <c r="AD16" s="25">
        <v>12</v>
      </c>
      <c r="AE16" s="25">
        <v>12</v>
      </c>
      <c r="AF16" s="25">
        <v>12</v>
      </c>
      <c r="AG16" s="25">
        <v>12</v>
      </c>
      <c r="AH16" s="25">
        <v>12</v>
      </c>
      <c r="AI16" s="25">
        <v>12</v>
      </c>
      <c r="AJ16" s="25">
        <v>0</v>
      </c>
      <c r="AK16" s="25">
        <v>0</v>
      </c>
      <c r="AL16" s="25">
        <v>0</v>
      </c>
      <c r="AM16" s="25">
        <v>0</v>
      </c>
      <c r="AN16" s="25">
        <v>0</v>
      </c>
      <c r="AO16" s="25">
        <v>0</v>
      </c>
      <c r="AP16" s="25">
        <v>0</v>
      </c>
      <c r="AQ16" s="25">
        <v>0</v>
      </c>
      <c r="CX16" s="23" t="s">
        <v>42</v>
      </c>
    </row>
    <row r="17" spans="2:102" x14ac:dyDescent="0.25">
      <c r="B17" s="26">
        <f>SUM(L17:AQ17)</f>
      </c>
      <c r="D17" s="27">
        <f>B17*E17</f>
      </c>
      <c r="E17" s="27">
        <f>'Rate Tables'!C7</f>
      </c>
      <c r="F17" s="8" t="s">
        <v>37</v>
      </c>
      <c r="L17" s="26">
        <f>IF(L$6="","",IF(WEEKDAY(L$6,1)=1,0,MIN(8,L16)*L15))</f>
      </c>
      <c r="M17" s="26">
        <f>IF(M$6="","",IF(WEEKDAY(M$6,1)=1,0,MIN(8,M16)*M15))</f>
      </c>
      <c r="N17" s="26">
        <f>IF(N$6="","",IF(WEEKDAY(N$6,1)=1,0,MIN(8,N16)*N15))</f>
      </c>
      <c r="O17" s="26">
        <f>IF(O$6="","",IF(WEEKDAY(O$6,1)=1,0,MIN(8,O16)*O15))</f>
      </c>
      <c r="P17" s="26">
        <f>IF(P$6="","",IF(WEEKDAY(P$6,1)=1,0,MIN(8,P16)*P15))</f>
      </c>
      <c r="Q17" s="26">
        <f>IF(Q$6="","",IF(WEEKDAY(Q$6,1)=1,0,MIN(8,Q16)*Q15))</f>
      </c>
      <c r="R17" s="26">
        <f>IF(R$6="","",IF(WEEKDAY(R$6,1)=1,0,MIN(8,R16)*R15))</f>
      </c>
      <c r="S17" s="26">
        <f>IF(S$6="","",IF(WEEKDAY(S$6,1)=1,0,MIN(8,S16)*S15))</f>
      </c>
      <c r="T17" s="26">
        <f>IF(T$6="","",IF(WEEKDAY(T$6,1)=1,0,MIN(8,T16)*T15))</f>
      </c>
      <c r="U17" s="26">
        <f>IF(U$6="","",IF(WEEKDAY(U$6,1)=1,0,MIN(8,U16)*U15))</f>
      </c>
      <c r="V17" s="26">
        <f>IF(V$6="","",IF(WEEKDAY(V$6,1)=1,0,MIN(8,V16)*V15))</f>
      </c>
      <c r="W17" s="26">
        <f>IF(W$6="","",IF(WEEKDAY(W$6,1)=1,0,MIN(8,W16)*W15))</f>
      </c>
      <c r="X17" s="26">
        <f>IF(X$6="","",IF(WEEKDAY(X$6,1)=1,0,MIN(8,X16)*X15))</f>
      </c>
      <c r="Y17" s="26">
        <f>IF(Y$6="","",IF(WEEKDAY(Y$6,1)=1,0,MIN(8,Y16)*Y15))</f>
      </c>
      <c r="Z17" s="26">
        <f>IF(Z$6="","",IF(WEEKDAY(Z$6,1)=1,0,MIN(8,Z16)*Z15))</f>
      </c>
      <c r="AA17" s="26">
        <f>IF(AA$6="","",IF(WEEKDAY(AA$6,1)=1,0,MIN(8,AA16)*AA15))</f>
      </c>
      <c r="AB17" s="26">
        <f>IF(AB$6="","",IF(WEEKDAY(AB$6,1)=1,0,MIN(8,AB16)*AB15))</f>
      </c>
      <c r="AC17" s="26">
        <f>IF(AC$6="","",IF(WEEKDAY(AC$6,1)=1,0,MIN(8,AC16)*AC15))</f>
      </c>
      <c r="AD17" s="26">
        <f>IF(AD$6="","",IF(WEEKDAY(AD$6,1)=1,0,MIN(8,AD16)*AD15))</f>
      </c>
      <c r="AE17" s="26">
        <f>IF(AE$6="","",IF(WEEKDAY(AE$6,1)=1,0,MIN(8,AE16)*AE15))</f>
      </c>
      <c r="AF17" s="26">
        <f>IF(AF$6="","",IF(WEEKDAY(AF$6,1)=1,0,MIN(8,AF16)*AF15))</f>
      </c>
      <c r="AG17" s="26">
        <f>IF(AG$6="","",IF(WEEKDAY(AG$6,1)=1,0,MIN(8,AG16)*AG15))</f>
      </c>
      <c r="AH17" s="26">
        <f>IF(AH$6="","",IF(WEEKDAY(AH$6,1)=1,0,MIN(8,AH16)*AH15))</f>
      </c>
      <c r="AI17" s="26">
        <f>IF(AI$6="","",IF(WEEKDAY(AI$6,1)=1,0,MIN(8,AI16)*AI15))</f>
      </c>
      <c r="AJ17" s="26">
        <f>IF(AJ$6="","",IF(WEEKDAY(AJ$6,1)=1,0,MIN(8,AJ16)*AJ15))</f>
      </c>
      <c r="AK17" s="26">
        <f>IF(AK$6="","",IF(WEEKDAY(AK$6,1)=1,0,MIN(8,AK16)*AK15))</f>
      </c>
      <c r="AL17" s="26">
        <f>IF(AL$6="","",IF(WEEKDAY(AL$6,1)=1,0,MIN(8,AL16)*AL15))</f>
      </c>
      <c r="AM17" s="26">
        <f>IF(AM$6="","",IF(WEEKDAY(AM$6,1)=1,0,MIN(8,AM16)*AM15))</f>
      </c>
      <c r="AN17" s="26">
        <f>IF(AN$6="","",IF(WEEKDAY(AN$6,1)=1,0,MIN(8,AN16)*AN15))</f>
      </c>
      <c r="AO17" s="26">
        <f>IF(AO$6="","",IF(WEEKDAY(AO$6,1)=1,0,MIN(8,AO16)*AO15))</f>
      </c>
      <c r="AP17" s="26">
        <f>IF(AP$6="","",IF(WEEKDAY(AP$6,1)=1,0,MIN(8,AP16)*AP15))</f>
      </c>
      <c r="AQ17" s="26">
        <f>IF(AQ$6="","",IF(WEEKDAY(AQ$6,1)=1,0,MIN(8,AQ16)*AQ15))</f>
      </c>
      <c r="CX17" s="8" t="s">
        <v>42</v>
      </c>
    </row>
    <row r="18" spans="2:102" x14ac:dyDescent="0.25">
      <c r="B18" s="26">
        <f>SUM(L18:AQ18)</f>
      </c>
      <c r="D18" s="27">
        <f>B18*E18</f>
      </c>
      <c r="E18" s="27">
        <f>'Rate Tables'!D7</f>
      </c>
      <c r="F18" s="8" t="s">
        <v>38</v>
      </c>
      <c r="L18" s="26">
        <f>IF(L$6="","",IF(WEEKDAY(L$6,1)=1,0,MAX(0,L16-8)*L15))</f>
      </c>
      <c r="M18" s="26">
        <f>IF(M$6="","",IF(WEEKDAY(M$6,1)=1,0,MAX(0,M16-8)*M15))</f>
      </c>
      <c r="N18" s="26">
        <f>IF(N$6="","",IF(WEEKDAY(N$6,1)=1,0,MAX(0,N16-8)*N15))</f>
      </c>
      <c r="O18" s="26">
        <f>IF(O$6="","",IF(WEEKDAY(O$6,1)=1,0,MAX(0,O16-8)*O15))</f>
      </c>
      <c r="P18" s="26">
        <f>IF(P$6="","",IF(WEEKDAY(P$6,1)=1,0,MAX(0,P16-8)*P15))</f>
      </c>
      <c r="Q18" s="26">
        <f>IF(Q$6="","",IF(WEEKDAY(Q$6,1)=1,0,MAX(0,Q16-8)*Q15))</f>
      </c>
      <c r="R18" s="26">
        <f>IF(R$6="","",IF(WEEKDAY(R$6,1)=1,0,MAX(0,R16-8)*R15))</f>
      </c>
      <c r="S18" s="26">
        <f>IF(S$6="","",IF(WEEKDAY(S$6,1)=1,0,MAX(0,S16-8)*S15))</f>
      </c>
      <c r="T18" s="26">
        <f>IF(T$6="","",IF(WEEKDAY(T$6,1)=1,0,MAX(0,T16-8)*T15))</f>
      </c>
      <c r="U18" s="26">
        <f>IF(U$6="","",IF(WEEKDAY(U$6,1)=1,0,MAX(0,U16-8)*U15))</f>
      </c>
      <c r="V18" s="26">
        <f>IF(V$6="","",IF(WEEKDAY(V$6,1)=1,0,MAX(0,V16-8)*V15))</f>
      </c>
      <c r="W18" s="26">
        <f>IF(W$6="","",IF(WEEKDAY(W$6,1)=1,0,MAX(0,W16-8)*W15))</f>
      </c>
      <c r="X18" s="26">
        <f>IF(X$6="","",IF(WEEKDAY(X$6,1)=1,0,MAX(0,X16-8)*X15))</f>
      </c>
      <c r="Y18" s="26">
        <f>IF(Y$6="","",IF(WEEKDAY(Y$6,1)=1,0,MAX(0,Y16-8)*Y15))</f>
      </c>
      <c r="Z18" s="26">
        <f>IF(Z$6="","",IF(WEEKDAY(Z$6,1)=1,0,MAX(0,Z16-8)*Z15))</f>
      </c>
      <c r="AA18" s="26">
        <f>IF(AA$6="","",IF(WEEKDAY(AA$6,1)=1,0,MAX(0,AA16-8)*AA15))</f>
      </c>
      <c r="AB18" s="26">
        <f>IF(AB$6="","",IF(WEEKDAY(AB$6,1)=1,0,MAX(0,AB16-8)*AB15))</f>
      </c>
      <c r="AC18" s="26">
        <f>IF(AC$6="","",IF(WEEKDAY(AC$6,1)=1,0,MAX(0,AC16-8)*AC15))</f>
      </c>
      <c r="AD18" s="26">
        <f>IF(AD$6="","",IF(WEEKDAY(AD$6,1)=1,0,MAX(0,AD16-8)*AD15))</f>
      </c>
      <c r="AE18" s="26">
        <f>IF(AE$6="","",IF(WEEKDAY(AE$6,1)=1,0,MAX(0,AE16-8)*AE15))</f>
      </c>
      <c r="AF18" s="26">
        <f>IF(AF$6="","",IF(WEEKDAY(AF$6,1)=1,0,MAX(0,AF16-8)*AF15))</f>
      </c>
      <c r="AG18" s="26">
        <f>IF(AG$6="","",IF(WEEKDAY(AG$6,1)=1,0,MAX(0,AG16-8)*AG15))</f>
      </c>
      <c r="AH18" s="26">
        <f>IF(AH$6="","",IF(WEEKDAY(AH$6,1)=1,0,MAX(0,AH16-8)*AH15))</f>
      </c>
      <c r="AI18" s="26">
        <f>IF(AI$6="","",IF(WEEKDAY(AI$6,1)=1,0,MAX(0,AI16-8)*AI15))</f>
      </c>
      <c r="AJ18" s="26">
        <f>IF(AJ$6="","",IF(WEEKDAY(AJ$6,1)=1,0,MAX(0,AJ16-8)*AJ15))</f>
      </c>
      <c r="AK18" s="26">
        <f>IF(AK$6="","",IF(WEEKDAY(AK$6,1)=1,0,MAX(0,AK16-8)*AK15))</f>
      </c>
      <c r="AL18" s="26">
        <f>IF(AL$6="","",IF(WEEKDAY(AL$6,1)=1,0,MAX(0,AL16-8)*AL15))</f>
      </c>
      <c r="AM18" s="26">
        <f>IF(AM$6="","",IF(WEEKDAY(AM$6,1)=1,0,MAX(0,AM16-8)*AM15))</f>
      </c>
      <c r="AN18" s="26">
        <f>IF(AN$6="","",IF(WEEKDAY(AN$6,1)=1,0,MAX(0,AN16-8)*AN15))</f>
      </c>
      <c r="AO18" s="26">
        <f>IF(AO$6="","",IF(WEEKDAY(AO$6,1)=1,0,MAX(0,AO16-8)*AO15))</f>
      </c>
      <c r="AP18" s="26">
        <f>IF(AP$6="","",IF(WEEKDAY(AP$6,1)=1,0,MAX(0,AP16-8)*AP15))</f>
      </c>
      <c r="AQ18" s="26">
        <f>IF(AQ$6="","",IF(WEEKDAY(AQ$6,1)=1,0,MAX(0,AQ16-8)*AQ15))</f>
      </c>
      <c r="CX18" s="8" t="s">
        <v>42</v>
      </c>
    </row>
    <row r="19" spans="2:102" x14ac:dyDescent="0.25">
      <c r="B19" s="26">
        <f>SUM(L19:AQ19)</f>
      </c>
      <c r="D19" s="27">
        <f>B19*E19</f>
      </c>
      <c r="E19" s="27">
        <f>'Rate Tables'!E7</f>
      </c>
      <c r="F19" s="8" t="s">
        <v>39</v>
      </c>
      <c r="L19" s="26">
        <f>IF(L$6="","",IF(WEEKDAY(L$6,1)=1,L16*L15,0))</f>
      </c>
      <c r="M19" s="26">
        <f>IF(M$6="","",IF(WEEKDAY(M$6,1)=1,M16*M15,0))</f>
      </c>
      <c r="N19" s="26">
        <f>IF(N$6="","",IF(WEEKDAY(N$6,1)=1,N16*N15,0))</f>
      </c>
      <c r="O19" s="26">
        <f>IF(O$6="","",IF(WEEKDAY(O$6,1)=1,O16*O15,0))</f>
      </c>
      <c r="P19" s="26">
        <f>IF(P$6="","",IF(WEEKDAY(P$6,1)=1,P16*P15,0))</f>
      </c>
      <c r="Q19" s="26">
        <f>IF(Q$6="","",IF(WEEKDAY(Q$6,1)=1,Q16*Q15,0))</f>
      </c>
      <c r="R19" s="26">
        <f>IF(R$6="","",IF(WEEKDAY(R$6,1)=1,R16*R15,0))</f>
      </c>
      <c r="S19" s="26">
        <f>IF(S$6="","",IF(WEEKDAY(S$6,1)=1,S16*S15,0))</f>
      </c>
      <c r="T19" s="26">
        <f>IF(T$6="","",IF(WEEKDAY(T$6,1)=1,T16*T15,0))</f>
      </c>
      <c r="U19" s="26">
        <f>IF(U$6="","",IF(WEEKDAY(U$6,1)=1,U16*U15,0))</f>
      </c>
      <c r="V19" s="26">
        <f>IF(V$6="","",IF(WEEKDAY(V$6,1)=1,V16*V15,0))</f>
      </c>
      <c r="W19" s="26">
        <f>IF(W$6="","",IF(WEEKDAY(W$6,1)=1,W16*W15,0))</f>
      </c>
      <c r="X19" s="26">
        <f>IF(X$6="","",IF(WEEKDAY(X$6,1)=1,X16*X15,0))</f>
      </c>
      <c r="Y19" s="26">
        <f>IF(Y$6="","",IF(WEEKDAY(Y$6,1)=1,Y16*Y15,0))</f>
      </c>
      <c r="Z19" s="26">
        <f>IF(Z$6="","",IF(WEEKDAY(Z$6,1)=1,Z16*Z15,0))</f>
      </c>
      <c r="AA19" s="26">
        <f>IF(AA$6="","",IF(WEEKDAY(AA$6,1)=1,AA16*AA15,0))</f>
      </c>
      <c r="AB19" s="26">
        <f>IF(AB$6="","",IF(WEEKDAY(AB$6,1)=1,AB16*AB15,0))</f>
      </c>
      <c r="AC19" s="26">
        <f>IF(AC$6="","",IF(WEEKDAY(AC$6,1)=1,AC16*AC15,0))</f>
      </c>
      <c r="AD19" s="26">
        <f>IF(AD$6="","",IF(WEEKDAY(AD$6,1)=1,AD16*AD15,0))</f>
      </c>
      <c r="AE19" s="26">
        <f>IF(AE$6="","",IF(WEEKDAY(AE$6,1)=1,AE16*AE15,0))</f>
      </c>
      <c r="AF19" s="26">
        <f>IF(AF$6="","",IF(WEEKDAY(AF$6,1)=1,AF16*AF15,0))</f>
      </c>
      <c r="AG19" s="26">
        <f>IF(AG$6="","",IF(WEEKDAY(AG$6,1)=1,AG16*AG15,0))</f>
      </c>
      <c r="AH19" s="26">
        <f>IF(AH$6="","",IF(WEEKDAY(AH$6,1)=1,AH16*AH15,0))</f>
      </c>
      <c r="AI19" s="26">
        <f>IF(AI$6="","",IF(WEEKDAY(AI$6,1)=1,AI16*AI15,0))</f>
      </c>
      <c r="AJ19" s="26">
        <f>IF(AJ$6="","",IF(WEEKDAY(AJ$6,1)=1,AJ16*AJ15,0))</f>
      </c>
      <c r="AK19" s="26">
        <f>IF(AK$6="","",IF(WEEKDAY(AK$6,1)=1,AK16*AK15,0))</f>
      </c>
      <c r="AL19" s="26">
        <f>IF(AL$6="","",IF(WEEKDAY(AL$6,1)=1,AL16*AL15,0))</f>
      </c>
      <c r="AM19" s="26">
        <f>IF(AM$6="","",IF(WEEKDAY(AM$6,1)=1,AM16*AM15,0))</f>
      </c>
      <c r="AN19" s="26">
        <f>IF(AN$6="","",IF(WEEKDAY(AN$6,1)=1,AN16*AN15,0))</f>
      </c>
      <c r="AO19" s="26">
        <f>IF(AO$6="","",IF(WEEKDAY(AO$6,1)=1,AO16*AO15,0))</f>
      </c>
      <c r="AP19" s="26">
        <f>IF(AP$6="","",IF(WEEKDAY(AP$6,1)=1,AP16*AP15,0))</f>
      </c>
      <c r="AQ19" s="26">
        <f>IF(AQ$6="","",IF(WEEKDAY(AQ$6,1)=1,AQ16*AQ15,0))</f>
      </c>
      <c r="CX19" s="8" t="s">
        <v>42</v>
      </c>
    </row>
    <row r="20" spans="2:102" x14ac:dyDescent="0.25">
      <c r="B20" s="26">
        <f>SUM(L20:AQ20)</f>
      </c>
      <c r="D20" s="27">
        <f>B20*E20</f>
      </c>
      <c r="E20" s="27">
        <v>140</v>
      </c>
      <c r="F20" s="8" t="s">
        <v>40</v>
      </c>
      <c r="L20" s="28">
        <v>1</v>
      </c>
      <c r="M20" s="28">
        <v>1</v>
      </c>
      <c r="N20" s="28">
        <v>1</v>
      </c>
      <c r="O20" s="28">
        <v>1</v>
      </c>
      <c r="P20" s="28">
        <v>1</v>
      </c>
      <c r="Q20" s="28">
        <v>0</v>
      </c>
      <c r="R20" s="28">
        <v>0</v>
      </c>
      <c r="S20" s="28">
        <v>1</v>
      </c>
      <c r="T20" s="28">
        <v>1</v>
      </c>
      <c r="U20" s="28">
        <v>1</v>
      </c>
      <c r="V20" s="28">
        <v>1</v>
      </c>
      <c r="W20" s="28">
        <v>1</v>
      </c>
      <c r="X20" s="28">
        <v>1</v>
      </c>
      <c r="Y20" s="28">
        <v>1</v>
      </c>
      <c r="Z20" s="28">
        <v>1</v>
      </c>
      <c r="AA20" s="28">
        <v>1</v>
      </c>
      <c r="AB20" s="28">
        <v>1</v>
      </c>
      <c r="AC20" s="28">
        <v>1</v>
      </c>
      <c r="AD20" s="28">
        <v>1</v>
      </c>
      <c r="AE20" s="28">
        <v>1</v>
      </c>
      <c r="AF20" s="28">
        <v>1</v>
      </c>
      <c r="AG20" s="28">
        <v>1</v>
      </c>
      <c r="AH20" s="28">
        <v>1</v>
      </c>
      <c r="AI20" s="28">
        <v>1</v>
      </c>
      <c r="AJ20" s="28">
        <v>0</v>
      </c>
      <c r="AK20" s="28">
        <v>0</v>
      </c>
      <c r="AL20" s="28">
        <v>0</v>
      </c>
      <c r="AM20" s="28">
        <v>0</v>
      </c>
      <c r="AN20" s="28">
        <v>0</v>
      </c>
      <c r="AO20" s="28">
        <v>0</v>
      </c>
      <c r="AP20" s="28">
        <v>0</v>
      </c>
      <c r="AQ20" s="28">
        <v>0</v>
      </c>
      <c r="CX20" s="8" t="s">
        <v>42</v>
      </c>
    </row>
    <row r="21" spans="1:102" x14ac:dyDescent="0.25">
      <c r="A21" s="20" t="s">
        <v>30</v>
      </c>
      <c r="B21" s="21">
        <f>G21+H21+I21</f>
      </c>
      <c r="C21" s="20" t="s">
        <v>43</v>
      </c>
      <c r="D21" s="22">
        <f>K21</f>
      </c>
      <c r="F21" s="20" t="s">
        <v>32</v>
      </c>
      <c r="G21" s="21">
        <f>B24</f>
      </c>
      <c r="H21" s="21">
        <f>B25</f>
      </c>
      <c r="I21" s="21">
        <f>B26</f>
      </c>
      <c r="J21" s="21">
        <f>B27</f>
      </c>
      <c r="K21" s="22">
        <f>D24+D25+D26</f>
      </c>
      <c r="CX21" s="20" t="s">
        <v>44</v>
      </c>
    </row>
    <row r="22" spans="6:102" x14ac:dyDescent="0.25">
      <c r="F22" s="23" t="s">
        <v>34</v>
      </c>
      <c r="L22" s="24">
        <v>1</v>
      </c>
      <c r="M22" s="24">
        <v>1</v>
      </c>
      <c r="N22" s="24">
        <v>1</v>
      </c>
      <c r="O22" s="24">
        <v>1</v>
      </c>
      <c r="P22" s="24">
        <v>1</v>
      </c>
      <c r="Q22" s="24">
        <v>0</v>
      </c>
      <c r="R22" s="24">
        <v>0</v>
      </c>
      <c r="S22" s="24">
        <v>1</v>
      </c>
      <c r="T22" s="24">
        <v>1</v>
      </c>
      <c r="U22" s="24">
        <v>1</v>
      </c>
      <c r="V22" s="24">
        <v>1</v>
      </c>
      <c r="W22" s="24">
        <v>1</v>
      </c>
      <c r="X22" s="24">
        <v>1</v>
      </c>
      <c r="Y22" s="24">
        <v>1</v>
      </c>
      <c r="Z22" s="24">
        <v>1</v>
      </c>
      <c r="AA22" s="24">
        <v>1</v>
      </c>
      <c r="AB22" s="24">
        <v>1</v>
      </c>
      <c r="AC22" s="24">
        <v>1</v>
      </c>
      <c r="AD22" s="24">
        <v>1</v>
      </c>
      <c r="AE22" s="24">
        <v>1</v>
      </c>
      <c r="AF22" s="24">
        <v>1</v>
      </c>
      <c r="AG22" s="24">
        <v>1</v>
      </c>
      <c r="AH22" s="24">
        <v>1</v>
      </c>
      <c r="AI22" s="24">
        <v>1</v>
      </c>
      <c r="AJ22" s="24">
        <v>1</v>
      </c>
      <c r="AK22" s="24">
        <v>1</v>
      </c>
      <c r="AL22" s="24">
        <v>0</v>
      </c>
      <c r="AM22" s="24">
        <v>0</v>
      </c>
      <c r="AN22" s="24">
        <v>1</v>
      </c>
      <c r="AO22" s="24">
        <v>1</v>
      </c>
      <c r="AP22" s="24">
        <v>1</v>
      </c>
      <c r="AQ22" s="24">
        <v>1</v>
      </c>
      <c r="CX22" s="23" t="s">
        <v>44</v>
      </c>
    </row>
    <row r="23" spans="1:102" x14ac:dyDescent="0.25">
      <c r="A23" s="23" t="s">
        <v>35</v>
      </c>
      <c r="F23" s="23" t="s">
        <v>36</v>
      </c>
      <c r="L23" s="25">
        <v>8</v>
      </c>
      <c r="M23" s="25">
        <v>8</v>
      </c>
      <c r="N23" s="25">
        <v>8</v>
      </c>
      <c r="O23" s="25">
        <v>8</v>
      </c>
      <c r="P23" s="25">
        <v>8</v>
      </c>
      <c r="Q23" s="25">
        <v>0</v>
      </c>
      <c r="R23" s="25">
        <v>0</v>
      </c>
      <c r="S23" s="25">
        <v>8</v>
      </c>
      <c r="T23" s="25">
        <v>8</v>
      </c>
      <c r="U23" s="25">
        <v>8</v>
      </c>
      <c r="V23" s="25">
        <v>12</v>
      </c>
      <c r="W23" s="25">
        <v>12</v>
      </c>
      <c r="X23" s="25">
        <v>12</v>
      </c>
      <c r="Y23" s="25">
        <v>12</v>
      </c>
      <c r="Z23" s="25">
        <v>12</v>
      </c>
      <c r="AA23" s="25">
        <v>12</v>
      </c>
      <c r="AB23" s="25">
        <v>12</v>
      </c>
      <c r="AC23" s="25">
        <v>12</v>
      </c>
      <c r="AD23" s="25">
        <v>12</v>
      </c>
      <c r="AE23" s="25">
        <v>12</v>
      </c>
      <c r="AF23" s="25">
        <v>12</v>
      </c>
      <c r="AG23" s="25">
        <v>12</v>
      </c>
      <c r="AH23" s="25">
        <v>12</v>
      </c>
      <c r="AI23" s="25">
        <v>12</v>
      </c>
      <c r="AJ23" s="25">
        <v>8</v>
      </c>
      <c r="AK23" s="25">
        <v>8</v>
      </c>
      <c r="AL23" s="25">
        <v>0</v>
      </c>
      <c r="AM23" s="25">
        <v>0</v>
      </c>
      <c r="AN23" s="25">
        <v>8</v>
      </c>
      <c r="AO23" s="25">
        <v>8</v>
      </c>
      <c r="AP23" s="25">
        <v>8</v>
      </c>
      <c r="AQ23" s="25">
        <v>8</v>
      </c>
      <c r="CX23" s="23" t="s">
        <v>44</v>
      </c>
    </row>
    <row r="24" spans="2:102" x14ac:dyDescent="0.25">
      <c r="B24" s="26">
        <f>SUM(L24:AQ24)</f>
      </c>
      <c r="D24" s="27">
        <f>B24*E24</f>
      </c>
      <c r="E24" s="27">
        <f>'Rate Tables'!C8</f>
      </c>
      <c r="F24" s="8" t="s">
        <v>37</v>
      </c>
      <c r="L24" s="26">
        <f>IF(L$6="","",IF(WEEKDAY(L$6,1)=1,0,MIN(8,L23)*L22))</f>
      </c>
      <c r="M24" s="26">
        <f>IF(M$6="","",IF(WEEKDAY(M$6,1)=1,0,MIN(8,M23)*M22))</f>
      </c>
      <c r="N24" s="26">
        <f>IF(N$6="","",IF(WEEKDAY(N$6,1)=1,0,MIN(8,N23)*N22))</f>
      </c>
      <c r="O24" s="26">
        <f>IF(O$6="","",IF(WEEKDAY(O$6,1)=1,0,MIN(8,O23)*O22))</f>
      </c>
      <c r="P24" s="26">
        <f>IF(P$6="","",IF(WEEKDAY(P$6,1)=1,0,MIN(8,P23)*P22))</f>
      </c>
      <c r="Q24" s="26">
        <f>IF(Q$6="","",IF(WEEKDAY(Q$6,1)=1,0,MIN(8,Q23)*Q22))</f>
      </c>
      <c r="R24" s="26">
        <f>IF(R$6="","",IF(WEEKDAY(R$6,1)=1,0,MIN(8,R23)*R22))</f>
      </c>
      <c r="S24" s="26">
        <f>IF(S$6="","",IF(WEEKDAY(S$6,1)=1,0,MIN(8,S23)*S22))</f>
      </c>
      <c r="T24" s="26">
        <f>IF(T$6="","",IF(WEEKDAY(T$6,1)=1,0,MIN(8,T23)*T22))</f>
      </c>
      <c r="U24" s="26">
        <f>IF(U$6="","",IF(WEEKDAY(U$6,1)=1,0,MIN(8,U23)*U22))</f>
      </c>
      <c r="V24" s="26">
        <f>IF(V$6="","",IF(WEEKDAY(V$6,1)=1,0,MIN(8,V23)*V22))</f>
      </c>
      <c r="W24" s="26">
        <f>IF(W$6="","",IF(WEEKDAY(W$6,1)=1,0,MIN(8,W23)*W22))</f>
      </c>
      <c r="X24" s="26">
        <f>IF(X$6="","",IF(WEEKDAY(X$6,1)=1,0,MIN(8,X23)*X22))</f>
      </c>
      <c r="Y24" s="26">
        <f>IF(Y$6="","",IF(WEEKDAY(Y$6,1)=1,0,MIN(8,Y23)*Y22))</f>
      </c>
      <c r="Z24" s="26">
        <f>IF(Z$6="","",IF(WEEKDAY(Z$6,1)=1,0,MIN(8,Z23)*Z22))</f>
      </c>
      <c r="AA24" s="26">
        <f>IF(AA$6="","",IF(WEEKDAY(AA$6,1)=1,0,MIN(8,AA23)*AA22))</f>
      </c>
      <c r="AB24" s="26">
        <f>IF(AB$6="","",IF(WEEKDAY(AB$6,1)=1,0,MIN(8,AB23)*AB22))</f>
      </c>
      <c r="AC24" s="26">
        <f>IF(AC$6="","",IF(WEEKDAY(AC$6,1)=1,0,MIN(8,AC23)*AC22))</f>
      </c>
      <c r="AD24" s="26">
        <f>IF(AD$6="","",IF(WEEKDAY(AD$6,1)=1,0,MIN(8,AD23)*AD22))</f>
      </c>
      <c r="AE24" s="26">
        <f>IF(AE$6="","",IF(WEEKDAY(AE$6,1)=1,0,MIN(8,AE23)*AE22))</f>
      </c>
      <c r="AF24" s="26">
        <f>IF(AF$6="","",IF(WEEKDAY(AF$6,1)=1,0,MIN(8,AF23)*AF22))</f>
      </c>
      <c r="AG24" s="26">
        <f>IF(AG$6="","",IF(WEEKDAY(AG$6,1)=1,0,MIN(8,AG23)*AG22))</f>
      </c>
      <c r="AH24" s="26">
        <f>IF(AH$6="","",IF(WEEKDAY(AH$6,1)=1,0,MIN(8,AH23)*AH22))</f>
      </c>
      <c r="AI24" s="26">
        <f>IF(AI$6="","",IF(WEEKDAY(AI$6,1)=1,0,MIN(8,AI23)*AI22))</f>
      </c>
      <c r="AJ24" s="26">
        <f>IF(AJ$6="","",IF(WEEKDAY(AJ$6,1)=1,0,MIN(8,AJ23)*AJ22))</f>
      </c>
      <c r="AK24" s="26">
        <f>IF(AK$6="","",IF(WEEKDAY(AK$6,1)=1,0,MIN(8,AK23)*AK22))</f>
      </c>
      <c r="AL24" s="26">
        <f>IF(AL$6="","",IF(WEEKDAY(AL$6,1)=1,0,MIN(8,AL23)*AL22))</f>
      </c>
      <c r="AM24" s="26">
        <f>IF(AM$6="","",IF(WEEKDAY(AM$6,1)=1,0,MIN(8,AM23)*AM22))</f>
      </c>
      <c r="AN24" s="26">
        <f>IF(AN$6="","",IF(WEEKDAY(AN$6,1)=1,0,MIN(8,AN23)*AN22))</f>
      </c>
      <c r="AO24" s="26">
        <f>IF(AO$6="","",IF(WEEKDAY(AO$6,1)=1,0,MIN(8,AO23)*AO22))</f>
      </c>
      <c r="AP24" s="26">
        <f>IF(AP$6="","",IF(WEEKDAY(AP$6,1)=1,0,MIN(8,AP23)*AP22))</f>
      </c>
      <c r="AQ24" s="26">
        <f>IF(AQ$6="","",IF(WEEKDAY(AQ$6,1)=1,0,MIN(8,AQ23)*AQ22))</f>
      </c>
      <c r="CX24" s="8" t="s">
        <v>44</v>
      </c>
    </row>
    <row r="25" spans="2:102" x14ac:dyDescent="0.25">
      <c r="B25" s="26">
        <f>SUM(L25:AQ25)</f>
      </c>
      <c r="D25" s="27">
        <f>B25*E25</f>
      </c>
      <c r="E25" s="27">
        <f>'Rate Tables'!D8</f>
      </c>
      <c r="F25" s="8" t="s">
        <v>38</v>
      </c>
      <c r="L25" s="26">
        <f>IF(L$6="","",IF(WEEKDAY(L$6,1)=1,0,MAX(0,L23-8)*L22))</f>
      </c>
      <c r="M25" s="26">
        <f>IF(M$6="","",IF(WEEKDAY(M$6,1)=1,0,MAX(0,M23-8)*M22))</f>
      </c>
      <c r="N25" s="26">
        <f>IF(N$6="","",IF(WEEKDAY(N$6,1)=1,0,MAX(0,N23-8)*N22))</f>
      </c>
      <c r="O25" s="26">
        <f>IF(O$6="","",IF(WEEKDAY(O$6,1)=1,0,MAX(0,O23-8)*O22))</f>
      </c>
      <c r="P25" s="26">
        <f>IF(P$6="","",IF(WEEKDAY(P$6,1)=1,0,MAX(0,P23-8)*P22))</f>
      </c>
      <c r="Q25" s="26">
        <f>IF(Q$6="","",IF(WEEKDAY(Q$6,1)=1,0,MAX(0,Q23-8)*Q22))</f>
      </c>
      <c r="R25" s="26">
        <f>IF(R$6="","",IF(WEEKDAY(R$6,1)=1,0,MAX(0,R23-8)*R22))</f>
      </c>
      <c r="S25" s="26">
        <f>IF(S$6="","",IF(WEEKDAY(S$6,1)=1,0,MAX(0,S23-8)*S22))</f>
      </c>
      <c r="T25" s="26">
        <f>IF(T$6="","",IF(WEEKDAY(T$6,1)=1,0,MAX(0,T23-8)*T22))</f>
      </c>
      <c r="U25" s="26">
        <f>IF(U$6="","",IF(WEEKDAY(U$6,1)=1,0,MAX(0,U23-8)*U22))</f>
      </c>
      <c r="V25" s="26">
        <f>IF(V$6="","",IF(WEEKDAY(V$6,1)=1,0,MAX(0,V23-8)*V22))</f>
      </c>
      <c r="W25" s="26">
        <f>IF(W$6="","",IF(WEEKDAY(W$6,1)=1,0,MAX(0,W23-8)*W22))</f>
      </c>
      <c r="X25" s="26">
        <f>IF(X$6="","",IF(WEEKDAY(X$6,1)=1,0,MAX(0,X23-8)*X22))</f>
      </c>
      <c r="Y25" s="26">
        <f>IF(Y$6="","",IF(WEEKDAY(Y$6,1)=1,0,MAX(0,Y23-8)*Y22))</f>
      </c>
      <c r="Z25" s="26">
        <f>IF(Z$6="","",IF(WEEKDAY(Z$6,1)=1,0,MAX(0,Z23-8)*Z22))</f>
      </c>
      <c r="AA25" s="26">
        <f>IF(AA$6="","",IF(WEEKDAY(AA$6,1)=1,0,MAX(0,AA23-8)*AA22))</f>
      </c>
      <c r="AB25" s="26">
        <f>IF(AB$6="","",IF(WEEKDAY(AB$6,1)=1,0,MAX(0,AB23-8)*AB22))</f>
      </c>
      <c r="AC25" s="26">
        <f>IF(AC$6="","",IF(WEEKDAY(AC$6,1)=1,0,MAX(0,AC23-8)*AC22))</f>
      </c>
      <c r="AD25" s="26">
        <f>IF(AD$6="","",IF(WEEKDAY(AD$6,1)=1,0,MAX(0,AD23-8)*AD22))</f>
      </c>
      <c r="AE25" s="26">
        <f>IF(AE$6="","",IF(WEEKDAY(AE$6,1)=1,0,MAX(0,AE23-8)*AE22))</f>
      </c>
      <c r="AF25" s="26">
        <f>IF(AF$6="","",IF(WEEKDAY(AF$6,1)=1,0,MAX(0,AF23-8)*AF22))</f>
      </c>
      <c r="AG25" s="26">
        <f>IF(AG$6="","",IF(WEEKDAY(AG$6,1)=1,0,MAX(0,AG23-8)*AG22))</f>
      </c>
      <c r="AH25" s="26">
        <f>IF(AH$6="","",IF(WEEKDAY(AH$6,1)=1,0,MAX(0,AH23-8)*AH22))</f>
      </c>
      <c r="AI25" s="26">
        <f>IF(AI$6="","",IF(WEEKDAY(AI$6,1)=1,0,MAX(0,AI23-8)*AI22))</f>
      </c>
      <c r="AJ25" s="26">
        <f>IF(AJ$6="","",IF(WEEKDAY(AJ$6,1)=1,0,MAX(0,AJ23-8)*AJ22))</f>
      </c>
      <c r="AK25" s="26">
        <f>IF(AK$6="","",IF(WEEKDAY(AK$6,1)=1,0,MAX(0,AK23-8)*AK22))</f>
      </c>
      <c r="AL25" s="26">
        <f>IF(AL$6="","",IF(WEEKDAY(AL$6,1)=1,0,MAX(0,AL23-8)*AL22))</f>
      </c>
      <c r="AM25" s="26">
        <f>IF(AM$6="","",IF(WEEKDAY(AM$6,1)=1,0,MAX(0,AM23-8)*AM22))</f>
      </c>
      <c r="AN25" s="26">
        <f>IF(AN$6="","",IF(WEEKDAY(AN$6,1)=1,0,MAX(0,AN23-8)*AN22))</f>
      </c>
      <c r="AO25" s="26">
        <f>IF(AO$6="","",IF(WEEKDAY(AO$6,1)=1,0,MAX(0,AO23-8)*AO22))</f>
      </c>
      <c r="AP25" s="26">
        <f>IF(AP$6="","",IF(WEEKDAY(AP$6,1)=1,0,MAX(0,AP23-8)*AP22))</f>
      </c>
      <c r="AQ25" s="26">
        <f>IF(AQ$6="","",IF(WEEKDAY(AQ$6,1)=1,0,MAX(0,AQ23-8)*AQ22))</f>
      </c>
      <c r="CX25" s="8" t="s">
        <v>44</v>
      </c>
    </row>
    <row r="26" spans="2:102" x14ac:dyDescent="0.25">
      <c r="B26" s="26">
        <f>SUM(L26:AQ26)</f>
      </c>
      <c r="D26" s="27">
        <f>B26*E26</f>
      </c>
      <c r="E26" s="27">
        <f>'Rate Tables'!E8</f>
      </c>
      <c r="F26" s="8" t="s">
        <v>39</v>
      </c>
      <c r="L26" s="26">
        <f>IF(L$6="","",IF(WEEKDAY(L$6,1)=1,L23*L22,0))</f>
      </c>
      <c r="M26" s="26">
        <f>IF(M$6="","",IF(WEEKDAY(M$6,1)=1,M23*M22,0))</f>
      </c>
      <c r="N26" s="26">
        <f>IF(N$6="","",IF(WEEKDAY(N$6,1)=1,N23*N22,0))</f>
      </c>
      <c r="O26" s="26">
        <f>IF(O$6="","",IF(WEEKDAY(O$6,1)=1,O23*O22,0))</f>
      </c>
      <c r="P26" s="26">
        <f>IF(P$6="","",IF(WEEKDAY(P$6,1)=1,P23*P22,0))</f>
      </c>
      <c r="Q26" s="26">
        <f>IF(Q$6="","",IF(WEEKDAY(Q$6,1)=1,Q23*Q22,0))</f>
      </c>
      <c r="R26" s="26">
        <f>IF(R$6="","",IF(WEEKDAY(R$6,1)=1,R23*R22,0))</f>
      </c>
      <c r="S26" s="26">
        <f>IF(S$6="","",IF(WEEKDAY(S$6,1)=1,S23*S22,0))</f>
      </c>
      <c r="T26" s="26">
        <f>IF(T$6="","",IF(WEEKDAY(T$6,1)=1,T23*T22,0))</f>
      </c>
      <c r="U26" s="26">
        <f>IF(U$6="","",IF(WEEKDAY(U$6,1)=1,U23*U22,0))</f>
      </c>
      <c r="V26" s="26">
        <f>IF(V$6="","",IF(WEEKDAY(V$6,1)=1,V23*V22,0))</f>
      </c>
      <c r="W26" s="26">
        <f>IF(W$6="","",IF(WEEKDAY(W$6,1)=1,W23*W22,0))</f>
      </c>
      <c r="X26" s="26">
        <f>IF(X$6="","",IF(WEEKDAY(X$6,1)=1,X23*X22,0))</f>
      </c>
      <c r="Y26" s="26">
        <f>IF(Y$6="","",IF(WEEKDAY(Y$6,1)=1,Y23*Y22,0))</f>
      </c>
      <c r="Z26" s="26">
        <f>IF(Z$6="","",IF(WEEKDAY(Z$6,1)=1,Z23*Z22,0))</f>
      </c>
      <c r="AA26" s="26">
        <f>IF(AA$6="","",IF(WEEKDAY(AA$6,1)=1,AA23*AA22,0))</f>
      </c>
      <c r="AB26" s="26">
        <f>IF(AB$6="","",IF(WEEKDAY(AB$6,1)=1,AB23*AB22,0))</f>
      </c>
      <c r="AC26" s="26">
        <f>IF(AC$6="","",IF(WEEKDAY(AC$6,1)=1,AC23*AC22,0))</f>
      </c>
      <c r="AD26" s="26">
        <f>IF(AD$6="","",IF(WEEKDAY(AD$6,1)=1,AD23*AD22,0))</f>
      </c>
      <c r="AE26" s="26">
        <f>IF(AE$6="","",IF(WEEKDAY(AE$6,1)=1,AE23*AE22,0))</f>
      </c>
      <c r="AF26" s="26">
        <f>IF(AF$6="","",IF(WEEKDAY(AF$6,1)=1,AF23*AF22,0))</f>
      </c>
      <c r="AG26" s="26">
        <f>IF(AG$6="","",IF(WEEKDAY(AG$6,1)=1,AG23*AG22,0))</f>
      </c>
      <c r="AH26" s="26">
        <f>IF(AH$6="","",IF(WEEKDAY(AH$6,1)=1,AH23*AH22,0))</f>
      </c>
      <c r="AI26" s="26">
        <f>IF(AI$6="","",IF(WEEKDAY(AI$6,1)=1,AI23*AI22,0))</f>
      </c>
      <c r="AJ26" s="26">
        <f>IF(AJ$6="","",IF(WEEKDAY(AJ$6,1)=1,AJ23*AJ22,0))</f>
      </c>
      <c r="AK26" s="26">
        <f>IF(AK$6="","",IF(WEEKDAY(AK$6,1)=1,AK23*AK22,0))</f>
      </c>
      <c r="AL26" s="26">
        <f>IF(AL$6="","",IF(WEEKDAY(AL$6,1)=1,AL23*AL22,0))</f>
      </c>
      <c r="AM26" s="26">
        <f>IF(AM$6="","",IF(WEEKDAY(AM$6,1)=1,AM23*AM22,0))</f>
      </c>
      <c r="AN26" s="26">
        <f>IF(AN$6="","",IF(WEEKDAY(AN$6,1)=1,AN23*AN22,0))</f>
      </c>
      <c r="AO26" s="26">
        <f>IF(AO$6="","",IF(WEEKDAY(AO$6,1)=1,AO23*AO22,0))</f>
      </c>
      <c r="AP26" s="26">
        <f>IF(AP$6="","",IF(WEEKDAY(AP$6,1)=1,AP23*AP22,0))</f>
      </c>
      <c r="AQ26" s="26">
        <f>IF(AQ$6="","",IF(WEEKDAY(AQ$6,1)=1,AQ23*AQ22,0))</f>
      </c>
      <c r="CX26" s="8" t="s">
        <v>44</v>
      </c>
    </row>
    <row r="27" spans="2:102" x14ac:dyDescent="0.25">
      <c r="B27" s="26">
        <f>SUM(L27:AQ27)</f>
      </c>
      <c r="D27" s="27">
        <f>B27*E27</f>
      </c>
      <c r="E27" s="27">
        <v>140</v>
      </c>
      <c r="F27" s="8" t="s">
        <v>40</v>
      </c>
      <c r="L27" s="28">
        <v>1</v>
      </c>
      <c r="M27" s="28">
        <v>1</v>
      </c>
      <c r="N27" s="28">
        <v>1</v>
      </c>
      <c r="O27" s="28">
        <v>1</v>
      </c>
      <c r="P27" s="28">
        <v>1</v>
      </c>
      <c r="Q27" s="28">
        <v>0</v>
      </c>
      <c r="R27" s="28">
        <v>0</v>
      </c>
      <c r="S27" s="28">
        <v>1</v>
      </c>
      <c r="T27" s="28">
        <v>1</v>
      </c>
      <c r="U27" s="28">
        <v>1</v>
      </c>
      <c r="V27" s="28">
        <v>1</v>
      </c>
      <c r="W27" s="28">
        <v>1</v>
      </c>
      <c r="X27" s="28">
        <v>1</v>
      </c>
      <c r="Y27" s="28">
        <v>1</v>
      </c>
      <c r="Z27" s="28">
        <v>1</v>
      </c>
      <c r="AA27" s="28">
        <v>1</v>
      </c>
      <c r="AB27" s="28">
        <v>1</v>
      </c>
      <c r="AC27" s="28">
        <v>1</v>
      </c>
      <c r="AD27" s="28">
        <v>1</v>
      </c>
      <c r="AE27" s="28">
        <v>1</v>
      </c>
      <c r="AF27" s="28">
        <v>1</v>
      </c>
      <c r="AG27" s="28">
        <v>1</v>
      </c>
      <c r="AH27" s="28">
        <v>1</v>
      </c>
      <c r="AI27" s="28">
        <v>1</v>
      </c>
      <c r="AJ27" s="28">
        <v>0</v>
      </c>
      <c r="AK27" s="28">
        <v>0</v>
      </c>
      <c r="AL27" s="28">
        <v>0</v>
      </c>
      <c r="AM27" s="28">
        <v>0</v>
      </c>
      <c r="AN27" s="28">
        <v>0</v>
      </c>
      <c r="AO27" s="28">
        <v>0</v>
      </c>
      <c r="AP27" s="28">
        <v>0</v>
      </c>
      <c r="AQ27" s="28">
        <v>0</v>
      </c>
      <c r="CX27" s="8" t="s">
        <v>44</v>
      </c>
    </row>
    <row r="28" spans="1:102" x14ac:dyDescent="0.25">
      <c r="A28" s="20" t="s">
        <v>41</v>
      </c>
      <c r="B28" s="21">
        <f>G28+H28+I28</f>
      </c>
      <c r="C28" s="20" t="s">
        <v>43</v>
      </c>
      <c r="D28" s="22">
        <f>K28</f>
      </c>
      <c r="F28" s="20" t="s">
        <v>32</v>
      </c>
      <c r="G28" s="21">
        <f>B31</f>
      </c>
      <c r="H28" s="21">
        <f>B32</f>
      </c>
      <c r="I28" s="21">
        <f>B33</f>
      </c>
      <c r="J28" s="21">
        <f>B34</f>
      </c>
      <c r="K28" s="22">
        <f>D31+D32+D33</f>
      </c>
      <c r="CX28" s="20" t="s">
        <v>45</v>
      </c>
    </row>
    <row r="29" spans="6:102" x14ac:dyDescent="0.25">
      <c r="F29" s="23" t="s">
        <v>34</v>
      </c>
      <c r="L29" s="24">
        <v>1</v>
      </c>
      <c r="M29" s="24">
        <v>1</v>
      </c>
      <c r="N29" s="24">
        <v>1</v>
      </c>
      <c r="O29" s="24">
        <v>1</v>
      </c>
      <c r="P29" s="24">
        <v>1</v>
      </c>
      <c r="Q29" s="24">
        <v>0</v>
      </c>
      <c r="R29" s="24">
        <v>0</v>
      </c>
      <c r="S29" s="24">
        <v>1</v>
      </c>
      <c r="T29" s="24">
        <v>1</v>
      </c>
      <c r="U29" s="24">
        <v>1</v>
      </c>
      <c r="V29" s="24">
        <v>1</v>
      </c>
      <c r="W29" s="24">
        <v>1</v>
      </c>
      <c r="X29" s="24">
        <v>1</v>
      </c>
      <c r="Y29" s="24">
        <v>1</v>
      </c>
      <c r="Z29" s="24">
        <v>1</v>
      </c>
      <c r="AA29" s="24">
        <v>1</v>
      </c>
      <c r="AB29" s="24">
        <v>1</v>
      </c>
      <c r="AC29" s="24">
        <v>1</v>
      </c>
      <c r="AD29" s="24">
        <v>1</v>
      </c>
      <c r="AE29" s="24">
        <v>1</v>
      </c>
      <c r="AF29" s="24">
        <v>1</v>
      </c>
      <c r="AG29" s="24">
        <v>1</v>
      </c>
      <c r="AH29" s="24">
        <v>1</v>
      </c>
      <c r="AI29" s="24">
        <v>1</v>
      </c>
      <c r="AJ29" s="24">
        <v>0</v>
      </c>
      <c r="AK29" s="24">
        <v>0</v>
      </c>
      <c r="AL29" s="24">
        <v>0</v>
      </c>
      <c r="AM29" s="24">
        <v>0</v>
      </c>
      <c r="AN29" s="24">
        <v>0</v>
      </c>
      <c r="AO29" s="24">
        <v>0</v>
      </c>
      <c r="AP29" s="24">
        <v>0</v>
      </c>
      <c r="AQ29" s="24">
        <v>0</v>
      </c>
      <c r="CX29" s="23" t="s">
        <v>45</v>
      </c>
    </row>
    <row r="30" spans="1:102" x14ac:dyDescent="0.25">
      <c r="A30" s="23" t="s">
        <v>35</v>
      </c>
      <c r="F30" s="23" t="s">
        <v>36</v>
      </c>
      <c r="L30" s="25">
        <v>8</v>
      </c>
      <c r="M30" s="25">
        <v>8</v>
      </c>
      <c r="N30" s="25">
        <v>8</v>
      </c>
      <c r="O30" s="25">
        <v>8</v>
      </c>
      <c r="P30" s="25">
        <v>8</v>
      </c>
      <c r="Q30" s="25">
        <v>0</v>
      </c>
      <c r="R30" s="25">
        <v>0</v>
      </c>
      <c r="S30" s="25">
        <v>8</v>
      </c>
      <c r="T30" s="25">
        <v>8</v>
      </c>
      <c r="U30" s="25">
        <v>8</v>
      </c>
      <c r="V30" s="25">
        <v>12</v>
      </c>
      <c r="W30" s="25">
        <v>12</v>
      </c>
      <c r="X30" s="25">
        <v>12</v>
      </c>
      <c r="Y30" s="25">
        <v>12</v>
      </c>
      <c r="Z30" s="25">
        <v>12</v>
      </c>
      <c r="AA30" s="25">
        <v>12</v>
      </c>
      <c r="AB30" s="25">
        <v>12</v>
      </c>
      <c r="AC30" s="25">
        <v>12</v>
      </c>
      <c r="AD30" s="25">
        <v>12</v>
      </c>
      <c r="AE30" s="25">
        <v>12</v>
      </c>
      <c r="AF30" s="25">
        <v>12</v>
      </c>
      <c r="AG30" s="25">
        <v>12</v>
      </c>
      <c r="AH30" s="25">
        <v>12</v>
      </c>
      <c r="AI30" s="25">
        <v>12</v>
      </c>
      <c r="AJ30" s="25">
        <v>0</v>
      </c>
      <c r="AK30" s="25">
        <v>0</v>
      </c>
      <c r="AL30" s="25">
        <v>0</v>
      </c>
      <c r="AM30" s="25">
        <v>0</v>
      </c>
      <c r="AN30" s="25">
        <v>0</v>
      </c>
      <c r="AO30" s="25">
        <v>0</v>
      </c>
      <c r="AP30" s="25">
        <v>0</v>
      </c>
      <c r="AQ30" s="25">
        <v>0</v>
      </c>
      <c r="CX30" s="23" t="s">
        <v>45</v>
      </c>
    </row>
    <row r="31" spans="2:102" x14ac:dyDescent="0.25">
      <c r="B31" s="26">
        <f>SUM(L31:AQ31)</f>
      </c>
      <c r="D31" s="27">
        <f>B31*E31</f>
      </c>
      <c r="E31" s="27">
        <f>'Rate Tables'!C8</f>
      </c>
      <c r="F31" s="8" t="s">
        <v>37</v>
      </c>
      <c r="L31" s="26">
        <f>IF(L$6="","",IF(WEEKDAY(L$6,1)=1,0,MIN(8,L30)*L29))</f>
      </c>
      <c r="M31" s="26">
        <f>IF(M$6="","",IF(WEEKDAY(M$6,1)=1,0,MIN(8,M30)*M29))</f>
      </c>
      <c r="N31" s="26">
        <f>IF(N$6="","",IF(WEEKDAY(N$6,1)=1,0,MIN(8,N30)*N29))</f>
      </c>
      <c r="O31" s="26">
        <f>IF(O$6="","",IF(WEEKDAY(O$6,1)=1,0,MIN(8,O30)*O29))</f>
      </c>
      <c r="P31" s="26">
        <f>IF(P$6="","",IF(WEEKDAY(P$6,1)=1,0,MIN(8,P30)*P29))</f>
      </c>
      <c r="Q31" s="26">
        <f>IF(Q$6="","",IF(WEEKDAY(Q$6,1)=1,0,MIN(8,Q30)*Q29))</f>
      </c>
      <c r="R31" s="26">
        <f>IF(R$6="","",IF(WEEKDAY(R$6,1)=1,0,MIN(8,R30)*R29))</f>
      </c>
      <c r="S31" s="26">
        <f>IF(S$6="","",IF(WEEKDAY(S$6,1)=1,0,MIN(8,S30)*S29))</f>
      </c>
      <c r="T31" s="26">
        <f>IF(T$6="","",IF(WEEKDAY(T$6,1)=1,0,MIN(8,T30)*T29))</f>
      </c>
      <c r="U31" s="26">
        <f>IF(U$6="","",IF(WEEKDAY(U$6,1)=1,0,MIN(8,U30)*U29))</f>
      </c>
      <c r="V31" s="26">
        <f>IF(V$6="","",IF(WEEKDAY(V$6,1)=1,0,MIN(8,V30)*V29))</f>
      </c>
      <c r="W31" s="26">
        <f>IF(W$6="","",IF(WEEKDAY(W$6,1)=1,0,MIN(8,W30)*W29))</f>
      </c>
      <c r="X31" s="26">
        <f>IF(X$6="","",IF(WEEKDAY(X$6,1)=1,0,MIN(8,X30)*X29))</f>
      </c>
      <c r="Y31" s="26">
        <f>IF(Y$6="","",IF(WEEKDAY(Y$6,1)=1,0,MIN(8,Y30)*Y29))</f>
      </c>
      <c r="Z31" s="26">
        <f>IF(Z$6="","",IF(WEEKDAY(Z$6,1)=1,0,MIN(8,Z30)*Z29))</f>
      </c>
      <c r="AA31" s="26">
        <f>IF(AA$6="","",IF(WEEKDAY(AA$6,1)=1,0,MIN(8,AA30)*AA29))</f>
      </c>
      <c r="AB31" s="26">
        <f>IF(AB$6="","",IF(WEEKDAY(AB$6,1)=1,0,MIN(8,AB30)*AB29))</f>
      </c>
      <c r="AC31" s="26">
        <f>IF(AC$6="","",IF(WEEKDAY(AC$6,1)=1,0,MIN(8,AC30)*AC29))</f>
      </c>
      <c r="AD31" s="26">
        <f>IF(AD$6="","",IF(WEEKDAY(AD$6,1)=1,0,MIN(8,AD30)*AD29))</f>
      </c>
      <c r="AE31" s="26">
        <f>IF(AE$6="","",IF(WEEKDAY(AE$6,1)=1,0,MIN(8,AE30)*AE29))</f>
      </c>
      <c r="AF31" s="26">
        <f>IF(AF$6="","",IF(WEEKDAY(AF$6,1)=1,0,MIN(8,AF30)*AF29))</f>
      </c>
      <c r="AG31" s="26">
        <f>IF(AG$6="","",IF(WEEKDAY(AG$6,1)=1,0,MIN(8,AG30)*AG29))</f>
      </c>
      <c r="AH31" s="26">
        <f>IF(AH$6="","",IF(WEEKDAY(AH$6,1)=1,0,MIN(8,AH30)*AH29))</f>
      </c>
      <c r="AI31" s="26">
        <f>IF(AI$6="","",IF(WEEKDAY(AI$6,1)=1,0,MIN(8,AI30)*AI29))</f>
      </c>
      <c r="AJ31" s="26">
        <f>IF(AJ$6="","",IF(WEEKDAY(AJ$6,1)=1,0,MIN(8,AJ30)*AJ29))</f>
      </c>
      <c r="AK31" s="26">
        <f>IF(AK$6="","",IF(WEEKDAY(AK$6,1)=1,0,MIN(8,AK30)*AK29))</f>
      </c>
      <c r="AL31" s="26">
        <f>IF(AL$6="","",IF(WEEKDAY(AL$6,1)=1,0,MIN(8,AL30)*AL29))</f>
      </c>
      <c r="AM31" s="26">
        <f>IF(AM$6="","",IF(WEEKDAY(AM$6,1)=1,0,MIN(8,AM30)*AM29))</f>
      </c>
      <c r="AN31" s="26">
        <f>IF(AN$6="","",IF(WEEKDAY(AN$6,1)=1,0,MIN(8,AN30)*AN29))</f>
      </c>
      <c r="AO31" s="26">
        <f>IF(AO$6="","",IF(WEEKDAY(AO$6,1)=1,0,MIN(8,AO30)*AO29))</f>
      </c>
      <c r="AP31" s="26">
        <f>IF(AP$6="","",IF(WEEKDAY(AP$6,1)=1,0,MIN(8,AP30)*AP29))</f>
      </c>
      <c r="AQ31" s="26">
        <f>IF(AQ$6="","",IF(WEEKDAY(AQ$6,1)=1,0,MIN(8,AQ30)*AQ29))</f>
      </c>
      <c r="CX31" s="8" t="s">
        <v>45</v>
      </c>
    </row>
    <row r="32" spans="2:102" x14ac:dyDescent="0.25">
      <c r="B32" s="26">
        <f>SUM(L32:AQ32)</f>
      </c>
      <c r="D32" s="27">
        <f>B32*E32</f>
      </c>
      <c r="E32" s="27">
        <f>'Rate Tables'!D8</f>
      </c>
      <c r="F32" s="8" t="s">
        <v>38</v>
      </c>
      <c r="L32" s="26">
        <f>IF(L$6="","",IF(WEEKDAY(L$6,1)=1,0,MAX(0,L30-8)*L29))</f>
      </c>
      <c r="M32" s="26">
        <f>IF(M$6="","",IF(WEEKDAY(M$6,1)=1,0,MAX(0,M30-8)*M29))</f>
      </c>
      <c r="N32" s="26">
        <f>IF(N$6="","",IF(WEEKDAY(N$6,1)=1,0,MAX(0,N30-8)*N29))</f>
      </c>
      <c r="O32" s="26">
        <f>IF(O$6="","",IF(WEEKDAY(O$6,1)=1,0,MAX(0,O30-8)*O29))</f>
      </c>
      <c r="P32" s="26">
        <f>IF(P$6="","",IF(WEEKDAY(P$6,1)=1,0,MAX(0,P30-8)*P29))</f>
      </c>
      <c r="Q32" s="26">
        <f>IF(Q$6="","",IF(WEEKDAY(Q$6,1)=1,0,MAX(0,Q30-8)*Q29))</f>
      </c>
      <c r="R32" s="26">
        <f>IF(R$6="","",IF(WEEKDAY(R$6,1)=1,0,MAX(0,R30-8)*R29))</f>
      </c>
      <c r="S32" s="26">
        <f>IF(S$6="","",IF(WEEKDAY(S$6,1)=1,0,MAX(0,S30-8)*S29))</f>
      </c>
      <c r="T32" s="26">
        <f>IF(T$6="","",IF(WEEKDAY(T$6,1)=1,0,MAX(0,T30-8)*T29))</f>
      </c>
      <c r="U32" s="26">
        <f>IF(U$6="","",IF(WEEKDAY(U$6,1)=1,0,MAX(0,U30-8)*U29))</f>
      </c>
      <c r="V32" s="26">
        <f>IF(V$6="","",IF(WEEKDAY(V$6,1)=1,0,MAX(0,V30-8)*V29))</f>
      </c>
      <c r="W32" s="26">
        <f>IF(W$6="","",IF(WEEKDAY(W$6,1)=1,0,MAX(0,W30-8)*W29))</f>
      </c>
      <c r="X32" s="26">
        <f>IF(X$6="","",IF(WEEKDAY(X$6,1)=1,0,MAX(0,X30-8)*X29))</f>
      </c>
      <c r="Y32" s="26">
        <f>IF(Y$6="","",IF(WEEKDAY(Y$6,1)=1,0,MAX(0,Y30-8)*Y29))</f>
      </c>
      <c r="Z32" s="26">
        <f>IF(Z$6="","",IF(WEEKDAY(Z$6,1)=1,0,MAX(0,Z30-8)*Z29))</f>
      </c>
      <c r="AA32" s="26">
        <f>IF(AA$6="","",IF(WEEKDAY(AA$6,1)=1,0,MAX(0,AA30-8)*AA29))</f>
      </c>
      <c r="AB32" s="26">
        <f>IF(AB$6="","",IF(WEEKDAY(AB$6,1)=1,0,MAX(0,AB30-8)*AB29))</f>
      </c>
      <c r="AC32" s="26">
        <f>IF(AC$6="","",IF(WEEKDAY(AC$6,1)=1,0,MAX(0,AC30-8)*AC29))</f>
      </c>
      <c r="AD32" s="26">
        <f>IF(AD$6="","",IF(WEEKDAY(AD$6,1)=1,0,MAX(0,AD30-8)*AD29))</f>
      </c>
      <c r="AE32" s="26">
        <f>IF(AE$6="","",IF(WEEKDAY(AE$6,1)=1,0,MAX(0,AE30-8)*AE29))</f>
      </c>
      <c r="AF32" s="26">
        <f>IF(AF$6="","",IF(WEEKDAY(AF$6,1)=1,0,MAX(0,AF30-8)*AF29))</f>
      </c>
      <c r="AG32" s="26">
        <f>IF(AG$6="","",IF(WEEKDAY(AG$6,1)=1,0,MAX(0,AG30-8)*AG29))</f>
      </c>
      <c r="AH32" s="26">
        <f>IF(AH$6="","",IF(WEEKDAY(AH$6,1)=1,0,MAX(0,AH30-8)*AH29))</f>
      </c>
      <c r="AI32" s="26">
        <f>IF(AI$6="","",IF(WEEKDAY(AI$6,1)=1,0,MAX(0,AI30-8)*AI29))</f>
      </c>
      <c r="AJ32" s="26">
        <f>IF(AJ$6="","",IF(WEEKDAY(AJ$6,1)=1,0,MAX(0,AJ30-8)*AJ29))</f>
      </c>
      <c r="AK32" s="26">
        <f>IF(AK$6="","",IF(WEEKDAY(AK$6,1)=1,0,MAX(0,AK30-8)*AK29))</f>
      </c>
      <c r="AL32" s="26">
        <f>IF(AL$6="","",IF(WEEKDAY(AL$6,1)=1,0,MAX(0,AL30-8)*AL29))</f>
      </c>
      <c r="AM32" s="26">
        <f>IF(AM$6="","",IF(WEEKDAY(AM$6,1)=1,0,MAX(0,AM30-8)*AM29))</f>
      </c>
      <c r="AN32" s="26">
        <f>IF(AN$6="","",IF(WEEKDAY(AN$6,1)=1,0,MAX(0,AN30-8)*AN29))</f>
      </c>
      <c r="AO32" s="26">
        <f>IF(AO$6="","",IF(WEEKDAY(AO$6,1)=1,0,MAX(0,AO30-8)*AO29))</f>
      </c>
      <c r="AP32" s="26">
        <f>IF(AP$6="","",IF(WEEKDAY(AP$6,1)=1,0,MAX(0,AP30-8)*AP29))</f>
      </c>
      <c r="AQ32" s="26">
        <f>IF(AQ$6="","",IF(WEEKDAY(AQ$6,1)=1,0,MAX(0,AQ30-8)*AQ29))</f>
      </c>
      <c r="CX32" s="8" t="s">
        <v>45</v>
      </c>
    </row>
    <row r="33" spans="2:102" x14ac:dyDescent="0.25">
      <c r="B33" s="26">
        <f>SUM(L33:AQ33)</f>
      </c>
      <c r="D33" s="27">
        <f>B33*E33</f>
      </c>
      <c r="E33" s="27">
        <f>'Rate Tables'!E8</f>
      </c>
      <c r="F33" s="8" t="s">
        <v>39</v>
      </c>
      <c r="L33" s="26">
        <f>IF(L$6="","",IF(WEEKDAY(L$6,1)=1,L30*L29,0))</f>
      </c>
      <c r="M33" s="26">
        <f>IF(M$6="","",IF(WEEKDAY(M$6,1)=1,M30*M29,0))</f>
      </c>
      <c r="N33" s="26">
        <f>IF(N$6="","",IF(WEEKDAY(N$6,1)=1,N30*N29,0))</f>
      </c>
      <c r="O33" s="26">
        <f>IF(O$6="","",IF(WEEKDAY(O$6,1)=1,O30*O29,0))</f>
      </c>
      <c r="P33" s="26">
        <f>IF(P$6="","",IF(WEEKDAY(P$6,1)=1,P30*P29,0))</f>
      </c>
      <c r="Q33" s="26">
        <f>IF(Q$6="","",IF(WEEKDAY(Q$6,1)=1,Q30*Q29,0))</f>
      </c>
      <c r="R33" s="26">
        <f>IF(R$6="","",IF(WEEKDAY(R$6,1)=1,R30*R29,0))</f>
      </c>
      <c r="S33" s="26">
        <f>IF(S$6="","",IF(WEEKDAY(S$6,1)=1,S30*S29,0))</f>
      </c>
      <c r="T33" s="26">
        <f>IF(T$6="","",IF(WEEKDAY(T$6,1)=1,T30*T29,0))</f>
      </c>
      <c r="U33" s="26">
        <f>IF(U$6="","",IF(WEEKDAY(U$6,1)=1,U30*U29,0))</f>
      </c>
      <c r="V33" s="26">
        <f>IF(V$6="","",IF(WEEKDAY(V$6,1)=1,V30*V29,0))</f>
      </c>
      <c r="W33" s="26">
        <f>IF(W$6="","",IF(WEEKDAY(W$6,1)=1,W30*W29,0))</f>
      </c>
      <c r="X33" s="26">
        <f>IF(X$6="","",IF(WEEKDAY(X$6,1)=1,X30*X29,0))</f>
      </c>
      <c r="Y33" s="26">
        <f>IF(Y$6="","",IF(WEEKDAY(Y$6,1)=1,Y30*Y29,0))</f>
      </c>
      <c r="Z33" s="26">
        <f>IF(Z$6="","",IF(WEEKDAY(Z$6,1)=1,Z30*Z29,0))</f>
      </c>
      <c r="AA33" s="26">
        <f>IF(AA$6="","",IF(WEEKDAY(AA$6,1)=1,AA30*AA29,0))</f>
      </c>
      <c r="AB33" s="26">
        <f>IF(AB$6="","",IF(WEEKDAY(AB$6,1)=1,AB30*AB29,0))</f>
      </c>
      <c r="AC33" s="26">
        <f>IF(AC$6="","",IF(WEEKDAY(AC$6,1)=1,AC30*AC29,0))</f>
      </c>
      <c r="AD33" s="26">
        <f>IF(AD$6="","",IF(WEEKDAY(AD$6,1)=1,AD30*AD29,0))</f>
      </c>
      <c r="AE33" s="26">
        <f>IF(AE$6="","",IF(WEEKDAY(AE$6,1)=1,AE30*AE29,0))</f>
      </c>
      <c r="AF33" s="26">
        <f>IF(AF$6="","",IF(WEEKDAY(AF$6,1)=1,AF30*AF29,0))</f>
      </c>
      <c r="AG33" s="26">
        <f>IF(AG$6="","",IF(WEEKDAY(AG$6,1)=1,AG30*AG29,0))</f>
      </c>
      <c r="AH33" s="26">
        <f>IF(AH$6="","",IF(WEEKDAY(AH$6,1)=1,AH30*AH29,0))</f>
      </c>
      <c r="AI33" s="26">
        <f>IF(AI$6="","",IF(WEEKDAY(AI$6,1)=1,AI30*AI29,0))</f>
      </c>
      <c r="AJ33" s="26">
        <f>IF(AJ$6="","",IF(WEEKDAY(AJ$6,1)=1,AJ30*AJ29,0))</f>
      </c>
      <c r="AK33" s="26">
        <f>IF(AK$6="","",IF(WEEKDAY(AK$6,1)=1,AK30*AK29,0))</f>
      </c>
      <c r="AL33" s="26">
        <f>IF(AL$6="","",IF(WEEKDAY(AL$6,1)=1,AL30*AL29,0))</f>
      </c>
      <c r="AM33" s="26">
        <f>IF(AM$6="","",IF(WEEKDAY(AM$6,1)=1,AM30*AM29,0))</f>
      </c>
      <c r="AN33" s="26">
        <f>IF(AN$6="","",IF(WEEKDAY(AN$6,1)=1,AN30*AN29,0))</f>
      </c>
      <c r="AO33" s="26">
        <f>IF(AO$6="","",IF(WEEKDAY(AO$6,1)=1,AO30*AO29,0))</f>
      </c>
      <c r="AP33" s="26">
        <f>IF(AP$6="","",IF(WEEKDAY(AP$6,1)=1,AP30*AP29,0))</f>
      </c>
      <c r="AQ33" s="26">
        <f>IF(AQ$6="","",IF(WEEKDAY(AQ$6,1)=1,AQ30*AQ29,0))</f>
      </c>
      <c r="CX33" s="8" t="s">
        <v>45</v>
      </c>
    </row>
    <row r="34" spans="2:102" x14ac:dyDescent="0.25">
      <c r="B34" s="26">
        <f>SUM(L34:AQ34)</f>
      </c>
      <c r="D34" s="27">
        <f>B34*E34</f>
      </c>
      <c r="E34" s="27">
        <v>140</v>
      </c>
      <c r="F34" s="8" t="s">
        <v>40</v>
      </c>
      <c r="L34" s="28">
        <v>1</v>
      </c>
      <c r="M34" s="28">
        <v>1</v>
      </c>
      <c r="N34" s="28">
        <v>1</v>
      </c>
      <c r="O34" s="28">
        <v>1</v>
      </c>
      <c r="P34" s="28">
        <v>1</v>
      </c>
      <c r="Q34" s="28">
        <v>0</v>
      </c>
      <c r="R34" s="28">
        <v>0</v>
      </c>
      <c r="S34" s="28">
        <v>1</v>
      </c>
      <c r="T34" s="28">
        <v>1</v>
      </c>
      <c r="U34" s="28">
        <v>1</v>
      </c>
      <c r="V34" s="28">
        <v>1</v>
      </c>
      <c r="W34" s="28">
        <v>1</v>
      </c>
      <c r="X34" s="28">
        <v>1</v>
      </c>
      <c r="Y34" s="28">
        <v>1</v>
      </c>
      <c r="Z34" s="28">
        <v>1</v>
      </c>
      <c r="AA34" s="28">
        <v>1</v>
      </c>
      <c r="AB34" s="28">
        <v>1</v>
      </c>
      <c r="AC34" s="28">
        <v>1</v>
      </c>
      <c r="AD34" s="28">
        <v>1</v>
      </c>
      <c r="AE34" s="28">
        <v>1</v>
      </c>
      <c r="AF34" s="28">
        <v>1</v>
      </c>
      <c r="AG34" s="28">
        <v>1</v>
      </c>
      <c r="AH34" s="28">
        <v>1</v>
      </c>
      <c r="AI34" s="28">
        <v>1</v>
      </c>
      <c r="AJ34" s="28">
        <v>0</v>
      </c>
      <c r="AK34" s="28">
        <v>0</v>
      </c>
      <c r="AL34" s="28">
        <v>0</v>
      </c>
      <c r="AM34" s="28">
        <v>0</v>
      </c>
      <c r="AN34" s="28">
        <v>0</v>
      </c>
      <c r="AO34" s="28">
        <v>0</v>
      </c>
      <c r="AP34" s="28">
        <v>0</v>
      </c>
      <c r="AQ34" s="28">
        <v>0</v>
      </c>
      <c r="CX34" s="8" t="s">
        <v>45</v>
      </c>
    </row>
    <row r="35" spans="1:102" x14ac:dyDescent="0.25">
      <c r="A35" s="20" t="s">
        <v>30</v>
      </c>
      <c r="B35" s="21">
        <f>G35+H35+I35</f>
      </c>
      <c r="C35" s="20" t="s">
        <v>46</v>
      </c>
      <c r="D35" s="22">
        <f>K35</f>
      </c>
      <c r="F35" s="20" t="s">
        <v>32</v>
      </c>
      <c r="G35" s="21">
        <f>B38</f>
      </c>
      <c r="H35" s="21">
        <f>B39</f>
      </c>
      <c r="I35" s="21">
        <f>B40</f>
      </c>
      <c r="J35" s="21">
        <f>B41</f>
      </c>
      <c r="K35" s="22">
        <f>D38+D39+D40</f>
      </c>
      <c r="CX35" s="20" t="s">
        <v>47</v>
      </c>
    </row>
    <row r="36" spans="6:102" x14ac:dyDescent="0.25">
      <c r="F36" s="23" t="s">
        <v>34</v>
      </c>
      <c r="L36" s="24">
        <v>1</v>
      </c>
      <c r="M36" s="24">
        <v>1</v>
      </c>
      <c r="N36" s="24">
        <v>1</v>
      </c>
      <c r="O36" s="24">
        <v>1</v>
      </c>
      <c r="P36" s="24">
        <v>1</v>
      </c>
      <c r="Q36" s="24">
        <v>0</v>
      </c>
      <c r="R36" s="24">
        <v>0</v>
      </c>
      <c r="S36" s="24">
        <v>1</v>
      </c>
      <c r="T36" s="24">
        <v>1</v>
      </c>
      <c r="U36" s="24">
        <v>1</v>
      </c>
      <c r="V36" s="24">
        <v>1</v>
      </c>
      <c r="W36" s="24">
        <v>1</v>
      </c>
      <c r="X36" s="24">
        <v>1</v>
      </c>
      <c r="Y36" s="24">
        <v>1</v>
      </c>
      <c r="Z36" s="24">
        <v>1</v>
      </c>
      <c r="AA36" s="24">
        <v>1</v>
      </c>
      <c r="AB36" s="24">
        <v>1</v>
      </c>
      <c r="AC36" s="24">
        <v>1</v>
      </c>
      <c r="AD36" s="24">
        <v>1</v>
      </c>
      <c r="AE36" s="24">
        <v>1</v>
      </c>
      <c r="AF36" s="24">
        <v>1</v>
      </c>
      <c r="AG36" s="24">
        <v>1</v>
      </c>
      <c r="AH36" s="24">
        <v>1</v>
      </c>
      <c r="AI36" s="24">
        <v>1</v>
      </c>
      <c r="AJ36" s="24">
        <v>1</v>
      </c>
      <c r="AK36" s="24">
        <v>1</v>
      </c>
      <c r="AL36" s="24">
        <v>0</v>
      </c>
      <c r="AM36" s="24">
        <v>0</v>
      </c>
      <c r="AN36" s="24">
        <v>1</v>
      </c>
      <c r="AO36" s="24">
        <v>1</v>
      </c>
      <c r="AP36" s="24">
        <v>1</v>
      </c>
      <c r="AQ36" s="24">
        <v>1</v>
      </c>
      <c r="CX36" s="23" t="s">
        <v>47</v>
      </c>
    </row>
    <row r="37" spans="1:102" x14ac:dyDescent="0.25">
      <c r="A37" s="23" t="s">
        <v>35</v>
      </c>
      <c r="F37" s="23" t="s">
        <v>36</v>
      </c>
      <c r="L37" s="25">
        <v>8</v>
      </c>
      <c r="M37" s="25">
        <v>8</v>
      </c>
      <c r="N37" s="25">
        <v>8</v>
      </c>
      <c r="O37" s="25">
        <v>8</v>
      </c>
      <c r="P37" s="25">
        <v>8</v>
      </c>
      <c r="Q37" s="25">
        <v>0</v>
      </c>
      <c r="R37" s="25">
        <v>0</v>
      </c>
      <c r="S37" s="25">
        <v>8</v>
      </c>
      <c r="T37" s="25">
        <v>8</v>
      </c>
      <c r="U37" s="25">
        <v>8</v>
      </c>
      <c r="V37" s="25">
        <v>12</v>
      </c>
      <c r="W37" s="25">
        <v>12</v>
      </c>
      <c r="X37" s="25">
        <v>12</v>
      </c>
      <c r="Y37" s="25">
        <v>12</v>
      </c>
      <c r="Z37" s="25">
        <v>12</v>
      </c>
      <c r="AA37" s="25">
        <v>12</v>
      </c>
      <c r="AB37" s="25">
        <v>12</v>
      </c>
      <c r="AC37" s="25">
        <v>12</v>
      </c>
      <c r="AD37" s="25">
        <v>12</v>
      </c>
      <c r="AE37" s="25">
        <v>12</v>
      </c>
      <c r="AF37" s="25">
        <v>12</v>
      </c>
      <c r="AG37" s="25">
        <v>12</v>
      </c>
      <c r="AH37" s="25">
        <v>12</v>
      </c>
      <c r="AI37" s="25">
        <v>12</v>
      </c>
      <c r="AJ37" s="25">
        <v>8</v>
      </c>
      <c r="AK37" s="25">
        <v>8</v>
      </c>
      <c r="AL37" s="25">
        <v>0</v>
      </c>
      <c r="AM37" s="25">
        <v>0</v>
      </c>
      <c r="AN37" s="25">
        <v>8</v>
      </c>
      <c r="AO37" s="25">
        <v>8</v>
      </c>
      <c r="AP37" s="25">
        <v>8</v>
      </c>
      <c r="AQ37" s="25">
        <v>8</v>
      </c>
      <c r="CX37" s="23" t="s">
        <v>47</v>
      </c>
    </row>
    <row r="38" spans="2:102" x14ac:dyDescent="0.25">
      <c r="B38" s="26">
        <f>SUM(L38:AQ38)</f>
      </c>
      <c r="D38" s="27">
        <f>B38*E38</f>
      </c>
      <c r="E38" s="27">
        <f>'Rate Tables'!C9</f>
      </c>
      <c r="F38" s="8" t="s">
        <v>37</v>
      </c>
      <c r="L38" s="26">
        <f>IF(L$6="","",IF(WEEKDAY(L$6,1)=1,0,MIN(8,L37)*L36))</f>
      </c>
      <c r="M38" s="26">
        <f>IF(M$6="","",IF(WEEKDAY(M$6,1)=1,0,MIN(8,M37)*M36))</f>
      </c>
      <c r="N38" s="26">
        <f>IF(N$6="","",IF(WEEKDAY(N$6,1)=1,0,MIN(8,N37)*N36))</f>
      </c>
      <c r="O38" s="26">
        <f>IF(O$6="","",IF(WEEKDAY(O$6,1)=1,0,MIN(8,O37)*O36))</f>
      </c>
      <c r="P38" s="26">
        <f>IF(P$6="","",IF(WEEKDAY(P$6,1)=1,0,MIN(8,P37)*P36))</f>
      </c>
      <c r="Q38" s="26">
        <f>IF(Q$6="","",IF(WEEKDAY(Q$6,1)=1,0,MIN(8,Q37)*Q36))</f>
      </c>
      <c r="R38" s="26">
        <f>IF(R$6="","",IF(WEEKDAY(R$6,1)=1,0,MIN(8,R37)*R36))</f>
      </c>
      <c r="S38" s="26">
        <f>IF(S$6="","",IF(WEEKDAY(S$6,1)=1,0,MIN(8,S37)*S36))</f>
      </c>
      <c r="T38" s="26">
        <f>IF(T$6="","",IF(WEEKDAY(T$6,1)=1,0,MIN(8,T37)*T36))</f>
      </c>
      <c r="U38" s="26">
        <f>IF(U$6="","",IF(WEEKDAY(U$6,1)=1,0,MIN(8,U37)*U36))</f>
      </c>
      <c r="V38" s="26">
        <f>IF(V$6="","",IF(WEEKDAY(V$6,1)=1,0,MIN(8,V37)*V36))</f>
      </c>
      <c r="W38" s="26">
        <f>IF(W$6="","",IF(WEEKDAY(W$6,1)=1,0,MIN(8,W37)*W36))</f>
      </c>
      <c r="X38" s="26">
        <f>IF(X$6="","",IF(WEEKDAY(X$6,1)=1,0,MIN(8,X37)*X36))</f>
      </c>
      <c r="Y38" s="26">
        <f>IF(Y$6="","",IF(WEEKDAY(Y$6,1)=1,0,MIN(8,Y37)*Y36))</f>
      </c>
      <c r="Z38" s="26">
        <f>IF(Z$6="","",IF(WEEKDAY(Z$6,1)=1,0,MIN(8,Z37)*Z36))</f>
      </c>
      <c r="AA38" s="26">
        <f>IF(AA$6="","",IF(WEEKDAY(AA$6,1)=1,0,MIN(8,AA37)*AA36))</f>
      </c>
      <c r="AB38" s="26">
        <f>IF(AB$6="","",IF(WEEKDAY(AB$6,1)=1,0,MIN(8,AB37)*AB36))</f>
      </c>
      <c r="AC38" s="26">
        <f>IF(AC$6="","",IF(WEEKDAY(AC$6,1)=1,0,MIN(8,AC37)*AC36))</f>
      </c>
      <c r="AD38" s="26">
        <f>IF(AD$6="","",IF(WEEKDAY(AD$6,1)=1,0,MIN(8,AD37)*AD36))</f>
      </c>
      <c r="AE38" s="26">
        <f>IF(AE$6="","",IF(WEEKDAY(AE$6,1)=1,0,MIN(8,AE37)*AE36))</f>
      </c>
      <c r="AF38" s="26">
        <f>IF(AF$6="","",IF(WEEKDAY(AF$6,1)=1,0,MIN(8,AF37)*AF36))</f>
      </c>
      <c r="AG38" s="26">
        <f>IF(AG$6="","",IF(WEEKDAY(AG$6,1)=1,0,MIN(8,AG37)*AG36))</f>
      </c>
      <c r="AH38" s="26">
        <f>IF(AH$6="","",IF(WEEKDAY(AH$6,1)=1,0,MIN(8,AH37)*AH36))</f>
      </c>
      <c r="AI38" s="26">
        <f>IF(AI$6="","",IF(WEEKDAY(AI$6,1)=1,0,MIN(8,AI37)*AI36))</f>
      </c>
      <c r="AJ38" s="26">
        <f>IF(AJ$6="","",IF(WEEKDAY(AJ$6,1)=1,0,MIN(8,AJ37)*AJ36))</f>
      </c>
      <c r="AK38" s="26">
        <f>IF(AK$6="","",IF(WEEKDAY(AK$6,1)=1,0,MIN(8,AK37)*AK36))</f>
      </c>
      <c r="AL38" s="26">
        <f>IF(AL$6="","",IF(WEEKDAY(AL$6,1)=1,0,MIN(8,AL37)*AL36))</f>
      </c>
      <c r="AM38" s="26">
        <f>IF(AM$6="","",IF(WEEKDAY(AM$6,1)=1,0,MIN(8,AM37)*AM36))</f>
      </c>
      <c r="AN38" s="26">
        <f>IF(AN$6="","",IF(WEEKDAY(AN$6,1)=1,0,MIN(8,AN37)*AN36))</f>
      </c>
      <c r="AO38" s="26">
        <f>IF(AO$6="","",IF(WEEKDAY(AO$6,1)=1,0,MIN(8,AO37)*AO36))</f>
      </c>
      <c r="AP38" s="26">
        <f>IF(AP$6="","",IF(WEEKDAY(AP$6,1)=1,0,MIN(8,AP37)*AP36))</f>
      </c>
      <c r="AQ38" s="26">
        <f>IF(AQ$6="","",IF(WEEKDAY(AQ$6,1)=1,0,MIN(8,AQ37)*AQ36))</f>
      </c>
      <c r="CX38" s="8" t="s">
        <v>47</v>
      </c>
    </row>
    <row r="39" spans="2:102" x14ac:dyDescent="0.25">
      <c r="B39" s="26">
        <f>SUM(L39:AQ39)</f>
      </c>
      <c r="D39" s="27">
        <f>B39*E39</f>
      </c>
      <c r="E39" s="27">
        <f>'Rate Tables'!D9</f>
      </c>
      <c r="F39" s="8" t="s">
        <v>38</v>
      </c>
      <c r="L39" s="26">
        <f>IF(L$6="","",IF(WEEKDAY(L$6,1)=1,0,MAX(0,L37-8)*L36))</f>
      </c>
      <c r="M39" s="26">
        <f>IF(M$6="","",IF(WEEKDAY(M$6,1)=1,0,MAX(0,M37-8)*M36))</f>
      </c>
      <c r="N39" s="26">
        <f>IF(N$6="","",IF(WEEKDAY(N$6,1)=1,0,MAX(0,N37-8)*N36))</f>
      </c>
      <c r="O39" s="26">
        <f>IF(O$6="","",IF(WEEKDAY(O$6,1)=1,0,MAX(0,O37-8)*O36))</f>
      </c>
      <c r="P39" s="26">
        <f>IF(P$6="","",IF(WEEKDAY(P$6,1)=1,0,MAX(0,P37-8)*P36))</f>
      </c>
      <c r="Q39" s="26">
        <f>IF(Q$6="","",IF(WEEKDAY(Q$6,1)=1,0,MAX(0,Q37-8)*Q36))</f>
      </c>
      <c r="R39" s="26">
        <f>IF(R$6="","",IF(WEEKDAY(R$6,1)=1,0,MAX(0,R37-8)*R36))</f>
      </c>
      <c r="S39" s="26">
        <f>IF(S$6="","",IF(WEEKDAY(S$6,1)=1,0,MAX(0,S37-8)*S36))</f>
      </c>
      <c r="T39" s="26">
        <f>IF(T$6="","",IF(WEEKDAY(T$6,1)=1,0,MAX(0,T37-8)*T36))</f>
      </c>
      <c r="U39" s="26">
        <f>IF(U$6="","",IF(WEEKDAY(U$6,1)=1,0,MAX(0,U37-8)*U36))</f>
      </c>
      <c r="V39" s="26">
        <f>IF(V$6="","",IF(WEEKDAY(V$6,1)=1,0,MAX(0,V37-8)*V36))</f>
      </c>
      <c r="W39" s="26">
        <f>IF(W$6="","",IF(WEEKDAY(W$6,1)=1,0,MAX(0,W37-8)*W36))</f>
      </c>
      <c r="X39" s="26">
        <f>IF(X$6="","",IF(WEEKDAY(X$6,1)=1,0,MAX(0,X37-8)*X36))</f>
      </c>
      <c r="Y39" s="26">
        <f>IF(Y$6="","",IF(WEEKDAY(Y$6,1)=1,0,MAX(0,Y37-8)*Y36))</f>
      </c>
      <c r="Z39" s="26">
        <f>IF(Z$6="","",IF(WEEKDAY(Z$6,1)=1,0,MAX(0,Z37-8)*Z36))</f>
      </c>
      <c r="AA39" s="26">
        <f>IF(AA$6="","",IF(WEEKDAY(AA$6,1)=1,0,MAX(0,AA37-8)*AA36))</f>
      </c>
      <c r="AB39" s="26">
        <f>IF(AB$6="","",IF(WEEKDAY(AB$6,1)=1,0,MAX(0,AB37-8)*AB36))</f>
      </c>
      <c r="AC39" s="26">
        <f>IF(AC$6="","",IF(WEEKDAY(AC$6,1)=1,0,MAX(0,AC37-8)*AC36))</f>
      </c>
      <c r="AD39" s="26">
        <f>IF(AD$6="","",IF(WEEKDAY(AD$6,1)=1,0,MAX(0,AD37-8)*AD36))</f>
      </c>
      <c r="AE39" s="26">
        <f>IF(AE$6="","",IF(WEEKDAY(AE$6,1)=1,0,MAX(0,AE37-8)*AE36))</f>
      </c>
      <c r="AF39" s="26">
        <f>IF(AF$6="","",IF(WEEKDAY(AF$6,1)=1,0,MAX(0,AF37-8)*AF36))</f>
      </c>
      <c r="AG39" s="26">
        <f>IF(AG$6="","",IF(WEEKDAY(AG$6,1)=1,0,MAX(0,AG37-8)*AG36))</f>
      </c>
      <c r="AH39" s="26">
        <f>IF(AH$6="","",IF(WEEKDAY(AH$6,1)=1,0,MAX(0,AH37-8)*AH36))</f>
      </c>
      <c r="AI39" s="26">
        <f>IF(AI$6="","",IF(WEEKDAY(AI$6,1)=1,0,MAX(0,AI37-8)*AI36))</f>
      </c>
      <c r="AJ39" s="26">
        <f>IF(AJ$6="","",IF(WEEKDAY(AJ$6,1)=1,0,MAX(0,AJ37-8)*AJ36))</f>
      </c>
      <c r="AK39" s="26">
        <f>IF(AK$6="","",IF(WEEKDAY(AK$6,1)=1,0,MAX(0,AK37-8)*AK36))</f>
      </c>
      <c r="AL39" s="26">
        <f>IF(AL$6="","",IF(WEEKDAY(AL$6,1)=1,0,MAX(0,AL37-8)*AL36))</f>
      </c>
      <c r="AM39" s="26">
        <f>IF(AM$6="","",IF(WEEKDAY(AM$6,1)=1,0,MAX(0,AM37-8)*AM36))</f>
      </c>
      <c r="AN39" s="26">
        <f>IF(AN$6="","",IF(WEEKDAY(AN$6,1)=1,0,MAX(0,AN37-8)*AN36))</f>
      </c>
      <c r="AO39" s="26">
        <f>IF(AO$6="","",IF(WEEKDAY(AO$6,1)=1,0,MAX(0,AO37-8)*AO36))</f>
      </c>
      <c r="AP39" s="26">
        <f>IF(AP$6="","",IF(WEEKDAY(AP$6,1)=1,0,MAX(0,AP37-8)*AP36))</f>
      </c>
      <c r="AQ39" s="26">
        <f>IF(AQ$6="","",IF(WEEKDAY(AQ$6,1)=1,0,MAX(0,AQ37-8)*AQ36))</f>
      </c>
      <c r="CX39" s="8" t="s">
        <v>47</v>
      </c>
    </row>
    <row r="40" spans="2:102" x14ac:dyDescent="0.25">
      <c r="B40" s="26">
        <f>SUM(L40:AQ40)</f>
      </c>
      <c r="D40" s="27">
        <f>B40*E40</f>
      </c>
      <c r="E40" s="27">
        <f>'Rate Tables'!E9</f>
      </c>
      <c r="F40" s="8" t="s">
        <v>39</v>
      </c>
      <c r="L40" s="26">
        <f>IF(L$6="","",IF(WEEKDAY(L$6,1)=1,L37*L36,0))</f>
      </c>
      <c r="M40" s="26">
        <f>IF(M$6="","",IF(WEEKDAY(M$6,1)=1,M37*M36,0))</f>
      </c>
      <c r="N40" s="26">
        <f>IF(N$6="","",IF(WEEKDAY(N$6,1)=1,N37*N36,0))</f>
      </c>
      <c r="O40" s="26">
        <f>IF(O$6="","",IF(WEEKDAY(O$6,1)=1,O37*O36,0))</f>
      </c>
      <c r="P40" s="26">
        <f>IF(P$6="","",IF(WEEKDAY(P$6,1)=1,P37*P36,0))</f>
      </c>
      <c r="Q40" s="26">
        <f>IF(Q$6="","",IF(WEEKDAY(Q$6,1)=1,Q37*Q36,0))</f>
      </c>
      <c r="R40" s="26">
        <f>IF(R$6="","",IF(WEEKDAY(R$6,1)=1,R37*R36,0))</f>
      </c>
      <c r="S40" s="26">
        <f>IF(S$6="","",IF(WEEKDAY(S$6,1)=1,S37*S36,0))</f>
      </c>
      <c r="T40" s="26">
        <f>IF(T$6="","",IF(WEEKDAY(T$6,1)=1,T37*T36,0))</f>
      </c>
      <c r="U40" s="26">
        <f>IF(U$6="","",IF(WEEKDAY(U$6,1)=1,U37*U36,0))</f>
      </c>
      <c r="V40" s="26">
        <f>IF(V$6="","",IF(WEEKDAY(V$6,1)=1,V37*V36,0))</f>
      </c>
      <c r="W40" s="26">
        <f>IF(W$6="","",IF(WEEKDAY(W$6,1)=1,W37*W36,0))</f>
      </c>
      <c r="X40" s="26">
        <f>IF(X$6="","",IF(WEEKDAY(X$6,1)=1,X37*X36,0))</f>
      </c>
      <c r="Y40" s="26">
        <f>IF(Y$6="","",IF(WEEKDAY(Y$6,1)=1,Y37*Y36,0))</f>
      </c>
      <c r="Z40" s="26">
        <f>IF(Z$6="","",IF(WEEKDAY(Z$6,1)=1,Z37*Z36,0))</f>
      </c>
      <c r="AA40" s="26">
        <f>IF(AA$6="","",IF(WEEKDAY(AA$6,1)=1,AA37*AA36,0))</f>
      </c>
      <c r="AB40" s="26">
        <f>IF(AB$6="","",IF(WEEKDAY(AB$6,1)=1,AB37*AB36,0))</f>
      </c>
      <c r="AC40" s="26">
        <f>IF(AC$6="","",IF(WEEKDAY(AC$6,1)=1,AC37*AC36,0))</f>
      </c>
      <c r="AD40" s="26">
        <f>IF(AD$6="","",IF(WEEKDAY(AD$6,1)=1,AD37*AD36,0))</f>
      </c>
      <c r="AE40" s="26">
        <f>IF(AE$6="","",IF(WEEKDAY(AE$6,1)=1,AE37*AE36,0))</f>
      </c>
      <c r="AF40" s="26">
        <f>IF(AF$6="","",IF(WEEKDAY(AF$6,1)=1,AF37*AF36,0))</f>
      </c>
      <c r="AG40" s="26">
        <f>IF(AG$6="","",IF(WEEKDAY(AG$6,1)=1,AG37*AG36,0))</f>
      </c>
      <c r="AH40" s="26">
        <f>IF(AH$6="","",IF(WEEKDAY(AH$6,1)=1,AH37*AH36,0))</f>
      </c>
      <c r="AI40" s="26">
        <f>IF(AI$6="","",IF(WEEKDAY(AI$6,1)=1,AI37*AI36,0))</f>
      </c>
      <c r="AJ40" s="26">
        <f>IF(AJ$6="","",IF(WEEKDAY(AJ$6,1)=1,AJ37*AJ36,0))</f>
      </c>
      <c r="AK40" s="26">
        <f>IF(AK$6="","",IF(WEEKDAY(AK$6,1)=1,AK37*AK36,0))</f>
      </c>
      <c r="AL40" s="26">
        <f>IF(AL$6="","",IF(WEEKDAY(AL$6,1)=1,AL37*AL36,0))</f>
      </c>
      <c r="AM40" s="26">
        <f>IF(AM$6="","",IF(WEEKDAY(AM$6,1)=1,AM37*AM36,0))</f>
      </c>
      <c r="AN40" s="26">
        <f>IF(AN$6="","",IF(WEEKDAY(AN$6,1)=1,AN37*AN36,0))</f>
      </c>
      <c r="AO40" s="26">
        <f>IF(AO$6="","",IF(WEEKDAY(AO$6,1)=1,AO37*AO36,0))</f>
      </c>
      <c r="AP40" s="26">
        <f>IF(AP$6="","",IF(WEEKDAY(AP$6,1)=1,AP37*AP36,0))</f>
      </c>
      <c r="AQ40" s="26">
        <f>IF(AQ$6="","",IF(WEEKDAY(AQ$6,1)=1,AQ37*AQ36,0))</f>
      </c>
      <c r="CX40" s="8" t="s">
        <v>47</v>
      </c>
    </row>
    <row r="41" spans="2:102" x14ac:dyDescent="0.25">
      <c r="B41" s="26">
        <f>SUM(L41:AQ41)</f>
      </c>
      <c r="D41" s="27">
        <f>B41*E41</f>
      </c>
      <c r="E41" s="27">
        <v>140</v>
      </c>
      <c r="F41" s="8" t="s">
        <v>40</v>
      </c>
      <c r="L41" s="28">
        <v>1</v>
      </c>
      <c r="M41" s="28">
        <v>1</v>
      </c>
      <c r="N41" s="28">
        <v>1</v>
      </c>
      <c r="O41" s="28">
        <v>1</v>
      </c>
      <c r="P41" s="28">
        <v>1</v>
      </c>
      <c r="Q41" s="28">
        <v>0</v>
      </c>
      <c r="R41" s="28">
        <v>0</v>
      </c>
      <c r="S41" s="28">
        <v>1</v>
      </c>
      <c r="T41" s="28">
        <v>1</v>
      </c>
      <c r="U41" s="28">
        <v>1</v>
      </c>
      <c r="V41" s="28">
        <v>1</v>
      </c>
      <c r="W41" s="28">
        <v>1</v>
      </c>
      <c r="X41" s="28">
        <v>1</v>
      </c>
      <c r="Y41" s="28">
        <v>1</v>
      </c>
      <c r="Z41" s="28">
        <v>1</v>
      </c>
      <c r="AA41" s="28">
        <v>1</v>
      </c>
      <c r="AB41" s="28">
        <v>1</v>
      </c>
      <c r="AC41" s="28">
        <v>1</v>
      </c>
      <c r="AD41" s="28">
        <v>1</v>
      </c>
      <c r="AE41" s="28">
        <v>1</v>
      </c>
      <c r="AF41" s="28">
        <v>1</v>
      </c>
      <c r="AG41" s="28">
        <v>1</v>
      </c>
      <c r="AH41" s="28">
        <v>1</v>
      </c>
      <c r="AI41" s="28">
        <v>1</v>
      </c>
      <c r="AJ41" s="28">
        <v>0</v>
      </c>
      <c r="AK41" s="28">
        <v>0</v>
      </c>
      <c r="AL41" s="28">
        <v>0</v>
      </c>
      <c r="AM41" s="28">
        <v>0</v>
      </c>
      <c r="AN41" s="28">
        <v>0</v>
      </c>
      <c r="AO41" s="28">
        <v>0</v>
      </c>
      <c r="AP41" s="28">
        <v>0</v>
      </c>
      <c r="AQ41" s="28">
        <v>0</v>
      </c>
      <c r="CX41" s="8" t="s">
        <v>47</v>
      </c>
    </row>
    <row r="42" spans="1:102" x14ac:dyDescent="0.25">
      <c r="A42" s="20" t="s">
        <v>41</v>
      </c>
      <c r="B42" s="21">
        <f>G42+H42+I42</f>
      </c>
      <c r="C42" s="20" t="s">
        <v>46</v>
      </c>
      <c r="D42" s="22">
        <f>K42</f>
      </c>
      <c r="F42" s="20" t="s">
        <v>32</v>
      </c>
      <c r="G42" s="21">
        <f>B45</f>
      </c>
      <c r="H42" s="21">
        <f>B46</f>
      </c>
      <c r="I42" s="21">
        <f>B47</f>
      </c>
      <c r="J42" s="21">
        <f>B48</f>
      </c>
      <c r="K42" s="22">
        <f>D45+D46+D47</f>
      </c>
      <c r="CX42" s="20" t="s">
        <v>48</v>
      </c>
    </row>
    <row r="43" spans="6:102" x14ac:dyDescent="0.25">
      <c r="F43" s="23" t="s">
        <v>34</v>
      </c>
      <c r="L43" s="24">
        <v>1</v>
      </c>
      <c r="M43" s="24">
        <v>1</v>
      </c>
      <c r="N43" s="24">
        <v>1</v>
      </c>
      <c r="O43" s="24">
        <v>1</v>
      </c>
      <c r="P43" s="24">
        <v>1</v>
      </c>
      <c r="Q43" s="24">
        <v>0</v>
      </c>
      <c r="R43" s="24">
        <v>0</v>
      </c>
      <c r="S43" s="24">
        <v>1</v>
      </c>
      <c r="T43" s="24">
        <v>1</v>
      </c>
      <c r="U43" s="24">
        <v>1</v>
      </c>
      <c r="V43" s="24">
        <v>1</v>
      </c>
      <c r="W43" s="24">
        <v>1</v>
      </c>
      <c r="X43" s="24">
        <v>1</v>
      </c>
      <c r="Y43" s="24">
        <v>1</v>
      </c>
      <c r="Z43" s="24">
        <v>1</v>
      </c>
      <c r="AA43" s="24">
        <v>1</v>
      </c>
      <c r="AB43" s="24">
        <v>1</v>
      </c>
      <c r="AC43" s="24">
        <v>1</v>
      </c>
      <c r="AD43" s="24">
        <v>1</v>
      </c>
      <c r="AE43" s="24">
        <v>1</v>
      </c>
      <c r="AF43" s="24">
        <v>1</v>
      </c>
      <c r="AG43" s="24">
        <v>1</v>
      </c>
      <c r="AH43" s="24">
        <v>1</v>
      </c>
      <c r="AI43" s="24">
        <v>1</v>
      </c>
      <c r="AJ43" s="24">
        <v>0</v>
      </c>
      <c r="AK43" s="24">
        <v>0</v>
      </c>
      <c r="AL43" s="24">
        <v>0</v>
      </c>
      <c r="AM43" s="24">
        <v>0</v>
      </c>
      <c r="AN43" s="24">
        <v>0</v>
      </c>
      <c r="AO43" s="24">
        <v>0</v>
      </c>
      <c r="AP43" s="24">
        <v>0</v>
      </c>
      <c r="AQ43" s="24">
        <v>0</v>
      </c>
      <c r="CX43" s="23" t="s">
        <v>48</v>
      </c>
    </row>
    <row r="44" spans="1:102" x14ac:dyDescent="0.25">
      <c r="A44" s="23" t="s">
        <v>35</v>
      </c>
      <c r="F44" s="23" t="s">
        <v>36</v>
      </c>
      <c r="L44" s="25">
        <v>8</v>
      </c>
      <c r="M44" s="25">
        <v>8</v>
      </c>
      <c r="N44" s="25">
        <v>8</v>
      </c>
      <c r="O44" s="25">
        <v>8</v>
      </c>
      <c r="P44" s="25">
        <v>8</v>
      </c>
      <c r="Q44" s="25">
        <v>0</v>
      </c>
      <c r="R44" s="25">
        <v>0</v>
      </c>
      <c r="S44" s="25">
        <v>8</v>
      </c>
      <c r="T44" s="25">
        <v>8</v>
      </c>
      <c r="U44" s="25">
        <v>8</v>
      </c>
      <c r="V44" s="25">
        <v>12</v>
      </c>
      <c r="W44" s="25">
        <v>12</v>
      </c>
      <c r="X44" s="25">
        <v>12</v>
      </c>
      <c r="Y44" s="25">
        <v>12</v>
      </c>
      <c r="Z44" s="25">
        <v>12</v>
      </c>
      <c r="AA44" s="25">
        <v>12</v>
      </c>
      <c r="AB44" s="25">
        <v>12</v>
      </c>
      <c r="AC44" s="25">
        <v>12</v>
      </c>
      <c r="AD44" s="25">
        <v>12</v>
      </c>
      <c r="AE44" s="25">
        <v>12</v>
      </c>
      <c r="AF44" s="25">
        <v>12</v>
      </c>
      <c r="AG44" s="25">
        <v>12</v>
      </c>
      <c r="AH44" s="25">
        <v>12</v>
      </c>
      <c r="AI44" s="25">
        <v>12</v>
      </c>
      <c r="AJ44" s="25">
        <v>0</v>
      </c>
      <c r="AK44" s="25">
        <v>0</v>
      </c>
      <c r="AL44" s="25">
        <v>0</v>
      </c>
      <c r="AM44" s="25">
        <v>0</v>
      </c>
      <c r="AN44" s="25">
        <v>0</v>
      </c>
      <c r="AO44" s="25">
        <v>0</v>
      </c>
      <c r="AP44" s="25">
        <v>0</v>
      </c>
      <c r="AQ44" s="25">
        <v>0</v>
      </c>
      <c r="CX44" s="23" t="s">
        <v>48</v>
      </c>
    </row>
    <row r="45" spans="2:102" x14ac:dyDescent="0.25">
      <c r="B45" s="26">
        <f>SUM(L45:AQ45)</f>
      </c>
      <c r="D45" s="27">
        <f>B45*E45</f>
      </c>
      <c r="E45" s="27">
        <f>'Rate Tables'!C9</f>
      </c>
      <c r="F45" s="8" t="s">
        <v>37</v>
      </c>
      <c r="L45" s="26">
        <f>IF(L$6="","",IF(WEEKDAY(L$6,1)=1,0,MIN(8,L44)*L43))</f>
      </c>
      <c r="M45" s="26">
        <f>IF(M$6="","",IF(WEEKDAY(M$6,1)=1,0,MIN(8,M44)*M43))</f>
      </c>
      <c r="N45" s="26">
        <f>IF(N$6="","",IF(WEEKDAY(N$6,1)=1,0,MIN(8,N44)*N43))</f>
      </c>
      <c r="O45" s="26">
        <f>IF(O$6="","",IF(WEEKDAY(O$6,1)=1,0,MIN(8,O44)*O43))</f>
      </c>
      <c r="P45" s="26">
        <f>IF(P$6="","",IF(WEEKDAY(P$6,1)=1,0,MIN(8,P44)*P43))</f>
      </c>
      <c r="Q45" s="26">
        <f>IF(Q$6="","",IF(WEEKDAY(Q$6,1)=1,0,MIN(8,Q44)*Q43))</f>
      </c>
      <c r="R45" s="26">
        <f>IF(R$6="","",IF(WEEKDAY(R$6,1)=1,0,MIN(8,R44)*R43))</f>
      </c>
      <c r="S45" s="26">
        <f>IF(S$6="","",IF(WEEKDAY(S$6,1)=1,0,MIN(8,S44)*S43))</f>
      </c>
      <c r="T45" s="26">
        <f>IF(T$6="","",IF(WEEKDAY(T$6,1)=1,0,MIN(8,T44)*T43))</f>
      </c>
      <c r="U45" s="26">
        <f>IF(U$6="","",IF(WEEKDAY(U$6,1)=1,0,MIN(8,U44)*U43))</f>
      </c>
      <c r="V45" s="26">
        <f>IF(V$6="","",IF(WEEKDAY(V$6,1)=1,0,MIN(8,V44)*V43))</f>
      </c>
      <c r="W45" s="26">
        <f>IF(W$6="","",IF(WEEKDAY(W$6,1)=1,0,MIN(8,W44)*W43))</f>
      </c>
      <c r="X45" s="26">
        <f>IF(X$6="","",IF(WEEKDAY(X$6,1)=1,0,MIN(8,X44)*X43))</f>
      </c>
      <c r="Y45" s="26">
        <f>IF(Y$6="","",IF(WEEKDAY(Y$6,1)=1,0,MIN(8,Y44)*Y43))</f>
      </c>
      <c r="Z45" s="26">
        <f>IF(Z$6="","",IF(WEEKDAY(Z$6,1)=1,0,MIN(8,Z44)*Z43))</f>
      </c>
      <c r="AA45" s="26">
        <f>IF(AA$6="","",IF(WEEKDAY(AA$6,1)=1,0,MIN(8,AA44)*AA43))</f>
      </c>
      <c r="AB45" s="26">
        <f>IF(AB$6="","",IF(WEEKDAY(AB$6,1)=1,0,MIN(8,AB44)*AB43))</f>
      </c>
      <c r="AC45" s="26">
        <f>IF(AC$6="","",IF(WEEKDAY(AC$6,1)=1,0,MIN(8,AC44)*AC43))</f>
      </c>
      <c r="AD45" s="26">
        <f>IF(AD$6="","",IF(WEEKDAY(AD$6,1)=1,0,MIN(8,AD44)*AD43))</f>
      </c>
      <c r="AE45" s="26">
        <f>IF(AE$6="","",IF(WEEKDAY(AE$6,1)=1,0,MIN(8,AE44)*AE43))</f>
      </c>
      <c r="AF45" s="26">
        <f>IF(AF$6="","",IF(WEEKDAY(AF$6,1)=1,0,MIN(8,AF44)*AF43))</f>
      </c>
      <c r="AG45" s="26">
        <f>IF(AG$6="","",IF(WEEKDAY(AG$6,1)=1,0,MIN(8,AG44)*AG43))</f>
      </c>
      <c r="AH45" s="26">
        <f>IF(AH$6="","",IF(WEEKDAY(AH$6,1)=1,0,MIN(8,AH44)*AH43))</f>
      </c>
      <c r="AI45" s="26">
        <f>IF(AI$6="","",IF(WEEKDAY(AI$6,1)=1,0,MIN(8,AI44)*AI43))</f>
      </c>
      <c r="AJ45" s="26">
        <f>IF(AJ$6="","",IF(WEEKDAY(AJ$6,1)=1,0,MIN(8,AJ44)*AJ43))</f>
      </c>
      <c r="AK45" s="26">
        <f>IF(AK$6="","",IF(WEEKDAY(AK$6,1)=1,0,MIN(8,AK44)*AK43))</f>
      </c>
      <c r="AL45" s="26">
        <f>IF(AL$6="","",IF(WEEKDAY(AL$6,1)=1,0,MIN(8,AL44)*AL43))</f>
      </c>
      <c r="AM45" s="26">
        <f>IF(AM$6="","",IF(WEEKDAY(AM$6,1)=1,0,MIN(8,AM44)*AM43))</f>
      </c>
      <c r="AN45" s="26">
        <f>IF(AN$6="","",IF(WEEKDAY(AN$6,1)=1,0,MIN(8,AN44)*AN43))</f>
      </c>
      <c r="AO45" s="26">
        <f>IF(AO$6="","",IF(WEEKDAY(AO$6,1)=1,0,MIN(8,AO44)*AO43))</f>
      </c>
      <c r="AP45" s="26">
        <f>IF(AP$6="","",IF(WEEKDAY(AP$6,1)=1,0,MIN(8,AP44)*AP43))</f>
      </c>
      <c r="AQ45" s="26">
        <f>IF(AQ$6="","",IF(WEEKDAY(AQ$6,1)=1,0,MIN(8,AQ44)*AQ43))</f>
      </c>
      <c r="CX45" s="8" t="s">
        <v>48</v>
      </c>
    </row>
    <row r="46" spans="2:102" x14ac:dyDescent="0.25">
      <c r="B46" s="26">
        <f>SUM(L46:AQ46)</f>
      </c>
      <c r="D46" s="27">
        <f>B46*E46</f>
      </c>
      <c r="E46" s="27">
        <f>'Rate Tables'!D9</f>
      </c>
      <c r="F46" s="8" t="s">
        <v>38</v>
      </c>
      <c r="L46" s="26">
        <f>IF(L$6="","",IF(WEEKDAY(L$6,1)=1,0,MAX(0,L44-8)*L43))</f>
      </c>
      <c r="M46" s="26">
        <f>IF(M$6="","",IF(WEEKDAY(M$6,1)=1,0,MAX(0,M44-8)*M43))</f>
      </c>
      <c r="N46" s="26">
        <f>IF(N$6="","",IF(WEEKDAY(N$6,1)=1,0,MAX(0,N44-8)*N43))</f>
      </c>
      <c r="O46" s="26">
        <f>IF(O$6="","",IF(WEEKDAY(O$6,1)=1,0,MAX(0,O44-8)*O43))</f>
      </c>
      <c r="P46" s="26">
        <f>IF(P$6="","",IF(WEEKDAY(P$6,1)=1,0,MAX(0,P44-8)*P43))</f>
      </c>
      <c r="Q46" s="26">
        <f>IF(Q$6="","",IF(WEEKDAY(Q$6,1)=1,0,MAX(0,Q44-8)*Q43))</f>
      </c>
      <c r="R46" s="26">
        <f>IF(R$6="","",IF(WEEKDAY(R$6,1)=1,0,MAX(0,R44-8)*R43))</f>
      </c>
      <c r="S46" s="26">
        <f>IF(S$6="","",IF(WEEKDAY(S$6,1)=1,0,MAX(0,S44-8)*S43))</f>
      </c>
      <c r="T46" s="26">
        <f>IF(T$6="","",IF(WEEKDAY(T$6,1)=1,0,MAX(0,T44-8)*T43))</f>
      </c>
      <c r="U46" s="26">
        <f>IF(U$6="","",IF(WEEKDAY(U$6,1)=1,0,MAX(0,U44-8)*U43))</f>
      </c>
      <c r="V46" s="26">
        <f>IF(V$6="","",IF(WEEKDAY(V$6,1)=1,0,MAX(0,V44-8)*V43))</f>
      </c>
      <c r="W46" s="26">
        <f>IF(W$6="","",IF(WEEKDAY(W$6,1)=1,0,MAX(0,W44-8)*W43))</f>
      </c>
      <c r="X46" s="26">
        <f>IF(X$6="","",IF(WEEKDAY(X$6,1)=1,0,MAX(0,X44-8)*X43))</f>
      </c>
      <c r="Y46" s="26">
        <f>IF(Y$6="","",IF(WEEKDAY(Y$6,1)=1,0,MAX(0,Y44-8)*Y43))</f>
      </c>
      <c r="Z46" s="26">
        <f>IF(Z$6="","",IF(WEEKDAY(Z$6,1)=1,0,MAX(0,Z44-8)*Z43))</f>
      </c>
      <c r="AA46" s="26">
        <f>IF(AA$6="","",IF(WEEKDAY(AA$6,1)=1,0,MAX(0,AA44-8)*AA43))</f>
      </c>
      <c r="AB46" s="26">
        <f>IF(AB$6="","",IF(WEEKDAY(AB$6,1)=1,0,MAX(0,AB44-8)*AB43))</f>
      </c>
      <c r="AC46" s="26">
        <f>IF(AC$6="","",IF(WEEKDAY(AC$6,1)=1,0,MAX(0,AC44-8)*AC43))</f>
      </c>
      <c r="AD46" s="26">
        <f>IF(AD$6="","",IF(WEEKDAY(AD$6,1)=1,0,MAX(0,AD44-8)*AD43))</f>
      </c>
      <c r="AE46" s="26">
        <f>IF(AE$6="","",IF(WEEKDAY(AE$6,1)=1,0,MAX(0,AE44-8)*AE43))</f>
      </c>
      <c r="AF46" s="26">
        <f>IF(AF$6="","",IF(WEEKDAY(AF$6,1)=1,0,MAX(0,AF44-8)*AF43))</f>
      </c>
      <c r="AG46" s="26">
        <f>IF(AG$6="","",IF(WEEKDAY(AG$6,1)=1,0,MAX(0,AG44-8)*AG43))</f>
      </c>
      <c r="AH46" s="26">
        <f>IF(AH$6="","",IF(WEEKDAY(AH$6,1)=1,0,MAX(0,AH44-8)*AH43))</f>
      </c>
      <c r="AI46" s="26">
        <f>IF(AI$6="","",IF(WEEKDAY(AI$6,1)=1,0,MAX(0,AI44-8)*AI43))</f>
      </c>
      <c r="AJ46" s="26">
        <f>IF(AJ$6="","",IF(WEEKDAY(AJ$6,1)=1,0,MAX(0,AJ44-8)*AJ43))</f>
      </c>
      <c r="AK46" s="26">
        <f>IF(AK$6="","",IF(WEEKDAY(AK$6,1)=1,0,MAX(0,AK44-8)*AK43))</f>
      </c>
      <c r="AL46" s="26">
        <f>IF(AL$6="","",IF(WEEKDAY(AL$6,1)=1,0,MAX(0,AL44-8)*AL43))</f>
      </c>
      <c r="AM46" s="26">
        <f>IF(AM$6="","",IF(WEEKDAY(AM$6,1)=1,0,MAX(0,AM44-8)*AM43))</f>
      </c>
      <c r="AN46" s="26">
        <f>IF(AN$6="","",IF(WEEKDAY(AN$6,1)=1,0,MAX(0,AN44-8)*AN43))</f>
      </c>
      <c r="AO46" s="26">
        <f>IF(AO$6="","",IF(WEEKDAY(AO$6,1)=1,0,MAX(0,AO44-8)*AO43))</f>
      </c>
      <c r="AP46" s="26">
        <f>IF(AP$6="","",IF(WEEKDAY(AP$6,1)=1,0,MAX(0,AP44-8)*AP43))</f>
      </c>
      <c r="AQ46" s="26">
        <f>IF(AQ$6="","",IF(WEEKDAY(AQ$6,1)=1,0,MAX(0,AQ44-8)*AQ43))</f>
      </c>
      <c r="CX46" s="8" t="s">
        <v>48</v>
      </c>
    </row>
    <row r="47" spans="2:102" x14ac:dyDescent="0.25">
      <c r="B47" s="26">
        <f>SUM(L47:AQ47)</f>
      </c>
      <c r="D47" s="27">
        <f>B47*E47</f>
      </c>
      <c r="E47" s="27">
        <f>'Rate Tables'!E9</f>
      </c>
      <c r="F47" s="8" t="s">
        <v>39</v>
      </c>
      <c r="L47" s="26">
        <f>IF(L$6="","",IF(WEEKDAY(L$6,1)=1,L44*L43,0))</f>
      </c>
      <c r="M47" s="26">
        <f>IF(M$6="","",IF(WEEKDAY(M$6,1)=1,M44*M43,0))</f>
      </c>
      <c r="N47" s="26">
        <f>IF(N$6="","",IF(WEEKDAY(N$6,1)=1,N44*N43,0))</f>
      </c>
      <c r="O47" s="26">
        <f>IF(O$6="","",IF(WEEKDAY(O$6,1)=1,O44*O43,0))</f>
      </c>
      <c r="P47" s="26">
        <f>IF(P$6="","",IF(WEEKDAY(P$6,1)=1,P44*P43,0))</f>
      </c>
      <c r="Q47" s="26">
        <f>IF(Q$6="","",IF(WEEKDAY(Q$6,1)=1,Q44*Q43,0))</f>
      </c>
      <c r="R47" s="26">
        <f>IF(R$6="","",IF(WEEKDAY(R$6,1)=1,R44*R43,0))</f>
      </c>
      <c r="S47" s="26">
        <f>IF(S$6="","",IF(WEEKDAY(S$6,1)=1,S44*S43,0))</f>
      </c>
      <c r="T47" s="26">
        <f>IF(T$6="","",IF(WEEKDAY(T$6,1)=1,T44*T43,0))</f>
      </c>
      <c r="U47" s="26">
        <f>IF(U$6="","",IF(WEEKDAY(U$6,1)=1,U44*U43,0))</f>
      </c>
      <c r="V47" s="26">
        <f>IF(V$6="","",IF(WEEKDAY(V$6,1)=1,V44*V43,0))</f>
      </c>
      <c r="W47" s="26">
        <f>IF(W$6="","",IF(WEEKDAY(W$6,1)=1,W44*W43,0))</f>
      </c>
      <c r="X47" s="26">
        <f>IF(X$6="","",IF(WEEKDAY(X$6,1)=1,X44*X43,0))</f>
      </c>
      <c r="Y47" s="26">
        <f>IF(Y$6="","",IF(WEEKDAY(Y$6,1)=1,Y44*Y43,0))</f>
      </c>
      <c r="Z47" s="26">
        <f>IF(Z$6="","",IF(WEEKDAY(Z$6,1)=1,Z44*Z43,0))</f>
      </c>
      <c r="AA47" s="26">
        <f>IF(AA$6="","",IF(WEEKDAY(AA$6,1)=1,AA44*AA43,0))</f>
      </c>
      <c r="AB47" s="26">
        <f>IF(AB$6="","",IF(WEEKDAY(AB$6,1)=1,AB44*AB43,0))</f>
      </c>
      <c r="AC47" s="26">
        <f>IF(AC$6="","",IF(WEEKDAY(AC$6,1)=1,AC44*AC43,0))</f>
      </c>
      <c r="AD47" s="26">
        <f>IF(AD$6="","",IF(WEEKDAY(AD$6,1)=1,AD44*AD43,0))</f>
      </c>
      <c r="AE47" s="26">
        <f>IF(AE$6="","",IF(WEEKDAY(AE$6,1)=1,AE44*AE43,0))</f>
      </c>
      <c r="AF47" s="26">
        <f>IF(AF$6="","",IF(WEEKDAY(AF$6,1)=1,AF44*AF43,0))</f>
      </c>
      <c r="AG47" s="26">
        <f>IF(AG$6="","",IF(WEEKDAY(AG$6,1)=1,AG44*AG43,0))</f>
      </c>
      <c r="AH47" s="26">
        <f>IF(AH$6="","",IF(WEEKDAY(AH$6,1)=1,AH44*AH43,0))</f>
      </c>
      <c r="AI47" s="26">
        <f>IF(AI$6="","",IF(WEEKDAY(AI$6,1)=1,AI44*AI43,0))</f>
      </c>
      <c r="AJ47" s="26">
        <f>IF(AJ$6="","",IF(WEEKDAY(AJ$6,1)=1,AJ44*AJ43,0))</f>
      </c>
      <c r="AK47" s="26">
        <f>IF(AK$6="","",IF(WEEKDAY(AK$6,1)=1,AK44*AK43,0))</f>
      </c>
      <c r="AL47" s="26">
        <f>IF(AL$6="","",IF(WEEKDAY(AL$6,1)=1,AL44*AL43,0))</f>
      </c>
      <c r="AM47" s="26">
        <f>IF(AM$6="","",IF(WEEKDAY(AM$6,1)=1,AM44*AM43,0))</f>
      </c>
      <c r="AN47" s="26">
        <f>IF(AN$6="","",IF(WEEKDAY(AN$6,1)=1,AN44*AN43,0))</f>
      </c>
      <c r="AO47" s="26">
        <f>IF(AO$6="","",IF(WEEKDAY(AO$6,1)=1,AO44*AO43,0))</f>
      </c>
      <c r="AP47" s="26">
        <f>IF(AP$6="","",IF(WEEKDAY(AP$6,1)=1,AP44*AP43,0))</f>
      </c>
      <c r="AQ47" s="26">
        <f>IF(AQ$6="","",IF(WEEKDAY(AQ$6,1)=1,AQ44*AQ43,0))</f>
      </c>
      <c r="CX47" s="8" t="s">
        <v>48</v>
      </c>
    </row>
    <row r="48" spans="2:102" x14ac:dyDescent="0.25">
      <c r="B48" s="26">
        <f>SUM(L48:AQ48)</f>
      </c>
      <c r="D48" s="27">
        <f>B48*E48</f>
      </c>
      <c r="E48" s="27">
        <v>140</v>
      </c>
      <c r="F48" s="8" t="s">
        <v>40</v>
      </c>
      <c r="L48" s="28">
        <v>1</v>
      </c>
      <c r="M48" s="28">
        <v>1</v>
      </c>
      <c r="N48" s="28">
        <v>1</v>
      </c>
      <c r="O48" s="28">
        <v>1</v>
      </c>
      <c r="P48" s="28">
        <v>1</v>
      </c>
      <c r="Q48" s="28">
        <v>0</v>
      </c>
      <c r="R48" s="28">
        <v>0</v>
      </c>
      <c r="S48" s="28">
        <v>1</v>
      </c>
      <c r="T48" s="28">
        <v>1</v>
      </c>
      <c r="U48" s="28">
        <v>1</v>
      </c>
      <c r="V48" s="28">
        <v>1</v>
      </c>
      <c r="W48" s="28">
        <v>1</v>
      </c>
      <c r="X48" s="28">
        <v>1</v>
      </c>
      <c r="Y48" s="28">
        <v>1</v>
      </c>
      <c r="Z48" s="28">
        <v>1</v>
      </c>
      <c r="AA48" s="28">
        <v>1</v>
      </c>
      <c r="AB48" s="28">
        <v>1</v>
      </c>
      <c r="AC48" s="28">
        <v>1</v>
      </c>
      <c r="AD48" s="28">
        <v>1</v>
      </c>
      <c r="AE48" s="28">
        <v>1</v>
      </c>
      <c r="AF48" s="28">
        <v>1</v>
      </c>
      <c r="AG48" s="28">
        <v>1</v>
      </c>
      <c r="AH48" s="28">
        <v>1</v>
      </c>
      <c r="AI48" s="28">
        <v>1</v>
      </c>
      <c r="AJ48" s="28">
        <v>0</v>
      </c>
      <c r="AK48" s="28">
        <v>0</v>
      </c>
      <c r="AL48" s="28">
        <v>0</v>
      </c>
      <c r="AM48" s="28">
        <v>0</v>
      </c>
      <c r="AN48" s="28">
        <v>0</v>
      </c>
      <c r="AO48" s="28">
        <v>0</v>
      </c>
      <c r="AP48" s="28">
        <v>0</v>
      </c>
      <c r="AQ48" s="28">
        <v>0</v>
      </c>
      <c r="CX48" s="8" t="s">
        <v>48</v>
      </c>
    </row>
    <row r="49" spans="1:102" x14ac:dyDescent="0.25">
      <c r="A49" s="20" t="s">
        <v>30</v>
      </c>
      <c r="B49" s="21">
        <f>G49+H49+I49</f>
      </c>
      <c r="C49" s="20" t="s">
        <v>49</v>
      </c>
      <c r="D49" s="22">
        <f>K49</f>
      </c>
      <c r="F49" s="20" t="s">
        <v>32</v>
      </c>
      <c r="G49" s="21">
        <f>B52</f>
      </c>
      <c r="H49" s="21">
        <f>B53</f>
      </c>
      <c r="I49" s="21">
        <f>B54</f>
      </c>
      <c r="J49" s="21">
        <f>B55</f>
      </c>
      <c r="K49" s="22">
        <f>D52+D53+D54</f>
      </c>
      <c r="CX49" s="20" t="s">
        <v>50</v>
      </c>
    </row>
    <row r="50" spans="6:102" x14ac:dyDescent="0.25">
      <c r="F50" s="23" t="s">
        <v>34</v>
      </c>
      <c r="L50" s="24">
        <v>1</v>
      </c>
      <c r="M50" s="24">
        <v>1</v>
      </c>
      <c r="N50" s="24">
        <v>1</v>
      </c>
      <c r="O50" s="24">
        <v>1</v>
      </c>
      <c r="P50" s="24">
        <v>1</v>
      </c>
      <c r="Q50" s="24">
        <v>0</v>
      </c>
      <c r="R50" s="24">
        <v>0</v>
      </c>
      <c r="S50" s="24">
        <v>1</v>
      </c>
      <c r="T50" s="24">
        <v>1</v>
      </c>
      <c r="U50" s="24">
        <v>1</v>
      </c>
      <c r="V50" s="24">
        <v>1</v>
      </c>
      <c r="W50" s="24">
        <v>1</v>
      </c>
      <c r="X50" s="24">
        <v>1</v>
      </c>
      <c r="Y50" s="24">
        <v>1</v>
      </c>
      <c r="Z50" s="24">
        <v>1</v>
      </c>
      <c r="AA50" s="24">
        <v>1</v>
      </c>
      <c r="AB50" s="24">
        <v>1</v>
      </c>
      <c r="AC50" s="24">
        <v>1</v>
      </c>
      <c r="AD50" s="24">
        <v>1</v>
      </c>
      <c r="AE50" s="24">
        <v>1</v>
      </c>
      <c r="AF50" s="24">
        <v>1</v>
      </c>
      <c r="AG50" s="24">
        <v>1</v>
      </c>
      <c r="AH50" s="24">
        <v>1</v>
      </c>
      <c r="AI50" s="24">
        <v>1</v>
      </c>
      <c r="AJ50" s="24">
        <v>1</v>
      </c>
      <c r="AK50" s="24">
        <v>1</v>
      </c>
      <c r="AL50" s="24">
        <v>0</v>
      </c>
      <c r="AM50" s="24">
        <v>0</v>
      </c>
      <c r="AN50" s="24">
        <v>1</v>
      </c>
      <c r="AO50" s="24">
        <v>1</v>
      </c>
      <c r="AP50" s="24">
        <v>1</v>
      </c>
      <c r="AQ50" s="24">
        <v>1</v>
      </c>
      <c r="CX50" s="23" t="s">
        <v>50</v>
      </c>
    </row>
    <row r="51" spans="1:102" x14ac:dyDescent="0.25">
      <c r="A51" s="23" t="s">
        <v>35</v>
      </c>
      <c r="F51" s="23" t="s">
        <v>36</v>
      </c>
      <c r="L51" s="25">
        <v>8</v>
      </c>
      <c r="M51" s="25">
        <v>8</v>
      </c>
      <c r="N51" s="25">
        <v>8</v>
      </c>
      <c r="O51" s="25">
        <v>8</v>
      </c>
      <c r="P51" s="25">
        <v>8</v>
      </c>
      <c r="Q51" s="25">
        <v>0</v>
      </c>
      <c r="R51" s="25">
        <v>0</v>
      </c>
      <c r="S51" s="25">
        <v>8</v>
      </c>
      <c r="T51" s="25">
        <v>8</v>
      </c>
      <c r="U51" s="25">
        <v>8</v>
      </c>
      <c r="V51" s="25">
        <v>12</v>
      </c>
      <c r="W51" s="25">
        <v>12</v>
      </c>
      <c r="X51" s="25">
        <v>12</v>
      </c>
      <c r="Y51" s="25">
        <v>12</v>
      </c>
      <c r="Z51" s="25">
        <v>12</v>
      </c>
      <c r="AA51" s="25">
        <v>12</v>
      </c>
      <c r="AB51" s="25">
        <v>12</v>
      </c>
      <c r="AC51" s="25">
        <v>12</v>
      </c>
      <c r="AD51" s="25">
        <v>12</v>
      </c>
      <c r="AE51" s="25">
        <v>12</v>
      </c>
      <c r="AF51" s="25">
        <v>12</v>
      </c>
      <c r="AG51" s="25">
        <v>12</v>
      </c>
      <c r="AH51" s="25">
        <v>12</v>
      </c>
      <c r="AI51" s="25">
        <v>12</v>
      </c>
      <c r="AJ51" s="25">
        <v>8</v>
      </c>
      <c r="AK51" s="25">
        <v>8</v>
      </c>
      <c r="AL51" s="25">
        <v>0</v>
      </c>
      <c r="AM51" s="25">
        <v>0</v>
      </c>
      <c r="AN51" s="25">
        <v>8</v>
      </c>
      <c r="AO51" s="25">
        <v>8</v>
      </c>
      <c r="AP51" s="25">
        <v>8</v>
      </c>
      <c r="AQ51" s="25">
        <v>8</v>
      </c>
      <c r="CX51" s="23" t="s">
        <v>50</v>
      </c>
    </row>
    <row r="52" spans="2:102" x14ac:dyDescent="0.25">
      <c r="B52" s="26">
        <f>SUM(L52:AQ52)</f>
      </c>
      <c r="D52" s="27">
        <f>B52*E52</f>
      </c>
      <c r="E52" s="27">
        <f>'Rate Tables'!C10</f>
      </c>
      <c r="F52" s="8" t="s">
        <v>37</v>
      </c>
      <c r="L52" s="26">
        <f>IF(L$6="","",IF(OR(WEEKDAY(L$6,1)=1,WEEKDAY(L$6,1)=7),0,MIN(8,L51)*L50))</f>
      </c>
      <c r="M52" s="26">
        <f>IF(M$6="","",IF(OR(WEEKDAY(M$6,1)=1,WEEKDAY(M$6,1)=7),0,MIN(8,M51)*M50))</f>
      </c>
      <c r="N52" s="26">
        <f>IF(N$6="","",IF(OR(WEEKDAY(N$6,1)=1,WEEKDAY(N$6,1)=7),0,MIN(8,N51)*N50))</f>
      </c>
      <c r="O52" s="26">
        <f>IF(O$6="","",IF(OR(WEEKDAY(O$6,1)=1,WEEKDAY(O$6,1)=7),0,MIN(8,O51)*O50))</f>
      </c>
      <c r="P52" s="26">
        <f>IF(P$6="","",IF(OR(WEEKDAY(P$6,1)=1,WEEKDAY(P$6,1)=7),0,MIN(8,P51)*P50))</f>
      </c>
      <c r="Q52" s="26">
        <f>IF(Q$6="","",IF(OR(WEEKDAY(Q$6,1)=1,WEEKDAY(Q$6,1)=7),0,MIN(8,Q51)*Q50))</f>
      </c>
      <c r="R52" s="26">
        <f>IF(R$6="","",IF(OR(WEEKDAY(R$6,1)=1,WEEKDAY(R$6,1)=7),0,MIN(8,R51)*R50))</f>
      </c>
      <c r="S52" s="26">
        <f>IF(S$6="","",IF(OR(WEEKDAY(S$6,1)=1,WEEKDAY(S$6,1)=7),0,MIN(8,S51)*S50))</f>
      </c>
      <c r="T52" s="26">
        <f>IF(T$6="","",IF(OR(WEEKDAY(T$6,1)=1,WEEKDAY(T$6,1)=7),0,MIN(8,T51)*T50))</f>
      </c>
      <c r="U52" s="26">
        <f>IF(U$6="","",IF(OR(WEEKDAY(U$6,1)=1,WEEKDAY(U$6,1)=7),0,MIN(8,U51)*U50))</f>
      </c>
      <c r="V52" s="26">
        <f>IF(V$6="","",IF(OR(WEEKDAY(V$6,1)=1,WEEKDAY(V$6,1)=7),0,MIN(8,V51)*V50))</f>
      </c>
      <c r="W52" s="26">
        <f>IF(W$6="","",IF(OR(WEEKDAY(W$6,1)=1,WEEKDAY(W$6,1)=7),0,MIN(8,W51)*W50))</f>
      </c>
      <c r="X52" s="26">
        <f>IF(X$6="","",IF(OR(WEEKDAY(X$6,1)=1,WEEKDAY(X$6,1)=7),0,MIN(8,X51)*X50))</f>
      </c>
      <c r="Y52" s="26">
        <f>IF(Y$6="","",IF(OR(WEEKDAY(Y$6,1)=1,WEEKDAY(Y$6,1)=7),0,MIN(8,Y51)*Y50))</f>
      </c>
      <c r="Z52" s="26">
        <f>IF(Z$6="","",IF(OR(WEEKDAY(Z$6,1)=1,WEEKDAY(Z$6,1)=7),0,MIN(8,Z51)*Z50))</f>
      </c>
      <c r="AA52" s="26">
        <f>IF(AA$6="","",IF(OR(WEEKDAY(AA$6,1)=1,WEEKDAY(AA$6,1)=7),0,MIN(8,AA51)*AA50))</f>
      </c>
      <c r="AB52" s="26">
        <f>IF(AB$6="","",IF(OR(WEEKDAY(AB$6,1)=1,WEEKDAY(AB$6,1)=7),0,MIN(8,AB51)*AB50))</f>
      </c>
      <c r="AC52" s="26">
        <f>IF(AC$6="","",IF(OR(WEEKDAY(AC$6,1)=1,WEEKDAY(AC$6,1)=7),0,MIN(8,AC51)*AC50))</f>
      </c>
      <c r="AD52" s="26">
        <f>IF(AD$6="","",IF(OR(WEEKDAY(AD$6,1)=1,WEEKDAY(AD$6,1)=7),0,MIN(8,AD51)*AD50))</f>
      </c>
      <c r="AE52" s="26">
        <f>IF(AE$6="","",IF(OR(WEEKDAY(AE$6,1)=1,WEEKDAY(AE$6,1)=7),0,MIN(8,AE51)*AE50))</f>
      </c>
      <c r="AF52" s="26">
        <f>IF(AF$6="","",IF(OR(WEEKDAY(AF$6,1)=1,WEEKDAY(AF$6,1)=7),0,MIN(8,AF51)*AF50))</f>
      </c>
      <c r="AG52" s="26">
        <f>IF(AG$6="","",IF(OR(WEEKDAY(AG$6,1)=1,WEEKDAY(AG$6,1)=7),0,MIN(8,AG51)*AG50))</f>
      </c>
      <c r="AH52" s="26">
        <f>IF(AH$6="","",IF(OR(WEEKDAY(AH$6,1)=1,WEEKDAY(AH$6,1)=7),0,MIN(8,AH51)*AH50))</f>
      </c>
      <c r="AI52" s="26">
        <f>IF(AI$6="","",IF(OR(WEEKDAY(AI$6,1)=1,WEEKDAY(AI$6,1)=7),0,MIN(8,AI51)*AI50))</f>
      </c>
      <c r="AJ52" s="26">
        <f>IF(AJ$6="","",IF(OR(WEEKDAY(AJ$6,1)=1,WEEKDAY(AJ$6,1)=7),0,MIN(8,AJ51)*AJ50))</f>
      </c>
      <c r="AK52" s="26">
        <f>IF(AK$6="","",IF(OR(WEEKDAY(AK$6,1)=1,WEEKDAY(AK$6,1)=7),0,MIN(8,AK51)*AK50))</f>
      </c>
      <c r="AL52" s="26">
        <f>IF(AL$6="","",IF(OR(WEEKDAY(AL$6,1)=1,WEEKDAY(AL$6,1)=7),0,MIN(8,AL51)*AL50))</f>
      </c>
      <c r="AM52" s="26">
        <f>IF(AM$6="","",IF(OR(WEEKDAY(AM$6,1)=1,WEEKDAY(AM$6,1)=7),0,MIN(8,AM51)*AM50))</f>
      </c>
      <c r="AN52" s="26">
        <f>IF(AN$6="","",IF(OR(WEEKDAY(AN$6,1)=1,WEEKDAY(AN$6,1)=7),0,MIN(8,AN51)*AN50))</f>
      </c>
      <c r="AO52" s="26">
        <f>IF(AO$6="","",IF(OR(WEEKDAY(AO$6,1)=1,WEEKDAY(AO$6,1)=7),0,MIN(8,AO51)*AO50))</f>
      </c>
      <c r="AP52" s="26">
        <f>IF(AP$6="","",IF(OR(WEEKDAY(AP$6,1)=1,WEEKDAY(AP$6,1)=7),0,MIN(8,AP51)*AP50))</f>
      </c>
      <c r="AQ52" s="26">
        <f>IF(AQ$6="","",IF(OR(WEEKDAY(AQ$6,1)=1,WEEKDAY(AQ$6,1)=7),0,MIN(8,AQ51)*AQ50))</f>
      </c>
      <c r="CX52" s="8" t="s">
        <v>50</v>
      </c>
    </row>
    <row r="53" spans="2:102" x14ac:dyDescent="0.25">
      <c r="B53" s="26">
        <f>SUM(L53:AQ53)</f>
      </c>
      <c r="D53" s="27">
        <f>B53*E53</f>
      </c>
      <c r="E53" s="27">
        <f>'Rate Tables'!D10</f>
      </c>
      <c r="F53" s="8" t="s">
        <v>38</v>
      </c>
      <c r="L53" s="26">
        <f>IF(L$6="","",IF(WEEKDAY(L$6,1)=1,0,IF(WEEKDAY(L$6,1)=7,L51*L50,MAX(0,L51-8)*L50)))</f>
      </c>
      <c r="M53" s="26">
        <f>IF(M$6="","",IF(WEEKDAY(M$6,1)=1,0,IF(WEEKDAY(M$6,1)=7,M51*M50,MAX(0,M51-8)*M50)))</f>
      </c>
      <c r="N53" s="26">
        <f>IF(N$6="","",IF(WEEKDAY(N$6,1)=1,0,IF(WEEKDAY(N$6,1)=7,N51*N50,MAX(0,N51-8)*N50)))</f>
      </c>
      <c r="O53" s="26">
        <f>IF(O$6="","",IF(WEEKDAY(O$6,1)=1,0,IF(WEEKDAY(O$6,1)=7,O51*O50,MAX(0,O51-8)*O50)))</f>
      </c>
      <c r="P53" s="26">
        <f>IF(P$6="","",IF(WEEKDAY(P$6,1)=1,0,IF(WEEKDAY(P$6,1)=7,P51*P50,MAX(0,P51-8)*P50)))</f>
      </c>
      <c r="Q53" s="26">
        <f>IF(Q$6="","",IF(WEEKDAY(Q$6,1)=1,0,IF(WEEKDAY(Q$6,1)=7,Q51*Q50,MAX(0,Q51-8)*Q50)))</f>
      </c>
      <c r="R53" s="26">
        <f>IF(R$6="","",IF(WEEKDAY(R$6,1)=1,0,IF(WEEKDAY(R$6,1)=7,R51*R50,MAX(0,R51-8)*R50)))</f>
      </c>
      <c r="S53" s="26">
        <f>IF(S$6="","",IF(WEEKDAY(S$6,1)=1,0,IF(WEEKDAY(S$6,1)=7,S51*S50,MAX(0,S51-8)*S50)))</f>
      </c>
      <c r="T53" s="26">
        <f>IF(T$6="","",IF(WEEKDAY(T$6,1)=1,0,IF(WEEKDAY(T$6,1)=7,T51*T50,MAX(0,T51-8)*T50)))</f>
      </c>
      <c r="U53" s="26">
        <f>IF(U$6="","",IF(WEEKDAY(U$6,1)=1,0,IF(WEEKDAY(U$6,1)=7,U51*U50,MAX(0,U51-8)*U50)))</f>
      </c>
      <c r="V53" s="26">
        <f>IF(V$6="","",IF(WEEKDAY(V$6,1)=1,0,IF(WEEKDAY(V$6,1)=7,V51*V50,MAX(0,V51-8)*V50)))</f>
      </c>
      <c r="W53" s="26">
        <f>IF(W$6="","",IF(WEEKDAY(W$6,1)=1,0,IF(WEEKDAY(W$6,1)=7,W51*W50,MAX(0,W51-8)*W50)))</f>
      </c>
      <c r="X53" s="26">
        <f>IF(X$6="","",IF(WEEKDAY(X$6,1)=1,0,IF(WEEKDAY(X$6,1)=7,X51*X50,MAX(0,X51-8)*X50)))</f>
      </c>
      <c r="Y53" s="26">
        <f>IF(Y$6="","",IF(WEEKDAY(Y$6,1)=1,0,IF(WEEKDAY(Y$6,1)=7,Y51*Y50,MAX(0,Y51-8)*Y50)))</f>
      </c>
      <c r="Z53" s="26">
        <f>IF(Z$6="","",IF(WEEKDAY(Z$6,1)=1,0,IF(WEEKDAY(Z$6,1)=7,Z51*Z50,MAX(0,Z51-8)*Z50)))</f>
      </c>
      <c r="AA53" s="26">
        <f>IF(AA$6="","",IF(WEEKDAY(AA$6,1)=1,0,IF(WEEKDAY(AA$6,1)=7,AA51*AA50,MAX(0,AA51-8)*AA50)))</f>
      </c>
      <c r="AB53" s="26">
        <f>IF(AB$6="","",IF(WEEKDAY(AB$6,1)=1,0,IF(WEEKDAY(AB$6,1)=7,AB51*AB50,MAX(0,AB51-8)*AB50)))</f>
      </c>
      <c r="AC53" s="26">
        <f>IF(AC$6="","",IF(WEEKDAY(AC$6,1)=1,0,IF(WEEKDAY(AC$6,1)=7,AC51*AC50,MAX(0,AC51-8)*AC50)))</f>
      </c>
      <c r="AD53" s="26">
        <f>IF(AD$6="","",IF(WEEKDAY(AD$6,1)=1,0,IF(WEEKDAY(AD$6,1)=7,AD51*AD50,MAX(0,AD51-8)*AD50)))</f>
      </c>
      <c r="AE53" s="26">
        <f>IF(AE$6="","",IF(WEEKDAY(AE$6,1)=1,0,IF(WEEKDAY(AE$6,1)=7,AE51*AE50,MAX(0,AE51-8)*AE50)))</f>
      </c>
      <c r="AF53" s="26">
        <f>IF(AF$6="","",IF(WEEKDAY(AF$6,1)=1,0,IF(WEEKDAY(AF$6,1)=7,AF51*AF50,MAX(0,AF51-8)*AF50)))</f>
      </c>
      <c r="AG53" s="26">
        <f>IF(AG$6="","",IF(WEEKDAY(AG$6,1)=1,0,IF(WEEKDAY(AG$6,1)=7,AG51*AG50,MAX(0,AG51-8)*AG50)))</f>
      </c>
      <c r="AH53" s="26">
        <f>IF(AH$6="","",IF(WEEKDAY(AH$6,1)=1,0,IF(WEEKDAY(AH$6,1)=7,AH51*AH50,MAX(0,AH51-8)*AH50)))</f>
      </c>
      <c r="AI53" s="26">
        <f>IF(AI$6="","",IF(WEEKDAY(AI$6,1)=1,0,IF(WEEKDAY(AI$6,1)=7,AI51*AI50,MAX(0,AI51-8)*AI50)))</f>
      </c>
      <c r="AJ53" s="26">
        <f>IF(AJ$6="","",IF(WEEKDAY(AJ$6,1)=1,0,IF(WEEKDAY(AJ$6,1)=7,AJ51*AJ50,MAX(0,AJ51-8)*AJ50)))</f>
      </c>
      <c r="AK53" s="26">
        <f>IF(AK$6="","",IF(WEEKDAY(AK$6,1)=1,0,IF(WEEKDAY(AK$6,1)=7,AK51*AK50,MAX(0,AK51-8)*AK50)))</f>
      </c>
      <c r="AL53" s="26">
        <f>IF(AL$6="","",IF(WEEKDAY(AL$6,1)=1,0,IF(WEEKDAY(AL$6,1)=7,AL51*AL50,MAX(0,AL51-8)*AL50)))</f>
      </c>
      <c r="AM53" s="26">
        <f>IF(AM$6="","",IF(WEEKDAY(AM$6,1)=1,0,IF(WEEKDAY(AM$6,1)=7,AM51*AM50,MAX(0,AM51-8)*AM50)))</f>
      </c>
      <c r="AN53" s="26">
        <f>IF(AN$6="","",IF(WEEKDAY(AN$6,1)=1,0,IF(WEEKDAY(AN$6,1)=7,AN51*AN50,MAX(0,AN51-8)*AN50)))</f>
      </c>
      <c r="AO53" s="26">
        <f>IF(AO$6="","",IF(WEEKDAY(AO$6,1)=1,0,IF(WEEKDAY(AO$6,1)=7,AO51*AO50,MAX(0,AO51-8)*AO50)))</f>
      </c>
      <c r="AP53" s="26">
        <f>IF(AP$6="","",IF(WEEKDAY(AP$6,1)=1,0,IF(WEEKDAY(AP$6,1)=7,AP51*AP50,MAX(0,AP51-8)*AP50)))</f>
      </c>
      <c r="AQ53" s="26">
        <f>IF(AQ$6="","",IF(WEEKDAY(AQ$6,1)=1,0,IF(WEEKDAY(AQ$6,1)=7,AQ51*AQ50,MAX(0,AQ51-8)*AQ50)))</f>
      </c>
      <c r="CX53" s="8" t="s">
        <v>50</v>
      </c>
    </row>
    <row r="54" spans="2:102" x14ac:dyDescent="0.25">
      <c r="B54" s="26">
        <f>SUM(L54:AQ54)</f>
      </c>
      <c r="D54" s="27">
        <f>B54*E54</f>
      </c>
      <c r="E54" s="27">
        <f>'Rate Tables'!E10</f>
      </c>
      <c r="F54" s="8" t="s">
        <v>39</v>
      </c>
      <c r="L54" s="26">
        <f>IF(L$6="","",IF(WEEKDAY(L$6,1)=1,L51*L50,0))</f>
      </c>
      <c r="M54" s="26">
        <f>IF(M$6="","",IF(WEEKDAY(M$6,1)=1,M51*M50,0))</f>
      </c>
      <c r="N54" s="26">
        <f>IF(N$6="","",IF(WEEKDAY(N$6,1)=1,N51*N50,0))</f>
      </c>
      <c r="O54" s="26">
        <f>IF(O$6="","",IF(WEEKDAY(O$6,1)=1,O51*O50,0))</f>
      </c>
      <c r="P54" s="26">
        <f>IF(P$6="","",IF(WEEKDAY(P$6,1)=1,P51*P50,0))</f>
      </c>
      <c r="Q54" s="26">
        <f>IF(Q$6="","",IF(WEEKDAY(Q$6,1)=1,Q51*Q50,0))</f>
      </c>
      <c r="R54" s="26">
        <f>IF(R$6="","",IF(WEEKDAY(R$6,1)=1,R51*R50,0))</f>
      </c>
      <c r="S54" s="26">
        <f>IF(S$6="","",IF(WEEKDAY(S$6,1)=1,S51*S50,0))</f>
      </c>
      <c r="T54" s="26">
        <f>IF(T$6="","",IF(WEEKDAY(T$6,1)=1,T51*T50,0))</f>
      </c>
      <c r="U54" s="26">
        <f>IF(U$6="","",IF(WEEKDAY(U$6,1)=1,U51*U50,0))</f>
      </c>
      <c r="V54" s="26">
        <f>IF(V$6="","",IF(WEEKDAY(V$6,1)=1,V51*V50,0))</f>
      </c>
      <c r="W54" s="26">
        <f>IF(W$6="","",IF(WEEKDAY(W$6,1)=1,W51*W50,0))</f>
      </c>
      <c r="X54" s="26">
        <f>IF(X$6="","",IF(WEEKDAY(X$6,1)=1,X51*X50,0))</f>
      </c>
      <c r="Y54" s="26">
        <f>IF(Y$6="","",IF(WEEKDAY(Y$6,1)=1,Y51*Y50,0))</f>
      </c>
      <c r="Z54" s="26">
        <f>IF(Z$6="","",IF(WEEKDAY(Z$6,1)=1,Z51*Z50,0))</f>
      </c>
      <c r="AA54" s="26">
        <f>IF(AA$6="","",IF(WEEKDAY(AA$6,1)=1,AA51*AA50,0))</f>
      </c>
      <c r="AB54" s="26">
        <f>IF(AB$6="","",IF(WEEKDAY(AB$6,1)=1,AB51*AB50,0))</f>
      </c>
      <c r="AC54" s="26">
        <f>IF(AC$6="","",IF(WEEKDAY(AC$6,1)=1,AC51*AC50,0))</f>
      </c>
      <c r="AD54" s="26">
        <f>IF(AD$6="","",IF(WEEKDAY(AD$6,1)=1,AD51*AD50,0))</f>
      </c>
      <c r="AE54" s="26">
        <f>IF(AE$6="","",IF(WEEKDAY(AE$6,1)=1,AE51*AE50,0))</f>
      </c>
      <c r="AF54" s="26">
        <f>IF(AF$6="","",IF(WEEKDAY(AF$6,1)=1,AF51*AF50,0))</f>
      </c>
      <c r="AG54" s="26">
        <f>IF(AG$6="","",IF(WEEKDAY(AG$6,1)=1,AG51*AG50,0))</f>
      </c>
      <c r="AH54" s="26">
        <f>IF(AH$6="","",IF(WEEKDAY(AH$6,1)=1,AH51*AH50,0))</f>
      </c>
      <c r="AI54" s="26">
        <f>IF(AI$6="","",IF(WEEKDAY(AI$6,1)=1,AI51*AI50,0))</f>
      </c>
      <c r="AJ54" s="26">
        <f>IF(AJ$6="","",IF(WEEKDAY(AJ$6,1)=1,AJ51*AJ50,0))</f>
      </c>
      <c r="AK54" s="26">
        <f>IF(AK$6="","",IF(WEEKDAY(AK$6,1)=1,AK51*AK50,0))</f>
      </c>
      <c r="AL54" s="26">
        <f>IF(AL$6="","",IF(WEEKDAY(AL$6,1)=1,AL51*AL50,0))</f>
      </c>
      <c r="AM54" s="26">
        <f>IF(AM$6="","",IF(WEEKDAY(AM$6,1)=1,AM51*AM50,0))</f>
      </c>
      <c r="AN54" s="26">
        <f>IF(AN$6="","",IF(WEEKDAY(AN$6,1)=1,AN51*AN50,0))</f>
      </c>
      <c r="AO54" s="26">
        <f>IF(AO$6="","",IF(WEEKDAY(AO$6,1)=1,AO51*AO50,0))</f>
      </c>
      <c r="AP54" s="26">
        <f>IF(AP$6="","",IF(WEEKDAY(AP$6,1)=1,AP51*AP50,0))</f>
      </c>
      <c r="AQ54" s="26">
        <f>IF(AQ$6="","",IF(WEEKDAY(AQ$6,1)=1,AQ51*AQ50,0))</f>
      </c>
      <c r="CX54" s="8" t="s">
        <v>50</v>
      </c>
    </row>
    <row r="55" spans="2:102" x14ac:dyDescent="0.25">
      <c r="B55" s="26">
        <f>SUM(L55:AQ55)</f>
      </c>
      <c r="D55" s="27">
        <f>B55*E55</f>
      </c>
      <c r="E55" s="27">
        <v>140</v>
      </c>
      <c r="F55" s="8" t="s">
        <v>40</v>
      </c>
      <c r="L55" s="28">
        <v>1</v>
      </c>
      <c r="M55" s="28">
        <v>1</v>
      </c>
      <c r="N55" s="28">
        <v>1</v>
      </c>
      <c r="O55" s="28">
        <v>1</v>
      </c>
      <c r="P55" s="28">
        <v>1</v>
      </c>
      <c r="Q55" s="28">
        <v>0</v>
      </c>
      <c r="R55" s="28">
        <v>0</v>
      </c>
      <c r="S55" s="28">
        <v>1</v>
      </c>
      <c r="T55" s="28">
        <v>1</v>
      </c>
      <c r="U55" s="28">
        <v>1</v>
      </c>
      <c r="V55" s="28">
        <v>1</v>
      </c>
      <c r="W55" s="28">
        <v>1</v>
      </c>
      <c r="X55" s="28">
        <v>1</v>
      </c>
      <c r="Y55" s="28">
        <v>1</v>
      </c>
      <c r="Z55" s="28">
        <v>1</v>
      </c>
      <c r="AA55" s="28">
        <v>1</v>
      </c>
      <c r="AB55" s="28">
        <v>1</v>
      </c>
      <c r="AC55" s="28">
        <v>1</v>
      </c>
      <c r="AD55" s="28">
        <v>1</v>
      </c>
      <c r="AE55" s="28">
        <v>1</v>
      </c>
      <c r="AF55" s="28">
        <v>1</v>
      </c>
      <c r="AG55" s="28">
        <v>1</v>
      </c>
      <c r="AH55" s="28">
        <v>1</v>
      </c>
      <c r="AI55" s="28">
        <v>1</v>
      </c>
      <c r="AJ55" s="28">
        <v>0</v>
      </c>
      <c r="AK55" s="28">
        <v>0</v>
      </c>
      <c r="AL55" s="28">
        <v>0</v>
      </c>
      <c r="AM55" s="28">
        <v>0</v>
      </c>
      <c r="AN55" s="28">
        <v>0</v>
      </c>
      <c r="AO55" s="28">
        <v>0</v>
      </c>
      <c r="AP55" s="28">
        <v>0</v>
      </c>
      <c r="AQ55" s="28">
        <v>0</v>
      </c>
      <c r="CX55" s="8" t="s">
        <v>50</v>
      </c>
    </row>
    <row r="56" spans="1:102" x14ac:dyDescent="0.25">
      <c r="A56" s="20" t="s">
        <v>41</v>
      </c>
      <c r="B56" s="21">
        <f>G56+H56+I56</f>
      </c>
      <c r="C56" s="20" t="s">
        <v>49</v>
      </c>
      <c r="D56" s="22">
        <f>K56</f>
      </c>
      <c r="F56" s="20" t="s">
        <v>32</v>
      </c>
      <c r="G56" s="21">
        <f>B59</f>
      </c>
      <c r="H56" s="21">
        <f>B60</f>
      </c>
      <c r="I56" s="21">
        <f>B61</f>
      </c>
      <c r="J56" s="21">
        <f>B62</f>
      </c>
      <c r="K56" s="22">
        <f>D59+D60+D61</f>
      </c>
      <c r="CX56" s="20" t="s">
        <v>51</v>
      </c>
    </row>
    <row r="57" spans="6:102" x14ac:dyDescent="0.25">
      <c r="F57" s="23" t="s">
        <v>34</v>
      </c>
      <c r="L57" s="24">
        <v>1</v>
      </c>
      <c r="M57" s="24">
        <v>1</v>
      </c>
      <c r="N57" s="24">
        <v>1</v>
      </c>
      <c r="O57" s="24">
        <v>1</v>
      </c>
      <c r="P57" s="24">
        <v>1</v>
      </c>
      <c r="Q57" s="24">
        <v>0</v>
      </c>
      <c r="R57" s="24">
        <v>0</v>
      </c>
      <c r="S57" s="24">
        <v>1</v>
      </c>
      <c r="T57" s="24">
        <v>1</v>
      </c>
      <c r="U57" s="24">
        <v>1</v>
      </c>
      <c r="V57" s="24">
        <v>1</v>
      </c>
      <c r="W57" s="24">
        <v>1</v>
      </c>
      <c r="X57" s="24">
        <v>1</v>
      </c>
      <c r="Y57" s="24">
        <v>1</v>
      </c>
      <c r="Z57" s="24">
        <v>1</v>
      </c>
      <c r="AA57" s="24">
        <v>1</v>
      </c>
      <c r="AB57" s="24">
        <v>1</v>
      </c>
      <c r="AC57" s="24">
        <v>1</v>
      </c>
      <c r="AD57" s="24">
        <v>1</v>
      </c>
      <c r="AE57" s="24">
        <v>1</v>
      </c>
      <c r="AF57" s="24">
        <v>1</v>
      </c>
      <c r="AG57" s="24">
        <v>1</v>
      </c>
      <c r="AH57" s="24">
        <v>1</v>
      </c>
      <c r="AI57" s="24">
        <v>1</v>
      </c>
      <c r="AJ57" s="24">
        <v>0</v>
      </c>
      <c r="AK57" s="24">
        <v>0</v>
      </c>
      <c r="AL57" s="24">
        <v>0</v>
      </c>
      <c r="AM57" s="24">
        <v>0</v>
      </c>
      <c r="AN57" s="24">
        <v>0</v>
      </c>
      <c r="AO57" s="24">
        <v>0</v>
      </c>
      <c r="AP57" s="24">
        <v>0</v>
      </c>
      <c r="AQ57" s="24">
        <v>0</v>
      </c>
      <c r="CX57" s="23" t="s">
        <v>51</v>
      </c>
    </row>
    <row r="58" spans="1:102" x14ac:dyDescent="0.25">
      <c r="A58" s="23" t="s">
        <v>35</v>
      </c>
      <c r="F58" s="23" t="s">
        <v>36</v>
      </c>
      <c r="L58" s="25">
        <v>8</v>
      </c>
      <c r="M58" s="25">
        <v>8</v>
      </c>
      <c r="N58" s="25">
        <v>8</v>
      </c>
      <c r="O58" s="25">
        <v>8</v>
      </c>
      <c r="P58" s="25">
        <v>8</v>
      </c>
      <c r="Q58" s="25">
        <v>0</v>
      </c>
      <c r="R58" s="25">
        <v>0</v>
      </c>
      <c r="S58" s="25">
        <v>8</v>
      </c>
      <c r="T58" s="25">
        <v>8</v>
      </c>
      <c r="U58" s="25">
        <v>8</v>
      </c>
      <c r="V58" s="25">
        <v>12</v>
      </c>
      <c r="W58" s="25">
        <v>12</v>
      </c>
      <c r="X58" s="25">
        <v>12</v>
      </c>
      <c r="Y58" s="25">
        <v>12</v>
      </c>
      <c r="Z58" s="25">
        <v>12</v>
      </c>
      <c r="AA58" s="25">
        <v>12</v>
      </c>
      <c r="AB58" s="25">
        <v>12</v>
      </c>
      <c r="AC58" s="25">
        <v>12</v>
      </c>
      <c r="AD58" s="25">
        <v>12</v>
      </c>
      <c r="AE58" s="25">
        <v>12</v>
      </c>
      <c r="AF58" s="25">
        <v>12</v>
      </c>
      <c r="AG58" s="25">
        <v>12</v>
      </c>
      <c r="AH58" s="25">
        <v>12</v>
      </c>
      <c r="AI58" s="25">
        <v>12</v>
      </c>
      <c r="AJ58" s="25">
        <v>0</v>
      </c>
      <c r="AK58" s="25">
        <v>0</v>
      </c>
      <c r="AL58" s="25">
        <v>0</v>
      </c>
      <c r="AM58" s="25">
        <v>0</v>
      </c>
      <c r="AN58" s="25">
        <v>0</v>
      </c>
      <c r="AO58" s="25">
        <v>0</v>
      </c>
      <c r="AP58" s="25">
        <v>0</v>
      </c>
      <c r="AQ58" s="25">
        <v>0</v>
      </c>
      <c r="CX58" s="23" t="s">
        <v>51</v>
      </c>
    </row>
    <row r="59" spans="2:102" x14ac:dyDescent="0.25">
      <c r="B59" s="26">
        <f>SUM(L59:AQ59)</f>
      </c>
      <c r="D59" s="27">
        <f>B59*E59</f>
      </c>
      <c r="E59" s="27">
        <f>'Rate Tables'!C10</f>
      </c>
      <c r="F59" s="8" t="s">
        <v>37</v>
      </c>
      <c r="L59" s="26">
        <f>IF(L$6="","",IF(OR(WEEKDAY(L$6,1)=1,WEEKDAY(L$6,1)=7),0,MIN(8,L58)*L57))</f>
      </c>
      <c r="M59" s="26">
        <f>IF(M$6="","",IF(OR(WEEKDAY(M$6,1)=1,WEEKDAY(M$6,1)=7),0,MIN(8,M58)*M57))</f>
      </c>
      <c r="N59" s="26">
        <f>IF(N$6="","",IF(OR(WEEKDAY(N$6,1)=1,WEEKDAY(N$6,1)=7),0,MIN(8,N58)*N57))</f>
      </c>
      <c r="O59" s="26">
        <f>IF(O$6="","",IF(OR(WEEKDAY(O$6,1)=1,WEEKDAY(O$6,1)=7),0,MIN(8,O58)*O57))</f>
      </c>
      <c r="P59" s="26">
        <f>IF(P$6="","",IF(OR(WEEKDAY(P$6,1)=1,WEEKDAY(P$6,1)=7),0,MIN(8,P58)*P57))</f>
      </c>
      <c r="Q59" s="26">
        <f>IF(Q$6="","",IF(OR(WEEKDAY(Q$6,1)=1,WEEKDAY(Q$6,1)=7),0,MIN(8,Q58)*Q57))</f>
      </c>
      <c r="R59" s="26">
        <f>IF(R$6="","",IF(OR(WEEKDAY(R$6,1)=1,WEEKDAY(R$6,1)=7),0,MIN(8,R58)*R57))</f>
      </c>
      <c r="S59" s="26">
        <f>IF(S$6="","",IF(OR(WEEKDAY(S$6,1)=1,WEEKDAY(S$6,1)=7),0,MIN(8,S58)*S57))</f>
      </c>
      <c r="T59" s="26">
        <f>IF(T$6="","",IF(OR(WEEKDAY(T$6,1)=1,WEEKDAY(T$6,1)=7),0,MIN(8,T58)*T57))</f>
      </c>
      <c r="U59" s="26">
        <f>IF(U$6="","",IF(OR(WEEKDAY(U$6,1)=1,WEEKDAY(U$6,1)=7),0,MIN(8,U58)*U57))</f>
      </c>
      <c r="V59" s="26">
        <f>IF(V$6="","",IF(OR(WEEKDAY(V$6,1)=1,WEEKDAY(V$6,1)=7),0,MIN(8,V58)*V57))</f>
      </c>
      <c r="W59" s="26">
        <f>IF(W$6="","",IF(OR(WEEKDAY(W$6,1)=1,WEEKDAY(W$6,1)=7),0,MIN(8,W58)*W57))</f>
      </c>
      <c r="X59" s="26">
        <f>IF(X$6="","",IF(OR(WEEKDAY(X$6,1)=1,WEEKDAY(X$6,1)=7),0,MIN(8,X58)*X57))</f>
      </c>
      <c r="Y59" s="26">
        <f>IF(Y$6="","",IF(OR(WEEKDAY(Y$6,1)=1,WEEKDAY(Y$6,1)=7),0,MIN(8,Y58)*Y57))</f>
      </c>
      <c r="Z59" s="26">
        <f>IF(Z$6="","",IF(OR(WEEKDAY(Z$6,1)=1,WEEKDAY(Z$6,1)=7),0,MIN(8,Z58)*Z57))</f>
      </c>
      <c r="AA59" s="26">
        <f>IF(AA$6="","",IF(OR(WEEKDAY(AA$6,1)=1,WEEKDAY(AA$6,1)=7),0,MIN(8,AA58)*AA57))</f>
      </c>
      <c r="AB59" s="26">
        <f>IF(AB$6="","",IF(OR(WEEKDAY(AB$6,1)=1,WEEKDAY(AB$6,1)=7),0,MIN(8,AB58)*AB57))</f>
      </c>
      <c r="AC59" s="26">
        <f>IF(AC$6="","",IF(OR(WEEKDAY(AC$6,1)=1,WEEKDAY(AC$6,1)=7),0,MIN(8,AC58)*AC57))</f>
      </c>
      <c r="AD59" s="26">
        <f>IF(AD$6="","",IF(OR(WEEKDAY(AD$6,1)=1,WEEKDAY(AD$6,1)=7),0,MIN(8,AD58)*AD57))</f>
      </c>
      <c r="AE59" s="26">
        <f>IF(AE$6="","",IF(OR(WEEKDAY(AE$6,1)=1,WEEKDAY(AE$6,1)=7),0,MIN(8,AE58)*AE57))</f>
      </c>
      <c r="AF59" s="26">
        <f>IF(AF$6="","",IF(OR(WEEKDAY(AF$6,1)=1,WEEKDAY(AF$6,1)=7),0,MIN(8,AF58)*AF57))</f>
      </c>
      <c r="AG59" s="26">
        <f>IF(AG$6="","",IF(OR(WEEKDAY(AG$6,1)=1,WEEKDAY(AG$6,1)=7),0,MIN(8,AG58)*AG57))</f>
      </c>
      <c r="AH59" s="26">
        <f>IF(AH$6="","",IF(OR(WEEKDAY(AH$6,1)=1,WEEKDAY(AH$6,1)=7),0,MIN(8,AH58)*AH57))</f>
      </c>
      <c r="AI59" s="26">
        <f>IF(AI$6="","",IF(OR(WEEKDAY(AI$6,1)=1,WEEKDAY(AI$6,1)=7),0,MIN(8,AI58)*AI57))</f>
      </c>
      <c r="AJ59" s="26">
        <f>IF(AJ$6="","",IF(OR(WEEKDAY(AJ$6,1)=1,WEEKDAY(AJ$6,1)=7),0,MIN(8,AJ58)*AJ57))</f>
      </c>
      <c r="AK59" s="26">
        <f>IF(AK$6="","",IF(OR(WEEKDAY(AK$6,1)=1,WEEKDAY(AK$6,1)=7),0,MIN(8,AK58)*AK57))</f>
      </c>
      <c r="AL59" s="26">
        <f>IF(AL$6="","",IF(OR(WEEKDAY(AL$6,1)=1,WEEKDAY(AL$6,1)=7),0,MIN(8,AL58)*AL57))</f>
      </c>
      <c r="AM59" s="26">
        <f>IF(AM$6="","",IF(OR(WEEKDAY(AM$6,1)=1,WEEKDAY(AM$6,1)=7),0,MIN(8,AM58)*AM57))</f>
      </c>
      <c r="AN59" s="26">
        <f>IF(AN$6="","",IF(OR(WEEKDAY(AN$6,1)=1,WEEKDAY(AN$6,1)=7),0,MIN(8,AN58)*AN57))</f>
      </c>
      <c r="AO59" s="26">
        <f>IF(AO$6="","",IF(OR(WEEKDAY(AO$6,1)=1,WEEKDAY(AO$6,1)=7),0,MIN(8,AO58)*AO57))</f>
      </c>
      <c r="AP59" s="26">
        <f>IF(AP$6="","",IF(OR(WEEKDAY(AP$6,1)=1,WEEKDAY(AP$6,1)=7),0,MIN(8,AP58)*AP57))</f>
      </c>
      <c r="AQ59" s="26">
        <f>IF(AQ$6="","",IF(OR(WEEKDAY(AQ$6,1)=1,WEEKDAY(AQ$6,1)=7),0,MIN(8,AQ58)*AQ57))</f>
      </c>
      <c r="CX59" s="8" t="s">
        <v>51</v>
      </c>
    </row>
    <row r="60" spans="2:102" x14ac:dyDescent="0.25">
      <c r="B60" s="26">
        <f>SUM(L60:AQ60)</f>
      </c>
      <c r="D60" s="27">
        <f>B60*E60</f>
      </c>
      <c r="E60" s="27">
        <f>'Rate Tables'!D10</f>
      </c>
      <c r="F60" s="8" t="s">
        <v>38</v>
      </c>
      <c r="L60" s="26">
        <f>IF(L$6="","",IF(WEEKDAY(L$6,1)=1,0,IF(WEEKDAY(L$6,1)=7,L58*L57,MAX(0,L58-8)*L57)))</f>
      </c>
      <c r="M60" s="26">
        <f>IF(M$6="","",IF(WEEKDAY(M$6,1)=1,0,IF(WEEKDAY(M$6,1)=7,M58*M57,MAX(0,M58-8)*M57)))</f>
      </c>
      <c r="N60" s="26">
        <f>IF(N$6="","",IF(WEEKDAY(N$6,1)=1,0,IF(WEEKDAY(N$6,1)=7,N58*N57,MAX(0,N58-8)*N57)))</f>
      </c>
      <c r="O60" s="26">
        <f>IF(O$6="","",IF(WEEKDAY(O$6,1)=1,0,IF(WEEKDAY(O$6,1)=7,O58*O57,MAX(0,O58-8)*O57)))</f>
      </c>
      <c r="P60" s="26">
        <f>IF(P$6="","",IF(WEEKDAY(P$6,1)=1,0,IF(WEEKDAY(P$6,1)=7,P58*P57,MAX(0,P58-8)*P57)))</f>
      </c>
      <c r="Q60" s="26">
        <f>IF(Q$6="","",IF(WEEKDAY(Q$6,1)=1,0,IF(WEEKDAY(Q$6,1)=7,Q58*Q57,MAX(0,Q58-8)*Q57)))</f>
      </c>
      <c r="R60" s="26">
        <f>IF(R$6="","",IF(WEEKDAY(R$6,1)=1,0,IF(WEEKDAY(R$6,1)=7,R58*R57,MAX(0,R58-8)*R57)))</f>
      </c>
      <c r="S60" s="26">
        <f>IF(S$6="","",IF(WEEKDAY(S$6,1)=1,0,IF(WEEKDAY(S$6,1)=7,S58*S57,MAX(0,S58-8)*S57)))</f>
      </c>
      <c r="T60" s="26">
        <f>IF(T$6="","",IF(WEEKDAY(T$6,1)=1,0,IF(WEEKDAY(T$6,1)=7,T58*T57,MAX(0,T58-8)*T57)))</f>
      </c>
      <c r="U60" s="26">
        <f>IF(U$6="","",IF(WEEKDAY(U$6,1)=1,0,IF(WEEKDAY(U$6,1)=7,U58*U57,MAX(0,U58-8)*U57)))</f>
      </c>
      <c r="V60" s="26">
        <f>IF(V$6="","",IF(WEEKDAY(V$6,1)=1,0,IF(WEEKDAY(V$6,1)=7,V58*V57,MAX(0,V58-8)*V57)))</f>
      </c>
      <c r="W60" s="26">
        <f>IF(W$6="","",IF(WEEKDAY(W$6,1)=1,0,IF(WEEKDAY(W$6,1)=7,W58*W57,MAX(0,W58-8)*W57)))</f>
      </c>
      <c r="X60" s="26">
        <f>IF(X$6="","",IF(WEEKDAY(X$6,1)=1,0,IF(WEEKDAY(X$6,1)=7,X58*X57,MAX(0,X58-8)*X57)))</f>
      </c>
      <c r="Y60" s="26">
        <f>IF(Y$6="","",IF(WEEKDAY(Y$6,1)=1,0,IF(WEEKDAY(Y$6,1)=7,Y58*Y57,MAX(0,Y58-8)*Y57)))</f>
      </c>
      <c r="Z60" s="26">
        <f>IF(Z$6="","",IF(WEEKDAY(Z$6,1)=1,0,IF(WEEKDAY(Z$6,1)=7,Z58*Z57,MAX(0,Z58-8)*Z57)))</f>
      </c>
      <c r="AA60" s="26">
        <f>IF(AA$6="","",IF(WEEKDAY(AA$6,1)=1,0,IF(WEEKDAY(AA$6,1)=7,AA58*AA57,MAX(0,AA58-8)*AA57)))</f>
      </c>
      <c r="AB60" s="26">
        <f>IF(AB$6="","",IF(WEEKDAY(AB$6,1)=1,0,IF(WEEKDAY(AB$6,1)=7,AB58*AB57,MAX(0,AB58-8)*AB57)))</f>
      </c>
      <c r="AC60" s="26">
        <f>IF(AC$6="","",IF(WEEKDAY(AC$6,1)=1,0,IF(WEEKDAY(AC$6,1)=7,AC58*AC57,MAX(0,AC58-8)*AC57)))</f>
      </c>
      <c r="AD60" s="26">
        <f>IF(AD$6="","",IF(WEEKDAY(AD$6,1)=1,0,IF(WEEKDAY(AD$6,1)=7,AD58*AD57,MAX(0,AD58-8)*AD57)))</f>
      </c>
      <c r="AE60" s="26">
        <f>IF(AE$6="","",IF(WEEKDAY(AE$6,1)=1,0,IF(WEEKDAY(AE$6,1)=7,AE58*AE57,MAX(0,AE58-8)*AE57)))</f>
      </c>
      <c r="AF60" s="26">
        <f>IF(AF$6="","",IF(WEEKDAY(AF$6,1)=1,0,IF(WEEKDAY(AF$6,1)=7,AF58*AF57,MAX(0,AF58-8)*AF57)))</f>
      </c>
      <c r="AG60" s="26">
        <f>IF(AG$6="","",IF(WEEKDAY(AG$6,1)=1,0,IF(WEEKDAY(AG$6,1)=7,AG58*AG57,MAX(0,AG58-8)*AG57)))</f>
      </c>
      <c r="AH60" s="26">
        <f>IF(AH$6="","",IF(WEEKDAY(AH$6,1)=1,0,IF(WEEKDAY(AH$6,1)=7,AH58*AH57,MAX(0,AH58-8)*AH57)))</f>
      </c>
      <c r="AI60" s="26">
        <f>IF(AI$6="","",IF(WEEKDAY(AI$6,1)=1,0,IF(WEEKDAY(AI$6,1)=7,AI58*AI57,MAX(0,AI58-8)*AI57)))</f>
      </c>
      <c r="AJ60" s="26">
        <f>IF(AJ$6="","",IF(WEEKDAY(AJ$6,1)=1,0,IF(WEEKDAY(AJ$6,1)=7,AJ58*AJ57,MAX(0,AJ58-8)*AJ57)))</f>
      </c>
      <c r="AK60" s="26">
        <f>IF(AK$6="","",IF(WEEKDAY(AK$6,1)=1,0,IF(WEEKDAY(AK$6,1)=7,AK58*AK57,MAX(0,AK58-8)*AK57)))</f>
      </c>
      <c r="AL60" s="26">
        <f>IF(AL$6="","",IF(WEEKDAY(AL$6,1)=1,0,IF(WEEKDAY(AL$6,1)=7,AL58*AL57,MAX(0,AL58-8)*AL57)))</f>
      </c>
      <c r="AM60" s="26">
        <f>IF(AM$6="","",IF(WEEKDAY(AM$6,1)=1,0,IF(WEEKDAY(AM$6,1)=7,AM58*AM57,MAX(0,AM58-8)*AM57)))</f>
      </c>
      <c r="AN60" s="26">
        <f>IF(AN$6="","",IF(WEEKDAY(AN$6,1)=1,0,IF(WEEKDAY(AN$6,1)=7,AN58*AN57,MAX(0,AN58-8)*AN57)))</f>
      </c>
      <c r="AO60" s="26">
        <f>IF(AO$6="","",IF(WEEKDAY(AO$6,1)=1,0,IF(WEEKDAY(AO$6,1)=7,AO58*AO57,MAX(0,AO58-8)*AO57)))</f>
      </c>
      <c r="AP60" s="26">
        <f>IF(AP$6="","",IF(WEEKDAY(AP$6,1)=1,0,IF(WEEKDAY(AP$6,1)=7,AP58*AP57,MAX(0,AP58-8)*AP57)))</f>
      </c>
      <c r="AQ60" s="26">
        <f>IF(AQ$6="","",IF(WEEKDAY(AQ$6,1)=1,0,IF(WEEKDAY(AQ$6,1)=7,AQ58*AQ57,MAX(0,AQ58-8)*AQ57)))</f>
      </c>
      <c r="CX60" s="8" t="s">
        <v>51</v>
      </c>
    </row>
    <row r="61" spans="2:102" x14ac:dyDescent="0.25">
      <c r="B61" s="26">
        <f>SUM(L61:AQ61)</f>
      </c>
      <c r="D61" s="27">
        <f>B61*E61</f>
      </c>
      <c r="E61" s="27">
        <f>'Rate Tables'!E10</f>
      </c>
      <c r="F61" s="8" t="s">
        <v>39</v>
      </c>
      <c r="L61" s="26">
        <f>IF(L$6="","",IF(WEEKDAY(L$6,1)=1,L58*L57,0))</f>
      </c>
      <c r="M61" s="26">
        <f>IF(M$6="","",IF(WEEKDAY(M$6,1)=1,M58*M57,0))</f>
      </c>
      <c r="N61" s="26">
        <f>IF(N$6="","",IF(WEEKDAY(N$6,1)=1,N58*N57,0))</f>
      </c>
      <c r="O61" s="26">
        <f>IF(O$6="","",IF(WEEKDAY(O$6,1)=1,O58*O57,0))</f>
      </c>
      <c r="P61" s="26">
        <f>IF(P$6="","",IF(WEEKDAY(P$6,1)=1,P58*P57,0))</f>
      </c>
      <c r="Q61" s="26">
        <f>IF(Q$6="","",IF(WEEKDAY(Q$6,1)=1,Q58*Q57,0))</f>
      </c>
      <c r="R61" s="26">
        <f>IF(R$6="","",IF(WEEKDAY(R$6,1)=1,R58*R57,0))</f>
      </c>
      <c r="S61" s="26">
        <f>IF(S$6="","",IF(WEEKDAY(S$6,1)=1,S58*S57,0))</f>
      </c>
      <c r="T61" s="26">
        <f>IF(T$6="","",IF(WEEKDAY(T$6,1)=1,T58*T57,0))</f>
      </c>
      <c r="U61" s="26">
        <f>IF(U$6="","",IF(WEEKDAY(U$6,1)=1,U58*U57,0))</f>
      </c>
      <c r="V61" s="26">
        <f>IF(V$6="","",IF(WEEKDAY(V$6,1)=1,V58*V57,0))</f>
      </c>
      <c r="W61" s="26">
        <f>IF(W$6="","",IF(WEEKDAY(W$6,1)=1,W58*W57,0))</f>
      </c>
      <c r="X61" s="26">
        <f>IF(X$6="","",IF(WEEKDAY(X$6,1)=1,X58*X57,0))</f>
      </c>
      <c r="Y61" s="26">
        <f>IF(Y$6="","",IF(WEEKDAY(Y$6,1)=1,Y58*Y57,0))</f>
      </c>
      <c r="Z61" s="26">
        <f>IF(Z$6="","",IF(WEEKDAY(Z$6,1)=1,Z58*Z57,0))</f>
      </c>
      <c r="AA61" s="26">
        <f>IF(AA$6="","",IF(WEEKDAY(AA$6,1)=1,AA58*AA57,0))</f>
      </c>
      <c r="AB61" s="26">
        <f>IF(AB$6="","",IF(WEEKDAY(AB$6,1)=1,AB58*AB57,0))</f>
      </c>
      <c r="AC61" s="26">
        <f>IF(AC$6="","",IF(WEEKDAY(AC$6,1)=1,AC58*AC57,0))</f>
      </c>
      <c r="AD61" s="26">
        <f>IF(AD$6="","",IF(WEEKDAY(AD$6,1)=1,AD58*AD57,0))</f>
      </c>
      <c r="AE61" s="26">
        <f>IF(AE$6="","",IF(WEEKDAY(AE$6,1)=1,AE58*AE57,0))</f>
      </c>
      <c r="AF61" s="26">
        <f>IF(AF$6="","",IF(WEEKDAY(AF$6,1)=1,AF58*AF57,0))</f>
      </c>
      <c r="AG61" s="26">
        <f>IF(AG$6="","",IF(WEEKDAY(AG$6,1)=1,AG58*AG57,0))</f>
      </c>
      <c r="AH61" s="26">
        <f>IF(AH$6="","",IF(WEEKDAY(AH$6,1)=1,AH58*AH57,0))</f>
      </c>
      <c r="AI61" s="26">
        <f>IF(AI$6="","",IF(WEEKDAY(AI$6,1)=1,AI58*AI57,0))</f>
      </c>
      <c r="AJ61" s="26">
        <f>IF(AJ$6="","",IF(WEEKDAY(AJ$6,1)=1,AJ58*AJ57,0))</f>
      </c>
      <c r="AK61" s="26">
        <f>IF(AK$6="","",IF(WEEKDAY(AK$6,1)=1,AK58*AK57,0))</f>
      </c>
      <c r="AL61" s="26">
        <f>IF(AL$6="","",IF(WEEKDAY(AL$6,1)=1,AL58*AL57,0))</f>
      </c>
      <c r="AM61" s="26">
        <f>IF(AM$6="","",IF(WEEKDAY(AM$6,1)=1,AM58*AM57,0))</f>
      </c>
      <c r="AN61" s="26">
        <f>IF(AN$6="","",IF(WEEKDAY(AN$6,1)=1,AN58*AN57,0))</f>
      </c>
      <c r="AO61" s="26">
        <f>IF(AO$6="","",IF(WEEKDAY(AO$6,1)=1,AO58*AO57,0))</f>
      </c>
      <c r="AP61" s="26">
        <f>IF(AP$6="","",IF(WEEKDAY(AP$6,1)=1,AP58*AP57,0))</f>
      </c>
      <c r="AQ61" s="26">
        <f>IF(AQ$6="","",IF(WEEKDAY(AQ$6,1)=1,AQ58*AQ57,0))</f>
      </c>
      <c r="CX61" s="8" t="s">
        <v>51</v>
      </c>
    </row>
    <row r="62" spans="2:102" x14ac:dyDescent="0.25">
      <c r="B62" s="26">
        <f>SUM(L62:AQ62)</f>
      </c>
      <c r="D62" s="27">
        <f>B62*E62</f>
      </c>
      <c r="E62" s="27">
        <v>140</v>
      </c>
      <c r="F62" s="8" t="s">
        <v>40</v>
      </c>
      <c r="L62" s="28">
        <v>1</v>
      </c>
      <c r="M62" s="28">
        <v>1</v>
      </c>
      <c r="N62" s="28">
        <v>1</v>
      </c>
      <c r="O62" s="28">
        <v>1</v>
      </c>
      <c r="P62" s="28">
        <v>1</v>
      </c>
      <c r="Q62" s="28">
        <v>0</v>
      </c>
      <c r="R62" s="28">
        <v>0</v>
      </c>
      <c r="S62" s="28">
        <v>1</v>
      </c>
      <c r="T62" s="28">
        <v>1</v>
      </c>
      <c r="U62" s="28">
        <v>1</v>
      </c>
      <c r="V62" s="28">
        <v>1</v>
      </c>
      <c r="W62" s="28">
        <v>1</v>
      </c>
      <c r="X62" s="28">
        <v>1</v>
      </c>
      <c r="Y62" s="28">
        <v>1</v>
      </c>
      <c r="Z62" s="28">
        <v>1</v>
      </c>
      <c r="AA62" s="28">
        <v>1</v>
      </c>
      <c r="AB62" s="28">
        <v>1</v>
      </c>
      <c r="AC62" s="28">
        <v>1</v>
      </c>
      <c r="AD62" s="28">
        <v>1</v>
      </c>
      <c r="AE62" s="28">
        <v>1</v>
      </c>
      <c r="AF62" s="28">
        <v>1</v>
      </c>
      <c r="AG62" s="28">
        <v>1</v>
      </c>
      <c r="AH62" s="28">
        <v>1</v>
      </c>
      <c r="AI62" s="28">
        <v>1</v>
      </c>
      <c r="AJ62" s="28">
        <v>0</v>
      </c>
      <c r="AK62" s="28">
        <v>0</v>
      </c>
      <c r="AL62" s="28">
        <v>0</v>
      </c>
      <c r="AM62" s="28">
        <v>0</v>
      </c>
      <c r="AN62" s="28">
        <v>0</v>
      </c>
      <c r="AO62" s="28">
        <v>0</v>
      </c>
      <c r="AP62" s="28">
        <v>0</v>
      </c>
      <c r="AQ62" s="28">
        <v>0</v>
      </c>
      <c r="CX62" s="8" t="s">
        <v>51</v>
      </c>
    </row>
    <row r="63" spans="1:11" x14ac:dyDescent="0.25">
      <c r="A63" s="14" t="s">
        <v>52</v>
      </c>
      <c r="B63" s="15">
        <f>SUM(B7,B14,B21,B28,B35,B42,B49,B56)</f>
      </c>
      <c r="D63" s="18">
        <f>SUM(D13,D20,D27,D34,D41,D48,D55,D62)</f>
      </c>
      <c r="G63" s="15">
        <f>SUM(G7,G14,G21,G28,G35,G42,G49,G56)</f>
      </c>
      <c r="H63" s="15">
        <f>SUM(H7,H14,H21,H28,H35,H42,H49,H56)</f>
      </c>
      <c r="I63" s="15">
        <f>SUM(I7,I14,I21,I28,I35,I42,I49,I56)</f>
      </c>
      <c r="J63" s="15">
        <f>SUM(J7,J14,J21,J28,J35,J42,J49,J56)</f>
      </c>
      <c r="K63" s="18">
        <f>SUM(K7,K14,K21,K28,K35,K42,K49,K56)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102" max="10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46269.72952778936</v>
      </c>
    </row>
    <row r="6" ht="20" customHeight="1" spans="1:43" x14ac:dyDescent="0.25">
      <c r="A6" s="7" t="s">
        <v>20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  <c r="G6" s="7" t="s">
        <v>26</v>
      </c>
      <c r="H6" s="7" t="s">
        <v>27</v>
      </c>
      <c r="I6" s="7" t="s">
        <v>28</v>
      </c>
      <c r="J6" s="7" t="s">
        <v>29</v>
      </c>
      <c r="K6" s="7" t="s">
        <v>12</v>
      </c>
      <c r="L6" s="19">
        <v>46286</v>
      </c>
      <c r="M6" s="19">
        <f>L6+1</f>
      </c>
      <c r="N6" s="19">
        <f>M6+1</f>
      </c>
      <c r="O6" s="19">
        <f>N6+1</f>
      </c>
      <c r="P6" s="19">
        <f>O6+1</f>
      </c>
      <c r="Q6" s="19">
        <f>P6+1</f>
      </c>
      <c r="R6" s="19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19">
        <f>W6+1</f>
      </c>
      <c r="Y6" s="19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19">
        <f>AD6+1</f>
      </c>
      <c r="AF6" s="19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19">
        <f>AK6+1</f>
      </c>
      <c r="AM6" s="19">
        <f>AL6+1</f>
      </c>
      <c r="AN6" s="19">
        <f>AM6+1</f>
      </c>
      <c r="AO6" s="19">
        <f>AN6+1</f>
      </c>
      <c r="AP6" s="19">
        <f>AO6+1</f>
      </c>
      <c r="AQ6" s="19">
        <f>AP6+1</f>
      </c>
    </row>
    <row r="7" spans="1:102" x14ac:dyDescent="0.25">
      <c r="A7" s="20" t="s">
        <v>30</v>
      </c>
      <c r="B7" s="21">
        <f>G7+H7+I7</f>
      </c>
      <c r="C7" s="20" t="s">
        <v>53</v>
      </c>
      <c r="D7" s="22">
        <f>K7</f>
      </c>
      <c r="F7" s="20" t="s">
        <v>32</v>
      </c>
      <c r="G7" s="21">
        <f>B10</f>
      </c>
      <c r="H7" s="21">
        <f>B11</f>
      </c>
      <c r="I7" s="21">
        <f>B12</f>
      </c>
      <c r="J7" s="21">
        <f>B13</f>
      </c>
      <c r="K7" s="22">
        <f>D10+D11+D12</f>
      </c>
      <c r="CX7" s="20" t="s">
        <v>54</v>
      </c>
    </row>
    <row r="8" spans="6:102" x14ac:dyDescent="0.25">
      <c r="F8" s="23" t="s">
        <v>34</v>
      </c>
      <c r="L8" s="24">
        <v>2</v>
      </c>
      <c r="M8" s="24">
        <v>2</v>
      </c>
      <c r="N8" s="24">
        <v>2</v>
      </c>
      <c r="O8" s="24">
        <v>2</v>
      </c>
      <c r="P8" s="24">
        <v>2</v>
      </c>
      <c r="Q8" s="24">
        <v>0</v>
      </c>
      <c r="R8" s="24">
        <v>0</v>
      </c>
      <c r="S8" s="24">
        <v>2</v>
      </c>
      <c r="T8" s="24">
        <v>2</v>
      </c>
      <c r="U8" s="24">
        <v>2</v>
      </c>
      <c r="V8" s="24">
        <v>2</v>
      </c>
      <c r="W8" s="24">
        <v>2</v>
      </c>
      <c r="X8" s="24">
        <v>2</v>
      </c>
      <c r="Y8" s="24">
        <v>2</v>
      </c>
      <c r="Z8" s="24">
        <v>2</v>
      </c>
      <c r="AA8" s="24">
        <v>2</v>
      </c>
      <c r="AB8" s="24">
        <v>2</v>
      </c>
      <c r="AC8" s="24">
        <v>2</v>
      </c>
      <c r="AD8" s="24">
        <v>2</v>
      </c>
      <c r="AE8" s="24">
        <v>2</v>
      </c>
      <c r="AF8" s="24">
        <v>2</v>
      </c>
      <c r="AG8" s="24">
        <v>2</v>
      </c>
      <c r="AH8" s="24">
        <v>2</v>
      </c>
      <c r="AI8" s="24">
        <v>2</v>
      </c>
      <c r="AJ8" s="24">
        <v>1</v>
      </c>
      <c r="AK8" s="24">
        <v>1</v>
      </c>
      <c r="AL8" s="24">
        <v>0</v>
      </c>
      <c r="AM8" s="24">
        <v>0</v>
      </c>
      <c r="AN8" s="24">
        <v>1</v>
      </c>
      <c r="AO8" s="24">
        <v>1</v>
      </c>
      <c r="AP8" s="24">
        <v>1</v>
      </c>
      <c r="AQ8" s="24">
        <v>1</v>
      </c>
      <c r="CX8" s="23" t="s">
        <v>54</v>
      </c>
    </row>
    <row r="9" spans="1:102" x14ac:dyDescent="0.25">
      <c r="A9" s="23" t="s">
        <v>35</v>
      </c>
      <c r="F9" s="23" t="s">
        <v>36</v>
      </c>
      <c r="L9" s="25">
        <v>8</v>
      </c>
      <c r="M9" s="25">
        <v>8</v>
      </c>
      <c r="N9" s="25">
        <v>8</v>
      </c>
      <c r="O9" s="25">
        <v>8</v>
      </c>
      <c r="P9" s="25">
        <v>8</v>
      </c>
      <c r="Q9" s="25">
        <v>0</v>
      </c>
      <c r="R9" s="25">
        <v>0</v>
      </c>
      <c r="S9" s="25">
        <v>8</v>
      </c>
      <c r="T9" s="25">
        <v>8</v>
      </c>
      <c r="U9" s="25">
        <v>8</v>
      </c>
      <c r="V9" s="25">
        <v>12</v>
      </c>
      <c r="W9" s="25">
        <v>12</v>
      </c>
      <c r="X9" s="25">
        <v>12</v>
      </c>
      <c r="Y9" s="25">
        <v>12</v>
      </c>
      <c r="Z9" s="25">
        <v>12</v>
      </c>
      <c r="AA9" s="25">
        <v>12</v>
      </c>
      <c r="AB9" s="25">
        <v>12</v>
      </c>
      <c r="AC9" s="25">
        <v>12</v>
      </c>
      <c r="AD9" s="25">
        <v>12</v>
      </c>
      <c r="AE9" s="25">
        <v>12</v>
      </c>
      <c r="AF9" s="25">
        <v>12</v>
      </c>
      <c r="AG9" s="25">
        <v>12</v>
      </c>
      <c r="AH9" s="25">
        <v>12</v>
      </c>
      <c r="AI9" s="25">
        <v>12</v>
      </c>
      <c r="AJ9" s="25">
        <v>8</v>
      </c>
      <c r="AK9" s="25">
        <v>8</v>
      </c>
      <c r="AL9" s="25">
        <v>0</v>
      </c>
      <c r="AM9" s="25">
        <v>0</v>
      </c>
      <c r="AN9" s="25">
        <v>8</v>
      </c>
      <c r="AO9" s="25">
        <v>8</v>
      </c>
      <c r="AP9" s="25">
        <v>8</v>
      </c>
      <c r="AQ9" s="25">
        <v>8</v>
      </c>
      <c r="CX9" s="23" t="s">
        <v>54</v>
      </c>
    </row>
    <row r="10" spans="2:102" x14ac:dyDescent="0.25">
      <c r="B10" s="26">
        <f>SUM(L10:AQ10)</f>
      </c>
      <c r="D10" s="27">
        <f>B10*E10</f>
      </c>
      <c r="E10" s="27">
        <f>'Rate Tables'!C11</f>
      </c>
      <c r="F10" s="8" t="s">
        <v>37</v>
      </c>
      <c r="L10" s="26">
        <f>IF(L$6="","",IF(OR(WEEKDAY(L$6,1)=1,WEEKDAY(L$6,1)=7),0,MIN(8,L9)*L8))</f>
      </c>
      <c r="M10" s="26">
        <f>IF(M$6="","",IF(OR(WEEKDAY(M$6,1)=1,WEEKDAY(M$6,1)=7),0,MIN(8,M9)*M8))</f>
      </c>
      <c r="N10" s="26">
        <f>IF(N$6="","",IF(OR(WEEKDAY(N$6,1)=1,WEEKDAY(N$6,1)=7),0,MIN(8,N9)*N8))</f>
      </c>
      <c r="O10" s="26">
        <f>IF(O$6="","",IF(OR(WEEKDAY(O$6,1)=1,WEEKDAY(O$6,1)=7),0,MIN(8,O9)*O8))</f>
      </c>
      <c r="P10" s="26">
        <f>IF(P$6="","",IF(OR(WEEKDAY(P$6,1)=1,WEEKDAY(P$6,1)=7),0,MIN(8,P9)*P8))</f>
      </c>
      <c r="Q10" s="26">
        <f>IF(Q$6="","",IF(OR(WEEKDAY(Q$6,1)=1,WEEKDAY(Q$6,1)=7),0,MIN(8,Q9)*Q8))</f>
      </c>
      <c r="R10" s="26">
        <f>IF(R$6="","",IF(OR(WEEKDAY(R$6,1)=1,WEEKDAY(R$6,1)=7),0,MIN(8,R9)*R8))</f>
      </c>
      <c r="S10" s="26">
        <f>IF(S$6="","",IF(OR(WEEKDAY(S$6,1)=1,WEEKDAY(S$6,1)=7),0,MIN(8,S9)*S8))</f>
      </c>
      <c r="T10" s="26">
        <f>IF(T$6="","",IF(OR(WEEKDAY(T$6,1)=1,WEEKDAY(T$6,1)=7),0,MIN(8,T9)*T8))</f>
      </c>
      <c r="U10" s="26">
        <f>IF(U$6="","",IF(OR(WEEKDAY(U$6,1)=1,WEEKDAY(U$6,1)=7),0,MIN(8,U9)*U8))</f>
      </c>
      <c r="V10" s="26">
        <f>IF(V$6="","",IF(OR(WEEKDAY(V$6,1)=1,WEEKDAY(V$6,1)=7),0,MIN(8,V9)*V8))</f>
      </c>
      <c r="W10" s="26">
        <f>IF(W$6="","",IF(OR(WEEKDAY(W$6,1)=1,WEEKDAY(W$6,1)=7),0,MIN(8,W9)*W8))</f>
      </c>
      <c r="X10" s="26">
        <f>IF(X$6="","",IF(OR(WEEKDAY(X$6,1)=1,WEEKDAY(X$6,1)=7),0,MIN(8,X9)*X8))</f>
      </c>
      <c r="Y10" s="26">
        <f>IF(Y$6="","",IF(OR(WEEKDAY(Y$6,1)=1,WEEKDAY(Y$6,1)=7),0,MIN(8,Y9)*Y8))</f>
      </c>
      <c r="Z10" s="26">
        <f>IF(Z$6="","",IF(OR(WEEKDAY(Z$6,1)=1,WEEKDAY(Z$6,1)=7),0,MIN(8,Z9)*Z8))</f>
      </c>
      <c r="AA10" s="26">
        <f>IF(AA$6="","",IF(OR(WEEKDAY(AA$6,1)=1,WEEKDAY(AA$6,1)=7),0,MIN(8,AA9)*AA8))</f>
      </c>
      <c r="AB10" s="26">
        <f>IF(AB$6="","",IF(OR(WEEKDAY(AB$6,1)=1,WEEKDAY(AB$6,1)=7),0,MIN(8,AB9)*AB8))</f>
      </c>
      <c r="AC10" s="26">
        <f>IF(AC$6="","",IF(OR(WEEKDAY(AC$6,1)=1,WEEKDAY(AC$6,1)=7),0,MIN(8,AC9)*AC8))</f>
      </c>
      <c r="AD10" s="26">
        <f>IF(AD$6="","",IF(OR(WEEKDAY(AD$6,1)=1,WEEKDAY(AD$6,1)=7),0,MIN(8,AD9)*AD8))</f>
      </c>
      <c r="AE10" s="26">
        <f>IF(AE$6="","",IF(OR(WEEKDAY(AE$6,1)=1,WEEKDAY(AE$6,1)=7),0,MIN(8,AE9)*AE8))</f>
      </c>
      <c r="AF10" s="26">
        <f>IF(AF$6="","",IF(OR(WEEKDAY(AF$6,1)=1,WEEKDAY(AF$6,1)=7),0,MIN(8,AF9)*AF8))</f>
      </c>
      <c r="AG10" s="26">
        <f>IF(AG$6="","",IF(OR(WEEKDAY(AG$6,1)=1,WEEKDAY(AG$6,1)=7),0,MIN(8,AG9)*AG8))</f>
      </c>
      <c r="AH10" s="26">
        <f>IF(AH$6="","",IF(OR(WEEKDAY(AH$6,1)=1,WEEKDAY(AH$6,1)=7),0,MIN(8,AH9)*AH8))</f>
      </c>
      <c r="AI10" s="26">
        <f>IF(AI$6="","",IF(OR(WEEKDAY(AI$6,1)=1,WEEKDAY(AI$6,1)=7),0,MIN(8,AI9)*AI8))</f>
      </c>
      <c r="AJ10" s="26">
        <f>IF(AJ$6="","",IF(OR(WEEKDAY(AJ$6,1)=1,WEEKDAY(AJ$6,1)=7),0,MIN(8,AJ9)*AJ8))</f>
      </c>
      <c r="AK10" s="26">
        <f>IF(AK$6="","",IF(OR(WEEKDAY(AK$6,1)=1,WEEKDAY(AK$6,1)=7),0,MIN(8,AK9)*AK8))</f>
      </c>
      <c r="AL10" s="26">
        <f>IF(AL$6="","",IF(OR(WEEKDAY(AL$6,1)=1,WEEKDAY(AL$6,1)=7),0,MIN(8,AL9)*AL8))</f>
      </c>
      <c r="AM10" s="26">
        <f>IF(AM$6="","",IF(OR(WEEKDAY(AM$6,1)=1,WEEKDAY(AM$6,1)=7),0,MIN(8,AM9)*AM8))</f>
      </c>
      <c r="AN10" s="26">
        <f>IF(AN$6="","",IF(OR(WEEKDAY(AN$6,1)=1,WEEKDAY(AN$6,1)=7),0,MIN(8,AN9)*AN8))</f>
      </c>
      <c r="AO10" s="26">
        <f>IF(AO$6="","",IF(OR(WEEKDAY(AO$6,1)=1,WEEKDAY(AO$6,1)=7),0,MIN(8,AO9)*AO8))</f>
      </c>
      <c r="AP10" s="26">
        <f>IF(AP$6="","",IF(OR(WEEKDAY(AP$6,1)=1,WEEKDAY(AP$6,1)=7),0,MIN(8,AP9)*AP8))</f>
      </c>
      <c r="AQ10" s="26">
        <f>IF(AQ$6="","",IF(OR(WEEKDAY(AQ$6,1)=1,WEEKDAY(AQ$6,1)=7),0,MIN(8,AQ9)*AQ8))</f>
      </c>
      <c r="CX10" s="8" t="s">
        <v>54</v>
      </c>
    </row>
    <row r="11" spans="2:102" x14ac:dyDescent="0.25">
      <c r="B11" s="26">
        <f>SUM(L11:AQ11)</f>
      </c>
      <c r="D11" s="27">
        <f>B11*E11</f>
      </c>
      <c r="E11" s="27">
        <f>'Rate Tables'!D11</f>
      </c>
      <c r="F11" s="8" t="s">
        <v>38</v>
      </c>
      <c r="L11" s="26">
        <f>IF(L$6="","",IF(WEEKDAY(L$6,1)=1,0,IF(WEEKDAY(L$6,1)=7,L9*L8,MAX(0,L9-8)*L8)))</f>
      </c>
      <c r="M11" s="26">
        <f>IF(M$6="","",IF(WEEKDAY(M$6,1)=1,0,IF(WEEKDAY(M$6,1)=7,M9*M8,MAX(0,M9-8)*M8)))</f>
      </c>
      <c r="N11" s="26">
        <f>IF(N$6="","",IF(WEEKDAY(N$6,1)=1,0,IF(WEEKDAY(N$6,1)=7,N9*N8,MAX(0,N9-8)*N8)))</f>
      </c>
      <c r="O11" s="26">
        <f>IF(O$6="","",IF(WEEKDAY(O$6,1)=1,0,IF(WEEKDAY(O$6,1)=7,O9*O8,MAX(0,O9-8)*O8)))</f>
      </c>
      <c r="P11" s="26">
        <f>IF(P$6="","",IF(WEEKDAY(P$6,1)=1,0,IF(WEEKDAY(P$6,1)=7,P9*P8,MAX(0,P9-8)*P8)))</f>
      </c>
      <c r="Q11" s="26">
        <f>IF(Q$6="","",IF(WEEKDAY(Q$6,1)=1,0,IF(WEEKDAY(Q$6,1)=7,Q9*Q8,MAX(0,Q9-8)*Q8)))</f>
      </c>
      <c r="R11" s="26">
        <f>IF(R$6="","",IF(WEEKDAY(R$6,1)=1,0,IF(WEEKDAY(R$6,1)=7,R9*R8,MAX(0,R9-8)*R8)))</f>
      </c>
      <c r="S11" s="26">
        <f>IF(S$6="","",IF(WEEKDAY(S$6,1)=1,0,IF(WEEKDAY(S$6,1)=7,S9*S8,MAX(0,S9-8)*S8)))</f>
      </c>
      <c r="T11" s="26">
        <f>IF(T$6="","",IF(WEEKDAY(T$6,1)=1,0,IF(WEEKDAY(T$6,1)=7,T9*T8,MAX(0,T9-8)*T8)))</f>
      </c>
      <c r="U11" s="26">
        <f>IF(U$6="","",IF(WEEKDAY(U$6,1)=1,0,IF(WEEKDAY(U$6,1)=7,U9*U8,MAX(0,U9-8)*U8)))</f>
      </c>
      <c r="V11" s="26">
        <f>IF(V$6="","",IF(WEEKDAY(V$6,1)=1,0,IF(WEEKDAY(V$6,1)=7,V9*V8,MAX(0,V9-8)*V8)))</f>
      </c>
      <c r="W11" s="26">
        <f>IF(W$6="","",IF(WEEKDAY(W$6,1)=1,0,IF(WEEKDAY(W$6,1)=7,W9*W8,MAX(0,W9-8)*W8)))</f>
      </c>
      <c r="X11" s="26">
        <f>IF(X$6="","",IF(WEEKDAY(X$6,1)=1,0,IF(WEEKDAY(X$6,1)=7,X9*X8,MAX(0,X9-8)*X8)))</f>
      </c>
      <c r="Y11" s="26">
        <f>IF(Y$6="","",IF(WEEKDAY(Y$6,1)=1,0,IF(WEEKDAY(Y$6,1)=7,Y9*Y8,MAX(0,Y9-8)*Y8)))</f>
      </c>
      <c r="Z11" s="26">
        <f>IF(Z$6="","",IF(WEEKDAY(Z$6,1)=1,0,IF(WEEKDAY(Z$6,1)=7,Z9*Z8,MAX(0,Z9-8)*Z8)))</f>
      </c>
      <c r="AA11" s="26">
        <f>IF(AA$6="","",IF(WEEKDAY(AA$6,1)=1,0,IF(WEEKDAY(AA$6,1)=7,AA9*AA8,MAX(0,AA9-8)*AA8)))</f>
      </c>
      <c r="AB11" s="26">
        <f>IF(AB$6="","",IF(WEEKDAY(AB$6,1)=1,0,IF(WEEKDAY(AB$6,1)=7,AB9*AB8,MAX(0,AB9-8)*AB8)))</f>
      </c>
      <c r="AC11" s="26">
        <f>IF(AC$6="","",IF(WEEKDAY(AC$6,1)=1,0,IF(WEEKDAY(AC$6,1)=7,AC9*AC8,MAX(0,AC9-8)*AC8)))</f>
      </c>
      <c r="AD11" s="26">
        <f>IF(AD$6="","",IF(WEEKDAY(AD$6,1)=1,0,IF(WEEKDAY(AD$6,1)=7,AD9*AD8,MAX(0,AD9-8)*AD8)))</f>
      </c>
      <c r="AE11" s="26">
        <f>IF(AE$6="","",IF(WEEKDAY(AE$6,1)=1,0,IF(WEEKDAY(AE$6,1)=7,AE9*AE8,MAX(0,AE9-8)*AE8)))</f>
      </c>
      <c r="AF11" s="26">
        <f>IF(AF$6="","",IF(WEEKDAY(AF$6,1)=1,0,IF(WEEKDAY(AF$6,1)=7,AF9*AF8,MAX(0,AF9-8)*AF8)))</f>
      </c>
      <c r="AG11" s="26">
        <f>IF(AG$6="","",IF(WEEKDAY(AG$6,1)=1,0,IF(WEEKDAY(AG$6,1)=7,AG9*AG8,MAX(0,AG9-8)*AG8)))</f>
      </c>
      <c r="AH11" s="26">
        <f>IF(AH$6="","",IF(WEEKDAY(AH$6,1)=1,0,IF(WEEKDAY(AH$6,1)=7,AH9*AH8,MAX(0,AH9-8)*AH8)))</f>
      </c>
      <c r="AI11" s="26">
        <f>IF(AI$6="","",IF(WEEKDAY(AI$6,1)=1,0,IF(WEEKDAY(AI$6,1)=7,AI9*AI8,MAX(0,AI9-8)*AI8)))</f>
      </c>
      <c r="AJ11" s="26">
        <f>IF(AJ$6="","",IF(WEEKDAY(AJ$6,1)=1,0,IF(WEEKDAY(AJ$6,1)=7,AJ9*AJ8,MAX(0,AJ9-8)*AJ8)))</f>
      </c>
      <c r="AK11" s="26">
        <f>IF(AK$6="","",IF(WEEKDAY(AK$6,1)=1,0,IF(WEEKDAY(AK$6,1)=7,AK9*AK8,MAX(0,AK9-8)*AK8)))</f>
      </c>
      <c r="AL11" s="26">
        <f>IF(AL$6="","",IF(WEEKDAY(AL$6,1)=1,0,IF(WEEKDAY(AL$6,1)=7,AL9*AL8,MAX(0,AL9-8)*AL8)))</f>
      </c>
      <c r="AM11" s="26">
        <f>IF(AM$6="","",IF(WEEKDAY(AM$6,1)=1,0,IF(WEEKDAY(AM$6,1)=7,AM9*AM8,MAX(0,AM9-8)*AM8)))</f>
      </c>
      <c r="AN11" s="26">
        <f>IF(AN$6="","",IF(WEEKDAY(AN$6,1)=1,0,IF(WEEKDAY(AN$6,1)=7,AN9*AN8,MAX(0,AN9-8)*AN8)))</f>
      </c>
      <c r="AO11" s="26">
        <f>IF(AO$6="","",IF(WEEKDAY(AO$6,1)=1,0,IF(WEEKDAY(AO$6,1)=7,AO9*AO8,MAX(0,AO9-8)*AO8)))</f>
      </c>
      <c r="AP11" s="26">
        <f>IF(AP$6="","",IF(WEEKDAY(AP$6,1)=1,0,IF(WEEKDAY(AP$6,1)=7,AP9*AP8,MAX(0,AP9-8)*AP8)))</f>
      </c>
      <c r="AQ11" s="26">
        <f>IF(AQ$6="","",IF(WEEKDAY(AQ$6,1)=1,0,IF(WEEKDAY(AQ$6,1)=7,AQ9*AQ8,MAX(0,AQ9-8)*AQ8)))</f>
      </c>
      <c r="CX11" s="8" t="s">
        <v>54</v>
      </c>
    </row>
    <row r="12" spans="2:102" x14ac:dyDescent="0.25">
      <c r="B12" s="26">
        <f>SUM(L12:AQ12)</f>
      </c>
      <c r="D12" s="27">
        <f>B12*E12</f>
      </c>
      <c r="E12" s="27">
        <f>'Rate Tables'!E11</f>
      </c>
      <c r="F12" s="8" t="s">
        <v>39</v>
      </c>
      <c r="L12" s="26">
        <f>IF(L$6="","",IF(WEEKDAY(L$6,1)=1,L9*L8,0))</f>
      </c>
      <c r="M12" s="26">
        <f>IF(M$6="","",IF(WEEKDAY(M$6,1)=1,M9*M8,0))</f>
      </c>
      <c r="N12" s="26">
        <f>IF(N$6="","",IF(WEEKDAY(N$6,1)=1,N9*N8,0))</f>
      </c>
      <c r="O12" s="26">
        <f>IF(O$6="","",IF(WEEKDAY(O$6,1)=1,O9*O8,0))</f>
      </c>
      <c r="P12" s="26">
        <f>IF(P$6="","",IF(WEEKDAY(P$6,1)=1,P9*P8,0))</f>
      </c>
      <c r="Q12" s="26">
        <f>IF(Q$6="","",IF(WEEKDAY(Q$6,1)=1,Q9*Q8,0))</f>
      </c>
      <c r="R12" s="26">
        <f>IF(R$6="","",IF(WEEKDAY(R$6,1)=1,R9*R8,0))</f>
      </c>
      <c r="S12" s="26">
        <f>IF(S$6="","",IF(WEEKDAY(S$6,1)=1,S9*S8,0))</f>
      </c>
      <c r="T12" s="26">
        <f>IF(T$6="","",IF(WEEKDAY(T$6,1)=1,T9*T8,0))</f>
      </c>
      <c r="U12" s="26">
        <f>IF(U$6="","",IF(WEEKDAY(U$6,1)=1,U9*U8,0))</f>
      </c>
      <c r="V12" s="26">
        <f>IF(V$6="","",IF(WEEKDAY(V$6,1)=1,V9*V8,0))</f>
      </c>
      <c r="W12" s="26">
        <f>IF(W$6="","",IF(WEEKDAY(W$6,1)=1,W9*W8,0))</f>
      </c>
      <c r="X12" s="26">
        <f>IF(X$6="","",IF(WEEKDAY(X$6,1)=1,X9*X8,0))</f>
      </c>
      <c r="Y12" s="26">
        <f>IF(Y$6="","",IF(WEEKDAY(Y$6,1)=1,Y9*Y8,0))</f>
      </c>
      <c r="Z12" s="26">
        <f>IF(Z$6="","",IF(WEEKDAY(Z$6,1)=1,Z9*Z8,0))</f>
      </c>
      <c r="AA12" s="26">
        <f>IF(AA$6="","",IF(WEEKDAY(AA$6,1)=1,AA9*AA8,0))</f>
      </c>
      <c r="AB12" s="26">
        <f>IF(AB$6="","",IF(WEEKDAY(AB$6,1)=1,AB9*AB8,0))</f>
      </c>
      <c r="AC12" s="26">
        <f>IF(AC$6="","",IF(WEEKDAY(AC$6,1)=1,AC9*AC8,0))</f>
      </c>
      <c r="AD12" s="26">
        <f>IF(AD$6="","",IF(WEEKDAY(AD$6,1)=1,AD9*AD8,0))</f>
      </c>
      <c r="AE12" s="26">
        <f>IF(AE$6="","",IF(WEEKDAY(AE$6,1)=1,AE9*AE8,0))</f>
      </c>
      <c r="AF12" s="26">
        <f>IF(AF$6="","",IF(WEEKDAY(AF$6,1)=1,AF9*AF8,0))</f>
      </c>
      <c r="AG12" s="26">
        <f>IF(AG$6="","",IF(WEEKDAY(AG$6,1)=1,AG9*AG8,0))</f>
      </c>
      <c r="AH12" s="26">
        <f>IF(AH$6="","",IF(WEEKDAY(AH$6,1)=1,AH9*AH8,0))</f>
      </c>
      <c r="AI12" s="26">
        <f>IF(AI$6="","",IF(WEEKDAY(AI$6,1)=1,AI9*AI8,0))</f>
      </c>
      <c r="AJ12" s="26">
        <f>IF(AJ$6="","",IF(WEEKDAY(AJ$6,1)=1,AJ9*AJ8,0))</f>
      </c>
      <c r="AK12" s="26">
        <f>IF(AK$6="","",IF(WEEKDAY(AK$6,1)=1,AK9*AK8,0))</f>
      </c>
      <c r="AL12" s="26">
        <f>IF(AL$6="","",IF(WEEKDAY(AL$6,1)=1,AL9*AL8,0))</f>
      </c>
      <c r="AM12" s="26">
        <f>IF(AM$6="","",IF(WEEKDAY(AM$6,1)=1,AM9*AM8,0))</f>
      </c>
      <c r="AN12" s="26">
        <f>IF(AN$6="","",IF(WEEKDAY(AN$6,1)=1,AN9*AN8,0))</f>
      </c>
      <c r="AO12" s="26">
        <f>IF(AO$6="","",IF(WEEKDAY(AO$6,1)=1,AO9*AO8,0))</f>
      </c>
      <c r="AP12" s="26">
        <f>IF(AP$6="","",IF(WEEKDAY(AP$6,1)=1,AP9*AP8,0))</f>
      </c>
      <c r="AQ12" s="26">
        <f>IF(AQ$6="","",IF(WEEKDAY(AQ$6,1)=1,AQ9*AQ8,0))</f>
      </c>
      <c r="CX12" s="8" t="s">
        <v>54</v>
      </c>
    </row>
    <row r="13" spans="2:102" x14ac:dyDescent="0.25">
      <c r="B13" s="26">
        <f>SUM(L13:AQ13)</f>
      </c>
      <c r="D13" s="27">
        <f>B13*E13</f>
      </c>
      <c r="E13" s="27">
        <v>130</v>
      </c>
      <c r="F13" s="8" t="s">
        <v>40</v>
      </c>
      <c r="L13" s="28">
        <v>2</v>
      </c>
      <c r="M13" s="28">
        <v>2</v>
      </c>
      <c r="N13" s="28">
        <v>2</v>
      </c>
      <c r="O13" s="28">
        <v>2</v>
      </c>
      <c r="P13" s="28">
        <v>2</v>
      </c>
      <c r="Q13" s="28">
        <v>0</v>
      </c>
      <c r="R13" s="28">
        <v>0</v>
      </c>
      <c r="S13" s="28">
        <v>2</v>
      </c>
      <c r="T13" s="28">
        <v>2</v>
      </c>
      <c r="U13" s="28">
        <v>2</v>
      </c>
      <c r="V13" s="28">
        <v>2</v>
      </c>
      <c r="W13" s="28">
        <v>2</v>
      </c>
      <c r="X13" s="28">
        <v>2</v>
      </c>
      <c r="Y13" s="28">
        <v>2</v>
      </c>
      <c r="Z13" s="28">
        <v>2</v>
      </c>
      <c r="AA13" s="28">
        <v>2</v>
      </c>
      <c r="AB13" s="28">
        <v>2</v>
      </c>
      <c r="AC13" s="28">
        <v>2</v>
      </c>
      <c r="AD13" s="28">
        <v>2</v>
      </c>
      <c r="AE13" s="28">
        <v>2</v>
      </c>
      <c r="AF13" s="28">
        <v>2</v>
      </c>
      <c r="AG13" s="28">
        <v>2</v>
      </c>
      <c r="AH13" s="28">
        <v>2</v>
      </c>
      <c r="AI13" s="28">
        <v>2</v>
      </c>
      <c r="AJ13" s="28">
        <v>1</v>
      </c>
      <c r="AK13" s="28">
        <v>1</v>
      </c>
      <c r="AL13" s="28">
        <v>0</v>
      </c>
      <c r="AM13" s="28">
        <v>0</v>
      </c>
      <c r="AN13" s="28">
        <v>1</v>
      </c>
      <c r="AO13" s="28">
        <v>1</v>
      </c>
      <c r="AP13" s="28">
        <v>1</v>
      </c>
      <c r="AQ13" s="28">
        <v>1</v>
      </c>
      <c r="CX13" s="8" t="s">
        <v>54</v>
      </c>
    </row>
    <row r="14" spans="1:102" x14ac:dyDescent="0.25">
      <c r="A14" s="20" t="s">
        <v>41</v>
      </c>
      <c r="B14" s="21">
        <f>G14+H14+I14</f>
      </c>
      <c r="C14" s="20" t="s">
        <v>53</v>
      </c>
      <c r="D14" s="22">
        <f>K14</f>
      </c>
      <c r="F14" s="20" t="s">
        <v>32</v>
      </c>
      <c r="G14" s="21">
        <f>B17</f>
      </c>
      <c r="H14" s="21">
        <f>B18</f>
      </c>
      <c r="I14" s="21">
        <f>B19</f>
      </c>
      <c r="J14" s="21">
        <f>B20</f>
      </c>
      <c r="K14" s="22">
        <f>D17+D18+D19</f>
      </c>
      <c r="CX14" s="20" t="s">
        <v>55</v>
      </c>
    </row>
    <row r="15" spans="6:102" x14ac:dyDescent="0.25">
      <c r="F15" s="23" t="s">
        <v>34</v>
      </c>
      <c r="L15" s="24">
        <v>2</v>
      </c>
      <c r="M15" s="24">
        <v>2</v>
      </c>
      <c r="N15" s="24">
        <v>2</v>
      </c>
      <c r="O15" s="24">
        <v>2</v>
      </c>
      <c r="P15" s="24">
        <v>2</v>
      </c>
      <c r="Q15" s="24">
        <v>0</v>
      </c>
      <c r="R15" s="24">
        <v>0</v>
      </c>
      <c r="S15" s="24">
        <v>2</v>
      </c>
      <c r="T15" s="24">
        <v>2</v>
      </c>
      <c r="U15" s="24">
        <v>2</v>
      </c>
      <c r="V15" s="24">
        <v>2</v>
      </c>
      <c r="W15" s="24">
        <v>2</v>
      </c>
      <c r="X15" s="24">
        <v>2</v>
      </c>
      <c r="Y15" s="24">
        <v>2</v>
      </c>
      <c r="Z15" s="24">
        <v>2</v>
      </c>
      <c r="AA15" s="24">
        <v>2</v>
      </c>
      <c r="AB15" s="24">
        <v>2</v>
      </c>
      <c r="AC15" s="24">
        <v>2</v>
      </c>
      <c r="AD15" s="24">
        <v>2</v>
      </c>
      <c r="AE15" s="24">
        <v>2</v>
      </c>
      <c r="AF15" s="24">
        <v>2</v>
      </c>
      <c r="AG15" s="24">
        <v>2</v>
      </c>
      <c r="AH15" s="24">
        <v>2</v>
      </c>
      <c r="AI15" s="24">
        <v>2</v>
      </c>
      <c r="AJ15" s="24">
        <v>0</v>
      </c>
      <c r="AK15" s="24">
        <v>0</v>
      </c>
      <c r="AL15" s="24">
        <v>0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CX15" s="23" t="s">
        <v>55</v>
      </c>
    </row>
    <row r="16" spans="1:102" x14ac:dyDescent="0.25">
      <c r="A16" s="23" t="s">
        <v>35</v>
      </c>
      <c r="F16" s="23" t="s">
        <v>36</v>
      </c>
      <c r="L16" s="25">
        <v>8</v>
      </c>
      <c r="M16" s="25">
        <v>8</v>
      </c>
      <c r="N16" s="25">
        <v>8</v>
      </c>
      <c r="O16" s="25">
        <v>8</v>
      </c>
      <c r="P16" s="25">
        <v>8</v>
      </c>
      <c r="Q16" s="25">
        <v>0</v>
      </c>
      <c r="R16" s="25">
        <v>0</v>
      </c>
      <c r="S16" s="25">
        <v>8</v>
      </c>
      <c r="T16" s="25">
        <v>8</v>
      </c>
      <c r="U16" s="25">
        <v>8</v>
      </c>
      <c r="V16" s="25">
        <v>12</v>
      </c>
      <c r="W16" s="25">
        <v>12</v>
      </c>
      <c r="X16" s="25">
        <v>12</v>
      </c>
      <c r="Y16" s="25">
        <v>12</v>
      </c>
      <c r="Z16" s="25">
        <v>12</v>
      </c>
      <c r="AA16" s="25">
        <v>12</v>
      </c>
      <c r="AB16" s="25">
        <v>12</v>
      </c>
      <c r="AC16" s="25">
        <v>12</v>
      </c>
      <c r="AD16" s="25">
        <v>12</v>
      </c>
      <c r="AE16" s="25">
        <v>12</v>
      </c>
      <c r="AF16" s="25">
        <v>12</v>
      </c>
      <c r="AG16" s="25">
        <v>12</v>
      </c>
      <c r="AH16" s="25">
        <v>12</v>
      </c>
      <c r="AI16" s="25">
        <v>12</v>
      </c>
      <c r="AJ16" s="25">
        <v>0</v>
      </c>
      <c r="AK16" s="25">
        <v>0</v>
      </c>
      <c r="AL16" s="25">
        <v>0</v>
      </c>
      <c r="AM16" s="25">
        <v>0</v>
      </c>
      <c r="AN16" s="25">
        <v>0</v>
      </c>
      <c r="AO16" s="25">
        <v>0</v>
      </c>
      <c r="AP16" s="25">
        <v>0</v>
      </c>
      <c r="AQ16" s="25">
        <v>0</v>
      </c>
      <c r="CX16" s="23" t="s">
        <v>55</v>
      </c>
    </row>
    <row r="17" spans="2:102" x14ac:dyDescent="0.25">
      <c r="B17" s="26">
        <f>SUM(L17:AQ17)</f>
      </c>
      <c r="D17" s="27">
        <f>B17*E17</f>
      </c>
      <c r="E17" s="27">
        <f>'Rate Tables'!C11</f>
      </c>
      <c r="F17" s="8" t="s">
        <v>37</v>
      </c>
      <c r="L17" s="26">
        <f>IF(L$6="","",IF(OR(WEEKDAY(L$6,1)=1,WEEKDAY(L$6,1)=7),0,MIN(8,L16)*L15))</f>
      </c>
      <c r="M17" s="26">
        <f>IF(M$6="","",IF(OR(WEEKDAY(M$6,1)=1,WEEKDAY(M$6,1)=7),0,MIN(8,M16)*M15))</f>
      </c>
      <c r="N17" s="26">
        <f>IF(N$6="","",IF(OR(WEEKDAY(N$6,1)=1,WEEKDAY(N$6,1)=7),0,MIN(8,N16)*N15))</f>
      </c>
      <c r="O17" s="26">
        <f>IF(O$6="","",IF(OR(WEEKDAY(O$6,1)=1,WEEKDAY(O$6,1)=7),0,MIN(8,O16)*O15))</f>
      </c>
      <c r="P17" s="26">
        <f>IF(P$6="","",IF(OR(WEEKDAY(P$6,1)=1,WEEKDAY(P$6,1)=7),0,MIN(8,P16)*P15))</f>
      </c>
      <c r="Q17" s="26">
        <f>IF(Q$6="","",IF(OR(WEEKDAY(Q$6,1)=1,WEEKDAY(Q$6,1)=7),0,MIN(8,Q16)*Q15))</f>
      </c>
      <c r="R17" s="26">
        <f>IF(R$6="","",IF(OR(WEEKDAY(R$6,1)=1,WEEKDAY(R$6,1)=7),0,MIN(8,R16)*R15))</f>
      </c>
      <c r="S17" s="26">
        <f>IF(S$6="","",IF(OR(WEEKDAY(S$6,1)=1,WEEKDAY(S$6,1)=7),0,MIN(8,S16)*S15))</f>
      </c>
      <c r="T17" s="26">
        <f>IF(T$6="","",IF(OR(WEEKDAY(T$6,1)=1,WEEKDAY(T$6,1)=7),0,MIN(8,T16)*T15))</f>
      </c>
      <c r="U17" s="26">
        <f>IF(U$6="","",IF(OR(WEEKDAY(U$6,1)=1,WEEKDAY(U$6,1)=7),0,MIN(8,U16)*U15))</f>
      </c>
      <c r="V17" s="26">
        <f>IF(V$6="","",IF(OR(WEEKDAY(V$6,1)=1,WEEKDAY(V$6,1)=7),0,MIN(8,V16)*V15))</f>
      </c>
      <c r="W17" s="26">
        <f>IF(W$6="","",IF(OR(WEEKDAY(W$6,1)=1,WEEKDAY(W$6,1)=7),0,MIN(8,W16)*W15))</f>
      </c>
      <c r="X17" s="26">
        <f>IF(X$6="","",IF(OR(WEEKDAY(X$6,1)=1,WEEKDAY(X$6,1)=7),0,MIN(8,X16)*X15))</f>
      </c>
      <c r="Y17" s="26">
        <f>IF(Y$6="","",IF(OR(WEEKDAY(Y$6,1)=1,WEEKDAY(Y$6,1)=7),0,MIN(8,Y16)*Y15))</f>
      </c>
      <c r="Z17" s="26">
        <f>IF(Z$6="","",IF(OR(WEEKDAY(Z$6,1)=1,WEEKDAY(Z$6,1)=7),0,MIN(8,Z16)*Z15))</f>
      </c>
      <c r="AA17" s="26">
        <f>IF(AA$6="","",IF(OR(WEEKDAY(AA$6,1)=1,WEEKDAY(AA$6,1)=7),0,MIN(8,AA16)*AA15))</f>
      </c>
      <c r="AB17" s="26">
        <f>IF(AB$6="","",IF(OR(WEEKDAY(AB$6,1)=1,WEEKDAY(AB$6,1)=7),0,MIN(8,AB16)*AB15))</f>
      </c>
      <c r="AC17" s="26">
        <f>IF(AC$6="","",IF(OR(WEEKDAY(AC$6,1)=1,WEEKDAY(AC$6,1)=7),0,MIN(8,AC16)*AC15))</f>
      </c>
      <c r="AD17" s="26">
        <f>IF(AD$6="","",IF(OR(WEEKDAY(AD$6,1)=1,WEEKDAY(AD$6,1)=7),0,MIN(8,AD16)*AD15))</f>
      </c>
      <c r="AE17" s="26">
        <f>IF(AE$6="","",IF(OR(WEEKDAY(AE$6,1)=1,WEEKDAY(AE$6,1)=7),0,MIN(8,AE16)*AE15))</f>
      </c>
      <c r="AF17" s="26">
        <f>IF(AF$6="","",IF(OR(WEEKDAY(AF$6,1)=1,WEEKDAY(AF$6,1)=7),0,MIN(8,AF16)*AF15))</f>
      </c>
      <c r="AG17" s="26">
        <f>IF(AG$6="","",IF(OR(WEEKDAY(AG$6,1)=1,WEEKDAY(AG$6,1)=7),0,MIN(8,AG16)*AG15))</f>
      </c>
      <c r="AH17" s="26">
        <f>IF(AH$6="","",IF(OR(WEEKDAY(AH$6,1)=1,WEEKDAY(AH$6,1)=7),0,MIN(8,AH16)*AH15))</f>
      </c>
      <c r="AI17" s="26">
        <f>IF(AI$6="","",IF(OR(WEEKDAY(AI$6,1)=1,WEEKDAY(AI$6,1)=7),0,MIN(8,AI16)*AI15))</f>
      </c>
      <c r="AJ17" s="26">
        <f>IF(AJ$6="","",IF(OR(WEEKDAY(AJ$6,1)=1,WEEKDAY(AJ$6,1)=7),0,MIN(8,AJ16)*AJ15))</f>
      </c>
      <c r="AK17" s="26">
        <f>IF(AK$6="","",IF(OR(WEEKDAY(AK$6,1)=1,WEEKDAY(AK$6,1)=7),0,MIN(8,AK16)*AK15))</f>
      </c>
      <c r="AL17" s="26">
        <f>IF(AL$6="","",IF(OR(WEEKDAY(AL$6,1)=1,WEEKDAY(AL$6,1)=7),0,MIN(8,AL16)*AL15))</f>
      </c>
      <c r="AM17" s="26">
        <f>IF(AM$6="","",IF(OR(WEEKDAY(AM$6,1)=1,WEEKDAY(AM$6,1)=7),0,MIN(8,AM16)*AM15))</f>
      </c>
      <c r="AN17" s="26">
        <f>IF(AN$6="","",IF(OR(WEEKDAY(AN$6,1)=1,WEEKDAY(AN$6,1)=7),0,MIN(8,AN16)*AN15))</f>
      </c>
      <c r="AO17" s="26">
        <f>IF(AO$6="","",IF(OR(WEEKDAY(AO$6,1)=1,WEEKDAY(AO$6,1)=7),0,MIN(8,AO16)*AO15))</f>
      </c>
      <c r="AP17" s="26">
        <f>IF(AP$6="","",IF(OR(WEEKDAY(AP$6,1)=1,WEEKDAY(AP$6,1)=7),0,MIN(8,AP16)*AP15))</f>
      </c>
      <c r="AQ17" s="26">
        <f>IF(AQ$6="","",IF(OR(WEEKDAY(AQ$6,1)=1,WEEKDAY(AQ$6,1)=7),0,MIN(8,AQ16)*AQ15))</f>
      </c>
      <c r="CX17" s="8" t="s">
        <v>55</v>
      </c>
    </row>
    <row r="18" spans="2:102" x14ac:dyDescent="0.25">
      <c r="B18" s="26">
        <f>SUM(L18:AQ18)</f>
      </c>
      <c r="D18" s="27">
        <f>B18*E18</f>
      </c>
      <c r="E18" s="27">
        <f>'Rate Tables'!D11</f>
      </c>
      <c r="F18" s="8" t="s">
        <v>38</v>
      </c>
      <c r="L18" s="26">
        <f>IF(L$6="","",IF(WEEKDAY(L$6,1)=1,0,IF(WEEKDAY(L$6,1)=7,L16*L15,MAX(0,L16-8)*L15)))</f>
      </c>
      <c r="M18" s="26">
        <f>IF(M$6="","",IF(WEEKDAY(M$6,1)=1,0,IF(WEEKDAY(M$6,1)=7,M16*M15,MAX(0,M16-8)*M15)))</f>
      </c>
      <c r="N18" s="26">
        <f>IF(N$6="","",IF(WEEKDAY(N$6,1)=1,0,IF(WEEKDAY(N$6,1)=7,N16*N15,MAX(0,N16-8)*N15)))</f>
      </c>
      <c r="O18" s="26">
        <f>IF(O$6="","",IF(WEEKDAY(O$6,1)=1,0,IF(WEEKDAY(O$6,1)=7,O16*O15,MAX(0,O16-8)*O15)))</f>
      </c>
      <c r="P18" s="26">
        <f>IF(P$6="","",IF(WEEKDAY(P$6,1)=1,0,IF(WEEKDAY(P$6,1)=7,P16*P15,MAX(0,P16-8)*P15)))</f>
      </c>
      <c r="Q18" s="26">
        <f>IF(Q$6="","",IF(WEEKDAY(Q$6,1)=1,0,IF(WEEKDAY(Q$6,1)=7,Q16*Q15,MAX(0,Q16-8)*Q15)))</f>
      </c>
      <c r="R18" s="26">
        <f>IF(R$6="","",IF(WEEKDAY(R$6,1)=1,0,IF(WEEKDAY(R$6,1)=7,R16*R15,MAX(0,R16-8)*R15)))</f>
      </c>
      <c r="S18" s="26">
        <f>IF(S$6="","",IF(WEEKDAY(S$6,1)=1,0,IF(WEEKDAY(S$6,1)=7,S16*S15,MAX(0,S16-8)*S15)))</f>
      </c>
      <c r="T18" s="26">
        <f>IF(T$6="","",IF(WEEKDAY(T$6,1)=1,0,IF(WEEKDAY(T$6,1)=7,T16*T15,MAX(0,T16-8)*T15)))</f>
      </c>
      <c r="U18" s="26">
        <f>IF(U$6="","",IF(WEEKDAY(U$6,1)=1,0,IF(WEEKDAY(U$6,1)=7,U16*U15,MAX(0,U16-8)*U15)))</f>
      </c>
      <c r="V18" s="26">
        <f>IF(V$6="","",IF(WEEKDAY(V$6,1)=1,0,IF(WEEKDAY(V$6,1)=7,V16*V15,MAX(0,V16-8)*V15)))</f>
      </c>
      <c r="W18" s="26">
        <f>IF(W$6="","",IF(WEEKDAY(W$6,1)=1,0,IF(WEEKDAY(W$6,1)=7,W16*W15,MAX(0,W16-8)*W15)))</f>
      </c>
      <c r="X18" s="26">
        <f>IF(X$6="","",IF(WEEKDAY(X$6,1)=1,0,IF(WEEKDAY(X$6,1)=7,X16*X15,MAX(0,X16-8)*X15)))</f>
      </c>
      <c r="Y18" s="26">
        <f>IF(Y$6="","",IF(WEEKDAY(Y$6,1)=1,0,IF(WEEKDAY(Y$6,1)=7,Y16*Y15,MAX(0,Y16-8)*Y15)))</f>
      </c>
      <c r="Z18" s="26">
        <f>IF(Z$6="","",IF(WEEKDAY(Z$6,1)=1,0,IF(WEEKDAY(Z$6,1)=7,Z16*Z15,MAX(0,Z16-8)*Z15)))</f>
      </c>
      <c r="AA18" s="26">
        <f>IF(AA$6="","",IF(WEEKDAY(AA$6,1)=1,0,IF(WEEKDAY(AA$6,1)=7,AA16*AA15,MAX(0,AA16-8)*AA15)))</f>
      </c>
      <c r="AB18" s="26">
        <f>IF(AB$6="","",IF(WEEKDAY(AB$6,1)=1,0,IF(WEEKDAY(AB$6,1)=7,AB16*AB15,MAX(0,AB16-8)*AB15)))</f>
      </c>
      <c r="AC18" s="26">
        <f>IF(AC$6="","",IF(WEEKDAY(AC$6,1)=1,0,IF(WEEKDAY(AC$6,1)=7,AC16*AC15,MAX(0,AC16-8)*AC15)))</f>
      </c>
      <c r="AD18" s="26">
        <f>IF(AD$6="","",IF(WEEKDAY(AD$6,1)=1,0,IF(WEEKDAY(AD$6,1)=7,AD16*AD15,MAX(0,AD16-8)*AD15)))</f>
      </c>
      <c r="AE18" s="26">
        <f>IF(AE$6="","",IF(WEEKDAY(AE$6,1)=1,0,IF(WEEKDAY(AE$6,1)=7,AE16*AE15,MAX(0,AE16-8)*AE15)))</f>
      </c>
      <c r="AF18" s="26">
        <f>IF(AF$6="","",IF(WEEKDAY(AF$6,1)=1,0,IF(WEEKDAY(AF$6,1)=7,AF16*AF15,MAX(0,AF16-8)*AF15)))</f>
      </c>
      <c r="AG18" s="26">
        <f>IF(AG$6="","",IF(WEEKDAY(AG$6,1)=1,0,IF(WEEKDAY(AG$6,1)=7,AG16*AG15,MAX(0,AG16-8)*AG15)))</f>
      </c>
      <c r="AH18" s="26">
        <f>IF(AH$6="","",IF(WEEKDAY(AH$6,1)=1,0,IF(WEEKDAY(AH$6,1)=7,AH16*AH15,MAX(0,AH16-8)*AH15)))</f>
      </c>
      <c r="AI18" s="26">
        <f>IF(AI$6="","",IF(WEEKDAY(AI$6,1)=1,0,IF(WEEKDAY(AI$6,1)=7,AI16*AI15,MAX(0,AI16-8)*AI15)))</f>
      </c>
      <c r="AJ18" s="26">
        <f>IF(AJ$6="","",IF(WEEKDAY(AJ$6,1)=1,0,IF(WEEKDAY(AJ$6,1)=7,AJ16*AJ15,MAX(0,AJ16-8)*AJ15)))</f>
      </c>
      <c r="AK18" s="26">
        <f>IF(AK$6="","",IF(WEEKDAY(AK$6,1)=1,0,IF(WEEKDAY(AK$6,1)=7,AK16*AK15,MAX(0,AK16-8)*AK15)))</f>
      </c>
      <c r="AL18" s="26">
        <f>IF(AL$6="","",IF(WEEKDAY(AL$6,1)=1,0,IF(WEEKDAY(AL$6,1)=7,AL16*AL15,MAX(0,AL16-8)*AL15)))</f>
      </c>
      <c r="AM18" s="26">
        <f>IF(AM$6="","",IF(WEEKDAY(AM$6,1)=1,0,IF(WEEKDAY(AM$6,1)=7,AM16*AM15,MAX(0,AM16-8)*AM15)))</f>
      </c>
      <c r="AN18" s="26">
        <f>IF(AN$6="","",IF(WEEKDAY(AN$6,1)=1,0,IF(WEEKDAY(AN$6,1)=7,AN16*AN15,MAX(0,AN16-8)*AN15)))</f>
      </c>
      <c r="AO18" s="26">
        <f>IF(AO$6="","",IF(WEEKDAY(AO$6,1)=1,0,IF(WEEKDAY(AO$6,1)=7,AO16*AO15,MAX(0,AO16-8)*AO15)))</f>
      </c>
      <c r="AP18" s="26">
        <f>IF(AP$6="","",IF(WEEKDAY(AP$6,1)=1,0,IF(WEEKDAY(AP$6,1)=7,AP16*AP15,MAX(0,AP16-8)*AP15)))</f>
      </c>
      <c r="AQ18" s="26">
        <f>IF(AQ$6="","",IF(WEEKDAY(AQ$6,1)=1,0,IF(WEEKDAY(AQ$6,1)=7,AQ16*AQ15,MAX(0,AQ16-8)*AQ15)))</f>
      </c>
      <c r="CX18" s="8" t="s">
        <v>55</v>
      </c>
    </row>
    <row r="19" spans="2:102" x14ac:dyDescent="0.25">
      <c r="B19" s="26">
        <f>SUM(L19:AQ19)</f>
      </c>
      <c r="D19" s="27">
        <f>B19*E19</f>
      </c>
      <c r="E19" s="27">
        <f>'Rate Tables'!E11</f>
      </c>
      <c r="F19" s="8" t="s">
        <v>39</v>
      </c>
      <c r="L19" s="26">
        <f>IF(L$6="","",IF(WEEKDAY(L$6,1)=1,L16*L15,0))</f>
      </c>
      <c r="M19" s="26">
        <f>IF(M$6="","",IF(WEEKDAY(M$6,1)=1,M16*M15,0))</f>
      </c>
      <c r="N19" s="26">
        <f>IF(N$6="","",IF(WEEKDAY(N$6,1)=1,N16*N15,0))</f>
      </c>
      <c r="O19" s="26">
        <f>IF(O$6="","",IF(WEEKDAY(O$6,1)=1,O16*O15,0))</f>
      </c>
      <c r="P19" s="26">
        <f>IF(P$6="","",IF(WEEKDAY(P$6,1)=1,P16*P15,0))</f>
      </c>
      <c r="Q19" s="26">
        <f>IF(Q$6="","",IF(WEEKDAY(Q$6,1)=1,Q16*Q15,0))</f>
      </c>
      <c r="R19" s="26">
        <f>IF(R$6="","",IF(WEEKDAY(R$6,1)=1,R16*R15,0))</f>
      </c>
      <c r="S19" s="26">
        <f>IF(S$6="","",IF(WEEKDAY(S$6,1)=1,S16*S15,0))</f>
      </c>
      <c r="T19" s="26">
        <f>IF(T$6="","",IF(WEEKDAY(T$6,1)=1,T16*T15,0))</f>
      </c>
      <c r="U19" s="26">
        <f>IF(U$6="","",IF(WEEKDAY(U$6,1)=1,U16*U15,0))</f>
      </c>
      <c r="V19" s="26">
        <f>IF(V$6="","",IF(WEEKDAY(V$6,1)=1,V16*V15,0))</f>
      </c>
      <c r="W19" s="26">
        <f>IF(W$6="","",IF(WEEKDAY(W$6,1)=1,W16*W15,0))</f>
      </c>
      <c r="X19" s="26">
        <f>IF(X$6="","",IF(WEEKDAY(X$6,1)=1,X16*X15,0))</f>
      </c>
      <c r="Y19" s="26">
        <f>IF(Y$6="","",IF(WEEKDAY(Y$6,1)=1,Y16*Y15,0))</f>
      </c>
      <c r="Z19" s="26">
        <f>IF(Z$6="","",IF(WEEKDAY(Z$6,1)=1,Z16*Z15,0))</f>
      </c>
      <c r="AA19" s="26">
        <f>IF(AA$6="","",IF(WEEKDAY(AA$6,1)=1,AA16*AA15,0))</f>
      </c>
      <c r="AB19" s="26">
        <f>IF(AB$6="","",IF(WEEKDAY(AB$6,1)=1,AB16*AB15,0))</f>
      </c>
      <c r="AC19" s="26">
        <f>IF(AC$6="","",IF(WEEKDAY(AC$6,1)=1,AC16*AC15,0))</f>
      </c>
      <c r="AD19" s="26">
        <f>IF(AD$6="","",IF(WEEKDAY(AD$6,1)=1,AD16*AD15,0))</f>
      </c>
      <c r="AE19" s="26">
        <f>IF(AE$6="","",IF(WEEKDAY(AE$6,1)=1,AE16*AE15,0))</f>
      </c>
      <c r="AF19" s="26">
        <f>IF(AF$6="","",IF(WEEKDAY(AF$6,1)=1,AF16*AF15,0))</f>
      </c>
      <c r="AG19" s="26">
        <f>IF(AG$6="","",IF(WEEKDAY(AG$6,1)=1,AG16*AG15,0))</f>
      </c>
      <c r="AH19" s="26">
        <f>IF(AH$6="","",IF(WEEKDAY(AH$6,1)=1,AH16*AH15,0))</f>
      </c>
      <c r="AI19" s="26">
        <f>IF(AI$6="","",IF(WEEKDAY(AI$6,1)=1,AI16*AI15,0))</f>
      </c>
      <c r="AJ19" s="26">
        <f>IF(AJ$6="","",IF(WEEKDAY(AJ$6,1)=1,AJ16*AJ15,0))</f>
      </c>
      <c r="AK19" s="26">
        <f>IF(AK$6="","",IF(WEEKDAY(AK$6,1)=1,AK16*AK15,0))</f>
      </c>
      <c r="AL19" s="26">
        <f>IF(AL$6="","",IF(WEEKDAY(AL$6,1)=1,AL16*AL15,0))</f>
      </c>
      <c r="AM19" s="26">
        <f>IF(AM$6="","",IF(WEEKDAY(AM$6,1)=1,AM16*AM15,0))</f>
      </c>
      <c r="AN19" s="26">
        <f>IF(AN$6="","",IF(WEEKDAY(AN$6,1)=1,AN16*AN15,0))</f>
      </c>
      <c r="AO19" s="26">
        <f>IF(AO$6="","",IF(WEEKDAY(AO$6,1)=1,AO16*AO15,0))</f>
      </c>
      <c r="AP19" s="26">
        <f>IF(AP$6="","",IF(WEEKDAY(AP$6,1)=1,AP16*AP15,0))</f>
      </c>
      <c r="AQ19" s="26">
        <f>IF(AQ$6="","",IF(WEEKDAY(AQ$6,1)=1,AQ16*AQ15,0))</f>
      </c>
      <c r="CX19" s="8" t="s">
        <v>55</v>
      </c>
    </row>
    <row r="20" spans="2:102" x14ac:dyDescent="0.25">
      <c r="B20" s="26">
        <f>SUM(L20:AQ20)</f>
      </c>
      <c r="D20" s="27">
        <f>B20*E20</f>
      </c>
      <c r="E20" s="27">
        <v>130</v>
      </c>
      <c r="F20" s="8" t="s">
        <v>40</v>
      </c>
      <c r="L20" s="28">
        <v>2</v>
      </c>
      <c r="M20" s="28">
        <v>2</v>
      </c>
      <c r="N20" s="28">
        <v>2</v>
      </c>
      <c r="O20" s="28">
        <v>2</v>
      </c>
      <c r="P20" s="28">
        <v>2</v>
      </c>
      <c r="Q20" s="28">
        <v>0</v>
      </c>
      <c r="R20" s="28">
        <v>0</v>
      </c>
      <c r="S20" s="28">
        <v>2</v>
      </c>
      <c r="T20" s="28">
        <v>2</v>
      </c>
      <c r="U20" s="28">
        <v>2</v>
      </c>
      <c r="V20" s="28">
        <v>2</v>
      </c>
      <c r="W20" s="28">
        <v>2</v>
      </c>
      <c r="X20" s="28">
        <v>2</v>
      </c>
      <c r="Y20" s="28">
        <v>2</v>
      </c>
      <c r="Z20" s="28">
        <v>2</v>
      </c>
      <c r="AA20" s="28">
        <v>2</v>
      </c>
      <c r="AB20" s="28">
        <v>2</v>
      </c>
      <c r="AC20" s="28">
        <v>2</v>
      </c>
      <c r="AD20" s="28">
        <v>2</v>
      </c>
      <c r="AE20" s="28">
        <v>2</v>
      </c>
      <c r="AF20" s="28">
        <v>2</v>
      </c>
      <c r="AG20" s="28">
        <v>2</v>
      </c>
      <c r="AH20" s="28">
        <v>2</v>
      </c>
      <c r="AI20" s="28">
        <v>2</v>
      </c>
      <c r="AJ20" s="28">
        <v>0</v>
      </c>
      <c r="AK20" s="28">
        <v>0</v>
      </c>
      <c r="AL20" s="28">
        <v>0</v>
      </c>
      <c r="AM20" s="28">
        <v>0</v>
      </c>
      <c r="AN20" s="28">
        <v>0</v>
      </c>
      <c r="AO20" s="28">
        <v>0</v>
      </c>
      <c r="AP20" s="28">
        <v>0</v>
      </c>
      <c r="AQ20" s="28">
        <v>0</v>
      </c>
      <c r="CX20" s="8" t="s">
        <v>55</v>
      </c>
    </row>
    <row r="21" spans="1:11" x14ac:dyDescent="0.25">
      <c r="A21" s="14" t="s">
        <v>52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102" max="10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46269.72952778936</v>
      </c>
    </row>
    <row r="6" ht="20" customHeight="1" spans="1:43" x14ac:dyDescent="0.25">
      <c r="A6" s="7" t="s">
        <v>20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  <c r="G6" s="7" t="s">
        <v>26</v>
      </c>
      <c r="H6" s="7" t="s">
        <v>27</v>
      </c>
      <c r="I6" s="7" t="s">
        <v>28</v>
      </c>
      <c r="J6" s="7" t="s">
        <v>29</v>
      </c>
      <c r="K6" s="7" t="s">
        <v>12</v>
      </c>
      <c r="L6" s="19">
        <v>46286</v>
      </c>
      <c r="M6" s="19">
        <f>L6+1</f>
      </c>
      <c r="N6" s="19">
        <f>M6+1</f>
      </c>
      <c r="O6" s="19">
        <f>N6+1</f>
      </c>
      <c r="P6" s="19">
        <f>O6+1</f>
      </c>
      <c r="Q6" s="19">
        <f>P6+1</f>
      </c>
      <c r="R6" s="19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19">
        <f>W6+1</f>
      </c>
      <c r="Y6" s="19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19">
        <f>AD6+1</f>
      </c>
      <c r="AF6" s="19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19">
        <f>AK6+1</f>
      </c>
      <c r="AM6" s="19">
        <f>AL6+1</f>
      </c>
      <c r="AN6" s="19">
        <f>AM6+1</f>
      </c>
      <c r="AO6" s="19">
        <f>AN6+1</f>
      </c>
      <c r="AP6" s="19">
        <f>AO6+1</f>
      </c>
      <c r="AQ6" s="19">
        <f>AP6+1</f>
      </c>
    </row>
    <row r="7" spans="1:102" x14ac:dyDescent="0.25">
      <c r="A7" s="20" t="s">
        <v>30</v>
      </c>
      <c r="B7" s="21">
        <f>G7+H7+I7</f>
      </c>
      <c r="C7" s="20" t="s">
        <v>56</v>
      </c>
      <c r="D7" s="22">
        <f>K7</f>
      </c>
      <c r="F7" s="20" t="s">
        <v>32</v>
      </c>
      <c r="G7" s="21">
        <f>B10</f>
      </c>
      <c r="H7" s="21">
        <f>B11</f>
      </c>
      <c r="I7" s="21">
        <f>B12</f>
      </c>
      <c r="J7" s="21">
        <f>B13</f>
      </c>
      <c r="K7" s="22">
        <f>D10+D11+D12</f>
      </c>
      <c r="CX7" s="20" t="s">
        <v>57</v>
      </c>
    </row>
    <row r="8" spans="6:102" x14ac:dyDescent="0.25">
      <c r="F8" s="23" t="s">
        <v>34</v>
      </c>
      <c r="L8" s="24">
        <v>8</v>
      </c>
      <c r="M8" s="24">
        <v>8</v>
      </c>
      <c r="N8" s="24">
        <v>8</v>
      </c>
      <c r="O8" s="24">
        <v>8</v>
      </c>
      <c r="P8" s="24">
        <v>8</v>
      </c>
      <c r="Q8" s="24">
        <v>0</v>
      </c>
      <c r="R8" s="24">
        <v>0</v>
      </c>
      <c r="S8" s="24">
        <v>8</v>
      </c>
      <c r="T8" s="24">
        <v>8</v>
      </c>
      <c r="U8" s="24">
        <v>8</v>
      </c>
      <c r="V8" s="24">
        <v>18</v>
      </c>
      <c r="W8" s="24">
        <v>18</v>
      </c>
      <c r="X8" s="24">
        <v>18</v>
      </c>
      <c r="Y8" s="24">
        <v>18</v>
      </c>
      <c r="Z8" s="24">
        <v>18</v>
      </c>
      <c r="AA8" s="24">
        <v>18</v>
      </c>
      <c r="AB8" s="24">
        <v>18</v>
      </c>
      <c r="AC8" s="24">
        <v>18</v>
      </c>
      <c r="AD8" s="24">
        <v>18</v>
      </c>
      <c r="AE8" s="24">
        <v>18</v>
      </c>
      <c r="AF8" s="24">
        <v>18</v>
      </c>
      <c r="AG8" s="24">
        <v>18</v>
      </c>
      <c r="AH8" s="24">
        <v>18</v>
      </c>
      <c r="AI8" s="24">
        <v>18</v>
      </c>
      <c r="AJ8" s="24">
        <v>8</v>
      </c>
      <c r="AK8" s="24">
        <v>8</v>
      </c>
      <c r="AL8" s="24">
        <v>0</v>
      </c>
      <c r="AM8" s="24">
        <v>0</v>
      </c>
      <c r="AN8" s="24">
        <v>8</v>
      </c>
      <c r="AO8" s="24">
        <v>8</v>
      </c>
      <c r="AP8" s="24">
        <v>8</v>
      </c>
      <c r="AQ8" s="24">
        <v>8</v>
      </c>
      <c r="CX8" s="23" t="s">
        <v>57</v>
      </c>
    </row>
    <row r="9" spans="1:102" x14ac:dyDescent="0.25">
      <c r="A9" s="23" t="s">
        <v>35</v>
      </c>
      <c r="F9" s="23" t="s">
        <v>36</v>
      </c>
      <c r="L9" s="25">
        <v>8</v>
      </c>
      <c r="M9" s="25">
        <v>8</v>
      </c>
      <c r="N9" s="25">
        <v>8</v>
      </c>
      <c r="O9" s="25">
        <v>8</v>
      </c>
      <c r="P9" s="25">
        <v>8</v>
      </c>
      <c r="Q9" s="25">
        <v>0</v>
      </c>
      <c r="R9" s="25">
        <v>0</v>
      </c>
      <c r="S9" s="25">
        <v>8</v>
      </c>
      <c r="T9" s="25">
        <v>8</v>
      </c>
      <c r="U9" s="25">
        <v>8</v>
      </c>
      <c r="V9" s="25">
        <v>12</v>
      </c>
      <c r="W9" s="25">
        <v>12</v>
      </c>
      <c r="X9" s="25">
        <v>12</v>
      </c>
      <c r="Y9" s="25">
        <v>12</v>
      </c>
      <c r="Z9" s="25">
        <v>12</v>
      </c>
      <c r="AA9" s="25">
        <v>12</v>
      </c>
      <c r="AB9" s="25">
        <v>12</v>
      </c>
      <c r="AC9" s="25">
        <v>12</v>
      </c>
      <c r="AD9" s="25">
        <v>12</v>
      </c>
      <c r="AE9" s="25">
        <v>12</v>
      </c>
      <c r="AF9" s="25">
        <v>12</v>
      </c>
      <c r="AG9" s="25">
        <v>12</v>
      </c>
      <c r="AH9" s="25">
        <v>12</v>
      </c>
      <c r="AI9" s="25">
        <v>12</v>
      </c>
      <c r="AJ9" s="25">
        <v>8</v>
      </c>
      <c r="AK9" s="25">
        <v>8</v>
      </c>
      <c r="AL9" s="25">
        <v>0</v>
      </c>
      <c r="AM9" s="25">
        <v>0</v>
      </c>
      <c r="AN9" s="25">
        <v>8</v>
      </c>
      <c r="AO9" s="25">
        <v>8</v>
      </c>
      <c r="AP9" s="25">
        <v>8</v>
      </c>
      <c r="AQ9" s="25">
        <v>8</v>
      </c>
      <c r="CX9" s="23" t="s">
        <v>57</v>
      </c>
    </row>
    <row r="10" spans="2:102" x14ac:dyDescent="0.25">
      <c r="B10" s="26">
        <f>SUM(L10:AQ10)</f>
      </c>
      <c r="D10" s="27">
        <f>B10*E10</f>
      </c>
      <c r="E10" s="27">
        <f>'Rate Tables'!C12</f>
      </c>
      <c r="F10" s="8" t="s">
        <v>37</v>
      </c>
      <c r="L10" s="26">
        <f>IF(L$6="","",IF(OR(WEEKDAY(L$6,1)=1,WEEKDAY(L$6,1)=7),0,MIN(8,L9)*L8))</f>
      </c>
      <c r="M10" s="26">
        <f>IF(M$6="","",IF(OR(WEEKDAY(M$6,1)=1,WEEKDAY(M$6,1)=7),0,MIN(8,M9)*M8))</f>
      </c>
      <c r="N10" s="26">
        <f>IF(N$6="","",IF(OR(WEEKDAY(N$6,1)=1,WEEKDAY(N$6,1)=7),0,MIN(8,N9)*N8))</f>
      </c>
      <c r="O10" s="26">
        <f>IF(O$6="","",IF(OR(WEEKDAY(O$6,1)=1,WEEKDAY(O$6,1)=7),0,MIN(8,O9)*O8))</f>
      </c>
      <c r="P10" s="26">
        <f>IF(P$6="","",IF(OR(WEEKDAY(P$6,1)=1,WEEKDAY(P$6,1)=7),0,MIN(8,P9)*P8))</f>
      </c>
      <c r="Q10" s="26">
        <f>IF(Q$6="","",IF(OR(WEEKDAY(Q$6,1)=1,WEEKDAY(Q$6,1)=7),0,MIN(8,Q9)*Q8))</f>
      </c>
      <c r="R10" s="26">
        <f>IF(R$6="","",IF(OR(WEEKDAY(R$6,1)=1,WEEKDAY(R$6,1)=7),0,MIN(8,R9)*R8))</f>
      </c>
      <c r="S10" s="26">
        <f>IF(S$6="","",IF(OR(WEEKDAY(S$6,1)=1,WEEKDAY(S$6,1)=7),0,MIN(8,S9)*S8))</f>
      </c>
      <c r="T10" s="26">
        <f>IF(T$6="","",IF(OR(WEEKDAY(T$6,1)=1,WEEKDAY(T$6,1)=7),0,MIN(8,T9)*T8))</f>
      </c>
      <c r="U10" s="26">
        <f>IF(U$6="","",IF(OR(WEEKDAY(U$6,1)=1,WEEKDAY(U$6,1)=7),0,MIN(8,U9)*U8))</f>
      </c>
      <c r="V10" s="26">
        <f>IF(V$6="","",IF(OR(WEEKDAY(V$6,1)=1,WEEKDAY(V$6,1)=7),0,MIN(8,V9)*V8))</f>
      </c>
      <c r="W10" s="26">
        <f>IF(W$6="","",IF(OR(WEEKDAY(W$6,1)=1,WEEKDAY(W$6,1)=7),0,MIN(8,W9)*W8))</f>
      </c>
      <c r="X10" s="26">
        <f>IF(X$6="","",IF(OR(WEEKDAY(X$6,1)=1,WEEKDAY(X$6,1)=7),0,MIN(8,X9)*X8))</f>
      </c>
      <c r="Y10" s="26">
        <f>IF(Y$6="","",IF(OR(WEEKDAY(Y$6,1)=1,WEEKDAY(Y$6,1)=7),0,MIN(8,Y9)*Y8))</f>
      </c>
      <c r="Z10" s="26">
        <f>IF(Z$6="","",IF(OR(WEEKDAY(Z$6,1)=1,WEEKDAY(Z$6,1)=7),0,MIN(8,Z9)*Z8))</f>
      </c>
      <c r="AA10" s="26">
        <f>IF(AA$6="","",IF(OR(WEEKDAY(AA$6,1)=1,WEEKDAY(AA$6,1)=7),0,MIN(8,AA9)*AA8))</f>
      </c>
      <c r="AB10" s="26">
        <f>IF(AB$6="","",IF(OR(WEEKDAY(AB$6,1)=1,WEEKDAY(AB$6,1)=7),0,MIN(8,AB9)*AB8))</f>
      </c>
      <c r="AC10" s="26">
        <f>IF(AC$6="","",IF(OR(WEEKDAY(AC$6,1)=1,WEEKDAY(AC$6,1)=7),0,MIN(8,AC9)*AC8))</f>
      </c>
      <c r="AD10" s="26">
        <f>IF(AD$6="","",IF(OR(WEEKDAY(AD$6,1)=1,WEEKDAY(AD$6,1)=7),0,MIN(8,AD9)*AD8))</f>
      </c>
      <c r="AE10" s="26">
        <f>IF(AE$6="","",IF(OR(WEEKDAY(AE$6,1)=1,WEEKDAY(AE$6,1)=7),0,MIN(8,AE9)*AE8))</f>
      </c>
      <c r="AF10" s="26">
        <f>IF(AF$6="","",IF(OR(WEEKDAY(AF$6,1)=1,WEEKDAY(AF$6,1)=7),0,MIN(8,AF9)*AF8))</f>
      </c>
      <c r="AG10" s="26">
        <f>IF(AG$6="","",IF(OR(WEEKDAY(AG$6,1)=1,WEEKDAY(AG$6,1)=7),0,MIN(8,AG9)*AG8))</f>
      </c>
      <c r="AH10" s="26">
        <f>IF(AH$6="","",IF(OR(WEEKDAY(AH$6,1)=1,WEEKDAY(AH$6,1)=7),0,MIN(8,AH9)*AH8))</f>
      </c>
      <c r="AI10" s="26">
        <f>IF(AI$6="","",IF(OR(WEEKDAY(AI$6,1)=1,WEEKDAY(AI$6,1)=7),0,MIN(8,AI9)*AI8))</f>
      </c>
      <c r="AJ10" s="26">
        <f>IF(AJ$6="","",IF(OR(WEEKDAY(AJ$6,1)=1,WEEKDAY(AJ$6,1)=7),0,MIN(8,AJ9)*AJ8))</f>
      </c>
      <c r="AK10" s="26">
        <f>IF(AK$6="","",IF(OR(WEEKDAY(AK$6,1)=1,WEEKDAY(AK$6,1)=7),0,MIN(8,AK9)*AK8))</f>
      </c>
      <c r="AL10" s="26">
        <f>IF(AL$6="","",IF(OR(WEEKDAY(AL$6,1)=1,WEEKDAY(AL$6,1)=7),0,MIN(8,AL9)*AL8))</f>
      </c>
      <c r="AM10" s="26">
        <f>IF(AM$6="","",IF(OR(WEEKDAY(AM$6,1)=1,WEEKDAY(AM$6,1)=7),0,MIN(8,AM9)*AM8))</f>
      </c>
      <c r="AN10" s="26">
        <f>IF(AN$6="","",IF(OR(WEEKDAY(AN$6,1)=1,WEEKDAY(AN$6,1)=7),0,MIN(8,AN9)*AN8))</f>
      </c>
      <c r="AO10" s="26">
        <f>IF(AO$6="","",IF(OR(WEEKDAY(AO$6,1)=1,WEEKDAY(AO$6,1)=7),0,MIN(8,AO9)*AO8))</f>
      </c>
      <c r="AP10" s="26">
        <f>IF(AP$6="","",IF(OR(WEEKDAY(AP$6,1)=1,WEEKDAY(AP$6,1)=7),0,MIN(8,AP9)*AP8))</f>
      </c>
      <c r="AQ10" s="26">
        <f>IF(AQ$6="","",IF(OR(WEEKDAY(AQ$6,1)=1,WEEKDAY(AQ$6,1)=7),0,MIN(8,AQ9)*AQ8))</f>
      </c>
      <c r="CX10" s="8" t="s">
        <v>57</v>
      </c>
    </row>
    <row r="11" spans="2:102" x14ac:dyDescent="0.25">
      <c r="B11" s="26">
        <f>SUM(L11:AQ11)</f>
      </c>
      <c r="D11" s="27">
        <f>B11*E11</f>
      </c>
      <c r="E11" s="27">
        <f>'Rate Tables'!D12</f>
      </c>
      <c r="F11" s="8" t="s">
        <v>38</v>
      </c>
      <c r="L11" s="26">
        <f>IF(L$6="","",IF(WEEKDAY(L$6,1)=1,0,IF(WEEKDAY(L$6,1)=7,L9*L8,MAX(0,L9-8)*L8)))</f>
      </c>
      <c r="M11" s="26">
        <f>IF(M$6="","",IF(WEEKDAY(M$6,1)=1,0,IF(WEEKDAY(M$6,1)=7,M9*M8,MAX(0,M9-8)*M8)))</f>
      </c>
      <c r="N11" s="26">
        <f>IF(N$6="","",IF(WEEKDAY(N$6,1)=1,0,IF(WEEKDAY(N$6,1)=7,N9*N8,MAX(0,N9-8)*N8)))</f>
      </c>
      <c r="O11" s="26">
        <f>IF(O$6="","",IF(WEEKDAY(O$6,1)=1,0,IF(WEEKDAY(O$6,1)=7,O9*O8,MAX(0,O9-8)*O8)))</f>
      </c>
      <c r="P11" s="26">
        <f>IF(P$6="","",IF(WEEKDAY(P$6,1)=1,0,IF(WEEKDAY(P$6,1)=7,P9*P8,MAX(0,P9-8)*P8)))</f>
      </c>
      <c r="Q11" s="26">
        <f>IF(Q$6="","",IF(WEEKDAY(Q$6,1)=1,0,IF(WEEKDAY(Q$6,1)=7,Q9*Q8,MAX(0,Q9-8)*Q8)))</f>
      </c>
      <c r="R11" s="26">
        <f>IF(R$6="","",IF(WEEKDAY(R$6,1)=1,0,IF(WEEKDAY(R$6,1)=7,R9*R8,MAX(0,R9-8)*R8)))</f>
      </c>
      <c r="S11" s="26">
        <f>IF(S$6="","",IF(WEEKDAY(S$6,1)=1,0,IF(WEEKDAY(S$6,1)=7,S9*S8,MAX(0,S9-8)*S8)))</f>
      </c>
      <c r="T11" s="26">
        <f>IF(T$6="","",IF(WEEKDAY(T$6,1)=1,0,IF(WEEKDAY(T$6,1)=7,T9*T8,MAX(0,T9-8)*T8)))</f>
      </c>
      <c r="U11" s="26">
        <f>IF(U$6="","",IF(WEEKDAY(U$6,1)=1,0,IF(WEEKDAY(U$6,1)=7,U9*U8,MAX(0,U9-8)*U8)))</f>
      </c>
      <c r="V11" s="26">
        <f>IF(V$6="","",IF(WEEKDAY(V$6,1)=1,0,IF(WEEKDAY(V$6,1)=7,V9*V8,MAX(0,V9-8)*V8)))</f>
      </c>
      <c r="W11" s="26">
        <f>IF(W$6="","",IF(WEEKDAY(W$6,1)=1,0,IF(WEEKDAY(W$6,1)=7,W9*W8,MAX(0,W9-8)*W8)))</f>
      </c>
      <c r="X11" s="26">
        <f>IF(X$6="","",IF(WEEKDAY(X$6,1)=1,0,IF(WEEKDAY(X$6,1)=7,X9*X8,MAX(0,X9-8)*X8)))</f>
      </c>
      <c r="Y11" s="26">
        <f>IF(Y$6="","",IF(WEEKDAY(Y$6,1)=1,0,IF(WEEKDAY(Y$6,1)=7,Y9*Y8,MAX(0,Y9-8)*Y8)))</f>
      </c>
      <c r="Z11" s="26">
        <f>IF(Z$6="","",IF(WEEKDAY(Z$6,1)=1,0,IF(WEEKDAY(Z$6,1)=7,Z9*Z8,MAX(0,Z9-8)*Z8)))</f>
      </c>
      <c r="AA11" s="26">
        <f>IF(AA$6="","",IF(WEEKDAY(AA$6,1)=1,0,IF(WEEKDAY(AA$6,1)=7,AA9*AA8,MAX(0,AA9-8)*AA8)))</f>
      </c>
      <c r="AB11" s="26">
        <f>IF(AB$6="","",IF(WEEKDAY(AB$6,1)=1,0,IF(WEEKDAY(AB$6,1)=7,AB9*AB8,MAX(0,AB9-8)*AB8)))</f>
      </c>
      <c r="AC11" s="26">
        <f>IF(AC$6="","",IF(WEEKDAY(AC$6,1)=1,0,IF(WEEKDAY(AC$6,1)=7,AC9*AC8,MAX(0,AC9-8)*AC8)))</f>
      </c>
      <c r="AD11" s="26">
        <f>IF(AD$6="","",IF(WEEKDAY(AD$6,1)=1,0,IF(WEEKDAY(AD$6,1)=7,AD9*AD8,MAX(0,AD9-8)*AD8)))</f>
      </c>
      <c r="AE11" s="26">
        <f>IF(AE$6="","",IF(WEEKDAY(AE$6,1)=1,0,IF(WEEKDAY(AE$6,1)=7,AE9*AE8,MAX(0,AE9-8)*AE8)))</f>
      </c>
      <c r="AF11" s="26">
        <f>IF(AF$6="","",IF(WEEKDAY(AF$6,1)=1,0,IF(WEEKDAY(AF$6,1)=7,AF9*AF8,MAX(0,AF9-8)*AF8)))</f>
      </c>
      <c r="AG11" s="26">
        <f>IF(AG$6="","",IF(WEEKDAY(AG$6,1)=1,0,IF(WEEKDAY(AG$6,1)=7,AG9*AG8,MAX(0,AG9-8)*AG8)))</f>
      </c>
      <c r="AH11" s="26">
        <f>IF(AH$6="","",IF(WEEKDAY(AH$6,1)=1,0,IF(WEEKDAY(AH$6,1)=7,AH9*AH8,MAX(0,AH9-8)*AH8)))</f>
      </c>
      <c r="AI11" s="26">
        <f>IF(AI$6="","",IF(WEEKDAY(AI$6,1)=1,0,IF(WEEKDAY(AI$6,1)=7,AI9*AI8,MAX(0,AI9-8)*AI8)))</f>
      </c>
      <c r="AJ11" s="26">
        <f>IF(AJ$6="","",IF(WEEKDAY(AJ$6,1)=1,0,IF(WEEKDAY(AJ$6,1)=7,AJ9*AJ8,MAX(0,AJ9-8)*AJ8)))</f>
      </c>
      <c r="AK11" s="26">
        <f>IF(AK$6="","",IF(WEEKDAY(AK$6,1)=1,0,IF(WEEKDAY(AK$6,1)=7,AK9*AK8,MAX(0,AK9-8)*AK8)))</f>
      </c>
      <c r="AL11" s="26">
        <f>IF(AL$6="","",IF(WEEKDAY(AL$6,1)=1,0,IF(WEEKDAY(AL$6,1)=7,AL9*AL8,MAX(0,AL9-8)*AL8)))</f>
      </c>
      <c r="AM11" s="26">
        <f>IF(AM$6="","",IF(WEEKDAY(AM$6,1)=1,0,IF(WEEKDAY(AM$6,1)=7,AM9*AM8,MAX(0,AM9-8)*AM8)))</f>
      </c>
      <c r="AN11" s="26">
        <f>IF(AN$6="","",IF(WEEKDAY(AN$6,1)=1,0,IF(WEEKDAY(AN$6,1)=7,AN9*AN8,MAX(0,AN9-8)*AN8)))</f>
      </c>
      <c r="AO11" s="26">
        <f>IF(AO$6="","",IF(WEEKDAY(AO$6,1)=1,0,IF(WEEKDAY(AO$6,1)=7,AO9*AO8,MAX(0,AO9-8)*AO8)))</f>
      </c>
      <c r="AP11" s="26">
        <f>IF(AP$6="","",IF(WEEKDAY(AP$6,1)=1,0,IF(WEEKDAY(AP$6,1)=7,AP9*AP8,MAX(0,AP9-8)*AP8)))</f>
      </c>
      <c r="AQ11" s="26">
        <f>IF(AQ$6="","",IF(WEEKDAY(AQ$6,1)=1,0,IF(WEEKDAY(AQ$6,1)=7,AQ9*AQ8,MAX(0,AQ9-8)*AQ8)))</f>
      </c>
      <c r="CX11" s="8" t="s">
        <v>57</v>
      </c>
    </row>
    <row r="12" spans="2:102" x14ac:dyDescent="0.25">
      <c r="B12" s="26">
        <f>SUM(L12:AQ12)</f>
      </c>
      <c r="D12" s="27">
        <f>B12*E12</f>
      </c>
      <c r="E12" s="27">
        <f>'Rate Tables'!E12</f>
      </c>
      <c r="F12" s="8" t="s">
        <v>39</v>
      </c>
      <c r="L12" s="26">
        <f>IF(L$6="","",IF(WEEKDAY(L$6,1)=1,L9*L8,0))</f>
      </c>
      <c r="M12" s="26">
        <f>IF(M$6="","",IF(WEEKDAY(M$6,1)=1,M9*M8,0))</f>
      </c>
      <c r="N12" s="26">
        <f>IF(N$6="","",IF(WEEKDAY(N$6,1)=1,N9*N8,0))</f>
      </c>
      <c r="O12" s="26">
        <f>IF(O$6="","",IF(WEEKDAY(O$6,1)=1,O9*O8,0))</f>
      </c>
      <c r="P12" s="26">
        <f>IF(P$6="","",IF(WEEKDAY(P$6,1)=1,P9*P8,0))</f>
      </c>
      <c r="Q12" s="26">
        <f>IF(Q$6="","",IF(WEEKDAY(Q$6,1)=1,Q9*Q8,0))</f>
      </c>
      <c r="R12" s="26">
        <f>IF(R$6="","",IF(WEEKDAY(R$6,1)=1,R9*R8,0))</f>
      </c>
      <c r="S12" s="26">
        <f>IF(S$6="","",IF(WEEKDAY(S$6,1)=1,S9*S8,0))</f>
      </c>
      <c r="T12" s="26">
        <f>IF(T$6="","",IF(WEEKDAY(T$6,1)=1,T9*T8,0))</f>
      </c>
      <c r="U12" s="26">
        <f>IF(U$6="","",IF(WEEKDAY(U$6,1)=1,U9*U8,0))</f>
      </c>
      <c r="V12" s="26">
        <f>IF(V$6="","",IF(WEEKDAY(V$6,1)=1,V9*V8,0))</f>
      </c>
      <c r="W12" s="26">
        <f>IF(W$6="","",IF(WEEKDAY(W$6,1)=1,W9*W8,0))</f>
      </c>
      <c r="X12" s="26">
        <f>IF(X$6="","",IF(WEEKDAY(X$6,1)=1,X9*X8,0))</f>
      </c>
      <c r="Y12" s="26">
        <f>IF(Y$6="","",IF(WEEKDAY(Y$6,1)=1,Y9*Y8,0))</f>
      </c>
      <c r="Z12" s="26">
        <f>IF(Z$6="","",IF(WEEKDAY(Z$6,1)=1,Z9*Z8,0))</f>
      </c>
      <c r="AA12" s="26">
        <f>IF(AA$6="","",IF(WEEKDAY(AA$6,1)=1,AA9*AA8,0))</f>
      </c>
      <c r="AB12" s="26">
        <f>IF(AB$6="","",IF(WEEKDAY(AB$6,1)=1,AB9*AB8,0))</f>
      </c>
      <c r="AC12" s="26">
        <f>IF(AC$6="","",IF(WEEKDAY(AC$6,1)=1,AC9*AC8,0))</f>
      </c>
      <c r="AD12" s="26">
        <f>IF(AD$6="","",IF(WEEKDAY(AD$6,1)=1,AD9*AD8,0))</f>
      </c>
      <c r="AE12" s="26">
        <f>IF(AE$6="","",IF(WEEKDAY(AE$6,1)=1,AE9*AE8,0))</f>
      </c>
      <c r="AF12" s="26">
        <f>IF(AF$6="","",IF(WEEKDAY(AF$6,1)=1,AF9*AF8,0))</f>
      </c>
      <c r="AG12" s="26">
        <f>IF(AG$6="","",IF(WEEKDAY(AG$6,1)=1,AG9*AG8,0))</f>
      </c>
      <c r="AH12" s="26">
        <f>IF(AH$6="","",IF(WEEKDAY(AH$6,1)=1,AH9*AH8,0))</f>
      </c>
      <c r="AI12" s="26">
        <f>IF(AI$6="","",IF(WEEKDAY(AI$6,1)=1,AI9*AI8,0))</f>
      </c>
      <c r="AJ12" s="26">
        <f>IF(AJ$6="","",IF(WEEKDAY(AJ$6,1)=1,AJ9*AJ8,0))</f>
      </c>
      <c r="AK12" s="26">
        <f>IF(AK$6="","",IF(WEEKDAY(AK$6,1)=1,AK9*AK8,0))</f>
      </c>
      <c r="AL12" s="26">
        <f>IF(AL$6="","",IF(WEEKDAY(AL$6,1)=1,AL9*AL8,0))</f>
      </c>
      <c r="AM12" s="26">
        <f>IF(AM$6="","",IF(WEEKDAY(AM$6,1)=1,AM9*AM8,0))</f>
      </c>
      <c r="AN12" s="26">
        <f>IF(AN$6="","",IF(WEEKDAY(AN$6,1)=1,AN9*AN8,0))</f>
      </c>
      <c r="AO12" s="26">
        <f>IF(AO$6="","",IF(WEEKDAY(AO$6,1)=1,AO9*AO8,0))</f>
      </c>
      <c r="AP12" s="26">
        <f>IF(AP$6="","",IF(WEEKDAY(AP$6,1)=1,AP9*AP8,0))</f>
      </c>
      <c r="AQ12" s="26">
        <f>IF(AQ$6="","",IF(WEEKDAY(AQ$6,1)=1,AQ9*AQ8,0))</f>
      </c>
      <c r="CX12" s="8" t="s">
        <v>57</v>
      </c>
    </row>
    <row r="13" spans="2:102" x14ac:dyDescent="0.25">
      <c r="B13" s="26">
        <f>SUM(L13:AQ13)</f>
      </c>
      <c r="D13" s="27">
        <f>B13*E13</f>
      </c>
      <c r="E13" s="27">
        <v>130</v>
      </c>
      <c r="F13" s="8" t="s">
        <v>40</v>
      </c>
      <c r="L13" s="28">
        <v>5</v>
      </c>
      <c r="M13" s="28">
        <v>5</v>
      </c>
      <c r="N13" s="28">
        <v>5</v>
      </c>
      <c r="O13" s="28">
        <v>5</v>
      </c>
      <c r="P13" s="28">
        <v>5</v>
      </c>
      <c r="Q13" s="28">
        <v>0</v>
      </c>
      <c r="R13" s="28">
        <v>0</v>
      </c>
      <c r="S13" s="28">
        <v>5</v>
      </c>
      <c r="T13" s="28">
        <v>5</v>
      </c>
      <c r="U13" s="28">
        <v>5</v>
      </c>
      <c r="V13" s="28">
        <v>10</v>
      </c>
      <c r="W13" s="28">
        <v>10</v>
      </c>
      <c r="X13" s="28">
        <v>10</v>
      </c>
      <c r="Y13" s="28">
        <v>10</v>
      </c>
      <c r="Z13" s="28">
        <v>10</v>
      </c>
      <c r="AA13" s="28">
        <v>10</v>
      </c>
      <c r="AB13" s="28">
        <v>10</v>
      </c>
      <c r="AC13" s="28">
        <v>10</v>
      </c>
      <c r="AD13" s="28">
        <v>10</v>
      </c>
      <c r="AE13" s="28">
        <v>10</v>
      </c>
      <c r="AF13" s="28">
        <v>10</v>
      </c>
      <c r="AG13" s="28">
        <v>10</v>
      </c>
      <c r="AH13" s="28">
        <v>10</v>
      </c>
      <c r="AI13" s="28">
        <v>10</v>
      </c>
      <c r="AJ13" s="28">
        <v>5</v>
      </c>
      <c r="AK13" s="28">
        <v>5</v>
      </c>
      <c r="AL13" s="28">
        <v>0</v>
      </c>
      <c r="AM13" s="28">
        <v>0</v>
      </c>
      <c r="AN13" s="28">
        <v>5</v>
      </c>
      <c r="AO13" s="28">
        <v>5</v>
      </c>
      <c r="AP13" s="28">
        <v>5</v>
      </c>
      <c r="AQ13" s="28">
        <v>5</v>
      </c>
      <c r="CX13" s="8" t="s">
        <v>57</v>
      </c>
    </row>
    <row r="14" spans="1:102" x14ac:dyDescent="0.25">
      <c r="A14" s="20" t="s">
        <v>41</v>
      </c>
      <c r="B14" s="21">
        <f>G14+H14+I14</f>
      </c>
      <c r="C14" s="20" t="s">
        <v>56</v>
      </c>
      <c r="D14" s="22">
        <f>K14</f>
      </c>
      <c r="F14" s="20" t="s">
        <v>32</v>
      </c>
      <c r="G14" s="21">
        <f>B17</f>
      </c>
      <c r="H14" s="21">
        <f>B18</f>
      </c>
      <c r="I14" s="21">
        <f>B19</f>
      </c>
      <c r="J14" s="21">
        <f>B20</f>
      </c>
      <c r="K14" s="22">
        <f>D17+D18+D19</f>
      </c>
      <c r="CX14" s="20" t="s">
        <v>58</v>
      </c>
    </row>
    <row r="15" spans="6:102" x14ac:dyDescent="0.25">
      <c r="F15" s="23" t="s">
        <v>34</v>
      </c>
      <c r="L15" s="24">
        <v>0</v>
      </c>
      <c r="M15" s="24">
        <v>0</v>
      </c>
      <c r="N15" s="24">
        <v>0</v>
      </c>
      <c r="O15" s="24">
        <v>0</v>
      </c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16</v>
      </c>
      <c r="W15" s="24">
        <v>16</v>
      </c>
      <c r="X15" s="24">
        <v>16</v>
      </c>
      <c r="Y15" s="24">
        <v>16</v>
      </c>
      <c r="Z15" s="24">
        <v>16</v>
      </c>
      <c r="AA15" s="24">
        <v>16</v>
      </c>
      <c r="AB15" s="24">
        <v>16</v>
      </c>
      <c r="AC15" s="24">
        <v>16</v>
      </c>
      <c r="AD15" s="24">
        <v>16</v>
      </c>
      <c r="AE15" s="24">
        <v>16</v>
      </c>
      <c r="AF15" s="24">
        <v>16</v>
      </c>
      <c r="AG15" s="24">
        <v>16</v>
      </c>
      <c r="AH15" s="24">
        <v>16</v>
      </c>
      <c r="AI15" s="24">
        <v>16</v>
      </c>
      <c r="AJ15" s="24">
        <v>0</v>
      </c>
      <c r="AK15" s="24">
        <v>0</v>
      </c>
      <c r="AL15" s="24">
        <v>0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CX15" s="23" t="s">
        <v>58</v>
      </c>
    </row>
    <row r="16" spans="1:102" x14ac:dyDescent="0.25">
      <c r="A16" s="23" t="s">
        <v>35</v>
      </c>
      <c r="F16" s="23" t="s">
        <v>36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25">
        <v>0</v>
      </c>
      <c r="U16" s="25">
        <v>0</v>
      </c>
      <c r="V16" s="25">
        <v>12</v>
      </c>
      <c r="W16" s="25">
        <v>12</v>
      </c>
      <c r="X16" s="25">
        <v>12</v>
      </c>
      <c r="Y16" s="25">
        <v>12</v>
      </c>
      <c r="Z16" s="25">
        <v>12</v>
      </c>
      <c r="AA16" s="25">
        <v>12</v>
      </c>
      <c r="AB16" s="25">
        <v>12</v>
      </c>
      <c r="AC16" s="25">
        <v>12</v>
      </c>
      <c r="AD16" s="25">
        <v>12</v>
      </c>
      <c r="AE16" s="25">
        <v>12</v>
      </c>
      <c r="AF16" s="25">
        <v>12</v>
      </c>
      <c r="AG16" s="25">
        <v>12</v>
      </c>
      <c r="AH16" s="25">
        <v>12</v>
      </c>
      <c r="AI16" s="25">
        <v>12</v>
      </c>
      <c r="AJ16" s="25">
        <v>0</v>
      </c>
      <c r="AK16" s="25">
        <v>0</v>
      </c>
      <c r="AL16" s="25">
        <v>0</v>
      </c>
      <c r="AM16" s="25">
        <v>0</v>
      </c>
      <c r="AN16" s="25">
        <v>0</v>
      </c>
      <c r="AO16" s="25">
        <v>0</v>
      </c>
      <c r="AP16" s="25">
        <v>0</v>
      </c>
      <c r="AQ16" s="25">
        <v>0</v>
      </c>
      <c r="CX16" s="23" t="s">
        <v>58</v>
      </c>
    </row>
    <row r="17" spans="2:102" x14ac:dyDescent="0.25">
      <c r="B17" s="26">
        <f>SUM(L17:AQ17)</f>
      </c>
      <c r="D17" s="27">
        <f>B17*E17</f>
      </c>
      <c r="E17" s="27">
        <f>'Rate Tables'!C12</f>
      </c>
      <c r="F17" s="8" t="s">
        <v>37</v>
      </c>
      <c r="L17" s="26">
        <f>IF(L$6="","",IF(OR(WEEKDAY(L$6,1)=1,WEEKDAY(L$6,1)=7),0,MIN(8,L16)*L15))</f>
      </c>
      <c r="M17" s="26">
        <f>IF(M$6="","",IF(OR(WEEKDAY(M$6,1)=1,WEEKDAY(M$6,1)=7),0,MIN(8,M16)*M15))</f>
      </c>
      <c r="N17" s="26">
        <f>IF(N$6="","",IF(OR(WEEKDAY(N$6,1)=1,WEEKDAY(N$6,1)=7),0,MIN(8,N16)*N15))</f>
      </c>
      <c r="O17" s="26">
        <f>IF(O$6="","",IF(OR(WEEKDAY(O$6,1)=1,WEEKDAY(O$6,1)=7),0,MIN(8,O16)*O15))</f>
      </c>
      <c r="P17" s="26">
        <f>IF(P$6="","",IF(OR(WEEKDAY(P$6,1)=1,WEEKDAY(P$6,1)=7),0,MIN(8,P16)*P15))</f>
      </c>
      <c r="Q17" s="26">
        <f>IF(Q$6="","",IF(OR(WEEKDAY(Q$6,1)=1,WEEKDAY(Q$6,1)=7),0,MIN(8,Q16)*Q15))</f>
      </c>
      <c r="R17" s="26">
        <f>IF(R$6="","",IF(OR(WEEKDAY(R$6,1)=1,WEEKDAY(R$6,1)=7),0,MIN(8,R16)*R15))</f>
      </c>
      <c r="S17" s="26">
        <f>IF(S$6="","",IF(OR(WEEKDAY(S$6,1)=1,WEEKDAY(S$6,1)=7),0,MIN(8,S16)*S15))</f>
      </c>
      <c r="T17" s="26">
        <f>IF(T$6="","",IF(OR(WEEKDAY(T$6,1)=1,WEEKDAY(T$6,1)=7),0,MIN(8,T16)*T15))</f>
      </c>
      <c r="U17" s="26">
        <f>IF(U$6="","",IF(OR(WEEKDAY(U$6,1)=1,WEEKDAY(U$6,1)=7),0,MIN(8,U16)*U15))</f>
      </c>
      <c r="V17" s="26">
        <f>IF(V$6="","",IF(OR(WEEKDAY(V$6,1)=1,WEEKDAY(V$6,1)=7),0,MIN(8,V16)*V15))</f>
      </c>
      <c r="W17" s="26">
        <f>IF(W$6="","",IF(OR(WEEKDAY(W$6,1)=1,WEEKDAY(W$6,1)=7),0,MIN(8,W16)*W15))</f>
      </c>
      <c r="X17" s="26">
        <f>IF(X$6="","",IF(OR(WEEKDAY(X$6,1)=1,WEEKDAY(X$6,1)=7),0,MIN(8,X16)*X15))</f>
      </c>
      <c r="Y17" s="26">
        <f>IF(Y$6="","",IF(OR(WEEKDAY(Y$6,1)=1,WEEKDAY(Y$6,1)=7),0,MIN(8,Y16)*Y15))</f>
      </c>
      <c r="Z17" s="26">
        <f>IF(Z$6="","",IF(OR(WEEKDAY(Z$6,1)=1,WEEKDAY(Z$6,1)=7),0,MIN(8,Z16)*Z15))</f>
      </c>
      <c r="AA17" s="26">
        <f>IF(AA$6="","",IF(OR(WEEKDAY(AA$6,1)=1,WEEKDAY(AA$6,1)=7),0,MIN(8,AA16)*AA15))</f>
      </c>
      <c r="AB17" s="26">
        <f>IF(AB$6="","",IF(OR(WEEKDAY(AB$6,1)=1,WEEKDAY(AB$6,1)=7),0,MIN(8,AB16)*AB15))</f>
      </c>
      <c r="AC17" s="26">
        <f>IF(AC$6="","",IF(OR(WEEKDAY(AC$6,1)=1,WEEKDAY(AC$6,1)=7),0,MIN(8,AC16)*AC15))</f>
      </c>
      <c r="AD17" s="26">
        <f>IF(AD$6="","",IF(OR(WEEKDAY(AD$6,1)=1,WEEKDAY(AD$6,1)=7),0,MIN(8,AD16)*AD15))</f>
      </c>
      <c r="AE17" s="26">
        <f>IF(AE$6="","",IF(OR(WEEKDAY(AE$6,1)=1,WEEKDAY(AE$6,1)=7),0,MIN(8,AE16)*AE15))</f>
      </c>
      <c r="AF17" s="26">
        <f>IF(AF$6="","",IF(OR(WEEKDAY(AF$6,1)=1,WEEKDAY(AF$6,1)=7),0,MIN(8,AF16)*AF15))</f>
      </c>
      <c r="AG17" s="26">
        <f>IF(AG$6="","",IF(OR(WEEKDAY(AG$6,1)=1,WEEKDAY(AG$6,1)=7),0,MIN(8,AG16)*AG15))</f>
      </c>
      <c r="AH17" s="26">
        <f>IF(AH$6="","",IF(OR(WEEKDAY(AH$6,1)=1,WEEKDAY(AH$6,1)=7),0,MIN(8,AH16)*AH15))</f>
      </c>
      <c r="AI17" s="26">
        <f>IF(AI$6="","",IF(OR(WEEKDAY(AI$6,1)=1,WEEKDAY(AI$6,1)=7),0,MIN(8,AI16)*AI15))</f>
      </c>
      <c r="AJ17" s="26">
        <f>IF(AJ$6="","",IF(OR(WEEKDAY(AJ$6,1)=1,WEEKDAY(AJ$6,1)=7),0,MIN(8,AJ16)*AJ15))</f>
      </c>
      <c r="AK17" s="26">
        <f>IF(AK$6="","",IF(OR(WEEKDAY(AK$6,1)=1,WEEKDAY(AK$6,1)=7),0,MIN(8,AK16)*AK15))</f>
      </c>
      <c r="AL17" s="26">
        <f>IF(AL$6="","",IF(OR(WEEKDAY(AL$6,1)=1,WEEKDAY(AL$6,1)=7),0,MIN(8,AL16)*AL15))</f>
      </c>
      <c r="AM17" s="26">
        <f>IF(AM$6="","",IF(OR(WEEKDAY(AM$6,1)=1,WEEKDAY(AM$6,1)=7),0,MIN(8,AM16)*AM15))</f>
      </c>
      <c r="AN17" s="26">
        <f>IF(AN$6="","",IF(OR(WEEKDAY(AN$6,1)=1,WEEKDAY(AN$6,1)=7),0,MIN(8,AN16)*AN15))</f>
      </c>
      <c r="AO17" s="26">
        <f>IF(AO$6="","",IF(OR(WEEKDAY(AO$6,1)=1,WEEKDAY(AO$6,1)=7),0,MIN(8,AO16)*AO15))</f>
      </c>
      <c r="AP17" s="26">
        <f>IF(AP$6="","",IF(OR(WEEKDAY(AP$6,1)=1,WEEKDAY(AP$6,1)=7),0,MIN(8,AP16)*AP15))</f>
      </c>
      <c r="AQ17" s="26">
        <f>IF(AQ$6="","",IF(OR(WEEKDAY(AQ$6,1)=1,WEEKDAY(AQ$6,1)=7),0,MIN(8,AQ16)*AQ15))</f>
      </c>
      <c r="CX17" s="8" t="s">
        <v>58</v>
      </c>
    </row>
    <row r="18" spans="2:102" x14ac:dyDescent="0.25">
      <c r="B18" s="26">
        <f>SUM(L18:AQ18)</f>
      </c>
      <c r="D18" s="27">
        <f>B18*E18</f>
      </c>
      <c r="E18" s="27">
        <f>'Rate Tables'!D12</f>
      </c>
      <c r="F18" s="8" t="s">
        <v>38</v>
      </c>
      <c r="L18" s="26">
        <f>IF(L$6="","",IF(WEEKDAY(L$6,1)=1,0,IF(WEEKDAY(L$6,1)=7,L16*L15,MAX(0,L16-8)*L15)))</f>
      </c>
      <c r="M18" s="26">
        <f>IF(M$6="","",IF(WEEKDAY(M$6,1)=1,0,IF(WEEKDAY(M$6,1)=7,M16*M15,MAX(0,M16-8)*M15)))</f>
      </c>
      <c r="N18" s="26">
        <f>IF(N$6="","",IF(WEEKDAY(N$6,1)=1,0,IF(WEEKDAY(N$6,1)=7,N16*N15,MAX(0,N16-8)*N15)))</f>
      </c>
      <c r="O18" s="26">
        <f>IF(O$6="","",IF(WEEKDAY(O$6,1)=1,0,IF(WEEKDAY(O$6,1)=7,O16*O15,MAX(0,O16-8)*O15)))</f>
      </c>
      <c r="P18" s="26">
        <f>IF(P$6="","",IF(WEEKDAY(P$6,1)=1,0,IF(WEEKDAY(P$6,1)=7,P16*P15,MAX(0,P16-8)*P15)))</f>
      </c>
      <c r="Q18" s="26">
        <f>IF(Q$6="","",IF(WEEKDAY(Q$6,1)=1,0,IF(WEEKDAY(Q$6,1)=7,Q16*Q15,MAX(0,Q16-8)*Q15)))</f>
      </c>
      <c r="R18" s="26">
        <f>IF(R$6="","",IF(WEEKDAY(R$6,1)=1,0,IF(WEEKDAY(R$6,1)=7,R16*R15,MAX(0,R16-8)*R15)))</f>
      </c>
      <c r="S18" s="26">
        <f>IF(S$6="","",IF(WEEKDAY(S$6,1)=1,0,IF(WEEKDAY(S$6,1)=7,S16*S15,MAX(0,S16-8)*S15)))</f>
      </c>
      <c r="T18" s="26">
        <f>IF(T$6="","",IF(WEEKDAY(T$6,1)=1,0,IF(WEEKDAY(T$6,1)=7,T16*T15,MAX(0,T16-8)*T15)))</f>
      </c>
      <c r="U18" s="26">
        <f>IF(U$6="","",IF(WEEKDAY(U$6,1)=1,0,IF(WEEKDAY(U$6,1)=7,U16*U15,MAX(0,U16-8)*U15)))</f>
      </c>
      <c r="V18" s="26">
        <f>IF(V$6="","",IF(WEEKDAY(V$6,1)=1,0,IF(WEEKDAY(V$6,1)=7,V16*V15,MAX(0,V16-8)*V15)))</f>
      </c>
      <c r="W18" s="26">
        <f>IF(W$6="","",IF(WEEKDAY(W$6,1)=1,0,IF(WEEKDAY(W$6,1)=7,W16*W15,MAX(0,W16-8)*W15)))</f>
      </c>
      <c r="X18" s="26">
        <f>IF(X$6="","",IF(WEEKDAY(X$6,1)=1,0,IF(WEEKDAY(X$6,1)=7,X16*X15,MAX(0,X16-8)*X15)))</f>
      </c>
      <c r="Y18" s="26">
        <f>IF(Y$6="","",IF(WEEKDAY(Y$6,1)=1,0,IF(WEEKDAY(Y$6,1)=7,Y16*Y15,MAX(0,Y16-8)*Y15)))</f>
      </c>
      <c r="Z18" s="26">
        <f>IF(Z$6="","",IF(WEEKDAY(Z$6,1)=1,0,IF(WEEKDAY(Z$6,1)=7,Z16*Z15,MAX(0,Z16-8)*Z15)))</f>
      </c>
      <c r="AA18" s="26">
        <f>IF(AA$6="","",IF(WEEKDAY(AA$6,1)=1,0,IF(WEEKDAY(AA$6,1)=7,AA16*AA15,MAX(0,AA16-8)*AA15)))</f>
      </c>
      <c r="AB18" s="26">
        <f>IF(AB$6="","",IF(WEEKDAY(AB$6,1)=1,0,IF(WEEKDAY(AB$6,1)=7,AB16*AB15,MAX(0,AB16-8)*AB15)))</f>
      </c>
      <c r="AC18" s="26">
        <f>IF(AC$6="","",IF(WEEKDAY(AC$6,1)=1,0,IF(WEEKDAY(AC$6,1)=7,AC16*AC15,MAX(0,AC16-8)*AC15)))</f>
      </c>
      <c r="AD18" s="26">
        <f>IF(AD$6="","",IF(WEEKDAY(AD$6,1)=1,0,IF(WEEKDAY(AD$6,1)=7,AD16*AD15,MAX(0,AD16-8)*AD15)))</f>
      </c>
      <c r="AE18" s="26">
        <f>IF(AE$6="","",IF(WEEKDAY(AE$6,1)=1,0,IF(WEEKDAY(AE$6,1)=7,AE16*AE15,MAX(0,AE16-8)*AE15)))</f>
      </c>
      <c r="AF18" s="26">
        <f>IF(AF$6="","",IF(WEEKDAY(AF$6,1)=1,0,IF(WEEKDAY(AF$6,1)=7,AF16*AF15,MAX(0,AF16-8)*AF15)))</f>
      </c>
      <c r="AG18" s="26">
        <f>IF(AG$6="","",IF(WEEKDAY(AG$6,1)=1,0,IF(WEEKDAY(AG$6,1)=7,AG16*AG15,MAX(0,AG16-8)*AG15)))</f>
      </c>
      <c r="AH18" s="26">
        <f>IF(AH$6="","",IF(WEEKDAY(AH$6,1)=1,0,IF(WEEKDAY(AH$6,1)=7,AH16*AH15,MAX(0,AH16-8)*AH15)))</f>
      </c>
      <c r="AI18" s="26">
        <f>IF(AI$6="","",IF(WEEKDAY(AI$6,1)=1,0,IF(WEEKDAY(AI$6,1)=7,AI16*AI15,MAX(0,AI16-8)*AI15)))</f>
      </c>
      <c r="AJ18" s="26">
        <f>IF(AJ$6="","",IF(WEEKDAY(AJ$6,1)=1,0,IF(WEEKDAY(AJ$6,1)=7,AJ16*AJ15,MAX(0,AJ16-8)*AJ15)))</f>
      </c>
      <c r="AK18" s="26">
        <f>IF(AK$6="","",IF(WEEKDAY(AK$6,1)=1,0,IF(WEEKDAY(AK$6,1)=7,AK16*AK15,MAX(0,AK16-8)*AK15)))</f>
      </c>
      <c r="AL18" s="26">
        <f>IF(AL$6="","",IF(WEEKDAY(AL$6,1)=1,0,IF(WEEKDAY(AL$6,1)=7,AL16*AL15,MAX(0,AL16-8)*AL15)))</f>
      </c>
      <c r="AM18" s="26">
        <f>IF(AM$6="","",IF(WEEKDAY(AM$6,1)=1,0,IF(WEEKDAY(AM$6,1)=7,AM16*AM15,MAX(0,AM16-8)*AM15)))</f>
      </c>
      <c r="AN18" s="26">
        <f>IF(AN$6="","",IF(WEEKDAY(AN$6,1)=1,0,IF(WEEKDAY(AN$6,1)=7,AN16*AN15,MAX(0,AN16-8)*AN15)))</f>
      </c>
      <c r="AO18" s="26">
        <f>IF(AO$6="","",IF(WEEKDAY(AO$6,1)=1,0,IF(WEEKDAY(AO$6,1)=7,AO16*AO15,MAX(0,AO16-8)*AO15)))</f>
      </c>
      <c r="AP18" s="26">
        <f>IF(AP$6="","",IF(WEEKDAY(AP$6,1)=1,0,IF(WEEKDAY(AP$6,1)=7,AP16*AP15,MAX(0,AP16-8)*AP15)))</f>
      </c>
      <c r="AQ18" s="26">
        <f>IF(AQ$6="","",IF(WEEKDAY(AQ$6,1)=1,0,IF(WEEKDAY(AQ$6,1)=7,AQ16*AQ15,MAX(0,AQ16-8)*AQ15)))</f>
      </c>
      <c r="CX18" s="8" t="s">
        <v>58</v>
      </c>
    </row>
    <row r="19" spans="2:102" x14ac:dyDescent="0.25">
      <c r="B19" s="26">
        <f>SUM(L19:AQ19)</f>
      </c>
      <c r="D19" s="27">
        <f>B19*E19</f>
      </c>
      <c r="E19" s="27">
        <f>'Rate Tables'!E12</f>
      </c>
      <c r="F19" s="8" t="s">
        <v>39</v>
      </c>
      <c r="L19" s="26">
        <f>IF(L$6="","",IF(WEEKDAY(L$6,1)=1,L16*L15,0))</f>
      </c>
      <c r="M19" s="26">
        <f>IF(M$6="","",IF(WEEKDAY(M$6,1)=1,M16*M15,0))</f>
      </c>
      <c r="N19" s="26">
        <f>IF(N$6="","",IF(WEEKDAY(N$6,1)=1,N16*N15,0))</f>
      </c>
      <c r="O19" s="26">
        <f>IF(O$6="","",IF(WEEKDAY(O$6,1)=1,O16*O15,0))</f>
      </c>
      <c r="P19" s="26">
        <f>IF(P$6="","",IF(WEEKDAY(P$6,1)=1,P16*P15,0))</f>
      </c>
      <c r="Q19" s="26">
        <f>IF(Q$6="","",IF(WEEKDAY(Q$6,1)=1,Q16*Q15,0))</f>
      </c>
      <c r="R19" s="26">
        <f>IF(R$6="","",IF(WEEKDAY(R$6,1)=1,R16*R15,0))</f>
      </c>
      <c r="S19" s="26">
        <f>IF(S$6="","",IF(WEEKDAY(S$6,1)=1,S16*S15,0))</f>
      </c>
      <c r="T19" s="26">
        <f>IF(T$6="","",IF(WEEKDAY(T$6,1)=1,T16*T15,0))</f>
      </c>
      <c r="U19" s="26">
        <f>IF(U$6="","",IF(WEEKDAY(U$6,1)=1,U16*U15,0))</f>
      </c>
      <c r="V19" s="26">
        <f>IF(V$6="","",IF(WEEKDAY(V$6,1)=1,V16*V15,0))</f>
      </c>
      <c r="W19" s="26">
        <f>IF(W$6="","",IF(WEEKDAY(W$6,1)=1,W16*W15,0))</f>
      </c>
      <c r="X19" s="26">
        <f>IF(X$6="","",IF(WEEKDAY(X$6,1)=1,X16*X15,0))</f>
      </c>
      <c r="Y19" s="26">
        <f>IF(Y$6="","",IF(WEEKDAY(Y$6,1)=1,Y16*Y15,0))</f>
      </c>
      <c r="Z19" s="26">
        <f>IF(Z$6="","",IF(WEEKDAY(Z$6,1)=1,Z16*Z15,0))</f>
      </c>
      <c r="AA19" s="26">
        <f>IF(AA$6="","",IF(WEEKDAY(AA$6,1)=1,AA16*AA15,0))</f>
      </c>
      <c r="AB19" s="26">
        <f>IF(AB$6="","",IF(WEEKDAY(AB$6,1)=1,AB16*AB15,0))</f>
      </c>
      <c r="AC19" s="26">
        <f>IF(AC$6="","",IF(WEEKDAY(AC$6,1)=1,AC16*AC15,0))</f>
      </c>
      <c r="AD19" s="26">
        <f>IF(AD$6="","",IF(WEEKDAY(AD$6,1)=1,AD16*AD15,0))</f>
      </c>
      <c r="AE19" s="26">
        <f>IF(AE$6="","",IF(WEEKDAY(AE$6,1)=1,AE16*AE15,0))</f>
      </c>
      <c r="AF19" s="26">
        <f>IF(AF$6="","",IF(WEEKDAY(AF$6,1)=1,AF16*AF15,0))</f>
      </c>
      <c r="AG19" s="26">
        <f>IF(AG$6="","",IF(WEEKDAY(AG$6,1)=1,AG16*AG15,0))</f>
      </c>
      <c r="AH19" s="26">
        <f>IF(AH$6="","",IF(WEEKDAY(AH$6,1)=1,AH16*AH15,0))</f>
      </c>
      <c r="AI19" s="26">
        <f>IF(AI$6="","",IF(WEEKDAY(AI$6,1)=1,AI16*AI15,0))</f>
      </c>
      <c r="AJ19" s="26">
        <f>IF(AJ$6="","",IF(WEEKDAY(AJ$6,1)=1,AJ16*AJ15,0))</f>
      </c>
      <c r="AK19" s="26">
        <f>IF(AK$6="","",IF(WEEKDAY(AK$6,1)=1,AK16*AK15,0))</f>
      </c>
      <c r="AL19" s="26">
        <f>IF(AL$6="","",IF(WEEKDAY(AL$6,1)=1,AL16*AL15,0))</f>
      </c>
      <c r="AM19" s="26">
        <f>IF(AM$6="","",IF(WEEKDAY(AM$6,1)=1,AM16*AM15,0))</f>
      </c>
      <c r="AN19" s="26">
        <f>IF(AN$6="","",IF(WEEKDAY(AN$6,1)=1,AN16*AN15,0))</f>
      </c>
      <c r="AO19" s="26">
        <f>IF(AO$6="","",IF(WEEKDAY(AO$6,1)=1,AO16*AO15,0))</f>
      </c>
      <c r="AP19" s="26">
        <f>IF(AP$6="","",IF(WEEKDAY(AP$6,1)=1,AP16*AP15,0))</f>
      </c>
      <c r="AQ19" s="26">
        <f>IF(AQ$6="","",IF(WEEKDAY(AQ$6,1)=1,AQ16*AQ15,0))</f>
      </c>
      <c r="CX19" s="8" t="s">
        <v>58</v>
      </c>
    </row>
    <row r="20" spans="2:102" x14ac:dyDescent="0.25">
      <c r="B20" s="26">
        <f>SUM(L20:AQ20)</f>
      </c>
      <c r="D20" s="27">
        <f>B20*E20</f>
      </c>
      <c r="E20" s="27">
        <v>130</v>
      </c>
      <c r="F20" s="8" t="s">
        <v>40</v>
      </c>
      <c r="L20" s="28">
        <v>0</v>
      </c>
      <c r="M20" s="28">
        <v>0</v>
      </c>
      <c r="N20" s="28">
        <v>0</v>
      </c>
      <c r="O20" s="28">
        <v>0</v>
      </c>
      <c r="P20" s="28">
        <v>0</v>
      </c>
      <c r="Q20" s="28">
        <v>0</v>
      </c>
      <c r="R20" s="28">
        <v>0</v>
      </c>
      <c r="S20" s="28">
        <v>0</v>
      </c>
      <c r="T20" s="28">
        <v>0</v>
      </c>
      <c r="U20" s="28">
        <v>0</v>
      </c>
      <c r="V20" s="28">
        <v>1</v>
      </c>
      <c r="W20" s="28">
        <v>1</v>
      </c>
      <c r="X20" s="28">
        <v>1</v>
      </c>
      <c r="Y20" s="28">
        <v>1</v>
      </c>
      <c r="Z20" s="28">
        <v>1</v>
      </c>
      <c r="AA20" s="28">
        <v>1</v>
      </c>
      <c r="AB20" s="28">
        <v>1</v>
      </c>
      <c r="AC20" s="28">
        <v>1</v>
      </c>
      <c r="AD20" s="28">
        <v>1</v>
      </c>
      <c r="AE20" s="28">
        <v>1</v>
      </c>
      <c r="AF20" s="28">
        <v>1</v>
      </c>
      <c r="AG20" s="28">
        <v>1</v>
      </c>
      <c r="AH20" s="28">
        <v>1</v>
      </c>
      <c r="AI20" s="28">
        <v>1</v>
      </c>
      <c r="AJ20" s="28">
        <v>0</v>
      </c>
      <c r="AK20" s="28">
        <v>0</v>
      </c>
      <c r="AL20" s="28">
        <v>0</v>
      </c>
      <c r="AM20" s="28">
        <v>0</v>
      </c>
      <c r="AN20" s="28">
        <v>0</v>
      </c>
      <c r="AO20" s="28">
        <v>0</v>
      </c>
      <c r="AP20" s="28">
        <v>0</v>
      </c>
      <c r="AQ20" s="28">
        <v>0</v>
      </c>
      <c r="CX20" s="8" t="s">
        <v>58</v>
      </c>
    </row>
    <row r="21" spans="1:11" x14ac:dyDescent="0.25">
      <c r="A21" s="14" t="s">
        <v>52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102" max="10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46269.72952778936</v>
      </c>
    </row>
    <row r="6" ht="20" customHeight="1" spans="1:43" x14ac:dyDescent="0.25">
      <c r="A6" s="7" t="s">
        <v>20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  <c r="G6" s="7" t="s">
        <v>26</v>
      </c>
      <c r="H6" s="7" t="s">
        <v>27</v>
      </c>
      <c r="I6" s="7" t="s">
        <v>28</v>
      </c>
      <c r="J6" s="7" t="s">
        <v>29</v>
      </c>
      <c r="K6" s="7" t="s">
        <v>12</v>
      </c>
      <c r="L6" s="19">
        <v>46286</v>
      </c>
      <c r="M6" s="19">
        <f>L6+1</f>
      </c>
      <c r="N6" s="19">
        <f>M6+1</f>
      </c>
      <c r="O6" s="19">
        <f>N6+1</f>
      </c>
      <c r="P6" s="19">
        <f>O6+1</f>
      </c>
      <c r="Q6" s="19">
        <f>P6+1</f>
      </c>
      <c r="R6" s="19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19">
        <f>W6+1</f>
      </c>
      <c r="Y6" s="19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19">
        <f>AD6+1</f>
      </c>
      <c r="AF6" s="19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19">
        <f>AK6+1</f>
      </c>
      <c r="AM6" s="19">
        <f>AL6+1</f>
      </c>
      <c r="AN6" s="19">
        <f>AM6+1</f>
      </c>
      <c r="AO6" s="19">
        <f>AN6+1</f>
      </c>
      <c r="AP6" s="19">
        <f>AO6+1</f>
      </c>
      <c r="AQ6" s="19">
        <f>AP6+1</f>
      </c>
    </row>
    <row r="7" spans="1:102" x14ac:dyDescent="0.25">
      <c r="A7" s="20" t="s">
        <v>30</v>
      </c>
      <c r="B7" s="21">
        <f>G7+H7+I7</f>
      </c>
      <c r="C7" s="20" t="s">
        <v>59</v>
      </c>
      <c r="D7" s="22">
        <f>K7</f>
      </c>
      <c r="F7" s="20" t="s">
        <v>32</v>
      </c>
      <c r="G7" s="21">
        <f>B10</f>
      </c>
      <c r="H7" s="21">
        <f>B11</f>
      </c>
      <c r="I7" s="21">
        <f>B12</f>
      </c>
      <c r="J7" s="21">
        <f>B13</f>
      </c>
      <c r="K7" s="22">
        <f>D10+D11+D12</f>
      </c>
      <c r="CX7" s="20" t="s">
        <v>60</v>
      </c>
    </row>
    <row r="8" spans="6:102" x14ac:dyDescent="0.25">
      <c r="F8" s="23" t="s">
        <v>34</v>
      </c>
      <c r="L8" s="24">
        <v>1</v>
      </c>
      <c r="M8" s="24">
        <v>1</v>
      </c>
      <c r="N8" s="24">
        <v>1</v>
      </c>
      <c r="O8" s="24">
        <v>1</v>
      </c>
      <c r="P8" s="24">
        <v>1</v>
      </c>
      <c r="Q8" s="24">
        <v>0</v>
      </c>
      <c r="R8" s="24">
        <v>0</v>
      </c>
      <c r="S8" s="24">
        <v>1</v>
      </c>
      <c r="T8" s="24">
        <v>1</v>
      </c>
      <c r="U8" s="24">
        <v>1</v>
      </c>
      <c r="V8" s="24">
        <v>1</v>
      </c>
      <c r="W8" s="24">
        <v>1</v>
      </c>
      <c r="X8" s="24">
        <v>1</v>
      </c>
      <c r="Y8" s="24">
        <v>1</v>
      </c>
      <c r="Z8" s="24">
        <v>1</v>
      </c>
      <c r="AA8" s="24">
        <v>1</v>
      </c>
      <c r="AB8" s="24">
        <v>1</v>
      </c>
      <c r="AC8" s="24">
        <v>1</v>
      </c>
      <c r="AD8" s="24">
        <v>1</v>
      </c>
      <c r="AE8" s="24">
        <v>1</v>
      </c>
      <c r="AF8" s="24">
        <v>1</v>
      </c>
      <c r="AG8" s="24">
        <v>1</v>
      </c>
      <c r="AH8" s="24">
        <v>1</v>
      </c>
      <c r="AI8" s="24">
        <v>1</v>
      </c>
      <c r="AJ8" s="24">
        <v>1</v>
      </c>
      <c r="AK8" s="24">
        <v>1</v>
      </c>
      <c r="AL8" s="24">
        <v>0</v>
      </c>
      <c r="AM8" s="24">
        <v>0</v>
      </c>
      <c r="AN8" s="24">
        <v>1</v>
      </c>
      <c r="AO8" s="24">
        <v>1</v>
      </c>
      <c r="AP8" s="24">
        <v>1</v>
      </c>
      <c r="AQ8" s="24">
        <v>1</v>
      </c>
      <c r="CX8" s="23" t="s">
        <v>60</v>
      </c>
    </row>
    <row r="9" spans="1:102" x14ac:dyDescent="0.25">
      <c r="A9" s="23" t="s">
        <v>35</v>
      </c>
      <c r="F9" s="23" t="s">
        <v>36</v>
      </c>
      <c r="L9" s="25">
        <v>8</v>
      </c>
      <c r="M9" s="25">
        <v>8</v>
      </c>
      <c r="N9" s="25">
        <v>8</v>
      </c>
      <c r="O9" s="25">
        <v>8</v>
      </c>
      <c r="P9" s="25">
        <v>8</v>
      </c>
      <c r="Q9" s="25">
        <v>0</v>
      </c>
      <c r="R9" s="25">
        <v>0</v>
      </c>
      <c r="S9" s="25">
        <v>8</v>
      </c>
      <c r="T9" s="25">
        <v>8</v>
      </c>
      <c r="U9" s="25">
        <v>8</v>
      </c>
      <c r="V9" s="25">
        <v>12</v>
      </c>
      <c r="W9" s="25">
        <v>12</v>
      </c>
      <c r="X9" s="25">
        <v>12</v>
      </c>
      <c r="Y9" s="25">
        <v>12</v>
      </c>
      <c r="Z9" s="25">
        <v>12</v>
      </c>
      <c r="AA9" s="25">
        <v>12</v>
      </c>
      <c r="AB9" s="25">
        <v>12</v>
      </c>
      <c r="AC9" s="25">
        <v>12</v>
      </c>
      <c r="AD9" s="25">
        <v>12</v>
      </c>
      <c r="AE9" s="25">
        <v>12</v>
      </c>
      <c r="AF9" s="25">
        <v>12</v>
      </c>
      <c r="AG9" s="25">
        <v>12</v>
      </c>
      <c r="AH9" s="25">
        <v>12</v>
      </c>
      <c r="AI9" s="25">
        <v>12</v>
      </c>
      <c r="AJ9" s="25">
        <v>8</v>
      </c>
      <c r="AK9" s="25">
        <v>8</v>
      </c>
      <c r="AL9" s="25">
        <v>0</v>
      </c>
      <c r="AM9" s="25">
        <v>0</v>
      </c>
      <c r="AN9" s="25">
        <v>8</v>
      </c>
      <c r="AO9" s="25">
        <v>8</v>
      </c>
      <c r="AP9" s="25">
        <v>8</v>
      </c>
      <c r="AQ9" s="25">
        <v>8</v>
      </c>
      <c r="CX9" s="23" t="s">
        <v>60</v>
      </c>
    </row>
    <row r="10" spans="2:102" x14ac:dyDescent="0.25">
      <c r="B10" s="26">
        <f>SUM(L10:AQ10)</f>
      </c>
      <c r="D10" s="27">
        <f>B10*E10</f>
      </c>
      <c r="E10" s="27">
        <f>'Rate Tables'!C13</f>
      </c>
      <c r="F10" s="8" t="s">
        <v>37</v>
      </c>
      <c r="L10" s="26">
        <f>IF(L$6="","",IF(OR(WEEKDAY(L$6,1)=1,WEEKDAY(L$6,1)=7),0,MIN(8,L9)*L8))</f>
      </c>
      <c r="M10" s="26">
        <f>IF(M$6="","",IF(OR(WEEKDAY(M$6,1)=1,WEEKDAY(M$6,1)=7),0,MIN(8,M9)*M8))</f>
      </c>
      <c r="N10" s="26">
        <f>IF(N$6="","",IF(OR(WEEKDAY(N$6,1)=1,WEEKDAY(N$6,1)=7),0,MIN(8,N9)*N8))</f>
      </c>
      <c r="O10" s="26">
        <f>IF(O$6="","",IF(OR(WEEKDAY(O$6,1)=1,WEEKDAY(O$6,1)=7),0,MIN(8,O9)*O8))</f>
      </c>
      <c r="P10" s="26">
        <f>IF(P$6="","",IF(OR(WEEKDAY(P$6,1)=1,WEEKDAY(P$6,1)=7),0,MIN(8,P9)*P8))</f>
      </c>
      <c r="Q10" s="26">
        <f>IF(Q$6="","",IF(OR(WEEKDAY(Q$6,1)=1,WEEKDAY(Q$6,1)=7),0,MIN(8,Q9)*Q8))</f>
      </c>
      <c r="R10" s="26">
        <f>IF(R$6="","",IF(OR(WEEKDAY(R$6,1)=1,WEEKDAY(R$6,1)=7),0,MIN(8,R9)*R8))</f>
      </c>
      <c r="S10" s="26">
        <f>IF(S$6="","",IF(OR(WEEKDAY(S$6,1)=1,WEEKDAY(S$6,1)=7),0,MIN(8,S9)*S8))</f>
      </c>
      <c r="T10" s="26">
        <f>IF(T$6="","",IF(OR(WEEKDAY(T$6,1)=1,WEEKDAY(T$6,1)=7),0,MIN(8,T9)*T8))</f>
      </c>
      <c r="U10" s="26">
        <f>IF(U$6="","",IF(OR(WEEKDAY(U$6,1)=1,WEEKDAY(U$6,1)=7),0,MIN(8,U9)*U8))</f>
      </c>
      <c r="V10" s="26">
        <f>IF(V$6="","",IF(OR(WEEKDAY(V$6,1)=1,WEEKDAY(V$6,1)=7),0,MIN(8,V9)*V8))</f>
      </c>
      <c r="W10" s="26">
        <f>IF(W$6="","",IF(OR(WEEKDAY(W$6,1)=1,WEEKDAY(W$6,1)=7),0,MIN(8,W9)*W8))</f>
      </c>
      <c r="X10" s="26">
        <f>IF(X$6="","",IF(OR(WEEKDAY(X$6,1)=1,WEEKDAY(X$6,1)=7),0,MIN(8,X9)*X8))</f>
      </c>
      <c r="Y10" s="26">
        <f>IF(Y$6="","",IF(OR(WEEKDAY(Y$6,1)=1,WEEKDAY(Y$6,1)=7),0,MIN(8,Y9)*Y8))</f>
      </c>
      <c r="Z10" s="26">
        <f>IF(Z$6="","",IF(OR(WEEKDAY(Z$6,1)=1,WEEKDAY(Z$6,1)=7),0,MIN(8,Z9)*Z8))</f>
      </c>
      <c r="AA10" s="26">
        <f>IF(AA$6="","",IF(OR(WEEKDAY(AA$6,1)=1,WEEKDAY(AA$6,1)=7),0,MIN(8,AA9)*AA8))</f>
      </c>
      <c r="AB10" s="26">
        <f>IF(AB$6="","",IF(OR(WEEKDAY(AB$6,1)=1,WEEKDAY(AB$6,1)=7),0,MIN(8,AB9)*AB8))</f>
      </c>
      <c r="AC10" s="26">
        <f>IF(AC$6="","",IF(OR(WEEKDAY(AC$6,1)=1,WEEKDAY(AC$6,1)=7),0,MIN(8,AC9)*AC8))</f>
      </c>
      <c r="AD10" s="26">
        <f>IF(AD$6="","",IF(OR(WEEKDAY(AD$6,1)=1,WEEKDAY(AD$6,1)=7),0,MIN(8,AD9)*AD8))</f>
      </c>
      <c r="AE10" s="26">
        <f>IF(AE$6="","",IF(OR(WEEKDAY(AE$6,1)=1,WEEKDAY(AE$6,1)=7),0,MIN(8,AE9)*AE8))</f>
      </c>
      <c r="AF10" s="26">
        <f>IF(AF$6="","",IF(OR(WEEKDAY(AF$6,1)=1,WEEKDAY(AF$6,1)=7),0,MIN(8,AF9)*AF8))</f>
      </c>
      <c r="AG10" s="26">
        <f>IF(AG$6="","",IF(OR(WEEKDAY(AG$6,1)=1,WEEKDAY(AG$6,1)=7),0,MIN(8,AG9)*AG8))</f>
      </c>
      <c r="AH10" s="26">
        <f>IF(AH$6="","",IF(OR(WEEKDAY(AH$6,1)=1,WEEKDAY(AH$6,1)=7),0,MIN(8,AH9)*AH8))</f>
      </c>
      <c r="AI10" s="26">
        <f>IF(AI$6="","",IF(OR(WEEKDAY(AI$6,1)=1,WEEKDAY(AI$6,1)=7),0,MIN(8,AI9)*AI8))</f>
      </c>
      <c r="AJ10" s="26">
        <f>IF(AJ$6="","",IF(OR(WEEKDAY(AJ$6,1)=1,WEEKDAY(AJ$6,1)=7),0,MIN(8,AJ9)*AJ8))</f>
      </c>
      <c r="AK10" s="26">
        <f>IF(AK$6="","",IF(OR(WEEKDAY(AK$6,1)=1,WEEKDAY(AK$6,1)=7),0,MIN(8,AK9)*AK8))</f>
      </c>
      <c r="AL10" s="26">
        <f>IF(AL$6="","",IF(OR(WEEKDAY(AL$6,1)=1,WEEKDAY(AL$6,1)=7),0,MIN(8,AL9)*AL8))</f>
      </c>
      <c r="AM10" s="26">
        <f>IF(AM$6="","",IF(OR(WEEKDAY(AM$6,1)=1,WEEKDAY(AM$6,1)=7),0,MIN(8,AM9)*AM8))</f>
      </c>
      <c r="AN10" s="26">
        <f>IF(AN$6="","",IF(OR(WEEKDAY(AN$6,1)=1,WEEKDAY(AN$6,1)=7),0,MIN(8,AN9)*AN8))</f>
      </c>
      <c r="AO10" s="26">
        <f>IF(AO$6="","",IF(OR(WEEKDAY(AO$6,1)=1,WEEKDAY(AO$6,1)=7),0,MIN(8,AO9)*AO8))</f>
      </c>
      <c r="AP10" s="26">
        <f>IF(AP$6="","",IF(OR(WEEKDAY(AP$6,1)=1,WEEKDAY(AP$6,1)=7),0,MIN(8,AP9)*AP8))</f>
      </c>
      <c r="AQ10" s="26">
        <f>IF(AQ$6="","",IF(OR(WEEKDAY(AQ$6,1)=1,WEEKDAY(AQ$6,1)=7),0,MIN(8,AQ9)*AQ8))</f>
      </c>
      <c r="CX10" s="8" t="s">
        <v>60</v>
      </c>
    </row>
    <row r="11" spans="2:102" x14ac:dyDescent="0.25">
      <c r="B11" s="26">
        <f>SUM(L11:AQ11)</f>
      </c>
      <c r="D11" s="27">
        <f>B11*E11</f>
      </c>
      <c r="E11" s="27">
        <f>'Rate Tables'!D13</f>
      </c>
      <c r="F11" s="8" t="s">
        <v>38</v>
      </c>
      <c r="L11" s="26">
        <f>IF(L$6="","",IF(WEEKDAY(L$6,1)=1,0,IF(WEEKDAY(L$6,1)=7,L9*L8,MAX(0,L9-8)*L8)))</f>
      </c>
      <c r="M11" s="26">
        <f>IF(M$6="","",IF(WEEKDAY(M$6,1)=1,0,IF(WEEKDAY(M$6,1)=7,M9*M8,MAX(0,M9-8)*M8)))</f>
      </c>
      <c r="N11" s="26">
        <f>IF(N$6="","",IF(WEEKDAY(N$6,1)=1,0,IF(WEEKDAY(N$6,1)=7,N9*N8,MAX(0,N9-8)*N8)))</f>
      </c>
      <c r="O11" s="26">
        <f>IF(O$6="","",IF(WEEKDAY(O$6,1)=1,0,IF(WEEKDAY(O$6,1)=7,O9*O8,MAX(0,O9-8)*O8)))</f>
      </c>
      <c r="P11" s="26">
        <f>IF(P$6="","",IF(WEEKDAY(P$6,1)=1,0,IF(WEEKDAY(P$6,1)=7,P9*P8,MAX(0,P9-8)*P8)))</f>
      </c>
      <c r="Q11" s="26">
        <f>IF(Q$6="","",IF(WEEKDAY(Q$6,1)=1,0,IF(WEEKDAY(Q$6,1)=7,Q9*Q8,MAX(0,Q9-8)*Q8)))</f>
      </c>
      <c r="R11" s="26">
        <f>IF(R$6="","",IF(WEEKDAY(R$6,1)=1,0,IF(WEEKDAY(R$6,1)=7,R9*R8,MAX(0,R9-8)*R8)))</f>
      </c>
      <c r="S11" s="26">
        <f>IF(S$6="","",IF(WEEKDAY(S$6,1)=1,0,IF(WEEKDAY(S$6,1)=7,S9*S8,MAX(0,S9-8)*S8)))</f>
      </c>
      <c r="T11" s="26">
        <f>IF(T$6="","",IF(WEEKDAY(T$6,1)=1,0,IF(WEEKDAY(T$6,1)=7,T9*T8,MAX(0,T9-8)*T8)))</f>
      </c>
      <c r="U11" s="26">
        <f>IF(U$6="","",IF(WEEKDAY(U$6,1)=1,0,IF(WEEKDAY(U$6,1)=7,U9*U8,MAX(0,U9-8)*U8)))</f>
      </c>
      <c r="V11" s="26">
        <f>IF(V$6="","",IF(WEEKDAY(V$6,1)=1,0,IF(WEEKDAY(V$6,1)=7,V9*V8,MAX(0,V9-8)*V8)))</f>
      </c>
      <c r="W11" s="26">
        <f>IF(W$6="","",IF(WEEKDAY(W$6,1)=1,0,IF(WEEKDAY(W$6,1)=7,W9*W8,MAX(0,W9-8)*W8)))</f>
      </c>
      <c r="X11" s="26">
        <f>IF(X$6="","",IF(WEEKDAY(X$6,1)=1,0,IF(WEEKDAY(X$6,1)=7,X9*X8,MAX(0,X9-8)*X8)))</f>
      </c>
      <c r="Y11" s="26">
        <f>IF(Y$6="","",IF(WEEKDAY(Y$6,1)=1,0,IF(WEEKDAY(Y$6,1)=7,Y9*Y8,MAX(0,Y9-8)*Y8)))</f>
      </c>
      <c r="Z11" s="26">
        <f>IF(Z$6="","",IF(WEEKDAY(Z$6,1)=1,0,IF(WEEKDAY(Z$6,1)=7,Z9*Z8,MAX(0,Z9-8)*Z8)))</f>
      </c>
      <c r="AA11" s="26">
        <f>IF(AA$6="","",IF(WEEKDAY(AA$6,1)=1,0,IF(WEEKDAY(AA$6,1)=7,AA9*AA8,MAX(0,AA9-8)*AA8)))</f>
      </c>
      <c r="AB11" s="26">
        <f>IF(AB$6="","",IF(WEEKDAY(AB$6,1)=1,0,IF(WEEKDAY(AB$6,1)=7,AB9*AB8,MAX(0,AB9-8)*AB8)))</f>
      </c>
      <c r="AC11" s="26">
        <f>IF(AC$6="","",IF(WEEKDAY(AC$6,1)=1,0,IF(WEEKDAY(AC$6,1)=7,AC9*AC8,MAX(0,AC9-8)*AC8)))</f>
      </c>
      <c r="AD11" s="26">
        <f>IF(AD$6="","",IF(WEEKDAY(AD$6,1)=1,0,IF(WEEKDAY(AD$6,1)=7,AD9*AD8,MAX(0,AD9-8)*AD8)))</f>
      </c>
      <c r="AE11" s="26">
        <f>IF(AE$6="","",IF(WEEKDAY(AE$6,1)=1,0,IF(WEEKDAY(AE$6,1)=7,AE9*AE8,MAX(0,AE9-8)*AE8)))</f>
      </c>
      <c r="AF11" s="26">
        <f>IF(AF$6="","",IF(WEEKDAY(AF$6,1)=1,0,IF(WEEKDAY(AF$6,1)=7,AF9*AF8,MAX(0,AF9-8)*AF8)))</f>
      </c>
      <c r="AG11" s="26">
        <f>IF(AG$6="","",IF(WEEKDAY(AG$6,1)=1,0,IF(WEEKDAY(AG$6,1)=7,AG9*AG8,MAX(0,AG9-8)*AG8)))</f>
      </c>
      <c r="AH11" s="26">
        <f>IF(AH$6="","",IF(WEEKDAY(AH$6,1)=1,0,IF(WEEKDAY(AH$6,1)=7,AH9*AH8,MAX(0,AH9-8)*AH8)))</f>
      </c>
      <c r="AI11" s="26">
        <f>IF(AI$6="","",IF(WEEKDAY(AI$6,1)=1,0,IF(WEEKDAY(AI$6,1)=7,AI9*AI8,MAX(0,AI9-8)*AI8)))</f>
      </c>
      <c r="AJ11" s="26">
        <f>IF(AJ$6="","",IF(WEEKDAY(AJ$6,1)=1,0,IF(WEEKDAY(AJ$6,1)=7,AJ9*AJ8,MAX(0,AJ9-8)*AJ8)))</f>
      </c>
      <c r="AK11" s="26">
        <f>IF(AK$6="","",IF(WEEKDAY(AK$6,1)=1,0,IF(WEEKDAY(AK$6,1)=7,AK9*AK8,MAX(0,AK9-8)*AK8)))</f>
      </c>
      <c r="AL11" s="26">
        <f>IF(AL$6="","",IF(WEEKDAY(AL$6,1)=1,0,IF(WEEKDAY(AL$6,1)=7,AL9*AL8,MAX(0,AL9-8)*AL8)))</f>
      </c>
      <c r="AM11" s="26">
        <f>IF(AM$6="","",IF(WEEKDAY(AM$6,1)=1,0,IF(WEEKDAY(AM$6,1)=7,AM9*AM8,MAX(0,AM9-8)*AM8)))</f>
      </c>
      <c r="AN11" s="26">
        <f>IF(AN$6="","",IF(WEEKDAY(AN$6,1)=1,0,IF(WEEKDAY(AN$6,1)=7,AN9*AN8,MAX(0,AN9-8)*AN8)))</f>
      </c>
      <c r="AO11" s="26">
        <f>IF(AO$6="","",IF(WEEKDAY(AO$6,1)=1,0,IF(WEEKDAY(AO$6,1)=7,AO9*AO8,MAX(0,AO9-8)*AO8)))</f>
      </c>
      <c r="AP11" s="26">
        <f>IF(AP$6="","",IF(WEEKDAY(AP$6,1)=1,0,IF(WEEKDAY(AP$6,1)=7,AP9*AP8,MAX(0,AP9-8)*AP8)))</f>
      </c>
      <c r="AQ11" s="26">
        <f>IF(AQ$6="","",IF(WEEKDAY(AQ$6,1)=1,0,IF(WEEKDAY(AQ$6,1)=7,AQ9*AQ8,MAX(0,AQ9-8)*AQ8)))</f>
      </c>
      <c r="CX11" s="8" t="s">
        <v>60</v>
      </c>
    </row>
    <row r="12" spans="2:102" x14ac:dyDescent="0.25">
      <c r="B12" s="26">
        <f>SUM(L12:AQ12)</f>
      </c>
      <c r="D12" s="27">
        <f>B12*E12</f>
      </c>
      <c r="E12" s="27">
        <f>'Rate Tables'!E13</f>
      </c>
      <c r="F12" s="8" t="s">
        <v>39</v>
      </c>
      <c r="L12" s="26">
        <f>IF(L$6="","",IF(WEEKDAY(L$6,1)=1,L9*L8,0))</f>
      </c>
      <c r="M12" s="26">
        <f>IF(M$6="","",IF(WEEKDAY(M$6,1)=1,M9*M8,0))</f>
      </c>
      <c r="N12" s="26">
        <f>IF(N$6="","",IF(WEEKDAY(N$6,1)=1,N9*N8,0))</f>
      </c>
      <c r="O12" s="26">
        <f>IF(O$6="","",IF(WEEKDAY(O$6,1)=1,O9*O8,0))</f>
      </c>
      <c r="P12" s="26">
        <f>IF(P$6="","",IF(WEEKDAY(P$6,1)=1,P9*P8,0))</f>
      </c>
      <c r="Q12" s="26">
        <f>IF(Q$6="","",IF(WEEKDAY(Q$6,1)=1,Q9*Q8,0))</f>
      </c>
      <c r="R12" s="26">
        <f>IF(R$6="","",IF(WEEKDAY(R$6,1)=1,R9*R8,0))</f>
      </c>
      <c r="S12" s="26">
        <f>IF(S$6="","",IF(WEEKDAY(S$6,1)=1,S9*S8,0))</f>
      </c>
      <c r="T12" s="26">
        <f>IF(T$6="","",IF(WEEKDAY(T$6,1)=1,T9*T8,0))</f>
      </c>
      <c r="U12" s="26">
        <f>IF(U$6="","",IF(WEEKDAY(U$6,1)=1,U9*U8,0))</f>
      </c>
      <c r="V12" s="26">
        <f>IF(V$6="","",IF(WEEKDAY(V$6,1)=1,V9*V8,0))</f>
      </c>
      <c r="W12" s="26">
        <f>IF(W$6="","",IF(WEEKDAY(W$6,1)=1,W9*W8,0))</f>
      </c>
      <c r="X12" s="26">
        <f>IF(X$6="","",IF(WEEKDAY(X$6,1)=1,X9*X8,0))</f>
      </c>
      <c r="Y12" s="26">
        <f>IF(Y$6="","",IF(WEEKDAY(Y$6,1)=1,Y9*Y8,0))</f>
      </c>
      <c r="Z12" s="26">
        <f>IF(Z$6="","",IF(WEEKDAY(Z$6,1)=1,Z9*Z8,0))</f>
      </c>
      <c r="AA12" s="26">
        <f>IF(AA$6="","",IF(WEEKDAY(AA$6,1)=1,AA9*AA8,0))</f>
      </c>
      <c r="AB12" s="26">
        <f>IF(AB$6="","",IF(WEEKDAY(AB$6,1)=1,AB9*AB8,0))</f>
      </c>
      <c r="AC12" s="26">
        <f>IF(AC$6="","",IF(WEEKDAY(AC$6,1)=1,AC9*AC8,0))</f>
      </c>
      <c r="AD12" s="26">
        <f>IF(AD$6="","",IF(WEEKDAY(AD$6,1)=1,AD9*AD8,0))</f>
      </c>
      <c r="AE12" s="26">
        <f>IF(AE$6="","",IF(WEEKDAY(AE$6,1)=1,AE9*AE8,0))</f>
      </c>
      <c r="AF12" s="26">
        <f>IF(AF$6="","",IF(WEEKDAY(AF$6,1)=1,AF9*AF8,0))</f>
      </c>
      <c r="AG12" s="26">
        <f>IF(AG$6="","",IF(WEEKDAY(AG$6,1)=1,AG9*AG8,0))</f>
      </c>
      <c r="AH12" s="26">
        <f>IF(AH$6="","",IF(WEEKDAY(AH$6,1)=1,AH9*AH8,0))</f>
      </c>
      <c r="AI12" s="26">
        <f>IF(AI$6="","",IF(WEEKDAY(AI$6,1)=1,AI9*AI8,0))</f>
      </c>
      <c r="AJ12" s="26">
        <f>IF(AJ$6="","",IF(WEEKDAY(AJ$6,1)=1,AJ9*AJ8,0))</f>
      </c>
      <c r="AK12" s="26">
        <f>IF(AK$6="","",IF(WEEKDAY(AK$6,1)=1,AK9*AK8,0))</f>
      </c>
      <c r="AL12" s="26">
        <f>IF(AL$6="","",IF(WEEKDAY(AL$6,1)=1,AL9*AL8,0))</f>
      </c>
      <c r="AM12" s="26">
        <f>IF(AM$6="","",IF(WEEKDAY(AM$6,1)=1,AM9*AM8,0))</f>
      </c>
      <c r="AN12" s="26">
        <f>IF(AN$6="","",IF(WEEKDAY(AN$6,1)=1,AN9*AN8,0))</f>
      </c>
      <c r="AO12" s="26">
        <f>IF(AO$6="","",IF(WEEKDAY(AO$6,1)=1,AO9*AO8,0))</f>
      </c>
      <c r="AP12" s="26">
        <f>IF(AP$6="","",IF(WEEKDAY(AP$6,1)=1,AP9*AP8,0))</f>
      </c>
      <c r="AQ12" s="26">
        <f>IF(AQ$6="","",IF(WEEKDAY(AQ$6,1)=1,AQ9*AQ8,0))</f>
      </c>
      <c r="CX12" s="8" t="s">
        <v>60</v>
      </c>
    </row>
    <row r="13" spans="2:102" x14ac:dyDescent="0.25">
      <c r="B13" s="26">
        <f>SUM(L13:AQ13)</f>
      </c>
      <c r="D13" s="27">
        <f>B13*E13</f>
      </c>
      <c r="E13" s="27">
        <v>130</v>
      </c>
      <c r="F13" s="8" t="s">
        <v>40</v>
      </c>
      <c r="L13" s="28">
        <v>1</v>
      </c>
      <c r="M13" s="28">
        <v>1</v>
      </c>
      <c r="N13" s="28">
        <v>1</v>
      </c>
      <c r="O13" s="28">
        <v>1</v>
      </c>
      <c r="P13" s="28">
        <v>1</v>
      </c>
      <c r="Q13" s="28">
        <v>0</v>
      </c>
      <c r="R13" s="28">
        <v>0</v>
      </c>
      <c r="S13" s="28">
        <v>1</v>
      </c>
      <c r="T13" s="28">
        <v>1</v>
      </c>
      <c r="U13" s="28">
        <v>1</v>
      </c>
      <c r="V13" s="28">
        <v>1</v>
      </c>
      <c r="W13" s="28">
        <v>1</v>
      </c>
      <c r="X13" s="28">
        <v>1</v>
      </c>
      <c r="Y13" s="28">
        <v>1</v>
      </c>
      <c r="Z13" s="28">
        <v>1</v>
      </c>
      <c r="AA13" s="28">
        <v>1</v>
      </c>
      <c r="AB13" s="28">
        <v>1</v>
      </c>
      <c r="AC13" s="28">
        <v>1</v>
      </c>
      <c r="AD13" s="28">
        <v>1</v>
      </c>
      <c r="AE13" s="28">
        <v>1</v>
      </c>
      <c r="AF13" s="28">
        <v>1</v>
      </c>
      <c r="AG13" s="28">
        <v>1</v>
      </c>
      <c r="AH13" s="28">
        <v>1</v>
      </c>
      <c r="AI13" s="28">
        <v>1</v>
      </c>
      <c r="AJ13" s="28">
        <v>1</v>
      </c>
      <c r="AK13" s="28">
        <v>1</v>
      </c>
      <c r="AL13" s="28">
        <v>0</v>
      </c>
      <c r="AM13" s="28">
        <v>0</v>
      </c>
      <c r="AN13" s="28">
        <v>1</v>
      </c>
      <c r="AO13" s="28">
        <v>1</v>
      </c>
      <c r="AP13" s="28">
        <v>1</v>
      </c>
      <c r="AQ13" s="28">
        <v>1</v>
      </c>
      <c r="CX13" s="8" t="s">
        <v>60</v>
      </c>
    </row>
    <row r="14" spans="1:102" x14ac:dyDescent="0.25">
      <c r="A14" s="20" t="s">
        <v>41</v>
      </c>
      <c r="B14" s="21">
        <f>G14+H14+I14</f>
      </c>
      <c r="C14" s="20" t="s">
        <v>59</v>
      </c>
      <c r="D14" s="22">
        <f>K14</f>
      </c>
      <c r="F14" s="20" t="s">
        <v>32</v>
      </c>
      <c r="G14" s="21">
        <f>B17</f>
      </c>
      <c r="H14" s="21">
        <f>B18</f>
      </c>
      <c r="I14" s="21">
        <f>B19</f>
      </c>
      <c r="J14" s="21">
        <f>B20</f>
      </c>
      <c r="K14" s="22">
        <f>D17+D18+D19</f>
      </c>
      <c r="CX14" s="20" t="s">
        <v>61</v>
      </c>
    </row>
    <row r="15" spans="6:102" x14ac:dyDescent="0.25">
      <c r="F15" s="23" t="s">
        <v>34</v>
      </c>
      <c r="L15" s="24">
        <v>0</v>
      </c>
      <c r="M15" s="24">
        <v>0</v>
      </c>
      <c r="N15" s="24">
        <v>0</v>
      </c>
      <c r="O15" s="24">
        <v>0</v>
      </c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1</v>
      </c>
      <c r="W15" s="24">
        <v>1</v>
      </c>
      <c r="X15" s="24">
        <v>1</v>
      </c>
      <c r="Y15" s="24">
        <v>1</v>
      </c>
      <c r="Z15" s="24">
        <v>1</v>
      </c>
      <c r="AA15" s="24">
        <v>1</v>
      </c>
      <c r="AB15" s="24">
        <v>1</v>
      </c>
      <c r="AC15" s="24">
        <v>1</v>
      </c>
      <c r="AD15" s="24">
        <v>1</v>
      </c>
      <c r="AE15" s="24">
        <v>1</v>
      </c>
      <c r="AF15" s="24">
        <v>1</v>
      </c>
      <c r="AG15" s="24">
        <v>1</v>
      </c>
      <c r="AH15" s="24">
        <v>1</v>
      </c>
      <c r="AI15" s="24">
        <v>1</v>
      </c>
      <c r="AJ15" s="24">
        <v>0</v>
      </c>
      <c r="AK15" s="24">
        <v>0</v>
      </c>
      <c r="AL15" s="24">
        <v>0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CX15" s="23" t="s">
        <v>61</v>
      </c>
    </row>
    <row r="16" spans="1:102" x14ac:dyDescent="0.25">
      <c r="A16" s="23" t="s">
        <v>35</v>
      </c>
      <c r="F16" s="23" t="s">
        <v>36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25">
        <v>0</v>
      </c>
      <c r="U16" s="25">
        <v>0</v>
      </c>
      <c r="V16" s="25">
        <v>12</v>
      </c>
      <c r="W16" s="25">
        <v>12</v>
      </c>
      <c r="X16" s="25">
        <v>12</v>
      </c>
      <c r="Y16" s="25">
        <v>12</v>
      </c>
      <c r="Z16" s="25">
        <v>12</v>
      </c>
      <c r="AA16" s="25">
        <v>12</v>
      </c>
      <c r="AB16" s="25">
        <v>12</v>
      </c>
      <c r="AC16" s="25">
        <v>12</v>
      </c>
      <c r="AD16" s="25">
        <v>12</v>
      </c>
      <c r="AE16" s="25">
        <v>12</v>
      </c>
      <c r="AF16" s="25">
        <v>12</v>
      </c>
      <c r="AG16" s="25">
        <v>12</v>
      </c>
      <c r="AH16" s="25">
        <v>12</v>
      </c>
      <c r="AI16" s="25">
        <v>12</v>
      </c>
      <c r="AJ16" s="25">
        <v>0</v>
      </c>
      <c r="AK16" s="25">
        <v>0</v>
      </c>
      <c r="AL16" s="25">
        <v>0</v>
      </c>
      <c r="AM16" s="25">
        <v>0</v>
      </c>
      <c r="AN16" s="25">
        <v>0</v>
      </c>
      <c r="AO16" s="25">
        <v>0</v>
      </c>
      <c r="AP16" s="25">
        <v>0</v>
      </c>
      <c r="AQ16" s="25">
        <v>0</v>
      </c>
      <c r="CX16" s="23" t="s">
        <v>61</v>
      </c>
    </row>
    <row r="17" spans="2:102" x14ac:dyDescent="0.25">
      <c r="B17" s="26">
        <f>SUM(L17:AQ17)</f>
      </c>
      <c r="D17" s="27">
        <f>B17*E17</f>
      </c>
      <c r="E17" s="27">
        <f>'Rate Tables'!C13</f>
      </c>
      <c r="F17" s="8" t="s">
        <v>37</v>
      </c>
      <c r="L17" s="26">
        <f>IF(L$6="","",IF(OR(WEEKDAY(L$6,1)=1,WEEKDAY(L$6,1)=7),0,MIN(8,L16)*L15))</f>
      </c>
      <c r="M17" s="26">
        <f>IF(M$6="","",IF(OR(WEEKDAY(M$6,1)=1,WEEKDAY(M$6,1)=7),0,MIN(8,M16)*M15))</f>
      </c>
      <c r="N17" s="26">
        <f>IF(N$6="","",IF(OR(WEEKDAY(N$6,1)=1,WEEKDAY(N$6,1)=7),0,MIN(8,N16)*N15))</f>
      </c>
      <c r="O17" s="26">
        <f>IF(O$6="","",IF(OR(WEEKDAY(O$6,1)=1,WEEKDAY(O$6,1)=7),0,MIN(8,O16)*O15))</f>
      </c>
      <c r="P17" s="26">
        <f>IF(P$6="","",IF(OR(WEEKDAY(P$6,1)=1,WEEKDAY(P$6,1)=7),0,MIN(8,P16)*P15))</f>
      </c>
      <c r="Q17" s="26">
        <f>IF(Q$6="","",IF(OR(WEEKDAY(Q$6,1)=1,WEEKDAY(Q$6,1)=7),0,MIN(8,Q16)*Q15))</f>
      </c>
      <c r="R17" s="26">
        <f>IF(R$6="","",IF(OR(WEEKDAY(R$6,1)=1,WEEKDAY(R$6,1)=7),0,MIN(8,R16)*R15))</f>
      </c>
      <c r="S17" s="26">
        <f>IF(S$6="","",IF(OR(WEEKDAY(S$6,1)=1,WEEKDAY(S$6,1)=7),0,MIN(8,S16)*S15))</f>
      </c>
      <c r="T17" s="26">
        <f>IF(T$6="","",IF(OR(WEEKDAY(T$6,1)=1,WEEKDAY(T$6,1)=7),0,MIN(8,T16)*T15))</f>
      </c>
      <c r="U17" s="26">
        <f>IF(U$6="","",IF(OR(WEEKDAY(U$6,1)=1,WEEKDAY(U$6,1)=7),0,MIN(8,U16)*U15))</f>
      </c>
      <c r="V17" s="26">
        <f>IF(V$6="","",IF(OR(WEEKDAY(V$6,1)=1,WEEKDAY(V$6,1)=7),0,MIN(8,V16)*V15))</f>
      </c>
      <c r="W17" s="26">
        <f>IF(W$6="","",IF(OR(WEEKDAY(W$6,1)=1,WEEKDAY(W$6,1)=7),0,MIN(8,W16)*W15))</f>
      </c>
      <c r="X17" s="26">
        <f>IF(X$6="","",IF(OR(WEEKDAY(X$6,1)=1,WEEKDAY(X$6,1)=7),0,MIN(8,X16)*X15))</f>
      </c>
      <c r="Y17" s="26">
        <f>IF(Y$6="","",IF(OR(WEEKDAY(Y$6,1)=1,WEEKDAY(Y$6,1)=7),0,MIN(8,Y16)*Y15))</f>
      </c>
      <c r="Z17" s="26">
        <f>IF(Z$6="","",IF(OR(WEEKDAY(Z$6,1)=1,WEEKDAY(Z$6,1)=7),0,MIN(8,Z16)*Z15))</f>
      </c>
      <c r="AA17" s="26">
        <f>IF(AA$6="","",IF(OR(WEEKDAY(AA$6,1)=1,WEEKDAY(AA$6,1)=7),0,MIN(8,AA16)*AA15))</f>
      </c>
      <c r="AB17" s="26">
        <f>IF(AB$6="","",IF(OR(WEEKDAY(AB$6,1)=1,WEEKDAY(AB$6,1)=7),0,MIN(8,AB16)*AB15))</f>
      </c>
      <c r="AC17" s="26">
        <f>IF(AC$6="","",IF(OR(WEEKDAY(AC$6,1)=1,WEEKDAY(AC$6,1)=7),0,MIN(8,AC16)*AC15))</f>
      </c>
      <c r="AD17" s="26">
        <f>IF(AD$6="","",IF(OR(WEEKDAY(AD$6,1)=1,WEEKDAY(AD$6,1)=7),0,MIN(8,AD16)*AD15))</f>
      </c>
      <c r="AE17" s="26">
        <f>IF(AE$6="","",IF(OR(WEEKDAY(AE$6,1)=1,WEEKDAY(AE$6,1)=7),0,MIN(8,AE16)*AE15))</f>
      </c>
      <c r="AF17" s="26">
        <f>IF(AF$6="","",IF(OR(WEEKDAY(AF$6,1)=1,WEEKDAY(AF$6,1)=7),0,MIN(8,AF16)*AF15))</f>
      </c>
      <c r="AG17" s="26">
        <f>IF(AG$6="","",IF(OR(WEEKDAY(AG$6,1)=1,WEEKDAY(AG$6,1)=7),0,MIN(8,AG16)*AG15))</f>
      </c>
      <c r="AH17" s="26">
        <f>IF(AH$6="","",IF(OR(WEEKDAY(AH$6,1)=1,WEEKDAY(AH$6,1)=7),0,MIN(8,AH16)*AH15))</f>
      </c>
      <c r="AI17" s="26">
        <f>IF(AI$6="","",IF(OR(WEEKDAY(AI$6,1)=1,WEEKDAY(AI$6,1)=7),0,MIN(8,AI16)*AI15))</f>
      </c>
      <c r="AJ17" s="26">
        <f>IF(AJ$6="","",IF(OR(WEEKDAY(AJ$6,1)=1,WEEKDAY(AJ$6,1)=7),0,MIN(8,AJ16)*AJ15))</f>
      </c>
      <c r="AK17" s="26">
        <f>IF(AK$6="","",IF(OR(WEEKDAY(AK$6,1)=1,WEEKDAY(AK$6,1)=7),0,MIN(8,AK16)*AK15))</f>
      </c>
      <c r="AL17" s="26">
        <f>IF(AL$6="","",IF(OR(WEEKDAY(AL$6,1)=1,WEEKDAY(AL$6,1)=7),0,MIN(8,AL16)*AL15))</f>
      </c>
      <c r="AM17" s="26">
        <f>IF(AM$6="","",IF(OR(WEEKDAY(AM$6,1)=1,WEEKDAY(AM$6,1)=7),0,MIN(8,AM16)*AM15))</f>
      </c>
      <c r="AN17" s="26">
        <f>IF(AN$6="","",IF(OR(WEEKDAY(AN$6,1)=1,WEEKDAY(AN$6,1)=7),0,MIN(8,AN16)*AN15))</f>
      </c>
      <c r="AO17" s="26">
        <f>IF(AO$6="","",IF(OR(WEEKDAY(AO$6,1)=1,WEEKDAY(AO$6,1)=7),0,MIN(8,AO16)*AO15))</f>
      </c>
      <c r="AP17" s="26">
        <f>IF(AP$6="","",IF(OR(WEEKDAY(AP$6,1)=1,WEEKDAY(AP$6,1)=7),0,MIN(8,AP16)*AP15))</f>
      </c>
      <c r="AQ17" s="26">
        <f>IF(AQ$6="","",IF(OR(WEEKDAY(AQ$6,1)=1,WEEKDAY(AQ$6,1)=7),0,MIN(8,AQ16)*AQ15))</f>
      </c>
      <c r="CX17" s="8" t="s">
        <v>61</v>
      </c>
    </row>
    <row r="18" spans="2:102" x14ac:dyDescent="0.25">
      <c r="B18" s="26">
        <f>SUM(L18:AQ18)</f>
      </c>
      <c r="D18" s="27">
        <f>B18*E18</f>
      </c>
      <c r="E18" s="27">
        <f>'Rate Tables'!D13</f>
      </c>
      <c r="F18" s="8" t="s">
        <v>38</v>
      </c>
      <c r="L18" s="26">
        <f>IF(L$6="","",IF(WEEKDAY(L$6,1)=1,0,IF(WEEKDAY(L$6,1)=7,L16*L15,MAX(0,L16-8)*L15)))</f>
      </c>
      <c r="M18" s="26">
        <f>IF(M$6="","",IF(WEEKDAY(M$6,1)=1,0,IF(WEEKDAY(M$6,1)=7,M16*M15,MAX(0,M16-8)*M15)))</f>
      </c>
      <c r="N18" s="26">
        <f>IF(N$6="","",IF(WEEKDAY(N$6,1)=1,0,IF(WEEKDAY(N$6,1)=7,N16*N15,MAX(0,N16-8)*N15)))</f>
      </c>
      <c r="O18" s="26">
        <f>IF(O$6="","",IF(WEEKDAY(O$6,1)=1,0,IF(WEEKDAY(O$6,1)=7,O16*O15,MAX(0,O16-8)*O15)))</f>
      </c>
      <c r="P18" s="26">
        <f>IF(P$6="","",IF(WEEKDAY(P$6,1)=1,0,IF(WEEKDAY(P$6,1)=7,P16*P15,MAX(0,P16-8)*P15)))</f>
      </c>
      <c r="Q18" s="26">
        <f>IF(Q$6="","",IF(WEEKDAY(Q$6,1)=1,0,IF(WEEKDAY(Q$6,1)=7,Q16*Q15,MAX(0,Q16-8)*Q15)))</f>
      </c>
      <c r="R18" s="26">
        <f>IF(R$6="","",IF(WEEKDAY(R$6,1)=1,0,IF(WEEKDAY(R$6,1)=7,R16*R15,MAX(0,R16-8)*R15)))</f>
      </c>
      <c r="S18" s="26">
        <f>IF(S$6="","",IF(WEEKDAY(S$6,1)=1,0,IF(WEEKDAY(S$6,1)=7,S16*S15,MAX(0,S16-8)*S15)))</f>
      </c>
      <c r="T18" s="26">
        <f>IF(T$6="","",IF(WEEKDAY(T$6,1)=1,0,IF(WEEKDAY(T$6,1)=7,T16*T15,MAX(0,T16-8)*T15)))</f>
      </c>
      <c r="U18" s="26">
        <f>IF(U$6="","",IF(WEEKDAY(U$6,1)=1,0,IF(WEEKDAY(U$6,1)=7,U16*U15,MAX(0,U16-8)*U15)))</f>
      </c>
      <c r="V18" s="26">
        <f>IF(V$6="","",IF(WEEKDAY(V$6,1)=1,0,IF(WEEKDAY(V$6,1)=7,V16*V15,MAX(0,V16-8)*V15)))</f>
      </c>
      <c r="W18" s="26">
        <f>IF(W$6="","",IF(WEEKDAY(W$6,1)=1,0,IF(WEEKDAY(W$6,1)=7,W16*W15,MAX(0,W16-8)*W15)))</f>
      </c>
      <c r="X18" s="26">
        <f>IF(X$6="","",IF(WEEKDAY(X$6,1)=1,0,IF(WEEKDAY(X$6,1)=7,X16*X15,MAX(0,X16-8)*X15)))</f>
      </c>
      <c r="Y18" s="26">
        <f>IF(Y$6="","",IF(WEEKDAY(Y$6,1)=1,0,IF(WEEKDAY(Y$6,1)=7,Y16*Y15,MAX(0,Y16-8)*Y15)))</f>
      </c>
      <c r="Z18" s="26">
        <f>IF(Z$6="","",IF(WEEKDAY(Z$6,1)=1,0,IF(WEEKDAY(Z$6,1)=7,Z16*Z15,MAX(0,Z16-8)*Z15)))</f>
      </c>
      <c r="AA18" s="26">
        <f>IF(AA$6="","",IF(WEEKDAY(AA$6,1)=1,0,IF(WEEKDAY(AA$6,1)=7,AA16*AA15,MAX(0,AA16-8)*AA15)))</f>
      </c>
      <c r="AB18" s="26">
        <f>IF(AB$6="","",IF(WEEKDAY(AB$6,1)=1,0,IF(WEEKDAY(AB$6,1)=7,AB16*AB15,MAX(0,AB16-8)*AB15)))</f>
      </c>
      <c r="AC18" s="26">
        <f>IF(AC$6="","",IF(WEEKDAY(AC$6,1)=1,0,IF(WEEKDAY(AC$6,1)=7,AC16*AC15,MAX(0,AC16-8)*AC15)))</f>
      </c>
      <c r="AD18" s="26">
        <f>IF(AD$6="","",IF(WEEKDAY(AD$6,1)=1,0,IF(WEEKDAY(AD$6,1)=7,AD16*AD15,MAX(0,AD16-8)*AD15)))</f>
      </c>
      <c r="AE18" s="26">
        <f>IF(AE$6="","",IF(WEEKDAY(AE$6,1)=1,0,IF(WEEKDAY(AE$6,1)=7,AE16*AE15,MAX(0,AE16-8)*AE15)))</f>
      </c>
      <c r="AF18" s="26">
        <f>IF(AF$6="","",IF(WEEKDAY(AF$6,1)=1,0,IF(WEEKDAY(AF$6,1)=7,AF16*AF15,MAX(0,AF16-8)*AF15)))</f>
      </c>
      <c r="AG18" s="26">
        <f>IF(AG$6="","",IF(WEEKDAY(AG$6,1)=1,0,IF(WEEKDAY(AG$6,1)=7,AG16*AG15,MAX(0,AG16-8)*AG15)))</f>
      </c>
      <c r="AH18" s="26">
        <f>IF(AH$6="","",IF(WEEKDAY(AH$6,1)=1,0,IF(WEEKDAY(AH$6,1)=7,AH16*AH15,MAX(0,AH16-8)*AH15)))</f>
      </c>
      <c r="AI18" s="26">
        <f>IF(AI$6="","",IF(WEEKDAY(AI$6,1)=1,0,IF(WEEKDAY(AI$6,1)=7,AI16*AI15,MAX(0,AI16-8)*AI15)))</f>
      </c>
      <c r="AJ18" s="26">
        <f>IF(AJ$6="","",IF(WEEKDAY(AJ$6,1)=1,0,IF(WEEKDAY(AJ$6,1)=7,AJ16*AJ15,MAX(0,AJ16-8)*AJ15)))</f>
      </c>
      <c r="AK18" s="26">
        <f>IF(AK$6="","",IF(WEEKDAY(AK$6,1)=1,0,IF(WEEKDAY(AK$6,1)=7,AK16*AK15,MAX(0,AK16-8)*AK15)))</f>
      </c>
      <c r="AL18" s="26">
        <f>IF(AL$6="","",IF(WEEKDAY(AL$6,1)=1,0,IF(WEEKDAY(AL$6,1)=7,AL16*AL15,MAX(0,AL16-8)*AL15)))</f>
      </c>
      <c r="AM18" s="26">
        <f>IF(AM$6="","",IF(WEEKDAY(AM$6,1)=1,0,IF(WEEKDAY(AM$6,1)=7,AM16*AM15,MAX(0,AM16-8)*AM15)))</f>
      </c>
      <c r="AN18" s="26">
        <f>IF(AN$6="","",IF(WEEKDAY(AN$6,1)=1,0,IF(WEEKDAY(AN$6,1)=7,AN16*AN15,MAX(0,AN16-8)*AN15)))</f>
      </c>
      <c r="AO18" s="26">
        <f>IF(AO$6="","",IF(WEEKDAY(AO$6,1)=1,0,IF(WEEKDAY(AO$6,1)=7,AO16*AO15,MAX(0,AO16-8)*AO15)))</f>
      </c>
      <c r="AP18" s="26">
        <f>IF(AP$6="","",IF(WEEKDAY(AP$6,1)=1,0,IF(WEEKDAY(AP$6,1)=7,AP16*AP15,MAX(0,AP16-8)*AP15)))</f>
      </c>
      <c r="AQ18" s="26">
        <f>IF(AQ$6="","",IF(WEEKDAY(AQ$6,1)=1,0,IF(WEEKDAY(AQ$6,1)=7,AQ16*AQ15,MAX(0,AQ16-8)*AQ15)))</f>
      </c>
      <c r="CX18" s="8" t="s">
        <v>61</v>
      </c>
    </row>
    <row r="19" spans="2:102" x14ac:dyDescent="0.25">
      <c r="B19" s="26">
        <f>SUM(L19:AQ19)</f>
      </c>
      <c r="D19" s="27">
        <f>B19*E19</f>
      </c>
      <c r="E19" s="27">
        <f>'Rate Tables'!E13</f>
      </c>
      <c r="F19" s="8" t="s">
        <v>39</v>
      </c>
      <c r="L19" s="26">
        <f>IF(L$6="","",IF(WEEKDAY(L$6,1)=1,L16*L15,0))</f>
      </c>
      <c r="M19" s="26">
        <f>IF(M$6="","",IF(WEEKDAY(M$6,1)=1,M16*M15,0))</f>
      </c>
      <c r="N19" s="26">
        <f>IF(N$6="","",IF(WEEKDAY(N$6,1)=1,N16*N15,0))</f>
      </c>
      <c r="O19" s="26">
        <f>IF(O$6="","",IF(WEEKDAY(O$6,1)=1,O16*O15,0))</f>
      </c>
      <c r="P19" s="26">
        <f>IF(P$6="","",IF(WEEKDAY(P$6,1)=1,P16*P15,0))</f>
      </c>
      <c r="Q19" s="26">
        <f>IF(Q$6="","",IF(WEEKDAY(Q$6,1)=1,Q16*Q15,0))</f>
      </c>
      <c r="R19" s="26">
        <f>IF(R$6="","",IF(WEEKDAY(R$6,1)=1,R16*R15,0))</f>
      </c>
      <c r="S19" s="26">
        <f>IF(S$6="","",IF(WEEKDAY(S$6,1)=1,S16*S15,0))</f>
      </c>
      <c r="T19" s="26">
        <f>IF(T$6="","",IF(WEEKDAY(T$6,1)=1,T16*T15,0))</f>
      </c>
      <c r="U19" s="26">
        <f>IF(U$6="","",IF(WEEKDAY(U$6,1)=1,U16*U15,0))</f>
      </c>
      <c r="V19" s="26">
        <f>IF(V$6="","",IF(WEEKDAY(V$6,1)=1,V16*V15,0))</f>
      </c>
      <c r="W19" s="26">
        <f>IF(W$6="","",IF(WEEKDAY(W$6,1)=1,W16*W15,0))</f>
      </c>
      <c r="X19" s="26">
        <f>IF(X$6="","",IF(WEEKDAY(X$6,1)=1,X16*X15,0))</f>
      </c>
      <c r="Y19" s="26">
        <f>IF(Y$6="","",IF(WEEKDAY(Y$6,1)=1,Y16*Y15,0))</f>
      </c>
      <c r="Z19" s="26">
        <f>IF(Z$6="","",IF(WEEKDAY(Z$6,1)=1,Z16*Z15,0))</f>
      </c>
      <c r="AA19" s="26">
        <f>IF(AA$6="","",IF(WEEKDAY(AA$6,1)=1,AA16*AA15,0))</f>
      </c>
      <c r="AB19" s="26">
        <f>IF(AB$6="","",IF(WEEKDAY(AB$6,1)=1,AB16*AB15,0))</f>
      </c>
      <c r="AC19" s="26">
        <f>IF(AC$6="","",IF(WEEKDAY(AC$6,1)=1,AC16*AC15,0))</f>
      </c>
      <c r="AD19" s="26">
        <f>IF(AD$6="","",IF(WEEKDAY(AD$6,1)=1,AD16*AD15,0))</f>
      </c>
      <c r="AE19" s="26">
        <f>IF(AE$6="","",IF(WEEKDAY(AE$6,1)=1,AE16*AE15,0))</f>
      </c>
      <c r="AF19" s="26">
        <f>IF(AF$6="","",IF(WEEKDAY(AF$6,1)=1,AF16*AF15,0))</f>
      </c>
      <c r="AG19" s="26">
        <f>IF(AG$6="","",IF(WEEKDAY(AG$6,1)=1,AG16*AG15,0))</f>
      </c>
      <c r="AH19" s="26">
        <f>IF(AH$6="","",IF(WEEKDAY(AH$6,1)=1,AH16*AH15,0))</f>
      </c>
      <c r="AI19" s="26">
        <f>IF(AI$6="","",IF(WEEKDAY(AI$6,1)=1,AI16*AI15,0))</f>
      </c>
      <c r="AJ19" s="26">
        <f>IF(AJ$6="","",IF(WEEKDAY(AJ$6,1)=1,AJ16*AJ15,0))</f>
      </c>
      <c r="AK19" s="26">
        <f>IF(AK$6="","",IF(WEEKDAY(AK$6,1)=1,AK16*AK15,0))</f>
      </c>
      <c r="AL19" s="26">
        <f>IF(AL$6="","",IF(WEEKDAY(AL$6,1)=1,AL16*AL15,0))</f>
      </c>
      <c r="AM19" s="26">
        <f>IF(AM$6="","",IF(WEEKDAY(AM$6,1)=1,AM16*AM15,0))</f>
      </c>
      <c r="AN19" s="26">
        <f>IF(AN$6="","",IF(WEEKDAY(AN$6,1)=1,AN16*AN15,0))</f>
      </c>
      <c r="AO19" s="26">
        <f>IF(AO$6="","",IF(WEEKDAY(AO$6,1)=1,AO16*AO15,0))</f>
      </c>
      <c r="AP19" s="26">
        <f>IF(AP$6="","",IF(WEEKDAY(AP$6,1)=1,AP16*AP15,0))</f>
      </c>
      <c r="AQ19" s="26">
        <f>IF(AQ$6="","",IF(WEEKDAY(AQ$6,1)=1,AQ16*AQ15,0))</f>
      </c>
      <c r="CX19" s="8" t="s">
        <v>61</v>
      </c>
    </row>
    <row r="20" spans="2:102" x14ac:dyDescent="0.25">
      <c r="B20" s="26">
        <f>SUM(L20:AQ20)</f>
      </c>
      <c r="D20" s="27">
        <f>B20*E20</f>
      </c>
      <c r="E20" s="27">
        <v>130</v>
      </c>
      <c r="F20" s="8" t="s">
        <v>40</v>
      </c>
      <c r="L20" s="28">
        <v>0</v>
      </c>
      <c r="M20" s="28">
        <v>0</v>
      </c>
      <c r="N20" s="28">
        <v>0</v>
      </c>
      <c r="O20" s="28">
        <v>0</v>
      </c>
      <c r="P20" s="28">
        <v>0</v>
      </c>
      <c r="Q20" s="28">
        <v>0</v>
      </c>
      <c r="R20" s="28">
        <v>0</v>
      </c>
      <c r="S20" s="28">
        <v>0</v>
      </c>
      <c r="T20" s="28">
        <v>0</v>
      </c>
      <c r="U20" s="28">
        <v>0</v>
      </c>
      <c r="V20" s="28">
        <v>1</v>
      </c>
      <c r="W20" s="28">
        <v>1</v>
      </c>
      <c r="X20" s="28">
        <v>1</v>
      </c>
      <c r="Y20" s="28">
        <v>1</v>
      </c>
      <c r="Z20" s="28">
        <v>1</v>
      </c>
      <c r="AA20" s="28">
        <v>1</v>
      </c>
      <c r="AB20" s="28">
        <v>1</v>
      </c>
      <c r="AC20" s="28">
        <v>1</v>
      </c>
      <c r="AD20" s="28">
        <v>1</v>
      </c>
      <c r="AE20" s="28">
        <v>1</v>
      </c>
      <c r="AF20" s="28">
        <v>1</v>
      </c>
      <c r="AG20" s="28">
        <v>1</v>
      </c>
      <c r="AH20" s="28">
        <v>1</v>
      </c>
      <c r="AI20" s="28">
        <v>1</v>
      </c>
      <c r="AJ20" s="28">
        <v>0</v>
      </c>
      <c r="AK20" s="28">
        <v>0</v>
      </c>
      <c r="AL20" s="28">
        <v>0</v>
      </c>
      <c r="AM20" s="28">
        <v>0</v>
      </c>
      <c r="AN20" s="28">
        <v>0</v>
      </c>
      <c r="AO20" s="28">
        <v>0</v>
      </c>
      <c r="AP20" s="28">
        <v>0</v>
      </c>
      <c r="AQ20" s="28">
        <v>0</v>
      </c>
      <c r="CX20" s="8" t="s">
        <v>61</v>
      </c>
    </row>
    <row r="21" spans="1:11" x14ac:dyDescent="0.25">
      <c r="A21" s="14" t="s">
        <v>52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G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7" width="14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46269.729527812495</v>
      </c>
    </row>
    <row r="6" ht="20" customHeight="1" spans="1:7" x14ac:dyDescent="0.25">
      <c r="A6" s="7" t="s">
        <v>62</v>
      </c>
      <c r="B6" s="7" t="s">
        <v>63</v>
      </c>
      <c r="C6" s="7" t="s">
        <v>64</v>
      </c>
      <c r="D6" s="7" t="s">
        <v>65</v>
      </c>
      <c r="E6" s="7" t="s">
        <v>66</v>
      </c>
      <c r="F6" s="7" t="s">
        <v>67</v>
      </c>
      <c r="G6" s="7" t="s">
        <v>68</v>
      </c>
    </row>
    <row r="7" spans="1:7" x14ac:dyDescent="0.25">
      <c r="A7" s="8" t="s">
        <v>69</v>
      </c>
      <c r="B7" s="8" t="s">
        <v>70</v>
      </c>
      <c r="C7" s="28">
        <v>5</v>
      </c>
      <c r="D7" s="28">
        <v>3</v>
      </c>
      <c r="E7" s="27">
        <v>4464</v>
      </c>
      <c r="F7" s="27">
        <v>0</v>
      </c>
      <c r="G7" s="27">
        <f>C7*D7*E7+F7</f>
      </c>
    </row>
    <row r="8" spans="1:7" x14ac:dyDescent="0.25">
      <c r="A8" s="11" t="s">
        <v>71</v>
      </c>
      <c r="B8" s="11" t="s">
        <v>70</v>
      </c>
      <c r="C8" s="29">
        <v>3</v>
      </c>
      <c r="D8" s="29">
        <v>2</v>
      </c>
      <c r="E8" s="30">
        <v>612</v>
      </c>
      <c r="F8" s="30">
        <v>0</v>
      </c>
      <c r="G8" s="30">
        <f>C8*D8*E8+F8</f>
      </c>
    </row>
    <row r="9" spans="1:7" x14ac:dyDescent="0.25">
      <c r="A9" s="8" t="s">
        <v>72</v>
      </c>
      <c r="B9" s="8" t="s">
        <v>70</v>
      </c>
      <c r="C9" s="28">
        <v>3</v>
      </c>
      <c r="D9" s="28">
        <v>2</v>
      </c>
      <c r="E9" s="27">
        <v>936</v>
      </c>
      <c r="F9" s="27">
        <v>0</v>
      </c>
      <c r="G9" s="27">
        <f>C9*D9*E9+F9</f>
      </c>
    </row>
    <row r="10" spans="1:7" x14ac:dyDescent="0.25">
      <c r="A10" s="11" t="s">
        <v>73</v>
      </c>
      <c r="B10" s="11" t="s">
        <v>74</v>
      </c>
      <c r="C10" s="29">
        <v>1</v>
      </c>
      <c r="D10" s="29">
        <v>32</v>
      </c>
      <c r="E10" s="30">
        <v>1160</v>
      </c>
      <c r="F10" s="30">
        <v>0</v>
      </c>
      <c r="G10" s="30">
        <f>C10*D10*E10+F10</f>
      </c>
    </row>
    <row r="11" spans="1:7" x14ac:dyDescent="0.25">
      <c r="A11" s="14" t="s">
        <v>52</v>
      </c>
      <c r="G11" s="18">
        <f>SUM(G7:G10)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46269.72952783565</v>
      </c>
    </row>
    <row r="6" ht="20" customHeight="1" spans="1:5" x14ac:dyDescent="0.25">
      <c r="A6" s="7" t="s">
        <v>75</v>
      </c>
      <c r="B6" s="7" t="s">
        <v>76</v>
      </c>
      <c r="C6" s="7" t="s">
        <v>77</v>
      </c>
      <c r="D6" s="7" t="s">
        <v>78</v>
      </c>
      <c r="E6" s="7" t="s">
        <v>68</v>
      </c>
    </row>
    <row r="7" spans="1:5" x14ac:dyDescent="0.25">
      <c r="A7" s="8" t="s">
        <v>79</v>
      </c>
      <c r="B7" s="28">
        <v>6</v>
      </c>
      <c r="C7" s="28">
        <v>1500</v>
      </c>
      <c r="D7" s="27">
        <v>0.76</v>
      </c>
      <c r="E7" s="27">
        <f>B7*C7*D7</f>
      </c>
    </row>
    <row r="8" spans="1:5" x14ac:dyDescent="0.25">
      <c r="A8" s="14" t="s">
        <v>52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46269.72952783565</v>
      </c>
    </row>
    <row r="6" ht="20" customHeight="1" spans="1:5" x14ac:dyDescent="0.25">
      <c r="A6" s="7" t="s">
        <v>62</v>
      </c>
      <c r="B6" s="7" t="s">
        <v>80</v>
      </c>
      <c r="C6" s="7" t="s">
        <v>64</v>
      </c>
      <c r="D6" s="7" t="s">
        <v>81</v>
      </c>
      <c r="E6" s="7" t="s">
        <v>68</v>
      </c>
    </row>
    <row r="7" spans="1:5" x14ac:dyDescent="0.25">
      <c r="A7" s="8" t="s">
        <v>82</v>
      </c>
      <c r="B7" s="8" t="s">
        <v>83</v>
      </c>
      <c r="C7" s="28">
        <v>3.5</v>
      </c>
      <c r="D7" s="27">
        <v>1000</v>
      </c>
      <c r="E7" s="27">
        <f>C7*D7</f>
      </c>
    </row>
    <row r="8" spans="1:5" x14ac:dyDescent="0.25">
      <c r="A8" s="11" t="s">
        <v>84</v>
      </c>
      <c r="B8" s="11" t="s">
        <v>85</v>
      </c>
      <c r="C8" s="29">
        <v>1</v>
      </c>
      <c r="D8" s="30">
        <v>1200</v>
      </c>
      <c r="E8" s="30">
        <f>C8*D8</f>
      </c>
    </row>
    <row r="9" spans="1:5" x14ac:dyDescent="0.25">
      <c r="A9" s="8" t="s">
        <v>86</v>
      </c>
      <c r="B9" s="8" t="s">
        <v>87</v>
      </c>
      <c r="C9" s="28">
        <v>1</v>
      </c>
      <c r="D9" s="27">
        <v>6000</v>
      </c>
      <c r="E9" s="27">
        <f>C9*D9</f>
      </c>
    </row>
    <row r="10" spans="1:5" x14ac:dyDescent="0.25">
      <c r="A10" s="14" t="s">
        <v>52</v>
      </c>
      <c r="E10" s="18">
        <f>SUM(E7:E9)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F13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4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46269.729527662035</v>
      </c>
    </row>
    <row r="6" ht="20" customHeight="1" spans="1:6" x14ac:dyDescent="0.25">
      <c r="A6" s="7" t="s">
        <v>88</v>
      </c>
      <c r="B6" s="7" t="s">
        <v>89</v>
      </c>
      <c r="C6" s="7" t="s">
        <v>90</v>
      </c>
      <c r="D6" s="7" t="s">
        <v>91</v>
      </c>
      <c r="E6" s="7" t="s">
        <v>92</v>
      </c>
      <c r="F6" s="7" t="s">
        <v>93</v>
      </c>
    </row>
    <row r="7" spans="1:6" x14ac:dyDescent="0.25">
      <c r="A7" s="8" t="s">
        <v>31</v>
      </c>
      <c r="C7" s="27">
        <v>111.67</v>
      </c>
      <c r="D7" s="27">
        <v>156.21</v>
      </c>
      <c r="E7" s="27">
        <v>200.75</v>
      </c>
      <c r="F7" s="27">
        <v>140</v>
      </c>
    </row>
    <row r="8" spans="1:6" x14ac:dyDescent="0.25">
      <c r="A8" s="11" t="s">
        <v>43</v>
      </c>
      <c r="B8" s="30">
        <v>64</v>
      </c>
      <c r="C8" s="30">
        <v>105.76</v>
      </c>
      <c r="D8" s="30">
        <v>143.77</v>
      </c>
      <c r="E8" s="30">
        <v>181.79</v>
      </c>
      <c r="F8" s="30">
        <v>140</v>
      </c>
    </row>
    <row r="9" spans="1:6" x14ac:dyDescent="0.25">
      <c r="A9" s="8" t="s">
        <v>46</v>
      </c>
      <c r="B9" s="27">
        <v>52.5</v>
      </c>
      <c r="C9" s="27">
        <v>91.02</v>
      </c>
      <c r="D9" s="27">
        <v>122.2</v>
      </c>
      <c r="E9" s="27">
        <v>153.39</v>
      </c>
      <c r="F9" s="27">
        <v>140</v>
      </c>
    </row>
    <row r="10" spans="1:6" x14ac:dyDescent="0.25">
      <c r="A10" s="11" t="s">
        <v>49</v>
      </c>
      <c r="B10" s="30">
        <v>58.84</v>
      </c>
      <c r="C10" s="30">
        <v>111.22</v>
      </c>
      <c r="D10" s="30">
        <v>156.31</v>
      </c>
      <c r="E10" s="30">
        <v>201.4</v>
      </c>
      <c r="F10" s="30">
        <v>140</v>
      </c>
    </row>
    <row r="11" spans="1:6" x14ac:dyDescent="0.25">
      <c r="A11" s="8" t="s">
        <v>53</v>
      </c>
      <c r="C11" s="27">
        <v>105.28</v>
      </c>
      <c r="D11" s="27">
        <v>147.5</v>
      </c>
      <c r="E11" s="27">
        <v>189.72</v>
      </c>
      <c r="F11" s="27">
        <v>130</v>
      </c>
    </row>
    <row r="12" spans="1:6" x14ac:dyDescent="0.25">
      <c r="A12" s="11" t="s">
        <v>56</v>
      </c>
      <c r="B12" s="30">
        <v>49.03</v>
      </c>
      <c r="C12" s="30">
        <v>99.33</v>
      </c>
      <c r="D12" s="30">
        <v>138.69</v>
      </c>
      <c r="E12" s="30">
        <v>178.05</v>
      </c>
      <c r="F12" s="30">
        <v>130</v>
      </c>
    </row>
    <row r="13" spans="1:6" x14ac:dyDescent="0.25">
      <c r="A13" s="8" t="s">
        <v>94</v>
      </c>
      <c r="B13" s="27">
        <v>45.6</v>
      </c>
      <c r="C13" s="27">
        <v>108.38</v>
      </c>
      <c r="D13" s="27">
        <v>152.78</v>
      </c>
      <c r="E13" s="27">
        <v>197.19</v>
      </c>
      <c r="F13" s="27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2026-09-04T17:30:31Z</dcterms:created>
  <dcterms:modified xsi:type="dcterms:W3CDTF">2026-09-04T17:30:31Z</dcterms:modified>
</cp:coreProperties>
</file>